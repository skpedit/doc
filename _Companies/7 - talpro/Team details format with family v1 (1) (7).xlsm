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00000000-0000-0000-0000-000000000000}"/>
  <workbookPr codeName="ThisWorkbook"/>
  <mc:AlternateContent xmlns:mc="http://schemas.openxmlformats.org/markup-compatibility/2006">
    <mc:Choice Requires="x15">
      <x15ac:absPath xmlns:x15ac="http://schemas.microsoft.com/office/spreadsheetml/2010/11/ac" url="E:\$DATA\lappy\_Companies\7 - Talpro India\"/>
    </mc:Choice>
  </mc:AlternateContent>
  <xr:revisionPtr revIDLastSave="0" documentId="13_ncr:1_{47D15289-D05A-46FB-80E8-FE4C92B1EB14}" xr6:coauthVersionLast="47" xr6:coauthVersionMax="47" xr10:uidLastSave="{00000000-0000-0000-0000-000000000000}"/>
  <bookViews>
    <workbookView xWindow="-108" yWindow="-108" windowWidth="23256" windowHeight="12576" xr2:uid="{0B318EE4-802F-486F-ADEF-514CB2FD0375}"/>
  </bookViews>
  <sheets>
    <sheet name="Data" sheetId="1" r:id="rId1"/>
    <sheet name="Data_Check" sheetId="4" state="veryHidden" r:id="rId2"/>
    <sheet name="Data_Val" sheetId="3" state="veryHidden" r:id="rId3"/>
  </sheets>
  <calcPr calcId="191028"/>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001" i="4" l="1"/>
  <c r="I1000" i="4"/>
  <c r="I999" i="4"/>
  <c r="I998" i="4"/>
  <c r="I997" i="4"/>
  <c r="I996" i="4"/>
  <c r="I995" i="4"/>
  <c r="I994" i="4"/>
  <c r="I993" i="4"/>
  <c r="I992" i="4"/>
  <c r="I991" i="4"/>
  <c r="I990" i="4"/>
  <c r="I989" i="4"/>
  <c r="I988" i="4"/>
  <c r="I987" i="4"/>
  <c r="I986" i="4"/>
  <c r="I985" i="4"/>
  <c r="I984" i="4"/>
  <c r="I983" i="4"/>
  <c r="I982" i="4"/>
  <c r="I981" i="4"/>
  <c r="I980" i="4"/>
  <c r="I979" i="4"/>
  <c r="I978" i="4"/>
  <c r="I977" i="4"/>
  <c r="I976" i="4"/>
  <c r="I975" i="4"/>
  <c r="I974" i="4"/>
  <c r="I973" i="4"/>
  <c r="I972" i="4"/>
  <c r="I971" i="4"/>
  <c r="I970" i="4"/>
  <c r="I969" i="4"/>
  <c r="I968" i="4"/>
  <c r="I967" i="4"/>
  <c r="I966" i="4"/>
  <c r="I965" i="4"/>
  <c r="I964" i="4"/>
  <c r="I963" i="4"/>
  <c r="I962" i="4"/>
  <c r="I961" i="4"/>
  <c r="I960" i="4"/>
  <c r="I959" i="4"/>
  <c r="I958" i="4"/>
  <c r="I957" i="4"/>
  <c r="I956" i="4"/>
  <c r="I955" i="4"/>
  <c r="I954" i="4"/>
  <c r="I953" i="4"/>
  <c r="I952" i="4"/>
  <c r="I951" i="4"/>
  <c r="I950" i="4"/>
  <c r="I949" i="4"/>
  <c r="I948" i="4"/>
  <c r="I947" i="4"/>
  <c r="I946" i="4"/>
  <c r="I945" i="4"/>
  <c r="I944" i="4"/>
  <c r="I943" i="4"/>
  <c r="I942" i="4"/>
  <c r="I941" i="4"/>
  <c r="I940" i="4"/>
  <c r="I939" i="4"/>
  <c r="I938" i="4"/>
  <c r="I937" i="4"/>
  <c r="I936" i="4"/>
  <c r="I935" i="4"/>
  <c r="I934" i="4"/>
  <c r="I933" i="4"/>
  <c r="I932" i="4"/>
  <c r="I931" i="4"/>
  <c r="I930" i="4"/>
  <c r="I929" i="4"/>
  <c r="I928" i="4"/>
  <c r="I927" i="4"/>
  <c r="I926" i="4"/>
  <c r="I925" i="4"/>
  <c r="I924" i="4"/>
  <c r="I923" i="4"/>
  <c r="I922" i="4"/>
  <c r="I921" i="4"/>
  <c r="I920" i="4"/>
  <c r="I919" i="4"/>
  <c r="I918" i="4"/>
  <c r="I917" i="4"/>
  <c r="I916" i="4"/>
  <c r="I915" i="4"/>
  <c r="I914" i="4"/>
  <c r="I913" i="4"/>
  <c r="I912" i="4"/>
  <c r="I911" i="4"/>
  <c r="I910" i="4"/>
  <c r="I909" i="4"/>
  <c r="I908" i="4"/>
  <c r="I907" i="4"/>
  <c r="I906" i="4"/>
  <c r="I905" i="4"/>
  <c r="I904" i="4"/>
  <c r="I903" i="4"/>
  <c r="I902" i="4"/>
  <c r="I901" i="4"/>
  <c r="I900" i="4"/>
  <c r="I899" i="4"/>
  <c r="I898" i="4"/>
  <c r="I897" i="4"/>
  <c r="I896" i="4"/>
  <c r="I895" i="4"/>
  <c r="I894" i="4"/>
  <c r="I893" i="4"/>
  <c r="I892" i="4"/>
  <c r="I891" i="4"/>
  <c r="I890" i="4"/>
  <c r="I889" i="4"/>
  <c r="I888" i="4"/>
  <c r="I887" i="4"/>
  <c r="I886" i="4"/>
  <c r="I885" i="4"/>
  <c r="I884" i="4"/>
  <c r="I883" i="4"/>
  <c r="I882" i="4"/>
  <c r="I881" i="4"/>
  <c r="I880" i="4"/>
  <c r="I879" i="4"/>
  <c r="I878" i="4"/>
  <c r="I877" i="4"/>
  <c r="I876" i="4"/>
  <c r="I875" i="4"/>
  <c r="I874" i="4"/>
  <c r="I873" i="4"/>
  <c r="I872" i="4"/>
  <c r="I871" i="4"/>
  <c r="I870" i="4"/>
  <c r="I869" i="4"/>
  <c r="I868" i="4"/>
  <c r="I867" i="4"/>
  <c r="I866" i="4"/>
  <c r="I865" i="4"/>
  <c r="I864" i="4"/>
  <c r="I863" i="4"/>
  <c r="I862" i="4"/>
  <c r="I861" i="4"/>
  <c r="I860" i="4"/>
  <c r="I859" i="4"/>
  <c r="I858" i="4"/>
  <c r="I857" i="4"/>
  <c r="I856" i="4"/>
  <c r="I855" i="4"/>
  <c r="I854" i="4"/>
  <c r="I853" i="4"/>
  <c r="I852" i="4"/>
  <c r="I851" i="4"/>
  <c r="I850" i="4"/>
  <c r="I849" i="4"/>
  <c r="I848" i="4"/>
  <c r="I847" i="4"/>
  <c r="I846" i="4"/>
  <c r="I845" i="4"/>
  <c r="I844" i="4"/>
  <c r="I843" i="4"/>
  <c r="I842" i="4"/>
  <c r="I841" i="4"/>
  <c r="I840" i="4"/>
  <c r="I839" i="4"/>
  <c r="I838" i="4"/>
  <c r="I837" i="4"/>
  <c r="I836" i="4"/>
  <c r="I835" i="4"/>
  <c r="I834" i="4"/>
  <c r="I833" i="4"/>
  <c r="I832" i="4"/>
  <c r="I831" i="4"/>
  <c r="I830" i="4"/>
  <c r="I829" i="4"/>
  <c r="I828" i="4"/>
  <c r="I827" i="4"/>
  <c r="I826" i="4"/>
  <c r="I825" i="4"/>
  <c r="I824" i="4"/>
  <c r="I823" i="4"/>
  <c r="I822" i="4"/>
  <c r="I821" i="4"/>
  <c r="I820" i="4"/>
  <c r="I819" i="4"/>
  <c r="I818" i="4"/>
  <c r="I817" i="4"/>
  <c r="I816" i="4"/>
  <c r="I815" i="4"/>
  <c r="I814" i="4"/>
  <c r="I813" i="4"/>
  <c r="I812" i="4"/>
  <c r="I811" i="4"/>
  <c r="I810" i="4"/>
  <c r="I809" i="4"/>
  <c r="I808" i="4"/>
  <c r="I807" i="4"/>
  <c r="I806" i="4"/>
  <c r="I805" i="4"/>
  <c r="I804" i="4"/>
  <c r="I803" i="4"/>
  <c r="I802" i="4"/>
  <c r="I801" i="4"/>
  <c r="I800" i="4"/>
  <c r="I799" i="4"/>
  <c r="I798" i="4"/>
  <c r="I797" i="4"/>
  <c r="I796" i="4"/>
  <c r="I795" i="4"/>
  <c r="I794" i="4"/>
  <c r="I793" i="4"/>
  <c r="I792" i="4"/>
  <c r="I791" i="4"/>
  <c r="I790" i="4"/>
  <c r="I789" i="4"/>
  <c r="I788" i="4"/>
  <c r="I787" i="4"/>
  <c r="I786" i="4"/>
  <c r="I785" i="4"/>
  <c r="I784" i="4"/>
  <c r="I783" i="4"/>
  <c r="I782" i="4"/>
  <c r="I781" i="4"/>
  <c r="I780" i="4"/>
  <c r="I779" i="4"/>
  <c r="I778" i="4"/>
  <c r="I777" i="4"/>
  <c r="I776" i="4"/>
  <c r="I775" i="4"/>
  <c r="I774" i="4"/>
  <c r="I773" i="4"/>
  <c r="I772" i="4"/>
  <c r="I771" i="4"/>
  <c r="I770" i="4"/>
  <c r="I769" i="4"/>
  <c r="I768" i="4"/>
  <c r="I767" i="4"/>
  <c r="I766" i="4"/>
  <c r="I765" i="4"/>
  <c r="I764" i="4"/>
  <c r="I763" i="4"/>
  <c r="I762" i="4"/>
  <c r="I761" i="4"/>
  <c r="I760" i="4"/>
  <c r="I759" i="4"/>
  <c r="I758" i="4"/>
  <c r="I757" i="4"/>
  <c r="I756" i="4"/>
  <c r="I755" i="4"/>
  <c r="I754" i="4"/>
  <c r="I753" i="4"/>
  <c r="I752" i="4"/>
  <c r="I751" i="4"/>
  <c r="I750" i="4"/>
  <c r="I749" i="4"/>
  <c r="I748" i="4"/>
  <c r="I747" i="4"/>
  <c r="I746" i="4"/>
  <c r="I745" i="4"/>
  <c r="I744" i="4"/>
  <c r="I743" i="4"/>
  <c r="I742" i="4"/>
  <c r="I741" i="4"/>
  <c r="I740" i="4"/>
  <c r="I739" i="4"/>
  <c r="I738" i="4"/>
  <c r="I737" i="4"/>
  <c r="I736" i="4"/>
  <c r="I735" i="4"/>
  <c r="I734" i="4"/>
  <c r="I733" i="4"/>
  <c r="I732" i="4"/>
  <c r="I731" i="4"/>
  <c r="I730" i="4"/>
  <c r="I729" i="4"/>
  <c r="I728" i="4"/>
  <c r="I727" i="4"/>
  <c r="I726" i="4"/>
  <c r="I725" i="4"/>
  <c r="I724" i="4"/>
  <c r="I723" i="4"/>
  <c r="I722" i="4"/>
  <c r="I721" i="4"/>
  <c r="I720" i="4"/>
  <c r="I719" i="4"/>
  <c r="I718" i="4"/>
  <c r="I717" i="4"/>
  <c r="I716" i="4"/>
  <c r="I715" i="4"/>
  <c r="I714" i="4"/>
  <c r="I713" i="4"/>
  <c r="I712" i="4"/>
  <c r="I711" i="4"/>
  <c r="I710" i="4"/>
  <c r="I709" i="4"/>
  <c r="I708" i="4"/>
  <c r="I707" i="4"/>
  <c r="I706" i="4"/>
  <c r="I705" i="4"/>
  <c r="I704" i="4"/>
  <c r="I703" i="4"/>
  <c r="I702" i="4"/>
  <c r="I701" i="4"/>
  <c r="I700" i="4"/>
  <c r="I699" i="4"/>
  <c r="I698" i="4"/>
  <c r="I697" i="4"/>
  <c r="I696" i="4"/>
  <c r="I695" i="4"/>
  <c r="I694" i="4"/>
  <c r="I693" i="4"/>
  <c r="I692" i="4"/>
  <c r="I691" i="4"/>
  <c r="I690" i="4"/>
  <c r="I689" i="4"/>
  <c r="I688" i="4"/>
  <c r="I687" i="4"/>
  <c r="I686" i="4"/>
  <c r="I685" i="4"/>
  <c r="I684" i="4"/>
  <c r="I683" i="4"/>
  <c r="I682" i="4"/>
  <c r="I681" i="4"/>
  <c r="I680" i="4"/>
  <c r="I679" i="4"/>
  <c r="I678" i="4"/>
  <c r="I677" i="4"/>
  <c r="I676" i="4"/>
  <c r="I675" i="4"/>
  <c r="I674" i="4"/>
  <c r="I673" i="4"/>
  <c r="I672" i="4"/>
  <c r="I671" i="4"/>
  <c r="I670" i="4"/>
  <c r="I669" i="4"/>
  <c r="I668" i="4"/>
  <c r="I667" i="4"/>
  <c r="I666" i="4"/>
  <c r="I665" i="4"/>
  <c r="I664" i="4"/>
  <c r="I663" i="4"/>
  <c r="I662" i="4"/>
  <c r="I661" i="4"/>
  <c r="I660" i="4"/>
  <c r="I659" i="4"/>
  <c r="I658" i="4"/>
  <c r="I657" i="4"/>
  <c r="I656" i="4"/>
  <c r="I655" i="4"/>
  <c r="I654" i="4"/>
  <c r="I653" i="4"/>
  <c r="I652" i="4"/>
  <c r="I651" i="4"/>
  <c r="I650" i="4"/>
  <c r="I649" i="4"/>
  <c r="I648" i="4"/>
  <c r="I647" i="4"/>
  <c r="I646" i="4"/>
  <c r="I645" i="4"/>
  <c r="I644" i="4"/>
  <c r="I643" i="4"/>
  <c r="I642" i="4"/>
  <c r="I641" i="4"/>
  <c r="I640" i="4"/>
  <c r="I639" i="4"/>
  <c r="I638" i="4"/>
  <c r="I637" i="4"/>
  <c r="I636" i="4"/>
  <c r="I635" i="4"/>
  <c r="I634" i="4"/>
  <c r="I633" i="4"/>
  <c r="I632" i="4"/>
  <c r="I631" i="4"/>
  <c r="I630" i="4"/>
  <c r="I629" i="4"/>
  <c r="I628" i="4"/>
  <c r="I627" i="4"/>
  <c r="I626" i="4"/>
  <c r="I625" i="4"/>
  <c r="I624" i="4"/>
  <c r="I623" i="4"/>
  <c r="I622" i="4"/>
  <c r="I621" i="4"/>
  <c r="I620" i="4"/>
  <c r="I619" i="4"/>
  <c r="I618" i="4"/>
  <c r="I617" i="4"/>
  <c r="I616" i="4"/>
  <c r="I615" i="4"/>
  <c r="I614" i="4"/>
  <c r="I613" i="4"/>
  <c r="I612" i="4"/>
  <c r="I611" i="4"/>
  <c r="I610" i="4"/>
  <c r="I609" i="4"/>
  <c r="I608" i="4"/>
  <c r="I607" i="4"/>
  <c r="I606" i="4"/>
  <c r="I605" i="4"/>
  <c r="I604" i="4"/>
  <c r="I603" i="4"/>
  <c r="I602" i="4"/>
  <c r="I601" i="4"/>
  <c r="I600" i="4"/>
  <c r="I599" i="4"/>
  <c r="I598" i="4"/>
  <c r="I597" i="4"/>
  <c r="I596" i="4"/>
  <c r="I595" i="4"/>
  <c r="I594" i="4"/>
  <c r="I593" i="4"/>
  <c r="I592" i="4"/>
  <c r="I591" i="4"/>
  <c r="I590" i="4"/>
  <c r="I589" i="4"/>
  <c r="I588" i="4"/>
  <c r="I587" i="4"/>
  <c r="I586" i="4"/>
  <c r="I585" i="4"/>
  <c r="I584" i="4"/>
  <c r="I583" i="4"/>
  <c r="I582" i="4"/>
  <c r="I581" i="4"/>
  <c r="I580" i="4"/>
  <c r="I579" i="4"/>
  <c r="I578" i="4"/>
  <c r="I577" i="4"/>
  <c r="I576" i="4"/>
  <c r="I575" i="4"/>
  <c r="I574" i="4"/>
  <c r="I573" i="4"/>
  <c r="I572" i="4"/>
  <c r="I571" i="4"/>
  <c r="I570" i="4"/>
  <c r="I569" i="4"/>
  <c r="I568" i="4"/>
  <c r="I567" i="4"/>
  <c r="I566" i="4"/>
  <c r="I565" i="4"/>
  <c r="I564" i="4"/>
  <c r="I563" i="4"/>
  <c r="I562" i="4"/>
  <c r="I561" i="4"/>
  <c r="I560" i="4"/>
  <c r="I559" i="4"/>
  <c r="I558" i="4"/>
  <c r="I557" i="4"/>
  <c r="I556" i="4"/>
  <c r="I555" i="4"/>
  <c r="I554" i="4"/>
  <c r="I553" i="4"/>
  <c r="I552" i="4"/>
  <c r="I551" i="4"/>
  <c r="I550" i="4"/>
  <c r="I549" i="4"/>
  <c r="I548" i="4"/>
  <c r="I547" i="4"/>
  <c r="I546" i="4"/>
  <c r="I545" i="4"/>
  <c r="I544" i="4"/>
  <c r="I543" i="4"/>
  <c r="I542" i="4"/>
  <c r="I541" i="4"/>
  <c r="I540" i="4"/>
  <c r="I539" i="4"/>
  <c r="I538" i="4"/>
  <c r="I537" i="4"/>
  <c r="I536" i="4"/>
  <c r="I535" i="4"/>
  <c r="I534" i="4"/>
  <c r="I533" i="4"/>
  <c r="I532" i="4"/>
  <c r="I531" i="4"/>
  <c r="I530" i="4"/>
  <c r="I529" i="4"/>
  <c r="I528" i="4"/>
  <c r="I527" i="4"/>
  <c r="I526" i="4"/>
  <c r="I525" i="4"/>
  <c r="I524" i="4"/>
  <c r="I523" i="4"/>
  <c r="I522" i="4"/>
  <c r="I521" i="4"/>
  <c r="I520" i="4"/>
  <c r="I519" i="4"/>
  <c r="I518" i="4"/>
  <c r="I517" i="4"/>
  <c r="I516" i="4"/>
  <c r="I515" i="4"/>
  <c r="I514" i="4"/>
  <c r="I513" i="4"/>
  <c r="I512" i="4"/>
  <c r="I511" i="4"/>
  <c r="I510" i="4"/>
  <c r="I509" i="4"/>
  <c r="I508" i="4"/>
  <c r="I507" i="4"/>
  <c r="I506" i="4"/>
  <c r="I505" i="4"/>
  <c r="I504" i="4"/>
  <c r="I503" i="4"/>
  <c r="I502" i="4"/>
  <c r="I501" i="4"/>
  <c r="I500" i="4"/>
  <c r="I499" i="4"/>
  <c r="I498" i="4"/>
  <c r="I497" i="4"/>
  <c r="I496" i="4"/>
  <c r="I495" i="4"/>
  <c r="I494" i="4"/>
  <c r="I493" i="4"/>
  <c r="I492" i="4"/>
  <c r="I491" i="4"/>
  <c r="I490" i="4"/>
  <c r="I489" i="4"/>
  <c r="I488" i="4"/>
  <c r="I487" i="4"/>
  <c r="I486" i="4"/>
  <c r="I485" i="4"/>
  <c r="I484" i="4"/>
  <c r="I483" i="4"/>
  <c r="I482" i="4"/>
  <c r="I481" i="4"/>
  <c r="I480" i="4"/>
  <c r="I479" i="4"/>
  <c r="I478" i="4"/>
  <c r="I477" i="4"/>
  <c r="I476" i="4"/>
  <c r="I475" i="4"/>
  <c r="I474" i="4"/>
  <c r="I473" i="4"/>
  <c r="I472" i="4"/>
  <c r="I471" i="4"/>
  <c r="I470" i="4"/>
  <c r="I469" i="4"/>
  <c r="I468" i="4"/>
  <c r="I467" i="4"/>
  <c r="I466" i="4"/>
  <c r="I465" i="4"/>
  <c r="I464" i="4"/>
  <c r="I463" i="4"/>
  <c r="I462" i="4"/>
  <c r="I461" i="4"/>
  <c r="I460" i="4"/>
  <c r="I459" i="4"/>
  <c r="I458" i="4"/>
  <c r="I457" i="4"/>
  <c r="I456" i="4"/>
  <c r="I455" i="4"/>
  <c r="I454" i="4"/>
  <c r="I453" i="4"/>
  <c r="I452" i="4"/>
  <c r="I451" i="4"/>
  <c r="I450" i="4"/>
  <c r="I449" i="4"/>
  <c r="I448" i="4"/>
  <c r="I447" i="4"/>
  <c r="I446" i="4"/>
  <c r="I445" i="4"/>
  <c r="I444" i="4"/>
  <c r="I443" i="4"/>
  <c r="I442" i="4"/>
  <c r="I441" i="4"/>
  <c r="I440" i="4"/>
  <c r="I439" i="4"/>
  <c r="I438" i="4"/>
  <c r="I437" i="4"/>
  <c r="I436" i="4"/>
  <c r="I435" i="4"/>
  <c r="I434" i="4"/>
  <c r="I433" i="4"/>
  <c r="I432" i="4"/>
  <c r="I431" i="4"/>
  <c r="I430" i="4"/>
  <c r="I429" i="4"/>
  <c r="I428" i="4"/>
  <c r="I427" i="4"/>
  <c r="I426" i="4"/>
  <c r="I425" i="4"/>
  <c r="I424" i="4"/>
  <c r="I423" i="4"/>
  <c r="I422" i="4"/>
  <c r="I421" i="4"/>
  <c r="I420" i="4"/>
  <c r="I419" i="4"/>
  <c r="I418" i="4"/>
  <c r="I417" i="4"/>
  <c r="I416" i="4"/>
  <c r="I415" i="4"/>
  <c r="I414" i="4"/>
  <c r="I413" i="4"/>
  <c r="I412" i="4"/>
  <c r="I411" i="4"/>
  <c r="I410" i="4"/>
  <c r="I409" i="4"/>
  <c r="I408" i="4"/>
  <c r="I407" i="4"/>
  <c r="I406" i="4"/>
  <c r="I405" i="4"/>
  <c r="I404" i="4"/>
  <c r="I403" i="4"/>
  <c r="I402" i="4"/>
  <c r="I401" i="4"/>
  <c r="I400" i="4"/>
  <c r="I399" i="4"/>
  <c r="I398" i="4"/>
  <c r="I397" i="4"/>
  <c r="I396" i="4"/>
  <c r="I395" i="4"/>
  <c r="I394" i="4"/>
  <c r="I393" i="4"/>
  <c r="I392" i="4"/>
  <c r="I391" i="4"/>
  <c r="I390" i="4"/>
  <c r="I389" i="4"/>
  <c r="I388" i="4"/>
  <c r="I387" i="4"/>
  <c r="I386" i="4"/>
  <c r="I385" i="4"/>
  <c r="I384" i="4"/>
  <c r="I383" i="4"/>
  <c r="I382" i="4"/>
  <c r="I381" i="4"/>
  <c r="I380" i="4"/>
  <c r="I379" i="4"/>
  <c r="I378" i="4"/>
  <c r="I377" i="4"/>
  <c r="I376" i="4"/>
  <c r="I375" i="4"/>
  <c r="I374" i="4"/>
  <c r="I373" i="4"/>
  <c r="I372" i="4"/>
  <c r="I371" i="4"/>
  <c r="I370" i="4"/>
  <c r="I369" i="4"/>
  <c r="I368" i="4"/>
  <c r="I367" i="4"/>
  <c r="I366" i="4"/>
  <c r="I365" i="4"/>
  <c r="I364" i="4"/>
  <c r="I363" i="4"/>
  <c r="I362" i="4"/>
  <c r="I361" i="4"/>
  <c r="I360" i="4"/>
  <c r="I359" i="4"/>
  <c r="I358" i="4"/>
  <c r="I357" i="4"/>
  <c r="I356" i="4"/>
  <c r="I355" i="4"/>
  <c r="I354" i="4"/>
  <c r="I353" i="4"/>
  <c r="I352" i="4"/>
  <c r="I351" i="4"/>
  <c r="I350" i="4"/>
  <c r="I349" i="4"/>
  <c r="I348" i="4"/>
  <c r="I347" i="4"/>
  <c r="I346" i="4"/>
  <c r="I345" i="4"/>
  <c r="I344" i="4"/>
  <c r="I343" i="4"/>
  <c r="I342" i="4"/>
  <c r="I341" i="4"/>
  <c r="I340" i="4"/>
  <c r="I339" i="4"/>
  <c r="I338" i="4"/>
  <c r="I337" i="4"/>
  <c r="I336" i="4"/>
  <c r="I335" i="4"/>
  <c r="I334" i="4"/>
  <c r="I333" i="4"/>
  <c r="I332" i="4"/>
  <c r="I331" i="4"/>
  <c r="I330" i="4"/>
  <c r="I329" i="4"/>
  <c r="I328" i="4"/>
  <c r="I327" i="4"/>
  <c r="I326" i="4"/>
  <c r="I325" i="4"/>
  <c r="I324" i="4"/>
  <c r="I323" i="4"/>
  <c r="I322" i="4"/>
  <c r="I321" i="4"/>
  <c r="I320" i="4"/>
  <c r="I319" i="4"/>
  <c r="I318" i="4"/>
  <c r="I317" i="4"/>
  <c r="I316" i="4"/>
  <c r="I315" i="4"/>
  <c r="I314" i="4"/>
  <c r="I313" i="4"/>
  <c r="I312" i="4"/>
  <c r="I311" i="4"/>
  <c r="I310" i="4"/>
  <c r="I309" i="4"/>
  <c r="I308" i="4"/>
  <c r="I307" i="4"/>
  <c r="I306" i="4"/>
  <c r="I305" i="4"/>
  <c r="I304" i="4"/>
  <c r="I303" i="4"/>
  <c r="I302" i="4"/>
  <c r="I301" i="4"/>
  <c r="I300" i="4"/>
  <c r="I299" i="4"/>
  <c r="I298" i="4"/>
  <c r="I297" i="4"/>
  <c r="I296" i="4"/>
  <c r="I295" i="4"/>
  <c r="I294" i="4"/>
  <c r="I293" i="4"/>
  <c r="I292" i="4"/>
  <c r="I291" i="4"/>
  <c r="I290" i="4"/>
  <c r="I289" i="4"/>
  <c r="I288" i="4"/>
  <c r="I287" i="4"/>
  <c r="I286" i="4"/>
  <c r="I285" i="4"/>
  <c r="I284" i="4"/>
  <c r="I283" i="4"/>
  <c r="I282" i="4"/>
  <c r="I281" i="4"/>
  <c r="I280" i="4"/>
  <c r="I279" i="4"/>
  <c r="I278" i="4"/>
  <c r="I277" i="4"/>
  <c r="I276" i="4"/>
  <c r="I275" i="4"/>
  <c r="I274" i="4"/>
  <c r="I273" i="4"/>
  <c r="I272" i="4"/>
  <c r="I271" i="4"/>
  <c r="I270" i="4"/>
  <c r="I269" i="4"/>
  <c r="I268" i="4"/>
  <c r="I267" i="4"/>
  <c r="I266" i="4"/>
  <c r="I265" i="4"/>
  <c r="I264" i="4"/>
  <c r="I263" i="4"/>
  <c r="I262" i="4"/>
  <c r="I261" i="4"/>
  <c r="I260" i="4"/>
  <c r="I259" i="4"/>
  <c r="I258" i="4"/>
  <c r="I257" i="4"/>
  <c r="I256" i="4"/>
  <c r="I255" i="4"/>
  <c r="I254" i="4"/>
  <c r="I253" i="4"/>
  <c r="I252" i="4"/>
  <c r="I251" i="4"/>
  <c r="I250" i="4"/>
  <c r="I249" i="4"/>
  <c r="I248" i="4"/>
  <c r="I247" i="4"/>
  <c r="I246" i="4"/>
  <c r="I245" i="4"/>
  <c r="I244" i="4"/>
  <c r="I243" i="4"/>
  <c r="I242" i="4"/>
  <c r="I241" i="4"/>
  <c r="I240" i="4"/>
  <c r="I239" i="4"/>
  <c r="I238" i="4"/>
  <c r="I237" i="4"/>
  <c r="I236" i="4"/>
  <c r="I235" i="4"/>
  <c r="I234" i="4"/>
  <c r="I233" i="4"/>
  <c r="I232" i="4"/>
  <c r="I231" i="4"/>
  <c r="I230" i="4"/>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I12" i="4"/>
  <c r="I11" i="4"/>
  <c r="I10" i="4"/>
  <c r="I9" i="4"/>
  <c r="I8" i="4"/>
  <c r="I7" i="4"/>
  <c r="I6" i="4"/>
  <c r="I5" i="4"/>
  <c r="I4" i="4"/>
  <c r="I3" i="4"/>
  <c r="I2" i="4"/>
  <c r="J1001" i="4"/>
  <c r="J1000" i="4"/>
  <c r="J999" i="4"/>
  <c r="J998" i="4"/>
  <c r="J997" i="4"/>
  <c r="J996" i="4"/>
  <c r="J995" i="4"/>
  <c r="J994" i="4"/>
  <c r="J993" i="4"/>
  <c r="J992" i="4"/>
  <c r="J991" i="4"/>
  <c r="J990" i="4"/>
  <c r="J989" i="4"/>
  <c r="J988" i="4"/>
  <c r="J987" i="4"/>
  <c r="J986" i="4"/>
  <c r="J985" i="4"/>
  <c r="J984" i="4"/>
  <c r="J983" i="4"/>
  <c r="J982" i="4"/>
  <c r="J981" i="4"/>
  <c r="J980" i="4"/>
  <c r="J979" i="4"/>
  <c r="J978" i="4"/>
  <c r="J977" i="4"/>
  <c r="J976" i="4"/>
  <c r="J975" i="4"/>
  <c r="J974" i="4"/>
  <c r="J973" i="4"/>
  <c r="J972" i="4"/>
  <c r="J971" i="4"/>
  <c r="J970" i="4"/>
  <c r="J969" i="4"/>
  <c r="J968" i="4"/>
  <c r="J967" i="4"/>
  <c r="J966" i="4"/>
  <c r="J965" i="4"/>
  <c r="J964" i="4"/>
  <c r="J963" i="4"/>
  <c r="J962" i="4"/>
  <c r="J961" i="4"/>
  <c r="J960" i="4"/>
  <c r="J959" i="4"/>
  <c r="J958" i="4"/>
  <c r="J957" i="4"/>
  <c r="J956" i="4"/>
  <c r="J955" i="4"/>
  <c r="J954" i="4"/>
  <c r="J953" i="4"/>
  <c r="J952" i="4"/>
  <c r="J951" i="4"/>
  <c r="J950" i="4"/>
  <c r="J949" i="4"/>
  <c r="J948" i="4"/>
  <c r="J947" i="4"/>
  <c r="J946" i="4"/>
  <c r="J945" i="4"/>
  <c r="J944" i="4"/>
  <c r="J943" i="4"/>
  <c r="J942" i="4"/>
  <c r="J941" i="4"/>
  <c r="J940" i="4"/>
  <c r="J939" i="4"/>
  <c r="J938" i="4"/>
  <c r="J937" i="4"/>
  <c r="J936" i="4"/>
  <c r="J935" i="4"/>
  <c r="J934" i="4"/>
  <c r="J933" i="4"/>
  <c r="J932" i="4"/>
  <c r="J931" i="4"/>
  <c r="J930" i="4"/>
  <c r="J929" i="4"/>
  <c r="J928" i="4"/>
  <c r="J927" i="4"/>
  <c r="J926" i="4"/>
  <c r="J925" i="4"/>
  <c r="J924" i="4"/>
  <c r="J923" i="4"/>
  <c r="J922" i="4"/>
  <c r="J921" i="4"/>
  <c r="J920" i="4"/>
  <c r="J919" i="4"/>
  <c r="J918" i="4"/>
  <c r="J917" i="4"/>
  <c r="J916" i="4"/>
  <c r="J915" i="4"/>
  <c r="J914" i="4"/>
  <c r="J913" i="4"/>
  <c r="J912" i="4"/>
  <c r="J911" i="4"/>
  <c r="J910" i="4"/>
  <c r="J909" i="4"/>
  <c r="J908" i="4"/>
  <c r="J907" i="4"/>
  <c r="J906" i="4"/>
  <c r="J905" i="4"/>
  <c r="J904" i="4"/>
  <c r="J903" i="4"/>
  <c r="J902" i="4"/>
  <c r="J901" i="4"/>
  <c r="J900" i="4"/>
  <c r="J899" i="4"/>
  <c r="J898" i="4"/>
  <c r="J897" i="4"/>
  <c r="J896" i="4"/>
  <c r="J895" i="4"/>
  <c r="J894" i="4"/>
  <c r="J893" i="4"/>
  <c r="J892" i="4"/>
  <c r="J891" i="4"/>
  <c r="J890" i="4"/>
  <c r="J889" i="4"/>
  <c r="J888" i="4"/>
  <c r="J887" i="4"/>
  <c r="J886" i="4"/>
  <c r="J885" i="4"/>
  <c r="J884" i="4"/>
  <c r="J883" i="4"/>
  <c r="J882" i="4"/>
  <c r="J881" i="4"/>
  <c r="J880" i="4"/>
  <c r="J879" i="4"/>
  <c r="J878" i="4"/>
  <c r="J877" i="4"/>
  <c r="J876" i="4"/>
  <c r="J875" i="4"/>
  <c r="J874" i="4"/>
  <c r="J873" i="4"/>
  <c r="J872" i="4"/>
  <c r="J871" i="4"/>
  <c r="J870" i="4"/>
  <c r="J869" i="4"/>
  <c r="J868" i="4"/>
  <c r="J867" i="4"/>
  <c r="J866" i="4"/>
  <c r="J865" i="4"/>
  <c r="J864" i="4"/>
  <c r="J863" i="4"/>
  <c r="J862" i="4"/>
  <c r="J861" i="4"/>
  <c r="J860" i="4"/>
  <c r="J859" i="4"/>
  <c r="J858" i="4"/>
  <c r="J857" i="4"/>
  <c r="J856" i="4"/>
  <c r="J855" i="4"/>
  <c r="J854" i="4"/>
  <c r="J853" i="4"/>
  <c r="J852" i="4"/>
  <c r="J851" i="4"/>
  <c r="J850" i="4"/>
  <c r="J849" i="4"/>
  <c r="J848" i="4"/>
  <c r="J847" i="4"/>
  <c r="J846" i="4"/>
  <c r="J845" i="4"/>
  <c r="J844" i="4"/>
  <c r="J843" i="4"/>
  <c r="J842" i="4"/>
  <c r="J841" i="4"/>
  <c r="J840" i="4"/>
  <c r="J839" i="4"/>
  <c r="J838" i="4"/>
  <c r="J837" i="4"/>
  <c r="J836" i="4"/>
  <c r="J835" i="4"/>
  <c r="J834" i="4"/>
  <c r="J833" i="4"/>
  <c r="J832" i="4"/>
  <c r="J831" i="4"/>
  <c r="J830" i="4"/>
  <c r="J829" i="4"/>
  <c r="J828" i="4"/>
  <c r="J827" i="4"/>
  <c r="J826" i="4"/>
  <c r="J825" i="4"/>
  <c r="J824" i="4"/>
  <c r="J823" i="4"/>
  <c r="J822" i="4"/>
  <c r="J821" i="4"/>
  <c r="J820" i="4"/>
  <c r="J819" i="4"/>
  <c r="J818" i="4"/>
  <c r="J817" i="4"/>
  <c r="J816" i="4"/>
  <c r="J815" i="4"/>
  <c r="J814" i="4"/>
  <c r="J813" i="4"/>
  <c r="J812" i="4"/>
  <c r="J811" i="4"/>
  <c r="J810" i="4"/>
  <c r="J809" i="4"/>
  <c r="J808" i="4"/>
  <c r="J807" i="4"/>
  <c r="J806" i="4"/>
  <c r="J805" i="4"/>
  <c r="J804" i="4"/>
  <c r="J803" i="4"/>
  <c r="J802" i="4"/>
  <c r="J801" i="4"/>
  <c r="J800" i="4"/>
  <c r="J799" i="4"/>
  <c r="J798" i="4"/>
  <c r="J797" i="4"/>
  <c r="J796" i="4"/>
  <c r="J795" i="4"/>
  <c r="J794" i="4"/>
  <c r="J793" i="4"/>
  <c r="J792" i="4"/>
  <c r="J791" i="4"/>
  <c r="J790" i="4"/>
  <c r="J789" i="4"/>
  <c r="J788" i="4"/>
  <c r="J787" i="4"/>
  <c r="J786" i="4"/>
  <c r="J785" i="4"/>
  <c r="J784" i="4"/>
  <c r="J783" i="4"/>
  <c r="J782" i="4"/>
  <c r="J781" i="4"/>
  <c r="J780" i="4"/>
  <c r="J779" i="4"/>
  <c r="J778" i="4"/>
  <c r="J777" i="4"/>
  <c r="J776" i="4"/>
  <c r="J775" i="4"/>
  <c r="J774" i="4"/>
  <c r="J773" i="4"/>
  <c r="J772" i="4"/>
  <c r="J771" i="4"/>
  <c r="J770" i="4"/>
  <c r="J769" i="4"/>
  <c r="J768" i="4"/>
  <c r="J767" i="4"/>
  <c r="J766" i="4"/>
  <c r="J765" i="4"/>
  <c r="J764" i="4"/>
  <c r="J763" i="4"/>
  <c r="J762" i="4"/>
  <c r="J761" i="4"/>
  <c r="J760" i="4"/>
  <c r="J759" i="4"/>
  <c r="J758" i="4"/>
  <c r="J757" i="4"/>
  <c r="J756" i="4"/>
  <c r="J755" i="4"/>
  <c r="J754" i="4"/>
  <c r="J753" i="4"/>
  <c r="J752" i="4"/>
  <c r="J751" i="4"/>
  <c r="J750" i="4"/>
  <c r="J749" i="4"/>
  <c r="J748" i="4"/>
  <c r="J747" i="4"/>
  <c r="J746" i="4"/>
  <c r="J745" i="4"/>
  <c r="J744" i="4"/>
  <c r="J743" i="4"/>
  <c r="J742" i="4"/>
  <c r="J741" i="4"/>
  <c r="J740" i="4"/>
  <c r="J739" i="4"/>
  <c r="J738" i="4"/>
  <c r="J737" i="4"/>
  <c r="J736" i="4"/>
  <c r="J735" i="4"/>
  <c r="J734" i="4"/>
  <c r="J733" i="4"/>
  <c r="J732" i="4"/>
  <c r="J731" i="4"/>
  <c r="J730" i="4"/>
  <c r="J729" i="4"/>
  <c r="J728" i="4"/>
  <c r="J727" i="4"/>
  <c r="J726" i="4"/>
  <c r="J725" i="4"/>
  <c r="J724" i="4"/>
  <c r="J723" i="4"/>
  <c r="J722" i="4"/>
  <c r="J721" i="4"/>
  <c r="J720" i="4"/>
  <c r="J719" i="4"/>
  <c r="J718" i="4"/>
  <c r="J717" i="4"/>
  <c r="J716" i="4"/>
  <c r="J715" i="4"/>
  <c r="J714" i="4"/>
  <c r="J713" i="4"/>
  <c r="J712" i="4"/>
  <c r="J711" i="4"/>
  <c r="J710" i="4"/>
  <c r="J709" i="4"/>
  <c r="J708" i="4"/>
  <c r="J707" i="4"/>
  <c r="J706" i="4"/>
  <c r="J705" i="4"/>
  <c r="J704" i="4"/>
  <c r="J703" i="4"/>
  <c r="J702" i="4"/>
  <c r="J701" i="4"/>
  <c r="J700" i="4"/>
  <c r="J699" i="4"/>
  <c r="J698" i="4"/>
  <c r="J697" i="4"/>
  <c r="J696" i="4"/>
  <c r="J695" i="4"/>
  <c r="J694" i="4"/>
  <c r="J693" i="4"/>
  <c r="J692" i="4"/>
  <c r="J691" i="4"/>
  <c r="J690" i="4"/>
  <c r="J689" i="4"/>
  <c r="J688" i="4"/>
  <c r="J687" i="4"/>
  <c r="J686" i="4"/>
  <c r="J685" i="4"/>
  <c r="J684" i="4"/>
  <c r="J683" i="4"/>
  <c r="J682" i="4"/>
  <c r="J681" i="4"/>
  <c r="J680" i="4"/>
  <c r="J679" i="4"/>
  <c r="J678" i="4"/>
  <c r="J677" i="4"/>
  <c r="J676" i="4"/>
  <c r="J675" i="4"/>
  <c r="J674" i="4"/>
  <c r="J673" i="4"/>
  <c r="J672" i="4"/>
  <c r="J671" i="4"/>
  <c r="J670" i="4"/>
  <c r="J669" i="4"/>
  <c r="J668" i="4"/>
  <c r="J667" i="4"/>
  <c r="J666" i="4"/>
  <c r="J665" i="4"/>
  <c r="J664" i="4"/>
  <c r="J663" i="4"/>
  <c r="J662" i="4"/>
  <c r="J661" i="4"/>
  <c r="J660" i="4"/>
  <c r="J659" i="4"/>
  <c r="J658" i="4"/>
  <c r="J657" i="4"/>
  <c r="J656" i="4"/>
  <c r="J655" i="4"/>
  <c r="J654" i="4"/>
  <c r="J653" i="4"/>
  <c r="J652" i="4"/>
  <c r="J651" i="4"/>
  <c r="J650" i="4"/>
  <c r="J649" i="4"/>
  <c r="J648" i="4"/>
  <c r="J647" i="4"/>
  <c r="J646" i="4"/>
  <c r="J645" i="4"/>
  <c r="J644" i="4"/>
  <c r="J643" i="4"/>
  <c r="J642" i="4"/>
  <c r="J641" i="4"/>
  <c r="J640" i="4"/>
  <c r="J639" i="4"/>
  <c r="J638" i="4"/>
  <c r="J637" i="4"/>
  <c r="J636" i="4"/>
  <c r="J635" i="4"/>
  <c r="J634" i="4"/>
  <c r="J633" i="4"/>
  <c r="J632" i="4"/>
  <c r="J631" i="4"/>
  <c r="J630" i="4"/>
  <c r="J629" i="4"/>
  <c r="J628" i="4"/>
  <c r="J627" i="4"/>
  <c r="J626" i="4"/>
  <c r="J625" i="4"/>
  <c r="J624" i="4"/>
  <c r="J623" i="4"/>
  <c r="J622" i="4"/>
  <c r="J621" i="4"/>
  <c r="J620" i="4"/>
  <c r="J619" i="4"/>
  <c r="J618" i="4"/>
  <c r="J617" i="4"/>
  <c r="J616" i="4"/>
  <c r="J615" i="4"/>
  <c r="J614" i="4"/>
  <c r="J613" i="4"/>
  <c r="J612" i="4"/>
  <c r="J611" i="4"/>
  <c r="J610" i="4"/>
  <c r="J609" i="4"/>
  <c r="J608" i="4"/>
  <c r="J607" i="4"/>
  <c r="J606" i="4"/>
  <c r="J605" i="4"/>
  <c r="J604" i="4"/>
  <c r="J603" i="4"/>
  <c r="J602" i="4"/>
  <c r="J601" i="4"/>
  <c r="J600" i="4"/>
  <c r="J599" i="4"/>
  <c r="J598" i="4"/>
  <c r="J597" i="4"/>
  <c r="J596" i="4"/>
  <c r="J595" i="4"/>
  <c r="J594" i="4"/>
  <c r="J593" i="4"/>
  <c r="J592" i="4"/>
  <c r="J591" i="4"/>
  <c r="J590" i="4"/>
  <c r="J589" i="4"/>
  <c r="J588" i="4"/>
  <c r="J587" i="4"/>
  <c r="J586" i="4"/>
  <c r="J585" i="4"/>
  <c r="J584" i="4"/>
  <c r="J583" i="4"/>
  <c r="J582" i="4"/>
  <c r="J581" i="4"/>
  <c r="J580" i="4"/>
  <c r="J579" i="4"/>
  <c r="J578" i="4"/>
  <c r="J577" i="4"/>
  <c r="J576" i="4"/>
  <c r="J575" i="4"/>
  <c r="J574" i="4"/>
  <c r="J573" i="4"/>
  <c r="J572" i="4"/>
  <c r="J571" i="4"/>
  <c r="J570" i="4"/>
  <c r="J569" i="4"/>
  <c r="J568" i="4"/>
  <c r="J567" i="4"/>
  <c r="J566" i="4"/>
  <c r="J565" i="4"/>
  <c r="J564" i="4"/>
  <c r="J563" i="4"/>
  <c r="J562" i="4"/>
  <c r="J561" i="4"/>
  <c r="J560" i="4"/>
  <c r="J559" i="4"/>
  <c r="J558" i="4"/>
  <c r="J557" i="4"/>
  <c r="J556" i="4"/>
  <c r="J555" i="4"/>
  <c r="J554" i="4"/>
  <c r="J553" i="4"/>
  <c r="J552" i="4"/>
  <c r="J551" i="4"/>
  <c r="J550" i="4"/>
  <c r="J549" i="4"/>
  <c r="J548" i="4"/>
  <c r="J547" i="4"/>
  <c r="J546" i="4"/>
  <c r="J545" i="4"/>
  <c r="J544" i="4"/>
  <c r="J543" i="4"/>
  <c r="J542" i="4"/>
  <c r="J541" i="4"/>
  <c r="J540" i="4"/>
  <c r="J539" i="4"/>
  <c r="J538" i="4"/>
  <c r="J537" i="4"/>
  <c r="J536" i="4"/>
  <c r="J535" i="4"/>
  <c r="J534" i="4"/>
  <c r="J533" i="4"/>
  <c r="J532" i="4"/>
  <c r="J531" i="4"/>
  <c r="J530" i="4"/>
  <c r="J529" i="4"/>
  <c r="J528" i="4"/>
  <c r="J527" i="4"/>
  <c r="J526" i="4"/>
  <c r="J525" i="4"/>
  <c r="J524" i="4"/>
  <c r="J523" i="4"/>
  <c r="J522" i="4"/>
  <c r="J521" i="4"/>
  <c r="J520" i="4"/>
  <c r="J519" i="4"/>
  <c r="J518" i="4"/>
  <c r="J517" i="4"/>
  <c r="J516" i="4"/>
  <c r="J515" i="4"/>
  <c r="J514" i="4"/>
  <c r="J513" i="4"/>
  <c r="J512" i="4"/>
  <c r="J511" i="4"/>
  <c r="J510" i="4"/>
  <c r="J509" i="4"/>
  <c r="J508" i="4"/>
  <c r="J507" i="4"/>
  <c r="J506" i="4"/>
  <c r="J505" i="4"/>
  <c r="J504" i="4"/>
  <c r="J503" i="4"/>
  <c r="J502" i="4"/>
  <c r="J501" i="4"/>
  <c r="J500" i="4"/>
  <c r="J499" i="4"/>
  <c r="J498" i="4"/>
  <c r="J497" i="4"/>
  <c r="J496" i="4"/>
  <c r="J495" i="4"/>
  <c r="J494" i="4"/>
  <c r="J493" i="4"/>
  <c r="J492" i="4"/>
  <c r="J491" i="4"/>
  <c r="J490" i="4"/>
  <c r="J489" i="4"/>
  <c r="J488" i="4"/>
  <c r="J487" i="4"/>
  <c r="J486" i="4"/>
  <c r="J485" i="4"/>
  <c r="J484" i="4"/>
  <c r="J483" i="4"/>
  <c r="J482" i="4"/>
  <c r="J481" i="4"/>
  <c r="J480" i="4"/>
  <c r="J479" i="4"/>
  <c r="J478" i="4"/>
  <c r="J477" i="4"/>
  <c r="J476" i="4"/>
  <c r="J475" i="4"/>
  <c r="J474" i="4"/>
  <c r="J473" i="4"/>
  <c r="J472" i="4"/>
  <c r="J471" i="4"/>
  <c r="J470" i="4"/>
  <c r="J469" i="4"/>
  <c r="J468" i="4"/>
  <c r="J467" i="4"/>
  <c r="J466" i="4"/>
  <c r="J465" i="4"/>
  <c r="J464" i="4"/>
  <c r="J463" i="4"/>
  <c r="J462" i="4"/>
  <c r="J461" i="4"/>
  <c r="J460" i="4"/>
  <c r="J459" i="4"/>
  <c r="J458" i="4"/>
  <c r="J457" i="4"/>
  <c r="J456" i="4"/>
  <c r="J455" i="4"/>
  <c r="J454" i="4"/>
  <c r="J453" i="4"/>
  <c r="J452" i="4"/>
  <c r="J451" i="4"/>
  <c r="J450" i="4"/>
  <c r="J449" i="4"/>
  <c r="J448" i="4"/>
  <c r="J447" i="4"/>
  <c r="J446" i="4"/>
  <c r="J445" i="4"/>
  <c r="J444" i="4"/>
  <c r="J443" i="4"/>
  <c r="J442" i="4"/>
  <c r="J441" i="4"/>
  <c r="J440" i="4"/>
  <c r="J439" i="4"/>
  <c r="J438" i="4"/>
  <c r="J437" i="4"/>
  <c r="J436" i="4"/>
  <c r="J435" i="4"/>
  <c r="J434" i="4"/>
  <c r="J433" i="4"/>
  <c r="J432" i="4"/>
  <c r="J431" i="4"/>
  <c r="J430" i="4"/>
  <c r="J429" i="4"/>
  <c r="J428" i="4"/>
  <c r="J427" i="4"/>
  <c r="J426" i="4"/>
  <c r="J425" i="4"/>
  <c r="J424" i="4"/>
  <c r="J423" i="4"/>
  <c r="J422" i="4"/>
  <c r="J421" i="4"/>
  <c r="J420" i="4"/>
  <c r="J419" i="4"/>
  <c r="J418" i="4"/>
  <c r="J417" i="4"/>
  <c r="J416" i="4"/>
  <c r="J415" i="4"/>
  <c r="J414" i="4"/>
  <c r="J413" i="4"/>
  <c r="J412" i="4"/>
  <c r="J411" i="4"/>
  <c r="J410" i="4"/>
  <c r="J409" i="4"/>
  <c r="J408" i="4"/>
  <c r="J407" i="4"/>
  <c r="J406" i="4"/>
  <c r="J405" i="4"/>
  <c r="J404" i="4"/>
  <c r="J403" i="4"/>
  <c r="J402" i="4"/>
  <c r="J401" i="4"/>
  <c r="J400" i="4"/>
  <c r="J399" i="4"/>
  <c r="J398" i="4"/>
  <c r="J397" i="4"/>
  <c r="J396" i="4"/>
  <c r="J395" i="4"/>
  <c r="J394" i="4"/>
  <c r="J393" i="4"/>
  <c r="J392" i="4"/>
  <c r="J391" i="4"/>
  <c r="J390" i="4"/>
  <c r="J389" i="4"/>
  <c r="J388" i="4"/>
  <c r="J387" i="4"/>
  <c r="J386" i="4"/>
  <c r="J385" i="4"/>
  <c r="J384" i="4"/>
  <c r="J383" i="4"/>
  <c r="J382" i="4"/>
  <c r="J381" i="4"/>
  <c r="J380" i="4"/>
  <c r="J379" i="4"/>
  <c r="J378" i="4"/>
  <c r="J377" i="4"/>
  <c r="J376" i="4"/>
  <c r="J375" i="4"/>
  <c r="J374" i="4"/>
  <c r="J373" i="4"/>
  <c r="J372" i="4"/>
  <c r="J371" i="4"/>
  <c r="J370" i="4"/>
  <c r="J369" i="4"/>
  <c r="J368" i="4"/>
  <c r="J367" i="4"/>
  <c r="J366" i="4"/>
  <c r="J365" i="4"/>
  <c r="J364" i="4"/>
  <c r="J363" i="4"/>
  <c r="J362" i="4"/>
  <c r="J361" i="4"/>
  <c r="J360" i="4"/>
  <c r="J359" i="4"/>
  <c r="J358" i="4"/>
  <c r="J357" i="4"/>
  <c r="J356" i="4"/>
  <c r="J355" i="4"/>
  <c r="J354" i="4"/>
  <c r="J353" i="4"/>
  <c r="J352" i="4"/>
  <c r="J351" i="4"/>
  <c r="J350" i="4"/>
  <c r="J349" i="4"/>
  <c r="J348" i="4"/>
  <c r="J347" i="4"/>
  <c r="J346" i="4"/>
  <c r="J345" i="4"/>
  <c r="J344" i="4"/>
  <c r="J343" i="4"/>
  <c r="J342" i="4"/>
  <c r="J341" i="4"/>
  <c r="J340" i="4"/>
  <c r="J339" i="4"/>
  <c r="J338" i="4"/>
  <c r="J337" i="4"/>
  <c r="J336" i="4"/>
  <c r="J335" i="4"/>
  <c r="J334" i="4"/>
  <c r="J333" i="4"/>
  <c r="J332" i="4"/>
  <c r="J331" i="4"/>
  <c r="J330" i="4"/>
  <c r="J329" i="4"/>
  <c r="J328" i="4"/>
  <c r="J327" i="4"/>
  <c r="J326" i="4"/>
  <c r="J325" i="4"/>
  <c r="J324" i="4"/>
  <c r="J323" i="4"/>
  <c r="J322" i="4"/>
  <c r="J321" i="4"/>
  <c r="J320" i="4"/>
  <c r="J319" i="4"/>
  <c r="J318" i="4"/>
  <c r="J317" i="4"/>
  <c r="J316" i="4"/>
  <c r="J315" i="4"/>
  <c r="J314" i="4"/>
  <c r="J313" i="4"/>
  <c r="J312" i="4"/>
  <c r="J311" i="4"/>
  <c r="J310" i="4"/>
  <c r="J309" i="4"/>
  <c r="J308" i="4"/>
  <c r="J307" i="4"/>
  <c r="J306" i="4"/>
  <c r="J305" i="4"/>
  <c r="J304" i="4"/>
  <c r="J303" i="4"/>
  <c r="J302" i="4"/>
  <c r="J301" i="4"/>
  <c r="J300" i="4"/>
  <c r="J299" i="4"/>
  <c r="J298" i="4"/>
  <c r="J297" i="4"/>
  <c r="J296" i="4"/>
  <c r="J295" i="4"/>
  <c r="J294" i="4"/>
  <c r="J293" i="4"/>
  <c r="J292" i="4"/>
  <c r="J291" i="4"/>
  <c r="J290" i="4"/>
  <c r="J289" i="4"/>
  <c r="J288" i="4"/>
  <c r="J287" i="4"/>
  <c r="J286" i="4"/>
  <c r="J285" i="4"/>
  <c r="J284" i="4"/>
  <c r="J283" i="4"/>
  <c r="J282" i="4"/>
  <c r="J281" i="4"/>
  <c r="J280" i="4"/>
  <c r="J279" i="4"/>
  <c r="J278" i="4"/>
  <c r="J277" i="4"/>
  <c r="J276" i="4"/>
  <c r="J275" i="4"/>
  <c r="J274" i="4"/>
  <c r="J273" i="4"/>
  <c r="J272" i="4"/>
  <c r="J271" i="4"/>
  <c r="J270" i="4"/>
  <c r="J269" i="4"/>
  <c r="J268" i="4"/>
  <c r="J267" i="4"/>
  <c r="J266" i="4"/>
  <c r="J265" i="4"/>
  <c r="J264" i="4"/>
  <c r="J263" i="4"/>
  <c r="J262" i="4"/>
  <c r="J261" i="4"/>
  <c r="J260" i="4"/>
  <c r="J259" i="4"/>
  <c r="J258" i="4"/>
  <c r="J257" i="4"/>
  <c r="J256" i="4"/>
  <c r="J255" i="4"/>
  <c r="J254" i="4"/>
  <c r="J253" i="4"/>
  <c r="J252" i="4"/>
  <c r="J251" i="4"/>
  <c r="J250" i="4"/>
  <c r="J249" i="4"/>
  <c r="J248" i="4"/>
  <c r="J247" i="4"/>
  <c r="J246" i="4"/>
  <c r="J245" i="4"/>
  <c r="J244" i="4"/>
  <c r="J243" i="4"/>
  <c r="J242" i="4"/>
  <c r="J241" i="4"/>
  <c r="J240" i="4"/>
  <c r="J239" i="4"/>
  <c r="J238" i="4"/>
  <c r="J237" i="4"/>
  <c r="J236" i="4"/>
  <c r="J235" i="4"/>
  <c r="J234" i="4"/>
  <c r="J233" i="4"/>
  <c r="J232" i="4"/>
  <c r="J231" i="4"/>
  <c r="J230" i="4"/>
  <c r="J229" i="4"/>
  <c r="J228" i="4"/>
  <c r="J227" i="4"/>
  <c r="J226" i="4"/>
  <c r="J225" i="4"/>
  <c r="J224" i="4"/>
  <c r="J223" i="4"/>
  <c r="J222" i="4"/>
  <c r="J221" i="4"/>
  <c r="J220" i="4"/>
  <c r="J219" i="4"/>
  <c r="J218" i="4"/>
  <c r="J217" i="4"/>
  <c r="J216" i="4"/>
  <c r="J215" i="4"/>
  <c r="J214" i="4"/>
  <c r="J213" i="4"/>
  <c r="J212" i="4"/>
  <c r="J211" i="4"/>
  <c r="J210" i="4"/>
  <c r="J209" i="4"/>
  <c r="J208" i="4"/>
  <c r="J207" i="4"/>
  <c r="J206" i="4"/>
  <c r="J205" i="4"/>
  <c r="J204" i="4"/>
  <c r="J203" i="4"/>
  <c r="J202" i="4"/>
  <c r="J201" i="4"/>
  <c r="J200" i="4"/>
  <c r="J199" i="4"/>
  <c r="J198" i="4"/>
  <c r="J197" i="4"/>
  <c r="J196" i="4"/>
  <c r="J195" i="4"/>
  <c r="J194" i="4"/>
  <c r="J193" i="4"/>
  <c r="J192" i="4"/>
  <c r="J191" i="4"/>
  <c r="J190" i="4"/>
  <c r="J189" i="4"/>
  <c r="J188" i="4"/>
  <c r="J187" i="4"/>
  <c r="J186" i="4"/>
  <c r="J185" i="4"/>
  <c r="J184" i="4"/>
  <c r="J183" i="4"/>
  <c r="J182" i="4"/>
  <c r="J181" i="4"/>
  <c r="J180" i="4"/>
  <c r="J179" i="4"/>
  <c r="J178" i="4"/>
  <c r="J177" i="4"/>
  <c r="J176" i="4"/>
  <c r="J175" i="4"/>
  <c r="J174" i="4"/>
  <c r="J173" i="4"/>
  <c r="J172" i="4"/>
  <c r="J171" i="4"/>
  <c r="J170" i="4"/>
  <c r="J169" i="4"/>
  <c r="J168" i="4"/>
  <c r="J167" i="4"/>
  <c r="J166" i="4"/>
  <c r="J165" i="4"/>
  <c r="J164" i="4"/>
  <c r="J163" i="4"/>
  <c r="J162" i="4"/>
  <c r="J161" i="4"/>
  <c r="J160" i="4"/>
  <c r="J159" i="4"/>
  <c r="J158" i="4"/>
  <c r="J157" i="4"/>
  <c r="J156" i="4"/>
  <c r="J155" i="4"/>
  <c r="J154" i="4"/>
  <c r="J153" i="4"/>
  <c r="J152" i="4"/>
  <c r="J151" i="4"/>
  <c r="J150" i="4"/>
  <c r="J149" i="4"/>
  <c r="J148" i="4"/>
  <c r="J147" i="4"/>
  <c r="J146" i="4"/>
  <c r="J145" i="4"/>
  <c r="J144" i="4"/>
  <c r="J143" i="4"/>
  <c r="J142" i="4"/>
  <c r="J141" i="4"/>
  <c r="J140" i="4"/>
  <c r="J139" i="4"/>
  <c r="J138" i="4"/>
  <c r="J137" i="4"/>
  <c r="J136" i="4"/>
  <c r="J135" i="4"/>
  <c r="J134" i="4"/>
  <c r="J133" i="4"/>
  <c r="J132" i="4"/>
  <c r="J131" i="4"/>
  <c r="J130" i="4"/>
  <c r="J129" i="4"/>
  <c r="J128" i="4"/>
  <c r="J127" i="4"/>
  <c r="J126" i="4"/>
  <c r="J125" i="4"/>
  <c r="J124" i="4"/>
  <c r="J123" i="4"/>
  <c r="J122" i="4"/>
  <c r="J121" i="4"/>
  <c r="J120" i="4"/>
  <c r="J119" i="4"/>
  <c r="J118" i="4"/>
  <c r="J117" i="4"/>
  <c r="J116" i="4"/>
  <c r="J115" i="4"/>
  <c r="J114" i="4"/>
  <c r="J113" i="4"/>
  <c r="J112" i="4"/>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3" i="4"/>
  <c r="J72" i="4"/>
  <c r="J71" i="4"/>
  <c r="J70" i="4"/>
  <c r="J69" i="4"/>
  <c r="J68" i="4"/>
  <c r="J67" i="4"/>
  <c r="J66" i="4"/>
  <c r="J65" i="4"/>
  <c r="J64" i="4"/>
  <c r="J63" i="4"/>
  <c r="J62" i="4"/>
  <c r="J61" i="4"/>
  <c r="J60" i="4"/>
  <c r="J59" i="4"/>
  <c r="J58" i="4"/>
  <c r="J57" i="4"/>
  <c r="J56" i="4"/>
  <c r="J55" i="4"/>
  <c r="J54" i="4"/>
  <c r="J53" i="4"/>
  <c r="J52" i="4"/>
  <c r="J51" i="4"/>
  <c r="J50" i="4"/>
  <c r="J49" i="4"/>
  <c r="J48" i="4"/>
  <c r="J47" i="4"/>
  <c r="J46" i="4"/>
  <c r="J45" i="4"/>
  <c r="J44" i="4"/>
  <c r="J43" i="4"/>
  <c r="J42" i="4"/>
  <c r="J41" i="4"/>
  <c r="J40" i="4"/>
  <c r="J39" i="4"/>
  <c r="J38" i="4"/>
  <c r="J37" i="4"/>
  <c r="J36" i="4"/>
  <c r="J35" i="4"/>
  <c r="J34" i="4"/>
  <c r="J33" i="4"/>
  <c r="J32" i="4"/>
  <c r="J31" i="4"/>
  <c r="J30" i="4"/>
  <c r="J29" i="4"/>
  <c r="J28" i="4"/>
  <c r="J27" i="4"/>
  <c r="J26" i="4"/>
  <c r="J25" i="4"/>
  <c r="J24" i="4"/>
  <c r="J23" i="4"/>
  <c r="J22" i="4"/>
  <c r="J21" i="4"/>
  <c r="J20" i="4"/>
  <c r="J19" i="4"/>
  <c r="J18" i="4"/>
  <c r="J17" i="4"/>
  <c r="J16" i="4"/>
  <c r="J15" i="4"/>
  <c r="J14" i="4"/>
  <c r="J13" i="4"/>
  <c r="J12" i="4"/>
  <c r="J11" i="4"/>
  <c r="J10" i="4"/>
  <c r="J9" i="4"/>
  <c r="J8" i="4"/>
  <c r="J7" i="4"/>
  <c r="J6" i="4"/>
  <c r="J5" i="4"/>
  <c r="J4" i="4"/>
  <c r="J3" i="4"/>
  <c r="J2" i="4"/>
  <c r="H1001" i="4"/>
  <c r="H1000" i="4"/>
  <c r="H999" i="4"/>
  <c r="H998" i="4"/>
  <c r="H997" i="4"/>
  <c r="H996" i="4"/>
  <c r="H995" i="4"/>
  <c r="H994" i="4"/>
  <c r="H993" i="4"/>
  <c r="H992" i="4"/>
  <c r="H991" i="4"/>
  <c r="H990" i="4"/>
  <c r="H989" i="4"/>
  <c r="H988" i="4"/>
  <c r="H987" i="4"/>
  <c r="H986" i="4"/>
  <c r="H985" i="4"/>
  <c r="H984" i="4"/>
  <c r="H983" i="4"/>
  <c r="H982" i="4"/>
  <c r="H981" i="4"/>
  <c r="H980" i="4"/>
  <c r="H979" i="4"/>
  <c r="H978" i="4"/>
  <c r="H977" i="4"/>
  <c r="H976" i="4"/>
  <c r="H975" i="4"/>
  <c r="H974" i="4"/>
  <c r="H973" i="4"/>
  <c r="H972" i="4"/>
  <c r="H971" i="4"/>
  <c r="H970" i="4"/>
  <c r="H969" i="4"/>
  <c r="H968" i="4"/>
  <c r="H967" i="4"/>
  <c r="H966" i="4"/>
  <c r="H965" i="4"/>
  <c r="H964" i="4"/>
  <c r="H963" i="4"/>
  <c r="H962" i="4"/>
  <c r="H961" i="4"/>
  <c r="H960" i="4"/>
  <c r="H959" i="4"/>
  <c r="H958" i="4"/>
  <c r="H957" i="4"/>
  <c r="H956" i="4"/>
  <c r="H955" i="4"/>
  <c r="H954" i="4"/>
  <c r="H953" i="4"/>
  <c r="H952" i="4"/>
  <c r="H951" i="4"/>
  <c r="H950" i="4"/>
  <c r="H949" i="4"/>
  <c r="H948" i="4"/>
  <c r="H947" i="4"/>
  <c r="H946" i="4"/>
  <c r="H945" i="4"/>
  <c r="H944" i="4"/>
  <c r="H943" i="4"/>
  <c r="H942" i="4"/>
  <c r="H941" i="4"/>
  <c r="H940" i="4"/>
  <c r="H939" i="4"/>
  <c r="H938" i="4"/>
  <c r="H937" i="4"/>
  <c r="H936" i="4"/>
  <c r="H935" i="4"/>
  <c r="H934" i="4"/>
  <c r="H933" i="4"/>
  <c r="H932" i="4"/>
  <c r="H931" i="4"/>
  <c r="H930" i="4"/>
  <c r="H929" i="4"/>
  <c r="H928" i="4"/>
  <c r="H927" i="4"/>
  <c r="H926" i="4"/>
  <c r="H925" i="4"/>
  <c r="H924" i="4"/>
  <c r="H923" i="4"/>
  <c r="H922" i="4"/>
  <c r="H921" i="4"/>
  <c r="H920" i="4"/>
  <c r="H919" i="4"/>
  <c r="H918" i="4"/>
  <c r="H917" i="4"/>
  <c r="H916" i="4"/>
  <c r="H915" i="4"/>
  <c r="H914" i="4"/>
  <c r="H913" i="4"/>
  <c r="H912" i="4"/>
  <c r="H911" i="4"/>
  <c r="H910" i="4"/>
  <c r="H909" i="4"/>
  <c r="H908" i="4"/>
  <c r="H907" i="4"/>
  <c r="H906" i="4"/>
  <c r="H905" i="4"/>
  <c r="H904" i="4"/>
  <c r="H903" i="4"/>
  <c r="H902" i="4"/>
  <c r="H901" i="4"/>
  <c r="H900" i="4"/>
  <c r="H899" i="4"/>
  <c r="H898" i="4"/>
  <c r="H897" i="4"/>
  <c r="H896" i="4"/>
  <c r="H895" i="4"/>
  <c r="H894" i="4"/>
  <c r="H893" i="4"/>
  <c r="H892" i="4"/>
  <c r="H891" i="4"/>
  <c r="H890" i="4"/>
  <c r="H889" i="4"/>
  <c r="H888" i="4"/>
  <c r="H887" i="4"/>
  <c r="H886" i="4"/>
  <c r="H885" i="4"/>
  <c r="H884" i="4"/>
  <c r="H883" i="4"/>
  <c r="H882" i="4"/>
  <c r="H881" i="4"/>
  <c r="H880" i="4"/>
  <c r="H879" i="4"/>
  <c r="H878" i="4"/>
  <c r="H877" i="4"/>
  <c r="H876" i="4"/>
  <c r="H875" i="4"/>
  <c r="H874" i="4"/>
  <c r="H873" i="4"/>
  <c r="H872" i="4"/>
  <c r="H871" i="4"/>
  <c r="H870" i="4"/>
  <c r="H869" i="4"/>
  <c r="H868" i="4"/>
  <c r="H867" i="4"/>
  <c r="H866" i="4"/>
  <c r="H865" i="4"/>
  <c r="H864" i="4"/>
  <c r="H863" i="4"/>
  <c r="H862" i="4"/>
  <c r="H861" i="4"/>
  <c r="H860" i="4"/>
  <c r="H859" i="4"/>
  <c r="H858" i="4"/>
  <c r="H857" i="4"/>
  <c r="H856" i="4"/>
  <c r="H855" i="4"/>
  <c r="H854" i="4"/>
  <c r="H853" i="4"/>
  <c r="H852" i="4"/>
  <c r="H851" i="4"/>
  <c r="H850" i="4"/>
  <c r="H849" i="4"/>
  <c r="H848" i="4"/>
  <c r="H847" i="4"/>
  <c r="H846" i="4"/>
  <c r="H845" i="4"/>
  <c r="H844" i="4"/>
  <c r="H843" i="4"/>
  <c r="H842" i="4"/>
  <c r="H841" i="4"/>
  <c r="H840" i="4"/>
  <c r="H839" i="4"/>
  <c r="H838" i="4"/>
  <c r="H837" i="4"/>
  <c r="H836" i="4"/>
  <c r="H835" i="4"/>
  <c r="H834" i="4"/>
  <c r="H833" i="4"/>
  <c r="H832" i="4"/>
  <c r="H831" i="4"/>
  <c r="H830" i="4"/>
  <c r="H829" i="4"/>
  <c r="H828" i="4"/>
  <c r="H827" i="4"/>
  <c r="H826" i="4"/>
  <c r="H825" i="4"/>
  <c r="H824" i="4"/>
  <c r="H823" i="4"/>
  <c r="H822" i="4"/>
  <c r="H821" i="4"/>
  <c r="H820" i="4"/>
  <c r="H819" i="4"/>
  <c r="H818" i="4"/>
  <c r="H817" i="4"/>
  <c r="H816" i="4"/>
  <c r="H815" i="4"/>
  <c r="H814" i="4"/>
  <c r="H813" i="4"/>
  <c r="H812" i="4"/>
  <c r="H811" i="4"/>
  <c r="H810" i="4"/>
  <c r="H809" i="4"/>
  <c r="H808" i="4"/>
  <c r="H807" i="4"/>
  <c r="H806" i="4"/>
  <c r="H805" i="4"/>
  <c r="H804" i="4"/>
  <c r="H803" i="4"/>
  <c r="H802" i="4"/>
  <c r="H801" i="4"/>
  <c r="H800" i="4"/>
  <c r="H799" i="4"/>
  <c r="H798" i="4"/>
  <c r="H797" i="4"/>
  <c r="H796" i="4"/>
  <c r="H795" i="4"/>
  <c r="H794" i="4"/>
  <c r="H793" i="4"/>
  <c r="H792" i="4"/>
  <c r="H791" i="4"/>
  <c r="H790" i="4"/>
  <c r="H789" i="4"/>
  <c r="H788" i="4"/>
  <c r="H787" i="4"/>
  <c r="H786" i="4"/>
  <c r="H785" i="4"/>
  <c r="H784" i="4"/>
  <c r="H783" i="4"/>
  <c r="H782" i="4"/>
  <c r="H781" i="4"/>
  <c r="H780" i="4"/>
  <c r="H779" i="4"/>
  <c r="H778" i="4"/>
  <c r="H777" i="4"/>
  <c r="H776" i="4"/>
  <c r="H775" i="4"/>
  <c r="H774" i="4"/>
  <c r="H773" i="4"/>
  <c r="H772" i="4"/>
  <c r="H771" i="4"/>
  <c r="H770" i="4"/>
  <c r="H769" i="4"/>
  <c r="H768" i="4"/>
  <c r="H767" i="4"/>
  <c r="H766" i="4"/>
  <c r="H765" i="4"/>
  <c r="H764" i="4"/>
  <c r="H763" i="4"/>
  <c r="H762" i="4"/>
  <c r="H761" i="4"/>
  <c r="H760" i="4"/>
  <c r="H759" i="4"/>
  <c r="H758" i="4"/>
  <c r="H757" i="4"/>
  <c r="H756" i="4"/>
  <c r="H755" i="4"/>
  <c r="H754" i="4"/>
  <c r="H753" i="4"/>
  <c r="H752" i="4"/>
  <c r="H751" i="4"/>
  <c r="H750" i="4"/>
  <c r="H749" i="4"/>
  <c r="H748" i="4"/>
  <c r="H747" i="4"/>
  <c r="H746" i="4"/>
  <c r="H745" i="4"/>
  <c r="H744" i="4"/>
  <c r="H743" i="4"/>
  <c r="H742" i="4"/>
  <c r="H741" i="4"/>
  <c r="H740" i="4"/>
  <c r="H739" i="4"/>
  <c r="H738" i="4"/>
  <c r="H737" i="4"/>
  <c r="H736" i="4"/>
  <c r="H735" i="4"/>
  <c r="H734" i="4"/>
  <c r="H733" i="4"/>
  <c r="H732" i="4"/>
  <c r="H731" i="4"/>
  <c r="H730" i="4"/>
  <c r="H729" i="4"/>
  <c r="H728" i="4"/>
  <c r="H727" i="4"/>
  <c r="H726" i="4"/>
  <c r="H725" i="4"/>
  <c r="H724" i="4"/>
  <c r="H723" i="4"/>
  <c r="H722" i="4"/>
  <c r="H721" i="4"/>
  <c r="H720" i="4"/>
  <c r="H719" i="4"/>
  <c r="H718" i="4"/>
  <c r="H717" i="4"/>
  <c r="H716" i="4"/>
  <c r="H715" i="4"/>
  <c r="H714" i="4"/>
  <c r="H713" i="4"/>
  <c r="H712" i="4"/>
  <c r="H711" i="4"/>
  <c r="H710" i="4"/>
  <c r="H709" i="4"/>
  <c r="H708" i="4"/>
  <c r="H707" i="4"/>
  <c r="H706" i="4"/>
  <c r="H705" i="4"/>
  <c r="H704" i="4"/>
  <c r="H703" i="4"/>
  <c r="H702" i="4"/>
  <c r="H701" i="4"/>
  <c r="H700" i="4"/>
  <c r="H699" i="4"/>
  <c r="H698" i="4"/>
  <c r="H697" i="4"/>
  <c r="H696" i="4"/>
  <c r="H695" i="4"/>
  <c r="H694" i="4"/>
  <c r="H693" i="4"/>
  <c r="H692" i="4"/>
  <c r="H691" i="4"/>
  <c r="H690" i="4"/>
  <c r="H689" i="4"/>
  <c r="H688" i="4"/>
  <c r="H687" i="4"/>
  <c r="H686" i="4"/>
  <c r="H685" i="4"/>
  <c r="H684" i="4"/>
  <c r="H683" i="4"/>
  <c r="H682" i="4"/>
  <c r="H681" i="4"/>
  <c r="H680" i="4"/>
  <c r="H679" i="4"/>
  <c r="H678" i="4"/>
  <c r="H677" i="4"/>
  <c r="H676" i="4"/>
  <c r="H675" i="4"/>
  <c r="H674" i="4"/>
  <c r="H673" i="4"/>
  <c r="H672" i="4"/>
  <c r="H671" i="4"/>
  <c r="H670" i="4"/>
  <c r="H669" i="4"/>
  <c r="H668" i="4"/>
  <c r="H667" i="4"/>
  <c r="H666" i="4"/>
  <c r="H665" i="4"/>
  <c r="H664" i="4"/>
  <c r="H663" i="4"/>
  <c r="H662" i="4"/>
  <c r="H661" i="4"/>
  <c r="H660" i="4"/>
  <c r="H659" i="4"/>
  <c r="H658" i="4"/>
  <c r="H657" i="4"/>
  <c r="H656" i="4"/>
  <c r="H655" i="4"/>
  <c r="H654" i="4"/>
  <c r="H653" i="4"/>
  <c r="H652" i="4"/>
  <c r="H651" i="4"/>
  <c r="H650" i="4"/>
  <c r="H649" i="4"/>
  <c r="H648" i="4"/>
  <c r="H647" i="4"/>
  <c r="H646" i="4"/>
  <c r="H645" i="4"/>
  <c r="H644" i="4"/>
  <c r="H643" i="4"/>
  <c r="H642" i="4"/>
  <c r="H641" i="4"/>
  <c r="H640" i="4"/>
  <c r="H639" i="4"/>
  <c r="H638" i="4"/>
  <c r="H637" i="4"/>
  <c r="H636" i="4"/>
  <c r="H635" i="4"/>
  <c r="H634" i="4"/>
  <c r="H633" i="4"/>
  <c r="H632" i="4"/>
  <c r="H631" i="4"/>
  <c r="H630" i="4"/>
  <c r="H629" i="4"/>
  <c r="H628" i="4"/>
  <c r="H627" i="4"/>
  <c r="H626" i="4"/>
  <c r="H625" i="4"/>
  <c r="H624" i="4"/>
  <c r="H623" i="4"/>
  <c r="H622" i="4"/>
  <c r="H621" i="4"/>
  <c r="H620" i="4"/>
  <c r="H619" i="4"/>
  <c r="H618" i="4"/>
  <c r="H617" i="4"/>
  <c r="H616" i="4"/>
  <c r="H615" i="4"/>
  <c r="H614" i="4"/>
  <c r="H613" i="4"/>
  <c r="H612" i="4"/>
  <c r="H611" i="4"/>
  <c r="H610" i="4"/>
  <c r="H609" i="4"/>
  <c r="H608" i="4"/>
  <c r="H607" i="4"/>
  <c r="H606" i="4"/>
  <c r="H605" i="4"/>
  <c r="H604" i="4"/>
  <c r="H603" i="4"/>
  <c r="H602" i="4"/>
  <c r="H601" i="4"/>
  <c r="H600" i="4"/>
  <c r="H599" i="4"/>
  <c r="H598" i="4"/>
  <c r="H597" i="4"/>
  <c r="H596" i="4"/>
  <c r="H595" i="4"/>
  <c r="H594" i="4"/>
  <c r="H593" i="4"/>
  <c r="H592" i="4"/>
  <c r="H591" i="4"/>
  <c r="H590" i="4"/>
  <c r="H589" i="4"/>
  <c r="H588" i="4"/>
  <c r="H587" i="4"/>
  <c r="H586" i="4"/>
  <c r="H585" i="4"/>
  <c r="H584" i="4"/>
  <c r="H583" i="4"/>
  <c r="H582" i="4"/>
  <c r="H581" i="4"/>
  <c r="H580" i="4"/>
  <c r="H579" i="4"/>
  <c r="H578" i="4"/>
  <c r="H577" i="4"/>
  <c r="H576" i="4"/>
  <c r="H575" i="4"/>
  <c r="H574" i="4"/>
  <c r="H573" i="4"/>
  <c r="H572" i="4"/>
  <c r="H571" i="4"/>
  <c r="H570" i="4"/>
  <c r="H569" i="4"/>
  <c r="H568" i="4"/>
  <c r="H567" i="4"/>
  <c r="H566" i="4"/>
  <c r="H565" i="4"/>
  <c r="H564" i="4"/>
  <c r="H563" i="4"/>
  <c r="H562" i="4"/>
  <c r="H561" i="4"/>
  <c r="H560" i="4"/>
  <c r="H559" i="4"/>
  <c r="H558" i="4"/>
  <c r="H557" i="4"/>
  <c r="H556" i="4"/>
  <c r="H555" i="4"/>
  <c r="H554" i="4"/>
  <c r="H553" i="4"/>
  <c r="H552" i="4"/>
  <c r="H551" i="4"/>
  <c r="H550" i="4"/>
  <c r="H549" i="4"/>
  <c r="H548" i="4"/>
  <c r="H547" i="4"/>
  <c r="H546" i="4"/>
  <c r="H545" i="4"/>
  <c r="H544" i="4"/>
  <c r="H543" i="4"/>
  <c r="H542" i="4"/>
  <c r="H541" i="4"/>
  <c r="H540" i="4"/>
  <c r="H539" i="4"/>
  <c r="H538" i="4"/>
  <c r="H537" i="4"/>
  <c r="H536" i="4"/>
  <c r="H535" i="4"/>
  <c r="H534" i="4"/>
  <c r="H533" i="4"/>
  <c r="H532" i="4"/>
  <c r="H531" i="4"/>
  <c r="H530" i="4"/>
  <c r="H529" i="4"/>
  <c r="H528" i="4"/>
  <c r="H527" i="4"/>
  <c r="H526" i="4"/>
  <c r="H525" i="4"/>
  <c r="H524" i="4"/>
  <c r="H523" i="4"/>
  <c r="H522" i="4"/>
  <c r="H521" i="4"/>
  <c r="H520" i="4"/>
  <c r="H519" i="4"/>
  <c r="H518" i="4"/>
  <c r="H517" i="4"/>
  <c r="H516" i="4"/>
  <c r="H515" i="4"/>
  <c r="H514" i="4"/>
  <c r="H513" i="4"/>
  <c r="H512" i="4"/>
  <c r="H511" i="4"/>
  <c r="H510" i="4"/>
  <c r="H509" i="4"/>
  <c r="H508" i="4"/>
  <c r="H507" i="4"/>
  <c r="H506" i="4"/>
  <c r="H505" i="4"/>
  <c r="H504" i="4"/>
  <c r="H503" i="4"/>
  <c r="H502" i="4"/>
  <c r="H501" i="4"/>
  <c r="H500" i="4"/>
  <c r="H499" i="4"/>
  <c r="H498" i="4"/>
  <c r="H497" i="4"/>
  <c r="H496" i="4"/>
  <c r="H495" i="4"/>
  <c r="H494" i="4"/>
  <c r="H493" i="4"/>
  <c r="H492" i="4"/>
  <c r="H491" i="4"/>
  <c r="H490" i="4"/>
  <c r="H489" i="4"/>
  <c r="H488" i="4"/>
  <c r="H487" i="4"/>
  <c r="H486" i="4"/>
  <c r="H485" i="4"/>
  <c r="H484" i="4"/>
  <c r="H483" i="4"/>
  <c r="H482" i="4"/>
  <c r="H481" i="4"/>
  <c r="H480" i="4"/>
  <c r="H479" i="4"/>
  <c r="H478" i="4"/>
  <c r="H477" i="4"/>
  <c r="H476" i="4"/>
  <c r="H475" i="4"/>
  <c r="H474" i="4"/>
  <c r="H473" i="4"/>
  <c r="H472" i="4"/>
  <c r="H471" i="4"/>
  <c r="H470" i="4"/>
  <c r="H469" i="4"/>
  <c r="H468" i="4"/>
  <c r="H467" i="4"/>
  <c r="H466" i="4"/>
  <c r="H465" i="4"/>
  <c r="H464" i="4"/>
  <c r="H463" i="4"/>
  <c r="H462" i="4"/>
  <c r="H461" i="4"/>
  <c r="H460" i="4"/>
  <c r="H459" i="4"/>
  <c r="H458" i="4"/>
  <c r="H457" i="4"/>
  <c r="H456" i="4"/>
  <c r="H455" i="4"/>
  <c r="H454" i="4"/>
  <c r="H453" i="4"/>
  <c r="H452" i="4"/>
  <c r="H451" i="4"/>
  <c r="H450" i="4"/>
  <c r="H449" i="4"/>
  <c r="H448" i="4"/>
  <c r="H447" i="4"/>
  <c r="H446" i="4"/>
  <c r="H445" i="4"/>
  <c r="H444" i="4"/>
  <c r="H443" i="4"/>
  <c r="H442" i="4"/>
  <c r="H441" i="4"/>
  <c r="H440" i="4"/>
  <c r="H439" i="4"/>
  <c r="H438" i="4"/>
  <c r="H437" i="4"/>
  <c r="H436" i="4"/>
  <c r="H435" i="4"/>
  <c r="H434" i="4"/>
  <c r="H433" i="4"/>
  <c r="H432" i="4"/>
  <c r="H431" i="4"/>
  <c r="H430" i="4"/>
  <c r="H429" i="4"/>
  <c r="H428" i="4"/>
  <c r="H427" i="4"/>
  <c r="H426" i="4"/>
  <c r="H425" i="4"/>
  <c r="H424" i="4"/>
  <c r="H423" i="4"/>
  <c r="H422" i="4"/>
  <c r="H421" i="4"/>
  <c r="H420" i="4"/>
  <c r="H419" i="4"/>
  <c r="H418" i="4"/>
  <c r="H417" i="4"/>
  <c r="H416" i="4"/>
  <c r="H415" i="4"/>
  <c r="H414" i="4"/>
  <c r="H413" i="4"/>
  <c r="H412" i="4"/>
  <c r="H411" i="4"/>
  <c r="H410" i="4"/>
  <c r="H409" i="4"/>
  <c r="H408" i="4"/>
  <c r="H407" i="4"/>
  <c r="H406" i="4"/>
  <c r="H405" i="4"/>
  <c r="H404" i="4"/>
  <c r="H403" i="4"/>
  <c r="H402" i="4"/>
  <c r="H401" i="4"/>
  <c r="H400" i="4"/>
  <c r="H399" i="4"/>
  <c r="H398" i="4"/>
  <c r="H397" i="4"/>
  <c r="H396" i="4"/>
  <c r="H395" i="4"/>
  <c r="H394" i="4"/>
  <c r="H393" i="4"/>
  <c r="H392" i="4"/>
  <c r="H391" i="4"/>
  <c r="H390" i="4"/>
  <c r="H389" i="4"/>
  <c r="H388" i="4"/>
  <c r="H387" i="4"/>
  <c r="H386" i="4"/>
  <c r="H385" i="4"/>
  <c r="H384" i="4"/>
  <c r="H383" i="4"/>
  <c r="H382" i="4"/>
  <c r="H381" i="4"/>
  <c r="H380" i="4"/>
  <c r="H379" i="4"/>
  <c r="H378" i="4"/>
  <c r="H377" i="4"/>
  <c r="H376" i="4"/>
  <c r="H375" i="4"/>
  <c r="H374" i="4"/>
  <c r="H373" i="4"/>
  <c r="H372" i="4"/>
  <c r="H371" i="4"/>
  <c r="H370" i="4"/>
  <c r="H369" i="4"/>
  <c r="H368" i="4"/>
  <c r="H367" i="4"/>
  <c r="H366" i="4"/>
  <c r="H365" i="4"/>
  <c r="H364" i="4"/>
  <c r="H363" i="4"/>
  <c r="H362" i="4"/>
  <c r="H361" i="4"/>
  <c r="H360" i="4"/>
  <c r="H359" i="4"/>
  <c r="H358" i="4"/>
  <c r="H357" i="4"/>
  <c r="H356" i="4"/>
  <c r="H355" i="4"/>
  <c r="H354" i="4"/>
  <c r="H353" i="4"/>
  <c r="H352" i="4"/>
  <c r="H351" i="4"/>
  <c r="H350" i="4"/>
  <c r="H349" i="4"/>
  <c r="H348" i="4"/>
  <c r="H347" i="4"/>
  <c r="H346" i="4"/>
  <c r="H345" i="4"/>
  <c r="H344" i="4"/>
  <c r="H343" i="4"/>
  <c r="H342" i="4"/>
  <c r="H341" i="4"/>
  <c r="H340" i="4"/>
  <c r="H339" i="4"/>
  <c r="H338" i="4"/>
  <c r="H337" i="4"/>
  <c r="H336" i="4"/>
  <c r="H335" i="4"/>
  <c r="H334" i="4"/>
  <c r="H333" i="4"/>
  <c r="H332" i="4"/>
  <c r="H331" i="4"/>
  <c r="H330" i="4"/>
  <c r="H329" i="4"/>
  <c r="H328" i="4"/>
  <c r="H327" i="4"/>
  <c r="H326" i="4"/>
  <c r="H325" i="4"/>
  <c r="H324" i="4"/>
  <c r="H323" i="4"/>
  <c r="H322" i="4"/>
  <c r="H321" i="4"/>
  <c r="H320" i="4"/>
  <c r="H319" i="4"/>
  <c r="H318" i="4"/>
  <c r="H317" i="4"/>
  <c r="H316" i="4"/>
  <c r="H315" i="4"/>
  <c r="H314" i="4"/>
  <c r="H313" i="4"/>
  <c r="H312" i="4"/>
  <c r="H311" i="4"/>
  <c r="H310" i="4"/>
  <c r="H309" i="4"/>
  <c r="H308" i="4"/>
  <c r="H307" i="4"/>
  <c r="H306" i="4"/>
  <c r="H305" i="4"/>
  <c r="H304" i="4"/>
  <c r="H303" i="4"/>
  <c r="H302" i="4"/>
  <c r="H301" i="4"/>
  <c r="H300" i="4"/>
  <c r="H299" i="4"/>
  <c r="H298" i="4"/>
  <c r="H297" i="4"/>
  <c r="H296" i="4"/>
  <c r="H295" i="4"/>
  <c r="H294" i="4"/>
  <c r="H293" i="4"/>
  <c r="H292" i="4"/>
  <c r="H291" i="4"/>
  <c r="H290" i="4"/>
  <c r="H289" i="4"/>
  <c r="H288" i="4"/>
  <c r="H287" i="4"/>
  <c r="H286" i="4"/>
  <c r="H285" i="4"/>
  <c r="H284" i="4"/>
  <c r="H283" i="4"/>
  <c r="H282" i="4"/>
  <c r="H281" i="4"/>
  <c r="H280" i="4"/>
  <c r="H279" i="4"/>
  <c r="H278" i="4"/>
  <c r="H277" i="4"/>
  <c r="H276" i="4"/>
  <c r="H275" i="4"/>
  <c r="H274" i="4"/>
  <c r="H273" i="4"/>
  <c r="H272" i="4"/>
  <c r="H271" i="4"/>
  <c r="H270" i="4"/>
  <c r="H269" i="4"/>
  <c r="H268" i="4"/>
  <c r="H267" i="4"/>
  <c r="H266" i="4"/>
  <c r="H265" i="4"/>
  <c r="H264" i="4"/>
  <c r="H263" i="4"/>
  <c r="H262" i="4"/>
  <c r="H261" i="4"/>
  <c r="H260" i="4"/>
  <c r="H259" i="4"/>
  <c r="H258" i="4"/>
  <c r="H257" i="4"/>
  <c r="H256" i="4"/>
  <c r="H255" i="4"/>
  <c r="H254" i="4"/>
  <c r="H253" i="4"/>
  <c r="H252" i="4"/>
  <c r="H251" i="4"/>
  <c r="H250" i="4"/>
  <c r="H249" i="4"/>
  <c r="H248" i="4"/>
  <c r="H247" i="4"/>
  <c r="H246" i="4"/>
  <c r="H245" i="4"/>
  <c r="H244" i="4"/>
  <c r="H243" i="4"/>
  <c r="H242" i="4"/>
  <c r="H241" i="4"/>
  <c r="H240" i="4"/>
  <c r="H239" i="4"/>
  <c r="H238" i="4"/>
  <c r="H237" i="4"/>
  <c r="H236" i="4"/>
  <c r="H235" i="4"/>
  <c r="H234" i="4"/>
  <c r="H233" i="4"/>
  <c r="H232" i="4"/>
  <c r="H231" i="4"/>
  <c r="H230" i="4"/>
  <c r="H229" i="4"/>
  <c r="H228" i="4"/>
  <c r="H227" i="4"/>
  <c r="H226" i="4"/>
  <c r="H225" i="4"/>
  <c r="H224" i="4"/>
  <c r="H223" i="4"/>
  <c r="H222" i="4"/>
  <c r="H221" i="4"/>
  <c r="H220" i="4"/>
  <c r="H219" i="4"/>
  <c r="H218" i="4"/>
  <c r="H217" i="4"/>
  <c r="H216" i="4"/>
  <c r="H215" i="4"/>
  <c r="H214" i="4"/>
  <c r="H213" i="4"/>
  <c r="H212" i="4"/>
  <c r="H211" i="4"/>
  <c r="H210" i="4"/>
  <c r="H209" i="4"/>
  <c r="H208" i="4"/>
  <c r="H207" i="4"/>
  <c r="H206" i="4"/>
  <c r="H205" i="4"/>
  <c r="H204" i="4"/>
  <c r="H203" i="4"/>
  <c r="H202" i="4"/>
  <c r="H201" i="4"/>
  <c r="H200" i="4"/>
  <c r="H199" i="4"/>
  <c r="H198" i="4"/>
  <c r="H197" i="4"/>
  <c r="H196" i="4"/>
  <c r="H195" i="4"/>
  <c r="H194" i="4"/>
  <c r="H193" i="4"/>
  <c r="H192" i="4"/>
  <c r="H191" i="4"/>
  <c r="H190" i="4"/>
  <c r="H189" i="4"/>
  <c r="H188" i="4"/>
  <c r="H187" i="4"/>
  <c r="H186" i="4"/>
  <c r="H185" i="4"/>
  <c r="H184" i="4"/>
  <c r="H183" i="4"/>
  <c r="H182" i="4"/>
  <c r="H181" i="4"/>
  <c r="H180" i="4"/>
  <c r="H179" i="4"/>
  <c r="H178" i="4"/>
  <c r="H177" i="4"/>
  <c r="H176" i="4"/>
  <c r="H175" i="4"/>
  <c r="H174" i="4"/>
  <c r="H173" i="4"/>
  <c r="H172" i="4"/>
  <c r="H171" i="4"/>
  <c r="H170" i="4"/>
  <c r="H169" i="4"/>
  <c r="H168" i="4"/>
  <c r="H167" i="4"/>
  <c r="H166" i="4"/>
  <c r="H165" i="4"/>
  <c r="H164" i="4"/>
  <c r="H163" i="4"/>
  <c r="H162" i="4"/>
  <c r="H161" i="4"/>
  <c r="H160" i="4"/>
  <c r="H159" i="4"/>
  <c r="H158" i="4"/>
  <c r="H157" i="4"/>
  <c r="H156" i="4"/>
  <c r="H155" i="4"/>
  <c r="H154" i="4"/>
  <c r="H153" i="4"/>
  <c r="H152" i="4"/>
  <c r="H151" i="4"/>
  <c r="H150" i="4"/>
  <c r="H149" i="4"/>
  <c r="H148" i="4"/>
  <c r="H147" i="4"/>
  <c r="H146" i="4"/>
  <c r="H145" i="4"/>
  <c r="H144" i="4"/>
  <c r="H143" i="4"/>
  <c r="H142" i="4"/>
  <c r="H141" i="4"/>
  <c r="H140" i="4"/>
  <c r="H139" i="4"/>
  <c r="H138" i="4"/>
  <c r="H137" i="4"/>
  <c r="H136" i="4"/>
  <c r="H135" i="4"/>
  <c r="H134" i="4"/>
  <c r="H133" i="4"/>
  <c r="H132" i="4"/>
  <c r="H131" i="4"/>
  <c r="H130" i="4"/>
  <c r="H129" i="4"/>
  <c r="H128" i="4"/>
  <c r="H127" i="4"/>
  <c r="H126" i="4"/>
  <c r="H125" i="4"/>
  <c r="H124" i="4"/>
  <c r="H123" i="4"/>
  <c r="H122" i="4"/>
  <c r="H121" i="4"/>
  <c r="H120" i="4"/>
  <c r="H119" i="4"/>
  <c r="H118" i="4"/>
  <c r="H117" i="4"/>
  <c r="H116" i="4"/>
  <c r="H115" i="4"/>
  <c r="H114" i="4"/>
  <c r="H113" i="4"/>
  <c r="H112" i="4"/>
  <c r="H111" i="4"/>
  <c r="H110" i="4"/>
  <c r="H109" i="4"/>
  <c r="H108" i="4"/>
  <c r="H107" i="4"/>
  <c r="H106" i="4"/>
  <c r="H105" i="4"/>
  <c r="H104" i="4"/>
  <c r="H103" i="4"/>
  <c r="H102" i="4"/>
  <c r="H101" i="4"/>
  <c r="H100" i="4"/>
  <c r="H99" i="4"/>
  <c r="H98" i="4"/>
  <c r="H97" i="4"/>
  <c r="H96" i="4"/>
  <c r="H95" i="4"/>
  <c r="H94" i="4"/>
  <c r="H93" i="4"/>
  <c r="H92" i="4"/>
  <c r="H91" i="4"/>
  <c r="H90" i="4"/>
  <c r="H89" i="4"/>
  <c r="H88" i="4"/>
  <c r="H87" i="4"/>
  <c r="H86" i="4"/>
  <c r="H85" i="4"/>
  <c r="H84" i="4"/>
  <c r="H83" i="4"/>
  <c r="H82" i="4"/>
  <c r="H81" i="4"/>
  <c r="H80" i="4"/>
  <c r="H79" i="4"/>
  <c r="H78" i="4"/>
  <c r="H77" i="4"/>
  <c r="H76" i="4"/>
  <c r="H75" i="4"/>
  <c r="H74" i="4"/>
  <c r="H73" i="4"/>
  <c r="H72" i="4"/>
  <c r="H71" i="4"/>
  <c r="H70" i="4"/>
  <c r="H69" i="4"/>
  <c r="H68" i="4"/>
  <c r="H67" i="4"/>
  <c r="H66" i="4"/>
  <c r="H65" i="4"/>
  <c r="H64" i="4"/>
  <c r="H63" i="4"/>
  <c r="H62" i="4"/>
  <c r="H61" i="4"/>
  <c r="H60" i="4"/>
  <c r="H59" i="4"/>
  <c r="H58" i="4"/>
  <c r="H57" i="4"/>
  <c r="H56" i="4"/>
  <c r="H55" i="4"/>
  <c r="H54" i="4"/>
  <c r="H53" i="4"/>
  <c r="H52" i="4"/>
  <c r="H51" i="4"/>
  <c r="H50" i="4"/>
  <c r="H49" i="4"/>
  <c r="H48" i="4"/>
  <c r="H47" i="4"/>
  <c r="H46" i="4"/>
  <c r="H45" i="4"/>
  <c r="H44" i="4"/>
  <c r="H43" i="4"/>
  <c r="H42" i="4"/>
  <c r="H41" i="4"/>
  <c r="H40" i="4"/>
  <c r="H39" i="4"/>
  <c r="H38" i="4"/>
  <c r="H37" i="4"/>
  <c r="H36" i="4"/>
  <c r="H35" i="4"/>
  <c r="H34" i="4"/>
  <c r="H33" i="4"/>
  <c r="H32" i="4"/>
  <c r="H31" i="4"/>
  <c r="H30" i="4"/>
  <c r="H29" i="4"/>
  <c r="H28" i="4"/>
  <c r="H27" i="4"/>
  <c r="H26" i="4"/>
  <c r="H25" i="4"/>
  <c r="H24" i="4"/>
  <c r="H23" i="4"/>
  <c r="H22" i="4"/>
  <c r="H21" i="4"/>
  <c r="H20" i="4"/>
  <c r="H19" i="4"/>
  <c r="H18" i="4"/>
  <c r="H17" i="4"/>
  <c r="H16" i="4"/>
  <c r="H15" i="4"/>
  <c r="H14" i="4"/>
  <c r="H13" i="4"/>
  <c r="H12" i="4"/>
  <c r="H11" i="4"/>
  <c r="H10" i="4"/>
  <c r="H9" i="4"/>
  <c r="H8" i="4"/>
  <c r="H7" i="4"/>
  <c r="H6" i="4"/>
  <c r="H5" i="4"/>
  <c r="H4" i="4"/>
  <c r="H3" i="4"/>
  <c r="H2" i="4"/>
  <c r="AK1001" i="4"/>
  <c r="AK1000" i="4"/>
  <c r="AK999" i="4"/>
  <c r="AK998" i="4"/>
  <c r="AK997" i="4"/>
  <c r="AK996" i="4"/>
  <c r="AK995" i="4"/>
  <c r="AK994" i="4"/>
  <c r="AK993" i="4"/>
  <c r="AK992" i="4"/>
  <c r="AK991" i="4"/>
  <c r="AK990" i="4"/>
  <c r="AK989" i="4"/>
  <c r="AK988" i="4"/>
  <c r="AK987" i="4"/>
  <c r="AK986" i="4"/>
  <c r="AK985" i="4"/>
  <c r="AK984" i="4"/>
  <c r="AK983" i="4"/>
  <c r="AK982" i="4"/>
  <c r="AK981" i="4"/>
  <c r="AK980" i="4"/>
  <c r="AK979" i="4"/>
  <c r="AK978" i="4"/>
  <c r="AK977" i="4"/>
  <c r="AK976" i="4"/>
  <c r="AK975" i="4"/>
  <c r="AK974" i="4"/>
  <c r="AK973" i="4"/>
  <c r="AK972" i="4"/>
  <c r="AK971" i="4"/>
  <c r="AK970" i="4"/>
  <c r="AK969" i="4"/>
  <c r="AK968" i="4"/>
  <c r="AK967" i="4"/>
  <c r="AK966" i="4"/>
  <c r="AK965" i="4"/>
  <c r="AK964" i="4"/>
  <c r="AK963" i="4"/>
  <c r="AK962" i="4"/>
  <c r="AK961" i="4"/>
  <c r="AK960" i="4"/>
  <c r="AK959" i="4"/>
  <c r="AK958" i="4"/>
  <c r="AK957" i="4"/>
  <c r="AK956" i="4"/>
  <c r="AK955" i="4"/>
  <c r="AK954" i="4"/>
  <c r="AK953" i="4"/>
  <c r="AK952" i="4"/>
  <c r="AK951" i="4"/>
  <c r="AK950" i="4"/>
  <c r="AK949" i="4"/>
  <c r="AK948" i="4"/>
  <c r="AK947" i="4"/>
  <c r="AK946" i="4"/>
  <c r="AK945" i="4"/>
  <c r="AK944" i="4"/>
  <c r="AK943" i="4"/>
  <c r="AK942" i="4"/>
  <c r="AK941" i="4"/>
  <c r="AK940" i="4"/>
  <c r="AK939" i="4"/>
  <c r="AK938" i="4"/>
  <c r="AK937" i="4"/>
  <c r="AK936" i="4"/>
  <c r="AK935" i="4"/>
  <c r="AK934" i="4"/>
  <c r="AK933" i="4"/>
  <c r="AK932" i="4"/>
  <c r="AK931" i="4"/>
  <c r="AK930" i="4"/>
  <c r="AK929" i="4"/>
  <c r="AK928" i="4"/>
  <c r="AK927" i="4"/>
  <c r="AK926" i="4"/>
  <c r="AK925" i="4"/>
  <c r="AK924" i="4"/>
  <c r="AK923" i="4"/>
  <c r="AK922" i="4"/>
  <c r="AK921" i="4"/>
  <c r="AK920" i="4"/>
  <c r="AK919" i="4"/>
  <c r="AK918" i="4"/>
  <c r="AK917" i="4"/>
  <c r="AK916" i="4"/>
  <c r="AK915" i="4"/>
  <c r="AK914" i="4"/>
  <c r="AK913" i="4"/>
  <c r="AK912" i="4"/>
  <c r="AK911" i="4"/>
  <c r="AK910" i="4"/>
  <c r="AK909" i="4"/>
  <c r="AK908" i="4"/>
  <c r="AK907" i="4"/>
  <c r="AK906" i="4"/>
  <c r="AK905" i="4"/>
  <c r="AK904" i="4"/>
  <c r="AK903" i="4"/>
  <c r="AK902" i="4"/>
  <c r="AK901" i="4"/>
  <c r="AK900" i="4"/>
  <c r="AK899" i="4"/>
  <c r="AK898" i="4"/>
  <c r="AK897" i="4"/>
  <c r="AK896" i="4"/>
  <c r="AK895" i="4"/>
  <c r="AK894" i="4"/>
  <c r="AK893" i="4"/>
  <c r="AK892" i="4"/>
  <c r="AK891" i="4"/>
  <c r="AK890" i="4"/>
  <c r="AK889" i="4"/>
  <c r="AK888" i="4"/>
  <c r="AK887" i="4"/>
  <c r="AK886" i="4"/>
  <c r="AK885" i="4"/>
  <c r="AK884" i="4"/>
  <c r="AK883" i="4"/>
  <c r="AK882" i="4"/>
  <c r="AK881" i="4"/>
  <c r="AK880" i="4"/>
  <c r="AK879" i="4"/>
  <c r="AK878" i="4"/>
  <c r="AK877" i="4"/>
  <c r="AK876" i="4"/>
  <c r="AK875" i="4"/>
  <c r="AK874" i="4"/>
  <c r="AK873" i="4"/>
  <c r="AK872" i="4"/>
  <c r="AK871" i="4"/>
  <c r="AK870" i="4"/>
  <c r="AK869" i="4"/>
  <c r="AK868" i="4"/>
  <c r="AK867" i="4"/>
  <c r="AK866" i="4"/>
  <c r="AK865" i="4"/>
  <c r="AK864" i="4"/>
  <c r="AK863" i="4"/>
  <c r="AK862" i="4"/>
  <c r="AK861" i="4"/>
  <c r="AK860" i="4"/>
  <c r="AK859" i="4"/>
  <c r="AK858" i="4"/>
  <c r="AK857" i="4"/>
  <c r="AK856" i="4"/>
  <c r="AK855" i="4"/>
  <c r="AK854" i="4"/>
  <c r="AK853" i="4"/>
  <c r="AK852" i="4"/>
  <c r="AK851" i="4"/>
  <c r="AK850" i="4"/>
  <c r="AK849" i="4"/>
  <c r="AK848" i="4"/>
  <c r="AK847" i="4"/>
  <c r="AK846" i="4"/>
  <c r="AK845" i="4"/>
  <c r="AK844" i="4"/>
  <c r="AK843" i="4"/>
  <c r="AK842" i="4"/>
  <c r="AK841" i="4"/>
  <c r="AK840" i="4"/>
  <c r="AK839" i="4"/>
  <c r="AK838" i="4"/>
  <c r="AK837" i="4"/>
  <c r="AK836" i="4"/>
  <c r="AK835" i="4"/>
  <c r="AK834" i="4"/>
  <c r="AK833" i="4"/>
  <c r="AK832" i="4"/>
  <c r="AK831" i="4"/>
  <c r="AK830" i="4"/>
  <c r="AK829" i="4"/>
  <c r="AK828" i="4"/>
  <c r="AK827" i="4"/>
  <c r="AK826" i="4"/>
  <c r="AK825" i="4"/>
  <c r="AK824" i="4"/>
  <c r="AK823" i="4"/>
  <c r="AK822" i="4"/>
  <c r="AK821" i="4"/>
  <c r="AK820" i="4"/>
  <c r="AK819" i="4"/>
  <c r="AK818" i="4"/>
  <c r="AK817" i="4"/>
  <c r="AK816" i="4"/>
  <c r="AK815" i="4"/>
  <c r="AK814" i="4"/>
  <c r="AK813" i="4"/>
  <c r="AK812" i="4"/>
  <c r="AK811" i="4"/>
  <c r="AK810" i="4"/>
  <c r="AK809" i="4"/>
  <c r="AK808" i="4"/>
  <c r="AK807" i="4"/>
  <c r="AK806" i="4"/>
  <c r="AK805" i="4"/>
  <c r="AK804" i="4"/>
  <c r="AK803" i="4"/>
  <c r="AK802" i="4"/>
  <c r="AK801" i="4"/>
  <c r="AK800" i="4"/>
  <c r="AK799" i="4"/>
  <c r="AK798" i="4"/>
  <c r="AK797" i="4"/>
  <c r="AK796" i="4"/>
  <c r="AK795" i="4"/>
  <c r="AK794" i="4"/>
  <c r="AK793" i="4"/>
  <c r="AK792" i="4"/>
  <c r="AK791" i="4"/>
  <c r="AK790" i="4"/>
  <c r="AK789" i="4"/>
  <c r="AK788" i="4"/>
  <c r="AK787" i="4"/>
  <c r="AK786" i="4"/>
  <c r="AK785" i="4"/>
  <c r="AK784" i="4"/>
  <c r="AK783" i="4"/>
  <c r="AK782" i="4"/>
  <c r="AK781" i="4"/>
  <c r="AK780" i="4"/>
  <c r="AK779" i="4"/>
  <c r="AK778" i="4"/>
  <c r="AK777" i="4"/>
  <c r="AK776" i="4"/>
  <c r="AK775" i="4"/>
  <c r="AK774" i="4"/>
  <c r="AK773" i="4"/>
  <c r="AK772" i="4"/>
  <c r="AK771" i="4"/>
  <c r="AK770" i="4"/>
  <c r="AK769" i="4"/>
  <c r="AK768" i="4"/>
  <c r="AK767" i="4"/>
  <c r="AK766" i="4"/>
  <c r="AK765" i="4"/>
  <c r="AK764" i="4"/>
  <c r="AK763" i="4"/>
  <c r="AK762" i="4"/>
  <c r="AK761" i="4"/>
  <c r="AK760" i="4"/>
  <c r="AK759" i="4"/>
  <c r="AK758" i="4"/>
  <c r="AK757" i="4"/>
  <c r="AK756" i="4"/>
  <c r="AK755" i="4"/>
  <c r="AK754" i="4"/>
  <c r="AK753" i="4"/>
  <c r="AK752" i="4"/>
  <c r="AK751" i="4"/>
  <c r="AK750" i="4"/>
  <c r="AK749" i="4"/>
  <c r="AK748" i="4"/>
  <c r="AK747" i="4"/>
  <c r="AK746" i="4"/>
  <c r="AK745" i="4"/>
  <c r="AK744" i="4"/>
  <c r="AK743" i="4"/>
  <c r="AK742" i="4"/>
  <c r="AK741" i="4"/>
  <c r="AK740" i="4"/>
  <c r="AK739" i="4"/>
  <c r="AK738" i="4"/>
  <c r="AK737" i="4"/>
  <c r="AK736" i="4"/>
  <c r="AK735" i="4"/>
  <c r="AK734" i="4"/>
  <c r="AK733" i="4"/>
  <c r="AK732" i="4"/>
  <c r="AK731" i="4"/>
  <c r="AK730" i="4"/>
  <c r="AK729" i="4"/>
  <c r="AK728" i="4"/>
  <c r="AK727" i="4"/>
  <c r="AK726" i="4"/>
  <c r="AK725" i="4"/>
  <c r="AK724" i="4"/>
  <c r="AK723" i="4"/>
  <c r="AK722" i="4"/>
  <c r="AK721" i="4"/>
  <c r="AK720" i="4"/>
  <c r="AK719" i="4"/>
  <c r="AK718" i="4"/>
  <c r="AK717" i="4"/>
  <c r="AK716" i="4"/>
  <c r="AK715" i="4"/>
  <c r="AK714" i="4"/>
  <c r="AK713" i="4"/>
  <c r="AK712" i="4"/>
  <c r="AK711" i="4"/>
  <c r="AK710" i="4"/>
  <c r="AK709" i="4"/>
  <c r="AK708" i="4"/>
  <c r="AK707" i="4"/>
  <c r="AK706" i="4"/>
  <c r="AK705" i="4"/>
  <c r="AK704" i="4"/>
  <c r="AK703" i="4"/>
  <c r="AK702" i="4"/>
  <c r="AK701" i="4"/>
  <c r="AK700" i="4"/>
  <c r="AK699" i="4"/>
  <c r="AK698" i="4"/>
  <c r="AK697" i="4"/>
  <c r="AK696" i="4"/>
  <c r="AK695" i="4"/>
  <c r="AK694" i="4"/>
  <c r="AK693" i="4"/>
  <c r="AK692" i="4"/>
  <c r="AK691" i="4"/>
  <c r="AK690" i="4"/>
  <c r="AK689" i="4"/>
  <c r="AK688" i="4"/>
  <c r="AK687" i="4"/>
  <c r="AK686" i="4"/>
  <c r="AK685" i="4"/>
  <c r="AK684" i="4"/>
  <c r="AK683" i="4"/>
  <c r="AK682" i="4"/>
  <c r="AK681" i="4"/>
  <c r="AK680" i="4"/>
  <c r="AK679" i="4"/>
  <c r="AK678" i="4"/>
  <c r="AK677" i="4"/>
  <c r="AK676" i="4"/>
  <c r="AK675" i="4"/>
  <c r="AK674" i="4"/>
  <c r="AK673" i="4"/>
  <c r="AK672" i="4"/>
  <c r="AK671" i="4"/>
  <c r="AK670" i="4"/>
  <c r="AK669" i="4"/>
  <c r="AK668" i="4"/>
  <c r="AK667" i="4"/>
  <c r="AK666" i="4"/>
  <c r="AK665" i="4"/>
  <c r="AK664" i="4"/>
  <c r="AK663" i="4"/>
  <c r="AK662" i="4"/>
  <c r="AK661" i="4"/>
  <c r="AK660" i="4"/>
  <c r="AK659" i="4"/>
  <c r="AK658" i="4"/>
  <c r="AK657" i="4"/>
  <c r="AK656" i="4"/>
  <c r="AK655" i="4"/>
  <c r="AK654" i="4"/>
  <c r="AK653" i="4"/>
  <c r="AK652" i="4"/>
  <c r="AK651" i="4"/>
  <c r="AK650" i="4"/>
  <c r="AK649" i="4"/>
  <c r="AK648" i="4"/>
  <c r="AK647" i="4"/>
  <c r="AK646" i="4"/>
  <c r="AK645" i="4"/>
  <c r="AK644" i="4"/>
  <c r="AK643" i="4"/>
  <c r="AK642" i="4"/>
  <c r="AK641" i="4"/>
  <c r="AK640" i="4"/>
  <c r="AK639" i="4"/>
  <c r="AK638" i="4"/>
  <c r="AK637" i="4"/>
  <c r="AK636" i="4"/>
  <c r="AK635" i="4"/>
  <c r="AK634" i="4"/>
  <c r="AK633" i="4"/>
  <c r="AK632" i="4"/>
  <c r="AK631" i="4"/>
  <c r="AK630" i="4"/>
  <c r="AK629" i="4"/>
  <c r="AK628" i="4"/>
  <c r="AK627" i="4"/>
  <c r="AK626" i="4"/>
  <c r="AK625" i="4"/>
  <c r="AK624" i="4"/>
  <c r="AK623" i="4"/>
  <c r="AK622" i="4"/>
  <c r="AK621" i="4"/>
  <c r="AK620" i="4"/>
  <c r="AK619" i="4"/>
  <c r="AK618" i="4"/>
  <c r="AK617" i="4"/>
  <c r="AK616" i="4"/>
  <c r="AK615" i="4"/>
  <c r="AK614" i="4"/>
  <c r="AK613" i="4"/>
  <c r="AK612" i="4"/>
  <c r="AK611" i="4"/>
  <c r="AK610" i="4"/>
  <c r="AK609" i="4"/>
  <c r="AK608" i="4"/>
  <c r="AK607" i="4"/>
  <c r="AK606" i="4"/>
  <c r="AK605" i="4"/>
  <c r="AK604" i="4"/>
  <c r="AK603" i="4"/>
  <c r="AK602" i="4"/>
  <c r="AK601" i="4"/>
  <c r="AK600" i="4"/>
  <c r="AK599" i="4"/>
  <c r="AK598" i="4"/>
  <c r="AK597" i="4"/>
  <c r="AK596" i="4"/>
  <c r="AK595" i="4"/>
  <c r="AK594" i="4"/>
  <c r="AK593" i="4"/>
  <c r="AK592" i="4"/>
  <c r="AK591" i="4"/>
  <c r="AK590" i="4"/>
  <c r="AK589" i="4"/>
  <c r="AK588" i="4"/>
  <c r="AK587" i="4"/>
  <c r="AK586" i="4"/>
  <c r="AK585" i="4"/>
  <c r="AK584" i="4"/>
  <c r="AK583" i="4"/>
  <c r="AK582" i="4"/>
  <c r="AK581" i="4"/>
  <c r="AK580" i="4"/>
  <c r="AK579" i="4"/>
  <c r="AK578" i="4"/>
  <c r="AK577" i="4"/>
  <c r="AK576" i="4"/>
  <c r="AK575" i="4"/>
  <c r="AK574" i="4"/>
  <c r="AK573" i="4"/>
  <c r="AK572" i="4"/>
  <c r="AK571" i="4"/>
  <c r="AK570" i="4"/>
  <c r="AK569" i="4"/>
  <c r="AK568" i="4"/>
  <c r="AK567" i="4"/>
  <c r="AK566" i="4"/>
  <c r="AK565" i="4"/>
  <c r="AK564" i="4"/>
  <c r="AK563" i="4"/>
  <c r="AK562" i="4"/>
  <c r="AK561" i="4"/>
  <c r="AK560" i="4"/>
  <c r="AK559" i="4"/>
  <c r="AK558" i="4"/>
  <c r="AK557" i="4"/>
  <c r="AK556" i="4"/>
  <c r="AK555" i="4"/>
  <c r="AK554" i="4"/>
  <c r="AK553" i="4"/>
  <c r="AK552" i="4"/>
  <c r="AK551" i="4"/>
  <c r="AK550" i="4"/>
  <c r="AK549" i="4"/>
  <c r="AK548" i="4"/>
  <c r="AK547" i="4"/>
  <c r="AK546" i="4"/>
  <c r="AK545" i="4"/>
  <c r="AK544" i="4"/>
  <c r="AK543" i="4"/>
  <c r="AK542" i="4"/>
  <c r="AK541" i="4"/>
  <c r="AK540" i="4"/>
  <c r="AK539" i="4"/>
  <c r="AK538" i="4"/>
  <c r="AK537" i="4"/>
  <c r="AK536" i="4"/>
  <c r="AK535" i="4"/>
  <c r="AK534" i="4"/>
  <c r="AK533" i="4"/>
  <c r="AK532" i="4"/>
  <c r="AK531" i="4"/>
  <c r="AK530" i="4"/>
  <c r="AK529" i="4"/>
  <c r="AK528" i="4"/>
  <c r="AK527" i="4"/>
  <c r="AK526" i="4"/>
  <c r="AK525" i="4"/>
  <c r="AK524" i="4"/>
  <c r="AK523" i="4"/>
  <c r="AK522" i="4"/>
  <c r="AK521" i="4"/>
  <c r="AK520" i="4"/>
  <c r="AK519" i="4"/>
  <c r="AK518" i="4"/>
  <c r="AK517" i="4"/>
  <c r="AK516" i="4"/>
  <c r="AK515" i="4"/>
  <c r="AK514" i="4"/>
  <c r="AK513" i="4"/>
  <c r="AK512" i="4"/>
  <c r="AK511" i="4"/>
  <c r="AK510" i="4"/>
  <c r="AK509" i="4"/>
  <c r="AK508" i="4"/>
  <c r="AK507" i="4"/>
  <c r="AK506" i="4"/>
  <c r="AK505" i="4"/>
  <c r="AK504" i="4"/>
  <c r="AK503" i="4"/>
  <c r="AK502" i="4"/>
  <c r="AK501" i="4"/>
  <c r="AK500" i="4"/>
  <c r="AK499" i="4"/>
  <c r="AK498" i="4"/>
  <c r="AK497" i="4"/>
  <c r="AK496" i="4"/>
  <c r="AK495" i="4"/>
  <c r="AK494" i="4"/>
  <c r="AK493" i="4"/>
  <c r="AK492" i="4"/>
  <c r="AK491" i="4"/>
  <c r="AK490" i="4"/>
  <c r="AK489" i="4"/>
  <c r="AK488" i="4"/>
  <c r="AK487" i="4"/>
  <c r="AK486" i="4"/>
  <c r="AK485" i="4"/>
  <c r="AK484" i="4"/>
  <c r="AK483" i="4"/>
  <c r="AK482" i="4"/>
  <c r="AK481" i="4"/>
  <c r="AK480" i="4"/>
  <c r="AK479" i="4"/>
  <c r="AK478" i="4"/>
  <c r="AK477" i="4"/>
  <c r="AK476" i="4"/>
  <c r="AK475" i="4"/>
  <c r="AK474" i="4"/>
  <c r="AK473" i="4"/>
  <c r="AK472" i="4"/>
  <c r="AK471" i="4"/>
  <c r="AK470" i="4"/>
  <c r="AK469" i="4"/>
  <c r="AK468" i="4"/>
  <c r="AK467" i="4"/>
  <c r="AK466" i="4"/>
  <c r="AK465" i="4"/>
  <c r="AK464" i="4"/>
  <c r="AK463" i="4"/>
  <c r="AK462" i="4"/>
  <c r="AK461" i="4"/>
  <c r="AK460" i="4"/>
  <c r="AK459" i="4"/>
  <c r="AK458" i="4"/>
  <c r="AK457" i="4"/>
  <c r="AK456" i="4"/>
  <c r="AK455" i="4"/>
  <c r="AK454" i="4"/>
  <c r="AK453" i="4"/>
  <c r="AK452" i="4"/>
  <c r="AK451" i="4"/>
  <c r="AK450" i="4"/>
  <c r="AK449" i="4"/>
  <c r="AK448" i="4"/>
  <c r="AK447" i="4"/>
  <c r="AK446" i="4"/>
  <c r="AK445" i="4"/>
  <c r="AK444" i="4"/>
  <c r="AK443" i="4"/>
  <c r="AK442" i="4"/>
  <c r="AK441" i="4"/>
  <c r="AK440" i="4"/>
  <c r="AK439" i="4"/>
  <c r="AK438" i="4"/>
  <c r="AK437" i="4"/>
  <c r="AK436" i="4"/>
  <c r="AK435" i="4"/>
  <c r="AK434" i="4"/>
  <c r="AK433" i="4"/>
  <c r="AK432" i="4"/>
  <c r="AK431" i="4"/>
  <c r="AK430" i="4"/>
  <c r="AK429" i="4"/>
  <c r="AK428" i="4"/>
  <c r="AK427" i="4"/>
  <c r="AK426" i="4"/>
  <c r="AK425" i="4"/>
  <c r="AK424" i="4"/>
  <c r="AK423" i="4"/>
  <c r="AK422" i="4"/>
  <c r="AK421" i="4"/>
  <c r="AK420" i="4"/>
  <c r="AK419" i="4"/>
  <c r="AK418" i="4"/>
  <c r="AK417" i="4"/>
  <c r="AK416" i="4"/>
  <c r="AK415" i="4"/>
  <c r="AK414" i="4"/>
  <c r="AK413" i="4"/>
  <c r="AK412" i="4"/>
  <c r="AK411" i="4"/>
  <c r="AK410" i="4"/>
  <c r="AK409" i="4"/>
  <c r="AK408" i="4"/>
  <c r="AK407" i="4"/>
  <c r="AK406" i="4"/>
  <c r="AK405" i="4"/>
  <c r="AK404" i="4"/>
  <c r="AK403" i="4"/>
  <c r="AK402" i="4"/>
  <c r="AK401" i="4"/>
  <c r="AK400" i="4"/>
  <c r="AK399" i="4"/>
  <c r="AK398" i="4"/>
  <c r="AK397" i="4"/>
  <c r="AK396" i="4"/>
  <c r="AK395" i="4"/>
  <c r="AK394" i="4"/>
  <c r="AK393" i="4"/>
  <c r="AK392" i="4"/>
  <c r="AK391" i="4"/>
  <c r="AK390" i="4"/>
  <c r="AK389" i="4"/>
  <c r="AK388" i="4"/>
  <c r="AK387" i="4"/>
  <c r="AK386" i="4"/>
  <c r="AK385" i="4"/>
  <c r="AK384" i="4"/>
  <c r="AK383" i="4"/>
  <c r="AK382" i="4"/>
  <c r="AK381" i="4"/>
  <c r="AK380" i="4"/>
  <c r="AK379" i="4"/>
  <c r="AK378" i="4"/>
  <c r="AK377" i="4"/>
  <c r="AK376" i="4"/>
  <c r="AK375" i="4"/>
  <c r="AK374" i="4"/>
  <c r="AK373" i="4"/>
  <c r="AK372" i="4"/>
  <c r="AK371" i="4"/>
  <c r="AK370" i="4"/>
  <c r="AK369" i="4"/>
  <c r="AK368" i="4"/>
  <c r="AK367" i="4"/>
  <c r="AK366" i="4"/>
  <c r="AK365" i="4"/>
  <c r="AK364" i="4"/>
  <c r="AK363" i="4"/>
  <c r="AK362" i="4"/>
  <c r="AK361" i="4"/>
  <c r="AK360" i="4"/>
  <c r="AK359" i="4"/>
  <c r="AK358" i="4"/>
  <c r="AK357" i="4"/>
  <c r="AK356" i="4"/>
  <c r="AK355" i="4"/>
  <c r="AK354" i="4"/>
  <c r="AK353" i="4"/>
  <c r="AK352" i="4"/>
  <c r="AK351" i="4"/>
  <c r="AK350" i="4"/>
  <c r="AK349" i="4"/>
  <c r="AK348" i="4"/>
  <c r="AK347" i="4"/>
  <c r="AK346" i="4"/>
  <c r="AK345" i="4"/>
  <c r="AK344" i="4"/>
  <c r="AK343" i="4"/>
  <c r="AK342" i="4"/>
  <c r="AK341" i="4"/>
  <c r="AK340" i="4"/>
  <c r="AK339" i="4"/>
  <c r="AK338" i="4"/>
  <c r="AK337" i="4"/>
  <c r="AK336" i="4"/>
  <c r="AK335" i="4"/>
  <c r="AK334" i="4"/>
  <c r="AK333" i="4"/>
  <c r="AK332" i="4"/>
  <c r="AK331" i="4"/>
  <c r="AK330" i="4"/>
  <c r="AK329" i="4"/>
  <c r="AK328" i="4"/>
  <c r="AK327" i="4"/>
  <c r="AK326" i="4"/>
  <c r="AK325" i="4"/>
  <c r="AK324" i="4"/>
  <c r="AK323" i="4"/>
  <c r="AK322" i="4"/>
  <c r="AK321" i="4"/>
  <c r="AK320" i="4"/>
  <c r="AK319" i="4"/>
  <c r="AK318" i="4"/>
  <c r="AK317" i="4"/>
  <c r="AK316" i="4"/>
  <c r="AK315" i="4"/>
  <c r="AK314" i="4"/>
  <c r="AK313" i="4"/>
  <c r="AK312" i="4"/>
  <c r="AK311" i="4"/>
  <c r="AK310" i="4"/>
  <c r="AK309" i="4"/>
  <c r="AK308" i="4"/>
  <c r="AK307" i="4"/>
  <c r="AK306" i="4"/>
  <c r="AK305" i="4"/>
  <c r="AK304" i="4"/>
  <c r="AK303" i="4"/>
  <c r="AK302" i="4"/>
  <c r="AK301" i="4"/>
  <c r="AK300" i="4"/>
  <c r="AK299" i="4"/>
  <c r="AK298" i="4"/>
  <c r="AK297" i="4"/>
  <c r="AK296" i="4"/>
  <c r="AK295" i="4"/>
  <c r="AK294" i="4"/>
  <c r="AK293" i="4"/>
  <c r="AK292" i="4"/>
  <c r="AK291" i="4"/>
  <c r="AK290" i="4"/>
  <c r="AK289" i="4"/>
  <c r="AK288" i="4"/>
  <c r="AK287" i="4"/>
  <c r="AK286" i="4"/>
  <c r="AK285" i="4"/>
  <c r="AK284" i="4"/>
  <c r="AK283" i="4"/>
  <c r="AK282" i="4"/>
  <c r="AK281" i="4"/>
  <c r="AK280" i="4"/>
  <c r="AK279" i="4"/>
  <c r="AK278" i="4"/>
  <c r="AK277" i="4"/>
  <c r="AK276" i="4"/>
  <c r="AK275" i="4"/>
  <c r="AK274" i="4"/>
  <c r="AK273" i="4"/>
  <c r="AK272" i="4"/>
  <c r="AK271" i="4"/>
  <c r="AK270" i="4"/>
  <c r="AK269" i="4"/>
  <c r="AK268" i="4"/>
  <c r="AK267" i="4"/>
  <c r="AK266" i="4"/>
  <c r="AK265" i="4"/>
  <c r="AK264" i="4"/>
  <c r="AK263" i="4"/>
  <c r="AK262" i="4"/>
  <c r="AK261" i="4"/>
  <c r="AK260" i="4"/>
  <c r="AK259" i="4"/>
  <c r="AK258" i="4"/>
  <c r="AK257" i="4"/>
  <c r="AK256" i="4"/>
  <c r="AK255" i="4"/>
  <c r="AK254" i="4"/>
  <c r="AK253" i="4"/>
  <c r="AK252" i="4"/>
  <c r="AK251" i="4"/>
  <c r="AK250" i="4"/>
  <c r="AK249" i="4"/>
  <c r="AK248" i="4"/>
  <c r="AK247" i="4"/>
  <c r="AK246" i="4"/>
  <c r="AK245" i="4"/>
  <c r="AK244" i="4"/>
  <c r="AK243" i="4"/>
  <c r="AK242" i="4"/>
  <c r="AK241" i="4"/>
  <c r="AK240" i="4"/>
  <c r="AK239" i="4"/>
  <c r="AK238" i="4"/>
  <c r="AK237" i="4"/>
  <c r="AK236" i="4"/>
  <c r="AK235" i="4"/>
  <c r="AK234" i="4"/>
  <c r="AK233" i="4"/>
  <c r="AK232" i="4"/>
  <c r="AK231" i="4"/>
  <c r="AK230" i="4"/>
  <c r="AK229" i="4"/>
  <c r="AK228" i="4"/>
  <c r="AK227" i="4"/>
  <c r="AK226" i="4"/>
  <c r="AK225" i="4"/>
  <c r="AK224" i="4"/>
  <c r="AK223" i="4"/>
  <c r="AK222" i="4"/>
  <c r="AK221" i="4"/>
  <c r="AK220" i="4"/>
  <c r="AK219" i="4"/>
  <c r="AK218" i="4"/>
  <c r="AK217" i="4"/>
  <c r="AK216" i="4"/>
  <c r="AK215" i="4"/>
  <c r="AK214" i="4"/>
  <c r="AK213" i="4"/>
  <c r="AK212" i="4"/>
  <c r="AK211" i="4"/>
  <c r="AK210" i="4"/>
  <c r="AK209" i="4"/>
  <c r="AK208" i="4"/>
  <c r="AK207" i="4"/>
  <c r="AK206" i="4"/>
  <c r="AK205" i="4"/>
  <c r="AK204" i="4"/>
  <c r="AK203" i="4"/>
  <c r="AK202" i="4"/>
  <c r="AK201" i="4"/>
  <c r="AK200" i="4"/>
  <c r="AK199" i="4"/>
  <c r="AK198" i="4"/>
  <c r="AK197" i="4"/>
  <c r="AK196" i="4"/>
  <c r="AK195" i="4"/>
  <c r="AK194" i="4"/>
  <c r="AK193" i="4"/>
  <c r="AK192" i="4"/>
  <c r="AK191" i="4"/>
  <c r="AK190" i="4"/>
  <c r="AK189" i="4"/>
  <c r="AK188" i="4"/>
  <c r="AK187" i="4"/>
  <c r="AK186" i="4"/>
  <c r="AK185" i="4"/>
  <c r="AK184" i="4"/>
  <c r="AK183" i="4"/>
  <c r="AK182" i="4"/>
  <c r="AK181" i="4"/>
  <c r="AK180" i="4"/>
  <c r="AK179" i="4"/>
  <c r="AK178" i="4"/>
  <c r="AK177" i="4"/>
  <c r="AK176" i="4"/>
  <c r="AK175" i="4"/>
  <c r="AK174" i="4"/>
  <c r="AK173" i="4"/>
  <c r="AK172" i="4"/>
  <c r="AK171" i="4"/>
  <c r="AK170" i="4"/>
  <c r="AK169" i="4"/>
  <c r="AK168" i="4"/>
  <c r="AK167" i="4"/>
  <c r="AK166" i="4"/>
  <c r="AK165" i="4"/>
  <c r="AK164" i="4"/>
  <c r="AK163" i="4"/>
  <c r="AK162" i="4"/>
  <c r="AK161" i="4"/>
  <c r="AK160" i="4"/>
  <c r="AK159" i="4"/>
  <c r="AK158" i="4"/>
  <c r="AK157" i="4"/>
  <c r="AK156" i="4"/>
  <c r="AK155" i="4"/>
  <c r="AK154" i="4"/>
  <c r="AK153" i="4"/>
  <c r="AK152" i="4"/>
  <c r="AK151" i="4"/>
  <c r="AK150" i="4"/>
  <c r="AK149" i="4"/>
  <c r="AK148" i="4"/>
  <c r="AK147" i="4"/>
  <c r="AK146" i="4"/>
  <c r="AK145" i="4"/>
  <c r="AK144" i="4"/>
  <c r="AK143" i="4"/>
  <c r="AK142" i="4"/>
  <c r="AK141" i="4"/>
  <c r="AK140" i="4"/>
  <c r="AK139" i="4"/>
  <c r="AK138" i="4"/>
  <c r="AK137" i="4"/>
  <c r="AK136" i="4"/>
  <c r="AK135" i="4"/>
  <c r="AK134" i="4"/>
  <c r="AK133" i="4"/>
  <c r="AK132" i="4"/>
  <c r="AK131" i="4"/>
  <c r="AK130" i="4"/>
  <c r="AK129" i="4"/>
  <c r="AK128" i="4"/>
  <c r="AK127" i="4"/>
  <c r="AK126" i="4"/>
  <c r="AK125" i="4"/>
  <c r="AK124" i="4"/>
  <c r="AK123" i="4"/>
  <c r="AK122" i="4"/>
  <c r="AK121" i="4"/>
  <c r="AK120" i="4"/>
  <c r="AK119" i="4"/>
  <c r="AK118" i="4"/>
  <c r="AK117" i="4"/>
  <c r="AK116" i="4"/>
  <c r="AK115" i="4"/>
  <c r="AK114" i="4"/>
  <c r="AK113" i="4"/>
  <c r="AK112" i="4"/>
  <c r="AK111" i="4"/>
  <c r="AK110" i="4"/>
  <c r="AK109" i="4"/>
  <c r="AK108" i="4"/>
  <c r="AK107" i="4"/>
  <c r="AK106" i="4"/>
  <c r="AK105" i="4"/>
  <c r="AK104" i="4"/>
  <c r="AK103" i="4"/>
  <c r="AK102" i="4"/>
  <c r="AK101" i="4"/>
  <c r="AK100" i="4"/>
  <c r="AK99" i="4"/>
  <c r="AK98" i="4"/>
  <c r="AK97" i="4"/>
  <c r="AK96" i="4"/>
  <c r="AK95" i="4"/>
  <c r="AK94" i="4"/>
  <c r="AK93" i="4"/>
  <c r="AK92" i="4"/>
  <c r="AK91" i="4"/>
  <c r="AK90" i="4"/>
  <c r="AK89" i="4"/>
  <c r="AK88" i="4"/>
  <c r="AK87" i="4"/>
  <c r="AK86" i="4"/>
  <c r="AK85" i="4"/>
  <c r="AK84" i="4"/>
  <c r="AK83" i="4"/>
  <c r="AK82" i="4"/>
  <c r="AK81" i="4"/>
  <c r="AK80" i="4"/>
  <c r="AK79" i="4"/>
  <c r="AK78" i="4"/>
  <c r="AK77" i="4"/>
  <c r="AK76" i="4"/>
  <c r="AK75" i="4"/>
  <c r="AK74" i="4"/>
  <c r="AK73" i="4"/>
  <c r="AK72" i="4"/>
  <c r="AK71" i="4"/>
  <c r="AK70" i="4"/>
  <c r="AK69" i="4"/>
  <c r="AK68" i="4"/>
  <c r="AK67" i="4"/>
  <c r="AK66" i="4"/>
  <c r="AK65" i="4"/>
  <c r="AK64" i="4"/>
  <c r="AK63" i="4"/>
  <c r="AK62" i="4"/>
  <c r="AK61" i="4"/>
  <c r="AK60" i="4"/>
  <c r="AK59" i="4"/>
  <c r="AK58" i="4"/>
  <c r="AK57" i="4"/>
  <c r="AK56" i="4"/>
  <c r="AK55" i="4"/>
  <c r="AK54" i="4"/>
  <c r="AK53" i="4"/>
  <c r="AK52" i="4"/>
  <c r="AK51" i="4"/>
  <c r="AK50" i="4"/>
  <c r="AK49" i="4"/>
  <c r="AK48" i="4"/>
  <c r="AK47" i="4"/>
  <c r="AK46" i="4"/>
  <c r="AK45" i="4"/>
  <c r="AK44" i="4"/>
  <c r="AK43" i="4"/>
  <c r="AK42" i="4"/>
  <c r="AK41" i="4"/>
  <c r="AK40" i="4"/>
  <c r="AK39" i="4"/>
  <c r="AK38" i="4"/>
  <c r="AK37" i="4"/>
  <c r="AK36" i="4"/>
  <c r="AK35" i="4"/>
  <c r="AK34" i="4"/>
  <c r="AK33" i="4"/>
  <c r="AK32" i="4"/>
  <c r="AK31" i="4"/>
  <c r="AK30" i="4"/>
  <c r="AK29" i="4"/>
  <c r="AK28" i="4"/>
  <c r="AK27" i="4"/>
  <c r="AK26" i="4"/>
  <c r="AK25" i="4"/>
  <c r="AK24" i="4"/>
  <c r="AK23" i="4"/>
  <c r="AK22" i="4"/>
  <c r="AK21" i="4"/>
  <c r="AK20" i="4"/>
  <c r="AK19" i="4"/>
  <c r="AK18" i="4"/>
  <c r="AK17" i="4"/>
  <c r="AK16" i="4"/>
  <c r="AK15" i="4"/>
  <c r="AK14" i="4"/>
  <c r="AK13" i="4"/>
  <c r="AK12" i="4"/>
  <c r="AK11" i="4"/>
  <c r="AK10" i="4"/>
  <c r="AK9" i="4"/>
  <c r="AK8" i="4"/>
  <c r="AK7" i="4"/>
  <c r="AK6" i="4"/>
  <c r="AK5" i="4"/>
  <c r="AK4" i="4"/>
  <c r="AK3" i="4"/>
  <c r="AK2" i="4"/>
  <c r="AG1001" i="4"/>
  <c r="AG1000" i="4"/>
  <c r="AG999" i="4"/>
  <c r="AG998" i="4"/>
  <c r="AG997" i="4"/>
  <c r="AG996" i="4"/>
  <c r="AG995" i="4"/>
  <c r="AG994" i="4"/>
  <c r="AG993" i="4"/>
  <c r="AG992" i="4"/>
  <c r="AG991" i="4"/>
  <c r="AG990" i="4"/>
  <c r="AG989" i="4"/>
  <c r="AG988" i="4"/>
  <c r="AG987" i="4"/>
  <c r="AG986" i="4"/>
  <c r="AG985" i="4"/>
  <c r="AG984" i="4"/>
  <c r="AG983" i="4"/>
  <c r="AG982" i="4"/>
  <c r="AG981" i="4"/>
  <c r="AG980" i="4"/>
  <c r="AG979" i="4"/>
  <c r="AG978" i="4"/>
  <c r="AG977" i="4"/>
  <c r="AG976" i="4"/>
  <c r="AG975" i="4"/>
  <c r="AG974" i="4"/>
  <c r="AG973" i="4"/>
  <c r="AG972" i="4"/>
  <c r="AG971" i="4"/>
  <c r="AG970" i="4"/>
  <c r="AG969" i="4"/>
  <c r="AG968" i="4"/>
  <c r="AG967" i="4"/>
  <c r="AG966" i="4"/>
  <c r="AG965" i="4"/>
  <c r="AG964" i="4"/>
  <c r="AG963" i="4"/>
  <c r="AG962" i="4"/>
  <c r="AG961" i="4"/>
  <c r="AG960" i="4"/>
  <c r="AG959" i="4"/>
  <c r="AG958" i="4"/>
  <c r="AG957" i="4"/>
  <c r="AG956" i="4"/>
  <c r="AG955" i="4"/>
  <c r="AG954" i="4"/>
  <c r="AG953" i="4"/>
  <c r="AG952" i="4"/>
  <c r="AG951" i="4"/>
  <c r="AG950" i="4"/>
  <c r="AG949" i="4"/>
  <c r="AG948" i="4"/>
  <c r="AG947" i="4"/>
  <c r="AG946" i="4"/>
  <c r="AG945" i="4"/>
  <c r="AG944" i="4"/>
  <c r="AG943" i="4"/>
  <c r="AG942" i="4"/>
  <c r="AG941" i="4"/>
  <c r="AG940" i="4"/>
  <c r="AG939" i="4"/>
  <c r="AG938" i="4"/>
  <c r="AG937" i="4"/>
  <c r="AG936" i="4"/>
  <c r="AG935" i="4"/>
  <c r="AG934" i="4"/>
  <c r="AG933" i="4"/>
  <c r="AG932" i="4"/>
  <c r="AG931" i="4"/>
  <c r="AG930" i="4"/>
  <c r="AG929" i="4"/>
  <c r="AG928" i="4"/>
  <c r="AG927" i="4"/>
  <c r="AG926" i="4"/>
  <c r="AG925" i="4"/>
  <c r="AG924" i="4"/>
  <c r="AG923" i="4"/>
  <c r="AG922" i="4"/>
  <c r="AG921" i="4"/>
  <c r="AG920" i="4"/>
  <c r="AG919" i="4"/>
  <c r="AG918" i="4"/>
  <c r="AG917" i="4"/>
  <c r="AG916" i="4"/>
  <c r="AG915" i="4"/>
  <c r="AG914" i="4"/>
  <c r="AG913" i="4"/>
  <c r="AG912" i="4"/>
  <c r="AG911" i="4"/>
  <c r="AG910" i="4"/>
  <c r="AG909" i="4"/>
  <c r="AG908" i="4"/>
  <c r="AG907" i="4"/>
  <c r="AG906" i="4"/>
  <c r="AG905" i="4"/>
  <c r="AG904" i="4"/>
  <c r="AG903" i="4"/>
  <c r="AG902" i="4"/>
  <c r="AG901" i="4"/>
  <c r="AG900" i="4"/>
  <c r="AG899" i="4"/>
  <c r="AG898" i="4"/>
  <c r="AG897" i="4"/>
  <c r="AG896" i="4"/>
  <c r="AG895" i="4"/>
  <c r="AG894" i="4"/>
  <c r="AG893" i="4"/>
  <c r="AG892" i="4"/>
  <c r="AG891" i="4"/>
  <c r="AG890" i="4"/>
  <c r="AG889" i="4"/>
  <c r="AG888" i="4"/>
  <c r="AG887" i="4"/>
  <c r="AG886" i="4"/>
  <c r="AG885" i="4"/>
  <c r="AG884" i="4"/>
  <c r="AG883" i="4"/>
  <c r="AG882" i="4"/>
  <c r="AG881" i="4"/>
  <c r="AG880" i="4"/>
  <c r="AG879" i="4"/>
  <c r="AG878" i="4"/>
  <c r="AG877" i="4"/>
  <c r="AG876" i="4"/>
  <c r="AG875" i="4"/>
  <c r="AG874" i="4"/>
  <c r="AG873" i="4"/>
  <c r="AG872" i="4"/>
  <c r="AG871" i="4"/>
  <c r="AG870" i="4"/>
  <c r="AG869" i="4"/>
  <c r="AG868" i="4"/>
  <c r="AG867" i="4"/>
  <c r="AG866" i="4"/>
  <c r="AG865" i="4"/>
  <c r="AG864" i="4"/>
  <c r="AG863" i="4"/>
  <c r="AG862" i="4"/>
  <c r="AG861" i="4"/>
  <c r="AG860" i="4"/>
  <c r="AG859" i="4"/>
  <c r="AG858" i="4"/>
  <c r="AG857" i="4"/>
  <c r="AG856" i="4"/>
  <c r="AG855" i="4"/>
  <c r="AG854" i="4"/>
  <c r="AG853" i="4"/>
  <c r="AG852" i="4"/>
  <c r="AG851" i="4"/>
  <c r="AG850" i="4"/>
  <c r="AG849" i="4"/>
  <c r="AG848" i="4"/>
  <c r="AG847" i="4"/>
  <c r="AG846" i="4"/>
  <c r="AG845" i="4"/>
  <c r="AG844" i="4"/>
  <c r="AG843" i="4"/>
  <c r="AG842" i="4"/>
  <c r="AG841" i="4"/>
  <c r="AG840" i="4"/>
  <c r="AG839" i="4"/>
  <c r="AG838" i="4"/>
  <c r="AG837" i="4"/>
  <c r="AG836" i="4"/>
  <c r="AG835" i="4"/>
  <c r="AG834" i="4"/>
  <c r="AG833" i="4"/>
  <c r="AG832" i="4"/>
  <c r="AG831" i="4"/>
  <c r="AG830" i="4"/>
  <c r="AG829" i="4"/>
  <c r="AG828" i="4"/>
  <c r="AG827" i="4"/>
  <c r="AG826" i="4"/>
  <c r="AG825" i="4"/>
  <c r="AG824" i="4"/>
  <c r="AG823" i="4"/>
  <c r="AG822" i="4"/>
  <c r="AG821" i="4"/>
  <c r="AG820" i="4"/>
  <c r="AG819" i="4"/>
  <c r="AG818" i="4"/>
  <c r="AG817" i="4"/>
  <c r="AG816" i="4"/>
  <c r="AG815" i="4"/>
  <c r="AG814" i="4"/>
  <c r="AG813" i="4"/>
  <c r="AG812" i="4"/>
  <c r="AG811" i="4"/>
  <c r="AG810" i="4"/>
  <c r="AG809" i="4"/>
  <c r="AG808" i="4"/>
  <c r="AG807" i="4"/>
  <c r="AG806" i="4"/>
  <c r="AG805" i="4"/>
  <c r="AG804" i="4"/>
  <c r="AG803" i="4"/>
  <c r="AG802" i="4"/>
  <c r="AG801" i="4"/>
  <c r="AG800" i="4"/>
  <c r="AG799" i="4"/>
  <c r="AG798" i="4"/>
  <c r="AG797" i="4"/>
  <c r="AG796" i="4"/>
  <c r="AG795" i="4"/>
  <c r="AG794" i="4"/>
  <c r="AG793" i="4"/>
  <c r="AG792" i="4"/>
  <c r="AG791" i="4"/>
  <c r="AG790" i="4"/>
  <c r="AG789" i="4"/>
  <c r="AG788" i="4"/>
  <c r="AG787" i="4"/>
  <c r="AG786" i="4"/>
  <c r="AG785" i="4"/>
  <c r="AG784" i="4"/>
  <c r="AG783" i="4"/>
  <c r="AG782" i="4"/>
  <c r="AG781" i="4"/>
  <c r="AG780" i="4"/>
  <c r="AG779" i="4"/>
  <c r="AG778" i="4"/>
  <c r="AG777" i="4"/>
  <c r="AG776" i="4"/>
  <c r="AG775" i="4"/>
  <c r="AG774" i="4"/>
  <c r="AG773" i="4"/>
  <c r="AG772" i="4"/>
  <c r="AG771" i="4"/>
  <c r="AG770" i="4"/>
  <c r="AG769" i="4"/>
  <c r="AG768" i="4"/>
  <c r="AG767" i="4"/>
  <c r="AG766" i="4"/>
  <c r="AG765" i="4"/>
  <c r="AG764" i="4"/>
  <c r="AG763" i="4"/>
  <c r="AG762" i="4"/>
  <c r="AG761" i="4"/>
  <c r="AG760" i="4"/>
  <c r="AG759" i="4"/>
  <c r="AG758" i="4"/>
  <c r="AG757" i="4"/>
  <c r="AG756" i="4"/>
  <c r="AG755" i="4"/>
  <c r="AG754" i="4"/>
  <c r="AG753" i="4"/>
  <c r="AG752" i="4"/>
  <c r="AG751" i="4"/>
  <c r="AG750" i="4"/>
  <c r="AG749" i="4"/>
  <c r="AG748" i="4"/>
  <c r="AG747" i="4"/>
  <c r="AG746" i="4"/>
  <c r="AG745" i="4"/>
  <c r="AG744" i="4"/>
  <c r="AG743" i="4"/>
  <c r="AG742" i="4"/>
  <c r="AG741" i="4"/>
  <c r="AG740" i="4"/>
  <c r="AG739" i="4"/>
  <c r="AG738" i="4"/>
  <c r="AG737" i="4"/>
  <c r="AG736" i="4"/>
  <c r="AG735" i="4"/>
  <c r="AG734" i="4"/>
  <c r="AG733" i="4"/>
  <c r="AG732" i="4"/>
  <c r="AG731" i="4"/>
  <c r="AG730" i="4"/>
  <c r="AG729" i="4"/>
  <c r="AG728" i="4"/>
  <c r="AG727" i="4"/>
  <c r="AG726" i="4"/>
  <c r="AG725" i="4"/>
  <c r="AG724" i="4"/>
  <c r="AG723" i="4"/>
  <c r="AG722" i="4"/>
  <c r="AG721" i="4"/>
  <c r="AG720" i="4"/>
  <c r="AG719" i="4"/>
  <c r="AG718" i="4"/>
  <c r="AG717" i="4"/>
  <c r="AG716" i="4"/>
  <c r="AG715" i="4"/>
  <c r="AG714" i="4"/>
  <c r="AG713" i="4"/>
  <c r="AG712" i="4"/>
  <c r="AG711" i="4"/>
  <c r="AG710" i="4"/>
  <c r="AG709" i="4"/>
  <c r="AG708" i="4"/>
  <c r="AG707" i="4"/>
  <c r="AG706" i="4"/>
  <c r="AG705" i="4"/>
  <c r="AG704" i="4"/>
  <c r="AG703" i="4"/>
  <c r="AG702" i="4"/>
  <c r="AG701" i="4"/>
  <c r="AG700" i="4"/>
  <c r="AG699" i="4"/>
  <c r="AG698" i="4"/>
  <c r="AG697" i="4"/>
  <c r="AG696" i="4"/>
  <c r="AG695" i="4"/>
  <c r="AG694" i="4"/>
  <c r="AG693" i="4"/>
  <c r="AG692" i="4"/>
  <c r="AG691" i="4"/>
  <c r="AG690" i="4"/>
  <c r="AG689" i="4"/>
  <c r="AG688" i="4"/>
  <c r="AG687" i="4"/>
  <c r="AG686" i="4"/>
  <c r="AG685" i="4"/>
  <c r="AG684" i="4"/>
  <c r="AG683" i="4"/>
  <c r="AG682" i="4"/>
  <c r="AG681" i="4"/>
  <c r="AG680" i="4"/>
  <c r="AG679" i="4"/>
  <c r="AG678" i="4"/>
  <c r="AG677" i="4"/>
  <c r="AG676" i="4"/>
  <c r="AG675" i="4"/>
  <c r="AG674" i="4"/>
  <c r="AG673" i="4"/>
  <c r="AG672" i="4"/>
  <c r="AG671" i="4"/>
  <c r="AG670" i="4"/>
  <c r="AG669" i="4"/>
  <c r="AG668" i="4"/>
  <c r="AG667" i="4"/>
  <c r="AG666" i="4"/>
  <c r="AG665" i="4"/>
  <c r="AG664" i="4"/>
  <c r="AG663" i="4"/>
  <c r="AG662" i="4"/>
  <c r="AG661" i="4"/>
  <c r="AG660" i="4"/>
  <c r="AG659" i="4"/>
  <c r="AG658" i="4"/>
  <c r="AG657" i="4"/>
  <c r="AG656" i="4"/>
  <c r="AG655" i="4"/>
  <c r="AG654" i="4"/>
  <c r="AG653" i="4"/>
  <c r="AG652" i="4"/>
  <c r="AG651" i="4"/>
  <c r="AG650" i="4"/>
  <c r="AG649" i="4"/>
  <c r="AG648" i="4"/>
  <c r="AG647" i="4"/>
  <c r="AG646" i="4"/>
  <c r="AG645" i="4"/>
  <c r="AG644" i="4"/>
  <c r="AG643" i="4"/>
  <c r="AG642" i="4"/>
  <c r="AG641" i="4"/>
  <c r="AG640" i="4"/>
  <c r="AG639" i="4"/>
  <c r="AG638" i="4"/>
  <c r="AG637" i="4"/>
  <c r="AG636" i="4"/>
  <c r="AG635" i="4"/>
  <c r="AG634" i="4"/>
  <c r="AG633" i="4"/>
  <c r="AG632" i="4"/>
  <c r="AG631" i="4"/>
  <c r="AG630" i="4"/>
  <c r="AG629" i="4"/>
  <c r="AG628" i="4"/>
  <c r="AG627" i="4"/>
  <c r="AG626" i="4"/>
  <c r="AG625" i="4"/>
  <c r="AG624" i="4"/>
  <c r="AG623" i="4"/>
  <c r="AG622" i="4"/>
  <c r="AG621" i="4"/>
  <c r="AG620" i="4"/>
  <c r="AG619" i="4"/>
  <c r="AG618" i="4"/>
  <c r="AG617" i="4"/>
  <c r="AG616" i="4"/>
  <c r="AG615" i="4"/>
  <c r="AG614" i="4"/>
  <c r="AG613" i="4"/>
  <c r="AG612" i="4"/>
  <c r="AG611" i="4"/>
  <c r="AG610" i="4"/>
  <c r="AG609" i="4"/>
  <c r="AG608" i="4"/>
  <c r="AG607" i="4"/>
  <c r="AG606" i="4"/>
  <c r="AG605" i="4"/>
  <c r="AG604" i="4"/>
  <c r="AG603" i="4"/>
  <c r="AG602" i="4"/>
  <c r="AG601" i="4"/>
  <c r="AG600" i="4"/>
  <c r="AG599" i="4"/>
  <c r="AG598" i="4"/>
  <c r="AG597" i="4"/>
  <c r="AG596" i="4"/>
  <c r="AG595" i="4"/>
  <c r="AG594" i="4"/>
  <c r="AG593" i="4"/>
  <c r="AG592" i="4"/>
  <c r="AG591" i="4"/>
  <c r="AG590" i="4"/>
  <c r="AG589" i="4"/>
  <c r="AG588" i="4"/>
  <c r="AG587" i="4"/>
  <c r="AG586" i="4"/>
  <c r="AG585" i="4"/>
  <c r="AG584" i="4"/>
  <c r="AG583" i="4"/>
  <c r="AG582" i="4"/>
  <c r="AG581" i="4"/>
  <c r="AG580" i="4"/>
  <c r="AG579" i="4"/>
  <c r="AG578" i="4"/>
  <c r="AG577" i="4"/>
  <c r="AG576" i="4"/>
  <c r="AG575" i="4"/>
  <c r="AG574" i="4"/>
  <c r="AG573" i="4"/>
  <c r="AG572" i="4"/>
  <c r="AG571" i="4"/>
  <c r="AG570" i="4"/>
  <c r="AG569" i="4"/>
  <c r="AG568" i="4"/>
  <c r="AG567" i="4"/>
  <c r="AG566" i="4"/>
  <c r="AG565" i="4"/>
  <c r="AG564" i="4"/>
  <c r="AG563" i="4"/>
  <c r="AG562" i="4"/>
  <c r="AG561" i="4"/>
  <c r="AG560" i="4"/>
  <c r="AG559" i="4"/>
  <c r="AG558" i="4"/>
  <c r="AG557" i="4"/>
  <c r="AG556" i="4"/>
  <c r="AG555" i="4"/>
  <c r="AG554" i="4"/>
  <c r="AG553" i="4"/>
  <c r="AG552" i="4"/>
  <c r="AG551" i="4"/>
  <c r="AG550" i="4"/>
  <c r="AG549" i="4"/>
  <c r="AG548" i="4"/>
  <c r="AG547" i="4"/>
  <c r="AG546" i="4"/>
  <c r="AG545" i="4"/>
  <c r="AG544" i="4"/>
  <c r="AG543" i="4"/>
  <c r="AG542" i="4"/>
  <c r="AG541" i="4"/>
  <c r="AG540" i="4"/>
  <c r="AG539" i="4"/>
  <c r="AG538" i="4"/>
  <c r="AG537" i="4"/>
  <c r="AG536" i="4"/>
  <c r="AG535" i="4"/>
  <c r="AG534" i="4"/>
  <c r="AG533" i="4"/>
  <c r="AG532" i="4"/>
  <c r="AG531" i="4"/>
  <c r="AG530" i="4"/>
  <c r="AG529" i="4"/>
  <c r="AG528" i="4"/>
  <c r="AG527" i="4"/>
  <c r="AG526" i="4"/>
  <c r="AG525" i="4"/>
  <c r="AG524" i="4"/>
  <c r="AG523" i="4"/>
  <c r="AG522" i="4"/>
  <c r="AG521" i="4"/>
  <c r="AG520" i="4"/>
  <c r="AG519" i="4"/>
  <c r="AG518" i="4"/>
  <c r="AG517" i="4"/>
  <c r="AG516" i="4"/>
  <c r="AG515" i="4"/>
  <c r="AG514" i="4"/>
  <c r="AG513" i="4"/>
  <c r="AG512" i="4"/>
  <c r="AG511" i="4"/>
  <c r="AG510" i="4"/>
  <c r="AG509" i="4"/>
  <c r="AG508" i="4"/>
  <c r="AG507" i="4"/>
  <c r="AG506" i="4"/>
  <c r="AG505" i="4"/>
  <c r="AG504" i="4"/>
  <c r="AG503" i="4"/>
  <c r="AG502" i="4"/>
  <c r="AG501" i="4"/>
  <c r="AG500" i="4"/>
  <c r="AG499" i="4"/>
  <c r="AG498" i="4"/>
  <c r="AG497" i="4"/>
  <c r="AG496" i="4"/>
  <c r="AG495" i="4"/>
  <c r="AG494" i="4"/>
  <c r="AG493" i="4"/>
  <c r="AG492" i="4"/>
  <c r="AG491" i="4"/>
  <c r="AG490" i="4"/>
  <c r="AG489" i="4"/>
  <c r="AG488" i="4"/>
  <c r="AG487" i="4"/>
  <c r="AG486" i="4"/>
  <c r="AG485" i="4"/>
  <c r="AG484" i="4"/>
  <c r="AG483" i="4"/>
  <c r="AG482" i="4"/>
  <c r="AG481" i="4"/>
  <c r="AG480" i="4"/>
  <c r="AG479" i="4"/>
  <c r="AG478" i="4"/>
  <c r="AG477" i="4"/>
  <c r="AG476" i="4"/>
  <c r="AG475" i="4"/>
  <c r="AG474" i="4"/>
  <c r="AG473" i="4"/>
  <c r="AG472" i="4"/>
  <c r="AG471" i="4"/>
  <c r="AG470" i="4"/>
  <c r="AG469" i="4"/>
  <c r="AG468" i="4"/>
  <c r="AG467" i="4"/>
  <c r="AG466" i="4"/>
  <c r="AG465" i="4"/>
  <c r="AG464" i="4"/>
  <c r="AG463" i="4"/>
  <c r="AG462" i="4"/>
  <c r="AG461" i="4"/>
  <c r="AG460" i="4"/>
  <c r="AG459" i="4"/>
  <c r="AG458" i="4"/>
  <c r="AG457" i="4"/>
  <c r="AG456" i="4"/>
  <c r="AG455" i="4"/>
  <c r="AG454" i="4"/>
  <c r="AG453" i="4"/>
  <c r="AG452" i="4"/>
  <c r="AG451" i="4"/>
  <c r="AG450" i="4"/>
  <c r="AG449" i="4"/>
  <c r="AG448" i="4"/>
  <c r="AG447" i="4"/>
  <c r="AG446" i="4"/>
  <c r="AG445" i="4"/>
  <c r="AG444" i="4"/>
  <c r="AG443" i="4"/>
  <c r="AG442" i="4"/>
  <c r="AG441" i="4"/>
  <c r="AG440" i="4"/>
  <c r="AG439" i="4"/>
  <c r="AG438" i="4"/>
  <c r="AG437" i="4"/>
  <c r="AG436" i="4"/>
  <c r="AG435" i="4"/>
  <c r="AG434" i="4"/>
  <c r="AG433" i="4"/>
  <c r="AG432" i="4"/>
  <c r="AG431" i="4"/>
  <c r="AG430" i="4"/>
  <c r="AG429" i="4"/>
  <c r="AG428" i="4"/>
  <c r="AG427" i="4"/>
  <c r="AG426" i="4"/>
  <c r="AG425" i="4"/>
  <c r="AG424" i="4"/>
  <c r="AG423" i="4"/>
  <c r="AG422" i="4"/>
  <c r="AG421" i="4"/>
  <c r="AG420" i="4"/>
  <c r="AG419" i="4"/>
  <c r="AG418" i="4"/>
  <c r="AG417" i="4"/>
  <c r="AG416" i="4"/>
  <c r="AG415" i="4"/>
  <c r="AG414" i="4"/>
  <c r="AG413" i="4"/>
  <c r="AG412" i="4"/>
  <c r="AG411" i="4"/>
  <c r="AG410" i="4"/>
  <c r="AG409" i="4"/>
  <c r="AG408" i="4"/>
  <c r="AG407" i="4"/>
  <c r="AG406" i="4"/>
  <c r="AG405" i="4"/>
  <c r="AG404" i="4"/>
  <c r="AG403" i="4"/>
  <c r="AG402" i="4"/>
  <c r="AG401" i="4"/>
  <c r="AG400" i="4"/>
  <c r="AG399" i="4"/>
  <c r="AG398" i="4"/>
  <c r="AG397" i="4"/>
  <c r="AG396" i="4"/>
  <c r="AG395" i="4"/>
  <c r="AG394" i="4"/>
  <c r="AG393" i="4"/>
  <c r="AG392" i="4"/>
  <c r="AG391" i="4"/>
  <c r="AG390" i="4"/>
  <c r="AG389" i="4"/>
  <c r="AG388" i="4"/>
  <c r="AG387" i="4"/>
  <c r="AG386" i="4"/>
  <c r="AG385" i="4"/>
  <c r="AG384" i="4"/>
  <c r="AG383" i="4"/>
  <c r="AG382" i="4"/>
  <c r="AG381" i="4"/>
  <c r="AG380" i="4"/>
  <c r="AG379" i="4"/>
  <c r="AG378" i="4"/>
  <c r="AG377" i="4"/>
  <c r="AG376" i="4"/>
  <c r="AG375" i="4"/>
  <c r="AG374" i="4"/>
  <c r="AG373" i="4"/>
  <c r="AG372" i="4"/>
  <c r="AG371" i="4"/>
  <c r="AG370" i="4"/>
  <c r="AG369" i="4"/>
  <c r="AG368" i="4"/>
  <c r="AG367" i="4"/>
  <c r="AG366" i="4"/>
  <c r="AG365" i="4"/>
  <c r="AG364" i="4"/>
  <c r="AG363" i="4"/>
  <c r="AG362" i="4"/>
  <c r="AG361" i="4"/>
  <c r="AG360" i="4"/>
  <c r="AG359" i="4"/>
  <c r="AG358" i="4"/>
  <c r="AG357" i="4"/>
  <c r="AG356" i="4"/>
  <c r="AG355" i="4"/>
  <c r="AG354" i="4"/>
  <c r="AG353" i="4"/>
  <c r="AG352" i="4"/>
  <c r="AG351" i="4"/>
  <c r="AG350" i="4"/>
  <c r="AG349" i="4"/>
  <c r="AG348" i="4"/>
  <c r="AG347" i="4"/>
  <c r="AG346" i="4"/>
  <c r="AG345" i="4"/>
  <c r="AG344" i="4"/>
  <c r="AG343" i="4"/>
  <c r="AG342" i="4"/>
  <c r="AG341" i="4"/>
  <c r="AG340" i="4"/>
  <c r="AG339" i="4"/>
  <c r="AG338" i="4"/>
  <c r="AG337" i="4"/>
  <c r="AG336" i="4"/>
  <c r="AG335" i="4"/>
  <c r="AG334" i="4"/>
  <c r="AG333" i="4"/>
  <c r="AG332" i="4"/>
  <c r="AG331" i="4"/>
  <c r="AG330" i="4"/>
  <c r="AG329" i="4"/>
  <c r="AG328" i="4"/>
  <c r="AG327" i="4"/>
  <c r="AG326" i="4"/>
  <c r="AG325" i="4"/>
  <c r="AG324" i="4"/>
  <c r="AG323" i="4"/>
  <c r="AG322" i="4"/>
  <c r="AG321" i="4"/>
  <c r="AG320" i="4"/>
  <c r="AG319" i="4"/>
  <c r="AG318" i="4"/>
  <c r="AG317" i="4"/>
  <c r="AG316" i="4"/>
  <c r="AG315" i="4"/>
  <c r="AG314" i="4"/>
  <c r="AG313" i="4"/>
  <c r="AG312" i="4"/>
  <c r="AG311" i="4"/>
  <c r="AG310" i="4"/>
  <c r="AG309" i="4"/>
  <c r="AG308" i="4"/>
  <c r="AG307" i="4"/>
  <c r="AG306" i="4"/>
  <c r="AG305" i="4"/>
  <c r="AG304" i="4"/>
  <c r="AG303" i="4"/>
  <c r="AG302" i="4"/>
  <c r="AG301" i="4"/>
  <c r="AG300" i="4"/>
  <c r="AG299" i="4"/>
  <c r="AG298" i="4"/>
  <c r="AG297" i="4"/>
  <c r="AG296" i="4"/>
  <c r="AG295" i="4"/>
  <c r="AG294" i="4"/>
  <c r="AG293" i="4"/>
  <c r="AG292" i="4"/>
  <c r="AG291" i="4"/>
  <c r="AG290" i="4"/>
  <c r="AG289" i="4"/>
  <c r="AG288" i="4"/>
  <c r="AG287" i="4"/>
  <c r="AG286" i="4"/>
  <c r="AG285" i="4"/>
  <c r="AG284" i="4"/>
  <c r="AG283" i="4"/>
  <c r="AG282" i="4"/>
  <c r="AG281" i="4"/>
  <c r="AG280" i="4"/>
  <c r="AG279" i="4"/>
  <c r="AG278" i="4"/>
  <c r="AG277" i="4"/>
  <c r="AG276" i="4"/>
  <c r="AG275" i="4"/>
  <c r="AG274" i="4"/>
  <c r="AG273" i="4"/>
  <c r="AG272" i="4"/>
  <c r="AG271" i="4"/>
  <c r="AG270" i="4"/>
  <c r="AG269" i="4"/>
  <c r="AG268" i="4"/>
  <c r="AG267" i="4"/>
  <c r="AG266" i="4"/>
  <c r="AG265" i="4"/>
  <c r="AG264" i="4"/>
  <c r="AG263" i="4"/>
  <c r="AG262" i="4"/>
  <c r="AG261" i="4"/>
  <c r="AG260" i="4"/>
  <c r="AG259" i="4"/>
  <c r="AG258" i="4"/>
  <c r="AG257" i="4"/>
  <c r="AG256" i="4"/>
  <c r="AG255" i="4"/>
  <c r="AG254" i="4"/>
  <c r="AG253" i="4"/>
  <c r="AG252" i="4"/>
  <c r="AG251" i="4"/>
  <c r="AG250" i="4"/>
  <c r="AG249" i="4"/>
  <c r="AG248" i="4"/>
  <c r="AG247" i="4"/>
  <c r="AG246" i="4"/>
  <c r="AG245" i="4"/>
  <c r="AG244" i="4"/>
  <c r="AG243" i="4"/>
  <c r="AG242" i="4"/>
  <c r="AG241" i="4"/>
  <c r="AG240" i="4"/>
  <c r="AG239" i="4"/>
  <c r="AG238" i="4"/>
  <c r="AG237" i="4"/>
  <c r="AG236" i="4"/>
  <c r="AG235" i="4"/>
  <c r="AG234" i="4"/>
  <c r="AG233" i="4"/>
  <c r="AG232" i="4"/>
  <c r="AG231" i="4"/>
  <c r="AG230" i="4"/>
  <c r="AG229" i="4"/>
  <c r="AG228" i="4"/>
  <c r="AG227" i="4"/>
  <c r="AG226" i="4"/>
  <c r="AG225" i="4"/>
  <c r="AG224" i="4"/>
  <c r="AG223" i="4"/>
  <c r="AG222" i="4"/>
  <c r="AG221" i="4"/>
  <c r="AG220" i="4"/>
  <c r="AG219" i="4"/>
  <c r="AG218" i="4"/>
  <c r="AG217" i="4"/>
  <c r="AG216" i="4"/>
  <c r="AG215" i="4"/>
  <c r="AG214" i="4"/>
  <c r="AG213" i="4"/>
  <c r="AG212" i="4"/>
  <c r="AG211" i="4"/>
  <c r="AG210" i="4"/>
  <c r="AG209" i="4"/>
  <c r="AG208" i="4"/>
  <c r="AG207" i="4"/>
  <c r="AG206" i="4"/>
  <c r="AG205" i="4"/>
  <c r="AG204" i="4"/>
  <c r="AG203" i="4"/>
  <c r="AG202" i="4"/>
  <c r="AG201" i="4"/>
  <c r="AG200" i="4"/>
  <c r="AG199" i="4"/>
  <c r="AG198" i="4"/>
  <c r="AG197" i="4"/>
  <c r="AG196" i="4"/>
  <c r="AG195" i="4"/>
  <c r="AG194" i="4"/>
  <c r="AG193" i="4"/>
  <c r="AG192" i="4"/>
  <c r="AG191" i="4"/>
  <c r="AG190" i="4"/>
  <c r="AG189" i="4"/>
  <c r="AG188" i="4"/>
  <c r="AG187" i="4"/>
  <c r="AG186" i="4"/>
  <c r="AG185" i="4"/>
  <c r="AG184" i="4"/>
  <c r="AG183" i="4"/>
  <c r="AG182" i="4"/>
  <c r="AG181" i="4"/>
  <c r="AG180" i="4"/>
  <c r="AG179" i="4"/>
  <c r="AG178" i="4"/>
  <c r="AG177" i="4"/>
  <c r="AG176" i="4"/>
  <c r="AG175" i="4"/>
  <c r="AG174" i="4"/>
  <c r="AG173" i="4"/>
  <c r="AG172" i="4"/>
  <c r="AG171" i="4"/>
  <c r="AG170" i="4"/>
  <c r="AG169" i="4"/>
  <c r="AG168" i="4"/>
  <c r="AG167" i="4"/>
  <c r="AG166" i="4"/>
  <c r="AG165" i="4"/>
  <c r="AG164" i="4"/>
  <c r="AG163" i="4"/>
  <c r="AG162" i="4"/>
  <c r="AG161" i="4"/>
  <c r="AG160" i="4"/>
  <c r="AG159" i="4"/>
  <c r="AG158" i="4"/>
  <c r="AG157" i="4"/>
  <c r="AG156" i="4"/>
  <c r="AG155" i="4"/>
  <c r="AG154" i="4"/>
  <c r="AG153" i="4"/>
  <c r="AG152" i="4"/>
  <c r="AG151" i="4"/>
  <c r="AG150" i="4"/>
  <c r="AG149" i="4"/>
  <c r="AG148" i="4"/>
  <c r="AG147" i="4"/>
  <c r="AG146" i="4"/>
  <c r="AG145" i="4"/>
  <c r="AG144" i="4"/>
  <c r="AG143" i="4"/>
  <c r="AG142" i="4"/>
  <c r="AG141" i="4"/>
  <c r="AG140" i="4"/>
  <c r="AG139" i="4"/>
  <c r="AG138" i="4"/>
  <c r="AG137" i="4"/>
  <c r="AG136" i="4"/>
  <c r="AG135" i="4"/>
  <c r="AG134" i="4"/>
  <c r="AG133" i="4"/>
  <c r="AG132" i="4"/>
  <c r="AG131" i="4"/>
  <c r="AG130" i="4"/>
  <c r="AG129" i="4"/>
  <c r="AG128" i="4"/>
  <c r="AG127" i="4"/>
  <c r="AG126" i="4"/>
  <c r="AG125" i="4"/>
  <c r="AG124" i="4"/>
  <c r="AG123" i="4"/>
  <c r="AG122" i="4"/>
  <c r="AG121" i="4"/>
  <c r="AG120" i="4"/>
  <c r="AG119" i="4"/>
  <c r="AG118" i="4"/>
  <c r="AG117" i="4"/>
  <c r="AG116" i="4"/>
  <c r="AG115" i="4"/>
  <c r="AG114" i="4"/>
  <c r="AG113" i="4"/>
  <c r="AG112" i="4"/>
  <c r="AG111" i="4"/>
  <c r="AG110" i="4"/>
  <c r="AG109" i="4"/>
  <c r="AG108" i="4"/>
  <c r="AG107" i="4"/>
  <c r="AG106" i="4"/>
  <c r="AG105" i="4"/>
  <c r="AG104" i="4"/>
  <c r="AG103" i="4"/>
  <c r="AG102" i="4"/>
  <c r="AG101" i="4"/>
  <c r="AG100" i="4"/>
  <c r="AG99" i="4"/>
  <c r="AG98" i="4"/>
  <c r="AG97" i="4"/>
  <c r="AG96" i="4"/>
  <c r="AG95" i="4"/>
  <c r="AG94" i="4"/>
  <c r="AG93" i="4"/>
  <c r="AG92" i="4"/>
  <c r="AG91" i="4"/>
  <c r="AG90" i="4"/>
  <c r="AG89" i="4"/>
  <c r="AG88" i="4"/>
  <c r="AG87" i="4"/>
  <c r="AG86" i="4"/>
  <c r="AG85" i="4"/>
  <c r="AG84" i="4"/>
  <c r="AG83" i="4"/>
  <c r="AG82" i="4"/>
  <c r="AG81" i="4"/>
  <c r="AG80" i="4"/>
  <c r="AG79" i="4"/>
  <c r="AG78" i="4"/>
  <c r="AG77" i="4"/>
  <c r="AG76" i="4"/>
  <c r="AG75" i="4"/>
  <c r="AG74" i="4"/>
  <c r="AG73" i="4"/>
  <c r="AG72" i="4"/>
  <c r="AG71" i="4"/>
  <c r="AG70" i="4"/>
  <c r="AG69" i="4"/>
  <c r="AG68" i="4"/>
  <c r="AG67" i="4"/>
  <c r="AG66" i="4"/>
  <c r="AG65" i="4"/>
  <c r="AG64" i="4"/>
  <c r="AG63" i="4"/>
  <c r="AG62" i="4"/>
  <c r="AG61" i="4"/>
  <c r="AG60" i="4"/>
  <c r="AG59" i="4"/>
  <c r="AG58" i="4"/>
  <c r="AG57" i="4"/>
  <c r="AG56" i="4"/>
  <c r="AG55" i="4"/>
  <c r="AG54" i="4"/>
  <c r="AG53" i="4"/>
  <c r="AG52" i="4"/>
  <c r="AG51" i="4"/>
  <c r="AG50" i="4"/>
  <c r="AG49" i="4"/>
  <c r="AG48" i="4"/>
  <c r="AG47" i="4"/>
  <c r="AG46" i="4"/>
  <c r="AG45" i="4"/>
  <c r="AG44" i="4"/>
  <c r="AG43" i="4"/>
  <c r="AG42" i="4"/>
  <c r="AG41" i="4"/>
  <c r="AG40" i="4"/>
  <c r="AG39" i="4"/>
  <c r="AG38" i="4"/>
  <c r="AG37" i="4"/>
  <c r="AG36" i="4"/>
  <c r="AG35" i="4"/>
  <c r="AG34" i="4"/>
  <c r="AG33" i="4"/>
  <c r="AG32" i="4"/>
  <c r="AG31" i="4"/>
  <c r="AG30" i="4"/>
  <c r="AG29" i="4"/>
  <c r="AG28" i="4"/>
  <c r="AG27" i="4"/>
  <c r="AG26" i="4"/>
  <c r="AG25" i="4"/>
  <c r="AG24" i="4"/>
  <c r="AG23" i="4"/>
  <c r="AG22" i="4"/>
  <c r="AG21" i="4"/>
  <c r="AG20" i="4"/>
  <c r="AG19" i="4"/>
  <c r="AG18" i="4"/>
  <c r="AG17" i="4"/>
  <c r="AG16" i="4"/>
  <c r="AG15" i="4"/>
  <c r="AG14" i="4"/>
  <c r="AG13" i="4"/>
  <c r="AG12" i="4"/>
  <c r="AG11" i="4"/>
  <c r="AG10" i="4"/>
  <c r="AG9" i="4"/>
  <c r="AG8" i="4"/>
  <c r="AG7" i="4"/>
  <c r="AG6" i="4"/>
  <c r="AG5" i="4"/>
  <c r="AG4" i="4"/>
  <c r="AG3" i="4"/>
  <c r="AG2" i="4"/>
  <c r="AC1001" i="4"/>
  <c r="AC1000" i="4"/>
  <c r="AC999" i="4"/>
  <c r="AC998" i="4"/>
  <c r="AC997" i="4"/>
  <c r="AC996" i="4"/>
  <c r="AC995" i="4"/>
  <c r="AC994" i="4"/>
  <c r="AC993" i="4"/>
  <c r="AC992" i="4"/>
  <c r="AC991" i="4"/>
  <c r="AC990" i="4"/>
  <c r="AC989" i="4"/>
  <c r="AC988" i="4"/>
  <c r="AC987" i="4"/>
  <c r="AC986" i="4"/>
  <c r="AC985" i="4"/>
  <c r="AC984" i="4"/>
  <c r="AC983" i="4"/>
  <c r="AC982" i="4"/>
  <c r="AC981" i="4"/>
  <c r="AC980" i="4"/>
  <c r="AC979" i="4"/>
  <c r="AC978" i="4"/>
  <c r="AC977" i="4"/>
  <c r="AC976" i="4"/>
  <c r="AC975" i="4"/>
  <c r="AC974" i="4"/>
  <c r="AC973" i="4"/>
  <c r="AC972" i="4"/>
  <c r="AC971" i="4"/>
  <c r="AC970" i="4"/>
  <c r="AC969" i="4"/>
  <c r="AC968" i="4"/>
  <c r="AC967" i="4"/>
  <c r="AC966" i="4"/>
  <c r="AC965" i="4"/>
  <c r="AC964" i="4"/>
  <c r="AC963" i="4"/>
  <c r="AC962" i="4"/>
  <c r="AC961" i="4"/>
  <c r="AC960" i="4"/>
  <c r="AC959" i="4"/>
  <c r="AC958" i="4"/>
  <c r="AC957" i="4"/>
  <c r="AC956" i="4"/>
  <c r="AC955" i="4"/>
  <c r="AC954" i="4"/>
  <c r="AC953" i="4"/>
  <c r="AC952" i="4"/>
  <c r="AC951" i="4"/>
  <c r="AC950" i="4"/>
  <c r="AC949" i="4"/>
  <c r="AC948" i="4"/>
  <c r="AC947" i="4"/>
  <c r="AC946" i="4"/>
  <c r="AC945" i="4"/>
  <c r="AC944" i="4"/>
  <c r="AC943" i="4"/>
  <c r="AC942" i="4"/>
  <c r="AC941" i="4"/>
  <c r="AC940" i="4"/>
  <c r="AC939" i="4"/>
  <c r="AC938" i="4"/>
  <c r="AC937" i="4"/>
  <c r="AC936" i="4"/>
  <c r="AC935" i="4"/>
  <c r="AC934" i="4"/>
  <c r="AC933" i="4"/>
  <c r="AC932" i="4"/>
  <c r="AC931" i="4"/>
  <c r="AC930" i="4"/>
  <c r="AC929" i="4"/>
  <c r="AC928" i="4"/>
  <c r="AC927" i="4"/>
  <c r="AC926" i="4"/>
  <c r="AC925" i="4"/>
  <c r="AC924" i="4"/>
  <c r="AC923" i="4"/>
  <c r="AC922" i="4"/>
  <c r="AC921" i="4"/>
  <c r="AC920" i="4"/>
  <c r="AC919" i="4"/>
  <c r="AC918" i="4"/>
  <c r="AC917" i="4"/>
  <c r="AC916" i="4"/>
  <c r="AC915" i="4"/>
  <c r="AC914" i="4"/>
  <c r="AC913" i="4"/>
  <c r="AC912" i="4"/>
  <c r="AC911" i="4"/>
  <c r="AC910" i="4"/>
  <c r="AC909" i="4"/>
  <c r="AC908" i="4"/>
  <c r="AC907" i="4"/>
  <c r="AC906" i="4"/>
  <c r="AC905" i="4"/>
  <c r="AC904" i="4"/>
  <c r="AC903" i="4"/>
  <c r="AC902" i="4"/>
  <c r="AC901" i="4"/>
  <c r="AC900" i="4"/>
  <c r="AC899" i="4"/>
  <c r="AC898" i="4"/>
  <c r="AC897" i="4"/>
  <c r="AC896" i="4"/>
  <c r="AC895" i="4"/>
  <c r="AC894" i="4"/>
  <c r="AC893" i="4"/>
  <c r="AC892" i="4"/>
  <c r="AC891" i="4"/>
  <c r="AC890" i="4"/>
  <c r="AC889" i="4"/>
  <c r="AC888" i="4"/>
  <c r="AC887" i="4"/>
  <c r="AC886" i="4"/>
  <c r="AC885" i="4"/>
  <c r="AC884" i="4"/>
  <c r="AC883" i="4"/>
  <c r="AC882" i="4"/>
  <c r="AC881" i="4"/>
  <c r="AC880" i="4"/>
  <c r="AC879" i="4"/>
  <c r="AC878" i="4"/>
  <c r="AC877" i="4"/>
  <c r="AC876" i="4"/>
  <c r="AC875" i="4"/>
  <c r="AC874" i="4"/>
  <c r="AC873" i="4"/>
  <c r="AC872" i="4"/>
  <c r="AC871" i="4"/>
  <c r="AC870" i="4"/>
  <c r="AC869" i="4"/>
  <c r="AC868" i="4"/>
  <c r="AC867" i="4"/>
  <c r="AC866" i="4"/>
  <c r="AC865" i="4"/>
  <c r="AC864" i="4"/>
  <c r="AC863" i="4"/>
  <c r="AC862" i="4"/>
  <c r="AC861" i="4"/>
  <c r="AC860" i="4"/>
  <c r="AC859" i="4"/>
  <c r="AC858" i="4"/>
  <c r="AC857" i="4"/>
  <c r="AC856" i="4"/>
  <c r="AC855" i="4"/>
  <c r="AC854" i="4"/>
  <c r="AC853" i="4"/>
  <c r="AC852" i="4"/>
  <c r="AC851" i="4"/>
  <c r="AC850" i="4"/>
  <c r="AC849" i="4"/>
  <c r="AC848" i="4"/>
  <c r="AC847" i="4"/>
  <c r="AC846" i="4"/>
  <c r="AC845" i="4"/>
  <c r="AC844" i="4"/>
  <c r="AC843" i="4"/>
  <c r="AC842" i="4"/>
  <c r="AC841" i="4"/>
  <c r="AC840" i="4"/>
  <c r="AC839" i="4"/>
  <c r="AC838" i="4"/>
  <c r="AC837" i="4"/>
  <c r="AC836" i="4"/>
  <c r="AC835" i="4"/>
  <c r="AC834" i="4"/>
  <c r="AC833" i="4"/>
  <c r="AC832" i="4"/>
  <c r="AC831" i="4"/>
  <c r="AC830" i="4"/>
  <c r="AC829" i="4"/>
  <c r="AC828" i="4"/>
  <c r="AC827" i="4"/>
  <c r="AC826" i="4"/>
  <c r="AC825" i="4"/>
  <c r="AC824" i="4"/>
  <c r="AC823" i="4"/>
  <c r="AC822" i="4"/>
  <c r="AC821" i="4"/>
  <c r="AC820" i="4"/>
  <c r="AC819" i="4"/>
  <c r="AC818" i="4"/>
  <c r="AC817" i="4"/>
  <c r="AC816" i="4"/>
  <c r="AC815" i="4"/>
  <c r="AC814" i="4"/>
  <c r="AC813" i="4"/>
  <c r="AC812" i="4"/>
  <c r="AC811" i="4"/>
  <c r="AC810" i="4"/>
  <c r="AC809" i="4"/>
  <c r="AC808" i="4"/>
  <c r="AC807" i="4"/>
  <c r="AC806" i="4"/>
  <c r="AC805" i="4"/>
  <c r="AC804" i="4"/>
  <c r="AC803" i="4"/>
  <c r="AC802" i="4"/>
  <c r="AC801" i="4"/>
  <c r="AC800" i="4"/>
  <c r="AC799" i="4"/>
  <c r="AC798" i="4"/>
  <c r="AC797" i="4"/>
  <c r="AC796" i="4"/>
  <c r="AC795" i="4"/>
  <c r="AC794" i="4"/>
  <c r="AC793" i="4"/>
  <c r="AC792" i="4"/>
  <c r="AC791" i="4"/>
  <c r="AC790" i="4"/>
  <c r="AC789" i="4"/>
  <c r="AC788" i="4"/>
  <c r="AC787" i="4"/>
  <c r="AC786" i="4"/>
  <c r="AC785" i="4"/>
  <c r="AC784" i="4"/>
  <c r="AC783" i="4"/>
  <c r="AC782" i="4"/>
  <c r="AC781" i="4"/>
  <c r="AC780" i="4"/>
  <c r="AC779" i="4"/>
  <c r="AC778" i="4"/>
  <c r="AC777" i="4"/>
  <c r="AC776" i="4"/>
  <c r="AC775" i="4"/>
  <c r="AC774" i="4"/>
  <c r="AC773" i="4"/>
  <c r="AC772" i="4"/>
  <c r="AC771" i="4"/>
  <c r="AC770" i="4"/>
  <c r="AC769" i="4"/>
  <c r="AC768" i="4"/>
  <c r="AC767" i="4"/>
  <c r="AC766" i="4"/>
  <c r="AC765" i="4"/>
  <c r="AC764" i="4"/>
  <c r="AC763" i="4"/>
  <c r="AC762" i="4"/>
  <c r="AC761" i="4"/>
  <c r="AC760" i="4"/>
  <c r="AC759" i="4"/>
  <c r="AC758" i="4"/>
  <c r="AC757" i="4"/>
  <c r="AC756" i="4"/>
  <c r="AC755" i="4"/>
  <c r="AC754" i="4"/>
  <c r="AC753" i="4"/>
  <c r="AC752" i="4"/>
  <c r="AC751" i="4"/>
  <c r="AC750" i="4"/>
  <c r="AC749" i="4"/>
  <c r="AC748" i="4"/>
  <c r="AC747" i="4"/>
  <c r="AC746" i="4"/>
  <c r="AC745" i="4"/>
  <c r="AC744" i="4"/>
  <c r="AC743" i="4"/>
  <c r="AC742" i="4"/>
  <c r="AC741" i="4"/>
  <c r="AC740" i="4"/>
  <c r="AC739" i="4"/>
  <c r="AC738" i="4"/>
  <c r="AC737" i="4"/>
  <c r="AC736" i="4"/>
  <c r="AC735" i="4"/>
  <c r="AC734" i="4"/>
  <c r="AC733" i="4"/>
  <c r="AC732" i="4"/>
  <c r="AC731" i="4"/>
  <c r="AC730" i="4"/>
  <c r="AC729" i="4"/>
  <c r="AC728" i="4"/>
  <c r="AC727" i="4"/>
  <c r="AC726" i="4"/>
  <c r="AC725" i="4"/>
  <c r="AC724" i="4"/>
  <c r="AC723" i="4"/>
  <c r="AC722" i="4"/>
  <c r="AC721" i="4"/>
  <c r="AC720" i="4"/>
  <c r="AC719" i="4"/>
  <c r="AC718" i="4"/>
  <c r="AC717" i="4"/>
  <c r="AC716" i="4"/>
  <c r="AC715" i="4"/>
  <c r="AC714" i="4"/>
  <c r="AC713" i="4"/>
  <c r="AC712" i="4"/>
  <c r="AC711" i="4"/>
  <c r="AC710" i="4"/>
  <c r="AC709" i="4"/>
  <c r="AC708" i="4"/>
  <c r="AC707" i="4"/>
  <c r="AC706" i="4"/>
  <c r="AC705" i="4"/>
  <c r="AC704" i="4"/>
  <c r="AC703" i="4"/>
  <c r="AC702" i="4"/>
  <c r="AC701" i="4"/>
  <c r="AC700" i="4"/>
  <c r="AC699" i="4"/>
  <c r="AC698" i="4"/>
  <c r="AC697" i="4"/>
  <c r="AC696" i="4"/>
  <c r="AC695" i="4"/>
  <c r="AC694" i="4"/>
  <c r="AC693" i="4"/>
  <c r="AC692" i="4"/>
  <c r="AC691" i="4"/>
  <c r="AC690" i="4"/>
  <c r="AC689" i="4"/>
  <c r="AC688" i="4"/>
  <c r="AC687" i="4"/>
  <c r="AC686" i="4"/>
  <c r="AC685" i="4"/>
  <c r="AC684" i="4"/>
  <c r="AC683" i="4"/>
  <c r="AC682" i="4"/>
  <c r="AC681" i="4"/>
  <c r="AC680" i="4"/>
  <c r="AC679" i="4"/>
  <c r="AC678" i="4"/>
  <c r="AC677" i="4"/>
  <c r="AC676" i="4"/>
  <c r="AC675" i="4"/>
  <c r="AC674" i="4"/>
  <c r="AC673" i="4"/>
  <c r="AC672" i="4"/>
  <c r="AC671" i="4"/>
  <c r="AC670" i="4"/>
  <c r="AC669" i="4"/>
  <c r="AC668" i="4"/>
  <c r="AC667" i="4"/>
  <c r="AC666" i="4"/>
  <c r="AC665" i="4"/>
  <c r="AC664" i="4"/>
  <c r="AC663" i="4"/>
  <c r="AC662" i="4"/>
  <c r="AC661" i="4"/>
  <c r="AC660" i="4"/>
  <c r="AC659" i="4"/>
  <c r="AC658" i="4"/>
  <c r="AC657" i="4"/>
  <c r="AC656" i="4"/>
  <c r="AC655" i="4"/>
  <c r="AC654" i="4"/>
  <c r="AC653" i="4"/>
  <c r="AC652" i="4"/>
  <c r="AC651" i="4"/>
  <c r="AC650" i="4"/>
  <c r="AC649" i="4"/>
  <c r="AC648" i="4"/>
  <c r="AC647" i="4"/>
  <c r="AC646" i="4"/>
  <c r="AC645" i="4"/>
  <c r="AC644" i="4"/>
  <c r="AC643" i="4"/>
  <c r="AC642" i="4"/>
  <c r="AC641" i="4"/>
  <c r="AC640" i="4"/>
  <c r="AC639" i="4"/>
  <c r="AC638" i="4"/>
  <c r="AC637" i="4"/>
  <c r="AC636" i="4"/>
  <c r="AC635" i="4"/>
  <c r="AC634" i="4"/>
  <c r="AC633" i="4"/>
  <c r="AC632" i="4"/>
  <c r="AC631" i="4"/>
  <c r="AC630" i="4"/>
  <c r="AC629" i="4"/>
  <c r="AC628" i="4"/>
  <c r="AC627" i="4"/>
  <c r="AC626" i="4"/>
  <c r="AC625" i="4"/>
  <c r="AC624" i="4"/>
  <c r="AC623" i="4"/>
  <c r="AC622" i="4"/>
  <c r="AC621" i="4"/>
  <c r="AC620" i="4"/>
  <c r="AC619" i="4"/>
  <c r="AC618" i="4"/>
  <c r="AC617" i="4"/>
  <c r="AC616" i="4"/>
  <c r="AC615" i="4"/>
  <c r="AC614" i="4"/>
  <c r="AC613" i="4"/>
  <c r="AC612" i="4"/>
  <c r="AC611" i="4"/>
  <c r="AC610" i="4"/>
  <c r="AC609" i="4"/>
  <c r="AC608" i="4"/>
  <c r="AC607" i="4"/>
  <c r="AC606" i="4"/>
  <c r="AC605" i="4"/>
  <c r="AC604" i="4"/>
  <c r="AC603" i="4"/>
  <c r="AC602" i="4"/>
  <c r="AC601" i="4"/>
  <c r="AC600" i="4"/>
  <c r="AC599" i="4"/>
  <c r="AC598" i="4"/>
  <c r="AC597" i="4"/>
  <c r="AC596" i="4"/>
  <c r="AC595" i="4"/>
  <c r="AC594" i="4"/>
  <c r="AC593" i="4"/>
  <c r="AC592" i="4"/>
  <c r="AC591" i="4"/>
  <c r="AC590" i="4"/>
  <c r="AC589" i="4"/>
  <c r="AC588" i="4"/>
  <c r="AC587" i="4"/>
  <c r="AC586" i="4"/>
  <c r="AC585" i="4"/>
  <c r="AC584" i="4"/>
  <c r="AC583" i="4"/>
  <c r="AC582" i="4"/>
  <c r="AC581" i="4"/>
  <c r="AC580" i="4"/>
  <c r="AC579" i="4"/>
  <c r="AC578" i="4"/>
  <c r="AC577" i="4"/>
  <c r="AC576" i="4"/>
  <c r="AC575" i="4"/>
  <c r="AC574" i="4"/>
  <c r="AC573" i="4"/>
  <c r="AC572" i="4"/>
  <c r="AC571" i="4"/>
  <c r="AC570" i="4"/>
  <c r="AC569" i="4"/>
  <c r="AC568" i="4"/>
  <c r="AC567" i="4"/>
  <c r="AC566" i="4"/>
  <c r="AC565" i="4"/>
  <c r="AC564" i="4"/>
  <c r="AC563" i="4"/>
  <c r="AC562" i="4"/>
  <c r="AC561" i="4"/>
  <c r="AC560" i="4"/>
  <c r="AC559" i="4"/>
  <c r="AC558" i="4"/>
  <c r="AC557" i="4"/>
  <c r="AC556" i="4"/>
  <c r="AC555" i="4"/>
  <c r="AC554" i="4"/>
  <c r="AC553" i="4"/>
  <c r="AC552" i="4"/>
  <c r="AC551" i="4"/>
  <c r="AC550" i="4"/>
  <c r="AC549" i="4"/>
  <c r="AC548" i="4"/>
  <c r="AC547" i="4"/>
  <c r="AC546" i="4"/>
  <c r="AC545" i="4"/>
  <c r="AC544" i="4"/>
  <c r="AC543" i="4"/>
  <c r="AC542" i="4"/>
  <c r="AC541" i="4"/>
  <c r="AC540" i="4"/>
  <c r="AC539" i="4"/>
  <c r="AC538" i="4"/>
  <c r="AC537" i="4"/>
  <c r="AC536" i="4"/>
  <c r="AC535" i="4"/>
  <c r="AC534" i="4"/>
  <c r="AC533" i="4"/>
  <c r="AC532" i="4"/>
  <c r="AC531" i="4"/>
  <c r="AC530" i="4"/>
  <c r="AC529" i="4"/>
  <c r="AC528" i="4"/>
  <c r="AC527" i="4"/>
  <c r="AC526" i="4"/>
  <c r="AC525" i="4"/>
  <c r="AC524" i="4"/>
  <c r="AC523" i="4"/>
  <c r="AC522" i="4"/>
  <c r="AC521" i="4"/>
  <c r="AC520" i="4"/>
  <c r="AC519" i="4"/>
  <c r="AC518" i="4"/>
  <c r="AC517" i="4"/>
  <c r="AC516" i="4"/>
  <c r="AC515" i="4"/>
  <c r="AC514" i="4"/>
  <c r="AC513" i="4"/>
  <c r="AC512" i="4"/>
  <c r="AC511" i="4"/>
  <c r="AC510" i="4"/>
  <c r="AC509" i="4"/>
  <c r="AC508" i="4"/>
  <c r="AC507" i="4"/>
  <c r="AC506" i="4"/>
  <c r="AC505" i="4"/>
  <c r="AC504" i="4"/>
  <c r="AC503" i="4"/>
  <c r="AC502" i="4"/>
  <c r="AC501" i="4"/>
  <c r="AC500" i="4"/>
  <c r="AC499" i="4"/>
  <c r="AC498" i="4"/>
  <c r="AC497" i="4"/>
  <c r="AC496" i="4"/>
  <c r="AC495" i="4"/>
  <c r="AC494" i="4"/>
  <c r="AC493" i="4"/>
  <c r="AC492" i="4"/>
  <c r="AC491" i="4"/>
  <c r="AC490" i="4"/>
  <c r="AC489" i="4"/>
  <c r="AC488" i="4"/>
  <c r="AC487" i="4"/>
  <c r="AC486" i="4"/>
  <c r="AC485" i="4"/>
  <c r="AC484" i="4"/>
  <c r="AC483" i="4"/>
  <c r="AC482" i="4"/>
  <c r="AC481" i="4"/>
  <c r="AC480" i="4"/>
  <c r="AC479" i="4"/>
  <c r="AC478" i="4"/>
  <c r="AC477" i="4"/>
  <c r="AC476" i="4"/>
  <c r="AC475" i="4"/>
  <c r="AC474" i="4"/>
  <c r="AC473" i="4"/>
  <c r="AC472" i="4"/>
  <c r="AC471" i="4"/>
  <c r="AC470" i="4"/>
  <c r="AC469" i="4"/>
  <c r="AC468" i="4"/>
  <c r="AC467" i="4"/>
  <c r="AC466" i="4"/>
  <c r="AC465" i="4"/>
  <c r="AC464" i="4"/>
  <c r="AC463" i="4"/>
  <c r="AC462" i="4"/>
  <c r="AC461" i="4"/>
  <c r="AC460" i="4"/>
  <c r="AC459" i="4"/>
  <c r="AC458" i="4"/>
  <c r="AC457" i="4"/>
  <c r="AC456" i="4"/>
  <c r="AC455" i="4"/>
  <c r="AC454" i="4"/>
  <c r="AC453" i="4"/>
  <c r="AC452" i="4"/>
  <c r="AC451" i="4"/>
  <c r="AC450" i="4"/>
  <c r="AC449" i="4"/>
  <c r="AC448" i="4"/>
  <c r="AC447" i="4"/>
  <c r="AC446" i="4"/>
  <c r="AC445" i="4"/>
  <c r="AC444" i="4"/>
  <c r="AC443" i="4"/>
  <c r="AC442" i="4"/>
  <c r="AC441" i="4"/>
  <c r="AC440" i="4"/>
  <c r="AC439" i="4"/>
  <c r="AC438" i="4"/>
  <c r="AC437" i="4"/>
  <c r="AC436" i="4"/>
  <c r="AC435" i="4"/>
  <c r="AC434" i="4"/>
  <c r="AC433" i="4"/>
  <c r="AC432" i="4"/>
  <c r="AC431" i="4"/>
  <c r="AC430" i="4"/>
  <c r="AC429" i="4"/>
  <c r="AC428" i="4"/>
  <c r="AC427" i="4"/>
  <c r="AC426" i="4"/>
  <c r="AC425" i="4"/>
  <c r="AC424" i="4"/>
  <c r="AC423" i="4"/>
  <c r="AC422" i="4"/>
  <c r="AC421" i="4"/>
  <c r="AC420" i="4"/>
  <c r="AC419" i="4"/>
  <c r="AC418" i="4"/>
  <c r="AC417" i="4"/>
  <c r="AC416" i="4"/>
  <c r="AC415" i="4"/>
  <c r="AC414" i="4"/>
  <c r="AC413" i="4"/>
  <c r="AC412" i="4"/>
  <c r="AC411" i="4"/>
  <c r="AC410" i="4"/>
  <c r="AC409" i="4"/>
  <c r="AC408" i="4"/>
  <c r="AC407" i="4"/>
  <c r="AC406" i="4"/>
  <c r="AC405" i="4"/>
  <c r="AC404" i="4"/>
  <c r="AC403" i="4"/>
  <c r="AC402" i="4"/>
  <c r="AC401" i="4"/>
  <c r="AC400" i="4"/>
  <c r="AC399" i="4"/>
  <c r="AC398" i="4"/>
  <c r="AC397" i="4"/>
  <c r="AC396" i="4"/>
  <c r="AC395" i="4"/>
  <c r="AC394" i="4"/>
  <c r="AC393" i="4"/>
  <c r="AC392" i="4"/>
  <c r="AC391" i="4"/>
  <c r="AC390" i="4"/>
  <c r="AC389" i="4"/>
  <c r="AC388" i="4"/>
  <c r="AC387" i="4"/>
  <c r="AC386" i="4"/>
  <c r="AC385" i="4"/>
  <c r="AC384" i="4"/>
  <c r="AC383" i="4"/>
  <c r="AC382" i="4"/>
  <c r="AC381" i="4"/>
  <c r="AC380" i="4"/>
  <c r="AC379" i="4"/>
  <c r="AC378" i="4"/>
  <c r="AC377" i="4"/>
  <c r="AC376" i="4"/>
  <c r="AC375" i="4"/>
  <c r="AC374" i="4"/>
  <c r="AC373" i="4"/>
  <c r="AC372" i="4"/>
  <c r="AC371" i="4"/>
  <c r="AC370" i="4"/>
  <c r="AC369" i="4"/>
  <c r="AC368" i="4"/>
  <c r="AC367" i="4"/>
  <c r="AC366" i="4"/>
  <c r="AC365" i="4"/>
  <c r="AC364" i="4"/>
  <c r="AC363" i="4"/>
  <c r="AC362" i="4"/>
  <c r="AC361" i="4"/>
  <c r="AC360" i="4"/>
  <c r="AC359" i="4"/>
  <c r="AC358" i="4"/>
  <c r="AC357" i="4"/>
  <c r="AC356" i="4"/>
  <c r="AC355" i="4"/>
  <c r="AC354" i="4"/>
  <c r="AC353" i="4"/>
  <c r="AC352" i="4"/>
  <c r="AC351" i="4"/>
  <c r="AC350" i="4"/>
  <c r="AC349" i="4"/>
  <c r="AC348" i="4"/>
  <c r="AC347" i="4"/>
  <c r="AC346" i="4"/>
  <c r="AC345" i="4"/>
  <c r="AC344" i="4"/>
  <c r="AC343" i="4"/>
  <c r="AC342" i="4"/>
  <c r="AC341" i="4"/>
  <c r="AC340" i="4"/>
  <c r="AC339" i="4"/>
  <c r="AC338" i="4"/>
  <c r="AC337" i="4"/>
  <c r="AC336" i="4"/>
  <c r="AC335" i="4"/>
  <c r="AC334" i="4"/>
  <c r="AC333" i="4"/>
  <c r="AC332" i="4"/>
  <c r="AC331" i="4"/>
  <c r="AC330" i="4"/>
  <c r="AC329" i="4"/>
  <c r="AC328" i="4"/>
  <c r="AC327" i="4"/>
  <c r="AC326" i="4"/>
  <c r="AC325" i="4"/>
  <c r="AC324" i="4"/>
  <c r="AC323" i="4"/>
  <c r="AC322" i="4"/>
  <c r="AC321" i="4"/>
  <c r="AC320" i="4"/>
  <c r="AC319" i="4"/>
  <c r="AC318" i="4"/>
  <c r="AC317" i="4"/>
  <c r="AC316" i="4"/>
  <c r="AC315" i="4"/>
  <c r="AC314" i="4"/>
  <c r="AC313" i="4"/>
  <c r="AC312" i="4"/>
  <c r="AC311" i="4"/>
  <c r="AC310" i="4"/>
  <c r="AC309" i="4"/>
  <c r="AC308" i="4"/>
  <c r="AC307" i="4"/>
  <c r="AC306" i="4"/>
  <c r="AC305" i="4"/>
  <c r="AC304" i="4"/>
  <c r="AC303" i="4"/>
  <c r="AC302" i="4"/>
  <c r="AC301" i="4"/>
  <c r="AC300" i="4"/>
  <c r="AC299" i="4"/>
  <c r="AC298" i="4"/>
  <c r="AC297" i="4"/>
  <c r="AC296" i="4"/>
  <c r="AC295" i="4"/>
  <c r="AC294" i="4"/>
  <c r="AC293" i="4"/>
  <c r="AC292" i="4"/>
  <c r="AC291" i="4"/>
  <c r="AC290" i="4"/>
  <c r="AC289" i="4"/>
  <c r="AC288" i="4"/>
  <c r="AC287" i="4"/>
  <c r="AC286" i="4"/>
  <c r="AC285" i="4"/>
  <c r="AC284" i="4"/>
  <c r="AC283" i="4"/>
  <c r="AC282" i="4"/>
  <c r="AC281" i="4"/>
  <c r="AC280" i="4"/>
  <c r="AC279" i="4"/>
  <c r="AC278" i="4"/>
  <c r="AC277" i="4"/>
  <c r="AC276" i="4"/>
  <c r="AC275" i="4"/>
  <c r="AC274" i="4"/>
  <c r="AC273" i="4"/>
  <c r="AC272" i="4"/>
  <c r="AC271" i="4"/>
  <c r="AC270" i="4"/>
  <c r="AC269" i="4"/>
  <c r="AC268" i="4"/>
  <c r="AC267" i="4"/>
  <c r="AC266" i="4"/>
  <c r="AC265" i="4"/>
  <c r="AC264" i="4"/>
  <c r="AC263" i="4"/>
  <c r="AC262" i="4"/>
  <c r="AC261" i="4"/>
  <c r="AC260" i="4"/>
  <c r="AC259" i="4"/>
  <c r="AC258" i="4"/>
  <c r="AC257" i="4"/>
  <c r="AC256" i="4"/>
  <c r="AC255" i="4"/>
  <c r="AC254" i="4"/>
  <c r="AC253" i="4"/>
  <c r="AC252" i="4"/>
  <c r="AC251" i="4"/>
  <c r="AC250" i="4"/>
  <c r="AC249" i="4"/>
  <c r="AC248" i="4"/>
  <c r="AC247" i="4"/>
  <c r="AC246" i="4"/>
  <c r="AC245" i="4"/>
  <c r="AC244" i="4"/>
  <c r="AC243" i="4"/>
  <c r="AC242" i="4"/>
  <c r="AC241" i="4"/>
  <c r="AC240" i="4"/>
  <c r="AC239" i="4"/>
  <c r="AC238" i="4"/>
  <c r="AC237" i="4"/>
  <c r="AC236" i="4"/>
  <c r="AC235" i="4"/>
  <c r="AC234" i="4"/>
  <c r="AC233" i="4"/>
  <c r="AC232" i="4"/>
  <c r="AC231" i="4"/>
  <c r="AC230" i="4"/>
  <c r="AC229" i="4"/>
  <c r="AC228" i="4"/>
  <c r="AC227" i="4"/>
  <c r="AC226" i="4"/>
  <c r="AC225" i="4"/>
  <c r="AC224" i="4"/>
  <c r="AC223" i="4"/>
  <c r="AC222" i="4"/>
  <c r="AC221" i="4"/>
  <c r="AC220" i="4"/>
  <c r="AC219" i="4"/>
  <c r="AC218" i="4"/>
  <c r="AC217" i="4"/>
  <c r="AC216" i="4"/>
  <c r="AC215" i="4"/>
  <c r="AC214" i="4"/>
  <c r="AC213" i="4"/>
  <c r="AC212" i="4"/>
  <c r="AC211" i="4"/>
  <c r="AC210" i="4"/>
  <c r="AC209" i="4"/>
  <c r="AC208" i="4"/>
  <c r="AC207" i="4"/>
  <c r="AC206" i="4"/>
  <c r="AC205" i="4"/>
  <c r="AC204" i="4"/>
  <c r="AC203" i="4"/>
  <c r="AC202" i="4"/>
  <c r="AC201" i="4"/>
  <c r="AC200" i="4"/>
  <c r="AC199" i="4"/>
  <c r="AC198" i="4"/>
  <c r="AC197" i="4"/>
  <c r="AC196" i="4"/>
  <c r="AC195" i="4"/>
  <c r="AC194" i="4"/>
  <c r="AC193" i="4"/>
  <c r="AC192" i="4"/>
  <c r="AC191" i="4"/>
  <c r="AC190" i="4"/>
  <c r="AC189" i="4"/>
  <c r="AC188" i="4"/>
  <c r="AC187" i="4"/>
  <c r="AC186" i="4"/>
  <c r="AC185" i="4"/>
  <c r="AC184" i="4"/>
  <c r="AC183" i="4"/>
  <c r="AC182" i="4"/>
  <c r="AC181" i="4"/>
  <c r="AC180" i="4"/>
  <c r="AC179" i="4"/>
  <c r="AC178" i="4"/>
  <c r="AC177" i="4"/>
  <c r="AC176" i="4"/>
  <c r="AC175" i="4"/>
  <c r="AC174" i="4"/>
  <c r="AC173" i="4"/>
  <c r="AC172" i="4"/>
  <c r="AC171" i="4"/>
  <c r="AC170" i="4"/>
  <c r="AC169" i="4"/>
  <c r="AC168" i="4"/>
  <c r="AC167" i="4"/>
  <c r="AC166" i="4"/>
  <c r="AC165" i="4"/>
  <c r="AC164" i="4"/>
  <c r="AC163" i="4"/>
  <c r="AC162" i="4"/>
  <c r="AC161" i="4"/>
  <c r="AC160" i="4"/>
  <c r="AC159" i="4"/>
  <c r="AC158" i="4"/>
  <c r="AC157" i="4"/>
  <c r="AC156" i="4"/>
  <c r="AC155" i="4"/>
  <c r="AC154" i="4"/>
  <c r="AC153" i="4"/>
  <c r="AC152" i="4"/>
  <c r="AC151" i="4"/>
  <c r="AC150" i="4"/>
  <c r="AC149" i="4"/>
  <c r="AC148" i="4"/>
  <c r="AC147" i="4"/>
  <c r="AC146" i="4"/>
  <c r="AC145" i="4"/>
  <c r="AC144" i="4"/>
  <c r="AC143" i="4"/>
  <c r="AC142" i="4"/>
  <c r="AC141" i="4"/>
  <c r="AC140" i="4"/>
  <c r="AC139" i="4"/>
  <c r="AC138" i="4"/>
  <c r="AC137" i="4"/>
  <c r="AC136" i="4"/>
  <c r="AC135" i="4"/>
  <c r="AC134" i="4"/>
  <c r="AC133" i="4"/>
  <c r="AC132" i="4"/>
  <c r="AC131" i="4"/>
  <c r="AC130" i="4"/>
  <c r="AC129" i="4"/>
  <c r="AC128" i="4"/>
  <c r="AC127" i="4"/>
  <c r="AC126" i="4"/>
  <c r="AC125" i="4"/>
  <c r="AC124" i="4"/>
  <c r="AC123" i="4"/>
  <c r="AC122" i="4"/>
  <c r="AC121" i="4"/>
  <c r="AC120" i="4"/>
  <c r="AC119" i="4"/>
  <c r="AC118" i="4"/>
  <c r="AC117" i="4"/>
  <c r="AC116" i="4"/>
  <c r="AC115" i="4"/>
  <c r="AC114" i="4"/>
  <c r="AC113" i="4"/>
  <c r="AC112" i="4"/>
  <c r="AC111" i="4"/>
  <c r="AC110" i="4"/>
  <c r="AC109" i="4"/>
  <c r="AC108" i="4"/>
  <c r="AC107" i="4"/>
  <c r="AC106" i="4"/>
  <c r="AC105" i="4"/>
  <c r="AC104" i="4"/>
  <c r="AC103" i="4"/>
  <c r="AC102" i="4"/>
  <c r="AC101" i="4"/>
  <c r="AC100" i="4"/>
  <c r="AC99" i="4"/>
  <c r="AC98" i="4"/>
  <c r="AC97" i="4"/>
  <c r="AC96" i="4"/>
  <c r="AC95" i="4"/>
  <c r="AC94" i="4"/>
  <c r="AC93" i="4"/>
  <c r="AC92" i="4"/>
  <c r="AC91" i="4"/>
  <c r="AC90" i="4"/>
  <c r="AC89" i="4"/>
  <c r="AC88" i="4"/>
  <c r="AC87" i="4"/>
  <c r="AC86" i="4"/>
  <c r="AC85" i="4"/>
  <c r="AC84" i="4"/>
  <c r="AC83" i="4"/>
  <c r="AC82" i="4"/>
  <c r="AC81" i="4"/>
  <c r="AC80" i="4"/>
  <c r="AC79" i="4"/>
  <c r="AC78" i="4"/>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C10" i="4"/>
  <c r="AC9" i="4"/>
  <c r="AC8" i="4"/>
  <c r="AC7" i="4"/>
  <c r="AC6" i="4"/>
  <c r="AC5" i="4"/>
  <c r="AC4" i="4"/>
  <c r="AC3" i="4"/>
  <c r="AC2" i="4"/>
  <c r="Z1001" i="4"/>
  <c r="Z1000" i="4"/>
  <c r="Z999" i="4"/>
  <c r="Z998" i="4"/>
  <c r="Z997" i="4"/>
  <c r="Z996" i="4"/>
  <c r="Z995" i="4"/>
  <c r="Z994" i="4"/>
  <c r="Z993" i="4"/>
  <c r="Z992" i="4"/>
  <c r="Z991" i="4"/>
  <c r="Z990" i="4"/>
  <c r="Z989" i="4"/>
  <c r="Z988" i="4"/>
  <c r="Z987" i="4"/>
  <c r="Z986" i="4"/>
  <c r="Z985" i="4"/>
  <c r="Z984" i="4"/>
  <c r="Z983" i="4"/>
  <c r="Z982" i="4"/>
  <c r="Z981" i="4"/>
  <c r="Z980" i="4"/>
  <c r="Z979" i="4"/>
  <c r="Z978" i="4"/>
  <c r="Z977" i="4"/>
  <c r="Z976" i="4"/>
  <c r="Z975" i="4"/>
  <c r="Z974" i="4"/>
  <c r="Z973" i="4"/>
  <c r="Z972" i="4"/>
  <c r="Z971" i="4"/>
  <c r="Z970" i="4"/>
  <c r="Z969" i="4"/>
  <c r="Z968" i="4"/>
  <c r="Z967" i="4"/>
  <c r="Z966" i="4"/>
  <c r="Z965" i="4"/>
  <c r="Z964" i="4"/>
  <c r="Z963" i="4"/>
  <c r="Z962" i="4"/>
  <c r="Z961" i="4"/>
  <c r="Z960" i="4"/>
  <c r="Z959" i="4"/>
  <c r="Z958" i="4"/>
  <c r="Z957" i="4"/>
  <c r="Z956" i="4"/>
  <c r="Z955" i="4"/>
  <c r="Z954" i="4"/>
  <c r="Z953" i="4"/>
  <c r="Z952" i="4"/>
  <c r="Z951" i="4"/>
  <c r="Z950" i="4"/>
  <c r="Z949" i="4"/>
  <c r="Z948" i="4"/>
  <c r="Z947" i="4"/>
  <c r="Z946" i="4"/>
  <c r="Z945" i="4"/>
  <c r="Z944" i="4"/>
  <c r="Z943" i="4"/>
  <c r="Z942" i="4"/>
  <c r="Z941" i="4"/>
  <c r="Z940" i="4"/>
  <c r="Z939" i="4"/>
  <c r="Z938" i="4"/>
  <c r="Z937" i="4"/>
  <c r="Z936" i="4"/>
  <c r="Z935" i="4"/>
  <c r="Z934" i="4"/>
  <c r="Z933" i="4"/>
  <c r="Z932" i="4"/>
  <c r="Z931" i="4"/>
  <c r="Z930" i="4"/>
  <c r="Z929" i="4"/>
  <c r="Z928" i="4"/>
  <c r="Z927" i="4"/>
  <c r="Z926" i="4"/>
  <c r="Z925" i="4"/>
  <c r="Z924" i="4"/>
  <c r="Z923" i="4"/>
  <c r="Z922" i="4"/>
  <c r="Z921" i="4"/>
  <c r="Z920" i="4"/>
  <c r="Z919" i="4"/>
  <c r="Z918" i="4"/>
  <c r="Z917" i="4"/>
  <c r="Z916" i="4"/>
  <c r="Z915" i="4"/>
  <c r="Z914" i="4"/>
  <c r="Z913" i="4"/>
  <c r="Z912" i="4"/>
  <c r="Z911" i="4"/>
  <c r="Z910" i="4"/>
  <c r="Z909" i="4"/>
  <c r="Z908" i="4"/>
  <c r="Z907" i="4"/>
  <c r="Z906" i="4"/>
  <c r="Z905" i="4"/>
  <c r="Z904" i="4"/>
  <c r="Z903" i="4"/>
  <c r="Z902" i="4"/>
  <c r="Z901" i="4"/>
  <c r="Z900" i="4"/>
  <c r="Z899" i="4"/>
  <c r="Z898" i="4"/>
  <c r="Z897" i="4"/>
  <c r="Z896" i="4"/>
  <c r="Z895" i="4"/>
  <c r="Z894" i="4"/>
  <c r="Z893" i="4"/>
  <c r="Z892" i="4"/>
  <c r="Z891" i="4"/>
  <c r="Z890" i="4"/>
  <c r="Z889" i="4"/>
  <c r="Z888" i="4"/>
  <c r="Z887" i="4"/>
  <c r="Z886" i="4"/>
  <c r="Z885" i="4"/>
  <c r="Z884" i="4"/>
  <c r="Z883" i="4"/>
  <c r="Z882" i="4"/>
  <c r="Z881" i="4"/>
  <c r="Z880" i="4"/>
  <c r="Z879" i="4"/>
  <c r="Z878" i="4"/>
  <c r="Z877" i="4"/>
  <c r="Z876" i="4"/>
  <c r="Z875" i="4"/>
  <c r="Z874" i="4"/>
  <c r="Z873" i="4"/>
  <c r="Z872" i="4"/>
  <c r="Z871" i="4"/>
  <c r="Z870" i="4"/>
  <c r="Z869" i="4"/>
  <c r="Z868" i="4"/>
  <c r="Z867" i="4"/>
  <c r="Z866" i="4"/>
  <c r="Z865" i="4"/>
  <c r="Z864" i="4"/>
  <c r="Z863" i="4"/>
  <c r="Z862" i="4"/>
  <c r="Z861" i="4"/>
  <c r="Z860" i="4"/>
  <c r="Z859" i="4"/>
  <c r="Z858" i="4"/>
  <c r="Z857" i="4"/>
  <c r="Z856" i="4"/>
  <c r="Z855" i="4"/>
  <c r="Z854" i="4"/>
  <c r="Z853" i="4"/>
  <c r="Z852" i="4"/>
  <c r="Z851" i="4"/>
  <c r="Z850" i="4"/>
  <c r="Z849" i="4"/>
  <c r="Z848" i="4"/>
  <c r="Z847" i="4"/>
  <c r="Z846" i="4"/>
  <c r="Z845" i="4"/>
  <c r="Z844" i="4"/>
  <c r="Z843" i="4"/>
  <c r="Z842" i="4"/>
  <c r="Z841" i="4"/>
  <c r="Z840" i="4"/>
  <c r="Z839" i="4"/>
  <c r="Z838" i="4"/>
  <c r="Z837" i="4"/>
  <c r="Z836" i="4"/>
  <c r="Z835" i="4"/>
  <c r="Z834" i="4"/>
  <c r="Z833" i="4"/>
  <c r="Z832" i="4"/>
  <c r="Z831" i="4"/>
  <c r="Z830" i="4"/>
  <c r="Z829" i="4"/>
  <c r="Z828" i="4"/>
  <c r="Z827" i="4"/>
  <c r="Z826" i="4"/>
  <c r="Z825" i="4"/>
  <c r="Z824" i="4"/>
  <c r="Z823" i="4"/>
  <c r="Z822" i="4"/>
  <c r="Z821" i="4"/>
  <c r="Z820" i="4"/>
  <c r="Z819" i="4"/>
  <c r="Z818" i="4"/>
  <c r="Z817" i="4"/>
  <c r="Z816" i="4"/>
  <c r="Z815" i="4"/>
  <c r="Z814" i="4"/>
  <c r="Z813" i="4"/>
  <c r="Z812" i="4"/>
  <c r="Z811" i="4"/>
  <c r="Z810" i="4"/>
  <c r="Z809" i="4"/>
  <c r="Z808" i="4"/>
  <c r="Z807" i="4"/>
  <c r="Z806" i="4"/>
  <c r="Z805" i="4"/>
  <c r="Z804" i="4"/>
  <c r="Z803" i="4"/>
  <c r="Z802" i="4"/>
  <c r="Z801" i="4"/>
  <c r="Z800" i="4"/>
  <c r="Z799" i="4"/>
  <c r="Z798" i="4"/>
  <c r="Z797" i="4"/>
  <c r="Z796" i="4"/>
  <c r="Z795" i="4"/>
  <c r="Z794" i="4"/>
  <c r="Z793" i="4"/>
  <c r="Z792" i="4"/>
  <c r="Z791" i="4"/>
  <c r="Z790" i="4"/>
  <c r="Z789" i="4"/>
  <c r="Z788" i="4"/>
  <c r="Z787" i="4"/>
  <c r="Z786" i="4"/>
  <c r="Z785" i="4"/>
  <c r="Z784" i="4"/>
  <c r="Z783" i="4"/>
  <c r="Z782" i="4"/>
  <c r="Z781" i="4"/>
  <c r="Z780" i="4"/>
  <c r="Z779" i="4"/>
  <c r="Z778" i="4"/>
  <c r="Z777" i="4"/>
  <c r="Z776" i="4"/>
  <c r="Z775" i="4"/>
  <c r="Z774" i="4"/>
  <c r="Z773" i="4"/>
  <c r="Z772" i="4"/>
  <c r="Z771" i="4"/>
  <c r="Z770" i="4"/>
  <c r="Z769" i="4"/>
  <c r="Z768" i="4"/>
  <c r="Z767" i="4"/>
  <c r="Z766" i="4"/>
  <c r="Z765" i="4"/>
  <c r="Z764" i="4"/>
  <c r="Z763" i="4"/>
  <c r="Z762" i="4"/>
  <c r="Z761" i="4"/>
  <c r="Z760" i="4"/>
  <c r="Z759" i="4"/>
  <c r="Z758" i="4"/>
  <c r="Z757" i="4"/>
  <c r="Z756" i="4"/>
  <c r="Z755" i="4"/>
  <c r="Z754" i="4"/>
  <c r="Z753" i="4"/>
  <c r="Z752" i="4"/>
  <c r="Z751" i="4"/>
  <c r="Z750" i="4"/>
  <c r="Z749" i="4"/>
  <c r="Z748" i="4"/>
  <c r="Z747" i="4"/>
  <c r="Z746" i="4"/>
  <c r="Z745" i="4"/>
  <c r="Z744" i="4"/>
  <c r="Z743" i="4"/>
  <c r="Z742" i="4"/>
  <c r="Z741" i="4"/>
  <c r="Z740" i="4"/>
  <c r="Z739" i="4"/>
  <c r="Z738" i="4"/>
  <c r="Z737" i="4"/>
  <c r="Z736" i="4"/>
  <c r="Z735" i="4"/>
  <c r="Z734" i="4"/>
  <c r="Z733" i="4"/>
  <c r="Z732" i="4"/>
  <c r="Z731" i="4"/>
  <c r="Z730" i="4"/>
  <c r="Z729" i="4"/>
  <c r="Z728" i="4"/>
  <c r="Z727" i="4"/>
  <c r="Z726" i="4"/>
  <c r="Z725" i="4"/>
  <c r="Z724" i="4"/>
  <c r="Z723" i="4"/>
  <c r="Z722" i="4"/>
  <c r="Z721" i="4"/>
  <c r="Z720" i="4"/>
  <c r="Z719" i="4"/>
  <c r="Z718" i="4"/>
  <c r="Z717" i="4"/>
  <c r="Z716" i="4"/>
  <c r="Z715" i="4"/>
  <c r="Z714" i="4"/>
  <c r="Z713" i="4"/>
  <c r="Z712" i="4"/>
  <c r="Z711" i="4"/>
  <c r="Z710" i="4"/>
  <c r="Z709" i="4"/>
  <c r="Z708" i="4"/>
  <c r="Z707" i="4"/>
  <c r="Z706" i="4"/>
  <c r="Z705" i="4"/>
  <c r="Z704" i="4"/>
  <c r="Z703" i="4"/>
  <c r="Z702" i="4"/>
  <c r="Z701" i="4"/>
  <c r="Z700" i="4"/>
  <c r="Z699" i="4"/>
  <c r="Z698" i="4"/>
  <c r="Z697" i="4"/>
  <c r="Z696" i="4"/>
  <c r="Z695" i="4"/>
  <c r="Z694" i="4"/>
  <c r="Z693" i="4"/>
  <c r="Z692" i="4"/>
  <c r="Z691" i="4"/>
  <c r="Z690" i="4"/>
  <c r="Z689" i="4"/>
  <c r="Z688" i="4"/>
  <c r="Z687" i="4"/>
  <c r="Z686" i="4"/>
  <c r="Z685" i="4"/>
  <c r="Z684" i="4"/>
  <c r="Z683" i="4"/>
  <c r="Z682" i="4"/>
  <c r="Z681" i="4"/>
  <c r="Z680" i="4"/>
  <c r="Z679" i="4"/>
  <c r="Z678" i="4"/>
  <c r="Z677" i="4"/>
  <c r="Z676" i="4"/>
  <c r="Z675" i="4"/>
  <c r="Z674" i="4"/>
  <c r="Z673" i="4"/>
  <c r="Z672" i="4"/>
  <c r="Z671" i="4"/>
  <c r="Z670" i="4"/>
  <c r="Z669" i="4"/>
  <c r="Z668" i="4"/>
  <c r="Z667" i="4"/>
  <c r="Z666" i="4"/>
  <c r="Z665" i="4"/>
  <c r="Z664" i="4"/>
  <c r="Z663" i="4"/>
  <c r="Z662" i="4"/>
  <c r="Z661" i="4"/>
  <c r="Z660" i="4"/>
  <c r="Z659" i="4"/>
  <c r="Z658" i="4"/>
  <c r="Z657" i="4"/>
  <c r="Z656" i="4"/>
  <c r="Z655" i="4"/>
  <c r="Z654" i="4"/>
  <c r="Z653" i="4"/>
  <c r="Z652" i="4"/>
  <c r="Z651" i="4"/>
  <c r="Z650" i="4"/>
  <c r="Z649" i="4"/>
  <c r="Z648" i="4"/>
  <c r="Z647" i="4"/>
  <c r="Z646" i="4"/>
  <c r="Z645" i="4"/>
  <c r="Z644" i="4"/>
  <c r="Z643" i="4"/>
  <c r="Z642" i="4"/>
  <c r="Z641" i="4"/>
  <c r="Z640" i="4"/>
  <c r="Z639" i="4"/>
  <c r="Z638" i="4"/>
  <c r="Z637" i="4"/>
  <c r="Z636" i="4"/>
  <c r="Z635" i="4"/>
  <c r="Z634" i="4"/>
  <c r="Z633" i="4"/>
  <c r="Z632" i="4"/>
  <c r="Z631" i="4"/>
  <c r="Z630" i="4"/>
  <c r="Z629" i="4"/>
  <c r="Z628" i="4"/>
  <c r="Z627" i="4"/>
  <c r="Z626" i="4"/>
  <c r="Z625" i="4"/>
  <c r="Z624" i="4"/>
  <c r="Z623" i="4"/>
  <c r="Z622" i="4"/>
  <c r="Z621" i="4"/>
  <c r="Z620" i="4"/>
  <c r="Z619" i="4"/>
  <c r="Z618" i="4"/>
  <c r="Z617" i="4"/>
  <c r="Z616" i="4"/>
  <c r="Z615" i="4"/>
  <c r="Z614" i="4"/>
  <c r="Z613" i="4"/>
  <c r="Z612" i="4"/>
  <c r="Z611" i="4"/>
  <c r="Z610" i="4"/>
  <c r="Z609" i="4"/>
  <c r="Z608" i="4"/>
  <c r="Z607" i="4"/>
  <c r="Z606" i="4"/>
  <c r="Z605" i="4"/>
  <c r="Z604" i="4"/>
  <c r="Z603" i="4"/>
  <c r="Z602" i="4"/>
  <c r="Z601" i="4"/>
  <c r="Z600" i="4"/>
  <c r="Z599" i="4"/>
  <c r="Z598" i="4"/>
  <c r="Z597" i="4"/>
  <c r="Z596" i="4"/>
  <c r="Z595" i="4"/>
  <c r="Z594" i="4"/>
  <c r="Z593" i="4"/>
  <c r="Z592" i="4"/>
  <c r="Z591" i="4"/>
  <c r="Z590" i="4"/>
  <c r="Z589" i="4"/>
  <c r="Z588" i="4"/>
  <c r="Z587" i="4"/>
  <c r="Z586" i="4"/>
  <c r="Z585" i="4"/>
  <c r="Z584" i="4"/>
  <c r="Z583" i="4"/>
  <c r="Z582" i="4"/>
  <c r="Z581" i="4"/>
  <c r="Z580" i="4"/>
  <c r="Z579" i="4"/>
  <c r="Z578" i="4"/>
  <c r="Z577" i="4"/>
  <c r="Z576" i="4"/>
  <c r="Z575" i="4"/>
  <c r="Z574" i="4"/>
  <c r="Z573" i="4"/>
  <c r="Z572" i="4"/>
  <c r="Z571" i="4"/>
  <c r="Z570" i="4"/>
  <c r="Z569" i="4"/>
  <c r="Z568" i="4"/>
  <c r="Z567" i="4"/>
  <c r="Z566" i="4"/>
  <c r="Z565" i="4"/>
  <c r="Z564" i="4"/>
  <c r="Z563" i="4"/>
  <c r="Z562" i="4"/>
  <c r="Z561" i="4"/>
  <c r="Z560" i="4"/>
  <c r="Z559" i="4"/>
  <c r="Z558" i="4"/>
  <c r="Z557" i="4"/>
  <c r="Z556" i="4"/>
  <c r="Z555" i="4"/>
  <c r="Z554" i="4"/>
  <c r="Z553" i="4"/>
  <c r="Z552" i="4"/>
  <c r="Z551" i="4"/>
  <c r="Z550" i="4"/>
  <c r="Z549" i="4"/>
  <c r="Z548" i="4"/>
  <c r="Z547" i="4"/>
  <c r="Z546" i="4"/>
  <c r="Z545" i="4"/>
  <c r="Z544" i="4"/>
  <c r="Z543" i="4"/>
  <c r="Z542" i="4"/>
  <c r="Z541" i="4"/>
  <c r="Z540" i="4"/>
  <c r="Z539" i="4"/>
  <c r="Z538" i="4"/>
  <c r="Z537" i="4"/>
  <c r="Z536" i="4"/>
  <c r="Z535" i="4"/>
  <c r="Z534" i="4"/>
  <c r="Z533" i="4"/>
  <c r="Z532" i="4"/>
  <c r="Z531" i="4"/>
  <c r="Z530" i="4"/>
  <c r="Z529" i="4"/>
  <c r="Z528" i="4"/>
  <c r="Z527" i="4"/>
  <c r="Z526" i="4"/>
  <c r="Z525" i="4"/>
  <c r="Z524" i="4"/>
  <c r="Z523" i="4"/>
  <c r="Z522" i="4"/>
  <c r="Z521" i="4"/>
  <c r="Z520" i="4"/>
  <c r="Z519" i="4"/>
  <c r="Z518" i="4"/>
  <c r="Z517" i="4"/>
  <c r="Z516" i="4"/>
  <c r="Z515" i="4"/>
  <c r="Z514" i="4"/>
  <c r="Z513" i="4"/>
  <c r="Z512" i="4"/>
  <c r="Z511" i="4"/>
  <c r="Z510" i="4"/>
  <c r="Z509" i="4"/>
  <c r="Z508" i="4"/>
  <c r="Z507" i="4"/>
  <c r="Z506" i="4"/>
  <c r="Z505" i="4"/>
  <c r="Z504" i="4"/>
  <c r="Z503" i="4"/>
  <c r="Z502" i="4"/>
  <c r="Z501" i="4"/>
  <c r="Z500" i="4"/>
  <c r="Z499" i="4"/>
  <c r="Z498" i="4"/>
  <c r="Z497" i="4"/>
  <c r="Z496" i="4"/>
  <c r="Z495" i="4"/>
  <c r="Z494" i="4"/>
  <c r="Z493" i="4"/>
  <c r="Z492" i="4"/>
  <c r="Z491" i="4"/>
  <c r="Z490" i="4"/>
  <c r="Z489" i="4"/>
  <c r="Z488" i="4"/>
  <c r="Z487" i="4"/>
  <c r="Z486" i="4"/>
  <c r="Z485" i="4"/>
  <c r="Z484" i="4"/>
  <c r="Z483" i="4"/>
  <c r="Z482" i="4"/>
  <c r="Z481" i="4"/>
  <c r="Z480" i="4"/>
  <c r="Z479" i="4"/>
  <c r="Z478" i="4"/>
  <c r="Z477" i="4"/>
  <c r="Z476" i="4"/>
  <c r="Z475" i="4"/>
  <c r="Z474" i="4"/>
  <c r="Z473" i="4"/>
  <c r="Z472" i="4"/>
  <c r="Z471" i="4"/>
  <c r="Z470" i="4"/>
  <c r="Z469" i="4"/>
  <c r="Z468" i="4"/>
  <c r="Z467" i="4"/>
  <c r="Z466" i="4"/>
  <c r="Z465" i="4"/>
  <c r="Z464" i="4"/>
  <c r="Z463" i="4"/>
  <c r="Z462" i="4"/>
  <c r="Z461" i="4"/>
  <c r="Z460" i="4"/>
  <c r="Z459" i="4"/>
  <c r="Z458" i="4"/>
  <c r="Z457" i="4"/>
  <c r="Z456" i="4"/>
  <c r="Z455" i="4"/>
  <c r="Z454" i="4"/>
  <c r="Z453" i="4"/>
  <c r="Z452" i="4"/>
  <c r="Z451" i="4"/>
  <c r="Z450" i="4"/>
  <c r="Z449" i="4"/>
  <c r="Z448" i="4"/>
  <c r="Z447" i="4"/>
  <c r="Z446" i="4"/>
  <c r="Z445" i="4"/>
  <c r="Z444" i="4"/>
  <c r="Z443" i="4"/>
  <c r="Z442" i="4"/>
  <c r="Z441" i="4"/>
  <c r="Z440" i="4"/>
  <c r="Z439" i="4"/>
  <c r="Z438" i="4"/>
  <c r="Z437" i="4"/>
  <c r="Z436" i="4"/>
  <c r="Z435" i="4"/>
  <c r="Z434" i="4"/>
  <c r="Z433" i="4"/>
  <c r="Z432" i="4"/>
  <c r="Z431" i="4"/>
  <c r="Z430" i="4"/>
  <c r="Z429" i="4"/>
  <c r="Z428" i="4"/>
  <c r="Z427" i="4"/>
  <c r="Z426" i="4"/>
  <c r="Z425" i="4"/>
  <c r="Z424" i="4"/>
  <c r="Z423" i="4"/>
  <c r="Z422" i="4"/>
  <c r="Z421" i="4"/>
  <c r="Z420" i="4"/>
  <c r="Z419" i="4"/>
  <c r="Z418" i="4"/>
  <c r="Z417" i="4"/>
  <c r="Z416" i="4"/>
  <c r="Z415" i="4"/>
  <c r="Z414" i="4"/>
  <c r="Z413" i="4"/>
  <c r="Z412" i="4"/>
  <c r="Z411" i="4"/>
  <c r="Z410" i="4"/>
  <c r="Z409" i="4"/>
  <c r="Z408" i="4"/>
  <c r="Z407" i="4"/>
  <c r="Z406" i="4"/>
  <c r="Z405" i="4"/>
  <c r="Z404" i="4"/>
  <c r="Z403" i="4"/>
  <c r="Z402" i="4"/>
  <c r="Z401" i="4"/>
  <c r="Z400" i="4"/>
  <c r="Z399" i="4"/>
  <c r="Z398" i="4"/>
  <c r="Z397" i="4"/>
  <c r="Z396" i="4"/>
  <c r="Z395" i="4"/>
  <c r="Z394" i="4"/>
  <c r="Z393" i="4"/>
  <c r="Z392" i="4"/>
  <c r="Z391" i="4"/>
  <c r="Z390" i="4"/>
  <c r="Z389" i="4"/>
  <c r="Z388" i="4"/>
  <c r="Z387" i="4"/>
  <c r="Z386" i="4"/>
  <c r="Z385" i="4"/>
  <c r="Z384" i="4"/>
  <c r="Z383" i="4"/>
  <c r="Z382" i="4"/>
  <c r="Z381" i="4"/>
  <c r="Z380" i="4"/>
  <c r="Z379" i="4"/>
  <c r="Z378" i="4"/>
  <c r="Z377" i="4"/>
  <c r="Z376" i="4"/>
  <c r="Z375" i="4"/>
  <c r="Z374" i="4"/>
  <c r="Z373" i="4"/>
  <c r="Z372" i="4"/>
  <c r="Z371" i="4"/>
  <c r="Z370" i="4"/>
  <c r="Z369" i="4"/>
  <c r="Z368" i="4"/>
  <c r="Z367" i="4"/>
  <c r="Z366" i="4"/>
  <c r="Z365" i="4"/>
  <c r="Z364" i="4"/>
  <c r="Z363" i="4"/>
  <c r="Z362" i="4"/>
  <c r="Z361" i="4"/>
  <c r="Z360" i="4"/>
  <c r="Z359" i="4"/>
  <c r="Z358" i="4"/>
  <c r="Z357" i="4"/>
  <c r="Z356" i="4"/>
  <c r="Z355" i="4"/>
  <c r="Z354" i="4"/>
  <c r="Z353" i="4"/>
  <c r="Z352" i="4"/>
  <c r="Z351" i="4"/>
  <c r="Z350" i="4"/>
  <c r="Z349" i="4"/>
  <c r="Z348" i="4"/>
  <c r="Z347" i="4"/>
  <c r="Z346" i="4"/>
  <c r="Z345" i="4"/>
  <c r="Z344" i="4"/>
  <c r="Z343" i="4"/>
  <c r="Z342" i="4"/>
  <c r="Z341" i="4"/>
  <c r="Z340" i="4"/>
  <c r="Z339" i="4"/>
  <c r="Z338" i="4"/>
  <c r="Z337" i="4"/>
  <c r="Z336" i="4"/>
  <c r="Z335" i="4"/>
  <c r="Z334" i="4"/>
  <c r="Z333" i="4"/>
  <c r="Z332" i="4"/>
  <c r="Z331" i="4"/>
  <c r="Z330" i="4"/>
  <c r="Z329" i="4"/>
  <c r="Z328" i="4"/>
  <c r="Z327" i="4"/>
  <c r="Z326" i="4"/>
  <c r="Z325" i="4"/>
  <c r="Z324" i="4"/>
  <c r="Z323" i="4"/>
  <c r="Z322" i="4"/>
  <c r="Z321" i="4"/>
  <c r="Z320" i="4"/>
  <c r="Z319" i="4"/>
  <c r="Z318" i="4"/>
  <c r="Z317" i="4"/>
  <c r="Z316" i="4"/>
  <c r="Z315" i="4"/>
  <c r="Z314" i="4"/>
  <c r="Z313" i="4"/>
  <c r="Z312" i="4"/>
  <c r="Z311" i="4"/>
  <c r="Z310" i="4"/>
  <c r="Z309" i="4"/>
  <c r="Z308" i="4"/>
  <c r="Z307" i="4"/>
  <c r="Z306" i="4"/>
  <c r="Z305" i="4"/>
  <c r="Z304" i="4"/>
  <c r="Z303" i="4"/>
  <c r="Z302" i="4"/>
  <c r="Z301" i="4"/>
  <c r="Z300" i="4"/>
  <c r="Z299" i="4"/>
  <c r="Z298" i="4"/>
  <c r="Z297" i="4"/>
  <c r="Z296" i="4"/>
  <c r="Z295" i="4"/>
  <c r="Z294" i="4"/>
  <c r="Z293" i="4"/>
  <c r="Z292" i="4"/>
  <c r="Z291" i="4"/>
  <c r="Z290" i="4"/>
  <c r="Z289" i="4"/>
  <c r="Z288" i="4"/>
  <c r="Z287" i="4"/>
  <c r="Z286" i="4"/>
  <c r="Z285" i="4"/>
  <c r="Z284" i="4"/>
  <c r="Z283" i="4"/>
  <c r="Z282" i="4"/>
  <c r="Z281" i="4"/>
  <c r="Z280" i="4"/>
  <c r="Z279" i="4"/>
  <c r="Z278" i="4"/>
  <c r="Z277" i="4"/>
  <c r="Z276" i="4"/>
  <c r="Z275" i="4"/>
  <c r="Z274" i="4"/>
  <c r="Z273" i="4"/>
  <c r="Z272" i="4"/>
  <c r="Z271" i="4"/>
  <c r="Z270" i="4"/>
  <c r="Z269" i="4"/>
  <c r="Z268" i="4"/>
  <c r="Z267" i="4"/>
  <c r="Z266" i="4"/>
  <c r="Z265" i="4"/>
  <c r="Z264" i="4"/>
  <c r="Z263" i="4"/>
  <c r="Z262" i="4"/>
  <c r="Z261" i="4"/>
  <c r="Z260" i="4"/>
  <c r="Z259" i="4"/>
  <c r="Z258" i="4"/>
  <c r="Z257" i="4"/>
  <c r="Z256" i="4"/>
  <c r="Z255" i="4"/>
  <c r="Z254" i="4"/>
  <c r="Z253" i="4"/>
  <c r="Z252" i="4"/>
  <c r="Z251" i="4"/>
  <c r="Z250" i="4"/>
  <c r="Z249" i="4"/>
  <c r="Z248" i="4"/>
  <c r="Z247" i="4"/>
  <c r="Z246" i="4"/>
  <c r="Z245" i="4"/>
  <c r="Z244" i="4"/>
  <c r="Z243" i="4"/>
  <c r="Z242" i="4"/>
  <c r="Z241" i="4"/>
  <c r="Z240" i="4"/>
  <c r="Z239" i="4"/>
  <c r="Z238" i="4"/>
  <c r="Z237" i="4"/>
  <c r="Z236" i="4"/>
  <c r="Z235" i="4"/>
  <c r="Z234" i="4"/>
  <c r="Z233" i="4"/>
  <c r="Z232" i="4"/>
  <c r="Z231" i="4"/>
  <c r="Z230" i="4"/>
  <c r="Z229" i="4"/>
  <c r="Z228" i="4"/>
  <c r="Z227" i="4"/>
  <c r="Z226" i="4"/>
  <c r="Z225" i="4"/>
  <c r="Z224" i="4"/>
  <c r="Z223" i="4"/>
  <c r="Z222" i="4"/>
  <c r="Z221" i="4"/>
  <c r="Z220" i="4"/>
  <c r="Z219" i="4"/>
  <c r="Z218" i="4"/>
  <c r="Z217" i="4"/>
  <c r="Z216" i="4"/>
  <c r="Z215" i="4"/>
  <c r="Z214" i="4"/>
  <c r="Z213" i="4"/>
  <c r="Z212" i="4"/>
  <c r="Z211" i="4"/>
  <c r="Z210" i="4"/>
  <c r="Z209" i="4"/>
  <c r="Z208" i="4"/>
  <c r="Z207" i="4"/>
  <c r="Z206" i="4"/>
  <c r="Z205" i="4"/>
  <c r="Z204" i="4"/>
  <c r="Z203" i="4"/>
  <c r="Z202" i="4"/>
  <c r="Z201" i="4"/>
  <c r="Z200" i="4"/>
  <c r="Z199" i="4"/>
  <c r="Z198" i="4"/>
  <c r="Z197" i="4"/>
  <c r="Z196" i="4"/>
  <c r="Z195" i="4"/>
  <c r="Z194" i="4"/>
  <c r="Z193" i="4"/>
  <c r="Z192" i="4"/>
  <c r="Z191" i="4"/>
  <c r="Z190" i="4"/>
  <c r="Z189" i="4"/>
  <c r="Z188" i="4"/>
  <c r="Z187" i="4"/>
  <c r="Z186" i="4"/>
  <c r="Z185" i="4"/>
  <c r="Z184" i="4"/>
  <c r="Z183" i="4"/>
  <c r="Z182" i="4"/>
  <c r="Z181" i="4"/>
  <c r="Z180" i="4"/>
  <c r="Z179" i="4"/>
  <c r="Z178" i="4"/>
  <c r="Z177" i="4"/>
  <c r="Z176" i="4"/>
  <c r="Z175" i="4"/>
  <c r="Z174" i="4"/>
  <c r="Z173" i="4"/>
  <c r="Z172" i="4"/>
  <c r="Z171" i="4"/>
  <c r="Z170" i="4"/>
  <c r="Z169" i="4"/>
  <c r="Z168" i="4"/>
  <c r="Z167" i="4"/>
  <c r="Z166" i="4"/>
  <c r="Z165" i="4"/>
  <c r="Z164" i="4"/>
  <c r="Z163" i="4"/>
  <c r="Z162" i="4"/>
  <c r="Z161" i="4"/>
  <c r="Z160" i="4"/>
  <c r="Z159" i="4"/>
  <c r="Z158" i="4"/>
  <c r="Z157" i="4"/>
  <c r="Z156" i="4"/>
  <c r="Z155" i="4"/>
  <c r="Z154" i="4"/>
  <c r="Z153" i="4"/>
  <c r="Z152" i="4"/>
  <c r="Z151" i="4"/>
  <c r="Z150" i="4"/>
  <c r="Z149" i="4"/>
  <c r="Z148" i="4"/>
  <c r="Z147" i="4"/>
  <c r="Z146" i="4"/>
  <c r="Z145" i="4"/>
  <c r="Z144" i="4"/>
  <c r="Z143" i="4"/>
  <c r="Z142" i="4"/>
  <c r="Z141" i="4"/>
  <c r="Z140" i="4"/>
  <c r="Z139" i="4"/>
  <c r="Z138" i="4"/>
  <c r="Z137" i="4"/>
  <c r="Z136" i="4"/>
  <c r="Z135" i="4"/>
  <c r="Z134" i="4"/>
  <c r="Z133" i="4"/>
  <c r="Z132" i="4"/>
  <c r="Z131" i="4"/>
  <c r="Z130" i="4"/>
  <c r="Z129" i="4"/>
  <c r="Z128" i="4"/>
  <c r="Z127" i="4"/>
  <c r="Z126" i="4"/>
  <c r="Z125" i="4"/>
  <c r="Z124" i="4"/>
  <c r="Z123" i="4"/>
  <c r="Z122" i="4"/>
  <c r="Z121" i="4"/>
  <c r="Z120" i="4"/>
  <c r="Z119" i="4"/>
  <c r="Z118" i="4"/>
  <c r="Z117" i="4"/>
  <c r="Z116" i="4"/>
  <c r="Z115" i="4"/>
  <c r="Z114" i="4"/>
  <c r="Z113" i="4"/>
  <c r="Z112" i="4"/>
  <c r="Z111" i="4"/>
  <c r="Z110" i="4"/>
  <c r="Z109" i="4"/>
  <c r="Z108" i="4"/>
  <c r="Z107" i="4"/>
  <c r="Z106" i="4"/>
  <c r="Z105" i="4"/>
  <c r="Z104" i="4"/>
  <c r="Z103" i="4"/>
  <c r="Z102" i="4"/>
  <c r="Z101" i="4"/>
  <c r="Z100" i="4"/>
  <c r="Z99" i="4"/>
  <c r="Z98" i="4"/>
  <c r="Z97" i="4"/>
  <c r="Z96" i="4"/>
  <c r="Z95" i="4"/>
  <c r="Z94" i="4"/>
  <c r="Z93" i="4"/>
  <c r="Z92" i="4"/>
  <c r="Z91" i="4"/>
  <c r="Z90" i="4"/>
  <c r="Z89" i="4"/>
  <c r="Z88" i="4"/>
  <c r="Z87" i="4"/>
  <c r="Z86" i="4"/>
  <c r="Z85" i="4"/>
  <c r="Z84" i="4"/>
  <c r="Z83" i="4"/>
  <c r="Z82" i="4"/>
  <c r="Z81" i="4"/>
  <c r="Z80" i="4"/>
  <c r="Z79" i="4"/>
  <c r="Z78" i="4"/>
  <c r="Z77" i="4"/>
  <c r="Z76" i="4"/>
  <c r="Z75" i="4"/>
  <c r="Z74" i="4"/>
  <c r="Z73" i="4"/>
  <c r="Z72" i="4"/>
  <c r="Z71" i="4"/>
  <c r="Z70" i="4"/>
  <c r="Z69" i="4"/>
  <c r="Z68" i="4"/>
  <c r="Z67" i="4"/>
  <c r="Z66" i="4"/>
  <c r="Z65" i="4"/>
  <c r="Z64" i="4"/>
  <c r="Z63" i="4"/>
  <c r="Z62" i="4"/>
  <c r="Z61" i="4"/>
  <c r="Z60" i="4"/>
  <c r="Z59" i="4"/>
  <c r="Z58" i="4"/>
  <c r="Z57" i="4"/>
  <c r="Z56" i="4"/>
  <c r="Z55" i="4"/>
  <c r="Z54" i="4"/>
  <c r="Z53" i="4"/>
  <c r="Z52" i="4"/>
  <c r="Z51" i="4"/>
  <c r="Z50" i="4"/>
  <c r="Z49" i="4"/>
  <c r="Z48" i="4"/>
  <c r="Z47" i="4"/>
  <c r="Z46" i="4"/>
  <c r="Z45" i="4"/>
  <c r="Z44" i="4"/>
  <c r="Z43" i="4"/>
  <c r="Z42" i="4"/>
  <c r="Z41" i="4"/>
  <c r="Z40" i="4"/>
  <c r="Z39" i="4"/>
  <c r="Z38" i="4"/>
  <c r="Z37" i="4"/>
  <c r="Z36" i="4"/>
  <c r="Z35" i="4"/>
  <c r="Z34" i="4"/>
  <c r="Z33" i="4"/>
  <c r="Z32" i="4"/>
  <c r="Z31" i="4"/>
  <c r="Z30" i="4"/>
  <c r="Z29" i="4"/>
  <c r="Z28" i="4"/>
  <c r="Z27" i="4"/>
  <c r="Z26" i="4"/>
  <c r="Z25" i="4"/>
  <c r="Z24" i="4"/>
  <c r="Z23" i="4"/>
  <c r="Z22" i="4"/>
  <c r="Z21" i="4"/>
  <c r="Z20" i="4"/>
  <c r="Z19" i="4"/>
  <c r="Z18" i="4"/>
  <c r="Z17" i="4"/>
  <c r="Z16" i="4"/>
  <c r="Z15" i="4"/>
  <c r="Z14" i="4"/>
  <c r="Z13" i="4"/>
  <c r="Z12" i="4"/>
  <c r="Z11" i="4"/>
  <c r="Z10" i="4"/>
  <c r="Z9" i="4"/>
  <c r="Z8" i="4"/>
  <c r="Z7" i="4"/>
  <c r="Z6" i="4"/>
  <c r="Z5" i="4"/>
  <c r="Z4" i="4"/>
  <c r="Z3" i="4"/>
  <c r="Z2" i="4"/>
  <c r="W1001" i="4"/>
  <c r="W1000" i="4"/>
  <c r="W999" i="4"/>
  <c r="W998" i="4"/>
  <c r="W997" i="4"/>
  <c r="W996" i="4"/>
  <c r="W995" i="4"/>
  <c r="W994" i="4"/>
  <c r="W993" i="4"/>
  <c r="W992" i="4"/>
  <c r="W991" i="4"/>
  <c r="W990" i="4"/>
  <c r="W989" i="4"/>
  <c r="W988" i="4"/>
  <c r="W987" i="4"/>
  <c r="W986" i="4"/>
  <c r="W985" i="4"/>
  <c r="W984" i="4"/>
  <c r="W983" i="4"/>
  <c r="W982" i="4"/>
  <c r="W981" i="4"/>
  <c r="W980" i="4"/>
  <c r="W979" i="4"/>
  <c r="W978" i="4"/>
  <c r="W977" i="4"/>
  <c r="W976" i="4"/>
  <c r="W975" i="4"/>
  <c r="W974" i="4"/>
  <c r="W973" i="4"/>
  <c r="W972" i="4"/>
  <c r="W971" i="4"/>
  <c r="W970" i="4"/>
  <c r="W969" i="4"/>
  <c r="W968" i="4"/>
  <c r="W967" i="4"/>
  <c r="W966" i="4"/>
  <c r="W965" i="4"/>
  <c r="W964" i="4"/>
  <c r="W963" i="4"/>
  <c r="W962" i="4"/>
  <c r="W961" i="4"/>
  <c r="W960" i="4"/>
  <c r="W959" i="4"/>
  <c r="W958" i="4"/>
  <c r="W957" i="4"/>
  <c r="W956" i="4"/>
  <c r="W955" i="4"/>
  <c r="W954" i="4"/>
  <c r="W953" i="4"/>
  <c r="W952" i="4"/>
  <c r="W951" i="4"/>
  <c r="W950" i="4"/>
  <c r="W949" i="4"/>
  <c r="W948" i="4"/>
  <c r="W947" i="4"/>
  <c r="W946" i="4"/>
  <c r="W945" i="4"/>
  <c r="W944" i="4"/>
  <c r="W943" i="4"/>
  <c r="W942" i="4"/>
  <c r="W941" i="4"/>
  <c r="W940" i="4"/>
  <c r="W939" i="4"/>
  <c r="W938" i="4"/>
  <c r="W937" i="4"/>
  <c r="W936" i="4"/>
  <c r="W935" i="4"/>
  <c r="W934" i="4"/>
  <c r="W933" i="4"/>
  <c r="W932" i="4"/>
  <c r="W931" i="4"/>
  <c r="W930" i="4"/>
  <c r="W929" i="4"/>
  <c r="W928" i="4"/>
  <c r="W927" i="4"/>
  <c r="W926" i="4"/>
  <c r="W925" i="4"/>
  <c r="W924" i="4"/>
  <c r="W923" i="4"/>
  <c r="W922" i="4"/>
  <c r="W921" i="4"/>
  <c r="W920" i="4"/>
  <c r="W919" i="4"/>
  <c r="W918" i="4"/>
  <c r="W917" i="4"/>
  <c r="W916" i="4"/>
  <c r="W915" i="4"/>
  <c r="W914" i="4"/>
  <c r="W913" i="4"/>
  <c r="W912" i="4"/>
  <c r="W911" i="4"/>
  <c r="W910" i="4"/>
  <c r="W909" i="4"/>
  <c r="W908" i="4"/>
  <c r="W907" i="4"/>
  <c r="W906" i="4"/>
  <c r="W905" i="4"/>
  <c r="W904" i="4"/>
  <c r="W903" i="4"/>
  <c r="W902" i="4"/>
  <c r="W901" i="4"/>
  <c r="W900" i="4"/>
  <c r="W899" i="4"/>
  <c r="W898" i="4"/>
  <c r="W897" i="4"/>
  <c r="W896" i="4"/>
  <c r="W895" i="4"/>
  <c r="W894" i="4"/>
  <c r="W893" i="4"/>
  <c r="W892" i="4"/>
  <c r="W891" i="4"/>
  <c r="W890" i="4"/>
  <c r="W889" i="4"/>
  <c r="W888" i="4"/>
  <c r="W887" i="4"/>
  <c r="W886" i="4"/>
  <c r="W885" i="4"/>
  <c r="W884" i="4"/>
  <c r="W883" i="4"/>
  <c r="W882" i="4"/>
  <c r="W881" i="4"/>
  <c r="W880" i="4"/>
  <c r="W879" i="4"/>
  <c r="W878" i="4"/>
  <c r="W877" i="4"/>
  <c r="W876" i="4"/>
  <c r="W875" i="4"/>
  <c r="W874" i="4"/>
  <c r="W873" i="4"/>
  <c r="W872" i="4"/>
  <c r="W871" i="4"/>
  <c r="W870" i="4"/>
  <c r="W869" i="4"/>
  <c r="W868" i="4"/>
  <c r="W867" i="4"/>
  <c r="W866" i="4"/>
  <c r="W865" i="4"/>
  <c r="W864" i="4"/>
  <c r="W863" i="4"/>
  <c r="W862" i="4"/>
  <c r="W861" i="4"/>
  <c r="W860" i="4"/>
  <c r="W859" i="4"/>
  <c r="W858" i="4"/>
  <c r="W857" i="4"/>
  <c r="W856" i="4"/>
  <c r="W855" i="4"/>
  <c r="W854" i="4"/>
  <c r="W853" i="4"/>
  <c r="W852" i="4"/>
  <c r="W851" i="4"/>
  <c r="W850" i="4"/>
  <c r="W849" i="4"/>
  <c r="W848" i="4"/>
  <c r="W847" i="4"/>
  <c r="W846" i="4"/>
  <c r="W845" i="4"/>
  <c r="W844" i="4"/>
  <c r="W843" i="4"/>
  <c r="W842" i="4"/>
  <c r="W841" i="4"/>
  <c r="W840" i="4"/>
  <c r="W839" i="4"/>
  <c r="W838" i="4"/>
  <c r="W837" i="4"/>
  <c r="W836" i="4"/>
  <c r="W835" i="4"/>
  <c r="W834" i="4"/>
  <c r="W833" i="4"/>
  <c r="W832" i="4"/>
  <c r="W831" i="4"/>
  <c r="W830" i="4"/>
  <c r="W829" i="4"/>
  <c r="W828" i="4"/>
  <c r="W827" i="4"/>
  <c r="W826" i="4"/>
  <c r="W825" i="4"/>
  <c r="W824" i="4"/>
  <c r="W823" i="4"/>
  <c r="W822" i="4"/>
  <c r="W821" i="4"/>
  <c r="W820" i="4"/>
  <c r="W819" i="4"/>
  <c r="W818" i="4"/>
  <c r="W817" i="4"/>
  <c r="W816" i="4"/>
  <c r="W815" i="4"/>
  <c r="W814" i="4"/>
  <c r="W813" i="4"/>
  <c r="W812" i="4"/>
  <c r="W811" i="4"/>
  <c r="W810" i="4"/>
  <c r="W809" i="4"/>
  <c r="W808" i="4"/>
  <c r="W807" i="4"/>
  <c r="W806" i="4"/>
  <c r="W805" i="4"/>
  <c r="W804" i="4"/>
  <c r="W803" i="4"/>
  <c r="W802" i="4"/>
  <c r="W801" i="4"/>
  <c r="W800" i="4"/>
  <c r="W799" i="4"/>
  <c r="W798" i="4"/>
  <c r="W797" i="4"/>
  <c r="W796" i="4"/>
  <c r="W795" i="4"/>
  <c r="W794" i="4"/>
  <c r="W793" i="4"/>
  <c r="W792" i="4"/>
  <c r="W791" i="4"/>
  <c r="W790" i="4"/>
  <c r="W789" i="4"/>
  <c r="W788" i="4"/>
  <c r="W787" i="4"/>
  <c r="W786" i="4"/>
  <c r="W785" i="4"/>
  <c r="W784" i="4"/>
  <c r="W783" i="4"/>
  <c r="W782" i="4"/>
  <c r="W781" i="4"/>
  <c r="W780" i="4"/>
  <c r="W779" i="4"/>
  <c r="W778" i="4"/>
  <c r="W777" i="4"/>
  <c r="W776" i="4"/>
  <c r="W775" i="4"/>
  <c r="W774" i="4"/>
  <c r="W773" i="4"/>
  <c r="W772" i="4"/>
  <c r="W771" i="4"/>
  <c r="W770" i="4"/>
  <c r="W769" i="4"/>
  <c r="W768" i="4"/>
  <c r="W767" i="4"/>
  <c r="W766" i="4"/>
  <c r="W765" i="4"/>
  <c r="W764" i="4"/>
  <c r="W763" i="4"/>
  <c r="W762" i="4"/>
  <c r="W761" i="4"/>
  <c r="W760" i="4"/>
  <c r="W759" i="4"/>
  <c r="W758" i="4"/>
  <c r="W757" i="4"/>
  <c r="W756" i="4"/>
  <c r="W755" i="4"/>
  <c r="W754" i="4"/>
  <c r="W753" i="4"/>
  <c r="W752" i="4"/>
  <c r="W751" i="4"/>
  <c r="W750" i="4"/>
  <c r="W749" i="4"/>
  <c r="W748" i="4"/>
  <c r="W747" i="4"/>
  <c r="W746" i="4"/>
  <c r="W745" i="4"/>
  <c r="W744" i="4"/>
  <c r="W743" i="4"/>
  <c r="W742" i="4"/>
  <c r="W741" i="4"/>
  <c r="W740" i="4"/>
  <c r="W739" i="4"/>
  <c r="W738" i="4"/>
  <c r="W737" i="4"/>
  <c r="W736" i="4"/>
  <c r="W735" i="4"/>
  <c r="W734" i="4"/>
  <c r="W733" i="4"/>
  <c r="W732" i="4"/>
  <c r="W731" i="4"/>
  <c r="W730" i="4"/>
  <c r="W729" i="4"/>
  <c r="W728" i="4"/>
  <c r="W727" i="4"/>
  <c r="W726" i="4"/>
  <c r="W725" i="4"/>
  <c r="W724" i="4"/>
  <c r="W723" i="4"/>
  <c r="W722" i="4"/>
  <c r="W721" i="4"/>
  <c r="W720" i="4"/>
  <c r="W719" i="4"/>
  <c r="W718" i="4"/>
  <c r="W717" i="4"/>
  <c r="W716" i="4"/>
  <c r="W715" i="4"/>
  <c r="W714" i="4"/>
  <c r="W713" i="4"/>
  <c r="W712" i="4"/>
  <c r="W711" i="4"/>
  <c r="W710" i="4"/>
  <c r="W709" i="4"/>
  <c r="W708" i="4"/>
  <c r="W707" i="4"/>
  <c r="W706" i="4"/>
  <c r="W705" i="4"/>
  <c r="W704" i="4"/>
  <c r="W703" i="4"/>
  <c r="W702" i="4"/>
  <c r="W701" i="4"/>
  <c r="W700" i="4"/>
  <c r="W699" i="4"/>
  <c r="W698" i="4"/>
  <c r="W697" i="4"/>
  <c r="W696" i="4"/>
  <c r="W695" i="4"/>
  <c r="W694" i="4"/>
  <c r="W693" i="4"/>
  <c r="W692" i="4"/>
  <c r="W691" i="4"/>
  <c r="W690" i="4"/>
  <c r="W689" i="4"/>
  <c r="W688" i="4"/>
  <c r="W687" i="4"/>
  <c r="W686" i="4"/>
  <c r="W685" i="4"/>
  <c r="W684" i="4"/>
  <c r="W683" i="4"/>
  <c r="W682" i="4"/>
  <c r="W681" i="4"/>
  <c r="W680" i="4"/>
  <c r="W679" i="4"/>
  <c r="W678" i="4"/>
  <c r="W677" i="4"/>
  <c r="W676" i="4"/>
  <c r="W675" i="4"/>
  <c r="W674" i="4"/>
  <c r="W673" i="4"/>
  <c r="W672" i="4"/>
  <c r="W671" i="4"/>
  <c r="W670" i="4"/>
  <c r="W669" i="4"/>
  <c r="W668" i="4"/>
  <c r="W667" i="4"/>
  <c r="W666" i="4"/>
  <c r="W665" i="4"/>
  <c r="W664" i="4"/>
  <c r="W663" i="4"/>
  <c r="W662" i="4"/>
  <c r="W661" i="4"/>
  <c r="W660" i="4"/>
  <c r="W659" i="4"/>
  <c r="W658" i="4"/>
  <c r="W657" i="4"/>
  <c r="W656" i="4"/>
  <c r="W655" i="4"/>
  <c r="W654" i="4"/>
  <c r="W653" i="4"/>
  <c r="W652" i="4"/>
  <c r="W651" i="4"/>
  <c r="W650" i="4"/>
  <c r="W649" i="4"/>
  <c r="W648" i="4"/>
  <c r="W647" i="4"/>
  <c r="W646" i="4"/>
  <c r="W645" i="4"/>
  <c r="W644" i="4"/>
  <c r="W643" i="4"/>
  <c r="W642" i="4"/>
  <c r="W641" i="4"/>
  <c r="W640" i="4"/>
  <c r="W639" i="4"/>
  <c r="W638" i="4"/>
  <c r="W637" i="4"/>
  <c r="W636" i="4"/>
  <c r="W635" i="4"/>
  <c r="W634" i="4"/>
  <c r="W633" i="4"/>
  <c r="W632" i="4"/>
  <c r="W631" i="4"/>
  <c r="W630" i="4"/>
  <c r="W629" i="4"/>
  <c r="W628" i="4"/>
  <c r="W627" i="4"/>
  <c r="W626" i="4"/>
  <c r="W625" i="4"/>
  <c r="W624" i="4"/>
  <c r="W623" i="4"/>
  <c r="W622" i="4"/>
  <c r="W621" i="4"/>
  <c r="W620" i="4"/>
  <c r="W619" i="4"/>
  <c r="W618" i="4"/>
  <c r="W617" i="4"/>
  <c r="W616" i="4"/>
  <c r="W615" i="4"/>
  <c r="W614" i="4"/>
  <c r="W613" i="4"/>
  <c r="W612" i="4"/>
  <c r="W611" i="4"/>
  <c r="W610" i="4"/>
  <c r="W609" i="4"/>
  <c r="W608" i="4"/>
  <c r="W607" i="4"/>
  <c r="W606" i="4"/>
  <c r="W605" i="4"/>
  <c r="W604" i="4"/>
  <c r="W603" i="4"/>
  <c r="W602" i="4"/>
  <c r="W601" i="4"/>
  <c r="W600" i="4"/>
  <c r="W599" i="4"/>
  <c r="W598" i="4"/>
  <c r="W597" i="4"/>
  <c r="W596" i="4"/>
  <c r="W595" i="4"/>
  <c r="W594" i="4"/>
  <c r="W593" i="4"/>
  <c r="W592" i="4"/>
  <c r="W591" i="4"/>
  <c r="W590" i="4"/>
  <c r="W589" i="4"/>
  <c r="W588" i="4"/>
  <c r="W587" i="4"/>
  <c r="W586" i="4"/>
  <c r="W585" i="4"/>
  <c r="W584" i="4"/>
  <c r="W583" i="4"/>
  <c r="W582" i="4"/>
  <c r="W581" i="4"/>
  <c r="W580" i="4"/>
  <c r="W579" i="4"/>
  <c r="W578" i="4"/>
  <c r="W577" i="4"/>
  <c r="W576" i="4"/>
  <c r="W575" i="4"/>
  <c r="W574" i="4"/>
  <c r="W573" i="4"/>
  <c r="W572" i="4"/>
  <c r="W571" i="4"/>
  <c r="W570" i="4"/>
  <c r="W569" i="4"/>
  <c r="W568" i="4"/>
  <c r="W567" i="4"/>
  <c r="W566" i="4"/>
  <c r="W565" i="4"/>
  <c r="W564" i="4"/>
  <c r="W563" i="4"/>
  <c r="W562" i="4"/>
  <c r="W561" i="4"/>
  <c r="W560" i="4"/>
  <c r="W559" i="4"/>
  <c r="W558" i="4"/>
  <c r="W557" i="4"/>
  <c r="W556" i="4"/>
  <c r="W555" i="4"/>
  <c r="W554" i="4"/>
  <c r="W553" i="4"/>
  <c r="W552" i="4"/>
  <c r="W551" i="4"/>
  <c r="W550" i="4"/>
  <c r="W549" i="4"/>
  <c r="W548" i="4"/>
  <c r="W547" i="4"/>
  <c r="W546" i="4"/>
  <c r="W545" i="4"/>
  <c r="W544" i="4"/>
  <c r="W543" i="4"/>
  <c r="W542" i="4"/>
  <c r="W541" i="4"/>
  <c r="W540" i="4"/>
  <c r="W539" i="4"/>
  <c r="W538" i="4"/>
  <c r="W537" i="4"/>
  <c r="W536" i="4"/>
  <c r="W535" i="4"/>
  <c r="W534" i="4"/>
  <c r="W533" i="4"/>
  <c r="W532" i="4"/>
  <c r="W531" i="4"/>
  <c r="W530" i="4"/>
  <c r="W529" i="4"/>
  <c r="W528" i="4"/>
  <c r="W527" i="4"/>
  <c r="W526" i="4"/>
  <c r="W525" i="4"/>
  <c r="W524" i="4"/>
  <c r="W523" i="4"/>
  <c r="W522" i="4"/>
  <c r="W521" i="4"/>
  <c r="W520" i="4"/>
  <c r="W519" i="4"/>
  <c r="W518" i="4"/>
  <c r="W517" i="4"/>
  <c r="W516" i="4"/>
  <c r="W515" i="4"/>
  <c r="W514" i="4"/>
  <c r="W513" i="4"/>
  <c r="W512" i="4"/>
  <c r="W511" i="4"/>
  <c r="W510" i="4"/>
  <c r="W509" i="4"/>
  <c r="W508" i="4"/>
  <c r="W507" i="4"/>
  <c r="W506" i="4"/>
  <c r="W505" i="4"/>
  <c r="W504" i="4"/>
  <c r="W503" i="4"/>
  <c r="W502" i="4"/>
  <c r="W501" i="4"/>
  <c r="W500" i="4"/>
  <c r="W499" i="4"/>
  <c r="W498" i="4"/>
  <c r="W497" i="4"/>
  <c r="W496" i="4"/>
  <c r="W495" i="4"/>
  <c r="W494" i="4"/>
  <c r="W493" i="4"/>
  <c r="W492" i="4"/>
  <c r="W491" i="4"/>
  <c r="W490" i="4"/>
  <c r="W489" i="4"/>
  <c r="W488" i="4"/>
  <c r="W487" i="4"/>
  <c r="W486" i="4"/>
  <c r="W485" i="4"/>
  <c r="W484" i="4"/>
  <c r="W483" i="4"/>
  <c r="W482" i="4"/>
  <c r="W481" i="4"/>
  <c r="W480" i="4"/>
  <c r="W479" i="4"/>
  <c r="W478" i="4"/>
  <c r="W477" i="4"/>
  <c r="W476" i="4"/>
  <c r="W475" i="4"/>
  <c r="W474" i="4"/>
  <c r="W473" i="4"/>
  <c r="W472" i="4"/>
  <c r="W471" i="4"/>
  <c r="W470" i="4"/>
  <c r="W469" i="4"/>
  <c r="W468" i="4"/>
  <c r="W467" i="4"/>
  <c r="W466" i="4"/>
  <c r="W465" i="4"/>
  <c r="W464" i="4"/>
  <c r="W463" i="4"/>
  <c r="W462" i="4"/>
  <c r="W461" i="4"/>
  <c r="W460" i="4"/>
  <c r="W459" i="4"/>
  <c r="W458" i="4"/>
  <c r="W457" i="4"/>
  <c r="W456" i="4"/>
  <c r="W455" i="4"/>
  <c r="W454" i="4"/>
  <c r="W453" i="4"/>
  <c r="W452" i="4"/>
  <c r="W451" i="4"/>
  <c r="W450" i="4"/>
  <c r="W449" i="4"/>
  <c r="W448" i="4"/>
  <c r="W447" i="4"/>
  <c r="W446" i="4"/>
  <c r="W445" i="4"/>
  <c r="W444" i="4"/>
  <c r="W443" i="4"/>
  <c r="W442" i="4"/>
  <c r="W441" i="4"/>
  <c r="W440" i="4"/>
  <c r="W439" i="4"/>
  <c r="W438" i="4"/>
  <c r="W437" i="4"/>
  <c r="W436" i="4"/>
  <c r="W435" i="4"/>
  <c r="W434" i="4"/>
  <c r="W433" i="4"/>
  <c r="W432" i="4"/>
  <c r="W431" i="4"/>
  <c r="W430" i="4"/>
  <c r="W429" i="4"/>
  <c r="W428" i="4"/>
  <c r="W427" i="4"/>
  <c r="W426" i="4"/>
  <c r="W425" i="4"/>
  <c r="W424" i="4"/>
  <c r="W423" i="4"/>
  <c r="W422" i="4"/>
  <c r="W421" i="4"/>
  <c r="W420" i="4"/>
  <c r="W419" i="4"/>
  <c r="W418" i="4"/>
  <c r="W417" i="4"/>
  <c r="W416" i="4"/>
  <c r="W415" i="4"/>
  <c r="W414" i="4"/>
  <c r="W413" i="4"/>
  <c r="W412" i="4"/>
  <c r="W411" i="4"/>
  <c r="W410" i="4"/>
  <c r="W409" i="4"/>
  <c r="W408" i="4"/>
  <c r="W407" i="4"/>
  <c r="W406" i="4"/>
  <c r="W405" i="4"/>
  <c r="W404" i="4"/>
  <c r="W403" i="4"/>
  <c r="W402" i="4"/>
  <c r="W401" i="4"/>
  <c r="W400" i="4"/>
  <c r="W399" i="4"/>
  <c r="W398" i="4"/>
  <c r="W397" i="4"/>
  <c r="W396" i="4"/>
  <c r="W395" i="4"/>
  <c r="W394" i="4"/>
  <c r="W393" i="4"/>
  <c r="W392" i="4"/>
  <c r="W391" i="4"/>
  <c r="W390" i="4"/>
  <c r="W389" i="4"/>
  <c r="W388" i="4"/>
  <c r="W387" i="4"/>
  <c r="W386" i="4"/>
  <c r="W385" i="4"/>
  <c r="W384" i="4"/>
  <c r="W383" i="4"/>
  <c r="W382" i="4"/>
  <c r="W381" i="4"/>
  <c r="W380" i="4"/>
  <c r="W379" i="4"/>
  <c r="W378" i="4"/>
  <c r="W377" i="4"/>
  <c r="W376" i="4"/>
  <c r="W375" i="4"/>
  <c r="W374" i="4"/>
  <c r="W373" i="4"/>
  <c r="W372" i="4"/>
  <c r="W371" i="4"/>
  <c r="W370" i="4"/>
  <c r="W369" i="4"/>
  <c r="W368" i="4"/>
  <c r="W367" i="4"/>
  <c r="W366" i="4"/>
  <c r="W365" i="4"/>
  <c r="W364" i="4"/>
  <c r="W363" i="4"/>
  <c r="W362" i="4"/>
  <c r="W361" i="4"/>
  <c r="W360" i="4"/>
  <c r="W359" i="4"/>
  <c r="W358" i="4"/>
  <c r="W357" i="4"/>
  <c r="W356" i="4"/>
  <c r="W355" i="4"/>
  <c r="W354" i="4"/>
  <c r="W353" i="4"/>
  <c r="W352" i="4"/>
  <c r="W351" i="4"/>
  <c r="W350" i="4"/>
  <c r="W349" i="4"/>
  <c r="W348" i="4"/>
  <c r="W347" i="4"/>
  <c r="W346" i="4"/>
  <c r="W345" i="4"/>
  <c r="W344" i="4"/>
  <c r="W343" i="4"/>
  <c r="W342" i="4"/>
  <c r="W341" i="4"/>
  <c r="W340" i="4"/>
  <c r="W339" i="4"/>
  <c r="W338" i="4"/>
  <c r="W337" i="4"/>
  <c r="W336" i="4"/>
  <c r="W335" i="4"/>
  <c r="W334" i="4"/>
  <c r="W333" i="4"/>
  <c r="W332" i="4"/>
  <c r="W331" i="4"/>
  <c r="W330" i="4"/>
  <c r="W329" i="4"/>
  <c r="W328" i="4"/>
  <c r="W327" i="4"/>
  <c r="W326" i="4"/>
  <c r="W325" i="4"/>
  <c r="W324" i="4"/>
  <c r="W323" i="4"/>
  <c r="W322" i="4"/>
  <c r="W321" i="4"/>
  <c r="W320" i="4"/>
  <c r="W319" i="4"/>
  <c r="W318" i="4"/>
  <c r="W317" i="4"/>
  <c r="W316" i="4"/>
  <c r="W315" i="4"/>
  <c r="W314" i="4"/>
  <c r="W313" i="4"/>
  <c r="W312" i="4"/>
  <c r="W311" i="4"/>
  <c r="W310" i="4"/>
  <c r="W309" i="4"/>
  <c r="W308" i="4"/>
  <c r="W307" i="4"/>
  <c r="W306" i="4"/>
  <c r="W305" i="4"/>
  <c r="W304" i="4"/>
  <c r="W303" i="4"/>
  <c r="W302" i="4"/>
  <c r="W301" i="4"/>
  <c r="W300" i="4"/>
  <c r="W299" i="4"/>
  <c r="W298" i="4"/>
  <c r="W297" i="4"/>
  <c r="W296" i="4"/>
  <c r="W295" i="4"/>
  <c r="W294" i="4"/>
  <c r="W293" i="4"/>
  <c r="W292" i="4"/>
  <c r="W291" i="4"/>
  <c r="W290" i="4"/>
  <c r="W289" i="4"/>
  <c r="W288" i="4"/>
  <c r="W287" i="4"/>
  <c r="W286" i="4"/>
  <c r="W285" i="4"/>
  <c r="W284" i="4"/>
  <c r="W283" i="4"/>
  <c r="W282" i="4"/>
  <c r="W281" i="4"/>
  <c r="W280" i="4"/>
  <c r="W279" i="4"/>
  <c r="W278" i="4"/>
  <c r="W277" i="4"/>
  <c r="W276" i="4"/>
  <c r="W275" i="4"/>
  <c r="W274" i="4"/>
  <c r="W273" i="4"/>
  <c r="W272" i="4"/>
  <c r="W271" i="4"/>
  <c r="W270" i="4"/>
  <c r="W269" i="4"/>
  <c r="W268" i="4"/>
  <c r="W267" i="4"/>
  <c r="W266" i="4"/>
  <c r="W265" i="4"/>
  <c r="W264" i="4"/>
  <c r="W263" i="4"/>
  <c r="W262" i="4"/>
  <c r="W261" i="4"/>
  <c r="W260" i="4"/>
  <c r="W259" i="4"/>
  <c r="W258" i="4"/>
  <c r="W257" i="4"/>
  <c r="W256" i="4"/>
  <c r="W255" i="4"/>
  <c r="W254" i="4"/>
  <c r="W253" i="4"/>
  <c r="W252" i="4"/>
  <c r="W251" i="4"/>
  <c r="W250" i="4"/>
  <c r="W249" i="4"/>
  <c r="W248" i="4"/>
  <c r="W247" i="4"/>
  <c r="W246" i="4"/>
  <c r="W245" i="4"/>
  <c r="W244" i="4"/>
  <c r="W243" i="4"/>
  <c r="W242" i="4"/>
  <c r="W241" i="4"/>
  <c r="W240" i="4"/>
  <c r="W239" i="4"/>
  <c r="W238" i="4"/>
  <c r="W237" i="4"/>
  <c r="W236" i="4"/>
  <c r="W235" i="4"/>
  <c r="W234" i="4"/>
  <c r="W233" i="4"/>
  <c r="W232" i="4"/>
  <c r="W231" i="4"/>
  <c r="W230" i="4"/>
  <c r="W229" i="4"/>
  <c r="W228" i="4"/>
  <c r="W227" i="4"/>
  <c r="W226" i="4"/>
  <c r="W225" i="4"/>
  <c r="W224" i="4"/>
  <c r="W223" i="4"/>
  <c r="W222" i="4"/>
  <c r="W221" i="4"/>
  <c r="W220" i="4"/>
  <c r="W219" i="4"/>
  <c r="W218" i="4"/>
  <c r="W217" i="4"/>
  <c r="W216" i="4"/>
  <c r="W215" i="4"/>
  <c r="W214" i="4"/>
  <c r="W213" i="4"/>
  <c r="W212" i="4"/>
  <c r="W211" i="4"/>
  <c r="W210" i="4"/>
  <c r="W209" i="4"/>
  <c r="W208" i="4"/>
  <c r="W207" i="4"/>
  <c r="W206" i="4"/>
  <c r="W205" i="4"/>
  <c r="W204" i="4"/>
  <c r="W203" i="4"/>
  <c r="W202" i="4"/>
  <c r="W201" i="4"/>
  <c r="W200" i="4"/>
  <c r="W199" i="4"/>
  <c r="W198" i="4"/>
  <c r="W197" i="4"/>
  <c r="W196" i="4"/>
  <c r="W195" i="4"/>
  <c r="W194" i="4"/>
  <c r="W193" i="4"/>
  <c r="W192" i="4"/>
  <c r="W191" i="4"/>
  <c r="W190" i="4"/>
  <c r="W189" i="4"/>
  <c r="W188" i="4"/>
  <c r="W187" i="4"/>
  <c r="W186" i="4"/>
  <c r="W185" i="4"/>
  <c r="W184" i="4"/>
  <c r="W183" i="4"/>
  <c r="W182" i="4"/>
  <c r="W181" i="4"/>
  <c r="W180" i="4"/>
  <c r="W179" i="4"/>
  <c r="W178" i="4"/>
  <c r="W177" i="4"/>
  <c r="W176" i="4"/>
  <c r="W175" i="4"/>
  <c r="W174" i="4"/>
  <c r="W173" i="4"/>
  <c r="W172" i="4"/>
  <c r="W171" i="4"/>
  <c r="W170" i="4"/>
  <c r="W169" i="4"/>
  <c r="W168" i="4"/>
  <c r="W167" i="4"/>
  <c r="W166" i="4"/>
  <c r="W165" i="4"/>
  <c r="W164" i="4"/>
  <c r="W163" i="4"/>
  <c r="W162" i="4"/>
  <c r="W161" i="4"/>
  <c r="W160" i="4"/>
  <c r="W159" i="4"/>
  <c r="W158" i="4"/>
  <c r="W157" i="4"/>
  <c r="W156" i="4"/>
  <c r="W155" i="4"/>
  <c r="W154" i="4"/>
  <c r="W153" i="4"/>
  <c r="W152" i="4"/>
  <c r="W151" i="4"/>
  <c r="W150" i="4"/>
  <c r="W149" i="4"/>
  <c r="W148" i="4"/>
  <c r="W147" i="4"/>
  <c r="W146" i="4"/>
  <c r="W145" i="4"/>
  <c r="W144" i="4"/>
  <c r="W143" i="4"/>
  <c r="W142" i="4"/>
  <c r="W141" i="4"/>
  <c r="W140" i="4"/>
  <c r="W139" i="4"/>
  <c r="W138" i="4"/>
  <c r="W137" i="4"/>
  <c r="W136" i="4"/>
  <c r="W135" i="4"/>
  <c r="W134" i="4"/>
  <c r="W133" i="4"/>
  <c r="W132" i="4"/>
  <c r="W131" i="4"/>
  <c r="W130" i="4"/>
  <c r="W129" i="4"/>
  <c r="W128" i="4"/>
  <c r="W127" i="4"/>
  <c r="W126" i="4"/>
  <c r="W125" i="4"/>
  <c r="W124" i="4"/>
  <c r="W123" i="4"/>
  <c r="W122" i="4"/>
  <c r="W121" i="4"/>
  <c r="W120" i="4"/>
  <c r="W119" i="4"/>
  <c r="W118" i="4"/>
  <c r="W117" i="4"/>
  <c r="W116" i="4"/>
  <c r="W115" i="4"/>
  <c r="W114" i="4"/>
  <c r="W113" i="4"/>
  <c r="W112" i="4"/>
  <c r="W111" i="4"/>
  <c r="W110" i="4"/>
  <c r="W109" i="4"/>
  <c r="W108" i="4"/>
  <c r="W107" i="4"/>
  <c r="W106" i="4"/>
  <c r="W105" i="4"/>
  <c r="W104" i="4"/>
  <c r="W103" i="4"/>
  <c r="W102" i="4"/>
  <c r="W101" i="4"/>
  <c r="W100" i="4"/>
  <c r="W99" i="4"/>
  <c r="W98" i="4"/>
  <c r="W97" i="4"/>
  <c r="W96" i="4"/>
  <c r="W95" i="4"/>
  <c r="W94" i="4"/>
  <c r="W93" i="4"/>
  <c r="W92" i="4"/>
  <c r="W91" i="4"/>
  <c r="W90" i="4"/>
  <c r="W89" i="4"/>
  <c r="W88" i="4"/>
  <c r="W87" i="4"/>
  <c r="W86" i="4"/>
  <c r="W85" i="4"/>
  <c r="W84" i="4"/>
  <c r="W83" i="4"/>
  <c r="W82" i="4"/>
  <c r="W81" i="4"/>
  <c r="W80" i="4"/>
  <c r="W79" i="4"/>
  <c r="W78" i="4"/>
  <c r="W77" i="4"/>
  <c r="W76" i="4"/>
  <c r="W75" i="4"/>
  <c r="W74" i="4"/>
  <c r="W73" i="4"/>
  <c r="W72" i="4"/>
  <c r="W71" i="4"/>
  <c r="W70" i="4"/>
  <c r="W69" i="4"/>
  <c r="W68" i="4"/>
  <c r="W67" i="4"/>
  <c r="W66" i="4"/>
  <c r="W65" i="4"/>
  <c r="W64" i="4"/>
  <c r="W63" i="4"/>
  <c r="W62" i="4"/>
  <c r="W61" i="4"/>
  <c r="W60" i="4"/>
  <c r="W59" i="4"/>
  <c r="W58" i="4"/>
  <c r="W57" i="4"/>
  <c r="W56" i="4"/>
  <c r="W55" i="4"/>
  <c r="W54" i="4"/>
  <c r="W53" i="4"/>
  <c r="W52" i="4"/>
  <c r="W51" i="4"/>
  <c r="W50" i="4"/>
  <c r="W49" i="4"/>
  <c r="W48" i="4"/>
  <c r="W47" i="4"/>
  <c r="W46" i="4"/>
  <c r="W45" i="4"/>
  <c r="W44" i="4"/>
  <c r="W43" i="4"/>
  <c r="W42" i="4"/>
  <c r="W41" i="4"/>
  <c r="W40" i="4"/>
  <c r="W39" i="4"/>
  <c r="W38" i="4"/>
  <c r="W37" i="4"/>
  <c r="W36" i="4"/>
  <c r="W35" i="4"/>
  <c r="W34" i="4"/>
  <c r="W33" i="4"/>
  <c r="W32" i="4"/>
  <c r="W31" i="4"/>
  <c r="W30" i="4"/>
  <c r="W29" i="4"/>
  <c r="W28" i="4"/>
  <c r="W27" i="4"/>
  <c r="W26" i="4"/>
  <c r="W25" i="4"/>
  <c r="W24" i="4"/>
  <c r="W23" i="4"/>
  <c r="W22" i="4"/>
  <c r="W21" i="4"/>
  <c r="W20" i="4"/>
  <c r="W19" i="4"/>
  <c r="W18" i="4"/>
  <c r="W17" i="4"/>
  <c r="W16" i="4"/>
  <c r="W15" i="4"/>
  <c r="W14" i="4"/>
  <c r="W13" i="4"/>
  <c r="W12" i="4"/>
  <c r="W11" i="4"/>
  <c r="W10" i="4"/>
  <c r="W9" i="4"/>
  <c r="W8" i="4"/>
  <c r="W7" i="4"/>
  <c r="W6" i="4"/>
  <c r="W5" i="4"/>
  <c r="W4" i="4"/>
  <c r="W3" i="4"/>
  <c r="W2" i="4"/>
  <c r="T1001" i="4"/>
  <c r="T1000" i="4"/>
  <c r="T999" i="4"/>
  <c r="T998" i="4"/>
  <c r="T997" i="4"/>
  <c r="T996" i="4"/>
  <c r="T995" i="4"/>
  <c r="T994" i="4"/>
  <c r="T993" i="4"/>
  <c r="T992" i="4"/>
  <c r="T991" i="4"/>
  <c r="T990" i="4"/>
  <c r="T989" i="4"/>
  <c r="T988" i="4"/>
  <c r="T987" i="4"/>
  <c r="T986" i="4"/>
  <c r="T985" i="4"/>
  <c r="T984" i="4"/>
  <c r="T983" i="4"/>
  <c r="T982" i="4"/>
  <c r="T981" i="4"/>
  <c r="T980" i="4"/>
  <c r="T979" i="4"/>
  <c r="T978" i="4"/>
  <c r="T977" i="4"/>
  <c r="T976" i="4"/>
  <c r="T975" i="4"/>
  <c r="T974" i="4"/>
  <c r="T973" i="4"/>
  <c r="T972" i="4"/>
  <c r="T971" i="4"/>
  <c r="T970" i="4"/>
  <c r="T969" i="4"/>
  <c r="T968" i="4"/>
  <c r="T967" i="4"/>
  <c r="T966" i="4"/>
  <c r="T965" i="4"/>
  <c r="T964" i="4"/>
  <c r="T963" i="4"/>
  <c r="T962" i="4"/>
  <c r="T961" i="4"/>
  <c r="T960" i="4"/>
  <c r="T959" i="4"/>
  <c r="T958" i="4"/>
  <c r="T957" i="4"/>
  <c r="T956" i="4"/>
  <c r="T955" i="4"/>
  <c r="T954" i="4"/>
  <c r="T953" i="4"/>
  <c r="T952" i="4"/>
  <c r="T951" i="4"/>
  <c r="T950" i="4"/>
  <c r="T949" i="4"/>
  <c r="T948" i="4"/>
  <c r="T947" i="4"/>
  <c r="T946" i="4"/>
  <c r="T945" i="4"/>
  <c r="T944" i="4"/>
  <c r="T943" i="4"/>
  <c r="T942" i="4"/>
  <c r="T941" i="4"/>
  <c r="T940" i="4"/>
  <c r="T939" i="4"/>
  <c r="T938" i="4"/>
  <c r="T937" i="4"/>
  <c r="T936" i="4"/>
  <c r="T935" i="4"/>
  <c r="T934" i="4"/>
  <c r="T933" i="4"/>
  <c r="T932" i="4"/>
  <c r="T931" i="4"/>
  <c r="T930" i="4"/>
  <c r="T929" i="4"/>
  <c r="T928" i="4"/>
  <c r="T927" i="4"/>
  <c r="T926" i="4"/>
  <c r="T925" i="4"/>
  <c r="T924" i="4"/>
  <c r="T923" i="4"/>
  <c r="T922" i="4"/>
  <c r="T921" i="4"/>
  <c r="T920" i="4"/>
  <c r="T919" i="4"/>
  <c r="T918" i="4"/>
  <c r="T917" i="4"/>
  <c r="T916" i="4"/>
  <c r="T915" i="4"/>
  <c r="T914" i="4"/>
  <c r="T913" i="4"/>
  <c r="T912" i="4"/>
  <c r="T911" i="4"/>
  <c r="T910" i="4"/>
  <c r="T909" i="4"/>
  <c r="T908" i="4"/>
  <c r="T907" i="4"/>
  <c r="T906" i="4"/>
  <c r="T905" i="4"/>
  <c r="T904" i="4"/>
  <c r="T903" i="4"/>
  <c r="T902" i="4"/>
  <c r="T901" i="4"/>
  <c r="T900" i="4"/>
  <c r="T899" i="4"/>
  <c r="T898" i="4"/>
  <c r="T897" i="4"/>
  <c r="T896" i="4"/>
  <c r="T895" i="4"/>
  <c r="T894" i="4"/>
  <c r="T893" i="4"/>
  <c r="T892" i="4"/>
  <c r="T891" i="4"/>
  <c r="T890" i="4"/>
  <c r="T889" i="4"/>
  <c r="T888" i="4"/>
  <c r="T887" i="4"/>
  <c r="T886" i="4"/>
  <c r="T885" i="4"/>
  <c r="T884" i="4"/>
  <c r="T883" i="4"/>
  <c r="T882" i="4"/>
  <c r="T881" i="4"/>
  <c r="T880" i="4"/>
  <c r="T879" i="4"/>
  <c r="T878" i="4"/>
  <c r="T877" i="4"/>
  <c r="T876" i="4"/>
  <c r="T875" i="4"/>
  <c r="T874" i="4"/>
  <c r="T873" i="4"/>
  <c r="T872" i="4"/>
  <c r="T871" i="4"/>
  <c r="T870" i="4"/>
  <c r="T869" i="4"/>
  <c r="T868" i="4"/>
  <c r="T867" i="4"/>
  <c r="T866" i="4"/>
  <c r="T865" i="4"/>
  <c r="T864" i="4"/>
  <c r="T863" i="4"/>
  <c r="T862" i="4"/>
  <c r="T861" i="4"/>
  <c r="T860" i="4"/>
  <c r="T859" i="4"/>
  <c r="T858" i="4"/>
  <c r="T857" i="4"/>
  <c r="T856" i="4"/>
  <c r="T855" i="4"/>
  <c r="T854" i="4"/>
  <c r="T853" i="4"/>
  <c r="T852" i="4"/>
  <c r="T851" i="4"/>
  <c r="T850" i="4"/>
  <c r="T849" i="4"/>
  <c r="T848" i="4"/>
  <c r="T847" i="4"/>
  <c r="T846" i="4"/>
  <c r="T845" i="4"/>
  <c r="T844" i="4"/>
  <c r="T843" i="4"/>
  <c r="T842" i="4"/>
  <c r="T841" i="4"/>
  <c r="T840" i="4"/>
  <c r="T839" i="4"/>
  <c r="T838" i="4"/>
  <c r="T837" i="4"/>
  <c r="T836" i="4"/>
  <c r="T835" i="4"/>
  <c r="T834" i="4"/>
  <c r="T833" i="4"/>
  <c r="T832" i="4"/>
  <c r="T831" i="4"/>
  <c r="T830" i="4"/>
  <c r="T829" i="4"/>
  <c r="T828" i="4"/>
  <c r="T827" i="4"/>
  <c r="T826" i="4"/>
  <c r="T825" i="4"/>
  <c r="T824" i="4"/>
  <c r="T823" i="4"/>
  <c r="T822" i="4"/>
  <c r="T821" i="4"/>
  <c r="T820" i="4"/>
  <c r="T819" i="4"/>
  <c r="T818" i="4"/>
  <c r="T817" i="4"/>
  <c r="T816" i="4"/>
  <c r="T815" i="4"/>
  <c r="T814" i="4"/>
  <c r="T813" i="4"/>
  <c r="T812" i="4"/>
  <c r="T811" i="4"/>
  <c r="T810" i="4"/>
  <c r="T809" i="4"/>
  <c r="T808" i="4"/>
  <c r="T807" i="4"/>
  <c r="T806" i="4"/>
  <c r="T805" i="4"/>
  <c r="T804" i="4"/>
  <c r="T803" i="4"/>
  <c r="T802" i="4"/>
  <c r="T801" i="4"/>
  <c r="T800" i="4"/>
  <c r="T799" i="4"/>
  <c r="T798" i="4"/>
  <c r="T797" i="4"/>
  <c r="T796" i="4"/>
  <c r="T795" i="4"/>
  <c r="T794" i="4"/>
  <c r="T793" i="4"/>
  <c r="T792" i="4"/>
  <c r="T791" i="4"/>
  <c r="T790" i="4"/>
  <c r="T789" i="4"/>
  <c r="T788" i="4"/>
  <c r="T787" i="4"/>
  <c r="T786" i="4"/>
  <c r="T785" i="4"/>
  <c r="T784" i="4"/>
  <c r="T783" i="4"/>
  <c r="T782" i="4"/>
  <c r="T781" i="4"/>
  <c r="T780" i="4"/>
  <c r="T779" i="4"/>
  <c r="T778" i="4"/>
  <c r="T777" i="4"/>
  <c r="T776" i="4"/>
  <c r="T775" i="4"/>
  <c r="T774" i="4"/>
  <c r="T773" i="4"/>
  <c r="T772" i="4"/>
  <c r="T771" i="4"/>
  <c r="T770" i="4"/>
  <c r="T769" i="4"/>
  <c r="T768" i="4"/>
  <c r="T767" i="4"/>
  <c r="T766" i="4"/>
  <c r="T765" i="4"/>
  <c r="T764" i="4"/>
  <c r="T763" i="4"/>
  <c r="T762" i="4"/>
  <c r="T761" i="4"/>
  <c r="T760" i="4"/>
  <c r="T759" i="4"/>
  <c r="T758" i="4"/>
  <c r="T757" i="4"/>
  <c r="T756" i="4"/>
  <c r="T755" i="4"/>
  <c r="T754" i="4"/>
  <c r="T753" i="4"/>
  <c r="T752" i="4"/>
  <c r="T751" i="4"/>
  <c r="T750" i="4"/>
  <c r="T749" i="4"/>
  <c r="T748" i="4"/>
  <c r="T747" i="4"/>
  <c r="T746" i="4"/>
  <c r="T745" i="4"/>
  <c r="T744" i="4"/>
  <c r="T743" i="4"/>
  <c r="T742" i="4"/>
  <c r="T741" i="4"/>
  <c r="T740" i="4"/>
  <c r="T739" i="4"/>
  <c r="T738" i="4"/>
  <c r="T737" i="4"/>
  <c r="T736" i="4"/>
  <c r="T735" i="4"/>
  <c r="T734" i="4"/>
  <c r="T733" i="4"/>
  <c r="T732" i="4"/>
  <c r="T731" i="4"/>
  <c r="T730" i="4"/>
  <c r="T729" i="4"/>
  <c r="T728" i="4"/>
  <c r="T727" i="4"/>
  <c r="T726" i="4"/>
  <c r="T725" i="4"/>
  <c r="T724" i="4"/>
  <c r="T723" i="4"/>
  <c r="T722" i="4"/>
  <c r="T721" i="4"/>
  <c r="T720" i="4"/>
  <c r="T719" i="4"/>
  <c r="T718" i="4"/>
  <c r="T717" i="4"/>
  <c r="T716" i="4"/>
  <c r="T715" i="4"/>
  <c r="T714" i="4"/>
  <c r="T713" i="4"/>
  <c r="T712" i="4"/>
  <c r="T711" i="4"/>
  <c r="T710" i="4"/>
  <c r="T709" i="4"/>
  <c r="T708" i="4"/>
  <c r="T707" i="4"/>
  <c r="T706" i="4"/>
  <c r="T705" i="4"/>
  <c r="T704" i="4"/>
  <c r="T703" i="4"/>
  <c r="T702" i="4"/>
  <c r="T701" i="4"/>
  <c r="T700" i="4"/>
  <c r="T699" i="4"/>
  <c r="T698" i="4"/>
  <c r="T697" i="4"/>
  <c r="T696" i="4"/>
  <c r="T695" i="4"/>
  <c r="T694" i="4"/>
  <c r="T693" i="4"/>
  <c r="T692" i="4"/>
  <c r="T691" i="4"/>
  <c r="T690" i="4"/>
  <c r="T689" i="4"/>
  <c r="T688" i="4"/>
  <c r="T687" i="4"/>
  <c r="T686" i="4"/>
  <c r="T685" i="4"/>
  <c r="T684" i="4"/>
  <c r="T683" i="4"/>
  <c r="T682" i="4"/>
  <c r="T681" i="4"/>
  <c r="T680" i="4"/>
  <c r="T679" i="4"/>
  <c r="T678" i="4"/>
  <c r="T677" i="4"/>
  <c r="T676" i="4"/>
  <c r="T675" i="4"/>
  <c r="T674" i="4"/>
  <c r="T673" i="4"/>
  <c r="T672" i="4"/>
  <c r="T671" i="4"/>
  <c r="T670" i="4"/>
  <c r="T669" i="4"/>
  <c r="T668" i="4"/>
  <c r="T667" i="4"/>
  <c r="T666" i="4"/>
  <c r="T665" i="4"/>
  <c r="T664" i="4"/>
  <c r="T663" i="4"/>
  <c r="T662" i="4"/>
  <c r="T661" i="4"/>
  <c r="T660" i="4"/>
  <c r="T659" i="4"/>
  <c r="T658" i="4"/>
  <c r="T657" i="4"/>
  <c r="T656" i="4"/>
  <c r="T655" i="4"/>
  <c r="T654" i="4"/>
  <c r="T653" i="4"/>
  <c r="T652" i="4"/>
  <c r="T651" i="4"/>
  <c r="T650" i="4"/>
  <c r="T649" i="4"/>
  <c r="T648" i="4"/>
  <c r="T647" i="4"/>
  <c r="T646" i="4"/>
  <c r="T645" i="4"/>
  <c r="T644" i="4"/>
  <c r="T643" i="4"/>
  <c r="T642" i="4"/>
  <c r="T641" i="4"/>
  <c r="T640" i="4"/>
  <c r="T639" i="4"/>
  <c r="T638" i="4"/>
  <c r="T637" i="4"/>
  <c r="T636" i="4"/>
  <c r="T635" i="4"/>
  <c r="T634" i="4"/>
  <c r="T633" i="4"/>
  <c r="T632" i="4"/>
  <c r="T631" i="4"/>
  <c r="T630" i="4"/>
  <c r="T629" i="4"/>
  <c r="T628" i="4"/>
  <c r="T627" i="4"/>
  <c r="T626" i="4"/>
  <c r="T625" i="4"/>
  <c r="T624" i="4"/>
  <c r="T623" i="4"/>
  <c r="T622" i="4"/>
  <c r="T621" i="4"/>
  <c r="T620" i="4"/>
  <c r="T619" i="4"/>
  <c r="T618" i="4"/>
  <c r="T617" i="4"/>
  <c r="T616" i="4"/>
  <c r="T615" i="4"/>
  <c r="T614" i="4"/>
  <c r="T613" i="4"/>
  <c r="T612" i="4"/>
  <c r="T611" i="4"/>
  <c r="T610" i="4"/>
  <c r="T609" i="4"/>
  <c r="T608" i="4"/>
  <c r="T607" i="4"/>
  <c r="T606" i="4"/>
  <c r="T605" i="4"/>
  <c r="T604" i="4"/>
  <c r="T603" i="4"/>
  <c r="T602" i="4"/>
  <c r="T601" i="4"/>
  <c r="T600" i="4"/>
  <c r="T599" i="4"/>
  <c r="T598" i="4"/>
  <c r="T597" i="4"/>
  <c r="T596" i="4"/>
  <c r="T595" i="4"/>
  <c r="T594" i="4"/>
  <c r="T593" i="4"/>
  <c r="T592" i="4"/>
  <c r="T591" i="4"/>
  <c r="T590" i="4"/>
  <c r="T589" i="4"/>
  <c r="T588" i="4"/>
  <c r="T587" i="4"/>
  <c r="T586" i="4"/>
  <c r="T585" i="4"/>
  <c r="T584" i="4"/>
  <c r="T583" i="4"/>
  <c r="T582" i="4"/>
  <c r="T581" i="4"/>
  <c r="T580" i="4"/>
  <c r="T579" i="4"/>
  <c r="T578" i="4"/>
  <c r="T577" i="4"/>
  <c r="T576" i="4"/>
  <c r="T575" i="4"/>
  <c r="T574" i="4"/>
  <c r="T573" i="4"/>
  <c r="T572" i="4"/>
  <c r="T571" i="4"/>
  <c r="T570" i="4"/>
  <c r="T569" i="4"/>
  <c r="T568" i="4"/>
  <c r="T567" i="4"/>
  <c r="T566" i="4"/>
  <c r="T565" i="4"/>
  <c r="T564" i="4"/>
  <c r="T563" i="4"/>
  <c r="T562" i="4"/>
  <c r="T561" i="4"/>
  <c r="T560" i="4"/>
  <c r="T559" i="4"/>
  <c r="T558" i="4"/>
  <c r="T557" i="4"/>
  <c r="T556" i="4"/>
  <c r="T555" i="4"/>
  <c r="T554" i="4"/>
  <c r="T553" i="4"/>
  <c r="T552" i="4"/>
  <c r="T551" i="4"/>
  <c r="T550" i="4"/>
  <c r="T549" i="4"/>
  <c r="T548" i="4"/>
  <c r="T547" i="4"/>
  <c r="T546" i="4"/>
  <c r="T545" i="4"/>
  <c r="T544" i="4"/>
  <c r="T543" i="4"/>
  <c r="T542" i="4"/>
  <c r="T541" i="4"/>
  <c r="T540" i="4"/>
  <c r="T539" i="4"/>
  <c r="T538" i="4"/>
  <c r="T537" i="4"/>
  <c r="T536" i="4"/>
  <c r="T535" i="4"/>
  <c r="T534" i="4"/>
  <c r="T533" i="4"/>
  <c r="T532" i="4"/>
  <c r="T531" i="4"/>
  <c r="T530" i="4"/>
  <c r="T529" i="4"/>
  <c r="T528" i="4"/>
  <c r="T527" i="4"/>
  <c r="T526" i="4"/>
  <c r="T525" i="4"/>
  <c r="T524" i="4"/>
  <c r="T523" i="4"/>
  <c r="T522" i="4"/>
  <c r="T521" i="4"/>
  <c r="T520" i="4"/>
  <c r="T519" i="4"/>
  <c r="T518" i="4"/>
  <c r="T517" i="4"/>
  <c r="T516" i="4"/>
  <c r="T515" i="4"/>
  <c r="T514" i="4"/>
  <c r="T513" i="4"/>
  <c r="T512" i="4"/>
  <c r="T511" i="4"/>
  <c r="T510" i="4"/>
  <c r="T509" i="4"/>
  <c r="T508" i="4"/>
  <c r="T507" i="4"/>
  <c r="T506" i="4"/>
  <c r="T505" i="4"/>
  <c r="T504" i="4"/>
  <c r="T503" i="4"/>
  <c r="T502" i="4"/>
  <c r="T501" i="4"/>
  <c r="T500" i="4"/>
  <c r="T499" i="4"/>
  <c r="T498" i="4"/>
  <c r="T497" i="4"/>
  <c r="T496" i="4"/>
  <c r="T495" i="4"/>
  <c r="T494" i="4"/>
  <c r="T493" i="4"/>
  <c r="T492" i="4"/>
  <c r="T491" i="4"/>
  <c r="T490" i="4"/>
  <c r="T489" i="4"/>
  <c r="T488" i="4"/>
  <c r="T487" i="4"/>
  <c r="T486" i="4"/>
  <c r="T485" i="4"/>
  <c r="T484" i="4"/>
  <c r="T483" i="4"/>
  <c r="T482" i="4"/>
  <c r="T481" i="4"/>
  <c r="T480" i="4"/>
  <c r="T479" i="4"/>
  <c r="T478" i="4"/>
  <c r="T477" i="4"/>
  <c r="T476" i="4"/>
  <c r="T475" i="4"/>
  <c r="T474" i="4"/>
  <c r="T473" i="4"/>
  <c r="T472" i="4"/>
  <c r="T471" i="4"/>
  <c r="T470" i="4"/>
  <c r="T469" i="4"/>
  <c r="T468" i="4"/>
  <c r="T467" i="4"/>
  <c r="T466" i="4"/>
  <c r="T465" i="4"/>
  <c r="T464" i="4"/>
  <c r="T463" i="4"/>
  <c r="T462" i="4"/>
  <c r="T461" i="4"/>
  <c r="T460" i="4"/>
  <c r="T459" i="4"/>
  <c r="T458" i="4"/>
  <c r="T457" i="4"/>
  <c r="T456" i="4"/>
  <c r="T455" i="4"/>
  <c r="T454" i="4"/>
  <c r="T453" i="4"/>
  <c r="T452" i="4"/>
  <c r="T451" i="4"/>
  <c r="T450" i="4"/>
  <c r="T449" i="4"/>
  <c r="T448" i="4"/>
  <c r="T447" i="4"/>
  <c r="T446" i="4"/>
  <c r="T445" i="4"/>
  <c r="T444" i="4"/>
  <c r="T443" i="4"/>
  <c r="T442" i="4"/>
  <c r="T441" i="4"/>
  <c r="T440" i="4"/>
  <c r="T439" i="4"/>
  <c r="T438" i="4"/>
  <c r="T437" i="4"/>
  <c r="T436" i="4"/>
  <c r="T435" i="4"/>
  <c r="T434" i="4"/>
  <c r="T433" i="4"/>
  <c r="T432" i="4"/>
  <c r="T431" i="4"/>
  <c r="T430" i="4"/>
  <c r="T429" i="4"/>
  <c r="T428" i="4"/>
  <c r="T427" i="4"/>
  <c r="T426" i="4"/>
  <c r="T425" i="4"/>
  <c r="T424" i="4"/>
  <c r="T423" i="4"/>
  <c r="T422" i="4"/>
  <c r="T421" i="4"/>
  <c r="T420" i="4"/>
  <c r="T419" i="4"/>
  <c r="T418" i="4"/>
  <c r="T417" i="4"/>
  <c r="T416" i="4"/>
  <c r="T415" i="4"/>
  <c r="T414" i="4"/>
  <c r="T413" i="4"/>
  <c r="T412" i="4"/>
  <c r="T411" i="4"/>
  <c r="T410" i="4"/>
  <c r="T409" i="4"/>
  <c r="T408" i="4"/>
  <c r="T407" i="4"/>
  <c r="T406" i="4"/>
  <c r="T405" i="4"/>
  <c r="T404" i="4"/>
  <c r="T403" i="4"/>
  <c r="T402" i="4"/>
  <c r="T401" i="4"/>
  <c r="T400" i="4"/>
  <c r="T399" i="4"/>
  <c r="T398" i="4"/>
  <c r="T397" i="4"/>
  <c r="T396" i="4"/>
  <c r="T395" i="4"/>
  <c r="T394" i="4"/>
  <c r="T393" i="4"/>
  <c r="T392" i="4"/>
  <c r="T391" i="4"/>
  <c r="T390" i="4"/>
  <c r="T389" i="4"/>
  <c r="T388" i="4"/>
  <c r="T387" i="4"/>
  <c r="T386" i="4"/>
  <c r="T385" i="4"/>
  <c r="T384" i="4"/>
  <c r="T383" i="4"/>
  <c r="T382" i="4"/>
  <c r="T381" i="4"/>
  <c r="T380" i="4"/>
  <c r="T379" i="4"/>
  <c r="T378" i="4"/>
  <c r="T377" i="4"/>
  <c r="T376" i="4"/>
  <c r="T375" i="4"/>
  <c r="T374" i="4"/>
  <c r="T373" i="4"/>
  <c r="T372" i="4"/>
  <c r="T371" i="4"/>
  <c r="T370" i="4"/>
  <c r="T369" i="4"/>
  <c r="T368" i="4"/>
  <c r="T367" i="4"/>
  <c r="T366" i="4"/>
  <c r="T365" i="4"/>
  <c r="T364" i="4"/>
  <c r="T363" i="4"/>
  <c r="T362" i="4"/>
  <c r="T361" i="4"/>
  <c r="T360" i="4"/>
  <c r="T359" i="4"/>
  <c r="T358" i="4"/>
  <c r="T357" i="4"/>
  <c r="T356" i="4"/>
  <c r="T355" i="4"/>
  <c r="T354" i="4"/>
  <c r="T353" i="4"/>
  <c r="T352" i="4"/>
  <c r="T351" i="4"/>
  <c r="T350" i="4"/>
  <c r="T349" i="4"/>
  <c r="T348" i="4"/>
  <c r="T347" i="4"/>
  <c r="T346" i="4"/>
  <c r="T345" i="4"/>
  <c r="T344" i="4"/>
  <c r="T343" i="4"/>
  <c r="T342" i="4"/>
  <c r="T341" i="4"/>
  <c r="T340" i="4"/>
  <c r="T339" i="4"/>
  <c r="T338" i="4"/>
  <c r="T337" i="4"/>
  <c r="T336" i="4"/>
  <c r="T335" i="4"/>
  <c r="T334" i="4"/>
  <c r="T333" i="4"/>
  <c r="T332" i="4"/>
  <c r="T331" i="4"/>
  <c r="T330" i="4"/>
  <c r="T329" i="4"/>
  <c r="T328" i="4"/>
  <c r="T327" i="4"/>
  <c r="T326" i="4"/>
  <c r="T325" i="4"/>
  <c r="T324" i="4"/>
  <c r="T323" i="4"/>
  <c r="T322" i="4"/>
  <c r="T321" i="4"/>
  <c r="T320" i="4"/>
  <c r="T319" i="4"/>
  <c r="T318" i="4"/>
  <c r="T317" i="4"/>
  <c r="T316" i="4"/>
  <c r="T315" i="4"/>
  <c r="T314" i="4"/>
  <c r="T313" i="4"/>
  <c r="T312" i="4"/>
  <c r="T311" i="4"/>
  <c r="T310" i="4"/>
  <c r="T309" i="4"/>
  <c r="T308" i="4"/>
  <c r="T307" i="4"/>
  <c r="T306" i="4"/>
  <c r="T305" i="4"/>
  <c r="T304" i="4"/>
  <c r="T303" i="4"/>
  <c r="T302" i="4"/>
  <c r="T301" i="4"/>
  <c r="T300" i="4"/>
  <c r="T299" i="4"/>
  <c r="T298" i="4"/>
  <c r="T297" i="4"/>
  <c r="T296" i="4"/>
  <c r="T295" i="4"/>
  <c r="T294" i="4"/>
  <c r="T293" i="4"/>
  <c r="T292" i="4"/>
  <c r="T291" i="4"/>
  <c r="T290" i="4"/>
  <c r="T289" i="4"/>
  <c r="T288" i="4"/>
  <c r="T287" i="4"/>
  <c r="T286" i="4"/>
  <c r="T285" i="4"/>
  <c r="T284" i="4"/>
  <c r="T283" i="4"/>
  <c r="T282" i="4"/>
  <c r="T281" i="4"/>
  <c r="T280" i="4"/>
  <c r="T279" i="4"/>
  <c r="T278" i="4"/>
  <c r="T277" i="4"/>
  <c r="T276" i="4"/>
  <c r="T275" i="4"/>
  <c r="T274" i="4"/>
  <c r="T273" i="4"/>
  <c r="T272" i="4"/>
  <c r="T271" i="4"/>
  <c r="T270" i="4"/>
  <c r="T269" i="4"/>
  <c r="T268" i="4"/>
  <c r="T267" i="4"/>
  <c r="T266" i="4"/>
  <c r="T265" i="4"/>
  <c r="T264" i="4"/>
  <c r="T263" i="4"/>
  <c r="T262" i="4"/>
  <c r="T261" i="4"/>
  <c r="T260" i="4"/>
  <c r="T259" i="4"/>
  <c r="T258" i="4"/>
  <c r="T257" i="4"/>
  <c r="T256" i="4"/>
  <c r="T255" i="4"/>
  <c r="T254" i="4"/>
  <c r="T253" i="4"/>
  <c r="T252" i="4"/>
  <c r="T251" i="4"/>
  <c r="T250" i="4"/>
  <c r="T249" i="4"/>
  <c r="T248" i="4"/>
  <c r="T247" i="4"/>
  <c r="T246" i="4"/>
  <c r="T245" i="4"/>
  <c r="T244" i="4"/>
  <c r="T243" i="4"/>
  <c r="T242" i="4"/>
  <c r="T241" i="4"/>
  <c r="T240" i="4"/>
  <c r="T239" i="4"/>
  <c r="T238" i="4"/>
  <c r="T237" i="4"/>
  <c r="T236" i="4"/>
  <c r="T235" i="4"/>
  <c r="T234" i="4"/>
  <c r="T233" i="4"/>
  <c r="T232" i="4"/>
  <c r="T231" i="4"/>
  <c r="T230" i="4"/>
  <c r="T229" i="4"/>
  <c r="T228" i="4"/>
  <c r="T227" i="4"/>
  <c r="T226" i="4"/>
  <c r="T225" i="4"/>
  <c r="T224" i="4"/>
  <c r="T223" i="4"/>
  <c r="T222" i="4"/>
  <c r="T221" i="4"/>
  <c r="T220" i="4"/>
  <c r="T219" i="4"/>
  <c r="T218" i="4"/>
  <c r="T217" i="4"/>
  <c r="T216" i="4"/>
  <c r="T215" i="4"/>
  <c r="T214" i="4"/>
  <c r="T213" i="4"/>
  <c r="T212" i="4"/>
  <c r="T211" i="4"/>
  <c r="T210" i="4"/>
  <c r="T209" i="4"/>
  <c r="T208" i="4"/>
  <c r="T207" i="4"/>
  <c r="T206" i="4"/>
  <c r="T205" i="4"/>
  <c r="T204" i="4"/>
  <c r="T203" i="4"/>
  <c r="T202" i="4"/>
  <c r="T201" i="4"/>
  <c r="T200" i="4"/>
  <c r="T199" i="4"/>
  <c r="T198" i="4"/>
  <c r="T197" i="4"/>
  <c r="T196" i="4"/>
  <c r="T195" i="4"/>
  <c r="T194" i="4"/>
  <c r="T193" i="4"/>
  <c r="T192" i="4"/>
  <c r="T191" i="4"/>
  <c r="T190" i="4"/>
  <c r="T189" i="4"/>
  <c r="T188" i="4"/>
  <c r="T187" i="4"/>
  <c r="T186" i="4"/>
  <c r="T185" i="4"/>
  <c r="T184" i="4"/>
  <c r="T183" i="4"/>
  <c r="T182" i="4"/>
  <c r="T181" i="4"/>
  <c r="T180" i="4"/>
  <c r="T179" i="4"/>
  <c r="T178" i="4"/>
  <c r="T177" i="4"/>
  <c r="T176" i="4"/>
  <c r="T175" i="4"/>
  <c r="T174" i="4"/>
  <c r="T173" i="4"/>
  <c r="T172" i="4"/>
  <c r="T171" i="4"/>
  <c r="T170" i="4"/>
  <c r="T169" i="4"/>
  <c r="T168" i="4"/>
  <c r="T167" i="4"/>
  <c r="T166" i="4"/>
  <c r="T165" i="4"/>
  <c r="T164" i="4"/>
  <c r="T163" i="4"/>
  <c r="T162" i="4"/>
  <c r="T161" i="4"/>
  <c r="T160" i="4"/>
  <c r="T159" i="4"/>
  <c r="T158" i="4"/>
  <c r="T157" i="4"/>
  <c r="T156" i="4"/>
  <c r="T155" i="4"/>
  <c r="T154" i="4"/>
  <c r="T153" i="4"/>
  <c r="T152" i="4"/>
  <c r="T151" i="4"/>
  <c r="T150" i="4"/>
  <c r="T149" i="4"/>
  <c r="T148" i="4"/>
  <c r="T147" i="4"/>
  <c r="T146" i="4"/>
  <c r="T145" i="4"/>
  <c r="T144" i="4"/>
  <c r="T143" i="4"/>
  <c r="T142" i="4"/>
  <c r="T141" i="4"/>
  <c r="T140" i="4"/>
  <c r="T139" i="4"/>
  <c r="T138" i="4"/>
  <c r="T137" i="4"/>
  <c r="T136" i="4"/>
  <c r="T135" i="4"/>
  <c r="T134" i="4"/>
  <c r="T133" i="4"/>
  <c r="T132" i="4"/>
  <c r="T131" i="4"/>
  <c r="T130" i="4"/>
  <c r="T129" i="4"/>
  <c r="T128" i="4"/>
  <c r="T127" i="4"/>
  <c r="T126" i="4"/>
  <c r="T125" i="4"/>
  <c r="T124" i="4"/>
  <c r="T123" i="4"/>
  <c r="T122" i="4"/>
  <c r="T121" i="4"/>
  <c r="T120" i="4"/>
  <c r="T119" i="4"/>
  <c r="T118" i="4"/>
  <c r="T117" i="4"/>
  <c r="T116" i="4"/>
  <c r="T115" i="4"/>
  <c r="T114" i="4"/>
  <c r="T113" i="4"/>
  <c r="T112" i="4"/>
  <c r="T111" i="4"/>
  <c r="T110" i="4"/>
  <c r="T109" i="4"/>
  <c r="T108" i="4"/>
  <c r="T107" i="4"/>
  <c r="T106" i="4"/>
  <c r="T105" i="4"/>
  <c r="T104" i="4"/>
  <c r="T103" i="4"/>
  <c r="T102" i="4"/>
  <c r="T101" i="4"/>
  <c r="T100" i="4"/>
  <c r="T99" i="4"/>
  <c r="T98" i="4"/>
  <c r="T97" i="4"/>
  <c r="T96" i="4"/>
  <c r="T95" i="4"/>
  <c r="T94" i="4"/>
  <c r="T93" i="4"/>
  <c r="T92" i="4"/>
  <c r="T91" i="4"/>
  <c r="T90" i="4"/>
  <c r="T89" i="4"/>
  <c r="T88" i="4"/>
  <c r="T87" i="4"/>
  <c r="T86" i="4"/>
  <c r="T85" i="4"/>
  <c r="T84" i="4"/>
  <c r="T83" i="4"/>
  <c r="T82" i="4"/>
  <c r="T81" i="4"/>
  <c r="T80" i="4"/>
  <c r="T79" i="4"/>
  <c r="T78" i="4"/>
  <c r="T77" i="4"/>
  <c r="T76" i="4"/>
  <c r="T75" i="4"/>
  <c r="T74" i="4"/>
  <c r="T73" i="4"/>
  <c r="T72" i="4"/>
  <c r="T71" i="4"/>
  <c r="T70" i="4"/>
  <c r="T69" i="4"/>
  <c r="T68" i="4"/>
  <c r="T67" i="4"/>
  <c r="T66" i="4"/>
  <c r="T65" i="4"/>
  <c r="T64" i="4"/>
  <c r="T63" i="4"/>
  <c r="T62" i="4"/>
  <c r="T61" i="4"/>
  <c r="T60" i="4"/>
  <c r="T59" i="4"/>
  <c r="T58" i="4"/>
  <c r="T57" i="4"/>
  <c r="T56" i="4"/>
  <c r="T55" i="4"/>
  <c r="T54" i="4"/>
  <c r="T53" i="4"/>
  <c r="T52" i="4"/>
  <c r="T51" i="4"/>
  <c r="T50" i="4"/>
  <c r="T49" i="4"/>
  <c r="T48" i="4"/>
  <c r="T47" i="4"/>
  <c r="T46" i="4"/>
  <c r="T45" i="4"/>
  <c r="T44" i="4"/>
  <c r="T43" i="4"/>
  <c r="T42" i="4"/>
  <c r="T41" i="4"/>
  <c r="T40" i="4"/>
  <c r="T39" i="4"/>
  <c r="T38" i="4"/>
  <c r="T37" i="4"/>
  <c r="T36" i="4"/>
  <c r="T35" i="4"/>
  <c r="T34" i="4"/>
  <c r="T33" i="4"/>
  <c r="T32" i="4"/>
  <c r="T31" i="4"/>
  <c r="T30" i="4"/>
  <c r="T29" i="4"/>
  <c r="T28" i="4"/>
  <c r="T27" i="4"/>
  <c r="T26" i="4"/>
  <c r="T25" i="4"/>
  <c r="T24" i="4"/>
  <c r="T23" i="4"/>
  <c r="T22" i="4"/>
  <c r="T21" i="4"/>
  <c r="T20" i="4"/>
  <c r="T19" i="4"/>
  <c r="T18" i="4"/>
  <c r="T17" i="4"/>
  <c r="T16" i="4"/>
  <c r="T15" i="4"/>
  <c r="T14" i="4"/>
  <c r="T13" i="4"/>
  <c r="T12" i="4"/>
  <c r="T11" i="4"/>
  <c r="T10" i="4"/>
  <c r="T9" i="4"/>
  <c r="T8" i="4"/>
  <c r="T7" i="4"/>
  <c r="T6" i="4"/>
  <c r="T5" i="4"/>
  <c r="T4" i="4"/>
  <c r="T3" i="4"/>
  <c r="T2" i="4"/>
  <c r="P1001" i="4"/>
  <c r="P1000" i="4"/>
  <c r="P999" i="4"/>
  <c r="P998" i="4"/>
  <c r="P997" i="4"/>
  <c r="P996" i="4"/>
  <c r="P995" i="4"/>
  <c r="P994" i="4"/>
  <c r="P993" i="4"/>
  <c r="P992" i="4"/>
  <c r="P991" i="4"/>
  <c r="P990" i="4"/>
  <c r="P989" i="4"/>
  <c r="P988" i="4"/>
  <c r="P987" i="4"/>
  <c r="P986" i="4"/>
  <c r="P985" i="4"/>
  <c r="P984" i="4"/>
  <c r="P983" i="4"/>
  <c r="P982" i="4"/>
  <c r="P981" i="4"/>
  <c r="P980" i="4"/>
  <c r="P979" i="4"/>
  <c r="P978" i="4"/>
  <c r="P977" i="4"/>
  <c r="P976" i="4"/>
  <c r="P975" i="4"/>
  <c r="P974" i="4"/>
  <c r="P973" i="4"/>
  <c r="P972" i="4"/>
  <c r="P971" i="4"/>
  <c r="P970" i="4"/>
  <c r="P969" i="4"/>
  <c r="P968" i="4"/>
  <c r="P967" i="4"/>
  <c r="P966" i="4"/>
  <c r="P965" i="4"/>
  <c r="P964" i="4"/>
  <c r="P963" i="4"/>
  <c r="P962" i="4"/>
  <c r="P961" i="4"/>
  <c r="P960" i="4"/>
  <c r="P959" i="4"/>
  <c r="P958" i="4"/>
  <c r="P957" i="4"/>
  <c r="P956" i="4"/>
  <c r="P955" i="4"/>
  <c r="P954" i="4"/>
  <c r="P953" i="4"/>
  <c r="P952" i="4"/>
  <c r="P951" i="4"/>
  <c r="P950" i="4"/>
  <c r="P949" i="4"/>
  <c r="P948" i="4"/>
  <c r="P947" i="4"/>
  <c r="P946" i="4"/>
  <c r="P945" i="4"/>
  <c r="P944" i="4"/>
  <c r="P943" i="4"/>
  <c r="P942" i="4"/>
  <c r="P941" i="4"/>
  <c r="P940" i="4"/>
  <c r="P939" i="4"/>
  <c r="P938" i="4"/>
  <c r="P937" i="4"/>
  <c r="P936" i="4"/>
  <c r="P935" i="4"/>
  <c r="P934" i="4"/>
  <c r="P933" i="4"/>
  <c r="P932" i="4"/>
  <c r="P931" i="4"/>
  <c r="P930" i="4"/>
  <c r="P929" i="4"/>
  <c r="P928" i="4"/>
  <c r="P927" i="4"/>
  <c r="P926" i="4"/>
  <c r="P925" i="4"/>
  <c r="P924" i="4"/>
  <c r="P923" i="4"/>
  <c r="P922" i="4"/>
  <c r="P921" i="4"/>
  <c r="P920" i="4"/>
  <c r="P919" i="4"/>
  <c r="P918" i="4"/>
  <c r="P917" i="4"/>
  <c r="P916" i="4"/>
  <c r="P915" i="4"/>
  <c r="P914" i="4"/>
  <c r="P913" i="4"/>
  <c r="P912" i="4"/>
  <c r="P911" i="4"/>
  <c r="P910" i="4"/>
  <c r="P909" i="4"/>
  <c r="P908" i="4"/>
  <c r="P907" i="4"/>
  <c r="P906" i="4"/>
  <c r="P905" i="4"/>
  <c r="P904" i="4"/>
  <c r="P903" i="4"/>
  <c r="P902" i="4"/>
  <c r="P901" i="4"/>
  <c r="P900" i="4"/>
  <c r="P899" i="4"/>
  <c r="P898" i="4"/>
  <c r="P897" i="4"/>
  <c r="P896" i="4"/>
  <c r="P895" i="4"/>
  <c r="P894" i="4"/>
  <c r="P893" i="4"/>
  <c r="P892" i="4"/>
  <c r="P891" i="4"/>
  <c r="P890" i="4"/>
  <c r="P889" i="4"/>
  <c r="P888" i="4"/>
  <c r="P887" i="4"/>
  <c r="P886" i="4"/>
  <c r="P885" i="4"/>
  <c r="P884" i="4"/>
  <c r="P883" i="4"/>
  <c r="P882" i="4"/>
  <c r="P881" i="4"/>
  <c r="P880" i="4"/>
  <c r="P879" i="4"/>
  <c r="P878" i="4"/>
  <c r="P877" i="4"/>
  <c r="P876" i="4"/>
  <c r="P875" i="4"/>
  <c r="P874" i="4"/>
  <c r="P873" i="4"/>
  <c r="P872" i="4"/>
  <c r="P871" i="4"/>
  <c r="P870" i="4"/>
  <c r="P869" i="4"/>
  <c r="P868" i="4"/>
  <c r="P867" i="4"/>
  <c r="P866" i="4"/>
  <c r="P865" i="4"/>
  <c r="P864" i="4"/>
  <c r="P863" i="4"/>
  <c r="P862" i="4"/>
  <c r="P861" i="4"/>
  <c r="P860" i="4"/>
  <c r="P859" i="4"/>
  <c r="P858" i="4"/>
  <c r="P857" i="4"/>
  <c r="P856" i="4"/>
  <c r="P855" i="4"/>
  <c r="P854" i="4"/>
  <c r="P853" i="4"/>
  <c r="P852" i="4"/>
  <c r="P851" i="4"/>
  <c r="P850" i="4"/>
  <c r="P849" i="4"/>
  <c r="P848" i="4"/>
  <c r="P847" i="4"/>
  <c r="P846" i="4"/>
  <c r="P845" i="4"/>
  <c r="P844" i="4"/>
  <c r="P843" i="4"/>
  <c r="P842" i="4"/>
  <c r="P841" i="4"/>
  <c r="P840" i="4"/>
  <c r="P839" i="4"/>
  <c r="P838" i="4"/>
  <c r="P837" i="4"/>
  <c r="P836" i="4"/>
  <c r="P835" i="4"/>
  <c r="P834" i="4"/>
  <c r="P833" i="4"/>
  <c r="P832" i="4"/>
  <c r="P831" i="4"/>
  <c r="P830" i="4"/>
  <c r="P829" i="4"/>
  <c r="P828" i="4"/>
  <c r="P827" i="4"/>
  <c r="P826" i="4"/>
  <c r="P825" i="4"/>
  <c r="P824" i="4"/>
  <c r="P823" i="4"/>
  <c r="P822" i="4"/>
  <c r="P821" i="4"/>
  <c r="P820" i="4"/>
  <c r="P819" i="4"/>
  <c r="P818" i="4"/>
  <c r="P817" i="4"/>
  <c r="P816" i="4"/>
  <c r="P815" i="4"/>
  <c r="P814" i="4"/>
  <c r="P813" i="4"/>
  <c r="P812" i="4"/>
  <c r="P811" i="4"/>
  <c r="P810" i="4"/>
  <c r="P809" i="4"/>
  <c r="P808" i="4"/>
  <c r="P807" i="4"/>
  <c r="P806" i="4"/>
  <c r="P805" i="4"/>
  <c r="P804" i="4"/>
  <c r="P803" i="4"/>
  <c r="P802" i="4"/>
  <c r="P801" i="4"/>
  <c r="P800" i="4"/>
  <c r="P799" i="4"/>
  <c r="P798" i="4"/>
  <c r="P797" i="4"/>
  <c r="P796" i="4"/>
  <c r="P795" i="4"/>
  <c r="P794" i="4"/>
  <c r="P793" i="4"/>
  <c r="P792" i="4"/>
  <c r="P791" i="4"/>
  <c r="P790" i="4"/>
  <c r="P789" i="4"/>
  <c r="P788" i="4"/>
  <c r="P787" i="4"/>
  <c r="P786" i="4"/>
  <c r="P785" i="4"/>
  <c r="P784" i="4"/>
  <c r="P783" i="4"/>
  <c r="P782" i="4"/>
  <c r="P781" i="4"/>
  <c r="P780" i="4"/>
  <c r="P779" i="4"/>
  <c r="P778" i="4"/>
  <c r="P777" i="4"/>
  <c r="P776" i="4"/>
  <c r="P775" i="4"/>
  <c r="P774" i="4"/>
  <c r="P773" i="4"/>
  <c r="P772" i="4"/>
  <c r="P771" i="4"/>
  <c r="P770" i="4"/>
  <c r="P769" i="4"/>
  <c r="P768" i="4"/>
  <c r="P767" i="4"/>
  <c r="P766" i="4"/>
  <c r="P765" i="4"/>
  <c r="P764" i="4"/>
  <c r="P763" i="4"/>
  <c r="P762" i="4"/>
  <c r="P761" i="4"/>
  <c r="P760" i="4"/>
  <c r="P759" i="4"/>
  <c r="P758" i="4"/>
  <c r="P757" i="4"/>
  <c r="P756" i="4"/>
  <c r="P755" i="4"/>
  <c r="P754" i="4"/>
  <c r="P753" i="4"/>
  <c r="P752" i="4"/>
  <c r="P751" i="4"/>
  <c r="P750" i="4"/>
  <c r="P749" i="4"/>
  <c r="P748" i="4"/>
  <c r="P747" i="4"/>
  <c r="P746" i="4"/>
  <c r="P745" i="4"/>
  <c r="P744" i="4"/>
  <c r="P743" i="4"/>
  <c r="P742" i="4"/>
  <c r="P741" i="4"/>
  <c r="P740" i="4"/>
  <c r="P739" i="4"/>
  <c r="P738" i="4"/>
  <c r="P737" i="4"/>
  <c r="P736" i="4"/>
  <c r="P735" i="4"/>
  <c r="P734" i="4"/>
  <c r="P733" i="4"/>
  <c r="P732" i="4"/>
  <c r="P731" i="4"/>
  <c r="P730" i="4"/>
  <c r="P729" i="4"/>
  <c r="P728" i="4"/>
  <c r="P727" i="4"/>
  <c r="P726" i="4"/>
  <c r="P725" i="4"/>
  <c r="P724" i="4"/>
  <c r="P723" i="4"/>
  <c r="P722" i="4"/>
  <c r="P721" i="4"/>
  <c r="P720" i="4"/>
  <c r="P719" i="4"/>
  <c r="P718" i="4"/>
  <c r="P717" i="4"/>
  <c r="P716" i="4"/>
  <c r="P715" i="4"/>
  <c r="P714" i="4"/>
  <c r="P713" i="4"/>
  <c r="P712" i="4"/>
  <c r="P711" i="4"/>
  <c r="P710" i="4"/>
  <c r="P709" i="4"/>
  <c r="P708" i="4"/>
  <c r="P707" i="4"/>
  <c r="P706" i="4"/>
  <c r="P705" i="4"/>
  <c r="P704" i="4"/>
  <c r="P703" i="4"/>
  <c r="P702" i="4"/>
  <c r="P701" i="4"/>
  <c r="P700" i="4"/>
  <c r="P699" i="4"/>
  <c r="P698" i="4"/>
  <c r="P697" i="4"/>
  <c r="P696" i="4"/>
  <c r="P695" i="4"/>
  <c r="P694" i="4"/>
  <c r="P693" i="4"/>
  <c r="P692" i="4"/>
  <c r="P691" i="4"/>
  <c r="P690" i="4"/>
  <c r="P689" i="4"/>
  <c r="P688" i="4"/>
  <c r="P687" i="4"/>
  <c r="P686" i="4"/>
  <c r="P685" i="4"/>
  <c r="P684" i="4"/>
  <c r="P683" i="4"/>
  <c r="P682" i="4"/>
  <c r="P681" i="4"/>
  <c r="P680" i="4"/>
  <c r="P679" i="4"/>
  <c r="P678" i="4"/>
  <c r="P677" i="4"/>
  <c r="P676" i="4"/>
  <c r="P675" i="4"/>
  <c r="P674" i="4"/>
  <c r="P673" i="4"/>
  <c r="P672" i="4"/>
  <c r="P671" i="4"/>
  <c r="P670" i="4"/>
  <c r="P669" i="4"/>
  <c r="P668" i="4"/>
  <c r="P667" i="4"/>
  <c r="P666" i="4"/>
  <c r="P665" i="4"/>
  <c r="P664" i="4"/>
  <c r="P663" i="4"/>
  <c r="P662" i="4"/>
  <c r="P661" i="4"/>
  <c r="P660" i="4"/>
  <c r="P659" i="4"/>
  <c r="P658" i="4"/>
  <c r="P657" i="4"/>
  <c r="P656" i="4"/>
  <c r="P655" i="4"/>
  <c r="P654" i="4"/>
  <c r="P653" i="4"/>
  <c r="P652" i="4"/>
  <c r="P651" i="4"/>
  <c r="P650" i="4"/>
  <c r="P649" i="4"/>
  <c r="P648" i="4"/>
  <c r="P647" i="4"/>
  <c r="P646" i="4"/>
  <c r="P645" i="4"/>
  <c r="P644" i="4"/>
  <c r="P643" i="4"/>
  <c r="P642" i="4"/>
  <c r="P641" i="4"/>
  <c r="P640" i="4"/>
  <c r="P639" i="4"/>
  <c r="P638" i="4"/>
  <c r="P637" i="4"/>
  <c r="P636" i="4"/>
  <c r="P635" i="4"/>
  <c r="P634" i="4"/>
  <c r="P633" i="4"/>
  <c r="P632" i="4"/>
  <c r="P631" i="4"/>
  <c r="P630" i="4"/>
  <c r="P629" i="4"/>
  <c r="P628" i="4"/>
  <c r="P627" i="4"/>
  <c r="P626" i="4"/>
  <c r="P625" i="4"/>
  <c r="P624" i="4"/>
  <c r="P623" i="4"/>
  <c r="P622" i="4"/>
  <c r="P621" i="4"/>
  <c r="P620" i="4"/>
  <c r="P619" i="4"/>
  <c r="P618" i="4"/>
  <c r="P617" i="4"/>
  <c r="P616" i="4"/>
  <c r="P615" i="4"/>
  <c r="P614" i="4"/>
  <c r="P613" i="4"/>
  <c r="P612" i="4"/>
  <c r="P611" i="4"/>
  <c r="P610" i="4"/>
  <c r="P609" i="4"/>
  <c r="P608" i="4"/>
  <c r="P607" i="4"/>
  <c r="P606" i="4"/>
  <c r="P605" i="4"/>
  <c r="P604" i="4"/>
  <c r="P603" i="4"/>
  <c r="P602" i="4"/>
  <c r="P601" i="4"/>
  <c r="P600" i="4"/>
  <c r="P599" i="4"/>
  <c r="P598" i="4"/>
  <c r="P597" i="4"/>
  <c r="P596" i="4"/>
  <c r="P595" i="4"/>
  <c r="P594" i="4"/>
  <c r="P593" i="4"/>
  <c r="P592" i="4"/>
  <c r="P591" i="4"/>
  <c r="P590" i="4"/>
  <c r="P589" i="4"/>
  <c r="P588" i="4"/>
  <c r="P587" i="4"/>
  <c r="P586" i="4"/>
  <c r="P585" i="4"/>
  <c r="P584" i="4"/>
  <c r="P583" i="4"/>
  <c r="P582" i="4"/>
  <c r="P581" i="4"/>
  <c r="P580" i="4"/>
  <c r="P579" i="4"/>
  <c r="P578" i="4"/>
  <c r="P577" i="4"/>
  <c r="P576" i="4"/>
  <c r="P575" i="4"/>
  <c r="P574" i="4"/>
  <c r="P573" i="4"/>
  <c r="P572" i="4"/>
  <c r="P571" i="4"/>
  <c r="P570" i="4"/>
  <c r="P569" i="4"/>
  <c r="P568" i="4"/>
  <c r="P567" i="4"/>
  <c r="P566" i="4"/>
  <c r="P565" i="4"/>
  <c r="P564" i="4"/>
  <c r="P563" i="4"/>
  <c r="P562" i="4"/>
  <c r="P561" i="4"/>
  <c r="P560" i="4"/>
  <c r="P559" i="4"/>
  <c r="P558" i="4"/>
  <c r="P557" i="4"/>
  <c r="P556" i="4"/>
  <c r="P555" i="4"/>
  <c r="P554" i="4"/>
  <c r="P553" i="4"/>
  <c r="P552" i="4"/>
  <c r="P551" i="4"/>
  <c r="P550" i="4"/>
  <c r="P549" i="4"/>
  <c r="P548" i="4"/>
  <c r="P547" i="4"/>
  <c r="P546" i="4"/>
  <c r="P545" i="4"/>
  <c r="P544" i="4"/>
  <c r="P543" i="4"/>
  <c r="P542" i="4"/>
  <c r="P541" i="4"/>
  <c r="P540" i="4"/>
  <c r="P539" i="4"/>
  <c r="P538" i="4"/>
  <c r="P537" i="4"/>
  <c r="P536" i="4"/>
  <c r="P535" i="4"/>
  <c r="P534" i="4"/>
  <c r="P533" i="4"/>
  <c r="P532" i="4"/>
  <c r="P531" i="4"/>
  <c r="P530" i="4"/>
  <c r="P529" i="4"/>
  <c r="P528" i="4"/>
  <c r="P527" i="4"/>
  <c r="P526" i="4"/>
  <c r="P525" i="4"/>
  <c r="P524" i="4"/>
  <c r="P523" i="4"/>
  <c r="P522" i="4"/>
  <c r="P521" i="4"/>
  <c r="P520" i="4"/>
  <c r="P519" i="4"/>
  <c r="P518" i="4"/>
  <c r="P517" i="4"/>
  <c r="P516" i="4"/>
  <c r="P515" i="4"/>
  <c r="P514" i="4"/>
  <c r="P513" i="4"/>
  <c r="P512" i="4"/>
  <c r="P511" i="4"/>
  <c r="P510" i="4"/>
  <c r="P509" i="4"/>
  <c r="P508" i="4"/>
  <c r="P507" i="4"/>
  <c r="P506" i="4"/>
  <c r="P505" i="4"/>
  <c r="P504" i="4"/>
  <c r="P503" i="4"/>
  <c r="P502" i="4"/>
  <c r="P501" i="4"/>
  <c r="P500" i="4"/>
  <c r="P499" i="4"/>
  <c r="P498" i="4"/>
  <c r="P497" i="4"/>
  <c r="P496" i="4"/>
  <c r="P495" i="4"/>
  <c r="P494" i="4"/>
  <c r="P493" i="4"/>
  <c r="P492" i="4"/>
  <c r="P491" i="4"/>
  <c r="P490" i="4"/>
  <c r="P489" i="4"/>
  <c r="P488" i="4"/>
  <c r="P487" i="4"/>
  <c r="P486" i="4"/>
  <c r="P485" i="4"/>
  <c r="P484" i="4"/>
  <c r="P483" i="4"/>
  <c r="P482" i="4"/>
  <c r="P481" i="4"/>
  <c r="P480" i="4"/>
  <c r="P479" i="4"/>
  <c r="P478" i="4"/>
  <c r="P477" i="4"/>
  <c r="P476" i="4"/>
  <c r="P475" i="4"/>
  <c r="P474" i="4"/>
  <c r="P473" i="4"/>
  <c r="P472" i="4"/>
  <c r="P471" i="4"/>
  <c r="P470" i="4"/>
  <c r="P469" i="4"/>
  <c r="P468" i="4"/>
  <c r="P467" i="4"/>
  <c r="P466" i="4"/>
  <c r="P465" i="4"/>
  <c r="P464" i="4"/>
  <c r="P463" i="4"/>
  <c r="P462" i="4"/>
  <c r="P461" i="4"/>
  <c r="P460" i="4"/>
  <c r="P459" i="4"/>
  <c r="P458" i="4"/>
  <c r="P457" i="4"/>
  <c r="P456" i="4"/>
  <c r="P455" i="4"/>
  <c r="P454" i="4"/>
  <c r="P453" i="4"/>
  <c r="P452" i="4"/>
  <c r="P451" i="4"/>
  <c r="P450" i="4"/>
  <c r="P449" i="4"/>
  <c r="P448" i="4"/>
  <c r="P447" i="4"/>
  <c r="P446" i="4"/>
  <c r="P445" i="4"/>
  <c r="P444" i="4"/>
  <c r="P443" i="4"/>
  <c r="P442" i="4"/>
  <c r="P441" i="4"/>
  <c r="P440" i="4"/>
  <c r="P439" i="4"/>
  <c r="P438" i="4"/>
  <c r="P437" i="4"/>
  <c r="P436" i="4"/>
  <c r="P435" i="4"/>
  <c r="P434" i="4"/>
  <c r="P433" i="4"/>
  <c r="P432" i="4"/>
  <c r="P431" i="4"/>
  <c r="P430" i="4"/>
  <c r="P429" i="4"/>
  <c r="P428" i="4"/>
  <c r="P427" i="4"/>
  <c r="P426" i="4"/>
  <c r="P425" i="4"/>
  <c r="P424" i="4"/>
  <c r="P423" i="4"/>
  <c r="P422" i="4"/>
  <c r="P421" i="4"/>
  <c r="P420" i="4"/>
  <c r="P419" i="4"/>
  <c r="P418" i="4"/>
  <c r="P417" i="4"/>
  <c r="P416" i="4"/>
  <c r="P415" i="4"/>
  <c r="P414" i="4"/>
  <c r="P413" i="4"/>
  <c r="P412" i="4"/>
  <c r="P411" i="4"/>
  <c r="P410" i="4"/>
  <c r="P409" i="4"/>
  <c r="P408" i="4"/>
  <c r="P407" i="4"/>
  <c r="P406" i="4"/>
  <c r="P405" i="4"/>
  <c r="P404" i="4"/>
  <c r="P403" i="4"/>
  <c r="P402" i="4"/>
  <c r="P401" i="4"/>
  <c r="P400" i="4"/>
  <c r="P399" i="4"/>
  <c r="P398" i="4"/>
  <c r="P397" i="4"/>
  <c r="P396" i="4"/>
  <c r="P395" i="4"/>
  <c r="P394" i="4"/>
  <c r="P393" i="4"/>
  <c r="P392" i="4"/>
  <c r="P391" i="4"/>
  <c r="P390" i="4"/>
  <c r="P389" i="4"/>
  <c r="P388" i="4"/>
  <c r="P387" i="4"/>
  <c r="P386" i="4"/>
  <c r="P385" i="4"/>
  <c r="P384" i="4"/>
  <c r="P383" i="4"/>
  <c r="P382" i="4"/>
  <c r="P381" i="4"/>
  <c r="P380" i="4"/>
  <c r="P379" i="4"/>
  <c r="P378" i="4"/>
  <c r="P377" i="4"/>
  <c r="P376" i="4"/>
  <c r="P375" i="4"/>
  <c r="P374" i="4"/>
  <c r="P373" i="4"/>
  <c r="P372" i="4"/>
  <c r="P371" i="4"/>
  <c r="P370" i="4"/>
  <c r="P369" i="4"/>
  <c r="P368" i="4"/>
  <c r="P367" i="4"/>
  <c r="P366" i="4"/>
  <c r="P365" i="4"/>
  <c r="P364" i="4"/>
  <c r="P363" i="4"/>
  <c r="P362" i="4"/>
  <c r="P361" i="4"/>
  <c r="P360" i="4"/>
  <c r="P359" i="4"/>
  <c r="P358" i="4"/>
  <c r="P357" i="4"/>
  <c r="P356" i="4"/>
  <c r="P355" i="4"/>
  <c r="P354" i="4"/>
  <c r="P353" i="4"/>
  <c r="P352" i="4"/>
  <c r="P351" i="4"/>
  <c r="P350" i="4"/>
  <c r="P349" i="4"/>
  <c r="P348" i="4"/>
  <c r="P347" i="4"/>
  <c r="P346" i="4"/>
  <c r="P345" i="4"/>
  <c r="P344" i="4"/>
  <c r="P343" i="4"/>
  <c r="P342" i="4"/>
  <c r="P341" i="4"/>
  <c r="P340" i="4"/>
  <c r="P339" i="4"/>
  <c r="P338" i="4"/>
  <c r="P337" i="4"/>
  <c r="P336" i="4"/>
  <c r="P335" i="4"/>
  <c r="P334" i="4"/>
  <c r="P333" i="4"/>
  <c r="P332" i="4"/>
  <c r="P331" i="4"/>
  <c r="P330" i="4"/>
  <c r="P329" i="4"/>
  <c r="P328" i="4"/>
  <c r="P327" i="4"/>
  <c r="P326" i="4"/>
  <c r="P325" i="4"/>
  <c r="P324" i="4"/>
  <c r="P323" i="4"/>
  <c r="P322" i="4"/>
  <c r="P321" i="4"/>
  <c r="P320" i="4"/>
  <c r="P319" i="4"/>
  <c r="P318" i="4"/>
  <c r="P317" i="4"/>
  <c r="P316" i="4"/>
  <c r="P315" i="4"/>
  <c r="P314" i="4"/>
  <c r="P313" i="4"/>
  <c r="P312" i="4"/>
  <c r="P311" i="4"/>
  <c r="P310" i="4"/>
  <c r="P309" i="4"/>
  <c r="P308" i="4"/>
  <c r="P307" i="4"/>
  <c r="P306" i="4"/>
  <c r="P305" i="4"/>
  <c r="P304" i="4"/>
  <c r="P303" i="4"/>
  <c r="P302" i="4"/>
  <c r="P301" i="4"/>
  <c r="P300" i="4"/>
  <c r="P299" i="4"/>
  <c r="P298" i="4"/>
  <c r="P297" i="4"/>
  <c r="P296" i="4"/>
  <c r="P295" i="4"/>
  <c r="P294" i="4"/>
  <c r="P293" i="4"/>
  <c r="P292" i="4"/>
  <c r="P291" i="4"/>
  <c r="P290" i="4"/>
  <c r="P289" i="4"/>
  <c r="P288" i="4"/>
  <c r="P287" i="4"/>
  <c r="P286" i="4"/>
  <c r="P285" i="4"/>
  <c r="P284" i="4"/>
  <c r="P283" i="4"/>
  <c r="P282" i="4"/>
  <c r="P281" i="4"/>
  <c r="P280" i="4"/>
  <c r="P279" i="4"/>
  <c r="P278" i="4"/>
  <c r="P277" i="4"/>
  <c r="P276" i="4"/>
  <c r="P275" i="4"/>
  <c r="P274" i="4"/>
  <c r="P273" i="4"/>
  <c r="P272" i="4"/>
  <c r="P271" i="4"/>
  <c r="P270" i="4"/>
  <c r="P269" i="4"/>
  <c r="P268" i="4"/>
  <c r="P267" i="4"/>
  <c r="P266" i="4"/>
  <c r="P265" i="4"/>
  <c r="P264" i="4"/>
  <c r="P263" i="4"/>
  <c r="P262" i="4"/>
  <c r="P261" i="4"/>
  <c r="P260" i="4"/>
  <c r="P259" i="4"/>
  <c r="P258" i="4"/>
  <c r="P257" i="4"/>
  <c r="P256" i="4"/>
  <c r="P255" i="4"/>
  <c r="P254" i="4"/>
  <c r="P253" i="4"/>
  <c r="P252" i="4"/>
  <c r="P251" i="4"/>
  <c r="P250" i="4"/>
  <c r="P249" i="4"/>
  <c r="P248" i="4"/>
  <c r="P247" i="4"/>
  <c r="P246" i="4"/>
  <c r="P245" i="4"/>
  <c r="P244" i="4"/>
  <c r="P243" i="4"/>
  <c r="P242" i="4"/>
  <c r="P241" i="4"/>
  <c r="P240" i="4"/>
  <c r="P239" i="4"/>
  <c r="P238" i="4"/>
  <c r="P237" i="4"/>
  <c r="P236" i="4"/>
  <c r="P235" i="4"/>
  <c r="P234" i="4"/>
  <c r="P233" i="4"/>
  <c r="P232" i="4"/>
  <c r="P231" i="4"/>
  <c r="P230" i="4"/>
  <c r="P229" i="4"/>
  <c r="P228" i="4"/>
  <c r="P227" i="4"/>
  <c r="P226" i="4"/>
  <c r="P225" i="4"/>
  <c r="P224" i="4"/>
  <c r="P223" i="4"/>
  <c r="P222" i="4"/>
  <c r="P221" i="4"/>
  <c r="P220" i="4"/>
  <c r="P219" i="4"/>
  <c r="P218" i="4"/>
  <c r="P217" i="4"/>
  <c r="P216" i="4"/>
  <c r="P215" i="4"/>
  <c r="P214" i="4"/>
  <c r="P213" i="4"/>
  <c r="P212" i="4"/>
  <c r="P211" i="4"/>
  <c r="P210" i="4"/>
  <c r="P209" i="4"/>
  <c r="P208" i="4"/>
  <c r="P207" i="4"/>
  <c r="P206" i="4"/>
  <c r="P205" i="4"/>
  <c r="P204" i="4"/>
  <c r="P203" i="4"/>
  <c r="P202" i="4"/>
  <c r="P201" i="4"/>
  <c r="P200" i="4"/>
  <c r="P199" i="4"/>
  <c r="P198" i="4"/>
  <c r="P197" i="4"/>
  <c r="P196" i="4"/>
  <c r="P195" i="4"/>
  <c r="P194" i="4"/>
  <c r="P193" i="4"/>
  <c r="P192" i="4"/>
  <c r="P191" i="4"/>
  <c r="P190" i="4"/>
  <c r="P189" i="4"/>
  <c r="P188" i="4"/>
  <c r="P187" i="4"/>
  <c r="P186" i="4"/>
  <c r="P185" i="4"/>
  <c r="P184" i="4"/>
  <c r="P183" i="4"/>
  <c r="P182" i="4"/>
  <c r="P181" i="4"/>
  <c r="P180" i="4"/>
  <c r="P179" i="4"/>
  <c r="P178" i="4"/>
  <c r="P177" i="4"/>
  <c r="P176" i="4"/>
  <c r="P175" i="4"/>
  <c r="P174" i="4"/>
  <c r="P173" i="4"/>
  <c r="P172" i="4"/>
  <c r="P171" i="4"/>
  <c r="P170" i="4"/>
  <c r="P169" i="4"/>
  <c r="P168" i="4"/>
  <c r="P167" i="4"/>
  <c r="P166" i="4"/>
  <c r="P165" i="4"/>
  <c r="P164" i="4"/>
  <c r="P163" i="4"/>
  <c r="P162" i="4"/>
  <c r="P161" i="4"/>
  <c r="P160" i="4"/>
  <c r="P159" i="4"/>
  <c r="P158" i="4"/>
  <c r="P157" i="4"/>
  <c r="P156" i="4"/>
  <c r="P155" i="4"/>
  <c r="P154" i="4"/>
  <c r="P153" i="4"/>
  <c r="P152" i="4"/>
  <c r="P151" i="4"/>
  <c r="P150" i="4"/>
  <c r="P149" i="4"/>
  <c r="P148" i="4"/>
  <c r="P147" i="4"/>
  <c r="P146" i="4"/>
  <c r="P145" i="4"/>
  <c r="P144" i="4"/>
  <c r="P143" i="4"/>
  <c r="P142" i="4"/>
  <c r="P141" i="4"/>
  <c r="P140" i="4"/>
  <c r="P139" i="4"/>
  <c r="P138" i="4"/>
  <c r="P137" i="4"/>
  <c r="P136" i="4"/>
  <c r="P135" i="4"/>
  <c r="P134" i="4"/>
  <c r="P133" i="4"/>
  <c r="P132" i="4"/>
  <c r="P131" i="4"/>
  <c r="P130" i="4"/>
  <c r="P129" i="4"/>
  <c r="P128" i="4"/>
  <c r="P127" i="4"/>
  <c r="P126" i="4"/>
  <c r="P125" i="4"/>
  <c r="P124" i="4"/>
  <c r="P123" i="4"/>
  <c r="P122" i="4"/>
  <c r="P121" i="4"/>
  <c r="P120" i="4"/>
  <c r="P119" i="4"/>
  <c r="P118" i="4"/>
  <c r="P117" i="4"/>
  <c r="P116" i="4"/>
  <c r="P115" i="4"/>
  <c r="P114" i="4"/>
  <c r="P113" i="4"/>
  <c r="P112" i="4"/>
  <c r="P111" i="4"/>
  <c r="P110"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P70" i="4"/>
  <c r="P69" i="4"/>
  <c r="P68"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P37" i="4"/>
  <c r="P36" i="4"/>
  <c r="P35" i="4"/>
  <c r="P34" i="4"/>
  <c r="P33" i="4"/>
  <c r="P32" i="4"/>
  <c r="P31" i="4"/>
  <c r="P30" i="4"/>
  <c r="P29" i="4"/>
  <c r="P28" i="4"/>
  <c r="P27" i="4"/>
  <c r="P26" i="4"/>
  <c r="P25" i="4"/>
  <c r="P24" i="4"/>
  <c r="P23" i="4"/>
  <c r="P22" i="4"/>
  <c r="P21" i="4"/>
  <c r="P20" i="4"/>
  <c r="P19" i="4"/>
  <c r="P18" i="4"/>
  <c r="P17" i="4"/>
  <c r="P16" i="4"/>
  <c r="P15" i="4"/>
  <c r="P14" i="4"/>
  <c r="P13" i="4"/>
  <c r="P12" i="4"/>
  <c r="P11" i="4"/>
  <c r="P10" i="4"/>
  <c r="P9" i="4"/>
  <c r="P8" i="4"/>
  <c r="P7" i="4"/>
  <c r="P6" i="4"/>
  <c r="P5" i="4"/>
  <c r="P4" i="4"/>
  <c r="P3" i="4"/>
  <c r="P2" i="4"/>
  <c r="E1001" i="4"/>
  <c r="E1000" i="4"/>
  <c r="E999" i="4"/>
  <c r="E998" i="4"/>
  <c r="E997" i="4"/>
  <c r="E996" i="4"/>
  <c r="E995" i="4"/>
  <c r="E994" i="4"/>
  <c r="E993" i="4"/>
  <c r="E992" i="4"/>
  <c r="E991" i="4"/>
  <c r="E990" i="4"/>
  <c r="E989" i="4"/>
  <c r="E988" i="4"/>
  <c r="E987" i="4"/>
  <c r="E986" i="4"/>
  <c r="E985" i="4"/>
  <c r="E984" i="4"/>
  <c r="E983" i="4"/>
  <c r="E982" i="4"/>
  <c r="E981" i="4"/>
  <c r="E980" i="4"/>
  <c r="E979" i="4"/>
  <c r="E978" i="4"/>
  <c r="E977" i="4"/>
  <c r="E976" i="4"/>
  <c r="E975" i="4"/>
  <c r="E974" i="4"/>
  <c r="E973" i="4"/>
  <c r="E972" i="4"/>
  <c r="E971" i="4"/>
  <c r="E970" i="4"/>
  <c r="E969" i="4"/>
  <c r="E968" i="4"/>
  <c r="E967" i="4"/>
  <c r="E966" i="4"/>
  <c r="E965" i="4"/>
  <c r="E964" i="4"/>
  <c r="E963" i="4"/>
  <c r="E962" i="4"/>
  <c r="E961" i="4"/>
  <c r="E960" i="4"/>
  <c r="E959" i="4"/>
  <c r="E958" i="4"/>
  <c r="E957" i="4"/>
  <c r="E956" i="4"/>
  <c r="E955" i="4"/>
  <c r="E954" i="4"/>
  <c r="E953" i="4"/>
  <c r="E952" i="4"/>
  <c r="E951" i="4"/>
  <c r="E950" i="4"/>
  <c r="E949" i="4"/>
  <c r="E948" i="4"/>
  <c r="E947" i="4"/>
  <c r="E946" i="4"/>
  <c r="E945" i="4"/>
  <c r="E944" i="4"/>
  <c r="E943" i="4"/>
  <c r="E942" i="4"/>
  <c r="E941" i="4"/>
  <c r="E940" i="4"/>
  <c r="E939" i="4"/>
  <c r="E938" i="4"/>
  <c r="E937" i="4"/>
  <c r="E936" i="4"/>
  <c r="E935" i="4"/>
  <c r="E934" i="4"/>
  <c r="E933" i="4"/>
  <c r="E932" i="4"/>
  <c r="E931" i="4"/>
  <c r="E930" i="4"/>
  <c r="E929" i="4"/>
  <c r="E928" i="4"/>
  <c r="E927" i="4"/>
  <c r="E926" i="4"/>
  <c r="E925" i="4"/>
  <c r="E924" i="4"/>
  <c r="E923" i="4"/>
  <c r="E922" i="4"/>
  <c r="E921" i="4"/>
  <c r="E920" i="4"/>
  <c r="E919" i="4"/>
  <c r="E918" i="4"/>
  <c r="E917" i="4"/>
  <c r="E916" i="4"/>
  <c r="E915" i="4"/>
  <c r="E914" i="4"/>
  <c r="E913" i="4"/>
  <c r="E912" i="4"/>
  <c r="E911" i="4"/>
  <c r="E910" i="4"/>
  <c r="E909" i="4"/>
  <c r="E908" i="4"/>
  <c r="E907" i="4"/>
  <c r="E906" i="4"/>
  <c r="E905" i="4"/>
  <c r="E904" i="4"/>
  <c r="E903" i="4"/>
  <c r="E902" i="4"/>
  <c r="E901" i="4"/>
  <c r="E900" i="4"/>
  <c r="E899" i="4"/>
  <c r="E898" i="4"/>
  <c r="E897" i="4"/>
  <c r="E896" i="4"/>
  <c r="E895" i="4"/>
  <c r="E894" i="4"/>
  <c r="E893" i="4"/>
  <c r="E892" i="4"/>
  <c r="E891" i="4"/>
  <c r="E890" i="4"/>
  <c r="E889" i="4"/>
  <c r="E888" i="4"/>
  <c r="E887" i="4"/>
  <c r="E886" i="4"/>
  <c r="E885" i="4"/>
  <c r="E884" i="4"/>
  <c r="E883" i="4"/>
  <c r="E882" i="4"/>
  <c r="E881" i="4"/>
  <c r="E880" i="4"/>
  <c r="E879" i="4"/>
  <c r="E878" i="4"/>
  <c r="E877" i="4"/>
  <c r="E876" i="4"/>
  <c r="E875" i="4"/>
  <c r="E874" i="4"/>
  <c r="E873" i="4"/>
  <c r="E872" i="4"/>
  <c r="E871" i="4"/>
  <c r="E870" i="4"/>
  <c r="E869" i="4"/>
  <c r="E868" i="4"/>
  <c r="E867" i="4"/>
  <c r="E866" i="4"/>
  <c r="E865" i="4"/>
  <c r="E864" i="4"/>
  <c r="E863" i="4"/>
  <c r="E862" i="4"/>
  <c r="E861" i="4"/>
  <c r="E860" i="4"/>
  <c r="E859" i="4"/>
  <c r="E858" i="4"/>
  <c r="E857" i="4"/>
  <c r="E856" i="4"/>
  <c r="E855" i="4"/>
  <c r="E854" i="4"/>
  <c r="E853" i="4"/>
  <c r="E852" i="4"/>
  <c r="E851" i="4"/>
  <c r="E850" i="4"/>
  <c r="E849" i="4"/>
  <c r="E848" i="4"/>
  <c r="E847" i="4"/>
  <c r="E846" i="4"/>
  <c r="E845" i="4"/>
  <c r="E844" i="4"/>
  <c r="E843" i="4"/>
  <c r="E842" i="4"/>
  <c r="E841" i="4"/>
  <c r="E840" i="4"/>
  <c r="E839" i="4"/>
  <c r="E838" i="4"/>
  <c r="E837" i="4"/>
  <c r="E836" i="4"/>
  <c r="E835" i="4"/>
  <c r="E834" i="4"/>
  <c r="E833" i="4"/>
  <c r="E832" i="4"/>
  <c r="E831" i="4"/>
  <c r="E830" i="4"/>
  <c r="E829" i="4"/>
  <c r="E828" i="4"/>
  <c r="E827" i="4"/>
  <c r="E826" i="4"/>
  <c r="E825" i="4"/>
  <c r="E824" i="4"/>
  <c r="E823" i="4"/>
  <c r="E822" i="4"/>
  <c r="E821" i="4"/>
  <c r="E820" i="4"/>
  <c r="E819" i="4"/>
  <c r="E818" i="4"/>
  <c r="E817" i="4"/>
  <c r="E816" i="4"/>
  <c r="E815" i="4"/>
  <c r="E814" i="4"/>
  <c r="E813" i="4"/>
  <c r="E812" i="4"/>
  <c r="E811" i="4"/>
  <c r="E810" i="4"/>
  <c r="E809" i="4"/>
  <c r="E808" i="4"/>
  <c r="E807" i="4"/>
  <c r="E806" i="4"/>
  <c r="E805" i="4"/>
  <c r="E804" i="4"/>
  <c r="E803" i="4"/>
  <c r="E802" i="4"/>
  <c r="E801" i="4"/>
  <c r="E800" i="4"/>
  <c r="E799" i="4"/>
  <c r="E798" i="4"/>
  <c r="E797" i="4"/>
  <c r="E796" i="4"/>
  <c r="E795" i="4"/>
  <c r="E794" i="4"/>
  <c r="E793" i="4"/>
  <c r="E792" i="4"/>
  <c r="E791" i="4"/>
  <c r="E790" i="4"/>
  <c r="E789" i="4"/>
  <c r="E788" i="4"/>
  <c r="E787" i="4"/>
  <c r="E786" i="4"/>
  <c r="E785" i="4"/>
  <c r="E784" i="4"/>
  <c r="E783" i="4"/>
  <c r="E782" i="4"/>
  <c r="E781" i="4"/>
  <c r="E780" i="4"/>
  <c r="E779" i="4"/>
  <c r="E778" i="4"/>
  <c r="E777" i="4"/>
  <c r="E776" i="4"/>
  <c r="E775" i="4"/>
  <c r="E774" i="4"/>
  <c r="E773" i="4"/>
  <c r="E772" i="4"/>
  <c r="E771" i="4"/>
  <c r="E770" i="4"/>
  <c r="E769" i="4"/>
  <c r="E768" i="4"/>
  <c r="E767" i="4"/>
  <c r="E766" i="4"/>
  <c r="E765" i="4"/>
  <c r="E764" i="4"/>
  <c r="E763" i="4"/>
  <c r="E762" i="4"/>
  <c r="E761" i="4"/>
  <c r="E760" i="4"/>
  <c r="E759" i="4"/>
  <c r="E758" i="4"/>
  <c r="E757" i="4"/>
  <c r="E756" i="4"/>
  <c r="E755" i="4"/>
  <c r="E754" i="4"/>
  <c r="E753" i="4"/>
  <c r="E752" i="4"/>
  <c r="E751" i="4"/>
  <c r="E750" i="4"/>
  <c r="E749" i="4"/>
  <c r="E748" i="4"/>
  <c r="E747" i="4"/>
  <c r="E746" i="4"/>
  <c r="E745" i="4"/>
  <c r="E744" i="4"/>
  <c r="E743" i="4"/>
  <c r="E742" i="4"/>
  <c r="E741" i="4"/>
  <c r="E740" i="4"/>
  <c r="E739" i="4"/>
  <c r="E738" i="4"/>
  <c r="E737" i="4"/>
  <c r="E736" i="4"/>
  <c r="E735" i="4"/>
  <c r="E734" i="4"/>
  <c r="E733" i="4"/>
  <c r="E732" i="4"/>
  <c r="E731" i="4"/>
  <c r="E730" i="4"/>
  <c r="E729" i="4"/>
  <c r="E728" i="4"/>
  <c r="E727" i="4"/>
  <c r="E726" i="4"/>
  <c r="E725" i="4"/>
  <c r="E724" i="4"/>
  <c r="E723" i="4"/>
  <c r="E722" i="4"/>
  <c r="E721" i="4"/>
  <c r="E720" i="4"/>
  <c r="E719" i="4"/>
  <c r="E718" i="4"/>
  <c r="E717" i="4"/>
  <c r="E716" i="4"/>
  <c r="E715" i="4"/>
  <c r="E714" i="4"/>
  <c r="E713" i="4"/>
  <c r="E712" i="4"/>
  <c r="E711" i="4"/>
  <c r="E710" i="4"/>
  <c r="E709" i="4"/>
  <c r="E708" i="4"/>
  <c r="E707" i="4"/>
  <c r="E706" i="4"/>
  <c r="E705" i="4"/>
  <c r="E704" i="4"/>
  <c r="E703" i="4"/>
  <c r="E702" i="4"/>
  <c r="E701" i="4"/>
  <c r="E700" i="4"/>
  <c r="E699" i="4"/>
  <c r="E698" i="4"/>
  <c r="E697" i="4"/>
  <c r="E696" i="4"/>
  <c r="E695" i="4"/>
  <c r="E694" i="4"/>
  <c r="E693" i="4"/>
  <c r="E692" i="4"/>
  <c r="E691" i="4"/>
  <c r="E690" i="4"/>
  <c r="E689" i="4"/>
  <c r="E688" i="4"/>
  <c r="E687" i="4"/>
  <c r="E686" i="4"/>
  <c r="E685" i="4"/>
  <c r="E684" i="4"/>
  <c r="E683" i="4"/>
  <c r="E682" i="4"/>
  <c r="E681" i="4"/>
  <c r="E680" i="4"/>
  <c r="E679" i="4"/>
  <c r="E678" i="4"/>
  <c r="E677" i="4"/>
  <c r="E676" i="4"/>
  <c r="E675" i="4"/>
  <c r="E674" i="4"/>
  <c r="E673" i="4"/>
  <c r="E672" i="4"/>
  <c r="E671" i="4"/>
  <c r="E670" i="4"/>
  <c r="E669" i="4"/>
  <c r="E668" i="4"/>
  <c r="E667" i="4"/>
  <c r="E666" i="4"/>
  <c r="E665" i="4"/>
  <c r="E664" i="4"/>
  <c r="E663" i="4"/>
  <c r="E662" i="4"/>
  <c r="E661" i="4"/>
  <c r="E660" i="4"/>
  <c r="E659" i="4"/>
  <c r="E658" i="4"/>
  <c r="E657" i="4"/>
  <c r="E656" i="4"/>
  <c r="E655" i="4"/>
  <c r="E654" i="4"/>
  <c r="E653" i="4"/>
  <c r="E652" i="4"/>
  <c r="E651" i="4"/>
  <c r="E650" i="4"/>
  <c r="E649" i="4"/>
  <c r="E648" i="4"/>
  <c r="E647" i="4"/>
  <c r="E646" i="4"/>
  <c r="E645" i="4"/>
  <c r="E644" i="4"/>
  <c r="E643" i="4"/>
  <c r="E642" i="4"/>
  <c r="E641" i="4"/>
  <c r="E640" i="4"/>
  <c r="E639" i="4"/>
  <c r="E638" i="4"/>
  <c r="E637" i="4"/>
  <c r="E636" i="4"/>
  <c r="E635" i="4"/>
  <c r="E634" i="4"/>
  <c r="E633" i="4"/>
  <c r="E632" i="4"/>
  <c r="E631" i="4"/>
  <c r="E630" i="4"/>
  <c r="E629" i="4"/>
  <c r="E628" i="4"/>
  <c r="E627" i="4"/>
  <c r="E626" i="4"/>
  <c r="E625" i="4"/>
  <c r="E624" i="4"/>
  <c r="E623" i="4"/>
  <c r="E622" i="4"/>
  <c r="E621" i="4"/>
  <c r="E620" i="4"/>
  <c r="E619" i="4"/>
  <c r="E618" i="4"/>
  <c r="E617" i="4"/>
  <c r="E616" i="4"/>
  <c r="E615"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c r="F1001" i="4"/>
  <c r="F1000" i="4"/>
  <c r="F999" i="4"/>
  <c r="F998" i="4"/>
  <c r="F997" i="4"/>
  <c r="F996" i="4"/>
  <c r="F995" i="4"/>
  <c r="F994" i="4"/>
  <c r="F993" i="4"/>
  <c r="F992" i="4"/>
  <c r="F991" i="4"/>
  <c r="F990" i="4"/>
  <c r="F989" i="4"/>
  <c r="F988" i="4"/>
  <c r="F987" i="4"/>
  <c r="F986" i="4"/>
  <c r="F985" i="4"/>
  <c r="F984" i="4"/>
  <c r="F983" i="4"/>
  <c r="F982" i="4"/>
  <c r="F981" i="4"/>
  <c r="F980" i="4"/>
  <c r="F979" i="4"/>
  <c r="F978" i="4"/>
  <c r="F977" i="4"/>
  <c r="F976" i="4"/>
  <c r="F975" i="4"/>
  <c r="F974" i="4"/>
  <c r="F973" i="4"/>
  <c r="F972" i="4"/>
  <c r="F971" i="4"/>
  <c r="F970" i="4"/>
  <c r="F969" i="4"/>
  <c r="F968" i="4"/>
  <c r="F967" i="4"/>
  <c r="F966" i="4"/>
  <c r="F965" i="4"/>
  <c r="F964" i="4"/>
  <c r="F963" i="4"/>
  <c r="F962" i="4"/>
  <c r="F961" i="4"/>
  <c r="F960" i="4"/>
  <c r="F959" i="4"/>
  <c r="F958" i="4"/>
  <c r="F957" i="4"/>
  <c r="F956" i="4"/>
  <c r="F955" i="4"/>
  <c r="F954" i="4"/>
  <c r="F953" i="4"/>
  <c r="F952" i="4"/>
  <c r="F951" i="4"/>
  <c r="F950" i="4"/>
  <c r="F949" i="4"/>
  <c r="F948" i="4"/>
  <c r="F947" i="4"/>
  <c r="F946" i="4"/>
  <c r="F945" i="4"/>
  <c r="F944" i="4"/>
  <c r="F943" i="4"/>
  <c r="F942" i="4"/>
  <c r="F941" i="4"/>
  <c r="F940" i="4"/>
  <c r="F939" i="4"/>
  <c r="F938" i="4"/>
  <c r="F937" i="4"/>
  <c r="F936" i="4"/>
  <c r="F935" i="4"/>
  <c r="F934" i="4"/>
  <c r="F933" i="4"/>
  <c r="F932" i="4"/>
  <c r="F931" i="4"/>
  <c r="F930" i="4"/>
  <c r="F929" i="4"/>
  <c r="F928" i="4"/>
  <c r="F927" i="4"/>
  <c r="F926" i="4"/>
  <c r="F925" i="4"/>
  <c r="F924" i="4"/>
  <c r="F923" i="4"/>
  <c r="F922" i="4"/>
  <c r="F921" i="4"/>
  <c r="F920" i="4"/>
  <c r="F919" i="4"/>
  <c r="F918" i="4"/>
  <c r="F917" i="4"/>
  <c r="F916" i="4"/>
  <c r="F915" i="4"/>
  <c r="F914" i="4"/>
  <c r="F913" i="4"/>
  <c r="F912" i="4"/>
  <c r="F911" i="4"/>
  <c r="F910" i="4"/>
  <c r="F909" i="4"/>
  <c r="F908" i="4"/>
  <c r="F907" i="4"/>
  <c r="F906" i="4"/>
  <c r="F905" i="4"/>
  <c r="F904" i="4"/>
  <c r="F903" i="4"/>
  <c r="F902" i="4"/>
  <c r="F901" i="4"/>
  <c r="F900" i="4"/>
  <c r="F899" i="4"/>
  <c r="F898" i="4"/>
  <c r="F897" i="4"/>
  <c r="F896" i="4"/>
  <c r="F895" i="4"/>
  <c r="F894" i="4"/>
  <c r="F893" i="4"/>
  <c r="F892" i="4"/>
  <c r="F891" i="4"/>
  <c r="F890" i="4"/>
  <c r="F889" i="4"/>
  <c r="F888" i="4"/>
  <c r="F887" i="4"/>
  <c r="F886" i="4"/>
  <c r="F885" i="4"/>
  <c r="F884" i="4"/>
  <c r="F883" i="4"/>
  <c r="F882" i="4"/>
  <c r="F881" i="4"/>
  <c r="F880" i="4"/>
  <c r="F879" i="4"/>
  <c r="F878" i="4"/>
  <c r="F877" i="4"/>
  <c r="F876" i="4"/>
  <c r="F875" i="4"/>
  <c r="F874" i="4"/>
  <c r="F873" i="4"/>
  <c r="F872" i="4"/>
  <c r="F871" i="4"/>
  <c r="F870" i="4"/>
  <c r="F869" i="4"/>
  <c r="F868" i="4"/>
  <c r="F867" i="4"/>
  <c r="F866" i="4"/>
  <c r="F865" i="4"/>
  <c r="F864" i="4"/>
  <c r="F863" i="4"/>
  <c r="F862" i="4"/>
  <c r="F861" i="4"/>
  <c r="F860" i="4"/>
  <c r="F859" i="4"/>
  <c r="F858" i="4"/>
  <c r="F857" i="4"/>
  <c r="F856" i="4"/>
  <c r="F855" i="4"/>
  <c r="F854" i="4"/>
  <c r="F853" i="4"/>
  <c r="F852" i="4"/>
  <c r="F851" i="4"/>
  <c r="F850" i="4"/>
  <c r="F849" i="4"/>
  <c r="F848" i="4"/>
  <c r="F847" i="4"/>
  <c r="F846" i="4"/>
  <c r="F845" i="4"/>
  <c r="F844" i="4"/>
  <c r="F843" i="4"/>
  <c r="F842" i="4"/>
  <c r="F841" i="4"/>
  <c r="F840" i="4"/>
  <c r="F839" i="4"/>
  <c r="F838" i="4"/>
  <c r="F837" i="4"/>
  <c r="F836" i="4"/>
  <c r="F835" i="4"/>
  <c r="F834" i="4"/>
  <c r="F833" i="4"/>
  <c r="F832" i="4"/>
  <c r="F831" i="4"/>
  <c r="F830" i="4"/>
  <c r="F829" i="4"/>
  <c r="F828" i="4"/>
  <c r="F827" i="4"/>
  <c r="F826" i="4"/>
  <c r="F825" i="4"/>
  <c r="F824" i="4"/>
  <c r="F823" i="4"/>
  <c r="F822" i="4"/>
  <c r="F821" i="4"/>
  <c r="F820" i="4"/>
  <c r="F819" i="4"/>
  <c r="F818" i="4"/>
  <c r="F817" i="4"/>
  <c r="F816" i="4"/>
  <c r="F815" i="4"/>
  <c r="F814" i="4"/>
  <c r="F813" i="4"/>
  <c r="F812" i="4"/>
  <c r="F811" i="4"/>
  <c r="F810" i="4"/>
  <c r="F809" i="4"/>
  <c r="F808" i="4"/>
  <c r="F807" i="4"/>
  <c r="F806" i="4"/>
  <c r="F805" i="4"/>
  <c r="F804" i="4"/>
  <c r="F803" i="4"/>
  <c r="F802" i="4"/>
  <c r="F801" i="4"/>
  <c r="F800" i="4"/>
  <c r="F799" i="4"/>
  <c r="F798" i="4"/>
  <c r="F797" i="4"/>
  <c r="F796" i="4"/>
  <c r="F795" i="4"/>
  <c r="F794" i="4"/>
  <c r="F793" i="4"/>
  <c r="F792" i="4"/>
  <c r="F791" i="4"/>
  <c r="F790" i="4"/>
  <c r="F789" i="4"/>
  <c r="F788" i="4"/>
  <c r="F787" i="4"/>
  <c r="F786" i="4"/>
  <c r="F785" i="4"/>
  <c r="F784" i="4"/>
  <c r="F783" i="4"/>
  <c r="F782" i="4"/>
  <c r="F781" i="4"/>
  <c r="F780" i="4"/>
  <c r="F779" i="4"/>
  <c r="F778" i="4"/>
  <c r="F777" i="4"/>
  <c r="F776" i="4"/>
  <c r="F775" i="4"/>
  <c r="F774" i="4"/>
  <c r="F773" i="4"/>
  <c r="F772" i="4"/>
  <c r="F771" i="4"/>
  <c r="F770" i="4"/>
  <c r="F769" i="4"/>
  <c r="F768" i="4"/>
  <c r="F767" i="4"/>
  <c r="F766" i="4"/>
  <c r="F765" i="4"/>
  <c r="F764" i="4"/>
  <c r="F763" i="4"/>
  <c r="F762" i="4"/>
  <c r="F761" i="4"/>
  <c r="F760" i="4"/>
  <c r="F759" i="4"/>
  <c r="F758" i="4"/>
  <c r="F757" i="4"/>
  <c r="F756" i="4"/>
  <c r="F755" i="4"/>
  <c r="F754" i="4"/>
  <c r="F753" i="4"/>
  <c r="F752" i="4"/>
  <c r="F751" i="4"/>
  <c r="F750" i="4"/>
  <c r="F749" i="4"/>
  <c r="F748" i="4"/>
  <c r="F747" i="4"/>
  <c r="F746" i="4"/>
  <c r="F745" i="4"/>
  <c r="F744" i="4"/>
  <c r="F743" i="4"/>
  <c r="F742" i="4"/>
  <c r="F741" i="4"/>
  <c r="F740" i="4"/>
  <c r="F739" i="4"/>
  <c r="F738" i="4"/>
  <c r="F737" i="4"/>
  <c r="F736" i="4"/>
  <c r="F735" i="4"/>
  <c r="F734" i="4"/>
  <c r="F733" i="4"/>
  <c r="F732" i="4"/>
  <c r="F731" i="4"/>
  <c r="F730" i="4"/>
  <c r="F729" i="4"/>
  <c r="F728" i="4"/>
  <c r="F727" i="4"/>
  <c r="F726" i="4"/>
  <c r="F725" i="4"/>
  <c r="F724" i="4"/>
  <c r="F723" i="4"/>
  <c r="F722" i="4"/>
  <c r="F721" i="4"/>
  <c r="F720" i="4"/>
  <c r="F719" i="4"/>
  <c r="F718" i="4"/>
  <c r="F717" i="4"/>
  <c r="F716" i="4"/>
  <c r="F715" i="4"/>
  <c r="F714" i="4"/>
  <c r="F713" i="4"/>
  <c r="F712" i="4"/>
  <c r="F711" i="4"/>
  <c r="F710" i="4"/>
  <c r="F709" i="4"/>
  <c r="F708" i="4"/>
  <c r="F707" i="4"/>
  <c r="F706" i="4"/>
  <c r="F705" i="4"/>
  <c r="F704" i="4"/>
  <c r="F703" i="4"/>
  <c r="F702" i="4"/>
  <c r="F701" i="4"/>
  <c r="F700" i="4"/>
  <c r="F699" i="4"/>
  <c r="F698" i="4"/>
  <c r="F697" i="4"/>
  <c r="F696" i="4"/>
  <c r="F695" i="4"/>
  <c r="F694" i="4"/>
  <c r="F693" i="4"/>
  <c r="F692" i="4"/>
  <c r="F691" i="4"/>
  <c r="F690" i="4"/>
  <c r="F689" i="4"/>
  <c r="F688" i="4"/>
  <c r="F687" i="4"/>
  <c r="F686" i="4"/>
  <c r="F685" i="4"/>
  <c r="F684" i="4"/>
  <c r="F683" i="4"/>
  <c r="F682" i="4"/>
  <c r="F681" i="4"/>
  <c r="F680" i="4"/>
  <c r="F679" i="4"/>
  <c r="F678" i="4"/>
  <c r="F677" i="4"/>
  <c r="F676" i="4"/>
  <c r="F675" i="4"/>
  <c r="F674" i="4"/>
  <c r="F673" i="4"/>
  <c r="F672" i="4"/>
  <c r="F671" i="4"/>
  <c r="F670" i="4"/>
  <c r="F669" i="4"/>
  <c r="F668" i="4"/>
  <c r="F667" i="4"/>
  <c r="F666" i="4"/>
  <c r="F665" i="4"/>
  <c r="F664" i="4"/>
  <c r="F663" i="4"/>
  <c r="F662" i="4"/>
  <c r="F661" i="4"/>
  <c r="F660" i="4"/>
  <c r="F659" i="4"/>
  <c r="F658" i="4"/>
  <c r="F657" i="4"/>
  <c r="F656" i="4"/>
  <c r="F655" i="4"/>
  <c r="F654" i="4"/>
  <c r="F653" i="4"/>
  <c r="F652" i="4"/>
  <c r="F651" i="4"/>
  <c r="F650" i="4"/>
  <c r="F649" i="4"/>
  <c r="F648" i="4"/>
  <c r="F647" i="4"/>
  <c r="F646" i="4"/>
  <c r="F645" i="4"/>
  <c r="F644" i="4"/>
  <c r="F643" i="4"/>
  <c r="F642" i="4"/>
  <c r="F641" i="4"/>
  <c r="F640" i="4"/>
  <c r="F639" i="4"/>
  <c r="F638" i="4"/>
  <c r="F637" i="4"/>
  <c r="F636" i="4"/>
  <c r="F635" i="4"/>
  <c r="F634" i="4"/>
  <c r="F633" i="4"/>
  <c r="F632" i="4"/>
  <c r="F631" i="4"/>
  <c r="F630" i="4"/>
  <c r="F629" i="4"/>
  <c r="F628" i="4"/>
  <c r="F627" i="4"/>
  <c r="F626" i="4"/>
  <c r="F625" i="4"/>
  <c r="F624" i="4"/>
  <c r="F623" i="4"/>
  <c r="F622" i="4"/>
  <c r="F621" i="4"/>
  <c r="F620" i="4"/>
  <c r="F619" i="4"/>
  <c r="F618" i="4"/>
  <c r="F617" i="4"/>
  <c r="F616" i="4"/>
  <c r="F615" i="4"/>
  <c r="F614" i="4"/>
  <c r="F613" i="4"/>
  <c r="F612" i="4"/>
  <c r="F611" i="4"/>
  <c r="F610" i="4"/>
  <c r="F609" i="4"/>
  <c r="F608" i="4"/>
  <c r="F607" i="4"/>
  <c r="F606" i="4"/>
  <c r="F605" i="4"/>
  <c r="F604" i="4"/>
  <c r="F603" i="4"/>
  <c r="F602" i="4"/>
  <c r="F601" i="4"/>
  <c r="F600" i="4"/>
  <c r="F599" i="4"/>
  <c r="F598" i="4"/>
  <c r="F597" i="4"/>
  <c r="F596" i="4"/>
  <c r="F595" i="4"/>
  <c r="F594" i="4"/>
  <c r="F593" i="4"/>
  <c r="F592" i="4"/>
  <c r="F591" i="4"/>
  <c r="F590" i="4"/>
  <c r="F589" i="4"/>
  <c r="F588" i="4"/>
  <c r="F587" i="4"/>
  <c r="F586" i="4"/>
  <c r="F585" i="4"/>
  <c r="F584" i="4"/>
  <c r="F583" i="4"/>
  <c r="F582" i="4"/>
  <c r="F581" i="4"/>
  <c r="F580" i="4"/>
  <c r="F579" i="4"/>
  <c r="F578" i="4"/>
  <c r="F577" i="4"/>
  <c r="F576" i="4"/>
  <c r="F575" i="4"/>
  <c r="F574" i="4"/>
  <c r="F573" i="4"/>
  <c r="F572" i="4"/>
  <c r="F571" i="4"/>
  <c r="F570" i="4"/>
  <c r="F569" i="4"/>
  <c r="F568" i="4"/>
  <c r="F567" i="4"/>
  <c r="F566" i="4"/>
  <c r="F565" i="4"/>
  <c r="F564" i="4"/>
  <c r="F563" i="4"/>
  <c r="F562" i="4"/>
  <c r="F561" i="4"/>
  <c r="F560" i="4"/>
  <c r="F559" i="4"/>
  <c r="F558" i="4"/>
  <c r="F557" i="4"/>
  <c r="F556" i="4"/>
  <c r="F555" i="4"/>
  <c r="F554" i="4"/>
  <c r="F553" i="4"/>
  <c r="F552" i="4"/>
  <c r="F551" i="4"/>
  <c r="F550" i="4"/>
  <c r="F549" i="4"/>
  <c r="F548" i="4"/>
  <c r="F547" i="4"/>
  <c r="F546" i="4"/>
  <c r="F545" i="4"/>
  <c r="F544" i="4"/>
  <c r="F543" i="4"/>
  <c r="F542" i="4"/>
  <c r="F541" i="4"/>
  <c r="F540" i="4"/>
  <c r="F539" i="4"/>
  <c r="F538" i="4"/>
  <c r="F537" i="4"/>
  <c r="F536" i="4"/>
  <c r="F535" i="4"/>
  <c r="F534" i="4"/>
  <c r="F533" i="4"/>
  <c r="F532" i="4"/>
  <c r="F531" i="4"/>
  <c r="F530" i="4"/>
  <c r="F529" i="4"/>
  <c r="F528" i="4"/>
  <c r="F527" i="4"/>
  <c r="F526" i="4"/>
  <c r="F525" i="4"/>
  <c r="F524" i="4"/>
  <c r="F523" i="4"/>
  <c r="F522" i="4"/>
  <c r="F521" i="4"/>
  <c r="F520" i="4"/>
  <c r="F519" i="4"/>
  <c r="F518" i="4"/>
  <c r="F517" i="4"/>
  <c r="F516" i="4"/>
  <c r="F515" i="4"/>
  <c r="F514" i="4"/>
  <c r="F513" i="4"/>
  <c r="F512" i="4"/>
  <c r="F511" i="4"/>
  <c r="F510" i="4"/>
  <c r="F509" i="4"/>
  <c r="F508" i="4"/>
  <c r="F507" i="4"/>
  <c r="F506" i="4"/>
  <c r="F505" i="4"/>
  <c r="F504" i="4"/>
  <c r="F503" i="4"/>
  <c r="F502" i="4"/>
  <c r="F501" i="4"/>
  <c r="F500" i="4"/>
  <c r="F499" i="4"/>
  <c r="F498" i="4"/>
  <c r="F497" i="4"/>
  <c r="F496" i="4"/>
  <c r="F495" i="4"/>
  <c r="F494" i="4"/>
  <c r="F493" i="4"/>
  <c r="F492" i="4"/>
  <c r="F491" i="4"/>
  <c r="F490" i="4"/>
  <c r="F489" i="4"/>
  <c r="F488" i="4"/>
  <c r="F487" i="4"/>
  <c r="F486" i="4"/>
  <c r="F485" i="4"/>
  <c r="F484" i="4"/>
  <c r="F483" i="4"/>
  <c r="F482" i="4"/>
  <c r="F481" i="4"/>
  <c r="F480" i="4"/>
  <c r="F479" i="4"/>
  <c r="F478" i="4"/>
  <c r="F477" i="4"/>
  <c r="F476" i="4"/>
  <c r="F475" i="4"/>
  <c r="F474" i="4"/>
  <c r="F473" i="4"/>
  <c r="F472" i="4"/>
  <c r="F471" i="4"/>
  <c r="F470" i="4"/>
  <c r="F469" i="4"/>
  <c r="F468" i="4"/>
  <c r="F467" i="4"/>
  <c r="F466" i="4"/>
  <c r="F465" i="4"/>
  <c r="F464" i="4"/>
  <c r="F463" i="4"/>
  <c r="F462" i="4"/>
  <c r="F461" i="4"/>
  <c r="F460" i="4"/>
  <c r="F459" i="4"/>
  <c r="F458" i="4"/>
  <c r="F457" i="4"/>
  <c r="F456" i="4"/>
  <c r="F455" i="4"/>
  <c r="F454" i="4"/>
  <c r="F453" i="4"/>
  <c r="F452" i="4"/>
  <c r="F451" i="4"/>
  <c r="F450" i="4"/>
  <c r="F449" i="4"/>
  <c r="F448" i="4"/>
  <c r="F447" i="4"/>
  <c r="F446" i="4"/>
  <c r="F445" i="4"/>
  <c r="F444" i="4"/>
  <c r="F443" i="4"/>
  <c r="F442" i="4"/>
  <c r="F441" i="4"/>
  <c r="F440" i="4"/>
  <c r="F439" i="4"/>
  <c r="F438" i="4"/>
  <c r="F437" i="4"/>
  <c r="F436" i="4"/>
  <c r="F435" i="4"/>
  <c r="F434" i="4"/>
  <c r="F433" i="4"/>
  <c r="F432" i="4"/>
  <c r="F431" i="4"/>
  <c r="F430" i="4"/>
  <c r="F429" i="4"/>
  <c r="F428" i="4"/>
  <c r="F427" i="4"/>
  <c r="F426" i="4"/>
  <c r="F425" i="4"/>
  <c r="F424" i="4"/>
  <c r="F423" i="4"/>
  <c r="F422" i="4"/>
  <c r="F421" i="4"/>
  <c r="F420" i="4"/>
  <c r="F419" i="4"/>
  <c r="F418" i="4"/>
  <c r="F417" i="4"/>
  <c r="F416" i="4"/>
  <c r="F415" i="4"/>
  <c r="F414" i="4"/>
  <c r="F413" i="4"/>
  <c r="F412" i="4"/>
  <c r="F411" i="4"/>
  <c r="F410" i="4"/>
  <c r="F409" i="4"/>
  <c r="F408" i="4"/>
  <c r="F407" i="4"/>
  <c r="F406" i="4"/>
  <c r="F405" i="4"/>
  <c r="F404" i="4"/>
  <c r="F403" i="4"/>
  <c r="F402" i="4"/>
  <c r="F401" i="4"/>
  <c r="F400" i="4"/>
  <c r="F399" i="4"/>
  <c r="F398" i="4"/>
  <c r="F397" i="4"/>
  <c r="F396" i="4"/>
  <c r="F395" i="4"/>
  <c r="F394" i="4"/>
  <c r="F393" i="4"/>
  <c r="F392" i="4"/>
  <c r="F391" i="4"/>
  <c r="F390" i="4"/>
  <c r="F389" i="4"/>
  <c r="F388" i="4"/>
  <c r="F387" i="4"/>
  <c r="F386" i="4"/>
  <c r="F385" i="4"/>
  <c r="F384" i="4"/>
  <c r="F383" i="4"/>
  <c r="F382" i="4"/>
  <c r="F381" i="4"/>
  <c r="F380" i="4"/>
  <c r="F379" i="4"/>
  <c r="F378" i="4"/>
  <c r="F377" i="4"/>
  <c r="F376" i="4"/>
  <c r="F375" i="4"/>
  <c r="F374" i="4"/>
  <c r="F373" i="4"/>
  <c r="F372" i="4"/>
  <c r="F371" i="4"/>
  <c r="F370" i="4"/>
  <c r="F369" i="4"/>
  <c r="F368" i="4"/>
  <c r="F367" i="4"/>
  <c r="F366" i="4"/>
  <c r="F365" i="4"/>
  <c r="F364" i="4"/>
  <c r="F363" i="4"/>
  <c r="F362" i="4"/>
  <c r="F361" i="4"/>
  <c r="F360" i="4"/>
  <c r="F359" i="4"/>
  <c r="F358" i="4"/>
  <c r="F357" i="4"/>
  <c r="F356" i="4"/>
  <c r="F355" i="4"/>
  <c r="F354" i="4"/>
  <c r="F353" i="4"/>
  <c r="F352" i="4"/>
  <c r="F351" i="4"/>
  <c r="F350" i="4"/>
  <c r="F349" i="4"/>
  <c r="F348" i="4"/>
  <c r="F347" i="4"/>
  <c r="F346" i="4"/>
  <c r="F345" i="4"/>
  <c r="F344" i="4"/>
  <c r="F343" i="4"/>
  <c r="F342" i="4"/>
  <c r="F341" i="4"/>
  <c r="F340" i="4"/>
  <c r="F339" i="4"/>
  <c r="F338" i="4"/>
  <c r="F337" i="4"/>
  <c r="F336" i="4"/>
  <c r="F335" i="4"/>
  <c r="F334" i="4"/>
  <c r="F333" i="4"/>
  <c r="F332" i="4"/>
  <c r="F331" i="4"/>
  <c r="F330" i="4"/>
  <c r="F329" i="4"/>
  <c r="F328" i="4"/>
  <c r="F327" i="4"/>
  <c r="F326" i="4"/>
  <c r="F325" i="4"/>
  <c r="F324" i="4"/>
  <c r="F323" i="4"/>
  <c r="F322" i="4"/>
  <c r="F321" i="4"/>
  <c r="F320" i="4"/>
  <c r="F319" i="4"/>
  <c r="F318" i="4"/>
  <c r="F317" i="4"/>
  <c r="F316" i="4"/>
  <c r="F315" i="4"/>
  <c r="F314" i="4"/>
  <c r="F313" i="4"/>
  <c r="F312" i="4"/>
  <c r="F311" i="4"/>
  <c r="F310" i="4"/>
  <c r="F309" i="4"/>
  <c r="F308" i="4"/>
  <c r="F307" i="4"/>
  <c r="F306" i="4"/>
  <c r="F305" i="4"/>
  <c r="F304" i="4"/>
  <c r="F303" i="4"/>
  <c r="F302" i="4"/>
  <c r="F301" i="4"/>
  <c r="F300" i="4"/>
  <c r="F299" i="4"/>
  <c r="F298" i="4"/>
  <c r="F297" i="4"/>
  <c r="F296" i="4"/>
  <c r="F295" i="4"/>
  <c r="F294" i="4"/>
  <c r="F293" i="4"/>
  <c r="F292" i="4"/>
  <c r="F291" i="4"/>
  <c r="F290" i="4"/>
  <c r="F289" i="4"/>
  <c r="F288" i="4"/>
  <c r="F287" i="4"/>
  <c r="F286" i="4"/>
  <c r="F285" i="4"/>
  <c r="F284" i="4"/>
  <c r="F283" i="4"/>
  <c r="F282" i="4"/>
  <c r="F281" i="4"/>
  <c r="F280" i="4"/>
  <c r="F279" i="4"/>
  <c r="F278" i="4"/>
  <c r="F277" i="4"/>
  <c r="F276" i="4"/>
  <c r="F275" i="4"/>
  <c r="F274" i="4"/>
  <c r="F273" i="4"/>
  <c r="F272" i="4"/>
  <c r="F271" i="4"/>
  <c r="F270" i="4"/>
  <c r="F269" i="4"/>
  <c r="F268" i="4"/>
  <c r="F267" i="4"/>
  <c r="F266" i="4"/>
  <c r="F265" i="4"/>
  <c r="F264" i="4"/>
  <c r="F263" i="4"/>
  <c r="F262" i="4"/>
  <c r="F261" i="4"/>
  <c r="F260" i="4"/>
  <c r="F259" i="4"/>
  <c r="F258" i="4"/>
  <c r="F257" i="4"/>
  <c r="F256" i="4"/>
  <c r="F255" i="4"/>
  <c r="F254" i="4"/>
  <c r="F253" i="4"/>
  <c r="F252" i="4"/>
  <c r="F251" i="4"/>
  <c r="F250" i="4"/>
  <c r="F249" i="4"/>
  <c r="F248" i="4"/>
  <c r="F247" i="4"/>
  <c r="F246" i="4"/>
  <c r="F245" i="4"/>
  <c r="F244" i="4"/>
  <c r="F243" i="4"/>
  <c r="F242" i="4"/>
  <c r="F241" i="4"/>
  <c r="F240" i="4"/>
  <c r="F239" i="4"/>
  <c r="F238" i="4"/>
  <c r="F237" i="4"/>
  <c r="F236" i="4"/>
  <c r="F235" i="4"/>
  <c r="F234" i="4"/>
  <c r="F233" i="4"/>
  <c r="F232" i="4"/>
  <c r="F231" i="4"/>
  <c r="F230" i="4"/>
  <c r="F229" i="4"/>
  <c r="F228" i="4"/>
  <c r="F227" i="4"/>
  <c r="F226" i="4"/>
  <c r="F225" i="4"/>
  <c r="F224" i="4"/>
  <c r="F223" i="4"/>
  <c r="F222" i="4"/>
  <c r="F221" i="4"/>
  <c r="F220" i="4"/>
  <c r="F219" i="4"/>
  <c r="F218" i="4"/>
  <c r="F217" i="4"/>
  <c r="F216" i="4"/>
  <c r="F215" i="4"/>
  <c r="F214" i="4"/>
  <c r="F213" i="4"/>
  <c r="F212" i="4"/>
  <c r="F211" i="4"/>
  <c r="F210" i="4"/>
  <c r="F209" i="4"/>
  <c r="F208" i="4"/>
  <c r="F207" i="4"/>
  <c r="F206" i="4"/>
  <c r="F205" i="4"/>
  <c r="F204" i="4"/>
  <c r="F203" i="4"/>
  <c r="F202" i="4"/>
  <c r="F201" i="4"/>
  <c r="F200" i="4"/>
  <c r="F199" i="4"/>
  <c r="F198" i="4"/>
  <c r="F197" i="4"/>
  <c r="F196" i="4"/>
  <c r="F195" i="4"/>
  <c r="F194" i="4"/>
  <c r="F193" i="4"/>
  <c r="F192" i="4"/>
  <c r="F191" i="4"/>
  <c r="F190" i="4"/>
  <c r="F189" i="4"/>
  <c r="F188" i="4"/>
  <c r="F187" i="4"/>
  <c r="F186" i="4"/>
  <c r="F185" i="4"/>
  <c r="F184" i="4"/>
  <c r="F183" i="4"/>
  <c r="F182" i="4"/>
  <c r="F181" i="4"/>
  <c r="F180" i="4"/>
  <c r="F179" i="4"/>
  <c r="F178" i="4"/>
  <c r="F177" i="4"/>
  <c r="F176" i="4"/>
  <c r="F175" i="4"/>
  <c r="F174" i="4"/>
  <c r="F173" i="4"/>
  <c r="F172" i="4"/>
  <c r="F171" i="4"/>
  <c r="F170" i="4"/>
  <c r="F169" i="4"/>
  <c r="F168" i="4"/>
  <c r="F167" i="4"/>
  <c r="F166" i="4"/>
  <c r="F165" i="4"/>
  <c r="F164" i="4"/>
  <c r="F163" i="4"/>
  <c r="F162" i="4"/>
  <c r="F161" i="4"/>
  <c r="F160" i="4"/>
  <c r="F159" i="4"/>
  <c r="F158" i="4"/>
  <c r="F157" i="4"/>
  <c r="F156" i="4"/>
  <c r="F155" i="4"/>
  <c r="F154" i="4"/>
  <c r="F153" i="4"/>
  <c r="F152" i="4"/>
  <c r="F151" i="4"/>
  <c r="F150" i="4"/>
  <c r="F149" i="4"/>
  <c r="F148" i="4"/>
  <c r="F147" i="4"/>
  <c r="F146" i="4"/>
  <c r="F145" i="4"/>
  <c r="F144" i="4"/>
  <c r="F143" i="4"/>
  <c r="F142" i="4"/>
  <c r="F141" i="4"/>
  <c r="F140" i="4"/>
  <c r="F139" i="4"/>
  <c r="F138" i="4"/>
  <c r="F137" i="4"/>
  <c r="F136" i="4"/>
  <c r="F135" i="4"/>
  <c r="F134" i="4"/>
  <c r="F133" i="4"/>
  <c r="F132" i="4"/>
  <c r="F131" i="4"/>
  <c r="F130" i="4"/>
  <c r="F129" i="4"/>
  <c r="F128" i="4"/>
  <c r="F127" i="4"/>
  <c r="F126" i="4"/>
  <c r="F125" i="4"/>
  <c r="F124" i="4"/>
  <c r="F123" i="4"/>
  <c r="F122" i="4"/>
  <c r="F121" i="4"/>
  <c r="F120" i="4"/>
  <c r="F119" i="4"/>
  <c r="F118" i="4"/>
  <c r="F117" i="4"/>
  <c r="F116" i="4"/>
  <c r="F115" i="4"/>
  <c r="F114" i="4"/>
  <c r="F113" i="4"/>
  <c r="F112" i="4"/>
  <c r="F111" i="4"/>
  <c r="F110" i="4"/>
  <c r="F109" i="4"/>
  <c r="F108" i="4"/>
  <c r="F107" i="4"/>
  <c r="F106" i="4"/>
  <c r="F105" i="4"/>
  <c r="F104" i="4"/>
  <c r="F103" i="4"/>
  <c r="F102" i="4"/>
  <c r="F101" i="4"/>
  <c r="F100" i="4"/>
  <c r="F99" i="4"/>
  <c r="F98" i="4"/>
  <c r="F97" i="4"/>
  <c r="F96" i="4"/>
  <c r="F95" i="4"/>
  <c r="F94" i="4"/>
  <c r="F93" i="4"/>
  <c r="F92" i="4"/>
  <c r="F91" i="4"/>
  <c r="F90" i="4"/>
  <c r="F89" i="4"/>
  <c r="F88" i="4"/>
  <c r="F87" i="4"/>
  <c r="F86" i="4"/>
  <c r="F85" i="4"/>
  <c r="F84" i="4"/>
  <c r="F83" i="4"/>
  <c r="F82" i="4"/>
  <c r="F81" i="4"/>
  <c r="F80" i="4"/>
  <c r="F79" i="4"/>
  <c r="F78" i="4"/>
  <c r="F77" i="4"/>
  <c r="F76" i="4"/>
  <c r="F75" i="4"/>
  <c r="F74" i="4"/>
  <c r="F73" i="4"/>
  <c r="F72" i="4"/>
  <c r="F71" i="4"/>
  <c r="F70" i="4"/>
  <c r="F69" i="4"/>
  <c r="F68" i="4"/>
  <c r="F67" i="4"/>
  <c r="F66" i="4"/>
  <c r="F65" i="4"/>
  <c r="F64" i="4"/>
  <c r="F63" i="4"/>
  <c r="F62" i="4"/>
  <c r="F61" i="4"/>
  <c r="F60" i="4"/>
  <c r="F59" i="4"/>
  <c r="F58" i="4"/>
  <c r="F57" i="4"/>
  <c r="F56" i="4"/>
  <c r="F55" i="4"/>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12" i="4"/>
  <c r="F11" i="4"/>
  <c r="F10" i="4"/>
  <c r="F9" i="4"/>
  <c r="F8" i="4"/>
  <c r="F7" i="4"/>
  <c r="F6" i="4"/>
  <c r="F5" i="4"/>
  <c r="F4" i="4"/>
  <c r="F3" i="4"/>
  <c r="F2" i="4"/>
  <c r="BJ1001" i="4" l="1"/>
  <c r="BJ1000" i="4"/>
  <c r="BJ999" i="4"/>
  <c r="BJ998" i="4"/>
  <c r="BJ997" i="4"/>
  <c r="BJ996" i="4"/>
  <c r="BJ995" i="4"/>
  <c r="BJ994" i="4"/>
  <c r="BJ993" i="4"/>
  <c r="BJ992" i="4"/>
  <c r="BJ991" i="4"/>
  <c r="BJ990" i="4"/>
  <c r="BJ989" i="4"/>
  <c r="BJ988" i="4"/>
  <c r="BJ987" i="4"/>
  <c r="BJ986" i="4"/>
  <c r="BJ985" i="4"/>
  <c r="BJ984" i="4"/>
  <c r="BJ983" i="4"/>
  <c r="BJ982" i="4"/>
  <c r="BJ981" i="4"/>
  <c r="BJ980" i="4"/>
  <c r="BJ979" i="4"/>
  <c r="BJ978" i="4"/>
  <c r="BJ977" i="4"/>
  <c r="BJ976" i="4"/>
  <c r="BJ975" i="4"/>
  <c r="BJ974" i="4"/>
  <c r="BJ973" i="4"/>
  <c r="BJ972" i="4"/>
  <c r="BJ971" i="4"/>
  <c r="BJ970" i="4"/>
  <c r="BJ969" i="4"/>
  <c r="BJ968" i="4"/>
  <c r="BJ967" i="4"/>
  <c r="BJ966" i="4"/>
  <c r="BJ965" i="4"/>
  <c r="BJ964" i="4"/>
  <c r="BJ963" i="4"/>
  <c r="BJ962" i="4"/>
  <c r="BJ961" i="4"/>
  <c r="BJ960" i="4"/>
  <c r="BJ959" i="4"/>
  <c r="BJ958" i="4"/>
  <c r="BJ957" i="4"/>
  <c r="BJ956" i="4"/>
  <c r="BJ955" i="4"/>
  <c r="BJ954" i="4"/>
  <c r="BJ953" i="4"/>
  <c r="BJ952" i="4"/>
  <c r="BJ951" i="4"/>
  <c r="BJ950" i="4"/>
  <c r="BJ949" i="4"/>
  <c r="BJ948" i="4"/>
  <c r="BJ947" i="4"/>
  <c r="BJ946" i="4"/>
  <c r="BJ945" i="4"/>
  <c r="BJ944" i="4"/>
  <c r="BJ943" i="4"/>
  <c r="BJ942" i="4"/>
  <c r="BJ941" i="4"/>
  <c r="BJ940" i="4"/>
  <c r="BJ939" i="4"/>
  <c r="BJ938" i="4"/>
  <c r="BJ937" i="4"/>
  <c r="BJ936" i="4"/>
  <c r="BJ935" i="4"/>
  <c r="BJ934" i="4"/>
  <c r="BJ933" i="4"/>
  <c r="BJ932" i="4"/>
  <c r="BJ931" i="4"/>
  <c r="BJ930" i="4"/>
  <c r="BJ929" i="4"/>
  <c r="BJ928" i="4"/>
  <c r="BJ927" i="4"/>
  <c r="BJ926" i="4"/>
  <c r="BJ925" i="4"/>
  <c r="BJ924" i="4"/>
  <c r="BJ923" i="4"/>
  <c r="BJ922" i="4"/>
  <c r="BJ921" i="4"/>
  <c r="BJ920" i="4"/>
  <c r="BJ919" i="4"/>
  <c r="BJ918" i="4"/>
  <c r="BJ917" i="4"/>
  <c r="BJ916" i="4"/>
  <c r="BJ915" i="4"/>
  <c r="BJ914" i="4"/>
  <c r="BJ913" i="4"/>
  <c r="BJ912" i="4"/>
  <c r="BJ911" i="4"/>
  <c r="BJ910" i="4"/>
  <c r="BJ909" i="4"/>
  <c r="BJ908" i="4"/>
  <c r="BJ907" i="4"/>
  <c r="BJ906" i="4"/>
  <c r="BJ905" i="4"/>
  <c r="BJ904" i="4"/>
  <c r="BJ903" i="4"/>
  <c r="BJ902" i="4"/>
  <c r="BJ901" i="4"/>
  <c r="BJ900" i="4"/>
  <c r="BJ899" i="4"/>
  <c r="BJ898" i="4"/>
  <c r="BJ897" i="4"/>
  <c r="BJ896" i="4"/>
  <c r="BJ895" i="4"/>
  <c r="BJ894" i="4"/>
  <c r="BJ893" i="4"/>
  <c r="BJ892" i="4"/>
  <c r="BJ891" i="4"/>
  <c r="BJ890" i="4"/>
  <c r="BJ889" i="4"/>
  <c r="BJ888" i="4"/>
  <c r="BJ887" i="4"/>
  <c r="BJ886" i="4"/>
  <c r="BJ885" i="4"/>
  <c r="BJ884" i="4"/>
  <c r="BJ883" i="4"/>
  <c r="BJ882" i="4"/>
  <c r="BJ881" i="4"/>
  <c r="BJ880" i="4"/>
  <c r="BJ879" i="4"/>
  <c r="BJ878" i="4"/>
  <c r="BJ877" i="4"/>
  <c r="BJ876" i="4"/>
  <c r="BJ875" i="4"/>
  <c r="BJ874" i="4"/>
  <c r="BJ873" i="4"/>
  <c r="BJ872" i="4"/>
  <c r="BJ871" i="4"/>
  <c r="BJ870" i="4"/>
  <c r="BJ869" i="4"/>
  <c r="BJ868" i="4"/>
  <c r="BJ867" i="4"/>
  <c r="BJ866" i="4"/>
  <c r="BJ865" i="4"/>
  <c r="BJ864" i="4"/>
  <c r="BJ863" i="4"/>
  <c r="BJ862" i="4"/>
  <c r="BJ861" i="4"/>
  <c r="BJ860" i="4"/>
  <c r="BJ859" i="4"/>
  <c r="BJ858" i="4"/>
  <c r="BJ857" i="4"/>
  <c r="BJ856" i="4"/>
  <c r="BJ855" i="4"/>
  <c r="BJ854" i="4"/>
  <c r="BJ853" i="4"/>
  <c r="BJ852" i="4"/>
  <c r="BJ851" i="4"/>
  <c r="BJ850" i="4"/>
  <c r="BJ849" i="4"/>
  <c r="BJ848" i="4"/>
  <c r="BJ847" i="4"/>
  <c r="BJ846" i="4"/>
  <c r="BJ845" i="4"/>
  <c r="BJ844" i="4"/>
  <c r="BJ843" i="4"/>
  <c r="BJ842" i="4"/>
  <c r="BJ841" i="4"/>
  <c r="BJ840" i="4"/>
  <c r="BJ839" i="4"/>
  <c r="BJ838" i="4"/>
  <c r="BJ837" i="4"/>
  <c r="BJ836" i="4"/>
  <c r="BJ835" i="4"/>
  <c r="BJ834" i="4"/>
  <c r="BJ833" i="4"/>
  <c r="BJ832" i="4"/>
  <c r="BJ831" i="4"/>
  <c r="BJ830" i="4"/>
  <c r="BJ829" i="4"/>
  <c r="BJ828" i="4"/>
  <c r="BJ827" i="4"/>
  <c r="BJ826" i="4"/>
  <c r="BJ825" i="4"/>
  <c r="BJ824" i="4"/>
  <c r="BJ823" i="4"/>
  <c r="BJ822" i="4"/>
  <c r="BJ821" i="4"/>
  <c r="BJ820" i="4"/>
  <c r="BJ819" i="4"/>
  <c r="BJ818" i="4"/>
  <c r="BJ817" i="4"/>
  <c r="BJ816" i="4"/>
  <c r="BJ815" i="4"/>
  <c r="BJ814" i="4"/>
  <c r="BJ813" i="4"/>
  <c r="BJ812" i="4"/>
  <c r="BJ811" i="4"/>
  <c r="BJ810" i="4"/>
  <c r="BJ809" i="4"/>
  <c r="BJ808" i="4"/>
  <c r="BJ807" i="4"/>
  <c r="BJ806" i="4"/>
  <c r="BJ805" i="4"/>
  <c r="BJ804" i="4"/>
  <c r="BJ803" i="4"/>
  <c r="BJ802" i="4"/>
  <c r="BJ801" i="4"/>
  <c r="BJ800" i="4"/>
  <c r="BJ799" i="4"/>
  <c r="BJ798" i="4"/>
  <c r="BJ797" i="4"/>
  <c r="BJ796" i="4"/>
  <c r="BJ795" i="4"/>
  <c r="BJ794" i="4"/>
  <c r="BJ793" i="4"/>
  <c r="BJ792" i="4"/>
  <c r="BJ791" i="4"/>
  <c r="BJ790" i="4"/>
  <c r="BJ789" i="4"/>
  <c r="BJ788" i="4"/>
  <c r="BJ787" i="4"/>
  <c r="BJ786" i="4"/>
  <c r="BJ785" i="4"/>
  <c r="BJ784" i="4"/>
  <c r="BJ783" i="4"/>
  <c r="BJ782" i="4"/>
  <c r="BJ781" i="4"/>
  <c r="BJ780" i="4"/>
  <c r="BJ779" i="4"/>
  <c r="BJ778" i="4"/>
  <c r="BJ777" i="4"/>
  <c r="BJ776" i="4"/>
  <c r="BJ775" i="4"/>
  <c r="BJ774" i="4"/>
  <c r="BJ773" i="4"/>
  <c r="BJ772" i="4"/>
  <c r="BJ771" i="4"/>
  <c r="BJ770" i="4"/>
  <c r="BJ769" i="4"/>
  <c r="BJ768" i="4"/>
  <c r="BJ767" i="4"/>
  <c r="BJ766" i="4"/>
  <c r="BJ765" i="4"/>
  <c r="BJ764" i="4"/>
  <c r="BJ763" i="4"/>
  <c r="BJ762" i="4"/>
  <c r="BJ761" i="4"/>
  <c r="BJ760" i="4"/>
  <c r="BJ759" i="4"/>
  <c r="BJ758" i="4"/>
  <c r="BJ757" i="4"/>
  <c r="BJ756" i="4"/>
  <c r="BJ755" i="4"/>
  <c r="BJ754" i="4"/>
  <c r="BJ753" i="4"/>
  <c r="BJ752" i="4"/>
  <c r="BJ751" i="4"/>
  <c r="BJ750" i="4"/>
  <c r="BJ749" i="4"/>
  <c r="BJ748" i="4"/>
  <c r="BJ747" i="4"/>
  <c r="BJ746" i="4"/>
  <c r="BJ745" i="4"/>
  <c r="BJ744" i="4"/>
  <c r="BJ743" i="4"/>
  <c r="BJ742" i="4"/>
  <c r="BJ741" i="4"/>
  <c r="BJ740" i="4"/>
  <c r="BJ739" i="4"/>
  <c r="BJ738" i="4"/>
  <c r="BJ737" i="4"/>
  <c r="BJ736" i="4"/>
  <c r="BJ735" i="4"/>
  <c r="BJ734" i="4"/>
  <c r="BJ733" i="4"/>
  <c r="BJ732" i="4"/>
  <c r="BJ731" i="4"/>
  <c r="BJ730" i="4"/>
  <c r="BJ729" i="4"/>
  <c r="BJ728" i="4"/>
  <c r="BJ727" i="4"/>
  <c r="BJ726" i="4"/>
  <c r="BJ725" i="4"/>
  <c r="BJ724" i="4"/>
  <c r="BJ723" i="4"/>
  <c r="BJ722" i="4"/>
  <c r="BJ721" i="4"/>
  <c r="BJ720" i="4"/>
  <c r="BJ719" i="4"/>
  <c r="BJ718" i="4"/>
  <c r="BJ717" i="4"/>
  <c r="BJ716" i="4"/>
  <c r="BJ715" i="4"/>
  <c r="BJ714" i="4"/>
  <c r="BJ713" i="4"/>
  <c r="BJ712" i="4"/>
  <c r="BJ711" i="4"/>
  <c r="BJ710" i="4"/>
  <c r="BJ709" i="4"/>
  <c r="BJ708" i="4"/>
  <c r="BJ707" i="4"/>
  <c r="BJ706" i="4"/>
  <c r="BJ705" i="4"/>
  <c r="BJ704" i="4"/>
  <c r="BJ703" i="4"/>
  <c r="BJ702" i="4"/>
  <c r="BJ701" i="4"/>
  <c r="BJ700" i="4"/>
  <c r="BJ699" i="4"/>
  <c r="BJ698" i="4"/>
  <c r="BJ697" i="4"/>
  <c r="BJ696" i="4"/>
  <c r="BJ695" i="4"/>
  <c r="BJ694" i="4"/>
  <c r="BJ693" i="4"/>
  <c r="BJ692" i="4"/>
  <c r="BJ691" i="4"/>
  <c r="BJ690" i="4"/>
  <c r="BJ689" i="4"/>
  <c r="BJ688" i="4"/>
  <c r="BJ687" i="4"/>
  <c r="BJ686" i="4"/>
  <c r="BJ685" i="4"/>
  <c r="BJ684" i="4"/>
  <c r="BJ683" i="4"/>
  <c r="BJ682" i="4"/>
  <c r="BJ681" i="4"/>
  <c r="BJ680" i="4"/>
  <c r="BJ679" i="4"/>
  <c r="BJ678" i="4"/>
  <c r="BJ677" i="4"/>
  <c r="BJ676" i="4"/>
  <c r="BJ675" i="4"/>
  <c r="BJ674" i="4"/>
  <c r="BJ673" i="4"/>
  <c r="BJ672" i="4"/>
  <c r="BJ671" i="4"/>
  <c r="BJ670" i="4"/>
  <c r="BJ669" i="4"/>
  <c r="BJ668" i="4"/>
  <c r="BJ667" i="4"/>
  <c r="BJ666" i="4"/>
  <c r="BJ665" i="4"/>
  <c r="BJ664" i="4"/>
  <c r="BJ663" i="4"/>
  <c r="BJ662" i="4"/>
  <c r="BJ661" i="4"/>
  <c r="BJ660" i="4"/>
  <c r="BJ659" i="4"/>
  <c r="BJ658" i="4"/>
  <c r="BJ657" i="4"/>
  <c r="BJ656" i="4"/>
  <c r="BJ655" i="4"/>
  <c r="BJ654" i="4"/>
  <c r="BJ653" i="4"/>
  <c r="BJ652" i="4"/>
  <c r="BJ651" i="4"/>
  <c r="BJ650" i="4"/>
  <c r="BJ649" i="4"/>
  <c r="BJ648" i="4"/>
  <c r="BJ647" i="4"/>
  <c r="BJ646" i="4"/>
  <c r="BJ645" i="4"/>
  <c r="BJ644" i="4"/>
  <c r="BJ643" i="4"/>
  <c r="BJ642" i="4"/>
  <c r="BJ641" i="4"/>
  <c r="BJ640" i="4"/>
  <c r="BJ639" i="4"/>
  <c r="BJ638" i="4"/>
  <c r="BJ637" i="4"/>
  <c r="BJ636" i="4"/>
  <c r="BJ635" i="4"/>
  <c r="BJ634" i="4"/>
  <c r="BJ633" i="4"/>
  <c r="BJ632" i="4"/>
  <c r="BJ631" i="4"/>
  <c r="BJ630" i="4"/>
  <c r="BJ629" i="4"/>
  <c r="BJ628" i="4"/>
  <c r="BJ627" i="4"/>
  <c r="BJ626" i="4"/>
  <c r="BJ625" i="4"/>
  <c r="BJ624" i="4"/>
  <c r="BJ623" i="4"/>
  <c r="BJ622" i="4"/>
  <c r="BJ621" i="4"/>
  <c r="BJ620" i="4"/>
  <c r="BJ619" i="4"/>
  <c r="BJ618" i="4"/>
  <c r="BJ617" i="4"/>
  <c r="BJ616" i="4"/>
  <c r="BJ615" i="4"/>
  <c r="BJ614" i="4"/>
  <c r="BJ613" i="4"/>
  <c r="BJ612" i="4"/>
  <c r="BJ611" i="4"/>
  <c r="BJ610" i="4"/>
  <c r="BJ609" i="4"/>
  <c r="BJ608" i="4"/>
  <c r="BJ607" i="4"/>
  <c r="BJ606" i="4"/>
  <c r="BJ605" i="4"/>
  <c r="BJ604" i="4"/>
  <c r="BJ603" i="4"/>
  <c r="BJ602" i="4"/>
  <c r="BJ601" i="4"/>
  <c r="BJ600" i="4"/>
  <c r="BJ599" i="4"/>
  <c r="BJ598" i="4"/>
  <c r="BJ597" i="4"/>
  <c r="BJ596" i="4"/>
  <c r="BJ595" i="4"/>
  <c r="BJ594" i="4"/>
  <c r="BJ593" i="4"/>
  <c r="BJ592" i="4"/>
  <c r="BJ591" i="4"/>
  <c r="BJ590" i="4"/>
  <c r="BJ589" i="4"/>
  <c r="BJ588" i="4"/>
  <c r="BJ587" i="4"/>
  <c r="BJ586" i="4"/>
  <c r="BJ585" i="4"/>
  <c r="BJ584" i="4"/>
  <c r="BJ583" i="4"/>
  <c r="BJ582" i="4"/>
  <c r="BJ581" i="4"/>
  <c r="BJ580" i="4"/>
  <c r="BJ579" i="4"/>
  <c r="BJ578" i="4"/>
  <c r="BJ577" i="4"/>
  <c r="BJ576" i="4"/>
  <c r="BJ575" i="4"/>
  <c r="BJ574" i="4"/>
  <c r="BJ573" i="4"/>
  <c r="BJ572" i="4"/>
  <c r="BJ571" i="4"/>
  <c r="BJ570" i="4"/>
  <c r="BJ569" i="4"/>
  <c r="BJ568" i="4"/>
  <c r="BJ567" i="4"/>
  <c r="BJ566" i="4"/>
  <c r="BJ565" i="4"/>
  <c r="BJ564" i="4"/>
  <c r="BJ563" i="4"/>
  <c r="BJ562" i="4"/>
  <c r="BJ561" i="4"/>
  <c r="BJ560" i="4"/>
  <c r="BJ559" i="4"/>
  <c r="BJ558" i="4"/>
  <c r="BJ557" i="4"/>
  <c r="BJ556" i="4"/>
  <c r="BJ555" i="4"/>
  <c r="BJ554" i="4"/>
  <c r="BJ553" i="4"/>
  <c r="BJ552" i="4"/>
  <c r="BJ551" i="4"/>
  <c r="BJ550" i="4"/>
  <c r="BJ549" i="4"/>
  <c r="BJ548" i="4"/>
  <c r="BJ547" i="4"/>
  <c r="BJ546" i="4"/>
  <c r="BJ545" i="4"/>
  <c r="BJ544" i="4"/>
  <c r="BJ543" i="4"/>
  <c r="BJ542" i="4"/>
  <c r="BJ541" i="4"/>
  <c r="BJ540" i="4"/>
  <c r="BJ539" i="4"/>
  <c r="BJ538" i="4"/>
  <c r="BJ537" i="4"/>
  <c r="BJ536" i="4"/>
  <c r="BJ535" i="4"/>
  <c r="BJ534" i="4"/>
  <c r="BJ533" i="4"/>
  <c r="BJ532" i="4"/>
  <c r="BJ531" i="4"/>
  <c r="BJ530" i="4"/>
  <c r="BJ529" i="4"/>
  <c r="BJ528" i="4"/>
  <c r="BJ527" i="4"/>
  <c r="BJ526" i="4"/>
  <c r="BJ525" i="4"/>
  <c r="BJ524" i="4"/>
  <c r="BJ523" i="4"/>
  <c r="BJ522" i="4"/>
  <c r="BJ521" i="4"/>
  <c r="BJ520" i="4"/>
  <c r="BJ519" i="4"/>
  <c r="BJ518" i="4"/>
  <c r="BJ517" i="4"/>
  <c r="BJ516" i="4"/>
  <c r="BJ515" i="4"/>
  <c r="BJ514" i="4"/>
  <c r="BJ513" i="4"/>
  <c r="BJ512" i="4"/>
  <c r="BJ511" i="4"/>
  <c r="BJ510" i="4"/>
  <c r="BJ509" i="4"/>
  <c r="BJ508" i="4"/>
  <c r="BJ507" i="4"/>
  <c r="BJ506" i="4"/>
  <c r="BJ505" i="4"/>
  <c r="BJ504" i="4"/>
  <c r="BJ503" i="4"/>
  <c r="BJ502" i="4"/>
  <c r="BJ501" i="4"/>
  <c r="BJ500" i="4"/>
  <c r="BJ499" i="4"/>
  <c r="BJ498" i="4"/>
  <c r="BJ497" i="4"/>
  <c r="BJ496" i="4"/>
  <c r="BJ495" i="4"/>
  <c r="BJ494" i="4"/>
  <c r="BJ493" i="4"/>
  <c r="BJ492" i="4"/>
  <c r="BJ491" i="4"/>
  <c r="BJ490" i="4"/>
  <c r="BJ489" i="4"/>
  <c r="BJ488" i="4"/>
  <c r="BJ487" i="4"/>
  <c r="BJ486" i="4"/>
  <c r="BJ485" i="4"/>
  <c r="BJ484" i="4"/>
  <c r="BJ483" i="4"/>
  <c r="BJ482" i="4"/>
  <c r="BJ481" i="4"/>
  <c r="BJ480" i="4"/>
  <c r="BJ479" i="4"/>
  <c r="BJ478" i="4"/>
  <c r="BJ477" i="4"/>
  <c r="BJ476" i="4"/>
  <c r="BJ475" i="4"/>
  <c r="BJ474" i="4"/>
  <c r="BJ473" i="4"/>
  <c r="BJ472" i="4"/>
  <c r="BJ471" i="4"/>
  <c r="BJ470" i="4"/>
  <c r="BJ469" i="4"/>
  <c r="BJ468" i="4"/>
  <c r="BJ467" i="4"/>
  <c r="BJ466" i="4"/>
  <c r="BJ465" i="4"/>
  <c r="BJ464" i="4"/>
  <c r="BJ463" i="4"/>
  <c r="BJ462" i="4"/>
  <c r="BJ461" i="4"/>
  <c r="BJ460" i="4"/>
  <c r="BJ459" i="4"/>
  <c r="BJ458" i="4"/>
  <c r="BJ457" i="4"/>
  <c r="BJ456" i="4"/>
  <c r="BJ455" i="4"/>
  <c r="BJ454" i="4"/>
  <c r="BJ453" i="4"/>
  <c r="BJ452" i="4"/>
  <c r="BJ451" i="4"/>
  <c r="BJ450" i="4"/>
  <c r="BJ449" i="4"/>
  <c r="BJ448" i="4"/>
  <c r="BJ447" i="4"/>
  <c r="BJ446" i="4"/>
  <c r="BJ445" i="4"/>
  <c r="BJ444" i="4"/>
  <c r="BJ443" i="4"/>
  <c r="BJ442" i="4"/>
  <c r="BJ441" i="4"/>
  <c r="BJ440" i="4"/>
  <c r="BJ439" i="4"/>
  <c r="BJ438" i="4"/>
  <c r="BJ437" i="4"/>
  <c r="BJ436" i="4"/>
  <c r="BJ435" i="4"/>
  <c r="BJ434" i="4"/>
  <c r="BJ433" i="4"/>
  <c r="BJ432" i="4"/>
  <c r="BJ431" i="4"/>
  <c r="BJ430" i="4"/>
  <c r="BJ429" i="4"/>
  <c r="BJ428" i="4"/>
  <c r="BJ427" i="4"/>
  <c r="BJ426" i="4"/>
  <c r="BJ425" i="4"/>
  <c r="BJ424" i="4"/>
  <c r="BJ423" i="4"/>
  <c r="BJ422" i="4"/>
  <c r="BJ421" i="4"/>
  <c r="BJ420" i="4"/>
  <c r="BJ419" i="4"/>
  <c r="BJ418" i="4"/>
  <c r="BJ417" i="4"/>
  <c r="BJ416" i="4"/>
  <c r="BJ415" i="4"/>
  <c r="BJ414" i="4"/>
  <c r="BJ413" i="4"/>
  <c r="BJ412" i="4"/>
  <c r="BJ411" i="4"/>
  <c r="BJ410" i="4"/>
  <c r="BJ409" i="4"/>
  <c r="BJ408" i="4"/>
  <c r="BJ407" i="4"/>
  <c r="BJ406" i="4"/>
  <c r="BJ405" i="4"/>
  <c r="BJ404" i="4"/>
  <c r="BJ403" i="4"/>
  <c r="BJ402" i="4"/>
  <c r="BJ401" i="4"/>
  <c r="BJ400" i="4"/>
  <c r="BJ399" i="4"/>
  <c r="BJ398" i="4"/>
  <c r="BJ397" i="4"/>
  <c r="BJ396" i="4"/>
  <c r="BJ395" i="4"/>
  <c r="BJ394" i="4"/>
  <c r="BJ393" i="4"/>
  <c r="BJ392" i="4"/>
  <c r="BJ391" i="4"/>
  <c r="BJ390" i="4"/>
  <c r="BJ389" i="4"/>
  <c r="BJ388" i="4"/>
  <c r="BJ387" i="4"/>
  <c r="BJ386" i="4"/>
  <c r="BJ385" i="4"/>
  <c r="BJ384" i="4"/>
  <c r="BJ383" i="4"/>
  <c r="BJ382" i="4"/>
  <c r="BJ381" i="4"/>
  <c r="BJ380" i="4"/>
  <c r="BJ379" i="4"/>
  <c r="BJ378" i="4"/>
  <c r="BJ377" i="4"/>
  <c r="BJ376" i="4"/>
  <c r="BJ375" i="4"/>
  <c r="BJ374" i="4"/>
  <c r="BJ373" i="4"/>
  <c r="BJ372" i="4"/>
  <c r="BJ371" i="4"/>
  <c r="BJ370" i="4"/>
  <c r="BJ369" i="4"/>
  <c r="BJ368" i="4"/>
  <c r="BJ367" i="4"/>
  <c r="BJ366" i="4"/>
  <c r="BJ365" i="4"/>
  <c r="BJ364" i="4"/>
  <c r="BJ363" i="4"/>
  <c r="BJ362" i="4"/>
  <c r="BJ361" i="4"/>
  <c r="BJ360" i="4"/>
  <c r="BJ359" i="4"/>
  <c r="BJ358" i="4"/>
  <c r="BJ357" i="4"/>
  <c r="BJ356" i="4"/>
  <c r="BJ355" i="4"/>
  <c r="BJ354" i="4"/>
  <c r="BJ353" i="4"/>
  <c r="BJ352" i="4"/>
  <c r="BJ351" i="4"/>
  <c r="BJ350" i="4"/>
  <c r="BJ349" i="4"/>
  <c r="BJ348" i="4"/>
  <c r="BJ347" i="4"/>
  <c r="BJ346" i="4"/>
  <c r="BJ345" i="4"/>
  <c r="BJ344" i="4"/>
  <c r="BJ343" i="4"/>
  <c r="BJ342" i="4"/>
  <c r="BJ341" i="4"/>
  <c r="BJ340" i="4"/>
  <c r="BJ339" i="4"/>
  <c r="BJ338" i="4"/>
  <c r="BJ337" i="4"/>
  <c r="BJ336" i="4"/>
  <c r="BJ335" i="4"/>
  <c r="BJ334" i="4"/>
  <c r="BJ333" i="4"/>
  <c r="BJ332" i="4"/>
  <c r="BJ331" i="4"/>
  <c r="BJ330" i="4"/>
  <c r="BJ329" i="4"/>
  <c r="BJ328" i="4"/>
  <c r="BJ327" i="4"/>
  <c r="BJ326" i="4"/>
  <c r="BJ325" i="4"/>
  <c r="BJ324" i="4"/>
  <c r="BJ323" i="4"/>
  <c r="BJ322" i="4"/>
  <c r="BJ321" i="4"/>
  <c r="BJ320" i="4"/>
  <c r="BJ319" i="4"/>
  <c r="BJ318" i="4"/>
  <c r="BJ317" i="4"/>
  <c r="BJ316" i="4"/>
  <c r="BJ315" i="4"/>
  <c r="BJ314" i="4"/>
  <c r="BJ313" i="4"/>
  <c r="BJ312" i="4"/>
  <c r="BJ311" i="4"/>
  <c r="BJ310" i="4"/>
  <c r="BJ309" i="4"/>
  <c r="BJ308" i="4"/>
  <c r="BJ307" i="4"/>
  <c r="BJ306" i="4"/>
  <c r="BJ305" i="4"/>
  <c r="BJ304" i="4"/>
  <c r="BJ303" i="4"/>
  <c r="BJ302" i="4"/>
  <c r="BJ301" i="4"/>
  <c r="BJ300" i="4"/>
  <c r="BJ299" i="4"/>
  <c r="BJ298" i="4"/>
  <c r="BJ297" i="4"/>
  <c r="BJ296" i="4"/>
  <c r="BJ295" i="4"/>
  <c r="BJ294" i="4"/>
  <c r="BJ293" i="4"/>
  <c r="BJ292" i="4"/>
  <c r="BJ291" i="4"/>
  <c r="BJ290" i="4"/>
  <c r="BJ289" i="4"/>
  <c r="BJ288" i="4"/>
  <c r="BJ287" i="4"/>
  <c r="BJ286" i="4"/>
  <c r="BJ285" i="4"/>
  <c r="BJ284" i="4"/>
  <c r="BJ283" i="4"/>
  <c r="BJ282" i="4"/>
  <c r="BJ281" i="4"/>
  <c r="BJ280" i="4"/>
  <c r="BJ279" i="4"/>
  <c r="BJ278" i="4"/>
  <c r="BJ277" i="4"/>
  <c r="BJ276" i="4"/>
  <c r="BJ275" i="4"/>
  <c r="BJ274" i="4"/>
  <c r="BJ273" i="4"/>
  <c r="BJ272" i="4"/>
  <c r="BJ271" i="4"/>
  <c r="BJ270" i="4"/>
  <c r="BJ269" i="4"/>
  <c r="BJ268" i="4"/>
  <c r="BJ267" i="4"/>
  <c r="BJ266" i="4"/>
  <c r="BJ265" i="4"/>
  <c r="BJ264" i="4"/>
  <c r="BJ263" i="4"/>
  <c r="BJ262" i="4"/>
  <c r="BJ261" i="4"/>
  <c r="BJ260" i="4"/>
  <c r="BJ259" i="4"/>
  <c r="BJ258" i="4"/>
  <c r="BJ257" i="4"/>
  <c r="BJ256" i="4"/>
  <c r="BJ255" i="4"/>
  <c r="BJ254" i="4"/>
  <c r="BJ253" i="4"/>
  <c r="BJ252" i="4"/>
  <c r="BJ251" i="4"/>
  <c r="BJ250" i="4"/>
  <c r="BJ249" i="4"/>
  <c r="BJ248" i="4"/>
  <c r="BJ247" i="4"/>
  <c r="BJ246" i="4"/>
  <c r="BJ245" i="4"/>
  <c r="BJ244" i="4"/>
  <c r="BJ243" i="4"/>
  <c r="BJ242" i="4"/>
  <c r="BJ241" i="4"/>
  <c r="BJ240" i="4"/>
  <c r="BJ239" i="4"/>
  <c r="BJ238" i="4"/>
  <c r="BJ237" i="4"/>
  <c r="BJ236" i="4"/>
  <c r="BJ235" i="4"/>
  <c r="BJ234" i="4"/>
  <c r="BJ233" i="4"/>
  <c r="BJ232" i="4"/>
  <c r="BJ231" i="4"/>
  <c r="BJ230" i="4"/>
  <c r="BJ229" i="4"/>
  <c r="BJ228" i="4"/>
  <c r="BJ227" i="4"/>
  <c r="BJ226" i="4"/>
  <c r="BJ225" i="4"/>
  <c r="BJ224" i="4"/>
  <c r="BJ223" i="4"/>
  <c r="BJ222" i="4"/>
  <c r="BJ221" i="4"/>
  <c r="BJ220" i="4"/>
  <c r="BJ219" i="4"/>
  <c r="BJ218" i="4"/>
  <c r="BJ217" i="4"/>
  <c r="BJ216" i="4"/>
  <c r="BJ215" i="4"/>
  <c r="BJ214" i="4"/>
  <c r="BJ213" i="4"/>
  <c r="BJ212" i="4"/>
  <c r="BJ211" i="4"/>
  <c r="BJ210" i="4"/>
  <c r="BJ209" i="4"/>
  <c r="BJ208" i="4"/>
  <c r="BJ207" i="4"/>
  <c r="BJ206" i="4"/>
  <c r="BJ205" i="4"/>
  <c r="BJ204" i="4"/>
  <c r="BJ203" i="4"/>
  <c r="BJ202" i="4"/>
  <c r="BJ201" i="4"/>
  <c r="BJ200" i="4"/>
  <c r="BJ199" i="4"/>
  <c r="BJ198" i="4"/>
  <c r="BJ197" i="4"/>
  <c r="BJ196" i="4"/>
  <c r="BJ195" i="4"/>
  <c r="BJ194" i="4"/>
  <c r="BJ193" i="4"/>
  <c r="BJ192" i="4"/>
  <c r="BJ191" i="4"/>
  <c r="BJ190" i="4"/>
  <c r="BJ189" i="4"/>
  <c r="BJ188" i="4"/>
  <c r="BJ187" i="4"/>
  <c r="BJ186" i="4"/>
  <c r="BJ185" i="4"/>
  <c r="BJ184" i="4"/>
  <c r="BJ183" i="4"/>
  <c r="BJ182" i="4"/>
  <c r="BJ181" i="4"/>
  <c r="BJ180" i="4"/>
  <c r="BJ179" i="4"/>
  <c r="BJ178" i="4"/>
  <c r="BJ177" i="4"/>
  <c r="BJ176" i="4"/>
  <c r="BJ175" i="4"/>
  <c r="BJ174" i="4"/>
  <c r="BJ173" i="4"/>
  <c r="BJ172" i="4"/>
  <c r="BJ171" i="4"/>
  <c r="BJ170" i="4"/>
  <c r="BJ169" i="4"/>
  <c r="BJ168" i="4"/>
  <c r="BJ167" i="4"/>
  <c r="BJ166" i="4"/>
  <c r="BJ165" i="4"/>
  <c r="BJ164" i="4"/>
  <c r="BJ163" i="4"/>
  <c r="BJ162" i="4"/>
  <c r="BJ161" i="4"/>
  <c r="BJ160" i="4"/>
  <c r="BJ159" i="4"/>
  <c r="BJ158" i="4"/>
  <c r="BJ157" i="4"/>
  <c r="BJ156" i="4"/>
  <c r="BJ155" i="4"/>
  <c r="BJ154" i="4"/>
  <c r="BJ153" i="4"/>
  <c r="BJ152" i="4"/>
  <c r="BJ151" i="4"/>
  <c r="BJ150" i="4"/>
  <c r="BJ149" i="4"/>
  <c r="BJ148" i="4"/>
  <c r="BJ147" i="4"/>
  <c r="BJ146" i="4"/>
  <c r="BJ145" i="4"/>
  <c r="BJ144" i="4"/>
  <c r="BJ143" i="4"/>
  <c r="BJ142" i="4"/>
  <c r="BJ141" i="4"/>
  <c r="BJ140" i="4"/>
  <c r="BJ139" i="4"/>
  <c r="BJ138" i="4"/>
  <c r="BJ137" i="4"/>
  <c r="BJ136" i="4"/>
  <c r="BJ135" i="4"/>
  <c r="BJ134" i="4"/>
  <c r="BJ133" i="4"/>
  <c r="BJ132" i="4"/>
  <c r="BJ131" i="4"/>
  <c r="BJ130" i="4"/>
  <c r="BJ129" i="4"/>
  <c r="BJ128" i="4"/>
  <c r="BJ127" i="4"/>
  <c r="BJ126" i="4"/>
  <c r="BJ125" i="4"/>
  <c r="BJ124" i="4"/>
  <c r="BJ123" i="4"/>
  <c r="BJ122" i="4"/>
  <c r="BJ121" i="4"/>
  <c r="BJ120" i="4"/>
  <c r="BJ119" i="4"/>
  <c r="BJ118" i="4"/>
  <c r="BJ117" i="4"/>
  <c r="BJ116" i="4"/>
  <c r="BJ115" i="4"/>
  <c r="BJ114" i="4"/>
  <c r="BJ113" i="4"/>
  <c r="BJ112" i="4"/>
  <c r="BJ111" i="4"/>
  <c r="BJ110" i="4"/>
  <c r="BJ109" i="4"/>
  <c r="BJ108" i="4"/>
  <c r="BJ107" i="4"/>
  <c r="BJ106" i="4"/>
  <c r="BJ105" i="4"/>
  <c r="BJ104" i="4"/>
  <c r="BJ103" i="4"/>
  <c r="BJ102" i="4"/>
  <c r="BJ101" i="4"/>
  <c r="BJ100" i="4"/>
  <c r="BJ99" i="4"/>
  <c r="BJ98" i="4"/>
  <c r="BJ97" i="4"/>
  <c r="BJ96" i="4"/>
  <c r="BJ95" i="4"/>
  <c r="BJ94" i="4"/>
  <c r="BJ93" i="4"/>
  <c r="BJ92" i="4"/>
  <c r="BJ91" i="4"/>
  <c r="BJ90" i="4"/>
  <c r="BJ89" i="4"/>
  <c r="BJ88" i="4"/>
  <c r="BJ87" i="4"/>
  <c r="BJ86" i="4"/>
  <c r="BJ85" i="4"/>
  <c r="BJ84" i="4"/>
  <c r="BJ83" i="4"/>
  <c r="BJ82" i="4"/>
  <c r="BJ81" i="4"/>
  <c r="BJ80" i="4"/>
  <c r="BJ79" i="4"/>
  <c r="BJ78" i="4"/>
  <c r="BJ77" i="4"/>
  <c r="BJ76" i="4"/>
  <c r="BJ75" i="4"/>
  <c r="BJ74" i="4"/>
  <c r="BJ73" i="4"/>
  <c r="BJ72" i="4"/>
  <c r="BJ71" i="4"/>
  <c r="BJ70" i="4"/>
  <c r="BJ69" i="4"/>
  <c r="BJ68" i="4"/>
  <c r="BJ67" i="4"/>
  <c r="BJ66" i="4"/>
  <c r="BJ65" i="4"/>
  <c r="BJ64" i="4"/>
  <c r="BJ63" i="4"/>
  <c r="BJ62" i="4"/>
  <c r="BJ61" i="4"/>
  <c r="BJ60" i="4"/>
  <c r="BJ59" i="4"/>
  <c r="BJ58" i="4"/>
  <c r="BJ57" i="4"/>
  <c r="BJ56" i="4"/>
  <c r="BJ55" i="4"/>
  <c r="BJ54" i="4"/>
  <c r="BJ53" i="4"/>
  <c r="BJ52" i="4"/>
  <c r="BJ51" i="4"/>
  <c r="BJ50" i="4"/>
  <c r="BJ49" i="4"/>
  <c r="BJ48" i="4"/>
  <c r="BJ47" i="4"/>
  <c r="BJ46" i="4"/>
  <c r="BJ45" i="4"/>
  <c r="BJ44" i="4"/>
  <c r="BJ43" i="4"/>
  <c r="BJ42" i="4"/>
  <c r="BJ41" i="4"/>
  <c r="BJ40" i="4"/>
  <c r="BJ39" i="4"/>
  <c r="BJ38" i="4"/>
  <c r="BJ37" i="4"/>
  <c r="BJ36" i="4"/>
  <c r="BJ35" i="4"/>
  <c r="BJ34" i="4"/>
  <c r="BJ33" i="4"/>
  <c r="BJ32" i="4"/>
  <c r="BJ31" i="4"/>
  <c r="BJ30" i="4"/>
  <c r="BJ29" i="4"/>
  <c r="BJ28" i="4"/>
  <c r="BJ27" i="4"/>
  <c r="BJ26" i="4"/>
  <c r="BJ25" i="4"/>
  <c r="BJ24" i="4"/>
  <c r="BJ23" i="4"/>
  <c r="BJ22" i="4"/>
  <c r="BJ21" i="4"/>
  <c r="BJ20" i="4"/>
  <c r="BJ19" i="4"/>
  <c r="BJ18" i="4"/>
  <c r="BJ17" i="4"/>
  <c r="BJ16" i="4"/>
  <c r="BJ15" i="4"/>
  <c r="BJ14" i="4"/>
  <c r="BJ13" i="4"/>
  <c r="BJ12" i="4"/>
  <c r="BJ11" i="4"/>
  <c r="BJ10" i="4"/>
  <c r="BJ9" i="4"/>
  <c r="BJ8" i="4"/>
  <c r="BJ7" i="4"/>
  <c r="BJ6" i="4"/>
  <c r="BJ5" i="4"/>
  <c r="BJ4" i="4"/>
  <c r="BJ3" i="4"/>
  <c r="BJ2" i="4"/>
  <c r="BG1001" i="4"/>
  <c r="BG1000" i="4"/>
  <c r="BG999" i="4"/>
  <c r="BG998" i="4"/>
  <c r="BG997" i="4"/>
  <c r="BG996" i="4"/>
  <c r="BG995" i="4"/>
  <c r="BG994" i="4"/>
  <c r="BG993" i="4"/>
  <c r="BG992" i="4"/>
  <c r="BG991" i="4"/>
  <c r="BG990" i="4"/>
  <c r="BG989" i="4"/>
  <c r="BG988" i="4"/>
  <c r="BG987" i="4"/>
  <c r="BG986" i="4"/>
  <c r="BG985" i="4"/>
  <c r="BG984" i="4"/>
  <c r="BG983" i="4"/>
  <c r="BG982" i="4"/>
  <c r="BG981" i="4"/>
  <c r="BG980" i="4"/>
  <c r="BG979" i="4"/>
  <c r="BG978" i="4"/>
  <c r="BG977" i="4"/>
  <c r="BG976" i="4"/>
  <c r="BG975" i="4"/>
  <c r="BG974" i="4"/>
  <c r="BG973" i="4"/>
  <c r="BG972" i="4"/>
  <c r="BG971" i="4"/>
  <c r="BG970" i="4"/>
  <c r="BG969" i="4"/>
  <c r="BG968" i="4"/>
  <c r="BG967" i="4"/>
  <c r="BG966" i="4"/>
  <c r="BG965" i="4"/>
  <c r="BG964" i="4"/>
  <c r="BG963" i="4"/>
  <c r="BG962" i="4"/>
  <c r="BG961" i="4"/>
  <c r="BG960" i="4"/>
  <c r="BG959" i="4"/>
  <c r="BG958" i="4"/>
  <c r="BG957" i="4"/>
  <c r="BG956" i="4"/>
  <c r="BG955" i="4"/>
  <c r="BG954" i="4"/>
  <c r="BG953" i="4"/>
  <c r="BG952" i="4"/>
  <c r="BG951" i="4"/>
  <c r="BG950" i="4"/>
  <c r="BG949" i="4"/>
  <c r="BG948" i="4"/>
  <c r="BG947" i="4"/>
  <c r="BG946" i="4"/>
  <c r="BG945" i="4"/>
  <c r="BG944" i="4"/>
  <c r="BG943" i="4"/>
  <c r="BG942" i="4"/>
  <c r="BG941" i="4"/>
  <c r="BG940" i="4"/>
  <c r="BG939" i="4"/>
  <c r="BG938" i="4"/>
  <c r="BG937" i="4"/>
  <c r="BG936" i="4"/>
  <c r="BG935" i="4"/>
  <c r="BG934" i="4"/>
  <c r="BG933" i="4"/>
  <c r="BG932" i="4"/>
  <c r="BG931" i="4"/>
  <c r="BG930" i="4"/>
  <c r="BG929" i="4"/>
  <c r="BG928" i="4"/>
  <c r="BG927" i="4"/>
  <c r="BG926" i="4"/>
  <c r="BG925" i="4"/>
  <c r="BG924" i="4"/>
  <c r="BG923" i="4"/>
  <c r="BG922" i="4"/>
  <c r="BG921" i="4"/>
  <c r="BG920" i="4"/>
  <c r="BG919" i="4"/>
  <c r="BG918" i="4"/>
  <c r="BG917" i="4"/>
  <c r="BG916" i="4"/>
  <c r="BG915" i="4"/>
  <c r="BG914" i="4"/>
  <c r="BG913" i="4"/>
  <c r="BG912" i="4"/>
  <c r="BG911" i="4"/>
  <c r="BG910" i="4"/>
  <c r="BG909" i="4"/>
  <c r="BG908" i="4"/>
  <c r="BG907" i="4"/>
  <c r="BG906" i="4"/>
  <c r="BG905" i="4"/>
  <c r="BG904" i="4"/>
  <c r="BG903" i="4"/>
  <c r="BG902" i="4"/>
  <c r="BG901" i="4"/>
  <c r="BG900" i="4"/>
  <c r="BG899" i="4"/>
  <c r="BG898" i="4"/>
  <c r="BG897" i="4"/>
  <c r="BG896" i="4"/>
  <c r="BG895" i="4"/>
  <c r="BG894" i="4"/>
  <c r="BG893" i="4"/>
  <c r="BG892" i="4"/>
  <c r="BG891" i="4"/>
  <c r="BG890" i="4"/>
  <c r="BG889" i="4"/>
  <c r="BG888" i="4"/>
  <c r="BG887" i="4"/>
  <c r="BG886" i="4"/>
  <c r="BG885" i="4"/>
  <c r="BG884" i="4"/>
  <c r="BG883" i="4"/>
  <c r="BG882" i="4"/>
  <c r="BG881" i="4"/>
  <c r="BG880" i="4"/>
  <c r="BG879" i="4"/>
  <c r="BG878" i="4"/>
  <c r="BG877" i="4"/>
  <c r="BG876" i="4"/>
  <c r="BG875" i="4"/>
  <c r="BG874" i="4"/>
  <c r="BG873" i="4"/>
  <c r="BG872" i="4"/>
  <c r="BG871" i="4"/>
  <c r="BG870" i="4"/>
  <c r="BG869" i="4"/>
  <c r="BG868" i="4"/>
  <c r="BG867" i="4"/>
  <c r="BG866" i="4"/>
  <c r="BG865" i="4"/>
  <c r="BG864" i="4"/>
  <c r="BG863" i="4"/>
  <c r="BG862" i="4"/>
  <c r="BG861" i="4"/>
  <c r="BG860" i="4"/>
  <c r="BG859" i="4"/>
  <c r="BG858" i="4"/>
  <c r="BG857" i="4"/>
  <c r="BG856" i="4"/>
  <c r="BG855" i="4"/>
  <c r="BG854" i="4"/>
  <c r="BG853" i="4"/>
  <c r="BG852" i="4"/>
  <c r="BG851" i="4"/>
  <c r="BG850" i="4"/>
  <c r="BG849" i="4"/>
  <c r="BG848" i="4"/>
  <c r="BG847" i="4"/>
  <c r="BG846" i="4"/>
  <c r="BG845" i="4"/>
  <c r="BG844" i="4"/>
  <c r="BG843" i="4"/>
  <c r="BG842" i="4"/>
  <c r="BG841" i="4"/>
  <c r="BG840" i="4"/>
  <c r="BG839" i="4"/>
  <c r="BG838" i="4"/>
  <c r="BG837" i="4"/>
  <c r="BG836" i="4"/>
  <c r="BG835" i="4"/>
  <c r="BG834" i="4"/>
  <c r="BG833" i="4"/>
  <c r="BG832" i="4"/>
  <c r="BG831" i="4"/>
  <c r="BG830" i="4"/>
  <c r="BG829" i="4"/>
  <c r="BG828" i="4"/>
  <c r="BG827" i="4"/>
  <c r="BG826" i="4"/>
  <c r="BG825" i="4"/>
  <c r="BG824" i="4"/>
  <c r="BG823" i="4"/>
  <c r="BG822" i="4"/>
  <c r="BG821" i="4"/>
  <c r="BG820" i="4"/>
  <c r="BG819" i="4"/>
  <c r="BG818" i="4"/>
  <c r="BG817" i="4"/>
  <c r="BG816" i="4"/>
  <c r="BG815" i="4"/>
  <c r="BG814" i="4"/>
  <c r="BG813" i="4"/>
  <c r="BG812" i="4"/>
  <c r="BG811" i="4"/>
  <c r="BG810" i="4"/>
  <c r="BG809" i="4"/>
  <c r="BG808" i="4"/>
  <c r="BG807" i="4"/>
  <c r="BG806" i="4"/>
  <c r="BG805" i="4"/>
  <c r="BG804" i="4"/>
  <c r="BG803" i="4"/>
  <c r="BG802" i="4"/>
  <c r="BG801" i="4"/>
  <c r="BG800" i="4"/>
  <c r="BG799" i="4"/>
  <c r="BG798" i="4"/>
  <c r="BG797" i="4"/>
  <c r="BG796" i="4"/>
  <c r="BG795" i="4"/>
  <c r="BG794" i="4"/>
  <c r="BG793" i="4"/>
  <c r="BG792" i="4"/>
  <c r="BG791" i="4"/>
  <c r="BG790" i="4"/>
  <c r="BG789" i="4"/>
  <c r="BG788" i="4"/>
  <c r="BG787" i="4"/>
  <c r="BG786" i="4"/>
  <c r="BG785" i="4"/>
  <c r="BG784" i="4"/>
  <c r="BG783" i="4"/>
  <c r="BG782" i="4"/>
  <c r="BG781" i="4"/>
  <c r="BG780" i="4"/>
  <c r="BG779" i="4"/>
  <c r="BG778" i="4"/>
  <c r="BG777" i="4"/>
  <c r="BG776" i="4"/>
  <c r="BG775" i="4"/>
  <c r="BG774" i="4"/>
  <c r="BG773" i="4"/>
  <c r="BG772" i="4"/>
  <c r="BG771" i="4"/>
  <c r="BG770" i="4"/>
  <c r="BG769" i="4"/>
  <c r="BG768" i="4"/>
  <c r="BG767" i="4"/>
  <c r="BG766" i="4"/>
  <c r="BG765" i="4"/>
  <c r="BG764" i="4"/>
  <c r="BG763" i="4"/>
  <c r="BG762" i="4"/>
  <c r="BG761" i="4"/>
  <c r="BG760" i="4"/>
  <c r="BG759" i="4"/>
  <c r="BG758" i="4"/>
  <c r="BG757" i="4"/>
  <c r="BG756" i="4"/>
  <c r="BG755" i="4"/>
  <c r="BG754" i="4"/>
  <c r="BG753" i="4"/>
  <c r="BG752" i="4"/>
  <c r="BG751" i="4"/>
  <c r="BG750" i="4"/>
  <c r="BG749" i="4"/>
  <c r="BG748" i="4"/>
  <c r="BG747" i="4"/>
  <c r="BG746" i="4"/>
  <c r="BG745" i="4"/>
  <c r="BG744" i="4"/>
  <c r="BG743" i="4"/>
  <c r="BG742" i="4"/>
  <c r="BG741" i="4"/>
  <c r="BG740" i="4"/>
  <c r="BG739" i="4"/>
  <c r="BG738" i="4"/>
  <c r="BG737" i="4"/>
  <c r="BG736" i="4"/>
  <c r="BG735" i="4"/>
  <c r="BG734" i="4"/>
  <c r="BG733" i="4"/>
  <c r="BG732" i="4"/>
  <c r="BG731" i="4"/>
  <c r="BG730" i="4"/>
  <c r="BG729" i="4"/>
  <c r="BG728" i="4"/>
  <c r="BG727" i="4"/>
  <c r="BG726" i="4"/>
  <c r="BG725" i="4"/>
  <c r="BG724" i="4"/>
  <c r="BG723" i="4"/>
  <c r="BG722" i="4"/>
  <c r="BG721" i="4"/>
  <c r="BG720" i="4"/>
  <c r="BG719" i="4"/>
  <c r="BG718" i="4"/>
  <c r="BG717" i="4"/>
  <c r="BG716" i="4"/>
  <c r="BG715" i="4"/>
  <c r="BG714" i="4"/>
  <c r="BG713" i="4"/>
  <c r="BG712" i="4"/>
  <c r="BG711" i="4"/>
  <c r="BG710" i="4"/>
  <c r="BG709" i="4"/>
  <c r="BG708" i="4"/>
  <c r="BG707" i="4"/>
  <c r="BG706" i="4"/>
  <c r="BG705" i="4"/>
  <c r="BG704" i="4"/>
  <c r="BG703" i="4"/>
  <c r="BG702" i="4"/>
  <c r="BG701" i="4"/>
  <c r="BG700" i="4"/>
  <c r="BG699" i="4"/>
  <c r="BG698" i="4"/>
  <c r="BG697" i="4"/>
  <c r="BG696" i="4"/>
  <c r="BG695" i="4"/>
  <c r="BG694" i="4"/>
  <c r="BG693" i="4"/>
  <c r="BG692" i="4"/>
  <c r="BG691" i="4"/>
  <c r="BG690" i="4"/>
  <c r="BG689" i="4"/>
  <c r="BG688" i="4"/>
  <c r="BG687" i="4"/>
  <c r="BG686" i="4"/>
  <c r="BG685" i="4"/>
  <c r="BG684" i="4"/>
  <c r="BG683" i="4"/>
  <c r="BG682" i="4"/>
  <c r="BG681" i="4"/>
  <c r="BG680" i="4"/>
  <c r="BG679" i="4"/>
  <c r="BG678" i="4"/>
  <c r="BG677" i="4"/>
  <c r="BG676" i="4"/>
  <c r="BG675" i="4"/>
  <c r="BG674" i="4"/>
  <c r="BG673" i="4"/>
  <c r="BG672" i="4"/>
  <c r="BG671" i="4"/>
  <c r="BG670" i="4"/>
  <c r="BG669" i="4"/>
  <c r="BG668" i="4"/>
  <c r="BG667" i="4"/>
  <c r="BG666" i="4"/>
  <c r="BG665" i="4"/>
  <c r="BG664" i="4"/>
  <c r="BG663" i="4"/>
  <c r="BG662" i="4"/>
  <c r="BG661" i="4"/>
  <c r="BG660" i="4"/>
  <c r="BG659" i="4"/>
  <c r="BG658" i="4"/>
  <c r="BG657" i="4"/>
  <c r="BG656" i="4"/>
  <c r="BG655" i="4"/>
  <c r="BG654" i="4"/>
  <c r="BG653" i="4"/>
  <c r="BG652" i="4"/>
  <c r="BG651" i="4"/>
  <c r="BG650" i="4"/>
  <c r="BG649" i="4"/>
  <c r="BG648" i="4"/>
  <c r="BG647" i="4"/>
  <c r="BG646" i="4"/>
  <c r="BG645" i="4"/>
  <c r="BG644" i="4"/>
  <c r="BG643" i="4"/>
  <c r="BG642" i="4"/>
  <c r="BG641" i="4"/>
  <c r="BG640" i="4"/>
  <c r="BG639" i="4"/>
  <c r="BG638" i="4"/>
  <c r="BG637" i="4"/>
  <c r="BG636" i="4"/>
  <c r="BG635" i="4"/>
  <c r="BG634" i="4"/>
  <c r="BG633" i="4"/>
  <c r="BG632" i="4"/>
  <c r="BG631" i="4"/>
  <c r="BG630" i="4"/>
  <c r="BG629" i="4"/>
  <c r="BG628" i="4"/>
  <c r="BG627" i="4"/>
  <c r="BG626" i="4"/>
  <c r="BG625" i="4"/>
  <c r="BG624" i="4"/>
  <c r="BG623" i="4"/>
  <c r="BG622" i="4"/>
  <c r="BG621" i="4"/>
  <c r="BG620" i="4"/>
  <c r="BG619" i="4"/>
  <c r="BG618" i="4"/>
  <c r="BG617" i="4"/>
  <c r="BG616" i="4"/>
  <c r="BG615" i="4"/>
  <c r="BG614" i="4"/>
  <c r="BG613" i="4"/>
  <c r="BG612" i="4"/>
  <c r="BG611" i="4"/>
  <c r="BG610" i="4"/>
  <c r="BG609" i="4"/>
  <c r="BG608" i="4"/>
  <c r="BG607" i="4"/>
  <c r="BG606" i="4"/>
  <c r="BG605" i="4"/>
  <c r="BG604" i="4"/>
  <c r="BG603" i="4"/>
  <c r="BG602" i="4"/>
  <c r="BG601" i="4"/>
  <c r="BG600" i="4"/>
  <c r="BG599" i="4"/>
  <c r="BG598" i="4"/>
  <c r="BG597" i="4"/>
  <c r="BG596" i="4"/>
  <c r="BG595" i="4"/>
  <c r="BG594" i="4"/>
  <c r="BG593" i="4"/>
  <c r="BG592" i="4"/>
  <c r="BG591" i="4"/>
  <c r="BG590" i="4"/>
  <c r="BG589" i="4"/>
  <c r="BG588" i="4"/>
  <c r="BG587" i="4"/>
  <c r="BG586" i="4"/>
  <c r="BG585" i="4"/>
  <c r="BG584" i="4"/>
  <c r="BG583" i="4"/>
  <c r="BG582" i="4"/>
  <c r="BG581" i="4"/>
  <c r="BG580" i="4"/>
  <c r="BG579" i="4"/>
  <c r="BG578" i="4"/>
  <c r="BG577" i="4"/>
  <c r="BG576" i="4"/>
  <c r="BG575" i="4"/>
  <c r="BG574" i="4"/>
  <c r="BG573" i="4"/>
  <c r="BG572" i="4"/>
  <c r="BG571" i="4"/>
  <c r="BG570" i="4"/>
  <c r="BG569" i="4"/>
  <c r="BG568" i="4"/>
  <c r="BG567" i="4"/>
  <c r="BG566" i="4"/>
  <c r="BG565" i="4"/>
  <c r="BG564" i="4"/>
  <c r="BG563" i="4"/>
  <c r="BG562" i="4"/>
  <c r="BG561" i="4"/>
  <c r="BG560" i="4"/>
  <c r="BG559" i="4"/>
  <c r="BG558" i="4"/>
  <c r="BG557" i="4"/>
  <c r="BG556" i="4"/>
  <c r="BG555" i="4"/>
  <c r="BG554" i="4"/>
  <c r="BG553" i="4"/>
  <c r="BG552" i="4"/>
  <c r="BG551" i="4"/>
  <c r="BG550" i="4"/>
  <c r="BG549" i="4"/>
  <c r="BG548" i="4"/>
  <c r="BG547" i="4"/>
  <c r="BG546" i="4"/>
  <c r="BG545" i="4"/>
  <c r="BG544" i="4"/>
  <c r="BG543" i="4"/>
  <c r="BG542" i="4"/>
  <c r="BG541" i="4"/>
  <c r="BG540" i="4"/>
  <c r="BG539" i="4"/>
  <c r="BG538" i="4"/>
  <c r="BG537" i="4"/>
  <c r="BG536" i="4"/>
  <c r="BG535" i="4"/>
  <c r="BG534" i="4"/>
  <c r="BG533" i="4"/>
  <c r="BG532" i="4"/>
  <c r="BG531" i="4"/>
  <c r="BG530" i="4"/>
  <c r="BG529" i="4"/>
  <c r="BG528" i="4"/>
  <c r="BG527" i="4"/>
  <c r="BG526" i="4"/>
  <c r="BG525" i="4"/>
  <c r="BG524" i="4"/>
  <c r="BG523" i="4"/>
  <c r="BG522" i="4"/>
  <c r="BG521" i="4"/>
  <c r="BG520" i="4"/>
  <c r="BG519" i="4"/>
  <c r="BG518" i="4"/>
  <c r="BG517" i="4"/>
  <c r="BG516" i="4"/>
  <c r="BG515" i="4"/>
  <c r="BG514" i="4"/>
  <c r="BG513" i="4"/>
  <c r="BG512" i="4"/>
  <c r="BG511" i="4"/>
  <c r="BG510" i="4"/>
  <c r="BG509" i="4"/>
  <c r="BG508" i="4"/>
  <c r="BG507" i="4"/>
  <c r="BG506" i="4"/>
  <c r="BG505" i="4"/>
  <c r="BG504" i="4"/>
  <c r="BG503" i="4"/>
  <c r="BG502" i="4"/>
  <c r="BG501" i="4"/>
  <c r="BG500" i="4"/>
  <c r="BG499" i="4"/>
  <c r="BG498" i="4"/>
  <c r="BG497" i="4"/>
  <c r="BG496" i="4"/>
  <c r="BG495" i="4"/>
  <c r="BG494" i="4"/>
  <c r="BG493" i="4"/>
  <c r="BG492" i="4"/>
  <c r="BG491" i="4"/>
  <c r="BG490" i="4"/>
  <c r="BG489" i="4"/>
  <c r="BG488" i="4"/>
  <c r="BG487" i="4"/>
  <c r="BG486" i="4"/>
  <c r="BG485" i="4"/>
  <c r="BG484" i="4"/>
  <c r="BG483" i="4"/>
  <c r="BG482" i="4"/>
  <c r="BG481" i="4"/>
  <c r="BG480" i="4"/>
  <c r="BG479" i="4"/>
  <c r="BG478" i="4"/>
  <c r="BG477" i="4"/>
  <c r="BG476" i="4"/>
  <c r="BG475" i="4"/>
  <c r="BG474" i="4"/>
  <c r="BG473" i="4"/>
  <c r="BG472" i="4"/>
  <c r="BG471" i="4"/>
  <c r="BG470" i="4"/>
  <c r="BG469" i="4"/>
  <c r="BG468" i="4"/>
  <c r="BG467" i="4"/>
  <c r="BG466" i="4"/>
  <c r="BG465" i="4"/>
  <c r="BG464" i="4"/>
  <c r="BG463" i="4"/>
  <c r="BG462" i="4"/>
  <c r="BG461" i="4"/>
  <c r="BG460" i="4"/>
  <c r="BG459" i="4"/>
  <c r="BG458" i="4"/>
  <c r="BG457" i="4"/>
  <c r="BG456" i="4"/>
  <c r="BG455" i="4"/>
  <c r="BG454" i="4"/>
  <c r="BG453" i="4"/>
  <c r="BG452" i="4"/>
  <c r="BG451" i="4"/>
  <c r="BG450" i="4"/>
  <c r="BG449" i="4"/>
  <c r="BG448" i="4"/>
  <c r="BG447" i="4"/>
  <c r="BG446" i="4"/>
  <c r="BG445" i="4"/>
  <c r="BG444" i="4"/>
  <c r="BG443" i="4"/>
  <c r="BG442" i="4"/>
  <c r="BG441" i="4"/>
  <c r="BG440" i="4"/>
  <c r="BG439" i="4"/>
  <c r="BG438" i="4"/>
  <c r="BG437" i="4"/>
  <c r="BG436" i="4"/>
  <c r="BG435" i="4"/>
  <c r="BG434" i="4"/>
  <c r="BG433" i="4"/>
  <c r="BG432" i="4"/>
  <c r="BG431" i="4"/>
  <c r="BG430" i="4"/>
  <c r="BG429" i="4"/>
  <c r="BG428" i="4"/>
  <c r="BG427" i="4"/>
  <c r="BG426" i="4"/>
  <c r="BG425" i="4"/>
  <c r="BG424" i="4"/>
  <c r="BG423" i="4"/>
  <c r="BG422" i="4"/>
  <c r="BG421" i="4"/>
  <c r="BG420" i="4"/>
  <c r="BG419" i="4"/>
  <c r="BG418" i="4"/>
  <c r="BG417" i="4"/>
  <c r="BG416" i="4"/>
  <c r="BG415" i="4"/>
  <c r="BG414" i="4"/>
  <c r="BG413" i="4"/>
  <c r="BG412" i="4"/>
  <c r="BG411" i="4"/>
  <c r="BG410" i="4"/>
  <c r="BG409" i="4"/>
  <c r="BG408" i="4"/>
  <c r="BG407" i="4"/>
  <c r="BG406" i="4"/>
  <c r="BG405" i="4"/>
  <c r="BG404" i="4"/>
  <c r="BG403" i="4"/>
  <c r="BG402" i="4"/>
  <c r="BG401" i="4"/>
  <c r="BG400" i="4"/>
  <c r="BG399" i="4"/>
  <c r="BG398" i="4"/>
  <c r="BG397" i="4"/>
  <c r="BG396" i="4"/>
  <c r="BG395" i="4"/>
  <c r="BG394" i="4"/>
  <c r="BG393" i="4"/>
  <c r="BG392" i="4"/>
  <c r="BG391" i="4"/>
  <c r="BG390" i="4"/>
  <c r="BG389" i="4"/>
  <c r="BG388" i="4"/>
  <c r="BG387" i="4"/>
  <c r="BG386" i="4"/>
  <c r="BG385" i="4"/>
  <c r="BG384" i="4"/>
  <c r="BG383" i="4"/>
  <c r="BG382" i="4"/>
  <c r="BG381" i="4"/>
  <c r="BG380" i="4"/>
  <c r="BG379" i="4"/>
  <c r="BG378" i="4"/>
  <c r="BG377" i="4"/>
  <c r="BG376" i="4"/>
  <c r="BG375" i="4"/>
  <c r="BG374" i="4"/>
  <c r="BG373" i="4"/>
  <c r="BG372" i="4"/>
  <c r="BG371" i="4"/>
  <c r="BG370" i="4"/>
  <c r="BG369" i="4"/>
  <c r="BG368" i="4"/>
  <c r="BG367" i="4"/>
  <c r="BG366" i="4"/>
  <c r="BG365" i="4"/>
  <c r="BG364" i="4"/>
  <c r="BG363" i="4"/>
  <c r="BG362" i="4"/>
  <c r="BG361" i="4"/>
  <c r="BG360" i="4"/>
  <c r="BG359" i="4"/>
  <c r="BG358" i="4"/>
  <c r="BG357" i="4"/>
  <c r="BG356" i="4"/>
  <c r="BG355" i="4"/>
  <c r="BG354" i="4"/>
  <c r="BG353" i="4"/>
  <c r="BG352" i="4"/>
  <c r="BG351" i="4"/>
  <c r="BG350" i="4"/>
  <c r="BG349" i="4"/>
  <c r="BG348" i="4"/>
  <c r="BG347" i="4"/>
  <c r="BG346" i="4"/>
  <c r="BG345" i="4"/>
  <c r="BG344" i="4"/>
  <c r="BG343" i="4"/>
  <c r="BG342" i="4"/>
  <c r="BG341" i="4"/>
  <c r="BG340" i="4"/>
  <c r="BG339" i="4"/>
  <c r="BG338" i="4"/>
  <c r="BG337" i="4"/>
  <c r="BG336" i="4"/>
  <c r="BG335" i="4"/>
  <c r="BG334" i="4"/>
  <c r="BG333" i="4"/>
  <c r="BG332" i="4"/>
  <c r="BG331" i="4"/>
  <c r="BG330" i="4"/>
  <c r="BG329" i="4"/>
  <c r="BG328" i="4"/>
  <c r="BG327" i="4"/>
  <c r="BG326" i="4"/>
  <c r="BG325" i="4"/>
  <c r="BG324" i="4"/>
  <c r="BG323" i="4"/>
  <c r="BG322" i="4"/>
  <c r="BG321" i="4"/>
  <c r="BG320" i="4"/>
  <c r="BG319" i="4"/>
  <c r="BG318" i="4"/>
  <c r="BG317" i="4"/>
  <c r="BG316" i="4"/>
  <c r="BG315" i="4"/>
  <c r="BG314" i="4"/>
  <c r="BG313" i="4"/>
  <c r="BG312" i="4"/>
  <c r="BG311" i="4"/>
  <c r="BG310" i="4"/>
  <c r="BG309" i="4"/>
  <c r="BG308" i="4"/>
  <c r="BG307" i="4"/>
  <c r="BG306" i="4"/>
  <c r="BG305" i="4"/>
  <c r="BG304" i="4"/>
  <c r="BG303" i="4"/>
  <c r="BG302" i="4"/>
  <c r="BG301" i="4"/>
  <c r="BG300" i="4"/>
  <c r="BG299" i="4"/>
  <c r="BG298" i="4"/>
  <c r="BG297" i="4"/>
  <c r="BG296" i="4"/>
  <c r="BG295" i="4"/>
  <c r="BG294" i="4"/>
  <c r="BG293" i="4"/>
  <c r="BG292" i="4"/>
  <c r="BG291" i="4"/>
  <c r="BG290" i="4"/>
  <c r="BG289" i="4"/>
  <c r="BG288" i="4"/>
  <c r="BG287" i="4"/>
  <c r="BG286" i="4"/>
  <c r="BG285" i="4"/>
  <c r="BG284" i="4"/>
  <c r="BG283" i="4"/>
  <c r="BG282" i="4"/>
  <c r="BG281" i="4"/>
  <c r="BG280" i="4"/>
  <c r="BG279" i="4"/>
  <c r="BG278" i="4"/>
  <c r="BG277" i="4"/>
  <c r="BG276" i="4"/>
  <c r="BG275" i="4"/>
  <c r="BG274" i="4"/>
  <c r="BG273" i="4"/>
  <c r="BG272" i="4"/>
  <c r="BG271" i="4"/>
  <c r="BG270" i="4"/>
  <c r="BG269" i="4"/>
  <c r="BG268" i="4"/>
  <c r="BG267" i="4"/>
  <c r="BG266" i="4"/>
  <c r="BG265" i="4"/>
  <c r="BG264" i="4"/>
  <c r="BG263" i="4"/>
  <c r="BG262" i="4"/>
  <c r="BG261" i="4"/>
  <c r="BG260" i="4"/>
  <c r="BG259" i="4"/>
  <c r="BG258" i="4"/>
  <c r="BG257" i="4"/>
  <c r="BG256" i="4"/>
  <c r="BG255" i="4"/>
  <c r="BG254" i="4"/>
  <c r="BG253" i="4"/>
  <c r="BG252" i="4"/>
  <c r="BG251" i="4"/>
  <c r="BG250" i="4"/>
  <c r="BG249" i="4"/>
  <c r="BG248" i="4"/>
  <c r="BG247" i="4"/>
  <c r="BG246" i="4"/>
  <c r="BG245" i="4"/>
  <c r="BG244" i="4"/>
  <c r="BG243" i="4"/>
  <c r="BG242" i="4"/>
  <c r="BG241" i="4"/>
  <c r="BG240" i="4"/>
  <c r="BG239" i="4"/>
  <c r="BG238" i="4"/>
  <c r="BG237" i="4"/>
  <c r="BG236" i="4"/>
  <c r="BG235" i="4"/>
  <c r="BG234" i="4"/>
  <c r="BG233" i="4"/>
  <c r="BG232" i="4"/>
  <c r="BG231" i="4"/>
  <c r="BG230" i="4"/>
  <c r="BG229" i="4"/>
  <c r="BG228" i="4"/>
  <c r="BG227" i="4"/>
  <c r="BG226" i="4"/>
  <c r="BG225" i="4"/>
  <c r="BG224" i="4"/>
  <c r="BG223" i="4"/>
  <c r="BG222" i="4"/>
  <c r="BG221" i="4"/>
  <c r="BG220" i="4"/>
  <c r="BG219" i="4"/>
  <c r="BG218" i="4"/>
  <c r="BG217" i="4"/>
  <c r="BG216" i="4"/>
  <c r="BG215" i="4"/>
  <c r="BG214" i="4"/>
  <c r="BG213" i="4"/>
  <c r="BG212" i="4"/>
  <c r="BG211" i="4"/>
  <c r="BG210" i="4"/>
  <c r="BG209" i="4"/>
  <c r="BG208" i="4"/>
  <c r="BG207" i="4"/>
  <c r="BG206" i="4"/>
  <c r="BG205" i="4"/>
  <c r="BG204" i="4"/>
  <c r="BG203" i="4"/>
  <c r="BG202" i="4"/>
  <c r="BG201" i="4"/>
  <c r="BG200" i="4"/>
  <c r="BG199" i="4"/>
  <c r="BG198" i="4"/>
  <c r="BG197" i="4"/>
  <c r="BG196" i="4"/>
  <c r="BG195" i="4"/>
  <c r="BG194" i="4"/>
  <c r="BG193" i="4"/>
  <c r="BG192" i="4"/>
  <c r="BG191" i="4"/>
  <c r="BG190" i="4"/>
  <c r="BG189" i="4"/>
  <c r="BG188" i="4"/>
  <c r="BG187" i="4"/>
  <c r="BG186" i="4"/>
  <c r="BG185" i="4"/>
  <c r="BG184" i="4"/>
  <c r="BG183" i="4"/>
  <c r="BG182" i="4"/>
  <c r="BG181" i="4"/>
  <c r="BG180" i="4"/>
  <c r="BG179" i="4"/>
  <c r="BG178" i="4"/>
  <c r="BG177" i="4"/>
  <c r="BG176" i="4"/>
  <c r="BG175" i="4"/>
  <c r="BG174" i="4"/>
  <c r="BG173" i="4"/>
  <c r="BG172" i="4"/>
  <c r="BG171" i="4"/>
  <c r="BG170" i="4"/>
  <c r="BG169" i="4"/>
  <c r="BG168" i="4"/>
  <c r="BG167" i="4"/>
  <c r="BG166" i="4"/>
  <c r="BG165" i="4"/>
  <c r="BG164" i="4"/>
  <c r="BG163" i="4"/>
  <c r="BG162" i="4"/>
  <c r="BG161" i="4"/>
  <c r="BG160" i="4"/>
  <c r="BG159" i="4"/>
  <c r="BG158" i="4"/>
  <c r="BG157" i="4"/>
  <c r="BG156" i="4"/>
  <c r="BG155" i="4"/>
  <c r="BG154" i="4"/>
  <c r="BG153" i="4"/>
  <c r="BG152" i="4"/>
  <c r="BG151" i="4"/>
  <c r="BG150" i="4"/>
  <c r="BG149" i="4"/>
  <c r="BG148" i="4"/>
  <c r="BG147" i="4"/>
  <c r="BG146" i="4"/>
  <c r="BG145" i="4"/>
  <c r="BG144" i="4"/>
  <c r="BG143" i="4"/>
  <c r="BG142" i="4"/>
  <c r="BG141" i="4"/>
  <c r="BG140" i="4"/>
  <c r="BG139" i="4"/>
  <c r="BG138" i="4"/>
  <c r="BG137" i="4"/>
  <c r="BG136" i="4"/>
  <c r="BG135" i="4"/>
  <c r="BG134" i="4"/>
  <c r="BG133" i="4"/>
  <c r="BG132" i="4"/>
  <c r="BG131" i="4"/>
  <c r="BG130" i="4"/>
  <c r="BG129" i="4"/>
  <c r="BG128" i="4"/>
  <c r="BG127" i="4"/>
  <c r="BG126" i="4"/>
  <c r="BG125" i="4"/>
  <c r="BG124" i="4"/>
  <c r="BG123" i="4"/>
  <c r="BG122" i="4"/>
  <c r="BG121" i="4"/>
  <c r="BG120" i="4"/>
  <c r="BG119" i="4"/>
  <c r="BG118" i="4"/>
  <c r="BG117" i="4"/>
  <c r="BG116" i="4"/>
  <c r="BG115" i="4"/>
  <c r="BG114" i="4"/>
  <c r="BG113" i="4"/>
  <c r="BG112" i="4"/>
  <c r="BG111" i="4"/>
  <c r="BG110" i="4"/>
  <c r="BG109" i="4"/>
  <c r="BG108" i="4"/>
  <c r="BG107" i="4"/>
  <c r="BG106" i="4"/>
  <c r="BG105" i="4"/>
  <c r="BG104" i="4"/>
  <c r="BG103" i="4"/>
  <c r="BG102" i="4"/>
  <c r="BG101" i="4"/>
  <c r="BG100" i="4"/>
  <c r="BG99" i="4"/>
  <c r="BG98" i="4"/>
  <c r="BG97" i="4"/>
  <c r="BG96" i="4"/>
  <c r="BG95" i="4"/>
  <c r="BG94" i="4"/>
  <c r="BG93" i="4"/>
  <c r="BG92" i="4"/>
  <c r="BG91" i="4"/>
  <c r="BG90" i="4"/>
  <c r="BG89" i="4"/>
  <c r="BG88" i="4"/>
  <c r="BG87" i="4"/>
  <c r="BG86" i="4"/>
  <c r="BG85" i="4"/>
  <c r="BG84" i="4"/>
  <c r="BG83" i="4"/>
  <c r="BG82" i="4"/>
  <c r="BG81" i="4"/>
  <c r="BG80" i="4"/>
  <c r="BG79" i="4"/>
  <c r="BG78" i="4"/>
  <c r="BG77" i="4"/>
  <c r="BG76" i="4"/>
  <c r="BG75" i="4"/>
  <c r="BG74" i="4"/>
  <c r="BG73" i="4"/>
  <c r="BG72" i="4"/>
  <c r="BG71" i="4"/>
  <c r="BG70" i="4"/>
  <c r="BG69" i="4"/>
  <c r="BG68" i="4"/>
  <c r="BG67" i="4"/>
  <c r="BG66" i="4"/>
  <c r="BG65" i="4"/>
  <c r="BG64" i="4"/>
  <c r="BG63" i="4"/>
  <c r="BG62" i="4"/>
  <c r="BG61" i="4"/>
  <c r="BG60" i="4"/>
  <c r="BG59" i="4"/>
  <c r="BG58" i="4"/>
  <c r="BG57" i="4"/>
  <c r="BG56" i="4"/>
  <c r="BG55" i="4"/>
  <c r="BG54" i="4"/>
  <c r="BG53" i="4"/>
  <c r="BG52" i="4"/>
  <c r="BG51" i="4"/>
  <c r="BG50" i="4"/>
  <c r="BG49" i="4"/>
  <c r="BG48" i="4"/>
  <c r="BG47" i="4"/>
  <c r="BG46" i="4"/>
  <c r="BG45" i="4"/>
  <c r="BG44" i="4"/>
  <c r="BG43" i="4"/>
  <c r="BG42" i="4"/>
  <c r="BG41" i="4"/>
  <c r="BG40" i="4"/>
  <c r="BG39" i="4"/>
  <c r="BG38" i="4"/>
  <c r="BG37" i="4"/>
  <c r="BG36" i="4"/>
  <c r="BG35" i="4"/>
  <c r="BG34" i="4"/>
  <c r="BG33" i="4"/>
  <c r="BG32" i="4"/>
  <c r="BG31" i="4"/>
  <c r="BG30" i="4"/>
  <c r="BG29" i="4"/>
  <c r="BG28" i="4"/>
  <c r="BG27" i="4"/>
  <c r="BG26" i="4"/>
  <c r="BG25" i="4"/>
  <c r="BG24" i="4"/>
  <c r="BG23" i="4"/>
  <c r="BG22" i="4"/>
  <c r="BG21" i="4"/>
  <c r="BG20" i="4"/>
  <c r="BG19" i="4"/>
  <c r="BG18" i="4"/>
  <c r="BG17" i="4"/>
  <c r="BG16" i="4"/>
  <c r="BG15" i="4"/>
  <c r="BG14" i="4"/>
  <c r="BG13" i="4"/>
  <c r="BG12" i="4"/>
  <c r="BG11" i="4"/>
  <c r="BG10" i="4"/>
  <c r="BG9" i="4"/>
  <c r="BG8" i="4"/>
  <c r="BG7" i="4"/>
  <c r="BG6" i="4"/>
  <c r="BG5" i="4"/>
  <c r="BG4" i="4"/>
  <c r="BG3" i="4"/>
  <c r="BG2" i="4"/>
  <c r="BD1001" i="4"/>
  <c r="BD1000" i="4"/>
  <c r="BD999" i="4"/>
  <c r="BD998" i="4"/>
  <c r="BD997" i="4"/>
  <c r="BD996" i="4"/>
  <c r="BD995" i="4"/>
  <c r="BD994" i="4"/>
  <c r="BD993" i="4"/>
  <c r="BD992" i="4"/>
  <c r="BD991" i="4"/>
  <c r="BD990" i="4"/>
  <c r="BD989" i="4"/>
  <c r="BD988" i="4"/>
  <c r="BD987" i="4"/>
  <c r="BD986" i="4"/>
  <c r="BD985" i="4"/>
  <c r="BD984" i="4"/>
  <c r="BD983" i="4"/>
  <c r="BD982" i="4"/>
  <c r="BD981" i="4"/>
  <c r="BD980" i="4"/>
  <c r="BD979" i="4"/>
  <c r="BD978" i="4"/>
  <c r="BD977" i="4"/>
  <c r="BD976" i="4"/>
  <c r="BD975" i="4"/>
  <c r="BD974" i="4"/>
  <c r="BD973" i="4"/>
  <c r="BD972" i="4"/>
  <c r="BD971" i="4"/>
  <c r="BD970" i="4"/>
  <c r="BD969" i="4"/>
  <c r="BD968" i="4"/>
  <c r="BD967" i="4"/>
  <c r="BD966" i="4"/>
  <c r="BD965" i="4"/>
  <c r="BD964" i="4"/>
  <c r="BD963" i="4"/>
  <c r="BD962" i="4"/>
  <c r="BD961" i="4"/>
  <c r="BD960" i="4"/>
  <c r="BD959" i="4"/>
  <c r="BD958" i="4"/>
  <c r="BD957" i="4"/>
  <c r="BD956" i="4"/>
  <c r="BD955" i="4"/>
  <c r="BD954" i="4"/>
  <c r="BD953" i="4"/>
  <c r="BD952" i="4"/>
  <c r="BD951" i="4"/>
  <c r="BD950" i="4"/>
  <c r="BD949" i="4"/>
  <c r="BD948" i="4"/>
  <c r="BD947" i="4"/>
  <c r="BD946" i="4"/>
  <c r="BD945" i="4"/>
  <c r="BD944" i="4"/>
  <c r="BD943" i="4"/>
  <c r="BD942" i="4"/>
  <c r="BD941" i="4"/>
  <c r="BD940" i="4"/>
  <c r="BD939" i="4"/>
  <c r="BD938" i="4"/>
  <c r="BD937" i="4"/>
  <c r="BD936" i="4"/>
  <c r="BD935" i="4"/>
  <c r="BD934" i="4"/>
  <c r="BD933" i="4"/>
  <c r="BD932" i="4"/>
  <c r="BD931" i="4"/>
  <c r="BD930" i="4"/>
  <c r="BD929" i="4"/>
  <c r="BD928" i="4"/>
  <c r="BD927" i="4"/>
  <c r="BD926" i="4"/>
  <c r="BD925" i="4"/>
  <c r="BD924" i="4"/>
  <c r="BD923" i="4"/>
  <c r="BD922" i="4"/>
  <c r="BD921" i="4"/>
  <c r="BD920" i="4"/>
  <c r="BD919" i="4"/>
  <c r="BD918" i="4"/>
  <c r="BD917" i="4"/>
  <c r="BD916" i="4"/>
  <c r="BD915" i="4"/>
  <c r="BD914" i="4"/>
  <c r="BD913" i="4"/>
  <c r="BD912" i="4"/>
  <c r="BD911" i="4"/>
  <c r="BD910" i="4"/>
  <c r="BD909" i="4"/>
  <c r="BD908" i="4"/>
  <c r="BD907" i="4"/>
  <c r="BD906" i="4"/>
  <c r="BD905" i="4"/>
  <c r="BD904" i="4"/>
  <c r="BD903" i="4"/>
  <c r="BD902" i="4"/>
  <c r="BD901" i="4"/>
  <c r="BD900" i="4"/>
  <c r="BD899" i="4"/>
  <c r="BD898" i="4"/>
  <c r="BD897" i="4"/>
  <c r="BD896" i="4"/>
  <c r="BD895" i="4"/>
  <c r="BD894" i="4"/>
  <c r="BD893" i="4"/>
  <c r="BD892" i="4"/>
  <c r="BD891" i="4"/>
  <c r="BD890" i="4"/>
  <c r="BD889" i="4"/>
  <c r="BD888" i="4"/>
  <c r="BD887" i="4"/>
  <c r="BD886" i="4"/>
  <c r="BD885" i="4"/>
  <c r="BD884" i="4"/>
  <c r="BD883" i="4"/>
  <c r="BD882" i="4"/>
  <c r="BD881" i="4"/>
  <c r="BD880" i="4"/>
  <c r="BD879" i="4"/>
  <c r="BD878" i="4"/>
  <c r="BD877" i="4"/>
  <c r="BD876" i="4"/>
  <c r="BD875" i="4"/>
  <c r="BD874" i="4"/>
  <c r="BD873" i="4"/>
  <c r="BD872" i="4"/>
  <c r="BD871" i="4"/>
  <c r="BD870" i="4"/>
  <c r="BD869" i="4"/>
  <c r="BD868" i="4"/>
  <c r="BD867" i="4"/>
  <c r="BD866" i="4"/>
  <c r="BD865" i="4"/>
  <c r="BD864" i="4"/>
  <c r="BD863" i="4"/>
  <c r="BD862" i="4"/>
  <c r="BD861" i="4"/>
  <c r="BD860" i="4"/>
  <c r="BD859" i="4"/>
  <c r="BD858" i="4"/>
  <c r="BD857" i="4"/>
  <c r="BD856" i="4"/>
  <c r="BD855" i="4"/>
  <c r="BD854" i="4"/>
  <c r="BD853" i="4"/>
  <c r="BD852" i="4"/>
  <c r="BD851" i="4"/>
  <c r="BD850" i="4"/>
  <c r="BD849" i="4"/>
  <c r="BD848" i="4"/>
  <c r="BD847" i="4"/>
  <c r="BD846" i="4"/>
  <c r="BD845" i="4"/>
  <c r="BD844" i="4"/>
  <c r="BD843" i="4"/>
  <c r="BD842" i="4"/>
  <c r="BD841" i="4"/>
  <c r="BD840" i="4"/>
  <c r="BD839" i="4"/>
  <c r="BD838" i="4"/>
  <c r="BD837" i="4"/>
  <c r="BD836" i="4"/>
  <c r="BD835" i="4"/>
  <c r="BD834" i="4"/>
  <c r="BD833" i="4"/>
  <c r="BD832" i="4"/>
  <c r="BD831" i="4"/>
  <c r="BD830" i="4"/>
  <c r="BD829" i="4"/>
  <c r="BD828" i="4"/>
  <c r="BD827" i="4"/>
  <c r="BD826" i="4"/>
  <c r="BD825" i="4"/>
  <c r="BD824" i="4"/>
  <c r="BD823" i="4"/>
  <c r="BD822" i="4"/>
  <c r="BD821" i="4"/>
  <c r="BD820" i="4"/>
  <c r="BD819" i="4"/>
  <c r="BD818" i="4"/>
  <c r="BD817" i="4"/>
  <c r="BD816" i="4"/>
  <c r="BD815" i="4"/>
  <c r="BD814" i="4"/>
  <c r="BD813" i="4"/>
  <c r="BD812" i="4"/>
  <c r="BD811" i="4"/>
  <c r="BD810" i="4"/>
  <c r="BD809" i="4"/>
  <c r="BD808" i="4"/>
  <c r="BD807" i="4"/>
  <c r="BD806" i="4"/>
  <c r="BD805" i="4"/>
  <c r="BD804" i="4"/>
  <c r="BD803" i="4"/>
  <c r="BD802" i="4"/>
  <c r="BD801" i="4"/>
  <c r="BD800" i="4"/>
  <c r="BD799" i="4"/>
  <c r="BD798" i="4"/>
  <c r="BD797" i="4"/>
  <c r="BD796" i="4"/>
  <c r="BD795" i="4"/>
  <c r="BD794" i="4"/>
  <c r="BD793" i="4"/>
  <c r="BD792" i="4"/>
  <c r="BD791" i="4"/>
  <c r="BD790" i="4"/>
  <c r="BD789" i="4"/>
  <c r="BD788" i="4"/>
  <c r="BD787" i="4"/>
  <c r="BD786" i="4"/>
  <c r="BD785" i="4"/>
  <c r="BD784" i="4"/>
  <c r="BD783" i="4"/>
  <c r="BD782" i="4"/>
  <c r="BD781" i="4"/>
  <c r="BD780" i="4"/>
  <c r="BD779" i="4"/>
  <c r="BD778" i="4"/>
  <c r="BD777" i="4"/>
  <c r="BD776" i="4"/>
  <c r="BD775" i="4"/>
  <c r="BD774" i="4"/>
  <c r="BD773" i="4"/>
  <c r="BD772" i="4"/>
  <c r="BD771" i="4"/>
  <c r="BD770" i="4"/>
  <c r="BD769" i="4"/>
  <c r="BD768" i="4"/>
  <c r="BD767" i="4"/>
  <c r="BD766" i="4"/>
  <c r="BD765" i="4"/>
  <c r="BD764" i="4"/>
  <c r="BD763" i="4"/>
  <c r="BD762" i="4"/>
  <c r="BD761" i="4"/>
  <c r="BD760" i="4"/>
  <c r="BD759" i="4"/>
  <c r="BD758" i="4"/>
  <c r="BD757" i="4"/>
  <c r="BD756" i="4"/>
  <c r="BD755" i="4"/>
  <c r="BD754" i="4"/>
  <c r="BD753" i="4"/>
  <c r="BD752" i="4"/>
  <c r="BD751" i="4"/>
  <c r="BD750" i="4"/>
  <c r="BD749" i="4"/>
  <c r="BD748" i="4"/>
  <c r="BD747" i="4"/>
  <c r="BD746" i="4"/>
  <c r="BD745" i="4"/>
  <c r="BD744" i="4"/>
  <c r="BD743" i="4"/>
  <c r="BD742" i="4"/>
  <c r="BD741" i="4"/>
  <c r="BD740" i="4"/>
  <c r="BD739" i="4"/>
  <c r="BD738" i="4"/>
  <c r="BD737" i="4"/>
  <c r="BD736" i="4"/>
  <c r="BD735" i="4"/>
  <c r="BD734" i="4"/>
  <c r="BD733" i="4"/>
  <c r="BD732" i="4"/>
  <c r="BD731" i="4"/>
  <c r="BD730" i="4"/>
  <c r="BD729" i="4"/>
  <c r="BD728" i="4"/>
  <c r="BD727" i="4"/>
  <c r="BD726" i="4"/>
  <c r="BD725" i="4"/>
  <c r="BD724" i="4"/>
  <c r="BD723" i="4"/>
  <c r="BD722" i="4"/>
  <c r="BD721" i="4"/>
  <c r="BD720" i="4"/>
  <c r="BD719" i="4"/>
  <c r="BD718" i="4"/>
  <c r="BD717" i="4"/>
  <c r="BD716" i="4"/>
  <c r="BD715" i="4"/>
  <c r="BD714" i="4"/>
  <c r="BD713" i="4"/>
  <c r="BD712" i="4"/>
  <c r="BD711" i="4"/>
  <c r="BD710" i="4"/>
  <c r="BD709" i="4"/>
  <c r="BD708" i="4"/>
  <c r="BD707" i="4"/>
  <c r="BD706" i="4"/>
  <c r="BD705" i="4"/>
  <c r="BD704" i="4"/>
  <c r="BD703" i="4"/>
  <c r="BD702" i="4"/>
  <c r="BD701" i="4"/>
  <c r="BD700" i="4"/>
  <c r="BD699" i="4"/>
  <c r="BD698" i="4"/>
  <c r="BD697" i="4"/>
  <c r="BD696" i="4"/>
  <c r="BD695" i="4"/>
  <c r="BD694" i="4"/>
  <c r="BD693" i="4"/>
  <c r="BD692" i="4"/>
  <c r="BD691" i="4"/>
  <c r="BD690" i="4"/>
  <c r="BD689" i="4"/>
  <c r="BD688" i="4"/>
  <c r="BD687" i="4"/>
  <c r="BD686" i="4"/>
  <c r="BD685" i="4"/>
  <c r="BD684" i="4"/>
  <c r="BD683" i="4"/>
  <c r="BD682" i="4"/>
  <c r="BD681" i="4"/>
  <c r="BD680" i="4"/>
  <c r="BD679" i="4"/>
  <c r="BD678" i="4"/>
  <c r="BD677" i="4"/>
  <c r="BD676" i="4"/>
  <c r="BD675" i="4"/>
  <c r="BD674" i="4"/>
  <c r="BD673" i="4"/>
  <c r="BD672" i="4"/>
  <c r="BD671" i="4"/>
  <c r="BD670" i="4"/>
  <c r="BD669" i="4"/>
  <c r="BD668" i="4"/>
  <c r="BD667" i="4"/>
  <c r="BD666" i="4"/>
  <c r="BD665" i="4"/>
  <c r="BD664" i="4"/>
  <c r="BD663" i="4"/>
  <c r="BD662" i="4"/>
  <c r="BD661" i="4"/>
  <c r="BD660" i="4"/>
  <c r="BD659" i="4"/>
  <c r="BD658" i="4"/>
  <c r="BD657" i="4"/>
  <c r="BD656" i="4"/>
  <c r="BD655" i="4"/>
  <c r="BD654" i="4"/>
  <c r="BD653" i="4"/>
  <c r="BD652" i="4"/>
  <c r="BD651" i="4"/>
  <c r="BD650" i="4"/>
  <c r="BD649" i="4"/>
  <c r="BD648" i="4"/>
  <c r="BD647" i="4"/>
  <c r="BD646" i="4"/>
  <c r="BD645" i="4"/>
  <c r="BD644" i="4"/>
  <c r="BD643" i="4"/>
  <c r="BD642" i="4"/>
  <c r="BD641" i="4"/>
  <c r="BD640" i="4"/>
  <c r="BD639" i="4"/>
  <c r="BD638" i="4"/>
  <c r="BD637" i="4"/>
  <c r="BD636" i="4"/>
  <c r="BD635" i="4"/>
  <c r="BD634" i="4"/>
  <c r="BD633" i="4"/>
  <c r="BD632" i="4"/>
  <c r="BD631" i="4"/>
  <c r="BD630" i="4"/>
  <c r="BD629" i="4"/>
  <c r="BD628" i="4"/>
  <c r="BD627" i="4"/>
  <c r="BD626" i="4"/>
  <c r="BD625" i="4"/>
  <c r="BD624" i="4"/>
  <c r="BD623" i="4"/>
  <c r="BD622" i="4"/>
  <c r="BD621" i="4"/>
  <c r="BD620" i="4"/>
  <c r="BD619" i="4"/>
  <c r="BD618" i="4"/>
  <c r="BD617" i="4"/>
  <c r="BD616" i="4"/>
  <c r="BD615" i="4"/>
  <c r="BD614" i="4"/>
  <c r="BD613" i="4"/>
  <c r="BD612" i="4"/>
  <c r="BD611" i="4"/>
  <c r="BD610" i="4"/>
  <c r="BD609" i="4"/>
  <c r="BD608" i="4"/>
  <c r="BD607" i="4"/>
  <c r="BD606" i="4"/>
  <c r="BD605" i="4"/>
  <c r="BD604" i="4"/>
  <c r="BD603" i="4"/>
  <c r="BD602" i="4"/>
  <c r="BD601" i="4"/>
  <c r="BD600" i="4"/>
  <c r="BD599" i="4"/>
  <c r="BD598" i="4"/>
  <c r="BD597" i="4"/>
  <c r="BD596" i="4"/>
  <c r="BD595" i="4"/>
  <c r="BD594" i="4"/>
  <c r="BD593" i="4"/>
  <c r="BD592" i="4"/>
  <c r="BD591" i="4"/>
  <c r="BD590" i="4"/>
  <c r="BD589" i="4"/>
  <c r="BD588" i="4"/>
  <c r="BD587" i="4"/>
  <c r="BD586" i="4"/>
  <c r="BD585" i="4"/>
  <c r="BD584" i="4"/>
  <c r="BD583" i="4"/>
  <c r="BD582" i="4"/>
  <c r="BD581" i="4"/>
  <c r="BD580" i="4"/>
  <c r="BD579" i="4"/>
  <c r="BD578" i="4"/>
  <c r="BD577" i="4"/>
  <c r="BD576" i="4"/>
  <c r="BD575" i="4"/>
  <c r="BD574" i="4"/>
  <c r="BD573" i="4"/>
  <c r="BD572" i="4"/>
  <c r="BD571" i="4"/>
  <c r="BD570" i="4"/>
  <c r="BD569" i="4"/>
  <c r="BD568" i="4"/>
  <c r="BD567" i="4"/>
  <c r="BD566" i="4"/>
  <c r="BD565" i="4"/>
  <c r="BD564" i="4"/>
  <c r="BD563" i="4"/>
  <c r="BD562" i="4"/>
  <c r="BD561" i="4"/>
  <c r="BD560" i="4"/>
  <c r="BD559" i="4"/>
  <c r="BD558" i="4"/>
  <c r="BD557" i="4"/>
  <c r="BD556" i="4"/>
  <c r="BD555" i="4"/>
  <c r="BD554" i="4"/>
  <c r="BD553" i="4"/>
  <c r="BD552" i="4"/>
  <c r="BD551" i="4"/>
  <c r="BD550" i="4"/>
  <c r="BD549" i="4"/>
  <c r="BD548" i="4"/>
  <c r="BD547" i="4"/>
  <c r="BD546" i="4"/>
  <c r="BD545" i="4"/>
  <c r="BD544" i="4"/>
  <c r="BD543" i="4"/>
  <c r="BD542" i="4"/>
  <c r="BD541" i="4"/>
  <c r="BD540" i="4"/>
  <c r="BD539" i="4"/>
  <c r="BD538" i="4"/>
  <c r="BD537" i="4"/>
  <c r="BD536" i="4"/>
  <c r="BD535" i="4"/>
  <c r="BD534" i="4"/>
  <c r="BD533" i="4"/>
  <c r="BD532" i="4"/>
  <c r="BD531" i="4"/>
  <c r="BD530" i="4"/>
  <c r="BD529" i="4"/>
  <c r="BD528" i="4"/>
  <c r="BD527" i="4"/>
  <c r="BD526" i="4"/>
  <c r="BD525" i="4"/>
  <c r="BD524" i="4"/>
  <c r="BD523" i="4"/>
  <c r="BD522" i="4"/>
  <c r="BD521" i="4"/>
  <c r="BD520" i="4"/>
  <c r="BD519" i="4"/>
  <c r="BD518" i="4"/>
  <c r="BD517" i="4"/>
  <c r="BD516" i="4"/>
  <c r="BD515" i="4"/>
  <c r="BD514" i="4"/>
  <c r="BD513" i="4"/>
  <c r="BD512" i="4"/>
  <c r="BD511" i="4"/>
  <c r="BD510" i="4"/>
  <c r="BD509" i="4"/>
  <c r="BD508" i="4"/>
  <c r="BD507" i="4"/>
  <c r="BD506" i="4"/>
  <c r="BD505" i="4"/>
  <c r="BD504" i="4"/>
  <c r="BD503" i="4"/>
  <c r="BD502" i="4"/>
  <c r="BD501" i="4"/>
  <c r="BD500" i="4"/>
  <c r="BD499" i="4"/>
  <c r="BD498" i="4"/>
  <c r="BD497" i="4"/>
  <c r="BD496" i="4"/>
  <c r="BD495" i="4"/>
  <c r="BD494" i="4"/>
  <c r="BD493" i="4"/>
  <c r="BD492" i="4"/>
  <c r="BD491" i="4"/>
  <c r="BD490" i="4"/>
  <c r="BD489" i="4"/>
  <c r="BD488" i="4"/>
  <c r="BD487" i="4"/>
  <c r="BD486" i="4"/>
  <c r="BD485" i="4"/>
  <c r="BD484" i="4"/>
  <c r="BD483" i="4"/>
  <c r="BD482" i="4"/>
  <c r="BD481" i="4"/>
  <c r="BD480" i="4"/>
  <c r="BD479" i="4"/>
  <c r="BD478" i="4"/>
  <c r="BD477" i="4"/>
  <c r="BD476" i="4"/>
  <c r="BD475" i="4"/>
  <c r="BD474" i="4"/>
  <c r="BD473" i="4"/>
  <c r="BD472" i="4"/>
  <c r="BD471" i="4"/>
  <c r="BD470" i="4"/>
  <c r="BD469" i="4"/>
  <c r="BD468" i="4"/>
  <c r="BD467" i="4"/>
  <c r="BD466" i="4"/>
  <c r="BD465" i="4"/>
  <c r="BD464" i="4"/>
  <c r="BD463" i="4"/>
  <c r="BD462" i="4"/>
  <c r="BD461" i="4"/>
  <c r="BD460" i="4"/>
  <c r="BD459" i="4"/>
  <c r="BD458" i="4"/>
  <c r="BD457" i="4"/>
  <c r="BD456" i="4"/>
  <c r="BD455" i="4"/>
  <c r="BD454" i="4"/>
  <c r="BD453" i="4"/>
  <c r="BD452" i="4"/>
  <c r="BD451" i="4"/>
  <c r="BD450" i="4"/>
  <c r="BD449" i="4"/>
  <c r="BD448" i="4"/>
  <c r="BD447" i="4"/>
  <c r="BD446" i="4"/>
  <c r="BD445" i="4"/>
  <c r="BD444" i="4"/>
  <c r="BD443" i="4"/>
  <c r="BD442" i="4"/>
  <c r="BD441" i="4"/>
  <c r="BD440" i="4"/>
  <c r="BD439" i="4"/>
  <c r="BD438" i="4"/>
  <c r="BD437" i="4"/>
  <c r="BD436" i="4"/>
  <c r="BD435" i="4"/>
  <c r="BD434" i="4"/>
  <c r="BD433" i="4"/>
  <c r="BD432" i="4"/>
  <c r="BD431" i="4"/>
  <c r="BD430" i="4"/>
  <c r="BD429" i="4"/>
  <c r="BD428" i="4"/>
  <c r="BD427" i="4"/>
  <c r="BD426" i="4"/>
  <c r="BD425" i="4"/>
  <c r="BD424" i="4"/>
  <c r="BD423" i="4"/>
  <c r="BD422" i="4"/>
  <c r="BD421" i="4"/>
  <c r="BD420" i="4"/>
  <c r="BD419" i="4"/>
  <c r="BD418" i="4"/>
  <c r="BD417" i="4"/>
  <c r="BD416" i="4"/>
  <c r="BD415" i="4"/>
  <c r="BD414" i="4"/>
  <c r="BD413" i="4"/>
  <c r="BD412" i="4"/>
  <c r="BD411" i="4"/>
  <c r="BD410" i="4"/>
  <c r="BD409" i="4"/>
  <c r="BD408" i="4"/>
  <c r="BD407" i="4"/>
  <c r="BD406" i="4"/>
  <c r="BD405" i="4"/>
  <c r="BD404" i="4"/>
  <c r="BD403" i="4"/>
  <c r="BD402" i="4"/>
  <c r="BD401" i="4"/>
  <c r="BD400" i="4"/>
  <c r="BD399" i="4"/>
  <c r="BD398" i="4"/>
  <c r="BD397" i="4"/>
  <c r="BD396" i="4"/>
  <c r="BD395" i="4"/>
  <c r="BD394" i="4"/>
  <c r="BD393" i="4"/>
  <c r="BD392" i="4"/>
  <c r="BD391" i="4"/>
  <c r="BD390" i="4"/>
  <c r="BD389" i="4"/>
  <c r="BD388" i="4"/>
  <c r="BD387" i="4"/>
  <c r="BD386" i="4"/>
  <c r="BD385" i="4"/>
  <c r="BD384" i="4"/>
  <c r="BD383" i="4"/>
  <c r="BD382" i="4"/>
  <c r="BD381" i="4"/>
  <c r="BD380" i="4"/>
  <c r="BD379" i="4"/>
  <c r="BD378" i="4"/>
  <c r="BD377" i="4"/>
  <c r="BD376" i="4"/>
  <c r="BD375" i="4"/>
  <c r="BD374" i="4"/>
  <c r="BD373" i="4"/>
  <c r="BD372" i="4"/>
  <c r="BD371" i="4"/>
  <c r="BD370" i="4"/>
  <c r="BD369" i="4"/>
  <c r="BD368" i="4"/>
  <c r="BD367" i="4"/>
  <c r="BD366" i="4"/>
  <c r="BD365" i="4"/>
  <c r="BD364" i="4"/>
  <c r="BD363" i="4"/>
  <c r="BD362" i="4"/>
  <c r="BD361" i="4"/>
  <c r="BD360" i="4"/>
  <c r="BD359" i="4"/>
  <c r="BD358" i="4"/>
  <c r="BD357" i="4"/>
  <c r="BD356" i="4"/>
  <c r="BD355" i="4"/>
  <c r="BD354" i="4"/>
  <c r="BD353" i="4"/>
  <c r="BD352" i="4"/>
  <c r="BD351" i="4"/>
  <c r="BD350" i="4"/>
  <c r="BD349" i="4"/>
  <c r="BD348" i="4"/>
  <c r="BD347" i="4"/>
  <c r="BD346" i="4"/>
  <c r="BD345" i="4"/>
  <c r="BD344" i="4"/>
  <c r="BD343" i="4"/>
  <c r="BD342" i="4"/>
  <c r="BD341" i="4"/>
  <c r="BD340" i="4"/>
  <c r="BD339" i="4"/>
  <c r="BD338" i="4"/>
  <c r="BD337" i="4"/>
  <c r="BD336" i="4"/>
  <c r="BD335" i="4"/>
  <c r="BD334" i="4"/>
  <c r="BD333" i="4"/>
  <c r="BD332" i="4"/>
  <c r="BD331" i="4"/>
  <c r="BD330" i="4"/>
  <c r="BD329" i="4"/>
  <c r="BD328" i="4"/>
  <c r="BD327" i="4"/>
  <c r="BD326" i="4"/>
  <c r="BD325" i="4"/>
  <c r="BD324" i="4"/>
  <c r="BD323" i="4"/>
  <c r="BD322" i="4"/>
  <c r="BD321" i="4"/>
  <c r="BD320" i="4"/>
  <c r="BD319" i="4"/>
  <c r="BD318" i="4"/>
  <c r="BD317" i="4"/>
  <c r="BD316" i="4"/>
  <c r="BD315" i="4"/>
  <c r="BD314" i="4"/>
  <c r="BD313" i="4"/>
  <c r="BD312" i="4"/>
  <c r="BD311" i="4"/>
  <c r="BD310" i="4"/>
  <c r="BD309" i="4"/>
  <c r="BD308" i="4"/>
  <c r="BD307" i="4"/>
  <c r="BD306" i="4"/>
  <c r="BD305" i="4"/>
  <c r="BD304" i="4"/>
  <c r="BD303" i="4"/>
  <c r="BD302" i="4"/>
  <c r="BD301" i="4"/>
  <c r="BD300" i="4"/>
  <c r="BD299" i="4"/>
  <c r="BD298" i="4"/>
  <c r="BD297" i="4"/>
  <c r="BD296" i="4"/>
  <c r="BD295" i="4"/>
  <c r="BD294" i="4"/>
  <c r="BD293" i="4"/>
  <c r="BD292" i="4"/>
  <c r="BD291" i="4"/>
  <c r="BD290" i="4"/>
  <c r="BD289" i="4"/>
  <c r="BD288" i="4"/>
  <c r="BD287" i="4"/>
  <c r="BD286" i="4"/>
  <c r="BD285" i="4"/>
  <c r="BD284" i="4"/>
  <c r="BD283" i="4"/>
  <c r="BD282" i="4"/>
  <c r="BD281" i="4"/>
  <c r="BD280" i="4"/>
  <c r="BD279" i="4"/>
  <c r="BD278" i="4"/>
  <c r="BD277" i="4"/>
  <c r="BD276" i="4"/>
  <c r="BD275" i="4"/>
  <c r="BD274" i="4"/>
  <c r="BD273" i="4"/>
  <c r="BD272" i="4"/>
  <c r="BD271" i="4"/>
  <c r="BD270" i="4"/>
  <c r="BD269" i="4"/>
  <c r="BD268" i="4"/>
  <c r="BD267" i="4"/>
  <c r="BD266" i="4"/>
  <c r="BD265" i="4"/>
  <c r="BD264" i="4"/>
  <c r="BD263" i="4"/>
  <c r="BD262" i="4"/>
  <c r="BD261" i="4"/>
  <c r="BD260" i="4"/>
  <c r="BD259" i="4"/>
  <c r="BD258" i="4"/>
  <c r="BD257" i="4"/>
  <c r="BD256" i="4"/>
  <c r="BD255" i="4"/>
  <c r="BD254" i="4"/>
  <c r="BD253" i="4"/>
  <c r="BD252" i="4"/>
  <c r="BD251" i="4"/>
  <c r="BD250" i="4"/>
  <c r="BD249" i="4"/>
  <c r="BD248" i="4"/>
  <c r="BD247" i="4"/>
  <c r="BD246" i="4"/>
  <c r="BD245" i="4"/>
  <c r="BD244" i="4"/>
  <c r="BD243" i="4"/>
  <c r="BD242" i="4"/>
  <c r="BD241" i="4"/>
  <c r="BD240" i="4"/>
  <c r="BD239" i="4"/>
  <c r="BD238" i="4"/>
  <c r="BD237" i="4"/>
  <c r="BD236" i="4"/>
  <c r="BD235" i="4"/>
  <c r="BD234" i="4"/>
  <c r="BD233" i="4"/>
  <c r="BD232" i="4"/>
  <c r="BD231" i="4"/>
  <c r="BD230" i="4"/>
  <c r="BD229" i="4"/>
  <c r="BD228" i="4"/>
  <c r="BD227" i="4"/>
  <c r="BD226" i="4"/>
  <c r="BD225" i="4"/>
  <c r="BD224" i="4"/>
  <c r="BD223" i="4"/>
  <c r="BD222" i="4"/>
  <c r="BD221" i="4"/>
  <c r="BD220" i="4"/>
  <c r="BD219" i="4"/>
  <c r="BD218" i="4"/>
  <c r="BD217" i="4"/>
  <c r="BD216" i="4"/>
  <c r="BD215" i="4"/>
  <c r="BD214" i="4"/>
  <c r="BD213" i="4"/>
  <c r="BD212" i="4"/>
  <c r="BD211" i="4"/>
  <c r="BD210" i="4"/>
  <c r="BD209" i="4"/>
  <c r="BD208" i="4"/>
  <c r="BD207" i="4"/>
  <c r="BD206" i="4"/>
  <c r="BD205" i="4"/>
  <c r="BD204" i="4"/>
  <c r="BD203" i="4"/>
  <c r="BD202" i="4"/>
  <c r="BD201" i="4"/>
  <c r="BD200" i="4"/>
  <c r="BD199" i="4"/>
  <c r="BD198" i="4"/>
  <c r="BD197" i="4"/>
  <c r="BD196" i="4"/>
  <c r="BD195" i="4"/>
  <c r="BD194" i="4"/>
  <c r="BD193" i="4"/>
  <c r="BD192" i="4"/>
  <c r="BD191" i="4"/>
  <c r="BD190" i="4"/>
  <c r="BD189" i="4"/>
  <c r="BD188" i="4"/>
  <c r="BD187" i="4"/>
  <c r="BD186" i="4"/>
  <c r="BD185" i="4"/>
  <c r="BD184" i="4"/>
  <c r="BD183" i="4"/>
  <c r="BD182" i="4"/>
  <c r="BD181" i="4"/>
  <c r="BD180" i="4"/>
  <c r="BD179" i="4"/>
  <c r="BD178" i="4"/>
  <c r="BD177" i="4"/>
  <c r="BD176" i="4"/>
  <c r="BD175" i="4"/>
  <c r="BD174" i="4"/>
  <c r="BD173" i="4"/>
  <c r="BD172" i="4"/>
  <c r="BD171" i="4"/>
  <c r="BD170" i="4"/>
  <c r="BD169" i="4"/>
  <c r="BD168" i="4"/>
  <c r="BD167" i="4"/>
  <c r="BD166" i="4"/>
  <c r="BD165" i="4"/>
  <c r="BD164" i="4"/>
  <c r="BD163" i="4"/>
  <c r="BD162" i="4"/>
  <c r="BD161" i="4"/>
  <c r="BD160" i="4"/>
  <c r="BD159" i="4"/>
  <c r="BD158" i="4"/>
  <c r="BD157" i="4"/>
  <c r="BD156" i="4"/>
  <c r="BD155" i="4"/>
  <c r="BD154" i="4"/>
  <c r="BD153" i="4"/>
  <c r="BD152" i="4"/>
  <c r="BD151" i="4"/>
  <c r="BD150" i="4"/>
  <c r="BD149" i="4"/>
  <c r="BD148" i="4"/>
  <c r="BD147" i="4"/>
  <c r="BD146" i="4"/>
  <c r="BD145" i="4"/>
  <c r="BD144" i="4"/>
  <c r="BD143" i="4"/>
  <c r="BD142" i="4"/>
  <c r="BD141" i="4"/>
  <c r="BD140" i="4"/>
  <c r="BD139" i="4"/>
  <c r="BD138" i="4"/>
  <c r="BD137" i="4"/>
  <c r="BD136" i="4"/>
  <c r="BD135" i="4"/>
  <c r="BD134" i="4"/>
  <c r="BD133" i="4"/>
  <c r="BD132" i="4"/>
  <c r="BD131" i="4"/>
  <c r="BD130" i="4"/>
  <c r="BD129" i="4"/>
  <c r="BD128" i="4"/>
  <c r="BD127" i="4"/>
  <c r="BD126" i="4"/>
  <c r="BD125" i="4"/>
  <c r="BD124" i="4"/>
  <c r="BD123" i="4"/>
  <c r="BD122" i="4"/>
  <c r="BD121" i="4"/>
  <c r="BD120" i="4"/>
  <c r="BD119" i="4"/>
  <c r="BD118" i="4"/>
  <c r="BD117" i="4"/>
  <c r="BD116" i="4"/>
  <c r="BD115" i="4"/>
  <c r="BD114" i="4"/>
  <c r="BD113" i="4"/>
  <c r="BD112" i="4"/>
  <c r="BD111" i="4"/>
  <c r="BD110" i="4"/>
  <c r="BD109" i="4"/>
  <c r="BD108" i="4"/>
  <c r="BD107" i="4"/>
  <c r="BD106" i="4"/>
  <c r="BD105" i="4"/>
  <c r="BD104" i="4"/>
  <c r="BD103" i="4"/>
  <c r="BD102" i="4"/>
  <c r="BD101" i="4"/>
  <c r="BD100" i="4"/>
  <c r="BD99" i="4"/>
  <c r="BD98" i="4"/>
  <c r="BD97" i="4"/>
  <c r="BD96" i="4"/>
  <c r="BD95" i="4"/>
  <c r="BD94" i="4"/>
  <c r="BD93" i="4"/>
  <c r="BD92" i="4"/>
  <c r="BD91" i="4"/>
  <c r="BD90" i="4"/>
  <c r="BD89" i="4"/>
  <c r="BD88" i="4"/>
  <c r="BD87" i="4"/>
  <c r="BD86" i="4"/>
  <c r="BD85" i="4"/>
  <c r="BD84" i="4"/>
  <c r="BD83" i="4"/>
  <c r="BD82" i="4"/>
  <c r="BD81" i="4"/>
  <c r="BD80" i="4"/>
  <c r="BD79" i="4"/>
  <c r="BD78" i="4"/>
  <c r="BD77" i="4"/>
  <c r="BD76" i="4"/>
  <c r="BD75" i="4"/>
  <c r="BD74" i="4"/>
  <c r="BD73" i="4"/>
  <c r="BD72" i="4"/>
  <c r="BD71" i="4"/>
  <c r="BD70" i="4"/>
  <c r="BD69" i="4"/>
  <c r="BD68" i="4"/>
  <c r="BD67" i="4"/>
  <c r="BD66" i="4"/>
  <c r="BD65" i="4"/>
  <c r="BD64" i="4"/>
  <c r="BD63" i="4"/>
  <c r="BD62" i="4"/>
  <c r="BD61" i="4"/>
  <c r="BD60" i="4"/>
  <c r="BD59" i="4"/>
  <c r="BD58" i="4"/>
  <c r="BD57" i="4"/>
  <c r="BD56" i="4"/>
  <c r="BD55" i="4"/>
  <c r="BD54" i="4"/>
  <c r="BD53" i="4"/>
  <c r="BD52" i="4"/>
  <c r="BD51" i="4"/>
  <c r="BD50" i="4"/>
  <c r="BD49" i="4"/>
  <c r="BD48" i="4"/>
  <c r="BD47" i="4"/>
  <c r="BD46" i="4"/>
  <c r="BD45" i="4"/>
  <c r="BD44" i="4"/>
  <c r="BD43" i="4"/>
  <c r="BD42" i="4"/>
  <c r="BD41" i="4"/>
  <c r="BD40" i="4"/>
  <c r="BD39" i="4"/>
  <c r="BD38" i="4"/>
  <c r="BD37" i="4"/>
  <c r="BD36" i="4"/>
  <c r="BD35" i="4"/>
  <c r="BD34" i="4"/>
  <c r="BD33" i="4"/>
  <c r="BD32" i="4"/>
  <c r="BD31" i="4"/>
  <c r="BD30" i="4"/>
  <c r="BD29" i="4"/>
  <c r="BD28" i="4"/>
  <c r="BD27" i="4"/>
  <c r="BD26" i="4"/>
  <c r="BD25" i="4"/>
  <c r="BD24" i="4"/>
  <c r="BD23" i="4"/>
  <c r="BD22" i="4"/>
  <c r="BD21" i="4"/>
  <c r="BD20" i="4"/>
  <c r="BD19" i="4"/>
  <c r="BD18" i="4"/>
  <c r="BD17" i="4"/>
  <c r="BD16" i="4"/>
  <c r="BD15" i="4"/>
  <c r="BD14" i="4"/>
  <c r="BD13" i="4"/>
  <c r="BD12" i="4"/>
  <c r="BD11" i="4"/>
  <c r="BD10" i="4"/>
  <c r="BD9" i="4"/>
  <c r="BD8" i="4"/>
  <c r="BD7" i="4"/>
  <c r="BD6" i="4"/>
  <c r="BD5" i="4"/>
  <c r="BD4" i="4"/>
  <c r="BD3" i="4"/>
  <c r="BD2" i="4"/>
  <c r="BA1001" i="4"/>
  <c r="BA1000" i="4"/>
  <c r="BA999" i="4"/>
  <c r="BA998" i="4"/>
  <c r="BA997" i="4"/>
  <c r="BA996" i="4"/>
  <c r="BA995" i="4"/>
  <c r="BA994" i="4"/>
  <c r="BA993" i="4"/>
  <c r="BA992" i="4"/>
  <c r="BA991" i="4"/>
  <c r="BA990" i="4"/>
  <c r="BA989" i="4"/>
  <c r="BA988" i="4"/>
  <c r="BA987" i="4"/>
  <c r="BA986" i="4"/>
  <c r="BA985" i="4"/>
  <c r="BA984" i="4"/>
  <c r="BA983" i="4"/>
  <c r="BA982" i="4"/>
  <c r="BA981" i="4"/>
  <c r="BA980" i="4"/>
  <c r="BA979" i="4"/>
  <c r="BA978" i="4"/>
  <c r="BA977" i="4"/>
  <c r="BA976" i="4"/>
  <c r="BA975" i="4"/>
  <c r="BA974" i="4"/>
  <c r="BA973" i="4"/>
  <c r="BA972" i="4"/>
  <c r="BA971" i="4"/>
  <c r="BA970" i="4"/>
  <c r="BA969" i="4"/>
  <c r="BA968" i="4"/>
  <c r="BA967" i="4"/>
  <c r="BA966" i="4"/>
  <c r="BA965" i="4"/>
  <c r="BA964" i="4"/>
  <c r="BA963" i="4"/>
  <c r="BA962" i="4"/>
  <c r="BA961" i="4"/>
  <c r="BA960" i="4"/>
  <c r="BA959" i="4"/>
  <c r="BA958" i="4"/>
  <c r="BA957" i="4"/>
  <c r="BA956" i="4"/>
  <c r="BA955" i="4"/>
  <c r="BA954" i="4"/>
  <c r="BA953" i="4"/>
  <c r="BA952" i="4"/>
  <c r="BA951" i="4"/>
  <c r="BA950" i="4"/>
  <c r="BA949" i="4"/>
  <c r="BA948" i="4"/>
  <c r="BA947" i="4"/>
  <c r="BA946" i="4"/>
  <c r="BA945" i="4"/>
  <c r="BA944" i="4"/>
  <c r="BA943" i="4"/>
  <c r="BA942" i="4"/>
  <c r="BA941" i="4"/>
  <c r="BA940" i="4"/>
  <c r="BA939" i="4"/>
  <c r="BA938" i="4"/>
  <c r="BA937" i="4"/>
  <c r="BA936" i="4"/>
  <c r="BA935" i="4"/>
  <c r="BA934" i="4"/>
  <c r="BA933" i="4"/>
  <c r="BA932" i="4"/>
  <c r="BA931" i="4"/>
  <c r="BA930" i="4"/>
  <c r="BA929" i="4"/>
  <c r="BA928" i="4"/>
  <c r="BA927" i="4"/>
  <c r="BA926" i="4"/>
  <c r="BA925" i="4"/>
  <c r="BA924" i="4"/>
  <c r="BA923" i="4"/>
  <c r="BA922" i="4"/>
  <c r="BA921" i="4"/>
  <c r="BA920" i="4"/>
  <c r="BA919" i="4"/>
  <c r="BA918" i="4"/>
  <c r="BA917" i="4"/>
  <c r="BA916" i="4"/>
  <c r="BA915" i="4"/>
  <c r="BA914" i="4"/>
  <c r="BA913" i="4"/>
  <c r="BA912" i="4"/>
  <c r="BA911" i="4"/>
  <c r="BA910" i="4"/>
  <c r="BA909" i="4"/>
  <c r="BA908" i="4"/>
  <c r="BA907" i="4"/>
  <c r="BA906" i="4"/>
  <c r="BA905" i="4"/>
  <c r="BA904" i="4"/>
  <c r="BA903" i="4"/>
  <c r="BA902" i="4"/>
  <c r="BA901" i="4"/>
  <c r="BA900" i="4"/>
  <c r="BA899" i="4"/>
  <c r="BA898" i="4"/>
  <c r="BA897" i="4"/>
  <c r="BA896" i="4"/>
  <c r="BA895" i="4"/>
  <c r="BA894" i="4"/>
  <c r="BA893" i="4"/>
  <c r="BA892" i="4"/>
  <c r="BA891" i="4"/>
  <c r="BA890" i="4"/>
  <c r="BA889" i="4"/>
  <c r="BA888" i="4"/>
  <c r="BA887" i="4"/>
  <c r="BA886" i="4"/>
  <c r="BA885" i="4"/>
  <c r="BA884" i="4"/>
  <c r="BA883" i="4"/>
  <c r="BA882" i="4"/>
  <c r="BA881" i="4"/>
  <c r="BA880" i="4"/>
  <c r="BA879" i="4"/>
  <c r="BA878" i="4"/>
  <c r="BA877" i="4"/>
  <c r="BA876" i="4"/>
  <c r="BA875" i="4"/>
  <c r="BA874" i="4"/>
  <c r="BA873" i="4"/>
  <c r="BA872" i="4"/>
  <c r="BA871" i="4"/>
  <c r="BA870" i="4"/>
  <c r="BA869" i="4"/>
  <c r="BA868" i="4"/>
  <c r="BA867" i="4"/>
  <c r="BA866" i="4"/>
  <c r="BA865" i="4"/>
  <c r="BA864" i="4"/>
  <c r="BA863" i="4"/>
  <c r="BA862" i="4"/>
  <c r="BA861" i="4"/>
  <c r="BA860" i="4"/>
  <c r="BA859" i="4"/>
  <c r="BA858" i="4"/>
  <c r="BA857" i="4"/>
  <c r="BA856" i="4"/>
  <c r="BA855" i="4"/>
  <c r="BA854" i="4"/>
  <c r="BA853" i="4"/>
  <c r="BA852" i="4"/>
  <c r="BA851" i="4"/>
  <c r="BA850" i="4"/>
  <c r="BA849" i="4"/>
  <c r="BA848" i="4"/>
  <c r="BA847" i="4"/>
  <c r="BA846" i="4"/>
  <c r="BA845" i="4"/>
  <c r="BA844" i="4"/>
  <c r="BA843" i="4"/>
  <c r="BA842" i="4"/>
  <c r="BA841" i="4"/>
  <c r="BA840" i="4"/>
  <c r="BA839" i="4"/>
  <c r="BA838" i="4"/>
  <c r="BA837" i="4"/>
  <c r="BA836" i="4"/>
  <c r="BA835" i="4"/>
  <c r="BA834" i="4"/>
  <c r="BA833" i="4"/>
  <c r="BA832" i="4"/>
  <c r="BA831" i="4"/>
  <c r="BA830" i="4"/>
  <c r="BA829" i="4"/>
  <c r="BA828" i="4"/>
  <c r="BA827" i="4"/>
  <c r="BA826" i="4"/>
  <c r="BA825" i="4"/>
  <c r="BA824" i="4"/>
  <c r="BA823" i="4"/>
  <c r="BA822" i="4"/>
  <c r="BA821" i="4"/>
  <c r="BA820" i="4"/>
  <c r="BA819" i="4"/>
  <c r="BA818" i="4"/>
  <c r="BA817" i="4"/>
  <c r="BA816" i="4"/>
  <c r="BA815" i="4"/>
  <c r="BA814" i="4"/>
  <c r="BA813" i="4"/>
  <c r="BA812" i="4"/>
  <c r="BA811" i="4"/>
  <c r="BA810" i="4"/>
  <c r="BA809" i="4"/>
  <c r="BA808" i="4"/>
  <c r="BA807" i="4"/>
  <c r="BA806" i="4"/>
  <c r="BA805" i="4"/>
  <c r="BA804" i="4"/>
  <c r="BA803" i="4"/>
  <c r="BA802" i="4"/>
  <c r="BA801" i="4"/>
  <c r="BA800" i="4"/>
  <c r="BA799" i="4"/>
  <c r="BA798" i="4"/>
  <c r="BA797" i="4"/>
  <c r="BA796" i="4"/>
  <c r="BA795" i="4"/>
  <c r="BA794" i="4"/>
  <c r="BA793" i="4"/>
  <c r="BA792" i="4"/>
  <c r="BA791" i="4"/>
  <c r="BA790" i="4"/>
  <c r="BA789" i="4"/>
  <c r="BA788" i="4"/>
  <c r="BA787" i="4"/>
  <c r="BA786" i="4"/>
  <c r="BA785" i="4"/>
  <c r="BA784" i="4"/>
  <c r="BA783" i="4"/>
  <c r="BA782" i="4"/>
  <c r="BA781" i="4"/>
  <c r="BA780" i="4"/>
  <c r="BA779" i="4"/>
  <c r="BA778" i="4"/>
  <c r="BA777" i="4"/>
  <c r="BA776" i="4"/>
  <c r="BA775" i="4"/>
  <c r="BA774" i="4"/>
  <c r="BA773" i="4"/>
  <c r="BA772" i="4"/>
  <c r="BA771" i="4"/>
  <c r="BA770" i="4"/>
  <c r="BA769" i="4"/>
  <c r="BA768" i="4"/>
  <c r="BA767" i="4"/>
  <c r="BA766" i="4"/>
  <c r="BA765" i="4"/>
  <c r="BA764" i="4"/>
  <c r="BA763" i="4"/>
  <c r="BA762" i="4"/>
  <c r="BA761" i="4"/>
  <c r="BA760" i="4"/>
  <c r="BA759" i="4"/>
  <c r="BA758" i="4"/>
  <c r="BA757" i="4"/>
  <c r="BA756" i="4"/>
  <c r="BA755" i="4"/>
  <c r="BA754" i="4"/>
  <c r="BA753" i="4"/>
  <c r="BA752" i="4"/>
  <c r="BA751" i="4"/>
  <c r="BA750" i="4"/>
  <c r="BA749" i="4"/>
  <c r="BA748" i="4"/>
  <c r="BA747" i="4"/>
  <c r="BA746" i="4"/>
  <c r="BA745" i="4"/>
  <c r="BA744" i="4"/>
  <c r="BA743" i="4"/>
  <c r="BA742" i="4"/>
  <c r="BA741" i="4"/>
  <c r="BA740" i="4"/>
  <c r="BA739" i="4"/>
  <c r="BA738" i="4"/>
  <c r="BA737" i="4"/>
  <c r="BA736" i="4"/>
  <c r="BA735" i="4"/>
  <c r="BA734" i="4"/>
  <c r="BA733" i="4"/>
  <c r="BA732" i="4"/>
  <c r="BA731" i="4"/>
  <c r="BA730" i="4"/>
  <c r="BA729" i="4"/>
  <c r="BA728" i="4"/>
  <c r="BA727" i="4"/>
  <c r="BA726" i="4"/>
  <c r="BA725" i="4"/>
  <c r="BA724" i="4"/>
  <c r="BA723" i="4"/>
  <c r="BA722" i="4"/>
  <c r="BA721" i="4"/>
  <c r="BA720" i="4"/>
  <c r="BA719" i="4"/>
  <c r="BA718" i="4"/>
  <c r="BA717" i="4"/>
  <c r="BA716" i="4"/>
  <c r="BA715" i="4"/>
  <c r="BA714" i="4"/>
  <c r="BA713" i="4"/>
  <c r="BA712" i="4"/>
  <c r="BA711" i="4"/>
  <c r="BA710" i="4"/>
  <c r="BA709" i="4"/>
  <c r="BA708" i="4"/>
  <c r="BA707" i="4"/>
  <c r="BA706" i="4"/>
  <c r="BA705" i="4"/>
  <c r="BA704" i="4"/>
  <c r="BA703" i="4"/>
  <c r="BA702" i="4"/>
  <c r="BA701" i="4"/>
  <c r="BA700" i="4"/>
  <c r="BA699" i="4"/>
  <c r="BA698" i="4"/>
  <c r="BA697" i="4"/>
  <c r="BA696" i="4"/>
  <c r="BA695" i="4"/>
  <c r="BA694" i="4"/>
  <c r="BA693" i="4"/>
  <c r="BA692" i="4"/>
  <c r="BA691" i="4"/>
  <c r="BA690" i="4"/>
  <c r="BA689" i="4"/>
  <c r="BA688" i="4"/>
  <c r="BA687" i="4"/>
  <c r="BA686" i="4"/>
  <c r="BA685" i="4"/>
  <c r="BA684" i="4"/>
  <c r="BA683" i="4"/>
  <c r="BA682" i="4"/>
  <c r="BA681" i="4"/>
  <c r="BA680" i="4"/>
  <c r="BA679" i="4"/>
  <c r="BA678" i="4"/>
  <c r="BA677" i="4"/>
  <c r="BA676" i="4"/>
  <c r="BA675" i="4"/>
  <c r="BA674" i="4"/>
  <c r="BA673" i="4"/>
  <c r="BA672" i="4"/>
  <c r="BA671" i="4"/>
  <c r="BA670" i="4"/>
  <c r="BA669" i="4"/>
  <c r="BA668" i="4"/>
  <c r="BA667" i="4"/>
  <c r="BA666" i="4"/>
  <c r="BA665" i="4"/>
  <c r="BA664" i="4"/>
  <c r="BA663" i="4"/>
  <c r="BA662" i="4"/>
  <c r="BA661" i="4"/>
  <c r="BA660" i="4"/>
  <c r="BA659" i="4"/>
  <c r="BA658" i="4"/>
  <c r="BA657" i="4"/>
  <c r="BA656" i="4"/>
  <c r="BA655" i="4"/>
  <c r="BA654" i="4"/>
  <c r="BA653" i="4"/>
  <c r="BA652" i="4"/>
  <c r="BA651" i="4"/>
  <c r="BA650" i="4"/>
  <c r="BA649" i="4"/>
  <c r="BA648" i="4"/>
  <c r="BA647" i="4"/>
  <c r="BA646" i="4"/>
  <c r="BA645" i="4"/>
  <c r="BA644" i="4"/>
  <c r="BA643" i="4"/>
  <c r="BA642" i="4"/>
  <c r="BA641" i="4"/>
  <c r="BA640" i="4"/>
  <c r="BA639" i="4"/>
  <c r="BA638" i="4"/>
  <c r="BA637" i="4"/>
  <c r="BA636" i="4"/>
  <c r="BA635" i="4"/>
  <c r="BA634" i="4"/>
  <c r="BA633" i="4"/>
  <c r="BA632" i="4"/>
  <c r="BA631" i="4"/>
  <c r="BA630" i="4"/>
  <c r="BA629" i="4"/>
  <c r="BA628" i="4"/>
  <c r="BA627" i="4"/>
  <c r="BA626" i="4"/>
  <c r="BA625" i="4"/>
  <c r="BA624" i="4"/>
  <c r="BA623" i="4"/>
  <c r="BA622" i="4"/>
  <c r="BA621" i="4"/>
  <c r="BA620" i="4"/>
  <c r="BA619" i="4"/>
  <c r="BA618" i="4"/>
  <c r="BA617" i="4"/>
  <c r="BA616" i="4"/>
  <c r="BA615" i="4"/>
  <c r="BA614" i="4"/>
  <c r="BA613" i="4"/>
  <c r="BA612" i="4"/>
  <c r="BA611" i="4"/>
  <c r="BA610" i="4"/>
  <c r="BA609" i="4"/>
  <c r="BA608" i="4"/>
  <c r="BA607" i="4"/>
  <c r="BA606" i="4"/>
  <c r="BA605" i="4"/>
  <c r="BA604" i="4"/>
  <c r="BA603" i="4"/>
  <c r="BA602" i="4"/>
  <c r="BA601" i="4"/>
  <c r="BA600" i="4"/>
  <c r="BA599" i="4"/>
  <c r="BA598" i="4"/>
  <c r="BA597" i="4"/>
  <c r="BA596" i="4"/>
  <c r="BA595" i="4"/>
  <c r="BA594" i="4"/>
  <c r="BA593" i="4"/>
  <c r="BA592" i="4"/>
  <c r="BA591" i="4"/>
  <c r="BA590" i="4"/>
  <c r="BA589" i="4"/>
  <c r="BA588" i="4"/>
  <c r="BA587" i="4"/>
  <c r="BA586" i="4"/>
  <c r="BA585" i="4"/>
  <c r="BA584" i="4"/>
  <c r="BA583" i="4"/>
  <c r="BA582" i="4"/>
  <c r="BA581" i="4"/>
  <c r="BA580" i="4"/>
  <c r="BA579" i="4"/>
  <c r="BA578" i="4"/>
  <c r="BA577" i="4"/>
  <c r="BA576" i="4"/>
  <c r="BA575" i="4"/>
  <c r="BA574" i="4"/>
  <c r="BA573" i="4"/>
  <c r="BA572" i="4"/>
  <c r="BA571" i="4"/>
  <c r="BA570" i="4"/>
  <c r="BA569" i="4"/>
  <c r="BA568" i="4"/>
  <c r="BA567" i="4"/>
  <c r="BA566" i="4"/>
  <c r="BA565" i="4"/>
  <c r="BA564" i="4"/>
  <c r="BA563" i="4"/>
  <c r="BA562" i="4"/>
  <c r="BA561" i="4"/>
  <c r="BA560" i="4"/>
  <c r="BA559" i="4"/>
  <c r="BA558" i="4"/>
  <c r="BA557" i="4"/>
  <c r="BA556" i="4"/>
  <c r="BA555" i="4"/>
  <c r="BA554" i="4"/>
  <c r="BA553" i="4"/>
  <c r="BA552" i="4"/>
  <c r="BA551" i="4"/>
  <c r="BA550" i="4"/>
  <c r="BA549" i="4"/>
  <c r="BA548" i="4"/>
  <c r="BA547" i="4"/>
  <c r="BA546" i="4"/>
  <c r="BA545" i="4"/>
  <c r="BA544" i="4"/>
  <c r="BA543" i="4"/>
  <c r="BA542" i="4"/>
  <c r="BA541" i="4"/>
  <c r="BA540" i="4"/>
  <c r="BA539" i="4"/>
  <c r="BA538" i="4"/>
  <c r="BA537" i="4"/>
  <c r="BA536" i="4"/>
  <c r="BA535" i="4"/>
  <c r="BA534" i="4"/>
  <c r="BA533" i="4"/>
  <c r="BA532" i="4"/>
  <c r="BA531" i="4"/>
  <c r="BA530" i="4"/>
  <c r="BA529" i="4"/>
  <c r="BA528" i="4"/>
  <c r="BA527" i="4"/>
  <c r="BA526" i="4"/>
  <c r="BA525" i="4"/>
  <c r="BA524" i="4"/>
  <c r="BA523" i="4"/>
  <c r="BA522" i="4"/>
  <c r="BA521" i="4"/>
  <c r="BA520" i="4"/>
  <c r="BA519" i="4"/>
  <c r="BA518" i="4"/>
  <c r="BA517" i="4"/>
  <c r="BA516" i="4"/>
  <c r="BA515" i="4"/>
  <c r="BA514" i="4"/>
  <c r="BA513" i="4"/>
  <c r="BA512" i="4"/>
  <c r="BA511" i="4"/>
  <c r="BA510" i="4"/>
  <c r="BA509" i="4"/>
  <c r="BA508" i="4"/>
  <c r="BA507" i="4"/>
  <c r="BA506" i="4"/>
  <c r="BA505" i="4"/>
  <c r="BA504" i="4"/>
  <c r="BA503" i="4"/>
  <c r="BA502" i="4"/>
  <c r="BA501" i="4"/>
  <c r="BA500" i="4"/>
  <c r="BA499" i="4"/>
  <c r="BA498" i="4"/>
  <c r="BA497" i="4"/>
  <c r="BA496" i="4"/>
  <c r="BA495" i="4"/>
  <c r="BA494" i="4"/>
  <c r="BA493" i="4"/>
  <c r="BA492" i="4"/>
  <c r="BA491" i="4"/>
  <c r="BA490" i="4"/>
  <c r="BA489" i="4"/>
  <c r="BA488" i="4"/>
  <c r="BA487" i="4"/>
  <c r="BA486" i="4"/>
  <c r="BA485" i="4"/>
  <c r="BA484" i="4"/>
  <c r="BA483" i="4"/>
  <c r="BA482" i="4"/>
  <c r="BA481" i="4"/>
  <c r="BA480" i="4"/>
  <c r="BA479" i="4"/>
  <c r="BA478" i="4"/>
  <c r="BA477" i="4"/>
  <c r="BA476" i="4"/>
  <c r="BA475" i="4"/>
  <c r="BA474" i="4"/>
  <c r="BA473" i="4"/>
  <c r="BA472" i="4"/>
  <c r="BA471" i="4"/>
  <c r="BA470" i="4"/>
  <c r="BA469" i="4"/>
  <c r="BA468" i="4"/>
  <c r="BA467" i="4"/>
  <c r="BA466" i="4"/>
  <c r="BA465" i="4"/>
  <c r="BA464" i="4"/>
  <c r="BA463" i="4"/>
  <c r="BA462" i="4"/>
  <c r="BA461" i="4"/>
  <c r="BA460" i="4"/>
  <c r="BA459" i="4"/>
  <c r="BA458" i="4"/>
  <c r="BA457" i="4"/>
  <c r="BA456" i="4"/>
  <c r="BA455" i="4"/>
  <c r="BA454" i="4"/>
  <c r="BA453" i="4"/>
  <c r="BA452" i="4"/>
  <c r="BA451" i="4"/>
  <c r="BA450" i="4"/>
  <c r="BA449" i="4"/>
  <c r="BA448" i="4"/>
  <c r="BA447" i="4"/>
  <c r="BA446" i="4"/>
  <c r="BA445" i="4"/>
  <c r="BA444" i="4"/>
  <c r="BA443" i="4"/>
  <c r="BA442" i="4"/>
  <c r="BA441" i="4"/>
  <c r="BA440" i="4"/>
  <c r="BA439" i="4"/>
  <c r="BA438" i="4"/>
  <c r="BA437" i="4"/>
  <c r="BA436" i="4"/>
  <c r="BA435" i="4"/>
  <c r="BA434" i="4"/>
  <c r="BA433" i="4"/>
  <c r="BA432" i="4"/>
  <c r="BA431" i="4"/>
  <c r="BA430" i="4"/>
  <c r="BA429" i="4"/>
  <c r="BA428" i="4"/>
  <c r="BA427" i="4"/>
  <c r="BA426" i="4"/>
  <c r="BA425" i="4"/>
  <c r="BA424" i="4"/>
  <c r="BA423" i="4"/>
  <c r="BA422" i="4"/>
  <c r="BA421" i="4"/>
  <c r="BA420" i="4"/>
  <c r="BA419" i="4"/>
  <c r="BA418" i="4"/>
  <c r="BA417" i="4"/>
  <c r="BA416" i="4"/>
  <c r="BA415" i="4"/>
  <c r="BA414" i="4"/>
  <c r="BA413" i="4"/>
  <c r="BA412" i="4"/>
  <c r="BA411" i="4"/>
  <c r="BA410" i="4"/>
  <c r="BA409" i="4"/>
  <c r="BA408" i="4"/>
  <c r="BA407" i="4"/>
  <c r="BA406" i="4"/>
  <c r="BA405" i="4"/>
  <c r="BA404" i="4"/>
  <c r="BA403" i="4"/>
  <c r="BA402" i="4"/>
  <c r="BA401" i="4"/>
  <c r="BA400" i="4"/>
  <c r="BA399" i="4"/>
  <c r="BA398" i="4"/>
  <c r="BA397" i="4"/>
  <c r="BA396" i="4"/>
  <c r="BA395" i="4"/>
  <c r="BA394" i="4"/>
  <c r="BA393" i="4"/>
  <c r="BA392" i="4"/>
  <c r="BA391" i="4"/>
  <c r="BA390" i="4"/>
  <c r="BA389" i="4"/>
  <c r="BA388" i="4"/>
  <c r="BA387" i="4"/>
  <c r="BA386" i="4"/>
  <c r="BA385" i="4"/>
  <c r="BA384" i="4"/>
  <c r="BA383" i="4"/>
  <c r="BA382" i="4"/>
  <c r="BA381" i="4"/>
  <c r="BA380" i="4"/>
  <c r="BA379" i="4"/>
  <c r="BA378" i="4"/>
  <c r="BA377" i="4"/>
  <c r="BA376" i="4"/>
  <c r="BA375" i="4"/>
  <c r="BA374" i="4"/>
  <c r="BA373" i="4"/>
  <c r="BA372" i="4"/>
  <c r="BA371" i="4"/>
  <c r="BA370" i="4"/>
  <c r="BA369" i="4"/>
  <c r="BA368" i="4"/>
  <c r="BA367" i="4"/>
  <c r="BA366" i="4"/>
  <c r="BA365" i="4"/>
  <c r="BA364" i="4"/>
  <c r="BA363" i="4"/>
  <c r="BA362" i="4"/>
  <c r="BA361" i="4"/>
  <c r="BA360" i="4"/>
  <c r="BA359" i="4"/>
  <c r="BA358" i="4"/>
  <c r="BA357" i="4"/>
  <c r="BA356" i="4"/>
  <c r="BA355" i="4"/>
  <c r="BA354" i="4"/>
  <c r="BA353" i="4"/>
  <c r="BA352" i="4"/>
  <c r="BA351" i="4"/>
  <c r="BA350" i="4"/>
  <c r="BA349" i="4"/>
  <c r="BA348" i="4"/>
  <c r="BA347" i="4"/>
  <c r="BA346" i="4"/>
  <c r="BA345" i="4"/>
  <c r="BA344" i="4"/>
  <c r="BA343" i="4"/>
  <c r="BA342" i="4"/>
  <c r="BA341" i="4"/>
  <c r="BA340" i="4"/>
  <c r="BA339" i="4"/>
  <c r="BA338" i="4"/>
  <c r="BA337" i="4"/>
  <c r="BA336" i="4"/>
  <c r="BA335" i="4"/>
  <c r="BA334" i="4"/>
  <c r="BA333" i="4"/>
  <c r="BA332" i="4"/>
  <c r="BA331" i="4"/>
  <c r="BA330" i="4"/>
  <c r="BA329" i="4"/>
  <c r="BA328" i="4"/>
  <c r="BA327" i="4"/>
  <c r="BA326" i="4"/>
  <c r="BA325" i="4"/>
  <c r="BA324" i="4"/>
  <c r="BA323" i="4"/>
  <c r="BA322" i="4"/>
  <c r="BA321" i="4"/>
  <c r="BA320" i="4"/>
  <c r="BA319" i="4"/>
  <c r="BA318" i="4"/>
  <c r="BA317" i="4"/>
  <c r="BA316" i="4"/>
  <c r="BA315" i="4"/>
  <c r="BA314" i="4"/>
  <c r="BA313" i="4"/>
  <c r="BA312" i="4"/>
  <c r="BA311" i="4"/>
  <c r="BA310" i="4"/>
  <c r="BA309" i="4"/>
  <c r="BA308" i="4"/>
  <c r="BA307" i="4"/>
  <c r="BA306" i="4"/>
  <c r="BA305" i="4"/>
  <c r="BA304" i="4"/>
  <c r="BA303" i="4"/>
  <c r="BA302" i="4"/>
  <c r="BA301" i="4"/>
  <c r="BA300" i="4"/>
  <c r="BA299" i="4"/>
  <c r="BA298" i="4"/>
  <c r="BA297" i="4"/>
  <c r="BA296" i="4"/>
  <c r="BA295" i="4"/>
  <c r="BA294" i="4"/>
  <c r="BA293" i="4"/>
  <c r="BA292" i="4"/>
  <c r="BA291" i="4"/>
  <c r="BA290" i="4"/>
  <c r="BA289" i="4"/>
  <c r="BA288" i="4"/>
  <c r="BA287" i="4"/>
  <c r="BA286" i="4"/>
  <c r="BA285" i="4"/>
  <c r="BA284" i="4"/>
  <c r="BA283" i="4"/>
  <c r="BA282" i="4"/>
  <c r="BA281" i="4"/>
  <c r="BA280" i="4"/>
  <c r="BA279" i="4"/>
  <c r="BA278" i="4"/>
  <c r="BA277" i="4"/>
  <c r="BA276" i="4"/>
  <c r="BA275" i="4"/>
  <c r="BA274" i="4"/>
  <c r="BA273" i="4"/>
  <c r="BA272" i="4"/>
  <c r="BA271" i="4"/>
  <c r="BA270" i="4"/>
  <c r="BA269" i="4"/>
  <c r="BA268" i="4"/>
  <c r="BA267" i="4"/>
  <c r="BA266" i="4"/>
  <c r="BA265" i="4"/>
  <c r="BA264" i="4"/>
  <c r="BA263" i="4"/>
  <c r="BA262" i="4"/>
  <c r="BA261" i="4"/>
  <c r="BA260" i="4"/>
  <c r="BA259" i="4"/>
  <c r="BA258" i="4"/>
  <c r="BA257" i="4"/>
  <c r="BA256" i="4"/>
  <c r="BA255" i="4"/>
  <c r="BA254" i="4"/>
  <c r="BA253" i="4"/>
  <c r="BA252" i="4"/>
  <c r="BA251" i="4"/>
  <c r="BA250" i="4"/>
  <c r="BA249" i="4"/>
  <c r="BA248" i="4"/>
  <c r="BA247" i="4"/>
  <c r="BA246" i="4"/>
  <c r="BA245" i="4"/>
  <c r="BA244" i="4"/>
  <c r="BA243" i="4"/>
  <c r="BA242" i="4"/>
  <c r="BA241" i="4"/>
  <c r="BA240" i="4"/>
  <c r="BA239" i="4"/>
  <c r="BA238" i="4"/>
  <c r="BA237" i="4"/>
  <c r="BA236" i="4"/>
  <c r="BA235" i="4"/>
  <c r="BA234" i="4"/>
  <c r="BA233" i="4"/>
  <c r="BA232" i="4"/>
  <c r="BA231" i="4"/>
  <c r="BA230" i="4"/>
  <c r="BA229" i="4"/>
  <c r="BA228" i="4"/>
  <c r="BA227" i="4"/>
  <c r="BA226" i="4"/>
  <c r="BA225" i="4"/>
  <c r="BA224" i="4"/>
  <c r="BA223" i="4"/>
  <c r="BA222" i="4"/>
  <c r="BA221" i="4"/>
  <c r="BA220" i="4"/>
  <c r="BA219" i="4"/>
  <c r="BA218" i="4"/>
  <c r="BA217" i="4"/>
  <c r="BA216" i="4"/>
  <c r="BA215" i="4"/>
  <c r="BA214" i="4"/>
  <c r="BA213" i="4"/>
  <c r="BA212" i="4"/>
  <c r="BA211" i="4"/>
  <c r="BA210" i="4"/>
  <c r="BA209" i="4"/>
  <c r="BA208" i="4"/>
  <c r="BA207" i="4"/>
  <c r="BA206" i="4"/>
  <c r="BA205" i="4"/>
  <c r="BA204" i="4"/>
  <c r="BA203" i="4"/>
  <c r="BA202" i="4"/>
  <c r="BA201" i="4"/>
  <c r="BA200" i="4"/>
  <c r="BA199" i="4"/>
  <c r="BA198" i="4"/>
  <c r="BA197" i="4"/>
  <c r="BA196" i="4"/>
  <c r="BA195" i="4"/>
  <c r="BA194" i="4"/>
  <c r="BA193" i="4"/>
  <c r="BA192" i="4"/>
  <c r="BA191" i="4"/>
  <c r="BA190" i="4"/>
  <c r="BA189" i="4"/>
  <c r="BA188" i="4"/>
  <c r="BA187" i="4"/>
  <c r="BA186" i="4"/>
  <c r="BA185" i="4"/>
  <c r="BA184" i="4"/>
  <c r="BA183" i="4"/>
  <c r="BA182" i="4"/>
  <c r="BA181" i="4"/>
  <c r="BA180" i="4"/>
  <c r="BA179" i="4"/>
  <c r="BA178" i="4"/>
  <c r="BA177" i="4"/>
  <c r="BA176" i="4"/>
  <c r="BA175" i="4"/>
  <c r="BA174" i="4"/>
  <c r="BA173" i="4"/>
  <c r="BA172" i="4"/>
  <c r="BA171" i="4"/>
  <c r="BA170" i="4"/>
  <c r="BA169" i="4"/>
  <c r="BA168" i="4"/>
  <c r="BA167" i="4"/>
  <c r="BA166" i="4"/>
  <c r="BA165" i="4"/>
  <c r="BA164" i="4"/>
  <c r="BA163" i="4"/>
  <c r="BA162" i="4"/>
  <c r="BA161" i="4"/>
  <c r="BA160" i="4"/>
  <c r="BA159" i="4"/>
  <c r="BA158" i="4"/>
  <c r="BA157" i="4"/>
  <c r="BA156" i="4"/>
  <c r="BA155" i="4"/>
  <c r="BA154" i="4"/>
  <c r="BA153" i="4"/>
  <c r="BA152" i="4"/>
  <c r="BA151" i="4"/>
  <c r="BA150" i="4"/>
  <c r="BA149" i="4"/>
  <c r="BA148" i="4"/>
  <c r="BA147" i="4"/>
  <c r="BA146" i="4"/>
  <c r="BA145" i="4"/>
  <c r="BA144" i="4"/>
  <c r="BA143" i="4"/>
  <c r="BA142" i="4"/>
  <c r="BA141" i="4"/>
  <c r="BA140" i="4"/>
  <c r="BA139" i="4"/>
  <c r="BA138" i="4"/>
  <c r="BA137" i="4"/>
  <c r="BA136" i="4"/>
  <c r="BA135" i="4"/>
  <c r="BA134" i="4"/>
  <c r="BA133" i="4"/>
  <c r="BA132" i="4"/>
  <c r="BA131" i="4"/>
  <c r="BA130" i="4"/>
  <c r="BA129" i="4"/>
  <c r="BA128" i="4"/>
  <c r="BA127" i="4"/>
  <c r="BA126" i="4"/>
  <c r="BA125" i="4"/>
  <c r="BA124" i="4"/>
  <c r="BA123" i="4"/>
  <c r="BA122" i="4"/>
  <c r="BA121" i="4"/>
  <c r="BA120" i="4"/>
  <c r="BA119" i="4"/>
  <c r="BA118" i="4"/>
  <c r="BA117" i="4"/>
  <c r="BA116" i="4"/>
  <c r="BA115" i="4"/>
  <c r="BA114" i="4"/>
  <c r="BA113" i="4"/>
  <c r="BA112" i="4"/>
  <c r="BA111" i="4"/>
  <c r="BA110" i="4"/>
  <c r="BA109" i="4"/>
  <c r="BA108" i="4"/>
  <c r="BA107" i="4"/>
  <c r="BA106" i="4"/>
  <c r="BA105" i="4"/>
  <c r="BA104" i="4"/>
  <c r="BA103" i="4"/>
  <c r="BA102" i="4"/>
  <c r="BA101" i="4"/>
  <c r="BA100" i="4"/>
  <c r="BA99" i="4"/>
  <c r="BA98" i="4"/>
  <c r="BA97" i="4"/>
  <c r="BA96" i="4"/>
  <c r="BA95" i="4"/>
  <c r="BA94" i="4"/>
  <c r="BA93" i="4"/>
  <c r="BA92" i="4"/>
  <c r="BA91" i="4"/>
  <c r="BA90" i="4"/>
  <c r="BA89" i="4"/>
  <c r="BA88" i="4"/>
  <c r="BA87" i="4"/>
  <c r="BA86" i="4"/>
  <c r="BA85" i="4"/>
  <c r="BA84" i="4"/>
  <c r="BA83" i="4"/>
  <c r="BA82" i="4"/>
  <c r="BA81" i="4"/>
  <c r="BA80" i="4"/>
  <c r="BA79" i="4"/>
  <c r="BA78" i="4"/>
  <c r="BA77" i="4"/>
  <c r="BA76" i="4"/>
  <c r="BA75" i="4"/>
  <c r="BA74" i="4"/>
  <c r="BA73" i="4"/>
  <c r="BA72" i="4"/>
  <c r="BA71" i="4"/>
  <c r="BA70" i="4"/>
  <c r="BA69" i="4"/>
  <c r="BA68" i="4"/>
  <c r="BA67" i="4"/>
  <c r="BA66" i="4"/>
  <c r="BA65" i="4"/>
  <c r="BA64" i="4"/>
  <c r="BA63" i="4"/>
  <c r="BA62" i="4"/>
  <c r="BA61" i="4"/>
  <c r="BA60" i="4"/>
  <c r="BA59" i="4"/>
  <c r="BA58" i="4"/>
  <c r="BA57" i="4"/>
  <c r="BA56" i="4"/>
  <c r="BA55" i="4"/>
  <c r="BA54" i="4"/>
  <c r="BA53" i="4"/>
  <c r="BA52" i="4"/>
  <c r="BA51" i="4"/>
  <c r="BA50" i="4"/>
  <c r="BA49" i="4"/>
  <c r="BA48" i="4"/>
  <c r="BA47" i="4"/>
  <c r="BA46" i="4"/>
  <c r="BA45" i="4"/>
  <c r="BA44" i="4"/>
  <c r="BA43" i="4"/>
  <c r="BA42" i="4"/>
  <c r="BA41" i="4"/>
  <c r="BA40" i="4"/>
  <c r="BA39" i="4"/>
  <c r="BA38" i="4"/>
  <c r="BA37" i="4"/>
  <c r="BA36" i="4"/>
  <c r="BA35" i="4"/>
  <c r="BA34" i="4"/>
  <c r="BA33" i="4"/>
  <c r="BA32" i="4"/>
  <c r="BA31" i="4"/>
  <c r="BA30" i="4"/>
  <c r="BA29" i="4"/>
  <c r="BA28" i="4"/>
  <c r="BA27" i="4"/>
  <c r="BA26" i="4"/>
  <c r="BA25" i="4"/>
  <c r="BA24" i="4"/>
  <c r="BA23" i="4"/>
  <c r="BA22" i="4"/>
  <c r="BA21" i="4"/>
  <c r="BA20" i="4"/>
  <c r="BA19" i="4"/>
  <c r="BA18" i="4"/>
  <c r="BA17" i="4"/>
  <c r="BA16" i="4"/>
  <c r="BA15" i="4"/>
  <c r="BA14" i="4"/>
  <c r="BA13" i="4"/>
  <c r="BA12" i="4"/>
  <c r="BA11" i="4"/>
  <c r="BA10" i="4"/>
  <c r="BA9" i="4"/>
  <c r="BA8" i="4"/>
  <c r="BA7" i="4"/>
  <c r="BA6" i="4"/>
  <c r="BA5" i="4"/>
  <c r="BA4" i="4"/>
  <c r="BA3" i="4"/>
  <c r="BA2" i="4"/>
  <c r="K1001" i="4"/>
  <c r="K1000" i="4"/>
  <c r="K999" i="4"/>
  <c r="K998" i="4"/>
  <c r="K997" i="4"/>
  <c r="K996" i="4"/>
  <c r="K995" i="4"/>
  <c r="K994" i="4"/>
  <c r="K993" i="4"/>
  <c r="K992" i="4"/>
  <c r="K991" i="4"/>
  <c r="K990" i="4"/>
  <c r="K989" i="4"/>
  <c r="K988" i="4"/>
  <c r="K987" i="4"/>
  <c r="K986" i="4"/>
  <c r="K985" i="4"/>
  <c r="K984" i="4"/>
  <c r="K983" i="4"/>
  <c r="K982" i="4"/>
  <c r="K981" i="4"/>
  <c r="K980" i="4"/>
  <c r="K979" i="4"/>
  <c r="K978" i="4"/>
  <c r="K977" i="4"/>
  <c r="K976" i="4"/>
  <c r="K975" i="4"/>
  <c r="K974" i="4"/>
  <c r="K973" i="4"/>
  <c r="K972" i="4"/>
  <c r="K971" i="4"/>
  <c r="K970" i="4"/>
  <c r="K969" i="4"/>
  <c r="K968" i="4"/>
  <c r="K967" i="4"/>
  <c r="K966" i="4"/>
  <c r="K965" i="4"/>
  <c r="K964" i="4"/>
  <c r="K963" i="4"/>
  <c r="K962" i="4"/>
  <c r="K961" i="4"/>
  <c r="K960" i="4"/>
  <c r="K959" i="4"/>
  <c r="K958" i="4"/>
  <c r="K957" i="4"/>
  <c r="K956" i="4"/>
  <c r="K955" i="4"/>
  <c r="K954" i="4"/>
  <c r="K953" i="4"/>
  <c r="K952" i="4"/>
  <c r="K951" i="4"/>
  <c r="K950" i="4"/>
  <c r="K949" i="4"/>
  <c r="K948" i="4"/>
  <c r="K947" i="4"/>
  <c r="K946" i="4"/>
  <c r="K945" i="4"/>
  <c r="K944" i="4"/>
  <c r="K943" i="4"/>
  <c r="K942" i="4"/>
  <c r="K941" i="4"/>
  <c r="K940" i="4"/>
  <c r="K939" i="4"/>
  <c r="K938" i="4"/>
  <c r="K937" i="4"/>
  <c r="K936" i="4"/>
  <c r="K935" i="4"/>
  <c r="K934" i="4"/>
  <c r="K933" i="4"/>
  <c r="K932" i="4"/>
  <c r="K931" i="4"/>
  <c r="K930" i="4"/>
  <c r="K929" i="4"/>
  <c r="K928" i="4"/>
  <c r="K927" i="4"/>
  <c r="K926" i="4"/>
  <c r="K925" i="4"/>
  <c r="K924" i="4"/>
  <c r="K923" i="4"/>
  <c r="K922" i="4"/>
  <c r="K921" i="4"/>
  <c r="K920" i="4"/>
  <c r="K919" i="4"/>
  <c r="K918" i="4"/>
  <c r="K917" i="4"/>
  <c r="K916" i="4"/>
  <c r="K915" i="4"/>
  <c r="K914" i="4"/>
  <c r="K913" i="4"/>
  <c r="K912" i="4"/>
  <c r="K911" i="4"/>
  <c r="K910" i="4"/>
  <c r="K909" i="4"/>
  <c r="K908" i="4"/>
  <c r="K907" i="4"/>
  <c r="K906" i="4"/>
  <c r="K905" i="4"/>
  <c r="K904" i="4"/>
  <c r="K903" i="4"/>
  <c r="K902" i="4"/>
  <c r="K901" i="4"/>
  <c r="K900" i="4"/>
  <c r="K899" i="4"/>
  <c r="K898" i="4"/>
  <c r="K897" i="4"/>
  <c r="K896" i="4"/>
  <c r="K895" i="4"/>
  <c r="K894" i="4"/>
  <c r="K893" i="4"/>
  <c r="K892" i="4"/>
  <c r="K891" i="4"/>
  <c r="K890" i="4"/>
  <c r="K889" i="4"/>
  <c r="K888" i="4"/>
  <c r="K887" i="4"/>
  <c r="K886" i="4"/>
  <c r="K885" i="4"/>
  <c r="K884" i="4"/>
  <c r="K883" i="4"/>
  <c r="K882" i="4"/>
  <c r="K881" i="4"/>
  <c r="K880" i="4"/>
  <c r="K879" i="4"/>
  <c r="K878" i="4"/>
  <c r="K877" i="4"/>
  <c r="K876" i="4"/>
  <c r="K875" i="4"/>
  <c r="K874" i="4"/>
  <c r="K873" i="4"/>
  <c r="K872" i="4"/>
  <c r="K871" i="4"/>
  <c r="K870" i="4"/>
  <c r="K869" i="4"/>
  <c r="K868" i="4"/>
  <c r="K867" i="4"/>
  <c r="K866" i="4"/>
  <c r="K865" i="4"/>
  <c r="K864" i="4"/>
  <c r="K863" i="4"/>
  <c r="K862" i="4"/>
  <c r="K861" i="4"/>
  <c r="K860" i="4"/>
  <c r="K859" i="4"/>
  <c r="K858" i="4"/>
  <c r="K857" i="4"/>
  <c r="K856" i="4"/>
  <c r="K855" i="4"/>
  <c r="K854" i="4"/>
  <c r="K853" i="4"/>
  <c r="K852" i="4"/>
  <c r="K851" i="4"/>
  <c r="K850" i="4"/>
  <c r="K849" i="4"/>
  <c r="K848" i="4"/>
  <c r="K847" i="4"/>
  <c r="K846" i="4"/>
  <c r="K845" i="4"/>
  <c r="K844" i="4"/>
  <c r="K843" i="4"/>
  <c r="K842" i="4"/>
  <c r="K841" i="4"/>
  <c r="K840" i="4"/>
  <c r="K839" i="4"/>
  <c r="K838" i="4"/>
  <c r="K837" i="4"/>
  <c r="K836" i="4"/>
  <c r="K835" i="4"/>
  <c r="K834" i="4"/>
  <c r="K833" i="4"/>
  <c r="K832" i="4"/>
  <c r="K831" i="4"/>
  <c r="K830" i="4"/>
  <c r="K829" i="4"/>
  <c r="K828" i="4"/>
  <c r="K827" i="4"/>
  <c r="K826" i="4"/>
  <c r="K825" i="4"/>
  <c r="K824" i="4"/>
  <c r="K823" i="4"/>
  <c r="K822" i="4"/>
  <c r="K821" i="4"/>
  <c r="K820" i="4"/>
  <c r="K819" i="4"/>
  <c r="K818" i="4"/>
  <c r="K817" i="4"/>
  <c r="K816" i="4"/>
  <c r="K815" i="4"/>
  <c r="K814" i="4"/>
  <c r="K813" i="4"/>
  <c r="K812" i="4"/>
  <c r="K811" i="4"/>
  <c r="K810" i="4"/>
  <c r="K809" i="4"/>
  <c r="K808" i="4"/>
  <c r="K807" i="4"/>
  <c r="K806" i="4"/>
  <c r="K805" i="4"/>
  <c r="K804" i="4"/>
  <c r="K803" i="4"/>
  <c r="K802" i="4"/>
  <c r="K801" i="4"/>
  <c r="K800" i="4"/>
  <c r="K799" i="4"/>
  <c r="K798" i="4"/>
  <c r="K797" i="4"/>
  <c r="K796" i="4"/>
  <c r="K795" i="4"/>
  <c r="K794" i="4"/>
  <c r="K793" i="4"/>
  <c r="K792" i="4"/>
  <c r="K791" i="4"/>
  <c r="K790" i="4"/>
  <c r="K789" i="4"/>
  <c r="K788" i="4"/>
  <c r="K787" i="4"/>
  <c r="K786" i="4"/>
  <c r="K785" i="4"/>
  <c r="K784" i="4"/>
  <c r="K783" i="4"/>
  <c r="K782" i="4"/>
  <c r="K781" i="4"/>
  <c r="K780" i="4"/>
  <c r="K779" i="4"/>
  <c r="K778" i="4"/>
  <c r="K777" i="4"/>
  <c r="K776" i="4"/>
  <c r="K775" i="4"/>
  <c r="K774" i="4"/>
  <c r="K773" i="4"/>
  <c r="K772" i="4"/>
  <c r="K771" i="4"/>
  <c r="K770" i="4"/>
  <c r="K769" i="4"/>
  <c r="K768" i="4"/>
  <c r="K767" i="4"/>
  <c r="K766" i="4"/>
  <c r="K765" i="4"/>
  <c r="K764" i="4"/>
  <c r="K763" i="4"/>
  <c r="K762" i="4"/>
  <c r="K761" i="4"/>
  <c r="K760" i="4"/>
  <c r="K759" i="4"/>
  <c r="K758" i="4"/>
  <c r="K757" i="4"/>
  <c r="K756" i="4"/>
  <c r="K755" i="4"/>
  <c r="K754" i="4"/>
  <c r="K753" i="4"/>
  <c r="K752" i="4"/>
  <c r="K751" i="4"/>
  <c r="K750" i="4"/>
  <c r="K749" i="4"/>
  <c r="K748" i="4"/>
  <c r="K747" i="4"/>
  <c r="K746" i="4"/>
  <c r="K745" i="4"/>
  <c r="K744" i="4"/>
  <c r="K743" i="4"/>
  <c r="K742" i="4"/>
  <c r="K741" i="4"/>
  <c r="K740" i="4"/>
  <c r="K739" i="4"/>
  <c r="K738" i="4"/>
  <c r="K737" i="4"/>
  <c r="K736" i="4"/>
  <c r="K735" i="4"/>
  <c r="K734" i="4"/>
  <c r="K733" i="4"/>
  <c r="K732" i="4"/>
  <c r="K731" i="4"/>
  <c r="K730" i="4"/>
  <c r="K729" i="4"/>
  <c r="K728" i="4"/>
  <c r="K727" i="4"/>
  <c r="K726" i="4"/>
  <c r="K725" i="4"/>
  <c r="K724" i="4"/>
  <c r="K723" i="4"/>
  <c r="K722" i="4"/>
  <c r="K721" i="4"/>
  <c r="K720" i="4"/>
  <c r="K719" i="4"/>
  <c r="K718" i="4"/>
  <c r="K717" i="4"/>
  <c r="K716" i="4"/>
  <c r="K715" i="4"/>
  <c r="K714" i="4"/>
  <c r="K713" i="4"/>
  <c r="K712" i="4"/>
  <c r="K711" i="4"/>
  <c r="K710" i="4"/>
  <c r="K709" i="4"/>
  <c r="K708" i="4"/>
  <c r="K707" i="4"/>
  <c r="K706" i="4"/>
  <c r="K705" i="4"/>
  <c r="K704" i="4"/>
  <c r="K703" i="4"/>
  <c r="K702" i="4"/>
  <c r="K701" i="4"/>
  <c r="K700" i="4"/>
  <c r="K699" i="4"/>
  <c r="K698" i="4"/>
  <c r="K697" i="4"/>
  <c r="K696" i="4"/>
  <c r="K695" i="4"/>
  <c r="K694" i="4"/>
  <c r="K693" i="4"/>
  <c r="K692" i="4"/>
  <c r="K691" i="4"/>
  <c r="K690" i="4"/>
  <c r="K689" i="4"/>
  <c r="K688" i="4"/>
  <c r="K687" i="4"/>
  <c r="K686" i="4"/>
  <c r="K685" i="4"/>
  <c r="K684" i="4"/>
  <c r="K683" i="4"/>
  <c r="K682" i="4"/>
  <c r="K681" i="4"/>
  <c r="K680" i="4"/>
  <c r="K679" i="4"/>
  <c r="K678" i="4"/>
  <c r="K677" i="4"/>
  <c r="K676" i="4"/>
  <c r="K675" i="4"/>
  <c r="K674" i="4"/>
  <c r="K673" i="4"/>
  <c r="K672" i="4"/>
  <c r="K671" i="4"/>
  <c r="K670" i="4"/>
  <c r="K669" i="4"/>
  <c r="K668" i="4"/>
  <c r="K667" i="4"/>
  <c r="K666" i="4"/>
  <c r="K665" i="4"/>
  <c r="K664" i="4"/>
  <c r="K663" i="4"/>
  <c r="K662" i="4"/>
  <c r="K661" i="4"/>
  <c r="K660" i="4"/>
  <c r="K659" i="4"/>
  <c r="K658" i="4"/>
  <c r="K657" i="4"/>
  <c r="K656" i="4"/>
  <c r="K655" i="4"/>
  <c r="K654" i="4"/>
  <c r="K653" i="4"/>
  <c r="K652" i="4"/>
  <c r="K651" i="4"/>
  <c r="K650" i="4"/>
  <c r="K649" i="4"/>
  <c r="K648" i="4"/>
  <c r="K647" i="4"/>
  <c r="K646" i="4"/>
  <c r="K645" i="4"/>
  <c r="K644" i="4"/>
  <c r="K643" i="4"/>
  <c r="K642" i="4"/>
  <c r="K641" i="4"/>
  <c r="K640" i="4"/>
  <c r="K639" i="4"/>
  <c r="K638" i="4"/>
  <c r="K637" i="4"/>
  <c r="K636" i="4"/>
  <c r="K635" i="4"/>
  <c r="K634" i="4"/>
  <c r="K633" i="4"/>
  <c r="K632" i="4"/>
  <c r="K631" i="4"/>
  <c r="K630" i="4"/>
  <c r="K629" i="4"/>
  <c r="K628" i="4"/>
  <c r="K627" i="4"/>
  <c r="K626" i="4"/>
  <c r="K625" i="4"/>
  <c r="K624" i="4"/>
  <c r="K623" i="4"/>
  <c r="K622" i="4"/>
  <c r="K621" i="4"/>
  <c r="K620" i="4"/>
  <c r="K619" i="4"/>
  <c r="K618" i="4"/>
  <c r="K617" i="4"/>
  <c r="K616" i="4"/>
  <c r="K615" i="4"/>
  <c r="K614" i="4"/>
  <c r="K613" i="4"/>
  <c r="K612" i="4"/>
  <c r="K611" i="4"/>
  <c r="K610" i="4"/>
  <c r="K609" i="4"/>
  <c r="K608" i="4"/>
  <c r="K607" i="4"/>
  <c r="K606" i="4"/>
  <c r="K605" i="4"/>
  <c r="K604" i="4"/>
  <c r="K603" i="4"/>
  <c r="K602" i="4"/>
  <c r="K601" i="4"/>
  <c r="K600" i="4"/>
  <c r="K599" i="4"/>
  <c r="K598" i="4"/>
  <c r="K597" i="4"/>
  <c r="K596" i="4"/>
  <c r="K595" i="4"/>
  <c r="K594" i="4"/>
  <c r="K593" i="4"/>
  <c r="K592" i="4"/>
  <c r="K591" i="4"/>
  <c r="K590" i="4"/>
  <c r="K589" i="4"/>
  <c r="K588" i="4"/>
  <c r="K587" i="4"/>
  <c r="K586" i="4"/>
  <c r="K585" i="4"/>
  <c r="K584" i="4"/>
  <c r="K583" i="4"/>
  <c r="K582" i="4"/>
  <c r="K581" i="4"/>
  <c r="K580" i="4"/>
  <c r="K579" i="4"/>
  <c r="K578" i="4"/>
  <c r="K577" i="4"/>
  <c r="K576" i="4"/>
  <c r="K575" i="4"/>
  <c r="K574" i="4"/>
  <c r="K573" i="4"/>
  <c r="K572" i="4"/>
  <c r="K571" i="4"/>
  <c r="K570" i="4"/>
  <c r="K569" i="4"/>
  <c r="K568" i="4"/>
  <c r="K567" i="4"/>
  <c r="K566" i="4"/>
  <c r="K565" i="4"/>
  <c r="K564" i="4"/>
  <c r="K563" i="4"/>
  <c r="K562" i="4"/>
  <c r="K561" i="4"/>
  <c r="K560" i="4"/>
  <c r="K559" i="4"/>
  <c r="K558" i="4"/>
  <c r="K557" i="4"/>
  <c r="K556" i="4"/>
  <c r="K555" i="4"/>
  <c r="K554" i="4"/>
  <c r="K553" i="4"/>
  <c r="K552" i="4"/>
  <c r="K551" i="4"/>
  <c r="K550" i="4"/>
  <c r="K549" i="4"/>
  <c r="K548" i="4"/>
  <c r="K547" i="4"/>
  <c r="K546" i="4"/>
  <c r="K545" i="4"/>
  <c r="K544" i="4"/>
  <c r="K543" i="4"/>
  <c r="K542" i="4"/>
  <c r="K541" i="4"/>
  <c r="K540" i="4"/>
  <c r="K539" i="4"/>
  <c r="K538" i="4"/>
  <c r="K537" i="4"/>
  <c r="K536" i="4"/>
  <c r="K535" i="4"/>
  <c r="K534" i="4"/>
  <c r="K533" i="4"/>
  <c r="K532" i="4"/>
  <c r="K531" i="4"/>
  <c r="K530" i="4"/>
  <c r="K529" i="4"/>
  <c r="K528" i="4"/>
  <c r="K527" i="4"/>
  <c r="K526" i="4"/>
  <c r="K525" i="4"/>
  <c r="K524" i="4"/>
  <c r="K523" i="4"/>
  <c r="K522" i="4"/>
  <c r="K521" i="4"/>
  <c r="K520" i="4"/>
  <c r="K519" i="4"/>
  <c r="K518" i="4"/>
  <c r="K517" i="4"/>
  <c r="K516" i="4"/>
  <c r="K515" i="4"/>
  <c r="K514" i="4"/>
  <c r="K513" i="4"/>
  <c r="K512" i="4"/>
  <c r="K511" i="4"/>
  <c r="K510" i="4"/>
  <c r="K509" i="4"/>
  <c r="K508" i="4"/>
  <c r="K507" i="4"/>
  <c r="K506" i="4"/>
  <c r="K505" i="4"/>
  <c r="K504" i="4"/>
  <c r="K503" i="4"/>
  <c r="K502" i="4"/>
  <c r="K501" i="4"/>
  <c r="K500" i="4"/>
  <c r="K499" i="4"/>
  <c r="K498" i="4"/>
  <c r="K497" i="4"/>
  <c r="K496" i="4"/>
  <c r="K495" i="4"/>
  <c r="K494" i="4"/>
  <c r="K493" i="4"/>
  <c r="K492" i="4"/>
  <c r="K491" i="4"/>
  <c r="K490" i="4"/>
  <c r="K489" i="4"/>
  <c r="K488" i="4"/>
  <c r="K487" i="4"/>
  <c r="K486" i="4"/>
  <c r="K485" i="4"/>
  <c r="K484" i="4"/>
  <c r="K483" i="4"/>
  <c r="K482" i="4"/>
  <c r="K481" i="4"/>
  <c r="K480" i="4"/>
  <c r="K479" i="4"/>
  <c r="K478" i="4"/>
  <c r="K477" i="4"/>
  <c r="K476" i="4"/>
  <c r="K475" i="4"/>
  <c r="K474" i="4"/>
  <c r="K473" i="4"/>
  <c r="K472" i="4"/>
  <c r="K471" i="4"/>
  <c r="K470" i="4"/>
  <c r="K469" i="4"/>
  <c r="K468" i="4"/>
  <c r="K467" i="4"/>
  <c r="K466" i="4"/>
  <c r="K465" i="4"/>
  <c r="K464" i="4"/>
  <c r="K463" i="4"/>
  <c r="K462" i="4"/>
  <c r="K461" i="4"/>
  <c r="K460" i="4"/>
  <c r="K459" i="4"/>
  <c r="K458" i="4"/>
  <c r="K457" i="4"/>
  <c r="K456" i="4"/>
  <c r="K455" i="4"/>
  <c r="K454" i="4"/>
  <c r="K453" i="4"/>
  <c r="K452" i="4"/>
  <c r="K451" i="4"/>
  <c r="K450" i="4"/>
  <c r="K449" i="4"/>
  <c r="K448" i="4"/>
  <c r="K447" i="4"/>
  <c r="K446" i="4"/>
  <c r="K445" i="4"/>
  <c r="K444" i="4"/>
  <c r="K443" i="4"/>
  <c r="K442" i="4"/>
  <c r="K441" i="4"/>
  <c r="K440" i="4"/>
  <c r="K439" i="4"/>
  <c r="K438" i="4"/>
  <c r="K437" i="4"/>
  <c r="K436" i="4"/>
  <c r="K435" i="4"/>
  <c r="K434" i="4"/>
  <c r="K433" i="4"/>
  <c r="K432" i="4"/>
  <c r="K431" i="4"/>
  <c r="K430" i="4"/>
  <c r="K429" i="4"/>
  <c r="K428" i="4"/>
  <c r="K427" i="4"/>
  <c r="K426" i="4"/>
  <c r="K425" i="4"/>
  <c r="K424" i="4"/>
  <c r="K423" i="4"/>
  <c r="K422" i="4"/>
  <c r="K421" i="4"/>
  <c r="K420" i="4"/>
  <c r="K419" i="4"/>
  <c r="K418" i="4"/>
  <c r="K417" i="4"/>
  <c r="K416" i="4"/>
  <c r="K415" i="4"/>
  <c r="K414" i="4"/>
  <c r="K413" i="4"/>
  <c r="K412" i="4"/>
  <c r="K411" i="4"/>
  <c r="K410" i="4"/>
  <c r="K409" i="4"/>
  <c r="K408" i="4"/>
  <c r="K407" i="4"/>
  <c r="K406" i="4"/>
  <c r="K405" i="4"/>
  <c r="K404" i="4"/>
  <c r="K403" i="4"/>
  <c r="K402" i="4"/>
  <c r="K401" i="4"/>
  <c r="K400" i="4"/>
  <c r="K399" i="4"/>
  <c r="K398" i="4"/>
  <c r="K397" i="4"/>
  <c r="K396" i="4"/>
  <c r="K395" i="4"/>
  <c r="K394" i="4"/>
  <c r="K393" i="4"/>
  <c r="K392" i="4"/>
  <c r="K391" i="4"/>
  <c r="K390" i="4"/>
  <c r="K389" i="4"/>
  <c r="K388" i="4"/>
  <c r="K387" i="4"/>
  <c r="K386" i="4"/>
  <c r="K385" i="4"/>
  <c r="K384" i="4"/>
  <c r="K383" i="4"/>
  <c r="K382" i="4"/>
  <c r="K381" i="4"/>
  <c r="K380" i="4"/>
  <c r="K379" i="4"/>
  <c r="K378" i="4"/>
  <c r="K377" i="4"/>
  <c r="K376" i="4"/>
  <c r="K375" i="4"/>
  <c r="K374" i="4"/>
  <c r="K373" i="4"/>
  <c r="K372" i="4"/>
  <c r="K371" i="4"/>
  <c r="K370" i="4"/>
  <c r="K369" i="4"/>
  <c r="K368" i="4"/>
  <c r="K367" i="4"/>
  <c r="K366" i="4"/>
  <c r="K365" i="4"/>
  <c r="K364" i="4"/>
  <c r="K363" i="4"/>
  <c r="K362" i="4"/>
  <c r="K361" i="4"/>
  <c r="K360" i="4"/>
  <c r="K359" i="4"/>
  <c r="K358" i="4"/>
  <c r="K357" i="4"/>
  <c r="K356" i="4"/>
  <c r="K355" i="4"/>
  <c r="K354" i="4"/>
  <c r="K353" i="4"/>
  <c r="K352" i="4"/>
  <c r="K351" i="4"/>
  <c r="K350" i="4"/>
  <c r="K349" i="4"/>
  <c r="K348" i="4"/>
  <c r="K347" i="4"/>
  <c r="K346" i="4"/>
  <c r="K345" i="4"/>
  <c r="K344" i="4"/>
  <c r="K343" i="4"/>
  <c r="K342" i="4"/>
  <c r="K341" i="4"/>
  <c r="K340" i="4"/>
  <c r="K339" i="4"/>
  <c r="K338" i="4"/>
  <c r="K337" i="4"/>
  <c r="K336" i="4"/>
  <c r="K335" i="4"/>
  <c r="K334" i="4"/>
  <c r="K333" i="4"/>
  <c r="K332" i="4"/>
  <c r="K331" i="4"/>
  <c r="K330" i="4"/>
  <c r="K329" i="4"/>
  <c r="K328" i="4"/>
  <c r="K327" i="4"/>
  <c r="K326" i="4"/>
  <c r="K325" i="4"/>
  <c r="K324" i="4"/>
  <c r="K323" i="4"/>
  <c r="K322" i="4"/>
  <c r="K321" i="4"/>
  <c r="K320" i="4"/>
  <c r="K319" i="4"/>
  <c r="K318" i="4"/>
  <c r="K317" i="4"/>
  <c r="K316" i="4"/>
  <c r="K315" i="4"/>
  <c r="K314" i="4"/>
  <c r="K313" i="4"/>
  <c r="K312" i="4"/>
  <c r="K311" i="4"/>
  <c r="K310" i="4"/>
  <c r="K309" i="4"/>
  <c r="K308" i="4"/>
  <c r="K307" i="4"/>
  <c r="K306" i="4"/>
  <c r="K305" i="4"/>
  <c r="K304" i="4"/>
  <c r="K303" i="4"/>
  <c r="K302" i="4"/>
  <c r="K301" i="4"/>
  <c r="K300" i="4"/>
  <c r="K299" i="4"/>
  <c r="K298" i="4"/>
  <c r="K297" i="4"/>
  <c r="K296" i="4"/>
  <c r="K295" i="4"/>
  <c r="K294" i="4"/>
  <c r="K293" i="4"/>
  <c r="K292" i="4"/>
  <c r="K291" i="4"/>
  <c r="K290" i="4"/>
  <c r="K289" i="4"/>
  <c r="K288" i="4"/>
  <c r="K287" i="4"/>
  <c r="K286" i="4"/>
  <c r="K285" i="4"/>
  <c r="K284" i="4"/>
  <c r="K283" i="4"/>
  <c r="K282" i="4"/>
  <c r="K281" i="4"/>
  <c r="K280" i="4"/>
  <c r="K279" i="4"/>
  <c r="K278" i="4"/>
  <c r="K277" i="4"/>
  <c r="K276" i="4"/>
  <c r="K275" i="4"/>
  <c r="K274" i="4"/>
  <c r="K273" i="4"/>
  <c r="K272" i="4"/>
  <c r="K271" i="4"/>
  <c r="K270" i="4"/>
  <c r="K269" i="4"/>
  <c r="K268" i="4"/>
  <c r="K267" i="4"/>
  <c r="K266" i="4"/>
  <c r="K265" i="4"/>
  <c r="K264" i="4"/>
  <c r="K263" i="4"/>
  <c r="K262" i="4"/>
  <c r="K261" i="4"/>
  <c r="K260" i="4"/>
  <c r="K259" i="4"/>
  <c r="K258" i="4"/>
  <c r="K257" i="4"/>
  <c r="K256" i="4"/>
  <c r="K255" i="4"/>
  <c r="K254" i="4"/>
  <c r="K253" i="4"/>
  <c r="K252" i="4"/>
  <c r="K251" i="4"/>
  <c r="K250" i="4"/>
  <c r="K249" i="4"/>
  <c r="K248" i="4"/>
  <c r="K247" i="4"/>
  <c r="K246" i="4"/>
  <c r="K245" i="4"/>
  <c r="K244" i="4"/>
  <c r="K243" i="4"/>
  <c r="K242" i="4"/>
  <c r="K241" i="4"/>
  <c r="K240" i="4"/>
  <c r="K239" i="4"/>
  <c r="K238" i="4"/>
  <c r="K237" i="4"/>
  <c r="K236" i="4"/>
  <c r="K235" i="4"/>
  <c r="K234" i="4"/>
  <c r="K233" i="4"/>
  <c r="K232" i="4"/>
  <c r="K231" i="4"/>
  <c r="K230" i="4"/>
  <c r="K229" i="4"/>
  <c r="K228" i="4"/>
  <c r="K227" i="4"/>
  <c r="K226" i="4"/>
  <c r="K225" i="4"/>
  <c r="K224" i="4"/>
  <c r="K223" i="4"/>
  <c r="K222" i="4"/>
  <c r="K221" i="4"/>
  <c r="K220" i="4"/>
  <c r="K219" i="4"/>
  <c r="K218" i="4"/>
  <c r="K217" i="4"/>
  <c r="K216" i="4"/>
  <c r="K215" i="4"/>
  <c r="K214" i="4"/>
  <c r="K213" i="4"/>
  <c r="K212" i="4"/>
  <c r="K211" i="4"/>
  <c r="K210" i="4"/>
  <c r="K209" i="4"/>
  <c r="K208" i="4"/>
  <c r="K207" i="4"/>
  <c r="K206" i="4"/>
  <c r="K205" i="4"/>
  <c r="K204" i="4"/>
  <c r="K203" i="4"/>
  <c r="K202" i="4"/>
  <c r="K201" i="4"/>
  <c r="K200" i="4"/>
  <c r="K199" i="4"/>
  <c r="K198" i="4"/>
  <c r="K197" i="4"/>
  <c r="K196" i="4"/>
  <c r="K195" i="4"/>
  <c r="K194" i="4"/>
  <c r="K193" i="4"/>
  <c r="K192" i="4"/>
  <c r="K191" i="4"/>
  <c r="K190" i="4"/>
  <c r="K189" i="4"/>
  <c r="K188" i="4"/>
  <c r="K187" i="4"/>
  <c r="K186" i="4"/>
  <c r="K185" i="4"/>
  <c r="K184" i="4"/>
  <c r="K183" i="4"/>
  <c r="K182" i="4"/>
  <c r="K181" i="4"/>
  <c r="K180" i="4"/>
  <c r="K179" i="4"/>
  <c r="K178" i="4"/>
  <c r="K177" i="4"/>
  <c r="K176" i="4"/>
  <c r="K175" i="4"/>
  <c r="K174" i="4"/>
  <c r="K173" i="4"/>
  <c r="K172" i="4"/>
  <c r="K171" i="4"/>
  <c r="K170" i="4"/>
  <c r="K169" i="4"/>
  <c r="K168" i="4"/>
  <c r="K167" i="4"/>
  <c r="K166" i="4"/>
  <c r="K165" i="4"/>
  <c r="K164" i="4"/>
  <c r="K163" i="4"/>
  <c r="K162" i="4"/>
  <c r="K161" i="4"/>
  <c r="K160" i="4"/>
  <c r="K159" i="4"/>
  <c r="K158" i="4"/>
  <c r="K157" i="4"/>
  <c r="K156" i="4"/>
  <c r="K155" i="4"/>
  <c r="K154" i="4"/>
  <c r="K153" i="4"/>
  <c r="K152" i="4"/>
  <c r="K151" i="4"/>
  <c r="K150" i="4"/>
  <c r="K149" i="4"/>
  <c r="K148" i="4"/>
  <c r="K147" i="4"/>
  <c r="K146" i="4"/>
  <c r="K145" i="4"/>
  <c r="K144" i="4"/>
  <c r="K143" i="4"/>
  <c r="K142" i="4"/>
  <c r="K141" i="4"/>
  <c r="K140" i="4"/>
  <c r="K139" i="4"/>
  <c r="K138" i="4"/>
  <c r="K137" i="4"/>
  <c r="K136" i="4"/>
  <c r="K135" i="4"/>
  <c r="K134" i="4"/>
  <c r="K133" i="4"/>
  <c r="K132" i="4"/>
  <c r="K131" i="4"/>
  <c r="K130" i="4"/>
  <c r="K129" i="4"/>
  <c r="K128" i="4"/>
  <c r="K127" i="4"/>
  <c r="K126" i="4"/>
  <c r="K125" i="4"/>
  <c r="K124" i="4"/>
  <c r="K123" i="4"/>
  <c r="K122" i="4"/>
  <c r="K121" i="4"/>
  <c r="K120" i="4"/>
  <c r="K119" i="4"/>
  <c r="K118" i="4"/>
  <c r="K117" i="4"/>
  <c r="K116" i="4"/>
  <c r="K115" i="4"/>
  <c r="K114" i="4"/>
  <c r="K113" i="4"/>
  <c r="K112" i="4"/>
  <c r="K111" i="4"/>
  <c r="K110" i="4"/>
  <c r="K109" i="4"/>
  <c r="K108" i="4"/>
  <c r="K107" i="4"/>
  <c r="K106" i="4"/>
  <c r="K105" i="4"/>
  <c r="K104" i="4"/>
  <c r="K103" i="4"/>
  <c r="K102" i="4"/>
  <c r="K101" i="4"/>
  <c r="K100" i="4"/>
  <c r="K99" i="4"/>
  <c r="K98" i="4"/>
  <c r="K97" i="4"/>
  <c r="K96" i="4"/>
  <c r="K95" i="4"/>
  <c r="K94" i="4"/>
  <c r="K93" i="4"/>
  <c r="K92" i="4"/>
  <c r="K91" i="4"/>
  <c r="K90" i="4"/>
  <c r="K89" i="4"/>
  <c r="K88" i="4"/>
  <c r="K87" i="4"/>
  <c r="K86" i="4"/>
  <c r="K85" i="4"/>
  <c r="K84" i="4"/>
  <c r="K83" i="4"/>
  <c r="K82" i="4"/>
  <c r="K81" i="4"/>
  <c r="K80" i="4"/>
  <c r="K79" i="4"/>
  <c r="K78" i="4"/>
  <c r="K77" i="4"/>
  <c r="K76" i="4"/>
  <c r="K75" i="4"/>
  <c r="K74" i="4"/>
  <c r="K73" i="4"/>
  <c r="K72" i="4"/>
  <c r="K71" i="4"/>
  <c r="K70" i="4"/>
  <c r="K69" i="4"/>
  <c r="K68" i="4"/>
  <c r="K67" i="4"/>
  <c r="K66" i="4"/>
  <c r="K65" i="4"/>
  <c r="K64" i="4"/>
  <c r="K63" i="4"/>
  <c r="K62" i="4"/>
  <c r="K61" i="4"/>
  <c r="K60" i="4"/>
  <c r="K59" i="4"/>
  <c r="K58" i="4"/>
  <c r="K57" i="4"/>
  <c r="K56" i="4"/>
  <c r="K55" i="4"/>
  <c r="K54" i="4"/>
  <c r="K53" i="4"/>
  <c r="K52" i="4"/>
  <c r="K51" i="4"/>
  <c r="K50" i="4"/>
  <c r="K49" i="4"/>
  <c r="K48" i="4"/>
  <c r="K47" i="4"/>
  <c r="K46" i="4"/>
  <c r="K45" i="4"/>
  <c r="K44" i="4"/>
  <c r="K43" i="4"/>
  <c r="K42" i="4"/>
  <c r="K41" i="4"/>
  <c r="K40" i="4"/>
  <c r="K39" i="4"/>
  <c r="K38" i="4"/>
  <c r="K37" i="4"/>
  <c r="K36" i="4"/>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 r="BK1001" i="4" l="1"/>
  <c r="BH1001" i="4"/>
  <c r="BE1001" i="4"/>
  <c r="BK1000" i="4"/>
  <c r="BH1000" i="4"/>
  <c r="BE1000" i="4"/>
  <c r="BK999" i="4"/>
  <c r="BH999" i="4"/>
  <c r="BE999" i="4"/>
  <c r="BK998" i="4"/>
  <c r="BH998" i="4"/>
  <c r="BE998" i="4"/>
  <c r="BK997" i="4"/>
  <c r="BH997" i="4"/>
  <c r="BE997" i="4"/>
  <c r="BK996" i="4"/>
  <c r="BH996" i="4"/>
  <c r="BE996" i="4"/>
  <c r="BK995" i="4"/>
  <c r="BH995" i="4"/>
  <c r="BE995" i="4"/>
  <c r="BK994" i="4"/>
  <c r="BH994" i="4"/>
  <c r="BE994" i="4"/>
  <c r="BK993" i="4"/>
  <c r="BH993" i="4"/>
  <c r="BE993" i="4"/>
  <c r="BK992" i="4"/>
  <c r="BH992" i="4"/>
  <c r="BE992" i="4"/>
  <c r="BK991" i="4"/>
  <c r="BH991" i="4"/>
  <c r="BE991" i="4"/>
  <c r="BK990" i="4"/>
  <c r="BH990" i="4"/>
  <c r="BE990" i="4"/>
  <c r="BK989" i="4"/>
  <c r="BH989" i="4"/>
  <c r="BE989" i="4"/>
  <c r="BK988" i="4"/>
  <c r="BH988" i="4"/>
  <c r="BE988" i="4"/>
  <c r="BK987" i="4"/>
  <c r="BH987" i="4"/>
  <c r="BE987" i="4"/>
  <c r="BK986" i="4"/>
  <c r="BH986" i="4"/>
  <c r="BE986" i="4"/>
  <c r="BK985" i="4"/>
  <c r="BH985" i="4"/>
  <c r="BE985" i="4"/>
  <c r="BK984" i="4"/>
  <c r="BH984" i="4"/>
  <c r="BE984" i="4"/>
  <c r="BK983" i="4"/>
  <c r="BH983" i="4"/>
  <c r="BE983" i="4"/>
  <c r="BK982" i="4"/>
  <c r="BH982" i="4"/>
  <c r="BE982" i="4"/>
  <c r="BK981" i="4"/>
  <c r="BH981" i="4"/>
  <c r="BE981" i="4"/>
  <c r="BK980" i="4"/>
  <c r="BH980" i="4"/>
  <c r="BE980" i="4"/>
  <c r="BK979" i="4"/>
  <c r="BH979" i="4"/>
  <c r="BE979" i="4"/>
  <c r="BK978" i="4"/>
  <c r="BH978" i="4"/>
  <c r="BE978" i="4"/>
  <c r="BK977" i="4"/>
  <c r="BH977" i="4"/>
  <c r="BE977" i="4"/>
  <c r="BK976" i="4"/>
  <c r="BH976" i="4"/>
  <c r="BE976" i="4"/>
  <c r="BK975" i="4"/>
  <c r="BH975" i="4"/>
  <c r="BE975" i="4"/>
  <c r="BK974" i="4"/>
  <c r="BH974" i="4"/>
  <c r="BE974" i="4"/>
  <c r="BK973" i="4"/>
  <c r="BH973" i="4"/>
  <c r="BE973" i="4"/>
  <c r="BK972" i="4"/>
  <c r="BH972" i="4"/>
  <c r="BE972" i="4"/>
  <c r="BK971" i="4"/>
  <c r="BH971" i="4"/>
  <c r="BE971" i="4"/>
  <c r="BK970" i="4"/>
  <c r="BH970" i="4"/>
  <c r="BE970" i="4"/>
  <c r="BK969" i="4"/>
  <c r="BH969" i="4"/>
  <c r="BE969" i="4"/>
  <c r="BK968" i="4"/>
  <c r="BH968" i="4"/>
  <c r="BE968" i="4"/>
  <c r="BK967" i="4"/>
  <c r="BH967" i="4"/>
  <c r="BE967" i="4"/>
  <c r="BK966" i="4"/>
  <c r="BH966" i="4"/>
  <c r="BE966" i="4"/>
  <c r="BK965" i="4"/>
  <c r="BH965" i="4"/>
  <c r="BE965" i="4"/>
  <c r="BK964" i="4"/>
  <c r="BH964" i="4"/>
  <c r="BE964" i="4"/>
  <c r="BK963" i="4"/>
  <c r="BH963" i="4"/>
  <c r="BE963" i="4"/>
  <c r="BK962" i="4"/>
  <c r="BH962" i="4"/>
  <c r="BE962" i="4"/>
  <c r="BK961" i="4"/>
  <c r="BH961" i="4"/>
  <c r="BE961" i="4"/>
  <c r="BK960" i="4"/>
  <c r="BH960" i="4"/>
  <c r="BE960" i="4"/>
  <c r="BK959" i="4"/>
  <c r="BH959" i="4"/>
  <c r="BE959" i="4"/>
  <c r="BK958" i="4"/>
  <c r="BH958" i="4"/>
  <c r="BE958" i="4"/>
  <c r="BK957" i="4"/>
  <c r="BH957" i="4"/>
  <c r="BE957" i="4"/>
  <c r="BK956" i="4"/>
  <c r="BH956" i="4"/>
  <c r="BE956" i="4"/>
  <c r="BK955" i="4"/>
  <c r="BH955" i="4"/>
  <c r="BE955" i="4"/>
  <c r="BK954" i="4"/>
  <c r="BH954" i="4"/>
  <c r="BE954" i="4"/>
  <c r="BK953" i="4"/>
  <c r="BH953" i="4"/>
  <c r="BE953" i="4"/>
  <c r="BK952" i="4"/>
  <c r="BH952" i="4"/>
  <c r="BE952" i="4"/>
  <c r="BK951" i="4"/>
  <c r="BH951" i="4"/>
  <c r="BE951" i="4"/>
  <c r="BK950" i="4"/>
  <c r="BH950" i="4"/>
  <c r="BE950" i="4"/>
  <c r="BK949" i="4"/>
  <c r="BH949" i="4"/>
  <c r="BE949" i="4"/>
  <c r="BK948" i="4"/>
  <c r="BH948" i="4"/>
  <c r="BE948" i="4"/>
  <c r="BK947" i="4"/>
  <c r="BH947" i="4"/>
  <c r="BE947" i="4"/>
  <c r="BK946" i="4"/>
  <c r="BH946" i="4"/>
  <c r="BE946" i="4"/>
  <c r="BK945" i="4"/>
  <c r="BH945" i="4"/>
  <c r="BE945" i="4"/>
  <c r="BK944" i="4"/>
  <c r="BH944" i="4"/>
  <c r="BE944" i="4"/>
  <c r="BK943" i="4"/>
  <c r="BH943" i="4"/>
  <c r="BE943" i="4"/>
  <c r="BK942" i="4"/>
  <c r="BH942" i="4"/>
  <c r="BE942" i="4"/>
  <c r="BK941" i="4"/>
  <c r="BH941" i="4"/>
  <c r="BE941" i="4"/>
  <c r="BK940" i="4"/>
  <c r="BH940" i="4"/>
  <c r="BE940" i="4"/>
  <c r="BK939" i="4"/>
  <c r="BH939" i="4"/>
  <c r="BE939" i="4"/>
  <c r="BK938" i="4"/>
  <c r="BH938" i="4"/>
  <c r="BE938" i="4"/>
  <c r="BK937" i="4"/>
  <c r="BH937" i="4"/>
  <c r="BE937" i="4"/>
  <c r="BK936" i="4"/>
  <c r="BH936" i="4"/>
  <c r="BE936" i="4"/>
  <c r="BK935" i="4"/>
  <c r="BH935" i="4"/>
  <c r="BE935" i="4"/>
  <c r="BK934" i="4"/>
  <c r="BH934" i="4"/>
  <c r="BE934" i="4"/>
  <c r="BK933" i="4"/>
  <c r="BH933" i="4"/>
  <c r="BE933" i="4"/>
  <c r="BK932" i="4"/>
  <c r="BH932" i="4"/>
  <c r="BE932" i="4"/>
  <c r="BK931" i="4"/>
  <c r="BH931" i="4"/>
  <c r="BE931" i="4"/>
  <c r="BK930" i="4"/>
  <c r="BH930" i="4"/>
  <c r="BE930" i="4"/>
  <c r="BK929" i="4"/>
  <c r="BH929" i="4"/>
  <c r="BE929" i="4"/>
  <c r="BK928" i="4"/>
  <c r="BH928" i="4"/>
  <c r="BE928" i="4"/>
  <c r="BK927" i="4"/>
  <c r="BH927" i="4"/>
  <c r="BE927" i="4"/>
  <c r="BK926" i="4"/>
  <c r="BH926" i="4"/>
  <c r="BE926" i="4"/>
  <c r="BK925" i="4"/>
  <c r="BH925" i="4"/>
  <c r="BE925" i="4"/>
  <c r="BK924" i="4"/>
  <c r="BH924" i="4"/>
  <c r="BE924" i="4"/>
  <c r="BK923" i="4"/>
  <c r="BH923" i="4"/>
  <c r="BE923" i="4"/>
  <c r="BK922" i="4"/>
  <c r="BH922" i="4"/>
  <c r="BE922" i="4"/>
  <c r="BK921" i="4"/>
  <c r="BH921" i="4"/>
  <c r="BE921" i="4"/>
  <c r="BK920" i="4"/>
  <c r="BH920" i="4"/>
  <c r="BE920" i="4"/>
  <c r="BK919" i="4"/>
  <c r="BH919" i="4"/>
  <c r="BE919" i="4"/>
  <c r="BK918" i="4"/>
  <c r="BH918" i="4"/>
  <c r="BE918" i="4"/>
  <c r="BK917" i="4"/>
  <c r="BH917" i="4"/>
  <c r="BE917" i="4"/>
  <c r="BK916" i="4"/>
  <c r="BH916" i="4"/>
  <c r="BE916" i="4"/>
  <c r="BK915" i="4"/>
  <c r="BH915" i="4"/>
  <c r="BE915" i="4"/>
  <c r="BK914" i="4"/>
  <c r="BH914" i="4"/>
  <c r="BE914" i="4"/>
  <c r="BK913" i="4"/>
  <c r="BH913" i="4"/>
  <c r="BE913" i="4"/>
  <c r="BK912" i="4"/>
  <c r="BH912" i="4"/>
  <c r="BE912" i="4"/>
  <c r="BK911" i="4"/>
  <c r="BH911" i="4"/>
  <c r="BE911" i="4"/>
  <c r="BK910" i="4"/>
  <c r="BH910" i="4"/>
  <c r="BE910" i="4"/>
  <c r="BK909" i="4"/>
  <c r="BH909" i="4"/>
  <c r="BE909" i="4"/>
  <c r="BK908" i="4"/>
  <c r="BH908" i="4"/>
  <c r="BE908" i="4"/>
  <c r="BK907" i="4"/>
  <c r="BH907" i="4"/>
  <c r="BE907" i="4"/>
  <c r="BK906" i="4"/>
  <c r="BH906" i="4"/>
  <c r="BE906" i="4"/>
  <c r="BK905" i="4"/>
  <c r="BH905" i="4"/>
  <c r="BE905" i="4"/>
  <c r="BK904" i="4"/>
  <c r="BH904" i="4"/>
  <c r="BE904" i="4"/>
  <c r="BK903" i="4"/>
  <c r="BH903" i="4"/>
  <c r="BE903" i="4"/>
  <c r="BK902" i="4"/>
  <c r="BH902" i="4"/>
  <c r="BE902" i="4"/>
  <c r="BK901" i="4"/>
  <c r="BH901" i="4"/>
  <c r="BE901" i="4"/>
  <c r="BK900" i="4"/>
  <c r="BH900" i="4"/>
  <c r="BE900" i="4"/>
  <c r="BK899" i="4"/>
  <c r="BH899" i="4"/>
  <c r="BE899" i="4"/>
  <c r="BK898" i="4"/>
  <c r="BH898" i="4"/>
  <c r="BE898" i="4"/>
  <c r="BK897" i="4"/>
  <c r="BH897" i="4"/>
  <c r="BE897" i="4"/>
  <c r="BK896" i="4"/>
  <c r="BH896" i="4"/>
  <c r="BE896" i="4"/>
  <c r="BK895" i="4"/>
  <c r="BH895" i="4"/>
  <c r="BE895" i="4"/>
  <c r="BK894" i="4"/>
  <c r="BH894" i="4"/>
  <c r="BE894" i="4"/>
  <c r="BK893" i="4"/>
  <c r="BH893" i="4"/>
  <c r="BE893" i="4"/>
  <c r="BK892" i="4"/>
  <c r="BH892" i="4"/>
  <c r="BE892" i="4"/>
  <c r="BK891" i="4"/>
  <c r="BH891" i="4"/>
  <c r="BE891" i="4"/>
  <c r="BK890" i="4"/>
  <c r="BH890" i="4"/>
  <c r="BE890" i="4"/>
  <c r="BK889" i="4"/>
  <c r="BH889" i="4"/>
  <c r="BE889" i="4"/>
  <c r="BK888" i="4"/>
  <c r="BH888" i="4"/>
  <c r="BE888" i="4"/>
  <c r="BK887" i="4"/>
  <c r="BH887" i="4"/>
  <c r="BE887" i="4"/>
  <c r="BK886" i="4"/>
  <c r="BH886" i="4"/>
  <c r="BE886" i="4"/>
  <c r="BK885" i="4"/>
  <c r="BH885" i="4"/>
  <c r="BE885" i="4"/>
  <c r="BK884" i="4"/>
  <c r="BH884" i="4"/>
  <c r="BE884" i="4"/>
  <c r="BK883" i="4"/>
  <c r="BH883" i="4"/>
  <c r="BE883" i="4"/>
  <c r="BK882" i="4"/>
  <c r="BH882" i="4"/>
  <c r="BE882" i="4"/>
  <c r="BK881" i="4"/>
  <c r="BH881" i="4"/>
  <c r="BE881" i="4"/>
  <c r="BK880" i="4"/>
  <c r="BH880" i="4"/>
  <c r="BE880" i="4"/>
  <c r="BK879" i="4"/>
  <c r="BH879" i="4"/>
  <c r="BE879" i="4"/>
  <c r="BK878" i="4"/>
  <c r="BH878" i="4"/>
  <c r="BE878" i="4"/>
  <c r="BK877" i="4"/>
  <c r="BH877" i="4"/>
  <c r="BE877" i="4"/>
  <c r="BK876" i="4"/>
  <c r="BH876" i="4"/>
  <c r="BE876" i="4"/>
  <c r="BK875" i="4"/>
  <c r="BH875" i="4"/>
  <c r="BE875" i="4"/>
  <c r="BK874" i="4"/>
  <c r="BH874" i="4"/>
  <c r="BE874" i="4"/>
  <c r="BK873" i="4"/>
  <c r="BH873" i="4"/>
  <c r="BE873" i="4"/>
  <c r="BK872" i="4"/>
  <c r="BH872" i="4"/>
  <c r="BE872" i="4"/>
  <c r="BK871" i="4"/>
  <c r="BH871" i="4"/>
  <c r="BE871" i="4"/>
  <c r="BK870" i="4"/>
  <c r="BH870" i="4"/>
  <c r="BE870" i="4"/>
  <c r="BK869" i="4"/>
  <c r="BH869" i="4"/>
  <c r="BE869" i="4"/>
  <c r="BK868" i="4"/>
  <c r="BH868" i="4"/>
  <c r="BE868" i="4"/>
  <c r="BK867" i="4"/>
  <c r="BH867" i="4"/>
  <c r="BE867" i="4"/>
  <c r="BK866" i="4"/>
  <c r="BH866" i="4"/>
  <c r="BE866" i="4"/>
  <c r="BK865" i="4"/>
  <c r="BH865" i="4"/>
  <c r="BE865" i="4"/>
  <c r="BK864" i="4"/>
  <c r="BH864" i="4"/>
  <c r="BE864" i="4"/>
  <c r="BK863" i="4"/>
  <c r="BH863" i="4"/>
  <c r="BE863" i="4"/>
  <c r="BK862" i="4"/>
  <c r="BH862" i="4"/>
  <c r="BE862" i="4"/>
  <c r="BK861" i="4"/>
  <c r="BH861" i="4"/>
  <c r="BE861" i="4"/>
  <c r="BK860" i="4"/>
  <c r="BH860" i="4"/>
  <c r="BE860" i="4"/>
  <c r="BK859" i="4"/>
  <c r="BH859" i="4"/>
  <c r="BE859" i="4"/>
  <c r="BK858" i="4"/>
  <c r="BH858" i="4"/>
  <c r="BE858" i="4"/>
  <c r="BK857" i="4"/>
  <c r="BH857" i="4"/>
  <c r="BE857" i="4"/>
  <c r="BK856" i="4"/>
  <c r="BH856" i="4"/>
  <c r="BE856" i="4"/>
  <c r="BK855" i="4"/>
  <c r="BH855" i="4"/>
  <c r="BE855" i="4"/>
  <c r="BK854" i="4"/>
  <c r="BH854" i="4"/>
  <c r="BE854" i="4"/>
  <c r="BK853" i="4"/>
  <c r="BH853" i="4"/>
  <c r="BE853" i="4"/>
  <c r="BK852" i="4"/>
  <c r="BH852" i="4"/>
  <c r="BE852" i="4"/>
  <c r="BK851" i="4"/>
  <c r="BH851" i="4"/>
  <c r="BE851" i="4"/>
  <c r="BK850" i="4"/>
  <c r="BH850" i="4"/>
  <c r="BE850" i="4"/>
  <c r="BK849" i="4"/>
  <c r="BH849" i="4"/>
  <c r="BE849" i="4"/>
  <c r="BK848" i="4"/>
  <c r="BH848" i="4"/>
  <c r="BE848" i="4"/>
  <c r="BK847" i="4"/>
  <c r="BH847" i="4"/>
  <c r="BE847" i="4"/>
  <c r="BK846" i="4"/>
  <c r="BH846" i="4"/>
  <c r="BE846" i="4"/>
  <c r="BK845" i="4"/>
  <c r="BH845" i="4"/>
  <c r="BE845" i="4"/>
  <c r="BK844" i="4"/>
  <c r="BH844" i="4"/>
  <c r="BE844" i="4"/>
  <c r="BK843" i="4"/>
  <c r="BH843" i="4"/>
  <c r="BE843" i="4"/>
  <c r="BK842" i="4"/>
  <c r="BH842" i="4"/>
  <c r="BE842" i="4"/>
  <c r="BK841" i="4"/>
  <c r="BH841" i="4"/>
  <c r="BE841" i="4"/>
  <c r="BK840" i="4"/>
  <c r="BH840" i="4"/>
  <c r="BE840" i="4"/>
  <c r="BK839" i="4"/>
  <c r="BH839" i="4"/>
  <c r="BE839" i="4"/>
  <c r="BK838" i="4"/>
  <c r="BH838" i="4"/>
  <c r="BE838" i="4"/>
  <c r="BK837" i="4"/>
  <c r="BH837" i="4"/>
  <c r="BE837" i="4"/>
  <c r="BK836" i="4"/>
  <c r="BH836" i="4"/>
  <c r="BE836" i="4"/>
  <c r="BK835" i="4"/>
  <c r="BH835" i="4"/>
  <c r="BE835" i="4"/>
  <c r="BK834" i="4"/>
  <c r="BH834" i="4"/>
  <c r="BE834" i="4"/>
  <c r="BK833" i="4"/>
  <c r="BH833" i="4"/>
  <c r="BE833" i="4"/>
  <c r="BK832" i="4"/>
  <c r="BH832" i="4"/>
  <c r="BE832" i="4"/>
  <c r="BK831" i="4"/>
  <c r="BH831" i="4"/>
  <c r="BE831" i="4"/>
  <c r="BK830" i="4"/>
  <c r="BH830" i="4"/>
  <c r="BE830" i="4"/>
  <c r="BK829" i="4"/>
  <c r="BH829" i="4"/>
  <c r="BE829" i="4"/>
  <c r="BK828" i="4"/>
  <c r="BH828" i="4"/>
  <c r="BE828" i="4"/>
  <c r="BK827" i="4"/>
  <c r="BH827" i="4"/>
  <c r="BE827" i="4"/>
  <c r="BK826" i="4"/>
  <c r="BH826" i="4"/>
  <c r="BE826" i="4"/>
  <c r="BK825" i="4"/>
  <c r="BH825" i="4"/>
  <c r="BE825" i="4"/>
  <c r="BK824" i="4"/>
  <c r="BH824" i="4"/>
  <c r="BE824" i="4"/>
  <c r="BK823" i="4"/>
  <c r="BH823" i="4"/>
  <c r="BE823" i="4"/>
  <c r="BK822" i="4"/>
  <c r="BH822" i="4"/>
  <c r="BE822" i="4"/>
  <c r="BK821" i="4"/>
  <c r="BH821" i="4"/>
  <c r="BE821" i="4"/>
  <c r="BK820" i="4"/>
  <c r="BH820" i="4"/>
  <c r="BE820" i="4"/>
  <c r="BK819" i="4"/>
  <c r="BH819" i="4"/>
  <c r="BE819" i="4"/>
  <c r="BK818" i="4"/>
  <c r="BH818" i="4"/>
  <c r="BE818" i="4"/>
  <c r="BK817" i="4"/>
  <c r="BH817" i="4"/>
  <c r="BE817" i="4"/>
  <c r="BK816" i="4"/>
  <c r="BH816" i="4"/>
  <c r="BE816" i="4"/>
  <c r="BK815" i="4"/>
  <c r="BH815" i="4"/>
  <c r="BE815" i="4"/>
  <c r="BK814" i="4"/>
  <c r="BH814" i="4"/>
  <c r="BE814" i="4"/>
  <c r="BK813" i="4"/>
  <c r="BH813" i="4"/>
  <c r="BE813" i="4"/>
  <c r="BK812" i="4"/>
  <c r="BH812" i="4"/>
  <c r="BE812" i="4"/>
  <c r="BK811" i="4"/>
  <c r="BH811" i="4"/>
  <c r="BE811" i="4"/>
  <c r="BK810" i="4"/>
  <c r="BH810" i="4"/>
  <c r="BE810" i="4"/>
  <c r="BK809" i="4"/>
  <c r="BH809" i="4"/>
  <c r="BE809" i="4"/>
  <c r="BK808" i="4"/>
  <c r="BH808" i="4"/>
  <c r="BE808" i="4"/>
  <c r="BK807" i="4"/>
  <c r="BH807" i="4"/>
  <c r="BE807" i="4"/>
  <c r="BK806" i="4"/>
  <c r="BH806" i="4"/>
  <c r="BE806" i="4"/>
  <c r="BK805" i="4"/>
  <c r="BH805" i="4"/>
  <c r="BE805" i="4"/>
  <c r="BK804" i="4"/>
  <c r="BH804" i="4"/>
  <c r="BE804" i="4"/>
  <c r="BK803" i="4"/>
  <c r="BH803" i="4"/>
  <c r="BE803" i="4"/>
  <c r="BK802" i="4"/>
  <c r="BH802" i="4"/>
  <c r="BE802" i="4"/>
  <c r="BK801" i="4"/>
  <c r="BH801" i="4"/>
  <c r="BE801" i="4"/>
  <c r="BK800" i="4"/>
  <c r="BH800" i="4"/>
  <c r="BE800" i="4"/>
  <c r="BK799" i="4"/>
  <c r="BH799" i="4"/>
  <c r="BE799" i="4"/>
  <c r="BK798" i="4"/>
  <c r="BH798" i="4"/>
  <c r="BE798" i="4"/>
  <c r="BK797" i="4"/>
  <c r="BH797" i="4"/>
  <c r="BE797" i="4"/>
  <c r="BK796" i="4"/>
  <c r="BH796" i="4"/>
  <c r="BE796" i="4"/>
  <c r="BK795" i="4"/>
  <c r="BH795" i="4"/>
  <c r="BE795" i="4"/>
  <c r="BK794" i="4"/>
  <c r="BH794" i="4"/>
  <c r="BE794" i="4"/>
  <c r="BK793" i="4"/>
  <c r="BH793" i="4"/>
  <c r="BE793" i="4"/>
  <c r="BK792" i="4"/>
  <c r="BH792" i="4"/>
  <c r="BE792" i="4"/>
  <c r="BK791" i="4"/>
  <c r="BH791" i="4"/>
  <c r="BE791" i="4"/>
  <c r="BK790" i="4"/>
  <c r="BH790" i="4"/>
  <c r="BE790" i="4"/>
  <c r="BK789" i="4"/>
  <c r="BH789" i="4"/>
  <c r="BE789" i="4"/>
  <c r="BK788" i="4"/>
  <c r="BH788" i="4"/>
  <c r="BE788" i="4"/>
  <c r="BK787" i="4"/>
  <c r="BH787" i="4"/>
  <c r="BE787" i="4"/>
  <c r="BK786" i="4"/>
  <c r="BH786" i="4"/>
  <c r="BE786" i="4"/>
  <c r="BK785" i="4"/>
  <c r="BH785" i="4"/>
  <c r="BE785" i="4"/>
  <c r="BK784" i="4"/>
  <c r="BH784" i="4"/>
  <c r="BE784" i="4"/>
  <c r="BK783" i="4"/>
  <c r="BH783" i="4"/>
  <c r="BE783" i="4"/>
  <c r="BK782" i="4"/>
  <c r="BH782" i="4"/>
  <c r="BE782" i="4"/>
  <c r="BK781" i="4"/>
  <c r="BH781" i="4"/>
  <c r="BE781" i="4"/>
  <c r="BK780" i="4"/>
  <c r="BH780" i="4"/>
  <c r="BE780" i="4"/>
  <c r="BK779" i="4"/>
  <c r="BH779" i="4"/>
  <c r="BE779" i="4"/>
  <c r="BK778" i="4"/>
  <c r="BH778" i="4"/>
  <c r="BE778" i="4"/>
  <c r="BK777" i="4"/>
  <c r="BH777" i="4"/>
  <c r="BE777" i="4"/>
  <c r="BK776" i="4"/>
  <c r="BH776" i="4"/>
  <c r="BE776" i="4"/>
  <c r="BK775" i="4"/>
  <c r="BH775" i="4"/>
  <c r="BE775" i="4"/>
  <c r="BK774" i="4"/>
  <c r="BH774" i="4"/>
  <c r="BE774" i="4"/>
  <c r="BK773" i="4"/>
  <c r="BH773" i="4"/>
  <c r="BE773" i="4"/>
  <c r="BK772" i="4"/>
  <c r="BH772" i="4"/>
  <c r="BE772" i="4"/>
  <c r="BK771" i="4"/>
  <c r="BH771" i="4"/>
  <c r="BE771" i="4"/>
  <c r="BK770" i="4"/>
  <c r="BH770" i="4"/>
  <c r="BE770" i="4"/>
  <c r="BK769" i="4"/>
  <c r="BH769" i="4"/>
  <c r="BE769" i="4"/>
  <c r="BK768" i="4"/>
  <c r="BH768" i="4"/>
  <c r="BE768" i="4"/>
  <c r="BK767" i="4"/>
  <c r="BH767" i="4"/>
  <c r="BE767" i="4"/>
  <c r="BK766" i="4"/>
  <c r="BH766" i="4"/>
  <c r="BE766" i="4"/>
  <c r="BK765" i="4"/>
  <c r="BH765" i="4"/>
  <c r="BE765" i="4"/>
  <c r="BK764" i="4"/>
  <c r="BH764" i="4"/>
  <c r="BE764" i="4"/>
  <c r="BK763" i="4"/>
  <c r="BH763" i="4"/>
  <c r="BE763" i="4"/>
  <c r="BK762" i="4"/>
  <c r="BH762" i="4"/>
  <c r="BE762" i="4"/>
  <c r="BK761" i="4"/>
  <c r="BH761" i="4"/>
  <c r="BE761" i="4"/>
  <c r="BK760" i="4"/>
  <c r="BH760" i="4"/>
  <c r="BE760" i="4"/>
  <c r="BK759" i="4"/>
  <c r="BH759" i="4"/>
  <c r="BE759" i="4"/>
  <c r="BK758" i="4"/>
  <c r="BH758" i="4"/>
  <c r="BE758" i="4"/>
  <c r="BK757" i="4"/>
  <c r="BH757" i="4"/>
  <c r="BE757" i="4"/>
  <c r="BK756" i="4"/>
  <c r="BH756" i="4"/>
  <c r="BE756" i="4"/>
  <c r="BK755" i="4"/>
  <c r="BH755" i="4"/>
  <c r="BE755" i="4"/>
  <c r="BK754" i="4"/>
  <c r="BH754" i="4"/>
  <c r="BE754" i="4"/>
  <c r="BK753" i="4"/>
  <c r="BH753" i="4"/>
  <c r="BE753" i="4"/>
  <c r="BK752" i="4"/>
  <c r="BH752" i="4"/>
  <c r="BE752" i="4"/>
  <c r="BK751" i="4"/>
  <c r="BH751" i="4"/>
  <c r="BE751" i="4"/>
  <c r="BK750" i="4"/>
  <c r="BH750" i="4"/>
  <c r="BE750" i="4"/>
  <c r="BK749" i="4"/>
  <c r="BH749" i="4"/>
  <c r="BE749" i="4"/>
  <c r="BK748" i="4"/>
  <c r="BH748" i="4"/>
  <c r="BE748" i="4"/>
  <c r="BK747" i="4"/>
  <c r="BH747" i="4"/>
  <c r="BE747" i="4"/>
  <c r="BK746" i="4"/>
  <c r="BH746" i="4"/>
  <c r="BE746" i="4"/>
  <c r="BK745" i="4"/>
  <c r="BH745" i="4"/>
  <c r="BE745" i="4"/>
  <c r="BK744" i="4"/>
  <c r="BH744" i="4"/>
  <c r="BE744" i="4"/>
  <c r="BK743" i="4"/>
  <c r="BH743" i="4"/>
  <c r="BE743" i="4"/>
  <c r="BK742" i="4"/>
  <c r="BH742" i="4"/>
  <c r="BE742" i="4"/>
  <c r="BK741" i="4"/>
  <c r="BH741" i="4"/>
  <c r="BE741" i="4"/>
  <c r="BK740" i="4"/>
  <c r="BH740" i="4"/>
  <c r="BE740" i="4"/>
  <c r="BK739" i="4"/>
  <c r="BH739" i="4"/>
  <c r="BE739" i="4"/>
  <c r="BK738" i="4"/>
  <c r="BH738" i="4"/>
  <c r="BE738" i="4"/>
  <c r="BK737" i="4"/>
  <c r="BH737" i="4"/>
  <c r="BE737" i="4"/>
  <c r="BK736" i="4"/>
  <c r="BH736" i="4"/>
  <c r="BE736" i="4"/>
  <c r="BK735" i="4"/>
  <c r="BH735" i="4"/>
  <c r="BE735" i="4"/>
  <c r="BK734" i="4"/>
  <c r="BH734" i="4"/>
  <c r="BE734" i="4"/>
  <c r="BK733" i="4"/>
  <c r="BH733" i="4"/>
  <c r="BE733" i="4"/>
  <c r="BK732" i="4"/>
  <c r="BH732" i="4"/>
  <c r="BE732" i="4"/>
  <c r="BK731" i="4"/>
  <c r="BH731" i="4"/>
  <c r="BE731" i="4"/>
  <c r="BK730" i="4"/>
  <c r="BH730" i="4"/>
  <c r="BE730" i="4"/>
  <c r="BK729" i="4"/>
  <c r="BH729" i="4"/>
  <c r="BE729" i="4"/>
  <c r="BK728" i="4"/>
  <c r="BH728" i="4"/>
  <c r="BE728" i="4"/>
  <c r="BK727" i="4"/>
  <c r="BH727" i="4"/>
  <c r="BE727" i="4"/>
  <c r="BK726" i="4"/>
  <c r="BH726" i="4"/>
  <c r="BE726" i="4"/>
  <c r="BK725" i="4"/>
  <c r="BH725" i="4"/>
  <c r="BE725" i="4"/>
  <c r="BK724" i="4"/>
  <c r="BH724" i="4"/>
  <c r="BE724" i="4"/>
  <c r="BK723" i="4"/>
  <c r="BH723" i="4"/>
  <c r="BE723" i="4"/>
  <c r="BK722" i="4"/>
  <c r="BH722" i="4"/>
  <c r="BE722" i="4"/>
  <c r="BK721" i="4"/>
  <c r="BH721" i="4"/>
  <c r="BE721" i="4"/>
  <c r="BK720" i="4"/>
  <c r="BH720" i="4"/>
  <c r="BE720" i="4"/>
  <c r="BK719" i="4"/>
  <c r="BH719" i="4"/>
  <c r="BE719" i="4"/>
  <c r="BK718" i="4"/>
  <c r="BH718" i="4"/>
  <c r="BE718" i="4"/>
  <c r="BK717" i="4"/>
  <c r="BH717" i="4"/>
  <c r="BE717" i="4"/>
  <c r="BK716" i="4"/>
  <c r="BH716" i="4"/>
  <c r="BE716" i="4"/>
  <c r="BK715" i="4"/>
  <c r="BH715" i="4"/>
  <c r="BE715" i="4"/>
  <c r="BK714" i="4"/>
  <c r="BH714" i="4"/>
  <c r="BE714" i="4"/>
  <c r="BK713" i="4"/>
  <c r="BH713" i="4"/>
  <c r="BE713" i="4"/>
  <c r="BK712" i="4"/>
  <c r="BH712" i="4"/>
  <c r="BE712" i="4"/>
  <c r="BK711" i="4"/>
  <c r="BH711" i="4"/>
  <c r="BE711" i="4"/>
  <c r="BK710" i="4"/>
  <c r="BH710" i="4"/>
  <c r="BE710" i="4"/>
  <c r="BK709" i="4"/>
  <c r="BH709" i="4"/>
  <c r="BE709" i="4"/>
  <c r="BK708" i="4"/>
  <c r="BH708" i="4"/>
  <c r="BE708" i="4"/>
  <c r="BK707" i="4"/>
  <c r="BH707" i="4"/>
  <c r="BE707" i="4"/>
  <c r="BK706" i="4"/>
  <c r="BH706" i="4"/>
  <c r="BE706" i="4"/>
  <c r="BK705" i="4"/>
  <c r="BH705" i="4"/>
  <c r="BE705" i="4"/>
  <c r="BK704" i="4"/>
  <c r="BH704" i="4"/>
  <c r="BE704" i="4"/>
  <c r="BK703" i="4"/>
  <c r="BH703" i="4"/>
  <c r="BE703" i="4"/>
  <c r="BK702" i="4"/>
  <c r="BH702" i="4"/>
  <c r="BE702" i="4"/>
  <c r="BK701" i="4"/>
  <c r="BH701" i="4"/>
  <c r="BE701" i="4"/>
  <c r="BK700" i="4"/>
  <c r="BH700" i="4"/>
  <c r="BE700" i="4"/>
  <c r="BK699" i="4"/>
  <c r="BH699" i="4"/>
  <c r="BE699" i="4"/>
  <c r="BK698" i="4"/>
  <c r="BH698" i="4"/>
  <c r="BE698" i="4"/>
  <c r="BK697" i="4"/>
  <c r="BH697" i="4"/>
  <c r="BE697" i="4"/>
  <c r="BK696" i="4"/>
  <c r="BH696" i="4"/>
  <c r="BE696" i="4"/>
  <c r="BK695" i="4"/>
  <c r="BH695" i="4"/>
  <c r="BE695" i="4"/>
  <c r="BK694" i="4"/>
  <c r="BH694" i="4"/>
  <c r="BE694" i="4"/>
  <c r="BK693" i="4"/>
  <c r="BH693" i="4"/>
  <c r="BE693" i="4"/>
  <c r="BK692" i="4"/>
  <c r="BH692" i="4"/>
  <c r="BE692" i="4"/>
  <c r="BK691" i="4"/>
  <c r="BH691" i="4"/>
  <c r="BE691" i="4"/>
  <c r="BK690" i="4"/>
  <c r="BH690" i="4"/>
  <c r="BE690" i="4"/>
  <c r="BK689" i="4"/>
  <c r="BH689" i="4"/>
  <c r="BE689" i="4"/>
  <c r="BK688" i="4"/>
  <c r="BH688" i="4"/>
  <c r="BE688" i="4"/>
  <c r="BK687" i="4"/>
  <c r="BH687" i="4"/>
  <c r="BE687" i="4"/>
  <c r="BK686" i="4"/>
  <c r="BH686" i="4"/>
  <c r="BE686" i="4"/>
  <c r="BK685" i="4"/>
  <c r="BH685" i="4"/>
  <c r="BE685" i="4"/>
  <c r="BK684" i="4"/>
  <c r="BH684" i="4"/>
  <c r="BE684" i="4"/>
  <c r="BK683" i="4"/>
  <c r="BH683" i="4"/>
  <c r="BE683" i="4"/>
  <c r="BK682" i="4"/>
  <c r="BH682" i="4"/>
  <c r="BE682" i="4"/>
  <c r="BK681" i="4"/>
  <c r="BH681" i="4"/>
  <c r="BE681" i="4"/>
  <c r="BK680" i="4"/>
  <c r="BH680" i="4"/>
  <c r="BE680" i="4"/>
  <c r="BK679" i="4"/>
  <c r="BH679" i="4"/>
  <c r="BE679" i="4"/>
  <c r="BK678" i="4"/>
  <c r="BH678" i="4"/>
  <c r="BE678" i="4"/>
  <c r="BK677" i="4"/>
  <c r="BH677" i="4"/>
  <c r="BE677" i="4"/>
  <c r="BK676" i="4"/>
  <c r="BH676" i="4"/>
  <c r="BE676" i="4"/>
  <c r="BK675" i="4"/>
  <c r="BH675" i="4"/>
  <c r="BE675" i="4"/>
  <c r="BK674" i="4"/>
  <c r="BH674" i="4"/>
  <c r="BE674" i="4"/>
  <c r="BK673" i="4"/>
  <c r="BH673" i="4"/>
  <c r="BE673" i="4"/>
  <c r="BK672" i="4"/>
  <c r="BH672" i="4"/>
  <c r="BE672" i="4"/>
  <c r="BK671" i="4"/>
  <c r="BH671" i="4"/>
  <c r="BE671" i="4"/>
  <c r="BK670" i="4"/>
  <c r="BH670" i="4"/>
  <c r="BE670" i="4"/>
  <c r="BK669" i="4"/>
  <c r="BH669" i="4"/>
  <c r="BE669" i="4"/>
  <c r="BK668" i="4"/>
  <c r="BH668" i="4"/>
  <c r="BE668" i="4"/>
  <c r="BK667" i="4"/>
  <c r="BH667" i="4"/>
  <c r="BE667" i="4"/>
  <c r="BK666" i="4"/>
  <c r="BH666" i="4"/>
  <c r="BE666" i="4"/>
  <c r="BK665" i="4"/>
  <c r="BH665" i="4"/>
  <c r="BE665" i="4"/>
  <c r="BK664" i="4"/>
  <c r="BH664" i="4"/>
  <c r="BE664" i="4"/>
  <c r="BK663" i="4"/>
  <c r="BH663" i="4"/>
  <c r="BE663" i="4"/>
  <c r="BK662" i="4"/>
  <c r="BH662" i="4"/>
  <c r="BE662" i="4"/>
  <c r="BK661" i="4"/>
  <c r="BH661" i="4"/>
  <c r="BE661" i="4"/>
  <c r="BK660" i="4"/>
  <c r="BH660" i="4"/>
  <c r="BE660" i="4"/>
  <c r="BK659" i="4"/>
  <c r="BH659" i="4"/>
  <c r="BE659" i="4"/>
  <c r="BK658" i="4"/>
  <c r="BH658" i="4"/>
  <c r="BE658" i="4"/>
  <c r="BK657" i="4"/>
  <c r="BH657" i="4"/>
  <c r="BE657" i="4"/>
  <c r="BK656" i="4"/>
  <c r="BH656" i="4"/>
  <c r="BE656" i="4"/>
  <c r="BK655" i="4"/>
  <c r="BH655" i="4"/>
  <c r="BE655" i="4"/>
  <c r="BK654" i="4"/>
  <c r="BH654" i="4"/>
  <c r="BE654" i="4"/>
  <c r="BK653" i="4"/>
  <c r="BH653" i="4"/>
  <c r="BE653" i="4"/>
  <c r="BK652" i="4"/>
  <c r="BH652" i="4"/>
  <c r="BE652" i="4"/>
  <c r="BK651" i="4"/>
  <c r="BH651" i="4"/>
  <c r="BE651" i="4"/>
  <c r="BK650" i="4"/>
  <c r="BH650" i="4"/>
  <c r="BE650" i="4"/>
  <c r="BK649" i="4"/>
  <c r="BH649" i="4"/>
  <c r="BE649" i="4"/>
  <c r="BK648" i="4"/>
  <c r="BH648" i="4"/>
  <c r="BE648" i="4"/>
  <c r="BK647" i="4"/>
  <c r="BH647" i="4"/>
  <c r="BE647" i="4"/>
  <c r="BK646" i="4"/>
  <c r="BH646" i="4"/>
  <c r="BE646" i="4"/>
  <c r="BK645" i="4"/>
  <c r="BH645" i="4"/>
  <c r="BE645" i="4"/>
  <c r="BK644" i="4"/>
  <c r="BH644" i="4"/>
  <c r="BE644" i="4"/>
  <c r="BK643" i="4"/>
  <c r="BH643" i="4"/>
  <c r="BE643" i="4"/>
  <c r="BK642" i="4"/>
  <c r="BH642" i="4"/>
  <c r="BE642" i="4"/>
  <c r="BK641" i="4"/>
  <c r="BH641" i="4"/>
  <c r="BE641" i="4"/>
  <c r="BK640" i="4"/>
  <c r="BH640" i="4"/>
  <c r="BE640" i="4"/>
  <c r="BK639" i="4"/>
  <c r="BH639" i="4"/>
  <c r="BE639" i="4"/>
  <c r="BK638" i="4"/>
  <c r="BH638" i="4"/>
  <c r="BE638" i="4"/>
  <c r="BK637" i="4"/>
  <c r="BH637" i="4"/>
  <c r="BE637" i="4"/>
  <c r="BK636" i="4"/>
  <c r="BH636" i="4"/>
  <c r="BE636" i="4"/>
  <c r="BK635" i="4"/>
  <c r="BH635" i="4"/>
  <c r="BE635" i="4"/>
  <c r="BK634" i="4"/>
  <c r="BH634" i="4"/>
  <c r="BE634" i="4"/>
  <c r="BK633" i="4"/>
  <c r="BH633" i="4"/>
  <c r="BE633" i="4"/>
  <c r="BK632" i="4"/>
  <c r="BH632" i="4"/>
  <c r="BE632" i="4"/>
  <c r="BK631" i="4"/>
  <c r="BH631" i="4"/>
  <c r="BE631" i="4"/>
  <c r="BK630" i="4"/>
  <c r="BH630" i="4"/>
  <c r="BE630" i="4"/>
  <c r="BK629" i="4"/>
  <c r="BH629" i="4"/>
  <c r="BE629" i="4"/>
  <c r="BK628" i="4"/>
  <c r="BH628" i="4"/>
  <c r="BE628" i="4"/>
  <c r="BK627" i="4"/>
  <c r="BH627" i="4"/>
  <c r="BE627" i="4"/>
  <c r="BK626" i="4"/>
  <c r="BH626" i="4"/>
  <c r="BE626" i="4"/>
  <c r="BK625" i="4"/>
  <c r="BH625" i="4"/>
  <c r="BE625" i="4"/>
  <c r="BK624" i="4"/>
  <c r="BH624" i="4"/>
  <c r="BE624" i="4"/>
  <c r="BK623" i="4"/>
  <c r="BH623" i="4"/>
  <c r="BE623" i="4"/>
  <c r="BK622" i="4"/>
  <c r="BH622" i="4"/>
  <c r="BE622" i="4"/>
  <c r="BK621" i="4"/>
  <c r="BH621" i="4"/>
  <c r="BE621" i="4"/>
  <c r="BK620" i="4"/>
  <c r="BH620" i="4"/>
  <c r="BE620" i="4"/>
  <c r="BK619" i="4"/>
  <c r="BH619" i="4"/>
  <c r="BE619" i="4"/>
  <c r="BK618" i="4"/>
  <c r="BH618" i="4"/>
  <c r="BE618" i="4"/>
  <c r="BK617" i="4"/>
  <c r="BH617" i="4"/>
  <c r="BE617" i="4"/>
  <c r="BK616" i="4"/>
  <c r="BH616" i="4"/>
  <c r="BE616" i="4"/>
  <c r="BK615" i="4"/>
  <c r="BH615" i="4"/>
  <c r="BE615" i="4"/>
  <c r="BK614" i="4"/>
  <c r="BH614" i="4"/>
  <c r="BE614" i="4"/>
  <c r="BK613" i="4"/>
  <c r="BH613" i="4"/>
  <c r="BE613" i="4"/>
  <c r="BK612" i="4"/>
  <c r="BH612" i="4"/>
  <c r="BE612" i="4"/>
  <c r="BK611" i="4"/>
  <c r="BH611" i="4"/>
  <c r="BE611" i="4"/>
  <c r="BK610" i="4"/>
  <c r="BH610" i="4"/>
  <c r="BE610" i="4"/>
  <c r="BK609" i="4"/>
  <c r="BH609" i="4"/>
  <c r="BE609" i="4"/>
  <c r="BK608" i="4"/>
  <c r="BH608" i="4"/>
  <c r="BE608" i="4"/>
  <c r="BK607" i="4"/>
  <c r="BH607" i="4"/>
  <c r="BE607" i="4"/>
  <c r="BK606" i="4"/>
  <c r="BH606" i="4"/>
  <c r="BE606" i="4"/>
  <c r="BK605" i="4"/>
  <c r="BH605" i="4"/>
  <c r="BE605" i="4"/>
  <c r="BK604" i="4"/>
  <c r="BH604" i="4"/>
  <c r="BE604" i="4"/>
  <c r="BK603" i="4"/>
  <c r="BH603" i="4"/>
  <c r="BE603" i="4"/>
  <c r="BK602" i="4"/>
  <c r="BH602" i="4"/>
  <c r="BE602" i="4"/>
  <c r="BK601" i="4"/>
  <c r="BH601" i="4"/>
  <c r="BE601" i="4"/>
  <c r="BK600" i="4"/>
  <c r="BH600" i="4"/>
  <c r="BE600" i="4"/>
  <c r="BK599" i="4"/>
  <c r="BH599" i="4"/>
  <c r="BE599" i="4"/>
  <c r="BK598" i="4"/>
  <c r="BH598" i="4"/>
  <c r="BE598" i="4"/>
  <c r="BK597" i="4"/>
  <c r="BH597" i="4"/>
  <c r="BE597" i="4"/>
  <c r="BK596" i="4"/>
  <c r="BH596" i="4"/>
  <c r="BE596" i="4"/>
  <c r="BK595" i="4"/>
  <c r="BH595" i="4"/>
  <c r="BE595" i="4"/>
  <c r="BK594" i="4"/>
  <c r="BH594" i="4"/>
  <c r="BE594" i="4"/>
  <c r="BK593" i="4"/>
  <c r="BH593" i="4"/>
  <c r="BE593" i="4"/>
  <c r="BK592" i="4"/>
  <c r="BH592" i="4"/>
  <c r="BE592" i="4"/>
  <c r="BK591" i="4"/>
  <c r="BH591" i="4"/>
  <c r="BE591" i="4"/>
  <c r="BK590" i="4"/>
  <c r="BH590" i="4"/>
  <c r="BE590" i="4"/>
  <c r="BK589" i="4"/>
  <c r="BH589" i="4"/>
  <c r="BE589" i="4"/>
  <c r="BK588" i="4"/>
  <c r="BH588" i="4"/>
  <c r="BE588" i="4"/>
  <c r="BK587" i="4"/>
  <c r="BH587" i="4"/>
  <c r="BE587" i="4"/>
  <c r="BK586" i="4"/>
  <c r="BH586" i="4"/>
  <c r="BE586" i="4"/>
  <c r="BK585" i="4"/>
  <c r="BH585" i="4"/>
  <c r="BE585" i="4"/>
  <c r="BK584" i="4"/>
  <c r="BH584" i="4"/>
  <c r="BE584" i="4"/>
  <c r="BK583" i="4"/>
  <c r="BH583" i="4"/>
  <c r="BE583" i="4"/>
  <c r="BK582" i="4"/>
  <c r="BH582" i="4"/>
  <c r="BE582" i="4"/>
  <c r="BK581" i="4"/>
  <c r="BH581" i="4"/>
  <c r="BE581" i="4"/>
  <c r="BK580" i="4"/>
  <c r="BH580" i="4"/>
  <c r="BE580" i="4"/>
  <c r="BK579" i="4"/>
  <c r="BH579" i="4"/>
  <c r="BE579" i="4"/>
  <c r="BK578" i="4"/>
  <c r="BH578" i="4"/>
  <c r="BE578" i="4"/>
  <c r="BK577" i="4"/>
  <c r="BH577" i="4"/>
  <c r="BE577" i="4"/>
  <c r="BK576" i="4"/>
  <c r="BH576" i="4"/>
  <c r="BE576" i="4"/>
  <c r="BK575" i="4"/>
  <c r="BH575" i="4"/>
  <c r="BE575" i="4"/>
  <c r="BK574" i="4"/>
  <c r="BH574" i="4"/>
  <c r="BE574" i="4"/>
  <c r="BK573" i="4"/>
  <c r="BH573" i="4"/>
  <c r="BE573" i="4"/>
  <c r="BK572" i="4"/>
  <c r="BH572" i="4"/>
  <c r="BE572" i="4"/>
  <c r="BK571" i="4"/>
  <c r="BH571" i="4"/>
  <c r="BE571" i="4"/>
  <c r="BK570" i="4"/>
  <c r="BH570" i="4"/>
  <c r="BE570" i="4"/>
  <c r="BK569" i="4"/>
  <c r="BH569" i="4"/>
  <c r="BE569" i="4"/>
  <c r="BK568" i="4"/>
  <c r="BH568" i="4"/>
  <c r="BE568" i="4"/>
  <c r="BK567" i="4"/>
  <c r="BH567" i="4"/>
  <c r="BE567" i="4"/>
  <c r="BK566" i="4"/>
  <c r="BH566" i="4"/>
  <c r="BE566" i="4"/>
  <c r="BK565" i="4"/>
  <c r="BH565" i="4"/>
  <c r="BE565" i="4"/>
  <c r="BK564" i="4"/>
  <c r="BH564" i="4"/>
  <c r="BE564" i="4"/>
  <c r="BK563" i="4"/>
  <c r="BH563" i="4"/>
  <c r="BE563" i="4"/>
  <c r="BK562" i="4"/>
  <c r="BH562" i="4"/>
  <c r="BE562" i="4"/>
  <c r="BK561" i="4"/>
  <c r="BH561" i="4"/>
  <c r="BE561" i="4"/>
  <c r="BK560" i="4"/>
  <c r="BH560" i="4"/>
  <c r="BE560" i="4"/>
  <c r="BK559" i="4"/>
  <c r="BH559" i="4"/>
  <c r="BE559" i="4"/>
  <c r="BK558" i="4"/>
  <c r="BH558" i="4"/>
  <c r="BE558" i="4"/>
  <c r="BK557" i="4"/>
  <c r="BH557" i="4"/>
  <c r="BE557" i="4"/>
  <c r="BK556" i="4"/>
  <c r="BH556" i="4"/>
  <c r="BE556" i="4"/>
  <c r="BK555" i="4"/>
  <c r="BH555" i="4"/>
  <c r="BE555" i="4"/>
  <c r="BK554" i="4"/>
  <c r="BH554" i="4"/>
  <c r="BE554" i="4"/>
  <c r="BK553" i="4"/>
  <c r="BH553" i="4"/>
  <c r="BE553" i="4"/>
  <c r="BK552" i="4"/>
  <c r="BH552" i="4"/>
  <c r="BE552" i="4"/>
  <c r="BK551" i="4"/>
  <c r="BH551" i="4"/>
  <c r="BE551" i="4"/>
  <c r="BK550" i="4"/>
  <c r="BH550" i="4"/>
  <c r="BE550" i="4"/>
  <c r="BK549" i="4"/>
  <c r="BH549" i="4"/>
  <c r="BE549" i="4"/>
  <c r="BK548" i="4"/>
  <c r="BH548" i="4"/>
  <c r="BE548" i="4"/>
  <c r="BK547" i="4"/>
  <c r="BH547" i="4"/>
  <c r="BE547" i="4"/>
  <c r="BK546" i="4"/>
  <c r="BH546" i="4"/>
  <c r="BE546" i="4"/>
  <c r="BK545" i="4"/>
  <c r="BH545" i="4"/>
  <c r="BE545" i="4"/>
  <c r="BK544" i="4"/>
  <c r="BH544" i="4"/>
  <c r="BE544" i="4"/>
  <c r="BK543" i="4"/>
  <c r="BH543" i="4"/>
  <c r="BE543" i="4"/>
  <c r="BK542" i="4"/>
  <c r="BH542" i="4"/>
  <c r="BE542" i="4"/>
  <c r="BK541" i="4"/>
  <c r="BH541" i="4"/>
  <c r="BE541" i="4"/>
  <c r="BK540" i="4"/>
  <c r="BH540" i="4"/>
  <c r="BE540" i="4"/>
  <c r="BK539" i="4"/>
  <c r="BH539" i="4"/>
  <c r="BE539" i="4"/>
  <c r="BK538" i="4"/>
  <c r="BH538" i="4"/>
  <c r="BE538" i="4"/>
  <c r="BK537" i="4"/>
  <c r="BH537" i="4"/>
  <c r="BE537" i="4"/>
  <c r="BK536" i="4"/>
  <c r="BH536" i="4"/>
  <c r="BE536" i="4"/>
  <c r="BK535" i="4"/>
  <c r="BH535" i="4"/>
  <c r="BE535" i="4"/>
  <c r="BK534" i="4"/>
  <c r="BH534" i="4"/>
  <c r="BE534" i="4"/>
  <c r="BK533" i="4"/>
  <c r="BH533" i="4"/>
  <c r="BE533" i="4"/>
  <c r="BK532" i="4"/>
  <c r="BH532" i="4"/>
  <c r="BE532" i="4"/>
  <c r="BK531" i="4"/>
  <c r="BH531" i="4"/>
  <c r="BE531" i="4"/>
  <c r="BK530" i="4"/>
  <c r="BH530" i="4"/>
  <c r="BE530" i="4"/>
  <c r="BK529" i="4"/>
  <c r="BH529" i="4"/>
  <c r="BE529" i="4"/>
  <c r="BK528" i="4"/>
  <c r="BH528" i="4"/>
  <c r="BE528" i="4"/>
  <c r="BK527" i="4"/>
  <c r="BH527" i="4"/>
  <c r="BE527" i="4"/>
  <c r="BK526" i="4"/>
  <c r="BH526" i="4"/>
  <c r="BE526" i="4"/>
  <c r="BK525" i="4"/>
  <c r="BH525" i="4"/>
  <c r="BE525" i="4"/>
  <c r="BK524" i="4"/>
  <c r="BH524" i="4"/>
  <c r="BE524" i="4"/>
  <c r="BK523" i="4"/>
  <c r="BH523" i="4"/>
  <c r="BE523" i="4"/>
  <c r="BK522" i="4"/>
  <c r="BH522" i="4"/>
  <c r="BE522" i="4"/>
  <c r="BK521" i="4"/>
  <c r="BH521" i="4"/>
  <c r="BE521" i="4"/>
  <c r="BK520" i="4"/>
  <c r="BH520" i="4"/>
  <c r="BE520" i="4"/>
  <c r="BK519" i="4"/>
  <c r="BH519" i="4"/>
  <c r="BE519" i="4"/>
  <c r="BK518" i="4"/>
  <c r="BH518" i="4"/>
  <c r="BE518" i="4"/>
  <c r="BK517" i="4"/>
  <c r="BH517" i="4"/>
  <c r="BE517" i="4"/>
  <c r="BK516" i="4"/>
  <c r="BH516" i="4"/>
  <c r="BE516" i="4"/>
  <c r="BK515" i="4"/>
  <c r="BH515" i="4"/>
  <c r="BE515" i="4"/>
  <c r="BK514" i="4"/>
  <c r="BH514" i="4"/>
  <c r="BE514" i="4"/>
  <c r="BK513" i="4"/>
  <c r="BH513" i="4"/>
  <c r="BE513" i="4"/>
  <c r="BK512" i="4"/>
  <c r="BH512" i="4"/>
  <c r="BE512" i="4"/>
  <c r="BK511" i="4"/>
  <c r="BH511" i="4"/>
  <c r="BE511" i="4"/>
  <c r="BK510" i="4"/>
  <c r="BH510" i="4"/>
  <c r="BE510" i="4"/>
  <c r="BK509" i="4"/>
  <c r="BH509" i="4"/>
  <c r="BE509" i="4"/>
  <c r="BK508" i="4"/>
  <c r="BH508" i="4"/>
  <c r="BE508" i="4"/>
  <c r="BK507" i="4"/>
  <c r="BH507" i="4"/>
  <c r="BE507" i="4"/>
  <c r="BK506" i="4"/>
  <c r="BH506" i="4"/>
  <c r="BE506" i="4"/>
  <c r="BK505" i="4"/>
  <c r="BH505" i="4"/>
  <c r="BE505" i="4"/>
  <c r="BK504" i="4"/>
  <c r="BH504" i="4"/>
  <c r="BE504" i="4"/>
  <c r="BK503" i="4"/>
  <c r="BH503" i="4"/>
  <c r="BE503" i="4"/>
  <c r="BK502" i="4"/>
  <c r="BH502" i="4"/>
  <c r="BE502" i="4"/>
  <c r="BK501" i="4"/>
  <c r="BH501" i="4"/>
  <c r="BE501" i="4"/>
  <c r="BK500" i="4"/>
  <c r="BH500" i="4"/>
  <c r="BE500" i="4"/>
  <c r="BK499" i="4"/>
  <c r="BH499" i="4"/>
  <c r="BE499" i="4"/>
  <c r="BK498" i="4"/>
  <c r="BH498" i="4"/>
  <c r="BE498" i="4"/>
  <c r="BK497" i="4"/>
  <c r="BH497" i="4"/>
  <c r="BE497" i="4"/>
  <c r="BK496" i="4"/>
  <c r="BH496" i="4"/>
  <c r="BE496" i="4"/>
  <c r="BK495" i="4"/>
  <c r="BH495" i="4"/>
  <c r="BE495" i="4"/>
  <c r="BK494" i="4"/>
  <c r="BH494" i="4"/>
  <c r="BE494" i="4"/>
  <c r="BK493" i="4"/>
  <c r="BH493" i="4"/>
  <c r="BE493" i="4"/>
  <c r="BK492" i="4"/>
  <c r="BH492" i="4"/>
  <c r="BE492" i="4"/>
  <c r="BK491" i="4"/>
  <c r="BH491" i="4"/>
  <c r="BE491" i="4"/>
  <c r="BK490" i="4"/>
  <c r="BH490" i="4"/>
  <c r="BE490" i="4"/>
  <c r="BK489" i="4"/>
  <c r="BH489" i="4"/>
  <c r="BE489" i="4"/>
  <c r="BK488" i="4"/>
  <c r="BH488" i="4"/>
  <c r="BE488" i="4"/>
  <c r="BK487" i="4"/>
  <c r="BH487" i="4"/>
  <c r="BE487" i="4"/>
  <c r="BK486" i="4"/>
  <c r="BH486" i="4"/>
  <c r="BE486" i="4"/>
  <c r="BK485" i="4"/>
  <c r="BH485" i="4"/>
  <c r="BE485" i="4"/>
  <c r="BK484" i="4"/>
  <c r="BH484" i="4"/>
  <c r="BE484" i="4"/>
  <c r="BK483" i="4"/>
  <c r="BH483" i="4"/>
  <c r="BE483" i="4"/>
  <c r="BK482" i="4"/>
  <c r="BH482" i="4"/>
  <c r="BE482" i="4"/>
  <c r="BK481" i="4"/>
  <c r="BH481" i="4"/>
  <c r="BE481" i="4"/>
  <c r="BK480" i="4"/>
  <c r="BH480" i="4"/>
  <c r="BE480" i="4"/>
  <c r="BK479" i="4"/>
  <c r="BH479" i="4"/>
  <c r="BE479" i="4"/>
  <c r="BK478" i="4"/>
  <c r="BH478" i="4"/>
  <c r="BE478" i="4"/>
  <c r="BK477" i="4"/>
  <c r="BH477" i="4"/>
  <c r="BE477" i="4"/>
  <c r="BK476" i="4"/>
  <c r="BH476" i="4"/>
  <c r="BE476" i="4"/>
  <c r="BK475" i="4"/>
  <c r="BH475" i="4"/>
  <c r="BE475" i="4"/>
  <c r="BK474" i="4"/>
  <c r="BH474" i="4"/>
  <c r="BE474" i="4"/>
  <c r="BK473" i="4"/>
  <c r="BH473" i="4"/>
  <c r="BE473" i="4"/>
  <c r="BK472" i="4"/>
  <c r="BH472" i="4"/>
  <c r="BE472" i="4"/>
  <c r="BK471" i="4"/>
  <c r="BH471" i="4"/>
  <c r="BE471" i="4"/>
  <c r="BK470" i="4"/>
  <c r="BH470" i="4"/>
  <c r="BE470" i="4"/>
  <c r="BK469" i="4"/>
  <c r="BH469" i="4"/>
  <c r="BE469" i="4"/>
  <c r="BK468" i="4"/>
  <c r="BH468" i="4"/>
  <c r="BE468" i="4"/>
  <c r="BK467" i="4"/>
  <c r="BH467" i="4"/>
  <c r="BE467" i="4"/>
  <c r="BK466" i="4"/>
  <c r="BH466" i="4"/>
  <c r="BE466" i="4"/>
  <c r="BK465" i="4"/>
  <c r="BH465" i="4"/>
  <c r="BE465" i="4"/>
  <c r="BK464" i="4"/>
  <c r="BH464" i="4"/>
  <c r="BE464" i="4"/>
  <c r="BK463" i="4"/>
  <c r="BH463" i="4"/>
  <c r="BE463" i="4"/>
  <c r="BK462" i="4"/>
  <c r="BH462" i="4"/>
  <c r="BE462" i="4"/>
  <c r="BK461" i="4"/>
  <c r="BH461" i="4"/>
  <c r="BE461" i="4"/>
  <c r="BK460" i="4"/>
  <c r="BH460" i="4"/>
  <c r="BE460" i="4"/>
  <c r="BK459" i="4"/>
  <c r="BH459" i="4"/>
  <c r="BE459" i="4"/>
  <c r="BK458" i="4"/>
  <c r="BH458" i="4"/>
  <c r="BE458" i="4"/>
  <c r="BK457" i="4"/>
  <c r="BH457" i="4"/>
  <c r="BE457" i="4"/>
  <c r="BK456" i="4"/>
  <c r="BH456" i="4"/>
  <c r="BE456" i="4"/>
  <c r="BK455" i="4"/>
  <c r="BH455" i="4"/>
  <c r="BE455" i="4"/>
  <c r="BK454" i="4"/>
  <c r="BH454" i="4"/>
  <c r="BE454" i="4"/>
  <c r="BK453" i="4"/>
  <c r="BH453" i="4"/>
  <c r="BE453" i="4"/>
  <c r="BK452" i="4"/>
  <c r="BH452" i="4"/>
  <c r="BE452" i="4"/>
  <c r="BK451" i="4"/>
  <c r="BH451" i="4"/>
  <c r="BE451" i="4"/>
  <c r="BK450" i="4"/>
  <c r="BH450" i="4"/>
  <c r="BE450" i="4"/>
  <c r="BK449" i="4"/>
  <c r="BH449" i="4"/>
  <c r="BE449" i="4"/>
  <c r="BK448" i="4"/>
  <c r="BH448" i="4"/>
  <c r="BE448" i="4"/>
  <c r="BK447" i="4"/>
  <c r="BH447" i="4"/>
  <c r="BE447" i="4"/>
  <c r="BK446" i="4"/>
  <c r="BH446" i="4"/>
  <c r="BE446" i="4"/>
  <c r="BK445" i="4"/>
  <c r="BH445" i="4"/>
  <c r="BE445" i="4"/>
  <c r="BK444" i="4"/>
  <c r="BH444" i="4"/>
  <c r="BE444" i="4"/>
  <c r="BK443" i="4"/>
  <c r="BH443" i="4"/>
  <c r="BE443" i="4"/>
  <c r="BK442" i="4"/>
  <c r="BH442" i="4"/>
  <c r="BE442" i="4"/>
  <c r="BK441" i="4"/>
  <c r="BH441" i="4"/>
  <c r="BE441" i="4"/>
  <c r="BK440" i="4"/>
  <c r="BH440" i="4"/>
  <c r="BE440" i="4"/>
  <c r="BK439" i="4"/>
  <c r="BH439" i="4"/>
  <c r="BE439" i="4"/>
  <c r="BK438" i="4"/>
  <c r="BH438" i="4"/>
  <c r="BE438" i="4"/>
  <c r="BK437" i="4"/>
  <c r="BH437" i="4"/>
  <c r="BE437" i="4"/>
  <c r="BK436" i="4"/>
  <c r="BH436" i="4"/>
  <c r="BE436" i="4"/>
  <c r="BK435" i="4"/>
  <c r="BH435" i="4"/>
  <c r="BE435" i="4"/>
  <c r="BK434" i="4"/>
  <c r="BH434" i="4"/>
  <c r="BE434" i="4"/>
  <c r="BK433" i="4"/>
  <c r="BH433" i="4"/>
  <c r="BE433" i="4"/>
  <c r="BK432" i="4"/>
  <c r="BH432" i="4"/>
  <c r="BE432" i="4"/>
  <c r="BK431" i="4"/>
  <c r="BH431" i="4"/>
  <c r="BE431" i="4"/>
  <c r="BK430" i="4"/>
  <c r="BH430" i="4"/>
  <c r="BE430" i="4"/>
  <c r="BK429" i="4"/>
  <c r="BH429" i="4"/>
  <c r="BE429" i="4"/>
  <c r="BK428" i="4"/>
  <c r="BH428" i="4"/>
  <c r="BE428" i="4"/>
  <c r="BK427" i="4"/>
  <c r="BH427" i="4"/>
  <c r="BE427" i="4"/>
  <c r="BK426" i="4"/>
  <c r="BH426" i="4"/>
  <c r="BE426" i="4"/>
  <c r="BK425" i="4"/>
  <c r="BH425" i="4"/>
  <c r="BE425" i="4"/>
  <c r="BK424" i="4"/>
  <c r="BH424" i="4"/>
  <c r="BE424" i="4"/>
  <c r="BK423" i="4"/>
  <c r="BH423" i="4"/>
  <c r="BE423" i="4"/>
  <c r="BK422" i="4"/>
  <c r="BH422" i="4"/>
  <c r="BE422" i="4"/>
  <c r="BK421" i="4"/>
  <c r="BH421" i="4"/>
  <c r="BE421" i="4"/>
  <c r="BK420" i="4"/>
  <c r="BH420" i="4"/>
  <c r="BE420" i="4"/>
  <c r="BK419" i="4"/>
  <c r="BH419" i="4"/>
  <c r="BE419" i="4"/>
  <c r="BK418" i="4"/>
  <c r="BH418" i="4"/>
  <c r="BE418" i="4"/>
  <c r="BK417" i="4"/>
  <c r="BH417" i="4"/>
  <c r="BE417" i="4"/>
  <c r="BK416" i="4"/>
  <c r="BH416" i="4"/>
  <c r="BE416" i="4"/>
  <c r="BK415" i="4"/>
  <c r="BH415" i="4"/>
  <c r="BE415" i="4"/>
  <c r="BK414" i="4"/>
  <c r="BH414" i="4"/>
  <c r="BE414" i="4"/>
  <c r="BK413" i="4"/>
  <c r="BH413" i="4"/>
  <c r="BE413" i="4"/>
  <c r="BK412" i="4"/>
  <c r="BH412" i="4"/>
  <c r="BE412" i="4"/>
  <c r="BK411" i="4"/>
  <c r="BH411" i="4"/>
  <c r="BE411" i="4"/>
  <c r="BK410" i="4"/>
  <c r="BH410" i="4"/>
  <c r="BE410" i="4"/>
  <c r="BK409" i="4"/>
  <c r="BH409" i="4"/>
  <c r="BE409" i="4"/>
  <c r="BK408" i="4"/>
  <c r="BH408" i="4"/>
  <c r="BE408" i="4"/>
  <c r="BK407" i="4"/>
  <c r="BH407" i="4"/>
  <c r="BE407" i="4"/>
  <c r="BK406" i="4"/>
  <c r="BH406" i="4"/>
  <c r="BE406" i="4"/>
  <c r="BK405" i="4"/>
  <c r="BH405" i="4"/>
  <c r="BE405" i="4"/>
  <c r="BK404" i="4"/>
  <c r="BH404" i="4"/>
  <c r="BE404" i="4"/>
  <c r="BK403" i="4"/>
  <c r="BH403" i="4"/>
  <c r="BE403" i="4"/>
  <c r="BK402" i="4"/>
  <c r="BH402" i="4"/>
  <c r="BE402" i="4"/>
  <c r="BK401" i="4"/>
  <c r="BH401" i="4"/>
  <c r="BE401" i="4"/>
  <c r="BK400" i="4"/>
  <c r="BH400" i="4"/>
  <c r="BE400" i="4"/>
  <c r="BK399" i="4"/>
  <c r="BH399" i="4"/>
  <c r="BE399" i="4"/>
  <c r="BK398" i="4"/>
  <c r="BH398" i="4"/>
  <c r="BE398" i="4"/>
  <c r="BK397" i="4"/>
  <c r="BH397" i="4"/>
  <c r="BE397" i="4"/>
  <c r="BK396" i="4"/>
  <c r="BH396" i="4"/>
  <c r="BE396" i="4"/>
  <c r="BK395" i="4"/>
  <c r="BH395" i="4"/>
  <c r="BE395" i="4"/>
  <c r="BK394" i="4"/>
  <c r="BH394" i="4"/>
  <c r="BE394" i="4"/>
  <c r="BK393" i="4"/>
  <c r="BH393" i="4"/>
  <c r="BE393" i="4"/>
  <c r="BK392" i="4"/>
  <c r="BH392" i="4"/>
  <c r="BE392" i="4"/>
  <c r="BK391" i="4"/>
  <c r="BH391" i="4"/>
  <c r="BE391" i="4"/>
  <c r="BK390" i="4"/>
  <c r="BH390" i="4"/>
  <c r="BE390" i="4"/>
  <c r="BK389" i="4"/>
  <c r="BH389" i="4"/>
  <c r="BE389" i="4"/>
  <c r="BK388" i="4"/>
  <c r="BH388" i="4"/>
  <c r="BE388" i="4"/>
  <c r="BK387" i="4"/>
  <c r="BH387" i="4"/>
  <c r="BE387" i="4"/>
  <c r="BK386" i="4"/>
  <c r="BH386" i="4"/>
  <c r="BE386" i="4"/>
  <c r="BK385" i="4"/>
  <c r="BH385" i="4"/>
  <c r="BE385" i="4"/>
  <c r="BK384" i="4"/>
  <c r="BH384" i="4"/>
  <c r="BE384" i="4"/>
  <c r="BK383" i="4"/>
  <c r="BH383" i="4"/>
  <c r="BE383" i="4"/>
  <c r="BK382" i="4"/>
  <c r="BH382" i="4"/>
  <c r="BE382" i="4"/>
  <c r="BK381" i="4"/>
  <c r="BH381" i="4"/>
  <c r="BE381" i="4"/>
  <c r="BK380" i="4"/>
  <c r="BH380" i="4"/>
  <c r="BE380" i="4"/>
  <c r="BK379" i="4"/>
  <c r="BH379" i="4"/>
  <c r="BE379" i="4"/>
  <c r="BK378" i="4"/>
  <c r="BH378" i="4"/>
  <c r="BE378" i="4"/>
  <c r="BK377" i="4"/>
  <c r="BH377" i="4"/>
  <c r="BE377" i="4"/>
  <c r="BK376" i="4"/>
  <c r="BH376" i="4"/>
  <c r="BE376" i="4"/>
  <c r="BK375" i="4"/>
  <c r="BH375" i="4"/>
  <c r="BE375" i="4"/>
  <c r="BK374" i="4"/>
  <c r="BH374" i="4"/>
  <c r="BE374" i="4"/>
  <c r="BK373" i="4"/>
  <c r="BH373" i="4"/>
  <c r="BE373" i="4"/>
  <c r="BK372" i="4"/>
  <c r="BH372" i="4"/>
  <c r="BE372" i="4"/>
  <c r="BK371" i="4"/>
  <c r="BH371" i="4"/>
  <c r="BE371" i="4"/>
  <c r="BK370" i="4"/>
  <c r="BH370" i="4"/>
  <c r="BE370" i="4"/>
  <c r="BK369" i="4"/>
  <c r="BH369" i="4"/>
  <c r="BE369" i="4"/>
  <c r="BK368" i="4"/>
  <c r="BH368" i="4"/>
  <c r="BE368" i="4"/>
  <c r="BK367" i="4"/>
  <c r="BH367" i="4"/>
  <c r="BE367" i="4"/>
  <c r="BK366" i="4"/>
  <c r="BH366" i="4"/>
  <c r="BE366" i="4"/>
  <c r="BK365" i="4"/>
  <c r="BH365" i="4"/>
  <c r="BE365" i="4"/>
  <c r="BK364" i="4"/>
  <c r="BH364" i="4"/>
  <c r="BE364" i="4"/>
  <c r="BK363" i="4"/>
  <c r="BH363" i="4"/>
  <c r="BE363" i="4"/>
  <c r="BK362" i="4"/>
  <c r="BH362" i="4"/>
  <c r="BE362" i="4"/>
  <c r="BK361" i="4"/>
  <c r="BH361" i="4"/>
  <c r="BE361" i="4"/>
  <c r="BK360" i="4"/>
  <c r="BH360" i="4"/>
  <c r="BE360" i="4"/>
  <c r="BK359" i="4"/>
  <c r="BH359" i="4"/>
  <c r="BE359" i="4"/>
  <c r="BK358" i="4"/>
  <c r="BH358" i="4"/>
  <c r="BE358" i="4"/>
  <c r="BK357" i="4"/>
  <c r="BH357" i="4"/>
  <c r="BE357" i="4"/>
  <c r="BK356" i="4"/>
  <c r="BH356" i="4"/>
  <c r="BE356" i="4"/>
  <c r="BK355" i="4"/>
  <c r="BH355" i="4"/>
  <c r="BE355" i="4"/>
  <c r="BK354" i="4"/>
  <c r="BH354" i="4"/>
  <c r="BE354" i="4"/>
  <c r="BK353" i="4"/>
  <c r="BH353" i="4"/>
  <c r="BE353" i="4"/>
  <c r="BK352" i="4"/>
  <c r="BH352" i="4"/>
  <c r="BE352" i="4"/>
  <c r="BK351" i="4"/>
  <c r="BH351" i="4"/>
  <c r="BE351" i="4"/>
  <c r="BK350" i="4"/>
  <c r="BH350" i="4"/>
  <c r="BE350" i="4"/>
  <c r="BK349" i="4"/>
  <c r="BH349" i="4"/>
  <c r="BE349" i="4"/>
  <c r="BK348" i="4"/>
  <c r="BH348" i="4"/>
  <c r="BE348" i="4"/>
  <c r="BK347" i="4"/>
  <c r="BH347" i="4"/>
  <c r="BE347" i="4"/>
  <c r="BK346" i="4"/>
  <c r="BH346" i="4"/>
  <c r="BE346" i="4"/>
  <c r="BK345" i="4"/>
  <c r="BH345" i="4"/>
  <c r="BE345" i="4"/>
  <c r="BK344" i="4"/>
  <c r="BH344" i="4"/>
  <c r="BE344" i="4"/>
  <c r="BK343" i="4"/>
  <c r="BH343" i="4"/>
  <c r="BE343" i="4"/>
  <c r="BK342" i="4"/>
  <c r="BH342" i="4"/>
  <c r="BE342" i="4"/>
  <c r="BK341" i="4"/>
  <c r="BH341" i="4"/>
  <c r="BE341" i="4"/>
  <c r="BK340" i="4"/>
  <c r="BH340" i="4"/>
  <c r="BE340" i="4"/>
  <c r="BK339" i="4"/>
  <c r="BH339" i="4"/>
  <c r="BE339" i="4"/>
  <c r="BK338" i="4"/>
  <c r="BH338" i="4"/>
  <c r="BE338" i="4"/>
  <c r="BK337" i="4"/>
  <c r="BH337" i="4"/>
  <c r="BE337" i="4"/>
  <c r="BK336" i="4"/>
  <c r="BH336" i="4"/>
  <c r="BE336" i="4"/>
  <c r="BK335" i="4"/>
  <c r="BH335" i="4"/>
  <c r="BE335" i="4"/>
  <c r="BK334" i="4"/>
  <c r="BH334" i="4"/>
  <c r="BE334" i="4"/>
  <c r="BK333" i="4"/>
  <c r="BH333" i="4"/>
  <c r="BE333" i="4"/>
  <c r="BK332" i="4"/>
  <c r="BH332" i="4"/>
  <c r="BE332" i="4"/>
  <c r="BK331" i="4"/>
  <c r="BH331" i="4"/>
  <c r="BE331" i="4"/>
  <c r="BK330" i="4"/>
  <c r="BH330" i="4"/>
  <c r="BE330" i="4"/>
  <c r="BK329" i="4"/>
  <c r="BH329" i="4"/>
  <c r="BE329" i="4"/>
  <c r="BK328" i="4"/>
  <c r="BH328" i="4"/>
  <c r="BE328" i="4"/>
  <c r="BK327" i="4"/>
  <c r="BH327" i="4"/>
  <c r="BE327" i="4"/>
  <c r="BK326" i="4"/>
  <c r="BH326" i="4"/>
  <c r="BE326" i="4"/>
  <c r="BK325" i="4"/>
  <c r="BH325" i="4"/>
  <c r="BE325" i="4"/>
  <c r="BK324" i="4"/>
  <c r="BH324" i="4"/>
  <c r="BE324" i="4"/>
  <c r="BK323" i="4"/>
  <c r="BH323" i="4"/>
  <c r="BE323" i="4"/>
  <c r="BK322" i="4"/>
  <c r="BH322" i="4"/>
  <c r="BE322" i="4"/>
  <c r="BK321" i="4"/>
  <c r="BH321" i="4"/>
  <c r="BE321" i="4"/>
  <c r="BK320" i="4"/>
  <c r="BH320" i="4"/>
  <c r="BE320" i="4"/>
  <c r="BK319" i="4"/>
  <c r="BH319" i="4"/>
  <c r="BE319" i="4"/>
  <c r="BK318" i="4"/>
  <c r="BH318" i="4"/>
  <c r="BE318" i="4"/>
  <c r="BK317" i="4"/>
  <c r="BH317" i="4"/>
  <c r="BE317" i="4"/>
  <c r="BK316" i="4"/>
  <c r="BH316" i="4"/>
  <c r="BE316" i="4"/>
  <c r="BK315" i="4"/>
  <c r="BH315" i="4"/>
  <c r="BE315" i="4"/>
  <c r="BK314" i="4"/>
  <c r="BH314" i="4"/>
  <c r="BE314" i="4"/>
  <c r="BK313" i="4"/>
  <c r="BH313" i="4"/>
  <c r="BE313" i="4"/>
  <c r="BK312" i="4"/>
  <c r="BH312" i="4"/>
  <c r="BE312" i="4"/>
  <c r="BK311" i="4"/>
  <c r="BH311" i="4"/>
  <c r="BE311" i="4"/>
  <c r="BK310" i="4"/>
  <c r="BH310" i="4"/>
  <c r="BE310" i="4"/>
  <c r="BK309" i="4"/>
  <c r="BH309" i="4"/>
  <c r="BE309" i="4"/>
  <c r="BK308" i="4"/>
  <c r="BH308" i="4"/>
  <c r="BE308" i="4"/>
  <c r="BK307" i="4"/>
  <c r="BH307" i="4"/>
  <c r="BE307" i="4"/>
  <c r="BK306" i="4"/>
  <c r="BH306" i="4"/>
  <c r="BE306" i="4"/>
  <c r="BK305" i="4"/>
  <c r="BH305" i="4"/>
  <c r="BE305" i="4"/>
  <c r="BK304" i="4"/>
  <c r="BH304" i="4"/>
  <c r="BE304" i="4"/>
  <c r="BK303" i="4"/>
  <c r="BH303" i="4"/>
  <c r="BE303" i="4"/>
  <c r="BK302" i="4"/>
  <c r="BH302" i="4"/>
  <c r="BE302" i="4"/>
  <c r="BK301" i="4"/>
  <c r="BH301" i="4"/>
  <c r="BE301" i="4"/>
  <c r="BK300" i="4"/>
  <c r="BH300" i="4"/>
  <c r="BE300" i="4"/>
  <c r="BK299" i="4"/>
  <c r="BH299" i="4"/>
  <c r="BE299" i="4"/>
  <c r="BK298" i="4"/>
  <c r="BH298" i="4"/>
  <c r="BE298" i="4"/>
  <c r="BK297" i="4"/>
  <c r="BH297" i="4"/>
  <c r="BE297" i="4"/>
  <c r="BK296" i="4"/>
  <c r="BH296" i="4"/>
  <c r="BE296" i="4"/>
  <c r="BK295" i="4"/>
  <c r="BH295" i="4"/>
  <c r="BE295" i="4"/>
  <c r="BK294" i="4"/>
  <c r="BH294" i="4"/>
  <c r="BE294" i="4"/>
  <c r="BK293" i="4"/>
  <c r="BH293" i="4"/>
  <c r="BE293" i="4"/>
  <c r="BK292" i="4"/>
  <c r="BH292" i="4"/>
  <c r="BE292" i="4"/>
  <c r="BK291" i="4"/>
  <c r="BH291" i="4"/>
  <c r="BE291" i="4"/>
  <c r="BK290" i="4"/>
  <c r="BH290" i="4"/>
  <c r="BE290" i="4"/>
  <c r="BK289" i="4"/>
  <c r="BH289" i="4"/>
  <c r="BE289" i="4"/>
  <c r="BK288" i="4"/>
  <c r="BH288" i="4"/>
  <c r="BE288" i="4"/>
  <c r="BK287" i="4"/>
  <c r="BH287" i="4"/>
  <c r="BE287" i="4"/>
  <c r="BK286" i="4"/>
  <c r="BH286" i="4"/>
  <c r="BE286" i="4"/>
  <c r="BK285" i="4"/>
  <c r="BH285" i="4"/>
  <c r="BE285" i="4"/>
  <c r="BK284" i="4"/>
  <c r="BH284" i="4"/>
  <c r="BE284" i="4"/>
  <c r="BK283" i="4"/>
  <c r="BH283" i="4"/>
  <c r="BE283" i="4"/>
  <c r="BK282" i="4"/>
  <c r="BH282" i="4"/>
  <c r="BE282" i="4"/>
  <c r="BK281" i="4"/>
  <c r="BH281" i="4"/>
  <c r="BE281" i="4"/>
  <c r="BK280" i="4"/>
  <c r="BH280" i="4"/>
  <c r="BE280" i="4"/>
  <c r="BK279" i="4"/>
  <c r="BH279" i="4"/>
  <c r="BE279" i="4"/>
  <c r="BK278" i="4"/>
  <c r="BH278" i="4"/>
  <c r="BE278" i="4"/>
  <c r="BK277" i="4"/>
  <c r="BH277" i="4"/>
  <c r="BE277" i="4"/>
  <c r="BK276" i="4"/>
  <c r="BH276" i="4"/>
  <c r="BE276" i="4"/>
  <c r="BK275" i="4"/>
  <c r="BH275" i="4"/>
  <c r="BE275" i="4"/>
  <c r="BK274" i="4"/>
  <c r="BH274" i="4"/>
  <c r="BE274" i="4"/>
  <c r="BK273" i="4"/>
  <c r="BH273" i="4"/>
  <c r="BE273" i="4"/>
  <c r="BK272" i="4"/>
  <c r="BH272" i="4"/>
  <c r="BE272" i="4"/>
  <c r="BK271" i="4"/>
  <c r="BH271" i="4"/>
  <c r="BE271" i="4"/>
  <c r="BK270" i="4"/>
  <c r="BH270" i="4"/>
  <c r="BE270" i="4"/>
  <c r="BK269" i="4"/>
  <c r="BH269" i="4"/>
  <c r="BE269" i="4"/>
  <c r="BK268" i="4"/>
  <c r="BH268" i="4"/>
  <c r="BE268" i="4"/>
  <c r="BK267" i="4"/>
  <c r="BH267" i="4"/>
  <c r="BE267" i="4"/>
  <c r="BK266" i="4"/>
  <c r="BH266" i="4"/>
  <c r="BE266" i="4"/>
  <c r="BK265" i="4"/>
  <c r="BH265" i="4"/>
  <c r="BE265" i="4"/>
  <c r="BK264" i="4"/>
  <c r="BH264" i="4"/>
  <c r="BE264" i="4"/>
  <c r="BK263" i="4"/>
  <c r="BH263" i="4"/>
  <c r="BE263" i="4"/>
  <c r="BK262" i="4"/>
  <c r="BH262" i="4"/>
  <c r="BE262" i="4"/>
  <c r="BK261" i="4"/>
  <c r="BH261" i="4"/>
  <c r="BE261" i="4"/>
  <c r="BK260" i="4"/>
  <c r="BH260" i="4"/>
  <c r="BE260" i="4"/>
  <c r="BK259" i="4"/>
  <c r="BH259" i="4"/>
  <c r="BE259" i="4"/>
  <c r="BK258" i="4"/>
  <c r="BH258" i="4"/>
  <c r="BE258" i="4"/>
  <c r="BK257" i="4"/>
  <c r="BH257" i="4"/>
  <c r="BE257" i="4"/>
  <c r="BK256" i="4"/>
  <c r="BH256" i="4"/>
  <c r="BE256" i="4"/>
  <c r="BK255" i="4"/>
  <c r="BH255" i="4"/>
  <c r="BE255" i="4"/>
  <c r="BK254" i="4"/>
  <c r="BH254" i="4"/>
  <c r="BE254" i="4"/>
  <c r="BK253" i="4"/>
  <c r="BH253" i="4"/>
  <c r="BE253" i="4"/>
  <c r="BK252" i="4"/>
  <c r="BH252" i="4"/>
  <c r="BE252" i="4"/>
  <c r="BK251" i="4"/>
  <c r="BH251" i="4"/>
  <c r="BE251" i="4"/>
  <c r="BK250" i="4"/>
  <c r="BH250" i="4"/>
  <c r="BE250" i="4"/>
  <c r="BK249" i="4"/>
  <c r="BH249" i="4"/>
  <c r="BE249" i="4"/>
  <c r="BK248" i="4"/>
  <c r="BH248" i="4"/>
  <c r="BE248" i="4"/>
  <c r="BK247" i="4"/>
  <c r="BH247" i="4"/>
  <c r="BE247" i="4"/>
  <c r="BK246" i="4"/>
  <c r="BH246" i="4"/>
  <c r="BE246" i="4"/>
  <c r="BK245" i="4"/>
  <c r="BH245" i="4"/>
  <c r="BE245" i="4"/>
  <c r="BK244" i="4"/>
  <c r="BH244" i="4"/>
  <c r="BE244" i="4"/>
  <c r="BK243" i="4"/>
  <c r="BH243" i="4"/>
  <c r="BE243" i="4"/>
  <c r="BK242" i="4"/>
  <c r="BH242" i="4"/>
  <c r="BE242" i="4"/>
  <c r="BK241" i="4"/>
  <c r="BH241" i="4"/>
  <c r="BE241" i="4"/>
  <c r="BK240" i="4"/>
  <c r="BH240" i="4"/>
  <c r="BE240" i="4"/>
  <c r="BK239" i="4"/>
  <c r="BH239" i="4"/>
  <c r="BE239" i="4"/>
  <c r="BK238" i="4"/>
  <c r="BH238" i="4"/>
  <c r="BE238" i="4"/>
  <c r="BK237" i="4"/>
  <c r="BH237" i="4"/>
  <c r="BE237" i="4"/>
  <c r="BK236" i="4"/>
  <c r="BH236" i="4"/>
  <c r="BE236" i="4"/>
  <c r="BK235" i="4"/>
  <c r="BH235" i="4"/>
  <c r="BE235" i="4"/>
  <c r="BK234" i="4"/>
  <c r="BH234" i="4"/>
  <c r="BE234" i="4"/>
  <c r="BK233" i="4"/>
  <c r="BH233" i="4"/>
  <c r="BE233" i="4"/>
  <c r="BK232" i="4"/>
  <c r="BH232" i="4"/>
  <c r="BE232" i="4"/>
  <c r="BK231" i="4"/>
  <c r="BH231" i="4"/>
  <c r="BE231" i="4"/>
  <c r="BK230" i="4"/>
  <c r="BH230" i="4"/>
  <c r="BE230" i="4"/>
  <c r="BK229" i="4"/>
  <c r="BH229" i="4"/>
  <c r="BE229" i="4"/>
  <c r="BK228" i="4"/>
  <c r="BH228" i="4"/>
  <c r="BE228" i="4"/>
  <c r="BK227" i="4"/>
  <c r="BH227" i="4"/>
  <c r="BE227" i="4"/>
  <c r="BK226" i="4"/>
  <c r="BH226" i="4"/>
  <c r="BE226" i="4"/>
  <c r="BK225" i="4"/>
  <c r="BH225" i="4"/>
  <c r="BE225" i="4"/>
  <c r="BK224" i="4"/>
  <c r="BH224" i="4"/>
  <c r="BE224" i="4"/>
  <c r="BK223" i="4"/>
  <c r="BH223" i="4"/>
  <c r="BE223" i="4"/>
  <c r="BK222" i="4"/>
  <c r="BH222" i="4"/>
  <c r="BE222" i="4"/>
  <c r="BK221" i="4"/>
  <c r="BH221" i="4"/>
  <c r="BE221" i="4"/>
  <c r="BK220" i="4"/>
  <c r="BH220" i="4"/>
  <c r="BE220" i="4"/>
  <c r="BK219" i="4"/>
  <c r="BH219" i="4"/>
  <c r="BE219" i="4"/>
  <c r="BK218" i="4"/>
  <c r="BH218" i="4"/>
  <c r="BE218" i="4"/>
  <c r="BK217" i="4"/>
  <c r="BH217" i="4"/>
  <c r="BE217" i="4"/>
  <c r="BK216" i="4"/>
  <c r="BH216" i="4"/>
  <c r="BE216" i="4"/>
  <c r="BK215" i="4"/>
  <c r="BH215" i="4"/>
  <c r="BE215" i="4"/>
  <c r="BK214" i="4"/>
  <c r="BH214" i="4"/>
  <c r="BE214" i="4"/>
  <c r="BK213" i="4"/>
  <c r="BH213" i="4"/>
  <c r="BE213" i="4"/>
  <c r="BK212" i="4"/>
  <c r="BH212" i="4"/>
  <c r="BE212" i="4"/>
  <c r="BK211" i="4"/>
  <c r="BH211" i="4"/>
  <c r="BE211" i="4"/>
  <c r="BK210" i="4"/>
  <c r="BH210" i="4"/>
  <c r="BE210" i="4"/>
  <c r="BK209" i="4"/>
  <c r="BH209" i="4"/>
  <c r="BE209" i="4"/>
  <c r="BK208" i="4"/>
  <c r="BH208" i="4"/>
  <c r="BE208" i="4"/>
  <c r="BK207" i="4"/>
  <c r="BH207" i="4"/>
  <c r="BE207" i="4"/>
  <c r="BK206" i="4"/>
  <c r="BH206" i="4"/>
  <c r="BE206" i="4"/>
  <c r="BK205" i="4"/>
  <c r="BH205" i="4"/>
  <c r="BE205" i="4"/>
  <c r="BK204" i="4"/>
  <c r="BH204" i="4"/>
  <c r="BE204" i="4"/>
  <c r="BK203" i="4"/>
  <c r="BH203" i="4"/>
  <c r="BE203" i="4"/>
  <c r="BK202" i="4"/>
  <c r="BH202" i="4"/>
  <c r="BE202" i="4"/>
  <c r="BK201" i="4"/>
  <c r="BH201" i="4"/>
  <c r="BE201" i="4"/>
  <c r="BK200" i="4"/>
  <c r="BH200" i="4"/>
  <c r="BE200" i="4"/>
  <c r="BK199" i="4"/>
  <c r="BH199" i="4"/>
  <c r="BE199" i="4"/>
  <c r="BK198" i="4"/>
  <c r="BH198" i="4"/>
  <c r="BE198" i="4"/>
  <c r="BK197" i="4"/>
  <c r="BH197" i="4"/>
  <c r="BE197" i="4"/>
  <c r="BK196" i="4"/>
  <c r="BH196" i="4"/>
  <c r="BE196" i="4"/>
  <c r="BK195" i="4"/>
  <c r="BH195" i="4"/>
  <c r="BE195" i="4"/>
  <c r="BK194" i="4"/>
  <c r="BH194" i="4"/>
  <c r="BE194" i="4"/>
  <c r="BK193" i="4"/>
  <c r="BH193" i="4"/>
  <c r="BE193" i="4"/>
  <c r="BK192" i="4"/>
  <c r="BH192" i="4"/>
  <c r="BE192" i="4"/>
  <c r="BK191" i="4"/>
  <c r="BH191" i="4"/>
  <c r="BE191" i="4"/>
  <c r="BK190" i="4"/>
  <c r="BH190" i="4"/>
  <c r="BE190" i="4"/>
  <c r="BK189" i="4"/>
  <c r="BH189" i="4"/>
  <c r="BE189" i="4"/>
  <c r="BK188" i="4"/>
  <c r="BH188" i="4"/>
  <c r="BE188" i="4"/>
  <c r="BK187" i="4"/>
  <c r="BH187" i="4"/>
  <c r="BE187" i="4"/>
  <c r="BK186" i="4"/>
  <c r="BH186" i="4"/>
  <c r="BE186" i="4"/>
  <c r="BK185" i="4"/>
  <c r="BH185" i="4"/>
  <c r="BE185" i="4"/>
  <c r="BK184" i="4"/>
  <c r="BH184" i="4"/>
  <c r="BE184" i="4"/>
  <c r="BK183" i="4"/>
  <c r="BH183" i="4"/>
  <c r="BE183" i="4"/>
  <c r="BK182" i="4"/>
  <c r="BH182" i="4"/>
  <c r="BE182" i="4"/>
  <c r="BK181" i="4"/>
  <c r="BH181" i="4"/>
  <c r="BE181" i="4"/>
  <c r="BK180" i="4"/>
  <c r="BH180" i="4"/>
  <c r="BE180" i="4"/>
  <c r="BK179" i="4"/>
  <c r="BH179" i="4"/>
  <c r="BE179" i="4"/>
  <c r="BK178" i="4"/>
  <c r="BH178" i="4"/>
  <c r="BE178" i="4"/>
  <c r="BK177" i="4"/>
  <c r="BH177" i="4"/>
  <c r="BE177" i="4"/>
  <c r="BK176" i="4"/>
  <c r="BH176" i="4"/>
  <c r="BE176" i="4"/>
  <c r="BK175" i="4"/>
  <c r="BH175" i="4"/>
  <c r="BE175" i="4"/>
  <c r="BK174" i="4"/>
  <c r="BH174" i="4"/>
  <c r="BE174" i="4"/>
  <c r="BK173" i="4"/>
  <c r="BH173" i="4"/>
  <c r="BE173" i="4"/>
  <c r="BK172" i="4"/>
  <c r="BH172" i="4"/>
  <c r="BE172" i="4"/>
  <c r="BK171" i="4"/>
  <c r="BH171" i="4"/>
  <c r="BE171" i="4"/>
  <c r="BK170" i="4"/>
  <c r="BH170" i="4"/>
  <c r="BE170" i="4"/>
  <c r="BK169" i="4"/>
  <c r="BH169" i="4"/>
  <c r="BE169" i="4"/>
  <c r="BK168" i="4"/>
  <c r="BH168" i="4"/>
  <c r="BE168" i="4"/>
  <c r="BK167" i="4"/>
  <c r="BH167" i="4"/>
  <c r="BE167" i="4"/>
  <c r="BK166" i="4"/>
  <c r="BH166" i="4"/>
  <c r="BE166" i="4"/>
  <c r="BK165" i="4"/>
  <c r="BH165" i="4"/>
  <c r="BE165" i="4"/>
  <c r="BK164" i="4"/>
  <c r="BH164" i="4"/>
  <c r="BE164" i="4"/>
  <c r="BK163" i="4"/>
  <c r="BH163" i="4"/>
  <c r="BE163" i="4"/>
  <c r="BK162" i="4"/>
  <c r="BH162" i="4"/>
  <c r="BE162" i="4"/>
  <c r="BK161" i="4"/>
  <c r="BH161" i="4"/>
  <c r="BE161" i="4"/>
  <c r="BK160" i="4"/>
  <c r="BH160" i="4"/>
  <c r="BE160" i="4"/>
  <c r="BK159" i="4"/>
  <c r="BH159" i="4"/>
  <c r="BE159" i="4"/>
  <c r="BK158" i="4"/>
  <c r="BH158" i="4"/>
  <c r="BE158" i="4"/>
  <c r="BK157" i="4"/>
  <c r="BH157" i="4"/>
  <c r="BE157" i="4"/>
  <c r="BK156" i="4"/>
  <c r="BH156" i="4"/>
  <c r="BE156" i="4"/>
  <c r="BK155" i="4"/>
  <c r="BH155" i="4"/>
  <c r="BE155" i="4"/>
  <c r="BK154" i="4"/>
  <c r="BH154" i="4"/>
  <c r="BE154" i="4"/>
  <c r="BK153" i="4"/>
  <c r="BH153" i="4"/>
  <c r="BE153" i="4"/>
  <c r="BK152" i="4"/>
  <c r="BH152" i="4"/>
  <c r="BE152" i="4"/>
  <c r="BK151" i="4"/>
  <c r="BH151" i="4"/>
  <c r="BE151" i="4"/>
  <c r="BK150" i="4"/>
  <c r="BH150" i="4"/>
  <c r="BE150" i="4"/>
  <c r="BK149" i="4"/>
  <c r="BH149" i="4"/>
  <c r="BE149" i="4"/>
  <c r="BK148" i="4"/>
  <c r="BH148" i="4"/>
  <c r="BE148" i="4"/>
  <c r="BK147" i="4"/>
  <c r="BH147" i="4"/>
  <c r="BE147" i="4"/>
  <c r="BK146" i="4"/>
  <c r="BH146" i="4"/>
  <c r="BE146" i="4"/>
  <c r="BK145" i="4"/>
  <c r="BH145" i="4"/>
  <c r="BE145" i="4"/>
  <c r="BK144" i="4"/>
  <c r="BH144" i="4"/>
  <c r="BE144" i="4"/>
  <c r="BK143" i="4"/>
  <c r="BH143" i="4"/>
  <c r="BE143" i="4"/>
  <c r="BK142" i="4"/>
  <c r="BH142" i="4"/>
  <c r="BE142" i="4"/>
  <c r="BK141" i="4"/>
  <c r="BH141" i="4"/>
  <c r="BE141" i="4"/>
  <c r="BK140" i="4"/>
  <c r="BH140" i="4"/>
  <c r="BE140" i="4"/>
  <c r="BK139" i="4"/>
  <c r="BH139" i="4"/>
  <c r="BE139" i="4"/>
  <c r="BK138" i="4"/>
  <c r="BH138" i="4"/>
  <c r="BE138" i="4"/>
  <c r="BK137" i="4"/>
  <c r="BH137" i="4"/>
  <c r="BE137" i="4"/>
  <c r="BK136" i="4"/>
  <c r="BH136" i="4"/>
  <c r="BE136" i="4"/>
  <c r="BK135" i="4"/>
  <c r="BH135" i="4"/>
  <c r="BE135" i="4"/>
  <c r="BK134" i="4"/>
  <c r="BH134" i="4"/>
  <c r="BE134" i="4"/>
  <c r="BK133" i="4"/>
  <c r="BH133" i="4"/>
  <c r="BE133" i="4"/>
  <c r="BK132" i="4"/>
  <c r="BH132" i="4"/>
  <c r="BE132" i="4"/>
  <c r="BK131" i="4"/>
  <c r="BH131" i="4"/>
  <c r="BE131" i="4"/>
  <c r="BK130" i="4"/>
  <c r="BH130" i="4"/>
  <c r="BE130" i="4"/>
  <c r="BK129" i="4"/>
  <c r="BH129" i="4"/>
  <c r="BE129" i="4"/>
  <c r="BK128" i="4"/>
  <c r="BH128" i="4"/>
  <c r="BE128" i="4"/>
  <c r="BK127" i="4"/>
  <c r="BH127" i="4"/>
  <c r="BE127" i="4"/>
  <c r="BK126" i="4"/>
  <c r="BH126" i="4"/>
  <c r="BE126" i="4"/>
  <c r="BK125" i="4"/>
  <c r="BH125" i="4"/>
  <c r="BE125" i="4"/>
  <c r="BK124" i="4"/>
  <c r="BH124" i="4"/>
  <c r="BE124" i="4"/>
  <c r="BK123" i="4"/>
  <c r="BH123" i="4"/>
  <c r="BE123" i="4"/>
  <c r="BK122" i="4"/>
  <c r="BH122" i="4"/>
  <c r="BE122" i="4"/>
  <c r="BK121" i="4"/>
  <c r="BH121" i="4"/>
  <c r="BE121" i="4"/>
  <c r="BK120" i="4"/>
  <c r="BH120" i="4"/>
  <c r="BE120" i="4"/>
  <c r="BK119" i="4"/>
  <c r="BH119" i="4"/>
  <c r="BE119" i="4"/>
  <c r="BK118" i="4"/>
  <c r="BH118" i="4"/>
  <c r="BE118" i="4"/>
  <c r="BK117" i="4"/>
  <c r="BH117" i="4"/>
  <c r="BE117" i="4"/>
  <c r="BK116" i="4"/>
  <c r="BH116" i="4"/>
  <c r="BE116" i="4"/>
  <c r="BK115" i="4"/>
  <c r="BH115" i="4"/>
  <c r="BE115" i="4"/>
  <c r="BK114" i="4"/>
  <c r="BH114" i="4"/>
  <c r="BE114" i="4"/>
  <c r="BK113" i="4"/>
  <c r="BH113" i="4"/>
  <c r="BE113" i="4"/>
  <c r="BK112" i="4"/>
  <c r="BH112" i="4"/>
  <c r="BE112" i="4"/>
  <c r="BK111" i="4"/>
  <c r="BH111" i="4"/>
  <c r="BE111" i="4"/>
  <c r="BK110" i="4"/>
  <c r="BH110" i="4"/>
  <c r="BE110" i="4"/>
  <c r="BK109" i="4"/>
  <c r="BH109" i="4"/>
  <c r="BE109" i="4"/>
  <c r="BK108" i="4"/>
  <c r="BH108" i="4"/>
  <c r="BE108" i="4"/>
  <c r="BK107" i="4"/>
  <c r="BH107" i="4"/>
  <c r="BE107" i="4"/>
  <c r="BK106" i="4"/>
  <c r="BH106" i="4"/>
  <c r="BE106" i="4"/>
  <c r="BK105" i="4"/>
  <c r="BH105" i="4"/>
  <c r="BE105" i="4"/>
  <c r="BK104" i="4"/>
  <c r="BH104" i="4"/>
  <c r="BE104" i="4"/>
  <c r="BK103" i="4"/>
  <c r="BH103" i="4"/>
  <c r="BE103" i="4"/>
  <c r="BK102" i="4"/>
  <c r="BH102" i="4"/>
  <c r="BE102" i="4"/>
  <c r="BK101" i="4"/>
  <c r="BH101" i="4"/>
  <c r="BE101" i="4"/>
  <c r="BK100" i="4"/>
  <c r="BH100" i="4"/>
  <c r="BE100" i="4"/>
  <c r="BK99" i="4"/>
  <c r="BH99" i="4"/>
  <c r="BE99" i="4"/>
  <c r="BK98" i="4"/>
  <c r="BH98" i="4"/>
  <c r="BE98" i="4"/>
  <c r="BK97" i="4"/>
  <c r="BH97" i="4"/>
  <c r="BE97" i="4"/>
  <c r="BK96" i="4"/>
  <c r="BH96" i="4"/>
  <c r="BE96" i="4"/>
  <c r="BK95" i="4"/>
  <c r="BH95" i="4"/>
  <c r="BE95" i="4"/>
  <c r="BK94" i="4"/>
  <c r="BH94" i="4"/>
  <c r="BE94" i="4"/>
  <c r="BK93" i="4"/>
  <c r="BH93" i="4"/>
  <c r="BE93" i="4"/>
  <c r="BK92" i="4"/>
  <c r="BH92" i="4"/>
  <c r="BE92" i="4"/>
  <c r="BK91" i="4"/>
  <c r="BH91" i="4"/>
  <c r="BE91" i="4"/>
  <c r="BK90" i="4"/>
  <c r="BH90" i="4"/>
  <c r="BE90" i="4"/>
  <c r="BK89" i="4"/>
  <c r="BH89" i="4"/>
  <c r="BE89" i="4"/>
  <c r="BK88" i="4"/>
  <c r="BH88" i="4"/>
  <c r="BE88" i="4"/>
  <c r="BK87" i="4"/>
  <c r="BH87" i="4"/>
  <c r="BE87" i="4"/>
  <c r="BK86" i="4"/>
  <c r="BH86" i="4"/>
  <c r="BE86" i="4"/>
  <c r="BK85" i="4"/>
  <c r="BH85" i="4"/>
  <c r="BE85" i="4"/>
  <c r="BK84" i="4"/>
  <c r="BH84" i="4"/>
  <c r="BE84" i="4"/>
  <c r="BK83" i="4"/>
  <c r="BH83" i="4"/>
  <c r="BE83" i="4"/>
  <c r="BK82" i="4"/>
  <c r="BH82" i="4"/>
  <c r="BE82" i="4"/>
  <c r="BK81" i="4"/>
  <c r="BH81" i="4"/>
  <c r="BE81" i="4"/>
  <c r="BK80" i="4"/>
  <c r="BH80" i="4"/>
  <c r="BE80" i="4"/>
  <c r="BK79" i="4"/>
  <c r="BH79" i="4"/>
  <c r="BE79" i="4"/>
  <c r="BK78" i="4"/>
  <c r="BH78" i="4"/>
  <c r="BE78" i="4"/>
  <c r="BK77" i="4"/>
  <c r="BH77" i="4"/>
  <c r="BE77" i="4"/>
  <c r="BK76" i="4"/>
  <c r="BH76" i="4"/>
  <c r="BE76" i="4"/>
  <c r="BK75" i="4"/>
  <c r="BH75" i="4"/>
  <c r="BE75" i="4"/>
  <c r="BK74" i="4"/>
  <c r="BH74" i="4"/>
  <c r="BE74" i="4"/>
  <c r="BK73" i="4"/>
  <c r="BH73" i="4"/>
  <c r="BE73" i="4"/>
  <c r="BK72" i="4"/>
  <c r="BH72" i="4"/>
  <c r="BE72" i="4"/>
  <c r="BK71" i="4"/>
  <c r="BH71" i="4"/>
  <c r="BE71" i="4"/>
  <c r="BK70" i="4"/>
  <c r="BH70" i="4"/>
  <c r="BE70" i="4"/>
  <c r="BK69" i="4"/>
  <c r="BH69" i="4"/>
  <c r="BE69" i="4"/>
  <c r="BK68" i="4"/>
  <c r="BH68" i="4"/>
  <c r="BE68" i="4"/>
  <c r="BK67" i="4"/>
  <c r="BH67" i="4"/>
  <c r="BE67" i="4"/>
  <c r="BK66" i="4"/>
  <c r="BH66" i="4"/>
  <c r="BE66" i="4"/>
  <c r="BK65" i="4"/>
  <c r="BH65" i="4"/>
  <c r="BE65" i="4"/>
  <c r="BK64" i="4"/>
  <c r="BH64" i="4"/>
  <c r="BE64" i="4"/>
  <c r="BK63" i="4"/>
  <c r="BH63" i="4"/>
  <c r="BE63" i="4"/>
  <c r="BK62" i="4"/>
  <c r="BH62" i="4"/>
  <c r="BE62" i="4"/>
  <c r="BK61" i="4"/>
  <c r="BH61" i="4"/>
  <c r="BE61" i="4"/>
  <c r="BK60" i="4"/>
  <c r="BH60" i="4"/>
  <c r="BE60" i="4"/>
  <c r="BK59" i="4"/>
  <c r="BH59" i="4"/>
  <c r="BE59" i="4"/>
  <c r="BK58" i="4"/>
  <c r="BH58" i="4"/>
  <c r="BE58" i="4"/>
  <c r="BK57" i="4"/>
  <c r="BH57" i="4"/>
  <c r="BE57" i="4"/>
  <c r="BK56" i="4"/>
  <c r="BH56" i="4"/>
  <c r="BE56" i="4"/>
  <c r="BK55" i="4"/>
  <c r="BH55" i="4"/>
  <c r="BE55" i="4"/>
  <c r="BK54" i="4"/>
  <c r="BH54" i="4"/>
  <c r="BE54" i="4"/>
  <c r="BK53" i="4"/>
  <c r="BH53" i="4"/>
  <c r="BE53" i="4"/>
  <c r="BK52" i="4"/>
  <c r="BH52" i="4"/>
  <c r="BE52" i="4"/>
  <c r="BK51" i="4"/>
  <c r="BH51" i="4"/>
  <c r="BE51" i="4"/>
  <c r="BK50" i="4"/>
  <c r="BH50" i="4"/>
  <c r="BE50" i="4"/>
  <c r="BK49" i="4"/>
  <c r="BH49" i="4"/>
  <c r="BE49" i="4"/>
  <c r="BK48" i="4"/>
  <c r="BH48" i="4"/>
  <c r="BE48" i="4"/>
  <c r="BK47" i="4"/>
  <c r="BH47" i="4"/>
  <c r="BE47" i="4"/>
  <c r="BK46" i="4"/>
  <c r="BH46" i="4"/>
  <c r="BE46" i="4"/>
  <c r="BK45" i="4"/>
  <c r="BH45" i="4"/>
  <c r="BE45" i="4"/>
  <c r="BK44" i="4"/>
  <c r="BH44" i="4"/>
  <c r="BE44" i="4"/>
  <c r="BK43" i="4"/>
  <c r="BH43" i="4"/>
  <c r="BE43" i="4"/>
  <c r="BK42" i="4"/>
  <c r="BH42" i="4"/>
  <c r="BE42" i="4"/>
  <c r="BK41" i="4"/>
  <c r="BH41" i="4"/>
  <c r="BE41" i="4"/>
  <c r="BK40" i="4"/>
  <c r="BH40" i="4"/>
  <c r="BE40" i="4"/>
  <c r="BK39" i="4"/>
  <c r="BH39" i="4"/>
  <c r="BE39" i="4"/>
  <c r="BK38" i="4"/>
  <c r="BH38" i="4"/>
  <c r="BE38" i="4"/>
  <c r="BK37" i="4"/>
  <c r="BH37" i="4"/>
  <c r="BE37" i="4"/>
  <c r="BK36" i="4"/>
  <c r="BH36" i="4"/>
  <c r="BE36" i="4"/>
  <c r="BK35" i="4"/>
  <c r="BH35" i="4"/>
  <c r="BE35" i="4"/>
  <c r="BK34" i="4"/>
  <c r="BH34" i="4"/>
  <c r="BE34" i="4"/>
  <c r="BK33" i="4"/>
  <c r="BH33" i="4"/>
  <c r="BE33" i="4"/>
  <c r="BK32" i="4"/>
  <c r="BH32" i="4"/>
  <c r="BE32" i="4"/>
  <c r="BK31" i="4"/>
  <c r="BH31" i="4"/>
  <c r="BE31" i="4"/>
  <c r="BK30" i="4"/>
  <c r="BH30" i="4"/>
  <c r="BE30" i="4"/>
  <c r="BK29" i="4"/>
  <c r="BH29" i="4"/>
  <c r="BE29" i="4"/>
  <c r="BK28" i="4"/>
  <c r="BH28" i="4"/>
  <c r="BE28" i="4"/>
  <c r="BK27" i="4"/>
  <c r="BH27" i="4"/>
  <c r="BE27" i="4"/>
  <c r="BK26" i="4"/>
  <c r="BH26" i="4"/>
  <c r="BE26" i="4"/>
  <c r="BK25" i="4"/>
  <c r="BH25" i="4"/>
  <c r="BE25" i="4"/>
  <c r="BK24" i="4"/>
  <c r="BH24" i="4"/>
  <c r="BE24" i="4"/>
  <c r="BK23" i="4"/>
  <c r="BH23" i="4"/>
  <c r="BE23" i="4"/>
  <c r="BK22" i="4"/>
  <c r="BH22" i="4"/>
  <c r="BE22" i="4"/>
  <c r="BK21" i="4"/>
  <c r="BH21" i="4"/>
  <c r="BE21" i="4"/>
  <c r="BK20" i="4"/>
  <c r="BH20" i="4"/>
  <c r="BE20" i="4"/>
  <c r="BK19" i="4"/>
  <c r="BH19" i="4"/>
  <c r="BE19" i="4"/>
  <c r="BK18" i="4"/>
  <c r="BH18" i="4"/>
  <c r="BE18" i="4"/>
  <c r="BK17" i="4"/>
  <c r="BH17" i="4"/>
  <c r="BE17" i="4"/>
  <c r="BK16" i="4"/>
  <c r="BH16" i="4"/>
  <c r="BE16" i="4"/>
  <c r="BK15" i="4"/>
  <c r="BH15" i="4"/>
  <c r="BE15" i="4"/>
  <c r="BK14" i="4"/>
  <c r="BH14" i="4"/>
  <c r="BE14" i="4"/>
  <c r="BK13" i="4"/>
  <c r="BH13" i="4"/>
  <c r="BE13" i="4"/>
  <c r="BK12" i="4"/>
  <c r="BH12" i="4"/>
  <c r="BE12" i="4"/>
  <c r="BK11" i="4"/>
  <c r="BH11" i="4"/>
  <c r="BE11" i="4"/>
  <c r="BK10" i="4"/>
  <c r="BH10" i="4"/>
  <c r="BE10" i="4"/>
  <c r="BK9" i="4"/>
  <c r="BH9" i="4"/>
  <c r="BE9" i="4"/>
  <c r="BK8" i="4"/>
  <c r="BH8" i="4"/>
  <c r="BE8" i="4"/>
  <c r="BK7" i="4"/>
  <c r="BH7" i="4"/>
  <c r="BE7" i="4"/>
  <c r="BK6" i="4"/>
  <c r="BH6" i="4"/>
  <c r="BE6" i="4"/>
  <c r="BK5" i="4"/>
  <c r="BH5" i="4"/>
  <c r="BE5" i="4"/>
  <c r="BK4" i="4"/>
  <c r="BH4" i="4"/>
  <c r="BE4" i="4"/>
  <c r="BK3" i="4"/>
  <c r="BH3" i="4"/>
  <c r="BE3" i="4"/>
  <c r="BK2" i="4"/>
  <c r="BH2" i="4"/>
  <c r="BE2" i="4"/>
  <c r="BB1001" i="4"/>
  <c r="BB1000" i="4"/>
  <c r="BB999" i="4"/>
  <c r="BB998" i="4"/>
  <c r="BB997" i="4"/>
  <c r="BB996" i="4"/>
  <c r="BB995" i="4"/>
  <c r="BB994" i="4"/>
  <c r="BB993" i="4"/>
  <c r="BB992" i="4"/>
  <c r="BB991" i="4"/>
  <c r="BB990" i="4"/>
  <c r="BB989" i="4"/>
  <c r="BB988" i="4"/>
  <c r="BB987" i="4"/>
  <c r="BB986" i="4"/>
  <c r="BB985" i="4"/>
  <c r="BB984" i="4"/>
  <c r="BB983" i="4"/>
  <c r="BB982" i="4"/>
  <c r="BB981" i="4"/>
  <c r="BB980" i="4"/>
  <c r="BB979" i="4"/>
  <c r="BB978" i="4"/>
  <c r="BB977" i="4"/>
  <c r="BB976" i="4"/>
  <c r="BB975" i="4"/>
  <c r="BB974" i="4"/>
  <c r="BB973" i="4"/>
  <c r="BB972" i="4"/>
  <c r="BB971" i="4"/>
  <c r="BB970" i="4"/>
  <c r="BB969" i="4"/>
  <c r="BB968" i="4"/>
  <c r="BB967" i="4"/>
  <c r="BB966" i="4"/>
  <c r="BB965" i="4"/>
  <c r="BB964" i="4"/>
  <c r="BB963" i="4"/>
  <c r="BB962" i="4"/>
  <c r="BB961" i="4"/>
  <c r="BB960" i="4"/>
  <c r="BB959" i="4"/>
  <c r="BB958" i="4"/>
  <c r="BB957" i="4"/>
  <c r="BB956" i="4"/>
  <c r="BB955" i="4"/>
  <c r="BB954" i="4"/>
  <c r="BB953" i="4"/>
  <c r="BB952" i="4"/>
  <c r="BB951" i="4"/>
  <c r="BB950" i="4"/>
  <c r="BB949" i="4"/>
  <c r="BB948" i="4"/>
  <c r="BB947" i="4"/>
  <c r="BB946" i="4"/>
  <c r="BB945" i="4"/>
  <c r="BB944" i="4"/>
  <c r="BB943" i="4"/>
  <c r="BB942" i="4"/>
  <c r="BB941" i="4"/>
  <c r="BB940" i="4"/>
  <c r="BB939" i="4"/>
  <c r="BB938" i="4"/>
  <c r="BB937" i="4"/>
  <c r="BB936" i="4"/>
  <c r="BB935" i="4"/>
  <c r="BB934" i="4"/>
  <c r="BB933" i="4"/>
  <c r="BB932" i="4"/>
  <c r="BB931" i="4"/>
  <c r="BB930" i="4"/>
  <c r="BB929" i="4"/>
  <c r="BB928" i="4"/>
  <c r="BB927" i="4"/>
  <c r="BB926" i="4"/>
  <c r="BB925" i="4"/>
  <c r="BB924" i="4"/>
  <c r="BB923" i="4"/>
  <c r="BB922" i="4"/>
  <c r="BB921" i="4"/>
  <c r="BB920" i="4"/>
  <c r="BB919" i="4"/>
  <c r="BB918" i="4"/>
  <c r="BB917" i="4"/>
  <c r="BB916" i="4"/>
  <c r="BB915" i="4"/>
  <c r="BB914" i="4"/>
  <c r="BB913" i="4"/>
  <c r="BB912" i="4"/>
  <c r="BB911" i="4"/>
  <c r="BB910" i="4"/>
  <c r="BB909" i="4"/>
  <c r="BB908" i="4"/>
  <c r="BB907" i="4"/>
  <c r="BB906" i="4"/>
  <c r="BB905" i="4"/>
  <c r="BB904" i="4"/>
  <c r="BB903" i="4"/>
  <c r="BB902" i="4"/>
  <c r="BB901" i="4"/>
  <c r="BB900" i="4"/>
  <c r="BB899" i="4"/>
  <c r="BB898" i="4"/>
  <c r="BB897" i="4"/>
  <c r="BB896" i="4"/>
  <c r="BB895" i="4"/>
  <c r="BB894" i="4"/>
  <c r="BB893" i="4"/>
  <c r="BB892" i="4"/>
  <c r="BB891" i="4"/>
  <c r="BB890" i="4"/>
  <c r="BB889" i="4"/>
  <c r="BB888" i="4"/>
  <c r="BB887" i="4"/>
  <c r="BB886" i="4"/>
  <c r="BB885" i="4"/>
  <c r="BB884" i="4"/>
  <c r="BB883" i="4"/>
  <c r="BB882" i="4"/>
  <c r="BB881" i="4"/>
  <c r="BB880" i="4"/>
  <c r="BB879" i="4"/>
  <c r="BB878" i="4"/>
  <c r="BB877" i="4"/>
  <c r="BB876" i="4"/>
  <c r="BB875" i="4"/>
  <c r="BB874" i="4"/>
  <c r="BB873" i="4"/>
  <c r="BB872" i="4"/>
  <c r="BB871" i="4"/>
  <c r="BB870" i="4"/>
  <c r="BB869" i="4"/>
  <c r="BB868" i="4"/>
  <c r="BB867" i="4"/>
  <c r="BB866" i="4"/>
  <c r="BB865" i="4"/>
  <c r="BB864" i="4"/>
  <c r="BB863" i="4"/>
  <c r="BB862" i="4"/>
  <c r="BB861" i="4"/>
  <c r="BB860" i="4"/>
  <c r="BB859" i="4"/>
  <c r="BB858" i="4"/>
  <c r="BB857" i="4"/>
  <c r="BB856" i="4"/>
  <c r="BB855" i="4"/>
  <c r="BB854" i="4"/>
  <c r="BB853" i="4"/>
  <c r="BB852" i="4"/>
  <c r="BB851" i="4"/>
  <c r="BB850" i="4"/>
  <c r="BB849" i="4"/>
  <c r="BB848" i="4"/>
  <c r="BB847" i="4"/>
  <c r="BB846" i="4"/>
  <c r="BB845" i="4"/>
  <c r="BB844" i="4"/>
  <c r="BB843" i="4"/>
  <c r="BB842" i="4"/>
  <c r="BB841" i="4"/>
  <c r="BB840" i="4"/>
  <c r="BB839" i="4"/>
  <c r="BB838" i="4"/>
  <c r="BB837" i="4"/>
  <c r="BB836" i="4"/>
  <c r="BB835" i="4"/>
  <c r="BB834" i="4"/>
  <c r="BB833" i="4"/>
  <c r="BB832" i="4"/>
  <c r="BB831" i="4"/>
  <c r="BB830" i="4"/>
  <c r="BB829" i="4"/>
  <c r="BB828" i="4"/>
  <c r="BB827" i="4"/>
  <c r="BB826" i="4"/>
  <c r="BB825" i="4"/>
  <c r="BB824" i="4"/>
  <c r="BB823" i="4"/>
  <c r="BB822" i="4"/>
  <c r="BB821" i="4"/>
  <c r="BB820" i="4"/>
  <c r="BB819" i="4"/>
  <c r="BB818" i="4"/>
  <c r="BB817" i="4"/>
  <c r="BB816" i="4"/>
  <c r="BB815" i="4"/>
  <c r="BB814" i="4"/>
  <c r="BB813" i="4"/>
  <c r="BB812" i="4"/>
  <c r="BB811" i="4"/>
  <c r="BB810" i="4"/>
  <c r="BB809" i="4"/>
  <c r="BB808" i="4"/>
  <c r="BB807" i="4"/>
  <c r="BB806" i="4"/>
  <c r="BB805" i="4"/>
  <c r="BB804" i="4"/>
  <c r="BB803" i="4"/>
  <c r="BB802" i="4"/>
  <c r="BB801" i="4"/>
  <c r="BB800" i="4"/>
  <c r="BB799" i="4"/>
  <c r="BB798" i="4"/>
  <c r="BB797" i="4"/>
  <c r="BB796" i="4"/>
  <c r="BB795" i="4"/>
  <c r="BB794" i="4"/>
  <c r="BB793" i="4"/>
  <c r="BB792" i="4"/>
  <c r="BB791" i="4"/>
  <c r="BB790" i="4"/>
  <c r="BB789" i="4"/>
  <c r="BB788" i="4"/>
  <c r="BB787" i="4"/>
  <c r="BB786" i="4"/>
  <c r="BB785" i="4"/>
  <c r="BB784" i="4"/>
  <c r="BB783" i="4"/>
  <c r="BB782" i="4"/>
  <c r="BB781" i="4"/>
  <c r="BB780" i="4"/>
  <c r="BB779" i="4"/>
  <c r="BB778" i="4"/>
  <c r="BB777" i="4"/>
  <c r="BB776" i="4"/>
  <c r="BB775" i="4"/>
  <c r="BB774" i="4"/>
  <c r="BB773" i="4"/>
  <c r="BB772" i="4"/>
  <c r="BB771" i="4"/>
  <c r="BB770" i="4"/>
  <c r="BB769" i="4"/>
  <c r="BB768" i="4"/>
  <c r="BB767" i="4"/>
  <c r="BB766" i="4"/>
  <c r="BB765" i="4"/>
  <c r="BB764" i="4"/>
  <c r="BB763" i="4"/>
  <c r="BB762" i="4"/>
  <c r="BB761" i="4"/>
  <c r="BB760" i="4"/>
  <c r="BB759" i="4"/>
  <c r="BB758" i="4"/>
  <c r="BB757" i="4"/>
  <c r="BB756" i="4"/>
  <c r="BB755" i="4"/>
  <c r="BB754" i="4"/>
  <c r="BB753" i="4"/>
  <c r="BB752" i="4"/>
  <c r="BB751" i="4"/>
  <c r="BB750" i="4"/>
  <c r="BB749" i="4"/>
  <c r="BB748" i="4"/>
  <c r="BB747" i="4"/>
  <c r="BB746" i="4"/>
  <c r="BB745" i="4"/>
  <c r="BB744" i="4"/>
  <c r="BB743" i="4"/>
  <c r="BB742" i="4"/>
  <c r="BB741" i="4"/>
  <c r="BB740" i="4"/>
  <c r="BB739" i="4"/>
  <c r="BB738" i="4"/>
  <c r="BB737" i="4"/>
  <c r="BB736" i="4"/>
  <c r="BB735" i="4"/>
  <c r="BB734" i="4"/>
  <c r="BB733" i="4"/>
  <c r="BB732" i="4"/>
  <c r="BB731" i="4"/>
  <c r="BB730" i="4"/>
  <c r="BB729" i="4"/>
  <c r="BB728" i="4"/>
  <c r="BB727" i="4"/>
  <c r="BB726" i="4"/>
  <c r="BB725" i="4"/>
  <c r="BB724" i="4"/>
  <c r="BB723" i="4"/>
  <c r="BB722" i="4"/>
  <c r="BB721" i="4"/>
  <c r="BB720" i="4"/>
  <c r="BB719" i="4"/>
  <c r="BB718" i="4"/>
  <c r="BB717" i="4"/>
  <c r="BB716" i="4"/>
  <c r="BB715" i="4"/>
  <c r="BB714" i="4"/>
  <c r="BB713" i="4"/>
  <c r="BB712" i="4"/>
  <c r="BB711" i="4"/>
  <c r="BB710" i="4"/>
  <c r="BB709" i="4"/>
  <c r="BB708" i="4"/>
  <c r="BB707" i="4"/>
  <c r="BB706" i="4"/>
  <c r="BB705" i="4"/>
  <c r="BB704" i="4"/>
  <c r="BB703" i="4"/>
  <c r="BB702" i="4"/>
  <c r="BB701" i="4"/>
  <c r="BB700" i="4"/>
  <c r="BB699" i="4"/>
  <c r="BB698" i="4"/>
  <c r="BB697" i="4"/>
  <c r="BB696" i="4"/>
  <c r="BB695" i="4"/>
  <c r="BB694" i="4"/>
  <c r="BB693" i="4"/>
  <c r="BB692" i="4"/>
  <c r="BB691" i="4"/>
  <c r="BB690" i="4"/>
  <c r="BB689" i="4"/>
  <c r="BB688" i="4"/>
  <c r="BB687" i="4"/>
  <c r="BB686" i="4"/>
  <c r="BB685" i="4"/>
  <c r="BB684" i="4"/>
  <c r="BB683" i="4"/>
  <c r="BB682" i="4"/>
  <c r="BB681" i="4"/>
  <c r="BB680" i="4"/>
  <c r="BB679" i="4"/>
  <c r="BB678" i="4"/>
  <c r="BB677" i="4"/>
  <c r="BB676" i="4"/>
  <c r="BB675" i="4"/>
  <c r="BB674" i="4"/>
  <c r="BB673" i="4"/>
  <c r="BB672" i="4"/>
  <c r="BB671" i="4"/>
  <c r="BB670" i="4"/>
  <c r="BB669" i="4"/>
  <c r="BB668" i="4"/>
  <c r="BB667" i="4"/>
  <c r="BB666" i="4"/>
  <c r="BB665" i="4"/>
  <c r="BB664" i="4"/>
  <c r="BB663" i="4"/>
  <c r="BB662" i="4"/>
  <c r="BB661" i="4"/>
  <c r="BB660" i="4"/>
  <c r="BB659" i="4"/>
  <c r="BB658" i="4"/>
  <c r="BB657" i="4"/>
  <c r="BB656" i="4"/>
  <c r="BB655" i="4"/>
  <c r="BB654" i="4"/>
  <c r="BB653" i="4"/>
  <c r="BB652" i="4"/>
  <c r="BB651" i="4"/>
  <c r="BB650" i="4"/>
  <c r="BB649" i="4"/>
  <c r="BB648" i="4"/>
  <c r="BB647" i="4"/>
  <c r="BB646" i="4"/>
  <c r="BB645" i="4"/>
  <c r="BB644" i="4"/>
  <c r="BB643" i="4"/>
  <c r="BB642" i="4"/>
  <c r="BB641" i="4"/>
  <c r="BB640" i="4"/>
  <c r="BB639" i="4"/>
  <c r="BB638" i="4"/>
  <c r="BB637" i="4"/>
  <c r="BB636" i="4"/>
  <c r="BB635" i="4"/>
  <c r="BB634" i="4"/>
  <c r="BB633" i="4"/>
  <c r="BB632" i="4"/>
  <c r="BB631" i="4"/>
  <c r="BB630" i="4"/>
  <c r="BB629" i="4"/>
  <c r="BB628" i="4"/>
  <c r="BB627" i="4"/>
  <c r="BB626" i="4"/>
  <c r="BB625" i="4"/>
  <c r="BB624" i="4"/>
  <c r="BB623" i="4"/>
  <c r="BB622" i="4"/>
  <c r="BB621" i="4"/>
  <c r="BB620" i="4"/>
  <c r="BB619" i="4"/>
  <c r="BB618" i="4"/>
  <c r="BB617" i="4"/>
  <c r="BB616" i="4"/>
  <c r="BB615" i="4"/>
  <c r="BB614" i="4"/>
  <c r="BB613" i="4"/>
  <c r="BB612" i="4"/>
  <c r="BB611" i="4"/>
  <c r="BB610" i="4"/>
  <c r="BB609" i="4"/>
  <c r="BB608" i="4"/>
  <c r="BB607" i="4"/>
  <c r="BB606" i="4"/>
  <c r="BB605" i="4"/>
  <c r="BB604" i="4"/>
  <c r="BB603" i="4"/>
  <c r="BB602" i="4"/>
  <c r="BB601" i="4"/>
  <c r="BB600" i="4"/>
  <c r="BB599" i="4"/>
  <c r="BB598" i="4"/>
  <c r="BB597" i="4"/>
  <c r="BB596" i="4"/>
  <c r="BB595" i="4"/>
  <c r="BB594" i="4"/>
  <c r="BB593" i="4"/>
  <c r="BB592" i="4"/>
  <c r="BB591" i="4"/>
  <c r="BB590" i="4"/>
  <c r="BB589" i="4"/>
  <c r="BB588" i="4"/>
  <c r="BB587" i="4"/>
  <c r="BB586" i="4"/>
  <c r="BB585" i="4"/>
  <c r="BB584" i="4"/>
  <c r="BB583" i="4"/>
  <c r="BB582" i="4"/>
  <c r="BB581" i="4"/>
  <c r="BB580" i="4"/>
  <c r="BB579" i="4"/>
  <c r="BB578" i="4"/>
  <c r="BB577" i="4"/>
  <c r="BB576" i="4"/>
  <c r="BB575" i="4"/>
  <c r="BB574" i="4"/>
  <c r="BB573" i="4"/>
  <c r="BB572" i="4"/>
  <c r="BB571" i="4"/>
  <c r="BB570" i="4"/>
  <c r="BB569" i="4"/>
  <c r="BB568" i="4"/>
  <c r="BB567" i="4"/>
  <c r="BB566" i="4"/>
  <c r="BB565" i="4"/>
  <c r="BB564" i="4"/>
  <c r="BB563" i="4"/>
  <c r="BB562" i="4"/>
  <c r="BB561" i="4"/>
  <c r="BB560" i="4"/>
  <c r="BB559" i="4"/>
  <c r="BB558" i="4"/>
  <c r="BB557" i="4"/>
  <c r="BB556" i="4"/>
  <c r="BB555" i="4"/>
  <c r="BB554" i="4"/>
  <c r="BB553" i="4"/>
  <c r="BB552" i="4"/>
  <c r="BB551" i="4"/>
  <c r="BB550" i="4"/>
  <c r="BB549" i="4"/>
  <c r="BB548" i="4"/>
  <c r="BB547" i="4"/>
  <c r="BB546" i="4"/>
  <c r="BB545" i="4"/>
  <c r="BB544" i="4"/>
  <c r="BB543" i="4"/>
  <c r="BB542" i="4"/>
  <c r="BB541" i="4"/>
  <c r="BB540" i="4"/>
  <c r="BB539" i="4"/>
  <c r="BB538" i="4"/>
  <c r="BB537" i="4"/>
  <c r="BB536" i="4"/>
  <c r="BB535" i="4"/>
  <c r="BB534" i="4"/>
  <c r="BB533" i="4"/>
  <c r="BB532" i="4"/>
  <c r="BB531" i="4"/>
  <c r="BB530" i="4"/>
  <c r="BB529" i="4"/>
  <c r="BB528" i="4"/>
  <c r="BB527" i="4"/>
  <c r="BB526" i="4"/>
  <c r="BB525" i="4"/>
  <c r="BB524" i="4"/>
  <c r="BB523" i="4"/>
  <c r="BB522" i="4"/>
  <c r="BB521" i="4"/>
  <c r="BB520" i="4"/>
  <c r="BB519" i="4"/>
  <c r="BB518" i="4"/>
  <c r="BB517" i="4"/>
  <c r="BB516" i="4"/>
  <c r="BB515" i="4"/>
  <c r="BB514" i="4"/>
  <c r="BB513" i="4"/>
  <c r="BB512" i="4"/>
  <c r="BB511" i="4"/>
  <c r="BB510" i="4"/>
  <c r="BB509" i="4"/>
  <c r="BB508" i="4"/>
  <c r="BB507" i="4"/>
  <c r="BB506" i="4"/>
  <c r="BB505" i="4"/>
  <c r="BB504" i="4"/>
  <c r="BB503" i="4"/>
  <c r="BB502" i="4"/>
  <c r="BB501" i="4"/>
  <c r="BB500" i="4"/>
  <c r="BB499" i="4"/>
  <c r="BB498" i="4"/>
  <c r="BB497" i="4"/>
  <c r="BB496" i="4"/>
  <c r="BB495" i="4"/>
  <c r="BB494" i="4"/>
  <c r="BB493" i="4"/>
  <c r="BB492" i="4"/>
  <c r="BB491" i="4"/>
  <c r="BB490" i="4"/>
  <c r="BB489" i="4"/>
  <c r="BB488" i="4"/>
  <c r="BB487" i="4"/>
  <c r="BB486" i="4"/>
  <c r="BB485" i="4"/>
  <c r="BB484" i="4"/>
  <c r="BB483" i="4"/>
  <c r="BB482" i="4"/>
  <c r="BB481" i="4"/>
  <c r="BB480" i="4"/>
  <c r="BB479" i="4"/>
  <c r="BB478" i="4"/>
  <c r="BB477" i="4"/>
  <c r="BB476" i="4"/>
  <c r="BB475" i="4"/>
  <c r="BB474" i="4"/>
  <c r="BB473" i="4"/>
  <c r="BB472" i="4"/>
  <c r="BB471" i="4"/>
  <c r="BB470" i="4"/>
  <c r="BB469" i="4"/>
  <c r="BB468" i="4"/>
  <c r="BB467" i="4"/>
  <c r="BB466" i="4"/>
  <c r="BB465" i="4"/>
  <c r="BB464" i="4"/>
  <c r="BB463" i="4"/>
  <c r="BB462" i="4"/>
  <c r="BB461" i="4"/>
  <c r="BB460" i="4"/>
  <c r="BB459" i="4"/>
  <c r="BB458" i="4"/>
  <c r="BB457" i="4"/>
  <c r="BB456" i="4"/>
  <c r="BB455" i="4"/>
  <c r="BB454" i="4"/>
  <c r="BB453" i="4"/>
  <c r="BB452" i="4"/>
  <c r="BB451" i="4"/>
  <c r="BB450" i="4"/>
  <c r="BB449" i="4"/>
  <c r="BB448" i="4"/>
  <c r="BB447" i="4"/>
  <c r="BB446" i="4"/>
  <c r="BB445" i="4"/>
  <c r="BB444" i="4"/>
  <c r="BB443" i="4"/>
  <c r="BB442" i="4"/>
  <c r="BB441" i="4"/>
  <c r="BB440" i="4"/>
  <c r="BB439" i="4"/>
  <c r="BB438" i="4"/>
  <c r="BB437" i="4"/>
  <c r="BB436" i="4"/>
  <c r="BB435" i="4"/>
  <c r="BB434" i="4"/>
  <c r="BB433" i="4"/>
  <c r="BB432" i="4"/>
  <c r="BB431" i="4"/>
  <c r="BB430" i="4"/>
  <c r="BB429" i="4"/>
  <c r="BB428" i="4"/>
  <c r="BB427" i="4"/>
  <c r="BB426" i="4"/>
  <c r="BB425" i="4"/>
  <c r="BB424" i="4"/>
  <c r="BB423" i="4"/>
  <c r="BB422" i="4"/>
  <c r="BB421" i="4"/>
  <c r="BB420" i="4"/>
  <c r="BB419" i="4"/>
  <c r="BB418" i="4"/>
  <c r="BB417" i="4"/>
  <c r="BB416" i="4"/>
  <c r="BB415" i="4"/>
  <c r="BB414" i="4"/>
  <c r="BB413" i="4"/>
  <c r="BB412" i="4"/>
  <c r="BB411" i="4"/>
  <c r="BB410" i="4"/>
  <c r="BB409" i="4"/>
  <c r="BB408" i="4"/>
  <c r="BB407" i="4"/>
  <c r="BB406" i="4"/>
  <c r="BB405" i="4"/>
  <c r="BB404" i="4"/>
  <c r="BB403" i="4"/>
  <c r="BB402" i="4"/>
  <c r="BB401" i="4"/>
  <c r="BB400" i="4"/>
  <c r="BB399" i="4"/>
  <c r="BB398" i="4"/>
  <c r="BB397" i="4"/>
  <c r="BB396" i="4"/>
  <c r="BB395" i="4"/>
  <c r="BB394" i="4"/>
  <c r="BB393" i="4"/>
  <c r="BB392" i="4"/>
  <c r="BB391" i="4"/>
  <c r="BB390" i="4"/>
  <c r="BB389" i="4"/>
  <c r="BB388" i="4"/>
  <c r="BB387" i="4"/>
  <c r="BB386" i="4"/>
  <c r="BB385" i="4"/>
  <c r="BB384" i="4"/>
  <c r="BB383" i="4"/>
  <c r="BB382" i="4"/>
  <c r="BB381" i="4"/>
  <c r="BB380" i="4"/>
  <c r="BB379" i="4"/>
  <c r="BB378" i="4"/>
  <c r="BB377" i="4"/>
  <c r="BB376" i="4"/>
  <c r="BB375" i="4"/>
  <c r="BB374" i="4"/>
  <c r="BB373" i="4"/>
  <c r="BB372" i="4"/>
  <c r="BB371" i="4"/>
  <c r="BB370" i="4"/>
  <c r="BB369" i="4"/>
  <c r="BB368" i="4"/>
  <c r="BB367" i="4"/>
  <c r="BB366" i="4"/>
  <c r="BB365" i="4"/>
  <c r="BB364" i="4"/>
  <c r="BB363" i="4"/>
  <c r="BB362" i="4"/>
  <c r="BB361" i="4"/>
  <c r="BB360" i="4"/>
  <c r="BB359" i="4"/>
  <c r="BB358" i="4"/>
  <c r="BB357" i="4"/>
  <c r="BB356" i="4"/>
  <c r="BB355" i="4"/>
  <c r="BB354" i="4"/>
  <c r="BB353" i="4"/>
  <c r="BB352" i="4"/>
  <c r="BB351" i="4"/>
  <c r="BB350" i="4"/>
  <c r="BB349" i="4"/>
  <c r="BB348" i="4"/>
  <c r="BB347" i="4"/>
  <c r="BB346" i="4"/>
  <c r="BB345" i="4"/>
  <c r="BB344" i="4"/>
  <c r="BB343" i="4"/>
  <c r="BB342" i="4"/>
  <c r="BB341" i="4"/>
  <c r="BB340" i="4"/>
  <c r="BB339" i="4"/>
  <c r="BB338" i="4"/>
  <c r="BB337" i="4"/>
  <c r="BB336" i="4"/>
  <c r="BB335" i="4"/>
  <c r="BB334" i="4"/>
  <c r="BB333" i="4"/>
  <c r="BB332" i="4"/>
  <c r="BB331" i="4"/>
  <c r="BB330" i="4"/>
  <c r="BB329" i="4"/>
  <c r="BB328" i="4"/>
  <c r="BB327" i="4"/>
  <c r="BB326" i="4"/>
  <c r="BB325" i="4"/>
  <c r="BB324" i="4"/>
  <c r="BB323" i="4"/>
  <c r="BB322" i="4"/>
  <c r="BB321" i="4"/>
  <c r="BB320" i="4"/>
  <c r="BB319" i="4"/>
  <c r="BB318" i="4"/>
  <c r="BB317" i="4"/>
  <c r="BB316" i="4"/>
  <c r="BB315" i="4"/>
  <c r="BB314" i="4"/>
  <c r="BB313" i="4"/>
  <c r="BB312" i="4"/>
  <c r="BB311" i="4"/>
  <c r="BB310" i="4"/>
  <c r="BB309" i="4"/>
  <c r="BB308" i="4"/>
  <c r="BB307" i="4"/>
  <c r="BB306" i="4"/>
  <c r="BB305" i="4"/>
  <c r="BB304" i="4"/>
  <c r="BB303" i="4"/>
  <c r="BB302" i="4"/>
  <c r="BB301" i="4"/>
  <c r="BB300" i="4"/>
  <c r="BB299" i="4"/>
  <c r="BB298" i="4"/>
  <c r="BB297" i="4"/>
  <c r="BB296" i="4"/>
  <c r="BB295" i="4"/>
  <c r="BB294" i="4"/>
  <c r="BB293" i="4"/>
  <c r="BB292" i="4"/>
  <c r="BB291" i="4"/>
  <c r="BB290" i="4"/>
  <c r="BB289" i="4"/>
  <c r="BB288" i="4"/>
  <c r="BB287" i="4"/>
  <c r="BB286" i="4"/>
  <c r="BB285" i="4"/>
  <c r="BB284" i="4"/>
  <c r="BB283" i="4"/>
  <c r="BB282" i="4"/>
  <c r="BB281" i="4"/>
  <c r="BB280" i="4"/>
  <c r="BB279" i="4"/>
  <c r="BB278" i="4"/>
  <c r="BB277" i="4"/>
  <c r="BB276" i="4"/>
  <c r="BB275" i="4"/>
  <c r="BB274" i="4"/>
  <c r="BB273" i="4"/>
  <c r="BB272" i="4"/>
  <c r="BB271" i="4"/>
  <c r="BB270" i="4"/>
  <c r="BB269" i="4"/>
  <c r="BB268" i="4"/>
  <c r="BB267" i="4"/>
  <c r="BB266" i="4"/>
  <c r="BB265" i="4"/>
  <c r="BB264" i="4"/>
  <c r="BB263" i="4"/>
  <c r="BB262" i="4"/>
  <c r="BB261" i="4"/>
  <c r="BB260" i="4"/>
  <c r="BB259" i="4"/>
  <c r="BB258" i="4"/>
  <c r="BB257" i="4"/>
  <c r="BB256" i="4"/>
  <c r="BB255" i="4"/>
  <c r="BB254" i="4"/>
  <c r="BB253" i="4"/>
  <c r="BB252" i="4"/>
  <c r="BB251" i="4"/>
  <c r="BB250" i="4"/>
  <c r="BB249" i="4"/>
  <c r="BB248" i="4"/>
  <c r="BB247" i="4"/>
  <c r="BB246" i="4"/>
  <c r="BB245" i="4"/>
  <c r="BB244" i="4"/>
  <c r="BB243" i="4"/>
  <c r="BB242" i="4"/>
  <c r="BB241" i="4"/>
  <c r="BB240" i="4"/>
  <c r="BB239" i="4"/>
  <c r="BB238" i="4"/>
  <c r="BB237" i="4"/>
  <c r="BB236" i="4"/>
  <c r="BB235" i="4"/>
  <c r="BB234" i="4"/>
  <c r="BB233" i="4"/>
  <c r="BB232" i="4"/>
  <c r="BB231" i="4"/>
  <c r="BB230" i="4"/>
  <c r="BB229" i="4"/>
  <c r="BB228" i="4"/>
  <c r="BB227" i="4"/>
  <c r="BB226" i="4"/>
  <c r="BB225" i="4"/>
  <c r="BB224" i="4"/>
  <c r="BB223" i="4"/>
  <c r="BB222" i="4"/>
  <c r="BB221" i="4"/>
  <c r="BB220" i="4"/>
  <c r="BB219" i="4"/>
  <c r="BB218" i="4"/>
  <c r="BB217" i="4"/>
  <c r="BB216" i="4"/>
  <c r="BB215" i="4"/>
  <c r="BB214" i="4"/>
  <c r="BB213" i="4"/>
  <c r="BB212" i="4"/>
  <c r="BB211" i="4"/>
  <c r="BB210" i="4"/>
  <c r="BB209" i="4"/>
  <c r="BB208" i="4"/>
  <c r="BB207" i="4"/>
  <c r="BB206" i="4"/>
  <c r="BB205" i="4"/>
  <c r="BB204" i="4"/>
  <c r="BB203" i="4"/>
  <c r="BB202" i="4"/>
  <c r="BB201" i="4"/>
  <c r="BB200" i="4"/>
  <c r="BB199" i="4"/>
  <c r="BB198" i="4"/>
  <c r="BB197" i="4"/>
  <c r="BB196" i="4"/>
  <c r="BB195" i="4"/>
  <c r="BB194" i="4"/>
  <c r="BB193" i="4"/>
  <c r="BB192" i="4"/>
  <c r="BB191" i="4"/>
  <c r="BB190" i="4"/>
  <c r="BB189" i="4"/>
  <c r="BB188" i="4"/>
  <c r="BB187" i="4"/>
  <c r="BB186" i="4"/>
  <c r="BB185" i="4"/>
  <c r="BB184" i="4"/>
  <c r="BB183" i="4"/>
  <c r="BB182" i="4"/>
  <c r="BB181" i="4"/>
  <c r="BB180" i="4"/>
  <c r="BB179" i="4"/>
  <c r="BB178" i="4"/>
  <c r="BB177" i="4"/>
  <c r="BB176" i="4"/>
  <c r="BB175" i="4"/>
  <c r="BB174" i="4"/>
  <c r="BB173" i="4"/>
  <c r="BB172" i="4"/>
  <c r="BB171" i="4"/>
  <c r="BB170" i="4"/>
  <c r="BB169" i="4"/>
  <c r="BB168" i="4"/>
  <c r="BB167" i="4"/>
  <c r="BB166" i="4"/>
  <c r="BB165" i="4"/>
  <c r="BB164" i="4"/>
  <c r="BB163" i="4"/>
  <c r="BB162" i="4"/>
  <c r="BB161" i="4"/>
  <c r="BB160" i="4"/>
  <c r="BB159" i="4"/>
  <c r="BB158" i="4"/>
  <c r="BB157" i="4"/>
  <c r="BB156" i="4"/>
  <c r="BB155" i="4"/>
  <c r="BB154" i="4"/>
  <c r="BB153" i="4"/>
  <c r="BB152" i="4"/>
  <c r="BB151" i="4"/>
  <c r="BB150" i="4"/>
  <c r="BB149" i="4"/>
  <c r="BB148" i="4"/>
  <c r="BB147" i="4"/>
  <c r="BB146" i="4"/>
  <c r="BB145" i="4"/>
  <c r="BB144" i="4"/>
  <c r="BB143" i="4"/>
  <c r="BB142" i="4"/>
  <c r="BB141" i="4"/>
  <c r="BB140" i="4"/>
  <c r="BB139" i="4"/>
  <c r="BB138" i="4"/>
  <c r="BB137" i="4"/>
  <c r="BB136" i="4"/>
  <c r="BB135" i="4"/>
  <c r="BB134" i="4"/>
  <c r="BB133" i="4"/>
  <c r="BB132" i="4"/>
  <c r="BB131" i="4"/>
  <c r="BB130" i="4"/>
  <c r="BB129" i="4"/>
  <c r="BB128" i="4"/>
  <c r="BB127" i="4"/>
  <c r="BB126" i="4"/>
  <c r="BB125" i="4"/>
  <c r="BB124" i="4"/>
  <c r="BB123" i="4"/>
  <c r="BB122" i="4"/>
  <c r="BB121" i="4"/>
  <c r="BB120" i="4"/>
  <c r="BB119" i="4"/>
  <c r="BB118" i="4"/>
  <c r="BB117" i="4"/>
  <c r="BB116" i="4"/>
  <c r="BB115" i="4"/>
  <c r="BB114" i="4"/>
  <c r="BB113" i="4"/>
  <c r="BB112" i="4"/>
  <c r="BB111" i="4"/>
  <c r="BB110" i="4"/>
  <c r="BB109" i="4"/>
  <c r="BB108" i="4"/>
  <c r="BB107" i="4"/>
  <c r="BB106" i="4"/>
  <c r="BB105" i="4"/>
  <c r="BB104" i="4"/>
  <c r="BB103" i="4"/>
  <c r="BB102" i="4"/>
  <c r="BB101" i="4"/>
  <c r="BB100" i="4"/>
  <c r="BB99" i="4"/>
  <c r="BB98" i="4"/>
  <c r="BB97" i="4"/>
  <c r="BB96" i="4"/>
  <c r="BB95" i="4"/>
  <c r="BB94" i="4"/>
  <c r="BB93" i="4"/>
  <c r="BB92" i="4"/>
  <c r="BB91" i="4"/>
  <c r="BB90" i="4"/>
  <c r="BB89" i="4"/>
  <c r="BB88" i="4"/>
  <c r="BB87" i="4"/>
  <c r="BB86" i="4"/>
  <c r="BB85" i="4"/>
  <c r="BB84" i="4"/>
  <c r="BB83" i="4"/>
  <c r="BB82" i="4"/>
  <c r="BB81" i="4"/>
  <c r="BB80" i="4"/>
  <c r="BB79" i="4"/>
  <c r="BB78" i="4"/>
  <c r="BB77" i="4"/>
  <c r="BB76" i="4"/>
  <c r="BB75" i="4"/>
  <c r="BB74" i="4"/>
  <c r="BB73" i="4"/>
  <c r="BB72" i="4"/>
  <c r="BB71" i="4"/>
  <c r="BB70" i="4"/>
  <c r="BB69" i="4"/>
  <c r="BB68" i="4"/>
  <c r="BB67" i="4"/>
  <c r="BB66" i="4"/>
  <c r="BB65" i="4"/>
  <c r="BB64" i="4"/>
  <c r="BB63" i="4"/>
  <c r="BB62" i="4"/>
  <c r="BB61" i="4"/>
  <c r="BB60" i="4"/>
  <c r="BB59" i="4"/>
  <c r="BB58" i="4"/>
  <c r="BB57" i="4"/>
  <c r="BB56" i="4"/>
  <c r="BB55" i="4"/>
  <c r="BB54" i="4"/>
  <c r="BB53" i="4"/>
  <c r="BB52" i="4"/>
  <c r="BB51" i="4"/>
  <c r="BB50" i="4"/>
  <c r="BB49" i="4"/>
  <c r="BB48" i="4"/>
  <c r="BB47" i="4"/>
  <c r="BB46" i="4"/>
  <c r="BB45" i="4"/>
  <c r="BB44" i="4"/>
  <c r="BB43" i="4"/>
  <c r="BB42" i="4"/>
  <c r="BB41" i="4"/>
  <c r="BB40" i="4"/>
  <c r="BB39" i="4"/>
  <c r="BB38" i="4"/>
  <c r="BB37" i="4"/>
  <c r="BB36" i="4"/>
  <c r="BB35" i="4"/>
  <c r="BB34" i="4"/>
  <c r="BB33" i="4"/>
  <c r="BB32" i="4"/>
  <c r="BB31" i="4"/>
  <c r="BB30" i="4"/>
  <c r="BB29" i="4"/>
  <c r="BB28" i="4"/>
  <c r="BB27" i="4"/>
  <c r="BB26" i="4"/>
  <c r="BB25" i="4"/>
  <c r="BB24" i="4"/>
  <c r="BB23" i="4"/>
  <c r="BB22" i="4"/>
  <c r="BB21" i="4"/>
  <c r="BB20" i="4"/>
  <c r="BB19" i="4"/>
  <c r="BB18" i="4"/>
  <c r="BB17" i="4"/>
  <c r="BB16" i="4"/>
  <c r="BB15" i="4"/>
  <c r="BB14" i="4"/>
  <c r="BB13" i="4"/>
  <c r="BB12" i="4"/>
  <c r="BB11" i="4"/>
  <c r="BB10" i="4"/>
  <c r="BB9" i="4"/>
  <c r="BB8" i="4"/>
  <c r="BB7" i="4"/>
  <c r="BB6" i="4"/>
  <c r="BB5" i="4"/>
  <c r="BB4" i="4"/>
  <c r="BB3" i="4"/>
  <c r="BB2" i="4"/>
  <c r="AM1001" i="4"/>
  <c r="AL1001" i="4"/>
  <c r="AM1000" i="4"/>
  <c r="AL1000" i="4"/>
  <c r="AM999" i="4"/>
  <c r="AL999" i="4"/>
  <c r="AM998" i="4"/>
  <c r="AL998" i="4"/>
  <c r="AM997" i="4"/>
  <c r="AL997" i="4"/>
  <c r="AM996" i="4"/>
  <c r="AL996" i="4"/>
  <c r="AM995" i="4"/>
  <c r="AL995" i="4"/>
  <c r="AM994" i="4"/>
  <c r="AL994" i="4"/>
  <c r="AM993" i="4"/>
  <c r="AL993" i="4"/>
  <c r="AM992" i="4"/>
  <c r="AL992" i="4"/>
  <c r="AM991" i="4"/>
  <c r="AL991" i="4"/>
  <c r="AM990" i="4"/>
  <c r="AL990" i="4"/>
  <c r="AM989" i="4"/>
  <c r="AL989" i="4"/>
  <c r="AM988" i="4"/>
  <c r="AL988" i="4"/>
  <c r="AM987" i="4"/>
  <c r="AL987" i="4"/>
  <c r="AM986" i="4"/>
  <c r="AL986" i="4"/>
  <c r="AM985" i="4"/>
  <c r="AL985" i="4"/>
  <c r="AM984" i="4"/>
  <c r="AL984" i="4"/>
  <c r="AM983" i="4"/>
  <c r="AL983" i="4"/>
  <c r="AM982" i="4"/>
  <c r="AL982" i="4"/>
  <c r="AM981" i="4"/>
  <c r="AL981" i="4"/>
  <c r="AM980" i="4"/>
  <c r="AL980" i="4"/>
  <c r="AM979" i="4"/>
  <c r="AL979" i="4"/>
  <c r="AM978" i="4"/>
  <c r="AL978" i="4"/>
  <c r="AM977" i="4"/>
  <c r="AL977" i="4"/>
  <c r="AM976" i="4"/>
  <c r="AL976" i="4"/>
  <c r="AM975" i="4"/>
  <c r="AL975" i="4"/>
  <c r="AM974" i="4"/>
  <c r="AL974" i="4"/>
  <c r="AM973" i="4"/>
  <c r="AL973" i="4"/>
  <c r="AM972" i="4"/>
  <c r="AL972" i="4"/>
  <c r="AM971" i="4"/>
  <c r="AL971" i="4"/>
  <c r="AM970" i="4"/>
  <c r="AL970" i="4"/>
  <c r="AM969" i="4"/>
  <c r="AL969" i="4"/>
  <c r="AM968" i="4"/>
  <c r="AL968" i="4"/>
  <c r="AM967" i="4"/>
  <c r="AL967" i="4"/>
  <c r="AM966" i="4"/>
  <c r="AL966" i="4"/>
  <c r="AM965" i="4"/>
  <c r="AL965" i="4"/>
  <c r="AM964" i="4"/>
  <c r="AL964" i="4"/>
  <c r="AM963" i="4"/>
  <c r="AL963" i="4"/>
  <c r="AM962" i="4"/>
  <c r="AL962" i="4"/>
  <c r="AM961" i="4"/>
  <c r="AL961" i="4"/>
  <c r="AM960" i="4"/>
  <c r="AL960" i="4"/>
  <c r="AM959" i="4"/>
  <c r="AL959" i="4"/>
  <c r="AM958" i="4"/>
  <c r="AL958" i="4"/>
  <c r="AM957" i="4"/>
  <c r="AL957" i="4"/>
  <c r="AM956" i="4"/>
  <c r="AL956" i="4"/>
  <c r="AM955" i="4"/>
  <c r="AL955" i="4"/>
  <c r="AM954" i="4"/>
  <c r="AL954" i="4"/>
  <c r="AM953" i="4"/>
  <c r="AL953" i="4"/>
  <c r="AM952" i="4"/>
  <c r="AL952" i="4"/>
  <c r="AM951" i="4"/>
  <c r="AL951" i="4"/>
  <c r="AM950" i="4"/>
  <c r="AL950" i="4"/>
  <c r="AM949" i="4"/>
  <c r="AL949" i="4"/>
  <c r="AM948" i="4"/>
  <c r="AL948" i="4"/>
  <c r="AM947" i="4"/>
  <c r="AL947" i="4"/>
  <c r="AM946" i="4"/>
  <c r="AL946" i="4"/>
  <c r="AM945" i="4"/>
  <c r="AL945" i="4"/>
  <c r="AM944" i="4"/>
  <c r="AL944" i="4"/>
  <c r="AM943" i="4"/>
  <c r="AL943" i="4"/>
  <c r="AM942" i="4"/>
  <c r="AL942" i="4"/>
  <c r="AM941" i="4"/>
  <c r="AL941" i="4"/>
  <c r="AM940" i="4"/>
  <c r="AL940" i="4"/>
  <c r="AM939" i="4"/>
  <c r="AL939" i="4"/>
  <c r="AM938" i="4"/>
  <c r="AL938" i="4"/>
  <c r="AM937" i="4"/>
  <c r="AL937" i="4"/>
  <c r="AM936" i="4"/>
  <c r="AL936" i="4"/>
  <c r="AM935" i="4"/>
  <c r="AL935" i="4"/>
  <c r="AM934" i="4"/>
  <c r="AL934" i="4"/>
  <c r="AM933" i="4"/>
  <c r="AL933" i="4"/>
  <c r="AM932" i="4"/>
  <c r="AL932" i="4"/>
  <c r="AM931" i="4"/>
  <c r="AL931" i="4"/>
  <c r="AM930" i="4"/>
  <c r="AL930" i="4"/>
  <c r="AM929" i="4"/>
  <c r="AL929" i="4"/>
  <c r="AM928" i="4"/>
  <c r="AL928" i="4"/>
  <c r="AM927" i="4"/>
  <c r="AL927" i="4"/>
  <c r="AM926" i="4"/>
  <c r="AL926" i="4"/>
  <c r="AM925" i="4"/>
  <c r="AL925" i="4"/>
  <c r="AM924" i="4"/>
  <c r="AL924" i="4"/>
  <c r="AM923" i="4"/>
  <c r="AL923" i="4"/>
  <c r="AM922" i="4"/>
  <c r="AL922" i="4"/>
  <c r="AM921" i="4"/>
  <c r="AL921" i="4"/>
  <c r="AM920" i="4"/>
  <c r="AL920" i="4"/>
  <c r="AM919" i="4"/>
  <c r="AL919" i="4"/>
  <c r="AM918" i="4"/>
  <c r="AL918" i="4"/>
  <c r="AM917" i="4"/>
  <c r="AL917" i="4"/>
  <c r="AM916" i="4"/>
  <c r="AL916" i="4"/>
  <c r="AM915" i="4"/>
  <c r="AL915" i="4"/>
  <c r="AM914" i="4"/>
  <c r="AL914" i="4"/>
  <c r="AM913" i="4"/>
  <c r="AL913" i="4"/>
  <c r="AM912" i="4"/>
  <c r="AL912" i="4"/>
  <c r="AM911" i="4"/>
  <c r="AL911" i="4"/>
  <c r="AM910" i="4"/>
  <c r="AL910" i="4"/>
  <c r="AM909" i="4"/>
  <c r="AL909" i="4"/>
  <c r="AM908" i="4"/>
  <c r="AL908" i="4"/>
  <c r="AM907" i="4"/>
  <c r="AL907" i="4"/>
  <c r="AM906" i="4"/>
  <c r="AL906" i="4"/>
  <c r="AM905" i="4"/>
  <c r="AL905" i="4"/>
  <c r="AM904" i="4"/>
  <c r="AL904" i="4"/>
  <c r="AM903" i="4"/>
  <c r="AL903" i="4"/>
  <c r="AM902" i="4"/>
  <c r="AL902" i="4"/>
  <c r="AM901" i="4"/>
  <c r="AL901" i="4"/>
  <c r="AM900" i="4"/>
  <c r="AL900" i="4"/>
  <c r="AM899" i="4"/>
  <c r="AL899" i="4"/>
  <c r="AM898" i="4"/>
  <c r="AL898" i="4"/>
  <c r="AM897" i="4"/>
  <c r="AL897" i="4"/>
  <c r="AM896" i="4"/>
  <c r="AL896" i="4"/>
  <c r="AM895" i="4"/>
  <c r="AL895" i="4"/>
  <c r="AM894" i="4"/>
  <c r="AL894" i="4"/>
  <c r="AM893" i="4"/>
  <c r="AL893" i="4"/>
  <c r="AM892" i="4"/>
  <c r="AL892" i="4"/>
  <c r="AM891" i="4"/>
  <c r="AL891" i="4"/>
  <c r="AM890" i="4"/>
  <c r="AL890" i="4"/>
  <c r="AM889" i="4"/>
  <c r="AL889" i="4"/>
  <c r="AM888" i="4"/>
  <c r="AL888" i="4"/>
  <c r="AM887" i="4"/>
  <c r="AL887" i="4"/>
  <c r="AM886" i="4"/>
  <c r="AL886" i="4"/>
  <c r="AM885" i="4"/>
  <c r="AL885" i="4"/>
  <c r="AM884" i="4"/>
  <c r="AL884" i="4"/>
  <c r="AM883" i="4"/>
  <c r="AL883" i="4"/>
  <c r="AM882" i="4"/>
  <c r="AL882" i="4"/>
  <c r="AM881" i="4"/>
  <c r="AL881" i="4"/>
  <c r="AM880" i="4"/>
  <c r="AL880" i="4"/>
  <c r="AM879" i="4"/>
  <c r="AL879" i="4"/>
  <c r="AM878" i="4"/>
  <c r="AL878" i="4"/>
  <c r="AM877" i="4"/>
  <c r="AL877" i="4"/>
  <c r="AM876" i="4"/>
  <c r="AL876" i="4"/>
  <c r="AM875" i="4"/>
  <c r="AL875" i="4"/>
  <c r="AM874" i="4"/>
  <c r="AL874" i="4"/>
  <c r="AM873" i="4"/>
  <c r="AL873" i="4"/>
  <c r="AM872" i="4"/>
  <c r="AL872" i="4"/>
  <c r="AM871" i="4"/>
  <c r="AL871" i="4"/>
  <c r="AM870" i="4"/>
  <c r="AL870" i="4"/>
  <c r="AM869" i="4"/>
  <c r="AL869" i="4"/>
  <c r="AM868" i="4"/>
  <c r="AL868" i="4"/>
  <c r="AM867" i="4"/>
  <c r="AL867" i="4"/>
  <c r="AM866" i="4"/>
  <c r="AL866" i="4"/>
  <c r="AM865" i="4"/>
  <c r="AL865" i="4"/>
  <c r="AM864" i="4"/>
  <c r="AL864" i="4"/>
  <c r="AM863" i="4"/>
  <c r="AL863" i="4"/>
  <c r="AM862" i="4"/>
  <c r="AL862" i="4"/>
  <c r="AM861" i="4"/>
  <c r="AL861" i="4"/>
  <c r="AM860" i="4"/>
  <c r="AL860" i="4"/>
  <c r="AM859" i="4"/>
  <c r="AL859" i="4"/>
  <c r="AM858" i="4"/>
  <c r="AL858" i="4"/>
  <c r="AM857" i="4"/>
  <c r="AL857" i="4"/>
  <c r="AM856" i="4"/>
  <c r="AL856" i="4"/>
  <c r="AM855" i="4"/>
  <c r="AL855" i="4"/>
  <c r="AM854" i="4"/>
  <c r="AL854" i="4"/>
  <c r="AM853" i="4"/>
  <c r="AL853" i="4"/>
  <c r="AM852" i="4"/>
  <c r="AL852" i="4"/>
  <c r="AM851" i="4"/>
  <c r="AL851" i="4"/>
  <c r="AM850" i="4"/>
  <c r="AL850" i="4"/>
  <c r="AM849" i="4"/>
  <c r="AL849" i="4"/>
  <c r="AM848" i="4"/>
  <c r="AL848" i="4"/>
  <c r="AM847" i="4"/>
  <c r="AL847" i="4"/>
  <c r="AM846" i="4"/>
  <c r="AL846" i="4"/>
  <c r="AM845" i="4"/>
  <c r="AL845" i="4"/>
  <c r="AM844" i="4"/>
  <c r="AL844" i="4"/>
  <c r="AM843" i="4"/>
  <c r="AL843" i="4"/>
  <c r="AM842" i="4"/>
  <c r="AL842" i="4"/>
  <c r="AM841" i="4"/>
  <c r="AL841" i="4"/>
  <c r="AM840" i="4"/>
  <c r="AL840" i="4"/>
  <c r="AM839" i="4"/>
  <c r="AL839" i="4"/>
  <c r="AM838" i="4"/>
  <c r="AL838" i="4"/>
  <c r="AM837" i="4"/>
  <c r="AL837" i="4"/>
  <c r="AM836" i="4"/>
  <c r="AL836" i="4"/>
  <c r="AM835" i="4"/>
  <c r="AL835" i="4"/>
  <c r="AM834" i="4"/>
  <c r="AL834" i="4"/>
  <c r="AM833" i="4"/>
  <c r="AL833" i="4"/>
  <c r="AM832" i="4"/>
  <c r="AL832" i="4"/>
  <c r="AM831" i="4"/>
  <c r="AL831" i="4"/>
  <c r="AM830" i="4"/>
  <c r="AL830" i="4"/>
  <c r="AM829" i="4"/>
  <c r="AL829" i="4"/>
  <c r="AM828" i="4"/>
  <c r="AL828" i="4"/>
  <c r="AM827" i="4"/>
  <c r="AL827" i="4"/>
  <c r="AM826" i="4"/>
  <c r="AL826" i="4"/>
  <c r="AM825" i="4"/>
  <c r="AL825" i="4"/>
  <c r="AM824" i="4"/>
  <c r="AL824" i="4"/>
  <c r="AM823" i="4"/>
  <c r="AL823" i="4"/>
  <c r="AM822" i="4"/>
  <c r="AL822" i="4"/>
  <c r="AM821" i="4"/>
  <c r="AL821" i="4"/>
  <c r="AM820" i="4"/>
  <c r="AL820" i="4"/>
  <c r="AM819" i="4"/>
  <c r="AL819" i="4"/>
  <c r="AM818" i="4"/>
  <c r="AL818" i="4"/>
  <c r="AM817" i="4"/>
  <c r="AL817" i="4"/>
  <c r="AM816" i="4"/>
  <c r="AL816" i="4"/>
  <c r="AM815" i="4"/>
  <c r="AL815" i="4"/>
  <c r="AM814" i="4"/>
  <c r="AL814" i="4"/>
  <c r="AM813" i="4"/>
  <c r="AL813" i="4"/>
  <c r="AM812" i="4"/>
  <c r="AL812" i="4"/>
  <c r="AM811" i="4"/>
  <c r="AL811" i="4"/>
  <c r="AM810" i="4"/>
  <c r="AL810" i="4"/>
  <c r="AM809" i="4"/>
  <c r="AL809" i="4"/>
  <c r="AM808" i="4"/>
  <c r="AL808" i="4"/>
  <c r="AM807" i="4"/>
  <c r="AL807" i="4"/>
  <c r="AM806" i="4"/>
  <c r="AL806" i="4"/>
  <c r="AM805" i="4"/>
  <c r="AL805" i="4"/>
  <c r="AM804" i="4"/>
  <c r="AL804" i="4"/>
  <c r="AM803" i="4"/>
  <c r="AL803" i="4"/>
  <c r="AM802" i="4"/>
  <c r="AL802" i="4"/>
  <c r="AM801" i="4"/>
  <c r="AL801" i="4"/>
  <c r="AM800" i="4"/>
  <c r="AL800" i="4"/>
  <c r="AM799" i="4"/>
  <c r="AL799" i="4"/>
  <c r="AM798" i="4"/>
  <c r="AL798" i="4"/>
  <c r="AM797" i="4"/>
  <c r="AL797" i="4"/>
  <c r="AM796" i="4"/>
  <c r="AL796" i="4"/>
  <c r="AM795" i="4"/>
  <c r="AL795" i="4"/>
  <c r="AM794" i="4"/>
  <c r="AL794" i="4"/>
  <c r="AM793" i="4"/>
  <c r="AL793" i="4"/>
  <c r="AM792" i="4"/>
  <c r="AL792" i="4"/>
  <c r="AM791" i="4"/>
  <c r="AL791" i="4"/>
  <c r="AM790" i="4"/>
  <c r="AL790" i="4"/>
  <c r="AM789" i="4"/>
  <c r="AL789" i="4"/>
  <c r="AM788" i="4"/>
  <c r="AL788" i="4"/>
  <c r="AM787" i="4"/>
  <c r="AL787" i="4"/>
  <c r="AM786" i="4"/>
  <c r="AL786" i="4"/>
  <c r="AM785" i="4"/>
  <c r="AL785" i="4"/>
  <c r="AM784" i="4"/>
  <c r="AL784" i="4"/>
  <c r="AM783" i="4"/>
  <c r="AL783" i="4"/>
  <c r="AM782" i="4"/>
  <c r="AL782" i="4"/>
  <c r="AM781" i="4"/>
  <c r="AL781" i="4"/>
  <c r="AM780" i="4"/>
  <c r="AL780" i="4"/>
  <c r="AM779" i="4"/>
  <c r="AL779" i="4"/>
  <c r="AM778" i="4"/>
  <c r="AL778" i="4"/>
  <c r="AM777" i="4"/>
  <c r="AL777" i="4"/>
  <c r="AM776" i="4"/>
  <c r="AL776" i="4"/>
  <c r="AM775" i="4"/>
  <c r="AL775" i="4"/>
  <c r="AM774" i="4"/>
  <c r="AL774" i="4"/>
  <c r="AM773" i="4"/>
  <c r="AL773" i="4"/>
  <c r="AM772" i="4"/>
  <c r="AL772" i="4"/>
  <c r="AM771" i="4"/>
  <c r="AL771" i="4"/>
  <c r="AM770" i="4"/>
  <c r="AL770" i="4"/>
  <c r="AM769" i="4"/>
  <c r="AL769" i="4"/>
  <c r="AM768" i="4"/>
  <c r="AL768" i="4"/>
  <c r="AM767" i="4"/>
  <c r="AL767" i="4"/>
  <c r="AM766" i="4"/>
  <c r="AL766" i="4"/>
  <c r="AM765" i="4"/>
  <c r="AL765" i="4"/>
  <c r="AM764" i="4"/>
  <c r="AL764" i="4"/>
  <c r="AM763" i="4"/>
  <c r="AL763" i="4"/>
  <c r="AM762" i="4"/>
  <c r="AL762" i="4"/>
  <c r="AM761" i="4"/>
  <c r="AL761" i="4"/>
  <c r="AM760" i="4"/>
  <c r="AL760" i="4"/>
  <c r="AM759" i="4"/>
  <c r="AL759" i="4"/>
  <c r="AM758" i="4"/>
  <c r="AL758" i="4"/>
  <c r="AM757" i="4"/>
  <c r="AL757" i="4"/>
  <c r="AM756" i="4"/>
  <c r="AL756" i="4"/>
  <c r="AM755" i="4"/>
  <c r="AL755" i="4"/>
  <c r="AM754" i="4"/>
  <c r="AL754" i="4"/>
  <c r="AM753" i="4"/>
  <c r="AL753" i="4"/>
  <c r="AM752" i="4"/>
  <c r="AL752" i="4"/>
  <c r="AM751" i="4"/>
  <c r="AL751" i="4"/>
  <c r="AM750" i="4"/>
  <c r="AL750" i="4"/>
  <c r="AM749" i="4"/>
  <c r="AL749" i="4"/>
  <c r="AM748" i="4"/>
  <c r="AL748" i="4"/>
  <c r="AM747" i="4"/>
  <c r="AL747" i="4"/>
  <c r="AM746" i="4"/>
  <c r="AL746" i="4"/>
  <c r="AM745" i="4"/>
  <c r="AL745" i="4"/>
  <c r="AM744" i="4"/>
  <c r="AL744" i="4"/>
  <c r="AM743" i="4"/>
  <c r="AL743" i="4"/>
  <c r="AM742" i="4"/>
  <c r="AL742" i="4"/>
  <c r="AM741" i="4"/>
  <c r="AL741" i="4"/>
  <c r="AM740" i="4"/>
  <c r="AL740" i="4"/>
  <c r="AM739" i="4"/>
  <c r="AL739" i="4"/>
  <c r="AM738" i="4"/>
  <c r="AL738" i="4"/>
  <c r="AM737" i="4"/>
  <c r="AL737" i="4"/>
  <c r="AM736" i="4"/>
  <c r="AL736" i="4"/>
  <c r="AM735" i="4"/>
  <c r="AL735" i="4"/>
  <c r="AM734" i="4"/>
  <c r="AL734" i="4"/>
  <c r="AM733" i="4"/>
  <c r="AL733" i="4"/>
  <c r="AM732" i="4"/>
  <c r="AL732" i="4"/>
  <c r="AM731" i="4"/>
  <c r="AL731" i="4"/>
  <c r="AM730" i="4"/>
  <c r="AL730" i="4"/>
  <c r="AM729" i="4"/>
  <c r="AL729" i="4"/>
  <c r="AM728" i="4"/>
  <c r="AL728" i="4"/>
  <c r="AM727" i="4"/>
  <c r="AL727" i="4"/>
  <c r="AM726" i="4"/>
  <c r="AL726" i="4"/>
  <c r="AM725" i="4"/>
  <c r="AL725" i="4"/>
  <c r="AM724" i="4"/>
  <c r="AL724" i="4"/>
  <c r="AM723" i="4"/>
  <c r="AL723" i="4"/>
  <c r="AM722" i="4"/>
  <c r="AL722" i="4"/>
  <c r="AM721" i="4"/>
  <c r="AL721" i="4"/>
  <c r="AM720" i="4"/>
  <c r="AL720" i="4"/>
  <c r="AM719" i="4"/>
  <c r="AL719" i="4"/>
  <c r="AM718" i="4"/>
  <c r="AL718" i="4"/>
  <c r="AM717" i="4"/>
  <c r="AL717" i="4"/>
  <c r="AM716" i="4"/>
  <c r="AL716" i="4"/>
  <c r="AM715" i="4"/>
  <c r="AL715" i="4"/>
  <c r="AM714" i="4"/>
  <c r="AL714" i="4"/>
  <c r="AM713" i="4"/>
  <c r="AL713" i="4"/>
  <c r="AM712" i="4"/>
  <c r="AL712" i="4"/>
  <c r="AM711" i="4"/>
  <c r="AL711" i="4"/>
  <c r="AM710" i="4"/>
  <c r="AL710" i="4"/>
  <c r="AM709" i="4"/>
  <c r="AL709" i="4"/>
  <c r="AM708" i="4"/>
  <c r="AL708" i="4"/>
  <c r="AM707" i="4"/>
  <c r="AL707" i="4"/>
  <c r="AM706" i="4"/>
  <c r="AL706" i="4"/>
  <c r="AM705" i="4"/>
  <c r="AL705" i="4"/>
  <c r="AM704" i="4"/>
  <c r="AL704" i="4"/>
  <c r="AM703" i="4"/>
  <c r="AL703" i="4"/>
  <c r="AM702" i="4"/>
  <c r="AL702" i="4"/>
  <c r="AM701" i="4"/>
  <c r="AL701" i="4"/>
  <c r="AM700" i="4"/>
  <c r="AL700" i="4"/>
  <c r="AM699" i="4"/>
  <c r="AL699" i="4"/>
  <c r="AM698" i="4"/>
  <c r="AL698" i="4"/>
  <c r="AM697" i="4"/>
  <c r="AL697" i="4"/>
  <c r="AM696" i="4"/>
  <c r="AL696" i="4"/>
  <c r="AM695" i="4"/>
  <c r="AL695" i="4"/>
  <c r="AM694" i="4"/>
  <c r="AL694" i="4"/>
  <c r="AM693" i="4"/>
  <c r="AL693" i="4"/>
  <c r="AM692" i="4"/>
  <c r="AL692" i="4"/>
  <c r="AM691" i="4"/>
  <c r="AL691" i="4"/>
  <c r="AM690" i="4"/>
  <c r="AL690" i="4"/>
  <c r="AM689" i="4"/>
  <c r="AL689" i="4"/>
  <c r="AM688" i="4"/>
  <c r="AL688" i="4"/>
  <c r="AM687" i="4"/>
  <c r="AL687" i="4"/>
  <c r="AM686" i="4"/>
  <c r="AL686" i="4"/>
  <c r="AM685" i="4"/>
  <c r="AL685" i="4"/>
  <c r="AM684" i="4"/>
  <c r="AL684" i="4"/>
  <c r="AM683" i="4"/>
  <c r="AL683" i="4"/>
  <c r="AM682" i="4"/>
  <c r="AL682" i="4"/>
  <c r="AM681" i="4"/>
  <c r="AL681" i="4"/>
  <c r="AM680" i="4"/>
  <c r="AL680" i="4"/>
  <c r="AM679" i="4"/>
  <c r="AL679" i="4"/>
  <c r="AM678" i="4"/>
  <c r="AL678" i="4"/>
  <c r="AM677" i="4"/>
  <c r="AL677" i="4"/>
  <c r="AM676" i="4"/>
  <c r="AL676" i="4"/>
  <c r="AM675" i="4"/>
  <c r="AL675" i="4"/>
  <c r="AM674" i="4"/>
  <c r="AL674" i="4"/>
  <c r="AM673" i="4"/>
  <c r="AL673" i="4"/>
  <c r="AM672" i="4"/>
  <c r="AL672" i="4"/>
  <c r="AM671" i="4"/>
  <c r="AL671" i="4"/>
  <c r="AM670" i="4"/>
  <c r="AL670" i="4"/>
  <c r="AM669" i="4"/>
  <c r="AL669" i="4"/>
  <c r="AM668" i="4"/>
  <c r="AL668" i="4"/>
  <c r="AM667" i="4"/>
  <c r="AL667" i="4"/>
  <c r="AM666" i="4"/>
  <c r="AL666" i="4"/>
  <c r="AM665" i="4"/>
  <c r="AL665" i="4"/>
  <c r="AM664" i="4"/>
  <c r="AL664" i="4"/>
  <c r="AM663" i="4"/>
  <c r="AL663" i="4"/>
  <c r="AM662" i="4"/>
  <c r="AL662" i="4"/>
  <c r="AM661" i="4"/>
  <c r="AL661" i="4"/>
  <c r="AM660" i="4"/>
  <c r="AL660" i="4"/>
  <c r="AM659" i="4"/>
  <c r="AL659" i="4"/>
  <c r="AM658" i="4"/>
  <c r="AL658" i="4"/>
  <c r="AM657" i="4"/>
  <c r="AL657" i="4"/>
  <c r="AM656" i="4"/>
  <c r="AL656" i="4"/>
  <c r="AM655" i="4"/>
  <c r="AL655" i="4"/>
  <c r="AM654" i="4"/>
  <c r="AL654" i="4"/>
  <c r="AM653" i="4"/>
  <c r="AL653" i="4"/>
  <c r="AM652" i="4"/>
  <c r="AL652" i="4"/>
  <c r="AM651" i="4"/>
  <c r="AL651" i="4"/>
  <c r="AM650" i="4"/>
  <c r="AL650" i="4"/>
  <c r="AM649" i="4"/>
  <c r="AL649" i="4"/>
  <c r="AM648" i="4"/>
  <c r="AL648" i="4"/>
  <c r="AM647" i="4"/>
  <c r="AL647" i="4"/>
  <c r="AM646" i="4"/>
  <c r="AL646" i="4"/>
  <c r="AM645" i="4"/>
  <c r="AL645" i="4"/>
  <c r="AM644" i="4"/>
  <c r="AL644" i="4"/>
  <c r="AM643" i="4"/>
  <c r="AL643" i="4"/>
  <c r="AM642" i="4"/>
  <c r="AL642" i="4"/>
  <c r="AM641" i="4"/>
  <c r="AL641" i="4"/>
  <c r="AM640" i="4"/>
  <c r="AL640" i="4"/>
  <c r="AM639" i="4"/>
  <c r="AL639" i="4"/>
  <c r="AM638" i="4"/>
  <c r="AL638" i="4"/>
  <c r="AM637" i="4"/>
  <c r="AL637" i="4"/>
  <c r="AM636" i="4"/>
  <c r="AL636" i="4"/>
  <c r="AM635" i="4"/>
  <c r="AL635" i="4"/>
  <c r="AM634" i="4"/>
  <c r="AL634" i="4"/>
  <c r="AM633" i="4"/>
  <c r="AL633" i="4"/>
  <c r="AM632" i="4"/>
  <c r="AL632" i="4"/>
  <c r="AM631" i="4"/>
  <c r="AL631" i="4"/>
  <c r="AM630" i="4"/>
  <c r="AL630" i="4"/>
  <c r="AM629" i="4"/>
  <c r="AL629" i="4"/>
  <c r="AM628" i="4"/>
  <c r="AL628" i="4"/>
  <c r="AM627" i="4"/>
  <c r="AL627" i="4"/>
  <c r="AM626" i="4"/>
  <c r="AL626" i="4"/>
  <c r="AM625" i="4"/>
  <c r="AL625" i="4"/>
  <c r="AM624" i="4"/>
  <c r="AL624" i="4"/>
  <c r="AM623" i="4"/>
  <c r="AL623" i="4"/>
  <c r="AM622" i="4"/>
  <c r="AL622" i="4"/>
  <c r="AM621" i="4"/>
  <c r="AL621" i="4"/>
  <c r="AM620" i="4"/>
  <c r="AL620" i="4"/>
  <c r="AM619" i="4"/>
  <c r="AL619" i="4"/>
  <c r="AM618" i="4"/>
  <c r="AL618" i="4"/>
  <c r="AM617" i="4"/>
  <c r="AL617" i="4"/>
  <c r="AM616" i="4"/>
  <c r="AL616" i="4"/>
  <c r="AM615" i="4"/>
  <c r="AL615" i="4"/>
  <c r="AM614" i="4"/>
  <c r="AL614" i="4"/>
  <c r="AM613" i="4"/>
  <c r="AL613" i="4"/>
  <c r="AM612" i="4"/>
  <c r="AL612" i="4"/>
  <c r="AM611" i="4"/>
  <c r="AL611" i="4"/>
  <c r="AM610" i="4"/>
  <c r="AL610" i="4"/>
  <c r="AM609" i="4"/>
  <c r="AL609" i="4"/>
  <c r="AM608" i="4"/>
  <c r="AL608" i="4"/>
  <c r="AM607" i="4"/>
  <c r="AL607" i="4"/>
  <c r="AM606" i="4"/>
  <c r="AL606" i="4"/>
  <c r="AM605" i="4"/>
  <c r="AL605" i="4"/>
  <c r="AM604" i="4"/>
  <c r="AL604" i="4"/>
  <c r="AM603" i="4"/>
  <c r="AL603" i="4"/>
  <c r="AM602" i="4"/>
  <c r="AL602" i="4"/>
  <c r="AM601" i="4"/>
  <c r="AL601" i="4"/>
  <c r="AM600" i="4"/>
  <c r="AL600" i="4"/>
  <c r="AM599" i="4"/>
  <c r="AL599" i="4"/>
  <c r="AM598" i="4"/>
  <c r="AL598" i="4"/>
  <c r="AM597" i="4"/>
  <c r="AL597" i="4"/>
  <c r="AM596" i="4"/>
  <c r="AL596" i="4"/>
  <c r="AM595" i="4"/>
  <c r="AL595" i="4"/>
  <c r="AM594" i="4"/>
  <c r="AL594" i="4"/>
  <c r="AM593" i="4"/>
  <c r="AL593" i="4"/>
  <c r="AM592" i="4"/>
  <c r="AL592" i="4"/>
  <c r="AM591" i="4"/>
  <c r="AL591" i="4"/>
  <c r="AM590" i="4"/>
  <c r="AL590" i="4"/>
  <c r="AM589" i="4"/>
  <c r="AL589" i="4"/>
  <c r="AM588" i="4"/>
  <c r="AL588" i="4"/>
  <c r="AM587" i="4"/>
  <c r="AL587" i="4"/>
  <c r="AM586" i="4"/>
  <c r="AL586" i="4"/>
  <c r="AM585" i="4"/>
  <c r="AL585" i="4"/>
  <c r="AM584" i="4"/>
  <c r="AL584" i="4"/>
  <c r="AM583" i="4"/>
  <c r="AL583" i="4"/>
  <c r="AM582" i="4"/>
  <c r="AL582" i="4"/>
  <c r="AM581" i="4"/>
  <c r="AL581" i="4"/>
  <c r="AM580" i="4"/>
  <c r="AL580" i="4"/>
  <c r="AM579" i="4"/>
  <c r="AL579" i="4"/>
  <c r="AM578" i="4"/>
  <c r="AL578" i="4"/>
  <c r="AM577" i="4"/>
  <c r="AL577" i="4"/>
  <c r="AM576" i="4"/>
  <c r="AL576" i="4"/>
  <c r="AM575" i="4"/>
  <c r="AL575" i="4"/>
  <c r="AM574" i="4"/>
  <c r="AL574" i="4"/>
  <c r="AM573" i="4"/>
  <c r="AL573" i="4"/>
  <c r="AM572" i="4"/>
  <c r="AL572" i="4"/>
  <c r="AM571" i="4"/>
  <c r="AL571" i="4"/>
  <c r="AM570" i="4"/>
  <c r="AL570" i="4"/>
  <c r="AM569" i="4"/>
  <c r="AL569" i="4"/>
  <c r="AM568" i="4"/>
  <c r="AL568" i="4"/>
  <c r="AM567" i="4"/>
  <c r="AL567" i="4"/>
  <c r="AM566" i="4"/>
  <c r="AL566" i="4"/>
  <c r="AM565" i="4"/>
  <c r="AL565" i="4"/>
  <c r="AM564" i="4"/>
  <c r="AL564" i="4"/>
  <c r="AM563" i="4"/>
  <c r="AL563" i="4"/>
  <c r="AM562" i="4"/>
  <c r="AL562" i="4"/>
  <c r="AM561" i="4"/>
  <c r="AL561" i="4"/>
  <c r="AM560" i="4"/>
  <c r="AL560" i="4"/>
  <c r="AM559" i="4"/>
  <c r="AL559" i="4"/>
  <c r="AM558" i="4"/>
  <c r="AL558" i="4"/>
  <c r="AM557" i="4"/>
  <c r="AL557" i="4"/>
  <c r="AM556" i="4"/>
  <c r="AL556" i="4"/>
  <c r="AM555" i="4"/>
  <c r="AL555" i="4"/>
  <c r="AM554" i="4"/>
  <c r="AL554" i="4"/>
  <c r="AM553" i="4"/>
  <c r="AL553" i="4"/>
  <c r="AM552" i="4"/>
  <c r="AL552" i="4"/>
  <c r="AM551" i="4"/>
  <c r="AL551" i="4"/>
  <c r="AM550" i="4"/>
  <c r="AL550" i="4"/>
  <c r="AM549" i="4"/>
  <c r="AL549" i="4"/>
  <c r="AM548" i="4"/>
  <c r="AL548" i="4"/>
  <c r="AM547" i="4"/>
  <c r="AL547" i="4"/>
  <c r="AM546" i="4"/>
  <c r="AL546" i="4"/>
  <c r="AM545" i="4"/>
  <c r="AL545" i="4"/>
  <c r="AM544" i="4"/>
  <c r="AL544" i="4"/>
  <c r="AM543" i="4"/>
  <c r="AL543" i="4"/>
  <c r="AM542" i="4"/>
  <c r="AL542" i="4"/>
  <c r="AM541" i="4"/>
  <c r="AL541" i="4"/>
  <c r="AM540" i="4"/>
  <c r="AL540" i="4"/>
  <c r="AM539" i="4"/>
  <c r="AL539" i="4"/>
  <c r="AM538" i="4"/>
  <c r="AL538" i="4"/>
  <c r="AM537" i="4"/>
  <c r="AL537" i="4"/>
  <c r="AM536" i="4"/>
  <c r="AL536" i="4"/>
  <c r="AM535" i="4"/>
  <c r="AL535" i="4"/>
  <c r="AM534" i="4"/>
  <c r="AL534" i="4"/>
  <c r="AM533" i="4"/>
  <c r="AL533" i="4"/>
  <c r="AM532" i="4"/>
  <c r="AL532" i="4"/>
  <c r="AM531" i="4"/>
  <c r="AL531" i="4"/>
  <c r="AM530" i="4"/>
  <c r="AL530" i="4"/>
  <c r="AM529" i="4"/>
  <c r="AL529" i="4"/>
  <c r="AM528" i="4"/>
  <c r="AL528" i="4"/>
  <c r="AM527" i="4"/>
  <c r="AL527" i="4"/>
  <c r="AM526" i="4"/>
  <c r="AL526" i="4"/>
  <c r="AM525" i="4"/>
  <c r="AL525" i="4"/>
  <c r="AM524" i="4"/>
  <c r="AL524" i="4"/>
  <c r="AM523" i="4"/>
  <c r="AL523" i="4"/>
  <c r="AM522" i="4"/>
  <c r="AL522" i="4"/>
  <c r="AM521" i="4"/>
  <c r="AL521" i="4"/>
  <c r="AM520" i="4"/>
  <c r="AL520" i="4"/>
  <c r="AM519" i="4"/>
  <c r="AL519" i="4"/>
  <c r="AM518" i="4"/>
  <c r="AL518" i="4"/>
  <c r="AM517" i="4"/>
  <c r="AL517" i="4"/>
  <c r="AM516" i="4"/>
  <c r="AL516" i="4"/>
  <c r="AM515" i="4"/>
  <c r="AL515" i="4"/>
  <c r="AM514" i="4"/>
  <c r="AL514" i="4"/>
  <c r="AM513" i="4"/>
  <c r="AL513" i="4"/>
  <c r="AM512" i="4"/>
  <c r="AL512" i="4"/>
  <c r="AM511" i="4"/>
  <c r="AL511" i="4"/>
  <c r="AM510" i="4"/>
  <c r="AL510" i="4"/>
  <c r="AM509" i="4"/>
  <c r="AL509" i="4"/>
  <c r="AM508" i="4"/>
  <c r="AL508" i="4"/>
  <c r="AM507" i="4"/>
  <c r="AL507" i="4"/>
  <c r="AM506" i="4"/>
  <c r="AL506" i="4"/>
  <c r="AM505" i="4"/>
  <c r="AL505" i="4"/>
  <c r="AM504" i="4"/>
  <c r="AL504" i="4"/>
  <c r="AM503" i="4"/>
  <c r="AL503" i="4"/>
  <c r="AM502" i="4"/>
  <c r="AL502" i="4"/>
  <c r="AM501" i="4"/>
  <c r="AL501" i="4"/>
  <c r="AM500" i="4"/>
  <c r="AL500" i="4"/>
  <c r="AM499" i="4"/>
  <c r="AL499" i="4"/>
  <c r="AM498" i="4"/>
  <c r="AL498" i="4"/>
  <c r="AM497" i="4"/>
  <c r="AL497" i="4"/>
  <c r="AM496" i="4"/>
  <c r="AL496" i="4"/>
  <c r="AM495" i="4"/>
  <c r="AL495" i="4"/>
  <c r="AM494" i="4"/>
  <c r="AL494" i="4"/>
  <c r="AM493" i="4"/>
  <c r="AL493" i="4"/>
  <c r="AM492" i="4"/>
  <c r="AL492" i="4"/>
  <c r="AM491" i="4"/>
  <c r="AL491" i="4"/>
  <c r="AM490" i="4"/>
  <c r="AL490" i="4"/>
  <c r="AM489" i="4"/>
  <c r="AL489" i="4"/>
  <c r="AM488" i="4"/>
  <c r="AL488" i="4"/>
  <c r="AM487" i="4"/>
  <c r="AL487" i="4"/>
  <c r="AM486" i="4"/>
  <c r="AL486" i="4"/>
  <c r="AM485" i="4"/>
  <c r="AL485" i="4"/>
  <c r="AM484" i="4"/>
  <c r="AL484" i="4"/>
  <c r="AM483" i="4"/>
  <c r="AL483" i="4"/>
  <c r="AM482" i="4"/>
  <c r="AL482" i="4"/>
  <c r="AM481" i="4"/>
  <c r="AL481" i="4"/>
  <c r="AM480" i="4"/>
  <c r="AL480" i="4"/>
  <c r="AM479" i="4"/>
  <c r="AL479" i="4"/>
  <c r="AM478" i="4"/>
  <c r="AL478" i="4"/>
  <c r="AM477" i="4"/>
  <c r="AL477" i="4"/>
  <c r="AM476" i="4"/>
  <c r="AL476" i="4"/>
  <c r="AM475" i="4"/>
  <c r="AL475" i="4"/>
  <c r="AM474" i="4"/>
  <c r="AL474" i="4"/>
  <c r="AM473" i="4"/>
  <c r="AL473" i="4"/>
  <c r="AM472" i="4"/>
  <c r="AL472" i="4"/>
  <c r="AM471" i="4"/>
  <c r="AL471" i="4"/>
  <c r="AM470" i="4"/>
  <c r="AL470" i="4"/>
  <c r="AM469" i="4"/>
  <c r="AL469" i="4"/>
  <c r="AM468" i="4"/>
  <c r="AL468" i="4"/>
  <c r="AM467" i="4"/>
  <c r="AL467" i="4"/>
  <c r="AM466" i="4"/>
  <c r="AL466" i="4"/>
  <c r="AM465" i="4"/>
  <c r="AL465" i="4"/>
  <c r="AM464" i="4"/>
  <c r="AL464" i="4"/>
  <c r="AM463" i="4"/>
  <c r="AL463" i="4"/>
  <c r="AM462" i="4"/>
  <c r="AL462" i="4"/>
  <c r="AM461" i="4"/>
  <c r="AL461" i="4"/>
  <c r="AM460" i="4"/>
  <c r="AL460" i="4"/>
  <c r="AM459" i="4"/>
  <c r="AL459" i="4"/>
  <c r="AM458" i="4"/>
  <c r="AL458" i="4"/>
  <c r="AM457" i="4"/>
  <c r="AL457" i="4"/>
  <c r="AM456" i="4"/>
  <c r="AL456" i="4"/>
  <c r="AM455" i="4"/>
  <c r="AL455" i="4"/>
  <c r="AM454" i="4"/>
  <c r="AL454" i="4"/>
  <c r="AM453" i="4"/>
  <c r="AL453" i="4"/>
  <c r="AM452" i="4"/>
  <c r="AL452" i="4"/>
  <c r="AM451" i="4"/>
  <c r="AL451" i="4"/>
  <c r="AM450" i="4"/>
  <c r="AL450" i="4"/>
  <c r="AM449" i="4"/>
  <c r="AL449" i="4"/>
  <c r="AM448" i="4"/>
  <c r="AL448" i="4"/>
  <c r="AM447" i="4"/>
  <c r="AL447" i="4"/>
  <c r="AM446" i="4"/>
  <c r="AL446" i="4"/>
  <c r="AM445" i="4"/>
  <c r="AL445" i="4"/>
  <c r="AM444" i="4"/>
  <c r="AL444" i="4"/>
  <c r="AM443" i="4"/>
  <c r="AL443" i="4"/>
  <c r="AM442" i="4"/>
  <c r="AL442" i="4"/>
  <c r="AM441" i="4"/>
  <c r="AL441" i="4"/>
  <c r="AM440" i="4"/>
  <c r="AL440" i="4"/>
  <c r="AM439" i="4"/>
  <c r="AL439" i="4"/>
  <c r="AM438" i="4"/>
  <c r="AL438" i="4"/>
  <c r="AM437" i="4"/>
  <c r="AL437" i="4"/>
  <c r="AM436" i="4"/>
  <c r="AL436" i="4"/>
  <c r="AM435" i="4"/>
  <c r="AL435" i="4"/>
  <c r="AM434" i="4"/>
  <c r="AL434" i="4"/>
  <c r="AM433" i="4"/>
  <c r="AL433" i="4"/>
  <c r="AM432" i="4"/>
  <c r="AL432" i="4"/>
  <c r="AM431" i="4"/>
  <c r="AL431" i="4"/>
  <c r="AM430" i="4"/>
  <c r="AL430" i="4"/>
  <c r="AM429" i="4"/>
  <c r="AL429" i="4"/>
  <c r="AM428" i="4"/>
  <c r="AL428" i="4"/>
  <c r="AM427" i="4"/>
  <c r="AL427" i="4"/>
  <c r="AM426" i="4"/>
  <c r="AL426" i="4"/>
  <c r="AM425" i="4"/>
  <c r="AL425" i="4"/>
  <c r="AM424" i="4"/>
  <c r="AL424" i="4"/>
  <c r="AM423" i="4"/>
  <c r="AL423" i="4"/>
  <c r="AM422" i="4"/>
  <c r="AL422" i="4"/>
  <c r="AM421" i="4"/>
  <c r="AL421" i="4"/>
  <c r="AM420" i="4"/>
  <c r="AL420" i="4"/>
  <c r="AM419" i="4"/>
  <c r="AL419" i="4"/>
  <c r="AM418" i="4"/>
  <c r="AL418" i="4"/>
  <c r="AM417" i="4"/>
  <c r="AL417" i="4"/>
  <c r="AM416" i="4"/>
  <c r="AL416" i="4"/>
  <c r="AM415" i="4"/>
  <c r="AL415" i="4"/>
  <c r="AM414" i="4"/>
  <c r="AL414" i="4"/>
  <c r="AM413" i="4"/>
  <c r="AL413" i="4"/>
  <c r="AM412" i="4"/>
  <c r="AL412" i="4"/>
  <c r="AM411" i="4"/>
  <c r="AL411" i="4"/>
  <c r="AM410" i="4"/>
  <c r="AL410" i="4"/>
  <c r="AM409" i="4"/>
  <c r="AL409" i="4"/>
  <c r="AM408" i="4"/>
  <c r="AL408" i="4"/>
  <c r="AM407" i="4"/>
  <c r="AL407" i="4"/>
  <c r="AM406" i="4"/>
  <c r="AL406" i="4"/>
  <c r="AM405" i="4"/>
  <c r="AL405" i="4"/>
  <c r="AM404" i="4"/>
  <c r="AL404" i="4"/>
  <c r="AM403" i="4"/>
  <c r="AL403" i="4"/>
  <c r="AM402" i="4"/>
  <c r="AL402" i="4"/>
  <c r="AM401" i="4"/>
  <c r="AL401" i="4"/>
  <c r="AM400" i="4"/>
  <c r="AL400" i="4"/>
  <c r="AM399" i="4"/>
  <c r="AL399" i="4"/>
  <c r="AM398" i="4"/>
  <c r="AL398" i="4"/>
  <c r="AM397" i="4"/>
  <c r="AL397" i="4"/>
  <c r="AM396" i="4"/>
  <c r="AL396" i="4"/>
  <c r="AM395" i="4"/>
  <c r="AL395" i="4"/>
  <c r="AM394" i="4"/>
  <c r="AL394" i="4"/>
  <c r="AM393" i="4"/>
  <c r="AL393" i="4"/>
  <c r="AM392" i="4"/>
  <c r="AL392" i="4"/>
  <c r="AM391" i="4"/>
  <c r="AL391" i="4"/>
  <c r="AM390" i="4"/>
  <c r="AL390" i="4"/>
  <c r="AM389" i="4"/>
  <c r="AL389" i="4"/>
  <c r="AM388" i="4"/>
  <c r="AL388" i="4"/>
  <c r="AM387" i="4"/>
  <c r="AL387" i="4"/>
  <c r="AM386" i="4"/>
  <c r="AL386" i="4"/>
  <c r="AM385" i="4"/>
  <c r="AL385" i="4"/>
  <c r="AM384" i="4"/>
  <c r="AL384" i="4"/>
  <c r="AM383" i="4"/>
  <c r="AL383" i="4"/>
  <c r="AM382" i="4"/>
  <c r="AL382" i="4"/>
  <c r="AM381" i="4"/>
  <c r="AL381" i="4"/>
  <c r="AM380" i="4"/>
  <c r="AL380" i="4"/>
  <c r="AM379" i="4"/>
  <c r="AL379" i="4"/>
  <c r="AM378" i="4"/>
  <c r="AL378" i="4"/>
  <c r="AM377" i="4"/>
  <c r="AL377" i="4"/>
  <c r="AM376" i="4"/>
  <c r="AL376" i="4"/>
  <c r="AM375" i="4"/>
  <c r="AL375" i="4"/>
  <c r="AM374" i="4"/>
  <c r="AL374" i="4"/>
  <c r="AM373" i="4"/>
  <c r="AL373" i="4"/>
  <c r="AM372" i="4"/>
  <c r="AL372" i="4"/>
  <c r="AM371" i="4"/>
  <c r="AL371" i="4"/>
  <c r="AM370" i="4"/>
  <c r="AL370" i="4"/>
  <c r="AM369" i="4"/>
  <c r="AL369" i="4"/>
  <c r="AM368" i="4"/>
  <c r="AL368" i="4"/>
  <c r="AM367" i="4"/>
  <c r="AL367" i="4"/>
  <c r="AM366" i="4"/>
  <c r="AL366" i="4"/>
  <c r="AM365" i="4"/>
  <c r="AL365" i="4"/>
  <c r="AM364" i="4"/>
  <c r="AL364" i="4"/>
  <c r="AM363" i="4"/>
  <c r="AL363" i="4"/>
  <c r="AM362" i="4"/>
  <c r="AL362" i="4"/>
  <c r="AM361" i="4"/>
  <c r="AL361" i="4"/>
  <c r="AM360" i="4"/>
  <c r="AL360" i="4"/>
  <c r="AM359" i="4"/>
  <c r="AL359" i="4"/>
  <c r="AM358" i="4"/>
  <c r="AL358" i="4"/>
  <c r="AM357" i="4"/>
  <c r="AL357" i="4"/>
  <c r="AM356" i="4"/>
  <c r="AL356" i="4"/>
  <c r="AM355" i="4"/>
  <c r="AL355" i="4"/>
  <c r="AM354" i="4"/>
  <c r="AL354" i="4"/>
  <c r="AM353" i="4"/>
  <c r="AL353" i="4"/>
  <c r="AM352" i="4"/>
  <c r="AL352" i="4"/>
  <c r="AM351" i="4"/>
  <c r="AL351" i="4"/>
  <c r="AM350" i="4"/>
  <c r="AL350" i="4"/>
  <c r="AM349" i="4"/>
  <c r="AL349" i="4"/>
  <c r="AM348" i="4"/>
  <c r="AL348" i="4"/>
  <c r="AM347" i="4"/>
  <c r="AL347" i="4"/>
  <c r="AM346" i="4"/>
  <c r="AL346" i="4"/>
  <c r="AM345" i="4"/>
  <c r="AL345" i="4"/>
  <c r="AM344" i="4"/>
  <c r="AL344" i="4"/>
  <c r="AM343" i="4"/>
  <c r="AL343" i="4"/>
  <c r="AM342" i="4"/>
  <c r="AL342" i="4"/>
  <c r="AM341" i="4"/>
  <c r="AL341" i="4"/>
  <c r="AM340" i="4"/>
  <c r="AL340" i="4"/>
  <c r="AM339" i="4"/>
  <c r="AL339" i="4"/>
  <c r="AM338" i="4"/>
  <c r="AL338" i="4"/>
  <c r="AM337" i="4"/>
  <c r="AL337" i="4"/>
  <c r="AM336" i="4"/>
  <c r="AL336" i="4"/>
  <c r="AM335" i="4"/>
  <c r="AL335" i="4"/>
  <c r="AM334" i="4"/>
  <c r="AL334" i="4"/>
  <c r="AM333" i="4"/>
  <c r="AL333" i="4"/>
  <c r="AM332" i="4"/>
  <c r="AL332" i="4"/>
  <c r="AM331" i="4"/>
  <c r="AL331" i="4"/>
  <c r="AM330" i="4"/>
  <c r="AL330" i="4"/>
  <c r="AM329" i="4"/>
  <c r="AL329" i="4"/>
  <c r="AM328" i="4"/>
  <c r="AL328" i="4"/>
  <c r="AM327" i="4"/>
  <c r="AL327" i="4"/>
  <c r="AM326" i="4"/>
  <c r="AL326" i="4"/>
  <c r="AM325" i="4"/>
  <c r="AL325" i="4"/>
  <c r="AM324" i="4"/>
  <c r="AL324" i="4"/>
  <c r="AM323" i="4"/>
  <c r="AL323" i="4"/>
  <c r="AM322" i="4"/>
  <c r="AL322" i="4"/>
  <c r="AM321" i="4"/>
  <c r="AL321" i="4"/>
  <c r="AM320" i="4"/>
  <c r="AL320" i="4"/>
  <c r="AM319" i="4"/>
  <c r="AL319" i="4"/>
  <c r="AM318" i="4"/>
  <c r="AL318" i="4"/>
  <c r="AM317" i="4"/>
  <c r="AL317" i="4"/>
  <c r="AM316" i="4"/>
  <c r="AL316" i="4"/>
  <c r="AM315" i="4"/>
  <c r="AL315" i="4"/>
  <c r="AM314" i="4"/>
  <c r="AL314" i="4"/>
  <c r="AM313" i="4"/>
  <c r="AL313" i="4"/>
  <c r="AM312" i="4"/>
  <c r="AL312" i="4"/>
  <c r="AM311" i="4"/>
  <c r="AL311" i="4"/>
  <c r="AM310" i="4"/>
  <c r="AL310" i="4"/>
  <c r="AM309" i="4"/>
  <c r="AL309" i="4"/>
  <c r="AM308" i="4"/>
  <c r="AL308" i="4"/>
  <c r="AM307" i="4"/>
  <c r="AL307" i="4"/>
  <c r="AM306" i="4"/>
  <c r="AL306" i="4"/>
  <c r="AM305" i="4"/>
  <c r="AL305" i="4"/>
  <c r="AM304" i="4"/>
  <c r="AL304" i="4"/>
  <c r="AM303" i="4"/>
  <c r="AL303" i="4"/>
  <c r="AM302" i="4"/>
  <c r="AL302" i="4"/>
  <c r="AM301" i="4"/>
  <c r="AL301" i="4"/>
  <c r="AM300" i="4"/>
  <c r="AL300" i="4"/>
  <c r="AM299" i="4"/>
  <c r="AL299" i="4"/>
  <c r="AM298" i="4"/>
  <c r="AL298" i="4"/>
  <c r="AM297" i="4"/>
  <c r="AL297" i="4"/>
  <c r="AM296" i="4"/>
  <c r="AL296" i="4"/>
  <c r="AM295" i="4"/>
  <c r="AL295" i="4"/>
  <c r="AM294" i="4"/>
  <c r="AL294" i="4"/>
  <c r="AM293" i="4"/>
  <c r="AL293" i="4"/>
  <c r="AM292" i="4"/>
  <c r="AL292" i="4"/>
  <c r="AM291" i="4"/>
  <c r="AL291" i="4"/>
  <c r="AM290" i="4"/>
  <c r="AL290" i="4"/>
  <c r="AM289" i="4"/>
  <c r="AL289" i="4"/>
  <c r="AM288" i="4"/>
  <c r="AL288" i="4"/>
  <c r="AM287" i="4"/>
  <c r="AL287" i="4"/>
  <c r="AM286" i="4"/>
  <c r="AL286" i="4"/>
  <c r="AM285" i="4"/>
  <c r="AL285" i="4"/>
  <c r="AM284" i="4"/>
  <c r="AL284" i="4"/>
  <c r="AM283" i="4"/>
  <c r="AL283" i="4"/>
  <c r="AM282" i="4"/>
  <c r="AL282" i="4"/>
  <c r="AM281" i="4"/>
  <c r="AL281" i="4"/>
  <c r="AM280" i="4"/>
  <c r="AL280" i="4"/>
  <c r="AM279" i="4"/>
  <c r="AL279" i="4"/>
  <c r="AM278" i="4"/>
  <c r="AL278" i="4"/>
  <c r="AM277" i="4"/>
  <c r="AL277" i="4"/>
  <c r="AM276" i="4"/>
  <c r="AL276" i="4"/>
  <c r="AM275" i="4"/>
  <c r="AL275" i="4"/>
  <c r="AM274" i="4"/>
  <c r="AL274" i="4"/>
  <c r="AM273" i="4"/>
  <c r="AL273" i="4"/>
  <c r="AM272" i="4"/>
  <c r="AL272" i="4"/>
  <c r="AM271" i="4"/>
  <c r="AL271" i="4"/>
  <c r="AM270" i="4"/>
  <c r="AL270" i="4"/>
  <c r="AM269" i="4"/>
  <c r="AL269" i="4"/>
  <c r="AM268" i="4"/>
  <c r="AL268" i="4"/>
  <c r="AM267" i="4"/>
  <c r="AL267" i="4"/>
  <c r="AM266" i="4"/>
  <c r="AL266" i="4"/>
  <c r="AM265" i="4"/>
  <c r="AL265" i="4"/>
  <c r="AM264" i="4"/>
  <c r="AL264" i="4"/>
  <c r="AM263" i="4"/>
  <c r="AL263" i="4"/>
  <c r="AM262" i="4"/>
  <c r="AL262" i="4"/>
  <c r="AM261" i="4"/>
  <c r="AL261" i="4"/>
  <c r="AM260" i="4"/>
  <c r="AL260" i="4"/>
  <c r="AM259" i="4"/>
  <c r="AL259" i="4"/>
  <c r="AM258" i="4"/>
  <c r="AL258" i="4"/>
  <c r="AM257" i="4"/>
  <c r="AL257" i="4"/>
  <c r="AM256" i="4"/>
  <c r="AL256" i="4"/>
  <c r="AM255" i="4"/>
  <c r="AL255" i="4"/>
  <c r="AM254" i="4"/>
  <c r="AL254" i="4"/>
  <c r="AM253" i="4"/>
  <c r="AL253" i="4"/>
  <c r="AM252" i="4"/>
  <c r="AL252" i="4"/>
  <c r="AM251" i="4"/>
  <c r="AL251" i="4"/>
  <c r="AM250" i="4"/>
  <c r="AL250" i="4"/>
  <c r="AM249" i="4"/>
  <c r="AL249" i="4"/>
  <c r="AM248" i="4"/>
  <c r="AL248" i="4"/>
  <c r="AM247" i="4"/>
  <c r="AL247" i="4"/>
  <c r="AM246" i="4"/>
  <c r="AL246" i="4"/>
  <c r="AM245" i="4"/>
  <c r="AL245" i="4"/>
  <c r="AM244" i="4"/>
  <c r="AL244" i="4"/>
  <c r="AM243" i="4"/>
  <c r="AL243" i="4"/>
  <c r="AM242" i="4"/>
  <c r="AL242" i="4"/>
  <c r="AM241" i="4"/>
  <c r="AL241" i="4"/>
  <c r="AM240" i="4"/>
  <c r="AL240" i="4"/>
  <c r="AM239" i="4"/>
  <c r="AL239" i="4"/>
  <c r="AM238" i="4"/>
  <c r="AL238" i="4"/>
  <c r="AM237" i="4"/>
  <c r="AL237" i="4"/>
  <c r="AM236" i="4"/>
  <c r="AL236" i="4"/>
  <c r="AM235" i="4"/>
  <c r="AL235" i="4"/>
  <c r="AM234" i="4"/>
  <c r="AL234" i="4"/>
  <c r="AM233" i="4"/>
  <c r="AL233" i="4"/>
  <c r="AM232" i="4"/>
  <c r="AL232" i="4"/>
  <c r="AM231" i="4"/>
  <c r="AL231" i="4"/>
  <c r="AM230" i="4"/>
  <c r="AL230" i="4"/>
  <c r="AM229" i="4"/>
  <c r="AL229" i="4"/>
  <c r="AM228" i="4"/>
  <c r="AL228" i="4"/>
  <c r="AM227" i="4"/>
  <c r="AL227" i="4"/>
  <c r="AM226" i="4"/>
  <c r="AL226" i="4"/>
  <c r="AM225" i="4"/>
  <c r="AL225" i="4"/>
  <c r="AM224" i="4"/>
  <c r="AL224" i="4"/>
  <c r="AM223" i="4"/>
  <c r="AL223" i="4"/>
  <c r="AM222" i="4"/>
  <c r="AL222" i="4"/>
  <c r="AM221" i="4"/>
  <c r="AL221" i="4"/>
  <c r="AM220" i="4"/>
  <c r="AL220" i="4"/>
  <c r="AM219" i="4"/>
  <c r="AL219" i="4"/>
  <c r="AM218" i="4"/>
  <c r="AL218" i="4"/>
  <c r="AM217" i="4"/>
  <c r="AL217" i="4"/>
  <c r="AM216" i="4"/>
  <c r="AL216" i="4"/>
  <c r="AM215" i="4"/>
  <c r="AL215" i="4"/>
  <c r="AM214" i="4"/>
  <c r="AL214" i="4"/>
  <c r="AM213" i="4"/>
  <c r="AL213" i="4"/>
  <c r="AM212" i="4"/>
  <c r="AL212" i="4"/>
  <c r="AM211" i="4"/>
  <c r="AL211" i="4"/>
  <c r="AM210" i="4"/>
  <c r="AL210" i="4"/>
  <c r="AM209" i="4"/>
  <c r="AL209" i="4"/>
  <c r="AM208" i="4"/>
  <c r="AL208" i="4"/>
  <c r="AM207" i="4"/>
  <c r="AL207" i="4"/>
  <c r="AM206" i="4"/>
  <c r="AL206" i="4"/>
  <c r="AM205" i="4"/>
  <c r="AL205" i="4"/>
  <c r="AM204" i="4"/>
  <c r="AL204" i="4"/>
  <c r="AM203" i="4"/>
  <c r="AL203" i="4"/>
  <c r="AM202" i="4"/>
  <c r="AL202" i="4"/>
  <c r="AM201" i="4"/>
  <c r="AL201" i="4"/>
  <c r="AM200" i="4"/>
  <c r="AL200" i="4"/>
  <c r="AM199" i="4"/>
  <c r="AL199" i="4"/>
  <c r="AM198" i="4"/>
  <c r="AL198" i="4"/>
  <c r="AM197" i="4"/>
  <c r="AL197" i="4"/>
  <c r="AM196" i="4"/>
  <c r="AL196" i="4"/>
  <c r="AM195" i="4"/>
  <c r="AL195" i="4"/>
  <c r="AM194" i="4"/>
  <c r="AL194" i="4"/>
  <c r="AM193" i="4"/>
  <c r="AL193" i="4"/>
  <c r="AM192" i="4"/>
  <c r="AL192" i="4"/>
  <c r="AM191" i="4"/>
  <c r="AL191" i="4"/>
  <c r="AM190" i="4"/>
  <c r="AL190" i="4"/>
  <c r="AM189" i="4"/>
  <c r="AL189" i="4"/>
  <c r="AM188" i="4"/>
  <c r="AL188" i="4"/>
  <c r="AM187" i="4"/>
  <c r="AL187" i="4"/>
  <c r="AM186" i="4"/>
  <c r="AL186" i="4"/>
  <c r="AM185" i="4"/>
  <c r="AL185" i="4"/>
  <c r="AM184" i="4"/>
  <c r="AL184" i="4"/>
  <c r="AM183" i="4"/>
  <c r="AL183" i="4"/>
  <c r="AM182" i="4"/>
  <c r="AL182" i="4"/>
  <c r="AM181" i="4"/>
  <c r="AL181" i="4"/>
  <c r="AM180" i="4"/>
  <c r="AL180" i="4"/>
  <c r="AM179" i="4"/>
  <c r="AL179" i="4"/>
  <c r="AM178" i="4"/>
  <c r="AL178" i="4"/>
  <c r="AM177" i="4"/>
  <c r="AL177" i="4"/>
  <c r="AM176" i="4"/>
  <c r="AL176" i="4"/>
  <c r="AM175" i="4"/>
  <c r="AL175" i="4"/>
  <c r="AM174" i="4"/>
  <c r="AL174" i="4"/>
  <c r="AM173" i="4"/>
  <c r="AL173" i="4"/>
  <c r="AM172" i="4"/>
  <c r="AL172" i="4"/>
  <c r="AM171" i="4"/>
  <c r="AL171" i="4"/>
  <c r="AM170" i="4"/>
  <c r="AL170" i="4"/>
  <c r="AM169" i="4"/>
  <c r="AL169" i="4"/>
  <c r="AM168" i="4"/>
  <c r="AL168" i="4"/>
  <c r="AM167" i="4"/>
  <c r="AL167" i="4"/>
  <c r="AM166" i="4"/>
  <c r="AL166" i="4"/>
  <c r="AM165" i="4"/>
  <c r="AL165" i="4"/>
  <c r="AM164" i="4"/>
  <c r="AL164" i="4"/>
  <c r="AM163" i="4"/>
  <c r="AL163" i="4"/>
  <c r="AM162" i="4"/>
  <c r="AL162" i="4"/>
  <c r="AM161" i="4"/>
  <c r="AL161" i="4"/>
  <c r="AM160" i="4"/>
  <c r="AL160" i="4"/>
  <c r="AM159" i="4"/>
  <c r="AL159" i="4"/>
  <c r="AM158" i="4"/>
  <c r="AL158" i="4"/>
  <c r="AM157" i="4"/>
  <c r="AL157" i="4"/>
  <c r="AM156" i="4"/>
  <c r="AL156" i="4"/>
  <c r="AM155" i="4"/>
  <c r="AL155" i="4"/>
  <c r="AM154" i="4"/>
  <c r="AL154" i="4"/>
  <c r="AM153" i="4"/>
  <c r="AL153" i="4"/>
  <c r="AM152" i="4"/>
  <c r="AL152" i="4"/>
  <c r="AM151" i="4"/>
  <c r="AL151" i="4"/>
  <c r="AM150" i="4"/>
  <c r="AL150" i="4"/>
  <c r="AM149" i="4"/>
  <c r="AL149" i="4"/>
  <c r="AM148" i="4"/>
  <c r="AL148" i="4"/>
  <c r="AM147" i="4"/>
  <c r="AL147" i="4"/>
  <c r="AM146" i="4"/>
  <c r="AL146" i="4"/>
  <c r="AM145" i="4"/>
  <c r="AL145" i="4"/>
  <c r="AM144" i="4"/>
  <c r="AL144" i="4"/>
  <c r="AM143" i="4"/>
  <c r="AL143" i="4"/>
  <c r="AM142" i="4"/>
  <c r="AL142" i="4"/>
  <c r="AM141" i="4"/>
  <c r="AL141" i="4"/>
  <c r="AM140" i="4"/>
  <c r="AL140" i="4"/>
  <c r="AM139" i="4"/>
  <c r="AL139" i="4"/>
  <c r="AM138" i="4"/>
  <c r="AL138" i="4"/>
  <c r="AM137" i="4"/>
  <c r="AL137" i="4"/>
  <c r="AM136" i="4"/>
  <c r="AL136" i="4"/>
  <c r="AM135" i="4"/>
  <c r="AL135" i="4"/>
  <c r="AM134" i="4"/>
  <c r="AL134" i="4"/>
  <c r="AM133" i="4"/>
  <c r="AL133" i="4"/>
  <c r="AM132" i="4"/>
  <c r="AL132" i="4"/>
  <c r="AM131" i="4"/>
  <c r="AL131" i="4"/>
  <c r="AM130" i="4"/>
  <c r="AL130" i="4"/>
  <c r="AM129" i="4"/>
  <c r="AL129" i="4"/>
  <c r="AM128" i="4"/>
  <c r="AL128" i="4"/>
  <c r="AM127" i="4"/>
  <c r="AL127" i="4"/>
  <c r="AM126" i="4"/>
  <c r="AL126" i="4"/>
  <c r="AM125" i="4"/>
  <c r="AL125" i="4"/>
  <c r="AM124" i="4"/>
  <c r="AL124" i="4"/>
  <c r="AM123" i="4"/>
  <c r="AL123" i="4"/>
  <c r="AM122" i="4"/>
  <c r="AL122" i="4"/>
  <c r="AM121" i="4"/>
  <c r="AL121" i="4"/>
  <c r="AM120" i="4"/>
  <c r="AL120" i="4"/>
  <c r="AM119" i="4"/>
  <c r="AL119" i="4"/>
  <c r="AM118" i="4"/>
  <c r="AL118" i="4"/>
  <c r="AM117" i="4"/>
  <c r="AL117" i="4"/>
  <c r="AM116" i="4"/>
  <c r="AL116" i="4"/>
  <c r="AM115" i="4"/>
  <c r="AL115" i="4"/>
  <c r="AM114" i="4"/>
  <c r="AL114" i="4"/>
  <c r="AM113" i="4"/>
  <c r="AL113" i="4"/>
  <c r="AM112" i="4"/>
  <c r="AL112" i="4"/>
  <c r="AM111" i="4"/>
  <c r="AL111" i="4"/>
  <c r="AM110" i="4"/>
  <c r="AL110" i="4"/>
  <c r="AM109" i="4"/>
  <c r="AL109" i="4"/>
  <c r="AM108" i="4"/>
  <c r="AL108" i="4"/>
  <c r="AM107" i="4"/>
  <c r="AL107" i="4"/>
  <c r="AM106" i="4"/>
  <c r="AL106" i="4"/>
  <c r="AM105" i="4"/>
  <c r="AL105" i="4"/>
  <c r="AM104" i="4"/>
  <c r="AL104" i="4"/>
  <c r="AM103" i="4"/>
  <c r="AL103" i="4"/>
  <c r="AM102" i="4"/>
  <c r="AL102" i="4"/>
  <c r="AM101" i="4"/>
  <c r="AL101" i="4"/>
  <c r="AM100" i="4"/>
  <c r="AL100" i="4"/>
  <c r="AM99" i="4"/>
  <c r="AL99" i="4"/>
  <c r="AM98" i="4"/>
  <c r="AL98" i="4"/>
  <c r="AM97" i="4"/>
  <c r="AL97" i="4"/>
  <c r="AM96" i="4"/>
  <c r="AL96" i="4"/>
  <c r="AM95" i="4"/>
  <c r="AL95" i="4"/>
  <c r="AM94" i="4"/>
  <c r="AL94" i="4"/>
  <c r="AM93" i="4"/>
  <c r="AL93" i="4"/>
  <c r="AM92" i="4"/>
  <c r="AL92" i="4"/>
  <c r="AM91" i="4"/>
  <c r="AL91" i="4"/>
  <c r="AM90" i="4"/>
  <c r="AL90" i="4"/>
  <c r="AM89" i="4"/>
  <c r="AL89" i="4"/>
  <c r="AM88" i="4"/>
  <c r="AL88" i="4"/>
  <c r="AM87" i="4"/>
  <c r="AL87" i="4"/>
  <c r="AM86" i="4"/>
  <c r="AL86" i="4"/>
  <c r="AM85" i="4"/>
  <c r="AL85" i="4"/>
  <c r="AM84" i="4"/>
  <c r="AL84" i="4"/>
  <c r="AM83" i="4"/>
  <c r="AL83" i="4"/>
  <c r="AM82" i="4"/>
  <c r="AL82" i="4"/>
  <c r="AM81" i="4"/>
  <c r="AL81" i="4"/>
  <c r="AM80" i="4"/>
  <c r="AL80" i="4"/>
  <c r="AM79" i="4"/>
  <c r="AL79" i="4"/>
  <c r="AM78" i="4"/>
  <c r="AL78" i="4"/>
  <c r="AM77" i="4"/>
  <c r="AL77" i="4"/>
  <c r="AM76" i="4"/>
  <c r="AL76" i="4"/>
  <c r="AM75" i="4"/>
  <c r="AL75" i="4"/>
  <c r="AM74" i="4"/>
  <c r="AL74" i="4"/>
  <c r="AM73" i="4"/>
  <c r="AL73" i="4"/>
  <c r="AM72" i="4"/>
  <c r="AL72" i="4"/>
  <c r="AM71" i="4"/>
  <c r="AL71" i="4"/>
  <c r="AM70" i="4"/>
  <c r="AL70" i="4"/>
  <c r="AM69" i="4"/>
  <c r="AL69" i="4"/>
  <c r="AM68" i="4"/>
  <c r="AL68" i="4"/>
  <c r="AM67" i="4"/>
  <c r="AL67" i="4"/>
  <c r="AM66" i="4"/>
  <c r="AL66" i="4"/>
  <c r="AM65" i="4"/>
  <c r="AL65" i="4"/>
  <c r="AM64" i="4"/>
  <c r="AL64" i="4"/>
  <c r="AM63" i="4"/>
  <c r="AL63" i="4"/>
  <c r="AM62" i="4"/>
  <c r="AL62" i="4"/>
  <c r="AM61" i="4"/>
  <c r="AL61" i="4"/>
  <c r="AM60" i="4"/>
  <c r="AL60" i="4"/>
  <c r="AM59" i="4"/>
  <c r="AL59" i="4"/>
  <c r="AM58" i="4"/>
  <c r="AL58" i="4"/>
  <c r="AM57" i="4"/>
  <c r="AL57" i="4"/>
  <c r="AM56" i="4"/>
  <c r="AL56" i="4"/>
  <c r="AM55" i="4"/>
  <c r="AL55" i="4"/>
  <c r="AM54" i="4"/>
  <c r="AL54" i="4"/>
  <c r="AM53" i="4"/>
  <c r="AL53" i="4"/>
  <c r="AM52" i="4"/>
  <c r="AL52" i="4"/>
  <c r="AM51" i="4"/>
  <c r="AL51" i="4"/>
  <c r="AM50" i="4"/>
  <c r="AL50" i="4"/>
  <c r="AM49" i="4"/>
  <c r="AL49" i="4"/>
  <c r="AM48" i="4"/>
  <c r="AL48" i="4"/>
  <c r="AM47" i="4"/>
  <c r="AL47" i="4"/>
  <c r="AM46" i="4"/>
  <c r="AL46" i="4"/>
  <c r="AM45" i="4"/>
  <c r="AL45" i="4"/>
  <c r="AM44" i="4"/>
  <c r="AL44" i="4"/>
  <c r="AM43" i="4"/>
  <c r="AL43" i="4"/>
  <c r="AM42" i="4"/>
  <c r="AL42" i="4"/>
  <c r="AM41" i="4"/>
  <c r="AL41" i="4"/>
  <c r="AM40" i="4"/>
  <c r="AL40" i="4"/>
  <c r="AM39" i="4"/>
  <c r="AL39" i="4"/>
  <c r="AM38" i="4"/>
  <c r="AL38" i="4"/>
  <c r="AM37" i="4"/>
  <c r="AL37" i="4"/>
  <c r="AM36" i="4"/>
  <c r="AL36" i="4"/>
  <c r="AM35" i="4"/>
  <c r="AL35" i="4"/>
  <c r="AM34" i="4"/>
  <c r="AL34" i="4"/>
  <c r="AM33" i="4"/>
  <c r="AL33" i="4"/>
  <c r="AM32" i="4"/>
  <c r="AL32" i="4"/>
  <c r="AM31" i="4"/>
  <c r="AL31" i="4"/>
  <c r="AM30" i="4"/>
  <c r="AL30" i="4"/>
  <c r="AM29" i="4"/>
  <c r="AL29" i="4"/>
  <c r="AM28" i="4"/>
  <c r="AL28" i="4"/>
  <c r="AM27" i="4"/>
  <c r="AL27" i="4"/>
  <c r="AM26" i="4"/>
  <c r="AL26" i="4"/>
  <c r="AM25" i="4"/>
  <c r="AL25" i="4"/>
  <c r="AM24" i="4"/>
  <c r="AL24" i="4"/>
  <c r="AM23" i="4"/>
  <c r="AL23" i="4"/>
  <c r="AM22" i="4"/>
  <c r="AL22" i="4"/>
  <c r="AM21" i="4"/>
  <c r="AL21" i="4"/>
  <c r="AM20" i="4"/>
  <c r="AL20" i="4"/>
  <c r="AM19" i="4"/>
  <c r="AL19" i="4"/>
  <c r="AM18" i="4"/>
  <c r="AL18" i="4"/>
  <c r="AM17" i="4"/>
  <c r="AL17" i="4"/>
  <c r="AM16" i="4"/>
  <c r="AL16" i="4"/>
  <c r="AM15" i="4"/>
  <c r="AL15" i="4"/>
  <c r="AM14" i="4"/>
  <c r="AL14" i="4"/>
  <c r="AM13" i="4"/>
  <c r="AL13" i="4"/>
  <c r="AM12" i="4"/>
  <c r="AL12" i="4"/>
  <c r="AM11" i="4"/>
  <c r="AL11" i="4"/>
  <c r="AM10" i="4"/>
  <c r="AL10" i="4"/>
  <c r="AM9" i="4"/>
  <c r="AL9" i="4"/>
  <c r="AM8" i="4"/>
  <c r="AL8" i="4"/>
  <c r="AM7" i="4"/>
  <c r="AL7" i="4"/>
  <c r="AM6" i="4"/>
  <c r="AL6" i="4"/>
  <c r="AM5" i="4"/>
  <c r="AL5" i="4"/>
  <c r="AM4" i="4"/>
  <c r="AL4" i="4"/>
  <c r="AM3" i="4"/>
  <c r="AL3" i="4"/>
  <c r="AM2" i="4"/>
  <c r="AL2" i="4"/>
  <c r="AI1001" i="4"/>
  <c r="AH1001" i="4"/>
  <c r="AI1000" i="4"/>
  <c r="AH1000" i="4"/>
  <c r="AI999" i="4"/>
  <c r="AH999" i="4"/>
  <c r="AI998" i="4"/>
  <c r="AH998" i="4"/>
  <c r="AI997" i="4"/>
  <c r="AH997" i="4"/>
  <c r="AI996" i="4"/>
  <c r="AH996" i="4"/>
  <c r="AI995" i="4"/>
  <c r="AH995" i="4"/>
  <c r="AI994" i="4"/>
  <c r="AH994" i="4"/>
  <c r="AI993" i="4"/>
  <c r="AH993" i="4"/>
  <c r="AI992" i="4"/>
  <c r="AH992" i="4"/>
  <c r="AI991" i="4"/>
  <c r="AH991" i="4"/>
  <c r="AI990" i="4"/>
  <c r="AH990" i="4"/>
  <c r="AI989" i="4"/>
  <c r="AH989" i="4"/>
  <c r="AI988" i="4"/>
  <c r="AH988" i="4"/>
  <c r="AI987" i="4"/>
  <c r="AH987" i="4"/>
  <c r="AI986" i="4"/>
  <c r="AH986" i="4"/>
  <c r="AI985" i="4"/>
  <c r="AH985" i="4"/>
  <c r="AI984" i="4"/>
  <c r="AH984" i="4"/>
  <c r="AI983" i="4"/>
  <c r="AH983" i="4"/>
  <c r="AI982" i="4"/>
  <c r="AH982" i="4"/>
  <c r="AI981" i="4"/>
  <c r="AH981" i="4"/>
  <c r="AI980" i="4"/>
  <c r="AH980" i="4"/>
  <c r="AI979" i="4"/>
  <c r="AH979" i="4"/>
  <c r="AI978" i="4"/>
  <c r="AH978" i="4"/>
  <c r="AI977" i="4"/>
  <c r="AH977" i="4"/>
  <c r="AI976" i="4"/>
  <c r="AH976" i="4"/>
  <c r="AI975" i="4"/>
  <c r="AH975" i="4"/>
  <c r="AI974" i="4"/>
  <c r="AH974" i="4"/>
  <c r="AI973" i="4"/>
  <c r="AH973" i="4"/>
  <c r="AI972" i="4"/>
  <c r="AH972" i="4"/>
  <c r="AI971" i="4"/>
  <c r="AH971" i="4"/>
  <c r="AI970" i="4"/>
  <c r="AH970" i="4"/>
  <c r="AI969" i="4"/>
  <c r="AH969" i="4"/>
  <c r="AI968" i="4"/>
  <c r="AH968" i="4"/>
  <c r="AI967" i="4"/>
  <c r="AH967" i="4"/>
  <c r="AI966" i="4"/>
  <c r="AH966" i="4"/>
  <c r="AI965" i="4"/>
  <c r="AH965" i="4"/>
  <c r="AI964" i="4"/>
  <c r="AH964" i="4"/>
  <c r="AI963" i="4"/>
  <c r="AH963" i="4"/>
  <c r="AI962" i="4"/>
  <c r="AH962" i="4"/>
  <c r="AI961" i="4"/>
  <c r="AH961" i="4"/>
  <c r="AI960" i="4"/>
  <c r="AH960" i="4"/>
  <c r="AI959" i="4"/>
  <c r="AH959" i="4"/>
  <c r="AI958" i="4"/>
  <c r="AH958" i="4"/>
  <c r="AI957" i="4"/>
  <c r="AH957" i="4"/>
  <c r="AI956" i="4"/>
  <c r="AH956" i="4"/>
  <c r="AI955" i="4"/>
  <c r="AH955" i="4"/>
  <c r="AI954" i="4"/>
  <c r="AH954" i="4"/>
  <c r="AI953" i="4"/>
  <c r="AH953" i="4"/>
  <c r="AI952" i="4"/>
  <c r="AH952" i="4"/>
  <c r="AI951" i="4"/>
  <c r="AH951" i="4"/>
  <c r="AI950" i="4"/>
  <c r="AH950" i="4"/>
  <c r="AI949" i="4"/>
  <c r="AH949" i="4"/>
  <c r="AI948" i="4"/>
  <c r="AH948" i="4"/>
  <c r="AI947" i="4"/>
  <c r="AH947" i="4"/>
  <c r="AI946" i="4"/>
  <c r="AH946" i="4"/>
  <c r="AI945" i="4"/>
  <c r="AH945" i="4"/>
  <c r="AI944" i="4"/>
  <c r="AH944" i="4"/>
  <c r="AI943" i="4"/>
  <c r="AH943" i="4"/>
  <c r="AI942" i="4"/>
  <c r="AH942" i="4"/>
  <c r="AI941" i="4"/>
  <c r="AH941" i="4"/>
  <c r="AI940" i="4"/>
  <c r="AH940" i="4"/>
  <c r="AI939" i="4"/>
  <c r="AH939" i="4"/>
  <c r="AI938" i="4"/>
  <c r="AH938" i="4"/>
  <c r="AI937" i="4"/>
  <c r="AH937" i="4"/>
  <c r="AI936" i="4"/>
  <c r="AH936" i="4"/>
  <c r="AI935" i="4"/>
  <c r="AH935" i="4"/>
  <c r="AI934" i="4"/>
  <c r="AH934" i="4"/>
  <c r="AI933" i="4"/>
  <c r="AH933" i="4"/>
  <c r="AI932" i="4"/>
  <c r="AH932" i="4"/>
  <c r="AI931" i="4"/>
  <c r="AH931" i="4"/>
  <c r="AI930" i="4"/>
  <c r="AH930" i="4"/>
  <c r="AI929" i="4"/>
  <c r="AH929" i="4"/>
  <c r="AI928" i="4"/>
  <c r="AH928" i="4"/>
  <c r="AI927" i="4"/>
  <c r="AH927" i="4"/>
  <c r="AI926" i="4"/>
  <c r="AH926" i="4"/>
  <c r="AI925" i="4"/>
  <c r="AH925" i="4"/>
  <c r="AI924" i="4"/>
  <c r="AH924" i="4"/>
  <c r="AI923" i="4"/>
  <c r="AH923" i="4"/>
  <c r="AI922" i="4"/>
  <c r="AH922" i="4"/>
  <c r="AI921" i="4"/>
  <c r="AH921" i="4"/>
  <c r="AI920" i="4"/>
  <c r="AH920" i="4"/>
  <c r="AI919" i="4"/>
  <c r="AH919" i="4"/>
  <c r="AI918" i="4"/>
  <c r="AH918" i="4"/>
  <c r="AI917" i="4"/>
  <c r="AH917" i="4"/>
  <c r="AI916" i="4"/>
  <c r="AH916" i="4"/>
  <c r="AI915" i="4"/>
  <c r="AH915" i="4"/>
  <c r="AI914" i="4"/>
  <c r="AH914" i="4"/>
  <c r="AI913" i="4"/>
  <c r="AH913" i="4"/>
  <c r="AI912" i="4"/>
  <c r="AH912" i="4"/>
  <c r="AI911" i="4"/>
  <c r="AH911" i="4"/>
  <c r="AI910" i="4"/>
  <c r="AH910" i="4"/>
  <c r="AI909" i="4"/>
  <c r="AH909" i="4"/>
  <c r="AI908" i="4"/>
  <c r="AH908" i="4"/>
  <c r="AI907" i="4"/>
  <c r="AH907" i="4"/>
  <c r="AI906" i="4"/>
  <c r="AH906" i="4"/>
  <c r="AI905" i="4"/>
  <c r="AH905" i="4"/>
  <c r="AI904" i="4"/>
  <c r="AH904" i="4"/>
  <c r="AI903" i="4"/>
  <c r="AH903" i="4"/>
  <c r="AI902" i="4"/>
  <c r="AH902" i="4"/>
  <c r="AI901" i="4"/>
  <c r="AH901" i="4"/>
  <c r="AI900" i="4"/>
  <c r="AH900" i="4"/>
  <c r="AI899" i="4"/>
  <c r="AH899" i="4"/>
  <c r="AI898" i="4"/>
  <c r="AH898" i="4"/>
  <c r="AI897" i="4"/>
  <c r="AH897" i="4"/>
  <c r="AI896" i="4"/>
  <c r="AH896" i="4"/>
  <c r="AI895" i="4"/>
  <c r="AH895" i="4"/>
  <c r="AI894" i="4"/>
  <c r="AH894" i="4"/>
  <c r="AI893" i="4"/>
  <c r="AH893" i="4"/>
  <c r="AI892" i="4"/>
  <c r="AH892" i="4"/>
  <c r="AI891" i="4"/>
  <c r="AH891" i="4"/>
  <c r="AI890" i="4"/>
  <c r="AH890" i="4"/>
  <c r="AI889" i="4"/>
  <c r="AH889" i="4"/>
  <c r="AI888" i="4"/>
  <c r="AH888" i="4"/>
  <c r="AI887" i="4"/>
  <c r="AH887" i="4"/>
  <c r="AI886" i="4"/>
  <c r="AH886" i="4"/>
  <c r="AI885" i="4"/>
  <c r="AH885" i="4"/>
  <c r="AI884" i="4"/>
  <c r="AH884" i="4"/>
  <c r="AI883" i="4"/>
  <c r="AH883" i="4"/>
  <c r="AI882" i="4"/>
  <c r="AH882" i="4"/>
  <c r="AI881" i="4"/>
  <c r="AH881" i="4"/>
  <c r="AI880" i="4"/>
  <c r="AH880" i="4"/>
  <c r="AI879" i="4"/>
  <c r="AH879" i="4"/>
  <c r="AI878" i="4"/>
  <c r="AH878" i="4"/>
  <c r="AI877" i="4"/>
  <c r="AH877" i="4"/>
  <c r="AI876" i="4"/>
  <c r="AH876" i="4"/>
  <c r="AI875" i="4"/>
  <c r="AH875" i="4"/>
  <c r="AI874" i="4"/>
  <c r="AH874" i="4"/>
  <c r="AI873" i="4"/>
  <c r="AH873" i="4"/>
  <c r="AI872" i="4"/>
  <c r="AH872" i="4"/>
  <c r="AI871" i="4"/>
  <c r="AH871" i="4"/>
  <c r="AI870" i="4"/>
  <c r="AH870" i="4"/>
  <c r="AI869" i="4"/>
  <c r="AH869" i="4"/>
  <c r="AI868" i="4"/>
  <c r="AH868" i="4"/>
  <c r="AI867" i="4"/>
  <c r="AH867" i="4"/>
  <c r="AI866" i="4"/>
  <c r="AH866" i="4"/>
  <c r="AI865" i="4"/>
  <c r="AH865" i="4"/>
  <c r="AI864" i="4"/>
  <c r="AH864" i="4"/>
  <c r="AI863" i="4"/>
  <c r="AH863" i="4"/>
  <c r="AI862" i="4"/>
  <c r="AH862" i="4"/>
  <c r="AI861" i="4"/>
  <c r="AH861" i="4"/>
  <c r="AI860" i="4"/>
  <c r="AH860" i="4"/>
  <c r="AI859" i="4"/>
  <c r="AH859" i="4"/>
  <c r="AI858" i="4"/>
  <c r="AH858" i="4"/>
  <c r="AI857" i="4"/>
  <c r="AH857" i="4"/>
  <c r="AI856" i="4"/>
  <c r="AH856" i="4"/>
  <c r="AI855" i="4"/>
  <c r="AH855" i="4"/>
  <c r="AI854" i="4"/>
  <c r="AH854" i="4"/>
  <c r="AI853" i="4"/>
  <c r="AH853" i="4"/>
  <c r="AI852" i="4"/>
  <c r="AH852" i="4"/>
  <c r="AI851" i="4"/>
  <c r="AH851" i="4"/>
  <c r="AI850" i="4"/>
  <c r="AH850" i="4"/>
  <c r="AI849" i="4"/>
  <c r="AH849" i="4"/>
  <c r="AI848" i="4"/>
  <c r="AH848" i="4"/>
  <c r="AI847" i="4"/>
  <c r="AH847" i="4"/>
  <c r="AI846" i="4"/>
  <c r="AH846" i="4"/>
  <c r="AI845" i="4"/>
  <c r="AH845" i="4"/>
  <c r="AI844" i="4"/>
  <c r="AH844" i="4"/>
  <c r="AI843" i="4"/>
  <c r="AH843" i="4"/>
  <c r="AI842" i="4"/>
  <c r="AH842" i="4"/>
  <c r="AI841" i="4"/>
  <c r="AH841" i="4"/>
  <c r="AI840" i="4"/>
  <c r="AH840" i="4"/>
  <c r="AI839" i="4"/>
  <c r="AH839" i="4"/>
  <c r="AI838" i="4"/>
  <c r="AH838" i="4"/>
  <c r="AI837" i="4"/>
  <c r="AH837" i="4"/>
  <c r="AI836" i="4"/>
  <c r="AH836" i="4"/>
  <c r="AI835" i="4"/>
  <c r="AH835" i="4"/>
  <c r="AI834" i="4"/>
  <c r="AH834" i="4"/>
  <c r="AI833" i="4"/>
  <c r="AH833" i="4"/>
  <c r="AI832" i="4"/>
  <c r="AH832" i="4"/>
  <c r="AI831" i="4"/>
  <c r="AH831" i="4"/>
  <c r="AI830" i="4"/>
  <c r="AH830" i="4"/>
  <c r="AI829" i="4"/>
  <c r="AH829" i="4"/>
  <c r="AI828" i="4"/>
  <c r="AH828" i="4"/>
  <c r="AI827" i="4"/>
  <c r="AH827" i="4"/>
  <c r="AI826" i="4"/>
  <c r="AH826" i="4"/>
  <c r="AI825" i="4"/>
  <c r="AH825" i="4"/>
  <c r="AI824" i="4"/>
  <c r="AH824" i="4"/>
  <c r="AI823" i="4"/>
  <c r="AH823" i="4"/>
  <c r="AI822" i="4"/>
  <c r="AH822" i="4"/>
  <c r="AI821" i="4"/>
  <c r="AH821" i="4"/>
  <c r="AI820" i="4"/>
  <c r="AH820" i="4"/>
  <c r="AI819" i="4"/>
  <c r="AH819" i="4"/>
  <c r="AI818" i="4"/>
  <c r="AH818" i="4"/>
  <c r="AI817" i="4"/>
  <c r="AH817" i="4"/>
  <c r="AI816" i="4"/>
  <c r="AH816" i="4"/>
  <c r="AI815" i="4"/>
  <c r="AH815" i="4"/>
  <c r="AI814" i="4"/>
  <c r="AH814" i="4"/>
  <c r="AI813" i="4"/>
  <c r="AH813" i="4"/>
  <c r="AI812" i="4"/>
  <c r="AH812" i="4"/>
  <c r="AI811" i="4"/>
  <c r="AH811" i="4"/>
  <c r="AI810" i="4"/>
  <c r="AH810" i="4"/>
  <c r="AI809" i="4"/>
  <c r="AH809" i="4"/>
  <c r="AI808" i="4"/>
  <c r="AH808" i="4"/>
  <c r="AI807" i="4"/>
  <c r="AH807" i="4"/>
  <c r="AI806" i="4"/>
  <c r="AH806" i="4"/>
  <c r="AI805" i="4"/>
  <c r="AH805" i="4"/>
  <c r="AI804" i="4"/>
  <c r="AH804" i="4"/>
  <c r="AI803" i="4"/>
  <c r="AH803" i="4"/>
  <c r="AI802" i="4"/>
  <c r="AH802" i="4"/>
  <c r="AI801" i="4"/>
  <c r="AH801" i="4"/>
  <c r="AI800" i="4"/>
  <c r="AH800" i="4"/>
  <c r="AI799" i="4"/>
  <c r="AH799" i="4"/>
  <c r="AI798" i="4"/>
  <c r="AH798" i="4"/>
  <c r="AI797" i="4"/>
  <c r="AH797" i="4"/>
  <c r="AI796" i="4"/>
  <c r="AH796" i="4"/>
  <c r="AI795" i="4"/>
  <c r="AH795" i="4"/>
  <c r="AI794" i="4"/>
  <c r="AH794" i="4"/>
  <c r="AI793" i="4"/>
  <c r="AH793" i="4"/>
  <c r="AI792" i="4"/>
  <c r="AH792" i="4"/>
  <c r="AI791" i="4"/>
  <c r="AH791" i="4"/>
  <c r="AI790" i="4"/>
  <c r="AH790" i="4"/>
  <c r="AI789" i="4"/>
  <c r="AH789" i="4"/>
  <c r="AI788" i="4"/>
  <c r="AH788" i="4"/>
  <c r="AI787" i="4"/>
  <c r="AH787" i="4"/>
  <c r="AI786" i="4"/>
  <c r="AH786" i="4"/>
  <c r="AI785" i="4"/>
  <c r="AH785" i="4"/>
  <c r="AI784" i="4"/>
  <c r="AH784" i="4"/>
  <c r="AI783" i="4"/>
  <c r="AH783" i="4"/>
  <c r="AI782" i="4"/>
  <c r="AH782" i="4"/>
  <c r="AI781" i="4"/>
  <c r="AH781" i="4"/>
  <c r="AI780" i="4"/>
  <c r="AH780" i="4"/>
  <c r="AI779" i="4"/>
  <c r="AH779" i="4"/>
  <c r="AI778" i="4"/>
  <c r="AH778" i="4"/>
  <c r="AI777" i="4"/>
  <c r="AH777" i="4"/>
  <c r="AI776" i="4"/>
  <c r="AH776" i="4"/>
  <c r="AI775" i="4"/>
  <c r="AH775" i="4"/>
  <c r="AI774" i="4"/>
  <c r="AH774" i="4"/>
  <c r="AI773" i="4"/>
  <c r="AH773" i="4"/>
  <c r="AI772" i="4"/>
  <c r="AH772" i="4"/>
  <c r="AI771" i="4"/>
  <c r="AH771" i="4"/>
  <c r="AI770" i="4"/>
  <c r="AH770" i="4"/>
  <c r="AI769" i="4"/>
  <c r="AH769" i="4"/>
  <c r="AI768" i="4"/>
  <c r="AH768" i="4"/>
  <c r="AI767" i="4"/>
  <c r="AH767" i="4"/>
  <c r="AI766" i="4"/>
  <c r="AH766" i="4"/>
  <c r="AI765" i="4"/>
  <c r="AH765" i="4"/>
  <c r="AI764" i="4"/>
  <c r="AH764" i="4"/>
  <c r="AI763" i="4"/>
  <c r="AH763" i="4"/>
  <c r="AI762" i="4"/>
  <c r="AH762" i="4"/>
  <c r="AI761" i="4"/>
  <c r="AH761" i="4"/>
  <c r="AI760" i="4"/>
  <c r="AH760" i="4"/>
  <c r="AI759" i="4"/>
  <c r="AH759" i="4"/>
  <c r="AI758" i="4"/>
  <c r="AH758" i="4"/>
  <c r="AI757" i="4"/>
  <c r="AH757" i="4"/>
  <c r="AI756" i="4"/>
  <c r="AH756" i="4"/>
  <c r="AI755" i="4"/>
  <c r="AH755" i="4"/>
  <c r="AI754" i="4"/>
  <c r="AH754" i="4"/>
  <c r="AI753" i="4"/>
  <c r="AH753" i="4"/>
  <c r="AI752" i="4"/>
  <c r="AH752" i="4"/>
  <c r="AI751" i="4"/>
  <c r="AH751" i="4"/>
  <c r="AI750" i="4"/>
  <c r="AH750" i="4"/>
  <c r="AI749" i="4"/>
  <c r="AH749" i="4"/>
  <c r="AI748" i="4"/>
  <c r="AH748" i="4"/>
  <c r="AI747" i="4"/>
  <c r="AH747" i="4"/>
  <c r="AI746" i="4"/>
  <c r="AH746" i="4"/>
  <c r="AI745" i="4"/>
  <c r="AH745" i="4"/>
  <c r="AI744" i="4"/>
  <c r="AH744" i="4"/>
  <c r="AI743" i="4"/>
  <c r="AH743" i="4"/>
  <c r="AI742" i="4"/>
  <c r="AH742" i="4"/>
  <c r="AI741" i="4"/>
  <c r="AH741" i="4"/>
  <c r="AI740" i="4"/>
  <c r="AH740" i="4"/>
  <c r="AI739" i="4"/>
  <c r="AH739" i="4"/>
  <c r="AI738" i="4"/>
  <c r="AH738" i="4"/>
  <c r="AI737" i="4"/>
  <c r="AH737" i="4"/>
  <c r="AI736" i="4"/>
  <c r="AH736" i="4"/>
  <c r="AI735" i="4"/>
  <c r="AH735" i="4"/>
  <c r="AI734" i="4"/>
  <c r="AH734" i="4"/>
  <c r="AI733" i="4"/>
  <c r="AH733" i="4"/>
  <c r="AI732" i="4"/>
  <c r="AH732" i="4"/>
  <c r="AI731" i="4"/>
  <c r="AH731" i="4"/>
  <c r="AI730" i="4"/>
  <c r="AH730" i="4"/>
  <c r="AI729" i="4"/>
  <c r="AH729" i="4"/>
  <c r="AI728" i="4"/>
  <c r="AH728" i="4"/>
  <c r="AI727" i="4"/>
  <c r="AH727" i="4"/>
  <c r="AI726" i="4"/>
  <c r="AH726" i="4"/>
  <c r="AI725" i="4"/>
  <c r="AH725" i="4"/>
  <c r="AI724" i="4"/>
  <c r="AH724" i="4"/>
  <c r="AI723" i="4"/>
  <c r="AH723" i="4"/>
  <c r="AI722" i="4"/>
  <c r="AH722" i="4"/>
  <c r="AI721" i="4"/>
  <c r="AH721" i="4"/>
  <c r="AI720" i="4"/>
  <c r="AH720" i="4"/>
  <c r="AI719" i="4"/>
  <c r="AH719" i="4"/>
  <c r="AI718" i="4"/>
  <c r="AH718" i="4"/>
  <c r="AI717" i="4"/>
  <c r="AH717" i="4"/>
  <c r="AI716" i="4"/>
  <c r="AH716" i="4"/>
  <c r="AI715" i="4"/>
  <c r="AH715" i="4"/>
  <c r="AI714" i="4"/>
  <c r="AH714" i="4"/>
  <c r="AI713" i="4"/>
  <c r="AH713" i="4"/>
  <c r="AI712" i="4"/>
  <c r="AH712" i="4"/>
  <c r="AI711" i="4"/>
  <c r="AH711" i="4"/>
  <c r="AI710" i="4"/>
  <c r="AH710" i="4"/>
  <c r="AI709" i="4"/>
  <c r="AH709" i="4"/>
  <c r="AI708" i="4"/>
  <c r="AH708" i="4"/>
  <c r="AI707" i="4"/>
  <c r="AH707" i="4"/>
  <c r="AI706" i="4"/>
  <c r="AH706" i="4"/>
  <c r="AI705" i="4"/>
  <c r="AH705" i="4"/>
  <c r="AI704" i="4"/>
  <c r="AH704" i="4"/>
  <c r="AI703" i="4"/>
  <c r="AH703" i="4"/>
  <c r="AI702" i="4"/>
  <c r="AH702" i="4"/>
  <c r="AI701" i="4"/>
  <c r="AH701" i="4"/>
  <c r="AI700" i="4"/>
  <c r="AH700" i="4"/>
  <c r="AI699" i="4"/>
  <c r="AH699" i="4"/>
  <c r="AI698" i="4"/>
  <c r="AH698" i="4"/>
  <c r="AI697" i="4"/>
  <c r="AH697" i="4"/>
  <c r="AI696" i="4"/>
  <c r="AH696" i="4"/>
  <c r="AI695" i="4"/>
  <c r="AH695" i="4"/>
  <c r="AI694" i="4"/>
  <c r="AH694" i="4"/>
  <c r="AI693" i="4"/>
  <c r="AH693" i="4"/>
  <c r="AI692" i="4"/>
  <c r="AH692" i="4"/>
  <c r="AI691" i="4"/>
  <c r="AH691" i="4"/>
  <c r="AI690" i="4"/>
  <c r="AH690" i="4"/>
  <c r="AI689" i="4"/>
  <c r="AH689" i="4"/>
  <c r="AI688" i="4"/>
  <c r="AH688" i="4"/>
  <c r="AI687" i="4"/>
  <c r="AH687" i="4"/>
  <c r="AI686" i="4"/>
  <c r="AH686" i="4"/>
  <c r="AI685" i="4"/>
  <c r="AH685" i="4"/>
  <c r="AI684" i="4"/>
  <c r="AH684" i="4"/>
  <c r="AI683" i="4"/>
  <c r="AH683" i="4"/>
  <c r="AI682" i="4"/>
  <c r="AH682" i="4"/>
  <c r="AI681" i="4"/>
  <c r="AH681" i="4"/>
  <c r="AI680" i="4"/>
  <c r="AH680" i="4"/>
  <c r="AI679" i="4"/>
  <c r="AH679" i="4"/>
  <c r="AI678" i="4"/>
  <c r="AH678" i="4"/>
  <c r="AI677" i="4"/>
  <c r="AH677" i="4"/>
  <c r="AI676" i="4"/>
  <c r="AH676" i="4"/>
  <c r="AI675" i="4"/>
  <c r="AH675" i="4"/>
  <c r="AI674" i="4"/>
  <c r="AH674" i="4"/>
  <c r="AI673" i="4"/>
  <c r="AH673" i="4"/>
  <c r="AI672" i="4"/>
  <c r="AH672" i="4"/>
  <c r="AI671" i="4"/>
  <c r="AH671" i="4"/>
  <c r="AI670" i="4"/>
  <c r="AH670" i="4"/>
  <c r="AI669" i="4"/>
  <c r="AH669" i="4"/>
  <c r="AI668" i="4"/>
  <c r="AH668" i="4"/>
  <c r="AI667" i="4"/>
  <c r="AH667" i="4"/>
  <c r="AI666" i="4"/>
  <c r="AH666" i="4"/>
  <c r="AI665" i="4"/>
  <c r="AH665" i="4"/>
  <c r="AI664" i="4"/>
  <c r="AH664" i="4"/>
  <c r="AI663" i="4"/>
  <c r="AH663" i="4"/>
  <c r="AI662" i="4"/>
  <c r="AH662" i="4"/>
  <c r="AI661" i="4"/>
  <c r="AH661" i="4"/>
  <c r="AI660" i="4"/>
  <c r="AH660" i="4"/>
  <c r="AI659" i="4"/>
  <c r="AH659" i="4"/>
  <c r="AI658" i="4"/>
  <c r="AH658" i="4"/>
  <c r="AI657" i="4"/>
  <c r="AH657" i="4"/>
  <c r="AI656" i="4"/>
  <c r="AH656" i="4"/>
  <c r="AI655" i="4"/>
  <c r="AH655" i="4"/>
  <c r="AI654" i="4"/>
  <c r="AH654" i="4"/>
  <c r="AI653" i="4"/>
  <c r="AH653" i="4"/>
  <c r="AI652" i="4"/>
  <c r="AH652" i="4"/>
  <c r="AI651" i="4"/>
  <c r="AH651" i="4"/>
  <c r="AI650" i="4"/>
  <c r="AH650" i="4"/>
  <c r="AI649" i="4"/>
  <c r="AH649" i="4"/>
  <c r="AI648" i="4"/>
  <c r="AH648" i="4"/>
  <c r="AI647" i="4"/>
  <c r="AH647" i="4"/>
  <c r="AI646" i="4"/>
  <c r="AH646" i="4"/>
  <c r="AI645" i="4"/>
  <c r="AH645" i="4"/>
  <c r="AI644" i="4"/>
  <c r="AH644" i="4"/>
  <c r="AI643" i="4"/>
  <c r="AH643" i="4"/>
  <c r="AI642" i="4"/>
  <c r="AH642" i="4"/>
  <c r="AI641" i="4"/>
  <c r="AH641" i="4"/>
  <c r="AI640" i="4"/>
  <c r="AH640" i="4"/>
  <c r="AI639" i="4"/>
  <c r="AH639" i="4"/>
  <c r="AI638" i="4"/>
  <c r="AH638" i="4"/>
  <c r="AI637" i="4"/>
  <c r="AH637" i="4"/>
  <c r="AI636" i="4"/>
  <c r="AH636" i="4"/>
  <c r="AI635" i="4"/>
  <c r="AH635" i="4"/>
  <c r="AI634" i="4"/>
  <c r="AH634" i="4"/>
  <c r="AI633" i="4"/>
  <c r="AH633" i="4"/>
  <c r="AI632" i="4"/>
  <c r="AH632" i="4"/>
  <c r="AI631" i="4"/>
  <c r="AH631" i="4"/>
  <c r="AI630" i="4"/>
  <c r="AH630" i="4"/>
  <c r="AI629" i="4"/>
  <c r="AH629" i="4"/>
  <c r="AI628" i="4"/>
  <c r="AH628" i="4"/>
  <c r="AI627" i="4"/>
  <c r="AH627" i="4"/>
  <c r="AI626" i="4"/>
  <c r="AH626" i="4"/>
  <c r="AI625" i="4"/>
  <c r="AH625" i="4"/>
  <c r="AI624" i="4"/>
  <c r="AH624" i="4"/>
  <c r="AI623" i="4"/>
  <c r="AH623" i="4"/>
  <c r="AI622" i="4"/>
  <c r="AH622" i="4"/>
  <c r="AI621" i="4"/>
  <c r="AH621" i="4"/>
  <c r="AI620" i="4"/>
  <c r="AH620" i="4"/>
  <c r="AI619" i="4"/>
  <c r="AH619" i="4"/>
  <c r="AI618" i="4"/>
  <c r="AH618" i="4"/>
  <c r="AI617" i="4"/>
  <c r="AH617" i="4"/>
  <c r="AI616" i="4"/>
  <c r="AH616" i="4"/>
  <c r="AI615" i="4"/>
  <c r="AH615" i="4"/>
  <c r="AI614" i="4"/>
  <c r="AH614" i="4"/>
  <c r="AI613" i="4"/>
  <c r="AH613" i="4"/>
  <c r="AI612" i="4"/>
  <c r="AH612" i="4"/>
  <c r="AI611" i="4"/>
  <c r="AH611" i="4"/>
  <c r="AI610" i="4"/>
  <c r="AH610" i="4"/>
  <c r="AI609" i="4"/>
  <c r="AH609" i="4"/>
  <c r="AI608" i="4"/>
  <c r="AH608" i="4"/>
  <c r="AI607" i="4"/>
  <c r="AH607" i="4"/>
  <c r="AI606" i="4"/>
  <c r="AH606" i="4"/>
  <c r="AI605" i="4"/>
  <c r="AH605" i="4"/>
  <c r="AI604" i="4"/>
  <c r="AH604" i="4"/>
  <c r="AI603" i="4"/>
  <c r="AH603" i="4"/>
  <c r="AI602" i="4"/>
  <c r="AH602" i="4"/>
  <c r="AI601" i="4"/>
  <c r="AH601" i="4"/>
  <c r="AI600" i="4"/>
  <c r="AH600" i="4"/>
  <c r="AI599" i="4"/>
  <c r="AH599" i="4"/>
  <c r="AI598" i="4"/>
  <c r="AH598" i="4"/>
  <c r="AI597" i="4"/>
  <c r="AH597" i="4"/>
  <c r="AI596" i="4"/>
  <c r="AH596" i="4"/>
  <c r="AI595" i="4"/>
  <c r="AH595" i="4"/>
  <c r="AI594" i="4"/>
  <c r="AH594" i="4"/>
  <c r="AI593" i="4"/>
  <c r="AH593" i="4"/>
  <c r="AI592" i="4"/>
  <c r="AH592" i="4"/>
  <c r="AI591" i="4"/>
  <c r="AH591" i="4"/>
  <c r="AI590" i="4"/>
  <c r="AH590" i="4"/>
  <c r="AI589" i="4"/>
  <c r="AH589" i="4"/>
  <c r="AI588" i="4"/>
  <c r="AH588" i="4"/>
  <c r="AI587" i="4"/>
  <c r="AH587" i="4"/>
  <c r="AI586" i="4"/>
  <c r="AH586" i="4"/>
  <c r="AI585" i="4"/>
  <c r="AH585" i="4"/>
  <c r="AI584" i="4"/>
  <c r="AH584" i="4"/>
  <c r="AI583" i="4"/>
  <c r="AH583" i="4"/>
  <c r="AI582" i="4"/>
  <c r="AH582" i="4"/>
  <c r="AI581" i="4"/>
  <c r="AH581" i="4"/>
  <c r="AI580" i="4"/>
  <c r="AH580" i="4"/>
  <c r="AI579" i="4"/>
  <c r="AH579" i="4"/>
  <c r="AI578" i="4"/>
  <c r="AH578" i="4"/>
  <c r="AI577" i="4"/>
  <c r="AH577" i="4"/>
  <c r="AI576" i="4"/>
  <c r="AH576" i="4"/>
  <c r="AI575" i="4"/>
  <c r="AH575" i="4"/>
  <c r="AI574" i="4"/>
  <c r="AH574" i="4"/>
  <c r="AI573" i="4"/>
  <c r="AH573" i="4"/>
  <c r="AI572" i="4"/>
  <c r="AH572" i="4"/>
  <c r="AI571" i="4"/>
  <c r="AH571" i="4"/>
  <c r="AI570" i="4"/>
  <c r="AH570" i="4"/>
  <c r="AI569" i="4"/>
  <c r="AH569" i="4"/>
  <c r="AI568" i="4"/>
  <c r="AH568" i="4"/>
  <c r="AI567" i="4"/>
  <c r="AH567" i="4"/>
  <c r="AI566" i="4"/>
  <c r="AH566" i="4"/>
  <c r="AI565" i="4"/>
  <c r="AH565" i="4"/>
  <c r="AI564" i="4"/>
  <c r="AH564" i="4"/>
  <c r="AI563" i="4"/>
  <c r="AH563" i="4"/>
  <c r="AI562" i="4"/>
  <c r="AH562" i="4"/>
  <c r="AI561" i="4"/>
  <c r="AH561" i="4"/>
  <c r="AI560" i="4"/>
  <c r="AH560" i="4"/>
  <c r="AI559" i="4"/>
  <c r="AH559" i="4"/>
  <c r="AI558" i="4"/>
  <c r="AH558" i="4"/>
  <c r="AI557" i="4"/>
  <c r="AH557" i="4"/>
  <c r="AI556" i="4"/>
  <c r="AH556" i="4"/>
  <c r="AI555" i="4"/>
  <c r="AH555" i="4"/>
  <c r="AI554" i="4"/>
  <c r="AH554" i="4"/>
  <c r="AI553" i="4"/>
  <c r="AH553" i="4"/>
  <c r="AI552" i="4"/>
  <c r="AH552" i="4"/>
  <c r="AI551" i="4"/>
  <c r="AH551" i="4"/>
  <c r="AI550" i="4"/>
  <c r="AH550" i="4"/>
  <c r="AI549" i="4"/>
  <c r="AH549" i="4"/>
  <c r="AI548" i="4"/>
  <c r="AH548" i="4"/>
  <c r="AI547" i="4"/>
  <c r="AH547" i="4"/>
  <c r="AI546" i="4"/>
  <c r="AH546" i="4"/>
  <c r="AI545" i="4"/>
  <c r="AH545" i="4"/>
  <c r="AI544" i="4"/>
  <c r="AH544" i="4"/>
  <c r="AI543" i="4"/>
  <c r="AH543" i="4"/>
  <c r="AI542" i="4"/>
  <c r="AH542" i="4"/>
  <c r="AI541" i="4"/>
  <c r="AH541" i="4"/>
  <c r="AI540" i="4"/>
  <c r="AH540" i="4"/>
  <c r="AI539" i="4"/>
  <c r="AH539" i="4"/>
  <c r="AI538" i="4"/>
  <c r="AH538" i="4"/>
  <c r="AI537" i="4"/>
  <c r="AH537" i="4"/>
  <c r="AI536" i="4"/>
  <c r="AH536" i="4"/>
  <c r="AI535" i="4"/>
  <c r="AH535" i="4"/>
  <c r="AI534" i="4"/>
  <c r="AH534" i="4"/>
  <c r="AI533" i="4"/>
  <c r="AH533" i="4"/>
  <c r="AI532" i="4"/>
  <c r="AH532" i="4"/>
  <c r="AI531" i="4"/>
  <c r="AH531" i="4"/>
  <c r="AI530" i="4"/>
  <c r="AH530" i="4"/>
  <c r="AI529" i="4"/>
  <c r="AH529" i="4"/>
  <c r="AI528" i="4"/>
  <c r="AH528" i="4"/>
  <c r="AI527" i="4"/>
  <c r="AH527" i="4"/>
  <c r="AI526" i="4"/>
  <c r="AH526" i="4"/>
  <c r="AI525" i="4"/>
  <c r="AH525" i="4"/>
  <c r="AI524" i="4"/>
  <c r="AH524" i="4"/>
  <c r="AI523" i="4"/>
  <c r="AH523" i="4"/>
  <c r="AI522" i="4"/>
  <c r="AH522" i="4"/>
  <c r="AI521" i="4"/>
  <c r="AH521" i="4"/>
  <c r="AI520" i="4"/>
  <c r="AH520" i="4"/>
  <c r="AI519" i="4"/>
  <c r="AH519" i="4"/>
  <c r="AI518" i="4"/>
  <c r="AH518" i="4"/>
  <c r="AI517" i="4"/>
  <c r="AH517" i="4"/>
  <c r="AI516" i="4"/>
  <c r="AH516" i="4"/>
  <c r="AI515" i="4"/>
  <c r="AH515" i="4"/>
  <c r="AI514" i="4"/>
  <c r="AH514" i="4"/>
  <c r="AI513" i="4"/>
  <c r="AH513" i="4"/>
  <c r="AI512" i="4"/>
  <c r="AH512" i="4"/>
  <c r="AI511" i="4"/>
  <c r="AH511" i="4"/>
  <c r="AI510" i="4"/>
  <c r="AH510" i="4"/>
  <c r="AI509" i="4"/>
  <c r="AH509" i="4"/>
  <c r="AI508" i="4"/>
  <c r="AH508" i="4"/>
  <c r="AI507" i="4"/>
  <c r="AH507" i="4"/>
  <c r="AI506" i="4"/>
  <c r="AH506" i="4"/>
  <c r="AI505" i="4"/>
  <c r="AH505" i="4"/>
  <c r="AI504" i="4"/>
  <c r="AH504" i="4"/>
  <c r="AI503" i="4"/>
  <c r="AH503" i="4"/>
  <c r="AI502" i="4"/>
  <c r="AH502" i="4"/>
  <c r="AI501" i="4"/>
  <c r="AH501" i="4"/>
  <c r="AI500" i="4"/>
  <c r="AH500" i="4"/>
  <c r="AI499" i="4"/>
  <c r="AH499" i="4"/>
  <c r="AI498" i="4"/>
  <c r="AH498" i="4"/>
  <c r="AI497" i="4"/>
  <c r="AH497" i="4"/>
  <c r="AI496" i="4"/>
  <c r="AH496" i="4"/>
  <c r="AI495" i="4"/>
  <c r="AH495" i="4"/>
  <c r="AI494" i="4"/>
  <c r="AH494" i="4"/>
  <c r="AI493" i="4"/>
  <c r="AH493" i="4"/>
  <c r="AI492" i="4"/>
  <c r="AH492" i="4"/>
  <c r="AI491" i="4"/>
  <c r="AH491" i="4"/>
  <c r="AI490" i="4"/>
  <c r="AH490" i="4"/>
  <c r="AI489" i="4"/>
  <c r="AH489" i="4"/>
  <c r="AI488" i="4"/>
  <c r="AH488" i="4"/>
  <c r="AI487" i="4"/>
  <c r="AH487" i="4"/>
  <c r="AI486" i="4"/>
  <c r="AH486" i="4"/>
  <c r="AI485" i="4"/>
  <c r="AH485" i="4"/>
  <c r="AI484" i="4"/>
  <c r="AH484" i="4"/>
  <c r="AI483" i="4"/>
  <c r="AH483" i="4"/>
  <c r="AI482" i="4"/>
  <c r="AH482" i="4"/>
  <c r="AI481" i="4"/>
  <c r="AH481" i="4"/>
  <c r="AI480" i="4"/>
  <c r="AH480" i="4"/>
  <c r="AI479" i="4"/>
  <c r="AH479" i="4"/>
  <c r="AI478" i="4"/>
  <c r="AH478" i="4"/>
  <c r="AI477" i="4"/>
  <c r="AH477" i="4"/>
  <c r="AI476" i="4"/>
  <c r="AH476" i="4"/>
  <c r="AI475" i="4"/>
  <c r="AH475" i="4"/>
  <c r="AI474" i="4"/>
  <c r="AH474" i="4"/>
  <c r="AI473" i="4"/>
  <c r="AH473" i="4"/>
  <c r="AI472" i="4"/>
  <c r="AH472" i="4"/>
  <c r="AI471" i="4"/>
  <c r="AH471" i="4"/>
  <c r="AI470" i="4"/>
  <c r="AH470" i="4"/>
  <c r="AI469" i="4"/>
  <c r="AH469" i="4"/>
  <c r="AI468" i="4"/>
  <c r="AH468" i="4"/>
  <c r="AI467" i="4"/>
  <c r="AH467" i="4"/>
  <c r="AI466" i="4"/>
  <c r="AH466" i="4"/>
  <c r="AI465" i="4"/>
  <c r="AH465" i="4"/>
  <c r="AI464" i="4"/>
  <c r="AH464" i="4"/>
  <c r="AI463" i="4"/>
  <c r="AH463" i="4"/>
  <c r="AI462" i="4"/>
  <c r="AH462" i="4"/>
  <c r="AI461" i="4"/>
  <c r="AH461" i="4"/>
  <c r="AI460" i="4"/>
  <c r="AH460" i="4"/>
  <c r="AI459" i="4"/>
  <c r="AH459" i="4"/>
  <c r="AI458" i="4"/>
  <c r="AH458" i="4"/>
  <c r="AI457" i="4"/>
  <c r="AH457" i="4"/>
  <c r="AI456" i="4"/>
  <c r="AH456" i="4"/>
  <c r="AI455" i="4"/>
  <c r="AH455" i="4"/>
  <c r="AI454" i="4"/>
  <c r="AH454" i="4"/>
  <c r="AI453" i="4"/>
  <c r="AH453" i="4"/>
  <c r="AI452" i="4"/>
  <c r="AH452" i="4"/>
  <c r="AI451" i="4"/>
  <c r="AH451" i="4"/>
  <c r="AI450" i="4"/>
  <c r="AH450" i="4"/>
  <c r="AI449" i="4"/>
  <c r="AH449" i="4"/>
  <c r="AI448" i="4"/>
  <c r="AH448" i="4"/>
  <c r="AI447" i="4"/>
  <c r="AH447" i="4"/>
  <c r="AI446" i="4"/>
  <c r="AH446" i="4"/>
  <c r="AI445" i="4"/>
  <c r="AH445" i="4"/>
  <c r="AI444" i="4"/>
  <c r="AH444" i="4"/>
  <c r="AI443" i="4"/>
  <c r="AH443" i="4"/>
  <c r="AI442" i="4"/>
  <c r="AH442" i="4"/>
  <c r="AI441" i="4"/>
  <c r="AH441" i="4"/>
  <c r="AI440" i="4"/>
  <c r="AH440" i="4"/>
  <c r="AI439" i="4"/>
  <c r="AH439" i="4"/>
  <c r="AI438" i="4"/>
  <c r="AH438" i="4"/>
  <c r="AI437" i="4"/>
  <c r="AH437" i="4"/>
  <c r="AI436" i="4"/>
  <c r="AH436" i="4"/>
  <c r="AI435" i="4"/>
  <c r="AH435" i="4"/>
  <c r="AI434" i="4"/>
  <c r="AH434" i="4"/>
  <c r="AI433" i="4"/>
  <c r="AH433" i="4"/>
  <c r="AI432" i="4"/>
  <c r="AH432" i="4"/>
  <c r="AI431" i="4"/>
  <c r="AH431" i="4"/>
  <c r="AI430" i="4"/>
  <c r="AH430" i="4"/>
  <c r="AI429" i="4"/>
  <c r="AH429" i="4"/>
  <c r="AI428" i="4"/>
  <c r="AH428" i="4"/>
  <c r="AI427" i="4"/>
  <c r="AH427" i="4"/>
  <c r="AI426" i="4"/>
  <c r="AH426" i="4"/>
  <c r="AI425" i="4"/>
  <c r="AH425" i="4"/>
  <c r="AI424" i="4"/>
  <c r="AH424" i="4"/>
  <c r="AI423" i="4"/>
  <c r="AH423" i="4"/>
  <c r="AI422" i="4"/>
  <c r="AH422" i="4"/>
  <c r="AI421" i="4"/>
  <c r="AH421" i="4"/>
  <c r="AI420" i="4"/>
  <c r="AH420" i="4"/>
  <c r="AI419" i="4"/>
  <c r="AH419" i="4"/>
  <c r="AI418" i="4"/>
  <c r="AH418" i="4"/>
  <c r="AI417" i="4"/>
  <c r="AH417" i="4"/>
  <c r="AI416" i="4"/>
  <c r="AH416" i="4"/>
  <c r="AI415" i="4"/>
  <c r="AH415" i="4"/>
  <c r="AI414" i="4"/>
  <c r="AH414" i="4"/>
  <c r="AI413" i="4"/>
  <c r="AH413" i="4"/>
  <c r="AI412" i="4"/>
  <c r="AH412" i="4"/>
  <c r="AI411" i="4"/>
  <c r="AH411" i="4"/>
  <c r="AI410" i="4"/>
  <c r="AH410" i="4"/>
  <c r="AI409" i="4"/>
  <c r="AH409" i="4"/>
  <c r="AI408" i="4"/>
  <c r="AH408" i="4"/>
  <c r="AI407" i="4"/>
  <c r="AH407" i="4"/>
  <c r="AI406" i="4"/>
  <c r="AH406" i="4"/>
  <c r="AI405" i="4"/>
  <c r="AH405" i="4"/>
  <c r="AI404" i="4"/>
  <c r="AH404" i="4"/>
  <c r="AI403" i="4"/>
  <c r="AH403" i="4"/>
  <c r="AI402" i="4"/>
  <c r="AH402" i="4"/>
  <c r="AI401" i="4"/>
  <c r="AH401" i="4"/>
  <c r="AI400" i="4"/>
  <c r="AH400" i="4"/>
  <c r="AI399" i="4"/>
  <c r="AH399" i="4"/>
  <c r="AI398" i="4"/>
  <c r="AH398" i="4"/>
  <c r="AI397" i="4"/>
  <c r="AH397" i="4"/>
  <c r="AI396" i="4"/>
  <c r="AH396" i="4"/>
  <c r="AI395" i="4"/>
  <c r="AH395" i="4"/>
  <c r="AI394" i="4"/>
  <c r="AH394" i="4"/>
  <c r="AI393" i="4"/>
  <c r="AH393" i="4"/>
  <c r="AI392" i="4"/>
  <c r="AH392" i="4"/>
  <c r="AI391" i="4"/>
  <c r="AH391" i="4"/>
  <c r="AI390" i="4"/>
  <c r="AH390" i="4"/>
  <c r="AI389" i="4"/>
  <c r="AH389" i="4"/>
  <c r="AI388" i="4"/>
  <c r="AH388" i="4"/>
  <c r="AI387" i="4"/>
  <c r="AH387" i="4"/>
  <c r="AI386" i="4"/>
  <c r="AH386" i="4"/>
  <c r="AI385" i="4"/>
  <c r="AH385" i="4"/>
  <c r="AI384" i="4"/>
  <c r="AH384" i="4"/>
  <c r="AI383" i="4"/>
  <c r="AH383" i="4"/>
  <c r="AI382" i="4"/>
  <c r="AH382" i="4"/>
  <c r="AI381" i="4"/>
  <c r="AH381" i="4"/>
  <c r="AI380" i="4"/>
  <c r="AH380" i="4"/>
  <c r="AI379" i="4"/>
  <c r="AH379" i="4"/>
  <c r="AI378" i="4"/>
  <c r="AH378" i="4"/>
  <c r="AI377" i="4"/>
  <c r="AH377" i="4"/>
  <c r="AI376" i="4"/>
  <c r="AH376" i="4"/>
  <c r="AI375" i="4"/>
  <c r="AH375" i="4"/>
  <c r="AI374" i="4"/>
  <c r="AH374" i="4"/>
  <c r="AI373" i="4"/>
  <c r="AH373" i="4"/>
  <c r="AI372" i="4"/>
  <c r="AH372" i="4"/>
  <c r="AI371" i="4"/>
  <c r="AH371" i="4"/>
  <c r="AI370" i="4"/>
  <c r="AH370" i="4"/>
  <c r="AI369" i="4"/>
  <c r="AH369" i="4"/>
  <c r="AI368" i="4"/>
  <c r="AH368" i="4"/>
  <c r="AI367" i="4"/>
  <c r="AH367" i="4"/>
  <c r="AI366" i="4"/>
  <c r="AH366" i="4"/>
  <c r="AI365" i="4"/>
  <c r="AH365" i="4"/>
  <c r="AI364" i="4"/>
  <c r="AH364" i="4"/>
  <c r="AI363" i="4"/>
  <c r="AH363" i="4"/>
  <c r="AI362" i="4"/>
  <c r="AH362" i="4"/>
  <c r="AI361" i="4"/>
  <c r="AH361" i="4"/>
  <c r="AI360" i="4"/>
  <c r="AH360" i="4"/>
  <c r="AI359" i="4"/>
  <c r="AH359" i="4"/>
  <c r="AI358" i="4"/>
  <c r="AH358" i="4"/>
  <c r="AI357" i="4"/>
  <c r="AH357" i="4"/>
  <c r="AI356" i="4"/>
  <c r="AH356" i="4"/>
  <c r="AI355" i="4"/>
  <c r="AH355" i="4"/>
  <c r="AI354" i="4"/>
  <c r="AH354" i="4"/>
  <c r="AI353" i="4"/>
  <c r="AH353" i="4"/>
  <c r="AI352" i="4"/>
  <c r="AH352" i="4"/>
  <c r="AI351" i="4"/>
  <c r="AH351" i="4"/>
  <c r="AI350" i="4"/>
  <c r="AH350" i="4"/>
  <c r="AI349" i="4"/>
  <c r="AH349" i="4"/>
  <c r="AI348" i="4"/>
  <c r="AH348" i="4"/>
  <c r="AI347" i="4"/>
  <c r="AH347" i="4"/>
  <c r="AI346" i="4"/>
  <c r="AH346" i="4"/>
  <c r="AI345" i="4"/>
  <c r="AH345" i="4"/>
  <c r="AI344" i="4"/>
  <c r="AH344" i="4"/>
  <c r="AI343" i="4"/>
  <c r="AH343" i="4"/>
  <c r="AI342" i="4"/>
  <c r="AH342" i="4"/>
  <c r="AI341" i="4"/>
  <c r="AH341" i="4"/>
  <c r="AI340" i="4"/>
  <c r="AH340" i="4"/>
  <c r="AI339" i="4"/>
  <c r="AH339" i="4"/>
  <c r="AI338" i="4"/>
  <c r="AH338" i="4"/>
  <c r="AI337" i="4"/>
  <c r="AH337" i="4"/>
  <c r="AI336" i="4"/>
  <c r="AH336" i="4"/>
  <c r="AI335" i="4"/>
  <c r="AH335" i="4"/>
  <c r="AI334" i="4"/>
  <c r="AH334" i="4"/>
  <c r="AI333" i="4"/>
  <c r="AH333" i="4"/>
  <c r="AI332" i="4"/>
  <c r="AH332" i="4"/>
  <c r="AI331" i="4"/>
  <c r="AH331" i="4"/>
  <c r="AI330" i="4"/>
  <c r="AH330" i="4"/>
  <c r="AI329" i="4"/>
  <c r="AH329" i="4"/>
  <c r="AI328" i="4"/>
  <c r="AH328" i="4"/>
  <c r="AI327" i="4"/>
  <c r="AH327" i="4"/>
  <c r="AI326" i="4"/>
  <c r="AH326" i="4"/>
  <c r="AI325" i="4"/>
  <c r="AH325" i="4"/>
  <c r="AI324" i="4"/>
  <c r="AH324" i="4"/>
  <c r="AI323" i="4"/>
  <c r="AH323" i="4"/>
  <c r="AI322" i="4"/>
  <c r="AH322" i="4"/>
  <c r="AI321" i="4"/>
  <c r="AH321" i="4"/>
  <c r="AI320" i="4"/>
  <c r="AH320" i="4"/>
  <c r="AI319" i="4"/>
  <c r="AH319" i="4"/>
  <c r="AI318" i="4"/>
  <c r="AH318" i="4"/>
  <c r="AI317" i="4"/>
  <c r="AH317" i="4"/>
  <c r="AI316" i="4"/>
  <c r="AH316" i="4"/>
  <c r="AI315" i="4"/>
  <c r="AH315" i="4"/>
  <c r="AI314" i="4"/>
  <c r="AH314" i="4"/>
  <c r="AI313" i="4"/>
  <c r="AH313" i="4"/>
  <c r="AI312" i="4"/>
  <c r="AH312" i="4"/>
  <c r="AI311" i="4"/>
  <c r="AH311" i="4"/>
  <c r="AI310" i="4"/>
  <c r="AH310" i="4"/>
  <c r="AI309" i="4"/>
  <c r="AH309" i="4"/>
  <c r="AI308" i="4"/>
  <c r="AH308" i="4"/>
  <c r="AI307" i="4"/>
  <c r="AH307" i="4"/>
  <c r="AI306" i="4"/>
  <c r="AH306" i="4"/>
  <c r="AI305" i="4"/>
  <c r="AH305" i="4"/>
  <c r="AI304" i="4"/>
  <c r="AH304" i="4"/>
  <c r="AI303" i="4"/>
  <c r="AH303" i="4"/>
  <c r="AI302" i="4"/>
  <c r="AH302" i="4"/>
  <c r="AI301" i="4"/>
  <c r="AH301" i="4"/>
  <c r="AI300" i="4"/>
  <c r="AH300" i="4"/>
  <c r="AI299" i="4"/>
  <c r="AH299" i="4"/>
  <c r="AI298" i="4"/>
  <c r="AH298" i="4"/>
  <c r="AI297" i="4"/>
  <c r="AH297" i="4"/>
  <c r="AI296" i="4"/>
  <c r="AH296" i="4"/>
  <c r="AI295" i="4"/>
  <c r="AH295" i="4"/>
  <c r="AI294" i="4"/>
  <c r="AH294" i="4"/>
  <c r="AI293" i="4"/>
  <c r="AH293" i="4"/>
  <c r="AI292" i="4"/>
  <c r="AH292" i="4"/>
  <c r="AI291" i="4"/>
  <c r="AH291" i="4"/>
  <c r="AI290" i="4"/>
  <c r="AH290" i="4"/>
  <c r="AI289" i="4"/>
  <c r="AH289" i="4"/>
  <c r="AI288" i="4"/>
  <c r="AH288" i="4"/>
  <c r="AI287" i="4"/>
  <c r="AH287" i="4"/>
  <c r="AI286" i="4"/>
  <c r="AH286" i="4"/>
  <c r="AI285" i="4"/>
  <c r="AH285" i="4"/>
  <c r="AI284" i="4"/>
  <c r="AH284" i="4"/>
  <c r="AI283" i="4"/>
  <c r="AH283" i="4"/>
  <c r="AI282" i="4"/>
  <c r="AH282" i="4"/>
  <c r="AI281" i="4"/>
  <c r="AH281" i="4"/>
  <c r="AI280" i="4"/>
  <c r="AH280" i="4"/>
  <c r="AI279" i="4"/>
  <c r="AH279" i="4"/>
  <c r="AI278" i="4"/>
  <c r="AH278" i="4"/>
  <c r="AI277" i="4"/>
  <c r="AH277" i="4"/>
  <c r="AI276" i="4"/>
  <c r="AH276" i="4"/>
  <c r="AI275" i="4"/>
  <c r="AH275" i="4"/>
  <c r="AI274" i="4"/>
  <c r="AH274" i="4"/>
  <c r="AI273" i="4"/>
  <c r="AH273" i="4"/>
  <c r="AI272" i="4"/>
  <c r="AH272" i="4"/>
  <c r="AI271" i="4"/>
  <c r="AH271" i="4"/>
  <c r="AI270" i="4"/>
  <c r="AH270" i="4"/>
  <c r="AI269" i="4"/>
  <c r="AH269" i="4"/>
  <c r="AI268" i="4"/>
  <c r="AH268" i="4"/>
  <c r="AI267" i="4"/>
  <c r="AH267" i="4"/>
  <c r="AI266" i="4"/>
  <c r="AH266" i="4"/>
  <c r="AI265" i="4"/>
  <c r="AH265" i="4"/>
  <c r="AI264" i="4"/>
  <c r="AH264" i="4"/>
  <c r="AI263" i="4"/>
  <c r="AH263" i="4"/>
  <c r="AI262" i="4"/>
  <c r="AH262" i="4"/>
  <c r="AI261" i="4"/>
  <c r="AH261" i="4"/>
  <c r="AI260" i="4"/>
  <c r="AH260" i="4"/>
  <c r="AI259" i="4"/>
  <c r="AH259" i="4"/>
  <c r="AI258" i="4"/>
  <c r="AH258" i="4"/>
  <c r="AI257" i="4"/>
  <c r="AH257" i="4"/>
  <c r="AI256" i="4"/>
  <c r="AH256" i="4"/>
  <c r="AI255" i="4"/>
  <c r="AH255" i="4"/>
  <c r="AI254" i="4"/>
  <c r="AH254" i="4"/>
  <c r="AI253" i="4"/>
  <c r="AH253" i="4"/>
  <c r="AI252" i="4"/>
  <c r="AH252" i="4"/>
  <c r="AI251" i="4"/>
  <c r="AH251" i="4"/>
  <c r="AI250" i="4"/>
  <c r="AH250" i="4"/>
  <c r="AI249" i="4"/>
  <c r="AH249" i="4"/>
  <c r="AI248" i="4"/>
  <c r="AH248" i="4"/>
  <c r="AI247" i="4"/>
  <c r="AH247" i="4"/>
  <c r="AI246" i="4"/>
  <c r="AH246" i="4"/>
  <c r="AI245" i="4"/>
  <c r="AH245" i="4"/>
  <c r="AI244" i="4"/>
  <c r="AH244" i="4"/>
  <c r="AI243" i="4"/>
  <c r="AH243" i="4"/>
  <c r="AI242" i="4"/>
  <c r="AH242" i="4"/>
  <c r="AI241" i="4"/>
  <c r="AH241" i="4"/>
  <c r="AI240" i="4"/>
  <c r="AH240" i="4"/>
  <c r="AI239" i="4"/>
  <c r="AH239" i="4"/>
  <c r="AI238" i="4"/>
  <c r="AH238" i="4"/>
  <c r="AI237" i="4"/>
  <c r="AH237" i="4"/>
  <c r="AI236" i="4"/>
  <c r="AH236" i="4"/>
  <c r="AI235" i="4"/>
  <c r="AH235" i="4"/>
  <c r="AI234" i="4"/>
  <c r="AH234" i="4"/>
  <c r="AI233" i="4"/>
  <c r="AH233" i="4"/>
  <c r="AI232" i="4"/>
  <c r="AH232" i="4"/>
  <c r="AI231" i="4"/>
  <c r="AH231" i="4"/>
  <c r="AI230" i="4"/>
  <c r="AH230" i="4"/>
  <c r="AI229" i="4"/>
  <c r="AH229" i="4"/>
  <c r="AI228" i="4"/>
  <c r="AH228" i="4"/>
  <c r="AI227" i="4"/>
  <c r="AH227" i="4"/>
  <c r="AI226" i="4"/>
  <c r="AH226" i="4"/>
  <c r="AI225" i="4"/>
  <c r="AH225" i="4"/>
  <c r="AI224" i="4"/>
  <c r="AH224" i="4"/>
  <c r="AI223" i="4"/>
  <c r="AH223" i="4"/>
  <c r="AI222" i="4"/>
  <c r="AH222" i="4"/>
  <c r="AI221" i="4"/>
  <c r="AH221" i="4"/>
  <c r="AI220" i="4"/>
  <c r="AH220" i="4"/>
  <c r="AI219" i="4"/>
  <c r="AH219" i="4"/>
  <c r="AI218" i="4"/>
  <c r="AH218" i="4"/>
  <c r="AI217" i="4"/>
  <c r="AH217" i="4"/>
  <c r="AI216" i="4"/>
  <c r="AH216" i="4"/>
  <c r="AI215" i="4"/>
  <c r="AH215" i="4"/>
  <c r="AI214" i="4"/>
  <c r="AH214" i="4"/>
  <c r="AI213" i="4"/>
  <c r="AH213" i="4"/>
  <c r="AI212" i="4"/>
  <c r="AH212" i="4"/>
  <c r="AI211" i="4"/>
  <c r="AH211" i="4"/>
  <c r="AI210" i="4"/>
  <c r="AH210" i="4"/>
  <c r="AI209" i="4"/>
  <c r="AH209" i="4"/>
  <c r="AI208" i="4"/>
  <c r="AH208" i="4"/>
  <c r="AI207" i="4"/>
  <c r="AH207" i="4"/>
  <c r="AI206" i="4"/>
  <c r="AH206" i="4"/>
  <c r="AI205" i="4"/>
  <c r="AH205" i="4"/>
  <c r="AI204" i="4"/>
  <c r="AH204" i="4"/>
  <c r="AI203" i="4"/>
  <c r="AH203" i="4"/>
  <c r="AI202" i="4"/>
  <c r="AH202" i="4"/>
  <c r="AI201" i="4"/>
  <c r="AH201" i="4"/>
  <c r="AI200" i="4"/>
  <c r="AH200" i="4"/>
  <c r="AI199" i="4"/>
  <c r="AH199" i="4"/>
  <c r="AI198" i="4"/>
  <c r="AH198" i="4"/>
  <c r="AI197" i="4"/>
  <c r="AH197" i="4"/>
  <c r="AI196" i="4"/>
  <c r="AH196" i="4"/>
  <c r="AI195" i="4"/>
  <c r="AH195" i="4"/>
  <c r="AI194" i="4"/>
  <c r="AH194" i="4"/>
  <c r="AI193" i="4"/>
  <c r="AH193" i="4"/>
  <c r="AI192" i="4"/>
  <c r="AH192" i="4"/>
  <c r="AI191" i="4"/>
  <c r="AH191" i="4"/>
  <c r="AI190" i="4"/>
  <c r="AH190" i="4"/>
  <c r="AI189" i="4"/>
  <c r="AH189" i="4"/>
  <c r="AI188" i="4"/>
  <c r="AH188" i="4"/>
  <c r="AI187" i="4"/>
  <c r="AH187" i="4"/>
  <c r="AI186" i="4"/>
  <c r="AH186" i="4"/>
  <c r="AI185" i="4"/>
  <c r="AH185" i="4"/>
  <c r="AI184" i="4"/>
  <c r="AH184" i="4"/>
  <c r="AI183" i="4"/>
  <c r="AH183" i="4"/>
  <c r="AI182" i="4"/>
  <c r="AH182" i="4"/>
  <c r="AI181" i="4"/>
  <c r="AH181" i="4"/>
  <c r="AI180" i="4"/>
  <c r="AH180" i="4"/>
  <c r="AI179" i="4"/>
  <c r="AH179" i="4"/>
  <c r="AI178" i="4"/>
  <c r="AH178" i="4"/>
  <c r="AI177" i="4"/>
  <c r="AH177" i="4"/>
  <c r="AI176" i="4"/>
  <c r="AH176" i="4"/>
  <c r="AI175" i="4"/>
  <c r="AH175" i="4"/>
  <c r="AI174" i="4"/>
  <c r="AH174" i="4"/>
  <c r="AI173" i="4"/>
  <c r="AH173" i="4"/>
  <c r="AI172" i="4"/>
  <c r="AH172" i="4"/>
  <c r="AI171" i="4"/>
  <c r="AH171" i="4"/>
  <c r="AI170" i="4"/>
  <c r="AH170" i="4"/>
  <c r="AI169" i="4"/>
  <c r="AH169" i="4"/>
  <c r="AI168" i="4"/>
  <c r="AH168" i="4"/>
  <c r="AI167" i="4"/>
  <c r="AH167" i="4"/>
  <c r="AI166" i="4"/>
  <c r="AH166" i="4"/>
  <c r="AI165" i="4"/>
  <c r="AH165" i="4"/>
  <c r="AI164" i="4"/>
  <c r="AH164" i="4"/>
  <c r="AI163" i="4"/>
  <c r="AH163" i="4"/>
  <c r="AI162" i="4"/>
  <c r="AH162" i="4"/>
  <c r="AI161" i="4"/>
  <c r="AH161" i="4"/>
  <c r="AI160" i="4"/>
  <c r="AH160" i="4"/>
  <c r="AI159" i="4"/>
  <c r="AH159" i="4"/>
  <c r="AI158" i="4"/>
  <c r="AH158" i="4"/>
  <c r="AI157" i="4"/>
  <c r="AH157" i="4"/>
  <c r="AI156" i="4"/>
  <c r="AH156" i="4"/>
  <c r="AI155" i="4"/>
  <c r="AH155" i="4"/>
  <c r="AI154" i="4"/>
  <c r="AH154" i="4"/>
  <c r="AI153" i="4"/>
  <c r="AH153" i="4"/>
  <c r="AI152" i="4"/>
  <c r="AH152" i="4"/>
  <c r="AI151" i="4"/>
  <c r="AH151" i="4"/>
  <c r="AI150" i="4"/>
  <c r="AH150" i="4"/>
  <c r="AI149" i="4"/>
  <c r="AH149" i="4"/>
  <c r="AI148" i="4"/>
  <c r="AH148" i="4"/>
  <c r="AI147" i="4"/>
  <c r="AH147" i="4"/>
  <c r="AI146" i="4"/>
  <c r="AH146" i="4"/>
  <c r="AI145" i="4"/>
  <c r="AH145" i="4"/>
  <c r="AI144" i="4"/>
  <c r="AH144" i="4"/>
  <c r="AI143" i="4"/>
  <c r="AH143" i="4"/>
  <c r="AI142" i="4"/>
  <c r="AH142" i="4"/>
  <c r="AI141" i="4"/>
  <c r="AH141" i="4"/>
  <c r="AI140" i="4"/>
  <c r="AH140" i="4"/>
  <c r="AI139" i="4"/>
  <c r="AH139" i="4"/>
  <c r="AI138" i="4"/>
  <c r="AH138" i="4"/>
  <c r="AI137" i="4"/>
  <c r="AH137" i="4"/>
  <c r="AI136" i="4"/>
  <c r="AH136" i="4"/>
  <c r="AI135" i="4"/>
  <c r="AH135" i="4"/>
  <c r="AI134" i="4"/>
  <c r="AH134" i="4"/>
  <c r="AI133" i="4"/>
  <c r="AH133" i="4"/>
  <c r="AI132" i="4"/>
  <c r="AH132" i="4"/>
  <c r="AI131" i="4"/>
  <c r="AH131" i="4"/>
  <c r="AI130" i="4"/>
  <c r="AH130" i="4"/>
  <c r="AI129" i="4"/>
  <c r="AH129" i="4"/>
  <c r="AI128" i="4"/>
  <c r="AH128" i="4"/>
  <c r="AI127" i="4"/>
  <c r="AH127" i="4"/>
  <c r="AI126" i="4"/>
  <c r="AH126" i="4"/>
  <c r="AI125" i="4"/>
  <c r="AH125" i="4"/>
  <c r="AI124" i="4"/>
  <c r="AH124" i="4"/>
  <c r="AI123" i="4"/>
  <c r="AH123" i="4"/>
  <c r="AI122" i="4"/>
  <c r="AH122" i="4"/>
  <c r="AI121" i="4"/>
  <c r="AH121" i="4"/>
  <c r="AI120" i="4"/>
  <c r="AH120" i="4"/>
  <c r="AI119" i="4"/>
  <c r="AH119" i="4"/>
  <c r="AI118" i="4"/>
  <c r="AH118" i="4"/>
  <c r="AI117" i="4"/>
  <c r="AH117" i="4"/>
  <c r="AI116" i="4"/>
  <c r="AH116" i="4"/>
  <c r="AI115" i="4"/>
  <c r="AH115" i="4"/>
  <c r="AI114" i="4"/>
  <c r="AH114" i="4"/>
  <c r="AI113" i="4"/>
  <c r="AH113" i="4"/>
  <c r="AI112" i="4"/>
  <c r="AH112" i="4"/>
  <c r="AI111" i="4"/>
  <c r="AH111" i="4"/>
  <c r="AI110" i="4"/>
  <c r="AH110" i="4"/>
  <c r="AI109" i="4"/>
  <c r="AH109" i="4"/>
  <c r="AI108" i="4"/>
  <c r="AH108" i="4"/>
  <c r="AI107" i="4"/>
  <c r="AH107" i="4"/>
  <c r="AI106" i="4"/>
  <c r="AH106" i="4"/>
  <c r="AI105" i="4"/>
  <c r="AH105" i="4"/>
  <c r="AI104" i="4"/>
  <c r="AH104" i="4"/>
  <c r="AI103" i="4"/>
  <c r="AH103" i="4"/>
  <c r="AI102" i="4"/>
  <c r="AH102" i="4"/>
  <c r="AI101" i="4"/>
  <c r="AH101" i="4"/>
  <c r="AI100" i="4"/>
  <c r="AH100" i="4"/>
  <c r="AI99" i="4"/>
  <c r="AH99" i="4"/>
  <c r="AI98" i="4"/>
  <c r="AH98" i="4"/>
  <c r="AI97" i="4"/>
  <c r="AH97" i="4"/>
  <c r="AI96" i="4"/>
  <c r="AH96" i="4"/>
  <c r="AI95" i="4"/>
  <c r="AH95" i="4"/>
  <c r="AI94" i="4"/>
  <c r="AH94" i="4"/>
  <c r="AI93" i="4"/>
  <c r="AH93" i="4"/>
  <c r="AI92" i="4"/>
  <c r="AH92" i="4"/>
  <c r="AI91" i="4"/>
  <c r="AH91" i="4"/>
  <c r="AI90" i="4"/>
  <c r="AH90" i="4"/>
  <c r="AI89" i="4"/>
  <c r="AH89" i="4"/>
  <c r="AI88" i="4"/>
  <c r="AH88" i="4"/>
  <c r="AI87" i="4"/>
  <c r="AH87" i="4"/>
  <c r="AI86" i="4"/>
  <c r="AH86" i="4"/>
  <c r="AI85" i="4"/>
  <c r="AH85" i="4"/>
  <c r="AI84" i="4"/>
  <c r="AH84" i="4"/>
  <c r="AI83" i="4"/>
  <c r="AH83" i="4"/>
  <c r="AI82" i="4"/>
  <c r="AH82" i="4"/>
  <c r="AI81" i="4"/>
  <c r="AH81" i="4"/>
  <c r="AI80" i="4"/>
  <c r="AH80" i="4"/>
  <c r="AI79" i="4"/>
  <c r="AH79" i="4"/>
  <c r="AI78" i="4"/>
  <c r="AH78" i="4"/>
  <c r="AI77" i="4"/>
  <c r="AH77" i="4"/>
  <c r="AI76" i="4"/>
  <c r="AH76" i="4"/>
  <c r="AI75" i="4"/>
  <c r="AH75" i="4"/>
  <c r="AI74" i="4"/>
  <c r="AH74" i="4"/>
  <c r="AI73" i="4"/>
  <c r="AH73" i="4"/>
  <c r="AI72" i="4"/>
  <c r="AH72" i="4"/>
  <c r="AI71" i="4"/>
  <c r="AH71" i="4"/>
  <c r="AI70" i="4"/>
  <c r="AH70" i="4"/>
  <c r="AI69" i="4"/>
  <c r="AH69" i="4"/>
  <c r="AI68" i="4"/>
  <c r="AH68" i="4"/>
  <c r="AI67" i="4"/>
  <c r="AH67" i="4"/>
  <c r="AI66" i="4"/>
  <c r="AH66" i="4"/>
  <c r="AI65" i="4"/>
  <c r="AH65" i="4"/>
  <c r="AI64" i="4"/>
  <c r="AH64" i="4"/>
  <c r="AI63" i="4"/>
  <c r="AH63" i="4"/>
  <c r="AI62" i="4"/>
  <c r="AH62" i="4"/>
  <c r="AI61" i="4"/>
  <c r="AH61" i="4"/>
  <c r="AI60" i="4"/>
  <c r="AH60" i="4"/>
  <c r="AI59" i="4"/>
  <c r="AH59" i="4"/>
  <c r="AI58" i="4"/>
  <c r="AH58" i="4"/>
  <c r="AI57" i="4"/>
  <c r="AH57" i="4"/>
  <c r="AI56" i="4"/>
  <c r="AH56" i="4"/>
  <c r="AI55" i="4"/>
  <c r="AH55" i="4"/>
  <c r="AI54" i="4"/>
  <c r="AH54" i="4"/>
  <c r="AI53" i="4"/>
  <c r="AH53" i="4"/>
  <c r="AI52" i="4"/>
  <c r="AH52" i="4"/>
  <c r="AI51" i="4"/>
  <c r="AH51" i="4"/>
  <c r="AI50" i="4"/>
  <c r="AH50" i="4"/>
  <c r="AI49" i="4"/>
  <c r="AH49" i="4"/>
  <c r="AI48" i="4"/>
  <c r="AH48" i="4"/>
  <c r="AI47" i="4"/>
  <c r="AH47" i="4"/>
  <c r="AI46" i="4"/>
  <c r="AH46" i="4"/>
  <c r="AI45" i="4"/>
  <c r="AH45" i="4"/>
  <c r="AI44" i="4"/>
  <c r="AH44" i="4"/>
  <c r="AI43" i="4"/>
  <c r="AH43" i="4"/>
  <c r="AI42" i="4"/>
  <c r="AH42" i="4"/>
  <c r="AI41" i="4"/>
  <c r="AH41" i="4"/>
  <c r="AI40" i="4"/>
  <c r="AH40" i="4"/>
  <c r="AI39" i="4"/>
  <c r="AH39" i="4"/>
  <c r="AI38" i="4"/>
  <c r="AH38" i="4"/>
  <c r="AI37" i="4"/>
  <c r="AH37" i="4"/>
  <c r="AI36" i="4"/>
  <c r="AH36" i="4"/>
  <c r="AI35" i="4"/>
  <c r="AH35" i="4"/>
  <c r="AI34" i="4"/>
  <c r="AH34" i="4"/>
  <c r="AI33" i="4"/>
  <c r="AH33" i="4"/>
  <c r="AI32" i="4"/>
  <c r="AH32" i="4"/>
  <c r="AI31" i="4"/>
  <c r="AH31" i="4"/>
  <c r="AI30" i="4"/>
  <c r="AH30" i="4"/>
  <c r="AI29" i="4"/>
  <c r="AH29" i="4"/>
  <c r="AI28" i="4"/>
  <c r="AH28" i="4"/>
  <c r="AI27" i="4"/>
  <c r="AH27" i="4"/>
  <c r="AI26" i="4"/>
  <c r="AH26" i="4"/>
  <c r="AI25" i="4"/>
  <c r="AH25" i="4"/>
  <c r="AI24" i="4"/>
  <c r="AH24" i="4"/>
  <c r="AI23" i="4"/>
  <c r="AH23" i="4"/>
  <c r="AI22" i="4"/>
  <c r="AH22" i="4"/>
  <c r="AI21" i="4"/>
  <c r="AH21" i="4"/>
  <c r="AI20" i="4"/>
  <c r="AH20" i="4"/>
  <c r="AI19" i="4"/>
  <c r="AH19" i="4"/>
  <c r="AI18" i="4"/>
  <c r="AH18" i="4"/>
  <c r="AI17" i="4"/>
  <c r="AH17" i="4"/>
  <c r="AI16" i="4"/>
  <c r="AH16" i="4"/>
  <c r="AI15" i="4"/>
  <c r="AH15" i="4"/>
  <c r="AI14" i="4"/>
  <c r="AH14" i="4"/>
  <c r="AI13" i="4"/>
  <c r="AH13" i="4"/>
  <c r="AI12" i="4"/>
  <c r="AH12" i="4"/>
  <c r="AI11" i="4"/>
  <c r="AH11" i="4"/>
  <c r="AI10" i="4"/>
  <c r="AH10" i="4"/>
  <c r="AI9" i="4"/>
  <c r="AH9" i="4"/>
  <c r="AI8" i="4"/>
  <c r="AH8" i="4"/>
  <c r="AI7" i="4"/>
  <c r="AH7" i="4"/>
  <c r="AI6" i="4"/>
  <c r="AH6" i="4"/>
  <c r="AI5" i="4"/>
  <c r="AH5" i="4"/>
  <c r="AI4" i="4"/>
  <c r="AH4" i="4"/>
  <c r="AI3" i="4"/>
  <c r="AH3" i="4"/>
  <c r="AI2" i="4"/>
  <c r="AH2" i="4"/>
  <c r="AY1001" i="4" l="1"/>
  <c r="AX1001" i="4"/>
  <c r="AY1000" i="4"/>
  <c r="AX1000" i="4"/>
  <c r="AY999" i="4"/>
  <c r="AX999" i="4"/>
  <c r="AY998" i="4"/>
  <c r="AX998" i="4"/>
  <c r="AY997" i="4"/>
  <c r="AX997" i="4"/>
  <c r="AY996" i="4"/>
  <c r="AX996" i="4"/>
  <c r="AY995" i="4"/>
  <c r="AX995" i="4"/>
  <c r="AY994" i="4"/>
  <c r="AX994" i="4"/>
  <c r="AY993" i="4"/>
  <c r="AX993" i="4"/>
  <c r="AY992" i="4"/>
  <c r="AX992" i="4"/>
  <c r="AY991" i="4"/>
  <c r="AX991" i="4"/>
  <c r="AY990" i="4"/>
  <c r="AX990" i="4"/>
  <c r="AY989" i="4"/>
  <c r="AX989" i="4"/>
  <c r="AY988" i="4"/>
  <c r="AX988" i="4"/>
  <c r="AY987" i="4"/>
  <c r="AX987" i="4"/>
  <c r="AY986" i="4"/>
  <c r="AX986" i="4"/>
  <c r="AY985" i="4"/>
  <c r="AX985" i="4"/>
  <c r="AY984" i="4"/>
  <c r="AX984" i="4"/>
  <c r="AY983" i="4"/>
  <c r="AX983" i="4"/>
  <c r="AY982" i="4"/>
  <c r="AX982" i="4"/>
  <c r="AY981" i="4"/>
  <c r="AX981" i="4"/>
  <c r="AY980" i="4"/>
  <c r="AX980" i="4"/>
  <c r="AY979" i="4"/>
  <c r="AX979" i="4"/>
  <c r="AY978" i="4"/>
  <c r="AX978" i="4"/>
  <c r="AY977" i="4"/>
  <c r="AX977" i="4"/>
  <c r="AY976" i="4"/>
  <c r="AX976" i="4"/>
  <c r="AY975" i="4"/>
  <c r="AX975" i="4"/>
  <c r="AY974" i="4"/>
  <c r="AX974" i="4"/>
  <c r="AY973" i="4"/>
  <c r="AX973" i="4"/>
  <c r="AY972" i="4"/>
  <c r="AX972" i="4"/>
  <c r="AY971" i="4"/>
  <c r="AX971" i="4"/>
  <c r="AY970" i="4"/>
  <c r="AX970" i="4"/>
  <c r="AY969" i="4"/>
  <c r="AX969" i="4"/>
  <c r="AY968" i="4"/>
  <c r="AX968" i="4"/>
  <c r="AY967" i="4"/>
  <c r="AX967" i="4"/>
  <c r="AY966" i="4"/>
  <c r="AX966" i="4"/>
  <c r="AY965" i="4"/>
  <c r="AX965" i="4"/>
  <c r="AY964" i="4"/>
  <c r="AX964" i="4"/>
  <c r="AY963" i="4"/>
  <c r="AX963" i="4"/>
  <c r="AY962" i="4"/>
  <c r="AX962" i="4"/>
  <c r="AY961" i="4"/>
  <c r="AX961" i="4"/>
  <c r="AY960" i="4"/>
  <c r="AX960" i="4"/>
  <c r="AY959" i="4"/>
  <c r="AX959" i="4"/>
  <c r="AY958" i="4"/>
  <c r="AX958" i="4"/>
  <c r="AY957" i="4"/>
  <c r="AX957" i="4"/>
  <c r="AY956" i="4"/>
  <c r="AX956" i="4"/>
  <c r="AY955" i="4"/>
  <c r="AX955" i="4"/>
  <c r="AY954" i="4"/>
  <c r="AX954" i="4"/>
  <c r="AY953" i="4"/>
  <c r="AX953" i="4"/>
  <c r="AY952" i="4"/>
  <c r="AX952" i="4"/>
  <c r="AY951" i="4"/>
  <c r="AX951" i="4"/>
  <c r="AY950" i="4"/>
  <c r="AX950" i="4"/>
  <c r="AY949" i="4"/>
  <c r="AX949" i="4"/>
  <c r="AY948" i="4"/>
  <c r="AX948" i="4"/>
  <c r="AY947" i="4"/>
  <c r="AX947" i="4"/>
  <c r="AY946" i="4"/>
  <c r="AX946" i="4"/>
  <c r="AY945" i="4"/>
  <c r="AX945" i="4"/>
  <c r="AY944" i="4"/>
  <c r="AX944" i="4"/>
  <c r="AY943" i="4"/>
  <c r="AX943" i="4"/>
  <c r="AY942" i="4"/>
  <c r="AX942" i="4"/>
  <c r="AY941" i="4"/>
  <c r="AX941" i="4"/>
  <c r="AY940" i="4"/>
  <c r="AX940" i="4"/>
  <c r="AY939" i="4"/>
  <c r="AX939" i="4"/>
  <c r="AY938" i="4"/>
  <c r="AX938" i="4"/>
  <c r="AY937" i="4"/>
  <c r="AX937" i="4"/>
  <c r="AY936" i="4"/>
  <c r="AX936" i="4"/>
  <c r="AY935" i="4"/>
  <c r="AX935" i="4"/>
  <c r="AY934" i="4"/>
  <c r="AX934" i="4"/>
  <c r="AY933" i="4"/>
  <c r="AX933" i="4"/>
  <c r="AY932" i="4"/>
  <c r="AX932" i="4"/>
  <c r="AY931" i="4"/>
  <c r="AX931" i="4"/>
  <c r="AY930" i="4"/>
  <c r="AX930" i="4"/>
  <c r="AY929" i="4"/>
  <c r="AX929" i="4"/>
  <c r="AY928" i="4"/>
  <c r="AX928" i="4"/>
  <c r="AY927" i="4"/>
  <c r="AX927" i="4"/>
  <c r="AY926" i="4"/>
  <c r="AX926" i="4"/>
  <c r="AY925" i="4"/>
  <c r="AX925" i="4"/>
  <c r="AY924" i="4"/>
  <c r="AX924" i="4"/>
  <c r="AY923" i="4"/>
  <c r="AX923" i="4"/>
  <c r="AY922" i="4"/>
  <c r="AX922" i="4"/>
  <c r="AY921" i="4"/>
  <c r="AX921" i="4"/>
  <c r="AY920" i="4"/>
  <c r="AX920" i="4"/>
  <c r="AY919" i="4"/>
  <c r="AX919" i="4"/>
  <c r="AY918" i="4"/>
  <c r="AX918" i="4"/>
  <c r="AY917" i="4"/>
  <c r="AX917" i="4"/>
  <c r="AY916" i="4"/>
  <c r="AX916" i="4"/>
  <c r="AY915" i="4"/>
  <c r="AX915" i="4"/>
  <c r="AY914" i="4"/>
  <c r="AX914" i="4"/>
  <c r="AY913" i="4"/>
  <c r="AX913" i="4"/>
  <c r="AY912" i="4"/>
  <c r="AX912" i="4"/>
  <c r="AY911" i="4"/>
  <c r="AX911" i="4"/>
  <c r="AY910" i="4"/>
  <c r="AX910" i="4"/>
  <c r="AY909" i="4"/>
  <c r="AX909" i="4"/>
  <c r="AY908" i="4"/>
  <c r="AX908" i="4"/>
  <c r="AY907" i="4"/>
  <c r="AX907" i="4"/>
  <c r="AY906" i="4"/>
  <c r="AX906" i="4"/>
  <c r="AY905" i="4"/>
  <c r="AX905" i="4"/>
  <c r="AY904" i="4"/>
  <c r="AX904" i="4"/>
  <c r="AY903" i="4"/>
  <c r="AX903" i="4"/>
  <c r="AY902" i="4"/>
  <c r="AX902" i="4"/>
  <c r="AY901" i="4"/>
  <c r="AX901" i="4"/>
  <c r="AY900" i="4"/>
  <c r="AX900" i="4"/>
  <c r="AY899" i="4"/>
  <c r="AX899" i="4"/>
  <c r="AY898" i="4"/>
  <c r="AX898" i="4"/>
  <c r="AY897" i="4"/>
  <c r="AX897" i="4"/>
  <c r="AY896" i="4"/>
  <c r="AX896" i="4"/>
  <c r="AY895" i="4"/>
  <c r="AX895" i="4"/>
  <c r="AY894" i="4"/>
  <c r="AX894" i="4"/>
  <c r="AY893" i="4"/>
  <c r="AX893" i="4"/>
  <c r="AY892" i="4"/>
  <c r="AX892" i="4"/>
  <c r="AY891" i="4"/>
  <c r="AX891" i="4"/>
  <c r="AY890" i="4"/>
  <c r="AX890" i="4"/>
  <c r="AY889" i="4"/>
  <c r="AX889" i="4"/>
  <c r="AY888" i="4"/>
  <c r="AX888" i="4"/>
  <c r="AY887" i="4"/>
  <c r="AX887" i="4"/>
  <c r="AY886" i="4"/>
  <c r="AX886" i="4"/>
  <c r="AY885" i="4"/>
  <c r="AX885" i="4"/>
  <c r="AY884" i="4"/>
  <c r="AX884" i="4"/>
  <c r="AY883" i="4"/>
  <c r="AX883" i="4"/>
  <c r="AY882" i="4"/>
  <c r="AX882" i="4"/>
  <c r="AY881" i="4"/>
  <c r="AX881" i="4"/>
  <c r="AY880" i="4"/>
  <c r="AX880" i="4"/>
  <c r="AY879" i="4"/>
  <c r="AX879" i="4"/>
  <c r="AY878" i="4"/>
  <c r="AX878" i="4"/>
  <c r="AY877" i="4"/>
  <c r="AX877" i="4"/>
  <c r="AY876" i="4"/>
  <c r="AX876" i="4"/>
  <c r="AY875" i="4"/>
  <c r="AX875" i="4"/>
  <c r="AY874" i="4"/>
  <c r="AX874" i="4"/>
  <c r="AY873" i="4"/>
  <c r="AX873" i="4"/>
  <c r="AY872" i="4"/>
  <c r="AX872" i="4"/>
  <c r="AY871" i="4"/>
  <c r="AX871" i="4"/>
  <c r="AY870" i="4"/>
  <c r="AX870" i="4"/>
  <c r="AY869" i="4"/>
  <c r="AX869" i="4"/>
  <c r="AY868" i="4"/>
  <c r="AX868" i="4"/>
  <c r="AY867" i="4"/>
  <c r="AX867" i="4"/>
  <c r="AY866" i="4"/>
  <c r="AX866" i="4"/>
  <c r="AY865" i="4"/>
  <c r="AX865" i="4"/>
  <c r="AY864" i="4"/>
  <c r="AX864" i="4"/>
  <c r="AY863" i="4"/>
  <c r="AX863" i="4"/>
  <c r="AY862" i="4"/>
  <c r="AX862" i="4"/>
  <c r="AY861" i="4"/>
  <c r="AX861" i="4"/>
  <c r="AY860" i="4"/>
  <c r="AX860" i="4"/>
  <c r="AY859" i="4"/>
  <c r="AX859" i="4"/>
  <c r="AY858" i="4"/>
  <c r="AX858" i="4"/>
  <c r="AY857" i="4"/>
  <c r="AX857" i="4"/>
  <c r="AY856" i="4"/>
  <c r="AX856" i="4"/>
  <c r="AY855" i="4"/>
  <c r="AX855" i="4"/>
  <c r="AY854" i="4"/>
  <c r="AX854" i="4"/>
  <c r="AY853" i="4"/>
  <c r="AX853" i="4"/>
  <c r="AY852" i="4"/>
  <c r="AX852" i="4"/>
  <c r="AY851" i="4"/>
  <c r="AX851" i="4"/>
  <c r="AY850" i="4"/>
  <c r="AX850" i="4"/>
  <c r="AY849" i="4"/>
  <c r="AX849" i="4"/>
  <c r="AY848" i="4"/>
  <c r="AX848" i="4"/>
  <c r="AY847" i="4"/>
  <c r="AX847" i="4"/>
  <c r="AY846" i="4"/>
  <c r="AX846" i="4"/>
  <c r="AY845" i="4"/>
  <c r="AX845" i="4"/>
  <c r="AY844" i="4"/>
  <c r="AX844" i="4"/>
  <c r="AY843" i="4"/>
  <c r="AX843" i="4"/>
  <c r="AY842" i="4"/>
  <c r="AX842" i="4"/>
  <c r="AY841" i="4"/>
  <c r="AX841" i="4"/>
  <c r="AY840" i="4"/>
  <c r="AX840" i="4"/>
  <c r="AY839" i="4"/>
  <c r="AX839" i="4"/>
  <c r="AY838" i="4"/>
  <c r="AX838" i="4"/>
  <c r="AY837" i="4"/>
  <c r="AX837" i="4"/>
  <c r="AY836" i="4"/>
  <c r="AX836" i="4"/>
  <c r="AY835" i="4"/>
  <c r="AX835" i="4"/>
  <c r="AY834" i="4"/>
  <c r="AX834" i="4"/>
  <c r="AY833" i="4"/>
  <c r="AX833" i="4"/>
  <c r="AY832" i="4"/>
  <c r="AX832" i="4"/>
  <c r="AY831" i="4"/>
  <c r="AX831" i="4"/>
  <c r="AY830" i="4"/>
  <c r="AX830" i="4"/>
  <c r="AY829" i="4"/>
  <c r="AX829" i="4"/>
  <c r="AY828" i="4"/>
  <c r="AX828" i="4"/>
  <c r="AY827" i="4"/>
  <c r="AX827" i="4"/>
  <c r="AY826" i="4"/>
  <c r="AX826" i="4"/>
  <c r="AY825" i="4"/>
  <c r="AX825" i="4"/>
  <c r="AY824" i="4"/>
  <c r="AX824" i="4"/>
  <c r="AY823" i="4"/>
  <c r="AX823" i="4"/>
  <c r="AY822" i="4"/>
  <c r="AX822" i="4"/>
  <c r="AY821" i="4"/>
  <c r="AX821" i="4"/>
  <c r="AY820" i="4"/>
  <c r="AX820" i="4"/>
  <c r="AY819" i="4"/>
  <c r="AX819" i="4"/>
  <c r="AY818" i="4"/>
  <c r="AX818" i="4"/>
  <c r="AY817" i="4"/>
  <c r="AX817" i="4"/>
  <c r="AY816" i="4"/>
  <c r="AX816" i="4"/>
  <c r="AY815" i="4"/>
  <c r="AX815" i="4"/>
  <c r="AY814" i="4"/>
  <c r="AX814" i="4"/>
  <c r="AY813" i="4"/>
  <c r="AX813" i="4"/>
  <c r="AY812" i="4"/>
  <c r="AX812" i="4"/>
  <c r="AY811" i="4"/>
  <c r="AX811" i="4"/>
  <c r="AY810" i="4"/>
  <c r="AX810" i="4"/>
  <c r="AY809" i="4"/>
  <c r="AX809" i="4"/>
  <c r="AY808" i="4"/>
  <c r="AX808" i="4"/>
  <c r="AY807" i="4"/>
  <c r="AX807" i="4"/>
  <c r="AY806" i="4"/>
  <c r="AX806" i="4"/>
  <c r="AY805" i="4"/>
  <c r="AX805" i="4"/>
  <c r="AY804" i="4"/>
  <c r="AX804" i="4"/>
  <c r="AY803" i="4"/>
  <c r="AX803" i="4"/>
  <c r="AY802" i="4"/>
  <c r="AX802" i="4"/>
  <c r="AY801" i="4"/>
  <c r="AX801" i="4"/>
  <c r="AY800" i="4"/>
  <c r="AX800" i="4"/>
  <c r="AY799" i="4"/>
  <c r="AX799" i="4"/>
  <c r="AY798" i="4"/>
  <c r="AX798" i="4"/>
  <c r="AY797" i="4"/>
  <c r="AX797" i="4"/>
  <c r="AY796" i="4"/>
  <c r="AX796" i="4"/>
  <c r="AY795" i="4"/>
  <c r="AX795" i="4"/>
  <c r="AY794" i="4"/>
  <c r="AX794" i="4"/>
  <c r="AY793" i="4"/>
  <c r="AX793" i="4"/>
  <c r="AY792" i="4"/>
  <c r="AX792" i="4"/>
  <c r="AY791" i="4"/>
  <c r="AX791" i="4"/>
  <c r="AY790" i="4"/>
  <c r="AX790" i="4"/>
  <c r="AY789" i="4"/>
  <c r="AX789" i="4"/>
  <c r="AY788" i="4"/>
  <c r="AX788" i="4"/>
  <c r="AY787" i="4"/>
  <c r="AX787" i="4"/>
  <c r="AY786" i="4"/>
  <c r="AX786" i="4"/>
  <c r="AY785" i="4"/>
  <c r="AX785" i="4"/>
  <c r="AY784" i="4"/>
  <c r="AX784" i="4"/>
  <c r="AY783" i="4"/>
  <c r="AX783" i="4"/>
  <c r="AY782" i="4"/>
  <c r="AX782" i="4"/>
  <c r="AY781" i="4"/>
  <c r="AX781" i="4"/>
  <c r="AY780" i="4"/>
  <c r="AX780" i="4"/>
  <c r="AY779" i="4"/>
  <c r="AX779" i="4"/>
  <c r="AY778" i="4"/>
  <c r="AX778" i="4"/>
  <c r="AY777" i="4"/>
  <c r="AX777" i="4"/>
  <c r="AY776" i="4"/>
  <c r="AX776" i="4"/>
  <c r="AY775" i="4"/>
  <c r="AX775" i="4"/>
  <c r="AY774" i="4"/>
  <c r="AX774" i="4"/>
  <c r="AY773" i="4"/>
  <c r="AX773" i="4"/>
  <c r="AY772" i="4"/>
  <c r="AX772" i="4"/>
  <c r="AY771" i="4"/>
  <c r="AX771" i="4"/>
  <c r="AY770" i="4"/>
  <c r="AX770" i="4"/>
  <c r="AY769" i="4"/>
  <c r="AX769" i="4"/>
  <c r="AY768" i="4"/>
  <c r="AX768" i="4"/>
  <c r="AY767" i="4"/>
  <c r="AX767" i="4"/>
  <c r="AY766" i="4"/>
  <c r="AX766" i="4"/>
  <c r="AY765" i="4"/>
  <c r="AX765" i="4"/>
  <c r="AY764" i="4"/>
  <c r="AX764" i="4"/>
  <c r="AY763" i="4"/>
  <c r="AX763" i="4"/>
  <c r="AY762" i="4"/>
  <c r="AX762" i="4"/>
  <c r="AY761" i="4"/>
  <c r="AX761" i="4"/>
  <c r="AY760" i="4"/>
  <c r="AX760" i="4"/>
  <c r="AY759" i="4"/>
  <c r="AX759" i="4"/>
  <c r="AY758" i="4"/>
  <c r="AX758" i="4"/>
  <c r="AY757" i="4"/>
  <c r="AX757" i="4"/>
  <c r="AY756" i="4"/>
  <c r="AX756" i="4"/>
  <c r="AY755" i="4"/>
  <c r="AX755" i="4"/>
  <c r="AY754" i="4"/>
  <c r="AX754" i="4"/>
  <c r="AY753" i="4"/>
  <c r="AX753" i="4"/>
  <c r="AY752" i="4"/>
  <c r="AX752" i="4"/>
  <c r="AY751" i="4"/>
  <c r="AX751" i="4"/>
  <c r="AY750" i="4"/>
  <c r="AX750" i="4"/>
  <c r="AY749" i="4"/>
  <c r="AX749" i="4"/>
  <c r="AY748" i="4"/>
  <c r="AX748" i="4"/>
  <c r="AY747" i="4"/>
  <c r="AX747" i="4"/>
  <c r="AY746" i="4"/>
  <c r="AX746" i="4"/>
  <c r="AY745" i="4"/>
  <c r="AX745" i="4"/>
  <c r="AY744" i="4"/>
  <c r="AX744" i="4"/>
  <c r="AY743" i="4"/>
  <c r="AX743" i="4"/>
  <c r="AY742" i="4"/>
  <c r="AX742" i="4"/>
  <c r="AY741" i="4"/>
  <c r="AX741" i="4"/>
  <c r="AY740" i="4"/>
  <c r="AX740" i="4"/>
  <c r="AY739" i="4"/>
  <c r="AX739" i="4"/>
  <c r="AY738" i="4"/>
  <c r="AX738" i="4"/>
  <c r="AY737" i="4"/>
  <c r="AX737" i="4"/>
  <c r="AY736" i="4"/>
  <c r="AX736" i="4"/>
  <c r="AY735" i="4"/>
  <c r="AX735" i="4"/>
  <c r="AY734" i="4"/>
  <c r="AX734" i="4"/>
  <c r="AY733" i="4"/>
  <c r="AX733" i="4"/>
  <c r="AY732" i="4"/>
  <c r="AX732" i="4"/>
  <c r="AY731" i="4"/>
  <c r="AX731" i="4"/>
  <c r="AY730" i="4"/>
  <c r="AX730" i="4"/>
  <c r="AY729" i="4"/>
  <c r="AX729" i="4"/>
  <c r="AY728" i="4"/>
  <c r="AX728" i="4"/>
  <c r="AY727" i="4"/>
  <c r="AX727" i="4"/>
  <c r="AY726" i="4"/>
  <c r="AX726" i="4"/>
  <c r="AY725" i="4"/>
  <c r="AX725" i="4"/>
  <c r="AY724" i="4"/>
  <c r="AX724" i="4"/>
  <c r="AY723" i="4"/>
  <c r="AX723" i="4"/>
  <c r="AY722" i="4"/>
  <c r="AX722" i="4"/>
  <c r="AY721" i="4"/>
  <c r="AX721" i="4"/>
  <c r="AY720" i="4"/>
  <c r="AX720" i="4"/>
  <c r="AY719" i="4"/>
  <c r="AX719" i="4"/>
  <c r="AY718" i="4"/>
  <c r="AX718" i="4"/>
  <c r="AY717" i="4"/>
  <c r="AX717" i="4"/>
  <c r="AY716" i="4"/>
  <c r="AX716" i="4"/>
  <c r="AY715" i="4"/>
  <c r="AX715" i="4"/>
  <c r="AY714" i="4"/>
  <c r="AX714" i="4"/>
  <c r="AY713" i="4"/>
  <c r="AX713" i="4"/>
  <c r="AY712" i="4"/>
  <c r="AX712" i="4"/>
  <c r="AY711" i="4"/>
  <c r="AX711" i="4"/>
  <c r="AY710" i="4"/>
  <c r="AX710" i="4"/>
  <c r="AY709" i="4"/>
  <c r="AX709" i="4"/>
  <c r="AY708" i="4"/>
  <c r="AX708" i="4"/>
  <c r="AY707" i="4"/>
  <c r="AX707" i="4"/>
  <c r="AY706" i="4"/>
  <c r="AX706" i="4"/>
  <c r="AY705" i="4"/>
  <c r="AX705" i="4"/>
  <c r="AY704" i="4"/>
  <c r="AX704" i="4"/>
  <c r="AY703" i="4"/>
  <c r="AX703" i="4"/>
  <c r="AY702" i="4"/>
  <c r="AX702" i="4"/>
  <c r="AY701" i="4"/>
  <c r="AX701" i="4"/>
  <c r="AY700" i="4"/>
  <c r="AX700" i="4"/>
  <c r="AY699" i="4"/>
  <c r="AX699" i="4"/>
  <c r="AY698" i="4"/>
  <c r="AX698" i="4"/>
  <c r="AY697" i="4"/>
  <c r="AX697" i="4"/>
  <c r="AY696" i="4"/>
  <c r="AX696" i="4"/>
  <c r="AY695" i="4"/>
  <c r="AX695" i="4"/>
  <c r="AY694" i="4"/>
  <c r="AX694" i="4"/>
  <c r="AY693" i="4"/>
  <c r="AX693" i="4"/>
  <c r="AY692" i="4"/>
  <c r="AX692" i="4"/>
  <c r="AY691" i="4"/>
  <c r="AX691" i="4"/>
  <c r="AY690" i="4"/>
  <c r="AX690" i="4"/>
  <c r="AY689" i="4"/>
  <c r="AX689" i="4"/>
  <c r="AY688" i="4"/>
  <c r="AX688" i="4"/>
  <c r="AY687" i="4"/>
  <c r="AX687" i="4"/>
  <c r="AY686" i="4"/>
  <c r="AX686" i="4"/>
  <c r="AY685" i="4"/>
  <c r="AX685" i="4"/>
  <c r="AY684" i="4"/>
  <c r="AX684" i="4"/>
  <c r="AY683" i="4"/>
  <c r="AX683" i="4"/>
  <c r="AY682" i="4"/>
  <c r="AX682" i="4"/>
  <c r="AY681" i="4"/>
  <c r="AX681" i="4"/>
  <c r="AY680" i="4"/>
  <c r="AX680" i="4"/>
  <c r="AY679" i="4"/>
  <c r="AX679" i="4"/>
  <c r="AY678" i="4"/>
  <c r="AX678" i="4"/>
  <c r="AY677" i="4"/>
  <c r="AX677" i="4"/>
  <c r="AY676" i="4"/>
  <c r="AX676" i="4"/>
  <c r="AY675" i="4"/>
  <c r="AX675" i="4"/>
  <c r="AY674" i="4"/>
  <c r="AX674" i="4"/>
  <c r="AY673" i="4"/>
  <c r="AX673" i="4"/>
  <c r="AY672" i="4"/>
  <c r="AX672" i="4"/>
  <c r="AY671" i="4"/>
  <c r="AX671" i="4"/>
  <c r="AY670" i="4"/>
  <c r="AX670" i="4"/>
  <c r="AY669" i="4"/>
  <c r="AX669" i="4"/>
  <c r="AY668" i="4"/>
  <c r="AX668" i="4"/>
  <c r="AY667" i="4"/>
  <c r="AX667" i="4"/>
  <c r="AY666" i="4"/>
  <c r="AX666" i="4"/>
  <c r="AY665" i="4"/>
  <c r="AX665" i="4"/>
  <c r="AY664" i="4"/>
  <c r="AX664" i="4"/>
  <c r="AY663" i="4"/>
  <c r="AX663" i="4"/>
  <c r="AY662" i="4"/>
  <c r="AX662" i="4"/>
  <c r="AY661" i="4"/>
  <c r="AX661" i="4"/>
  <c r="AY660" i="4"/>
  <c r="AX660" i="4"/>
  <c r="AY659" i="4"/>
  <c r="AX659" i="4"/>
  <c r="AY658" i="4"/>
  <c r="AX658" i="4"/>
  <c r="AY657" i="4"/>
  <c r="AX657" i="4"/>
  <c r="AY656" i="4"/>
  <c r="AX656" i="4"/>
  <c r="AY655" i="4"/>
  <c r="AX655" i="4"/>
  <c r="AY654" i="4"/>
  <c r="AX654" i="4"/>
  <c r="AY653" i="4"/>
  <c r="AX653" i="4"/>
  <c r="AY652" i="4"/>
  <c r="AX652" i="4"/>
  <c r="AY651" i="4"/>
  <c r="AX651" i="4"/>
  <c r="AY650" i="4"/>
  <c r="AX650" i="4"/>
  <c r="AY649" i="4"/>
  <c r="AX649" i="4"/>
  <c r="AY648" i="4"/>
  <c r="AX648" i="4"/>
  <c r="AY647" i="4"/>
  <c r="AX647" i="4"/>
  <c r="AY646" i="4"/>
  <c r="AX646" i="4"/>
  <c r="AY645" i="4"/>
  <c r="AX645" i="4"/>
  <c r="AY644" i="4"/>
  <c r="AX644" i="4"/>
  <c r="AY643" i="4"/>
  <c r="AX643" i="4"/>
  <c r="AY642" i="4"/>
  <c r="AX642" i="4"/>
  <c r="AY641" i="4"/>
  <c r="AX641" i="4"/>
  <c r="AY640" i="4"/>
  <c r="AX640" i="4"/>
  <c r="AY639" i="4"/>
  <c r="AX639" i="4"/>
  <c r="AY638" i="4"/>
  <c r="AX638" i="4"/>
  <c r="AY637" i="4"/>
  <c r="AX637" i="4"/>
  <c r="AY636" i="4"/>
  <c r="AX636" i="4"/>
  <c r="AY635" i="4"/>
  <c r="AX635" i="4"/>
  <c r="AY634" i="4"/>
  <c r="AX634" i="4"/>
  <c r="AY633" i="4"/>
  <c r="AX633" i="4"/>
  <c r="AY632" i="4"/>
  <c r="AX632" i="4"/>
  <c r="AY631" i="4"/>
  <c r="AX631" i="4"/>
  <c r="AY630" i="4"/>
  <c r="AX630" i="4"/>
  <c r="AY629" i="4"/>
  <c r="AX629" i="4"/>
  <c r="AY628" i="4"/>
  <c r="AX628" i="4"/>
  <c r="AY627" i="4"/>
  <c r="AX627" i="4"/>
  <c r="AY626" i="4"/>
  <c r="AX626" i="4"/>
  <c r="AY625" i="4"/>
  <c r="AX625" i="4"/>
  <c r="AY624" i="4"/>
  <c r="AX624" i="4"/>
  <c r="AY623" i="4"/>
  <c r="AX623" i="4"/>
  <c r="AY622" i="4"/>
  <c r="AX622" i="4"/>
  <c r="AY621" i="4"/>
  <c r="AX621" i="4"/>
  <c r="AY620" i="4"/>
  <c r="AX620" i="4"/>
  <c r="AY619" i="4"/>
  <c r="AX619" i="4"/>
  <c r="AY618" i="4"/>
  <c r="AX618" i="4"/>
  <c r="AY617" i="4"/>
  <c r="AX617" i="4"/>
  <c r="AY616" i="4"/>
  <c r="AX616" i="4"/>
  <c r="AY615" i="4"/>
  <c r="AX615" i="4"/>
  <c r="AY614" i="4"/>
  <c r="AX614" i="4"/>
  <c r="AY613" i="4"/>
  <c r="AX613" i="4"/>
  <c r="AY612" i="4"/>
  <c r="AX612" i="4"/>
  <c r="AY611" i="4"/>
  <c r="AX611" i="4"/>
  <c r="AY610" i="4"/>
  <c r="AX610" i="4"/>
  <c r="AY609" i="4"/>
  <c r="AX609" i="4"/>
  <c r="AY608" i="4"/>
  <c r="AX608" i="4"/>
  <c r="AY607" i="4"/>
  <c r="AX607" i="4"/>
  <c r="AY606" i="4"/>
  <c r="AX606" i="4"/>
  <c r="AY605" i="4"/>
  <c r="AX605" i="4"/>
  <c r="AY604" i="4"/>
  <c r="AX604" i="4"/>
  <c r="AY603" i="4"/>
  <c r="AX603" i="4"/>
  <c r="AY602" i="4"/>
  <c r="AX602" i="4"/>
  <c r="AY601" i="4"/>
  <c r="AX601" i="4"/>
  <c r="AY600" i="4"/>
  <c r="AX600" i="4"/>
  <c r="AY599" i="4"/>
  <c r="AX599" i="4"/>
  <c r="AY598" i="4"/>
  <c r="AX598" i="4"/>
  <c r="AY597" i="4"/>
  <c r="AX597" i="4"/>
  <c r="AY596" i="4"/>
  <c r="AX596" i="4"/>
  <c r="AY595" i="4"/>
  <c r="AX595" i="4"/>
  <c r="AY594" i="4"/>
  <c r="AX594" i="4"/>
  <c r="AY593" i="4"/>
  <c r="AX593" i="4"/>
  <c r="AY592" i="4"/>
  <c r="AX592" i="4"/>
  <c r="AY591" i="4"/>
  <c r="AX591" i="4"/>
  <c r="AY590" i="4"/>
  <c r="AX590" i="4"/>
  <c r="AY589" i="4"/>
  <c r="AX589" i="4"/>
  <c r="AY588" i="4"/>
  <c r="AX588" i="4"/>
  <c r="AY587" i="4"/>
  <c r="AX587" i="4"/>
  <c r="AY586" i="4"/>
  <c r="AX586" i="4"/>
  <c r="AY585" i="4"/>
  <c r="AX585" i="4"/>
  <c r="AY584" i="4"/>
  <c r="AX584" i="4"/>
  <c r="AY583" i="4"/>
  <c r="AX583" i="4"/>
  <c r="AY582" i="4"/>
  <c r="AX582" i="4"/>
  <c r="AY581" i="4"/>
  <c r="AX581" i="4"/>
  <c r="AY580" i="4"/>
  <c r="AX580" i="4"/>
  <c r="AY579" i="4"/>
  <c r="AX579" i="4"/>
  <c r="AY578" i="4"/>
  <c r="AX578" i="4"/>
  <c r="AY577" i="4"/>
  <c r="AX577" i="4"/>
  <c r="AY576" i="4"/>
  <c r="AX576" i="4"/>
  <c r="AY575" i="4"/>
  <c r="AX575" i="4"/>
  <c r="AY574" i="4"/>
  <c r="AX574" i="4"/>
  <c r="AY573" i="4"/>
  <c r="AX573" i="4"/>
  <c r="AY572" i="4"/>
  <c r="AX572" i="4"/>
  <c r="AY571" i="4"/>
  <c r="AX571" i="4"/>
  <c r="AY570" i="4"/>
  <c r="AX570" i="4"/>
  <c r="AY569" i="4"/>
  <c r="AX569" i="4"/>
  <c r="AY568" i="4"/>
  <c r="AX568" i="4"/>
  <c r="AY567" i="4"/>
  <c r="AX567" i="4"/>
  <c r="AY566" i="4"/>
  <c r="AX566" i="4"/>
  <c r="AY565" i="4"/>
  <c r="AX565" i="4"/>
  <c r="AY564" i="4"/>
  <c r="AX564" i="4"/>
  <c r="AY563" i="4"/>
  <c r="AX563" i="4"/>
  <c r="AY562" i="4"/>
  <c r="AX562" i="4"/>
  <c r="AY561" i="4"/>
  <c r="AX561" i="4"/>
  <c r="AY560" i="4"/>
  <c r="AX560" i="4"/>
  <c r="AY559" i="4"/>
  <c r="AX559" i="4"/>
  <c r="AY558" i="4"/>
  <c r="AX558" i="4"/>
  <c r="AY557" i="4"/>
  <c r="AX557" i="4"/>
  <c r="AY556" i="4"/>
  <c r="AX556" i="4"/>
  <c r="AY555" i="4"/>
  <c r="AX555" i="4"/>
  <c r="AY554" i="4"/>
  <c r="AX554" i="4"/>
  <c r="AY553" i="4"/>
  <c r="AX553" i="4"/>
  <c r="AY552" i="4"/>
  <c r="AX552" i="4"/>
  <c r="AY551" i="4"/>
  <c r="AX551" i="4"/>
  <c r="AY550" i="4"/>
  <c r="AX550" i="4"/>
  <c r="AY549" i="4"/>
  <c r="AX549" i="4"/>
  <c r="AY548" i="4"/>
  <c r="AX548" i="4"/>
  <c r="AY547" i="4"/>
  <c r="AX547" i="4"/>
  <c r="AY546" i="4"/>
  <c r="AX546" i="4"/>
  <c r="AY545" i="4"/>
  <c r="AX545" i="4"/>
  <c r="AY544" i="4"/>
  <c r="AX544" i="4"/>
  <c r="AY543" i="4"/>
  <c r="AX543" i="4"/>
  <c r="AY542" i="4"/>
  <c r="AX542" i="4"/>
  <c r="AY541" i="4"/>
  <c r="AX541" i="4"/>
  <c r="AY540" i="4"/>
  <c r="AX540" i="4"/>
  <c r="AY539" i="4"/>
  <c r="AX539" i="4"/>
  <c r="AY538" i="4"/>
  <c r="AX538" i="4"/>
  <c r="AY537" i="4"/>
  <c r="AX537" i="4"/>
  <c r="AY536" i="4"/>
  <c r="AX536" i="4"/>
  <c r="AY535" i="4"/>
  <c r="AX535" i="4"/>
  <c r="AY534" i="4"/>
  <c r="AX534" i="4"/>
  <c r="AY533" i="4"/>
  <c r="AX533" i="4"/>
  <c r="AY532" i="4"/>
  <c r="AX532" i="4"/>
  <c r="AY531" i="4"/>
  <c r="AX531" i="4"/>
  <c r="AY530" i="4"/>
  <c r="AX530" i="4"/>
  <c r="AY529" i="4"/>
  <c r="AX529" i="4"/>
  <c r="AY528" i="4"/>
  <c r="AX528" i="4"/>
  <c r="AY527" i="4"/>
  <c r="AX527" i="4"/>
  <c r="AY526" i="4"/>
  <c r="AX526" i="4"/>
  <c r="AY525" i="4"/>
  <c r="AX525" i="4"/>
  <c r="AY524" i="4"/>
  <c r="AX524" i="4"/>
  <c r="AY523" i="4"/>
  <c r="AX523" i="4"/>
  <c r="AY522" i="4"/>
  <c r="AX522" i="4"/>
  <c r="AY521" i="4"/>
  <c r="AX521" i="4"/>
  <c r="AY520" i="4"/>
  <c r="AX520" i="4"/>
  <c r="AY519" i="4"/>
  <c r="AX519" i="4"/>
  <c r="AY518" i="4"/>
  <c r="AX518" i="4"/>
  <c r="AY517" i="4"/>
  <c r="AX517" i="4"/>
  <c r="AY516" i="4"/>
  <c r="AX516" i="4"/>
  <c r="AY515" i="4"/>
  <c r="AX515" i="4"/>
  <c r="AY514" i="4"/>
  <c r="AX514" i="4"/>
  <c r="AY513" i="4"/>
  <c r="AX513" i="4"/>
  <c r="AY512" i="4"/>
  <c r="AX512" i="4"/>
  <c r="AY511" i="4"/>
  <c r="AX511" i="4"/>
  <c r="AY510" i="4"/>
  <c r="AX510" i="4"/>
  <c r="AY509" i="4"/>
  <c r="AX509" i="4"/>
  <c r="AY508" i="4"/>
  <c r="AX508" i="4"/>
  <c r="AY507" i="4"/>
  <c r="AX507" i="4"/>
  <c r="AY506" i="4"/>
  <c r="AX506" i="4"/>
  <c r="AY505" i="4"/>
  <c r="AX505" i="4"/>
  <c r="AY504" i="4"/>
  <c r="AX504" i="4"/>
  <c r="AY503" i="4"/>
  <c r="AX503" i="4"/>
  <c r="AY502" i="4"/>
  <c r="AX502" i="4"/>
  <c r="AY501" i="4"/>
  <c r="AX501" i="4"/>
  <c r="AY500" i="4"/>
  <c r="AX500" i="4"/>
  <c r="AY499" i="4"/>
  <c r="AX499" i="4"/>
  <c r="AY498" i="4"/>
  <c r="AX498" i="4"/>
  <c r="AY497" i="4"/>
  <c r="AX497" i="4"/>
  <c r="AY496" i="4"/>
  <c r="AX496" i="4"/>
  <c r="AY495" i="4"/>
  <c r="AX495" i="4"/>
  <c r="AY494" i="4"/>
  <c r="AX494" i="4"/>
  <c r="AY493" i="4"/>
  <c r="AX493" i="4"/>
  <c r="AY492" i="4"/>
  <c r="AX492" i="4"/>
  <c r="AY491" i="4"/>
  <c r="AX491" i="4"/>
  <c r="AY490" i="4"/>
  <c r="AX490" i="4"/>
  <c r="AY489" i="4"/>
  <c r="AX489" i="4"/>
  <c r="AY488" i="4"/>
  <c r="AX488" i="4"/>
  <c r="AY487" i="4"/>
  <c r="AX487" i="4"/>
  <c r="AY486" i="4"/>
  <c r="AX486" i="4"/>
  <c r="AY485" i="4"/>
  <c r="AX485" i="4"/>
  <c r="AY484" i="4"/>
  <c r="AX484" i="4"/>
  <c r="AY483" i="4"/>
  <c r="AX483" i="4"/>
  <c r="AY482" i="4"/>
  <c r="AX482" i="4"/>
  <c r="AY481" i="4"/>
  <c r="AX481" i="4"/>
  <c r="AY480" i="4"/>
  <c r="AX480" i="4"/>
  <c r="AY479" i="4"/>
  <c r="AX479" i="4"/>
  <c r="AY478" i="4"/>
  <c r="AX478" i="4"/>
  <c r="AY477" i="4"/>
  <c r="AX477" i="4"/>
  <c r="AY476" i="4"/>
  <c r="AX476" i="4"/>
  <c r="AY475" i="4"/>
  <c r="AX475" i="4"/>
  <c r="AY474" i="4"/>
  <c r="AX474" i="4"/>
  <c r="AY473" i="4"/>
  <c r="AX473" i="4"/>
  <c r="AY472" i="4"/>
  <c r="AX472" i="4"/>
  <c r="AY471" i="4"/>
  <c r="AX471" i="4"/>
  <c r="AY470" i="4"/>
  <c r="AX470" i="4"/>
  <c r="AY469" i="4"/>
  <c r="AX469" i="4"/>
  <c r="AY468" i="4"/>
  <c r="AX468" i="4"/>
  <c r="AY467" i="4"/>
  <c r="AX467" i="4"/>
  <c r="AY466" i="4"/>
  <c r="AX466" i="4"/>
  <c r="AY465" i="4"/>
  <c r="AX465" i="4"/>
  <c r="AY464" i="4"/>
  <c r="AX464" i="4"/>
  <c r="AY463" i="4"/>
  <c r="AX463" i="4"/>
  <c r="AY462" i="4"/>
  <c r="AX462" i="4"/>
  <c r="AY461" i="4"/>
  <c r="AX461" i="4"/>
  <c r="AY460" i="4"/>
  <c r="AX460" i="4"/>
  <c r="AY459" i="4"/>
  <c r="AX459" i="4"/>
  <c r="AY458" i="4"/>
  <c r="AX458" i="4"/>
  <c r="AY457" i="4"/>
  <c r="AX457" i="4"/>
  <c r="AY456" i="4"/>
  <c r="AX456" i="4"/>
  <c r="AY455" i="4"/>
  <c r="AX455" i="4"/>
  <c r="AY454" i="4"/>
  <c r="AX454" i="4"/>
  <c r="AY453" i="4"/>
  <c r="AX453" i="4"/>
  <c r="AY452" i="4"/>
  <c r="AX452" i="4"/>
  <c r="AY451" i="4"/>
  <c r="AX451" i="4"/>
  <c r="AY450" i="4"/>
  <c r="AX450" i="4"/>
  <c r="AY449" i="4"/>
  <c r="AX449" i="4"/>
  <c r="AY448" i="4"/>
  <c r="AX448" i="4"/>
  <c r="AY447" i="4"/>
  <c r="AX447" i="4"/>
  <c r="AY446" i="4"/>
  <c r="AX446" i="4"/>
  <c r="AY445" i="4"/>
  <c r="AX445" i="4"/>
  <c r="AY444" i="4"/>
  <c r="AX444" i="4"/>
  <c r="AY443" i="4"/>
  <c r="AX443" i="4"/>
  <c r="AY442" i="4"/>
  <c r="AX442" i="4"/>
  <c r="AY441" i="4"/>
  <c r="AX441" i="4"/>
  <c r="AY440" i="4"/>
  <c r="AX440" i="4"/>
  <c r="AY439" i="4"/>
  <c r="AX439" i="4"/>
  <c r="AY438" i="4"/>
  <c r="AX438" i="4"/>
  <c r="AY437" i="4"/>
  <c r="AX437" i="4"/>
  <c r="AY436" i="4"/>
  <c r="AX436" i="4"/>
  <c r="AY435" i="4"/>
  <c r="AX435" i="4"/>
  <c r="AY434" i="4"/>
  <c r="AX434" i="4"/>
  <c r="AY433" i="4"/>
  <c r="AX433" i="4"/>
  <c r="AY432" i="4"/>
  <c r="AX432" i="4"/>
  <c r="AY431" i="4"/>
  <c r="AX431" i="4"/>
  <c r="AY430" i="4"/>
  <c r="AX430" i="4"/>
  <c r="AY429" i="4"/>
  <c r="AX429" i="4"/>
  <c r="AY428" i="4"/>
  <c r="AX428" i="4"/>
  <c r="AY427" i="4"/>
  <c r="AX427" i="4"/>
  <c r="AY426" i="4"/>
  <c r="AX426" i="4"/>
  <c r="AY425" i="4"/>
  <c r="AX425" i="4"/>
  <c r="AY424" i="4"/>
  <c r="AX424" i="4"/>
  <c r="AY423" i="4"/>
  <c r="AX423" i="4"/>
  <c r="AY422" i="4"/>
  <c r="AX422" i="4"/>
  <c r="AY421" i="4"/>
  <c r="AX421" i="4"/>
  <c r="AY420" i="4"/>
  <c r="AX420" i="4"/>
  <c r="AY419" i="4"/>
  <c r="AX419" i="4"/>
  <c r="AY418" i="4"/>
  <c r="AX418" i="4"/>
  <c r="AY417" i="4"/>
  <c r="AX417" i="4"/>
  <c r="AY416" i="4"/>
  <c r="AX416" i="4"/>
  <c r="AY415" i="4"/>
  <c r="AX415" i="4"/>
  <c r="AY414" i="4"/>
  <c r="AX414" i="4"/>
  <c r="AY413" i="4"/>
  <c r="AX413" i="4"/>
  <c r="AY412" i="4"/>
  <c r="AX412" i="4"/>
  <c r="AY411" i="4"/>
  <c r="AX411" i="4"/>
  <c r="AY410" i="4"/>
  <c r="AX410" i="4"/>
  <c r="AY409" i="4"/>
  <c r="AX409" i="4"/>
  <c r="AY408" i="4"/>
  <c r="AX408" i="4"/>
  <c r="AY407" i="4"/>
  <c r="AX407" i="4"/>
  <c r="AY406" i="4"/>
  <c r="AX406" i="4"/>
  <c r="AY405" i="4"/>
  <c r="AX405" i="4"/>
  <c r="AY404" i="4"/>
  <c r="AX404" i="4"/>
  <c r="AY403" i="4"/>
  <c r="AX403" i="4"/>
  <c r="AY402" i="4"/>
  <c r="AX402" i="4"/>
  <c r="AY401" i="4"/>
  <c r="AX401" i="4"/>
  <c r="AY400" i="4"/>
  <c r="AX400" i="4"/>
  <c r="AY399" i="4"/>
  <c r="AX399" i="4"/>
  <c r="AY398" i="4"/>
  <c r="AX398" i="4"/>
  <c r="AY397" i="4"/>
  <c r="AX397" i="4"/>
  <c r="AY396" i="4"/>
  <c r="AX396" i="4"/>
  <c r="AY395" i="4"/>
  <c r="AX395" i="4"/>
  <c r="AY394" i="4"/>
  <c r="AX394" i="4"/>
  <c r="AY393" i="4"/>
  <c r="AX393" i="4"/>
  <c r="AY392" i="4"/>
  <c r="AX392" i="4"/>
  <c r="AY391" i="4"/>
  <c r="AX391" i="4"/>
  <c r="AY390" i="4"/>
  <c r="AX390" i="4"/>
  <c r="AY389" i="4"/>
  <c r="AX389" i="4"/>
  <c r="AY388" i="4"/>
  <c r="AX388" i="4"/>
  <c r="AY387" i="4"/>
  <c r="AX387" i="4"/>
  <c r="AY386" i="4"/>
  <c r="AX386" i="4"/>
  <c r="AY385" i="4"/>
  <c r="AX385" i="4"/>
  <c r="AY384" i="4"/>
  <c r="AX384" i="4"/>
  <c r="AY383" i="4"/>
  <c r="AX383" i="4"/>
  <c r="AY382" i="4"/>
  <c r="AX382" i="4"/>
  <c r="AY381" i="4"/>
  <c r="AX381" i="4"/>
  <c r="AY380" i="4"/>
  <c r="AX380" i="4"/>
  <c r="AY379" i="4"/>
  <c r="AX379" i="4"/>
  <c r="AY378" i="4"/>
  <c r="AX378" i="4"/>
  <c r="AY377" i="4"/>
  <c r="AX377" i="4"/>
  <c r="AY376" i="4"/>
  <c r="AX376" i="4"/>
  <c r="AY375" i="4"/>
  <c r="AX375" i="4"/>
  <c r="AY374" i="4"/>
  <c r="AX374" i="4"/>
  <c r="AY373" i="4"/>
  <c r="AX373" i="4"/>
  <c r="AY372" i="4"/>
  <c r="AX372" i="4"/>
  <c r="AY371" i="4"/>
  <c r="AX371" i="4"/>
  <c r="AY370" i="4"/>
  <c r="AX370" i="4"/>
  <c r="AY369" i="4"/>
  <c r="AX369" i="4"/>
  <c r="AY368" i="4"/>
  <c r="AX368" i="4"/>
  <c r="AY367" i="4"/>
  <c r="AX367" i="4"/>
  <c r="AY366" i="4"/>
  <c r="AX366" i="4"/>
  <c r="AY365" i="4"/>
  <c r="AX365" i="4"/>
  <c r="AY364" i="4"/>
  <c r="AX364" i="4"/>
  <c r="AY363" i="4"/>
  <c r="AX363" i="4"/>
  <c r="AY362" i="4"/>
  <c r="AX362" i="4"/>
  <c r="AY361" i="4"/>
  <c r="AX361" i="4"/>
  <c r="AY360" i="4"/>
  <c r="AX360" i="4"/>
  <c r="AY359" i="4"/>
  <c r="AX359" i="4"/>
  <c r="AY358" i="4"/>
  <c r="AX358" i="4"/>
  <c r="AY357" i="4"/>
  <c r="AX357" i="4"/>
  <c r="AY356" i="4"/>
  <c r="AX356" i="4"/>
  <c r="AY355" i="4"/>
  <c r="AX355" i="4"/>
  <c r="AY354" i="4"/>
  <c r="AX354" i="4"/>
  <c r="AY353" i="4"/>
  <c r="AX353" i="4"/>
  <c r="AY352" i="4"/>
  <c r="AX352" i="4"/>
  <c r="AY351" i="4"/>
  <c r="AX351" i="4"/>
  <c r="AY350" i="4"/>
  <c r="AX350" i="4"/>
  <c r="AY349" i="4"/>
  <c r="AX349" i="4"/>
  <c r="AY348" i="4"/>
  <c r="AX348" i="4"/>
  <c r="AY347" i="4"/>
  <c r="AX347" i="4"/>
  <c r="AY346" i="4"/>
  <c r="AX346" i="4"/>
  <c r="AY345" i="4"/>
  <c r="AX345" i="4"/>
  <c r="AY344" i="4"/>
  <c r="AX344" i="4"/>
  <c r="AY343" i="4"/>
  <c r="AX343" i="4"/>
  <c r="AY342" i="4"/>
  <c r="AX342" i="4"/>
  <c r="AY341" i="4"/>
  <c r="AX341" i="4"/>
  <c r="AY340" i="4"/>
  <c r="AX340" i="4"/>
  <c r="AY339" i="4"/>
  <c r="AX339" i="4"/>
  <c r="AY338" i="4"/>
  <c r="AX338" i="4"/>
  <c r="AY337" i="4"/>
  <c r="AX337" i="4"/>
  <c r="AY336" i="4"/>
  <c r="AX336" i="4"/>
  <c r="AY335" i="4"/>
  <c r="AX335" i="4"/>
  <c r="AY334" i="4"/>
  <c r="AX334" i="4"/>
  <c r="AY333" i="4"/>
  <c r="AX333" i="4"/>
  <c r="AY332" i="4"/>
  <c r="AX332" i="4"/>
  <c r="AY331" i="4"/>
  <c r="AX331" i="4"/>
  <c r="AY330" i="4"/>
  <c r="AX330" i="4"/>
  <c r="AY329" i="4"/>
  <c r="AX329" i="4"/>
  <c r="AY328" i="4"/>
  <c r="AX328" i="4"/>
  <c r="AY327" i="4"/>
  <c r="AX327" i="4"/>
  <c r="AY326" i="4"/>
  <c r="AX326" i="4"/>
  <c r="AY325" i="4"/>
  <c r="AX325" i="4"/>
  <c r="AY324" i="4"/>
  <c r="AX324" i="4"/>
  <c r="AY323" i="4"/>
  <c r="AX323" i="4"/>
  <c r="AY322" i="4"/>
  <c r="AX322" i="4"/>
  <c r="AY321" i="4"/>
  <c r="AX321" i="4"/>
  <c r="AY320" i="4"/>
  <c r="AX320" i="4"/>
  <c r="AY319" i="4"/>
  <c r="AX319" i="4"/>
  <c r="AY318" i="4"/>
  <c r="AX318" i="4"/>
  <c r="AY317" i="4"/>
  <c r="AX317" i="4"/>
  <c r="AY316" i="4"/>
  <c r="AX316" i="4"/>
  <c r="AY315" i="4"/>
  <c r="AX315" i="4"/>
  <c r="AY314" i="4"/>
  <c r="AX314" i="4"/>
  <c r="AY313" i="4"/>
  <c r="AX313" i="4"/>
  <c r="AY312" i="4"/>
  <c r="AX312" i="4"/>
  <c r="AY311" i="4"/>
  <c r="AX311" i="4"/>
  <c r="AY310" i="4"/>
  <c r="AX310" i="4"/>
  <c r="AY309" i="4"/>
  <c r="AX309" i="4"/>
  <c r="AY308" i="4"/>
  <c r="AX308" i="4"/>
  <c r="AY307" i="4"/>
  <c r="AX307" i="4"/>
  <c r="AY306" i="4"/>
  <c r="AX306" i="4"/>
  <c r="AY305" i="4"/>
  <c r="AX305" i="4"/>
  <c r="AY304" i="4"/>
  <c r="AX304" i="4"/>
  <c r="AY303" i="4"/>
  <c r="AX303" i="4"/>
  <c r="AY302" i="4"/>
  <c r="AX302" i="4"/>
  <c r="AY301" i="4"/>
  <c r="AX301" i="4"/>
  <c r="AY300" i="4"/>
  <c r="AX300" i="4"/>
  <c r="AY299" i="4"/>
  <c r="AX299" i="4"/>
  <c r="AY298" i="4"/>
  <c r="AX298" i="4"/>
  <c r="AY297" i="4"/>
  <c r="AX297" i="4"/>
  <c r="AY296" i="4"/>
  <c r="AX296" i="4"/>
  <c r="AY295" i="4"/>
  <c r="AX295" i="4"/>
  <c r="AY294" i="4"/>
  <c r="AX294" i="4"/>
  <c r="AY293" i="4"/>
  <c r="AX293" i="4"/>
  <c r="AY292" i="4"/>
  <c r="AX292" i="4"/>
  <c r="AY291" i="4"/>
  <c r="AX291" i="4"/>
  <c r="AY290" i="4"/>
  <c r="AX290" i="4"/>
  <c r="AY289" i="4"/>
  <c r="AX289" i="4"/>
  <c r="AY288" i="4"/>
  <c r="AX288" i="4"/>
  <c r="AY287" i="4"/>
  <c r="AX287" i="4"/>
  <c r="AY286" i="4"/>
  <c r="AX286" i="4"/>
  <c r="AY285" i="4"/>
  <c r="AX285" i="4"/>
  <c r="AY284" i="4"/>
  <c r="AX284" i="4"/>
  <c r="AY283" i="4"/>
  <c r="AX283" i="4"/>
  <c r="AY282" i="4"/>
  <c r="AX282" i="4"/>
  <c r="AY281" i="4"/>
  <c r="AX281" i="4"/>
  <c r="AY280" i="4"/>
  <c r="AX280" i="4"/>
  <c r="AY279" i="4"/>
  <c r="AX279" i="4"/>
  <c r="AY278" i="4"/>
  <c r="AX278" i="4"/>
  <c r="AY277" i="4"/>
  <c r="AX277" i="4"/>
  <c r="AY276" i="4"/>
  <c r="AX276" i="4"/>
  <c r="AY275" i="4"/>
  <c r="AX275" i="4"/>
  <c r="AY274" i="4"/>
  <c r="AX274" i="4"/>
  <c r="AY273" i="4"/>
  <c r="AX273" i="4"/>
  <c r="AY272" i="4"/>
  <c r="AX272" i="4"/>
  <c r="AY271" i="4"/>
  <c r="AX271" i="4"/>
  <c r="AY270" i="4"/>
  <c r="AX270" i="4"/>
  <c r="AY269" i="4"/>
  <c r="AX269" i="4"/>
  <c r="AY268" i="4"/>
  <c r="AX268" i="4"/>
  <c r="AY267" i="4"/>
  <c r="AX267" i="4"/>
  <c r="AY266" i="4"/>
  <c r="AX266" i="4"/>
  <c r="AY265" i="4"/>
  <c r="AX265" i="4"/>
  <c r="AY264" i="4"/>
  <c r="AX264" i="4"/>
  <c r="AY263" i="4"/>
  <c r="AX263" i="4"/>
  <c r="AY262" i="4"/>
  <c r="AX262" i="4"/>
  <c r="AY261" i="4"/>
  <c r="AX261" i="4"/>
  <c r="AY260" i="4"/>
  <c r="AX260" i="4"/>
  <c r="AY259" i="4"/>
  <c r="AX259" i="4"/>
  <c r="AY258" i="4"/>
  <c r="AX258" i="4"/>
  <c r="AY257" i="4"/>
  <c r="AX257" i="4"/>
  <c r="AY256" i="4"/>
  <c r="AX256" i="4"/>
  <c r="AY255" i="4"/>
  <c r="AX255" i="4"/>
  <c r="AY254" i="4"/>
  <c r="AX254" i="4"/>
  <c r="AY253" i="4"/>
  <c r="AX253" i="4"/>
  <c r="AY252" i="4"/>
  <c r="AX252" i="4"/>
  <c r="AY251" i="4"/>
  <c r="AX251" i="4"/>
  <c r="AY250" i="4"/>
  <c r="AX250" i="4"/>
  <c r="AY249" i="4"/>
  <c r="AX249" i="4"/>
  <c r="AY248" i="4"/>
  <c r="AX248" i="4"/>
  <c r="AY247" i="4"/>
  <c r="AX247" i="4"/>
  <c r="AY246" i="4"/>
  <c r="AX246" i="4"/>
  <c r="AY245" i="4"/>
  <c r="AX245" i="4"/>
  <c r="AY244" i="4"/>
  <c r="AX244" i="4"/>
  <c r="AY243" i="4"/>
  <c r="AX243" i="4"/>
  <c r="AY242" i="4"/>
  <c r="AX242" i="4"/>
  <c r="AY241" i="4"/>
  <c r="AX241" i="4"/>
  <c r="AY240" i="4"/>
  <c r="AX240" i="4"/>
  <c r="AY239" i="4"/>
  <c r="AX239" i="4"/>
  <c r="AY238" i="4"/>
  <c r="AX238" i="4"/>
  <c r="AY237" i="4"/>
  <c r="AX237" i="4"/>
  <c r="AY236" i="4"/>
  <c r="AX236" i="4"/>
  <c r="AY235" i="4"/>
  <c r="AX235" i="4"/>
  <c r="AY234" i="4"/>
  <c r="AX234" i="4"/>
  <c r="AY233" i="4"/>
  <c r="AX233" i="4"/>
  <c r="AY232" i="4"/>
  <c r="AX232" i="4"/>
  <c r="AY231" i="4"/>
  <c r="AX231" i="4"/>
  <c r="AY230" i="4"/>
  <c r="AX230" i="4"/>
  <c r="AY229" i="4"/>
  <c r="AX229" i="4"/>
  <c r="AY228" i="4"/>
  <c r="AX228" i="4"/>
  <c r="AY227" i="4"/>
  <c r="AX227" i="4"/>
  <c r="AY226" i="4"/>
  <c r="AX226" i="4"/>
  <c r="AY225" i="4"/>
  <c r="AX225" i="4"/>
  <c r="AY224" i="4"/>
  <c r="AX224" i="4"/>
  <c r="AY223" i="4"/>
  <c r="AX223" i="4"/>
  <c r="AY222" i="4"/>
  <c r="AX222" i="4"/>
  <c r="AY221" i="4"/>
  <c r="AX221" i="4"/>
  <c r="AY220" i="4"/>
  <c r="AX220" i="4"/>
  <c r="AY219" i="4"/>
  <c r="AX219" i="4"/>
  <c r="AY218" i="4"/>
  <c r="AX218" i="4"/>
  <c r="AY217" i="4"/>
  <c r="AX217" i="4"/>
  <c r="AY216" i="4"/>
  <c r="AX216" i="4"/>
  <c r="AY215" i="4"/>
  <c r="AX215" i="4"/>
  <c r="AY214" i="4"/>
  <c r="AX214" i="4"/>
  <c r="AY213" i="4"/>
  <c r="AX213" i="4"/>
  <c r="AY212" i="4"/>
  <c r="AX212" i="4"/>
  <c r="AY211" i="4"/>
  <c r="AX211" i="4"/>
  <c r="AY210" i="4"/>
  <c r="AX210" i="4"/>
  <c r="AY209" i="4"/>
  <c r="AX209" i="4"/>
  <c r="AY208" i="4"/>
  <c r="AX208" i="4"/>
  <c r="AY207" i="4"/>
  <c r="AX207" i="4"/>
  <c r="AY206" i="4"/>
  <c r="AX206" i="4"/>
  <c r="AY205" i="4"/>
  <c r="AX205" i="4"/>
  <c r="AY204" i="4"/>
  <c r="AX204" i="4"/>
  <c r="AY203" i="4"/>
  <c r="AX203" i="4"/>
  <c r="AY202" i="4"/>
  <c r="AX202" i="4"/>
  <c r="AY201" i="4"/>
  <c r="AX201" i="4"/>
  <c r="AY200" i="4"/>
  <c r="AX200" i="4"/>
  <c r="AY199" i="4"/>
  <c r="AX199" i="4"/>
  <c r="AY198" i="4"/>
  <c r="AX198" i="4"/>
  <c r="AY197" i="4"/>
  <c r="AX197" i="4"/>
  <c r="AY196" i="4"/>
  <c r="AX196" i="4"/>
  <c r="AY195" i="4"/>
  <c r="AX195" i="4"/>
  <c r="AY194" i="4"/>
  <c r="AX194" i="4"/>
  <c r="AY193" i="4"/>
  <c r="AX193" i="4"/>
  <c r="AY192" i="4"/>
  <c r="AX192" i="4"/>
  <c r="AY191" i="4"/>
  <c r="AX191" i="4"/>
  <c r="AY190" i="4"/>
  <c r="AX190" i="4"/>
  <c r="AY189" i="4"/>
  <c r="AX189" i="4"/>
  <c r="AY188" i="4"/>
  <c r="AX188" i="4"/>
  <c r="AY187" i="4"/>
  <c r="AX187" i="4"/>
  <c r="AY186" i="4"/>
  <c r="AX186" i="4"/>
  <c r="AY185" i="4"/>
  <c r="AX185" i="4"/>
  <c r="AY184" i="4"/>
  <c r="AX184" i="4"/>
  <c r="AY183" i="4"/>
  <c r="AX183" i="4"/>
  <c r="AY182" i="4"/>
  <c r="AX182" i="4"/>
  <c r="AY181" i="4"/>
  <c r="AX181" i="4"/>
  <c r="AY180" i="4"/>
  <c r="AX180" i="4"/>
  <c r="AY179" i="4"/>
  <c r="AX179" i="4"/>
  <c r="AY178" i="4"/>
  <c r="AX178" i="4"/>
  <c r="AY177" i="4"/>
  <c r="AX177" i="4"/>
  <c r="AY176" i="4"/>
  <c r="AX176" i="4"/>
  <c r="AY175" i="4"/>
  <c r="AX175" i="4"/>
  <c r="AY174" i="4"/>
  <c r="AX174" i="4"/>
  <c r="AY173" i="4"/>
  <c r="AX173" i="4"/>
  <c r="AY172" i="4"/>
  <c r="AX172" i="4"/>
  <c r="AY171" i="4"/>
  <c r="AX171" i="4"/>
  <c r="AY170" i="4"/>
  <c r="AX170" i="4"/>
  <c r="AY169" i="4"/>
  <c r="AX169" i="4"/>
  <c r="AY168" i="4"/>
  <c r="AX168" i="4"/>
  <c r="AY167" i="4"/>
  <c r="AX167" i="4"/>
  <c r="AY166" i="4"/>
  <c r="AX166" i="4"/>
  <c r="AY165" i="4"/>
  <c r="AX165" i="4"/>
  <c r="AY164" i="4"/>
  <c r="AX164" i="4"/>
  <c r="AY163" i="4"/>
  <c r="AX163" i="4"/>
  <c r="AY162" i="4"/>
  <c r="AX162" i="4"/>
  <c r="AY161" i="4"/>
  <c r="AX161" i="4"/>
  <c r="AY160" i="4"/>
  <c r="AX160" i="4"/>
  <c r="AY159" i="4"/>
  <c r="AX159" i="4"/>
  <c r="AY158" i="4"/>
  <c r="AX158" i="4"/>
  <c r="AY157" i="4"/>
  <c r="AX157" i="4"/>
  <c r="AY156" i="4"/>
  <c r="AX156" i="4"/>
  <c r="AY155" i="4"/>
  <c r="AX155" i="4"/>
  <c r="AY154" i="4"/>
  <c r="AX154" i="4"/>
  <c r="AY153" i="4"/>
  <c r="AX153" i="4"/>
  <c r="AY152" i="4"/>
  <c r="AX152" i="4"/>
  <c r="AY151" i="4"/>
  <c r="AX151" i="4"/>
  <c r="AY150" i="4"/>
  <c r="AX150" i="4"/>
  <c r="AY149" i="4"/>
  <c r="AX149" i="4"/>
  <c r="AY148" i="4"/>
  <c r="AX148" i="4"/>
  <c r="AY147" i="4"/>
  <c r="AX147" i="4"/>
  <c r="AY146" i="4"/>
  <c r="AX146" i="4"/>
  <c r="AY145" i="4"/>
  <c r="AX145" i="4"/>
  <c r="AY144" i="4"/>
  <c r="AX144" i="4"/>
  <c r="AY143" i="4"/>
  <c r="AX143" i="4"/>
  <c r="AY142" i="4"/>
  <c r="AX142" i="4"/>
  <c r="AY141" i="4"/>
  <c r="AX141" i="4"/>
  <c r="AY140" i="4"/>
  <c r="AX140" i="4"/>
  <c r="AY139" i="4"/>
  <c r="AX139" i="4"/>
  <c r="AY138" i="4"/>
  <c r="AX138" i="4"/>
  <c r="AY137" i="4"/>
  <c r="AX137" i="4"/>
  <c r="AY136" i="4"/>
  <c r="AX136" i="4"/>
  <c r="AY135" i="4"/>
  <c r="AX135" i="4"/>
  <c r="AY134" i="4"/>
  <c r="AX134" i="4"/>
  <c r="AY133" i="4"/>
  <c r="AX133" i="4"/>
  <c r="AY132" i="4"/>
  <c r="AX132" i="4"/>
  <c r="AY131" i="4"/>
  <c r="AX131" i="4"/>
  <c r="AY130" i="4"/>
  <c r="AX130" i="4"/>
  <c r="AY129" i="4"/>
  <c r="AX129" i="4"/>
  <c r="AY128" i="4"/>
  <c r="AX128" i="4"/>
  <c r="AY127" i="4"/>
  <c r="AX127" i="4"/>
  <c r="AY126" i="4"/>
  <c r="AX126" i="4"/>
  <c r="AY125" i="4"/>
  <c r="AX125" i="4"/>
  <c r="AY124" i="4"/>
  <c r="AX124" i="4"/>
  <c r="AY123" i="4"/>
  <c r="AX123" i="4"/>
  <c r="AY122" i="4"/>
  <c r="AX122" i="4"/>
  <c r="AY121" i="4"/>
  <c r="AX121" i="4"/>
  <c r="AY120" i="4"/>
  <c r="AX120" i="4"/>
  <c r="AY119" i="4"/>
  <c r="AX119" i="4"/>
  <c r="AY118" i="4"/>
  <c r="AX118" i="4"/>
  <c r="AY117" i="4"/>
  <c r="AX117" i="4"/>
  <c r="AY116" i="4"/>
  <c r="AX116" i="4"/>
  <c r="AY115" i="4"/>
  <c r="AX115" i="4"/>
  <c r="AY114" i="4"/>
  <c r="AX114" i="4"/>
  <c r="AY113" i="4"/>
  <c r="AX113" i="4"/>
  <c r="AY112" i="4"/>
  <c r="AX112" i="4"/>
  <c r="AY111" i="4"/>
  <c r="AX111" i="4"/>
  <c r="AY110" i="4"/>
  <c r="AX110" i="4"/>
  <c r="AY109" i="4"/>
  <c r="AX109" i="4"/>
  <c r="AY108" i="4"/>
  <c r="AX108" i="4"/>
  <c r="AY107" i="4"/>
  <c r="AX107" i="4"/>
  <c r="AY106" i="4"/>
  <c r="AX106" i="4"/>
  <c r="AY105" i="4"/>
  <c r="AX105" i="4"/>
  <c r="AY104" i="4"/>
  <c r="AX104" i="4"/>
  <c r="AY103" i="4"/>
  <c r="AX103" i="4"/>
  <c r="AY102" i="4"/>
  <c r="AX102" i="4"/>
  <c r="AY101" i="4"/>
  <c r="AX101" i="4"/>
  <c r="AY100" i="4"/>
  <c r="AX100" i="4"/>
  <c r="AY99" i="4"/>
  <c r="AX99" i="4"/>
  <c r="AY98" i="4"/>
  <c r="AX98" i="4"/>
  <c r="AY97" i="4"/>
  <c r="AX97" i="4"/>
  <c r="AY96" i="4"/>
  <c r="AX96" i="4"/>
  <c r="AY95" i="4"/>
  <c r="AX95" i="4"/>
  <c r="AY94" i="4"/>
  <c r="AX94" i="4"/>
  <c r="AY93" i="4"/>
  <c r="AX93" i="4"/>
  <c r="AY92" i="4"/>
  <c r="AX92" i="4"/>
  <c r="AY91" i="4"/>
  <c r="AX91" i="4"/>
  <c r="AY90" i="4"/>
  <c r="AX90" i="4"/>
  <c r="AY89" i="4"/>
  <c r="AX89" i="4"/>
  <c r="AY88" i="4"/>
  <c r="AX88" i="4"/>
  <c r="AY87" i="4"/>
  <c r="AX87" i="4"/>
  <c r="AY86" i="4"/>
  <c r="AX86" i="4"/>
  <c r="AY85" i="4"/>
  <c r="AX85" i="4"/>
  <c r="AY84" i="4"/>
  <c r="AX84" i="4"/>
  <c r="AY83" i="4"/>
  <c r="AX83" i="4"/>
  <c r="AY82" i="4"/>
  <c r="AX82" i="4"/>
  <c r="AY81" i="4"/>
  <c r="AX81" i="4"/>
  <c r="AY80" i="4"/>
  <c r="AX80" i="4"/>
  <c r="AY79" i="4"/>
  <c r="AX79" i="4"/>
  <c r="AY78" i="4"/>
  <c r="AX78" i="4"/>
  <c r="AY77" i="4"/>
  <c r="AX77" i="4"/>
  <c r="AY76" i="4"/>
  <c r="AX76" i="4"/>
  <c r="AY75" i="4"/>
  <c r="AX75" i="4"/>
  <c r="AY74" i="4"/>
  <c r="AX74" i="4"/>
  <c r="AY73" i="4"/>
  <c r="AX73" i="4"/>
  <c r="AY72" i="4"/>
  <c r="AX72" i="4"/>
  <c r="AY71" i="4"/>
  <c r="AX71" i="4"/>
  <c r="AY70" i="4"/>
  <c r="AX70" i="4"/>
  <c r="AY69" i="4"/>
  <c r="AX69" i="4"/>
  <c r="AY68" i="4"/>
  <c r="AX68" i="4"/>
  <c r="AY67" i="4"/>
  <c r="AX67" i="4"/>
  <c r="AY66" i="4"/>
  <c r="AX66" i="4"/>
  <c r="AY65" i="4"/>
  <c r="AX65" i="4"/>
  <c r="AY64" i="4"/>
  <c r="AX64" i="4"/>
  <c r="AY63" i="4"/>
  <c r="AX63" i="4"/>
  <c r="AY62" i="4"/>
  <c r="AX62" i="4"/>
  <c r="AY61" i="4"/>
  <c r="AX61" i="4"/>
  <c r="AY60" i="4"/>
  <c r="AX60" i="4"/>
  <c r="AY59" i="4"/>
  <c r="AX59" i="4"/>
  <c r="AY58" i="4"/>
  <c r="AX58" i="4"/>
  <c r="AY57" i="4"/>
  <c r="AX57" i="4"/>
  <c r="AY56" i="4"/>
  <c r="AX56" i="4"/>
  <c r="AY55" i="4"/>
  <c r="AX55" i="4"/>
  <c r="AY54" i="4"/>
  <c r="AX54" i="4"/>
  <c r="AY53" i="4"/>
  <c r="AX53" i="4"/>
  <c r="AY52" i="4"/>
  <c r="AX52" i="4"/>
  <c r="AY51" i="4"/>
  <c r="AX51" i="4"/>
  <c r="AY50" i="4"/>
  <c r="AX50" i="4"/>
  <c r="AY49" i="4"/>
  <c r="AX49" i="4"/>
  <c r="AY48" i="4"/>
  <c r="AX48" i="4"/>
  <c r="AY47" i="4"/>
  <c r="AX47" i="4"/>
  <c r="AY46" i="4"/>
  <c r="AX46" i="4"/>
  <c r="AY45" i="4"/>
  <c r="AX45" i="4"/>
  <c r="AY44" i="4"/>
  <c r="AX44" i="4"/>
  <c r="AY43" i="4"/>
  <c r="AX43" i="4"/>
  <c r="AY42" i="4"/>
  <c r="AX42" i="4"/>
  <c r="AY41" i="4"/>
  <c r="AX41" i="4"/>
  <c r="AY40" i="4"/>
  <c r="AX40" i="4"/>
  <c r="AY39" i="4"/>
  <c r="AX39" i="4"/>
  <c r="AY38" i="4"/>
  <c r="AX38" i="4"/>
  <c r="AY37" i="4"/>
  <c r="AX37" i="4"/>
  <c r="AY36" i="4"/>
  <c r="AX36" i="4"/>
  <c r="AY35" i="4"/>
  <c r="AX35" i="4"/>
  <c r="AY34" i="4"/>
  <c r="AX34" i="4"/>
  <c r="AY33" i="4"/>
  <c r="AX33" i="4"/>
  <c r="AY32" i="4"/>
  <c r="AX32" i="4"/>
  <c r="AY31" i="4"/>
  <c r="AX31" i="4"/>
  <c r="AY30" i="4"/>
  <c r="AX30" i="4"/>
  <c r="AY29" i="4"/>
  <c r="AX29" i="4"/>
  <c r="AY28" i="4"/>
  <c r="AX28" i="4"/>
  <c r="AY27" i="4"/>
  <c r="AX27" i="4"/>
  <c r="AY26" i="4"/>
  <c r="AX26" i="4"/>
  <c r="AY25" i="4"/>
  <c r="AX25" i="4"/>
  <c r="AY24" i="4"/>
  <c r="AX24" i="4"/>
  <c r="AY23" i="4"/>
  <c r="AX23" i="4"/>
  <c r="AY22" i="4"/>
  <c r="AX22" i="4"/>
  <c r="AY21" i="4"/>
  <c r="AX21" i="4"/>
  <c r="AY20" i="4"/>
  <c r="AX20" i="4"/>
  <c r="AY19" i="4"/>
  <c r="AX19" i="4"/>
  <c r="AY18" i="4"/>
  <c r="AX18" i="4"/>
  <c r="AY17" i="4"/>
  <c r="AX17" i="4"/>
  <c r="AY16" i="4"/>
  <c r="AX16" i="4"/>
  <c r="AY15" i="4"/>
  <c r="AX15" i="4"/>
  <c r="AY14" i="4"/>
  <c r="AX14" i="4"/>
  <c r="AY13" i="4"/>
  <c r="AX13" i="4"/>
  <c r="AY12" i="4"/>
  <c r="AX12" i="4"/>
  <c r="AY11" i="4"/>
  <c r="AX11" i="4"/>
  <c r="AY10" i="4"/>
  <c r="AX10" i="4"/>
  <c r="AY9" i="4"/>
  <c r="AX9" i="4"/>
  <c r="AY8" i="4"/>
  <c r="AX8" i="4"/>
  <c r="AY7" i="4"/>
  <c r="AX7" i="4"/>
  <c r="AY6" i="4"/>
  <c r="AX6" i="4"/>
  <c r="AY5" i="4"/>
  <c r="AX5" i="4"/>
  <c r="AY4" i="4"/>
  <c r="AX4" i="4"/>
  <c r="AY3" i="4"/>
  <c r="AX3" i="4"/>
  <c r="AY2" i="4"/>
  <c r="AX2" i="4"/>
  <c r="AV1001" i="4"/>
  <c r="AU1001" i="4"/>
  <c r="AV1000" i="4"/>
  <c r="AU1000" i="4"/>
  <c r="AV999" i="4"/>
  <c r="AU999" i="4"/>
  <c r="AV998" i="4"/>
  <c r="AU998" i="4"/>
  <c r="AV997" i="4"/>
  <c r="AU997" i="4"/>
  <c r="AV996" i="4"/>
  <c r="AU996" i="4"/>
  <c r="AV995" i="4"/>
  <c r="AU995" i="4"/>
  <c r="AV994" i="4"/>
  <c r="AU994" i="4"/>
  <c r="AV993" i="4"/>
  <c r="AU993" i="4"/>
  <c r="AV992" i="4"/>
  <c r="AU992" i="4"/>
  <c r="AV991" i="4"/>
  <c r="AU991" i="4"/>
  <c r="AV990" i="4"/>
  <c r="AU990" i="4"/>
  <c r="AV989" i="4"/>
  <c r="AU989" i="4"/>
  <c r="AV988" i="4"/>
  <c r="AU988" i="4"/>
  <c r="AV987" i="4"/>
  <c r="AU987" i="4"/>
  <c r="AV986" i="4"/>
  <c r="AU986" i="4"/>
  <c r="AV985" i="4"/>
  <c r="AU985" i="4"/>
  <c r="AV984" i="4"/>
  <c r="AU984" i="4"/>
  <c r="AV983" i="4"/>
  <c r="AU983" i="4"/>
  <c r="AV982" i="4"/>
  <c r="AU982" i="4"/>
  <c r="AV981" i="4"/>
  <c r="AU981" i="4"/>
  <c r="AV980" i="4"/>
  <c r="AU980" i="4"/>
  <c r="AV979" i="4"/>
  <c r="AU979" i="4"/>
  <c r="AV978" i="4"/>
  <c r="AU978" i="4"/>
  <c r="AV977" i="4"/>
  <c r="AU977" i="4"/>
  <c r="AV976" i="4"/>
  <c r="AU976" i="4"/>
  <c r="AV975" i="4"/>
  <c r="AU975" i="4"/>
  <c r="AV974" i="4"/>
  <c r="AU974" i="4"/>
  <c r="AV973" i="4"/>
  <c r="AU973" i="4"/>
  <c r="AV972" i="4"/>
  <c r="AU972" i="4"/>
  <c r="AV971" i="4"/>
  <c r="AU971" i="4"/>
  <c r="AV970" i="4"/>
  <c r="AU970" i="4"/>
  <c r="AV969" i="4"/>
  <c r="AU969" i="4"/>
  <c r="AV968" i="4"/>
  <c r="AU968" i="4"/>
  <c r="AV967" i="4"/>
  <c r="AU967" i="4"/>
  <c r="AV966" i="4"/>
  <c r="AU966" i="4"/>
  <c r="AV965" i="4"/>
  <c r="AU965" i="4"/>
  <c r="AV964" i="4"/>
  <c r="AU964" i="4"/>
  <c r="AV963" i="4"/>
  <c r="AU963" i="4"/>
  <c r="AV962" i="4"/>
  <c r="AU962" i="4"/>
  <c r="AV961" i="4"/>
  <c r="AU961" i="4"/>
  <c r="AV960" i="4"/>
  <c r="AU960" i="4"/>
  <c r="AV959" i="4"/>
  <c r="AU959" i="4"/>
  <c r="AV958" i="4"/>
  <c r="AU958" i="4"/>
  <c r="AV957" i="4"/>
  <c r="AU957" i="4"/>
  <c r="AV956" i="4"/>
  <c r="AU956" i="4"/>
  <c r="AV955" i="4"/>
  <c r="AU955" i="4"/>
  <c r="AV954" i="4"/>
  <c r="AU954" i="4"/>
  <c r="AV953" i="4"/>
  <c r="AU953" i="4"/>
  <c r="AV952" i="4"/>
  <c r="AU952" i="4"/>
  <c r="AV951" i="4"/>
  <c r="AU951" i="4"/>
  <c r="AV950" i="4"/>
  <c r="AU950" i="4"/>
  <c r="AV949" i="4"/>
  <c r="AU949" i="4"/>
  <c r="AV948" i="4"/>
  <c r="AU948" i="4"/>
  <c r="AV947" i="4"/>
  <c r="AU947" i="4"/>
  <c r="AV946" i="4"/>
  <c r="AU946" i="4"/>
  <c r="AV945" i="4"/>
  <c r="AU945" i="4"/>
  <c r="AV944" i="4"/>
  <c r="AU944" i="4"/>
  <c r="AV943" i="4"/>
  <c r="AU943" i="4"/>
  <c r="AV942" i="4"/>
  <c r="AU942" i="4"/>
  <c r="AV941" i="4"/>
  <c r="AU941" i="4"/>
  <c r="AV940" i="4"/>
  <c r="AU940" i="4"/>
  <c r="AV939" i="4"/>
  <c r="AU939" i="4"/>
  <c r="AV938" i="4"/>
  <c r="AU938" i="4"/>
  <c r="AV937" i="4"/>
  <c r="AU937" i="4"/>
  <c r="AV936" i="4"/>
  <c r="AU936" i="4"/>
  <c r="AV935" i="4"/>
  <c r="AU935" i="4"/>
  <c r="AV934" i="4"/>
  <c r="AU934" i="4"/>
  <c r="AV933" i="4"/>
  <c r="AU933" i="4"/>
  <c r="AV932" i="4"/>
  <c r="AU932" i="4"/>
  <c r="AV931" i="4"/>
  <c r="AU931" i="4"/>
  <c r="AV930" i="4"/>
  <c r="AU930" i="4"/>
  <c r="AV929" i="4"/>
  <c r="AU929" i="4"/>
  <c r="AV928" i="4"/>
  <c r="AU928" i="4"/>
  <c r="AV927" i="4"/>
  <c r="AU927" i="4"/>
  <c r="AV926" i="4"/>
  <c r="AU926" i="4"/>
  <c r="AV925" i="4"/>
  <c r="AU925" i="4"/>
  <c r="AV924" i="4"/>
  <c r="AU924" i="4"/>
  <c r="AV923" i="4"/>
  <c r="AU923" i="4"/>
  <c r="AV922" i="4"/>
  <c r="AU922" i="4"/>
  <c r="AV921" i="4"/>
  <c r="AU921" i="4"/>
  <c r="AV920" i="4"/>
  <c r="AU920" i="4"/>
  <c r="AV919" i="4"/>
  <c r="AU919" i="4"/>
  <c r="AV918" i="4"/>
  <c r="AU918" i="4"/>
  <c r="AV917" i="4"/>
  <c r="AU917" i="4"/>
  <c r="AV916" i="4"/>
  <c r="AU916" i="4"/>
  <c r="AV915" i="4"/>
  <c r="AU915" i="4"/>
  <c r="AV914" i="4"/>
  <c r="AU914" i="4"/>
  <c r="AV913" i="4"/>
  <c r="AU913" i="4"/>
  <c r="AV912" i="4"/>
  <c r="AU912" i="4"/>
  <c r="AV911" i="4"/>
  <c r="AU911" i="4"/>
  <c r="AV910" i="4"/>
  <c r="AU910" i="4"/>
  <c r="AV909" i="4"/>
  <c r="AU909" i="4"/>
  <c r="AV908" i="4"/>
  <c r="AU908" i="4"/>
  <c r="AV907" i="4"/>
  <c r="AU907" i="4"/>
  <c r="AV906" i="4"/>
  <c r="AU906" i="4"/>
  <c r="AV905" i="4"/>
  <c r="AU905" i="4"/>
  <c r="AV904" i="4"/>
  <c r="AU904" i="4"/>
  <c r="AV903" i="4"/>
  <c r="AU903" i="4"/>
  <c r="AV902" i="4"/>
  <c r="AU902" i="4"/>
  <c r="AV901" i="4"/>
  <c r="AU901" i="4"/>
  <c r="AV900" i="4"/>
  <c r="AU900" i="4"/>
  <c r="AV899" i="4"/>
  <c r="AU899" i="4"/>
  <c r="AV898" i="4"/>
  <c r="AU898" i="4"/>
  <c r="AV897" i="4"/>
  <c r="AU897" i="4"/>
  <c r="AV896" i="4"/>
  <c r="AU896" i="4"/>
  <c r="AV895" i="4"/>
  <c r="AU895" i="4"/>
  <c r="AV894" i="4"/>
  <c r="AU894" i="4"/>
  <c r="AV893" i="4"/>
  <c r="AU893" i="4"/>
  <c r="AV892" i="4"/>
  <c r="AU892" i="4"/>
  <c r="AV891" i="4"/>
  <c r="AU891" i="4"/>
  <c r="AV890" i="4"/>
  <c r="AU890" i="4"/>
  <c r="AV889" i="4"/>
  <c r="AU889" i="4"/>
  <c r="AV888" i="4"/>
  <c r="AU888" i="4"/>
  <c r="AV887" i="4"/>
  <c r="AU887" i="4"/>
  <c r="AV886" i="4"/>
  <c r="AU886" i="4"/>
  <c r="AV885" i="4"/>
  <c r="AU885" i="4"/>
  <c r="AV884" i="4"/>
  <c r="AU884" i="4"/>
  <c r="AV883" i="4"/>
  <c r="AU883" i="4"/>
  <c r="AV882" i="4"/>
  <c r="AU882" i="4"/>
  <c r="AV881" i="4"/>
  <c r="AU881" i="4"/>
  <c r="AV880" i="4"/>
  <c r="AU880" i="4"/>
  <c r="AV879" i="4"/>
  <c r="AU879" i="4"/>
  <c r="AV878" i="4"/>
  <c r="AU878" i="4"/>
  <c r="AV877" i="4"/>
  <c r="AU877" i="4"/>
  <c r="AV876" i="4"/>
  <c r="AU876" i="4"/>
  <c r="AV875" i="4"/>
  <c r="AU875" i="4"/>
  <c r="AV874" i="4"/>
  <c r="AU874" i="4"/>
  <c r="AV873" i="4"/>
  <c r="AU873" i="4"/>
  <c r="AV872" i="4"/>
  <c r="AU872" i="4"/>
  <c r="AV871" i="4"/>
  <c r="AU871" i="4"/>
  <c r="AV870" i="4"/>
  <c r="AU870" i="4"/>
  <c r="AV869" i="4"/>
  <c r="AU869" i="4"/>
  <c r="AV868" i="4"/>
  <c r="AU868" i="4"/>
  <c r="AV867" i="4"/>
  <c r="AU867" i="4"/>
  <c r="AV866" i="4"/>
  <c r="AU866" i="4"/>
  <c r="AV865" i="4"/>
  <c r="AU865" i="4"/>
  <c r="AV864" i="4"/>
  <c r="AU864" i="4"/>
  <c r="AV863" i="4"/>
  <c r="AU863" i="4"/>
  <c r="AV862" i="4"/>
  <c r="AU862" i="4"/>
  <c r="AV861" i="4"/>
  <c r="AU861" i="4"/>
  <c r="AV860" i="4"/>
  <c r="AU860" i="4"/>
  <c r="AV859" i="4"/>
  <c r="AU859" i="4"/>
  <c r="AV858" i="4"/>
  <c r="AU858" i="4"/>
  <c r="AV857" i="4"/>
  <c r="AU857" i="4"/>
  <c r="AV856" i="4"/>
  <c r="AU856" i="4"/>
  <c r="AV855" i="4"/>
  <c r="AU855" i="4"/>
  <c r="AV854" i="4"/>
  <c r="AU854" i="4"/>
  <c r="AV853" i="4"/>
  <c r="AU853" i="4"/>
  <c r="AV852" i="4"/>
  <c r="AU852" i="4"/>
  <c r="AV851" i="4"/>
  <c r="AU851" i="4"/>
  <c r="AV850" i="4"/>
  <c r="AU850" i="4"/>
  <c r="AV849" i="4"/>
  <c r="AU849" i="4"/>
  <c r="AV848" i="4"/>
  <c r="AU848" i="4"/>
  <c r="AV847" i="4"/>
  <c r="AU847" i="4"/>
  <c r="AV846" i="4"/>
  <c r="AU846" i="4"/>
  <c r="AV845" i="4"/>
  <c r="AU845" i="4"/>
  <c r="AV844" i="4"/>
  <c r="AU844" i="4"/>
  <c r="AV843" i="4"/>
  <c r="AU843" i="4"/>
  <c r="AV842" i="4"/>
  <c r="AU842" i="4"/>
  <c r="AV841" i="4"/>
  <c r="AU841" i="4"/>
  <c r="AV840" i="4"/>
  <c r="AU840" i="4"/>
  <c r="AV839" i="4"/>
  <c r="AU839" i="4"/>
  <c r="AV838" i="4"/>
  <c r="AU838" i="4"/>
  <c r="AV837" i="4"/>
  <c r="AU837" i="4"/>
  <c r="AV836" i="4"/>
  <c r="AU836" i="4"/>
  <c r="AV835" i="4"/>
  <c r="AU835" i="4"/>
  <c r="AV834" i="4"/>
  <c r="AU834" i="4"/>
  <c r="AV833" i="4"/>
  <c r="AU833" i="4"/>
  <c r="AV832" i="4"/>
  <c r="AU832" i="4"/>
  <c r="AV831" i="4"/>
  <c r="AU831" i="4"/>
  <c r="AV830" i="4"/>
  <c r="AU830" i="4"/>
  <c r="AV829" i="4"/>
  <c r="AU829" i="4"/>
  <c r="AV828" i="4"/>
  <c r="AU828" i="4"/>
  <c r="AV827" i="4"/>
  <c r="AU827" i="4"/>
  <c r="AV826" i="4"/>
  <c r="AU826" i="4"/>
  <c r="AV825" i="4"/>
  <c r="AU825" i="4"/>
  <c r="AV824" i="4"/>
  <c r="AU824" i="4"/>
  <c r="AV823" i="4"/>
  <c r="AU823" i="4"/>
  <c r="AV822" i="4"/>
  <c r="AU822" i="4"/>
  <c r="AV821" i="4"/>
  <c r="AU821" i="4"/>
  <c r="AV820" i="4"/>
  <c r="AU820" i="4"/>
  <c r="AV819" i="4"/>
  <c r="AU819" i="4"/>
  <c r="AV818" i="4"/>
  <c r="AU818" i="4"/>
  <c r="AV817" i="4"/>
  <c r="AU817" i="4"/>
  <c r="AV816" i="4"/>
  <c r="AU816" i="4"/>
  <c r="AV815" i="4"/>
  <c r="AU815" i="4"/>
  <c r="AV814" i="4"/>
  <c r="AU814" i="4"/>
  <c r="AV813" i="4"/>
  <c r="AU813" i="4"/>
  <c r="AV812" i="4"/>
  <c r="AU812" i="4"/>
  <c r="AV811" i="4"/>
  <c r="AU811" i="4"/>
  <c r="AV810" i="4"/>
  <c r="AU810" i="4"/>
  <c r="AV809" i="4"/>
  <c r="AU809" i="4"/>
  <c r="AV808" i="4"/>
  <c r="AU808" i="4"/>
  <c r="AV807" i="4"/>
  <c r="AU807" i="4"/>
  <c r="AV806" i="4"/>
  <c r="AU806" i="4"/>
  <c r="AV805" i="4"/>
  <c r="AU805" i="4"/>
  <c r="AV804" i="4"/>
  <c r="AU804" i="4"/>
  <c r="AV803" i="4"/>
  <c r="AU803" i="4"/>
  <c r="AV802" i="4"/>
  <c r="AU802" i="4"/>
  <c r="AV801" i="4"/>
  <c r="AU801" i="4"/>
  <c r="AV800" i="4"/>
  <c r="AU800" i="4"/>
  <c r="AV799" i="4"/>
  <c r="AU799" i="4"/>
  <c r="AV798" i="4"/>
  <c r="AU798" i="4"/>
  <c r="AV797" i="4"/>
  <c r="AU797" i="4"/>
  <c r="AV796" i="4"/>
  <c r="AU796" i="4"/>
  <c r="AV795" i="4"/>
  <c r="AU795" i="4"/>
  <c r="AV794" i="4"/>
  <c r="AU794" i="4"/>
  <c r="AV793" i="4"/>
  <c r="AU793" i="4"/>
  <c r="AV792" i="4"/>
  <c r="AU792" i="4"/>
  <c r="AV791" i="4"/>
  <c r="AU791" i="4"/>
  <c r="AV790" i="4"/>
  <c r="AU790" i="4"/>
  <c r="AV789" i="4"/>
  <c r="AU789" i="4"/>
  <c r="AV788" i="4"/>
  <c r="AU788" i="4"/>
  <c r="AV787" i="4"/>
  <c r="AU787" i="4"/>
  <c r="AV786" i="4"/>
  <c r="AU786" i="4"/>
  <c r="AV785" i="4"/>
  <c r="AU785" i="4"/>
  <c r="AV784" i="4"/>
  <c r="AU784" i="4"/>
  <c r="AV783" i="4"/>
  <c r="AU783" i="4"/>
  <c r="AV782" i="4"/>
  <c r="AU782" i="4"/>
  <c r="AV781" i="4"/>
  <c r="AU781" i="4"/>
  <c r="AV780" i="4"/>
  <c r="AU780" i="4"/>
  <c r="AV779" i="4"/>
  <c r="AU779" i="4"/>
  <c r="AV778" i="4"/>
  <c r="AU778" i="4"/>
  <c r="AV777" i="4"/>
  <c r="AU777" i="4"/>
  <c r="AV776" i="4"/>
  <c r="AU776" i="4"/>
  <c r="AV775" i="4"/>
  <c r="AU775" i="4"/>
  <c r="AV774" i="4"/>
  <c r="AU774" i="4"/>
  <c r="AV773" i="4"/>
  <c r="AU773" i="4"/>
  <c r="AV772" i="4"/>
  <c r="AU772" i="4"/>
  <c r="AV771" i="4"/>
  <c r="AU771" i="4"/>
  <c r="AV770" i="4"/>
  <c r="AU770" i="4"/>
  <c r="AV769" i="4"/>
  <c r="AU769" i="4"/>
  <c r="AV768" i="4"/>
  <c r="AU768" i="4"/>
  <c r="AV767" i="4"/>
  <c r="AU767" i="4"/>
  <c r="AV766" i="4"/>
  <c r="AU766" i="4"/>
  <c r="AV765" i="4"/>
  <c r="AU765" i="4"/>
  <c r="AV764" i="4"/>
  <c r="AU764" i="4"/>
  <c r="AV763" i="4"/>
  <c r="AU763" i="4"/>
  <c r="AV762" i="4"/>
  <c r="AU762" i="4"/>
  <c r="AV761" i="4"/>
  <c r="AU761" i="4"/>
  <c r="AV760" i="4"/>
  <c r="AU760" i="4"/>
  <c r="AV759" i="4"/>
  <c r="AU759" i="4"/>
  <c r="AV758" i="4"/>
  <c r="AU758" i="4"/>
  <c r="AV757" i="4"/>
  <c r="AU757" i="4"/>
  <c r="AV756" i="4"/>
  <c r="AU756" i="4"/>
  <c r="AV755" i="4"/>
  <c r="AU755" i="4"/>
  <c r="AV754" i="4"/>
  <c r="AU754" i="4"/>
  <c r="AV753" i="4"/>
  <c r="AU753" i="4"/>
  <c r="AV752" i="4"/>
  <c r="AU752" i="4"/>
  <c r="AV751" i="4"/>
  <c r="AU751" i="4"/>
  <c r="AV750" i="4"/>
  <c r="AU750" i="4"/>
  <c r="AV749" i="4"/>
  <c r="AU749" i="4"/>
  <c r="AV748" i="4"/>
  <c r="AU748" i="4"/>
  <c r="AV747" i="4"/>
  <c r="AU747" i="4"/>
  <c r="AV746" i="4"/>
  <c r="AU746" i="4"/>
  <c r="AV745" i="4"/>
  <c r="AU745" i="4"/>
  <c r="AV744" i="4"/>
  <c r="AU744" i="4"/>
  <c r="AV743" i="4"/>
  <c r="AU743" i="4"/>
  <c r="AV742" i="4"/>
  <c r="AU742" i="4"/>
  <c r="AV741" i="4"/>
  <c r="AU741" i="4"/>
  <c r="AV740" i="4"/>
  <c r="AU740" i="4"/>
  <c r="AV739" i="4"/>
  <c r="AU739" i="4"/>
  <c r="AV738" i="4"/>
  <c r="AU738" i="4"/>
  <c r="AV737" i="4"/>
  <c r="AU737" i="4"/>
  <c r="AV736" i="4"/>
  <c r="AU736" i="4"/>
  <c r="AV735" i="4"/>
  <c r="AU735" i="4"/>
  <c r="AV734" i="4"/>
  <c r="AU734" i="4"/>
  <c r="AV733" i="4"/>
  <c r="AU733" i="4"/>
  <c r="AV732" i="4"/>
  <c r="AU732" i="4"/>
  <c r="AV731" i="4"/>
  <c r="AU731" i="4"/>
  <c r="AV730" i="4"/>
  <c r="AU730" i="4"/>
  <c r="AV729" i="4"/>
  <c r="AU729" i="4"/>
  <c r="AV728" i="4"/>
  <c r="AU728" i="4"/>
  <c r="AV727" i="4"/>
  <c r="AU727" i="4"/>
  <c r="AV726" i="4"/>
  <c r="AU726" i="4"/>
  <c r="AV725" i="4"/>
  <c r="AU725" i="4"/>
  <c r="AV724" i="4"/>
  <c r="AU724" i="4"/>
  <c r="AV723" i="4"/>
  <c r="AU723" i="4"/>
  <c r="AV722" i="4"/>
  <c r="AU722" i="4"/>
  <c r="AV721" i="4"/>
  <c r="AU721" i="4"/>
  <c r="AV720" i="4"/>
  <c r="AU720" i="4"/>
  <c r="AV719" i="4"/>
  <c r="AU719" i="4"/>
  <c r="AV718" i="4"/>
  <c r="AU718" i="4"/>
  <c r="AV717" i="4"/>
  <c r="AU717" i="4"/>
  <c r="AV716" i="4"/>
  <c r="AU716" i="4"/>
  <c r="AV715" i="4"/>
  <c r="AU715" i="4"/>
  <c r="AV714" i="4"/>
  <c r="AU714" i="4"/>
  <c r="AV713" i="4"/>
  <c r="AU713" i="4"/>
  <c r="AV712" i="4"/>
  <c r="AU712" i="4"/>
  <c r="AV711" i="4"/>
  <c r="AU711" i="4"/>
  <c r="AV710" i="4"/>
  <c r="AU710" i="4"/>
  <c r="AV709" i="4"/>
  <c r="AU709" i="4"/>
  <c r="AV708" i="4"/>
  <c r="AU708" i="4"/>
  <c r="AV707" i="4"/>
  <c r="AU707" i="4"/>
  <c r="AV706" i="4"/>
  <c r="AU706" i="4"/>
  <c r="AV705" i="4"/>
  <c r="AU705" i="4"/>
  <c r="AV704" i="4"/>
  <c r="AU704" i="4"/>
  <c r="AV703" i="4"/>
  <c r="AU703" i="4"/>
  <c r="AV702" i="4"/>
  <c r="AU702" i="4"/>
  <c r="AV701" i="4"/>
  <c r="AU701" i="4"/>
  <c r="AV700" i="4"/>
  <c r="AU700" i="4"/>
  <c r="AV699" i="4"/>
  <c r="AU699" i="4"/>
  <c r="AV698" i="4"/>
  <c r="AU698" i="4"/>
  <c r="AV697" i="4"/>
  <c r="AU697" i="4"/>
  <c r="AV696" i="4"/>
  <c r="AU696" i="4"/>
  <c r="AV695" i="4"/>
  <c r="AU695" i="4"/>
  <c r="AV694" i="4"/>
  <c r="AU694" i="4"/>
  <c r="AV693" i="4"/>
  <c r="AU693" i="4"/>
  <c r="AV692" i="4"/>
  <c r="AU692" i="4"/>
  <c r="AV691" i="4"/>
  <c r="AU691" i="4"/>
  <c r="AV690" i="4"/>
  <c r="AU690" i="4"/>
  <c r="AV689" i="4"/>
  <c r="AU689" i="4"/>
  <c r="AV688" i="4"/>
  <c r="AU688" i="4"/>
  <c r="AV687" i="4"/>
  <c r="AU687" i="4"/>
  <c r="AV686" i="4"/>
  <c r="AU686" i="4"/>
  <c r="AV685" i="4"/>
  <c r="AU685" i="4"/>
  <c r="AV684" i="4"/>
  <c r="AU684" i="4"/>
  <c r="AV683" i="4"/>
  <c r="AU683" i="4"/>
  <c r="AV682" i="4"/>
  <c r="AU682" i="4"/>
  <c r="AV681" i="4"/>
  <c r="AU681" i="4"/>
  <c r="AV680" i="4"/>
  <c r="AU680" i="4"/>
  <c r="AV679" i="4"/>
  <c r="AU679" i="4"/>
  <c r="AV678" i="4"/>
  <c r="AU678" i="4"/>
  <c r="AV677" i="4"/>
  <c r="AU677" i="4"/>
  <c r="AV676" i="4"/>
  <c r="AU676" i="4"/>
  <c r="AV675" i="4"/>
  <c r="AU675" i="4"/>
  <c r="AV674" i="4"/>
  <c r="AU674" i="4"/>
  <c r="AV673" i="4"/>
  <c r="AU673" i="4"/>
  <c r="AV672" i="4"/>
  <c r="AU672" i="4"/>
  <c r="AV671" i="4"/>
  <c r="AU671" i="4"/>
  <c r="AV670" i="4"/>
  <c r="AU670" i="4"/>
  <c r="AV669" i="4"/>
  <c r="AU669" i="4"/>
  <c r="AV668" i="4"/>
  <c r="AU668" i="4"/>
  <c r="AV667" i="4"/>
  <c r="AU667" i="4"/>
  <c r="AV666" i="4"/>
  <c r="AU666" i="4"/>
  <c r="AV665" i="4"/>
  <c r="AU665" i="4"/>
  <c r="AV664" i="4"/>
  <c r="AU664" i="4"/>
  <c r="AV663" i="4"/>
  <c r="AU663" i="4"/>
  <c r="AV662" i="4"/>
  <c r="AU662" i="4"/>
  <c r="AV661" i="4"/>
  <c r="AU661" i="4"/>
  <c r="AV660" i="4"/>
  <c r="AU660" i="4"/>
  <c r="AV659" i="4"/>
  <c r="AU659" i="4"/>
  <c r="AV658" i="4"/>
  <c r="AU658" i="4"/>
  <c r="AV657" i="4"/>
  <c r="AU657" i="4"/>
  <c r="AV656" i="4"/>
  <c r="AU656" i="4"/>
  <c r="AV655" i="4"/>
  <c r="AU655" i="4"/>
  <c r="AV654" i="4"/>
  <c r="AU654" i="4"/>
  <c r="AV653" i="4"/>
  <c r="AU653" i="4"/>
  <c r="AV652" i="4"/>
  <c r="AU652" i="4"/>
  <c r="AV651" i="4"/>
  <c r="AU651" i="4"/>
  <c r="AV650" i="4"/>
  <c r="AU650" i="4"/>
  <c r="AV649" i="4"/>
  <c r="AU649" i="4"/>
  <c r="AV648" i="4"/>
  <c r="AU648" i="4"/>
  <c r="AV647" i="4"/>
  <c r="AU647" i="4"/>
  <c r="AV646" i="4"/>
  <c r="AU646" i="4"/>
  <c r="AV645" i="4"/>
  <c r="AU645" i="4"/>
  <c r="AV644" i="4"/>
  <c r="AU644" i="4"/>
  <c r="AV643" i="4"/>
  <c r="AU643" i="4"/>
  <c r="AV642" i="4"/>
  <c r="AU642" i="4"/>
  <c r="AV641" i="4"/>
  <c r="AU641" i="4"/>
  <c r="AV640" i="4"/>
  <c r="AU640" i="4"/>
  <c r="AV639" i="4"/>
  <c r="AU639" i="4"/>
  <c r="AV638" i="4"/>
  <c r="AU638" i="4"/>
  <c r="AV637" i="4"/>
  <c r="AU637" i="4"/>
  <c r="AV636" i="4"/>
  <c r="AU636" i="4"/>
  <c r="AV635" i="4"/>
  <c r="AU635" i="4"/>
  <c r="AV634" i="4"/>
  <c r="AU634" i="4"/>
  <c r="AV633" i="4"/>
  <c r="AU633" i="4"/>
  <c r="AV632" i="4"/>
  <c r="AU632" i="4"/>
  <c r="AV631" i="4"/>
  <c r="AU631" i="4"/>
  <c r="AV630" i="4"/>
  <c r="AU630" i="4"/>
  <c r="AV629" i="4"/>
  <c r="AU629" i="4"/>
  <c r="AV628" i="4"/>
  <c r="AU628" i="4"/>
  <c r="AV627" i="4"/>
  <c r="AU627" i="4"/>
  <c r="AV626" i="4"/>
  <c r="AU626" i="4"/>
  <c r="AV625" i="4"/>
  <c r="AU625" i="4"/>
  <c r="AV624" i="4"/>
  <c r="AU624" i="4"/>
  <c r="AV623" i="4"/>
  <c r="AU623" i="4"/>
  <c r="AV622" i="4"/>
  <c r="AU622" i="4"/>
  <c r="AV621" i="4"/>
  <c r="AU621" i="4"/>
  <c r="AV620" i="4"/>
  <c r="AU620" i="4"/>
  <c r="AV619" i="4"/>
  <c r="AU619" i="4"/>
  <c r="AV618" i="4"/>
  <c r="AU618" i="4"/>
  <c r="AV617" i="4"/>
  <c r="AU617" i="4"/>
  <c r="AV616" i="4"/>
  <c r="AU616" i="4"/>
  <c r="AV615" i="4"/>
  <c r="AU615" i="4"/>
  <c r="AV614" i="4"/>
  <c r="AU614" i="4"/>
  <c r="AV613" i="4"/>
  <c r="AU613" i="4"/>
  <c r="AV612" i="4"/>
  <c r="AU612" i="4"/>
  <c r="AV611" i="4"/>
  <c r="AU611" i="4"/>
  <c r="AV610" i="4"/>
  <c r="AU610" i="4"/>
  <c r="AV609" i="4"/>
  <c r="AU609" i="4"/>
  <c r="AV608" i="4"/>
  <c r="AU608" i="4"/>
  <c r="AV607" i="4"/>
  <c r="AU607" i="4"/>
  <c r="AV606" i="4"/>
  <c r="AU606" i="4"/>
  <c r="AV605" i="4"/>
  <c r="AU605" i="4"/>
  <c r="AV604" i="4"/>
  <c r="AU604" i="4"/>
  <c r="AV603" i="4"/>
  <c r="AU603" i="4"/>
  <c r="AV602" i="4"/>
  <c r="AU602" i="4"/>
  <c r="AV601" i="4"/>
  <c r="AU601" i="4"/>
  <c r="AV600" i="4"/>
  <c r="AU600" i="4"/>
  <c r="AV599" i="4"/>
  <c r="AU599" i="4"/>
  <c r="AV598" i="4"/>
  <c r="AU598" i="4"/>
  <c r="AV597" i="4"/>
  <c r="AU597" i="4"/>
  <c r="AV596" i="4"/>
  <c r="AU596" i="4"/>
  <c r="AV595" i="4"/>
  <c r="AU595" i="4"/>
  <c r="AV594" i="4"/>
  <c r="AU594" i="4"/>
  <c r="AV593" i="4"/>
  <c r="AU593" i="4"/>
  <c r="AV592" i="4"/>
  <c r="AU592" i="4"/>
  <c r="AV591" i="4"/>
  <c r="AU591" i="4"/>
  <c r="AV590" i="4"/>
  <c r="AU590" i="4"/>
  <c r="AV589" i="4"/>
  <c r="AU589" i="4"/>
  <c r="AV588" i="4"/>
  <c r="AU588" i="4"/>
  <c r="AV587" i="4"/>
  <c r="AU587" i="4"/>
  <c r="AV586" i="4"/>
  <c r="AU586" i="4"/>
  <c r="AV585" i="4"/>
  <c r="AU585" i="4"/>
  <c r="AV584" i="4"/>
  <c r="AU584" i="4"/>
  <c r="AV583" i="4"/>
  <c r="AU583" i="4"/>
  <c r="AV582" i="4"/>
  <c r="AU582" i="4"/>
  <c r="AV581" i="4"/>
  <c r="AU581" i="4"/>
  <c r="AV580" i="4"/>
  <c r="AU580" i="4"/>
  <c r="AV579" i="4"/>
  <c r="AU579" i="4"/>
  <c r="AV578" i="4"/>
  <c r="AU578" i="4"/>
  <c r="AV577" i="4"/>
  <c r="AU577" i="4"/>
  <c r="AV576" i="4"/>
  <c r="AU576" i="4"/>
  <c r="AV575" i="4"/>
  <c r="AU575" i="4"/>
  <c r="AV574" i="4"/>
  <c r="AU574" i="4"/>
  <c r="AV573" i="4"/>
  <c r="AU573" i="4"/>
  <c r="AV572" i="4"/>
  <c r="AU572" i="4"/>
  <c r="AV571" i="4"/>
  <c r="AU571" i="4"/>
  <c r="AV570" i="4"/>
  <c r="AU570" i="4"/>
  <c r="AV569" i="4"/>
  <c r="AU569" i="4"/>
  <c r="AV568" i="4"/>
  <c r="AU568" i="4"/>
  <c r="AV567" i="4"/>
  <c r="AU567" i="4"/>
  <c r="AV566" i="4"/>
  <c r="AU566" i="4"/>
  <c r="AV565" i="4"/>
  <c r="AU565" i="4"/>
  <c r="AV564" i="4"/>
  <c r="AU564" i="4"/>
  <c r="AV563" i="4"/>
  <c r="AU563" i="4"/>
  <c r="AV562" i="4"/>
  <c r="AU562" i="4"/>
  <c r="AV561" i="4"/>
  <c r="AU561" i="4"/>
  <c r="AV560" i="4"/>
  <c r="AU560" i="4"/>
  <c r="AV559" i="4"/>
  <c r="AU559" i="4"/>
  <c r="AV558" i="4"/>
  <c r="AU558" i="4"/>
  <c r="AV557" i="4"/>
  <c r="AU557" i="4"/>
  <c r="AV556" i="4"/>
  <c r="AU556" i="4"/>
  <c r="AV555" i="4"/>
  <c r="AU555" i="4"/>
  <c r="AV554" i="4"/>
  <c r="AU554" i="4"/>
  <c r="AV553" i="4"/>
  <c r="AU553" i="4"/>
  <c r="AV552" i="4"/>
  <c r="AU552" i="4"/>
  <c r="AV551" i="4"/>
  <c r="AU551" i="4"/>
  <c r="AV550" i="4"/>
  <c r="AU550" i="4"/>
  <c r="AV549" i="4"/>
  <c r="AU549" i="4"/>
  <c r="AV548" i="4"/>
  <c r="AU548" i="4"/>
  <c r="AV547" i="4"/>
  <c r="AU547" i="4"/>
  <c r="AV546" i="4"/>
  <c r="AU546" i="4"/>
  <c r="AV545" i="4"/>
  <c r="AU545" i="4"/>
  <c r="AV544" i="4"/>
  <c r="AU544" i="4"/>
  <c r="AV543" i="4"/>
  <c r="AU543" i="4"/>
  <c r="AV542" i="4"/>
  <c r="AU542" i="4"/>
  <c r="AV541" i="4"/>
  <c r="AU541" i="4"/>
  <c r="AV540" i="4"/>
  <c r="AU540" i="4"/>
  <c r="AV539" i="4"/>
  <c r="AU539" i="4"/>
  <c r="AV538" i="4"/>
  <c r="AU538" i="4"/>
  <c r="AV537" i="4"/>
  <c r="AU537" i="4"/>
  <c r="AV536" i="4"/>
  <c r="AU536" i="4"/>
  <c r="AV535" i="4"/>
  <c r="AU535" i="4"/>
  <c r="AV534" i="4"/>
  <c r="AU534" i="4"/>
  <c r="AV533" i="4"/>
  <c r="AU533" i="4"/>
  <c r="AV532" i="4"/>
  <c r="AU532" i="4"/>
  <c r="AV531" i="4"/>
  <c r="AU531" i="4"/>
  <c r="AV530" i="4"/>
  <c r="AU530" i="4"/>
  <c r="AV529" i="4"/>
  <c r="AU529" i="4"/>
  <c r="AV528" i="4"/>
  <c r="AU528" i="4"/>
  <c r="AV527" i="4"/>
  <c r="AU527" i="4"/>
  <c r="AV526" i="4"/>
  <c r="AU526" i="4"/>
  <c r="AV525" i="4"/>
  <c r="AU525" i="4"/>
  <c r="AV524" i="4"/>
  <c r="AU524" i="4"/>
  <c r="AV523" i="4"/>
  <c r="AU523" i="4"/>
  <c r="AV522" i="4"/>
  <c r="AU522" i="4"/>
  <c r="AV521" i="4"/>
  <c r="AU521" i="4"/>
  <c r="AV520" i="4"/>
  <c r="AU520" i="4"/>
  <c r="AV519" i="4"/>
  <c r="AU519" i="4"/>
  <c r="AV518" i="4"/>
  <c r="AU518" i="4"/>
  <c r="AV517" i="4"/>
  <c r="AU517" i="4"/>
  <c r="AV516" i="4"/>
  <c r="AU516" i="4"/>
  <c r="AV515" i="4"/>
  <c r="AU515" i="4"/>
  <c r="AV514" i="4"/>
  <c r="AU514" i="4"/>
  <c r="AV513" i="4"/>
  <c r="AU513" i="4"/>
  <c r="AV512" i="4"/>
  <c r="AU512" i="4"/>
  <c r="AV511" i="4"/>
  <c r="AU511" i="4"/>
  <c r="AV510" i="4"/>
  <c r="AU510" i="4"/>
  <c r="AV509" i="4"/>
  <c r="AU509" i="4"/>
  <c r="AV508" i="4"/>
  <c r="AU508" i="4"/>
  <c r="AV507" i="4"/>
  <c r="AU507" i="4"/>
  <c r="AV506" i="4"/>
  <c r="AU506" i="4"/>
  <c r="AV505" i="4"/>
  <c r="AU505" i="4"/>
  <c r="AV504" i="4"/>
  <c r="AU504" i="4"/>
  <c r="AV503" i="4"/>
  <c r="AU503" i="4"/>
  <c r="AV502" i="4"/>
  <c r="AU502" i="4"/>
  <c r="AV501" i="4"/>
  <c r="AU501" i="4"/>
  <c r="AV500" i="4"/>
  <c r="AU500" i="4"/>
  <c r="AV499" i="4"/>
  <c r="AU499" i="4"/>
  <c r="AV498" i="4"/>
  <c r="AU498" i="4"/>
  <c r="AV497" i="4"/>
  <c r="AU497" i="4"/>
  <c r="AV496" i="4"/>
  <c r="AU496" i="4"/>
  <c r="AV495" i="4"/>
  <c r="AU495" i="4"/>
  <c r="AV494" i="4"/>
  <c r="AU494" i="4"/>
  <c r="AV493" i="4"/>
  <c r="AU493" i="4"/>
  <c r="AV492" i="4"/>
  <c r="AU492" i="4"/>
  <c r="AV491" i="4"/>
  <c r="AU491" i="4"/>
  <c r="AV490" i="4"/>
  <c r="AU490" i="4"/>
  <c r="AV489" i="4"/>
  <c r="AU489" i="4"/>
  <c r="AV488" i="4"/>
  <c r="AU488" i="4"/>
  <c r="AV487" i="4"/>
  <c r="AU487" i="4"/>
  <c r="AV486" i="4"/>
  <c r="AU486" i="4"/>
  <c r="AV485" i="4"/>
  <c r="AU485" i="4"/>
  <c r="AV484" i="4"/>
  <c r="AU484" i="4"/>
  <c r="AV483" i="4"/>
  <c r="AU483" i="4"/>
  <c r="AV482" i="4"/>
  <c r="AU482" i="4"/>
  <c r="AV481" i="4"/>
  <c r="AU481" i="4"/>
  <c r="AV480" i="4"/>
  <c r="AU480" i="4"/>
  <c r="AV479" i="4"/>
  <c r="AU479" i="4"/>
  <c r="AV478" i="4"/>
  <c r="AU478" i="4"/>
  <c r="AV477" i="4"/>
  <c r="AU477" i="4"/>
  <c r="AV476" i="4"/>
  <c r="AU476" i="4"/>
  <c r="AV475" i="4"/>
  <c r="AU475" i="4"/>
  <c r="AV474" i="4"/>
  <c r="AU474" i="4"/>
  <c r="AV473" i="4"/>
  <c r="AU473" i="4"/>
  <c r="AV472" i="4"/>
  <c r="AU472" i="4"/>
  <c r="AV471" i="4"/>
  <c r="AU471" i="4"/>
  <c r="AV470" i="4"/>
  <c r="AU470" i="4"/>
  <c r="AV469" i="4"/>
  <c r="AU469" i="4"/>
  <c r="AV468" i="4"/>
  <c r="AU468" i="4"/>
  <c r="AV467" i="4"/>
  <c r="AU467" i="4"/>
  <c r="AV466" i="4"/>
  <c r="AU466" i="4"/>
  <c r="AV465" i="4"/>
  <c r="AU465" i="4"/>
  <c r="AV464" i="4"/>
  <c r="AU464" i="4"/>
  <c r="AV463" i="4"/>
  <c r="AU463" i="4"/>
  <c r="AV462" i="4"/>
  <c r="AU462" i="4"/>
  <c r="AV461" i="4"/>
  <c r="AU461" i="4"/>
  <c r="AV460" i="4"/>
  <c r="AU460" i="4"/>
  <c r="AV459" i="4"/>
  <c r="AU459" i="4"/>
  <c r="AV458" i="4"/>
  <c r="AU458" i="4"/>
  <c r="AV457" i="4"/>
  <c r="AU457" i="4"/>
  <c r="AV456" i="4"/>
  <c r="AU456" i="4"/>
  <c r="AV455" i="4"/>
  <c r="AU455" i="4"/>
  <c r="AV454" i="4"/>
  <c r="AU454" i="4"/>
  <c r="AV453" i="4"/>
  <c r="AU453" i="4"/>
  <c r="AV452" i="4"/>
  <c r="AU452" i="4"/>
  <c r="AV451" i="4"/>
  <c r="AU451" i="4"/>
  <c r="AV450" i="4"/>
  <c r="AU450" i="4"/>
  <c r="AV449" i="4"/>
  <c r="AU449" i="4"/>
  <c r="AV448" i="4"/>
  <c r="AU448" i="4"/>
  <c r="AV447" i="4"/>
  <c r="AU447" i="4"/>
  <c r="AV446" i="4"/>
  <c r="AU446" i="4"/>
  <c r="AV445" i="4"/>
  <c r="AU445" i="4"/>
  <c r="AV444" i="4"/>
  <c r="AU444" i="4"/>
  <c r="AV443" i="4"/>
  <c r="AU443" i="4"/>
  <c r="AV442" i="4"/>
  <c r="AU442" i="4"/>
  <c r="AV441" i="4"/>
  <c r="AU441" i="4"/>
  <c r="AV440" i="4"/>
  <c r="AU440" i="4"/>
  <c r="AV439" i="4"/>
  <c r="AU439" i="4"/>
  <c r="AV438" i="4"/>
  <c r="AU438" i="4"/>
  <c r="AV437" i="4"/>
  <c r="AU437" i="4"/>
  <c r="AV436" i="4"/>
  <c r="AU436" i="4"/>
  <c r="AV435" i="4"/>
  <c r="AU435" i="4"/>
  <c r="AV434" i="4"/>
  <c r="AU434" i="4"/>
  <c r="AV433" i="4"/>
  <c r="AU433" i="4"/>
  <c r="AV432" i="4"/>
  <c r="AU432" i="4"/>
  <c r="AV431" i="4"/>
  <c r="AU431" i="4"/>
  <c r="AV430" i="4"/>
  <c r="AU430" i="4"/>
  <c r="AV429" i="4"/>
  <c r="AU429" i="4"/>
  <c r="AV428" i="4"/>
  <c r="AU428" i="4"/>
  <c r="AV427" i="4"/>
  <c r="AU427" i="4"/>
  <c r="AV426" i="4"/>
  <c r="AU426" i="4"/>
  <c r="AV425" i="4"/>
  <c r="AU425" i="4"/>
  <c r="AV424" i="4"/>
  <c r="AU424" i="4"/>
  <c r="AV423" i="4"/>
  <c r="AU423" i="4"/>
  <c r="AV422" i="4"/>
  <c r="AU422" i="4"/>
  <c r="AV421" i="4"/>
  <c r="AU421" i="4"/>
  <c r="AV420" i="4"/>
  <c r="AU420" i="4"/>
  <c r="AV419" i="4"/>
  <c r="AU419" i="4"/>
  <c r="AV418" i="4"/>
  <c r="AU418" i="4"/>
  <c r="AV417" i="4"/>
  <c r="AU417" i="4"/>
  <c r="AV416" i="4"/>
  <c r="AU416" i="4"/>
  <c r="AV415" i="4"/>
  <c r="AU415" i="4"/>
  <c r="AV414" i="4"/>
  <c r="AU414" i="4"/>
  <c r="AV413" i="4"/>
  <c r="AU413" i="4"/>
  <c r="AV412" i="4"/>
  <c r="AU412" i="4"/>
  <c r="AV411" i="4"/>
  <c r="AU411" i="4"/>
  <c r="AV410" i="4"/>
  <c r="AU410" i="4"/>
  <c r="AV409" i="4"/>
  <c r="AU409" i="4"/>
  <c r="AV408" i="4"/>
  <c r="AU408" i="4"/>
  <c r="AV407" i="4"/>
  <c r="AU407" i="4"/>
  <c r="AV406" i="4"/>
  <c r="AU406" i="4"/>
  <c r="AV405" i="4"/>
  <c r="AU405" i="4"/>
  <c r="AV404" i="4"/>
  <c r="AU404" i="4"/>
  <c r="AV403" i="4"/>
  <c r="AU403" i="4"/>
  <c r="AV402" i="4"/>
  <c r="AU402" i="4"/>
  <c r="AV401" i="4"/>
  <c r="AU401" i="4"/>
  <c r="AV400" i="4"/>
  <c r="AU400" i="4"/>
  <c r="AV399" i="4"/>
  <c r="AU399" i="4"/>
  <c r="AV398" i="4"/>
  <c r="AU398" i="4"/>
  <c r="AV397" i="4"/>
  <c r="AU397" i="4"/>
  <c r="AV396" i="4"/>
  <c r="AU396" i="4"/>
  <c r="AV395" i="4"/>
  <c r="AU395" i="4"/>
  <c r="AV394" i="4"/>
  <c r="AU394" i="4"/>
  <c r="AV393" i="4"/>
  <c r="AU393" i="4"/>
  <c r="AV392" i="4"/>
  <c r="AU392" i="4"/>
  <c r="AV391" i="4"/>
  <c r="AU391" i="4"/>
  <c r="AV390" i="4"/>
  <c r="AU390" i="4"/>
  <c r="AV389" i="4"/>
  <c r="AU389" i="4"/>
  <c r="AV388" i="4"/>
  <c r="AU388" i="4"/>
  <c r="AV387" i="4"/>
  <c r="AU387" i="4"/>
  <c r="AV386" i="4"/>
  <c r="AU386" i="4"/>
  <c r="AV385" i="4"/>
  <c r="AU385" i="4"/>
  <c r="AV384" i="4"/>
  <c r="AU384" i="4"/>
  <c r="AV383" i="4"/>
  <c r="AU383" i="4"/>
  <c r="AV382" i="4"/>
  <c r="AU382" i="4"/>
  <c r="AV381" i="4"/>
  <c r="AU381" i="4"/>
  <c r="AV380" i="4"/>
  <c r="AU380" i="4"/>
  <c r="AV379" i="4"/>
  <c r="AU379" i="4"/>
  <c r="AV378" i="4"/>
  <c r="AU378" i="4"/>
  <c r="AV377" i="4"/>
  <c r="AU377" i="4"/>
  <c r="AV376" i="4"/>
  <c r="AU376" i="4"/>
  <c r="AV375" i="4"/>
  <c r="AU375" i="4"/>
  <c r="AV374" i="4"/>
  <c r="AU374" i="4"/>
  <c r="AV373" i="4"/>
  <c r="AU373" i="4"/>
  <c r="AV372" i="4"/>
  <c r="AU372" i="4"/>
  <c r="AV371" i="4"/>
  <c r="AU371" i="4"/>
  <c r="AV370" i="4"/>
  <c r="AU370" i="4"/>
  <c r="AV369" i="4"/>
  <c r="AU369" i="4"/>
  <c r="AV368" i="4"/>
  <c r="AU368" i="4"/>
  <c r="AV367" i="4"/>
  <c r="AU367" i="4"/>
  <c r="AV366" i="4"/>
  <c r="AU366" i="4"/>
  <c r="AV365" i="4"/>
  <c r="AU365" i="4"/>
  <c r="AV364" i="4"/>
  <c r="AU364" i="4"/>
  <c r="AV363" i="4"/>
  <c r="AU363" i="4"/>
  <c r="AV362" i="4"/>
  <c r="AU362" i="4"/>
  <c r="AV361" i="4"/>
  <c r="AU361" i="4"/>
  <c r="AV360" i="4"/>
  <c r="AU360" i="4"/>
  <c r="AV359" i="4"/>
  <c r="AU359" i="4"/>
  <c r="AV358" i="4"/>
  <c r="AU358" i="4"/>
  <c r="AV357" i="4"/>
  <c r="AU357" i="4"/>
  <c r="AV356" i="4"/>
  <c r="AU356" i="4"/>
  <c r="AV355" i="4"/>
  <c r="AU355" i="4"/>
  <c r="AV354" i="4"/>
  <c r="AU354" i="4"/>
  <c r="AV353" i="4"/>
  <c r="AU353" i="4"/>
  <c r="AV352" i="4"/>
  <c r="AU352" i="4"/>
  <c r="AV351" i="4"/>
  <c r="AU351" i="4"/>
  <c r="AV350" i="4"/>
  <c r="AU350" i="4"/>
  <c r="AV349" i="4"/>
  <c r="AU349" i="4"/>
  <c r="AV348" i="4"/>
  <c r="AU348" i="4"/>
  <c r="AV347" i="4"/>
  <c r="AU347" i="4"/>
  <c r="AV346" i="4"/>
  <c r="AU346" i="4"/>
  <c r="AV345" i="4"/>
  <c r="AU345" i="4"/>
  <c r="AV344" i="4"/>
  <c r="AU344" i="4"/>
  <c r="AV343" i="4"/>
  <c r="AU343" i="4"/>
  <c r="AV342" i="4"/>
  <c r="AU342" i="4"/>
  <c r="AV341" i="4"/>
  <c r="AU341" i="4"/>
  <c r="AV340" i="4"/>
  <c r="AU340" i="4"/>
  <c r="AV339" i="4"/>
  <c r="AU339" i="4"/>
  <c r="AV338" i="4"/>
  <c r="AU338" i="4"/>
  <c r="AV337" i="4"/>
  <c r="AU337" i="4"/>
  <c r="AV336" i="4"/>
  <c r="AU336" i="4"/>
  <c r="AV335" i="4"/>
  <c r="AU335" i="4"/>
  <c r="AV334" i="4"/>
  <c r="AU334" i="4"/>
  <c r="AV333" i="4"/>
  <c r="AU333" i="4"/>
  <c r="AV332" i="4"/>
  <c r="AU332" i="4"/>
  <c r="AV331" i="4"/>
  <c r="AU331" i="4"/>
  <c r="AV330" i="4"/>
  <c r="AU330" i="4"/>
  <c r="AV329" i="4"/>
  <c r="AU329" i="4"/>
  <c r="AV328" i="4"/>
  <c r="AU328" i="4"/>
  <c r="AV327" i="4"/>
  <c r="AU327" i="4"/>
  <c r="AV326" i="4"/>
  <c r="AU326" i="4"/>
  <c r="AV325" i="4"/>
  <c r="AU325" i="4"/>
  <c r="AV324" i="4"/>
  <c r="AU324" i="4"/>
  <c r="AV323" i="4"/>
  <c r="AU323" i="4"/>
  <c r="AV322" i="4"/>
  <c r="AU322" i="4"/>
  <c r="AV321" i="4"/>
  <c r="AU321" i="4"/>
  <c r="AV320" i="4"/>
  <c r="AU320" i="4"/>
  <c r="AV319" i="4"/>
  <c r="AU319" i="4"/>
  <c r="AV318" i="4"/>
  <c r="AU318" i="4"/>
  <c r="AV317" i="4"/>
  <c r="AU317" i="4"/>
  <c r="AV316" i="4"/>
  <c r="AU316" i="4"/>
  <c r="AV315" i="4"/>
  <c r="AU315" i="4"/>
  <c r="AV314" i="4"/>
  <c r="AU314" i="4"/>
  <c r="AV313" i="4"/>
  <c r="AU313" i="4"/>
  <c r="AV312" i="4"/>
  <c r="AU312" i="4"/>
  <c r="AV311" i="4"/>
  <c r="AU311" i="4"/>
  <c r="AV310" i="4"/>
  <c r="AU310" i="4"/>
  <c r="AV309" i="4"/>
  <c r="AU309" i="4"/>
  <c r="AV308" i="4"/>
  <c r="AU308" i="4"/>
  <c r="AV307" i="4"/>
  <c r="AU307" i="4"/>
  <c r="AV306" i="4"/>
  <c r="AU306" i="4"/>
  <c r="AV305" i="4"/>
  <c r="AU305" i="4"/>
  <c r="AV304" i="4"/>
  <c r="AU304" i="4"/>
  <c r="AV303" i="4"/>
  <c r="AU303" i="4"/>
  <c r="AV302" i="4"/>
  <c r="AU302" i="4"/>
  <c r="AV301" i="4"/>
  <c r="AU301" i="4"/>
  <c r="AV300" i="4"/>
  <c r="AU300" i="4"/>
  <c r="AV299" i="4"/>
  <c r="AU299" i="4"/>
  <c r="AV298" i="4"/>
  <c r="AU298" i="4"/>
  <c r="AV297" i="4"/>
  <c r="AU297" i="4"/>
  <c r="AV296" i="4"/>
  <c r="AU296" i="4"/>
  <c r="AV295" i="4"/>
  <c r="AU295" i="4"/>
  <c r="AV294" i="4"/>
  <c r="AU294" i="4"/>
  <c r="AV293" i="4"/>
  <c r="AU293" i="4"/>
  <c r="AV292" i="4"/>
  <c r="AU292" i="4"/>
  <c r="AV291" i="4"/>
  <c r="AU291" i="4"/>
  <c r="AV290" i="4"/>
  <c r="AU290" i="4"/>
  <c r="AV289" i="4"/>
  <c r="AU289" i="4"/>
  <c r="AV288" i="4"/>
  <c r="AU288" i="4"/>
  <c r="AV287" i="4"/>
  <c r="AU287" i="4"/>
  <c r="AV286" i="4"/>
  <c r="AU286" i="4"/>
  <c r="AV285" i="4"/>
  <c r="AU285" i="4"/>
  <c r="AV284" i="4"/>
  <c r="AU284" i="4"/>
  <c r="AV283" i="4"/>
  <c r="AU283" i="4"/>
  <c r="AV282" i="4"/>
  <c r="AU282" i="4"/>
  <c r="AV281" i="4"/>
  <c r="AU281" i="4"/>
  <c r="AV280" i="4"/>
  <c r="AU280" i="4"/>
  <c r="AV279" i="4"/>
  <c r="AU279" i="4"/>
  <c r="AV278" i="4"/>
  <c r="AU278" i="4"/>
  <c r="AV277" i="4"/>
  <c r="AU277" i="4"/>
  <c r="AV276" i="4"/>
  <c r="AU276" i="4"/>
  <c r="AV275" i="4"/>
  <c r="AU275" i="4"/>
  <c r="AV274" i="4"/>
  <c r="AU274" i="4"/>
  <c r="AV273" i="4"/>
  <c r="AU273" i="4"/>
  <c r="AV272" i="4"/>
  <c r="AU272" i="4"/>
  <c r="AV271" i="4"/>
  <c r="AU271" i="4"/>
  <c r="AV270" i="4"/>
  <c r="AU270" i="4"/>
  <c r="AV269" i="4"/>
  <c r="AU269" i="4"/>
  <c r="AV268" i="4"/>
  <c r="AU268" i="4"/>
  <c r="AV267" i="4"/>
  <c r="AU267" i="4"/>
  <c r="AV266" i="4"/>
  <c r="AU266" i="4"/>
  <c r="AV265" i="4"/>
  <c r="AU265" i="4"/>
  <c r="AV264" i="4"/>
  <c r="AU264" i="4"/>
  <c r="AV263" i="4"/>
  <c r="AU263" i="4"/>
  <c r="AV262" i="4"/>
  <c r="AU262" i="4"/>
  <c r="AV261" i="4"/>
  <c r="AU261" i="4"/>
  <c r="AV260" i="4"/>
  <c r="AU260" i="4"/>
  <c r="AV259" i="4"/>
  <c r="AU259" i="4"/>
  <c r="AV258" i="4"/>
  <c r="AU258" i="4"/>
  <c r="AV257" i="4"/>
  <c r="AU257" i="4"/>
  <c r="AV256" i="4"/>
  <c r="AU256" i="4"/>
  <c r="AV255" i="4"/>
  <c r="AU255" i="4"/>
  <c r="AV254" i="4"/>
  <c r="AU254" i="4"/>
  <c r="AV253" i="4"/>
  <c r="AU253" i="4"/>
  <c r="AV252" i="4"/>
  <c r="AU252" i="4"/>
  <c r="AV251" i="4"/>
  <c r="AU251" i="4"/>
  <c r="AV250" i="4"/>
  <c r="AU250" i="4"/>
  <c r="AV249" i="4"/>
  <c r="AU249" i="4"/>
  <c r="AV248" i="4"/>
  <c r="AU248" i="4"/>
  <c r="AV247" i="4"/>
  <c r="AU247" i="4"/>
  <c r="AV246" i="4"/>
  <c r="AU246" i="4"/>
  <c r="AV245" i="4"/>
  <c r="AU245" i="4"/>
  <c r="AV244" i="4"/>
  <c r="AU244" i="4"/>
  <c r="AV243" i="4"/>
  <c r="AU243" i="4"/>
  <c r="AV242" i="4"/>
  <c r="AU242" i="4"/>
  <c r="AV241" i="4"/>
  <c r="AU241" i="4"/>
  <c r="AV240" i="4"/>
  <c r="AU240" i="4"/>
  <c r="AV239" i="4"/>
  <c r="AU239" i="4"/>
  <c r="AV238" i="4"/>
  <c r="AU238" i="4"/>
  <c r="AV237" i="4"/>
  <c r="AU237" i="4"/>
  <c r="AV236" i="4"/>
  <c r="AU236" i="4"/>
  <c r="AV235" i="4"/>
  <c r="AU235" i="4"/>
  <c r="AV234" i="4"/>
  <c r="AU234" i="4"/>
  <c r="AV233" i="4"/>
  <c r="AU233" i="4"/>
  <c r="AV232" i="4"/>
  <c r="AU232" i="4"/>
  <c r="AV231" i="4"/>
  <c r="AU231" i="4"/>
  <c r="AV230" i="4"/>
  <c r="AU230" i="4"/>
  <c r="AV229" i="4"/>
  <c r="AU229" i="4"/>
  <c r="AV228" i="4"/>
  <c r="AU228" i="4"/>
  <c r="AV227" i="4"/>
  <c r="AU227" i="4"/>
  <c r="AV226" i="4"/>
  <c r="AU226" i="4"/>
  <c r="AV225" i="4"/>
  <c r="AU225" i="4"/>
  <c r="AV224" i="4"/>
  <c r="AU224" i="4"/>
  <c r="AV223" i="4"/>
  <c r="AU223" i="4"/>
  <c r="AV222" i="4"/>
  <c r="AU222" i="4"/>
  <c r="AV221" i="4"/>
  <c r="AU221" i="4"/>
  <c r="AV220" i="4"/>
  <c r="AU220" i="4"/>
  <c r="AV219" i="4"/>
  <c r="AU219" i="4"/>
  <c r="AV218" i="4"/>
  <c r="AU218" i="4"/>
  <c r="AV217" i="4"/>
  <c r="AU217" i="4"/>
  <c r="AV216" i="4"/>
  <c r="AU216" i="4"/>
  <c r="AV215" i="4"/>
  <c r="AU215" i="4"/>
  <c r="AV214" i="4"/>
  <c r="AU214" i="4"/>
  <c r="AV213" i="4"/>
  <c r="AU213" i="4"/>
  <c r="AV212" i="4"/>
  <c r="AU212" i="4"/>
  <c r="AV211" i="4"/>
  <c r="AU211" i="4"/>
  <c r="AV210" i="4"/>
  <c r="AU210" i="4"/>
  <c r="AV209" i="4"/>
  <c r="AU209" i="4"/>
  <c r="AV208" i="4"/>
  <c r="AU208" i="4"/>
  <c r="AV207" i="4"/>
  <c r="AU207" i="4"/>
  <c r="AV206" i="4"/>
  <c r="AU206" i="4"/>
  <c r="AV205" i="4"/>
  <c r="AU205" i="4"/>
  <c r="AV204" i="4"/>
  <c r="AU204" i="4"/>
  <c r="AV203" i="4"/>
  <c r="AU203" i="4"/>
  <c r="AV202" i="4"/>
  <c r="AU202" i="4"/>
  <c r="AV201" i="4"/>
  <c r="AU201" i="4"/>
  <c r="AV200" i="4"/>
  <c r="AU200" i="4"/>
  <c r="AV199" i="4"/>
  <c r="AU199" i="4"/>
  <c r="AV198" i="4"/>
  <c r="AU198" i="4"/>
  <c r="AV197" i="4"/>
  <c r="AU197" i="4"/>
  <c r="AV196" i="4"/>
  <c r="AU196" i="4"/>
  <c r="AV195" i="4"/>
  <c r="AU195" i="4"/>
  <c r="AV194" i="4"/>
  <c r="AU194" i="4"/>
  <c r="AV193" i="4"/>
  <c r="AU193" i="4"/>
  <c r="AV192" i="4"/>
  <c r="AU192" i="4"/>
  <c r="AV191" i="4"/>
  <c r="AU191" i="4"/>
  <c r="AV190" i="4"/>
  <c r="AU190" i="4"/>
  <c r="AV189" i="4"/>
  <c r="AU189" i="4"/>
  <c r="AV188" i="4"/>
  <c r="AU188" i="4"/>
  <c r="AV187" i="4"/>
  <c r="AU187" i="4"/>
  <c r="AV186" i="4"/>
  <c r="AU186" i="4"/>
  <c r="AV185" i="4"/>
  <c r="AU185" i="4"/>
  <c r="AV184" i="4"/>
  <c r="AU184" i="4"/>
  <c r="AV183" i="4"/>
  <c r="AU183" i="4"/>
  <c r="AV182" i="4"/>
  <c r="AU182" i="4"/>
  <c r="AV181" i="4"/>
  <c r="AU181" i="4"/>
  <c r="AV180" i="4"/>
  <c r="AU180" i="4"/>
  <c r="AV179" i="4"/>
  <c r="AU179" i="4"/>
  <c r="AV178" i="4"/>
  <c r="AU178" i="4"/>
  <c r="AV177" i="4"/>
  <c r="AU177" i="4"/>
  <c r="AV176" i="4"/>
  <c r="AU176" i="4"/>
  <c r="AV175" i="4"/>
  <c r="AU175" i="4"/>
  <c r="AV174" i="4"/>
  <c r="AU174" i="4"/>
  <c r="AV173" i="4"/>
  <c r="AU173" i="4"/>
  <c r="AV172" i="4"/>
  <c r="AU172" i="4"/>
  <c r="AV171" i="4"/>
  <c r="AU171" i="4"/>
  <c r="AV170" i="4"/>
  <c r="AU170" i="4"/>
  <c r="AV169" i="4"/>
  <c r="AU169" i="4"/>
  <c r="AV168" i="4"/>
  <c r="AU168" i="4"/>
  <c r="AV167" i="4"/>
  <c r="AU167" i="4"/>
  <c r="AV166" i="4"/>
  <c r="AU166" i="4"/>
  <c r="AV165" i="4"/>
  <c r="AU165" i="4"/>
  <c r="AV164" i="4"/>
  <c r="AU164" i="4"/>
  <c r="AV163" i="4"/>
  <c r="AU163" i="4"/>
  <c r="AV162" i="4"/>
  <c r="AU162" i="4"/>
  <c r="AV161" i="4"/>
  <c r="AU161" i="4"/>
  <c r="AV160" i="4"/>
  <c r="AU160" i="4"/>
  <c r="AV159" i="4"/>
  <c r="AU159" i="4"/>
  <c r="AV158" i="4"/>
  <c r="AU158" i="4"/>
  <c r="AV157" i="4"/>
  <c r="AU157" i="4"/>
  <c r="AV156" i="4"/>
  <c r="AU156" i="4"/>
  <c r="AV155" i="4"/>
  <c r="AU155" i="4"/>
  <c r="AV154" i="4"/>
  <c r="AU154" i="4"/>
  <c r="AV153" i="4"/>
  <c r="AU153" i="4"/>
  <c r="AV152" i="4"/>
  <c r="AU152" i="4"/>
  <c r="AV151" i="4"/>
  <c r="AU151" i="4"/>
  <c r="AV150" i="4"/>
  <c r="AU150" i="4"/>
  <c r="AV149" i="4"/>
  <c r="AU149" i="4"/>
  <c r="AV148" i="4"/>
  <c r="AU148" i="4"/>
  <c r="AV147" i="4"/>
  <c r="AU147" i="4"/>
  <c r="AV146" i="4"/>
  <c r="AU146" i="4"/>
  <c r="AV145" i="4"/>
  <c r="AU145" i="4"/>
  <c r="AV144" i="4"/>
  <c r="AU144" i="4"/>
  <c r="AV143" i="4"/>
  <c r="AU143" i="4"/>
  <c r="AV142" i="4"/>
  <c r="AU142" i="4"/>
  <c r="AV141" i="4"/>
  <c r="AU141" i="4"/>
  <c r="AV140" i="4"/>
  <c r="AU140" i="4"/>
  <c r="AV139" i="4"/>
  <c r="AU139" i="4"/>
  <c r="AV138" i="4"/>
  <c r="AU138" i="4"/>
  <c r="AV137" i="4"/>
  <c r="AU137" i="4"/>
  <c r="AV136" i="4"/>
  <c r="AU136" i="4"/>
  <c r="AV135" i="4"/>
  <c r="AU135" i="4"/>
  <c r="AV134" i="4"/>
  <c r="AU134" i="4"/>
  <c r="AV133" i="4"/>
  <c r="AU133" i="4"/>
  <c r="AV132" i="4"/>
  <c r="AU132" i="4"/>
  <c r="AV131" i="4"/>
  <c r="AU131" i="4"/>
  <c r="AV130" i="4"/>
  <c r="AU130" i="4"/>
  <c r="AV129" i="4"/>
  <c r="AU129" i="4"/>
  <c r="AV128" i="4"/>
  <c r="AU128" i="4"/>
  <c r="AV127" i="4"/>
  <c r="AU127" i="4"/>
  <c r="AV126" i="4"/>
  <c r="AU126" i="4"/>
  <c r="AV125" i="4"/>
  <c r="AU125" i="4"/>
  <c r="AV124" i="4"/>
  <c r="AU124" i="4"/>
  <c r="AV123" i="4"/>
  <c r="AU123" i="4"/>
  <c r="AV122" i="4"/>
  <c r="AU122" i="4"/>
  <c r="AV121" i="4"/>
  <c r="AU121" i="4"/>
  <c r="AV120" i="4"/>
  <c r="AU120" i="4"/>
  <c r="AV119" i="4"/>
  <c r="AU119" i="4"/>
  <c r="AV118" i="4"/>
  <c r="AU118" i="4"/>
  <c r="AV117" i="4"/>
  <c r="AU117" i="4"/>
  <c r="AV116" i="4"/>
  <c r="AU116" i="4"/>
  <c r="AV115" i="4"/>
  <c r="AU115" i="4"/>
  <c r="AV114" i="4"/>
  <c r="AU114" i="4"/>
  <c r="AV113" i="4"/>
  <c r="AU113" i="4"/>
  <c r="AV112" i="4"/>
  <c r="AU112" i="4"/>
  <c r="AV111" i="4"/>
  <c r="AU111" i="4"/>
  <c r="AV110" i="4"/>
  <c r="AU110" i="4"/>
  <c r="AV109" i="4"/>
  <c r="AU109" i="4"/>
  <c r="AV108" i="4"/>
  <c r="AU108" i="4"/>
  <c r="AV107" i="4"/>
  <c r="AU107" i="4"/>
  <c r="AV106" i="4"/>
  <c r="AU106" i="4"/>
  <c r="AV105" i="4"/>
  <c r="AU105" i="4"/>
  <c r="AV104" i="4"/>
  <c r="AU104" i="4"/>
  <c r="AV103" i="4"/>
  <c r="AU103" i="4"/>
  <c r="AV102" i="4"/>
  <c r="AU102" i="4"/>
  <c r="AV101" i="4"/>
  <c r="AU101" i="4"/>
  <c r="AV100" i="4"/>
  <c r="AU100" i="4"/>
  <c r="AV99" i="4"/>
  <c r="AU99" i="4"/>
  <c r="AV98" i="4"/>
  <c r="AU98" i="4"/>
  <c r="AV97" i="4"/>
  <c r="AU97" i="4"/>
  <c r="AV96" i="4"/>
  <c r="AU96" i="4"/>
  <c r="AV95" i="4"/>
  <c r="AU95" i="4"/>
  <c r="AV94" i="4"/>
  <c r="AU94" i="4"/>
  <c r="AV93" i="4"/>
  <c r="AU93" i="4"/>
  <c r="AV92" i="4"/>
  <c r="AU92" i="4"/>
  <c r="AV91" i="4"/>
  <c r="AU91" i="4"/>
  <c r="AV90" i="4"/>
  <c r="AU90" i="4"/>
  <c r="AV89" i="4"/>
  <c r="AU89" i="4"/>
  <c r="AV88" i="4"/>
  <c r="AU88" i="4"/>
  <c r="AV87" i="4"/>
  <c r="AU87" i="4"/>
  <c r="AV86" i="4"/>
  <c r="AU86" i="4"/>
  <c r="AV85" i="4"/>
  <c r="AU85" i="4"/>
  <c r="AV84" i="4"/>
  <c r="AU84" i="4"/>
  <c r="AV83" i="4"/>
  <c r="AU83" i="4"/>
  <c r="AV82" i="4"/>
  <c r="AU82" i="4"/>
  <c r="AV81" i="4"/>
  <c r="AU81" i="4"/>
  <c r="AV80" i="4"/>
  <c r="AU80" i="4"/>
  <c r="AV79" i="4"/>
  <c r="AU79" i="4"/>
  <c r="AV78" i="4"/>
  <c r="AU78" i="4"/>
  <c r="AV77" i="4"/>
  <c r="AU77" i="4"/>
  <c r="AV76" i="4"/>
  <c r="AU76" i="4"/>
  <c r="AV75" i="4"/>
  <c r="AU75" i="4"/>
  <c r="AV74" i="4"/>
  <c r="AU74" i="4"/>
  <c r="AV73" i="4"/>
  <c r="AU73" i="4"/>
  <c r="AV72" i="4"/>
  <c r="AU72" i="4"/>
  <c r="AV71" i="4"/>
  <c r="AU71" i="4"/>
  <c r="AV70" i="4"/>
  <c r="AU70" i="4"/>
  <c r="AV69" i="4"/>
  <c r="AU69" i="4"/>
  <c r="AV68" i="4"/>
  <c r="AU68" i="4"/>
  <c r="AV67" i="4"/>
  <c r="AU67" i="4"/>
  <c r="AV66" i="4"/>
  <c r="AU66" i="4"/>
  <c r="AV65" i="4"/>
  <c r="AU65" i="4"/>
  <c r="AV64" i="4"/>
  <c r="AU64" i="4"/>
  <c r="AV63" i="4"/>
  <c r="AU63" i="4"/>
  <c r="AV62" i="4"/>
  <c r="AU62" i="4"/>
  <c r="AV61" i="4"/>
  <c r="AU61" i="4"/>
  <c r="AV60" i="4"/>
  <c r="AU60" i="4"/>
  <c r="AV59" i="4"/>
  <c r="AU59" i="4"/>
  <c r="AV58" i="4"/>
  <c r="AU58" i="4"/>
  <c r="AV57" i="4"/>
  <c r="AU57" i="4"/>
  <c r="AV56" i="4"/>
  <c r="AU56" i="4"/>
  <c r="AV55" i="4"/>
  <c r="AU55" i="4"/>
  <c r="AV54" i="4"/>
  <c r="AU54" i="4"/>
  <c r="AV53" i="4"/>
  <c r="AU53" i="4"/>
  <c r="AV52" i="4"/>
  <c r="AU52" i="4"/>
  <c r="AV51" i="4"/>
  <c r="AU51" i="4"/>
  <c r="AV50" i="4"/>
  <c r="AU50" i="4"/>
  <c r="AV49" i="4"/>
  <c r="AU49" i="4"/>
  <c r="AV48" i="4"/>
  <c r="AU48" i="4"/>
  <c r="AV47" i="4"/>
  <c r="AU47" i="4"/>
  <c r="AV46" i="4"/>
  <c r="AU46" i="4"/>
  <c r="AV45" i="4"/>
  <c r="AU45" i="4"/>
  <c r="AV44" i="4"/>
  <c r="AU44" i="4"/>
  <c r="AV43" i="4"/>
  <c r="AU43" i="4"/>
  <c r="AV42" i="4"/>
  <c r="AU42" i="4"/>
  <c r="AV41" i="4"/>
  <c r="AU41" i="4"/>
  <c r="AV40" i="4"/>
  <c r="AU40" i="4"/>
  <c r="AV39" i="4"/>
  <c r="AU39" i="4"/>
  <c r="AV38" i="4"/>
  <c r="AU38" i="4"/>
  <c r="AV37" i="4"/>
  <c r="AU37" i="4"/>
  <c r="AV36" i="4"/>
  <c r="AU36" i="4"/>
  <c r="AV35" i="4"/>
  <c r="AU35" i="4"/>
  <c r="AV34" i="4"/>
  <c r="AU34" i="4"/>
  <c r="AV33" i="4"/>
  <c r="AU33" i="4"/>
  <c r="AV32" i="4"/>
  <c r="AU32" i="4"/>
  <c r="AV31" i="4"/>
  <c r="AU31" i="4"/>
  <c r="AV30" i="4"/>
  <c r="AU30" i="4"/>
  <c r="AV29" i="4"/>
  <c r="AU29" i="4"/>
  <c r="AV28" i="4"/>
  <c r="AU28" i="4"/>
  <c r="AV27" i="4"/>
  <c r="AU27" i="4"/>
  <c r="AV26" i="4"/>
  <c r="AU26" i="4"/>
  <c r="AV25" i="4"/>
  <c r="AU25" i="4"/>
  <c r="AV24" i="4"/>
  <c r="AU24" i="4"/>
  <c r="AV23" i="4"/>
  <c r="AU23" i="4"/>
  <c r="AV22" i="4"/>
  <c r="AU22" i="4"/>
  <c r="AV21" i="4"/>
  <c r="AU21" i="4"/>
  <c r="AV20" i="4"/>
  <c r="AU20" i="4"/>
  <c r="AV19" i="4"/>
  <c r="AU19" i="4"/>
  <c r="AV18" i="4"/>
  <c r="AU18" i="4"/>
  <c r="AV17" i="4"/>
  <c r="AU17" i="4"/>
  <c r="AV16" i="4"/>
  <c r="AU16" i="4"/>
  <c r="AV15" i="4"/>
  <c r="AU15" i="4"/>
  <c r="AV14" i="4"/>
  <c r="AU14" i="4"/>
  <c r="AV13" i="4"/>
  <c r="AU13" i="4"/>
  <c r="AV12" i="4"/>
  <c r="AU12" i="4"/>
  <c r="AV11" i="4"/>
  <c r="AU11" i="4"/>
  <c r="AV10" i="4"/>
  <c r="AU10" i="4"/>
  <c r="AV9" i="4"/>
  <c r="AU9" i="4"/>
  <c r="AV8" i="4"/>
  <c r="AU8" i="4"/>
  <c r="AV7" i="4"/>
  <c r="AU7" i="4"/>
  <c r="AV6" i="4"/>
  <c r="AU6" i="4"/>
  <c r="AV5" i="4"/>
  <c r="AU5" i="4"/>
  <c r="AV4" i="4"/>
  <c r="AU4" i="4"/>
  <c r="AV3" i="4"/>
  <c r="AU3" i="4"/>
  <c r="AV2" i="4"/>
  <c r="AU2" i="4"/>
  <c r="AS1001" i="4"/>
  <c r="AR1001" i="4"/>
  <c r="AS1000" i="4"/>
  <c r="AR1000" i="4"/>
  <c r="AS999" i="4"/>
  <c r="AR999" i="4"/>
  <c r="AS998" i="4"/>
  <c r="AR998" i="4"/>
  <c r="AS997" i="4"/>
  <c r="AR997" i="4"/>
  <c r="AS996" i="4"/>
  <c r="AR996" i="4"/>
  <c r="AS995" i="4"/>
  <c r="AR995" i="4"/>
  <c r="AS994" i="4"/>
  <c r="AR994" i="4"/>
  <c r="AS993" i="4"/>
  <c r="AR993" i="4"/>
  <c r="AS992" i="4"/>
  <c r="AR992" i="4"/>
  <c r="AS991" i="4"/>
  <c r="AR991" i="4"/>
  <c r="AS990" i="4"/>
  <c r="AR990" i="4"/>
  <c r="AS989" i="4"/>
  <c r="AR989" i="4"/>
  <c r="AS988" i="4"/>
  <c r="AR988" i="4"/>
  <c r="AS987" i="4"/>
  <c r="AR987" i="4"/>
  <c r="AS986" i="4"/>
  <c r="AR986" i="4"/>
  <c r="AS985" i="4"/>
  <c r="AR985" i="4"/>
  <c r="AS984" i="4"/>
  <c r="AR984" i="4"/>
  <c r="AS983" i="4"/>
  <c r="AR983" i="4"/>
  <c r="AS982" i="4"/>
  <c r="AR982" i="4"/>
  <c r="AS981" i="4"/>
  <c r="AR981" i="4"/>
  <c r="AS980" i="4"/>
  <c r="AR980" i="4"/>
  <c r="AS979" i="4"/>
  <c r="AR979" i="4"/>
  <c r="AS978" i="4"/>
  <c r="AR978" i="4"/>
  <c r="AS977" i="4"/>
  <c r="AR977" i="4"/>
  <c r="AS976" i="4"/>
  <c r="AR976" i="4"/>
  <c r="AS975" i="4"/>
  <c r="AR975" i="4"/>
  <c r="AS974" i="4"/>
  <c r="AR974" i="4"/>
  <c r="AS973" i="4"/>
  <c r="AR973" i="4"/>
  <c r="AS972" i="4"/>
  <c r="AR972" i="4"/>
  <c r="AS971" i="4"/>
  <c r="AR971" i="4"/>
  <c r="AS970" i="4"/>
  <c r="AR970" i="4"/>
  <c r="AS969" i="4"/>
  <c r="AR969" i="4"/>
  <c r="AS968" i="4"/>
  <c r="AR968" i="4"/>
  <c r="AS967" i="4"/>
  <c r="AR967" i="4"/>
  <c r="AS966" i="4"/>
  <c r="AR966" i="4"/>
  <c r="AS965" i="4"/>
  <c r="AR965" i="4"/>
  <c r="AS964" i="4"/>
  <c r="AR964" i="4"/>
  <c r="AS963" i="4"/>
  <c r="AR963" i="4"/>
  <c r="AS962" i="4"/>
  <c r="AR962" i="4"/>
  <c r="AS961" i="4"/>
  <c r="AR961" i="4"/>
  <c r="AS960" i="4"/>
  <c r="AR960" i="4"/>
  <c r="AS959" i="4"/>
  <c r="AR959" i="4"/>
  <c r="AS958" i="4"/>
  <c r="AR958" i="4"/>
  <c r="AS957" i="4"/>
  <c r="AR957" i="4"/>
  <c r="AS956" i="4"/>
  <c r="AR956" i="4"/>
  <c r="AS955" i="4"/>
  <c r="AR955" i="4"/>
  <c r="AS954" i="4"/>
  <c r="AR954" i="4"/>
  <c r="AS953" i="4"/>
  <c r="AR953" i="4"/>
  <c r="AS952" i="4"/>
  <c r="AR952" i="4"/>
  <c r="AS951" i="4"/>
  <c r="AR951" i="4"/>
  <c r="AS950" i="4"/>
  <c r="AR950" i="4"/>
  <c r="AS949" i="4"/>
  <c r="AR949" i="4"/>
  <c r="AS948" i="4"/>
  <c r="AR948" i="4"/>
  <c r="AS947" i="4"/>
  <c r="AR947" i="4"/>
  <c r="AS946" i="4"/>
  <c r="AR946" i="4"/>
  <c r="AS945" i="4"/>
  <c r="AR945" i="4"/>
  <c r="AS944" i="4"/>
  <c r="AR944" i="4"/>
  <c r="AS943" i="4"/>
  <c r="AR943" i="4"/>
  <c r="AS942" i="4"/>
  <c r="AR942" i="4"/>
  <c r="AS941" i="4"/>
  <c r="AR941" i="4"/>
  <c r="AS940" i="4"/>
  <c r="AR940" i="4"/>
  <c r="AS939" i="4"/>
  <c r="AR939" i="4"/>
  <c r="AS938" i="4"/>
  <c r="AR938" i="4"/>
  <c r="AS937" i="4"/>
  <c r="AR937" i="4"/>
  <c r="AS936" i="4"/>
  <c r="AR936" i="4"/>
  <c r="AS935" i="4"/>
  <c r="AR935" i="4"/>
  <c r="AS934" i="4"/>
  <c r="AR934" i="4"/>
  <c r="AS933" i="4"/>
  <c r="AR933" i="4"/>
  <c r="AS932" i="4"/>
  <c r="AR932" i="4"/>
  <c r="AS931" i="4"/>
  <c r="AR931" i="4"/>
  <c r="AS930" i="4"/>
  <c r="AR930" i="4"/>
  <c r="AS929" i="4"/>
  <c r="AR929" i="4"/>
  <c r="AS928" i="4"/>
  <c r="AR928" i="4"/>
  <c r="AS927" i="4"/>
  <c r="AR927" i="4"/>
  <c r="AS926" i="4"/>
  <c r="AR926" i="4"/>
  <c r="AS925" i="4"/>
  <c r="AR925" i="4"/>
  <c r="AS924" i="4"/>
  <c r="AR924" i="4"/>
  <c r="AS923" i="4"/>
  <c r="AR923" i="4"/>
  <c r="AS922" i="4"/>
  <c r="AR922" i="4"/>
  <c r="AS921" i="4"/>
  <c r="AR921" i="4"/>
  <c r="AS920" i="4"/>
  <c r="AR920" i="4"/>
  <c r="AS919" i="4"/>
  <c r="AR919" i="4"/>
  <c r="AS918" i="4"/>
  <c r="AR918" i="4"/>
  <c r="AS917" i="4"/>
  <c r="AR917" i="4"/>
  <c r="AS916" i="4"/>
  <c r="AR916" i="4"/>
  <c r="AS915" i="4"/>
  <c r="AR915" i="4"/>
  <c r="AS914" i="4"/>
  <c r="AR914" i="4"/>
  <c r="AS913" i="4"/>
  <c r="AR913" i="4"/>
  <c r="AS912" i="4"/>
  <c r="AR912" i="4"/>
  <c r="AS911" i="4"/>
  <c r="AR911" i="4"/>
  <c r="AS910" i="4"/>
  <c r="AR910" i="4"/>
  <c r="AS909" i="4"/>
  <c r="AR909" i="4"/>
  <c r="AS908" i="4"/>
  <c r="AR908" i="4"/>
  <c r="AS907" i="4"/>
  <c r="AR907" i="4"/>
  <c r="AS906" i="4"/>
  <c r="AR906" i="4"/>
  <c r="AS905" i="4"/>
  <c r="AR905" i="4"/>
  <c r="AS904" i="4"/>
  <c r="AR904" i="4"/>
  <c r="AS903" i="4"/>
  <c r="AR903" i="4"/>
  <c r="AS902" i="4"/>
  <c r="AR902" i="4"/>
  <c r="AS901" i="4"/>
  <c r="AR901" i="4"/>
  <c r="AS900" i="4"/>
  <c r="AR900" i="4"/>
  <c r="AS899" i="4"/>
  <c r="AR899" i="4"/>
  <c r="AS898" i="4"/>
  <c r="AR898" i="4"/>
  <c r="AS897" i="4"/>
  <c r="AR897" i="4"/>
  <c r="AS896" i="4"/>
  <c r="AR896" i="4"/>
  <c r="AS895" i="4"/>
  <c r="AR895" i="4"/>
  <c r="AS894" i="4"/>
  <c r="AR894" i="4"/>
  <c r="AS893" i="4"/>
  <c r="AR893" i="4"/>
  <c r="AS892" i="4"/>
  <c r="AR892" i="4"/>
  <c r="AS891" i="4"/>
  <c r="AR891" i="4"/>
  <c r="AS890" i="4"/>
  <c r="AR890" i="4"/>
  <c r="AS889" i="4"/>
  <c r="AR889" i="4"/>
  <c r="AS888" i="4"/>
  <c r="AR888" i="4"/>
  <c r="AS887" i="4"/>
  <c r="AR887" i="4"/>
  <c r="AS886" i="4"/>
  <c r="AR886" i="4"/>
  <c r="AS885" i="4"/>
  <c r="AR885" i="4"/>
  <c r="AS884" i="4"/>
  <c r="AR884" i="4"/>
  <c r="AS883" i="4"/>
  <c r="AR883" i="4"/>
  <c r="AS882" i="4"/>
  <c r="AR882" i="4"/>
  <c r="AS881" i="4"/>
  <c r="AR881" i="4"/>
  <c r="AS880" i="4"/>
  <c r="AR880" i="4"/>
  <c r="AS879" i="4"/>
  <c r="AR879" i="4"/>
  <c r="AS878" i="4"/>
  <c r="AR878" i="4"/>
  <c r="AS877" i="4"/>
  <c r="AR877" i="4"/>
  <c r="AS876" i="4"/>
  <c r="AR876" i="4"/>
  <c r="AS875" i="4"/>
  <c r="AR875" i="4"/>
  <c r="AS874" i="4"/>
  <c r="AR874" i="4"/>
  <c r="AS873" i="4"/>
  <c r="AR873" i="4"/>
  <c r="AS872" i="4"/>
  <c r="AR872" i="4"/>
  <c r="AS871" i="4"/>
  <c r="AR871" i="4"/>
  <c r="AS870" i="4"/>
  <c r="AR870" i="4"/>
  <c r="AS869" i="4"/>
  <c r="AR869" i="4"/>
  <c r="AS868" i="4"/>
  <c r="AR868" i="4"/>
  <c r="AS867" i="4"/>
  <c r="AR867" i="4"/>
  <c r="AS866" i="4"/>
  <c r="AR866" i="4"/>
  <c r="AS865" i="4"/>
  <c r="AR865" i="4"/>
  <c r="AS864" i="4"/>
  <c r="AR864" i="4"/>
  <c r="AS863" i="4"/>
  <c r="AR863" i="4"/>
  <c r="AS862" i="4"/>
  <c r="AR862" i="4"/>
  <c r="AS861" i="4"/>
  <c r="AR861" i="4"/>
  <c r="AS860" i="4"/>
  <c r="AR860" i="4"/>
  <c r="AS859" i="4"/>
  <c r="AR859" i="4"/>
  <c r="AS858" i="4"/>
  <c r="AR858" i="4"/>
  <c r="AS857" i="4"/>
  <c r="AR857" i="4"/>
  <c r="AS856" i="4"/>
  <c r="AR856" i="4"/>
  <c r="AS855" i="4"/>
  <c r="AR855" i="4"/>
  <c r="AS854" i="4"/>
  <c r="AR854" i="4"/>
  <c r="AS853" i="4"/>
  <c r="AR853" i="4"/>
  <c r="AS852" i="4"/>
  <c r="AR852" i="4"/>
  <c r="AS851" i="4"/>
  <c r="AR851" i="4"/>
  <c r="AS850" i="4"/>
  <c r="AR850" i="4"/>
  <c r="AS849" i="4"/>
  <c r="AR849" i="4"/>
  <c r="AS848" i="4"/>
  <c r="AR848" i="4"/>
  <c r="AS847" i="4"/>
  <c r="AR847" i="4"/>
  <c r="AS846" i="4"/>
  <c r="AR846" i="4"/>
  <c r="AS845" i="4"/>
  <c r="AR845" i="4"/>
  <c r="AS844" i="4"/>
  <c r="AR844" i="4"/>
  <c r="AS843" i="4"/>
  <c r="AR843" i="4"/>
  <c r="AS842" i="4"/>
  <c r="AR842" i="4"/>
  <c r="AS841" i="4"/>
  <c r="AR841" i="4"/>
  <c r="AS840" i="4"/>
  <c r="AR840" i="4"/>
  <c r="AS839" i="4"/>
  <c r="AR839" i="4"/>
  <c r="AS838" i="4"/>
  <c r="AR838" i="4"/>
  <c r="AS837" i="4"/>
  <c r="AR837" i="4"/>
  <c r="AS836" i="4"/>
  <c r="AR836" i="4"/>
  <c r="AS835" i="4"/>
  <c r="AR835" i="4"/>
  <c r="AS834" i="4"/>
  <c r="AR834" i="4"/>
  <c r="AS833" i="4"/>
  <c r="AR833" i="4"/>
  <c r="AS832" i="4"/>
  <c r="AR832" i="4"/>
  <c r="AS831" i="4"/>
  <c r="AR831" i="4"/>
  <c r="AS830" i="4"/>
  <c r="AR830" i="4"/>
  <c r="AS829" i="4"/>
  <c r="AR829" i="4"/>
  <c r="AS828" i="4"/>
  <c r="AR828" i="4"/>
  <c r="AS827" i="4"/>
  <c r="AR827" i="4"/>
  <c r="AS826" i="4"/>
  <c r="AR826" i="4"/>
  <c r="AS825" i="4"/>
  <c r="AR825" i="4"/>
  <c r="AS824" i="4"/>
  <c r="AR824" i="4"/>
  <c r="AS823" i="4"/>
  <c r="AR823" i="4"/>
  <c r="AS822" i="4"/>
  <c r="AR822" i="4"/>
  <c r="AS821" i="4"/>
  <c r="AR821" i="4"/>
  <c r="AS820" i="4"/>
  <c r="AR820" i="4"/>
  <c r="AS819" i="4"/>
  <c r="AR819" i="4"/>
  <c r="AS818" i="4"/>
  <c r="AR818" i="4"/>
  <c r="AS817" i="4"/>
  <c r="AR817" i="4"/>
  <c r="AS816" i="4"/>
  <c r="AR816" i="4"/>
  <c r="AS815" i="4"/>
  <c r="AR815" i="4"/>
  <c r="AS814" i="4"/>
  <c r="AR814" i="4"/>
  <c r="AS813" i="4"/>
  <c r="AR813" i="4"/>
  <c r="AS812" i="4"/>
  <c r="AR812" i="4"/>
  <c r="AS811" i="4"/>
  <c r="AR811" i="4"/>
  <c r="AS810" i="4"/>
  <c r="AR810" i="4"/>
  <c r="AS809" i="4"/>
  <c r="AR809" i="4"/>
  <c r="AS808" i="4"/>
  <c r="AR808" i="4"/>
  <c r="AS807" i="4"/>
  <c r="AR807" i="4"/>
  <c r="AS806" i="4"/>
  <c r="AR806" i="4"/>
  <c r="AS805" i="4"/>
  <c r="AR805" i="4"/>
  <c r="AS804" i="4"/>
  <c r="AR804" i="4"/>
  <c r="AS803" i="4"/>
  <c r="AR803" i="4"/>
  <c r="AS802" i="4"/>
  <c r="AR802" i="4"/>
  <c r="AS801" i="4"/>
  <c r="AR801" i="4"/>
  <c r="AS800" i="4"/>
  <c r="AR800" i="4"/>
  <c r="AS799" i="4"/>
  <c r="AR799" i="4"/>
  <c r="AS798" i="4"/>
  <c r="AR798" i="4"/>
  <c r="AS797" i="4"/>
  <c r="AR797" i="4"/>
  <c r="AS796" i="4"/>
  <c r="AR796" i="4"/>
  <c r="AS795" i="4"/>
  <c r="AR795" i="4"/>
  <c r="AS794" i="4"/>
  <c r="AR794" i="4"/>
  <c r="AS793" i="4"/>
  <c r="AR793" i="4"/>
  <c r="AS792" i="4"/>
  <c r="AR792" i="4"/>
  <c r="AS791" i="4"/>
  <c r="AR791" i="4"/>
  <c r="AS790" i="4"/>
  <c r="AR790" i="4"/>
  <c r="AS789" i="4"/>
  <c r="AR789" i="4"/>
  <c r="AS788" i="4"/>
  <c r="AR788" i="4"/>
  <c r="AS787" i="4"/>
  <c r="AR787" i="4"/>
  <c r="AS786" i="4"/>
  <c r="AR786" i="4"/>
  <c r="AS785" i="4"/>
  <c r="AR785" i="4"/>
  <c r="AS784" i="4"/>
  <c r="AR784" i="4"/>
  <c r="AS783" i="4"/>
  <c r="AR783" i="4"/>
  <c r="AS782" i="4"/>
  <c r="AR782" i="4"/>
  <c r="AS781" i="4"/>
  <c r="AR781" i="4"/>
  <c r="AS780" i="4"/>
  <c r="AR780" i="4"/>
  <c r="AS779" i="4"/>
  <c r="AR779" i="4"/>
  <c r="AS778" i="4"/>
  <c r="AR778" i="4"/>
  <c r="AS777" i="4"/>
  <c r="AR777" i="4"/>
  <c r="AS776" i="4"/>
  <c r="AR776" i="4"/>
  <c r="AS775" i="4"/>
  <c r="AR775" i="4"/>
  <c r="AS774" i="4"/>
  <c r="AR774" i="4"/>
  <c r="AS773" i="4"/>
  <c r="AR773" i="4"/>
  <c r="AS772" i="4"/>
  <c r="AR772" i="4"/>
  <c r="AS771" i="4"/>
  <c r="AR771" i="4"/>
  <c r="AS770" i="4"/>
  <c r="AR770" i="4"/>
  <c r="AS769" i="4"/>
  <c r="AR769" i="4"/>
  <c r="AS768" i="4"/>
  <c r="AR768" i="4"/>
  <c r="AS767" i="4"/>
  <c r="AR767" i="4"/>
  <c r="AS766" i="4"/>
  <c r="AR766" i="4"/>
  <c r="AS765" i="4"/>
  <c r="AR765" i="4"/>
  <c r="AS764" i="4"/>
  <c r="AR764" i="4"/>
  <c r="AS763" i="4"/>
  <c r="AR763" i="4"/>
  <c r="AS762" i="4"/>
  <c r="AR762" i="4"/>
  <c r="AS761" i="4"/>
  <c r="AR761" i="4"/>
  <c r="AS760" i="4"/>
  <c r="AR760" i="4"/>
  <c r="AS759" i="4"/>
  <c r="AR759" i="4"/>
  <c r="AS758" i="4"/>
  <c r="AR758" i="4"/>
  <c r="AS757" i="4"/>
  <c r="AR757" i="4"/>
  <c r="AS756" i="4"/>
  <c r="AR756" i="4"/>
  <c r="AS755" i="4"/>
  <c r="AR755" i="4"/>
  <c r="AS754" i="4"/>
  <c r="AR754" i="4"/>
  <c r="AS753" i="4"/>
  <c r="AR753" i="4"/>
  <c r="AS752" i="4"/>
  <c r="AR752" i="4"/>
  <c r="AS751" i="4"/>
  <c r="AR751" i="4"/>
  <c r="AS750" i="4"/>
  <c r="AR750" i="4"/>
  <c r="AS749" i="4"/>
  <c r="AR749" i="4"/>
  <c r="AS748" i="4"/>
  <c r="AR748" i="4"/>
  <c r="AS747" i="4"/>
  <c r="AR747" i="4"/>
  <c r="AS746" i="4"/>
  <c r="AR746" i="4"/>
  <c r="AS745" i="4"/>
  <c r="AR745" i="4"/>
  <c r="AS744" i="4"/>
  <c r="AR744" i="4"/>
  <c r="AS743" i="4"/>
  <c r="AR743" i="4"/>
  <c r="AS742" i="4"/>
  <c r="AR742" i="4"/>
  <c r="AS741" i="4"/>
  <c r="AR741" i="4"/>
  <c r="AS740" i="4"/>
  <c r="AR740" i="4"/>
  <c r="AS739" i="4"/>
  <c r="AR739" i="4"/>
  <c r="AS738" i="4"/>
  <c r="AR738" i="4"/>
  <c r="AS737" i="4"/>
  <c r="AR737" i="4"/>
  <c r="AS736" i="4"/>
  <c r="AR736" i="4"/>
  <c r="AS735" i="4"/>
  <c r="AR735" i="4"/>
  <c r="AS734" i="4"/>
  <c r="AR734" i="4"/>
  <c r="AS733" i="4"/>
  <c r="AR733" i="4"/>
  <c r="AS732" i="4"/>
  <c r="AR732" i="4"/>
  <c r="AS731" i="4"/>
  <c r="AR731" i="4"/>
  <c r="AS730" i="4"/>
  <c r="AR730" i="4"/>
  <c r="AS729" i="4"/>
  <c r="AR729" i="4"/>
  <c r="AS728" i="4"/>
  <c r="AR728" i="4"/>
  <c r="AS727" i="4"/>
  <c r="AR727" i="4"/>
  <c r="AS726" i="4"/>
  <c r="AR726" i="4"/>
  <c r="AS725" i="4"/>
  <c r="AR725" i="4"/>
  <c r="AS724" i="4"/>
  <c r="AR724" i="4"/>
  <c r="AS723" i="4"/>
  <c r="AR723" i="4"/>
  <c r="AS722" i="4"/>
  <c r="AR722" i="4"/>
  <c r="AS721" i="4"/>
  <c r="AR721" i="4"/>
  <c r="AS720" i="4"/>
  <c r="AR720" i="4"/>
  <c r="AS719" i="4"/>
  <c r="AR719" i="4"/>
  <c r="AS718" i="4"/>
  <c r="AR718" i="4"/>
  <c r="AS717" i="4"/>
  <c r="AR717" i="4"/>
  <c r="AS716" i="4"/>
  <c r="AR716" i="4"/>
  <c r="AS715" i="4"/>
  <c r="AR715" i="4"/>
  <c r="AS714" i="4"/>
  <c r="AR714" i="4"/>
  <c r="AS713" i="4"/>
  <c r="AR713" i="4"/>
  <c r="AS712" i="4"/>
  <c r="AR712" i="4"/>
  <c r="AS711" i="4"/>
  <c r="AR711" i="4"/>
  <c r="AS710" i="4"/>
  <c r="AR710" i="4"/>
  <c r="AS709" i="4"/>
  <c r="AR709" i="4"/>
  <c r="AS708" i="4"/>
  <c r="AR708" i="4"/>
  <c r="AS707" i="4"/>
  <c r="AR707" i="4"/>
  <c r="AS706" i="4"/>
  <c r="AR706" i="4"/>
  <c r="AS705" i="4"/>
  <c r="AR705" i="4"/>
  <c r="AS704" i="4"/>
  <c r="AR704" i="4"/>
  <c r="AS703" i="4"/>
  <c r="AR703" i="4"/>
  <c r="AS702" i="4"/>
  <c r="AR702" i="4"/>
  <c r="AS701" i="4"/>
  <c r="AR701" i="4"/>
  <c r="AS700" i="4"/>
  <c r="AR700" i="4"/>
  <c r="AS699" i="4"/>
  <c r="AR699" i="4"/>
  <c r="AS698" i="4"/>
  <c r="AR698" i="4"/>
  <c r="AS697" i="4"/>
  <c r="AR697" i="4"/>
  <c r="AS696" i="4"/>
  <c r="AR696" i="4"/>
  <c r="AS695" i="4"/>
  <c r="AR695" i="4"/>
  <c r="AS694" i="4"/>
  <c r="AR694" i="4"/>
  <c r="AS693" i="4"/>
  <c r="AR693" i="4"/>
  <c r="AS692" i="4"/>
  <c r="AR692" i="4"/>
  <c r="AS691" i="4"/>
  <c r="AR691" i="4"/>
  <c r="AS690" i="4"/>
  <c r="AR690" i="4"/>
  <c r="AS689" i="4"/>
  <c r="AR689" i="4"/>
  <c r="AS688" i="4"/>
  <c r="AR688" i="4"/>
  <c r="AS687" i="4"/>
  <c r="AR687" i="4"/>
  <c r="AS686" i="4"/>
  <c r="AR686" i="4"/>
  <c r="AS685" i="4"/>
  <c r="AR685" i="4"/>
  <c r="AS684" i="4"/>
  <c r="AR684" i="4"/>
  <c r="AS683" i="4"/>
  <c r="AR683" i="4"/>
  <c r="AS682" i="4"/>
  <c r="AR682" i="4"/>
  <c r="AS681" i="4"/>
  <c r="AR681" i="4"/>
  <c r="AS680" i="4"/>
  <c r="AR680" i="4"/>
  <c r="AS679" i="4"/>
  <c r="AR679" i="4"/>
  <c r="AS678" i="4"/>
  <c r="AR678" i="4"/>
  <c r="AS677" i="4"/>
  <c r="AR677" i="4"/>
  <c r="AS676" i="4"/>
  <c r="AR676" i="4"/>
  <c r="AS675" i="4"/>
  <c r="AR675" i="4"/>
  <c r="AS674" i="4"/>
  <c r="AR674" i="4"/>
  <c r="AS673" i="4"/>
  <c r="AR673" i="4"/>
  <c r="AS672" i="4"/>
  <c r="AR672" i="4"/>
  <c r="AS671" i="4"/>
  <c r="AR671" i="4"/>
  <c r="AS670" i="4"/>
  <c r="AR670" i="4"/>
  <c r="AS669" i="4"/>
  <c r="AR669" i="4"/>
  <c r="AS668" i="4"/>
  <c r="AR668" i="4"/>
  <c r="AS667" i="4"/>
  <c r="AR667" i="4"/>
  <c r="AS666" i="4"/>
  <c r="AR666" i="4"/>
  <c r="AS665" i="4"/>
  <c r="AR665" i="4"/>
  <c r="AS664" i="4"/>
  <c r="AR664" i="4"/>
  <c r="AS663" i="4"/>
  <c r="AR663" i="4"/>
  <c r="AS662" i="4"/>
  <c r="AR662" i="4"/>
  <c r="AS661" i="4"/>
  <c r="AR661" i="4"/>
  <c r="AS660" i="4"/>
  <c r="AR660" i="4"/>
  <c r="AS659" i="4"/>
  <c r="AR659" i="4"/>
  <c r="AS658" i="4"/>
  <c r="AR658" i="4"/>
  <c r="AS657" i="4"/>
  <c r="AR657" i="4"/>
  <c r="AS656" i="4"/>
  <c r="AR656" i="4"/>
  <c r="AS655" i="4"/>
  <c r="AR655" i="4"/>
  <c r="AS654" i="4"/>
  <c r="AR654" i="4"/>
  <c r="AS653" i="4"/>
  <c r="AR653" i="4"/>
  <c r="AS652" i="4"/>
  <c r="AR652" i="4"/>
  <c r="AS651" i="4"/>
  <c r="AR651" i="4"/>
  <c r="AS650" i="4"/>
  <c r="AR650" i="4"/>
  <c r="AS649" i="4"/>
  <c r="AR649" i="4"/>
  <c r="AS648" i="4"/>
  <c r="AR648" i="4"/>
  <c r="AS647" i="4"/>
  <c r="AR647" i="4"/>
  <c r="AS646" i="4"/>
  <c r="AR646" i="4"/>
  <c r="AS645" i="4"/>
  <c r="AR645" i="4"/>
  <c r="AS644" i="4"/>
  <c r="AR644" i="4"/>
  <c r="AS643" i="4"/>
  <c r="AR643" i="4"/>
  <c r="AS642" i="4"/>
  <c r="AR642" i="4"/>
  <c r="AS641" i="4"/>
  <c r="AR641" i="4"/>
  <c r="AS640" i="4"/>
  <c r="AR640" i="4"/>
  <c r="AS639" i="4"/>
  <c r="AR639" i="4"/>
  <c r="AS638" i="4"/>
  <c r="AR638" i="4"/>
  <c r="AS637" i="4"/>
  <c r="AR637" i="4"/>
  <c r="AS636" i="4"/>
  <c r="AR636" i="4"/>
  <c r="AS635" i="4"/>
  <c r="AR635" i="4"/>
  <c r="AS634" i="4"/>
  <c r="AR634" i="4"/>
  <c r="AS633" i="4"/>
  <c r="AR633" i="4"/>
  <c r="AS632" i="4"/>
  <c r="AR632" i="4"/>
  <c r="AS631" i="4"/>
  <c r="AR631" i="4"/>
  <c r="AS630" i="4"/>
  <c r="AR630" i="4"/>
  <c r="AS629" i="4"/>
  <c r="AR629" i="4"/>
  <c r="AS628" i="4"/>
  <c r="AR628" i="4"/>
  <c r="AS627" i="4"/>
  <c r="AR627" i="4"/>
  <c r="AS626" i="4"/>
  <c r="AR626" i="4"/>
  <c r="AS625" i="4"/>
  <c r="AR625" i="4"/>
  <c r="AS624" i="4"/>
  <c r="AR624" i="4"/>
  <c r="AS623" i="4"/>
  <c r="AR623" i="4"/>
  <c r="AS622" i="4"/>
  <c r="AR622" i="4"/>
  <c r="AS621" i="4"/>
  <c r="AR621" i="4"/>
  <c r="AS620" i="4"/>
  <c r="AR620" i="4"/>
  <c r="AS619" i="4"/>
  <c r="AR619" i="4"/>
  <c r="AS618" i="4"/>
  <c r="AR618" i="4"/>
  <c r="AS617" i="4"/>
  <c r="AR617" i="4"/>
  <c r="AS616" i="4"/>
  <c r="AR616" i="4"/>
  <c r="AS615" i="4"/>
  <c r="AR615" i="4"/>
  <c r="AS614" i="4"/>
  <c r="AR614" i="4"/>
  <c r="AS613" i="4"/>
  <c r="AR613" i="4"/>
  <c r="AS612" i="4"/>
  <c r="AR612" i="4"/>
  <c r="AS611" i="4"/>
  <c r="AR611" i="4"/>
  <c r="AS610" i="4"/>
  <c r="AR610" i="4"/>
  <c r="AS609" i="4"/>
  <c r="AR609" i="4"/>
  <c r="AS608" i="4"/>
  <c r="AR608" i="4"/>
  <c r="AS607" i="4"/>
  <c r="AR607" i="4"/>
  <c r="AS606" i="4"/>
  <c r="AR606" i="4"/>
  <c r="AS605" i="4"/>
  <c r="AR605" i="4"/>
  <c r="AS604" i="4"/>
  <c r="AR604" i="4"/>
  <c r="AS603" i="4"/>
  <c r="AR603" i="4"/>
  <c r="AS602" i="4"/>
  <c r="AR602" i="4"/>
  <c r="AS601" i="4"/>
  <c r="AR601" i="4"/>
  <c r="AS600" i="4"/>
  <c r="AR600" i="4"/>
  <c r="AS599" i="4"/>
  <c r="AR599" i="4"/>
  <c r="AS598" i="4"/>
  <c r="AR598" i="4"/>
  <c r="AS597" i="4"/>
  <c r="AR597" i="4"/>
  <c r="AS596" i="4"/>
  <c r="AR596" i="4"/>
  <c r="AS595" i="4"/>
  <c r="AR595" i="4"/>
  <c r="AS594" i="4"/>
  <c r="AR594" i="4"/>
  <c r="AS593" i="4"/>
  <c r="AR593" i="4"/>
  <c r="AS592" i="4"/>
  <c r="AR592" i="4"/>
  <c r="AS591" i="4"/>
  <c r="AR591" i="4"/>
  <c r="AS590" i="4"/>
  <c r="AR590" i="4"/>
  <c r="AS589" i="4"/>
  <c r="AR589" i="4"/>
  <c r="AS588" i="4"/>
  <c r="AR588" i="4"/>
  <c r="AS587" i="4"/>
  <c r="AR587" i="4"/>
  <c r="AS586" i="4"/>
  <c r="AR586" i="4"/>
  <c r="AS585" i="4"/>
  <c r="AR585" i="4"/>
  <c r="AS584" i="4"/>
  <c r="AR584" i="4"/>
  <c r="AS583" i="4"/>
  <c r="AR583" i="4"/>
  <c r="AS582" i="4"/>
  <c r="AR582" i="4"/>
  <c r="AS581" i="4"/>
  <c r="AR581" i="4"/>
  <c r="AS580" i="4"/>
  <c r="AR580" i="4"/>
  <c r="AS579" i="4"/>
  <c r="AR579" i="4"/>
  <c r="AS578" i="4"/>
  <c r="AR578" i="4"/>
  <c r="AS577" i="4"/>
  <c r="AR577" i="4"/>
  <c r="AS576" i="4"/>
  <c r="AR576" i="4"/>
  <c r="AS575" i="4"/>
  <c r="AR575" i="4"/>
  <c r="AS574" i="4"/>
  <c r="AR574" i="4"/>
  <c r="AS573" i="4"/>
  <c r="AR573" i="4"/>
  <c r="AS572" i="4"/>
  <c r="AR572" i="4"/>
  <c r="AS571" i="4"/>
  <c r="AR571" i="4"/>
  <c r="AS570" i="4"/>
  <c r="AR570" i="4"/>
  <c r="AS569" i="4"/>
  <c r="AR569" i="4"/>
  <c r="AS568" i="4"/>
  <c r="AR568" i="4"/>
  <c r="AS567" i="4"/>
  <c r="AR567" i="4"/>
  <c r="AS566" i="4"/>
  <c r="AR566" i="4"/>
  <c r="AS565" i="4"/>
  <c r="AR565" i="4"/>
  <c r="AS564" i="4"/>
  <c r="AR564" i="4"/>
  <c r="AS563" i="4"/>
  <c r="AR563" i="4"/>
  <c r="AS562" i="4"/>
  <c r="AR562" i="4"/>
  <c r="AS561" i="4"/>
  <c r="AR561" i="4"/>
  <c r="AS560" i="4"/>
  <c r="AR560" i="4"/>
  <c r="AS559" i="4"/>
  <c r="AR559" i="4"/>
  <c r="AS558" i="4"/>
  <c r="AR558" i="4"/>
  <c r="AS557" i="4"/>
  <c r="AR557" i="4"/>
  <c r="AS556" i="4"/>
  <c r="AR556" i="4"/>
  <c r="AS555" i="4"/>
  <c r="AR555" i="4"/>
  <c r="AS554" i="4"/>
  <c r="AR554" i="4"/>
  <c r="AS553" i="4"/>
  <c r="AR553" i="4"/>
  <c r="AS552" i="4"/>
  <c r="AR552" i="4"/>
  <c r="AS551" i="4"/>
  <c r="AR551" i="4"/>
  <c r="AS550" i="4"/>
  <c r="AR550" i="4"/>
  <c r="AS549" i="4"/>
  <c r="AR549" i="4"/>
  <c r="AS548" i="4"/>
  <c r="AR548" i="4"/>
  <c r="AS547" i="4"/>
  <c r="AR547" i="4"/>
  <c r="AS546" i="4"/>
  <c r="AR546" i="4"/>
  <c r="AS545" i="4"/>
  <c r="AR545" i="4"/>
  <c r="AS544" i="4"/>
  <c r="AR544" i="4"/>
  <c r="AS543" i="4"/>
  <c r="AR543" i="4"/>
  <c r="AS542" i="4"/>
  <c r="AR542" i="4"/>
  <c r="AS541" i="4"/>
  <c r="AR541" i="4"/>
  <c r="AS540" i="4"/>
  <c r="AR540" i="4"/>
  <c r="AS539" i="4"/>
  <c r="AR539" i="4"/>
  <c r="AS538" i="4"/>
  <c r="AR538" i="4"/>
  <c r="AS537" i="4"/>
  <c r="AR537" i="4"/>
  <c r="AS536" i="4"/>
  <c r="AR536" i="4"/>
  <c r="AS535" i="4"/>
  <c r="AR535" i="4"/>
  <c r="AS534" i="4"/>
  <c r="AR534" i="4"/>
  <c r="AS533" i="4"/>
  <c r="AR533" i="4"/>
  <c r="AS532" i="4"/>
  <c r="AR532" i="4"/>
  <c r="AS531" i="4"/>
  <c r="AR531" i="4"/>
  <c r="AS530" i="4"/>
  <c r="AR530" i="4"/>
  <c r="AS529" i="4"/>
  <c r="AR529" i="4"/>
  <c r="AS528" i="4"/>
  <c r="AR528" i="4"/>
  <c r="AS527" i="4"/>
  <c r="AR527" i="4"/>
  <c r="AS526" i="4"/>
  <c r="AR526" i="4"/>
  <c r="AS525" i="4"/>
  <c r="AR525" i="4"/>
  <c r="AS524" i="4"/>
  <c r="AR524" i="4"/>
  <c r="AS523" i="4"/>
  <c r="AR523" i="4"/>
  <c r="AS522" i="4"/>
  <c r="AR522" i="4"/>
  <c r="AS521" i="4"/>
  <c r="AR521" i="4"/>
  <c r="AS520" i="4"/>
  <c r="AR520" i="4"/>
  <c r="AS519" i="4"/>
  <c r="AR519" i="4"/>
  <c r="AS518" i="4"/>
  <c r="AR518" i="4"/>
  <c r="AS517" i="4"/>
  <c r="AR517" i="4"/>
  <c r="AS516" i="4"/>
  <c r="AR516" i="4"/>
  <c r="AS515" i="4"/>
  <c r="AR515" i="4"/>
  <c r="AS514" i="4"/>
  <c r="AR514" i="4"/>
  <c r="AS513" i="4"/>
  <c r="AR513" i="4"/>
  <c r="AS512" i="4"/>
  <c r="AR512" i="4"/>
  <c r="AS511" i="4"/>
  <c r="AR511" i="4"/>
  <c r="AS510" i="4"/>
  <c r="AR510" i="4"/>
  <c r="AS509" i="4"/>
  <c r="AR509" i="4"/>
  <c r="AS508" i="4"/>
  <c r="AR508" i="4"/>
  <c r="AS507" i="4"/>
  <c r="AR507" i="4"/>
  <c r="AS506" i="4"/>
  <c r="AR506" i="4"/>
  <c r="AS505" i="4"/>
  <c r="AR505" i="4"/>
  <c r="AS504" i="4"/>
  <c r="AR504" i="4"/>
  <c r="AS503" i="4"/>
  <c r="AR503" i="4"/>
  <c r="AS502" i="4"/>
  <c r="AR502" i="4"/>
  <c r="AS501" i="4"/>
  <c r="AR501" i="4"/>
  <c r="AS500" i="4"/>
  <c r="AR500" i="4"/>
  <c r="AS499" i="4"/>
  <c r="AR499" i="4"/>
  <c r="AS498" i="4"/>
  <c r="AR498" i="4"/>
  <c r="AS497" i="4"/>
  <c r="AR497" i="4"/>
  <c r="AS496" i="4"/>
  <c r="AR496" i="4"/>
  <c r="AS495" i="4"/>
  <c r="AR495" i="4"/>
  <c r="AS494" i="4"/>
  <c r="AR494" i="4"/>
  <c r="AS493" i="4"/>
  <c r="AR493" i="4"/>
  <c r="AS492" i="4"/>
  <c r="AR492" i="4"/>
  <c r="AS491" i="4"/>
  <c r="AR491" i="4"/>
  <c r="AS490" i="4"/>
  <c r="AR490" i="4"/>
  <c r="AS489" i="4"/>
  <c r="AR489" i="4"/>
  <c r="AS488" i="4"/>
  <c r="AR488" i="4"/>
  <c r="AS487" i="4"/>
  <c r="AR487" i="4"/>
  <c r="AS486" i="4"/>
  <c r="AR486" i="4"/>
  <c r="AS485" i="4"/>
  <c r="AR485" i="4"/>
  <c r="AS484" i="4"/>
  <c r="AR484" i="4"/>
  <c r="AS483" i="4"/>
  <c r="AR483" i="4"/>
  <c r="AS482" i="4"/>
  <c r="AR482" i="4"/>
  <c r="AS481" i="4"/>
  <c r="AR481" i="4"/>
  <c r="AS480" i="4"/>
  <c r="AR480" i="4"/>
  <c r="AS479" i="4"/>
  <c r="AR479" i="4"/>
  <c r="AS478" i="4"/>
  <c r="AR478" i="4"/>
  <c r="AS477" i="4"/>
  <c r="AR477" i="4"/>
  <c r="AS476" i="4"/>
  <c r="AR476" i="4"/>
  <c r="AS475" i="4"/>
  <c r="AR475" i="4"/>
  <c r="AS474" i="4"/>
  <c r="AR474" i="4"/>
  <c r="AS473" i="4"/>
  <c r="AR473" i="4"/>
  <c r="AS472" i="4"/>
  <c r="AR472" i="4"/>
  <c r="AS471" i="4"/>
  <c r="AR471" i="4"/>
  <c r="AS470" i="4"/>
  <c r="AR470" i="4"/>
  <c r="AS469" i="4"/>
  <c r="AR469" i="4"/>
  <c r="AS468" i="4"/>
  <c r="AR468" i="4"/>
  <c r="AS467" i="4"/>
  <c r="AR467" i="4"/>
  <c r="AS466" i="4"/>
  <c r="AR466" i="4"/>
  <c r="AS465" i="4"/>
  <c r="AR465" i="4"/>
  <c r="AS464" i="4"/>
  <c r="AR464" i="4"/>
  <c r="AS463" i="4"/>
  <c r="AR463" i="4"/>
  <c r="AS462" i="4"/>
  <c r="AR462" i="4"/>
  <c r="AS461" i="4"/>
  <c r="AR461" i="4"/>
  <c r="AS460" i="4"/>
  <c r="AR460" i="4"/>
  <c r="AS459" i="4"/>
  <c r="AR459" i="4"/>
  <c r="AS458" i="4"/>
  <c r="AR458" i="4"/>
  <c r="AS457" i="4"/>
  <c r="AR457" i="4"/>
  <c r="AS456" i="4"/>
  <c r="AR456" i="4"/>
  <c r="AS455" i="4"/>
  <c r="AR455" i="4"/>
  <c r="AS454" i="4"/>
  <c r="AR454" i="4"/>
  <c r="AS453" i="4"/>
  <c r="AR453" i="4"/>
  <c r="AS452" i="4"/>
  <c r="AR452" i="4"/>
  <c r="AS451" i="4"/>
  <c r="AR451" i="4"/>
  <c r="AS450" i="4"/>
  <c r="AR450" i="4"/>
  <c r="AS449" i="4"/>
  <c r="AR449" i="4"/>
  <c r="AS448" i="4"/>
  <c r="AR448" i="4"/>
  <c r="AS447" i="4"/>
  <c r="AR447" i="4"/>
  <c r="AS446" i="4"/>
  <c r="AR446" i="4"/>
  <c r="AS445" i="4"/>
  <c r="AR445" i="4"/>
  <c r="AS444" i="4"/>
  <c r="AR444" i="4"/>
  <c r="AS443" i="4"/>
  <c r="AR443" i="4"/>
  <c r="AS442" i="4"/>
  <c r="AR442" i="4"/>
  <c r="AS441" i="4"/>
  <c r="AR441" i="4"/>
  <c r="AS440" i="4"/>
  <c r="AR440" i="4"/>
  <c r="AS439" i="4"/>
  <c r="AR439" i="4"/>
  <c r="AS438" i="4"/>
  <c r="AR438" i="4"/>
  <c r="AS437" i="4"/>
  <c r="AR437" i="4"/>
  <c r="AS436" i="4"/>
  <c r="AR436" i="4"/>
  <c r="AS435" i="4"/>
  <c r="AR435" i="4"/>
  <c r="AS434" i="4"/>
  <c r="AR434" i="4"/>
  <c r="AS433" i="4"/>
  <c r="AR433" i="4"/>
  <c r="AS432" i="4"/>
  <c r="AR432" i="4"/>
  <c r="AS431" i="4"/>
  <c r="AR431" i="4"/>
  <c r="AS430" i="4"/>
  <c r="AR430" i="4"/>
  <c r="AS429" i="4"/>
  <c r="AR429" i="4"/>
  <c r="AS428" i="4"/>
  <c r="AR428" i="4"/>
  <c r="AS427" i="4"/>
  <c r="AR427" i="4"/>
  <c r="AS426" i="4"/>
  <c r="AR426" i="4"/>
  <c r="AS425" i="4"/>
  <c r="AR425" i="4"/>
  <c r="AS424" i="4"/>
  <c r="AR424" i="4"/>
  <c r="AS423" i="4"/>
  <c r="AR423" i="4"/>
  <c r="AS422" i="4"/>
  <c r="AR422" i="4"/>
  <c r="AS421" i="4"/>
  <c r="AR421" i="4"/>
  <c r="AS420" i="4"/>
  <c r="AR420" i="4"/>
  <c r="AS419" i="4"/>
  <c r="AR419" i="4"/>
  <c r="AS418" i="4"/>
  <c r="AR418" i="4"/>
  <c r="AS417" i="4"/>
  <c r="AR417" i="4"/>
  <c r="AS416" i="4"/>
  <c r="AR416" i="4"/>
  <c r="AS415" i="4"/>
  <c r="AR415" i="4"/>
  <c r="AS414" i="4"/>
  <c r="AR414" i="4"/>
  <c r="AS413" i="4"/>
  <c r="AR413" i="4"/>
  <c r="AS412" i="4"/>
  <c r="AR412" i="4"/>
  <c r="AS411" i="4"/>
  <c r="AR411" i="4"/>
  <c r="AS410" i="4"/>
  <c r="AR410" i="4"/>
  <c r="AS409" i="4"/>
  <c r="AR409" i="4"/>
  <c r="AS408" i="4"/>
  <c r="AR408" i="4"/>
  <c r="AS407" i="4"/>
  <c r="AR407" i="4"/>
  <c r="AS406" i="4"/>
  <c r="AR406" i="4"/>
  <c r="AS405" i="4"/>
  <c r="AR405" i="4"/>
  <c r="AS404" i="4"/>
  <c r="AR404" i="4"/>
  <c r="AS403" i="4"/>
  <c r="AR403" i="4"/>
  <c r="AS402" i="4"/>
  <c r="AR402" i="4"/>
  <c r="AS401" i="4"/>
  <c r="AR401" i="4"/>
  <c r="AS400" i="4"/>
  <c r="AR400" i="4"/>
  <c r="AS399" i="4"/>
  <c r="AR399" i="4"/>
  <c r="AS398" i="4"/>
  <c r="AR398" i="4"/>
  <c r="AS397" i="4"/>
  <c r="AR397" i="4"/>
  <c r="AS396" i="4"/>
  <c r="AR396" i="4"/>
  <c r="AS395" i="4"/>
  <c r="AR395" i="4"/>
  <c r="AS394" i="4"/>
  <c r="AR394" i="4"/>
  <c r="AS393" i="4"/>
  <c r="AR393" i="4"/>
  <c r="AS392" i="4"/>
  <c r="AR392" i="4"/>
  <c r="AS391" i="4"/>
  <c r="AR391" i="4"/>
  <c r="AS390" i="4"/>
  <c r="AR390" i="4"/>
  <c r="AS389" i="4"/>
  <c r="AR389" i="4"/>
  <c r="AS388" i="4"/>
  <c r="AR388" i="4"/>
  <c r="AS387" i="4"/>
  <c r="AR387" i="4"/>
  <c r="AS386" i="4"/>
  <c r="AR386" i="4"/>
  <c r="AS385" i="4"/>
  <c r="AR385" i="4"/>
  <c r="AS384" i="4"/>
  <c r="AR384" i="4"/>
  <c r="AS383" i="4"/>
  <c r="AR383" i="4"/>
  <c r="AS382" i="4"/>
  <c r="AR382" i="4"/>
  <c r="AS381" i="4"/>
  <c r="AR381" i="4"/>
  <c r="AS380" i="4"/>
  <c r="AR380" i="4"/>
  <c r="AS379" i="4"/>
  <c r="AR379" i="4"/>
  <c r="AS378" i="4"/>
  <c r="AR378" i="4"/>
  <c r="AS377" i="4"/>
  <c r="AR377" i="4"/>
  <c r="AS376" i="4"/>
  <c r="AR376" i="4"/>
  <c r="AS375" i="4"/>
  <c r="AR375" i="4"/>
  <c r="AS374" i="4"/>
  <c r="AR374" i="4"/>
  <c r="AS373" i="4"/>
  <c r="AR373" i="4"/>
  <c r="AS372" i="4"/>
  <c r="AR372" i="4"/>
  <c r="AS371" i="4"/>
  <c r="AR371" i="4"/>
  <c r="AS370" i="4"/>
  <c r="AR370" i="4"/>
  <c r="AS369" i="4"/>
  <c r="AR369" i="4"/>
  <c r="AS368" i="4"/>
  <c r="AR368" i="4"/>
  <c r="AS367" i="4"/>
  <c r="AR367" i="4"/>
  <c r="AS366" i="4"/>
  <c r="AR366" i="4"/>
  <c r="AS365" i="4"/>
  <c r="AR365" i="4"/>
  <c r="AS364" i="4"/>
  <c r="AR364" i="4"/>
  <c r="AS363" i="4"/>
  <c r="AR363" i="4"/>
  <c r="AS362" i="4"/>
  <c r="AR362" i="4"/>
  <c r="AS361" i="4"/>
  <c r="AR361" i="4"/>
  <c r="AS360" i="4"/>
  <c r="AR360" i="4"/>
  <c r="AS359" i="4"/>
  <c r="AR359" i="4"/>
  <c r="AS358" i="4"/>
  <c r="AR358" i="4"/>
  <c r="AS357" i="4"/>
  <c r="AR357" i="4"/>
  <c r="AS356" i="4"/>
  <c r="AR356" i="4"/>
  <c r="AS355" i="4"/>
  <c r="AR355" i="4"/>
  <c r="AS354" i="4"/>
  <c r="AR354" i="4"/>
  <c r="AS353" i="4"/>
  <c r="AR353" i="4"/>
  <c r="AS352" i="4"/>
  <c r="AR352" i="4"/>
  <c r="AS351" i="4"/>
  <c r="AR351" i="4"/>
  <c r="AS350" i="4"/>
  <c r="AR350" i="4"/>
  <c r="AS349" i="4"/>
  <c r="AR349" i="4"/>
  <c r="AS348" i="4"/>
  <c r="AR348" i="4"/>
  <c r="AS347" i="4"/>
  <c r="AR347" i="4"/>
  <c r="AS346" i="4"/>
  <c r="AR346" i="4"/>
  <c r="AS345" i="4"/>
  <c r="AR345" i="4"/>
  <c r="AS344" i="4"/>
  <c r="AR344" i="4"/>
  <c r="AS343" i="4"/>
  <c r="AR343" i="4"/>
  <c r="AS342" i="4"/>
  <c r="AR342" i="4"/>
  <c r="AS341" i="4"/>
  <c r="AR341" i="4"/>
  <c r="AS340" i="4"/>
  <c r="AR340" i="4"/>
  <c r="AS339" i="4"/>
  <c r="AR339" i="4"/>
  <c r="AS338" i="4"/>
  <c r="AR338" i="4"/>
  <c r="AS337" i="4"/>
  <c r="AR337" i="4"/>
  <c r="AS336" i="4"/>
  <c r="AR336" i="4"/>
  <c r="AS335" i="4"/>
  <c r="AR335" i="4"/>
  <c r="AS334" i="4"/>
  <c r="AR334" i="4"/>
  <c r="AS333" i="4"/>
  <c r="AR333" i="4"/>
  <c r="AS332" i="4"/>
  <c r="AR332" i="4"/>
  <c r="AS331" i="4"/>
  <c r="AR331" i="4"/>
  <c r="AS330" i="4"/>
  <c r="AR330" i="4"/>
  <c r="AS329" i="4"/>
  <c r="AR329" i="4"/>
  <c r="AS328" i="4"/>
  <c r="AR328" i="4"/>
  <c r="AS327" i="4"/>
  <c r="AR327" i="4"/>
  <c r="AS326" i="4"/>
  <c r="AR326" i="4"/>
  <c r="AS325" i="4"/>
  <c r="AR325" i="4"/>
  <c r="AS324" i="4"/>
  <c r="AR324" i="4"/>
  <c r="AS323" i="4"/>
  <c r="AR323" i="4"/>
  <c r="AS322" i="4"/>
  <c r="AR322" i="4"/>
  <c r="AS321" i="4"/>
  <c r="AR321" i="4"/>
  <c r="AS320" i="4"/>
  <c r="AR320" i="4"/>
  <c r="AS319" i="4"/>
  <c r="AR319" i="4"/>
  <c r="AS318" i="4"/>
  <c r="AR318" i="4"/>
  <c r="AS317" i="4"/>
  <c r="AR317" i="4"/>
  <c r="AS316" i="4"/>
  <c r="AR316" i="4"/>
  <c r="AS315" i="4"/>
  <c r="AR315" i="4"/>
  <c r="AS314" i="4"/>
  <c r="AR314" i="4"/>
  <c r="AS313" i="4"/>
  <c r="AR313" i="4"/>
  <c r="AS312" i="4"/>
  <c r="AR312" i="4"/>
  <c r="AS311" i="4"/>
  <c r="AR311" i="4"/>
  <c r="AS310" i="4"/>
  <c r="AR310" i="4"/>
  <c r="AS309" i="4"/>
  <c r="AR309" i="4"/>
  <c r="AS308" i="4"/>
  <c r="AR308" i="4"/>
  <c r="AS307" i="4"/>
  <c r="AR307" i="4"/>
  <c r="AS306" i="4"/>
  <c r="AR306" i="4"/>
  <c r="AS305" i="4"/>
  <c r="AR305" i="4"/>
  <c r="AS304" i="4"/>
  <c r="AR304" i="4"/>
  <c r="AS303" i="4"/>
  <c r="AR303" i="4"/>
  <c r="AS302" i="4"/>
  <c r="AR302" i="4"/>
  <c r="AS301" i="4"/>
  <c r="AR301" i="4"/>
  <c r="AS300" i="4"/>
  <c r="AR300" i="4"/>
  <c r="AS299" i="4"/>
  <c r="AR299" i="4"/>
  <c r="AS298" i="4"/>
  <c r="AR298" i="4"/>
  <c r="AS297" i="4"/>
  <c r="AR297" i="4"/>
  <c r="AS296" i="4"/>
  <c r="AR296" i="4"/>
  <c r="AS295" i="4"/>
  <c r="AR295" i="4"/>
  <c r="AS294" i="4"/>
  <c r="AR294" i="4"/>
  <c r="AS293" i="4"/>
  <c r="AR293" i="4"/>
  <c r="AS292" i="4"/>
  <c r="AR292" i="4"/>
  <c r="AS291" i="4"/>
  <c r="AR291" i="4"/>
  <c r="AS290" i="4"/>
  <c r="AR290" i="4"/>
  <c r="AS289" i="4"/>
  <c r="AR289" i="4"/>
  <c r="AS288" i="4"/>
  <c r="AR288" i="4"/>
  <c r="AS287" i="4"/>
  <c r="AR287" i="4"/>
  <c r="AS286" i="4"/>
  <c r="AR286" i="4"/>
  <c r="AS285" i="4"/>
  <c r="AR285" i="4"/>
  <c r="AS284" i="4"/>
  <c r="AR284" i="4"/>
  <c r="AS283" i="4"/>
  <c r="AR283" i="4"/>
  <c r="AS282" i="4"/>
  <c r="AR282" i="4"/>
  <c r="AS281" i="4"/>
  <c r="AR281" i="4"/>
  <c r="AS280" i="4"/>
  <c r="AR280" i="4"/>
  <c r="AS279" i="4"/>
  <c r="AR279" i="4"/>
  <c r="AS278" i="4"/>
  <c r="AR278" i="4"/>
  <c r="AS277" i="4"/>
  <c r="AR277" i="4"/>
  <c r="AS276" i="4"/>
  <c r="AR276" i="4"/>
  <c r="AS275" i="4"/>
  <c r="AR275" i="4"/>
  <c r="AS274" i="4"/>
  <c r="AR274" i="4"/>
  <c r="AS273" i="4"/>
  <c r="AR273" i="4"/>
  <c r="AS272" i="4"/>
  <c r="AR272" i="4"/>
  <c r="AS271" i="4"/>
  <c r="AR271" i="4"/>
  <c r="AS270" i="4"/>
  <c r="AR270" i="4"/>
  <c r="AS269" i="4"/>
  <c r="AR269" i="4"/>
  <c r="AS268" i="4"/>
  <c r="AR268" i="4"/>
  <c r="AS267" i="4"/>
  <c r="AR267" i="4"/>
  <c r="AS266" i="4"/>
  <c r="AR266" i="4"/>
  <c r="AS265" i="4"/>
  <c r="AR265" i="4"/>
  <c r="AS264" i="4"/>
  <c r="AR264" i="4"/>
  <c r="AS263" i="4"/>
  <c r="AR263" i="4"/>
  <c r="AS262" i="4"/>
  <c r="AR262" i="4"/>
  <c r="AS261" i="4"/>
  <c r="AR261" i="4"/>
  <c r="AS260" i="4"/>
  <c r="AR260" i="4"/>
  <c r="AS259" i="4"/>
  <c r="AR259" i="4"/>
  <c r="AS258" i="4"/>
  <c r="AR258" i="4"/>
  <c r="AS257" i="4"/>
  <c r="AR257" i="4"/>
  <c r="AS256" i="4"/>
  <c r="AR256" i="4"/>
  <c r="AS255" i="4"/>
  <c r="AR255" i="4"/>
  <c r="AS254" i="4"/>
  <c r="AR254" i="4"/>
  <c r="AS253" i="4"/>
  <c r="AR253" i="4"/>
  <c r="AS252" i="4"/>
  <c r="AR252" i="4"/>
  <c r="AS251" i="4"/>
  <c r="AR251" i="4"/>
  <c r="AS250" i="4"/>
  <c r="AR250" i="4"/>
  <c r="AS249" i="4"/>
  <c r="AR249" i="4"/>
  <c r="AS248" i="4"/>
  <c r="AR248" i="4"/>
  <c r="AS247" i="4"/>
  <c r="AR247" i="4"/>
  <c r="AS246" i="4"/>
  <c r="AR246" i="4"/>
  <c r="AS245" i="4"/>
  <c r="AR245" i="4"/>
  <c r="AS244" i="4"/>
  <c r="AR244" i="4"/>
  <c r="AS243" i="4"/>
  <c r="AR243" i="4"/>
  <c r="AS242" i="4"/>
  <c r="AR242" i="4"/>
  <c r="AS241" i="4"/>
  <c r="AR241" i="4"/>
  <c r="AS240" i="4"/>
  <c r="AR240" i="4"/>
  <c r="AS239" i="4"/>
  <c r="AR239" i="4"/>
  <c r="AS238" i="4"/>
  <c r="AR238" i="4"/>
  <c r="AS237" i="4"/>
  <c r="AR237" i="4"/>
  <c r="AS236" i="4"/>
  <c r="AR236" i="4"/>
  <c r="AS235" i="4"/>
  <c r="AR235" i="4"/>
  <c r="AS234" i="4"/>
  <c r="AR234" i="4"/>
  <c r="AS233" i="4"/>
  <c r="AR233" i="4"/>
  <c r="AS232" i="4"/>
  <c r="AR232" i="4"/>
  <c r="AS231" i="4"/>
  <c r="AR231" i="4"/>
  <c r="AS230" i="4"/>
  <c r="AR230" i="4"/>
  <c r="AS229" i="4"/>
  <c r="AR229" i="4"/>
  <c r="AS228" i="4"/>
  <c r="AR228" i="4"/>
  <c r="AS227" i="4"/>
  <c r="AR227" i="4"/>
  <c r="AS226" i="4"/>
  <c r="AR226" i="4"/>
  <c r="AS225" i="4"/>
  <c r="AR225" i="4"/>
  <c r="AS224" i="4"/>
  <c r="AR224" i="4"/>
  <c r="AS223" i="4"/>
  <c r="AR223" i="4"/>
  <c r="AS222" i="4"/>
  <c r="AR222" i="4"/>
  <c r="AS221" i="4"/>
  <c r="AR221" i="4"/>
  <c r="AS220" i="4"/>
  <c r="AR220" i="4"/>
  <c r="AS219" i="4"/>
  <c r="AR219" i="4"/>
  <c r="AS218" i="4"/>
  <c r="AR218" i="4"/>
  <c r="AS217" i="4"/>
  <c r="AR217" i="4"/>
  <c r="AS216" i="4"/>
  <c r="AR216" i="4"/>
  <c r="AS215" i="4"/>
  <c r="AR215" i="4"/>
  <c r="AS214" i="4"/>
  <c r="AR214" i="4"/>
  <c r="AS213" i="4"/>
  <c r="AR213" i="4"/>
  <c r="AS212" i="4"/>
  <c r="AR212" i="4"/>
  <c r="AS211" i="4"/>
  <c r="AR211" i="4"/>
  <c r="AS210" i="4"/>
  <c r="AR210" i="4"/>
  <c r="AS209" i="4"/>
  <c r="AR209" i="4"/>
  <c r="AS208" i="4"/>
  <c r="AR208" i="4"/>
  <c r="AS207" i="4"/>
  <c r="AR207" i="4"/>
  <c r="AS206" i="4"/>
  <c r="AR206" i="4"/>
  <c r="AS205" i="4"/>
  <c r="AR205" i="4"/>
  <c r="AS204" i="4"/>
  <c r="AR204" i="4"/>
  <c r="AS203" i="4"/>
  <c r="AR203" i="4"/>
  <c r="AS202" i="4"/>
  <c r="AR202" i="4"/>
  <c r="AS201" i="4"/>
  <c r="AR201" i="4"/>
  <c r="AS200" i="4"/>
  <c r="AR200" i="4"/>
  <c r="AS199" i="4"/>
  <c r="AR199" i="4"/>
  <c r="AS198" i="4"/>
  <c r="AR198" i="4"/>
  <c r="AS197" i="4"/>
  <c r="AR197" i="4"/>
  <c r="AS196" i="4"/>
  <c r="AR196" i="4"/>
  <c r="AS195" i="4"/>
  <c r="AR195" i="4"/>
  <c r="AS194" i="4"/>
  <c r="AR194" i="4"/>
  <c r="AS193" i="4"/>
  <c r="AR193" i="4"/>
  <c r="AS192" i="4"/>
  <c r="AR192" i="4"/>
  <c r="AS191" i="4"/>
  <c r="AR191" i="4"/>
  <c r="AS190" i="4"/>
  <c r="AR190" i="4"/>
  <c r="AS189" i="4"/>
  <c r="AR189" i="4"/>
  <c r="AS188" i="4"/>
  <c r="AR188" i="4"/>
  <c r="AS187" i="4"/>
  <c r="AR187" i="4"/>
  <c r="AS186" i="4"/>
  <c r="AR186" i="4"/>
  <c r="AS185" i="4"/>
  <c r="AR185" i="4"/>
  <c r="AS184" i="4"/>
  <c r="AR184" i="4"/>
  <c r="AS183" i="4"/>
  <c r="AR183" i="4"/>
  <c r="AS182" i="4"/>
  <c r="AR182" i="4"/>
  <c r="AS181" i="4"/>
  <c r="AR181" i="4"/>
  <c r="AS180" i="4"/>
  <c r="AR180" i="4"/>
  <c r="AS179" i="4"/>
  <c r="AR179" i="4"/>
  <c r="AS178" i="4"/>
  <c r="AR178" i="4"/>
  <c r="AS177" i="4"/>
  <c r="AR177" i="4"/>
  <c r="AS176" i="4"/>
  <c r="AR176" i="4"/>
  <c r="AS175" i="4"/>
  <c r="AR175" i="4"/>
  <c r="AS174" i="4"/>
  <c r="AR174" i="4"/>
  <c r="AS173" i="4"/>
  <c r="AR173" i="4"/>
  <c r="AS172" i="4"/>
  <c r="AR172" i="4"/>
  <c r="AS171" i="4"/>
  <c r="AR171" i="4"/>
  <c r="AS170" i="4"/>
  <c r="AR170" i="4"/>
  <c r="AS169" i="4"/>
  <c r="AR169" i="4"/>
  <c r="AS168" i="4"/>
  <c r="AR168" i="4"/>
  <c r="AS167" i="4"/>
  <c r="AR167" i="4"/>
  <c r="AS166" i="4"/>
  <c r="AR166" i="4"/>
  <c r="AS165" i="4"/>
  <c r="AR165" i="4"/>
  <c r="AS164" i="4"/>
  <c r="AR164" i="4"/>
  <c r="AS163" i="4"/>
  <c r="AR163" i="4"/>
  <c r="AS162" i="4"/>
  <c r="AR162" i="4"/>
  <c r="AS161" i="4"/>
  <c r="AR161" i="4"/>
  <c r="AS160" i="4"/>
  <c r="AR160" i="4"/>
  <c r="AS159" i="4"/>
  <c r="AR159" i="4"/>
  <c r="AS158" i="4"/>
  <c r="AR158" i="4"/>
  <c r="AS157" i="4"/>
  <c r="AR157" i="4"/>
  <c r="AS156" i="4"/>
  <c r="AR156" i="4"/>
  <c r="AS155" i="4"/>
  <c r="AR155" i="4"/>
  <c r="AS154" i="4"/>
  <c r="AR154" i="4"/>
  <c r="AS153" i="4"/>
  <c r="AR153" i="4"/>
  <c r="AS152" i="4"/>
  <c r="AR152" i="4"/>
  <c r="AS151" i="4"/>
  <c r="AR151" i="4"/>
  <c r="AS150" i="4"/>
  <c r="AR150" i="4"/>
  <c r="AS149" i="4"/>
  <c r="AR149" i="4"/>
  <c r="AS148" i="4"/>
  <c r="AR148" i="4"/>
  <c r="AS147" i="4"/>
  <c r="AR147" i="4"/>
  <c r="AS146" i="4"/>
  <c r="AR146" i="4"/>
  <c r="AS145" i="4"/>
  <c r="AR145" i="4"/>
  <c r="AS144" i="4"/>
  <c r="AR144" i="4"/>
  <c r="AS143" i="4"/>
  <c r="AR143" i="4"/>
  <c r="AS142" i="4"/>
  <c r="AR142" i="4"/>
  <c r="AS141" i="4"/>
  <c r="AR141" i="4"/>
  <c r="AS140" i="4"/>
  <c r="AR140" i="4"/>
  <c r="AS139" i="4"/>
  <c r="AR139" i="4"/>
  <c r="AS138" i="4"/>
  <c r="AR138" i="4"/>
  <c r="AS137" i="4"/>
  <c r="AR137" i="4"/>
  <c r="AS136" i="4"/>
  <c r="AR136" i="4"/>
  <c r="AS135" i="4"/>
  <c r="AR135" i="4"/>
  <c r="AS134" i="4"/>
  <c r="AR134" i="4"/>
  <c r="AS133" i="4"/>
  <c r="AR133" i="4"/>
  <c r="AS132" i="4"/>
  <c r="AR132" i="4"/>
  <c r="AS131" i="4"/>
  <c r="AR131" i="4"/>
  <c r="AS130" i="4"/>
  <c r="AR130" i="4"/>
  <c r="AS129" i="4"/>
  <c r="AR129" i="4"/>
  <c r="AS128" i="4"/>
  <c r="AR128" i="4"/>
  <c r="AS127" i="4"/>
  <c r="AR127" i="4"/>
  <c r="AS126" i="4"/>
  <c r="AR126" i="4"/>
  <c r="AS125" i="4"/>
  <c r="AR125" i="4"/>
  <c r="AS124" i="4"/>
  <c r="AR124" i="4"/>
  <c r="AS123" i="4"/>
  <c r="AR123" i="4"/>
  <c r="AS122" i="4"/>
  <c r="AR122" i="4"/>
  <c r="AS121" i="4"/>
  <c r="AR121" i="4"/>
  <c r="AS120" i="4"/>
  <c r="AR120" i="4"/>
  <c r="AS119" i="4"/>
  <c r="AR119" i="4"/>
  <c r="AS118" i="4"/>
  <c r="AR118" i="4"/>
  <c r="AS117" i="4"/>
  <c r="AR117" i="4"/>
  <c r="AS116" i="4"/>
  <c r="AR116" i="4"/>
  <c r="AS115" i="4"/>
  <c r="AR115" i="4"/>
  <c r="AS114" i="4"/>
  <c r="AR114" i="4"/>
  <c r="AS113" i="4"/>
  <c r="AR113" i="4"/>
  <c r="AS112" i="4"/>
  <c r="AR112" i="4"/>
  <c r="AS111" i="4"/>
  <c r="AR111" i="4"/>
  <c r="AS110" i="4"/>
  <c r="AR110" i="4"/>
  <c r="AS109" i="4"/>
  <c r="AR109" i="4"/>
  <c r="AS108" i="4"/>
  <c r="AR108" i="4"/>
  <c r="AS107" i="4"/>
  <c r="AR107" i="4"/>
  <c r="AS106" i="4"/>
  <c r="AR106" i="4"/>
  <c r="AS105" i="4"/>
  <c r="AR105" i="4"/>
  <c r="AS104" i="4"/>
  <c r="AR104" i="4"/>
  <c r="AS103" i="4"/>
  <c r="AR103" i="4"/>
  <c r="AS102" i="4"/>
  <c r="AR102" i="4"/>
  <c r="AS101" i="4"/>
  <c r="AR101" i="4"/>
  <c r="AS100" i="4"/>
  <c r="AR100" i="4"/>
  <c r="AS99" i="4"/>
  <c r="AR99" i="4"/>
  <c r="AS98" i="4"/>
  <c r="AR98" i="4"/>
  <c r="AS97" i="4"/>
  <c r="AR97" i="4"/>
  <c r="AS96" i="4"/>
  <c r="AR96" i="4"/>
  <c r="AS95" i="4"/>
  <c r="AR95" i="4"/>
  <c r="AS94" i="4"/>
  <c r="AR94" i="4"/>
  <c r="AS93" i="4"/>
  <c r="AR93" i="4"/>
  <c r="AS92" i="4"/>
  <c r="AR92" i="4"/>
  <c r="AS91" i="4"/>
  <c r="AR91" i="4"/>
  <c r="AS90" i="4"/>
  <c r="AR90" i="4"/>
  <c r="AS89" i="4"/>
  <c r="AR89" i="4"/>
  <c r="AS88" i="4"/>
  <c r="AR88" i="4"/>
  <c r="AS87" i="4"/>
  <c r="AR87" i="4"/>
  <c r="AS86" i="4"/>
  <c r="AR86" i="4"/>
  <c r="AS85" i="4"/>
  <c r="AR85" i="4"/>
  <c r="AS84" i="4"/>
  <c r="AR84" i="4"/>
  <c r="AS83" i="4"/>
  <c r="AR83" i="4"/>
  <c r="AS82" i="4"/>
  <c r="AR82" i="4"/>
  <c r="AS81" i="4"/>
  <c r="AR81" i="4"/>
  <c r="AS80" i="4"/>
  <c r="AR80" i="4"/>
  <c r="AS79" i="4"/>
  <c r="AR79" i="4"/>
  <c r="AS78" i="4"/>
  <c r="AR78" i="4"/>
  <c r="AS77" i="4"/>
  <c r="AR77" i="4"/>
  <c r="AS76" i="4"/>
  <c r="AR76" i="4"/>
  <c r="AS75" i="4"/>
  <c r="AR75" i="4"/>
  <c r="AS74" i="4"/>
  <c r="AR74" i="4"/>
  <c r="AS73" i="4"/>
  <c r="AR73" i="4"/>
  <c r="AS72" i="4"/>
  <c r="AR72" i="4"/>
  <c r="AS71" i="4"/>
  <c r="AR71" i="4"/>
  <c r="AS70" i="4"/>
  <c r="AR70" i="4"/>
  <c r="AS69" i="4"/>
  <c r="AR69" i="4"/>
  <c r="AS68" i="4"/>
  <c r="AR68" i="4"/>
  <c r="AS67" i="4"/>
  <c r="AR67" i="4"/>
  <c r="AS66" i="4"/>
  <c r="AR66" i="4"/>
  <c r="AS65" i="4"/>
  <c r="AR65" i="4"/>
  <c r="AS64" i="4"/>
  <c r="AR64" i="4"/>
  <c r="AS63" i="4"/>
  <c r="AR63" i="4"/>
  <c r="AS62" i="4"/>
  <c r="AR62" i="4"/>
  <c r="AS61" i="4"/>
  <c r="AR61" i="4"/>
  <c r="AS60" i="4"/>
  <c r="AR60" i="4"/>
  <c r="AS59" i="4"/>
  <c r="AR59" i="4"/>
  <c r="AS58" i="4"/>
  <c r="AR58" i="4"/>
  <c r="AS57" i="4"/>
  <c r="AR57" i="4"/>
  <c r="AS56" i="4"/>
  <c r="AR56" i="4"/>
  <c r="AS55" i="4"/>
  <c r="AR55" i="4"/>
  <c r="AS54" i="4"/>
  <c r="AR54" i="4"/>
  <c r="AS53" i="4"/>
  <c r="AR53" i="4"/>
  <c r="AS52" i="4"/>
  <c r="AR52" i="4"/>
  <c r="AS51" i="4"/>
  <c r="AR51" i="4"/>
  <c r="AS50" i="4"/>
  <c r="AR50" i="4"/>
  <c r="AS49" i="4"/>
  <c r="AR49" i="4"/>
  <c r="AS48" i="4"/>
  <c r="AR48" i="4"/>
  <c r="AS47" i="4"/>
  <c r="AR47" i="4"/>
  <c r="AS46" i="4"/>
  <c r="AR46" i="4"/>
  <c r="AS45" i="4"/>
  <c r="AR45" i="4"/>
  <c r="AS44" i="4"/>
  <c r="AR44" i="4"/>
  <c r="AS43" i="4"/>
  <c r="AR43" i="4"/>
  <c r="AS42" i="4"/>
  <c r="AR42" i="4"/>
  <c r="AS41" i="4"/>
  <c r="AR41" i="4"/>
  <c r="AS40" i="4"/>
  <c r="AR40" i="4"/>
  <c r="AS39" i="4"/>
  <c r="AR39" i="4"/>
  <c r="AS38" i="4"/>
  <c r="AR38" i="4"/>
  <c r="AS37" i="4"/>
  <c r="AR37" i="4"/>
  <c r="AS36" i="4"/>
  <c r="AR36" i="4"/>
  <c r="AS35" i="4"/>
  <c r="AR35" i="4"/>
  <c r="AS34" i="4"/>
  <c r="AR34" i="4"/>
  <c r="AS33" i="4"/>
  <c r="AR33" i="4"/>
  <c r="AS32" i="4"/>
  <c r="AR32" i="4"/>
  <c r="AS31" i="4"/>
  <c r="AR31" i="4"/>
  <c r="AS30" i="4"/>
  <c r="AR30" i="4"/>
  <c r="AS29" i="4"/>
  <c r="AR29" i="4"/>
  <c r="AS28" i="4"/>
  <c r="AR28" i="4"/>
  <c r="AS27" i="4"/>
  <c r="AR27" i="4"/>
  <c r="AS26" i="4"/>
  <c r="AR26" i="4"/>
  <c r="AS25" i="4"/>
  <c r="AR25" i="4"/>
  <c r="AS24" i="4"/>
  <c r="AR24" i="4"/>
  <c r="AS23" i="4"/>
  <c r="AR23" i="4"/>
  <c r="AS22" i="4"/>
  <c r="AR22" i="4"/>
  <c r="AS21" i="4"/>
  <c r="AR21" i="4"/>
  <c r="AS20" i="4"/>
  <c r="AR20" i="4"/>
  <c r="AS19" i="4"/>
  <c r="AR19" i="4"/>
  <c r="AS18" i="4"/>
  <c r="AR18" i="4"/>
  <c r="AS17" i="4"/>
  <c r="AR17" i="4"/>
  <c r="AS16" i="4"/>
  <c r="AR16" i="4"/>
  <c r="AS15" i="4"/>
  <c r="AR15" i="4"/>
  <c r="AS14" i="4"/>
  <c r="AR14" i="4"/>
  <c r="AS13" i="4"/>
  <c r="AR13" i="4"/>
  <c r="AS12" i="4"/>
  <c r="AR12" i="4"/>
  <c r="AS11" i="4"/>
  <c r="AR11" i="4"/>
  <c r="AS10" i="4"/>
  <c r="AR10" i="4"/>
  <c r="AS9" i="4"/>
  <c r="AR9" i="4"/>
  <c r="AS8" i="4"/>
  <c r="AR8" i="4"/>
  <c r="AS7" i="4"/>
  <c r="AR7" i="4"/>
  <c r="AS6" i="4"/>
  <c r="AR6" i="4"/>
  <c r="AS5" i="4"/>
  <c r="AR5" i="4"/>
  <c r="AS4" i="4"/>
  <c r="AR4" i="4"/>
  <c r="AS3" i="4"/>
  <c r="AR3" i="4"/>
  <c r="AS2" i="4"/>
  <c r="AR2" i="4"/>
  <c r="AP1001" i="4"/>
  <c r="AO1001" i="4"/>
  <c r="AP1000" i="4"/>
  <c r="AO1000" i="4"/>
  <c r="AP999" i="4"/>
  <c r="AO999" i="4"/>
  <c r="AP998" i="4"/>
  <c r="AO998" i="4"/>
  <c r="AP997" i="4"/>
  <c r="AO997" i="4"/>
  <c r="AP996" i="4"/>
  <c r="AO996" i="4"/>
  <c r="AP995" i="4"/>
  <c r="AO995" i="4"/>
  <c r="AP994" i="4"/>
  <c r="AO994" i="4"/>
  <c r="AP993" i="4"/>
  <c r="AO993" i="4"/>
  <c r="AP992" i="4"/>
  <c r="AO992" i="4"/>
  <c r="AP991" i="4"/>
  <c r="AO991" i="4"/>
  <c r="AP990" i="4"/>
  <c r="AO990" i="4"/>
  <c r="AP989" i="4"/>
  <c r="AO989" i="4"/>
  <c r="AP988" i="4"/>
  <c r="AO988" i="4"/>
  <c r="AP987" i="4"/>
  <c r="AO987" i="4"/>
  <c r="AP986" i="4"/>
  <c r="AO986" i="4"/>
  <c r="AP985" i="4"/>
  <c r="AO985" i="4"/>
  <c r="AP984" i="4"/>
  <c r="AO984" i="4"/>
  <c r="AP983" i="4"/>
  <c r="AO983" i="4"/>
  <c r="AP982" i="4"/>
  <c r="AO982" i="4"/>
  <c r="AP981" i="4"/>
  <c r="AO981" i="4"/>
  <c r="AP980" i="4"/>
  <c r="AO980" i="4"/>
  <c r="AP979" i="4"/>
  <c r="AO979" i="4"/>
  <c r="AP978" i="4"/>
  <c r="AO978" i="4"/>
  <c r="AP977" i="4"/>
  <c r="AO977" i="4"/>
  <c r="AP976" i="4"/>
  <c r="AO976" i="4"/>
  <c r="AP975" i="4"/>
  <c r="AO975" i="4"/>
  <c r="AP974" i="4"/>
  <c r="AO974" i="4"/>
  <c r="AP973" i="4"/>
  <c r="AO973" i="4"/>
  <c r="AP972" i="4"/>
  <c r="AO972" i="4"/>
  <c r="AP971" i="4"/>
  <c r="AO971" i="4"/>
  <c r="AP970" i="4"/>
  <c r="AO970" i="4"/>
  <c r="AP969" i="4"/>
  <c r="AO969" i="4"/>
  <c r="AP968" i="4"/>
  <c r="AO968" i="4"/>
  <c r="AP967" i="4"/>
  <c r="AO967" i="4"/>
  <c r="AP966" i="4"/>
  <c r="AO966" i="4"/>
  <c r="AP965" i="4"/>
  <c r="AO965" i="4"/>
  <c r="AP964" i="4"/>
  <c r="AO964" i="4"/>
  <c r="AP963" i="4"/>
  <c r="AO963" i="4"/>
  <c r="AP962" i="4"/>
  <c r="AO962" i="4"/>
  <c r="AP961" i="4"/>
  <c r="AO961" i="4"/>
  <c r="AP960" i="4"/>
  <c r="AO960" i="4"/>
  <c r="AP959" i="4"/>
  <c r="AO959" i="4"/>
  <c r="AP958" i="4"/>
  <c r="AO958" i="4"/>
  <c r="AP957" i="4"/>
  <c r="AO957" i="4"/>
  <c r="AP956" i="4"/>
  <c r="AO956" i="4"/>
  <c r="AP955" i="4"/>
  <c r="AO955" i="4"/>
  <c r="AP954" i="4"/>
  <c r="AO954" i="4"/>
  <c r="AP953" i="4"/>
  <c r="AO953" i="4"/>
  <c r="AP952" i="4"/>
  <c r="AO952" i="4"/>
  <c r="AP951" i="4"/>
  <c r="AO951" i="4"/>
  <c r="AP950" i="4"/>
  <c r="AO950" i="4"/>
  <c r="AP949" i="4"/>
  <c r="AO949" i="4"/>
  <c r="AP948" i="4"/>
  <c r="AO948" i="4"/>
  <c r="AP947" i="4"/>
  <c r="AO947" i="4"/>
  <c r="AP946" i="4"/>
  <c r="AO946" i="4"/>
  <c r="AP945" i="4"/>
  <c r="AO945" i="4"/>
  <c r="AP944" i="4"/>
  <c r="AO944" i="4"/>
  <c r="AP943" i="4"/>
  <c r="AO943" i="4"/>
  <c r="AP942" i="4"/>
  <c r="AO942" i="4"/>
  <c r="AP941" i="4"/>
  <c r="AO941" i="4"/>
  <c r="AP940" i="4"/>
  <c r="AO940" i="4"/>
  <c r="AP939" i="4"/>
  <c r="AO939" i="4"/>
  <c r="AP938" i="4"/>
  <c r="AO938" i="4"/>
  <c r="AP937" i="4"/>
  <c r="AO937" i="4"/>
  <c r="AP936" i="4"/>
  <c r="AO936" i="4"/>
  <c r="AP935" i="4"/>
  <c r="AO935" i="4"/>
  <c r="AP934" i="4"/>
  <c r="AO934" i="4"/>
  <c r="AP933" i="4"/>
  <c r="AO933" i="4"/>
  <c r="AP932" i="4"/>
  <c r="AO932" i="4"/>
  <c r="AP931" i="4"/>
  <c r="AO931" i="4"/>
  <c r="AP930" i="4"/>
  <c r="AO930" i="4"/>
  <c r="AP929" i="4"/>
  <c r="AO929" i="4"/>
  <c r="AP928" i="4"/>
  <c r="AO928" i="4"/>
  <c r="AP927" i="4"/>
  <c r="AO927" i="4"/>
  <c r="AP926" i="4"/>
  <c r="AO926" i="4"/>
  <c r="AP925" i="4"/>
  <c r="AO925" i="4"/>
  <c r="AP924" i="4"/>
  <c r="AO924" i="4"/>
  <c r="AP923" i="4"/>
  <c r="AO923" i="4"/>
  <c r="AP922" i="4"/>
  <c r="AO922" i="4"/>
  <c r="AP921" i="4"/>
  <c r="AO921" i="4"/>
  <c r="AP920" i="4"/>
  <c r="AO920" i="4"/>
  <c r="AP919" i="4"/>
  <c r="AO919" i="4"/>
  <c r="AP918" i="4"/>
  <c r="AO918" i="4"/>
  <c r="AP917" i="4"/>
  <c r="AO917" i="4"/>
  <c r="AP916" i="4"/>
  <c r="AO916" i="4"/>
  <c r="AP915" i="4"/>
  <c r="AO915" i="4"/>
  <c r="AP914" i="4"/>
  <c r="AO914" i="4"/>
  <c r="AP913" i="4"/>
  <c r="AO913" i="4"/>
  <c r="AP912" i="4"/>
  <c r="AO912" i="4"/>
  <c r="AP911" i="4"/>
  <c r="AO911" i="4"/>
  <c r="AP910" i="4"/>
  <c r="AO910" i="4"/>
  <c r="AP909" i="4"/>
  <c r="AO909" i="4"/>
  <c r="AP908" i="4"/>
  <c r="AO908" i="4"/>
  <c r="AP907" i="4"/>
  <c r="AO907" i="4"/>
  <c r="AP906" i="4"/>
  <c r="AO906" i="4"/>
  <c r="AP905" i="4"/>
  <c r="AO905" i="4"/>
  <c r="AP904" i="4"/>
  <c r="AO904" i="4"/>
  <c r="AP903" i="4"/>
  <c r="AO903" i="4"/>
  <c r="AP902" i="4"/>
  <c r="AO902" i="4"/>
  <c r="AP901" i="4"/>
  <c r="AO901" i="4"/>
  <c r="AP900" i="4"/>
  <c r="AO900" i="4"/>
  <c r="AP899" i="4"/>
  <c r="AO899" i="4"/>
  <c r="AP898" i="4"/>
  <c r="AO898" i="4"/>
  <c r="AP897" i="4"/>
  <c r="AO897" i="4"/>
  <c r="AP896" i="4"/>
  <c r="AO896" i="4"/>
  <c r="AP895" i="4"/>
  <c r="AO895" i="4"/>
  <c r="AP894" i="4"/>
  <c r="AO894" i="4"/>
  <c r="AP893" i="4"/>
  <c r="AO893" i="4"/>
  <c r="AP892" i="4"/>
  <c r="AO892" i="4"/>
  <c r="AP891" i="4"/>
  <c r="AO891" i="4"/>
  <c r="AP890" i="4"/>
  <c r="AO890" i="4"/>
  <c r="AP889" i="4"/>
  <c r="AO889" i="4"/>
  <c r="AP888" i="4"/>
  <c r="AO888" i="4"/>
  <c r="AP887" i="4"/>
  <c r="AO887" i="4"/>
  <c r="AP886" i="4"/>
  <c r="AO886" i="4"/>
  <c r="AP885" i="4"/>
  <c r="AO885" i="4"/>
  <c r="AP884" i="4"/>
  <c r="AO884" i="4"/>
  <c r="AP883" i="4"/>
  <c r="AO883" i="4"/>
  <c r="AP882" i="4"/>
  <c r="AO882" i="4"/>
  <c r="AP881" i="4"/>
  <c r="AO881" i="4"/>
  <c r="AP880" i="4"/>
  <c r="AO880" i="4"/>
  <c r="AP879" i="4"/>
  <c r="AO879" i="4"/>
  <c r="AP878" i="4"/>
  <c r="AO878" i="4"/>
  <c r="AP877" i="4"/>
  <c r="AO877" i="4"/>
  <c r="AP876" i="4"/>
  <c r="AO876" i="4"/>
  <c r="AP875" i="4"/>
  <c r="AO875" i="4"/>
  <c r="AP874" i="4"/>
  <c r="AO874" i="4"/>
  <c r="AP873" i="4"/>
  <c r="AO873" i="4"/>
  <c r="AP872" i="4"/>
  <c r="AO872" i="4"/>
  <c r="AP871" i="4"/>
  <c r="AO871" i="4"/>
  <c r="AP870" i="4"/>
  <c r="AO870" i="4"/>
  <c r="AP869" i="4"/>
  <c r="AO869" i="4"/>
  <c r="AP868" i="4"/>
  <c r="AO868" i="4"/>
  <c r="AP867" i="4"/>
  <c r="AO867" i="4"/>
  <c r="AP866" i="4"/>
  <c r="AO866" i="4"/>
  <c r="AP865" i="4"/>
  <c r="AO865" i="4"/>
  <c r="AP864" i="4"/>
  <c r="AO864" i="4"/>
  <c r="AP863" i="4"/>
  <c r="AO863" i="4"/>
  <c r="AP862" i="4"/>
  <c r="AO862" i="4"/>
  <c r="AP861" i="4"/>
  <c r="AO861" i="4"/>
  <c r="AP860" i="4"/>
  <c r="AO860" i="4"/>
  <c r="AP859" i="4"/>
  <c r="AO859" i="4"/>
  <c r="AP858" i="4"/>
  <c r="AO858" i="4"/>
  <c r="AP857" i="4"/>
  <c r="AO857" i="4"/>
  <c r="AP856" i="4"/>
  <c r="AO856" i="4"/>
  <c r="AP855" i="4"/>
  <c r="AO855" i="4"/>
  <c r="AP854" i="4"/>
  <c r="AO854" i="4"/>
  <c r="AP853" i="4"/>
  <c r="AO853" i="4"/>
  <c r="AP852" i="4"/>
  <c r="AO852" i="4"/>
  <c r="AP851" i="4"/>
  <c r="AO851" i="4"/>
  <c r="AP850" i="4"/>
  <c r="AO850" i="4"/>
  <c r="AP849" i="4"/>
  <c r="AO849" i="4"/>
  <c r="AP848" i="4"/>
  <c r="AO848" i="4"/>
  <c r="AP847" i="4"/>
  <c r="AO847" i="4"/>
  <c r="AP846" i="4"/>
  <c r="AO846" i="4"/>
  <c r="AP845" i="4"/>
  <c r="AO845" i="4"/>
  <c r="AP844" i="4"/>
  <c r="AO844" i="4"/>
  <c r="AP843" i="4"/>
  <c r="AO843" i="4"/>
  <c r="AP842" i="4"/>
  <c r="AO842" i="4"/>
  <c r="AP841" i="4"/>
  <c r="AO841" i="4"/>
  <c r="AP840" i="4"/>
  <c r="AO840" i="4"/>
  <c r="AP839" i="4"/>
  <c r="AO839" i="4"/>
  <c r="AP838" i="4"/>
  <c r="AO838" i="4"/>
  <c r="AP837" i="4"/>
  <c r="AO837" i="4"/>
  <c r="AP836" i="4"/>
  <c r="AO836" i="4"/>
  <c r="AP835" i="4"/>
  <c r="AO835" i="4"/>
  <c r="AP834" i="4"/>
  <c r="AO834" i="4"/>
  <c r="AP833" i="4"/>
  <c r="AO833" i="4"/>
  <c r="AP832" i="4"/>
  <c r="AO832" i="4"/>
  <c r="AP831" i="4"/>
  <c r="AO831" i="4"/>
  <c r="AP830" i="4"/>
  <c r="AO830" i="4"/>
  <c r="AP829" i="4"/>
  <c r="AO829" i="4"/>
  <c r="AP828" i="4"/>
  <c r="AO828" i="4"/>
  <c r="AP827" i="4"/>
  <c r="AO827" i="4"/>
  <c r="AP826" i="4"/>
  <c r="AO826" i="4"/>
  <c r="AP825" i="4"/>
  <c r="AO825" i="4"/>
  <c r="AP824" i="4"/>
  <c r="AO824" i="4"/>
  <c r="AP823" i="4"/>
  <c r="AO823" i="4"/>
  <c r="AP822" i="4"/>
  <c r="AO822" i="4"/>
  <c r="AP821" i="4"/>
  <c r="AO821" i="4"/>
  <c r="AP820" i="4"/>
  <c r="AO820" i="4"/>
  <c r="AP819" i="4"/>
  <c r="AO819" i="4"/>
  <c r="AP818" i="4"/>
  <c r="AO818" i="4"/>
  <c r="AP817" i="4"/>
  <c r="AO817" i="4"/>
  <c r="AP816" i="4"/>
  <c r="AO816" i="4"/>
  <c r="AP815" i="4"/>
  <c r="AO815" i="4"/>
  <c r="AP814" i="4"/>
  <c r="AO814" i="4"/>
  <c r="AP813" i="4"/>
  <c r="AO813" i="4"/>
  <c r="AP812" i="4"/>
  <c r="AO812" i="4"/>
  <c r="AP811" i="4"/>
  <c r="AO811" i="4"/>
  <c r="AP810" i="4"/>
  <c r="AO810" i="4"/>
  <c r="AP809" i="4"/>
  <c r="AO809" i="4"/>
  <c r="AP808" i="4"/>
  <c r="AO808" i="4"/>
  <c r="AP807" i="4"/>
  <c r="AO807" i="4"/>
  <c r="AP806" i="4"/>
  <c r="AO806" i="4"/>
  <c r="AP805" i="4"/>
  <c r="AO805" i="4"/>
  <c r="AP804" i="4"/>
  <c r="AO804" i="4"/>
  <c r="AP803" i="4"/>
  <c r="AO803" i="4"/>
  <c r="AP802" i="4"/>
  <c r="AO802" i="4"/>
  <c r="AP801" i="4"/>
  <c r="AO801" i="4"/>
  <c r="AP800" i="4"/>
  <c r="AO800" i="4"/>
  <c r="AP799" i="4"/>
  <c r="AO799" i="4"/>
  <c r="AP798" i="4"/>
  <c r="AO798" i="4"/>
  <c r="AP797" i="4"/>
  <c r="AO797" i="4"/>
  <c r="AP796" i="4"/>
  <c r="AO796" i="4"/>
  <c r="AP795" i="4"/>
  <c r="AO795" i="4"/>
  <c r="AP794" i="4"/>
  <c r="AO794" i="4"/>
  <c r="AP793" i="4"/>
  <c r="AO793" i="4"/>
  <c r="AP792" i="4"/>
  <c r="AO792" i="4"/>
  <c r="AP791" i="4"/>
  <c r="AO791" i="4"/>
  <c r="AP790" i="4"/>
  <c r="AO790" i="4"/>
  <c r="AP789" i="4"/>
  <c r="AO789" i="4"/>
  <c r="AP788" i="4"/>
  <c r="AO788" i="4"/>
  <c r="AP787" i="4"/>
  <c r="AO787" i="4"/>
  <c r="AP786" i="4"/>
  <c r="AO786" i="4"/>
  <c r="AP785" i="4"/>
  <c r="AO785" i="4"/>
  <c r="AP784" i="4"/>
  <c r="AO784" i="4"/>
  <c r="AP783" i="4"/>
  <c r="AO783" i="4"/>
  <c r="AP782" i="4"/>
  <c r="AO782" i="4"/>
  <c r="AP781" i="4"/>
  <c r="AO781" i="4"/>
  <c r="AP780" i="4"/>
  <c r="AO780" i="4"/>
  <c r="AP779" i="4"/>
  <c r="AO779" i="4"/>
  <c r="AP778" i="4"/>
  <c r="AO778" i="4"/>
  <c r="AP777" i="4"/>
  <c r="AO777" i="4"/>
  <c r="AP776" i="4"/>
  <c r="AO776" i="4"/>
  <c r="AP775" i="4"/>
  <c r="AO775" i="4"/>
  <c r="AP774" i="4"/>
  <c r="AO774" i="4"/>
  <c r="AP773" i="4"/>
  <c r="AO773" i="4"/>
  <c r="AP772" i="4"/>
  <c r="AO772" i="4"/>
  <c r="AP771" i="4"/>
  <c r="AO771" i="4"/>
  <c r="AP770" i="4"/>
  <c r="AO770" i="4"/>
  <c r="AP769" i="4"/>
  <c r="AO769" i="4"/>
  <c r="AP768" i="4"/>
  <c r="AO768" i="4"/>
  <c r="AP767" i="4"/>
  <c r="AO767" i="4"/>
  <c r="AP766" i="4"/>
  <c r="AO766" i="4"/>
  <c r="AP765" i="4"/>
  <c r="AO765" i="4"/>
  <c r="AP764" i="4"/>
  <c r="AO764" i="4"/>
  <c r="AP763" i="4"/>
  <c r="AO763" i="4"/>
  <c r="AP762" i="4"/>
  <c r="AO762" i="4"/>
  <c r="AP761" i="4"/>
  <c r="AO761" i="4"/>
  <c r="AP760" i="4"/>
  <c r="AO760" i="4"/>
  <c r="AP759" i="4"/>
  <c r="AO759" i="4"/>
  <c r="AP758" i="4"/>
  <c r="AO758" i="4"/>
  <c r="AP757" i="4"/>
  <c r="AO757" i="4"/>
  <c r="AP756" i="4"/>
  <c r="AO756" i="4"/>
  <c r="AP755" i="4"/>
  <c r="AO755" i="4"/>
  <c r="AP754" i="4"/>
  <c r="AO754" i="4"/>
  <c r="AP753" i="4"/>
  <c r="AO753" i="4"/>
  <c r="AP752" i="4"/>
  <c r="AO752" i="4"/>
  <c r="AP751" i="4"/>
  <c r="AO751" i="4"/>
  <c r="AP750" i="4"/>
  <c r="AO750" i="4"/>
  <c r="AP749" i="4"/>
  <c r="AO749" i="4"/>
  <c r="AP748" i="4"/>
  <c r="AO748" i="4"/>
  <c r="AP747" i="4"/>
  <c r="AO747" i="4"/>
  <c r="AP746" i="4"/>
  <c r="AO746" i="4"/>
  <c r="AP745" i="4"/>
  <c r="AO745" i="4"/>
  <c r="AP744" i="4"/>
  <c r="AO744" i="4"/>
  <c r="AP743" i="4"/>
  <c r="AO743" i="4"/>
  <c r="AP742" i="4"/>
  <c r="AO742" i="4"/>
  <c r="AP741" i="4"/>
  <c r="AO741" i="4"/>
  <c r="AP740" i="4"/>
  <c r="AO740" i="4"/>
  <c r="AP739" i="4"/>
  <c r="AO739" i="4"/>
  <c r="AP738" i="4"/>
  <c r="AO738" i="4"/>
  <c r="AP737" i="4"/>
  <c r="AO737" i="4"/>
  <c r="AP736" i="4"/>
  <c r="AO736" i="4"/>
  <c r="AP735" i="4"/>
  <c r="AO735" i="4"/>
  <c r="AP734" i="4"/>
  <c r="AO734" i="4"/>
  <c r="AP733" i="4"/>
  <c r="AO733" i="4"/>
  <c r="AP732" i="4"/>
  <c r="AO732" i="4"/>
  <c r="AP731" i="4"/>
  <c r="AO731" i="4"/>
  <c r="AP730" i="4"/>
  <c r="AO730" i="4"/>
  <c r="AP729" i="4"/>
  <c r="AO729" i="4"/>
  <c r="AP728" i="4"/>
  <c r="AO728" i="4"/>
  <c r="AP727" i="4"/>
  <c r="AO727" i="4"/>
  <c r="AP726" i="4"/>
  <c r="AO726" i="4"/>
  <c r="AP725" i="4"/>
  <c r="AO725" i="4"/>
  <c r="AP724" i="4"/>
  <c r="AO724" i="4"/>
  <c r="AP723" i="4"/>
  <c r="AO723" i="4"/>
  <c r="AP722" i="4"/>
  <c r="AO722" i="4"/>
  <c r="AP721" i="4"/>
  <c r="AO721" i="4"/>
  <c r="AP720" i="4"/>
  <c r="AO720" i="4"/>
  <c r="AP719" i="4"/>
  <c r="AO719" i="4"/>
  <c r="AP718" i="4"/>
  <c r="AO718" i="4"/>
  <c r="AP717" i="4"/>
  <c r="AO717" i="4"/>
  <c r="AP716" i="4"/>
  <c r="AO716" i="4"/>
  <c r="AP715" i="4"/>
  <c r="AO715" i="4"/>
  <c r="AP714" i="4"/>
  <c r="AO714" i="4"/>
  <c r="AP713" i="4"/>
  <c r="AO713" i="4"/>
  <c r="AP712" i="4"/>
  <c r="AO712" i="4"/>
  <c r="AP711" i="4"/>
  <c r="AO711" i="4"/>
  <c r="AP710" i="4"/>
  <c r="AO710" i="4"/>
  <c r="AP709" i="4"/>
  <c r="AO709" i="4"/>
  <c r="AP708" i="4"/>
  <c r="AO708" i="4"/>
  <c r="AP707" i="4"/>
  <c r="AO707" i="4"/>
  <c r="AP706" i="4"/>
  <c r="AO706" i="4"/>
  <c r="AP705" i="4"/>
  <c r="AO705" i="4"/>
  <c r="AP704" i="4"/>
  <c r="AO704" i="4"/>
  <c r="AP703" i="4"/>
  <c r="AO703" i="4"/>
  <c r="AP702" i="4"/>
  <c r="AO702" i="4"/>
  <c r="AP701" i="4"/>
  <c r="AO701" i="4"/>
  <c r="AP700" i="4"/>
  <c r="AO700" i="4"/>
  <c r="AP699" i="4"/>
  <c r="AO699" i="4"/>
  <c r="AP698" i="4"/>
  <c r="AO698" i="4"/>
  <c r="AP697" i="4"/>
  <c r="AO697" i="4"/>
  <c r="AP696" i="4"/>
  <c r="AO696" i="4"/>
  <c r="AP695" i="4"/>
  <c r="AO695" i="4"/>
  <c r="AP694" i="4"/>
  <c r="AO694" i="4"/>
  <c r="AP693" i="4"/>
  <c r="AO693" i="4"/>
  <c r="AP692" i="4"/>
  <c r="AO692" i="4"/>
  <c r="AP691" i="4"/>
  <c r="AO691" i="4"/>
  <c r="AP690" i="4"/>
  <c r="AO690" i="4"/>
  <c r="AP689" i="4"/>
  <c r="AO689" i="4"/>
  <c r="AP688" i="4"/>
  <c r="AO688" i="4"/>
  <c r="AP687" i="4"/>
  <c r="AO687" i="4"/>
  <c r="AP686" i="4"/>
  <c r="AO686" i="4"/>
  <c r="AP685" i="4"/>
  <c r="AO685" i="4"/>
  <c r="AP684" i="4"/>
  <c r="AO684" i="4"/>
  <c r="AP683" i="4"/>
  <c r="AO683" i="4"/>
  <c r="AP682" i="4"/>
  <c r="AO682" i="4"/>
  <c r="AP681" i="4"/>
  <c r="AO681" i="4"/>
  <c r="AP680" i="4"/>
  <c r="AO680" i="4"/>
  <c r="AP679" i="4"/>
  <c r="AO679" i="4"/>
  <c r="AP678" i="4"/>
  <c r="AO678" i="4"/>
  <c r="AP677" i="4"/>
  <c r="AO677" i="4"/>
  <c r="AP676" i="4"/>
  <c r="AO676" i="4"/>
  <c r="AP675" i="4"/>
  <c r="AO675" i="4"/>
  <c r="AP674" i="4"/>
  <c r="AO674" i="4"/>
  <c r="AP673" i="4"/>
  <c r="AO673" i="4"/>
  <c r="AP672" i="4"/>
  <c r="AO672" i="4"/>
  <c r="AP671" i="4"/>
  <c r="AO671" i="4"/>
  <c r="AP670" i="4"/>
  <c r="AO670" i="4"/>
  <c r="AP669" i="4"/>
  <c r="AO669" i="4"/>
  <c r="AP668" i="4"/>
  <c r="AO668" i="4"/>
  <c r="AP667" i="4"/>
  <c r="AO667" i="4"/>
  <c r="AP666" i="4"/>
  <c r="AO666" i="4"/>
  <c r="AP665" i="4"/>
  <c r="AO665" i="4"/>
  <c r="AP664" i="4"/>
  <c r="AO664" i="4"/>
  <c r="AP663" i="4"/>
  <c r="AO663" i="4"/>
  <c r="AP662" i="4"/>
  <c r="AO662" i="4"/>
  <c r="AP661" i="4"/>
  <c r="AO661" i="4"/>
  <c r="AP660" i="4"/>
  <c r="AO660" i="4"/>
  <c r="AP659" i="4"/>
  <c r="AO659" i="4"/>
  <c r="AP658" i="4"/>
  <c r="AO658" i="4"/>
  <c r="AP657" i="4"/>
  <c r="AO657" i="4"/>
  <c r="AP656" i="4"/>
  <c r="AO656" i="4"/>
  <c r="AP655" i="4"/>
  <c r="AO655" i="4"/>
  <c r="AP654" i="4"/>
  <c r="AO654" i="4"/>
  <c r="AP653" i="4"/>
  <c r="AO653" i="4"/>
  <c r="AP652" i="4"/>
  <c r="AO652" i="4"/>
  <c r="AP651" i="4"/>
  <c r="AO651" i="4"/>
  <c r="AP650" i="4"/>
  <c r="AO650" i="4"/>
  <c r="AP649" i="4"/>
  <c r="AO649" i="4"/>
  <c r="AP648" i="4"/>
  <c r="AO648" i="4"/>
  <c r="AP647" i="4"/>
  <c r="AO647" i="4"/>
  <c r="AP646" i="4"/>
  <c r="AO646" i="4"/>
  <c r="AP645" i="4"/>
  <c r="AO645" i="4"/>
  <c r="AP644" i="4"/>
  <c r="AO644" i="4"/>
  <c r="AP643" i="4"/>
  <c r="AO643" i="4"/>
  <c r="AP642" i="4"/>
  <c r="AO642" i="4"/>
  <c r="AP641" i="4"/>
  <c r="AO641" i="4"/>
  <c r="AP640" i="4"/>
  <c r="AO640" i="4"/>
  <c r="AP639" i="4"/>
  <c r="AO639" i="4"/>
  <c r="AP638" i="4"/>
  <c r="AO638" i="4"/>
  <c r="AP637" i="4"/>
  <c r="AO637" i="4"/>
  <c r="AP636" i="4"/>
  <c r="AO636" i="4"/>
  <c r="AP635" i="4"/>
  <c r="AO635" i="4"/>
  <c r="AP634" i="4"/>
  <c r="AO634" i="4"/>
  <c r="AP633" i="4"/>
  <c r="AO633" i="4"/>
  <c r="AP632" i="4"/>
  <c r="AO632" i="4"/>
  <c r="AP631" i="4"/>
  <c r="AO631" i="4"/>
  <c r="AP630" i="4"/>
  <c r="AO630" i="4"/>
  <c r="AP629" i="4"/>
  <c r="AO629" i="4"/>
  <c r="AP628" i="4"/>
  <c r="AO628" i="4"/>
  <c r="AP627" i="4"/>
  <c r="AO627" i="4"/>
  <c r="AP626" i="4"/>
  <c r="AO626" i="4"/>
  <c r="AP625" i="4"/>
  <c r="AO625" i="4"/>
  <c r="AP624" i="4"/>
  <c r="AO624" i="4"/>
  <c r="AP623" i="4"/>
  <c r="AO623" i="4"/>
  <c r="AP622" i="4"/>
  <c r="AO622" i="4"/>
  <c r="AP621" i="4"/>
  <c r="AO621" i="4"/>
  <c r="AP620" i="4"/>
  <c r="AO620" i="4"/>
  <c r="AP619" i="4"/>
  <c r="AO619" i="4"/>
  <c r="AP618" i="4"/>
  <c r="AO618" i="4"/>
  <c r="AP617" i="4"/>
  <c r="AO617" i="4"/>
  <c r="AP616" i="4"/>
  <c r="AO616" i="4"/>
  <c r="AP615" i="4"/>
  <c r="AO615" i="4"/>
  <c r="AP614" i="4"/>
  <c r="AO614" i="4"/>
  <c r="AP613" i="4"/>
  <c r="AO613" i="4"/>
  <c r="AP612" i="4"/>
  <c r="AO612" i="4"/>
  <c r="AP611" i="4"/>
  <c r="AO611" i="4"/>
  <c r="AP610" i="4"/>
  <c r="AO610" i="4"/>
  <c r="AP609" i="4"/>
  <c r="AO609" i="4"/>
  <c r="AP608" i="4"/>
  <c r="AO608" i="4"/>
  <c r="AP607" i="4"/>
  <c r="AO607" i="4"/>
  <c r="AP606" i="4"/>
  <c r="AO606" i="4"/>
  <c r="AP605" i="4"/>
  <c r="AO605" i="4"/>
  <c r="AP604" i="4"/>
  <c r="AO604" i="4"/>
  <c r="AP603" i="4"/>
  <c r="AO603" i="4"/>
  <c r="AP602" i="4"/>
  <c r="AO602" i="4"/>
  <c r="AP601" i="4"/>
  <c r="AO601" i="4"/>
  <c r="AP600" i="4"/>
  <c r="AO600" i="4"/>
  <c r="AP599" i="4"/>
  <c r="AO599" i="4"/>
  <c r="AP598" i="4"/>
  <c r="AO598" i="4"/>
  <c r="AP597" i="4"/>
  <c r="AO597" i="4"/>
  <c r="AP596" i="4"/>
  <c r="AO596" i="4"/>
  <c r="AP595" i="4"/>
  <c r="AO595" i="4"/>
  <c r="AP594" i="4"/>
  <c r="AO594" i="4"/>
  <c r="AP593" i="4"/>
  <c r="AO593" i="4"/>
  <c r="AP592" i="4"/>
  <c r="AO592" i="4"/>
  <c r="AP591" i="4"/>
  <c r="AO591" i="4"/>
  <c r="AP590" i="4"/>
  <c r="AO590" i="4"/>
  <c r="AP589" i="4"/>
  <c r="AO589" i="4"/>
  <c r="AP588" i="4"/>
  <c r="AO588" i="4"/>
  <c r="AP587" i="4"/>
  <c r="AO587" i="4"/>
  <c r="AP586" i="4"/>
  <c r="AO586" i="4"/>
  <c r="AP585" i="4"/>
  <c r="AO585" i="4"/>
  <c r="AP584" i="4"/>
  <c r="AO584" i="4"/>
  <c r="AP583" i="4"/>
  <c r="AO583" i="4"/>
  <c r="AP582" i="4"/>
  <c r="AO582" i="4"/>
  <c r="AP581" i="4"/>
  <c r="AO581" i="4"/>
  <c r="AP580" i="4"/>
  <c r="AO580" i="4"/>
  <c r="AP579" i="4"/>
  <c r="AO579" i="4"/>
  <c r="AP578" i="4"/>
  <c r="AO578" i="4"/>
  <c r="AP577" i="4"/>
  <c r="AO577" i="4"/>
  <c r="AP576" i="4"/>
  <c r="AO576" i="4"/>
  <c r="AP575" i="4"/>
  <c r="AO575" i="4"/>
  <c r="AP574" i="4"/>
  <c r="AO574" i="4"/>
  <c r="AP573" i="4"/>
  <c r="AO573" i="4"/>
  <c r="AP572" i="4"/>
  <c r="AO572" i="4"/>
  <c r="AP571" i="4"/>
  <c r="AO571" i="4"/>
  <c r="AP570" i="4"/>
  <c r="AO570" i="4"/>
  <c r="AP569" i="4"/>
  <c r="AO569" i="4"/>
  <c r="AP568" i="4"/>
  <c r="AO568" i="4"/>
  <c r="AP567" i="4"/>
  <c r="AO567" i="4"/>
  <c r="AP566" i="4"/>
  <c r="AO566" i="4"/>
  <c r="AP565" i="4"/>
  <c r="AO565" i="4"/>
  <c r="AP564" i="4"/>
  <c r="AO564" i="4"/>
  <c r="AP563" i="4"/>
  <c r="AO563" i="4"/>
  <c r="AP562" i="4"/>
  <c r="AO562" i="4"/>
  <c r="AP561" i="4"/>
  <c r="AO561" i="4"/>
  <c r="AP560" i="4"/>
  <c r="AO560" i="4"/>
  <c r="AP559" i="4"/>
  <c r="AO559" i="4"/>
  <c r="AP558" i="4"/>
  <c r="AO558" i="4"/>
  <c r="AP557" i="4"/>
  <c r="AO557" i="4"/>
  <c r="AP556" i="4"/>
  <c r="AO556" i="4"/>
  <c r="AP555" i="4"/>
  <c r="AO555" i="4"/>
  <c r="AP554" i="4"/>
  <c r="AO554" i="4"/>
  <c r="AP553" i="4"/>
  <c r="AO553" i="4"/>
  <c r="AP552" i="4"/>
  <c r="AO552" i="4"/>
  <c r="AP551" i="4"/>
  <c r="AO551" i="4"/>
  <c r="AP550" i="4"/>
  <c r="AO550" i="4"/>
  <c r="AP549" i="4"/>
  <c r="AO549" i="4"/>
  <c r="AP548" i="4"/>
  <c r="AO548" i="4"/>
  <c r="AP547" i="4"/>
  <c r="AO547" i="4"/>
  <c r="AP546" i="4"/>
  <c r="AO546" i="4"/>
  <c r="AP545" i="4"/>
  <c r="AO545" i="4"/>
  <c r="AP544" i="4"/>
  <c r="AO544" i="4"/>
  <c r="AP543" i="4"/>
  <c r="AO543" i="4"/>
  <c r="AP542" i="4"/>
  <c r="AO542" i="4"/>
  <c r="AP541" i="4"/>
  <c r="AO541" i="4"/>
  <c r="AP540" i="4"/>
  <c r="AO540" i="4"/>
  <c r="AP539" i="4"/>
  <c r="AO539" i="4"/>
  <c r="AP538" i="4"/>
  <c r="AO538" i="4"/>
  <c r="AP537" i="4"/>
  <c r="AO537" i="4"/>
  <c r="AP536" i="4"/>
  <c r="AO536" i="4"/>
  <c r="AP535" i="4"/>
  <c r="AO535" i="4"/>
  <c r="AP534" i="4"/>
  <c r="AO534" i="4"/>
  <c r="AP533" i="4"/>
  <c r="AO533" i="4"/>
  <c r="AP532" i="4"/>
  <c r="AO532" i="4"/>
  <c r="AP531" i="4"/>
  <c r="AO531" i="4"/>
  <c r="AP530" i="4"/>
  <c r="AO530" i="4"/>
  <c r="AP529" i="4"/>
  <c r="AO529" i="4"/>
  <c r="AP528" i="4"/>
  <c r="AO528" i="4"/>
  <c r="AP527" i="4"/>
  <c r="AO527" i="4"/>
  <c r="AP526" i="4"/>
  <c r="AO526" i="4"/>
  <c r="AP525" i="4"/>
  <c r="AO525" i="4"/>
  <c r="AP524" i="4"/>
  <c r="AO524" i="4"/>
  <c r="AP523" i="4"/>
  <c r="AO523" i="4"/>
  <c r="AP522" i="4"/>
  <c r="AO522" i="4"/>
  <c r="AP521" i="4"/>
  <c r="AO521" i="4"/>
  <c r="AP520" i="4"/>
  <c r="AO520" i="4"/>
  <c r="AP519" i="4"/>
  <c r="AO519" i="4"/>
  <c r="AP518" i="4"/>
  <c r="AO518" i="4"/>
  <c r="AP517" i="4"/>
  <c r="AO517" i="4"/>
  <c r="AP516" i="4"/>
  <c r="AO516" i="4"/>
  <c r="AP515" i="4"/>
  <c r="AO515" i="4"/>
  <c r="AP514" i="4"/>
  <c r="AO514" i="4"/>
  <c r="AP513" i="4"/>
  <c r="AO513" i="4"/>
  <c r="AP512" i="4"/>
  <c r="AO512" i="4"/>
  <c r="AP511" i="4"/>
  <c r="AO511" i="4"/>
  <c r="AP510" i="4"/>
  <c r="AO510" i="4"/>
  <c r="AP509" i="4"/>
  <c r="AO509" i="4"/>
  <c r="AP508" i="4"/>
  <c r="AO508" i="4"/>
  <c r="AP507" i="4"/>
  <c r="AO507" i="4"/>
  <c r="AP506" i="4"/>
  <c r="AO506" i="4"/>
  <c r="AP505" i="4"/>
  <c r="AO505" i="4"/>
  <c r="AP504" i="4"/>
  <c r="AO504" i="4"/>
  <c r="AP503" i="4"/>
  <c r="AO503" i="4"/>
  <c r="AP502" i="4"/>
  <c r="AO502" i="4"/>
  <c r="AP501" i="4"/>
  <c r="AO501" i="4"/>
  <c r="AP500" i="4"/>
  <c r="AO500" i="4"/>
  <c r="AP499" i="4"/>
  <c r="AO499" i="4"/>
  <c r="AP498" i="4"/>
  <c r="AO498" i="4"/>
  <c r="AP497" i="4"/>
  <c r="AO497" i="4"/>
  <c r="AP496" i="4"/>
  <c r="AO496" i="4"/>
  <c r="AP495" i="4"/>
  <c r="AO495" i="4"/>
  <c r="AP494" i="4"/>
  <c r="AO494" i="4"/>
  <c r="AP493" i="4"/>
  <c r="AO493" i="4"/>
  <c r="AP492" i="4"/>
  <c r="AO492" i="4"/>
  <c r="AP491" i="4"/>
  <c r="AO491" i="4"/>
  <c r="AP490" i="4"/>
  <c r="AO490" i="4"/>
  <c r="AP489" i="4"/>
  <c r="AO489" i="4"/>
  <c r="AP488" i="4"/>
  <c r="AO488" i="4"/>
  <c r="AP487" i="4"/>
  <c r="AO487" i="4"/>
  <c r="AP486" i="4"/>
  <c r="AO486" i="4"/>
  <c r="AP485" i="4"/>
  <c r="AO485" i="4"/>
  <c r="AP484" i="4"/>
  <c r="AO484" i="4"/>
  <c r="AP483" i="4"/>
  <c r="AO483" i="4"/>
  <c r="AP482" i="4"/>
  <c r="AO482" i="4"/>
  <c r="AP481" i="4"/>
  <c r="AO481" i="4"/>
  <c r="AP480" i="4"/>
  <c r="AO480" i="4"/>
  <c r="AP479" i="4"/>
  <c r="AO479" i="4"/>
  <c r="AP478" i="4"/>
  <c r="AO478" i="4"/>
  <c r="AP477" i="4"/>
  <c r="AO477" i="4"/>
  <c r="AP476" i="4"/>
  <c r="AO476" i="4"/>
  <c r="AP475" i="4"/>
  <c r="AO475" i="4"/>
  <c r="AP474" i="4"/>
  <c r="AO474" i="4"/>
  <c r="AP473" i="4"/>
  <c r="AO473" i="4"/>
  <c r="AP472" i="4"/>
  <c r="AO472" i="4"/>
  <c r="AP471" i="4"/>
  <c r="AO471" i="4"/>
  <c r="AP470" i="4"/>
  <c r="AO470" i="4"/>
  <c r="AP469" i="4"/>
  <c r="AO469" i="4"/>
  <c r="AP468" i="4"/>
  <c r="AO468" i="4"/>
  <c r="AP467" i="4"/>
  <c r="AO467" i="4"/>
  <c r="AP466" i="4"/>
  <c r="AO466" i="4"/>
  <c r="AP465" i="4"/>
  <c r="AO465" i="4"/>
  <c r="AP464" i="4"/>
  <c r="AO464" i="4"/>
  <c r="AP463" i="4"/>
  <c r="AO463" i="4"/>
  <c r="AP462" i="4"/>
  <c r="AO462" i="4"/>
  <c r="AP461" i="4"/>
  <c r="AO461" i="4"/>
  <c r="AP460" i="4"/>
  <c r="AO460" i="4"/>
  <c r="AP459" i="4"/>
  <c r="AO459" i="4"/>
  <c r="AP458" i="4"/>
  <c r="AO458" i="4"/>
  <c r="AP457" i="4"/>
  <c r="AO457" i="4"/>
  <c r="AP456" i="4"/>
  <c r="AO456" i="4"/>
  <c r="AP455" i="4"/>
  <c r="AO455" i="4"/>
  <c r="AP454" i="4"/>
  <c r="AO454" i="4"/>
  <c r="AP453" i="4"/>
  <c r="AO453" i="4"/>
  <c r="AP452" i="4"/>
  <c r="AO452" i="4"/>
  <c r="AP451" i="4"/>
  <c r="AO451" i="4"/>
  <c r="AP450" i="4"/>
  <c r="AO450" i="4"/>
  <c r="AP449" i="4"/>
  <c r="AO449" i="4"/>
  <c r="AP448" i="4"/>
  <c r="AO448" i="4"/>
  <c r="AP447" i="4"/>
  <c r="AO447" i="4"/>
  <c r="AP446" i="4"/>
  <c r="AO446" i="4"/>
  <c r="AP445" i="4"/>
  <c r="AO445" i="4"/>
  <c r="AP444" i="4"/>
  <c r="AO444" i="4"/>
  <c r="AP443" i="4"/>
  <c r="AO443" i="4"/>
  <c r="AP442" i="4"/>
  <c r="AO442" i="4"/>
  <c r="AP441" i="4"/>
  <c r="AO441" i="4"/>
  <c r="AP440" i="4"/>
  <c r="AO440" i="4"/>
  <c r="AP439" i="4"/>
  <c r="AO439" i="4"/>
  <c r="AP438" i="4"/>
  <c r="AO438" i="4"/>
  <c r="AP437" i="4"/>
  <c r="AO437" i="4"/>
  <c r="AP436" i="4"/>
  <c r="AO436" i="4"/>
  <c r="AP435" i="4"/>
  <c r="AO435" i="4"/>
  <c r="AP434" i="4"/>
  <c r="AO434" i="4"/>
  <c r="AP433" i="4"/>
  <c r="AO433" i="4"/>
  <c r="AP432" i="4"/>
  <c r="AO432" i="4"/>
  <c r="AP431" i="4"/>
  <c r="AO431" i="4"/>
  <c r="AP430" i="4"/>
  <c r="AO430" i="4"/>
  <c r="AP429" i="4"/>
  <c r="AO429" i="4"/>
  <c r="AP428" i="4"/>
  <c r="AO428" i="4"/>
  <c r="AP427" i="4"/>
  <c r="AO427" i="4"/>
  <c r="AP426" i="4"/>
  <c r="AO426" i="4"/>
  <c r="AP425" i="4"/>
  <c r="AO425" i="4"/>
  <c r="AP424" i="4"/>
  <c r="AO424" i="4"/>
  <c r="AP423" i="4"/>
  <c r="AO423" i="4"/>
  <c r="AP422" i="4"/>
  <c r="AO422" i="4"/>
  <c r="AP421" i="4"/>
  <c r="AO421" i="4"/>
  <c r="AP420" i="4"/>
  <c r="AO420" i="4"/>
  <c r="AP419" i="4"/>
  <c r="AO419" i="4"/>
  <c r="AP418" i="4"/>
  <c r="AO418" i="4"/>
  <c r="AP417" i="4"/>
  <c r="AO417" i="4"/>
  <c r="AP416" i="4"/>
  <c r="AO416" i="4"/>
  <c r="AP415" i="4"/>
  <c r="AO415" i="4"/>
  <c r="AP414" i="4"/>
  <c r="AO414" i="4"/>
  <c r="AP413" i="4"/>
  <c r="AO413" i="4"/>
  <c r="AP412" i="4"/>
  <c r="AO412" i="4"/>
  <c r="AP411" i="4"/>
  <c r="AO411" i="4"/>
  <c r="AP410" i="4"/>
  <c r="AO410" i="4"/>
  <c r="AP409" i="4"/>
  <c r="AO409" i="4"/>
  <c r="AP408" i="4"/>
  <c r="AO408" i="4"/>
  <c r="AP407" i="4"/>
  <c r="AO407" i="4"/>
  <c r="AP406" i="4"/>
  <c r="AO406" i="4"/>
  <c r="AP405" i="4"/>
  <c r="AO405" i="4"/>
  <c r="AP404" i="4"/>
  <c r="AO404" i="4"/>
  <c r="AP403" i="4"/>
  <c r="AO403" i="4"/>
  <c r="AP402" i="4"/>
  <c r="AO402" i="4"/>
  <c r="AP401" i="4"/>
  <c r="AO401" i="4"/>
  <c r="AP400" i="4"/>
  <c r="AO400" i="4"/>
  <c r="AP399" i="4"/>
  <c r="AO399" i="4"/>
  <c r="AP398" i="4"/>
  <c r="AO398" i="4"/>
  <c r="AP397" i="4"/>
  <c r="AO397" i="4"/>
  <c r="AP396" i="4"/>
  <c r="AO396" i="4"/>
  <c r="AP395" i="4"/>
  <c r="AO395" i="4"/>
  <c r="AP394" i="4"/>
  <c r="AO394" i="4"/>
  <c r="AP393" i="4"/>
  <c r="AO393" i="4"/>
  <c r="AP392" i="4"/>
  <c r="AO392" i="4"/>
  <c r="AP391" i="4"/>
  <c r="AO391" i="4"/>
  <c r="AP390" i="4"/>
  <c r="AO390" i="4"/>
  <c r="AP389" i="4"/>
  <c r="AO389" i="4"/>
  <c r="AP388" i="4"/>
  <c r="AO388" i="4"/>
  <c r="AP387" i="4"/>
  <c r="AO387" i="4"/>
  <c r="AP386" i="4"/>
  <c r="AO386" i="4"/>
  <c r="AP385" i="4"/>
  <c r="AO385" i="4"/>
  <c r="AP384" i="4"/>
  <c r="AO384" i="4"/>
  <c r="AP383" i="4"/>
  <c r="AO383" i="4"/>
  <c r="AP382" i="4"/>
  <c r="AO382" i="4"/>
  <c r="AP381" i="4"/>
  <c r="AO381" i="4"/>
  <c r="AP380" i="4"/>
  <c r="AO380" i="4"/>
  <c r="AP379" i="4"/>
  <c r="AO379" i="4"/>
  <c r="AP378" i="4"/>
  <c r="AO378" i="4"/>
  <c r="AP377" i="4"/>
  <c r="AO377" i="4"/>
  <c r="AP376" i="4"/>
  <c r="AO376" i="4"/>
  <c r="AP375" i="4"/>
  <c r="AO375" i="4"/>
  <c r="AP374" i="4"/>
  <c r="AO374" i="4"/>
  <c r="AP373" i="4"/>
  <c r="AO373" i="4"/>
  <c r="AP372" i="4"/>
  <c r="AO372" i="4"/>
  <c r="AP371" i="4"/>
  <c r="AO371" i="4"/>
  <c r="AP370" i="4"/>
  <c r="AO370" i="4"/>
  <c r="AP369" i="4"/>
  <c r="AO369" i="4"/>
  <c r="AP368" i="4"/>
  <c r="AO368" i="4"/>
  <c r="AP367" i="4"/>
  <c r="AO367" i="4"/>
  <c r="AP366" i="4"/>
  <c r="AO366" i="4"/>
  <c r="AP365" i="4"/>
  <c r="AO365" i="4"/>
  <c r="AP364" i="4"/>
  <c r="AO364" i="4"/>
  <c r="AP363" i="4"/>
  <c r="AO363" i="4"/>
  <c r="AP362" i="4"/>
  <c r="AO362" i="4"/>
  <c r="AP361" i="4"/>
  <c r="AO361" i="4"/>
  <c r="AP360" i="4"/>
  <c r="AO360" i="4"/>
  <c r="AP359" i="4"/>
  <c r="AO359" i="4"/>
  <c r="AP358" i="4"/>
  <c r="AO358" i="4"/>
  <c r="AP357" i="4"/>
  <c r="AO357" i="4"/>
  <c r="AP356" i="4"/>
  <c r="AO356" i="4"/>
  <c r="AP355" i="4"/>
  <c r="AO355" i="4"/>
  <c r="AP354" i="4"/>
  <c r="AO354" i="4"/>
  <c r="AP353" i="4"/>
  <c r="AO353" i="4"/>
  <c r="AP352" i="4"/>
  <c r="AO352" i="4"/>
  <c r="AP351" i="4"/>
  <c r="AO351" i="4"/>
  <c r="AP350" i="4"/>
  <c r="AO350" i="4"/>
  <c r="AP349" i="4"/>
  <c r="AO349" i="4"/>
  <c r="AP348" i="4"/>
  <c r="AO348" i="4"/>
  <c r="AP347" i="4"/>
  <c r="AO347" i="4"/>
  <c r="AP346" i="4"/>
  <c r="AO346" i="4"/>
  <c r="AP345" i="4"/>
  <c r="AO345" i="4"/>
  <c r="AP344" i="4"/>
  <c r="AO344" i="4"/>
  <c r="AP343" i="4"/>
  <c r="AO343" i="4"/>
  <c r="AP342" i="4"/>
  <c r="AO342" i="4"/>
  <c r="AP341" i="4"/>
  <c r="AO341" i="4"/>
  <c r="AP340" i="4"/>
  <c r="AO340" i="4"/>
  <c r="AP339" i="4"/>
  <c r="AO339" i="4"/>
  <c r="AP338" i="4"/>
  <c r="AO338" i="4"/>
  <c r="AP337" i="4"/>
  <c r="AO337" i="4"/>
  <c r="AP336" i="4"/>
  <c r="AO336" i="4"/>
  <c r="AP335" i="4"/>
  <c r="AO335" i="4"/>
  <c r="AP334" i="4"/>
  <c r="AO334" i="4"/>
  <c r="AP333" i="4"/>
  <c r="AO333" i="4"/>
  <c r="AP332" i="4"/>
  <c r="AO332" i="4"/>
  <c r="AP331" i="4"/>
  <c r="AO331" i="4"/>
  <c r="AP330" i="4"/>
  <c r="AO330" i="4"/>
  <c r="AP329" i="4"/>
  <c r="AO329" i="4"/>
  <c r="AP328" i="4"/>
  <c r="AO328" i="4"/>
  <c r="AP327" i="4"/>
  <c r="AO327" i="4"/>
  <c r="AP326" i="4"/>
  <c r="AO326" i="4"/>
  <c r="AP325" i="4"/>
  <c r="AO325" i="4"/>
  <c r="AP324" i="4"/>
  <c r="AO324" i="4"/>
  <c r="AP323" i="4"/>
  <c r="AO323" i="4"/>
  <c r="AP322" i="4"/>
  <c r="AO322" i="4"/>
  <c r="AP321" i="4"/>
  <c r="AO321" i="4"/>
  <c r="AP320" i="4"/>
  <c r="AO320" i="4"/>
  <c r="AP319" i="4"/>
  <c r="AO319" i="4"/>
  <c r="AP318" i="4"/>
  <c r="AO318" i="4"/>
  <c r="AP317" i="4"/>
  <c r="AO317" i="4"/>
  <c r="AP316" i="4"/>
  <c r="AO316" i="4"/>
  <c r="AP315" i="4"/>
  <c r="AO315" i="4"/>
  <c r="AP314" i="4"/>
  <c r="AO314" i="4"/>
  <c r="AP313" i="4"/>
  <c r="AO313" i="4"/>
  <c r="AP312" i="4"/>
  <c r="AO312" i="4"/>
  <c r="AP311" i="4"/>
  <c r="AO311" i="4"/>
  <c r="AP310" i="4"/>
  <c r="AO310" i="4"/>
  <c r="AP309" i="4"/>
  <c r="AO309" i="4"/>
  <c r="AP308" i="4"/>
  <c r="AO308" i="4"/>
  <c r="AP307" i="4"/>
  <c r="AO307" i="4"/>
  <c r="AP306" i="4"/>
  <c r="AO306" i="4"/>
  <c r="AP305" i="4"/>
  <c r="AO305" i="4"/>
  <c r="AP304" i="4"/>
  <c r="AO304" i="4"/>
  <c r="AP303" i="4"/>
  <c r="AO303" i="4"/>
  <c r="AP302" i="4"/>
  <c r="AO302" i="4"/>
  <c r="AP301" i="4"/>
  <c r="AO301" i="4"/>
  <c r="AP300" i="4"/>
  <c r="AO300" i="4"/>
  <c r="AP299" i="4"/>
  <c r="AO299" i="4"/>
  <c r="AP298" i="4"/>
  <c r="AO298" i="4"/>
  <c r="AP297" i="4"/>
  <c r="AO297" i="4"/>
  <c r="AP296" i="4"/>
  <c r="AO296" i="4"/>
  <c r="AP295" i="4"/>
  <c r="AO295" i="4"/>
  <c r="AP294" i="4"/>
  <c r="AO294" i="4"/>
  <c r="AP293" i="4"/>
  <c r="AO293" i="4"/>
  <c r="AP292" i="4"/>
  <c r="AO292" i="4"/>
  <c r="AP291" i="4"/>
  <c r="AO291" i="4"/>
  <c r="AP290" i="4"/>
  <c r="AO290" i="4"/>
  <c r="AP289" i="4"/>
  <c r="AO289" i="4"/>
  <c r="AP288" i="4"/>
  <c r="AO288" i="4"/>
  <c r="AP287" i="4"/>
  <c r="AO287" i="4"/>
  <c r="AP286" i="4"/>
  <c r="AO286" i="4"/>
  <c r="AP285" i="4"/>
  <c r="AO285" i="4"/>
  <c r="AP284" i="4"/>
  <c r="AO284" i="4"/>
  <c r="AP283" i="4"/>
  <c r="AO283" i="4"/>
  <c r="AP282" i="4"/>
  <c r="AO282" i="4"/>
  <c r="AP281" i="4"/>
  <c r="AO281" i="4"/>
  <c r="AP280" i="4"/>
  <c r="AO280" i="4"/>
  <c r="AP279" i="4"/>
  <c r="AO279" i="4"/>
  <c r="AP278" i="4"/>
  <c r="AO278" i="4"/>
  <c r="AP277" i="4"/>
  <c r="AO277" i="4"/>
  <c r="AP276" i="4"/>
  <c r="AO276" i="4"/>
  <c r="AP275" i="4"/>
  <c r="AO275" i="4"/>
  <c r="AP274" i="4"/>
  <c r="AO274" i="4"/>
  <c r="AP273" i="4"/>
  <c r="AO273" i="4"/>
  <c r="AP272" i="4"/>
  <c r="AO272" i="4"/>
  <c r="AP271" i="4"/>
  <c r="AO271" i="4"/>
  <c r="AP270" i="4"/>
  <c r="AO270" i="4"/>
  <c r="AP269" i="4"/>
  <c r="AO269" i="4"/>
  <c r="AP268" i="4"/>
  <c r="AO268" i="4"/>
  <c r="AP267" i="4"/>
  <c r="AO267" i="4"/>
  <c r="AP266" i="4"/>
  <c r="AO266" i="4"/>
  <c r="AP265" i="4"/>
  <c r="AO265" i="4"/>
  <c r="AP264" i="4"/>
  <c r="AO264" i="4"/>
  <c r="AP263" i="4"/>
  <c r="AO263" i="4"/>
  <c r="AP262" i="4"/>
  <c r="AO262" i="4"/>
  <c r="AP261" i="4"/>
  <c r="AO261" i="4"/>
  <c r="AP260" i="4"/>
  <c r="AO260" i="4"/>
  <c r="AP259" i="4"/>
  <c r="AO259" i="4"/>
  <c r="AP258" i="4"/>
  <c r="AO258" i="4"/>
  <c r="AP257" i="4"/>
  <c r="AO257" i="4"/>
  <c r="AP256" i="4"/>
  <c r="AO256" i="4"/>
  <c r="AP255" i="4"/>
  <c r="AO255" i="4"/>
  <c r="AP254" i="4"/>
  <c r="AO254" i="4"/>
  <c r="AP253" i="4"/>
  <c r="AO253" i="4"/>
  <c r="AP252" i="4"/>
  <c r="AO252" i="4"/>
  <c r="AP251" i="4"/>
  <c r="AO251" i="4"/>
  <c r="AP250" i="4"/>
  <c r="AO250" i="4"/>
  <c r="AP249" i="4"/>
  <c r="AO249" i="4"/>
  <c r="AP248" i="4"/>
  <c r="AO248" i="4"/>
  <c r="AP247" i="4"/>
  <c r="AO247" i="4"/>
  <c r="AP246" i="4"/>
  <c r="AO246" i="4"/>
  <c r="AP245" i="4"/>
  <c r="AO245" i="4"/>
  <c r="AP244" i="4"/>
  <c r="AO244" i="4"/>
  <c r="AP243" i="4"/>
  <c r="AO243" i="4"/>
  <c r="AP242" i="4"/>
  <c r="AO242" i="4"/>
  <c r="AP241" i="4"/>
  <c r="AO241" i="4"/>
  <c r="AP240" i="4"/>
  <c r="AO240" i="4"/>
  <c r="AP239" i="4"/>
  <c r="AO239" i="4"/>
  <c r="AP238" i="4"/>
  <c r="AO238" i="4"/>
  <c r="AP237" i="4"/>
  <c r="AO237" i="4"/>
  <c r="AP236" i="4"/>
  <c r="AO236" i="4"/>
  <c r="AP235" i="4"/>
  <c r="AO235" i="4"/>
  <c r="AP234" i="4"/>
  <c r="AO234" i="4"/>
  <c r="AP233" i="4"/>
  <c r="AO233" i="4"/>
  <c r="AP232" i="4"/>
  <c r="AO232" i="4"/>
  <c r="AP231" i="4"/>
  <c r="AO231" i="4"/>
  <c r="AP230" i="4"/>
  <c r="AO230" i="4"/>
  <c r="AP229" i="4"/>
  <c r="AO229" i="4"/>
  <c r="AP228" i="4"/>
  <c r="AO228" i="4"/>
  <c r="AP227" i="4"/>
  <c r="AO227" i="4"/>
  <c r="AP226" i="4"/>
  <c r="AO226" i="4"/>
  <c r="AP225" i="4"/>
  <c r="AO225" i="4"/>
  <c r="AP224" i="4"/>
  <c r="AO224" i="4"/>
  <c r="AP223" i="4"/>
  <c r="AO223" i="4"/>
  <c r="AP222" i="4"/>
  <c r="AO222" i="4"/>
  <c r="AP221" i="4"/>
  <c r="AO221" i="4"/>
  <c r="AP220" i="4"/>
  <c r="AO220" i="4"/>
  <c r="AP219" i="4"/>
  <c r="AO219" i="4"/>
  <c r="AP218" i="4"/>
  <c r="AO218" i="4"/>
  <c r="AP217" i="4"/>
  <c r="AO217" i="4"/>
  <c r="AP216" i="4"/>
  <c r="AO216" i="4"/>
  <c r="AP215" i="4"/>
  <c r="AO215" i="4"/>
  <c r="AP214" i="4"/>
  <c r="AO214" i="4"/>
  <c r="AP213" i="4"/>
  <c r="AO213" i="4"/>
  <c r="AP212" i="4"/>
  <c r="AO212" i="4"/>
  <c r="AP211" i="4"/>
  <c r="AO211" i="4"/>
  <c r="AP210" i="4"/>
  <c r="AO210" i="4"/>
  <c r="AP209" i="4"/>
  <c r="AO209" i="4"/>
  <c r="AP208" i="4"/>
  <c r="AO208" i="4"/>
  <c r="AP207" i="4"/>
  <c r="AO207" i="4"/>
  <c r="AP206" i="4"/>
  <c r="AO206" i="4"/>
  <c r="AP205" i="4"/>
  <c r="AO205" i="4"/>
  <c r="AP204" i="4"/>
  <c r="AO204" i="4"/>
  <c r="AP203" i="4"/>
  <c r="AO203" i="4"/>
  <c r="AP202" i="4"/>
  <c r="AO202" i="4"/>
  <c r="AP201" i="4"/>
  <c r="AO201" i="4"/>
  <c r="AP200" i="4"/>
  <c r="AO200" i="4"/>
  <c r="AP199" i="4"/>
  <c r="AO199" i="4"/>
  <c r="AP198" i="4"/>
  <c r="AO198" i="4"/>
  <c r="AP197" i="4"/>
  <c r="AO197" i="4"/>
  <c r="AP196" i="4"/>
  <c r="AO196" i="4"/>
  <c r="AP195" i="4"/>
  <c r="AO195" i="4"/>
  <c r="AP194" i="4"/>
  <c r="AO194" i="4"/>
  <c r="AP193" i="4"/>
  <c r="AO193" i="4"/>
  <c r="AP192" i="4"/>
  <c r="AO192" i="4"/>
  <c r="AP191" i="4"/>
  <c r="AO191" i="4"/>
  <c r="AP190" i="4"/>
  <c r="AO190" i="4"/>
  <c r="AP189" i="4"/>
  <c r="AO189" i="4"/>
  <c r="AP188" i="4"/>
  <c r="AO188" i="4"/>
  <c r="AP187" i="4"/>
  <c r="AO187" i="4"/>
  <c r="AP186" i="4"/>
  <c r="AO186" i="4"/>
  <c r="AP185" i="4"/>
  <c r="AO185" i="4"/>
  <c r="AP184" i="4"/>
  <c r="AO184" i="4"/>
  <c r="AP183" i="4"/>
  <c r="AO183" i="4"/>
  <c r="AP182" i="4"/>
  <c r="AO182" i="4"/>
  <c r="AP181" i="4"/>
  <c r="AO181" i="4"/>
  <c r="AP180" i="4"/>
  <c r="AO180" i="4"/>
  <c r="AP179" i="4"/>
  <c r="AO179" i="4"/>
  <c r="AP178" i="4"/>
  <c r="AO178" i="4"/>
  <c r="AP177" i="4"/>
  <c r="AO177" i="4"/>
  <c r="AP176" i="4"/>
  <c r="AO176" i="4"/>
  <c r="AP175" i="4"/>
  <c r="AO175" i="4"/>
  <c r="AP174" i="4"/>
  <c r="AO174" i="4"/>
  <c r="AP173" i="4"/>
  <c r="AO173" i="4"/>
  <c r="AP172" i="4"/>
  <c r="AO172" i="4"/>
  <c r="AP171" i="4"/>
  <c r="AO171" i="4"/>
  <c r="AP170" i="4"/>
  <c r="AO170" i="4"/>
  <c r="AP169" i="4"/>
  <c r="AO169" i="4"/>
  <c r="AP168" i="4"/>
  <c r="AO168" i="4"/>
  <c r="AP167" i="4"/>
  <c r="AO167" i="4"/>
  <c r="AP166" i="4"/>
  <c r="AO166" i="4"/>
  <c r="AP165" i="4"/>
  <c r="AO165" i="4"/>
  <c r="AP164" i="4"/>
  <c r="AO164" i="4"/>
  <c r="AP163" i="4"/>
  <c r="AO163" i="4"/>
  <c r="AP162" i="4"/>
  <c r="AO162" i="4"/>
  <c r="AP161" i="4"/>
  <c r="AO161" i="4"/>
  <c r="AP160" i="4"/>
  <c r="AO160" i="4"/>
  <c r="AP159" i="4"/>
  <c r="AO159" i="4"/>
  <c r="AP158" i="4"/>
  <c r="AO158" i="4"/>
  <c r="AP157" i="4"/>
  <c r="AO157" i="4"/>
  <c r="AP156" i="4"/>
  <c r="AO156" i="4"/>
  <c r="AP155" i="4"/>
  <c r="AO155" i="4"/>
  <c r="AP154" i="4"/>
  <c r="AO154" i="4"/>
  <c r="AP153" i="4"/>
  <c r="AO153" i="4"/>
  <c r="AP152" i="4"/>
  <c r="AO152" i="4"/>
  <c r="AP151" i="4"/>
  <c r="AO151" i="4"/>
  <c r="AP150" i="4"/>
  <c r="AO150" i="4"/>
  <c r="AP149" i="4"/>
  <c r="AO149" i="4"/>
  <c r="AP148" i="4"/>
  <c r="AO148" i="4"/>
  <c r="AP147" i="4"/>
  <c r="AO147" i="4"/>
  <c r="AP146" i="4"/>
  <c r="AO146" i="4"/>
  <c r="AP145" i="4"/>
  <c r="AO145" i="4"/>
  <c r="AP144" i="4"/>
  <c r="AO144" i="4"/>
  <c r="AP143" i="4"/>
  <c r="AO143" i="4"/>
  <c r="AP142" i="4"/>
  <c r="AO142" i="4"/>
  <c r="AP141" i="4"/>
  <c r="AO141" i="4"/>
  <c r="AP140" i="4"/>
  <c r="AO140" i="4"/>
  <c r="AP139" i="4"/>
  <c r="AO139" i="4"/>
  <c r="AP138" i="4"/>
  <c r="AO138" i="4"/>
  <c r="AP137" i="4"/>
  <c r="AO137" i="4"/>
  <c r="AP136" i="4"/>
  <c r="AO136" i="4"/>
  <c r="AP135" i="4"/>
  <c r="AO135" i="4"/>
  <c r="AP134" i="4"/>
  <c r="AO134" i="4"/>
  <c r="AP133" i="4"/>
  <c r="AO133" i="4"/>
  <c r="AP132" i="4"/>
  <c r="AO132" i="4"/>
  <c r="AP131" i="4"/>
  <c r="AO131" i="4"/>
  <c r="AP130" i="4"/>
  <c r="AO130" i="4"/>
  <c r="AP129" i="4"/>
  <c r="AO129" i="4"/>
  <c r="AP128" i="4"/>
  <c r="AO128" i="4"/>
  <c r="AP127" i="4"/>
  <c r="AO127" i="4"/>
  <c r="AP126" i="4"/>
  <c r="AO126" i="4"/>
  <c r="AP125" i="4"/>
  <c r="AO125" i="4"/>
  <c r="AP124" i="4"/>
  <c r="AO124" i="4"/>
  <c r="AP123" i="4"/>
  <c r="AO123" i="4"/>
  <c r="AP122" i="4"/>
  <c r="AO122" i="4"/>
  <c r="AP121" i="4"/>
  <c r="AO121" i="4"/>
  <c r="AP120" i="4"/>
  <c r="AO120" i="4"/>
  <c r="AP119" i="4"/>
  <c r="AO119" i="4"/>
  <c r="AP118" i="4"/>
  <c r="AO118" i="4"/>
  <c r="AP117" i="4"/>
  <c r="AO117" i="4"/>
  <c r="AP116" i="4"/>
  <c r="AO116" i="4"/>
  <c r="AP115" i="4"/>
  <c r="AO115" i="4"/>
  <c r="AP114" i="4"/>
  <c r="AO114" i="4"/>
  <c r="AP113" i="4"/>
  <c r="AO113" i="4"/>
  <c r="AP112" i="4"/>
  <c r="AO112" i="4"/>
  <c r="AP111" i="4"/>
  <c r="AO111" i="4"/>
  <c r="AP110" i="4"/>
  <c r="AO110" i="4"/>
  <c r="AP109" i="4"/>
  <c r="AO109" i="4"/>
  <c r="AP108" i="4"/>
  <c r="AO108" i="4"/>
  <c r="AP107" i="4"/>
  <c r="AO107" i="4"/>
  <c r="AP106" i="4"/>
  <c r="AO106" i="4"/>
  <c r="AP105" i="4"/>
  <c r="AO105" i="4"/>
  <c r="AP104" i="4"/>
  <c r="AO104" i="4"/>
  <c r="AP103" i="4"/>
  <c r="AO103" i="4"/>
  <c r="AP102" i="4"/>
  <c r="AO102" i="4"/>
  <c r="AP101" i="4"/>
  <c r="AO101" i="4"/>
  <c r="AP100" i="4"/>
  <c r="AO100" i="4"/>
  <c r="AP99" i="4"/>
  <c r="AO99" i="4"/>
  <c r="AP98" i="4"/>
  <c r="AO98" i="4"/>
  <c r="AP97" i="4"/>
  <c r="AO97" i="4"/>
  <c r="AP96" i="4"/>
  <c r="AO96" i="4"/>
  <c r="AP95" i="4"/>
  <c r="AO95" i="4"/>
  <c r="AP94" i="4"/>
  <c r="AO94" i="4"/>
  <c r="AP93" i="4"/>
  <c r="AO93" i="4"/>
  <c r="AP92" i="4"/>
  <c r="AO92" i="4"/>
  <c r="AP91" i="4"/>
  <c r="AO91" i="4"/>
  <c r="AP90" i="4"/>
  <c r="AO90" i="4"/>
  <c r="AP89" i="4"/>
  <c r="AO89" i="4"/>
  <c r="AP88" i="4"/>
  <c r="AO88" i="4"/>
  <c r="AP87" i="4"/>
  <c r="AO87" i="4"/>
  <c r="AP86" i="4"/>
  <c r="AO86" i="4"/>
  <c r="AP85" i="4"/>
  <c r="AO85" i="4"/>
  <c r="AP84" i="4"/>
  <c r="AO84" i="4"/>
  <c r="AP83" i="4"/>
  <c r="AO83" i="4"/>
  <c r="AP82" i="4"/>
  <c r="AO82" i="4"/>
  <c r="AP81" i="4"/>
  <c r="AO81" i="4"/>
  <c r="AP80" i="4"/>
  <c r="AO80" i="4"/>
  <c r="AP79" i="4"/>
  <c r="AO79" i="4"/>
  <c r="AP78" i="4"/>
  <c r="AO78" i="4"/>
  <c r="AP77" i="4"/>
  <c r="AO77" i="4"/>
  <c r="AP76" i="4"/>
  <c r="AO76" i="4"/>
  <c r="AP75" i="4"/>
  <c r="AO75" i="4"/>
  <c r="AP74" i="4"/>
  <c r="AO74" i="4"/>
  <c r="AP73" i="4"/>
  <c r="AO73" i="4"/>
  <c r="AP72" i="4"/>
  <c r="AO72" i="4"/>
  <c r="AP71" i="4"/>
  <c r="AO71" i="4"/>
  <c r="AP70" i="4"/>
  <c r="AO70" i="4"/>
  <c r="AP69" i="4"/>
  <c r="AO69" i="4"/>
  <c r="AP68" i="4"/>
  <c r="AO68" i="4"/>
  <c r="AP67" i="4"/>
  <c r="AO67" i="4"/>
  <c r="AP66" i="4"/>
  <c r="AO66" i="4"/>
  <c r="AP65" i="4"/>
  <c r="AO65" i="4"/>
  <c r="AP64" i="4"/>
  <c r="AO64" i="4"/>
  <c r="AP63" i="4"/>
  <c r="AO63" i="4"/>
  <c r="AP62" i="4"/>
  <c r="AO62" i="4"/>
  <c r="AP61" i="4"/>
  <c r="AO61" i="4"/>
  <c r="AP60" i="4"/>
  <c r="AO60" i="4"/>
  <c r="AP59" i="4"/>
  <c r="AO59" i="4"/>
  <c r="AP58" i="4"/>
  <c r="AO58" i="4"/>
  <c r="AP57" i="4"/>
  <c r="AO57" i="4"/>
  <c r="AP56" i="4"/>
  <c r="AO56" i="4"/>
  <c r="AP55" i="4"/>
  <c r="AO55" i="4"/>
  <c r="AP54" i="4"/>
  <c r="AO54" i="4"/>
  <c r="AP53" i="4"/>
  <c r="AO53" i="4"/>
  <c r="AP52" i="4"/>
  <c r="AO52" i="4"/>
  <c r="AP51" i="4"/>
  <c r="AO51" i="4"/>
  <c r="AP50" i="4"/>
  <c r="AO50" i="4"/>
  <c r="AP49" i="4"/>
  <c r="AO49" i="4"/>
  <c r="AP48" i="4"/>
  <c r="AO48" i="4"/>
  <c r="AP47" i="4"/>
  <c r="AO47" i="4"/>
  <c r="AP46" i="4"/>
  <c r="AO46" i="4"/>
  <c r="AP45" i="4"/>
  <c r="AO45" i="4"/>
  <c r="AP44" i="4"/>
  <c r="AO44" i="4"/>
  <c r="AP43" i="4"/>
  <c r="AO43" i="4"/>
  <c r="AP42" i="4"/>
  <c r="AO42" i="4"/>
  <c r="AP41" i="4"/>
  <c r="AO41" i="4"/>
  <c r="AP40" i="4"/>
  <c r="AO40" i="4"/>
  <c r="AP39" i="4"/>
  <c r="AO39" i="4"/>
  <c r="AP38" i="4"/>
  <c r="AO38" i="4"/>
  <c r="AP37" i="4"/>
  <c r="AO37" i="4"/>
  <c r="AP36" i="4"/>
  <c r="AO36" i="4"/>
  <c r="AP35" i="4"/>
  <c r="AO35" i="4"/>
  <c r="AP34" i="4"/>
  <c r="AO34" i="4"/>
  <c r="AP33" i="4"/>
  <c r="AO33" i="4"/>
  <c r="AP32" i="4"/>
  <c r="AO32" i="4"/>
  <c r="AP31" i="4"/>
  <c r="AO31" i="4"/>
  <c r="AP30" i="4"/>
  <c r="AO30" i="4"/>
  <c r="AP29" i="4"/>
  <c r="AO29" i="4"/>
  <c r="AP28" i="4"/>
  <c r="AO28" i="4"/>
  <c r="AP27" i="4"/>
  <c r="AO27" i="4"/>
  <c r="AP26" i="4"/>
  <c r="AO26" i="4"/>
  <c r="AP25" i="4"/>
  <c r="AO25" i="4"/>
  <c r="AP24" i="4"/>
  <c r="AO24" i="4"/>
  <c r="AP23" i="4"/>
  <c r="AO23" i="4"/>
  <c r="AP22" i="4"/>
  <c r="AO22" i="4"/>
  <c r="AP21" i="4"/>
  <c r="AO21" i="4"/>
  <c r="AP20" i="4"/>
  <c r="AO20" i="4"/>
  <c r="AP19" i="4"/>
  <c r="AO19" i="4"/>
  <c r="AP18" i="4"/>
  <c r="AO18" i="4"/>
  <c r="AP17" i="4"/>
  <c r="AO17" i="4"/>
  <c r="AP16" i="4"/>
  <c r="AO16" i="4"/>
  <c r="AP15" i="4"/>
  <c r="AO15" i="4"/>
  <c r="AP14" i="4"/>
  <c r="AO14" i="4"/>
  <c r="AP13" i="4"/>
  <c r="AO13" i="4"/>
  <c r="AP12" i="4"/>
  <c r="AO12" i="4"/>
  <c r="AP11" i="4"/>
  <c r="AO11" i="4"/>
  <c r="AP10" i="4"/>
  <c r="AO10" i="4"/>
  <c r="AP9" i="4"/>
  <c r="AO9" i="4"/>
  <c r="AP8" i="4"/>
  <c r="AO8" i="4"/>
  <c r="AP7" i="4"/>
  <c r="AO7" i="4"/>
  <c r="AP6" i="4"/>
  <c r="AO6" i="4"/>
  <c r="AP5" i="4"/>
  <c r="AO5" i="4"/>
  <c r="AP4" i="4"/>
  <c r="AO4" i="4"/>
  <c r="AP3" i="4"/>
  <c r="AO3" i="4"/>
  <c r="AO2" i="4"/>
  <c r="AP2" i="4"/>
  <c r="AE1001" i="4"/>
  <c r="AD1001" i="4"/>
  <c r="AE1000" i="4"/>
  <c r="AD1000" i="4"/>
  <c r="AE999" i="4"/>
  <c r="AD999" i="4"/>
  <c r="AE998" i="4"/>
  <c r="AD998" i="4"/>
  <c r="AE997" i="4"/>
  <c r="AD997" i="4"/>
  <c r="AE996" i="4"/>
  <c r="AD996" i="4"/>
  <c r="AE995" i="4"/>
  <c r="AD995" i="4"/>
  <c r="AE994" i="4"/>
  <c r="AD994" i="4"/>
  <c r="AE993" i="4"/>
  <c r="AD993" i="4"/>
  <c r="AE992" i="4"/>
  <c r="AD992" i="4"/>
  <c r="AE991" i="4"/>
  <c r="AD991" i="4"/>
  <c r="AE990" i="4"/>
  <c r="AD990" i="4"/>
  <c r="AE989" i="4"/>
  <c r="AD989" i="4"/>
  <c r="AE988" i="4"/>
  <c r="AD988" i="4"/>
  <c r="AE987" i="4"/>
  <c r="AD987" i="4"/>
  <c r="AE986" i="4"/>
  <c r="AD986" i="4"/>
  <c r="AE985" i="4"/>
  <c r="AD985" i="4"/>
  <c r="AE984" i="4"/>
  <c r="AD984" i="4"/>
  <c r="AE983" i="4"/>
  <c r="AD983" i="4"/>
  <c r="AE982" i="4"/>
  <c r="AD982" i="4"/>
  <c r="AE981" i="4"/>
  <c r="AD981" i="4"/>
  <c r="AE980" i="4"/>
  <c r="AD980" i="4"/>
  <c r="AE979" i="4"/>
  <c r="AD979" i="4"/>
  <c r="AE978" i="4"/>
  <c r="AD978" i="4"/>
  <c r="AE977" i="4"/>
  <c r="AD977" i="4"/>
  <c r="AE976" i="4"/>
  <c r="AD976" i="4"/>
  <c r="AE975" i="4"/>
  <c r="AD975" i="4"/>
  <c r="AE974" i="4"/>
  <c r="AD974" i="4"/>
  <c r="AE973" i="4"/>
  <c r="AD973" i="4"/>
  <c r="AE972" i="4"/>
  <c r="AD972" i="4"/>
  <c r="AE971" i="4"/>
  <c r="AD971" i="4"/>
  <c r="AE970" i="4"/>
  <c r="AD970" i="4"/>
  <c r="AE969" i="4"/>
  <c r="AD969" i="4"/>
  <c r="AE968" i="4"/>
  <c r="AD968" i="4"/>
  <c r="AE967" i="4"/>
  <c r="AD967" i="4"/>
  <c r="AE966" i="4"/>
  <c r="AD966" i="4"/>
  <c r="AE965" i="4"/>
  <c r="AD965" i="4"/>
  <c r="AE964" i="4"/>
  <c r="AD964" i="4"/>
  <c r="AE963" i="4"/>
  <c r="AD963" i="4"/>
  <c r="AE962" i="4"/>
  <c r="AD962" i="4"/>
  <c r="AE961" i="4"/>
  <c r="AD961" i="4"/>
  <c r="AE960" i="4"/>
  <c r="AD960" i="4"/>
  <c r="AE959" i="4"/>
  <c r="AD959" i="4"/>
  <c r="AE958" i="4"/>
  <c r="AD958" i="4"/>
  <c r="AE957" i="4"/>
  <c r="AD957" i="4"/>
  <c r="AE956" i="4"/>
  <c r="AD956" i="4"/>
  <c r="AE955" i="4"/>
  <c r="AD955" i="4"/>
  <c r="AE954" i="4"/>
  <c r="AD954" i="4"/>
  <c r="AE953" i="4"/>
  <c r="AD953" i="4"/>
  <c r="AE952" i="4"/>
  <c r="AD952" i="4"/>
  <c r="AE951" i="4"/>
  <c r="AD951" i="4"/>
  <c r="AE950" i="4"/>
  <c r="AD950" i="4"/>
  <c r="AE949" i="4"/>
  <c r="AD949" i="4"/>
  <c r="AE948" i="4"/>
  <c r="AD948" i="4"/>
  <c r="AE947" i="4"/>
  <c r="AD947" i="4"/>
  <c r="AE946" i="4"/>
  <c r="AD946" i="4"/>
  <c r="AE945" i="4"/>
  <c r="AD945" i="4"/>
  <c r="AE944" i="4"/>
  <c r="AD944" i="4"/>
  <c r="AE943" i="4"/>
  <c r="AD943" i="4"/>
  <c r="AE942" i="4"/>
  <c r="AD942" i="4"/>
  <c r="AE941" i="4"/>
  <c r="AD941" i="4"/>
  <c r="AE940" i="4"/>
  <c r="AD940" i="4"/>
  <c r="AE939" i="4"/>
  <c r="AD939" i="4"/>
  <c r="AE938" i="4"/>
  <c r="AD938" i="4"/>
  <c r="AE937" i="4"/>
  <c r="AD937" i="4"/>
  <c r="AE936" i="4"/>
  <c r="AD936" i="4"/>
  <c r="AE935" i="4"/>
  <c r="AD935" i="4"/>
  <c r="AE934" i="4"/>
  <c r="AD934" i="4"/>
  <c r="AE933" i="4"/>
  <c r="AD933" i="4"/>
  <c r="AE932" i="4"/>
  <c r="AD932" i="4"/>
  <c r="AE931" i="4"/>
  <c r="AD931" i="4"/>
  <c r="AE930" i="4"/>
  <c r="AD930" i="4"/>
  <c r="AE929" i="4"/>
  <c r="AD929" i="4"/>
  <c r="AE928" i="4"/>
  <c r="AD928" i="4"/>
  <c r="AE927" i="4"/>
  <c r="AD927" i="4"/>
  <c r="AE926" i="4"/>
  <c r="AD926" i="4"/>
  <c r="AE925" i="4"/>
  <c r="AD925" i="4"/>
  <c r="AE924" i="4"/>
  <c r="AD924" i="4"/>
  <c r="AE923" i="4"/>
  <c r="AD923" i="4"/>
  <c r="AE922" i="4"/>
  <c r="AD922" i="4"/>
  <c r="AE921" i="4"/>
  <c r="AD921" i="4"/>
  <c r="AE920" i="4"/>
  <c r="AD920" i="4"/>
  <c r="AE919" i="4"/>
  <c r="AD919" i="4"/>
  <c r="AE918" i="4"/>
  <c r="AD918" i="4"/>
  <c r="AE917" i="4"/>
  <c r="AD917" i="4"/>
  <c r="AE916" i="4"/>
  <c r="AD916" i="4"/>
  <c r="AE915" i="4"/>
  <c r="AD915" i="4"/>
  <c r="AE914" i="4"/>
  <c r="AD914" i="4"/>
  <c r="AE913" i="4"/>
  <c r="AD913" i="4"/>
  <c r="AE912" i="4"/>
  <c r="AD912" i="4"/>
  <c r="AE911" i="4"/>
  <c r="AD911" i="4"/>
  <c r="AE910" i="4"/>
  <c r="AD910" i="4"/>
  <c r="AE909" i="4"/>
  <c r="AD909" i="4"/>
  <c r="AE908" i="4"/>
  <c r="AD908" i="4"/>
  <c r="AE907" i="4"/>
  <c r="AD907" i="4"/>
  <c r="AE906" i="4"/>
  <c r="AD906" i="4"/>
  <c r="AE905" i="4"/>
  <c r="AD905" i="4"/>
  <c r="AE904" i="4"/>
  <c r="AD904" i="4"/>
  <c r="AE903" i="4"/>
  <c r="AD903" i="4"/>
  <c r="AE902" i="4"/>
  <c r="AD902" i="4"/>
  <c r="AE901" i="4"/>
  <c r="AD901" i="4"/>
  <c r="AE900" i="4"/>
  <c r="AD900" i="4"/>
  <c r="AE899" i="4"/>
  <c r="AD899" i="4"/>
  <c r="AE898" i="4"/>
  <c r="AD898" i="4"/>
  <c r="AE897" i="4"/>
  <c r="AD897" i="4"/>
  <c r="AE896" i="4"/>
  <c r="AD896" i="4"/>
  <c r="AE895" i="4"/>
  <c r="AD895" i="4"/>
  <c r="AE894" i="4"/>
  <c r="AD894" i="4"/>
  <c r="AE893" i="4"/>
  <c r="AD893" i="4"/>
  <c r="AE892" i="4"/>
  <c r="AD892" i="4"/>
  <c r="AE891" i="4"/>
  <c r="AD891" i="4"/>
  <c r="AE890" i="4"/>
  <c r="AD890" i="4"/>
  <c r="AE889" i="4"/>
  <c r="AD889" i="4"/>
  <c r="AE888" i="4"/>
  <c r="AD888" i="4"/>
  <c r="AE887" i="4"/>
  <c r="AD887" i="4"/>
  <c r="AE886" i="4"/>
  <c r="AD886" i="4"/>
  <c r="AE885" i="4"/>
  <c r="AD885" i="4"/>
  <c r="AE884" i="4"/>
  <c r="AD884" i="4"/>
  <c r="AE883" i="4"/>
  <c r="AD883" i="4"/>
  <c r="AE882" i="4"/>
  <c r="AD882" i="4"/>
  <c r="AE881" i="4"/>
  <c r="AD881" i="4"/>
  <c r="AE880" i="4"/>
  <c r="AD880" i="4"/>
  <c r="AE879" i="4"/>
  <c r="AD879" i="4"/>
  <c r="AE878" i="4"/>
  <c r="AD878" i="4"/>
  <c r="AE877" i="4"/>
  <c r="AD877" i="4"/>
  <c r="AE876" i="4"/>
  <c r="AD876" i="4"/>
  <c r="AE875" i="4"/>
  <c r="AD875" i="4"/>
  <c r="AE874" i="4"/>
  <c r="AD874" i="4"/>
  <c r="AE873" i="4"/>
  <c r="AD873" i="4"/>
  <c r="AE872" i="4"/>
  <c r="AD872" i="4"/>
  <c r="AE871" i="4"/>
  <c r="AD871" i="4"/>
  <c r="AE870" i="4"/>
  <c r="AD870" i="4"/>
  <c r="AE869" i="4"/>
  <c r="AD869" i="4"/>
  <c r="AE868" i="4"/>
  <c r="AD868" i="4"/>
  <c r="AE867" i="4"/>
  <c r="AD867" i="4"/>
  <c r="AE866" i="4"/>
  <c r="AD866" i="4"/>
  <c r="AE865" i="4"/>
  <c r="AD865" i="4"/>
  <c r="AE864" i="4"/>
  <c r="AD864" i="4"/>
  <c r="AE863" i="4"/>
  <c r="AD863" i="4"/>
  <c r="AE862" i="4"/>
  <c r="AD862" i="4"/>
  <c r="AE861" i="4"/>
  <c r="AD861" i="4"/>
  <c r="AE860" i="4"/>
  <c r="AD860" i="4"/>
  <c r="AE859" i="4"/>
  <c r="AD859" i="4"/>
  <c r="AE858" i="4"/>
  <c r="AD858" i="4"/>
  <c r="AE857" i="4"/>
  <c r="AD857" i="4"/>
  <c r="AE856" i="4"/>
  <c r="AD856" i="4"/>
  <c r="AE855" i="4"/>
  <c r="AD855" i="4"/>
  <c r="AE854" i="4"/>
  <c r="AD854" i="4"/>
  <c r="AE853" i="4"/>
  <c r="AD853" i="4"/>
  <c r="AE852" i="4"/>
  <c r="AD852" i="4"/>
  <c r="AE851" i="4"/>
  <c r="AD851" i="4"/>
  <c r="AE850" i="4"/>
  <c r="AD850" i="4"/>
  <c r="AE849" i="4"/>
  <c r="AD849" i="4"/>
  <c r="AE848" i="4"/>
  <c r="AD848" i="4"/>
  <c r="AE847" i="4"/>
  <c r="AD847" i="4"/>
  <c r="AE846" i="4"/>
  <c r="AD846" i="4"/>
  <c r="AE845" i="4"/>
  <c r="AD845" i="4"/>
  <c r="AE844" i="4"/>
  <c r="AD844" i="4"/>
  <c r="AE843" i="4"/>
  <c r="AD843" i="4"/>
  <c r="AE842" i="4"/>
  <c r="AD842" i="4"/>
  <c r="AE841" i="4"/>
  <c r="AD841" i="4"/>
  <c r="AE840" i="4"/>
  <c r="AD840" i="4"/>
  <c r="AE839" i="4"/>
  <c r="AD839" i="4"/>
  <c r="AE838" i="4"/>
  <c r="AD838" i="4"/>
  <c r="AE837" i="4"/>
  <c r="AD837" i="4"/>
  <c r="AE836" i="4"/>
  <c r="AD836" i="4"/>
  <c r="AE835" i="4"/>
  <c r="AD835" i="4"/>
  <c r="AE834" i="4"/>
  <c r="AD834" i="4"/>
  <c r="AE833" i="4"/>
  <c r="AD833" i="4"/>
  <c r="AE832" i="4"/>
  <c r="AD832" i="4"/>
  <c r="AE831" i="4"/>
  <c r="AD831" i="4"/>
  <c r="AE830" i="4"/>
  <c r="AD830" i="4"/>
  <c r="AE829" i="4"/>
  <c r="AD829" i="4"/>
  <c r="AE828" i="4"/>
  <c r="AD828" i="4"/>
  <c r="AE827" i="4"/>
  <c r="AD827" i="4"/>
  <c r="AE826" i="4"/>
  <c r="AD826" i="4"/>
  <c r="AE825" i="4"/>
  <c r="AD825" i="4"/>
  <c r="AE824" i="4"/>
  <c r="AD824" i="4"/>
  <c r="AE823" i="4"/>
  <c r="AD823" i="4"/>
  <c r="AE822" i="4"/>
  <c r="AD822" i="4"/>
  <c r="AE821" i="4"/>
  <c r="AD821" i="4"/>
  <c r="AE820" i="4"/>
  <c r="AD820" i="4"/>
  <c r="AE819" i="4"/>
  <c r="AD819" i="4"/>
  <c r="AE818" i="4"/>
  <c r="AD818" i="4"/>
  <c r="AE817" i="4"/>
  <c r="AD817" i="4"/>
  <c r="AE816" i="4"/>
  <c r="AD816" i="4"/>
  <c r="AE815" i="4"/>
  <c r="AD815" i="4"/>
  <c r="AE814" i="4"/>
  <c r="AD814" i="4"/>
  <c r="AE813" i="4"/>
  <c r="AD813" i="4"/>
  <c r="AE812" i="4"/>
  <c r="AD812" i="4"/>
  <c r="AE811" i="4"/>
  <c r="AD811" i="4"/>
  <c r="AE810" i="4"/>
  <c r="AD810" i="4"/>
  <c r="AE809" i="4"/>
  <c r="AD809" i="4"/>
  <c r="AE808" i="4"/>
  <c r="AD808" i="4"/>
  <c r="AE807" i="4"/>
  <c r="AD807" i="4"/>
  <c r="AE806" i="4"/>
  <c r="AD806" i="4"/>
  <c r="AE805" i="4"/>
  <c r="AD805" i="4"/>
  <c r="AE804" i="4"/>
  <c r="AD804" i="4"/>
  <c r="AE803" i="4"/>
  <c r="AD803" i="4"/>
  <c r="AE802" i="4"/>
  <c r="AD802" i="4"/>
  <c r="AE801" i="4"/>
  <c r="AD801" i="4"/>
  <c r="AE800" i="4"/>
  <c r="AD800" i="4"/>
  <c r="AE799" i="4"/>
  <c r="AD799" i="4"/>
  <c r="AE798" i="4"/>
  <c r="AD798" i="4"/>
  <c r="AE797" i="4"/>
  <c r="AD797" i="4"/>
  <c r="AE796" i="4"/>
  <c r="AD796" i="4"/>
  <c r="AE795" i="4"/>
  <c r="AD795" i="4"/>
  <c r="AE794" i="4"/>
  <c r="AD794" i="4"/>
  <c r="AE793" i="4"/>
  <c r="AD793" i="4"/>
  <c r="AE792" i="4"/>
  <c r="AD792" i="4"/>
  <c r="AE791" i="4"/>
  <c r="AD791" i="4"/>
  <c r="AE790" i="4"/>
  <c r="AD790" i="4"/>
  <c r="AE789" i="4"/>
  <c r="AD789" i="4"/>
  <c r="AE788" i="4"/>
  <c r="AD788" i="4"/>
  <c r="AE787" i="4"/>
  <c r="AD787" i="4"/>
  <c r="AE786" i="4"/>
  <c r="AD786" i="4"/>
  <c r="AE785" i="4"/>
  <c r="AD785" i="4"/>
  <c r="AE784" i="4"/>
  <c r="AD784" i="4"/>
  <c r="AE783" i="4"/>
  <c r="AD783" i="4"/>
  <c r="AE782" i="4"/>
  <c r="AD782" i="4"/>
  <c r="AE781" i="4"/>
  <c r="AD781" i="4"/>
  <c r="AE780" i="4"/>
  <c r="AD780" i="4"/>
  <c r="AE779" i="4"/>
  <c r="AD779" i="4"/>
  <c r="AE778" i="4"/>
  <c r="AD778" i="4"/>
  <c r="AE777" i="4"/>
  <c r="AD777" i="4"/>
  <c r="AE776" i="4"/>
  <c r="AD776" i="4"/>
  <c r="AE775" i="4"/>
  <c r="AD775" i="4"/>
  <c r="AE774" i="4"/>
  <c r="AD774" i="4"/>
  <c r="AE773" i="4"/>
  <c r="AD773" i="4"/>
  <c r="AE772" i="4"/>
  <c r="AD772" i="4"/>
  <c r="AE771" i="4"/>
  <c r="AD771" i="4"/>
  <c r="AE770" i="4"/>
  <c r="AD770" i="4"/>
  <c r="AE769" i="4"/>
  <c r="AD769" i="4"/>
  <c r="AE768" i="4"/>
  <c r="AD768" i="4"/>
  <c r="AE767" i="4"/>
  <c r="AD767" i="4"/>
  <c r="AE766" i="4"/>
  <c r="AD766" i="4"/>
  <c r="AE765" i="4"/>
  <c r="AD765" i="4"/>
  <c r="AE764" i="4"/>
  <c r="AD764" i="4"/>
  <c r="AE763" i="4"/>
  <c r="AD763" i="4"/>
  <c r="AE762" i="4"/>
  <c r="AD762" i="4"/>
  <c r="AE761" i="4"/>
  <c r="AD761" i="4"/>
  <c r="AE760" i="4"/>
  <c r="AD760" i="4"/>
  <c r="AE759" i="4"/>
  <c r="AD759" i="4"/>
  <c r="AE758" i="4"/>
  <c r="AD758" i="4"/>
  <c r="AE757" i="4"/>
  <c r="AD757" i="4"/>
  <c r="AE756" i="4"/>
  <c r="AD756" i="4"/>
  <c r="AE755" i="4"/>
  <c r="AD755" i="4"/>
  <c r="AE754" i="4"/>
  <c r="AD754" i="4"/>
  <c r="AE753" i="4"/>
  <c r="AD753" i="4"/>
  <c r="AE752" i="4"/>
  <c r="AD752" i="4"/>
  <c r="AE751" i="4"/>
  <c r="AD751" i="4"/>
  <c r="AE750" i="4"/>
  <c r="AD750" i="4"/>
  <c r="AE749" i="4"/>
  <c r="AD749" i="4"/>
  <c r="AE748" i="4"/>
  <c r="AD748" i="4"/>
  <c r="AE747" i="4"/>
  <c r="AD747" i="4"/>
  <c r="AE746" i="4"/>
  <c r="AD746" i="4"/>
  <c r="AE745" i="4"/>
  <c r="AD745" i="4"/>
  <c r="AE744" i="4"/>
  <c r="AD744" i="4"/>
  <c r="AE743" i="4"/>
  <c r="AD743" i="4"/>
  <c r="AE742" i="4"/>
  <c r="AD742" i="4"/>
  <c r="AE741" i="4"/>
  <c r="AD741" i="4"/>
  <c r="AE740" i="4"/>
  <c r="AD740" i="4"/>
  <c r="AE739" i="4"/>
  <c r="AD739" i="4"/>
  <c r="AE738" i="4"/>
  <c r="AD738" i="4"/>
  <c r="AE737" i="4"/>
  <c r="AD737" i="4"/>
  <c r="AE736" i="4"/>
  <c r="AD736" i="4"/>
  <c r="AE735" i="4"/>
  <c r="AD735" i="4"/>
  <c r="AE734" i="4"/>
  <c r="AD734" i="4"/>
  <c r="AE733" i="4"/>
  <c r="AD733" i="4"/>
  <c r="AE732" i="4"/>
  <c r="AD732" i="4"/>
  <c r="AE731" i="4"/>
  <c r="AD731" i="4"/>
  <c r="AE730" i="4"/>
  <c r="AD730" i="4"/>
  <c r="AE729" i="4"/>
  <c r="AD729" i="4"/>
  <c r="AE728" i="4"/>
  <c r="AD728" i="4"/>
  <c r="AE727" i="4"/>
  <c r="AD727" i="4"/>
  <c r="AE726" i="4"/>
  <c r="AD726" i="4"/>
  <c r="AE725" i="4"/>
  <c r="AD725" i="4"/>
  <c r="AE724" i="4"/>
  <c r="AD724" i="4"/>
  <c r="AE723" i="4"/>
  <c r="AD723" i="4"/>
  <c r="AE722" i="4"/>
  <c r="AD722" i="4"/>
  <c r="AE721" i="4"/>
  <c r="AD721" i="4"/>
  <c r="AE720" i="4"/>
  <c r="AD720" i="4"/>
  <c r="AE719" i="4"/>
  <c r="AD719" i="4"/>
  <c r="AE718" i="4"/>
  <c r="AD718" i="4"/>
  <c r="AE717" i="4"/>
  <c r="AD717" i="4"/>
  <c r="AE716" i="4"/>
  <c r="AD716" i="4"/>
  <c r="AE715" i="4"/>
  <c r="AD715" i="4"/>
  <c r="AE714" i="4"/>
  <c r="AD714" i="4"/>
  <c r="AE713" i="4"/>
  <c r="AD713" i="4"/>
  <c r="AE712" i="4"/>
  <c r="AD712" i="4"/>
  <c r="AE711" i="4"/>
  <c r="AD711" i="4"/>
  <c r="AE710" i="4"/>
  <c r="AD710" i="4"/>
  <c r="AE709" i="4"/>
  <c r="AD709" i="4"/>
  <c r="AE708" i="4"/>
  <c r="AD708" i="4"/>
  <c r="AE707" i="4"/>
  <c r="AD707" i="4"/>
  <c r="AE706" i="4"/>
  <c r="AD706" i="4"/>
  <c r="AE705" i="4"/>
  <c r="AD705" i="4"/>
  <c r="AE704" i="4"/>
  <c r="AD704" i="4"/>
  <c r="AE703" i="4"/>
  <c r="AD703" i="4"/>
  <c r="AE702" i="4"/>
  <c r="AD702" i="4"/>
  <c r="AE701" i="4"/>
  <c r="AD701" i="4"/>
  <c r="AE700" i="4"/>
  <c r="AD700" i="4"/>
  <c r="AE699" i="4"/>
  <c r="AD699" i="4"/>
  <c r="AE698" i="4"/>
  <c r="AD698" i="4"/>
  <c r="AE697" i="4"/>
  <c r="AD697" i="4"/>
  <c r="AE696" i="4"/>
  <c r="AD696" i="4"/>
  <c r="AE695" i="4"/>
  <c r="AD695" i="4"/>
  <c r="AE694" i="4"/>
  <c r="AD694" i="4"/>
  <c r="AE693" i="4"/>
  <c r="AD693" i="4"/>
  <c r="AE692" i="4"/>
  <c r="AD692" i="4"/>
  <c r="AE691" i="4"/>
  <c r="AD691" i="4"/>
  <c r="AE690" i="4"/>
  <c r="AD690" i="4"/>
  <c r="AE689" i="4"/>
  <c r="AD689" i="4"/>
  <c r="AE688" i="4"/>
  <c r="AD688" i="4"/>
  <c r="AE687" i="4"/>
  <c r="AD687" i="4"/>
  <c r="AE686" i="4"/>
  <c r="AD686" i="4"/>
  <c r="AE685" i="4"/>
  <c r="AD685" i="4"/>
  <c r="AE684" i="4"/>
  <c r="AD684" i="4"/>
  <c r="AE683" i="4"/>
  <c r="AD683" i="4"/>
  <c r="AE682" i="4"/>
  <c r="AD682" i="4"/>
  <c r="AE681" i="4"/>
  <c r="AD681" i="4"/>
  <c r="AE680" i="4"/>
  <c r="AD680" i="4"/>
  <c r="AE679" i="4"/>
  <c r="AD679" i="4"/>
  <c r="AE678" i="4"/>
  <c r="AD678" i="4"/>
  <c r="AE677" i="4"/>
  <c r="AD677" i="4"/>
  <c r="AE676" i="4"/>
  <c r="AD676" i="4"/>
  <c r="AE675" i="4"/>
  <c r="AD675" i="4"/>
  <c r="AE674" i="4"/>
  <c r="AD674" i="4"/>
  <c r="AE673" i="4"/>
  <c r="AD673" i="4"/>
  <c r="AE672" i="4"/>
  <c r="AD672" i="4"/>
  <c r="AE671" i="4"/>
  <c r="AD671" i="4"/>
  <c r="AE670" i="4"/>
  <c r="AD670" i="4"/>
  <c r="AE669" i="4"/>
  <c r="AD669" i="4"/>
  <c r="AE668" i="4"/>
  <c r="AD668" i="4"/>
  <c r="AE667" i="4"/>
  <c r="AD667" i="4"/>
  <c r="AE666" i="4"/>
  <c r="AD666" i="4"/>
  <c r="AE665" i="4"/>
  <c r="AD665" i="4"/>
  <c r="AE664" i="4"/>
  <c r="AD664" i="4"/>
  <c r="AE663" i="4"/>
  <c r="AD663" i="4"/>
  <c r="AE662" i="4"/>
  <c r="AD662" i="4"/>
  <c r="AE661" i="4"/>
  <c r="AD661" i="4"/>
  <c r="AE660" i="4"/>
  <c r="AD660" i="4"/>
  <c r="AE659" i="4"/>
  <c r="AD659" i="4"/>
  <c r="AE658" i="4"/>
  <c r="AD658" i="4"/>
  <c r="AE657" i="4"/>
  <c r="AD657" i="4"/>
  <c r="AE656" i="4"/>
  <c r="AD656" i="4"/>
  <c r="AE655" i="4"/>
  <c r="AD655" i="4"/>
  <c r="AE654" i="4"/>
  <c r="AD654" i="4"/>
  <c r="AE653" i="4"/>
  <c r="AD653" i="4"/>
  <c r="AE652" i="4"/>
  <c r="AD652" i="4"/>
  <c r="AE651" i="4"/>
  <c r="AD651" i="4"/>
  <c r="AE650" i="4"/>
  <c r="AD650" i="4"/>
  <c r="AE649" i="4"/>
  <c r="AD649" i="4"/>
  <c r="AE648" i="4"/>
  <c r="AD648" i="4"/>
  <c r="AE647" i="4"/>
  <c r="AD647" i="4"/>
  <c r="AE646" i="4"/>
  <c r="AD646" i="4"/>
  <c r="AE645" i="4"/>
  <c r="AD645" i="4"/>
  <c r="AE644" i="4"/>
  <c r="AD644" i="4"/>
  <c r="AE643" i="4"/>
  <c r="AD643" i="4"/>
  <c r="AE642" i="4"/>
  <c r="AD642" i="4"/>
  <c r="AE641" i="4"/>
  <c r="AD641" i="4"/>
  <c r="AE640" i="4"/>
  <c r="AD640" i="4"/>
  <c r="AE639" i="4"/>
  <c r="AD639" i="4"/>
  <c r="AE638" i="4"/>
  <c r="AD638" i="4"/>
  <c r="AE637" i="4"/>
  <c r="AD637" i="4"/>
  <c r="AE636" i="4"/>
  <c r="AD636" i="4"/>
  <c r="AE635" i="4"/>
  <c r="AD635" i="4"/>
  <c r="AE634" i="4"/>
  <c r="AD634" i="4"/>
  <c r="AE633" i="4"/>
  <c r="AD633" i="4"/>
  <c r="AE632" i="4"/>
  <c r="AD632" i="4"/>
  <c r="AE631" i="4"/>
  <c r="AD631" i="4"/>
  <c r="AE630" i="4"/>
  <c r="AD630" i="4"/>
  <c r="AE629" i="4"/>
  <c r="AD629" i="4"/>
  <c r="AE628" i="4"/>
  <c r="AD628" i="4"/>
  <c r="AE627" i="4"/>
  <c r="AD627" i="4"/>
  <c r="AE626" i="4"/>
  <c r="AD626" i="4"/>
  <c r="AE625" i="4"/>
  <c r="AD625" i="4"/>
  <c r="AE624" i="4"/>
  <c r="AD624" i="4"/>
  <c r="AE623" i="4"/>
  <c r="AD623" i="4"/>
  <c r="AE622" i="4"/>
  <c r="AD622" i="4"/>
  <c r="AE621" i="4"/>
  <c r="AD621" i="4"/>
  <c r="AE620" i="4"/>
  <c r="AD620" i="4"/>
  <c r="AE619" i="4"/>
  <c r="AD619" i="4"/>
  <c r="AE618" i="4"/>
  <c r="AD618" i="4"/>
  <c r="AE617" i="4"/>
  <c r="AD617" i="4"/>
  <c r="AE616" i="4"/>
  <c r="AD616" i="4"/>
  <c r="AE615" i="4"/>
  <c r="AD615" i="4"/>
  <c r="AE614" i="4"/>
  <c r="AD614" i="4"/>
  <c r="AE613" i="4"/>
  <c r="AD613" i="4"/>
  <c r="AE612" i="4"/>
  <c r="AD612" i="4"/>
  <c r="AE611" i="4"/>
  <c r="AD611" i="4"/>
  <c r="AE610" i="4"/>
  <c r="AD610" i="4"/>
  <c r="AE609" i="4"/>
  <c r="AD609" i="4"/>
  <c r="AE608" i="4"/>
  <c r="AD608" i="4"/>
  <c r="AE607" i="4"/>
  <c r="AD607" i="4"/>
  <c r="AE606" i="4"/>
  <c r="AD606" i="4"/>
  <c r="AE605" i="4"/>
  <c r="AD605" i="4"/>
  <c r="AE604" i="4"/>
  <c r="AD604" i="4"/>
  <c r="AE603" i="4"/>
  <c r="AD603" i="4"/>
  <c r="AE602" i="4"/>
  <c r="AD602" i="4"/>
  <c r="AE601" i="4"/>
  <c r="AD601" i="4"/>
  <c r="AE600" i="4"/>
  <c r="AD600" i="4"/>
  <c r="AE599" i="4"/>
  <c r="AD599" i="4"/>
  <c r="AE598" i="4"/>
  <c r="AD598" i="4"/>
  <c r="AE597" i="4"/>
  <c r="AD597" i="4"/>
  <c r="AE596" i="4"/>
  <c r="AD596" i="4"/>
  <c r="AE595" i="4"/>
  <c r="AD595" i="4"/>
  <c r="AE594" i="4"/>
  <c r="AD594" i="4"/>
  <c r="AE593" i="4"/>
  <c r="AD593" i="4"/>
  <c r="AE592" i="4"/>
  <c r="AD592" i="4"/>
  <c r="AE591" i="4"/>
  <c r="AD591" i="4"/>
  <c r="AE590" i="4"/>
  <c r="AD590" i="4"/>
  <c r="AE589" i="4"/>
  <c r="AD589" i="4"/>
  <c r="AE588" i="4"/>
  <c r="AD588" i="4"/>
  <c r="AE587" i="4"/>
  <c r="AD587" i="4"/>
  <c r="AE586" i="4"/>
  <c r="AD586" i="4"/>
  <c r="AE585" i="4"/>
  <c r="AD585" i="4"/>
  <c r="AE584" i="4"/>
  <c r="AD584" i="4"/>
  <c r="AE583" i="4"/>
  <c r="AD583" i="4"/>
  <c r="AE582" i="4"/>
  <c r="AD582" i="4"/>
  <c r="AE581" i="4"/>
  <c r="AD581" i="4"/>
  <c r="AE580" i="4"/>
  <c r="AD580" i="4"/>
  <c r="AE579" i="4"/>
  <c r="AD579" i="4"/>
  <c r="AE578" i="4"/>
  <c r="AD578" i="4"/>
  <c r="AE577" i="4"/>
  <c r="AD577" i="4"/>
  <c r="AE576" i="4"/>
  <c r="AD576" i="4"/>
  <c r="AE575" i="4"/>
  <c r="AD575" i="4"/>
  <c r="AE574" i="4"/>
  <c r="AD574" i="4"/>
  <c r="AE573" i="4"/>
  <c r="AD573" i="4"/>
  <c r="AE572" i="4"/>
  <c r="AD572" i="4"/>
  <c r="AE571" i="4"/>
  <c r="AD571" i="4"/>
  <c r="AE570" i="4"/>
  <c r="AD570" i="4"/>
  <c r="AE569" i="4"/>
  <c r="AD569" i="4"/>
  <c r="AE568" i="4"/>
  <c r="AD568" i="4"/>
  <c r="AE567" i="4"/>
  <c r="AD567" i="4"/>
  <c r="AE566" i="4"/>
  <c r="AD566" i="4"/>
  <c r="AE565" i="4"/>
  <c r="AD565" i="4"/>
  <c r="AE564" i="4"/>
  <c r="AD564" i="4"/>
  <c r="AE563" i="4"/>
  <c r="AD563" i="4"/>
  <c r="AE562" i="4"/>
  <c r="AD562" i="4"/>
  <c r="AE561" i="4"/>
  <c r="AD561" i="4"/>
  <c r="AE560" i="4"/>
  <c r="AD560" i="4"/>
  <c r="AE559" i="4"/>
  <c r="AD559" i="4"/>
  <c r="AE558" i="4"/>
  <c r="AD558" i="4"/>
  <c r="AE557" i="4"/>
  <c r="AD557" i="4"/>
  <c r="AE556" i="4"/>
  <c r="AD556" i="4"/>
  <c r="AE555" i="4"/>
  <c r="AD555" i="4"/>
  <c r="AE554" i="4"/>
  <c r="AD554" i="4"/>
  <c r="AE553" i="4"/>
  <c r="AD553" i="4"/>
  <c r="AE552" i="4"/>
  <c r="AD552" i="4"/>
  <c r="AE551" i="4"/>
  <c r="AD551" i="4"/>
  <c r="AE550" i="4"/>
  <c r="AD550" i="4"/>
  <c r="AE549" i="4"/>
  <c r="AD549" i="4"/>
  <c r="AE548" i="4"/>
  <c r="AD548" i="4"/>
  <c r="AE547" i="4"/>
  <c r="AD547" i="4"/>
  <c r="AE546" i="4"/>
  <c r="AD546" i="4"/>
  <c r="AE545" i="4"/>
  <c r="AD545" i="4"/>
  <c r="AE544" i="4"/>
  <c r="AD544" i="4"/>
  <c r="AE543" i="4"/>
  <c r="AD543" i="4"/>
  <c r="AE542" i="4"/>
  <c r="AD542" i="4"/>
  <c r="AE541" i="4"/>
  <c r="AD541" i="4"/>
  <c r="AE540" i="4"/>
  <c r="AD540" i="4"/>
  <c r="AE539" i="4"/>
  <c r="AD539" i="4"/>
  <c r="AE538" i="4"/>
  <c r="AD538" i="4"/>
  <c r="AE537" i="4"/>
  <c r="AD537" i="4"/>
  <c r="AE536" i="4"/>
  <c r="AD536" i="4"/>
  <c r="AE535" i="4"/>
  <c r="AD535" i="4"/>
  <c r="AE534" i="4"/>
  <c r="AD534" i="4"/>
  <c r="AE533" i="4"/>
  <c r="AD533" i="4"/>
  <c r="AE532" i="4"/>
  <c r="AD532" i="4"/>
  <c r="AE531" i="4"/>
  <c r="AD531" i="4"/>
  <c r="AE530" i="4"/>
  <c r="AD530" i="4"/>
  <c r="AE529" i="4"/>
  <c r="AD529" i="4"/>
  <c r="AE528" i="4"/>
  <c r="AD528" i="4"/>
  <c r="AE527" i="4"/>
  <c r="AD527" i="4"/>
  <c r="AE526" i="4"/>
  <c r="AD526" i="4"/>
  <c r="AE525" i="4"/>
  <c r="AD525" i="4"/>
  <c r="AE524" i="4"/>
  <c r="AD524" i="4"/>
  <c r="AE523" i="4"/>
  <c r="AD523" i="4"/>
  <c r="AE522" i="4"/>
  <c r="AD522" i="4"/>
  <c r="AE521" i="4"/>
  <c r="AD521" i="4"/>
  <c r="AE520" i="4"/>
  <c r="AD520" i="4"/>
  <c r="AE519" i="4"/>
  <c r="AD519" i="4"/>
  <c r="AE518" i="4"/>
  <c r="AD518" i="4"/>
  <c r="AE517" i="4"/>
  <c r="AD517" i="4"/>
  <c r="AE516" i="4"/>
  <c r="AD516" i="4"/>
  <c r="AE515" i="4"/>
  <c r="AD515" i="4"/>
  <c r="AE514" i="4"/>
  <c r="AD514" i="4"/>
  <c r="AE513" i="4"/>
  <c r="AD513" i="4"/>
  <c r="AE512" i="4"/>
  <c r="AD512" i="4"/>
  <c r="AE511" i="4"/>
  <c r="AD511" i="4"/>
  <c r="AE510" i="4"/>
  <c r="AD510" i="4"/>
  <c r="AE509" i="4"/>
  <c r="AD509" i="4"/>
  <c r="AE508" i="4"/>
  <c r="AD508" i="4"/>
  <c r="AE507" i="4"/>
  <c r="AD507" i="4"/>
  <c r="AE506" i="4"/>
  <c r="AD506" i="4"/>
  <c r="AE505" i="4"/>
  <c r="AD505" i="4"/>
  <c r="AE504" i="4"/>
  <c r="AD504" i="4"/>
  <c r="AE503" i="4"/>
  <c r="AD503" i="4"/>
  <c r="AE502" i="4"/>
  <c r="AD502" i="4"/>
  <c r="AE501" i="4"/>
  <c r="AD501" i="4"/>
  <c r="AE500" i="4"/>
  <c r="AD500" i="4"/>
  <c r="AE499" i="4"/>
  <c r="AD499" i="4"/>
  <c r="AE498" i="4"/>
  <c r="AD498" i="4"/>
  <c r="AE497" i="4"/>
  <c r="AD497" i="4"/>
  <c r="AE496" i="4"/>
  <c r="AD496" i="4"/>
  <c r="AE495" i="4"/>
  <c r="AD495" i="4"/>
  <c r="AE494" i="4"/>
  <c r="AD494" i="4"/>
  <c r="AE493" i="4"/>
  <c r="AD493" i="4"/>
  <c r="AE492" i="4"/>
  <c r="AD492" i="4"/>
  <c r="AE491" i="4"/>
  <c r="AD491" i="4"/>
  <c r="AE490" i="4"/>
  <c r="AD490" i="4"/>
  <c r="AE489" i="4"/>
  <c r="AD489" i="4"/>
  <c r="AE488" i="4"/>
  <c r="AD488" i="4"/>
  <c r="AE487" i="4"/>
  <c r="AD487" i="4"/>
  <c r="AE486" i="4"/>
  <c r="AD486" i="4"/>
  <c r="AE485" i="4"/>
  <c r="AD485" i="4"/>
  <c r="AE484" i="4"/>
  <c r="AD484" i="4"/>
  <c r="AE483" i="4"/>
  <c r="AD483" i="4"/>
  <c r="AE482" i="4"/>
  <c r="AD482" i="4"/>
  <c r="AE481" i="4"/>
  <c r="AD481" i="4"/>
  <c r="AE480" i="4"/>
  <c r="AD480" i="4"/>
  <c r="AE479" i="4"/>
  <c r="AD479" i="4"/>
  <c r="AE478" i="4"/>
  <c r="AD478" i="4"/>
  <c r="AE477" i="4"/>
  <c r="AD477" i="4"/>
  <c r="AE476" i="4"/>
  <c r="AD476" i="4"/>
  <c r="AE475" i="4"/>
  <c r="AD475" i="4"/>
  <c r="AE474" i="4"/>
  <c r="AD474" i="4"/>
  <c r="AE473" i="4"/>
  <c r="AD473" i="4"/>
  <c r="AE472" i="4"/>
  <c r="AD472" i="4"/>
  <c r="AE471" i="4"/>
  <c r="AD471" i="4"/>
  <c r="AE470" i="4"/>
  <c r="AD470" i="4"/>
  <c r="AE469" i="4"/>
  <c r="AD469" i="4"/>
  <c r="AE468" i="4"/>
  <c r="AD468" i="4"/>
  <c r="AE467" i="4"/>
  <c r="AD467" i="4"/>
  <c r="AE466" i="4"/>
  <c r="AD466" i="4"/>
  <c r="AE465" i="4"/>
  <c r="AD465" i="4"/>
  <c r="AE464" i="4"/>
  <c r="AD464" i="4"/>
  <c r="AE463" i="4"/>
  <c r="AD463" i="4"/>
  <c r="AE462" i="4"/>
  <c r="AD462" i="4"/>
  <c r="AE461" i="4"/>
  <c r="AD461" i="4"/>
  <c r="AE460" i="4"/>
  <c r="AD460" i="4"/>
  <c r="AE459" i="4"/>
  <c r="AD459" i="4"/>
  <c r="AE458" i="4"/>
  <c r="AD458" i="4"/>
  <c r="AE457" i="4"/>
  <c r="AD457" i="4"/>
  <c r="AE456" i="4"/>
  <c r="AD456" i="4"/>
  <c r="AE455" i="4"/>
  <c r="AD455" i="4"/>
  <c r="AE454" i="4"/>
  <c r="AD454" i="4"/>
  <c r="AE453" i="4"/>
  <c r="AD453" i="4"/>
  <c r="AE452" i="4"/>
  <c r="AD452" i="4"/>
  <c r="AE451" i="4"/>
  <c r="AD451" i="4"/>
  <c r="AE450" i="4"/>
  <c r="AD450" i="4"/>
  <c r="AE449" i="4"/>
  <c r="AD449" i="4"/>
  <c r="AE448" i="4"/>
  <c r="AD448" i="4"/>
  <c r="AE447" i="4"/>
  <c r="AD447" i="4"/>
  <c r="AE446" i="4"/>
  <c r="AD446" i="4"/>
  <c r="AE445" i="4"/>
  <c r="AD445" i="4"/>
  <c r="AE444" i="4"/>
  <c r="AD444" i="4"/>
  <c r="AE443" i="4"/>
  <c r="AD443" i="4"/>
  <c r="AE442" i="4"/>
  <c r="AD442" i="4"/>
  <c r="AE441" i="4"/>
  <c r="AD441" i="4"/>
  <c r="AE440" i="4"/>
  <c r="AD440" i="4"/>
  <c r="AE439" i="4"/>
  <c r="AD439" i="4"/>
  <c r="AE438" i="4"/>
  <c r="AD438" i="4"/>
  <c r="AE437" i="4"/>
  <c r="AD437" i="4"/>
  <c r="AE436" i="4"/>
  <c r="AD436" i="4"/>
  <c r="AE435" i="4"/>
  <c r="AD435" i="4"/>
  <c r="AE434" i="4"/>
  <c r="AD434" i="4"/>
  <c r="AE433" i="4"/>
  <c r="AD433" i="4"/>
  <c r="AE432" i="4"/>
  <c r="AD432" i="4"/>
  <c r="AE431" i="4"/>
  <c r="AD431" i="4"/>
  <c r="AE430" i="4"/>
  <c r="AD430" i="4"/>
  <c r="AE429" i="4"/>
  <c r="AD429" i="4"/>
  <c r="AE428" i="4"/>
  <c r="AD428" i="4"/>
  <c r="AE427" i="4"/>
  <c r="AD427" i="4"/>
  <c r="AE426" i="4"/>
  <c r="AD426" i="4"/>
  <c r="AE425" i="4"/>
  <c r="AD425" i="4"/>
  <c r="AE424" i="4"/>
  <c r="AD424" i="4"/>
  <c r="AE423" i="4"/>
  <c r="AD423" i="4"/>
  <c r="AE422" i="4"/>
  <c r="AD422" i="4"/>
  <c r="AE421" i="4"/>
  <c r="AD421" i="4"/>
  <c r="AE420" i="4"/>
  <c r="AD420" i="4"/>
  <c r="AE419" i="4"/>
  <c r="AD419" i="4"/>
  <c r="AE418" i="4"/>
  <c r="AD418" i="4"/>
  <c r="AE417" i="4"/>
  <c r="AD417" i="4"/>
  <c r="AE416" i="4"/>
  <c r="AD416" i="4"/>
  <c r="AE415" i="4"/>
  <c r="AD415" i="4"/>
  <c r="AE414" i="4"/>
  <c r="AD414" i="4"/>
  <c r="AE413" i="4"/>
  <c r="AD413" i="4"/>
  <c r="AE412" i="4"/>
  <c r="AD412" i="4"/>
  <c r="AE411" i="4"/>
  <c r="AD411" i="4"/>
  <c r="AE410" i="4"/>
  <c r="AD410" i="4"/>
  <c r="AE409" i="4"/>
  <c r="AD409" i="4"/>
  <c r="AE408" i="4"/>
  <c r="AD408" i="4"/>
  <c r="AE407" i="4"/>
  <c r="AD407" i="4"/>
  <c r="AE406" i="4"/>
  <c r="AD406" i="4"/>
  <c r="AE405" i="4"/>
  <c r="AD405" i="4"/>
  <c r="AE404" i="4"/>
  <c r="AD404" i="4"/>
  <c r="AE403" i="4"/>
  <c r="AD403" i="4"/>
  <c r="AE402" i="4"/>
  <c r="AD402" i="4"/>
  <c r="AE401" i="4"/>
  <c r="AD401" i="4"/>
  <c r="AE400" i="4"/>
  <c r="AD400" i="4"/>
  <c r="AE399" i="4"/>
  <c r="AD399" i="4"/>
  <c r="AE398" i="4"/>
  <c r="AD398" i="4"/>
  <c r="AE397" i="4"/>
  <c r="AD397" i="4"/>
  <c r="AE396" i="4"/>
  <c r="AD396" i="4"/>
  <c r="AE395" i="4"/>
  <c r="AD395" i="4"/>
  <c r="AE394" i="4"/>
  <c r="AD394" i="4"/>
  <c r="AE393" i="4"/>
  <c r="AD393" i="4"/>
  <c r="AE392" i="4"/>
  <c r="AD392" i="4"/>
  <c r="AE391" i="4"/>
  <c r="AD391" i="4"/>
  <c r="AE390" i="4"/>
  <c r="AD390" i="4"/>
  <c r="AE389" i="4"/>
  <c r="AD389" i="4"/>
  <c r="AE388" i="4"/>
  <c r="AD388" i="4"/>
  <c r="AE387" i="4"/>
  <c r="AD387" i="4"/>
  <c r="AE386" i="4"/>
  <c r="AD386" i="4"/>
  <c r="AE385" i="4"/>
  <c r="AD385" i="4"/>
  <c r="AE384" i="4"/>
  <c r="AD384" i="4"/>
  <c r="AE383" i="4"/>
  <c r="AD383" i="4"/>
  <c r="AE382" i="4"/>
  <c r="AD382" i="4"/>
  <c r="AE381" i="4"/>
  <c r="AD381" i="4"/>
  <c r="AE380" i="4"/>
  <c r="AD380" i="4"/>
  <c r="AE379" i="4"/>
  <c r="AD379" i="4"/>
  <c r="AE378" i="4"/>
  <c r="AD378" i="4"/>
  <c r="AE377" i="4"/>
  <c r="AD377" i="4"/>
  <c r="AE376" i="4"/>
  <c r="AD376" i="4"/>
  <c r="AE375" i="4"/>
  <c r="AD375" i="4"/>
  <c r="AE374" i="4"/>
  <c r="AD374" i="4"/>
  <c r="AE373" i="4"/>
  <c r="AD373" i="4"/>
  <c r="AE372" i="4"/>
  <c r="AD372" i="4"/>
  <c r="AE371" i="4"/>
  <c r="AD371" i="4"/>
  <c r="AE370" i="4"/>
  <c r="AD370" i="4"/>
  <c r="AE369" i="4"/>
  <c r="AD369" i="4"/>
  <c r="AE368" i="4"/>
  <c r="AD368" i="4"/>
  <c r="AE367" i="4"/>
  <c r="AD367" i="4"/>
  <c r="AE366" i="4"/>
  <c r="AD366" i="4"/>
  <c r="AE365" i="4"/>
  <c r="AD365" i="4"/>
  <c r="AE364" i="4"/>
  <c r="AD364" i="4"/>
  <c r="AE363" i="4"/>
  <c r="AD363" i="4"/>
  <c r="AE362" i="4"/>
  <c r="AD362" i="4"/>
  <c r="AE361" i="4"/>
  <c r="AD361" i="4"/>
  <c r="AE360" i="4"/>
  <c r="AD360" i="4"/>
  <c r="AE359" i="4"/>
  <c r="AD359" i="4"/>
  <c r="AE358" i="4"/>
  <c r="AD358" i="4"/>
  <c r="AE357" i="4"/>
  <c r="AD357" i="4"/>
  <c r="AE356" i="4"/>
  <c r="AD356" i="4"/>
  <c r="AE355" i="4"/>
  <c r="AD355" i="4"/>
  <c r="AE354" i="4"/>
  <c r="AD354" i="4"/>
  <c r="AE353" i="4"/>
  <c r="AD353" i="4"/>
  <c r="AE352" i="4"/>
  <c r="AD352" i="4"/>
  <c r="AE351" i="4"/>
  <c r="AD351" i="4"/>
  <c r="AE350" i="4"/>
  <c r="AD350" i="4"/>
  <c r="AE349" i="4"/>
  <c r="AD349" i="4"/>
  <c r="AE348" i="4"/>
  <c r="AD348" i="4"/>
  <c r="AE347" i="4"/>
  <c r="AD347" i="4"/>
  <c r="AE346" i="4"/>
  <c r="AD346" i="4"/>
  <c r="AE345" i="4"/>
  <c r="AD345" i="4"/>
  <c r="AE344" i="4"/>
  <c r="AD344" i="4"/>
  <c r="AE343" i="4"/>
  <c r="AD343" i="4"/>
  <c r="AE342" i="4"/>
  <c r="AD342" i="4"/>
  <c r="AE341" i="4"/>
  <c r="AD341" i="4"/>
  <c r="AE340" i="4"/>
  <c r="AD340" i="4"/>
  <c r="AE339" i="4"/>
  <c r="AD339" i="4"/>
  <c r="AE338" i="4"/>
  <c r="AD338" i="4"/>
  <c r="AE337" i="4"/>
  <c r="AD337" i="4"/>
  <c r="AE336" i="4"/>
  <c r="AD336" i="4"/>
  <c r="AE335" i="4"/>
  <c r="AD335" i="4"/>
  <c r="AE334" i="4"/>
  <c r="AD334" i="4"/>
  <c r="AE333" i="4"/>
  <c r="AD333" i="4"/>
  <c r="AE332" i="4"/>
  <c r="AD332" i="4"/>
  <c r="AE331" i="4"/>
  <c r="AD331" i="4"/>
  <c r="AE330" i="4"/>
  <c r="AD330" i="4"/>
  <c r="AE329" i="4"/>
  <c r="AD329" i="4"/>
  <c r="AE328" i="4"/>
  <c r="AD328" i="4"/>
  <c r="AE327" i="4"/>
  <c r="AD327" i="4"/>
  <c r="AE326" i="4"/>
  <c r="AD326" i="4"/>
  <c r="AE325" i="4"/>
  <c r="AD325" i="4"/>
  <c r="AE324" i="4"/>
  <c r="AD324" i="4"/>
  <c r="AE323" i="4"/>
  <c r="AD323" i="4"/>
  <c r="AE322" i="4"/>
  <c r="AD322" i="4"/>
  <c r="AE321" i="4"/>
  <c r="AD321" i="4"/>
  <c r="AE320" i="4"/>
  <c r="AD320" i="4"/>
  <c r="AE319" i="4"/>
  <c r="AD319" i="4"/>
  <c r="AE318" i="4"/>
  <c r="AD318" i="4"/>
  <c r="AE317" i="4"/>
  <c r="AD317" i="4"/>
  <c r="AE316" i="4"/>
  <c r="AD316" i="4"/>
  <c r="AE315" i="4"/>
  <c r="AD315" i="4"/>
  <c r="AE314" i="4"/>
  <c r="AD314" i="4"/>
  <c r="AE313" i="4"/>
  <c r="AD313" i="4"/>
  <c r="AE312" i="4"/>
  <c r="AD312" i="4"/>
  <c r="AE311" i="4"/>
  <c r="AD311" i="4"/>
  <c r="AE310" i="4"/>
  <c r="AD310" i="4"/>
  <c r="AE309" i="4"/>
  <c r="AD309" i="4"/>
  <c r="AE308" i="4"/>
  <c r="AD308" i="4"/>
  <c r="AE307" i="4"/>
  <c r="AD307" i="4"/>
  <c r="AE306" i="4"/>
  <c r="AD306" i="4"/>
  <c r="AE305" i="4"/>
  <c r="AD305" i="4"/>
  <c r="AE304" i="4"/>
  <c r="AD304" i="4"/>
  <c r="AE303" i="4"/>
  <c r="AD303" i="4"/>
  <c r="AE302" i="4"/>
  <c r="AD302" i="4"/>
  <c r="AE301" i="4"/>
  <c r="AD301" i="4"/>
  <c r="AE300" i="4"/>
  <c r="AD300" i="4"/>
  <c r="AE299" i="4"/>
  <c r="AD299" i="4"/>
  <c r="AE298" i="4"/>
  <c r="AD298" i="4"/>
  <c r="AE297" i="4"/>
  <c r="AD297" i="4"/>
  <c r="AE296" i="4"/>
  <c r="AD296" i="4"/>
  <c r="AE295" i="4"/>
  <c r="AD295" i="4"/>
  <c r="AE294" i="4"/>
  <c r="AD294" i="4"/>
  <c r="AE293" i="4"/>
  <c r="AD293" i="4"/>
  <c r="AE292" i="4"/>
  <c r="AD292" i="4"/>
  <c r="AE291" i="4"/>
  <c r="AD291" i="4"/>
  <c r="AE290" i="4"/>
  <c r="AD290" i="4"/>
  <c r="AE289" i="4"/>
  <c r="AD289" i="4"/>
  <c r="AE288" i="4"/>
  <c r="AD288" i="4"/>
  <c r="AE287" i="4"/>
  <c r="AD287" i="4"/>
  <c r="AE286" i="4"/>
  <c r="AD286" i="4"/>
  <c r="AE285" i="4"/>
  <c r="AD285" i="4"/>
  <c r="AE284" i="4"/>
  <c r="AD284" i="4"/>
  <c r="AE283" i="4"/>
  <c r="AD283" i="4"/>
  <c r="AE282" i="4"/>
  <c r="AD282" i="4"/>
  <c r="AE281" i="4"/>
  <c r="AD281" i="4"/>
  <c r="AE280" i="4"/>
  <c r="AD280" i="4"/>
  <c r="AE279" i="4"/>
  <c r="AD279" i="4"/>
  <c r="AE278" i="4"/>
  <c r="AD278" i="4"/>
  <c r="AE277" i="4"/>
  <c r="AD277" i="4"/>
  <c r="AE276" i="4"/>
  <c r="AD276" i="4"/>
  <c r="AE275" i="4"/>
  <c r="AD275" i="4"/>
  <c r="AE274" i="4"/>
  <c r="AD274" i="4"/>
  <c r="AE273" i="4"/>
  <c r="AD273" i="4"/>
  <c r="AE272" i="4"/>
  <c r="AD272" i="4"/>
  <c r="AE271" i="4"/>
  <c r="AD271" i="4"/>
  <c r="AE270" i="4"/>
  <c r="AD270" i="4"/>
  <c r="AE269" i="4"/>
  <c r="AD269" i="4"/>
  <c r="AE268" i="4"/>
  <c r="AD268" i="4"/>
  <c r="AE267" i="4"/>
  <c r="AD267" i="4"/>
  <c r="AE266" i="4"/>
  <c r="AD266" i="4"/>
  <c r="AE265" i="4"/>
  <c r="AD265" i="4"/>
  <c r="AE264" i="4"/>
  <c r="AD264" i="4"/>
  <c r="AE263" i="4"/>
  <c r="AD263" i="4"/>
  <c r="AE262" i="4"/>
  <c r="AD262" i="4"/>
  <c r="AE261" i="4"/>
  <c r="AD261" i="4"/>
  <c r="AE260" i="4"/>
  <c r="AD260" i="4"/>
  <c r="AE259" i="4"/>
  <c r="AD259" i="4"/>
  <c r="AE258" i="4"/>
  <c r="AD258" i="4"/>
  <c r="AE257" i="4"/>
  <c r="AD257" i="4"/>
  <c r="AE256" i="4"/>
  <c r="AD256" i="4"/>
  <c r="AE255" i="4"/>
  <c r="AD255" i="4"/>
  <c r="AE254" i="4"/>
  <c r="AD254" i="4"/>
  <c r="AE253" i="4"/>
  <c r="AD253" i="4"/>
  <c r="AE252" i="4"/>
  <c r="AD252" i="4"/>
  <c r="AE251" i="4"/>
  <c r="AD251" i="4"/>
  <c r="AE250" i="4"/>
  <c r="AD250" i="4"/>
  <c r="AE249" i="4"/>
  <c r="AD249" i="4"/>
  <c r="AE248" i="4"/>
  <c r="AD248" i="4"/>
  <c r="AE247" i="4"/>
  <c r="AD247" i="4"/>
  <c r="AE246" i="4"/>
  <c r="AD246" i="4"/>
  <c r="AE245" i="4"/>
  <c r="AD245" i="4"/>
  <c r="AE244" i="4"/>
  <c r="AD244" i="4"/>
  <c r="AE243" i="4"/>
  <c r="AD243" i="4"/>
  <c r="AE242" i="4"/>
  <c r="AD242" i="4"/>
  <c r="AE241" i="4"/>
  <c r="AD241" i="4"/>
  <c r="AE240" i="4"/>
  <c r="AD240" i="4"/>
  <c r="AE239" i="4"/>
  <c r="AD239" i="4"/>
  <c r="AE238" i="4"/>
  <c r="AD238" i="4"/>
  <c r="AE237" i="4"/>
  <c r="AD237" i="4"/>
  <c r="AE236" i="4"/>
  <c r="AD236" i="4"/>
  <c r="AE235" i="4"/>
  <c r="AD235" i="4"/>
  <c r="AE234" i="4"/>
  <c r="AD234" i="4"/>
  <c r="AE233" i="4"/>
  <c r="AD233" i="4"/>
  <c r="AE232" i="4"/>
  <c r="AD232" i="4"/>
  <c r="AE231" i="4"/>
  <c r="AD231" i="4"/>
  <c r="AE230" i="4"/>
  <c r="AD230" i="4"/>
  <c r="AE229" i="4"/>
  <c r="AD229" i="4"/>
  <c r="AE228" i="4"/>
  <c r="AD228" i="4"/>
  <c r="AE227" i="4"/>
  <c r="AD227" i="4"/>
  <c r="AE226" i="4"/>
  <c r="AD226" i="4"/>
  <c r="AE225" i="4"/>
  <c r="AD225" i="4"/>
  <c r="AE224" i="4"/>
  <c r="AD224" i="4"/>
  <c r="AE223" i="4"/>
  <c r="AD223" i="4"/>
  <c r="AE222" i="4"/>
  <c r="AD222" i="4"/>
  <c r="AE221" i="4"/>
  <c r="AD221" i="4"/>
  <c r="AE220" i="4"/>
  <c r="AD220" i="4"/>
  <c r="AE219" i="4"/>
  <c r="AD219" i="4"/>
  <c r="AE218" i="4"/>
  <c r="AD218" i="4"/>
  <c r="AE217" i="4"/>
  <c r="AD217" i="4"/>
  <c r="AE216" i="4"/>
  <c r="AD216" i="4"/>
  <c r="AE215" i="4"/>
  <c r="AD215" i="4"/>
  <c r="AE214" i="4"/>
  <c r="AD214" i="4"/>
  <c r="AE213" i="4"/>
  <c r="AD213" i="4"/>
  <c r="AE212" i="4"/>
  <c r="AD212" i="4"/>
  <c r="AE211" i="4"/>
  <c r="AD211" i="4"/>
  <c r="AE210" i="4"/>
  <c r="AD210" i="4"/>
  <c r="AE209" i="4"/>
  <c r="AD209" i="4"/>
  <c r="AE208" i="4"/>
  <c r="AD208" i="4"/>
  <c r="AE207" i="4"/>
  <c r="AD207" i="4"/>
  <c r="AE206" i="4"/>
  <c r="AD206" i="4"/>
  <c r="AE205" i="4"/>
  <c r="AD205" i="4"/>
  <c r="AE204" i="4"/>
  <c r="AD204" i="4"/>
  <c r="AE203" i="4"/>
  <c r="AD203" i="4"/>
  <c r="AE202" i="4"/>
  <c r="AD202" i="4"/>
  <c r="AE201" i="4"/>
  <c r="AD201" i="4"/>
  <c r="AE200" i="4"/>
  <c r="AD200" i="4"/>
  <c r="AE199" i="4"/>
  <c r="AD199" i="4"/>
  <c r="AE198" i="4"/>
  <c r="AD198" i="4"/>
  <c r="AE197" i="4"/>
  <c r="AD197" i="4"/>
  <c r="AE196" i="4"/>
  <c r="AD196" i="4"/>
  <c r="AE195" i="4"/>
  <c r="AD195" i="4"/>
  <c r="AE194" i="4"/>
  <c r="AD194" i="4"/>
  <c r="AE193" i="4"/>
  <c r="AD193" i="4"/>
  <c r="AE192" i="4"/>
  <c r="AD192" i="4"/>
  <c r="AE191" i="4"/>
  <c r="AD191" i="4"/>
  <c r="AE190" i="4"/>
  <c r="AD190" i="4"/>
  <c r="AE189" i="4"/>
  <c r="AD189" i="4"/>
  <c r="AE188" i="4"/>
  <c r="AD188" i="4"/>
  <c r="AE187" i="4"/>
  <c r="AD187" i="4"/>
  <c r="AE186" i="4"/>
  <c r="AD186" i="4"/>
  <c r="AE185" i="4"/>
  <c r="AD185" i="4"/>
  <c r="AE184" i="4"/>
  <c r="AD184" i="4"/>
  <c r="AE183" i="4"/>
  <c r="AD183" i="4"/>
  <c r="AE182" i="4"/>
  <c r="AD182" i="4"/>
  <c r="AE181" i="4"/>
  <c r="AD181" i="4"/>
  <c r="AE180" i="4"/>
  <c r="AD180" i="4"/>
  <c r="AE179" i="4"/>
  <c r="AD179" i="4"/>
  <c r="AE178" i="4"/>
  <c r="AD178" i="4"/>
  <c r="AE177" i="4"/>
  <c r="AD177" i="4"/>
  <c r="AE176" i="4"/>
  <c r="AD176" i="4"/>
  <c r="AE175" i="4"/>
  <c r="AD175" i="4"/>
  <c r="AE174" i="4"/>
  <c r="AD174" i="4"/>
  <c r="AE173" i="4"/>
  <c r="AD173" i="4"/>
  <c r="AE172" i="4"/>
  <c r="AD172" i="4"/>
  <c r="AE171" i="4"/>
  <c r="AD171" i="4"/>
  <c r="AE170" i="4"/>
  <c r="AD170" i="4"/>
  <c r="AE169" i="4"/>
  <c r="AD169" i="4"/>
  <c r="AE168" i="4"/>
  <c r="AD168" i="4"/>
  <c r="AE167" i="4"/>
  <c r="AD167" i="4"/>
  <c r="AE166" i="4"/>
  <c r="AD166" i="4"/>
  <c r="AE165" i="4"/>
  <c r="AD165" i="4"/>
  <c r="AE164" i="4"/>
  <c r="AD164" i="4"/>
  <c r="AE163" i="4"/>
  <c r="AD163" i="4"/>
  <c r="AE162" i="4"/>
  <c r="AD162" i="4"/>
  <c r="AE161" i="4"/>
  <c r="AD161" i="4"/>
  <c r="AE160" i="4"/>
  <c r="AD160" i="4"/>
  <c r="AE159" i="4"/>
  <c r="AD159" i="4"/>
  <c r="AE158" i="4"/>
  <c r="AD158" i="4"/>
  <c r="AE157" i="4"/>
  <c r="AD157" i="4"/>
  <c r="AE156" i="4"/>
  <c r="AD156" i="4"/>
  <c r="AE155" i="4"/>
  <c r="AD155" i="4"/>
  <c r="AE154" i="4"/>
  <c r="AD154" i="4"/>
  <c r="AE153" i="4"/>
  <c r="AD153" i="4"/>
  <c r="AE152" i="4"/>
  <c r="AD152" i="4"/>
  <c r="AE151" i="4"/>
  <c r="AD151" i="4"/>
  <c r="AE150" i="4"/>
  <c r="AD150" i="4"/>
  <c r="AE149" i="4"/>
  <c r="AD149" i="4"/>
  <c r="AE148" i="4"/>
  <c r="AD148" i="4"/>
  <c r="AE147" i="4"/>
  <c r="AD147" i="4"/>
  <c r="AE146" i="4"/>
  <c r="AD146" i="4"/>
  <c r="AE145" i="4"/>
  <c r="AD145" i="4"/>
  <c r="AE144" i="4"/>
  <c r="AD144" i="4"/>
  <c r="AE143" i="4"/>
  <c r="AD143" i="4"/>
  <c r="AE142" i="4"/>
  <c r="AD142" i="4"/>
  <c r="AE141" i="4"/>
  <c r="AD141" i="4"/>
  <c r="AE140" i="4"/>
  <c r="AD140" i="4"/>
  <c r="AE139" i="4"/>
  <c r="AD139" i="4"/>
  <c r="AE138" i="4"/>
  <c r="AD138" i="4"/>
  <c r="AE137" i="4"/>
  <c r="AD137" i="4"/>
  <c r="AE136" i="4"/>
  <c r="AD136" i="4"/>
  <c r="AE135" i="4"/>
  <c r="AD135" i="4"/>
  <c r="AE134" i="4"/>
  <c r="AD134" i="4"/>
  <c r="AE133" i="4"/>
  <c r="AD133" i="4"/>
  <c r="AE132" i="4"/>
  <c r="AD132" i="4"/>
  <c r="AE131" i="4"/>
  <c r="AD131" i="4"/>
  <c r="AE130" i="4"/>
  <c r="AD130" i="4"/>
  <c r="AE129" i="4"/>
  <c r="AD129" i="4"/>
  <c r="AE128" i="4"/>
  <c r="AD128" i="4"/>
  <c r="AE127" i="4"/>
  <c r="AD127" i="4"/>
  <c r="AE126" i="4"/>
  <c r="AD126" i="4"/>
  <c r="AE125" i="4"/>
  <c r="AD125" i="4"/>
  <c r="AE124" i="4"/>
  <c r="AD124" i="4"/>
  <c r="AE123" i="4"/>
  <c r="AD123" i="4"/>
  <c r="AE122" i="4"/>
  <c r="AD122" i="4"/>
  <c r="AE121" i="4"/>
  <c r="AD121" i="4"/>
  <c r="AE120" i="4"/>
  <c r="AD120" i="4"/>
  <c r="AE119" i="4"/>
  <c r="AD119" i="4"/>
  <c r="AE118" i="4"/>
  <c r="AD118" i="4"/>
  <c r="AE117" i="4"/>
  <c r="AD117" i="4"/>
  <c r="AE116" i="4"/>
  <c r="AD116" i="4"/>
  <c r="AE115" i="4"/>
  <c r="AD115" i="4"/>
  <c r="AE114" i="4"/>
  <c r="AD114" i="4"/>
  <c r="AE113" i="4"/>
  <c r="AD113" i="4"/>
  <c r="AE112" i="4"/>
  <c r="AD112" i="4"/>
  <c r="AE111" i="4"/>
  <c r="AD111" i="4"/>
  <c r="AE110" i="4"/>
  <c r="AD110" i="4"/>
  <c r="AE109" i="4"/>
  <c r="AD109" i="4"/>
  <c r="AE108" i="4"/>
  <c r="AD108" i="4"/>
  <c r="AE107" i="4"/>
  <c r="AD107" i="4"/>
  <c r="AE106" i="4"/>
  <c r="AD106" i="4"/>
  <c r="AE105" i="4"/>
  <c r="AD105" i="4"/>
  <c r="AE104" i="4"/>
  <c r="AD104" i="4"/>
  <c r="AE103" i="4"/>
  <c r="AD103" i="4"/>
  <c r="AE102" i="4"/>
  <c r="AD102" i="4"/>
  <c r="AE101" i="4"/>
  <c r="AD101" i="4"/>
  <c r="AE100" i="4"/>
  <c r="AD100" i="4"/>
  <c r="AE99" i="4"/>
  <c r="AD99" i="4"/>
  <c r="AE98" i="4"/>
  <c r="AD98" i="4"/>
  <c r="AE97" i="4"/>
  <c r="AD97" i="4"/>
  <c r="AE96" i="4"/>
  <c r="AD96" i="4"/>
  <c r="AE95" i="4"/>
  <c r="AD95" i="4"/>
  <c r="AE94" i="4"/>
  <c r="AD94" i="4"/>
  <c r="AE93" i="4"/>
  <c r="AD93" i="4"/>
  <c r="AE92" i="4"/>
  <c r="AD92" i="4"/>
  <c r="AE91" i="4"/>
  <c r="AD91" i="4"/>
  <c r="AE90" i="4"/>
  <c r="AD90" i="4"/>
  <c r="AE89" i="4"/>
  <c r="AD89" i="4"/>
  <c r="AE88" i="4"/>
  <c r="AD88" i="4"/>
  <c r="AE87" i="4"/>
  <c r="AD87" i="4"/>
  <c r="AE86" i="4"/>
  <c r="AD86" i="4"/>
  <c r="AE85" i="4"/>
  <c r="AD85" i="4"/>
  <c r="AE84" i="4"/>
  <c r="AD84" i="4"/>
  <c r="AE83" i="4"/>
  <c r="AD83" i="4"/>
  <c r="AE82" i="4"/>
  <c r="AD82" i="4"/>
  <c r="AE81" i="4"/>
  <c r="AD81" i="4"/>
  <c r="AE80" i="4"/>
  <c r="AD80" i="4"/>
  <c r="AE79" i="4"/>
  <c r="AD79" i="4"/>
  <c r="AE78" i="4"/>
  <c r="AD78" i="4"/>
  <c r="AE77" i="4"/>
  <c r="AD77" i="4"/>
  <c r="AE76" i="4"/>
  <c r="AD76" i="4"/>
  <c r="AE75" i="4"/>
  <c r="AD75" i="4"/>
  <c r="AE74" i="4"/>
  <c r="AD74" i="4"/>
  <c r="AE73" i="4"/>
  <c r="AD73" i="4"/>
  <c r="AE72" i="4"/>
  <c r="AD72" i="4"/>
  <c r="AE71" i="4"/>
  <c r="AD71" i="4"/>
  <c r="AE70" i="4"/>
  <c r="AD70" i="4"/>
  <c r="AE69" i="4"/>
  <c r="AD69" i="4"/>
  <c r="AE68" i="4"/>
  <c r="AD68" i="4"/>
  <c r="AE67" i="4"/>
  <c r="AD67" i="4"/>
  <c r="AE66" i="4"/>
  <c r="AD66" i="4"/>
  <c r="AE65" i="4"/>
  <c r="AD65" i="4"/>
  <c r="AE64" i="4"/>
  <c r="AD64" i="4"/>
  <c r="AE63" i="4"/>
  <c r="AD63" i="4"/>
  <c r="AE62" i="4"/>
  <c r="AD62" i="4"/>
  <c r="AE61" i="4"/>
  <c r="AD61" i="4"/>
  <c r="AE60" i="4"/>
  <c r="AD60" i="4"/>
  <c r="AE59" i="4"/>
  <c r="AD59" i="4"/>
  <c r="AE58" i="4"/>
  <c r="AD58" i="4"/>
  <c r="AE57" i="4"/>
  <c r="AD57" i="4"/>
  <c r="AE56" i="4"/>
  <c r="AD56" i="4"/>
  <c r="AE55" i="4"/>
  <c r="AD55" i="4"/>
  <c r="AE54" i="4"/>
  <c r="AD54" i="4"/>
  <c r="AE53" i="4"/>
  <c r="AD53" i="4"/>
  <c r="AE52" i="4"/>
  <c r="AD52" i="4"/>
  <c r="AE51" i="4"/>
  <c r="AD51" i="4"/>
  <c r="AE50" i="4"/>
  <c r="AD50" i="4"/>
  <c r="AE49" i="4"/>
  <c r="AD49" i="4"/>
  <c r="AE48" i="4"/>
  <c r="AD48" i="4"/>
  <c r="AE47" i="4"/>
  <c r="AD47" i="4"/>
  <c r="AE46" i="4"/>
  <c r="AD46" i="4"/>
  <c r="AE45" i="4"/>
  <c r="AD45" i="4"/>
  <c r="AE44" i="4"/>
  <c r="AD44" i="4"/>
  <c r="AE43" i="4"/>
  <c r="AD43" i="4"/>
  <c r="AE42" i="4"/>
  <c r="AD42" i="4"/>
  <c r="AE41" i="4"/>
  <c r="AD41" i="4"/>
  <c r="AE40" i="4"/>
  <c r="AD40" i="4"/>
  <c r="AE39" i="4"/>
  <c r="AD39" i="4"/>
  <c r="AE38" i="4"/>
  <c r="AD38" i="4"/>
  <c r="AE37" i="4"/>
  <c r="AD37" i="4"/>
  <c r="AE36" i="4"/>
  <c r="AD36" i="4"/>
  <c r="AE35" i="4"/>
  <c r="AD35" i="4"/>
  <c r="AE34" i="4"/>
  <c r="AD34" i="4"/>
  <c r="AE33" i="4"/>
  <c r="AD33" i="4"/>
  <c r="AE32" i="4"/>
  <c r="AD32" i="4"/>
  <c r="AE31" i="4"/>
  <c r="AD31" i="4"/>
  <c r="AE30" i="4"/>
  <c r="AD30" i="4"/>
  <c r="AE29" i="4"/>
  <c r="AD29" i="4"/>
  <c r="AE28" i="4"/>
  <c r="AD28" i="4"/>
  <c r="AE27" i="4"/>
  <c r="AD27" i="4"/>
  <c r="AE26" i="4"/>
  <c r="AD26" i="4"/>
  <c r="AE25" i="4"/>
  <c r="AD25" i="4"/>
  <c r="AE24" i="4"/>
  <c r="AD24" i="4"/>
  <c r="AE23" i="4"/>
  <c r="AD23" i="4"/>
  <c r="AE22" i="4"/>
  <c r="AD22" i="4"/>
  <c r="AE21" i="4"/>
  <c r="AD21" i="4"/>
  <c r="AE20" i="4"/>
  <c r="AD20" i="4"/>
  <c r="AE19" i="4"/>
  <c r="AD19" i="4"/>
  <c r="AE18" i="4"/>
  <c r="AD18" i="4"/>
  <c r="AE17" i="4"/>
  <c r="AD17" i="4"/>
  <c r="AE16" i="4"/>
  <c r="AD16" i="4"/>
  <c r="AE15" i="4"/>
  <c r="AD15" i="4"/>
  <c r="AE14" i="4"/>
  <c r="AD14" i="4"/>
  <c r="AE13" i="4"/>
  <c r="AD13" i="4"/>
  <c r="AE12" i="4"/>
  <c r="AD12" i="4"/>
  <c r="AE11" i="4"/>
  <c r="AD11" i="4"/>
  <c r="AE10" i="4"/>
  <c r="AD10" i="4"/>
  <c r="AE9" i="4"/>
  <c r="AD9" i="4"/>
  <c r="AE8" i="4"/>
  <c r="AD8" i="4"/>
  <c r="AE7" i="4"/>
  <c r="AD7" i="4"/>
  <c r="AE6" i="4"/>
  <c r="AD6" i="4"/>
  <c r="AE5" i="4"/>
  <c r="AD5" i="4"/>
  <c r="AE4" i="4"/>
  <c r="AD4" i="4"/>
  <c r="AE3" i="4"/>
  <c r="AD3" i="4"/>
  <c r="AE2" i="4"/>
  <c r="AD2" i="4"/>
  <c r="N1001" i="4" l="1"/>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 r="M1001" i="4"/>
  <c r="M1000" i="4"/>
  <c r="M999" i="4"/>
  <c r="M998" i="4"/>
  <c r="M997" i="4"/>
  <c r="M996" i="4"/>
  <c r="M995" i="4"/>
  <c r="M994" i="4"/>
  <c r="M993" i="4"/>
  <c r="M992" i="4"/>
  <c r="M991" i="4"/>
  <c r="M990" i="4"/>
  <c r="M989" i="4"/>
  <c r="M988" i="4"/>
  <c r="M987" i="4"/>
  <c r="M986" i="4"/>
  <c r="M985" i="4"/>
  <c r="M984" i="4"/>
  <c r="M983" i="4"/>
  <c r="M982" i="4"/>
  <c r="M981" i="4"/>
  <c r="M980" i="4"/>
  <c r="M979" i="4"/>
  <c r="M978" i="4"/>
  <c r="M977" i="4"/>
  <c r="M976" i="4"/>
  <c r="M975" i="4"/>
  <c r="M974" i="4"/>
  <c r="M973" i="4"/>
  <c r="M972" i="4"/>
  <c r="M971" i="4"/>
  <c r="M970" i="4"/>
  <c r="M969" i="4"/>
  <c r="M968" i="4"/>
  <c r="M967" i="4"/>
  <c r="M966" i="4"/>
  <c r="M965" i="4"/>
  <c r="M964" i="4"/>
  <c r="M963" i="4"/>
  <c r="M962" i="4"/>
  <c r="M961" i="4"/>
  <c r="M960" i="4"/>
  <c r="M959" i="4"/>
  <c r="M958" i="4"/>
  <c r="M957" i="4"/>
  <c r="M956" i="4"/>
  <c r="M955" i="4"/>
  <c r="M954" i="4"/>
  <c r="M953" i="4"/>
  <c r="M952" i="4"/>
  <c r="M951" i="4"/>
  <c r="M950" i="4"/>
  <c r="M949" i="4"/>
  <c r="M948" i="4"/>
  <c r="M947" i="4"/>
  <c r="M946" i="4"/>
  <c r="M945" i="4"/>
  <c r="M944" i="4"/>
  <c r="M943" i="4"/>
  <c r="M942" i="4"/>
  <c r="M941" i="4"/>
  <c r="M940" i="4"/>
  <c r="M939" i="4"/>
  <c r="M938" i="4"/>
  <c r="M937" i="4"/>
  <c r="M936" i="4"/>
  <c r="M935" i="4"/>
  <c r="M934" i="4"/>
  <c r="M933" i="4"/>
  <c r="M932" i="4"/>
  <c r="M931" i="4"/>
  <c r="M930" i="4"/>
  <c r="M929" i="4"/>
  <c r="M928" i="4"/>
  <c r="M927" i="4"/>
  <c r="M926" i="4"/>
  <c r="M925" i="4"/>
  <c r="M924" i="4"/>
  <c r="M923" i="4"/>
  <c r="M922" i="4"/>
  <c r="M921" i="4"/>
  <c r="M920" i="4"/>
  <c r="M919" i="4"/>
  <c r="M918" i="4"/>
  <c r="M917" i="4"/>
  <c r="M916" i="4"/>
  <c r="M915" i="4"/>
  <c r="M914" i="4"/>
  <c r="M913" i="4"/>
  <c r="M912" i="4"/>
  <c r="M911" i="4"/>
  <c r="M910" i="4"/>
  <c r="M909" i="4"/>
  <c r="M908" i="4"/>
  <c r="M907" i="4"/>
  <c r="M906" i="4"/>
  <c r="M905" i="4"/>
  <c r="M904" i="4"/>
  <c r="M903" i="4"/>
  <c r="M902" i="4"/>
  <c r="M901" i="4"/>
  <c r="M900" i="4"/>
  <c r="M899" i="4"/>
  <c r="M898" i="4"/>
  <c r="M897" i="4"/>
  <c r="M896" i="4"/>
  <c r="M895" i="4"/>
  <c r="M894" i="4"/>
  <c r="M893" i="4"/>
  <c r="M892" i="4"/>
  <c r="M891" i="4"/>
  <c r="M890" i="4"/>
  <c r="M889" i="4"/>
  <c r="M888" i="4"/>
  <c r="M887" i="4"/>
  <c r="M886" i="4"/>
  <c r="M885" i="4"/>
  <c r="M884" i="4"/>
  <c r="M883" i="4"/>
  <c r="M882" i="4"/>
  <c r="M881" i="4"/>
  <c r="M880" i="4"/>
  <c r="M879" i="4"/>
  <c r="M878" i="4"/>
  <c r="M877" i="4"/>
  <c r="M876" i="4"/>
  <c r="M875" i="4"/>
  <c r="M874" i="4"/>
  <c r="M873" i="4"/>
  <c r="M872" i="4"/>
  <c r="M871" i="4"/>
  <c r="M870" i="4"/>
  <c r="M869" i="4"/>
  <c r="M868" i="4"/>
  <c r="M867" i="4"/>
  <c r="M866" i="4"/>
  <c r="M865" i="4"/>
  <c r="M864" i="4"/>
  <c r="M863" i="4"/>
  <c r="M862" i="4"/>
  <c r="M861" i="4"/>
  <c r="M860" i="4"/>
  <c r="M859" i="4"/>
  <c r="M858" i="4"/>
  <c r="M857" i="4"/>
  <c r="M856" i="4"/>
  <c r="M855" i="4"/>
  <c r="M854" i="4"/>
  <c r="M853" i="4"/>
  <c r="M852" i="4"/>
  <c r="M851" i="4"/>
  <c r="M850" i="4"/>
  <c r="M849" i="4"/>
  <c r="M848" i="4"/>
  <c r="M847" i="4"/>
  <c r="M846" i="4"/>
  <c r="M845" i="4"/>
  <c r="M844" i="4"/>
  <c r="M843" i="4"/>
  <c r="M842" i="4"/>
  <c r="M841" i="4"/>
  <c r="M840" i="4"/>
  <c r="M839" i="4"/>
  <c r="M838" i="4"/>
  <c r="M837" i="4"/>
  <c r="M836" i="4"/>
  <c r="M835" i="4"/>
  <c r="M834" i="4"/>
  <c r="M833" i="4"/>
  <c r="M832" i="4"/>
  <c r="M831" i="4"/>
  <c r="M830" i="4"/>
  <c r="M829" i="4"/>
  <c r="M828" i="4"/>
  <c r="M827" i="4"/>
  <c r="M826" i="4"/>
  <c r="M825" i="4"/>
  <c r="M824" i="4"/>
  <c r="M823" i="4"/>
  <c r="M822" i="4"/>
  <c r="M821" i="4"/>
  <c r="M820" i="4"/>
  <c r="M819" i="4"/>
  <c r="M818" i="4"/>
  <c r="M817" i="4"/>
  <c r="M816" i="4"/>
  <c r="M815" i="4"/>
  <c r="M814" i="4"/>
  <c r="M813" i="4"/>
  <c r="M812" i="4"/>
  <c r="M811" i="4"/>
  <c r="M810" i="4"/>
  <c r="M809" i="4"/>
  <c r="M808" i="4"/>
  <c r="M807" i="4"/>
  <c r="M806" i="4"/>
  <c r="M805" i="4"/>
  <c r="M804" i="4"/>
  <c r="M803" i="4"/>
  <c r="M802" i="4"/>
  <c r="M801" i="4"/>
  <c r="M800" i="4"/>
  <c r="M799" i="4"/>
  <c r="M798" i="4"/>
  <c r="M797" i="4"/>
  <c r="M796" i="4"/>
  <c r="M795" i="4"/>
  <c r="M794" i="4"/>
  <c r="M793" i="4"/>
  <c r="M792" i="4"/>
  <c r="M791" i="4"/>
  <c r="M790" i="4"/>
  <c r="M789" i="4"/>
  <c r="M788" i="4"/>
  <c r="M787" i="4"/>
  <c r="M786" i="4"/>
  <c r="M785" i="4"/>
  <c r="M784" i="4"/>
  <c r="M783" i="4"/>
  <c r="M782" i="4"/>
  <c r="M781" i="4"/>
  <c r="M780" i="4"/>
  <c r="M779" i="4"/>
  <c r="M778" i="4"/>
  <c r="M777" i="4"/>
  <c r="M776" i="4"/>
  <c r="M775" i="4"/>
  <c r="M774" i="4"/>
  <c r="M773" i="4"/>
  <c r="M772" i="4"/>
  <c r="M771" i="4"/>
  <c r="M770" i="4"/>
  <c r="M769" i="4"/>
  <c r="M768" i="4"/>
  <c r="M767" i="4"/>
  <c r="M766" i="4"/>
  <c r="M765" i="4"/>
  <c r="M764" i="4"/>
  <c r="M763" i="4"/>
  <c r="M762" i="4"/>
  <c r="M761" i="4"/>
  <c r="M760" i="4"/>
  <c r="M759" i="4"/>
  <c r="M758" i="4"/>
  <c r="M757" i="4"/>
  <c r="M756" i="4"/>
  <c r="M755" i="4"/>
  <c r="M754" i="4"/>
  <c r="M753" i="4"/>
  <c r="M752" i="4"/>
  <c r="M751" i="4"/>
  <c r="M750" i="4"/>
  <c r="M749" i="4"/>
  <c r="M748" i="4"/>
  <c r="M747" i="4"/>
  <c r="M746" i="4"/>
  <c r="M745" i="4"/>
  <c r="M744" i="4"/>
  <c r="M743" i="4"/>
  <c r="M742" i="4"/>
  <c r="M741" i="4"/>
  <c r="M740" i="4"/>
  <c r="M739" i="4"/>
  <c r="M738" i="4"/>
  <c r="M737" i="4"/>
  <c r="M736" i="4"/>
  <c r="M735" i="4"/>
  <c r="M734" i="4"/>
  <c r="M733" i="4"/>
  <c r="M732" i="4"/>
  <c r="M731" i="4"/>
  <c r="M730" i="4"/>
  <c r="M729" i="4"/>
  <c r="M728" i="4"/>
  <c r="M727" i="4"/>
  <c r="M726" i="4"/>
  <c r="M725" i="4"/>
  <c r="M724" i="4"/>
  <c r="M723" i="4"/>
  <c r="M722" i="4"/>
  <c r="M721" i="4"/>
  <c r="M720" i="4"/>
  <c r="M719" i="4"/>
  <c r="M718" i="4"/>
  <c r="M717" i="4"/>
  <c r="M716" i="4"/>
  <c r="M715" i="4"/>
  <c r="M714" i="4"/>
  <c r="M713" i="4"/>
  <c r="M712" i="4"/>
  <c r="M711" i="4"/>
  <c r="M710" i="4"/>
  <c r="M709" i="4"/>
  <c r="M708" i="4"/>
  <c r="M707" i="4"/>
  <c r="M706" i="4"/>
  <c r="M705" i="4"/>
  <c r="M704" i="4"/>
  <c r="M703" i="4"/>
  <c r="M702" i="4"/>
  <c r="M701" i="4"/>
  <c r="M700" i="4"/>
  <c r="M699" i="4"/>
  <c r="M698" i="4"/>
  <c r="M697" i="4"/>
  <c r="M696" i="4"/>
  <c r="M695" i="4"/>
  <c r="M694" i="4"/>
  <c r="M693" i="4"/>
  <c r="M692" i="4"/>
  <c r="M691" i="4"/>
  <c r="M690" i="4"/>
  <c r="M689" i="4"/>
  <c r="M688" i="4"/>
  <c r="M687" i="4"/>
  <c r="M686" i="4"/>
  <c r="M685" i="4"/>
  <c r="M684" i="4"/>
  <c r="M683" i="4"/>
  <c r="M682" i="4"/>
  <c r="M681" i="4"/>
  <c r="M680" i="4"/>
  <c r="M679" i="4"/>
  <c r="M678" i="4"/>
  <c r="M677" i="4"/>
  <c r="M676" i="4"/>
  <c r="M675" i="4"/>
  <c r="M674" i="4"/>
  <c r="M673" i="4"/>
  <c r="M672" i="4"/>
  <c r="M671" i="4"/>
  <c r="M670" i="4"/>
  <c r="M669" i="4"/>
  <c r="M668" i="4"/>
  <c r="M667" i="4"/>
  <c r="M666" i="4"/>
  <c r="M665" i="4"/>
  <c r="M664" i="4"/>
  <c r="M663" i="4"/>
  <c r="M662" i="4"/>
  <c r="M661" i="4"/>
  <c r="M660" i="4"/>
  <c r="M659" i="4"/>
  <c r="M658" i="4"/>
  <c r="M657" i="4"/>
  <c r="M656" i="4"/>
  <c r="M655" i="4"/>
  <c r="M654" i="4"/>
  <c r="M653" i="4"/>
  <c r="M652" i="4"/>
  <c r="M651" i="4"/>
  <c r="M650" i="4"/>
  <c r="M649" i="4"/>
  <c r="M648" i="4"/>
  <c r="M647" i="4"/>
  <c r="M646" i="4"/>
  <c r="M645" i="4"/>
  <c r="M644" i="4"/>
  <c r="M643" i="4"/>
  <c r="M642" i="4"/>
  <c r="M641" i="4"/>
  <c r="M640" i="4"/>
  <c r="M639" i="4"/>
  <c r="M638" i="4"/>
  <c r="M637" i="4"/>
  <c r="M636" i="4"/>
  <c r="M635" i="4"/>
  <c r="M634" i="4"/>
  <c r="M633" i="4"/>
  <c r="M632" i="4"/>
  <c r="M631" i="4"/>
  <c r="M630" i="4"/>
  <c r="M629" i="4"/>
  <c r="M628" i="4"/>
  <c r="M627" i="4"/>
  <c r="M626" i="4"/>
  <c r="M625" i="4"/>
  <c r="M624" i="4"/>
  <c r="M623" i="4"/>
  <c r="M622" i="4"/>
  <c r="M621" i="4"/>
  <c r="M620" i="4"/>
  <c r="M619" i="4"/>
  <c r="M618" i="4"/>
  <c r="M617" i="4"/>
  <c r="M616" i="4"/>
  <c r="M615" i="4"/>
  <c r="M614" i="4"/>
  <c r="M613" i="4"/>
  <c r="M612" i="4"/>
  <c r="M611" i="4"/>
  <c r="M610" i="4"/>
  <c r="M609" i="4"/>
  <c r="M608" i="4"/>
  <c r="M607" i="4"/>
  <c r="M606" i="4"/>
  <c r="M605" i="4"/>
  <c r="M604" i="4"/>
  <c r="M603" i="4"/>
  <c r="M602" i="4"/>
  <c r="M601" i="4"/>
  <c r="M600" i="4"/>
  <c r="M599" i="4"/>
  <c r="M598" i="4"/>
  <c r="M597" i="4"/>
  <c r="M596" i="4"/>
  <c r="M595" i="4"/>
  <c r="M594" i="4"/>
  <c r="M593" i="4"/>
  <c r="M592" i="4"/>
  <c r="M591" i="4"/>
  <c r="M590" i="4"/>
  <c r="M589" i="4"/>
  <c r="M588" i="4"/>
  <c r="M587" i="4"/>
  <c r="M586" i="4"/>
  <c r="M585" i="4"/>
  <c r="M584" i="4"/>
  <c r="M583" i="4"/>
  <c r="M582" i="4"/>
  <c r="M581" i="4"/>
  <c r="M580" i="4"/>
  <c r="M579" i="4"/>
  <c r="M578" i="4"/>
  <c r="M577" i="4"/>
  <c r="M576" i="4"/>
  <c r="M575" i="4"/>
  <c r="M574" i="4"/>
  <c r="M573" i="4"/>
  <c r="M572" i="4"/>
  <c r="M571" i="4"/>
  <c r="M570" i="4"/>
  <c r="M569" i="4"/>
  <c r="M568" i="4"/>
  <c r="M567" i="4"/>
  <c r="M566" i="4"/>
  <c r="M565" i="4"/>
  <c r="M564" i="4"/>
  <c r="M563" i="4"/>
  <c r="M562" i="4"/>
  <c r="M561" i="4"/>
  <c r="M560" i="4"/>
  <c r="M559" i="4"/>
  <c r="M558" i="4"/>
  <c r="M557" i="4"/>
  <c r="M556" i="4"/>
  <c r="M555" i="4"/>
  <c r="M554" i="4"/>
  <c r="M553" i="4"/>
  <c r="M552" i="4"/>
  <c r="M551" i="4"/>
  <c r="M550" i="4"/>
  <c r="M549" i="4"/>
  <c r="M548" i="4"/>
  <c r="M547" i="4"/>
  <c r="M546" i="4"/>
  <c r="M545" i="4"/>
  <c r="M544" i="4"/>
  <c r="M543" i="4"/>
  <c r="M542" i="4"/>
  <c r="M541" i="4"/>
  <c r="M540" i="4"/>
  <c r="M539" i="4"/>
  <c r="M538" i="4"/>
  <c r="M537" i="4"/>
  <c r="M536" i="4"/>
  <c r="M535" i="4"/>
  <c r="M534" i="4"/>
  <c r="M533" i="4"/>
  <c r="M532" i="4"/>
  <c r="M531" i="4"/>
  <c r="M530" i="4"/>
  <c r="M529" i="4"/>
  <c r="M528" i="4"/>
  <c r="M527" i="4"/>
  <c r="M526" i="4"/>
  <c r="M525" i="4"/>
  <c r="M524" i="4"/>
  <c r="M523" i="4"/>
  <c r="M522" i="4"/>
  <c r="M521" i="4"/>
  <c r="M520" i="4"/>
  <c r="M519" i="4"/>
  <c r="M518" i="4"/>
  <c r="M517" i="4"/>
  <c r="M516" i="4"/>
  <c r="M515" i="4"/>
  <c r="M514" i="4"/>
  <c r="M513" i="4"/>
  <c r="M512" i="4"/>
  <c r="M511" i="4"/>
  <c r="M510" i="4"/>
  <c r="M509" i="4"/>
  <c r="M508" i="4"/>
  <c r="M507" i="4"/>
  <c r="M506" i="4"/>
  <c r="M505" i="4"/>
  <c r="M504" i="4"/>
  <c r="M503" i="4"/>
  <c r="M502" i="4"/>
  <c r="M501" i="4"/>
  <c r="M500" i="4"/>
  <c r="M499" i="4"/>
  <c r="M498" i="4"/>
  <c r="M497" i="4"/>
  <c r="M496" i="4"/>
  <c r="M495" i="4"/>
  <c r="M494" i="4"/>
  <c r="M493" i="4"/>
  <c r="M492" i="4"/>
  <c r="M491" i="4"/>
  <c r="M490" i="4"/>
  <c r="M489" i="4"/>
  <c r="M488" i="4"/>
  <c r="M487" i="4"/>
  <c r="M486" i="4"/>
  <c r="M485" i="4"/>
  <c r="M484" i="4"/>
  <c r="M483" i="4"/>
  <c r="M482" i="4"/>
  <c r="M481" i="4"/>
  <c r="M480" i="4"/>
  <c r="M479" i="4"/>
  <c r="M478" i="4"/>
  <c r="M477" i="4"/>
  <c r="M476" i="4"/>
  <c r="M475" i="4"/>
  <c r="M474" i="4"/>
  <c r="M473" i="4"/>
  <c r="M472" i="4"/>
  <c r="M471" i="4"/>
  <c r="M470" i="4"/>
  <c r="M469" i="4"/>
  <c r="M468" i="4"/>
  <c r="M467" i="4"/>
  <c r="M466" i="4"/>
  <c r="M465" i="4"/>
  <c r="M464" i="4"/>
  <c r="M463" i="4"/>
  <c r="M462" i="4"/>
  <c r="M461" i="4"/>
  <c r="M460" i="4"/>
  <c r="M459" i="4"/>
  <c r="M458" i="4"/>
  <c r="M457" i="4"/>
  <c r="M456" i="4"/>
  <c r="M455" i="4"/>
  <c r="M454" i="4"/>
  <c r="M453" i="4"/>
  <c r="M452" i="4"/>
  <c r="M451" i="4"/>
  <c r="M450" i="4"/>
  <c r="M449" i="4"/>
  <c r="M448" i="4"/>
  <c r="M447" i="4"/>
  <c r="M446" i="4"/>
  <c r="M445" i="4"/>
  <c r="M444" i="4"/>
  <c r="M443" i="4"/>
  <c r="M442" i="4"/>
  <c r="M441" i="4"/>
  <c r="M440" i="4"/>
  <c r="M439" i="4"/>
  <c r="M438" i="4"/>
  <c r="M437" i="4"/>
  <c r="M436" i="4"/>
  <c r="M435" i="4"/>
  <c r="M434" i="4"/>
  <c r="M433" i="4"/>
  <c r="M432" i="4"/>
  <c r="M431" i="4"/>
  <c r="M430" i="4"/>
  <c r="M429" i="4"/>
  <c r="M428" i="4"/>
  <c r="M427" i="4"/>
  <c r="M426" i="4"/>
  <c r="M425" i="4"/>
  <c r="M424" i="4"/>
  <c r="M423" i="4"/>
  <c r="M422" i="4"/>
  <c r="M421" i="4"/>
  <c r="M420" i="4"/>
  <c r="M419" i="4"/>
  <c r="M418" i="4"/>
  <c r="M417" i="4"/>
  <c r="M416" i="4"/>
  <c r="M415" i="4"/>
  <c r="M414" i="4"/>
  <c r="M413" i="4"/>
  <c r="M412" i="4"/>
  <c r="M411" i="4"/>
  <c r="M410" i="4"/>
  <c r="M409" i="4"/>
  <c r="M408" i="4"/>
  <c r="M407" i="4"/>
  <c r="M406" i="4"/>
  <c r="M405" i="4"/>
  <c r="M404" i="4"/>
  <c r="M403" i="4"/>
  <c r="M402" i="4"/>
  <c r="M401" i="4"/>
  <c r="M400" i="4"/>
  <c r="M399" i="4"/>
  <c r="M398" i="4"/>
  <c r="M397" i="4"/>
  <c r="M396" i="4"/>
  <c r="M395" i="4"/>
  <c r="M394" i="4"/>
  <c r="M393" i="4"/>
  <c r="M392" i="4"/>
  <c r="M391" i="4"/>
  <c r="M390" i="4"/>
  <c r="M389" i="4"/>
  <c r="M388" i="4"/>
  <c r="M387" i="4"/>
  <c r="M386" i="4"/>
  <c r="M385" i="4"/>
  <c r="M384" i="4"/>
  <c r="M383" i="4"/>
  <c r="M382" i="4"/>
  <c r="M381" i="4"/>
  <c r="M380" i="4"/>
  <c r="M379" i="4"/>
  <c r="M378" i="4"/>
  <c r="M377" i="4"/>
  <c r="M376" i="4"/>
  <c r="M375" i="4"/>
  <c r="M374" i="4"/>
  <c r="M373" i="4"/>
  <c r="M372" i="4"/>
  <c r="M371" i="4"/>
  <c r="M370" i="4"/>
  <c r="M369" i="4"/>
  <c r="M368" i="4"/>
  <c r="M367" i="4"/>
  <c r="M366" i="4"/>
  <c r="M365" i="4"/>
  <c r="M364" i="4"/>
  <c r="M363" i="4"/>
  <c r="M362" i="4"/>
  <c r="M361" i="4"/>
  <c r="M360" i="4"/>
  <c r="M359" i="4"/>
  <c r="M358" i="4"/>
  <c r="M357" i="4"/>
  <c r="M356" i="4"/>
  <c r="M355" i="4"/>
  <c r="M354" i="4"/>
  <c r="M353" i="4"/>
  <c r="M352" i="4"/>
  <c r="M351" i="4"/>
  <c r="M350" i="4"/>
  <c r="M349" i="4"/>
  <c r="M348" i="4"/>
  <c r="M347" i="4"/>
  <c r="M346" i="4"/>
  <c r="M345" i="4"/>
  <c r="M344" i="4"/>
  <c r="M343" i="4"/>
  <c r="M342" i="4"/>
  <c r="M341" i="4"/>
  <c r="M340" i="4"/>
  <c r="M339" i="4"/>
  <c r="M338" i="4"/>
  <c r="M337" i="4"/>
  <c r="M336" i="4"/>
  <c r="M335" i="4"/>
  <c r="M334" i="4"/>
  <c r="M333" i="4"/>
  <c r="M332" i="4"/>
  <c r="M331" i="4"/>
  <c r="M330" i="4"/>
  <c r="M329" i="4"/>
  <c r="M328" i="4"/>
  <c r="M327" i="4"/>
  <c r="M326" i="4"/>
  <c r="M325" i="4"/>
  <c r="M324" i="4"/>
  <c r="M323" i="4"/>
  <c r="M322" i="4"/>
  <c r="M321" i="4"/>
  <c r="M320" i="4"/>
  <c r="M319" i="4"/>
  <c r="M318" i="4"/>
  <c r="M317" i="4"/>
  <c r="M316" i="4"/>
  <c r="M315" i="4"/>
  <c r="M314" i="4"/>
  <c r="M313" i="4"/>
  <c r="M312" i="4"/>
  <c r="M311" i="4"/>
  <c r="M310" i="4"/>
  <c r="M309" i="4"/>
  <c r="M308" i="4"/>
  <c r="M307" i="4"/>
  <c r="M306" i="4"/>
  <c r="M305" i="4"/>
  <c r="M304" i="4"/>
  <c r="M303" i="4"/>
  <c r="M302" i="4"/>
  <c r="M301" i="4"/>
  <c r="M300" i="4"/>
  <c r="M299" i="4"/>
  <c r="M298" i="4"/>
  <c r="M297" i="4"/>
  <c r="M296" i="4"/>
  <c r="M295" i="4"/>
  <c r="M294" i="4"/>
  <c r="M293" i="4"/>
  <c r="M292" i="4"/>
  <c r="M291" i="4"/>
  <c r="M290" i="4"/>
  <c r="M289" i="4"/>
  <c r="M288" i="4"/>
  <c r="M287" i="4"/>
  <c r="M286" i="4"/>
  <c r="M285" i="4"/>
  <c r="M284" i="4"/>
  <c r="M283" i="4"/>
  <c r="M282" i="4"/>
  <c r="M281" i="4"/>
  <c r="M280" i="4"/>
  <c r="M279" i="4"/>
  <c r="M278" i="4"/>
  <c r="M277" i="4"/>
  <c r="M276" i="4"/>
  <c r="M275" i="4"/>
  <c r="M274" i="4"/>
  <c r="M273"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2" i="4"/>
  <c r="M3" i="4"/>
  <c r="G1001" i="4"/>
  <c r="G1000" i="4"/>
  <c r="G999" i="4"/>
  <c r="G998" i="4"/>
  <c r="G997" i="4"/>
  <c r="G996" i="4"/>
  <c r="G995" i="4"/>
  <c r="G994" i="4"/>
  <c r="G993" i="4"/>
  <c r="G992" i="4"/>
  <c r="G991" i="4"/>
  <c r="G990" i="4"/>
  <c r="G989" i="4"/>
  <c r="G988" i="4"/>
  <c r="G987" i="4"/>
  <c r="G986" i="4"/>
  <c r="G985" i="4"/>
  <c r="G984" i="4"/>
  <c r="G983" i="4"/>
  <c r="G982" i="4"/>
  <c r="G981" i="4"/>
  <c r="G980" i="4"/>
  <c r="G979" i="4"/>
  <c r="G978" i="4"/>
  <c r="G977" i="4"/>
  <c r="G976" i="4"/>
  <c r="G975" i="4"/>
  <c r="G974" i="4"/>
  <c r="G973" i="4"/>
  <c r="G972" i="4"/>
  <c r="G971" i="4"/>
  <c r="G970" i="4"/>
  <c r="G969" i="4"/>
  <c r="G968" i="4"/>
  <c r="G967" i="4"/>
  <c r="G966" i="4"/>
  <c r="G965" i="4"/>
  <c r="G964" i="4"/>
  <c r="G963" i="4"/>
  <c r="G962" i="4"/>
  <c r="G961" i="4"/>
  <c r="G960" i="4"/>
  <c r="G959" i="4"/>
  <c r="G958" i="4"/>
  <c r="G957" i="4"/>
  <c r="G956" i="4"/>
  <c r="G955" i="4"/>
  <c r="G954" i="4"/>
  <c r="G953" i="4"/>
  <c r="G952" i="4"/>
  <c r="G951" i="4"/>
  <c r="G950" i="4"/>
  <c r="G949" i="4"/>
  <c r="G948" i="4"/>
  <c r="G947" i="4"/>
  <c r="G946" i="4"/>
  <c r="G945" i="4"/>
  <c r="G944" i="4"/>
  <c r="G943" i="4"/>
  <c r="G942" i="4"/>
  <c r="G941" i="4"/>
  <c r="G940" i="4"/>
  <c r="G939" i="4"/>
  <c r="G938" i="4"/>
  <c r="G937" i="4"/>
  <c r="G936" i="4"/>
  <c r="G935" i="4"/>
  <c r="G934" i="4"/>
  <c r="G933" i="4"/>
  <c r="G932" i="4"/>
  <c r="G931" i="4"/>
  <c r="G930" i="4"/>
  <c r="G929" i="4"/>
  <c r="G928" i="4"/>
  <c r="G927" i="4"/>
  <c r="G926" i="4"/>
  <c r="G925" i="4"/>
  <c r="G924" i="4"/>
  <c r="G923" i="4"/>
  <c r="G922" i="4"/>
  <c r="G921" i="4"/>
  <c r="G920" i="4"/>
  <c r="G919" i="4"/>
  <c r="G918" i="4"/>
  <c r="G917" i="4"/>
  <c r="G916" i="4"/>
  <c r="G915" i="4"/>
  <c r="G914" i="4"/>
  <c r="G913" i="4"/>
  <c r="G912" i="4"/>
  <c r="G911" i="4"/>
  <c r="G910" i="4"/>
  <c r="G909" i="4"/>
  <c r="G908" i="4"/>
  <c r="G907" i="4"/>
  <c r="G906" i="4"/>
  <c r="G905" i="4"/>
  <c r="G904" i="4"/>
  <c r="G903" i="4"/>
  <c r="G902" i="4"/>
  <c r="G901" i="4"/>
  <c r="G900" i="4"/>
  <c r="G899" i="4"/>
  <c r="G898" i="4"/>
  <c r="G897" i="4"/>
  <c r="G896" i="4"/>
  <c r="G895" i="4"/>
  <c r="G894" i="4"/>
  <c r="G893" i="4"/>
  <c r="G892" i="4"/>
  <c r="G891" i="4"/>
  <c r="G890" i="4"/>
  <c r="G889" i="4"/>
  <c r="G888" i="4"/>
  <c r="G887" i="4"/>
  <c r="G886" i="4"/>
  <c r="G885" i="4"/>
  <c r="G884" i="4"/>
  <c r="G883" i="4"/>
  <c r="G882" i="4"/>
  <c r="G881" i="4"/>
  <c r="G880" i="4"/>
  <c r="G879" i="4"/>
  <c r="G878" i="4"/>
  <c r="G877" i="4"/>
  <c r="G876" i="4"/>
  <c r="G875" i="4"/>
  <c r="G874" i="4"/>
  <c r="G873" i="4"/>
  <c r="G872" i="4"/>
  <c r="G871" i="4"/>
  <c r="G870" i="4"/>
  <c r="G869" i="4"/>
  <c r="G868" i="4"/>
  <c r="G867" i="4"/>
  <c r="G866" i="4"/>
  <c r="G865" i="4"/>
  <c r="G864" i="4"/>
  <c r="G863" i="4"/>
  <c r="G862" i="4"/>
  <c r="G861" i="4"/>
  <c r="G860" i="4"/>
  <c r="G859" i="4"/>
  <c r="G858" i="4"/>
  <c r="G857" i="4"/>
  <c r="G856" i="4"/>
  <c r="G855" i="4"/>
  <c r="G854" i="4"/>
  <c r="G853" i="4"/>
  <c r="G852" i="4"/>
  <c r="G851" i="4"/>
  <c r="G850" i="4"/>
  <c r="G849" i="4"/>
  <c r="G848" i="4"/>
  <c r="G847" i="4"/>
  <c r="G846" i="4"/>
  <c r="G845" i="4"/>
  <c r="G844" i="4"/>
  <c r="G843" i="4"/>
  <c r="G842" i="4"/>
  <c r="G841" i="4"/>
  <c r="G840" i="4"/>
  <c r="G839" i="4"/>
  <c r="G838" i="4"/>
  <c r="G837" i="4"/>
  <c r="G836" i="4"/>
  <c r="G835" i="4"/>
  <c r="G834" i="4"/>
  <c r="G833" i="4"/>
  <c r="G832" i="4"/>
  <c r="G831" i="4"/>
  <c r="G830" i="4"/>
  <c r="G829" i="4"/>
  <c r="G828" i="4"/>
  <c r="G827" i="4"/>
  <c r="G826" i="4"/>
  <c r="G825" i="4"/>
  <c r="G824" i="4"/>
  <c r="G823" i="4"/>
  <c r="G822" i="4"/>
  <c r="G821" i="4"/>
  <c r="G820" i="4"/>
  <c r="G819" i="4"/>
  <c r="G818" i="4"/>
  <c r="G817" i="4"/>
  <c r="G816" i="4"/>
  <c r="G815" i="4"/>
  <c r="G814" i="4"/>
  <c r="G813" i="4"/>
  <c r="G812" i="4"/>
  <c r="G811" i="4"/>
  <c r="G810" i="4"/>
  <c r="G809" i="4"/>
  <c r="G808" i="4"/>
  <c r="G807" i="4"/>
  <c r="G806" i="4"/>
  <c r="G805" i="4"/>
  <c r="G804" i="4"/>
  <c r="G803" i="4"/>
  <c r="G802" i="4"/>
  <c r="G801" i="4"/>
  <c r="G800" i="4"/>
  <c r="G799" i="4"/>
  <c r="G798" i="4"/>
  <c r="G797" i="4"/>
  <c r="G796" i="4"/>
  <c r="G795" i="4"/>
  <c r="G794" i="4"/>
  <c r="G793" i="4"/>
  <c r="G792" i="4"/>
  <c r="G791" i="4"/>
  <c r="G790" i="4"/>
  <c r="G789" i="4"/>
  <c r="G788" i="4"/>
  <c r="G787" i="4"/>
  <c r="G786" i="4"/>
  <c r="G785" i="4"/>
  <c r="G784" i="4"/>
  <c r="G783" i="4"/>
  <c r="G782" i="4"/>
  <c r="G781" i="4"/>
  <c r="G780" i="4"/>
  <c r="G779" i="4"/>
  <c r="G778" i="4"/>
  <c r="G777" i="4"/>
  <c r="G776" i="4"/>
  <c r="G775" i="4"/>
  <c r="G774" i="4"/>
  <c r="G773" i="4"/>
  <c r="G772" i="4"/>
  <c r="G771" i="4"/>
  <c r="G770" i="4"/>
  <c r="G769" i="4"/>
  <c r="G768" i="4"/>
  <c r="G767" i="4"/>
  <c r="G766" i="4"/>
  <c r="G765" i="4"/>
  <c r="G764" i="4"/>
  <c r="G763" i="4"/>
  <c r="G762" i="4"/>
  <c r="G761" i="4"/>
  <c r="G760" i="4"/>
  <c r="G759" i="4"/>
  <c r="G758" i="4"/>
  <c r="G757" i="4"/>
  <c r="G756" i="4"/>
  <c r="G755" i="4"/>
  <c r="G754" i="4"/>
  <c r="G753" i="4"/>
  <c r="G752" i="4"/>
  <c r="G751" i="4"/>
  <c r="G750" i="4"/>
  <c r="G749" i="4"/>
  <c r="G748" i="4"/>
  <c r="G747" i="4"/>
  <c r="G746" i="4"/>
  <c r="G745" i="4"/>
  <c r="G744" i="4"/>
  <c r="G743" i="4"/>
  <c r="G742" i="4"/>
  <c r="G741" i="4"/>
  <c r="G740" i="4"/>
  <c r="G739" i="4"/>
  <c r="G738" i="4"/>
  <c r="G737" i="4"/>
  <c r="G736" i="4"/>
  <c r="G735" i="4"/>
  <c r="G734" i="4"/>
  <c r="G733" i="4"/>
  <c r="G732" i="4"/>
  <c r="G731" i="4"/>
  <c r="G730" i="4"/>
  <c r="G729" i="4"/>
  <c r="G728" i="4"/>
  <c r="G727" i="4"/>
  <c r="G726" i="4"/>
  <c r="G725" i="4"/>
  <c r="G724" i="4"/>
  <c r="G723" i="4"/>
  <c r="G722" i="4"/>
  <c r="G721" i="4"/>
  <c r="G720" i="4"/>
  <c r="G719" i="4"/>
  <c r="G718" i="4"/>
  <c r="G717" i="4"/>
  <c r="G716" i="4"/>
  <c r="G715" i="4"/>
  <c r="G714" i="4"/>
  <c r="G713" i="4"/>
  <c r="G712" i="4"/>
  <c r="G711" i="4"/>
  <c r="G710" i="4"/>
  <c r="G709" i="4"/>
  <c r="G708" i="4"/>
  <c r="G707" i="4"/>
  <c r="G706" i="4"/>
  <c r="G705" i="4"/>
  <c r="G704" i="4"/>
  <c r="G703" i="4"/>
  <c r="G702" i="4"/>
  <c r="G701" i="4"/>
  <c r="G700" i="4"/>
  <c r="G699" i="4"/>
  <c r="G698" i="4"/>
  <c r="G697" i="4"/>
  <c r="G696" i="4"/>
  <c r="G695" i="4"/>
  <c r="G694" i="4"/>
  <c r="G693" i="4"/>
  <c r="G692" i="4"/>
  <c r="G691" i="4"/>
  <c r="G690" i="4"/>
  <c r="G689" i="4"/>
  <c r="G688" i="4"/>
  <c r="G687" i="4"/>
  <c r="G686" i="4"/>
  <c r="G685" i="4"/>
  <c r="G684" i="4"/>
  <c r="G683" i="4"/>
  <c r="G682" i="4"/>
  <c r="G681" i="4"/>
  <c r="G680" i="4"/>
  <c r="G679" i="4"/>
  <c r="G678" i="4"/>
  <c r="G677" i="4"/>
  <c r="G676" i="4"/>
  <c r="G675" i="4"/>
  <c r="G674" i="4"/>
  <c r="G673" i="4"/>
  <c r="G672" i="4"/>
  <c r="G671" i="4"/>
  <c r="G670" i="4"/>
  <c r="G669" i="4"/>
  <c r="G668" i="4"/>
  <c r="G667" i="4"/>
  <c r="G666" i="4"/>
  <c r="G665" i="4"/>
  <c r="G664" i="4"/>
  <c r="G663" i="4"/>
  <c r="G662" i="4"/>
  <c r="G661" i="4"/>
  <c r="G660" i="4"/>
  <c r="G659" i="4"/>
  <c r="G658" i="4"/>
  <c r="G657" i="4"/>
  <c r="G656" i="4"/>
  <c r="G655" i="4"/>
  <c r="G654" i="4"/>
  <c r="G653" i="4"/>
  <c r="G652" i="4"/>
  <c r="G651" i="4"/>
  <c r="G650" i="4"/>
  <c r="G649" i="4"/>
  <c r="G648" i="4"/>
  <c r="G647" i="4"/>
  <c r="G646" i="4"/>
  <c r="G645" i="4"/>
  <c r="G644" i="4"/>
  <c r="G643" i="4"/>
  <c r="G642" i="4"/>
  <c r="G641" i="4"/>
  <c r="G640" i="4"/>
  <c r="G639" i="4"/>
  <c r="G638" i="4"/>
  <c r="G637" i="4"/>
  <c r="G636" i="4"/>
  <c r="G635" i="4"/>
  <c r="G634" i="4"/>
  <c r="G633" i="4"/>
  <c r="G632" i="4"/>
  <c r="G631" i="4"/>
  <c r="G630" i="4"/>
  <c r="G629" i="4"/>
  <c r="G628" i="4"/>
  <c r="G627" i="4"/>
  <c r="G626" i="4"/>
  <c r="G625" i="4"/>
  <c r="G624" i="4"/>
  <c r="G623" i="4"/>
  <c r="G622" i="4"/>
  <c r="G621" i="4"/>
  <c r="G620" i="4"/>
  <c r="G619" i="4"/>
  <c r="G618" i="4"/>
  <c r="G617" i="4"/>
  <c r="G616" i="4"/>
  <c r="G615" i="4"/>
  <c r="G614" i="4"/>
  <c r="G613" i="4"/>
  <c r="G612" i="4"/>
  <c r="G611" i="4"/>
  <c r="G610" i="4"/>
  <c r="G609" i="4"/>
  <c r="G608" i="4"/>
  <c r="G607" i="4"/>
  <c r="G606" i="4"/>
  <c r="G605" i="4"/>
  <c r="G604" i="4"/>
  <c r="G603" i="4"/>
  <c r="G602" i="4"/>
  <c r="G601" i="4"/>
  <c r="G600" i="4"/>
  <c r="G599" i="4"/>
  <c r="G598" i="4"/>
  <c r="G597" i="4"/>
  <c r="G596" i="4"/>
  <c r="G595" i="4"/>
  <c r="G594" i="4"/>
  <c r="G593" i="4"/>
  <c r="G592" i="4"/>
  <c r="G591" i="4"/>
  <c r="G590" i="4"/>
  <c r="G589" i="4"/>
  <c r="G588" i="4"/>
  <c r="G587" i="4"/>
  <c r="G586" i="4"/>
  <c r="G585" i="4"/>
  <c r="G584" i="4"/>
  <c r="G583" i="4"/>
  <c r="G582" i="4"/>
  <c r="G581" i="4"/>
  <c r="G580" i="4"/>
  <c r="G579" i="4"/>
  <c r="G578" i="4"/>
  <c r="G577" i="4"/>
  <c r="G576" i="4"/>
  <c r="G575" i="4"/>
  <c r="G574" i="4"/>
  <c r="G573" i="4"/>
  <c r="G572" i="4"/>
  <c r="G571" i="4"/>
  <c r="G570" i="4"/>
  <c r="G569" i="4"/>
  <c r="G568" i="4"/>
  <c r="G567" i="4"/>
  <c r="G566" i="4"/>
  <c r="G565" i="4"/>
  <c r="G564" i="4"/>
  <c r="G563" i="4"/>
  <c r="G562" i="4"/>
  <c r="G561" i="4"/>
  <c r="G560" i="4"/>
  <c r="G559" i="4"/>
  <c r="G558" i="4"/>
  <c r="G557" i="4"/>
  <c r="G556" i="4"/>
  <c r="G555" i="4"/>
  <c r="G554" i="4"/>
  <c r="G553" i="4"/>
  <c r="G552" i="4"/>
  <c r="G551" i="4"/>
  <c r="G550" i="4"/>
  <c r="G549" i="4"/>
  <c r="G548" i="4"/>
  <c r="G547" i="4"/>
  <c r="G546" i="4"/>
  <c r="G545" i="4"/>
  <c r="G544" i="4"/>
  <c r="G543" i="4"/>
  <c r="G542" i="4"/>
  <c r="G541" i="4"/>
  <c r="G540" i="4"/>
  <c r="G539" i="4"/>
  <c r="G538" i="4"/>
  <c r="G537" i="4"/>
  <c r="G536" i="4"/>
  <c r="G535" i="4"/>
  <c r="G534" i="4"/>
  <c r="G533" i="4"/>
  <c r="G532" i="4"/>
  <c r="G531" i="4"/>
  <c r="G530" i="4"/>
  <c r="G529" i="4"/>
  <c r="G528" i="4"/>
  <c r="G527" i="4"/>
  <c r="G526" i="4"/>
  <c r="G525" i="4"/>
  <c r="G524" i="4"/>
  <c r="G523" i="4"/>
  <c r="G522" i="4"/>
  <c r="G521" i="4"/>
  <c r="G520" i="4"/>
  <c r="G519" i="4"/>
  <c r="G518" i="4"/>
  <c r="G517" i="4"/>
  <c r="G516" i="4"/>
  <c r="G515" i="4"/>
  <c r="G514" i="4"/>
  <c r="G513" i="4"/>
  <c r="G512" i="4"/>
  <c r="G511" i="4"/>
  <c r="G510" i="4"/>
  <c r="G509" i="4"/>
  <c r="G508" i="4"/>
  <c r="G507" i="4"/>
  <c r="G506" i="4"/>
  <c r="G505" i="4"/>
  <c r="G504" i="4"/>
  <c r="G503" i="4"/>
  <c r="G502" i="4"/>
  <c r="G501" i="4"/>
  <c r="G500" i="4"/>
  <c r="G499" i="4"/>
  <c r="G498" i="4"/>
  <c r="G497" i="4"/>
  <c r="G496" i="4"/>
  <c r="G495" i="4"/>
  <c r="G494" i="4"/>
  <c r="G493" i="4"/>
  <c r="G492" i="4"/>
  <c r="G491" i="4"/>
  <c r="G490" i="4"/>
  <c r="G489" i="4"/>
  <c r="G488" i="4"/>
  <c r="G487" i="4"/>
  <c r="G486" i="4"/>
  <c r="G485" i="4"/>
  <c r="G484" i="4"/>
  <c r="G483" i="4"/>
  <c r="G482" i="4"/>
  <c r="G481" i="4"/>
  <c r="G480" i="4"/>
  <c r="G479" i="4"/>
  <c r="G478" i="4"/>
  <c r="G477" i="4"/>
  <c r="G476" i="4"/>
  <c r="G475" i="4"/>
  <c r="G474" i="4"/>
  <c r="G473" i="4"/>
  <c r="G472" i="4"/>
  <c r="G471" i="4"/>
  <c r="G470" i="4"/>
  <c r="G469" i="4"/>
  <c r="G468" i="4"/>
  <c r="G467" i="4"/>
  <c r="G466" i="4"/>
  <c r="G465" i="4"/>
  <c r="G464" i="4"/>
  <c r="G463" i="4"/>
  <c r="G462" i="4"/>
  <c r="G461" i="4"/>
  <c r="G460" i="4"/>
  <c r="G459" i="4"/>
  <c r="G458" i="4"/>
  <c r="G457" i="4"/>
  <c r="G456" i="4"/>
  <c r="G455" i="4"/>
  <c r="G454" i="4"/>
  <c r="G453" i="4"/>
  <c r="G452" i="4"/>
  <c r="G451" i="4"/>
  <c r="G450" i="4"/>
  <c r="G449" i="4"/>
  <c r="G448" i="4"/>
  <c r="G447" i="4"/>
  <c r="G446" i="4"/>
  <c r="G445" i="4"/>
  <c r="G444" i="4"/>
  <c r="G443" i="4"/>
  <c r="G442" i="4"/>
  <c r="G441" i="4"/>
  <c r="G440" i="4"/>
  <c r="G439" i="4"/>
  <c r="G438" i="4"/>
  <c r="G437" i="4"/>
  <c r="G436" i="4"/>
  <c r="G435" i="4"/>
  <c r="G434" i="4"/>
  <c r="G433" i="4"/>
  <c r="G432" i="4"/>
  <c r="G431" i="4"/>
  <c r="G430" i="4"/>
  <c r="G429" i="4"/>
  <c r="G428" i="4"/>
  <c r="G427" i="4"/>
  <c r="G426" i="4"/>
  <c r="G425" i="4"/>
  <c r="G424" i="4"/>
  <c r="G423" i="4"/>
  <c r="G422" i="4"/>
  <c r="G421" i="4"/>
  <c r="G420" i="4"/>
  <c r="G419" i="4"/>
  <c r="G418" i="4"/>
  <c r="G417" i="4"/>
  <c r="G416" i="4"/>
  <c r="G415" i="4"/>
  <c r="G414" i="4"/>
  <c r="G413" i="4"/>
  <c r="G412" i="4"/>
  <c r="G411" i="4"/>
  <c r="G410" i="4"/>
  <c r="G409" i="4"/>
  <c r="G408" i="4"/>
  <c r="G407" i="4"/>
  <c r="G406" i="4"/>
  <c r="G405" i="4"/>
  <c r="G404" i="4"/>
  <c r="G403" i="4"/>
  <c r="G402" i="4"/>
  <c r="G401" i="4"/>
  <c r="G400" i="4"/>
  <c r="G399" i="4"/>
  <c r="G398" i="4"/>
  <c r="G397" i="4"/>
  <c r="G396" i="4"/>
  <c r="G395" i="4"/>
  <c r="G394" i="4"/>
  <c r="G393" i="4"/>
  <c r="G392" i="4"/>
  <c r="G391" i="4"/>
  <c r="G390" i="4"/>
  <c r="G389" i="4"/>
  <c r="G388" i="4"/>
  <c r="G387" i="4"/>
  <c r="G386" i="4"/>
  <c r="G385" i="4"/>
  <c r="G384" i="4"/>
  <c r="G383" i="4"/>
  <c r="G382" i="4"/>
  <c r="G381" i="4"/>
  <c r="G380" i="4"/>
  <c r="G379" i="4"/>
  <c r="G378" i="4"/>
  <c r="G377" i="4"/>
  <c r="G376" i="4"/>
  <c r="G375" i="4"/>
  <c r="G374" i="4"/>
  <c r="G373" i="4"/>
  <c r="G372" i="4"/>
  <c r="G371" i="4"/>
  <c r="G370" i="4"/>
  <c r="G369" i="4"/>
  <c r="G368" i="4"/>
  <c r="G367" i="4"/>
  <c r="G366" i="4"/>
  <c r="G365" i="4"/>
  <c r="G364" i="4"/>
  <c r="G363" i="4"/>
  <c r="G362" i="4"/>
  <c r="G361" i="4"/>
  <c r="G360" i="4"/>
  <c r="G359" i="4"/>
  <c r="G358" i="4"/>
  <c r="G357" i="4"/>
  <c r="G356" i="4"/>
  <c r="G355" i="4"/>
  <c r="G354" i="4"/>
  <c r="G353" i="4"/>
  <c r="G352" i="4"/>
  <c r="G351" i="4"/>
  <c r="G350" i="4"/>
  <c r="G349" i="4"/>
  <c r="G348" i="4"/>
  <c r="G347" i="4"/>
  <c r="G346" i="4"/>
  <c r="G345" i="4"/>
  <c r="G344" i="4"/>
  <c r="G343" i="4"/>
  <c r="G342" i="4"/>
  <c r="G341" i="4"/>
  <c r="G340" i="4"/>
  <c r="G339" i="4"/>
  <c r="G338" i="4"/>
  <c r="G337" i="4"/>
  <c r="G336" i="4"/>
  <c r="G335" i="4"/>
  <c r="G334" i="4"/>
  <c r="G333" i="4"/>
  <c r="G332" i="4"/>
  <c r="G331" i="4"/>
  <c r="G330" i="4"/>
  <c r="G329" i="4"/>
  <c r="G328" i="4"/>
  <c r="G327" i="4"/>
  <c r="G326" i="4"/>
  <c r="G325" i="4"/>
  <c r="G324" i="4"/>
  <c r="G323" i="4"/>
  <c r="G322" i="4"/>
  <c r="G321" i="4"/>
  <c r="G320" i="4"/>
  <c r="G319" i="4"/>
  <c r="G318" i="4"/>
  <c r="G317" i="4"/>
  <c r="G316" i="4"/>
  <c r="G315" i="4"/>
  <c r="G314" i="4"/>
  <c r="G313" i="4"/>
  <c r="G312" i="4"/>
  <c r="G311" i="4"/>
  <c r="G310" i="4"/>
  <c r="G309" i="4"/>
  <c r="G308" i="4"/>
  <c r="G307" i="4"/>
  <c r="G306" i="4"/>
  <c r="G305" i="4"/>
  <c r="G304" i="4"/>
  <c r="G303" i="4"/>
  <c r="G302" i="4"/>
  <c r="G301" i="4"/>
  <c r="G300" i="4"/>
  <c r="G299" i="4"/>
  <c r="G298" i="4"/>
  <c r="G297" i="4"/>
  <c r="G296" i="4"/>
  <c r="G295" i="4"/>
  <c r="G294" i="4"/>
  <c r="G293" i="4"/>
  <c r="G292" i="4"/>
  <c r="G291" i="4"/>
  <c r="G290" i="4"/>
  <c r="G289" i="4"/>
  <c r="G288" i="4"/>
  <c r="G287" i="4"/>
  <c r="G286" i="4"/>
  <c r="G285" i="4"/>
  <c r="G284" i="4"/>
  <c r="G283" i="4"/>
  <c r="G282" i="4"/>
  <c r="G281" i="4"/>
  <c r="G280" i="4"/>
  <c r="G279" i="4"/>
  <c r="G278" i="4"/>
  <c r="G277" i="4"/>
  <c r="G276" i="4"/>
  <c r="G275" i="4"/>
  <c r="G274" i="4"/>
  <c r="G273" i="4"/>
  <c r="G272" i="4"/>
  <c r="G271" i="4"/>
  <c r="G270" i="4"/>
  <c r="G269" i="4"/>
  <c r="G268" i="4"/>
  <c r="G267" i="4"/>
  <c r="G266" i="4"/>
  <c r="G265" i="4"/>
  <c r="G264" i="4"/>
  <c r="G263" i="4"/>
  <c r="G262" i="4"/>
  <c r="G261" i="4"/>
  <c r="G260" i="4"/>
  <c r="G259" i="4"/>
  <c r="G258" i="4"/>
  <c r="G257" i="4"/>
  <c r="G256" i="4"/>
  <c r="G255" i="4"/>
  <c r="G254" i="4"/>
  <c r="G253" i="4"/>
  <c r="G252" i="4"/>
  <c r="G251" i="4"/>
  <c r="G250" i="4"/>
  <c r="G249" i="4"/>
  <c r="G248" i="4"/>
  <c r="G247" i="4"/>
  <c r="G246" i="4"/>
  <c r="G245" i="4"/>
  <c r="G244" i="4"/>
  <c r="G243" i="4"/>
  <c r="G242" i="4"/>
  <c r="G241" i="4"/>
  <c r="G240" i="4"/>
  <c r="G239" i="4"/>
  <c r="G238" i="4"/>
  <c r="G237" i="4"/>
  <c r="G236" i="4"/>
  <c r="G235" i="4"/>
  <c r="G234" i="4"/>
  <c r="G233" i="4"/>
  <c r="G232" i="4"/>
  <c r="G231" i="4"/>
  <c r="G230" i="4"/>
  <c r="G229" i="4"/>
  <c r="G228" i="4"/>
  <c r="G227" i="4"/>
  <c r="G226" i="4"/>
  <c r="G225" i="4"/>
  <c r="G224" i="4"/>
  <c r="G223" i="4"/>
  <c r="G222" i="4"/>
  <c r="G221" i="4"/>
  <c r="G220" i="4"/>
  <c r="G219" i="4"/>
  <c r="G218" i="4"/>
  <c r="G217" i="4"/>
  <c r="G216" i="4"/>
  <c r="G215" i="4"/>
  <c r="G214" i="4"/>
  <c r="G213" i="4"/>
  <c r="G212" i="4"/>
  <c r="G211" i="4"/>
  <c r="G210" i="4"/>
  <c r="G209" i="4"/>
  <c r="G208" i="4"/>
  <c r="G207" i="4"/>
  <c r="G206" i="4"/>
  <c r="G205" i="4"/>
  <c r="G204" i="4"/>
  <c r="G203" i="4"/>
  <c r="G202" i="4"/>
  <c r="G201" i="4"/>
  <c r="G200" i="4"/>
  <c r="G199" i="4"/>
  <c r="G198" i="4"/>
  <c r="G197" i="4"/>
  <c r="G196" i="4"/>
  <c r="G195" i="4"/>
  <c r="G194" i="4"/>
  <c r="G193" i="4"/>
  <c r="G192" i="4"/>
  <c r="G191" i="4"/>
  <c r="G190" i="4"/>
  <c r="G189" i="4"/>
  <c r="G188" i="4"/>
  <c r="G187" i="4"/>
  <c r="G186" i="4"/>
  <c r="G185" i="4"/>
  <c r="G184" i="4"/>
  <c r="G183" i="4"/>
  <c r="G182" i="4"/>
  <c r="G181" i="4"/>
  <c r="G180" i="4"/>
  <c r="G179" i="4"/>
  <c r="G178" i="4"/>
  <c r="G177" i="4"/>
  <c r="G176" i="4"/>
  <c r="G175" i="4"/>
  <c r="G174" i="4"/>
  <c r="G173" i="4"/>
  <c r="G172" i="4"/>
  <c r="G171" i="4"/>
  <c r="G170" i="4"/>
  <c r="G169" i="4"/>
  <c r="G168" i="4"/>
  <c r="G167" i="4"/>
  <c r="G166" i="4"/>
  <c r="G165" i="4"/>
  <c r="G164" i="4"/>
  <c r="G163" i="4"/>
  <c r="G162" i="4"/>
  <c r="G161" i="4"/>
  <c r="G160" i="4"/>
  <c r="G159" i="4"/>
  <c r="G158" i="4"/>
  <c r="G157" i="4"/>
  <c r="G156" i="4"/>
  <c r="G155" i="4"/>
  <c r="G154" i="4"/>
  <c r="G153" i="4"/>
  <c r="G152" i="4"/>
  <c r="G151" i="4"/>
  <c r="G150" i="4"/>
  <c r="G149" i="4"/>
  <c r="G148" i="4"/>
  <c r="G147" i="4"/>
  <c r="G146" i="4"/>
  <c r="G145" i="4"/>
  <c r="G144" i="4"/>
  <c r="G143" i="4"/>
  <c r="G142" i="4"/>
  <c r="G141" i="4"/>
  <c r="G140" i="4"/>
  <c r="G139" i="4"/>
  <c r="G138" i="4"/>
  <c r="G137" i="4"/>
  <c r="G136" i="4"/>
  <c r="G135" i="4"/>
  <c r="G134" i="4"/>
  <c r="G133" i="4"/>
  <c r="G132" i="4"/>
  <c r="G131" i="4"/>
  <c r="G130" i="4"/>
  <c r="G129" i="4"/>
  <c r="G128" i="4"/>
  <c r="G127" i="4"/>
  <c r="G126" i="4"/>
  <c r="G125" i="4"/>
  <c r="G124" i="4"/>
  <c r="G123" i="4"/>
  <c r="G122" i="4"/>
  <c r="G121" i="4"/>
  <c r="G120" i="4"/>
  <c r="G119" i="4"/>
  <c r="G118" i="4"/>
  <c r="G117" i="4"/>
  <c r="G116" i="4"/>
  <c r="G115" i="4"/>
  <c r="G114" i="4"/>
  <c r="G113" i="4"/>
  <c r="G112" i="4"/>
  <c r="G111" i="4"/>
  <c r="G110" i="4"/>
  <c r="G109" i="4"/>
  <c r="G108" i="4"/>
  <c r="G107" i="4"/>
  <c r="G106" i="4"/>
  <c r="G105" i="4"/>
  <c r="G104" i="4"/>
  <c r="G103" i="4"/>
  <c r="G102" i="4"/>
  <c r="G101" i="4"/>
  <c r="G100" i="4"/>
  <c r="G99" i="4"/>
  <c r="G98" i="4"/>
  <c r="G97" i="4"/>
  <c r="G96" i="4"/>
  <c r="G95" i="4"/>
  <c r="G94" i="4"/>
  <c r="G93" i="4"/>
  <c r="G92" i="4"/>
  <c r="G91" i="4"/>
  <c r="G90" i="4"/>
  <c r="G89" i="4"/>
  <c r="G88" i="4"/>
  <c r="G87" i="4"/>
  <c r="G86" i="4"/>
  <c r="G85" i="4"/>
  <c r="G84" i="4"/>
  <c r="G83" i="4"/>
  <c r="G82" i="4"/>
  <c r="G81" i="4"/>
  <c r="G80" i="4"/>
  <c r="G79" i="4"/>
  <c r="G78" i="4"/>
  <c r="G77" i="4"/>
  <c r="G76" i="4"/>
  <c r="G75" i="4"/>
  <c r="G74" i="4"/>
  <c r="G73" i="4"/>
  <c r="G72" i="4"/>
  <c r="G71" i="4"/>
  <c r="G70" i="4"/>
  <c r="G69" i="4"/>
  <c r="G68" i="4"/>
  <c r="G67" i="4"/>
  <c r="G66" i="4"/>
  <c r="G65" i="4"/>
  <c r="G64" i="4"/>
  <c r="G63" i="4"/>
  <c r="G62" i="4"/>
  <c r="G61" i="4"/>
  <c r="G60" i="4"/>
  <c r="G59" i="4"/>
  <c r="G58" i="4"/>
  <c r="G57" i="4"/>
  <c r="G56" i="4"/>
  <c r="G55" i="4"/>
  <c r="G54" i="4"/>
  <c r="G53" i="4"/>
  <c r="G52" i="4"/>
  <c r="G51" i="4"/>
  <c r="G50" i="4"/>
  <c r="G49" i="4"/>
  <c r="G48" i="4"/>
  <c r="G47" i="4"/>
  <c r="G46" i="4"/>
  <c r="G45" i="4"/>
  <c r="G44" i="4"/>
  <c r="G43" i="4"/>
  <c r="G42" i="4"/>
  <c r="G41" i="4"/>
  <c r="G40" i="4"/>
  <c r="G39" i="4"/>
  <c r="G38" i="4"/>
  <c r="G37" i="4"/>
  <c r="G36" i="4"/>
  <c r="G35" i="4"/>
  <c r="G34" i="4"/>
  <c r="G33" i="4"/>
  <c r="G32" i="4"/>
  <c r="G31" i="4"/>
  <c r="G30" i="4"/>
  <c r="G29" i="4"/>
  <c r="G28" i="4"/>
  <c r="G27" i="4"/>
  <c r="G26" i="4"/>
  <c r="G25" i="4"/>
  <c r="G24" i="4"/>
  <c r="G23" i="4"/>
  <c r="G22" i="4"/>
  <c r="G21" i="4"/>
  <c r="G20" i="4"/>
  <c r="G19" i="4"/>
  <c r="G18" i="4"/>
  <c r="G17" i="4"/>
  <c r="G16" i="4"/>
  <c r="G15" i="4"/>
  <c r="G14" i="4"/>
  <c r="G13" i="4"/>
  <c r="G12" i="4"/>
  <c r="G11" i="4"/>
  <c r="G10" i="4"/>
  <c r="G9" i="4"/>
  <c r="G8" i="4"/>
  <c r="G7" i="4"/>
  <c r="G5" i="4"/>
  <c r="G4" i="4"/>
  <c r="G3" i="4"/>
  <c r="G2" i="4"/>
  <c r="G6" i="4"/>
  <c r="A6"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5" i="4"/>
  <c r="A4" i="4"/>
  <c r="A3" i="4"/>
  <c r="A2" i="4"/>
  <c r="L1001" i="4"/>
  <c r="L1000" i="4"/>
  <c r="L999" i="4"/>
  <c r="L998" i="4"/>
  <c r="L997" i="4"/>
  <c r="L996" i="4"/>
  <c r="L995" i="4"/>
  <c r="L994" i="4"/>
  <c r="L993" i="4"/>
  <c r="L992" i="4"/>
  <c r="L991" i="4"/>
  <c r="L990" i="4"/>
  <c r="L989" i="4"/>
  <c r="L988" i="4"/>
  <c r="L987" i="4"/>
  <c r="L986" i="4"/>
  <c r="L985" i="4"/>
  <c r="L984"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L5" i="4"/>
  <c r="L4" i="4"/>
  <c r="L3" i="4"/>
  <c r="L2" i="4"/>
  <c r="AA1001" i="4"/>
  <c r="Y1001" i="4"/>
  <c r="AA1000" i="4"/>
  <c r="Y1000" i="4"/>
  <c r="AA999" i="4"/>
  <c r="Y999" i="4"/>
  <c r="AA998" i="4"/>
  <c r="Y998" i="4"/>
  <c r="AA997" i="4"/>
  <c r="Y997" i="4"/>
  <c r="AA996" i="4"/>
  <c r="Y996" i="4"/>
  <c r="AA995" i="4"/>
  <c r="Y995" i="4"/>
  <c r="AA994" i="4"/>
  <c r="Y994" i="4"/>
  <c r="AA993" i="4"/>
  <c r="Y993" i="4"/>
  <c r="AA992" i="4"/>
  <c r="Y992" i="4"/>
  <c r="AA991" i="4"/>
  <c r="Y991" i="4"/>
  <c r="AA990" i="4"/>
  <c r="Y990" i="4"/>
  <c r="AA989" i="4"/>
  <c r="Y989" i="4"/>
  <c r="AA988" i="4"/>
  <c r="Y988" i="4"/>
  <c r="AA987" i="4"/>
  <c r="Y987" i="4"/>
  <c r="AA986" i="4"/>
  <c r="Y986" i="4"/>
  <c r="AA985" i="4"/>
  <c r="Y985" i="4"/>
  <c r="AA984" i="4"/>
  <c r="Y984" i="4"/>
  <c r="AA983" i="4"/>
  <c r="Y983" i="4"/>
  <c r="AA982" i="4"/>
  <c r="Y982" i="4"/>
  <c r="AA981" i="4"/>
  <c r="Y981" i="4"/>
  <c r="AA980" i="4"/>
  <c r="Y980" i="4"/>
  <c r="AA979" i="4"/>
  <c r="Y979" i="4"/>
  <c r="AA978" i="4"/>
  <c r="Y978" i="4"/>
  <c r="AA977" i="4"/>
  <c r="Y977" i="4"/>
  <c r="AA976" i="4"/>
  <c r="Y976" i="4"/>
  <c r="AA975" i="4"/>
  <c r="Y975" i="4"/>
  <c r="AA974" i="4"/>
  <c r="Y974" i="4"/>
  <c r="AA973" i="4"/>
  <c r="Y973" i="4"/>
  <c r="AA972" i="4"/>
  <c r="Y972" i="4"/>
  <c r="AA971" i="4"/>
  <c r="Y971" i="4"/>
  <c r="AA970" i="4"/>
  <c r="Y970" i="4"/>
  <c r="AA969" i="4"/>
  <c r="Y969" i="4"/>
  <c r="AA968" i="4"/>
  <c r="Y968" i="4"/>
  <c r="AA967" i="4"/>
  <c r="Y967" i="4"/>
  <c r="AA966" i="4"/>
  <c r="Y966" i="4"/>
  <c r="AA965" i="4"/>
  <c r="Y965" i="4"/>
  <c r="AA964" i="4"/>
  <c r="Y964" i="4"/>
  <c r="AA963" i="4"/>
  <c r="Y963" i="4"/>
  <c r="AA962" i="4"/>
  <c r="Y962" i="4"/>
  <c r="AA961" i="4"/>
  <c r="Y961" i="4"/>
  <c r="AA960" i="4"/>
  <c r="Y960" i="4"/>
  <c r="AA959" i="4"/>
  <c r="Y959" i="4"/>
  <c r="AA958" i="4"/>
  <c r="Y958" i="4"/>
  <c r="AA957" i="4"/>
  <c r="Y957" i="4"/>
  <c r="AA956" i="4"/>
  <c r="Y956" i="4"/>
  <c r="AA955" i="4"/>
  <c r="Y955" i="4"/>
  <c r="AA954" i="4"/>
  <c r="Y954" i="4"/>
  <c r="AA953" i="4"/>
  <c r="Y953" i="4"/>
  <c r="AA952" i="4"/>
  <c r="Y952" i="4"/>
  <c r="AA951" i="4"/>
  <c r="Y951" i="4"/>
  <c r="AA950" i="4"/>
  <c r="Y950" i="4"/>
  <c r="AA949" i="4"/>
  <c r="Y949" i="4"/>
  <c r="AA948" i="4"/>
  <c r="Y948" i="4"/>
  <c r="AA947" i="4"/>
  <c r="Y947" i="4"/>
  <c r="AA946" i="4"/>
  <c r="Y946" i="4"/>
  <c r="AA945" i="4"/>
  <c r="Y945" i="4"/>
  <c r="AA944" i="4"/>
  <c r="Y944" i="4"/>
  <c r="AA943" i="4"/>
  <c r="Y943" i="4"/>
  <c r="AA942" i="4"/>
  <c r="Y942" i="4"/>
  <c r="AA941" i="4"/>
  <c r="Y941" i="4"/>
  <c r="AA940" i="4"/>
  <c r="Y940" i="4"/>
  <c r="AA939" i="4"/>
  <c r="Y939" i="4"/>
  <c r="AA938" i="4"/>
  <c r="Y938" i="4"/>
  <c r="AA937" i="4"/>
  <c r="Y937" i="4"/>
  <c r="AA936" i="4"/>
  <c r="Y936" i="4"/>
  <c r="AA935" i="4"/>
  <c r="Y935" i="4"/>
  <c r="AA934" i="4"/>
  <c r="Y934" i="4"/>
  <c r="AA933" i="4"/>
  <c r="Y933" i="4"/>
  <c r="AA932" i="4"/>
  <c r="Y932" i="4"/>
  <c r="AA931" i="4"/>
  <c r="Y931" i="4"/>
  <c r="AA930" i="4"/>
  <c r="Y930" i="4"/>
  <c r="AA929" i="4"/>
  <c r="Y929" i="4"/>
  <c r="AA928" i="4"/>
  <c r="Y928" i="4"/>
  <c r="AA927" i="4"/>
  <c r="Y927" i="4"/>
  <c r="AA926" i="4"/>
  <c r="Y926" i="4"/>
  <c r="AA925" i="4"/>
  <c r="Y925" i="4"/>
  <c r="AA924" i="4"/>
  <c r="Y924" i="4"/>
  <c r="AA923" i="4"/>
  <c r="Y923" i="4"/>
  <c r="AA922" i="4"/>
  <c r="Y922" i="4"/>
  <c r="AA921" i="4"/>
  <c r="Y921" i="4"/>
  <c r="AA920" i="4"/>
  <c r="Y920" i="4"/>
  <c r="AA919" i="4"/>
  <c r="Y919" i="4"/>
  <c r="AA918" i="4"/>
  <c r="Y918" i="4"/>
  <c r="AA917" i="4"/>
  <c r="Y917" i="4"/>
  <c r="AA916" i="4"/>
  <c r="Y916" i="4"/>
  <c r="AA915" i="4"/>
  <c r="Y915" i="4"/>
  <c r="AA914" i="4"/>
  <c r="Y914" i="4"/>
  <c r="AA913" i="4"/>
  <c r="Y913" i="4"/>
  <c r="AA912" i="4"/>
  <c r="Y912" i="4"/>
  <c r="AA911" i="4"/>
  <c r="Y911" i="4"/>
  <c r="AA910" i="4"/>
  <c r="Y910" i="4"/>
  <c r="AA909" i="4"/>
  <c r="Y909" i="4"/>
  <c r="AA908" i="4"/>
  <c r="Y908" i="4"/>
  <c r="AA907" i="4"/>
  <c r="Y907" i="4"/>
  <c r="AA906" i="4"/>
  <c r="Y906" i="4"/>
  <c r="AA905" i="4"/>
  <c r="Y905" i="4"/>
  <c r="AA904" i="4"/>
  <c r="Y904" i="4"/>
  <c r="AA903" i="4"/>
  <c r="Y903" i="4"/>
  <c r="AA902" i="4"/>
  <c r="Y902" i="4"/>
  <c r="AA901" i="4"/>
  <c r="Y901" i="4"/>
  <c r="AA900" i="4"/>
  <c r="Y900" i="4"/>
  <c r="AA899" i="4"/>
  <c r="Y899" i="4"/>
  <c r="AA898" i="4"/>
  <c r="Y898" i="4"/>
  <c r="AA897" i="4"/>
  <c r="Y897" i="4"/>
  <c r="AA896" i="4"/>
  <c r="Y896" i="4"/>
  <c r="AA895" i="4"/>
  <c r="Y895" i="4"/>
  <c r="AA894" i="4"/>
  <c r="Y894" i="4"/>
  <c r="AA893" i="4"/>
  <c r="Y893" i="4"/>
  <c r="AA892" i="4"/>
  <c r="Y892" i="4"/>
  <c r="AA891" i="4"/>
  <c r="Y891" i="4"/>
  <c r="AA890" i="4"/>
  <c r="Y890" i="4"/>
  <c r="AA889" i="4"/>
  <c r="Y889" i="4"/>
  <c r="AA888" i="4"/>
  <c r="Y888" i="4"/>
  <c r="AA887" i="4"/>
  <c r="Y887" i="4"/>
  <c r="AA886" i="4"/>
  <c r="Y886" i="4"/>
  <c r="AA885" i="4"/>
  <c r="Y885" i="4"/>
  <c r="AA884" i="4"/>
  <c r="Y884" i="4"/>
  <c r="AA883" i="4"/>
  <c r="Y883" i="4"/>
  <c r="AA882" i="4"/>
  <c r="Y882" i="4"/>
  <c r="AA881" i="4"/>
  <c r="Y881" i="4"/>
  <c r="AA880" i="4"/>
  <c r="Y880" i="4"/>
  <c r="AA879" i="4"/>
  <c r="Y879" i="4"/>
  <c r="AA878" i="4"/>
  <c r="Y878" i="4"/>
  <c r="AA877" i="4"/>
  <c r="Y877" i="4"/>
  <c r="AA876" i="4"/>
  <c r="Y876" i="4"/>
  <c r="AA875" i="4"/>
  <c r="Y875" i="4"/>
  <c r="AA874" i="4"/>
  <c r="Y874" i="4"/>
  <c r="AA873" i="4"/>
  <c r="Y873" i="4"/>
  <c r="AA872" i="4"/>
  <c r="Y872" i="4"/>
  <c r="AA871" i="4"/>
  <c r="Y871" i="4"/>
  <c r="AA870" i="4"/>
  <c r="Y870" i="4"/>
  <c r="AA869" i="4"/>
  <c r="Y869" i="4"/>
  <c r="AA868" i="4"/>
  <c r="Y868" i="4"/>
  <c r="AA867" i="4"/>
  <c r="Y867" i="4"/>
  <c r="AA866" i="4"/>
  <c r="Y866" i="4"/>
  <c r="AA865" i="4"/>
  <c r="Y865" i="4"/>
  <c r="AA864" i="4"/>
  <c r="Y864" i="4"/>
  <c r="AA863" i="4"/>
  <c r="Y863" i="4"/>
  <c r="AA862" i="4"/>
  <c r="Y862" i="4"/>
  <c r="AA861" i="4"/>
  <c r="Y861" i="4"/>
  <c r="AA860" i="4"/>
  <c r="Y860" i="4"/>
  <c r="AA859" i="4"/>
  <c r="Y859" i="4"/>
  <c r="AA858" i="4"/>
  <c r="Y858" i="4"/>
  <c r="AA857" i="4"/>
  <c r="Y857" i="4"/>
  <c r="AA856" i="4"/>
  <c r="Y856" i="4"/>
  <c r="AA855" i="4"/>
  <c r="Y855" i="4"/>
  <c r="AA854" i="4"/>
  <c r="Y854" i="4"/>
  <c r="AA853" i="4"/>
  <c r="Y853" i="4"/>
  <c r="AA852" i="4"/>
  <c r="Y852" i="4"/>
  <c r="AA851" i="4"/>
  <c r="Y851" i="4"/>
  <c r="AA850" i="4"/>
  <c r="Y850" i="4"/>
  <c r="AA849" i="4"/>
  <c r="Y849" i="4"/>
  <c r="AA848" i="4"/>
  <c r="Y848" i="4"/>
  <c r="AA847" i="4"/>
  <c r="Y847" i="4"/>
  <c r="AA846" i="4"/>
  <c r="Y846" i="4"/>
  <c r="AA845" i="4"/>
  <c r="Y845" i="4"/>
  <c r="AA844" i="4"/>
  <c r="Y844" i="4"/>
  <c r="AA843" i="4"/>
  <c r="Y843" i="4"/>
  <c r="AA842" i="4"/>
  <c r="Y842" i="4"/>
  <c r="AA841" i="4"/>
  <c r="Y841" i="4"/>
  <c r="AA840" i="4"/>
  <c r="Y840" i="4"/>
  <c r="AA839" i="4"/>
  <c r="Y839" i="4"/>
  <c r="AA838" i="4"/>
  <c r="Y838" i="4"/>
  <c r="AA837" i="4"/>
  <c r="Y837" i="4"/>
  <c r="AA836" i="4"/>
  <c r="Y836" i="4"/>
  <c r="AA835" i="4"/>
  <c r="Y835" i="4"/>
  <c r="AA834" i="4"/>
  <c r="Y834" i="4"/>
  <c r="AA833" i="4"/>
  <c r="Y833" i="4"/>
  <c r="AA832" i="4"/>
  <c r="Y832" i="4"/>
  <c r="AA831" i="4"/>
  <c r="Y831" i="4"/>
  <c r="AA830" i="4"/>
  <c r="Y830" i="4"/>
  <c r="AA829" i="4"/>
  <c r="Y829" i="4"/>
  <c r="AA828" i="4"/>
  <c r="Y828" i="4"/>
  <c r="AA827" i="4"/>
  <c r="Y827" i="4"/>
  <c r="AA826" i="4"/>
  <c r="Y826" i="4"/>
  <c r="AA825" i="4"/>
  <c r="Y825" i="4"/>
  <c r="AA824" i="4"/>
  <c r="Y824" i="4"/>
  <c r="AA823" i="4"/>
  <c r="Y823" i="4"/>
  <c r="AA822" i="4"/>
  <c r="Y822" i="4"/>
  <c r="AA821" i="4"/>
  <c r="Y821" i="4"/>
  <c r="AA820" i="4"/>
  <c r="Y820" i="4"/>
  <c r="AA819" i="4"/>
  <c r="Y819" i="4"/>
  <c r="AA818" i="4"/>
  <c r="Y818" i="4"/>
  <c r="AA817" i="4"/>
  <c r="Y817" i="4"/>
  <c r="AA816" i="4"/>
  <c r="Y816" i="4"/>
  <c r="AA815" i="4"/>
  <c r="Y815" i="4"/>
  <c r="AA814" i="4"/>
  <c r="Y814" i="4"/>
  <c r="AA813" i="4"/>
  <c r="Y813" i="4"/>
  <c r="AA812" i="4"/>
  <c r="Y812" i="4"/>
  <c r="AA811" i="4"/>
  <c r="Y811" i="4"/>
  <c r="AA810" i="4"/>
  <c r="Y810" i="4"/>
  <c r="AA809" i="4"/>
  <c r="Y809" i="4"/>
  <c r="AA808" i="4"/>
  <c r="Y808" i="4"/>
  <c r="AA807" i="4"/>
  <c r="Y807" i="4"/>
  <c r="AA806" i="4"/>
  <c r="Y806" i="4"/>
  <c r="AA805" i="4"/>
  <c r="Y805" i="4"/>
  <c r="AA804" i="4"/>
  <c r="Y804" i="4"/>
  <c r="AA803" i="4"/>
  <c r="Y803" i="4"/>
  <c r="AA802" i="4"/>
  <c r="Y802" i="4"/>
  <c r="AA801" i="4"/>
  <c r="Y801" i="4"/>
  <c r="AA800" i="4"/>
  <c r="Y800" i="4"/>
  <c r="AA799" i="4"/>
  <c r="Y799" i="4"/>
  <c r="AA798" i="4"/>
  <c r="Y798" i="4"/>
  <c r="AA797" i="4"/>
  <c r="Y797" i="4"/>
  <c r="AA796" i="4"/>
  <c r="Y796" i="4"/>
  <c r="AA795" i="4"/>
  <c r="Y795" i="4"/>
  <c r="AA794" i="4"/>
  <c r="Y794" i="4"/>
  <c r="AA793" i="4"/>
  <c r="Y793" i="4"/>
  <c r="AA792" i="4"/>
  <c r="Y792" i="4"/>
  <c r="AA791" i="4"/>
  <c r="Y791" i="4"/>
  <c r="AA790" i="4"/>
  <c r="Y790" i="4"/>
  <c r="AA789" i="4"/>
  <c r="Y789" i="4"/>
  <c r="AA788" i="4"/>
  <c r="Y788" i="4"/>
  <c r="AA787" i="4"/>
  <c r="Y787" i="4"/>
  <c r="AA786" i="4"/>
  <c r="Y786" i="4"/>
  <c r="AA785" i="4"/>
  <c r="Y785" i="4"/>
  <c r="AA784" i="4"/>
  <c r="Y784" i="4"/>
  <c r="AA783" i="4"/>
  <c r="Y783" i="4"/>
  <c r="AA782" i="4"/>
  <c r="Y782" i="4"/>
  <c r="AA781" i="4"/>
  <c r="Y781" i="4"/>
  <c r="AA780" i="4"/>
  <c r="Y780" i="4"/>
  <c r="AA779" i="4"/>
  <c r="Y779" i="4"/>
  <c r="AA778" i="4"/>
  <c r="Y778" i="4"/>
  <c r="AA777" i="4"/>
  <c r="Y777" i="4"/>
  <c r="AA776" i="4"/>
  <c r="Y776" i="4"/>
  <c r="AA775" i="4"/>
  <c r="Y775" i="4"/>
  <c r="AA774" i="4"/>
  <c r="Y774" i="4"/>
  <c r="AA773" i="4"/>
  <c r="Y773" i="4"/>
  <c r="AA772" i="4"/>
  <c r="Y772" i="4"/>
  <c r="AA771" i="4"/>
  <c r="Y771" i="4"/>
  <c r="AA770" i="4"/>
  <c r="Y770" i="4"/>
  <c r="AA769" i="4"/>
  <c r="Y769" i="4"/>
  <c r="AA768" i="4"/>
  <c r="Y768" i="4"/>
  <c r="AA767" i="4"/>
  <c r="Y767" i="4"/>
  <c r="AA766" i="4"/>
  <c r="Y766" i="4"/>
  <c r="AA765" i="4"/>
  <c r="Y765" i="4"/>
  <c r="AA764" i="4"/>
  <c r="Y764" i="4"/>
  <c r="AA763" i="4"/>
  <c r="Y763" i="4"/>
  <c r="AA762" i="4"/>
  <c r="Y762" i="4"/>
  <c r="AA761" i="4"/>
  <c r="Y761" i="4"/>
  <c r="AA760" i="4"/>
  <c r="Y760" i="4"/>
  <c r="AA759" i="4"/>
  <c r="Y759" i="4"/>
  <c r="AA758" i="4"/>
  <c r="Y758" i="4"/>
  <c r="AA757" i="4"/>
  <c r="Y757" i="4"/>
  <c r="AA756" i="4"/>
  <c r="Y756" i="4"/>
  <c r="AA755" i="4"/>
  <c r="Y755" i="4"/>
  <c r="AA754" i="4"/>
  <c r="Y754" i="4"/>
  <c r="AA753" i="4"/>
  <c r="Y753" i="4"/>
  <c r="AA752" i="4"/>
  <c r="Y752" i="4"/>
  <c r="AA751" i="4"/>
  <c r="Y751" i="4"/>
  <c r="AA750" i="4"/>
  <c r="Y750" i="4"/>
  <c r="AA749" i="4"/>
  <c r="Y749" i="4"/>
  <c r="AA748" i="4"/>
  <c r="Y748" i="4"/>
  <c r="AA747" i="4"/>
  <c r="Y747" i="4"/>
  <c r="AA746" i="4"/>
  <c r="Y746" i="4"/>
  <c r="AA745" i="4"/>
  <c r="Y745" i="4"/>
  <c r="AA744" i="4"/>
  <c r="Y744" i="4"/>
  <c r="AA743" i="4"/>
  <c r="Y743" i="4"/>
  <c r="AA742" i="4"/>
  <c r="Y742" i="4"/>
  <c r="AA741" i="4"/>
  <c r="Y741" i="4"/>
  <c r="AA740" i="4"/>
  <c r="Y740" i="4"/>
  <c r="AA739" i="4"/>
  <c r="Y739" i="4"/>
  <c r="AA738" i="4"/>
  <c r="Y738" i="4"/>
  <c r="AA737" i="4"/>
  <c r="Y737" i="4"/>
  <c r="AA736" i="4"/>
  <c r="Y736" i="4"/>
  <c r="AA735" i="4"/>
  <c r="Y735" i="4"/>
  <c r="AA734" i="4"/>
  <c r="Y734" i="4"/>
  <c r="AA733" i="4"/>
  <c r="Y733" i="4"/>
  <c r="AA732" i="4"/>
  <c r="Y732" i="4"/>
  <c r="AA731" i="4"/>
  <c r="Y731" i="4"/>
  <c r="AA730" i="4"/>
  <c r="Y730" i="4"/>
  <c r="AA729" i="4"/>
  <c r="Y729" i="4"/>
  <c r="AA728" i="4"/>
  <c r="Y728" i="4"/>
  <c r="AA727" i="4"/>
  <c r="Y727" i="4"/>
  <c r="AA726" i="4"/>
  <c r="Y726" i="4"/>
  <c r="AA725" i="4"/>
  <c r="Y725" i="4"/>
  <c r="AA724" i="4"/>
  <c r="Y724" i="4"/>
  <c r="AA723" i="4"/>
  <c r="Y723" i="4"/>
  <c r="AA722" i="4"/>
  <c r="Y722" i="4"/>
  <c r="AA721" i="4"/>
  <c r="Y721" i="4"/>
  <c r="AA720" i="4"/>
  <c r="Y720" i="4"/>
  <c r="AA719" i="4"/>
  <c r="Y719" i="4"/>
  <c r="AA718" i="4"/>
  <c r="Y718" i="4"/>
  <c r="AA717" i="4"/>
  <c r="Y717" i="4"/>
  <c r="AA716" i="4"/>
  <c r="Y716" i="4"/>
  <c r="AA715" i="4"/>
  <c r="Y715" i="4"/>
  <c r="AA714" i="4"/>
  <c r="Y714" i="4"/>
  <c r="AA713" i="4"/>
  <c r="Y713" i="4"/>
  <c r="AA712" i="4"/>
  <c r="Y712" i="4"/>
  <c r="AA711" i="4"/>
  <c r="Y711" i="4"/>
  <c r="AA710" i="4"/>
  <c r="Y710" i="4"/>
  <c r="AA709" i="4"/>
  <c r="Y709" i="4"/>
  <c r="AA708" i="4"/>
  <c r="Y708" i="4"/>
  <c r="AA707" i="4"/>
  <c r="Y707" i="4"/>
  <c r="AA706" i="4"/>
  <c r="Y706" i="4"/>
  <c r="AA705" i="4"/>
  <c r="Y705" i="4"/>
  <c r="AA704" i="4"/>
  <c r="Y704" i="4"/>
  <c r="AA703" i="4"/>
  <c r="Y703" i="4"/>
  <c r="AA702" i="4"/>
  <c r="Y702" i="4"/>
  <c r="AA701" i="4"/>
  <c r="Y701" i="4"/>
  <c r="AA700" i="4"/>
  <c r="Y700" i="4"/>
  <c r="AA699" i="4"/>
  <c r="Y699" i="4"/>
  <c r="AA698" i="4"/>
  <c r="Y698" i="4"/>
  <c r="AA697" i="4"/>
  <c r="Y697" i="4"/>
  <c r="AA696" i="4"/>
  <c r="Y696" i="4"/>
  <c r="AA695" i="4"/>
  <c r="Y695" i="4"/>
  <c r="AA694" i="4"/>
  <c r="Y694" i="4"/>
  <c r="AA693" i="4"/>
  <c r="Y693" i="4"/>
  <c r="AA692" i="4"/>
  <c r="Y692" i="4"/>
  <c r="AA691" i="4"/>
  <c r="Y691" i="4"/>
  <c r="AA690" i="4"/>
  <c r="Y690" i="4"/>
  <c r="AA689" i="4"/>
  <c r="Y689" i="4"/>
  <c r="AA688" i="4"/>
  <c r="Y688" i="4"/>
  <c r="AA687" i="4"/>
  <c r="Y687" i="4"/>
  <c r="AA686" i="4"/>
  <c r="Y686" i="4"/>
  <c r="AA685" i="4"/>
  <c r="Y685" i="4"/>
  <c r="AA684" i="4"/>
  <c r="Y684" i="4"/>
  <c r="AA683" i="4"/>
  <c r="Y683" i="4"/>
  <c r="AA682" i="4"/>
  <c r="Y682" i="4"/>
  <c r="AA681" i="4"/>
  <c r="Y681" i="4"/>
  <c r="AA680" i="4"/>
  <c r="Y680" i="4"/>
  <c r="AA679" i="4"/>
  <c r="Y679" i="4"/>
  <c r="AA678" i="4"/>
  <c r="Y678" i="4"/>
  <c r="AA677" i="4"/>
  <c r="Y677" i="4"/>
  <c r="AA676" i="4"/>
  <c r="Y676" i="4"/>
  <c r="AA675" i="4"/>
  <c r="Y675" i="4"/>
  <c r="AA674" i="4"/>
  <c r="Y674" i="4"/>
  <c r="AA673" i="4"/>
  <c r="Y673" i="4"/>
  <c r="AA672" i="4"/>
  <c r="Y672" i="4"/>
  <c r="AA671" i="4"/>
  <c r="Y671" i="4"/>
  <c r="AA670" i="4"/>
  <c r="Y670" i="4"/>
  <c r="AA669" i="4"/>
  <c r="Y669" i="4"/>
  <c r="AA668" i="4"/>
  <c r="Y668" i="4"/>
  <c r="AA667" i="4"/>
  <c r="Y667" i="4"/>
  <c r="AA666" i="4"/>
  <c r="Y666" i="4"/>
  <c r="AA665" i="4"/>
  <c r="Y665" i="4"/>
  <c r="AA664" i="4"/>
  <c r="Y664" i="4"/>
  <c r="AA663" i="4"/>
  <c r="Y663" i="4"/>
  <c r="AA662" i="4"/>
  <c r="Y662" i="4"/>
  <c r="AA661" i="4"/>
  <c r="Y661" i="4"/>
  <c r="AA660" i="4"/>
  <c r="Y660" i="4"/>
  <c r="AA659" i="4"/>
  <c r="Y659" i="4"/>
  <c r="AA658" i="4"/>
  <c r="Y658" i="4"/>
  <c r="AA657" i="4"/>
  <c r="Y657" i="4"/>
  <c r="AA656" i="4"/>
  <c r="Y656" i="4"/>
  <c r="AA655" i="4"/>
  <c r="Y655" i="4"/>
  <c r="AA654" i="4"/>
  <c r="Y654" i="4"/>
  <c r="AA653" i="4"/>
  <c r="Y653" i="4"/>
  <c r="AA652" i="4"/>
  <c r="Y652" i="4"/>
  <c r="AA651" i="4"/>
  <c r="Y651" i="4"/>
  <c r="AA650" i="4"/>
  <c r="Y650" i="4"/>
  <c r="AA649" i="4"/>
  <c r="Y649" i="4"/>
  <c r="AA648" i="4"/>
  <c r="Y648" i="4"/>
  <c r="AA647" i="4"/>
  <c r="Y647" i="4"/>
  <c r="AA646" i="4"/>
  <c r="Y646" i="4"/>
  <c r="AA645" i="4"/>
  <c r="Y645" i="4"/>
  <c r="AA644" i="4"/>
  <c r="Y644" i="4"/>
  <c r="AA643" i="4"/>
  <c r="Y643" i="4"/>
  <c r="AA642" i="4"/>
  <c r="Y642" i="4"/>
  <c r="AA641" i="4"/>
  <c r="Y641" i="4"/>
  <c r="AA640" i="4"/>
  <c r="Y640" i="4"/>
  <c r="AA639" i="4"/>
  <c r="Y639" i="4"/>
  <c r="AA638" i="4"/>
  <c r="Y638" i="4"/>
  <c r="AA637" i="4"/>
  <c r="Y637" i="4"/>
  <c r="AA636" i="4"/>
  <c r="Y636" i="4"/>
  <c r="AA635" i="4"/>
  <c r="Y635" i="4"/>
  <c r="AA634" i="4"/>
  <c r="Y634" i="4"/>
  <c r="AA633" i="4"/>
  <c r="Y633" i="4"/>
  <c r="AA632" i="4"/>
  <c r="Y632" i="4"/>
  <c r="AA631" i="4"/>
  <c r="Y631" i="4"/>
  <c r="AA630" i="4"/>
  <c r="Y630" i="4"/>
  <c r="AA629" i="4"/>
  <c r="Y629" i="4"/>
  <c r="AA628" i="4"/>
  <c r="Y628" i="4"/>
  <c r="AA627" i="4"/>
  <c r="Y627" i="4"/>
  <c r="AA626" i="4"/>
  <c r="Y626" i="4"/>
  <c r="AA625" i="4"/>
  <c r="Y625" i="4"/>
  <c r="AA624" i="4"/>
  <c r="Y624" i="4"/>
  <c r="AA623" i="4"/>
  <c r="Y623" i="4"/>
  <c r="AA622" i="4"/>
  <c r="Y622" i="4"/>
  <c r="AA621" i="4"/>
  <c r="Y621" i="4"/>
  <c r="AA620" i="4"/>
  <c r="Y620" i="4"/>
  <c r="AA619" i="4"/>
  <c r="Y619" i="4"/>
  <c r="AA618" i="4"/>
  <c r="Y618" i="4"/>
  <c r="AA617" i="4"/>
  <c r="Y617" i="4"/>
  <c r="AA616" i="4"/>
  <c r="Y616" i="4"/>
  <c r="AA615" i="4"/>
  <c r="Y615" i="4"/>
  <c r="AA614" i="4"/>
  <c r="Y614" i="4"/>
  <c r="AA613" i="4"/>
  <c r="Y613" i="4"/>
  <c r="AA612" i="4"/>
  <c r="Y612" i="4"/>
  <c r="AA611" i="4"/>
  <c r="Y611" i="4"/>
  <c r="AA610" i="4"/>
  <c r="Y610" i="4"/>
  <c r="AA609" i="4"/>
  <c r="Y609" i="4"/>
  <c r="AA608" i="4"/>
  <c r="Y608" i="4"/>
  <c r="AA607" i="4"/>
  <c r="Y607" i="4"/>
  <c r="AA606" i="4"/>
  <c r="Y606" i="4"/>
  <c r="AA605" i="4"/>
  <c r="Y605" i="4"/>
  <c r="AA604" i="4"/>
  <c r="Y604" i="4"/>
  <c r="AA603" i="4"/>
  <c r="Y603" i="4"/>
  <c r="AA602" i="4"/>
  <c r="Y602" i="4"/>
  <c r="AA601" i="4"/>
  <c r="Y601" i="4"/>
  <c r="AA600" i="4"/>
  <c r="Y600" i="4"/>
  <c r="AA599" i="4"/>
  <c r="Y599" i="4"/>
  <c r="AA598" i="4"/>
  <c r="Y598" i="4"/>
  <c r="AA597" i="4"/>
  <c r="Y597" i="4"/>
  <c r="AA596" i="4"/>
  <c r="Y596" i="4"/>
  <c r="AA595" i="4"/>
  <c r="Y595" i="4"/>
  <c r="AA594" i="4"/>
  <c r="Y594" i="4"/>
  <c r="AA593" i="4"/>
  <c r="Y593" i="4"/>
  <c r="AA592" i="4"/>
  <c r="Y592" i="4"/>
  <c r="AA591" i="4"/>
  <c r="Y591" i="4"/>
  <c r="AA590" i="4"/>
  <c r="Y590" i="4"/>
  <c r="AA589" i="4"/>
  <c r="Y589" i="4"/>
  <c r="AA588" i="4"/>
  <c r="Y588" i="4"/>
  <c r="AA587" i="4"/>
  <c r="Y587" i="4"/>
  <c r="AA586" i="4"/>
  <c r="Y586" i="4"/>
  <c r="AA585" i="4"/>
  <c r="Y585" i="4"/>
  <c r="AA584" i="4"/>
  <c r="Y584" i="4"/>
  <c r="AA583" i="4"/>
  <c r="Y583" i="4"/>
  <c r="AA582" i="4"/>
  <c r="Y582" i="4"/>
  <c r="AA581" i="4"/>
  <c r="Y581" i="4"/>
  <c r="AA580" i="4"/>
  <c r="Y580" i="4"/>
  <c r="AA579" i="4"/>
  <c r="Y579" i="4"/>
  <c r="AA578" i="4"/>
  <c r="Y578" i="4"/>
  <c r="AA577" i="4"/>
  <c r="Y577" i="4"/>
  <c r="AA576" i="4"/>
  <c r="Y576" i="4"/>
  <c r="AA575" i="4"/>
  <c r="Y575" i="4"/>
  <c r="AA574" i="4"/>
  <c r="Y574" i="4"/>
  <c r="AA573" i="4"/>
  <c r="Y573" i="4"/>
  <c r="AA572" i="4"/>
  <c r="Y572" i="4"/>
  <c r="AA571" i="4"/>
  <c r="Y571" i="4"/>
  <c r="AA570" i="4"/>
  <c r="Y570" i="4"/>
  <c r="AA569" i="4"/>
  <c r="Y569" i="4"/>
  <c r="AA568" i="4"/>
  <c r="Y568" i="4"/>
  <c r="AA567" i="4"/>
  <c r="Y567" i="4"/>
  <c r="AA566" i="4"/>
  <c r="Y566" i="4"/>
  <c r="AA565" i="4"/>
  <c r="Y565" i="4"/>
  <c r="AA564" i="4"/>
  <c r="Y564" i="4"/>
  <c r="AA563" i="4"/>
  <c r="Y563" i="4"/>
  <c r="AA562" i="4"/>
  <c r="Y562" i="4"/>
  <c r="AA561" i="4"/>
  <c r="Y561" i="4"/>
  <c r="AA560" i="4"/>
  <c r="Y560" i="4"/>
  <c r="AA559" i="4"/>
  <c r="Y559" i="4"/>
  <c r="AA558" i="4"/>
  <c r="Y558" i="4"/>
  <c r="AA557" i="4"/>
  <c r="Y557" i="4"/>
  <c r="AA556" i="4"/>
  <c r="Y556" i="4"/>
  <c r="AA555" i="4"/>
  <c r="Y555" i="4"/>
  <c r="AA554" i="4"/>
  <c r="Y554" i="4"/>
  <c r="AA553" i="4"/>
  <c r="Y553" i="4"/>
  <c r="AA552" i="4"/>
  <c r="Y552" i="4"/>
  <c r="AA551" i="4"/>
  <c r="Y551" i="4"/>
  <c r="AA550" i="4"/>
  <c r="Y550" i="4"/>
  <c r="AA549" i="4"/>
  <c r="Y549" i="4"/>
  <c r="AA548" i="4"/>
  <c r="Y548" i="4"/>
  <c r="AA547" i="4"/>
  <c r="Y547" i="4"/>
  <c r="AA546" i="4"/>
  <c r="Y546" i="4"/>
  <c r="AA545" i="4"/>
  <c r="Y545" i="4"/>
  <c r="AA544" i="4"/>
  <c r="Y544" i="4"/>
  <c r="AA543" i="4"/>
  <c r="Y543" i="4"/>
  <c r="AA542" i="4"/>
  <c r="Y542" i="4"/>
  <c r="AA541" i="4"/>
  <c r="Y541" i="4"/>
  <c r="AA540" i="4"/>
  <c r="Y540" i="4"/>
  <c r="AA539" i="4"/>
  <c r="Y539" i="4"/>
  <c r="AA538" i="4"/>
  <c r="Y538" i="4"/>
  <c r="AA537" i="4"/>
  <c r="Y537" i="4"/>
  <c r="AA536" i="4"/>
  <c r="Y536" i="4"/>
  <c r="AA535" i="4"/>
  <c r="Y535" i="4"/>
  <c r="AA534" i="4"/>
  <c r="Y534" i="4"/>
  <c r="AA533" i="4"/>
  <c r="Y533" i="4"/>
  <c r="AA532" i="4"/>
  <c r="Y532" i="4"/>
  <c r="AA531" i="4"/>
  <c r="Y531" i="4"/>
  <c r="AA530" i="4"/>
  <c r="Y530" i="4"/>
  <c r="AA529" i="4"/>
  <c r="Y529" i="4"/>
  <c r="AA528" i="4"/>
  <c r="Y528" i="4"/>
  <c r="AA527" i="4"/>
  <c r="Y527" i="4"/>
  <c r="AA526" i="4"/>
  <c r="Y526" i="4"/>
  <c r="AA525" i="4"/>
  <c r="Y525" i="4"/>
  <c r="AA524" i="4"/>
  <c r="Y524" i="4"/>
  <c r="AA523" i="4"/>
  <c r="Y523" i="4"/>
  <c r="AA522" i="4"/>
  <c r="Y522" i="4"/>
  <c r="AA521" i="4"/>
  <c r="Y521" i="4"/>
  <c r="AA520" i="4"/>
  <c r="Y520" i="4"/>
  <c r="AA519" i="4"/>
  <c r="Y519" i="4"/>
  <c r="AA518" i="4"/>
  <c r="Y518" i="4"/>
  <c r="AA517" i="4"/>
  <c r="Y517" i="4"/>
  <c r="AA516" i="4"/>
  <c r="Y516" i="4"/>
  <c r="AA515" i="4"/>
  <c r="Y515" i="4"/>
  <c r="AA514" i="4"/>
  <c r="Y514" i="4"/>
  <c r="AA513" i="4"/>
  <c r="Y513" i="4"/>
  <c r="AA512" i="4"/>
  <c r="Y512" i="4"/>
  <c r="AA511" i="4"/>
  <c r="Y511" i="4"/>
  <c r="AA510" i="4"/>
  <c r="Y510" i="4"/>
  <c r="AA509" i="4"/>
  <c r="Y509" i="4"/>
  <c r="AA508" i="4"/>
  <c r="Y508" i="4"/>
  <c r="AA507" i="4"/>
  <c r="Y507" i="4"/>
  <c r="AA506" i="4"/>
  <c r="Y506" i="4"/>
  <c r="AA505" i="4"/>
  <c r="Y505" i="4"/>
  <c r="AA504" i="4"/>
  <c r="Y504" i="4"/>
  <c r="AA503" i="4"/>
  <c r="Y503" i="4"/>
  <c r="AA502" i="4"/>
  <c r="Y502" i="4"/>
  <c r="AA501" i="4"/>
  <c r="Y501" i="4"/>
  <c r="AA500" i="4"/>
  <c r="Y500" i="4"/>
  <c r="AA499" i="4"/>
  <c r="Y499" i="4"/>
  <c r="AA498" i="4"/>
  <c r="Y498" i="4"/>
  <c r="AA497" i="4"/>
  <c r="Y497" i="4"/>
  <c r="AA496" i="4"/>
  <c r="Y496" i="4"/>
  <c r="AA495" i="4"/>
  <c r="Y495" i="4"/>
  <c r="AA494" i="4"/>
  <c r="Y494" i="4"/>
  <c r="AA493" i="4"/>
  <c r="Y493" i="4"/>
  <c r="AA492" i="4"/>
  <c r="Y492" i="4"/>
  <c r="AA491" i="4"/>
  <c r="Y491" i="4"/>
  <c r="AA490" i="4"/>
  <c r="Y490" i="4"/>
  <c r="AA489" i="4"/>
  <c r="Y489" i="4"/>
  <c r="AA488" i="4"/>
  <c r="Y488" i="4"/>
  <c r="AA487" i="4"/>
  <c r="Y487" i="4"/>
  <c r="AA486" i="4"/>
  <c r="Y486" i="4"/>
  <c r="AA485" i="4"/>
  <c r="Y485" i="4"/>
  <c r="AA484" i="4"/>
  <c r="Y484" i="4"/>
  <c r="AA483" i="4"/>
  <c r="Y483" i="4"/>
  <c r="AA482" i="4"/>
  <c r="Y482" i="4"/>
  <c r="AA481" i="4"/>
  <c r="Y481" i="4"/>
  <c r="AA480" i="4"/>
  <c r="Y480" i="4"/>
  <c r="AA479" i="4"/>
  <c r="Y479" i="4"/>
  <c r="AA478" i="4"/>
  <c r="Y478" i="4"/>
  <c r="AA477" i="4"/>
  <c r="Y477" i="4"/>
  <c r="AA476" i="4"/>
  <c r="Y476" i="4"/>
  <c r="AA475" i="4"/>
  <c r="Y475" i="4"/>
  <c r="AA474" i="4"/>
  <c r="Y474" i="4"/>
  <c r="AA473" i="4"/>
  <c r="Y473" i="4"/>
  <c r="AA472" i="4"/>
  <c r="Y472" i="4"/>
  <c r="AA471" i="4"/>
  <c r="Y471" i="4"/>
  <c r="AA470" i="4"/>
  <c r="Y470" i="4"/>
  <c r="AA469" i="4"/>
  <c r="Y469" i="4"/>
  <c r="AA468" i="4"/>
  <c r="Y468" i="4"/>
  <c r="AA467" i="4"/>
  <c r="Y467" i="4"/>
  <c r="AA466" i="4"/>
  <c r="Y466" i="4"/>
  <c r="AA465" i="4"/>
  <c r="Y465" i="4"/>
  <c r="AA464" i="4"/>
  <c r="Y464" i="4"/>
  <c r="AA463" i="4"/>
  <c r="Y463" i="4"/>
  <c r="AA462" i="4"/>
  <c r="Y462" i="4"/>
  <c r="AA461" i="4"/>
  <c r="Y461" i="4"/>
  <c r="AA460" i="4"/>
  <c r="Y460" i="4"/>
  <c r="AA459" i="4"/>
  <c r="Y459" i="4"/>
  <c r="AA458" i="4"/>
  <c r="Y458" i="4"/>
  <c r="AA457" i="4"/>
  <c r="Y457" i="4"/>
  <c r="AA456" i="4"/>
  <c r="Y456" i="4"/>
  <c r="AA455" i="4"/>
  <c r="Y455" i="4"/>
  <c r="AA454" i="4"/>
  <c r="Y454" i="4"/>
  <c r="AA453" i="4"/>
  <c r="Y453" i="4"/>
  <c r="AA452" i="4"/>
  <c r="Y452" i="4"/>
  <c r="AA451" i="4"/>
  <c r="Y451" i="4"/>
  <c r="AA450" i="4"/>
  <c r="Y450" i="4"/>
  <c r="AA449" i="4"/>
  <c r="Y449" i="4"/>
  <c r="AA448" i="4"/>
  <c r="Y448" i="4"/>
  <c r="AA447" i="4"/>
  <c r="Y447" i="4"/>
  <c r="AA446" i="4"/>
  <c r="Y446" i="4"/>
  <c r="AA445" i="4"/>
  <c r="Y445" i="4"/>
  <c r="AA444" i="4"/>
  <c r="Y444" i="4"/>
  <c r="AA443" i="4"/>
  <c r="Y443" i="4"/>
  <c r="AA442" i="4"/>
  <c r="Y442" i="4"/>
  <c r="AA441" i="4"/>
  <c r="Y441" i="4"/>
  <c r="AA440" i="4"/>
  <c r="Y440" i="4"/>
  <c r="AA439" i="4"/>
  <c r="Y439" i="4"/>
  <c r="AA438" i="4"/>
  <c r="Y438" i="4"/>
  <c r="AA437" i="4"/>
  <c r="Y437" i="4"/>
  <c r="AA436" i="4"/>
  <c r="Y436" i="4"/>
  <c r="AA435" i="4"/>
  <c r="Y435" i="4"/>
  <c r="AA434" i="4"/>
  <c r="Y434" i="4"/>
  <c r="AA433" i="4"/>
  <c r="Y433" i="4"/>
  <c r="AA432" i="4"/>
  <c r="Y432" i="4"/>
  <c r="AA431" i="4"/>
  <c r="Y431" i="4"/>
  <c r="AA430" i="4"/>
  <c r="Y430" i="4"/>
  <c r="AA429" i="4"/>
  <c r="Y429" i="4"/>
  <c r="AA428" i="4"/>
  <c r="Y428" i="4"/>
  <c r="AA427" i="4"/>
  <c r="Y427" i="4"/>
  <c r="AA426" i="4"/>
  <c r="Y426" i="4"/>
  <c r="AA425" i="4"/>
  <c r="Y425" i="4"/>
  <c r="AA424" i="4"/>
  <c r="Y424" i="4"/>
  <c r="AA423" i="4"/>
  <c r="Y423" i="4"/>
  <c r="AA422" i="4"/>
  <c r="Y422" i="4"/>
  <c r="AA421" i="4"/>
  <c r="Y421" i="4"/>
  <c r="AA420" i="4"/>
  <c r="Y420" i="4"/>
  <c r="AA419" i="4"/>
  <c r="Y419" i="4"/>
  <c r="AA418" i="4"/>
  <c r="Y418" i="4"/>
  <c r="AA417" i="4"/>
  <c r="Y417" i="4"/>
  <c r="AA416" i="4"/>
  <c r="Y416" i="4"/>
  <c r="AA415" i="4"/>
  <c r="Y415" i="4"/>
  <c r="AA414" i="4"/>
  <c r="Y414" i="4"/>
  <c r="AA413" i="4"/>
  <c r="Y413" i="4"/>
  <c r="AA412" i="4"/>
  <c r="Y412" i="4"/>
  <c r="AA411" i="4"/>
  <c r="Y411" i="4"/>
  <c r="AA410" i="4"/>
  <c r="Y410" i="4"/>
  <c r="AA409" i="4"/>
  <c r="Y409" i="4"/>
  <c r="AA408" i="4"/>
  <c r="Y408" i="4"/>
  <c r="AA407" i="4"/>
  <c r="Y407" i="4"/>
  <c r="AA406" i="4"/>
  <c r="Y406" i="4"/>
  <c r="AA405" i="4"/>
  <c r="Y405" i="4"/>
  <c r="AA404" i="4"/>
  <c r="Y404" i="4"/>
  <c r="AA403" i="4"/>
  <c r="Y403" i="4"/>
  <c r="AA402" i="4"/>
  <c r="Y402" i="4"/>
  <c r="AA401" i="4"/>
  <c r="Y401" i="4"/>
  <c r="AA400" i="4"/>
  <c r="Y400" i="4"/>
  <c r="AA399" i="4"/>
  <c r="Y399" i="4"/>
  <c r="AA398" i="4"/>
  <c r="Y398" i="4"/>
  <c r="AA397" i="4"/>
  <c r="Y397" i="4"/>
  <c r="AA396" i="4"/>
  <c r="Y396" i="4"/>
  <c r="AA395" i="4"/>
  <c r="Y395" i="4"/>
  <c r="AA394" i="4"/>
  <c r="Y394" i="4"/>
  <c r="AA393" i="4"/>
  <c r="Y393" i="4"/>
  <c r="AA392" i="4"/>
  <c r="Y392" i="4"/>
  <c r="AA391" i="4"/>
  <c r="Y391" i="4"/>
  <c r="AA390" i="4"/>
  <c r="Y390" i="4"/>
  <c r="AA389" i="4"/>
  <c r="Y389" i="4"/>
  <c r="AA388" i="4"/>
  <c r="Y388" i="4"/>
  <c r="AA387" i="4"/>
  <c r="Y387" i="4"/>
  <c r="AA386" i="4"/>
  <c r="Y386" i="4"/>
  <c r="AA385" i="4"/>
  <c r="Y385" i="4"/>
  <c r="AA384" i="4"/>
  <c r="Y384" i="4"/>
  <c r="AA383" i="4"/>
  <c r="Y383" i="4"/>
  <c r="AA382" i="4"/>
  <c r="Y382" i="4"/>
  <c r="AA381" i="4"/>
  <c r="Y381" i="4"/>
  <c r="AA380" i="4"/>
  <c r="Y380" i="4"/>
  <c r="AA379" i="4"/>
  <c r="Y379" i="4"/>
  <c r="AA378" i="4"/>
  <c r="Y378" i="4"/>
  <c r="AA377" i="4"/>
  <c r="Y377" i="4"/>
  <c r="AA376" i="4"/>
  <c r="Y376" i="4"/>
  <c r="AA375" i="4"/>
  <c r="Y375" i="4"/>
  <c r="AA374" i="4"/>
  <c r="Y374" i="4"/>
  <c r="AA373" i="4"/>
  <c r="Y373" i="4"/>
  <c r="AA372" i="4"/>
  <c r="Y372" i="4"/>
  <c r="AA371" i="4"/>
  <c r="Y371" i="4"/>
  <c r="AA370" i="4"/>
  <c r="Y370" i="4"/>
  <c r="AA369" i="4"/>
  <c r="Y369" i="4"/>
  <c r="AA368" i="4"/>
  <c r="Y368" i="4"/>
  <c r="AA367" i="4"/>
  <c r="Y367" i="4"/>
  <c r="AA366" i="4"/>
  <c r="Y366" i="4"/>
  <c r="AA365" i="4"/>
  <c r="Y365" i="4"/>
  <c r="AA364" i="4"/>
  <c r="Y364" i="4"/>
  <c r="AA363" i="4"/>
  <c r="Y363" i="4"/>
  <c r="AA362" i="4"/>
  <c r="Y362" i="4"/>
  <c r="AA361" i="4"/>
  <c r="Y361" i="4"/>
  <c r="AA360" i="4"/>
  <c r="Y360" i="4"/>
  <c r="AA359" i="4"/>
  <c r="Y359" i="4"/>
  <c r="AA358" i="4"/>
  <c r="Y358" i="4"/>
  <c r="AA357" i="4"/>
  <c r="Y357" i="4"/>
  <c r="AA356" i="4"/>
  <c r="Y356" i="4"/>
  <c r="AA355" i="4"/>
  <c r="Y355" i="4"/>
  <c r="AA354" i="4"/>
  <c r="Y354" i="4"/>
  <c r="AA353" i="4"/>
  <c r="Y353" i="4"/>
  <c r="AA352" i="4"/>
  <c r="Y352" i="4"/>
  <c r="AA351" i="4"/>
  <c r="Y351" i="4"/>
  <c r="AA350" i="4"/>
  <c r="Y350" i="4"/>
  <c r="AA349" i="4"/>
  <c r="Y349" i="4"/>
  <c r="AA348" i="4"/>
  <c r="Y348" i="4"/>
  <c r="AA347" i="4"/>
  <c r="Y347" i="4"/>
  <c r="AA346" i="4"/>
  <c r="Y346" i="4"/>
  <c r="AA345" i="4"/>
  <c r="Y345" i="4"/>
  <c r="AA344" i="4"/>
  <c r="Y344" i="4"/>
  <c r="AA343" i="4"/>
  <c r="Y343" i="4"/>
  <c r="AA342" i="4"/>
  <c r="Y342" i="4"/>
  <c r="AA341" i="4"/>
  <c r="Y341" i="4"/>
  <c r="AA340" i="4"/>
  <c r="Y340" i="4"/>
  <c r="AA339" i="4"/>
  <c r="Y339" i="4"/>
  <c r="AA338" i="4"/>
  <c r="Y338" i="4"/>
  <c r="AA337" i="4"/>
  <c r="Y337" i="4"/>
  <c r="AA336" i="4"/>
  <c r="Y336" i="4"/>
  <c r="AA335" i="4"/>
  <c r="Y335" i="4"/>
  <c r="AA334" i="4"/>
  <c r="Y334" i="4"/>
  <c r="AA333" i="4"/>
  <c r="Y333" i="4"/>
  <c r="AA332" i="4"/>
  <c r="Y332" i="4"/>
  <c r="AA331" i="4"/>
  <c r="Y331" i="4"/>
  <c r="AA330" i="4"/>
  <c r="Y330" i="4"/>
  <c r="AA329" i="4"/>
  <c r="Y329" i="4"/>
  <c r="AA328" i="4"/>
  <c r="Y328" i="4"/>
  <c r="AA327" i="4"/>
  <c r="Y327" i="4"/>
  <c r="AA326" i="4"/>
  <c r="Y326" i="4"/>
  <c r="AA325" i="4"/>
  <c r="Y325" i="4"/>
  <c r="AA324" i="4"/>
  <c r="Y324" i="4"/>
  <c r="AA323" i="4"/>
  <c r="Y323" i="4"/>
  <c r="AA322" i="4"/>
  <c r="Y322" i="4"/>
  <c r="AA321" i="4"/>
  <c r="Y321" i="4"/>
  <c r="AA320" i="4"/>
  <c r="Y320" i="4"/>
  <c r="AA319" i="4"/>
  <c r="Y319" i="4"/>
  <c r="AA318" i="4"/>
  <c r="Y318" i="4"/>
  <c r="AA317" i="4"/>
  <c r="Y317" i="4"/>
  <c r="AA316" i="4"/>
  <c r="Y316" i="4"/>
  <c r="AA315" i="4"/>
  <c r="Y315" i="4"/>
  <c r="AA314" i="4"/>
  <c r="Y314" i="4"/>
  <c r="AA313" i="4"/>
  <c r="Y313" i="4"/>
  <c r="AA312" i="4"/>
  <c r="Y312" i="4"/>
  <c r="AA311" i="4"/>
  <c r="Y311" i="4"/>
  <c r="AA310" i="4"/>
  <c r="Y310" i="4"/>
  <c r="AA309" i="4"/>
  <c r="Y309" i="4"/>
  <c r="AA308" i="4"/>
  <c r="Y308" i="4"/>
  <c r="AA307" i="4"/>
  <c r="Y307" i="4"/>
  <c r="AA306" i="4"/>
  <c r="Y306" i="4"/>
  <c r="AA305" i="4"/>
  <c r="Y305" i="4"/>
  <c r="AA304" i="4"/>
  <c r="Y304" i="4"/>
  <c r="AA303" i="4"/>
  <c r="Y303" i="4"/>
  <c r="AA302" i="4"/>
  <c r="Y302" i="4"/>
  <c r="AA301" i="4"/>
  <c r="Y301" i="4"/>
  <c r="AA300" i="4"/>
  <c r="Y300" i="4"/>
  <c r="AA299" i="4"/>
  <c r="Y299" i="4"/>
  <c r="AA298" i="4"/>
  <c r="Y298" i="4"/>
  <c r="AA297" i="4"/>
  <c r="Y297" i="4"/>
  <c r="AA296" i="4"/>
  <c r="Y296" i="4"/>
  <c r="AA295" i="4"/>
  <c r="Y295" i="4"/>
  <c r="AA294" i="4"/>
  <c r="Y294" i="4"/>
  <c r="AA293" i="4"/>
  <c r="Y293" i="4"/>
  <c r="AA292" i="4"/>
  <c r="Y292" i="4"/>
  <c r="AA291" i="4"/>
  <c r="Y291" i="4"/>
  <c r="AA290" i="4"/>
  <c r="Y290" i="4"/>
  <c r="AA289" i="4"/>
  <c r="Y289" i="4"/>
  <c r="AA288" i="4"/>
  <c r="Y288" i="4"/>
  <c r="AA287" i="4"/>
  <c r="Y287" i="4"/>
  <c r="AA286" i="4"/>
  <c r="Y286" i="4"/>
  <c r="AA285" i="4"/>
  <c r="Y285" i="4"/>
  <c r="AA284" i="4"/>
  <c r="Y284" i="4"/>
  <c r="AA283" i="4"/>
  <c r="Y283" i="4"/>
  <c r="AA282" i="4"/>
  <c r="Y282" i="4"/>
  <c r="AA281" i="4"/>
  <c r="Y281" i="4"/>
  <c r="AA280" i="4"/>
  <c r="Y280" i="4"/>
  <c r="AA279" i="4"/>
  <c r="Y279" i="4"/>
  <c r="AA278" i="4"/>
  <c r="Y278" i="4"/>
  <c r="AA277" i="4"/>
  <c r="Y277" i="4"/>
  <c r="AA276" i="4"/>
  <c r="Y276" i="4"/>
  <c r="AA275" i="4"/>
  <c r="Y275" i="4"/>
  <c r="AA274" i="4"/>
  <c r="Y274" i="4"/>
  <c r="AA273" i="4"/>
  <c r="Y273" i="4"/>
  <c r="AA272" i="4"/>
  <c r="Y272" i="4"/>
  <c r="AA271" i="4"/>
  <c r="Y271" i="4"/>
  <c r="AA270" i="4"/>
  <c r="Y270" i="4"/>
  <c r="AA269" i="4"/>
  <c r="Y269" i="4"/>
  <c r="AA268" i="4"/>
  <c r="Y268" i="4"/>
  <c r="AA267" i="4"/>
  <c r="Y267" i="4"/>
  <c r="AA266" i="4"/>
  <c r="Y266" i="4"/>
  <c r="AA265" i="4"/>
  <c r="Y265" i="4"/>
  <c r="AA264" i="4"/>
  <c r="Y264" i="4"/>
  <c r="AA263" i="4"/>
  <c r="Y263" i="4"/>
  <c r="AA262" i="4"/>
  <c r="Y262" i="4"/>
  <c r="AA261" i="4"/>
  <c r="Y261" i="4"/>
  <c r="AA260" i="4"/>
  <c r="Y260" i="4"/>
  <c r="AA259" i="4"/>
  <c r="Y259" i="4"/>
  <c r="AA258" i="4"/>
  <c r="Y258" i="4"/>
  <c r="AA257" i="4"/>
  <c r="Y257" i="4"/>
  <c r="AA256" i="4"/>
  <c r="Y256" i="4"/>
  <c r="AA255" i="4"/>
  <c r="Y255" i="4"/>
  <c r="AA254" i="4"/>
  <c r="Y254" i="4"/>
  <c r="AA253" i="4"/>
  <c r="Y253" i="4"/>
  <c r="AA252" i="4"/>
  <c r="Y252" i="4"/>
  <c r="AA251" i="4"/>
  <c r="Y251" i="4"/>
  <c r="AA250" i="4"/>
  <c r="Y250" i="4"/>
  <c r="AA249" i="4"/>
  <c r="Y249" i="4"/>
  <c r="AA248" i="4"/>
  <c r="Y248" i="4"/>
  <c r="AA247" i="4"/>
  <c r="Y247" i="4"/>
  <c r="AA246" i="4"/>
  <c r="Y246" i="4"/>
  <c r="AA245" i="4"/>
  <c r="Y245" i="4"/>
  <c r="AA244" i="4"/>
  <c r="Y244" i="4"/>
  <c r="AA243" i="4"/>
  <c r="Y243" i="4"/>
  <c r="AA242" i="4"/>
  <c r="Y242" i="4"/>
  <c r="AA241" i="4"/>
  <c r="Y241" i="4"/>
  <c r="AA240" i="4"/>
  <c r="Y240" i="4"/>
  <c r="AA239" i="4"/>
  <c r="Y239" i="4"/>
  <c r="AA238" i="4"/>
  <c r="Y238" i="4"/>
  <c r="AA237" i="4"/>
  <c r="Y237" i="4"/>
  <c r="AA236" i="4"/>
  <c r="Y236" i="4"/>
  <c r="AA235" i="4"/>
  <c r="Y235" i="4"/>
  <c r="AA234" i="4"/>
  <c r="Y234" i="4"/>
  <c r="AA233" i="4"/>
  <c r="Y233" i="4"/>
  <c r="AA232" i="4"/>
  <c r="Y232" i="4"/>
  <c r="AA231" i="4"/>
  <c r="Y231" i="4"/>
  <c r="AA230" i="4"/>
  <c r="Y230" i="4"/>
  <c r="AA229" i="4"/>
  <c r="Y229" i="4"/>
  <c r="AA228" i="4"/>
  <c r="Y228" i="4"/>
  <c r="AA227" i="4"/>
  <c r="Y227" i="4"/>
  <c r="AA226" i="4"/>
  <c r="Y226" i="4"/>
  <c r="AA225" i="4"/>
  <c r="Y225" i="4"/>
  <c r="AA224" i="4"/>
  <c r="Y224" i="4"/>
  <c r="AA223" i="4"/>
  <c r="Y223" i="4"/>
  <c r="AA222" i="4"/>
  <c r="Y222" i="4"/>
  <c r="AA221" i="4"/>
  <c r="Y221" i="4"/>
  <c r="AA220" i="4"/>
  <c r="Y220" i="4"/>
  <c r="AA219" i="4"/>
  <c r="Y219" i="4"/>
  <c r="AA218" i="4"/>
  <c r="Y218" i="4"/>
  <c r="AA217" i="4"/>
  <c r="Y217" i="4"/>
  <c r="AA216" i="4"/>
  <c r="Y216" i="4"/>
  <c r="AA215" i="4"/>
  <c r="Y215" i="4"/>
  <c r="AA214" i="4"/>
  <c r="Y214" i="4"/>
  <c r="AA213" i="4"/>
  <c r="Y213" i="4"/>
  <c r="AA212" i="4"/>
  <c r="Y212" i="4"/>
  <c r="AA211" i="4"/>
  <c r="Y211" i="4"/>
  <c r="AA210" i="4"/>
  <c r="Y210" i="4"/>
  <c r="AA209" i="4"/>
  <c r="Y209" i="4"/>
  <c r="AA208" i="4"/>
  <c r="Y208" i="4"/>
  <c r="AA207" i="4"/>
  <c r="Y207" i="4"/>
  <c r="AA206" i="4"/>
  <c r="Y206" i="4"/>
  <c r="AA205" i="4"/>
  <c r="Y205" i="4"/>
  <c r="AA204" i="4"/>
  <c r="Y204" i="4"/>
  <c r="AA203" i="4"/>
  <c r="Y203" i="4"/>
  <c r="AA202" i="4"/>
  <c r="Y202" i="4"/>
  <c r="AA201" i="4"/>
  <c r="Y201" i="4"/>
  <c r="AA200" i="4"/>
  <c r="Y200" i="4"/>
  <c r="AA199" i="4"/>
  <c r="Y199" i="4"/>
  <c r="AA198" i="4"/>
  <c r="Y198" i="4"/>
  <c r="AA197" i="4"/>
  <c r="Y197" i="4"/>
  <c r="AA196" i="4"/>
  <c r="Y196" i="4"/>
  <c r="AA195" i="4"/>
  <c r="Y195" i="4"/>
  <c r="AA194" i="4"/>
  <c r="Y194" i="4"/>
  <c r="AA193" i="4"/>
  <c r="Y193" i="4"/>
  <c r="AA192" i="4"/>
  <c r="Y192" i="4"/>
  <c r="AA191" i="4"/>
  <c r="Y191" i="4"/>
  <c r="AA190" i="4"/>
  <c r="Y190" i="4"/>
  <c r="AA189" i="4"/>
  <c r="Y189" i="4"/>
  <c r="AA188" i="4"/>
  <c r="Y188" i="4"/>
  <c r="AA187" i="4"/>
  <c r="Y187" i="4"/>
  <c r="AA186" i="4"/>
  <c r="Y186" i="4"/>
  <c r="AA185" i="4"/>
  <c r="Y185" i="4"/>
  <c r="AA184" i="4"/>
  <c r="Y184" i="4"/>
  <c r="AA183" i="4"/>
  <c r="Y183" i="4"/>
  <c r="AA182" i="4"/>
  <c r="Y182" i="4"/>
  <c r="AA181" i="4"/>
  <c r="Y181" i="4"/>
  <c r="AA180" i="4"/>
  <c r="Y180" i="4"/>
  <c r="AA179" i="4"/>
  <c r="Y179" i="4"/>
  <c r="AA178" i="4"/>
  <c r="Y178" i="4"/>
  <c r="AA177" i="4"/>
  <c r="Y177" i="4"/>
  <c r="AA176" i="4"/>
  <c r="Y176" i="4"/>
  <c r="AA175" i="4"/>
  <c r="Y175" i="4"/>
  <c r="AA174" i="4"/>
  <c r="Y174" i="4"/>
  <c r="AA173" i="4"/>
  <c r="Y173" i="4"/>
  <c r="AA172" i="4"/>
  <c r="Y172" i="4"/>
  <c r="AA171" i="4"/>
  <c r="Y171" i="4"/>
  <c r="AA170" i="4"/>
  <c r="Y170" i="4"/>
  <c r="AA169" i="4"/>
  <c r="Y169" i="4"/>
  <c r="AA168" i="4"/>
  <c r="Y168" i="4"/>
  <c r="AA167" i="4"/>
  <c r="Y167" i="4"/>
  <c r="AA166" i="4"/>
  <c r="Y166" i="4"/>
  <c r="AA165" i="4"/>
  <c r="Y165" i="4"/>
  <c r="AA164" i="4"/>
  <c r="Y164" i="4"/>
  <c r="AA163" i="4"/>
  <c r="Y163" i="4"/>
  <c r="AA162" i="4"/>
  <c r="Y162" i="4"/>
  <c r="AA161" i="4"/>
  <c r="Y161" i="4"/>
  <c r="AA160" i="4"/>
  <c r="Y160" i="4"/>
  <c r="AA159" i="4"/>
  <c r="Y159" i="4"/>
  <c r="AA158" i="4"/>
  <c r="Y158" i="4"/>
  <c r="AA157" i="4"/>
  <c r="Y157" i="4"/>
  <c r="AA156" i="4"/>
  <c r="Y156" i="4"/>
  <c r="AA155" i="4"/>
  <c r="Y155" i="4"/>
  <c r="AA154" i="4"/>
  <c r="Y154" i="4"/>
  <c r="AA153" i="4"/>
  <c r="Y153" i="4"/>
  <c r="AA152" i="4"/>
  <c r="Y152" i="4"/>
  <c r="AA151" i="4"/>
  <c r="Y151" i="4"/>
  <c r="AA150" i="4"/>
  <c r="Y150" i="4"/>
  <c r="AA149" i="4"/>
  <c r="Y149" i="4"/>
  <c r="AA148" i="4"/>
  <c r="Y148" i="4"/>
  <c r="AA147" i="4"/>
  <c r="Y147" i="4"/>
  <c r="AA146" i="4"/>
  <c r="Y146" i="4"/>
  <c r="AA145" i="4"/>
  <c r="Y145" i="4"/>
  <c r="AA144" i="4"/>
  <c r="Y144" i="4"/>
  <c r="AA143" i="4"/>
  <c r="Y143" i="4"/>
  <c r="AA142" i="4"/>
  <c r="Y142" i="4"/>
  <c r="AA141" i="4"/>
  <c r="Y141" i="4"/>
  <c r="AA140" i="4"/>
  <c r="Y140" i="4"/>
  <c r="AA139" i="4"/>
  <c r="Y139" i="4"/>
  <c r="AA138" i="4"/>
  <c r="Y138" i="4"/>
  <c r="AA137" i="4"/>
  <c r="Y137" i="4"/>
  <c r="AA136" i="4"/>
  <c r="Y136" i="4"/>
  <c r="AA135" i="4"/>
  <c r="Y135" i="4"/>
  <c r="AA134" i="4"/>
  <c r="Y134" i="4"/>
  <c r="AA133" i="4"/>
  <c r="Y133" i="4"/>
  <c r="AA132" i="4"/>
  <c r="Y132" i="4"/>
  <c r="AA131" i="4"/>
  <c r="Y131" i="4"/>
  <c r="AA130" i="4"/>
  <c r="Y130" i="4"/>
  <c r="AA129" i="4"/>
  <c r="Y129" i="4"/>
  <c r="AA128" i="4"/>
  <c r="Y128" i="4"/>
  <c r="AA127" i="4"/>
  <c r="Y127" i="4"/>
  <c r="AA126" i="4"/>
  <c r="Y126" i="4"/>
  <c r="AA125" i="4"/>
  <c r="Y125" i="4"/>
  <c r="AA124" i="4"/>
  <c r="Y124" i="4"/>
  <c r="AA123" i="4"/>
  <c r="Y123" i="4"/>
  <c r="AA122" i="4"/>
  <c r="Y122" i="4"/>
  <c r="AA121" i="4"/>
  <c r="Y121" i="4"/>
  <c r="AA120" i="4"/>
  <c r="Y120" i="4"/>
  <c r="AA119" i="4"/>
  <c r="Y119" i="4"/>
  <c r="AA118" i="4"/>
  <c r="Y118" i="4"/>
  <c r="AA117" i="4"/>
  <c r="Y117" i="4"/>
  <c r="AA116" i="4"/>
  <c r="Y116" i="4"/>
  <c r="AA115" i="4"/>
  <c r="Y115" i="4"/>
  <c r="AA114" i="4"/>
  <c r="Y114" i="4"/>
  <c r="AA113" i="4"/>
  <c r="Y113" i="4"/>
  <c r="AA112" i="4"/>
  <c r="Y112" i="4"/>
  <c r="AA111" i="4"/>
  <c r="Y111" i="4"/>
  <c r="AA110" i="4"/>
  <c r="Y110" i="4"/>
  <c r="AA109" i="4"/>
  <c r="Y109" i="4"/>
  <c r="AA108" i="4"/>
  <c r="Y108" i="4"/>
  <c r="AA107" i="4"/>
  <c r="Y107" i="4"/>
  <c r="AA106" i="4"/>
  <c r="Y106" i="4"/>
  <c r="AA105" i="4"/>
  <c r="Y105" i="4"/>
  <c r="AA104" i="4"/>
  <c r="Y104" i="4"/>
  <c r="AA103" i="4"/>
  <c r="Y103" i="4"/>
  <c r="AA102" i="4"/>
  <c r="Y102" i="4"/>
  <c r="AA101" i="4"/>
  <c r="Y101" i="4"/>
  <c r="AA100" i="4"/>
  <c r="Y100" i="4"/>
  <c r="AA99" i="4"/>
  <c r="Y99" i="4"/>
  <c r="AA98" i="4"/>
  <c r="Y98" i="4"/>
  <c r="AA97" i="4"/>
  <c r="Y97" i="4"/>
  <c r="AA96" i="4"/>
  <c r="Y96" i="4"/>
  <c r="AA95" i="4"/>
  <c r="Y95" i="4"/>
  <c r="AA94" i="4"/>
  <c r="Y94" i="4"/>
  <c r="AA93" i="4"/>
  <c r="Y93" i="4"/>
  <c r="AA92" i="4"/>
  <c r="Y92" i="4"/>
  <c r="AA91" i="4"/>
  <c r="Y91" i="4"/>
  <c r="AA90" i="4"/>
  <c r="Y90" i="4"/>
  <c r="AA89" i="4"/>
  <c r="Y89" i="4"/>
  <c r="AA88" i="4"/>
  <c r="Y88" i="4"/>
  <c r="AA87" i="4"/>
  <c r="Y87" i="4"/>
  <c r="AA86" i="4"/>
  <c r="Y86" i="4"/>
  <c r="AA85" i="4"/>
  <c r="Y85" i="4"/>
  <c r="AA84" i="4"/>
  <c r="Y84" i="4"/>
  <c r="AA83" i="4"/>
  <c r="Y83" i="4"/>
  <c r="AA82" i="4"/>
  <c r="Y82" i="4"/>
  <c r="AA81" i="4"/>
  <c r="Y81" i="4"/>
  <c r="AA80" i="4"/>
  <c r="Y80" i="4"/>
  <c r="AA79" i="4"/>
  <c r="Y79" i="4"/>
  <c r="AA78" i="4"/>
  <c r="Y78" i="4"/>
  <c r="AA77" i="4"/>
  <c r="Y77" i="4"/>
  <c r="AA76" i="4"/>
  <c r="Y76" i="4"/>
  <c r="AA75" i="4"/>
  <c r="Y75" i="4"/>
  <c r="AA74" i="4"/>
  <c r="Y74" i="4"/>
  <c r="AA73" i="4"/>
  <c r="Y73" i="4"/>
  <c r="AA72" i="4"/>
  <c r="Y72" i="4"/>
  <c r="AA71" i="4"/>
  <c r="Y71" i="4"/>
  <c r="AA70" i="4"/>
  <c r="Y70" i="4"/>
  <c r="AA69" i="4"/>
  <c r="Y69" i="4"/>
  <c r="AA68" i="4"/>
  <c r="Y68" i="4"/>
  <c r="AA67" i="4"/>
  <c r="Y67" i="4"/>
  <c r="AA66" i="4"/>
  <c r="Y66" i="4"/>
  <c r="AA65" i="4"/>
  <c r="Y65" i="4"/>
  <c r="AA64" i="4"/>
  <c r="Y64" i="4"/>
  <c r="AA63" i="4"/>
  <c r="Y63" i="4"/>
  <c r="AA62" i="4"/>
  <c r="Y62" i="4"/>
  <c r="AA61" i="4"/>
  <c r="Y61" i="4"/>
  <c r="AA60" i="4"/>
  <c r="Y60" i="4"/>
  <c r="AA59" i="4"/>
  <c r="Y59" i="4"/>
  <c r="AA58" i="4"/>
  <c r="Y58" i="4"/>
  <c r="AA57" i="4"/>
  <c r="Y57" i="4"/>
  <c r="AA56" i="4"/>
  <c r="Y56" i="4"/>
  <c r="AA55" i="4"/>
  <c r="Y55" i="4"/>
  <c r="AA54" i="4"/>
  <c r="Y54" i="4"/>
  <c r="AA53" i="4"/>
  <c r="Y53" i="4"/>
  <c r="AA52" i="4"/>
  <c r="Y52" i="4"/>
  <c r="AA51" i="4"/>
  <c r="Y51" i="4"/>
  <c r="AA50" i="4"/>
  <c r="Y50" i="4"/>
  <c r="AA49" i="4"/>
  <c r="Y49" i="4"/>
  <c r="AA48" i="4"/>
  <c r="Y48" i="4"/>
  <c r="AA47" i="4"/>
  <c r="Y47" i="4"/>
  <c r="AA46" i="4"/>
  <c r="Y46" i="4"/>
  <c r="AA45" i="4"/>
  <c r="Y45" i="4"/>
  <c r="AA44" i="4"/>
  <c r="Y44" i="4"/>
  <c r="AA43" i="4"/>
  <c r="Y43" i="4"/>
  <c r="AA42" i="4"/>
  <c r="Y42" i="4"/>
  <c r="AA41" i="4"/>
  <c r="Y41" i="4"/>
  <c r="AA40" i="4"/>
  <c r="Y40" i="4"/>
  <c r="AA39" i="4"/>
  <c r="Y39" i="4"/>
  <c r="AA38" i="4"/>
  <c r="Y38" i="4"/>
  <c r="AA37" i="4"/>
  <c r="Y37" i="4"/>
  <c r="AA36" i="4"/>
  <c r="Y36" i="4"/>
  <c r="AA35" i="4"/>
  <c r="Y35" i="4"/>
  <c r="AA34" i="4"/>
  <c r="Y34" i="4"/>
  <c r="AA33" i="4"/>
  <c r="Y33" i="4"/>
  <c r="AA32" i="4"/>
  <c r="Y32" i="4"/>
  <c r="AA31" i="4"/>
  <c r="Y31" i="4"/>
  <c r="AA30" i="4"/>
  <c r="Y30" i="4"/>
  <c r="AA29" i="4"/>
  <c r="Y29" i="4"/>
  <c r="AA28" i="4"/>
  <c r="Y28" i="4"/>
  <c r="AA27" i="4"/>
  <c r="Y27" i="4"/>
  <c r="AA26" i="4"/>
  <c r="Y26" i="4"/>
  <c r="AA25" i="4"/>
  <c r="Y25" i="4"/>
  <c r="AA24" i="4"/>
  <c r="Y24" i="4"/>
  <c r="AA23" i="4"/>
  <c r="Y23" i="4"/>
  <c r="AA22" i="4"/>
  <c r="Y22" i="4"/>
  <c r="AA21" i="4"/>
  <c r="Y21" i="4"/>
  <c r="AA20" i="4"/>
  <c r="Y20" i="4"/>
  <c r="AA19" i="4"/>
  <c r="Y19" i="4"/>
  <c r="AA18" i="4"/>
  <c r="Y18" i="4"/>
  <c r="AA17" i="4"/>
  <c r="Y17" i="4"/>
  <c r="AA16" i="4"/>
  <c r="Y16" i="4"/>
  <c r="AA15" i="4"/>
  <c r="Y15" i="4"/>
  <c r="AA14" i="4"/>
  <c r="Y14" i="4"/>
  <c r="AA13" i="4"/>
  <c r="Y13" i="4"/>
  <c r="AA12" i="4"/>
  <c r="Y12" i="4"/>
  <c r="AA11" i="4"/>
  <c r="Y11" i="4"/>
  <c r="AA10" i="4"/>
  <c r="Y10" i="4"/>
  <c r="AA9" i="4"/>
  <c r="Y9" i="4"/>
  <c r="AA8" i="4"/>
  <c r="Y8" i="4"/>
  <c r="AA7" i="4"/>
  <c r="Y7" i="4"/>
  <c r="AA6" i="4"/>
  <c r="Y6" i="4"/>
  <c r="AA5" i="4"/>
  <c r="Y5" i="4"/>
  <c r="AA4" i="4"/>
  <c r="Y4" i="4"/>
  <c r="AA3" i="4"/>
  <c r="Y3" i="4"/>
  <c r="AA2" i="4"/>
  <c r="Y2" i="4"/>
  <c r="V2" i="4"/>
  <c r="U1001" i="4"/>
  <c r="U1000" i="4"/>
  <c r="U999" i="4"/>
  <c r="U998" i="4"/>
  <c r="U997" i="4"/>
  <c r="U996" i="4"/>
  <c r="U995" i="4"/>
  <c r="U994" i="4"/>
  <c r="U993" i="4"/>
  <c r="U992" i="4"/>
  <c r="U991" i="4"/>
  <c r="U990" i="4"/>
  <c r="U989" i="4"/>
  <c r="U988" i="4"/>
  <c r="U987" i="4"/>
  <c r="U986" i="4"/>
  <c r="U985" i="4"/>
  <c r="U984" i="4"/>
  <c r="U983" i="4"/>
  <c r="U982" i="4"/>
  <c r="U981" i="4"/>
  <c r="U980" i="4"/>
  <c r="U979" i="4"/>
  <c r="U978" i="4"/>
  <c r="U977" i="4"/>
  <c r="U976" i="4"/>
  <c r="U975" i="4"/>
  <c r="U974" i="4"/>
  <c r="U973" i="4"/>
  <c r="U972" i="4"/>
  <c r="U971" i="4"/>
  <c r="U970" i="4"/>
  <c r="U969" i="4"/>
  <c r="U968" i="4"/>
  <c r="U967" i="4"/>
  <c r="U966" i="4"/>
  <c r="U965" i="4"/>
  <c r="U964" i="4"/>
  <c r="U963" i="4"/>
  <c r="U962" i="4"/>
  <c r="U961" i="4"/>
  <c r="U960" i="4"/>
  <c r="U959" i="4"/>
  <c r="U958" i="4"/>
  <c r="U957" i="4"/>
  <c r="U956" i="4"/>
  <c r="U955" i="4"/>
  <c r="U954" i="4"/>
  <c r="U953" i="4"/>
  <c r="U952" i="4"/>
  <c r="U951" i="4"/>
  <c r="U950" i="4"/>
  <c r="U949" i="4"/>
  <c r="U948" i="4"/>
  <c r="U947" i="4"/>
  <c r="U946" i="4"/>
  <c r="U945" i="4"/>
  <c r="U944" i="4"/>
  <c r="U943" i="4"/>
  <c r="U942" i="4"/>
  <c r="U941" i="4"/>
  <c r="U940" i="4"/>
  <c r="U939" i="4"/>
  <c r="U938" i="4"/>
  <c r="U937" i="4"/>
  <c r="U936" i="4"/>
  <c r="U935" i="4"/>
  <c r="U934" i="4"/>
  <c r="U933" i="4"/>
  <c r="U932" i="4"/>
  <c r="U931" i="4"/>
  <c r="U930" i="4"/>
  <c r="U929" i="4"/>
  <c r="U928" i="4"/>
  <c r="U927" i="4"/>
  <c r="U926" i="4"/>
  <c r="U925" i="4"/>
  <c r="U924" i="4"/>
  <c r="U923" i="4"/>
  <c r="U922" i="4"/>
  <c r="U921" i="4"/>
  <c r="U920" i="4"/>
  <c r="U919" i="4"/>
  <c r="U918" i="4"/>
  <c r="U917" i="4"/>
  <c r="U916" i="4"/>
  <c r="U915" i="4"/>
  <c r="U914" i="4"/>
  <c r="U913" i="4"/>
  <c r="U912" i="4"/>
  <c r="U911" i="4"/>
  <c r="U910" i="4"/>
  <c r="U909" i="4"/>
  <c r="U908" i="4"/>
  <c r="U907" i="4"/>
  <c r="U906" i="4"/>
  <c r="U905" i="4"/>
  <c r="U904" i="4"/>
  <c r="U903" i="4"/>
  <c r="U902" i="4"/>
  <c r="U901" i="4"/>
  <c r="U900" i="4"/>
  <c r="U899" i="4"/>
  <c r="U898" i="4"/>
  <c r="U897" i="4"/>
  <c r="U896" i="4"/>
  <c r="U895" i="4"/>
  <c r="U894" i="4"/>
  <c r="U893" i="4"/>
  <c r="U892" i="4"/>
  <c r="U891" i="4"/>
  <c r="U890" i="4"/>
  <c r="U889" i="4"/>
  <c r="U888" i="4"/>
  <c r="U887" i="4"/>
  <c r="U886" i="4"/>
  <c r="U885" i="4"/>
  <c r="U884" i="4"/>
  <c r="U883" i="4"/>
  <c r="U882" i="4"/>
  <c r="U881" i="4"/>
  <c r="U880" i="4"/>
  <c r="U879" i="4"/>
  <c r="U878" i="4"/>
  <c r="U877" i="4"/>
  <c r="U876" i="4"/>
  <c r="U875" i="4"/>
  <c r="U874" i="4"/>
  <c r="U873" i="4"/>
  <c r="U872" i="4"/>
  <c r="U871" i="4"/>
  <c r="U870" i="4"/>
  <c r="U869" i="4"/>
  <c r="U868" i="4"/>
  <c r="U867" i="4"/>
  <c r="U866" i="4"/>
  <c r="U865" i="4"/>
  <c r="U864" i="4"/>
  <c r="U863" i="4"/>
  <c r="U862" i="4"/>
  <c r="U861" i="4"/>
  <c r="U860" i="4"/>
  <c r="U859" i="4"/>
  <c r="U858" i="4"/>
  <c r="U857" i="4"/>
  <c r="U856" i="4"/>
  <c r="U855" i="4"/>
  <c r="U854" i="4"/>
  <c r="U853" i="4"/>
  <c r="U852" i="4"/>
  <c r="U851" i="4"/>
  <c r="U850" i="4"/>
  <c r="U849" i="4"/>
  <c r="U848" i="4"/>
  <c r="U847" i="4"/>
  <c r="U846" i="4"/>
  <c r="U845" i="4"/>
  <c r="U844" i="4"/>
  <c r="U843" i="4"/>
  <c r="U842" i="4"/>
  <c r="U841" i="4"/>
  <c r="U840" i="4"/>
  <c r="U839" i="4"/>
  <c r="U838" i="4"/>
  <c r="U837" i="4"/>
  <c r="U836" i="4"/>
  <c r="U835" i="4"/>
  <c r="U834" i="4"/>
  <c r="U833" i="4"/>
  <c r="U832" i="4"/>
  <c r="U831" i="4"/>
  <c r="U830" i="4"/>
  <c r="U829" i="4"/>
  <c r="U828" i="4"/>
  <c r="U827" i="4"/>
  <c r="U826" i="4"/>
  <c r="U825" i="4"/>
  <c r="U824" i="4"/>
  <c r="U823" i="4"/>
  <c r="U822" i="4"/>
  <c r="U821" i="4"/>
  <c r="U820" i="4"/>
  <c r="U819" i="4"/>
  <c r="U818" i="4"/>
  <c r="U817" i="4"/>
  <c r="U816" i="4"/>
  <c r="U815" i="4"/>
  <c r="U814" i="4"/>
  <c r="U813" i="4"/>
  <c r="U812" i="4"/>
  <c r="U811" i="4"/>
  <c r="U810" i="4"/>
  <c r="U809" i="4"/>
  <c r="U808" i="4"/>
  <c r="U807" i="4"/>
  <c r="U806" i="4"/>
  <c r="U805" i="4"/>
  <c r="U804" i="4"/>
  <c r="U803" i="4"/>
  <c r="U802" i="4"/>
  <c r="U801" i="4"/>
  <c r="U800" i="4"/>
  <c r="U799" i="4"/>
  <c r="U798" i="4"/>
  <c r="U797" i="4"/>
  <c r="U796" i="4"/>
  <c r="U795" i="4"/>
  <c r="U794" i="4"/>
  <c r="U793" i="4"/>
  <c r="U792" i="4"/>
  <c r="U791" i="4"/>
  <c r="U790" i="4"/>
  <c r="U789" i="4"/>
  <c r="U788" i="4"/>
  <c r="U787" i="4"/>
  <c r="U786" i="4"/>
  <c r="U785" i="4"/>
  <c r="U784" i="4"/>
  <c r="U783" i="4"/>
  <c r="U782" i="4"/>
  <c r="U781" i="4"/>
  <c r="U780" i="4"/>
  <c r="U779" i="4"/>
  <c r="U778" i="4"/>
  <c r="U777" i="4"/>
  <c r="U776" i="4"/>
  <c r="U775" i="4"/>
  <c r="U774" i="4"/>
  <c r="U773" i="4"/>
  <c r="U772" i="4"/>
  <c r="U771" i="4"/>
  <c r="U770" i="4"/>
  <c r="U769" i="4"/>
  <c r="U768" i="4"/>
  <c r="U767" i="4"/>
  <c r="U766" i="4"/>
  <c r="U765" i="4"/>
  <c r="U764" i="4"/>
  <c r="U763" i="4"/>
  <c r="U762" i="4"/>
  <c r="U761" i="4"/>
  <c r="U760" i="4"/>
  <c r="U759" i="4"/>
  <c r="U758" i="4"/>
  <c r="U757" i="4"/>
  <c r="U756" i="4"/>
  <c r="U755" i="4"/>
  <c r="U754" i="4"/>
  <c r="U753" i="4"/>
  <c r="U752" i="4"/>
  <c r="U751" i="4"/>
  <c r="U750" i="4"/>
  <c r="U749" i="4"/>
  <c r="U748" i="4"/>
  <c r="U747" i="4"/>
  <c r="U746" i="4"/>
  <c r="U745" i="4"/>
  <c r="U744" i="4"/>
  <c r="U743" i="4"/>
  <c r="U742" i="4"/>
  <c r="U741" i="4"/>
  <c r="U740" i="4"/>
  <c r="U739" i="4"/>
  <c r="U738" i="4"/>
  <c r="U737" i="4"/>
  <c r="U736" i="4"/>
  <c r="U735" i="4"/>
  <c r="U734" i="4"/>
  <c r="U733" i="4"/>
  <c r="U732" i="4"/>
  <c r="U731" i="4"/>
  <c r="U730" i="4"/>
  <c r="U729" i="4"/>
  <c r="U728" i="4"/>
  <c r="U727" i="4"/>
  <c r="U726" i="4"/>
  <c r="U725" i="4"/>
  <c r="U724" i="4"/>
  <c r="U723" i="4"/>
  <c r="U722" i="4"/>
  <c r="U721" i="4"/>
  <c r="U720" i="4"/>
  <c r="U719" i="4"/>
  <c r="U718" i="4"/>
  <c r="U717" i="4"/>
  <c r="U716" i="4"/>
  <c r="U715" i="4"/>
  <c r="U714" i="4"/>
  <c r="U713" i="4"/>
  <c r="U712" i="4"/>
  <c r="U711" i="4"/>
  <c r="U710" i="4"/>
  <c r="U709" i="4"/>
  <c r="U708" i="4"/>
  <c r="U707" i="4"/>
  <c r="U706" i="4"/>
  <c r="U705" i="4"/>
  <c r="U704" i="4"/>
  <c r="U703" i="4"/>
  <c r="U702" i="4"/>
  <c r="U701" i="4"/>
  <c r="U700" i="4"/>
  <c r="U699" i="4"/>
  <c r="U698" i="4"/>
  <c r="U697" i="4"/>
  <c r="U696" i="4"/>
  <c r="U695" i="4"/>
  <c r="U694" i="4"/>
  <c r="U693" i="4"/>
  <c r="U692" i="4"/>
  <c r="U691" i="4"/>
  <c r="U690" i="4"/>
  <c r="U689" i="4"/>
  <c r="U688" i="4"/>
  <c r="U687" i="4"/>
  <c r="U686" i="4"/>
  <c r="U685" i="4"/>
  <c r="U684" i="4"/>
  <c r="U683" i="4"/>
  <c r="U682" i="4"/>
  <c r="U681" i="4"/>
  <c r="U680" i="4"/>
  <c r="U679" i="4"/>
  <c r="U678" i="4"/>
  <c r="U677" i="4"/>
  <c r="U676" i="4"/>
  <c r="U675" i="4"/>
  <c r="U674" i="4"/>
  <c r="U673" i="4"/>
  <c r="U672" i="4"/>
  <c r="U671" i="4"/>
  <c r="U670" i="4"/>
  <c r="U669" i="4"/>
  <c r="U668" i="4"/>
  <c r="U667" i="4"/>
  <c r="U666" i="4"/>
  <c r="U665" i="4"/>
  <c r="U664" i="4"/>
  <c r="U663" i="4"/>
  <c r="U662" i="4"/>
  <c r="U661" i="4"/>
  <c r="U660" i="4"/>
  <c r="U659" i="4"/>
  <c r="U658" i="4"/>
  <c r="U657" i="4"/>
  <c r="U656" i="4"/>
  <c r="U655" i="4"/>
  <c r="U654" i="4"/>
  <c r="U653" i="4"/>
  <c r="U652" i="4"/>
  <c r="U651" i="4"/>
  <c r="U650" i="4"/>
  <c r="U649" i="4"/>
  <c r="U648" i="4"/>
  <c r="U647" i="4"/>
  <c r="U646" i="4"/>
  <c r="U645" i="4"/>
  <c r="U644" i="4"/>
  <c r="U643" i="4"/>
  <c r="U642" i="4"/>
  <c r="U641" i="4"/>
  <c r="U640" i="4"/>
  <c r="U639" i="4"/>
  <c r="U638" i="4"/>
  <c r="U637" i="4"/>
  <c r="U636" i="4"/>
  <c r="U635" i="4"/>
  <c r="U634" i="4"/>
  <c r="U633" i="4"/>
  <c r="U632" i="4"/>
  <c r="U631" i="4"/>
  <c r="U630" i="4"/>
  <c r="U629" i="4"/>
  <c r="U628" i="4"/>
  <c r="U627" i="4"/>
  <c r="U626" i="4"/>
  <c r="U625" i="4"/>
  <c r="U624" i="4"/>
  <c r="U623" i="4"/>
  <c r="U622" i="4"/>
  <c r="U621" i="4"/>
  <c r="U620" i="4"/>
  <c r="U619" i="4"/>
  <c r="U618" i="4"/>
  <c r="U617" i="4"/>
  <c r="U616" i="4"/>
  <c r="U615" i="4"/>
  <c r="U614" i="4"/>
  <c r="U613" i="4"/>
  <c r="U612" i="4"/>
  <c r="U611" i="4"/>
  <c r="U610" i="4"/>
  <c r="U609" i="4"/>
  <c r="U608" i="4"/>
  <c r="U607" i="4"/>
  <c r="U606" i="4"/>
  <c r="U605" i="4"/>
  <c r="U604" i="4"/>
  <c r="U603" i="4"/>
  <c r="U602" i="4"/>
  <c r="U601" i="4"/>
  <c r="U600" i="4"/>
  <c r="U599" i="4"/>
  <c r="U598" i="4"/>
  <c r="U597" i="4"/>
  <c r="U596" i="4"/>
  <c r="U595" i="4"/>
  <c r="U594" i="4"/>
  <c r="U593" i="4"/>
  <c r="U592" i="4"/>
  <c r="U591" i="4"/>
  <c r="U590" i="4"/>
  <c r="U589" i="4"/>
  <c r="U588" i="4"/>
  <c r="U587" i="4"/>
  <c r="U586" i="4"/>
  <c r="U585" i="4"/>
  <c r="U584" i="4"/>
  <c r="U583" i="4"/>
  <c r="U582" i="4"/>
  <c r="U581" i="4"/>
  <c r="U580" i="4"/>
  <c r="U579" i="4"/>
  <c r="U578" i="4"/>
  <c r="U577" i="4"/>
  <c r="U576" i="4"/>
  <c r="U575" i="4"/>
  <c r="U574" i="4"/>
  <c r="U573" i="4"/>
  <c r="U572" i="4"/>
  <c r="U571" i="4"/>
  <c r="U570" i="4"/>
  <c r="U569" i="4"/>
  <c r="U568" i="4"/>
  <c r="U567" i="4"/>
  <c r="U566" i="4"/>
  <c r="U565" i="4"/>
  <c r="U564" i="4"/>
  <c r="U563" i="4"/>
  <c r="U562" i="4"/>
  <c r="U561" i="4"/>
  <c r="U560" i="4"/>
  <c r="U559" i="4"/>
  <c r="U558" i="4"/>
  <c r="U557" i="4"/>
  <c r="U556" i="4"/>
  <c r="U555" i="4"/>
  <c r="U554" i="4"/>
  <c r="U553" i="4"/>
  <c r="U552" i="4"/>
  <c r="U551" i="4"/>
  <c r="U550" i="4"/>
  <c r="U549" i="4"/>
  <c r="U548" i="4"/>
  <c r="U547" i="4"/>
  <c r="U546" i="4"/>
  <c r="U545" i="4"/>
  <c r="U544" i="4"/>
  <c r="U543" i="4"/>
  <c r="U542" i="4"/>
  <c r="U541" i="4"/>
  <c r="U540" i="4"/>
  <c r="U539" i="4"/>
  <c r="U538" i="4"/>
  <c r="U537" i="4"/>
  <c r="U536" i="4"/>
  <c r="U535" i="4"/>
  <c r="U534" i="4"/>
  <c r="U533" i="4"/>
  <c r="U532" i="4"/>
  <c r="U531" i="4"/>
  <c r="U530" i="4"/>
  <c r="U529" i="4"/>
  <c r="U528" i="4"/>
  <c r="U527" i="4"/>
  <c r="U526" i="4"/>
  <c r="U525" i="4"/>
  <c r="U524" i="4"/>
  <c r="U523" i="4"/>
  <c r="U522" i="4"/>
  <c r="U521" i="4"/>
  <c r="U520" i="4"/>
  <c r="U519" i="4"/>
  <c r="U518" i="4"/>
  <c r="U517" i="4"/>
  <c r="U516" i="4"/>
  <c r="U515" i="4"/>
  <c r="U514" i="4"/>
  <c r="U513" i="4"/>
  <c r="U512" i="4"/>
  <c r="U511" i="4"/>
  <c r="U510" i="4"/>
  <c r="U509" i="4"/>
  <c r="U508" i="4"/>
  <c r="U507" i="4"/>
  <c r="U506" i="4"/>
  <c r="U505" i="4"/>
  <c r="U504" i="4"/>
  <c r="U503" i="4"/>
  <c r="U502" i="4"/>
  <c r="U501" i="4"/>
  <c r="U500" i="4"/>
  <c r="U499" i="4"/>
  <c r="U498" i="4"/>
  <c r="U497" i="4"/>
  <c r="U496" i="4"/>
  <c r="U495" i="4"/>
  <c r="U494" i="4"/>
  <c r="U493" i="4"/>
  <c r="U492" i="4"/>
  <c r="U491" i="4"/>
  <c r="U490" i="4"/>
  <c r="U489" i="4"/>
  <c r="U488" i="4"/>
  <c r="U487" i="4"/>
  <c r="U486" i="4"/>
  <c r="U485" i="4"/>
  <c r="U484" i="4"/>
  <c r="U483" i="4"/>
  <c r="U482" i="4"/>
  <c r="U481" i="4"/>
  <c r="U480" i="4"/>
  <c r="U479" i="4"/>
  <c r="U478" i="4"/>
  <c r="U477" i="4"/>
  <c r="U476" i="4"/>
  <c r="U475" i="4"/>
  <c r="U474" i="4"/>
  <c r="U473" i="4"/>
  <c r="U472" i="4"/>
  <c r="U471" i="4"/>
  <c r="U470" i="4"/>
  <c r="U469" i="4"/>
  <c r="U468" i="4"/>
  <c r="U467" i="4"/>
  <c r="U466" i="4"/>
  <c r="U465" i="4"/>
  <c r="U464" i="4"/>
  <c r="U463" i="4"/>
  <c r="U462" i="4"/>
  <c r="U461" i="4"/>
  <c r="U460" i="4"/>
  <c r="U459" i="4"/>
  <c r="U458" i="4"/>
  <c r="U457" i="4"/>
  <c r="U456" i="4"/>
  <c r="U455" i="4"/>
  <c r="U454" i="4"/>
  <c r="U453" i="4"/>
  <c r="U452" i="4"/>
  <c r="U451" i="4"/>
  <c r="U450" i="4"/>
  <c r="U449" i="4"/>
  <c r="U448" i="4"/>
  <c r="U447" i="4"/>
  <c r="U446" i="4"/>
  <c r="U445" i="4"/>
  <c r="U444" i="4"/>
  <c r="U443" i="4"/>
  <c r="U442" i="4"/>
  <c r="U441" i="4"/>
  <c r="U440" i="4"/>
  <c r="U439" i="4"/>
  <c r="U438" i="4"/>
  <c r="U437" i="4"/>
  <c r="U436" i="4"/>
  <c r="U435" i="4"/>
  <c r="U434" i="4"/>
  <c r="U433" i="4"/>
  <c r="U432" i="4"/>
  <c r="U431" i="4"/>
  <c r="U430" i="4"/>
  <c r="U429" i="4"/>
  <c r="U428" i="4"/>
  <c r="U427" i="4"/>
  <c r="U426" i="4"/>
  <c r="U425" i="4"/>
  <c r="U424" i="4"/>
  <c r="U423" i="4"/>
  <c r="U422" i="4"/>
  <c r="U421" i="4"/>
  <c r="U420" i="4"/>
  <c r="U419" i="4"/>
  <c r="U418" i="4"/>
  <c r="U417" i="4"/>
  <c r="U416" i="4"/>
  <c r="U415" i="4"/>
  <c r="U414" i="4"/>
  <c r="U413" i="4"/>
  <c r="U412" i="4"/>
  <c r="U411" i="4"/>
  <c r="U410" i="4"/>
  <c r="U409" i="4"/>
  <c r="U408" i="4"/>
  <c r="U407" i="4"/>
  <c r="U406" i="4"/>
  <c r="U405" i="4"/>
  <c r="U404" i="4"/>
  <c r="U403" i="4"/>
  <c r="U402" i="4"/>
  <c r="U401" i="4"/>
  <c r="U400" i="4"/>
  <c r="U399" i="4"/>
  <c r="U398" i="4"/>
  <c r="U397" i="4"/>
  <c r="U396" i="4"/>
  <c r="U395" i="4"/>
  <c r="U394" i="4"/>
  <c r="U393" i="4"/>
  <c r="U392" i="4"/>
  <c r="U391" i="4"/>
  <c r="U390" i="4"/>
  <c r="U389" i="4"/>
  <c r="U388" i="4"/>
  <c r="U387" i="4"/>
  <c r="U386" i="4"/>
  <c r="U385" i="4"/>
  <c r="U384" i="4"/>
  <c r="U383" i="4"/>
  <c r="U382" i="4"/>
  <c r="U381" i="4"/>
  <c r="U380" i="4"/>
  <c r="U379" i="4"/>
  <c r="U378" i="4"/>
  <c r="U377" i="4"/>
  <c r="U376" i="4"/>
  <c r="U375" i="4"/>
  <c r="U374" i="4"/>
  <c r="U373" i="4"/>
  <c r="U372" i="4"/>
  <c r="U371" i="4"/>
  <c r="U370" i="4"/>
  <c r="U369" i="4"/>
  <c r="U368" i="4"/>
  <c r="U367" i="4"/>
  <c r="U366" i="4"/>
  <c r="U365" i="4"/>
  <c r="U364" i="4"/>
  <c r="U363" i="4"/>
  <c r="U362" i="4"/>
  <c r="U361" i="4"/>
  <c r="U360" i="4"/>
  <c r="U359" i="4"/>
  <c r="U358" i="4"/>
  <c r="U357" i="4"/>
  <c r="U356" i="4"/>
  <c r="U355" i="4"/>
  <c r="U354" i="4"/>
  <c r="U353" i="4"/>
  <c r="U352" i="4"/>
  <c r="U351" i="4"/>
  <c r="U350" i="4"/>
  <c r="U349" i="4"/>
  <c r="U348" i="4"/>
  <c r="U347" i="4"/>
  <c r="U346" i="4"/>
  <c r="U345" i="4"/>
  <c r="U344" i="4"/>
  <c r="U343" i="4"/>
  <c r="U342" i="4"/>
  <c r="U341" i="4"/>
  <c r="U340" i="4"/>
  <c r="U339" i="4"/>
  <c r="U338" i="4"/>
  <c r="U337" i="4"/>
  <c r="U336" i="4"/>
  <c r="U335" i="4"/>
  <c r="U334" i="4"/>
  <c r="U333" i="4"/>
  <c r="U332" i="4"/>
  <c r="U331" i="4"/>
  <c r="U330" i="4"/>
  <c r="U329" i="4"/>
  <c r="U328" i="4"/>
  <c r="U327" i="4"/>
  <c r="U326" i="4"/>
  <c r="U325" i="4"/>
  <c r="U324" i="4"/>
  <c r="U323" i="4"/>
  <c r="U322" i="4"/>
  <c r="U321" i="4"/>
  <c r="U320" i="4"/>
  <c r="U319" i="4"/>
  <c r="U318" i="4"/>
  <c r="U317" i="4"/>
  <c r="U316" i="4"/>
  <c r="U315" i="4"/>
  <c r="U314" i="4"/>
  <c r="U313" i="4"/>
  <c r="U312" i="4"/>
  <c r="U311" i="4"/>
  <c r="U310" i="4"/>
  <c r="U309" i="4"/>
  <c r="U308" i="4"/>
  <c r="U307" i="4"/>
  <c r="U306" i="4"/>
  <c r="U305" i="4"/>
  <c r="U304" i="4"/>
  <c r="U303" i="4"/>
  <c r="U302" i="4"/>
  <c r="U301" i="4"/>
  <c r="U300" i="4"/>
  <c r="U299" i="4"/>
  <c r="U298" i="4"/>
  <c r="U297" i="4"/>
  <c r="U296" i="4"/>
  <c r="U295" i="4"/>
  <c r="U294" i="4"/>
  <c r="U293" i="4"/>
  <c r="U292" i="4"/>
  <c r="U291" i="4"/>
  <c r="U290" i="4"/>
  <c r="U289" i="4"/>
  <c r="U288" i="4"/>
  <c r="U287" i="4"/>
  <c r="U286" i="4"/>
  <c r="U285" i="4"/>
  <c r="U284" i="4"/>
  <c r="U283" i="4"/>
  <c r="U282" i="4"/>
  <c r="U281" i="4"/>
  <c r="U280" i="4"/>
  <c r="U279" i="4"/>
  <c r="U278" i="4"/>
  <c r="U277" i="4"/>
  <c r="U276" i="4"/>
  <c r="U275" i="4"/>
  <c r="U274" i="4"/>
  <c r="U273" i="4"/>
  <c r="U272" i="4"/>
  <c r="U271" i="4"/>
  <c r="U270" i="4"/>
  <c r="U269" i="4"/>
  <c r="U268" i="4"/>
  <c r="U267" i="4"/>
  <c r="U266" i="4"/>
  <c r="U265" i="4"/>
  <c r="U264" i="4"/>
  <c r="U263" i="4"/>
  <c r="U262" i="4"/>
  <c r="U261" i="4"/>
  <c r="U260" i="4"/>
  <c r="U259" i="4"/>
  <c r="U258" i="4"/>
  <c r="U257" i="4"/>
  <c r="U256" i="4"/>
  <c r="U255" i="4"/>
  <c r="U254" i="4"/>
  <c r="U253" i="4"/>
  <c r="U252" i="4"/>
  <c r="U251" i="4"/>
  <c r="U250" i="4"/>
  <c r="U249" i="4"/>
  <c r="U248" i="4"/>
  <c r="U247" i="4"/>
  <c r="U246" i="4"/>
  <c r="U245" i="4"/>
  <c r="U244" i="4"/>
  <c r="U243" i="4"/>
  <c r="U242" i="4"/>
  <c r="U241" i="4"/>
  <c r="U240" i="4"/>
  <c r="U239" i="4"/>
  <c r="U238" i="4"/>
  <c r="U237" i="4"/>
  <c r="U236" i="4"/>
  <c r="U235" i="4"/>
  <c r="U234" i="4"/>
  <c r="U233" i="4"/>
  <c r="U232" i="4"/>
  <c r="U231" i="4"/>
  <c r="U230" i="4"/>
  <c r="U229" i="4"/>
  <c r="U228" i="4"/>
  <c r="U227" i="4"/>
  <c r="U226" i="4"/>
  <c r="U225" i="4"/>
  <c r="U224" i="4"/>
  <c r="U223" i="4"/>
  <c r="U222" i="4"/>
  <c r="U221" i="4"/>
  <c r="U220" i="4"/>
  <c r="U219" i="4"/>
  <c r="U218" i="4"/>
  <c r="U217" i="4"/>
  <c r="U216" i="4"/>
  <c r="U215" i="4"/>
  <c r="U214" i="4"/>
  <c r="U213" i="4"/>
  <c r="U212" i="4"/>
  <c r="U211" i="4"/>
  <c r="U210" i="4"/>
  <c r="U209" i="4"/>
  <c r="U208" i="4"/>
  <c r="U207" i="4"/>
  <c r="U206" i="4"/>
  <c r="U205" i="4"/>
  <c r="U204" i="4"/>
  <c r="U203" i="4"/>
  <c r="U202" i="4"/>
  <c r="U201" i="4"/>
  <c r="U200" i="4"/>
  <c r="U199" i="4"/>
  <c r="U198" i="4"/>
  <c r="U197" i="4"/>
  <c r="U196" i="4"/>
  <c r="U195" i="4"/>
  <c r="U194" i="4"/>
  <c r="U193" i="4"/>
  <c r="U192" i="4"/>
  <c r="U191" i="4"/>
  <c r="U190" i="4"/>
  <c r="U189" i="4"/>
  <c r="U188" i="4"/>
  <c r="U187" i="4"/>
  <c r="U186" i="4"/>
  <c r="U185" i="4"/>
  <c r="U184" i="4"/>
  <c r="U183" i="4"/>
  <c r="U182" i="4"/>
  <c r="U181" i="4"/>
  <c r="U180" i="4"/>
  <c r="U179" i="4"/>
  <c r="U178" i="4"/>
  <c r="U177" i="4"/>
  <c r="U176" i="4"/>
  <c r="U175" i="4"/>
  <c r="U174" i="4"/>
  <c r="U173" i="4"/>
  <c r="U172" i="4"/>
  <c r="U171" i="4"/>
  <c r="U170" i="4"/>
  <c r="U169" i="4"/>
  <c r="U168" i="4"/>
  <c r="U167" i="4"/>
  <c r="U166" i="4"/>
  <c r="U165" i="4"/>
  <c r="U164" i="4"/>
  <c r="U163" i="4"/>
  <c r="U162" i="4"/>
  <c r="U161" i="4"/>
  <c r="U160" i="4"/>
  <c r="U159" i="4"/>
  <c r="U158" i="4"/>
  <c r="U157" i="4"/>
  <c r="U156" i="4"/>
  <c r="U155" i="4"/>
  <c r="U154" i="4"/>
  <c r="U153" i="4"/>
  <c r="U152" i="4"/>
  <c r="U151" i="4"/>
  <c r="U150" i="4"/>
  <c r="U149" i="4"/>
  <c r="U148" i="4"/>
  <c r="U147" i="4"/>
  <c r="U146" i="4"/>
  <c r="U145" i="4"/>
  <c r="U144" i="4"/>
  <c r="U143" i="4"/>
  <c r="U142" i="4"/>
  <c r="U141" i="4"/>
  <c r="U140" i="4"/>
  <c r="U139" i="4"/>
  <c r="U138" i="4"/>
  <c r="U137" i="4"/>
  <c r="U136" i="4"/>
  <c r="U135" i="4"/>
  <c r="U134" i="4"/>
  <c r="U133" i="4"/>
  <c r="U132" i="4"/>
  <c r="U131" i="4"/>
  <c r="U130" i="4"/>
  <c r="U129" i="4"/>
  <c r="U128" i="4"/>
  <c r="U127" i="4"/>
  <c r="U126" i="4"/>
  <c r="U125" i="4"/>
  <c r="U124" i="4"/>
  <c r="U123" i="4"/>
  <c r="U122" i="4"/>
  <c r="U121" i="4"/>
  <c r="U120" i="4"/>
  <c r="U119" i="4"/>
  <c r="U118" i="4"/>
  <c r="U117" i="4"/>
  <c r="U116" i="4"/>
  <c r="U115" i="4"/>
  <c r="U114" i="4"/>
  <c r="U113" i="4"/>
  <c r="U112" i="4"/>
  <c r="U111" i="4"/>
  <c r="U110" i="4"/>
  <c r="U109" i="4"/>
  <c r="U108" i="4"/>
  <c r="U107" i="4"/>
  <c r="U106" i="4"/>
  <c r="U105" i="4"/>
  <c r="U104" i="4"/>
  <c r="U103" i="4"/>
  <c r="U102" i="4"/>
  <c r="U101" i="4"/>
  <c r="U100" i="4"/>
  <c r="U99" i="4"/>
  <c r="U98" i="4"/>
  <c r="U97" i="4"/>
  <c r="U96" i="4"/>
  <c r="U95" i="4"/>
  <c r="U94" i="4"/>
  <c r="U93" i="4"/>
  <c r="U92" i="4"/>
  <c r="U91" i="4"/>
  <c r="U90" i="4"/>
  <c r="U89" i="4"/>
  <c r="U88" i="4"/>
  <c r="U87" i="4"/>
  <c r="U86" i="4"/>
  <c r="U85" i="4"/>
  <c r="U84" i="4"/>
  <c r="U83" i="4"/>
  <c r="U82" i="4"/>
  <c r="U81" i="4"/>
  <c r="U80" i="4"/>
  <c r="U79" i="4"/>
  <c r="U78" i="4"/>
  <c r="U77" i="4"/>
  <c r="U76" i="4"/>
  <c r="U75" i="4"/>
  <c r="U74" i="4"/>
  <c r="U73" i="4"/>
  <c r="U72" i="4"/>
  <c r="U71" i="4"/>
  <c r="U70" i="4"/>
  <c r="U69" i="4"/>
  <c r="U68" i="4"/>
  <c r="U67" i="4"/>
  <c r="U66" i="4"/>
  <c r="U65" i="4"/>
  <c r="U64" i="4"/>
  <c r="U63" i="4"/>
  <c r="U62" i="4"/>
  <c r="U61" i="4"/>
  <c r="U60" i="4"/>
  <c r="U59" i="4"/>
  <c r="U58" i="4"/>
  <c r="U57" i="4"/>
  <c r="U56" i="4"/>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U25" i="4"/>
  <c r="U24" i="4"/>
  <c r="U23" i="4"/>
  <c r="U22" i="4"/>
  <c r="U21" i="4"/>
  <c r="U20" i="4"/>
  <c r="U19" i="4"/>
  <c r="U18" i="4"/>
  <c r="U17" i="4"/>
  <c r="U16" i="4"/>
  <c r="U15" i="4"/>
  <c r="U14" i="4"/>
  <c r="U13" i="4"/>
  <c r="U12" i="4"/>
  <c r="U11" i="4"/>
  <c r="U10" i="4"/>
  <c r="U9" i="4"/>
  <c r="U8" i="4"/>
  <c r="U7" i="4"/>
  <c r="U6" i="4"/>
  <c r="U5" i="4"/>
  <c r="U4" i="4"/>
  <c r="U3" i="4"/>
  <c r="U2" i="4"/>
  <c r="X1001" i="4"/>
  <c r="X1000" i="4"/>
  <c r="X999" i="4"/>
  <c r="X998" i="4"/>
  <c r="X997" i="4"/>
  <c r="X996" i="4"/>
  <c r="X995" i="4"/>
  <c r="X994" i="4"/>
  <c r="X993" i="4"/>
  <c r="X992" i="4"/>
  <c r="X991" i="4"/>
  <c r="X990" i="4"/>
  <c r="X989" i="4"/>
  <c r="X988" i="4"/>
  <c r="X987" i="4"/>
  <c r="X986" i="4"/>
  <c r="X985" i="4"/>
  <c r="X984" i="4"/>
  <c r="X983" i="4"/>
  <c r="X982" i="4"/>
  <c r="X981" i="4"/>
  <c r="X980" i="4"/>
  <c r="X979" i="4"/>
  <c r="X978" i="4"/>
  <c r="X977" i="4"/>
  <c r="X976" i="4"/>
  <c r="X975" i="4"/>
  <c r="X974" i="4"/>
  <c r="X973" i="4"/>
  <c r="X972" i="4"/>
  <c r="X971" i="4"/>
  <c r="X970" i="4"/>
  <c r="X969" i="4"/>
  <c r="X968" i="4"/>
  <c r="X967" i="4"/>
  <c r="X966" i="4"/>
  <c r="X965" i="4"/>
  <c r="X964" i="4"/>
  <c r="X963" i="4"/>
  <c r="X962" i="4"/>
  <c r="X961" i="4"/>
  <c r="X960" i="4"/>
  <c r="X959" i="4"/>
  <c r="X958" i="4"/>
  <c r="X957" i="4"/>
  <c r="X956" i="4"/>
  <c r="X955" i="4"/>
  <c r="X954" i="4"/>
  <c r="X953" i="4"/>
  <c r="X952" i="4"/>
  <c r="X951" i="4"/>
  <c r="X950" i="4"/>
  <c r="X949" i="4"/>
  <c r="X948" i="4"/>
  <c r="X947" i="4"/>
  <c r="X946" i="4"/>
  <c r="X945" i="4"/>
  <c r="X944" i="4"/>
  <c r="X943" i="4"/>
  <c r="X942" i="4"/>
  <c r="X941" i="4"/>
  <c r="X940" i="4"/>
  <c r="X939" i="4"/>
  <c r="X938" i="4"/>
  <c r="X937" i="4"/>
  <c r="X936" i="4"/>
  <c r="X935" i="4"/>
  <c r="X934" i="4"/>
  <c r="X933" i="4"/>
  <c r="X932" i="4"/>
  <c r="X931" i="4"/>
  <c r="X930" i="4"/>
  <c r="X929" i="4"/>
  <c r="X928" i="4"/>
  <c r="X927" i="4"/>
  <c r="X926" i="4"/>
  <c r="X925" i="4"/>
  <c r="X924" i="4"/>
  <c r="X923" i="4"/>
  <c r="X922" i="4"/>
  <c r="X921" i="4"/>
  <c r="X920" i="4"/>
  <c r="X919" i="4"/>
  <c r="X918" i="4"/>
  <c r="X917" i="4"/>
  <c r="X916" i="4"/>
  <c r="X915" i="4"/>
  <c r="X914" i="4"/>
  <c r="X913" i="4"/>
  <c r="X912" i="4"/>
  <c r="X911" i="4"/>
  <c r="X910" i="4"/>
  <c r="X909" i="4"/>
  <c r="X908" i="4"/>
  <c r="X907" i="4"/>
  <c r="X906" i="4"/>
  <c r="X905" i="4"/>
  <c r="X904" i="4"/>
  <c r="X903" i="4"/>
  <c r="X902" i="4"/>
  <c r="X901" i="4"/>
  <c r="X900" i="4"/>
  <c r="X899" i="4"/>
  <c r="X898" i="4"/>
  <c r="X897" i="4"/>
  <c r="X896" i="4"/>
  <c r="X895" i="4"/>
  <c r="X894" i="4"/>
  <c r="X893" i="4"/>
  <c r="X892" i="4"/>
  <c r="X891" i="4"/>
  <c r="X890" i="4"/>
  <c r="X889" i="4"/>
  <c r="X888" i="4"/>
  <c r="X887" i="4"/>
  <c r="X886" i="4"/>
  <c r="X885" i="4"/>
  <c r="X884" i="4"/>
  <c r="X883" i="4"/>
  <c r="X882" i="4"/>
  <c r="X881" i="4"/>
  <c r="X880" i="4"/>
  <c r="X879" i="4"/>
  <c r="X878" i="4"/>
  <c r="X877" i="4"/>
  <c r="X876" i="4"/>
  <c r="X875" i="4"/>
  <c r="X874" i="4"/>
  <c r="X873" i="4"/>
  <c r="X872" i="4"/>
  <c r="X871" i="4"/>
  <c r="X870" i="4"/>
  <c r="X869" i="4"/>
  <c r="X868" i="4"/>
  <c r="X867" i="4"/>
  <c r="X866" i="4"/>
  <c r="X865" i="4"/>
  <c r="X864" i="4"/>
  <c r="X863" i="4"/>
  <c r="X862" i="4"/>
  <c r="X861" i="4"/>
  <c r="X860" i="4"/>
  <c r="X859" i="4"/>
  <c r="X858" i="4"/>
  <c r="X857" i="4"/>
  <c r="X856" i="4"/>
  <c r="X855" i="4"/>
  <c r="X854" i="4"/>
  <c r="X853" i="4"/>
  <c r="X852" i="4"/>
  <c r="X851" i="4"/>
  <c r="X850" i="4"/>
  <c r="X849" i="4"/>
  <c r="X848" i="4"/>
  <c r="X847" i="4"/>
  <c r="X846" i="4"/>
  <c r="X845" i="4"/>
  <c r="X844" i="4"/>
  <c r="X843" i="4"/>
  <c r="X842" i="4"/>
  <c r="X841" i="4"/>
  <c r="X840" i="4"/>
  <c r="X839" i="4"/>
  <c r="X838" i="4"/>
  <c r="X837" i="4"/>
  <c r="X836" i="4"/>
  <c r="X835" i="4"/>
  <c r="X834" i="4"/>
  <c r="X833" i="4"/>
  <c r="X832" i="4"/>
  <c r="X831" i="4"/>
  <c r="X830" i="4"/>
  <c r="X829" i="4"/>
  <c r="X828" i="4"/>
  <c r="X827" i="4"/>
  <c r="X826" i="4"/>
  <c r="X825" i="4"/>
  <c r="X824" i="4"/>
  <c r="X823" i="4"/>
  <c r="X822" i="4"/>
  <c r="X821" i="4"/>
  <c r="X820" i="4"/>
  <c r="X819" i="4"/>
  <c r="X818" i="4"/>
  <c r="X817" i="4"/>
  <c r="X816" i="4"/>
  <c r="X815" i="4"/>
  <c r="X814" i="4"/>
  <c r="X813" i="4"/>
  <c r="X812" i="4"/>
  <c r="X811" i="4"/>
  <c r="X810" i="4"/>
  <c r="X809" i="4"/>
  <c r="X808" i="4"/>
  <c r="X807" i="4"/>
  <c r="X806" i="4"/>
  <c r="X805" i="4"/>
  <c r="X804" i="4"/>
  <c r="X803" i="4"/>
  <c r="X802" i="4"/>
  <c r="X801" i="4"/>
  <c r="X800" i="4"/>
  <c r="X799" i="4"/>
  <c r="X798" i="4"/>
  <c r="X797" i="4"/>
  <c r="X796" i="4"/>
  <c r="X795" i="4"/>
  <c r="X794" i="4"/>
  <c r="X793" i="4"/>
  <c r="X792" i="4"/>
  <c r="X791" i="4"/>
  <c r="X790" i="4"/>
  <c r="X789" i="4"/>
  <c r="X788" i="4"/>
  <c r="X787" i="4"/>
  <c r="X786" i="4"/>
  <c r="X785" i="4"/>
  <c r="X784" i="4"/>
  <c r="X783" i="4"/>
  <c r="X782" i="4"/>
  <c r="X781" i="4"/>
  <c r="X780" i="4"/>
  <c r="X779" i="4"/>
  <c r="X778" i="4"/>
  <c r="X777" i="4"/>
  <c r="X776" i="4"/>
  <c r="X775" i="4"/>
  <c r="X774" i="4"/>
  <c r="X773" i="4"/>
  <c r="X772" i="4"/>
  <c r="X771" i="4"/>
  <c r="X770" i="4"/>
  <c r="X769" i="4"/>
  <c r="X768" i="4"/>
  <c r="X767" i="4"/>
  <c r="X766" i="4"/>
  <c r="X765" i="4"/>
  <c r="X764" i="4"/>
  <c r="X763" i="4"/>
  <c r="X762" i="4"/>
  <c r="X761" i="4"/>
  <c r="X760" i="4"/>
  <c r="X759" i="4"/>
  <c r="X758" i="4"/>
  <c r="X757" i="4"/>
  <c r="X756" i="4"/>
  <c r="X755" i="4"/>
  <c r="X754" i="4"/>
  <c r="X753" i="4"/>
  <c r="X752" i="4"/>
  <c r="X751" i="4"/>
  <c r="X750" i="4"/>
  <c r="X749" i="4"/>
  <c r="X748" i="4"/>
  <c r="X747" i="4"/>
  <c r="X746" i="4"/>
  <c r="X745" i="4"/>
  <c r="X744" i="4"/>
  <c r="X743" i="4"/>
  <c r="X742" i="4"/>
  <c r="X741" i="4"/>
  <c r="X740" i="4"/>
  <c r="X739" i="4"/>
  <c r="X738" i="4"/>
  <c r="X737" i="4"/>
  <c r="X736" i="4"/>
  <c r="X735" i="4"/>
  <c r="X734" i="4"/>
  <c r="X733" i="4"/>
  <c r="X732" i="4"/>
  <c r="X731" i="4"/>
  <c r="X730" i="4"/>
  <c r="X729" i="4"/>
  <c r="X728" i="4"/>
  <c r="X727" i="4"/>
  <c r="X726" i="4"/>
  <c r="X725" i="4"/>
  <c r="X724" i="4"/>
  <c r="X723" i="4"/>
  <c r="X722" i="4"/>
  <c r="X721" i="4"/>
  <c r="X720" i="4"/>
  <c r="X719" i="4"/>
  <c r="X718" i="4"/>
  <c r="X717" i="4"/>
  <c r="X716" i="4"/>
  <c r="X715" i="4"/>
  <c r="X714" i="4"/>
  <c r="X713" i="4"/>
  <c r="X712" i="4"/>
  <c r="X711" i="4"/>
  <c r="X710" i="4"/>
  <c r="X709" i="4"/>
  <c r="X708" i="4"/>
  <c r="X707" i="4"/>
  <c r="X706" i="4"/>
  <c r="X705" i="4"/>
  <c r="X704" i="4"/>
  <c r="X703" i="4"/>
  <c r="X702" i="4"/>
  <c r="X701" i="4"/>
  <c r="X700" i="4"/>
  <c r="X699" i="4"/>
  <c r="X698" i="4"/>
  <c r="X697" i="4"/>
  <c r="X696" i="4"/>
  <c r="X695" i="4"/>
  <c r="X694" i="4"/>
  <c r="X693" i="4"/>
  <c r="X692" i="4"/>
  <c r="X691" i="4"/>
  <c r="X690" i="4"/>
  <c r="X689" i="4"/>
  <c r="X688" i="4"/>
  <c r="X687" i="4"/>
  <c r="X686" i="4"/>
  <c r="X685" i="4"/>
  <c r="X684" i="4"/>
  <c r="X683" i="4"/>
  <c r="X682" i="4"/>
  <c r="X681" i="4"/>
  <c r="X680" i="4"/>
  <c r="X679" i="4"/>
  <c r="X678" i="4"/>
  <c r="X677" i="4"/>
  <c r="X676" i="4"/>
  <c r="X675" i="4"/>
  <c r="X674" i="4"/>
  <c r="X673" i="4"/>
  <c r="X672" i="4"/>
  <c r="X671" i="4"/>
  <c r="X670" i="4"/>
  <c r="X669" i="4"/>
  <c r="X668" i="4"/>
  <c r="X667" i="4"/>
  <c r="X666" i="4"/>
  <c r="X665" i="4"/>
  <c r="X664" i="4"/>
  <c r="X663" i="4"/>
  <c r="X662" i="4"/>
  <c r="X661" i="4"/>
  <c r="X660" i="4"/>
  <c r="X659" i="4"/>
  <c r="X658" i="4"/>
  <c r="X657" i="4"/>
  <c r="X656" i="4"/>
  <c r="X655" i="4"/>
  <c r="X654" i="4"/>
  <c r="X653" i="4"/>
  <c r="X652" i="4"/>
  <c r="X651" i="4"/>
  <c r="X650" i="4"/>
  <c r="X649" i="4"/>
  <c r="X648" i="4"/>
  <c r="X647" i="4"/>
  <c r="X646" i="4"/>
  <c r="X645" i="4"/>
  <c r="X644" i="4"/>
  <c r="X643" i="4"/>
  <c r="X642" i="4"/>
  <c r="X641" i="4"/>
  <c r="X640" i="4"/>
  <c r="X639" i="4"/>
  <c r="X638" i="4"/>
  <c r="X637" i="4"/>
  <c r="X636" i="4"/>
  <c r="X635" i="4"/>
  <c r="X634" i="4"/>
  <c r="X633" i="4"/>
  <c r="X632" i="4"/>
  <c r="X631" i="4"/>
  <c r="X630" i="4"/>
  <c r="X629" i="4"/>
  <c r="X628" i="4"/>
  <c r="X627" i="4"/>
  <c r="X626" i="4"/>
  <c r="X625" i="4"/>
  <c r="X624" i="4"/>
  <c r="X623" i="4"/>
  <c r="X622" i="4"/>
  <c r="X621" i="4"/>
  <c r="X620" i="4"/>
  <c r="X619" i="4"/>
  <c r="X618" i="4"/>
  <c r="X617" i="4"/>
  <c r="X616" i="4"/>
  <c r="X615" i="4"/>
  <c r="X614" i="4"/>
  <c r="X613" i="4"/>
  <c r="X612" i="4"/>
  <c r="X611" i="4"/>
  <c r="X610" i="4"/>
  <c r="X609" i="4"/>
  <c r="X608" i="4"/>
  <c r="X607" i="4"/>
  <c r="X606" i="4"/>
  <c r="X605" i="4"/>
  <c r="X604" i="4"/>
  <c r="X603" i="4"/>
  <c r="X602" i="4"/>
  <c r="X601" i="4"/>
  <c r="X600" i="4"/>
  <c r="X599" i="4"/>
  <c r="X598" i="4"/>
  <c r="X597" i="4"/>
  <c r="X596" i="4"/>
  <c r="X595" i="4"/>
  <c r="X594" i="4"/>
  <c r="X593" i="4"/>
  <c r="X592" i="4"/>
  <c r="X591" i="4"/>
  <c r="X590" i="4"/>
  <c r="X589" i="4"/>
  <c r="X588" i="4"/>
  <c r="X587" i="4"/>
  <c r="X586" i="4"/>
  <c r="X585" i="4"/>
  <c r="X584" i="4"/>
  <c r="X583" i="4"/>
  <c r="X582" i="4"/>
  <c r="X581" i="4"/>
  <c r="X580" i="4"/>
  <c r="X579" i="4"/>
  <c r="X578" i="4"/>
  <c r="X577" i="4"/>
  <c r="X576" i="4"/>
  <c r="X575" i="4"/>
  <c r="X574" i="4"/>
  <c r="X573" i="4"/>
  <c r="X572" i="4"/>
  <c r="X571" i="4"/>
  <c r="X570" i="4"/>
  <c r="X569" i="4"/>
  <c r="X568" i="4"/>
  <c r="X567" i="4"/>
  <c r="X566" i="4"/>
  <c r="X565" i="4"/>
  <c r="X564" i="4"/>
  <c r="X563" i="4"/>
  <c r="X562" i="4"/>
  <c r="X561" i="4"/>
  <c r="X560" i="4"/>
  <c r="X559" i="4"/>
  <c r="X558" i="4"/>
  <c r="X557" i="4"/>
  <c r="X556" i="4"/>
  <c r="X555" i="4"/>
  <c r="X554" i="4"/>
  <c r="X553" i="4"/>
  <c r="X552" i="4"/>
  <c r="X551" i="4"/>
  <c r="X550" i="4"/>
  <c r="X549" i="4"/>
  <c r="X548" i="4"/>
  <c r="X547" i="4"/>
  <c r="X546" i="4"/>
  <c r="X545" i="4"/>
  <c r="X544" i="4"/>
  <c r="X543" i="4"/>
  <c r="X542" i="4"/>
  <c r="X541" i="4"/>
  <c r="X540" i="4"/>
  <c r="X539" i="4"/>
  <c r="X538" i="4"/>
  <c r="X537" i="4"/>
  <c r="X536" i="4"/>
  <c r="X535" i="4"/>
  <c r="X534" i="4"/>
  <c r="X533" i="4"/>
  <c r="X532" i="4"/>
  <c r="X531" i="4"/>
  <c r="X530" i="4"/>
  <c r="X529" i="4"/>
  <c r="X528" i="4"/>
  <c r="X527" i="4"/>
  <c r="X526" i="4"/>
  <c r="X525" i="4"/>
  <c r="X524" i="4"/>
  <c r="X523" i="4"/>
  <c r="X522" i="4"/>
  <c r="X521" i="4"/>
  <c r="X520" i="4"/>
  <c r="X519" i="4"/>
  <c r="X518" i="4"/>
  <c r="X517" i="4"/>
  <c r="X516" i="4"/>
  <c r="X515" i="4"/>
  <c r="X514" i="4"/>
  <c r="X513" i="4"/>
  <c r="X512" i="4"/>
  <c r="X511" i="4"/>
  <c r="X510" i="4"/>
  <c r="X509" i="4"/>
  <c r="X508" i="4"/>
  <c r="X507" i="4"/>
  <c r="X506" i="4"/>
  <c r="X505" i="4"/>
  <c r="X504" i="4"/>
  <c r="X503" i="4"/>
  <c r="X502" i="4"/>
  <c r="X501" i="4"/>
  <c r="X500" i="4"/>
  <c r="X499" i="4"/>
  <c r="X498" i="4"/>
  <c r="X497" i="4"/>
  <c r="X496" i="4"/>
  <c r="X495" i="4"/>
  <c r="X494" i="4"/>
  <c r="X493" i="4"/>
  <c r="X492" i="4"/>
  <c r="X491" i="4"/>
  <c r="X490" i="4"/>
  <c r="X489" i="4"/>
  <c r="X488" i="4"/>
  <c r="X487" i="4"/>
  <c r="X486" i="4"/>
  <c r="X485" i="4"/>
  <c r="X484" i="4"/>
  <c r="X483" i="4"/>
  <c r="X482" i="4"/>
  <c r="X481" i="4"/>
  <c r="X480" i="4"/>
  <c r="X479" i="4"/>
  <c r="X478" i="4"/>
  <c r="X477" i="4"/>
  <c r="X476" i="4"/>
  <c r="X475" i="4"/>
  <c r="X474" i="4"/>
  <c r="X473" i="4"/>
  <c r="X472" i="4"/>
  <c r="X471" i="4"/>
  <c r="X470" i="4"/>
  <c r="X469" i="4"/>
  <c r="X468" i="4"/>
  <c r="X467" i="4"/>
  <c r="X466" i="4"/>
  <c r="X465" i="4"/>
  <c r="X464" i="4"/>
  <c r="X463" i="4"/>
  <c r="X462" i="4"/>
  <c r="X461" i="4"/>
  <c r="X460" i="4"/>
  <c r="X459" i="4"/>
  <c r="X458" i="4"/>
  <c r="X457" i="4"/>
  <c r="X456" i="4"/>
  <c r="X455" i="4"/>
  <c r="X454" i="4"/>
  <c r="X453" i="4"/>
  <c r="X452" i="4"/>
  <c r="X451" i="4"/>
  <c r="X450" i="4"/>
  <c r="X449" i="4"/>
  <c r="X448" i="4"/>
  <c r="X447" i="4"/>
  <c r="X446" i="4"/>
  <c r="X445" i="4"/>
  <c r="X444" i="4"/>
  <c r="X443" i="4"/>
  <c r="X442" i="4"/>
  <c r="X441" i="4"/>
  <c r="X440" i="4"/>
  <c r="X439" i="4"/>
  <c r="X438" i="4"/>
  <c r="X437" i="4"/>
  <c r="X436" i="4"/>
  <c r="X435" i="4"/>
  <c r="X434" i="4"/>
  <c r="X433" i="4"/>
  <c r="X432" i="4"/>
  <c r="X431" i="4"/>
  <c r="X430" i="4"/>
  <c r="X429" i="4"/>
  <c r="X428" i="4"/>
  <c r="X427" i="4"/>
  <c r="X426" i="4"/>
  <c r="X425" i="4"/>
  <c r="X424" i="4"/>
  <c r="X423" i="4"/>
  <c r="X422" i="4"/>
  <c r="X421" i="4"/>
  <c r="X420" i="4"/>
  <c r="X419" i="4"/>
  <c r="X418" i="4"/>
  <c r="X417" i="4"/>
  <c r="X416" i="4"/>
  <c r="X415" i="4"/>
  <c r="X414" i="4"/>
  <c r="X413" i="4"/>
  <c r="X412" i="4"/>
  <c r="X411" i="4"/>
  <c r="X410" i="4"/>
  <c r="X409" i="4"/>
  <c r="X408" i="4"/>
  <c r="X407" i="4"/>
  <c r="X406" i="4"/>
  <c r="X405" i="4"/>
  <c r="X404" i="4"/>
  <c r="X403" i="4"/>
  <c r="X402" i="4"/>
  <c r="X401" i="4"/>
  <c r="X400" i="4"/>
  <c r="X399" i="4"/>
  <c r="X398" i="4"/>
  <c r="X397" i="4"/>
  <c r="X396" i="4"/>
  <c r="X395" i="4"/>
  <c r="X394" i="4"/>
  <c r="X393" i="4"/>
  <c r="X392" i="4"/>
  <c r="X391" i="4"/>
  <c r="X390" i="4"/>
  <c r="X389" i="4"/>
  <c r="X388" i="4"/>
  <c r="X387" i="4"/>
  <c r="X386" i="4"/>
  <c r="X385" i="4"/>
  <c r="X384" i="4"/>
  <c r="X383" i="4"/>
  <c r="X382" i="4"/>
  <c r="X381" i="4"/>
  <c r="X380" i="4"/>
  <c r="X379" i="4"/>
  <c r="X378" i="4"/>
  <c r="X377" i="4"/>
  <c r="X376" i="4"/>
  <c r="X375" i="4"/>
  <c r="X374" i="4"/>
  <c r="X373" i="4"/>
  <c r="X372" i="4"/>
  <c r="X371" i="4"/>
  <c r="X370" i="4"/>
  <c r="X369" i="4"/>
  <c r="X368" i="4"/>
  <c r="X367" i="4"/>
  <c r="X366" i="4"/>
  <c r="X365" i="4"/>
  <c r="X364" i="4"/>
  <c r="X363" i="4"/>
  <c r="X362" i="4"/>
  <c r="X361" i="4"/>
  <c r="X360" i="4"/>
  <c r="X359" i="4"/>
  <c r="X358" i="4"/>
  <c r="X357" i="4"/>
  <c r="X356" i="4"/>
  <c r="X355" i="4"/>
  <c r="X354" i="4"/>
  <c r="X353" i="4"/>
  <c r="X352" i="4"/>
  <c r="X351" i="4"/>
  <c r="X350" i="4"/>
  <c r="X349" i="4"/>
  <c r="X348" i="4"/>
  <c r="X347" i="4"/>
  <c r="X346" i="4"/>
  <c r="X345" i="4"/>
  <c r="X344" i="4"/>
  <c r="X343" i="4"/>
  <c r="X342" i="4"/>
  <c r="X341" i="4"/>
  <c r="X340" i="4"/>
  <c r="X339" i="4"/>
  <c r="X338" i="4"/>
  <c r="X337" i="4"/>
  <c r="X336" i="4"/>
  <c r="X335" i="4"/>
  <c r="X334" i="4"/>
  <c r="X333" i="4"/>
  <c r="X332" i="4"/>
  <c r="X331" i="4"/>
  <c r="X330" i="4"/>
  <c r="X329" i="4"/>
  <c r="X328" i="4"/>
  <c r="X327" i="4"/>
  <c r="X326" i="4"/>
  <c r="X325" i="4"/>
  <c r="X324" i="4"/>
  <c r="X323" i="4"/>
  <c r="X322" i="4"/>
  <c r="X321" i="4"/>
  <c r="X320" i="4"/>
  <c r="X319" i="4"/>
  <c r="X318" i="4"/>
  <c r="X317" i="4"/>
  <c r="X316" i="4"/>
  <c r="X315" i="4"/>
  <c r="X314" i="4"/>
  <c r="X313" i="4"/>
  <c r="X312" i="4"/>
  <c r="X311" i="4"/>
  <c r="X310" i="4"/>
  <c r="X309" i="4"/>
  <c r="X308" i="4"/>
  <c r="X307" i="4"/>
  <c r="X306" i="4"/>
  <c r="X305" i="4"/>
  <c r="X304" i="4"/>
  <c r="X303" i="4"/>
  <c r="X302" i="4"/>
  <c r="X301" i="4"/>
  <c r="X300" i="4"/>
  <c r="X299" i="4"/>
  <c r="X298" i="4"/>
  <c r="X297" i="4"/>
  <c r="X296" i="4"/>
  <c r="X295" i="4"/>
  <c r="X294" i="4"/>
  <c r="X293" i="4"/>
  <c r="X292" i="4"/>
  <c r="X291" i="4"/>
  <c r="X290" i="4"/>
  <c r="X289" i="4"/>
  <c r="X288" i="4"/>
  <c r="X287" i="4"/>
  <c r="X286" i="4"/>
  <c r="X285" i="4"/>
  <c r="X284" i="4"/>
  <c r="X283" i="4"/>
  <c r="X282" i="4"/>
  <c r="X281" i="4"/>
  <c r="X280" i="4"/>
  <c r="X279" i="4"/>
  <c r="X278" i="4"/>
  <c r="X277" i="4"/>
  <c r="X276" i="4"/>
  <c r="X275" i="4"/>
  <c r="X274" i="4"/>
  <c r="X273" i="4"/>
  <c r="X272" i="4"/>
  <c r="X271" i="4"/>
  <c r="X270" i="4"/>
  <c r="X269" i="4"/>
  <c r="X268" i="4"/>
  <c r="X267" i="4"/>
  <c r="X266" i="4"/>
  <c r="X265" i="4"/>
  <c r="X264" i="4"/>
  <c r="X263" i="4"/>
  <c r="X262" i="4"/>
  <c r="X261" i="4"/>
  <c r="X260" i="4"/>
  <c r="X259" i="4"/>
  <c r="X258" i="4"/>
  <c r="X257" i="4"/>
  <c r="X256" i="4"/>
  <c r="X255" i="4"/>
  <c r="X254" i="4"/>
  <c r="X253" i="4"/>
  <c r="X252" i="4"/>
  <c r="X251" i="4"/>
  <c r="X250" i="4"/>
  <c r="X249" i="4"/>
  <c r="X248" i="4"/>
  <c r="X247" i="4"/>
  <c r="X246" i="4"/>
  <c r="X245" i="4"/>
  <c r="X244" i="4"/>
  <c r="X243" i="4"/>
  <c r="X242" i="4"/>
  <c r="X241" i="4"/>
  <c r="X240" i="4"/>
  <c r="X239" i="4"/>
  <c r="X238" i="4"/>
  <c r="X237" i="4"/>
  <c r="X236" i="4"/>
  <c r="X235" i="4"/>
  <c r="X234" i="4"/>
  <c r="X233" i="4"/>
  <c r="X232" i="4"/>
  <c r="X231" i="4"/>
  <c r="X230" i="4"/>
  <c r="X229" i="4"/>
  <c r="X228" i="4"/>
  <c r="X227" i="4"/>
  <c r="X226" i="4"/>
  <c r="X225" i="4"/>
  <c r="X224" i="4"/>
  <c r="X223" i="4"/>
  <c r="X222" i="4"/>
  <c r="X221" i="4"/>
  <c r="X220" i="4"/>
  <c r="X219" i="4"/>
  <c r="X218" i="4"/>
  <c r="X217" i="4"/>
  <c r="X216" i="4"/>
  <c r="X215" i="4"/>
  <c r="X214" i="4"/>
  <c r="X213" i="4"/>
  <c r="X212" i="4"/>
  <c r="X211" i="4"/>
  <c r="X210" i="4"/>
  <c r="X209" i="4"/>
  <c r="X208" i="4"/>
  <c r="X207" i="4"/>
  <c r="X206" i="4"/>
  <c r="X205" i="4"/>
  <c r="X204" i="4"/>
  <c r="X203" i="4"/>
  <c r="X202" i="4"/>
  <c r="X201" i="4"/>
  <c r="X200" i="4"/>
  <c r="X199" i="4"/>
  <c r="X198" i="4"/>
  <c r="X197" i="4"/>
  <c r="X196" i="4"/>
  <c r="X195" i="4"/>
  <c r="X194" i="4"/>
  <c r="X193" i="4"/>
  <c r="X192" i="4"/>
  <c r="X191" i="4"/>
  <c r="X190" i="4"/>
  <c r="X189" i="4"/>
  <c r="X188" i="4"/>
  <c r="X187" i="4"/>
  <c r="X186" i="4"/>
  <c r="X185" i="4"/>
  <c r="X184" i="4"/>
  <c r="X183" i="4"/>
  <c r="X182" i="4"/>
  <c r="X181" i="4"/>
  <c r="X180" i="4"/>
  <c r="X179" i="4"/>
  <c r="X178" i="4"/>
  <c r="X177" i="4"/>
  <c r="X176" i="4"/>
  <c r="X175" i="4"/>
  <c r="X174" i="4"/>
  <c r="X173" i="4"/>
  <c r="X172" i="4"/>
  <c r="X171" i="4"/>
  <c r="X170" i="4"/>
  <c r="X169" i="4"/>
  <c r="X168" i="4"/>
  <c r="X167" i="4"/>
  <c r="X166" i="4"/>
  <c r="X165" i="4"/>
  <c r="X164" i="4"/>
  <c r="X163" i="4"/>
  <c r="X162" i="4"/>
  <c r="X161" i="4"/>
  <c r="X160" i="4"/>
  <c r="X159" i="4"/>
  <c r="X158" i="4"/>
  <c r="X157" i="4"/>
  <c r="X156" i="4"/>
  <c r="X155" i="4"/>
  <c r="X154" i="4"/>
  <c r="X153" i="4"/>
  <c r="X152" i="4"/>
  <c r="X151" i="4"/>
  <c r="X150" i="4"/>
  <c r="X149" i="4"/>
  <c r="X148" i="4"/>
  <c r="X147" i="4"/>
  <c r="X146" i="4"/>
  <c r="X145" i="4"/>
  <c r="X144" i="4"/>
  <c r="X143" i="4"/>
  <c r="X142" i="4"/>
  <c r="X141" i="4"/>
  <c r="X140" i="4"/>
  <c r="X139" i="4"/>
  <c r="X138" i="4"/>
  <c r="X137" i="4"/>
  <c r="X136" i="4"/>
  <c r="X135" i="4"/>
  <c r="X134" i="4"/>
  <c r="X133" i="4"/>
  <c r="X132" i="4"/>
  <c r="X131" i="4"/>
  <c r="X130" i="4"/>
  <c r="X129" i="4"/>
  <c r="X128" i="4"/>
  <c r="X127" i="4"/>
  <c r="X126" i="4"/>
  <c r="X125" i="4"/>
  <c r="X124" i="4"/>
  <c r="X123" i="4"/>
  <c r="X122" i="4"/>
  <c r="X121" i="4"/>
  <c r="X120" i="4"/>
  <c r="X119" i="4"/>
  <c r="X118" i="4"/>
  <c r="X117" i="4"/>
  <c r="X116" i="4"/>
  <c r="X115" i="4"/>
  <c r="X114" i="4"/>
  <c r="X113" i="4"/>
  <c r="X112" i="4"/>
  <c r="X111" i="4"/>
  <c r="X110" i="4"/>
  <c r="X109" i="4"/>
  <c r="X108" i="4"/>
  <c r="X107" i="4"/>
  <c r="X106" i="4"/>
  <c r="X105" i="4"/>
  <c r="X104" i="4"/>
  <c r="X103" i="4"/>
  <c r="X102" i="4"/>
  <c r="X101" i="4"/>
  <c r="X100" i="4"/>
  <c r="X99" i="4"/>
  <c r="X98" i="4"/>
  <c r="X97" i="4"/>
  <c r="X96" i="4"/>
  <c r="X95" i="4"/>
  <c r="X94" i="4"/>
  <c r="X93" i="4"/>
  <c r="X92" i="4"/>
  <c r="X91" i="4"/>
  <c r="X90" i="4"/>
  <c r="X89" i="4"/>
  <c r="X88" i="4"/>
  <c r="X87" i="4"/>
  <c r="X86" i="4"/>
  <c r="X85" i="4"/>
  <c r="X84" i="4"/>
  <c r="X83" i="4"/>
  <c r="X82" i="4"/>
  <c r="X81" i="4"/>
  <c r="X80" i="4"/>
  <c r="X79" i="4"/>
  <c r="X78" i="4"/>
  <c r="X77" i="4"/>
  <c r="X76" i="4"/>
  <c r="X75" i="4"/>
  <c r="X74" i="4"/>
  <c r="X73" i="4"/>
  <c r="X72" i="4"/>
  <c r="X71" i="4"/>
  <c r="X70" i="4"/>
  <c r="X69" i="4"/>
  <c r="X68" i="4"/>
  <c r="X67" i="4"/>
  <c r="X66" i="4"/>
  <c r="X65" i="4"/>
  <c r="X64" i="4"/>
  <c r="X63" i="4"/>
  <c r="X62" i="4"/>
  <c r="X61" i="4"/>
  <c r="X60" i="4"/>
  <c r="X59" i="4"/>
  <c r="X58" i="4"/>
  <c r="X57" i="4"/>
  <c r="X56" i="4"/>
  <c r="X55" i="4"/>
  <c r="X54" i="4"/>
  <c r="X53" i="4"/>
  <c r="X52" i="4"/>
  <c r="X51" i="4"/>
  <c r="X50" i="4"/>
  <c r="X49"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X8" i="4"/>
  <c r="X7" i="4"/>
  <c r="X6" i="4"/>
  <c r="X5" i="4"/>
  <c r="X4" i="4"/>
  <c r="X3" i="4"/>
  <c r="X2" i="4"/>
  <c r="V1001" i="4"/>
  <c r="V1000" i="4"/>
  <c r="V999" i="4"/>
  <c r="V998" i="4"/>
  <c r="V997" i="4"/>
  <c r="V996" i="4"/>
  <c r="V995" i="4"/>
  <c r="V994" i="4"/>
  <c r="V993" i="4"/>
  <c r="V992" i="4"/>
  <c r="V991" i="4"/>
  <c r="V990" i="4"/>
  <c r="V989" i="4"/>
  <c r="V988" i="4"/>
  <c r="V987" i="4"/>
  <c r="V986" i="4"/>
  <c r="V985" i="4"/>
  <c r="V984" i="4"/>
  <c r="V983" i="4"/>
  <c r="V982" i="4"/>
  <c r="V981" i="4"/>
  <c r="V980" i="4"/>
  <c r="V979" i="4"/>
  <c r="V978" i="4"/>
  <c r="V977" i="4"/>
  <c r="V976" i="4"/>
  <c r="V975" i="4"/>
  <c r="V974" i="4"/>
  <c r="V973" i="4"/>
  <c r="V972" i="4"/>
  <c r="V971" i="4"/>
  <c r="V970" i="4"/>
  <c r="V969" i="4"/>
  <c r="V968" i="4"/>
  <c r="V967" i="4"/>
  <c r="V966" i="4"/>
  <c r="V965" i="4"/>
  <c r="V964" i="4"/>
  <c r="V963" i="4"/>
  <c r="V962" i="4"/>
  <c r="V961" i="4"/>
  <c r="V960" i="4"/>
  <c r="V959" i="4"/>
  <c r="V958" i="4"/>
  <c r="V957" i="4"/>
  <c r="V956" i="4"/>
  <c r="V955" i="4"/>
  <c r="V954" i="4"/>
  <c r="V953" i="4"/>
  <c r="V952" i="4"/>
  <c r="V951" i="4"/>
  <c r="V950" i="4"/>
  <c r="V949" i="4"/>
  <c r="V948" i="4"/>
  <c r="V947" i="4"/>
  <c r="V946" i="4"/>
  <c r="V945" i="4"/>
  <c r="V944" i="4"/>
  <c r="V943" i="4"/>
  <c r="V942" i="4"/>
  <c r="V941" i="4"/>
  <c r="V940" i="4"/>
  <c r="V939" i="4"/>
  <c r="V938" i="4"/>
  <c r="V937" i="4"/>
  <c r="V936" i="4"/>
  <c r="V935" i="4"/>
  <c r="V934" i="4"/>
  <c r="V933" i="4"/>
  <c r="V932" i="4"/>
  <c r="V931" i="4"/>
  <c r="V930" i="4"/>
  <c r="V929" i="4"/>
  <c r="V928" i="4"/>
  <c r="V927" i="4"/>
  <c r="V926" i="4"/>
  <c r="V925" i="4"/>
  <c r="V924" i="4"/>
  <c r="V923" i="4"/>
  <c r="V922" i="4"/>
  <c r="V921" i="4"/>
  <c r="V920" i="4"/>
  <c r="V919" i="4"/>
  <c r="V918" i="4"/>
  <c r="V917" i="4"/>
  <c r="V916" i="4"/>
  <c r="V915" i="4"/>
  <c r="V914" i="4"/>
  <c r="V913" i="4"/>
  <c r="V912" i="4"/>
  <c r="V911" i="4"/>
  <c r="V910" i="4"/>
  <c r="V909" i="4"/>
  <c r="V908" i="4"/>
  <c r="V907" i="4"/>
  <c r="V906" i="4"/>
  <c r="V905" i="4"/>
  <c r="V904" i="4"/>
  <c r="V903" i="4"/>
  <c r="V902" i="4"/>
  <c r="V901" i="4"/>
  <c r="V900" i="4"/>
  <c r="V899" i="4"/>
  <c r="V898" i="4"/>
  <c r="V897" i="4"/>
  <c r="V896" i="4"/>
  <c r="V895" i="4"/>
  <c r="V894" i="4"/>
  <c r="V893" i="4"/>
  <c r="V892" i="4"/>
  <c r="V891" i="4"/>
  <c r="V890" i="4"/>
  <c r="V889" i="4"/>
  <c r="V888" i="4"/>
  <c r="V887" i="4"/>
  <c r="V886" i="4"/>
  <c r="V885" i="4"/>
  <c r="V884" i="4"/>
  <c r="V883" i="4"/>
  <c r="V882" i="4"/>
  <c r="V881" i="4"/>
  <c r="V880" i="4"/>
  <c r="V879" i="4"/>
  <c r="V878" i="4"/>
  <c r="V877" i="4"/>
  <c r="V876" i="4"/>
  <c r="V875" i="4"/>
  <c r="V874" i="4"/>
  <c r="V873" i="4"/>
  <c r="V872" i="4"/>
  <c r="V871" i="4"/>
  <c r="V870" i="4"/>
  <c r="V869" i="4"/>
  <c r="V868" i="4"/>
  <c r="V867" i="4"/>
  <c r="V866" i="4"/>
  <c r="V865" i="4"/>
  <c r="V864" i="4"/>
  <c r="V863" i="4"/>
  <c r="V862" i="4"/>
  <c r="V861" i="4"/>
  <c r="V860" i="4"/>
  <c r="V859" i="4"/>
  <c r="V858" i="4"/>
  <c r="V857" i="4"/>
  <c r="V856" i="4"/>
  <c r="V855" i="4"/>
  <c r="V854" i="4"/>
  <c r="V853" i="4"/>
  <c r="V852" i="4"/>
  <c r="V851" i="4"/>
  <c r="V850" i="4"/>
  <c r="V849" i="4"/>
  <c r="V848" i="4"/>
  <c r="V847" i="4"/>
  <c r="V846" i="4"/>
  <c r="V845" i="4"/>
  <c r="V844" i="4"/>
  <c r="V843" i="4"/>
  <c r="V842" i="4"/>
  <c r="V841" i="4"/>
  <c r="V840" i="4"/>
  <c r="V839" i="4"/>
  <c r="V838" i="4"/>
  <c r="V837" i="4"/>
  <c r="V836" i="4"/>
  <c r="V835" i="4"/>
  <c r="V834" i="4"/>
  <c r="V833" i="4"/>
  <c r="V832" i="4"/>
  <c r="V831" i="4"/>
  <c r="V830" i="4"/>
  <c r="V829" i="4"/>
  <c r="V828" i="4"/>
  <c r="V827" i="4"/>
  <c r="V826" i="4"/>
  <c r="V825" i="4"/>
  <c r="V824" i="4"/>
  <c r="V823" i="4"/>
  <c r="V822" i="4"/>
  <c r="V821" i="4"/>
  <c r="V820" i="4"/>
  <c r="V819" i="4"/>
  <c r="V818" i="4"/>
  <c r="V817" i="4"/>
  <c r="V816" i="4"/>
  <c r="V815" i="4"/>
  <c r="V814" i="4"/>
  <c r="V813" i="4"/>
  <c r="V812" i="4"/>
  <c r="V811" i="4"/>
  <c r="V810" i="4"/>
  <c r="V809" i="4"/>
  <c r="V808" i="4"/>
  <c r="V807" i="4"/>
  <c r="V806" i="4"/>
  <c r="V805" i="4"/>
  <c r="V804" i="4"/>
  <c r="V803" i="4"/>
  <c r="V802" i="4"/>
  <c r="V801" i="4"/>
  <c r="V800" i="4"/>
  <c r="V799" i="4"/>
  <c r="V798" i="4"/>
  <c r="V797" i="4"/>
  <c r="V796" i="4"/>
  <c r="V795" i="4"/>
  <c r="V794" i="4"/>
  <c r="V793" i="4"/>
  <c r="V792" i="4"/>
  <c r="V791" i="4"/>
  <c r="V790" i="4"/>
  <c r="V789" i="4"/>
  <c r="V788" i="4"/>
  <c r="V787" i="4"/>
  <c r="V786" i="4"/>
  <c r="V785" i="4"/>
  <c r="V784" i="4"/>
  <c r="V783" i="4"/>
  <c r="V782" i="4"/>
  <c r="V781" i="4"/>
  <c r="V780" i="4"/>
  <c r="V779" i="4"/>
  <c r="V778" i="4"/>
  <c r="V777" i="4"/>
  <c r="V776" i="4"/>
  <c r="V775" i="4"/>
  <c r="V774" i="4"/>
  <c r="V773" i="4"/>
  <c r="V772" i="4"/>
  <c r="V771" i="4"/>
  <c r="V770" i="4"/>
  <c r="V769" i="4"/>
  <c r="V768" i="4"/>
  <c r="V767" i="4"/>
  <c r="V766" i="4"/>
  <c r="V765" i="4"/>
  <c r="V764" i="4"/>
  <c r="V763" i="4"/>
  <c r="V762" i="4"/>
  <c r="V761" i="4"/>
  <c r="V760" i="4"/>
  <c r="V759" i="4"/>
  <c r="V758" i="4"/>
  <c r="V757" i="4"/>
  <c r="V756" i="4"/>
  <c r="V755" i="4"/>
  <c r="V754" i="4"/>
  <c r="V753" i="4"/>
  <c r="V752" i="4"/>
  <c r="V751" i="4"/>
  <c r="V750" i="4"/>
  <c r="V749" i="4"/>
  <c r="V748" i="4"/>
  <c r="V747" i="4"/>
  <c r="V746" i="4"/>
  <c r="V745" i="4"/>
  <c r="V744" i="4"/>
  <c r="V743" i="4"/>
  <c r="V742" i="4"/>
  <c r="V741" i="4"/>
  <c r="V740" i="4"/>
  <c r="V739" i="4"/>
  <c r="V738" i="4"/>
  <c r="V737" i="4"/>
  <c r="V736" i="4"/>
  <c r="V735" i="4"/>
  <c r="V734" i="4"/>
  <c r="V733" i="4"/>
  <c r="V732" i="4"/>
  <c r="V731" i="4"/>
  <c r="V730" i="4"/>
  <c r="V729" i="4"/>
  <c r="V728" i="4"/>
  <c r="V727" i="4"/>
  <c r="V726" i="4"/>
  <c r="V725" i="4"/>
  <c r="V724" i="4"/>
  <c r="V723" i="4"/>
  <c r="V722" i="4"/>
  <c r="V721" i="4"/>
  <c r="V720" i="4"/>
  <c r="V719" i="4"/>
  <c r="V718" i="4"/>
  <c r="V717" i="4"/>
  <c r="V716" i="4"/>
  <c r="V715" i="4"/>
  <c r="V714" i="4"/>
  <c r="V713" i="4"/>
  <c r="V712" i="4"/>
  <c r="V711" i="4"/>
  <c r="V710" i="4"/>
  <c r="V709" i="4"/>
  <c r="V708" i="4"/>
  <c r="V707" i="4"/>
  <c r="V706" i="4"/>
  <c r="V705" i="4"/>
  <c r="V704" i="4"/>
  <c r="V703" i="4"/>
  <c r="V702" i="4"/>
  <c r="V701" i="4"/>
  <c r="V700" i="4"/>
  <c r="V699" i="4"/>
  <c r="V698" i="4"/>
  <c r="V697" i="4"/>
  <c r="V696" i="4"/>
  <c r="V695" i="4"/>
  <c r="V694" i="4"/>
  <c r="V693" i="4"/>
  <c r="V692" i="4"/>
  <c r="V691" i="4"/>
  <c r="V690" i="4"/>
  <c r="V689" i="4"/>
  <c r="V688" i="4"/>
  <c r="V687" i="4"/>
  <c r="V686" i="4"/>
  <c r="V685" i="4"/>
  <c r="V684" i="4"/>
  <c r="V683" i="4"/>
  <c r="V682" i="4"/>
  <c r="V681" i="4"/>
  <c r="V680" i="4"/>
  <c r="V679" i="4"/>
  <c r="V678" i="4"/>
  <c r="V677" i="4"/>
  <c r="V676" i="4"/>
  <c r="V675" i="4"/>
  <c r="V674" i="4"/>
  <c r="V673" i="4"/>
  <c r="V672" i="4"/>
  <c r="V671" i="4"/>
  <c r="V670" i="4"/>
  <c r="V669" i="4"/>
  <c r="V668" i="4"/>
  <c r="V667" i="4"/>
  <c r="V666" i="4"/>
  <c r="V665" i="4"/>
  <c r="V664" i="4"/>
  <c r="V663" i="4"/>
  <c r="V662" i="4"/>
  <c r="V661" i="4"/>
  <c r="V660" i="4"/>
  <c r="V659" i="4"/>
  <c r="V658" i="4"/>
  <c r="V657" i="4"/>
  <c r="V656" i="4"/>
  <c r="V655" i="4"/>
  <c r="V654" i="4"/>
  <c r="V653" i="4"/>
  <c r="V652" i="4"/>
  <c r="V651" i="4"/>
  <c r="V650" i="4"/>
  <c r="V649" i="4"/>
  <c r="V648" i="4"/>
  <c r="V647" i="4"/>
  <c r="V646" i="4"/>
  <c r="V645" i="4"/>
  <c r="V644" i="4"/>
  <c r="V643" i="4"/>
  <c r="V642" i="4"/>
  <c r="V641" i="4"/>
  <c r="V640" i="4"/>
  <c r="V639" i="4"/>
  <c r="V638" i="4"/>
  <c r="V637" i="4"/>
  <c r="V636" i="4"/>
  <c r="V635" i="4"/>
  <c r="V634" i="4"/>
  <c r="V633" i="4"/>
  <c r="V632" i="4"/>
  <c r="V631" i="4"/>
  <c r="V630" i="4"/>
  <c r="V629" i="4"/>
  <c r="V628" i="4"/>
  <c r="V627" i="4"/>
  <c r="V626" i="4"/>
  <c r="V625" i="4"/>
  <c r="V624" i="4"/>
  <c r="V623" i="4"/>
  <c r="V622" i="4"/>
  <c r="V621" i="4"/>
  <c r="V620" i="4"/>
  <c r="V619" i="4"/>
  <c r="V618" i="4"/>
  <c r="V617" i="4"/>
  <c r="V616" i="4"/>
  <c r="V615" i="4"/>
  <c r="V614" i="4"/>
  <c r="V613" i="4"/>
  <c r="V612" i="4"/>
  <c r="V611" i="4"/>
  <c r="V610" i="4"/>
  <c r="V609" i="4"/>
  <c r="V608" i="4"/>
  <c r="V607" i="4"/>
  <c r="V606" i="4"/>
  <c r="V605" i="4"/>
  <c r="V604" i="4"/>
  <c r="V603" i="4"/>
  <c r="V602" i="4"/>
  <c r="V601" i="4"/>
  <c r="V600" i="4"/>
  <c r="V599" i="4"/>
  <c r="V598" i="4"/>
  <c r="V597" i="4"/>
  <c r="V596" i="4"/>
  <c r="V595" i="4"/>
  <c r="V594" i="4"/>
  <c r="V593" i="4"/>
  <c r="V592" i="4"/>
  <c r="V591" i="4"/>
  <c r="V590" i="4"/>
  <c r="V589" i="4"/>
  <c r="V588" i="4"/>
  <c r="V587" i="4"/>
  <c r="V586" i="4"/>
  <c r="V585" i="4"/>
  <c r="V584" i="4"/>
  <c r="V583" i="4"/>
  <c r="V582" i="4"/>
  <c r="V581" i="4"/>
  <c r="V580" i="4"/>
  <c r="V579" i="4"/>
  <c r="V578" i="4"/>
  <c r="V577" i="4"/>
  <c r="V576" i="4"/>
  <c r="V575" i="4"/>
  <c r="V574" i="4"/>
  <c r="V573" i="4"/>
  <c r="V572" i="4"/>
  <c r="V571" i="4"/>
  <c r="V570" i="4"/>
  <c r="V569" i="4"/>
  <c r="V568" i="4"/>
  <c r="V567" i="4"/>
  <c r="V566" i="4"/>
  <c r="V565" i="4"/>
  <c r="V564" i="4"/>
  <c r="V563" i="4"/>
  <c r="V562" i="4"/>
  <c r="V561" i="4"/>
  <c r="V560" i="4"/>
  <c r="V559" i="4"/>
  <c r="V558" i="4"/>
  <c r="V557" i="4"/>
  <c r="V556" i="4"/>
  <c r="V555" i="4"/>
  <c r="V554" i="4"/>
  <c r="V553" i="4"/>
  <c r="V552" i="4"/>
  <c r="V551" i="4"/>
  <c r="V550" i="4"/>
  <c r="V549" i="4"/>
  <c r="V548" i="4"/>
  <c r="V547" i="4"/>
  <c r="V546" i="4"/>
  <c r="V545" i="4"/>
  <c r="V544" i="4"/>
  <c r="V543" i="4"/>
  <c r="V542" i="4"/>
  <c r="V541" i="4"/>
  <c r="V540" i="4"/>
  <c r="V539" i="4"/>
  <c r="V538" i="4"/>
  <c r="V537" i="4"/>
  <c r="V536" i="4"/>
  <c r="V535" i="4"/>
  <c r="V534" i="4"/>
  <c r="V533" i="4"/>
  <c r="V532" i="4"/>
  <c r="V531" i="4"/>
  <c r="V530" i="4"/>
  <c r="V529" i="4"/>
  <c r="V528" i="4"/>
  <c r="V527" i="4"/>
  <c r="V526" i="4"/>
  <c r="V525" i="4"/>
  <c r="V524" i="4"/>
  <c r="V523" i="4"/>
  <c r="V522" i="4"/>
  <c r="V521" i="4"/>
  <c r="V520" i="4"/>
  <c r="V519" i="4"/>
  <c r="V518" i="4"/>
  <c r="V517" i="4"/>
  <c r="V516" i="4"/>
  <c r="V515" i="4"/>
  <c r="V514" i="4"/>
  <c r="V513" i="4"/>
  <c r="V512" i="4"/>
  <c r="V511" i="4"/>
  <c r="V510" i="4"/>
  <c r="V509" i="4"/>
  <c r="V508" i="4"/>
  <c r="V507" i="4"/>
  <c r="V506" i="4"/>
  <c r="V505" i="4"/>
  <c r="V504" i="4"/>
  <c r="V503" i="4"/>
  <c r="V502" i="4"/>
  <c r="V501" i="4"/>
  <c r="V500" i="4"/>
  <c r="V499" i="4"/>
  <c r="V498" i="4"/>
  <c r="V497" i="4"/>
  <c r="V496" i="4"/>
  <c r="V495" i="4"/>
  <c r="V494" i="4"/>
  <c r="V493" i="4"/>
  <c r="V492" i="4"/>
  <c r="V491" i="4"/>
  <c r="V490" i="4"/>
  <c r="V489" i="4"/>
  <c r="V488" i="4"/>
  <c r="V487" i="4"/>
  <c r="V486" i="4"/>
  <c r="V485" i="4"/>
  <c r="V484" i="4"/>
  <c r="V483" i="4"/>
  <c r="V482" i="4"/>
  <c r="V481" i="4"/>
  <c r="V480" i="4"/>
  <c r="V479" i="4"/>
  <c r="V478" i="4"/>
  <c r="V477" i="4"/>
  <c r="V476" i="4"/>
  <c r="V475" i="4"/>
  <c r="V474" i="4"/>
  <c r="V473" i="4"/>
  <c r="V472" i="4"/>
  <c r="V471" i="4"/>
  <c r="V470" i="4"/>
  <c r="V469" i="4"/>
  <c r="V468" i="4"/>
  <c r="V467" i="4"/>
  <c r="V466" i="4"/>
  <c r="V465" i="4"/>
  <c r="V464" i="4"/>
  <c r="V463" i="4"/>
  <c r="V462" i="4"/>
  <c r="V461" i="4"/>
  <c r="V460" i="4"/>
  <c r="V459" i="4"/>
  <c r="V458" i="4"/>
  <c r="V457" i="4"/>
  <c r="V456" i="4"/>
  <c r="V455" i="4"/>
  <c r="V454" i="4"/>
  <c r="V453" i="4"/>
  <c r="V452" i="4"/>
  <c r="V451" i="4"/>
  <c r="V450" i="4"/>
  <c r="V449" i="4"/>
  <c r="V448" i="4"/>
  <c r="V447" i="4"/>
  <c r="V446" i="4"/>
  <c r="V445" i="4"/>
  <c r="V444" i="4"/>
  <c r="V443" i="4"/>
  <c r="V442" i="4"/>
  <c r="V441" i="4"/>
  <c r="V440" i="4"/>
  <c r="V439" i="4"/>
  <c r="V438" i="4"/>
  <c r="V437" i="4"/>
  <c r="V436" i="4"/>
  <c r="V435" i="4"/>
  <c r="V434" i="4"/>
  <c r="V433" i="4"/>
  <c r="V432" i="4"/>
  <c r="V431" i="4"/>
  <c r="V430" i="4"/>
  <c r="V429" i="4"/>
  <c r="V428" i="4"/>
  <c r="V427" i="4"/>
  <c r="V426" i="4"/>
  <c r="V425" i="4"/>
  <c r="V424" i="4"/>
  <c r="V423" i="4"/>
  <c r="V422" i="4"/>
  <c r="V421" i="4"/>
  <c r="V420" i="4"/>
  <c r="V419" i="4"/>
  <c r="V418" i="4"/>
  <c r="V417" i="4"/>
  <c r="V416" i="4"/>
  <c r="V415" i="4"/>
  <c r="V414" i="4"/>
  <c r="V413" i="4"/>
  <c r="V412" i="4"/>
  <c r="V411" i="4"/>
  <c r="V410" i="4"/>
  <c r="V409" i="4"/>
  <c r="V408" i="4"/>
  <c r="V407" i="4"/>
  <c r="V406" i="4"/>
  <c r="V405" i="4"/>
  <c r="V404" i="4"/>
  <c r="V403" i="4"/>
  <c r="V402" i="4"/>
  <c r="V401" i="4"/>
  <c r="V400" i="4"/>
  <c r="V399" i="4"/>
  <c r="V398" i="4"/>
  <c r="V397" i="4"/>
  <c r="V396" i="4"/>
  <c r="V395" i="4"/>
  <c r="V394" i="4"/>
  <c r="V393" i="4"/>
  <c r="V392" i="4"/>
  <c r="V391" i="4"/>
  <c r="V390" i="4"/>
  <c r="V389" i="4"/>
  <c r="V388" i="4"/>
  <c r="V387" i="4"/>
  <c r="V386" i="4"/>
  <c r="V385" i="4"/>
  <c r="V384" i="4"/>
  <c r="V383" i="4"/>
  <c r="V382" i="4"/>
  <c r="V381" i="4"/>
  <c r="V380" i="4"/>
  <c r="V379" i="4"/>
  <c r="V378" i="4"/>
  <c r="V377" i="4"/>
  <c r="V376" i="4"/>
  <c r="V375" i="4"/>
  <c r="V374" i="4"/>
  <c r="V373" i="4"/>
  <c r="V372" i="4"/>
  <c r="V371" i="4"/>
  <c r="V370" i="4"/>
  <c r="V369" i="4"/>
  <c r="V368" i="4"/>
  <c r="V367" i="4"/>
  <c r="V366" i="4"/>
  <c r="V365" i="4"/>
  <c r="V364" i="4"/>
  <c r="V363" i="4"/>
  <c r="V362" i="4"/>
  <c r="V361" i="4"/>
  <c r="V360" i="4"/>
  <c r="V359" i="4"/>
  <c r="V358" i="4"/>
  <c r="V357" i="4"/>
  <c r="V356" i="4"/>
  <c r="V355" i="4"/>
  <c r="V354" i="4"/>
  <c r="V353" i="4"/>
  <c r="V352" i="4"/>
  <c r="V351" i="4"/>
  <c r="V350" i="4"/>
  <c r="V349" i="4"/>
  <c r="V348" i="4"/>
  <c r="V347" i="4"/>
  <c r="V346" i="4"/>
  <c r="V345" i="4"/>
  <c r="V344" i="4"/>
  <c r="V343" i="4"/>
  <c r="V342" i="4"/>
  <c r="V341" i="4"/>
  <c r="V340" i="4"/>
  <c r="V339" i="4"/>
  <c r="V338" i="4"/>
  <c r="V337" i="4"/>
  <c r="V336" i="4"/>
  <c r="V335" i="4"/>
  <c r="V334" i="4"/>
  <c r="V333" i="4"/>
  <c r="V332" i="4"/>
  <c r="V331" i="4"/>
  <c r="V330" i="4"/>
  <c r="V329" i="4"/>
  <c r="V328" i="4"/>
  <c r="V327" i="4"/>
  <c r="V326" i="4"/>
  <c r="V325" i="4"/>
  <c r="V324" i="4"/>
  <c r="V323" i="4"/>
  <c r="V322" i="4"/>
  <c r="V321" i="4"/>
  <c r="V320" i="4"/>
  <c r="V319" i="4"/>
  <c r="V318" i="4"/>
  <c r="V317" i="4"/>
  <c r="V316" i="4"/>
  <c r="V315" i="4"/>
  <c r="V314" i="4"/>
  <c r="V313" i="4"/>
  <c r="V312" i="4"/>
  <c r="V311" i="4"/>
  <c r="V310" i="4"/>
  <c r="V309" i="4"/>
  <c r="V308" i="4"/>
  <c r="V307" i="4"/>
  <c r="V306" i="4"/>
  <c r="V305" i="4"/>
  <c r="V304" i="4"/>
  <c r="V303" i="4"/>
  <c r="V302" i="4"/>
  <c r="V301" i="4"/>
  <c r="V300" i="4"/>
  <c r="V299" i="4"/>
  <c r="V298" i="4"/>
  <c r="V297" i="4"/>
  <c r="V296" i="4"/>
  <c r="V295" i="4"/>
  <c r="V294" i="4"/>
  <c r="V293" i="4"/>
  <c r="V292" i="4"/>
  <c r="V291" i="4"/>
  <c r="V290" i="4"/>
  <c r="V289" i="4"/>
  <c r="V288" i="4"/>
  <c r="V287" i="4"/>
  <c r="V286" i="4"/>
  <c r="V285" i="4"/>
  <c r="V284" i="4"/>
  <c r="V283" i="4"/>
  <c r="V282" i="4"/>
  <c r="V281" i="4"/>
  <c r="V280" i="4"/>
  <c r="V279" i="4"/>
  <c r="V278" i="4"/>
  <c r="V277" i="4"/>
  <c r="V276" i="4"/>
  <c r="V275" i="4"/>
  <c r="V274" i="4"/>
  <c r="V273" i="4"/>
  <c r="V272" i="4"/>
  <c r="V271" i="4"/>
  <c r="V270" i="4"/>
  <c r="V269" i="4"/>
  <c r="V268" i="4"/>
  <c r="V267" i="4"/>
  <c r="V266" i="4"/>
  <c r="V265" i="4"/>
  <c r="V264" i="4"/>
  <c r="V263" i="4"/>
  <c r="V262" i="4"/>
  <c r="V261" i="4"/>
  <c r="V260" i="4"/>
  <c r="V259" i="4"/>
  <c r="V258" i="4"/>
  <c r="V257" i="4"/>
  <c r="V256" i="4"/>
  <c r="V255" i="4"/>
  <c r="V254" i="4"/>
  <c r="V253" i="4"/>
  <c r="V252" i="4"/>
  <c r="V251" i="4"/>
  <c r="V250" i="4"/>
  <c r="V249" i="4"/>
  <c r="V248" i="4"/>
  <c r="V247" i="4"/>
  <c r="V246" i="4"/>
  <c r="V245" i="4"/>
  <c r="V244" i="4"/>
  <c r="V243" i="4"/>
  <c r="V242" i="4"/>
  <c r="V241" i="4"/>
  <c r="V240" i="4"/>
  <c r="V239" i="4"/>
  <c r="V238" i="4"/>
  <c r="V237" i="4"/>
  <c r="V236" i="4"/>
  <c r="V235" i="4"/>
  <c r="V234" i="4"/>
  <c r="V233" i="4"/>
  <c r="V232" i="4"/>
  <c r="V231" i="4"/>
  <c r="V230" i="4"/>
  <c r="V229" i="4"/>
  <c r="V228" i="4"/>
  <c r="V227" i="4"/>
  <c r="V226" i="4"/>
  <c r="V225" i="4"/>
  <c r="V224" i="4"/>
  <c r="V223" i="4"/>
  <c r="V222" i="4"/>
  <c r="V221" i="4"/>
  <c r="V220" i="4"/>
  <c r="V219" i="4"/>
  <c r="V218" i="4"/>
  <c r="V217" i="4"/>
  <c r="V216" i="4"/>
  <c r="V215" i="4"/>
  <c r="V214" i="4"/>
  <c r="V213" i="4"/>
  <c r="V212" i="4"/>
  <c r="V211" i="4"/>
  <c r="V210" i="4"/>
  <c r="V209" i="4"/>
  <c r="V208" i="4"/>
  <c r="V207" i="4"/>
  <c r="V206" i="4"/>
  <c r="V205" i="4"/>
  <c r="V204" i="4"/>
  <c r="V203" i="4"/>
  <c r="V202" i="4"/>
  <c r="V201" i="4"/>
  <c r="V200" i="4"/>
  <c r="V199" i="4"/>
  <c r="V198" i="4"/>
  <c r="V197" i="4"/>
  <c r="V196" i="4"/>
  <c r="V195" i="4"/>
  <c r="V194" i="4"/>
  <c r="V193" i="4"/>
  <c r="V192" i="4"/>
  <c r="V191" i="4"/>
  <c r="V190" i="4"/>
  <c r="V189" i="4"/>
  <c r="V188" i="4"/>
  <c r="V187" i="4"/>
  <c r="V186" i="4"/>
  <c r="V185" i="4"/>
  <c r="V184" i="4"/>
  <c r="V183" i="4"/>
  <c r="V182" i="4"/>
  <c r="V181" i="4"/>
  <c r="V180" i="4"/>
  <c r="V179" i="4"/>
  <c r="V178" i="4"/>
  <c r="V177" i="4"/>
  <c r="V176" i="4"/>
  <c r="V175" i="4"/>
  <c r="V174" i="4"/>
  <c r="V173" i="4"/>
  <c r="V172" i="4"/>
  <c r="V171" i="4"/>
  <c r="V170" i="4"/>
  <c r="V169" i="4"/>
  <c r="V168" i="4"/>
  <c r="V167" i="4"/>
  <c r="V166" i="4"/>
  <c r="V165" i="4"/>
  <c r="V164" i="4"/>
  <c r="V163" i="4"/>
  <c r="V162" i="4"/>
  <c r="V161" i="4"/>
  <c r="V160" i="4"/>
  <c r="V159" i="4"/>
  <c r="V158" i="4"/>
  <c r="V157" i="4"/>
  <c r="V156" i="4"/>
  <c r="V155" i="4"/>
  <c r="V154" i="4"/>
  <c r="V153" i="4"/>
  <c r="V152" i="4"/>
  <c r="V151" i="4"/>
  <c r="V150" i="4"/>
  <c r="V149" i="4"/>
  <c r="V148" i="4"/>
  <c r="V147" i="4"/>
  <c r="V146" i="4"/>
  <c r="V145" i="4"/>
  <c r="V144" i="4"/>
  <c r="V143" i="4"/>
  <c r="V142" i="4"/>
  <c r="V141" i="4"/>
  <c r="V140" i="4"/>
  <c r="V139" i="4"/>
  <c r="V138" i="4"/>
  <c r="V137" i="4"/>
  <c r="V136" i="4"/>
  <c r="V135" i="4"/>
  <c r="V134" i="4"/>
  <c r="V133" i="4"/>
  <c r="V132" i="4"/>
  <c r="V131" i="4"/>
  <c r="V130" i="4"/>
  <c r="V129" i="4"/>
  <c r="V128" i="4"/>
  <c r="V127" i="4"/>
  <c r="V126" i="4"/>
  <c r="V125" i="4"/>
  <c r="V124" i="4"/>
  <c r="V123" i="4"/>
  <c r="V122" i="4"/>
  <c r="V121" i="4"/>
  <c r="V120" i="4"/>
  <c r="V119" i="4"/>
  <c r="V118" i="4"/>
  <c r="V117" i="4"/>
  <c r="V116" i="4"/>
  <c r="V115" i="4"/>
  <c r="V114" i="4"/>
  <c r="V113" i="4"/>
  <c r="V112" i="4"/>
  <c r="V111" i="4"/>
  <c r="V110" i="4"/>
  <c r="V109" i="4"/>
  <c r="V108" i="4"/>
  <c r="V107" i="4"/>
  <c r="V106" i="4"/>
  <c r="V105" i="4"/>
  <c r="V104" i="4"/>
  <c r="V103" i="4"/>
  <c r="V102" i="4"/>
  <c r="V101" i="4"/>
  <c r="V100" i="4"/>
  <c r="V99" i="4"/>
  <c r="V98" i="4"/>
  <c r="V97" i="4"/>
  <c r="V96" i="4"/>
  <c r="V95" i="4"/>
  <c r="V94" i="4"/>
  <c r="V93" i="4"/>
  <c r="V92" i="4"/>
  <c r="V91" i="4"/>
  <c r="V90" i="4"/>
  <c r="V89" i="4"/>
  <c r="V88" i="4"/>
  <c r="V87" i="4"/>
  <c r="V86" i="4"/>
  <c r="V85" i="4"/>
  <c r="V84" i="4"/>
  <c r="V83" i="4"/>
  <c r="V82" i="4"/>
  <c r="V81" i="4"/>
  <c r="V80" i="4"/>
  <c r="V79" i="4"/>
  <c r="V78" i="4"/>
  <c r="V77" i="4"/>
  <c r="V76" i="4"/>
  <c r="V75" i="4"/>
  <c r="V74" i="4"/>
  <c r="V73" i="4"/>
  <c r="V72" i="4"/>
  <c r="V71" i="4"/>
  <c r="V70" i="4"/>
  <c r="V69" i="4"/>
  <c r="V68" i="4"/>
  <c r="V67" i="4"/>
  <c r="V66" i="4"/>
  <c r="V65" i="4"/>
  <c r="V64" i="4"/>
  <c r="V63" i="4"/>
  <c r="V62" i="4"/>
  <c r="V61" i="4"/>
  <c r="V60" i="4"/>
  <c r="V59" i="4"/>
  <c r="V58" i="4"/>
  <c r="V57" i="4"/>
  <c r="V56" i="4"/>
  <c r="V55" i="4"/>
  <c r="V54" i="4"/>
  <c r="V53" i="4"/>
  <c r="V52" i="4"/>
  <c r="V51" i="4"/>
  <c r="V50" i="4"/>
  <c r="V49" i="4"/>
  <c r="V48" i="4"/>
  <c r="V47" i="4"/>
  <c r="V46" i="4"/>
  <c r="V45" i="4"/>
  <c r="V44" i="4"/>
  <c r="V43" i="4"/>
  <c r="V42" i="4"/>
  <c r="V41" i="4"/>
  <c r="V40" i="4"/>
  <c r="V39" i="4"/>
  <c r="V38" i="4"/>
  <c r="V37" i="4"/>
  <c r="V36" i="4"/>
  <c r="V35" i="4"/>
  <c r="V34" i="4"/>
  <c r="V33" i="4"/>
  <c r="V32" i="4"/>
  <c r="V31" i="4"/>
  <c r="V30" i="4"/>
  <c r="V29" i="4"/>
  <c r="V28" i="4"/>
  <c r="V27" i="4"/>
  <c r="V26" i="4"/>
  <c r="V25" i="4"/>
  <c r="V24" i="4"/>
  <c r="V23" i="4"/>
  <c r="V22" i="4"/>
  <c r="V21" i="4"/>
  <c r="V20" i="4"/>
  <c r="V19" i="4"/>
  <c r="V18" i="4"/>
  <c r="V17" i="4"/>
  <c r="V16" i="4"/>
  <c r="V15" i="4"/>
  <c r="V14" i="4"/>
  <c r="V13" i="4"/>
  <c r="V12" i="4"/>
  <c r="V11" i="4"/>
  <c r="V10" i="4"/>
  <c r="V9" i="4"/>
  <c r="V8" i="4"/>
  <c r="V7" i="4"/>
  <c r="V6" i="4"/>
  <c r="V5" i="4"/>
  <c r="V4" i="4"/>
  <c r="V3" i="4"/>
  <c r="S1001" i="4"/>
  <c r="S1000" i="4"/>
  <c r="S999" i="4"/>
  <c r="S998" i="4"/>
  <c r="S997" i="4"/>
  <c r="S996" i="4"/>
  <c r="S995" i="4"/>
  <c r="S994" i="4"/>
  <c r="S993" i="4"/>
  <c r="S992" i="4"/>
  <c r="S991" i="4"/>
  <c r="S990" i="4"/>
  <c r="S989" i="4"/>
  <c r="S988" i="4"/>
  <c r="S987" i="4"/>
  <c r="S986" i="4"/>
  <c r="S985" i="4"/>
  <c r="S984" i="4"/>
  <c r="S983" i="4"/>
  <c r="S982" i="4"/>
  <c r="S981" i="4"/>
  <c r="S980" i="4"/>
  <c r="S979" i="4"/>
  <c r="S978" i="4"/>
  <c r="S977" i="4"/>
  <c r="S976" i="4"/>
  <c r="S975" i="4"/>
  <c r="S974" i="4"/>
  <c r="S973" i="4"/>
  <c r="S972" i="4"/>
  <c r="S971" i="4"/>
  <c r="S970" i="4"/>
  <c r="S969" i="4"/>
  <c r="S968" i="4"/>
  <c r="S967" i="4"/>
  <c r="S966" i="4"/>
  <c r="S965" i="4"/>
  <c r="S964" i="4"/>
  <c r="S963" i="4"/>
  <c r="S962" i="4"/>
  <c r="S961" i="4"/>
  <c r="S960" i="4"/>
  <c r="S959" i="4"/>
  <c r="S958" i="4"/>
  <c r="S957" i="4"/>
  <c r="S956" i="4"/>
  <c r="S955" i="4"/>
  <c r="S954" i="4"/>
  <c r="S953" i="4"/>
  <c r="S952" i="4"/>
  <c r="S951" i="4"/>
  <c r="S950" i="4"/>
  <c r="S949" i="4"/>
  <c r="S948" i="4"/>
  <c r="S947" i="4"/>
  <c r="S946" i="4"/>
  <c r="S945" i="4"/>
  <c r="S944" i="4"/>
  <c r="S943" i="4"/>
  <c r="S942" i="4"/>
  <c r="S941" i="4"/>
  <c r="S940" i="4"/>
  <c r="S939" i="4"/>
  <c r="S938" i="4"/>
  <c r="S937" i="4"/>
  <c r="S936" i="4"/>
  <c r="S935" i="4"/>
  <c r="S934" i="4"/>
  <c r="S933" i="4"/>
  <c r="S932" i="4"/>
  <c r="S931" i="4"/>
  <c r="S930" i="4"/>
  <c r="S929" i="4"/>
  <c r="S928" i="4"/>
  <c r="S927" i="4"/>
  <c r="S926" i="4"/>
  <c r="S925" i="4"/>
  <c r="S924" i="4"/>
  <c r="S923" i="4"/>
  <c r="S922" i="4"/>
  <c r="S921" i="4"/>
  <c r="S920" i="4"/>
  <c r="S919" i="4"/>
  <c r="S918" i="4"/>
  <c r="S917" i="4"/>
  <c r="S916" i="4"/>
  <c r="S915" i="4"/>
  <c r="S914" i="4"/>
  <c r="S913" i="4"/>
  <c r="S912" i="4"/>
  <c r="S911" i="4"/>
  <c r="S910" i="4"/>
  <c r="S909" i="4"/>
  <c r="S908" i="4"/>
  <c r="S907" i="4"/>
  <c r="S906" i="4"/>
  <c r="S905" i="4"/>
  <c r="S904" i="4"/>
  <c r="S903" i="4"/>
  <c r="S902" i="4"/>
  <c r="S901" i="4"/>
  <c r="S900" i="4"/>
  <c r="S899" i="4"/>
  <c r="S898" i="4"/>
  <c r="S897" i="4"/>
  <c r="S896" i="4"/>
  <c r="S895" i="4"/>
  <c r="S894" i="4"/>
  <c r="S893" i="4"/>
  <c r="S892" i="4"/>
  <c r="S891" i="4"/>
  <c r="S890" i="4"/>
  <c r="S889" i="4"/>
  <c r="S888" i="4"/>
  <c r="S887" i="4"/>
  <c r="S886" i="4"/>
  <c r="S885" i="4"/>
  <c r="S884" i="4"/>
  <c r="S883" i="4"/>
  <c r="S882" i="4"/>
  <c r="S881" i="4"/>
  <c r="S880" i="4"/>
  <c r="S879" i="4"/>
  <c r="S878" i="4"/>
  <c r="S877" i="4"/>
  <c r="S876" i="4"/>
  <c r="S875" i="4"/>
  <c r="S874" i="4"/>
  <c r="S873" i="4"/>
  <c r="S872" i="4"/>
  <c r="S871" i="4"/>
  <c r="S870" i="4"/>
  <c r="S869" i="4"/>
  <c r="S868" i="4"/>
  <c r="S867" i="4"/>
  <c r="S866" i="4"/>
  <c r="S865" i="4"/>
  <c r="S864" i="4"/>
  <c r="S863" i="4"/>
  <c r="S862" i="4"/>
  <c r="S861" i="4"/>
  <c r="S860" i="4"/>
  <c r="S859" i="4"/>
  <c r="S858" i="4"/>
  <c r="S857" i="4"/>
  <c r="S856" i="4"/>
  <c r="S855" i="4"/>
  <c r="S854" i="4"/>
  <c r="S853" i="4"/>
  <c r="S852" i="4"/>
  <c r="S851" i="4"/>
  <c r="S850" i="4"/>
  <c r="S849" i="4"/>
  <c r="S848" i="4"/>
  <c r="S847" i="4"/>
  <c r="S846" i="4"/>
  <c r="S845" i="4"/>
  <c r="S844" i="4"/>
  <c r="S843" i="4"/>
  <c r="S842" i="4"/>
  <c r="S841" i="4"/>
  <c r="S840" i="4"/>
  <c r="S839" i="4"/>
  <c r="S838" i="4"/>
  <c r="S837" i="4"/>
  <c r="S836" i="4"/>
  <c r="S835" i="4"/>
  <c r="S834" i="4"/>
  <c r="S833" i="4"/>
  <c r="S832" i="4"/>
  <c r="S831" i="4"/>
  <c r="S830" i="4"/>
  <c r="S829" i="4"/>
  <c r="S828" i="4"/>
  <c r="S827" i="4"/>
  <c r="S826" i="4"/>
  <c r="S825" i="4"/>
  <c r="S824" i="4"/>
  <c r="S823" i="4"/>
  <c r="S822" i="4"/>
  <c r="S821" i="4"/>
  <c r="S820" i="4"/>
  <c r="S819" i="4"/>
  <c r="S818" i="4"/>
  <c r="S817" i="4"/>
  <c r="S816" i="4"/>
  <c r="S815" i="4"/>
  <c r="S814" i="4"/>
  <c r="S813" i="4"/>
  <c r="S812" i="4"/>
  <c r="S811" i="4"/>
  <c r="S810" i="4"/>
  <c r="S809" i="4"/>
  <c r="S808" i="4"/>
  <c r="S807" i="4"/>
  <c r="S806" i="4"/>
  <c r="S805" i="4"/>
  <c r="S804" i="4"/>
  <c r="S803" i="4"/>
  <c r="S802" i="4"/>
  <c r="S801" i="4"/>
  <c r="S800" i="4"/>
  <c r="S799" i="4"/>
  <c r="S798" i="4"/>
  <c r="S797" i="4"/>
  <c r="S796" i="4"/>
  <c r="S795" i="4"/>
  <c r="S794" i="4"/>
  <c r="S793" i="4"/>
  <c r="S792" i="4"/>
  <c r="S791" i="4"/>
  <c r="S790" i="4"/>
  <c r="S789" i="4"/>
  <c r="S788" i="4"/>
  <c r="S787" i="4"/>
  <c r="S786" i="4"/>
  <c r="S785" i="4"/>
  <c r="S784" i="4"/>
  <c r="S783" i="4"/>
  <c r="S782" i="4"/>
  <c r="S781" i="4"/>
  <c r="S780" i="4"/>
  <c r="S779" i="4"/>
  <c r="S778" i="4"/>
  <c r="S777" i="4"/>
  <c r="S776" i="4"/>
  <c r="S775" i="4"/>
  <c r="S774" i="4"/>
  <c r="S773" i="4"/>
  <c r="S772" i="4"/>
  <c r="S771" i="4"/>
  <c r="S770" i="4"/>
  <c r="S769" i="4"/>
  <c r="S768" i="4"/>
  <c r="S767" i="4"/>
  <c r="S766" i="4"/>
  <c r="S765" i="4"/>
  <c r="S764" i="4"/>
  <c r="S763" i="4"/>
  <c r="S762" i="4"/>
  <c r="S761" i="4"/>
  <c r="S760" i="4"/>
  <c r="S759" i="4"/>
  <c r="S758" i="4"/>
  <c r="S757" i="4"/>
  <c r="S756" i="4"/>
  <c r="S755" i="4"/>
  <c r="S754" i="4"/>
  <c r="S753" i="4"/>
  <c r="S752" i="4"/>
  <c r="S751" i="4"/>
  <c r="S750" i="4"/>
  <c r="S749" i="4"/>
  <c r="S748" i="4"/>
  <c r="S747" i="4"/>
  <c r="S746" i="4"/>
  <c r="S745" i="4"/>
  <c r="S744" i="4"/>
  <c r="S743" i="4"/>
  <c r="S742" i="4"/>
  <c r="S741" i="4"/>
  <c r="S740" i="4"/>
  <c r="S739" i="4"/>
  <c r="S738" i="4"/>
  <c r="S737" i="4"/>
  <c r="S736" i="4"/>
  <c r="S735" i="4"/>
  <c r="S734" i="4"/>
  <c r="S733" i="4"/>
  <c r="S732" i="4"/>
  <c r="S731" i="4"/>
  <c r="S730" i="4"/>
  <c r="S729" i="4"/>
  <c r="S728" i="4"/>
  <c r="S727" i="4"/>
  <c r="S726" i="4"/>
  <c r="S725" i="4"/>
  <c r="S724" i="4"/>
  <c r="S723" i="4"/>
  <c r="S722" i="4"/>
  <c r="S721" i="4"/>
  <c r="S720" i="4"/>
  <c r="S719" i="4"/>
  <c r="S718" i="4"/>
  <c r="S717" i="4"/>
  <c r="S716" i="4"/>
  <c r="S715" i="4"/>
  <c r="S714" i="4"/>
  <c r="S713" i="4"/>
  <c r="S712" i="4"/>
  <c r="S711" i="4"/>
  <c r="S710" i="4"/>
  <c r="S709" i="4"/>
  <c r="S708" i="4"/>
  <c r="S707" i="4"/>
  <c r="S706" i="4"/>
  <c r="S705" i="4"/>
  <c r="S704" i="4"/>
  <c r="S703" i="4"/>
  <c r="S702" i="4"/>
  <c r="S701" i="4"/>
  <c r="S700" i="4"/>
  <c r="S699" i="4"/>
  <c r="S698" i="4"/>
  <c r="S697" i="4"/>
  <c r="S696" i="4"/>
  <c r="S695" i="4"/>
  <c r="S694" i="4"/>
  <c r="S693" i="4"/>
  <c r="S692" i="4"/>
  <c r="S691" i="4"/>
  <c r="S690" i="4"/>
  <c r="S689" i="4"/>
  <c r="S688" i="4"/>
  <c r="S687" i="4"/>
  <c r="S686" i="4"/>
  <c r="S685" i="4"/>
  <c r="S684" i="4"/>
  <c r="S683" i="4"/>
  <c r="S682" i="4"/>
  <c r="S681" i="4"/>
  <c r="S680" i="4"/>
  <c r="S679" i="4"/>
  <c r="S678" i="4"/>
  <c r="S677" i="4"/>
  <c r="S676" i="4"/>
  <c r="S675" i="4"/>
  <c r="S674" i="4"/>
  <c r="S673" i="4"/>
  <c r="S672" i="4"/>
  <c r="S671" i="4"/>
  <c r="S670" i="4"/>
  <c r="S669" i="4"/>
  <c r="S668" i="4"/>
  <c r="S667" i="4"/>
  <c r="S666" i="4"/>
  <c r="S665" i="4"/>
  <c r="S664" i="4"/>
  <c r="S663" i="4"/>
  <c r="S662" i="4"/>
  <c r="S661" i="4"/>
  <c r="S660" i="4"/>
  <c r="S659" i="4"/>
  <c r="S658" i="4"/>
  <c r="S657" i="4"/>
  <c r="S656" i="4"/>
  <c r="S655" i="4"/>
  <c r="S654" i="4"/>
  <c r="S653" i="4"/>
  <c r="S652" i="4"/>
  <c r="S651" i="4"/>
  <c r="S650" i="4"/>
  <c r="S649" i="4"/>
  <c r="S648" i="4"/>
  <c r="S647" i="4"/>
  <c r="S646" i="4"/>
  <c r="S645" i="4"/>
  <c r="S644" i="4"/>
  <c r="S643" i="4"/>
  <c r="S642" i="4"/>
  <c r="S641" i="4"/>
  <c r="S640" i="4"/>
  <c r="S639" i="4"/>
  <c r="S638" i="4"/>
  <c r="S637" i="4"/>
  <c r="S636" i="4"/>
  <c r="S635" i="4"/>
  <c r="S634" i="4"/>
  <c r="S633" i="4"/>
  <c r="S632" i="4"/>
  <c r="S631" i="4"/>
  <c r="S630" i="4"/>
  <c r="S629" i="4"/>
  <c r="S628" i="4"/>
  <c r="S627" i="4"/>
  <c r="S626" i="4"/>
  <c r="S625" i="4"/>
  <c r="S624" i="4"/>
  <c r="S623" i="4"/>
  <c r="S622" i="4"/>
  <c r="S621" i="4"/>
  <c r="S620" i="4"/>
  <c r="S619" i="4"/>
  <c r="S618" i="4"/>
  <c r="S617" i="4"/>
  <c r="S616" i="4"/>
  <c r="S615" i="4"/>
  <c r="S614" i="4"/>
  <c r="S613" i="4"/>
  <c r="S612" i="4"/>
  <c r="S611" i="4"/>
  <c r="S610" i="4"/>
  <c r="S609" i="4"/>
  <c r="S608" i="4"/>
  <c r="S607" i="4"/>
  <c r="S606" i="4"/>
  <c r="S605" i="4"/>
  <c r="S604" i="4"/>
  <c r="S603" i="4"/>
  <c r="S602" i="4"/>
  <c r="S601" i="4"/>
  <c r="S600" i="4"/>
  <c r="S599" i="4"/>
  <c r="S598" i="4"/>
  <c r="S597" i="4"/>
  <c r="S596" i="4"/>
  <c r="S595" i="4"/>
  <c r="S594" i="4"/>
  <c r="S593" i="4"/>
  <c r="S592" i="4"/>
  <c r="S591" i="4"/>
  <c r="S590" i="4"/>
  <c r="S589" i="4"/>
  <c r="S588" i="4"/>
  <c r="S587" i="4"/>
  <c r="S586" i="4"/>
  <c r="S585" i="4"/>
  <c r="S584" i="4"/>
  <c r="S583" i="4"/>
  <c r="S582" i="4"/>
  <c r="S581" i="4"/>
  <c r="S580" i="4"/>
  <c r="S579" i="4"/>
  <c r="S578" i="4"/>
  <c r="S577" i="4"/>
  <c r="S576" i="4"/>
  <c r="S575" i="4"/>
  <c r="S574" i="4"/>
  <c r="S573" i="4"/>
  <c r="S572" i="4"/>
  <c r="S571" i="4"/>
  <c r="S570" i="4"/>
  <c r="S569" i="4"/>
  <c r="S568" i="4"/>
  <c r="S567" i="4"/>
  <c r="S566" i="4"/>
  <c r="S565" i="4"/>
  <c r="S564" i="4"/>
  <c r="S563" i="4"/>
  <c r="S562" i="4"/>
  <c r="S561" i="4"/>
  <c r="S560" i="4"/>
  <c r="S559" i="4"/>
  <c r="S558" i="4"/>
  <c r="S557" i="4"/>
  <c r="S556" i="4"/>
  <c r="S555" i="4"/>
  <c r="S554" i="4"/>
  <c r="S553" i="4"/>
  <c r="S552" i="4"/>
  <c r="S551" i="4"/>
  <c r="S550" i="4"/>
  <c r="S549" i="4"/>
  <c r="S548" i="4"/>
  <c r="S547" i="4"/>
  <c r="S546" i="4"/>
  <c r="S545" i="4"/>
  <c r="S544" i="4"/>
  <c r="S543" i="4"/>
  <c r="S542" i="4"/>
  <c r="S541" i="4"/>
  <c r="S540" i="4"/>
  <c r="S539" i="4"/>
  <c r="S538" i="4"/>
  <c r="S537" i="4"/>
  <c r="S536" i="4"/>
  <c r="S535" i="4"/>
  <c r="S534" i="4"/>
  <c r="S533" i="4"/>
  <c r="S532" i="4"/>
  <c r="S531" i="4"/>
  <c r="S530" i="4"/>
  <c r="S529" i="4"/>
  <c r="S528" i="4"/>
  <c r="S527" i="4"/>
  <c r="S526" i="4"/>
  <c r="S525" i="4"/>
  <c r="S524" i="4"/>
  <c r="S523" i="4"/>
  <c r="S522" i="4"/>
  <c r="S521" i="4"/>
  <c r="S520" i="4"/>
  <c r="S519" i="4"/>
  <c r="S518" i="4"/>
  <c r="S517" i="4"/>
  <c r="S516" i="4"/>
  <c r="S515" i="4"/>
  <c r="S514" i="4"/>
  <c r="S513" i="4"/>
  <c r="S512" i="4"/>
  <c r="S511" i="4"/>
  <c r="S510" i="4"/>
  <c r="S509" i="4"/>
  <c r="S508" i="4"/>
  <c r="S507" i="4"/>
  <c r="S506" i="4"/>
  <c r="S505" i="4"/>
  <c r="S504" i="4"/>
  <c r="S503" i="4"/>
  <c r="S502" i="4"/>
  <c r="S501" i="4"/>
  <c r="S500" i="4"/>
  <c r="S499" i="4"/>
  <c r="S498" i="4"/>
  <c r="S497" i="4"/>
  <c r="S496" i="4"/>
  <c r="S495" i="4"/>
  <c r="S494" i="4"/>
  <c r="S493" i="4"/>
  <c r="S492" i="4"/>
  <c r="S491" i="4"/>
  <c r="S490" i="4"/>
  <c r="S489" i="4"/>
  <c r="S488" i="4"/>
  <c r="S487" i="4"/>
  <c r="S486" i="4"/>
  <c r="S485" i="4"/>
  <c r="S484" i="4"/>
  <c r="S483" i="4"/>
  <c r="S482" i="4"/>
  <c r="S481" i="4"/>
  <c r="S480" i="4"/>
  <c r="S479" i="4"/>
  <c r="S478" i="4"/>
  <c r="S477" i="4"/>
  <c r="S476" i="4"/>
  <c r="S475" i="4"/>
  <c r="S474" i="4"/>
  <c r="S473" i="4"/>
  <c r="S472" i="4"/>
  <c r="S471" i="4"/>
  <c r="S470" i="4"/>
  <c r="S469" i="4"/>
  <c r="S468" i="4"/>
  <c r="S467" i="4"/>
  <c r="S466" i="4"/>
  <c r="S465" i="4"/>
  <c r="S464" i="4"/>
  <c r="S463" i="4"/>
  <c r="S462" i="4"/>
  <c r="S461" i="4"/>
  <c r="S460" i="4"/>
  <c r="S459" i="4"/>
  <c r="S458" i="4"/>
  <c r="S457" i="4"/>
  <c r="S456" i="4"/>
  <c r="S455" i="4"/>
  <c r="S454" i="4"/>
  <c r="S453" i="4"/>
  <c r="S452" i="4"/>
  <c r="S451" i="4"/>
  <c r="S450" i="4"/>
  <c r="S449" i="4"/>
  <c r="S448" i="4"/>
  <c r="S447" i="4"/>
  <c r="S446" i="4"/>
  <c r="S445" i="4"/>
  <c r="S444" i="4"/>
  <c r="S443" i="4"/>
  <c r="S442" i="4"/>
  <c r="S441" i="4"/>
  <c r="S440" i="4"/>
  <c r="S439" i="4"/>
  <c r="S438" i="4"/>
  <c r="S437" i="4"/>
  <c r="S436" i="4"/>
  <c r="S435" i="4"/>
  <c r="S434" i="4"/>
  <c r="S433" i="4"/>
  <c r="S432" i="4"/>
  <c r="S431" i="4"/>
  <c r="S430" i="4"/>
  <c r="S429" i="4"/>
  <c r="S428" i="4"/>
  <c r="S427" i="4"/>
  <c r="S426" i="4"/>
  <c r="S425" i="4"/>
  <c r="S424" i="4"/>
  <c r="S423" i="4"/>
  <c r="S422" i="4"/>
  <c r="S421" i="4"/>
  <c r="S420" i="4"/>
  <c r="S419" i="4"/>
  <c r="S418" i="4"/>
  <c r="S417" i="4"/>
  <c r="S416" i="4"/>
  <c r="S415" i="4"/>
  <c r="S414" i="4"/>
  <c r="S413" i="4"/>
  <c r="S412" i="4"/>
  <c r="S411" i="4"/>
  <c r="S410" i="4"/>
  <c r="S409" i="4"/>
  <c r="S408" i="4"/>
  <c r="S407" i="4"/>
  <c r="S406" i="4"/>
  <c r="S405" i="4"/>
  <c r="S404" i="4"/>
  <c r="S403" i="4"/>
  <c r="S402" i="4"/>
  <c r="S401" i="4"/>
  <c r="S400" i="4"/>
  <c r="S399" i="4"/>
  <c r="S398" i="4"/>
  <c r="S397" i="4"/>
  <c r="S396" i="4"/>
  <c r="S395" i="4"/>
  <c r="S394" i="4"/>
  <c r="S393" i="4"/>
  <c r="S392" i="4"/>
  <c r="S391" i="4"/>
  <c r="S390" i="4"/>
  <c r="S389" i="4"/>
  <c r="S388" i="4"/>
  <c r="S387" i="4"/>
  <c r="S386" i="4"/>
  <c r="S385" i="4"/>
  <c r="S384" i="4"/>
  <c r="S383" i="4"/>
  <c r="S382" i="4"/>
  <c r="S381" i="4"/>
  <c r="S380" i="4"/>
  <c r="S379" i="4"/>
  <c r="S378" i="4"/>
  <c r="S377" i="4"/>
  <c r="S376" i="4"/>
  <c r="S375" i="4"/>
  <c r="S374" i="4"/>
  <c r="S373" i="4"/>
  <c r="S372" i="4"/>
  <c r="S371" i="4"/>
  <c r="S370" i="4"/>
  <c r="S369" i="4"/>
  <c r="S368" i="4"/>
  <c r="S367" i="4"/>
  <c r="S366" i="4"/>
  <c r="S365" i="4"/>
  <c r="S364" i="4"/>
  <c r="S363" i="4"/>
  <c r="S362" i="4"/>
  <c r="S361" i="4"/>
  <c r="S360" i="4"/>
  <c r="S359" i="4"/>
  <c r="S358" i="4"/>
  <c r="S357" i="4"/>
  <c r="S356" i="4"/>
  <c r="S355" i="4"/>
  <c r="S354" i="4"/>
  <c r="S353" i="4"/>
  <c r="S352" i="4"/>
  <c r="S351" i="4"/>
  <c r="S350" i="4"/>
  <c r="S349" i="4"/>
  <c r="S348" i="4"/>
  <c r="S347" i="4"/>
  <c r="S346" i="4"/>
  <c r="S345" i="4"/>
  <c r="S344" i="4"/>
  <c r="S343" i="4"/>
  <c r="S342" i="4"/>
  <c r="S341" i="4"/>
  <c r="S340" i="4"/>
  <c r="S339" i="4"/>
  <c r="S338" i="4"/>
  <c r="S337" i="4"/>
  <c r="S336" i="4"/>
  <c r="S335" i="4"/>
  <c r="S334" i="4"/>
  <c r="S333" i="4"/>
  <c r="S332" i="4"/>
  <c r="S331" i="4"/>
  <c r="S330" i="4"/>
  <c r="S329" i="4"/>
  <c r="S328" i="4"/>
  <c r="S327" i="4"/>
  <c r="S326" i="4"/>
  <c r="S325" i="4"/>
  <c r="S324" i="4"/>
  <c r="S323" i="4"/>
  <c r="S322" i="4"/>
  <c r="S321" i="4"/>
  <c r="S320" i="4"/>
  <c r="S319" i="4"/>
  <c r="S318" i="4"/>
  <c r="S317" i="4"/>
  <c r="S316" i="4"/>
  <c r="S315" i="4"/>
  <c r="S314" i="4"/>
  <c r="S313" i="4"/>
  <c r="S312" i="4"/>
  <c r="S311" i="4"/>
  <c r="S310" i="4"/>
  <c r="S309" i="4"/>
  <c r="S308" i="4"/>
  <c r="S307" i="4"/>
  <c r="S306" i="4"/>
  <c r="S305" i="4"/>
  <c r="S304" i="4"/>
  <c r="S303" i="4"/>
  <c r="S302" i="4"/>
  <c r="S301" i="4"/>
  <c r="S300" i="4"/>
  <c r="S299" i="4"/>
  <c r="S298" i="4"/>
  <c r="S297" i="4"/>
  <c r="S296" i="4"/>
  <c r="S295" i="4"/>
  <c r="S294" i="4"/>
  <c r="S293" i="4"/>
  <c r="S292" i="4"/>
  <c r="S291" i="4"/>
  <c r="S290" i="4"/>
  <c r="S289" i="4"/>
  <c r="S288" i="4"/>
  <c r="S287" i="4"/>
  <c r="S286" i="4"/>
  <c r="S285" i="4"/>
  <c r="S284" i="4"/>
  <c r="S283" i="4"/>
  <c r="S282" i="4"/>
  <c r="S281" i="4"/>
  <c r="S280" i="4"/>
  <c r="S279" i="4"/>
  <c r="S278" i="4"/>
  <c r="S277" i="4"/>
  <c r="S276" i="4"/>
  <c r="S275" i="4"/>
  <c r="S274" i="4"/>
  <c r="S273" i="4"/>
  <c r="S272" i="4"/>
  <c r="S271" i="4"/>
  <c r="S270" i="4"/>
  <c r="S269" i="4"/>
  <c r="S268" i="4"/>
  <c r="S267" i="4"/>
  <c r="S266" i="4"/>
  <c r="S265" i="4"/>
  <c r="S264" i="4"/>
  <c r="S263" i="4"/>
  <c r="S262" i="4"/>
  <c r="S261" i="4"/>
  <c r="S260" i="4"/>
  <c r="S259" i="4"/>
  <c r="S258" i="4"/>
  <c r="S257" i="4"/>
  <c r="S256" i="4"/>
  <c r="S255" i="4"/>
  <c r="S254" i="4"/>
  <c r="S253" i="4"/>
  <c r="S252" i="4"/>
  <c r="S251" i="4"/>
  <c r="S250" i="4"/>
  <c r="S249" i="4"/>
  <c r="S248" i="4"/>
  <c r="S247" i="4"/>
  <c r="S246" i="4"/>
  <c r="S245" i="4"/>
  <c r="S244" i="4"/>
  <c r="S243" i="4"/>
  <c r="S242" i="4"/>
  <c r="S241" i="4"/>
  <c r="S240" i="4"/>
  <c r="S239" i="4"/>
  <c r="S238" i="4"/>
  <c r="S237" i="4"/>
  <c r="S236" i="4"/>
  <c r="S235" i="4"/>
  <c r="S234" i="4"/>
  <c r="S233" i="4"/>
  <c r="S232" i="4"/>
  <c r="S231" i="4"/>
  <c r="S230" i="4"/>
  <c r="S229" i="4"/>
  <c r="S228" i="4"/>
  <c r="S227" i="4"/>
  <c r="S226" i="4"/>
  <c r="S225" i="4"/>
  <c r="S224" i="4"/>
  <c r="S223" i="4"/>
  <c r="S222" i="4"/>
  <c r="S221" i="4"/>
  <c r="S220" i="4"/>
  <c r="S219" i="4"/>
  <c r="S218" i="4"/>
  <c r="S217" i="4"/>
  <c r="S216" i="4"/>
  <c r="S215" i="4"/>
  <c r="S214" i="4"/>
  <c r="S213" i="4"/>
  <c r="S212" i="4"/>
  <c r="S211" i="4"/>
  <c r="S210" i="4"/>
  <c r="S209" i="4"/>
  <c r="S208" i="4"/>
  <c r="S207" i="4"/>
  <c r="S206" i="4"/>
  <c r="S205" i="4"/>
  <c r="S204" i="4"/>
  <c r="S203" i="4"/>
  <c r="S202" i="4"/>
  <c r="S201" i="4"/>
  <c r="S200" i="4"/>
  <c r="S199" i="4"/>
  <c r="S198" i="4"/>
  <c r="S197" i="4"/>
  <c r="S196" i="4"/>
  <c r="S195" i="4"/>
  <c r="S194" i="4"/>
  <c r="S193" i="4"/>
  <c r="S192" i="4"/>
  <c r="S191" i="4"/>
  <c r="S190" i="4"/>
  <c r="S189" i="4"/>
  <c r="S188" i="4"/>
  <c r="S187" i="4"/>
  <c r="S186" i="4"/>
  <c r="S185" i="4"/>
  <c r="S184" i="4"/>
  <c r="S183" i="4"/>
  <c r="S182" i="4"/>
  <c r="S181" i="4"/>
  <c r="S180" i="4"/>
  <c r="S179" i="4"/>
  <c r="S178" i="4"/>
  <c r="S177" i="4"/>
  <c r="S176" i="4"/>
  <c r="S175" i="4"/>
  <c r="S174" i="4"/>
  <c r="S173" i="4"/>
  <c r="S172" i="4"/>
  <c r="S171" i="4"/>
  <c r="S170" i="4"/>
  <c r="S169" i="4"/>
  <c r="S168" i="4"/>
  <c r="S167" i="4"/>
  <c r="S166" i="4"/>
  <c r="S165" i="4"/>
  <c r="S164" i="4"/>
  <c r="S163" i="4"/>
  <c r="S162" i="4"/>
  <c r="S161" i="4"/>
  <c r="S160" i="4"/>
  <c r="S159" i="4"/>
  <c r="S158" i="4"/>
  <c r="S157" i="4"/>
  <c r="S156" i="4"/>
  <c r="S155" i="4"/>
  <c r="S154" i="4"/>
  <c r="S153" i="4"/>
  <c r="S152" i="4"/>
  <c r="S151" i="4"/>
  <c r="S150" i="4"/>
  <c r="S149" i="4"/>
  <c r="S148" i="4"/>
  <c r="S147" i="4"/>
  <c r="S146" i="4"/>
  <c r="S145" i="4"/>
  <c r="S144" i="4"/>
  <c r="S143" i="4"/>
  <c r="S142" i="4"/>
  <c r="S141" i="4"/>
  <c r="S140" i="4"/>
  <c r="S139" i="4"/>
  <c r="S138" i="4"/>
  <c r="S137" i="4"/>
  <c r="S136" i="4"/>
  <c r="S135" i="4"/>
  <c r="S134" i="4"/>
  <c r="S133" i="4"/>
  <c r="S132" i="4"/>
  <c r="S131" i="4"/>
  <c r="S130" i="4"/>
  <c r="S129" i="4"/>
  <c r="S128" i="4"/>
  <c r="S127" i="4"/>
  <c r="S126" i="4"/>
  <c r="S125" i="4"/>
  <c r="S124" i="4"/>
  <c r="S123" i="4"/>
  <c r="S122" i="4"/>
  <c r="S121" i="4"/>
  <c r="S120" i="4"/>
  <c r="S119" i="4"/>
  <c r="S118" i="4"/>
  <c r="S117" i="4"/>
  <c r="S116" i="4"/>
  <c r="S115" i="4"/>
  <c r="S114" i="4"/>
  <c r="S113" i="4"/>
  <c r="S112" i="4"/>
  <c r="S111" i="4"/>
  <c r="S110" i="4"/>
  <c r="S109" i="4"/>
  <c r="S108" i="4"/>
  <c r="S107" i="4"/>
  <c r="S106" i="4"/>
  <c r="S105" i="4"/>
  <c r="S104" i="4"/>
  <c r="S103" i="4"/>
  <c r="S102" i="4"/>
  <c r="S101" i="4"/>
  <c r="S100" i="4"/>
  <c r="S99" i="4"/>
  <c r="S98" i="4"/>
  <c r="S97" i="4"/>
  <c r="S96" i="4"/>
  <c r="S95" i="4"/>
  <c r="S94" i="4"/>
  <c r="S93" i="4"/>
  <c r="S92" i="4"/>
  <c r="S91" i="4"/>
  <c r="S90" i="4"/>
  <c r="S89" i="4"/>
  <c r="S88" i="4"/>
  <c r="S87" i="4"/>
  <c r="S86" i="4"/>
  <c r="S85" i="4"/>
  <c r="S84" i="4"/>
  <c r="S83" i="4"/>
  <c r="S82" i="4"/>
  <c r="S81" i="4"/>
  <c r="S80" i="4"/>
  <c r="S79" i="4"/>
  <c r="S78" i="4"/>
  <c r="S77" i="4"/>
  <c r="S76" i="4"/>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S8" i="4"/>
  <c r="S7" i="4"/>
  <c r="S6" i="4"/>
  <c r="S5" i="4"/>
  <c r="S4" i="4"/>
  <c r="S2" i="4"/>
  <c r="S3" i="4"/>
  <c r="R1001" i="4"/>
  <c r="R1000" i="4"/>
  <c r="R999" i="4"/>
  <c r="R998" i="4"/>
  <c r="R997" i="4"/>
  <c r="R996" i="4"/>
  <c r="R995" i="4"/>
  <c r="R994" i="4"/>
  <c r="R993" i="4"/>
  <c r="R992" i="4"/>
  <c r="R991" i="4"/>
  <c r="R990" i="4"/>
  <c r="R989" i="4"/>
  <c r="R988" i="4"/>
  <c r="R987" i="4"/>
  <c r="R986" i="4"/>
  <c r="R985" i="4"/>
  <c r="R984" i="4"/>
  <c r="R983" i="4"/>
  <c r="R982" i="4"/>
  <c r="R981" i="4"/>
  <c r="R980" i="4"/>
  <c r="R979" i="4"/>
  <c r="R978" i="4"/>
  <c r="R977" i="4"/>
  <c r="R976" i="4"/>
  <c r="R975" i="4"/>
  <c r="R974" i="4"/>
  <c r="R973" i="4"/>
  <c r="R972" i="4"/>
  <c r="R971" i="4"/>
  <c r="R970" i="4"/>
  <c r="R969" i="4"/>
  <c r="R968" i="4"/>
  <c r="R967" i="4"/>
  <c r="R966" i="4"/>
  <c r="R965" i="4"/>
  <c r="R964" i="4"/>
  <c r="R963" i="4"/>
  <c r="R962" i="4"/>
  <c r="R961" i="4"/>
  <c r="R960" i="4"/>
  <c r="R959" i="4"/>
  <c r="R958" i="4"/>
  <c r="R957" i="4"/>
  <c r="R956" i="4"/>
  <c r="R955" i="4"/>
  <c r="R954" i="4"/>
  <c r="R953" i="4"/>
  <c r="R952" i="4"/>
  <c r="R951" i="4"/>
  <c r="R950" i="4"/>
  <c r="R949" i="4"/>
  <c r="R948" i="4"/>
  <c r="R947" i="4"/>
  <c r="R946" i="4"/>
  <c r="R945" i="4"/>
  <c r="R944" i="4"/>
  <c r="R943" i="4"/>
  <c r="R942" i="4"/>
  <c r="R941" i="4"/>
  <c r="R940" i="4"/>
  <c r="R939" i="4"/>
  <c r="R938" i="4"/>
  <c r="R937" i="4"/>
  <c r="R936" i="4"/>
  <c r="R935" i="4"/>
  <c r="R934" i="4"/>
  <c r="R933" i="4"/>
  <c r="R932" i="4"/>
  <c r="R931" i="4"/>
  <c r="R930" i="4"/>
  <c r="R929" i="4"/>
  <c r="R928" i="4"/>
  <c r="R927" i="4"/>
  <c r="R926" i="4"/>
  <c r="R925" i="4"/>
  <c r="R924" i="4"/>
  <c r="R923" i="4"/>
  <c r="R922" i="4"/>
  <c r="R921" i="4"/>
  <c r="R920" i="4"/>
  <c r="R919" i="4"/>
  <c r="R918" i="4"/>
  <c r="R917" i="4"/>
  <c r="R916" i="4"/>
  <c r="R915" i="4"/>
  <c r="R914" i="4"/>
  <c r="R913" i="4"/>
  <c r="R912" i="4"/>
  <c r="R911" i="4"/>
  <c r="R910" i="4"/>
  <c r="R909" i="4"/>
  <c r="R908" i="4"/>
  <c r="R907" i="4"/>
  <c r="R906" i="4"/>
  <c r="R905" i="4"/>
  <c r="R904" i="4"/>
  <c r="R903" i="4"/>
  <c r="R902" i="4"/>
  <c r="R901" i="4"/>
  <c r="R900" i="4"/>
  <c r="R899" i="4"/>
  <c r="R898" i="4"/>
  <c r="R897" i="4"/>
  <c r="R896" i="4"/>
  <c r="R895" i="4"/>
  <c r="R894" i="4"/>
  <c r="R893" i="4"/>
  <c r="R892" i="4"/>
  <c r="R891" i="4"/>
  <c r="R890" i="4"/>
  <c r="R889" i="4"/>
  <c r="R888" i="4"/>
  <c r="R887" i="4"/>
  <c r="R886" i="4"/>
  <c r="R885" i="4"/>
  <c r="R884" i="4"/>
  <c r="R883" i="4"/>
  <c r="R882" i="4"/>
  <c r="R881" i="4"/>
  <c r="R880" i="4"/>
  <c r="R879" i="4"/>
  <c r="R878" i="4"/>
  <c r="R877" i="4"/>
  <c r="R876" i="4"/>
  <c r="R875" i="4"/>
  <c r="R874" i="4"/>
  <c r="R873" i="4"/>
  <c r="R872" i="4"/>
  <c r="R871" i="4"/>
  <c r="R870" i="4"/>
  <c r="R869" i="4"/>
  <c r="R868" i="4"/>
  <c r="R867" i="4"/>
  <c r="R866" i="4"/>
  <c r="R865" i="4"/>
  <c r="R864" i="4"/>
  <c r="R863" i="4"/>
  <c r="R862" i="4"/>
  <c r="R861" i="4"/>
  <c r="R860" i="4"/>
  <c r="R859" i="4"/>
  <c r="R858" i="4"/>
  <c r="R857" i="4"/>
  <c r="R856" i="4"/>
  <c r="R855" i="4"/>
  <c r="R854" i="4"/>
  <c r="R853" i="4"/>
  <c r="R852" i="4"/>
  <c r="R851" i="4"/>
  <c r="R850" i="4"/>
  <c r="R849" i="4"/>
  <c r="R848" i="4"/>
  <c r="R847" i="4"/>
  <c r="R846" i="4"/>
  <c r="R845" i="4"/>
  <c r="R844" i="4"/>
  <c r="R843" i="4"/>
  <c r="R842" i="4"/>
  <c r="R841" i="4"/>
  <c r="R840" i="4"/>
  <c r="R839" i="4"/>
  <c r="R838" i="4"/>
  <c r="R837" i="4"/>
  <c r="R836" i="4"/>
  <c r="R835" i="4"/>
  <c r="R834" i="4"/>
  <c r="R833" i="4"/>
  <c r="R832" i="4"/>
  <c r="R831" i="4"/>
  <c r="R830" i="4"/>
  <c r="R829" i="4"/>
  <c r="R828" i="4"/>
  <c r="R827" i="4"/>
  <c r="R826" i="4"/>
  <c r="R825" i="4"/>
  <c r="R824" i="4"/>
  <c r="R823" i="4"/>
  <c r="R822" i="4"/>
  <c r="R821" i="4"/>
  <c r="R820" i="4"/>
  <c r="R819" i="4"/>
  <c r="R818" i="4"/>
  <c r="R817" i="4"/>
  <c r="R816" i="4"/>
  <c r="R815" i="4"/>
  <c r="R814" i="4"/>
  <c r="R813" i="4"/>
  <c r="R812" i="4"/>
  <c r="R811" i="4"/>
  <c r="R810" i="4"/>
  <c r="R809" i="4"/>
  <c r="R808" i="4"/>
  <c r="R807" i="4"/>
  <c r="R806" i="4"/>
  <c r="R805" i="4"/>
  <c r="R804" i="4"/>
  <c r="R803" i="4"/>
  <c r="R802" i="4"/>
  <c r="R801" i="4"/>
  <c r="R800" i="4"/>
  <c r="R799" i="4"/>
  <c r="R798" i="4"/>
  <c r="R797" i="4"/>
  <c r="R796" i="4"/>
  <c r="R795" i="4"/>
  <c r="R794" i="4"/>
  <c r="R793" i="4"/>
  <c r="R792" i="4"/>
  <c r="R791" i="4"/>
  <c r="R790" i="4"/>
  <c r="R789" i="4"/>
  <c r="R788" i="4"/>
  <c r="R787" i="4"/>
  <c r="R786" i="4"/>
  <c r="R785" i="4"/>
  <c r="R784" i="4"/>
  <c r="R783" i="4"/>
  <c r="R782" i="4"/>
  <c r="R781" i="4"/>
  <c r="R780" i="4"/>
  <c r="R779" i="4"/>
  <c r="R778" i="4"/>
  <c r="R777" i="4"/>
  <c r="R776" i="4"/>
  <c r="R775" i="4"/>
  <c r="R774" i="4"/>
  <c r="R773" i="4"/>
  <c r="R772" i="4"/>
  <c r="R771" i="4"/>
  <c r="R770" i="4"/>
  <c r="R769" i="4"/>
  <c r="R768" i="4"/>
  <c r="R767" i="4"/>
  <c r="R766" i="4"/>
  <c r="R765" i="4"/>
  <c r="R764" i="4"/>
  <c r="R763" i="4"/>
  <c r="R762" i="4"/>
  <c r="R761" i="4"/>
  <c r="R760" i="4"/>
  <c r="R759" i="4"/>
  <c r="R758" i="4"/>
  <c r="R757" i="4"/>
  <c r="R756" i="4"/>
  <c r="R755" i="4"/>
  <c r="R754" i="4"/>
  <c r="R753" i="4"/>
  <c r="R752" i="4"/>
  <c r="R751" i="4"/>
  <c r="R750" i="4"/>
  <c r="R749" i="4"/>
  <c r="R748" i="4"/>
  <c r="R747" i="4"/>
  <c r="R746" i="4"/>
  <c r="R745" i="4"/>
  <c r="R744" i="4"/>
  <c r="R743" i="4"/>
  <c r="R742" i="4"/>
  <c r="R741" i="4"/>
  <c r="R740" i="4"/>
  <c r="R739" i="4"/>
  <c r="R738" i="4"/>
  <c r="R737" i="4"/>
  <c r="R736" i="4"/>
  <c r="R735" i="4"/>
  <c r="R734" i="4"/>
  <c r="R733" i="4"/>
  <c r="R732" i="4"/>
  <c r="R731" i="4"/>
  <c r="R730" i="4"/>
  <c r="R729" i="4"/>
  <c r="R728" i="4"/>
  <c r="R727" i="4"/>
  <c r="R726" i="4"/>
  <c r="R725" i="4"/>
  <c r="R724" i="4"/>
  <c r="R723" i="4"/>
  <c r="R722" i="4"/>
  <c r="R721" i="4"/>
  <c r="R720" i="4"/>
  <c r="R719" i="4"/>
  <c r="R718" i="4"/>
  <c r="R717" i="4"/>
  <c r="R716" i="4"/>
  <c r="R715" i="4"/>
  <c r="R714" i="4"/>
  <c r="R713" i="4"/>
  <c r="R712" i="4"/>
  <c r="R711" i="4"/>
  <c r="R710" i="4"/>
  <c r="R709" i="4"/>
  <c r="R708" i="4"/>
  <c r="R707" i="4"/>
  <c r="R706" i="4"/>
  <c r="R705" i="4"/>
  <c r="R704" i="4"/>
  <c r="R703" i="4"/>
  <c r="R702" i="4"/>
  <c r="R701" i="4"/>
  <c r="R700" i="4"/>
  <c r="R699" i="4"/>
  <c r="R698" i="4"/>
  <c r="R697" i="4"/>
  <c r="R696" i="4"/>
  <c r="R695" i="4"/>
  <c r="R694" i="4"/>
  <c r="R693" i="4"/>
  <c r="R692" i="4"/>
  <c r="R691" i="4"/>
  <c r="R690" i="4"/>
  <c r="R689" i="4"/>
  <c r="R688" i="4"/>
  <c r="R687" i="4"/>
  <c r="R686" i="4"/>
  <c r="R685" i="4"/>
  <c r="R684" i="4"/>
  <c r="R683" i="4"/>
  <c r="R682" i="4"/>
  <c r="R681" i="4"/>
  <c r="R680" i="4"/>
  <c r="R679" i="4"/>
  <c r="R678" i="4"/>
  <c r="R677" i="4"/>
  <c r="R676" i="4"/>
  <c r="R675" i="4"/>
  <c r="R674" i="4"/>
  <c r="R673" i="4"/>
  <c r="R672" i="4"/>
  <c r="R671" i="4"/>
  <c r="R670" i="4"/>
  <c r="R669" i="4"/>
  <c r="R668" i="4"/>
  <c r="R667" i="4"/>
  <c r="R666" i="4"/>
  <c r="R665" i="4"/>
  <c r="R664" i="4"/>
  <c r="R663" i="4"/>
  <c r="R662" i="4"/>
  <c r="R661" i="4"/>
  <c r="R660" i="4"/>
  <c r="R659" i="4"/>
  <c r="R658" i="4"/>
  <c r="R657" i="4"/>
  <c r="R656" i="4"/>
  <c r="R655" i="4"/>
  <c r="R654" i="4"/>
  <c r="R653" i="4"/>
  <c r="R652" i="4"/>
  <c r="R651" i="4"/>
  <c r="R650" i="4"/>
  <c r="R649" i="4"/>
  <c r="R648" i="4"/>
  <c r="R647" i="4"/>
  <c r="R646" i="4"/>
  <c r="R645" i="4"/>
  <c r="R644" i="4"/>
  <c r="R643" i="4"/>
  <c r="R642" i="4"/>
  <c r="R641" i="4"/>
  <c r="R640" i="4"/>
  <c r="R639" i="4"/>
  <c r="R638" i="4"/>
  <c r="R637" i="4"/>
  <c r="R636" i="4"/>
  <c r="R635" i="4"/>
  <c r="R634" i="4"/>
  <c r="R633" i="4"/>
  <c r="R632" i="4"/>
  <c r="R631" i="4"/>
  <c r="R630" i="4"/>
  <c r="R629" i="4"/>
  <c r="R628" i="4"/>
  <c r="R627" i="4"/>
  <c r="R626" i="4"/>
  <c r="R625" i="4"/>
  <c r="R624" i="4"/>
  <c r="R623" i="4"/>
  <c r="R622" i="4"/>
  <c r="R621" i="4"/>
  <c r="R620" i="4"/>
  <c r="R619" i="4"/>
  <c r="R618" i="4"/>
  <c r="R617" i="4"/>
  <c r="R616" i="4"/>
  <c r="R615" i="4"/>
  <c r="R614" i="4"/>
  <c r="R613" i="4"/>
  <c r="R612" i="4"/>
  <c r="R611" i="4"/>
  <c r="R610" i="4"/>
  <c r="R609" i="4"/>
  <c r="R608" i="4"/>
  <c r="R607" i="4"/>
  <c r="R606" i="4"/>
  <c r="R605" i="4"/>
  <c r="R604" i="4"/>
  <c r="R603" i="4"/>
  <c r="R602" i="4"/>
  <c r="R601" i="4"/>
  <c r="R600" i="4"/>
  <c r="R599" i="4"/>
  <c r="R598" i="4"/>
  <c r="R597" i="4"/>
  <c r="R596" i="4"/>
  <c r="R595" i="4"/>
  <c r="R594" i="4"/>
  <c r="R593" i="4"/>
  <c r="R592" i="4"/>
  <c r="R591" i="4"/>
  <c r="R590" i="4"/>
  <c r="R589" i="4"/>
  <c r="R588" i="4"/>
  <c r="R587" i="4"/>
  <c r="R586" i="4"/>
  <c r="R585" i="4"/>
  <c r="R584" i="4"/>
  <c r="R583" i="4"/>
  <c r="R582" i="4"/>
  <c r="R581" i="4"/>
  <c r="R580" i="4"/>
  <c r="R579" i="4"/>
  <c r="R578" i="4"/>
  <c r="R577" i="4"/>
  <c r="R576" i="4"/>
  <c r="R575" i="4"/>
  <c r="R574" i="4"/>
  <c r="R573" i="4"/>
  <c r="R572" i="4"/>
  <c r="R571" i="4"/>
  <c r="R570" i="4"/>
  <c r="R569" i="4"/>
  <c r="R568" i="4"/>
  <c r="R567" i="4"/>
  <c r="R566" i="4"/>
  <c r="R565" i="4"/>
  <c r="R564" i="4"/>
  <c r="R563" i="4"/>
  <c r="R562" i="4"/>
  <c r="R561" i="4"/>
  <c r="R560" i="4"/>
  <c r="R559" i="4"/>
  <c r="R558" i="4"/>
  <c r="R557" i="4"/>
  <c r="R556" i="4"/>
  <c r="R555" i="4"/>
  <c r="R554" i="4"/>
  <c r="R553" i="4"/>
  <c r="R552" i="4"/>
  <c r="R551" i="4"/>
  <c r="R550" i="4"/>
  <c r="R549" i="4"/>
  <c r="R548" i="4"/>
  <c r="R547" i="4"/>
  <c r="R546" i="4"/>
  <c r="R545" i="4"/>
  <c r="R544" i="4"/>
  <c r="R543" i="4"/>
  <c r="R542" i="4"/>
  <c r="R541" i="4"/>
  <c r="R540" i="4"/>
  <c r="R539" i="4"/>
  <c r="R538" i="4"/>
  <c r="R537" i="4"/>
  <c r="R536" i="4"/>
  <c r="R535" i="4"/>
  <c r="R534" i="4"/>
  <c r="R533" i="4"/>
  <c r="R532" i="4"/>
  <c r="R531" i="4"/>
  <c r="R530" i="4"/>
  <c r="R529" i="4"/>
  <c r="R528" i="4"/>
  <c r="R527" i="4"/>
  <c r="R526" i="4"/>
  <c r="R525" i="4"/>
  <c r="R524" i="4"/>
  <c r="R523" i="4"/>
  <c r="R522" i="4"/>
  <c r="R521" i="4"/>
  <c r="R520" i="4"/>
  <c r="R519" i="4"/>
  <c r="R518" i="4"/>
  <c r="R517" i="4"/>
  <c r="R516" i="4"/>
  <c r="R515" i="4"/>
  <c r="R514" i="4"/>
  <c r="R513" i="4"/>
  <c r="R512" i="4"/>
  <c r="R511" i="4"/>
  <c r="R510" i="4"/>
  <c r="R509" i="4"/>
  <c r="R508" i="4"/>
  <c r="R507" i="4"/>
  <c r="R506" i="4"/>
  <c r="R505" i="4"/>
  <c r="R504" i="4"/>
  <c r="R503" i="4"/>
  <c r="R502" i="4"/>
  <c r="R501" i="4"/>
  <c r="R500" i="4"/>
  <c r="R499" i="4"/>
  <c r="R498" i="4"/>
  <c r="R497" i="4"/>
  <c r="R496" i="4"/>
  <c r="R495" i="4"/>
  <c r="R494" i="4"/>
  <c r="R493" i="4"/>
  <c r="R492" i="4"/>
  <c r="R491" i="4"/>
  <c r="R490" i="4"/>
  <c r="R489" i="4"/>
  <c r="R488" i="4"/>
  <c r="R487" i="4"/>
  <c r="R486" i="4"/>
  <c r="R485" i="4"/>
  <c r="R484" i="4"/>
  <c r="R483" i="4"/>
  <c r="R482" i="4"/>
  <c r="R481" i="4"/>
  <c r="R480" i="4"/>
  <c r="R479" i="4"/>
  <c r="R478" i="4"/>
  <c r="R477" i="4"/>
  <c r="R476" i="4"/>
  <c r="R475" i="4"/>
  <c r="R474" i="4"/>
  <c r="R473" i="4"/>
  <c r="R472" i="4"/>
  <c r="R471" i="4"/>
  <c r="R470" i="4"/>
  <c r="R469" i="4"/>
  <c r="R468" i="4"/>
  <c r="R467" i="4"/>
  <c r="R466" i="4"/>
  <c r="R465" i="4"/>
  <c r="R464" i="4"/>
  <c r="R463" i="4"/>
  <c r="R462" i="4"/>
  <c r="R461" i="4"/>
  <c r="R460" i="4"/>
  <c r="R459" i="4"/>
  <c r="R458" i="4"/>
  <c r="R457" i="4"/>
  <c r="R456" i="4"/>
  <c r="R455" i="4"/>
  <c r="R454" i="4"/>
  <c r="R453" i="4"/>
  <c r="R452" i="4"/>
  <c r="R451" i="4"/>
  <c r="R450" i="4"/>
  <c r="R449" i="4"/>
  <c r="R448" i="4"/>
  <c r="R447" i="4"/>
  <c r="R446" i="4"/>
  <c r="R445" i="4"/>
  <c r="R444" i="4"/>
  <c r="R443" i="4"/>
  <c r="R442" i="4"/>
  <c r="R441" i="4"/>
  <c r="R440" i="4"/>
  <c r="R439" i="4"/>
  <c r="R438" i="4"/>
  <c r="R437" i="4"/>
  <c r="R436" i="4"/>
  <c r="R435" i="4"/>
  <c r="R434" i="4"/>
  <c r="R433" i="4"/>
  <c r="R432" i="4"/>
  <c r="R431" i="4"/>
  <c r="R430" i="4"/>
  <c r="R429" i="4"/>
  <c r="R428" i="4"/>
  <c r="R427" i="4"/>
  <c r="R426" i="4"/>
  <c r="R425" i="4"/>
  <c r="R424" i="4"/>
  <c r="R423" i="4"/>
  <c r="R422" i="4"/>
  <c r="R421" i="4"/>
  <c r="R420" i="4"/>
  <c r="R419" i="4"/>
  <c r="R418" i="4"/>
  <c r="R417" i="4"/>
  <c r="R416" i="4"/>
  <c r="R415" i="4"/>
  <c r="R414" i="4"/>
  <c r="R413" i="4"/>
  <c r="R412" i="4"/>
  <c r="R411" i="4"/>
  <c r="R410" i="4"/>
  <c r="R409" i="4"/>
  <c r="R408" i="4"/>
  <c r="R407" i="4"/>
  <c r="R406" i="4"/>
  <c r="R405" i="4"/>
  <c r="R404" i="4"/>
  <c r="R403" i="4"/>
  <c r="R402" i="4"/>
  <c r="R401" i="4"/>
  <c r="R400" i="4"/>
  <c r="R399" i="4"/>
  <c r="R398" i="4"/>
  <c r="R397" i="4"/>
  <c r="R396" i="4"/>
  <c r="R395" i="4"/>
  <c r="R394" i="4"/>
  <c r="R393" i="4"/>
  <c r="R392" i="4"/>
  <c r="R391" i="4"/>
  <c r="R390" i="4"/>
  <c r="R389" i="4"/>
  <c r="R388" i="4"/>
  <c r="R387" i="4"/>
  <c r="R386" i="4"/>
  <c r="R385" i="4"/>
  <c r="R384" i="4"/>
  <c r="R383" i="4"/>
  <c r="R382" i="4"/>
  <c r="R381" i="4"/>
  <c r="R380" i="4"/>
  <c r="R379" i="4"/>
  <c r="R378" i="4"/>
  <c r="R377" i="4"/>
  <c r="R376" i="4"/>
  <c r="R375" i="4"/>
  <c r="R374" i="4"/>
  <c r="R373" i="4"/>
  <c r="R372" i="4"/>
  <c r="R371" i="4"/>
  <c r="R370" i="4"/>
  <c r="R369" i="4"/>
  <c r="R368" i="4"/>
  <c r="R367" i="4"/>
  <c r="R366" i="4"/>
  <c r="R365" i="4"/>
  <c r="R364" i="4"/>
  <c r="R363" i="4"/>
  <c r="R362" i="4"/>
  <c r="R361" i="4"/>
  <c r="R360" i="4"/>
  <c r="R359" i="4"/>
  <c r="R358" i="4"/>
  <c r="R357" i="4"/>
  <c r="R356" i="4"/>
  <c r="R355" i="4"/>
  <c r="R354" i="4"/>
  <c r="R353" i="4"/>
  <c r="R352" i="4"/>
  <c r="R351" i="4"/>
  <c r="R350" i="4"/>
  <c r="R349" i="4"/>
  <c r="R348" i="4"/>
  <c r="R347" i="4"/>
  <c r="R346" i="4"/>
  <c r="R345" i="4"/>
  <c r="R344" i="4"/>
  <c r="R343" i="4"/>
  <c r="R342" i="4"/>
  <c r="R341" i="4"/>
  <c r="R340" i="4"/>
  <c r="R339" i="4"/>
  <c r="R338" i="4"/>
  <c r="R337" i="4"/>
  <c r="R336" i="4"/>
  <c r="R335" i="4"/>
  <c r="R334" i="4"/>
  <c r="R333" i="4"/>
  <c r="R332" i="4"/>
  <c r="R331" i="4"/>
  <c r="R330" i="4"/>
  <c r="R329" i="4"/>
  <c r="R328" i="4"/>
  <c r="R327" i="4"/>
  <c r="R326" i="4"/>
  <c r="R325" i="4"/>
  <c r="R324" i="4"/>
  <c r="R323" i="4"/>
  <c r="R322" i="4"/>
  <c r="R321" i="4"/>
  <c r="R320" i="4"/>
  <c r="R319" i="4"/>
  <c r="R318" i="4"/>
  <c r="R317" i="4"/>
  <c r="R316" i="4"/>
  <c r="R315" i="4"/>
  <c r="R314" i="4"/>
  <c r="R313" i="4"/>
  <c r="R312" i="4"/>
  <c r="R311" i="4"/>
  <c r="R310" i="4"/>
  <c r="R309" i="4"/>
  <c r="R308" i="4"/>
  <c r="R307" i="4"/>
  <c r="R306" i="4"/>
  <c r="R305" i="4"/>
  <c r="R304" i="4"/>
  <c r="R303" i="4"/>
  <c r="R302" i="4"/>
  <c r="R301" i="4"/>
  <c r="R300" i="4"/>
  <c r="R299" i="4"/>
  <c r="R298" i="4"/>
  <c r="R297" i="4"/>
  <c r="R296" i="4"/>
  <c r="R295" i="4"/>
  <c r="R294" i="4"/>
  <c r="R293" i="4"/>
  <c r="R292" i="4"/>
  <c r="R291" i="4"/>
  <c r="R290" i="4"/>
  <c r="R289" i="4"/>
  <c r="R288" i="4"/>
  <c r="R287" i="4"/>
  <c r="R286" i="4"/>
  <c r="R285" i="4"/>
  <c r="R284" i="4"/>
  <c r="R283" i="4"/>
  <c r="R282" i="4"/>
  <c r="R281" i="4"/>
  <c r="R280" i="4"/>
  <c r="R279" i="4"/>
  <c r="R278" i="4"/>
  <c r="R277" i="4"/>
  <c r="R276" i="4"/>
  <c r="R275" i="4"/>
  <c r="R274" i="4"/>
  <c r="R273" i="4"/>
  <c r="R272" i="4"/>
  <c r="R271" i="4"/>
  <c r="R270" i="4"/>
  <c r="R269" i="4"/>
  <c r="R268" i="4"/>
  <c r="R267" i="4"/>
  <c r="R266" i="4"/>
  <c r="R265" i="4"/>
  <c r="R264" i="4"/>
  <c r="R263" i="4"/>
  <c r="R262" i="4"/>
  <c r="R261" i="4"/>
  <c r="R260" i="4"/>
  <c r="R259" i="4"/>
  <c r="R258" i="4"/>
  <c r="R257" i="4"/>
  <c r="R256" i="4"/>
  <c r="R255" i="4"/>
  <c r="R254" i="4"/>
  <c r="R253" i="4"/>
  <c r="R252" i="4"/>
  <c r="R251" i="4"/>
  <c r="R250" i="4"/>
  <c r="R249" i="4"/>
  <c r="R248" i="4"/>
  <c r="R247" i="4"/>
  <c r="R246" i="4"/>
  <c r="R245" i="4"/>
  <c r="R244" i="4"/>
  <c r="R243" i="4"/>
  <c r="R242" i="4"/>
  <c r="R241" i="4"/>
  <c r="R240" i="4"/>
  <c r="R239" i="4"/>
  <c r="R238" i="4"/>
  <c r="R237" i="4"/>
  <c r="R236" i="4"/>
  <c r="R235" i="4"/>
  <c r="R234" i="4"/>
  <c r="R233" i="4"/>
  <c r="R232" i="4"/>
  <c r="R231" i="4"/>
  <c r="R230" i="4"/>
  <c r="R229" i="4"/>
  <c r="R228" i="4"/>
  <c r="R227" i="4"/>
  <c r="R226" i="4"/>
  <c r="R225" i="4"/>
  <c r="R224" i="4"/>
  <c r="R223" i="4"/>
  <c r="R222" i="4"/>
  <c r="R221" i="4"/>
  <c r="R220" i="4"/>
  <c r="R219" i="4"/>
  <c r="R218" i="4"/>
  <c r="R217" i="4"/>
  <c r="R216" i="4"/>
  <c r="R215" i="4"/>
  <c r="R214" i="4"/>
  <c r="R213" i="4"/>
  <c r="R212" i="4"/>
  <c r="R211" i="4"/>
  <c r="R210" i="4"/>
  <c r="R209" i="4"/>
  <c r="R208" i="4"/>
  <c r="R207" i="4"/>
  <c r="R206" i="4"/>
  <c r="R205" i="4"/>
  <c r="R204" i="4"/>
  <c r="R203" i="4"/>
  <c r="R202" i="4"/>
  <c r="R201" i="4"/>
  <c r="R200" i="4"/>
  <c r="R199" i="4"/>
  <c r="R198" i="4"/>
  <c r="R197" i="4"/>
  <c r="R196" i="4"/>
  <c r="R195" i="4"/>
  <c r="R194" i="4"/>
  <c r="R193" i="4"/>
  <c r="R192" i="4"/>
  <c r="R191" i="4"/>
  <c r="R190" i="4"/>
  <c r="R189" i="4"/>
  <c r="R188" i="4"/>
  <c r="R187" i="4"/>
  <c r="R186" i="4"/>
  <c r="R185" i="4"/>
  <c r="R184" i="4"/>
  <c r="R183" i="4"/>
  <c r="R182" i="4"/>
  <c r="R181" i="4"/>
  <c r="R180" i="4"/>
  <c r="R179" i="4"/>
  <c r="R178" i="4"/>
  <c r="R177" i="4"/>
  <c r="R176" i="4"/>
  <c r="R175" i="4"/>
  <c r="R174" i="4"/>
  <c r="R173" i="4"/>
  <c r="R172" i="4"/>
  <c r="R171" i="4"/>
  <c r="R170" i="4"/>
  <c r="R169" i="4"/>
  <c r="R168" i="4"/>
  <c r="R167" i="4"/>
  <c r="R166" i="4"/>
  <c r="R165" i="4"/>
  <c r="R164" i="4"/>
  <c r="R163" i="4"/>
  <c r="R162" i="4"/>
  <c r="R161" i="4"/>
  <c r="R160" i="4"/>
  <c r="R159" i="4"/>
  <c r="R158" i="4"/>
  <c r="R157" i="4"/>
  <c r="R156" i="4"/>
  <c r="R155" i="4"/>
  <c r="R154" i="4"/>
  <c r="R153" i="4"/>
  <c r="R152" i="4"/>
  <c r="R151" i="4"/>
  <c r="R150" i="4"/>
  <c r="R149" i="4"/>
  <c r="R148" i="4"/>
  <c r="R147" i="4"/>
  <c r="R146" i="4"/>
  <c r="R145" i="4"/>
  <c r="R144" i="4"/>
  <c r="R143" i="4"/>
  <c r="R142" i="4"/>
  <c r="R141" i="4"/>
  <c r="R140" i="4"/>
  <c r="R139" i="4"/>
  <c r="R138" i="4"/>
  <c r="R137" i="4"/>
  <c r="R136" i="4"/>
  <c r="R135" i="4"/>
  <c r="R134" i="4"/>
  <c r="R133" i="4"/>
  <c r="R132" i="4"/>
  <c r="R131" i="4"/>
  <c r="R130" i="4"/>
  <c r="R129" i="4"/>
  <c r="R128" i="4"/>
  <c r="R127" i="4"/>
  <c r="R126" i="4"/>
  <c r="R125" i="4"/>
  <c r="R124" i="4"/>
  <c r="R123" i="4"/>
  <c r="R122" i="4"/>
  <c r="R121" i="4"/>
  <c r="R120" i="4"/>
  <c r="R119" i="4"/>
  <c r="R118" i="4"/>
  <c r="R117" i="4"/>
  <c r="R116" i="4"/>
  <c r="R115" i="4"/>
  <c r="R114" i="4"/>
  <c r="R113" i="4"/>
  <c r="R112" i="4"/>
  <c r="R111" i="4"/>
  <c r="R110" i="4"/>
  <c r="R109" i="4"/>
  <c r="R108" i="4"/>
  <c r="R107" i="4"/>
  <c r="R106" i="4"/>
  <c r="R105" i="4"/>
  <c r="R104" i="4"/>
  <c r="R103" i="4"/>
  <c r="R102" i="4"/>
  <c r="R101" i="4"/>
  <c r="R100" i="4"/>
  <c r="R99" i="4"/>
  <c r="R98" i="4"/>
  <c r="R97" i="4"/>
  <c r="R96" i="4"/>
  <c r="R95" i="4"/>
  <c r="R94" i="4"/>
  <c r="R93" i="4"/>
  <c r="R92" i="4"/>
  <c r="R91" i="4"/>
  <c r="R90" i="4"/>
  <c r="R89" i="4"/>
  <c r="R88" i="4"/>
  <c r="R87" i="4"/>
  <c r="R86" i="4"/>
  <c r="R85" i="4"/>
  <c r="R84" i="4"/>
  <c r="R83" i="4"/>
  <c r="R82" i="4"/>
  <c r="R81" i="4"/>
  <c r="R80" i="4"/>
  <c r="R79" i="4"/>
  <c r="R78" i="4"/>
  <c r="R77" i="4"/>
  <c r="R76" i="4"/>
  <c r="R75" i="4"/>
  <c r="R74" i="4"/>
  <c r="R73" i="4"/>
  <c r="R72" i="4"/>
  <c r="R71" i="4"/>
  <c r="R70" i="4"/>
  <c r="R69" i="4"/>
  <c r="R68" i="4"/>
  <c r="R67" i="4"/>
  <c r="R66" i="4"/>
  <c r="R65" i="4"/>
  <c r="R64" i="4"/>
  <c r="R63" i="4"/>
  <c r="R62" i="4"/>
  <c r="R61" i="4"/>
  <c r="R60" i="4"/>
  <c r="R59" i="4"/>
  <c r="R58" i="4"/>
  <c r="R57" i="4"/>
  <c r="R56" i="4"/>
  <c r="R55" i="4"/>
  <c r="R54" i="4"/>
  <c r="R53" i="4"/>
  <c r="R52" i="4"/>
  <c r="R51" i="4"/>
  <c r="R50" i="4"/>
  <c r="R49" i="4"/>
  <c r="R48" i="4"/>
  <c r="R47" i="4"/>
  <c r="R46" i="4"/>
  <c r="R45" i="4"/>
  <c r="R44" i="4"/>
  <c r="R43" i="4"/>
  <c r="R42" i="4"/>
  <c r="R41" i="4"/>
  <c r="R40" i="4"/>
  <c r="R39" i="4"/>
  <c r="R38" i="4"/>
  <c r="R37" i="4"/>
  <c r="R36" i="4"/>
  <c r="R35" i="4"/>
  <c r="R34" i="4"/>
  <c r="R33" i="4"/>
  <c r="R32" i="4"/>
  <c r="R31" i="4"/>
  <c r="R30" i="4"/>
  <c r="R29" i="4"/>
  <c r="R28" i="4"/>
  <c r="R27" i="4"/>
  <c r="R26" i="4"/>
  <c r="R25" i="4"/>
  <c r="R24" i="4"/>
  <c r="R23" i="4"/>
  <c r="R22" i="4"/>
  <c r="R21" i="4"/>
  <c r="R20" i="4"/>
  <c r="R19" i="4"/>
  <c r="R18" i="4"/>
  <c r="R17" i="4"/>
  <c r="R16" i="4"/>
  <c r="R15" i="4"/>
  <c r="R14" i="4"/>
  <c r="R13" i="4"/>
  <c r="R12" i="4"/>
  <c r="R11" i="4"/>
  <c r="R10" i="4"/>
  <c r="R9" i="4"/>
  <c r="R8" i="4"/>
  <c r="R7" i="4"/>
  <c r="R6" i="4"/>
  <c r="R5" i="4"/>
  <c r="R4" i="4"/>
  <c r="R3" i="4"/>
  <c r="R2" i="4"/>
  <c r="Q1001" i="4"/>
  <c r="Q1000" i="4"/>
  <c r="Q999" i="4"/>
  <c r="Q998" i="4"/>
  <c r="Q997" i="4"/>
  <c r="Q996" i="4"/>
  <c r="Q995" i="4"/>
  <c r="Q994" i="4"/>
  <c r="Q993" i="4"/>
  <c r="Q992" i="4"/>
  <c r="Q991" i="4"/>
  <c r="Q990" i="4"/>
  <c r="Q989" i="4"/>
  <c r="Q988" i="4"/>
  <c r="Q987" i="4"/>
  <c r="Q986" i="4"/>
  <c r="Q985" i="4"/>
  <c r="Q984" i="4"/>
  <c r="Q983" i="4"/>
  <c r="Q982" i="4"/>
  <c r="Q981" i="4"/>
  <c r="Q980" i="4"/>
  <c r="Q979" i="4"/>
  <c r="Q978" i="4"/>
  <c r="Q977" i="4"/>
  <c r="Q976" i="4"/>
  <c r="Q975" i="4"/>
  <c r="Q974" i="4"/>
  <c r="Q973" i="4"/>
  <c r="Q972" i="4"/>
  <c r="Q971" i="4"/>
  <c r="Q970" i="4"/>
  <c r="Q969" i="4"/>
  <c r="Q968" i="4"/>
  <c r="Q967" i="4"/>
  <c r="Q966" i="4"/>
  <c r="Q965" i="4"/>
  <c r="Q964" i="4"/>
  <c r="Q963" i="4"/>
  <c r="Q962" i="4"/>
  <c r="Q961" i="4"/>
  <c r="Q960" i="4"/>
  <c r="Q959" i="4"/>
  <c r="Q958" i="4"/>
  <c r="Q957" i="4"/>
  <c r="Q956" i="4"/>
  <c r="Q955" i="4"/>
  <c r="Q954" i="4"/>
  <c r="Q953" i="4"/>
  <c r="Q952" i="4"/>
  <c r="Q951" i="4"/>
  <c r="Q950" i="4"/>
  <c r="Q949" i="4"/>
  <c r="Q948" i="4"/>
  <c r="Q947" i="4"/>
  <c r="Q946" i="4"/>
  <c r="Q945" i="4"/>
  <c r="Q944" i="4"/>
  <c r="Q943" i="4"/>
  <c r="Q942" i="4"/>
  <c r="Q941" i="4"/>
  <c r="Q940" i="4"/>
  <c r="Q939" i="4"/>
  <c r="Q938" i="4"/>
  <c r="Q937" i="4"/>
  <c r="Q936" i="4"/>
  <c r="Q935" i="4"/>
  <c r="Q934" i="4"/>
  <c r="Q933" i="4"/>
  <c r="Q932" i="4"/>
  <c r="Q931" i="4"/>
  <c r="Q930" i="4"/>
  <c r="Q929" i="4"/>
  <c r="Q928" i="4"/>
  <c r="Q927" i="4"/>
  <c r="Q926" i="4"/>
  <c r="Q925" i="4"/>
  <c r="Q924" i="4"/>
  <c r="Q923" i="4"/>
  <c r="Q922" i="4"/>
  <c r="Q921" i="4"/>
  <c r="Q920" i="4"/>
  <c r="Q919" i="4"/>
  <c r="Q918" i="4"/>
  <c r="Q917" i="4"/>
  <c r="Q916" i="4"/>
  <c r="Q915" i="4"/>
  <c r="Q914" i="4"/>
  <c r="Q913" i="4"/>
  <c r="Q912" i="4"/>
  <c r="Q911" i="4"/>
  <c r="Q910" i="4"/>
  <c r="Q909" i="4"/>
  <c r="Q908" i="4"/>
  <c r="Q907" i="4"/>
  <c r="Q906" i="4"/>
  <c r="Q905" i="4"/>
  <c r="Q904" i="4"/>
  <c r="Q903" i="4"/>
  <c r="Q902" i="4"/>
  <c r="Q901" i="4"/>
  <c r="Q900" i="4"/>
  <c r="Q899" i="4"/>
  <c r="Q898" i="4"/>
  <c r="Q897" i="4"/>
  <c r="Q896" i="4"/>
  <c r="Q895" i="4"/>
  <c r="Q894" i="4"/>
  <c r="Q893" i="4"/>
  <c r="Q892" i="4"/>
  <c r="Q891" i="4"/>
  <c r="Q890" i="4"/>
  <c r="Q889" i="4"/>
  <c r="Q888" i="4"/>
  <c r="Q887" i="4"/>
  <c r="Q886" i="4"/>
  <c r="Q885" i="4"/>
  <c r="Q884" i="4"/>
  <c r="Q883" i="4"/>
  <c r="Q882" i="4"/>
  <c r="Q881" i="4"/>
  <c r="Q880" i="4"/>
  <c r="Q879" i="4"/>
  <c r="Q878" i="4"/>
  <c r="Q877" i="4"/>
  <c r="Q876" i="4"/>
  <c r="Q875" i="4"/>
  <c r="Q874" i="4"/>
  <c r="Q873" i="4"/>
  <c r="Q872" i="4"/>
  <c r="Q871" i="4"/>
  <c r="Q870" i="4"/>
  <c r="Q869" i="4"/>
  <c r="Q868" i="4"/>
  <c r="Q867" i="4"/>
  <c r="Q866" i="4"/>
  <c r="Q865" i="4"/>
  <c r="Q864" i="4"/>
  <c r="Q863" i="4"/>
  <c r="Q862" i="4"/>
  <c r="Q861" i="4"/>
  <c r="Q860" i="4"/>
  <c r="Q859" i="4"/>
  <c r="Q858" i="4"/>
  <c r="Q857" i="4"/>
  <c r="Q856" i="4"/>
  <c r="Q855" i="4"/>
  <c r="Q854" i="4"/>
  <c r="Q853" i="4"/>
  <c r="Q852" i="4"/>
  <c r="Q851" i="4"/>
  <c r="Q850" i="4"/>
  <c r="Q849" i="4"/>
  <c r="Q848" i="4"/>
  <c r="Q847" i="4"/>
  <c r="Q846" i="4"/>
  <c r="Q845" i="4"/>
  <c r="Q844" i="4"/>
  <c r="Q843" i="4"/>
  <c r="Q842" i="4"/>
  <c r="Q841" i="4"/>
  <c r="Q840" i="4"/>
  <c r="Q839" i="4"/>
  <c r="Q838" i="4"/>
  <c r="Q837" i="4"/>
  <c r="Q836" i="4"/>
  <c r="Q835" i="4"/>
  <c r="Q834" i="4"/>
  <c r="Q833" i="4"/>
  <c r="Q832" i="4"/>
  <c r="Q831" i="4"/>
  <c r="Q830" i="4"/>
  <c r="Q829" i="4"/>
  <c r="Q828" i="4"/>
  <c r="Q827" i="4"/>
  <c r="Q826" i="4"/>
  <c r="Q825" i="4"/>
  <c r="Q824" i="4"/>
  <c r="Q823" i="4"/>
  <c r="Q822" i="4"/>
  <c r="Q821" i="4"/>
  <c r="Q820" i="4"/>
  <c r="Q819" i="4"/>
  <c r="Q818" i="4"/>
  <c r="Q817" i="4"/>
  <c r="Q816" i="4"/>
  <c r="Q815" i="4"/>
  <c r="Q814" i="4"/>
  <c r="Q813" i="4"/>
  <c r="Q812" i="4"/>
  <c r="Q811" i="4"/>
  <c r="Q810" i="4"/>
  <c r="Q809" i="4"/>
  <c r="Q808" i="4"/>
  <c r="Q807" i="4"/>
  <c r="Q806" i="4"/>
  <c r="Q805" i="4"/>
  <c r="Q804" i="4"/>
  <c r="Q803" i="4"/>
  <c r="Q802" i="4"/>
  <c r="Q801" i="4"/>
  <c r="Q800" i="4"/>
  <c r="Q799" i="4"/>
  <c r="Q798" i="4"/>
  <c r="Q797" i="4"/>
  <c r="Q796" i="4"/>
  <c r="Q795" i="4"/>
  <c r="Q794" i="4"/>
  <c r="Q793" i="4"/>
  <c r="Q792" i="4"/>
  <c r="Q791" i="4"/>
  <c r="Q790" i="4"/>
  <c r="Q789" i="4"/>
  <c r="Q788" i="4"/>
  <c r="Q787" i="4"/>
  <c r="Q786" i="4"/>
  <c r="Q785" i="4"/>
  <c r="Q784" i="4"/>
  <c r="Q783" i="4"/>
  <c r="Q782" i="4"/>
  <c r="Q781" i="4"/>
  <c r="Q780" i="4"/>
  <c r="Q779" i="4"/>
  <c r="Q778" i="4"/>
  <c r="Q777" i="4"/>
  <c r="Q776" i="4"/>
  <c r="Q775" i="4"/>
  <c r="Q774" i="4"/>
  <c r="Q773" i="4"/>
  <c r="Q772" i="4"/>
  <c r="Q771" i="4"/>
  <c r="Q770" i="4"/>
  <c r="Q769" i="4"/>
  <c r="Q768" i="4"/>
  <c r="Q767" i="4"/>
  <c r="Q766" i="4"/>
  <c r="Q765" i="4"/>
  <c r="Q764" i="4"/>
  <c r="Q763" i="4"/>
  <c r="Q762" i="4"/>
  <c r="Q761" i="4"/>
  <c r="Q760" i="4"/>
  <c r="Q759" i="4"/>
  <c r="Q758" i="4"/>
  <c r="Q757" i="4"/>
  <c r="Q756" i="4"/>
  <c r="Q755" i="4"/>
  <c r="Q754" i="4"/>
  <c r="Q753" i="4"/>
  <c r="Q752" i="4"/>
  <c r="Q751" i="4"/>
  <c r="Q750" i="4"/>
  <c r="Q749" i="4"/>
  <c r="Q748" i="4"/>
  <c r="Q747" i="4"/>
  <c r="Q746" i="4"/>
  <c r="Q745" i="4"/>
  <c r="Q744" i="4"/>
  <c r="Q743" i="4"/>
  <c r="Q742" i="4"/>
  <c r="Q741" i="4"/>
  <c r="Q740" i="4"/>
  <c r="Q739" i="4"/>
  <c r="Q738" i="4"/>
  <c r="Q737" i="4"/>
  <c r="Q736" i="4"/>
  <c r="Q735" i="4"/>
  <c r="Q734" i="4"/>
  <c r="Q733" i="4"/>
  <c r="Q732" i="4"/>
  <c r="Q731" i="4"/>
  <c r="Q730" i="4"/>
  <c r="Q729" i="4"/>
  <c r="Q728" i="4"/>
  <c r="Q727" i="4"/>
  <c r="Q726" i="4"/>
  <c r="Q725" i="4"/>
  <c r="Q724" i="4"/>
  <c r="Q723" i="4"/>
  <c r="Q722" i="4"/>
  <c r="Q721" i="4"/>
  <c r="Q720" i="4"/>
  <c r="Q719" i="4"/>
  <c r="Q718" i="4"/>
  <c r="Q717" i="4"/>
  <c r="Q716" i="4"/>
  <c r="Q715" i="4"/>
  <c r="Q714" i="4"/>
  <c r="Q713" i="4"/>
  <c r="Q712" i="4"/>
  <c r="Q711" i="4"/>
  <c r="Q710" i="4"/>
  <c r="Q709" i="4"/>
  <c r="Q708" i="4"/>
  <c r="Q707" i="4"/>
  <c r="Q706" i="4"/>
  <c r="Q705" i="4"/>
  <c r="Q704" i="4"/>
  <c r="Q703" i="4"/>
  <c r="Q702" i="4"/>
  <c r="Q701" i="4"/>
  <c r="Q700" i="4"/>
  <c r="Q699" i="4"/>
  <c r="Q698" i="4"/>
  <c r="Q697" i="4"/>
  <c r="Q696" i="4"/>
  <c r="Q695" i="4"/>
  <c r="Q694" i="4"/>
  <c r="Q693" i="4"/>
  <c r="Q692" i="4"/>
  <c r="Q691" i="4"/>
  <c r="Q690" i="4"/>
  <c r="Q689" i="4"/>
  <c r="Q688" i="4"/>
  <c r="Q687" i="4"/>
  <c r="Q686" i="4"/>
  <c r="Q685" i="4"/>
  <c r="Q684" i="4"/>
  <c r="Q683" i="4"/>
  <c r="Q682" i="4"/>
  <c r="Q681" i="4"/>
  <c r="Q680" i="4"/>
  <c r="Q679" i="4"/>
  <c r="Q678" i="4"/>
  <c r="Q677" i="4"/>
  <c r="Q676" i="4"/>
  <c r="Q675" i="4"/>
  <c r="Q674" i="4"/>
  <c r="Q673" i="4"/>
  <c r="Q672" i="4"/>
  <c r="Q671" i="4"/>
  <c r="Q670" i="4"/>
  <c r="Q669" i="4"/>
  <c r="Q668" i="4"/>
  <c r="Q667" i="4"/>
  <c r="Q666" i="4"/>
  <c r="Q665" i="4"/>
  <c r="Q664" i="4"/>
  <c r="Q663" i="4"/>
  <c r="Q662" i="4"/>
  <c r="Q661" i="4"/>
  <c r="Q660" i="4"/>
  <c r="Q659" i="4"/>
  <c r="Q658" i="4"/>
  <c r="Q657" i="4"/>
  <c r="Q656" i="4"/>
  <c r="Q655" i="4"/>
  <c r="Q654" i="4"/>
  <c r="Q653" i="4"/>
  <c r="Q652" i="4"/>
  <c r="Q651" i="4"/>
  <c r="Q650" i="4"/>
  <c r="Q649" i="4"/>
  <c r="Q648" i="4"/>
  <c r="Q647" i="4"/>
  <c r="Q646" i="4"/>
  <c r="Q645" i="4"/>
  <c r="Q644" i="4"/>
  <c r="Q643" i="4"/>
  <c r="Q642" i="4"/>
  <c r="Q641" i="4"/>
  <c r="Q640" i="4"/>
  <c r="Q639" i="4"/>
  <c r="Q638" i="4"/>
  <c r="Q637" i="4"/>
  <c r="Q636" i="4"/>
  <c r="Q635" i="4"/>
  <c r="Q634" i="4"/>
  <c r="Q633" i="4"/>
  <c r="Q632" i="4"/>
  <c r="Q631" i="4"/>
  <c r="Q630" i="4"/>
  <c r="Q629" i="4"/>
  <c r="Q628" i="4"/>
  <c r="Q627" i="4"/>
  <c r="Q626" i="4"/>
  <c r="Q625" i="4"/>
  <c r="Q624" i="4"/>
  <c r="Q623" i="4"/>
  <c r="Q622" i="4"/>
  <c r="Q621" i="4"/>
  <c r="Q620" i="4"/>
  <c r="Q619" i="4"/>
  <c r="Q618" i="4"/>
  <c r="Q617" i="4"/>
  <c r="Q616" i="4"/>
  <c r="Q615" i="4"/>
  <c r="Q614" i="4"/>
  <c r="Q613" i="4"/>
  <c r="Q612" i="4"/>
  <c r="Q611" i="4"/>
  <c r="Q610" i="4"/>
  <c r="Q609" i="4"/>
  <c r="Q608" i="4"/>
  <c r="Q607" i="4"/>
  <c r="Q606" i="4"/>
  <c r="Q605" i="4"/>
  <c r="Q604" i="4"/>
  <c r="Q603" i="4"/>
  <c r="Q602" i="4"/>
  <c r="Q601" i="4"/>
  <c r="Q600" i="4"/>
  <c r="Q599" i="4"/>
  <c r="Q598" i="4"/>
  <c r="Q597" i="4"/>
  <c r="Q596" i="4"/>
  <c r="Q595" i="4"/>
  <c r="Q594" i="4"/>
  <c r="Q593" i="4"/>
  <c r="Q592" i="4"/>
  <c r="Q591" i="4"/>
  <c r="Q590" i="4"/>
  <c r="Q589" i="4"/>
  <c r="Q588" i="4"/>
  <c r="Q587" i="4"/>
  <c r="Q586" i="4"/>
  <c r="Q585" i="4"/>
  <c r="Q584" i="4"/>
  <c r="Q583" i="4"/>
  <c r="Q582" i="4"/>
  <c r="Q581" i="4"/>
  <c r="Q580" i="4"/>
  <c r="Q579" i="4"/>
  <c r="Q578" i="4"/>
  <c r="Q577" i="4"/>
  <c r="Q576" i="4"/>
  <c r="Q575" i="4"/>
  <c r="Q574" i="4"/>
  <c r="Q573" i="4"/>
  <c r="Q572" i="4"/>
  <c r="Q571" i="4"/>
  <c r="Q570" i="4"/>
  <c r="Q569" i="4"/>
  <c r="Q568" i="4"/>
  <c r="Q567" i="4"/>
  <c r="Q566" i="4"/>
  <c r="Q565" i="4"/>
  <c r="Q564" i="4"/>
  <c r="Q563" i="4"/>
  <c r="Q562" i="4"/>
  <c r="Q561" i="4"/>
  <c r="Q560" i="4"/>
  <c r="Q559" i="4"/>
  <c r="Q558" i="4"/>
  <c r="Q557" i="4"/>
  <c r="Q556" i="4"/>
  <c r="Q555" i="4"/>
  <c r="Q554" i="4"/>
  <c r="Q553" i="4"/>
  <c r="Q552" i="4"/>
  <c r="Q551" i="4"/>
  <c r="Q550" i="4"/>
  <c r="Q549" i="4"/>
  <c r="Q548" i="4"/>
  <c r="Q547" i="4"/>
  <c r="Q546" i="4"/>
  <c r="Q545" i="4"/>
  <c r="Q544" i="4"/>
  <c r="Q543" i="4"/>
  <c r="Q542" i="4"/>
  <c r="Q541" i="4"/>
  <c r="Q540" i="4"/>
  <c r="Q539" i="4"/>
  <c r="Q538" i="4"/>
  <c r="Q537" i="4"/>
  <c r="Q536" i="4"/>
  <c r="Q535" i="4"/>
  <c r="Q534" i="4"/>
  <c r="Q533" i="4"/>
  <c r="Q532" i="4"/>
  <c r="Q531" i="4"/>
  <c r="Q530" i="4"/>
  <c r="Q529" i="4"/>
  <c r="Q528" i="4"/>
  <c r="Q527" i="4"/>
  <c r="Q526" i="4"/>
  <c r="Q525" i="4"/>
  <c r="Q524" i="4"/>
  <c r="Q523" i="4"/>
  <c r="Q522" i="4"/>
  <c r="Q521" i="4"/>
  <c r="Q520" i="4"/>
  <c r="Q519" i="4"/>
  <c r="Q518" i="4"/>
  <c r="Q517" i="4"/>
  <c r="Q516" i="4"/>
  <c r="Q515" i="4"/>
  <c r="Q514" i="4"/>
  <c r="Q513" i="4"/>
  <c r="Q512" i="4"/>
  <c r="Q511" i="4"/>
  <c r="Q510" i="4"/>
  <c r="Q509" i="4"/>
  <c r="Q508" i="4"/>
  <c r="Q507" i="4"/>
  <c r="Q506" i="4"/>
  <c r="Q505" i="4"/>
  <c r="Q504" i="4"/>
  <c r="Q503" i="4"/>
  <c r="Q502" i="4"/>
  <c r="Q501" i="4"/>
  <c r="Q500" i="4"/>
  <c r="Q499" i="4"/>
  <c r="Q498" i="4"/>
  <c r="Q497" i="4"/>
  <c r="Q496" i="4"/>
  <c r="Q495" i="4"/>
  <c r="Q494" i="4"/>
  <c r="Q493" i="4"/>
  <c r="Q492" i="4"/>
  <c r="Q491" i="4"/>
  <c r="Q490" i="4"/>
  <c r="Q489" i="4"/>
  <c r="Q488" i="4"/>
  <c r="Q487" i="4"/>
  <c r="Q486" i="4"/>
  <c r="Q485" i="4"/>
  <c r="Q484" i="4"/>
  <c r="Q483" i="4"/>
  <c r="Q482" i="4"/>
  <c r="Q481" i="4"/>
  <c r="Q480" i="4"/>
  <c r="Q479" i="4"/>
  <c r="Q478" i="4"/>
  <c r="Q477" i="4"/>
  <c r="Q476" i="4"/>
  <c r="Q475" i="4"/>
  <c r="Q474" i="4"/>
  <c r="Q473" i="4"/>
  <c r="Q472" i="4"/>
  <c r="Q471" i="4"/>
  <c r="Q470" i="4"/>
  <c r="Q469" i="4"/>
  <c r="Q468" i="4"/>
  <c r="Q467" i="4"/>
  <c r="Q466" i="4"/>
  <c r="Q465" i="4"/>
  <c r="Q464" i="4"/>
  <c r="Q463" i="4"/>
  <c r="Q462" i="4"/>
  <c r="Q461" i="4"/>
  <c r="Q460" i="4"/>
  <c r="Q459" i="4"/>
  <c r="Q458" i="4"/>
  <c r="Q457" i="4"/>
  <c r="Q456" i="4"/>
  <c r="Q455" i="4"/>
  <c r="Q454" i="4"/>
  <c r="Q453" i="4"/>
  <c r="Q452" i="4"/>
  <c r="Q451" i="4"/>
  <c r="Q450" i="4"/>
  <c r="Q449" i="4"/>
  <c r="Q448" i="4"/>
  <c r="Q447" i="4"/>
  <c r="Q446" i="4"/>
  <c r="Q445" i="4"/>
  <c r="Q444" i="4"/>
  <c r="Q443" i="4"/>
  <c r="Q442" i="4"/>
  <c r="Q441" i="4"/>
  <c r="Q440" i="4"/>
  <c r="Q439" i="4"/>
  <c r="Q438" i="4"/>
  <c r="Q437" i="4"/>
  <c r="Q436" i="4"/>
  <c r="Q435" i="4"/>
  <c r="Q434" i="4"/>
  <c r="Q433" i="4"/>
  <c r="Q432" i="4"/>
  <c r="Q431" i="4"/>
  <c r="Q430" i="4"/>
  <c r="Q429" i="4"/>
  <c r="Q428" i="4"/>
  <c r="Q427" i="4"/>
  <c r="Q426" i="4"/>
  <c r="Q425" i="4"/>
  <c r="Q424" i="4"/>
  <c r="Q423" i="4"/>
  <c r="Q422" i="4"/>
  <c r="Q421" i="4"/>
  <c r="Q420" i="4"/>
  <c r="Q419" i="4"/>
  <c r="Q418" i="4"/>
  <c r="Q417" i="4"/>
  <c r="Q416" i="4"/>
  <c r="Q415" i="4"/>
  <c r="Q414" i="4"/>
  <c r="Q413" i="4"/>
  <c r="Q412" i="4"/>
  <c r="Q411" i="4"/>
  <c r="Q410" i="4"/>
  <c r="Q409" i="4"/>
  <c r="Q408" i="4"/>
  <c r="Q407" i="4"/>
  <c r="Q406" i="4"/>
  <c r="Q405" i="4"/>
  <c r="Q404" i="4"/>
  <c r="Q403" i="4"/>
  <c r="Q402" i="4"/>
  <c r="Q401" i="4"/>
  <c r="Q400" i="4"/>
  <c r="Q399" i="4"/>
  <c r="Q398" i="4"/>
  <c r="Q397" i="4"/>
  <c r="Q396" i="4"/>
  <c r="Q395" i="4"/>
  <c r="Q394" i="4"/>
  <c r="Q393" i="4"/>
  <c r="Q392" i="4"/>
  <c r="Q391" i="4"/>
  <c r="Q390" i="4"/>
  <c r="Q389" i="4"/>
  <c r="Q388" i="4"/>
  <c r="Q387" i="4"/>
  <c r="Q386" i="4"/>
  <c r="Q385" i="4"/>
  <c r="Q384" i="4"/>
  <c r="Q383" i="4"/>
  <c r="Q382" i="4"/>
  <c r="Q381" i="4"/>
  <c r="Q380" i="4"/>
  <c r="Q379" i="4"/>
  <c r="Q378" i="4"/>
  <c r="Q377" i="4"/>
  <c r="Q376" i="4"/>
  <c r="Q375" i="4"/>
  <c r="Q374" i="4"/>
  <c r="Q373" i="4"/>
  <c r="Q372" i="4"/>
  <c r="Q371" i="4"/>
  <c r="Q370" i="4"/>
  <c r="Q369" i="4"/>
  <c r="Q368" i="4"/>
  <c r="Q367" i="4"/>
  <c r="Q366" i="4"/>
  <c r="Q365" i="4"/>
  <c r="Q364" i="4"/>
  <c r="Q363" i="4"/>
  <c r="Q362" i="4"/>
  <c r="Q361" i="4"/>
  <c r="Q360" i="4"/>
  <c r="Q359" i="4"/>
  <c r="Q358" i="4"/>
  <c r="Q357" i="4"/>
  <c r="Q356" i="4"/>
  <c r="Q355" i="4"/>
  <c r="Q354" i="4"/>
  <c r="Q353" i="4"/>
  <c r="Q352" i="4"/>
  <c r="Q351" i="4"/>
  <c r="Q350" i="4"/>
  <c r="Q349" i="4"/>
  <c r="Q348" i="4"/>
  <c r="Q347" i="4"/>
  <c r="Q346" i="4"/>
  <c r="Q345" i="4"/>
  <c r="Q344" i="4"/>
  <c r="Q343" i="4"/>
  <c r="Q342" i="4"/>
  <c r="Q341" i="4"/>
  <c r="Q340" i="4"/>
  <c r="Q339" i="4"/>
  <c r="Q338" i="4"/>
  <c r="Q337" i="4"/>
  <c r="Q336" i="4"/>
  <c r="Q335" i="4"/>
  <c r="Q334" i="4"/>
  <c r="Q333" i="4"/>
  <c r="Q332" i="4"/>
  <c r="Q331" i="4"/>
  <c r="Q330" i="4"/>
  <c r="Q329" i="4"/>
  <c r="Q328" i="4"/>
  <c r="Q327" i="4"/>
  <c r="Q326" i="4"/>
  <c r="Q325" i="4"/>
  <c r="Q324" i="4"/>
  <c r="Q323" i="4"/>
  <c r="Q322" i="4"/>
  <c r="Q321" i="4"/>
  <c r="Q320" i="4"/>
  <c r="Q319" i="4"/>
  <c r="Q318" i="4"/>
  <c r="Q317" i="4"/>
  <c r="Q316" i="4"/>
  <c r="Q315" i="4"/>
  <c r="Q314" i="4"/>
  <c r="Q313" i="4"/>
  <c r="Q312" i="4"/>
  <c r="Q311" i="4"/>
  <c r="Q310" i="4"/>
  <c r="Q309" i="4"/>
  <c r="Q308" i="4"/>
  <c r="Q307" i="4"/>
  <c r="Q306" i="4"/>
  <c r="Q305" i="4"/>
  <c r="Q304" i="4"/>
  <c r="Q303" i="4"/>
  <c r="Q302" i="4"/>
  <c r="Q301" i="4"/>
  <c r="Q300" i="4"/>
  <c r="Q299" i="4"/>
  <c r="Q298" i="4"/>
  <c r="Q297" i="4"/>
  <c r="Q296" i="4"/>
  <c r="Q295" i="4"/>
  <c r="Q294" i="4"/>
  <c r="Q293" i="4"/>
  <c r="Q292" i="4"/>
  <c r="Q291" i="4"/>
  <c r="Q290" i="4"/>
  <c r="Q289" i="4"/>
  <c r="Q288" i="4"/>
  <c r="Q287" i="4"/>
  <c r="Q286" i="4"/>
  <c r="Q285" i="4"/>
  <c r="Q284" i="4"/>
  <c r="Q283" i="4"/>
  <c r="Q282" i="4"/>
  <c r="Q281" i="4"/>
  <c r="Q280" i="4"/>
  <c r="Q279" i="4"/>
  <c r="Q278" i="4"/>
  <c r="Q277" i="4"/>
  <c r="Q276" i="4"/>
  <c r="Q275" i="4"/>
  <c r="Q274" i="4"/>
  <c r="Q273" i="4"/>
  <c r="Q272" i="4"/>
  <c r="Q271" i="4"/>
  <c r="Q270" i="4"/>
  <c r="Q269" i="4"/>
  <c r="Q268" i="4"/>
  <c r="Q267" i="4"/>
  <c r="Q266" i="4"/>
  <c r="Q265" i="4"/>
  <c r="Q264" i="4"/>
  <c r="Q263" i="4"/>
  <c r="Q262" i="4"/>
  <c r="Q261" i="4"/>
  <c r="Q260" i="4"/>
  <c r="Q259" i="4"/>
  <c r="Q258" i="4"/>
  <c r="Q257" i="4"/>
  <c r="Q256" i="4"/>
  <c r="Q255" i="4"/>
  <c r="Q254" i="4"/>
  <c r="Q253" i="4"/>
  <c r="Q252" i="4"/>
  <c r="Q251" i="4"/>
  <c r="Q250" i="4"/>
  <c r="Q249" i="4"/>
  <c r="Q248" i="4"/>
  <c r="Q247" i="4"/>
  <c r="Q246" i="4"/>
  <c r="Q245" i="4"/>
  <c r="Q244" i="4"/>
  <c r="Q243" i="4"/>
  <c r="Q242" i="4"/>
  <c r="Q241" i="4"/>
  <c r="Q240" i="4"/>
  <c r="Q239" i="4"/>
  <c r="Q238" i="4"/>
  <c r="Q237" i="4"/>
  <c r="Q236" i="4"/>
  <c r="Q235" i="4"/>
  <c r="Q234" i="4"/>
  <c r="Q233" i="4"/>
  <c r="Q232" i="4"/>
  <c r="Q231" i="4"/>
  <c r="Q230" i="4"/>
  <c r="Q229" i="4"/>
  <c r="Q228" i="4"/>
  <c r="Q227" i="4"/>
  <c r="Q226" i="4"/>
  <c r="Q225" i="4"/>
  <c r="Q224" i="4"/>
  <c r="Q223" i="4"/>
  <c r="Q222" i="4"/>
  <c r="Q221" i="4"/>
  <c r="Q220" i="4"/>
  <c r="Q219" i="4"/>
  <c r="Q218" i="4"/>
  <c r="Q217" i="4"/>
  <c r="Q216" i="4"/>
  <c r="Q215" i="4"/>
  <c r="Q214" i="4"/>
  <c r="Q213" i="4"/>
  <c r="Q212" i="4"/>
  <c r="Q211" i="4"/>
  <c r="Q210" i="4"/>
  <c r="Q209" i="4"/>
  <c r="Q208" i="4"/>
  <c r="Q207" i="4"/>
  <c r="Q206" i="4"/>
  <c r="Q205" i="4"/>
  <c r="Q204" i="4"/>
  <c r="Q203" i="4"/>
  <c r="Q202" i="4"/>
  <c r="Q201" i="4"/>
  <c r="Q200" i="4"/>
  <c r="Q199" i="4"/>
  <c r="Q198" i="4"/>
  <c r="Q197" i="4"/>
  <c r="Q196" i="4"/>
  <c r="Q195" i="4"/>
  <c r="Q194" i="4"/>
  <c r="Q193" i="4"/>
  <c r="Q192" i="4"/>
  <c r="Q191" i="4"/>
  <c r="Q190" i="4"/>
  <c r="Q189" i="4"/>
  <c r="Q188" i="4"/>
  <c r="Q187" i="4"/>
  <c r="Q186" i="4"/>
  <c r="Q185" i="4"/>
  <c r="Q184" i="4"/>
  <c r="Q183" i="4"/>
  <c r="Q182" i="4"/>
  <c r="Q181" i="4"/>
  <c r="Q180" i="4"/>
  <c r="Q179" i="4"/>
  <c r="Q178" i="4"/>
  <c r="Q177" i="4"/>
  <c r="Q176" i="4"/>
  <c r="Q175" i="4"/>
  <c r="Q174" i="4"/>
  <c r="Q173" i="4"/>
  <c r="Q172" i="4"/>
  <c r="Q171" i="4"/>
  <c r="Q170" i="4"/>
  <c r="Q169" i="4"/>
  <c r="Q168" i="4"/>
  <c r="Q167" i="4"/>
  <c r="Q166" i="4"/>
  <c r="Q165" i="4"/>
  <c r="Q164" i="4"/>
  <c r="Q163" i="4"/>
  <c r="Q162" i="4"/>
  <c r="Q161" i="4"/>
  <c r="Q160" i="4"/>
  <c r="Q159" i="4"/>
  <c r="Q158" i="4"/>
  <c r="Q157" i="4"/>
  <c r="Q156" i="4"/>
  <c r="Q155" i="4"/>
  <c r="Q154" i="4"/>
  <c r="Q153" i="4"/>
  <c r="Q152" i="4"/>
  <c r="Q151" i="4"/>
  <c r="Q150" i="4"/>
  <c r="Q149" i="4"/>
  <c r="Q148" i="4"/>
  <c r="Q147" i="4"/>
  <c r="Q146" i="4"/>
  <c r="Q145" i="4"/>
  <c r="Q144" i="4"/>
  <c r="Q143" i="4"/>
  <c r="Q142" i="4"/>
  <c r="Q141" i="4"/>
  <c r="Q140" i="4"/>
  <c r="Q139" i="4"/>
  <c r="Q138" i="4"/>
  <c r="Q137" i="4"/>
  <c r="Q136" i="4"/>
  <c r="Q135" i="4"/>
  <c r="Q134" i="4"/>
  <c r="Q133" i="4"/>
  <c r="Q132" i="4"/>
  <c r="Q131" i="4"/>
  <c r="Q130" i="4"/>
  <c r="Q129" i="4"/>
  <c r="Q128" i="4"/>
  <c r="Q127" i="4"/>
  <c r="Q126" i="4"/>
  <c r="Q125" i="4"/>
  <c r="Q124" i="4"/>
  <c r="Q123" i="4"/>
  <c r="Q122" i="4"/>
  <c r="Q121" i="4"/>
  <c r="Q120" i="4"/>
  <c r="Q119" i="4"/>
  <c r="Q118" i="4"/>
  <c r="Q117" i="4"/>
  <c r="Q116" i="4"/>
  <c r="Q115" i="4"/>
  <c r="Q114" i="4"/>
  <c r="Q113" i="4"/>
  <c r="Q112" i="4"/>
  <c r="Q111" i="4"/>
  <c r="Q110" i="4"/>
  <c r="Q109" i="4"/>
  <c r="Q108" i="4"/>
  <c r="Q107" i="4"/>
  <c r="Q106" i="4"/>
  <c r="Q105" i="4"/>
  <c r="Q104" i="4"/>
  <c r="Q103" i="4"/>
  <c r="Q102" i="4"/>
  <c r="Q101" i="4"/>
  <c r="Q100" i="4"/>
  <c r="Q99" i="4"/>
  <c r="Q98" i="4"/>
  <c r="Q97" i="4"/>
  <c r="Q96" i="4"/>
  <c r="Q95" i="4"/>
  <c r="Q94" i="4"/>
  <c r="Q93" i="4"/>
  <c r="Q92" i="4"/>
  <c r="Q91" i="4"/>
  <c r="Q90" i="4"/>
  <c r="Q89" i="4"/>
  <c r="Q88" i="4"/>
  <c r="Q87" i="4"/>
  <c r="Q86" i="4"/>
  <c r="Q85" i="4"/>
  <c r="Q84" i="4"/>
  <c r="Q83" i="4"/>
  <c r="Q82" i="4"/>
  <c r="Q81" i="4"/>
  <c r="Q80" i="4"/>
  <c r="Q79" i="4"/>
  <c r="Q78" i="4"/>
  <c r="Q77" i="4"/>
  <c r="Q76" i="4"/>
  <c r="Q75" i="4"/>
  <c r="Q74" i="4"/>
  <c r="Q73" i="4"/>
  <c r="Q72" i="4"/>
  <c r="Q71" i="4"/>
  <c r="Q70" i="4"/>
  <c r="Q69" i="4"/>
  <c r="Q68" i="4"/>
  <c r="Q67" i="4"/>
  <c r="Q66" i="4"/>
  <c r="Q65" i="4"/>
  <c r="Q64" i="4"/>
  <c r="Q63" i="4"/>
  <c r="Q62" i="4"/>
  <c r="Q61" i="4"/>
  <c r="Q60" i="4"/>
  <c r="Q59" i="4"/>
  <c r="Q58" i="4"/>
  <c r="Q57" i="4"/>
  <c r="Q56" i="4"/>
  <c r="Q55" i="4"/>
  <c r="Q54" i="4"/>
  <c r="Q53" i="4"/>
  <c r="Q52" i="4"/>
  <c r="Q51" i="4"/>
  <c r="Q50" i="4"/>
  <c r="Q49" i="4"/>
  <c r="Q48" i="4"/>
  <c r="Q47" i="4"/>
  <c r="Q46" i="4"/>
  <c r="Q45" i="4"/>
  <c r="Q44" i="4"/>
  <c r="Q43" i="4"/>
  <c r="Q42" i="4"/>
  <c r="Q41" i="4"/>
  <c r="Q40" i="4"/>
  <c r="Q39" i="4"/>
  <c r="Q38" i="4"/>
  <c r="Q37" i="4"/>
  <c r="Q36" i="4"/>
  <c r="Q35" i="4"/>
  <c r="Q34" i="4"/>
  <c r="Q33" i="4"/>
  <c r="Q32" i="4"/>
  <c r="Q31" i="4"/>
  <c r="Q30" i="4"/>
  <c r="Q29" i="4"/>
  <c r="Q28" i="4"/>
  <c r="Q27" i="4"/>
  <c r="Q26" i="4"/>
  <c r="Q25" i="4"/>
  <c r="Q24" i="4"/>
  <c r="Q23" i="4"/>
  <c r="Q22" i="4"/>
  <c r="Q21" i="4"/>
  <c r="Q20" i="4"/>
  <c r="Q19" i="4"/>
  <c r="Q18" i="4"/>
  <c r="Q17" i="4"/>
  <c r="Q16" i="4"/>
  <c r="Q15" i="4"/>
  <c r="Q14" i="4"/>
  <c r="Q13" i="4"/>
  <c r="Q12" i="4"/>
  <c r="Q11" i="4"/>
  <c r="Q10" i="4"/>
  <c r="Q9" i="4"/>
  <c r="Q8" i="4"/>
  <c r="Q7" i="4"/>
  <c r="Q6" i="4"/>
  <c r="Q5" i="4"/>
  <c r="Q4" i="4"/>
  <c r="Q3" i="4"/>
  <c r="Q2" i="4"/>
  <c r="O1001" i="4"/>
  <c r="O1000" i="4"/>
  <c r="O999" i="4"/>
  <c r="O99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888" i="4"/>
  <c r="O887" i="4"/>
  <c r="O886" i="4"/>
  <c r="O885" i="4"/>
  <c r="O884" i="4"/>
  <c r="O883" i="4"/>
  <c r="O882" i="4"/>
  <c r="O881" i="4"/>
  <c r="O880" i="4"/>
  <c r="O879"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807" i="4"/>
  <c r="O806" i="4"/>
  <c r="O805" i="4"/>
  <c r="O804" i="4"/>
  <c r="O803" i="4"/>
  <c r="O802" i="4"/>
  <c r="O801" i="4"/>
  <c r="O800" i="4"/>
  <c r="O799" i="4"/>
  <c r="O798" i="4"/>
  <c r="O797" i="4"/>
  <c r="O796" i="4"/>
  <c r="O795" i="4"/>
  <c r="O794" i="4"/>
  <c r="O793" i="4"/>
  <c r="O792" i="4"/>
  <c r="O791" i="4"/>
  <c r="O790" i="4"/>
  <c r="O789" i="4"/>
  <c r="O788" i="4"/>
  <c r="O787" i="4"/>
  <c r="O786" i="4"/>
  <c r="O785" i="4"/>
  <c r="O784" i="4"/>
  <c r="O783" i="4"/>
  <c r="O782" i="4"/>
  <c r="O781" i="4"/>
  <c r="O780" i="4"/>
  <c r="O779" i="4"/>
  <c r="O778"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727" i="4"/>
  <c r="O726" i="4"/>
  <c r="O725" i="4"/>
  <c r="O724" i="4"/>
  <c r="O723" i="4"/>
  <c r="O722" i="4"/>
  <c r="O721" i="4"/>
  <c r="O720" i="4"/>
  <c r="O719" i="4"/>
  <c r="O718" i="4"/>
  <c r="O717" i="4"/>
  <c r="O716" i="4"/>
  <c r="O715" i="4"/>
  <c r="O714" i="4"/>
  <c r="O713" i="4"/>
  <c r="O712" i="4"/>
  <c r="O711" i="4"/>
  <c r="O710" i="4"/>
  <c r="O709" i="4"/>
  <c r="O708" i="4"/>
  <c r="O707" i="4"/>
  <c r="O706" i="4"/>
  <c r="O705" i="4"/>
  <c r="O704" i="4"/>
  <c r="O703" i="4"/>
  <c r="O702" i="4"/>
  <c r="O701" i="4"/>
  <c r="O700" i="4"/>
  <c r="O699" i="4"/>
  <c r="O698" i="4"/>
  <c r="O697" i="4"/>
  <c r="O696" i="4"/>
  <c r="O695" i="4"/>
  <c r="O694" i="4"/>
  <c r="O693" i="4"/>
  <c r="O692" i="4"/>
  <c r="O691" i="4"/>
  <c r="O690" i="4"/>
  <c r="O689" i="4"/>
  <c r="O688" i="4"/>
  <c r="O687" i="4"/>
  <c r="O686" i="4"/>
  <c r="O685" i="4"/>
  <c r="O684" i="4"/>
  <c r="O683" i="4"/>
  <c r="O682" i="4"/>
  <c r="O681" i="4"/>
  <c r="O680" i="4"/>
  <c r="O679" i="4"/>
  <c r="O678" i="4"/>
  <c r="O677" i="4"/>
  <c r="O676" i="4"/>
  <c r="O675" i="4"/>
  <c r="O674" i="4"/>
  <c r="O673" i="4"/>
  <c r="O672" i="4"/>
  <c r="O671" i="4"/>
  <c r="O670"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552" i="4"/>
  <c r="O551" i="4"/>
  <c r="O550" i="4"/>
  <c r="O549" i="4"/>
  <c r="O548" i="4"/>
  <c r="O547" i="4"/>
  <c r="O546" i="4"/>
  <c r="O545" i="4"/>
  <c r="O544" i="4"/>
  <c r="O543" i="4"/>
  <c r="O542" i="4"/>
  <c r="O541" i="4"/>
  <c r="O540" i="4"/>
  <c r="O539" i="4"/>
  <c r="O538" i="4"/>
  <c r="O537" i="4"/>
  <c r="O536" i="4"/>
  <c r="O535" i="4"/>
  <c r="O534" i="4"/>
  <c r="O533" i="4"/>
  <c r="O532" i="4"/>
  <c r="O531" i="4"/>
  <c r="O530" i="4"/>
  <c r="O529" i="4"/>
  <c r="O528" i="4"/>
  <c r="O527" i="4"/>
  <c r="O526" i="4"/>
  <c r="O525" i="4"/>
  <c r="O524" i="4"/>
  <c r="O523" i="4"/>
  <c r="O522" i="4"/>
  <c r="O521" i="4"/>
  <c r="O520" i="4"/>
  <c r="O519" i="4"/>
  <c r="O518" i="4"/>
  <c r="O517" i="4"/>
  <c r="O516" i="4"/>
  <c r="O515" i="4"/>
  <c r="O514" i="4"/>
  <c r="O513" i="4"/>
  <c r="O512" i="4"/>
  <c r="O511" i="4"/>
  <c r="O510" i="4"/>
  <c r="O509" i="4"/>
  <c r="O508" i="4"/>
  <c r="O507" i="4"/>
  <c r="O506" i="4"/>
  <c r="O505" i="4"/>
  <c r="O504" i="4"/>
  <c r="O503" i="4"/>
  <c r="O502" i="4"/>
  <c r="O501" i="4"/>
  <c r="O500" i="4"/>
  <c r="O499" i="4"/>
  <c r="O498" i="4"/>
  <c r="O497" i="4"/>
  <c r="O496" i="4"/>
  <c r="O495"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49" i="4"/>
  <c r="O348" i="4"/>
  <c r="O347" i="4"/>
  <c r="O346" i="4"/>
  <c r="O345" i="4"/>
  <c r="O344" i="4"/>
  <c r="O343" i="4"/>
  <c r="O342" i="4"/>
  <c r="O341" i="4"/>
  <c r="O340" i="4"/>
  <c r="O339" i="4"/>
  <c r="O338" i="4"/>
  <c r="O337" i="4"/>
  <c r="O336" i="4"/>
  <c r="O335" i="4"/>
  <c r="O334" i="4"/>
  <c r="O333" i="4"/>
  <c r="O332" i="4"/>
  <c r="O331" i="4"/>
  <c r="O330" i="4"/>
  <c r="O329" i="4"/>
  <c r="O328" i="4"/>
  <c r="O327"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272" i="4"/>
  <c r="O271" i="4"/>
  <c r="O270" i="4"/>
  <c r="O269" i="4"/>
  <c r="O268" i="4"/>
  <c r="O267" i="4"/>
  <c r="O266" i="4"/>
  <c r="O265" i="4"/>
  <c r="O264" i="4"/>
  <c r="O263" i="4"/>
  <c r="O262" i="4"/>
  <c r="O261" i="4"/>
  <c r="O260" i="4"/>
  <c r="O259" i="4"/>
  <c r="O258" i="4"/>
  <c r="O257" i="4"/>
  <c r="O256" i="4"/>
  <c r="O255" i="4"/>
  <c r="O254" i="4"/>
  <c r="O253" i="4"/>
  <c r="O252" i="4"/>
  <c r="O251" i="4"/>
  <c r="O250" i="4"/>
  <c r="O249" i="4"/>
  <c r="O248" i="4"/>
  <c r="O247" i="4"/>
  <c r="O246" i="4"/>
  <c r="O245" i="4"/>
  <c r="O244" i="4"/>
  <c r="O243" i="4"/>
  <c r="O242" i="4"/>
  <c r="O241" i="4"/>
  <c r="O240" i="4"/>
  <c r="O239" i="4"/>
  <c r="O238" i="4"/>
  <c r="O237" i="4"/>
  <c r="O236" i="4"/>
  <c r="O235"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204" i="4"/>
  <c r="O203" i="4"/>
  <c r="O202" i="4"/>
  <c r="O201" i="4"/>
  <c r="O200" i="4"/>
  <c r="O199" i="4"/>
  <c r="O198" i="4"/>
  <c r="O197" i="4"/>
  <c r="O196" i="4"/>
  <c r="O195" i="4"/>
  <c r="O194" i="4"/>
  <c r="O193" i="4"/>
  <c r="O192" i="4"/>
  <c r="O191" i="4"/>
  <c r="O190" i="4"/>
  <c r="O189" i="4"/>
  <c r="O188" i="4"/>
  <c r="O187" i="4"/>
  <c r="O186" i="4"/>
  <c r="O185" i="4"/>
  <c r="O184" i="4"/>
  <c r="O183" i="4"/>
  <c r="O182" i="4"/>
  <c r="O181" i="4"/>
  <c r="O180" i="4"/>
  <c r="O179"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2" i="4"/>
  <c r="D3" i="4" l="1"/>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2" i="4"/>
  <c r="C1001" i="4"/>
  <c r="C1000" i="4"/>
  <c r="C999" i="4"/>
  <c r="C998" i="4"/>
  <c r="C997" i="4"/>
  <c r="C996" i="4"/>
  <c r="C995" i="4"/>
  <c r="C994" i="4"/>
  <c r="C993" i="4"/>
  <c r="C992" i="4"/>
  <c r="C991" i="4"/>
  <c r="C990" i="4"/>
  <c r="C989" i="4"/>
  <c r="C988" i="4"/>
  <c r="C987" i="4"/>
  <c r="C986" i="4"/>
  <c r="C985" i="4"/>
  <c r="C984" i="4"/>
  <c r="C983" i="4"/>
  <c r="C982" i="4"/>
  <c r="C981" i="4"/>
  <c r="C980" i="4"/>
  <c r="C979" i="4"/>
  <c r="C978" i="4"/>
  <c r="C977" i="4"/>
  <c r="C976" i="4"/>
  <c r="C975" i="4"/>
  <c r="C974" i="4"/>
  <c r="C973" i="4"/>
  <c r="C972" i="4"/>
  <c r="C971" i="4"/>
  <c r="C970" i="4"/>
  <c r="C969" i="4"/>
  <c r="C968" i="4"/>
  <c r="C967" i="4"/>
  <c r="C966" i="4"/>
  <c r="C965" i="4"/>
  <c r="C964" i="4"/>
  <c r="C963" i="4"/>
  <c r="C962" i="4"/>
  <c r="C961" i="4"/>
  <c r="C960" i="4"/>
  <c r="C959" i="4"/>
  <c r="C958" i="4"/>
  <c r="C957" i="4"/>
  <c r="C956" i="4"/>
  <c r="C955" i="4"/>
  <c r="C954" i="4"/>
  <c r="C953" i="4"/>
  <c r="C952" i="4"/>
  <c r="C951" i="4"/>
  <c r="C950" i="4"/>
  <c r="C949" i="4"/>
  <c r="C948" i="4"/>
  <c r="C947" i="4"/>
  <c r="C946" i="4"/>
  <c r="C945" i="4"/>
  <c r="C944" i="4"/>
  <c r="C943" i="4"/>
  <c r="C942" i="4"/>
  <c r="C941" i="4"/>
  <c r="C940" i="4"/>
  <c r="C939" i="4"/>
  <c r="C938" i="4"/>
  <c r="C937" i="4"/>
  <c r="C936" i="4"/>
  <c r="C935" i="4"/>
  <c r="C934" i="4"/>
  <c r="C933" i="4"/>
  <c r="C932" i="4"/>
  <c r="C931" i="4"/>
  <c r="C930" i="4"/>
  <c r="C929" i="4"/>
  <c r="C928" i="4"/>
  <c r="C927" i="4"/>
  <c r="C926" i="4"/>
  <c r="C925" i="4"/>
  <c r="C924" i="4"/>
  <c r="C923" i="4"/>
  <c r="C922" i="4"/>
  <c r="C921" i="4"/>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C806" i="4"/>
  <c r="C805" i="4"/>
  <c r="C804" i="4"/>
  <c r="C803" i="4"/>
  <c r="C802" i="4"/>
  <c r="C801" i="4"/>
  <c r="C800" i="4"/>
  <c r="C799" i="4"/>
  <c r="C798" i="4"/>
  <c r="C797" i="4"/>
  <c r="C796" i="4"/>
  <c r="C795" i="4"/>
  <c r="C794" i="4"/>
  <c r="C793" i="4"/>
  <c r="C792" i="4"/>
  <c r="C791" i="4"/>
  <c r="C790" i="4"/>
  <c r="C789" i="4"/>
  <c r="C788" i="4"/>
  <c r="C787" i="4"/>
  <c r="C786" i="4"/>
  <c r="C785" i="4"/>
  <c r="C784" i="4"/>
  <c r="C783" i="4"/>
  <c r="C782" i="4"/>
  <c r="C781" i="4"/>
  <c r="C780" i="4"/>
  <c r="C779" i="4"/>
  <c r="C778" i="4"/>
  <c r="C777" i="4"/>
  <c r="C776" i="4"/>
  <c r="C775" i="4"/>
  <c r="C774" i="4"/>
  <c r="C773" i="4"/>
  <c r="C772" i="4"/>
  <c r="C771" i="4"/>
  <c r="C770" i="4"/>
  <c r="C769" i="4"/>
  <c r="C768" i="4"/>
  <c r="C767" i="4"/>
  <c r="C766" i="4"/>
  <c r="C765" i="4"/>
  <c r="C764" i="4"/>
  <c r="C763" i="4"/>
  <c r="C762" i="4"/>
  <c r="C761" i="4"/>
  <c r="C760" i="4"/>
  <c r="C759" i="4"/>
  <c r="C758" i="4"/>
  <c r="C757" i="4"/>
  <c r="C756" i="4"/>
  <c r="C755" i="4"/>
  <c r="C754" i="4"/>
  <c r="C753" i="4"/>
  <c r="C752" i="4"/>
  <c r="C751" i="4"/>
  <c r="C750" i="4"/>
  <c r="C749" i="4"/>
  <c r="C748" i="4"/>
  <c r="C747" i="4"/>
  <c r="C746" i="4"/>
  <c r="C745" i="4"/>
  <c r="C744" i="4"/>
  <c r="C743" i="4"/>
  <c r="C742" i="4"/>
  <c r="C741" i="4"/>
  <c r="C740" i="4"/>
  <c r="C739" i="4"/>
  <c r="C738" i="4"/>
  <c r="C737" i="4"/>
  <c r="C736" i="4"/>
  <c r="C735" i="4"/>
  <c r="C734" i="4"/>
  <c r="C733" i="4"/>
  <c r="C732" i="4"/>
  <c r="C731" i="4"/>
  <c r="C730" i="4"/>
  <c r="C729" i="4"/>
  <c r="C728" i="4"/>
  <c r="C727" i="4"/>
  <c r="C726" i="4"/>
  <c r="C725" i="4"/>
  <c r="C724" i="4"/>
  <c r="C723" i="4"/>
  <c r="C722" i="4"/>
  <c r="C721" i="4"/>
  <c r="C720" i="4"/>
  <c r="C719" i="4"/>
  <c r="C718" i="4"/>
  <c r="C717" i="4"/>
  <c r="C716" i="4"/>
  <c r="C715" i="4"/>
  <c r="C714" i="4"/>
  <c r="C713" i="4"/>
  <c r="C712" i="4"/>
  <c r="C711" i="4"/>
  <c r="C710" i="4"/>
  <c r="C709" i="4"/>
  <c r="C708" i="4"/>
  <c r="C707" i="4"/>
  <c r="C706" i="4"/>
  <c r="C705" i="4"/>
  <c r="C704" i="4"/>
  <c r="C703" i="4"/>
  <c r="C702" i="4"/>
  <c r="C701" i="4"/>
  <c r="C700" i="4"/>
  <c r="C699" i="4"/>
  <c r="C698" i="4"/>
  <c r="C697" i="4"/>
  <c r="C696" i="4"/>
  <c r="C695" i="4"/>
  <c r="C694" i="4"/>
  <c r="C693" i="4"/>
  <c r="C692" i="4"/>
  <c r="C691" i="4"/>
  <c r="C690" i="4"/>
  <c r="C689" i="4"/>
  <c r="C688" i="4"/>
  <c r="C687" i="4"/>
  <c r="C686" i="4"/>
  <c r="C685" i="4"/>
  <c r="C684" i="4"/>
  <c r="C683" i="4"/>
  <c r="C682" i="4"/>
  <c r="C681" i="4"/>
  <c r="C680" i="4"/>
  <c r="C679" i="4"/>
  <c r="C678" i="4"/>
  <c r="C677" i="4"/>
  <c r="C676" i="4"/>
  <c r="C675" i="4"/>
  <c r="C674" i="4"/>
  <c r="C673" i="4"/>
  <c r="C672" i="4"/>
  <c r="C671" i="4"/>
  <c r="C670" i="4"/>
  <c r="C669" i="4"/>
  <c r="C668" i="4"/>
  <c r="C667" i="4"/>
  <c r="C666" i="4"/>
  <c r="C665" i="4"/>
  <c r="C664" i="4"/>
  <c r="C663" i="4"/>
  <c r="C662" i="4"/>
  <c r="C661" i="4"/>
  <c r="C660" i="4"/>
  <c r="C659" i="4"/>
  <c r="C658" i="4"/>
  <c r="C657" i="4"/>
  <c r="C656" i="4"/>
  <c r="C655" i="4"/>
  <c r="C654" i="4"/>
  <c r="C653" i="4"/>
  <c r="C652" i="4"/>
  <c r="C651" i="4"/>
  <c r="C650" i="4"/>
  <c r="C649" i="4"/>
  <c r="C648" i="4"/>
  <c r="C647" i="4"/>
  <c r="C646" i="4"/>
  <c r="C645" i="4"/>
  <c r="C644" i="4"/>
  <c r="C643" i="4"/>
  <c r="C642" i="4"/>
  <c r="C641" i="4"/>
  <c r="C640" i="4"/>
  <c r="C639" i="4"/>
  <c r="C638" i="4"/>
  <c r="C637" i="4"/>
  <c r="C636" i="4"/>
  <c r="C635" i="4"/>
  <c r="C634" i="4"/>
  <c r="C633" i="4"/>
  <c r="C632" i="4"/>
  <c r="C631" i="4"/>
  <c r="C630" i="4"/>
  <c r="C629" i="4"/>
  <c r="C628" i="4"/>
  <c r="C627" i="4"/>
  <c r="C626" i="4"/>
  <c r="C625" i="4"/>
  <c r="C624" i="4"/>
  <c r="C623" i="4"/>
  <c r="C622" i="4"/>
  <c r="C621" i="4"/>
  <c r="C620" i="4"/>
  <c r="C619" i="4"/>
  <c r="C618" i="4"/>
  <c r="C617" i="4"/>
  <c r="C616" i="4"/>
  <c r="C615" i="4"/>
  <c r="C614" i="4"/>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Onsurity</author>
  </authors>
  <commentList>
    <comment ref="A1" authorId="0" shapeId="0" xr:uid="{668AF9C7-A549-4191-AF04-715BBEBA209F}">
      <text>
        <r>
          <rPr>
            <b/>
            <sz val="9"/>
            <color indexed="81"/>
            <rFont val="Tahoma"/>
            <family val="2"/>
          </rPr>
          <t>Onsurity:</t>
        </r>
        <r>
          <rPr>
            <sz val="9"/>
            <color indexed="81"/>
            <rFont val="Tahoma"/>
            <family val="2"/>
          </rPr>
          <t xml:space="preserve">
Must be unique. Please do not put any duplicate employee no.</t>
        </r>
      </text>
    </comment>
    <comment ref="B1" authorId="0" shapeId="0" xr:uid="{99635BB0-041A-43AC-A216-CD2CF0EE129B}">
      <text>
        <r>
          <rPr>
            <b/>
            <sz val="9"/>
            <color indexed="81"/>
            <rFont val="Tahoma"/>
            <family val="2"/>
          </rPr>
          <t>Onsurity:</t>
        </r>
        <r>
          <rPr>
            <sz val="9"/>
            <color indexed="81"/>
            <rFont val="Tahoma"/>
            <family val="2"/>
          </rPr>
          <t xml:space="preserve">
Please provide the correct name of the employee as per Govt ID Proof. This name is iimportant at the time of getting benefit under the membership. Any mismatch in the name may make the member ineligible for the benefit. </t>
        </r>
      </text>
    </comment>
    <comment ref="D1" authorId="0" shapeId="0" xr:uid="{D5DDA591-5204-4C21-8C11-C6105B9A8E3B}">
      <text>
        <r>
          <rPr>
            <b/>
            <sz val="9"/>
            <color indexed="81"/>
            <rFont val="Tahoma"/>
            <family val="2"/>
          </rPr>
          <t>Onsurity:</t>
        </r>
        <r>
          <rPr>
            <sz val="9"/>
            <color indexed="81"/>
            <rFont val="Tahoma"/>
            <family val="2"/>
          </rPr>
          <t xml:space="preserve">
Please provide the correct 10 digit mobile no. Any incorrect mobile number can cause unneccessary delay in the issuance of the membership. </t>
        </r>
      </text>
    </comment>
    <comment ref="F1" authorId="0" shapeId="0" xr:uid="{CCEE8C76-C7B6-4124-B53A-652BE664AFE0}">
      <text>
        <r>
          <rPr>
            <b/>
            <sz val="9"/>
            <color indexed="81"/>
            <rFont val="Tahoma"/>
            <family val="2"/>
          </rPr>
          <t>Onsurity:</t>
        </r>
        <r>
          <rPr>
            <sz val="9"/>
            <color indexed="81"/>
            <rFont val="Tahoma"/>
            <family val="2"/>
          </rPr>
          <t xml:space="preserve">
Date of birth should be dd/mm/yyyy. Please validate the date of birth as incorrect date of birth could create delay in the issuance of the membership.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Onsurity</author>
  </authors>
  <commentList>
    <comment ref="A1" authorId="0" shapeId="0" xr:uid="{A7EFCA13-F0F9-48B5-A06A-623DD740BB5D}">
      <text>
        <r>
          <rPr>
            <b/>
            <sz val="9"/>
            <color indexed="81"/>
            <rFont val="Tahoma"/>
            <family val="2"/>
          </rPr>
          <t>Onsurity:</t>
        </r>
        <r>
          <rPr>
            <sz val="9"/>
            <color indexed="81"/>
            <rFont val="Tahoma"/>
            <family val="2"/>
          </rPr>
          <t xml:space="preserve">
Must be unique. Please do not put any duplicate employee no.</t>
        </r>
      </text>
    </comment>
    <comment ref="B1" authorId="0" shapeId="0" xr:uid="{158E41D6-A28C-4FC4-8486-C09D9191BD4E}">
      <text>
        <r>
          <rPr>
            <b/>
            <sz val="9"/>
            <color indexed="81"/>
            <rFont val="Tahoma"/>
            <family val="2"/>
          </rPr>
          <t>Onsurity:</t>
        </r>
        <r>
          <rPr>
            <sz val="9"/>
            <color indexed="81"/>
            <rFont val="Tahoma"/>
            <family val="2"/>
          </rPr>
          <t xml:space="preserve">
Please provide the correct name of the employee as per Govt ID Proof. This name is iimportant at the time of getting benefit under the membership. Any mismatch in the name may make the member ineligible for the benefit. </t>
        </r>
      </text>
    </comment>
    <comment ref="D1" authorId="0" shapeId="0" xr:uid="{BDE0AA51-4AE0-41FC-8B2E-30DF6535C0E1}">
      <text>
        <r>
          <rPr>
            <b/>
            <sz val="9"/>
            <color indexed="81"/>
            <rFont val="Tahoma"/>
            <family val="2"/>
          </rPr>
          <t>Onsurity:</t>
        </r>
        <r>
          <rPr>
            <sz val="9"/>
            <color indexed="81"/>
            <rFont val="Tahoma"/>
            <family val="2"/>
          </rPr>
          <t xml:space="preserve">
Please provide the correct 10 digit mobile no. Any incorrect mobile number can cause unneccessary delay in the issuance of the membership. </t>
        </r>
      </text>
    </comment>
    <comment ref="F1" authorId="0" shapeId="0" xr:uid="{B7DAA7C2-F03B-4853-91F4-07A18040EA3C}">
      <text>
        <r>
          <rPr>
            <b/>
            <sz val="9"/>
            <color indexed="81"/>
            <rFont val="Tahoma"/>
            <family val="2"/>
          </rPr>
          <t>Onsurity:</t>
        </r>
        <r>
          <rPr>
            <sz val="9"/>
            <color indexed="81"/>
            <rFont val="Tahoma"/>
            <family val="2"/>
          </rPr>
          <t xml:space="preserve">
Date of birth should be dd/mm/yyyy. Please validate the date of birth as incorrect date of birth could create delay in the issuance of the membership. </t>
        </r>
      </text>
    </comment>
  </commentList>
</comments>
</file>

<file path=xl/sharedStrings.xml><?xml version="1.0" encoding="utf-8"?>
<sst xmlns="http://schemas.openxmlformats.org/spreadsheetml/2006/main" count="204" uniqueCount="174">
  <si>
    <t>Employee No</t>
  </si>
  <si>
    <t>Name of the Employee</t>
  </si>
  <si>
    <t>Employee's Email Address</t>
  </si>
  <si>
    <t>Employee's Mobile Number</t>
  </si>
  <si>
    <t>Employee's Gender</t>
  </si>
  <si>
    <t>Employee's Date of Birth</t>
  </si>
  <si>
    <t>HealthCare Membership Type</t>
  </si>
  <si>
    <t>HealthCare Membership Name</t>
  </si>
  <si>
    <t>Employee's Nominee Name</t>
  </si>
  <si>
    <t>Nominee's Gender</t>
  </si>
  <si>
    <t>Nominee Date of Birth</t>
  </si>
  <si>
    <t>Nominee Relationship with the Employee</t>
  </si>
  <si>
    <t>Employee's Spouse Name</t>
  </si>
  <si>
    <t>Employee's Spouse Gender</t>
  </si>
  <si>
    <t>Employee's Spouse Date of Birth</t>
  </si>
  <si>
    <t>Employee's Child 1 Name</t>
  </si>
  <si>
    <t>Employee's Child 1 Gender</t>
  </si>
  <si>
    <t>Employee's Child 1 Date of Birth</t>
  </si>
  <si>
    <t>Employee's Child 2 Name</t>
  </si>
  <si>
    <t>Employee's Child 2 Gender</t>
  </si>
  <si>
    <t>Employee's Child 2 Date of Birth</t>
  </si>
  <si>
    <t>HealthCare Membership</t>
  </si>
  <si>
    <t>LifeCare Membership</t>
  </si>
  <si>
    <t>Covid positive in Last 30 days?</t>
  </si>
  <si>
    <t>Employee Designation</t>
  </si>
  <si>
    <t>Employee's Annual Income</t>
  </si>
  <si>
    <t>Employee's State</t>
  </si>
  <si>
    <t>Employee's City</t>
  </si>
  <si>
    <t>Employee's Child 3 Name</t>
  </si>
  <si>
    <t>Employee's Child 3 Gender</t>
  </si>
  <si>
    <t>Employee's Child 3 Date of Birth</t>
  </si>
  <si>
    <t>Child 3 HealthCare Membership Name</t>
  </si>
  <si>
    <t>Employee's Child 4 Name</t>
  </si>
  <si>
    <t>Employee's Child 4 Gender</t>
  </si>
  <si>
    <t>Employee's Child 4 Date of Birth</t>
  </si>
  <si>
    <t>Child 4 HealthCare Membership Name</t>
  </si>
  <si>
    <t>Employee's Child 5 Name</t>
  </si>
  <si>
    <t>Employee's Child 5 Gender</t>
  </si>
  <si>
    <t>Employee's Child 5 Date of Birth</t>
  </si>
  <si>
    <t>Child 5 HealthCare Membership Name</t>
  </si>
  <si>
    <t>Employee's Father Name</t>
  </si>
  <si>
    <t>Employee's Father Date of Birth</t>
  </si>
  <si>
    <t>Father's HealthCare Membership Name</t>
  </si>
  <si>
    <t>Employee's Mother Name</t>
  </si>
  <si>
    <t>Employee's Mother Date of Birth</t>
  </si>
  <si>
    <t>Mother's HealthCare Membership Name</t>
  </si>
  <si>
    <t>Employee's Father-in-law Name</t>
  </si>
  <si>
    <t>Employee's Father-in-law Date of Birth</t>
  </si>
  <si>
    <t>Father-in-law's HealthCare Membership Name</t>
  </si>
  <si>
    <t>Employee's Mother-in-law Name</t>
  </si>
  <si>
    <t>Employee's Mother-in-law Date of Birth</t>
  </si>
  <si>
    <t>Mother-in-law's HealthCare Membership Name</t>
  </si>
  <si>
    <t>Employee's Brother 1 Name</t>
  </si>
  <si>
    <t>Employee's Brother 1 Date of Birth</t>
  </si>
  <si>
    <t>Brother 1 HealthCare Membership Name</t>
  </si>
  <si>
    <t>Employee's Brother 2 Name</t>
  </si>
  <si>
    <t>Employee's Brother 2 Date of Birth</t>
  </si>
  <si>
    <t>Brother 2 HealthCare Membership Name</t>
  </si>
  <si>
    <t>Employee's Sister 1 Name</t>
  </si>
  <si>
    <t>Employee's Sister 1 Date of Birth</t>
  </si>
  <si>
    <t>Sister 1 HealthCare Membership Name</t>
  </si>
  <si>
    <t>Employee's Sister 2 Name</t>
  </si>
  <si>
    <t>Employee's Sister 2 Date of Birth</t>
  </si>
  <si>
    <t>Sister 2's HealthCare Membership Name</t>
  </si>
  <si>
    <t>Gender List</t>
  </si>
  <si>
    <t>Nominee Relationship</t>
  </si>
  <si>
    <t>India State</t>
  </si>
  <si>
    <t>Income Range</t>
  </si>
  <si>
    <t>Primary Member DOB range</t>
  </si>
  <si>
    <t>Parents DOB Range</t>
  </si>
  <si>
    <t>Nominee DOB Range</t>
  </si>
  <si>
    <t>Spouse DOB Range</t>
  </si>
  <si>
    <t>Child</t>
  </si>
  <si>
    <t>Siblings</t>
  </si>
  <si>
    <t>Covid Positve</t>
  </si>
  <si>
    <t>Male</t>
  </si>
  <si>
    <t>Spouse</t>
  </si>
  <si>
    <t>Team Member</t>
  </si>
  <si>
    <t>Onyx</t>
  </si>
  <si>
    <t>Warrior</t>
  </si>
  <si>
    <t>Andhra Pradesh</t>
  </si>
  <si>
    <t>Yes</t>
  </si>
  <si>
    <t>Female</t>
  </si>
  <si>
    <t>Husband</t>
  </si>
  <si>
    <t>Team Member, Spouse &amp; upto 2 Children</t>
  </si>
  <si>
    <t>Opal</t>
  </si>
  <si>
    <t>Elite</t>
  </si>
  <si>
    <t>Arunachal Pradesh</t>
  </si>
  <si>
    <t>No</t>
  </si>
  <si>
    <t>Wife</t>
  </si>
  <si>
    <t>Ruby</t>
  </si>
  <si>
    <t>Master</t>
  </si>
  <si>
    <t>Assam</t>
  </si>
  <si>
    <t>Unknown</t>
  </si>
  <si>
    <t>Father</t>
  </si>
  <si>
    <t>Jade</t>
  </si>
  <si>
    <t>Supreme</t>
  </si>
  <si>
    <t>Bihar</t>
  </si>
  <si>
    <t>Mother</t>
  </si>
  <si>
    <t>Onyx+</t>
  </si>
  <si>
    <t>Elite White</t>
  </si>
  <si>
    <t>Chhattisgarh</t>
  </si>
  <si>
    <t>Son</t>
  </si>
  <si>
    <t>Opal+</t>
  </si>
  <si>
    <t>Master White</t>
  </si>
  <si>
    <t>Goa</t>
  </si>
  <si>
    <t>Daughter</t>
  </si>
  <si>
    <t>Ruby+</t>
  </si>
  <si>
    <t>Supreme White</t>
  </si>
  <si>
    <t>Gujarat</t>
  </si>
  <si>
    <t>Brother</t>
  </si>
  <si>
    <t>Jade+</t>
  </si>
  <si>
    <t>Champion White</t>
  </si>
  <si>
    <t>Haryana</t>
  </si>
  <si>
    <t>Sister</t>
  </si>
  <si>
    <t>Onyx++</t>
  </si>
  <si>
    <t>Premier White</t>
  </si>
  <si>
    <t>Himachal Pradesh</t>
  </si>
  <si>
    <t>Father-in-law</t>
  </si>
  <si>
    <t>Opal++</t>
  </si>
  <si>
    <t>Elite Blue</t>
  </si>
  <si>
    <t>Jharkhand</t>
  </si>
  <si>
    <t>Mother-in-law</t>
  </si>
  <si>
    <t>Ruby++</t>
  </si>
  <si>
    <t>Master Blue</t>
  </si>
  <si>
    <t>Karnataka</t>
  </si>
  <si>
    <t>Jade++</t>
  </si>
  <si>
    <t>Kerala</t>
  </si>
  <si>
    <t>Madhya Pradesh</t>
  </si>
  <si>
    <t>Maharashtra</t>
  </si>
  <si>
    <t>Manipur</t>
  </si>
  <si>
    <t>Meghalaya</t>
  </si>
  <si>
    <t>Pluto</t>
  </si>
  <si>
    <t>Mizoram</t>
  </si>
  <si>
    <t>Mercury</t>
  </si>
  <si>
    <t>Nagaland</t>
  </si>
  <si>
    <t>Mars</t>
  </si>
  <si>
    <t>Odisha</t>
  </si>
  <si>
    <t>Venus</t>
  </si>
  <si>
    <t>Punjab</t>
  </si>
  <si>
    <t>Silver</t>
  </si>
  <si>
    <t>Rajasthan</t>
  </si>
  <si>
    <t>Gold</t>
  </si>
  <si>
    <t>Sikkim</t>
  </si>
  <si>
    <t>Diamond</t>
  </si>
  <si>
    <t>Tamil Nadu</t>
  </si>
  <si>
    <t>Platinum</t>
  </si>
  <si>
    <t>Telangana</t>
  </si>
  <si>
    <t>Ruby++Elite</t>
  </si>
  <si>
    <t>Tripura</t>
  </si>
  <si>
    <t>Onyx Ultra+</t>
  </si>
  <si>
    <t>Uttar Pradesh</t>
  </si>
  <si>
    <t>Opal Ultra+</t>
  </si>
  <si>
    <t>Uttarakhand</t>
  </si>
  <si>
    <t>Ruby Ultra+</t>
  </si>
  <si>
    <t>West Bengal</t>
  </si>
  <si>
    <t>Jade Ultra+</t>
  </si>
  <si>
    <t>Andaman and Nicobar Islands</t>
  </si>
  <si>
    <t>Onyx Ultra++</t>
  </si>
  <si>
    <t>Chandigarh</t>
  </si>
  <si>
    <t>Opal Ultra++</t>
  </si>
  <si>
    <t>Dadra &amp; Nagar Haveli and Daman &amp; Diu</t>
  </si>
  <si>
    <t>Ruby Ultra++</t>
  </si>
  <si>
    <t>Delhi</t>
  </si>
  <si>
    <t>Jade Ultra++</t>
  </si>
  <si>
    <t>Jammu and Kashmir</t>
  </si>
  <si>
    <t>Topaz</t>
  </si>
  <si>
    <t>Lakshadweep</t>
  </si>
  <si>
    <t>Puducherry</t>
  </si>
  <si>
    <t>Ladakh</t>
  </si>
  <si>
    <t>Sraban Kumar Pahadasingh</t>
  </si>
  <si>
    <t>Kanhu Charan Pahadasingh</t>
  </si>
  <si>
    <t>infosys - 2182390</t>
  </si>
  <si>
    <t>sraban4897@gmail.com; srabankumar.2182390@infosys.com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</si>
</sst>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m/yyyy"/>
  </numFmts>
  <fonts count="10" x14ac:knownFonts="1">
    <font>
      <sz val="10"/>
      <color theme="1"/>
      <name val="Arial"/>
      <family val="2"/>
    </font>
    <font>
      <sz val="9"/>
      <color indexed="81"/>
      <name val="Tahoma"/>
      <family val="2"/>
    </font>
    <font>
      <b/>
      <sz val="9"/>
      <color indexed="81"/>
      <name val="Tahoma"/>
      <family val="2"/>
    </font>
    <font>
      <u/>
      <sz val="10"/>
      <color theme="10"/>
      <name val="Arial"/>
      <family val="2"/>
    </font>
    <font>
      <sz val="10"/>
      <color theme="1"/>
      <name val="Arial"/>
      <family val="2"/>
    </font>
    <font>
      <b/>
      <sz val="10"/>
      <color theme="0"/>
      <name val="Arial"/>
      <family val="2"/>
    </font>
    <font>
      <b/>
      <sz val="10"/>
      <color theme="1"/>
      <name val="Arial"/>
      <family val="2"/>
    </font>
    <font>
      <b/>
      <sz val="10"/>
      <color rgb="FFFFFFFF"/>
      <name val="Arial"/>
      <family val="2"/>
    </font>
    <font>
      <sz val="10"/>
      <name val="Arial"/>
      <family val="2"/>
    </font>
    <font>
      <sz val="11"/>
      <color rgb="FF000000"/>
      <name val="Arial"/>
      <family val="2"/>
    </font>
  </fonts>
  <fills count="14">
    <fill>
      <patternFill patternType="none"/>
    </fill>
    <fill>
      <patternFill patternType="gray125"/>
    </fill>
    <fill>
      <patternFill patternType="solid">
        <fgColor theme="3"/>
        <bgColor indexed="64"/>
      </patternFill>
    </fill>
    <fill>
      <patternFill patternType="solid">
        <fgColor theme="1"/>
        <bgColor indexed="64"/>
      </patternFill>
    </fill>
    <fill>
      <patternFill patternType="solid">
        <fgColor theme="6" tint="0.79998168889431442"/>
        <bgColor indexed="64"/>
      </patternFill>
    </fill>
    <fill>
      <patternFill patternType="solid">
        <fgColor theme="2" tint="-0.749992370372631"/>
        <bgColor rgb="FF808080"/>
      </patternFill>
    </fill>
    <fill>
      <patternFill patternType="solid">
        <fgColor theme="4"/>
        <bgColor indexed="64"/>
      </patternFill>
    </fill>
    <fill>
      <patternFill patternType="solid">
        <fgColor rgb="FFFFF7F7"/>
        <bgColor indexed="64"/>
      </patternFill>
    </fill>
    <fill>
      <patternFill patternType="solid">
        <fgColor theme="5"/>
        <bgColor indexed="64"/>
      </patternFill>
    </fill>
    <fill>
      <patternFill patternType="solid">
        <fgColor theme="8"/>
        <bgColor indexed="64"/>
      </patternFill>
    </fill>
    <fill>
      <patternFill patternType="solid">
        <fgColor rgb="FFF4F9F1"/>
        <bgColor indexed="64"/>
      </patternFill>
    </fill>
    <fill>
      <patternFill patternType="solid">
        <fgColor rgb="FFFEF8E8"/>
        <bgColor indexed="64"/>
      </patternFill>
    </fill>
    <fill>
      <patternFill patternType="solid">
        <fgColor rgb="FFF0F6FE"/>
        <bgColor indexed="64"/>
      </patternFill>
    </fill>
    <fill>
      <patternFill patternType="solid">
        <fgColor rgb="FFF2F2F2"/>
        <bgColor indexed="64"/>
      </patternFill>
    </fill>
  </fills>
  <borders count="2">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6" fillId="0" borderId="0" xfId="0" applyFont="1"/>
    <xf numFmtId="0" fontId="5" fillId="3" borderId="1" xfId="0" applyFont="1" applyFill="1" applyBorder="1" applyAlignment="1">
      <alignment horizontal="center" vertical="top" wrapText="1"/>
    </xf>
    <xf numFmtId="0" fontId="5" fillId="8" borderId="1" xfId="0" applyFont="1" applyFill="1" applyBorder="1" applyAlignment="1">
      <alignment horizontal="center" vertical="top" wrapText="1"/>
    </xf>
    <xf numFmtId="0" fontId="5" fillId="2" borderId="1" xfId="0" applyFont="1" applyFill="1" applyBorder="1" applyAlignment="1">
      <alignment horizontal="center" vertical="top" wrapText="1"/>
    </xf>
    <xf numFmtId="0" fontId="5" fillId="6" borderId="1" xfId="0" applyFont="1" applyFill="1" applyBorder="1" applyAlignment="1">
      <alignment horizontal="center" vertical="top" wrapText="1"/>
    </xf>
    <xf numFmtId="0" fontId="5" fillId="9" borderId="1" xfId="0" applyFont="1" applyFill="1" applyBorder="1" applyAlignment="1">
      <alignment horizontal="center" vertical="top" wrapText="1"/>
    </xf>
    <xf numFmtId="0" fontId="7" fillId="5" borderId="1" xfId="0" applyFont="1" applyFill="1" applyBorder="1" applyAlignment="1">
      <alignment horizontal="center" vertical="top" wrapText="1"/>
    </xf>
    <xf numFmtId="0" fontId="0" fillId="0" borderId="0" xfId="0" applyAlignment="1">
      <alignment vertical="top"/>
    </xf>
    <xf numFmtId="0" fontId="0" fillId="0" borderId="1" xfId="0" applyBorder="1"/>
    <xf numFmtId="0" fontId="3" fillId="0" borderId="1" xfId="1" applyBorder="1"/>
    <xf numFmtId="0" fontId="0" fillId="7" borderId="1" xfId="0" applyFill="1" applyBorder="1"/>
    <xf numFmtId="0" fontId="0" fillId="10" borderId="1" xfId="0" applyFill="1" applyBorder="1"/>
    <xf numFmtId="0" fontId="0" fillId="11" borderId="1" xfId="0" applyFill="1" applyBorder="1"/>
    <xf numFmtId="164" fontId="0" fillId="0" borderId="1" xfId="0" applyNumberFormat="1" applyBorder="1"/>
    <xf numFmtId="0" fontId="0" fillId="12" borderId="1" xfId="0" applyFill="1" applyBorder="1"/>
    <xf numFmtId="3" fontId="0" fillId="0" borderId="1" xfId="0" applyNumberFormat="1" applyBorder="1"/>
    <xf numFmtId="3" fontId="8" fillId="4" borderId="1" xfId="1" applyNumberFormat="1" applyFont="1" applyFill="1" applyBorder="1" applyProtection="1">
      <protection locked="0"/>
    </xf>
    <xf numFmtId="164" fontId="8" fillId="4" borderId="1" xfId="1" applyNumberFormat="1" applyFont="1" applyFill="1" applyBorder="1" applyProtection="1">
      <protection locked="0"/>
    </xf>
    <xf numFmtId="164" fontId="0" fillId="7" borderId="1" xfId="0" applyNumberFormat="1" applyFill="1" applyBorder="1"/>
    <xf numFmtId="164" fontId="0" fillId="10" borderId="1" xfId="0" applyNumberFormat="1" applyFill="1" applyBorder="1"/>
    <xf numFmtId="164" fontId="0" fillId="11" borderId="1" xfId="0" applyNumberFormat="1" applyFill="1" applyBorder="1"/>
    <xf numFmtId="0" fontId="4" fillId="0" borderId="1" xfId="1" applyFont="1" applyBorder="1"/>
    <xf numFmtId="0" fontId="4" fillId="0" borderId="1" xfId="0" applyFont="1" applyBorder="1"/>
    <xf numFmtId="3" fontId="0" fillId="0" borderId="0" xfId="0" applyNumberFormat="1"/>
    <xf numFmtId="1" fontId="0" fillId="4" borderId="1" xfId="1" applyNumberFormat="1" applyFont="1" applyFill="1" applyBorder="1" applyProtection="1">
      <protection locked="0"/>
    </xf>
    <xf numFmtId="3" fontId="0" fillId="10" borderId="1" xfId="0" applyNumberFormat="1" applyFill="1" applyBorder="1"/>
    <xf numFmtId="3" fontId="5" fillId="8" borderId="1" xfId="0" applyNumberFormat="1" applyFont="1" applyFill="1" applyBorder="1" applyAlignment="1">
      <alignment horizontal="center" vertical="top" wrapText="1"/>
    </xf>
    <xf numFmtId="3" fontId="0" fillId="11" borderId="1" xfId="0" applyNumberFormat="1" applyFill="1" applyBorder="1"/>
    <xf numFmtId="0" fontId="8" fillId="4" borderId="1" xfId="1" applyNumberFormat="1" applyFont="1" applyFill="1" applyBorder="1" applyProtection="1">
      <protection locked="0"/>
    </xf>
    <xf numFmtId="3" fontId="0" fillId="13" borderId="1" xfId="0" applyNumberFormat="1" applyFill="1" applyBorder="1"/>
    <xf numFmtId="0" fontId="0" fillId="13" borderId="1" xfId="0" applyFill="1" applyBorder="1"/>
    <xf numFmtId="0" fontId="9" fillId="0" borderId="0" xfId="0" applyFont="1"/>
    <xf numFmtId="14" fontId="0" fillId="12" borderId="1" xfId="0" applyNumberFormat="1" applyFill="1" applyBorder="1"/>
  </cellXfs>
  <cellStyles count="2">
    <cellStyle name="Hyperlink" xfId="1" builtinId="8"/>
    <cellStyle name="Normal" xfId="0" builtinId="0"/>
  </cellStyles>
  <dxfs count="11">
    <dxf>
      <font>
        <b/>
        <i val="0"/>
        <strike val="0"/>
        <color theme="0"/>
      </font>
      <fill>
        <patternFill>
          <bgColor rgb="FFFF0000"/>
        </patternFill>
      </fill>
    </dxf>
    <dxf>
      <font>
        <b/>
        <i val="0"/>
        <strike val="0"/>
        <color theme="0"/>
      </font>
      <fill>
        <patternFill>
          <bgColor rgb="FFFF0000"/>
        </patternFill>
      </fill>
    </dxf>
    <dxf>
      <font>
        <b/>
        <i val="0"/>
        <strike val="0"/>
        <color theme="0"/>
      </font>
      <fill>
        <patternFill>
          <bgColor rgb="FFFF0000"/>
        </patternFill>
      </fill>
    </dxf>
    <dxf>
      <font>
        <b/>
        <i val="0"/>
        <strike val="0"/>
        <color theme="0"/>
      </font>
      <fill>
        <patternFill>
          <bgColor rgb="FFFF0000"/>
        </patternFill>
      </fill>
    </dxf>
    <dxf>
      <font>
        <b/>
        <i val="0"/>
        <strike val="0"/>
        <color theme="0"/>
      </font>
      <fill>
        <patternFill>
          <bgColor rgb="FFFF0000"/>
        </patternFill>
      </fill>
    </dxf>
    <dxf>
      <font>
        <b/>
        <i val="0"/>
        <strike val="0"/>
        <color theme="0"/>
      </font>
      <fill>
        <patternFill>
          <bgColor rgb="FFFF0000"/>
        </patternFill>
      </fill>
    </dxf>
    <dxf>
      <font>
        <b/>
        <i val="0"/>
        <strike val="0"/>
        <color theme="0"/>
      </font>
      <fill>
        <patternFill>
          <bgColor rgb="FFFF0000"/>
        </patternFill>
      </fill>
    </dxf>
    <dxf>
      <font>
        <b/>
        <i val="0"/>
        <strike val="0"/>
        <color theme="0"/>
      </font>
      <fill>
        <patternFill>
          <bgColor rgb="FFFF0000"/>
        </patternFill>
      </fill>
    </dxf>
    <dxf>
      <font>
        <b/>
        <i val="0"/>
        <strike val="0"/>
        <color theme="0"/>
      </font>
      <fill>
        <patternFill>
          <bgColor rgb="FFFF0000"/>
        </patternFill>
      </fill>
    </dxf>
    <dxf>
      <font>
        <b/>
        <i val="0"/>
        <strike val="0"/>
        <color theme="0"/>
      </font>
      <fill>
        <patternFill>
          <bgColor rgb="FFFF0000"/>
        </patternFill>
      </fill>
    </dxf>
    <dxf>
      <font>
        <b/>
        <i val="0"/>
        <strike val="0"/>
        <color theme="0"/>
      </font>
      <fill>
        <patternFill>
          <bgColor rgb="FFFF0000"/>
        </patternFill>
      </fill>
    </dxf>
  </dxfs>
  <tableStyles count="1" defaultTableStyle="TableStyleMedium2" defaultPivotStyle="PivotStyleLight16">
    <tableStyle name="Invisible" pivot="0" table="0" count="0" xr9:uid="{31A510D6-EAFE-4871-8103-5BF77747040F}"/>
  </tableStyles>
  <colors>
    <mruColors>
      <color rgb="FFF2F2F2"/>
      <color rgb="FFFEF8E8"/>
      <color rgb="FFF0F6FE"/>
      <color rgb="FFF4F9F1"/>
      <color rgb="FFEAF4E4"/>
      <color rgb="FFFFF7F7"/>
      <color rgb="FFE6F1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nsurity_202009">
      <a:dk1>
        <a:srgbClr val="04225B"/>
      </a:dk1>
      <a:lt1>
        <a:sysClr val="window" lastClr="FFFFFF"/>
      </a:lt1>
      <a:dk2>
        <a:srgbClr val="007DFF"/>
      </a:dk2>
      <a:lt2>
        <a:srgbClr val="E7E6E6"/>
      </a:lt2>
      <a:accent1>
        <a:srgbClr val="F66769"/>
      </a:accent1>
      <a:accent2>
        <a:srgbClr val="FCC22E"/>
      </a:accent2>
      <a:accent3>
        <a:srgbClr val="BFBFBF"/>
      </a:accent3>
      <a:accent4>
        <a:srgbClr val="FD9248"/>
      </a:accent4>
      <a:accent5>
        <a:srgbClr val="73BE7B"/>
      </a:accent5>
      <a:accent6>
        <a:srgbClr val="70AD47"/>
      </a:accent6>
      <a:hlink>
        <a:srgbClr val="007DFF"/>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mailto:sraban4897@gmail.com"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60194-F195-4B1C-AFBF-63AC41578FCA}">
  <sheetPr codeName="Sheet1"/>
  <dimension ref="A1:BX1001"/>
  <sheetViews>
    <sheetView tabSelected="1"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ColWidth="0" defaultRowHeight="12.75" customHeight="1" zeroHeight="1" x14ac:dyDescent="0.25"/>
  <cols>
    <col min="1" max="21" width="20.6640625" customWidth="1"/>
    <col min="22" max="76" width="0" hidden="1" customWidth="1"/>
    <col min="77" max="16384" width="8.88671875" hidden="1"/>
  </cols>
  <sheetData>
    <row r="1" spans="1:21" s="8" customFormat="1" ht="56.4" customHeight="1" x14ac:dyDescent="0.25">
      <c r="A1" s="2" t="s">
        <v>0</v>
      </c>
      <c r="B1" s="2" t="s">
        <v>1</v>
      </c>
      <c r="C1" s="2" t="s">
        <v>2</v>
      </c>
      <c r="D1" s="2" t="s">
        <v>3</v>
      </c>
      <c r="E1" s="2" t="s">
        <v>4</v>
      </c>
      <c r="F1" s="2" t="s">
        <v>5</v>
      </c>
      <c r="G1" s="4" t="s">
        <v>6</v>
      </c>
      <c r="H1" s="4" t="s">
        <v>7</v>
      </c>
      <c r="I1" s="7" t="s">
        <v>8</v>
      </c>
      <c r="J1" s="7" t="s">
        <v>9</v>
      </c>
      <c r="K1" s="7" t="s">
        <v>10</v>
      </c>
      <c r="L1" s="7" t="s">
        <v>11</v>
      </c>
      <c r="M1" s="5" t="s">
        <v>12</v>
      </c>
      <c r="N1" s="5" t="s">
        <v>13</v>
      </c>
      <c r="O1" s="5" t="s">
        <v>14</v>
      </c>
      <c r="P1" s="6" t="s">
        <v>15</v>
      </c>
      <c r="Q1" s="6" t="s">
        <v>16</v>
      </c>
      <c r="R1" s="6" t="s">
        <v>17</v>
      </c>
      <c r="S1" s="3" t="s">
        <v>18</v>
      </c>
      <c r="T1" s="3" t="s">
        <v>19</v>
      </c>
      <c r="U1" s="3" t="s">
        <v>20</v>
      </c>
    </row>
    <row r="2" spans="1:21" ht="13.2" x14ac:dyDescent="0.25">
      <c r="A2" s="9" t="s">
        <v>172</v>
      </c>
      <c r="B2" s="9" t="s">
        <v>170</v>
      </c>
      <c r="C2" s="10" t="s">
        <v>173</v>
      </c>
      <c r="D2" s="9">
        <v>9556048009</v>
      </c>
      <c r="E2" s="9" t="s">
        <v>75</v>
      </c>
      <c r="F2" s="14">
        <v>32274</v>
      </c>
      <c r="G2" s="15"/>
      <c r="H2" s="15"/>
      <c r="I2" s="15" t="s">
        <v>171</v>
      </c>
      <c r="J2" s="15" t="s">
        <v>75</v>
      </c>
      <c r="K2" s="33">
        <v>20213</v>
      </c>
      <c r="L2" s="15" t="s">
        <v>94</v>
      </c>
      <c r="M2" s="11"/>
      <c r="N2" s="11"/>
      <c r="O2" s="19"/>
      <c r="P2" s="12"/>
      <c r="Q2" s="12"/>
      <c r="R2" s="20"/>
      <c r="S2" s="13"/>
      <c r="T2" s="13"/>
      <c r="U2" s="21"/>
    </row>
    <row r="3" spans="1:21" ht="13.2" x14ac:dyDescent="0.25">
      <c r="A3" s="9"/>
      <c r="B3" s="9"/>
      <c r="C3" s="10"/>
      <c r="D3" s="9"/>
      <c r="E3" s="9"/>
      <c r="F3" s="14"/>
      <c r="G3" s="15"/>
      <c r="H3" s="15"/>
      <c r="I3" s="15"/>
      <c r="J3" s="15"/>
      <c r="K3" s="15"/>
      <c r="L3" s="15"/>
      <c r="M3" s="11"/>
      <c r="N3" s="11"/>
      <c r="O3" s="19"/>
      <c r="P3" s="12"/>
      <c r="Q3" s="12"/>
      <c r="R3" s="20"/>
      <c r="S3" s="13"/>
      <c r="T3" s="13"/>
      <c r="U3" s="21"/>
    </row>
    <row r="4" spans="1:21" ht="13.2" x14ac:dyDescent="0.25">
      <c r="A4" s="9"/>
      <c r="B4" s="9"/>
      <c r="C4" s="10"/>
      <c r="D4" s="9"/>
      <c r="E4" s="9"/>
      <c r="F4" s="14"/>
      <c r="G4" s="15"/>
      <c r="H4" s="15"/>
      <c r="I4" s="15"/>
      <c r="J4" s="15"/>
      <c r="K4" s="15"/>
      <c r="L4" s="15"/>
      <c r="M4" s="11"/>
      <c r="N4" s="11"/>
      <c r="O4" s="20"/>
      <c r="P4" s="12"/>
      <c r="Q4" s="12"/>
      <c r="R4" s="20"/>
      <c r="S4" s="13"/>
      <c r="T4" s="13"/>
      <c r="U4" s="21"/>
    </row>
    <row r="5" spans="1:21" ht="13.2" x14ac:dyDescent="0.25">
      <c r="A5" s="9"/>
      <c r="B5" s="9"/>
      <c r="C5" s="10"/>
      <c r="D5" s="9"/>
      <c r="E5" s="9"/>
      <c r="F5" s="14"/>
      <c r="G5" s="15"/>
      <c r="H5" s="15"/>
      <c r="I5" s="15"/>
      <c r="J5" s="15"/>
      <c r="K5" s="15"/>
      <c r="L5" s="15"/>
      <c r="M5" s="11"/>
      <c r="N5" s="11"/>
      <c r="O5" s="19"/>
      <c r="P5" s="12"/>
      <c r="Q5" s="12"/>
      <c r="R5" s="20"/>
      <c r="S5" s="13"/>
      <c r="T5" s="13"/>
      <c r="U5" s="21"/>
    </row>
    <row r="6" spans="1:21" ht="13.2" x14ac:dyDescent="0.25">
      <c r="A6" s="9"/>
      <c r="B6" s="9"/>
      <c r="C6" s="9"/>
      <c r="D6" s="9"/>
      <c r="E6" s="9"/>
      <c r="F6" s="14"/>
      <c r="G6" s="15"/>
      <c r="H6" s="15"/>
      <c r="I6" s="15"/>
      <c r="J6" s="15"/>
      <c r="K6" s="15"/>
      <c r="L6" s="15"/>
      <c r="M6" s="11"/>
      <c r="N6" s="11"/>
      <c r="O6" s="19"/>
      <c r="P6" s="12"/>
      <c r="Q6" s="12"/>
      <c r="R6" s="20"/>
      <c r="S6" s="13"/>
      <c r="T6" s="13"/>
      <c r="U6" s="21"/>
    </row>
    <row r="7" spans="1:21" ht="13.2" x14ac:dyDescent="0.25">
      <c r="A7" s="9"/>
      <c r="B7" s="9"/>
      <c r="C7" s="9"/>
      <c r="D7" s="9"/>
      <c r="E7" s="9"/>
      <c r="F7" s="14"/>
      <c r="G7" s="15"/>
      <c r="H7" s="15"/>
      <c r="I7" s="15"/>
      <c r="J7" s="15"/>
      <c r="K7" s="15"/>
      <c r="L7" s="15"/>
      <c r="M7" s="11"/>
      <c r="N7" s="11"/>
      <c r="O7" s="19"/>
      <c r="P7" s="12"/>
      <c r="Q7" s="12"/>
      <c r="R7" s="20"/>
      <c r="S7" s="13"/>
      <c r="T7" s="13"/>
      <c r="U7" s="21"/>
    </row>
    <row r="8" spans="1:21" ht="13.2" x14ac:dyDescent="0.25">
      <c r="A8" s="9"/>
      <c r="B8" s="9"/>
      <c r="C8" s="9"/>
      <c r="D8" s="9"/>
      <c r="E8" s="9"/>
      <c r="F8" s="14"/>
      <c r="G8" s="15"/>
      <c r="H8" s="15"/>
      <c r="I8" s="15"/>
      <c r="J8" s="15"/>
      <c r="K8" s="15"/>
      <c r="L8" s="15"/>
      <c r="M8" s="11"/>
      <c r="N8" s="11"/>
      <c r="O8" s="19"/>
      <c r="P8" s="12"/>
      <c r="Q8" s="12"/>
      <c r="R8" s="20"/>
      <c r="S8" s="13"/>
      <c r="T8" s="13"/>
      <c r="U8" s="21"/>
    </row>
    <row r="9" spans="1:21" ht="13.2" x14ac:dyDescent="0.25">
      <c r="A9" s="9"/>
      <c r="B9" s="9"/>
      <c r="C9" s="9"/>
      <c r="D9" s="9"/>
      <c r="E9" s="9"/>
      <c r="F9" s="14"/>
      <c r="G9" s="15"/>
      <c r="H9" s="15"/>
      <c r="I9" s="15"/>
      <c r="J9" s="15"/>
      <c r="K9" s="15"/>
      <c r="L9" s="15"/>
      <c r="M9" s="11"/>
      <c r="N9" s="11"/>
      <c r="O9" s="19"/>
      <c r="P9" s="12"/>
      <c r="Q9" s="12"/>
      <c r="R9" s="20"/>
      <c r="S9" s="13"/>
      <c r="T9" s="13"/>
      <c r="U9" s="21"/>
    </row>
    <row r="10" spans="1:21" ht="13.2" x14ac:dyDescent="0.25">
      <c r="A10" s="9"/>
      <c r="B10" s="9"/>
      <c r="C10" s="9"/>
      <c r="D10" s="9"/>
      <c r="E10" s="9"/>
      <c r="F10" s="14"/>
      <c r="G10" s="15"/>
      <c r="H10" s="15"/>
      <c r="I10" s="15"/>
      <c r="J10" s="15"/>
      <c r="K10" s="15"/>
      <c r="L10" s="15"/>
      <c r="M10" s="11"/>
      <c r="N10" s="11"/>
      <c r="O10" s="19"/>
      <c r="P10" s="12"/>
      <c r="Q10" s="12"/>
      <c r="R10" s="20"/>
      <c r="S10" s="13"/>
      <c r="T10" s="13"/>
      <c r="U10" s="21"/>
    </row>
    <row r="11" spans="1:21" ht="13.2" x14ac:dyDescent="0.25">
      <c r="A11" s="9"/>
      <c r="B11" s="9"/>
      <c r="C11" s="9"/>
      <c r="D11" s="9"/>
      <c r="E11" s="9"/>
      <c r="F11" s="14"/>
      <c r="G11" s="15"/>
      <c r="H11" s="15"/>
      <c r="I11" s="15"/>
      <c r="J11" s="15"/>
      <c r="K11" s="15"/>
      <c r="L11" s="15"/>
      <c r="M11" s="11"/>
      <c r="N11" s="11"/>
      <c r="O11" s="19"/>
      <c r="P11" s="12"/>
      <c r="Q11" s="12"/>
      <c r="R11" s="20"/>
      <c r="S11" s="13"/>
      <c r="T11" s="13"/>
      <c r="U11" s="21"/>
    </row>
    <row r="12" spans="1:21" ht="13.2" x14ac:dyDescent="0.25">
      <c r="A12" s="9"/>
      <c r="B12" s="9"/>
      <c r="C12" s="9"/>
      <c r="D12" s="9"/>
      <c r="E12" s="9"/>
      <c r="F12" s="14"/>
      <c r="G12" s="15"/>
      <c r="H12" s="15"/>
      <c r="I12" s="15"/>
      <c r="J12" s="15"/>
      <c r="K12" s="15"/>
      <c r="L12" s="15"/>
      <c r="M12" s="11"/>
      <c r="N12" s="11"/>
      <c r="O12" s="19"/>
      <c r="P12" s="12"/>
      <c r="Q12" s="12"/>
      <c r="R12" s="20"/>
      <c r="S12" s="13"/>
      <c r="T12" s="13"/>
      <c r="U12" s="21"/>
    </row>
    <row r="13" spans="1:21" ht="13.2" x14ac:dyDescent="0.25">
      <c r="A13" s="9"/>
      <c r="B13" s="9"/>
      <c r="C13" s="9"/>
      <c r="D13" s="9"/>
      <c r="E13" s="9"/>
      <c r="F13" s="14"/>
      <c r="G13" s="15"/>
      <c r="H13" s="15"/>
      <c r="I13" s="15"/>
      <c r="J13" s="15"/>
      <c r="K13" s="15"/>
      <c r="L13" s="15"/>
      <c r="M13" s="11"/>
      <c r="N13" s="11"/>
      <c r="O13" s="19"/>
      <c r="P13" s="12"/>
      <c r="Q13" s="12"/>
      <c r="R13" s="20"/>
      <c r="S13" s="13"/>
      <c r="T13" s="13"/>
      <c r="U13" s="21"/>
    </row>
    <row r="14" spans="1:21" ht="13.2" x14ac:dyDescent="0.25">
      <c r="A14" s="9"/>
      <c r="B14" s="9"/>
      <c r="C14" s="9"/>
      <c r="D14" s="9"/>
      <c r="E14" s="9"/>
      <c r="F14" s="14"/>
      <c r="G14" s="15"/>
      <c r="H14" s="15"/>
      <c r="I14" s="15"/>
      <c r="J14" s="15"/>
      <c r="K14" s="15"/>
      <c r="L14" s="15"/>
      <c r="M14" s="11"/>
      <c r="N14" s="11"/>
      <c r="O14" s="19"/>
      <c r="P14" s="12"/>
      <c r="Q14" s="12"/>
      <c r="R14" s="20"/>
      <c r="S14" s="13"/>
      <c r="T14" s="13"/>
      <c r="U14" s="21"/>
    </row>
    <row r="15" spans="1:21" ht="13.2" x14ac:dyDescent="0.25">
      <c r="A15" s="9"/>
      <c r="B15" s="9"/>
      <c r="C15" s="9"/>
      <c r="D15" s="9"/>
      <c r="E15" s="9"/>
      <c r="F15" s="14"/>
      <c r="G15" s="15"/>
      <c r="H15" s="15"/>
      <c r="I15" s="15"/>
      <c r="J15" s="15"/>
      <c r="K15" s="15"/>
      <c r="L15" s="15"/>
      <c r="M15" s="11"/>
      <c r="N15" s="11"/>
      <c r="O15" s="19"/>
      <c r="P15" s="12"/>
      <c r="Q15" s="12"/>
      <c r="R15" s="20"/>
      <c r="S15" s="13"/>
      <c r="T15" s="13"/>
      <c r="U15" s="21"/>
    </row>
    <row r="16" spans="1:21" ht="13.2" x14ac:dyDescent="0.25">
      <c r="A16" s="9"/>
      <c r="B16" s="9"/>
      <c r="C16" s="9"/>
      <c r="D16" s="9"/>
      <c r="E16" s="9"/>
      <c r="F16" s="14"/>
      <c r="G16" s="15"/>
      <c r="H16" s="15"/>
      <c r="I16" s="15"/>
      <c r="J16" s="15"/>
      <c r="K16" s="15"/>
      <c r="L16" s="15"/>
      <c r="M16" s="11"/>
      <c r="N16" s="11"/>
      <c r="O16" s="19"/>
      <c r="P16" s="12"/>
      <c r="Q16" s="12"/>
      <c r="R16" s="20"/>
      <c r="S16" s="13"/>
      <c r="T16" s="13"/>
      <c r="U16" s="21"/>
    </row>
    <row r="17" spans="1:21" ht="13.2" x14ac:dyDescent="0.25">
      <c r="A17" s="9"/>
      <c r="B17" s="9"/>
      <c r="C17" s="9"/>
      <c r="D17" s="9"/>
      <c r="E17" s="9"/>
      <c r="F17" s="14"/>
      <c r="G17" s="15"/>
      <c r="H17" s="15"/>
      <c r="I17" s="15"/>
      <c r="J17" s="15"/>
      <c r="K17" s="15"/>
      <c r="L17" s="15"/>
      <c r="M17" s="11"/>
      <c r="N17" s="11"/>
      <c r="O17" s="19"/>
      <c r="P17" s="12"/>
      <c r="Q17" s="12"/>
      <c r="R17" s="20"/>
      <c r="S17" s="13"/>
      <c r="T17" s="13"/>
      <c r="U17" s="21"/>
    </row>
    <row r="18" spans="1:21" ht="13.2" x14ac:dyDescent="0.25">
      <c r="A18" s="9"/>
      <c r="B18" s="9"/>
      <c r="C18" s="9"/>
      <c r="D18" s="9"/>
      <c r="E18" s="9"/>
      <c r="F18" s="14"/>
      <c r="G18" s="15"/>
      <c r="H18" s="15"/>
      <c r="I18" s="15"/>
      <c r="J18" s="15"/>
      <c r="K18" s="15"/>
      <c r="L18" s="15"/>
      <c r="M18" s="11"/>
      <c r="N18" s="11"/>
      <c r="O18" s="19"/>
      <c r="P18" s="12"/>
      <c r="Q18" s="12"/>
      <c r="R18" s="20"/>
      <c r="S18" s="13"/>
      <c r="T18" s="13"/>
      <c r="U18" s="21"/>
    </row>
    <row r="19" spans="1:21" ht="13.2" x14ac:dyDescent="0.25">
      <c r="A19" s="9"/>
      <c r="B19" s="9"/>
      <c r="C19" s="9"/>
      <c r="D19" s="9"/>
      <c r="E19" s="9"/>
      <c r="F19" s="14"/>
      <c r="G19" s="15"/>
      <c r="H19" s="15"/>
      <c r="I19" s="15"/>
      <c r="J19" s="15"/>
      <c r="K19" s="15"/>
      <c r="L19" s="15"/>
      <c r="M19" s="11"/>
      <c r="N19" s="11"/>
      <c r="O19" s="19"/>
      <c r="P19" s="12"/>
      <c r="Q19" s="12"/>
      <c r="R19" s="20"/>
      <c r="S19" s="13"/>
      <c r="T19" s="13"/>
      <c r="U19" s="21"/>
    </row>
    <row r="20" spans="1:21" ht="13.2" x14ac:dyDescent="0.25">
      <c r="A20" s="9"/>
      <c r="B20" s="9"/>
      <c r="C20" s="9"/>
      <c r="D20" s="9"/>
      <c r="E20" s="9"/>
      <c r="F20" s="14"/>
      <c r="G20" s="15"/>
      <c r="H20" s="15"/>
      <c r="I20" s="15"/>
      <c r="J20" s="15"/>
      <c r="K20" s="15"/>
      <c r="L20" s="15"/>
      <c r="M20" s="11"/>
      <c r="N20" s="11"/>
      <c r="O20" s="19"/>
      <c r="P20" s="12"/>
      <c r="Q20" s="12"/>
      <c r="R20" s="20"/>
      <c r="S20" s="13"/>
      <c r="T20" s="13"/>
      <c r="U20" s="21"/>
    </row>
    <row r="21" spans="1:21" ht="13.2" x14ac:dyDescent="0.25">
      <c r="A21" s="9"/>
      <c r="B21" s="9"/>
      <c r="C21" s="9"/>
      <c r="D21" s="9"/>
      <c r="E21" s="9"/>
      <c r="F21" s="14"/>
      <c r="G21" s="15"/>
      <c r="H21" s="15"/>
      <c r="I21" s="15"/>
      <c r="J21" s="15"/>
      <c r="K21" s="15"/>
      <c r="L21" s="15"/>
      <c r="M21" s="11"/>
      <c r="N21" s="11"/>
      <c r="O21" s="19"/>
      <c r="P21" s="12"/>
      <c r="Q21" s="12"/>
      <c r="R21" s="20"/>
      <c r="S21" s="13"/>
      <c r="T21" s="13"/>
      <c r="U21" s="21"/>
    </row>
    <row r="22" spans="1:21" ht="13.2" x14ac:dyDescent="0.25">
      <c r="A22" s="9"/>
      <c r="B22" s="9"/>
      <c r="C22" s="9"/>
      <c r="D22" s="9"/>
      <c r="E22" s="9"/>
      <c r="F22" s="14"/>
      <c r="G22" s="15"/>
      <c r="H22" s="15"/>
      <c r="I22" s="15"/>
      <c r="J22" s="15"/>
      <c r="K22" s="15"/>
      <c r="L22" s="15"/>
      <c r="M22" s="11"/>
      <c r="N22" s="11"/>
      <c r="O22" s="19"/>
      <c r="P22" s="12"/>
      <c r="Q22" s="12"/>
      <c r="R22" s="20"/>
      <c r="S22" s="13"/>
      <c r="T22" s="13"/>
      <c r="U22" s="21"/>
    </row>
    <row r="23" spans="1:21" ht="13.2" x14ac:dyDescent="0.25">
      <c r="A23" s="9"/>
      <c r="B23" s="9"/>
      <c r="C23" s="9"/>
      <c r="D23" s="9"/>
      <c r="E23" s="9"/>
      <c r="F23" s="14"/>
      <c r="G23" s="15"/>
      <c r="H23" s="15"/>
      <c r="I23" s="15"/>
      <c r="J23" s="15"/>
      <c r="K23" s="15"/>
      <c r="L23" s="15"/>
      <c r="M23" s="11"/>
      <c r="N23" s="11"/>
      <c r="O23" s="19"/>
      <c r="P23" s="12"/>
      <c r="Q23" s="12"/>
      <c r="R23" s="20"/>
      <c r="S23" s="13"/>
      <c r="T23" s="13"/>
      <c r="U23" s="21"/>
    </row>
    <row r="24" spans="1:21" ht="13.2" x14ac:dyDescent="0.25">
      <c r="A24" s="9"/>
      <c r="B24" s="9"/>
      <c r="C24" s="9"/>
      <c r="D24" s="9"/>
      <c r="E24" s="9"/>
      <c r="F24" s="14"/>
      <c r="G24" s="15"/>
      <c r="H24" s="15"/>
      <c r="I24" s="15"/>
      <c r="J24" s="15"/>
      <c r="K24" s="15"/>
      <c r="L24" s="15"/>
      <c r="M24" s="11"/>
      <c r="N24" s="11"/>
      <c r="O24" s="19"/>
      <c r="P24" s="12"/>
      <c r="Q24" s="12"/>
      <c r="R24" s="20"/>
      <c r="S24" s="13"/>
      <c r="T24" s="13"/>
      <c r="U24" s="21"/>
    </row>
    <row r="25" spans="1:21" ht="13.2" x14ac:dyDescent="0.25">
      <c r="A25" s="9"/>
      <c r="B25" s="9"/>
      <c r="C25" s="9"/>
      <c r="D25" s="9"/>
      <c r="E25" s="9"/>
      <c r="F25" s="14"/>
      <c r="G25" s="15"/>
      <c r="H25" s="15"/>
      <c r="I25" s="15"/>
      <c r="J25" s="15"/>
      <c r="K25" s="15"/>
      <c r="L25" s="15"/>
      <c r="M25" s="11"/>
      <c r="N25" s="11"/>
      <c r="O25" s="19"/>
      <c r="P25" s="12"/>
      <c r="Q25" s="12"/>
      <c r="R25" s="20"/>
      <c r="S25" s="13"/>
      <c r="T25" s="13"/>
      <c r="U25" s="21"/>
    </row>
    <row r="26" spans="1:21" ht="13.2" x14ac:dyDescent="0.25">
      <c r="A26" s="9"/>
      <c r="B26" s="9"/>
      <c r="C26" s="9"/>
      <c r="D26" s="9"/>
      <c r="E26" s="9"/>
      <c r="F26" s="14"/>
      <c r="G26" s="15"/>
      <c r="H26" s="15"/>
      <c r="I26" s="15"/>
      <c r="J26" s="15"/>
      <c r="K26" s="15"/>
      <c r="L26" s="15"/>
      <c r="M26" s="11"/>
      <c r="N26" s="11"/>
      <c r="O26" s="19"/>
      <c r="P26" s="12"/>
      <c r="Q26" s="12"/>
      <c r="R26" s="20"/>
      <c r="S26" s="13"/>
      <c r="T26" s="13"/>
      <c r="U26" s="21"/>
    </row>
    <row r="27" spans="1:21" ht="13.2" x14ac:dyDescent="0.25">
      <c r="A27" s="9"/>
      <c r="B27" s="9"/>
      <c r="C27" s="9"/>
      <c r="D27" s="9"/>
      <c r="E27" s="9"/>
      <c r="F27" s="14"/>
      <c r="G27" s="15"/>
      <c r="H27" s="15"/>
      <c r="I27" s="15"/>
      <c r="J27" s="15"/>
      <c r="K27" s="15"/>
      <c r="L27" s="15"/>
      <c r="M27" s="11"/>
      <c r="N27" s="11"/>
      <c r="O27" s="19"/>
      <c r="P27" s="12"/>
      <c r="Q27" s="12"/>
      <c r="R27" s="20"/>
      <c r="S27" s="13"/>
      <c r="T27" s="13"/>
      <c r="U27" s="21"/>
    </row>
    <row r="28" spans="1:21" ht="13.2" x14ac:dyDescent="0.25">
      <c r="A28" s="9"/>
      <c r="B28" s="9"/>
      <c r="C28" s="9"/>
      <c r="D28" s="9"/>
      <c r="E28" s="9"/>
      <c r="F28" s="14"/>
      <c r="G28" s="15"/>
      <c r="H28" s="15"/>
      <c r="I28" s="15"/>
      <c r="J28" s="15"/>
      <c r="K28" s="15"/>
      <c r="L28" s="15"/>
      <c r="M28" s="11"/>
      <c r="N28" s="11"/>
      <c r="O28" s="19"/>
      <c r="P28" s="12"/>
      <c r="Q28" s="12"/>
      <c r="R28" s="20"/>
      <c r="S28" s="13"/>
      <c r="T28" s="13"/>
      <c r="U28" s="21"/>
    </row>
    <row r="29" spans="1:21" ht="13.2" x14ac:dyDescent="0.25">
      <c r="A29" s="9"/>
      <c r="B29" s="9"/>
      <c r="C29" s="9"/>
      <c r="D29" s="9"/>
      <c r="E29" s="9"/>
      <c r="F29" s="14"/>
      <c r="G29" s="15"/>
      <c r="H29" s="15"/>
      <c r="I29" s="15"/>
      <c r="J29" s="15"/>
      <c r="K29" s="15"/>
      <c r="L29" s="15"/>
      <c r="M29" s="11"/>
      <c r="N29" s="11"/>
      <c r="O29" s="19"/>
      <c r="P29" s="12"/>
      <c r="Q29" s="12"/>
      <c r="R29" s="20"/>
      <c r="S29" s="13"/>
      <c r="T29" s="13"/>
      <c r="U29" s="21"/>
    </row>
    <row r="30" spans="1:21" ht="13.2" x14ac:dyDescent="0.25">
      <c r="A30" s="9"/>
      <c r="B30" s="9"/>
      <c r="C30" s="9"/>
      <c r="D30" s="9"/>
      <c r="E30" s="9"/>
      <c r="F30" s="14"/>
      <c r="G30" s="15"/>
      <c r="H30" s="15"/>
      <c r="I30" s="15"/>
      <c r="J30" s="15"/>
      <c r="K30" s="15"/>
      <c r="L30" s="15"/>
      <c r="M30" s="11"/>
      <c r="N30" s="11"/>
      <c r="O30" s="19"/>
      <c r="P30" s="12"/>
      <c r="Q30" s="12"/>
      <c r="R30" s="20"/>
      <c r="S30" s="13"/>
      <c r="T30" s="13"/>
      <c r="U30" s="21"/>
    </row>
    <row r="31" spans="1:21" ht="13.2" x14ac:dyDescent="0.25">
      <c r="A31" s="9"/>
      <c r="B31" s="9"/>
      <c r="C31" s="9"/>
      <c r="D31" s="9"/>
      <c r="E31" s="9"/>
      <c r="F31" s="14"/>
      <c r="G31" s="15"/>
      <c r="H31" s="15"/>
      <c r="I31" s="15"/>
      <c r="J31" s="15"/>
      <c r="K31" s="15"/>
      <c r="L31" s="15"/>
      <c r="M31" s="11"/>
      <c r="N31" s="11"/>
      <c r="O31" s="19"/>
      <c r="P31" s="12"/>
      <c r="Q31" s="12"/>
      <c r="R31" s="20"/>
      <c r="S31" s="13"/>
      <c r="T31" s="13"/>
      <c r="U31" s="21"/>
    </row>
    <row r="32" spans="1:21" ht="13.2" x14ac:dyDescent="0.25">
      <c r="A32" s="9"/>
      <c r="B32" s="9"/>
      <c r="C32" s="9"/>
      <c r="D32" s="9"/>
      <c r="E32" s="9"/>
      <c r="F32" s="14"/>
      <c r="G32" s="15"/>
      <c r="H32" s="15"/>
      <c r="I32" s="15"/>
      <c r="J32" s="15"/>
      <c r="K32" s="15"/>
      <c r="L32" s="15"/>
      <c r="M32" s="11"/>
      <c r="N32" s="11"/>
      <c r="O32" s="19"/>
      <c r="P32" s="12"/>
      <c r="Q32" s="12"/>
      <c r="R32" s="20"/>
      <c r="S32" s="13"/>
      <c r="T32" s="13"/>
      <c r="U32" s="21"/>
    </row>
    <row r="33" spans="1:21" ht="13.2" x14ac:dyDescent="0.25">
      <c r="A33" s="9"/>
      <c r="B33" s="9"/>
      <c r="C33" s="9"/>
      <c r="D33" s="9"/>
      <c r="E33" s="9"/>
      <c r="F33" s="14"/>
      <c r="G33" s="15"/>
      <c r="H33" s="15"/>
      <c r="I33" s="15"/>
      <c r="J33" s="15"/>
      <c r="K33" s="15"/>
      <c r="L33" s="15"/>
      <c r="M33" s="11"/>
      <c r="N33" s="11"/>
      <c r="O33" s="19"/>
      <c r="P33" s="12"/>
      <c r="Q33" s="12"/>
      <c r="R33" s="20"/>
      <c r="S33" s="13"/>
      <c r="T33" s="13"/>
      <c r="U33" s="21"/>
    </row>
    <row r="34" spans="1:21" ht="13.2" x14ac:dyDescent="0.25">
      <c r="A34" s="9"/>
      <c r="B34" s="9"/>
      <c r="C34" s="9"/>
      <c r="D34" s="9"/>
      <c r="E34" s="9"/>
      <c r="F34" s="14"/>
      <c r="G34" s="15"/>
      <c r="H34" s="15"/>
      <c r="I34" s="15"/>
      <c r="J34" s="15"/>
      <c r="K34" s="15"/>
      <c r="L34" s="15"/>
      <c r="M34" s="11"/>
      <c r="N34" s="11"/>
      <c r="O34" s="19"/>
      <c r="P34" s="12"/>
      <c r="Q34" s="12"/>
      <c r="R34" s="20"/>
      <c r="S34" s="13"/>
      <c r="T34" s="13"/>
      <c r="U34" s="21"/>
    </row>
    <row r="35" spans="1:21" ht="13.2" x14ac:dyDescent="0.25">
      <c r="A35" s="9"/>
      <c r="B35" s="9"/>
      <c r="C35" s="9"/>
      <c r="D35" s="9"/>
      <c r="E35" s="9"/>
      <c r="F35" s="14"/>
      <c r="G35" s="15"/>
      <c r="H35" s="15"/>
      <c r="I35" s="15"/>
      <c r="J35" s="15"/>
      <c r="K35" s="15"/>
      <c r="L35" s="15"/>
      <c r="M35" s="11"/>
      <c r="N35" s="11"/>
      <c r="O35" s="19"/>
      <c r="P35" s="12"/>
      <c r="Q35" s="12"/>
      <c r="R35" s="20"/>
      <c r="S35" s="13"/>
      <c r="T35" s="13"/>
      <c r="U35" s="21"/>
    </row>
    <row r="36" spans="1:21" ht="13.2" x14ac:dyDescent="0.25">
      <c r="A36" s="9"/>
      <c r="B36" s="9"/>
      <c r="C36" s="9"/>
      <c r="D36" s="9"/>
      <c r="E36" s="9"/>
      <c r="F36" s="14"/>
      <c r="G36" s="15"/>
      <c r="H36" s="15"/>
      <c r="I36" s="15"/>
      <c r="J36" s="15"/>
      <c r="K36" s="15"/>
      <c r="L36" s="15"/>
      <c r="M36" s="11"/>
      <c r="N36" s="11"/>
      <c r="O36" s="19"/>
      <c r="P36" s="12"/>
      <c r="Q36" s="12"/>
      <c r="R36" s="20"/>
      <c r="S36" s="13"/>
      <c r="T36" s="13"/>
      <c r="U36" s="21"/>
    </row>
    <row r="37" spans="1:21" ht="13.2" x14ac:dyDescent="0.25">
      <c r="A37" s="9"/>
      <c r="B37" s="9"/>
      <c r="C37" s="9"/>
      <c r="D37" s="9"/>
      <c r="E37" s="9"/>
      <c r="F37" s="14"/>
      <c r="G37" s="15"/>
      <c r="H37" s="15"/>
      <c r="I37" s="15"/>
      <c r="J37" s="15"/>
      <c r="K37" s="15"/>
      <c r="L37" s="15"/>
      <c r="M37" s="11"/>
      <c r="N37" s="11"/>
      <c r="O37" s="19"/>
      <c r="P37" s="12"/>
      <c r="Q37" s="12"/>
      <c r="R37" s="20"/>
      <c r="S37" s="13"/>
      <c r="T37" s="13"/>
      <c r="U37" s="21"/>
    </row>
    <row r="38" spans="1:21" ht="13.2" x14ac:dyDescent="0.25">
      <c r="A38" s="9"/>
      <c r="B38" s="9"/>
      <c r="C38" s="9"/>
      <c r="D38" s="9"/>
      <c r="E38" s="9"/>
      <c r="F38" s="14"/>
      <c r="G38" s="15"/>
      <c r="H38" s="15"/>
      <c r="I38" s="15"/>
      <c r="J38" s="15"/>
      <c r="K38" s="15"/>
      <c r="L38" s="15"/>
      <c r="M38" s="11"/>
      <c r="N38" s="11"/>
      <c r="O38" s="19"/>
      <c r="P38" s="12"/>
      <c r="Q38" s="12"/>
      <c r="R38" s="20"/>
      <c r="S38" s="13"/>
      <c r="T38" s="13"/>
      <c r="U38" s="21"/>
    </row>
    <row r="39" spans="1:21" ht="13.2" x14ac:dyDescent="0.25">
      <c r="A39" s="9"/>
      <c r="B39" s="9"/>
      <c r="C39" s="9"/>
      <c r="D39" s="9"/>
      <c r="E39" s="9"/>
      <c r="F39" s="14"/>
      <c r="G39" s="15"/>
      <c r="H39" s="15"/>
      <c r="I39" s="15"/>
      <c r="J39" s="15"/>
      <c r="K39" s="15"/>
      <c r="L39" s="15"/>
      <c r="M39" s="11"/>
      <c r="N39" s="11"/>
      <c r="O39" s="19"/>
      <c r="P39" s="12"/>
      <c r="Q39" s="12"/>
      <c r="R39" s="20"/>
      <c r="S39" s="13"/>
      <c r="T39" s="13"/>
      <c r="U39" s="21"/>
    </row>
    <row r="40" spans="1:21" ht="13.2" x14ac:dyDescent="0.25">
      <c r="A40" s="9"/>
      <c r="B40" s="9"/>
      <c r="C40" s="9"/>
      <c r="D40" s="9"/>
      <c r="E40" s="9"/>
      <c r="F40" s="14"/>
      <c r="G40" s="15"/>
      <c r="H40" s="15"/>
      <c r="I40" s="15"/>
      <c r="J40" s="15"/>
      <c r="K40" s="15"/>
      <c r="L40" s="15"/>
      <c r="M40" s="11"/>
      <c r="N40" s="11"/>
      <c r="O40" s="19"/>
      <c r="P40" s="12"/>
      <c r="Q40" s="12"/>
      <c r="R40" s="20"/>
      <c r="S40" s="13"/>
      <c r="T40" s="13"/>
      <c r="U40" s="21"/>
    </row>
    <row r="41" spans="1:21" ht="13.2" x14ac:dyDescent="0.25">
      <c r="A41" s="9"/>
      <c r="B41" s="9"/>
      <c r="C41" s="9"/>
      <c r="D41" s="9"/>
      <c r="E41" s="9"/>
      <c r="F41" s="14"/>
      <c r="G41" s="15"/>
      <c r="H41" s="15"/>
      <c r="I41" s="15"/>
      <c r="J41" s="15"/>
      <c r="K41" s="15"/>
      <c r="L41" s="15"/>
      <c r="M41" s="11"/>
      <c r="N41" s="11"/>
      <c r="O41" s="19"/>
      <c r="P41" s="12"/>
      <c r="Q41" s="12"/>
      <c r="R41" s="20"/>
      <c r="S41" s="13"/>
      <c r="T41" s="13"/>
      <c r="U41" s="21"/>
    </row>
    <row r="42" spans="1:21" ht="13.2" x14ac:dyDescent="0.25">
      <c r="A42" s="9"/>
      <c r="B42" s="9"/>
      <c r="C42" s="9"/>
      <c r="D42" s="9"/>
      <c r="E42" s="9"/>
      <c r="F42" s="14"/>
      <c r="G42" s="15"/>
      <c r="H42" s="15"/>
      <c r="I42" s="15"/>
      <c r="J42" s="15"/>
      <c r="K42" s="15"/>
      <c r="L42" s="15"/>
      <c r="M42" s="11"/>
      <c r="N42" s="11"/>
      <c r="O42" s="19"/>
      <c r="P42" s="12"/>
      <c r="Q42" s="12"/>
      <c r="R42" s="20"/>
      <c r="S42" s="13"/>
      <c r="T42" s="13"/>
      <c r="U42" s="21"/>
    </row>
    <row r="43" spans="1:21" ht="13.2" x14ac:dyDescent="0.25">
      <c r="A43" s="9"/>
      <c r="B43" s="9"/>
      <c r="C43" s="9"/>
      <c r="D43" s="9"/>
      <c r="E43" s="9"/>
      <c r="F43" s="14"/>
      <c r="G43" s="15"/>
      <c r="H43" s="15"/>
      <c r="I43" s="15"/>
      <c r="J43" s="15"/>
      <c r="K43" s="15"/>
      <c r="L43" s="15"/>
      <c r="M43" s="11"/>
      <c r="N43" s="11"/>
      <c r="O43" s="19"/>
      <c r="P43" s="12"/>
      <c r="Q43" s="12"/>
      <c r="R43" s="20"/>
      <c r="S43" s="13"/>
      <c r="T43" s="13"/>
      <c r="U43" s="21"/>
    </row>
    <row r="44" spans="1:21" ht="13.2" x14ac:dyDescent="0.25">
      <c r="A44" s="9"/>
      <c r="B44" s="9"/>
      <c r="C44" s="9"/>
      <c r="D44" s="9"/>
      <c r="E44" s="9"/>
      <c r="F44" s="14"/>
      <c r="G44" s="15"/>
      <c r="H44" s="15"/>
      <c r="I44" s="15"/>
      <c r="J44" s="15"/>
      <c r="K44" s="15"/>
      <c r="L44" s="15"/>
      <c r="M44" s="11"/>
      <c r="N44" s="11"/>
      <c r="O44" s="19"/>
      <c r="P44" s="12"/>
      <c r="Q44" s="12"/>
      <c r="R44" s="20"/>
      <c r="S44" s="13"/>
      <c r="T44" s="13"/>
      <c r="U44" s="21"/>
    </row>
    <row r="45" spans="1:21" ht="13.2" x14ac:dyDescent="0.25">
      <c r="A45" s="9"/>
      <c r="B45" s="9"/>
      <c r="C45" s="9"/>
      <c r="D45" s="9"/>
      <c r="E45" s="9"/>
      <c r="F45" s="14"/>
      <c r="G45" s="15"/>
      <c r="H45" s="15"/>
      <c r="I45" s="15"/>
      <c r="J45" s="15"/>
      <c r="K45" s="15"/>
      <c r="L45" s="15"/>
      <c r="M45" s="11"/>
      <c r="N45" s="11"/>
      <c r="O45" s="19"/>
      <c r="P45" s="12"/>
      <c r="Q45" s="12"/>
      <c r="R45" s="20"/>
      <c r="S45" s="13"/>
      <c r="T45" s="13"/>
      <c r="U45" s="21"/>
    </row>
    <row r="46" spans="1:21" ht="13.2" x14ac:dyDescent="0.25">
      <c r="A46" s="9"/>
      <c r="B46" s="9"/>
      <c r="C46" s="9"/>
      <c r="D46" s="9"/>
      <c r="E46" s="9"/>
      <c r="F46" s="14"/>
      <c r="G46" s="15"/>
      <c r="H46" s="15"/>
      <c r="I46" s="15"/>
      <c r="J46" s="15"/>
      <c r="K46" s="15"/>
      <c r="L46" s="15"/>
      <c r="M46" s="11"/>
      <c r="N46" s="11"/>
      <c r="O46" s="19"/>
      <c r="P46" s="12"/>
      <c r="Q46" s="12"/>
      <c r="R46" s="20"/>
      <c r="S46" s="13"/>
      <c r="T46" s="13"/>
      <c r="U46" s="21"/>
    </row>
    <row r="47" spans="1:21" ht="13.2" x14ac:dyDescent="0.25">
      <c r="A47" s="9"/>
      <c r="B47" s="9"/>
      <c r="C47" s="9"/>
      <c r="D47" s="9"/>
      <c r="E47" s="9"/>
      <c r="F47" s="14"/>
      <c r="G47" s="15"/>
      <c r="H47" s="15"/>
      <c r="I47" s="15"/>
      <c r="J47" s="15"/>
      <c r="K47" s="15"/>
      <c r="L47" s="15"/>
      <c r="M47" s="11"/>
      <c r="N47" s="11"/>
      <c r="O47" s="19"/>
      <c r="P47" s="12"/>
      <c r="Q47" s="12"/>
      <c r="R47" s="20"/>
      <c r="S47" s="13"/>
      <c r="T47" s="13"/>
      <c r="U47" s="21"/>
    </row>
    <row r="48" spans="1:21" ht="13.2" x14ac:dyDescent="0.25">
      <c r="A48" s="9"/>
      <c r="B48" s="9"/>
      <c r="C48" s="9"/>
      <c r="D48" s="9"/>
      <c r="E48" s="9"/>
      <c r="F48" s="14"/>
      <c r="G48" s="15"/>
      <c r="H48" s="15"/>
      <c r="I48" s="15"/>
      <c r="J48" s="15"/>
      <c r="K48" s="15"/>
      <c r="L48" s="15"/>
      <c r="M48" s="11"/>
      <c r="N48" s="11"/>
      <c r="O48" s="19"/>
      <c r="P48" s="12"/>
      <c r="Q48" s="12"/>
      <c r="R48" s="20"/>
      <c r="S48" s="13"/>
      <c r="T48" s="13"/>
      <c r="U48" s="21"/>
    </row>
    <row r="49" spans="1:21" ht="13.2" x14ac:dyDescent="0.25">
      <c r="A49" s="9"/>
      <c r="B49" s="9"/>
      <c r="C49" s="9"/>
      <c r="D49" s="9"/>
      <c r="E49" s="9"/>
      <c r="F49" s="14"/>
      <c r="G49" s="15"/>
      <c r="H49" s="15"/>
      <c r="I49" s="15"/>
      <c r="J49" s="15"/>
      <c r="K49" s="15"/>
      <c r="L49" s="15"/>
      <c r="M49" s="11"/>
      <c r="N49" s="11"/>
      <c r="O49" s="19"/>
      <c r="P49" s="12"/>
      <c r="Q49" s="12"/>
      <c r="R49" s="20"/>
      <c r="S49" s="13"/>
      <c r="T49" s="13"/>
      <c r="U49" s="21"/>
    </row>
    <row r="50" spans="1:21" ht="13.2" x14ac:dyDescent="0.25">
      <c r="A50" s="9"/>
      <c r="B50" s="9"/>
      <c r="C50" s="9"/>
      <c r="D50" s="9"/>
      <c r="E50" s="9"/>
      <c r="F50" s="14"/>
      <c r="G50" s="15"/>
      <c r="H50" s="15"/>
      <c r="I50" s="15"/>
      <c r="J50" s="15"/>
      <c r="K50" s="15"/>
      <c r="L50" s="15"/>
      <c r="M50" s="11"/>
      <c r="N50" s="11"/>
      <c r="O50" s="19"/>
      <c r="P50" s="12"/>
      <c r="Q50" s="12"/>
      <c r="R50" s="20"/>
      <c r="S50" s="13"/>
      <c r="T50" s="13"/>
      <c r="U50" s="21"/>
    </row>
    <row r="51" spans="1:21" ht="13.2" x14ac:dyDescent="0.25">
      <c r="A51" s="9"/>
      <c r="B51" s="9"/>
      <c r="C51" s="9"/>
      <c r="D51" s="9"/>
      <c r="E51" s="9"/>
      <c r="F51" s="14"/>
      <c r="G51" s="15"/>
      <c r="H51" s="15"/>
      <c r="I51" s="15"/>
      <c r="J51" s="15"/>
      <c r="K51" s="15"/>
      <c r="L51" s="15"/>
      <c r="M51" s="11"/>
      <c r="N51" s="11"/>
      <c r="O51" s="19"/>
      <c r="P51" s="12"/>
      <c r="Q51" s="12"/>
      <c r="R51" s="20"/>
      <c r="S51" s="13"/>
      <c r="T51" s="13"/>
      <c r="U51" s="21"/>
    </row>
    <row r="52" spans="1:21" ht="13.2" x14ac:dyDescent="0.25">
      <c r="A52" s="9"/>
      <c r="B52" s="9"/>
      <c r="C52" s="9"/>
      <c r="D52" s="9"/>
      <c r="E52" s="9"/>
      <c r="F52" s="14"/>
      <c r="G52" s="15"/>
      <c r="H52" s="15"/>
      <c r="I52" s="15"/>
      <c r="J52" s="15"/>
      <c r="K52" s="15"/>
      <c r="L52" s="15"/>
      <c r="M52" s="11"/>
      <c r="N52" s="11"/>
      <c r="O52" s="19"/>
      <c r="P52" s="12"/>
      <c r="Q52" s="12"/>
      <c r="R52" s="20"/>
      <c r="S52" s="13"/>
      <c r="T52" s="13"/>
      <c r="U52" s="21"/>
    </row>
    <row r="53" spans="1:21" ht="13.2" x14ac:dyDescent="0.25">
      <c r="A53" s="9"/>
      <c r="B53" s="9"/>
      <c r="C53" s="9"/>
      <c r="D53" s="9"/>
      <c r="E53" s="9"/>
      <c r="F53" s="14"/>
      <c r="G53" s="15"/>
      <c r="H53" s="15"/>
      <c r="I53" s="15"/>
      <c r="J53" s="15"/>
      <c r="K53" s="15"/>
      <c r="L53" s="15"/>
      <c r="M53" s="11"/>
      <c r="N53" s="11"/>
      <c r="O53" s="19"/>
      <c r="P53" s="12"/>
      <c r="Q53" s="12"/>
      <c r="R53" s="20"/>
      <c r="S53" s="13"/>
      <c r="T53" s="13"/>
      <c r="U53" s="21"/>
    </row>
    <row r="54" spans="1:21" ht="13.2" x14ac:dyDescent="0.25">
      <c r="A54" s="9"/>
      <c r="B54" s="9"/>
      <c r="C54" s="9"/>
      <c r="D54" s="9"/>
      <c r="E54" s="9"/>
      <c r="F54" s="14"/>
      <c r="G54" s="15"/>
      <c r="H54" s="15"/>
      <c r="I54" s="15"/>
      <c r="J54" s="15"/>
      <c r="K54" s="15"/>
      <c r="L54" s="15"/>
      <c r="M54" s="11"/>
      <c r="N54" s="11"/>
      <c r="O54" s="19"/>
      <c r="P54" s="12"/>
      <c r="Q54" s="12"/>
      <c r="R54" s="20"/>
      <c r="S54" s="13"/>
      <c r="T54" s="13"/>
      <c r="U54" s="21"/>
    </row>
    <row r="55" spans="1:21" ht="13.2" x14ac:dyDescent="0.25">
      <c r="A55" s="9"/>
      <c r="B55" s="9"/>
      <c r="C55" s="9"/>
      <c r="D55" s="9"/>
      <c r="E55" s="9"/>
      <c r="F55" s="14"/>
      <c r="G55" s="15"/>
      <c r="H55" s="15"/>
      <c r="I55" s="15"/>
      <c r="J55" s="15"/>
      <c r="K55" s="15"/>
      <c r="L55" s="15"/>
      <c r="M55" s="11"/>
      <c r="N55" s="11"/>
      <c r="O55" s="19"/>
      <c r="P55" s="12"/>
      <c r="Q55" s="12"/>
      <c r="R55" s="20"/>
      <c r="S55" s="13"/>
      <c r="T55" s="13"/>
      <c r="U55" s="21"/>
    </row>
    <row r="56" spans="1:21" ht="13.2" x14ac:dyDescent="0.25">
      <c r="A56" s="9"/>
      <c r="B56" s="9"/>
      <c r="C56" s="9"/>
      <c r="D56" s="9"/>
      <c r="E56" s="9"/>
      <c r="F56" s="14"/>
      <c r="G56" s="15"/>
      <c r="H56" s="15"/>
      <c r="I56" s="15"/>
      <c r="J56" s="15"/>
      <c r="K56" s="15"/>
      <c r="L56" s="15"/>
      <c r="M56" s="11"/>
      <c r="N56" s="11"/>
      <c r="O56" s="19"/>
      <c r="P56" s="12"/>
      <c r="Q56" s="12"/>
      <c r="R56" s="20"/>
      <c r="S56" s="13"/>
      <c r="T56" s="13"/>
      <c r="U56" s="21"/>
    </row>
    <row r="57" spans="1:21" ht="13.2" x14ac:dyDescent="0.25">
      <c r="A57" s="9"/>
      <c r="B57" s="9"/>
      <c r="C57" s="9"/>
      <c r="D57" s="9"/>
      <c r="E57" s="9"/>
      <c r="F57" s="14"/>
      <c r="G57" s="15"/>
      <c r="H57" s="15"/>
      <c r="I57" s="15"/>
      <c r="J57" s="15"/>
      <c r="K57" s="15"/>
      <c r="L57" s="15"/>
      <c r="M57" s="11"/>
      <c r="N57" s="11"/>
      <c r="O57" s="19"/>
      <c r="P57" s="12"/>
      <c r="Q57" s="12"/>
      <c r="R57" s="20"/>
      <c r="S57" s="13"/>
      <c r="T57" s="13"/>
      <c r="U57" s="21"/>
    </row>
    <row r="58" spans="1:21" ht="13.2" x14ac:dyDescent="0.25">
      <c r="A58" s="9"/>
      <c r="B58" s="9"/>
      <c r="C58" s="9"/>
      <c r="D58" s="9"/>
      <c r="E58" s="9"/>
      <c r="F58" s="14"/>
      <c r="G58" s="15"/>
      <c r="H58" s="15"/>
      <c r="I58" s="15"/>
      <c r="J58" s="15"/>
      <c r="K58" s="15"/>
      <c r="L58" s="15"/>
      <c r="M58" s="11"/>
      <c r="N58" s="11"/>
      <c r="O58" s="19"/>
      <c r="P58" s="12"/>
      <c r="Q58" s="12"/>
      <c r="R58" s="20"/>
      <c r="S58" s="13"/>
      <c r="T58" s="13"/>
      <c r="U58" s="21"/>
    </row>
    <row r="59" spans="1:21" ht="13.2" x14ac:dyDescent="0.25">
      <c r="A59" s="9"/>
      <c r="B59" s="9"/>
      <c r="C59" s="9"/>
      <c r="D59" s="9"/>
      <c r="E59" s="9"/>
      <c r="F59" s="14"/>
      <c r="G59" s="15"/>
      <c r="H59" s="15"/>
      <c r="I59" s="15"/>
      <c r="J59" s="15"/>
      <c r="K59" s="15"/>
      <c r="L59" s="15"/>
      <c r="M59" s="11"/>
      <c r="N59" s="11"/>
      <c r="O59" s="19"/>
      <c r="P59" s="12"/>
      <c r="Q59" s="12"/>
      <c r="R59" s="20"/>
      <c r="S59" s="13"/>
      <c r="T59" s="13"/>
      <c r="U59" s="21"/>
    </row>
    <row r="60" spans="1:21" ht="13.2" x14ac:dyDescent="0.25">
      <c r="A60" s="9"/>
      <c r="B60" s="9"/>
      <c r="C60" s="9"/>
      <c r="D60" s="9"/>
      <c r="E60" s="9"/>
      <c r="F60" s="14"/>
      <c r="G60" s="15"/>
      <c r="H60" s="15"/>
      <c r="I60" s="15"/>
      <c r="J60" s="15"/>
      <c r="K60" s="15"/>
      <c r="L60" s="15"/>
      <c r="M60" s="11"/>
      <c r="N60" s="11"/>
      <c r="O60" s="19"/>
      <c r="P60" s="12"/>
      <c r="Q60" s="12"/>
      <c r="R60" s="20"/>
      <c r="S60" s="13"/>
      <c r="T60" s="13"/>
      <c r="U60" s="21"/>
    </row>
    <row r="61" spans="1:21" ht="13.2" x14ac:dyDescent="0.25">
      <c r="A61" s="9"/>
      <c r="B61" s="9"/>
      <c r="C61" s="9"/>
      <c r="D61" s="9"/>
      <c r="E61" s="9"/>
      <c r="F61" s="14"/>
      <c r="G61" s="15"/>
      <c r="H61" s="15"/>
      <c r="I61" s="15"/>
      <c r="J61" s="15"/>
      <c r="K61" s="15"/>
      <c r="L61" s="15"/>
      <c r="M61" s="11"/>
      <c r="N61" s="11"/>
      <c r="O61" s="19"/>
      <c r="P61" s="12"/>
      <c r="Q61" s="12"/>
      <c r="R61" s="20"/>
      <c r="S61" s="13"/>
      <c r="T61" s="13"/>
      <c r="U61" s="21"/>
    </row>
    <row r="62" spans="1:21" ht="13.2" x14ac:dyDescent="0.25">
      <c r="A62" s="9"/>
      <c r="B62" s="9"/>
      <c r="C62" s="9"/>
      <c r="D62" s="9"/>
      <c r="E62" s="9"/>
      <c r="F62" s="14"/>
      <c r="G62" s="15"/>
      <c r="H62" s="15"/>
      <c r="I62" s="15"/>
      <c r="J62" s="15"/>
      <c r="K62" s="15"/>
      <c r="L62" s="15"/>
      <c r="M62" s="11"/>
      <c r="N62" s="11"/>
      <c r="O62" s="19"/>
      <c r="P62" s="12"/>
      <c r="Q62" s="12"/>
      <c r="R62" s="20"/>
      <c r="S62" s="13"/>
      <c r="T62" s="13"/>
      <c r="U62" s="21"/>
    </row>
    <row r="63" spans="1:21" ht="13.2" x14ac:dyDescent="0.25">
      <c r="A63" s="9"/>
      <c r="B63" s="9"/>
      <c r="C63" s="9"/>
      <c r="D63" s="9"/>
      <c r="E63" s="9"/>
      <c r="F63" s="14"/>
      <c r="G63" s="15"/>
      <c r="H63" s="15"/>
      <c r="I63" s="15"/>
      <c r="J63" s="15"/>
      <c r="K63" s="15"/>
      <c r="L63" s="15"/>
      <c r="M63" s="11"/>
      <c r="N63" s="11"/>
      <c r="O63" s="19"/>
      <c r="P63" s="12"/>
      <c r="Q63" s="12"/>
      <c r="R63" s="20"/>
      <c r="S63" s="13"/>
      <c r="T63" s="13"/>
      <c r="U63" s="21"/>
    </row>
    <row r="64" spans="1:21" ht="13.2" x14ac:dyDescent="0.25">
      <c r="A64" s="9"/>
      <c r="B64" s="9"/>
      <c r="C64" s="9"/>
      <c r="D64" s="9"/>
      <c r="E64" s="9"/>
      <c r="F64" s="14"/>
      <c r="G64" s="15"/>
      <c r="H64" s="15"/>
      <c r="I64" s="15"/>
      <c r="J64" s="15"/>
      <c r="K64" s="15"/>
      <c r="L64" s="15"/>
      <c r="M64" s="11"/>
      <c r="N64" s="11"/>
      <c r="O64" s="19"/>
      <c r="P64" s="12"/>
      <c r="Q64" s="12"/>
      <c r="R64" s="20"/>
      <c r="S64" s="13"/>
      <c r="T64" s="13"/>
      <c r="U64" s="21"/>
    </row>
    <row r="65" spans="1:21" ht="13.2" x14ac:dyDescent="0.25">
      <c r="A65" s="9"/>
      <c r="B65" s="9"/>
      <c r="C65" s="9"/>
      <c r="D65" s="9"/>
      <c r="E65" s="9"/>
      <c r="F65" s="14"/>
      <c r="G65" s="15"/>
      <c r="H65" s="15"/>
      <c r="I65" s="15"/>
      <c r="J65" s="15"/>
      <c r="K65" s="15"/>
      <c r="L65" s="15"/>
      <c r="M65" s="11"/>
      <c r="N65" s="11"/>
      <c r="O65" s="19"/>
      <c r="P65" s="12"/>
      <c r="Q65" s="12"/>
      <c r="R65" s="20"/>
      <c r="S65" s="13"/>
      <c r="T65" s="13"/>
      <c r="U65" s="21"/>
    </row>
    <row r="66" spans="1:21" ht="13.2" x14ac:dyDescent="0.25">
      <c r="A66" s="9"/>
      <c r="B66" s="9"/>
      <c r="C66" s="9"/>
      <c r="D66" s="9"/>
      <c r="E66" s="9"/>
      <c r="F66" s="14"/>
      <c r="G66" s="15"/>
      <c r="H66" s="15"/>
      <c r="I66" s="15"/>
      <c r="J66" s="15"/>
      <c r="K66" s="15"/>
      <c r="L66" s="15"/>
      <c r="M66" s="11"/>
      <c r="N66" s="11"/>
      <c r="O66" s="19"/>
      <c r="P66" s="12"/>
      <c r="Q66" s="12"/>
      <c r="R66" s="20"/>
      <c r="S66" s="13"/>
      <c r="T66" s="13"/>
      <c r="U66" s="21"/>
    </row>
    <row r="67" spans="1:21" ht="13.2" x14ac:dyDescent="0.25">
      <c r="A67" s="9"/>
      <c r="B67" s="9"/>
      <c r="C67" s="9"/>
      <c r="D67" s="9"/>
      <c r="E67" s="9"/>
      <c r="F67" s="14"/>
      <c r="G67" s="15"/>
      <c r="H67" s="15"/>
      <c r="I67" s="15"/>
      <c r="J67" s="15"/>
      <c r="K67" s="15"/>
      <c r="L67" s="15"/>
      <c r="M67" s="11"/>
      <c r="N67" s="11"/>
      <c r="O67" s="19"/>
      <c r="P67" s="12"/>
      <c r="Q67" s="12"/>
      <c r="R67" s="20"/>
      <c r="S67" s="13"/>
      <c r="T67" s="13"/>
      <c r="U67" s="21"/>
    </row>
    <row r="68" spans="1:21" ht="13.2" x14ac:dyDescent="0.25">
      <c r="A68" s="9"/>
      <c r="B68" s="9"/>
      <c r="C68" s="9"/>
      <c r="D68" s="9"/>
      <c r="E68" s="9"/>
      <c r="F68" s="14"/>
      <c r="G68" s="15"/>
      <c r="H68" s="15"/>
      <c r="I68" s="15"/>
      <c r="J68" s="15"/>
      <c r="K68" s="15"/>
      <c r="L68" s="15"/>
      <c r="M68" s="11"/>
      <c r="N68" s="11"/>
      <c r="O68" s="19"/>
      <c r="P68" s="12"/>
      <c r="Q68" s="12"/>
      <c r="R68" s="20"/>
      <c r="S68" s="13"/>
      <c r="T68" s="13"/>
      <c r="U68" s="21"/>
    </row>
    <row r="69" spans="1:21" ht="13.2" x14ac:dyDescent="0.25">
      <c r="A69" s="9"/>
      <c r="B69" s="9"/>
      <c r="C69" s="9"/>
      <c r="D69" s="9"/>
      <c r="E69" s="9"/>
      <c r="F69" s="14"/>
      <c r="G69" s="15"/>
      <c r="H69" s="15"/>
      <c r="I69" s="15"/>
      <c r="J69" s="15"/>
      <c r="K69" s="15"/>
      <c r="L69" s="15"/>
      <c r="M69" s="11"/>
      <c r="N69" s="11"/>
      <c r="O69" s="19"/>
      <c r="P69" s="12"/>
      <c r="Q69" s="12"/>
      <c r="R69" s="20"/>
      <c r="S69" s="13"/>
      <c r="T69" s="13"/>
      <c r="U69" s="21"/>
    </row>
    <row r="70" spans="1:21" ht="13.2" x14ac:dyDescent="0.25">
      <c r="A70" s="9"/>
      <c r="B70" s="9"/>
      <c r="C70" s="9"/>
      <c r="D70" s="9"/>
      <c r="E70" s="9"/>
      <c r="F70" s="14"/>
      <c r="G70" s="15"/>
      <c r="H70" s="15"/>
      <c r="I70" s="15"/>
      <c r="J70" s="15"/>
      <c r="K70" s="15"/>
      <c r="L70" s="15"/>
      <c r="M70" s="11"/>
      <c r="N70" s="11"/>
      <c r="O70" s="19"/>
      <c r="P70" s="12"/>
      <c r="Q70" s="12"/>
      <c r="R70" s="20"/>
      <c r="S70" s="13"/>
      <c r="T70" s="13"/>
      <c r="U70" s="21"/>
    </row>
    <row r="71" spans="1:21" ht="13.2" x14ac:dyDescent="0.25">
      <c r="A71" s="9"/>
      <c r="B71" s="9"/>
      <c r="C71" s="9"/>
      <c r="D71" s="9"/>
      <c r="E71" s="9"/>
      <c r="F71" s="14"/>
      <c r="G71" s="15"/>
      <c r="H71" s="15"/>
      <c r="I71" s="15"/>
      <c r="J71" s="15"/>
      <c r="K71" s="15"/>
      <c r="L71" s="15"/>
      <c r="M71" s="11"/>
      <c r="N71" s="11"/>
      <c r="O71" s="19"/>
      <c r="P71" s="12"/>
      <c r="Q71" s="12"/>
      <c r="R71" s="20"/>
      <c r="S71" s="13"/>
      <c r="T71" s="13"/>
      <c r="U71" s="21"/>
    </row>
    <row r="72" spans="1:21" ht="13.2" x14ac:dyDescent="0.25">
      <c r="A72" s="9"/>
      <c r="B72" s="9"/>
      <c r="C72" s="9"/>
      <c r="D72" s="9"/>
      <c r="E72" s="9"/>
      <c r="F72" s="14"/>
      <c r="G72" s="15"/>
      <c r="H72" s="15"/>
      <c r="I72" s="15"/>
      <c r="J72" s="15"/>
      <c r="K72" s="15"/>
      <c r="L72" s="15"/>
      <c r="M72" s="11"/>
      <c r="N72" s="11"/>
      <c r="O72" s="19"/>
      <c r="P72" s="12"/>
      <c r="Q72" s="12"/>
      <c r="R72" s="20"/>
      <c r="S72" s="13"/>
      <c r="T72" s="13"/>
      <c r="U72" s="21"/>
    </row>
    <row r="73" spans="1:21" ht="13.2" x14ac:dyDescent="0.25">
      <c r="A73" s="9"/>
      <c r="B73" s="9"/>
      <c r="C73" s="9"/>
      <c r="D73" s="9"/>
      <c r="E73" s="9"/>
      <c r="F73" s="14"/>
      <c r="G73" s="15"/>
      <c r="H73" s="15"/>
      <c r="I73" s="15"/>
      <c r="J73" s="15"/>
      <c r="K73" s="15"/>
      <c r="L73" s="15"/>
      <c r="M73" s="11"/>
      <c r="N73" s="11"/>
      <c r="O73" s="19"/>
      <c r="P73" s="12"/>
      <c r="Q73" s="12"/>
      <c r="R73" s="20"/>
      <c r="S73" s="13"/>
      <c r="T73" s="13"/>
      <c r="U73" s="21"/>
    </row>
    <row r="74" spans="1:21" ht="13.2" x14ac:dyDescent="0.25">
      <c r="A74" s="9"/>
      <c r="B74" s="9"/>
      <c r="C74" s="9"/>
      <c r="D74" s="9"/>
      <c r="E74" s="9"/>
      <c r="F74" s="14"/>
      <c r="G74" s="15"/>
      <c r="H74" s="15"/>
      <c r="I74" s="15"/>
      <c r="J74" s="15"/>
      <c r="K74" s="15"/>
      <c r="L74" s="15"/>
      <c r="M74" s="11"/>
      <c r="N74" s="11"/>
      <c r="O74" s="19"/>
      <c r="P74" s="12"/>
      <c r="Q74" s="12"/>
      <c r="R74" s="20"/>
      <c r="S74" s="13"/>
      <c r="T74" s="13"/>
      <c r="U74" s="21"/>
    </row>
    <row r="75" spans="1:21" ht="13.2" x14ac:dyDescent="0.25">
      <c r="A75" s="9"/>
      <c r="B75" s="9"/>
      <c r="C75" s="9"/>
      <c r="D75" s="9"/>
      <c r="E75" s="9"/>
      <c r="F75" s="14"/>
      <c r="G75" s="15"/>
      <c r="H75" s="15"/>
      <c r="I75" s="15"/>
      <c r="J75" s="15"/>
      <c r="K75" s="15"/>
      <c r="L75" s="15"/>
      <c r="M75" s="11"/>
      <c r="N75" s="11"/>
      <c r="O75" s="19"/>
      <c r="P75" s="12"/>
      <c r="Q75" s="12"/>
      <c r="R75" s="20"/>
      <c r="S75" s="13"/>
      <c r="T75" s="13"/>
      <c r="U75" s="21"/>
    </row>
    <row r="76" spans="1:21" ht="13.2" x14ac:dyDescent="0.25">
      <c r="A76" s="9"/>
      <c r="B76" s="9"/>
      <c r="C76" s="9"/>
      <c r="D76" s="9"/>
      <c r="E76" s="9"/>
      <c r="F76" s="14"/>
      <c r="G76" s="15"/>
      <c r="H76" s="15"/>
      <c r="I76" s="15"/>
      <c r="J76" s="15"/>
      <c r="K76" s="15"/>
      <c r="L76" s="15"/>
      <c r="M76" s="11"/>
      <c r="N76" s="11"/>
      <c r="O76" s="19"/>
      <c r="P76" s="12"/>
      <c r="Q76" s="12"/>
      <c r="R76" s="20"/>
      <c r="S76" s="13"/>
      <c r="T76" s="13"/>
      <c r="U76" s="21"/>
    </row>
    <row r="77" spans="1:21" ht="13.2" x14ac:dyDescent="0.25">
      <c r="A77" s="9"/>
      <c r="B77" s="9"/>
      <c r="C77" s="9"/>
      <c r="D77" s="9"/>
      <c r="E77" s="9"/>
      <c r="F77" s="14"/>
      <c r="G77" s="15"/>
      <c r="H77" s="15"/>
      <c r="I77" s="15"/>
      <c r="J77" s="15"/>
      <c r="K77" s="15"/>
      <c r="L77" s="15"/>
      <c r="M77" s="11"/>
      <c r="N77" s="11"/>
      <c r="O77" s="19"/>
      <c r="P77" s="12"/>
      <c r="Q77" s="12"/>
      <c r="R77" s="20"/>
      <c r="S77" s="13"/>
      <c r="T77" s="13"/>
      <c r="U77" s="21"/>
    </row>
    <row r="78" spans="1:21" ht="13.2" x14ac:dyDescent="0.25">
      <c r="A78" s="9"/>
      <c r="B78" s="9"/>
      <c r="C78" s="9"/>
      <c r="D78" s="9"/>
      <c r="E78" s="9"/>
      <c r="F78" s="14"/>
      <c r="G78" s="15"/>
      <c r="H78" s="15"/>
      <c r="I78" s="15"/>
      <c r="J78" s="15"/>
      <c r="K78" s="15"/>
      <c r="L78" s="15"/>
      <c r="M78" s="11"/>
      <c r="N78" s="11"/>
      <c r="O78" s="19"/>
      <c r="P78" s="12"/>
      <c r="Q78" s="12"/>
      <c r="R78" s="20"/>
      <c r="S78" s="13"/>
      <c r="T78" s="13"/>
      <c r="U78" s="21"/>
    </row>
    <row r="79" spans="1:21" ht="13.2" x14ac:dyDescent="0.25">
      <c r="A79" s="9"/>
      <c r="B79" s="9"/>
      <c r="C79" s="9"/>
      <c r="D79" s="9"/>
      <c r="E79" s="9"/>
      <c r="F79" s="14"/>
      <c r="G79" s="15"/>
      <c r="H79" s="15"/>
      <c r="I79" s="15"/>
      <c r="J79" s="15"/>
      <c r="K79" s="15"/>
      <c r="L79" s="15"/>
      <c r="M79" s="11"/>
      <c r="N79" s="11"/>
      <c r="O79" s="19"/>
      <c r="P79" s="12"/>
      <c r="Q79" s="12"/>
      <c r="R79" s="20"/>
      <c r="S79" s="13"/>
      <c r="T79" s="13"/>
      <c r="U79" s="21"/>
    </row>
    <row r="80" spans="1:21" ht="13.2" x14ac:dyDescent="0.25">
      <c r="A80" s="9"/>
      <c r="B80" s="9"/>
      <c r="C80" s="9"/>
      <c r="D80" s="9"/>
      <c r="E80" s="9"/>
      <c r="F80" s="14"/>
      <c r="G80" s="15"/>
      <c r="H80" s="15"/>
      <c r="I80" s="15"/>
      <c r="J80" s="15"/>
      <c r="K80" s="15"/>
      <c r="L80" s="15"/>
      <c r="M80" s="11"/>
      <c r="N80" s="11"/>
      <c r="O80" s="19"/>
      <c r="P80" s="12"/>
      <c r="Q80" s="12"/>
      <c r="R80" s="20"/>
      <c r="S80" s="13"/>
      <c r="T80" s="13"/>
      <c r="U80" s="21"/>
    </row>
    <row r="81" spans="1:21" ht="13.2" x14ac:dyDescent="0.25">
      <c r="A81" s="9"/>
      <c r="B81" s="9"/>
      <c r="C81" s="9"/>
      <c r="D81" s="9"/>
      <c r="E81" s="9"/>
      <c r="F81" s="14"/>
      <c r="G81" s="15"/>
      <c r="H81" s="15"/>
      <c r="I81" s="15"/>
      <c r="J81" s="15"/>
      <c r="K81" s="15"/>
      <c r="L81" s="15"/>
      <c r="M81" s="11"/>
      <c r="N81" s="11"/>
      <c r="O81" s="19"/>
      <c r="P81" s="12"/>
      <c r="Q81" s="12"/>
      <c r="R81" s="20"/>
      <c r="S81" s="13"/>
      <c r="T81" s="13"/>
      <c r="U81" s="21"/>
    </row>
    <row r="82" spans="1:21" ht="13.2" x14ac:dyDescent="0.25">
      <c r="A82" s="9"/>
      <c r="B82" s="9"/>
      <c r="C82" s="9"/>
      <c r="D82" s="9"/>
      <c r="E82" s="9"/>
      <c r="F82" s="14"/>
      <c r="G82" s="15"/>
      <c r="H82" s="15"/>
      <c r="I82" s="15"/>
      <c r="J82" s="15"/>
      <c r="K82" s="15"/>
      <c r="L82" s="15"/>
      <c r="M82" s="11"/>
      <c r="N82" s="11"/>
      <c r="O82" s="19"/>
      <c r="P82" s="12"/>
      <c r="Q82" s="12"/>
      <c r="R82" s="20"/>
      <c r="S82" s="13"/>
      <c r="T82" s="13"/>
      <c r="U82" s="21"/>
    </row>
    <row r="83" spans="1:21" ht="13.2" x14ac:dyDescent="0.25">
      <c r="A83" s="9"/>
      <c r="B83" s="9"/>
      <c r="C83" s="9"/>
      <c r="D83" s="9"/>
      <c r="E83" s="9"/>
      <c r="F83" s="14"/>
      <c r="G83" s="15"/>
      <c r="H83" s="15"/>
      <c r="I83" s="15"/>
      <c r="J83" s="15"/>
      <c r="K83" s="15"/>
      <c r="L83" s="15"/>
      <c r="M83" s="11"/>
      <c r="N83" s="11"/>
      <c r="O83" s="19"/>
      <c r="P83" s="12"/>
      <c r="Q83" s="12"/>
      <c r="R83" s="20"/>
      <c r="S83" s="13"/>
      <c r="T83" s="13"/>
      <c r="U83" s="21"/>
    </row>
    <row r="84" spans="1:21" ht="13.2" x14ac:dyDescent="0.25">
      <c r="A84" s="9"/>
      <c r="B84" s="9"/>
      <c r="C84" s="9"/>
      <c r="D84" s="9"/>
      <c r="E84" s="9"/>
      <c r="F84" s="14"/>
      <c r="G84" s="15"/>
      <c r="H84" s="15"/>
      <c r="I84" s="15"/>
      <c r="J84" s="15"/>
      <c r="K84" s="15"/>
      <c r="L84" s="15"/>
      <c r="M84" s="11"/>
      <c r="N84" s="11"/>
      <c r="O84" s="19"/>
      <c r="P84" s="12"/>
      <c r="Q84" s="12"/>
      <c r="R84" s="20"/>
      <c r="S84" s="13"/>
      <c r="T84" s="13"/>
      <c r="U84" s="21"/>
    </row>
    <row r="85" spans="1:21" ht="13.2" x14ac:dyDescent="0.25">
      <c r="A85" s="9"/>
      <c r="B85" s="9"/>
      <c r="C85" s="9"/>
      <c r="D85" s="9"/>
      <c r="E85" s="9"/>
      <c r="F85" s="14"/>
      <c r="G85" s="15"/>
      <c r="H85" s="15"/>
      <c r="I85" s="15"/>
      <c r="J85" s="15"/>
      <c r="K85" s="15"/>
      <c r="L85" s="15"/>
      <c r="M85" s="11"/>
      <c r="N85" s="11"/>
      <c r="O85" s="19"/>
      <c r="P85" s="12"/>
      <c r="Q85" s="12"/>
      <c r="R85" s="20"/>
      <c r="S85" s="13"/>
      <c r="T85" s="13"/>
      <c r="U85" s="21"/>
    </row>
    <row r="86" spans="1:21" ht="13.2" x14ac:dyDescent="0.25">
      <c r="A86" s="9"/>
      <c r="B86" s="9"/>
      <c r="C86" s="9"/>
      <c r="D86" s="9"/>
      <c r="E86" s="9"/>
      <c r="F86" s="14"/>
      <c r="G86" s="15"/>
      <c r="H86" s="15"/>
      <c r="I86" s="15"/>
      <c r="J86" s="15"/>
      <c r="K86" s="15"/>
      <c r="L86" s="15"/>
      <c r="M86" s="11"/>
      <c r="N86" s="11"/>
      <c r="O86" s="19"/>
      <c r="P86" s="12"/>
      <c r="Q86" s="12"/>
      <c r="R86" s="20"/>
      <c r="S86" s="13"/>
      <c r="T86" s="13"/>
      <c r="U86" s="21"/>
    </row>
    <row r="87" spans="1:21" ht="13.2" x14ac:dyDescent="0.25">
      <c r="A87" s="9"/>
      <c r="B87" s="9"/>
      <c r="C87" s="9"/>
      <c r="D87" s="9"/>
      <c r="E87" s="9"/>
      <c r="F87" s="14"/>
      <c r="G87" s="15"/>
      <c r="H87" s="15"/>
      <c r="I87" s="15"/>
      <c r="J87" s="15"/>
      <c r="K87" s="15"/>
      <c r="L87" s="15"/>
      <c r="M87" s="11"/>
      <c r="N87" s="11"/>
      <c r="O87" s="19"/>
      <c r="P87" s="12"/>
      <c r="Q87" s="12"/>
      <c r="R87" s="20"/>
      <c r="S87" s="13"/>
      <c r="T87" s="13"/>
      <c r="U87" s="21"/>
    </row>
    <row r="88" spans="1:21" ht="13.2" x14ac:dyDescent="0.25">
      <c r="A88" s="9"/>
      <c r="B88" s="9"/>
      <c r="C88" s="9"/>
      <c r="D88" s="9"/>
      <c r="E88" s="9"/>
      <c r="F88" s="14"/>
      <c r="G88" s="15"/>
      <c r="H88" s="15"/>
      <c r="I88" s="15"/>
      <c r="J88" s="15"/>
      <c r="K88" s="15"/>
      <c r="L88" s="15"/>
      <c r="M88" s="11"/>
      <c r="N88" s="11"/>
      <c r="O88" s="19"/>
      <c r="P88" s="12"/>
      <c r="Q88" s="12"/>
      <c r="R88" s="20"/>
      <c r="S88" s="13"/>
      <c r="T88" s="13"/>
      <c r="U88" s="21"/>
    </row>
    <row r="89" spans="1:21" ht="13.2" x14ac:dyDescent="0.25">
      <c r="A89" s="9"/>
      <c r="B89" s="9"/>
      <c r="C89" s="9"/>
      <c r="D89" s="9"/>
      <c r="E89" s="9"/>
      <c r="F89" s="14"/>
      <c r="G89" s="15"/>
      <c r="H89" s="15"/>
      <c r="I89" s="15"/>
      <c r="J89" s="15"/>
      <c r="K89" s="15"/>
      <c r="L89" s="15"/>
      <c r="M89" s="11"/>
      <c r="N89" s="11"/>
      <c r="O89" s="19"/>
      <c r="P89" s="12"/>
      <c r="Q89" s="12"/>
      <c r="R89" s="20"/>
      <c r="S89" s="13"/>
      <c r="T89" s="13"/>
      <c r="U89" s="21"/>
    </row>
    <row r="90" spans="1:21" ht="13.2" x14ac:dyDescent="0.25">
      <c r="A90" s="9"/>
      <c r="B90" s="9"/>
      <c r="C90" s="9"/>
      <c r="D90" s="9"/>
      <c r="E90" s="9"/>
      <c r="F90" s="14"/>
      <c r="G90" s="15"/>
      <c r="H90" s="15"/>
      <c r="I90" s="15"/>
      <c r="J90" s="15"/>
      <c r="K90" s="15"/>
      <c r="L90" s="15"/>
      <c r="M90" s="11"/>
      <c r="N90" s="11"/>
      <c r="O90" s="19"/>
      <c r="P90" s="12"/>
      <c r="Q90" s="12"/>
      <c r="R90" s="20"/>
      <c r="S90" s="13"/>
      <c r="T90" s="13"/>
      <c r="U90" s="21"/>
    </row>
    <row r="91" spans="1:21" ht="13.2" x14ac:dyDescent="0.25">
      <c r="A91" s="9"/>
      <c r="B91" s="9"/>
      <c r="C91" s="9"/>
      <c r="D91" s="9"/>
      <c r="E91" s="9"/>
      <c r="F91" s="14"/>
      <c r="G91" s="15"/>
      <c r="H91" s="15"/>
      <c r="I91" s="15"/>
      <c r="J91" s="15"/>
      <c r="K91" s="15"/>
      <c r="L91" s="15"/>
      <c r="M91" s="11"/>
      <c r="N91" s="11"/>
      <c r="O91" s="19"/>
      <c r="P91" s="12"/>
      <c r="Q91" s="12"/>
      <c r="R91" s="20"/>
      <c r="S91" s="13"/>
      <c r="T91" s="13"/>
      <c r="U91" s="21"/>
    </row>
    <row r="92" spans="1:21" ht="13.2" x14ac:dyDescent="0.25">
      <c r="A92" s="9"/>
      <c r="B92" s="9"/>
      <c r="C92" s="9"/>
      <c r="D92" s="9"/>
      <c r="E92" s="9"/>
      <c r="F92" s="14"/>
      <c r="G92" s="15"/>
      <c r="H92" s="15"/>
      <c r="I92" s="15"/>
      <c r="J92" s="15"/>
      <c r="K92" s="15"/>
      <c r="L92" s="15"/>
      <c r="M92" s="11"/>
      <c r="N92" s="11"/>
      <c r="O92" s="19"/>
      <c r="P92" s="12"/>
      <c r="Q92" s="12"/>
      <c r="R92" s="20"/>
      <c r="S92" s="13"/>
      <c r="T92" s="13"/>
      <c r="U92" s="21"/>
    </row>
    <row r="93" spans="1:21" ht="13.2" x14ac:dyDescent="0.25">
      <c r="A93" s="9"/>
      <c r="B93" s="9"/>
      <c r="C93" s="9"/>
      <c r="D93" s="9"/>
      <c r="E93" s="9"/>
      <c r="F93" s="14"/>
      <c r="G93" s="15"/>
      <c r="H93" s="15"/>
      <c r="I93" s="15"/>
      <c r="J93" s="15"/>
      <c r="K93" s="15"/>
      <c r="L93" s="15"/>
      <c r="M93" s="11"/>
      <c r="N93" s="11"/>
      <c r="O93" s="19"/>
      <c r="P93" s="12"/>
      <c r="Q93" s="12"/>
      <c r="R93" s="20"/>
      <c r="S93" s="13"/>
      <c r="T93" s="13"/>
      <c r="U93" s="21"/>
    </row>
    <row r="94" spans="1:21" ht="13.2" x14ac:dyDescent="0.25">
      <c r="A94" s="9"/>
      <c r="B94" s="9"/>
      <c r="C94" s="9"/>
      <c r="D94" s="9"/>
      <c r="E94" s="9"/>
      <c r="F94" s="14"/>
      <c r="G94" s="15"/>
      <c r="H94" s="15"/>
      <c r="I94" s="15"/>
      <c r="J94" s="15"/>
      <c r="K94" s="15"/>
      <c r="L94" s="15"/>
      <c r="M94" s="11"/>
      <c r="N94" s="11"/>
      <c r="O94" s="19"/>
      <c r="P94" s="12"/>
      <c r="Q94" s="12"/>
      <c r="R94" s="20"/>
      <c r="S94" s="13"/>
      <c r="T94" s="13"/>
      <c r="U94" s="21"/>
    </row>
    <row r="95" spans="1:21" ht="13.2" x14ac:dyDescent="0.25">
      <c r="A95" s="9"/>
      <c r="B95" s="9"/>
      <c r="C95" s="9"/>
      <c r="D95" s="9"/>
      <c r="E95" s="9"/>
      <c r="F95" s="14"/>
      <c r="G95" s="15"/>
      <c r="H95" s="15"/>
      <c r="I95" s="15"/>
      <c r="J95" s="15"/>
      <c r="K95" s="15"/>
      <c r="L95" s="15"/>
      <c r="M95" s="11"/>
      <c r="N95" s="11"/>
      <c r="O95" s="19"/>
      <c r="P95" s="12"/>
      <c r="Q95" s="12"/>
      <c r="R95" s="20"/>
      <c r="S95" s="13"/>
      <c r="T95" s="13"/>
      <c r="U95" s="21"/>
    </row>
    <row r="96" spans="1:21" ht="13.2" x14ac:dyDescent="0.25">
      <c r="A96" s="9"/>
      <c r="B96" s="9"/>
      <c r="C96" s="9"/>
      <c r="D96" s="9"/>
      <c r="E96" s="9"/>
      <c r="F96" s="14"/>
      <c r="G96" s="15"/>
      <c r="H96" s="15"/>
      <c r="I96" s="15"/>
      <c r="J96" s="15"/>
      <c r="K96" s="15"/>
      <c r="L96" s="15"/>
      <c r="M96" s="11"/>
      <c r="N96" s="11"/>
      <c r="O96" s="19"/>
      <c r="P96" s="12"/>
      <c r="Q96" s="12"/>
      <c r="R96" s="20"/>
      <c r="S96" s="13"/>
      <c r="T96" s="13"/>
      <c r="U96" s="21"/>
    </row>
    <row r="97" spans="1:21" ht="13.2" x14ac:dyDescent="0.25">
      <c r="A97" s="9"/>
      <c r="B97" s="9"/>
      <c r="C97" s="9"/>
      <c r="D97" s="9"/>
      <c r="E97" s="9"/>
      <c r="F97" s="14"/>
      <c r="G97" s="15"/>
      <c r="H97" s="15"/>
      <c r="I97" s="15"/>
      <c r="J97" s="15"/>
      <c r="K97" s="15"/>
      <c r="L97" s="15"/>
      <c r="M97" s="11"/>
      <c r="N97" s="11"/>
      <c r="O97" s="19"/>
      <c r="P97" s="12"/>
      <c r="Q97" s="12"/>
      <c r="R97" s="20"/>
      <c r="S97" s="13"/>
      <c r="T97" s="13"/>
      <c r="U97" s="21"/>
    </row>
    <row r="98" spans="1:21" ht="13.2" x14ac:dyDescent="0.25">
      <c r="A98" s="9"/>
      <c r="B98" s="9"/>
      <c r="C98" s="9"/>
      <c r="D98" s="9"/>
      <c r="E98" s="9"/>
      <c r="F98" s="14"/>
      <c r="G98" s="15"/>
      <c r="H98" s="15"/>
      <c r="I98" s="15"/>
      <c r="J98" s="15"/>
      <c r="K98" s="15"/>
      <c r="L98" s="15"/>
      <c r="M98" s="11"/>
      <c r="N98" s="11"/>
      <c r="O98" s="19"/>
      <c r="P98" s="12"/>
      <c r="Q98" s="12"/>
      <c r="R98" s="20"/>
      <c r="S98" s="13"/>
      <c r="T98" s="13"/>
      <c r="U98" s="21"/>
    </row>
    <row r="99" spans="1:21" ht="13.2" x14ac:dyDescent="0.25">
      <c r="A99" s="9"/>
      <c r="B99" s="9"/>
      <c r="C99" s="9"/>
      <c r="D99" s="9"/>
      <c r="E99" s="9"/>
      <c r="F99" s="14"/>
      <c r="G99" s="15"/>
      <c r="H99" s="15"/>
      <c r="I99" s="15"/>
      <c r="J99" s="15"/>
      <c r="K99" s="15"/>
      <c r="L99" s="15"/>
      <c r="M99" s="11"/>
      <c r="N99" s="11"/>
      <c r="O99" s="19"/>
      <c r="P99" s="12"/>
      <c r="Q99" s="12"/>
      <c r="R99" s="20"/>
      <c r="S99" s="13"/>
      <c r="T99" s="13"/>
      <c r="U99" s="21"/>
    </row>
    <row r="100" spans="1:21" ht="13.2" x14ac:dyDescent="0.25">
      <c r="A100" s="9"/>
      <c r="B100" s="9"/>
      <c r="C100" s="9"/>
      <c r="D100" s="9"/>
      <c r="E100" s="9"/>
      <c r="F100" s="14"/>
      <c r="G100" s="15"/>
      <c r="H100" s="15"/>
      <c r="I100" s="15"/>
      <c r="J100" s="15"/>
      <c r="K100" s="15"/>
      <c r="L100" s="15"/>
      <c r="M100" s="11"/>
      <c r="N100" s="11"/>
      <c r="O100" s="19"/>
      <c r="P100" s="12"/>
      <c r="Q100" s="12"/>
      <c r="R100" s="20"/>
      <c r="S100" s="13"/>
      <c r="T100" s="13"/>
      <c r="U100" s="21"/>
    </row>
    <row r="101" spans="1:21" ht="13.2" x14ac:dyDescent="0.25">
      <c r="A101" s="9"/>
      <c r="B101" s="9"/>
      <c r="C101" s="9"/>
      <c r="D101" s="9"/>
      <c r="E101" s="9"/>
      <c r="F101" s="14"/>
      <c r="G101" s="15"/>
      <c r="H101" s="15"/>
      <c r="I101" s="15"/>
      <c r="J101" s="15"/>
      <c r="K101" s="15"/>
      <c r="L101" s="15"/>
      <c r="M101" s="11"/>
      <c r="N101" s="11"/>
      <c r="O101" s="19"/>
      <c r="P101" s="12"/>
      <c r="Q101" s="12"/>
      <c r="R101" s="20"/>
      <c r="S101" s="13"/>
      <c r="T101" s="13"/>
      <c r="U101" s="21"/>
    </row>
    <row r="102" spans="1:21" ht="13.2" x14ac:dyDescent="0.25">
      <c r="A102" s="9"/>
      <c r="B102" s="9"/>
      <c r="C102" s="9"/>
      <c r="D102" s="9"/>
      <c r="E102" s="9"/>
      <c r="F102" s="14"/>
      <c r="G102" s="15"/>
      <c r="H102" s="15"/>
      <c r="I102" s="15"/>
      <c r="J102" s="15"/>
      <c r="K102" s="15"/>
      <c r="L102" s="15"/>
      <c r="M102" s="11"/>
      <c r="N102" s="11"/>
      <c r="O102" s="19"/>
      <c r="P102" s="12"/>
      <c r="Q102" s="12"/>
      <c r="R102" s="20"/>
      <c r="S102" s="13"/>
      <c r="T102" s="13"/>
      <c r="U102" s="21"/>
    </row>
    <row r="103" spans="1:21" ht="13.2" x14ac:dyDescent="0.25">
      <c r="A103" s="9"/>
      <c r="B103" s="9"/>
      <c r="C103" s="9"/>
      <c r="D103" s="9"/>
      <c r="E103" s="9"/>
      <c r="F103" s="14"/>
      <c r="G103" s="15"/>
      <c r="H103" s="15"/>
      <c r="I103" s="15"/>
      <c r="J103" s="15"/>
      <c r="K103" s="15"/>
      <c r="L103" s="15"/>
      <c r="M103" s="11"/>
      <c r="N103" s="11"/>
      <c r="O103" s="19"/>
      <c r="P103" s="12"/>
      <c r="Q103" s="12"/>
      <c r="R103" s="20"/>
      <c r="S103" s="13"/>
      <c r="T103" s="13"/>
      <c r="U103" s="21"/>
    </row>
    <row r="104" spans="1:21" ht="13.2" x14ac:dyDescent="0.25">
      <c r="A104" s="9"/>
      <c r="B104" s="9"/>
      <c r="C104" s="9"/>
      <c r="D104" s="9"/>
      <c r="E104" s="9"/>
      <c r="F104" s="14"/>
      <c r="G104" s="15"/>
      <c r="H104" s="15"/>
      <c r="I104" s="15"/>
      <c r="J104" s="15"/>
      <c r="K104" s="15"/>
      <c r="L104" s="15"/>
      <c r="M104" s="11"/>
      <c r="N104" s="11"/>
      <c r="O104" s="19"/>
      <c r="P104" s="12"/>
      <c r="Q104" s="12"/>
      <c r="R104" s="20"/>
      <c r="S104" s="13"/>
      <c r="T104" s="13"/>
      <c r="U104" s="21"/>
    </row>
    <row r="105" spans="1:21" ht="13.2" x14ac:dyDescent="0.25">
      <c r="A105" s="9"/>
      <c r="B105" s="9"/>
      <c r="C105" s="9"/>
      <c r="D105" s="9"/>
      <c r="E105" s="9"/>
      <c r="F105" s="14"/>
      <c r="G105" s="15"/>
      <c r="H105" s="15"/>
      <c r="I105" s="15"/>
      <c r="J105" s="15"/>
      <c r="K105" s="15"/>
      <c r="L105" s="15"/>
      <c r="M105" s="11"/>
      <c r="N105" s="11"/>
      <c r="O105" s="19"/>
      <c r="P105" s="12"/>
      <c r="Q105" s="12"/>
      <c r="R105" s="20"/>
      <c r="S105" s="13"/>
      <c r="T105" s="13"/>
      <c r="U105" s="21"/>
    </row>
    <row r="106" spans="1:21" ht="13.2" x14ac:dyDescent="0.25">
      <c r="A106" s="9"/>
      <c r="B106" s="9"/>
      <c r="C106" s="9"/>
      <c r="D106" s="9"/>
      <c r="E106" s="9"/>
      <c r="F106" s="14"/>
      <c r="G106" s="15"/>
      <c r="H106" s="15"/>
      <c r="I106" s="15"/>
      <c r="J106" s="15"/>
      <c r="K106" s="15"/>
      <c r="L106" s="15"/>
      <c r="M106" s="11"/>
      <c r="N106" s="11"/>
      <c r="O106" s="19"/>
      <c r="P106" s="12"/>
      <c r="Q106" s="12"/>
      <c r="R106" s="20"/>
      <c r="S106" s="13"/>
      <c r="T106" s="13"/>
      <c r="U106" s="21"/>
    </row>
    <row r="107" spans="1:21" ht="13.2" x14ac:dyDescent="0.25">
      <c r="A107" s="9"/>
      <c r="B107" s="9"/>
      <c r="C107" s="9"/>
      <c r="D107" s="9"/>
      <c r="E107" s="9"/>
      <c r="F107" s="14"/>
      <c r="G107" s="15"/>
      <c r="H107" s="15"/>
      <c r="I107" s="15"/>
      <c r="J107" s="15"/>
      <c r="K107" s="15"/>
      <c r="L107" s="15"/>
      <c r="M107" s="11"/>
      <c r="N107" s="11"/>
      <c r="O107" s="19"/>
      <c r="P107" s="12"/>
      <c r="Q107" s="12"/>
      <c r="R107" s="20"/>
      <c r="S107" s="13"/>
      <c r="T107" s="13"/>
      <c r="U107" s="21"/>
    </row>
    <row r="108" spans="1:21" ht="13.2" x14ac:dyDescent="0.25">
      <c r="A108" s="9"/>
      <c r="B108" s="9"/>
      <c r="C108" s="9"/>
      <c r="D108" s="9"/>
      <c r="E108" s="9"/>
      <c r="F108" s="14"/>
      <c r="G108" s="15"/>
      <c r="H108" s="15"/>
      <c r="I108" s="15"/>
      <c r="J108" s="15"/>
      <c r="K108" s="15"/>
      <c r="L108" s="15"/>
      <c r="M108" s="11"/>
      <c r="N108" s="11"/>
      <c r="O108" s="19"/>
      <c r="P108" s="12"/>
      <c r="Q108" s="12"/>
      <c r="R108" s="20"/>
      <c r="S108" s="13"/>
      <c r="T108" s="13"/>
      <c r="U108" s="21"/>
    </row>
    <row r="109" spans="1:21" ht="13.2" x14ac:dyDescent="0.25">
      <c r="A109" s="9"/>
      <c r="B109" s="9"/>
      <c r="C109" s="9"/>
      <c r="D109" s="9"/>
      <c r="E109" s="9"/>
      <c r="F109" s="14"/>
      <c r="G109" s="15"/>
      <c r="H109" s="15"/>
      <c r="I109" s="15"/>
      <c r="J109" s="15"/>
      <c r="K109" s="15"/>
      <c r="L109" s="15"/>
      <c r="M109" s="11"/>
      <c r="N109" s="11"/>
      <c r="O109" s="19"/>
      <c r="P109" s="12"/>
      <c r="Q109" s="12"/>
      <c r="R109" s="20"/>
      <c r="S109" s="13"/>
      <c r="T109" s="13"/>
      <c r="U109" s="21"/>
    </row>
    <row r="110" spans="1:21" ht="13.2" x14ac:dyDescent="0.25">
      <c r="A110" s="9"/>
      <c r="B110" s="9"/>
      <c r="C110" s="9"/>
      <c r="D110" s="9"/>
      <c r="E110" s="9"/>
      <c r="F110" s="14"/>
      <c r="G110" s="15"/>
      <c r="H110" s="15"/>
      <c r="I110" s="15"/>
      <c r="J110" s="15"/>
      <c r="K110" s="15"/>
      <c r="L110" s="15"/>
      <c r="M110" s="11"/>
      <c r="N110" s="11"/>
      <c r="O110" s="19"/>
      <c r="P110" s="12"/>
      <c r="Q110" s="12"/>
      <c r="R110" s="20"/>
      <c r="S110" s="13"/>
      <c r="T110" s="13"/>
      <c r="U110" s="21"/>
    </row>
    <row r="111" spans="1:21" ht="13.2" x14ac:dyDescent="0.25">
      <c r="A111" s="9"/>
      <c r="B111" s="9"/>
      <c r="C111" s="9"/>
      <c r="D111" s="9"/>
      <c r="E111" s="9"/>
      <c r="F111" s="14"/>
      <c r="G111" s="15"/>
      <c r="H111" s="15"/>
      <c r="I111" s="15"/>
      <c r="J111" s="15"/>
      <c r="K111" s="15"/>
      <c r="L111" s="15"/>
      <c r="M111" s="11"/>
      <c r="N111" s="11"/>
      <c r="O111" s="19"/>
      <c r="P111" s="12"/>
      <c r="Q111" s="12"/>
      <c r="R111" s="20"/>
      <c r="S111" s="13"/>
      <c r="T111" s="13"/>
      <c r="U111" s="21"/>
    </row>
    <row r="112" spans="1:21" ht="13.2" x14ac:dyDescent="0.25">
      <c r="A112" s="9"/>
      <c r="B112" s="9"/>
      <c r="C112" s="9"/>
      <c r="D112" s="9"/>
      <c r="E112" s="9"/>
      <c r="F112" s="14"/>
      <c r="G112" s="15"/>
      <c r="H112" s="15"/>
      <c r="I112" s="15"/>
      <c r="J112" s="15"/>
      <c r="K112" s="15"/>
      <c r="L112" s="15"/>
      <c r="M112" s="11"/>
      <c r="N112" s="11"/>
      <c r="O112" s="19"/>
      <c r="P112" s="12"/>
      <c r="Q112" s="12"/>
      <c r="R112" s="20"/>
      <c r="S112" s="13"/>
      <c r="T112" s="13"/>
      <c r="U112" s="21"/>
    </row>
    <row r="113" spans="1:21" ht="13.2" x14ac:dyDescent="0.25">
      <c r="A113" s="9"/>
      <c r="B113" s="9"/>
      <c r="C113" s="9"/>
      <c r="D113" s="9"/>
      <c r="E113" s="9"/>
      <c r="F113" s="14"/>
      <c r="G113" s="15"/>
      <c r="H113" s="15"/>
      <c r="I113" s="15"/>
      <c r="J113" s="15"/>
      <c r="K113" s="15"/>
      <c r="L113" s="15"/>
      <c r="M113" s="11"/>
      <c r="N113" s="11"/>
      <c r="O113" s="19"/>
      <c r="P113" s="12"/>
      <c r="Q113" s="12"/>
      <c r="R113" s="20"/>
      <c r="S113" s="13"/>
      <c r="T113" s="13"/>
      <c r="U113" s="21"/>
    </row>
    <row r="114" spans="1:21" ht="13.2" x14ac:dyDescent="0.25">
      <c r="A114" s="9"/>
      <c r="B114" s="9"/>
      <c r="C114" s="9"/>
      <c r="D114" s="9"/>
      <c r="E114" s="9"/>
      <c r="F114" s="14"/>
      <c r="G114" s="15"/>
      <c r="H114" s="15"/>
      <c r="I114" s="15"/>
      <c r="J114" s="15"/>
      <c r="K114" s="15"/>
      <c r="L114" s="15"/>
      <c r="M114" s="11"/>
      <c r="N114" s="11"/>
      <c r="O114" s="19"/>
      <c r="P114" s="12"/>
      <c r="Q114" s="12"/>
      <c r="R114" s="20"/>
      <c r="S114" s="13"/>
      <c r="T114" s="13"/>
      <c r="U114" s="21"/>
    </row>
    <row r="115" spans="1:21" ht="13.2" x14ac:dyDescent="0.25">
      <c r="A115" s="9"/>
      <c r="B115" s="9"/>
      <c r="C115" s="9"/>
      <c r="D115" s="9"/>
      <c r="E115" s="9"/>
      <c r="F115" s="14"/>
      <c r="G115" s="15"/>
      <c r="H115" s="15"/>
      <c r="I115" s="15"/>
      <c r="J115" s="15"/>
      <c r="K115" s="15"/>
      <c r="L115" s="15"/>
      <c r="M115" s="11"/>
      <c r="N115" s="11"/>
      <c r="O115" s="19"/>
      <c r="P115" s="12"/>
      <c r="Q115" s="12"/>
      <c r="R115" s="20"/>
      <c r="S115" s="13"/>
      <c r="T115" s="13"/>
      <c r="U115" s="21"/>
    </row>
    <row r="116" spans="1:21" ht="13.2" x14ac:dyDescent="0.25">
      <c r="A116" s="9"/>
      <c r="B116" s="9"/>
      <c r="C116" s="9"/>
      <c r="D116" s="9"/>
      <c r="E116" s="9"/>
      <c r="F116" s="14"/>
      <c r="G116" s="15"/>
      <c r="H116" s="15"/>
      <c r="I116" s="15"/>
      <c r="J116" s="15"/>
      <c r="K116" s="15"/>
      <c r="L116" s="15"/>
      <c r="M116" s="11"/>
      <c r="N116" s="11"/>
      <c r="O116" s="19"/>
      <c r="P116" s="12"/>
      <c r="Q116" s="12"/>
      <c r="R116" s="20"/>
      <c r="S116" s="13"/>
      <c r="T116" s="13"/>
      <c r="U116" s="21"/>
    </row>
    <row r="117" spans="1:21" ht="13.2" x14ac:dyDescent="0.25">
      <c r="A117" s="9"/>
      <c r="B117" s="9"/>
      <c r="C117" s="9"/>
      <c r="D117" s="9"/>
      <c r="E117" s="9"/>
      <c r="F117" s="14"/>
      <c r="G117" s="15"/>
      <c r="H117" s="15"/>
      <c r="I117" s="15"/>
      <c r="J117" s="15"/>
      <c r="K117" s="15"/>
      <c r="L117" s="15"/>
      <c r="M117" s="11"/>
      <c r="N117" s="11"/>
      <c r="O117" s="19"/>
      <c r="P117" s="12"/>
      <c r="Q117" s="12"/>
      <c r="R117" s="20"/>
      <c r="S117" s="13"/>
      <c r="T117" s="13"/>
      <c r="U117" s="21"/>
    </row>
    <row r="118" spans="1:21" ht="13.2" x14ac:dyDescent="0.25">
      <c r="A118" s="9"/>
      <c r="B118" s="9"/>
      <c r="C118" s="9"/>
      <c r="D118" s="9"/>
      <c r="E118" s="9"/>
      <c r="F118" s="14"/>
      <c r="G118" s="15"/>
      <c r="H118" s="15"/>
      <c r="I118" s="15"/>
      <c r="J118" s="15"/>
      <c r="K118" s="15"/>
      <c r="L118" s="15"/>
      <c r="M118" s="11"/>
      <c r="N118" s="11"/>
      <c r="O118" s="19"/>
      <c r="P118" s="12"/>
      <c r="Q118" s="12"/>
      <c r="R118" s="20"/>
      <c r="S118" s="13"/>
      <c r="T118" s="13"/>
      <c r="U118" s="21"/>
    </row>
    <row r="119" spans="1:21" ht="13.2" x14ac:dyDescent="0.25">
      <c r="A119" s="9"/>
      <c r="B119" s="9"/>
      <c r="C119" s="9"/>
      <c r="D119" s="9"/>
      <c r="E119" s="9"/>
      <c r="F119" s="14"/>
      <c r="G119" s="15"/>
      <c r="H119" s="15"/>
      <c r="I119" s="15"/>
      <c r="J119" s="15"/>
      <c r="K119" s="15"/>
      <c r="L119" s="15"/>
      <c r="M119" s="11"/>
      <c r="N119" s="11"/>
      <c r="O119" s="19"/>
      <c r="P119" s="12"/>
      <c r="Q119" s="12"/>
      <c r="R119" s="20"/>
      <c r="S119" s="13"/>
      <c r="T119" s="13"/>
      <c r="U119" s="21"/>
    </row>
    <row r="120" spans="1:21" ht="13.2" x14ac:dyDescent="0.25">
      <c r="A120" s="9"/>
      <c r="B120" s="9"/>
      <c r="C120" s="9"/>
      <c r="D120" s="9"/>
      <c r="E120" s="9"/>
      <c r="F120" s="14"/>
      <c r="G120" s="15"/>
      <c r="H120" s="15"/>
      <c r="I120" s="15"/>
      <c r="J120" s="15"/>
      <c r="K120" s="15"/>
      <c r="L120" s="15"/>
      <c r="M120" s="11"/>
      <c r="N120" s="11"/>
      <c r="O120" s="19"/>
      <c r="P120" s="12"/>
      <c r="Q120" s="12"/>
      <c r="R120" s="20"/>
      <c r="S120" s="13"/>
      <c r="T120" s="13"/>
      <c r="U120" s="21"/>
    </row>
    <row r="121" spans="1:21" ht="13.2" x14ac:dyDescent="0.25">
      <c r="A121" s="9"/>
      <c r="B121" s="9"/>
      <c r="C121" s="9"/>
      <c r="D121" s="9"/>
      <c r="E121" s="9"/>
      <c r="F121" s="14"/>
      <c r="G121" s="15"/>
      <c r="H121" s="15"/>
      <c r="I121" s="15"/>
      <c r="J121" s="15"/>
      <c r="K121" s="15"/>
      <c r="L121" s="15"/>
      <c r="M121" s="11"/>
      <c r="N121" s="11"/>
      <c r="O121" s="19"/>
      <c r="P121" s="12"/>
      <c r="Q121" s="12"/>
      <c r="R121" s="20"/>
      <c r="S121" s="13"/>
      <c r="T121" s="13"/>
      <c r="U121" s="21"/>
    </row>
    <row r="122" spans="1:21" ht="13.2" x14ac:dyDescent="0.25">
      <c r="A122" s="9"/>
      <c r="B122" s="9"/>
      <c r="C122" s="9"/>
      <c r="D122" s="9"/>
      <c r="E122" s="9"/>
      <c r="F122" s="14"/>
      <c r="G122" s="15"/>
      <c r="H122" s="15"/>
      <c r="I122" s="15"/>
      <c r="J122" s="15"/>
      <c r="K122" s="15"/>
      <c r="L122" s="15"/>
      <c r="M122" s="11"/>
      <c r="N122" s="11"/>
      <c r="O122" s="19"/>
      <c r="P122" s="12"/>
      <c r="Q122" s="12"/>
      <c r="R122" s="20"/>
      <c r="S122" s="13"/>
      <c r="T122" s="13"/>
      <c r="U122" s="21"/>
    </row>
    <row r="123" spans="1:21" ht="13.2" x14ac:dyDescent="0.25">
      <c r="A123" s="9"/>
      <c r="B123" s="9"/>
      <c r="C123" s="9"/>
      <c r="D123" s="9"/>
      <c r="E123" s="9"/>
      <c r="F123" s="14"/>
      <c r="G123" s="15"/>
      <c r="H123" s="15"/>
      <c r="I123" s="15"/>
      <c r="J123" s="15"/>
      <c r="K123" s="15"/>
      <c r="L123" s="15"/>
      <c r="M123" s="11"/>
      <c r="N123" s="11"/>
      <c r="O123" s="19"/>
      <c r="P123" s="12"/>
      <c r="Q123" s="12"/>
      <c r="R123" s="20"/>
      <c r="S123" s="13"/>
      <c r="T123" s="13"/>
      <c r="U123" s="21"/>
    </row>
    <row r="124" spans="1:21" ht="13.2" x14ac:dyDescent="0.25">
      <c r="A124" s="9"/>
      <c r="B124" s="9"/>
      <c r="C124" s="9"/>
      <c r="D124" s="9"/>
      <c r="E124" s="9"/>
      <c r="F124" s="14"/>
      <c r="G124" s="15"/>
      <c r="H124" s="15"/>
      <c r="I124" s="15"/>
      <c r="J124" s="15"/>
      <c r="K124" s="15"/>
      <c r="L124" s="15"/>
      <c r="M124" s="11"/>
      <c r="N124" s="11"/>
      <c r="O124" s="19"/>
      <c r="P124" s="12"/>
      <c r="Q124" s="12"/>
      <c r="R124" s="20"/>
      <c r="S124" s="13"/>
      <c r="T124" s="13"/>
      <c r="U124" s="21"/>
    </row>
    <row r="125" spans="1:21" ht="13.2" x14ac:dyDescent="0.25">
      <c r="A125" s="9"/>
      <c r="B125" s="9"/>
      <c r="C125" s="9"/>
      <c r="D125" s="9"/>
      <c r="E125" s="9"/>
      <c r="F125" s="14"/>
      <c r="G125" s="15"/>
      <c r="H125" s="15"/>
      <c r="I125" s="15"/>
      <c r="J125" s="15"/>
      <c r="K125" s="15"/>
      <c r="L125" s="15"/>
      <c r="M125" s="11"/>
      <c r="N125" s="11"/>
      <c r="O125" s="19"/>
      <c r="P125" s="12"/>
      <c r="Q125" s="12"/>
      <c r="R125" s="20"/>
      <c r="S125" s="13"/>
      <c r="T125" s="13"/>
      <c r="U125" s="21"/>
    </row>
    <row r="126" spans="1:21" ht="13.2" x14ac:dyDescent="0.25">
      <c r="A126" s="9"/>
      <c r="B126" s="9"/>
      <c r="C126" s="9"/>
      <c r="D126" s="9"/>
      <c r="E126" s="9"/>
      <c r="F126" s="14"/>
      <c r="G126" s="15"/>
      <c r="H126" s="15"/>
      <c r="I126" s="15"/>
      <c r="J126" s="15"/>
      <c r="K126" s="15"/>
      <c r="L126" s="15"/>
      <c r="M126" s="11"/>
      <c r="N126" s="11"/>
      <c r="O126" s="19"/>
      <c r="P126" s="12"/>
      <c r="Q126" s="12"/>
      <c r="R126" s="20"/>
      <c r="S126" s="13"/>
      <c r="T126" s="13"/>
      <c r="U126" s="21"/>
    </row>
    <row r="127" spans="1:21" ht="13.2" x14ac:dyDescent="0.25">
      <c r="A127" s="9"/>
      <c r="B127" s="9"/>
      <c r="C127" s="9"/>
      <c r="D127" s="9"/>
      <c r="E127" s="9"/>
      <c r="F127" s="14"/>
      <c r="G127" s="15"/>
      <c r="H127" s="15"/>
      <c r="I127" s="15"/>
      <c r="J127" s="15"/>
      <c r="K127" s="15"/>
      <c r="L127" s="15"/>
      <c r="M127" s="11"/>
      <c r="N127" s="11"/>
      <c r="O127" s="19"/>
      <c r="P127" s="12"/>
      <c r="Q127" s="12"/>
      <c r="R127" s="20"/>
      <c r="S127" s="13"/>
      <c r="T127" s="13"/>
      <c r="U127" s="21"/>
    </row>
    <row r="128" spans="1:21" ht="13.2" x14ac:dyDescent="0.25">
      <c r="A128" s="9"/>
      <c r="B128" s="9"/>
      <c r="C128" s="9"/>
      <c r="D128" s="9"/>
      <c r="E128" s="9"/>
      <c r="F128" s="14"/>
      <c r="G128" s="15"/>
      <c r="H128" s="15"/>
      <c r="I128" s="15"/>
      <c r="J128" s="15"/>
      <c r="K128" s="15"/>
      <c r="L128" s="15"/>
      <c r="M128" s="11"/>
      <c r="N128" s="11"/>
      <c r="O128" s="19"/>
      <c r="P128" s="12"/>
      <c r="Q128" s="12"/>
      <c r="R128" s="20"/>
      <c r="S128" s="13"/>
      <c r="T128" s="13"/>
      <c r="U128" s="21"/>
    </row>
    <row r="129" spans="1:21" ht="13.2" x14ac:dyDescent="0.25">
      <c r="A129" s="9"/>
      <c r="B129" s="9"/>
      <c r="C129" s="9"/>
      <c r="D129" s="9"/>
      <c r="E129" s="9"/>
      <c r="F129" s="14"/>
      <c r="G129" s="15"/>
      <c r="H129" s="15"/>
      <c r="I129" s="15"/>
      <c r="J129" s="15"/>
      <c r="K129" s="15"/>
      <c r="L129" s="15"/>
      <c r="M129" s="11"/>
      <c r="N129" s="11"/>
      <c r="O129" s="19"/>
      <c r="P129" s="12"/>
      <c r="Q129" s="12"/>
      <c r="R129" s="20"/>
      <c r="S129" s="13"/>
      <c r="T129" s="13"/>
      <c r="U129" s="21"/>
    </row>
    <row r="130" spans="1:21" ht="13.2" x14ac:dyDescent="0.25">
      <c r="A130" s="9"/>
      <c r="B130" s="9"/>
      <c r="C130" s="9"/>
      <c r="D130" s="9"/>
      <c r="E130" s="9"/>
      <c r="F130" s="14"/>
      <c r="G130" s="15"/>
      <c r="H130" s="15"/>
      <c r="I130" s="15"/>
      <c r="J130" s="15"/>
      <c r="K130" s="15"/>
      <c r="L130" s="15"/>
      <c r="M130" s="11"/>
      <c r="N130" s="11"/>
      <c r="O130" s="19"/>
      <c r="P130" s="12"/>
      <c r="Q130" s="12"/>
      <c r="R130" s="20"/>
      <c r="S130" s="13"/>
      <c r="T130" s="13"/>
      <c r="U130" s="21"/>
    </row>
    <row r="131" spans="1:21" ht="13.2" x14ac:dyDescent="0.25">
      <c r="A131" s="9"/>
      <c r="B131" s="9"/>
      <c r="C131" s="9"/>
      <c r="D131" s="9"/>
      <c r="E131" s="9"/>
      <c r="F131" s="14"/>
      <c r="G131" s="15"/>
      <c r="H131" s="15"/>
      <c r="I131" s="15"/>
      <c r="J131" s="15"/>
      <c r="K131" s="15"/>
      <c r="L131" s="15"/>
      <c r="M131" s="11"/>
      <c r="N131" s="11"/>
      <c r="O131" s="19"/>
      <c r="P131" s="12"/>
      <c r="Q131" s="12"/>
      <c r="R131" s="20"/>
      <c r="S131" s="13"/>
      <c r="T131" s="13"/>
      <c r="U131" s="21"/>
    </row>
    <row r="132" spans="1:21" ht="13.2" x14ac:dyDescent="0.25">
      <c r="A132" s="9"/>
      <c r="B132" s="9"/>
      <c r="C132" s="9"/>
      <c r="D132" s="9"/>
      <c r="E132" s="9"/>
      <c r="F132" s="14"/>
      <c r="G132" s="15"/>
      <c r="H132" s="15"/>
      <c r="I132" s="15"/>
      <c r="J132" s="15"/>
      <c r="K132" s="15"/>
      <c r="L132" s="15"/>
      <c r="M132" s="11"/>
      <c r="N132" s="11"/>
      <c r="O132" s="19"/>
      <c r="P132" s="12"/>
      <c r="Q132" s="12"/>
      <c r="R132" s="20"/>
      <c r="S132" s="13"/>
      <c r="T132" s="13"/>
      <c r="U132" s="21"/>
    </row>
    <row r="133" spans="1:21" ht="13.2" x14ac:dyDescent="0.25">
      <c r="A133" s="9"/>
      <c r="B133" s="9"/>
      <c r="C133" s="9"/>
      <c r="D133" s="9"/>
      <c r="E133" s="9"/>
      <c r="F133" s="14"/>
      <c r="G133" s="15"/>
      <c r="H133" s="15"/>
      <c r="I133" s="15"/>
      <c r="J133" s="15"/>
      <c r="K133" s="15"/>
      <c r="L133" s="15"/>
      <c r="M133" s="11"/>
      <c r="N133" s="11"/>
      <c r="O133" s="19"/>
      <c r="P133" s="12"/>
      <c r="Q133" s="12"/>
      <c r="R133" s="20"/>
      <c r="S133" s="13"/>
      <c r="T133" s="13"/>
      <c r="U133" s="21"/>
    </row>
    <row r="134" spans="1:21" ht="13.2" x14ac:dyDescent="0.25">
      <c r="A134" s="9"/>
      <c r="B134" s="9"/>
      <c r="C134" s="9"/>
      <c r="D134" s="9"/>
      <c r="E134" s="9"/>
      <c r="F134" s="14"/>
      <c r="G134" s="15"/>
      <c r="H134" s="15"/>
      <c r="I134" s="15"/>
      <c r="J134" s="15"/>
      <c r="K134" s="15"/>
      <c r="L134" s="15"/>
      <c r="M134" s="11"/>
      <c r="N134" s="11"/>
      <c r="O134" s="19"/>
      <c r="P134" s="12"/>
      <c r="Q134" s="12"/>
      <c r="R134" s="20"/>
      <c r="S134" s="13"/>
      <c r="T134" s="13"/>
      <c r="U134" s="21"/>
    </row>
    <row r="135" spans="1:21" ht="13.2" x14ac:dyDescent="0.25">
      <c r="A135" s="9"/>
      <c r="B135" s="9"/>
      <c r="C135" s="9"/>
      <c r="D135" s="9"/>
      <c r="E135" s="9"/>
      <c r="F135" s="14"/>
      <c r="G135" s="15"/>
      <c r="H135" s="15"/>
      <c r="I135" s="15"/>
      <c r="J135" s="15"/>
      <c r="K135" s="15"/>
      <c r="L135" s="15"/>
      <c r="M135" s="11"/>
      <c r="N135" s="11"/>
      <c r="O135" s="19"/>
      <c r="P135" s="12"/>
      <c r="Q135" s="12"/>
      <c r="R135" s="20"/>
      <c r="S135" s="13"/>
      <c r="T135" s="13"/>
      <c r="U135" s="21"/>
    </row>
    <row r="136" spans="1:21" ht="13.2" x14ac:dyDescent="0.25">
      <c r="A136" s="9"/>
      <c r="B136" s="9"/>
      <c r="C136" s="9"/>
      <c r="D136" s="9"/>
      <c r="E136" s="9"/>
      <c r="F136" s="14"/>
      <c r="G136" s="15"/>
      <c r="H136" s="15"/>
      <c r="I136" s="15"/>
      <c r="J136" s="15"/>
      <c r="K136" s="15"/>
      <c r="L136" s="15"/>
      <c r="M136" s="11"/>
      <c r="N136" s="11"/>
      <c r="O136" s="19"/>
      <c r="P136" s="12"/>
      <c r="Q136" s="12"/>
      <c r="R136" s="20"/>
      <c r="S136" s="13"/>
      <c r="T136" s="13"/>
      <c r="U136" s="21"/>
    </row>
    <row r="137" spans="1:21" ht="13.2" x14ac:dyDescent="0.25">
      <c r="A137" s="9"/>
      <c r="B137" s="9"/>
      <c r="C137" s="9"/>
      <c r="D137" s="9"/>
      <c r="E137" s="9"/>
      <c r="F137" s="14"/>
      <c r="G137" s="15"/>
      <c r="H137" s="15"/>
      <c r="I137" s="15"/>
      <c r="J137" s="15"/>
      <c r="K137" s="15"/>
      <c r="L137" s="15"/>
      <c r="M137" s="11"/>
      <c r="N137" s="11"/>
      <c r="O137" s="19"/>
      <c r="P137" s="12"/>
      <c r="Q137" s="12"/>
      <c r="R137" s="20"/>
      <c r="S137" s="13"/>
      <c r="T137" s="13"/>
      <c r="U137" s="21"/>
    </row>
    <row r="138" spans="1:21" ht="13.2" x14ac:dyDescent="0.25">
      <c r="A138" s="9"/>
      <c r="B138" s="9"/>
      <c r="C138" s="9"/>
      <c r="D138" s="9"/>
      <c r="E138" s="9"/>
      <c r="F138" s="14"/>
      <c r="G138" s="15"/>
      <c r="H138" s="15"/>
      <c r="I138" s="15"/>
      <c r="J138" s="15"/>
      <c r="K138" s="15"/>
      <c r="L138" s="15"/>
      <c r="M138" s="11"/>
      <c r="N138" s="11"/>
      <c r="O138" s="19"/>
      <c r="P138" s="12"/>
      <c r="Q138" s="12"/>
      <c r="R138" s="20"/>
      <c r="S138" s="13"/>
      <c r="T138" s="13"/>
      <c r="U138" s="21"/>
    </row>
    <row r="139" spans="1:21" ht="13.2" x14ac:dyDescent="0.25">
      <c r="A139" s="9"/>
      <c r="B139" s="9"/>
      <c r="C139" s="9"/>
      <c r="D139" s="9"/>
      <c r="E139" s="9"/>
      <c r="F139" s="14"/>
      <c r="G139" s="15"/>
      <c r="H139" s="15"/>
      <c r="I139" s="15"/>
      <c r="J139" s="15"/>
      <c r="K139" s="15"/>
      <c r="L139" s="15"/>
      <c r="M139" s="11"/>
      <c r="N139" s="11"/>
      <c r="O139" s="19"/>
      <c r="P139" s="12"/>
      <c r="Q139" s="12"/>
      <c r="R139" s="20"/>
      <c r="S139" s="13"/>
      <c r="T139" s="13"/>
      <c r="U139" s="21"/>
    </row>
    <row r="140" spans="1:21" ht="13.2" x14ac:dyDescent="0.25">
      <c r="A140" s="9"/>
      <c r="B140" s="9"/>
      <c r="C140" s="9"/>
      <c r="D140" s="9"/>
      <c r="E140" s="9"/>
      <c r="F140" s="14"/>
      <c r="G140" s="15"/>
      <c r="H140" s="15"/>
      <c r="I140" s="15"/>
      <c r="J140" s="15"/>
      <c r="K140" s="15"/>
      <c r="L140" s="15"/>
      <c r="M140" s="11"/>
      <c r="N140" s="11"/>
      <c r="O140" s="19"/>
      <c r="P140" s="12"/>
      <c r="Q140" s="12"/>
      <c r="R140" s="20"/>
      <c r="S140" s="13"/>
      <c r="T140" s="13"/>
      <c r="U140" s="21"/>
    </row>
    <row r="141" spans="1:21" ht="13.2" x14ac:dyDescent="0.25">
      <c r="A141" s="9"/>
      <c r="B141" s="9"/>
      <c r="C141" s="9"/>
      <c r="D141" s="9"/>
      <c r="E141" s="9"/>
      <c r="F141" s="14"/>
      <c r="G141" s="15"/>
      <c r="H141" s="15"/>
      <c r="I141" s="15"/>
      <c r="J141" s="15"/>
      <c r="K141" s="15"/>
      <c r="L141" s="15"/>
      <c r="M141" s="11"/>
      <c r="N141" s="11"/>
      <c r="O141" s="19"/>
      <c r="P141" s="12"/>
      <c r="Q141" s="12"/>
      <c r="R141" s="20"/>
      <c r="S141" s="13"/>
      <c r="T141" s="13"/>
      <c r="U141" s="21"/>
    </row>
    <row r="142" spans="1:21" ht="13.2" x14ac:dyDescent="0.25">
      <c r="A142" s="9"/>
      <c r="B142" s="9"/>
      <c r="C142" s="9"/>
      <c r="D142" s="9"/>
      <c r="E142" s="9"/>
      <c r="F142" s="14"/>
      <c r="G142" s="15"/>
      <c r="H142" s="15"/>
      <c r="I142" s="15"/>
      <c r="J142" s="15"/>
      <c r="K142" s="15"/>
      <c r="L142" s="15"/>
      <c r="M142" s="11"/>
      <c r="N142" s="11"/>
      <c r="O142" s="19"/>
      <c r="P142" s="12"/>
      <c r="Q142" s="12"/>
      <c r="R142" s="20"/>
      <c r="S142" s="13"/>
      <c r="T142" s="13"/>
      <c r="U142" s="21"/>
    </row>
    <row r="143" spans="1:21" ht="13.2" x14ac:dyDescent="0.25">
      <c r="A143" s="9"/>
      <c r="B143" s="9"/>
      <c r="C143" s="9"/>
      <c r="D143" s="9"/>
      <c r="E143" s="9"/>
      <c r="F143" s="14"/>
      <c r="G143" s="15"/>
      <c r="H143" s="15"/>
      <c r="I143" s="15"/>
      <c r="J143" s="15"/>
      <c r="K143" s="15"/>
      <c r="L143" s="15"/>
      <c r="M143" s="11"/>
      <c r="N143" s="11"/>
      <c r="O143" s="19"/>
      <c r="P143" s="12"/>
      <c r="Q143" s="12"/>
      <c r="R143" s="20"/>
      <c r="S143" s="13"/>
      <c r="T143" s="13"/>
      <c r="U143" s="21"/>
    </row>
    <row r="144" spans="1:21" ht="13.2" x14ac:dyDescent="0.25">
      <c r="A144" s="9"/>
      <c r="B144" s="9"/>
      <c r="C144" s="9"/>
      <c r="D144" s="9"/>
      <c r="E144" s="9"/>
      <c r="F144" s="14"/>
      <c r="G144" s="15"/>
      <c r="H144" s="15"/>
      <c r="I144" s="15"/>
      <c r="J144" s="15"/>
      <c r="K144" s="15"/>
      <c r="L144" s="15"/>
      <c r="M144" s="11"/>
      <c r="N144" s="11"/>
      <c r="O144" s="19"/>
      <c r="P144" s="12"/>
      <c r="Q144" s="12"/>
      <c r="R144" s="20"/>
      <c r="S144" s="13"/>
      <c r="T144" s="13"/>
      <c r="U144" s="21"/>
    </row>
    <row r="145" spans="1:21" ht="13.2" x14ac:dyDescent="0.25">
      <c r="A145" s="9"/>
      <c r="B145" s="9"/>
      <c r="C145" s="9"/>
      <c r="D145" s="9"/>
      <c r="E145" s="9"/>
      <c r="F145" s="14"/>
      <c r="G145" s="15"/>
      <c r="H145" s="15"/>
      <c r="I145" s="15"/>
      <c r="J145" s="15"/>
      <c r="K145" s="15"/>
      <c r="L145" s="15"/>
      <c r="M145" s="11"/>
      <c r="N145" s="11"/>
      <c r="O145" s="19"/>
      <c r="P145" s="12"/>
      <c r="Q145" s="12"/>
      <c r="R145" s="20"/>
      <c r="S145" s="13"/>
      <c r="T145" s="13"/>
      <c r="U145" s="21"/>
    </row>
    <row r="146" spans="1:21" ht="13.2" x14ac:dyDescent="0.25">
      <c r="A146" s="9"/>
      <c r="B146" s="9"/>
      <c r="C146" s="9"/>
      <c r="D146" s="9"/>
      <c r="E146" s="9"/>
      <c r="F146" s="14"/>
      <c r="G146" s="15"/>
      <c r="H146" s="15"/>
      <c r="I146" s="15"/>
      <c r="J146" s="15"/>
      <c r="K146" s="15"/>
      <c r="L146" s="15"/>
      <c r="M146" s="11"/>
      <c r="N146" s="11"/>
      <c r="O146" s="19"/>
      <c r="P146" s="12"/>
      <c r="Q146" s="12"/>
      <c r="R146" s="20"/>
      <c r="S146" s="13"/>
      <c r="T146" s="13"/>
      <c r="U146" s="21"/>
    </row>
    <row r="147" spans="1:21" ht="13.2" x14ac:dyDescent="0.25">
      <c r="A147" s="9"/>
      <c r="B147" s="9"/>
      <c r="C147" s="9"/>
      <c r="D147" s="9"/>
      <c r="E147" s="9"/>
      <c r="F147" s="14"/>
      <c r="G147" s="15"/>
      <c r="H147" s="15"/>
      <c r="I147" s="15"/>
      <c r="J147" s="15"/>
      <c r="K147" s="15"/>
      <c r="L147" s="15"/>
      <c r="M147" s="11"/>
      <c r="N147" s="11"/>
      <c r="O147" s="19"/>
      <c r="P147" s="12"/>
      <c r="Q147" s="12"/>
      <c r="R147" s="20"/>
      <c r="S147" s="13"/>
      <c r="T147" s="13"/>
      <c r="U147" s="21"/>
    </row>
    <row r="148" spans="1:21" ht="13.2" x14ac:dyDescent="0.25">
      <c r="A148" s="9"/>
      <c r="B148" s="9"/>
      <c r="C148" s="9"/>
      <c r="D148" s="9"/>
      <c r="E148" s="9"/>
      <c r="F148" s="14"/>
      <c r="G148" s="15"/>
      <c r="H148" s="15"/>
      <c r="I148" s="15"/>
      <c r="J148" s="15"/>
      <c r="K148" s="15"/>
      <c r="L148" s="15"/>
      <c r="M148" s="11"/>
      <c r="N148" s="11"/>
      <c r="O148" s="19"/>
      <c r="P148" s="12"/>
      <c r="Q148" s="12"/>
      <c r="R148" s="20"/>
      <c r="S148" s="13"/>
      <c r="T148" s="13"/>
      <c r="U148" s="21"/>
    </row>
    <row r="149" spans="1:21" ht="13.2" x14ac:dyDescent="0.25">
      <c r="A149" s="9"/>
      <c r="B149" s="9"/>
      <c r="C149" s="9"/>
      <c r="D149" s="9"/>
      <c r="E149" s="9"/>
      <c r="F149" s="14"/>
      <c r="G149" s="15"/>
      <c r="H149" s="15"/>
      <c r="I149" s="15"/>
      <c r="J149" s="15"/>
      <c r="K149" s="15"/>
      <c r="L149" s="15"/>
      <c r="M149" s="11"/>
      <c r="N149" s="11"/>
      <c r="O149" s="19"/>
      <c r="P149" s="12"/>
      <c r="Q149" s="12"/>
      <c r="R149" s="20"/>
      <c r="S149" s="13"/>
      <c r="T149" s="13"/>
      <c r="U149" s="21"/>
    </row>
    <row r="150" spans="1:21" ht="13.2" x14ac:dyDescent="0.25">
      <c r="A150" s="9"/>
      <c r="B150" s="9"/>
      <c r="C150" s="9"/>
      <c r="D150" s="9"/>
      <c r="E150" s="9"/>
      <c r="F150" s="14"/>
      <c r="G150" s="15"/>
      <c r="H150" s="15"/>
      <c r="I150" s="15"/>
      <c r="J150" s="15"/>
      <c r="K150" s="15"/>
      <c r="L150" s="15"/>
      <c r="M150" s="11"/>
      <c r="N150" s="11"/>
      <c r="O150" s="19"/>
      <c r="P150" s="12"/>
      <c r="Q150" s="12"/>
      <c r="R150" s="20"/>
      <c r="S150" s="13"/>
      <c r="T150" s="13"/>
      <c r="U150" s="21"/>
    </row>
    <row r="151" spans="1:21" ht="13.2" x14ac:dyDescent="0.25">
      <c r="A151" s="9"/>
      <c r="B151" s="9"/>
      <c r="C151" s="9"/>
      <c r="D151" s="9"/>
      <c r="E151" s="9"/>
      <c r="F151" s="14"/>
      <c r="G151" s="15"/>
      <c r="H151" s="15"/>
      <c r="I151" s="15"/>
      <c r="J151" s="15"/>
      <c r="K151" s="15"/>
      <c r="L151" s="15"/>
      <c r="M151" s="11"/>
      <c r="N151" s="11"/>
      <c r="O151" s="19"/>
      <c r="P151" s="12"/>
      <c r="Q151" s="12"/>
      <c r="R151" s="20"/>
      <c r="S151" s="13"/>
      <c r="T151" s="13"/>
      <c r="U151" s="21"/>
    </row>
    <row r="152" spans="1:21" ht="13.2" x14ac:dyDescent="0.25">
      <c r="A152" s="9"/>
      <c r="B152" s="9"/>
      <c r="C152" s="9"/>
      <c r="D152" s="9"/>
      <c r="E152" s="9"/>
      <c r="F152" s="14"/>
      <c r="G152" s="15"/>
      <c r="H152" s="15"/>
      <c r="I152" s="15"/>
      <c r="J152" s="15"/>
      <c r="K152" s="15"/>
      <c r="L152" s="15"/>
      <c r="M152" s="11"/>
      <c r="N152" s="11"/>
      <c r="O152" s="19"/>
      <c r="P152" s="12"/>
      <c r="Q152" s="12"/>
      <c r="R152" s="20"/>
      <c r="S152" s="13"/>
      <c r="T152" s="13"/>
      <c r="U152" s="21"/>
    </row>
    <row r="153" spans="1:21" ht="13.2" x14ac:dyDescent="0.25">
      <c r="A153" s="9"/>
      <c r="B153" s="9"/>
      <c r="C153" s="9"/>
      <c r="D153" s="9"/>
      <c r="E153" s="9"/>
      <c r="F153" s="14"/>
      <c r="G153" s="15"/>
      <c r="H153" s="15"/>
      <c r="I153" s="15"/>
      <c r="J153" s="15"/>
      <c r="K153" s="15"/>
      <c r="L153" s="15"/>
      <c r="M153" s="11"/>
      <c r="N153" s="11"/>
      <c r="O153" s="19"/>
      <c r="P153" s="12"/>
      <c r="Q153" s="12"/>
      <c r="R153" s="20"/>
      <c r="S153" s="13"/>
      <c r="T153" s="13"/>
      <c r="U153" s="21"/>
    </row>
    <row r="154" spans="1:21" ht="13.2" x14ac:dyDescent="0.25">
      <c r="A154" s="9"/>
      <c r="B154" s="9"/>
      <c r="C154" s="9"/>
      <c r="D154" s="9"/>
      <c r="E154" s="9"/>
      <c r="F154" s="14"/>
      <c r="G154" s="15"/>
      <c r="H154" s="15"/>
      <c r="I154" s="15"/>
      <c r="J154" s="15"/>
      <c r="K154" s="15"/>
      <c r="L154" s="15"/>
      <c r="M154" s="11"/>
      <c r="N154" s="11"/>
      <c r="O154" s="19"/>
      <c r="P154" s="12"/>
      <c r="Q154" s="12"/>
      <c r="R154" s="20"/>
      <c r="S154" s="13"/>
      <c r="T154" s="13"/>
      <c r="U154" s="21"/>
    </row>
    <row r="155" spans="1:21" ht="13.2" x14ac:dyDescent="0.25">
      <c r="A155" s="9"/>
      <c r="B155" s="9"/>
      <c r="C155" s="9"/>
      <c r="D155" s="9"/>
      <c r="E155" s="9"/>
      <c r="F155" s="14"/>
      <c r="G155" s="15"/>
      <c r="H155" s="15"/>
      <c r="I155" s="15"/>
      <c r="J155" s="15"/>
      <c r="K155" s="15"/>
      <c r="L155" s="15"/>
      <c r="M155" s="11"/>
      <c r="N155" s="11"/>
      <c r="O155" s="19"/>
      <c r="P155" s="12"/>
      <c r="Q155" s="12"/>
      <c r="R155" s="20"/>
      <c r="S155" s="13"/>
      <c r="T155" s="13"/>
      <c r="U155" s="21"/>
    </row>
    <row r="156" spans="1:21" ht="13.2" x14ac:dyDescent="0.25">
      <c r="A156" s="9"/>
      <c r="B156" s="9"/>
      <c r="C156" s="9"/>
      <c r="D156" s="9"/>
      <c r="E156" s="9"/>
      <c r="F156" s="14"/>
      <c r="G156" s="15"/>
      <c r="H156" s="15"/>
      <c r="I156" s="15"/>
      <c r="J156" s="15"/>
      <c r="K156" s="15"/>
      <c r="L156" s="15"/>
      <c r="M156" s="11"/>
      <c r="N156" s="11"/>
      <c r="O156" s="19"/>
      <c r="P156" s="12"/>
      <c r="Q156" s="12"/>
      <c r="R156" s="20"/>
      <c r="S156" s="13"/>
      <c r="T156" s="13"/>
      <c r="U156" s="21"/>
    </row>
    <row r="157" spans="1:21" ht="13.2" x14ac:dyDescent="0.25">
      <c r="A157" s="9"/>
      <c r="B157" s="9"/>
      <c r="C157" s="9"/>
      <c r="D157" s="9"/>
      <c r="E157" s="9"/>
      <c r="F157" s="14"/>
      <c r="G157" s="15"/>
      <c r="H157" s="15"/>
      <c r="I157" s="15"/>
      <c r="J157" s="15"/>
      <c r="K157" s="15"/>
      <c r="L157" s="15"/>
      <c r="M157" s="11"/>
      <c r="N157" s="11"/>
      <c r="O157" s="19"/>
      <c r="P157" s="12"/>
      <c r="Q157" s="12"/>
      <c r="R157" s="20"/>
      <c r="S157" s="13"/>
      <c r="T157" s="13"/>
      <c r="U157" s="21"/>
    </row>
    <row r="158" spans="1:21" ht="13.2" x14ac:dyDescent="0.25">
      <c r="A158" s="9"/>
      <c r="B158" s="9"/>
      <c r="C158" s="9"/>
      <c r="D158" s="9"/>
      <c r="E158" s="9"/>
      <c r="F158" s="14"/>
      <c r="G158" s="15"/>
      <c r="H158" s="15"/>
      <c r="I158" s="15"/>
      <c r="J158" s="15"/>
      <c r="K158" s="15"/>
      <c r="L158" s="15"/>
      <c r="M158" s="11"/>
      <c r="N158" s="11"/>
      <c r="O158" s="19"/>
      <c r="P158" s="12"/>
      <c r="Q158" s="12"/>
      <c r="R158" s="20"/>
      <c r="S158" s="13"/>
      <c r="T158" s="13"/>
      <c r="U158" s="21"/>
    </row>
    <row r="159" spans="1:21" ht="13.2" x14ac:dyDescent="0.25">
      <c r="A159" s="9"/>
      <c r="B159" s="9"/>
      <c r="C159" s="9"/>
      <c r="D159" s="9"/>
      <c r="E159" s="9"/>
      <c r="F159" s="14"/>
      <c r="G159" s="15"/>
      <c r="H159" s="15"/>
      <c r="I159" s="15"/>
      <c r="J159" s="15"/>
      <c r="K159" s="15"/>
      <c r="L159" s="15"/>
      <c r="M159" s="11"/>
      <c r="N159" s="11"/>
      <c r="O159" s="19"/>
      <c r="P159" s="12"/>
      <c r="Q159" s="12"/>
      <c r="R159" s="20"/>
      <c r="S159" s="13"/>
      <c r="T159" s="13"/>
      <c r="U159" s="21"/>
    </row>
    <row r="160" spans="1:21" ht="13.2" x14ac:dyDescent="0.25">
      <c r="A160" s="9"/>
      <c r="B160" s="9"/>
      <c r="C160" s="9"/>
      <c r="D160" s="9"/>
      <c r="E160" s="9"/>
      <c r="F160" s="14"/>
      <c r="G160" s="15"/>
      <c r="H160" s="15"/>
      <c r="I160" s="15"/>
      <c r="J160" s="15"/>
      <c r="K160" s="15"/>
      <c r="L160" s="15"/>
      <c r="M160" s="11"/>
      <c r="N160" s="11"/>
      <c r="O160" s="19"/>
      <c r="P160" s="12"/>
      <c r="Q160" s="12"/>
      <c r="R160" s="20"/>
      <c r="S160" s="13"/>
      <c r="T160" s="13"/>
      <c r="U160" s="21"/>
    </row>
    <row r="161" spans="1:21" ht="13.2" x14ac:dyDescent="0.25">
      <c r="A161" s="9"/>
      <c r="B161" s="9"/>
      <c r="C161" s="9"/>
      <c r="D161" s="9"/>
      <c r="E161" s="9"/>
      <c r="F161" s="14"/>
      <c r="G161" s="15"/>
      <c r="H161" s="15"/>
      <c r="I161" s="15"/>
      <c r="J161" s="15"/>
      <c r="K161" s="15"/>
      <c r="L161" s="15"/>
      <c r="M161" s="11"/>
      <c r="N161" s="11"/>
      <c r="O161" s="19"/>
      <c r="P161" s="12"/>
      <c r="Q161" s="12"/>
      <c r="R161" s="20"/>
      <c r="S161" s="13"/>
      <c r="T161" s="13"/>
      <c r="U161" s="21"/>
    </row>
    <row r="162" spans="1:21" ht="13.2" x14ac:dyDescent="0.25">
      <c r="A162" s="9"/>
      <c r="B162" s="9"/>
      <c r="C162" s="9"/>
      <c r="D162" s="9"/>
      <c r="E162" s="9"/>
      <c r="F162" s="14"/>
      <c r="G162" s="15"/>
      <c r="H162" s="15"/>
      <c r="I162" s="15"/>
      <c r="J162" s="15"/>
      <c r="K162" s="15"/>
      <c r="L162" s="15"/>
      <c r="M162" s="11"/>
      <c r="N162" s="11"/>
      <c r="O162" s="19"/>
      <c r="P162" s="12"/>
      <c r="Q162" s="12"/>
      <c r="R162" s="20"/>
      <c r="S162" s="13"/>
      <c r="T162" s="13"/>
      <c r="U162" s="21"/>
    </row>
    <row r="163" spans="1:21" ht="13.2" x14ac:dyDescent="0.25">
      <c r="A163" s="9"/>
      <c r="B163" s="9"/>
      <c r="C163" s="9"/>
      <c r="D163" s="9"/>
      <c r="E163" s="9"/>
      <c r="F163" s="14"/>
      <c r="G163" s="15"/>
      <c r="H163" s="15"/>
      <c r="I163" s="15"/>
      <c r="J163" s="15"/>
      <c r="K163" s="15"/>
      <c r="L163" s="15"/>
      <c r="M163" s="11"/>
      <c r="N163" s="11"/>
      <c r="O163" s="19"/>
      <c r="P163" s="12"/>
      <c r="Q163" s="12"/>
      <c r="R163" s="20"/>
      <c r="S163" s="13"/>
      <c r="T163" s="13"/>
      <c r="U163" s="21"/>
    </row>
    <row r="164" spans="1:21" ht="13.2" x14ac:dyDescent="0.25">
      <c r="A164" s="9"/>
      <c r="B164" s="9"/>
      <c r="C164" s="9"/>
      <c r="D164" s="9"/>
      <c r="E164" s="9"/>
      <c r="F164" s="14"/>
      <c r="G164" s="15"/>
      <c r="H164" s="15"/>
      <c r="I164" s="15"/>
      <c r="J164" s="15"/>
      <c r="K164" s="15"/>
      <c r="L164" s="15"/>
      <c r="M164" s="11"/>
      <c r="N164" s="11"/>
      <c r="O164" s="19"/>
      <c r="P164" s="12"/>
      <c r="Q164" s="12"/>
      <c r="R164" s="20"/>
      <c r="S164" s="13"/>
      <c r="T164" s="13"/>
      <c r="U164" s="21"/>
    </row>
    <row r="165" spans="1:21" ht="13.2" x14ac:dyDescent="0.25">
      <c r="A165" s="9"/>
      <c r="B165" s="9"/>
      <c r="C165" s="9"/>
      <c r="D165" s="9"/>
      <c r="E165" s="9"/>
      <c r="F165" s="14"/>
      <c r="G165" s="15"/>
      <c r="H165" s="15"/>
      <c r="I165" s="15"/>
      <c r="J165" s="15"/>
      <c r="K165" s="15"/>
      <c r="L165" s="15"/>
      <c r="M165" s="11"/>
      <c r="N165" s="11"/>
      <c r="O165" s="19"/>
      <c r="P165" s="12"/>
      <c r="Q165" s="12"/>
      <c r="R165" s="20"/>
      <c r="S165" s="13"/>
      <c r="T165" s="13"/>
      <c r="U165" s="21"/>
    </row>
    <row r="166" spans="1:21" ht="13.2" x14ac:dyDescent="0.25">
      <c r="A166" s="9"/>
      <c r="B166" s="9"/>
      <c r="C166" s="9"/>
      <c r="D166" s="9"/>
      <c r="E166" s="9"/>
      <c r="F166" s="14"/>
      <c r="G166" s="15"/>
      <c r="H166" s="15"/>
      <c r="I166" s="15"/>
      <c r="J166" s="15"/>
      <c r="K166" s="15"/>
      <c r="L166" s="15"/>
      <c r="M166" s="11"/>
      <c r="N166" s="11"/>
      <c r="O166" s="19"/>
      <c r="P166" s="12"/>
      <c r="Q166" s="12"/>
      <c r="R166" s="20"/>
      <c r="S166" s="13"/>
      <c r="T166" s="13"/>
      <c r="U166" s="21"/>
    </row>
    <row r="167" spans="1:21" ht="13.2" x14ac:dyDescent="0.25">
      <c r="A167" s="9"/>
      <c r="B167" s="9"/>
      <c r="C167" s="9"/>
      <c r="D167" s="9"/>
      <c r="E167" s="9"/>
      <c r="F167" s="14"/>
      <c r="G167" s="15"/>
      <c r="H167" s="15"/>
      <c r="I167" s="15"/>
      <c r="J167" s="15"/>
      <c r="K167" s="15"/>
      <c r="L167" s="15"/>
      <c r="M167" s="11"/>
      <c r="N167" s="11"/>
      <c r="O167" s="19"/>
      <c r="P167" s="12"/>
      <c r="Q167" s="12"/>
      <c r="R167" s="20"/>
      <c r="S167" s="13"/>
      <c r="T167" s="13"/>
      <c r="U167" s="21"/>
    </row>
    <row r="168" spans="1:21" ht="13.2" x14ac:dyDescent="0.25">
      <c r="A168" s="9"/>
      <c r="B168" s="9"/>
      <c r="C168" s="9"/>
      <c r="D168" s="9"/>
      <c r="E168" s="9"/>
      <c r="F168" s="14"/>
      <c r="G168" s="15"/>
      <c r="H168" s="15"/>
      <c r="I168" s="15"/>
      <c r="J168" s="15"/>
      <c r="K168" s="15"/>
      <c r="L168" s="15"/>
      <c r="M168" s="11"/>
      <c r="N168" s="11"/>
      <c r="O168" s="19"/>
      <c r="P168" s="12"/>
      <c r="Q168" s="12"/>
      <c r="R168" s="20"/>
      <c r="S168" s="13"/>
      <c r="T168" s="13"/>
      <c r="U168" s="21"/>
    </row>
    <row r="169" spans="1:21" ht="13.2" x14ac:dyDescent="0.25">
      <c r="A169" s="9"/>
      <c r="B169" s="9"/>
      <c r="C169" s="9"/>
      <c r="D169" s="9"/>
      <c r="E169" s="9"/>
      <c r="F169" s="14"/>
      <c r="G169" s="15"/>
      <c r="H169" s="15"/>
      <c r="I169" s="15"/>
      <c r="J169" s="15"/>
      <c r="K169" s="15"/>
      <c r="L169" s="15"/>
      <c r="M169" s="11"/>
      <c r="N169" s="11"/>
      <c r="O169" s="19"/>
      <c r="P169" s="12"/>
      <c r="Q169" s="12"/>
      <c r="R169" s="20"/>
      <c r="S169" s="13"/>
      <c r="T169" s="13"/>
      <c r="U169" s="21"/>
    </row>
    <row r="170" spans="1:21" ht="13.2" x14ac:dyDescent="0.25">
      <c r="A170" s="9"/>
      <c r="B170" s="9"/>
      <c r="C170" s="9"/>
      <c r="D170" s="9"/>
      <c r="E170" s="9"/>
      <c r="F170" s="14"/>
      <c r="G170" s="15"/>
      <c r="H170" s="15"/>
      <c r="I170" s="15"/>
      <c r="J170" s="15"/>
      <c r="K170" s="15"/>
      <c r="L170" s="15"/>
      <c r="M170" s="11"/>
      <c r="N170" s="11"/>
      <c r="O170" s="19"/>
      <c r="P170" s="12"/>
      <c r="Q170" s="12"/>
      <c r="R170" s="20"/>
      <c r="S170" s="13"/>
      <c r="T170" s="13"/>
      <c r="U170" s="21"/>
    </row>
    <row r="171" spans="1:21" ht="13.2" x14ac:dyDescent="0.25">
      <c r="A171" s="9"/>
      <c r="B171" s="9"/>
      <c r="C171" s="9"/>
      <c r="D171" s="9"/>
      <c r="E171" s="9"/>
      <c r="F171" s="14"/>
      <c r="G171" s="15"/>
      <c r="H171" s="15"/>
      <c r="I171" s="15"/>
      <c r="J171" s="15"/>
      <c r="K171" s="15"/>
      <c r="L171" s="15"/>
      <c r="M171" s="11"/>
      <c r="N171" s="11"/>
      <c r="O171" s="19"/>
      <c r="P171" s="12"/>
      <c r="Q171" s="12"/>
      <c r="R171" s="20"/>
      <c r="S171" s="13"/>
      <c r="T171" s="13"/>
      <c r="U171" s="21"/>
    </row>
    <row r="172" spans="1:21" ht="13.2" x14ac:dyDescent="0.25">
      <c r="A172" s="9"/>
      <c r="B172" s="9"/>
      <c r="C172" s="9"/>
      <c r="D172" s="9"/>
      <c r="E172" s="9"/>
      <c r="F172" s="14"/>
      <c r="G172" s="15"/>
      <c r="H172" s="15"/>
      <c r="I172" s="15"/>
      <c r="J172" s="15"/>
      <c r="K172" s="15"/>
      <c r="L172" s="15"/>
      <c r="M172" s="11"/>
      <c r="N172" s="11"/>
      <c r="O172" s="19"/>
      <c r="P172" s="12"/>
      <c r="Q172" s="12"/>
      <c r="R172" s="20"/>
      <c r="S172" s="13"/>
      <c r="T172" s="13"/>
      <c r="U172" s="21"/>
    </row>
    <row r="173" spans="1:21" ht="13.2" x14ac:dyDescent="0.25">
      <c r="A173" s="9"/>
      <c r="B173" s="9"/>
      <c r="C173" s="9"/>
      <c r="D173" s="9"/>
      <c r="E173" s="9"/>
      <c r="F173" s="14"/>
      <c r="G173" s="15"/>
      <c r="H173" s="15"/>
      <c r="I173" s="15"/>
      <c r="J173" s="15"/>
      <c r="K173" s="15"/>
      <c r="L173" s="15"/>
      <c r="M173" s="11"/>
      <c r="N173" s="11"/>
      <c r="O173" s="19"/>
      <c r="P173" s="12"/>
      <c r="Q173" s="12"/>
      <c r="R173" s="20"/>
      <c r="S173" s="13"/>
      <c r="T173" s="13"/>
      <c r="U173" s="21"/>
    </row>
    <row r="174" spans="1:21" ht="13.2" x14ac:dyDescent="0.25">
      <c r="A174" s="9"/>
      <c r="B174" s="9"/>
      <c r="C174" s="9"/>
      <c r="D174" s="9"/>
      <c r="E174" s="9"/>
      <c r="F174" s="14"/>
      <c r="G174" s="15"/>
      <c r="H174" s="15"/>
      <c r="I174" s="15"/>
      <c r="J174" s="15"/>
      <c r="K174" s="15"/>
      <c r="L174" s="15"/>
      <c r="M174" s="11"/>
      <c r="N174" s="11"/>
      <c r="O174" s="19"/>
      <c r="P174" s="12"/>
      <c r="Q174" s="12"/>
      <c r="R174" s="20"/>
      <c r="S174" s="13"/>
      <c r="T174" s="13"/>
      <c r="U174" s="21"/>
    </row>
    <row r="175" spans="1:21" ht="13.2" x14ac:dyDescent="0.25">
      <c r="A175" s="9"/>
      <c r="B175" s="9"/>
      <c r="C175" s="9"/>
      <c r="D175" s="9"/>
      <c r="E175" s="9"/>
      <c r="F175" s="14"/>
      <c r="G175" s="15"/>
      <c r="H175" s="15"/>
      <c r="I175" s="15"/>
      <c r="J175" s="15"/>
      <c r="K175" s="15"/>
      <c r="L175" s="15"/>
      <c r="M175" s="11"/>
      <c r="N175" s="11"/>
      <c r="O175" s="19"/>
      <c r="P175" s="12"/>
      <c r="Q175" s="12"/>
      <c r="R175" s="20"/>
      <c r="S175" s="13"/>
      <c r="T175" s="13"/>
      <c r="U175" s="21"/>
    </row>
    <row r="176" spans="1:21" ht="13.2" x14ac:dyDescent="0.25">
      <c r="A176" s="9"/>
      <c r="B176" s="9"/>
      <c r="C176" s="9"/>
      <c r="D176" s="9"/>
      <c r="E176" s="9"/>
      <c r="F176" s="14"/>
      <c r="G176" s="15"/>
      <c r="H176" s="15"/>
      <c r="I176" s="15"/>
      <c r="J176" s="15"/>
      <c r="K176" s="15"/>
      <c r="L176" s="15"/>
      <c r="M176" s="11"/>
      <c r="N176" s="11"/>
      <c r="O176" s="19"/>
      <c r="P176" s="12"/>
      <c r="Q176" s="12"/>
      <c r="R176" s="20"/>
      <c r="S176" s="13"/>
      <c r="T176" s="13"/>
      <c r="U176" s="21"/>
    </row>
    <row r="177" spans="1:21" ht="13.2" x14ac:dyDescent="0.25">
      <c r="A177" s="9"/>
      <c r="B177" s="9"/>
      <c r="C177" s="9"/>
      <c r="D177" s="9"/>
      <c r="E177" s="9"/>
      <c r="F177" s="14"/>
      <c r="G177" s="15"/>
      <c r="H177" s="15"/>
      <c r="I177" s="15"/>
      <c r="J177" s="15"/>
      <c r="K177" s="15"/>
      <c r="L177" s="15"/>
      <c r="M177" s="11"/>
      <c r="N177" s="11"/>
      <c r="O177" s="19"/>
      <c r="P177" s="12"/>
      <c r="Q177" s="12"/>
      <c r="R177" s="20"/>
      <c r="S177" s="13"/>
      <c r="T177" s="13"/>
      <c r="U177" s="21"/>
    </row>
    <row r="178" spans="1:21" ht="13.2" x14ac:dyDescent="0.25">
      <c r="A178" s="9"/>
      <c r="B178" s="9"/>
      <c r="C178" s="9"/>
      <c r="D178" s="9"/>
      <c r="E178" s="9"/>
      <c r="F178" s="14"/>
      <c r="G178" s="15"/>
      <c r="H178" s="15"/>
      <c r="I178" s="15"/>
      <c r="J178" s="15"/>
      <c r="K178" s="15"/>
      <c r="L178" s="15"/>
      <c r="M178" s="11"/>
      <c r="N178" s="11"/>
      <c r="O178" s="19"/>
      <c r="P178" s="12"/>
      <c r="Q178" s="12"/>
      <c r="R178" s="20"/>
      <c r="S178" s="13"/>
      <c r="T178" s="13"/>
      <c r="U178" s="21"/>
    </row>
    <row r="179" spans="1:21" ht="13.2" x14ac:dyDescent="0.25">
      <c r="A179" s="9"/>
      <c r="B179" s="9"/>
      <c r="C179" s="9"/>
      <c r="D179" s="9"/>
      <c r="E179" s="9"/>
      <c r="F179" s="14"/>
      <c r="G179" s="15"/>
      <c r="H179" s="15"/>
      <c r="I179" s="15"/>
      <c r="J179" s="15"/>
      <c r="K179" s="15"/>
      <c r="L179" s="15"/>
      <c r="M179" s="11"/>
      <c r="N179" s="11"/>
      <c r="O179" s="19"/>
      <c r="P179" s="12"/>
      <c r="Q179" s="12"/>
      <c r="R179" s="20"/>
      <c r="S179" s="13"/>
      <c r="T179" s="13"/>
      <c r="U179" s="21"/>
    </row>
    <row r="180" spans="1:21" ht="13.2" x14ac:dyDescent="0.25">
      <c r="A180" s="9"/>
      <c r="B180" s="9"/>
      <c r="C180" s="9"/>
      <c r="D180" s="9"/>
      <c r="E180" s="9"/>
      <c r="F180" s="14"/>
      <c r="G180" s="15"/>
      <c r="H180" s="15"/>
      <c r="I180" s="15"/>
      <c r="J180" s="15"/>
      <c r="K180" s="15"/>
      <c r="L180" s="15"/>
      <c r="M180" s="11"/>
      <c r="N180" s="11"/>
      <c r="O180" s="19"/>
      <c r="P180" s="12"/>
      <c r="Q180" s="12"/>
      <c r="R180" s="20"/>
      <c r="S180" s="13"/>
      <c r="T180" s="13"/>
      <c r="U180" s="21"/>
    </row>
    <row r="181" spans="1:21" ht="13.2" x14ac:dyDescent="0.25">
      <c r="A181" s="9"/>
      <c r="B181" s="9"/>
      <c r="C181" s="9"/>
      <c r="D181" s="9"/>
      <c r="E181" s="9"/>
      <c r="F181" s="14"/>
      <c r="G181" s="15"/>
      <c r="H181" s="15"/>
      <c r="I181" s="15"/>
      <c r="J181" s="15"/>
      <c r="K181" s="15"/>
      <c r="L181" s="15"/>
      <c r="M181" s="11"/>
      <c r="N181" s="11"/>
      <c r="O181" s="19"/>
      <c r="P181" s="12"/>
      <c r="Q181" s="12"/>
      <c r="R181" s="20"/>
      <c r="S181" s="13"/>
      <c r="T181" s="13"/>
      <c r="U181" s="21"/>
    </row>
    <row r="182" spans="1:21" ht="13.2" x14ac:dyDescent="0.25">
      <c r="A182" s="9"/>
      <c r="B182" s="9"/>
      <c r="C182" s="9"/>
      <c r="D182" s="9"/>
      <c r="E182" s="9"/>
      <c r="F182" s="14"/>
      <c r="G182" s="15"/>
      <c r="H182" s="15"/>
      <c r="I182" s="15"/>
      <c r="J182" s="15"/>
      <c r="K182" s="15"/>
      <c r="L182" s="15"/>
      <c r="M182" s="11"/>
      <c r="N182" s="11"/>
      <c r="O182" s="19"/>
      <c r="P182" s="12"/>
      <c r="Q182" s="12"/>
      <c r="R182" s="20"/>
      <c r="S182" s="13"/>
      <c r="T182" s="13"/>
      <c r="U182" s="21"/>
    </row>
    <row r="183" spans="1:21" ht="13.2" x14ac:dyDescent="0.25">
      <c r="A183" s="9"/>
      <c r="B183" s="9"/>
      <c r="C183" s="9"/>
      <c r="D183" s="9"/>
      <c r="E183" s="9"/>
      <c r="F183" s="14"/>
      <c r="G183" s="15"/>
      <c r="H183" s="15"/>
      <c r="I183" s="15"/>
      <c r="J183" s="15"/>
      <c r="K183" s="15"/>
      <c r="L183" s="15"/>
      <c r="M183" s="11"/>
      <c r="N183" s="11"/>
      <c r="O183" s="19"/>
      <c r="P183" s="12"/>
      <c r="Q183" s="12"/>
      <c r="R183" s="20"/>
      <c r="S183" s="13"/>
      <c r="T183" s="13"/>
      <c r="U183" s="21"/>
    </row>
    <row r="184" spans="1:21" ht="13.2" x14ac:dyDescent="0.25">
      <c r="A184" s="9"/>
      <c r="B184" s="9"/>
      <c r="C184" s="9"/>
      <c r="D184" s="9"/>
      <c r="E184" s="9"/>
      <c r="F184" s="14"/>
      <c r="G184" s="15"/>
      <c r="H184" s="15"/>
      <c r="I184" s="15"/>
      <c r="J184" s="15"/>
      <c r="K184" s="15"/>
      <c r="L184" s="15"/>
      <c r="M184" s="11"/>
      <c r="N184" s="11"/>
      <c r="O184" s="19"/>
      <c r="P184" s="12"/>
      <c r="Q184" s="12"/>
      <c r="R184" s="20"/>
      <c r="S184" s="13"/>
      <c r="T184" s="13"/>
      <c r="U184" s="21"/>
    </row>
    <row r="185" spans="1:21" ht="13.2" x14ac:dyDescent="0.25">
      <c r="A185" s="9"/>
      <c r="B185" s="9"/>
      <c r="C185" s="9"/>
      <c r="D185" s="9"/>
      <c r="E185" s="9"/>
      <c r="F185" s="14"/>
      <c r="G185" s="15"/>
      <c r="H185" s="15"/>
      <c r="I185" s="15"/>
      <c r="J185" s="15"/>
      <c r="K185" s="15"/>
      <c r="L185" s="15"/>
      <c r="M185" s="11"/>
      <c r="N185" s="11"/>
      <c r="O185" s="19"/>
      <c r="P185" s="12"/>
      <c r="Q185" s="12"/>
      <c r="R185" s="20"/>
      <c r="S185" s="13"/>
      <c r="T185" s="13"/>
      <c r="U185" s="21"/>
    </row>
    <row r="186" spans="1:21" ht="13.2" x14ac:dyDescent="0.25">
      <c r="A186" s="9"/>
      <c r="B186" s="9"/>
      <c r="C186" s="9"/>
      <c r="D186" s="9"/>
      <c r="E186" s="9"/>
      <c r="F186" s="14"/>
      <c r="G186" s="15"/>
      <c r="H186" s="15"/>
      <c r="I186" s="15"/>
      <c r="J186" s="15"/>
      <c r="K186" s="15"/>
      <c r="L186" s="15"/>
      <c r="M186" s="11"/>
      <c r="N186" s="11"/>
      <c r="O186" s="19"/>
      <c r="P186" s="12"/>
      <c r="Q186" s="12"/>
      <c r="R186" s="20"/>
      <c r="S186" s="13"/>
      <c r="T186" s="13"/>
      <c r="U186" s="21"/>
    </row>
    <row r="187" spans="1:21" ht="13.2" x14ac:dyDescent="0.25">
      <c r="A187" s="9"/>
      <c r="B187" s="9"/>
      <c r="C187" s="9"/>
      <c r="D187" s="9"/>
      <c r="E187" s="9"/>
      <c r="F187" s="14"/>
      <c r="G187" s="15"/>
      <c r="H187" s="15"/>
      <c r="I187" s="15"/>
      <c r="J187" s="15"/>
      <c r="K187" s="15"/>
      <c r="L187" s="15"/>
      <c r="M187" s="11"/>
      <c r="N187" s="11"/>
      <c r="O187" s="19"/>
      <c r="P187" s="12"/>
      <c r="Q187" s="12"/>
      <c r="R187" s="20"/>
      <c r="S187" s="13"/>
      <c r="T187" s="13"/>
      <c r="U187" s="21"/>
    </row>
    <row r="188" spans="1:21" ht="13.2" x14ac:dyDescent="0.25">
      <c r="A188" s="9"/>
      <c r="B188" s="9"/>
      <c r="C188" s="9"/>
      <c r="D188" s="9"/>
      <c r="E188" s="9"/>
      <c r="F188" s="14"/>
      <c r="G188" s="15"/>
      <c r="H188" s="15"/>
      <c r="I188" s="15"/>
      <c r="J188" s="15"/>
      <c r="K188" s="15"/>
      <c r="L188" s="15"/>
      <c r="M188" s="11"/>
      <c r="N188" s="11"/>
      <c r="O188" s="19"/>
      <c r="P188" s="12"/>
      <c r="Q188" s="12"/>
      <c r="R188" s="20"/>
      <c r="S188" s="13"/>
      <c r="T188" s="13"/>
      <c r="U188" s="21"/>
    </row>
    <row r="189" spans="1:21" ht="13.2" x14ac:dyDescent="0.25">
      <c r="A189" s="9"/>
      <c r="B189" s="9"/>
      <c r="C189" s="9"/>
      <c r="D189" s="9"/>
      <c r="E189" s="9"/>
      <c r="F189" s="14"/>
      <c r="G189" s="15"/>
      <c r="H189" s="15"/>
      <c r="I189" s="15"/>
      <c r="J189" s="15"/>
      <c r="K189" s="15"/>
      <c r="L189" s="15"/>
      <c r="M189" s="11"/>
      <c r="N189" s="11"/>
      <c r="O189" s="19"/>
      <c r="P189" s="12"/>
      <c r="Q189" s="12"/>
      <c r="R189" s="20"/>
      <c r="S189" s="13"/>
      <c r="T189" s="13"/>
      <c r="U189" s="21"/>
    </row>
    <row r="190" spans="1:21" ht="13.2" x14ac:dyDescent="0.25">
      <c r="A190" s="9"/>
      <c r="B190" s="9"/>
      <c r="C190" s="9"/>
      <c r="D190" s="9"/>
      <c r="E190" s="9"/>
      <c r="F190" s="14"/>
      <c r="G190" s="15"/>
      <c r="H190" s="15"/>
      <c r="I190" s="15"/>
      <c r="J190" s="15"/>
      <c r="K190" s="15"/>
      <c r="L190" s="15"/>
      <c r="M190" s="11"/>
      <c r="N190" s="11"/>
      <c r="O190" s="19"/>
      <c r="P190" s="12"/>
      <c r="Q190" s="12"/>
      <c r="R190" s="20"/>
      <c r="S190" s="13"/>
      <c r="T190" s="13"/>
      <c r="U190" s="21"/>
    </row>
    <row r="191" spans="1:21" ht="13.2" x14ac:dyDescent="0.25">
      <c r="A191" s="9"/>
      <c r="B191" s="9"/>
      <c r="C191" s="9"/>
      <c r="D191" s="9"/>
      <c r="E191" s="9"/>
      <c r="F191" s="14"/>
      <c r="G191" s="15"/>
      <c r="H191" s="15"/>
      <c r="I191" s="15"/>
      <c r="J191" s="15"/>
      <c r="K191" s="15"/>
      <c r="L191" s="15"/>
      <c r="M191" s="11"/>
      <c r="N191" s="11"/>
      <c r="O191" s="19"/>
      <c r="P191" s="12"/>
      <c r="Q191" s="12"/>
      <c r="R191" s="20"/>
      <c r="S191" s="13"/>
      <c r="T191" s="13"/>
      <c r="U191" s="21"/>
    </row>
    <row r="192" spans="1:21" ht="13.2" x14ac:dyDescent="0.25">
      <c r="A192" s="9"/>
      <c r="B192" s="9"/>
      <c r="C192" s="9"/>
      <c r="D192" s="9"/>
      <c r="E192" s="9"/>
      <c r="F192" s="14"/>
      <c r="G192" s="15"/>
      <c r="H192" s="15"/>
      <c r="I192" s="15"/>
      <c r="J192" s="15"/>
      <c r="K192" s="15"/>
      <c r="L192" s="15"/>
      <c r="M192" s="11"/>
      <c r="N192" s="11"/>
      <c r="O192" s="19"/>
      <c r="P192" s="12"/>
      <c r="Q192" s="12"/>
      <c r="R192" s="20"/>
      <c r="S192" s="13"/>
      <c r="T192" s="13"/>
      <c r="U192" s="21"/>
    </row>
    <row r="193" spans="1:21" ht="13.2" x14ac:dyDescent="0.25">
      <c r="A193" s="9"/>
      <c r="B193" s="9"/>
      <c r="C193" s="9"/>
      <c r="D193" s="9"/>
      <c r="E193" s="9"/>
      <c r="F193" s="14"/>
      <c r="G193" s="15"/>
      <c r="H193" s="15"/>
      <c r="I193" s="15"/>
      <c r="J193" s="15"/>
      <c r="K193" s="15"/>
      <c r="L193" s="15"/>
      <c r="M193" s="11"/>
      <c r="N193" s="11"/>
      <c r="O193" s="19"/>
      <c r="P193" s="12"/>
      <c r="Q193" s="12"/>
      <c r="R193" s="20"/>
      <c r="S193" s="13"/>
      <c r="T193" s="13"/>
      <c r="U193" s="21"/>
    </row>
    <row r="194" spans="1:21" ht="13.2" x14ac:dyDescent="0.25">
      <c r="A194" s="9"/>
      <c r="B194" s="9"/>
      <c r="C194" s="9"/>
      <c r="D194" s="9"/>
      <c r="E194" s="9"/>
      <c r="F194" s="14"/>
      <c r="G194" s="15"/>
      <c r="H194" s="15"/>
      <c r="I194" s="15"/>
      <c r="J194" s="15"/>
      <c r="K194" s="15"/>
      <c r="L194" s="15"/>
      <c r="M194" s="11"/>
      <c r="N194" s="11"/>
      <c r="O194" s="19"/>
      <c r="P194" s="12"/>
      <c r="Q194" s="12"/>
      <c r="R194" s="20"/>
      <c r="S194" s="13"/>
      <c r="T194" s="13"/>
      <c r="U194" s="21"/>
    </row>
    <row r="195" spans="1:21" ht="13.2" x14ac:dyDescent="0.25">
      <c r="A195" s="9"/>
      <c r="B195" s="9"/>
      <c r="C195" s="9"/>
      <c r="D195" s="9"/>
      <c r="E195" s="9"/>
      <c r="F195" s="14"/>
      <c r="G195" s="15"/>
      <c r="H195" s="15"/>
      <c r="I195" s="15"/>
      <c r="J195" s="15"/>
      <c r="K195" s="15"/>
      <c r="L195" s="15"/>
      <c r="M195" s="11"/>
      <c r="N195" s="11"/>
      <c r="O195" s="19"/>
      <c r="P195" s="12"/>
      <c r="Q195" s="12"/>
      <c r="R195" s="20"/>
      <c r="S195" s="13"/>
      <c r="T195" s="13"/>
      <c r="U195" s="21"/>
    </row>
    <row r="196" spans="1:21" ht="13.2" x14ac:dyDescent="0.25">
      <c r="A196" s="9"/>
      <c r="B196" s="9"/>
      <c r="C196" s="9"/>
      <c r="D196" s="9"/>
      <c r="E196" s="9"/>
      <c r="F196" s="14"/>
      <c r="G196" s="15"/>
      <c r="H196" s="15"/>
      <c r="I196" s="15"/>
      <c r="J196" s="15"/>
      <c r="K196" s="15"/>
      <c r="L196" s="15"/>
      <c r="M196" s="11"/>
      <c r="N196" s="11"/>
      <c r="O196" s="19"/>
      <c r="P196" s="12"/>
      <c r="Q196" s="12"/>
      <c r="R196" s="20"/>
      <c r="S196" s="13"/>
      <c r="T196" s="13"/>
      <c r="U196" s="21"/>
    </row>
    <row r="197" spans="1:21" ht="13.2" x14ac:dyDescent="0.25">
      <c r="A197" s="9"/>
      <c r="B197" s="9"/>
      <c r="C197" s="9"/>
      <c r="D197" s="9"/>
      <c r="E197" s="9"/>
      <c r="F197" s="14"/>
      <c r="G197" s="15"/>
      <c r="H197" s="15"/>
      <c r="I197" s="15"/>
      <c r="J197" s="15"/>
      <c r="K197" s="15"/>
      <c r="L197" s="15"/>
      <c r="M197" s="11"/>
      <c r="N197" s="11"/>
      <c r="O197" s="19"/>
      <c r="P197" s="12"/>
      <c r="Q197" s="12"/>
      <c r="R197" s="20"/>
      <c r="S197" s="13"/>
      <c r="T197" s="13"/>
      <c r="U197" s="21"/>
    </row>
    <row r="198" spans="1:21" ht="13.2" x14ac:dyDescent="0.25">
      <c r="A198" s="9"/>
      <c r="B198" s="9"/>
      <c r="C198" s="9"/>
      <c r="D198" s="9"/>
      <c r="E198" s="9"/>
      <c r="F198" s="14"/>
      <c r="G198" s="15"/>
      <c r="H198" s="15"/>
      <c r="I198" s="15"/>
      <c r="J198" s="15"/>
      <c r="K198" s="15"/>
      <c r="L198" s="15"/>
      <c r="M198" s="11"/>
      <c r="N198" s="11"/>
      <c r="O198" s="19"/>
      <c r="P198" s="12"/>
      <c r="Q198" s="12"/>
      <c r="R198" s="20"/>
      <c r="S198" s="13"/>
      <c r="T198" s="13"/>
      <c r="U198" s="21"/>
    </row>
    <row r="199" spans="1:21" ht="13.2" x14ac:dyDescent="0.25">
      <c r="A199" s="9"/>
      <c r="B199" s="9"/>
      <c r="C199" s="9"/>
      <c r="D199" s="9"/>
      <c r="E199" s="9"/>
      <c r="F199" s="14"/>
      <c r="G199" s="15"/>
      <c r="H199" s="15"/>
      <c r="I199" s="15"/>
      <c r="J199" s="15"/>
      <c r="K199" s="15"/>
      <c r="L199" s="15"/>
      <c r="M199" s="11"/>
      <c r="N199" s="11"/>
      <c r="O199" s="19"/>
      <c r="P199" s="12"/>
      <c r="Q199" s="12"/>
      <c r="R199" s="20"/>
      <c r="S199" s="13"/>
      <c r="T199" s="13"/>
      <c r="U199" s="21"/>
    </row>
    <row r="200" spans="1:21" ht="13.2" x14ac:dyDescent="0.25">
      <c r="A200" s="9"/>
      <c r="B200" s="9"/>
      <c r="C200" s="9"/>
      <c r="D200" s="9"/>
      <c r="E200" s="9"/>
      <c r="F200" s="14"/>
      <c r="G200" s="15"/>
      <c r="H200" s="15"/>
      <c r="I200" s="15"/>
      <c r="J200" s="15"/>
      <c r="K200" s="15"/>
      <c r="L200" s="15"/>
      <c r="M200" s="11"/>
      <c r="N200" s="11"/>
      <c r="O200" s="19"/>
      <c r="P200" s="12"/>
      <c r="Q200" s="12"/>
      <c r="R200" s="20"/>
      <c r="S200" s="13"/>
      <c r="T200" s="13"/>
      <c r="U200" s="21"/>
    </row>
    <row r="201" spans="1:21" ht="13.2" x14ac:dyDescent="0.25">
      <c r="A201" s="9"/>
      <c r="B201" s="9"/>
      <c r="C201" s="9"/>
      <c r="D201" s="9"/>
      <c r="E201" s="9"/>
      <c r="F201" s="14"/>
      <c r="G201" s="15"/>
      <c r="H201" s="15"/>
      <c r="I201" s="15"/>
      <c r="J201" s="15"/>
      <c r="K201" s="15"/>
      <c r="L201" s="15"/>
      <c r="M201" s="11"/>
      <c r="N201" s="11"/>
      <c r="O201" s="19"/>
      <c r="P201" s="12"/>
      <c r="Q201" s="12"/>
      <c r="R201" s="20"/>
      <c r="S201" s="13"/>
      <c r="T201" s="13"/>
      <c r="U201" s="21"/>
    </row>
    <row r="202" spans="1:21" ht="13.2" x14ac:dyDescent="0.25">
      <c r="A202" s="9"/>
      <c r="B202" s="9"/>
      <c r="C202" s="9"/>
      <c r="D202" s="9"/>
      <c r="E202" s="9"/>
      <c r="F202" s="14"/>
      <c r="G202" s="15"/>
      <c r="H202" s="15"/>
      <c r="I202" s="15"/>
      <c r="J202" s="15"/>
      <c r="K202" s="15"/>
      <c r="L202" s="15"/>
      <c r="M202" s="11"/>
      <c r="N202" s="11"/>
      <c r="O202" s="19"/>
      <c r="P202" s="12"/>
      <c r="Q202" s="12"/>
      <c r="R202" s="20"/>
      <c r="S202" s="13"/>
      <c r="T202" s="13"/>
      <c r="U202" s="21"/>
    </row>
    <row r="203" spans="1:21" ht="13.2" x14ac:dyDescent="0.25">
      <c r="A203" s="9"/>
      <c r="B203" s="9"/>
      <c r="C203" s="9"/>
      <c r="D203" s="9"/>
      <c r="E203" s="9"/>
      <c r="F203" s="14"/>
      <c r="G203" s="15"/>
      <c r="H203" s="15"/>
      <c r="I203" s="15"/>
      <c r="J203" s="15"/>
      <c r="K203" s="15"/>
      <c r="L203" s="15"/>
      <c r="M203" s="11"/>
      <c r="N203" s="11"/>
      <c r="O203" s="19"/>
      <c r="P203" s="12"/>
      <c r="Q203" s="12"/>
      <c r="R203" s="20"/>
      <c r="S203" s="13"/>
      <c r="T203" s="13"/>
      <c r="U203" s="21"/>
    </row>
    <row r="204" spans="1:21" ht="13.2" x14ac:dyDescent="0.25">
      <c r="A204" s="9"/>
      <c r="B204" s="9"/>
      <c r="C204" s="9"/>
      <c r="D204" s="9"/>
      <c r="E204" s="9"/>
      <c r="F204" s="14"/>
      <c r="G204" s="15"/>
      <c r="H204" s="15"/>
      <c r="I204" s="15"/>
      <c r="J204" s="15"/>
      <c r="K204" s="15"/>
      <c r="L204" s="15"/>
      <c r="M204" s="11"/>
      <c r="N204" s="11"/>
      <c r="O204" s="19"/>
      <c r="P204" s="12"/>
      <c r="Q204" s="12"/>
      <c r="R204" s="20"/>
      <c r="S204" s="13"/>
      <c r="T204" s="13"/>
      <c r="U204" s="21"/>
    </row>
    <row r="205" spans="1:21" ht="13.2" x14ac:dyDescent="0.25">
      <c r="A205" s="9"/>
      <c r="B205" s="9"/>
      <c r="C205" s="9"/>
      <c r="D205" s="9"/>
      <c r="E205" s="9"/>
      <c r="F205" s="14"/>
      <c r="G205" s="15"/>
      <c r="H205" s="15"/>
      <c r="I205" s="15"/>
      <c r="J205" s="15"/>
      <c r="K205" s="15"/>
      <c r="L205" s="15"/>
      <c r="M205" s="11"/>
      <c r="N205" s="11"/>
      <c r="O205" s="19"/>
      <c r="P205" s="12"/>
      <c r="Q205" s="12"/>
      <c r="R205" s="20"/>
      <c r="S205" s="13"/>
      <c r="T205" s="13"/>
      <c r="U205" s="21"/>
    </row>
    <row r="206" spans="1:21" ht="13.2" x14ac:dyDescent="0.25">
      <c r="A206" s="9"/>
      <c r="B206" s="9"/>
      <c r="C206" s="9"/>
      <c r="D206" s="9"/>
      <c r="E206" s="9"/>
      <c r="F206" s="14"/>
      <c r="G206" s="15"/>
      <c r="H206" s="15"/>
      <c r="I206" s="15"/>
      <c r="J206" s="15"/>
      <c r="K206" s="15"/>
      <c r="L206" s="15"/>
      <c r="M206" s="11"/>
      <c r="N206" s="11"/>
      <c r="O206" s="19"/>
      <c r="P206" s="12"/>
      <c r="Q206" s="12"/>
      <c r="R206" s="20"/>
      <c r="S206" s="13"/>
      <c r="T206" s="13"/>
      <c r="U206" s="21"/>
    </row>
    <row r="207" spans="1:21" ht="13.2" x14ac:dyDescent="0.25">
      <c r="A207" s="9"/>
      <c r="B207" s="9"/>
      <c r="C207" s="9"/>
      <c r="D207" s="9"/>
      <c r="E207" s="9"/>
      <c r="F207" s="14"/>
      <c r="G207" s="15"/>
      <c r="H207" s="15"/>
      <c r="I207" s="15"/>
      <c r="J207" s="15"/>
      <c r="K207" s="15"/>
      <c r="L207" s="15"/>
      <c r="M207" s="11"/>
      <c r="N207" s="11"/>
      <c r="O207" s="19"/>
      <c r="P207" s="12"/>
      <c r="Q207" s="12"/>
      <c r="R207" s="20"/>
      <c r="S207" s="13"/>
      <c r="T207" s="13"/>
      <c r="U207" s="21"/>
    </row>
    <row r="208" spans="1:21" ht="13.2" x14ac:dyDescent="0.25">
      <c r="A208" s="9"/>
      <c r="B208" s="9"/>
      <c r="C208" s="9"/>
      <c r="D208" s="9"/>
      <c r="E208" s="9"/>
      <c r="F208" s="14"/>
      <c r="G208" s="15"/>
      <c r="H208" s="15"/>
      <c r="I208" s="15"/>
      <c r="J208" s="15"/>
      <c r="K208" s="15"/>
      <c r="L208" s="15"/>
      <c r="M208" s="11"/>
      <c r="N208" s="11"/>
      <c r="O208" s="19"/>
      <c r="P208" s="12"/>
      <c r="Q208" s="12"/>
      <c r="R208" s="20"/>
      <c r="S208" s="13"/>
      <c r="T208" s="13"/>
      <c r="U208" s="21"/>
    </row>
    <row r="209" spans="1:21" ht="13.2" x14ac:dyDescent="0.25">
      <c r="A209" s="9"/>
      <c r="B209" s="9"/>
      <c r="C209" s="9"/>
      <c r="D209" s="9"/>
      <c r="E209" s="9"/>
      <c r="F209" s="14"/>
      <c r="G209" s="15"/>
      <c r="H209" s="15"/>
      <c r="I209" s="15"/>
      <c r="J209" s="15"/>
      <c r="K209" s="15"/>
      <c r="L209" s="15"/>
      <c r="M209" s="11"/>
      <c r="N209" s="11"/>
      <c r="O209" s="19"/>
      <c r="P209" s="12"/>
      <c r="Q209" s="12"/>
      <c r="R209" s="20"/>
      <c r="S209" s="13"/>
      <c r="T209" s="13"/>
      <c r="U209" s="21"/>
    </row>
    <row r="210" spans="1:21" ht="13.2" x14ac:dyDescent="0.25">
      <c r="A210" s="9"/>
      <c r="B210" s="9"/>
      <c r="C210" s="9"/>
      <c r="D210" s="9"/>
      <c r="E210" s="9"/>
      <c r="F210" s="14"/>
      <c r="G210" s="15"/>
      <c r="H210" s="15"/>
      <c r="I210" s="15"/>
      <c r="J210" s="15"/>
      <c r="K210" s="15"/>
      <c r="L210" s="15"/>
      <c r="M210" s="11"/>
      <c r="N210" s="11"/>
      <c r="O210" s="19"/>
      <c r="P210" s="12"/>
      <c r="Q210" s="12"/>
      <c r="R210" s="20"/>
      <c r="S210" s="13"/>
      <c r="T210" s="13"/>
      <c r="U210" s="21"/>
    </row>
    <row r="211" spans="1:21" ht="13.2" x14ac:dyDescent="0.25">
      <c r="A211" s="9"/>
      <c r="B211" s="9"/>
      <c r="C211" s="9"/>
      <c r="D211" s="9"/>
      <c r="E211" s="9"/>
      <c r="F211" s="14"/>
      <c r="G211" s="15"/>
      <c r="H211" s="15"/>
      <c r="I211" s="15"/>
      <c r="J211" s="15"/>
      <c r="K211" s="15"/>
      <c r="L211" s="15"/>
      <c r="M211" s="11"/>
      <c r="N211" s="11"/>
      <c r="O211" s="19"/>
      <c r="P211" s="12"/>
      <c r="Q211" s="12"/>
      <c r="R211" s="20"/>
      <c r="S211" s="13"/>
      <c r="T211" s="13"/>
      <c r="U211" s="21"/>
    </row>
    <row r="212" spans="1:21" ht="13.2" x14ac:dyDescent="0.25">
      <c r="A212" s="9"/>
      <c r="B212" s="9"/>
      <c r="C212" s="9"/>
      <c r="D212" s="9"/>
      <c r="E212" s="9"/>
      <c r="F212" s="14"/>
      <c r="G212" s="15"/>
      <c r="H212" s="15"/>
      <c r="I212" s="15"/>
      <c r="J212" s="15"/>
      <c r="K212" s="15"/>
      <c r="L212" s="15"/>
      <c r="M212" s="11"/>
      <c r="N212" s="11"/>
      <c r="O212" s="19"/>
      <c r="P212" s="12"/>
      <c r="Q212" s="12"/>
      <c r="R212" s="20"/>
      <c r="S212" s="13"/>
      <c r="T212" s="13"/>
      <c r="U212" s="21"/>
    </row>
    <row r="213" spans="1:21" ht="13.2" x14ac:dyDescent="0.25">
      <c r="A213" s="9"/>
      <c r="B213" s="9"/>
      <c r="C213" s="9"/>
      <c r="D213" s="9"/>
      <c r="E213" s="9"/>
      <c r="F213" s="14"/>
      <c r="G213" s="15"/>
      <c r="H213" s="15"/>
      <c r="I213" s="15"/>
      <c r="J213" s="15"/>
      <c r="K213" s="15"/>
      <c r="L213" s="15"/>
      <c r="M213" s="11"/>
      <c r="N213" s="11"/>
      <c r="O213" s="19"/>
      <c r="P213" s="12"/>
      <c r="Q213" s="12"/>
      <c r="R213" s="20"/>
      <c r="S213" s="13"/>
      <c r="T213" s="13"/>
      <c r="U213" s="21"/>
    </row>
    <row r="214" spans="1:21" ht="13.2" x14ac:dyDescent="0.25">
      <c r="A214" s="9"/>
      <c r="B214" s="9"/>
      <c r="C214" s="9"/>
      <c r="D214" s="9"/>
      <c r="E214" s="9"/>
      <c r="F214" s="14"/>
      <c r="G214" s="15"/>
      <c r="H214" s="15"/>
      <c r="I214" s="15"/>
      <c r="J214" s="15"/>
      <c r="K214" s="15"/>
      <c r="L214" s="15"/>
      <c r="M214" s="11"/>
      <c r="N214" s="11"/>
      <c r="O214" s="19"/>
      <c r="P214" s="12"/>
      <c r="Q214" s="12"/>
      <c r="R214" s="20"/>
      <c r="S214" s="13"/>
      <c r="T214" s="13"/>
      <c r="U214" s="21"/>
    </row>
    <row r="215" spans="1:21" ht="13.2" x14ac:dyDescent="0.25">
      <c r="A215" s="9"/>
      <c r="B215" s="9"/>
      <c r="C215" s="9"/>
      <c r="D215" s="9"/>
      <c r="E215" s="9"/>
      <c r="F215" s="14"/>
      <c r="G215" s="15"/>
      <c r="H215" s="15"/>
      <c r="I215" s="15"/>
      <c r="J215" s="15"/>
      <c r="K215" s="15"/>
      <c r="L215" s="15"/>
      <c r="M215" s="11"/>
      <c r="N215" s="11"/>
      <c r="O215" s="19"/>
      <c r="P215" s="12"/>
      <c r="Q215" s="12"/>
      <c r="R215" s="20"/>
      <c r="S215" s="13"/>
      <c r="T215" s="13"/>
      <c r="U215" s="21"/>
    </row>
    <row r="216" spans="1:21" ht="13.2" x14ac:dyDescent="0.25">
      <c r="A216" s="9"/>
      <c r="B216" s="9"/>
      <c r="C216" s="9"/>
      <c r="D216" s="9"/>
      <c r="E216" s="9"/>
      <c r="F216" s="14"/>
      <c r="G216" s="15"/>
      <c r="H216" s="15"/>
      <c r="I216" s="15"/>
      <c r="J216" s="15"/>
      <c r="K216" s="15"/>
      <c r="L216" s="15"/>
      <c r="M216" s="11"/>
      <c r="N216" s="11"/>
      <c r="O216" s="19"/>
      <c r="P216" s="12"/>
      <c r="Q216" s="12"/>
      <c r="R216" s="20"/>
      <c r="S216" s="13"/>
      <c r="T216" s="13"/>
      <c r="U216" s="21"/>
    </row>
    <row r="217" spans="1:21" ht="13.2" x14ac:dyDescent="0.25">
      <c r="A217" s="9"/>
      <c r="B217" s="9"/>
      <c r="C217" s="9"/>
      <c r="D217" s="9"/>
      <c r="E217" s="9"/>
      <c r="F217" s="14"/>
      <c r="G217" s="15"/>
      <c r="H217" s="15"/>
      <c r="I217" s="15"/>
      <c r="J217" s="15"/>
      <c r="K217" s="15"/>
      <c r="L217" s="15"/>
      <c r="M217" s="11"/>
      <c r="N217" s="11"/>
      <c r="O217" s="19"/>
      <c r="P217" s="12"/>
      <c r="Q217" s="12"/>
      <c r="R217" s="20"/>
      <c r="S217" s="13"/>
      <c r="T217" s="13"/>
      <c r="U217" s="21"/>
    </row>
    <row r="218" spans="1:21" ht="13.2" x14ac:dyDescent="0.25">
      <c r="A218" s="9"/>
      <c r="B218" s="9"/>
      <c r="C218" s="9"/>
      <c r="D218" s="9"/>
      <c r="E218" s="9"/>
      <c r="F218" s="14"/>
      <c r="G218" s="15"/>
      <c r="H218" s="15"/>
      <c r="I218" s="15"/>
      <c r="J218" s="15"/>
      <c r="K218" s="15"/>
      <c r="L218" s="15"/>
      <c r="M218" s="11"/>
      <c r="N218" s="11"/>
      <c r="O218" s="19"/>
      <c r="P218" s="12"/>
      <c r="Q218" s="12"/>
      <c r="R218" s="20"/>
      <c r="S218" s="13"/>
      <c r="T218" s="13"/>
      <c r="U218" s="21"/>
    </row>
    <row r="219" spans="1:21" ht="13.2" x14ac:dyDescent="0.25">
      <c r="A219" s="9"/>
      <c r="B219" s="9"/>
      <c r="C219" s="9"/>
      <c r="D219" s="9"/>
      <c r="E219" s="9"/>
      <c r="F219" s="14"/>
      <c r="G219" s="15"/>
      <c r="H219" s="15"/>
      <c r="I219" s="15"/>
      <c r="J219" s="15"/>
      <c r="K219" s="15"/>
      <c r="L219" s="15"/>
      <c r="M219" s="11"/>
      <c r="N219" s="11"/>
      <c r="O219" s="19"/>
      <c r="P219" s="12"/>
      <c r="Q219" s="12"/>
      <c r="R219" s="20"/>
      <c r="S219" s="13"/>
      <c r="T219" s="13"/>
      <c r="U219" s="21"/>
    </row>
    <row r="220" spans="1:21" ht="13.2" x14ac:dyDescent="0.25">
      <c r="A220" s="9"/>
      <c r="B220" s="9"/>
      <c r="C220" s="9"/>
      <c r="D220" s="9"/>
      <c r="E220" s="9"/>
      <c r="F220" s="14"/>
      <c r="G220" s="15"/>
      <c r="H220" s="15"/>
      <c r="I220" s="15"/>
      <c r="J220" s="15"/>
      <c r="K220" s="15"/>
      <c r="L220" s="15"/>
      <c r="M220" s="11"/>
      <c r="N220" s="11"/>
      <c r="O220" s="19"/>
      <c r="P220" s="12"/>
      <c r="Q220" s="12"/>
      <c r="R220" s="20"/>
      <c r="S220" s="13"/>
      <c r="T220" s="13"/>
      <c r="U220" s="21"/>
    </row>
    <row r="221" spans="1:21" ht="13.2" x14ac:dyDescent="0.25">
      <c r="A221" s="9"/>
      <c r="B221" s="9"/>
      <c r="C221" s="9"/>
      <c r="D221" s="9"/>
      <c r="E221" s="9"/>
      <c r="F221" s="14"/>
      <c r="G221" s="15"/>
      <c r="H221" s="15"/>
      <c r="I221" s="15"/>
      <c r="J221" s="15"/>
      <c r="K221" s="15"/>
      <c r="L221" s="15"/>
      <c r="M221" s="11"/>
      <c r="N221" s="11"/>
      <c r="O221" s="19"/>
      <c r="P221" s="12"/>
      <c r="Q221" s="12"/>
      <c r="R221" s="20"/>
      <c r="S221" s="13"/>
      <c r="T221" s="13"/>
      <c r="U221" s="21"/>
    </row>
    <row r="222" spans="1:21" ht="13.2" x14ac:dyDescent="0.25">
      <c r="A222" s="9"/>
      <c r="B222" s="9"/>
      <c r="C222" s="9"/>
      <c r="D222" s="9"/>
      <c r="E222" s="9"/>
      <c r="F222" s="14"/>
      <c r="G222" s="15"/>
      <c r="H222" s="15"/>
      <c r="I222" s="15"/>
      <c r="J222" s="15"/>
      <c r="K222" s="15"/>
      <c r="L222" s="15"/>
      <c r="M222" s="11"/>
      <c r="N222" s="11"/>
      <c r="O222" s="19"/>
      <c r="P222" s="12"/>
      <c r="Q222" s="12"/>
      <c r="R222" s="20"/>
      <c r="S222" s="13"/>
      <c r="T222" s="13"/>
      <c r="U222" s="21"/>
    </row>
    <row r="223" spans="1:21" ht="13.2" x14ac:dyDescent="0.25">
      <c r="A223" s="9"/>
      <c r="B223" s="9"/>
      <c r="C223" s="9"/>
      <c r="D223" s="9"/>
      <c r="E223" s="9"/>
      <c r="F223" s="14"/>
      <c r="G223" s="15"/>
      <c r="H223" s="15"/>
      <c r="I223" s="15"/>
      <c r="J223" s="15"/>
      <c r="K223" s="15"/>
      <c r="L223" s="15"/>
      <c r="M223" s="11"/>
      <c r="N223" s="11"/>
      <c r="O223" s="19"/>
      <c r="P223" s="12"/>
      <c r="Q223" s="12"/>
      <c r="R223" s="20"/>
      <c r="S223" s="13"/>
      <c r="T223" s="13"/>
      <c r="U223" s="21"/>
    </row>
    <row r="224" spans="1:21" ht="13.2" x14ac:dyDescent="0.25">
      <c r="A224" s="9"/>
      <c r="B224" s="9"/>
      <c r="C224" s="9"/>
      <c r="D224" s="9"/>
      <c r="E224" s="9"/>
      <c r="F224" s="14"/>
      <c r="G224" s="15"/>
      <c r="H224" s="15"/>
      <c r="I224" s="15"/>
      <c r="J224" s="15"/>
      <c r="K224" s="15"/>
      <c r="L224" s="15"/>
      <c r="M224" s="11"/>
      <c r="N224" s="11"/>
      <c r="O224" s="19"/>
      <c r="P224" s="12"/>
      <c r="Q224" s="12"/>
      <c r="R224" s="20"/>
      <c r="S224" s="13"/>
      <c r="T224" s="13"/>
      <c r="U224" s="21"/>
    </row>
    <row r="225" spans="1:21" ht="13.2" x14ac:dyDescent="0.25">
      <c r="A225" s="9"/>
      <c r="B225" s="9"/>
      <c r="C225" s="9"/>
      <c r="D225" s="9"/>
      <c r="E225" s="9"/>
      <c r="F225" s="14"/>
      <c r="G225" s="15"/>
      <c r="H225" s="15"/>
      <c r="I225" s="15"/>
      <c r="J225" s="15"/>
      <c r="K225" s="15"/>
      <c r="L225" s="15"/>
      <c r="M225" s="11"/>
      <c r="N225" s="11"/>
      <c r="O225" s="19"/>
      <c r="P225" s="12"/>
      <c r="Q225" s="12"/>
      <c r="R225" s="20"/>
      <c r="S225" s="13"/>
      <c r="T225" s="13"/>
      <c r="U225" s="21"/>
    </row>
    <row r="226" spans="1:21" ht="13.2" x14ac:dyDescent="0.25">
      <c r="A226" s="9"/>
      <c r="B226" s="9"/>
      <c r="C226" s="9"/>
      <c r="D226" s="9"/>
      <c r="E226" s="9"/>
      <c r="F226" s="14"/>
      <c r="G226" s="15"/>
      <c r="H226" s="15"/>
      <c r="I226" s="15"/>
      <c r="J226" s="15"/>
      <c r="K226" s="15"/>
      <c r="L226" s="15"/>
      <c r="M226" s="11"/>
      <c r="N226" s="11"/>
      <c r="O226" s="19"/>
      <c r="P226" s="12"/>
      <c r="Q226" s="12"/>
      <c r="R226" s="20"/>
      <c r="S226" s="13"/>
      <c r="T226" s="13"/>
      <c r="U226" s="21"/>
    </row>
    <row r="227" spans="1:21" ht="13.2" x14ac:dyDescent="0.25">
      <c r="A227" s="9"/>
      <c r="B227" s="9"/>
      <c r="C227" s="9"/>
      <c r="D227" s="9"/>
      <c r="E227" s="9"/>
      <c r="F227" s="14"/>
      <c r="G227" s="15"/>
      <c r="H227" s="15"/>
      <c r="I227" s="15"/>
      <c r="J227" s="15"/>
      <c r="K227" s="15"/>
      <c r="L227" s="15"/>
      <c r="M227" s="11"/>
      <c r="N227" s="11"/>
      <c r="O227" s="19"/>
      <c r="P227" s="12"/>
      <c r="Q227" s="12"/>
      <c r="R227" s="20"/>
      <c r="S227" s="13"/>
      <c r="T227" s="13"/>
      <c r="U227" s="21"/>
    </row>
    <row r="228" spans="1:21" ht="13.2" x14ac:dyDescent="0.25">
      <c r="A228" s="9"/>
      <c r="B228" s="9"/>
      <c r="C228" s="9"/>
      <c r="D228" s="9"/>
      <c r="E228" s="9"/>
      <c r="F228" s="14"/>
      <c r="G228" s="15"/>
      <c r="H228" s="15"/>
      <c r="I228" s="15"/>
      <c r="J228" s="15"/>
      <c r="K228" s="15"/>
      <c r="L228" s="15"/>
      <c r="M228" s="11"/>
      <c r="N228" s="11"/>
      <c r="O228" s="19"/>
      <c r="P228" s="12"/>
      <c r="Q228" s="12"/>
      <c r="R228" s="20"/>
      <c r="S228" s="13"/>
      <c r="T228" s="13"/>
      <c r="U228" s="21"/>
    </row>
    <row r="229" spans="1:21" ht="13.2" x14ac:dyDescent="0.25">
      <c r="A229" s="9"/>
      <c r="B229" s="9"/>
      <c r="C229" s="9"/>
      <c r="D229" s="9"/>
      <c r="E229" s="9"/>
      <c r="F229" s="14"/>
      <c r="G229" s="15"/>
      <c r="H229" s="15"/>
      <c r="I229" s="15"/>
      <c r="J229" s="15"/>
      <c r="K229" s="15"/>
      <c r="L229" s="15"/>
      <c r="M229" s="11"/>
      <c r="N229" s="11"/>
      <c r="O229" s="19"/>
      <c r="P229" s="12"/>
      <c r="Q229" s="12"/>
      <c r="R229" s="20"/>
      <c r="S229" s="13"/>
      <c r="T229" s="13"/>
      <c r="U229" s="21"/>
    </row>
    <row r="230" spans="1:21" ht="13.2" x14ac:dyDescent="0.25">
      <c r="A230" s="9"/>
      <c r="B230" s="9"/>
      <c r="C230" s="9"/>
      <c r="D230" s="9"/>
      <c r="E230" s="9"/>
      <c r="F230" s="14"/>
      <c r="G230" s="15"/>
      <c r="H230" s="15"/>
      <c r="I230" s="15"/>
      <c r="J230" s="15"/>
      <c r="K230" s="15"/>
      <c r="L230" s="15"/>
      <c r="M230" s="11"/>
      <c r="N230" s="11"/>
      <c r="O230" s="19"/>
      <c r="P230" s="12"/>
      <c r="Q230" s="12"/>
      <c r="R230" s="20"/>
      <c r="S230" s="13"/>
      <c r="T230" s="13"/>
      <c r="U230" s="21"/>
    </row>
    <row r="231" spans="1:21" ht="13.2" x14ac:dyDescent="0.25">
      <c r="A231" s="9"/>
      <c r="B231" s="9"/>
      <c r="C231" s="9"/>
      <c r="D231" s="9"/>
      <c r="E231" s="9"/>
      <c r="F231" s="14"/>
      <c r="G231" s="15"/>
      <c r="H231" s="15"/>
      <c r="I231" s="15"/>
      <c r="J231" s="15"/>
      <c r="K231" s="15"/>
      <c r="L231" s="15"/>
      <c r="M231" s="11"/>
      <c r="N231" s="11"/>
      <c r="O231" s="19"/>
      <c r="P231" s="12"/>
      <c r="Q231" s="12"/>
      <c r="R231" s="20"/>
      <c r="S231" s="13"/>
      <c r="T231" s="13"/>
      <c r="U231" s="21"/>
    </row>
    <row r="232" spans="1:21" ht="13.2" x14ac:dyDescent="0.25">
      <c r="A232" s="9"/>
      <c r="B232" s="9"/>
      <c r="C232" s="9"/>
      <c r="D232" s="9"/>
      <c r="E232" s="9"/>
      <c r="F232" s="14"/>
      <c r="G232" s="15"/>
      <c r="H232" s="15"/>
      <c r="I232" s="15"/>
      <c r="J232" s="15"/>
      <c r="K232" s="15"/>
      <c r="L232" s="15"/>
      <c r="M232" s="11"/>
      <c r="N232" s="11"/>
      <c r="O232" s="19"/>
      <c r="P232" s="12"/>
      <c r="Q232" s="12"/>
      <c r="R232" s="20"/>
      <c r="S232" s="13"/>
      <c r="T232" s="13"/>
      <c r="U232" s="21"/>
    </row>
    <row r="233" spans="1:21" ht="13.2" x14ac:dyDescent="0.25">
      <c r="A233" s="9"/>
      <c r="B233" s="9"/>
      <c r="C233" s="9"/>
      <c r="D233" s="9"/>
      <c r="E233" s="9"/>
      <c r="F233" s="14"/>
      <c r="G233" s="15"/>
      <c r="H233" s="15"/>
      <c r="I233" s="15"/>
      <c r="J233" s="15"/>
      <c r="K233" s="15"/>
      <c r="L233" s="15"/>
      <c r="M233" s="11"/>
      <c r="N233" s="11"/>
      <c r="O233" s="19"/>
      <c r="P233" s="12"/>
      <c r="Q233" s="12"/>
      <c r="R233" s="20"/>
      <c r="S233" s="13"/>
      <c r="T233" s="13"/>
      <c r="U233" s="21"/>
    </row>
    <row r="234" spans="1:21" ht="13.2" x14ac:dyDescent="0.25">
      <c r="A234" s="9"/>
      <c r="B234" s="9"/>
      <c r="C234" s="9"/>
      <c r="D234" s="9"/>
      <c r="E234" s="9"/>
      <c r="F234" s="14"/>
      <c r="G234" s="15"/>
      <c r="H234" s="15"/>
      <c r="I234" s="15"/>
      <c r="J234" s="15"/>
      <c r="K234" s="15"/>
      <c r="L234" s="15"/>
      <c r="M234" s="11"/>
      <c r="N234" s="11"/>
      <c r="O234" s="19"/>
      <c r="P234" s="12"/>
      <c r="Q234" s="12"/>
      <c r="R234" s="20"/>
      <c r="S234" s="13"/>
      <c r="T234" s="13"/>
      <c r="U234" s="21"/>
    </row>
    <row r="235" spans="1:21" ht="13.2" x14ac:dyDescent="0.25">
      <c r="A235" s="9"/>
      <c r="B235" s="9"/>
      <c r="C235" s="9"/>
      <c r="D235" s="9"/>
      <c r="E235" s="9"/>
      <c r="F235" s="14"/>
      <c r="G235" s="15"/>
      <c r="H235" s="15"/>
      <c r="I235" s="15"/>
      <c r="J235" s="15"/>
      <c r="K235" s="15"/>
      <c r="L235" s="15"/>
      <c r="M235" s="11"/>
      <c r="N235" s="11"/>
      <c r="O235" s="19"/>
      <c r="P235" s="12"/>
      <c r="Q235" s="12"/>
      <c r="R235" s="20"/>
      <c r="S235" s="13"/>
      <c r="T235" s="13"/>
      <c r="U235" s="21"/>
    </row>
    <row r="236" spans="1:21" ht="13.2" x14ac:dyDescent="0.25">
      <c r="A236" s="9"/>
      <c r="B236" s="9"/>
      <c r="C236" s="9"/>
      <c r="D236" s="9"/>
      <c r="E236" s="9"/>
      <c r="F236" s="14"/>
      <c r="G236" s="15"/>
      <c r="H236" s="15"/>
      <c r="I236" s="15"/>
      <c r="J236" s="15"/>
      <c r="K236" s="15"/>
      <c r="L236" s="15"/>
      <c r="M236" s="11"/>
      <c r="N236" s="11"/>
      <c r="O236" s="19"/>
      <c r="P236" s="12"/>
      <c r="Q236" s="12"/>
      <c r="R236" s="20"/>
      <c r="S236" s="13"/>
      <c r="T236" s="13"/>
      <c r="U236" s="21"/>
    </row>
    <row r="237" spans="1:21" ht="13.2" x14ac:dyDescent="0.25">
      <c r="A237" s="9"/>
      <c r="B237" s="9"/>
      <c r="C237" s="9"/>
      <c r="D237" s="9"/>
      <c r="E237" s="9"/>
      <c r="F237" s="14"/>
      <c r="G237" s="15"/>
      <c r="H237" s="15"/>
      <c r="I237" s="15"/>
      <c r="J237" s="15"/>
      <c r="K237" s="15"/>
      <c r="L237" s="15"/>
      <c r="M237" s="11"/>
      <c r="N237" s="11"/>
      <c r="O237" s="19"/>
      <c r="P237" s="12"/>
      <c r="Q237" s="12"/>
      <c r="R237" s="20"/>
      <c r="S237" s="13"/>
      <c r="T237" s="13"/>
      <c r="U237" s="21"/>
    </row>
    <row r="238" spans="1:21" ht="13.2" x14ac:dyDescent="0.25">
      <c r="A238" s="9"/>
      <c r="B238" s="9"/>
      <c r="C238" s="9"/>
      <c r="D238" s="9"/>
      <c r="E238" s="9"/>
      <c r="F238" s="14"/>
      <c r="G238" s="15"/>
      <c r="H238" s="15"/>
      <c r="I238" s="15"/>
      <c r="J238" s="15"/>
      <c r="K238" s="15"/>
      <c r="L238" s="15"/>
      <c r="M238" s="11"/>
      <c r="N238" s="11"/>
      <c r="O238" s="19"/>
      <c r="P238" s="12"/>
      <c r="Q238" s="12"/>
      <c r="R238" s="20"/>
      <c r="S238" s="13"/>
      <c r="T238" s="13"/>
      <c r="U238" s="21"/>
    </row>
    <row r="239" spans="1:21" ht="13.2" x14ac:dyDescent="0.25">
      <c r="A239" s="9"/>
      <c r="B239" s="9"/>
      <c r="C239" s="9"/>
      <c r="D239" s="9"/>
      <c r="E239" s="9"/>
      <c r="F239" s="14"/>
      <c r="G239" s="15"/>
      <c r="H239" s="15"/>
      <c r="I239" s="15"/>
      <c r="J239" s="15"/>
      <c r="K239" s="15"/>
      <c r="L239" s="15"/>
      <c r="M239" s="11"/>
      <c r="N239" s="11"/>
      <c r="O239" s="19"/>
      <c r="P239" s="12"/>
      <c r="Q239" s="12"/>
      <c r="R239" s="20"/>
      <c r="S239" s="13"/>
      <c r="T239" s="13"/>
      <c r="U239" s="21"/>
    </row>
    <row r="240" spans="1:21" ht="13.2" x14ac:dyDescent="0.25">
      <c r="A240" s="9"/>
      <c r="B240" s="9"/>
      <c r="C240" s="9"/>
      <c r="D240" s="9"/>
      <c r="E240" s="9"/>
      <c r="F240" s="14"/>
      <c r="G240" s="15"/>
      <c r="H240" s="15"/>
      <c r="I240" s="15"/>
      <c r="J240" s="15"/>
      <c r="K240" s="15"/>
      <c r="L240" s="15"/>
      <c r="M240" s="11"/>
      <c r="N240" s="11"/>
      <c r="O240" s="19"/>
      <c r="P240" s="12"/>
      <c r="Q240" s="12"/>
      <c r="R240" s="20"/>
      <c r="S240" s="13"/>
      <c r="T240" s="13"/>
      <c r="U240" s="21"/>
    </row>
    <row r="241" spans="1:21" ht="13.2" x14ac:dyDescent="0.25">
      <c r="A241" s="9"/>
      <c r="B241" s="9"/>
      <c r="C241" s="9"/>
      <c r="D241" s="9"/>
      <c r="E241" s="9"/>
      <c r="F241" s="14"/>
      <c r="G241" s="15"/>
      <c r="H241" s="15"/>
      <c r="I241" s="15"/>
      <c r="J241" s="15"/>
      <c r="K241" s="15"/>
      <c r="L241" s="15"/>
      <c r="M241" s="11"/>
      <c r="N241" s="11"/>
      <c r="O241" s="19"/>
      <c r="P241" s="12"/>
      <c r="Q241" s="12"/>
      <c r="R241" s="20"/>
      <c r="S241" s="13"/>
      <c r="T241" s="13"/>
      <c r="U241" s="21"/>
    </row>
    <row r="242" spans="1:21" ht="13.2" x14ac:dyDescent="0.25">
      <c r="A242" s="9"/>
      <c r="B242" s="9"/>
      <c r="C242" s="9"/>
      <c r="D242" s="9"/>
      <c r="E242" s="9"/>
      <c r="F242" s="14"/>
      <c r="G242" s="15"/>
      <c r="H242" s="15"/>
      <c r="I242" s="15"/>
      <c r="J242" s="15"/>
      <c r="K242" s="15"/>
      <c r="L242" s="15"/>
      <c r="M242" s="11"/>
      <c r="N242" s="11"/>
      <c r="O242" s="19"/>
      <c r="P242" s="12"/>
      <c r="Q242" s="12"/>
      <c r="R242" s="20"/>
      <c r="S242" s="13"/>
      <c r="T242" s="13"/>
      <c r="U242" s="21"/>
    </row>
    <row r="243" spans="1:21" ht="13.2" x14ac:dyDescent="0.25">
      <c r="A243" s="9"/>
      <c r="B243" s="9"/>
      <c r="C243" s="9"/>
      <c r="D243" s="9"/>
      <c r="E243" s="9"/>
      <c r="F243" s="14"/>
      <c r="G243" s="15"/>
      <c r="H243" s="15"/>
      <c r="I243" s="15"/>
      <c r="J243" s="15"/>
      <c r="K243" s="15"/>
      <c r="L243" s="15"/>
      <c r="M243" s="11"/>
      <c r="N243" s="11"/>
      <c r="O243" s="19"/>
      <c r="P243" s="12"/>
      <c r="Q243" s="12"/>
      <c r="R243" s="20"/>
      <c r="S243" s="13"/>
      <c r="T243" s="13"/>
      <c r="U243" s="21"/>
    </row>
    <row r="244" spans="1:21" ht="13.2" x14ac:dyDescent="0.25">
      <c r="A244" s="9"/>
      <c r="B244" s="9"/>
      <c r="C244" s="9"/>
      <c r="D244" s="9"/>
      <c r="E244" s="9"/>
      <c r="F244" s="14"/>
      <c r="G244" s="15"/>
      <c r="H244" s="15"/>
      <c r="I244" s="15"/>
      <c r="J244" s="15"/>
      <c r="K244" s="15"/>
      <c r="L244" s="15"/>
      <c r="M244" s="11"/>
      <c r="N244" s="11"/>
      <c r="O244" s="19"/>
      <c r="P244" s="12"/>
      <c r="Q244" s="12"/>
      <c r="R244" s="20"/>
      <c r="S244" s="13"/>
      <c r="T244" s="13"/>
      <c r="U244" s="21"/>
    </row>
    <row r="245" spans="1:21" ht="13.2" x14ac:dyDescent="0.25">
      <c r="A245" s="9"/>
      <c r="B245" s="9"/>
      <c r="C245" s="9"/>
      <c r="D245" s="9"/>
      <c r="E245" s="9"/>
      <c r="F245" s="14"/>
      <c r="G245" s="15"/>
      <c r="H245" s="15"/>
      <c r="I245" s="15"/>
      <c r="J245" s="15"/>
      <c r="K245" s="15"/>
      <c r="L245" s="15"/>
      <c r="M245" s="11"/>
      <c r="N245" s="11"/>
      <c r="O245" s="19"/>
      <c r="P245" s="12"/>
      <c r="Q245" s="12"/>
      <c r="R245" s="20"/>
      <c r="S245" s="13"/>
      <c r="T245" s="13"/>
      <c r="U245" s="21"/>
    </row>
    <row r="246" spans="1:21" ht="13.2" x14ac:dyDescent="0.25">
      <c r="A246" s="9"/>
      <c r="B246" s="9"/>
      <c r="C246" s="9"/>
      <c r="D246" s="9"/>
      <c r="E246" s="9"/>
      <c r="F246" s="14"/>
      <c r="G246" s="15"/>
      <c r="H246" s="15"/>
      <c r="I246" s="15"/>
      <c r="J246" s="15"/>
      <c r="K246" s="15"/>
      <c r="L246" s="15"/>
      <c r="M246" s="11"/>
      <c r="N246" s="11"/>
      <c r="O246" s="19"/>
      <c r="P246" s="12"/>
      <c r="Q246" s="12"/>
      <c r="R246" s="20"/>
      <c r="S246" s="13"/>
      <c r="T246" s="13"/>
      <c r="U246" s="21"/>
    </row>
    <row r="247" spans="1:21" ht="13.2" x14ac:dyDescent="0.25">
      <c r="A247" s="9"/>
      <c r="B247" s="9"/>
      <c r="C247" s="9"/>
      <c r="D247" s="9"/>
      <c r="E247" s="9"/>
      <c r="F247" s="14"/>
      <c r="G247" s="15"/>
      <c r="H247" s="15"/>
      <c r="I247" s="15"/>
      <c r="J247" s="15"/>
      <c r="K247" s="15"/>
      <c r="L247" s="15"/>
      <c r="M247" s="11"/>
      <c r="N247" s="11"/>
      <c r="O247" s="19"/>
      <c r="P247" s="12"/>
      <c r="Q247" s="12"/>
      <c r="R247" s="20"/>
      <c r="S247" s="13"/>
      <c r="T247" s="13"/>
      <c r="U247" s="21"/>
    </row>
    <row r="248" spans="1:21" ht="13.2" x14ac:dyDescent="0.25">
      <c r="A248" s="9"/>
      <c r="B248" s="9"/>
      <c r="C248" s="9"/>
      <c r="D248" s="9"/>
      <c r="E248" s="9"/>
      <c r="F248" s="14"/>
      <c r="G248" s="15"/>
      <c r="H248" s="15"/>
      <c r="I248" s="15"/>
      <c r="J248" s="15"/>
      <c r="K248" s="15"/>
      <c r="L248" s="15"/>
      <c r="M248" s="11"/>
      <c r="N248" s="11"/>
      <c r="O248" s="19"/>
      <c r="P248" s="12"/>
      <c r="Q248" s="12"/>
      <c r="R248" s="20"/>
      <c r="S248" s="13"/>
      <c r="T248" s="13"/>
      <c r="U248" s="21"/>
    </row>
    <row r="249" spans="1:21" ht="13.2" x14ac:dyDescent="0.25">
      <c r="A249" s="9"/>
      <c r="B249" s="9"/>
      <c r="C249" s="9"/>
      <c r="D249" s="9"/>
      <c r="E249" s="9"/>
      <c r="F249" s="14"/>
      <c r="G249" s="15"/>
      <c r="H249" s="15"/>
      <c r="I249" s="15"/>
      <c r="J249" s="15"/>
      <c r="K249" s="15"/>
      <c r="L249" s="15"/>
      <c r="M249" s="11"/>
      <c r="N249" s="11"/>
      <c r="O249" s="19"/>
      <c r="P249" s="12"/>
      <c r="Q249" s="12"/>
      <c r="R249" s="20"/>
      <c r="S249" s="13"/>
      <c r="T249" s="13"/>
      <c r="U249" s="21"/>
    </row>
    <row r="250" spans="1:21" ht="13.2" x14ac:dyDescent="0.25">
      <c r="A250" s="9"/>
      <c r="B250" s="9"/>
      <c r="C250" s="9"/>
      <c r="D250" s="9"/>
      <c r="E250" s="9"/>
      <c r="F250" s="14"/>
      <c r="G250" s="15"/>
      <c r="H250" s="15"/>
      <c r="I250" s="15"/>
      <c r="J250" s="15"/>
      <c r="K250" s="15"/>
      <c r="L250" s="15"/>
      <c r="M250" s="11"/>
      <c r="N250" s="11"/>
      <c r="O250" s="19"/>
      <c r="P250" s="12"/>
      <c r="Q250" s="12"/>
      <c r="R250" s="20"/>
      <c r="S250" s="13"/>
      <c r="T250" s="13"/>
      <c r="U250" s="21"/>
    </row>
    <row r="251" spans="1:21" ht="13.2" x14ac:dyDescent="0.25">
      <c r="A251" s="9"/>
      <c r="B251" s="9"/>
      <c r="C251" s="9"/>
      <c r="D251" s="9"/>
      <c r="E251" s="9"/>
      <c r="F251" s="14"/>
      <c r="G251" s="15"/>
      <c r="H251" s="15"/>
      <c r="I251" s="15"/>
      <c r="J251" s="15"/>
      <c r="K251" s="15"/>
      <c r="L251" s="15"/>
      <c r="M251" s="11"/>
      <c r="N251" s="11"/>
      <c r="O251" s="19"/>
      <c r="P251" s="12"/>
      <c r="Q251" s="12"/>
      <c r="R251" s="20"/>
      <c r="S251" s="13"/>
      <c r="T251" s="13"/>
      <c r="U251" s="21"/>
    </row>
    <row r="252" spans="1:21" ht="13.2" x14ac:dyDescent="0.25">
      <c r="A252" s="9"/>
      <c r="B252" s="9"/>
      <c r="C252" s="9"/>
      <c r="D252" s="9"/>
      <c r="E252" s="9"/>
      <c r="F252" s="14"/>
      <c r="G252" s="15"/>
      <c r="H252" s="15"/>
      <c r="I252" s="15"/>
      <c r="J252" s="15"/>
      <c r="K252" s="15"/>
      <c r="L252" s="15"/>
      <c r="M252" s="11"/>
      <c r="N252" s="11"/>
      <c r="O252" s="19"/>
      <c r="P252" s="12"/>
      <c r="Q252" s="12"/>
      <c r="R252" s="20"/>
      <c r="S252" s="13"/>
      <c r="T252" s="13"/>
      <c r="U252" s="21"/>
    </row>
    <row r="253" spans="1:21" ht="13.2" x14ac:dyDescent="0.25">
      <c r="A253" s="9"/>
      <c r="B253" s="9"/>
      <c r="C253" s="9"/>
      <c r="D253" s="9"/>
      <c r="E253" s="9"/>
      <c r="F253" s="14"/>
      <c r="G253" s="15"/>
      <c r="H253" s="15"/>
      <c r="I253" s="15"/>
      <c r="J253" s="15"/>
      <c r="K253" s="15"/>
      <c r="L253" s="15"/>
      <c r="M253" s="11"/>
      <c r="N253" s="11"/>
      <c r="O253" s="19"/>
      <c r="P253" s="12"/>
      <c r="Q253" s="12"/>
      <c r="R253" s="20"/>
      <c r="S253" s="13"/>
      <c r="T253" s="13"/>
      <c r="U253" s="21"/>
    </row>
    <row r="254" spans="1:21" ht="13.2" x14ac:dyDescent="0.25">
      <c r="A254" s="9"/>
      <c r="B254" s="9"/>
      <c r="C254" s="9"/>
      <c r="D254" s="9"/>
      <c r="E254" s="9"/>
      <c r="F254" s="14"/>
      <c r="G254" s="15"/>
      <c r="H254" s="15"/>
      <c r="I254" s="15"/>
      <c r="J254" s="15"/>
      <c r="K254" s="15"/>
      <c r="L254" s="15"/>
      <c r="M254" s="11"/>
      <c r="N254" s="11"/>
      <c r="O254" s="19"/>
      <c r="P254" s="12"/>
      <c r="Q254" s="12"/>
      <c r="R254" s="20"/>
      <c r="S254" s="13"/>
      <c r="T254" s="13"/>
      <c r="U254" s="21"/>
    </row>
    <row r="255" spans="1:21" ht="13.2" x14ac:dyDescent="0.25">
      <c r="A255" s="9"/>
      <c r="B255" s="9"/>
      <c r="C255" s="9"/>
      <c r="D255" s="9"/>
      <c r="E255" s="9"/>
      <c r="F255" s="14"/>
      <c r="G255" s="15"/>
      <c r="H255" s="15"/>
      <c r="I255" s="15"/>
      <c r="J255" s="15"/>
      <c r="K255" s="15"/>
      <c r="L255" s="15"/>
      <c r="M255" s="11"/>
      <c r="N255" s="11"/>
      <c r="O255" s="19"/>
      <c r="P255" s="12"/>
      <c r="Q255" s="12"/>
      <c r="R255" s="20"/>
      <c r="S255" s="13"/>
      <c r="T255" s="13"/>
      <c r="U255" s="21"/>
    </row>
    <row r="256" spans="1:21" ht="13.2" x14ac:dyDescent="0.25">
      <c r="A256" s="9"/>
      <c r="B256" s="9"/>
      <c r="C256" s="9"/>
      <c r="D256" s="9"/>
      <c r="E256" s="9"/>
      <c r="F256" s="14"/>
      <c r="G256" s="15"/>
      <c r="H256" s="15"/>
      <c r="I256" s="15"/>
      <c r="J256" s="15"/>
      <c r="K256" s="15"/>
      <c r="L256" s="15"/>
      <c r="M256" s="11"/>
      <c r="N256" s="11"/>
      <c r="O256" s="19"/>
      <c r="P256" s="12"/>
      <c r="Q256" s="12"/>
      <c r="R256" s="20"/>
      <c r="S256" s="13"/>
      <c r="T256" s="13"/>
      <c r="U256" s="21"/>
    </row>
    <row r="257" spans="1:21" ht="13.2" x14ac:dyDescent="0.25">
      <c r="A257" s="9"/>
      <c r="B257" s="9"/>
      <c r="C257" s="9"/>
      <c r="D257" s="9"/>
      <c r="E257" s="9"/>
      <c r="F257" s="14"/>
      <c r="G257" s="15"/>
      <c r="H257" s="15"/>
      <c r="I257" s="15"/>
      <c r="J257" s="15"/>
      <c r="K257" s="15"/>
      <c r="L257" s="15"/>
      <c r="M257" s="11"/>
      <c r="N257" s="11"/>
      <c r="O257" s="19"/>
      <c r="P257" s="12"/>
      <c r="Q257" s="12"/>
      <c r="R257" s="20"/>
      <c r="S257" s="13"/>
      <c r="T257" s="13"/>
      <c r="U257" s="21"/>
    </row>
    <row r="258" spans="1:21" ht="13.2" x14ac:dyDescent="0.25">
      <c r="A258" s="9"/>
      <c r="B258" s="9"/>
      <c r="C258" s="9"/>
      <c r="D258" s="9"/>
      <c r="E258" s="9"/>
      <c r="F258" s="14"/>
      <c r="G258" s="15"/>
      <c r="H258" s="15"/>
      <c r="I258" s="15"/>
      <c r="J258" s="15"/>
      <c r="K258" s="15"/>
      <c r="L258" s="15"/>
      <c r="M258" s="11"/>
      <c r="N258" s="11"/>
      <c r="O258" s="19"/>
      <c r="P258" s="12"/>
      <c r="Q258" s="12"/>
      <c r="R258" s="20"/>
      <c r="S258" s="13"/>
      <c r="T258" s="13"/>
      <c r="U258" s="21"/>
    </row>
    <row r="259" spans="1:21" ht="13.2" x14ac:dyDescent="0.25">
      <c r="A259" s="9"/>
      <c r="B259" s="9"/>
      <c r="C259" s="9"/>
      <c r="D259" s="9"/>
      <c r="E259" s="9"/>
      <c r="F259" s="14"/>
      <c r="G259" s="15"/>
      <c r="H259" s="15"/>
      <c r="I259" s="15"/>
      <c r="J259" s="15"/>
      <c r="K259" s="15"/>
      <c r="L259" s="15"/>
      <c r="M259" s="11"/>
      <c r="N259" s="11"/>
      <c r="O259" s="19"/>
      <c r="P259" s="12"/>
      <c r="Q259" s="12"/>
      <c r="R259" s="20"/>
      <c r="S259" s="13"/>
      <c r="T259" s="13"/>
      <c r="U259" s="21"/>
    </row>
    <row r="260" spans="1:21" ht="13.2" x14ac:dyDescent="0.25">
      <c r="A260" s="9"/>
      <c r="B260" s="9"/>
      <c r="C260" s="9"/>
      <c r="D260" s="9"/>
      <c r="E260" s="9"/>
      <c r="F260" s="14"/>
      <c r="G260" s="15"/>
      <c r="H260" s="15"/>
      <c r="I260" s="15"/>
      <c r="J260" s="15"/>
      <c r="K260" s="15"/>
      <c r="L260" s="15"/>
      <c r="M260" s="11"/>
      <c r="N260" s="11"/>
      <c r="O260" s="19"/>
      <c r="P260" s="12"/>
      <c r="Q260" s="12"/>
      <c r="R260" s="20"/>
      <c r="S260" s="13"/>
      <c r="T260" s="13"/>
      <c r="U260" s="21"/>
    </row>
    <row r="261" spans="1:21" ht="13.2" x14ac:dyDescent="0.25">
      <c r="A261" s="9"/>
      <c r="B261" s="9"/>
      <c r="C261" s="9"/>
      <c r="D261" s="9"/>
      <c r="E261" s="9"/>
      <c r="F261" s="14"/>
      <c r="G261" s="15"/>
      <c r="H261" s="15"/>
      <c r="I261" s="15"/>
      <c r="J261" s="15"/>
      <c r="K261" s="15"/>
      <c r="L261" s="15"/>
      <c r="M261" s="11"/>
      <c r="N261" s="11"/>
      <c r="O261" s="19"/>
      <c r="P261" s="12"/>
      <c r="Q261" s="12"/>
      <c r="R261" s="20"/>
      <c r="S261" s="13"/>
      <c r="T261" s="13"/>
      <c r="U261" s="21"/>
    </row>
    <row r="262" spans="1:21" ht="13.2" x14ac:dyDescent="0.25">
      <c r="A262" s="9"/>
      <c r="B262" s="9"/>
      <c r="C262" s="9"/>
      <c r="D262" s="9"/>
      <c r="E262" s="9"/>
      <c r="F262" s="14"/>
      <c r="G262" s="15"/>
      <c r="H262" s="15"/>
      <c r="I262" s="15"/>
      <c r="J262" s="15"/>
      <c r="K262" s="15"/>
      <c r="L262" s="15"/>
      <c r="M262" s="11"/>
      <c r="N262" s="11"/>
      <c r="O262" s="19"/>
      <c r="P262" s="12"/>
      <c r="Q262" s="12"/>
      <c r="R262" s="20"/>
      <c r="S262" s="13"/>
      <c r="T262" s="13"/>
      <c r="U262" s="21"/>
    </row>
    <row r="263" spans="1:21" ht="13.2" x14ac:dyDescent="0.25">
      <c r="A263" s="9"/>
      <c r="B263" s="9"/>
      <c r="C263" s="9"/>
      <c r="D263" s="9"/>
      <c r="E263" s="9"/>
      <c r="F263" s="14"/>
      <c r="G263" s="15"/>
      <c r="H263" s="15"/>
      <c r="I263" s="15"/>
      <c r="J263" s="15"/>
      <c r="K263" s="15"/>
      <c r="L263" s="15"/>
      <c r="M263" s="11"/>
      <c r="N263" s="11"/>
      <c r="O263" s="19"/>
      <c r="P263" s="12"/>
      <c r="Q263" s="12"/>
      <c r="R263" s="20"/>
      <c r="S263" s="13"/>
      <c r="T263" s="13"/>
      <c r="U263" s="21"/>
    </row>
    <row r="264" spans="1:21" ht="13.2" x14ac:dyDescent="0.25">
      <c r="A264" s="9"/>
      <c r="B264" s="9"/>
      <c r="C264" s="9"/>
      <c r="D264" s="9"/>
      <c r="E264" s="9"/>
      <c r="F264" s="14"/>
      <c r="G264" s="15"/>
      <c r="H264" s="15"/>
      <c r="I264" s="15"/>
      <c r="J264" s="15"/>
      <c r="K264" s="15"/>
      <c r="L264" s="15"/>
      <c r="M264" s="11"/>
      <c r="N264" s="11"/>
      <c r="O264" s="19"/>
      <c r="P264" s="12"/>
      <c r="Q264" s="12"/>
      <c r="R264" s="20"/>
      <c r="S264" s="13"/>
      <c r="T264" s="13"/>
      <c r="U264" s="21"/>
    </row>
    <row r="265" spans="1:21" ht="13.2" x14ac:dyDescent="0.25">
      <c r="A265" s="9"/>
      <c r="B265" s="9"/>
      <c r="C265" s="9"/>
      <c r="D265" s="9"/>
      <c r="E265" s="9"/>
      <c r="F265" s="14"/>
      <c r="G265" s="15"/>
      <c r="H265" s="15"/>
      <c r="I265" s="15"/>
      <c r="J265" s="15"/>
      <c r="K265" s="15"/>
      <c r="L265" s="15"/>
      <c r="M265" s="11"/>
      <c r="N265" s="11"/>
      <c r="O265" s="19"/>
      <c r="P265" s="12"/>
      <c r="Q265" s="12"/>
      <c r="R265" s="20"/>
      <c r="S265" s="13"/>
      <c r="T265" s="13"/>
      <c r="U265" s="21"/>
    </row>
    <row r="266" spans="1:21" ht="13.2" x14ac:dyDescent="0.25">
      <c r="A266" s="9"/>
      <c r="B266" s="9"/>
      <c r="C266" s="9"/>
      <c r="D266" s="9"/>
      <c r="E266" s="9"/>
      <c r="F266" s="14"/>
      <c r="G266" s="15"/>
      <c r="H266" s="15"/>
      <c r="I266" s="15"/>
      <c r="J266" s="15"/>
      <c r="K266" s="15"/>
      <c r="L266" s="15"/>
      <c r="M266" s="11"/>
      <c r="N266" s="11"/>
      <c r="O266" s="19"/>
      <c r="P266" s="12"/>
      <c r="Q266" s="12"/>
      <c r="R266" s="20"/>
      <c r="S266" s="13"/>
      <c r="T266" s="13"/>
      <c r="U266" s="21"/>
    </row>
    <row r="267" spans="1:21" ht="13.2" x14ac:dyDescent="0.25">
      <c r="A267" s="9"/>
      <c r="B267" s="9"/>
      <c r="C267" s="9"/>
      <c r="D267" s="9"/>
      <c r="E267" s="9"/>
      <c r="F267" s="14"/>
      <c r="G267" s="15"/>
      <c r="H267" s="15"/>
      <c r="I267" s="15"/>
      <c r="J267" s="15"/>
      <c r="K267" s="15"/>
      <c r="L267" s="15"/>
      <c r="M267" s="11"/>
      <c r="N267" s="11"/>
      <c r="O267" s="19"/>
      <c r="P267" s="12"/>
      <c r="Q267" s="12"/>
      <c r="R267" s="20"/>
      <c r="S267" s="13"/>
      <c r="T267" s="13"/>
      <c r="U267" s="21"/>
    </row>
    <row r="268" spans="1:21" ht="13.2" x14ac:dyDescent="0.25">
      <c r="A268" s="9"/>
      <c r="B268" s="9"/>
      <c r="C268" s="9"/>
      <c r="D268" s="9"/>
      <c r="E268" s="9"/>
      <c r="F268" s="14"/>
      <c r="G268" s="15"/>
      <c r="H268" s="15"/>
      <c r="I268" s="15"/>
      <c r="J268" s="15"/>
      <c r="K268" s="15"/>
      <c r="L268" s="15"/>
      <c r="M268" s="11"/>
      <c r="N268" s="11"/>
      <c r="O268" s="19"/>
      <c r="P268" s="12"/>
      <c r="Q268" s="12"/>
      <c r="R268" s="20"/>
      <c r="S268" s="13"/>
      <c r="T268" s="13"/>
      <c r="U268" s="21"/>
    </row>
    <row r="269" spans="1:21" ht="13.2" x14ac:dyDescent="0.25">
      <c r="A269" s="9"/>
      <c r="B269" s="9"/>
      <c r="C269" s="9"/>
      <c r="D269" s="9"/>
      <c r="E269" s="9"/>
      <c r="F269" s="14"/>
      <c r="G269" s="15"/>
      <c r="H269" s="15"/>
      <c r="I269" s="15"/>
      <c r="J269" s="15"/>
      <c r="K269" s="15"/>
      <c r="L269" s="15"/>
      <c r="M269" s="11"/>
      <c r="N269" s="11"/>
      <c r="O269" s="19"/>
      <c r="P269" s="12"/>
      <c r="Q269" s="12"/>
      <c r="R269" s="20"/>
      <c r="S269" s="13"/>
      <c r="T269" s="13"/>
      <c r="U269" s="21"/>
    </row>
    <row r="270" spans="1:21" ht="13.2" x14ac:dyDescent="0.25">
      <c r="A270" s="9"/>
      <c r="B270" s="9"/>
      <c r="C270" s="9"/>
      <c r="D270" s="9"/>
      <c r="E270" s="9"/>
      <c r="F270" s="14"/>
      <c r="G270" s="15"/>
      <c r="H270" s="15"/>
      <c r="I270" s="15"/>
      <c r="J270" s="15"/>
      <c r="K270" s="15"/>
      <c r="L270" s="15"/>
      <c r="M270" s="11"/>
      <c r="N270" s="11"/>
      <c r="O270" s="19"/>
      <c r="P270" s="12"/>
      <c r="Q270" s="12"/>
      <c r="R270" s="20"/>
      <c r="S270" s="13"/>
      <c r="T270" s="13"/>
      <c r="U270" s="21"/>
    </row>
    <row r="271" spans="1:21" ht="13.2" x14ac:dyDescent="0.25">
      <c r="A271" s="9"/>
      <c r="B271" s="9"/>
      <c r="C271" s="9"/>
      <c r="D271" s="9"/>
      <c r="E271" s="9"/>
      <c r="F271" s="14"/>
      <c r="G271" s="15"/>
      <c r="H271" s="15"/>
      <c r="I271" s="15"/>
      <c r="J271" s="15"/>
      <c r="K271" s="15"/>
      <c r="L271" s="15"/>
      <c r="M271" s="11"/>
      <c r="N271" s="11"/>
      <c r="O271" s="19"/>
      <c r="P271" s="12"/>
      <c r="Q271" s="12"/>
      <c r="R271" s="20"/>
      <c r="S271" s="13"/>
      <c r="T271" s="13"/>
      <c r="U271" s="21"/>
    </row>
    <row r="272" spans="1:21" ht="13.2" x14ac:dyDescent="0.25">
      <c r="A272" s="9"/>
      <c r="B272" s="9"/>
      <c r="C272" s="9"/>
      <c r="D272" s="9"/>
      <c r="E272" s="9"/>
      <c r="F272" s="14"/>
      <c r="G272" s="15"/>
      <c r="H272" s="15"/>
      <c r="I272" s="15"/>
      <c r="J272" s="15"/>
      <c r="K272" s="15"/>
      <c r="L272" s="15"/>
      <c r="M272" s="11"/>
      <c r="N272" s="11"/>
      <c r="O272" s="19"/>
      <c r="P272" s="12"/>
      <c r="Q272" s="12"/>
      <c r="R272" s="20"/>
      <c r="S272" s="13"/>
      <c r="T272" s="13"/>
      <c r="U272" s="21"/>
    </row>
    <row r="273" spans="1:21" ht="13.2" x14ac:dyDescent="0.25">
      <c r="A273" s="9"/>
      <c r="B273" s="9"/>
      <c r="C273" s="9"/>
      <c r="D273" s="9"/>
      <c r="E273" s="9"/>
      <c r="F273" s="14"/>
      <c r="G273" s="15"/>
      <c r="H273" s="15"/>
      <c r="I273" s="15"/>
      <c r="J273" s="15"/>
      <c r="K273" s="15"/>
      <c r="L273" s="15"/>
      <c r="M273" s="11"/>
      <c r="N273" s="11"/>
      <c r="O273" s="19"/>
      <c r="P273" s="12"/>
      <c r="Q273" s="12"/>
      <c r="R273" s="20"/>
      <c r="S273" s="13"/>
      <c r="T273" s="13"/>
      <c r="U273" s="21"/>
    </row>
    <row r="274" spans="1:21" ht="13.2" x14ac:dyDescent="0.25">
      <c r="A274" s="9"/>
      <c r="B274" s="9"/>
      <c r="C274" s="9"/>
      <c r="D274" s="9"/>
      <c r="E274" s="9"/>
      <c r="F274" s="14"/>
      <c r="G274" s="15"/>
      <c r="H274" s="15"/>
      <c r="I274" s="15"/>
      <c r="J274" s="15"/>
      <c r="K274" s="15"/>
      <c r="L274" s="15"/>
      <c r="M274" s="11"/>
      <c r="N274" s="11"/>
      <c r="O274" s="19"/>
      <c r="P274" s="12"/>
      <c r="Q274" s="12"/>
      <c r="R274" s="20"/>
      <c r="S274" s="13"/>
      <c r="T274" s="13"/>
      <c r="U274" s="21"/>
    </row>
    <row r="275" spans="1:21" ht="13.2" x14ac:dyDescent="0.25">
      <c r="A275" s="9"/>
      <c r="B275" s="9"/>
      <c r="C275" s="9"/>
      <c r="D275" s="9"/>
      <c r="E275" s="9"/>
      <c r="F275" s="14"/>
      <c r="G275" s="15"/>
      <c r="H275" s="15"/>
      <c r="I275" s="15"/>
      <c r="J275" s="15"/>
      <c r="K275" s="15"/>
      <c r="L275" s="15"/>
      <c r="M275" s="11"/>
      <c r="N275" s="11"/>
      <c r="O275" s="19"/>
      <c r="P275" s="12"/>
      <c r="Q275" s="12"/>
      <c r="R275" s="20"/>
      <c r="S275" s="13"/>
      <c r="T275" s="13"/>
      <c r="U275" s="21"/>
    </row>
    <row r="276" spans="1:21" ht="13.2" x14ac:dyDescent="0.25">
      <c r="A276" s="9"/>
      <c r="B276" s="9"/>
      <c r="C276" s="9"/>
      <c r="D276" s="9"/>
      <c r="E276" s="9"/>
      <c r="F276" s="14"/>
      <c r="G276" s="15"/>
      <c r="H276" s="15"/>
      <c r="I276" s="15"/>
      <c r="J276" s="15"/>
      <c r="K276" s="15"/>
      <c r="L276" s="15"/>
      <c r="M276" s="11"/>
      <c r="N276" s="11"/>
      <c r="O276" s="19"/>
      <c r="P276" s="12"/>
      <c r="Q276" s="12"/>
      <c r="R276" s="20"/>
      <c r="S276" s="13"/>
      <c r="T276" s="13"/>
      <c r="U276" s="21"/>
    </row>
    <row r="277" spans="1:21" ht="13.2" x14ac:dyDescent="0.25">
      <c r="A277" s="9"/>
      <c r="B277" s="9"/>
      <c r="C277" s="9"/>
      <c r="D277" s="9"/>
      <c r="E277" s="9"/>
      <c r="F277" s="14"/>
      <c r="G277" s="15"/>
      <c r="H277" s="15"/>
      <c r="I277" s="15"/>
      <c r="J277" s="15"/>
      <c r="K277" s="15"/>
      <c r="L277" s="15"/>
      <c r="M277" s="11"/>
      <c r="N277" s="11"/>
      <c r="O277" s="19"/>
      <c r="P277" s="12"/>
      <c r="Q277" s="12"/>
      <c r="R277" s="20"/>
      <c r="S277" s="13"/>
      <c r="T277" s="13"/>
      <c r="U277" s="21"/>
    </row>
    <row r="278" spans="1:21" ht="13.2" x14ac:dyDescent="0.25">
      <c r="A278" s="9"/>
      <c r="B278" s="9"/>
      <c r="C278" s="9"/>
      <c r="D278" s="9"/>
      <c r="E278" s="9"/>
      <c r="F278" s="14"/>
      <c r="G278" s="15"/>
      <c r="H278" s="15"/>
      <c r="I278" s="15"/>
      <c r="J278" s="15"/>
      <c r="K278" s="15"/>
      <c r="L278" s="15"/>
      <c r="M278" s="11"/>
      <c r="N278" s="11"/>
      <c r="O278" s="19"/>
      <c r="P278" s="12"/>
      <c r="Q278" s="12"/>
      <c r="R278" s="20"/>
      <c r="S278" s="13"/>
      <c r="T278" s="13"/>
      <c r="U278" s="21"/>
    </row>
    <row r="279" spans="1:21" ht="13.2" x14ac:dyDescent="0.25">
      <c r="A279" s="9"/>
      <c r="B279" s="9"/>
      <c r="C279" s="9"/>
      <c r="D279" s="9"/>
      <c r="E279" s="9"/>
      <c r="F279" s="14"/>
      <c r="G279" s="15"/>
      <c r="H279" s="15"/>
      <c r="I279" s="15"/>
      <c r="J279" s="15"/>
      <c r="K279" s="15"/>
      <c r="L279" s="15"/>
      <c r="M279" s="11"/>
      <c r="N279" s="11"/>
      <c r="O279" s="19"/>
      <c r="P279" s="12"/>
      <c r="Q279" s="12"/>
      <c r="R279" s="20"/>
      <c r="S279" s="13"/>
      <c r="T279" s="13"/>
      <c r="U279" s="21"/>
    </row>
    <row r="280" spans="1:21" ht="13.2" x14ac:dyDescent="0.25">
      <c r="A280" s="9"/>
      <c r="B280" s="9"/>
      <c r="C280" s="9"/>
      <c r="D280" s="9"/>
      <c r="E280" s="9"/>
      <c r="F280" s="14"/>
      <c r="G280" s="15"/>
      <c r="H280" s="15"/>
      <c r="I280" s="15"/>
      <c r="J280" s="15"/>
      <c r="K280" s="15"/>
      <c r="L280" s="15"/>
      <c r="M280" s="11"/>
      <c r="N280" s="11"/>
      <c r="O280" s="19"/>
      <c r="P280" s="12"/>
      <c r="Q280" s="12"/>
      <c r="R280" s="20"/>
      <c r="S280" s="13"/>
      <c r="T280" s="13"/>
      <c r="U280" s="21"/>
    </row>
    <row r="281" spans="1:21" ht="13.2" x14ac:dyDescent="0.25">
      <c r="A281" s="9"/>
      <c r="B281" s="9"/>
      <c r="C281" s="9"/>
      <c r="D281" s="9"/>
      <c r="E281" s="9"/>
      <c r="F281" s="14"/>
      <c r="G281" s="15"/>
      <c r="H281" s="15"/>
      <c r="I281" s="15"/>
      <c r="J281" s="15"/>
      <c r="K281" s="15"/>
      <c r="L281" s="15"/>
      <c r="M281" s="11"/>
      <c r="N281" s="11"/>
      <c r="O281" s="19"/>
      <c r="P281" s="12"/>
      <c r="Q281" s="12"/>
      <c r="R281" s="20"/>
      <c r="S281" s="13"/>
      <c r="T281" s="13"/>
      <c r="U281" s="21"/>
    </row>
    <row r="282" spans="1:21" ht="13.2" x14ac:dyDescent="0.25">
      <c r="A282" s="9"/>
      <c r="B282" s="9"/>
      <c r="C282" s="9"/>
      <c r="D282" s="9"/>
      <c r="E282" s="9"/>
      <c r="F282" s="14"/>
      <c r="G282" s="15"/>
      <c r="H282" s="15"/>
      <c r="I282" s="15"/>
      <c r="J282" s="15"/>
      <c r="K282" s="15"/>
      <c r="L282" s="15"/>
      <c r="M282" s="11"/>
      <c r="N282" s="11"/>
      <c r="O282" s="19"/>
      <c r="P282" s="12"/>
      <c r="Q282" s="12"/>
      <c r="R282" s="20"/>
      <c r="S282" s="13"/>
      <c r="T282" s="13"/>
      <c r="U282" s="21"/>
    </row>
    <row r="283" spans="1:21" ht="13.2" x14ac:dyDescent="0.25">
      <c r="A283" s="9"/>
      <c r="B283" s="9"/>
      <c r="C283" s="9"/>
      <c r="D283" s="9"/>
      <c r="E283" s="9"/>
      <c r="F283" s="14"/>
      <c r="G283" s="15"/>
      <c r="H283" s="15"/>
      <c r="I283" s="15"/>
      <c r="J283" s="15"/>
      <c r="K283" s="15"/>
      <c r="L283" s="15"/>
      <c r="M283" s="11"/>
      <c r="N283" s="11"/>
      <c r="O283" s="19"/>
      <c r="P283" s="12"/>
      <c r="Q283" s="12"/>
      <c r="R283" s="20"/>
      <c r="S283" s="13"/>
      <c r="T283" s="13"/>
      <c r="U283" s="21"/>
    </row>
    <row r="284" spans="1:21" ht="13.2" x14ac:dyDescent="0.25">
      <c r="A284" s="9"/>
      <c r="B284" s="9"/>
      <c r="C284" s="9"/>
      <c r="D284" s="9"/>
      <c r="E284" s="9"/>
      <c r="F284" s="14"/>
      <c r="G284" s="15"/>
      <c r="H284" s="15"/>
      <c r="I284" s="15"/>
      <c r="J284" s="15"/>
      <c r="K284" s="15"/>
      <c r="L284" s="15"/>
      <c r="M284" s="11"/>
      <c r="N284" s="11"/>
      <c r="O284" s="19"/>
      <c r="P284" s="12"/>
      <c r="Q284" s="12"/>
      <c r="R284" s="20"/>
      <c r="S284" s="13"/>
      <c r="T284" s="13"/>
      <c r="U284" s="21"/>
    </row>
    <row r="285" spans="1:21" ht="13.2" x14ac:dyDescent="0.25">
      <c r="A285" s="9"/>
      <c r="B285" s="9"/>
      <c r="C285" s="9"/>
      <c r="D285" s="9"/>
      <c r="E285" s="9"/>
      <c r="F285" s="14"/>
      <c r="G285" s="15"/>
      <c r="H285" s="15"/>
      <c r="I285" s="15"/>
      <c r="J285" s="15"/>
      <c r="K285" s="15"/>
      <c r="L285" s="15"/>
      <c r="M285" s="11"/>
      <c r="N285" s="11"/>
      <c r="O285" s="19"/>
      <c r="P285" s="12"/>
      <c r="Q285" s="12"/>
      <c r="R285" s="20"/>
      <c r="S285" s="13"/>
      <c r="T285" s="13"/>
      <c r="U285" s="21"/>
    </row>
    <row r="286" spans="1:21" ht="13.2" x14ac:dyDescent="0.25">
      <c r="A286" s="9"/>
      <c r="B286" s="9"/>
      <c r="C286" s="9"/>
      <c r="D286" s="9"/>
      <c r="E286" s="9"/>
      <c r="F286" s="14"/>
      <c r="G286" s="15"/>
      <c r="H286" s="15"/>
      <c r="I286" s="15"/>
      <c r="J286" s="15"/>
      <c r="K286" s="15"/>
      <c r="L286" s="15"/>
      <c r="M286" s="11"/>
      <c r="N286" s="11"/>
      <c r="O286" s="19"/>
      <c r="P286" s="12"/>
      <c r="Q286" s="12"/>
      <c r="R286" s="20"/>
      <c r="S286" s="13"/>
      <c r="T286" s="13"/>
      <c r="U286" s="21"/>
    </row>
    <row r="287" spans="1:21" ht="13.2" x14ac:dyDescent="0.25">
      <c r="A287" s="9"/>
      <c r="B287" s="9"/>
      <c r="C287" s="9"/>
      <c r="D287" s="9"/>
      <c r="E287" s="9"/>
      <c r="F287" s="14"/>
      <c r="G287" s="15"/>
      <c r="H287" s="15"/>
      <c r="I287" s="15"/>
      <c r="J287" s="15"/>
      <c r="K287" s="15"/>
      <c r="L287" s="15"/>
      <c r="M287" s="11"/>
      <c r="N287" s="11"/>
      <c r="O287" s="19"/>
      <c r="P287" s="12"/>
      <c r="Q287" s="12"/>
      <c r="R287" s="20"/>
      <c r="S287" s="13"/>
      <c r="T287" s="13"/>
      <c r="U287" s="21"/>
    </row>
    <row r="288" spans="1:21" ht="13.2" x14ac:dyDescent="0.25">
      <c r="A288" s="9"/>
      <c r="B288" s="9"/>
      <c r="C288" s="9"/>
      <c r="D288" s="9"/>
      <c r="E288" s="9"/>
      <c r="F288" s="14"/>
      <c r="G288" s="15"/>
      <c r="H288" s="15"/>
      <c r="I288" s="15"/>
      <c r="J288" s="15"/>
      <c r="K288" s="15"/>
      <c r="L288" s="15"/>
      <c r="M288" s="11"/>
      <c r="N288" s="11"/>
      <c r="O288" s="19"/>
      <c r="P288" s="12"/>
      <c r="Q288" s="12"/>
      <c r="R288" s="20"/>
      <c r="S288" s="13"/>
      <c r="T288" s="13"/>
      <c r="U288" s="21"/>
    </row>
    <row r="289" spans="1:21" ht="13.2" x14ac:dyDescent="0.25">
      <c r="A289" s="9"/>
      <c r="B289" s="9"/>
      <c r="C289" s="9"/>
      <c r="D289" s="9"/>
      <c r="E289" s="9"/>
      <c r="F289" s="14"/>
      <c r="G289" s="15"/>
      <c r="H289" s="15"/>
      <c r="I289" s="15"/>
      <c r="J289" s="15"/>
      <c r="K289" s="15"/>
      <c r="L289" s="15"/>
      <c r="M289" s="11"/>
      <c r="N289" s="11"/>
      <c r="O289" s="19"/>
      <c r="P289" s="12"/>
      <c r="Q289" s="12"/>
      <c r="R289" s="20"/>
      <c r="S289" s="13"/>
      <c r="T289" s="13"/>
      <c r="U289" s="21"/>
    </row>
    <row r="290" spans="1:21" ht="13.2" x14ac:dyDescent="0.25">
      <c r="A290" s="9"/>
      <c r="B290" s="9"/>
      <c r="C290" s="9"/>
      <c r="D290" s="9"/>
      <c r="E290" s="9"/>
      <c r="F290" s="14"/>
      <c r="G290" s="15"/>
      <c r="H290" s="15"/>
      <c r="I290" s="15"/>
      <c r="J290" s="15"/>
      <c r="K290" s="15"/>
      <c r="L290" s="15"/>
      <c r="M290" s="11"/>
      <c r="N290" s="11"/>
      <c r="O290" s="19"/>
      <c r="P290" s="12"/>
      <c r="Q290" s="12"/>
      <c r="R290" s="20"/>
      <c r="S290" s="13"/>
      <c r="T290" s="13"/>
      <c r="U290" s="21"/>
    </row>
    <row r="291" spans="1:21" ht="13.2" x14ac:dyDescent="0.25">
      <c r="A291" s="9"/>
      <c r="B291" s="9"/>
      <c r="C291" s="9"/>
      <c r="D291" s="9"/>
      <c r="E291" s="9"/>
      <c r="F291" s="14"/>
      <c r="G291" s="15"/>
      <c r="H291" s="15"/>
      <c r="I291" s="15"/>
      <c r="J291" s="15"/>
      <c r="K291" s="15"/>
      <c r="L291" s="15"/>
      <c r="M291" s="11"/>
      <c r="N291" s="11"/>
      <c r="O291" s="19"/>
      <c r="P291" s="12"/>
      <c r="Q291" s="12"/>
      <c r="R291" s="20"/>
      <c r="S291" s="13"/>
      <c r="T291" s="13"/>
      <c r="U291" s="21"/>
    </row>
    <row r="292" spans="1:21" ht="13.2" x14ac:dyDescent="0.25">
      <c r="A292" s="9"/>
      <c r="B292" s="9"/>
      <c r="C292" s="9"/>
      <c r="D292" s="9"/>
      <c r="E292" s="9"/>
      <c r="F292" s="14"/>
      <c r="G292" s="15"/>
      <c r="H292" s="15"/>
      <c r="I292" s="15"/>
      <c r="J292" s="15"/>
      <c r="K292" s="15"/>
      <c r="L292" s="15"/>
      <c r="M292" s="11"/>
      <c r="N292" s="11"/>
      <c r="O292" s="19"/>
      <c r="P292" s="12"/>
      <c r="Q292" s="12"/>
      <c r="R292" s="20"/>
      <c r="S292" s="13"/>
      <c r="T292" s="13"/>
      <c r="U292" s="21"/>
    </row>
    <row r="293" spans="1:21" ht="13.2" x14ac:dyDescent="0.25">
      <c r="A293" s="9"/>
      <c r="B293" s="9"/>
      <c r="C293" s="9"/>
      <c r="D293" s="9"/>
      <c r="E293" s="9"/>
      <c r="F293" s="14"/>
      <c r="G293" s="15"/>
      <c r="H293" s="15"/>
      <c r="I293" s="15"/>
      <c r="J293" s="15"/>
      <c r="K293" s="15"/>
      <c r="L293" s="15"/>
      <c r="M293" s="11"/>
      <c r="N293" s="11"/>
      <c r="O293" s="19"/>
      <c r="P293" s="12"/>
      <c r="Q293" s="12"/>
      <c r="R293" s="20"/>
      <c r="S293" s="13"/>
      <c r="T293" s="13"/>
      <c r="U293" s="21"/>
    </row>
    <row r="294" spans="1:21" ht="13.2" x14ac:dyDescent="0.25">
      <c r="A294" s="9"/>
      <c r="B294" s="9"/>
      <c r="C294" s="9"/>
      <c r="D294" s="9"/>
      <c r="E294" s="9"/>
      <c r="F294" s="14"/>
      <c r="G294" s="15"/>
      <c r="H294" s="15"/>
      <c r="I294" s="15"/>
      <c r="J294" s="15"/>
      <c r="K294" s="15"/>
      <c r="L294" s="15"/>
      <c r="M294" s="11"/>
      <c r="N294" s="11"/>
      <c r="O294" s="19"/>
      <c r="P294" s="12"/>
      <c r="Q294" s="12"/>
      <c r="R294" s="20"/>
      <c r="S294" s="13"/>
      <c r="T294" s="13"/>
      <c r="U294" s="21"/>
    </row>
    <row r="295" spans="1:21" ht="13.2" x14ac:dyDescent="0.25">
      <c r="A295" s="9"/>
      <c r="B295" s="9"/>
      <c r="C295" s="9"/>
      <c r="D295" s="9"/>
      <c r="E295" s="9"/>
      <c r="F295" s="14"/>
      <c r="G295" s="15"/>
      <c r="H295" s="15"/>
      <c r="I295" s="15"/>
      <c r="J295" s="15"/>
      <c r="K295" s="15"/>
      <c r="L295" s="15"/>
      <c r="M295" s="11"/>
      <c r="N295" s="11"/>
      <c r="O295" s="19"/>
      <c r="P295" s="12"/>
      <c r="Q295" s="12"/>
      <c r="R295" s="20"/>
      <c r="S295" s="13"/>
      <c r="T295" s="13"/>
      <c r="U295" s="21"/>
    </row>
    <row r="296" spans="1:21" ht="13.2" x14ac:dyDescent="0.25">
      <c r="A296" s="9"/>
      <c r="B296" s="9"/>
      <c r="C296" s="9"/>
      <c r="D296" s="9"/>
      <c r="E296" s="9"/>
      <c r="F296" s="14"/>
      <c r="G296" s="15"/>
      <c r="H296" s="15"/>
      <c r="I296" s="15"/>
      <c r="J296" s="15"/>
      <c r="K296" s="15"/>
      <c r="L296" s="15"/>
      <c r="M296" s="11"/>
      <c r="N296" s="11"/>
      <c r="O296" s="19"/>
      <c r="P296" s="12"/>
      <c r="Q296" s="12"/>
      <c r="R296" s="20"/>
      <c r="S296" s="13"/>
      <c r="T296" s="13"/>
      <c r="U296" s="21"/>
    </row>
    <row r="297" spans="1:21" ht="13.2" x14ac:dyDescent="0.25">
      <c r="A297" s="9"/>
      <c r="B297" s="9"/>
      <c r="C297" s="9"/>
      <c r="D297" s="9"/>
      <c r="E297" s="9"/>
      <c r="F297" s="14"/>
      <c r="G297" s="15"/>
      <c r="H297" s="15"/>
      <c r="I297" s="15"/>
      <c r="J297" s="15"/>
      <c r="K297" s="15"/>
      <c r="L297" s="15"/>
      <c r="M297" s="11"/>
      <c r="N297" s="11"/>
      <c r="O297" s="19"/>
      <c r="P297" s="12"/>
      <c r="Q297" s="12"/>
      <c r="R297" s="20"/>
      <c r="S297" s="13"/>
      <c r="T297" s="13"/>
      <c r="U297" s="21"/>
    </row>
    <row r="298" spans="1:21" ht="13.2" x14ac:dyDescent="0.25">
      <c r="A298" s="9"/>
      <c r="B298" s="9"/>
      <c r="C298" s="9"/>
      <c r="D298" s="9"/>
      <c r="E298" s="9"/>
      <c r="F298" s="14"/>
      <c r="G298" s="15"/>
      <c r="H298" s="15"/>
      <c r="I298" s="15"/>
      <c r="J298" s="15"/>
      <c r="K298" s="15"/>
      <c r="L298" s="15"/>
      <c r="M298" s="11"/>
      <c r="N298" s="11"/>
      <c r="O298" s="19"/>
      <c r="P298" s="12"/>
      <c r="Q298" s="12"/>
      <c r="R298" s="20"/>
      <c r="S298" s="13"/>
      <c r="T298" s="13"/>
      <c r="U298" s="21"/>
    </row>
    <row r="299" spans="1:21" ht="13.2" x14ac:dyDescent="0.25">
      <c r="A299" s="9"/>
      <c r="B299" s="9"/>
      <c r="C299" s="9"/>
      <c r="D299" s="9"/>
      <c r="E299" s="9"/>
      <c r="F299" s="14"/>
      <c r="G299" s="15"/>
      <c r="H299" s="15"/>
      <c r="I299" s="15"/>
      <c r="J299" s="15"/>
      <c r="K299" s="15"/>
      <c r="L299" s="15"/>
      <c r="M299" s="11"/>
      <c r="N299" s="11"/>
      <c r="O299" s="19"/>
      <c r="P299" s="12"/>
      <c r="Q299" s="12"/>
      <c r="R299" s="20"/>
      <c r="S299" s="13"/>
      <c r="T299" s="13"/>
      <c r="U299" s="21"/>
    </row>
    <row r="300" spans="1:21" ht="13.2" x14ac:dyDescent="0.25">
      <c r="A300" s="9"/>
      <c r="B300" s="9"/>
      <c r="C300" s="9"/>
      <c r="D300" s="9"/>
      <c r="E300" s="9"/>
      <c r="F300" s="14"/>
      <c r="G300" s="15"/>
      <c r="H300" s="15"/>
      <c r="I300" s="15"/>
      <c r="J300" s="15"/>
      <c r="K300" s="15"/>
      <c r="L300" s="15"/>
      <c r="M300" s="11"/>
      <c r="N300" s="11"/>
      <c r="O300" s="19"/>
      <c r="P300" s="12"/>
      <c r="Q300" s="12"/>
      <c r="R300" s="20"/>
      <c r="S300" s="13"/>
      <c r="T300" s="13"/>
      <c r="U300" s="21"/>
    </row>
    <row r="301" spans="1:21" ht="13.2" x14ac:dyDescent="0.25">
      <c r="A301" s="9"/>
      <c r="B301" s="9"/>
      <c r="C301" s="9"/>
      <c r="D301" s="9"/>
      <c r="E301" s="9"/>
      <c r="F301" s="14"/>
      <c r="G301" s="15"/>
      <c r="H301" s="15"/>
      <c r="I301" s="15"/>
      <c r="J301" s="15"/>
      <c r="K301" s="15"/>
      <c r="L301" s="15"/>
      <c r="M301" s="11"/>
      <c r="N301" s="11"/>
      <c r="O301" s="19"/>
      <c r="P301" s="12"/>
      <c r="Q301" s="12"/>
      <c r="R301" s="20"/>
      <c r="S301" s="13"/>
      <c r="T301" s="13"/>
      <c r="U301" s="21"/>
    </row>
    <row r="302" spans="1:21" ht="13.2" x14ac:dyDescent="0.25">
      <c r="A302" s="9"/>
      <c r="B302" s="9"/>
      <c r="C302" s="9"/>
      <c r="D302" s="9"/>
      <c r="E302" s="9"/>
      <c r="F302" s="14"/>
      <c r="G302" s="15"/>
      <c r="H302" s="15"/>
      <c r="I302" s="15"/>
      <c r="J302" s="15"/>
      <c r="K302" s="15"/>
      <c r="L302" s="15"/>
      <c r="M302" s="11"/>
      <c r="N302" s="11"/>
      <c r="O302" s="19"/>
      <c r="P302" s="12"/>
      <c r="Q302" s="12"/>
      <c r="R302" s="20"/>
      <c r="S302" s="13"/>
      <c r="T302" s="13"/>
      <c r="U302" s="21"/>
    </row>
    <row r="303" spans="1:21" ht="13.2" x14ac:dyDescent="0.25">
      <c r="A303" s="9"/>
      <c r="B303" s="9"/>
      <c r="C303" s="9"/>
      <c r="D303" s="9"/>
      <c r="E303" s="9"/>
      <c r="F303" s="14"/>
      <c r="G303" s="15"/>
      <c r="H303" s="15"/>
      <c r="I303" s="15"/>
      <c r="J303" s="15"/>
      <c r="K303" s="15"/>
      <c r="L303" s="15"/>
      <c r="M303" s="11"/>
      <c r="N303" s="11"/>
      <c r="O303" s="19"/>
      <c r="P303" s="12"/>
      <c r="Q303" s="12"/>
      <c r="R303" s="20"/>
      <c r="S303" s="13"/>
      <c r="T303" s="13"/>
      <c r="U303" s="21"/>
    </row>
    <row r="304" spans="1:21" ht="13.2" x14ac:dyDescent="0.25">
      <c r="A304" s="9"/>
      <c r="B304" s="9"/>
      <c r="C304" s="9"/>
      <c r="D304" s="9"/>
      <c r="E304" s="9"/>
      <c r="F304" s="14"/>
      <c r="G304" s="15"/>
      <c r="H304" s="15"/>
      <c r="I304" s="15"/>
      <c r="J304" s="15"/>
      <c r="K304" s="15"/>
      <c r="L304" s="15"/>
      <c r="M304" s="11"/>
      <c r="N304" s="11"/>
      <c r="O304" s="19"/>
      <c r="P304" s="12"/>
      <c r="Q304" s="12"/>
      <c r="R304" s="20"/>
      <c r="S304" s="13"/>
      <c r="T304" s="13"/>
      <c r="U304" s="21"/>
    </row>
    <row r="305" spans="1:21" ht="13.2" x14ac:dyDescent="0.25">
      <c r="A305" s="9"/>
      <c r="B305" s="9"/>
      <c r="C305" s="9"/>
      <c r="D305" s="9"/>
      <c r="E305" s="9"/>
      <c r="F305" s="14"/>
      <c r="G305" s="15"/>
      <c r="H305" s="15"/>
      <c r="I305" s="15"/>
      <c r="J305" s="15"/>
      <c r="K305" s="15"/>
      <c r="L305" s="15"/>
      <c r="M305" s="11"/>
      <c r="N305" s="11"/>
      <c r="O305" s="19"/>
      <c r="P305" s="12"/>
      <c r="Q305" s="12"/>
      <c r="R305" s="20"/>
      <c r="S305" s="13"/>
      <c r="T305" s="13"/>
      <c r="U305" s="21"/>
    </row>
    <row r="306" spans="1:21" ht="13.2" x14ac:dyDescent="0.25">
      <c r="A306" s="9"/>
      <c r="B306" s="9"/>
      <c r="C306" s="9"/>
      <c r="D306" s="9"/>
      <c r="E306" s="9"/>
      <c r="F306" s="14"/>
      <c r="G306" s="15"/>
      <c r="H306" s="15"/>
      <c r="I306" s="15"/>
      <c r="J306" s="15"/>
      <c r="K306" s="15"/>
      <c r="L306" s="15"/>
      <c r="M306" s="11"/>
      <c r="N306" s="11"/>
      <c r="O306" s="19"/>
      <c r="P306" s="12"/>
      <c r="Q306" s="12"/>
      <c r="R306" s="20"/>
      <c r="S306" s="13"/>
      <c r="T306" s="13"/>
      <c r="U306" s="21"/>
    </row>
    <row r="307" spans="1:21" ht="13.2" x14ac:dyDescent="0.25">
      <c r="A307" s="9"/>
      <c r="B307" s="9"/>
      <c r="C307" s="9"/>
      <c r="D307" s="9"/>
      <c r="E307" s="9"/>
      <c r="F307" s="14"/>
      <c r="G307" s="15"/>
      <c r="H307" s="15"/>
      <c r="I307" s="15"/>
      <c r="J307" s="15"/>
      <c r="K307" s="15"/>
      <c r="L307" s="15"/>
      <c r="M307" s="11"/>
      <c r="N307" s="11"/>
      <c r="O307" s="19"/>
      <c r="P307" s="12"/>
      <c r="Q307" s="12"/>
      <c r="R307" s="20"/>
      <c r="S307" s="13"/>
      <c r="T307" s="13"/>
      <c r="U307" s="21"/>
    </row>
    <row r="308" spans="1:21" ht="13.2" x14ac:dyDescent="0.25">
      <c r="A308" s="9"/>
      <c r="B308" s="9"/>
      <c r="C308" s="9"/>
      <c r="D308" s="9"/>
      <c r="E308" s="9"/>
      <c r="F308" s="14"/>
      <c r="G308" s="15"/>
      <c r="H308" s="15"/>
      <c r="I308" s="15"/>
      <c r="J308" s="15"/>
      <c r="K308" s="15"/>
      <c r="L308" s="15"/>
      <c r="M308" s="11"/>
      <c r="N308" s="11"/>
      <c r="O308" s="19"/>
      <c r="P308" s="12"/>
      <c r="Q308" s="12"/>
      <c r="R308" s="20"/>
      <c r="S308" s="13"/>
      <c r="T308" s="13"/>
      <c r="U308" s="21"/>
    </row>
    <row r="309" spans="1:21" ht="13.2" x14ac:dyDescent="0.25">
      <c r="A309" s="9"/>
      <c r="B309" s="9"/>
      <c r="C309" s="9"/>
      <c r="D309" s="9"/>
      <c r="E309" s="9"/>
      <c r="F309" s="14"/>
      <c r="G309" s="15"/>
      <c r="H309" s="15"/>
      <c r="I309" s="15"/>
      <c r="J309" s="15"/>
      <c r="K309" s="15"/>
      <c r="L309" s="15"/>
      <c r="M309" s="11"/>
      <c r="N309" s="11"/>
      <c r="O309" s="19"/>
      <c r="P309" s="12"/>
      <c r="Q309" s="12"/>
      <c r="R309" s="20"/>
      <c r="S309" s="13"/>
      <c r="T309" s="13"/>
      <c r="U309" s="21"/>
    </row>
    <row r="310" spans="1:21" ht="13.2" x14ac:dyDescent="0.25">
      <c r="A310" s="9"/>
      <c r="B310" s="9"/>
      <c r="C310" s="9"/>
      <c r="D310" s="9"/>
      <c r="E310" s="9"/>
      <c r="F310" s="14"/>
      <c r="G310" s="15"/>
      <c r="H310" s="15"/>
      <c r="I310" s="15"/>
      <c r="J310" s="15"/>
      <c r="K310" s="15"/>
      <c r="L310" s="15"/>
      <c r="M310" s="11"/>
      <c r="N310" s="11"/>
      <c r="O310" s="19"/>
      <c r="P310" s="12"/>
      <c r="Q310" s="12"/>
      <c r="R310" s="20"/>
      <c r="S310" s="13"/>
      <c r="T310" s="13"/>
      <c r="U310" s="21"/>
    </row>
    <row r="311" spans="1:21" ht="13.2" x14ac:dyDescent="0.25">
      <c r="A311" s="9"/>
      <c r="B311" s="9"/>
      <c r="C311" s="9"/>
      <c r="D311" s="9"/>
      <c r="E311" s="9"/>
      <c r="F311" s="14"/>
      <c r="G311" s="15"/>
      <c r="H311" s="15"/>
      <c r="I311" s="15"/>
      <c r="J311" s="15"/>
      <c r="K311" s="15"/>
      <c r="L311" s="15"/>
      <c r="M311" s="11"/>
      <c r="N311" s="11"/>
      <c r="O311" s="19"/>
      <c r="P311" s="12"/>
      <c r="Q311" s="12"/>
      <c r="R311" s="20"/>
      <c r="S311" s="13"/>
      <c r="T311" s="13"/>
      <c r="U311" s="21"/>
    </row>
    <row r="312" spans="1:21" ht="13.2" x14ac:dyDescent="0.25">
      <c r="A312" s="9"/>
      <c r="B312" s="9"/>
      <c r="C312" s="9"/>
      <c r="D312" s="9"/>
      <c r="E312" s="9"/>
      <c r="F312" s="14"/>
      <c r="G312" s="15"/>
      <c r="H312" s="15"/>
      <c r="I312" s="15"/>
      <c r="J312" s="15"/>
      <c r="K312" s="15"/>
      <c r="L312" s="15"/>
      <c r="M312" s="11"/>
      <c r="N312" s="11"/>
      <c r="O312" s="19"/>
      <c r="P312" s="12"/>
      <c r="Q312" s="12"/>
      <c r="R312" s="20"/>
      <c r="S312" s="13"/>
      <c r="T312" s="13"/>
      <c r="U312" s="21"/>
    </row>
    <row r="313" spans="1:21" ht="13.2" x14ac:dyDescent="0.25">
      <c r="A313" s="9"/>
      <c r="B313" s="9"/>
      <c r="C313" s="9"/>
      <c r="D313" s="9"/>
      <c r="E313" s="9"/>
      <c r="F313" s="14"/>
      <c r="G313" s="15"/>
      <c r="H313" s="15"/>
      <c r="I313" s="15"/>
      <c r="J313" s="15"/>
      <c r="K313" s="15"/>
      <c r="L313" s="15"/>
      <c r="M313" s="11"/>
      <c r="N313" s="11"/>
      <c r="O313" s="19"/>
      <c r="P313" s="12"/>
      <c r="Q313" s="12"/>
      <c r="R313" s="20"/>
      <c r="S313" s="13"/>
      <c r="T313" s="13"/>
      <c r="U313" s="21"/>
    </row>
    <row r="314" spans="1:21" ht="13.2" x14ac:dyDescent="0.25">
      <c r="A314" s="9"/>
      <c r="B314" s="9"/>
      <c r="C314" s="9"/>
      <c r="D314" s="9"/>
      <c r="E314" s="9"/>
      <c r="F314" s="14"/>
      <c r="G314" s="15"/>
      <c r="H314" s="15"/>
      <c r="I314" s="15"/>
      <c r="J314" s="15"/>
      <c r="K314" s="15"/>
      <c r="L314" s="15"/>
      <c r="M314" s="11"/>
      <c r="N314" s="11"/>
      <c r="O314" s="19"/>
      <c r="P314" s="12"/>
      <c r="Q314" s="12"/>
      <c r="R314" s="20"/>
      <c r="S314" s="13"/>
      <c r="T314" s="13"/>
      <c r="U314" s="21"/>
    </row>
    <row r="315" spans="1:21" ht="13.2" x14ac:dyDescent="0.25">
      <c r="A315" s="9"/>
      <c r="B315" s="9"/>
      <c r="C315" s="9"/>
      <c r="D315" s="9"/>
      <c r="E315" s="9"/>
      <c r="F315" s="14"/>
      <c r="G315" s="15"/>
      <c r="H315" s="15"/>
      <c r="I315" s="15"/>
      <c r="J315" s="15"/>
      <c r="K315" s="15"/>
      <c r="L315" s="15"/>
      <c r="M315" s="11"/>
      <c r="N315" s="11"/>
      <c r="O315" s="19"/>
      <c r="P315" s="12"/>
      <c r="Q315" s="12"/>
      <c r="R315" s="20"/>
      <c r="S315" s="13"/>
      <c r="T315" s="13"/>
      <c r="U315" s="21"/>
    </row>
    <row r="316" spans="1:21" ht="13.2" x14ac:dyDescent="0.25">
      <c r="A316" s="9"/>
      <c r="B316" s="9"/>
      <c r="C316" s="9"/>
      <c r="D316" s="9"/>
      <c r="E316" s="9"/>
      <c r="F316" s="14"/>
      <c r="G316" s="15"/>
      <c r="H316" s="15"/>
      <c r="I316" s="15"/>
      <c r="J316" s="15"/>
      <c r="K316" s="15"/>
      <c r="L316" s="15"/>
      <c r="M316" s="11"/>
      <c r="N316" s="11"/>
      <c r="O316" s="19"/>
      <c r="P316" s="12"/>
      <c r="Q316" s="12"/>
      <c r="R316" s="20"/>
      <c r="S316" s="13"/>
      <c r="T316" s="13"/>
      <c r="U316" s="21"/>
    </row>
    <row r="317" spans="1:21" ht="13.2" x14ac:dyDescent="0.25">
      <c r="A317" s="9"/>
      <c r="B317" s="9"/>
      <c r="C317" s="9"/>
      <c r="D317" s="9"/>
      <c r="E317" s="9"/>
      <c r="F317" s="14"/>
      <c r="G317" s="15"/>
      <c r="H317" s="15"/>
      <c r="I317" s="15"/>
      <c r="J317" s="15"/>
      <c r="K317" s="15"/>
      <c r="L317" s="15"/>
      <c r="M317" s="11"/>
      <c r="N317" s="11"/>
      <c r="O317" s="19"/>
      <c r="P317" s="12"/>
      <c r="Q317" s="12"/>
      <c r="R317" s="20"/>
      <c r="S317" s="13"/>
      <c r="T317" s="13"/>
      <c r="U317" s="21"/>
    </row>
    <row r="318" spans="1:21" ht="13.2" x14ac:dyDescent="0.25">
      <c r="A318" s="9"/>
      <c r="B318" s="9"/>
      <c r="C318" s="9"/>
      <c r="D318" s="9"/>
      <c r="E318" s="9"/>
      <c r="F318" s="14"/>
      <c r="G318" s="15"/>
      <c r="H318" s="15"/>
      <c r="I318" s="15"/>
      <c r="J318" s="15"/>
      <c r="K318" s="15"/>
      <c r="L318" s="15"/>
      <c r="M318" s="11"/>
      <c r="N318" s="11"/>
      <c r="O318" s="19"/>
      <c r="P318" s="12"/>
      <c r="Q318" s="12"/>
      <c r="R318" s="20"/>
      <c r="S318" s="13"/>
      <c r="T318" s="13"/>
      <c r="U318" s="21"/>
    </row>
    <row r="319" spans="1:21" ht="13.2" x14ac:dyDescent="0.25">
      <c r="A319" s="9"/>
      <c r="B319" s="9"/>
      <c r="C319" s="9"/>
      <c r="D319" s="9"/>
      <c r="E319" s="9"/>
      <c r="F319" s="14"/>
      <c r="G319" s="15"/>
      <c r="H319" s="15"/>
      <c r="I319" s="15"/>
      <c r="J319" s="15"/>
      <c r="K319" s="15"/>
      <c r="L319" s="15"/>
      <c r="M319" s="11"/>
      <c r="N319" s="11"/>
      <c r="O319" s="19"/>
      <c r="P319" s="12"/>
      <c r="Q319" s="12"/>
      <c r="R319" s="20"/>
      <c r="S319" s="13"/>
      <c r="T319" s="13"/>
      <c r="U319" s="21"/>
    </row>
    <row r="320" spans="1:21" ht="13.2" x14ac:dyDescent="0.25">
      <c r="A320" s="9"/>
      <c r="B320" s="9"/>
      <c r="C320" s="9"/>
      <c r="D320" s="9"/>
      <c r="E320" s="9"/>
      <c r="F320" s="14"/>
      <c r="G320" s="15"/>
      <c r="H320" s="15"/>
      <c r="I320" s="15"/>
      <c r="J320" s="15"/>
      <c r="K320" s="15"/>
      <c r="L320" s="15"/>
      <c r="M320" s="11"/>
      <c r="N320" s="11"/>
      <c r="O320" s="19"/>
      <c r="P320" s="12"/>
      <c r="Q320" s="12"/>
      <c r="R320" s="20"/>
      <c r="S320" s="13"/>
      <c r="T320" s="13"/>
      <c r="U320" s="21"/>
    </row>
    <row r="321" spans="1:21" ht="13.2" x14ac:dyDescent="0.25">
      <c r="A321" s="9"/>
      <c r="B321" s="9"/>
      <c r="C321" s="9"/>
      <c r="D321" s="9"/>
      <c r="E321" s="9"/>
      <c r="F321" s="14"/>
      <c r="G321" s="15"/>
      <c r="H321" s="15"/>
      <c r="I321" s="15"/>
      <c r="J321" s="15"/>
      <c r="K321" s="15"/>
      <c r="L321" s="15"/>
      <c r="M321" s="11"/>
      <c r="N321" s="11"/>
      <c r="O321" s="19"/>
      <c r="P321" s="12"/>
      <c r="Q321" s="12"/>
      <c r="R321" s="20"/>
      <c r="S321" s="13"/>
      <c r="T321" s="13"/>
      <c r="U321" s="21"/>
    </row>
    <row r="322" spans="1:21" ht="13.2" x14ac:dyDescent="0.25">
      <c r="A322" s="9"/>
      <c r="B322" s="9"/>
      <c r="C322" s="9"/>
      <c r="D322" s="9"/>
      <c r="E322" s="9"/>
      <c r="F322" s="14"/>
      <c r="G322" s="15"/>
      <c r="H322" s="15"/>
      <c r="I322" s="15"/>
      <c r="J322" s="15"/>
      <c r="K322" s="15"/>
      <c r="L322" s="15"/>
      <c r="M322" s="11"/>
      <c r="N322" s="11"/>
      <c r="O322" s="19"/>
      <c r="P322" s="12"/>
      <c r="Q322" s="12"/>
      <c r="R322" s="20"/>
      <c r="S322" s="13"/>
      <c r="T322" s="13"/>
      <c r="U322" s="21"/>
    </row>
    <row r="323" spans="1:21" ht="13.2" x14ac:dyDescent="0.25">
      <c r="A323" s="9"/>
      <c r="B323" s="9"/>
      <c r="C323" s="9"/>
      <c r="D323" s="9"/>
      <c r="E323" s="9"/>
      <c r="F323" s="14"/>
      <c r="G323" s="15"/>
      <c r="H323" s="15"/>
      <c r="I323" s="15"/>
      <c r="J323" s="15"/>
      <c r="K323" s="15"/>
      <c r="L323" s="15"/>
      <c r="M323" s="11"/>
      <c r="N323" s="11"/>
      <c r="O323" s="19"/>
      <c r="P323" s="12"/>
      <c r="Q323" s="12"/>
      <c r="R323" s="20"/>
      <c r="S323" s="13"/>
      <c r="T323" s="13"/>
      <c r="U323" s="21"/>
    </row>
    <row r="324" spans="1:21" ht="13.2" x14ac:dyDescent="0.25">
      <c r="A324" s="9"/>
      <c r="B324" s="9"/>
      <c r="C324" s="9"/>
      <c r="D324" s="9"/>
      <c r="E324" s="9"/>
      <c r="F324" s="14"/>
      <c r="G324" s="15"/>
      <c r="H324" s="15"/>
      <c r="I324" s="15"/>
      <c r="J324" s="15"/>
      <c r="K324" s="15"/>
      <c r="L324" s="15"/>
      <c r="M324" s="11"/>
      <c r="N324" s="11"/>
      <c r="O324" s="19"/>
      <c r="P324" s="12"/>
      <c r="Q324" s="12"/>
      <c r="R324" s="20"/>
      <c r="S324" s="13"/>
      <c r="T324" s="13"/>
      <c r="U324" s="21"/>
    </row>
    <row r="325" spans="1:21" ht="13.2" x14ac:dyDescent="0.25">
      <c r="A325" s="9"/>
      <c r="B325" s="9"/>
      <c r="C325" s="9"/>
      <c r="D325" s="9"/>
      <c r="E325" s="9"/>
      <c r="F325" s="14"/>
      <c r="G325" s="15"/>
      <c r="H325" s="15"/>
      <c r="I325" s="15"/>
      <c r="J325" s="15"/>
      <c r="K325" s="15"/>
      <c r="L325" s="15"/>
      <c r="M325" s="11"/>
      <c r="N325" s="11"/>
      <c r="O325" s="19"/>
      <c r="P325" s="12"/>
      <c r="Q325" s="12"/>
      <c r="R325" s="20"/>
      <c r="S325" s="13"/>
      <c r="T325" s="13"/>
      <c r="U325" s="21"/>
    </row>
    <row r="326" spans="1:21" ht="13.2" x14ac:dyDescent="0.25">
      <c r="A326" s="9"/>
      <c r="B326" s="9"/>
      <c r="C326" s="9"/>
      <c r="D326" s="9"/>
      <c r="E326" s="9"/>
      <c r="F326" s="14"/>
      <c r="G326" s="15"/>
      <c r="H326" s="15"/>
      <c r="I326" s="15"/>
      <c r="J326" s="15"/>
      <c r="K326" s="15"/>
      <c r="L326" s="15"/>
      <c r="M326" s="11"/>
      <c r="N326" s="11"/>
      <c r="O326" s="19"/>
      <c r="P326" s="12"/>
      <c r="Q326" s="12"/>
      <c r="R326" s="20"/>
      <c r="S326" s="13"/>
      <c r="T326" s="13"/>
      <c r="U326" s="21"/>
    </row>
    <row r="327" spans="1:21" ht="13.2" x14ac:dyDescent="0.25">
      <c r="A327" s="9"/>
      <c r="B327" s="9"/>
      <c r="C327" s="9"/>
      <c r="D327" s="9"/>
      <c r="E327" s="9"/>
      <c r="F327" s="14"/>
      <c r="G327" s="15"/>
      <c r="H327" s="15"/>
      <c r="I327" s="15"/>
      <c r="J327" s="15"/>
      <c r="K327" s="15"/>
      <c r="L327" s="15"/>
      <c r="M327" s="11"/>
      <c r="N327" s="11"/>
      <c r="O327" s="19"/>
      <c r="P327" s="12"/>
      <c r="Q327" s="12"/>
      <c r="R327" s="20"/>
      <c r="S327" s="13"/>
      <c r="T327" s="13"/>
      <c r="U327" s="21"/>
    </row>
    <row r="328" spans="1:21" ht="13.2" x14ac:dyDescent="0.25">
      <c r="A328" s="9"/>
      <c r="B328" s="9"/>
      <c r="C328" s="9"/>
      <c r="D328" s="9"/>
      <c r="E328" s="9"/>
      <c r="F328" s="14"/>
      <c r="G328" s="15"/>
      <c r="H328" s="15"/>
      <c r="I328" s="15"/>
      <c r="J328" s="15"/>
      <c r="K328" s="15"/>
      <c r="L328" s="15"/>
      <c r="M328" s="11"/>
      <c r="N328" s="11"/>
      <c r="O328" s="19"/>
      <c r="P328" s="12"/>
      <c r="Q328" s="12"/>
      <c r="R328" s="20"/>
      <c r="S328" s="13"/>
      <c r="T328" s="13"/>
      <c r="U328" s="21"/>
    </row>
    <row r="329" spans="1:21" ht="13.2" x14ac:dyDescent="0.25">
      <c r="A329" s="9"/>
      <c r="B329" s="9"/>
      <c r="C329" s="9"/>
      <c r="D329" s="9"/>
      <c r="E329" s="9"/>
      <c r="F329" s="14"/>
      <c r="G329" s="15"/>
      <c r="H329" s="15"/>
      <c r="I329" s="15"/>
      <c r="J329" s="15"/>
      <c r="K329" s="15"/>
      <c r="L329" s="15"/>
      <c r="M329" s="11"/>
      <c r="N329" s="11"/>
      <c r="O329" s="19"/>
      <c r="P329" s="12"/>
      <c r="Q329" s="12"/>
      <c r="R329" s="20"/>
      <c r="S329" s="13"/>
      <c r="T329" s="13"/>
      <c r="U329" s="21"/>
    </row>
    <row r="330" spans="1:21" ht="13.2" x14ac:dyDescent="0.25">
      <c r="A330" s="9"/>
      <c r="B330" s="9"/>
      <c r="C330" s="9"/>
      <c r="D330" s="9"/>
      <c r="E330" s="9"/>
      <c r="F330" s="14"/>
      <c r="G330" s="15"/>
      <c r="H330" s="15"/>
      <c r="I330" s="15"/>
      <c r="J330" s="15"/>
      <c r="K330" s="15"/>
      <c r="L330" s="15"/>
      <c r="M330" s="11"/>
      <c r="N330" s="11"/>
      <c r="O330" s="19"/>
      <c r="P330" s="12"/>
      <c r="Q330" s="12"/>
      <c r="R330" s="20"/>
      <c r="S330" s="13"/>
      <c r="T330" s="13"/>
      <c r="U330" s="21"/>
    </row>
    <row r="331" spans="1:21" ht="13.2" x14ac:dyDescent="0.25">
      <c r="A331" s="9"/>
      <c r="B331" s="9"/>
      <c r="C331" s="9"/>
      <c r="D331" s="9"/>
      <c r="E331" s="9"/>
      <c r="F331" s="14"/>
      <c r="G331" s="15"/>
      <c r="H331" s="15"/>
      <c r="I331" s="15"/>
      <c r="J331" s="15"/>
      <c r="K331" s="15"/>
      <c r="L331" s="15"/>
      <c r="M331" s="11"/>
      <c r="N331" s="11"/>
      <c r="O331" s="19"/>
      <c r="P331" s="12"/>
      <c r="Q331" s="12"/>
      <c r="R331" s="20"/>
      <c r="S331" s="13"/>
      <c r="T331" s="13"/>
      <c r="U331" s="21"/>
    </row>
    <row r="332" spans="1:21" ht="13.2" x14ac:dyDescent="0.25">
      <c r="A332" s="9"/>
      <c r="B332" s="9"/>
      <c r="C332" s="9"/>
      <c r="D332" s="9"/>
      <c r="E332" s="9"/>
      <c r="F332" s="14"/>
      <c r="G332" s="15"/>
      <c r="H332" s="15"/>
      <c r="I332" s="15"/>
      <c r="J332" s="15"/>
      <c r="K332" s="15"/>
      <c r="L332" s="15"/>
      <c r="M332" s="11"/>
      <c r="N332" s="11"/>
      <c r="O332" s="19"/>
      <c r="P332" s="12"/>
      <c r="Q332" s="12"/>
      <c r="R332" s="20"/>
      <c r="S332" s="13"/>
      <c r="T332" s="13"/>
      <c r="U332" s="21"/>
    </row>
    <row r="333" spans="1:21" ht="13.2" x14ac:dyDescent="0.25">
      <c r="A333" s="9"/>
      <c r="B333" s="9"/>
      <c r="C333" s="9"/>
      <c r="D333" s="9"/>
      <c r="E333" s="9"/>
      <c r="F333" s="14"/>
      <c r="G333" s="15"/>
      <c r="H333" s="15"/>
      <c r="I333" s="15"/>
      <c r="J333" s="15"/>
      <c r="K333" s="15"/>
      <c r="L333" s="15"/>
      <c r="M333" s="11"/>
      <c r="N333" s="11"/>
      <c r="O333" s="19"/>
      <c r="P333" s="12"/>
      <c r="Q333" s="12"/>
      <c r="R333" s="20"/>
      <c r="S333" s="13"/>
      <c r="T333" s="13"/>
      <c r="U333" s="21"/>
    </row>
    <row r="334" spans="1:21" ht="13.2" x14ac:dyDescent="0.25">
      <c r="A334" s="9"/>
      <c r="B334" s="9"/>
      <c r="C334" s="9"/>
      <c r="D334" s="9"/>
      <c r="E334" s="9"/>
      <c r="F334" s="14"/>
      <c r="G334" s="15"/>
      <c r="H334" s="15"/>
      <c r="I334" s="15"/>
      <c r="J334" s="15"/>
      <c r="K334" s="15"/>
      <c r="L334" s="15"/>
      <c r="M334" s="11"/>
      <c r="N334" s="11"/>
      <c r="O334" s="19"/>
      <c r="P334" s="12"/>
      <c r="Q334" s="12"/>
      <c r="R334" s="20"/>
      <c r="S334" s="13"/>
      <c r="T334" s="13"/>
      <c r="U334" s="21"/>
    </row>
    <row r="335" spans="1:21" ht="13.2" x14ac:dyDescent="0.25">
      <c r="A335" s="9"/>
      <c r="B335" s="9"/>
      <c r="C335" s="9"/>
      <c r="D335" s="9"/>
      <c r="E335" s="9"/>
      <c r="F335" s="14"/>
      <c r="G335" s="15"/>
      <c r="H335" s="15"/>
      <c r="I335" s="15"/>
      <c r="J335" s="15"/>
      <c r="K335" s="15"/>
      <c r="L335" s="15"/>
      <c r="M335" s="11"/>
      <c r="N335" s="11"/>
      <c r="O335" s="19"/>
      <c r="P335" s="12"/>
      <c r="Q335" s="12"/>
      <c r="R335" s="20"/>
      <c r="S335" s="13"/>
      <c r="T335" s="13"/>
      <c r="U335" s="21"/>
    </row>
    <row r="336" spans="1:21" ht="13.2" x14ac:dyDescent="0.25">
      <c r="A336" s="9"/>
      <c r="B336" s="9"/>
      <c r="C336" s="9"/>
      <c r="D336" s="9"/>
      <c r="E336" s="9"/>
      <c r="F336" s="14"/>
      <c r="G336" s="15"/>
      <c r="H336" s="15"/>
      <c r="I336" s="15"/>
      <c r="J336" s="15"/>
      <c r="K336" s="15"/>
      <c r="L336" s="15"/>
      <c r="M336" s="11"/>
      <c r="N336" s="11"/>
      <c r="O336" s="19"/>
      <c r="P336" s="12"/>
      <c r="Q336" s="12"/>
      <c r="R336" s="20"/>
      <c r="S336" s="13"/>
      <c r="T336" s="13"/>
      <c r="U336" s="21"/>
    </row>
    <row r="337" spans="1:21" ht="13.2" x14ac:dyDescent="0.25">
      <c r="A337" s="9"/>
      <c r="B337" s="9"/>
      <c r="C337" s="9"/>
      <c r="D337" s="9"/>
      <c r="E337" s="9"/>
      <c r="F337" s="14"/>
      <c r="G337" s="15"/>
      <c r="H337" s="15"/>
      <c r="I337" s="15"/>
      <c r="J337" s="15"/>
      <c r="K337" s="15"/>
      <c r="L337" s="15"/>
      <c r="M337" s="11"/>
      <c r="N337" s="11"/>
      <c r="O337" s="19"/>
      <c r="P337" s="12"/>
      <c r="Q337" s="12"/>
      <c r="R337" s="20"/>
      <c r="S337" s="13"/>
      <c r="T337" s="13"/>
      <c r="U337" s="21"/>
    </row>
    <row r="338" spans="1:21" ht="13.2" x14ac:dyDescent="0.25">
      <c r="A338" s="9"/>
      <c r="B338" s="9"/>
      <c r="C338" s="9"/>
      <c r="D338" s="9"/>
      <c r="E338" s="9"/>
      <c r="F338" s="14"/>
      <c r="G338" s="15"/>
      <c r="H338" s="15"/>
      <c r="I338" s="15"/>
      <c r="J338" s="15"/>
      <c r="K338" s="15"/>
      <c r="L338" s="15"/>
      <c r="M338" s="11"/>
      <c r="N338" s="11"/>
      <c r="O338" s="19"/>
      <c r="P338" s="12"/>
      <c r="Q338" s="12"/>
      <c r="R338" s="20"/>
      <c r="S338" s="13"/>
      <c r="T338" s="13"/>
      <c r="U338" s="21"/>
    </row>
    <row r="339" spans="1:21" ht="13.2" x14ac:dyDescent="0.25">
      <c r="A339" s="9"/>
      <c r="B339" s="9"/>
      <c r="C339" s="9"/>
      <c r="D339" s="9"/>
      <c r="E339" s="9"/>
      <c r="F339" s="14"/>
      <c r="G339" s="15"/>
      <c r="H339" s="15"/>
      <c r="I339" s="15"/>
      <c r="J339" s="15"/>
      <c r="K339" s="15"/>
      <c r="L339" s="15"/>
      <c r="M339" s="11"/>
      <c r="N339" s="11"/>
      <c r="O339" s="19"/>
      <c r="P339" s="12"/>
      <c r="Q339" s="12"/>
      <c r="R339" s="20"/>
      <c r="S339" s="13"/>
      <c r="T339" s="13"/>
      <c r="U339" s="21"/>
    </row>
    <row r="340" spans="1:21" ht="13.2" x14ac:dyDescent="0.25">
      <c r="A340" s="9"/>
      <c r="B340" s="9"/>
      <c r="C340" s="9"/>
      <c r="D340" s="9"/>
      <c r="E340" s="9"/>
      <c r="F340" s="14"/>
      <c r="G340" s="15"/>
      <c r="H340" s="15"/>
      <c r="I340" s="15"/>
      <c r="J340" s="15"/>
      <c r="K340" s="15"/>
      <c r="L340" s="15"/>
      <c r="M340" s="11"/>
      <c r="N340" s="11"/>
      <c r="O340" s="19"/>
      <c r="P340" s="12"/>
      <c r="Q340" s="12"/>
      <c r="R340" s="20"/>
      <c r="S340" s="13"/>
      <c r="T340" s="13"/>
      <c r="U340" s="21"/>
    </row>
    <row r="341" spans="1:21" ht="13.2" x14ac:dyDescent="0.25">
      <c r="A341" s="9"/>
      <c r="B341" s="9"/>
      <c r="C341" s="9"/>
      <c r="D341" s="9"/>
      <c r="E341" s="9"/>
      <c r="F341" s="14"/>
      <c r="G341" s="15"/>
      <c r="H341" s="15"/>
      <c r="I341" s="15"/>
      <c r="J341" s="15"/>
      <c r="K341" s="15"/>
      <c r="L341" s="15"/>
      <c r="M341" s="11"/>
      <c r="N341" s="11"/>
      <c r="O341" s="19"/>
      <c r="P341" s="12"/>
      <c r="Q341" s="12"/>
      <c r="R341" s="20"/>
      <c r="S341" s="13"/>
      <c r="T341" s="13"/>
      <c r="U341" s="21"/>
    </row>
    <row r="342" spans="1:21" ht="13.2" x14ac:dyDescent="0.25">
      <c r="A342" s="9"/>
      <c r="B342" s="9"/>
      <c r="C342" s="9"/>
      <c r="D342" s="9"/>
      <c r="E342" s="9"/>
      <c r="F342" s="14"/>
      <c r="G342" s="15"/>
      <c r="H342" s="15"/>
      <c r="I342" s="15"/>
      <c r="J342" s="15"/>
      <c r="K342" s="15"/>
      <c r="L342" s="15"/>
      <c r="M342" s="11"/>
      <c r="N342" s="11"/>
      <c r="O342" s="19"/>
      <c r="P342" s="12"/>
      <c r="Q342" s="12"/>
      <c r="R342" s="20"/>
      <c r="S342" s="13"/>
      <c r="T342" s="13"/>
      <c r="U342" s="21"/>
    </row>
    <row r="343" spans="1:21" ht="13.2" x14ac:dyDescent="0.25">
      <c r="A343" s="9"/>
      <c r="B343" s="9"/>
      <c r="C343" s="9"/>
      <c r="D343" s="9"/>
      <c r="E343" s="9"/>
      <c r="F343" s="14"/>
      <c r="G343" s="15"/>
      <c r="H343" s="15"/>
      <c r="I343" s="15"/>
      <c r="J343" s="15"/>
      <c r="K343" s="15"/>
      <c r="L343" s="15"/>
      <c r="M343" s="11"/>
      <c r="N343" s="11"/>
      <c r="O343" s="19"/>
      <c r="P343" s="12"/>
      <c r="Q343" s="12"/>
      <c r="R343" s="20"/>
      <c r="S343" s="13"/>
      <c r="T343" s="13"/>
      <c r="U343" s="21"/>
    </row>
    <row r="344" spans="1:21" ht="13.2" x14ac:dyDescent="0.25">
      <c r="A344" s="9"/>
      <c r="B344" s="9"/>
      <c r="C344" s="9"/>
      <c r="D344" s="9"/>
      <c r="E344" s="9"/>
      <c r="F344" s="14"/>
      <c r="G344" s="15"/>
      <c r="H344" s="15"/>
      <c r="I344" s="15"/>
      <c r="J344" s="15"/>
      <c r="K344" s="15"/>
      <c r="L344" s="15"/>
      <c r="M344" s="11"/>
      <c r="N344" s="11"/>
      <c r="O344" s="19"/>
      <c r="P344" s="12"/>
      <c r="Q344" s="12"/>
      <c r="R344" s="20"/>
      <c r="S344" s="13"/>
      <c r="T344" s="13"/>
      <c r="U344" s="21"/>
    </row>
    <row r="345" spans="1:21" ht="13.2" x14ac:dyDescent="0.25">
      <c r="A345" s="9"/>
      <c r="B345" s="9"/>
      <c r="C345" s="9"/>
      <c r="D345" s="9"/>
      <c r="E345" s="9"/>
      <c r="F345" s="14"/>
      <c r="G345" s="15"/>
      <c r="H345" s="15"/>
      <c r="I345" s="15"/>
      <c r="J345" s="15"/>
      <c r="K345" s="15"/>
      <c r="L345" s="15"/>
      <c r="M345" s="11"/>
      <c r="N345" s="11"/>
      <c r="O345" s="19"/>
      <c r="P345" s="12"/>
      <c r="Q345" s="12"/>
      <c r="R345" s="20"/>
      <c r="S345" s="13"/>
      <c r="T345" s="13"/>
      <c r="U345" s="21"/>
    </row>
    <row r="346" spans="1:21" ht="13.2" x14ac:dyDescent="0.25">
      <c r="A346" s="9"/>
      <c r="B346" s="9"/>
      <c r="C346" s="9"/>
      <c r="D346" s="9"/>
      <c r="E346" s="9"/>
      <c r="F346" s="14"/>
      <c r="G346" s="15"/>
      <c r="H346" s="15"/>
      <c r="I346" s="15"/>
      <c r="J346" s="15"/>
      <c r="K346" s="15"/>
      <c r="L346" s="15"/>
      <c r="M346" s="11"/>
      <c r="N346" s="11"/>
      <c r="O346" s="19"/>
      <c r="P346" s="12"/>
      <c r="Q346" s="12"/>
      <c r="R346" s="20"/>
      <c r="S346" s="13"/>
      <c r="T346" s="13"/>
      <c r="U346" s="21"/>
    </row>
    <row r="347" spans="1:21" ht="13.2" x14ac:dyDescent="0.25">
      <c r="A347" s="9"/>
      <c r="B347" s="9"/>
      <c r="C347" s="9"/>
      <c r="D347" s="9"/>
      <c r="E347" s="9"/>
      <c r="F347" s="14"/>
      <c r="G347" s="15"/>
      <c r="H347" s="15"/>
      <c r="I347" s="15"/>
      <c r="J347" s="15"/>
      <c r="K347" s="15"/>
      <c r="L347" s="15"/>
      <c r="M347" s="11"/>
      <c r="N347" s="11"/>
      <c r="O347" s="19"/>
      <c r="P347" s="12"/>
      <c r="Q347" s="12"/>
      <c r="R347" s="20"/>
      <c r="S347" s="13"/>
      <c r="T347" s="13"/>
      <c r="U347" s="21"/>
    </row>
    <row r="348" spans="1:21" ht="13.2" x14ac:dyDescent="0.25">
      <c r="A348" s="9"/>
      <c r="B348" s="9"/>
      <c r="C348" s="9"/>
      <c r="D348" s="9"/>
      <c r="E348" s="9"/>
      <c r="F348" s="14"/>
      <c r="G348" s="15"/>
      <c r="H348" s="15"/>
      <c r="I348" s="15"/>
      <c r="J348" s="15"/>
      <c r="K348" s="15"/>
      <c r="L348" s="15"/>
      <c r="M348" s="11"/>
      <c r="N348" s="11"/>
      <c r="O348" s="19"/>
      <c r="P348" s="12"/>
      <c r="Q348" s="12"/>
      <c r="R348" s="20"/>
      <c r="S348" s="13"/>
      <c r="T348" s="13"/>
      <c r="U348" s="21"/>
    </row>
    <row r="349" spans="1:21" ht="13.2" x14ac:dyDescent="0.25">
      <c r="A349" s="9"/>
      <c r="B349" s="9"/>
      <c r="C349" s="9"/>
      <c r="D349" s="9"/>
      <c r="E349" s="9"/>
      <c r="F349" s="14"/>
      <c r="G349" s="15"/>
      <c r="H349" s="15"/>
      <c r="I349" s="15"/>
      <c r="J349" s="15"/>
      <c r="K349" s="15"/>
      <c r="L349" s="15"/>
      <c r="M349" s="11"/>
      <c r="N349" s="11"/>
      <c r="O349" s="19"/>
      <c r="P349" s="12"/>
      <c r="Q349" s="12"/>
      <c r="R349" s="20"/>
      <c r="S349" s="13"/>
      <c r="T349" s="13"/>
      <c r="U349" s="21"/>
    </row>
    <row r="350" spans="1:21" ht="13.2" x14ac:dyDescent="0.25">
      <c r="A350" s="9"/>
      <c r="B350" s="9"/>
      <c r="C350" s="9"/>
      <c r="D350" s="9"/>
      <c r="E350" s="9"/>
      <c r="F350" s="14"/>
      <c r="G350" s="15"/>
      <c r="H350" s="15"/>
      <c r="I350" s="15"/>
      <c r="J350" s="15"/>
      <c r="K350" s="15"/>
      <c r="L350" s="15"/>
      <c r="M350" s="11"/>
      <c r="N350" s="11"/>
      <c r="O350" s="19"/>
      <c r="P350" s="12"/>
      <c r="Q350" s="12"/>
      <c r="R350" s="20"/>
      <c r="S350" s="13"/>
      <c r="T350" s="13"/>
      <c r="U350" s="21"/>
    </row>
    <row r="351" spans="1:21" ht="13.2" x14ac:dyDescent="0.25">
      <c r="A351" s="9"/>
      <c r="B351" s="9"/>
      <c r="C351" s="9"/>
      <c r="D351" s="9"/>
      <c r="E351" s="9"/>
      <c r="F351" s="14"/>
      <c r="G351" s="15"/>
      <c r="H351" s="15"/>
      <c r="I351" s="15"/>
      <c r="J351" s="15"/>
      <c r="K351" s="15"/>
      <c r="L351" s="15"/>
      <c r="M351" s="11"/>
      <c r="N351" s="11"/>
      <c r="O351" s="19"/>
      <c r="P351" s="12"/>
      <c r="Q351" s="12"/>
      <c r="R351" s="20"/>
      <c r="S351" s="13"/>
      <c r="T351" s="13"/>
      <c r="U351" s="21"/>
    </row>
    <row r="352" spans="1:21" ht="13.2" x14ac:dyDescent="0.25">
      <c r="A352" s="9"/>
      <c r="B352" s="9"/>
      <c r="C352" s="9"/>
      <c r="D352" s="9"/>
      <c r="E352" s="9"/>
      <c r="F352" s="14"/>
      <c r="G352" s="15"/>
      <c r="H352" s="15"/>
      <c r="I352" s="15"/>
      <c r="J352" s="15"/>
      <c r="K352" s="15"/>
      <c r="L352" s="15"/>
      <c r="M352" s="11"/>
      <c r="N352" s="11"/>
      <c r="O352" s="19"/>
      <c r="P352" s="12"/>
      <c r="Q352" s="12"/>
      <c r="R352" s="20"/>
      <c r="S352" s="13"/>
      <c r="T352" s="13"/>
      <c r="U352" s="21"/>
    </row>
    <row r="353" spans="1:21" ht="13.2" x14ac:dyDescent="0.25">
      <c r="A353" s="9"/>
      <c r="B353" s="9"/>
      <c r="C353" s="9"/>
      <c r="D353" s="9"/>
      <c r="E353" s="9"/>
      <c r="F353" s="14"/>
      <c r="G353" s="15"/>
      <c r="H353" s="15"/>
      <c r="I353" s="15"/>
      <c r="J353" s="15"/>
      <c r="K353" s="15"/>
      <c r="L353" s="15"/>
      <c r="M353" s="11"/>
      <c r="N353" s="11"/>
      <c r="O353" s="19"/>
      <c r="P353" s="12"/>
      <c r="Q353" s="12"/>
      <c r="R353" s="20"/>
      <c r="S353" s="13"/>
      <c r="T353" s="13"/>
      <c r="U353" s="21"/>
    </row>
    <row r="354" spans="1:21" ht="13.2" x14ac:dyDescent="0.25">
      <c r="A354" s="9"/>
      <c r="B354" s="9"/>
      <c r="C354" s="9"/>
      <c r="D354" s="9"/>
      <c r="E354" s="9"/>
      <c r="F354" s="14"/>
      <c r="G354" s="15"/>
      <c r="H354" s="15"/>
      <c r="I354" s="15"/>
      <c r="J354" s="15"/>
      <c r="K354" s="15"/>
      <c r="L354" s="15"/>
      <c r="M354" s="11"/>
      <c r="N354" s="11"/>
      <c r="O354" s="19"/>
      <c r="P354" s="12"/>
      <c r="Q354" s="12"/>
      <c r="R354" s="20"/>
      <c r="S354" s="13"/>
      <c r="T354" s="13"/>
      <c r="U354" s="21"/>
    </row>
    <row r="355" spans="1:21" ht="13.2" x14ac:dyDescent="0.25">
      <c r="A355" s="9"/>
      <c r="B355" s="9"/>
      <c r="C355" s="9"/>
      <c r="D355" s="9"/>
      <c r="E355" s="9"/>
      <c r="F355" s="14"/>
      <c r="G355" s="15"/>
      <c r="H355" s="15"/>
      <c r="I355" s="15"/>
      <c r="J355" s="15"/>
      <c r="K355" s="15"/>
      <c r="L355" s="15"/>
      <c r="M355" s="11"/>
      <c r="N355" s="11"/>
      <c r="O355" s="19"/>
      <c r="P355" s="12"/>
      <c r="Q355" s="12"/>
      <c r="R355" s="20"/>
      <c r="S355" s="13"/>
      <c r="T355" s="13"/>
      <c r="U355" s="21"/>
    </row>
    <row r="356" spans="1:21" ht="13.2" x14ac:dyDescent="0.25">
      <c r="A356" s="9"/>
      <c r="B356" s="9"/>
      <c r="C356" s="9"/>
      <c r="D356" s="9"/>
      <c r="E356" s="9"/>
      <c r="F356" s="14"/>
      <c r="G356" s="15"/>
      <c r="H356" s="15"/>
      <c r="I356" s="15"/>
      <c r="J356" s="15"/>
      <c r="K356" s="15"/>
      <c r="L356" s="15"/>
      <c r="M356" s="11"/>
      <c r="N356" s="11"/>
      <c r="O356" s="19"/>
      <c r="P356" s="12"/>
      <c r="Q356" s="12"/>
      <c r="R356" s="20"/>
      <c r="S356" s="13"/>
      <c r="T356" s="13"/>
      <c r="U356" s="21"/>
    </row>
    <row r="357" spans="1:21" ht="13.2" x14ac:dyDescent="0.25">
      <c r="A357" s="9"/>
      <c r="B357" s="9"/>
      <c r="C357" s="9"/>
      <c r="D357" s="9"/>
      <c r="E357" s="9"/>
      <c r="F357" s="14"/>
      <c r="G357" s="15"/>
      <c r="H357" s="15"/>
      <c r="I357" s="15"/>
      <c r="J357" s="15"/>
      <c r="K357" s="15"/>
      <c r="L357" s="15"/>
      <c r="M357" s="11"/>
      <c r="N357" s="11"/>
      <c r="O357" s="19"/>
      <c r="P357" s="12"/>
      <c r="Q357" s="12"/>
      <c r="R357" s="20"/>
      <c r="S357" s="13"/>
      <c r="T357" s="13"/>
      <c r="U357" s="21"/>
    </row>
    <row r="358" spans="1:21" ht="13.2" x14ac:dyDescent="0.25">
      <c r="A358" s="9"/>
      <c r="B358" s="9"/>
      <c r="C358" s="9"/>
      <c r="D358" s="9"/>
      <c r="E358" s="9"/>
      <c r="F358" s="14"/>
      <c r="G358" s="15"/>
      <c r="H358" s="15"/>
      <c r="I358" s="15"/>
      <c r="J358" s="15"/>
      <c r="K358" s="15"/>
      <c r="L358" s="15"/>
      <c r="M358" s="11"/>
      <c r="N358" s="11"/>
      <c r="O358" s="19"/>
      <c r="P358" s="12"/>
      <c r="Q358" s="12"/>
      <c r="R358" s="20"/>
      <c r="S358" s="13"/>
      <c r="T358" s="13"/>
      <c r="U358" s="21"/>
    </row>
    <row r="359" spans="1:21" ht="13.2" x14ac:dyDescent="0.25">
      <c r="A359" s="9"/>
      <c r="B359" s="9"/>
      <c r="C359" s="9"/>
      <c r="D359" s="9"/>
      <c r="E359" s="9"/>
      <c r="F359" s="14"/>
      <c r="G359" s="15"/>
      <c r="H359" s="15"/>
      <c r="I359" s="15"/>
      <c r="J359" s="15"/>
      <c r="K359" s="15"/>
      <c r="L359" s="15"/>
      <c r="M359" s="11"/>
      <c r="N359" s="11"/>
      <c r="O359" s="19"/>
      <c r="P359" s="12"/>
      <c r="Q359" s="12"/>
      <c r="R359" s="20"/>
      <c r="S359" s="13"/>
      <c r="T359" s="13"/>
      <c r="U359" s="21"/>
    </row>
    <row r="360" spans="1:21" ht="13.2" x14ac:dyDescent="0.25">
      <c r="A360" s="9"/>
      <c r="B360" s="9"/>
      <c r="C360" s="9"/>
      <c r="D360" s="9"/>
      <c r="E360" s="9"/>
      <c r="F360" s="14"/>
      <c r="G360" s="15"/>
      <c r="H360" s="15"/>
      <c r="I360" s="15"/>
      <c r="J360" s="15"/>
      <c r="K360" s="15"/>
      <c r="L360" s="15"/>
      <c r="M360" s="11"/>
      <c r="N360" s="11"/>
      <c r="O360" s="19"/>
      <c r="P360" s="12"/>
      <c r="Q360" s="12"/>
      <c r="R360" s="20"/>
      <c r="S360" s="13"/>
      <c r="T360" s="13"/>
      <c r="U360" s="21"/>
    </row>
    <row r="361" spans="1:21" ht="13.2" x14ac:dyDescent="0.25">
      <c r="A361" s="9"/>
      <c r="B361" s="9"/>
      <c r="C361" s="9"/>
      <c r="D361" s="9"/>
      <c r="E361" s="9"/>
      <c r="F361" s="14"/>
      <c r="G361" s="15"/>
      <c r="H361" s="15"/>
      <c r="I361" s="15"/>
      <c r="J361" s="15"/>
      <c r="K361" s="15"/>
      <c r="L361" s="15"/>
      <c r="M361" s="11"/>
      <c r="N361" s="11"/>
      <c r="O361" s="19"/>
      <c r="P361" s="12"/>
      <c r="Q361" s="12"/>
      <c r="R361" s="20"/>
      <c r="S361" s="13"/>
      <c r="T361" s="13"/>
      <c r="U361" s="21"/>
    </row>
    <row r="362" spans="1:21" ht="13.2" x14ac:dyDescent="0.25">
      <c r="A362" s="9"/>
      <c r="B362" s="9"/>
      <c r="C362" s="9"/>
      <c r="D362" s="9"/>
      <c r="E362" s="9"/>
      <c r="F362" s="14"/>
      <c r="G362" s="15"/>
      <c r="H362" s="15"/>
      <c r="I362" s="15"/>
      <c r="J362" s="15"/>
      <c r="K362" s="15"/>
      <c r="L362" s="15"/>
      <c r="M362" s="11"/>
      <c r="N362" s="11"/>
      <c r="O362" s="19"/>
      <c r="P362" s="12"/>
      <c r="Q362" s="12"/>
      <c r="R362" s="20"/>
      <c r="S362" s="13"/>
      <c r="T362" s="13"/>
      <c r="U362" s="21"/>
    </row>
    <row r="363" spans="1:21" ht="13.2" x14ac:dyDescent="0.25">
      <c r="A363" s="9"/>
      <c r="B363" s="9"/>
      <c r="C363" s="9"/>
      <c r="D363" s="9"/>
      <c r="E363" s="9"/>
      <c r="F363" s="14"/>
      <c r="G363" s="15"/>
      <c r="H363" s="15"/>
      <c r="I363" s="15"/>
      <c r="J363" s="15"/>
      <c r="K363" s="15"/>
      <c r="L363" s="15"/>
      <c r="M363" s="11"/>
      <c r="N363" s="11"/>
      <c r="O363" s="19"/>
      <c r="P363" s="12"/>
      <c r="Q363" s="12"/>
      <c r="R363" s="20"/>
      <c r="S363" s="13"/>
      <c r="T363" s="13"/>
      <c r="U363" s="21"/>
    </row>
    <row r="364" spans="1:21" ht="13.2" x14ac:dyDescent="0.25">
      <c r="A364" s="9"/>
      <c r="B364" s="9"/>
      <c r="C364" s="9"/>
      <c r="D364" s="9"/>
      <c r="E364" s="9"/>
      <c r="F364" s="14"/>
      <c r="G364" s="15"/>
      <c r="H364" s="15"/>
      <c r="I364" s="15"/>
      <c r="J364" s="15"/>
      <c r="K364" s="15"/>
      <c r="L364" s="15"/>
      <c r="M364" s="11"/>
      <c r="N364" s="11"/>
      <c r="O364" s="19"/>
      <c r="P364" s="12"/>
      <c r="Q364" s="12"/>
      <c r="R364" s="20"/>
      <c r="S364" s="13"/>
      <c r="T364" s="13"/>
      <c r="U364" s="21"/>
    </row>
    <row r="365" spans="1:21" ht="13.2" x14ac:dyDescent="0.25">
      <c r="A365" s="9"/>
      <c r="B365" s="9"/>
      <c r="C365" s="9"/>
      <c r="D365" s="9"/>
      <c r="E365" s="9"/>
      <c r="F365" s="14"/>
      <c r="G365" s="15"/>
      <c r="H365" s="15"/>
      <c r="I365" s="15"/>
      <c r="J365" s="15"/>
      <c r="K365" s="15"/>
      <c r="L365" s="15"/>
      <c r="M365" s="11"/>
      <c r="N365" s="11"/>
      <c r="O365" s="19"/>
      <c r="P365" s="12"/>
      <c r="Q365" s="12"/>
      <c r="R365" s="20"/>
      <c r="S365" s="13"/>
      <c r="T365" s="13"/>
      <c r="U365" s="21"/>
    </row>
    <row r="366" spans="1:21" ht="13.2" x14ac:dyDescent="0.25">
      <c r="A366" s="9"/>
      <c r="B366" s="9"/>
      <c r="C366" s="9"/>
      <c r="D366" s="9"/>
      <c r="E366" s="9"/>
      <c r="F366" s="14"/>
      <c r="G366" s="15"/>
      <c r="H366" s="15"/>
      <c r="I366" s="15"/>
      <c r="J366" s="15"/>
      <c r="K366" s="15"/>
      <c r="L366" s="15"/>
      <c r="M366" s="11"/>
      <c r="N366" s="11"/>
      <c r="O366" s="19"/>
      <c r="P366" s="12"/>
      <c r="Q366" s="12"/>
      <c r="R366" s="20"/>
      <c r="S366" s="13"/>
      <c r="T366" s="13"/>
      <c r="U366" s="21"/>
    </row>
    <row r="367" spans="1:21" ht="13.2" x14ac:dyDescent="0.25">
      <c r="A367" s="9"/>
      <c r="B367" s="9"/>
      <c r="C367" s="9"/>
      <c r="D367" s="9"/>
      <c r="E367" s="9"/>
      <c r="F367" s="14"/>
      <c r="G367" s="15"/>
      <c r="H367" s="15"/>
      <c r="I367" s="15"/>
      <c r="J367" s="15"/>
      <c r="K367" s="15"/>
      <c r="L367" s="15"/>
      <c r="M367" s="11"/>
      <c r="N367" s="11"/>
      <c r="O367" s="19"/>
      <c r="P367" s="12"/>
      <c r="Q367" s="12"/>
      <c r="R367" s="20"/>
      <c r="S367" s="13"/>
      <c r="T367" s="13"/>
      <c r="U367" s="21"/>
    </row>
    <row r="368" spans="1:21" ht="13.2" x14ac:dyDescent="0.25">
      <c r="A368" s="9"/>
      <c r="B368" s="9"/>
      <c r="C368" s="9"/>
      <c r="D368" s="9"/>
      <c r="E368" s="9"/>
      <c r="F368" s="14"/>
      <c r="G368" s="15"/>
      <c r="H368" s="15"/>
      <c r="I368" s="15"/>
      <c r="J368" s="15"/>
      <c r="K368" s="15"/>
      <c r="L368" s="15"/>
      <c r="M368" s="11"/>
      <c r="N368" s="11"/>
      <c r="O368" s="19"/>
      <c r="P368" s="12"/>
      <c r="Q368" s="12"/>
      <c r="R368" s="20"/>
      <c r="S368" s="13"/>
      <c r="T368" s="13"/>
      <c r="U368" s="21"/>
    </row>
    <row r="369" spans="1:21" ht="13.2" x14ac:dyDescent="0.25">
      <c r="A369" s="9"/>
      <c r="B369" s="9"/>
      <c r="C369" s="9"/>
      <c r="D369" s="9"/>
      <c r="E369" s="9"/>
      <c r="F369" s="14"/>
      <c r="G369" s="15"/>
      <c r="H369" s="15"/>
      <c r="I369" s="15"/>
      <c r="J369" s="15"/>
      <c r="K369" s="15"/>
      <c r="L369" s="15"/>
      <c r="M369" s="11"/>
      <c r="N369" s="11"/>
      <c r="O369" s="19"/>
      <c r="P369" s="12"/>
      <c r="Q369" s="12"/>
      <c r="R369" s="20"/>
      <c r="S369" s="13"/>
      <c r="T369" s="13"/>
      <c r="U369" s="21"/>
    </row>
    <row r="370" spans="1:21" ht="13.2" x14ac:dyDescent="0.25">
      <c r="A370" s="9"/>
      <c r="B370" s="9"/>
      <c r="C370" s="9"/>
      <c r="D370" s="9"/>
      <c r="E370" s="9"/>
      <c r="F370" s="14"/>
      <c r="G370" s="15"/>
      <c r="H370" s="15"/>
      <c r="I370" s="15"/>
      <c r="J370" s="15"/>
      <c r="K370" s="15"/>
      <c r="L370" s="15"/>
      <c r="M370" s="11"/>
      <c r="N370" s="11"/>
      <c r="O370" s="19"/>
      <c r="P370" s="12"/>
      <c r="Q370" s="12"/>
      <c r="R370" s="20"/>
      <c r="S370" s="13"/>
      <c r="T370" s="13"/>
      <c r="U370" s="21"/>
    </row>
    <row r="371" spans="1:21" ht="13.2" x14ac:dyDescent="0.25">
      <c r="A371" s="9"/>
      <c r="B371" s="9"/>
      <c r="C371" s="9"/>
      <c r="D371" s="9"/>
      <c r="E371" s="9"/>
      <c r="F371" s="14"/>
      <c r="G371" s="15"/>
      <c r="H371" s="15"/>
      <c r="I371" s="15"/>
      <c r="J371" s="15"/>
      <c r="K371" s="15"/>
      <c r="L371" s="15"/>
      <c r="M371" s="11"/>
      <c r="N371" s="11"/>
      <c r="O371" s="19"/>
      <c r="P371" s="12"/>
      <c r="Q371" s="12"/>
      <c r="R371" s="20"/>
      <c r="S371" s="13"/>
      <c r="T371" s="13"/>
      <c r="U371" s="21"/>
    </row>
    <row r="372" spans="1:21" ht="13.2" x14ac:dyDescent="0.25">
      <c r="A372" s="9"/>
      <c r="B372" s="9"/>
      <c r="C372" s="9"/>
      <c r="D372" s="9"/>
      <c r="E372" s="9"/>
      <c r="F372" s="14"/>
      <c r="G372" s="15"/>
      <c r="H372" s="15"/>
      <c r="I372" s="15"/>
      <c r="J372" s="15"/>
      <c r="K372" s="15"/>
      <c r="L372" s="15"/>
      <c r="M372" s="11"/>
      <c r="N372" s="11"/>
      <c r="O372" s="19"/>
      <c r="P372" s="12"/>
      <c r="Q372" s="12"/>
      <c r="R372" s="20"/>
      <c r="S372" s="13"/>
      <c r="T372" s="13"/>
      <c r="U372" s="21"/>
    </row>
    <row r="373" spans="1:21" ht="13.2" x14ac:dyDescent="0.25">
      <c r="A373" s="9"/>
      <c r="B373" s="9"/>
      <c r="C373" s="9"/>
      <c r="D373" s="9"/>
      <c r="E373" s="9"/>
      <c r="F373" s="14"/>
      <c r="G373" s="15"/>
      <c r="H373" s="15"/>
      <c r="I373" s="15"/>
      <c r="J373" s="15"/>
      <c r="K373" s="15"/>
      <c r="L373" s="15"/>
      <c r="M373" s="11"/>
      <c r="N373" s="11"/>
      <c r="O373" s="19"/>
      <c r="P373" s="12"/>
      <c r="Q373" s="12"/>
      <c r="R373" s="20"/>
      <c r="S373" s="13"/>
      <c r="T373" s="13"/>
      <c r="U373" s="21"/>
    </row>
    <row r="374" spans="1:21" ht="13.2" x14ac:dyDescent="0.25">
      <c r="A374" s="9"/>
      <c r="B374" s="9"/>
      <c r="C374" s="9"/>
      <c r="D374" s="9"/>
      <c r="E374" s="9"/>
      <c r="F374" s="14"/>
      <c r="G374" s="15"/>
      <c r="H374" s="15"/>
      <c r="I374" s="15"/>
      <c r="J374" s="15"/>
      <c r="K374" s="15"/>
      <c r="L374" s="15"/>
      <c r="M374" s="11"/>
      <c r="N374" s="11"/>
      <c r="O374" s="19"/>
      <c r="P374" s="12"/>
      <c r="Q374" s="12"/>
      <c r="R374" s="20"/>
      <c r="S374" s="13"/>
      <c r="T374" s="13"/>
      <c r="U374" s="21"/>
    </row>
    <row r="375" spans="1:21" ht="13.2" x14ac:dyDescent="0.25">
      <c r="A375" s="9"/>
      <c r="B375" s="9"/>
      <c r="C375" s="9"/>
      <c r="D375" s="9"/>
      <c r="E375" s="9"/>
      <c r="F375" s="14"/>
      <c r="G375" s="15"/>
      <c r="H375" s="15"/>
      <c r="I375" s="15"/>
      <c r="J375" s="15"/>
      <c r="K375" s="15"/>
      <c r="L375" s="15"/>
      <c r="M375" s="11"/>
      <c r="N375" s="11"/>
      <c r="O375" s="19"/>
      <c r="P375" s="12"/>
      <c r="Q375" s="12"/>
      <c r="R375" s="20"/>
      <c r="S375" s="13"/>
      <c r="T375" s="13"/>
      <c r="U375" s="21"/>
    </row>
    <row r="376" spans="1:21" ht="13.2" x14ac:dyDescent="0.25">
      <c r="A376" s="9"/>
      <c r="B376" s="9"/>
      <c r="C376" s="9"/>
      <c r="D376" s="9"/>
      <c r="E376" s="9"/>
      <c r="F376" s="14"/>
      <c r="G376" s="15"/>
      <c r="H376" s="15"/>
      <c r="I376" s="15"/>
      <c r="J376" s="15"/>
      <c r="K376" s="15"/>
      <c r="L376" s="15"/>
      <c r="M376" s="11"/>
      <c r="N376" s="11"/>
      <c r="O376" s="19"/>
      <c r="P376" s="12"/>
      <c r="Q376" s="12"/>
      <c r="R376" s="20"/>
      <c r="S376" s="13"/>
      <c r="T376" s="13"/>
      <c r="U376" s="21"/>
    </row>
    <row r="377" spans="1:21" ht="13.2" x14ac:dyDescent="0.25">
      <c r="A377" s="9"/>
      <c r="B377" s="9"/>
      <c r="C377" s="9"/>
      <c r="D377" s="9"/>
      <c r="E377" s="9"/>
      <c r="F377" s="14"/>
      <c r="G377" s="15"/>
      <c r="H377" s="15"/>
      <c r="I377" s="15"/>
      <c r="J377" s="15"/>
      <c r="K377" s="15"/>
      <c r="L377" s="15"/>
      <c r="M377" s="11"/>
      <c r="N377" s="11"/>
      <c r="O377" s="19"/>
      <c r="P377" s="12"/>
      <c r="Q377" s="12"/>
      <c r="R377" s="20"/>
      <c r="S377" s="13"/>
      <c r="T377" s="13"/>
      <c r="U377" s="21"/>
    </row>
    <row r="378" spans="1:21" ht="13.2" x14ac:dyDescent="0.25">
      <c r="A378" s="9"/>
      <c r="B378" s="9"/>
      <c r="C378" s="9"/>
      <c r="D378" s="9"/>
      <c r="E378" s="9"/>
      <c r="F378" s="14"/>
      <c r="G378" s="15"/>
      <c r="H378" s="15"/>
      <c r="I378" s="15"/>
      <c r="J378" s="15"/>
      <c r="K378" s="15"/>
      <c r="L378" s="15"/>
      <c r="M378" s="11"/>
      <c r="N378" s="11"/>
      <c r="O378" s="19"/>
      <c r="P378" s="12"/>
      <c r="Q378" s="12"/>
      <c r="R378" s="20"/>
      <c r="S378" s="13"/>
      <c r="T378" s="13"/>
      <c r="U378" s="21"/>
    </row>
    <row r="379" spans="1:21" ht="13.2" x14ac:dyDescent="0.25">
      <c r="A379" s="9"/>
      <c r="B379" s="9"/>
      <c r="C379" s="9"/>
      <c r="D379" s="9"/>
      <c r="E379" s="9"/>
      <c r="F379" s="14"/>
      <c r="G379" s="15"/>
      <c r="H379" s="15"/>
      <c r="I379" s="15"/>
      <c r="J379" s="15"/>
      <c r="K379" s="15"/>
      <c r="L379" s="15"/>
      <c r="M379" s="11"/>
      <c r="N379" s="11"/>
      <c r="O379" s="19"/>
      <c r="P379" s="12"/>
      <c r="Q379" s="12"/>
      <c r="R379" s="20"/>
      <c r="S379" s="13"/>
      <c r="T379" s="13"/>
      <c r="U379" s="21"/>
    </row>
    <row r="380" spans="1:21" ht="13.2" x14ac:dyDescent="0.25">
      <c r="A380" s="9"/>
      <c r="B380" s="9"/>
      <c r="C380" s="9"/>
      <c r="D380" s="9"/>
      <c r="E380" s="9"/>
      <c r="F380" s="14"/>
      <c r="G380" s="15"/>
      <c r="H380" s="15"/>
      <c r="I380" s="15"/>
      <c r="J380" s="15"/>
      <c r="K380" s="15"/>
      <c r="L380" s="15"/>
      <c r="M380" s="11"/>
      <c r="N380" s="11"/>
      <c r="O380" s="19"/>
      <c r="P380" s="12"/>
      <c r="Q380" s="12"/>
      <c r="R380" s="20"/>
      <c r="S380" s="13"/>
      <c r="T380" s="13"/>
      <c r="U380" s="21"/>
    </row>
    <row r="381" spans="1:21" ht="13.2" x14ac:dyDescent="0.25">
      <c r="A381" s="9"/>
      <c r="B381" s="9"/>
      <c r="C381" s="9"/>
      <c r="D381" s="9"/>
      <c r="E381" s="9"/>
      <c r="F381" s="14"/>
      <c r="G381" s="15"/>
      <c r="H381" s="15"/>
      <c r="I381" s="15"/>
      <c r="J381" s="15"/>
      <c r="K381" s="15"/>
      <c r="L381" s="15"/>
      <c r="M381" s="11"/>
      <c r="N381" s="11"/>
      <c r="O381" s="19"/>
      <c r="P381" s="12"/>
      <c r="Q381" s="12"/>
      <c r="R381" s="20"/>
      <c r="S381" s="13"/>
      <c r="T381" s="13"/>
      <c r="U381" s="21"/>
    </row>
    <row r="382" spans="1:21" ht="13.2" x14ac:dyDescent="0.25">
      <c r="A382" s="9"/>
      <c r="B382" s="9"/>
      <c r="C382" s="9"/>
      <c r="D382" s="9"/>
      <c r="E382" s="9"/>
      <c r="F382" s="14"/>
      <c r="G382" s="15"/>
      <c r="H382" s="15"/>
      <c r="I382" s="15"/>
      <c r="J382" s="15"/>
      <c r="K382" s="15"/>
      <c r="L382" s="15"/>
      <c r="M382" s="11"/>
      <c r="N382" s="11"/>
      <c r="O382" s="19"/>
      <c r="P382" s="12"/>
      <c r="Q382" s="12"/>
      <c r="R382" s="20"/>
      <c r="S382" s="13"/>
      <c r="T382" s="13"/>
      <c r="U382" s="21"/>
    </row>
    <row r="383" spans="1:21" ht="13.2" x14ac:dyDescent="0.25">
      <c r="A383" s="9"/>
      <c r="B383" s="9"/>
      <c r="C383" s="9"/>
      <c r="D383" s="9"/>
      <c r="E383" s="9"/>
      <c r="F383" s="14"/>
      <c r="G383" s="15"/>
      <c r="H383" s="15"/>
      <c r="I383" s="15"/>
      <c r="J383" s="15"/>
      <c r="K383" s="15"/>
      <c r="L383" s="15"/>
      <c r="M383" s="11"/>
      <c r="N383" s="11"/>
      <c r="O383" s="19"/>
      <c r="P383" s="12"/>
      <c r="Q383" s="12"/>
      <c r="R383" s="20"/>
      <c r="S383" s="13"/>
      <c r="T383" s="13"/>
      <c r="U383" s="21"/>
    </row>
    <row r="384" spans="1:21" ht="13.2" x14ac:dyDescent="0.25">
      <c r="A384" s="9"/>
      <c r="B384" s="9"/>
      <c r="C384" s="9"/>
      <c r="D384" s="9"/>
      <c r="E384" s="9"/>
      <c r="F384" s="14"/>
      <c r="G384" s="15"/>
      <c r="H384" s="15"/>
      <c r="I384" s="15"/>
      <c r="J384" s="15"/>
      <c r="K384" s="15"/>
      <c r="L384" s="15"/>
      <c r="M384" s="11"/>
      <c r="N384" s="11"/>
      <c r="O384" s="19"/>
      <c r="P384" s="12"/>
      <c r="Q384" s="12"/>
      <c r="R384" s="20"/>
      <c r="S384" s="13"/>
      <c r="T384" s="13"/>
      <c r="U384" s="21"/>
    </row>
    <row r="385" spans="1:21" ht="13.2" x14ac:dyDescent="0.25">
      <c r="A385" s="9"/>
      <c r="B385" s="9"/>
      <c r="C385" s="9"/>
      <c r="D385" s="9"/>
      <c r="E385" s="9"/>
      <c r="F385" s="14"/>
      <c r="G385" s="15"/>
      <c r="H385" s="15"/>
      <c r="I385" s="15"/>
      <c r="J385" s="15"/>
      <c r="K385" s="15"/>
      <c r="L385" s="15"/>
      <c r="M385" s="11"/>
      <c r="N385" s="11"/>
      <c r="O385" s="19"/>
      <c r="P385" s="12"/>
      <c r="Q385" s="12"/>
      <c r="R385" s="20"/>
      <c r="S385" s="13"/>
      <c r="T385" s="13"/>
      <c r="U385" s="21"/>
    </row>
    <row r="386" spans="1:21" ht="13.2" x14ac:dyDescent="0.25">
      <c r="A386" s="9"/>
      <c r="B386" s="9"/>
      <c r="C386" s="9"/>
      <c r="D386" s="9"/>
      <c r="E386" s="9"/>
      <c r="F386" s="14"/>
      <c r="G386" s="15"/>
      <c r="H386" s="15"/>
      <c r="I386" s="15"/>
      <c r="J386" s="15"/>
      <c r="K386" s="15"/>
      <c r="L386" s="15"/>
      <c r="M386" s="11"/>
      <c r="N386" s="11"/>
      <c r="O386" s="19"/>
      <c r="P386" s="12"/>
      <c r="Q386" s="12"/>
      <c r="R386" s="20"/>
      <c r="S386" s="13"/>
      <c r="T386" s="13"/>
      <c r="U386" s="21"/>
    </row>
    <row r="387" spans="1:21" ht="13.2" x14ac:dyDescent="0.25">
      <c r="A387" s="9"/>
      <c r="B387" s="9"/>
      <c r="C387" s="9"/>
      <c r="D387" s="9"/>
      <c r="E387" s="9"/>
      <c r="F387" s="14"/>
      <c r="G387" s="15"/>
      <c r="H387" s="15"/>
      <c r="I387" s="15"/>
      <c r="J387" s="15"/>
      <c r="K387" s="15"/>
      <c r="L387" s="15"/>
      <c r="M387" s="11"/>
      <c r="N387" s="11"/>
      <c r="O387" s="19"/>
      <c r="P387" s="12"/>
      <c r="Q387" s="12"/>
      <c r="R387" s="20"/>
      <c r="S387" s="13"/>
      <c r="T387" s="13"/>
      <c r="U387" s="21"/>
    </row>
    <row r="388" spans="1:21" ht="13.2" x14ac:dyDescent="0.25">
      <c r="A388" s="9"/>
      <c r="B388" s="9"/>
      <c r="C388" s="9"/>
      <c r="D388" s="9"/>
      <c r="E388" s="9"/>
      <c r="F388" s="14"/>
      <c r="G388" s="15"/>
      <c r="H388" s="15"/>
      <c r="I388" s="15"/>
      <c r="J388" s="15"/>
      <c r="K388" s="15"/>
      <c r="L388" s="15"/>
      <c r="M388" s="11"/>
      <c r="N388" s="11"/>
      <c r="O388" s="19"/>
      <c r="P388" s="12"/>
      <c r="Q388" s="12"/>
      <c r="R388" s="20"/>
      <c r="S388" s="13"/>
      <c r="T388" s="13"/>
      <c r="U388" s="21"/>
    </row>
    <row r="389" spans="1:21" ht="13.2" x14ac:dyDescent="0.25">
      <c r="A389" s="9"/>
      <c r="B389" s="9"/>
      <c r="C389" s="9"/>
      <c r="D389" s="9"/>
      <c r="E389" s="9"/>
      <c r="F389" s="14"/>
      <c r="G389" s="15"/>
      <c r="H389" s="15"/>
      <c r="I389" s="15"/>
      <c r="J389" s="15"/>
      <c r="K389" s="15"/>
      <c r="L389" s="15"/>
      <c r="M389" s="11"/>
      <c r="N389" s="11"/>
      <c r="O389" s="19"/>
      <c r="P389" s="12"/>
      <c r="Q389" s="12"/>
      <c r="R389" s="20"/>
      <c r="S389" s="13"/>
      <c r="T389" s="13"/>
      <c r="U389" s="21"/>
    </row>
    <row r="390" spans="1:21" ht="13.2" x14ac:dyDescent="0.25">
      <c r="A390" s="9"/>
      <c r="B390" s="9"/>
      <c r="C390" s="9"/>
      <c r="D390" s="9"/>
      <c r="E390" s="9"/>
      <c r="F390" s="14"/>
      <c r="G390" s="15"/>
      <c r="H390" s="15"/>
      <c r="I390" s="15"/>
      <c r="J390" s="15"/>
      <c r="K390" s="15"/>
      <c r="L390" s="15"/>
      <c r="M390" s="11"/>
      <c r="N390" s="11"/>
      <c r="O390" s="19"/>
      <c r="P390" s="12"/>
      <c r="Q390" s="12"/>
      <c r="R390" s="20"/>
      <c r="S390" s="13"/>
      <c r="T390" s="13"/>
      <c r="U390" s="21"/>
    </row>
    <row r="391" spans="1:21" ht="13.2" x14ac:dyDescent="0.25">
      <c r="A391" s="9"/>
      <c r="B391" s="9"/>
      <c r="C391" s="9"/>
      <c r="D391" s="9"/>
      <c r="E391" s="9"/>
      <c r="F391" s="14"/>
      <c r="G391" s="15"/>
      <c r="H391" s="15"/>
      <c r="I391" s="15"/>
      <c r="J391" s="15"/>
      <c r="K391" s="15"/>
      <c r="L391" s="15"/>
      <c r="M391" s="11"/>
      <c r="N391" s="11"/>
      <c r="O391" s="19"/>
      <c r="P391" s="12"/>
      <c r="Q391" s="12"/>
      <c r="R391" s="20"/>
      <c r="S391" s="13"/>
      <c r="T391" s="13"/>
      <c r="U391" s="21"/>
    </row>
    <row r="392" spans="1:21" ht="13.2" x14ac:dyDescent="0.25">
      <c r="A392" s="9"/>
      <c r="B392" s="9"/>
      <c r="C392" s="9"/>
      <c r="D392" s="9"/>
      <c r="E392" s="9"/>
      <c r="F392" s="14"/>
      <c r="G392" s="15"/>
      <c r="H392" s="15"/>
      <c r="I392" s="15"/>
      <c r="J392" s="15"/>
      <c r="K392" s="15"/>
      <c r="L392" s="15"/>
      <c r="M392" s="11"/>
      <c r="N392" s="11"/>
      <c r="O392" s="19"/>
      <c r="P392" s="12"/>
      <c r="Q392" s="12"/>
      <c r="R392" s="20"/>
      <c r="S392" s="13"/>
      <c r="T392" s="13"/>
      <c r="U392" s="21"/>
    </row>
    <row r="393" spans="1:21" ht="13.2" x14ac:dyDescent="0.25">
      <c r="A393" s="9"/>
      <c r="B393" s="9"/>
      <c r="C393" s="9"/>
      <c r="D393" s="9"/>
      <c r="E393" s="9"/>
      <c r="F393" s="14"/>
      <c r="G393" s="15"/>
      <c r="H393" s="15"/>
      <c r="I393" s="15"/>
      <c r="J393" s="15"/>
      <c r="K393" s="15"/>
      <c r="L393" s="15"/>
      <c r="M393" s="11"/>
      <c r="N393" s="11"/>
      <c r="O393" s="19"/>
      <c r="P393" s="12"/>
      <c r="Q393" s="12"/>
      <c r="R393" s="20"/>
      <c r="S393" s="13"/>
      <c r="T393" s="13"/>
      <c r="U393" s="21"/>
    </row>
    <row r="394" spans="1:21" ht="13.2" x14ac:dyDescent="0.25">
      <c r="A394" s="9"/>
      <c r="B394" s="9"/>
      <c r="C394" s="9"/>
      <c r="D394" s="9"/>
      <c r="E394" s="9"/>
      <c r="F394" s="14"/>
      <c r="G394" s="15"/>
      <c r="H394" s="15"/>
      <c r="I394" s="15"/>
      <c r="J394" s="15"/>
      <c r="K394" s="15"/>
      <c r="L394" s="15"/>
      <c r="M394" s="11"/>
      <c r="N394" s="11"/>
      <c r="O394" s="19"/>
      <c r="P394" s="12"/>
      <c r="Q394" s="12"/>
      <c r="R394" s="20"/>
      <c r="S394" s="13"/>
      <c r="T394" s="13"/>
      <c r="U394" s="21"/>
    </row>
    <row r="395" spans="1:21" ht="13.2" x14ac:dyDescent="0.25">
      <c r="A395" s="9"/>
      <c r="B395" s="9"/>
      <c r="C395" s="9"/>
      <c r="D395" s="9"/>
      <c r="E395" s="9"/>
      <c r="F395" s="14"/>
      <c r="G395" s="15"/>
      <c r="H395" s="15"/>
      <c r="I395" s="15"/>
      <c r="J395" s="15"/>
      <c r="K395" s="15"/>
      <c r="L395" s="15"/>
      <c r="M395" s="11"/>
      <c r="N395" s="11"/>
      <c r="O395" s="19"/>
      <c r="P395" s="12"/>
      <c r="Q395" s="12"/>
      <c r="R395" s="20"/>
      <c r="S395" s="13"/>
      <c r="T395" s="13"/>
      <c r="U395" s="21"/>
    </row>
    <row r="396" spans="1:21" ht="13.2" x14ac:dyDescent="0.25">
      <c r="A396" s="9"/>
      <c r="B396" s="9"/>
      <c r="C396" s="9"/>
      <c r="D396" s="9"/>
      <c r="E396" s="9"/>
      <c r="F396" s="14"/>
      <c r="G396" s="15"/>
      <c r="H396" s="15"/>
      <c r="I396" s="15"/>
      <c r="J396" s="15"/>
      <c r="K396" s="15"/>
      <c r="L396" s="15"/>
      <c r="M396" s="11"/>
      <c r="N396" s="11"/>
      <c r="O396" s="19"/>
      <c r="P396" s="12"/>
      <c r="Q396" s="12"/>
      <c r="R396" s="20"/>
      <c r="S396" s="13"/>
      <c r="T396" s="13"/>
      <c r="U396" s="21"/>
    </row>
    <row r="397" spans="1:21" ht="13.2" x14ac:dyDescent="0.25">
      <c r="A397" s="9"/>
      <c r="B397" s="9"/>
      <c r="C397" s="9"/>
      <c r="D397" s="9"/>
      <c r="E397" s="9"/>
      <c r="F397" s="14"/>
      <c r="G397" s="15"/>
      <c r="H397" s="15"/>
      <c r="I397" s="15"/>
      <c r="J397" s="15"/>
      <c r="K397" s="15"/>
      <c r="L397" s="15"/>
      <c r="M397" s="11"/>
      <c r="N397" s="11"/>
      <c r="O397" s="19"/>
      <c r="P397" s="12"/>
      <c r="Q397" s="12"/>
      <c r="R397" s="20"/>
      <c r="S397" s="13"/>
      <c r="T397" s="13"/>
      <c r="U397" s="21"/>
    </row>
    <row r="398" spans="1:21" ht="13.2" x14ac:dyDescent="0.25">
      <c r="A398" s="9"/>
      <c r="B398" s="9"/>
      <c r="C398" s="9"/>
      <c r="D398" s="9"/>
      <c r="E398" s="9"/>
      <c r="F398" s="14"/>
      <c r="G398" s="15"/>
      <c r="H398" s="15"/>
      <c r="I398" s="15"/>
      <c r="J398" s="15"/>
      <c r="K398" s="15"/>
      <c r="L398" s="15"/>
      <c r="M398" s="11"/>
      <c r="N398" s="11"/>
      <c r="O398" s="19"/>
      <c r="P398" s="12"/>
      <c r="Q398" s="12"/>
      <c r="R398" s="20"/>
      <c r="S398" s="13"/>
      <c r="T398" s="13"/>
      <c r="U398" s="21"/>
    </row>
    <row r="399" spans="1:21" ht="13.2" x14ac:dyDescent="0.25">
      <c r="A399" s="9"/>
      <c r="B399" s="9"/>
      <c r="C399" s="9"/>
      <c r="D399" s="9"/>
      <c r="E399" s="9"/>
      <c r="F399" s="14"/>
      <c r="G399" s="15"/>
      <c r="H399" s="15"/>
      <c r="I399" s="15"/>
      <c r="J399" s="15"/>
      <c r="K399" s="15"/>
      <c r="L399" s="15"/>
      <c r="M399" s="11"/>
      <c r="N399" s="11"/>
      <c r="O399" s="19"/>
      <c r="P399" s="12"/>
      <c r="Q399" s="12"/>
      <c r="R399" s="20"/>
      <c r="S399" s="13"/>
      <c r="T399" s="13"/>
      <c r="U399" s="21"/>
    </row>
    <row r="400" spans="1:21" ht="13.2" x14ac:dyDescent="0.25">
      <c r="A400" s="9"/>
      <c r="B400" s="9"/>
      <c r="C400" s="9"/>
      <c r="D400" s="9"/>
      <c r="E400" s="9"/>
      <c r="F400" s="14"/>
      <c r="G400" s="15"/>
      <c r="H400" s="15"/>
      <c r="I400" s="15"/>
      <c r="J400" s="15"/>
      <c r="K400" s="15"/>
      <c r="L400" s="15"/>
      <c r="M400" s="11"/>
      <c r="N400" s="11"/>
      <c r="O400" s="19"/>
      <c r="P400" s="12"/>
      <c r="Q400" s="12"/>
      <c r="R400" s="20"/>
      <c r="S400" s="13"/>
      <c r="T400" s="13"/>
      <c r="U400" s="21"/>
    </row>
    <row r="401" spans="1:21" ht="13.2" x14ac:dyDescent="0.25">
      <c r="A401" s="9"/>
      <c r="B401" s="9"/>
      <c r="C401" s="9"/>
      <c r="D401" s="9"/>
      <c r="E401" s="9"/>
      <c r="F401" s="14"/>
      <c r="G401" s="15"/>
      <c r="H401" s="15"/>
      <c r="I401" s="15"/>
      <c r="J401" s="15"/>
      <c r="K401" s="15"/>
      <c r="L401" s="15"/>
      <c r="M401" s="11"/>
      <c r="N401" s="11"/>
      <c r="O401" s="19"/>
      <c r="P401" s="12"/>
      <c r="Q401" s="12"/>
      <c r="R401" s="20"/>
      <c r="S401" s="13"/>
      <c r="T401" s="13"/>
      <c r="U401" s="21"/>
    </row>
    <row r="402" spans="1:21" ht="13.2" x14ac:dyDescent="0.25">
      <c r="A402" s="9"/>
      <c r="B402" s="9"/>
      <c r="C402" s="9"/>
      <c r="D402" s="9"/>
      <c r="E402" s="9"/>
      <c r="F402" s="14"/>
      <c r="G402" s="15"/>
      <c r="H402" s="15"/>
      <c r="I402" s="15"/>
      <c r="J402" s="15"/>
      <c r="K402" s="15"/>
      <c r="L402" s="15"/>
      <c r="M402" s="11"/>
      <c r="N402" s="11"/>
      <c r="O402" s="19"/>
      <c r="P402" s="12"/>
      <c r="Q402" s="12"/>
      <c r="R402" s="20"/>
      <c r="S402" s="13"/>
      <c r="T402" s="13"/>
      <c r="U402" s="21"/>
    </row>
    <row r="403" spans="1:21" ht="13.2" x14ac:dyDescent="0.25">
      <c r="A403" s="9"/>
      <c r="B403" s="9"/>
      <c r="C403" s="9"/>
      <c r="D403" s="9"/>
      <c r="E403" s="9"/>
      <c r="F403" s="14"/>
      <c r="G403" s="15"/>
      <c r="H403" s="15"/>
      <c r="I403" s="15"/>
      <c r="J403" s="15"/>
      <c r="K403" s="15"/>
      <c r="L403" s="15"/>
      <c r="M403" s="11"/>
      <c r="N403" s="11"/>
      <c r="O403" s="19"/>
      <c r="P403" s="12"/>
      <c r="Q403" s="12"/>
      <c r="R403" s="20"/>
      <c r="S403" s="13"/>
      <c r="T403" s="13"/>
      <c r="U403" s="21"/>
    </row>
    <row r="404" spans="1:21" ht="13.2" x14ac:dyDescent="0.25">
      <c r="A404" s="9"/>
      <c r="B404" s="9"/>
      <c r="C404" s="9"/>
      <c r="D404" s="9"/>
      <c r="E404" s="9"/>
      <c r="F404" s="14"/>
      <c r="G404" s="15"/>
      <c r="H404" s="15"/>
      <c r="I404" s="15"/>
      <c r="J404" s="15"/>
      <c r="K404" s="15"/>
      <c r="L404" s="15"/>
      <c r="M404" s="11"/>
      <c r="N404" s="11"/>
      <c r="O404" s="19"/>
      <c r="P404" s="12"/>
      <c r="Q404" s="12"/>
      <c r="R404" s="20"/>
      <c r="S404" s="13"/>
      <c r="T404" s="13"/>
      <c r="U404" s="21"/>
    </row>
    <row r="405" spans="1:21" ht="13.2" x14ac:dyDescent="0.25">
      <c r="A405" s="9"/>
      <c r="B405" s="9"/>
      <c r="C405" s="9"/>
      <c r="D405" s="9"/>
      <c r="E405" s="9"/>
      <c r="F405" s="14"/>
      <c r="G405" s="15"/>
      <c r="H405" s="15"/>
      <c r="I405" s="15"/>
      <c r="J405" s="15"/>
      <c r="K405" s="15"/>
      <c r="L405" s="15"/>
      <c r="M405" s="11"/>
      <c r="N405" s="11"/>
      <c r="O405" s="19"/>
      <c r="P405" s="12"/>
      <c r="Q405" s="12"/>
      <c r="R405" s="20"/>
      <c r="S405" s="13"/>
      <c r="T405" s="13"/>
      <c r="U405" s="21"/>
    </row>
    <row r="406" spans="1:21" ht="13.2" x14ac:dyDescent="0.25">
      <c r="A406" s="9"/>
      <c r="B406" s="9"/>
      <c r="C406" s="9"/>
      <c r="D406" s="9"/>
      <c r="E406" s="9"/>
      <c r="F406" s="14"/>
      <c r="G406" s="15"/>
      <c r="H406" s="15"/>
      <c r="I406" s="15"/>
      <c r="J406" s="15"/>
      <c r="K406" s="15"/>
      <c r="L406" s="15"/>
      <c r="M406" s="11"/>
      <c r="N406" s="11"/>
      <c r="O406" s="19"/>
      <c r="P406" s="12"/>
      <c r="Q406" s="12"/>
      <c r="R406" s="20"/>
      <c r="S406" s="13"/>
      <c r="T406" s="13"/>
      <c r="U406" s="21"/>
    </row>
    <row r="407" spans="1:21" ht="13.2" x14ac:dyDescent="0.25">
      <c r="A407" s="9"/>
      <c r="B407" s="9"/>
      <c r="C407" s="9"/>
      <c r="D407" s="9"/>
      <c r="E407" s="9"/>
      <c r="F407" s="14"/>
      <c r="G407" s="15"/>
      <c r="H407" s="15"/>
      <c r="I407" s="15"/>
      <c r="J407" s="15"/>
      <c r="K407" s="15"/>
      <c r="L407" s="15"/>
      <c r="M407" s="11"/>
      <c r="N407" s="11"/>
      <c r="O407" s="19"/>
      <c r="P407" s="12"/>
      <c r="Q407" s="12"/>
      <c r="R407" s="20"/>
      <c r="S407" s="13"/>
      <c r="T407" s="13"/>
      <c r="U407" s="21"/>
    </row>
    <row r="408" spans="1:21" ht="13.2" x14ac:dyDescent="0.25">
      <c r="A408" s="9"/>
      <c r="B408" s="9"/>
      <c r="C408" s="9"/>
      <c r="D408" s="9"/>
      <c r="E408" s="9"/>
      <c r="F408" s="14"/>
      <c r="G408" s="15"/>
      <c r="H408" s="15"/>
      <c r="I408" s="15"/>
      <c r="J408" s="15"/>
      <c r="K408" s="15"/>
      <c r="L408" s="15"/>
      <c r="M408" s="11"/>
      <c r="N408" s="11"/>
      <c r="O408" s="19"/>
      <c r="P408" s="12"/>
      <c r="Q408" s="12"/>
      <c r="R408" s="20"/>
      <c r="S408" s="13"/>
      <c r="T408" s="13"/>
      <c r="U408" s="21"/>
    </row>
    <row r="409" spans="1:21" ht="13.2" x14ac:dyDescent="0.25">
      <c r="A409" s="9"/>
      <c r="B409" s="9"/>
      <c r="C409" s="9"/>
      <c r="D409" s="9"/>
      <c r="E409" s="9"/>
      <c r="F409" s="14"/>
      <c r="G409" s="15"/>
      <c r="H409" s="15"/>
      <c r="I409" s="15"/>
      <c r="J409" s="15"/>
      <c r="K409" s="15"/>
      <c r="L409" s="15"/>
      <c r="M409" s="11"/>
      <c r="N409" s="11"/>
      <c r="O409" s="19"/>
      <c r="P409" s="12"/>
      <c r="Q409" s="12"/>
      <c r="R409" s="20"/>
      <c r="S409" s="13"/>
      <c r="T409" s="13"/>
      <c r="U409" s="21"/>
    </row>
    <row r="410" spans="1:21" ht="13.2" x14ac:dyDescent="0.25">
      <c r="A410" s="9"/>
      <c r="B410" s="9"/>
      <c r="C410" s="9"/>
      <c r="D410" s="9"/>
      <c r="E410" s="9"/>
      <c r="F410" s="14"/>
      <c r="G410" s="15"/>
      <c r="H410" s="15"/>
      <c r="I410" s="15"/>
      <c r="J410" s="15"/>
      <c r="K410" s="15"/>
      <c r="L410" s="15"/>
      <c r="M410" s="11"/>
      <c r="N410" s="11"/>
      <c r="O410" s="19"/>
      <c r="P410" s="12"/>
      <c r="Q410" s="12"/>
      <c r="R410" s="20"/>
      <c r="S410" s="13"/>
      <c r="T410" s="13"/>
      <c r="U410" s="21"/>
    </row>
    <row r="411" spans="1:21" ht="13.2" x14ac:dyDescent="0.25">
      <c r="A411" s="9"/>
      <c r="B411" s="9"/>
      <c r="C411" s="9"/>
      <c r="D411" s="9"/>
      <c r="E411" s="9"/>
      <c r="F411" s="14"/>
      <c r="G411" s="15"/>
      <c r="H411" s="15"/>
      <c r="I411" s="15"/>
      <c r="J411" s="15"/>
      <c r="K411" s="15"/>
      <c r="L411" s="15"/>
      <c r="M411" s="11"/>
      <c r="N411" s="11"/>
      <c r="O411" s="19"/>
      <c r="P411" s="12"/>
      <c r="Q411" s="12"/>
      <c r="R411" s="20"/>
      <c r="S411" s="13"/>
      <c r="T411" s="13"/>
      <c r="U411" s="21"/>
    </row>
    <row r="412" spans="1:21" ht="13.2" x14ac:dyDescent="0.25">
      <c r="A412" s="9"/>
      <c r="B412" s="9"/>
      <c r="C412" s="9"/>
      <c r="D412" s="9"/>
      <c r="E412" s="9"/>
      <c r="F412" s="14"/>
      <c r="G412" s="15"/>
      <c r="H412" s="15"/>
      <c r="I412" s="15"/>
      <c r="J412" s="15"/>
      <c r="K412" s="15"/>
      <c r="L412" s="15"/>
      <c r="M412" s="11"/>
      <c r="N412" s="11"/>
      <c r="O412" s="19"/>
      <c r="P412" s="12"/>
      <c r="Q412" s="12"/>
      <c r="R412" s="20"/>
      <c r="S412" s="13"/>
      <c r="T412" s="13"/>
      <c r="U412" s="21"/>
    </row>
    <row r="413" spans="1:21" ht="13.2" x14ac:dyDescent="0.25">
      <c r="A413" s="9"/>
      <c r="B413" s="9"/>
      <c r="C413" s="9"/>
      <c r="D413" s="9"/>
      <c r="E413" s="9"/>
      <c r="F413" s="14"/>
      <c r="G413" s="15"/>
      <c r="H413" s="15"/>
      <c r="I413" s="15"/>
      <c r="J413" s="15"/>
      <c r="K413" s="15"/>
      <c r="L413" s="15"/>
      <c r="M413" s="11"/>
      <c r="N413" s="11"/>
      <c r="O413" s="19"/>
      <c r="P413" s="12"/>
      <c r="Q413" s="12"/>
      <c r="R413" s="20"/>
      <c r="S413" s="13"/>
      <c r="T413" s="13"/>
      <c r="U413" s="21"/>
    </row>
    <row r="414" spans="1:21" ht="13.2" x14ac:dyDescent="0.25">
      <c r="A414" s="9"/>
      <c r="B414" s="9"/>
      <c r="C414" s="9"/>
      <c r="D414" s="9"/>
      <c r="E414" s="9"/>
      <c r="F414" s="14"/>
      <c r="G414" s="15"/>
      <c r="H414" s="15"/>
      <c r="I414" s="15"/>
      <c r="J414" s="15"/>
      <c r="K414" s="15"/>
      <c r="L414" s="15"/>
      <c r="M414" s="11"/>
      <c r="N414" s="11"/>
      <c r="O414" s="19"/>
      <c r="P414" s="12"/>
      <c r="Q414" s="12"/>
      <c r="R414" s="20"/>
      <c r="S414" s="13"/>
      <c r="T414" s="13"/>
      <c r="U414" s="21"/>
    </row>
    <row r="415" spans="1:21" ht="13.2" x14ac:dyDescent="0.25">
      <c r="A415" s="9"/>
      <c r="B415" s="9"/>
      <c r="C415" s="9"/>
      <c r="D415" s="9"/>
      <c r="E415" s="9"/>
      <c r="F415" s="14"/>
      <c r="G415" s="15"/>
      <c r="H415" s="15"/>
      <c r="I415" s="15"/>
      <c r="J415" s="15"/>
      <c r="K415" s="15"/>
      <c r="L415" s="15"/>
      <c r="M415" s="11"/>
      <c r="N415" s="11"/>
      <c r="O415" s="19"/>
      <c r="P415" s="12"/>
      <c r="Q415" s="12"/>
      <c r="R415" s="20"/>
      <c r="S415" s="13"/>
      <c r="T415" s="13"/>
      <c r="U415" s="21"/>
    </row>
    <row r="416" spans="1:21" ht="13.2" x14ac:dyDescent="0.25">
      <c r="A416" s="9"/>
      <c r="B416" s="9"/>
      <c r="C416" s="9"/>
      <c r="D416" s="9"/>
      <c r="E416" s="9"/>
      <c r="F416" s="14"/>
      <c r="G416" s="15"/>
      <c r="H416" s="15"/>
      <c r="I416" s="15"/>
      <c r="J416" s="15"/>
      <c r="K416" s="15"/>
      <c r="L416" s="15"/>
      <c r="M416" s="11"/>
      <c r="N416" s="11"/>
      <c r="O416" s="19"/>
      <c r="P416" s="12"/>
      <c r="Q416" s="12"/>
      <c r="R416" s="20"/>
      <c r="S416" s="13"/>
      <c r="T416" s="13"/>
      <c r="U416" s="21"/>
    </row>
    <row r="417" spans="1:21" ht="13.2" x14ac:dyDescent="0.25">
      <c r="A417" s="9"/>
      <c r="B417" s="9"/>
      <c r="C417" s="9"/>
      <c r="D417" s="9"/>
      <c r="E417" s="9"/>
      <c r="F417" s="14"/>
      <c r="G417" s="15"/>
      <c r="H417" s="15"/>
      <c r="I417" s="15"/>
      <c r="J417" s="15"/>
      <c r="K417" s="15"/>
      <c r="L417" s="15"/>
      <c r="M417" s="11"/>
      <c r="N417" s="11"/>
      <c r="O417" s="19"/>
      <c r="P417" s="12"/>
      <c r="Q417" s="12"/>
      <c r="R417" s="20"/>
      <c r="S417" s="13"/>
      <c r="T417" s="13"/>
      <c r="U417" s="21"/>
    </row>
    <row r="418" spans="1:21" ht="13.2" x14ac:dyDescent="0.25">
      <c r="A418" s="9"/>
      <c r="B418" s="9"/>
      <c r="C418" s="9"/>
      <c r="D418" s="9"/>
      <c r="E418" s="9"/>
      <c r="F418" s="14"/>
      <c r="G418" s="15"/>
      <c r="H418" s="15"/>
      <c r="I418" s="15"/>
      <c r="J418" s="15"/>
      <c r="K418" s="15"/>
      <c r="L418" s="15"/>
      <c r="M418" s="11"/>
      <c r="N418" s="11"/>
      <c r="O418" s="19"/>
      <c r="P418" s="12"/>
      <c r="Q418" s="12"/>
      <c r="R418" s="20"/>
      <c r="S418" s="13"/>
      <c r="T418" s="13"/>
      <c r="U418" s="21"/>
    </row>
    <row r="419" spans="1:21" ht="13.2" x14ac:dyDescent="0.25">
      <c r="A419" s="9"/>
      <c r="B419" s="9"/>
      <c r="C419" s="9"/>
      <c r="D419" s="9"/>
      <c r="E419" s="9"/>
      <c r="F419" s="14"/>
      <c r="G419" s="15"/>
      <c r="H419" s="15"/>
      <c r="I419" s="15"/>
      <c r="J419" s="15"/>
      <c r="K419" s="15"/>
      <c r="L419" s="15"/>
      <c r="M419" s="11"/>
      <c r="N419" s="11"/>
      <c r="O419" s="19"/>
      <c r="P419" s="12"/>
      <c r="Q419" s="12"/>
      <c r="R419" s="20"/>
      <c r="S419" s="13"/>
      <c r="T419" s="13"/>
      <c r="U419" s="21"/>
    </row>
    <row r="420" spans="1:21" ht="13.2" x14ac:dyDescent="0.25">
      <c r="A420" s="9"/>
      <c r="B420" s="9"/>
      <c r="C420" s="9"/>
      <c r="D420" s="9"/>
      <c r="E420" s="9"/>
      <c r="F420" s="14"/>
      <c r="G420" s="15"/>
      <c r="H420" s="15"/>
      <c r="I420" s="15"/>
      <c r="J420" s="15"/>
      <c r="K420" s="15"/>
      <c r="L420" s="15"/>
      <c r="M420" s="11"/>
      <c r="N420" s="11"/>
      <c r="O420" s="19"/>
      <c r="P420" s="12"/>
      <c r="Q420" s="12"/>
      <c r="R420" s="20"/>
      <c r="S420" s="13"/>
      <c r="T420" s="13"/>
      <c r="U420" s="21"/>
    </row>
    <row r="421" spans="1:21" ht="13.2" x14ac:dyDescent="0.25">
      <c r="A421" s="9"/>
      <c r="B421" s="9"/>
      <c r="C421" s="9"/>
      <c r="D421" s="9"/>
      <c r="E421" s="9"/>
      <c r="F421" s="14"/>
      <c r="G421" s="15"/>
      <c r="H421" s="15"/>
      <c r="I421" s="15"/>
      <c r="J421" s="15"/>
      <c r="K421" s="15"/>
      <c r="L421" s="15"/>
      <c r="M421" s="11"/>
      <c r="N421" s="11"/>
      <c r="O421" s="19"/>
      <c r="P421" s="12"/>
      <c r="Q421" s="12"/>
      <c r="R421" s="20"/>
      <c r="S421" s="13"/>
      <c r="T421" s="13"/>
      <c r="U421" s="21"/>
    </row>
    <row r="422" spans="1:21" ht="13.2" x14ac:dyDescent="0.25">
      <c r="A422" s="9"/>
      <c r="B422" s="9"/>
      <c r="C422" s="9"/>
      <c r="D422" s="9"/>
      <c r="E422" s="9"/>
      <c r="F422" s="14"/>
      <c r="G422" s="15"/>
      <c r="H422" s="15"/>
      <c r="I422" s="15"/>
      <c r="J422" s="15"/>
      <c r="K422" s="15"/>
      <c r="L422" s="15"/>
      <c r="M422" s="11"/>
      <c r="N422" s="11"/>
      <c r="O422" s="19"/>
      <c r="P422" s="12"/>
      <c r="Q422" s="12"/>
      <c r="R422" s="20"/>
      <c r="S422" s="13"/>
      <c r="T422" s="13"/>
      <c r="U422" s="21"/>
    </row>
    <row r="423" spans="1:21" ht="13.2" x14ac:dyDescent="0.25">
      <c r="A423" s="9"/>
      <c r="B423" s="9"/>
      <c r="C423" s="9"/>
      <c r="D423" s="9"/>
      <c r="E423" s="9"/>
      <c r="F423" s="14"/>
      <c r="G423" s="15"/>
      <c r="H423" s="15"/>
      <c r="I423" s="15"/>
      <c r="J423" s="15"/>
      <c r="K423" s="15"/>
      <c r="L423" s="15"/>
      <c r="M423" s="11"/>
      <c r="N423" s="11"/>
      <c r="O423" s="19"/>
      <c r="P423" s="12"/>
      <c r="Q423" s="12"/>
      <c r="R423" s="20"/>
      <c r="S423" s="13"/>
      <c r="T423" s="13"/>
      <c r="U423" s="21"/>
    </row>
    <row r="424" spans="1:21" ht="13.2" x14ac:dyDescent="0.25">
      <c r="A424" s="9"/>
      <c r="B424" s="9"/>
      <c r="C424" s="9"/>
      <c r="D424" s="9"/>
      <c r="E424" s="9"/>
      <c r="F424" s="14"/>
      <c r="G424" s="15"/>
      <c r="H424" s="15"/>
      <c r="I424" s="15"/>
      <c r="J424" s="15"/>
      <c r="K424" s="15"/>
      <c r="L424" s="15"/>
      <c r="M424" s="11"/>
      <c r="N424" s="11"/>
      <c r="O424" s="19"/>
      <c r="P424" s="12"/>
      <c r="Q424" s="12"/>
      <c r="R424" s="20"/>
      <c r="S424" s="13"/>
      <c r="T424" s="13"/>
      <c r="U424" s="21"/>
    </row>
    <row r="425" spans="1:21" ht="13.2" x14ac:dyDescent="0.25">
      <c r="A425" s="9"/>
      <c r="B425" s="9"/>
      <c r="C425" s="9"/>
      <c r="D425" s="9"/>
      <c r="E425" s="9"/>
      <c r="F425" s="14"/>
      <c r="G425" s="15"/>
      <c r="H425" s="15"/>
      <c r="I425" s="15"/>
      <c r="J425" s="15"/>
      <c r="K425" s="15"/>
      <c r="L425" s="15"/>
      <c r="M425" s="11"/>
      <c r="N425" s="11"/>
      <c r="O425" s="19"/>
      <c r="P425" s="12"/>
      <c r="Q425" s="12"/>
      <c r="R425" s="20"/>
      <c r="S425" s="13"/>
      <c r="T425" s="13"/>
      <c r="U425" s="21"/>
    </row>
    <row r="426" spans="1:21" ht="13.2" x14ac:dyDescent="0.25">
      <c r="A426" s="9"/>
      <c r="B426" s="9"/>
      <c r="C426" s="9"/>
      <c r="D426" s="9"/>
      <c r="E426" s="9"/>
      <c r="F426" s="14"/>
      <c r="G426" s="15"/>
      <c r="H426" s="15"/>
      <c r="I426" s="15"/>
      <c r="J426" s="15"/>
      <c r="K426" s="15"/>
      <c r="L426" s="15"/>
      <c r="M426" s="11"/>
      <c r="N426" s="11"/>
      <c r="O426" s="19"/>
      <c r="P426" s="12"/>
      <c r="Q426" s="12"/>
      <c r="R426" s="20"/>
      <c r="S426" s="13"/>
      <c r="T426" s="13"/>
      <c r="U426" s="21"/>
    </row>
    <row r="427" spans="1:21" ht="13.2" x14ac:dyDescent="0.25">
      <c r="A427" s="9"/>
      <c r="B427" s="9"/>
      <c r="C427" s="9"/>
      <c r="D427" s="9"/>
      <c r="E427" s="9"/>
      <c r="F427" s="14"/>
      <c r="G427" s="15"/>
      <c r="H427" s="15"/>
      <c r="I427" s="15"/>
      <c r="J427" s="15"/>
      <c r="K427" s="15"/>
      <c r="L427" s="15"/>
      <c r="M427" s="11"/>
      <c r="N427" s="11"/>
      <c r="O427" s="19"/>
      <c r="P427" s="12"/>
      <c r="Q427" s="12"/>
      <c r="R427" s="20"/>
      <c r="S427" s="13"/>
      <c r="T427" s="13"/>
      <c r="U427" s="21"/>
    </row>
    <row r="428" spans="1:21" ht="13.2" x14ac:dyDescent="0.25">
      <c r="A428" s="9"/>
      <c r="B428" s="9"/>
      <c r="C428" s="9"/>
      <c r="D428" s="9"/>
      <c r="E428" s="9"/>
      <c r="F428" s="14"/>
      <c r="G428" s="15"/>
      <c r="H428" s="15"/>
      <c r="I428" s="15"/>
      <c r="J428" s="15"/>
      <c r="K428" s="15"/>
      <c r="L428" s="15"/>
      <c r="M428" s="11"/>
      <c r="N428" s="11"/>
      <c r="O428" s="19"/>
      <c r="P428" s="12"/>
      <c r="Q428" s="12"/>
      <c r="R428" s="20"/>
      <c r="S428" s="13"/>
      <c r="T428" s="13"/>
      <c r="U428" s="21"/>
    </row>
    <row r="429" spans="1:21" ht="13.2" x14ac:dyDescent="0.25">
      <c r="A429" s="9"/>
      <c r="B429" s="9"/>
      <c r="C429" s="9"/>
      <c r="D429" s="9"/>
      <c r="E429" s="9"/>
      <c r="F429" s="14"/>
      <c r="G429" s="15"/>
      <c r="H429" s="15"/>
      <c r="I429" s="15"/>
      <c r="J429" s="15"/>
      <c r="K429" s="15"/>
      <c r="L429" s="15"/>
      <c r="M429" s="11"/>
      <c r="N429" s="11"/>
      <c r="O429" s="19"/>
      <c r="P429" s="12"/>
      <c r="Q429" s="12"/>
      <c r="R429" s="20"/>
      <c r="S429" s="13"/>
      <c r="T429" s="13"/>
      <c r="U429" s="21"/>
    </row>
    <row r="430" spans="1:21" ht="13.2" x14ac:dyDescent="0.25">
      <c r="A430" s="9"/>
      <c r="B430" s="9"/>
      <c r="C430" s="9"/>
      <c r="D430" s="9"/>
      <c r="E430" s="9"/>
      <c r="F430" s="14"/>
      <c r="G430" s="15"/>
      <c r="H430" s="15"/>
      <c r="I430" s="15"/>
      <c r="J430" s="15"/>
      <c r="K430" s="15"/>
      <c r="L430" s="15"/>
      <c r="M430" s="11"/>
      <c r="N430" s="11"/>
      <c r="O430" s="19"/>
      <c r="P430" s="12"/>
      <c r="Q430" s="12"/>
      <c r="R430" s="20"/>
      <c r="S430" s="13"/>
      <c r="T430" s="13"/>
      <c r="U430" s="21"/>
    </row>
    <row r="431" spans="1:21" ht="13.2" x14ac:dyDescent="0.25">
      <c r="A431" s="9"/>
      <c r="B431" s="9"/>
      <c r="C431" s="9"/>
      <c r="D431" s="9"/>
      <c r="E431" s="9"/>
      <c r="F431" s="14"/>
      <c r="G431" s="15"/>
      <c r="H431" s="15"/>
      <c r="I431" s="15"/>
      <c r="J431" s="15"/>
      <c r="K431" s="15"/>
      <c r="L431" s="15"/>
      <c r="M431" s="11"/>
      <c r="N431" s="11"/>
      <c r="O431" s="19"/>
      <c r="P431" s="12"/>
      <c r="Q431" s="12"/>
      <c r="R431" s="20"/>
      <c r="S431" s="13"/>
      <c r="T431" s="13"/>
      <c r="U431" s="21"/>
    </row>
    <row r="432" spans="1:21" ht="13.2" x14ac:dyDescent="0.25">
      <c r="A432" s="9"/>
      <c r="B432" s="9"/>
      <c r="C432" s="9"/>
      <c r="D432" s="9"/>
      <c r="E432" s="9"/>
      <c r="F432" s="14"/>
      <c r="G432" s="15"/>
      <c r="H432" s="15"/>
      <c r="I432" s="15"/>
      <c r="J432" s="15"/>
      <c r="K432" s="15"/>
      <c r="L432" s="15"/>
      <c r="M432" s="11"/>
      <c r="N432" s="11"/>
      <c r="O432" s="19"/>
      <c r="P432" s="12"/>
      <c r="Q432" s="12"/>
      <c r="R432" s="20"/>
      <c r="S432" s="13"/>
      <c r="T432" s="13"/>
      <c r="U432" s="21"/>
    </row>
    <row r="433" spans="1:21" ht="13.2" x14ac:dyDescent="0.25">
      <c r="A433" s="9"/>
      <c r="B433" s="9"/>
      <c r="C433" s="9"/>
      <c r="D433" s="9"/>
      <c r="E433" s="9"/>
      <c r="F433" s="14"/>
      <c r="G433" s="15"/>
      <c r="H433" s="15"/>
      <c r="I433" s="15"/>
      <c r="J433" s="15"/>
      <c r="K433" s="15"/>
      <c r="L433" s="15"/>
      <c r="M433" s="11"/>
      <c r="N433" s="11"/>
      <c r="O433" s="19"/>
      <c r="P433" s="12"/>
      <c r="Q433" s="12"/>
      <c r="R433" s="20"/>
      <c r="S433" s="13"/>
      <c r="T433" s="13"/>
      <c r="U433" s="21"/>
    </row>
    <row r="434" spans="1:21" ht="13.2" x14ac:dyDescent="0.25">
      <c r="A434" s="9"/>
      <c r="B434" s="9"/>
      <c r="C434" s="9"/>
      <c r="D434" s="9"/>
      <c r="E434" s="9"/>
      <c r="F434" s="14"/>
      <c r="G434" s="15"/>
      <c r="H434" s="15"/>
      <c r="I434" s="15"/>
      <c r="J434" s="15"/>
      <c r="K434" s="15"/>
      <c r="L434" s="15"/>
      <c r="M434" s="11"/>
      <c r="N434" s="11"/>
      <c r="O434" s="19"/>
      <c r="P434" s="12"/>
      <c r="Q434" s="12"/>
      <c r="R434" s="20"/>
      <c r="S434" s="13"/>
      <c r="T434" s="13"/>
      <c r="U434" s="21"/>
    </row>
    <row r="435" spans="1:21" ht="13.2" x14ac:dyDescent="0.25">
      <c r="A435" s="9"/>
      <c r="B435" s="9"/>
      <c r="C435" s="9"/>
      <c r="D435" s="9"/>
      <c r="E435" s="9"/>
      <c r="F435" s="14"/>
      <c r="G435" s="15"/>
      <c r="H435" s="15"/>
      <c r="I435" s="15"/>
      <c r="J435" s="15"/>
      <c r="K435" s="15"/>
      <c r="L435" s="15"/>
      <c r="M435" s="11"/>
      <c r="N435" s="11"/>
      <c r="O435" s="19"/>
      <c r="P435" s="12"/>
      <c r="Q435" s="12"/>
      <c r="R435" s="20"/>
      <c r="S435" s="13"/>
      <c r="T435" s="13"/>
      <c r="U435" s="21"/>
    </row>
    <row r="436" spans="1:21" ht="13.2" x14ac:dyDescent="0.25">
      <c r="A436" s="9"/>
      <c r="B436" s="9"/>
      <c r="C436" s="9"/>
      <c r="D436" s="9"/>
      <c r="E436" s="9"/>
      <c r="F436" s="14"/>
      <c r="G436" s="15"/>
      <c r="H436" s="15"/>
      <c r="I436" s="15"/>
      <c r="J436" s="15"/>
      <c r="K436" s="15"/>
      <c r="L436" s="15"/>
      <c r="M436" s="11"/>
      <c r="N436" s="11"/>
      <c r="O436" s="19"/>
      <c r="P436" s="12"/>
      <c r="Q436" s="12"/>
      <c r="R436" s="20"/>
      <c r="S436" s="13"/>
      <c r="T436" s="13"/>
      <c r="U436" s="21"/>
    </row>
    <row r="437" spans="1:21" ht="13.2" x14ac:dyDescent="0.25">
      <c r="A437" s="9"/>
      <c r="B437" s="9"/>
      <c r="C437" s="9"/>
      <c r="D437" s="9"/>
      <c r="E437" s="9"/>
      <c r="F437" s="14"/>
      <c r="G437" s="15"/>
      <c r="H437" s="15"/>
      <c r="I437" s="15"/>
      <c r="J437" s="15"/>
      <c r="K437" s="15"/>
      <c r="L437" s="15"/>
      <c r="M437" s="11"/>
      <c r="N437" s="11"/>
      <c r="O437" s="19"/>
      <c r="P437" s="12"/>
      <c r="Q437" s="12"/>
      <c r="R437" s="20"/>
      <c r="S437" s="13"/>
      <c r="T437" s="13"/>
      <c r="U437" s="21"/>
    </row>
    <row r="438" spans="1:21" ht="13.2" x14ac:dyDescent="0.25">
      <c r="A438" s="9"/>
      <c r="B438" s="9"/>
      <c r="C438" s="9"/>
      <c r="D438" s="9"/>
      <c r="E438" s="9"/>
      <c r="F438" s="14"/>
      <c r="G438" s="15"/>
      <c r="H438" s="15"/>
      <c r="I438" s="15"/>
      <c r="J438" s="15"/>
      <c r="K438" s="15"/>
      <c r="L438" s="15"/>
      <c r="M438" s="11"/>
      <c r="N438" s="11"/>
      <c r="O438" s="19"/>
      <c r="P438" s="12"/>
      <c r="Q438" s="12"/>
      <c r="R438" s="20"/>
      <c r="S438" s="13"/>
      <c r="T438" s="13"/>
      <c r="U438" s="21"/>
    </row>
    <row r="439" spans="1:21" ht="13.2" x14ac:dyDescent="0.25">
      <c r="A439" s="9"/>
      <c r="B439" s="9"/>
      <c r="C439" s="9"/>
      <c r="D439" s="9"/>
      <c r="E439" s="9"/>
      <c r="F439" s="14"/>
      <c r="G439" s="15"/>
      <c r="H439" s="15"/>
      <c r="I439" s="15"/>
      <c r="J439" s="15"/>
      <c r="K439" s="15"/>
      <c r="L439" s="15"/>
      <c r="M439" s="11"/>
      <c r="N439" s="11"/>
      <c r="O439" s="19"/>
      <c r="P439" s="12"/>
      <c r="Q439" s="12"/>
      <c r="R439" s="20"/>
      <c r="S439" s="13"/>
      <c r="T439" s="13"/>
      <c r="U439" s="21"/>
    </row>
    <row r="440" spans="1:21" ht="13.2" x14ac:dyDescent="0.25">
      <c r="A440" s="9"/>
      <c r="B440" s="9"/>
      <c r="C440" s="9"/>
      <c r="D440" s="9"/>
      <c r="E440" s="9"/>
      <c r="F440" s="14"/>
      <c r="G440" s="15"/>
      <c r="H440" s="15"/>
      <c r="I440" s="15"/>
      <c r="J440" s="15"/>
      <c r="K440" s="15"/>
      <c r="L440" s="15"/>
      <c r="M440" s="11"/>
      <c r="N440" s="11"/>
      <c r="O440" s="19"/>
      <c r="P440" s="12"/>
      <c r="Q440" s="12"/>
      <c r="R440" s="20"/>
      <c r="S440" s="13"/>
      <c r="T440" s="13"/>
      <c r="U440" s="21"/>
    </row>
    <row r="441" spans="1:21" ht="13.2" x14ac:dyDescent="0.25">
      <c r="A441" s="9"/>
      <c r="B441" s="9"/>
      <c r="C441" s="9"/>
      <c r="D441" s="9"/>
      <c r="E441" s="9"/>
      <c r="F441" s="14"/>
      <c r="G441" s="15"/>
      <c r="H441" s="15"/>
      <c r="I441" s="15"/>
      <c r="J441" s="15"/>
      <c r="K441" s="15"/>
      <c r="L441" s="15"/>
      <c r="M441" s="11"/>
      <c r="N441" s="11"/>
      <c r="O441" s="19"/>
      <c r="P441" s="12"/>
      <c r="Q441" s="12"/>
      <c r="R441" s="20"/>
      <c r="S441" s="13"/>
      <c r="T441" s="13"/>
      <c r="U441" s="21"/>
    </row>
    <row r="442" spans="1:21" ht="13.2" x14ac:dyDescent="0.25">
      <c r="A442" s="9"/>
      <c r="B442" s="9"/>
      <c r="C442" s="9"/>
      <c r="D442" s="9"/>
      <c r="E442" s="9"/>
      <c r="F442" s="14"/>
      <c r="G442" s="15"/>
      <c r="H442" s="15"/>
      <c r="I442" s="15"/>
      <c r="J442" s="15"/>
      <c r="K442" s="15"/>
      <c r="L442" s="15"/>
      <c r="M442" s="11"/>
      <c r="N442" s="11"/>
      <c r="O442" s="19"/>
      <c r="P442" s="12"/>
      <c r="Q442" s="12"/>
      <c r="R442" s="20"/>
      <c r="S442" s="13"/>
      <c r="T442" s="13"/>
      <c r="U442" s="21"/>
    </row>
    <row r="443" spans="1:21" ht="13.2" x14ac:dyDescent="0.25">
      <c r="A443" s="9"/>
      <c r="B443" s="9"/>
      <c r="C443" s="9"/>
      <c r="D443" s="9"/>
      <c r="E443" s="9"/>
      <c r="F443" s="14"/>
      <c r="G443" s="15"/>
      <c r="H443" s="15"/>
      <c r="I443" s="15"/>
      <c r="J443" s="15"/>
      <c r="K443" s="15"/>
      <c r="L443" s="15"/>
      <c r="M443" s="11"/>
      <c r="N443" s="11"/>
      <c r="O443" s="19"/>
      <c r="P443" s="12"/>
      <c r="Q443" s="12"/>
      <c r="R443" s="20"/>
      <c r="S443" s="13"/>
      <c r="T443" s="13"/>
      <c r="U443" s="21"/>
    </row>
    <row r="444" spans="1:21" ht="13.2" x14ac:dyDescent="0.25">
      <c r="A444" s="9"/>
      <c r="B444" s="9"/>
      <c r="C444" s="9"/>
      <c r="D444" s="9"/>
      <c r="E444" s="9"/>
      <c r="F444" s="14"/>
      <c r="G444" s="15"/>
      <c r="H444" s="15"/>
      <c r="I444" s="15"/>
      <c r="J444" s="15"/>
      <c r="K444" s="15"/>
      <c r="L444" s="15"/>
      <c r="M444" s="11"/>
      <c r="N444" s="11"/>
      <c r="O444" s="19"/>
      <c r="P444" s="12"/>
      <c r="Q444" s="12"/>
      <c r="R444" s="20"/>
      <c r="S444" s="13"/>
      <c r="T444" s="13"/>
      <c r="U444" s="21"/>
    </row>
    <row r="445" spans="1:21" ht="13.2" x14ac:dyDescent="0.25">
      <c r="A445" s="9"/>
      <c r="B445" s="9"/>
      <c r="C445" s="9"/>
      <c r="D445" s="9"/>
      <c r="E445" s="9"/>
      <c r="F445" s="14"/>
      <c r="G445" s="15"/>
      <c r="H445" s="15"/>
      <c r="I445" s="15"/>
      <c r="J445" s="15"/>
      <c r="K445" s="15"/>
      <c r="L445" s="15"/>
      <c r="M445" s="11"/>
      <c r="N445" s="11"/>
      <c r="O445" s="19"/>
      <c r="P445" s="12"/>
      <c r="Q445" s="12"/>
      <c r="R445" s="20"/>
      <c r="S445" s="13"/>
      <c r="T445" s="13"/>
      <c r="U445" s="21"/>
    </row>
    <row r="446" spans="1:21" ht="13.2" x14ac:dyDescent="0.25">
      <c r="A446" s="9"/>
      <c r="B446" s="9"/>
      <c r="C446" s="9"/>
      <c r="D446" s="9"/>
      <c r="E446" s="9"/>
      <c r="F446" s="14"/>
      <c r="G446" s="15"/>
      <c r="H446" s="15"/>
      <c r="I446" s="15"/>
      <c r="J446" s="15"/>
      <c r="K446" s="15"/>
      <c r="L446" s="15"/>
      <c r="M446" s="11"/>
      <c r="N446" s="11"/>
      <c r="O446" s="19"/>
      <c r="P446" s="12"/>
      <c r="Q446" s="12"/>
      <c r="R446" s="20"/>
      <c r="S446" s="13"/>
      <c r="T446" s="13"/>
      <c r="U446" s="21"/>
    </row>
    <row r="447" spans="1:21" ht="13.2" x14ac:dyDescent="0.25">
      <c r="A447" s="9"/>
      <c r="B447" s="9"/>
      <c r="C447" s="9"/>
      <c r="D447" s="9"/>
      <c r="E447" s="9"/>
      <c r="F447" s="14"/>
      <c r="G447" s="15"/>
      <c r="H447" s="15"/>
      <c r="I447" s="15"/>
      <c r="J447" s="15"/>
      <c r="K447" s="15"/>
      <c r="L447" s="15"/>
      <c r="M447" s="11"/>
      <c r="N447" s="11"/>
      <c r="O447" s="19"/>
      <c r="P447" s="12"/>
      <c r="Q447" s="12"/>
      <c r="R447" s="20"/>
      <c r="S447" s="13"/>
      <c r="T447" s="13"/>
      <c r="U447" s="21"/>
    </row>
    <row r="448" spans="1:21" ht="13.2" x14ac:dyDescent="0.25">
      <c r="A448" s="9"/>
      <c r="B448" s="9"/>
      <c r="C448" s="9"/>
      <c r="D448" s="9"/>
      <c r="E448" s="9"/>
      <c r="F448" s="14"/>
      <c r="G448" s="15"/>
      <c r="H448" s="15"/>
      <c r="I448" s="15"/>
      <c r="J448" s="15"/>
      <c r="K448" s="15"/>
      <c r="L448" s="15"/>
      <c r="M448" s="11"/>
      <c r="N448" s="11"/>
      <c r="O448" s="19"/>
      <c r="P448" s="12"/>
      <c r="Q448" s="12"/>
      <c r="R448" s="20"/>
      <c r="S448" s="13"/>
      <c r="T448" s="13"/>
      <c r="U448" s="21"/>
    </row>
    <row r="449" spans="1:21" ht="13.2" x14ac:dyDescent="0.25">
      <c r="A449" s="9"/>
      <c r="B449" s="9"/>
      <c r="C449" s="9"/>
      <c r="D449" s="9"/>
      <c r="E449" s="9"/>
      <c r="F449" s="14"/>
      <c r="G449" s="15"/>
      <c r="H449" s="15"/>
      <c r="I449" s="15"/>
      <c r="J449" s="15"/>
      <c r="K449" s="15"/>
      <c r="L449" s="15"/>
      <c r="M449" s="11"/>
      <c r="N449" s="11"/>
      <c r="O449" s="19"/>
      <c r="P449" s="12"/>
      <c r="Q449" s="12"/>
      <c r="R449" s="20"/>
      <c r="S449" s="13"/>
      <c r="T449" s="13"/>
      <c r="U449" s="21"/>
    </row>
    <row r="450" spans="1:21" ht="13.2" x14ac:dyDescent="0.25">
      <c r="A450" s="9"/>
      <c r="B450" s="9"/>
      <c r="C450" s="9"/>
      <c r="D450" s="9"/>
      <c r="E450" s="9"/>
      <c r="F450" s="14"/>
      <c r="G450" s="15"/>
      <c r="H450" s="15"/>
      <c r="I450" s="15"/>
      <c r="J450" s="15"/>
      <c r="K450" s="15"/>
      <c r="L450" s="15"/>
      <c r="M450" s="11"/>
      <c r="N450" s="11"/>
      <c r="O450" s="19"/>
      <c r="P450" s="12"/>
      <c r="Q450" s="12"/>
      <c r="R450" s="20"/>
      <c r="S450" s="13"/>
      <c r="T450" s="13"/>
      <c r="U450" s="21"/>
    </row>
    <row r="451" spans="1:21" ht="13.2" x14ac:dyDescent="0.25">
      <c r="A451" s="9"/>
      <c r="B451" s="9"/>
      <c r="C451" s="9"/>
      <c r="D451" s="9"/>
      <c r="E451" s="9"/>
      <c r="F451" s="14"/>
      <c r="G451" s="15"/>
      <c r="H451" s="15"/>
      <c r="I451" s="15"/>
      <c r="J451" s="15"/>
      <c r="K451" s="15"/>
      <c r="L451" s="15"/>
      <c r="M451" s="11"/>
      <c r="N451" s="11"/>
      <c r="O451" s="19"/>
      <c r="P451" s="12"/>
      <c r="Q451" s="12"/>
      <c r="R451" s="20"/>
      <c r="S451" s="13"/>
      <c r="T451" s="13"/>
      <c r="U451" s="21"/>
    </row>
    <row r="452" spans="1:21" ht="13.2" x14ac:dyDescent="0.25">
      <c r="A452" s="9"/>
      <c r="B452" s="9"/>
      <c r="C452" s="9"/>
      <c r="D452" s="9"/>
      <c r="E452" s="9"/>
      <c r="F452" s="14"/>
      <c r="G452" s="15"/>
      <c r="H452" s="15"/>
      <c r="I452" s="15"/>
      <c r="J452" s="15"/>
      <c r="K452" s="15"/>
      <c r="L452" s="15"/>
      <c r="M452" s="11"/>
      <c r="N452" s="11"/>
      <c r="O452" s="19"/>
      <c r="P452" s="12"/>
      <c r="Q452" s="12"/>
      <c r="R452" s="20"/>
      <c r="S452" s="13"/>
      <c r="T452" s="13"/>
      <c r="U452" s="21"/>
    </row>
    <row r="453" spans="1:21" ht="13.2" x14ac:dyDescent="0.25">
      <c r="A453" s="9"/>
      <c r="B453" s="9"/>
      <c r="C453" s="9"/>
      <c r="D453" s="9"/>
      <c r="E453" s="9"/>
      <c r="F453" s="14"/>
      <c r="G453" s="15"/>
      <c r="H453" s="15"/>
      <c r="I453" s="15"/>
      <c r="J453" s="15"/>
      <c r="K453" s="15"/>
      <c r="L453" s="15"/>
      <c r="M453" s="11"/>
      <c r="N453" s="11"/>
      <c r="O453" s="19"/>
      <c r="P453" s="12"/>
      <c r="Q453" s="12"/>
      <c r="R453" s="20"/>
      <c r="S453" s="13"/>
      <c r="T453" s="13"/>
      <c r="U453" s="21"/>
    </row>
    <row r="454" spans="1:21" ht="13.2" x14ac:dyDescent="0.25">
      <c r="A454" s="9"/>
      <c r="B454" s="9"/>
      <c r="C454" s="9"/>
      <c r="D454" s="9"/>
      <c r="E454" s="9"/>
      <c r="F454" s="14"/>
      <c r="G454" s="15"/>
      <c r="H454" s="15"/>
      <c r="I454" s="15"/>
      <c r="J454" s="15"/>
      <c r="K454" s="15"/>
      <c r="L454" s="15"/>
      <c r="M454" s="11"/>
      <c r="N454" s="11"/>
      <c r="O454" s="19"/>
      <c r="P454" s="12"/>
      <c r="Q454" s="12"/>
      <c r="R454" s="20"/>
      <c r="S454" s="13"/>
      <c r="T454" s="13"/>
      <c r="U454" s="21"/>
    </row>
    <row r="455" spans="1:21" ht="13.2" x14ac:dyDescent="0.25">
      <c r="A455" s="9"/>
      <c r="B455" s="9"/>
      <c r="C455" s="9"/>
      <c r="D455" s="9"/>
      <c r="E455" s="9"/>
      <c r="F455" s="14"/>
      <c r="G455" s="15"/>
      <c r="H455" s="15"/>
      <c r="I455" s="15"/>
      <c r="J455" s="15"/>
      <c r="K455" s="15"/>
      <c r="L455" s="15"/>
      <c r="M455" s="11"/>
      <c r="N455" s="11"/>
      <c r="O455" s="19"/>
      <c r="P455" s="12"/>
      <c r="Q455" s="12"/>
      <c r="R455" s="20"/>
      <c r="S455" s="13"/>
      <c r="T455" s="13"/>
      <c r="U455" s="21"/>
    </row>
    <row r="456" spans="1:21" ht="13.2" x14ac:dyDescent="0.25">
      <c r="A456" s="9"/>
      <c r="B456" s="9"/>
      <c r="C456" s="9"/>
      <c r="D456" s="9"/>
      <c r="E456" s="9"/>
      <c r="F456" s="14"/>
      <c r="G456" s="15"/>
      <c r="H456" s="15"/>
      <c r="I456" s="15"/>
      <c r="J456" s="15"/>
      <c r="K456" s="15"/>
      <c r="L456" s="15"/>
      <c r="M456" s="11"/>
      <c r="N456" s="11"/>
      <c r="O456" s="19"/>
      <c r="P456" s="12"/>
      <c r="Q456" s="12"/>
      <c r="R456" s="20"/>
      <c r="S456" s="13"/>
      <c r="T456" s="13"/>
      <c r="U456" s="21"/>
    </row>
    <row r="457" spans="1:21" ht="13.2" x14ac:dyDescent="0.25">
      <c r="A457" s="9"/>
      <c r="B457" s="9"/>
      <c r="C457" s="9"/>
      <c r="D457" s="9"/>
      <c r="E457" s="9"/>
      <c r="F457" s="14"/>
      <c r="G457" s="15"/>
      <c r="H457" s="15"/>
      <c r="I457" s="15"/>
      <c r="J457" s="15"/>
      <c r="K457" s="15"/>
      <c r="L457" s="15"/>
      <c r="M457" s="11"/>
      <c r="N457" s="11"/>
      <c r="O457" s="19"/>
      <c r="P457" s="12"/>
      <c r="Q457" s="12"/>
      <c r="R457" s="20"/>
      <c r="S457" s="13"/>
      <c r="T457" s="13"/>
      <c r="U457" s="21"/>
    </row>
    <row r="458" spans="1:21" ht="13.2" x14ac:dyDescent="0.25">
      <c r="A458" s="9"/>
      <c r="B458" s="9"/>
      <c r="C458" s="9"/>
      <c r="D458" s="9"/>
      <c r="E458" s="9"/>
      <c r="F458" s="14"/>
      <c r="G458" s="15"/>
      <c r="H458" s="15"/>
      <c r="I458" s="15"/>
      <c r="J458" s="15"/>
      <c r="K458" s="15"/>
      <c r="L458" s="15"/>
      <c r="M458" s="11"/>
      <c r="N458" s="11"/>
      <c r="O458" s="19"/>
      <c r="P458" s="12"/>
      <c r="Q458" s="12"/>
      <c r="R458" s="20"/>
      <c r="S458" s="13"/>
      <c r="T458" s="13"/>
      <c r="U458" s="21"/>
    </row>
    <row r="459" spans="1:21" ht="13.2" x14ac:dyDescent="0.25">
      <c r="A459" s="9"/>
      <c r="B459" s="9"/>
      <c r="C459" s="9"/>
      <c r="D459" s="9"/>
      <c r="E459" s="9"/>
      <c r="F459" s="14"/>
      <c r="G459" s="15"/>
      <c r="H459" s="15"/>
      <c r="I459" s="15"/>
      <c r="J459" s="15"/>
      <c r="K459" s="15"/>
      <c r="L459" s="15"/>
      <c r="M459" s="11"/>
      <c r="N459" s="11"/>
      <c r="O459" s="19"/>
      <c r="P459" s="12"/>
      <c r="Q459" s="12"/>
      <c r="R459" s="20"/>
      <c r="S459" s="13"/>
      <c r="T459" s="13"/>
      <c r="U459" s="21"/>
    </row>
    <row r="460" spans="1:21" ht="13.2" x14ac:dyDescent="0.25">
      <c r="A460" s="9"/>
      <c r="B460" s="9"/>
      <c r="C460" s="9"/>
      <c r="D460" s="9"/>
      <c r="E460" s="9"/>
      <c r="F460" s="14"/>
      <c r="G460" s="15"/>
      <c r="H460" s="15"/>
      <c r="I460" s="15"/>
      <c r="J460" s="15"/>
      <c r="K460" s="15"/>
      <c r="L460" s="15"/>
      <c r="M460" s="11"/>
      <c r="N460" s="11"/>
      <c r="O460" s="19"/>
      <c r="P460" s="12"/>
      <c r="Q460" s="12"/>
      <c r="R460" s="20"/>
      <c r="S460" s="13"/>
      <c r="T460" s="13"/>
      <c r="U460" s="21"/>
    </row>
    <row r="461" spans="1:21" ht="13.2" x14ac:dyDescent="0.25">
      <c r="A461" s="9"/>
      <c r="B461" s="9"/>
      <c r="C461" s="9"/>
      <c r="D461" s="9"/>
      <c r="E461" s="9"/>
      <c r="F461" s="14"/>
      <c r="G461" s="15"/>
      <c r="H461" s="15"/>
      <c r="I461" s="15"/>
      <c r="J461" s="15"/>
      <c r="K461" s="15"/>
      <c r="L461" s="15"/>
      <c r="M461" s="11"/>
      <c r="N461" s="11"/>
      <c r="O461" s="19"/>
      <c r="P461" s="12"/>
      <c r="Q461" s="12"/>
      <c r="R461" s="20"/>
      <c r="S461" s="13"/>
      <c r="T461" s="13"/>
      <c r="U461" s="21"/>
    </row>
    <row r="462" spans="1:21" ht="13.2" x14ac:dyDescent="0.25">
      <c r="A462" s="9"/>
      <c r="B462" s="9"/>
      <c r="C462" s="9"/>
      <c r="D462" s="9"/>
      <c r="E462" s="9"/>
      <c r="F462" s="14"/>
      <c r="G462" s="15"/>
      <c r="H462" s="15"/>
      <c r="I462" s="15"/>
      <c r="J462" s="15"/>
      <c r="K462" s="15"/>
      <c r="L462" s="15"/>
      <c r="M462" s="11"/>
      <c r="N462" s="11"/>
      <c r="O462" s="19"/>
      <c r="P462" s="12"/>
      <c r="Q462" s="12"/>
      <c r="R462" s="20"/>
      <c r="S462" s="13"/>
      <c r="T462" s="13"/>
      <c r="U462" s="21"/>
    </row>
    <row r="463" spans="1:21" ht="13.2" x14ac:dyDescent="0.25">
      <c r="A463" s="9"/>
      <c r="B463" s="9"/>
      <c r="C463" s="9"/>
      <c r="D463" s="9"/>
      <c r="E463" s="9"/>
      <c r="F463" s="14"/>
      <c r="G463" s="15"/>
      <c r="H463" s="15"/>
      <c r="I463" s="15"/>
      <c r="J463" s="15"/>
      <c r="K463" s="15"/>
      <c r="L463" s="15"/>
      <c r="M463" s="11"/>
      <c r="N463" s="11"/>
      <c r="O463" s="19"/>
      <c r="P463" s="12"/>
      <c r="Q463" s="12"/>
      <c r="R463" s="20"/>
      <c r="S463" s="13"/>
      <c r="T463" s="13"/>
      <c r="U463" s="21"/>
    </row>
    <row r="464" spans="1:21" ht="13.2" x14ac:dyDescent="0.25">
      <c r="A464" s="9"/>
      <c r="B464" s="9"/>
      <c r="C464" s="9"/>
      <c r="D464" s="9"/>
      <c r="E464" s="9"/>
      <c r="F464" s="14"/>
      <c r="G464" s="15"/>
      <c r="H464" s="15"/>
      <c r="I464" s="15"/>
      <c r="J464" s="15"/>
      <c r="K464" s="15"/>
      <c r="L464" s="15"/>
      <c r="M464" s="11"/>
      <c r="N464" s="11"/>
      <c r="O464" s="19"/>
      <c r="P464" s="12"/>
      <c r="Q464" s="12"/>
      <c r="R464" s="20"/>
      <c r="S464" s="13"/>
      <c r="T464" s="13"/>
      <c r="U464" s="21"/>
    </row>
    <row r="465" spans="1:21" ht="13.2" x14ac:dyDescent="0.25">
      <c r="A465" s="9"/>
      <c r="B465" s="9"/>
      <c r="C465" s="9"/>
      <c r="D465" s="9"/>
      <c r="E465" s="9"/>
      <c r="F465" s="14"/>
      <c r="G465" s="15"/>
      <c r="H465" s="15"/>
      <c r="I465" s="15"/>
      <c r="J465" s="15"/>
      <c r="K465" s="15"/>
      <c r="L465" s="15"/>
      <c r="M465" s="11"/>
      <c r="N465" s="11"/>
      <c r="O465" s="19"/>
      <c r="P465" s="12"/>
      <c r="Q465" s="12"/>
      <c r="R465" s="20"/>
      <c r="S465" s="13"/>
      <c r="T465" s="13"/>
      <c r="U465" s="21"/>
    </row>
    <row r="466" spans="1:21" ht="13.2" x14ac:dyDescent="0.25">
      <c r="A466" s="9"/>
      <c r="B466" s="9"/>
      <c r="C466" s="9"/>
      <c r="D466" s="9"/>
      <c r="E466" s="9"/>
      <c r="F466" s="14"/>
      <c r="G466" s="15"/>
      <c r="H466" s="15"/>
      <c r="I466" s="15"/>
      <c r="J466" s="15"/>
      <c r="K466" s="15"/>
      <c r="L466" s="15"/>
      <c r="M466" s="11"/>
      <c r="N466" s="11"/>
      <c r="O466" s="19"/>
      <c r="P466" s="12"/>
      <c r="Q466" s="12"/>
      <c r="R466" s="20"/>
      <c r="S466" s="13"/>
      <c r="T466" s="13"/>
      <c r="U466" s="21"/>
    </row>
    <row r="467" spans="1:21" ht="13.2" x14ac:dyDescent="0.25">
      <c r="A467" s="9"/>
      <c r="B467" s="9"/>
      <c r="C467" s="9"/>
      <c r="D467" s="9"/>
      <c r="E467" s="9"/>
      <c r="F467" s="14"/>
      <c r="G467" s="15"/>
      <c r="H467" s="15"/>
      <c r="I467" s="15"/>
      <c r="J467" s="15"/>
      <c r="K467" s="15"/>
      <c r="L467" s="15"/>
      <c r="M467" s="11"/>
      <c r="N467" s="11"/>
      <c r="O467" s="19"/>
      <c r="P467" s="12"/>
      <c r="Q467" s="12"/>
      <c r="R467" s="20"/>
      <c r="S467" s="13"/>
      <c r="T467" s="13"/>
      <c r="U467" s="21"/>
    </row>
    <row r="468" spans="1:21" ht="13.2" x14ac:dyDescent="0.25">
      <c r="A468" s="9"/>
      <c r="B468" s="9"/>
      <c r="C468" s="9"/>
      <c r="D468" s="9"/>
      <c r="E468" s="9"/>
      <c r="F468" s="14"/>
      <c r="G468" s="15"/>
      <c r="H468" s="15"/>
      <c r="I468" s="15"/>
      <c r="J468" s="15"/>
      <c r="K468" s="15"/>
      <c r="L468" s="15"/>
      <c r="M468" s="11"/>
      <c r="N468" s="11"/>
      <c r="O468" s="19"/>
      <c r="P468" s="12"/>
      <c r="Q468" s="12"/>
      <c r="R468" s="20"/>
      <c r="S468" s="13"/>
      <c r="T468" s="13"/>
      <c r="U468" s="21"/>
    </row>
    <row r="469" spans="1:21" ht="13.2" x14ac:dyDescent="0.25">
      <c r="A469" s="9"/>
      <c r="B469" s="9"/>
      <c r="C469" s="9"/>
      <c r="D469" s="9"/>
      <c r="E469" s="9"/>
      <c r="F469" s="14"/>
      <c r="G469" s="15"/>
      <c r="H469" s="15"/>
      <c r="I469" s="15"/>
      <c r="J469" s="15"/>
      <c r="K469" s="15"/>
      <c r="L469" s="15"/>
      <c r="M469" s="11"/>
      <c r="N469" s="11"/>
      <c r="O469" s="19"/>
      <c r="P469" s="12"/>
      <c r="Q469" s="12"/>
      <c r="R469" s="20"/>
      <c r="S469" s="13"/>
      <c r="T469" s="13"/>
      <c r="U469" s="21"/>
    </row>
    <row r="470" spans="1:21" ht="13.2" x14ac:dyDescent="0.25">
      <c r="A470" s="9"/>
      <c r="B470" s="9"/>
      <c r="C470" s="9"/>
      <c r="D470" s="9"/>
      <c r="E470" s="9"/>
      <c r="F470" s="14"/>
      <c r="G470" s="15"/>
      <c r="H470" s="15"/>
      <c r="I470" s="15"/>
      <c r="J470" s="15"/>
      <c r="K470" s="15"/>
      <c r="L470" s="15"/>
      <c r="M470" s="11"/>
      <c r="N470" s="11"/>
      <c r="O470" s="19"/>
      <c r="P470" s="12"/>
      <c r="Q470" s="12"/>
      <c r="R470" s="20"/>
      <c r="S470" s="13"/>
      <c r="T470" s="13"/>
      <c r="U470" s="21"/>
    </row>
    <row r="471" spans="1:21" ht="13.2" x14ac:dyDescent="0.25">
      <c r="A471" s="9"/>
      <c r="B471" s="9"/>
      <c r="C471" s="9"/>
      <c r="D471" s="9"/>
      <c r="E471" s="9"/>
      <c r="F471" s="14"/>
      <c r="G471" s="15"/>
      <c r="H471" s="15"/>
      <c r="I471" s="15"/>
      <c r="J471" s="15"/>
      <c r="K471" s="15"/>
      <c r="L471" s="15"/>
      <c r="M471" s="11"/>
      <c r="N471" s="11"/>
      <c r="O471" s="19"/>
      <c r="P471" s="12"/>
      <c r="Q471" s="12"/>
      <c r="R471" s="20"/>
      <c r="S471" s="13"/>
      <c r="T471" s="13"/>
      <c r="U471" s="21"/>
    </row>
    <row r="472" spans="1:21" ht="13.2" x14ac:dyDescent="0.25">
      <c r="A472" s="9"/>
      <c r="B472" s="9"/>
      <c r="C472" s="9"/>
      <c r="D472" s="9"/>
      <c r="E472" s="9"/>
      <c r="F472" s="14"/>
      <c r="G472" s="15"/>
      <c r="H472" s="15"/>
      <c r="I472" s="15"/>
      <c r="J472" s="15"/>
      <c r="K472" s="15"/>
      <c r="L472" s="15"/>
      <c r="M472" s="11"/>
      <c r="N472" s="11"/>
      <c r="O472" s="19"/>
      <c r="P472" s="12"/>
      <c r="Q472" s="12"/>
      <c r="R472" s="20"/>
      <c r="S472" s="13"/>
      <c r="T472" s="13"/>
      <c r="U472" s="21"/>
    </row>
    <row r="473" spans="1:21" ht="13.2" x14ac:dyDescent="0.25">
      <c r="A473" s="9"/>
      <c r="B473" s="9"/>
      <c r="C473" s="9"/>
      <c r="D473" s="9"/>
      <c r="E473" s="9"/>
      <c r="F473" s="14"/>
      <c r="G473" s="15"/>
      <c r="H473" s="15"/>
      <c r="I473" s="15"/>
      <c r="J473" s="15"/>
      <c r="K473" s="15"/>
      <c r="L473" s="15"/>
      <c r="M473" s="11"/>
      <c r="N473" s="11"/>
      <c r="O473" s="19"/>
      <c r="P473" s="12"/>
      <c r="Q473" s="12"/>
      <c r="R473" s="20"/>
      <c r="S473" s="13"/>
      <c r="T473" s="13"/>
      <c r="U473" s="21"/>
    </row>
    <row r="474" spans="1:21" ht="13.2" x14ac:dyDescent="0.25">
      <c r="A474" s="9"/>
      <c r="B474" s="9"/>
      <c r="C474" s="9"/>
      <c r="D474" s="9"/>
      <c r="E474" s="9"/>
      <c r="F474" s="14"/>
      <c r="G474" s="15"/>
      <c r="H474" s="15"/>
      <c r="I474" s="15"/>
      <c r="J474" s="15"/>
      <c r="K474" s="15"/>
      <c r="L474" s="15"/>
      <c r="M474" s="11"/>
      <c r="N474" s="11"/>
      <c r="O474" s="19"/>
      <c r="P474" s="12"/>
      <c r="Q474" s="12"/>
      <c r="R474" s="20"/>
      <c r="S474" s="13"/>
      <c r="T474" s="13"/>
      <c r="U474" s="21"/>
    </row>
    <row r="475" spans="1:21" ht="13.2" x14ac:dyDescent="0.25">
      <c r="A475" s="9"/>
      <c r="B475" s="9"/>
      <c r="C475" s="9"/>
      <c r="D475" s="9"/>
      <c r="E475" s="9"/>
      <c r="F475" s="14"/>
      <c r="G475" s="15"/>
      <c r="H475" s="15"/>
      <c r="I475" s="15"/>
      <c r="J475" s="15"/>
      <c r="K475" s="15"/>
      <c r="L475" s="15"/>
      <c r="M475" s="11"/>
      <c r="N475" s="11"/>
      <c r="O475" s="19"/>
      <c r="P475" s="12"/>
      <c r="Q475" s="12"/>
      <c r="R475" s="20"/>
      <c r="S475" s="13"/>
      <c r="T475" s="13"/>
      <c r="U475" s="21"/>
    </row>
    <row r="476" spans="1:21" ht="13.2" x14ac:dyDescent="0.25">
      <c r="A476" s="9"/>
      <c r="B476" s="9"/>
      <c r="C476" s="9"/>
      <c r="D476" s="9"/>
      <c r="E476" s="9"/>
      <c r="F476" s="14"/>
      <c r="G476" s="15"/>
      <c r="H476" s="15"/>
      <c r="I476" s="15"/>
      <c r="J476" s="15"/>
      <c r="K476" s="15"/>
      <c r="L476" s="15"/>
      <c r="M476" s="11"/>
      <c r="N476" s="11"/>
      <c r="O476" s="19"/>
      <c r="P476" s="12"/>
      <c r="Q476" s="12"/>
      <c r="R476" s="20"/>
      <c r="S476" s="13"/>
      <c r="T476" s="13"/>
      <c r="U476" s="21"/>
    </row>
    <row r="477" spans="1:21" ht="13.2" x14ac:dyDescent="0.25">
      <c r="A477" s="9"/>
      <c r="B477" s="9"/>
      <c r="C477" s="9"/>
      <c r="D477" s="9"/>
      <c r="E477" s="9"/>
      <c r="F477" s="14"/>
      <c r="G477" s="15"/>
      <c r="H477" s="15"/>
      <c r="I477" s="15"/>
      <c r="J477" s="15"/>
      <c r="K477" s="15"/>
      <c r="L477" s="15"/>
      <c r="M477" s="11"/>
      <c r="N477" s="11"/>
      <c r="O477" s="19"/>
      <c r="P477" s="12"/>
      <c r="Q477" s="12"/>
      <c r="R477" s="20"/>
      <c r="S477" s="13"/>
      <c r="T477" s="13"/>
      <c r="U477" s="21"/>
    </row>
    <row r="478" spans="1:21" ht="13.2" x14ac:dyDescent="0.25">
      <c r="A478" s="9"/>
      <c r="B478" s="9"/>
      <c r="C478" s="9"/>
      <c r="D478" s="9"/>
      <c r="E478" s="9"/>
      <c r="F478" s="14"/>
      <c r="G478" s="15"/>
      <c r="H478" s="15"/>
      <c r="I478" s="15"/>
      <c r="J478" s="15"/>
      <c r="K478" s="15"/>
      <c r="L478" s="15"/>
      <c r="M478" s="11"/>
      <c r="N478" s="11"/>
      <c r="O478" s="19"/>
      <c r="P478" s="12"/>
      <c r="Q478" s="12"/>
      <c r="R478" s="20"/>
      <c r="S478" s="13"/>
      <c r="T478" s="13"/>
      <c r="U478" s="21"/>
    </row>
    <row r="479" spans="1:21" ht="13.2" x14ac:dyDescent="0.25">
      <c r="A479" s="9"/>
      <c r="B479" s="9"/>
      <c r="C479" s="9"/>
      <c r="D479" s="9"/>
      <c r="E479" s="9"/>
      <c r="F479" s="14"/>
      <c r="G479" s="15"/>
      <c r="H479" s="15"/>
      <c r="I479" s="15"/>
      <c r="J479" s="15"/>
      <c r="K479" s="15"/>
      <c r="L479" s="15"/>
      <c r="M479" s="11"/>
      <c r="N479" s="11"/>
      <c r="O479" s="19"/>
      <c r="P479" s="12"/>
      <c r="Q479" s="12"/>
      <c r="R479" s="20"/>
      <c r="S479" s="13"/>
      <c r="T479" s="13"/>
      <c r="U479" s="21"/>
    </row>
    <row r="480" spans="1:21" ht="13.2" x14ac:dyDescent="0.25">
      <c r="A480" s="9"/>
      <c r="B480" s="9"/>
      <c r="C480" s="9"/>
      <c r="D480" s="9"/>
      <c r="E480" s="9"/>
      <c r="F480" s="14"/>
      <c r="G480" s="15"/>
      <c r="H480" s="15"/>
      <c r="I480" s="15"/>
      <c r="J480" s="15"/>
      <c r="K480" s="15"/>
      <c r="L480" s="15"/>
      <c r="M480" s="11"/>
      <c r="N480" s="11"/>
      <c r="O480" s="19"/>
      <c r="P480" s="12"/>
      <c r="Q480" s="12"/>
      <c r="R480" s="20"/>
      <c r="S480" s="13"/>
      <c r="T480" s="13"/>
      <c r="U480" s="21"/>
    </row>
    <row r="481" spans="1:21" ht="13.2" x14ac:dyDescent="0.25">
      <c r="A481" s="9"/>
      <c r="B481" s="9"/>
      <c r="C481" s="9"/>
      <c r="D481" s="9"/>
      <c r="E481" s="9"/>
      <c r="F481" s="14"/>
      <c r="G481" s="15"/>
      <c r="H481" s="15"/>
      <c r="I481" s="15"/>
      <c r="J481" s="15"/>
      <c r="K481" s="15"/>
      <c r="L481" s="15"/>
      <c r="M481" s="11"/>
      <c r="N481" s="11"/>
      <c r="O481" s="19"/>
      <c r="P481" s="12"/>
      <c r="Q481" s="12"/>
      <c r="R481" s="20"/>
      <c r="S481" s="13"/>
      <c r="T481" s="13"/>
      <c r="U481" s="21"/>
    </row>
    <row r="482" spans="1:21" ht="13.2" x14ac:dyDescent="0.25">
      <c r="A482" s="9"/>
      <c r="B482" s="9"/>
      <c r="C482" s="9"/>
      <c r="D482" s="9"/>
      <c r="E482" s="9"/>
      <c r="F482" s="14"/>
      <c r="G482" s="15"/>
      <c r="H482" s="15"/>
      <c r="I482" s="15"/>
      <c r="J482" s="15"/>
      <c r="K482" s="15"/>
      <c r="L482" s="15"/>
      <c r="M482" s="11"/>
      <c r="N482" s="11"/>
      <c r="O482" s="19"/>
      <c r="P482" s="12"/>
      <c r="Q482" s="12"/>
      <c r="R482" s="20"/>
      <c r="S482" s="13"/>
      <c r="T482" s="13"/>
      <c r="U482" s="21"/>
    </row>
    <row r="483" spans="1:21" ht="13.2" x14ac:dyDescent="0.25">
      <c r="A483" s="9"/>
      <c r="B483" s="9"/>
      <c r="C483" s="9"/>
      <c r="D483" s="9"/>
      <c r="E483" s="9"/>
      <c r="F483" s="14"/>
      <c r="G483" s="15"/>
      <c r="H483" s="15"/>
      <c r="I483" s="15"/>
      <c r="J483" s="15"/>
      <c r="K483" s="15"/>
      <c r="L483" s="15"/>
      <c r="M483" s="11"/>
      <c r="N483" s="11"/>
      <c r="O483" s="19"/>
      <c r="P483" s="12"/>
      <c r="Q483" s="12"/>
      <c r="R483" s="20"/>
      <c r="S483" s="13"/>
      <c r="T483" s="13"/>
      <c r="U483" s="21"/>
    </row>
    <row r="484" spans="1:21" ht="13.2" x14ac:dyDescent="0.25">
      <c r="A484" s="9"/>
      <c r="B484" s="9"/>
      <c r="C484" s="9"/>
      <c r="D484" s="9"/>
      <c r="E484" s="9"/>
      <c r="F484" s="14"/>
      <c r="G484" s="15"/>
      <c r="H484" s="15"/>
      <c r="I484" s="15"/>
      <c r="J484" s="15"/>
      <c r="K484" s="15"/>
      <c r="L484" s="15"/>
      <c r="M484" s="11"/>
      <c r="N484" s="11"/>
      <c r="O484" s="19"/>
      <c r="P484" s="12"/>
      <c r="Q484" s="12"/>
      <c r="R484" s="20"/>
      <c r="S484" s="13"/>
      <c r="T484" s="13"/>
      <c r="U484" s="21"/>
    </row>
    <row r="485" spans="1:21" ht="13.2" x14ac:dyDescent="0.25">
      <c r="A485" s="9"/>
      <c r="B485" s="9"/>
      <c r="C485" s="9"/>
      <c r="D485" s="9"/>
      <c r="E485" s="9"/>
      <c r="F485" s="14"/>
      <c r="G485" s="15"/>
      <c r="H485" s="15"/>
      <c r="I485" s="15"/>
      <c r="J485" s="15"/>
      <c r="K485" s="15"/>
      <c r="L485" s="15"/>
      <c r="M485" s="11"/>
      <c r="N485" s="11"/>
      <c r="O485" s="19"/>
      <c r="P485" s="12"/>
      <c r="Q485" s="12"/>
      <c r="R485" s="20"/>
      <c r="S485" s="13"/>
      <c r="T485" s="13"/>
      <c r="U485" s="21"/>
    </row>
    <row r="486" spans="1:21" ht="13.2" x14ac:dyDescent="0.25">
      <c r="A486" s="9"/>
      <c r="B486" s="9"/>
      <c r="C486" s="9"/>
      <c r="D486" s="9"/>
      <c r="E486" s="9"/>
      <c r="F486" s="14"/>
      <c r="G486" s="15"/>
      <c r="H486" s="15"/>
      <c r="I486" s="15"/>
      <c r="J486" s="15"/>
      <c r="K486" s="15"/>
      <c r="L486" s="15"/>
      <c r="M486" s="11"/>
      <c r="N486" s="11"/>
      <c r="O486" s="19"/>
      <c r="P486" s="12"/>
      <c r="Q486" s="12"/>
      <c r="R486" s="20"/>
      <c r="S486" s="13"/>
      <c r="T486" s="13"/>
      <c r="U486" s="21"/>
    </row>
    <row r="487" spans="1:21" ht="13.2" x14ac:dyDescent="0.25">
      <c r="A487" s="9"/>
      <c r="B487" s="9"/>
      <c r="C487" s="9"/>
      <c r="D487" s="9"/>
      <c r="E487" s="9"/>
      <c r="F487" s="14"/>
      <c r="G487" s="15"/>
      <c r="H487" s="15"/>
      <c r="I487" s="15"/>
      <c r="J487" s="15"/>
      <c r="K487" s="15"/>
      <c r="L487" s="15"/>
      <c r="M487" s="11"/>
      <c r="N487" s="11"/>
      <c r="O487" s="19"/>
      <c r="P487" s="12"/>
      <c r="Q487" s="12"/>
      <c r="R487" s="20"/>
      <c r="S487" s="13"/>
      <c r="T487" s="13"/>
      <c r="U487" s="21"/>
    </row>
    <row r="488" spans="1:21" ht="13.2" x14ac:dyDescent="0.25">
      <c r="A488" s="9"/>
      <c r="B488" s="9"/>
      <c r="C488" s="9"/>
      <c r="D488" s="9"/>
      <c r="E488" s="9"/>
      <c r="F488" s="14"/>
      <c r="G488" s="15"/>
      <c r="H488" s="15"/>
      <c r="I488" s="15"/>
      <c r="J488" s="15"/>
      <c r="K488" s="15"/>
      <c r="L488" s="15"/>
      <c r="M488" s="11"/>
      <c r="N488" s="11"/>
      <c r="O488" s="19"/>
      <c r="P488" s="12"/>
      <c r="Q488" s="12"/>
      <c r="R488" s="20"/>
      <c r="S488" s="13"/>
      <c r="T488" s="13"/>
      <c r="U488" s="21"/>
    </row>
    <row r="489" spans="1:21" ht="13.2" x14ac:dyDescent="0.25">
      <c r="A489" s="9"/>
      <c r="B489" s="9"/>
      <c r="C489" s="9"/>
      <c r="D489" s="9"/>
      <c r="E489" s="9"/>
      <c r="F489" s="14"/>
      <c r="G489" s="15"/>
      <c r="H489" s="15"/>
      <c r="I489" s="15"/>
      <c r="J489" s="15"/>
      <c r="K489" s="15"/>
      <c r="L489" s="15"/>
      <c r="M489" s="11"/>
      <c r="N489" s="11"/>
      <c r="O489" s="19"/>
      <c r="P489" s="12"/>
      <c r="Q489" s="12"/>
      <c r="R489" s="20"/>
      <c r="S489" s="13"/>
      <c r="T489" s="13"/>
      <c r="U489" s="21"/>
    </row>
    <row r="490" spans="1:21" ht="13.2" x14ac:dyDescent="0.25">
      <c r="A490" s="9"/>
      <c r="B490" s="9"/>
      <c r="C490" s="9"/>
      <c r="D490" s="9"/>
      <c r="E490" s="9"/>
      <c r="F490" s="14"/>
      <c r="G490" s="15"/>
      <c r="H490" s="15"/>
      <c r="I490" s="15"/>
      <c r="J490" s="15"/>
      <c r="K490" s="15"/>
      <c r="L490" s="15"/>
      <c r="M490" s="11"/>
      <c r="N490" s="11"/>
      <c r="O490" s="19"/>
      <c r="P490" s="12"/>
      <c r="Q490" s="12"/>
      <c r="R490" s="20"/>
      <c r="S490" s="13"/>
      <c r="T490" s="13"/>
      <c r="U490" s="21"/>
    </row>
    <row r="491" spans="1:21" ht="13.2" x14ac:dyDescent="0.25">
      <c r="A491" s="9"/>
      <c r="B491" s="9"/>
      <c r="C491" s="9"/>
      <c r="D491" s="9"/>
      <c r="E491" s="9"/>
      <c r="F491" s="14"/>
      <c r="G491" s="15"/>
      <c r="H491" s="15"/>
      <c r="I491" s="15"/>
      <c r="J491" s="15"/>
      <c r="K491" s="15"/>
      <c r="L491" s="15"/>
      <c r="M491" s="11"/>
      <c r="N491" s="11"/>
      <c r="O491" s="19"/>
      <c r="P491" s="12"/>
      <c r="Q491" s="12"/>
      <c r="R491" s="20"/>
      <c r="S491" s="13"/>
      <c r="T491" s="13"/>
      <c r="U491" s="21"/>
    </row>
    <row r="492" spans="1:21" ht="13.2" x14ac:dyDescent="0.25">
      <c r="A492" s="9"/>
      <c r="B492" s="9"/>
      <c r="C492" s="9"/>
      <c r="D492" s="9"/>
      <c r="E492" s="9"/>
      <c r="F492" s="14"/>
      <c r="G492" s="15"/>
      <c r="H492" s="15"/>
      <c r="I492" s="15"/>
      <c r="J492" s="15"/>
      <c r="K492" s="15"/>
      <c r="L492" s="15"/>
      <c r="M492" s="11"/>
      <c r="N492" s="11"/>
      <c r="O492" s="19"/>
      <c r="P492" s="12"/>
      <c r="Q492" s="12"/>
      <c r="R492" s="20"/>
      <c r="S492" s="13"/>
      <c r="T492" s="13"/>
      <c r="U492" s="21"/>
    </row>
    <row r="493" spans="1:21" ht="13.2" x14ac:dyDescent="0.25">
      <c r="A493" s="9"/>
      <c r="B493" s="9"/>
      <c r="C493" s="9"/>
      <c r="D493" s="9"/>
      <c r="E493" s="9"/>
      <c r="F493" s="14"/>
      <c r="G493" s="15"/>
      <c r="H493" s="15"/>
      <c r="I493" s="15"/>
      <c r="J493" s="15"/>
      <c r="K493" s="15"/>
      <c r="L493" s="15"/>
      <c r="M493" s="11"/>
      <c r="N493" s="11"/>
      <c r="O493" s="19"/>
      <c r="P493" s="12"/>
      <c r="Q493" s="12"/>
      <c r="R493" s="20"/>
      <c r="S493" s="13"/>
      <c r="T493" s="13"/>
      <c r="U493" s="21"/>
    </row>
    <row r="494" spans="1:21" ht="13.2" x14ac:dyDescent="0.25">
      <c r="A494" s="9"/>
      <c r="B494" s="9"/>
      <c r="C494" s="9"/>
      <c r="D494" s="9"/>
      <c r="E494" s="9"/>
      <c r="F494" s="14"/>
      <c r="G494" s="15"/>
      <c r="H494" s="15"/>
      <c r="I494" s="15"/>
      <c r="J494" s="15"/>
      <c r="K494" s="15"/>
      <c r="L494" s="15"/>
      <c r="M494" s="11"/>
      <c r="N494" s="11"/>
      <c r="O494" s="19"/>
      <c r="P494" s="12"/>
      <c r="Q494" s="12"/>
      <c r="R494" s="20"/>
      <c r="S494" s="13"/>
      <c r="T494" s="13"/>
      <c r="U494" s="21"/>
    </row>
    <row r="495" spans="1:21" ht="13.2" x14ac:dyDescent="0.25">
      <c r="A495" s="9"/>
      <c r="B495" s="9"/>
      <c r="C495" s="9"/>
      <c r="D495" s="9"/>
      <c r="E495" s="9"/>
      <c r="F495" s="14"/>
      <c r="G495" s="15"/>
      <c r="H495" s="15"/>
      <c r="I495" s="15"/>
      <c r="J495" s="15"/>
      <c r="K495" s="15"/>
      <c r="L495" s="15"/>
      <c r="M495" s="11"/>
      <c r="N495" s="11"/>
      <c r="O495" s="19"/>
      <c r="P495" s="12"/>
      <c r="Q495" s="12"/>
      <c r="R495" s="20"/>
      <c r="S495" s="13"/>
      <c r="T495" s="13"/>
      <c r="U495" s="21"/>
    </row>
    <row r="496" spans="1:21" ht="13.2" x14ac:dyDescent="0.25">
      <c r="A496" s="9"/>
      <c r="B496" s="9"/>
      <c r="C496" s="9"/>
      <c r="D496" s="9"/>
      <c r="E496" s="9"/>
      <c r="F496" s="14"/>
      <c r="G496" s="15"/>
      <c r="H496" s="15"/>
      <c r="I496" s="15"/>
      <c r="J496" s="15"/>
      <c r="K496" s="15"/>
      <c r="L496" s="15"/>
      <c r="M496" s="11"/>
      <c r="N496" s="11"/>
      <c r="O496" s="19"/>
      <c r="P496" s="12"/>
      <c r="Q496" s="12"/>
      <c r="R496" s="20"/>
      <c r="S496" s="13"/>
      <c r="T496" s="13"/>
      <c r="U496" s="21"/>
    </row>
    <row r="497" spans="1:21" ht="13.2" x14ac:dyDescent="0.25">
      <c r="A497" s="9"/>
      <c r="B497" s="9"/>
      <c r="C497" s="9"/>
      <c r="D497" s="9"/>
      <c r="E497" s="9"/>
      <c r="F497" s="14"/>
      <c r="G497" s="15"/>
      <c r="H497" s="15"/>
      <c r="I497" s="15"/>
      <c r="J497" s="15"/>
      <c r="K497" s="15"/>
      <c r="L497" s="15"/>
      <c r="M497" s="11"/>
      <c r="N497" s="11"/>
      <c r="O497" s="19"/>
      <c r="P497" s="12"/>
      <c r="Q497" s="12"/>
      <c r="R497" s="20"/>
      <c r="S497" s="13"/>
      <c r="T497" s="13"/>
      <c r="U497" s="21"/>
    </row>
    <row r="498" spans="1:21" ht="13.2" x14ac:dyDescent="0.25">
      <c r="A498" s="9"/>
      <c r="B498" s="9"/>
      <c r="C498" s="9"/>
      <c r="D498" s="9"/>
      <c r="E498" s="9"/>
      <c r="F498" s="14"/>
      <c r="G498" s="15"/>
      <c r="H498" s="15"/>
      <c r="I498" s="15"/>
      <c r="J498" s="15"/>
      <c r="K498" s="15"/>
      <c r="L498" s="15"/>
      <c r="M498" s="11"/>
      <c r="N498" s="11"/>
      <c r="O498" s="19"/>
      <c r="P498" s="12"/>
      <c r="Q498" s="12"/>
      <c r="R498" s="20"/>
      <c r="S498" s="13"/>
      <c r="T498" s="13"/>
      <c r="U498" s="21"/>
    </row>
    <row r="499" spans="1:21" ht="13.2" x14ac:dyDescent="0.25">
      <c r="A499" s="9"/>
      <c r="B499" s="9"/>
      <c r="C499" s="9"/>
      <c r="D499" s="9"/>
      <c r="E499" s="9"/>
      <c r="F499" s="14"/>
      <c r="G499" s="15"/>
      <c r="H499" s="15"/>
      <c r="I499" s="15"/>
      <c r="J499" s="15"/>
      <c r="K499" s="15"/>
      <c r="L499" s="15"/>
      <c r="M499" s="11"/>
      <c r="N499" s="11"/>
      <c r="O499" s="19"/>
      <c r="P499" s="12"/>
      <c r="Q499" s="12"/>
      <c r="R499" s="20"/>
      <c r="S499" s="13"/>
      <c r="T499" s="13"/>
      <c r="U499" s="21"/>
    </row>
    <row r="500" spans="1:21" ht="13.2" x14ac:dyDescent="0.25">
      <c r="A500" s="9"/>
      <c r="B500" s="9"/>
      <c r="C500" s="9"/>
      <c r="D500" s="9"/>
      <c r="E500" s="9"/>
      <c r="F500" s="14"/>
      <c r="G500" s="15"/>
      <c r="H500" s="15"/>
      <c r="I500" s="15"/>
      <c r="J500" s="15"/>
      <c r="K500" s="15"/>
      <c r="L500" s="15"/>
      <c r="M500" s="11"/>
      <c r="N500" s="11"/>
      <c r="O500" s="19"/>
      <c r="P500" s="12"/>
      <c r="Q500" s="12"/>
      <c r="R500" s="20"/>
      <c r="S500" s="13"/>
      <c r="T500" s="13"/>
      <c r="U500" s="21"/>
    </row>
    <row r="501" spans="1:21" ht="13.2" x14ac:dyDescent="0.25">
      <c r="A501" s="9"/>
      <c r="B501" s="9"/>
      <c r="C501" s="9"/>
      <c r="D501" s="9"/>
      <c r="E501" s="9"/>
      <c r="F501" s="14"/>
      <c r="G501" s="15"/>
      <c r="H501" s="15"/>
      <c r="I501" s="15"/>
      <c r="J501" s="15"/>
      <c r="K501" s="15"/>
      <c r="L501" s="15"/>
      <c r="M501" s="11"/>
      <c r="N501" s="11"/>
      <c r="O501" s="19"/>
      <c r="P501" s="12"/>
      <c r="Q501" s="12"/>
      <c r="R501" s="20"/>
      <c r="S501" s="13"/>
      <c r="T501" s="13"/>
      <c r="U501" s="21"/>
    </row>
    <row r="502" spans="1:21" ht="13.2" x14ac:dyDescent="0.25">
      <c r="A502" s="9"/>
      <c r="B502" s="9"/>
      <c r="C502" s="9"/>
      <c r="D502" s="9"/>
      <c r="E502" s="9"/>
      <c r="F502" s="14"/>
      <c r="G502" s="15"/>
      <c r="H502" s="15"/>
      <c r="I502" s="15"/>
      <c r="J502" s="15"/>
      <c r="K502" s="15"/>
      <c r="L502" s="15"/>
      <c r="M502" s="11"/>
      <c r="N502" s="11"/>
      <c r="O502" s="19"/>
      <c r="P502" s="12"/>
      <c r="Q502" s="12"/>
      <c r="R502" s="20"/>
      <c r="S502" s="13"/>
      <c r="T502" s="13"/>
      <c r="U502" s="21"/>
    </row>
    <row r="503" spans="1:21" ht="13.2" x14ac:dyDescent="0.25">
      <c r="A503" s="9"/>
      <c r="B503" s="9"/>
      <c r="C503" s="9"/>
      <c r="D503" s="9"/>
      <c r="E503" s="9"/>
      <c r="F503" s="14"/>
      <c r="G503" s="15"/>
      <c r="H503" s="15"/>
      <c r="I503" s="15"/>
      <c r="J503" s="15"/>
      <c r="K503" s="15"/>
      <c r="L503" s="15"/>
      <c r="M503" s="11"/>
      <c r="N503" s="11"/>
      <c r="O503" s="19"/>
      <c r="P503" s="12"/>
      <c r="Q503" s="12"/>
      <c r="R503" s="20"/>
      <c r="S503" s="13"/>
      <c r="T503" s="13"/>
      <c r="U503" s="21"/>
    </row>
    <row r="504" spans="1:21" ht="13.2" x14ac:dyDescent="0.25">
      <c r="A504" s="9"/>
      <c r="B504" s="9"/>
      <c r="C504" s="9"/>
      <c r="D504" s="9"/>
      <c r="E504" s="9"/>
      <c r="F504" s="14"/>
      <c r="G504" s="15"/>
      <c r="H504" s="15"/>
      <c r="I504" s="15"/>
      <c r="J504" s="15"/>
      <c r="K504" s="15"/>
      <c r="L504" s="15"/>
      <c r="M504" s="11"/>
      <c r="N504" s="11"/>
      <c r="O504" s="19"/>
      <c r="P504" s="12"/>
      <c r="Q504" s="12"/>
      <c r="R504" s="20"/>
      <c r="S504" s="13"/>
      <c r="T504" s="13"/>
      <c r="U504" s="21"/>
    </row>
    <row r="505" spans="1:21" ht="13.2" x14ac:dyDescent="0.25">
      <c r="A505" s="9"/>
      <c r="B505" s="9"/>
      <c r="C505" s="9"/>
      <c r="D505" s="9"/>
      <c r="E505" s="9"/>
      <c r="F505" s="14"/>
      <c r="G505" s="15"/>
      <c r="H505" s="15"/>
      <c r="I505" s="15"/>
      <c r="J505" s="15"/>
      <c r="K505" s="15"/>
      <c r="L505" s="15"/>
      <c r="M505" s="11"/>
      <c r="N505" s="11"/>
      <c r="O505" s="19"/>
      <c r="P505" s="12"/>
      <c r="Q505" s="12"/>
      <c r="R505" s="20"/>
      <c r="S505" s="13"/>
      <c r="T505" s="13"/>
      <c r="U505" s="21"/>
    </row>
    <row r="506" spans="1:21" ht="13.2" x14ac:dyDescent="0.25">
      <c r="A506" s="9"/>
      <c r="B506" s="9"/>
      <c r="C506" s="9"/>
      <c r="D506" s="9"/>
      <c r="E506" s="9"/>
      <c r="F506" s="14"/>
      <c r="G506" s="15"/>
      <c r="H506" s="15"/>
      <c r="I506" s="15"/>
      <c r="J506" s="15"/>
      <c r="K506" s="15"/>
      <c r="L506" s="15"/>
      <c r="M506" s="11"/>
      <c r="N506" s="11"/>
      <c r="O506" s="19"/>
      <c r="P506" s="12"/>
      <c r="Q506" s="12"/>
      <c r="R506" s="20"/>
      <c r="S506" s="13"/>
      <c r="T506" s="13"/>
      <c r="U506" s="21"/>
    </row>
    <row r="507" spans="1:21" ht="13.2" x14ac:dyDescent="0.25">
      <c r="A507" s="9"/>
      <c r="B507" s="9"/>
      <c r="C507" s="9"/>
      <c r="D507" s="9"/>
      <c r="E507" s="9"/>
      <c r="F507" s="14"/>
      <c r="G507" s="15"/>
      <c r="H507" s="15"/>
      <c r="I507" s="15"/>
      <c r="J507" s="15"/>
      <c r="K507" s="15"/>
      <c r="L507" s="15"/>
      <c r="M507" s="11"/>
      <c r="N507" s="11"/>
      <c r="O507" s="19"/>
      <c r="P507" s="12"/>
      <c r="Q507" s="12"/>
      <c r="R507" s="20"/>
      <c r="S507" s="13"/>
      <c r="T507" s="13"/>
      <c r="U507" s="21"/>
    </row>
    <row r="508" spans="1:21" ht="13.2" x14ac:dyDescent="0.25">
      <c r="A508" s="9"/>
      <c r="B508" s="9"/>
      <c r="C508" s="9"/>
      <c r="D508" s="9"/>
      <c r="E508" s="9"/>
      <c r="F508" s="14"/>
      <c r="G508" s="15"/>
      <c r="H508" s="15"/>
      <c r="I508" s="15"/>
      <c r="J508" s="15"/>
      <c r="K508" s="15"/>
      <c r="L508" s="15"/>
      <c r="M508" s="11"/>
      <c r="N508" s="11"/>
      <c r="O508" s="19"/>
      <c r="P508" s="12"/>
      <c r="Q508" s="12"/>
      <c r="R508" s="20"/>
      <c r="S508" s="13"/>
      <c r="T508" s="13"/>
      <c r="U508" s="21"/>
    </row>
    <row r="509" spans="1:21" ht="13.2" x14ac:dyDescent="0.25">
      <c r="A509" s="9"/>
      <c r="B509" s="9"/>
      <c r="C509" s="9"/>
      <c r="D509" s="9"/>
      <c r="E509" s="9"/>
      <c r="F509" s="14"/>
      <c r="G509" s="15"/>
      <c r="H509" s="15"/>
      <c r="I509" s="15"/>
      <c r="J509" s="15"/>
      <c r="K509" s="15"/>
      <c r="L509" s="15"/>
      <c r="M509" s="11"/>
      <c r="N509" s="11"/>
      <c r="O509" s="19"/>
      <c r="P509" s="12"/>
      <c r="Q509" s="12"/>
      <c r="R509" s="20"/>
      <c r="S509" s="13"/>
      <c r="T509" s="13"/>
      <c r="U509" s="21"/>
    </row>
    <row r="510" spans="1:21" ht="13.2" x14ac:dyDescent="0.25">
      <c r="A510" s="9"/>
      <c r="B510" s="9"/>
      <c r="C510" s="9"/>
      <c r="D510" s="9"/>
      <c r="E510" s="9"/>
      <c r="F510" s="14"/>
      <c r="G510" s="15"/>
      <c r="H510" s="15"/>
      <c r="I510" s="15"/>
      <c r="J510" s="15"/>
      <c r="K510" s="15"/>
      <c r="L510" s="15"/>
      <c r="M510" s="11"/>
      <c r="N510" s="11"/>
      <c r="O510" s="19"/>
      <c r="P510" s="12"/>
      <c r="Q510" s="12"/>
      <c r="R510" s="20"/>
      <c r="S510" s="13"/>
      <c r="T510" s="13"/>
      <c r="U510" s="21"/>
    </row>
    <row r="511" spans="1:21" ht="13.2" x14ac:dyDescent="0.25">
      <c r="A511" s="9"/>
      <c r="B511" s="9"/>
      <c r="C511" s="9"/>
      <c r="D511" s="9"/>
      <c r="E511" s="9"/>
      <c r="F511" s="14"/>
      <c r="G511" s="15"/>
      <c r="H511" s="15"/>
      <c r="I511" s="15"/>
      <c r="J511" s="15"/>
      <c r="K511" s="15"/>
      <c r="L511" s="15"/>
      <c r="M511" s="11"/>
      <c r="N511" s="11"/>
      <c r="O511" s="19"/>
      <c r="P511" s="12"/>
      <c r="Q511" s="12"/>
      <c r="R511" s="20"/>
      <c r="S511" s="13"/>
      <c r="T511" s="13"/>
      <c r="U511" s="21"/>
    </row>
    <row r="512" spans="1:21" ht="13.2" x14ac:dyDescent="0.25">
      <c r="A512" s="9"/>
      <c r="B512" s="9"/>
      <c r="C512" s="9"/>
      <c r="D512" s="9"/>
      <c r="E512" s="9"/>
      <c r="F512" s="14"/>
      <c r="G512" s="15"/>
      <c r="H512" s="15"/>
      <c r="I512" s="15"/>
      <c r="J512" s="15"/>
      <c r="K512" s="15"/>
      <c r="L512" s="15"/>
      <c r="M512" s="11"/>
      <c r="N512" s="11"/>
      <c r="O512" s="19"/>
      <c r="P512" s="12"/>
      <c r="Q512" s="12"/>
      <c r="R512" s="20"/>
      <c r="S512" s="13"/>
      <c r="T512" s="13"/>
      <c r="U512" s="21"/>
    </row>
    <row r="513" spans="1:21" ht="13.2" x14ac:dyDescent="0.25">
      <c r="A513" s="9"/>
      <c r="B513" s="9"/>
      <c r="C513" s="9"/>
      <c r="D513" s="9"/>
      <c r="E513" s="9"/>
      <c r="F513" s="14"/>
      <c r="G513" s="15"/>
      <c r="H513" s="15"/>
      <c r="I513" s="15"/>
      <c r="J513" s="15"/>
      <c r="K513" s="15"/>
      <c r="L513" s="15"/>
      <c r="M513" s="11"/>
      <c r="N513" s="11"/>
      <c r="O513" s="19"/>
      <c r="P513" s="12"/>
      <c r="Q513" s="12"/>
      <c r="R513" s="20"/>
      <c r="S513" s="13"/>
      <c r="T513" s="13"/>
      <c r="U513" s="21"/>
    </row>
    <row r="514" spans="1:21" ht="13.2" x14ac:dyDescent="0.25">
      <c r="A514" s="9"/>
      <c r="B514" s="9"/>
      <c r="C514" s="9"/>
      <c r="D514" s="9"/>
      <c r="E514" s="9"/>
      <c r="F514" s="14"/>
      <c r="G514" s="15"/>
      <c r="H514" s="15"/>
      <c r="I514" s="15"/>
      <c r="J514" s="15"/>
      <c r="K514" s="15"/>
      <c r="L514" s="15"/>
      <c r="M514" s="11"/>
      <c r="N514" s="11"/>
      <c r="O514" s="19"/>
      <c r="P514" s="12"/>
      <c r="Q514" s="12"/>
      <c r="R514" s="20"/>
      <c r="S514" s="13"/>
      <c r="T514" s="13"/>
      <c r="U514" s="21"/>
    </row>
    <row r="515" spans="1:21" ht="13.2" x14ac:dyDescent="0.25">
      <c r="A515" s="9"/>
      <c r="B515" s="9"/>
      <c r="C515" s="9"/>
      <c r="D515" s="9"/>
      <c r="E515" s="9"/>
      <c r="F515" s="14"/>
      <c r="G515" s="15"/>
      <c r="H515" s="15"/>
      <c r="I515" s="15"/>
      <c r="J515" s="15"/>
      <c r="K515" s="15"/>
      <c r="L515" s="15"/>
      <c r="M515" s="11"/>
      <c r="N515" s="11"/>
      <c r="O515" s="19"/>
      <c r="P515" s="12"/>
      <c r="Q515" s="12"/>
      <c r="R515" s="20"/>
      <c r="S515" s="13"/>
      <c r="T515" s="13"/>
      <c r="U515" s="21"/>
    </row>
    <row r="516" spans="1:21" ht="13.2" x14ac:dyDescent="0.25">
      <c r="A516" s="9"/>
      <c r="B516" s="9"/>
      <c r="C516" s="9"/>
      <c r="D516" s="9"/>
      <c r="E516" s="9"/>
      <c r="F516" s="14"/>
      <c r="G516" s="15"/>
      <c r="H516" s="15"/>
      <c r="I516" s="15"/>
      <c r="J516" s="15"/>
      <c r="K516" s="15"/>
      <c r="L516" s="15"/>
      <c r="M516" s="11"/>
      <c r="N516" s="11"/>
      <c r="O516" s="19"/>
      <c r="P516" s="12"/>
      <c r="Q516" s="12"/>
      <c r="R516" s="20"/>
      <c r="S516" s="13"/>
      <c r="T516" s="13"/>
      <c r="U516" s="21"/>
    </row>
    <row r="517" spans="1:21" ht="13.2" x14ac:dyDescent="0.25">
      <c r="A517" s="9"/>
      <c r="B517" s="9"/>
      <c r="C517" s="9"/>
      <c r="D517" s="9"/>
      <c r="E517" s="9"/>
      <c r="F517" s="14"/>
      <c r="G517" s="15"/>
      <c r="H517" s="15"/>
      <c r="I517" s="15"/>
      <c r="J517" s="15"/>
      <c r="K517" s="15"/>
      <c r="L517" s="15"/>
      <c r="M517" s="11"/>
      <c r="N517" s="11"/>
      <c r="O517" s="19"/>
      <c r="P517" s="12"/>
      <c r="Q517" s="12"/>
      <c r="R517" s="20"/>
      <c r="S517" s="13"/>
      <c r="T517" s="13"/>
      <c r="U517" s="21"/>
    </row>
    <row r="518" spans="1:21" ht="13.2" x14ac:dyDescent="0.25">
      <c r="A518" s="9"/>
      <c r="B518" s="9"/>
      <c r="C518" s="9"/>
      <c r="D518" s="9"/>
      <c r="E518" s="9"/>
      <c r="F518" s="14"/>
      <c r="G518" s="15"/>
      <c r="H518" s="15"/>
      <c r="I518" s="15"/>
      <c r="J518" s="15"/>
      <c r="K518" s="15"/>
      <c r="L518" s="15"/>
      <c r="M518" s="11"/>
      <c r="N518" s="11"/>
      <c r="O518" s="19"/>
      <c r="P518" s="12"/>
      <c r="Q518" s="12"/>
      <c r="R518" s="20"/>
      <c r="S518" s="13"/>
      <c r="T518" s="13"/>
      <c r="U518" s="21"/>
    </row>
    <row r="519" spans="1:21" ht="13.2" x14ac:dyDescent="0.25">
      <c r="A519" s="9"/>
      <c r="B519" s="9"/>
      <c r="C519" s="9"/>
      <c r="D519" s="9"/>
      <c r="E519" s="9"/>
      <c r="F519" s="14"/>
      <c r="G519" s="15"/>
      <c r="H519" s="15"/>
      <c r="I519" s="15"/>
      <c r="J519" s="15"/>
      <c r="K519" s="15"/>
      <c r="L519" s="15"/>
      <c r="M519" s="11"/>
      <c r="N519" s="11"/>
      <c r="O519" s="19"/>
      <c r="P519" s="12"/>
      <c r="Q519" s="12"/>
      <c r="R519" s="20"/>
      <c r="S519" s="13"/>
      <c r="T519" s="13"/>
      <c r="U519" s="21"/>
    </row>
    <row r="520" spans="1:21" ht="13.2" x14ac:dyDescent="0.25">
      <c r="A520" s="9"/>
      <c r="B520" s="9"/>
      <c r="C520" s="9"/>
      <c r="D520" s="9"/>
      <c r="E520" s="9"/>
      <c r="F520" s="14"/>
      <c r="G520" s="15"/>
      <c r="H520" s="15"/>
      <c r="I520" s="15"/>
      <c r="J520" s="15"/>
      <c r="K520" s="15"/>
      <c r="L520" s="15"/>
      <c r="M520" s="11"/>
      <c r="N520" s="11"/>
      <c r="O520" s="19"/>
      <c r="P520" s="12"/>
      <c r="Q520" s="12"/>
      <c r="R520" s="20"/>
      <c r="S520" s="13"/>
      <c r="T520" s="13"/>
      <c r="U520" s="21"/>
    </row>
    <row r="521" spans="1:21" ht="13.2" x14ac:dyDescent="0.25">
      <c r="A521" s="9"/>
      <c r="B521" s="9"/>
      <c r="C521" s="9"/>
      <c r="D521" s="9"/>
      <c r="E521" s="9"/>
      <c r="F521" s="14"/>
      <c r="G521" s="15"/>
      <c r="H521" s="15"/>
      <c r="I521" s="15"/>
      <c r="J521" s="15"/>
      <c r="K521" s="15"/>
      <c r="L521" s="15"/>
      <c r="M521" s="11"/>
      <c r="N521" s="11"/>
      <c r="O521" s="19"/>
      <c r="P521" s="12"/>
      <c r="Q521" s="12"/>
      <c r="R521" s="20"/>
      <c r="S521" s="13"/>
      <c r="T521" s="13"/>
      <c r="U521" s="21"/>
    </row>
    <row r="522" spans="1:21" ht="13.2" x14ac:dyDescent="0.25">
      <c r="A522" s="9"/>
      <c r="B522" s="9"/>
      <c r="C522" s="9"/>
      <c r="D522" s="9"/>
      <c r="E522" s="9"/>
      <c r="F522" s="14"/>
      <c r="G522" s="15"/>
      <c r="H522" s="15"/>
      <c r="I522" s="15"/>
      <c r="J522" s="15"/>
      <c r="K522" s="15"/>
      <c r="L522" s="15"/>
      <c r="M522" s="11"/>
      <c r="N522" s="11"/>
      <c r="O522" s="19"/>
      <c r="P522" s="12"/>
      <c r="Q522" s="12"/>
      <c r="R522" s="20"/>
      <c r="S522" s="13"/>
      <c r="T522" s="13"/>
      <c r="U522" s="21"/>
    </row>
    <row r="523" spans="1:21" ht="13.2" x14ac:dyDescent="0.25">
      <c r="A523" s="9"/>
      <c r="B523" s="9"/>
      <c r="C523" s="9"/>
      <c r="D523" s="9"/>
      <c r="E523" s="9"/>
      <c r="F523" s="14"/>
      <c r="G523" s="15"/>
      <c r="H523" s="15"/>
      <c r="I523" s="15"/>
      <c r="J523" s="15"/>
      <c r="K523" s="15"/>
      <c r="L523" s="15"/>
      <c r="M523" s="11"/>
      <c r="N523" s="11"/>
      <c r="O523" s="19"/>
      <c r="P523" s="12"/>
      <c r="Q523" s="12"/>
      <c r="R523" s="20"/>
      <c r="S523" s="13"/>
      <c r="T523" s="13"/>
      <c r="U523" s="21"/>
    </row>
    <row r="524" spans="1:21" ht="13.2" x14ac:dyDescent="0.25">
      <c r="A524" s="9"/>
      <c r="B524" s="9"/>
      <c r="C524" s="9"/>
      <c r="D524" s="9"/>
      <c r="E524" s="9"/>
      <c r="F524" s="14"/>
      <c r="G524" s="15"/>
      <c r="H524" s="15"/>
      <c r="I524" s="15"/>
      <c r="J524" s="15"/>
      <c r="K524" s="15"/>
      <c r="L524" s="15"/>
      <c r="M524" s="11"/>
      <c r="N524" s="11"/>
      <c r="O524" s="19"/>
      <c r="P524" s="12"/>
      <c r="Q524" s="12"/>
      <c r="R524" s="20"/>
      <c r="S524" s="13"/>
      <c r="T524" s="13"/>
      <c r="U524" s="21"/>
    </row>
    <row r="525" spans="1:21" ht="13.2" x14ac:dyDescent="0.25">
      <c r="A525" s="9"/>
      <c r="B525" s="9"/>
      <c r="C525" s="9"/>
      <c r="D525" s="9"/>
      <c r="E525" s="9"/>
      <c r="F525" s="14"/>
      <c r="G525" s="15"/>
      <c r="H525" s="15"/>
      <c r="I525" s="15"/>
      <c r="J525" s="15"/>
      <c r="K525" s="15"/>
      <c r="L525" s="15"/>
      <c r="M525" s="11"/>
      <c r="N525" s="11"/>
      <c r="O525" s="19"/>
      <c r="P525" s="12"/>
      <c r="Q525" s="12"/>
      <c r="R525" s="20"/>
      <c r="S525" s="13"/>
      <c r="T525" s="13"/>
      <c r="U525" s="21"/>
    </row>
    <row r="526" spans="1:21" ht="13.2" x14ac:dyDescent="0.25">
      <c r="A526" s="9"/>
      <c r="B526" s="9"/>
      <c r="C526" s="9"/>
      <c r="D526" s="9"/>
      <c r="E526" s="9"/>
      <c r="F526" s="14"/>
      <c r="G526" s="15"/>
      <c r="H526" s="15"/>
      <c r="I526" s="15"/>
      <c r="J526" s="15"/>
      <c r="K526" s="15"/>
      <c r="L526" s="15"/>
      <c r="M526" s="11"/>
      <c r="N526" s="11"/>
      <c r="O526" s="19"/>
      <c r="P526" s="12"/>
      <c r="Q526" s="12"/>
      <c r="R526" s="20"/>
      <c r="S526" s="13"/>
      <c r="T526" s="13"/>
      <c r="U526" s="21"/>
    </row>
    <row r="527" spans="1:21" ht="13.2" x14ac:dyDescent="0.25">
      <c r="A527" s="9"/>
      <c r="B527" s="9"/>
      <c r="C527" s="9"/>
      <c r="D527" s="9"/>
      <c r="E527" s="9"/>
      <c r="F527" s="14"/>
      <c r="G527" s="15"/>
      <c r="H527" s="15"/>
      <c r="I527" s="15"/>
      <c r="J527" s="15"/>
      <c r="K527" s="15"/>
      <c r="L527" s="15"/>
      <c r="M527" s="11"/>
      <c r="N527" s="11"/>
      <c r="O527" s="19"/>
      <c r="P527" s="12"/>
      <c r="Q527" s="12"/>
      <c r="R527" s="20"/>
      <c r="S527" s="13"/>
      <c r="T527" s="13"/>
      <c r="U527" s="21"/>
    </row>
    <row r="528" spans="1:21" ht="13.2" x14ac:dyDescent="0.25">
      <c r="A528" s="9"/>
      <c r="B528" s="9"/>
      <c r="C528" s="9"/>
      <c r="D528" s="9"/>
      <c r="E528" s="9"/>
      <c r="F528" s="14"/>
      <c r="G528" s="15"/>
      <c r="H528" s="15"/>
      <c r="I528" s="15"/>
      <c r="J528" s="15"/>
      <c r="K528" s="15"/>
      <c r="L528" s="15"/>
      <c r="M528" s="11"/>
      <c r="N528" s="11"/>
      <c r="O528" s="19"/>
      <c r="P528" s="12"/>
      <c r="Q528" s="12"/>
      <c r="R528" s="20"/>
      <c r="S528" s="13"/>
      <c r="T528" s="13"/>
      <c r="U528" s="21"/>
    </row>
    <row r="529" spans="1:21" ht="13.2" x14ac:dyDescent="0.25">
      <c r="A529" s="9"/>
      <c r="B529" s="9"/>
      <c r="C529" s="9"/>
      <c r="D529" s="9"/>
      <c r="E529" s="9"/>
      <c r="F529" s="14"/>
      <c r="G529" s="15"/>
      <c r="H529" s="15"/>
      <c r="I529" s="15"/>
      <c r="J529" s="15"/>
      <c r="K529" s="15"/>
      <c r="L529" s="15"/>
      <c r="M529" s="11"/>
      <c r="N529" s="11"/>
      <c r="O529" s="19"/>
      <c r="P529" s="12"/>
      <c r="Q529" s="12"/>
      <c r="R529" s="20"/>
      <c r="S529" s="13"/>
      <c r="T529" s="13"/>
      <c r="U529" s="21"/>
    </row>
    <row r="530" spans="1:21" ht="13.2" x14ac:dyDescent="0.25">
      <c r="A530" s="9"/>
      <c r="B530" s="9"/>
      <c r="C530" s="9"/>
      <c r="D530" s="9"/>
      <c r="E530" s="9"/>
      <c r="F530" s="14"/>
      <c r="G530" s="15"/>
      <c r="H530" s="15"/>
      <c r="I530" s="15"/>
      <c r="J530" s="15"/>
      <c r="K530" s="15"/>
      <c r="L530" s="15"/>
      <c r="M530" s="11"/>
      <c r="N530" s="11"/>
      <c r="O530" s="19"/>
      <c r="P530" s="12"/>
      <c r="Q530" s="12"/>
      <c r="R530" s="20"/>
      <c r="S530" s="13"/>
      <c r="T530" s="13"/>
      <c r="U530" s="21"/>
    </row>
    <row r="531" spans="1:21" ht="13.2" x14ac:dyDescent="0.25">
      <c r="A531" s="9"/>
      <c r="B531" s="9"/>
      <c r="C531" s="9"/>
      <c r="D531" s="9"/>
      <c r="E531" s="9"/>
      <c r="F531" s="14"/>
      <c r="G531" s="15"/>
      <c r="H531" s="15"/>
      <c r="I531" s="15"/>
      <c r="J531" s="15"/>
      <c r="K531" s="15"/>
      <c r="L531" s="15"/>
      <c r="M531" s="11"/>
      <c r="N531" s="11"/>
      <c r="O531" s="19"/>
      <c r="P531" s="12"/>
      <c r="Q531" s="12"/>
      <c r="R531" s="20"/>
      <c r="S531" s="13"/>
      <c r="T531" s="13"/>
      <c r="U531" s="21"/>
    </row>
    <row r="532" spans="1:21" ht="13.2" x14ac:dyDescent="0.25">
      <c r="A532" s="9"/>
      <c r="B532" s="9"/>
      <c r="C532" s="9"/>
      <c r="D532" s="9"/>
      <c r="E532" s="9"/>
      <c r="F532" s="14"/>
      <c r="G532" s="15"/>
      <c r="H532" s="15"/>
      <c r="I532" s="15"/>
      <c r="J532" s="15"/>
      <c r="K532" s="15"/>
      <c r="L532" s="15"/>
      <c r="M532" s="11"/>
      <c r="N532" s="11"/>
      <c r="O532" s="19"/>
      <c r="P532" s="12"/>
      <c r="Q532" s="12"/>
      <c r="R532" s="20"/>
      <c r="S532" s="13"/>
      <c r="T532" s="13"/>
      <c r="U532" s="21"/>
    </row>
    <row r="533" spans="1:21" ht="13.2" x14ac:dyDescent="0.25">
      <c r="A533" s="9"/>
      <c r="B533" s="9"/>
      <c r="C533" s="9"/>
      <c r="D533" s="9"/>
      <c r="E533" s="9"/>
      <c r="F533" s="14"/>
      <c r="G533" s="15"/>
      <c r="H533" s="15"/>
      <c r="I533" s="15"/>
      <c r="J533" s="15"/>
      <c r="K533" s="15"/>
      <c r="L533" s="15"/>
      <c r="M533" s="11"/>
      <c r="N533" s="11"/>
      <c r="O533" s="19"/>
      <c r="P533" s="12"/>
      <c r="Q533" s="12"/>
      <c r="R533" s="20"/>
      <c r="S533" s="13"/>
      <c r="T533" s="13"/>
      <c r="U533" s="21"/>
    </row>
    <row r="534" spans="1:21" ht="13.2" x14ac:dyDescent="0.25">
      <c r="A534" s="9"/>
      <c r="B534" s="9"/>
      <c r="C534" s="9"/>
      <c r="D534" s="9"/>
      <c r="E534" s="9"/>
      <c r="F534" s="14"/>
      <c r="G534" s="15"/>
      <c r="H534" s="15"/>
      <c r="I534" s="15"/>
      <c r="J534" s="15"/>
      <c r="K534" s="15"/>
      <c r="L534" s="15"/>
      <c r="M534" s="11"/>
      <c r="N534" s="11"/>
      <c r="O534" s="19"/>
      <c r="P534" s="12"/>
      <c r="Q534" s="12"/>
      <c r="R534" s="20"/>
      <c r="S534" s="13"/>
      <c r="T534" s="13"/>
      <c r="U534" s="21"/>
    </row>
    <row r="535" spans="1:21" ht="13.2" x14ac:dyDescent="0.25">
      <c r="A535" s="9"/>
      <c r="B535" s="9"/>
      <c r="C535" s="9"/>
      <c r="D535" s="9"/>
      <c r="E535" s="9"/>
      <c r="F535" s="14"/>
      <c r="G535" s="15"/>
      <c r="H535" s="15"/>
      <c r="I535" s="15"/>
      <c r="J535" s="15"/>
      <c r="K535" s="15"/>
      <c r="L535" s="15"/>
      <c r="M535" s="11"/>
      <c r="N535" s="11"/>
      <c r="O535" s="19"/>
      <c r="P535" s="12"/>
      <c r="Q535" s="12"/>
      <c r="R535" s="20"/>
      <c r="S535" s="13"/>
      <c r="T535" s="13"/>
      <c r="U535" s="21"/>
    </row>
    <row r="536" spans="1:21" ht="13.2" x14ac:dyDescent="0.25">
      <c r="A536" s="9"/>
      <c r="B536" s="9"/>
      <c r="C536" s="9"/>
      <c r="D536" s="9"/>
      <c r="E536" s="9"/>
      <c r="F536" s="14"/>
      <c r="G536" s="15"/>
      <c r="H536" s="15"/>
      <c r="I536" s="15"/>
      <c r="J536" s="15"/>
      <c r="K536" s="15"/>
      <c r="L536" s="15"/>
      <c r="M536" s="11"/>
      <c r="N536" s="11"/>
      <c r="O536" s="19"/>
      <c r="P536" s="12"/>
      <c r="Q536" s="12"/>
      <c r="R536" s="20"/>
      <c r="S536" s="13"/>
      <c r="T536" s="13"/>
      <c r="U536" s="21"/>
    </row>
    <row r="537" spans="1:21" ht="13.2" x14ac:dyDescent="0.25">
      <c r="A537" s="9"/>
      <c r="B537" s="9"/>
      <c r="C537" s="9"/>
      <c r="D537" s="9"/>
      <c r="E537" s="9"/>
      <c r="F537" s="14"/>
      <c r="G537" s="15"/>
      <c r="H537" s="15"/>
      <c r="I537" s="15"/>
      <c r="J537" s="15"/>
      <c r="K537" s="15"/>
      <c r="L537" s="15"/>
      <c r="M537" s="11"/>
      <c r="N537" s="11"/>
      <c r="O537" s="19"/>
      <c r="P537" s="12"/>
      <c r="Q537" s="12"/>
      <c r="R537" s="20"/>
      <c r="S537" s="13"/>
      <c r="T537" s="13"/>
      <c r="U537" s="21"/>
    </row>
    <row r="538" spans="1:21" ht="13.2" x14ac:dyDescent="0.25">
      <c r="A538" s="9"/>
      <c r="B538" s="9"/>
      <c r="C538" s="9"/>
      <c r="D538" s="9"/>
      <c r="E538" s="9"/>
      <c r="F538" s="14"/>
      <c r="G538" s="15"/>
      <c r="H538" s="15"/>
      <c r="I538" s="15"/>
      <c r="J538" s="15"/>
      <c r="K538" s="15"/>
      <c r="L538" s="15"/>
      <c r="M538" s="11"/>
      <c r="N538" s="11"/>
      <c r="O538" s="19"/>
      <c r="P538" s="12"/>
      <c r="Q538" s="12"/>
      <c r="R538" s="20"/>
      <c r="S538" s="13"/>
      <c r="T538" s="13"/>
      <c r="U538" s="21"/>
    </row>
    <row r="539" spans="1:21" ht="13.2" x14ac:dyDescent="0.25">
      <c r="A539" s="9"/>
      <c r="B539" s="9"/>
      <c r="C539" s="9"/>
      <c r="D539" s="9"/>
      <c r="E539" s="9"/>
      <c r="F539" s="14"/>
      <c r="G539" s="15"/>
      <c r="H539" s="15"/>
      <c r="I539" s="15"/>
      <c r="J539" s="15"/>
      <c r="K539" s="15"/>
      <c r="L539" s="15"/>
      <c r="M539" s="11"/>
      <c r="N539" s="11"/>
      <c r="O539" s="19"/>
      <c r="P539" s="12"/>
      <c r="Q539" s="12"/>
      <c r="R539" s="20"/>
      <c r="S539" s="13"/>
      <c r="T539" s="13"/>
      <c r="U539" s="21"/>
    </row>
    <row r="540" spans="1:21" ht="13.2" x14ac:dyDescent="0.25">
      <c r="A540" s="9"/>
      <c r="B540" s="9"/>
      <c r="C540" s="9"/>
      <c r="D540" s="9"/>
      <c r="E540" s="9"/>
      <c r="F540" s="14"/>
      <c r="G540" s="15"/>
      <c r="H540" s="15"/>
      <c r="I540" s="15"/>
      <c r="J540" s="15"/>
      <c r="K540" s="15"/>
      <c r="L540" s="15"/>
      <c r="M540" s="11"/>
      <c r="N540" s="11"/>
      <c r="O540" s="19"/>
      <c r="P540" s="12"/>
      <c r="Q540" s="12"/>
      <c r="R540" s="20"/>
      <c r="S540" s="13"/>
      <c r="T540" s="13"/>
      <c r="U540" s="21"/>
    </row>
    <row r="541" spans="1:21" ht="13.2" x14ac:dyDescent="0.25">
      <c r="A541" s="9"/>
      <c r="B541" s="9"/>
      <c r="C541" s="9"/>
      <c r="D541" s="9"/>
      <c r="E541" s="9"/>
      <c r="F541" s="14"/>
      <c r="G541" s="15"/>
      <c r="H541" s="15"/>
      <c r="I541" s="15"/>
      <c r="J541" s="15"/>
      <c r="K541" s="15"/>
      <c r="L541" s="15"/>
      <c r="M541" s="11"/>
      <c r="N541" s="11"/>
      <c r="O541" s="19"/>
      <c r="P541" s="12"/>
      <c r="Q541" s="12"/>
      <c r="R541" s="20"/>
      <c r="S541" s="13"/>
      <c r="T541" s="13"/>
      <c r="U541" s="21"/>
    </row>
    <row r="542" spans="1:21" ht="13.2" x14ac:dyDescent="0.25">
      <c r="A542" s="9"/>
      <c r="B542" s="9"/>
      <c r="C542" s="9"/>
      <c r="D542" s="9"/>
      <c r="E542" s="9"/>
      <c r="F542" s="14"/>
      <c r="G542" s="15"/>
      <c r="H542" s="15"/>
      <c r="I542" s="15"/>
      <c r="J542" s="15"/>
      <c r="K542" s="15"/>
      <c r="L542" s="15"/>
      <c r="M542" s="11"/>
      <c r="N542" s="11"/>
      <c r="O542" s="19"/>
      <c r="P542" s="12"/>
      <c r="Q542" s="12"/>
      <c r="R542" s="20"/>
      <c r="S542" s="13"/>
      <c r="T542" s="13"/>
      <c r="U542" s="21"/>
    </row>
    <row r="543" spans="1:21" ht="13.2" x14ac:dyDescent="0.25">
      <c r="A543" s="9"/>
      <c r="B543" s="9"/>
      <c r="C543" s="9"/>
      <c r="D543" s="9"/>
      <c r="E543" s="9"/>
      <c r="F543" s="14"/>
      <c r="G543" s="15"/>
      <c r="H543" s="15"/>
      <c r="I543" s="15"/>
      <c r="J543" s="15"/>
      <c r="K543" s="15"/>
      <c r="L543" s="15"/>
      <c r="M543" s="11"/>
      <c r="N543" s="11"/>
      <c r="O543" s="19"/>
      <c r="P543" s="12"/>
      <c r="Q543" s="12"/>
      <c r="R543" s="20"/>
      <c r="S543" s="13"/>
      <c r="T543" s="13"/>
      <c r="U543" s="21"/>
    </row>
    <row r="544" spans="1:21" ht="13.2" x14ac:dyDescent="0.25">
      <c r="A544" s="9"/>
      <c r="B544" s="9"/>
      <c r="C544" s="9"/>
      <c r="D544" s="9"/>
      <c r="E544" s="9"/>
      <c r="F544" s="14"/>
      <c r="G544" s="15"/>
      <c r="H544" s="15"/>
      <c r="I544" s="15"/>
      <c r="J544" s="15"/>
      <c r="K544" s="15"/>
      <c r="L544" s="15"/>
      <c r="M544" s="11"/>
      <c r="N544" s="11"/>
      <c r="O544" s="19"/>
      <c r="P544" s="12"/>
      <c r="Q544" s="12"/>
      <c r="R544" s="20"/>
      <c r="S544" s="13"/>
      <c r="T544" s="13"/>
      <c r="U544" s="21"/>
    </row>
    <row r="545" spans="1:21" ht="13.2" x14ac:dyDescent="0.25">
      <c r="A545" s="9"/>
      <c r="B545" s="9"/>
      <c r="C545" s="9"/>
      <c r="D545" s="9"/>
      <c r="E545" s="9"/>
      <c r="F545" s="14"/>
      <c r="G545" s="15"/>
      <c r="H545" s="15"/>
      <c r="I545" s="15"/>
      <c r="J545" s="15"/>
      <c r="K545" s="15"/>
      <c r="L545" s="15"/>
      <c r="M545" s="11"/>
      <c r="N545" s="11"/>
      <c r="O545" s="19"/>
      <c r="P545" s="12"/>
      <c r="Q545" s="12"/>
      <c r="R545" s="20"/>
      <c r="S545" s="13"/>
      <c r="T545" s="13"/>
      <c r="U545" s="21"/>
    </row>
    <row r="546" spans="1:21" ht="13.2" x14ac:dyDescent="0.25">
      <c r="A546" s="9"/>
      <c r="B546" s="9"/>
      <c r="C546" s="9"/>
      <c r="D546" s="9"/>
      <c r="E546" s="9"/>
      <c r="F546" s="14"/>
      <c r="G546" s="15"/>
      <c r="H546" s="15"/>
      <c r="I546" s="15"/>
      <c r="J546" s="15"/>
      <c r="K546" s="15"/>
      <c r="L546" s="15"/>
      <c r="M546" s="11"/>
      <c r="N546" s="11"/>
      <c r="O546" s="19"/>
      <c r="P546" s="12"/>
      <c r="Q546" s="12"/>
      <c r="R546" s="20"/>
      <c r="S546" s="13"/>
      <c r="T546" s="13"/>
      <c r="U546" s="21"/>
    </row>
    <row r="547" spans="1:21" ht="13.2" x14ac:dyDescent="0.25">
      <c r="A547" s="9"/>
      <c r="B547" s="9"/>
      <c r="C547" s="9"/>
      <c r="D547" s="9"/>
      <c r="E547" s="9"/>
      <c r="F547" s="14"/>
      <c r="G547" s="15"/>
      <c r="H547" s="15"/>
      <c r="I547" s="15"/>
      <c r="J547" s="15"/>
      <c r="K547" s="15"/>
      <c r="L547" s="15"/>
      <c r="M547" s="11"/>
      <c r="N547" s="11"/>
      <c r="O547" s="19"/>
      <c r="P547" s="12"/>
      <c r="Q547" s="12"/>
      <c r="R547" s="20"/>
      <c r="S547" s="13"/>
      <c r="T547" s="13"/>
      <c r="U547" s="21"/>
    </row>
    <row r="548" spans="1:21" ht="13.2" x14ac:dyDescent="0.25">
      <c r="A548" s="9"/>
      <c r="B548" s="9"/>
      <c r="C548" s="9"/>
      <c r="D548" s="9"/>
      <c r="E548" s="9"/>
      <c r="F548" s="14"/>
      <c r="G548" s="15"/>
      <c r="H548" s="15"/>
      <c r="I548" s="15"/>
      <c r="J548" s="15"/>
      <c r="K548" s="15"/>
      <c r="L548" s="15"/>
      <c r="M548" s="11"/>
      <c r="N548" s="11"/>
      <c r="O548" s="19"/>
      <c r="P548" s="12"/>
      <c r="Q548" s="12"/>
      <c r="R548" s="20"/>
      <c r="S548" s="13"/>
      <c r="T548" s="13"/>
      <c r="U548" s="21"/>
    </row>
    <row r="549" spans="1:21" ht="13.2" x14ac:dyDescent="0.25">
      <c r="A549" s="9"/>
      <c r="B549" s="9"/>
      <c r="C549" s="9"/>
      <c r="D549" s="9"/>
      <c r="E549" s="9"/>
      <c r="F549" s="14"/>
      <c r="G549" s="15"/>
      <c r="H549" s="15"/>
      <c r="I549" s="15"/>
      <c r="J549" s="15"/>
      <c r="K549" s="15"/>
      <c r="L549" s="15"/>
      <c r="M549" s="11"/>
      <c r="N549" s="11"/>
      <c r="O549" s="19"/>
      <c r="P549" s="12"/>
      <c r="Q549" s="12"/>
      <c r="R549" s="20"/>
      <c r="S549" s="13"/>
      <c r="T549" s="13"/>
      <c r="U549" s="21"/>
    </row>
    <row r="550" spans="1:21" ht="13.2" x14ac:dyDescent="0.25">
      <c r="A550" s="9"/>
      <c r="B550" s="9"/>
      <c r="C550" s="9"/>
      <c r="D550" s="9"/>
      <c r="E550" s="9"/>
      <c r="F550" s="14"/>
      <c r="G550" s="15"/>
      <c r="H550" s="15"/>
      <c r="I550" s="15"/>
      <c r="J550" s="15"/>
      <c r="K550" s="15"/>
      <c r="L550" s="15"/>
      <c r="M550" s="11"/>
      <c r="N550" s="11"/>
      <c r="O550" s="19"/>
      <c r="P550" s="12"/>
      <c r="Q550" s="12"/>
      <c r="R550" s="20"/>
      <c r="S550" s="13"/>
      <c r="T550" s="13"/>
      <c r="U550" s="21"/>
    </row>
    <row r="551" spans="1:21" ht="13.2" x14ac:dyDescent="0.25">
      <c r="A551" s="9"/>
      <c r="B551" s="9"/>
      <c r="C551" s="9"/>
      <c r="D551" s="9"/>
      <c r="E551" s="9"/>
      <c r="F551" s="14"/>
      <c r="G551" s="15"/>
      <c r="H551" s="15"/>
      <c r="I551" s="15"/>
      <c r="J551" s="15"/>
      <c r="K551" s="15"/>
      <c r="L551" s="15"/>
      <c r="M551" s="11"/>
      <c r="N551" s="11"/>
      <c r="O551" s="19"/>
      <c r="P551" s="12"/>
      <c r="Q551" s="12"/>
      <c r="R551" s="20"/>
      <c r="S551" s="13"/>
      <c r="T551" s="13"/>
      <c r="U551" s="21"/>
    </row>
    <row r="552" spans="1:21" ht="13.2" x14ac:dyDescent="0.25">
      <c r="A552" s="9"/>
      <c r="B552" s="9"/>
      <c r="C552" s="9"/>
      <c r="D552" s="9"/>
      <c r="E552" s="9"/>
      <c r="F552" s="14"/>
      <c r="G552" s="15"/>
      <c r="H552" s="15"/>
      <c r="I552" s="15"/>
      <c r="J552" s="15"/>
      <c r="K552" s="15"/>
      <c r="L552" s="15"/>
      <c r="M552" s="11"/>
      <c r="N552" s="11"/>
      <c r="O552" s="19"/>
      <c r="P552" s="12"/>
      <c r="Q552" s="12"/>
      <c r="R552" s="20"/>
      <c r="S552" s="13"/>
      <c r="T552" s="13"/>
      <c r="U552" s="21"/>
    </row>
    <row r="553" spans="1:21" ht="13.2" x14ac:dyDescent="0.25">
      <c r="A553" s="9"/>
      <c r="B553" s="9"/>
      <c r="C553" s="9"/>
      <c r="D553" s="9"/>
      <c r="E553" s="9"/>
      <c r="F553" s="14"/>
      <c r="G553" s="15"/>
      <c r="H553" s="15"/>
      <c r="I553" s="15"/>
      <c r="J553" s="15"/>
      <c r="K553" s="15"/>
      <c r="L553" s="15"/>
      <c r="M553" s="11"/>
      <c r="N553" s="11"/>
      <c r="O553" s="19"/>
      <c r="P553" s="12"/>
      <c r="Q553" s="12"/>
      <c r="R553" s="20"/>
      <c r="S553" s="13"/>
      <c r="T553" s="13"/>
      <c r="U553" s="21"/>
    </row>
    <row r="554" spans="1:21" ht="13.2" x14ac:dyDescent="0.25">
      <c r="A554" s="9"/>
      <c r="B554" s="9"/>
      <c r="C554" s="9"/>
      <c r="D554" s="9"/>
      <c r="E554" s="9"/>
      <c r="F554" s="14"/>
      <c r="G554" s="15"/>
      <c r="H554" s="15"/>
      <c r="I554" s="15"/>
      <c r="J554" s="15"/>
      <c r="K554" s="15"/>
      <c r="L554" s="15"/>
      <c r="M554" s="11"/>
      <c r="N554" s="11"/>
      <c r="O554" s="19"/>
      <c r="P554" s="12"/>
      <c r="Q554" s="12"/>
      <c r="R554" s="20"/>
      <c r="S554" s="13"/>
      <c r="T554" s="13"/>
      <c r="U554" s="21"/>
    </row>
    <row r="555" spans="1:21" ht="13.2" x14ac:dyDescent="0.25">
      <c r="A555" s="9"/>
      <c r="B555" s="9"/>
      <c r="C555" s="9"/>
      <c r="D555" s="9"/>
      <c r="E555" s="9"/>
      <c r="F555" s="14"/>
      <c r="G555" s="15"/>
      <c r="H555" s="15"/>
      <c r="I555" s="15"/>
      <c r="J555" s="15"/>
      <c r="K555" s="15"/>
      <c r="L555" s="15"/>
      <c r="M555" s="11"/>
      <c r="N555" s="11"/>
      <c r="O555" s="19"/>
      <c r="P555" s="12"/>
      <c r="Q555" s="12"/>
      <c r="R555" s="20"/>
      <c r="S555" s="13"/>
      <c r="T555" s="13"/>
      <c r="U555" s="21"/>
    </row>
    <row r="556" spans="1:21" ht="13.2" x14ac:dyDescent="0.25">
      <c r="A556" s="9"/>
      <c r="B556" s="9"/>
      <c r="C556" s="9"/>
      <c r="D556" s="9"/>
      <c r="E556" s="9"/>
      <c r="F556" s="14"/>
      <c r="G556" s="15"/>
      <c r="H556" s="15"/>
      <c r="I556" s="15"/>
      <c r="J556" s="15"/>
      <c r="K556" s="15"/>
      <c r="L556" s="15"/>
      <c r="M556" s="11"/>
      <c r="N556" s="11"/>
      <c r="O556" s="19"/>
      <c r="P556" s="12"/>
      <c r="Q556" s="12"/>
      <c r="R556" s="20"/>
      <c r="S556" s="13"/>
      <c r="T556" s="13"/>
      <c r="U556" s="21"/>
    </row>
    <row r="557" spans="1:21" ht="13.2" x14ac:dyDescent="0.25">
      <c r="A557" s="9"/>
      <c r="B557" s="9"/>
      <c r="C557" s="9"/>
      <c r="D557" s="9"/>
      <c r="E557" s="9"/>
      <c r="F557" s="14"/>
      <c r="G557" s="15"/>
      <c r="H557" s="15"/>
      <c r="I557" s="15"/>
      <c r="J557" s="15"/>
      <c r="K557" s="15"/>
      <c r="L557" s="15"/>
      <c r="M557" s="11"/>
      <c r="N557" s="11"/>
      <c r="O557" s="19"/>
      <c r="P557" s="12"/>
      <c r="Q557" s="12"/>
      <c r="R557" s="20"/>
      <c r="S557" s="13"/>
      <c r="T557" s="13"/>
      <c r="U557" s="21"/>
    </row>
    <row r="558" spans="1:21" ht="13.2" x14ac:dyDescent="0.25">
      <c r="A558" s="9"/>
      <c r="B558" s="9"/>
      <c r="C558" s="9"/>
      <c r="D558" s="9"/>
      <c r="E558" s="9"/>
      <c r="F558" s="14"/>
      <c r="G558" s="15"/>
      <c r="H558" s="15"/>
      <c r="I558" s="15"/>
      <c r="J558" s="15"/>
      <c r="K558" s="15"/>
      <c r="L558" s="15"/>
      <c r="M558" s="11"/>
      <c r="N558" s="11"/>
      <c r="O558" s="19"/>
      <c r="P558" s="12"/>
      <c r="Q558" s="12"/>
      <c r="R558" s="20"/>
      <c r="S558" s="13"/>
      <c r="T558" s="13"/>
      <c r="U558" s="21"/>
    </row>
    <row r="559" spans="1:21" ht="13.2" x14ac:dyDescent="0.25">
      <c r="A559" s="9"/>
      <c r="B559" s="9"/>
      <c r="C559" s="9"/>
      <c r="D559" s="9"/>
      <c r="E559" s="9"/>
      <c r="F559" s="14"/>
      <c r="G559" s="15"/>
      <c r="H559" s="15"/>
      <c r="I559" s="15"/>
      <c r="J559" s="15"/>
      <c r="K559" s="15"/>
      <c r="L559" s="15"/>
      <c r="M559" s="11"/>
      <c r="N559" s="11"/>
      <c r="O559" s="19"/>
      <c r="P559" s="12"/>
      <c r="Q559" s="12"/>
      <c r="R559" s="20"/>
      <c r="S559" s="13"/>
      <c r="T559" s="13"/>
      <c r="U559" s="21"/>
    </row>
    <row r="560" spans="1:21" ht="13.2" x14ac:dyDescent="0.25">
      <c r="A560" s="9"/>
      <c r="B560" s="9"/>
      <c r="C560" s="9"/>
      <c r="D560" s="9"/>
      <c r="E560" s="9"/>
      <c r="F560" s="14"/>
      <c r="G560" s="15"/>
      <c r="H560" s="15"/>
      <c r="I560" s="15"/>
      <c r="J560" s="15"/>
      <c r="K560" s="15"/>
      <c r="L560" s="15"/>
      <c r="M560" s="11"/>
      <c r="N560" s="11"/>
      <c r="O560" s="19"/>
      <c r="P560" s="12"/>
      <c r="Q560" s="12"/>
      <c r="R560" s="20"/>
      <c r="S560" s="13"/>
      <c r="T560" s="13"/>
      <c r="U560" s="21"/>
    </row>
    <row r="561" spans="1:21" ht="13.2" x14ac:dyDescent="0.25">
      <c r="A561" s="9"/>
      <c r="B561" s="9"/>
      <c r="C561" s="9"/>
      <c r="D561" s="9"/>
      <c r="E561" s="9"/>
      <c r="F561" s="14"/>
      <c r="G561" s="15"/>
      <c r="H561" s="15"/>
      <c r="I561" s="15"/>
      <c r="J561" s="15"/>
      <c r="K561" s="15"/>
      <c r="L561" s="15"/>
      <c r="M561" s="11"/>
      <c r="N561" s="11"/>
      <c r="O561" s="19"/>
      <c r="P561" s="12"/>
      <c r="Q561" s="12"/>
      <c r="R561" s="20"/>
      <c r="S561" s="13"/>
      <c r="T561" s="13"/>
      <c r="U561" s="21"/>
    </row>
    <row r="562" spans="1:21" ht="13.2" x14ac:dyDescent="0.25">
      <c r="A562" s="9"/>
      <c r="B562" s="9"/>
      <c r="C562" s="9"/>
      <c r="D562" s="9"/>
      <c r="E562" s="9"/>
      <c r="F562" s="14"/>
      <c r="G562" s="15"/>
      <c r="H562" s="15"/>
      <c r="I562" s="15"/>
      <c r="J562" s="15"/>
      <c r="K562" s="15"/>
      <c r="L562" s="15"/>
      <c r="M562" s="11"/>
      <c r="N562" s="11"/>
      <c r="O562" s="19"/>
      <c r="P562" s="12"/>
      <c r="Q562" s="12"/>
      <c r="R562" s="20"/>
      <c r="S562" s="13"/>
      <c r="T562" s="13"/>
      <c r="U562" s="21"/>
    </row>
    <row r="563" spans="1:21" ht="13.2" x14ac:dyDescent="0.25">
      <c r="A563" s="9"/>
      <c r="B563" s="9"/>
      <c r="C563" s="9"/>
      <c r="D563" s="9"/>
      <c r="E563" s="9"/>
      <c r="F563" s="14"/>
      <c r="G563" s="15"/>
      <c r="H563" s="15"/>
      <c r="I563" s="15"/>
      <c r="J563" s="15"/>
      <c r="K563" s="15"/>
      <c r="L563" s="15"/>
      <c r="M563" s="11"/>
      <c r="N563" s="11"/>
      <c r="O563" s="19"/>
      <c r="P563" s="12"/>
      <c r="Q563" s="12"/>
      <c r="R563" s="20"/>
      <c r="S563" s="13"/>
      <c r="T563" s="13"/>
      <c r="U563" s="21"/>
    </row>
    <row r="564" spans="1:21" ht="13.2" x14ac:dyDescent="0.25">
      <c r="A564" s="9"/>
      <c r="B564" s="9"/>
      <c r="C564" s="9"/>
      <c r="D564" s="9"/>
      <c r="E564" s="9"/>
      <c r="F564" s="14"/>
      <c r="G564" s="15"/>
      <c r="H564" s="15"/>
      <c r="I564" s="15"/>
      <c r="J564" s="15"/>
      <c r="K564" s="15"/>
      <c r="L564" s="15"/>
      <c r="M564" s="11"/>
      <c r="N564" s="11"/>
      <c r="O564" s="19"/>
      <c r="P564" s="12"/>
      <c r="Q564" s="12"/>
      <c r="R564" s="20"/>
      <c r="S564" s="13"/>
      <c r="T564" s="13"/>
      <c r="U564" s="21"/>
    </row>
    <row r="565" spans="1:21" ht="13.2" x14ac:dyDescent="0.25">
      <c r="A565" s="9"/>
      <c r="B565" s="9"/>
      <c r="C565" s="9"/>
      <c r="D565" s="9"/>
      <c r="E565" s="9"/>
      <c r="F565" s="14"/>
      <c r="G565" s="15"/>
      <c r="H565" s="15"/>
      <c r="I565" s="15"/>
      <c r="J565" s="15"/>
      <c r="K565" s="15"/>
      <c r="L565" s="15"/>
      <c r="M565" s="11"/>
      <c r="N565" s="11"/>
      <c r="O565" s="19"/>
      <c r="P565" s="12"/>
      <c r="Q565" s="12"/>
      <c r="R565" s="20"/>
      <c r="S565" s="13"/>
      <c r="T565" s="13"/>
      <c r="U565" s="21"/>
    </row>
    <row r="566" spans="1:21" ht="13.2" x14ac:dyDescent="0.25">
      <c r="A566" s="9"/>
      <c r="B566" s="9"/>
      <c r="C566" s="9"/>
      <c r="D566" s="9"/>
      <c r="E566" s="9"/>
      <c r="F566" s="14"/>
      <c r="G566" s="15"/>
      <c r="H566" s="15"/>
      <c r="I566" s="15"/>
      <c r="J566" s="15"/>
      <c r="K566" s="15"/>
      <c r="L566" s="15"/>
      <c r="M566" s="11"/>
      <c r="N566" s="11"/>
      <c r="O566" s="19"/>
      <c r="P566" s="12"/>
      <c r="Q566" s="12"/>
      <c r="R566" s="20"/>
      <c r="S566" s="13"/>
      <c r="T566" s="13"/>
      <c r="U566" s="21"/>
    </row>
    <row r="567" spans="1:21" ht="13.2" x14ac:dyDescent="0.25">
      <c r="A567" s="9"/>
      <c r="B567" s="9"/>
      <c r="C567" s="9"/>
      <c r="D567" s="9"/>
      <c r="E567" s="9"/>
      <c r="F567" s="14"/>
      <c r="G567" s="15"/>
      <c r="H567" s="15"/>
      <c r="I567" s="15"/>
      <c r="J567" s="15"/>
      <c r="K567" s="15"/>
      <c r="L567" s="15"/>
      <c r="M567" s="11"/>
      <c r="N567" s="11"/>
      <c r="O567" s="19"/>
      <c r="P567" s="12"/>
      <c r="Q567" s="12"/>
      <c r="R567" s="20"/>
      <c r="S567" s="13"/>
      <c r="T567" s="13"/>
      <c r="U567" s="21"/>
    </row>
    <row r="568" spans="1:21" ht="13.2" x14ac:dyDescent="0.25">
      <c r="A568" s="9"/>
      <c r="B568" s="9"/>
      <c r="C568" s="9"/>
      <c r="D568" s="9"/>
      <c r="E568" s="9"/>
      <c r="F568" s="14"/>
      <c r="G568" s="15"/>
      <c r="H568" s="15"/>
      <c r="I568" s="15"/>
      <c r="J568" s="15"/>
      <c r="K568" s="15"/>
      <c r="L568" s="15"/>
      <c r="M568" s="11"/>
      <c r="N568" s="11"/>
      <c r="O568" s="19"/>
      <c r="P568" s="12"/>
      <c r="Q568" s="12"/>
      <c r="R568" s="20"/>
      <c r="S568" s="13"/>
      <c r="T568" s="13"/>
      <c r="U568" s="21"/>
    </row>
    <row r="569" spans="1:21" ht="13.2" x14ac:dyDescent="0.25">
      <c r="A569" s="9"/>
      <c r="B569" s="9"/>
      <c r="C569" s="9"/>
      <c r="D569" s="9"/>
      <c r="E569" s="9"/>
      <c r="F569" s="14"/>
      <c r="G569" s="15"/>
      <c r="H569" s="15"/>
      <c r="I569" s="15"/>
      <c r="J569" s="15"/>
      <c r="K569" s="15"/>
      <c r="L569" s="15"/>
      <c r="M569" s="11"/>
      <c r="N569" s="11"/>
      <c r="O569" s="19"/>
      <c r="P569" s="12"/>
      <c r="Q569" s="12"/>
      <c r="R569" s="20"/>
      <c r="S569" s="13"/>
      <c r="T569" s="13"/>
      <c r="U569" s="21"/>
    </row>
    <row r="570" spans="1:21" ht="13.2" x14ac:dyDescent="0.25">
      <c r="A570" s="9"/>
      <c r="B570" s="9"/>
      <c r="C570" s="9"/>
      <c r="D570" s="9"/>
      <c r="E570" s="9"/>
      <c r="F570" s="14"/>
      <c r="G570" s="15"/>
      <c r="H570" s="15"/>
      <c r="I570" s="15"/>
      <c r="J570" s="15"/>
      <c r="K570" s="15"/>
      <c r="L570" s="15"/>
      <c r="M570" s="11"/>
      <c r="N570" s="11"/>
      <c r="O570" s="19"/>
      <c r="P570" s="12"/>
      <c r="Q570" s="12"/>
      <c r="R570" s="20"/>
      <c r="S570" s="13"/>
      <c r="T570" s="13"/>
      <c r="U570" s="21"/>
    </row>
    <row r="571" spans="1:21" ht="13.2" x14ac:dyDescent="0.25">
      <c r="A571" s="9"/>
      <c r="B571" s="9"/>
      <c r="C571" s="9"/>
      <c r="D571" s="9"/>
      <c r="E571" s="9"/>
      <c r="F571" s="14"/>
      <c r="G571" s="15"/>
      <c r="H571" s="15"/>
      <c r="I571" s="15"/>
      <c r="J571" s="15"/>
      <c r="K571" s="15"/>
      <c r="L571" s="15"/>
      <c r="M571" s="11"/>
      <c r="N571" s="11"/>
      <c r="O571" s="19"/>
      <c r="P571" s="12"/>
      <c r="Q571" s="12"/>
      <c r="R571" s="20"/>
      <c r="S571" s="13"/>
      <c r="T571" s="13"/>
      <c r="U571" s="21"/>
    </row>
    <row r="572" spans="1:21" ht="13.2" x14ac:dyDescent="0.25">
      <c r="A572" s="9"/>
      <c r="B572" s="9"/>
      <c r="C572" s="9"/>
      <c r="D572" s="9"/>
      <c r="E572" s="9"/>
      <c r="F572" s="14"/>
      <c r="G572" s="15"/>
      <c r="H572" s="15"/>
      <c r="I572" s="15"/>
      <c r="J572" s="15"/>
      <c r="K572" s="15"/>
      <c r="L572" s="15"/>
      <c r="M572" s="11"/>
      <c r="N572" s="11"/>
      <c r="O572" s="19"/>
      <c r="P572" s="12"/>
      <c r="Q572" s="12"/>
      <c r="R572" s="20"/>
      <c r="S572" s="13"/>
      <c r="T572" s="13"/>
      <c r="U572" s="21"/>
    </row>
    <row r="573" spans="1:21" ht="13.2" x14ac:dyDescent="0.25">
      <c r="A573" s="9"/>
      <c r="B573" s="9"/>
      <c r="C573" s="9"/>
      <c r="D573" s="9"/>
      <c r="E573" s="9"/>
      <c r="F573" s="14"/>
      <c r="G573" s="15"/>
      <c r="H573" s="15"/>
      <c r="I573" s="15"/>
      <c r="J573" s="15"/>
      <c r="K573" s="15"/>
      <c r="L573" s="15"/>
      <c r="M573" s="11"/>
      <c r="N573" s="11"/>
      <c r="O573" s="19"/>
      <c r="P573" s="12"/>
      <c r="Q573" s="12"/>
      <c r="R573" s="20"/>
      <c r="S573" s="13"/>
      <c r="T573" s="13"/>
      <c r="U573" s="21"/>
    </row>
    <row r="574" spans="1:21" ht="13.2" x14ac:dyDescent="0.25">
      <c r="A574" s="9"/>
      <c r="B574" s="9"/>
      <c r="C574" s="9"/>
      <c r="D574" s="9"/>
      <c r="E574" s="9"/>
      <c r="F574" s="14"/>
      <c r="G574" s="15"/>
      <c r="H574" s="15"/>
      <c r="I574" s="15"/>
      <c r="J574" s="15"/>
      <c r="K574" s="15"/>
      <c r="L574" s="15"/>
      <c r="M574" s="11"/>
      <c r="N574" s="11"/>
      <c r="O574" s="19"/>
      <c r="P574" s="12"/>
      <c r="Q574" s="12"/>
      <c r="R574" s="20"/>
      <c r="S574" s="13"/>
      <c r="T574" s="13"/>
      <c r="U574" s="21"/>
    </row>
    <row r="575" spans="1:21" ht="13.2" x14ac:dyDescent="0.25">
      <c r="A575" s="9"/>
      <c r="B575" s="9"/>
      <c r="C575" s="9"/>
      <c r="D575" s="9"/>
      <c r="E575" s="9"/>
      <c r="F575" s="14"/>
      <c r="G575" s="15"/>
      <c r="H575" s="15"/>
      <c r="I575" s="15"/>
      <c r="J575" s="15"/>
      <c r="K575" s="15"/>
      <c r="L575" s="15"/>
      <c r="M575" s="11"/>
      <c r="N575" s="11"/>
      <c r="O575" s="19"/>
      <c r="P575" s="12"/>
      <c r="Q575" s="12"/>
      <c r="R575" s="20"/>
      <c r="S575" s="13"/>
      <c r="T575" s="13"/>
      <c r="U575" s="21"/>
    </row>
    <row r="576" spans="1:21" ht="13.2" x14ac:dyDescent="0.25">
      <c r="A576" s="9"/>
      <c r="B576" s="9"/>
      <c r="C576" s="9"/>
      <c r="D576" s="9"/>
      <c r="E576" s="9"/>
      <c r="F576" s="14"/>
      <c r="G576" s="15"/>
      <c r="H576" s="15"/>
      <c r="I576" s="15"/>
      <c r="J576" s="15"/>
      <c r="K576" s="15"/>
      <c r="L576" s="15"/>
      <c r="M576" s="11"/>
      <c r="N576" s="11"/>
      <c r="O576" s="19"/>
      <c r="P576" s="12"/>
      <c r="Q576" s="12"/>
      <c r="R576" s="20"/>
      <c r="S576" s="13"/>
      <c r="T576" s="13"/>
      <c r="U576" s="21"/>
    </row>
    <row r="577" spans="1:21" ht="13.2" x14ac:dyDescent="0.25">
      <c r="A577" s="9"/>
      <c r="B577" s="9"/>
      <c r="C577" s="9"/>
      <c r="D577" s="9"/>
      <c r="E577" s="9"/>
      <c r="F577" s="14"/>
      <c r="G577" s="15"/>
      <c r="H577" s="15"/>
      <c r="I577" s="15"/>
      <c r="J577" s="15"/>
      <c r="K577" s="15"/>
      <c r="L577" s="15"/>
      <c r="M577" s="11"/>
      <c r="N577" s="11"/>
      <c r="O577" s="19"/>
      <c r="P577" s="12"/>
      <c r="Q577" s="12"/>
      <c r="R577" s="20"/>
      <c r="S577" s="13"/>
      <c r="T577" s="13"/>
      <c r="U577" s="21"/>
    </row>
    <row r="578" spans="1:21" ht="13.2" x14ac:dyDescent="0.25">
      <c r="A578" s="9"/>
      <c r="B578" s="9"/>
      <c r="C578" s="9"/>
      <c r="D578" s="9"/>
      <c r="E578" s="9"/>
      <c r="F578" s="14"/>
      <c r="G578" s="15"/>
      <c r="H578" s="15"/>
      <c r="I578" s="15"/>
      <c r="J578" s="15"/>
      <c r="K578" s="15"/>
      <c r="L578" s="15"/>
      <c r="M578" s="11"/>
      <c r="N578" s="11"/>
      <c r="O578" s="19"/>
      <c r="P578" s="12"/>
      <c r="Q578" s="12"/>
      <c r="R578" s="20"/>
      <c r="S578" s="13"/>
      <c r="T578" s="13"/>
      <c r="U578" s="21"/>
    </row>
    <row r="579" spans="1:21" ht="13.2" x14ac:dyDescent="0.25">
      <c r="A579" s="9"/>
      <c r="B579" s="9"/>
      <c r="C579" s="9"/>
      <c r="D579" s="9"/>
      <c r="E579" s="9"/>
      <c r="F579" s="14"/>
      <c r="G579" s="15"/>
      <c r="H579" s="15"/>
      <c r="I579" s="15"/>
      <c r="J579" s="15"/>
      <c r="K579" s="15"/>
      <c r="L579" s="15"/>
      <c r="M579" s="11"/>
      <c r="N579" s="11"/>
      <c r="O579" s="19"/>
      <c r="P579" s="12"/>
      <c r="Q579" s="12"/>
      <c r="R579" s="20"/>
      <c r="S579" s="13"/>
      <c r="T579" s="13"/>
      <c r="U579" s="21"/>
    </row>
    <row r="580" spans="1:21" ht="13.2" x14ac:dyDescent="0.25">
      <c r="A580" s="9"/>
      <c r="B580" s="9"/>
      <c r="C580" s="9"/>
      <c r="D580" s="9"/>
      <c r="E580" s="9"/>
      <c r="F580" s="14"/>
      <c r="G580" s="15"/>
      <c r="H580" s="15"/>
      <c r="I580" s="15"/>
      <c r="J580" s="15"/>
      <c r="K580" s="15"/>
      <c r="L580" s="15"/>
      <c r="M580" s="11"/>
      <c r="N580" s="11"/>
      <c r="O580" s="19"/>
      <c r="P580" s="12"/>
      <c r="Q580" s="12"/>
      <c r="R580" s="20"/>
      <c r="S580" s="13"/>
      <c r="T580" s="13"/>
      <c r="U580" s="21"/>
    </row>
    <row r="581" spans="1:21" ht="13.2" x14ac:dyDescent="0.25">
      <c r="A581" s="9"/>
      <c r="B581" s="9"/>
      <c r="C581" s="9"/>
      <c r="D581" s="9"/>
      <c r="E581" s="9"/>
      <c r="F581" s="14"/>
      <c r="G581" s="15"/>
      <c r="H581" s="15"/>
      <c r="I581" s="15"/>
      <c r="J581" s="15"/>
      <c r="K581" s="15"/>
      <c r="L581" s="15"/>
      <c r="M581" s="11"/>
      <c r="N581" s="11"/>
      <c r="O581" s="19"/>
      <c r="P581" s="12"/>
      <c r="Q581" s="12"/>
      <c r="R581" s="20"/>
      <c r="S581" s="13"/>
      <c r="T581" s="13"/>
      <c r="U581" s="21"/>
    </row>
    <row r="582" spans="1:21" ht="13.2" x14ac:dyDescent="0.25">
      <c r="A582" s="9"/>
      <c r="B582" s="9"/>
      <c r="C582" s="9"/>
      <c r="D582" s="9"/>
      <c r="E582" s="9"/>
      <c r="F582" s="14"/>
      <c r="G582" s="15"/>
      <c r="H582" s="15"/>
      <c r="I582" s="15"/>
      <c r="J582" s="15"/>
      <c r="K582" s="15"/>
      <c r="L582" s="15"/>
      <c r="M582" s="11"/>
      <c r="N582" s="11"/>
      <c r="O582" s="19"/>
      <c r="P582" s="12"/>
      <c r="Q582" s="12"/>
      <c r="R582" s="20"/>
      <c r="S582" s="13"/>
      <c r="T582" s="13"/>
      <c r="U582" s="21"/>
    </row>
    <row r="583" spans="1:21" ht="13.2" x14ac:dyDescent="0.25">
      <c r="A583" s="9"/>
      <c r="B583" s="9"/>
      <c r="C583" s="9"/>
      <c r="D583" s="9"/>
      <c r="E583" s="9"/>
      <c r="F583" s="14"/>
      <c r="G583" s="15"/>
      <c r="H583" s="15"/>
      <c r="I583" s="15"/>
      <c r="J583" s="15"/>
      <c r="K583" s="15"/>
      <c r="L583" s="15"/>
      <c r="M583" s="11"/>
      <c r="N583" s="11"/>
      <c r="O583" s="19"/>
      <c r="P583" s="12"/>
      <c r="Q583" s="12"/>
      <c r="R583" s="20"/>
      <c r="S583" s="13"/>
      <c r="T583" s="13"/>
      <c r="U583" s="21"/>
    </row>
    <row r="584" spans="1:21" ht="13.2" x14ac:dyDescent="0.25">
      <c r="A584" s="9"/>
      <c r="B584" s="9"/>
      <c r="C584" s="9"/>
      <c r="D584" s="9"/>
      <c r="E584" s="9"/>
      <c r="F584" s="14"/>
      <c r="G584" s="15"/>
      <c r="H584" s="15"/>
      <c r="I584" s="15"/>
      <c r="J584" s="15"/>
      <c r="K584" s="15"/>
      <c r="L584" s="15"/>
      <c r="M584" s="11"/>
      <c r="N584" s="11"/>
      <c r="O584" s="19"/>
      <c r="P584" s="12"/>
      <c r="Q584" s="12"/>
      <c r="R584" s="20"/>
      <c r="S584" s="13"/>
      <c r="T584" s="13"/>
      <c r="U584" s="21"/>
    </row>
    <row r="585" spans="1:21" ht="13.2" x14ac:dyDescent="0.25">
      <c r="A585" s="9"/>
      <c r="B585" s="9"/>
      <c r="C585" s="9"/>
      <c r="D585" s="9"/>
      <c r="E585" s="9"/>
      <c r="F585" s="14"/>
      <c r="G585" s="15"/>
      <c r="H585" s="15"/>
      <c r="I585" s="15"/>
      <c r="J585" s="15"/>
      <c r="K585" s="15"/>
      <c r="L585" s="15"/>
      <c r="M585" s="11"/>
      <c r="N585" s="11"/>
      <c r="O585" s="19"/>
      <c r="P585" s="12"/>
      <c r="Q585" s="12"/>
      <c r="R585" s="20"/>
      <c r="S585" s="13"/>
      <c r="T585" s="13"/>
      <c r="U585" s="21"/>
    </row>
    <row r="586" spans="1:21" ht="13.2" x14ac:dyDescent="0.25">
      <c r="A586" s="9"/>
      <c r="B586" s="9"/>
      <c r="C586" s="9"/>
      <c r="D586" s="9"/>
      <c r="E586" s="9"/>
      <c r="F586" s="14"/>
      <c r="G586" s="15"/>
      <c r="H586" s="15"/>
      <c r="I586" s="15"/>
      <c r="J586" s="15"/>
      <c r="K586" s="15"/>
      <c r="L586" s="15"/>
      <c r="M586" s="11"/>
      <c r="N586" s="11"/>
      <c r="O586" s="19"/>
      <c r="P586" s="12"/>
      <c r="Q586" s="12"/>
      <c r="R586" s="20"/>
      <c r="S586" s="13"/>
      <c r="T586" s="13"/>
      <c r="U586" s="21"/>
    </row>
    <row r="587" spans="1:21" ht="13.2" x14ac:dyDescent="0.25">
      <c r="A587" s="9"/>
      <c r="B587" s="9"/>
      <c r="C587" s="9"/>
      <c r="D587" s="9"/>
      <c r="E587" s="9"/>
      <c r="F587" s="14"/>
      <c r="G587" s="15"/>
      <c r="H587" s="15"/>
      <c r="I587" s="15"/>
      <c r="J587" s="15"/>
      <c r="K587" s="15"/>
      <c r="L587" s="15"/>
      <c r="M587" s="11"/>
      <c r="N587" s="11"/>
      <c r="O587" s="19"/>
      <c r="P587" s="12"/>
      <c r="Q587" s="12"/>
      <c r="R587" s="20"/>
      <c r="S587" s="13"/>
      <c r="T587" s="13"/>
      <c r="U587" s="21"/>
    </row>
    <row r="588" spans="1:21" ht="13.2" x14ac:dyDescent="0.25">
      <c r="A588" s="9"/>
      <c r="B588" s="9"/>
      <c r="C588" s="9"/>
      <c r="D588" s="9"/>
      <c r="E588" s="9"/>
      <c r="F588" s="14"/>
      <c r="G588" s="15"/>
      <c r="H588" s="15"/>
      <c r="I588" s="15"/>
      <c r="J588" s="15"/>
      <c r="K588" s="15"/>
      <c r="L588" s="15"/>
      <c r="M588" s="11"/>
      <c r="N588" s="11"/>
      <c r="O588" s="19"/>
      <c r="P588" s="12"/>
      <c r="Q588" s="12"/>
      <c r="R588" s="20"/>
      <c r="S588" s="13"/>
      <c r="T588" s="13"/>
      <c r="U588" s="21"/>
    </row>
    <row r="589" spans="1:21" ht="13.2" x14ac:dyDescent="0.25">
      <c r="A589" s="9"/>
      <c r="B589" s="9"/>
      <c r="C589" s="9"/>
      <c r="D589" s="9"/>
      <c r="E589" s="9"/>
      <c r="F589" s="14"/>
      <c r="G589" s="15"/>
      <c r="H589" s="15"/>
      <c r="I589" s="15"/>
      <c r="J589" s="15"/>
      <c r="K589" s="15"/>
      <c r="L589" s="15"/>
      <c r="M589" s="11"/>
      <c r="N589" s="11"/>
      <c r="O589" s="19"/>
      <c r="P589" s="12"/>
      <c r="Q589" s="12"/>
      <c r="R589" s="20"/>
      <c r="S589" s="13"/>
      <c r="T589" s="13"/>
      <c r="U589" s="21"/>
    </row>
    <row r="590" spans="1:21" ht="13.2" x14ac:dyDescent="0.25">
      <c r="A590" s="9"/>
      <c r="B590" s="9"/>
      <c r="C590" s="9"/>
      <c r="D590" s="9"/>
      <c r="E590" s="9"/>
      <c r="F590" s="14"/>
      <c r="G590" s="15"/>
      <c r="H590" s="15"/>
      <c r="I590" s="15"/>
      <c r="J590" s="15"/>
      <c r="K590" s="15"/>
      <c r="L590" s="15"/>
      <c r="M590" s="11"/>
      <c r="N590" s="11"/>
      <c r="O590" s="19"/>
      <c r="P590" s="12"/>
      <c r="Q590" s="12"/>
      <c r="R590" s="20"/>
      <c r="S590" s="13"/>
      <c r="T590" s="13"/>
      <c r="U590" s="21"/>
    </row>
    <row r="591" spans="1:21" ht="13.2" x14ac:dyDescent="0.25">
      <c r="A591" s="9"/>
      <c r="B591" s="9"/>
      <c r="C591" s="9"/>
      <c r="D591" s="9"/>
      <c r="E591" s="9"/>
      <c r="F591" s="14"/>
      <c r="G591" s="15"/>
      <c r="H591" s="15"/>
      <c r="I591" s="15"/>
      <c r="J591" s="15"/>
      <c r="K591" s="15"/>
      <c r="L591" s="15"/>
      <c r="M591" s="11"/>
      <c r="N591" s="11"/>
      <c r="O591" s="19"/>
      <c r="P591" s="12"/>
      <c r="Q591" s="12"/>
      <c r="R591" s="20"/>
      <c r="S591" s="13"/>
      <c r="T591" s="13"/>
      <c r="U591" s="21"/>
    </row>
    <row r="592" spans="1:21" ht="13.2" x14ac:dyDescent="0.25">
      <c r="A592" s="9"/>
      <c r="B592" s="9"/>
      <c r="C592" s="9"/>
      <c r="D592" s="9"/>
      <c r="E592" s="9"/>
      <c r="F592" s="14"/>
      <c r="G592" s="15"/>
      <c r="H592" s="15"/>
      <c r="I592" s="15"/>
      <c r="J592" s="15"/>
      <c r="K592" s="15"/>
      <c r="L592" s="15"/>
      <c r="M592" s="11"/>
      <c r="N592" s="11"/>
      <c r="O592" s="19"/>
      <c r="P592" s="12"/>
      <c r="Q592" s="12"/>
      <c r="R592" s="20"/>
      <c r="S592" s="13"/>
      <c r="T592" s="13"/>
      <c r="U592" s="21"/>
    </row>
    <row r="593" spans="1:21" ht="13.2" x14ac:dyDescent="0.25">
      <c r="A593" s="9"/>
      <c r="B593" s="9"/>
      <c r="C593" s="9"/>
      <c r="D593" s="9"/>
      <c r="E593" s="9"/>
      <c r="F593" s="14"/>
      <c r="G593" s="15"/>
      <c r="H593" s="15"/>
      <c r="I593" s="15"/>
      <c r="J593" s="15"/>
      <c r="K593" s="15"/>
      <c r="L593" s="15"/>
      <c r="M593" s="11"/>
      <c r="N593" s="11"/>
      <c r="O593" s="19"/>
      <c r="P593" s="12"/>
      <c r="Q593" s="12"/>
      <c r="R593" s="20"/>
      <c r="S593" s="13"/>
      <c r="T593" s="13"/>
      <c r="U593" s="21"/>
    </row>
    <row r="594" spans="1:21" ht="13.2" x14ac:dyDescent="0.25">
      <c r="A594" s="9"/>
      <c r="B594" s="9"/>
      <c r="C594" s="9"/>
      <c r="D594" s="9"/>
      <c r="E594" s="9"/>
      <c r="F594" s="14"/>
      <c r="G594" s="15"/>
      <c r="H594" s="15"/>
      <c r="I594" s="15"/>
      <c r="J594" s="15"/>
      <c r="K594" s="15"/>
      <c r="L594" s="15"/>
      <c r="M594" s="11"/>
      <c r="N594" s="11"/>
      <c r="O594" s="19"/>
      <c r="P594" s="12"/>
      <c r="Q594" s="12"/>
      <c r="R594" s="20"/>
      <c r="S594" s="13"/>
      <c r="T594" s="13"/>
      <c r="U594" s="21"/>
    </row>
    <row r="595" spans="1:21" ht="13.2" x14ac:dyDescent="0.25">
      <c r="A595" s="9"/>
      <c r="B595" s="9"/>
      <c r="C595" s="9"/>
      <c r="D595" s="9"/>
      <c r="E595" s="9"/>
      <c r="F595" s="14"/>
      <c r="G595" s="15"/>
      <c r="H595" s="15"/>
      <c r="I595" s="15"/>
      <c r="J595" s="15"/>
      <c r="K595" s="15"/>
      <c r="L595" s="15"/>
      <c r="M595" s="11"/>
      <c r="N595" s="11"/>
      <c r="O595" s="19"/>
      <c r="P595" s="12"/>
      <c r="Q595" s="12"/>
      <c r="R595" s="20"/>
      <c r="S595" s="13"/>
      <c r="T595" s="13"/>
      <c r="U595" s="21"/>
    </row>
    <row r="596" spans="1:21" ht="13.2" x14ac:dyDescent="0.25">
      <c r="A596" s="9"/>
      <c r="B596" s="9"/>
      <c r="C596" s="9"/>
      <c r="D596" s="9"/>
      <c r="E596" s="9"/>
      <c r="F596" s="14"/>
      <c r="G596" s="15"/>
      <c r="H596" s="15"/>
      <c r="I596" s="15"/>
      <c r="J596" s="15"/>
      <c r="K596" s="15"/>
      <c r="L596" s="15"/>
      <c r="M596" s="11"/>
      <c r="N596" s="11"/>
      <c r="O596" s="19"/>
      <c r="P596" s="12"/>
      <c r="Q596" s="12"/>
      <c r="R596" s="20"/>
      <c r="S596" s="13"/>
      <c r="T596" s="13"/>
      <c r="U596" s="21"/>
    </row>
    <row r="597" spans="1:21" ht="13.2" x14ac:dyDescent="0.25">
      <c r="A597" s="9"/>
      <c r="B597" s="9"/>
      <c r="C597" s="9"/>
      <c r="D597" s="9"/>
      <c r="E597" s="9"/>
      <c r="F597" s="14"/>
      <c r="G597" s="15"/>
      <c r="H597" s="15"/>
      <c r="I597" s="15"/>
      <c r="J597" s="15"/>
      <c r="K597" s="15"/>
      <c r="L597" s="15"/>
      <c r="M597" s="11"/>
      <c r="N597" s="11"/>
      <c r="O597" s="19"/>
      <c r="P597" s="12"/>
      <c r="Q597" s="12"/>
      <c r="R597" s="20"/>
      <c r="S597" s="13"/>
      <c r="T597" s="13"/>
      <c r="U597" s="21"/>
    </row>
    <row r="598" spans="1:21" ht="13.2" x14ac:dyDescent="0.25">
      <c r="A598" s="9"/>
      <c r="B598" s="9"/>
      <c r="C598" s="9"/>
      <c r="D598" s="9"/>
      <c r="E598" s="9"/>
      <c r="F598" s="14"/>
      <c r="G598" s="15"/>
      <c r="H598" s="15"/>
      <c r="I598" s="15"/>
      <c r="J598" s="15"/>
      <c r="K598" s="15"/>
      <c r="L598" s="15"/>
      <c r="M598" s="11"/>
      <c r="N598" s="11"/>
      <c r="O598" s="19"/>
      <c r="P598" s="12"/>
      <c r="Q598" s="12"/>
      <c r="R598" s="20"/>
      <c r="S598" s="13"/>
      <c r="T598" s="13"/>
      <c r="U598" s="21"/>
    </row>
    <row r="599" spans="1:21" ht="13.2" x14ac:dyDescent="0.25">
      <c r="A599" s="9"/>
      <c r="B599" s="9"/>
      <c r="C599" s="9"/>
      <c r="D599" s="9"/>
      <c r="E599" s="9"/>
      <c r="F599" s="14"/>
      <c r="G599" s="15"/>
      <c r="H599" s="15"/>
      <c r="I599" s="15"/>
      <c r="J599" s="15"/>
      <c r="K599" s="15"/>
      <c r="L599" s="15"/>
      <c r="M599" s="11"/>
      <c r="N599" s="11"/>
      <c r="O599" s="19"/>
      <c r="P599" s="12"/>
      <c r="Q599" s="12"/>
      <c r="R599" s="20"/>
      <c r="S599" s="13"/>
      <c r="T599" s="13"/>
      <c r="U599" s="21"/>
    </row>
    <row r="600" spans="1:21" ht="13.2" x14ac:dyDescent="0.25">
      <c r="A600" s="9"/>
      <c r="B600" s="9"/>
      <c r="C600" s="9"/>
      <c r="D600" s="9"/>
      <c r="E600" s="9"/>
      <c r="F600" s="14"/>
      <c r="G600" s="15"/>
      <c r="H600" s="15"/>
      <c r="I600" s="15"/>
      <c r="J600" s="15"/>
      <c r="K600" s="15"/>
      <c r="L600" s="15"/>
      <c r="M600" s="11"/>
      <c r="N600" s="11"/>
      <c r="O600" s="19"/>
      <c r="P600" s="12"/>
      <c r="Q600" s="12"/>
      <c r="R600" s="20"/>
      <c r="S600" s="13"/>
      <c r="T600" s="13"/>
      <c r="U600" s="21"/>
    </row>
    <row r="601" spans="1:21" ht="13.2" x14ac:dyDescent="0.25">
      <c r="A601" s="9"/>
      <c r="B601" s="9"/>
      <c r="C601" s="9"/>
      <c r="D601" s="9"/>
      <c r="E601" s="9"/>
      <c r="F601" s="14"/>
      <c r="G601" s="15"/>
      <c r="H601" s="15"/>
      <c r="I601" s="15"/>
      <c r="J601" s="15"/>
      <c r="K601" s="15"/>
      <c r="L601" s="15"/>
      <c r="M601" s="11"/>
      <c r="N601" s="11"/>
      <c r="O601" s="19"/>
      <c r="P601" s="12"/>
      <c r="Q601" s="12"/>
      <c r="R601" s="20"/>
      <c r="S601" s="13"/>
      <c r="T601" s="13"/>
      <c r="U601" s="21"/>
    </row>
    <row r="602" spans="1:21" ht="13.2" x14ac:dyDescent="0.25">
      <c r="A602" s="9"/>
      <c r="B602" s="9"/>
      <c r="C602" s="9"/>
      <c r="D602" s="9"/>
      <c r="E602" s="9"/>
      <c r="F602" s="14"/>
      <c r="G602" s="15"/>
      <c r="H602" s="15"/>
      <c r="I602" s="15"/>
      <c r="J602" s="15"/>
      <c r="K602" s="15"/>
      <c r="L602" s="15"/>
      <c r="M602" s="11"/>
      <c r="N602" s="11"/>
      <c r="O602" s="19"/>
      <c r="P602" s="12"/>
      <c r="Q602" s="12"/>
      <c r="R602" s="20"/>
      <c r="S602" s="13"/>
      <c r="T602" s="13"/>
      <c r="U602" s="21"/>
    </row>
    <row r="603" spans="1:21" ht="13.2" x14ac:dyDescent="0.25">
      <c r="A603" s="9"/>
      <c r="B603" s="9"/>
      <c r="C603" s="9"/>
      <c r="D603" s="9"/>
      <c r="E603" s="9"/>
      <c r="F603" s="14"/>
      <c r="G603" s="15"/>
      <c r="H603" s="15"/>
      <c r="I603" s="15"/>
      <c r="J603" s="15"/>
      <c r="K603" s="15"/>
      <c r="L603" s="15"/>
      <c r="M603" s="11"/>
      <c r="N603" s="11"/>
      <c r="O603" s="19"/>
      <c r="P603" s="12"/>
      <c r="Q603" s="12"/>
      <c r="R603" s="20"/>
      <c r="S603" s="13"/>
      <c r="T603" s="13"/>
      <c r="U603" s="21"/>
    </row>
    <row r="604" spans="1:21" ht="13.2" x14ac:dyDescent="0.25">
      <c r="A604" s="9"/>
      <c r="B604" s="9"/>
      <c r="C604" s="9"/>
      <c r="D604" s="9"/>
      <c r="E604" s="9"/>
      <c r="F604" s="14"/>
      <c r="G604" s="15"/>
      <c r="H604" s="15"/>
      <c r="I604" s="15"/>
      <c r="J604" s="15"/>
      <c r="K604" s="15"/>
      <c r="L604" s="15"/>
      <c r="M604" s="11"/>
      <c r="N604" s="11"/>
      <c r="O604" s="19"/>
      <c r="P604" s="12"/>
      <c r="Q604" s="12"/>
      <c r="R604" s="20"/>
      <c r="S604" s="13"/>
      <c r="T604" s="13"/>
      <c r="U604" s="21"/>
    </row>
    <row r="605" spans="1:21" ht="13.2" x14ac:dyDescent="0.25">
      <c r="A605" s="9"/>
      <c r="B605" s="9"/>
      <c r="C605" s="9"/>
      <c r="D605" s="9"/>
      <c r="E605" s="9"/>
      <c r="F605" s="14"/>
      <c r="G605" s="15"/>
      <c r="H605" s="15"/>
      <c r="I605" s="15"/>
      <c r="J605" s="15"/>
      <c r="K605" s="15"/>
      <c r="L605" s="15"/>
      <c r="M605" s="11"/>
      <c r="N605" s="11"/>
      <c r="O605" s="19"/>
      <c r="P605" s="12"/>
      <c r="Q605" s="12"/>
      <c r="R605" s="20"/>
      <c r="S605" s="13"/>
      <c r="T605" s="13"/>
      <c r="U605" s="21"/>
    </row>
    <row r="606" spans="1:21" ht="13.2" x14ac:dyDescent="0.25">
      <c r="A606" s="9"/>
      <c r="B606" s="9"/>
      <c r="C606" s="9"/>
      <c r="D606" s="9"/>
      <c r="E606" s="9"/>
      <c r="F606" s="14"/>
      <c r="G606" s="15"/>
      <c r="H606" s="15"/>
      <c r="I606" s="15"/>
      <c r="J606" s="15"/>
      <c r="K606" s="15"/>
      <c r="L606" s="15"/>
      <c r="M606" s="11"/>
      <c r="N606" s="11"/>
      <c r="O606" s="19"/>
      <c r="P606" s="12"/>
      <c r="Q606" s="12"/>
      <c r="R606" s="20"/>
      <c r="S606" s="13"/>
      <c r="T606" s="13"/>
      <c r="U606" s="21"/>
    </row>
    <row r="607" spans="1:21" ht="13.2" x14ac:dyDescent="0.25">
      <c r="A607" s="9"/>
      <c r="B607" s="9"/>
      <c r="C607" s="9"/>
      <c r="D607" s="9"/>
      <c r="E607" s="9"/>
      <c r="F607" s="14"/>
      <c r="G607" s="15"/>
      <c r="H607" s="15"/>
      <c r="I607" s="15"/>
      <c r="J607" s="15"/>
      <c r="K607" s="15"/>
      <c r="L607" s="15"/>
      <c r="M607" s="11"/>
      <c r="N607" s="11"/>
      <c r="O607" s="19"/>
      <c r="P607" s="12"/>
      <c r="Q607" s="12"/>
      <c r="R607" s="20"/>
      <c r="S607" s="13"/>
      <c r="T607" s="13"/>
      <c r="U607" s="21"/>
    </row>
    <row r="608" spans="1:21" ht="13.2" x14ac:dyDescent="0.25">
      <c r="A608" s="9"/>
      <c r="B608" s="9"/>
      <c r="C608" s="9"/>
      <c r="D608" s="9"/>
      <c r="E608" s="9"/>
      <c r="F608" s="14"/>
      <c r="G608" s="15"/>
      <c r="H608" s="15"/>
      <c r="I608" s="15"/>
      <c r="J608" s="15"/>
      <c r="K608" s="15"/>
      <c r="L608" s="15"/>
      <c r="M608" s="11"/>
      <c r="N608" s="11"/>
      <c r="O608" s="19"/>
      <c r="P608" s="12"/>
      <c r="Q608" s="12"/>
      <c r="R608" s="20"/>
      <c r="S608" s="13"/>
      <c r="T608" s="13"/>
      <c r="U608" s="21"/>
    </row>
    <row r="609" spans="1:21" ht="13.2" x14ac:dyDescent="0.25">
      <c r="A609" s="9"/>
      <c r="B609" s="9"/>
      <c r="C609" s="9"/>
      <c r="D609" s="9"/>
      <c r="E609" s="9"/>
      <c r="F609" s="14"/>
      <c r="G609" s="15"/>
      <c r="H609" s="15"/>
      <c r="I609" s="15"/>
      <c r="J609" s="15"/>
      <c r="K609" s="15"/>
      <c r="L609" s="15"/>
      <c r="M609" s="11"/>
      <c r="N609" s="11"/>
      <c r="O609" s="19"/>
      <c r="P609" s="12"/>
      <c r="Q609" s="12"/>
      <c r="R609" s="20"/>
      <c r="S609" s="13"/>
      <c r="T609" s="13"/>
      <c r="U609" s="21"/>
    </row>
    <row r="610" spans="1:21" ht="13.2" x14ac:dyDescent="0.25">
      <c r="A610" s="9"/>
      <c r="B610" s="9"/>
      <c r="C610" s="9"/>
      <c r="D610" s="9"/>
      <c r="E610" s="9"/>
      <c r="F610" s="14"/>
      <c r="G610" s="15"/>
      <c r="H610" s="15"/>
      <c r="I610" s="15"/>
      <c r="J610" s="15"/>
      <c r="K610" s="15"/>
      <c r="L610" s="15"/>
      <c r="M610" s="11"/>
      <c r="N610" s="11"/>
      <c r="O610" s="19"/>
      <c r="P610" s="12"/>
      <c r="Q610" s="12"/>
      <c r="R610" s="20"/>
      <c r="S610" s="13"/>
      <c r="T610" s="13"/>
      <c r="U610" s="21"/>
    </row>
    <row r="611" spans="1:21" ht="13.2" x14ac:dyDescent="0.25">
      <c r="A611" s="9"/>
      <c r="B611" s="9"/>
      <c r="C611" s="9"/>
      <c r="D611" s="9"/>
      <c r="E611" s="9"/>
      <c r="F611" s="14"/>
      <c r="G611" s="15"/>
      <c r="H611" s="15"/>
      <c r="I611" s="15"/>
      <c r="J611" s="15"/>
      <c r="K611" s="15"/>
      <c r="L611" s="15"/>
      <c r="M611" s="11"/>
      <c r="N611" s="11"/>
      <c r="O611" s="19"/>
      <c r="P611" s="12"/>
      <c r="Q611" s="12"/>
      <c r="R611" s="20"/>
      <c r="S611" s="13"/>
      <c r="T611" s="13"/>
      <c r="U611" s="21"/>
    </row>
    <row r="612" spans="1:21" ht="13.2" x14ac:dyDescent="0.25">
      <c r="A612" s="9"/>
      <c r="B612" s="9"/>
      <c r="C612" s="9"/>
      <c r="D612" s="9"/>
      <c r="E612" s="9"/>
      <c r="F612" s="14"/>
      <c r="G612" s="15"/>
      <c r="H612" s="15"/>
      <c r="I612" s="15"/>
      <c r="J612" s="15"/>
      <c r="K612" s="15"/>
      <c r="L612" s="15"/>
      <c r="M612" s="11"/>
      <c r="N612" s="11"/>
      <c r="O612" s="19"/>
      <c r="P612" s="12"/>
      <c r="Q612" s="12"/>
      <c r="R612" s="20"/>
      <c r="S612" s="13"/>
      <c r="T612" s="13"/>
      <c r="U612" s="21"/>
    </row>
    <row r="613" spans="1:21" ht="13.2" x14ac:dyDescent="0.25">
      <c r="A613" s="9"/>
      <c r="B613" s="9"/>
      <c r="C613" s="9"/>
      <c r="D613" s="9"/>
      <c r="E613" s="9"/>
      <c r="F613" s="14"/>
      <c r="G613" s="15"/>
      <c r="H613" s="15"/>
      <c r="I613" s="15"/>
      <c r="J613" s="15"/>
      <c r="K613" s="15"/>
      <c r="L613" s="15"/>
      <c r="M613" s="11"/>
      <c r="N613" s="11"/>
      <c r="O613" s="19"/>
      <c r="P613" s="12"/>
      <c r="Q613" s="12"/>
      <c r="R613" s="20"/>
      <c r="S613" s="13"/>
      <c r="T613" s="13"/>
      <c r="U613" s="21"/>
    </row>
    <row r="614" spans="1:21" ht="13.2" x14ac:dyDescent="0.25">
      <c r="A614" s="9"/>
      <c r="B614" s="9"/>
      <c r="C614" s="9"/>
      <c r="D614" s="9"/>
      <c r="E614" s="9"/>
      <c r="F614" s="14"/>
      <c r="G614" s="15"/>
      <c r="H614" s="15"/>
      <c r="I614" s="15"/>
      <c r="J614" s="15"/>
      <c r="K614" s="15"/>
      <c r="L614" s="15"/>
      <c r="M614" s="11"/>
      <c r="N614" s="11"/>
      <c r="O614" s="19"/>
      <c r="P614" s="12"/>
      <c r="Q614" s="12"/>
      <c r="R614" s="20"/>
      <c r="S614" s="13"/>
      <c r="T614" s="13"/>
      <c r="U614" s="21"/>
    </row>
    <row r="615" spans="1:21" ht="13.2" x14ac:dyDescent="0.25">
      <c r="A615" s="9"/>
      <c r="B615" s="9"/>
      <c r="C615" s="9"/>
      <c r="D615" s="9"/>
      <c r="E615" s="9"/>
      <c r="F615" s="14"/>
      <c r="G615" s="15"/>
      <c r="H615" s="15"/>
      <c r="I615" s="15"/>
      <c r="J615" s="15"/>
      <c r="K615" s="15"/>
      <c r="L615" s="15"/>
      <c r="M615" s="11"/>
      <c r="N615" s="11"/>
      <c r="O615" s="19"/>
      <c r="P615" s="12"/>
      <c r="Q615" s="12"/>
      <c r="R615" s="20"/>
      <c r="S615" s="13"/>
      <c r="T615" s="13"/>
      <c r="U615" s="21"/>
    </row>
    <row r="616" spans="1:21" ht="13.2" x14ac:dyDescent="0.25">
      <c r="A616" s="9"/>
      <c r="B616" s="9"/>
      <c r="C616" s="9"/>
      <c r="D616" s="9"/>
      <c r="E616" s="9"/>
      <c r="F616" s="14"/>
      <c r="G616" s="15"/>
      <c r="H616" s="15"/>
      <c r="I616" s="15"/>
      <c r="J616" s="15"/>
      <c r="K616" s="15"/>
      <c r="L616" s="15"/>
      <c r="M616" s="11"/>
      <c r="N616" s="11"/>
      <c r="O616" s="19"/>
      <c r="P616" s="12"/>
      <c r="Q616" s="12"/>
      <c r="R616" s="20"/>
      <c r="S616" s="13"/>
      <c r="T616" s="13"/>
      <c r="U616" s="21"/>
    </row>
    <row r="617" spans="1:21" ht="13.2" x14ac:dyDescent="0.25">
      <c r="A617" s="9"/>
      <c r="B617" s="9"/>
      <c r="C617" s="9"/>
      <c r="D617" s="9"/>
      <c r="E617" s="9"/>
      <c r="F617" s="14"/>
      <c r="G617" s="15"/>
      <c r="H617" s="15"/>
      <c r="I617" s="15"/>
      <c r="J617" s="15"/>
      <c r="K617" s="15"/>
      <c r="L617" s="15"/>
      <c r="M617" s="11"/>
      <c r="N617" s="11"/>
      <c r="O617" s="19"/>
      <c r="P617" s="12"/>
      <c r="Q617" s="12"/>
      <c r="R617" s="20"/>
      <c r="S617" s="13"/>
      <c r="T617" s="13"/>
      <c r="U617" s="21"/>
    </row>
    <row r="618" spans="1:21" ht="13.2" x14ac:dyDescent="0.25">
      <c r="A618" s="9"/>
      <c r="B618" s="9"/>
      <c r="C618" s="9"/>
      <c r="D618" s="9"/>
      <c r="E618" s="9"/>
      <c r="F618" s="14"/>
      <c r="G618" s="15"/>
      <c r="H618" s="15"/>
      <c r="I618" s="15"/>
      <c r="J618" s="15"/>
      <c r="K618" s="15"/>
      <c r="L618" s="15"/>
      <c r="M618" s="11"/>
      <c r="N618" s="11"/>
      <c r="O618" s="19"/>
      <c r="P618" s="12"/>
      <c r="Q618" s="12"/>
      <c r="R618" s="20"/>
      <c r="S618" s="13"/>
      <c r="T618" s="13"/>
      <c r="U618" s="21"/>
    </row>
    <row r="619" spans="1:21" ht="13.2" x14ac:dyDescent="0.25">
      <c r="A619" s="9"/>
      <c r="B619" s="9"/>
      <c r="C619" s="9"/>
      <c r="D619" s="9"/>
      <c r="E619" s="9"/>
      <c r="F619" s="14"/>
      <c r="G619" s="15"/>
      <c r="H619" s="15"/>
      <c r="I619" s="15"/>
      <c r="J619" s="15"/>
      <c r="K619" s="15"/>
      <c r="L619" s="15"/>
      <c r="M619" s="11"/>
      <c r="N619" s="11"/>
      <c r="O619" s="19"/>
      <c r="P619" s="12"/>
      <c r="Q619" s="12"/>
      <c r="R619" s="20"/>
      <c r="S619" s="13"/>
      <c r="T619" s="13"/>
      <c r="U619" s="21"/>
    </row>
    <row r="620" spans="1:21" ht="13.2" x14ac:dyDescent="0.25">
      <c r="A620" s="9"/>
      <c r="B620" s="9"/>
      <c r="C620" s="9"/>
      <c r="D620" s="9"/>
      <c r="E620" s="9"/>
      <c r="F620" s="14"/>
      <c r="G620" s="15"/>
      <c r="H620" s="15"/>
      <c r="I620" s="15"/>
      <c r="J620" s="15"/>
      <c r="K620" s="15"/>
      <c r="L620" s="15"/>
      <c r="M620" s="11"/>
      <c r="N620" s="11"/>
      <c r="O620" s="19"/>
      <c r="P620" s="12"/>
      <c r="Q620" s="12"/>
      <c r="R620" s="20"/>
      <c r="S620" s="13"/>
      <c r="T620" s="13"/>
      <c r="U620" s="21"/>
    </row>
    <row r="621" spans="1:21" ht="13.2" x14ac:dyDescent="0.25">
      <c r="A621" s="9"/>
      <c r="B621" s="9"/>
      <c r="C621" s="9"/>
      <c r="D621" s="9"/>
      <c r="E621" s="9"/>
      <c r="F621" s="14"/>
      <c r="G621" s="15"/>
      <c r="H621" s="15"/>
      <c r="I621" s="15"/>
      <c r="J621" s="15"/>
      <c r="K621" s="15"/>
      <c r="L621" s="15"/>
      <c r="M621" s="11"/>
      <c r="N621" s="11"/>
      <c r="O621" s="19"/>
      <c r="P621" s="12"/>
      <c r="Q621" s="12"/>
      <c r="R621" s="20"/>
      <c r="S621" s="13"/>
      <c r="T621" s="13"/>
      <c r="U621" s="21"/>
    </row>
    <row r="622" spans="1:21" ht="13.2" x14ac:dyDescent="0.25">
      <c r="A622" s="9"/>
      <c r="B622" s="9"/>
      <c r="C622" s="9"/>
      <c r="D622" s="9"/>
      <c r="E622" s="9"/>
      <c r="F622" s="14"/>
      <c r="G622" s="15"/>
      <c r="H622" s="15"/>
      <c r="I622" s="15"/>
      <c r="J622" s="15"/>
      <c r="K622" s="15"/>
      <c r="L622" s="15"/>
      <c r="M622" s="11"/>
      <c r="N622" s="11"/>
      <c r="O622" s="19"/>
      <c r="P622" s="12"/>
      <c r="Q622" s="12"/>
      <c r="R622" s="20"/>
      <c r="S622" s="13"/>
      <c r="T622" s="13"/>
      <c r="U622" s="21"/>
    </row>
    <row r="623" spans="1:21" ht="13.2" x14ac:dyDescent="0.25">
      <c r="A623" s="9"/>
      <c r="B623" s="9"/>
      <c r="C623" s="9"/>
      <c r="D623" s="9"/>
      <c r="E623" s="9"/>
      <c r="F623" s="14"/>
      <c r="G623" s="15"/>
      <c r="H623" s="15"/>
      <c r="I623" s="15"/>
      <c r="J623" s="15"/>
      <c r="K623" s="15"/>
      <c r="L623" s="15"/>
      <c r="M623" s="11"/>
      <c r="N623" s="11"/>
      <c r="O623" s="19"/>
      <c r="P623" s="12"/>
      <c r="Q623" s="12"/>
      <c r="R623" s="20"/>
      <c r="S623" s="13"/>
      <c r="T623" s="13"/>
      <c r="U623" s="21"/>
    </row>
    <row r="624" spans="1:21" ht="13.2" x14ac:dyDescent="0.25">
      <c r="A624" s="9"/>
      <c r="B624" s="9"/>
      <c r="C624" s="9"/>
      <c r="D624" s="9"/>
      <c r="E624" s="9"/>
      <c r="F624" s="14"/>
      <c r="G624" s="15"/>
      <c r="H624" s="15"/>
      <c r="I624" s="15"/>
      <c r="J624" s="15"/>
      <c r="K624" s="15"/>
      <c r="L624" s="15"/>
      <c r="M624" s="11"/>
      <c r="N624" s="11"/>
      <c r="O624" s="19"/>
      <c r="P624" s="12"/>
      <c r="Q624" s="12"/>
      <c r="R624" s="20"/>
      <c r="S624" s="13"/>
      <c r="T624" s="13"/>
      <c r="U624" s="21"/>
    </row>
    <row r="625" spans="1:21" ht="13.2" x14ac:dyDescent="0.25">
      <c r="A625" s="9"/>
      <c r="B625" s="9"/>
      <c r="C625" s="9"/>
      <c r="D625" s="9"/>
      <c r="E625" s="9"/>
      <c r="F625" s="14"/>
      <c r="G625" s="15"/>
      <c r="H625" s="15"/>
      <c r="I625" s="15"/>
      <c r="J625" s="15"/>
      <c r="K625" s="15"/>
      <c r="L625" s="15"/>
      <c r="M625" s="11"/>
      <c r="N625" s="11"/>
      <c r="O625" s="19"/>
      <c r="P625" s="12"/>
      <c r="Q625" s="12"/>
      <c r="R625" s="20"/>
      <c r="S625" s="13"/>
      <c r="T625" s="13"/>
      <c r="U625" s="21"/>
    </row>
    <row r="626" spans="1:21" ht="13.2" x14ac:dyDescent="0.25">
      <c r="A626" s="9"/>
      <c r="B626" s="9"/>
      <c r="C626" s="9"/>
      <c r="D626" s="9"/>
      <c r="E626" s="9"/>
      <c r="F626" s="14"/>
      <c r="G626" s="15"/>
      <c r="H626" s="15"/>
      <c r="I626" s="15"/>
      <c r="J626" s="15"/>
      <c r="K626" s="15"/>
      <c r="L626" s="15"/>
      <c r="M626" s="11"/>
      <c r="N626" s="11"/>
      <c r="O626" s="19"/>
      <c r="P626" s="12"/>
      <c r="Q626" s="12"/>
      <c r="R626" s="20"/>
      <c r="S626" s="13"/>
      <c r="T626" s="13"/>
      <c r="U626" s="21"/>
    </row>
    <row r="627" spans="1:21" ht="13.2" x14ac:dyDescent="0.25">
      <c r="A627" s="9"/>
      <c r="B627" s="9"/>
      <c r="C627" s="9"/>
      <c r="D627" s="9"/>
      <c r="E627" s="9"/>
      <c r="F627" s="14"/>
      <c r="G627" s="15"/>
      <c r="H627" s="15"/>
      <c r="I627" s="15"/>
      <c r="J627" s="15"/>
      <c r="K627" s="15"/>
      <c r="L627" s="15"/>
      <c r="M627" s="11"/>
      <c r="N627" s="11"/>
      <c r="O627" s="19"/>
      <c r="P627" s="12"/>
      <c r="Q627" s="12"/>
      <c r="R627" s="20"/>
      <c r="S627" s="13"/>
      <c r="T627" s="13"/>
      <c r="U627" s="21"/>
    </row>
    <row r="628" spans="1:21" ht="13.2" x14ac:dyDescent="0.25">
      <c r="A628" s="9"/>
      <c r="B628" s="9"/>
      <c r="C628" s="9"/>
      <c r="D628" s="9"/>
      <c r="E628" s="9"/>
      <c r="F628" s="14"/>
      <c r="G628" s="15"/>
      <c r="H628" s="15"/>
      <c r="I628" s="15"/>
      <c r="J628" s="15"/>
      <c r="K628" s="15"/>
      <c r="L628" s="15"/>
      <c r="M628" s="11"/>
      <c r="N628" s="11"/>
      <c r="O628" s="19"/>
      <c r="P628" s="12"/>
      <c r="Q628" s="12"/>
      <c r="R628" s="20"/>
      <c r="S628" s="13"/>
      <c r="T628" s="13"/>
      <c r="U628" s="21"/>
    </row>
    <row r="629" spans="1:21" ht="13.2" x14ac:dyDescent="0.25">
      <c r="A629" s="9"/>
      <c r="B629" s="9"/>
      <c r="C629" s="9"/>
      <c r="D629" s="9"/>
      <c r="E629" s="9"/>
      <c r="F629" s="14"/>
      <c r="G629" s="15"/>
      <c r="H629" s="15"/>
      <c r="I629" s="15"/>
      <c r="J629" s="15"/>
      <c r="K629" s="15"/>
      <c r="L629" s="15"/>
      <c r="M629" s="11"/>
      <c r="N629" s="11"/>
      <c r="O629" s="19"/>
      <c r="P629" s="12"/>
      <c r="Q629" s="12"/>
      <c r="R629" s="20"/>
      <c r="S629" s="13"/>
      <c r="T629" s="13"/>
      <c r="U629" s="21"/>
    </row>
    <row r="630" spans="1:21" ht="13.2" x14ac:dyDescent="0.25">
      <c r="A630" s="9"/>
      <c r="B630" s="9"/>
      <c r="C630" s="9"/>
      <c r="D630" s="9"/>
      <c r="E630" s="9"/>
      <c r="F630" s="14"/>
      <c r="G630" s="15"/>
      <c r="H630" s="15"/>
      <c r="I630" s="15"/>
      <c r="J630" s="15"/>
      <c r="K630" s="15"/>
      <c r="L630" s="15"/>
      <c r="M630" s="11"/>
      <c r="N630" s="11"/>
      <c r="O630" s="19"/>
      <c r="P630" s="12"/>
      <c r="Q630" s="12"/>
      <c r="R630" s="20"/>
      <c r="S630" s="13"/>
      <c r="T630" s="13"/>
      <c r="U630" s="21"/>
    </row>
    <row r="631" spans="1:21" ht="13.2" x14ac:dyDescent="0.25">
      <c r="A631" s="9"/>
      <c r="B631" s="9"/>
      <c r="C631" s="9"/>
      <c r="D631" s="9"/>
      <c r="E631" s="9"/>
      <c r="F631" s="14"/>
      <c r="G631" s="15"/>
      <c r="H631" s="15"/>
      <c r="I631" s="15"/>
      <c r="J631" s="15"/>
      <c r="K631" s="15"/>
      <c r="L631" s="15"/>
      <c r="M631" s="11"/>
      <c r="N631" s="11"/>
      <c r="O631" s="19"/>
      <c r="P631" s="12"/>
      <c r="Q631" s="12"/>
      <c r="R631" s="20"/>
      <c r="S631" s="13"/>
      <c r="T631" s="13"/>
      <c r="U631" s="21"/>
    </row>
    <row r="632" spans="1:21" ht="13.2" x14ac:dyDescent="0.25">
      <c r="A632" s="9"/>
      <c r="B632" s="9"/>
      <c r="C632" s="9"/>
      <c r="D632" s="9"/>
      <c r="E632" s="9"/>
      <c r="F632" s="14"/>
      <c r="G632" s="15"/>
      <c r="H632" s="15"/>
      <c r="I632" s="15"/>
      <c r="J632" s="15"/>
      <c r="K632" s="15"/>
      <c r="L632" s="15"/>
      <c r="M632" s="11"/>
      <c r="N632" s="11"/>
      <c r="O632" s="19"/>
      <c r="P632" s="12"/>
      <c r="Q632" s="12"/>
      <c r="R632" s="20"/>
      <c r="S632" s="13"/>
      <c r="T632" s="13"/>
      <c r="U632" s="21"/>
    </row>
    <row r="633" spans="1:21" ht="13.2" x14ac:dyDescent="0.25">
      <c r="A633" s="9"/>
      <c r="B633" s="9"/>
      <c r="C633" s="9"/>
      <c r="D633" s="9"/>
      <c r="E633" s="9"/>
      <c r="F633" s="14"/>
      <c r="G633" s="15"/>
      <c r="H633" s="15"/>
      <c r="I633" s="15"/>
      <c r="J633" s="15"/>
      <c r="K633" s="15"/>
      <c r="L633" s="15"/>
      <c r="M633" s="11"/>
      <c r="N633" s="11"/>
      <c r="O633" s="19"/>
      <c r="P633" s="12"/>
      <c r="Q633" s="12"/>
      <c r="R633" s="20"/>
      <c r="S633" s="13"/>
      <c r="T633" s="13"/>
      <c r="U633" s="21"/>
    </row>
    <row r="634" spans="1:21" ht="13.2" x14ac:dyDescent="0.25">
      <c r="A634" s="9"/>
      <c r="B634" s="9"/>
      <c r="C634" s="9"/>
      <c r="D634" s="9"/>
      <c r="E634" s="9"/>
      <c r="F634" s="14"/>
      <c r="G634" s="15"/>
      <c r="H634" s="15"/>
      <c r="I634" s="15"/>
      <c r="J634" s="15"/>
      <c r="K634" s="15"/>
      <c r="L634" s="15"/>
      <c r="M634" s="11"/>
      <c r="N634" s="11"/>
      <c r="O634" s="19"/>
      <c r="P634" s="12"/>
      <c r="Q634" s="12"/>
      <c r="R634" s="20"/>
      <c r="S634" s="13"/>
      <c r="T634" s="13"/>
      <c r="U634" s="21"/>
    </row>
    <row r="635" spans="1:21" ht="13.2" x14ac:dyDescent="0.25">
      <c r="A635" s="9"/>
      <c r="B635" s="9"/>
      <c r="C635" s="9"/>
      <c r="D635" s="9"/>
      <c r="E635" s="9"/>
      <c r="F635" s="14"/>
      <c r="G635" s="15"/>
      <c r="H635" s="15"/>
      <c r="I635" s="15"/>
      <c r="J635" s="15"/>
      <c r="K635" s="15"/>
      <c r="L635" s="15"/>
      <c r="M635" s="11"/>
      <c r="N635" s="11"/>
      <c r="O635" s="19"/>
      <c r="P635" s="12"/>
      <c r="Q635" s="12"/>
      <c r="R635" s="20"/>
      <c r="S635" s="13"/>
      <c r="T635" s="13"/>
      <c r="U635" s="21"/>
    </row>
    <row r="636" spans="1:21" ht="13.2" x14ac:dyDescent="0.25">
      <c r="A636" s="9"/>
      <c r="B636" s="9"/>
      <c r="C636" s="9"/>
      <c r="D636" s="9"/>
      <c r="E636" s="9"/>
      <c r="F636" s="14"/>
      <c r="G636" s="15"/>
      <c r="H636" s="15"/>
      <c r="I636" s="15"/>
      <c r="J636" s="15"/>
      <c r="K636" s="15"/>
      <c r="L636" s="15"/>
      <c r="M636" s="11"/>
      <c r="N636" s="11"/>
      <c r="O636" s="19"/>
      <c r="P636" s="12"/>
      <c r="Q636" s="12"/>
      <c r="R636" s="20"/>
      <c r="S636" s="13"/>
      <c r="T636" s="13"/>
      <c r="U636" s="21"/>
    </row>
    <row r="637" spans="1:21" ht="13.2" x14ac:dyDescent="0.25">
      <c r="A637" s="9"/>
      <c r="B637" s="9"/>
      <c r="C637" s="9"/>
      <c r="D637" s="9"/>
      <c r="E637" s="9"/>
      <c r="F637" s="14"/>
      <c r="G637" s="15"/>
      <c r="H637" s="15"/>
      <c r="I637" s="15"/>
      <c r="J637" s="15"/>
      <c r="K637" s="15"/>
      <c r="L637" s="15"/>
      <c r="M637" s="11"/>
      <c r="N637" s="11"/>
      <c r="O637" s="19"/>
      <c r="P637" s="12"/>
      <c r="Q637" s="12"/>
      <c r="R637" s="20"/>
      <c r="S637" s="13"/>
      <c r="T637" s="13"/>
      <c r="U637" s="21"/>
    </row>
    <row r="638" spans="1:21" ht="13.2" x14ac:dyDescent="0.25">
      <c r="A638" s="9"/>
      <c r="B638" s="9"/>
      <c r="C638" s="9"/>
      <c r="D638" s="9"/>
      <c r="E638" s="9"/>
      <c r="F638" s="14"/>
      <c r="G638" s="15"/>
      <c r="H638" s="15"/>
      <c r="I638" s="15"/>
      <c r="J638" s="15"/>
      <c r="K638" s="15"/>
      <c r="L638" s="15"/>
      <c r="M638" s="11"/>
      <c r="N638" s="11"/>
      <c r="O638" s="19"/>
      <c r="P638" s="12"/>
      <c r="Q638" s="12"/>
      <c r="R638" s="20"/>
      <c r="S638" s="13"/>
      <c r="T638" s="13"/>
      <c r="U638" s="21"/>
    </row>
    <row r="639" spans="1:21" ht="13.2" x14ac:dyDescent="0.25">
      <c r="A639" s="9"/>
      <c r="B639" s="9"/>
      <c r="C639" s="9"/>
      <c r="D639" s="9"/>
      <c r="E639" s="9"/>
      <c r="F639" s="14"/>
      <c r="G639" s="15"/>
      <c r="H639" s="15"/>
      <c r="I639" s="15"/>
      <c r="J639" s="15"/>
      <c r="K639" s="15"/>
      <c r="L639" s="15"/>
      <c r="M639" s="11"/>
      <c r="N639" s="11"/>
      <c r="O639" s="19"/>
      <c r="P639" s="12"/>
      <c r="Q639" s="12"/>
      <c r="R639" s="20"/>
      <c r="S639" s="13"/>
      <c r="T639" s="13"/>
      <c r="U639" s="21"/>
    </row>
    <row r="640" spans="1:21" ht="13.2" x14ac:dyDescent="0.25">
      <c r="A640" s="9"/>
      <c r="B640" s="9"/>
      <c r="C640" s="9"/>
      <c r="D640" s="9"/>
      <c r="E640" s="9"/>
      <c r="F640" s="14"/>
      <c r="G640" s="15"/>
      <c r="H640" s="15"/>
      <c r="I640" s="15"/>
      <c r="J640" s="15"/>
      <c r="K640" s="15"/>
      <c r="L640" s="15"/>
      <c r="M640" s="11"/>
      <c r="N640" s="11"/>
      <c r="O640" s="19"/>
      <c r="P640" s="12"/>
      <c r="Q640" s="12"/>
      <c r="R640" s="20"/>
      <c r="S640" s="13"/>
      <c r="T640" s="13"/>
      <c r="U640" s="21"/>
    </row>
    <row r="641" spans="1:21" ht="13.2" x14ac:dyDescent="0.25">
      <c r="A641" s="9"/>
      <c r="B641" s="9"/>
      <c r="C641" s="9"/>
      <c r="D641" s="9"/>
      <c r="E641" s="9"/>
      <c r="F641" s="14"/>
      <c r="G641" s="15"/>
      <c r="H641" s="15"/>
      <c r="I641" s="15"/>
      <c r="J641" s="15"/>
      <c r="K641" s="15"/>
      <c r="L641" s="15"/>
      <c r="M641" s="11"/>
      <c r="N641" s="11"/>
      <c r="O641" s="19"/>
      <c r="P641" s="12"/>
      <c r="Q641" s="12"/>
      <c r="R641" s="20"/>
      <c r="S641" s="13"/>
      <c r="T641" s="13"/>
      <c r="U641" s="21"/>
    </row>
    <row r="642" spans="1:21" ht="13.2" x14ac:dyDescent="0.25">
      <c r="A642" s="9"/>
      <c r="B642" s="9"/>
      <c r="C642" s="9"/>
      <c r="D642" s="9"/>
      <c r="E642" s="9"/>
      <c r="F642" s="14"/>
      <c r="G642" s="15"/>
      <c r="H642" s="15"/>
      <c r="I642" s="15"/>
      <c r="J642" s="15"/>
      <c r="K642" s="15"/>
      <c r="L642" s="15"/>
      <c r="M642" s="11"/>
      <c r="N642" s="11"/>
      <c r="O642" s="19"/>
      <c r="P642" s="12"/>
      <c r="Q642" s="12"/>
      <c r="R642" s="20"/>
      <c r="S642" s="13"/>
      <c r="T642" s="13"/>
      <c r="U642" s="21"/>
    </row>
    <row r="643" spans="1:21" ht="13.2" x14ac:dyDescent="0.25">
      <c r="A643" s="9"/>
      <c r="B643" s="9"/>
      <c r="C643" s="9"/>
      <c r="D643" s="9"/>
      <c r="E643" s="9"/>
      <c r="F643" s="14"/>
      <c r="G643" s="15"/>
      <c r="H643" s="15"/>
      <c r="I643" s="15"/>
      <c r="J643" s="15"/>
      <c r="K643" s="15"/>
      <c r="L643" s="15"/>
      <c r="M643" s="11"/>
      <c r="N643" s="11"/>
      <c r="O643" s="19"/>
      <c r="P643" s="12"/>
      <c r="Q643" s="12"/>
      <c r="R643" s="20"/>
      <c r="S643" s="13"/>
      <c r="T643" s="13"/>
      <c r="U643" s="21"/>
    </row>
    <row r="644" spans="1:21" ht="13.2" x14ac:dyDescent="0.25">
      <c r="A644" s="9"/>
      <c r="B644" s="9"/>
      <c r="C644" s="9"/>
      <c r="D644" s="9"/>
      <c r="E644" s="9"/>
      <c r="F644" s="14"/>
      <c r="G644" s="15"/>
      <c r="H644" s="15"/>
      <c r="I644" s="15"/>
      <c r="J644" s="15"/>
      <c r="K644" s="15"/>
      <c r="L644" s="15"/>
      <c r="M644" s="11"/>
      <c r="N644" s="11"/>
      <c r="O644" s="19"/>
      <c r="P644" s="12"/>
      <c r="Q644" s="12"/>
      <c r="R644" s="20"/>
      <c r="S644" s="13"/>
      <c r="T644" s="13"/>
      <c r="U644" s="21"/>
    </row>
    <row r="645" spans="1:21" ht="13.2" x14ac:dyDescent="0.25">
      <c r="A645" s="9"/>
      <c r="B645" s="9"/>
      <c r="C645" s="9"/>
      <c r="D645" s="9"/>
      <c r="E645" s="9"/>
      <c r="F645" s="14"/>
      <c r="G645" s="15"/>
      <c r="H645" s="15"/>
      <c r="I645" s="15"/>
      <c r="J645" s="15"/>
      <c r="K645" s="15"/>
      <c r="L645" s="15"/>
      <c r="M645" s="11"/>
      <c r="N645" s="11"/>
      <c r="O645" s="19"/>
      <c r="P645" s="12"/>
      <c r="Q645" s="12"/>
      <c r="R645" s="20"/>
      <c r="S645" s="13"/>
      <c r="T645" s="13"/>
      <c r="U645" s="21"/>
    </row>
    <row r="646" spans="1:21" ht="13.2" x14ac:dyDescent="0.25">
      <c r="A646" s="9"/>
      <c r="B646" s="9"/>
      <c r="C646" s="9"/>
      <c r="D646" s="9"/>
      <c r="E646" s="9"/>
      <c r="F646" s="14"/>
      <c r="G646" s="15"/>
      <c r="H646" s="15"/>
      <c r="I646" s="15"/>
      <c r="J646" s="15"/>
      <c r="K646" s="15"/>
      <c r="L646" s="15"/>
      <c r="M646" s="11"/>
      <c r="N646" s="11"/>
      <c r="O646" s="19"/>
      <c r="P646" s="12"/>
      <c r="Q646" s="12"/>
      <c r="R646" s="20"/>
      <c r="S646" s="13"/>
      <c r="T646" s="13"/>
      <c r="U646" s="21"/>
    </row>
    <row r="647" spans="1:21" ht="13.2" x14ac:dyDescent="0.25">
      <c r="A647" s="9"/>
      <c r="B647" s="9"/>
      <c r="C647" s="9"/>
      <c r="D647" s="9"/>
      <c r="E647" s="9"/>
      <c r="F647" s="14"/>
      <c r="G647" s="15"/>
      <c r="H647" s="15"/>
      <c r="I647" s="15"/>
      <c r="J647" s="15"/>
      <c r="K647" s="15"/>
      <c r="L647" s="15"/>
      <c r="M647" s="11"/>
      <c r="N647" s="11"/>
      <c r="O647" s="19"/>
      <c r="P647" s="12"/>
      <c r="Q647" s="12"/>
      <c r="R647" s="20"/>
      <c r="S647" s="13"/>
      <c r="T647" s="13"/>
      <c r="U647" s="21"/>
    </row>
    <row r="648" spans="1:21" ht="13.2" x14ac:dyDescent="0.25">
      <c r="A648" s="9"/>
      <c r="B648" s="9"/>
      <c r="C648" s="9"/>
      <c r="D648" s="9"/>
      <c r="E648" s="9"/>
      <c r="F648" s="14"/>
      <c r="G648" s="15"/>
      <c r="H648" s="15"/>
      <c r="I648" s="15"/>
      <c r="J648" s="15"/>
      <c r="K648" s="15"/>
      <c r="L648" s="15"/>
      <c r="M648" s="11"/>
      <c r="N648" s="11"/>
      <c r="O648" s="19"/>
      <c r="P648" s="12"/>
      <c r="Q648" s="12"/>
      <c r="R648" s="20"/>
      <c r="S648" s="13"/>
      <c r="T648" s="13"/>
      <c r="U648" s="21"/>
    </row>
    <row r="649" spans="1:21" ht="13.2" x14ac:dyDescent="0.25">
      <c r="A649" s="9"/>
      <c r="B649" s="9"/>
      <c r="C649" s="9"/>
      <c r="D649" s="9"/>
      <c r="E649" s="9"/>
      <c r="F649" s="14"/>
      <c r="G649" s="15"/>
      <c r="H649" s="15"/>
      <c r="I649" s="15"/>
      <c r="J649" s="15"/>
      <c r="K649" s="15"/>
      <c r="L649" s="15"/>
      <c r="M649" s="11"/>
      <c r="N649" s="11"/>
      <c r="O649" s="19"/>
      <c r="P649" s="12"/>
      <c r="Q649" s="12"/>
      <c r="R649" s="20"/>
      <c r="S649" s="13"/>
      <c r="T649" s="13"/>
      <c r="U649" s="21"/>
    </row>
    <row r="650" spans="1:21" ht="13.2" x14ac:dyDescent="0.25">
      <c r="A650" s="9"/>
      <c r="B650" s="9"/>
      <c r="C650" s="9"/>
      <c r="D650" s="9"/>
      <c r="E650" s="9"/>
      <c r="F650" s="14"/>
      <c r="G650" s="15"/>
      <c r="H650" s="15"/>
      <c r="I650" s="15"/>
      <c r="J650" s="15"/>
      <c r="K650" s="15"/>
      <c r="L650" s="15"/>
      <c r="M650" s="11"/>
      <c r="N650" s="11"/>
      <c r="O650" s="19"/>
      <c r="P650" s="12"/>
      <c r="Q650" s="12"/>
      <c r="R650" s="20"/>
      <c r="S650" s="13"/>
      <c r="T650" s="13"/>
      <c r="U650" s="21"/>
    </row>
    <row r="651" spans="1:21" ht="13.2" x14ac:dyDescent="0.25">
      <c r="A651" s="9"/>
      <c r="B651" s="9"/>
      <c r="C651" s="9"/>
      <c r="D651" s="9"/>
      <c r="E651" s="9"/>
      <c r="F651" s="14"/>
      <c r="G651" s="15"/>
      <c r="H651" s="15"/>
      <c r="I651" s="15"/>
      <c r="J651" s="15"/>
      <c r="K651" s="15"/>
      <c r="L651" s="15"/>
      <c r="M651" s="11"/>
      <c r="N651" s="11"/>
      <c r="O651" s="19"/>
      <c r="P651" s="12"/>
      <c r="Q651" s="12"/>
      <c r="R651" s="20"/>
      <c r="S651" s="13"/>
      <c r="T651" s="13"/>
      <c r="U651" s="21"/>
    </row>
    <row r="652" spans="1:21" ht="13.2" x14ac:dyDescent="0.25">
      <c r="A652" s="9"/>
      <c r="B652" s="9"/>
      <c r="C652" s="9"/>
      <c r="D652" s="9"/>
      <c r="E652" s="9"/>
      <c r="F652" s="14"/>
      <c r="G652" s="15"/>
      <c r="H652" s="15"/>
      <c r="I652" s="15"/>
      <c r="J652" s="15"/>
      <c r="K652" s="15"/>
      <c r="L652" s="15"/>
      <c r="M652" s="11"/>
      <c r="N652" s="11"/>
      <c r="O652" s="19"/>
      <c r="P652" s="12"/>
      <c r="Q652" s="12"/>
      <c r="R652" s="20"/>
      <c r="S652" s="13"/>
      <c r="T652" s="13"/>
      <c r="U652" s="21"/>
    </row>
    <row r="653" spans="1:21" ht="13.2" x14ac:dyDescent="0.25">
      <c r="A653" s="9"/>
      <c r="B653" s="9"/>
      <c r="C653" s="9"/>
      <c r="D653" s="9"/>
      <c r="E653" s="9"/>
      <c r="F653" s="14"/>
      <c r="G653" s="15"/>
      <c r="H653" s="15"/>
      <c r="I653" s="15"/>
      <c r="J653" s="15"/>
      <c r="K653" s="15"/>
      <c r="L653" s="15"/>
      <c r="M653" s="11"/>
      <c r="N653" s="11"/>
      <c r="O653" s="19"/>
      <c r="P653" s="12"/>
      <c r="Q653" s="12"/>
      <c r="R653" s="20"/>
      <c r="S653" s="13"/>
      <c r="T653" s="13"/>
      <c r="U653" s="21"/>
    </row>
    <row r="654" spans="1:21" ht="13.2" x14ac:dyDescent="0.25">
      <c r="A654" s="9"/>
      <c r="B654" s="9"/>
      <c r="C654" s="9"/>
      <c r="D654" s="9"/>
      <c r="E654" s="9"/>
      <c r="F654" s="14"/>
      <c r="G654" s="15"/>
      <c r="H654" s="15"/>
      <c r="I654" s="15"/>
      <c r="J654" s="15"/>
      <c r="K654" s="15"/>
      <c r="L654" s="15"/>
      <c r="M654" s="11"/>
      <c r="N654" s="11"/>
      <c r="O654" s="19"/>
      <c r="P654" s="12"/>
      <c r="Q654" s="12"/>
      <c r="R654" s="20"/>
      <c r="S654" s="13"/>
      <c r="T654" s="13"/>
      <c r="U654" s="21"/>
    </row>
    <row r="655" spans="1:21" ht="13.2" x14ac:dyDescent="0.25">
      <c r="A655" s="9"/>
      <c r="B655" s="9"/>
      <c r="C655" s="9"/>
      <c r="D655" s="9"/>
      <c r="E655" s="9"/>
      <c r="F655" s="14"/>
      <c r="G655" s="15"/>
      <c r="H655" s="15"/>
      <c r="I655" s="15"/>
      <c r="J655" s="15"/>
      <c r="K655" s="15"/>
      <c r="L655" s="15"/>
      <c r="M655" s="11"/>
      <c r="N655" s="11"/>
      <c r="O655" s="19"/>
      <c r="P655" s="12"/>
      <c r="Q655" s="12"/>
      <c r="R655" s="20"/>
      <c r="S655" s="13"/>
      <c r="T655" s="13"/>
      <c r="U655" s="21"/>
    </row>
    <row r="656" spans="1:21" ht="13.2" x14ac:dyDescent="0.25">
      <c r="A656" s="9"/>
      <c r="B656" s="9"/>
      <c r="C656" s="9"/>
      <c r="D656" s="9"/>
      <c r="E656" s="9"/>
      <c r="F656" s="14"/>
      <c r="G656" s="15"/>
      <c r="H656" s="15"/>
      <c r="I656" s="15"/>
      <c r="J656" s="15"/>
      <c r="K656" s="15"/>
      <c r="L656" s="15"/>
      <c r="M656" s="11"/>
      <c r="N656" s="11"/>
      <c r="O656" s="19"/>
      <c r="P656" s="12"/>
      <c r="Q656" s="12"/>
      <c r="R656" s="20"/>
      <c r="S656" s="13"/>
      <c r="T656" s="13"/>
      <c r="U656" s="21"/>
    </row>
    <row r="657" spans="1:21" ht="13.2" x14ac:dyDescent="0.25">
      <c r="A657" s="9"/>
      <c r="B657" s="9"/>
      <c r="C657" s="9"/>
      <c r="D657" s="9"/>
      <c r="E657" s="9"/>
      <c r="F657" s="14"/>
      <c r="G657" s="15"/>
      <c r="H657" s="15"/>
      <c r="I657" s="15"/>
      <c r="J657" s="15"/>
      <c r="K657" s="15"/>
      <c r="L657" s="15"/>
      <c r="M657" s="11"/>
      <c r="N657" s="11"/>
      <c r="O657" s="19"/>
      <c r="P657" s="12"/>
      <c r="Q657" s="12"/>
      <c r="R657" s="20"/>
      <c r="S657" s="13"/>
      <c r="T657" s="13"/>
      <c r="U657" s="21"/>
    </row>
    <row r="658" spans="1:21" ht="13.2" x14ac:dyDescent="0.25">
      <c r="A658" s="9"/>
      <c r="B658" s="9"/>
      <c r="C658" s="9"/>
      <c r="D658" s="9"/>
      <c r="E658" s="9"/>
      <c r="F658" s="14"/>
      <c r="G658" s="15"/>
      <c r="H658" s="15"/>
      <c r="I658" s="15"/>
      <c r="J658" s="15"/>
      <c r="K658" s="15"/>
      <c r="L658" s="15"/>
      <c r="M658" s="11"/>
      <c r="N658" s="11"/>
      <c r="O658" s="19"/>
      <c r="P658" s="12"/>
      <c r="Q658" s="12"/>
      <c r="R658" s="20"/>
      <c r="S658" s="13"/>
      <c r="T658" s="13"/>
      <c r="U658" s="21"/>
    </row>
    <row r="659" spans="1:21" ht="13.2" x14ac:dyDescent="0.25">
      <c r="A659" s="9"/>
      <c r="B659" s="9"/>
      <c r="C659" s="9"/>
      <c r="D659" s="9"/>
      <c r="E659" s="9"/>
      <c r="F659" s="14"/>
      <c r="G659" s="15"/>
      <c r="H659" s="15"/>
      <c r="I659" s="15"/>
      <c r="J659" s="15"/>
      <c r="K659" s="15"/>
      <c r="L659" s="15"/>
      <c r="M659" s="11"/>
      <c r="N659" s="11"/>
      <c r="O659" s="19"/>
      <c r="P659" s="12"/>
      <c r="Q659" s="12"/>
      <c r="R659" s="20"/>
      <c r="S659" s="13"/>
      <c r="T659" s="13"/>
      <c r="U659" s="21"/>
    </row>
    <row r="660" spans="1:21" ht="13.2" x14ac:dyDescent="0.25">
      <c r="A660" s="9"/>
      <c r="B660" s="9"/>
      <c r="C660" s="9"/>
      <c r="D660" s="9"/>
      <c r="E660" s="9"/>
      <c r="F660" s="14"/>
      <c r="G660" s="15"/>
      <c r="H660" s="15"/>
      <c r="I660" s="15"/>
      <c r="J660" s="15"/>
      <c r="K660" s="15"/>
      <c r="L660" s="15"/>
      <c r="M660" s="11"/>
      <c r="N660" s="11"/>
      <c r="O660" s="19"/>
      <c r="P660" s="12"/>
      <c r="Q660" s="12"/>
      <c r="R660" s="20"/>
      <c r="S660" s="13"/>
      <c r="T660" s="13"/>
      <c r="U660" s="21"/>
    </row>
    <row r="661" spans="1:21" ht="13.2" x14ac:dyDescent="0.25">
      <c r="A661" s="9"/>
      <c r="B661" s="9"/>
      <c r="C661" s="9"/>
      <c r="D661" s="9"/>
      <c r="E661" s="9"/>
      <c r="F661" s="14"/>
      <c r="G661" s="15"/>
      <c r="H661" s="15"/>
      <c r="I661" s="15"/>
      <c r="J661" s="15"/>
      <c r="K661" s="15"/>
      <c r="L661" s="15"/>
      <c r="M661" s="11"/>
      <c r="N661" s="11"/>
      <c r="O661" s="19"/>
      <c r="P661" s="12"/>
      <c r="Q661" s="12"/>
      <c r="R661" s="20"/>
      <c r="S661" s="13"/>
      <c r="T661" s="13"/>
      <c r="U661" s="21"/>
    </row>
    <row r="662" spans="1:21" ht="13.2" x14ac:dyDescent="0.25">
      <c r="A662" s="9"/>
      <c r="B662" s="9"/>
      <c r="C662" s="9"/>
      <c r="D662" s="9"/>
      <c r="E662" s="9"/>
      <c r="F662" s="14"/>
      <c r="G662" s="15"/>
      <c r="H662" s="15"/>
      <c r="I662" s="15"/>
      <c r="J662" s="15"/>
      <c r="K662" s="15"/>
      <c r="L662" s="15"/>
      <c r="M662" s="11"/>
      <c r="N662" s="11"/>
      <c r="O662" s="19"/>
      <c r="P662" s="12"/>
      <c r="Q662" s="12"/>
      <c r="R662" s="20"/>
      <c r="S662" s="13"/>
      <c r="T662" s="13"/>
      <c r="U662" s="21"/>
    </row>
    <row r="663" spans="1:21" ht="13.2" x14ac:dyDescent="0.25">
      <c r="A663" s="9"/>
      <c r="B663" s="9"/>
      <c r="C663" s="9"/>
      <c r="D663" s="9"/>
      <c r="E663" s="9"/>
      <c r="F663" s="14"/>
      <c r="G663" s="15"/>
      <c r="H663" s="15"/>
      <c r="I663" s="15"/>
      <c r="J663" s="15"/>
      <c r="K663" s="15"/>
      <c r="L663" s="15"/>
      <c r="M663" s="11"/>
      <c r="N663" s="11"/>
      <c r="O663" s="19"/>
      <c r="P663" s="12"/>
      <c r="Q663" s="12"/>
      <c r="R663" s="20"/>
      <c r="S663" s="13"/>
      <c r="T663" s="13"/>
      <c r="U663" s="21"/>
    </row>
    <row r="664" spans="1:21" ht="13.2" x14ac:dyDescent="0.25">
      <c r="A664" s="9"/>
      <c r="B664" s="9"/>
      <c r="C664" s="9"/>
      <c r="D664" s="9"/>
      <c r="E664" s="9"/>
      <c r="F664" s="14"/>
      <c r="G664" s="15"/>
      <c r="H664" s="15"/>
      <c r="I664" s="15"/>
      <c r="J664" s="15"/>
      <c r="K664" s="15"/>
      <c r="L664" s="15"/>
      <c r="M664" s="11"/>
      <c r="N664" s="11"/>
      <c r="O664" s="19"/>
      <c r="P664" s="12"/>
      <c r="Q664" s="12"/>
      <c r="R664" s="20"/>
      <c r="S664" s="13"/>
      <c r="T664" s="13"/>
      <c r="U664" s="21"/>
    </row>
    <row r="665" spans="1:21" ht="13.2" x14ac:dyDescent="0.25">
      <c r="A665" s="9"/>
      <c r="B665" s="9"/>
      <c r="C665" s="9"/>
      <c r="D665" s="9"/>
      <c r="E665" s="9"/>
      <c r="F665" s="14"/>
      <c r="G665" s="15"/>
      <c r="H665" s="15"/>
      <c r="I665" s="15"/>
      <c r="J665" s="15"/>
      <c r="K665" s="15"/>
      <c r="L665" s="15"/>
      <c r="M665" s="11"/>
      <c r="N665" s="11"/>
      <c r="O665" s="19"/>
      <c r="P665" s="12"/>
      <c r="Q665" s="12"/>
      <c r="R665" s="20"/>
      <c r="S665" s="13"/>
      <c r="T665" s="13"/>
      <c r="U665" s="21"/>
    </row>
    <row r="666" spans="1:21" ht="13.2" x14ac:dyDescent="0.25">
      <c r="A666" s="9"/>
      <c r="B666" s="9"/>
      <c r="C666" s="9"/>
      <c r="D666" s="9"/>
      <c r="E666" s="9"/>
      <c r="F666" s="14"/>
      <c r="G666" s="15"/>
      <c r="H666" s="15"/>
      <c r="I666" s="15"/>
      <c r="J666" s="15"/>
      <c r="K666" s="15"/>
      <c r="L666" s="15"/>
      <c r="M666" s="11"/>
      <c r="N666" s="11"/>
      <c r="O666" s="19"/>
      <c r="P666" s="12"/>
      <c r="Q666" s="12"/>
      <c r="R666" s="20"/>
      <c r="S666" s="13"/>
      <c r="T666" s="13"/>
      <c r="U666" s="21"/>
    </row>
    <row r="667" spans="1:21" ht="13.2" x14ac:dyDescent="0.25">
      <c r="A667" s="9"/>
      <c r="B667" s="9"/>
      <c r="C667" s="9"/>
      <c r="D667" s="9"/>
      <c r="E667" s="9"/>
      <c r="F667" s="14"/>
      <c r="G667" s="15"/>
      <c r="H667" s="15"/>
      <c r="I667" s="15"/>
      <c r="J667" s="15"/>
      <c r="K667" s="15"/>
      <c r="L667" s="15"/>
      <c r="M667" s="11"/>
      <c r="N667" s="11"/>
      <c r="O667" s="19"/>
      <c r="P667" s="12"/>
      <c r="Q667" s="12"/>
      <c r="R667" s="20"/>
      <c r="S667" s="13"/>
      <c r="T667" s="13"/>
      <c r="U667" s="21"/>
    </row>
    <row r="668" spans="1:21" ht="13.2" x14ac:dyDescent="0.25">
      <c r="A668" s="9"/>
      <c r="B668" s="9"/>
      <c r="C668" s="9"/>
      <c r="D668" s="9"/>
      <c r="E668" s="9"/>
      <c r="F668" s="14"/>
      <c r="G668" s="15"/>
      <c r="H668" s="15"/>
      <c r="I668" s="15"/>
      <c r="J668" s="15"/>
      <c r="K668" s="15"/>
      <c r="L668" s="15"/>
      <c r="M668" s="11"/>
      <c r="N668" s="11"/>
      <c r="O668" s="19"/>
      <c r="P668" s="12"/>
      <c r="Q668" s="12"/>
      <c r="R668" s="20"/>
      <c r="S668" s="13"/>
      <c r="T668" s="13"/>
      <c r="U668" s="21"/>
    </row>
    <row r="669" spans="1:21" ht="13.2" x14ac:dyDescent="0.25">
      <c r="A669" s="9"/>
      <c r="B669" s="9"/>
      <c r="C669" s="9"/>
      <c r="D669" s="9"/>
      <c r="E669" s="9"/>
      <c r="F669" s="14"/>
      <c r="G669" s="15"/>
      <c r="H669" s="15"/>
      <c r="I669" s="15"/>
      <c r="J669" s="15"/>
      <c r="K669" s="15"/>
      <c r="L669" s="15"/>
      <c r="M669" s="11"/>
      <c r="N669" s="11"/>
      <c r="O669" s="19"/>
      <c r="P669" s="12"/>
      <c r="Q669" s="12"/>
      <c r="R669" s="20"/>
      <c r="S669" s="13"/>
      <c r="T669" s="13"/>
      <c r="U669" s="21"/>
    </row>
    <row r="670" spans="1:21" ht="13.2" x14ac:dyDescent="0.25">
      <c r="A670" s="9"/>
      <c r="B670" s="9"/>
      <c r="C670" s="9"/>
      <c r="D670" s="9"/>
      <c r="E670" s="9"/>
      <c r="F670" s="14"/>
      <c r="G670" s="15"/>
      <c r="H670" s="15"/>
      <c r="I670" s="15"/>
      <c r="J670" s="15"/>
      <c r="K670" s="15"/>
      <c r="L670" s="15"/>
      <c r="M670" s="11"/>
      <c r="N670" s="11"/>
      <c r="O670" s="19"/>
      <c r="P670" s="12"/>
      <c r="Q670" s="12"/>
      <c r="R670" s="20"/>
      <c r="S670" s="13"/>
      <c r="T670" s="13"/>
      <c r="U670" s="21"/>
    </row>
    <row r="671" spans="1:21" ht="13.2" x14ac:dyDescent="0.25">
      <c r="A671" s="9"/>
      <c r="B671" s="9"/>
      <c r="C671" s="9"/>
      <c r="D671" s="9"/>
      <c r="E671" s="9"/>
      <c r="F671" s="14"/>
      <c r="G671" s="15"/>
      <c r="H671" s="15"/>
      <c r="I671" s="15"/>
      <c r="J671" s="15"/>
      <c r="K671" s="15"/>
      <c r="L671" s="15"/>
      <c r="M671" s="11"/>
      <c r="N671" s="11"/>
      <c r="O671" s="19"/>
      <c r="P671" s="12"/>
      <c r="Q671" s="12"/>
      <c r="R671" s="20"/>
      <c r="S671" s="13"/>
      <c r="T671" s="13"/>
      <c r="U671" s="21"/>
    </row>
    <row r="672" spans="1:21" ht="13.2" x14ac:dyDescent="0.25">
      <c r="A672" s="9"/>
      <c r="B672" s="9"/>
      <c r="C672" s="9"/>
      <c r="D672" s="9"/>
      <c r="E672" s="9"/>
      <c r="F672" s="14"/>
      <c r="G672" s="15"/>
      <c r="H672" s="15"/>
      <c r="I672" s="15"/>
      <c r="J672" s="15"/>
      <c r="K672" s="15"/>
      <c r="L672" s="15"/>
      <c r="M672" s="11"/>
      <c r="N672" s="11"/>
      <c r="O672" s="19"/>
      <c r="P672" s="12"/>
      <c r="Q672" s="12"/>
      <c r="R672" s="20"/>
      <c r="S672" s="13"/>
      <c r="T672" s="13"/>
      <c r="U672" s="21"/>
    </row>
    <row r="673" spans="1:21" ht="13.2" x14ac:dyDescent="0.25">
      <c r="A673" s="9"/>
      <c r="B673" s="9"/>
      <c r="C673" s="9"/>
      <c r="D673" s="9"/>
      <c r="E673" s="9"/>
      <c r="F673" s="14"/>
      <c r="G673" s="15"/>
      <c r="H673" s="15"/>
      <c r="I673" s="15"/>
      <c r="J673" s="15"/>
      <c r="K673" s="15"/>
      <c r="L673" s="15"/>
      <c r="M673" s="11"/>
      <c r="N673" s="11"/>
      <c r="O673" s="19"/>
      <c r="P673" s="12"/>
      <c r="Q673" s="12"/>
      <c r="R673" s="20"/>
      <c r="S673" s="13"/>
      <c r="T673" s="13"/>
      <c r="U673" s="21"/>
    </row>
    <row r="674" spans="1:21" ht="13.2" x14ac:dyDescent="0.25">
      <c r="A674" s="9"/>
      <c r="B674" s="9"/>
      <c r="C674" s="9"/>
      <c r="D674" s="9"/>
      <c r="E674" s="9"/>
      <c r="F674" s="14"/>
      <c r="G674" s="15"/>
      <c r="H674" s="15"/>
      <c r="I674" s="15"/>
      <c r="J674" s="15"/>
      <c r="K674" s="15"/>
      <c r="L674" s="15"/>
      <c r="M674" s="11"/>
      <c r="N674" s="11"/>
      <c r="O674" s="19"/>
      <c r="P674" s="12"/>
      <c r="Q674" s="12"/>
      <c r="R674" s="20"/>
      <c r="S674" s="13"/>
      <c r="T674" s="13"/>
      <c r="U674" s="21"/>
    </row>
    <row r="675" spans="1:21" ht="13.2" x14ac:dyDescent="0.25">
      <c r="A675" s="9"/>
      <c r="B675" s="9"/>
      <c r="C675" s="9"/>
      <c r="D675" s="9"/>
      <c r="E675" s="9"/>
      <c r="F675" s="14"/>
      <c r="G675" s="15"/>
      <c r="H675" s="15"/>
      <c r="I675" s="15"/>
      <c r="J675" s="15"/>
      <c r="K675" s="15"/>
      <c r="L675" s="15"/>
      <c r="M675" s="11"/>
      <c r="N675" s="11"/>
      <c r="O675" s="19"/>
      <c r="P675" s="12"/>
      <c r="Q675" s="12"/>
      <c r="R675" s="20"/>
      <c r="S675" s="13"/>
      <c r="T675" s="13"/>
      <c r="U675" s="21"/>
    </row>
    <row r="676" spans="1:21" ht="13.2" x14ac:dyDescent="0.25">
      <c r="A676" s="9"/>
      <c r="B676" s="9"/>
      <c r="C676" s="9"/>
      <c r="D676" s="9"/>
      <c r="E676" s="9"/>
      <c r="F676" s="14"/>
      <c r="G676" s="15"/>
      <c r="H676" s="15"/>
      <c r="I676" s="15"/>
      <c r="J676" s="15"/>
      <c r="K676" s="15"/>
      <c r="L676" s="15"/>
      <c r="M676" s="11"/>
      <c r="N676" s="11"/>
      <c r="O676" s="19"/>
      <c r="P676" s="12"/>
      <c r="Q676" s="12"/>
      <c r="R676" s="20"/>
      <c r="S676" s="13"/>
      <c r="T676" s="13"/>
      <c r="U676" s="21"/>
    </row>
    <row r="677" spans="1:21" ht="13.2" x14ac:dyDescent="0.25">
      <c r="A677" s="9"/>
      <c r="B677" s="9"/>
      <c r="C677" s="9"/>
      <c r="D677" s="9"/>
      <c r="E677" s="9"/>
      <c r="F677" s="14"/>
      <c r="G677" s="15"/>
      <c r="H677" s="15"/>
      <c r="I677" s="15"/>
      <c r="J677" s="15"/>
      <c r="K677" s="15"/>
      <c r="L677" s="15"/>
      <c r="M677" s="11"/>
      <c r="N677" s="11"/>
      <c r="O677" s="19"/>
      <c r="P677" s="12"/>
      <c r="Q677" s="12"/>
      <c r="R677" s="20"/>
      <c r="S677" s="13"/>
      <c r="T677" s="13"/>
      <c r="U677" s="21"/>
    </row>
    <row r="678" spans="1:21" ht="13.2" x14ac:dyDescent="0.25">
      <c r="A678" s="9"/>
      <c r="B678" s="9"/>
      <c r="C678" s="9"/>
      <c r="D678" s="9"/>
      <c r="E678" s="9"/>
      <c r="F678" s="14"/>
      <c r="G678" s="15"/>
      <c r="H678" s="15"/>
      <c r="I678" s="15"/>
      <c r="J678" s="15"/>
      <c r="K678" s="15"/>
      <c r="L678" s="15"/>
      <c r="M678" s="11"/>
      <c r="N678" s="11"/>
      <c r="O678" s="19"/>
      <c r="P678" s="12"/>
      <c r="Q678" s="12"/>
      <c r="R678" s="20"/>
      <c r="S678" s="13"/>
      <c r="T678" s="13"/>
      <c r="U678" s="21"/>
    </row>
    <row r="679" spans="1:21" ht="13.2" x14ac:dyDescent="0.25">
      <c r="A679" s="9"/>
      <c r="B679" s="9"/>
      <c r="C679" s="9"/>
      <c r="D679" s="9"/>
      <c r="E679" s="9"/>
      <c r="F679" s="14"/>
      <c r="G679" s="15"/>
      <c r="H679" s="15"/>
      <c r="I679" s="15"/>
      <c r="J679" s="15"/>
      <c r="K679" s="15"/>
      <c r="L679" s="15"/>
      <c r="M679" s="11"/>
      <c r="N679" s="11"/>
      <c r="O679" s="19"/>
      <c r="P679" s="12"/>
      <c r="Q679" s="12"/>
      <c r="R679" s="20"/>
      <c r="S679" s="13"/>
      <c r="T679" s="13"/>
      <c r="U679" s="21"/>
    </row>
    <row r="680" spans="1:21" ht="13.2" x14ac:dyDescent="0.25">
      <c r="A680" s="9"/>
      <c r="B680" s="9"/>
      <c r="C680" s="9"/>
      <c r="D680" s="9"/>
      <c r="E680" s="9"/>
      <c r="F680" s="14"/>
      <c r="G680" s="15"/>
      <c r="H680" s="15"/>
      <c r="I680" s="15"/>
      <c r="J680" s="15"/>
      <c r="K680" s="15"/>
      <c r="L680" s="15"/>
      <c r="M680" s="11"/>
      <c r="N680" s="11"/>
      <c r="O680" s="19"/>
      <c r="P680" s="12"/>
      <c r="Q680" s="12"/>
      <c r="R680" s="20"/>
      <c r="S680" s="13"/>
      <c r="T680" s="13"/>
      <c r="U680" s="21"/>
    </row>
    <row r="681" spans="1:21" ht="13.2" x14ac:dyDescent="0.25">
      <c r="A681" s="9"/>
      <c r="B681" s="9"/>
      <c r="C681" s="9"/>
      <c r="D681" s="9"/>
      <c r="E681" s="9"/>
      <c r="F681" s="14"/>
      <c r="G681" s="15"/>
      <c r="H681" s="15"/>
      <c r="I681" s="15"/>
      <c r="J681" s="15"/>
      <c r="K681" s="15"/>
      <c r="L681" s="15"/>
      <c r="M681" s="11"/>
      <c r="N681" s="11"/>
      <c r="O681" s="19"/>
      <c r="P681" s="12"/>
      <c r="Q681" s="12"/>
      <c r="R681" s="20"/>
      <c r="S681" s="13"/>
      <c r="T681" s="13"/>
      <c r="U681" s="21"/>
    </row>
    <row r="682" spans="1:21" ht="13.2" x14ac:dyDescent="0.25">
      <c r="A682" s="9"/>
      <c r="B682" s="9"/>
      <c r="C682" s="9"/>
      <c r="D682" s="9"/>
      <c r="E682" s="9"/>
      <c r="F682" s="14"/>
      <c r="G682" s="15"/>
      <c r="H682" s="15"/>
      <c r="I682" s="15"/>
      <c r="J682" s="15"/>
      <c r="K682" s="15"/>
      <c r="L682" s="15"/>
      <c r="M682" s="11"/>
      <c r="N682" s="11"/>
      <c r="O682" s="19"/>
      <c r="P682" s="12"/>
      <c r="Q682" s="12"/>
      <c r="R682" s="20"/>
      <c r="S682" s="13"/>
      <c r="T682" s="13"/>
      <c r="U682" s="21"/>
    </row>
    <row r="683" spans="1:21" ht="13.2" x14ac:dyDescent="0.25">
      <c r="A683" s="9"/>
      <c r="B683" s="9"/>
      <c r="C683" s="9"/>
      <c r="D683" s="9"/>
      <c r="E683" s="9"/>
      <c r="F683" s="14"/>
      <c r="G683" s="15"/>
      <c r="H683" s="15"/>
      <c r="I683" s="15"/>
      <c r="J683" s="15"/>
      <c r="K683" s="15"/>
      <c r="L683" s="15"/>
      <c r="M683" s="11"/>
      <c r="N683" s="11"/>
      <c r="O683" s="19"/>
      <c r="P683" s="12"/>
      <c r="Q683" s="12"/>
      <c r="R683" s="20"/>
      <c r="S683" s="13"/>
      <c r="T683" s="13"/>
      <c r="U683" s="21"/>
    </row>
    <row r="684" spans="1:21" ht="13.2" x14ac:dyDescent="0.25">
      <c r="A684" s="9"/>
      <c r="B684" s="9"/>
      <c r="C684" s="9"/>
      <c r="D684" s="9"/>
      <c r="E684" s="9"/>
      <c r="F684" s="14"/>
      <c r="G684" s="15"/>
      <c r="H684" s="15"/>
      <c r="I684" s="15"/>
      <c r="J684" s="15"/>
      <c r="K684" s="15"/>
      <c r="L684" s="15"/>
      <c r="M684" s="11"/>
      <c r="N684" s="11"/>
      <c r="O684" s="19"/>
      <c r="P684" s="12"/>
      <c r="Q684" s="12"/>
      <c r="R684" s="20"/>
      <c r="S684" s="13"/>
      <c r="T684" s="13"/>
      <c r="U684" s="21"/>
    </row>
    <row r="685" spans="1:21" ht="13.2" x14ac:dyDescent="0.25">
      <c r="A685" s="9"/>
      <c r="B685" s="9"/>
      <c r="C685" s="9"/>
      <c r="D685" s="9"/>
      <c r="E685" s="9"/>
      <c r="F685" s="14"/>
      <c r="G685" s="15"/>
      <c r="H685" s="15"/>
      <c r="I685" s="15"/>
      <c r="J685" s="15"/>
      <c r="K685" s="15"/>
      <c r="L685" s="15"/>
      <c r="M685" s="11"/>
      <c r="N685" s="11"/>
      <c r="O685" s="19"/>
      <c r="P685" s="12"/>
      <c r="Q685" s="12"/>
      <c r="R685" s="20"/>
      <c r="S685" s="13"/>
      <c r="T685" s="13"/>
      <c r="U685" s="21"/>
    </row>
    <row r="686" spans="1:21" ht="13.2" x14ac:dyDescent="0.25">
      <c r="A686" s="9"/>
      <c r="B686" s="9"/>
      <c r="C686" s="9"/>
      <c r="D686" s="9"/>
      <c r="E686" s="9"/>
      <c r="F686" s="14"/>
      <c r="G686" s="15"/>
      <c r="H686" s="15"/>
      <c r="I686" s="15"/>
      <c r="J686" s="15"/>
      <c r="K686" s="15"/>
      <c r="L686" s="15"/>
      <c r="M686" s="11"/>
      <c r="N686" s="11"/>
      <c r="O686" s="19"/>
      <c r="P686" s="12"/>
      <c r="Q686" s="12"/>
      <c r="R686" s="20"/>
      <c r="S686" s="13"/>
      <c r="T686" s="13"/>
      <c r="U686" s="21"/>
    </row>
    <row r="687" spans="1:21" ht="13.2" x14ac:dyDescent="0.25">
      <c r="A687" s="9"/>
      <c r="B687" s="9"/>
      <c r="C687" s="9"/>
      <c r="D687" s="9"/>
      <c r="E687" s="9"/>
      <c r="F687" s="14"/>
      <c r="G687" s="15"/>
      <c r="H687" s="15"/>
      <c r="I687" s="15"/>
      <c r="J687" s="15"/>
      <c r="K687" s="15"/>
      <c r="L687" s="15"/>
      <c r="M687" s="11"/>
      <c r="N687" s="11"/>
      <c r="O687" s="19"/>
      <c r="P687" s="12"/>
      <c r="Q687" s="12"/>
      <c r="R687" s="20"/>
      <c r="S687" s="13"/>
      <c r="T687" s="13"/>
      <c r="U687" s="21"/>
    </row>
    <row r="688" spans="1:21" ht="13.2" x14ac:dyDescent="0.25">
      <c r="A688" s="9"/>
      <c r="B688" s="9"/>
      <c r="C688" s="9"/>
      <c r="D688" s="9"/>
      <c r="E688" s="9"/>
      <c r="F688" s="14"/>
      <c r="G688" s="15"/>
      <c r="H688" s="15"/>
      <c r="I688" s="15"/>
      <c r="J688" s="15"/>
      <c r="K688" s="15"/>
      <c r="L688" s="15"/>
      <c r="M688" s="11"/>
      <c r="N688" s="11"/>
      <c r="O688" s="19"/>
      <c r="P688" s="12"/>
      <c r="Q688" s="12"/>
      <c r="R688" s="20"/>
      <c r="S688" s="13"/>
      <c r="T688" s="13"/>
      <c r="U688" s="21"/>
    </row>
    <row r="689" spans="1:21" ht="13.2" x14ac:dyDescent="0.25">
      <c r="A689" s="9"/>
      <c r="B689" s="9"/>
      <c r="C689" s="9"/>
      <c r="D689" s="9"/>
      <c r="E689" s="9"/>
      <c r="F689" s="14"/>
      <c r="G689" s="15"/>
      <c r="H689" s="15"/>
      <c r="I689" s="15"/>
      <c r="J689" s="15"/>
      <c r="K689" s="15"/>
      <c r="L689" s="15"/>
      <c r="M689" s="11"/>
      <c r="N689" s="11"/>
      <c r="O689" s="19"/>
      <c r="P689" s="12"/>
      <c r="Q689" s="12"/>
      <c r="R689" s="20"/>
      <c r="S689" s="13"/>
      <c r="T689" s="13"/>
      <c r="U689" s="21"/>
    </row>
    <row r="690" spans="1:21" ht="13.2" x14ac:dyDescent="0.25">
      <c r="A690" s="9"/>
      <c r="B690" s="9"/>
      <c r="C690" s="9"/>
      <c r="D690" s="9"/>
      <c r="E690" s="9"/>
      <c r="F690" s="14"/>
      <c r="G690" s="15"/>
      <c r="H690" s="15"/>
      <c r="I690" s="15"/>
      <c r="J690" s="15"/>
      <c r="K690" s="15"/>
      <c r="L690" s="15"/>
      <c r="M690" s="11"/>
      <c r="N690" s="11"/>
      <c r="O690" s="19"/>
      <c r="P690" s="12"/>
      <c r="Q690" s="12"/>
      <c r="R690" s="20"/>
      <c r="S690" s="13"/>
      <c r="T690" s="13"/>
      <c r="U690" s="21"/>
    </row>
    <row r="691" spans="1:21" ht="13.2" x14ac:dyDescent="0.25">
      <c r="A691" s="9"/>
      <c r="B691" s="9"/>
      <c r="C691" s="9"/>
      <c r="D691" s="9"/>
      <c r="E691" s="9"/>
      <c r="F691" s="14"/>
      <c r="G691" s="15"/>
      <c r="H691" s="15"/>
      <c r="I691" s="15"/>
      <c r="J691" s="15"/>
      <c r="K691" s="15"/>
      <c r="L691" s="15"/>
      <c r="M691" s="11"/>
      <c r="N691" s="11"/>
      <c r="O691" s="19"/>
      <c r="P691" s="12"/>
      <c r="Q691" s="12"/>
      <c r="R691" s="20"/>
      <c r="S691" s="13"/>
      <c r="T691" s="13"/>
      <c r="U691" s="21"/>
    </row>
    <row r="692" spans="1:21" ht="13.2" x14ac:dyDescent="0.25">
      <c r="A692" s="9"/>
      <c r="B692" s="9"/>
      <c r="C692" s="9"/>
      <c r="D692" s="9"/>
      <c r="E692" s="9"/>
      <c r="F692" s="14"/>
      <c r="G692" s="15"/>
      <c r="H692" s="15"/>
      <c r="I692" s="15"/>
      <c r="J692" s="15"/>
      <c r="K692" s="15"/>
      <c r="L692" s="15"/>
      <c r="M692" s="11"/>
      <c r="N692" s="11"/>
      <c r="O692" s="19"/>
      <c r="P692" s="12"/>
      <c r="Q692" s="12"/>
      <c r="R692" s="20"/>
      <c r="S692" s="13"/>
      <c r="T692" s="13"/>
      <c r="U692" s="21"/>
    </row>
    <row r="693" spans="1:21" ht="13.2" x14ac:dyDescent="0.25">
      <c r="A693" s="9"/>
      <c r="B693" s="9"/>
      <c r="C693" s="9"/>
      <c r="D693" s="9"/>
      <c r="E693" s="9"/>
      <c r="F693" s="14"/>
      <c r="G693" s="15"/>
      <c r="H693" s="15"/>
      <c r="I693" s="15"/>
      <c r="J693" s="15"/>
      <c r="K693" s="15"/>
      <c r="L693" s="15"/>
      <c r="M693" s="11"/>
      <c r="N693" s="11"/>
      <c r="O693" s="19"/>
      <c r="P693" s="12"/>
      <c r="Q693" s="12"/>
      <c r="R693" s="20"/>
      <c r="S693" s="13"/>
      <c r="T693" s="13"/>
      <c r="U693" s="21"/>
    </row>
    <row r="694" spans="1:21" ht="13.2" x14ac:dyDescent="0.25">
      <c r="A694" s="9"/>
      <c r="B694" s="9"/>
      <c r="C694" s="9"/>
      <c r="D694" s="9"/>
      <c r="E694" s="9"/>
      <c r="F694" s="14"/>
      <c r="G694" s="15"/>
      <c r="H694" s="15"/>
      <c r="I694" s="15"/>
      <c r="J694" s="15"/>
      <c r="K694" s="15"/>
      <c r="L694" s="15"/>
      <c r="M694" s="11"/>
      <c r="N694" s="11"/>
      <c r="O694" s="19"/>
      <c r="P694" s="12"/>
      <c r="Q694" s="12"/>
      <c r="R694" s="20"/>
      <c r="S694" s="13"/>
      <c r="T694" s="13"/>
      <c r="U694" s="21"/>
    </row>
    <row r="695" spans="1:21" ht="13.2" x14ac:dyDescent="0.25">
      <c r="A695" s="9"/>
      <c r="B695" s="9"/>
      <c r="C695" s="9"/>
      <c r="D695" s="9"/>
      <c r="E695" s="9"/>
      <c r="F695" s="14"/>
      <c r="G695" s="15"/>
      <c r="H695" s="15"/>
      <c r="I695" s="15"/>
      <c r="J695" s="15"/>
      <c r="K695" s="15"/>
      <c r="L695" s="15"/>
      <c r="M695" s="11"/>
      <c r="N695" s="11"/>
      <c r="O695" s="19"/>
      <c r="P695" s="12"/>
      <c r="Q695" s="12"/>
      <c r="R695" s="20"/>
      <c r="S695" s="13"/>
      <c r="T695" s="13"/>
      <c r="U695" s="21"/>
    </row>
    <row r="696" spans="1:21" ht="13.2" x14ac:dyDescent="0.25">
      <c r="A696" s="9"/>
      <c r="B696" s="9"/>
      <c r="C696" s="9"/>
      <c r="D696" s="9"/>
      <c r="E696" s="9"/>
      <c r="F696" s="14"/>
      <c r="G696" s="15"/>
      <c r="H696" s="15"/>
      <c r="I696" s="15"/>
      <c r="J696" s="15"/>
      <c r="K696" s="15"/>
      <c r="L696" s="15"/>
      <c r="M696" s="11"/>
      <c r="N696" s="11"/>
      <c r="O696" s="19"/>
      <c r="P696" s="12"/>
      <c r="Q696" s="12"/>
      <c r="R696" s="20"/>
      <c r="S696" s="13"/>
      <c r="T696" s="13"/>
      <c r="U696" s="21"/>
    </row>
    <row r="697" spans="1:21" ht="13.2" x14ac:dyDescent="0.25">
      <c r="A697" s="9"/>
      <c r="B697" s="9"/>
      <c r="C697" s="9"/>
      <c r="D697" s="9"/>
      <c r="E697" s="9"/>
      <c r="F697" s="14"/>
      <c r="G697" s="15"/>
      <c r="H697" s="15"/>
      <c r="I697" s="15"/>
      <c r="J697" s="15"/>
      <c r="K697" s="15"/>
      <c r="L697" s="15"/>
      <c r="M697" s="11"/>
      <c r="N697" s="11"/>
      <c r="O697" s="19"/>
      <c r="P697" s="12"/>
      <c r="Q697" s="12"/>
      <c r="R697" s="20"/>
      <c r="S697" s="13"/>
      <c r="T697" s="13"/>
      <c r="U697" s="21"/>
    </row>
    <row r="698" spans="1:21" ht="13.2" x14ac:dyDescent="0.25">
      <c r="A698" s="9"/>
      <c r="B698" s="9"/>
      <c r="C698" s="9"/>
      <c r="D698" s="9"/>
      <c r="E698" s="9"/>
      <c r="F698" s="14"/>
      <c r="G698" s="15"/>
      <c r="H698" s="15"/>
      <c r="I698" s="15"/>
      <c r="J698" s="15"/>
      <c r="K698" s="15"/>
      <c r="L698" s="15"/>
      <c r="M698" s="11"/>
      <c r="N698" s="11"/>
      <c r="O698" s="19"/>
      <c r="P698" s="12"/>
      <c r="Q698" s="12"/>
      <c r="R698" s="20"/>
      <c r="S698" s="13"/>
      <c r="T698" s="13"/>
      <c r="U698" s="21"/>
    </row>
    <row r="699" spans="1:21" ht="13.2" x14ac:dyDescent="0.25">
      <c r="A699" s="9"/>
      <c r="B699" s="9"/>
      <c r="C699" s="9"/>
      <c r="D699" s="9"/>
      <c r="E699" s="9"/>
      <c r="F699" s="14"/>
      <c r="G699" s="15"/>
      <c r="H699" s="15"/>
      <c r="I699" s="15"/>
      <c r="J699" s="15"/>
      <c r="K699" s="15"/>
      <c r="L699" s="15"/>
      <c r="M699" s="11"/>
      <c r="N699" s="11"/>
      <c r="O699" s="19"/>
      <c r="P699" s="12"/>
      <c r="Q699" s="12"/>
      <c r="R699" s="20"/>
      <c r="S699" s="13"/>
      <c r="T699" s="13"/>
      <c r="U699" s="21"/>
    </row>
    <row r="700" spans="1:21" ht="13.2" x14ac:dyDescent="0.25">
      <c r="A700" s="9"/>
      <c r="B700" s="9"/>
      <c r="C700" s="9"/>
      <c r="D700" s="9"/>
      <c r="E700" s="9"/>
      <c r="F700" s="14"/>
      <c r="G700" s="15"/>
      <c r="H700" s="15"/>
      <c r="I700" s="15"/>
      <c r="J700" s="15"/>
      <c r="K700" s="15"/>
      <c r="L700" s="15"/>
      <c r="M700" s="11"/>
      <c r="N700" s="11"/>
      <c r="O700" s="19"/>
      <c r="P700" s="12"/>
      <c r="Q700" s="12"/>
      <c r="R700" s="20"/>
      <c r="S700" s="13"/>
      <c r="T700" s="13"/>
      <c r="U700" s="21"/>
    </row>
    <row r="701" spans="1:21" ht="13.2" x14ac:dyDescent="0.25">
      <c r="A701" s="9"/>
      <c r="B701" s="9"/>
      <c r="C701" s="9"/>
      <c r="D701" s="9"/>
      <c r="E701" s="9"/>
      <c r="F701" s="14"/>
      <c r="G701" s="15"/>
      <c r="H701" s="15"/>
      <c r="I701" s="15"/>
      <c r="J701" s="15"/>
      <c r="K701" s="15"/>
      <c r="L701" s="15"/>
      <c r="M701" s="11"/>
      <c r="N701" s="11"/>
      <c r="O701" s="19"/>
      <c r="P701" s="12"/>
      <c r="Q701" s="12"/>
      <c r="R701" s="20"/>
      <c r="S701" s="13"/>
      <c r="T701" s="13"/>
      <c r="U701" s="21"/>
    </row>
    <row r="702" spans="1:21" ht="13.2" x14ac:dyDescent="0.25">
      <c r="A702" s="9"/>
      <c r="B702" s="9"/>
      <c r="C702" s="9"/>
      <c r="D702" s="9"/>
      <c r="E702" s="9"/>
      <c r="F702" s="14"/>
      <c r="G702" s="15"/>
      <c r="H702" s="15"/>
      <c r="I702" s="15"/>
      <c r="J702" s="15"/>
      <c r="K702" s="15"/>
      <c r="L702" s="15"/>
      <c r="M702" s="11"/>
      <c r="N702" s="11"/>
      <c r="O702" s="19"/>
      <c r="P702" s="12"/>
      <c r="Q702" s="12"/>
      <c r="R702" s="20"/>
      <c r="S702" s="13"/>
      <c r="T702" s="13"/>
      <c r="U702" s="21"/>
    </row>
    <row r="703" spans="1:21" ht="13.2" x14ac:dyDescent="0.25">
      <c r="A703" s="9"/>
      <c r="B703" s="9"/>
      <c r="C703" s="9"/>
      <c r="D703" s="9"/>
      <c r="E703" s="9"/>
      <c r="F703" s="14"/>
      <c r="G703" s="15"/>
      <c r="H703" s="15"/>
      <c r="I703" s="15"/>
      <c r="J703" s="15"/>
      <c r="K703" s="15"/>
      <c r="L703" s="15"/>
      <c r="M703" s="11"/>
      <c r="N703" s="11"/>
      <c r="O703" s="19"/>
      <c r="P703" s="12"/>
      <c r="Q703" s="12"/>
      <c r="R703" s="20"/>
      <c r="S703" s="13"/>
      <c r="T703" s="13"/>
      <c r="U703" s="21"/>
    </row>
    <row r="704" spans="1:21" ht="13.2" x14ac:dyDescent="0.25">
      <c r="A704" s="9"/>
      <c r="B704" s="9"/>
      <c r="C704" s="9"/>
      <c r="D704" s="9"/>
      <c r="E704" s="9"/>
      <c r="F704" s="14"/>
      <c r="G704" s="15"/>
      <c r="H704" s="15"/>
      <c r="I704" s="15"/>
      <c r="J704" s="15"/>
      <c r="K704" s="15"/>
      <c r="L704" s="15"/>
      <c r="M704" s="11"/>
      <c r="N704" s="11"/>
      <c r="O704" s="19"/>
      <c r="P704" s="12"/>
      <c r="Q704" s="12"/>
      <c r="R704" s="20"/>
      <c r="S704" s="13"/>
      <c r="T704" s="13"/>
      <c r="U704" s="21"/>
    </row>
    <row r="705" spans="1:21" ht="13.2" x14ac:dyDescent="0.25">
      <c r="A705" s="9"/>
      <c r="B705" s="9"/>
      <c r="C705" s="9"/>
      <c r="D705" s="9"/>
      <c r="E705" s="9"/>
      <c r="F705" s="14"/>
      <c r="G705" s="15"/>
      <c r="H705" s="15"/>
      <c r="I705" s="15"/>
      <c r="J705" s="15"/>
      <c r="K705" s="15"/>
      <c r="L705" s="15"/>
      <c r="M705" s="11"/>
      <c r="N705" s="11"/>
      <c r="O705" s="19"/>
      <c r="P705" s="12"/>
      <c r="Q705" s="12"/>
      <c r="R705" s="20"/>
      <c r="S705" s="13"/>
      <c r="T705" s="13"/>
      <c r="U705" s="21"/>
    </row>
    <row r="706" spans="1:21" ht="13.2" x14ac:dyDescent="0.25">
      <c r="A706" s="9"/>
      <c r="B706" s="9"/>
      <c r="C706" s="9"/>
      <c r="D706" s="9"/>
      <c r="E706" s="9"/>
      <c r="F706" s="14"/>
      <c r="G706" s="15"/>
      <c r="H706" s="15"/>
      <c r="I706" s="15"/>
      <c r="J706" s="15"/>
      <c r="K706" s="15"/>
      <c r="L706" s="15"/>
      <c r="M706" s="11"/>
      <c r="N706" s="11"/>
      <c r="O706" s="19"/>
      <c r="P706" s="12"/>
      <c r="Q706" s="12"/>
      <c r="R706" s="20"/>
      <c r="S706" s="13"/>
      <c r="T706" s="13"/>
      <c r="U706" s="21"/>
    </row>
    <row r="707" spans="1:21" ht="13.2" x14ac:dyDescent="0.25">
      <c r="A707" s="9"/>
      <c r="B707" s="9"/>
      <c r="C707" s="9"/>
      <c r="D707" s="9"/>
      <c r="E707" s="9"/>
      <c r="F707" s="14"/>
      <c r="G707" s="15"/>
      <c r="H707" s="15"/>
      <c r="I707" s="15"/>
      <c r="J707" s="15"/>
      <c r="K707" s="15"/>
      <c r="L707" s="15"/>
      <c r="M707" s="11"/>
      <c r="N707" s="11"/>
      <c r="O707" s="19"/>
      <c r="P707" s="12"/>
      <c r="Q707" s="12"/>
      <c r="R707" s="20"/>
      <c r="S707" s="13"/>
      <c r="T707" s="13"/>
      <c r="U707" s="21"/>
    </row>
    <row r="708" spans="1:21" ht="13.2" x14ac:dyDescent="0.25">
      <c r="A708" s="9"/>
      <c r="B708" s="9"/>
      <c r="C708" s="9"/>
      <c r="D708" s="9"/>
      <c r="E708" s="9"/>
      <c r="F708" s="14"/>
      <c r="G708" s="15"/>
      <c r="H708" s="15"/>
      <c r="I708" s="15"/>
      <c r="J708" s="15"/>
      <c r="K708" s="15"/>
      <c r="L708" s="15"/>
      <c r="M708" s="11"/>
      <c r="N708" s="11"/>
      <c r="O708" s="19"/>
      <c r="P708" s="12"/>
      <c r="Q708" s="12"/>
      <c r="R708" s="20"/>
      <c r="S708" s="13"/>
      <c r="T708" s="13"/>
      <c r="U708" s="21"/>
    </row>
    <row r="709" spans="1:21" ht="13.2" x14ac:dyDescent="0.25">
      <c r="A709" s="9"/>
      <c r="B709" s="9"/>
      <c r="C709" s="9"/>
      <c r="D709" s="9"/>
      <c r="E709" s="9"/>
      <c r="F709" s="14"/>
      <c r="G709" s="15"/>
      <c r="H709" s="15"/>
      <c r="I709" s="15"/>
      <c r="J709" s="15"/>
      <c r="K709" s="15"/>
      <c r="L709" s="15"/>
      <c r="M709" s="11"/>
      <c r="N709" s="11"/>
      <c r="O709" s="19"/>
      <c r="P709" s="12"/>
      <c r="Q709" s="12"/>
      <c r="R709" s="20"/>
      <c r="S709" s="13"/>
      <c r="T709" s="13"/>
      <c r="U709" s="21"/>
    </row>
    <row r="710" spans="1:21" ht="13.2" x14ac:dyDescent="0.25">
      <c r="A710" s="9"/>
      <c r="B710" s="9"/>
      <c r="C710" s="9"/>
      <c r="D710" s="9"/>
      <c r="E710" s="9"/>
      <c r="F710" s="14"/>
      <c r="G710" s="15"/>
      <c r="H710" s="15"/>
      <c r="I710" s="15"/>
      <c r="J710" s="15"/>
      <c r="K710" s="15"/>
      <c r="L710" s="15"/>
      <c r="M710" s="11"/>
      <c r="N710" s="11"/>
      <c r="O710" s="19"/>
      <c r="P710" s="12"/>
      <c r="Q710" s="12"/>
      <c r="R710" s="20"/>
      <c r="S710" s="13"/>
      <c r="T710" s="13"/>
      <c r="U710" s="21"/>
    </row>
    <row r="711" spans="1:21" ht="13.2" x14ac:dyDescent="0.25">
      <c r="A711" s="9"/>
      <c r="B711" s="9"/>
      <c r="C711" s="9"/>
      <c r="D711" s="9"/>
      <c r="E711" s="9"/>
      <c r="F711" s="14"/>
      <c r="G711" s="15"/>
      <c r="H711" s="15"/>
      <c r="I711" s="15"/>
      <c r="J711" s="15"/>
      <c r="K711" s="15"/>
      <c r="L711" s="15"/>
      <c r="M711" s="11"/>
      <c r="N711" s="11"/>
      <c r="O711" s="19"/>
      <c r="P711" s="12"/>
      <c r="Q711" s="12"/>
      <c r="R711" s="20"/>
      <c r="S711" s="13"/>
      <c r="T711" s="13"/>
      <c r="U711" s="21"/>
    </row>
    <row r="712" spans="1:21" ht="13.2" x14ac:dyDescent="0.25">
      <c r="A712" s="9"/>
      <c r="B712" s="9"/>
      <c r="C712" s="9"/>
      <c r="D712" s="9"/>
      <c r="E712" s="9"/>
      <c r="F712" s="14"/>
      <c r="G712" s="15"/>
      <c r="H712" s="15"/>
      <c r="I712" s="15"/>
      <c r="J712" s="15"/>
      <c r="K712" s="15"/>
      <c r="L712" s="15"/>
      <c r="M712" s="11"/>
      <c r="N712" s="11"/>
      <c r="O712" s="19"/>
      <c r="P712" s="12"/>
      <c r="Q712" s="12"/>
      <c r="R712" s="20"/>
      <c r="S712" s="13"/>
      <c r="T712" s="13"/>
      <c r="U712" s="21"/>
    </row>
    <row r="713" spans="1:21" ht="13.2" x14ac:dyDescent="0.25">
      <c r="A713" s="9"/>
      <c r="B713" s="9"/>
      <c r="C713" s="9"/>
      <c r="D713" s="9"/>
      <c r="E713" s="9"/>
      <c r="F713" s="14"/>
      <c r="G713" s="15"/>
      <c r="H713" s="15"/>
      <c r="I713" s="15"/>
      <c r="J713" s="15"/>
      <c r="K713" s="15"/>
      <c r="L713" s="15"/>
      <c r="M713" s="11"/>
      <c r="N713" s="11"/>
      <c r="O713" s="19"/>
      <c r="P713" s="12"/>
      <c r="Q713" s="12"/>
      <c r="R713" s="20"/>
      <c r="S713" s="13"/>
      <c r="T713" s="13"/>
      <c r="U713" s="21"/>
    </row>
    <row r="714" spans="1:21" ht="13.2" x14ac:dyDescent="0.25">
      <c r="A714" s="9"/>
      <c r="B714" s="9"/>
      <c r="C714" s="9"/>
      <c r="D714" s="9"/>
      <c r="E714" s="9"/>
      <c r="F714" s="14"/>
      <c r="G714" s="15"/>
      <c r="H714" s="15"/>
      <c r="I714" s="15"/>
      <c r="J714" s="15"/>
      <c r="K714" s="15"/>
      <c r="L714" s="15"/>
      <c r="M714" s="11"/>
      <c r="N714" s="11"/>
      <c r="O714" s="19"/>
      <c r="P714" s="12"/>
      <c r="Q714" s="12"/>
      <c r="R714" s="20"/>
      <c r="S714" s="13"/>
      <c r="T714" s="13"/>
      <c r="U714" s="21"/>
    </row>
    <row r="715" spans="1:21" ht="13.2" x14ac:dyDescent="0.25">
      <c r="A715" s="9"/>
      <c r="B715" s="9"/>
      <c r="C715" s="9"/>
      <c r="D715" s="9"/>
      <c r="E715" s="9"/>
      <c r="F715" s="14"/>
      <c r="G715" s="15"/>
      <c r="H715" s="15"/>
      <c r="I715" s="15"/>
      <c r="J715" s="15"/>
      <c r="K715" s="15"/>
      <c r="L715" s="15"/>
      <c r="M715" s="11"/>
      <c r="N715" s="11"/>
      <c r="O715" s="19"/>
      <c r="P715" s="12"/>
      <c r="Q715" s="12"/>
      <c r="R715" s="20"/>
      <c r="S715" s="13"/>
      <c r="T715" s="13"/>
      <c r="U715" s="21"/>
    </row>
    <row r="716" spans="1:21" ht="13.2" x14ac:dyDescent="0.25">
      <c r="A716" s="9"/>
      <c r="B716" s="9"/>
      <c r="C716" s="9"/>
      <c r="D716" s="9"/>
      <c r="E716" s="9"/>
      <c r="F716" s="14"/>
      <c r="G716" s="15"/>
      <c r="H716" s="15"/>
      <c r="I716" s="15"/>
      <c r="J716" s="15"/>
      <c r="K716" s="15"/>
      <c r="L716" s="15"/>
      <c r="M716" s="11"/>
      <c r="N716" s="11"/>
      <c r="O716" s="19"/>
      <c r="P716" s="12"/>
      <c r="Q716" s="12"/>
      <c r="R716" s="20"/>
      <c r="S716" s="13"/>
      <c r="T716" s="13"/>
      <c r="U716" s="21"/>
    </row>
    <row r="717" spans="1:21" ht="13.2" x14ac:dyDescent="0.25">
      <c r="A717" s="9"/>
      <c r="B717" s="9"/>
      <c r="C717" s="9"/>
      <c r="D717" s="9"/>
      <c r="E717" s="9"/>
      <c r="F717" s="14"/>
      <c r="G717" s="15"/>
      <c r="H717" s="15"/>
      <c r="I717" s="15"/>
      <c r="J717" s="15"/>
      <c r="K717" s="15"/>
      <c r="L717" s="15"/>
      <c r="M717" s="11"/>
      <c r="N717" s="11"/>
      <c r="O717" s="19"/>
      <c r="P717" s="12"/>
      <c r="Q717" s="12"/>
      <c r="R717" s="20"/>
      <c r="S717" s="13"/>
      <c r="T717" s="13"/>
      <c r="U717" s="21"/>
    </row>
    <row r="718" spans="1:21" ht="13.2" x14ac:dyDescent="0.25">
      <c r="A718" s="9"/>
      <c r="B718" s="9"/>
      <c r="C718" s="9"/>
      <c r="D718" s="9"/>
      <c r="E718" s="9"/>
      <c r="F718" s="14"/>
      <c r="G718" s="15"/>
      <c r="H718" s="15"/>
      <c r="I718" s="15"/>
      <c r="J718" s="15"/>
      <c r="K718" s="15"/>
      <c r="L718" s="15"/>
      <c r="M718" s="11"/>
      <c r="N718" s="11"/>
      <c r="O718" s="19"/>
      <c r="P718" s="12"/>
      <c r="Q718" s="12"/>
      <c r="R718" s="20"/>
      <c r="S718" s="13"/>
      <c r="T718" s="13"/>
      <c r="U718" s="21"/>
    </row>
    <row r="719" spans="1:21" ht="13.2" x14ac:dyDescent="0.25">
      <c r="A719" s="9"/>
      <c r="B719" s="9"/>
      <c r="C719" s="9"/>
      <c r="D719" s="9"/>
      <c r="E719" s="9"/>
      <c r="F719" s="14"/>
      <c r="G719" s="15"/>
      <c r="H719" s="15"/>
      <c r="I719" s="15"/>
      <c r="J719" s="15"/>
      <c r="K719" s="15"/>
      <c r="L719" s="15"/>
      <c r="M719" s="11"/>
      <c r="N719" s="11"/>
      <c r="O719" s="19"/>
      <c r="P719" s="12"/>
      <c r="Q719" s="12"/>
      <c r="R719" s="20"/>
      <c r="S719" s="13"/>
      <c r="T719" s="13"/>
      <c r="U719" s="21"/>
    </row>
    <row r="720" spans="1:21" ht="13.2" x14ac:dyDescent="0.25">
      <c r="A720" s="9"/>
      <c r="B720" s="9"/>
      <c r="C720" s="9"/>
      <c r="D720" s="9"/>
      <c r="E720" s="9"/>
      <c r="F720" s="14"/>
      <c r="G720" s="15"/>
      <c r="H720" s="15"/>
      <c r="I720" s="15"/>
      <c r="J720" s="15"/>
      <c r="K720" s="15"/>
      <c r="L720" s="15"/>
      <c r="M720" s="11"/>
      <c r="N720" s="11"/>
      <c r="O720" s="19"/>
      <c r="P720" s="12"/>
      <c r="Q720" s="12"/>
      <c r="R720" s="20"/>
      <c r="S720" s="13"/>
      <c r="T720" s="13"/>
      <c r="U720" s="21"/>
    </row>
    <row r="721" spans="1:21" ht="13.2" x14ac:dyDescent="0.25">
      <c r="A721" s="9"/>
      <c r="B721" s="9"/>
      <c r="C721" s="9"/>
      <c r="D721" s="9"/>
      <c r="E721" s="9"/>
      <c r="F721" s="14"/>
      <c r="G721" s="15"/>
      <c r="H721" s="15"/>
      <c r="I721" s="15"/>
      <c r="J721" s="15"/>
      <c r="K721" s="15"/>
      <c r="L721" s="15"/>
      <c r="M721" s="11"/>
      <c r="N721" s="11"/>
      <c r="O721" s="19"/>
      <c r="P721" s="12"/>
      <c r="Q721" s="12"/>
      <c r="R721" s="20"/>
      <c r="S721" s="13"/>
      <c r="T721" s="13"/>
      <c r="U721" s="21"/>
    </row>
    <row r="722" spans="1:21" ht="13.2" x14ac:dyDescent="0.25">
      <c r="A722" s="9"/>
      <c r="B722" s="9"/>
      <c r="C722" s="9"/>
      <c r="D722" s="9"/>
      <c r="E722" s="9"/>
      <c r="F722" s="14"/>
      <c r="G722" s="15"/>
      <c r="H722" s="15"/>
      <c r="I722" s="15"/>
      <c r="J722" s="15"/>
      <c r="K722" s="15"/>
      <c r="L722" s="15"/>
      <c r="M722" s="11"/>
      <c r="N722" s="11"/>
      <c r="O722" s="19"/>
      <c r="P722" s="12"/>
      <c r="Q722" s="12"/>
      <c r="R722" s="20"/>
      <c r="S722" s="13"/>
      <c r="T722" s="13"/>
      <c r="U722" s="21"/>
    </row>
    <row r="723" spans="1:21" ht="13.2" x14ac:dyDescent="0.25">
      <c r="A723" s="9"/>
      <c r="B723" s="9"/>
      <c r="C723" s="9"/>
      <c r="D723" s="9"/>
      <c r="E723" s="9"/>
      <c r="F723" s="14"/>
      <c r="G723" s="15"/>
      <c r="H723" s="15"/>
      <c r="I723" s="15"/>
      <c r="J723" s="15"/>
      <c r="K723" s="15"/>
      <c r="L723" s="15"/>
      <c r="M723" s="11"/>
      <c r="N723" s="11"/>
      <c r="O723" s="19"/>
      <c r="P723" s="12"/>
      <c r="Q723" s="12"/>
      <c r="R723" s="20"/>
      <c r="S723" s="13"/>
      <c r="T723" s="13"/>
      <c r="U723" s="21"/>
    </row>
    <row r="724" spans="1:21" ht="13.2" x14ac:dyDescent="0.25">
      <c r="A724" s="9"/>
      <c r="B724" s="9"/>
      <c r="C724" s="9"/>
      <c r="D724" s="9"/>
      <c r="E724" s="9"/>
      <c r="F724" s="14"/>
      <c r="G724" s="15"/>
      <c r="H724" s="15"/>
      <c r="I724" s="15"/>
      <c r="J724" s="15"/>
      <c r="K724" s="15"/>
      <c r="L724" s="15"/>
      <c r="M724" s="11"/>
      <c r="N724" s="11"/>
      <c r="O724" s="19"/>
      <c r="P724" s="12"/>
      <c r="Q724" s="12"/>
      <c r="R724" s="20"/>
      <c r="S724" s="13"/>
      <c r="T724" s="13"/>
      <c r="U724" s="21"/>
    </row>
    <row r="725" spans="1:21" ht="13.2" x14ac:dyDescent="0.25">
      <c r="A725" s="9"/>
      <c r="B725" s="9"/>
      <c r="C725" s="9"/>
      <c r="D725" s="9"/>
      <c r="E725" s="9"/>
      <c r="F725" s="14"/>
      <c r="G725" s="15"/>
      <c r="H725" s="15"/>
      <c r="I725" s="15"/>
      <c r="J725" s="15"/>
      <c r="K725" s="15"/>
      <c r="L725" s="15"/>
      <c r="M725" s="11"/>
      <c r="N725" s="11"/>
      <c r="O725" s="19"/>
      <c r="P725" s="12"/>
      <c r="Q725" s="12"/>
      <c r="R725" s="20"/>
      <c r="S725" s="13"/>
      <c r="T725" s="13"/>
      <c r="U725" s="21"/>
    </row>
    <row r="726" spans="1:21" ht="13.2" x14ac:dyDescent="0.25">
      <c r="A726" s="9"/>
      <c r="B726" s="9"/>
      <c r="C726" s="9"/>
      <c r="D726" s="9"/>
      <c r="E726" s="9"/>
      <c r="F726" s="14"/>
      <c r="G726" s="15"/>
      <c r="H726" s="15"/>
      <c r="I726" s="15"/>
      <c r="J726" s="15"/>
      <c r="K726" s="15"/>
      <c r="L726" s="15"/>
      <c r="M726" s="11"/>
      <c r="N726" s="11"/>
      <c r="O726" s="19"/>
      <c r="P726" s="12"/>
      <c r="Q726" s="12"/>
      <c r="R726" s="20"/>
      <c r="S726" s="13"/>
      <c r="T726" s="13"/>
      <c r="U726" s="21"/>
    </row>
    <row r="727" spans="1:21" ht="13.2" x14ac:dyDescent="0.25">
      <c r="A727" s="9"/>
      <c r="B727" s="9"/>
      <c r="C727" s="9"/>
      <c r="D727" s="9"/>
      <c r="E727" s="9"/>
      <c r="F727" s="14"/>
      <c r="G727" s="15"/>
      <c r="H727" s="15"/>
      <c r="I727" s="15"/>
      <c r="J727" s="15"/>
      <c r="K727" s="15"/>
      <c r="L727" s="15"/>
      <c r="M727" s="11"/>
      <c r="N727" s="11"/>
      <c r="O727" s="19"/>
      <c r="P727" s="12"/>
      <c r="Q727" s="12"/>
      <c r="R727" s="20"/>
      <c r="S727" s="13"/>
      <c r="T727" s="13"/>
      <c r="U727" s="21"/>
    </row>
    <row r="728" spans="1:21" ht="13.2" x14ac:dyDescent="0.25">
      <c r="A728" s="9"/>
      <c r="B728" s="9"/>
      <c r="C728" s="9"/>
      <c r="D728" s="9"/>
      <c r="E728" s="9"/>
      <c r="F728" s="14"/>
      <c r="G728" s="15"/>
      <c r="H728" s="15"/>
      <c r="I728" s="15"/>
      <c r="J728" s="15"/>
      <c r="K728" s="15"/>
      <c r="L728" s="15"/>
      <c r="M728" s="11"/>
      <c r="N728" s="11"/>
      <c r="O728" s="19"/>
      <c r="P728" s="12"/>
      <c r="Q728" s="12"/>
      <c r="R728" s="20"/>
      <c r="S728" s="13"/>
      <c r="T728" s="13"/>
      <c r="U728" s="21"/>
    </row>
    <row r="729" spans="1:21" ht="13.2" x14ac:dyDescent="0.25">
      <c r="A729" s="9"/>
      <c r="B729" s="9"/>
      <c r="C729" s="9"/>
      <c r="D729" s="9"/>
      <c r="E729" s="9"/>
      <c r="F729" s="14"/>
      <c r="G729" s="15"/>
      <c r="H729" s="15"/>
      <c r="I729" s="15"/>
      <c r="J729" s="15"/>
      <c r="K729" s="15"/>
      <c r="L729" s="15"/>
      <c r="M729" s="11"/>
      <c r="N729" s="11"/>
      <c r="O729" s="19"/>
      <c r="P729" s="12"/>
      <c r="Q729" s="12"/>
      <c r="R729" s="20"/>
      <c r="S729" s="13"/>
      <c r="T729" s="13"/>
      <c r="U729" s="21"/>
    </row>
    <row r="730" spans="1:21" ht="13.2" x14ac:dyDescent="0.25">
      <c r="A730" s="9"/>
      <c r="B730" s="9"/>
      <c r="C730" s="9"/>
      <c r="D730" s="9"/>
      <c r="E730" s="9"/>
      <c r="F730" s="14"/>
      <c r="G730" s="15"/>
      <c r="H730" s="15"/>
      <c r="I730" s="15"/>
      <c r="J730" s="15"/>
      <c r="K730" s="15"/>
      <c r="L730" s="15"/>
      <c r="M730" s="11"/>
      <c r="N730" s="11"/>
      <c r="O730" s="19"/>
      <c r="P730" s="12"/>
      <c r="Q730" s="12"/>
      <c r="R730" s="20"/>
      <c r="S730" s="13"/>
      <c r="T730" s="13"/>
      <c r="U730" s="21"/>
    </row>
    <row r="731" spans="1:21" ht="13.2" x14ac:dyDescent="0.25">
      <c r="A731" s="9"/>
      <c r="B731" s="9"/>
      <c r="C731" s="9"/>
      <c r="D731" s="9"/>
      <c r="E731" s="9"/>
      <c r="F731" s="14"/>
      <c r="G731" s="15"/>
      <c r="H731" s="15"/>
      <c r="I731" s="15"/>
      <c r="J731" s="15"/>
      <c r="K731" s="15"/>
      <c r="L731" s="15"/>
      <c r="M731" s="11"/>
      <c r="N731" s="11"/>
      <c r="O731" s="19"/>
      <c r="P731" s="12"/>
      <c r="Q731" s="12"/>
      <c r="R731" s="20"/>
      <c r="S731" s="13"/>
      <c r="T731" s="13"/>
      <c r="U731" s="21"/>
    </row>
    <row r="732" spans="1:21" ht="13.2" x14ac:dyDescent="0.25">
      <c r="A732" s="9"/>
      <c r="B732" s="9"/>
      <c r="C732" s="9"/>
      <c r="D732" s="9"/>
      <c r="E732" s="9"/>
      <c r="F732" s="14"/>
      <c r="G732" s="15"/>
      <c r="H732" s="15"/>
      <c r="I732" s="15"/>
      <c r="J732" s="15"/>
      <c r="K732" s="15"/>
      <c r="L732" s="15"/>
      <c r="M732" s="11"/>
      <c r="N732" s="11"/>
      <c r="O732" s="19"/>
      <c r="P732" s="12"/>
      <c r="Q732" s="12"/>
      <c r="R732" s="20"/>
      <c r="S732" s="13"/>
      <c r="T732" s="13"/>
      <c r="U732" s="21"/>
    </row>
    <row r="733" spans="1:21" ht="13.2" x14ac:dyDescent="0.25">
      <c r="A733" s="9"/>
      <c r="B733" s="9"/>
      <c r="C733" s="9"/>
      <c r="D733" s="9"/>
      <c r="E733" s="9"/>
      <c r="F733" s="14"/>
      <c r="G733" s="15"/>
      <c r="H733" s="15"/>
      <c r="I733" s="15"/>
      <c r="J733" s="15"/>
      <c r="K733" s="15"/>
      <c r="L733" s="15"/>
      <c r="M733" s="11"/>
      <c r="N733" s="11"/>
      <c r="O733" s="19"/>
      <c r="P733" s="12"/>
      <c r="Q733" s="12"/>
      <c r="R733" s="20"/>
      <c r="S733" s="13"/>
      <c r="T733" s="13"/>
      <c r="U733" s="21"/>
    </row>
    <row r="734" spans="1:21" ht="13.2" x14ac:dyDescent="0.25">
      <c r="A734" s="9"/>
      <c r="B734" s="9"/>
      <c r="C734" s="9"/>
      <c r="D734" s="9"/>
      <c r="E734" s="9"/>
      <c r="F734" s="14"/>
      <c r="G734" s="15"/>
      <c r="H734" s="15"/>
      <c r="I734" s="15"/>
      <c r="J734" s="15"/>
      <c r="K734" s="15"/>
      <c r="L734" s="15"/>
      <c r="M734" s="11"/>
      <c r="N734" s="11"/>
      <c r="O734" s="19"/>
      <c r="P734" s="12"/>
      <c r="Q734" s="12"/>
      <c r="R734" s="20"/>
      <c r="S734" s="13"/>
      <c r="T734" s="13"/>
      <c r="U734" s="21"/>
    </row>
    <row r="735" spans="1:21" ht="13.2" x14ac:dyDescent="0.25">
      <c r="A735" s="9"/>
      <c r="B735" s="9"/>
      <c r="C735" s="9"/>
      <c r="D735" s="9"/>
      <c r="E735" s="9"/>
      <c r="F735" s="14"/>
      <c r="G735" s="15"/>
      <c r="H735" s="15"/>
      <c r="I735" s="15"/>
      <c r="J735" s="15"/>
      <c r="K735" s="15"/>
      <c r="L735" s="15"/>
      <c r="M735" s="11"/>
      <c r="N735" s="11"/>
      <c r="O735" s="19"/>
      <c r="P735" s="12"/>
      <c r="Q735" s="12"/>
      <c r="R735" s="20"/>
      <c r="S735" s="13"/>
      <c r="T735" s="13"/>
      <c r="U735" s="21"/>
    </row>
    <row r="736" spans="1:21" ht="13.2" x14ac:dyDescent="0.25">
      <c r="A736" s="9"/>
      <c r="B736" s="9"/>
      <c r="C736" s="9"/>
      <c r="D736" s="9"/>
      <c r="E736" s="9"/>
      <c r="F736" s="14"/>
      <c r="G736" s="15"/>
      <c r="H736" s="15"/>
      <c r="I736" s="15"/>
      <c r="J736" s="15"/>
      <c r="K736" s="15"/>
      <c r="L736" s="15"/>
      <c r="M736" s="11"/>
      <c r="N736" s="11"/>
      <c r="O736" s="19"/>
      <c r="P736" s="12"/>
      <c r="Q736" s="12"/>
      <c r="R736" s="20"/>
      <c r="S736" s="13"/>
      <c r="T736" s="13"/>
      <c r="U736" s="21"/>
    </row>
    <row r="737" spans="1:21" ht="13.2" x14ac:dyDescent="0.25">
      <c r="A737" s="9"/>
      <c r="B737" s="9"/>
      <c r="C737" s="9"/>
      <c r="D737" s="9"/>
      <c r="E737" s="9"/>
      <c r="F737" s="14"/>
      <c r="G737" s="15"/>
      <c r="H737" s="15"/>
      <c r="I737" s="15"/>
      <c r="J737" s="15"/>
      <c r="K737" s="15"/>
      <c r="L737" s="15"/>
      <c r="M737" s="11"/>
      <c r="N737" s="11"/>
      <c r="O737" s="19"/>
      <c r="P737" s="12"/>
      <c r="Q737" s="12"/>
      <c r="R737" s="20"/>
      <c r="S737" s="13"/>
      <c r="T737" s="13"/>
      <c r="U737" s="21"/>
    </row>
    <row r="738" spans="1:21" ht="13.2" x14ac:dyDescent="0.25">
      <c r="A738" s="9"/>
      <c r="B738" s="9"/>
      <c r="C738" s="9"/>
      <c r="D738" s="9"/>
      <c r="E738" s="9"/>
      <c r="F738" s="14"/>
      <c r="G738" s="15"/>
      <c r="H738" s="15"/>
      <c r="I738" s="15"/>
      <c r="J738" s="15"/>
      <c r="K738" s="15"/>
      <c r="L738" s="15"/>
      <c r="M738" s="11"/>
      <c r="N738" s="11"/>
      <c r="O738" s="19"/>
      <c r="P738" s="12"/>
      <c r="Q738" s="12"/>
      <c r="R738" s="20"/>
      <c r="S738" s="13"/>
      <c r="T738" s="13"/>
      <c r="U738" s="21"/>
    </row>
    <row r="739" spans="1:21" ht="13.2" x14ac:dyDescent="0.25">
      <c r="A739" s="9"/>
      <c r="B739" s="9"/>
      <c r="C739" s="9"/>
      <c r="D739" s="9"/>
      <c r="E739" s="9"/>
      <c r="F739" s="14"/>
      <c r="G739" s="15"/>
      <c r="H739" s="15"/>
      <c r="I739" s="15"/>
      <c r="J739" s="15"/>
      <c r="K739" s="15"/>
      <c r="L739" s="15"/>
      <c r="M739" s="11"/>
      <c r="N739" s="11"/>
      <c r="O739" s="19"/>
      <c r="P739" s="12"/>
      <c r="Q739" s="12"/>
      <c r="R739" s="20"/>
      <c r="S739" s="13"/>
      <c r="T739" s="13"/>
      <c r="U739" s="21"/>
    </row>
    <row r="740" spans="1:21" ht="13.2" x14ac:dyDescent="0.25">
      <c r="A740" s="9"/>
      <c r="B740" s="9"/>
      <c r="C740" s="9"/>
      <c r="D740" s="9"/>
      <c r="E740" s="9"/>
      <c r="F740" s="14"/>
      <c r="G740" s="15"/>
      <c r="H740" s="15"/>
      <c r="I740" s="15"/>
      <c r="J740" s="15"/>
      <c r="K740" s="15"/>
      <c r="L740" s="15"/>
      <c r="M740" s="11"/>
      <c r="N740" s="11"/>
      <c r="O740" s="19"/>
      <c r="P740" s="12"/>
      <c r="Q740" s="12"/>
      <c r="R740" s="20"/>
      <c r="S740" s="13"/>
      <c r="T740" s="13"/>
      <c r="U740" s="21"/>
    </row>
    <row r="741" spans="1:21" ht="13.2" x14ac:dyDescent="0.25">
      <c r="A741" s="9"/>
      <c r="B741" s="9"/>
      <c r="C741" s="9"/>
      <c r="D741" s="9"/>
      <c r="E741" s="9"/>
      <c r="F741" s="14"/>
      <c r="G741" s="15"/>
      <c r="H741" s="15"/>
      <c r="I741" s="15"/>
      <c r="J741" s="15"/>
      <c r="K741" s="15"/>
      <c r="L741" s="15"/>
      <c r="M741" s="11"/>
      <c r="N741" s="11"/>
      <c r="O741" s="19"/>
      <c r="P741" s="12"/>
      <c r="Q741" s="12"/>
      <c r="R741" s="20"/>
      <c r="S741" s="13"/>
      <c r="T741" s="13"/>
      <c r="U741" s="21"/>
    </row>
    <row r="742" spans="1:21" ht="13.2" x14ac:dyDescent="0.25">
      <c r="A742" s="9"/>
      <c r="B742" s="9"/>
      <c r="C742" s="9"/>
      <c r="D742" s="9"/>
      <c r="E742" s="9"/>
      <c r="F742" s="14"/>
      <c r="G742" s="15"/>
      <c r="H742" s="15"/>
      <c r="I742" s="15"/>
      <c r="J742" s="15"/>
      <c r="K742" s="15"/>
      <c r="L742" s="15"/>
      <c r="M742" s="11"/>
      <c r="N742" s="11"/>
      <c r="O742" s="19"/>
      <c r="P742" s="12"/>
      <c r="Q742" s="12"/>
      <c r="R742" s="20"/>
      <c r="S742" s="13"/>
      <c r="T742" s="13"/>
      <c r="U742" s="21"/>
    </row>
    <row r="743" spans="1:21" ht="13.2" x14ac:dyDescent="0.25">
      <c r="A743" s="9"/>
      <c r="B743" s="9"/>
      <c r="C743" s="9"/>
      <c r="D743" s="9"/>
      <c r="E743" s="9"/>
      <c r="F743" s="14"/>
      <c r="G743" s="15"/>
      <c r="H743" s="15"/>
      <c r="I743" s="15"/>
      <c r="J743" s="15"/>
      <c r="K743" s="15"/>
      <c r="L743" s="15"/>
      <c r="M743" s="11"/>
      <c r="N743" s="11"/>
      <c r="O743" s="19"/>
      <c r="P743" s="12"/>
      <c r="Q743" s="12"/>
      <c r="R743" s="20"/>
      <c r="S743" s="13"/>
      <c r="T743" s="13"/>
      <c r="U743" s="21"/>
    </row>
    <row r="744" spans="1:21" ht="13.2" x14ac:dyDescent="0.25">
      <c r="A744" s="9"/>
      <c r="B744" s="9"/>
      <c r="C744" s="9"/>
      <c r="D744" s="9"/>
      <c r="E744" s="9"/>
      <c r="F744" s="14"/>
      <c r="G744" s="15"/>
      <c r="H744" s="15"/>
      <c r="I744" s="15"/>
      <c r="J744" s="15"/>
      <c r="K744" s="15"/>
      <c r="L744" s="15"/>
      <c r="M744" s="11"/>
      <c r="N744" s="11"/>
      <c r="O744" s="19"/>
      <c r="P744" s="12"/>
      <c r="Q744" s="12"/>
      <c r="R744" s="20"/>
      <c r="S744" s="13"/>
      <c r="T744" s="13"/>
      <c r="U744" s="21"/>
    </row>
    <row r="745" spans="1:21" ht="13.2" x14ac:dyDescent="0.25">
      <c r="A745" s="9"/>
      <c r="B745" s="9"/>
      <c r="C745" s="9"/>
      <c r="D745" s="9"/>
      <c r="E745" s="9"/>
      <c r="F745" s="14"/>
      <c r="G745" s="15"/>
      <c r="H745" s="15"/>
      <c r="I745" s="15"/>
      <c r="J745" s="15"/>
      <c r="K745" s="15"/>
      <c r="L745" s="15"/>
      <c r="M745" s="11"/>
      <c r="N745" s="11"/>
      <c r="O745" s="19"/>
      <c r="P745" s="12"/>
      <c r="Q745" s="12"/>
      <c r="R745" s="20"/>
      <c r="S745" s="13"/>
      <c r="T745" s="13"/>
      <c r="U745" s="21"/>
    </row>
    <row r="746" spans="1:21" ht="13.2" x14ac:dyDescent="0.25">
      <c r="A746" s="9"/>
      <c r="B746" s="9"/>
      <c r="C746" s="9"/>
      <c r="D746" s="9"/>
      <c r="E746" s="9"/>
      <c r="F746" s="14"/>
      <c r="G746" s="15"/>
      <c r="H746" s="15"/>
      <c r="I746" s="15"/>
      <c r="J746" s="15"/>
      <c r="K746" s="15"/>
      <c r="L746" s="15"/>
      <c r="M746" s="11"/>
      <c r="N746" s="11"/>
      <c r="O746" s="19"/>
      <c r="P746" s="12"/>
      <c r="Q746" s="12"/>
      <c r="R746" s="20"/>
      <c r="S746" s="13"/>
      <c r="T746" s="13"/>
      <c r="U746" s="21"/>
    </row>
    <row r="747" spans="1:21" ht="13.2" x14ac:dyDescent="0.25">
      <c r="A747" s="9"/>
      <c r="B747" s="9"/>
      <c r="C747" s="9"/>
      <c r="D747" s="9"/>
      <c r="E747" s="9"/>
      <c r="F747" s="14"/>
      <c r="G747" s="15"/>
      <c r="H747" s="15"/>
      <c r="I747" s="15"/>
      <c r="J747" s="15"/>
      <c r="K747" s="15"/>
      <c r="L747" s="15"/>
      <c r="M747" s="11"/>
      <c r="N747" s="11"/>
      <c r="O747" s="19"/>
      <c r="P747" s="12"/>
      <c r="Q747" s="12"/>
      <c r="R747" s="20"/>
      <c r="S747" s="13"/>
      <c r="T747" s="13"/>
      <c r="U747" s="21"/>
    </row>
    <row r="748" spans="1:21" ht="13.2" x14ac:dyDescent="0.25">
      <c r="A748" s="9"/>
      <c r="B748" s="9"/>
      <c r="C748" s="9"/>
      <c r="D748" s="9"/>
      <c r="E748" s="9"/>
      <c r="F748" s="14"/>
      <c r="G748" s="15"/>
      <c r="H748" s="15"/>
      <c r="I748" s="15"/>
      <c r="J748" s="15"/>
      <c r="K748" s="15"/>
      <c r="L748" s="15"/>
      <c r="M748" s="11"/>
      <c r="N748" s="11"/>
      <c r="O748" s="19"/>
      <c r="P748" s="12"/>
      <c r="Q748" s="12"/>
      <c r="R748" s="20"/>
      <c r="S748" s="13"/>
      <c r="T748" s="13"/>
      <c r="U748" s="21"/>
    </row>
    <row r="749" spans="1:21" ht="13.2" x14ac:dyDescent="0.25">
      <c r="A749" s="9"/>
      <c r="B749" s="9"/>
      <c r="C749" s="9"/>
      <c r="D749" s="9"/>
      <c r="E749" s="9"/>
      <c r="F749" s="14"/>
      <c r="G749" s="15"/>
      <c r="H749" s="15"/>
      <c r="I749" s="15"/>
      <c r="J749" s="15"/>
      <c r="K749" s="15"/>
      <c r="L749" s="15"/>
      <c r="M749" s="11"/>
      <c r="N749" s="11"/>
      <c r="O749" s="19"/>
      <c r="P749" s="12"/>
      <c r="Q749" s="12"/>
      <c r="R749" s="20"/>
      <c r="S749" s="13"/>
      <c r="T749" s="13"/>
      <c r="U749" s="21"/>
    </row>
    <row r="750" spans="1:21" ht="13.2" x14ac:dyDescent="0.25">
      <c r="A750" s="9"/>
      <c r="B750" s="9"/>
      <c r="C750" s="9"/>
      <c r="D750" s="9"/>
      <c r="E750" s="9"/>
      <c r="F750" s="14"/>
      <c r="G750" s="15"/>
      <c r="H750" s="15"/>
      <c r="I750" s="15"/>
      <c r="J750" s="15"/>
      <c r="K750" s="15"/>
      <c r="L750" s="15"/>
      <c r="M750" s="11"/>
      <c r="N750" s="11"/>
      <c r="O750" s="19"/>
      <c r="P750" s="12"/>
      <c r="Q750" s="12"/>
      <c r="R750" s="20"/>
      <c r="S750" s="13"/>
      <c r="T750" s="13"/>
      <c r="U750" s="21"/>
    </row>
    <row r="751" spans="1:21" ht="13.2" x14ac:dyDescent="0.25">
      <c r="A751" s="9"/>
      <c r="B751" s="9"/>
      <c r="C751" s="9"/>
      <c r="D751" s="9"/>
      <c r="E751" s="9"/>
      <c r="F751" s="14"/>
      <c r="G751" s="15"/>
      <c r="H751" s="15"/>
      <c r="I751" s="15"/>
      <c r="J751" s="15"/>
      <c r="K751" s="15"/>
      <c r="L751" s="15"/>
      <c r="M751" s="11"/>
      <c r="N751" s="11"/>
      <c r="O751" s="19"/>
      <c r="P751" s="12"/>
      <c r="Q751" s="12"/>
      <c r="R751" s="20"/>
      <c r="S751" s="13"/>
      <c r="T751" s="13"/>
      <c r="U751" s="21"/>
    </row>
    <row r="752" spans="1:21" ht="13.2" x14ac:dyDescent="0.25">
      <c r="A752" s="9"/>
      <c r="B752" s="9"/>
      <c r="C752" s="9"/>
      <c r="D752" s="9"/>
      <c r="E752" s="9"/>
      <c r="F752" s="14"/>
      <c r="G752" s="15"/>
      <c r="H752" s="15"/>
      <c r="I752" s="15"/>
      <c r="J752" s="15"/>
      <c r="K752" s="15"/>
      <c r="L752" s="15"/>
      <c r="M752" s="11"/>
      <c r="N752" s="11"/>
      <c r="O752" s="19"/>
      <c r="P752" s="12"/>
      <c r="Q752" s="12"/>
      <c r="R752" s="20"/>
      <c r="S752" s="13"/>
      <c r="T752" s="13"/>
      <c r="U752" s="21"/>
    </row>
    <row r="753" spans="1:21" ht="13.2" x14ac:dyDescent="0.25">
      <c r="A753" s="9"/>
      <c r="B753" s="9"/>
      <c r="C753" s="9"/>
      <c r="D753" s="9"/>
      <c r="E753" s="9"/>
      <c r="F753" s="14"/>
      <c r="G753" s="15"/>
      <c r="H753" s="15"/>
      <c r="I753" s="15"/>
      <c r="J753" s="15"/>
      <c r="K753" s="15"/>
      <c r="L753" s="15"/>
      <c r="M753" s="11"/>
      <c r="N753" s="11"/>
      <c r="O753" s="19"/>
      <c r="P753" s="12"/>
      <c r="Q753" s="12"/>
      <c r="R753" s="20"/>
      <c r="S753" s="13"/>
      <c r="T753" s="13"/>
      <c r="U753" s="21"/>
    </row>
    <row r="754" spans="1:21" ht="13.2" x14ac:dyDescent="0.25">
      <c r="A754" s="9"/>
      <c r="B754" s="9"/>
      <c r="C754" s="9"/>
      <c r="D754" s="9"/>
      <c r="E754" s="9"/>
      <c r="F754" s="14"/>
      <c r="G754" s="15"/>
      <c r="H754" s="15"/>
      <c r="I754" s="15"/>
      <c r="J754" s="15"/>
      <c r="K754" s="15"/>
      <c r="L754" s="15"/>
      <c r="M754" s="11"/>
      <c r="N754" s="11"/>
      <c r="O754" s="19"/>
      <c r="P754" s="12"/>
      <c r="Q754" s="12"/>
      <c r="R754" s="20"/>
      <c r="S754" s="13"/>
      <c r="T754" s="13"/>
      <c r="U754" s="21"/>
    </row>
    <row r="755" spans="1:21" ht="13.2" x14ac:dyDescent="0.25">
      <c r="A755" s="9"/>
      <c r="B755" s="9"/>
      <c r="C755" s="9"/>
      <c r="D755" s="9"/>
      <c r="E755" s="9"/>
      <c r="F755" s="14"/>
      <c r="G755" s="15"/>
      <c r="H755" s="15"/>
      <c r="I755" s="15"/>
      <c r="J755" s="15"/>
      <c r="K755" s="15"/>
      <c r="L755" s="15"/>
      <c r="M755" s="11"/>
      <c r="N755" s="11"/>
      <c r="O755" s="19"/>
      <c r="P755" s="12"/>
      <c r="Q755" s="12"/>
      <c r="R755" s="20"/>
      <c r="S755" s="13"/>
      <c r="T755" s="13"/>
      <c r="U755" s="21"/>
    </row>
    <row r="756" spans="1:21" ht="13.2" x14ac:dyDescent="0.25">
      <c r="A756" s="9"/>
      <c r="B756" s="9"/>
      <c r="C756" s="9"/>
      <c r="D756" s="9"/>
      <c r="E756" s="9"/>
      <c r="F756" s="14"/>
      <c r="G756" s="15"/>
      <c r="H756" s="15"/>
      <c r="I756" s="15"/>
      <c r="J756" s="15"/>
      <c r="K756" s="15"/>
      <c r="L756" s="15"/>
      <c r="M756" s="11"/>
      <c r="N756" s="11"/>
      <c r="O756" s="19"/>
      <c r="P756" s="12"/>
      <c r="Q756" s="12"/>
      <c r="R756" s="20"/>
      <c r="S756" s="13"/>
      <c r="T756" s="13"/>
      <c r="U756" s="21"/>
    </row>
    <row r="757" spans="1:21" ht="13.2" x14ac:dyDescent="0.25">
      <c r="A757" s="9"/>
      <c r="B757" s="9"/>
      <c r="C757" s="9"/>
      <c r="D757" s="9"/>
      <c r="E757" s="9"/>
      <c r="F757" s="14"/>
      <c r="G757" s="15"/>
      <c r="H757" s="15"/>
      <c r="I757" s="15"/>
      <c r="J757" s="15"/>
      <c r="K757" s="15"/>
      <c r="L757" s="15"/>
      <c r="M757" s="11"/>
      <c r="N757" s="11"/>
      <c r="O757" s="19"/>
      <c r="P757" s="12"/>
      <c r="Q757" s="12"/>
      <c r="R757" s="20"/>
      <c r="S757" s="13"/>
      <c r="T757" s="13"/>
      <c r="U757" s="21"/>
    </row>
    <row r="758" spans="1:21" ht="13.2" x14ac:dyDescent="0.25">
      <c r="A758" s="9"/>
      <c r="B758" s="9"/>
      <c r="C758" s="9"/>
      <c r="D758" s="9"/>
      <c r="E758" s="9"/>
      <c r="F758" s="14"/>
      <c r="G758" s="15"/>
      <c r="H758" s="15"/>
      <c r="I758" s="15"/>
      <c r="J758" s="15"/>
      <c r="K758" s="15"/>
      <c r="L758" s="15"/>
      <c r="M758" s="11"/>
      <c r="N758" s="11"/>
      <c r="O758" s="19"/>
      <c r="P758" s="12"/>
      <c r="Q758" s="12"/>
      <c r="R758" s="20"/>
      <c r="S758" s="13"/>
      <c r="T758" s="13"/>
      <c r="U758" s="21"/>
    </row>
    <row r="759" spans="1:21" ht="13.2" x14ac:dyDescent="0.25">
      <c r="A759" s="9"/>
      <c r="B759" s="9"/>
      <c r="C759" s="9"/>
      <c r="D759" s="9"/>
      <c r="E759" s="9"/>
      <c r="F759" s="14"/>
      <c r="G759" s="15"/>
      <c r="H759" s="15"/>
      <c r="I759" s="15"/>
      <c r="J759" s="15"/>
      <c r="K759" s="15"/>
      <c r="L759" s="15"/>
      <c r="M759" s="11"/>
      <c r="N759" s="11"/>
      <c r="O759" s="19"/>
      <c r="P759" s="12"/>
      <c r="Q759" s="12"/>
      <c r="R759" s="20"/>
      <c r="S759" s="13"/>
      <c r="T759" s="13"/>
      <c r="U759" s="21"/>
    </row>
    <row r="760" spans="1:21" ht="13.2" x14ac:dyDescent="0.25">
      <c r="A760" s="9"/>
      <c r="B760" s="9"/>
      <c r="C760" s="9"/>
      <c r="D760" s="9"/>
      <c r="E760" s="9"/>
      <c r="F760" s="14"/>
      <c r="G760" s="15"/>
      <c r="H760" s="15"/>
      <c r="I760" s="15"/>
      <c r="J760" s="15"/>
      <c r="K760" s="15"/>
      <c r="L760" s="15"/>
      <c r="M760" s="11"/>
      <c r="N760" s="11"/>
      <c r="O760" s="19"/>
      <c r="P760" s="12"/>
      <c r="Q760" s="12"/>
      <c r="R760" s="20"/>
      <c r="S760" s="13"/>
      <c r="T760" s="13"/>
      <c r="U760" s="21"/>
    </row>
    <row r="761" spans="1:21" ht="13.2" x14ac:dyDescent="0.25">
      <c r="A761" s="9"/>
      <c r="B761" s="9"/>
      <c r="C761" s="9"/>
      <c r="D761" s="9"/>
      <c r="E761" s="9"/>
      <c r="F761" s="14"/>
      <c r="G761" s="15"/>
      <c r="H761" s="15"/>
      <c r="I761" s="15"/>
      <c r="J761" s="15"/>
      <c r="K761" s="15"/>
      <c r="L761" s="15"/>
      <c r="M761" s="11"/>
      <c r="N761" s="11"/>
      <c r="O761" s="19"/>
      <c r="P761" s="12"/>
      <c r="Q761" s="12"/>
      <c r="R761" s="20"/>
      <c r="S761" s="13"/>
      <c r="T761" s="13"/>
      <c r="U761" s="21"/>
    </row>
    <row r="762" spans="1:21" ht="13.2" x14ac:dyDescent="0.25">
      <c r="A762" s="9"/>
      <c r="B762" s="9"/>
      <c r="C762" s="9"/>
      <c r="D762" s="9"/>
      <c r="E762" s="9"/>
      <c r="F762" s="14"/>
      <c r="G762" s="15"/>
      <c r="H762" s="15"/>
      <c r="I762" s="15"/>
      <c r="J762" s="15"/>
      <c r="K762" s="15"/>
      <c r="L762" s="15"/>
      <c r="M762" s="11"/>
      <c r="N762" s="11"/>
      <c r="O762" s="19"/>
      <c r="P762" s="12"/>
      <c r="Q762" s="12"/>
      <c r="R762" s="20"/>
      <c r="S762" s="13"/>
      <c r="T762" s="13"/>
      <c r="U762" s="21"/>
    </row>
    <row r="763" spans="1:21" ht="13.2" x14ac:dyDescent="0.25">
      <c r="A763" s="9"/>
      <c r="B763" s="9"/>
      <c r="C763" s="9"/>
      <c r="D763" s="9"/>
      <c r="E763" s="9"/>
      <c r="F763" s="14"/>
      <c r="G763" s="15"/>
      <c r="H763" s="15"/>
      <c r="I763" s="15"/>
      <c r="J763" s="15"/>
      <c r="K763" s="15"/>
      <c r="L763" s="15"/>
      <c r="M763" s="11"/>
      <c r="N763" s="11"/>
      <c r="O763" s="19"/>
      <c r="P763" s="12"/>
      <c r="Q763" s="12"/>
      <c r="R763" s="20"/>
      <c r="S763" s="13"/>
      <c r="T763" s="13"/>
      <c r="U763" s="21"/>
    </row>
    <row r="764" spans="1:21" ht="13.2" x14ac:dyDescent="0.25">
      <c r="A764" s="9"/>
      <c r="B764" s="9"/>
      <c r="C764" s="9"/>
      <c r="D764" s="9"/>
      <c r="E764" s="9"/>
      <c r="F764" s="14"/>
      <c r="G764" s="15"/>
      <c r="H764" s="15"/>
      <c r="I764" s="15"/>
      <c r="J764" s="15"/>
      <c r="K764" s="15"/>
      <c r="L764" s="15"/>
      <c r="M764" s="11"/>
      <c r="N764" s="11"/>
      <c r="O764" s="19"/>
      <c r="P764" s="12"/>
      <c r="Q764" s="12"/>
      <c r="R764" s="20"/>
      <c r="S764" s="13"/>
      <c r="T764" s="13"/>
      <c r="U764" s="21"/>
    </row>
    <row r="765" spans="1:21" ht="13.2" x14ac:dyDescent="0.25">
      <c r="A765" s="9"/>
      <c r="B765" s="9"/>
      <c r="C765" s="9"/>
      <c r="D765" s="9"/>
      <c r="E765" s="9"/>
      <c r="F765" s="14"/>
      <c r="G765" s="15"/>
      <c r="H765" s="15"/>
      <c r="I765" s="15"/>
      <c r="J765" s="15"/>
      <c r="K765" s="15"/>
      <c r="L765" s="15"/>
      <c r="M765" s="11"/>
      <c r="N765" s="11"/>
      <c r="O765" s="19"/>
      <c r="P765" s="12"/>
      <c r="Q765" s="12"/>
      <c r="R765" s="20"/>
      <c r="S765" s="13"/>
      <c r="T765" s="13"/>
      <c r="U765" s="21"/>
    </row>
    <row r="766" spans="1:21" ht="13.2" x14ac:dyDescent="0.25">
      <c r="A766" s="9"/>
      <c r="B766" s="9"/>
      <c r="C766" s="9"/>
      <c r="D766" s="9"/>
      <c r="E766" s="9"/>
      <c r="F766" s="14"/>
      <c r="G766" s="15"/>
      <c r="H766" s="15"/>
      <c r="I766" s="15"/>
      <c r="J766" s="15"/>
      <c r="K766" s="15"/>
      <c r="L766" s="15"/>
      <c r="M766" s="11"/>
      <c r="N766" s="11"/>
      <c r="O766" s="19"/>
      <c r="P766" s="12"/>
      <c r="Q766" s="12"/>
      <c r="R766" s="20"/>
      <c r="S766" s="13"/>
      <c r="T766" s="13"/>
      <c r="U766" s="21"/>
    </row>
    <row r="767" spans="1:21" ht="13.2" x14ac:dyDescent="0.25">
      <c r="A767" s="9"/>
      <c r="B767" s="9"/>
      <c r="C767" s="9"/>
      <c r="D767" s="9"/>
      <c r="E767" s="9"/>
      <c r="F767" s="14"/>
      <c r="G767" s="15"/>
      <c r="H767" s="15"/>
      <c r="I767" s="15"/>
      <c r="J767" s="15"/>
      <c r="K767" s="15"/>
      <c r="L767" s="15"/>
      <c r="M767" s="11"/>
      <c r="N767" s="11"/>
      <c r="O767" s="19"/>
      <c r="P767" s="12"/>
      <c r="Q767" s="12"/>
      <c r="R767" s="20"/>
      <c r="S767" s="13"/>
      <c r="T767" s="13"/>
      <c r="U767" s="21"/>
    </row>
    <row r="768" spans="1:21" ht="13.2" x14ac:dyDescent="0.25">
      <c r="A768" s="9"/>
      <c r="B768" s="9"/>
      <c r="C768" s="9"/>
      <c r="D768" s="9"/>
      <c r="E768" s="9"/>
      <c r="F768" s="14"/>
      <c r="G768" s="15"/>
      <c r="H768" s="15"/>
      <c r="I768" s="15"/>
      <c r="J768" s="15"/>
      <c r="K768" s="15"/>
      <c r="L768" s="15"/>
      <c r="M768" s="11"/>
      <c r="N768" s="11"/>
      <c r="O768" s="19"/>
      <c r="P768" s="12"/>
      <c r="Q768" s="12"/>
      <c r="R768" s="20"/>
      <c r="S768" s="13"/>
      <c r="T768" s="13"/>
      <c r="U768" s="21"/>
    </row>
    <row r="769" spans="1:21" ht="13.2" x14ac:dyDescent="0.25">
      <c r="A769" s="9"/>
      <c r="B769" s="9"/>
      <c r="C769" s="9"/>
      <c r="D769" s="9"/>
      <c r="E769" s="9"/>
      <c r="F769" s="14"/>
      <c r="G769" s="15"/>
      <c r="H769" s="15"/>
      <c r="I769" s="15"/>
      <c r="J769" s="15"/>
      <c r="K769" s="15"/>
      <c r="L769" s="15"/>
      <c r="M769" s="11"/>
      <c r="N769" s="11"/>
      <c r="O769" s="19"/>
      <c r="P769" s="12"/>
      <c r="Q769" s="12"/>
      <c r="R769" s="20"/>
      <c r="S769" s="13"/>
      <c r="T769" s="13"/>
      <c r="U769" s="21"/>
    </row>
    <row r="770" spans="1:21" ht="13.2" x14ac:dyDescent="0.25">
      <c r="A770" s="9"/>
      <c r="B770" s="9"/>
      <c r="C770" s="9"/>
      <c r="D770" s="9"/>
      <c r="E770" s="9"/>
      <c r="F770" s="14"/>
      <c r="G770" s="15"/>
      <c r="H770" s="15"/>
      <c r="I770" s="15"/>
      <c r="J770" s="15"/>
      <c r="K770" s="15"/>
      <c r="L770" s="15"/>
      <c r="M770" s="11"/>
      <c r="N770" s="11"/>
      <c r="O770" s="19"/>
      <c r="P770" s="12"/>
      <c r="Q770" s="12"/>
      <c r="R770" s="20"/>
      <c r="S770" s="13"/>
      <c r="T770" s="13"/>
      <c r="U770" s="21"/>
    </row>
    <row r="771" spans="1:21" ht="13.2" x14ac:dyDescent="0.25">
      <c r="A771" s="9"/>
      <c r="B771" s="9"/>
      <c r="C771" s="9"/>
      <c r="D771" s="9"/>
      <c r="E771" s="9"/>
      <c r="F771" s="14"/>
      <c r="G771" s="15"/>
      <c r="H771" s="15"/>
      <c r="I771" s="15"/>
      <c r="J771" s="15"/>
      <c r="K771" s="15"/>
      <c r="L771" s="15"/>
      <c r="M771" s="11"/>
      <c r="N771" s="11"/>
      <c r="O771" s="19"/>
      <c r="P771" s="12"/>
      <c r="Q771" s="12"/>
      <c r="R771" s="20"/>
      <c r="S771" s="13"/>
      <c r="T771" s="13"/>
      <c r="U771" s="21"/>
    </row>
    <row r="772" spans="1:21" ht="13.2" x14ac:dyDescent="0.25">
      <c r="A772" s="9"/>
      <c r="B772" s="9"/>
      <c r="C772" s="9"/>
      <c r="D772" s="9"/>
      <c r="E772" s="9"/>
      <c r="F772" s="14"/>
      <c r="G772" s="15"/>
      <c r="H772" s="15"/>
      <c r="I772" s="15"/>
      <c r="J772" s="15"/>
      <c r="K772" s="15"/>
      <c r="L772" s="15"/>
      <c r="M772" s="11"/>
      <c r="N772" s="11"/>
      <c r="O772" s="19"/>
      <c r="P772" s="12"/>
      <c r="Q772" s="12"/>
      <c r="R772" s="20"/>
      <c r="S772" s="13"/>
      <c r="T772" s="13"/>
      <c r="U772" s="21"/>
    </row>
    <row r="773" spans="1:21" ht="13.2" x14ac:dyDescent="0.25">
      <c r="A773" s="9"/>
      <c r="B773" s="9"/>
      <c r="C773" s="9"/>
      <c r="D773" s="9"/>
      <c r="E773" s="9"/>
      <c r="F773" s="14"/>
      <c r="G773" s="15"/>
      <c r="H773" s="15"/>
      <c r="I773" s="15"/>
      <c r="J773" s="15"/>
      <c r="K773" s="15"/>
      <c r="L773" s="15"/>
      <c r="M773" s="11"/>
      <c r="N773" s="11"/>
      <c r="O773" s="19"/>
      <c r="P773" s="12"/>
      <c r="Q773" s="12"/>
      <c r="R773" s="20"/>
      <c r="S773" s="13"/>
      <c r="T773" s="13"/>
      <c r="U773" s="21"/>
    </row>
    <row r="774" spans="1:21" ht="13.2" x14ac:dyDescent="0.25">
      <c r="A774" s="9"/>
      <c r="B774" s="9"/>
      <c r="C774" s="9"/>
      <c r="D774" s="9"/>
      <c r="E774" s="9"/>
      <c r="F774" s="14"/>
      <c r="G774" s="15"/>
      <c r="H774" s="15"/>
      <c r="I774" s="15"/>
      <c r="J774" s="15"/>
      <c r="K774" s="15"/>
      <c r="L774" s="15"/>
      <c r="M774" s="11"/>
      <c r="N774" s="11"/>
      <c r="O774" s="19"/>
      <c r="P774" s="12"/>
      <c r="Q774" s="12"/>
      <c r="R774" s="20"/>
      <c r="S774" s="13"/>
      <c r="T774" s="13"/>
      <c r="U774" s="21"/>
    </row>
    <row r="775" spans="1:21" ht="13.2" x14ac:dyDescent="0.25">
      <c r="A775" s="9"/>
      <c r="B775" s="9"/>
      <c r="C775" s="9"/>
      <c r="D775" s="9"/>
      <c r="E775" s="9"/>
      <c r="F775" s="14"/>
      <c r="G775" s="15"/>
      <c r="H775" s="15"/>
      <c r="I775" s="15"/>
      <c r="J775" s="15"/>
      <c r="K775" s="15"/>
      <c r="L775" s="15"/>
      <c r="M775" s="11"/>
      <c r="N775" s="11"/>
      <c r="O775" s="19"/>
      <c r="P775" s="12"/>
      <c r="Q775" s="12"/>
      <c r="R775" s="20"/>
      <c r="S775" s="13"/>
      <c r="T775" s="13"/>
      <c r="U775" s="21"/>
    </row>
    <row r="776" spans="1:21" ht="13.2" x14ac:dyDescent="0.25">
      <c r="A776" s="9"/>
      <c r="B776" s="9"/>
      <c r="C776" s="9"/>
      <c r="D776" s="9"/>
      <c r="E776" s="9"/>
      <c r="F776" s="14"/>
      <c r="G776" s="15"/>
      <c r="H776" s="15"/>
      <c r="I776" s="15"/>
      <c r="J776" s="15"/>
      <c r="K776" s="15"/>
      <c r="L776" s="15"/>
      <c r="M776" s="11"/>
      <c r="N776" s="11"/>
      <c r="O776" s="19"/>
      <c r="P776" s="12"/>
      <c r="Q776" s="12"/>
      <c r="R776" s="20"/>
      <c r="S776" s="13"/>
      <c r="T776" s="13"/>
      <c r="U776" s="21"/>
    </row>
    <row r="777" spans="1:21" ht="13.2" x14ac:dyDescent="0.25">
      <c r="A777" s="9"/>
      <c r="B777" s="9"/>
      <c r="C777" s="9"/>
      <c r="D777" s="9"/>
      <c r="E777" s="9"/>
      <c r="F777" s="14"/>
      <c r="G777" s="15"/>
      <c r="H777" s="15"/>
      <c r="I777" s="15"/>
      <c r="J777" s="15"/>
      <c r="K777" s="15"/>
      <c r="L777" s="15"/>
      <c r="M777" s="11"/>
      <c r="N777" s="11"/>
      <c r="O777" s="19"/>
      <c r="P777" s="12"/>
      <c r="Q777" s="12"/>
      <c r="R777" s="20"/>
      <c r="S777" s="13"/>
      <c r="T777" s="13"/>
      <c r="U777" s="21"/>
    </row>
    <row r="778" spans="1:21" ht="13.2" x14ac:dyDescent="0.25">
      <c r="A778" s="9"/>
      <c r="B778" s="9"/>
      <c r="C778" s="9"/>
      <c r="D778" s="9"/>
      <c r="E778" s="9"/>
      <c r="F778" s="14"/>
      <c r="G778" s="15"/>
      <c r="H778" s="15"/>
      <c r="I778" s="15"/>
      <c r="J778" s="15"/>
      <c r="K778" s="15"/>
      <c r="L778" s="15"/>
      <c r="M778" s="11"/>
      <c r="N778" s="11"/>
      <c r="O778" s="19"/>
      <c r="P778" s="12"/>
      <c r="Q778" s="12"/>
      <c r="R778" s="20"/>
      <c r="S778" s="13"/>
      <c r="T778" s="13"/>
      <c r="U778" s="21"/>
    </row>
    <row r="779" spans="1:21" ht="13.2" x14ac:dyDescent="0.25">
      <c r="A779" s="9"/>
      <c r="B779" s="9"/>
      <c r="C779" s="9"/>
      <c r="D779" s="9"/>
      <c r="E779" s="9"/>
      <c r="F779" s="14"/>
      <c r="G779" s="15"/>
      <c r="H779" s="15"/>
      <c r="I779" s="15"/>
      <c r="J779" s="15"/>
      <c r="K779" s="15"/>
      <c r="L779" s="15"/>
      <c r="M779" s="11"/>
      <c r="N779" s="11"/>
      <c r="O779" s="19"/>
      <c r="P779" s="12"/>
      <c r="Q779" s="12"/>
      <c r="R779" s="20"/>
      <c r="S779" s="13"/>
      <c r="T779" s="13"/>
      <c r="U779" s="21"/>
    </row>
    <row r="780" spans="1:21" ht="13.2" x14ac:dyDescent="0.25">
      <c r="A780" s="9"/>
      <c r="B780" s="9"/>
      <c r="C780" s="9"/>
      <c r="D780" s="9"/>
      <c r="E780" s="9"/>
      <c r="F780" s="14"/>
      <c r="G780" s="15"/>
      <c r="H780" s="15"/>
      <c r="I780" s="15"/>
      <c r="J780" s="15"/>
      <c r="K780" s="15"/>
      <c r="L780" s="15"/>
      <c r="M780" s="11"/>
      <c r="N780" s="11"/>
      <c r="O780" s="19"/>
      <c r="P780" s="12"/>
      <c r="Q780" s="12"/>
      <c r="R780" s="20"/>
      <c r="S780" s="13"/>
      <c r="T780" s="13"/>
      <c r="U780" s="21"/>
    </row>
    <row r="781" spans="1:21" ht="13.2" x14ac:dyDescent="0.25">
      <c r="A781" s="9"/>
      <c r="B781" s="9"/>
      <c r="C781" s="9"/>
      <c r="D781" s="9"/>
      <c r="E781" s="9"/>
      <c r="F781" s="14"/>
      <c r="G781" s="15"/>
      <c r="H781" s="15"/>
      <c r="I781" s="15"/>
      <c r="J781" s="15"/>
      <c r="K781" s="15"/>
      <c r="L781" s="15"/>
      <c r="M781" s="11"/>
      <c r="N781" s="11"/>
      <c r="O781" s="19"/>
      <c r="P781" s="12"/>
      <c r="Q781" s="12"/>
      <c r="R781" s="20"/>
      <c r="S781" s="13"/>
      <c r="T781" s="13"/>
      <c r="U781" s="21"/>
    </row>
    <row r="782" spans="1:21" ht="13.2" x14ac:dyDescent="0.25">
      <c r="A782" s="9"/>
      <c r="B782" s="9"/>
      <c r="C782" s="9"/>
      <c r="D782" s="9"/>
      <c r="E782" s="9"/>
      <c r="F782" s="14"/>
      <c r="G782" s="15"/>
      <c r="H782" s="15"/>
      <c r="I782" s="15"/>
      <c r="J782" s="15"/>
      <c r="K782" s="15"/>
      <c r="L782" s="15"/>
      <c r="M782" s="11"/>
      <c r="N782" s="11"/>
      <c r="O782" s="19"/>
      <c r="P782" s="12"/>
      <c r="Q782" s="12"/>
      <c r="R782" s="20"/>
      <c r="S782" s="13"/>
      <c r="T782" s="13"/>
      <c r="U782" s="21"/>
    </row>
    <row r="783" spans="1:21" ht="13.2" x14ac:dyDescent="0.25">
      <c r="A783" s="9"/>
      <c r="B783" s="9"/>
      <c r="C783" s="9"/>
      <c r="D783" s="9"/>
      <c r="E783" s="9"/>
      <c r="F783" s="14"/>
      <c r="G783" s="15"/>
      <c r="H783" s="15"/>
      <c r="I783" s="15"/>
      <c r="J783" s="15"/>
      <c r="K783" s="15"/>
      <c r="L783" s="15"/>
      <c r="M783" s="11"/>
      <c r="N783" s="11"/>
      <c r="O783" s="19"/>
      <c r="P783" s="12"/>
      <c r="Q783" s="12"/>
      <c r="R783" s="20"/>
      <c r="S783" s="13"/>
      <c r="T783" s="13"/>
      <c r="U783" s="21"/>
    </row>
    <row r="784" spans="1:21" ht="13.2" x14ac:dyDescent="0.25">
      <c r="A784" s="9"/>
      <c r="B784" s="9"/>
      <c r="C784" s="9"/>
      <c r="D784" s="9"/>
      <c r="E784" s="9"/>
      <c r="F784" s="14"/>
      <c r="G784" s="15"/>
      <c r="H784" s="15"/>
      <c r="I784" s="15"/>
      <c r="J784" s="15"/>
      <c r="K784" s="15"/>
      <c r="L784" s="15"/>
      <c r="M784" s="11"/>
      <c r="N784" s="11"/>
      <c r="O784" s="19"/>
      <c r="P784" s="12"/>
      <c r="Q784" s="12"/>
      <c r="R784" s="20"/>
      <c r="S784" s="13"/>
      <c r="T784" s="13"/>
      <c r="U784" s="21"/>
    </row>
    <row r="785" spans="1:21" ht="13.2" x14ac:dyDescent="0.25">
      <c r="A785" s="9"/>
      <c r="B785" s="9"/>
      <c r="C785" s="9"/>
      <c r="D785" s="9"/>
      <c r="E785" s="9"/>
      <c r="F785" s="14"/>
      <c r="G785" s="15"/>
      <c r="H785" s="15"/>
      <c r="I785" s="15"/>
      <c r="J785" s="15"/>
      <c r="K785" s="15"/>
      <c r="L785" s="15"/>
      <c r="M785" s="11"/>
      <c r="N785" s="11"/>
      <c r="O785" s="19"/>
      <c r="P785" s="12"/>
      <c r="Q785" s="12"/>
      <c r="R785" s="20"/>
      <c r="S785" s="13"/>
      <c r="T785" s="13"/>
      <c r="U785" s="21"/>
    </row>
    <row r="786" spans="1:21" ht="13.2" x14ac:dyDescent="0.25">
      <c r="A786" s="9"/>
      <c r="B786" s="9"/>
      <c r="C786" s="9"/>
      <c r="D786" s="9"/>
      <c r="E786" s="9"/>
      <c r="F786" s="14"/>
      <c r="G786" s="15"/>
      <c r="H786" s="15"/>
      <c r="I786" s="15"/>
      <c r="J786" s="15"/>
      <c r="K786" s="15"/>
      <c r="L786" s="15"/>
      <c r="M786" s="11"/>
      <c r="N786" s="11"/>
      <c r="O786" s="19"/>
      <c r="P786" s="12"/>
      <c r="Q786" s="12"/>
      <c r="R786" s="20"/>
      <c r="S786" s="13"/>
      <c r="T786" s="13"/>
      <c r="U786" s="21"/>
    </row>
    <row r="787" spans="1:21" ht="13.2" x14ac:dyDescent="0.25">
      <c r="A787" s="9"/>
      <c r="B787" s="9"/>
      <c r="C787" s="9"/>
      <c r="D787" s="9"/>
      <c r="E787" s="9"/>
      <c r="F787" s="14"/>
      <c r="G787" s="15"/>
      <c r="H787" s="15"/>
      <c r="I787" s="15"/>
      <c r="J787" s="15"/>
      <c r="K787" s="15"/>
      <c r="L787" s="15"/>
      <c r="M787" s="11"/>
      <c r="N787" s="11"/>
      <c r="O787" s="19"/>
      <c r="P787" s="12"/>
      <c r="Q787" s="12"/>
      <c r="R787" s="20"/>
      <c r="S787" s="13"/>
      <c r="T787" s="13"/>
      <c r="U787" s="21"/>
    </row>
    <row r="788" spans="1:21" ht="13.2" x14ac:dyDescent="0.25">
      <c r="A788" s="9"/>
      <c r="B788" s="9"/>
      <c r="C788" s="9"/>
      <c r="D788" s="9"/>
      <c r="E788" s="9"/>
      <c r="F788" s="14"/>
      <c r="G788" s="15"/>
      <c r="H788" s="15"/>
      <c r="I788" s="15"/>
      <c r="J788" s="15"/>
      <c r="K788" s="15"/>
      <c r="L788" s="15"/>
      <c r="M788" s="11"/>
      <c r="N788" s="11"/>
      <c r="O788" s="19"/>
      <c r="P788" s="12"/>
      <c r="Q788" s="12"/>
      <c r="R788" s="20"/>
      <c r="S788" s="13"/>
      <c r="T788" s="13"/>
      <c r="U788" s="21"/>
    </row>
    <row r="789" spans="1:21" ht="13.2" x14ac:dyDescent="0.25">
      <c r="A789" s="9"/>
      <c r="B789" s="9"/>
      <c r="C789" s="9"/>
      <c r="D789" s="9"/>
      <c r="E789" s="9"/>
      <c r="F789" s="14"/>
      <c r="G789" s="15"/>
      <c r="H789" s="15"/>
      <c r="I789" s="15"/>
      <c r="J789" s="15"/>
      <c r="K789" s="15"/>
      <c r="L789" s="15"/>
      <c r="M789" s="11"/>
      <c r="N789" s="11"/>
      <c r="O789" s="19"/>
      <c r="P789" s="12"/>
      <c r="Q789" s="12"/>
      <c r="R789" s="20"/>
      <c r="S789" s="13"/>
      <c r="T789" s="13"/>
      <c r="U789" s="21"/>
    </row>
    <row r="790" spans="1:21" ht="13.2" x14ac:dyDescent="0.25">
      <c r="A790" s="9"/>
      <c r="B790" s="9"/>
      <c r="C790" s="9"/>
      <c r="D790" s="9"/>
      <c r="E790" s="9"/>
      <c r="F790" s="14"/>
      <c r="G790" s="15"/>
      <c r="H790" s="15"/>
      <c r="I790" s="15"/>
      <c r="J790" s="15"/>
      <c r="K790" s="15"/>
      <c r="L790" s="15"/>
      <c r="M790" s="11"/>
      <c r="N790" s="11"/>
      <c r="O790" s="19"/>
      <c r="P790" s="12"/>
      <c r="Q790" s="12"/>
      <c r="R790" s="20"/>
      <c r="S790" s="13"/>
      <c r="T790" s="13"/>
      <c r="U790" s="21"/>
    </row>
    <row r="791" spans="1:21" ht="13.2" x14ac:dyDescent="0.25">
      <c r="A791" s="9"/>
      <c r="B791" s="9"/>
      <c r="C791" s="9"/>
      <c r="D791" s="9"/>
      <c r="E791" s="9"/>
      <c r="F791" s="14"/>
      <c r="G791" s="15"/>
      <c r="H791" s="15"/>
      <c r="I791" s="15"/>
      <c r="J791" s="15"/>
      <c r="K791" s="15"/>
      <c r="L791" s="15"/>
      <c r="M791" s="11"/>
      <c r="N791" s="11"/>
      <c r="O791" s="19"/>
      <c r="P791" s="12"/>
      <c r="Q791" s="12"/>
      <c r="R791" s="20"/>
      <c r="S791" s="13"/>
      <c r="T791" s="13"/>
      <c r="U791" s="21"/>
    </row>
    <row r="792" spans="1:21" ht="13.2" x14ac:dyDescent="0.25">
      <c r="A792" s="9"/>
      <c r="B792" s="9"/>
      <c r="C792" s="9"/>
      <c r="D792" s="9"/>
      <c r="E792" s="9"/>
      <c r="F792" s="14"/>
      <c r="G792" s="15"/>
      <c r="H792" s="15"/>
      <c r="I792" s="15"/>
      <c r="J792" s="15"/>
      <c r="K792" s="15"/>
      <c r="L792" s="15"/>
      <c r="M792" s="11"/>
      <c r="N792" s="11"/>
      <c r="O792" s="19"/>
      <c r="P792" s="12"/>
      <c r="Q792" s="12"/>
      <c r="R792" s="20"/>
      <c r="S792" s="13"/>
      <c r="T792" s="13"/>
      <c r="U792" s="21"/>
    </row>
    <row r="793" spans="1:21" ht="13.2" x14ac:dyDescent="0.25">
      <c r="A793" s="9"/>
      <c r="B793" s="9"/>
      <c r="C793" s="9"/>
      <c r="D793" s="9"/>
      <c r="E793" s="9"/>
      <c r="F793" s="14"/>
      <c r="G793" s="15"/>
      <c r="H793" s="15"/>
      <c r="I793" s="15"/>
      <c r="J793" s="15"/>
      <c r="K793" s="15"/>
      <c r="L793" s="15"/>
      <c r="M793" s="11"/>
      <c r="N793" s="11"/>
      <c r="O793" s="19"/>
      <c r="P793" s="12"/>
      <c r="Q793" s="12"/>
      <c r="R793" s="20"/>
      <c r="S793" s="13"/>
      <c r="T793" s="13"/>
      <c r="U793" s="21"/>
    </row>
    <row r="794" spans="1:21" ht="13.2" x14ac:dyDescent="0.25">
      <c r="A794" s="9"/>
      <c r="B794" s="9"/>
      <c r="C794" s="9"/>
      <c r="D794" s="9"/>
      <c r="E794" s="9"/>
      <c r="F794" s="14"/>
      <c r="G794" s="15"/>
      <c r="H794" s="15"/>
      <c r="I794" s="15"/>
      <c r="J794" s="15"/>
      <c r="K794" s="15"/>
      <c r="L794" s="15"/>
      <c r="M794" s="11"/>
      <c r="N794" s="11"/>
      <c r="O794" s="19"/>
      <c r="P794" s="12"/>
      <c r="Q794" s="12"/>
      <c r="R794" s="20"/>
      <c r="S794" s="13"/>
      <c r="T794" s="13"/>
      <c r="U794" s="21"/>
    </row>
    <row r="795" spans="1:21" ht="13.2" x14ac:dyDescent="0.25">
      <c r="A795" s="9"/>
      <c r="B795" s="9"/>
      <c r="C795" s="9"/>
      <c r="D795" s="9"/>
      <c r="E795" s="9"/>
      <c r="F795" s="14"/>
      <c r="G795" s="15"/>
      <c r="H795" s="15"/>
      <c r="I795" s="15"/>
      <c r="J795" s="15"/>
      <c r="K795" s="15"/>
      <c r="L795" s="15"/>
      <c r="M795" s="11"/>
      <c r="N795" s="11"/>
      <c r="O795" s="19"/>
      <c r="P795" s="12"/>
      <c r="Q795" s="12"/>
      <c r="R795" s="20"/>
      <c r="S795" s="13"/>
      <c r="T795" s="13"/>
      <c r="U795" s="21"/>
    </row>
    <row r="796" spans="1:21" ht="13.2" x14ac:dyDescent="0.25">
      <c r="A796" s="9"/>
      <c r="B796" s="9"/>
      <c r="C796" s="9"/>
      <c r="D796" s="9"/>
      <c r="E796" s="9"/>
      <c r="F796" s="14"/>
      <c r="G796" s="15"/>
      <c r="H796" s="15"/>
      <c r="I796" s="15"/>
      <c r="J796" s="15"/>
      <c r="K796" s="15"/>
      <c r="L796" s="15"/>
      <c r="M796" s="11"/>
      <c r="N796" s="11"/>
      <c r="O796" s="19"/>
      <c r="P796" s="12"/>
      <c r="Q796" s="12"/>
      <c r="R796" s="20"/>
      <c r="S796" s="13"/>
      <c r="T796" s="13"/>
      <c r="U796" s="21"/>
    </row>
    <row r="797" spans="1:21" ht="13.2" x14ac:dyDescent="0.25">
      <c r="A797" s="9"/>
      <c r="B797" s="9"/>
      <c r="C797" s="9"/>
      <c r="D797" s="9"/>
      <c r="E797" s="9"/>
      <c r="F797" s="14"/>
      <c r="G797" s="15"/>
      <c r="H797" s="15"/>
      <c r="I797" s="15"/>
      <c r="J797" s="15"/>
      <c r="K797" s="15"/>
      <c r="L797" s="15"/>
      <c r="M797" s="11"/>
      <c r="N797" s="11"/>
      <c r="O797" s="19"/>
      <c r="P797" s="12"/>
      <c r="Q797" s="12"/>
      <c r="R797" s="20"/>
      <c r="S797" s="13"/>
      <c r="T797" s="13"/>
      <c r="U797" s="21"/>
    </row>
    <row r="798" spans="1:21" ht="13.2" x14ac:dyDescent="0.25">
      <c r="A798" s="9"/>
      <c r="B798" s="9"/>
      <c r="C798" s="9"/>
      <c r="D798" s="9"/>
      <c r="E798" s="9"/>
      <c r="F798" s="14"/>
      <c r="G798" s="15"/>
      <c r="H798" s="15"/>
      <c r="I798" s="15"/>
      <c r="J798" s="15"/>
      <c r="K798" s="15"/>
      <c r="L798" s="15"/>
      <c r="M798" s="11"/>
      <c r="N798" s="11"/>
      <c r="O798" s="19"/>
      <c r="P798" s="12"/>
      <c r="Q798" s="12"/>
      <c r="R798" s="20"/>
      <c r="S798" s="13"/>
      <c r="T798" s="13"/>
      <c r="U798" s="21"/>
    </row>
    <row r="799" spans="1:21" ht="13.2" x14ac:dyDescent="0.25">
      <c r="A799" s="9"/>
      <c r="B799" s="9"/>
      <c r="C799" s="9"/>
      <c r="D799" s="9"/>
      <c r="E799" s="9"/>
      <c r="F799" s="14"/>
      <c r="G799" s="15"/>
      <c r="H799" s="15"/>
      <c r="I799" s="15"/>
      <c r="J799" s="15"/>
      <c r="K799" s="15"/>
      <c r="L799" s="15"/>
      <c r="M799" s="11"/>
      <c r="N799" s="11"/>
      <c r="O799" s="19"/>
      <c r="P799" s="12"/>
      <c r="Q799" s="12"/>
      <c r="R799" s="20"/>
      <c r="S799" s="13"/>
      <c r="T799" s="13"/>
      <c r="U799" s="21"/>
    </row>
    <row r="800" spans="1:21" ht="13.2" x14ac:dyDescent="0.25">
      <c r="A800" s="9"/>
      <c r="B800" s="9"/>
      <c r="C800" s="9"/>
      <c r="D800" s="9"/>
      <c r="E800" s="9"/>
      <c r="F800" s="14"/>
      <c r="G800" s="15"/>
      <c r="H800" s="15"/>
      <c r="I800" s="15"/>
      <c r="J800" s="15"/>
      <c r="K800" s="15"/>
      <c r="L800" s="15"/>
      <c r="M800" s="11"/>
      <c r="N800" s="11"/>
      <c r="O800" s="19"/>
      <c r="P800" s="12"/>
      <c r="Q800" s="12"/>
      <c r="R800" s="20"/>
      <c r="S800" s="13"/>
      <c r="T800" s="13"/>
      <c r="U800" s="21"/>
    </row>
    <row r="801" spans="1:21" ht="13.2" x14ac:dyDescent="0.25">
      <c r="A801" s="9"/>
      <c r="B801" s="9"/>
      <c r="C801" s="9"/>
      <c r="D801" s="9"/>
      <c r="E801" s="9"/>
      <c r="F801" s="14"/>
      <c r="G801" s="15"/>
      <c r="H801" s="15"/>
      <c r="I801" s="15"/>
      <c r="J801" s="15"/>
      <c r="K801" s="15"/>
      <c r="L801" s="15"/>
      <c r="M801" s="11"/>
      <c r="N801" s="11"/>
      <c r="O801" s="19"/>
      <c r="P801" s="12"/>
      <c r="Q801" s="12"/>
      <c r="R801" s="20"/>
      <c r="S801" s="13"/>
      <c r="T801" s="13"/>
      <c r="U801" s="21"/>
    </row>
    <row r="802" spans="1:21" ht="13.2" x14ac:dyDescent="0.25">
      <c r="A802" s="9"/>
      <c r="B802" s="9"/>
      <c r="C802" s="9"/>
      <c r="D802" s="9"/>
      <c r="E802" s="9"/>
      <c r="F802" s="14"/>
      <c r="G802" s="15"/>
      <c r="H802" s="15"/>
      <c r="I802" s="15"/>
      <c r="J802" s="15"/>
      <c r="K802" s="15"/>
      <c r="L802" s="15"/>
      <c r="M802" s="11"/>
      <c r="N802" s="11"/>
      <c r="O802" s="19"/>
      <c r="P802" s="12"/>
      <c r="Q802" s="12"/>
      <c r="R802" s="20"/>
      <c r="S802" s="13"/>
      <c r="T802" s="13"/>
      <c r="U802" s="21"/>
    </row>
    <row r="803" spans="1:21" ht="13.2" x14ac:dyDescent="0.25">
      <c r="A803" s="9"/>
      <c r="B803" s="9"/>
      <c r="C803" s="9"/>
      <c r="D803" s="9"/>
      <c r="E803" s="9"/>
      <c r="F803" s="14"/>
      <c r="G803" s="15"/>
      <c r="H803" s="15"/>
      <c r="I803" s="15"/>
      <c r="J803" s="15"/>
      <c r="K803" s="15"/>
      <c r="L803" s="15"/>
      <c r="M803" s="11"/>
      <c r="N803" s="11"/>
      <c r="O803" s="19"/>
      <c r="P803" s="12"/>
      <c r="Q803" s="12"/>
      <c r="R803" s="20"/>
      <c r="S803" s="13"/>
      <c r="T803" s="13"/>
      <c r="U803" s="21"/>
    </row>
    <row r="804" spans="1:21" ht="13.2" x14ac:dyDescent="0.25">
      <c r="A804" s="9"/>
      <c r="B804" s="9"/>
      <c r="C804" s="9"/>
      <c r="D804" s="9"/>
      <c r="E804" s="9"/>
      <c r="F804" s="14"/>
      <c r="G804" s="15"/>
      <c r="H804" s="15"/>
      <c r="I804" s="15"/>
      <c r="J804" s="15"/>
      <c r="K804" s="15"/>
      <c r="L804" s="15"/>
      <c r="M804" s="11"/>
      <c r="N804" s="11"/>
      <c r="O804" s="19"/>
      <c r="P804" s="12"/>
      <c r="Q804" s="12"/>
      <c r="R804" s="20"/>
      <c r="S804" s="13"/>
      <c r="T804" s="13"/>
      <c r="U804" s="21"/>
    </row>
    <row r="805" spans="1:21" ht="13.2" x14ac:dyDescent="0.25">
      <c r="A805" s="9"/>
      <c r="B805" s="9"/>
      <c r="C805" s="9"/>
      <c r="D805" s="9"/>
      <c r="E805" s="9"/>
      <c r="F805" s="14"/>
      <c r="G805" s="15"/>
      <c r="H805" s="15"/>
      <c r="I805" s="15"/>
      <c r="J805" s="15"/>
      <c r="K805" s="15"/>
      <c r="L805" s="15"/>
      <c r="M805" s="11"/>
      <c r="N805" s="11"/>
      <c r="O805" s="19"/>
      <c r="P805" s="12"/>
      <c r="Q805" s="12"/>
      <c r="R805" s="20"/>
      <c r="S805" s="13"/>
      <c r="T805" s="13"/>
      <c r="U805" s="21"/>
    </row>
    <row r="806" spans="1:21" ht="13.2" x14ac:dyDescent="0.25">
      <c r="A806" s="9"/>
      <c r="B806" s="9"/>
      <c r="C806" s="9"/>
      <c r="D806" s="9"/>
      <c r="E806" s="9"/>
      <c r="F806" s="14"/>
      <c r="G806" s="15"/>
      <c r="H806" s="15"/>
      <c r="I806" s="15"/>
      <c r="J806" s="15"/>
      <c r="K806" s="15"/>
      <c r="L806" s="15"/>
      <c r="M806" s="11"/>
      <c r="N806" s="11"/>
      <c r="O806" s="19"/>
      <c r="P806" s="12"/>
      <c r="Q806" s="12"/>
      <c r="R806" s="20"/>
      <c r="S806" s="13"/>
      <c r="T806" s="13"/>
      <c r="U806" s="21"/>
    </row>
    <row r="807" spans="1:21" ht="13.2" x14ac:dyDescent="0.25">
      <c r="A807" s="9"/>
      <c r="B807" s="9"/>
      <c r="C807" s="9"/>
      <c r="D807" s="9"/>
      <c r="E807" s="9"/>
      <c r="F807" s="14"/>
      <c r="G807" s="15"/>
      <c r="H807" s="15"/>
      <c r="I807" s="15"/>
      <c r="J807" s="15"/>
      <c r="K807" s="15"/>
      <c r="L807" s="15"/>
      <c r="M807" s="11"/>
      <c r="N807" s="11"/>
      <c r="O807" s="19"/>
      <c r="P807" s="12"/>
      <c r="Q807" s="12"/>
      <c r="R807" s="20"/>
      <c r="S807" s="13"/>
      <c r="T807" s="13"/>
      <c r="U807" s="21"/>
    </row>
    <row r="808" spans="1:21" ht="13.2" x14ac:dyDescent="0.25">
      <c r="A808" s="9"/>
      <c r="B808" s="9"/>
      <c r="C808" s="9"/>
      <c r="D808" s="9"/>
      <c r="E808" s="9"/>
      <c r="F808" s="14"/>
      <c r="G808" s="15"/>
      <c r="H808" s="15"/>
      <c r="I808" s="15"/>
      <c r="J808" s="15"/>
      <c r="K808" s="15"/>
      <c r="L808" s="15"/>
      <c r="M808" s="11"/>
      <c r="N808" s="11"/>
      <c r="O808" s="19"/>
      <c r="P808" s="12"/>
      <c r="Q808" s="12"/>
      <c r="R808" s="20"/>
      <c r="S808" s="13"/>
      <c r="T808" s="13"/>
      <c r="U808" s="21"/>
    </row>
    <row r="809" spans="1:21" ht="13.2" x14ac:dyDescent="0.25">
      <c r="A809" s="9"/>
      <c r="B809" s="9"/>
      <c r="C809" s="9"/>
      <c r="D809" s="9"/>
      <c r="E809" s="9"/>
      <c r="F809" s="14"/>
      <c r="G809" s="15"/>
      <c r="H809" s="15"/>
      <c r="I809" s="15"/>
      <c r="J809" s="15"/>
      <c r="K809" s="15"/>
      <c r="L809" s="15"/>
      <c r="M809" s="11"/>
      <c r="N809" s="11"/>
      <c r="O809" s="19"/>
      <c r="P809" s="12"/>
      <c r="Q809" s="12"/>
      <c r="R809" s="20"/>
      <c r="S809" s="13"/>
      <c r="T809" s="13"/>
      <c r="U809" s="21"/>
    </row>
    <row r="810" spans="1:21" ht="13.2" x14ac:dyDescent="0.25">
      <c r="A810" s="9"/>
      <c r="B810" s="9"/>
      <c r="C810" s="9"/>
      <c r="D810" s="9"/>
      <c r="E810" s="9"/>
      <c r="F810" s="14"/>
      <c r="G810" s="15"/>
      <c r="H810" s="15"/>
      <c r="I810" s="15"/>
      <c r="J810" s="15"/>
      <c r="K810" s="15"/>
      <c r="L810" s="15"/>
      <c r="M810" s="11"/>
      <c r="N810" s="11"/>
      <c r="O810" s="19"/>
      <c r="P810" s="12"/>
      <c r="Q810" s="12"/>
      <c r="R810" s="20"/>
      <c r="S810" s="13"/>
      <c r="T810" s="13"/>
      <c r="U810" s="21"/>
    </row>
    <row r="811" spans="1:21" ht="13.2" x14ac:dyDescent="0.25">
      <c r="A811" s="9"/>
      <c r="B811" s="9"/>
      <c r="C811" s="9"/>
      <c r="D811" s="9"/>
      <c r="E811" s="9"/>
      <c r="F811" s="14"/>
      <c r="G811" s="15"/>
      <c r="H811" s="15"/>
      <c r="I811" s="15"/>
      <c r="J811" s="15"/>
      <c r="K811" s="15"/>
      <c r="L811" s="15"/>
      <c r="M811" s="11"/>
      <c r="N811" s="11"/>
      <c r="O811" s="19"/>
      <c r="P811" s="12"/>
      <c r="Q811" s="12"/>
      <c r="R811" s="20"/>
      <c r="S811" s="13"/>
      <c r="T811" s="13"/>
      <c r="U811" s="21"/>
    </row>
    <row r="812" spans="1:21" ht="13.2" x14ac:dyDescent="0.25">
      <c r="A812" s="9"/>
      <c r="B812" s="9"/>
      <c r="C812" s="9"/>
      <c r="D812" s="9"/>
      <c r="E812" s="9"/>
      <c r="F812" s="14"/>
      <c r="G812" s="15"/>
      <c r="H812" s="15"/>
      <c r="I812" s="15"/>
      <c r="J812" s="15"/>
      <c r="K812" s="15"/>
      <c r="L812" s="15"/>
      <c r="M812" s="11"/>
      <c r="N812" s="11"/>
      <c r="O812" s="19"/>
      <c r="P812" s="12"/>
      <c r="Q812" s="12"/>
      <c r="R812" s="20"/>
      <c r="S812" s="13"/>
      <c r="T812" s="13"/>
      <c r="U812" s="21"/>
    </row>
    <row r="813" spans="1:21" ht="13.2" x14ac:dyDescent="0.25">
      <c r="A813" s="9"/>
      <c r="B813" s="9"/>
      <c r="C813" s="9"/>
      <c r="D813" s="9"/>
      <c r="E813" s="9"/>
      <c r="F813" s="14"/>
      <c r="G813" s="15"/>
      <c r="H813" s="15"/>
      <c r="I813" s="15"/>
      <c r="J813" s="15"/>
      <c r="K813" s="15"/>
      <c r="L813" s="15"/>
      <c r="M813" s="11"/>
      <c r="N813" s="11"/>
      <c r="O813" s="19"/>
      <c r="P813" s="12"/>
      <c r="Q813" s="12"/>
      <c r="R813" s="20"/>
      <c r="S813" s="13"/>
      <c r="T813" s="13"/>
      <c r="U813" s="21"/>
    </row>
    <row r="814" spans="1:21" ht="13.2" x14ac:dyDescent="0.25">
      <c r="A814" s="9"/>
      <c r="B814" s="9"/>
      <c r="C814" s="9"/>
      <c r="D814" s="9"/>
      <c r="E814" s="9"/>
      <c r="F814" s="14"/>
      <c r="G814" s="15"/>
      <c r="H814" s="15"/>
      <c r="I814" s="15"/>
      <c r="J814" s="15"/>
      <c r="K814" s="15"/>
      <c r="L814" s="15"/>
      <c r="M814" s="11"/>
      <c r="N814" s="11"/>
      <c r="O814" s="19"/>
      <c r="P814" s="12"/>
      <c r="Q814" s="12"/>
      <c r="R814" s="20"/>
      <c r="S814" s="13"/>
      <c r="T814" s="13"/>
      <c r="U814" s="21"/>
    </row>
    <row r="815" spans="1:21" ht="13.2" x14ac:dyDescent="0.25">
      <c r="A815" s="9"/>
      <c r="B815" s="9"/>
      <c r="C815" s="9"/>
      <c r="D815" s="9"/>
      <c r="E815" s="9"/>
      <c r="F815" s="14"/>
      <c r="G815" s="15"/>
      <c r="H815" s="15"/>
      <c r="I815" s="15"/>
      <c r="J815" s="15"/>
      <c r="K815" s="15"/>
      <c r="L815" s="15"/>
      <c r="M815" s="11"/>
      <c r="N815" s="11"/>
      <c r="O815" s="19"/>
      <c r="P815" s="12"/>
      <c r="Q815" s="12"/>
      <c r="R815" s="20"/>
      <c r="S815" s="13"/>
      <c r="T815" s="13"/>
      <c r="U815" s="21"/>
    </row>
    <row r="816" spans="1:21" ht="13.2" x14ac:dyDescent="0.25">
      <c r="A816" s="9"/>
      <c r="B816" s="9"/>
      <c r="C816" s="9"/>
      <c r="D816" s="9"/>
      <c r="E816" s="9"/>
      <c r="F816" s="14"/>
      <c r="G816" s="15"/>
      <c r="H816" s="15"/>
      <c r="I816" s="15"/>
      <c r="J816" s="15"/>
      <c r="K816" s="15"/>
      <c r="L816" s="15"/>
      <c r="M816" s="11"/>
      <c r="N816" s="11"/>
      <c r="O816" s="19"/>
      <c r="P816" s="12"/>
      <c r="Q816" s="12"/>
      <c r="R816" s="20"/>
      <c r="S816" s="13"/>
      <c r="T816" s="13"/>
      <c r="U816" s="21"/>
    </row>
    <row r="817" spans="1:21" ht="13.2" x14ac:dyDescent="0.25">
      <c r="A817" s="9"/>
      <c r="B817" s="9"/>
      <c r="C817" s="9"/>
      <c r="D817" s="9"/>
      <c r="E817" s="9"/>
      <c r="F817" s="14"/>
      <c r="G817" s="15"/>
      <c r="H817" s="15"/>
      <c r="I817" s="15"/>
      <c r="J817" s="15"/>
      <c r="K817" s="15"/>
      <c r="L817" s="15"/>
      <c r="M817" s="11"/>
      <c r="N817" s="11"/>
      <c r="O817" s="19"/>
      <c r="P817" s="12"/>
      <c r="Q817" s="12"/>
      <c r="R817" s="20"/>
      <c r="S817" s="13"/>
      <c r="T817" s="13"/>
      <c r="U817" s="21"/>
    </row>
    <row r="818" spans="1:21" ht="13.2" x14ac:dyDescent="0.25">
      <c r="A818" s="9"/>
      <c r="B818" s="9"/>
      <c r="C818" s="9"/>
      <c r="D818" s="9"/>
      <c r="E818" s="9"/>
      <c r="F818" s="14"/>
      <c r="G818" s="15"/>
      <c r="H818" s="15"/>
      <c r="I818" s="15"/>
      <c r="J818" s="15"/>
      <c r="K818" s="15"/>
      <c r="L818" s="15"/>
      <c r="M818" s="11"/>
      <c r="N818" s="11"/>
      <c r="O818" s="19"/>
      <c r="P818" s="12"/>
      <c r="Q818" s="12"/>
      <c r="R818" s="20"/>
      <c r="S818" s="13"/>
      <c r="T818" s="13"/>
      <c r="U818" s="21"/>
    </row>
    <row r="819" spans="1:21" ht="13.2" x14ac:dyDescent="0.25">
      <c r="A819" s="9"/>
      <c r="B819" s="9"/>
      <c r="C819" s="9"/>
      <c r="D819" s="9"/>
      <c r="E819" s="9"/>
      <c r="F819" s="14"/>
      <c r="G819" s="15"/>
      <c r="H819" s="15"/>
      <c r="I819" s="15"/>
      <c r="J819" s="15"/>
      <c r="K819" s="15"/>
      <c r="L819" s="15"/>
      <c r="M819" s="11"/>
      <c r="N819" s="11"/>
      <c r="O819" s="19"/>
      <c r="P819" s="12"/>
      <c r="Q819" s="12"/>
      <c r="R819" s="20"/>
      <c r="S819" s="13"/>
      <c r="T819" s="13"/>
      <c r="U819" s="21"/>
    </row>
    <row r="820" spans="1:21" ht="13.2" x14ac:dyDescent="0.25">
      <c r="A820" s="9"/>
      <c r="B820" s="9"/>
      <c r="C820" s="9"/>
      <c r="D820" s="9"/>
      <c r="E820" s="9"/>
      <c r="F820" s="14"/>
      <c r="G820" s="15"/>
      <c r="H820" s="15"/>
      <c r="I820" s="15"/>
      <c r="J820" s="15"/>
      <c r="K820" s="15"/>
      <c r="L820" s="15"/>
      <c r="M820" s="11"/>
      <c r="N820" s="11"/>
      <c r="O820" s="19"/>
      <c r="P820" s="12"/>
      <c r="Q820" s="12"/>
      <c r="R820" s="20"/>
      <c r="S820" s="13"/>
      <c r="T820" s="13"/>
      <c r="U820" s="21"/>
    </row>
    <row r="821" spans="1:21" ht="13.2" x14ac:dyDescent="0.25">
      <c r="A821" s="9"/>
      <c r="B821" s="9"/>
      <c r="C821" s="9"/>
      <c r="D821" s="9"/>
      <c r="E821" s="9"/>
      <c r="F821" s="14"/>
      <c r="G821" s="15"/>
      <c r="H821" s="15"/>
      <c r="I821" s="15"/>
      <c r="J821" s="15"/>
      <c r="K821" s="15"/>
      <c r="L821" s="15"/>
      <c r="M821" s="11"/>
      <c r="N821" s="11"/>
      <c r="O821" s="19"/>
      <c r="P821" s="12"/>
      <c r="Q821" s="12"/>
      <c r="R821" s="20"/>
      <c r="S821" s="13"/>
      <c r="T821" s="13"/>
      <c r="U821" s="21"/>
    </row>
    <row r="822" spans="1:21" ht="13.2" x14ac:dyDescent="0.25">
      <c r="A822" s="9"/>
      <c r="B822" s="9"/>
      <c r="C822" s="9"/>
      <c r="D822" s="9"/>
      <c r="E822" s="9"/>
      <c r="F822" s="14"/>
      <c r="G822" s="15"/>
      <c r="H822" s="15"/>
      <c r="I822" s="15"/>
      <c r="J822" s="15"/>
      <c r="K822" s="15"/>
      <c r="L822" s="15"/>
      <c r="M822" s="11"/>
      <c r="N822" s="11"/>
      <c r="O822" s="19"/>
      <c r="P822" s="12"/>
      <c r="Q822" s="12"/>
      <c r="R822" s="20"/>
      <c r="S822" s="13"/>
      <c r="T822" s="13"/>
      <c r="U822" s="21"/>
    </row>
    <row r="823" spans="1:21" ht="13.2" x14ac:dyDescent="0.25">
      <c r="A823" s="9"/>
      <c r="B823" s="9"/>
      <c r="C823" s="9"/>
      <c r="D823" s="9"/>
      <c r="E823" s="9"/>
      <c r="F823" s="14"/>
      <c r="G823" s="15"/>
      <c r="H823" s="15"/>
      <c r="I823" s="15"/>
      <c r="J823" s="15"/>
      <c r="K823" s="15"/>
      <c r="L823" s="15"/>
      <c r="M823" s="11"/>
      <c r="N823" s="11"/>
      <c r="O823" s="19"/>
      <c r="P823" s="12"/>
      <c r="Q823" s="12"/>
      <c r="R823" s="20"/>
      <c r="S823" s="13"/>
      <c r="T823" s="13"/>
      <c r="U823" s="21"/>
    </row>
    <row r="824" spans="1:21" ht="13.2" x14ac:dyDescent="0.25">
      <c r="A824" s="9"/>
      <c r="B824" s="9"/>
      <c r="C824" s="9"/>
      <c r="D824" s="9"/>
      <c r="E824" s="9"/>
      <c r="F824" s="14"/>
      <c r="G824" s="15"/>
      <c r="H824" s="15"/>
      <c r="I824" s="15"/>
      <c r="J824" s="15"/>
      <c r="K824" s="15"/>
      <c r="L824" s="15"/>
      <c r="M824" s="11"/>
      <c r="N824" s="11"/>
      <c r="O824" s="19"/>
      <c r="P824" s="12"/>
      <c r="Q824" s="12"/>
      <c r="R824" s="20"/>
      <c r="S824" s="13"/>
      <c r="T824" s="13"/>
      <c r="U824" s="21"/>
    </row>
    <row r="825" spans="1:21" ht="13.2" x14ac:dyDescent="0.25">
      <c r="A825" s="9"/>
      <c r="B825" s="9"/>
      <c r="C825" s="9"/>
      <c r="D825" s="9"/>
      <c r="E825" s="9"/>
      <c r="F825" s="14"/>
      <c r="G825" s="15"/>
      <c r="H825" s="15"/>
      <c r="I825" s="15"/>
      <c r="J825" s="15"/>
      <c r="K825" s="15"/>
      <c r="L825" s="15"/>
      <c r="M825" s="11"/>
      <c r="N825" s="11"/>
      <c r="O825" s="19"/>
      <c r="P825" s="12"/>
      <c r="Q825" s="12"/>
      <c r="R825" s="20"/>
      <c r="S825" s="13"/>
      <c r="T825" s="13"/>
      <c r="U825" s="21"/>
    </row>
    <row r="826" spans="1:21" ht="13.2" x14ac:dyDescent="0.25">
      <c r="A826" s="9"/>
      <c r="B826" s="9"/>
      <c r="C826" s="9"/>
      <c r="D826" s="9"/>
      <c r="E826" s="9"/>
      <c r="F826" s="14"/>
      <c r="G826" s="15"/>
      <c r="H826" s="15"/>
      <c r="I826" s="15"/>
      <c r="J826" s="15"/>
      <c r="K826" s="15"/>
      <c r="L826" s="15"/>
      <c r="M826" s="11"/>
      <c r="N826" s="11"/>
      <c r="O826" s="19"/>
      <c r="P826" s="12"/>
      <c r="Q826" s="12"/>
      <c r="R826" s="20"/>
      <c r="S826" s="13"/>
      <c r="T826" s="13"/>
      <c r="U826" s="21"/>
    </row>
    <row r="827" spans="1:21" ht="13.2" x14ac:dyDescent="0.25">
      <c r="A827" s="9"/>
      <c r="B827" s="9"/>
      <c r="C827" s="9"/>
      <c r="D827" s="9"/>
      <c r="E827" s="9"/>
      <c r="F827" s="14"/>
      <c r="G827" s="15"/>
      <c r="H827" s="15"/>
      <c r="I827" s="15"/>
      <c r="J827" s="15"/>
      <c r="K827" s="15"/>
      <c r="L827" s="15"/>
      <c r="M827" s="11"/>
      <c r="N827" s="11"/>
      <c r="O827" s="19"/>
      <c r="P827" s="12"/>
      <c r="Q827" s="12"/>
      <c r="R827" s="20"/>
      <c r="S827" s="13"/>
      <c r="T827" s="13"/>
      <c r="U827" s="21"/>
    </row>
    <row r="828" spans="1:21" ht="13.2" x14ac:dyDescent="0.25">
      <c r="A828" s="9"/>
      <c r="B828" s="9"/>
      <c r="C828" s="9"/>
      <c r="D828" s="9"/>
      <c r="E828" s="9"/>
      <c r="F828" s="14"/>
      <c r="G828" s="15"/>
      <c r="H828" s="15"/>
      <c r="I828" s="15"/>
      <c r="J828" s="15"/>
      <c r="K828" s="15"/>
      <c r="L828" s="15"/>
      <c r="M828" s="11"/>
      <c r="N828" s="11"/>
      <c r="O828" s="19"/>
      <c r="P828" s="12"/>
      <c r="Q828" s="12"/>
      <c r="R828" s="20"/>
      <c r="S828" s="13"/>
      <c r="T828" s="13"/>
      <c r="U828" s="21"/>
    </row>
    <row r="829" spans="1:21" ht="13.2" x14ac:dyDescent="0.25">
      <c r="A829" s="9"/>
      <c r="B829" s="9"/>
      <c r="C829" s="9"/>
      <c r="D829" s="9"/>
      <c r="E829" s="9"/>
      <c r="F829" s="14"/>
      <c r="G829" s="15"/>
      <c r="H829" s="15"/>
      <c r="I829" s="15"/>
      <c r="J829" s="15"/>
      <c r="K829" s="15"/>
      <c r="L829" s="15"/>
      <c r="M829" s="11"/>
      <c r="N829" s="11"/>
      <c r="O829" s="19"/>
      <c r="P829" s="12"/>
      <c r="Q829" s="12"/>
      <c r="R829" s="20"/>
      <c r="S829" s="13"/>
      <c r="T829" s="13"/>
      <c r="U829" s="21"/>
    </row>
    <row r="830" spans="1:21" ht="13.2" x14ac:dyDescent="0.25">
      <c r="A830" s="9"/>
      <c r="B830" s="9"/>
      <c r="C830" s="9"/>
      <c r="D830" s="9"/>
      <c r="E830" s="9"/>
      <c r="F830" s="14"/>
      <c r="G830" s="15"/>
      <c r="H830" s="15"/>
      <c r="I830" s="15"/>
      <c r="J830" s="15"/>
      <c r="K830" s="15"/>
      <c r="L830" s="15"/>
      <c r="M830" s="11"/>
      <c r="N830" s="11"/>
      <c r="O830" s="19"/>
      <c r="P830" s="12"/>
      <c r="Q830" s="12"/>
      <c r="R830" s="20"/>
      <c r="S830" s="13"/>
      <c r="T830" s="13"/>
      <c r="U830" s="21"/>
    </row>
    <row r="831" spans="1:21" ht="13.2" x14ac:dyDescent="0.25">
      <c r="A831" s="9"/>
      <c r="B831" s="9"/>
      <c r="C831" s="9"/>
      <c r="D831" s="9"/>
      <c r="E831" s="9"/>
      <c r="F831" s="14"/>
      <c r="G831" s="15"/>
      <c r="H831" s="15"/>
      <c r="I831" s="15"/>
      <c r="J831" s="15"/>
      <c r="K831" s="15"/>
      <c r="L831" s="15"/>
      <c r="M831" s="11"/>
      <c r="N831" s="11"/>
      <c r="O831" s="19"/>
      <c r="P831" s="12"/>
      <c r="Q831" s="12"/>
      <c r="R831" s="20"/>
      <c r="S831" s="13"/>
      <c r="T831" s="13"/>
      <c r="U831" s="21"/>
    </row>
    <row r="832" spans="1:21" ht="13.2" x14ac:dyDescent="0.25">
      <c r="A832" s="9"/>
      <c r="B832" s="9"/>
      <c r="C832" s="9"/>
      <c r="D832" s="9"/>
      <c r="E832" s="9"/>
      <c r="F832" s="14"/>
      <c r="G832" s="15"/>
      <c r="H832" s="15"/>
      <c r="I832" s="15"/>
      <c r="J832" s="15"/>
      <c r="K832" s="15"/>
      <c r="L832" s="15"/>
      <c r="M832" s="11"/>
      <c r="N832" s="11"/>
      <c r="O832" s="19"/>
      <c r="P832" s="12"/>
      <c r="Q832" s="12"/>
      <c r="R832" s="20"/>
      <c r="S832" s="13"/>
      <c r="T832" s="13"/>
      <c r="U832" s="21"/>
    </row>
    <row r="833" spans="1:21" ht="13.2" x14ac:dyDescent="0.25">
      <c r="A833" s="9"/>
      <c r="B833" s="9"/>
      <c r="C833" s="9"/>
      <c r="D833" s="9"/>
      <c r="E833" s="9"/>
      <c r="F833" s="14"/>
      <c r="G833" s="15"/>
      <c r="H833" s="15"/>
      <c r="I833" s="15"/>
      <c r="J833" s="15"/>
      <c r="K833" s="15"/>
      <c r="L833" s="15"/>
      <c r="M833" s="11"/>
      <c r="N833" s="11"/>
      <c r="O833" s="19"/>
      <c r="P833" s="12"/>
      <c r="Q833" s="12"/>
      <c r="R833" s="20"/>
      <c r="S833" s="13"/>
      <c r="T833" s="13"/>
      <c r="U833" s="21"/>
    </row>
    <row r="834" spans="1:21" ht="13.2" x14ac:dyDescent="0.25">
      <c r="A834" s="9"/>
      <c r="B834" s="9"/>
      <c r="C834" s="9"/>
      <c r="D834" s="9"/>
      <c r="E834" s="9"/>
      <c r="F834" s="14"/>
      <c r="G834" s="15"/>
      <c r="H834" s="15"/>
      <c r="I834" s="15"/>
      <c r="J834" s="15"/>
      <c r="K834" s="15"/>
      <c r="L834" s="15"/>
      <c r="M834" s="11"/>
      <c r="N834" s="11"/>
      <c r="O834" s="19"/>
      <c r="P834" s="12"/>
      <c r="Q834" s="12"/>
      <c r="R834" s="20"/>
      <c r="S834" s="13"/>
      <c r="T834" s="13"/>
      <c r="U834" s="21"/>
    </row>
    <row r="835" spans="1:21" ht="13.2" x14ac:dyDescent="0.25">
      <c r="A835" s="9"/>
      <c r="B835" s="9"/>
      <c r="C835" s="9"/>
      <c r="D835" s="9"/>
      <c r="E835" s="9"/>
      <c r="F835" s="14"/>
      <c r="G835" s="15"/>
      <c r="H835" s="15"/>
      <c r="I835" s="15"/>
      <c r="J835" s="15"/>
      <c r="K835" s="15"/>
      <c r="L835" s="15"/>
      <c r="M835" s="11"/>
      <c r="N835" s="11"/>
      <c r="O835" s="19"/>
      <c r="P835" s="12"/>
      <c r="Q835" s="12"/>
      <c r="R835" s="20"/>
      <c r="S835" s="13"/>
      <c r="T835" s="13"/>
      <c r="U835" s="21"/>
    </row>
    <row r="836" spans="1:21" ht="13.2" x14ac:dyDescent="0.25">
      <c r="A836" s="9"/>
      <c r="B836" s="9"/>
      <c r="C836" s="9"/>
      <c r="D836" s="9"/>
      <c r="E836" s="9"/>
      <c r="F836" s="14"/>
      <c r="G836" s="15"/>
      <c r="H836" s="15"/>
      <c r="I836" s="15"/>
      <c r="J836" s="15"/>
      <c r="K836" s="15"/>
      <c r="L836" s="15"/>
      <c r="M836" s="11"/>
      <c r="N836" s="11"/>
      <c r="O836" s="19"/>
      <c r="P836" s="12"/>
      <c r="Q836" s="12"/>
      <c r="R836" s="20"/>
      <c r="S836" s="13"/>
      <c r="T836" s="13"/>
      <c r="U836" s="21"/>
    </row>
    <row r="837" spans="1:21" ht="13.2" x14ac:dyDescent="0.25">
      <c r="A837" s="9"/>
      <c r="B837" s="9"/>
      <c r="C837" s="9"/>
      <c r="D837" s="9"/>
      <c r="E837" s="9"/>
      <c r="F837" s="14"/>
      <c r="G837" s="15"/>
      <c r="H837" s="15"/>
      <c r="I837" s="15"/>
      <c r="J837" s="15"/>
      <c r="K837" s="15"/>
      <c r="L837" s="15"/>
      <c r="M837" s="11"/>
      <c r="N837" s="11"/>
      <c r="O837" s="19"/>
      <c r="P837" s="12"/>
      <c r="Q837" s="12"/>
      <c r="R837" s="20"/>
      <c r="S837" s="13"/>
      <c r="T837" s="13"/>
      <c r="U837" s="21"/>
    </row>
    <row r="838" spans="1:21" ht="13.2" x14ac:dyDescent="0.25">
      <c r="A838" s="9"/>
      <c r="B838" s="9"/>
      <c r="C838" s="9"/>
      <c r="D838" s="9"/>
      <c r="E838" s="9"/>
      <c r="F838" s="14"/>
      <c r="G838" s="15"/>
      <c r="H838" s="15"/>
      <c r="I838" s="15"/>
      <c r="J838" s="15"/>
      <c r="K838" s="15"/>
      <c r="L838" s="15"/>
      <c r="M838" s="11"/>
      <c r="N838" s="11"/>
      <c r="O838" s="19"/>
      <c r="P838" s="12"/>
      <c r="Q838" s="12"/>
      <c r="R838" s="20"/>
      <c r="S838" s="13"/>
      <c r="T838" s="13"/>
      <c r="U838" s="21"/>
    </row>
    <row r="839" spans="1:21" ht="13.2" x14ac:dyDescent="0.25">
      <c r="A839" s="9"/>
      <c r="B839" s="9"/>
      <c r="C839" s="9"/>
      <c r="D839" s="9"/>
      <c r="E839" s="9"/>
      <c r="F839" s="14"/>
      <c r="G839" s="15"/>
      <c r="H839" s="15"/>
      <c r="I839" s="15"/>
      <c r="J839" s="15"/>
      <c r="K839" s="15"/>
      <c r="L839" s="15"/>
      <c r="M839" s="11"/>
      <c r="N839" s="11"/>
      <c r="O839" s="19"/>
      <c r="P839" s="12"/>
      <c r="Q839" s="12"/>
      <c r="R839" s="20"/>
      <c r="S839" s="13"/>
      <c r="T839" s="13"/>
      <c r="U839" s="21"/>
    </row>
    <row r="840" spans="1:21" ht="13.2" x14ac:dyDescent="0.25">
      <c r="A840" s="9"/>
      <c r="B840" s="9"/>
      <c r="C840" s="9"/>
      <c r="D840" s="9"/>
      <c r="E840" s="9"/>
      <c r="F840" s="14"/>
      <c r="G840" s="15"/>
      <c r="H840" s="15"/>
      <c r="I840" s="15"/>
      <c r="J840" s="15"/>
      <c r="K840" s="15"/>
      <c r="L840" s="15"/>
      <c r="M840" s="11"/>
      <c r="N840" s="11"/>
      <c r="O840" s="19"/>
      <c r="P840" s="12"/>
      <c r="Q840" s="12"/>
      <c r="R840" s="20"/>
      <c r="S840" s="13"/>
      <c r="T840" s="13"/>
      <c r="U840" s="21"/>
    </row>
    <row r="841" spans="1:21" ht="13.2" x14ac:dyDescent="0.25">
      <c r="A841" s="9"/>
      <c r="B841" s="9"/>
      <c r="C841" s="9"/>
      <c r="D841" s="9"/>
      <c r="E841" s="9"/>
      <c r="F841" s="14"/>
      <c r="G841" s="15"/>
      <c r="H841" s="15"/>
      <c r="I841" s="15"/>
      <c r="J841" s="15"/>
      <c r="K841" s="15"/>
      <c r="L841" s="15"/>
      <c r="M841" s="11"/>
      <c r="N841" s="11"/>
      <c r="O841" s="19"/>
      <c r="P841" s="12"/>
      <c r="Q841" s="12"/>
      <c r="R841" s="20"/>
      <c r="S841" s="13"/>
      <c r="T841" s="13"/>
      <c r="U841" s="21"/>
    </row>
    <row r="842" spans="1:21" ht="13.2" x14ac:dyDescent="0.25">
      <c r="A842" s="9"/>
      <c r="B842" s="9"/>
      <c r="C842" s="9"/>
      <c r="D842" s="9"/>
      <c r="E842" s="9"/>
      <c r="F842" s="14"/>
      <c r="G842" s="15"/>
      <c r="H842" s="15"/>
      <c r="I842" s="15"/>
      <c r="J842" s="15"/>
      <c r="K842" s="15"/>
      <c r="L842" s="15"/>
      <c r="M842" s="11"/>
      <c r="N842" s="11"/>
      <c r="O842" s="19"/>
      <c r="P842" s="12"/>
      <c r="Q842" s="12"/>
      <c r="R842" s="20"/>
      <c r="S842" s="13"/>
      <c r="T842" s="13"/>
      <c r="U842" s="21"/>
    </row>
    <row r="843" spans="1:21" ht="13.2" x14ac:dyDescent="0.25">
      <c r="A843" s="9"/>
      <c r="B843" s="9"/>
      <c r="C843" s="9"/>
      <c r="D843" s="9"/>
      <c r="E843" s="9"/>
      <c r="F843" s="14"/>
      <c r="G843" s="15"/>
      <c r="H843" s="15"/>
      <c r="I843" s="15"/>
      <c r="J843" s="15"/>
      <c r="K843" s="15"/>
      <c r="L843" s="15"/>
      <c r="M843" s="11"/>
      <c r="N843" s="11"/>
      <c r="O843" s="19"/>
      <c r="P843" s="12"/>
      <c r="Q843" s="12"/>
      <c r="R843" s="20"/>
      <c r="S843" s="13"/>
      <c r="T843" s="13"/>
      <c r="U843" s="21"/>
    </row>
    <row r="844" spans="1:21" ht="13.2" x14ac:dyDescent="0.25">
      <c r="A844" s="9"/>
      <c r="B844" s="9"/>
      <c r="C844" s="9"/>
      <c r="D844" s="9"/>
      <c r="E844" s="9"/>
      <c r="F844" s="14"/>
      <c r="G844" s="15"/>
      <c r="H844" s="15"/>
      <c r="I844" s="15"/>
      <c r="J844" s="15"/>
      <c r="K844" s="15"/>
      <c r="L844" s="15"/>
      <c r="M844" s="11"/>
      <c r="N844" s="11"/>
      <c r="O844" s="19"/>
      <c r="P844" s="12"/>
      <c r="Q844" s="12"/>
      <c r="R844" s="20"/>
      <c r="S844" s="13"/>
      <c r="T844" s="13"/>
      <c r="U844" s="21"/>
    </row>
    <row r="845" spans="1:21" ht="13.2" x14ac:dyDescent="0.25">
      <c r="A845" s="9"/>
      <c r="B845" s="9"/>
      <c r="C845" s="9"/>
      <c r="D845" s="9"/>
      <c r="E845" s="9"/>
      <c r="F845" s="14"/>
      <c r="G845" s="15"/>
      <c r="H845" s="15"/>
      <c r="I845" s="15"/>
      <c r="J845" s="15"/>
      <c r="K845" s="15"/>
      <c r="L845" s="15"/>
      <c r="M845" s="11"/>
      <c r="N845" s="11"/>
      <c r="O845" s="19"/>
      <c r="P845" s="12"/>
      <c r="Q845" s="12"/>
      <c r="R845" s="20"/>
      <c r="S845" s="13"/>
      <c r="T845" s="13"/>
      <c r="U845" s="21"/>
    </row>
    <row r="846" spans="1:21" ht="13.2" x14ac:dyDescent="0.25">
      <c r="A846" s="9"/>
      <c r="B846" s="9"/>
      <c r="C846" s="9"/>
      <c r="D846" s="9"/>
      <c r="E846" s="9"/>
      <c r="F846" s="14"/>
      <c r="G846" s="15"/>
      <c r="H846" s="15"/>
      <c r="I846" s="15"/>
      <c r="J846" s="15"/>
      <c r="K846" s="15"/>
      <c r="L846" s="15"/>
      <c r="M846" s="11"/>
      <c r="N846" s="11"/>
      <c r="O846" s="19"/>
      <c r="P846" s="12"/>
      <c r="Q846" s="12"/>
      <c r="R846" s="20"/>
      <c r="S846" s="13"/>
      <c r="T846" s="13"/>
      <c r="U846" s="21"/>
    </row>
    <row r="847" spans="1:21" ht="13.2" x14ac:dyDescent="0.25">
      <c r="A847" s="9"/>
      <c r="B847" s="9"/>
      <c r="C847" s="9"/>
      <c r="D847" s="9"/>
      <c r="E847" s="9"/>
      <c r="F847" s="14"/>
      <c r="G847" s="15"/>
      <c r="H847" s="15"/>
      <c r="I847" s="15"/>
      <c r="J847" s="15"/>
      <c r="K847" s="15"/>
      <c r="L847" s="15"/>
      <c r="M847" s="11"/>
      <c r="N847" s="11"/>
      <c r="O847" s="19"/>
      <c r="P847" s="12"/>
      <c r="Q847" s="12"/>
      <c r="R847" s="20"/>
      <c r="S847" s="13"/>
      <c r="T847" s="13"/>
      <c r="U847" s="21"/>
    </row>
    <row r="848" spans="1:21" ht="13.2" x14ac:dyDescent="0.25">
      <c r="A848" s="9"/>
      <c r="B848" s="9"/>
      <c r="C848" s="9"/>
      <c r="D848" s="9"/>
      <c r="E848" s="9"/>
      <c r="F848" s="14"/>
      <c r="G848" s="15"/>
      <c r="H848" s="15"/>
      <c r="I848" s="15"/>
      <c r="J848" s="15"/>
      <c r="K848" s="15"/>
      <c r="L848" s="15"/>
      <c r="M848" s="11"/>
      <c r="N848" s="11"/>
      <c r="O848" s="19"/>
      <c r="P848" s="12"/>
      <c r="Q848" s="12"/>
      <c r="R848" s="20"/>
      <c r="S848" s="13"/>
      <c r="T848" s="13"/>
      <c r="U848" s="21"/>
    </row>
    <row r="849" spans="1:21" ht="13.2" x14ac:dyDescent="0.25">
      <c r="A849" s="9"/>
      <c r="B849" s="9"/>
      <c r="C849" s="9"/>
      <c r="D849" s="9"/>
      <c r="E849" s="9"/>
      <c r="F849" s="14"/>
      <c r="G849" s="15"/>
      <c r="H849" s="15"/>
      <c r="I849" s="15"/>
      <c r="J849" s="15"/>
      <c r="K849" s="15"/>
      <c r="L849" s="15"/>
      <c r="M849" s="11"/>
      <c r="N849" s="11"/>
      <c r="O849" s="19"/>
      <c r="P849" s="12"/>
      <c r="Q849" s="12"/>
      <c r="R849" s="20"/>
      <c r="S849" s="13"/>
      <c r="T849" s="13"/>
      <c r="U849" s="21"/>
    </row>
    <row r="850" spans="1:21" ht="13.2" x14ac:dyDescent="0.25">
      <c r="A850" s="9"/>
      <c r="B850" s="9"/>
      <c r="C850" s="9"/>
      <c r="D850" s="9"/>
      <c r="E850" s="9"/>
      <c r="F850" s="14"/>
      <c r="G850" s="15"/>
      <c r="H850" s="15"/>
      <c r="I850" s="15"/>
      <c r="J850" s="15"/>
      <c r="K850" s="15"/>
      <c r="L850" s="15"/>
      <c r="M850" s="11"/>
      <c r="N850" s="11"/>
      <c r="O850" s="19"/>
      <c r="P850" s="12"/>
      <c r="Q850" s="12"/>
      <c r="R850" s="20"/>
      <c r="S850" s="13"/>
      <c r="T850" s="13"/>
      <c r="U850" s="21"/>
    </row>
    <row r="851" spans="1:21" ht="13.2" x14ac:dyDescent="0.25">
      <c r="A851" s="9"/>
      <c r="B851" s="9"/>
      <c r="C851" s="9"/>
      <c r="D851" s="9"/>
      <c r="E851" s="9"/>
      <c r="F851" s="14"/>
      <c r="G851" s="15"/>
      <c r="H851" s="15"/>
      <c r="I851" s="15"/>
      <c r="J851" s="15"/>
      <c r="K851" s="15"/>
      <c r="L851" s="15"/>
      <c r="M851" s="11"/>
      <c r="N851" s="11"/>
      <c r="O851" s="19"/>
      <c r="P851" s="12"/>
      <c r="Q851" s="12"/>
      <c r="R851" s="20"/>
      <c r="S851" s="13"/>
      <c r="T851" s="13"/>
      <c r="U851" s="21"/>
    </row>
    <row r="852" spans="1:21" ht="13.2" x14ac:dyDescent="0.25">
      <c r="A852" s="9"/>
      <c r="B852" s="9"/>
      <c r="C852" s="9"/>
      <c r="D852" s="9"/>
      <c r="E852" s="9"/>
      <c r="F852" s="14"/>
      <c r="G852" s="15"/>
      <c r="H852" s="15"/>
      <c r="I852" s="15"/>
      <c r="J852" s="15"/>
      <c r="K852" s="15"/>
      <c r="L852" s="15"/>
      <c r="M852" s="11"/>
      <c r="N852" s="11"/>
      <c r="O852" s="19"/>
      <c r="P852" s="12"/>
      <c r="Q852" s="12"/>
      <c r="R852" s="20"/>
      <c r="S852" s="13"/>
      <c r="T852" s="13"/>
      <c r="U852" s="21"/>
    </row>
    <row r="853" spans="1:21" ht="13.2" x14ac:dyDescent="0.25">
      <c r="A853" s="9"/>
      <c r="B853" s="9"/>
      <c r="C853" s="9"/>
      <c r="D853" s="9"/>
      <c r="E853" s="9"/>
      <c r="F853" s="14"/>
      <c r="G853" s="15"/>
      <c r="H853" s="15"/>
      <c r="I853" s="15"/>
      <c r="J853" s="15"/>
      <c r="K853" s="15"/>
      <c r="L853" s="15"/>
      <c r="M853" s="11"/>
      <c r="N853" s="11"/>
      <c r="O853" s="19"/>
      <c r="P853" s="12"/>
      <c r="Q853" s="12"/>
      <c r="R853" s="20"/>
      <c r="S853" s="13"/>
      <c r="T853" s="13"/>
      <c r="U853" s="21"/>
    </row>
    <row r="854" spans="1:21" ht="13.2" x14ac:dyDescent="0.25">
      <c r="A854" s="9"/>
      <c r="B854" s="9"/>
      <c r="C854" s="9"/>
      <c r="D854" s="9"/>
      <c r="E854" s="9"/>
      <c r="F854" s="14"/>
      <c r="G854" s="15"/>
      <c r="H854" s="15"/>
      <c r="I854" s="15"/>
      <c r="J854" s="15"/>
      <c r="K854" s="15"/>
      <c r="L854" s="15"/>
      <c r="M854" s="11"/>
      <c r="N854" s="11"/>
      <c r="O854" s="19"/>
      <c r="P854" s="12"/>
      <c r="Q854" s="12"/>
      <c r="R854" s="20"/>
      <c r="S854" s="13"/>
      <c r="T854" s="13"/>
      <c r="U854" s="21"/>
    </row>
    <row r="855" spans="1:21" ht="13.2" x14ac:dyDescent="0.25">
      <c r="A855" s="9"/>
      <c r="B855" s="9"/>
      <c r="C855" s="9"/>
      <c r="D855" s="9"/>
      <c r="E855" s="9"/>
      <c r="F855" s="14"/>
      <c r="G855" s="15"/>
      <c r="H855" s="15"/>
      <c r="I855" s="15"/>
      <c r="J855" s="15"/>
      <c r="K855" s="15"/>
      <c r="L855" s="15"/>
      <c r="M855" s="11"/>
      <c r="N855" s="11"/>
      <c r="O855" s="19"/>
      <c r="P855" s="12"/>
      <c r="Q855" s="12"/>
      <c r="R855" s="20"/>
      <c r="S855" s="13"/>
      <c r="T855" s="13"/>
      <c r="U855" s="21"/>
    </row>
    <row r="856" spans="1:21" ht="13.2" x14ac:dyDescent="0.25">
      <c r="A856" s="9"/>
      <c r="B856" s="9"/>
      <c r="C856" s="9"/>
      <c r="D856" s="9"/>
      <c r="E856" s="9"/>
      <c r="F856" s="14"/>
      <c r="G856" s="15"/>
      <c r="H856" s="15"/>
      <c r="I856" s="15"/>
      <c r="J856" s="15"/>
      <c r="K856" s="15"/>
      <c r="L856" s="15"/>
      <c r="M856" s="11"/>
      <c r="N856" s="11"/>
      <c r="O856" s="19"/>
      <c r="P856" s="12"/>
      <c r="Q856" s="12"/>
      <c r="R856" s="20"/>
      <c r="S856" s="13"/>
      <c r="T856" s="13"/>
      <c r="U856" s="21"/>
    </row>
    <row r="857" spans="1:21" ht="13.2" x14ac:dyDescent="0.25">
      <c r="A857" s="9"/>
      <c r="B857" s="9"/>
      <c r="C857" s="9"/>
      <c r="D857" s="9"/>
      <c r="E857" s="9"/>
      <c r="F857" s="14"/>
      <c r="G857" s="15"/>
      <c r="H857" s="15"/>
      <c r="I857" s="15"/>
      <c r="J857" s="15"/>
      <c r="K857" s="15"/>
      <c r="L857" s="15"/>
      <c r="M857" s="11"/>
      <c r="N857" s="11"/>
      <c r="O857" s="19"/>
      <c r="P857" s="12"/>
      <c r="Q857" s="12"/>
      <c r="R857" s="20"/>
      <c r="S857" s="13"/>
      <c r="T857" s="13"/>
      <c r="U857" s="21"/>
    </row>
    <row r="858" spans="1:21" ht="13.2" x14ac:dyDescent="0.25">
      <c r="A858" s="9"/>
      <c r="B858" s="9"/>
      <c r="C858" s="9"/>
      <c r="D858" s="9"/>
      <c r="E858" s="9"/>
      <c r="F858" s="14"/>
      <c r="G858" s="15"/>
      <c r="H858" s="15"/>
      <c r="I858" s="15"/>
      <c r="J858" s="15"/>
      <c r="K858" s="15"/>
      <c r="L858" s="15"/>
      <c r="M858" s="11"/>
      <c r="N858" s="11"/>
      <c r="O858" s="19"/>
      <c r="P858" s="12"/>
      <c r="Q858" s="12"/>
      <c r="R858" s="20"/>
      <c r="S858" s="13"/>
      <c r="T858" s="13"/>
      <c r="U858" s="21"/>
    </row>
    <row r="859" spans="1:21" ht="13.2" x14ac:dyDescent="0.25">
      <c r="A859" s="9"/>
      <c r="B859" s="9"/>
      <c r="C859" s="9"/>
      <c r="D859" s="9"/>
      <c r="E859" s="9"/>
      <c r="F859" s="14"/>
      <c r="G859" s="15"/>
      <c r="H859" s="15"/>
      <c r="I859" s="15"/>
      <c r="J859" s="15"/>
      <c r="K859" s="15"/>
      <c r="L859" s="15"/>
      <c r="M859" s="11"/>
      <c r="N859" s="11"/>
      <c r="O859" s="19"/>
      <c r="P859" s="12"/>
      <c r="Q859" s="12"/>
      <c r="R859" s="20"/>
      <c r="S859" s="13"/>
      <c r="T859" s="13"/>
      <c r="U859" s="21"/>
    </row>
    <row r="860" spans="1:21" ht="13.2" x14ac:dyDescent="0.25">
      <c r="A860" s="9"/>
      <c r="B860" s="9"/>
      <c r="C860" s="9"/>
      <c r="D860" s="9"/>
      <c r="E860" s="9"/>
      <c r="F860" s="14"/>
      <c r="G860" s="15"/>
      <c r="H860" s="15"/>
      <c r="I860" s="15"/>
      <c r="J860" s="15"/>
      <c r="K860" s="15"/>
      <c r="L860" s="15"/>
      <c r="M860" s="11"/>
      <c r="N860" s="11"/>
      <c r="O860" s="19"/>
      <c r="P860" s="12"/>
      <c r="Q860" s="12"/>
      <c r="R860" s="20"/>
      <c r="S860" s="13"/>
      <c r="T860" s="13"/>
      <c r="U860" s="21"/>
    </row>
    <row r="861" spans="1:21" ht="13.2" x14ac:dyDescent="0.25">
      <c r="A861" s="9"/>
      <c r="B861" s="9"/>
      <c r="C861" s="9"/>
      <c r="D861" s="9"/>
      <c r="E861" s="9"/>
      <c r="F861" s="14"/>
      <c r="G861" s="15"/>
      <c r="H861" s="15"/>
      <c r="I861" s="15"/>
      <c r="J861" s="15"/>
      <c r="K861" s="15"/>
      <c r="L861" s="15"/>
      <c r="M861" s="11"/>
      <c r="N861" s="11"/>
      <c r="O861" s="19"/>
      <c r="P861" s="12"/>
      <c r="Q861" s="12"/>
      <c r="R861" s="20"/>
      <c r="S861" s="13"/>
      <c r="T861" s="13"/>
      <c r="U861" s="21"/>
    </row>
    <row r="862" spans="1:21" ht="13.2" x14ac:dyDescent="0.25">
      <c r="A862" s="9"/>
      <c r="B862" s="9"/>
      <c r="C862" s="9"/>
      <c r="D862" s="9"/>
      <c r="E862" s="9"/>
      <c r="F862" s="14"/>
      <c r="G862" s="15"/>
      <c r="H862" s="15"/>
      <c r="I862" s="15"/>
      <c r="J862" s="15"/>
      <c r="K862" s="15"/>
      <c r="L862" s="15"/>
      <c r="M862" s="11"/>
      <c r="N862" s="11"/>
      <c r="O862" s="19"/>
      <c r="P862" s="12"/>
      <c r="Q862" s="12"/>
      <c r="R862" s="20"/>
      <c r="S862" s="13"/>
      <c r="T862" s="13"/>
      <c r="U862" s="21"/>
    </row>
    <row r="863" spans="1:21" ht="13.2" x14ac:dyDescent="0.25">
      <c r="A863" s="9"/>
      <c r="B863" s="9"/>
      <c r="C863" s="9"/>
      <c r="D863" s="9"/>
      <c r="E863" s="9"/>
      <c r="F863" s="14"/>
      <c r="G863" s="15"/>
      <c r="H863" s="15"/>
      <c r="I863" s="15"/>
      <c r="J863" s="15"/>
      <c r="K863" s="15"/>
      <c r="L863" s="15"/>
      <c r="M863" s="11"/>
      <c r="N863" s="11"/>
      <c r="O863" s="19"/>
      <c r="P863" s="12"/>
      <c r="Q863" s="12"/>
      <c r="R863" s="20"/>
      <c r="S863" s="13"/>
      <c r="T863" s="13"/>
      <c r="U863" s="21"/>
    </row>
    <row r="864" spans="1:21" ht="13.2" x14ac:dyDescent="0.25">
      <c r="A864" s="9"/>
      <c r="B864" s="9"/>
      <c r="C864" s="9"/>
      <c r="D864" s="9"/>
      <c r="E864" s="9"/>
      <c r="F864" s="14"/>
      <c r="G864" s="15"/>
      <c r="H864" s="15"/>
      <c r="I864" s="15"/>
      <c r="J864" s="15"/>
      <c r="K864" s="15"/>
      <c r="L864" s="15"/>
      <c r="M864" s="11"/>
      <c r="N864" s="11"/>
      <c r="O864" s="19"/>
      <c r="P864" s="12"/>
      <c r="Q864" s="12"/>
      <c r="R864" s="20"/>
      <c r="S864" s="13"/>
      <c r="T864" s="13"/>
      <c r="U864" s="21"/>
    </row>
    <row r="865" spans="1:21" ht="13.2" x14ac:dyDescent="0.25">
      <c r="A865" s="9"/>
      <c r="B865" s="9"/>
      <c r="C865" s="9"/>
      <c r="D865" s="9"/>
      <c r="E865" s="9"/>
      <c r="F865" s="14"/>
      <c r="G865" s="15"/>
      <c r="H865" s="15"/>
      <c r="I865" s="15"/>
      <c r="J865" s="15"/>
      <c r="K865" s="15"/>
      <c r="L865" s="15"/>
      <c r="M865" s="11"/>
      <c r="N865" s="11"/>
      <c r="O865" s="19"/>
      <c r="P865" s="12"/>
      <c r="Q865" s="12"/>
      <c r="R865" s="20"/>
      <c r="S865" s="13"/>
      <c r="T865" s="13"/>
      <c r="U865" s="21"/>
    </row>
    <row r="866" spans="1:21" ht="13.2" x14ac:dyDescent="0.25">
      <c r="A866" s="9"/>
      <c r="B866" s="9"/>
      <c r="C866" s="9"/>
      <c r="D866" s="9"/>
      <c r="E866" s="9"/>
      <c r="F866" s="14"/>
      <c r="G866" s="15"/>
      <c r="H866" s="15"/>
      <c r="I866" s="15"/>
      <c r="J866" s="15"/>
      <c r="K866" s="15"/>
      <c r="L866" s="15"/>
      <c r="M866" s="11"/>
      <c r="N866" s="11"/>
      <c r="O866" s="19"/>
      <c r="P866" s="12"/>
      <c r="Q866" s="12"/>
      <c r="R866" s="20"/>
      <c r="S866" s="13"/>
      <c r="T866" s="13"/>
      <c r="U866" s="21"/>
    </row>
    <row r="867" spans="1:21" ht="13.2" x14ac:dyDescent="0.25">
      <c r="A867" s="9"/>
      <c r="B867" s="9"/>
      <c r="C867" s="9"/>
      <c r="D867" s="9"/>
      <c r="E867" s="9"/>
      <c r="F867" s="14"/>
      <c r="G867" s="15"/>
      <c r="H867" s="15"/>
      <c r="I867" s="15"/>
      <c r="J867" s="15"/>
      <c r="K867" s="15"/>
      <c r="L867" s="15"/>
      <c r="M867" s="11"/>
      <c r="N867" s="11"/>
      <c r="O867" s="19"/>
      <c r="P867" s="12"/>
      <c r="Q867" s="12"/>
      <c r="R867" s="20"/>
      <c r="S867" s="13"/>
      <c r="T867" s="13"/>
      <c r="U867" s="21"/>
    </row>
    <row r="868" spans="1:21" ht="13.2" x14ac:dyDescent="0.25">
      <c r="A868" s="9"/>
      <c r="B868" s="9"/>
      <c r="C868" s="9"/>
      <c r="D868" s="9"/>
      <c r="E868" s="9"/>
      <c r="F868" s="14"/>
      <c r="G868" s="15"/>
      <c r="H868" s="15"/>
      <c r="I868" s="15"/>
      <c r="J868" s="15"/>
      <c r="K868" s="15"/>
      <c r="L868" s="15"/>
      <c r="M868" s="11"/>
      <c r="N868" s="11"/>
      <c r="O868" s="19"/>
      <c r="P868" s="12"/>
      <c r="Q868" s="12"/>
      <c r="R868" s="20"/>
      <c r="S868" s="13"/>
      <c r="T868" s="13"/>
      <c r="U868" s="21"/>
    </row>
    <row r="869" spans="1:21" ht="13.2" x14ac:dyDescent="0.25">
      <c r="A869" s="9"/>
      <c r="B869" s="9"/>
      <c r="C869" s="9"/>
      <c r="D869" s="9"/>
      <c r="E869" s="9"/>
      <c r="F869" s="14"/>
      <c r="G869" s="15"/>
      <c r="H869" s="15"/>
      <c r="I869" s="15"/>
      <c r="J869" s="15"/>
      <c r="K869" s="15"/>
      <c r="L869" s="15"/>
      <c r="M869" s="11"/>
      <c r="N869" s="11"/>
      <c r="O869" s="19"/>
      <c r="P869" s="12"/>
      <c r="Q869" s="12"/>
      <c r="R869" s="20"/>
      <c r="S869" s="13"/>
      <c r="T869" s="13"/>
      <c r="U869" s="21"/>
    </row>
    <row r="870" spans="1:21" ht="13.2" x14ac:dyDescent="0.25">
      <c r="A870" s="9"/>
      <c r="B870" s="9"/>
      <c r="C870" s="9"/>
      <c r="D870" s="9"/>
      <c r="E870" s="9"/>
      <c r="F870" s="14"/>
      <c r="G870" s="15"/>
      <c r="H870" s="15"/>
      <c r="I870" s="15"/>
      <c r="J870" s="15"/>
      <c r="K870" s="15"/>
      <c r="L870" s="15"/>
      <c r="M870" s="11"/>
      <c r="N870" s="11"/>
      <c r="O870" s="19"/>
      <c r="P870" s="12"/>
      <c r="Q870" s="12"/>
      <c r="R870" s="20"/>
      <c r="S870" s="13"/>
      <c r="T870" s="13"/>
      <c r="U870" s="21"/>
    </row>
    <row r="871" spans="1:21" ht="13.2" x14ac:dyDescent="0.25">
      <c r="A871" s="9"/>
      <c r="B871" s="9"/>
      <c r="C871" s="9"/>
      <c r="D871" s="9"/>
      <c r="E871" s="9"/>
      <c r="F871" s="14"/>
      <c r="G871" s="15"/>
      <c r="H871" s="15"/>
      <c r="I871" s="15"/>
      <c r="J871" s="15"/>
      <c r="K871" s="15"/>
      <c r="L871" s="15"/>
      <c r="M871" s="11"/>
      <c r="N871" s="11"/>
      <c r="O871" s="19"/>
      <c r="P871" s="12"/>
      <c r="Q871" s="12"/>
      <c r="R871" s="20"/>
      <c r="S871" s="13"/>
      <c r="T871" s="13"/>
      <c r="U871" s="21"/>
    </row>
    <row r="872" spans="1:21" ht="13.2" x14ac:dyDescent="0.25">
      <c r="A872" s="9"/>
      <c r="B872" s="9"/>
      <c r="C872" s="9"/>
      <c r="D872" s="9"/>
      <c r="E872" s="9"/>
      <c r="F872" s="14"/>
      <c r="G872" s="15"/>
      <c r="H872" s="15"/>
      <c r="I872" s="15"/>
      <c r="J872" s="15"/>
      <c r="K872" s="15"/>
      <c r="L872" s="15"/>
      <c r="M872" s="11"/>
      <c r="N872" s="11"/>
      <c r="O872" s="19"/>
      <c r="P872" s="12"/>
      <c r="Q872" s="12"/>
      <c r="R872" s="20"/>
      <c r="S872" s="13"/>
      <c r="T872" s="13"/>
      <c r="U872" s="21"/>
    </row>
    <row r="873" spans="1:21" ht="13.2" x14ac:dyDescent="0.25">
      <c r="A873" s="9"/>
      <c r="B873" s="9"/>
      <c r="C873" s="9"/>
      <c r="D873" s="9"/>
      <c r="E873" s="9"/>
      <c r="F873" s="14"/>
      <c r="G873" s="15"/>
      <c r="H873" s="15"/>
      <c r="I873" s="15"/>
      <c r="J873" s="15"/>
      <c r="K873" s="15"/>
      <c r="L873" s="15"/>
      <c r="M873" s="11"/>
      <c r="N873" s="11"/>
      <c r="O873" s="19"/>
      <c r="P873" s="12"/>
      <c r="Q873" s="12"/>
      <c r="R873" s="20"/>
      <c r="S873" s="13"/>
      <c r="T873" s="13"/>
      <c r="U873" s="21"/>
    </row>
    <row r="874" spans="1:21" ht="13.2" x14ac:dyDescent="0.25">
      <c r="A874" s="9"/>
      <c r="B874" s="9"/>
      <c r="C874" s="9"/>
      <c r="D874" s="9"/>
      <c r="E874" s="9"/>
      <c r="F874" s="14"/>
      <c r="G874" s="15"/>
      <c r="H874" s="15"/>
      <c r="I874" s="15"/>
      <c r="J874" s="15"/>
      <c r="K874" s="15"/>
      <c r="L874" s="15"/>
      <c r="M874" s="11"/>
      <c r="N874" s="11"/>
      <c r="O874" s="19"/>
      <c r="P874" s="12"/>
      <c r="Q874" s="12"/>
      <c r="R874" s="20"/>
      <c r="S874" s="13"/>
      <c r="T874" s="13"/>
      <c r="U874" s="21"/>
    </row>
    <row r="875" spans="1:21" ht="13.2" x14ac:dyDescent="0.25">
      <c r="A875" s="9"/>
      <c r="B875" s="9"/>
      <c r="C875" s="9"/>
      <c r="D875" s="9"/>
      <c r="E875" s="9"/>
      <c r="F875" s="14"/>
      <c r="G875" s="15"/>
      <c r="H875" s="15"/>
      <c r="I875" s="15"/>
      <c r="J875" s="15"/>
      <c r="K875" s="15"/>
      <c r="L875" s="15"/>
      <c r="M875" s="11"/>
      <c r="N875" s="11"/>
      <c r="O875" s="19"/>
      <c r="P875" s="12"/>
      <c r="Q875" s="12"/>
      <c r="R875" s="20"/>
      <c r="S875" s="13"/>
      <c r="T875" s="13"/>
      <c r="U875" s="21"/>
    </row>
    <row r="876" spans="1:21" ht="13.2" x14ac:dyDescent="0.25">
      <c r="A876" s="9"/>
      <c r="B876" s="9"/>
      <c r="C876" s="9"/>
      <c r="D876" s="9"/>
      <c r="E876" s="9"/>
      <c r="F876" s="14"/>
      <c r="G876" s="15"/>
      <c r="H876" s="15"/>
      <c r="I876" s="15"/>
      <c r="J876" s="15"/>
      <c r="K876" s="15"/>
      <c r="L876" s="15"/>
      <c r="M876" s="11"/>
      <c r="N876" s="11"/>
      <c r="O876" s="19"/>
      <c r="P876" s="12"/>
      <c r="Q876" s="12"/>
      <c r="R876" s="20"/>
      <c r="S876" s="13"/>
      <c r="T876" s="13"/>
      <c r="U876" s="21"/>
    </row>
    <row r="877" spans="1:21" ht="13.2" x14ac:dyDescent="0.25">
      <c r="A877" s="9"/>
      <c r="B877" s="9"/>
      <c r="C877" s="9"/>
      <c r="D877" s="9"/>
      <c r="E877" s="9"/>
      <c r="F877" s="14"/>
      <c r="G877" s="15"/>
      <c r="H877" s="15"/>
      <c r="I877" s="15"/>
      <c r="J877" s="15"/>
      <c r="K877" s="15"/>
      <c r="L877" s="15"/>
      <c r="M877" s="11"/>
      <c r="N877" s="11"/>
      <c r="O877" s="19"/>
      <c r="P877" s="12"/>
      <c r="Q877" s="12"/>
      <c r="R877" s="20"/>
      <c r="S877" s="13"/>
      <c r="T877" s="13"/>
      <c r="U877" s="21"/>
    </row>
    <row r="878" spans="1:21" ht="13.2" x14ac:dyDescent="0.25">
      <c r="A878" s="9"/>
      <c r="B878" s="9"/>
      <c r="C878" s="9"/>
      <c r="D878" s="9"/>
      <c r="E878" s="9"/>
      <c r="F878" s="14"/>
      <c r="G878" s="15"/>
      <c r="H878" s="15"/>
      <c r="I878" s="15"/>
      <c r="J878" s="15"/>
      <c r="K878" s="15"/>
      <c r="L878" s="15"/>
      <c r="M878" s="11"/>
      <c r="N878" s="11"/>
      <c r="O878" s="19"/>
      <c r="P878" s="12"/>
      <c r="Q878" s="12"/>
      <c r="R878" s="20"/>
      <c r="S878" s="13"/>
      <c r="T878" s="13"/>
      <c r="U878" s="21"/>
    </row>
    <row r="879" spans="1:21" ht="13.2" x14ac:dyDescent="0.25">
      <c r="A879" s="9"/>
      <c r="B879" s="9"/>
      <c r="C879" s="9"/>
      <c r="D879" s="9"/>
      <c r="E879" s="9"/>
      <c r="F879" s="14"/>
      <c r="G879" s="15"/>
      <c r="H879" s="15"/>
      <c r="I879" s="15"/>
      <c r="J879" s="15"/>
      <c r="K879" s="15"/>
      <c r="L879" s="15"/>
      <c r="M879" s="11"/>
      <c r="N879" s="11"/>
      <c r="O879" s="19"/>
      <c r="P879" s="12"/>
      <c r="Q879" s="12"/>
      <c r="R879" s="20"/>
      <c r="S879" s="13"/>
      <c r="T879" s="13"/>
      <c r="U879" s="21"/>
    </row>
    <row r="880" spans="1:21" ht="13.2" x14ac:dyDescent="0.25">
      <c r="A880" s="9"/>
      <c r="B880" s="9"/>
      <c r="C880" s="9"/>
      <c r="D880" s="9"/>
      <c r="E880" s="9"/>
      <c r="F880" s="14"/>
      <c r="G880" s="15"/>
      <c r="H880" s="15"/>
      <c r="I880" s="15"/>
      <c r="J880" s="15"/>
      <c r="K880" s="15"/>
      <c r="L880" s="15"/>
      <c r="M880" s="11"/>
      <c r="N880" s="11"/>
      <c r="O880" s="19"/>
      <c r="P880" s="12"/>
      <c r="Q880" s="12"/>
      <c r="R880" s="20"/>
      <c r="S880" s="13"/>
      <c r="T880" s="13"/>
      <c r="U880" s="21"/>
    </row>
    <row r="881" spans="1:21" ht="13.2" x14ac:dyDescent="0.25">
      <c r="A881" s="9"/>
      <c r="B881" s="9"/>
      <c r="C881" s="9"/>
      <c r="D881" s="9"/>
      <c r="E881" s="9"/>
      <c r="F881" s="14"/>
      <c r="G881" s="15"/>
      <c r="H881" s="15"/>
      <c r="I881" s="15"/>
      <c r="J881" s="15"/>
      <c r="K881" s="15"/>
      <c r="L881" s="15"/>
      <c r="M881" s="11"/>
      <c r="N881" s="11"/>
      <c r="O881" s="19"/>
      <c r="P881" s="12"/>
      <c r="Q881" s="12"/>
      <c r="R881" s="20"/>
      <c r="S881" s="13"/>
      <c r="T881" s="13"/>
      <c r="U881" s="21"/>
    </row>
    <row r="882" spans="1:21" ht="13.2" x14ac:dyDescent="0.25">
      <c r="A882" s="9"/>
      <c r="B882" s="9"/>
      <c r="C882" s="9"/>
      <c r="D882" s="9"/>
      <c r="E882" s="9"/>
      <c r="F882" s="14"/>
      <c r="G882" s="15"/>
      <c r="H882" s="15"/>
      <c r="I882" s="15"/>
      <c r="J882" s="15"/>
      <c r="K882" s="15"/>
      <c r="L882" s="15"/>
      <c r="M882" s="11"/>
      <c r="N882" s="11"/>
      <c r="O882" s="19"/>
      <c r="P882" s="12"/>
      <c r="Q882" s="12"/>
      <c r="R882" s="20"/>
      <c r="S882" s="13"/>
      <c r="T882" s="13"/>
      <c r="U882" s="21"/>
    </row>
    <row r="883" spans="1:21" ht="13.2" x14ac:dyDescent="0.25">
      <c r="A883" s="9"/>
      <c r="B883" s="9"/>
      <c r="C883" s="9"/>
      <c r="D883" s="9"/>
      <c r="E883" s="9"/>
      <c r="F883" s="14"/>
      <c r="G883" s="15"/>
      <c r="H883" s="15"/>
      <c r="I883" s="15"/>
      <c r="J883" s="15"/>
      <c r="K883" s="15"/>
      <c r="L883" s="15"/>
      <c r="M883" s="11"/>
      <c r="N883" s="11"/>
      <c r="O883" s="19"/>
      <c r="P883" s="12"/>
      <c r="Q883" s="12"/>
      <c r="R883" s="20"/>
      <c r="S883" s="13"/>
      <c r="T883" s="13"/>
      <c r="U883" s="21"/>
    </row>
    <row r="884" spans="1:21" ht="13.2" x14ac:dyDescent="0.25">
      <c r="A884" s="9"/>
      <c r="B884" s="9"/>
      <c r="C884" s="9"/>
      <c r="D884" s="9"/>
      <c r="E884" s="9"/>
      <c r="F884" s="14"/>
      <c r="G884" s="15"/>
      <c r="H884" s="15"/>
      <c r="I884" s="15"/>
      <c r="J884" s="15"/>
      <c r="K884" s="15"/>
      <c r="L884" s="15"/>
      <c r="M884" s="11"/>
      <c r="N884" s="11"/>
      <c r="O884" s="19"/>
      <c r="P884" s="12"/>
      <c r="Q884" s="12"/>
      <c r="R884" s="20"/>
      <c r="S884" s="13"/>
      <c r="T884" s="13"/>
      <c r="U884" s="21"/>
    </row>
    <row r="885" spans="1:21" ht="13.2" x14ac:dyDescent="0.25">
      <c r="A885" s="9"/>
      <c r="B885" s="9"/>
      <c r="C885" s="9"/>
      <c r="D885" s="9"/>
      <c r="E885" s="9"/>
      <c r="F885" s="14"/>
      <c r="G885" s="15"/>
      <c r="H885" s="15"/>
      <c r="I885" s="15"/>
      <c r="J885" s="15"/>
      <c r="K885" s="15"/>
      <c r="L885" s="15"/>
      <c r="M885" s="11"/>
      <c r="N885" s="11"/>
      <c r="O885" s="19"/>
      <c r="P885" s="12"/>
      <c r="Q885" s="12"/>
      <c r="R885" s="20"/>
      <c r="S885" s="13"/>
      <c r="T885" s="13"/>
      <c r="U885" s="21"/>
    </row>
    <row r="886" spans="1:21" ht="13.2" x14ac:dyDescent="0.25">
      <c r="A886" s="9"/>
      <c r="B886" s="9"/>
      <c r="C886" s="9"/>
      <c r="D886" s="9"/>
      <c r="E886" s="9"/>
      <c r="F886" s="14"/>
      <c r="G886" s="15"/>
      <c r="H886" s="15"/>
      <c r="I886" s="15"/>
      <c r="J886" s="15"/>
      <c r="K886" s="15"/>
      <c r="L886" s="15"/>
      <c r="M886" s="11"/>
      <c r="N886" s="11"/>
      <c r="O886" s="19"/>
      <c r="P886" s="12"/>
      <c r="Q886" s="12"/>
      <c r="R886" s="20"/>
      <c r="S886" s="13"/>
      <c r="T886" s="13"/>
      <c r="U886" s="21"/>
    </row>
    <row r="887" spans="1:21" ht="13.2" x14ac:dyDescent="0.25">
      <c r="A887" s="9"/>
      <c r="B887" s="9"/>
      <c r="C887" s="9"/>
      <c r="D887" s="9"/>
      <c r="E887" s="9"/>
      <c r="F887" s="14"/>
      <c r="G887" s="15"/>
      <c r="H887" s="15"/>
      <c r="I887" s="15"/>
      <c r="J887" s="15"/>
      <c r="K887" s="15"/>
      <c r="L887" s="15"/>
      <c r="M887" s="11"/>
      <c r="N887" s="11"/>
      <c r="O887" s="19"/>
      <c r="P887" s="12"/>
      <c r="Q887" s="12"/>
      <c r="R887" s="20"/>
      <c r="S887" s="13"/>
      <c r="T887" s="13"/>
      <c r="U887" s="21"/>
    </row>
    <row r="888" spans="1:21" ht="13.2" x14ac:dyDescent="0.25">
      <c r="A888" s="9"/>
      <c r="B888" s="9"/>
      <c r="C888" s="9"/>
      <c r="D888" s="9"/>
      <c r="E888" s="9"/>
      <c r="F888" s="14"/>
      <c r="G888" s="15"/>
      <c r="H888" s="15"/>
      <c r="I888" s="15"/>
      <c r="J888" s="15"/>
      <c r="K888" s="15"/>
      <c r="L888" s="15"/>
      <c r="M888" s="11"/>
      <c r="N888" s="11"/>
      <c r="O888" s="19"/>
      <c r="P888" s="12"/>
      <c r="Q888" s="12"/>
      <c r="R888" s="20"/>
      <c r="S888" s="13"/>
      <c r="T888" s="13"/>
      <c r="U888" s="21"/>
    </row>
    <row r="889" spans="1:21" ht="13.2" x14ac:dyDescent="0.25">
      <c r="A889" s="9"/>
      <c r="B889" s="9"/>
      <c r="C889" s="9"/>
      <c r="D889" s="9"/>
      <c r="E889" s="9"/>
      <c r="F889" s="14"/>
      <c r="G889" s="15"/>
      <c r="H889" s="15"/>
      <c r="I889" s="15"/>
      <c r="J889" s="15"/>
      <c r="K889" s="15"/>
      <c r="L889" s="15"/>
      <c r="M889" s="11"/>
      <c r="N889" s="11"/>
      <c r="O889" s="19"/>
      <c r="P889" s="12"/>
      <c r="Q889" s="12"/>
      <c r="R889" s="20"/>
      <c r="S889" s="13"/>
      <c r="T889" s="13"/>
      <c r="U889" s="21"/>
    </row>
    <row r="890" spans="1:21" ht="13.2" x14ac:dyDescent="0.25">
      <c r="A890" s="9"/>
      <c r="B890" s="9"/>
      <c r="C890" s="9"/>
      <c r="D890" s="9"/>
      <c r="E890" s="9"/>
      <c r="F890" s="14"/>
      <c r="G890" s="15"/>
      <c r="H890" s="15"/>
      <c r="I890" s="15"/>
      <c r="J890" s="15"/>
      <c r="K890" s="15"/>
      <c r="L890" s="15"/>
      <c r="M890" s="11"/>
      <c r="N890" s="11"/>
      <c r="O890" s="19"/>
      <c r="P890" s="12"/>
      <c r="Q890" s="12"/>
      <c r="R890" s="20"/>
      <c r="S890" s="13"/>
      <c r="T890" s="13"/>
      <c r="U890" s="21"/>
    </row>
    <row r="891" spans="1:21" ht="13.2" x14ac:dyDescent="0.25">
      <c r="A891" s="9"/>
      <c r="B891" s="9"/>
      <c r="C891" s="9"/>
      <c r="D891" s="9"/>
      <c r="E891" s="9"/>
      <c r="F891" s="14"/>
      <c r="G891" s="15"/>
      <c r="H891" s="15"/>
      <c r="I891" s="15"/>
      <c r="J891" s="15"/>
      <c r="K891" s="15"/>
      <c r="L891" s="15"/>
      <c r="M891" s="11"/>
      <c r="N891" s="11"/>
      <c r="O891" s="19"/>
      <c r="P891" s="12"/>
      <c r="Q891" s="12"/>
      <c r="R891" s="20"/>
      <c r="S891" s="13"/>
      <c r="T891" s="13"/>
      <c r="U891" s="21"/>
    </row>
    <row r="892" spans="1:21" ht="13.2" x14ac:dyDescent="0.25">
      <c r="A892" s="9"/>
      <c r="B892" s="9"/>
      <c r="C892" s="9"/>
      <c r="D892" s="9"/>
      <c r="E892" s="9"/>
      <c r="F892" s="14"/>
      <c r="G892" s="15"/>
      <c r="H892" s="15"/>
      <c r="I892" s="15"/>
      <c r="J892" s="15"/>
      <c r="K892" s="15"/>
      <c r="L892" s="15"/>
      <c r="M892" s="11"/>
      <c r="N892" s="11"/>
      <c r="O892" s="19"/>
      <c r="P892" s="12"/>
      <c r="Q892" s="12"/>
      <c r="R892" s="20"/>
      <c r="S892" s="13"/>
      <c r="T892" s="13"/>
      <c r="U892" s="21"/>
    </row>
    <row r="893" spans="1:21" ht="13.2" x14ac:dyDescent="0.25">
      <c r="A893" s="9"/>
      <c r="B893" s="9"/>
      <c r="C893" s="9"/>
      <c r="D893" s="9"/>
      <c r="E893" s="9"/>
      <c r="F893" s="14"/>
      <c r="G893" s="15"/>
      <c r="H893" s="15"/>
      <c r="I893" s="15"/>
      <c r="J893" s="15"/>
      <c r="K893" s="15"/>
      <c r="L893" s="15"/>
      <c r="M893" s="11"/>
      <c r="N893" s="11"/>
      <c r="O893" s="19"/>
      <c r="P893" s="12"/>
      <c r="Q893" s="12"/>
      <c r="R893" s="20"/>
      <c r="S893" s="13"/>
      <c r="T893" s="13"/>
      <c r="U893" s="21"/>
    </row>
    <row r="894" spans="1:21" ht="13.2" x14ac:dyDescent="0.25">
      <c r="A894" s="9"/>
      <c r="B894" s="9"/>
      <c r="C894" s="9"/>
      <c r="D894" s="9"/>
      <c r="E894" s="9"/>
      <c r="F894" s="14"/>
      <c r="G894" s="15"/>
      <c r="H894" s="15"/>
      <c r="I894" s="15"/>
      <c r="J894" s="15"/>
      <c r="K894" s="15"/>
      <c r="L894" s="15"/>
      <c r="M894" s="11"/>
      <c r="N894" s="11"/>
      <c r="O894" s="19"/>
      <c r="P894" s="12"/>
      <c r="Q894" s="12"/>
      <c r="R894" s="20"/>
      <c r="S894" s="13"/>
      <c r="T894" s="13"/>
      <c r="U894" s="21"/>
    </row>
    <row r="895" spans="1:21" ht="13.2" x14ac:dyDescent="0.25">
      <c r="A895" s="9"/>
      <c r="B895" s="9"/>
      <c r="C895" s="9"/>
      <c r="D895" s="9"/>
      <c r="E895" s="9"/>
      <c r="F895" s="14"/>
      <c r="G895" s="15"/>
      <c r="H895" s="15"/>
      <c r="I895" s="15"/>
      <c r="J895" s="15"/>
      <c r="K895" s="15"/>
      <c r="L895" s="15"/>
      <c r="M895" s="11"/>
      <c r="N895" s="11"/>
      <c r="O895" s="19"/>
      <c r="P895" s="12"/>
      <c r="Q895" s="12"/>
      <c r="R895" s="20"/>
      <c r="S895" s="13"/>
      <c r="T895" s="13"/>
      <c r="U895" s="21"/>
    </row>
    <row r="896" spans="1:21" ht="13.2" x14ac:dyDescent="0.25">
      <c r="A896" s="9"/>
      <c r="B896" s="9"/>
      <c r="C896" s="9"/>
      <c r="D896" s="9"/>
      <c r="E896" s="9"/>
      <c r="F896" s="14"/>
      <c r="G896" s="15"/>
      <c r="H896" s="15"/>
      <c r="I896" s="15"/>
      <c r="J896" s="15"/>
      <c r="K896" s="15"/>
      <c r="L896" s="15"/>
      <c r="M896" s="11"/>
      <c r="N896" s="11"/>
      <c r="O896" s="19"/>
      <c r="P896" s="12"/>
      <c r="Q896" s="12"/>
      <c r="R896" s="20"/>
      <c r="S896" s="13"/>
      <c r="T896" s="13"/>
      <c r="U896" s="21"/>
    </row>
    <row r="897" spans="1:21" ht="13.2" x14ac:dyDescent="0.25">
      <c r="A897" s="9"/>
      <c r="B897" s="9"/>
      <c r="C897" s="9"/>
      <c r="D897" s="9"/>
      <c r="E897" s="9"/>
      <c r="F897" s="14"/>
      <c r="G897" s="15"/>
      <c r="H897" s="15"/>
      <c r="I897" s="15"/>
      <c r="J897" s="15"/>
      <c r="K897" s="15"/>
      <c r="L897" s="15"/>
      <c r="M897" s="11"/>
      <c r="N897" s="11"/>
      <c r="O897" s="19"/>
      <c r="P897" s="12"/>
      <c r="Q897" s="12"/>
      <c r="R897" s="20"/>
      <c r="S897" s="13"/>
      <c r="T897" s="13"/>
      <c r="U897" s="21"/>
    </row>
    <row r="898" spans="1:21" ht="13.2" x14ac:dyDescent="0.25">
      <c r="A898" s="9"/>
      <c r="B898" s="9"/>
      <c r="C898" s="9"/>
      <c r="D898" s="9"/>
      <c r="E898" s="9"/>
      <c r="F898" s="14"/>
      <c r="G898" s="15"/>
      <c r="H898" s="15"/>
      <c r="I898" s="15"/>
      <c r="J898" s="15"/>
      <c r="K898" s="15"/>
      <c r="L898" s="15"/>
      <c r="M898" s="11"/>
      <c r="N898" s="11"/>
      <c r="O898" s="19"/>
      <c r="P898" s="12"/>
      <c r="Q898" s="12"/>
      <c r="R898" s="20"/>
      <c r="S898" s="13"/>
      <c r="T898" s="13"/>
      <c r="U898" s="21"/>
    </row>
    <row r="899" spans="1:21" ht="13.2" x14ac:dyDescent="0.25">
      <c r="A899" s="9"/>
      <c r="B899" s="9"/>
      <c r="C899" s="9"/>
      <c r="D899" s="9"/>
      <c r="E899" s="9"/>
      <c r="F899" s="14"/>
      <c r="G899" s="15"/>
      <c r="H899" s="15"/>
      <c r="I899" s="15"/>
      <c r="J899" s="15"/>
      <c r="K899" s="15"/>
      <c r="L899" s="15"/>
      <c r="M899" s="11"/>
      <c r="N899" s="11"/>
      <c r="O899" s="19"/>
      <c r="P899" s="12"/>
      <c r="Q899" s="12"/>
      <c r="R899" s="20"/>
      <c r="S899" s="13"/>
      <c r="T899" s="13"/>
      <c r="U899" s="21"/>
    </row>
    <row r="900" spans="1:21" ht="13.2" x14ac:dyDescent="0.25">
      <c r="A900" s="9"/>
      <c r="B900" s="9"/>
      <c r="C900" s="9"/>
      <c r="D900" s="9"/>
      <c r="E900" s="9"/>
      <c r="F900" s="14"/>
      <c r="G900" s="15"/>
      <c r="H900" s="15"/>
      <c r="I900" s="15"/>
      <c r="J900" s="15"/>
      <c r="K900" s="15"/>
      <c r="L900" s="15"/>
      <c r="M900" s="11"/>
      <c r="N900" s="11"/>
      <c r="O900" s="19"/>
      <c r="P900" s="12"/>
      <c r="Q900" s="12"/>
      <c r="R900" s="20"/>
      <c r="S900" s="13"/>
      <c r="T900" s="13"/>
      <c r="U900" s="21"/>
    </row>
    <row r="901" spans="1:21" ht="13.2" x14ac:dyDescent="0.25">
      <c r="A901" s="9"/>
      <c r="B901" s="9"/>
      <c r="C901" s="9"/>
      <c r="D901" s="9"/>
      <c r="E901" s="9"/>
      <c r="F901" s="14"/>
      <c r="G901" s="15"/>
      <c r="H901" s="15"/>
      <c r="I901" s="15"/>
      <c r="J901" s="15"/>
      <c r="K901" s="15"/>
      <c r="L901" s="15"/>
      <c r="M901" s="11"/>
      <c r="N901" s="11"/>
      <c r="O901" s="19"/>
      <c r="P901" s="12"/>
      <c r="Q901" s="12"/>
      <c r="R901" s="20"/>
      <c r="S901" s="13"/>
      <c r="T901" s="13"/>
      <c r="U901" s="21"/>
    </row>
    <row r="902" spans="1:21" ht="13.2" x14ac:dyDescent="0.25">
      <c r="A902" s="9"/>
      <c r="B902" s="9"/>
      <c r="C902" s="9"/>
      <c r="D902" s="9"/>
      <c r="E902" s="9"/>
      <c r="F902" s="14"/>
      <c r="G902" s="15"/>
      <c r="H902" s="15"/>
      <c r="I902" s="15"/>
      <c r="J902" s="15"/>
      <c r="K902" s="15"/>
      <c r="L902" s="15"/>
      <c r="M902" s="11"/>
      <c r="N902" s="11"/>
      <c r="O902" s="19"/>
      <c r="P902" s="12"/>
      <c r="Q902" s="12"/>
      <c r="R902" s="20"/>
      <c r="S902" s="13"/>
      <c r="T902" s="13"/>
      <c r="U902" s="21"/>
    </row>
    <row r="903" spans="1:21" ht="13.2" x14ac:dyDescent="0.25">
      <c r="A903" s="9"/>
      <c r="B903" s="9"/>
      <c r="C903" s="9"/>
      <c r="D903" s="9"/>
      <c r="E903" s="9"/>
      <c r="F903" s="14"/>
      <c r="G903" s="15"/>
      <c r="H903" s="15"/>
      <c r="I903" s="15"/>
      <c r="J903" s="15"/>
      <c r="K903" s="15"/>
      <c r="L903" s="15"/>
      <c r="M903" s="11"/>
      <c r="N903" s="11"/>
      <c r="O903" s="19"/>
      <c r="P903" s="12"/>
      <c r="Q903" s="12"/>
      <c r="R903" s="20"/>
      <c r="S903" s="13"/>
      <c r="T903" s="13"/>
      <c r="U903" s="21"/>
    </row>
    <row r="904" spans="1:21" ht="13.2" x14ac:dyDescent="0.25">
      <c r="A904" s="9"/>
      <c r="B904" s="9"/>
      <c r="C904" s="9"/>
      <c r="D904" s="9"/>
      <c r="E904" s="9"/>
      <c r="F904" s="14"/>
      <c r="G904" s="15"/>
      <c r="H904" s="15"/>
      <c r="I904" s="15"/>
      <c r="J904" s="15"/>
      <c r="K904" s="15"/>
      <c r="L904" s="15"/>
      <c r="M904" s="11"/>
      <c r="N904" s="11"/>
      <c r="O904" s="19"/>
      <c r="P904" s="12"/>
      <c r="Q904" s="12"/>
      <c r="R904" s="20"/>
      <c r="S904" s="13"/>
      <c r="T904" s="13"/>
      <c r="U904" s="21"/>
    </row>
    <row r="905" spans="1:21" ht="13.2" x14ac:dyDescent="0.25">
      <c r="A905" s="9"/>
      <c r="B905" s="9"/>
      <c r="C905" s="9"/>
      <c r="D905" s="9"/>
      <c r="E905" s="9"/>
      <c r="F905" s="14"/>
      <c r="G905" s="15"/>
      <c r="H905" s="15"/>
      <c r="I905" s="15"/>
      <c r="J905" s="15"/>
      <c r="K905" s="15"/>
      <c r="L905" s="15"/>
      <c r="M905" s="11"/>
      <c r="N905" s="11"/>
      <c r="O905" s="19"/>
      <c r="P905" s="12"/>
      <c r="Q905" s="12"/>
      <c r="R905" s="20"/>
      <c r="S905" s="13"/>
      <c r="T905" s="13"/>
      <c r="U905" s="21"/>
    </row>
    <row r="906" spans="1:21" ht="13.2" x14ac:dyDescent="0.25">
      <c r="A906" s="9"/>
      <c r="B906" s="9"/>
      <c r="C906" s="9"/>
      <c r="D906" s="9"/>
      <c r="E906" s="9"/>
      <c r="F906" s="14"/>
      <c r="G906" s="15"/>
      <c r="H906" s="15"/>
      <c r="I906" s="15"/>
      <c r="J906" s="15"/>
      <c r="K906" s="15"/>
      <c r="L906" s="15"/>
      <c r="M906" s="11"/>
      <c r="N906" s="11"/>
      <c r="O906" s="19"/>
      <c r="P906" s="12"/>
      <c r="Q906" s="12"/>
      <c r="R906" s="20"/>
      <c r="S906" s="13"/>
      <c r="T906" s="13"/>
      <c r="U906" s="21"/>
    </row>
    <row r="907" spans="1:21" ht="13.2" x14ac:dyDescent="0.25">
      <c r="A907" s="9"/>
      <c r="B907" s="9"/>
      <c r="C907" s="9"/>
      <c r="D907" s="9"/>
      <c r="E907" s="9"/>
      <c r="F907" s="14"/>
      <c r="G907" s="15"/>
      <c r="H907" s="15"/>
      <c r="I907" s="15"/>
      <c r="J907" s="15"/>
      <c r="K907" s="15"/>
      <c r="L907" s="15"/>
      <c r="M907" s="11"/>
      <c r="N907" s="11"/>
      <c r="O907" s="19"/>
      <c r="P907" s="12"/>
      <c r="Q907" s="12"/>
      <c r="R907" s="20"/>
      <c r="S907" s="13"/>
      <c r="T907" s="13"/>
      <c r="U907" s="21"/>
    </row>
    <row r="908" spans="1:21" ht="13.2" x14ac:dyDescent="0.25">
      <c r="A908" s="9"/>
      <c r="B908" s="9"/>
      <c r="C908" s="9"/>
      <c r="D908" s="9"/>
      <c r="E908" s="9"/>
      <c r="F908" s="14"/>
      <c r="G908" s="15"/>
      <c r="H908" s="15"/>
      <c r="I908" s="15"/>
      <c r="J908" s="15"/>
      <c r="K908" s="15"/>
      <c r="L908" s="15"/>
      <c r="M908" s="11"/>
      <c r="N908" s="11"/>
      <c r="O908" s="19"/>
      <c r="P908" s="12"/>
      <c r="Q908" s="12"/>
      <c r="R908" s="20"/>
      <c r="S908" s="13"/>
      <c r="T908" s="13"/>
      <c r="U908" s="21"/>
    </row>
    <row r="909" spans="1:21" ht="13.2" x14ac:dyDescent="0.25">
      <c r="A909" s="9"/>
      <c r="B909" s="9"/>
      <c r="C909" s="9"/>
      <c r="D909" s="9"/>
      <c r="E909" s="9"/>
      <c r="F909" s="14"/>
      <c r="G909" s="15"/>
      <c r="H909" s="15"/>
      <c r="I909" s="15"/>
      <c r="J909" s="15"/>
      <c r="K909" s="15"/>
      <c r="L909" s="15"/>
      <c r="M909" s="11"/>
      <c r="N909" s="11"/>
      <c r="O909" s="19"/>
      <c r="P909" s="12"/>
      <c r="Q909" s="12"/>
      <c r="R909" s="20"/>
      <c r="S909" s="13"/>
      <c r="T909" s="13"/>
      <c r="U909" s="21"/>
    </row>
    <row r="910" spans="1:21" ht="13.2" x14ac:dyDescent="0.25">
      <c r="A910" s="9"/>
      <c r="B910" s="9"/>
      <c r="C910" s="9"/>
      <c r="D910" s="9"/>
      <c r="E910" s="9"/>
      <c r="F910" s="14"/>
      <c r="G910" s="15"/>
      <c r="H910" s="15"/>
      <c r="I910" s="15"/>
      <c r="J910" s="15"/>
      <c r="K910" s="15"/>
      <c r="L910" s="15"/>
      <c r="M910" s="11"/>
      <c r="N910" s="11"/>
      <c r="O910" s="19"/>
      <c r="P910" s="12"/>
      <c r="Q910" s="12"/>
      <c r="R910" s="20"/>
      <c r="S910" s="13"/>
      <c r="T910" s="13"/>
      <c r="U910" s="21"/>
    </row>
    <row r="911" spans="1:21" ht="13.2" x14ac:dyDescent="0.25">
      <c r="A911" s="9"/>
      <c r="B911" s="9"/>
      <c r="C911" s="9"/>
      <c r="D911" s="9"/>
      <c r="E911" s="9"/>
      <c r="F911" s="14"/>
      <c r="G911" s="15"/>
      <c r="H911" s="15"/>
      <c r="I911" s="15"/>
      <c r="J911" s="15"/>
      <c r="K911" s="15"/>
      <c r="L911" s="15"/>
      <c r="M911" s="11"/>
      <c r="N911" s="11"/>
      <c r="O911" s="19"/>
      <c r="P911" s="12"/>
      <c r="Q911" s="12"/>
      <c r="R911" s="20"/>
      <c r="S911" s="13"/>
      <c r="T911" s="13"/>
      <c r="U911" s="21"/>
    </row>
    <row r="912" spans="1:21" ht="13.2" x14ac:dyDescent="0.25">
      <c r="A912" s="9"/>
      <c r="B912" s="9"/>
      <c r="C912" s="9"/>
      <c r="D912" s="9"/>
      <c r="E912" s="9"/>
      <c r="F912" s="14"/>
      <c r="G912" s="15"/>
      <c r="H912" s="15"/>
      <c r="I912" s="15"/>
      <c r="J912" s="15"/>
      <c r="K912" s="15"/>
      <c r="L912" s="15"/>
      <c r="M912" s="11"/>
      <c r="N912" s="11"/>
      <c r="O912" s="19"/>
      <c r="P912" s="12"/>
      <c r="Q912" s="12"/>
      <c r="R912" s="20"/>
      <c r="S912" s="13"/>
      <c r="T912" s="13"/>
      <c r="U912" s="21"/>
    </row>
    <row r="913" spans="1:21" ht="13.2" x14ac:dyDescent="0.25">
      <c r="A913" s="9"/>
      <c r="B913" s="9"/>
      <c r="C913" s="9"/>
      <c r="D913" s="9"/>
      <c r="E913" s="9"/>
      <c r="F913" s="14"/>
      <c r="G913" s="15"/>
      <c r="H913" s="15"/>
      <c r="I913" s="15"/>
      <c r="J913" s="15"/>
      <c r="K913" s="15"/>
      <c r="L913" s="15"/>
      <c r="M913" s="11"/>
      <c r="N913" s="11"/>
      <c r="O913" s="19"/>
      <c r="P913" s="12"/>
      <c r="Q913" s="12"/>
      <c r="R913" s="20"/>
      <c r="S913" s="13"/>
      <c r="T913" s="13"/>
      <c r="U913" s="21"/>
    </row>
    <row r="914" spans="1:21" ht="13.2" x14ac:dyDescent="0.25">
      <c r="A914" s="9"/>
      <c r="B914" s="9"/>
      <c r="C914" s="9"/>
      <c r="D914" s="9"/>
      <c r="E914" s="9"/>
      <c r="F914" s="14"/>
      <c r="G914" s="15"/>
      <c r="H914" s="15"/>
      <c r="I914" s="15"/>
      <c r="J914" s="15"/>
      <c r="K914" s="15"/>
      <c r="L914" s="15"/>
      <c r="M914" s="11"/>
      <c r="N914" s="11"/>
      <c r="O914" s="19"/>
      <c r="P914" s="12"/>
      <c r="Q914" s="12"/>
      <c r="R914" s="20"/>
      <c r="S914" s="13"/>
      <c r="T914" s="13"/>
      <c r="U914" s="21"/>
    </row>
    <row r="915" spans="1:21" ht="13.2" x14ac:dyDescent="0.25">
      <c r="A915" s="9"/>
      <c r="B915" s="9"/>
      <c r="C915" s="9"/>
      <c r="D915" s="9"/>
      <c r="E915" s="9"/>
      <c r="F915" s="14"/>
      <c r="G915" s="15"/>
      <c r="H915" s="15"/>
      <c r="I915" s="15"/>
      <c r="J915" s="15"/>
      <c r="K915" s="15"/>
      <c r="L915" s="15"/>
      <c r="M915" s="11"/>
      <c r="N915" s="11"/>
      <c r="O915" s="19"/>
      <c r="P915" s="12"/>
      <c r="Q915" s="12"/>
      <c r="R915" s="20"/>
      <c r="S915" s="13"/>
      <c r="T915" s="13"/>
      <c r="U915" s="21"/>
    </row>
    <row r="916" spans="1:21" ht="13.2" x14ac:dyDescent="0.25">
      <c r="A916" s="9"/>
      <c r="B916" s="9"/>
      <c r="C916" s="9"/>
      <c r="D916" s="9"/>
      <c r="E916" s="9"/>
      <c r="F916" s="14"/>
      <c r="G916" s="15"/>
      <c r="H916" s="15"/>
      <c r="I916" s="15"/>
      <c r="J916" s="15"/>
      <c r="K916" s="15"/>
      <c r="L916" s="15"/>
      <c r="M916" s="11"/>
      <c r="N916" s="11"/>
      <c r="O916" s="19"/>
      <c r="P916" s="12"/>
      <c r="Q916" s="12"/>
      <c r="R916" s="20"/>
      <c r="S916" s="13"/>
      <c r="T916" s="13"/>
      <c r="U916" s="21"/>
    </row>
    <row r="917" spans="1:21" ht="13.2" x14ac:dyDescent="0.25">
      <c r="A917" s="9"/>
      <c r="B917" s="9"/>
      <c r="C917" s="9"/>
      <c r="D917" s="9"/>
      <c r="E917" s="9"/>
      <c r="F917" s="14"/>
      <c r="G917" s="15"/>
      <c r="H917" s="15"/>
      <c r="I917" s="15"/>
      <c r="J917" s="15"/>
      <c r="K917" s="15"/>
      <c r="L917" s="15"/>
      <c r="M917" s="11"/>
      <c r="N917" s="11"/>
      <c r="O917" s="19"/>
      <c r="P917" s="12"/>
      <c r="Q917" s="12"/>
      <c r="R917" s="20"/>
      <c r="S917" s="13"/>
      <c r="T917" s="13"/>
      <c r="U917" s="21"/>
    </row>
    <row r="918" spans="1:21" ht="13.2" x14ac:dyDescent="0.25">
      <c r="A918" s="9"/>
      <c r="B918" s="9"/>
      <c r="C918" s="9"/>
      <c r="D918" s="9"/>
      <c r="E918" s="9"/>
      <c r="F918" s="14"/>
      <c r="G918" s="15"/>
      <c r="H918" s="15"/>
      <c r="I918" s="15"/>
      <c r="J918" s="15"/>
      <c r="K918" s="15"/>
      <c r="L918" s="15"/>
      <c r="M918" s="11"/>
      <c r="N918" s="11"/>
      <c r="O918" s="19"/>
      <c r="P918" s="12"/>
      <c r="Q918" s="12"/>
      <c r="R918" s="20"/>
      <c r="S918" s="13"/>
      <c r="T918" s="13"/>
      <c r="U918" s="21"/>
    </row>
    <row r="919" spans="1:21" ht="13.2" x14ac:dyDescent="0.25">
      <c r="A919" s="9"/>
      <c r="B919" s="9"/>
      <c r="C919" s="9"/>
      <c r="D919" s="9"/>
      <c r="E919" s="9"/>
      <c r="F919" s="14"/>
      <c r="G919" s="15"/>
      <c r="H919" s="15"/>
      <c r="I919" s="15"/>
      <c r="J919" s="15"/>
      <c r="K919" s="15"/>
      <c r="L919" s="15"/>
      <c r="M919" s="11"/>
      <c r="N919" s="11"/>
      <c r="O919" s="19"/>
      <c r="P919" s="12"/>
      <c r="Q919" s="12"/>
      <c r="R919" s="20"/>
      <c r="S919" s="13"/>
      <c r="T919" s="13"/>
      <c r="U919" s="21"/>
    </row>
    <row r="920" spans="1:21" ht="13.2" x14ac:dyDescent="0.25">
      <c r="A920" s="9"/>
      <c r="B920" s="9"/>
      <c r="C920" s="9"/>
      <c r="D920" s="9"/>
      <c r="E920" s="9"/>
      <c r="F920" s="14"/>
      <c r="G920" s="15"/>
      <c r="H920" s="15"/>
      <c r="I920" s="15"/>
      <c r="J920" s="15"/>
      <c r="K920" s="15"/>
      <c r="L920" s="15"/>
      <c r="M920" s="11"/>
      <c r="N920" s="11"/>
      <c r="O920" s="19"/>
      <c r="P920" s="12"/>
      <c r="Q920" s="12"/>
      <c r="R920" s="20"/>
      <c r="S920" s="13"/>
      <c r="T920" s="13"/>
      <c r="U920" s="21"/>
    </row>
    <row r="921" spans="1:21" ht="13.2" x14ac:dyDescent="0.25">
      <c r="A921" s="9"/>
      <c r="B921" s="9"/>
      <c r="C921" s="9"/>
      <c r="D921" s="9"/>
      <c r="E921" s="9"/>
      <c r="F921" s="14"/>
      <c r="G921" s="15"/>
      <c r="H921" s="15"/>
      <c r="I921" s="15"/>
      <c r="J921" s="15"/>
      <c r="K921" s="15"/>
      <c r="L921" s="15"/>
      <c r="M921" s="11"/>
      <c r="N921" s="11"/>
      <c r="O921" s="19"/>
      <c r="P921" s="12"/>
      <c r="Q921" s="12"/>
      <c r="R921" s="20"/>
      <c r="S921" s="13"/>
      <c r="T921" s="13"/>
      <c r="U921" s="21"/>
    </row>
    <row r="922" spans="1:21" ht="13.2" x14ac:dyDescent="0.25">
      <c r="A922" s="9"/>
      <c r="B922" s="9"/>
      <c r="C922" s="9"/>
      <c r="D922" s="9"/>
      <c r="E922" s="9"/>
      <c r="F922" s="14"/>
      <c r="G922" s="15"/>
      <c r="H922" s="15"/>
      <c r="I922" s="15"/>
      <c r="J922" s="15"/>
      <c r="K922" s="15"/>
      <c r="L922" s="15"/>
      <c r="M922" s="11"/>
      <c r="N922" s="11"/>
      <c r="O922" s="19"/>
      <c r="P922" s="12"/>
      <c r="Q922" s="12"/>
      <c r="R922" s="20"/>
      <c r="S922" s="13"/>
      <c r="T922" s="13"/>
      <c r="U922" s="21"/>
    </row>
    <row r="923" spans="1:21" ht="13.2" x14ac:dyDescent="0.25">
      <c r="A923" s="9"/>
      <c r="B923" s="9"/>
      <c r="C923" s="9"/>
      <c r="D923" s="9"/>
      <c r="E923" s="9"/>
      <c r="F923" s="14"/>
      <c r="G923" s="15"/>
      <c r="H923" s="15"/>
      <c r="I923" s="15"/>
      <c r="J923" s="15"/>
      <c r="K923" s="15"/>
      <c r="L923" s="15"/>
      <c r="M923" s="11"/>
      <c r="N923" s="11"/>
      <c r="O923" s="19"/>
      <c r="P923" s="12"/>
      <c r="Q923" s="12"/>
      <c r="R923" s="20"/>
      <c r="S923" s="13"/>
      <c r="T923" s="13"/>
      <c r="U923" s="21"/>
    </row>
    <row r="924" spans="1:21" ht="13.2" x14ac:dyDescent="0.25">
      <c r="A924" s="9"/>
      <c r="B924" s="9"/>
      <c r="C924" s="9"/>
      <c r="D924" s="9"/>
      <c r="E924" s="9"/>
      <c r="F924" s="14"/>
      <c r="G924" s="15"/>
      <c r="H924" s="15"/>
      <c r="I924" s="15"/>
      <c r="J924" s="15"/>
      <c r="K924" s="15"/>
      <c r="L924" s="15"/>
      <c r="M924" s="11"/>
      <c r="N924" s="11"/>
      <c r="O924" s="19"/>
      <c r="P924" s="12"/>
      <c r="Q924" s="12"/>
      <c r="R924" s="20"/>
      <c r="S924" s="13"/>
      <c r="T924" s="13"/>
      <c r="U924" s="21"/>
    </row>
    <row r="925" spans="1:21" ht="13.2" x14ac:dyDescent="0.25">
      <c r="A925" s="9"/>
      <c r="B925" s="9"/>
      <c r="C925" s="9"/>
      <c r="D925" s="9"/>
      <c r="E925" s="9"/>
      <c r="F925" s="14"/>
      <c r="G925" s="15"/>
      <c r="H925" s="15"/>
      <c r="I925" s="15"/>
      <c r="J925" s="15"/>
      <c r="K925" s="15"/>
      <c r="L925" s="15"/>
      <c r="M925" s="11"/>
      <c r="N925" s="11"/>
      <c r="O925" s="19"/>
      <c r="P925" s="12"/>
      <c r="Q925" s="12"/>
      <c r="R925" s="20"/>
      <c r="S925" s="13"/>
      <c r="T925" s="13"/>
      <c r="U925" s="21"/>
    </row>
    <row r="926" spans="1:21" ht="13.2" x14ac:dyDescent="0.25">
      <c r="A926" s="9"/>
      <c r="B926" s="9"/>
      <c r="C926" s="9"/>
      <c r="D926" s="9"/>
      <c r="E926" s="9"/>
      <c r="F926" s="14"/>
      <c r="G926" s="15"/>
      <c r="H926" s="15"/>
      <c r="I926" s="15"/>
      <c r="J926" s="15"/>
      <c r="K926" s="15"/>
      <c r="L926" s="15"/>
      <c r="M926" s="11"/>
      <c r="N926" s="11"/>
      <c r="O926" s="19"/>
      <c r="P926" s="12"/>
      <c r="Q926" s="12"/>
      <c r="R926" s="20"/>
      <c r="S926" s="13"/>
      <c r="T926" s="13"/>
      <c r="U926" s="21"/>
    </row>
    <row r="927" spans="1:21" ht="13.2" x14ac:dyDescent="0.25">
      <c r="A927" s="9"/>
      <c r="B927" s="9"/>
      <c r="C927" s="9"/>
      <c r="D927" s="9"/>
      <c r="E927" s="9"/>
      <c r="F927" s="14"/>
      <c r="G927" s="15"/>
      <c r="H927" s="15"/>
      <c r="I927" s="15"/>
      <c r="J927" s="15"/>
      <c r="K927" s="15"/>
      <c r="L927" s="15"/>
      <c r="M927" s="11"/>
      <c r="N927" s="11"/>
      <c r="O927" s="19"/>
      <c r="P927" s="12"/>
      <c r="Q927" s="12"/>
      <c r="R927" s="20"/>
      <c r="S927" s="13"/>
      <c r="T927" s="13"/>
      <c r="U927" s="21"/>
    </row>
    <row r="928" spans="1:21" ht="13.2" x14ac:dyDescent="0.25">
      <c r="A928" s="9"/>
      <c r="B928" s="9"/>
      <c r="C928" s="9"/>
      <c r="D928" s="9"/>
      <c r="E928" s="9"/>
      <c r="F928" s="14"/>
      <c r="G928" s="15"/>
      <c r="H928" s="15"/>
      <c r="I928" s="15"/>
      <c r="J928" s="15"/>
      <c r="K928" s="15"/>
      <c r="L928" s="15"/>
      <c r="M928" s="11"/>
      <c r="N928" s="11"/>
      <c r="O928" s="19"/>
      <c r="P928" s="12"/>
      <c r="Q928" s="12"/>
      <c r="R928" s="20"/>
      <c r="S928" s="13"/>
      <c r="T928" s="13"/>
      <c r="U928" s="21"/>
    </row>
    <row r="929" spans="1:21" ht="13.2" x14ac:dyDescent="0.25">
      <c r="A929" s="9"/>
      <c r="B929" s="9"/>
      <c r="C929" s="9"/>
      <c r="D929" s="9"/>
      <c r="E929" s="9"/>
      <c r="F929" s="14"/>
      <c r="G929" s="15"/>
      <c r="H929" s="15"/>
      <c r="I929" s="15"/>
      <c r="J929" s="15"/>
      <c r="K929" s="15"/>
      <c r="L929" s="15"/>
      <c r="M929" s="11"/>
      <c r="N929" s="11"/>
      <c r="O929" s="19"/>
      <c r="P929" s="12"/>
      <c r="Q929" s="12"/>
      <c r="R929" s="20"/>
      <c r="S929" s="13"/>
      <c r="T929" s="13"/>
      <c r="U929" s="21"/>
    </row>
    <row r="930" spans="1:21" ht="13.2" x14ac:dyDescent="0.25">
      <c r="A930" s="9"/>
      <c r="B930" s="9"/>
      <c r="C930" s="9"/>
      <c r="D930" s="9"/>
      <c r="E930" s="9"/>
      <c r="F930" s="14"/>
      <c r="G930" s="15"/>
      <c r="H930" s="15"/>
      <c r="I930" s="15"/>
      <c r="J930" s="15"/>
      <c r="K930" s="15"/>
      <c r="L930" s="15"/>
      <c r="M930" s="11"/>
      <c r="N930" s="11"/>
      <c r="O930" s="19"/>
      <c r="P930" s="12"/>
      <c r="Q930" s="12"/>
      <c r="R930" s="20"/>
      <c r="S930" s="13"/>
      <c r="T930" s="13"/>
      <c r="U930" s="21"/>
    </row>
    <row r="931" spans="1:21" ht="13.2" x14ac:dyDescent="0.25">
      <c r="A931" s="9"/>
      <c r="B931" s="9"/>
      <c r="C931" s="9"/>
      <c r="D931" s="9"/>
      <c r="E931" s="9"/>
      <c r="F931" s="14"/>
      <c r="G931" s="15"/>
      <c r="H931" s="15"/>
      <c r="I931" s="15"/>
      <c r="J931" s="15"/>
      <c r="K931" s="15"/>
      <c r="L931" s="15"/>
      <c r="M931" s="11"/>
      <c r="N931" s="11"/>
      <c r="O931" s="19"/>
      <c r="P931" s="12"/>
      <c r="Q931" s="12"/>
      <c r="R931" s="20"/>
      <c r="S931" s="13"/>
      <c r="T931" s="13"/>
      <c r="U931" s="21"/>
    </row>
    <row r="932" spans="1:21" ht="13.2" x14ac:dyDescent="0.25">
      <c r="A932" s="9"/>
      <c r="B932" s="9"/>
      <c r="C932" s="9"/>
      <c r="D932" s="9"/>
      <c r="E932" s="9"/>
      <c r="F932" s="14"/>
      <c r="G932" s="15"/>
      <c r="H932" s="15"/>
      <c r="I932" s="15"/>
      <c r="J932" s="15"/>
      <c r="K932" s="15"/>
      <c r="L932" s="15"/>
      <c r="M932" s="11"/>
      <c r="N932" s="11"/>
      <c r="O932" s="19"/>
      <c r="P932" s="12"/>
      <c r="Q932" s="12"/>
      <c r="R932" s="20"/>
      <c r="S932" s="13"/>
      <c r="T932" s="13"/>
      <c r="U932" s="21"/>
    </row>
    <row r="933" spans="1:21" ht="13.2" x14ac:dyDescent="0.25">
      <c r="A933" s="9"/>
      <c r="B933" s="9"/>
      <c r="C933" s="9"/>
      <c r="D933" s="9"/>
      <c r="E933" s="9"/>
      <c r="F933" s="14"/>
      <c r="G933" s="15"/>
      <c r="H933" s="15"/>
      <c r="I933" s="15"/>
      <c r="J933" s="15"/>
      <c r="K933" s="15"/>
      <c r="L933" s="15"/>
      <c r="M933" s="11"/>
      <c r="N933" s="11"/>
      <c r="O933" s="19"/>
      <c r="P933" s="12"/>
      <c r="Q933" s="12"/>
      <c r="R933" s="20"/>
      <c r="S933" s="13"/>
      <c r="T933" s="13"/>
      <c r="U933" s="21"/>
    </row>
    <row r="934" spans="1:21" ht="13.2" x14ac:dyDescent="0.25">
      <c r="A934" s="9"/>
      <c r="B934" s="9"/>
      <c r="C934" s="9"/>
      <c r="D934" s="9"/>
      <c r="E934" s="9"/>
      <c r="F934" s="14"/>
      <c r="G934" s="15"/>
      <c r="H934" s="15"/>
      <c r="I934" s="15"/>
      <c r="J934" s="15"/>
      <c r="K934" s="15"/>
      <c r="L934" s="15"/>
      <c r="M934" s="11"/>
      <c r="N934" s="11"/>
      <c r="O934" s="19"/>
      <c r="P934" s="12"/>
      <c r="Q934" s="12"/>
      <c r="R934" s="20"/>
      <c r="S934" s="13"/>
      <c r="T934" s="13"/>
      <c r="U934" s="21"/>
    </row>
    <row r="935" spans="1:21" ht="13.2" x14ac:dyDescent="0.25">
      <c r="A935" s="9"/>
      <c r="B935" s="9"/>
      <c r="C935" s="9"/>
      <c r="D935" s="9"/>
      <c r="E935" s="9"/>
      <c r="F935" s="14"/>
      <c r="G935" s="15"/>
      <c r="H935" s="15"/>
      <c r="I935" s="15"/>
      <c r="J935" s="15"/>
      <c r="K935" s="15"/>
      <c r="L935" s="15"/>
      <c r="M935" s="11"/>
      <c r="N935" s="11"/>
      <c r="O935" s="19"/>
      <c r="P935" s="12"/>
      <c r="Q935" s="12"/>
      <c r="R935" s="20"/>
      <c r="S935" s="13"/>
      <c r="T935" s="13"/>
      <c r="U935" s="21"/>
    </row>
    <row r="936" spans="1:21" ht="13.2" x14ac:dyDescent="0.25">
      <c r="A936" s="9"/>
      <c r="B936" s="9"/>
      <c r="C936" s="9"/>
      <c r="D936" s="9"/>
      <c r="E936" s="9"/>
      <c r="F936" s="14"/>
      <c r="G936" s="15"/>
      <c r="H936" s="15"/>
      <c r="I936" s="15"/>
      <c r="J936" s="15"/>
      <c r="K936" s="15"/>
      <c r="L936" s="15"/>
      <c r="M936" s="11"/>
      <c r="N936" s="11"/>
      <c r="O936" s="19"/>
      <c r="P936" s="12"/>
      <c r="Q936" s="12"/>
      <c r="R936" s="20"/>
      <c r="S936" s="13"/>
      <c r="T936" s="13"/>
      <c r="U936" s="21"/>
    </row>
    <row r="937" spans="1:21" ht="13.2" x14ac:dyDescent="0.25">
      <c r="A937" s="9"/>
      <c r="B937" s="9"/>
      <c r="C937" s="9"/>
      <c r="D937" s="9"/>
      <c r="E937" s="9"/>
      <c r="F937" s="14"/>
      <c r="G937" s="15"/>
      <c r="H937" s="15"/>
      <c r="I937" s="15"/>
      <c r="J937" s="15"/>
      <c r="K937" s="15"/>
      <c r="L937" s="15"/>
      <c r="M937" s="11"/>
      <c r="N937" s="11"/>
      <c r="O937" s="19"/>
      <c r="P937" s="12"/>
      <c r="Q937" s="12"/>
      <c r="R937" s="20"/>
      <c r="S937" s="13"/>
      <c r="T937" s="13"/>
      <c r="U937" s="21"/>
    </row>
    <row r="938" spans="1:21" ht="13.2" x14ac:dyDescent="0.25">
      <c r="A938" s="9"/>
      <c r="B938" s="9"/>
      <c r="C938" s="9"/>
      <c r="D938" s="9"/>
      <c r="E938" s="9"/>
      <c r="F938" s="14"/>
      <c r="G938" s="15"/>
      <c r="H938" s="15"/>
      <c r="I938" s="15"/>
      <c r="J938" s="15"/>
      <c r="K938" s="15"/>
      <c r="L938" s="15"/>
      <c r="M938" s="11"/>
      <c r="N938" s="11"/>
      <c r="O938" s="19"/>
      <c r="P938" s="12"/>
      <c r="Q938" s="12"/>
      <c r="R938" s="20"/>
      <c r="S938" s="13"/>
      <c r="T938" s="13"/>
      <c r="U938" s="21"/>
    </row>
    <row r="939" spans="1:21" ht="13.2" x14ac:dyDescent="0.25">
      <c r="A939" s="9"/>
      <c r="B939" s="9"/>
      <c r="C939" s="9"/>
      <c r="D939" s="9"/>
      <c r="E939" s="9"/>
      <c r="F939" s="14"/>
      <c r="G939" s="15"/>
      <c r="H939" s="15"/>
      <c r="I939" s="15"/>
      <c r="J939" s="15"/>
      <c r="K939" s="15"/>
      <c r="L939" s="15"/>
      <c r="M939" s="11"/>
      <c r="N939" s="11"/>
      <c r="O939" s="19"/>
      <c r="P939" s="12"/>
      <c r="Q939" s="12"/>
      <c r="R939" s="20"/>
      <c r="S939" s="13"/>
      <c r="T939" s="13"/>
      <c r="U939" s="21"/>
    </row>
    <row r="940" spans="1:21" ht="13.2" x14ac:dyDescent="0.25">
      <c r="A940" s="9"/>
      <c r="B940" s="9"/>
      <c r="C940" s="9"/>
      <c r="D940" s="9"/>
      <c r="E940" s="9"/>
      <c r="F940" s="14"/>
      <c r="G940" s="15"/>
      <c r="H940" s="15"/>
      <c r="I940" s="15"/>
      <c r="J940" s="15"/>
      <c r="K940" s="15"/>
      <c r="L940" s="15"/>
      <c r="M940" s="11"/>
      <c r="N940" s="11"/>
      <c r="O940" s="19"/>
      <c r="P940" s="12"/>
      <c r="Q940" s="12"/>
      <c r="R940" s="20"/>
      <c r="S940" s="13"/>
      <c r="T940" s="13"/>
      <c r="U940" s="21"/>
    </row>
    <row r="941" spans="1:21" ht="13.2" x14ac:dyDescent="0.25">
      <c r="A941" s="9"/>
      <c r="B941" s="9"/>
      <c r="C941" s="9"/>
      <c r="D941" s="9"/>
      <c r="E941" s="9"/>
      <c r="F941" s="14"/>
      <c r="G941" s="15"/>
      <c r="H941" s="15"/>
      <c r="I941" s="15"/>
      <c r="J941" s="15"/>
      <c r="K941" s="15"/>
      <c r="L941" s="15"/>
      <c r="M941" s="11"/>
      <c r="N941" s="11"/>
      <c r="O941" s="19"/>
      <c r="P941" s="12"/>
      <c r="Q941" s="12"/>
      <c r="R941" s="20"/>
      <c r="S941" s="13"/>
      <c r="T941" s="13"/>
      <c r="U941" s="21"/>
    </row>
    <row r="942" spans="1:21" ht="13.2" x14ac:dyDescent="0.25">
      <c r="A942" s="9"/>
      <c r="B942" s="9"/>
      <c r="C942" s="9"/>
      <c r="D942" s="9"/>
      <c r="E942" s="9"/>
      <c r="F942" s="14"/>
      <c r="G942" s="15"/>
      <c r="H942" s="15"/>
      <c r="I942" s="15"/>
      <c r="J942" s="15"/>
      <c r="K942" s="15"/>
      <c r="L942" s="15"/>
      <c r="M942" s="11"/>
      <c r="N942" s="11"/>
      <c r="O942" s="19"/>
      <c r="P942" s="12"/>
      <c r="Q942" s="12"/>
      <c r="R942" s="20"/>
      <c r="S942" s="13"/>
      <c r="T942" s="13"/>
      <c r="U942" s="21"/>
    </row>
    <row r="943" spans="1:21" ht="13.2" x14ac:dyDescent="0.25">
      <c r="A943" s="9"/>
      <c r="B943" s="9"/>
      <c r="C943" s="9"/>
      <c r="D943" s="9"/>
      <c r="E943" s="9"/>
      <c r="F943" s="14"/>
      <c r="G943" s="15"/>
      <c r="H943" s="15"/>
      <c r="I943" s="15"/>
      <c r="J943" s="15"/>
      <c r="K943" s="15"/>
      <c r="L943" s="15"/>
      <c r="M943" s="11"/>
      <c r="N943" s="11"/>
      <c r="O943" s="19"/>
      <c r="P943" s="12"/>
      <c r="Q943" s="12"/>
      <c r="R943" s="20"/>
      <c r="S943" s="13"/>
      <c r="T943" s="13"/>
      <c r="U943" s="21"/>
    </row>
    <row r="944" spans="1:21" ht="13.2" x14ac:dyDescent="0.25">
      <c r="A944" s="9"/>
      <c r="B944" s="9"/>
      <c r="C944" s="9"/>
      <c r="D944" s="9"/>
      <c r="E944" s="9"/>
      <c r="F944" s="14"/>
      <c r="G944" s="15"/>
      <c r="H944" s="15"/>
      <c r="I944" s="15"/>
      <c r="J944" s="15"/>
      <c r="K944" s="15"/>
      <c r="L944" s="15"/>
      <c r="M944" s="11"/>
      <c r="N944" s="11"/>
      <c r="O944" s="19"/>
      <c r="P944" s="12"/>
      <c r="Q944" s="12"/>
      <c r="R944" s="20"/>
      <c r="S944" s="13"/>
      <c r="T944" s="13"/>
      <c r="U944" s="21"/>
    </row>
    <row r="945" spans="1:21" ht="13.2" x14ac:dyDescent="0.25">
      <c r="A945" s="9"/>
      <c r="B945" s="9"/>
      <c r="C945" s="9"/>
      <c r="D945" s="9"/>
      <c r="E945" s="9"/>
      <c r="F945" s="14"/>
      <c r="G945" s="15"/>
      <c r="H945" s="15"/>
      <c r="I945" s="15"/>
      <c r="J945" s="15"/>
      <c r="K945" s="15"/>
      <c r="L945" s="15"/>
      <c r="M945" s="11"/>
      <c r="N945" s="11"/>
      <c r="O945" s="19"/>
      <c r="P945" s="12"/>
      <c r="Q945" s="12"/>
      <c r="R945" s="20"/>
      <c r="S945" s="13"/>
      <c r="T945" s="13"/>
      <c r="U945" s="21"/>
    </row>
    <row r="946" spans="1:21" ht="13.2" x14ac:dyDescent="0.25">
      <c r="A946" s="9"/>
      <c r="B946" s="9"/>
      <c r="C946" s="9"/>
      <c r="D946" s="9"/>
      <c r="E946" s="9"/>
      <c r="F946" s="14"/>
      <c r="G946" s="15"/>
      <c r="H946" s="15"/>
      <c r="I946" s="15"/>
      <c r="J946" s="15"/>
      <c r="K946" s="15"/>
      <c r="L946" s="15"/>
      <c r="M946" s="11"/>
      <c r="N946" s="11"/>
      <c r="O946" s="19"/>
      <c r="P946" s="12"/>
      <c r="Q946" s="12"/>
      <c r="R946" s="20"/>
      <c r="S946" s="13"/>
      <c r="T946" s="13"/>
      <c r="U946" s="21"/>
    </row>
    <row r="947" spans="1:21" ht="13.2" x14ac:dyDescent="0.25">
      <c r="A947" s="9"/>
      <c r="B947" s="9"/>
      <c r="C947" s="9"/>
      <c r="D947" s="9"/>
      <c r="E947" s="9"/>
      <c r="F947" s="14"/>
      <c r="G947" s="15"/>
      <c r="H947" s="15"/>
      <c r="I947" s="15"/>
      <c r="J947" s="15"/>
      <c r="K947" s="15"/>
      <c r="L947" s="15"/>
      <c r="M947" s="11"/>
      <c r="N947" s="11"/>
      <c r="O947" s="19"/>
      <c r="P947" s="12"/>
      <c r="Q947" s="12"/>
      <c r="R947" s="20"/>
      <c r="S947" s="13"/>
      <c r="T947" s="13"/>
      <c r="U947" s="21"/>
    </row>
    <row r="948" spans="1:21" ht="13.2" x14ac:dyDescent="0.25">
      <c r="A948" s="9"/>
      <c r="B948" s="9"/>
      <c r="C948" s="9"/>
      <c r="D948" s="9"/>
      <c r="E948" s="9"/>
      <c r="F948" s="14"/>
      <c r="G948" s="15"/>
      <c r="H948" s="15"/>
      <c r="I948" s="15"/>
      <c r="J948" s="15"/>
      <c r="K948" s="15"/>
      <c r="L948" s="15"/>
      <c r="M948" s="11"/>
      <c r="N948" s="11"/>
      <c r="O948" s="19"/>
      <c r="P948" s="12"/>
      <c r="Q948" s="12"/>
      <c r="R948" s="20"/>
      <c r="S948" s="13"/>
      <c r="T948" s="13"/>
      <c r="U948" s="21"/>
    </row>
    <row r="949" spans="1:21" ht="13.2" x14ac:dyDescent="0.25">
      <c r="A949" s="9"/>
      <c r="B949" s="9"/>
      <c r="C949" s="9"/>
      <c r="D949" s="9"/>
      <c r="E949" s="9"/>
      <c r="F949" s="14"/>
      <c r="G949" s="15"/>
      <c r="H949" s="15"/>
      <c r="I949" s="15"/>
      <c r="J949" s="15"/>
      <c r="K949" s="15"/>
      <c r="L949" s="15"/>
      <c r="M949" s="11"/>
      <c r="N949" s="11"/>
      <c r="O949" s="19"/>
      <c r="P949" s="12"/>
      <c r="Q949" s="12"/>
      <c r="R949" s="20"/>
      <c r="S949" s="13"/>
      <c r="T949" s="13"/>
      <c r="U949" s="21"/>
    </row>
    <row r="950" spans="1:21" ht="13.2" x14ac:dyDescent="0.25">
      <c r="A950" s="9"/>
      <c r="B950" s="9"/>
      <c r="C950" s="9"/>
      <c r="D950" s="9"/>
      <c r="E950" s="9"/>
      <c r="F950" s="14"/>
      <c r="G950" s="15"/>
      <c r="H950" s="15"/>
      <c r="I950" s="15"/>
      <c r="J950" s="15"/>
      <c r="K950" s="15"/>
      <c r="L950" s="15"/>
      <c r="M950" s="11"/>
      <c r="N950" s="11"/>
      <c r="O950" s="19"/>
      <c r="P950" s="12"/>
      <c r="Q950" s="12"/>
      <c r="R950" s="20"/>
      <c r="S950" s="13"/>
      <c r="T950" s="13"/>
      <c r="U950" s="21"/>
    </row>
    <row r="951" spans="1:21" ht="13.2" x14ac:dyDescent="0.25">
      <c r="A951" s="9"/>
      <c r="B951" s="9"/>
      <c r="C951" s="9"/>
      <c r="D951" s="9"/>
      <c r="E951" s="9"/>
      <c r="F951" s="14"/>
      <c r="G951" s="15"/>
      <c r="H951" s="15"/>
      <c r="I951" s="15"/>
      <c r="J951" s="15"/>
      <c r="K951" s="15"/>
      <c r="L951" s="15"/>
      <c r="M951" s="11"/>
      <c r="N951" s="11"/>
      <c r="O951" s="19"/>
      <c r="P951" s="12"/>
      <c r="Q951" s="12"/>
      <c r="R951" s="20"/>
      <c r="S951" s="13"/>
      <c r="T951" s="13"/>
      <c r="U951" s="21"/>
    </row>
    <row r="952" spans="1:21" ht="13.2" x14ac:dyDescent="0.25">
      <c r="A952" s="9"/>
      <c r="B952" s="9"/>
      <c r="C952" s="9"/>
      <c r="D952" s="9"/>
      <c r="E952" s="9"/>
      <c r="F952" s="14"/>
      <c r="G952" s="15"/>
      <c r="H952" s="15"/>
      <c r="I952" s="15"/>
      <c r="J952" s="15"/>
      <c r="K952" s="15"/>
      <c r="L952" s="15"/>
      <c r="M952" s="11"/>
      <c r="N952" s="11"/>
      <c r="O952" s="19"/>
      <c r="P952" s="12"/>
      <c r="Q952" s="12"/>
      <c r="R952" s="20"/>
      <c r="S952" s="13"/>
      <c r="T952" s="13"/>
      <c r="U952" s="21"/>
    </row>
    <row r="953" spans="1:21" ht="13.2" x14ac:dyDescent="0.25">
      <c r="A953" s="9"/>
      <c r="B953" s="9"/>
      <c r="C953" s="9"/>
      <c r="D953" s="9"/>
      <c r="E953" s="9"/>
      <c r="F953" s="14"/>
      <c r="G953" s="15"/>
      <c r="H953" s="15"/>
      <c r="I953" s="15"/>
      <c r="J953" s="15"/>
      <c r="K953" s="15"/>
      <c r="L953" s="15"/>
      <c r="M953" s="11"/>
      <c r="N953" s="11"/>
      <c r="O953" s="19"/>
      <c r="P953" s="12"/>
      <c r="Q953" s="12"/>
      <c r="R953" s="20"/>
      <c r="S953" s="13"/>
      <c r="T953" s="13"/>
      <c r="U953" s="21"/>
    </row>
    <row r="954" spans="1:21" ht="13.2" x14ac:dyDescent="0.25">
      <c r="A954" s="9"/>
      <c r="B954" s="9"/>
      <c r="C954" s="9"/>
      <c r="D954" s="9"/>
      <c r="E954" s="9"/>
      <c r="F954" s="14"/>
      <c r="G954" s="15"/>
      <c r="H954" s="15"/>
      <c r="I954" s="15"/>
      <c r="J954" s="15"/>
      <c r="K954" s="15"/>
      <c r="L954" s="15"/>
      <c r="M954" s="11"/>
      <c r="N954" s="11"/>
      <c r="O954" s="19"/>
      <c r="P954" s="12"/>
      <c r="Q954" s="12"/>
      <c r="R954" s="20"/>
      <c r="S954" s="13"/>
      <c r="T954" s="13"/>
      <c r="U954" s="21"/>
    </row>
    <row r="955" spans="1:21" ht="13.2" x14ac:dyDescent="0.25">
      <c r="A955" s="9"/>
      <c r="B955" s="9"/>
      <c r="C955" s="9"/>
      <c r="D955" s="9"/>
      <c r="E955" s="9"/>
      <c r="F955" s="14"/>
      <c r="G955" s="15"/>
      <c r="H955" s="15"/>
      <c r="I955" s="15"/>
      <c r="J955" s="15"/>
      <c r="K955" s="15"/>
      <c r="L955" s="15"/>
      <c r="M955" s="11"/>
      <c r="N955" s="11"/>
      <c r="O955" s="19"/>
      <c r="P955" s="12"/>
      <c r="Q955" s="12"/>
      <c r="R955" s="20"/>
      <c r="S955" s="13"/>
      <c r="T955" s="13"/>
      <c r="U955" s="21"/>
    </row>
    <row r="956" spans="1:21" ht="13.2" x14ac:dyDescent="0.25">
      <c r="A956" s="9"/>
      <c r="B956" s="9"/>
      <c r="C956" s="9"/>
      <c r="D956" s="9"/>
      <c r="E956" s="9"/>
      <c r="F956" s="14"/>
      <c r="G956" s="15"/>
      <c r="H956" s="15"/>
      <c r="I956" s="15"/>
      <c r="J956" s="15"/>
      <c r="K956" s="15"/>
      <c r="L956" s="15"/>
      <c r="M956" s="11"/>
      <c r="N956" s="11"/>
      <c r="O956" s="19"/>
      <c r="P956" s="12"/>
      <c r="Q956" s="12"/>
      <c r="R956" s="20"/>
      <c r="S956" s="13"/>
      <c r="T956" s="13"/>
      <c r="U956" s="21"/>
    </row>
    <row r="957" spans="1:21" ht="13.2" x14ac:dyDescent="0.25">
      <c r="A957" s="9"/>
      <c r="B957" s="9"/>
      <c r="C957" s="9"/>
      <c r="D957" s="9"/>
      <c r="E957" s="9"/>
      <c r="F957" s="14"/>
      <c r="G957" s="15"/>
      <c r="H957" s="15"/>
      <c r="I957" s="15"/>
      <c r="J957" s="15"/>
      <c r="K957" s="15"/>
      <c r="L957" s="15"/>
      <c r="M957" s="11"/>
      <c r="N957" s="11"/>
      <c r="O957" s="19"/>
      <c r="P957" s="12"/>
      <c r="Q957" s="12"/>
      <c r="R957" s="20"/>
      <c r="S957" s="13"/>
      <c r="T957" s="13"/>
      <c r="U957" s="21"/>
    </row>
    <row r="958" spans="1:21" ht="13.2" x14ac:dyDescent="0.25">
      <c r="A958" s="9"/>
      <c r="B958" s="9"/>
      <c r="C958" s="9"/>
      <c r="D958" s="9"/>
      <c r="E958" s="9"/>
      <c r="F958" s="14"/>
      <c r="G958" s="15"/>
      <c r="H958" s="15"/>
      <c r="I958" s="15"/>
      <c r="J958" s="15"/>
      <c r="K958" s="15"/>
      <c r="L958" s="15"/>
      <c r="M958" s="11"/>
      <c r="N958" s="11"/>
      <c r="O958" s="19"/>
      <c r="P958" s="12"/>
      <c r="Q958" s="12"/>
      <c r="R958" s="20"/>
      <c r="S958" s="13"/>
      <c r="T958" s="13"/>
      <c r="U958" s="21"/>
    </row>
    <row r="959" spans="1:21" ht="13.2" x14ac:dyDescent="0.25">
      <c r="A959" s="9"/>
      <c r="B959" s="9"/>
      <c r="C959" s="9"/>
      <c r="D959" s="9"/>
      <c r="E959" s="9"/>
      <c r="F959" s="14"/>
      <c r="G959" s="15"/>
      <c r="H959" s="15"/>
      <c r="I959" s="15"/>
      <c r="J959" s="15"/>
      <c r="K959" s="15"/>
      <c r="L959" s="15"/>
      <c r="M959" s="11"/>
      <c r="N959" s="11"/>
      <c r="O959" s="19"/>
      <c r="P959" s="12"/>
      <c r="Q959" s="12"/>
      <c r="R959" s="20"/>
      <c r="S959" s="13"/>
      <c r="T959" s="13"/>
      <c r="U959" s="21"/>
    </row>
    <row r="960" spans="1:21" ht="13.2" x14ac:dyDescent="0.25">
      <c r="A960" s="9"/>
      <c r="B960" s="9"/>
      <c r="C960" s="9"/>
      <c r="D960" s="9"/>
      <c r="E960" s="9"/>
      <c r="F960" s="14"/>
      <c r="G960" s="15"/>
      <c r="H960" s="15"/>
      <c r="I960" s="15"/>
      <c r="J960" s="15"/>
      <c r="K960" s="15"/>
      <c r="L960" s="15"/>
      <c r="M960" s="11"/>
      <c r="N960" s="11"/>
      <c r="O960" s="19"/>
      <c r="P960" s="12"/>
      <c r="Q960" s="12"/>
      <c r="R960" s="20"/>
      <c r="S960" s="13"/>
      <c r="T960" s="13"/>
      <c r="U960" s="21"/>
    </row>
    <row r="961" spans="1:21" ht="13.2" x14ac:dyDescent="0.25">
      <c r="A961" s="9"/>
      <c r="B961" s="9"/>
      <c r="C961" s="9"/>
      <c r="D961" s="9"/>
      <c r="E961" s="9"/>
      <c r="F961" s="14"/>
      <c r="G961" s="15"/>
      <c r="H961" s="15"/>
      <c r="I961" s="15"/>
      <c r="J961" s="15"/>
      <c r="K961" s="15"/>
      <c r="L961" s="15"/>
      <c r="M961" s="11"/>
      <c r="N961" s="11"/>
      <c r="O961" s="19"/>
      <c r="P961" s="12"/>
      <c r="Q961" s="12"/>
      <c r="R961" s="20"/>
      <c r="S961" s="13"/>
      <c r="T961" s="13"/>
      <c r="U961" s="21"/>
    </row>
    <row r="962" spans="1:21" ht="13.2" x14ac:dyDescent="0.25">
      <c r="A962" s="9"/>
      <c r="B962" s="9"/>
      <c r="C962" s="9"/>
      <c r="D962" s="9"/>
      <c r="E962" s="9"/>
      <c r="F962" s="14"/>
      <c r="G962" s="15"/>
      <c r="H962" s="15"/>
      <c r="I962" s="15"/>
      <c r="J962" s="15"/>
      <c r="K962" s="15"/>
      <c r="L962" s="15"/>
      <c r="M962" s="11"/>
      <c r="N962" s="11"/>
      <c r="O962" s="19"/>
      <c r="P962" s="12"/>
      <c r="Q962" s="12"/>
      <c r="R962" s="20"/>
      <c r="S962" s="13"/>
      <c r="T962" s="13"/>
      <c r="U962" s="21"/>
    </row>
    <row r="963" spans="1:21" ht="13.2" x14ac:dyDescent="0.25">
      <c r="A963" s="9"/>
      <c r="B963" s="9"/>
      <c r="C963" s="9"/>
      <c r="D963" s="9"/>
      <c r="E963" s="9"/>
      <c r="F963" s="14"/>
      <c r="G963" s="15"/>
      <c r="H963" s="15"/>
      <c r="I963" s="15"/>
      <c r="J963" s="15"/>
      <c r="K963" s="15"/>
      <c r="L963" s="15"/>
      <c r="M963" s="11"/>
      <c r="N963" s="11"/>
      <c r="O963" s="19"/>
      <c r="P963" s="12"/>
      <c r="Q963" s="12"/>
      <c r="R963" s="20"/>
      <c r="S963" s="13"/>
      <c r="T963" s="13"/>
      <c r="U963" s="21"/>
    </row>
    <row r="964" spans="1:21" ht="13.2" x14ac:dyDescent="0.25">
      <c r="A964" s="9"/>
      <c r="B964" s="9"/>
      <c r="C964" s="9"/>
      <c r="D964" s="9"/>
      <c r="E964" s="9"/>
      <c r="F964" s="14"/>
      <c r="G964" s="15"/>
      <c r="H964" s="15"/>
      <c r="I964" s="15"/>
      <c r="J964" s="15"/>
      <c r="K964" s="15"/>
      <c r="L964" s="15"/>
      <c r="M964" s="11"/>
      <c r="N964" s="11"/>
      <c r="O964" s="19"/>
      <c r="P964" s="12"/>
      <c r="Q964" s="12"/>
      <c r="R964" s="20"/>
      <c r="S964" s="13"/>
      <c r="T964" s="13"/>
      <c r="U964" s="21"/>
    </row>
    <row r="965" spans="1:21" ht="13.2" x14ac:dyDescent="0.25">
      <c r="A965" s="9"/>
      <c r="B965" s="9"/>
      <c r="C965" s="9"/>
      <c r="D965" s="9"/>
      <c r="E965" s="9"/>
      <c r="F965" s="14"/>
      <c r="G965" s="15"/>
      <c r="H965" s="15"/>
      <c r="I965" s="15"/>
      <c r="J965" s="15"/>
      <c r="K965" s="15"/>
      <c r="L965" s="15"/>
      <c r="M965" s="11"/>
      <c r="N965" s="11"/>
      <c r="O965" s="19"/>
      <c r="P965" s="12"/>
      <c r="Q965" s="12"/>
      <c r="R965" s="20"/>
      <c r="S965" s="13"/>
      <c r="T965" s="13"/>
      <c r="U965" s="21"/>
    </row>
    <row r="966" spans="1:21" ht="13.2" x14ac:dyDescent="0.25">
      <c r="A966" s="9"/>
      <c r="B966" s="9"/>
      <c r="C966" s="9"/>
      <c r="D966" s="9"/>
      <c r="E966" s="9"/>
      <c r="F966" s="14"/>
      <c r="G966" s="15"/>
      <c r="H966" s="15"/>
      <c r="I966" s="15"/>
      <c r="J966" s="15"/>
      <c r="K966" s="15"/>
      <c r="L966" s="15"/>
      <c r="M966" s="11"/>
      <c r="N966" s="11"/>
      <c r="O966" s="19"/>
      <c r="P966" s="12"/>
      <c r="Q966" s="12"/>
      <c r="R966" s="20"/>
      <c r="S966" s="13"/>
      <c r="T966" s="13"/>
      <c r="U966" s="21"/>
    </row>
    <row r="967" spans="1:21" ht="13.2" x14ac:dyDescent="0.25">
      <c r="A967" s="9"/>
      <c r="B967" s="9"/>
      <c r="C967" s="9"/>
      <c r="D967" s="9"/>
      <c r="E967" s="9"/>
      <c r="F967" s="14"/>
      <c r="G967" s="15"/>
      <c r="H967" s="15"/>
      <c r="I967" s="15"/>
      <c r="J967" s="15"/>
      <c r="K967" s="15"/>
      <c r="L967" s="15"/>
      <c r="M967" s="11"/>
      <c r="N967" s="11"/>
      <c r="O967" s="19"/>
      <c r="P967" s="12"/>
      <c r="Q967" s="12"/>
      <c r="R967" s="20"/>
      <c r="S967" s="13"/>
      <c r="T967" s="13"/>
      <c r="U967" s="21"/>
    </row>
    <row r="968" spans="1:21" ht="13.2" x14ac:dyDescent="0.25">
      <c r="A968" s="9"/>
      <c r="B968" s="9"/>
      <c r="C968" s="9"/>
      <c r="D968" s="9"/>
      <c r="E968" s="9"/>
      <c r="F968" s="14"/>
      <c r="G968" s="15"/>
      <c r="H968" s="15"/>
      <c r="I968" s="15"/>
      <c r="J968" s="15"/>
      <c r="K968" s="15"/>
      <c r="L968" s="15"/>
      <c r="M968" s="11"/>
      <c r="N968" s="11"/>
      <c r="O968" s="19"/>
      <c r="P968" s="12"/>
      <c r="Q968" s="12"/>
      <c r="R968" s="20"/>
      <c r="S968" s="13"/>
      <c r="T968" s="13"/>
      <c r="U968" s="21"/>
    </row>
    <row r="969" spans="1:21" ht="13.2" x14ac:dyDescent="0.25">
      <c r="A969" s="9"/>
      <c r="B969" s="9"/>
      <c r="C969" s="9"/>
      <c r="D969" s="9"/>
      <c r="E969" s="9"/>
      <c r="F969" s="14"/>
      <c r="G969" s="15"/>
      <c r="H969" s="15"/>
      <c r="I969" s="15"/>
      <c r="J969" s="15"/>
      <c r="K969" s="15"/>
      <c r="L969" s="15"/>
      <c r="M969" s="11"/>
      <c r="N969" s="11"/>
      <c r="O969" s="19"/>
      <c r="P969" s="12"/>
      <c r="Q969" s="12"/>
      <c r="R969" s="20"/>
      <c r="S969" s="13"/>
      <c r="T969" s="13"/>
      <c r="U969" s="21"/>
    </row>
    <row r="970" spans="1:21" ht="13.2" x14ac:dyDescent="0.25">
      <c r="A970" s="9"/>
      <c r="B970" s="9"/>
      <c r="C970" s="9"/>
      <c r="D970" s="9"/>
      <c r="E970" s="9"/>
      <c r="F970" s="14"/>
      <c r="G970" s="15"/>
      <c r="H970" s="15"/>
      <c r="I970" s="15"/>
      <c r="J970" s="15"/>
      <c r="K970" s="15"/>
      <c r="L970" s="15"/>
      <c r="M970" s="11"/>
      <c r="N970" s="11"/>
      <c r="O970" s="19"/>
      <c r="P970" s="12"/>
      <c r="Q970" s="12"/>
      <c r="R970" s="20"/>
      <c r="S970" s="13"/>
      <c r="T970" s="13"/>
      <c r="U970" s="21"/>
    </row>
    <row r="971" spans="1:21" ht="13.2" x14ac:dyDescent="0.25">
      <c r="A971" s="9"/>
      <c r="B971" s="9"/>
      <c r="C971" s="9"/>
      <c r="D971" s="9"/>
      <c r="E971" s="9"/>
      <c r="F971" s="14"/>
      <c r="G971" s="15"/>
      <c r="H971" s="15"/>
      <c r="I971" s="15"/>
      <c r="J971" s="15"/>
      <c r="K971" s="15"/>
      <c r="L971" s="15"/>
      <c r="M971" s="11"/>
      <c r="N971" s="11"/>
      <c r="O971" s="19"/>
      <c r="P971" s="12"/>
      <c r="Q971" s="12"/>
      <c r="R971" s="20"/>
      <c r="S971" s="13"/>
      <c r="T971" s="13"/>
      <c r="U971" s="21"/>
    </row>
    <row r="972" spans="1:21" ht="13.2" x14ac:dyDescent="0.25">
      <c r="A972" s="9"/>
      <c r="B972" s="9"/>
      <c r="C972" s="9"/>
      <c r="D972" s="9"/>
      <c r="E972" s="9"/>
      <c r="F972" s="14"/>
      <c r="G972" s="15"/>
      <c r="H972" s="15"/>
      <c r="I972" s="15"/>
      <c r="J972" s="15"/>
      <c r="K972" s="15"/>
      <c r="L972" s="15"/>
      <c r="M972" s="11"/>
      <c r="N972" s="11"/>
      <c r="O972" s="19"/>
      <c r="P972" s="12"/>
      <c r="Q972" s="12"/>
      <c r="R972" s="20"/>
      <c r="S972" s="13"/>
      <c r="T972" s="13"/>
      <c r="U972" s="21"/>
    </row>
    <row r="973" spans="1:21" ht="13.2" x14ac:dyDescent="0.25">
      <c r="A973" s="9"/>
      <c r="B973" s="9"/>
      <c r="C973" s="9"/>
      <c r="D973" s="9"/>
      <c r="E973" s="9"/>
      <c r="F973" s="14"/>
      <c r="G973" s="15"/>
      <c r="H973" s="15"/>
      <c r="I973" s="15"/>
      <c r="J973" s="15"/>
      <c r="K973" s="15"/>
      <c r="L973" s="15"/>
      <c r="M973" s="11"/>
      <c r="N973" s="11"/>
      <c r="O973" s="19"/>
      <c r="P973" s="12"/>
      <c r="Q973" s="12"/>
      <c r="R973" s="20"/>
      <c r="S973" s="13"/>
      <c r="T973" s="13"/>
      <c r="U973" s="21"/>
    </row>
    <row r="974" spans="1:21" ht="13.2" x14ac:dyDescent="0.25">
      <c r="A974" s="9"/>
      <c r="B974" s="9"/>
      <c r="C974" s="9"/>
      <c r="D974" s="9"/>
      <c r="E974" s="9"/>
      <c r="F974" s="14"/>
      <c r="G974" s="15"/>
      <c r="H974" s="15"/>
      <c r="I974" s="15"/>
      <c r="J974" s="15"/>
      <c r="K974" s="15"/>
      <c r="L974" s="15"/>
      <c r="M974" s="11"/>
      <c r="N974" s="11"/>
      <c r="O974" s="19"/>
      <c r="P974" s="12"/>
      <c r="Q974" s="12"/>
      <c r="R974" s="20"/>
      <c r="S974" s="13"/>
      <c r="T974" s="13"/>
      <c r="U974" s="21"/>
    </row>
    <row r="975" spans="1:21" ht="13.2" x14ac:dyDescent="0.25">
      <c r="A975" s="9"/>
      <c r="B975" s="9"/>
      <c r="C975" s="9"/>
      <c r="D975" s="9"/>
      <c r="E975" s="9"/>
      <c r="F975" s="14"/>
      <c r="G975" s="15"/>
      <c r="H975" s="15"/>
      <c r="I975" s="15"/>
      <c r="J975" s="15"/>
      <c r="K975" s="15"/>
      <c r="L975" s="15"/>
      <c r="M975" s="11"/>
      <c r="N975" s="11"/>
      <c r="O975" s="19"/>
      <c r="P975" s="12"/>
      <c r="Q975" s="12"/>
      <c r="R975" s="20"/>
      <c r="S975" s="13"/>
      <c r="T975" s="13"/>
      <c r="U975" s="21"/>
    </row>
    <row r="976" spans="1:21" ht="13.2" x14ac:dyDescent="0.25">
      <c r="A976" s="9"/>
      <c r="B976" s="9"/>
      <c r="C976" s="9"/>
      <c r="D976" s="9"/>
      <c r="E976" s="9"/>
      <c r="F976" s="14"/>
      <c r="G976" s="15"/>
      <c r="H976" s="15"/>
      <c r="I976" s="15"/>
      <c r="J976" s="15"/>
      <c r="K976" s="15"/>
      <c r="L976" s="15"/>
      <c r="M976" s="11"/>
      <c r="N976" s="11"/>
      <c r="O976" s="19"/>
      <c r="P976" s="12"/>
      <c r="Q976" s="12"/>
      <c r="R976" s="20"/>
      <c r="S976" s="13"/>
      <c r="T976" s="13"/>
      <c r="U976" s="21"/>
    </row>
    <row r="977" spans="1:21" ht="13.2" x14ac:dyDescent="0.25">
      <c r="A977" s="9"/>
      <c r="B977" s="9"/>
      <c r="C977" s="9"/>
      <c r="D977" s="9"/>
      <c r="E977" s="9"/>
      <c r="F977" s="14"/>
      <c r="G977" s="15"/>
      <c r="H977" s="15"/>
      <c r="I977" s="15"/>
      <c r="J977" s="15"/>
      <c r="K977" s="15"/>
      <c r="L977" s="15"/>
      <c r="M977" s="11"/>
      <c r="N977" s="11"/>
      <c r="O977" s="19"/>
      <c r="P977" s="12"/>
      <c r="Q977" s="12"/>
      <c r="R977" s="20"/>
      <c r="S977" s="13"/>
      <c r="T977" s="13"/>
      <c r="U977" s="21"/>
    </row>
    <row r="978" spans="1:21" ht="13.2" x14ac:dyDescent="0.25">
      <c r="A978" s="9"/>
      <c r="B978" s="9"/>
      <c r="C978" s="9"/>
      <c r="D978" s="9"/>
      <c r="E978" s="9"/>
      <c r="F978" s="14"/>
      <c r="G978" s="15"/>
      <c r="H978" s="15"/>
      <c r="I978" s="15"/>
      <c r="J978" s="15"/>
      <c r="K978" s="15"/>
      <c r="L978" s="15"/>
      <c r="M978" s="11"/>
      <c r="N978" s="11"/>
      <c r="O978" s="19"/>
      <c r="P978" s="12"/>
      <c r="Q978" s="12"/>
      <c r="R978" s="20"/>
      <c r="S978" s="13"/>
      <c r="T978" s="13"/>
      <c r="U978" s="21"/>
    </row>
    <row r="979" spans="1:21" ht="13.2" x14ac:dyDescent="0.25">
      <c r="A979" s="9"/>
      <c r="B979" s="9"/>
      <c r="C979" s="9"/>
      <c r="D979" s="9"/>
      <c r="E979" s="9"/>
      <c r="F979" s="14"/>
      <c r="G979" s="15"/>
      <c r="H979" s="15"/>
      <c r="I979" s="15"/>
      <c r="J979" s="15"/>
      <c r="K979" s="15"/>
      <c r="L979" s="15"/>
      <c r="M979" s="11"/>
      <c r="N979" s="11"/>
      <c r="O979" s="19"/>
      <c r="P979" s="12"/>
      <c r="Q979" s="12"/>
      <c r="R979" s="20"/>
      <c r="S979" s="13"/>
      <c r="T979" s="13"/>
      <c r="U979" s="21"/>
    </row>
    <row r="980" spans="1:21" ht="13.2" x14ac:dyDescent="0.25">
      <c r="A980" s="9"/>
      <c r="B980" s="9"/>
      <c r="C980" s="9"/>
      <c r="D980" s="9"/>
      <c r="E980" s="9"/>
      <c r="F980" s="14"/>
      <c r="G980" s="15"/>
      <c r="H980" s="15"/>
      <c r="I980" s="15"/>
      <c r="J980" s="15"/>
      <c r="K980" s="15"/>
      <c r="L980" s="15"/>
      <c r="M980" s="11"/>
      <c r="N980" s="11"/>
      <c r="O980" s="19"/>
      <c r="P980" s="12"/>
      <c r="Q980" s="12"/>
      <c r="R980" s="20"/>
      <c r="S980" s="13"/>
      <c r="T980" s="13"/>
      <c r="U980" s="21"/>
    </row>
    <row r="981" spans="1:21" ht="13.2" x14ac:dyDescent="0.25">
      <c r="A981" s="9"/>
      <c r="B981" s="9"/>
      <c r="C981" s="9"/>
      <c r="D981" s="9"/>
      <c r="E981" s="9"/>
      <c r="F981" s="14"/>
      <c r="G981" s="15"/>
      <c r="H981" s="15"/>
      <c r="I981" s="15"/>
      <c r="J981" s="15"/>
      <c r="K981" s="15"/>
      <c r="L981" s="15"/>
      <c r="M981" s="11"/>
      <c r="N981" s="11"/>
      <c r="O981" s="19"/>
      <c r="P981" s="12"/>
      <c r="Q981" s="12"/>
      <c r="R981" s="20"/>
      <c r="S981" s="13"/>
      <c r="T981" s="13"/>
      <c r="U981" s="21"/>
    </row>
    <row r="982" spans="1:21" ht="13.2" x14ac:dyDescent="0.25">
      <c r="A982" s="9"/>
      <c r="B982" s="9"/>
      <c r="C982" s="9"/>
      <c r="D982" s="9"/>
      <c r="E982" s="9"/>
      <c r="F982" s="14"/>
      <c r="G982" s="15"/>
      <c r="H982" s="15"/>
      <c r="I982" s="15"/>
      <c r="J982" s="15"/>
      <c r="K982" s="15"/>
      <c r="L982" s="15"/>
      <c r="M982" s="11"/>
      <c r="N982" s="11"/>
      <c r="O982" s="19"/>
      <c r="P982" s="12"/>
      <c r="Q982" s="12"/>
      <c r="R982" s="20"/>
      <c r="S982" s="13"/>
      <c r="T982" s="13"/>
      <c r="U982" s="21"/>
    </row>
    <row r="983" spans="1:21" ht="13.2" x14ac:dyDescent="0.25">
      <c r="A983" s="9"/>
      <c r="B983" s="9"/>
      <c r="C983" s="9"/>
      <c r="D983" s="9"/>
      <c r="E983" s="9"/>
      <c r="F983" s="14"/>
      <c r="G983" s="15"/>
      <c r="H983" s="15"/>
      <c r="I983" s="15"/>
      <c r="J983" s="15"/>
      <c r="K983" s="15"/>
      <c r="L983" s="15"/>
      <c r="M983" s="11"/>
      <c r="N983" s="11"/>
      <c r="O983" s="19"/>
      <c r="P983" s="12"/>
      <c r="Q983" s="12"/>
      <c r="R983" s="20"/>
      <c r="S983" s="13"/>
      <c r="T983" s="13"/>
      <c r="U983" s="21"/>
    </row>
    <row r="984" spans="1:21" ht="13.2" x14ac:dyDescent="0.25">
      <c r="A984" s="9"/>
      <c r="B984" s="9"/>
      <c r="C984" s="9"/>
      <c r="D984" s="9"/>
      <c r="E984" s="9"/>
      <c r="F984" s="14"/>
      <c r="G984" s="15"/>
      <c r="H984" s="15"/>
      <c r="I984" s="15"/>
      <c r="J984" s="15"/>
      <c r="K984" s="15"/>
      <c r="L984" s="15"/>
      <c r="M984" s="11"/>
      <c r="N984" s="11"/>
      <c r="O984" s="19"/>
      <c r="P984" s="12"/>
      <c r="Q984" s="12"/>
      <c r="R984" s="20"/>
      <c r="S984" s="13"/>
      <c r="T984" s="13"/>
      <c r="U984" s="21"/>
    </row>
    <row r="985" spans="1:21" ht="13.2" x14ac:dyDescent="0.25">
      <c r="A985" s="9"/>
      <c r="B985" s="9"/>
      <c r="C985" s="9"/>
      <c r="D985" s="9"/>
      <c r="E985" s="9"/>
      <c r="F985" s="14"/>
      <c r="G985" s="15"/>
      <c r="H985" s="15"/>
      <c r="I985" s="15"/>
      <c r="J985" s="15"/>
      <c r="K985" s="15"/>
      <c r="L985" s="15"/>
      <c r="M985" s="11"/>
      <c r="N985" s="11"/>
      <c r="O985" s="19"/>
      <c r="P985" s="12"/>
      <c r="Q985" s="12"/>
      <c r="R985" s="20"/>
      <c r="S985" s="13"/>
      <c r="T985" s="13"/>
      <c r="U985" s="21"/>
    </row>
    <row r="986" spans="1:21" ht="13.2" x14ac:dyDescent="0.25">
      <c r="A986" s="9"/>
      <c r="B986" s="9"/>
      <c r="C986" s="9"/>
      <c r="D986" s="9"/>
      <c r="E986" s="9"/>
      <c r="F986" s="14"/>
      <c r="G986" s="15"/>
      <c r="H986" s="15"/>
      <c r="I986" s="15"/>
      <c r="J986" s="15"/>
      <c r="K986" s="15"/>
      <c r="L986" s="15"/>
      <c r="M986" s="11"/>
      <c r="N986" s="11"/>
      <c r="O986" s="19"/>
      <c r="P986" s="12"/>
      <c r="Q986" s="12"/>
      <c r="R986" s="20"/>
      <c r="S986" s="13"/>
      <c r="T986" s="13"/>
      <c r="U986" s="21"/>
    </row>
    <row r="987" spans="1:21" ht="13.2" x14ac:dyDescent="0.25">
      <c r="A987" s="9"/>
      <c r="B987" s="9"/>
      <c r="C987" s="9"/>
      <c r="D987" s="9"/>
      <c r="E987" s="9"/>
      <c r="F987" s="14"/>
      <c r="G987" s="15"/>
      <c r="H987" s="15"/>
      <c r="I987" s="15"/>
      <c r="J987" s="15"/>
      <c r="K987" s="15"/>
      <c r="L987" s="15"/>
      <c r="M987" s="11"/>
      <c r="N987" s="11"/>
      <c r="O987" s="19"/>
      <c r="P987" s="12"/>
      <c r="Q987" s="12"/>
      <c r="R987" s="20"/>
      <c r="S987" s="13"/>
      <c r="T987" s="13"/>
      <c r="U987" s="21"/>
    </row>
    <row r="988" spans="1:21" ht="13.2" x14ac:dyDescent="0.25">
      <c r="A988" s="9"/>
      <c r="B988" s="9"/>
      <c r="C988" s="9"/>
      <c r="D988" s="9"/>
      <c r="E988" s="9"/>
      <c r="F988" s="14"/>
      <c r="G988" s="15"/>
      <c r="H988" s="15"/>
      <c r="I988" s="15"/>
      <c r="J988" s="15"/>
      <c r="K988" s="15"/>
      <c r="L988" s="15"/>
      <c r="M988" s="11"/>
      <c r="N988" s="11"/>
      <c r="O988" s="19"/>
      <c r="P988" s="12"/>
      <c r="Q988" s="12"/>
      <c r="R988" s="20"/>
      <c r="S988" s="13"/>
      <c r="T988" s="13"/>
      <c r="U988" s="21"/>
    </row>
    <row r="989" spans="1:21" ht="13.2" x14ac:dyDescent="0.25">
      <c r="A989" s="9"/>
      <c r="B989" s="9"/>
      <c r="C989" s="9"/>
      <c r="D989" s="9"/>
      <c r="E989" s="9"/>
      <c r="F989" s="14"/>
      <c r="G989" s="15"/>
      <c r="H989" s="15"/>
      <c r="I989" s="15"/>
      <c r="J989" s="15"/>
      <c r="K989" s="15"/>
      <c r="L989" s="15"/>
      <c r="M989" s="11"/>
      <c r="N989" s="11"/>
      <c r="O989" s="19"/>
      <c r="P989" s="12"/>
      <c r="Q989" s="12"/>
      <c r="R989" s="20"/>
      <c r="S989" s="13"/>
      <c r="T989" s="13"/>
      <c r="U989" s="21"/>
    </row>
    <row r="990" spans="1:21" ht="13.2" x14ac:dyDescent="0.25">
      <c r="A990" s="9"/>
      <c r="B990" s="9"/>
      <c r="C990" s="9"/>
      <c r="D990" s="9"/>
      <c r="E990" s="9"/>
      <c r="F990" s="14"/>
      <c r="G990" s="15"/>
      <c r="H990" s="15"/>
      <c r="I990" s="15"/>
      <c r="J990" s="15"/>
      <c r="K990" s="15"/>
      <c r="L990" s="15"/>
      <c r="M990" s="11"/>
      <c r="N990" s="11"/>
      <c r="O990" s="19"/>
      <c r="P990" s="12"/>
      <c r="Q990" s="12"/>
      <c r="R990" s="20"/>
      <c r="S990" s="13"/>
      <c r="T990" s="13"/>
      <c r="U990" s="21"/>
    </row>
    <row r="991" spans="1:21" ht="13.2" x14ac:dyDescent="0.25">
      <c r="A991" s="9"/>
      <c r="B991" s="9"/>
      <c r="C991" s="9"/>
      <c r="D991" s="9"/>
      <c r="E991" s="9"/>
      <c r="F991" s="14"/>
      <c r="G991" s="15"/>
      <c r="H991" s="15"/>
      <c r="I991" s="15"/>
      <c r="J991" s="15"/>
      <c r="K991" s="15"/>
      <c r="L991" s="15"/>
      <c r="M991" s="11"/>
      <c r="N991" s="11"/>
      <c r="O991" s="19"/>
      <c r="P991" s="12"/>
      <c r="Q991" s="12"/>
      <c r="R991" s="20"/>
      <c r="S991" s="13"/>
      <c r="T991" s="13"/>
      <c r="U991" s="21"/>
    </row>
    <row r="992" spans="1:21" ht="13.2" x14ac:dyDescent="0.25">
      <c r="A992" s="9"/>
      <c r="B992" s="9"/>
      <c r="C992" s="9"/>
      <c r="D992" s="9"/>
      <c r="E992" s="9"/>
      <c r="F992" s="14"/>
      <c r="G992" s="15"/>
      <c r="H992" s="15"/>
      <c r="I992" s="15"/>
      <c r="J992" s="15"/>
      <c r="K992" s="15"/>
      <c r="L992" s="15"/>
      <c r="M992" s="11"/>
      <c r="N992" s="11"/>
      <c r="O992" s="19"/>
      <c r="P992" s="12"/>
      <c r="Q992" s="12"/>
      <c r="R992" s="20"/>
      <c r="S992" s="13"/>
      <c r="T992" s="13"/>
      <c r="U992" s="21"/>
    </row>
    <row r="993" spans="1:21" ht="13.2" x14ac:dyDescent="0.25">
      <c r="A993" s="9"/>
      <c r="B993" s="9"/>
      <c r="C993" s="9"/>
      <c r="D993" s="9"/>
      <c r="E993" s="9"/>
      <c r="F993" s="14"/>
      <c r="G993" s="15"/>
      <c r="H993" s="15"/>
      <c r="I993" s="15"/>
      <c r="J993" s="15"/>
      <c r="K993" s="15"/>
      <c r="L993" s="15"/>
      <c r="M993" s="11"/>
      <c r="N993" s="11"/>
      <c r="O993" s="19"/>
      <c r="P993" s="12"/>
      <c r="Q993" s="12"/>
      <c r="R993" s="20"/>
      <c r="S993" s="13"/>
      <c r="T993" s="13"/>
      <c r="U993" s="21"/>
    </row>
    <row r="994" spans="1:21" ht="13.2" x14ac:dyDescent="0.25">
      <c r="A994" s="9"/>
      <c r="B994" s="9"/>
      <c r="C994" s="9"/>
      <c r="D994" s="9"/>
      <c r="E994" s="9"/>
      <c r="F994" s="14"/>
      <c r="G994" s="15"/>
      <c r="H994" s="15"/>
      <c r="I994" s="15"/>
      <c r="J994" s="15"/>
      <c r="K994" s="15"/>
      <c r="L994" s="15"/>
      <c r="M994" s="11"/>
      <c r="N994" s="11"/>
      <c r="O994" s="19"/>
      <c r="P994" s="12"/>
      <c r="Q994" s="12"/>
      <c r="R994" s="20"/>
      <c r="S994" s="13"/>
      <c r="T994" s="13"/>
      <c r="U994" s="21"/>
    </row>
    <row r="995" spans="1:21" ht="13.2" x14ac:dyDescent="0.25">
      <c r="A995" s="9"/>
      <c r="B995" s="9"/>
      <c r="C995" s="9"/>
      <c r="D995" s="9"/>
      <c r="E995" s="9"/>
      <c r="F995" s="14"/>
      <c r="G995" s="15"/>
      <c r="H995" s="15"/>
      <c r="I995" s="15"/>
      <c r="J995" s="15"/>
      <c r="K995" s="15"/>
      <c r="L995" s="15"/>
      <c r="M995" s="11"/>
      <c r="N995" s="11"/>
      <c r="O995" s="19"/>
      <c r="P995" s="12"/>
      <c r="Q995" s="12"/>
      <c r="R995" s="20"/>
      <c r="S995" s="13"/>
      <c r="T995" s="13"/>
      <c r="U995" s="21"/>
    </row>
    <row r="996" spans="1:21" ht="13.2" x14ac:dyDescent="0.25">
      <c r="A996" s="9"/>
      <c r="B996" s="9"/>
      <c r="C996" s="9"/>
      <c r="D996" s="9"/>
      <c r="E996" s="9"/>
      <c r="F996" s="14"/>
      <c r="G996" s="15"/>
      <c r="H996" s="15"/>
      <c r="I996" s="15"/>
      <c r="J996" s="15"/>
      <c r="K996" s="15"/>
      <c r="L996" s="15"/>
      <c r="M996" s="11"/>
      <c r="N996" s="11"/>
      <c r="O996" s="19"/>
      <c r="P996" s="12"/>
      <c r="Q996" s="12"/>
      <c r="R996" s="20"/>
      <c r="S996" s="13"/>
      <c r="T996" s="13"/>
      <c r="U996" s="21"/>
    </row>
    <row r="997" spans="1:21" ht="13.2" x14ac:dyDescent="0.25">
      <c r="A997" s="9"/>
      <c r="B997" s="9"/>
      <c r="C997" s="9"/>
      <c r="D997" s="9"/>
      <c r="E997" s="9"/>
      <c r="F997" s="14"/>
      <c r="G997" s="15"/>
      <c r="H997" s="15"/>
      <c r="I997" s="15"/>
      <c r="J997" s="15"/>
      <c r="K997" s="15"/>
      <c r="L997" s="15"/>
      <c r="M997" s="11"/>
      <c r="N997" s="11"/>
      <c r="O997" s="19"/>
      <c r="P997" s="12"/>
      <c r="Q997" s="12"/>
      <c r="R997" s="20"/>
      <c r="S997" s="13"/>
      <c r="T997" s="13"/>
      <c r="U997" s="21"/>
    </row>
    <row r="998" spans="1:21" ht="13.2" x14ac:dyDescent="0.25">
      <c r="A998" s="9"/>
      <c r="B998" s="9"/>
      <c r="C998" s="9"/>
      <c r="D998" s="9"/>
      <c r="E998" s="9"/>
      <c r="F998" s="14"/>
      <c r="G998" s="15"/>
      <c r="H998" s="15"/>
      <c r="I998" s="15"/>
      <c r="J998" s="15"/>
      <c r="K998" s="15"/>
      <c r="L998" s="15"/>
      <c r="M998" s="11"/>
      <c r="N998" s="11"/>
      <c r="O998" s="19"/>
      <c r="P998" s="12"/>
      <c r="Q998" s="12"/>
      <c r="R998" s="20"/>
      <c r="S998" s="13"/>
      <c r="T998" s="13"/>
      <c r="U998" s="21"/>
    </row>
    <row r="999" spans="1:21" ht="13.2" x14ac:dyDescent="0.25">
      <c r="A999" s="9"/>
      <c r="B999" s="9"/>
      <c r="C999" s="9"/>
      <c r="D999" s="9"/>
      <c r="E999" s="9"/>
      <c r="F999" s="14"/>
      <c r="G999" s="15"/>
      <c r="H999" s="15"/>
      <c r="I999" s="15"/>
      <c r="J999" s="15"/>
      <c r="K999" s="15"/>
      <c r="L999" s="15"/>
      <c r="M999" s="11"/>
      <c r="N999" s="11"/>
      <c r="O999" s="19"/>
      <c r="P999" s="12"/>
      <c r="Q999" s="12"/>
      <c r="R999" s="20"/>
      <c r="S999" s="13"/>
      <c r="T999" s="13"/>
      <c r="U999" s="21"/>
    </row>
    <row r="1000" spans="1:21" ht="13.2" x14ac:dyDescent="0.25">
      <c r="A1000" s="9"/>
      <c r="B1000" s="9"/>
      <c r="C1000" s="9"/>
      <c r="D1000" s="9"/>
      <c r="E1000" s="9"/>
      <c r="F1000" s="14"/>
      <c r="G1000" s="15"/>
      <c r="H1000" s="15"/>
      <c r="I1000" s="15"/>
      <c r="J1000" s="15"/>
      <c r="K1000" s="15"/>
      <c r="L1000" s="15"/>
      <c r="M1000" s="11"/>
      <c r="N1000" s="11"/>
      <c r="O1000" s="19"/>
      <c r="P1000" s="12"/>
      <c r="Q1000" s="12"/>
      <c r="R1000" s="20"/>
      <c r="S1000" s="13"/>
      <c r="T1000" s="13"/>
      <c r="U1000" s="21"/>
    </row>
    <row r="1001" spans="1:21" ht="13.2" x14ac:dyDescent="0.25">
      <c r="A1001" s="9"/>
      <c r="B1001" s="9"/>
      <c r="C1001" s="9"/>
      <c r="D1001" s="9"/>
      <c r="E1001" s="9"/>
      <c r="F1001" s="14"/>
      <c r="G1001" s="15"/>
      <c r="H1001" s="15"/>
      <c r="I1001" s="15"/>
      <c r="J1001" s="15"/>
      <c r="K1001" s="15"/>
      <c r="L1001" s="15"/>
      <c r="M1001" s="11"/>
      <c r="N1001" s="11"/>
      <c r="O1001" s="19"/>
      <c r="P1001" s="12"/>
      <c r="Q1001" s="12"/>
      <c r="R1001" s="20"/>
      <c r="S1001" s="13"/>
      <c r="T1001" s="13"/>
      <c r="U1001" s="21"/>
    </row>
  </sheetData>
  <hyperlinks>
    <hyperlink ref="C2" r:id="rId1" display="sraban4897@gmail.com" xr:uid="{BD95C28F-A1EE-4F18-B554-B7FCBE19A20A}"/>
  </hyperlinks>
  <pageMargins left="0.7" right="0.7" top="0.75" bottom="0.75" header="0.3" footer="0.3"/>
  <pageSetup paperSize="9" orientation="portrait" horizontalDpi="300" r:id="rId2"/>
  <legacyDrawing r:id="rId3"/>
  <extLst>
    <ext xmlns:x14="http://schemas.microsoft.com/office/spreadsheetml/2009/9/main" uri="{78C0D931-6437-407d-A8EE-F0AAD7539E65}">
      <x14:conditionalFormattings>
        <x14:conditionalFormatting xmlns:xm="http://schemas.microsoft.com/office/excel/2006/main">
          <x14:cfRule type="expression" priority="19" id="{5684D116-791B-4622-A1DE-A32A75F56B44}">
            <xm:f>Data_Check!U2:AS1001=1</xm:f>
            <x14:dxf>
              <font>
                <b/>
                <i val="0"/>
                <strike val="0"/>
                <color theme="0"/>
              </font>
              <fill>
                <patternFill>
                  <bgColor rgb="FFFF0000"/>
                </patternFill>
              </fill>
            </x14:dxf>
          </x14:cfRule>
          <xm:sqref>P2:S1001 O4</xm:sqref>
        </x14:conditionalFormatting>
        <x14:conditionalFormatting xmlns:xm="http://schemas.microsoft.com/office/excel/2006/main">
          <x14:cfRule type="expression" priority="166" id="{5684D116-791B-4622-A1DE-A32A75F56B44}">
            <xm:f>Data_Check!Z2:AW1001=1</xm:f>
            <x14:dxf>
              <font>
                <b/>
                <i val="0"/>
                <strike val="0"/>
                <color theme="0"/>
              </font>
              <fill>
                <patternFill>
                  <bgColor rgb="FFFF0000"/>
                </patternFill>
              </fill>
            </x14:dxf>
          </x14:cfRule>
          <xm:sqref>T2:U1001</xm:sqref>
        </x14:conditionalFormatting>
        <x14:conditionalFormatting xmlns:xm="http://schemas.microsoft.com/office/excel/2006/main">
          <x14:cfRule type="expression" priority="187" id="{5684D116-791B-4622-A1DE-A32A75F56B44}">
            <xm:f>Data_Check!S2:AR1001=1</xm:f>
            <x14:dxf>
              <font>
                <b/>
                <i val="0"/>
                <strike val="0"/>
                <color theme="0"/>
              </font>
              <fill>
                <patternFill>
                  <bgColor rgb="FFFF0000"/>
                </patternFill>
              </fill>
            </x14:dxf>
          </x14:cfRule>
          <xm:sqref>M2:O3 M5:O1001 M4:N4</xm:sqref>
        </x14:conditionalFormatting>
        <x14:conditionalFormatting xmlns:xm="http://schemas.microsoft.com/office/excel/2006/main">
          <x14:cfRule type="expression" priority="194" id="{C70CA812-6E61-474F-A1C4-A797136A540F}">
            <xm:f>Data_Check!A2:AA1001=1</xm:f>
            <x14:dxf>
              <font>
                <b/>
                <i val="0"/>
                <strike val="0"/>
                <color theme="0"/>
              </font>
              <fill>
                <patternFill>
                  <bgColor rgb="FFFF0000"/>
                </patternFill>
              </fill>
            </x14:dxf>
          </x14:cfRule>
          <xm:sqref>A2:A1001</xm:sqref>
        </x14:conditionalFormatting>
        <x14:conditionalFormatting xmlns:xm="http://schemas.microsoft.com/office/excel/2006/main">
          <x14:cfRule type="expression" priority="197" id="{5684D116-791B-4622-A1DE-A32A75F56B44}">
            <xm:f>Data_Check!B2:AA1001=1</xm:f>
            <x14:dxf>
              <font>
                <b/>
                <i val="0"/>
                <strike val="0"/>
                <color theme="0"/>
              </font>
              <fill>
                <patternFill>
                  <bgColor rgb="FFFF0000"/>
                </patternFill>
              </fill>
            </x14:dxf>
          </x14:cfRule>
          <xm:sqref>B2:L1001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6FF4683-0E3B-45C2-BEE7-AD82E89BA847}">
          <x14:formula1>
            <xm:f>Data_Val!$A$2:$A$3</xm:f>
          </x14:formula1>
          <xm:sqref>N2:N1001 E2:E1001 Q2:Q1001 T2:T1001</xm:sqref>
        </x14:dataValidation>
        <x14:dataValidation type="list" allowBlank="1" showInputMessage="1" showErrorMessage="1" xr:uid="{6BD915BE-7A99-4759-AD8F-F62D83C8420C}">
          <x14:formula1>
            <xm:f>Data_Val!$C$2:$C$3</xm:f>
          </x14:formula1>
          <xm:sqref>G2:G1001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C0680-D528-4768-80E8-1F49899AE788}">
  <sheetPr codeName="Sheet3">
    <tabColor theme="0" tint="-0.499984740745262"/>
  </sheetPr>
  <dimension ref="A1:BK1001"/>
  <sheetViews>
    <sheetView zoomScale="85" zoomScaleNormal="85" workbookViewId="0">
      <pane xSplit="2" ySplit="1" topLeftCell="C2" activePane="bottomRight" state="frozen"/>
      <selection pane="topRight" activeCell="A2" sqref="A2"/>
      <selection pane="bottomLeft" activeCell="A2" sqref="A2"/>
      <selection pane="bottomRight" activeCell="I2" sqref="I2"/>
    </sheetView>
  </sheetViews>
  <sheetFormatPr defaultColWidth="8.88671875" defaultRowHeight="13.2" zeroHeight="1" x14ac:dyDescent="0.25"/>
  <cols>
    <col min="1" max="1" width="14.6640625" customWidth="1"/>
    <col min="2" max="2" width="23" customWidth="1"/>
    <col min="3" max="3" width="22.6640625" bestFit="1" customWidth="1"/>
    <col min="4" max="4" width="13.6640625" customWidth="1"/>
    <col min="5" max="5" width="12.33203125" customWidth="1"/>
    <col min="6" max="6" width="12.5546875" customWidth="1"/>
    <col min="7" max="7" width="17.6640625" customWidth="1"/>
    <col min="8" max="11" width="15.5546875" customWidth="1"/>
    <col min="12" max="14" width="13.109375" customWidth="1"/>
    <col min="15" max="15" width="23" customWidth="1"/>
    <col min="16" max="16" width="12.33203125" customWidth="1"/>
    <col min="17" max="17" width="12.5546875" customWidth="1"/>
    <col min="18" max="18" width="14.109375" customWidth="1"/>
    <col min="19" max="19" width="23" customWidth="1"/>
    <col min="20" max="20" width="12.33203125" customWidth="1"/>
    <col min="21" max="21" width="12.5546875" customWidth="1"/>
    <col min="22" max="22" width="23" customWidth="1"/>
    <col min="23" max="23" width="12.33203125" customWidth="1"/>
    <col min="24" max="24" width="12.5546875" customWidth="1"/>
    <col min="25" max="25" width="23" customWidth="1"/>
    <col min="26" max="26" width="12.33203125" customWidth="1"/>
    <col min="27" max="27" width="12.5546875" style="24" customWidth="1"/>
    <col min="28" max="28" width="19.109375" customWidth="1"/>
    <col min="29" max="29" width="17.88671875" customWidth="1"/>
    <col min="30" max="30" width="23" customWidth="1"/>
    <col min="31" max="31" width="16.44140625" customWidth="1"/>
    <col min="32" max="32" width="12.5546875" customWidth="1"/>
    <col min="33" max="33" width="15.33203125" customWidth="1"/>
    <col min="34" max="34" width="16.5546875" customWidth="1"/>
    <col min="35" max="39" width="14.5546875" customWidth="1"/>
    <col min="40" max="40" width="16" customWidth="1"/>
    <col min="41" max="41" width="15.88671875" customWidth="1"/>
    <col min="42" max="42" width="24.33203125" customWidth="1"/>
    <col min="43" max="43" width="21.6640625" customWidth="1"/>
    <col min="44" max="44" width="20.6640625" customWidth="1"/>
    <col min="45" max="45" width="22.88671875" customWidth="1"/>
    <col min="46" max="46" width="27" customWidth="1"/>
    <col min="47" max="47" width="22.44140625" customWidth="1"/>
    <col min="48" max="48" width="19.109375" customWidth="1"/>
    <col min="49" max="49" width="20.109375" customWidth="1"/>
    <col min="50" max="50" width="17.88671875" customWidth="1"/>
    <col min="51" max="51" width="20.88671875" customWidth="1"/>
    <col min="52" max="63" width="15.6640625" customWidth="1"/>
  </cols>
  <sheetData>
    <row r="1" spans="1:63" s="8" customFormat="1" ht="56.4" customHeight="1" x14ac:dyDescent="0.25">
      <c r="A1" s="2" t="s">
        <v>0</v>
      </c>
      <c r="B1" s="2" t="s">
        <v>1</v>
      </c>
      <c r="C1" s="2" t="s">
        <v>2</v>
      </c>
      <c r="D1" s="2" t="s">
        <v>3</v>
      </c>
      <c r="E1" s="2" t="s">
        <v>4</v>
      </c>
      <c r="F1" s="2" t="s">
        <v>5</v>
      </c>
      <c r="G1" s="4" t="s">
        <v>6</v>
      </c>
      <c r="H1" s="4" t="s">
        <v>21</v>
      </c>
      <c r="I1" s="4" t="s">
        <v>22</v>
      </c>
      <c r="J1" s="2" t="s">
        <v>23</v>
      </c>
      <c r="K1" s="2" t="s">
        <v>24</v>
      </c>
      <c r="L1" s="2" t="s">
        <v>25</v>
      </c>
      <c r="M1" s="2" t="s">
        <v>26</v>
      </c>
      <c r="N1" s="2" t="s">
        <v>27</v>
      </c>
      <c r="O1" s="7" t="s">
        <v>8</v>
      </c>
      <c r="P1" s="7" t="s">
        <v>9</v>
      </c>
      <c r="Q1" s="7" t="s">
        <v>10</v>
      </c>
      <c r="R1" s="7" t="s">
        <v>11</v>
      </c>
      <c r="S1" s="5" t="s">
        <v>12</v>
      </c>
      <c r="T1" s="5" t="s">
        <v>13</v>
      </c>
      <c r="U1" s="5" t="s">
        <v>14</v>
      </c>
      <c r="V1" s="6" t="s">
        <v>15</v>
      </c>
      <c r="W1" s="6" t="s">
        <v>16</v>
      </c>
      <c r="X1" s="6" t="s">
        <v>17</v>
      </c>
      <c r="Y1" s="3" t="s">
        <v>18</v>
      </c>
      <c r="Z1" s="3" t="s">
        <v>19</v>
      </c>
      <c r="AA1" s="27" t="s">
        <v>20</v>
      </c>
      <c r="AB1" s="5" t="s">
        <v>28</v>
      </c>
      <c r="AC1" s="5" t="s">
        <v>29</v>
      </c>
      <c r="AD1" s="5" t="s">
        <v>30</v>
      </c>
      <c r="AE1" s="5" t="s">
        <v>31</v>
      </c>
      <c r="AF1" s="6" t="s">
        <v>32</v>
      </c>
      <c r="AG1" s="6" t="s">
        <v>33</v>
      </c>
      <c r="AH1" s="6" t="s">
        <v>34</v>
      </c>
      <c r="AI1" s="6" t="s">
        <v>35</v>
      </c>
      <c r="AJ1" s="7" t="s">
        <v>36</v>
      </c>
      <c r="AK1" s="7" t="s">
        <v>37</v>
      </c>
      <c r="AL1" s="7" t="s">
        <v>38</v>
      </c>
      <c r="AM1" s="7" t="s">
        <v>39</v>
      </c>
      <c r="AN1" s="3" t="s">
        <v>40</v>
      </c>
      <c r="AO1" s="27" t="s">
        <v>41</v>
      </c>
      <c r="AP1" s="3" t="s">
        <v>42</v>
      </c>
      <c r="AQ1" s="7" t="s">
        <v>43</v>
      </c>
      <c r="AR1" s="7" t="s">
        <v>44</v>
      </c>
      <c r="AS1" s="7" t="s">
        <v>45</v>
      </c>
      <c r="AT1" s="5" t="s">
        <v>46</v>
      </c>
      <c r="AU1" s="5" t="s">
        <v>47</v>
      </c>
      <c r="AV1" s="5" t="s">
        <v>48</v>
      </c>
      <c r="AW1" s="6" t="s">
        <v>49</v>
      </c>
      <c r="AX1" s="6" t="s">
        <v>50</v>
      </c>
      <c r="AY1" s="6" t="s">
        <v>51</v>
      </c>
      <c r="AZ1" s="5" t="s">
        <v>52</v>
      </c>
      <c r="BA1" s="5" t="s">
        <v>53</v>
      </c>
      <c r="BB1" s="5" t="s">
        <v>54</v>
      </c>
      <c r="BC1" s="6" t="s">
        <v>55</v>
      </c>
      <c r="BD1" s="6" t="s">
        <v>56</v>
      </c>
      <c r="BE1" s="6" t="s">
        <v>57</v>
      </c>
      <c r="BF1" s="7" t="s">
        <v>58</v>
      </c>
      <c r="BG1" s="7" t="s">
        <v>59</v>
      </c>
      <c r="BH1" s="7" t="s">
        <v>60</v>
      </c>
      <c r="BI1" s="3" t="s">
        <v>61</v>
      </c>
      <c r="BJ1" s="27" t="s">
        <v>62</v>
      </c>
      <c r="BK1" s="3" t="s">
        <v>63</v>
      </c>
    </row>
    <row r="2" spans="1:63" x14ac:dyDescent="0.25">
      <c r="A2" s="9">
        <f>IF(Data!B2="","",IF(COUNTIFS(Data!A$1:'Data'!A2,Data!A2)&lt;=1,0,1))</f>
        <v>0</v>
      </c>
      <c r="B2" s="9"/>
      <c r="C2" s="22">
        <f>IF(Data!C2="","",(IF(ISNUMBER(MATCH("*@*.?*",Data!C2,0)),0,1)+IF(COUNTIFS(Data!C$1:'Data'!C2,Data!C2)&gt;1,1,0)))</f>
        <v>0</v>
      </c>
      <c r="D2" s="9">
        <f>IF(Data!B2="","",IF(ISNUMBER(Data!D2),IF(AND(Data!D2&gt;999999999,Data!D2&lt;=9999999999),IF(COUNTIFS(Data!D$1:'Data'!D2,Data!D2)&lt;=1,0,1),1),1))</f>
        <v>0</v>
      </c>
      <c r="E2" s="9">
        <f>IF(Data!B2="","",IF(ISNUMBER(MATCH(Data!E2,Data_Val!$A$2:$A$3,0)),0,1))</f>
        <v>0</v>
      </c>
      <c r="F2" s="9">
        <f ca="1">IF(Data!B2="","",IF(ISNUMBER(Data!F2),IF(AND(Data!F2&gt;(TODAY()-(Data_Val!$H$3*365.25)),Data!F2&lt;=(TODAY()-(Data_Val!$H$2*365.25))),0,1),1))</f>
        <v>0</v>
      </c>
      <c r="G2" s="15" t="e">
        <f>IF(Data!B2="","",IF(AND(Data!G2="",Data!H2&lt;&gt;""),1,IF(Data!#REF!&lt;&gt;"",0,IF(ISNUMBER(MATCH(Data!G2,Data_Val!$C$2:$C$5,0)),0,1))))</f>
        <v>#REF!</v>
      </c>
      <c r="H2" s="15" t="e">
        <f>IF(Data!B2="","",IF(AND(Data!G2&lt;&gt;"",Data!H2=""),1,IF(Data!#REF!&lt;&gt;"",0,IF(Data!G2="",1,IF(ISNUMBER(MATCH(Data!H2,Data_Val!$D$2:$D$35,0)),0,1)))))</f>
        <v>#REF!</v>
      </c>
      <c r="I2" s="15">
        <f>IF(Data!B2="","",IF(Data!G2&lt;&gt;"",0,IF(ISNUMBER(MATCH(Data!#REF!,Data_Val!$E$2:$E$12,0)),0,1)))</f>
        <v>1</v>
      </c>
      <c r="J2" s="16" t="e">
        <f>IF(OR(Data!B2="",Data!#REF!=""),"",IF(Data!#REF!="",1,0))</f>
        <v>#REF!</v>
      </c>
      <c r="K2" s="16" t="e">
        <f>IF(OR(Data!B2="",Data!#REF!=""),"",IF(Data!#REF!="",1,0))</f>
        <v>#REF!</v>
      </c>
      <c r="L2" s="16" t="e">
        <f>IF(OR(Data!B2="",Data!#REF!=""),"",IF(ISNUMBER(Data!#REF!),IF(AND(Data!#REF!&gt;Data_Val!$G$2,Data!#REF!&lt;=Data_Val!$G$3),0,1),1))</f>
        <v>#REF!</v>
      </c>
      <c r="M2" s="9" t="e">
        <f>IF(OR(Data!B2="",Data!#REF!=""),"",IF(ISNUMBER(MATCH(Data!#REF!,Data_Val!$F$1:$F$38,0)),0,1))</f>
        <v>#REF!</v>
      </c>
      <c r="N2" s="9" t="e">
        <f>IF(OR(Data!B2="",Data!#REF!=""),"",IF(Data!#REF!="",1,0))</f>
        <v>#REF!</v>
      </c>
      <c r="O2" s="17" t="e">
        <f>IF(Data!#REF!="","",IF(Data!#REF!="",1,0))</f>
        <v>#REF!</v>
      </c>
      <c r="P2" s="17" t="e">
        <f>IF(Data!#REF!="","",IF(ISNUMBER(MATCH(Data!#REF!,Data_Val!$A$2:$A$3,0)),0,1))</f>
        <v>#REF!</v>
      </c>
      <c r="Q2" s="25" t="e">
        <f ca="1">IF(Data!#REF!="","",IF(ISNUMBER(Data!#REF!),IF(AND(Data!#REF!&gt;(TODAY()-(Data_Val!$J$3*365.25)),Data!#REF!&lt;=(TODAY()-(Data_Val!$J$2*365.25))),0,1),1))</f>
        <v>#REF!</v>
      </c>
      <c r="R2" s="17" t="e">
        <f>IF(Data!#REF!="","",IF(ISNUMBER(MATCH(Data!#REF!,Data_Val!$B$2:$B$15,0)),0,1))</f>
        <v>#REF!</v>
      </c>
      <c r="S2" s="11" t="str">
        <f>IF(Data!G2="","",IF(Data!G2=Data_Val!$C$2,IF(Data!M2="",0,1),0))</f>
        <v/>
      </c>
      <c r="T2" s="11" t="str">
        <f>IF(Data!M2="","",IF(ISNUMBER(MATCH(Data!N2,Data_Val!$A$2:$A$3,0)),0,1))</f>
        <v/>
      </c>
      <c r="U2" s="11" t="str">
        <f ca="1">IF(Data!M2="","",IF(ISNUMBER(Data!O2),IF(AND(Data!O2&gt;(TODAY()-(Data_Val!$K$3*365.25)),Data!O2&lt;=(TODAY()-(Data_Val!$K$2*365.25))),0,1),1))</f>
        <v/>
      </c>
      <c r="V2" s="12" t="str">
        <f>IF(Data!$G2="","",IF(Data!$G2=Data_Val!$C$2,IF(Data!P2="",0,1),0))</f>
        <v/>
      </c>
      <c r="W2" s="12" t="str">
        <f>IF(Data!P2="","",IF(ISNUMBER(MATCH(Data!Q2,Data_Val!$A$2:$A$3,0)),0,1))</f>
        <v/>
      </c>
      <c r="X2" s="26" t="str">
        <f ca="1">IF(Data!P2="","",IF(ISNUMBER(Data!R2),IF(AND(Data!R2&gt;(TODAY()-(Data_Val!$L$3*365.25)),Data!R2&lt;=(TODAY()-(Data_Val!$L$2*365.25))),0,1),1))</f>
        <v/>
      </c>
      <c r="Y2" s="13" t="str">
        <f>IF(Data!$G2="","",IF(Data!$G2=Data_Val!$C$2,IF(Data!S2="",0,1),0))</f>
        <v/>
      </c>
      <c r="Z2" s="13" t="str">
        <f>IF(Data!S2="","",IF(ISNUMBER(MATCH(Data!T2,Data_Val!$A$2:$A$3,0)),0,1))</f>
        <v/>
      </c>
      <c r="AA2" s="28" t="str">
        <f ca="1">IF(Data!S2="","",IF(ISNUMBER(Data!U2),IF(AND(Data!U2&gt;(TODAY()-(Data_Val!$L$3*365.25)),Data!U2&lt;=(TODAY()-(Data_Val!$L$2*365.25))),0,1),1))</f>
        <v/>
      </c>
      <c r="AB2" s="11"/>
      <c r="AC2" s="11" t="e">
        <f>IF(Data!#REF!="","",IF(ISNUMBER(MATCH(Data!#REF!,Data_Val!$A$2:$A$3,0)),0,1))</f>
        <v>#REF!</v>
      </c>
      <c r="AD2" s="11" t="e">
        <f ca="1">IF(Data!#REF!="","",IF(ISNUMBER(Data!#REF!),IF(AND(Data!#REF!&gt;(TODAY()-(Data_Val!$L$3*365.25)),Data!#REF!&lt;=(TODAY()-(Data_Val!$L$2*365.25))),0,1),1))</f>
        <v>#REF!</v>
      </c>
      <c r="AE2" s="11" t="e">
        <f>IF(Data!#REF!="","",IF(Data!$G2="",1,IF(ISNUMBER(MATCH(Data!#REF!,Data_Val!$D$2:$D$10,0)),0,1)))</f>
        <v>#REF!</v>
      </c>
      <c r="AF2" s="12"/>
      <c r="AG2" s="12" t="e">
        <f>IF(Data!#REF!="","",IF(ISNUMBER(MATCH(Data!#REF!,Data_Val!$A$2:$A$3,0)),0,1))</f>
        <v>#REF!</v>
      </c>
      <c r="AH2" s="26" t="e">
        <f ca="1">IF(Data!#REF!="","",IF(ISNUMBER(Data!#REF!),IF(AND(Data!#REF!&gt;(TODAY()-(Data_Val!$L$3*365.25)),Data!#REF!&lt;=(TODAY()-(Data_Val!$L$2*365.25))),0,1),1))</f>
        <v>#REF!</v>
      </c>
      <c r="AI2" s="12" t="e">
        <f>IF(Data!#REF!="","",IF(Data!$G2="",1,IF(ISNUMBER(MATCH(Data!#REF!,Data_Val!$D$2:$D$10,0)),0,1)))</f>
        <v>#REF!</v>
      </c>
      <c r="AJ2" s="17"/>
      <c r="AK2" s="17" t="e">
        <f>IF(Data!#REF!="","",IF(ISNUMBER(MATCH(Data!#REF!,Data_Val!$A$2:$A$3,0)),0,1))</f>
        <v>#REF!</v>
      </c>
      <c r="AL2" s="25" t="e">
        <f ca="1">IF(Data!#REF!="","",IF(ISNUMBER(Data!#REF!),IF(AND(Data!#REF!&gt;(TODAY()-(Data_Val!$L$3*365.25)),Data!#REF!&lt;=(TODAY()-(Data_Val!$L$2*365.25))),0,1),1))</f>
        <v>#REF!</v>
      </c>
      <c r="AM2" s="17" t="e">
        <f>IF(Data!#REF!="","",IF(Data!$G2="",1,IF(ISNUMBER(MATCH(Data!#REF!,Data_Val!$D$2:$D$10,0)),0,1)))</f>
        <v>#REF!</v>
      </c>
      <c r="AN2" s="13"/>
      <c r="AO2" s="28" t="e">
        <f ca="1">IF(Data!#REF!="","",IF(ISNUMBER(Data!#REF!),IF(AND(Data!#REF!&gt;(TODAY()-(Data_Val!$I$3*365.25)),Data!#REF!&lt;=(TODAY()-(Data_Val!$I$2*365.25))),0,1),1))</f>
        <v>#REF!</v>
      </c>
      <c r="AP2" s="13" t="e">
        <f>IF(Data!#REF!="","",IF(Data!$G2="",1,IF(ISNUMBER(MATCH(Data!#REF!,Data_Val!$D$2:$D$10,0)),0,1)))</f>
        <v>#REF!</v>
      </c>
      <c r="AQ2" s="17"/>
      <c r="AR2" s="30" t="e">
        <f ca="1">IF(Data!#REF!="","",IF(ISNUMBER(Data!#REF!),IF(AND(Data!#REF!&gt;(TODAY()-(Data_Val!$I$3*365.25)),Data!#REF!&lt;=(TODAY()-(Data_Val!$I$2*365.25))),0,1),1))</f>
        <v>#REF!</v>
      </c>
      <c r="AS2" s="31" t="e">
        <f>IF(Data!#REF!="","",IF(Data!$G2="",1,IF(ISNUMBER(MATCH(Data!#REF!,Data_Val!$D$2:$D$10,0)),0,1)))</f>
        <v>#REF!</v>
      </c>
      <c r="AT2" s="11"/>
      <c r="AU2" s="11" t="e">
        <f ca="1">IF(Data!#REF!="","",IF(ISNUMBER(Data!#REF!),IF(AND(Data!#REF!&gt;(TODAY()-(Data_Val!$I$3*365.25)),Data!#REF!&lt;=(TODAY()-(Data_Val!$I$2*365.25))),0,1),1))</f>
        <v>#REF!</v>
      </c>
      <c r="AV2" s="11" t="e">
        <f>IF(Data!#REF!="","",IF(Data!$G2="",1,IF(ISNUMBER(MATCH(Data!#REF!,Data_Val!$D$2:$D$10,0)),0,1)))</f>
        <v>#REF!</v>
      </c>
      <c r="AW2" s="12"/>
      <c r="AX2" s="26" t="e">
        <f ca="1">IF(Data!#REF!="","",IF(ISNUMBER(Data!#REF!),IF(AND(Data!#REF!&gt;(TODAY()-(Data_Val!$I$3*365.25)),Data!#REF!&lt;=(TODAY()-(Data_Val!$I$2*365.25))),0,1),1))</f>
        <v>#REF!</v>
      </c>
      <c r="AY2" s="12" t="e">
        <f>IF(Data!#REF!="","",IF(Data!$G2="",1,IF(ISNUMBER(MATCH(Data!#REF!,Data_Val!$D$2:$D$10,0)),0,1)))</f>
        <v>#REF!</v>
      </c>
      <c r="AZ2" s="11"/>
      <c r="BA2" s="19" t="e">
        <f ca="1">IF(Data!#REF!="","",IF(ISNUMBER(Data!#REF!),IF(AND(Data!#REF!&gt;(TODAY()-(Data_Val!$M$3*365.25)),Data!#REF!&lt;=(TODAY()-(Data_Val!$M$2*365.25))),0,1),1))</f>
        <v>#REF!</v>
      </c>
      <c r="BB2" s="11" t="e">
        <f>IF(Data!#REF!="","",IF(Data!$G2="",1,IF(ISNUMBER(MATCH(Data!#REF!,Data_Val!$D$2:$D$10,0)),0,1)))</f>
        <v>#REF!</v>
      </c>
      <c r="BC2" s="12"/>
      <c r="BD2" s="20" t="e">
        <f ca="1">IF(Data!#REF!="","",IF(ISNUMBER(Data!#REF!),IF(AND(Data!#REF!&gt;(TODAY()-(Data_Val!$M$3*365.25)),Data!#REF!&lt;=(TODAY()-(Data_Val!$M$2*365.25))),0,1),1))</f>
        <v>#REF!</v>
      </c>
      <c r="BE2" s="12" t="e">
        <f>IF(Data!#REF!="","",IF(Data!$G2="",1,IF(ISNUMBER(MATCH(Data!#REF!,Data_Val!$D$2:$D$10,0)),0,1)))</f>
        <v>#REF!</v>
      </c>
      <c r="BF2" s="17"/>
      <c r="BG2" s="18" t="e">
        <f ca="1">IF(Data!#REF!="","",IF(ISNUMBER(Data!#REF!),IF(AND(Data!#REF!&gt;(TODAY()-(Data_Val!$M$3*365.25)),Data!#REF!&lt;=(TODAY()-(Data_Val!$M$2*365.25))),0,1),1))</f>
        <v>#REF!</v>
      </c>
      <c r="BH2" s="29" t="e">
        <f>IF(Data!#REF!="","",IF(Data!$G2="",1,IF(ISNUMBER(MATCH(Data!#REF!,Data_Val!$D$2:$D$10,0)),0,1)))</f>
        <v>#REF!</v>
      </c>
      <c r="BI2" s="13"/>
      <c r="BJ2" s="21" t="e">
        <f ca="1">IF(Data!#REF!="","",IF(ISNUMBER(Data!#REF!),IF(AND(Data!#REF!&gt;(TODAY()-(Data_Val!$M$3*365.25)),Data!#REF!&lt;=(TODAY()-(Data_Val!$M$2*365.25))),0,1),1))</f>
        <v>#REF!</v>
      </c>
      <c r="BK2" s="13" t="e">
        <f>IF(Data!#REF!="","",IF(Data!$G2="",1,IF(ISNUMBER(MATCH(Data!#REF!,Data_Val!$D$2:$D$10,0)),0,1)))</f>
        <v>#REF!</v>
      </c>
    </row>
    <row r="3" spans="1:63" x14ac:dyDescent="0.25">
      <c r="A3" s="9" t="str">
        <f>IF(Data!B3="","",IF(COUNTIFS(Data!A$1:'Data'!A3,Data!A3)&lt;=1,0,1))</f>
        <v/>
      </c>
      <c r="B3" s="9"/>
      <c r="C3" s="22" t="str">
        <f>IF(Data!C3="","",(IF(ISNUMBER(MATCH("*@*.?*",Data!C3,0)),0,1)+IF(COUNTIFS(Data!C$1:'Data'!C3,Data!C3)&gt;1,1,0)))</f>
        <v/>
      </c>
      <c r="D3" s="9" t="str">
        <f>IF(Data!B3="","",IF(ISNUMBER(Data!D3),IF(AND(Data!D3&gt;999999999,Data!D3&lt;=9999999999),IF(COUNTIFS(Data!D$1:'Data'!D3,Data!D3)&lt;=1,0,1),1),1))</f>
        <v/>
      </c>
      <c r="E3" s="9" t="str">
        <f>IF(Data!B3="","",IF(ISNUMBER(MATCH(Data!E3,Data_Val!$A$2:$A$3,0)),0,1))</f>
        <v/>
      </c>
      <c r="F3" s="9" t="str">
        <f ca="1">IF(Data!B3="","",IF(ISNUMBER(Data!F3),IF(AND(Data!F3&gt;(TODAY()-(Data_Val!$H$3*365.25)),Data!F3&lt;=(TODAY()-(Data_Val!$H$2*365.25))),0,1),1))</f>
        <v/>
      </c>
      <c r="G3" s="15" t="str">
        <f>IF(Data!B3="","",IF(AND(Data!G3="",Data!H3&lt;&gt;""),1,IF(Data!#REF!&lt;&gt;"",0,IF(ISNUMBER(MATCH(Data!G3,Data_Val!$C$2:$C$5,0)),0,1))))</f>
        <v/>
      </c>
      <c r="H3" s="15" t="str">
        <f>IF(Data!B3="","",IF(AND(Data!G3&lt;&gt;"",Data!H3=""),1,IF(Data!#REF!&lt;&gt;"",0,IF(Data!G3="",1,IF(ISNUMBER(MATCH(Data!H3,Data_Val!$D$2:$D$35,0)),0,1)))))</f>
        <v/>
      </c>
      <c r="I3" s="15" t="str">
        <f>IF(Data!B3="","",IF(Data!G3&lt;&gt;"",0,IF(ISNUMBER(MATCH(Data!#REF!,Data_Val!$E$2:$E$12,0)),0,1)))</f>
        <v/>
      </c>
      <c r="J3" s="16" t="e">
        <f>IF(OR(Data!B3="",Data!#REF!=""),"",IF(Data!#REF!="",1,0))</f>
        <v>#REF!</v>
      </c>
      <c r="K3" s="16" t="e">
        <f>IF(OR(Data!B3="",Data!#REF!=""),"",IF(Data!#REF!="",1,0))</f>
        <v>#REF!</v>
      </c>
      <c r="L3" s="16" t="e">
        <f>IF(OR(Data!B3="",Data!#REF!=""),"",IF(ISNUMBER(Data!#REF!),IF(AND(Data!#REF!&gt;Data_Val!$G$2,Data!#REF!&lt;=Data_Val!$G$3),0,1),1))</f>
        <v>#REF!</v>
      </c>
      <c r="M3" s="9" t="e">
        <f>IF(OR(Data!B3="",Data!#REF!=""),"",IF(ISNUMBER(MATCH(Data!#REF!,Data_Val!$F$1:$F$38,0)),0,1))</f>
        <v>#REF!</v>
      </c>
      <c r="N3" s="9" t="e">
        <f>IF(OR(Data!B3="",Data!#REF!=""),"",IF(Data!#REF!="",1,0))</f>
        <v>#REF!</v>
      </c>
      <c r="O3" s="17" t="e">
        <f>IF(Data!#REF!="","",IF(Data!#REF!="",1,0))</f>
        <v>#REF!</v>
      </c>
      <c r="P3" s="17" t="e">
        <f>IF(Data!#REF!="","",IF(ISNUMBER(MATCH(Data!#REF!,Data_Val!$A$2:$A$3,0)),0,1))</f>
        <v>#REF!</v>
      </c>
      <c r="Q3" s="25" t="e">
        <f ca="1">IF(Data!#REF!="","",IF(ISNUMBER(Data!#REF!),IF(AND(Data!#REF!&gt;(TODAY()-(Data_Val!$J$3*365.25)),Data!#REF!&lt;=(TODAY()-(Data_Val!$J$2*365.25))),0,1),1))</f>
        <v>#REF!</v>
      </c>
      <c r="R3" s="17" t="e">
        <f>IF(Data!#REF!="","",IF(ISNUMBER(MATCH(Data!#REF!,Data_Val!$B$2:$B$15,0)),0,1))</f>
        <v>#REF!</v>
      </c>
      <c r="S3" s="11" t="str">
        <f>IF(Data!G3="","",IF(Data!G3=Data_Val!$C$2,IF(Data!M3="",0,1),0))</f>
        <v/>
      </c>
      <c r="T3" s="11" t="str">
        <f>IF(Data!M3="","",IF(ISNUMBER(MATCH(Data!N3,Data_Val!$A$2:$A$3,0)),0,1))</f>
        <v/>
      </c>
      <c r="U3" s="11" t="str">
        <f ca="1">IF(Data!M3="","",IF(ISNUMBER(Data!O3),IF(AND(Data!O3&gt;(TODAY()-(Data_Val!$K$3*365.25)),Data!O3&lt;=(TODAY()-(Data_Val!$K$2*365.25))),0,1),1))</f>
        <v/>
      </c>
      <c r="V3" s="12" t="str">
        <f>IF(Data!G3="","",IF(Data!G3=Data_Val!$C$2,IF(Data!P3="",0,1),0))</f>
        <v/>
      </c>
      <c r="W3" s="12" t="str">
        <f>IF(Data!P3="","",IF(ISNUMBER(MATCH(Data!Q3,Data_Val!$A$2:$A$3,0)),0,1))</f>
        <v/>
      </c>
      <c r="X3" s="26" t="str">
        <f ca="1">IF(Data!P3="","",IF(ISNUMBER(Data!R3),IF(AND(Data!R3&gt;(TODAY()-(Data_Val!$L$3*365.25)),Data!R3&lt;=(TODAY()-(Data_Val!$L$2*365.25))),0,1),1))</f>
        <v/>
      </c>
      <c r="Y3" s="13" t="str">
        <f>IF(Data!$G3="","",IF(Data!$G3=Data_Val!$C$2,IF(Data!S3="",0,1),0))</f>
        <v/>
      </c>
      <c r="Z3" s="13" t="str">
        <f>IF(Data!S3="","",IF(ISNUMBER(MATCH(Data!T3,Data_Val!$A$2:$A$3,0)),0,1))</f>
        <v/>
      </c>
      <c r="AA3" s="28" t="str">
        <f ca="1">IF(Data!S3="","",IF(ISNUMBER(Data!U3),IF(AND(Data!U3&gt;(TODAY()-(Data_Val!$L$3*365.25)),Data!U3&lt;=(TODAY()-(Data_Val!$L$2*365.25))),0,1),1))</f>
        <v/>
      </c>
      <c r="AB3" s="11"/>
      <c r="AC3" s="11" t="e">
        <f>IF(Data!#REF!="","",IF(ISNUMBER(MATCH(Data!#REF!,Data_Val!$A$2:$A$3,0)),0,1))</f>
        <v>#REF!</v>
      </c>
      <c r="AD3" s="11" t="e">
        <f ca="1">IF(Data!#REF!="","",IF(ISNUMBER(Data!#REF!),IF(AND(Data!#REF!&gt;(TODAY()-(Data_Val!$L$3*365.25)),Data!#REF!&lt;=(TODAY()-(Data_Val!$L$2*365.25))),0,1),1))</f>
        <v>#REF!</v>
      </c>
      <c r="AE3" s="11" t="e">
        <f>IF(Data!#REF!="","",IF(Data!$G3="",1,IF(ISNUMBER(MATCH(Data!#REF!,Data_Val!$D$2:$D$10,0)),0,1)))</f>
        <v>#REF!</v>
      </c>
      <c r="AF3" s="12"/>
      <c r="AG3" s="12" t="e">
        <f>IF(Data!#REF!="","",IF(ISNUMBER(MATCH(Data!#REF!,Data_Val!$A$2:$A$3,0)),0,1))</f>
        <v>#REF!</v>
      </c>
      <c r="AH3" s="26" t="e">
        <f ca="1">IF(Data!#REF!="","",IF(ISNUMBER(Data!#REF!),IF(AND(Data!#REF!&gt;(TODAY()-(Data_Val!$L$3*365.25)),Data!#REF!&lt;=(TODAY()-(Data_Val!$L$2*365.25))),0,1),1))</f>
        <v>#REF!</v>
      </c>
      <c r="AI3" s="12" t="e">
        <f>IF(Data!#REF!="","",IF(Data!$G3="",1,IF(ISNUMBER(MATCH(Data!#REF!,Data_Val!$D$2:$D$10,0)),0,1)))</f>
        <v>#REF!</v>
      </c>
      <c r="AJ3" s="17"/>
      <c r="AK3" s="17" t="e">
        <f>IF(Data!#REF!="","",IF(ISNUMBER(MATCH(Data!#REF!,Data_Val!$A$2:$A$3,0)),0,1))</f>
        <v>#REF!</v>
      </c>
      <c r="AL3" s="25" t="e">
        <f ca="1">IF(Data!#REF!="","",IF(ISNUMBER(Data!#REF!),IF(AND(Data!#REF!&gt;(TODAY()-(Data_Val!$L$3*365.25)),Data!#REF!&lt;=(TODAY()-(Data_Val!$L$2*365.25))),0,1),1))</f>
        <v>#REF!</v>
      </c>
      <c r="AM3" s="17" t="e">
        <f>IF(Data!#REF!="","",IF(Data!$G3="",1,IF(ISNUMBER(MATCH(Data!#REF!,Data_Val!$D$2:$D$10,0)),0,1)))</f>
        <v>#REF!</v>
      </c>
      <c r="AN3" s="13"/>
      <c r="AO3" s="28" t="e">
        <f ca="1">IF(Data!#REF!="","",IF(ISNUMBER(Data!#REF!),IF(AND(Data!#REF!&gt;(TODAY()-(Data_Val!$I$3*365.25)),Data!#REF!&lt;=(TODAY()-(Data_Val!$I$2*365.25))),0,1),1))</f>
        <v>#REF!</v>
      </c>
      <c r="AP3" s="13" t="e">
        <f>IF(Data!#REF!="","",IF(Data!$G3="",1,IF(ISNUMBER(MATCH(Data!#REF!,Data_Val!$D$2:$D$10,0)),0,1)))</f>
        <v>#REF!</v>
      </c>
      <c r="AQ3" s="17"/>
      <c r="AR3" s="30" t="e">
        <f ca="1">IF(Data!#REF!="","",IF(ISNUMBER(Data!#REF!),IF(AND(Data!#REF!&gt;(TODAY()-(Data_Val!$I$3*365.25)),Data!#REF!&lt;=(TODAY()-(Data_Val!$I$2*365.25))),0,1),1))</f>
        <v>#REF!</v>
      </c>
      <c r="AS3" s="31" t="e">
        <f>IF(Data!#REF!="","",IF(Data!$G3="",1,IF(ISNUMBER(MATCH(Data!#REF!,Data_Val!$D$2:$D$10,0)),0,1)))</f>
        <v>#REF!</v>
      </c>
      <c r="AT3" s="11"/>
      <c r="AU3" s="11" t="e">
        <f ca="1">IF(Data!#REF!="","",IF(ISNUMBER(Data!#REF!),IF(AND(Data!#REF!&gt;(TODAY()-(Data_Val!$I$3*365.25)),Data!#REF!&lt;=(TODAY()-(Data_Val!$I$2*365.25))),0,1),1))</f>
        <v>#REF!</v>
      </c>
      <c r="AV3" s="11" t="e">
        <f>IF(Data!#REF!="","",IF(Data!$G3="",1,IF(ISNUMBER(MATCH(Data!#REF!,Data_Val!$D$2:$D$10,0)),0,1)))</f>
        <v>#REF!</v>
      </c>
      <c r="AW3" s="12"/>
      <c r="AX3" s="26" t="e">
        <f ca="1">IF(Data!#REF!="","",IF(ISNUMBER(Data!#REF!),IF(AND(Data!#REF!&gt;(TODAY()-(Data_Val!$I$3*365.25)),Data!#REF!&lt;=(TODAY()-(Data_Val!$I$2*365.25))),0,1),1))</f>
        <v>#REF!</v>
      </c>
      <c r="AY3" s="12" t="e">
        <f>IF(Data!#REF!="","",IF(Data!$G3="",1,IF(ISNUMBER(MATCH(Data!#REF!,Data_Val!$D$2:$D$10,0)),0,1)))</f>
        <v>#REF!</v>
      </c>
      <c r="AZ3" s="11"/>
      <c r="BA3" s="19" t="e">
        <f ca="1">IF(Data!#REF!="","",IF(ISNUMBER(Data!#REF!),IF(AND(Data!#REF!&gt;(TODAY()-(Data_Val!$M$3*365.25)),Data!#REF!&lt;=(TODAY()-(Data_Val!$M$2*365.25))),0,1),1))</f>
        <v>#REF!</v>
      </c>
      <c r="BB3" s="11" t="e">
        <f>IF(Data!#REF!="","",IF(Data!$G3="",1,IF(ISNUMBER(MATCH(Data!#REF!,Data_Val!$D$2:$D$10,0)),0,1)))</f>
        <v>#REF!</v>
      </c>
      <c r="BC3" s="12"/>
      <c r="BD3" s="20" t="e">
        <f ca="1">IF(Data!#REF!="","",IF(ISNUMBER(Data!#REF!),IF(AND(Data!#REF!&gt;(TODAY()-(Data_Val!$M$3*365.25)),Data!#REF!&lt;=(TODAY()-(Data_Val!$M$2*365.25))),0,1),1))</f>
        <v>#REF!</v>
      </c>
      <c r="BE3" s="12" t="e">
        <f>IF(Data!#REF!="","",IF(Data!$G3="",1,IF(ISNUMBER(MATCH(Data!#REF!,Data_Val!$D$2:$D$10,0)),0,1)))</f>
        <v>#REF!</v>
      </c>
      <c r="BF3" s="17"/>
      <c r="BG3" s="18" t="e">
        <f ca="1">IF(Data!#REF!="","",IF(ISNUMBER(Data!#REF!),IF(AND(Data!#REF!&gt;(TODAY()-(Data_Val!$M$3*365.25)),Data!#REF!&lt;=(TODAY()-(Data_Val!$M$2*365.25))),0,1),1))</f>
        <v>#REF!</v>
      </c>
      <c r="BH3" s="29" t="e">
        <f>IF(Data!#REF!="","",IF(Data!$G3="",1,IF(ISNUMBER(MATCH(Data!#REF!,Data_Val!$D$2:$D$10,0)),0,1)))</f>
        <v>#REF!</v>
      </c>
      <c r="BI3" s="13"/>
      <c r="BJ3" s="21" t="e">
        <f ca="1">IF(Data!#REF!="","",IF(ISNUMBER(Data!#REF!),IF(AND(Data!#REF!&gt;(TODAY()-(Data_Val!$M$3*365.25)),Data!#REF!&lt;=(TODAY()-(Data_Val!$M$2*365.25))),0,1),1))</f>
        <v>#REF!</v>
      </c>
      <c r="BK3" s="13" t="e">
        <f>IF(Data!#REF!="","",IF(Data!$G3="",1,IF(ISNUMBER(MATCH(Data!#REF!,Data_Val!$D$2:$D$10,0)),0,1)))</f>
        <v>#REF!</v>
      </c>
    </row>
    <row r="4" spans="1:63" x14ac:dyDescent="0.25">
      <c r="A4" s="9" t="str">
        <f>IF(Data!B4="","",IF(COUNTIFS(Data!A$1:'Data'!A4,Data!A4)&lt;=1,0,1))</f>
        <v/>
      </c>
      <c r="B4" s="9"/>
      <c r="C4" s="22" t="str">
        <f>IF(Data!C4="","",(IF(ISNUMBER(MATCH("*@*.?*",Data!C4,0)),0,1)+IF(COUNTIFS(Data!C$1:'Data'!C4,Data!C4)&gt;1,1,0)))</f>
        <v/>
      </c>
      <c r="D4" s="9" t="str">
        <f>IF(Data!B4="","",IF(ISNUMBER(Data!D4),IF(AND(Data!D4&gt;999999999,Data!D4&lt;=9999999999),IF(COUNTIFS(Data!D$1:'Data'!D4,Data!D4)&lt;=1,0,1),1),1))</f>
        <v/>
      </c>
      <c r="E4" s="9" t="str">
        <f>IF(Data!B4="","",IF(ISNUMBER(MATCH(Data!E4,Data_Val!$A$2:$A$3,0)),0,1))</f>
        <v/>
      </c>
      <c r="F4" s="9" t="str">
        <f ca="1">IF(Data!B4="","",IF(ISNUMBER(Data!F4),IF(AND(Data!F4&gt;(TODAY()-(Data_Val!$H$3*365.25)),Data!F4&lt;=(TODAY()-(Data_Val!$H$2*365.25))),0,1),1))</f>
        <v/>
      </c>
      <c r="G4" s="15" t="str">
        <f>IF(Data!B4="","",IF(AND(Data!G4="",Data!H4&lt;&gt;""),1,IF(Data!#REF!&lt;&gt;"",0,IF(ISNUMBER(MATCH(Data!G4,Data_Val!$C$2:$C$5,0)),0,1))))</f>
        <v/>
      </c>
      <c r="H4" s="15" t="str">
        <f>IF(Data!B4="","",IF(AND(Data!G4&lt;&gt;"",Data!H4=""),1,IF(Data!#REF!&lt;&gt;"",0,IF(Data!G4="",1,IF(ISNUMBER(MATCH(Data!H4,Data_Val!$D$2:$D$35,0)),0,1)))))</f>
        <v/>
      </c>
      <c r="I4" s="15" t="str">
        <f>IF(Data!B4="","",IF(Data!G4&lt;&gt;"",0,IF(ISNUMBER(MATCH(Data!#REF!,Data_Val!$E$2:$E$12,0)),0,1)))</f>
        <v/>
      </c>
      <c r="J4" s="16" t="e">
        <f>IF(OR(Data!B4="",Data!#REF!=""),"",IF(Data!#REF!="",1,0))</f>
        <v>#REF!</v>
      </c>
      <c r="K4" s="16" t="e">
        <f>IF(OR(Data!B4="",Data!#REF!=""),"",IF(Data!#REF!="",1,0))</f>
        <v>#REF!</v>
      </c>
      <c r="L4" s="16" t="e">
        <f>IF(OR(Data!B4="",Data!#REF!=""),"",IF(ISNUMBER(Data!#REF!),IF(AND(Data!#REF!&gt;Data_Val!$G$2,Data!#REF!&lt;=Data_Val!$G$3),0,1),1))</f>
        <v>#REF!</v>
      </c>
      <c r="M4" s="9" t="e">
        <f>IF(OR(Data!B4="",Data!#REF!=""),"",IF(ISNUMBER(MATCH(Data!#REF!,Data_Val!$F$1:$F$38,0)),0,1))</f>
        <v>#REF!</v>
      </c>
      <c r="N4" s="9" t="e">
        <f>IF(OR(Data!B4="",Data!#REF!=""),"",IF(Data!#REF!="",1,0))</f>
        <v>#REF!</v>
      </c>
      <c r="O4" s="17" t="e">
        <f>IF(Data!#REF!="","",IF(Data!#REF!="",1,0))</f>
        <v>#REF!</v>
      </c>
      <c r="P4" s="17" t="e">
        <f>IF(Data!#REF!="","",IF(ISNUMBER(MATCH(Data!#REF!,Data_Val!$A$2:$A$3,0)),0,1))</f>
        <v>#REF!</v>
      </c>
      <c r="Q4" s="25" t="e">
        <f ca="1">IF(Data!#REF!="","",IF(ISNUMBER(Data!#REF!),IF(AND(Data!#REF!&gt;(TODAY()-(Data_Val!$J$3*365.25)),Data!#REF!&lt;=(TODAY()-(Data_Val!$J$2*365.25))),0,1),1))</f>
        <v>#REF!</v>
      </c>
      <c r="R4" s="17" t="e">
        <f>IF(Data!#REF!="","",IF(ISNUMBER(MATCH(Data!#REF!,Data_Val!$B$2:$B$15,0)),0,1))</f>
        <v>#REF!</v>
      </c>
      <c r="S4" s="11" t="str">
        <f>IF(Data!G4="","",IF(Data!G4=Data_Val!$C$2,IF(Data!M4="",0,1),0))</f>
        <v/>
      </c>
      <c r="T4" s="11" t="str">
        <f>IF(Data!M4="","",IF(ISNUMBER(MATCH(Data!N4,Data_Val!$A$2:$A$3,0)),0,1))</f>
        <v/>
      </c>
      <c r="U4" s="11" t="str">
        <f ca="1">IF(Data!M4="","",IF(ISNUMBER(Data!O4),IF(AND(Data!O4&gt;(TODAY()-(Data_Val!$K$3*365.25)),Data!O4&lt;=(TODAY()-(Data_Val!$K$2*365.25))),0,1),1))</f>
        <v/>
      </c>
      <c r="V4" s="12" t="str">
        <f>IF(Data!G4="","",IF(Data!G4=Data_Val!$C$2,IF(Data!P4="",0,1),0))</f>
        <v/>
      </c>
      <c r="W4" s="12" t="str">
        <f>IF(Data!P4="","",IF(ISNUMBER(MATCH(Data!Q4,Data_Val!$A$2:$A$3,0)),0,1))</f>
        <v/>
      </c>
      <c r="X4" s="26" t="str">
        <f ca="1">IF(Data!P4="","",IF(ISNUMBER(Data!R4),IF(AND(Data!R4&gt;(TODAY()-(Data_Val!$L$3*365.25)),Data!R4&lt;=(TODAY()-(Data_Val!$L$2*365.25))),0,1),1))</f>
        <v/>
      </c>
      <c r="Y4" s="13" t="str">
        <f>IF(Data!$G4="","",IF(Data!$G4=Data_Val!$C$2,IF(Data!S4="",0,1),0))</f>
        <v/>
      </c>
      <c r="Z4" s="13" t="str">
        <f>IF(Data!S4="","",IF(ISNUMBER(MATCH(Data!T4,Data_Val!$A$2:$A$3,0)),0,1))</f>
        <v/>
      </c>
      <c r="AA4" s="28" t="str">
        <f ca="1">IF(Data!S4="","",IF(ISNUMBER(Data!U4),IF(AND(Data!U4&gt;(TODAY()-(Data_Val!$L$3*365.25)),Data!U4&lt;=(TODAY()-(Data_Val!$L$2*365.25))),0,1),1))</f>
        <v/>
      </c>
      <c r="AB4" s="11"/>
      <c r="AC4" s="11" t="e">
        <f>IF(Data!#REF!="","",IF(ISNUMBER(MATCH(Data!#REF!,Data_Val!$A$2:$A$3,0)),0,1))</f>
        <v>#REF!</v>
      </c>
      <c r="AD4" s="11" t="e">
        <f ca="1">IF(Data!#REF!="","",IF(ISNUMBER(Data!#REF!),IF(AND(Data!#REF!&gt;(TODAY()-(Data_Val!$L$3*365.25)),Data!#REF!&lt;=(TODAY()-(Data_Val!$L$2*365.25))),0,1),1))</f>
        <v>#REF!</v>
      </c>
      <c r="AE4" s="11" t="e">
        <f>IF(Data!#REF!="","",IF(Data!$G4="",1,IF(ISNUMBER(MATCH(Data!#REF!,Data_Val!$D$2:$D$10,0)),0,1)))</f>
        <v>#REF!</v>
      </c>
      <c r="AF4" s="12"/>
      <c r="AG4" s="12" t="e">
        <f>IF(Data!#REF!="","",IF(ISNUMBER(MATCH(Data!#REF!,Data_Val!$A$2:$A$3,0)),0,1))</f>
        <v>#REF!</v>
      </c>
      <c r="AH4" s="26" t="e">
        <f ca="1">IF(Data!#REF!="","",IF(ISNUMBER(Data!#REF!),IF(AND(Data!#REF!&gt;(TODAY()-(Data_Val!$L$3*365.25)),Data!#REF!&lt;=(TODAY()-(Data_Val!$L$2*365.25))),0,1),1))</f>
        <v>#REF!</v>
      </c>
      <c r="AI4" s="12" t="e">
        <f>IF(Data!#REF!="","",IF(Data!$G4="",1,IF(ISNUMBER(MATCH(Data!#REF!,Data_Val!$D$2:$D$10,0)),0,1)))</f>
        <v>#REF!</v>
      </c>
      <c r="AJ4" s="17"/>
      <c r="AK4" s="17" t="e">
        <f>IF(Data!#REF!="","",IF(ISNUMBER(MATCH(Data!#REF!,Data_Val!$A$2:$A$3,0)),0,1))</f>
        <v>#REF!</v>
      </c>
      <c r="AL4" s="25" t="e">
        <f ca="1">IF(Data!#REF!="","",IF(ISNUMBER(Data!#REF!),IF(AND(Data!#REF!&gt;(TODAY()-(Data_Val!$L$3*365.25)),Data!#REF!&lt;=(TODAY()-(Data_Val!$L$2*365.25))),0,1),1))</f>
        <v>#REF!</v>
      </c>
      <c r="AM4" s="17" t="e">
        <f>IF(Data!#REF!="","",IF(Data!$G4="",1,IF(ISNUMBER(MATCH(Data!#REF!,Data_Val!$D$2:$D$10,0)),0,1)))</f>
        <v>#REF!</v>
      </c>
      <c r="AN4" s="13"/>
      <c r="AO4" s="28" t="e">
        <f ca="1">IF(Data!#REF!="","",IF(ISNUMBER(Data!#REF!),IF(AND(Data!#REF!&gt;(TODAY()-(Data_Val!$I$3*365.25)),Data!#REF!&lt;=(TODAY()-(Data_Val!$I$2*365.25))),0,1),1))</f>
        <v>#REF!</v>
      </c>
      <c r="AP4" s="13" t="e">
        <f>IF(Data!#REF!="","",IF(Data!$G4="",1,IF(ISNUMBER(MATCH(Data!#REF!,Data_Val!$D$2:$D$10,0)),0,1)))</f>
        <v>#REF!</v>
      </c>
      <c r="AQ4" s="17"/>
      <c r="AR4" s="30" t="e">
        <f ca="1">IF(Data!#REF!="","",IF(ISNUMBER(Data!#REF!),IF(AND(Data!#REF!&gt;(TODAY()-(Data_Val!$I$3*365.25)),Data!#REF!&lt;=(TODAY()-(Data_Val!$I$2*365.25))),0,1),1))</f>
        <v>#REF!</v>
      </c>
      <c r="AS4" s="31" t="e">
        <f>IF(Data!#REF!="","",IF(Data!$G4="",1,IF(ISNUMBER(MATCH(Data!#REF!,Data_Val!$D$2:$D$10,0)),0,1)))</f>
        <v>#REF!</v>
      </c>
      <c r="AT4" s="11"/>
      <c r="AU4" s="11" t="e">
        <f ca="1">IF(Data!#REF!="","",IF(ISNUMBER(Data!#REF!),IF(AND(Data!#REF!&gt;(TODAY()-(Data_Val!$I$3*365.25)),Data!#REF!&lt;=(TODAY()-(Data_Val!$I$2*365.25))),0,1),1))</f>
        <v>#REF!</v>
      </c>
      <c r="AV4" s="11" t="e">
        <f>IF(Data!#REF!="","",IF(Data!$G4="",1,IF(ISNUMBER(MATCH(Data!#REF!,Data_Val!$D$2:$D$10,0)),0,1)))</f>
        <v>#REF!</v>
      </c>
      <c r="AW4" s="12"/>
      <c r="AX4" s="26" t="e">
        <f ca="1">IF(Data!#REF!="","",IF(ISNUMBER(Data!#REF!),IF(AND(Data!#REF!&gt;(TODAY()-(Data_Val!$I$3*365.25)),Data!#REF!&lt;=(TODAY()-(Data_Val!$I$2*365.25))),0,1),1))</f>
        <v>#REF!</v>
      </c>
      <c r="AY4" s="12" t="e">
        <f>IF(Data!#REF!="","",IF(Data!$G4="",1,IF(ISNUMBER(MATCH(Data!#REF!,Data_Val!$D$2:$D$10,0)),0,1)))</f>
        <v>#REF!</v>
      </c>
      <c r="AZ4" s="11"/>
      <c r="BA4" s="19" t="e">
        <f ca="1">IF(Data!#REF!="","",IF(ISNUMBER(Data!#REF!),IF(AND(Data!#REF!&gt;(TODAY()-(Data_Val!$M$3*365.25)),Data!#REF!&lt;=(TODAY()-(Data_Val!$M$2*365.25))),0,1),1))</f>
        <v>#REF!</v>
      </c>
      <c r="BB4" s="11" t="e">
        <f>IF(Data!#REF!="","",IF(Data!$G4="",1,IF(ISNUMBER(MATCH(Data!#REF!,Data_Val!$D$2:$D$10,0)),0,1)))</f>
        <v>#REF!</v>
      </c>
      <c r="BC4" s="12"/>
      <c r="BD4" s="20" t="e">
        <f ca="1">IF(Data!#REF!="","",IF(ISNUMBER(Data!#REF!),IF(AND(Data!#REF!&gt;(TODAY()-(Data_Val!$M$3*365.25)),Data!#REF!&lt;=(TODAY()-(Data_Val!$M$2*365.25))),0,1),1))</f>
        <v>#REF!</v>
      </c>
      <c r="BE4" s="12" t="e">
        <f>IF(Data!#REF!="","",IF(Data!$G4="",1,IF(ISNUMBER(MATCH(Data!#REF!,Data_Val!$D$2:$D$10,0)),0,1)))</f>
        <v>#REF!</v>
      </c>
      <c r="BF4" s="17"/>
      <c r="BG4" s="18" t="e">
        <f ca="1">IF(Data!#REF!="","",IF(ISNUMBER(Data!#REF!),IF(AND(Data!#REF!&gt;(TODAY()-(Data_Val!$M$3*365.25)),Data!#REF!&lt;=(TODAY()-(Data_Val!$M$2*365.25))),0,1),1))</f>
        <v>#REF!</v>
      </c>
      <c r="BH4" s="29" t="e">
        <f>IF(Data!#REF!="","",IF(Data!$G4="",1,IF(ISNUMBER(MATCH(Data!#REF!,Data_Val!$D$2:$D$10,0)),0,1)))</f>
        <v>#REF!</v>
      </c>
      <c r="BI4" s="13"/>
      <c r="BJ4" s="21" t="e">
        <f ca="1">IF(Data!#REF!="","",IF(ISNUMBER(Data!#REF!),IF(AND(Data!#REF!&gt;(TODAY()-(Data_Val!$M$3*365.25)),Data!#REF!&lt;=(TODAY()-(Data_Val!$M$2*365.25))),0,1),1))</f>
        <v>#REF!</v>
      </c>
      <c r="BK4" s="13" t="e">
        <f>IF(Data!#REF!="","",IF(Data!$G4="",1,IF(ISNUMBER(MATCH(Data!#REF!,Data_Val!$D$2:$D$10,0)),0,1)))</f>
        <v>#REF!</v>
      </c>
    </row>
    <row r="5" spans="1:63" x14ac:dyDescent="0.25">
      <c r="A5" s="9" t="str">
        <f>IF(Data!B5="","",IF(COUNTIFS(Data!A$1:'Data'!A5,Data!A5)&lt;=1,0,1))</f>
        <v/>
      </c>
      <c r="B5" s="9"/>
      <c r="C5" s="23" t="str">
        <f>IF(Data!C5="","",(IF(ISNUMBER(MATCH("*@*.?*",Data!C5,0)),0,1)+IF(COUNTIFS(Data!C$1:'Data'!C5,Data!C5)&gt;1,1,0)))</f>
        <v/>
      </c>
      <c r="D5" s="9" t="str">
        <f>IF(Data!B5="","",IF(ISNUMBER(Data!D5),IF(AND(Data!D5&gt;999999999,Data!D5&lt;=9999999999),IF(COUNTIFS(Data!D$1:'Data'!D5,Data!D5)&lt;=1,0,1),1),1))</f>
        <v/>
      </c>
      <c r="E5" s="9" t="str">
        <f>IF(Data!B5="","",IF(ISNUMBER(MATCH(Data!E5,Data_Val!$A$2:$A$3,0)),0,1))</f>
        <v/>
      </c>
      <c r="F5" s="9" t="str">
        <f ca="1">IF(Data!B5="","",IF(ISNUMBER(Data!F5),IF(AND(Data!F5&gt;(TODAY()-(Data_Val!$H$3*365.25)),Data!F5&lt;=(TODAY()-(Data_Val!$H$2*365.25))),0,1),1))</f>
        <v/>
      </c>
      <c r="G5" s="15" t="str">
        <f>IF(Data!B5="","",IF(AND(Data!G5="",Data!H5&lt;&gt;""),1,IF(Data!#REF!&lt;&gt;"",0,IF(ISNUMBER(MATCH(Data!G5,Data_Val!$C$2:$C$5,0)),0,1))))</f>
        <v/>
      </c>
      <c r="H5" s="15" t="str">
        <f>IF(Data!B5="","",IF(AND(Data!G5&lt;&gt;"",Data!H5=""),1,IF(Data!#REF!&lt;&gt;"",0,IF(Data!G5="",1,IF(ISNUMBER(MATCH(Data!H5,Data_Val!$D$2:$D$35,0)),0,1)))))</f>
        <v/>
      </c>
      <c r="I5" s="15" t="str">
        <f>IF(Data!B5="","",IF(Data!G5&lt;&gt;"",0,IF(ISNUMBER(MATCH(Data!#REF!,Data_Val!$E$2:$E$12,0)),0,1)))</f>
        <v/>
      </c>
      <c r="J5" s="16" t="e">
        <f>IF(OR(Data!B5="",Data!#REF!=""),"",IF(Data!#REF!="",1,0))</f>
        <v>#REF!</v>
      </c>
      <c r="K5" s="16" t="e">
        <f>IF(OR(Data!B5="",Data!#REF!=""),"",IF(Data!#REF!="",1,0))</f>
        <v>#REF!</v>
      </c>
      <c r="L5" s="16" t="e">
        <f>IF(OR(Data!B5="",Data!#REF!=""),"",IF(ISNUMBER(Data!#REF!),IF(AND(Data!#REF!&gt;Data_Val!$G$2,Data!#REF!&lt;=Data_Val!$G$3),0,1),1))</f>
        <v>#REF!</v>
      </c>
      <c r="M5" s="9" t="e">
        <f>IF(OR(Data!B5="",Data!#REF!=""),"",IF(ISNUMBER(MATCH(Data!#REF!,Data_Val!$F$1:$F$38,0)),0,1))</f>
        <v>#REF!</v>
      </c>
      <c r="N5" s="9" t="e">
        <f>IF(OR(Data!B5="",Data!#REF!=""),"",IF(Data!#REF!="",1,0))</f>
        <v>#REF!</v>
      </c>
      <c r="O5" s="17" t="e">
        <f>IF(Data!#REF!="","",IF(Data!#REF!="",1,0))</f>
        <v>#REF!</v>
      </c>
      <c r="P5" s="17" t="e">
        <f>IF(Data!#REF!="","",IF(ISNUMBER(MATCH(Data!#REF!,Data_Val!$A$2:$A$3,0)),0,1))</f>
        <v>#REF!</v>
      </c>
      <c r="Q5" s="25" t="e">
        <f ca="1">IF(Data!#REF!="","",IF(ISNUMBER(Data!#REF!),IF(AND(Data!#REF!&gt;(TODAY()-(Data_Val!$J$3*365.25)),Data!#REF!&lt;=(TODAY()-(Data_Val!$J$2*365.25))),0,1),1))</f>
        <v>#REF!</v>
      </c>
      <c r="R5" s="17" t="e">
        <f>IF(Data!#REF!="","",IF(ISNUMBER(MATCH(Data!#REF!,Data_Val!$B$2:$B$15,0)),0,1))</f>
        <v>#REF!</v>
      </c>
      <c r="S5" s="11" t="str">
        <f>IF(Data!G5="","",IF(Data!G5=Data_Val!$C$2,IF(Data!M5="",0,1),0))</f>
        <v/>
      </c>
      <c r="T5" s="11" t="str">
        <f>IF(Data!M5="","",IF(ISNUMBER(MATCH(Data!N5,Data_Val!$A$2:$A$3,0)),0,1))</f>
        <v/>
      </c>
      <c r="U5" s="11" t="str">
        <f ca="1">IF(Data!M5="","",IF(ISNUMBER(Data!O5),IF(AND(Data!O5&gt;(TODAY()-(Data_Val!$K$3*365.25)),Data!O5&lt;=(TODAY()-(Data_Val!$K$2*365.25))),0,1),1))</f>
        <v/>
      </c>
      <c r="V5" s="12" t="str">
        <f>IF(Data!G5="","",IF(Data!G5=Data_Val!$C$2,IF(Data!P5="",0,1),0))</f>
        <v/>
      </c>
      <c r="W5" s="12" t="str">
        <f>IF(Data!P5="","",IF(ISNUMBER(MATCH(Data!Q5,Data_Val!$A$2:$A$3,0)),0,1))</f>
        <v/>
      </c>
      <c r="X5" s="26" t="str">
        <f ca="1">IF(Data!P5="","",IF(ISNUMBER(Data!R5),IF(AND(Data!R5&gt;(TODAY()-(Data_Val!$L$3*365.25)),Data!R5&lt;=(TODAY()-(Data_Val!$L$2*365.25))),0,1),1))</f>
        <v/>
      </c>
      <c r="Y5" s="13" t="str">
        <f>IF(Data!$G5="","",IF(Data!$G5=Data_Val!$C$2,IF(Data!S5="",0,1),0))</f>
        <v/>
      </c>
      <c r="Z5" s="13" t="str">
        <f>IF(Data!S5="","",IF(ISNUMBER(MATCH(Data!T5,Data_Val!$A$2:$A$3,0)),0,1))</f>
        <v/>
      </c>
      <c r="AA5" s="28" t="str">
        <f ca="1">IF(Data!S5="","",IF(ISNUMBER(Data!U5),IF(AND(Data!U5&gt;(TODAY()-(Data_Val!$L$3*365.25)),Data!U5&lt;=(TODAY()-(Data_Val!$L$2*365.25))),0,1),1))</f>
        <v/>
      </c>
      <c r="AB5" s="11"/>
      <c r="AC5" s="11" t="e">
        <f>IF(Data!#REF!="","",IF(ISNUMBER(MATCH(Data!#REF!,Data_Val!$A$2:$A$3,0)),0,1))</f>
        <v>#REF!</v>
      </c>
      <c r="AD5" s="11" t="e">
        <f ca="1">IF(Data!#REF!="","",IF(ISNUMBER(Data!#REF!),IF(AND(Data!#REF!&gt;(TODAY()-(Data_Val!$L$3*365.25)),Data!#REF!&lt;=(TODAY()-(Data_Val!$L$2*365.25))),0,1),1))</f>
        <v>#REF!</v>
      </c>
      <c r="AE5" s="11" t="e">
        <f>IF(Data!#REF!="","",IF(Data!$G5="",1,IF(ISNUMBER(MATCH(Data!#REF!,Data_Val!$D$2:$D$10,0)),0,1)))</f>
        <v>#REF!</v>
      </c>
      <c r="AF5" s="12"/>
      <c r="AG5" s="12" t="e">
        <f>IF(Data!#REF!="","",IF(ISNUMBER(MATCH(Data!#REF!,Data_Val!$A$2:$A$3,0)),0,1))</f>
        <v>#REF!</v>
      </c>
      <c r="AH5" s="26" t="e">
        <f ca="1">IF(Data!#REF!="","",IF(ISNUMBER(Data!#REF!),IF(AND(Data!#REF!&gt;(TODAY()-(Data_Val!$L$3*365.25)),Data!#REF!&lt;=(TODAY()-(Data_Val!$L$2*365.25))),0,1),1))</f>
        <v>#REF!</v>
      </c>
      <c r="AI5" s="12" t="e">
        <f>IF(Data!#REF!="","",IF(Data!$G5="",1,IF(ISNUMBER(MATCH(Data!#REF!,Data_Val!$D$2:$D$10,0)),0,1)))</f>
        <v>#REF!</v>
      </c>
      <c r="AJ5" s="17"/>
      <c r="AK5" s="17" t="e">
        <f>IF(Data!#REF!="","",IF(ISNUMBER(MATCH(Data!#REF!,Data_Val!$A$2:$A$3,0)),0,1))</f>
        <v>#REF!</v>
      </c>
      <c r="AL5" s="25" t="e">
        <f ca="1">IF(Data!#REF!="","",IF(ISNUMBER(Data!#REF!),IF(AND(Data!#REF!&gt;(TODAY()-(Data_Val!$L$3*365.25)),Data!#REF!&lt;=(TODAY()-(Data_Val!$L$2*365.25))),0,1),1))</f>
        <v>#REF!</v>
      </c>
      <c r="AM5" s="17" t="e">
        <f>IF(Data!#REF!="","",IF(Data!$G5="",1,IF(ISNUMBER(MATCH(Data!#REF!,Data_Val!$D$2:$D$10,0)),0,1)))</f>
        <v>#REF!</v>
      </c>
      <c r="AN5" s="13"/>
      <c r="AO5" s="28" t="e">
        <f ca="1">IF(Data!#REF!="","",IF(ISNUMBER(Data!#REF!),IF(AND(Data!#REF!&gt;(TODAY()-(Data_Val!$I$3*365.25)),Data!#REF!&lt;=(TODAY()-(Data_Val!$I$2*365.25))),0,1),1))</f>
        <v>#REF!</v>
      </c>
      <c r="AP5" s="13" t="e">
        <f>IF(Data!#REF!="","",IF(Data!$G5="",1,IF(ISNUMBER(MATCH(Data!#REF!,Data_Val!$D$2:$D$10,0)),0,1)))</f>
        <v>#REF!</v>
      </c>
      <c r="AQ5" s="17"/>
      <c r="AR5" s="30" t="e">
        <f ca="1">IF(Data!#REF!="","",IF(ISNUMBER(Data!#REF!),IF(AND(Data!#REF!&gt;(TODAY()-(Data_Val!$I$3*365.25)),Data!#REF!&lt;=(TODAY()-(Data_Val!$I$2*365.25))),0,1),1))</f>
        <v>#REF!</v>
      </c>
      <c r="AS5" s="31" t="e">
        <f>IF(Data!#REF!="","",IF(Data!$G5="",1,IF(ISNUMBER(MATCH(Data!#REF!,Data_Val!$D$2:$D$10,0)),0,1)))</f>
        <v>#REF!</v>
      </c>
      <c r="AT5" s="11"/>
      <c r="AU5" s="11" t="e">
        <f ca="1">IF(Data!#REF!="","",IF(ISNUMBER(Data!#REF!),IF(AND(Data!#REF!&gt;(TODAY()-(Data_Val!$I$3*365.25)),Data!#REF!&lt;=(TODAY()-(Data_Val!$I$2*365.25))),0,1),1))</f>
        <v>#REF!</v>
      </c>
      <c r="AV5" s="11" t="e">
        <f>IF(Data!#REF!="","",IF(Data!$G5="",1,IF(ISNUMBER(MATCH(Data!#REF!,Data_Val!$D$2:$D$10,0)),0,1)))</f>
        <v>#REF!</v>
      </c>
      <c r="AW5" s="12"/>
      <c r="AX5" s="26" t="e">
        <f ca="1">IF(Data!#REF!="","",IF(ISNUMBER(Data!#REF!),IF(AND(Data!#REF!&gt;(TODAY()-(Data_Val!$I$3*365.25)),Data!#REF!&lt;=(TODAY()-(Data_Val!$I$2*365.25))),0,1),1))</f>
        <v>#REF!</v>
      </c>
      <c r="AY5" s="12" t="e">
        <f>IF(Data!#REF!="","",IF(Data!$G5="",1,IF(ISNUMBER(MATCH(Data!#REF!,Data_Val!$D$2:$D$10,0)),0,1)))</f>
        <v>#REF!</v>
      </c>
      <c r="AZ5" s="11"/>
      <c r="BA5" s="19" t="e">
        <f ca="1">IF(Data!#REF!="","",IF(ISNUMBER(Data!#REF!),IF(AND(Data!#REF!&gt;(TODAY()-(Data_Val!$M$3*365.25)),Data!#REF!&lt;=(TODAY()-(Data_Val!$M$2*365.25))),0,1),1))</f>
        <v>#REF!</v>
      </c>
      <c r="BB5" s="11" t="e">
        <f>IF(Data!#REF!="","",IF(Data!$G5="",1,IF(ISNUMBER(MATCH(Data!#REF!,Data_Val!$D$2:$D$10,0)),0,1)))</f>
        <v>#REF!</v>
      </c>
      <c r="BC5" s="12"/>
      <c r="BD5" s="20" t="e">
        <f ca="1">IF(Data!#REF!="","",IF(ISNUMBER(Data!#REF!),IF(AND(Data!#REF!&gt;(TODAY()-(Data_Val!$M$3*365.25)),Data!#REF!&lt;=(TODAY()-(Data_Val!$M$2*365.25))),0,1),1))</f>
        <v>#REF!</v>
      </c>
      <c r="BE5" s="12" t="e">
        <f>IF(Data!#REF!="","",IF(Data!$G5="",1,IF(ISNUMBER(MATCH(Data!#REF!,Data_Val!$D$2:$D$10,0)),0,1)))</f>
        <v>#REF!</v>
      </c>
      <c r="BF5" s="17"/>
      <c r="BG5" s="18" t="e">
        <f ca="1">IF(Data!#REF!="","",IF(ISNUMBER(Data!#REF!),IF(AND(Data!#REF!&gt;(TODAY()-(Data_Val!$M$3*365.25)),Data!#REF!&lt;=(TODAY()-(Data_Val!$M$2*365.25))),0,1),1))</f>
        <v>#REF!</v>
      </c>
      <c r="BH5" s="29" t="e">
        <f>IF(Data!#REF!="","",IF(Data!$G5="",1,IF(ISNUMBER(MATCH(Data!#REF!,Data_Val!$D$2:$D$10,0)),0,1)))</f>
        <v>#REF!</v>
      </c>
      <c r="BI5" s="13"/>
      <c r="BJ5" s="21" t="e">
        <f ca="1">IF(Data!#REF!="","",IF(ISNUMBER(Data!#REF!),IF(AND(Data!#REF!&gt;(TODAY()-(Data_Val!$M$3*365.25)),Data!#REF!&lt;=(TODAY()-(Data_Val!$M$2*365.25))),0,1),1))</f>
        <v>#REF!</v>
      </c>
      <c r="BK5" s="13" t="e">
        <f>IF(Data!#REF!="","",IF(Data!$G5="",1,IF(ISNUMBER(MATCH(Data!#REF!,Data_Val!$D$2:$D$10,0)),0,1)))</f>
        <v>#REF!</v>
      </c>
    </row>
    <row r="6" spans="1:63" x14ac:dyDescent="0.25">
      <c r="A6" s="9" t="str">
        <f>IF(Data!B6="","",IF(COUNTIFS(Data!A$1:'Data'!A6,Data!A6)&lt;=1,0,1))</f>
        <v/>
      </c>
      <c r="B6" s="9"/>
      <c r="C6" s="23" t="str">
        <f>IF(Data!C6="","",(IF(ISNUMBER(MATCH("*@*.?*",Data!C6,0)),0,1)+IF(COUNTIFS(Data!C$1:'Data'!C6,Data!C6)&gt;1,1,0)))</f>
        <v/>
      </c>
      <c r="D6" s="9" t="str">
        <f>IF(Data!B6="","",IF(ISNUMBER(Data!D6),IF(AND(Data!D6&gt;999999999,Data!D6&lt;=9999999999),IF(COUNTIFS(Data!D$1:'Data'!D6,Data!D6)&lt;=1,0,1),1),1))</f>
        <v/>
      </c>
      <c r="E6" s="9" t="str">
        <f>IF(Data!B6="","",IF(ISNUMBER(MATCH(Data!E6,Data_Val!$A$2:$A$3,0)),0,1))</f>
        <v/>
      </c>
      <c r="F6" s="9" t="str">
        <f ca="1">IF(Data!B6="","",IF(ISNUMBER(Data!F6),IF(AND(Data!F6&gt;(TODAY()-(Data_Val!$H$3*365.25)),Data!F6&lt;=(TODAY()-(Data_Val!$H$2*365.25))),0,1),1))</f>
        <v/>
      </c>
      <c r="G6" s="15" t="str">
        <f>IF(Data!B6="","",IF(AND(Data!G6="",Data!H6&lt;&gt;""),1,IF(Data!#REF!&lt;&gt;"",0,IF(ISNUMBER(MATCH(Data!G6,Data_Val!$C$2:$C$5,0)),0,1))))</f>
        <v/>
      </c>
      <c r="H6" s="15" t="str">
        <f>IF(Data!B6="","",IF(AND(Data!G6&lt;&gt;"",Data!H6=""),1,IF(Data!#REF!&lt;&gt;"",0,IF(Data!G6="",1,IF(ISNUMBER(MATCH(Data!H6,Data_Val!$D$2:$D$35,0)),0,1)))))</f>
        <v/>
      </c>
      <c r="I6" s="15" t="str">
        <f>IF(Data!B6="","",IF(Data!G6&lt;&gt;"",0,IF(ISNUMBER(MATCH(Data!#REF!,Data_Val!$E$2:$E$12,0)),0,1)))</f>
        <v/>
      </c>
      <c r="J6" s="16" t="e">
        <f>IF(OR(Data!B6="",Data!#REF!=""),"",IF(Data!#REF!="",1,0))</f>
        <v>#REF!</v>
      </c>
      <c r="K6" s="16" t="e">
        <f>IF(OR(Data!B6="",Data!#REF!=""),"",IF(Data!#REF!="",1,0))</f>
        <v>#REF!</v>
      </c>
      <c r="L6" s="16" t="e">
        <f>IF(OR(Data!B6="",Data!#REF!=""),"",IF(ISNUMBER(Data!#REF!),IF(AND(Data!#REF!&gt;Data_Val!$G$2,Data!#REF!&lt;=Data_Val!$G$3),0,1),1))</f>
        <v>#REF!</v>
      </c>
      <c r="M6" s="9" t="e">
        <f>IF(OR(Data!B6="",Data!#REF!=""),"",IF(ISNUMBER(MATCH(Data!#REF!,Data_Val!$F$1:$F$38,0)),0,1))</f>
        <v>#REF!</v>
      </c>
      <c r="N6" s="9" t="e">
        <f>IF(OR(Data!B6="",Data!#REF!=""),"",IF(Data!#REF!="",1,0))</f>
        <v>#REF!</v>
      </c>
      <c r="O6" s="17" t="e">
        <f>IF(Data!#REF!="","",IF(Data!#REF!="",1,0))</f>
        <v>#REF!</v>
      </c>
      <c r="P6" s="17" t="e">
        <f>IF(Data!#REF!="","",IF(ISNUMBER(MATCH(Data!#REF!,Data_Val!$A$2:$A$3,0)),0,1))</f>
        <v>#REF!</v>
      </c>
      <c r="Q6" s="25" t="e">
        <f ca="1">IF(Data!#REF!="","",IF(ISNUMBER(Data!#REF!),IF(AND(Data!#REF!&gt;(TODAY()-(Data_Val!$J$3*365.25)),Data!#REF!&lt;=(TODAY()-(Data_Val!$J$2*365.25))),0,1),1))</f>
        <v>#REF!</v>
      </c>
      <c r="R6" s="17" t="e">
        <f>IF(Data!#REF!="","",IF(ISNUMBER(MATCH(Data!#REF!,Data_Val!$B$2:$B$15,0)),0,1))</f>
        <v>#REF!</v>
      </c>
      <c r="S6" s="11" t="str">
        <f>IF(Data!G6="","",IF(Data!G6=Data_Val!$C$2,IF(Data!M6="",0,1),0))</f>
        <v/>
      </c>
      <c r="T6" s="11" t="str">
        <f>IF(Data!M6="","",IF(ISNUMBER(MATCH(Data!N6,Data_Val!$A$2:$A$3,0)),0,1))</f>
        <v/>
      </c>
      <c r="U6" s="11" t="str">
        <f ca="1">IF(Data!M6="","",IF(ISNUMBER(Data!O6),IF(AND(Data!O6&gt;(TODAY()-(Data_Val!$K$3*365.25)),Data!O6&lt;=(TODAY()-(Data_Val!$K$2*365.25))),0,1),1))</f>
        <v/>
      </c>
      <c r="V6" s="12" t="str">
        <f>IF(Data!G6="","",IF(Data!G6=Data_Val!$C$2,IF(Data!P6="",0,1),0))</f>
        <v/>
      </c>
      <c r="W6" s="12" t="str">
        <f>IF(Data!P6="","",IF(ISNUMBER(MATCH(Data!Q6,Data_Val!$A$2:$A$3,0)),0,1))</f>
        <v/>
      </c>
      <c r="X6" s="26" t="str">
        <f ca="1">IF(Data!P6="","",IF(ISNUMBER(Data!R6),IF(AND(Data!R6&gt;(TODAY()-(Data_Val!$L$3*365.25)),Data!R6&lt;=(TODAY()-(Data_Val!$L$2*365.25))),0,1),1))</f>
        <v/>
      </c>
      <c r="Y6" s="13" t="str">
        <f>IF(Data!$G6="","",IF(Data!$G6=Data_Val!$C$2,IF(Data!S6="",0,1),0))</f>
        <v/>
      </c>
      <c r="Z6" s="13" t="str">
        <f>IF(Data!S6="","",IF(ISNUMBER(MATCH(Data!T6,Data_Val!$A$2:$A$3,0)),0,1))</f>
        <v/>
      </c>
      <c r="AA6" s="28" t="str">
        <f ca="1">IF(Data!S6="","",IF(ISNUMBER(Data!U6),IF(AND(Data!U6&gt;(TODAY()-(Data_Val!$L$3*365.25)),Data!U6&lt;=(TODAY()-(Data_Val!$L$2*365.25))),0,1),1))</f>
        <v/>
      </c>
      <c r="AB6" s="11"/>
      <c r="AC6" s="11" t="e">
        <f>IF(Data!#REF!="","",IF(ISNUMBER(MATCH(Data!#REF!,Data_Val!$A$2:$A$3,0)),0,1))</f>
        <v>#REF!</v>
      </c>
      <c r="AD6" s="11" t="e">
        <f ca="1">IF(Data!#REF!="","",IF(ISNUMBER(Data!#REF!),IF(AND(Data!#REF!&gt;(TODAY()-(Data_Val!$L$3*365.25)),Data!#REF!&lt;=(TODAY()-(Data_Val!$L$2*365.25))),0,1),1))</f>
        <v>#REF!</v>
      </c>
      <c r="AE6" s="11" t="e">
        <f>IF(Data!#REF!="","",IF(Data!$G6="",1,IF(ISNUMBER(MATCH(Data!#REF!,Data_Val!$D$2:$D$10,0)),0,1)))</f>
        <v>#REF!</v>
      </c>
      <c r="AF6" s="12"/>
      <c r="AG6" s="12" t="e">
        <f>IF(Data!#REF!="","",IF(ISNUMBER(MATCH(Data!#REF!,Data_Val!$A$2:$A$3,0)),0,1))</f>
        <v>#REF!</v>
      </c>
      <c r="AH6" s="26" t="e">
        <f ca="1">IF(Data!#REF!="","",IF(ISNUMBER(Data!#REF!),IF(AND(Data!#REF!&gt;(TODAY()-(Data_Val!$L$3*365.25)),Data!#REF!&lt;=(TODAY()-(Data_Val!$L$2*365.25))),0,1),1))</f>
        <v>#REF!</v>
      </c>
      <c r="AI6" s="12" t="e">
        <f>IF(Data!#REF!="","",IF(Data!$G6="",1,IF(ISNUMBER(MATCH(Data!#REF!,Data_Val!$D$2:$D$10,0)),0,1)))</f>
        <v>#REF!</v>
      </c>
      <c r="AJ6" s="17"/>
      <c r="AK6" s="17" t="e">
        <f>IF(Data!#REF!="","",IF(ISNUMBER(MATCH(Data!#REF!,Data_Val!$A$2:$A$3,0)),0,1))</f>
        <v>#REF!</v>
      </c>
      <c r="AL6" s="25" t="e">
        <f ca="1">IF(Data!#REF!="","",IF(ISNUMBER(Data!#REF!),IF(AND(Data!#REF!&gt;(TODAY()-(Data_Val!$L$3*365.25)),Data!#REF!&lt;=(TODAY()-(Data_Val!$L$2*365.25))),0,1),1))</f>
        <v>#REF!</v>
      </c>
      <c r="AM6" s="17" t="e">
        <f>IF(Data!#REF!="","",IF(Data!$G6="",1,IF(ISNUMBER(MATCH(Data!#REF!,Data_Val!$D$2:$D$10,0)),0,1)))</f>
        <v>#REF!</v>
      </c>
      <c r="AN6" s="13"/>
      <c r="AO6" s="28" t="e">
        <f ca="1">IF(Data!#REF!="","",IF(ISNUMBER(Data!#REF!),IF(AND(Data!#REF!&gt;(TODAY()-(Data_Val!$I$3*365.25)),Data!#REF!&lt;=(TODAY()-(Data_Val!$I$2*365.25))),0,1),1))</f>
        <v>#REF!</v>
      </c>
      <c r="AP6" s="13" t="e">
        <f>IF(Data!#REF!="","",IF(Data!$G6="",1,IF(ISNUMBER(MATCH(Data!#REF!,Data_Val!$D$2:$D$10,0)),0,1)))</f>
        <v>#REF!</v>
      </c>
      <c r="AQ6" s="17"/>
      <c r="AR6" s="30" t="e">
        <f ca="1">IF(Data!#REF!="","",IF(ISNUMBER(Data!#REF!),IF(AND(Data!#REF!&gt;(TODAY()-(Data_Val!$I$3*365.25)),Data!#REF!&lt;=(TODAY()-(Data_Val!$I$2*365.25))),0,1),1))</f>
        <v>#REF!</v>
      </c>
      <c r="AS6" s="31" t="e">
        <f>IF(Data!#REF!="","",IF(Data!$G6="",1,IF(ISNUMBER(MATCH(Data!#REF!,Data_Val!$D$2:$D$10,0)),0,1)))</f>
        <v>#REF!</v>
      </c>
      <c r="AT6" s="11"/>
      <c r="AU6" s="11" t="e">
        <f ca="1">IF(Data!#REF!="","",IF(ISNUMBER(Data!#REF!),IF(AND(Data!#REF!&gt;(TODAY()-(Data_Val!$I$3*365.25)),Data!#REF!&lt;=(TODAY()-(Data_Val!$I$2*365.25))),0,1),1))</f>
        <v>#REF!</v>
      </c>
      <c r="AV6" s="11" t="e">
        <f>IF(Data!#REF!="","",IF(Data!$G6="",1,IF(ISNUMBER(MATCH(Data!#REF!,Data_Val!$D$2:$D$10,0)),0,1)))</f>
        <v>#REF!</v>
      </c>
      <c r="AW6" s="12"/>
      <c r="AX6" s="26" t="e">
        <f ca="1">IF(Data!#REF!="","",IF(ISNUMBER(Data!#REF!),IF(AND(Data!#REF!&gt;(TODAY()-(Data_Val!$I$3*365.25)),Data!#REF!&lt;=(TODAY()-(Data_Val!$I$2*365.25))),0,1),1))</f>
        <v>#REF!</v>
      </c>
      <c r="AY6" s="12" t="e">
        <f>IF(Data!#REF!="","",IF(Data!$G6="",1,IF(ISNUMBER(MATCH(Data!#REF!,Data_Val!$D$2:$D$10,0)),0,1)))</f>
        <v>#REF!</v>
      </c>
      <c r="AZ6" s="11"/>
      <c r="BA6" s="19" t="e">
        <f ca="1">IF(Data!#REF!="","",IF(ISNUMBER(Data!#REF!),IF(AND(Data!#REF!&gt;(TODAY()-(Data_Val!$M$3*365.25)),Data!#REF!&lt;=(TODAY()-(Data_Val!$M$2*365.25))),0,1),1))</f>
        <v>#REF!</v>
      </c>
      <c r="BB6" s="11" t="e">
        <f>IF(Data!#REF!="","",IF(Data!$G6="",1,IF(ISNUMBER(MATCH(Data!#REF!,Data_Val!$D$2:$D$10,0)),0,1)))</f>
        <v>#REF!</v>
      </c>
      <c r="BC6" s="12"/>
      <c r="BD6" s="20" t="e">
        <f ca="1">IF(Data!#REF!="","",IF(ISNUMBER(Data!#REF!),IF(AND(Data!#REF!&gt;(TODAY()-(Data_Val!$M$3*365.25)),Data!#REF!&lt;=(TODAY()-(Data_Val!$M$2*365.25))),0,1),1))</f>
        <v>#REF!</v>
      </c>
      <c r="BE6" s="12" t="e">
        <f>IF(Data!#REF!="","",IF(Data!$G6="",1,IF(ISNUMBER(MATCH(Data!#REF!,Data_Val!$D$2:$D$10,0)),0,1)))</f>
        <v>#REF!</v>
      </c>
      <c r="BF6" s="17"/>
      <c r="BG6" s="18" t="e">
        <f ca="1">IF(Data!#REF!="","",IF(ISNUMBER(Data!#REF!),IF(AND(Data!#REF!&gt;(TODAY()-(Data_Val!$M$3*365.25)),Data!#REF!&lt;=(TODAY()-(Data_Val!$M$2*365.25))),0,1),1))</f>
        <v>#REF!</v>
      </c>
      <c r="BH6" s="29" t="e">
        <f>IF(Data!#REF!="","",IF(Data!$G6="",1,IF(ISNUMBER(MATCH(Data!#REF!,Data_Val!$D$2:$D$10,0)),0,1)))</f>
        <v>#REF!</v>
      </c>
      <c r="BI6" s="13"/>
      <c r="BJ6" s="21" t="e">
        <f ca="1">IF(Data!#REF!="","",IF(ISNUMBER(Data!#REF!),IF(AND(Data!#REF!&gt;(TODAY()-(Data_Val!$M$3*365.25)),Data!#REF!&lt;=(TODAY()-(Data_Val!$M$2*365.25))),0,1),1))</f>
        <v>#REF!</v>
      </c>
      <c r="BK6" s="13" t="e">
        <f>IF(Data!#REF!="","",IF(Data!$G6="",1,IF(ISNUMBER(MATCH(Data!#REF!,Data_Val!$D$2:$D$10,0)),0,1)))</f>
        <v>#REF!</v>
      </c>
    </row>
    <row r="7" spans="1:63" x14ac:dyDescent="0.25">
      <c r="A7" s="9" t="str">
        <f>IF(Data!B7="","",IF(COUNTIFS(Data!A$1:'Data'!A7,Data!A7)&lt;=1,0,1))</f>
        <v/>
      </c>
      <c r="B7" s="9"/>
      <c r="C7" s="23" t="str">
        <f>IF(Data!C7="","",(IF(ISNUMBER(MATCH("*@*.?*",Data!C7,0)),0,1)+IF(COUNTIFS(Data!C$1:'Data'!C7,Data!C7)&gt;1,1,0)))</f>
        <v/>
      </c>
      <c r="D7" s="9" t="str">
        <f>IF(Data!B7="","",IF(ISNUMBER(Data!D7),IF(AND(Data!D7&gt;999999999,Data!D7&lt;=9999999999),IF(COUNTIFS(Data!D$1:'Data'!D7,Data!D7)&lt;=1,0,1),1),1))</f>
        <v/>
      </c>
      <c r="E7" s="9" t="str">
        <f>IF(Data!B7="","",IF(ISNUMBER(MATCH(Data!E7,Data_Val!$A$2:$A$3,0)),0,1))</f>
        <v/>
      </c>
      <c r="F7" s="9" t="str">
        <f ca="1">IF(Data!B7="","",IF(ISNUMBER(Data!F7),IF(AND(Data!F7&gt;(TODAY()-(Data_Val!$H$3*365.25)),Data!F7&lt;=(TODAY()-(Data_Val!$H$2*365.25))),0,1),1))</f>
        <v/>
      </c>
      <c r="G7" s="15" t="str">
        <f>IF(Data!B7="","",IF(AND(Data!G7="",Data!H7&lt;&gt;""),1,IF(Data!#REF!&lt;&gt;"",0,IF(ISNUMBER(MATCH(Data!G7,Data_Val!$C$2:$C$5,0)),0,1))))</f>
        <v/>
      </c>
      <c r="H7" s="15" t="str">
        <f>IF(Data!B7="","",IF(AND(Data!G7&lt;&gt;"",Data!H7=""),1,IF(Data!#REF!&lt;&gt;"",0,IF(Data!G7="",1,IF(ISNUMBER(MATCH(Data!H7,Data_Val!$D$2:$D$35,0)),0,1)))))</f>
        <v/>
      </c>
      <c r="I7" s="15" t="str">
        <f>IF(Data!B7="","",IF(Data!G7&lt;&gt;"",0,IF(ISNUMBER(MATCH(Data!#REF!,Data_Val!$E$2:$E$12,0)),0,1)))</f>
        <v/>
      </c>
      <c r="J7" s="16" t="e">
        <f>IF(OR(Data!B7="",Data!#REF!=""),"",IF(Data!#REF!="",1,0))</f>
        <v>#REF!</v>
      </c>
      <c r="K7" s="16" t="e">
        <f>IF(OR(Data!B7="",Data!#REF!=""),"",IF(Data!#REF!="",1,0))</f>
        <v>#REF!</v>
      </c>
      <c r="L7" s="16" t="e">
        <f>IF(OR(Data!B7="",Data!#REF!=""),"",IF(ISNUMBER(Data!#REF!),IF(AND(Data!#REF!&gt;Data_Val!$G$2,Data!#REF!&lt;=Data_Val!$G$3),0,1),1))</f>
        <v>#REF!</v>
      </c>
      <c r="M7" s="9" t="e">
        <f>IF(OR(Data!B7="",Data!#REF!=""),"",IF(ISNUMBER(MATCH(Data!#REF!,Data_Val!$F$1:$F$38,0)),0,1))</f>
        <v>#REF!</v>
      </c>
      <c r="N7" s="9" t="e">
        <f>IF(OR(Data!B7="",Data!#REF!=""),"",IF(Data!#REF!="",1,0))</f>
        <v>#REF!</v>
      </c>
      <c r="O7" s="17" t="e">
        <f>IF(Data!#REF!="","",IF(Data!#REF!="",1,0))</f>
        <v>#REF!</v>
      </c>
      <c r="P7" s="17" t="e">
        <f>IF(Data!#REF!="","",IF(ISNUMBER(MATCH(Data!#REF!,Data_Val!$A$2:$A$3,0)),0,1))</f>
        <v>#REF!</v>
      </c>
      <c r="Q7" s="25" t="e">
        <f ca="1">IF(Data!#REF!="","",IF(ISNUMBER(Data!#REF!),IF(AND(Data!#REF!&gt;(TODAY()-(Data_Val!$J$3*365.25)),Data!#REF!&lt;=(TODAY()-(Data_Val!$J$2*365.25))),0,1),1))</f>
        <v>#REF!</v>
      </c>
      <c r="R7" s="17" t="e">
        <f>IF(Data!#REF!="","",IF(ISNUMBER(MATCH(Data!#REF!,Data_Val!$B$2:$B$15,0)),0,1))</f>
        <v>#REF!</v>
      </c>
      <c r="S7" s="11" t="str">
        <f>IF(Data!G7="","",IF(Data!G7=Data_Val!$C$2,IF(Data!M7="",0,1),0))</f>
        <v/>
      </c>
      <c r="T7" s="11" t="str">
        <f>IF(Data!M7="","",IF(ISNUMBER(MATCH(Data!N7,Data_Val!$A$2:$A$3,0)),0,1))</f>
        <v/>
      </c>
      <c r="U7" s="11" t="str">
        <f ca="1">IF(Data!M7="","",IF(ISNUMBER(Data!O7),IF(AND(Data!O7&gt;(TODAY()-(Data_Val!$K$3*365.25)),Data!O7&lt;=(TODAY()-(Data_Val!$K$2*365.25))),0,1),1))</f>
        <v/>
      </c>
      <c r="V7" s="12" t="str">
        <f>IF(Data!G7="","",IF(Data!G7=Data_Val!$C$2,IF(Data!P7="",0,1),0))</f>
        <v/>
      </c>
      <c r="W7" s="12" t="str">
        <f>IF(Data!P7="","",IF(ISNUMBER(MATCH(Data!Q7,Data_Val!$A$2:$A$3,0)),0,1))</f>
        <v/>
      </c>
      <c r="X7" s="26" t="str">
        <f ca="1">IF(Data!P7="","",IF(ISNUMBER(Data!R7),IF(AND(Data!R7&gt;(TODAY()-(Data_Val!$L$3*365.25)),Data!R7&lt;=(TODAY()-(Data_Val!$L$2*365.25))),0,1),1))</f>
        <v/>
      </c>
      <c r="Y7" s="13" t="str">
        <f>IF(Data!$G7="","",IF(Data!$G7=Data_Val!$C$2,IF(Data!S7="",0,1),0))</f>
        <v/>
      </c>
      <c r="Z7" s="13" t="str">
        <f>IF(Data!S7="","",IF(ISNUMBER(MATCH(Data!T7,Data_Val!$A$2:$A$3,0)),0,1))</f>
        <v/>
      </c>
      <c r="AA7" s="28" t="str">
        <f ca="1">IF(Data!S7="","",IF(ISNUMBER(Data!U7),IF(AND(Data!U7&gt;(TODAY()-(Data_Val!$L$3*365.25)),Data!U7&lt;=(TODAY()-(Data_Val!$L$2*365.25))),0,1),1))</f>
        <v/>
      </c>
      <c r="AB7" s="11"/>
      <c r="AC7" s="11" t="e">
        <f>IF(Data!#REF!="","",IF(ISNUMBER(MATCH(Data!#REF!,Data_Val!$A$2:$A$3,0)),0,1))</f>
        <v>#REF!</v>
      </c>
      <c r="AD7" s="11" t="e">
        <f ca="1">IF(Data!#REF!="","",IF(ISNUMBER(Data!#REF!),IF(AND(Data!#REF!&gt;(TODAY()-(Data_Val!$L$3*365.25)),Data!#REF!&lt;=(TODAY()-(Data_Val!$L$2*365.25))),0,1),1))</f>
        <v>#REF!</v>
      </c>
      <c r="AE7" s="11" t="e">
        <f>IF(Data!#REF!="","",IF(Data!$G7="",1,IF(ISNUMBER(MATCH(Data!#REF!,Data_Val!$D$2:$D$10,0)),0,1)))</f>
        <v>#REF!</v>
      </c>
      <c r="AF7" s="12"/>
      <c r="AG7" s="12" t="e">
        <f>IF(Data!#REF!="","",IF(ISNUMBER(MATCH(Data!#REF!,Data_Val!$A$2:$A$3,0)),0,1))</f>
        <v>#REF!</v>
      </c>
      <c r="AH7" s="26" t="e">
        <f ca="1">IF(Data!#REF!="","",IF(ISNUMBER(Data!#REF!),IF(AND(Data!#REF!&gt;(TODAY()-(Data_Val!$L$3*365.25)),Data!#REF!&lt;=(TODAY()-(Data_Val!$L$2*365.25))),0,1),1))</f>
        <v>#REF!</v>
      </c>
      <c r="AI7" s="12" t="e">
        <f>IF(Data!#REF!="","",IF(Data!$G7="",1,IF(ISNUMBER(MATCH(Data!#REF!,Data_Val!$D$2:$D$10,0)),0,1)))</f>
        <v>#REF!</v>
      </c>
      <c r="AJ7" s="17"/>
      <c r="AK7" s="17" t="e">
        <f>IF(Data!#REF!="","",IF(ISNUMBER(MATCH(Data!#REF!,Data_Val!$A$2:$A$3,0)),0,1))</f>
        <v>#REF!</v>
      </c>
      <c r="AL7" s="25" t="e">
        <f ca="1">IF(Data!#REF!="","",IF(ISNUMBER(Data!#REF!),IF(AND(Data!#REF!&gt;(TODAY()-(Data_Val!$L$3*365.25)),Data!#REF!&lt;=(TODAY()-(Data_Val!$L$2*365.25))),0,1),1))</f>
        <v>#REF!</v>
      </c>
      <c r="AM7" s="17" t="e">
        <f>IF(Data!#REF!="","",IF(Data!$G7="",1,IF(ISNUMBER(MATCH(Data!#REF!,Data_Val!$D$2:$D$10,0)),0,1)))</f>
        <v>#REF!</v>
      </c>
      <c r="AN7" s="13"/>
      <c r="AO7" s="28" t="e">
        <f ca="1">IF(Data!#REF!="","",IF(ISNUMBER(Data!#REF!),IF(AND(Data!#REF!&gt;(TODAY()-(Data_Val!$I$3*365.25)),Data!#REF!&lt;=(TODAY()-(Data_Val!$I$2*365.25))),0,1),1))</f>
        <v>#REF!</v>
      </c>
      <c r="AP7" s="13" t="e">
        <f>IF(Data!#REF!="","",IF(Data!$G7="",1,IF(ISNUMBER(MATCH(Data!#REF!,Data_Val!$D$2:$D$10,0)),0,1)))</f>
        <v>#REF!</v>
      </c>
      <c r="AQ7" s="17"/>
      <c r="AR7" s="30" t="e">
        <f ca="1">IF(Data!#REF!="","",IF(ISNUMBER(Data!#REF!),IF(AND(Data!#REF!&gt;(TODAY()-(Data_Val!$I$3*365.25)),Data!#REF!&lt;=(TODAY()-(Data_Val!$I$2*365.25))),0,1),1))</f>
        <v>#REF!</v>
      </c>
      <c r="AS7" s="31" t="e">
        <f>IF(Data!#REF!="","",IF(Data!$G7="",1,IF(ISNUMBER(MATCH(Data!#REF!,Data_Val!$D$2:$D$10,0)),0,1)))</f>
        <v>#REF!</v>
      </c>
      <c r="AT7" s="11"/>
      <c r="AU7" s="11" t="e">
        <f ca="1">IF(Data!#REF!="","",IF(ISNUMBER(Data!#REF!),IF(AND(Data!#REF!&gt;(TODAY()-(Data_Val!$I$3*365.25)),Data!#REF!&lt;=(TODAY()-(Data_Val!$I$2*365.25))),0,1),1))</f>
        <v>#REF!</v>
      </c>
      <c r="AV7" s="11" t="e">
        <f>IF(Data!#REF!="","",IF(Data!$G7="",1,IF(ISNUMBER(MATCH(Data!#REF!,Data_Val!$D$2:$D$10,0)),0,1)))</f>
        <v>#REF!</v>
      </c>
      <c r="AW7" s="12"/>
      <c r="AX7" s="26" t="e">
        <f ca="1">IF(Data!#REF!="","",IF(ISNUMBER(Data!#REF!),IF(AND(Data!#REF!&gt;(TODAY()-(Data_Val!$I$3*365.25)),Data!#REF!&lt;=(TODAY()-(Data_Val!$I$2*365.25))),0,1),1))</f>
        <v>#REF!</v>
      </c>
      <c r="AY7" s="12" t="e">
        <f>IF(Data!#REF!="","",IF(Data!$G7="",1,IF(ISNUMBER(MATCH(Data!#REF!,Data_Val!$D$2:$D$10,0)),0,1)))</f>
        <v>#REF!</v>
      </c>
      <c r="AZ7" s="11"/>
      <c r="BA7" s="19" t="e">
        <f ca="1">IF(Data!#REF!="","",IF(ISNUMBER(Data!#REF!),IF(AND(Data!#REF!&gt;(TODAY()-(Data_Val!$M$3*365.25)),Data!#REF!&lt;=(TODAY()-(Data_Val!$M$2*365.25))),0,1),1))</f>
        <v>#REF!</v>
      </c>
      <c r="BB7" s="11" t="e">
        <f>IF(Data!#REF!="","",IF(Data!$G7="",1,IF(ISNUMBER(MATCH(Data!#REF!,Data_Val!$D$2:$D$10,0)),0,1)))</f>
        <v>#REF!</v>
      </c>
      <c r="BC7" s="12"/>
      <c r="BD7" s="20" t="e">
        <f ca="1">IF(Data!#REF!="","",IF(ISNUMBER(Data!#REF!),IF(AND(Data!#REF!&gt;(TODAY()-(Data_Val!$M$3*365.25)),Data!#REF!&lt;=(TODAY()-(Data_Val!$M$2*365.25))),0,1),1))</f>
        <v>#REF!</v>
      </c>
      <c r="BE7" s="12" t="e">
        <f>IF(Data!#REF!="","",IF(Data!$G7="",1,IF(ISNUMBER(MATCH(Data!#REF!,Data_Val!$D$2:$D$10,0)),0,1)))</f>
        <v>#REF!</v>
      </c>
      <c r="BF7" s="17"/>
      <c r="BG7" s="18" t="e">
        <f ca="1">IF(Data!#REF!="","",IF(ISNUMBER(Data!#REF!),IF(AND(Data!#REF!&gt;(TODAY()-(Data_Val!$M$3*365.25)),Data!#REF!&lt;=(TODAY()-(Data_Val!$M$2*365.25))),0,1),1))</f>
        <v>#REF!</v>
      </c>
      <c r="BH7" s="29" t="e">
        <f>IF(Data!#REF!="","",IF(Data!$G7="",1,IF(ISNUMBER(MATCH(Data!#REF!,Data_Val!$D$2:$D$10,0)),0,1)))</f>
        <v>#REF!</v>
      </c>
      <c r="BI7" s="13"/>
      <c r="BJ7" s="21" t="e">
        <f ca="1">IF(Data!#REF!="","",IF(ISNUMBER(Data!#REF!),IF(AND(Data!#REF!&gt;(TODAY()-(Data_Val!$M$3*365.25)),Data!#REF!&lt;=(TODAY()-(Data_Val!$M$2*365.25))),0,1),1))</f>
        <v>#REF!</v>
      </c>
      <c r="BK7" s="13" t="e">
        <f>IF(Data!#REF!="","",IF(Data!$G7="",1,IF(ISNUMBER(MATCH(Data!#REF!,Data_Val!$D$2:$D$10,0)),0,1)))</f>
        <v>#REF!</v>
      </c>
    </row>
    <row r="8" spans="1:63" x14ac:dyDescent="0.25">
      <c r="A8" s="9" t="str">
        <f>IF(Data!B8="","",IF(COUNTIFS(Data!A$1:'Data'!A8,Data!A8)&lt;=1,0,1))</f>
        <v/>
      </c>
      <c r="B8" s="9"/>
      <c r="C8" s="23" t="str">
        <f>IF(Data!C8="","",(IF(ISNUMBER(MATCH("*@*.?*",Data!C8,0)),0,1)+IF(COUNTIFS(Data!C$1:'Data'!C8,Data!C8)&gt;1,1,0)))</f>
        <v/>
      </c>
      <c r="D8" s="9" t="str">
        <f>IF(Data!B8="","",IF(ISNUMBER(Data!D8),IF(AND(Data!D8&gt;999999999,Data!D8&lt;=9999999999),IF(COUNTIFS(Data!D$1:'Data'!D8,Data!D8)&lt;=1,0,1),1),1))</f>
        <v/>
      </c>
      <c r="E8" s="9" t="str">
        <f>IF(Data!B8="","",IF(ISNUMBER(MATCH(Data!E8,Data_Val!$A$2:$A$3,0)),0,1))</f>
        <v/>
      </c>
      <c r="F8" s="9" t="str">
        <f ca="1">IF(Data!B8="","",IF(ISNUMBER(Data!F8),IF(AND(Data!F8&gt;(TODAY()-(Data_Val!$H$3*365.25)),Data!F8&lt;=(TODAY()-(Data_Val!$H$2*365.25))),0,1),1))</f>
        <v/>
      </c>
      <c r="G8" s="15" t="str">
        <f>IF(Data!B8="","",IF(AND(Data!G8="",Data!H8&lt;&gt;""),1,IF(Data!#REF!&lt;&gt;"",0,IF(ISNUMBER(MATCH(Data!G8,Data_Val!$C$2:$C$5,0)),0,1))))</f>
        <v/>
      </c>
      <c r="H8" s="15" t="str">
        <f>IF(Data!B8="","",IF(AND(Data!G8&lt;&gt;"",Data!H8=""),1,IF(Data!#REF!&lt;&gt;"",0,IF(Data!G8="",1,IF(ISNUMBER(MATCH(Data!H8,Data_Val!$D$2:$D$35,0)),0,1)))))</f>
        <v/>
      </c>
      <c r="I8" s="15" t="str">
        <f>IF(Data!B8="","",IF(Data!G8&lt;&gt;"",0,IF(ISNUMBER(MATCH(Data!#REF!,Data_Val!$E$2:$E$12,0)),0,1)))</f>
        <v/>
      </c>
      <c r="J8" s="16" t="e">
        <f>IF(OR(Data!B8="",Data!#REF!=""),"",IF(Data!#REF!="",1,0))</f>
        <v>#REF!</v>
      </c>
      <c r="K8" s="16" t="e">
        <f>IF(OR(Data!B8="",Data!#REF!=""),"",IF(Data!#REF!="",1,0))</f>
        <v>#REF!</v>
      </c>
      <c r="L8" s="16" t="e">
        <f>IF(OR(Data!B8="",Data!#REF!=""),"",IF(ISNUMBER(Data!#REF!),IF(AND(Data!#REF!&gt;Data_Val!$G$2,Data!#REF!&lt;=Data_Val!$G$3),0,1),1))</f>
        <v>#REF!</v>
      </c>
      <c r="M8" s="9" t="e">
        <f>IF(OR(Data!B8="",Data!#REF!=""),"",IF(ISNUMBER(MATCH(Data!#REF!,Data_Val!$F$1:$F$38,0)),0,1))</f>
        <v>#REF!</v>
      </c>
      <c r="N8" s="9" t="e">
        <f>IF(OR(Data!B8="",Data!#REF!=""),"",IF(Data!#REF!="",1,0))</f>
        <v>#REF!</v>
      </c>
      <c r="O8" s="17" t="e">
        <f>IF(Data!#REF!="","",IF(Data!#REF!="",1,0))</f>
        <v>#REF!</v>
      </c>
      <c r="P8" s="17" t="e">
        <f>IF(Data!#REF!="","",IF(ISNUMBER(MATCH(Data!#REF!,Data_Val!$A$2:$A$3,0)),0,1))</f>
        <v>#REF!</v>
      </c>
      <c r="Q8" s="25" t="e">
        <f ca="1">IF(Data!#REF!="","",IF(ISNUMBER(Data!#REF!),IF(AND(Data!#REF!&gt;(TODAY()-(Data_Val!$J$3*365.25)),Data!#REF!&lt;=(TODAY()-(Data_Val!$J$2*365.25))),0,1),1))</f>
        <v>#REF!</v>
      </c>
      <c r="R8" s="17" t="e">
        <f>IF(Data!#REF!="","",IF(ISNUMBER(MATCH(Data!#REF!,Data_Val!$B$2:$B$15,0)),0,1))</f>
        <v>#REF!</v>
      </c>
      <c r="S8" s="11" t="str">
        <f>IF(Data!G8="","",IF(Data!G8=Data_Val!$C$2,IF(Data!M8="",0,1),0))</f>
        <v/>
      </c>
      <c r="T8" s="11" t="str">
        <f>IF(Data!M8="","",IF(ISNUMBER(MATCH(Data!N8,Data_Val!$A$2:$A$3,0)),0,1))</f>
        <v/>
      </c>
      <c r="U8" s="11" t="str">
        <f ca="1">IF(Data!M8="","",IF(ISNUMBER(Data!O8),IF(AND(Data!O8&gt;(TODAY()-(Data_Val!$K$3*365.25)),Data!O8&lt;=(TODAY()-(Data_Val!$K$2*365.25))),0,1),1))</f>
        <v/>
      </c>
      <c r="V8" s="12" t="str">
        <f>IF(Data!G8="","",IF(Data!G8=Data_Val!$C$2,IF(Data!P8="",0,1),0))</f>
        <v/>
      </c>
      <c r="W8" s="12" t="str">
        <f>IF(Data!P8="","",IF(ISNUMBER(MATCH(Data!Q8,Data_Val!$A$2:$A$3,0)),0,1))</f>
        <v/>
      </c>
      <c r="X8" s="26" t="str">
        <f ca="1">IF(Data!P8="","",IF(ISNUMBER(Data!R8),IF(AND(Data!R8&gt;(TODAY()-(Data_Val!$L$3*365.25)),Data!R8&lt;=(TODAY()-(Data_Val!$L$2*365.25))),0,1),1))</f>
        <v/>
      </c>
      <c r="Y8" s="13" t="str">
        <f>IF(Data!$G8="","",IF(Data!$G8=Data_Val!$C$2,IF(Data!S8="",0,1),0))</f>
        <v/>
      </c>
      <c r="Z8" s="13" t="str">
        <f>IF(Data!S8="","",IF(ISNUMBER(MATCH(Data!T8,Data_Val!$A$2:$A$3,0)),0,1))</f>
        <v/>
      </c>
      <c r="AA8" s="28" t="str">
        <f ca="1">IF(Data!S8="","",IF(ISNUMBER(Data!U8),IF(AND(Data!U8&gt;(TODAY()-(Data_Val!$L$3*365.25)),Data!U8&lt;=(TODAY()-(Data_Val!$L$2*365.25))),0,1),1))</f>
        <v/>
      </c>
      <c r="AB8" s="11"/>
      <c r="AC8" s="11" t="e">
        <f>IF(Data!#REF!="","",IF(ISNUMBER(MATCH(Data!#REF!,Data_Val!$A$2:$A$3,0)),0,1))</f>
        <v>#REF!</v>
      </c>
      <c r="AD8" s="11" t="e">
        <f ca="1">IF(Data!#REF!="","",IF(ISNUMBER(Data!#REF!),IF(AND(Data!#REF!&gt;(TODAY()-(Data_Val!$L$3*365.25)),Data!#REF!&lt;=(TODAY()-(Data_Val!$L$2*365.25))),0,1),1))</f>
        <v>#REF!</v>
      </c>
      <c r="AE8" s="11" t="e">
        <f>IF(Data!#REF!="","",IF(Data!$G8="",1,IF(ISNUMBER(MATCH(Data!#REF!,Data_Val!$D$2:$D$10,0)),0,1)))</f>
        <v>#REF!</v>
      </c>
      <c r="AF8" s="12"/>
      <c r="AG8" s="12" t="e">
        <f>IF(Data!#REF!="","",IF(ISNUMBER(MATCH(Data!#REF!,Data_Val!$A$2:$A$3,0)),0,1))</f>
        <v>#REF!</v>
      </c>
      <c r="AH8" s="26" t="e">
        <f ca="1">IF(Data!#REF!="","",IF(ISNUMBER(Data!#REF!),IF(AND(Data!#REF!&gt;(TODAY()-(Data_Val!$L$3*365.25)),Data!#REF!&lt;=(TODAY()-(Data_Val!$L$2*365.25))),0,1),1))</f>
        <v>#REF!</v>
      </c>
      <c r="AI8" s="12" t="e">
        <f>IF(Data!#REF!="","",IF(Data!$G8="",1,IF(ISNUMBER(MATCH(Data!#REF!,Data_Val!$D$2:$D$10,0)),0,1)))</f>
        <v>#REF!</v>
      </c>
      <c r="AJ8" s="17"/>
      <c r="AK8" s="17" t="e">
        <f>IF(Data!#REF!="","",IF(ISNUMBER(MATCH(Data!#REF!,Data_Val!$A$2:$A$3,0)),0,1))</f>
        <v>#REF!</v>
      </c>
      <c r="AL8" s="25" t="e">
        <f ca="1">IF(Data!#REF!="","",IF(ISNUMBER(Data!#REF!),IF(AND(Data!#REF!&gt;(TODAY()-(Data_Val!$L$3*365.25)),Data!#REF!&lt;=(TODAY()-(Data_Val!$L$2*365.25))),0,1),1))</f>
        <v>#REF!</v>
      </c>
      <c r="AM8" s="17" t="e">
        <f>IF(Data!#REF!="","",IF(Data!$G8="",1,IF(ISNUMBER(MATCH(Data!#REF!,Data_Val!$D$2:$D$10,0)),0,1)))</f>
        <v>#REF!</v>
      </c>
      <c r="AN8" s="13"/>
      <c r="AO8" s="28" t="e">
        <f ca="1">IF(Data!#REF!="","",IF(ISNUMBER(Data!#REF!),IF(AND(Data!#REF!&gt;(TODAY()-(Data_Val!$I$3*365.25)),Data!#REF!&lt;=(TODAY()-(Data_Val!$I$2*365.25))),0,1),1))</f>
        <v>#REF!</v>
      </c>
      <c r="AP8" s="13" t="e">
        <f>IF(Data!#REF!="","",IF(Data!$G8="",1,IF(ISNUMBER(MATCH(Data!#REF!,Data_Val!$D$2:$D$10,0)),0,1)))</f>
        <v>#REF!</v>
      </c>
      <c r="AQ8" s="17"/>
      <c r="AR8" s="30" t="e">
        <f ca="1">IF(Data!#REF!="","",IF(ISNUMBER(Data!#REF!),IF(AND(Data!#REF!&gt;(TODAY()-(Data_Val!$I$3*365.25)),Data!#REF!&lt;=(TODAY()-(Data_Val!$I$2*365.25))),0,1),1))</f>
        <v>#REF!</v>
      </c>
      <c r="AS8" s="31" t="e">
        <f>IF(Data!#REF!="","",IF(Data!$G8="",1,IF(ISNUMBER(MATCH(Data!#REF!,Data_Val!$D$2:$D$10,0)),0,1)))</f>
        <v>#REF!</v>
      </c>
      <c r="AT8" s="11"/>
      <c r="AU8" s="11" t="e">
        <f ca="1">IF(Data!#REF!="","",IF(ISNUMBER(Data!#REF!),IF(AND(Data!#REF!&gt;(TODAY()-(Data_Val!$I$3*365.25)),Data!#REF!&lt;=(TODAY()-(Data_Val!$I$2*365.25))),0,1),1))</f>
        <v>#REF!</v>
      </c>
      <c r="AV8" s="11" t="e">
        <f>IF(Data!#REF!="","",IF(Data!$G8="",1,IF(ISNUMBER(MATCH(Data!#REF!,Data_Val!$D$2:$D$10,0)),0,1)))</f>
        <v>#REF!</v>
      </c>
      <c r="AW8" s="12"/>
      <c r="AX8" s="26" t="e">
        <f ca="1">IF(Data!#REF!="","",IF(ISNUMBER(Data!#REF!),IF(AND(Data!#REF!&gt;(TODAY()-(Data_Val!$I$3*365.25)),Data!#REF!&lt;=(TODAY()-(Data_Val!$I$2*365.25))),0,1),1))</f>
        <v>#REF!</v>
      </c>
      <c r="AY8" s="12" t="e">
        <f>IF(Data!#REF!="","",IF(Data!$G8="",1,IF(ISNUMBER(MATCH(Data!#REF!,Data_Val!$D$2:$D$10,0)),0,1)))</f>
        <v>#REF!</v>
      </c>
      <c r="AZ8" s="11"/>
      <c r="BA8" s="19" t="e">
        <f ca="1">IF(Data!#REF!="","",IF(ISNUMBER(Data!#REF!),IF(AND(Data!#REF!&gt;(TODAY()-(Data_Val!$M$3*365.25)),Data!#REF!&lt;=(TODAY()-(Data_Val!$M$2*365.25))),0,1),1))</f>
        <v>#REF!</v>
      </c>
      <c r="BB8" s="11" t="e">
        <f>IF(Data!#REF!="","",IF(Data!$G8="",1,IF(ISNUMBER(MATCH(Data!#REF!,Data_Val!$D$2:$D$10,0)),0,1)))</f>
        <v>#REF!</v>
      </c>
      <c r="BC8" s="12"/>
      <c r="BD8" s="20" t="e">
        <f ca="1">IF(Data!#REF!="","",IF(ISNUMBER(Data!#REF!),IF(AND(Data!#REF!&gt;(TODAY()-(Data_Val!$M$3*365.25)),Data!#REF!&lt;=(TODAY()-(Data_Val!$M$2*365.25))),0,1),1))</f>
        <v>#REF!</v>
      </c>
      <c r="BE8" s="12" t="e">
        <f>IF(Data!#REF!="","",IF(Data!$G8="",1,IF(ISNUMBER(MATCH(Data!#REF!,Data_Val!$D$2:$D$10,0)),0,1)))</f>
        <v>#REF!</v>
      </c>
      <c r="BF8" s="17"/>
      <c r="BG8" s="18" t="e">
        <f ca="1">IF(Data!#REF!="","",IF(ISNUMBER(Data!#REF!),IF(AND(Data!#REF!&gt;(TODAY()-(Data_Val!$M$3*365.25)),Data!#REF!&lt;=(TODAY()-(Data_Val!$M$2*365.25))),0,1),1))</f>
        <v>#REF!</v>
      </c>
      <c r="BH8" s="29" t="e">
        <f>IF(Data!#REF!="","",IF(Data!$G8="",1,IF(ISNUMBER(MATCH(Data!#REF!,Data_Val!$D$2:$D$10,0)),0,1)))</f>
        <v>#REF!</v>
      </c>
      <c r="BI8" s="13"/>
      <c r="BJ8" s="21" t="e">
        <f ca="1">IF(Data!#REF!="","",IF(ISNUMBER(Data!#REF!),IF(AND(Data!#REF!&gt;(TODAY()-(Data_Val!$M$3*365.25)),Data!#REF!&lt;=(TODAY()-(Data_Val!$M$2*365.25))),0,1),1))</f>
        <v>#REF!</v>
      </c>
      <c r="BK8" s="13" t="e">
        <f>IF(Data!#REF!="","",IF(Data!$G8="",1,IF(ISNUMBER(MATCH(Data!#REF!,Data_Val!$D$2:$D$10,0)),0,1)))</f>
        <v>#REF!</v>
      </c>
    </row>
    <row r="9" spans="1:63" x14ac:dyDescent="0.25">
      <c r="A9" s="9" t="str">
        <f>IF(Data!B9="","",IF(COUNTIFS(Data!A$1:'Data'!A9,Data!A9)&lt;=1,0,1))</f>
        <v/>
      </c>
      <c r="B9" s="9"/>
      <c r="C9" s="23" t="str">
        <f>IF(Data!C9="","",(IF(ISNUMBER(MATCH("*@*.?*",Data!C9,0)),0,1)+IF(COUNTIFS(Data!C$1:'Data'!C9,Data!C9)&gt;1,1,0)))</f>
        <v/>
      </c>
      <c r="D9" s="9" t="str">
        <f>IF(Data!B9="","",IF(ISNUMBER(Data!D9),IF(AND(Data!D9&gt;999999999,Data!D9&lt;=9999999999),IF(COUNTIFS(Data!D$1:'Data'!D9,Data!D9)&lt;=1,0,1),1),1))</f>
        <v/>
      </c>
      <c r="E9" s="9" t="str">
        <f>IF(Data!B9="","",IF(ISNUMBER(MATCH(Data!E9,Data_Val!$A$2:$A$3,0)),0,1))</f>
        <v/>
      </c>
      <c r="F9" s="9" t="str">
        <f ca="1">IF(Data!B9="","",IF(ISNUMBER(Data!F9),IF(AND(Data!F9&gt;(TODAY()-(Data_Val!$H$3*365.25)),Data!F9&lt;=(TODAY()-(Data_Val!$H$2*365.25))),0,1),1))</f>
        <v/>
      </c>
      <c r="G9" s="15" t="str">
        <f>IF(Data!B9="","",IF(AND(Data!G9="",Data!H9&lt;&gt;""),1,IF(Data!#REF!&lt;&gt;"",0,IF(ISNUMBER(MATCH(Data!G9,Data_Val!$C$2:$C$5,0)),0,1))))</f>
        <v/>
      </c>
      <c r="H9" s="15" t="str">
        <f>IF(Data!B9="","",IF(AND(Data!G9&lt;&gt;"",Data!H9=""),1,IF(Data!#REF!&lt;&gt;"",0,IF(Data!G9="",1,IF(ISNUMBER(MATCH(Data!H9,Data_Val!$D$2:$D$35,0)),0,1)))))</f>
        <v/>
      </c>
      <c r="I9" s="15" t="str">
        <f>IF(Data!B9="","",IF(Data!G9&lt;&gt;"",0,IF(ISNUMBER(MATCH(Data!#REF!,Data_Val!$E$2:$E$12,0)),0,1)))</f>
        <v/>
      </c>
      <c r="J9" s="16" t="e">
        <f>IF(OR(Data!B9="",Data!#REF!=""),"",IF(Data!#REF!="",1,0))</f>
        <v>#REF!</v>
      </c>
      <c r="K9" s="16" t="e">
        <f>IF(OR(Data!B9="",Data!#REF!=""),"",IF(Data!#REF!="",1,0))</f>
        <v>#REF!</v>
      </c>
      <c r="L9" s="16" t="e">
        <f>IF(OR(Data!B9="",Data!#REF!=""),"",IF(ISNUMBER(Data!#REF!),IF(AND(Data!#REF!&gt;Data_Val!$G$2,Data!#REF!&lt;=Data_Val!$G$3),0,1),1))</f>
        <v>#REF!</v>
      </c>
      <c r="M9" s="9" t="e">
        <f>IF(OR(Data!B9="",Data!#REF!=""),"",IF(ISNUMBER(MATCH(Data!#REF!,Data_Val!$F$1:$F$38,0)),0,1))</f>
        <v>#REF!</v>
      </c>
      <c r="N9" s="9" t="e">
        <f>IF(OR(Data!B9="",Data!#REF!=""),"",IF(Data!#REF!="",1,0))</f>
        <v>#REF!</v>
      </c>
      <c r="O9" s="17" t="e">
        <f>IF(Data!#REF!="","",IF(Data!#REF!="",1,0))</f>
        <v>#REF!</v>
      </c>
      <c r="P9" s="17" t="e">
        <f>IF(Data!#REF!="","",IF(ISNUMBER(MATCH(Data!#REF!,Data_Val!$A$2:$A$3,0)),0,1))</f>
        <v>#REF!</v>
      </c>
      <c r="Q9" s="25" t="e">
        <f ca="1">IF(Data!#REF!="","",IF(ISNUMBER(Data!#REF!),IF(AND(Data!#REF!&gt;(TODAY()-(Data_Val!$J$3*365.25)),Data!#REF!&lt;=(TODAY()-(Data_Val!$J$2*365.25))),0,1),1))</f>
        <v>#REF!</v>
      </c>
      <c r="R9" s="17" t="e">
        <f>IF(Data!#REF!="","",IF(ISNUMBER(MATCH(Data!#REF!,Data_Val!$B$2:$B$15,0)),0,1))</f>
        <v>#REF!</v>
      </c>
      <c r="S9" s="11" t="str">
        <f>IF(Data!G9="","",IF(Data!G9=Data_Val!$C$2,IF(Data!M9="",0,1),0))</f>
        <v/>
      </c>
      <c r="T9" s="11" t="str">
        <f>IF(Data!M9="","",IF(ISNUMBER(MATCH(Data!N9,Data_Val!$A$2:$A$3,0)),0,1))</f>
        <v/>
      </c>
      <c r="U9" s="11" t="str">
        <f ca="1">IF(Data!M9="","",IF(ISNUMBER(Data!O9),IF(AND(Data!O9&gt;(TODAY()-(Data_Val!$K$3*365.25)),Data!O9&lt;=(TODAY()-(Data_Val!$K$2*365.25))),0,1),1))</f>
        <v/>
      </c>
      <c r="V9" s="12" t="str">
        <f>IF(Data!G9="","",IF(Data!G9=Data_Val!$C$2,IF(Data!P9="",0,1),0))</f>
        <v/>
      </c>
      <c r="W9" s="12" t="str">
        <f>IF(Data!P9="","",IF(ISNUMBER(MATCH(Data!Q9,Data_Val!$A$2:$A$3,0)),0,1))</f>
        <v/>
      </c>
      <c r="X9" s="26" t="str">
        <f ca="1">IF(Data!P9="","",IF(ISNUMBER(Data!R9),IF(AND(Data!R9&gt;(TODAY()-(Data_Val!$L$3*365.25)),Data!R9&lt;=(TODAY()-(Data_Val!$L$2*365.25))),0,1),1))</f>
        <v/>
      </c>
      <c r="Y9" s="13" t="str">
        <f>IF(Data!$G9="","",IF(Data!$G9=Data_Val!$C$2,IF(Data!S9="",0,1),0))</f>
        <v/>
      </c>
      <c r="Z9" s="13" t="str">
        <f>IF(Data!S9="","",IF(ISNUMBER(MATCH(Data!T9,Data_Val!$A$2:$A$3,0)),0,1))</f>
        <v/>
      </c>
      <c r="AA9" s="28" t="str">
        <f ca="1">IF(Data!S9="","",IF(ISNUMBER(Data!U9),IF(AND(Data!U9&gt;(TODAY()-(Data_Val!$L$3*365.25)),Data!U9&lt;=(TODAY()-(Data_Val!$L$2*365.25))),0,1),1))</f>
        <v/>
      </c>
      <c r="AB9" s="11"/>
      <c r="AC9" s="11" t="e">
        <f>IF(Data!#REF!="","",IF(ISNUMBER(MATCH(Data!#REF!,Data_Val!$A$2:$A$3,0)),0,1))</f>
        <v>#REF!</v>
      </c>
      <c r="AD9" s="11" t="e">
        <f ca="1">IF(Data!#REF!="","",IF(ISNUMBER(Data!#REF!),IF(AND(Data!#REF!&gt;(TODAY()-(Data_Val!$L$3*365.25)),Data!#REF!&lt;=(TODAY()-(Data_Val!$L$2*365.25))),0,1),1))</f>
        <v>#REF!</v>
      </c>
      <c r="AE9" s="11" t="e">
        <f>IF(Data!#REF!="","",IF(Data!$G9="",1,IF(ISNUMBER(MATCH(Data!#REF!,Data_Val!$D$2:$D$10,0)),0,1)))</f>
        <v>#REF!</v>
      </c>
      <c r="AF9" s="12"/>
      <c r="AG9" s="12" t="e">
        <f>IF(Data!#REF!="","",IF(ISNUMBER(MATCH(Data!#REF!,Data_Val!$A$2:$A$3,0)),0,1))</f>
        <v>#REF!</v>
      </c>
      <c r="AH9" s="26" t="e">
        <f ca="1">IF(Data!#REF!="","",IF(ISNUMBER(Data!#REF!),IF(AND(Data!#REF!&gt;(TODAY()-(Data_Val!$L$3*365.25)),Data!#REF!&lt;=(TODAY()-(Data_Val!$L$2*365.25))),0,1),1))</f>
        <v>#REF!</v>
      </c>
      <c r="AI9" s="12" t="e">
        <f>IF(Data!#REF!="","",IF(Data!$G9="",1,IF(ISNUMBER(MATCH(Data!#REF!,Data_Val!$D$2:$D$10,0)),0,1)))</f>
        <v>#REF!</v>
      </c>
      <c r="AJ9" s="17"/>
      <c r="AK9" s="17" t="e">
        <f>IF(Data!#REF!="","",IF(ISNUMBER(MATCH(Data!#REF!,Data_Val!$A$2:$A$3,0)),0,1))</f>
        <v>#REF!</v>
      </c>
      <c r="AL9" s="25" t="e">
        <f ca="1">IF(Data!#REF!="","",IF(ISNUMBER(Data!#REF!),IF(AND(Data!#REF!&gt;(TODAY()-(Data_Val!$L$3*365.25)),Data!#REF!&lt;=(TODAY()-(Data_Val!$L$2*365.25))),0,1),1))</f>
        <v>#REF!</v>
      </c>
      <c r="AM9" s="17" t="e">
        <f>IF(Data!#REF!="","",IF(Data!$G9="",1,IF(ISNUMBER(MATCH(Data!#REF!,Data_Val!$D$2:$D$10,0)),0,1)))</f>
        <v>#REF!</v>
      </c>
      <c r="AN9" s="13"/>
      <c r="AO9" s="28" t="e">
        <f ca="1">IF(Data!#REF!="","",IF(ISNUMBER(Data!#REF!),IF(AND(Data!#REF!&gt;(TODAY()-(Data_Val!$I$3*365.25)),Data!#REF!&lt;=(TODAY()-(Data_Val!$I$2*365.25))),0,1),1))</f>
        <v>#REF!</v>
      </c>
      <c r="AP9" s="13" t="e">
        <f>IF(Data!#REF!="","",IF(Data!$G9="",1,IF(ISNUMBER(MATCH(Data!#REF!,Data_Val!$D$2:$D$10,0)),0,1)))</f>
        <v>#REF!</v>
      </c>
      <c r="AQ9" s="17"/>
      <c r="AR9" s="30" t="e">
        <f ca="1">IF(Data!#REF!="","",IF(ISNUMBER(Data!#REF!),IF(AND(Data!#REF!&gt;(TODAY()-(Data_Val!$I$3*365.25)),Data!#REF!&lt;=(TODAY()-(Data_Val!$I$2*365.25))),0,1),1))</f>
        <v>#REF!</v>
      </c>
      <c r="AS9" s="31" t="e">
        <f>IF(Data!#REF!="","",IF(Data!$G9="",1,IF(ISNUMBER(MATCH(Data!#REF!,Data_Val!$D$2:$D$10,0)),0,1)))</f>
        <v>#REF!</v>
      </c>
      <c r="AT9" s="11"/>
      <c r="AU9" s="11" t="e">
        <f ca="1">IF(Data!#REF!="","",IF(ISNUMBER(Data!#REF!),IF(AND(Data!#REF!&gt;(TODAY()-(Data_Val!$I$3*365.25)),Data!#REF!&lt;=(TODAY()-(Data_Val!$I$2*365.25))),0,1),1))</f>
        <v>#REF!</v>
      </c>
      <c r="AV9" s="11" t="e">
        <f>IF(Data!#REF!="","",IF(Data!$G9="",1,IF(ISNUMBER(MATCH(Data!#REF!,Data_Val!$D$2:$D$10,0)),0,1)))</f>
        <v>#REF!</v>
      </c>
      <c r="AW9" s="12"/>
      <c r="AX9" s="26" t="e">
        <f ca="1">IF(Data!#REF!="","",IF(ISNUMBER(Data!#REF!),IF(AND(Data!#REF!&gt;(TODAY()-(Data_Val!$I$3*365.25)),Data!#REF!&lt;=(TODAY()-(Data_Val!$I$2*365.25))),0,1),1))</f>
        <v>#REF!</v>
      </c>
      <c r="AY9" s="12" t="e">
        <f>IF(Data!#REF!="","",IF(Data!$G9="",1,IF(ISNUMBER(MATCH(Data!#REF!,Data_Val!$D$2:$D$10,0)),0,1)))</f>
        <v>#REF!</v>
      </c>
      <c r="AZ9" s="11"/>
      <c r="BA9" s="19" t="e">
        <f ca="1">IF(Data!#REF!="","",IF(ISNUMBER(Data!#REF!),IF(AND(Data!#REF!&gt;(TODAY()-(Data_Val!$M$3*365.25)),Data!#REF!&lt;=(TODAY()-(Data_Val!$M$2*365.25))),0,1),1))</f>
        <v>#REF!</v>
      </c>
      <c r="BB9" s="11" t="e">
        <f>IF(Data!#REF!="","",IF(Data!$G9="",1,IF(ISNUMBER(MATCH(Data!#REF!,Data_Val!$D$2:$D$10,0)),0,1)))</f>
        <v>#REF!</v>
      </c>
      <c r="BC9" s="12"/>
      <c r="BD9" s="20" t="e">
        <f ca="1">IF(Data!#REF!="","",IF(ISNUMBER(Data!#REF!),IF(AND(Data!#REF!&gt;(TODAY()-(Data_Val!$M$3*365.25)),Data!#REF!&lt;=(TODAY()-(Data_Val!$M$2*365.25))),0,1),1))</f>
        <v>#REF!</v>
      </c>
      <c r="BE9" s="12" t="e">
        <f>IF(Data!#REF!="","",IF(Data!$G9="",1,IF(ISNUMBER(MATCH(Data!#REF!,Data_Val!$D$2:$D$10,0)),0,1)))</f>
        <v>#REF!</v>
      </c>
      <c r="BF9" s="17"/>
      <c r="BG9" s="18" t="e">
        <f ca="1">IF(Data!#REF!="","",IF(ISNUMBER(Data!#REF!),IF(AND(Data!#REF!&gt;(TODAY()-(Data_Val!$M$3*365.25)),Data!#REF!&lt;=(TODAY()-(Data_Val!$M$2*365.25))),0,1),1))</f>
        <v>#REF!</v>
      </c>
      <c r="BH9" s="29" t="e">
        <f>IF(Data!#REF!="","",IF(Data!$G9="",1,IF(ISNUMBER(MATCH(Data!#REF!,Data_Val!$D$2:$D$10,0)),0,1)))</f>
        <v>#REF!</v>
      </c>
      <c r="BI9" s="13"/>
      <c r="BJ9" s="21" t="e">
        <f ca="1">IF(Data!#REF!="","",IF(ISNUMBER(Data!#REF!),IF(AND(Data!#REF!&gt;(TODAY()-(Data_Val!$M$3*365.25)),Data!#REF!&lt;=(TODAY()-(Data_Val!$M$2*365.25))),0,1),1))</f>
        <v>#REF!</v>
      </c>
      <c r="BK9" s="13" t="e">
        <f>IF(Data!#REF!="","",IF(Data!$G9="",1,IF(ISNUMBER(MATCH(Data!#REF!,Data_Val!$D$2:$D$10,0)),0,1)))</f>
        <v>#REF!</v>
      </c>
    </row>
    <row r="10" spans="1:63" x14ac:dyDescent="0.25">
      <c r="A10" s="9" t="str">
        <f>IF(Data!B10="","",IF(COUNTIFS(Data!A$1:'Data'!A10,Data!A10)&lt;=1,0,1))</f>
        <v/>
      </c>
      <c r="B10" s="9"/>
      <c r="C10" s="23" t="str">
        <f>IF(Data!C10="","",(IF(ISNUMBER(MATCH("*@*.?*",Data!C10,0)),0,1)+IF(COUNTIFS(Data!C$1:'Data'!C10,Data!C10)&gt;1,1,0)))</f>
        <v/>
      </c>
      <c r="D10" s="9" t="str">
        <f>IF(Data!B10="","",IF(ISNUMBER(Data!D10),IF(AND(Data!D10&gt;999999999,Data!D10&lt;=9999999999),IF(COUNTIFS(Data!D$1:'Data'!D10,Data!D10)&lt;=1,0,1),1),1))</f>
        <v/>
      </c>
      <c r="E10" s="9" t="str">
        <f>IF(Data!B10="","",IF(ISNUMBER(MATCH(Data!E10,Data_Val!$A$2:$A$3,0)),0,1))</f>
        <v/>
      </c>
      <c r="F10" s="9" t="str">
        <f ca="1">IF(Data!B10="","",IF(ISNUMBER(Data!F10),IF(AND(Data!F10&gt;(TODAY()-(Data_Val!$H$3*365.25)),Data!F10&lt;=(TODAY()-(Data_Val!$H$2*365.25))),0,1),1))</f>
        <v/>
      </c>
      <c r="G10" s="15" t="str">
        <f>IF(Data!B10="","",IF(AND(Data!G10="",Data!H10&lt;&gt;""),1,IF(Data!#REF!&lt;&gt;"",0,IF(ISNUMBER(MATCH(Data!G10,Data_Val!$C$2:$C$5,0)),0,1))))</f>
        <v/>
      </c>
      <c r="H10" s="15" t="str">
        <f>IF(Data!B10="","",IF(AND(Data!G10&lt;&gt;"",Data!H10=""),1,IF(Data!#REF!&lt;&gt;"",0,IF(Data!G10="",1,IF(ISNUMBER(MATCH(Data!H10,Data_Val!$D$2:$D$35,0)),0,1)))))</f>
        <v/>
      </c>
      <c r="I10" s="15" t="str">
        <f>IF(Data!B10="","",IF(Data!G10&lt;&gt;"",0,IF(ISNUMBER(MATCH(Data!#REF!,Data_Val!$E$2:$E$12,0)),0,1)))</f>
        <v/>
      </c>
      <c r="J10" s="16" t="e">
        <f>IF(OR(Data!B10="",Data!#REF!=""),"",IF(Data!#REF!="",1,0))</f>
        <v>#REF!</v>
      </c>
      <c r="K10" s="16" t="e">
        <f>IF(OR(Data!B10="",Data!#REF!=""),"",IF(Data!#REF!="",1,0))</f>
        <v>#REF!</v>
      </c>
      <c r="L10" s="16" t="e">
        <f>IF(OR(Data!B10="",Data!#REF!=""),"",IF(ISNUMBER(Data!#REF!),IF(AND(Data!#REF!&gt;Data_Val!$G$2,Data!#REF!&lt;=Data_Val!$G$3),0,1),1))</f>
        <v>#REF!</v>
      </c>
      <c r="M10" s="9" t="e">
        <f>IF(OR(Data!B10="",Data!#REF!=""),"",IF(ISNUMBER(MATCH(Data!#REF!,Data_Val!$F$1:$F$38,0)),0,1))</f>
        <v>#REF!</v>
      </c>
      <c r="N10" s="9" t="e">
        <f>IF(OR(Data!B10="",Data!#REF!=""),"",IF(Data!#REF!="",1,0))</f>
        <v>#REF!</v>
      </c>
      <c r="O10" s="17" t="e">
        <f>IF(Data!#REF!="","",IF(Data!#REF!="",1,0))</f>
        <v>#REF!</v>
      </c>
      <c r="P10" s="17" t="e">
        <f>IF(Data!#REF!="","",IF(ISNUMBER(MATCH(Data!#REF!,Data_Val!$A$2:$A$3,0)),0,1))</f>
        <v>#REF!</v>
      </c>
      <c r="Q10" s="25" t="e">
        <f ca="1">IF(Data!#REF!="","",IF(ISNUMBER(Data!#REF!),IF(AND(Data!#REF!&gt;(TODAY()-(Data_Val!$J$3*365.25)),Data!#REF!&lt;=(TODAY()-(Data_Val!$J$2*365.25))),0,1),1))</f>
        <v>#REF!</v>
      </c>
      <c r="R10" s="17" t="e">
        <f>IF(Data!#REF!="","",IF(ISNUMBER(MATCH(Data!#REF!,Data_Val!$B$2:$B$15,0)),0,1))</f>
        <v>#REF!</v>
      </c>
      <c r="S10" s="11" t="str">
        <f>IF(Data!G10="","",IF(Data!G10=Data_Val!$C$2,IF(Data!M10="",0,1),0))</f>
        <v/>
      </c>
      <c r="T10" s="11" t="str">
        <f>IF(Data!M10="","",IF(ISNUMBER(MATCH(Data!N10,Data_Val!$A$2:$A$3,0)),0,1))</f>
        <v/>
      </c>
      <c r="U10" s="11" t="str">
        <f ca="1">IF(Data!M10="","",IF(ISNUMBER(Data!O10),IF(AND(Data!O10&gt;(TODAY()-(Data_Val!$K$3*365.25)),Data!O10&lt;=(TODAY()-(Data_Val!$K$2*365.25))),0,1),1))</f>
        <v/>
      </c>
      <c r="V10" s="12" t="str">
        <f>IF(Data!G10="","",IF(Data!G10=Data_Val!$C$2,IF(Data!P10="",0,1),0))</f>
        <v/>
      </c>
      <c r="W10" s="12" t="str">
        <f>IF(Data!P10="","",IF(ISNUMBER(MATCH(Data!Q10,Data_Val!$A$2:$A$3,0)),0,1))</f>
        <v/>
      </c>
      <c r="X10" s="26" t="str">
        <f ca="1">IF(Data!P10="","",IF(ISNUMBER(Data!R10),IF(AND(Data!R10&gt;(TODAY()-(Data_Val!$L$3*365.25)),Data!R10&lt;=(TODAY()-(Data_Val!$L$2*365.25))),0,1),1))</f>
        <v/>
      </c>
      <c r="Y10" s="13" t="str">
        <f>IF(Data!$G10="","",IF(Data!$G10=Data_Val!$C$2,IF(Data!S10="",0,1),0))</f>
        <v/>
      </c>
      <c r="Z10" s="13" t="str">
        <f>IF(Data!S10="","",IF(ISNUMBER(MATCH(Data!T10,Data_Val!$A$2:$A$3,0)),0,1))</f>
        <v/>
      </c>
      <c r="AA10" s="28" t="str">
        <f ca="1">IF(Data!S10="","",IF(ISNUMBER(Data!U10),IF(AND(Data!U10&gt;(TODAY()-(Data_Val!$L$3*365.25)),Data!U10&lt;=(TODAY()-(Data_Val!$L$2*365.25))),0,1),1))</f>
        <v/>
      </c>
      <c r="AB10" s="11"/>
      <c r="AC10" s="11" t="e">
        <f>IF(Data!#REF!="","",IF(ISNUMBER(MATCH(Data!#REF!,Data_Val!$A$2:$A$3,0)),0,1))</f>
        <v>#REF!</v>
      </c>
      <c r="AD10" s="11" t="e">
        <f ca="1">IF(Data!#REF!="","",IF(ISNUMBER(Data!#REF!),IF(AND(Data!#REF!&gt;(TODAY()-(Data_Val!$L$3*365.25)),Data!#REF!&lt;=(TODAY()-(Data_Val!$L$2*365.25))),0,1),1))</f>
        <v>#REF!</v>
      </c>
      <c r="AE10" s="11" t="e">
        <f>IF(Data!#REF!="","",IF(Data!$G10="",1,IF(ISNUMBER(MATCH(Data!#REF!,Data_Val!$D$2:$D$10,0)),0,1)))</f>
        <v>#REF!</v>
      </c>
      <c r="AF10" s="12"/>
      <c r="AG10" s="12" t="e">
        <f>IF(Data!#REF!="","",IF(ISNUMBER(MATCH(Data!#REF!,Data_Val!$A$2:$A$3,0)),0,1))</f>
        <v>#REF!</v>
      </c>
      <c r="AH10" s="26" t="e">
        <f ca="1">IF(Data!#REF!="","",IF(ISNUMBER(Data!#REF!),IF(AND(Data!#REF!&gt;(TODAY()-(Data_Val!$L$3*365.25)),Data!#REF!&lt;=(TODAY()-(Data_Val!$L$2*365.25))),0,1),1))</f>
        <v>#REF!</v>
      </c>
      <c r="AI10" s="12" t="e">
        <f>IF(Data!#REF!="","",IF(Data!$G10="",1,IF(ISNUMBER(MATCH(Data!#REF!,Data_Val!$D$2:$D$10,0)),0,1)))</f>
        <v>#REF!</v>
      </c>
      <c r="AJ10" s="17"/>
      <c r="AK10" s="17" t="e">
        <f>IF(Data!#REF!="","",IF(ISNUMBER(MATCH(Data!#REF!,Data_Val!$A$2:$A$3,0)),0,1))</f>
        <v>#REF!</v>
      </c>
      <c r="AL10" s="25" t="e">
        <f ca="1">IF(Data!#REF!="","",IF(ISNUMBER(Data!#REF!),IF(AND(Data!#REF!&gt;(TODAY()-(Data_Val!$L$3*365.25)),Data!#REF!&lt;=(TODAY()-(Data_Val!$L$2*365.25))),0,1),1))</f>
        <v>#REF!</v>
      </c>
      <c r="AM10" s="17" t="e">
        <f>IF(Data!#REF!="","",IF(Data!$G10="",1,IF(ISNUMBER(MATCH(Data!#REF!,Data_Val!$D$2:$D$10,0)),0,1)))</f>
        <v>#REF!</v>
      </c>
      <c r="AN10" s="13"/>
      <c r="AO10" s="28" t="e">
        <f ca="1">IF(Data!#REF!="","",IF(ISNUMBER(Data!#REF!),IF(AND(Data!#REF!&gt;(TODAY()-(Data_Val!$I$3*365.25)),Data!#REF!&lt;=(TODAY()-(Data_Val!$I$2*365.25))),0,1),1))</f>
        <v>#REF!</v>
      </c>
      <c r="AP10" s="13" t="e">
        <f>IF(Data!#REF!="","",IF(Data!$G10="",1,IF(ISNUMBER(MATCH(Data!#REF!,Data_Val!$D$2:$D$10,0)),0,1)))</f>
        <v>#REF!</v>
      </c>
      <c r="AQ10" s="17"/>
      <c r="AR10" s="30" t="e">
        <f ca="1">IF(Data!#REF!="","",IF(ISNUMBER(Data!#REF!),IF(AND(Data!#REF!&gt;(TODAY()-(Data_Val!$I$3*365.25)),Data!#REF!&lt;=(TODAY()-(Data_Val!$I$2*365.25))),0,1),1))</f>
        <v>#REF!</v>
      </c>
      <c r="AS10" s="31" t="e">
        <f>IF(Data!#REF!="","",IF(Data!$G10="",1,IF(ISNUMBER(MATCH(Data!#REF!,Data_Val!$D$2:$D$10,0)),0,1)))</f>
        <v>#REF!</v>
      </c>
      <c r="AT10" s="11"/>
      <c r="AU10" s="11" t="e">
        <f ca="1">IF(Data!#REF!="","",IF(ISNUMBER(Data!#REF!),IF(AND(Data!#REF!&gt;(TODAY()-(Data_Val!$I$3*365.25)),Data!#REF!&lt;=(TODAY()-(Data_Val!$I$2*365.25))),0,1),1))</f>
        <v>#REF!</v>
      </c>
      <c r="AV10" s="11" t="e">
        <f>IF(Data!#REF!="","",IF(Data!$G10="",1,IF(ISNUMBER(MATCH(Data!#REF!,Data_Val!$D$2:$D$10,0)),0,1)))</f>
        <v>#REF!</v>
      </c>
      <c r="AW10" s="12"/>
      <c r="AX10" s="26" t="e">
        <f ca="1">IF(Data!#REF!="","",IF(ISNUMBER(Data!#REF!),IF(AND(Data!#REF!&gt;(TODAY()-(Data_Val!$I$3*365.25)),Data!#REF!&lt;=(TODAY()-(Data_Val!$I$2*365.25))),0,1),1))</f>
        <v>#REF!</v>
      </c>
      <c r="AY10" s="12" t="e">
        <f>IF(Data!#REF!="","",IF(Data!$G10="",1,IF(ISNUMBER(MATCH(Data!#REF!,Data_Val!$D$2:$D$10,0)),0,1)))</f>
        <v>#REF!</v>
      </c>
      <c r="AZ10" s="11"/>
      <c r="BA10" s="19" t="e">
        <f ca="1">IF(Data!#REF!="","",IF(ISNUMBER(Data!#REF!),IF(AND(Data!#REF!&gt;(TODAY()-(Data_Val!$M$3*365.25)),Data!#REF!&lt;=(TODAY()-(Data_Val!$M$2*365.25))),0,1),1))</f>
        <v>#REF!</v>
      </c>
      <c r="BB10" s="11" t="e">
        <f>IF(Data!#REF!="","",IF(Data!$G10="",1,IF(ISNUMBER(MATCH(Data!#REF!,Data_Val!$D$2:$D$10,0)),0,1)))</f>
        <v>#REF!</v>
      </c>
      <c r="BC10" s="12"/>
      <c r="BD10" s="20" t="e">
        <f ca="1">IF(Data!#REF!="","",IF(ISNUMBER(Data!#REF!),IF(AND(Data!#REF!&gt;(TODAY()-(Data_Val!$M$3*365.25)),Data!#REF!&lt;=(TODAY()-(Data_Val!$M$2*365.25))),0,1),1))</f>
        <v>#REF!</v>
      </c>
      <c r="BE10" s="12" t="e">
        <f>IF(Data!#REF!="","",IF(Data!$G10="",1,IF(ISNUMBER(MATCH(Data!#REF!,Data_Val!$D$2:$D$10,0)),0,1)))</f>
        <v>#REF!</v>
      </c>
      <c r="BF10" s="17"/>
      <c r="BG10" s="18" t="e">
        <f ca="1">IF(Data!#REF!="","",IF(ISNUMBER(Data!#REF!),IF(AND(Data!#REF!&gt;(TODAY()-(Data_Val!$M$3*365.25)),Data!#REF!&lt;=(TODAY()-(Data_Val!$M$2*365.25))),0,1),1))</f>
        <v>#REF!</v>
      </c>
      <c r="BH10" s="29" t="e">
        <f>IF(Data!#REF!="","",IF(Data!$G10="",1,IF(ISNUMBER(MATCH(Data!#REF!,Data_Val!$D$2:$D$10,0)),0,1)))</f>
        <v>#REF!</v>
      </c>
      <c r="BI10" s="13"/>
      <c r="BJ10" s="21" t="e">
        <f ca="1">IF(Data!#REF!="","",IF(ISNUMBER(Data!#REF!),IF(AND(Data!#REF!&gt;(TODAY()-(Data_Val!$M$3*365.25)),Data!#REF!&lt;=(TODAY()-(Data_Val!$M$2*365.25))),0,1),1))</f>
        <v>#REF!</v>
      </c>
      <c r="BK10" s="13" t="e">
        <f>IF(Data!#REF!="","",IF(Data!$G10="",1,IF(ISNUMBER(MATCH(Data!#REF!,Data_Val!$D$2:$D$10,0)),0,1)))</f>
        <v>#REF!</v>
      </c>
    </row>
    <row r="11" spans="1:63" x14ac:dyDescent="0.25">
      <c r="A11" s="9" t="str">
        <f>IF(Data!B11="","",IF(COUNTIFS(Data!A$1:'Data'!A11,Data!A11)&lt;=1,0,1))</f>
        <v/>
      </c>
      <c r="B11" s="9"/>
      <c r="C11" s="23" t="str">
        <f>IF(Data!C11="","",(IF(ISNUMBER(MATCH("*@*.?*",Data!C11,0)),0,1)+IF(COUNTIFS(Data!C$1:'Data'!C11,Data!C11)&gt;1,1,0)))</f>
        <v/>
      </c>
      <c r="D11" s="9" t="str">
        <f>IF(Data!B11="","",IF(ISNUMBER(Data!D11),IF(AND(Data!D11&gt;999999999,Data!D11&lt;=9999999999),IF(COUNTIFS(Data!D$1:'Data'!D11,Data!D11)&lt;=1,0,1),1),1))</f>
        <v/>
      </c>
      <c r="E11" s="9" t="str">
        <f>IF(Data!B11="","",IF(ISNUMBER(MATCH(Data!E11,Data_Val!$A$2:$A$3,0)),0,1))</f>
        <v/>
      </c>
      <c r="F11" s="9" t="str">
        <f ca="1">IF(Data!B11="","",IF(ISNUMBER(Data!F11),IF(AND(Data!F11&gt;(TODAY()-(Data_Val!$H$3*365.25)),Data!F11&lt;=(TODAY()-(Data_Val!$H$2*365.25))),0,1),1))</f>
        <v/>
      </c>
      <c r="G11" s="15" t="str">
        <f>IF(Data!B11="","",IF(AND(Data!G11="",Data!H11&lt;&gt;""),1,IF(Data!#REF!&lt;&gt;"",0,IF(ISNUMBER(MATCH(Data!G11,Data_Val!$C$2:$C$5,0)),0,1))))</f>
        <v/>
      </c>
      <c r="H11" s="15" t="str">
        <f>IF(Data!B11="","",IF(AND(Data!G11&lt;&gt;"",Data!H11=""),1,IF(Data!#REF!&lt;&gt;"",0,IF(Data!G11="",1,IF(ISNUMBER(MATCH(Data!H11,Data_Val!$D$2:$D$35,0)),0,1)))))</f>
        <v/>
      </c>
      <c r="I11" s="15" t="str">
        <f>IF(Data!B11="","",IF(Data!G11&lt;&gt;"",0,IF(ISNUMBER(MATCH(Data!#REF!,Data_Val!$E$2:$E$12,0)),0,1)))</f>
        <v/>
      </c>
      <c r="J11" s="16" t="e">
        <f>IF(OR(Data!B11="",Data!#REF!=""),"",IF(Data!#REF!="",1,0))</f>
        <v>#REF!</v>
      </c>
      <c r="K11" s="16" t="e">
        <f>IF(OR(Data!B11="",Data!#REF!=""),"",IF(Data!#REF!="",1,0))</f>
        <v>#REF!</v>
      </c>
      <c r="L11" s="16" t="e">
        <f>IF(OR(Data!B11="",Data!#REF!=""),"",IF(ISNUMBER(Data!#REF!),IF(AND(Data!#REF!&gt;Data_Val!$G$2,Data!#REF!&lt;=Data_Val!$G$3),0,1),1))</f>
        <v>#REF!</v>
      </c>
      <c r="M11" s="9" t="e">
        <f>IF(OR(Data!B11="",Data!#REF!=""),"",IF(ISNUMBER(MATCH(Data!#REF!,Data_Val!$F$1:$F$38,0)),0,1))</f>
        <v>#REF!</v>
      </c>
      <c r="N11" s="9" t="e">
        <f>IF(OR(Data!B11="",Data!#REF!=""),"",IF(Data!#REF!="",1,0))</f>
        <v>#REF!</v>
      </c>
      <c r="O11" s="17" t="e">
        <f>IF(Data!#REF!="","",IF(Data!#REF!="",1,0))</f>
        <v>#REF!</v>
      </c>
      <c r="P11" s="17" t="e">
        <f>IF(Data!#REF!="","",IF(ISNUMBER(MATCH(Data!#REF!,Data_Val!$A$2:$A$3,0)),0,1))</f>
        <v>#REF!</v>
      </c>
      <c r="Q11" s="25" t="e">
        <f ca="1">IF(Data!#REF!="","",IF(ISNUMBER(Data!#REF!),IF(AND(Data!#REF!&gt;(TODAY()-(Data_Val!$J$3*365.25)),Data!#REF!&lt;=(TODAY()-(Data_Val!$J$2*365.25))),0,1),1))</f>
        <v>#REF!</v>
      </c>
      <c r="R11" s="17" t="e">
        <f>IF(Data!#REF!="","",IF(ISNUMBER(MATCH(Data!#REF!,Data_Val!$B$2:$B$15,0)),0,1))</f>
        <v>#REF!</v>
      </c>
      <c r="S11" s="11" t="str">
        <f>IF(Data!G11="","",IF(Data!G11=Data_Val!$C$2,IF(Data!M11="",0,1),0))</f>
        <v/>
      </c>
      <c r="T11" s="11" t="str">
        <f>IF(Data!M11="","",IF(ISNUMBER(MATCH(Data!N11,Data_Val!$A$2:$A$3,0)),0,1))</f>
        <v/>
      </c>
      <c r="U11" s="11" t="str">
        <f ca="1">IF(Data!M11="","",IF(ISNUMBER(Data!O11),IF(AND(Data!O11&gt;(TODAY()-(Data_Val!$K$3*365.25)),Data!O11&lt;=(TODAY()-(Data_Val!$K$2*365.25))),0,1),1))</f>
        <v/>
      </c>
      <c r="V11" s="12" t="str">
        <f>IF(Data!G11="","",IF(Data!G11=Data_Val!$C$2,IF(Data!P11="",0,1),0))</f>
        <v/>
      </c>
      <c r="W11" s="12" t="str">
        <f>IF(Data!P11="","",IF(ISNUMBER(MATCH(Data!Q11,Data_Val!$A$2:$A$3,0)),0,1))</f>
        <v/>
      </c>
      <c r="X11" s="26" t="str">
        <f ca="1">IF(Data!P11="","",IF(ISNUMBER(Data!R11),IF(AND(Data!R11&gt;(TODAY()-(Data_Val!$L$3*365.25)),Data!R11&lt;=(TODAY()-(Data_Val!$L$2*365.25))),0,1),1))</f>
        <v/>
      </c>
      <c r="Y11" s="13" t="str">
        <f>IF(Data!$G11="","",IF(Data!$G11=Data_Val!$C$2,IF(Data!S11="",0,1),0))</f>
        <v/>
      </c>
      <c r="Z11" s="13" t="str">
        <f>IF(Data!S11="","",IF(ISNUMBER(MATCH(Data!T11,Data_Val!$A$2:$A$3,0)),0,1))</f>
        <v/>
      </c>
      <c r="AA11" s="28" t="str">
        <f ca="1">IF(Data!S11="","",IF(ISNUMBER(Data!U11),IF(AND(Data!U11&gt;(TODAY()-(Data_Val!$L$3*365.25)),Data!U11&lt;=(TODAY()-(Data_Val!$L$2*365.25))),0,1),1))</f>
        <v/>
      </c>
      <c r="AB11" s="11"/>
      <c r="AC11" s="11" t="e">
        <f>IF(Data!#REF!="","",IF(ISNUMBER(MATCH(Data!#REF!,Data_Val!$A$2:$A$3,0)),0,1))</f>
        <v>#REF!</v>
      </c>
      <c r="AD11" s="11" t="e">
        <f ca="1">IF(Data!#REF!="","",IF(ISNUMBER(Data!#REF!),IF(AND(Data!#REF!&gt;(TODAY()-(Data_Val!$L$3*365.25)),Data!#REF!&lt;=(TODAY()-(Data_Val!$L$2*365.25))),0,1),1))</f>
        <v>#REF!</v>
      </c>
      <c r="AE11" s="11" t="e">
        <f>IF(Data!#REF!="","",IF(Data!$G11="",1,IF(ISNUMBER(MATCH(Data!#REF!,Data_Val!$D$2:$D$10,0)),0,1)))</f>
        <v>#REF!</v>
      </c>
      <c r="AF11" s="12"/>
      <c r="AG11" s="12" t="e">
        <f>IF(Data!#REF!="","",IF(ISNUMBER(MATCH(Data!#REF!,Data_Val!$A$2:$A$3,0)),0,1))</f>
        <v>#REF!</v>
      </c>
      <c r="AH11" s="26" t="e">
        <f ca="1">IF(Data!#REF!="","",IF(ISNUMBER(Data!#REF!),IF(AND(Data!#REF!&gt;(TODAY()-(Data_Val!$L$3*365.25)),Data!#REF!&lt;=(TODAY()-(Data_Val!$L$2*365.25))),0,1),1))</f>
        <v>#REF!</v>
      </c>
      <c r="AI11" s="12" t="e">
        <f>IF(Data!#REF!="","",IF(Data!$G11="",1,IF(ISNUMBER(MATCH(Data!#REF!,Data_Val!$D$2:$D$10,0)),0,1)))</f>
        <v>#REF!</v>
      </c>
      <c r="AJ11" s="17"/>
      <c r="AK11" s="17" t="e">
        <f>IF(Data!#REF!="","",IF(ISNUMBER(MATCH(Data!#REF!,Data_Val!$A$2:$A$3,0)),0,1))</f>
        <v>#REF!</v>
      </c>
      <c r="AL11" s="25" t="e">
        <f ca="1">IF(Data!#REF!="","",IF(ISNUMBER(Data!#REF!),IF(AND(Data!#REF!&gt;(TODAY()-(Data_Val!$L$3*365.25)),Data!#REF!&lt;=(TODAY()-(Data_Val!$L$2*365.25))),0,1),1))</f>
        <v>#REF!</v>
      </c>
      <c r="AM11" s="17" t="e">
        <f>IF(Data!#REF!="","",IF(Data!$G11="",1,IF(ISNUMBER(MATCH(Data!#REF!,Data_Val!$D$2:$D$10,0)),0,1)))</f>
        <v>#REF!</v>
      </c>
      <c r="AN11" s="13"/>
      <c r="AO11" s="28" t="e">
        <f ca="1">IF(Data!#REF!="","",IF(ISNUMBER(Data!#REF!),IF(AND(Data!#REF!&gt;(TODAY()-(Data_Val!$I$3*365.25)),Data!#REF!&lt;=(TODAY()-(Data_Val!$I$2*365.25))),0,1),1))</f>
        <v>#REF!</v>
      </c>
      <c r="AP11" s="13" t="e">
        <f>IF(Data!#REF!="","",IF(Data!$G11="",1,IF(ISNUMBER(MATCH(Data!#REF!,Data_Val!$D$2:$D$10,0)),0,1)))</f>
        <v>#REF!</v>
      </c>
      <c r="AQ11" s="17"/>
      <c r="AR11" s="30" t="e">
        <f ca="1">IF(Data!#REF!="","",IF(ISNUMBER(Data!#REF!),IF(AND(Data!#REF!&gt;(TODAY()-(Data_Val!$I$3*365.25)),Data!#REF!&lt;=(TODAY()-(Data_Val!$I$2*365.25))),0,1),1))</f>
        <v>#REF!</v>
      </c>
      <c r="AS11" s="31" t="e">
        <f>IF(Data!#REF!="","",IF(Data!$G11="",1,IF(ISNUMBER(MATCH(Data!#REF!,Data_Val!$D$2:$D$10,0)),0,1)))</f>
        <v>#REF!</v>
      </c>
      <c r="AT11" s="11"/>
      <c r="AU11" s="11" t="e">
        <f ca="1">IF(Data!#REF!="","",IF(ISNUMBER(Data!#REF!),IF(AND(Data!#REF!&gt;(TODAY()-(Data_Val!$I$3*365.25)),Data!#REF!&lt;=(TODAY()-(Data_Val!$I$2*365.25))),0,1),1))</f>
        <v>#REF!</v>
      </c>
      <c r="AV11" s="11" t="e">
        <f>IF(Data!#REF!="","",IF(Data!$G11="",1,IF(ISNUMBER(MATCH(Data!#REF!,Data_Val!$D$2:$D$10,0)),0,1)))</f>
        <v>#REF!</v>
      </c>
      <c r="AW11" s="12"/>
      <c r="AX11" s="26" t="e">
        <f ca="1">IF(Data!#REF!="","",IF(ISNUMBER(Data!#REF!),IF(AND(Data!#REF!&gt;(TODAY()-(Data_Val!$I$3*365.25)),Data!#REF!&lt;=(TODAY()-(Data_Val!$I$2*365.25))),0,1),1))</f>
        <v>#REF!</v>
      </c>
      <c r="AY11" s="12" t="e">
        <f>IF(Data!#REF!="","",IF(Data!$G11="",1,IF(ISNUMBER(MATCH(Data!#REF!,Data_Val!$D$2:$D$10,0)),0,1)))</f>
        <v>#REF!</v>
      </c>
      <c r="AZ11" s="11"/>
      <c r="BA11" s="19" t="e">
        <f ca="1">IF(Data!#REF!="","",IF(ISNUMBER(Data!#REF!),IF(AND(Data!#REF!&gt;(TODAY()-(Data_Val!$M$3*365.25)),Data!#REF!&lt;=(TODAY()-(Data_Val!$M$2*365.25))),0,1),1))</f>
        <v>#REF!</v>
      </c>
      <c r="BB11" s="11" t="e">
        <f>IF(Data!#REF!="","",IF(Data!$G11="",1,IF(ISNUMBER(MATCH(Data!#REF!,Data_Val!$D$2:$D$10,0)),0,1)))</f>
        <v>#REF!</v>
      </c>
      <c r="BC11" s="12"/>
      <c r="BD11" s="20" t="e">
        <f ca="1">IF(Data!#REF!="","",IF(ISNUMBER(Data!#REF!),IF(AND(Data!#REF!&gt;(TODAY()-(Data_Val!$M$3*365.25)),Data!#REF!&lt;=(TODAY()-(Data_Val!$M$2*365.25))),0,1),1))</f>
        <v>#REF!</v>
      </c>
      <c r="BE11" s="12" t="e">
        <f>IF(Data!#REF!="","",IF(Data!$G11="",1,IF(ISNUMBER(MATCH(Data!#REF!,Data_Val!$D$2:$D$10,0)),0,1)))</f>
        <v>#REF!</v>
      </c>
      <c r="BF11" s="17"/>
      <c r="BG11" s="18" t="e">
        <f ca="1">IF(Data!#REF!="","",IF(ISNUMBER(Data!#REF!),IF(AND(Data!#REF!&gt;(TODAY()-(Data_Val!$M$3*365.25)),Data!#REF!&lt;=(TODAY()-(Data_Val!$M$2*365.25))),0,1),1))</f>
        <v>#REF!</v>
      </c>
      <c r="BH11" s="29" t="e">
        <f>IF(Data!#REF!="","",IF(Data!$G11="",1,IF(ISNUMBER(MATCH(Data!#REF!,Data_Val!$D$2:$D$10,0)),0,1)))</f>
        <v>#REF!</v>
      </c>
      <c r="BI11" s="13"/>
      <c r="BJ11" s="21" t="e">
        <f ca="1">IF(Data!#REF!="","",IF(ISNUMBER(Data!#REF!),IF(AND(Data!#REF!&gt;(TODAY()-(Data_Val!$M$3*365.25)),Data!#REF!&lt;=(TODAY()-(Data_Val!$M$2*365.25))),0,1),1))</f>
        <v>#REF!</v>
      </c>
      <c r="BK11" s="13" t="e">
        <f>IF(Data!#REF!="","",IF(Data!$G11="",1,IF(ISNUMBER(MATCH(Data!#REF!,Data_Val!$D$2:$D$10,0)),0,1)))</f>
        <v>#REF!</v>
      </c>
    </row>
    <row r="12" spans="1:63" x14ac:dyDescent="0.25">
      <c r="A12" s="9" t="str">
        <f>IF(Data!B12="","",IF(COUNTIFS(Data!A$1:'Data'!A12,Data!A12)&lt;=1,0,1))</f>
        <v/>
      </c>
      <c r="B12" s="9"/>
      <c r="C12" s="23" t="str">
        <f>IF(Data!C12="","",(IF(ISNUMBER(MATCH("*@*.?*",Data!C12,0)),0,1)+IF(COUNTIFS(Data!C$1:'Data'!C12,Data!C12)&gt;1,1,0)))</f>
        <v/>
      </c>
      <c r="D12" s="9" t="str">
        <f>IF(Data!B12="","",IF(ISNUMBER(Data!D12),IF(AND(Data!D12&gt;999999999,Data!D12&lt;=9999999999),IF(COUNTIFS(Data!D$1:'Data'!D12,Data!D12)&lt;=1,0,1),1),1))</f>
        <v/>
      </c>
      <c r="E12" s="9" t="str">
        <f>IF(Data!B12="","",IF(ISNUMBER(MATCH(Data!E12,Data_Val!$A$2:$A$3,0)),0,1))</f>
        <v/>
      </c>
      <c r="F12" s="9" t="str">
        <f ca="1">IF(Data!B12="","",IF(ISNUMBER(Data!F12),IF(AND(Data!F12&gt;(TODAY()-(Data_Val!$H$3*365.25)),Data!F12&lt;=(TODAY()-(Data_Val!$H$2*365.25))),0,1),1))</f>
        <v/>
      </c>
      <c r="G12" s="15" t="str">
        <f>IF(Data!B12="","",IF(AND(Data!G12="",Data!H12&lt;&gt;""),1,IF(Data!#REF!&lt;&gt;"",0,IF(ISNUMBER(MATCH(Data!G12,Data_Val!$C$2:$C$5,0)),0,1))))</f>
        <v/>
      </c>
      <c r="H12" s="15" t="str">
        <f>IF(Data!B12="","",IF(AND(Data!G12&lt;&gt;"",Data!H12=""),1,IF(Data!#REF!&lt;&gt;"",0,IF(Data!G12="",1,IF(ISNUMBER(MATCH(Data!H12,Data_Val!$D$2:$D$35,0)),0,1)))))</f>
        <v/>
      </c>
      <c r="I12" s="15" t="str">
        <f>IF(Data!B12="","",IF(Data!G12&lt;&gt;"",0,IF(ISNUMBER(MATCH(Data!#REF!,Data_Val!$E$2:$E$12,0)),0,1)))</f>
        <v/>
      </c>
      <c r="J12" s="16" t="e">
        <f>IF(OR(Data!B12="",Data!#REF!=""),"",IF(Data!#REF!="",1,0))</f>
        <v>#REF!</v>
      </c>
      <c r="K12" s="16" t="e">
        <f>IF(OR(Data!B12="",Data!#REF!=""),"",IF(Data!#REF!="",1,0))</f>
        <v>#REF!</v>
      </c>
      <c r="L12" s="16" t="e">
        <f>IF(OR(Data!B12="",Data!#REF!=""),"",IF(ISNUMBER(Data!#REF!),IF(AND(Data!#REF!&gt;Data_Val!$G$2,Data!#REF!&lt;=Data_Val!$G$3),0,1),1))</f>
        <v>#REF!</v>
      </c>
      <c r="M12" s="9" t="e">
        <f>IF(OR(Data!B12="",Data!#REF!=""),"",IF(ISNUMBER(MATCH(Data!#REF!,Data_Val!$F$1:$F$38,0)),0,1))</f>
        <v>#REF!</v>
      </c>
      <c r="N12" s="9" t="e">
        <f>IF(OR(Data!B12="",Data!#REF!=""),"",IF(Data!#REF!="",1,0))</f>
        <v>#REF!</v>
      </c>
      <c r="O12" s="17" t="e">
        <f>IF(Data!#REF!="","",IF(Data!#REF!="",1,0))</f>
        <v>#REF!</v>
      </c>
      <c r="P12" s="17" t="e">
        <f>IF(Data!#REF!="","",IF(ISNUMBER(MATCH(Data!#REF!,Data_Val!$A$2:$A$3,0)),0,1))</f>
        <v>#REF!</v>
      </c>
      <c r="Q12" s="25" t="e">
        <f ca="1">IF(Data!#REF!="","",IF(ISNUMBER(Data!#REF!),IF(AND(Data!#REF!&gt;(TODAY()-(Data_Val!$J$3*365.25)),Data!#REF!&lt;=(TODAY()-(Data_Val!$J$2*365.25))),0,1),1))</f>
        <v>#REF!</v>
      </c>
      <c r="R12" s="17" t="e">
        <f>IF(Data!#REF!="","",IF(ISNUMBER(MATCH(Data!#REF!,Data_Val!$B$2:$B$15,0)),0,1))</f>
        <v>#REF!</v>
      </c>
      <c r="S12" s="11" t="str">
        <f>IF(Data!G12="","",IF(Data!G12=Data_Val!$C$2,IF(Data!M12="",0,1),0))</f>
        <v/>
      </c>
      <c r="T12" s="11" t="str">
        <f>IF(Data!M12="","",IF(ISNUMBER(MATCH(Data!N12,Data_Val!$A$2:$A$3,0)),0,1))</f>
        <v/>
      </c>
      <c r="U12" s="11" t="str">
        <f ca="1">IF(Data!M12="","",IF(ISNUMBER(Data!O12),IF(AND(Data!O12&gt;(TODAY()-(Data_Val!$K$3*365.25)),Data!O12&lt;=(TODAY()-(Data_Val!$K$2*365.25))),0,1),1))</f>
        <v/>
      </c>
      <c r="V12" s="12" t="str">
        <f>IF(Data!G12="","",IF(Data!G12=Data_Val!$C$2,IF(Data!P12="",0,1),0))</f>
        <v/>
      </c>
      <c r="W12" s="12" t="str">
        <f>IF(Data!P12="","",IF(ISNUMBER(MATCH(Data!Q12,Data_Val!$A$2:$A$3,0)),0,1))</f>
        <v/>
      </c>
      <c r="X12" s="26" t="str">
        <f ca="1">IF(Data!P12="","",IF(ISNUMBER(Data!R12),IF(AND(Data!R12&gt;(TODAY()-(Data_Val!$L$3*365.25)),Data!R12&lt;=(TODAY()-(Data_Val!$L$2*365.25))),0,1),1))</f>
        <v/>
      </c>
      <c r="Y12" s="13" t="str">
        <f>IF(Data!$G12="","",IF(Data!$G12=Data_Val!$C$2,IF(Data!S12="",0,1),0))</f>
        <v/>
      </c>
      <c r="Z12" s="13" t="str">
        <f>IF(Data!S12="","",IF(ISNUMBER(MATCH(Data!T12,Data_Val!$A$2:$A$3,0)),0,1))</f>
        <v/>
      </c>
      <c r="AA12" s="28" t="str">
        <f ca="1">IF(Data!S12="","",IF(ISNUMBER(Data!U12),IF(AND(Data!U12&gt;(TODAY()-(Data_Val!$L$3*365.25)),Data!U12&lt;=(TODAY()-(Data_Val!$L$2*365.25))),0,1),1))</f>
        <v/>
      </c>
      <c r="AB12" s="11"/>
      <c r="AC12" s="11" t="e">
        <f>IF(Data!#REF!="","",IF(ISNUMBER(MATCH(Data!#REF!,Data_Val!$A$2:$A$3,0)),0,1))</f>
        <v>#REF!</v>
      </c>
      <c r="AD12" s="11" t="e">
        <f ca="1">IF(Data!#REF!="","",IF(ISNUMBER(Data!#REF!),IF(AND(Data!#REF!&gt;(TODAY()-(Data_Val!$L$3*365.25)),Data!#REF!&lt;=(TODAY()-(Data_Val!$L$2*365.25))),0,1),1))</f>
        <v>#REF!</v>
      </c>
      <c r="AE12" s="11" t="e">
        <f>IF(Data!#REF!="","",IF(Data!$G12="",1,IF(ISNUMBER(MATCH(Data!#REF!,Data_Val!$D$2:$D$10,0)),0,1)))</f>
        <v>#REF!</v>
      </c>
      <c r="AF12" s="12"/>
      <c r="AG12" s="12" t="e">
        <f>IF(Data!#REF!="","",IF(ISNUMBER(MATCH(Data!#REF!,Data_Val!$A$2:$A$3,0)),0,1))</f>
        <v>#REF!</v>
      </c>
      <c r="AH12" s="26" t="e">
        <f ca="1">IF(Data!#REF!="","",IF(ISNUMBER(Data!#REF!),IF(AND(Data!#REF!&gt;(TODAY()-(Data_Val!$L$3*365.25)),Data!#REF!&lt;=(TODAY()-(Data_Val!$L$2*365.25))),0,1),1))</f>
        <v>#REF!</v>
      </c>
      <c r="AI12" s="12" t="e">
        <f>IF(Data!#REF!="","",IF(Data!$G12="",1,IF(ISNUMBER(MATCH(Data!#REF!,Data_Val!$D$2:$D$10,0)),0,1)))</f>
        <v>#REF!</v>
      </c>
      <c r="AJ12" s="17"/>
      <c r="AK12" s="17" t="e">
        <f>IF(Data!#REF!="","",IF(ISNUMBER(MATCH(Data!#REF!,Data_Val!$A$2:$A$3,0)),0,1))</f>
        <v>#REF!</v>
      </c>
      <c r="AL12" s="25" t="e">
        <f ca="1">IF(Data!#REF!="","",IF(ISNUMBER(Data!#REF!),IF(AND(Data!#REF!&gt;(TODAY()-(Data_Val!$L$3*365.25)),Data!#REF!&lt;=(TODAY()-(Data_Val!$L$2*365.25))),0,1),1))</f>
        <v>#REF!</v>
      </c>
      <c r="AM12" s="17" t="e">
        <f>IF(Data!#REF!="","",IF(Data!$G12="",1,IF(ISNUMBER(MATCH(Data!#REF!,Data_Val!$D$2:$D$10,0)),0,1)))</f>
        <v>#REF!</v>
      </c>
      <c r="AN12" s="13"/>
      <c r="AO12" s="28" t="e">
        <f ca="1">IF(Data!#REF!="","",IF(ISNUMBER(Data!#REF!),IF(AND(Data!#REF!&gt;(TODAY()-(Data_Val!$I$3*365.25)),Data!#REF!&lt;=(TODAY()-(Data_Val!$I$2*365.25))),0,1),1))</f>
        <v>#REF!</v>
      </c>
      <c r="AP12" s="13" t="e">
        <f>IF(Data!#REF!="","",IF(Data!$G12="",1,IF(ISNUMBER(MATCH(Data!#REF!,Data_Val!$D$2:$D$10,0)),0,1)))</f>
        <v>#REF!</v>
      </c>
      <c r="AQ12" s="17"/>
      <c r="AR12" s="30" t="e">
        <f ca="1">IF(Data!#REF!="","",IF(ISNUMBER(Data!#REF!),IF(AND(Data!#REF!&gt;(TODAY()-(Data_Val!$I$3*365.25)),Data!#REF!&lt;=(TODAY()-(Data_Val!$I$2*365.25))),0,1),1))</f>
        <v>#REF!</v>
      </c>
      <c r="AS12" s="31" t="e">
        <f>IF(Data!#REF!="","",IF(Data!$G12="",1,IF(ISNUMBER(MATCH(Data!#REF!,Data_Val!$D$2:$D$10,0)),0,1)))</f>
        <v>#REF!</v>
      </c>
      <c r="AT12" s="11"/>
      <c r="AU12" s="11" t="e">
        <f ca="1">IF(Data!#REF!="","",IF(ISNUMBER(Data!#REF!),IF(AND(Data!#REF!&gt;(TODAY()-(Data_Val!$I$3*365.25)),Data!#REF!&lt;=(TODAY()-(Data_Val!$I$2*365.25))),0,1),1))</f>
        <v>#REF!</v>
      </c>
      <c r="AV12" s="11" t="e">
        <f>IF(Data!#REF!="","",IF(Data!$G12="",1,IF(ISNUMBER(MATCH(Data!#REF!,Data_Val!$D$2:$D$10,0)),0,1)))</f>
        <v>#REF!</v>
      </c>
      <c r="AW12" s="12"/>
      <c r="AX12" s="26" t="e">
        <f ca="1">IF(Data!#REF!="","",IF(ISNUMBER(Data!#REF!),IF(AND(Data!#REF!&gt;(TODAY()-(Data_Val!$I$3*365.25)),Data!#REF!&lt;=(TODAY()-(Data_Val!$I$2*365.25))),0,1),1))</f>
        <v>#REF!</v>
      </c>
      <c r="AY12" s="12" t="e">
        <f>IF(Data!#REF!="","",IF(Data!$G12="",1,IF(ISNUMBER(MATCH(Data!#REF!,Data_Val!$D$2:$D$10,0)),0,1)))</f>
        <v>#REF!</v>
      </c>
      <c r="AZ12" s="11"/>
      <c r="BA12" s="19" t="e">
        <f ca="1">IF(Data!#REF!="","",IF(ISNUMBER(Data!#REF!),IF(AND(Data!#REF!&gt;(TODAY()-(Data_Val!$M$3*365.25)),Data!#REF!&lt;=(TODAY()-(Data_Val!$M$2*365.25))),0,1),1))</f>
        <v>#REF!</v>
      </c>
      <c r="BB12" s="11" t="e">
        <f>IF(Data!#REF!="","",IF(Data!$G12="",1,IF(ISNUMBER(MATCH(Data!#REF!,Data_Val!$D$2:$D$10,0)),0,1)))</f>
        <v>#REF!</v>
      </c>
      <c r="BC12" s="12"/>
      <c r="BD12" s="20" t="e">
        <f ca="1">IF(Data!#REF!="","",IF(ISNUMBER(Data!#REF!),IF(AND(Data!#REF!&gt;(TODAY()-(Data_Val!$M$3*365.25)),Data!#REF!&lt;=(TODAY()-(Data_Val!$M$2*365.25))),0,1),1))</f>
        <v>#REF!</v>
      </c>
      <c r="BE12" s="12" t="e">
        <f>IF(Data!#REF!="","",IF(Data!$G12="",1,IF(ISNUMBER(MATCH(Data!#REF!,Data_Val!$D$2:$D$10,0)),0,1)))</f>
        <v>#REF!</v>
      </c>
      <c r="BF12" s="17"/>
      <c r="BG12" s="18" t="e">
        <f ca="1">IF(Data!#REF!="","",IF(ISNUMBER(Data!#REF!),IF(AND(Data!#REF!&gt;(TODAY()-(Data_Val!$M$3*365.25)),Data!#REF!&lt;=(TODAY()-(Data_Val!$M$2*365.25))),0,1),1))</f>
        <v>#REF!</v>
      </c>
      <c r="BH12" s="29" t="e">
        <f>IF(Data!#REF!="","",IF(Data!$G12="",1,IF(ISNUMBER(MATCH(Data!#REF!,Data_Val!$D$2:$D$10,0)),0,1)))</f>
        <v>#REF!</v>
      </c>
      <c r="BI12" s="13"/>
      <c r="BJ12" s="21" t="e">
        <f ca="1">IF(Data!#REF!="","",IF(ISNUMBER(Data!#REF!),IF(AND(Data!#REF!&gt;(TODAY()-(Data_Val!$M$3*365.25)),Data!#REF!&lt;=(TODAY()-(Data_Val!$M$2*365.25))),0,1),1))</f>
        <v>#REF!</v>
      </c>
      <c r="BK12" s="13" t="e">
        <f>IF(Data!#REF!="","",IF(Data!$G12="",1,IF(ISNUMBER(MATCH(Data!#REF!,Data_Val!$D$2:$D$10,0)),0,1)))</f>
        <v>#REF!</v>
      </c>
    </row>
    <row r="13" spans="1:63" x14ac:dyDescent="0.25">
      <c r="A13" s="9" t="str">
        <f>IF(Data!B13="","",IF(COUNTIFS(Data!A$1:'Data'!A13,Data!A13)&lt;=1,0,1))</f>
        <v/>
      </c>
      <c r="B13" s="9"/>
      <c r="C13" s="23" t="str">
        <f>IF(Data!C13="","",(IF(ISNUMBER(MATCH("*@*.?*",Data!C13,0)),0,1)+IF(COUNTIFS(Data!C$1:'Data'!C13,Data!C13)&gt;1,1,0)))</f>
        <v/>
      </c>
      <c r="D13" s="9" t="str">
        <f>IF(Data!B13="","",IF(ISNUMBER(Data!D13),IF(AND(Data!D13&gt;999999999,Data!D13&lt;=9999999999),IF(COUNTIFS(Data!D$1:'Data'!D13,Data!D13)&lt;=1,0,1),1),1))</f>
        <v/>
      </c>
      <c r="E13" s="9" t="str">
        <f>IF(Data!B13="","",IF(ISNUMBER(MATCH(Data!E13,Data_Val!$A$2:$A$3,0)),0,1))</f>
        <v/>
      </c>
      <c r="F13" s="9" t="str">
        <f ca="1">IF(Data!B13="","",IF(ISNUMBER(Data!F13),IF(AND(Data!F13&gt;(TODAY()-(Data_Val!$H$3*365.25)),Data!F13&lt;=(TODAY()-(Data_Val!$H$2*365.25))),0,1),1))</f>
        <v/>
      </c>
      <c r="G13" s="15" t="str">
        <f>IF(Data!B13="","",IF(AND(Data!G13="",Data!H13&lt;&gt;""),1,IF(Data!#REF!&lt;&gt;"",0,IF(ISNUMBER(MATCH(Data!G13,Data_Val!$C$2:$C$5,0)),0,1))))</f>
        <v/>
      </c>
      <c r="H13" s="15" t="str">
        <f>IF(Data!B13="","",IF(AND(Data!G13&lt;&gt;"",Data!H13=""),1,IF(Data!#REF!&lt;&gt;"",0,IF(Data!G13="",1,IF(ISNUMBER(MATCH(Data!H13,Data_Val!$D$2:$D$35,0)),0,1)))))</f>
        <v/>
      </c>
      <c r="I13" s="15" t="str">
        <f>IF(Data!B13="","",IF(Data!G13&lt;&gt;"",0,IF(ISNUMBER(MATCH(Data!#REF!,Data_Val!$E$2:$E$12,0)),0,1)))</f>
        <v/>
      </c>
      <c r="J13" s="16" t="e">
        <f>IF(OR(Data!B13="",Data!#REF!=""),"",IF(Data!#REF!="",1,0))</f>
        <v>#REF!</v>
      </c>
      <c r="K13" s="16" t="e">
        <f>IF(OR(Data!B13="",Data!#REF!=""),"",IF(Data!#REF!="",1,0))</f>
        <v>#REF!</v>
      </c>
      <c r="L13" s="16" t="e">
        <f>IF(OR(Data!B13="",Data!#REF!=""),"",IF(ISNUMBER(Data!#REF!),IF(AND(Data!#REF!&gt;Data_Val!$G$2,Data!#REF!&lt;=Data_Val!$G$3),0,1),1))</f>
        <v>#REF!</v>
      </c>
      <c r="M13" s="9" t="e">
        <f>IF(OR(Data!B13="",Data!#REF!=""),"",IF(ISNUMBER(MATCH(Data!#REF!,Data_Val!$F$1:$F$38,0)),0,1))</f>
        <v>#REF!</v>
      </c>
      <c r="N13" s="9" t="e">
        <f>IF(OR(Data!B13="",Data!#REF!=""),"",IF(Data!#REF!="",1,0))</f>
        <v>#REF!</v>
      </c>
      <c r="O13" s="17" t="e">
        <f>IF(Data!#REF!="","",IF(Data!#REF!="",1,0))</f>
        <v>#REF!</v>
      </c>
      <c r="P13" s="17" t="e">
        <f>IF(Data!#REF!="","",IF(ISNUMBER(MATCH(Data!#REF!,Data_Val!$A$2:$A$3,0)),0,1))</f>
        <v>#REF!</v>
      </c>
      <c r="Q13" s="25" t="e">
        <f ca="1">IF(Data!#REF!="","",IF(ISNUMBER(Data!#REF!),IF(AND(Data!#REF!&gt;(TODAY()-(Data_Val!$J$3*365.25)),Data!#REF!&lt;=(TODAY()-(Data_Val!$J$2*365.25))),0,1),1))</f>
        <v>#REF!</v>
      </c>
      <c r="R13" s="17" t="e">
        <f>IF(Data!#REF!="","",IF(ISNUMBER(MATCH(Data!#REF!,Data_Val!$B$2:$B$15,0)),0,1))</f>
        <v>#REF!</v>
      </c>
      <c r="S13" s="11" t="str">
        <f>IF(Data!G13="","",IF(Data!G13=Data_Val!$C$2,IF(Data!M13="",0,1),0))</f>
        <v/>
      </c>
      <c r="T13" s="11" t="str">
        <f>IF(Data!M13="","",IF(ISNUMBER(MATCH(Data!N13,Data_Val!$A$2:$A$3,0)),0,1))</f>
        <v/>
      </c>
      <c r="U13" s="11" t="str">
        <f ca="1">IF(Data!M13="","",IF(ISNUMBER(Data!O13),IF(AND(Data!O13&gt;(TODAY()-(Data_Val!$K$3*365.25)),Data!O13&lt;=(TODAY()-(Data_Val!$K$2*365.25))),0,1),1))</f>
        <v/>
      </c>
      <c r="V13" s="12" t="str">
        <f>IF(Data!G13="","",IF(Data!G13=Data_Val!$C$2,IF(Data!P13="",0,1),0))</f>
        <v/>
      </c>
      <c r="W13" s="12" t="str">
        <f>IF(Data!P13="","",IF(ISNUMBER(MATCH(Data!Q13,Data_Val!$A$2:$A$3,0)),0,1))</f>
        <v/>
      </c>
      <c r="X13" s="26" t="str">
        <f ca="1">IF(Data!P13="","",IF(ISNUMBER(Data!R13),IF(AND(Data!R13&gt;(TODAY()-(Data_Val!$L$3*365.25)),Data!R13&lt;=(TODAY()-(Data_Val!$L$2*365.25))),0,1),1))</f>
        <v/>
      </c>
      <c r="Y13" s="13" t="str">
        <f>IF(Data!$G13="","",IF(Data!$G13=Data_Val!$C$2,IF(Data!S13="",0,1),0))</f>
        <v/>
      </c>
      <c r="Z13" s="13" t="str">
        <f>IF(Data!S13="","",IF(ISNUMBER(MATCH(Data!T13,Data_Val!$A$2:$A$3,0)),0,1))</f>
        <v/>
      </c>
      <c r="AA13" s="28" t="str">
        <f ca="1">IF(Data!S13="","",IF(ISNUMBER(Data!U13),IF(AND(Data!U13&gt;(TODAY()-(Data_Val!$L$3*365.25)),Data!U13&lt;=(TODAY()-(Data_Val!$L$2*365.25))),0,1),1))</f>
        <v/>
      </c>
      <c r="AB13" s="11"/>
      <c r="AC13" s="11" t="e">
        <f>IF(Data!#REF!="","",IF(ISNUMBER(MATCH(Data!#REF!,Data_Val!$A$2:$A$3,0)),0,1))</f>
        <v>#REF!</v>
      </c>
      <c r="AD13" s="11" t="e">
        <f ca="1">IF(Data!#REF!="","",IF(ISNUMBER(Data!#REF!),IF(AND(Data!#REF!&gt;(TODAY()-(Data_Val!$L$3*365.25)),Data!#REF!&lt;=(TODAY()-(Data_Val!$L$2*365.25))),0,1),1))</f>
        <v>#REF!</v>
      </c>
      <c r="AE13" s="11" t="e">
        <f>IF(Data!#REF!="","",IF(Data!$G13="",1,IF(ISNUMBER(MATCH(Data!#REF!,Data_Val!$D$2:$D$10,0)),0,1)))</f>
        <v>#REF!</v>
      </c>
      <c r="AF13" s="12"/>
      <c r="AG13" s="12" t="e">
        <f>IF(Data!#REF!="","",IF(ISNUMBER(MATCH(Data!#REF!,Data_Val!$A$2:$A$3,0)),0,1))</f>
        <v>#REF!</v>
      </c>
      <c r="AH13" s="26" t="e">
        <f ca="1">IF(Data!#REF!="","",IF(ISNUMBER(Data!#REF!),IF(AND(Data!#REF!&gt;(TODAY()-(Data_Val!$L$3*365.25)),Data!#REF!&lt;=(TODAY()-(Data_Val!$L$2*365.25))),0,1),1))</f>
        <v>#REF!</v>
      </c>
      <c r="AI13" s="12" t="e">
        <f>IF(Data!#REF!="","",IF(Data!$G13="",1,IF(ISNUMBER(MATCH(Data!#REF!,Data_Val!$D$2:$D$10,0)),0,1)))</f>
        <v>#REF!</v>
      </c>
      <c r="AJ13" s="17"/>
      <c r="AK13" s="17" t="e">
        <f>IF(Data!#REF!="","",IF(ISNUMBER(MATCH(Data!#REF!,Data_Val!$A$2:$A$3,0)),0,1))</f>
        <v>#REF!</v>
      </c>
      <c r="AL13" s="25" t="e">
        <f ca="1">IF(Data!#REF!="","",IF(ISNUMBER(Data!#REF!),IF(AND(Data!#REF!&gt;(TODAY()-(Data_Val!$L$3*365.25)),Data!#REF!&lt;=(TODAY()-(Data_Val!$L$2*365.25))),0,1),1))</f>
        <v>#REF!</v>
      </c>
      <c r="AM13" s="17" t="e">
        <f>IF(Data!#REF!="","",IF(Data!$G13="",1,IF(ISNUMBER(MATCH(Data!#REF!,Data_Val!$D$2:$D$10,0)),0,1)))</f>
        <v>#REF!</v>
      </c>
      <c r="AN13" s="13"/>
      <c r="AO13" s="28" t="e">
        <f ca="1">IF(Data!#REF!="","",IF(ISNUMBER(Data!#REF!),IF(AND(Data!#REF!&gt;(TODAY()-(Data_Val!$I$3*365.25)),Data!#REF!&lt;=(TODAY()-(Data_Val!$I$2*365.25))),0,1),1))</f>
        <v>#REF!</v>
      </c>
      <c r="AP13" s="13" t="e">
        <f>IF(Data!#REF!="","",IF(Data!$G13="",1,IF(ISNUMBER(MATCH(Data!#REF!,Data_Val!$D$2:$D$10,0)),0,1)))</f>
        <v>#REF!</v>
      </c>
      <c r="AQ13" s="17"/>
      <c r="AR13" s="30" t="e">
        <f ca="1">IF(Data!#REF!="","",IF(ISNUMBER(Data!#REF!),IF(AND(Data!#REF!&gt;(TODAY()-(Data_Val!$I$3*365.25)),Data!#REF!&lt;=(TODAY()-(Data_Val!$I$2*365.25))),0,1),1))</f>
        <v>#REF!</v>
      </c>
      <c r="AS13" s="31" t="e">
        <f>IF(Data!#REF!="","",IF(Data!$G13="",1,IF(ISNUMBER(MATCH(Data!#REF!,Data_Val!$D$2:$D$10,0)),0,1)))</f>
        <v>#REF!</v>
      </c>
      <c r="AT13" s="11"/>
      <c r="AU13" s="11" t="e">
        <f ca="1">IF(Data!#REF!="","",IF(ISNUMBER(Data!#REF!),IF(AND(Data!#REF!&gt;(TODAY()-(Data_Val!$I$3*365.25)),Data!#REF!&lt;=(TODAY()-(Data_Val!$I$2*365.25))),0,1),1))</f>
        <v>#REF!</v>
      </c>
      <c r="AV13" s="11" t="e">
        <f>IF(Data!#REF!="","",IF(Data!$G13="",1,IF(ISNUMBER(MATCH(Data!#REF!,Data_Val!$D$2:$D$10,0)),0,1)))</f>
        <v>#REF!</v>
      </c>
      <c r="AW13" s="12"/>
      <c r="AX13" s="26" t="e">
        <f ca="1">IF(Data!#REF!="","",IF(ISNUMBER(Data!#REF!),IF(AND(Data!#REF!&gt;(TODAY()-(Data_Val!$I$3*365.25)),Data!#REF!&lt;=(TODAY()-(Data_Val!$I$2*365.25))),0,1),1))</f>
        <v>#REF!</v>
      </c>
      <c r="AY13" s="12" t="e">
        <f>IF(Data!#REF!="","",IF(Data!$G13="",1,IF(ISNUMBER(MATCH(Data!#REF!,Data_Val!$D$2:$D$10,0)),0,1)))</f>
        <v>#REF!</v>
      </c>
      <c r="AZ13" s="11"/>
      <c r="BA13" s="19" t="e">
        <f ca="1">IF(Data!#REF!="","",IF(ISNUMBER(Data!#REF!),IF(AND(Data!#REF!&gt;(TODAY()-(Data_Val!$M$3*365.25)),Data!#REF!&lt;=(TODAY()-(Data_Val!$M$2*365.25))),0,1),1))</f>
        <v>#REF!</v>
      </c>
      <c r="BB13" s="11" t="e">
        <f>IF(Data!#REF!="","",IF(Data!$G13="",1,IF(ISNUMBER(MATCH(Data!#REF!,Data_Val!$D$2:$D$10,0)),0,1)))</f>
        <v>#REF!</v>
      </c>
      <c r="BC13" s="12"/>
      <c r="BD13" s="20" t="e">
        <f ca="1">IF(Data!#REF!="","",IF(ISNUMBER(Data!#REF!),IF(AND(Data!#REF!&gt;(TODAY()-(Data_Val!$M$3*365.25)),Data!#REF!&lt;=(TODAY()-(Data_Val!$M$2*365.25))),0,1),1))</f>
        <v>#REF!</v>
      </c>
      <c r="BE13" s="12" t="e">
        <f>IF(Data!#REF!="","",IF(Data!$G13="",1,IF(ISNUMBER(MATCH(Data!#REF!,Data_Val!$D$2:$D$10,0)),0,1)))</f>
        <v>#REF!</v>
      </c>
      <c r="BF13" s="17"/>
      <c r="BG13" s="18" t="e">
        <f ca="1">IF(Data!#REF!="","",IF(ISNUMBER(Data!#REF!),IF(AND(Data!#REF!&gt;(TODAY()-(Data_Val!$M$3*365.25)),Data!#REF!&lt;=(TODAY()-(Data_Val!$M$2*365.25))),0,1),1))</f>
        <v>#REF!</v>
      </c>
      <c r="BH13" s="29" t="e">
        <f>IF(Data!#REF!="","",IF(Data!$G13="",1,IF(ISNUMBER(MATCH(Data!#REF!,Data_Val!$D$2:$D$10,0)),0,1)))</f>
        <v>#REF!</v>
      </c>
      <c r="BI13" s="13"/>
      <c r="BJ13" s="21" t="e">
        <f ca="1">IF(Data!#REF!="","",IF(ISNUMBER(Data!#REF!),IF(AND(Data!#REF!&gt;(TODAY()-(Data_Val!$M$3*365.25)),Data!#REF!&lt;=(TODAY()-(Data_Val!$M$2*365.25))),0,1),1))</f>
        <v>#REF!</v>
      </c>
      <c r="BK13" s="13" t="e">
        <f>IF(Data!#REF!="","",IF(Data!$G13="",1,IF(ISNUMBER(MATCH(Data!#REF!,Data_Val!$D$2:$D$10,0)),0,1)))</f>
        <v>#REF!</v>
      </c>
    </row>
    <row r="14" spans="1:63" x14ac:dyDescent="0.25">
      <c r="A14" s="9" t="str">
        <f>IF(Data!B14="","",IF(COUNTIFS(Data!A$1:'Data'!A14,Data!A14)&lt;=1,0,1))</f>
        <v/>
      </c>
      <c r="B14" s="9"/>
      <c r="C14" s="23" t="str">
        <f>IF(Data!C14="","",(IF(ISNUMBER(MATCH("*@*.?*",Data!C14,0)),0,1)+IF(COUNTIFS(Data!C$1:'Data'!C14,Data!C14)&gt;1,1,0)))</f>
        <v/>
      </c>
      <c r="D14" s="9" t="str">
        <f>IF(Data!B14="","",IF(ISNUMBER(Data!D14),IF(AND(Data!D14&gt;999999999,Data!D14&lt;=9999999999),IF(COUNTIFS(Data!D$1:'Data'!D14,Data!D14)&lt;=1,0,1),1),1))</f>
        <v/>
      </c>
      <c r="E14" s="9" t="str">
        <f>IF(Data!B14="","",IF(ISNUMBER(MATCH(Data!E14,Data_Val!$A$2:$A$3,0)),0,1))</f>
        <v/>
      </c>
      <c r="F14" s="9" t="str">
        <f ca="1">IF(Data!B14="","",IF(ISNUMBER(Data!F14),IF(AND(Data!F14&gt;(TODAY()-(Data_Val!$H$3*365.25)),Data!F14&lt;=(TODAY()-(Data_Val!$H$2*365.25))),0,1),1))</f>
        <v/>
      </c>
      <c r="G14" s="15" t="str">
        <f>IF(Data!B14="","",IF(AND(Data!G14="",Data!H14&lt;&gt;""),1,IF(Data!#REF!&lt;&gt;"",0,IF(ISNUMBER(MATCH(Data!G14,Data_Val!$C$2:$C$5,0)),0,1))))</f>
        <v/>
      </c>
      <c r="H14" s="15" t="str">
        <f>IF(Data!B14="","",IF(AND(Data!G14&lt;&gt;"",Data!H14=""),1,IF(Data!#REF!&lt;&gt;"",0,IF(Data!G14="",1,IF(ISNUMBER(MATCH(Data!H14,Data_Val!$D$2:$D$35,0)),0,1)))))</f>
        <v/>
      </c>
      <c r="I14" s="15" t="str">
        <f>IF(Data!B14="","",IF(Data!G14&lt;&gt;"",0,IF(ISNUMBER(MATCH(Data!#REF!,Data_Val!$E$2:$E$12,0)),0,1)))</f>
        <v/>
      </c>
      <c r="J14" s="16" t="e">
        <f>IF(OR(Data!B14="",Data!#REF!=""),"",IF(Data!#REF!="",1,0))</f>
        <v>#REF!</v>
      </c>
      <c r="K14" s="16" t="e">
        <f>IF(OR(Data!B14="",Data!#REF!=""),"",IF(Data!#REF!="",1,0))</f>
        <v>#REF!</v>
      </c>
      <c r="L14" s="16" t="e">
        <f>IF(OR(Data!B14="",Data!#REF!=""),"",IF(ISNUMBER(Data!#REF!),IF(AND(Data!#REF!&gt;Data_Val!$G$2,Data!#REF!&lt;=Data_Val!$G$3),0,1),1))</f>
        <v>#REF!</v>
      </c>
      <c r="M14" s="9" t="e">
        <f>IF(OR(Data!B14="",Data!#REF!=""),"",IF(ISNUMBER(MATCH(Data!#REF!,Data_Val!$F$1:$F$38,0)),0,1))</f>
        <v>#REF!</v>
      </c>
      <c r="N14" s="9" t="e">
        <f>IF(OR(Data!B14="",Data!#REF!=""),"",IF(Data!#REF!="",1,0))</f>
        <v>#REF!</v>
      </c>
      <c r="O14" s="17" t="e">
        <f>IF(Data!#REF!="","",IF(Data!#REF!="",1,0))</f>
        <v>#REF!</v>
      </c>
      <c r="P14" s="17" t="e">
        <f>IF(Data!#REF!="","",IF(ISNUMBER(MATCH(Data!#REF!,Data_Val!$A$2:$A$3,0)),0,1))</f>
        <v>#REF!</v>
      </c>
      <c r="Q14" s="25" t="e">
        <f ca="1">IF(Data!#REF!="","",IF(ISNUMBER(Data!#REF!),IF(AND(Data!#REF!&gt;(TODAY()-(Data_Val!$J$3*365.25)),Data!#REF!&lt;=(TODAY()-(Data_Val!$J$2*365.25))),0,1),1))</f>
        <v>#REF!</v>
      </c>
      <c r="R14" s="17" t="e">
        <f>IF(Data!#REF!="","",IF(ISNUMBER(MATCH(Data!#REF!,Data_Val!$B$2:$B$15,0)),0,1))</f>
        <v>#REF!</v>
      </c>
      <c r="S14" s="11" t="str">
        <f>IF(Data!G14="","",IF(Data!G14=Data_Val!$C$2,IF(Data!M14="",0,1),0))</f>
        <v/>
      </c>
      <c r="T14" s="11" t="str">
        <f>IF(Data!M14="","",IF(ISNUMBER(MATCH(Data!N14,Data_Val!$A$2:$A$3,0)),0,1))</f>
        <v/>
      </c>
      <c r="U14" s="11" t="str">
        <f ca="1">IF(Data!M14="","",IF(ISNUMBER(Data!O14),IF(AND(Data!O14&gt;(TODAY()-(Data_Val!$K$3*365.25)),Data!O14&lt;=(TODAY()-(Data_Val!$K$2*365.25))),0,1),1))</f>
        <v/>
      </c>
      <c r="V14" s="12" t="str">
        <f>IF(Data!G14="","",IF(Data!G14=Data_Val!$C$2,IF(Data!P14="",0,1),0))</f>
        <v/>
      </c>
      <c r="W14" s="12" t="str">
        <f>IF(Data!P14="","",IF(ISNUMBER(MATCH(Data!Q14,Data_Val!$A$2:$A$3,0)),0,1))</f>
        <v/>
      </c>
      <c r="X14" s="26" t="str">
        <f ca="1">IF(Data!P14="","",IF(ISNUMBER(Data!R14),IF(AND(Data!R14&gt;(TODAY()-(Data_Val!$L$3*365.25)),Data!R14&lt;=(TODAY()-(Data_Val!$L$2*365.25))),0,1),1))</f>
        <v/>
      </c>
      <c r="Y14" s="13" t="str">
        <f>IF(Data!$G14="","",IF(Data!$G14=Data_Val!$C$2,IF(Data!S14="",0,1),0))</f>
        <v/>
      </c>
      <c r="Z14" s="13" t="str">
        <f>IF(Data!S14="","",IF(ISNUMBER(MATCH(Data!T14,Data_Val!$A$2:$A$3,0)),0,1))</f>
        <v/>
      </c>
      <c r="AA14" s="28" t="str">
        <f ca="1">IF(Data!S14="","",IF(ISNUMBER(Data!U14),IF(AND(Data!U14&gt;(TODAY()-(Data_Val!$L$3*365.25)),Data!U14&lt;=(TODAY()-(Data_Val!$L$2*365.25))),0,1),1))</f>
        <v/>
      </c>
      <c r="AB14" s="11"/>
      <c r="AC14" s="11" t="e">
        <f>IF(Data!#REF!="","",IF(ISNUMBER(MATCH(Data!#REF!,Data_Val!$A$2:$A$3,0)),0,1))</f>
        <v>#REF!</v>
      </c>
      <c r="AD14" s="11" t="e">
        <f ca="1">IF(Data!#REF!="","",IF(ISNUMBER(Data!#REF!),IF(AND(Data!#REF!&gt;(TODAY()-(Data_Val!$L$3*365.25)),Data!#REF!&lt;=(TODAY()-(Data_Val!$L$2*365.25))),0,1),1))</f>
        <v>#REF!</v>
      </c>
      <c r="AE14" s="11" t="e">
        <f>IF(Data!#REF!="","",IF(Data!$G14="",1,IF(ISNUMBER(MATCH(Data!#REF!,Data_Val!$D$2:$D$10,0)),0,1)))</f>
        <v>#REF!</v>
      </c>
      <c r="AF14" s="12"/>
      <c r="AG14" s="12" t="e">
        <f>IF(Data!#REF!="","",IF(ISNUMBER(MATCH(Data!#REF!,Data_Val!$A$2:$A$3,0)),0,1))</f>
        <v>#REF!</v>
      </c>
      <c r="AH14" s="26" t="e">
        <f ca="1">IF(Data!#REF!="","",IF(ISNUMBER(Data!#REF!),IF(AND(Data!#REF!&gt;(TODAY()-(Data_Val!$L$3*365.25)),Data!#REF!&lt;=(TODAY()-(Data_Val!$L$2*365.25))),0,1),1))</f>
        <v>#REF!</v>
      </c>
      <c r="AI14" s="12" t="e">
        <f>IF(Data!#REF!="","",IF(Data!$G14="",1,IF(ISNUMBER(MATCH(Data!#REF!,Data_Val!$D$2:$D$10,0)),0,1)))</f>
        <v>#REF!</v>
      </c>
      <c r="AJ14" s="17"/>
      <c r="AK14" s="17" t="e">
        <f>IF(Data!#REF!="","",IF(ISNUMBER(MATCH(Data!#REF!,Data_Val!$A$2:$A$3,0)),0,1))</f>
        <v>#REF!</v>
      </c>
      <c r="AL14" s="25" t="e">
        <f ca="1">IF(Data!#REF!="","",IF(ISNUMBER(Data!#REF!),IF(AND(Data!#REF!&gt;(TODAY()-(Data_Val!$L$3*365.25)),Data!#REF!&lt;=(TODAY()-(Data_Val!$L$2*365.25))),0,1),1))</f>
        <v>#REF!</v>
      </c>
      <c r="AM14" s="17" t="e">
        <f>IF(Data!#REF!="","",IF(Data!$G14="",1,IF(ISNUMBER(MATCH(Data!#REF!,Data_Val!$D$2:$D$10,0)),0,1)))</f>
        <v>#REF!</v>
      </c>
      <c r="AN14" s="13"/>
      <c r="AO14" s="28" t="e">
        <f ca="1">IF(Data!#REF!="","",IF(ISNUMBER(Data!#REF!),IF(AND(Data!#REF!&gt;(TODAY()-(Data_Val!$I$3*365.25)),Data!#REF!&lt;=(TODAY()-(Data_Val!$I$2*365.25))),0,1),1))</f>
        <v>#REF!</v>
      </c>
      <c r="AP14" s="13" t="e">
        <f>IF(Data!#REF!="","",IF(Data!$G14="",1,IF(ISNUMBER(MATCH(Data!#REF!,Data_Val!$D$2:$D$10,0)),0,1)))</f>
        <v>#REF!</v>
      </c>
      <c r="AQ14" s="17"/>
      <c r="AR14" s="30" t="e">
        <f ca="1">IF(Data!#REF!="","",IF(ISNUMBER(Data!#REF!),IF(AND(Data!#REF!&gt;(TODAY()-(Data_Val!$I$3*365.25)),Data!#REF!&lt;=(TODAY()-(Data_Val!$I$2*365.25))),0,1),1))</f>
        <v>#REF!</v>
      </c>
      <c r="AS14" s="31" t="e">
        <f>IF(Data!#REF!="","",IF(Data!$G14="",1,IF(ISNUMBER(MATCH(Data!#REF!,Data_Val!$D$2:$D$10,0)),0,1)))</f>
        <v>#REF!</v>
      </c>
      <c r="AT14" s="11"/>
      <c r="AU14" s="11" t="e">
        <f ca="1">IF(Data!#REF!="","",IF(ISNUMBER(Data!#REF!),IF(AND(Data!#REF!&gt;(TODAY()-(Data_Val!$I$3*365.25)),Data!#REF!&lt;=(TODAY()-(Data_Val!$I$2*365.25))),0,1),1))</f>
        <v>#REF!</v>
      </c>
      <c r="AV14" s="11" t="e">
        <f>IF(Data!#REF!="","",IF(Data!$G14="",1,IF(ISNUMBER(MATCH(Data!#REF!,Data_Val!$D$2:$D$10,0)),0,1)))</f>
        <v>#REF!</v>
      </c>
      <c r="AW14" s="12"/>
      <c r="AX14" s="26" t="e">
        <f ca="1">IF(Data!#REF!="","",IF(ISNUMBER(Data!#REF!),IF(AND(Data!#REF!&gt;(TODAY()-(Data_Val!$I$3*365.25)),Data!#REF!&lt;=(TODAY()-(Data_Val!$I$2*365.25))),0,1),1))</f>
        <v>#REF!</v>
      </c>
      <c r="AY14" s="12" t="e">
        <f>IF(Data!#REF!="","",IF(Data!$G14="",1,IF(ISNUMBER(MATCH(Data!#REF!,Data_Val!$D$2:$D$10,0)),0,1)))</f>
        <v>#REF!</v>
      </c>
      <c r="AZ14" s="11"/>
      <c r="BA14" s="19" t="e">
        <f ca="1">IF(Data!#REF!="","",IF(ISNUMBER(Data!#REF!),IF(AND(Data!#REF!&gt;(TODAY()-(Data_Val!$M$3*365.25)),Data!#REF!&lt;=(TODAY()-(Data_Val!$M$2*365.25))),0,1),1))</f>
        <v>#REF!</v>
      </c>
      <c r="BB14" s="11" t="e">
        <f>IF(Data!#REF!="","",IF(Data!$G14="",1,IF(ISNUMBER(MATCH(Data!#REF!,Data_Val!$D$2:$D$10,0)),0,1)))</f>
        <v>#REF!</v>
      </c>
      <c r="BC14" s="12"/>
      <c r="BD14" s="20" t="e">
        <f ca="1">IF(Data!#REF!="","",IF(ISNUMBER(Data!#REF!),IF(AND(Data!#REF!&gt;(TODAY()-(Data_Val!$M$3*365.25)),Data!#REF!&lt;=(TODAY()-(Data_Val!$M$2*365.25))),0,1),1))</f>
        <v>#REF!</v>
      </c>
      <c r="BE14" s="12" t="e">
        <f>IF(Data!#REF!="","",IF(Data!$G14="",1,IF(ISNUMBER(MATCH(Data!#REF!,Data_Val!$D$2:$D$10,0)),0,1)))</f>
        <v>#REF!</v>
      </c>
      <c r="BF14" s="17"/>
      <c r="BG14" s="18" t="e">
        <f ca="1">IF(Data!#REF!="","",IF(ISNUMBER(Data!#REF!),IF(AND(Data!#REF!&gt;(TODAY()-(Data_Val!$M$3*365.25)),Data!#REF!&lt;=(TODAY()-(Data_Val!$M$2*365.25))),0,1),1))</f>
        <v>#REF!</v>
      </c>
      <c r="BH14" s="29" t="e">
        <f>IF(Data!#REF!="","",IF(Data!$G14="",1,IF(ISNUMBER(MATCH(Data!#REF!,Data_Val!$D$2:$D$10,0)),0,1)))</f>
        <v>#REF!</v>
      </c>
      <c r="BI14" s="13"/>
      <c r="BJ14" s="21" t="e">
        <f ca="1">IF(Data!#REF!="","",IF(ISNUMBER(Data!#REF!),IF(AND(Data!#REF!&gt;(TODAY()-(Data_Val!$M$3*365.25)),Data!#REF!&lt;=(TODAY()-(Data_Val!$M$2*365.25))),0,1),1))</f>
        <v>#REF!</v>
      </c>
      <c r="BK14" s="13" t="e">
        <f>IF(Data!#REF!="","",IF(Data!$G14="",1,IF(ISNUMBER(MATCH(Data!#REF!,Data_Val!$D$2:$D$10,0)),0,1)))</f>
        <v>#REF!</v>
      </c>
    </row>
    <row r="15" spans="1:63" x14ac:dyDescent="0.25">
      <c r="A15" s="9" t="str">
        <f>IF(Data!B15="","",IF(COUNTIFS(Data!A$1:'Data'!A15,Data!A15)&lt;=1,0,1))</f>
        <v/>
      </c>
      <c r="B15" s="9"/>
      <c r="C15" s="23" t="str">
        <f>IF(Data!C15="","",(IF(ISNUMBER(MATCH("*@*.?*",Data!C15,0)),0,1)+IF(COUNTIFS(Data!C$1:'Data'!C15,Data!C15)&gt;1,1,0)))</f>
        <v/>
      </c>
      <c r="D15" s="9" t="str">
        <f>IF(Data!B15="","",IF(ISNUMBER(Data!D15),IF(AND(Data!D15&gt;999999999,Data!D15&lt;=9999999999),IF(COUNTIFS(Data!D$1:'Data'!D15,Data!D15)&lt;=1,0,1),1),1))</f>
        <v/>
      </c>
      <c r="E15" s="9" t="str">
        <f>IF(Data!B15="","",IF(ISNUMBER(MATCH(Data!E15,Data_Val!$A$2:$A$3,0)),0,1))</f>
        <v/>
      </c>
      <c r="F15" s="9" t="str">
        <f ca="1">IF(Data!B15="","",IF(ISNUMBER(Data!F15),IF(AND(Data!F15&gt;(TODAY()-(Data_Val!$H$3*365.25)),Data!F15&lt;=(TODAY()-(Data_Val!$H$2*365.25))),0,1),1))</f>
        <v/>
      </c>
      <c r="G15" s="15" t="str">
        <f>IF(Data!B15="","",IF(AND(Data!G15="",Data!H15&lt;&gt;""),1,IF(Data!#REF!&lt;&gt;"",0,IF(ISNUMBER(MATCH(Data!G15,Data_Val!$C$2:$C$5,0)),0,1))))</f>
        <v/>
      </c>
      <c r="H15" s="15" t="str">
        <f>IF(Data!B15="","",IF(AND(Data!G15&lt;&gt;"",Data!H15=""),1,IF(Data!#REF!&lt;&gt;"",0,IF(Data!G15="",1,IF(ISNUMBER(MATCH(Data!H15,Data_Val!$D$2:$D$35,0)),0,1)))))</f>
        <v/>
      </c>
      <c r="I15" s="15" t="str">
        <f>IF(Data!B15="","",IF(Data!G15&lt;&gt;"",0,IF(ISNUMBER(MATCH(Data!#REF!,Data_Val!$E$2:$E$12,0)),0,1)))</f>
        <v/>
      </c>
      <c r="J15" s="16" t="e">
        <f>IF(OR(Data!B15="",Data!#REF!=""),"",IF(Data!#REF!="",1,0))</f>
        <v>#REF!</v>
      </c>
      <c r="K15" s="16" t="e">
        <f>IF(OR(Data!B15="",Data!#REF!=""),"",IF(Data!#REF!="",1,0))</f>
        <v>#REF!</v>
      </c>
      <c r="L15" s="16" t="e">
        <f>IF(OR(Data!B15="",Data!#REF!=""),"",IF(ISNUMBER(Data!#REF!),IF(AND(Data!#REF!&gt;Data_Val!$G$2,Data!#REF!&lt;=Data_Val!$G$3),0,1),1))</f>
        <v>#REF!</v>
      </c>
      <c r="M15" s="9" t="e">
        <f>IF(OR(Data!B15="",Data!#REF!=""),"",IF(ISNUMBER(MATCH(Data!#REF!,Data_Val!$F$1:$F$38,0)),0,1))</f>
        <v>#REF!</v>
      </c>
      <c r="N15" s="9" t="e">
        <f>IF(OR(Data!B15="",Data!#REF!=""),"",IF(Data!#REF!="",1,0))</f>
        <v>#REF!</v>
      </c>
      <c r="O15" s="17" t="e">
        <f>IF(Data!#REF!="","",IF(Data!#REF!="",1,0))</f>
        <v>#REF!</v>
      </c>
      <c r="P15" s="17" t="e">
        <f>IF(Data!#REF!="","",IF(ISNUMBER(MATCH(Data!#REF!,Data_Val!$A$2:$A$3,0)),0,1))</f>
        <v>#REF!</v>
      </c>
      <c r="Q15" s="25" t="e">
        <f ca="1">IF(Data!#REF!="","",IF(ISNUMBER(Data!#REF!),IF(AND(Data!#REF!&gt;(TODAY()-(Data_Val!$J$3*365.25)),Data!#REF!&lt;=(TODAY()-(Data_Val!$J$2*365.25))),0,1),1))</f>
        <v>#REF!</v>
      </c>
      <c r="R15" s="17" t="e">
        <f>IF(Data!#REF!="","",IF(ISNUMBER(MATCH(Data!#REF!,Data_Val!$B$2:$B$15,0)),0,1))</f>
        <v>#REF!</v>
      </c>
      <c r="S15" s="11" t="str">
        <f>IF(Data!G15="","",IF(Data!G15=Data_Val!$C$2,IF(Data!M15="",0,1),0))</f>
        <v/>
      </c>
      <c r="T15" s="11" t="str">
        <f>IF(Data!M15="","",IF(ISNUMBER(MATCH(Data!N15,Data_Val!$A$2:$A$3,0)),0,1))</f>
        <v/>
      </c>
      <c r="U15" s="11" t="str">
        <f ca="1">IF(Data!M15="","",IF(ISNUMBER(Data!O15),IF(AND(Data!O15&gt;(TODAY()-(Data_Val!$K$3*365.25)),Data!O15&lt;=(TODAY()-(Data_Val!$K$2*365.25))),0,1),1))</f>
        <v/>
      </c>
      <c r="V15" s="12" t="str">
        <f>IF(Data!G15="","",IF(Data!G15=Data_Val!$C$2,IF(Data!P15="",0,1),0))</f>
        <v/>
      </c>
      <c r="W15" s="12" t="str">
        <f>IF(Data!P15="","",IF(ISNUMBER(MATCH(Data!Q15,Data_Val!$A$2:$A$3,0)),0,1))</f>
        <v/>
      </c>
      <c r="X15" s="26" t="str">
        <f ca="1">IF(Data!P15="","",IF(ISNUMBER(Data!R15),IF(AND(Data!R15&gt;(TODAY()-(Data_Val!$L$3*365.25)),Data!R15&lt;=(TODAY()-(Data_Val!$L$2*365.25))),0,1),1))</f>
        <v/>
      </c>
      <c r="Y15" s="13" t="str">
        <f>IF(Data!$G15="","",IF(Data!$G15=Data_Val!$C$2,IF(Data!S15="",0,1),0))</f>
        <v/>
      </c>
      <c r="Z15" s="13" t="str">
        <f>IF(Data!S15="","",IF(ISNUMBER(MATCH(Data!T15,Data_Val!$A$2:$A$3,0)),0,1))</f>
        <v/>
      </c>
      <c r="AA15" s="28" t="str">
        <f ca="1">IF(Data!S15="","",IF(ISNUMBER(Data!U15),IF(AND(Data!U15&gt;(TODAY()-(Data_Val!$L$3*365.25)),Data!U15&lt;=(TODAY()-(Data_Val!$L$2*365.25))),0,1),1))</f>
        <v/>
      </c>
      <c r="AB15" s="11"/>
      <c r="AC15" s="11" t="e">
        <f>IF(Data!#REF!="","",IF(ISNUMBER(MATCH(Data!#REF!,Data_Val!$A$2:$A$3,0)),0,1))</f>
        <v>#REF!</v>
      </c>
      <c r="AD15" s="11" t="e">
        <f ca="1">IF(Data!#REF!="","",IF(ISNUMBER(Data!#REF!),IF(AND(Data!#REF!&gt;(TODAY()-(Data_Val!$L$3*365.25)),Data!#REF!&lt;=(TODAY()-(Data_Val!$L$2*365.25))),0,1),1))</f>
        <v>#REF!</v>
      </c>
      <c r="AE15" s="11" t="e">
        <f>IF(Data!#REF!="","",IF(Data!$G15="",1,IF(ISNUMBER(MATCH(Data!#REF!,Data_Val!$D$2:$D$10,0)),0,1)))</f>
        <v>#REF!</v>
      </c>
      <c r="AF15" s="12"/>
      <c r="AG15" s="12" t="e">
        <f>IF(Data!#REF!="","",IF(ISNUMBER(MATCH(Data!#REF!,Data_Val!$A$2:$A$3,0)),0,1))</f>
        <v>#REF!</v>
      </c>
      <c r="AH15" s="26" t="e">
        <f ca="1">IF(Data!#REF!="","",IF(ISNUMBER(Data!#REF!),IF(AND(Data!#REF!&gt;(TODAY()-(Data_Val!$L$3*365.25)),Data!#REF!&lt;=(TODAY()-(Data_Val!$L$2*365.25))),0,1),1))</f>
        <v>#REF!</v>
      </c>
      <c r="AI15" s="12" t="e">
        <f>IF(Data!#REF!="","",IF(Data!$G15="",1,IF(ISNUMBER(MATCH(Data!#REF!,Data_Val!$D$2:$D$10,0)),0,1)))</f>
        <v>#REF!</v>
      </c>
      <c r="AJ15" s="17"/>
      <c r="AK15" s="17" t="e">
        <f>IF(Data!#REF!="","",IF(ISNUMBER(MATCH(Data!#REF!,Data_Val!$A$2:$A$3,0)),0,1))</f>
        <v>#REF!</v>
      </c>
      <c r="AL15" s="25" t="e">
        <f ca="1">IF(Data!#REF!="","",IF(ISNUMBER(Data!#REF!),IF(AND(Data!#REF!&gt;(TODAY()-(Data_Val!$L$3*365.25)),Data!#REF!&lt;=(TODAY()-(Data_Val!$L$2*365.25))),0,1),1))</f>
        <v>#REF!</v>
      </c>
      <c r="AM15" s="17" t="e">
        <f>IF(Data!#REF!="","",IF(Data!$G15="",1,IF(ISNUMBER(MATCH(Data!#REF!,Data_Val!$D$2:$D$10,0)),0,1)))</f>
        <v>#REF!</v>
      </c>
      <c r="AN15" s="13"/>
      <c r="AO15" s="28" t="e">
        <f ca="1">IF(Data!#REF!="","",IF(ISNUMBER(Data!#REF!),IF(AND(Data!#REF!&gt;(TODAY()-(Data_Val!$I$3*365.25)),Data!#REF!&lt;=(TODAY()-(Data_Val!$I$2*365.25))),0,1),1))</f>
        <v>#REF!</v>
      </c>
      <c r="AP15" s="13" t="e">
        <f>IF(Data!#REF!="","",IF(Data!$G15="",1,IF(ISNUMBER(MATCH(Data!#REF!,Data_Val!$D$2:$D$10,0)),0,1)))</f>
        <v>#REF!</v>
      </c>
      <c r="AQ15" s="17"/>
      <c r="AR15" s="30" t="e">
        <f ca="1">IF(Data!#REF!="","",IF(ISNUMBER(Data!#REF!),IF(AND(Data!#REF!&gt;(TODAY()-(Data_Val!$I$3*365.25)),Data!#REF!&lt;=(TODAY()-(Data_Val!$I$2*365.25))),0,1),1))</f>
        <v>#REF!</v>
      </c>
      <c r="AS15" s="31" t="e">
        <f>IF(Data!#REF!="","",IF(Data!$G15="",1,IF(ISNUMBER(MATCH(Data!#REF!,Data_Val!$D$2:$D$10,0)),0,1)))</f>
        <v>#REF!</v>
      </c>
      <c r="AT15" s="11"/>
      <c r="AU15" s="11" t="e">
        <f ca="1">IF(Data!#REF!="","",IF(ISNUMBER(Data!#REF!),IF(AND(Data!#REF!&gt;(TODAY()-(Data_Val!$I$3*365.25)),Data!#REF!&lt;=(TODAY()-(Data_Val!$I$2*365.25))),0,1),1))</f>
        <v>#REF!</v>
      </c>
      <c r="AV15" s="11" t="e">
        <f>IF(Data!#REF!="","",IF(Data!$G15="",1,IF(ISNUMBER(MATCH(Data!#REF!,Data_Val!$D$2:$D$10,0)),0,1)))</f>
        <v>#REF!</v>
      </c>
      <c r="AW15" s="12"/>
      <c r="AX15" s="26" t="e">
        <f ca="1">IF(Data!#REF!="","",IF(ISNUMBER(Data!#REF!),IF(AND(Data!#REF!&gt;(TODAY()-(Data_Val!$I$3*365.25)),Data!#REF!&lt;=(TODAY()-(Data_Val!$I$2*365.25))),0,1),1))</f>
        <v>#REF!</v>
      </c>
      <c r="AY15" s="12" t="e">
        <f>IF(Data!#REF!="","",IF(Data!$G15="",1,IF(ISNUMBER(MATCH(Data!#REF!,Data_Val!$D$2:$D$10,0)),0,1)))</f>
        <v>#REF!</v>
      </c>
      <c r="AZ15" s="11"/>
      <c r="BA15" s="19" t="e">
        <f ca="1">IF(Data!#REF!="","",IF(ISNUMBER(Data!#REF!),IF(AND(Data!#REF!&gt;(TODAY()-(Data_Val!$M$3*365.25)),Data!#REF!&lt;=(TODAY()-(Data_Val!$M$2*365.25))),0,1),1))</f>
        <v>#REF!</v>
      </c>
      <c r="BB15" s="11" t="e">
        <f>IF(Data!#REF!="","",IF(Data!$G15="",1,IF(ISNUMBER(MATCH(Data!#REF!,Data_Val!$D$2:$D$10,0)),0,1)))</f>
        <v>#REF!</v>
      </c>
      <c r="BC15" s="12"/>
      <c r="BD15" s="20" t="e">
        <f ca="1">IF(Data!#REF!="","",IF(ISNUMBER(Data!#REF!),IF(AND(Data!#REF!&gt;(TODAY()-(Data_Val!$M$3*365.25)),Data!#REF!&lt;=(TODAY()-(Data_Val!$M$2*365.25))),0,1),1))</f>
        <v>#REF!</v>
      </c>
      <c r="BE15" s="12" t="e">
        <f>IF(Data!#REF!="","",IF(Data!$G15="",1,IF(ISNUMBER(MATCH(Data!#REF!,Data_Val!$D$2:$D$10,0)),0,1)))</f>
        <v>#REF!</v>
      </c>
      <c r="BF15" s="17"/>
      <c r="BG15" s="18" t="e">
        <f ca="1">IF(Data!#REF!="","",IF(ISNUMBER(Data!#REF!),IF(AND(Data!#REF!&gt;(TODAY()-(Data_Val!$M$3*365.25)),Data!#REF!&lt;=(TODAY()-(Data_Val!$M$2*365.25))),0,1),1))</f>
        <v>#REF!</v>
      </c>
      <c r="BH15" s="29" t="e">
        <f>IF(Data!#REF!="","",IF(Data!$G15="",1,IF(ISNUMBER(MATCH(Data!#REF!,Data_Val!$D$2:$D$10,0)),0,1)))</f>
        <v>#REF!</v>
      </c>
      <c r="BI15" s="13"/>
      <c r="BJ15" s="21" t="e">
        <f ca="1">IF(Data!#REF!="","",IF(ISNUMBER(Data!#REF!),IF(AND(Data!#REF!&gt;(TODAY()-(Data_Val!$M$3*365.25)),Data!#REF!&lt;=(TODAY()-(Data_Val!$M$2*365.25))),0,1),1))</f>
        <v>#REF!</v>
      </c>
      <c r="BK15" s="13" t="e">
        <f>IF(Data!#REF!="","",IF(Data!$G15="",1,IF(ISNUMBER(MATCH(Data!#REF!,Data_Val!$D$2:$D$10,0)),0,1)))</f>
        <v>#REF!</v>
      </c>
    </row>
    <row r="16" spans="1:63" x14ac:dyDescent="0.25">
      <c r="A16" s="9" t="str">
        <f>IF(Data!B16="","",IF(COUNTIFS(Data!A$1:'Data'!A16,Data!A16)&lt;=1,0,1))</f>
        <v/>
      </c>
      <c r="B16" s="9"/>
      <c r="C16" s="23" t="str">
        <f>IF(Data!C16="","",(IF(ISNUMBER(MATCH("*@*.?*",Data!C16,0)),0,1)+IF(COUNTIFS(Data!C$1:'Data'!C16,Data!C16)&gt;1,1,0)))</f>
        <v/>
      </c>
      <c r="D16" s="9" t="str">
        <f>IF(Data!B16="","",IF(ISNUMBER(Data!D16),IF(AND(Data!D16&gt;999999999,Data!D16&lt;=9999999999),IF(COUNTIFS(Data!D$1:'Data'!D16,Data!D16)&lt;=1,0,1),1),1))</f>
        <v/>
      </c>
      <c r="E16" s="9" t="str">
        <f>IF(Data!B16="","",IF(ISNUMBER(MATCH(Data!E16,Data_Val!$A$2:$A$3,0)),0,1))</f>
        <v/>
      </c>
      <c r="F16" s="9" t="str">
        <f ca="1">IF(Data!B16="","",IF(ISNUMBER(Data!F16),IF(AND(Data!F16&gt;(TODAY()-(Data_Val!$H$3*365.25)),Data!F16&lt;=(TODAY()-(Data_Val!$H$2*365.25))),0,1),1))</f>
        <v/>
      </c>
      <c r="G16" s="15" t="str">
        <f>IF(Data!B16="","",IF(AND(Data!G16="",Data!H16&lt;&gt;""),1,IF(Data!#REF!&lt;&gt;"",0,IF(ISNUMBER(MATCH(Data!G16,Data_Val!$C$2:$C$5,0)),0,1))))</f>
        <v/>
      </c>
      <c r="H16" s="15" t="str">
        <f>IF(Data!B16="","",IF(AND(Data!G16&lt;&gt;"",Data!H16=""),1,IF(Data!#REF!&lt;&gt;"",0,IF(Data!G16="",1,IF(ISNUMBER(MATCH(Data!H16,Data_Val!$D$2:$D$35,0)),0,1)))))</f>
        <v/>
      </c>
      <c r="I16" s="15" t="str">
        <f>IF(Data!B16="","",IF(Data!G16&lt;&gt;"",0,IF(ISNUMBER(MATCH(Data!#REF!,Data_Val!$E$2:$E$12,0)),0,1)))</f>
        <v/>
      </c>
      <c r="J16" s="16" t="e">
        <f>IF(OR(Data!B16="",Data!#REF!=""),"",IF(Data!#REF!="",1,0))</f>
        <v>#REF!</v>
      </c>
      <c r="K16" s="16" t="e">
        <f>IF(OR(Data!B16="",Data!#REF!=""),"",IF(Data!#REF!="",1,0))</f>
        <v>#REF!</v>
      </c>
      <c r="L16" s="16" t="e">
        <f>IF(OR(Data!B16="",Data!#REF!=""),"",IF(ISNUMBER(Data!#REF!),IF(AND(Data!#REF!&gt;Data_Val!$G$2,Data!#REF!&lt;=Data_Val!$G$3),0,1),1))</f>
        <v>#REF!</v>
      </c>
      <c r="M16" s="9" t="e">
        <f>IF(OR(Data!B16="",Data!#REF!=""),"",IF(ISNUMBER(MATCH(Data!#REF!,Data_Val!$F$1:$F$38,0)),0,1))</f>
        <v>#REF!</v>
      </c>
      <c r="N16" s="9" t="e">
        <f>IF(OR(Data!B16="",Data!#REF!=""),"",IF(Data!#REF!="",1,0))</f>
        <v>#REF!</v>
      </c>
      <c r="O16" s="17" t="e">
        <f>IF(Data!#REF!="","",IF(Data!#REF!="",1,0))</f>
        <v>#REF!</v>
      </c>
      <c r="P16" s="17" t="e">
        <f>IF(Data!#REF!="","",IF(ISNUMBER(MATCH(Data!#REF!,Data_Val!$A$2:$A$3,0)),0,1))</f>
        <v>#REF!</v>
      </c>
      <c r="Q16" s="25" t="e">
        <f ca="1">IF(Data!#REF!="","",IF(ISNUMBER(Data!#REF!),IF(AND(Data!#REF!&gt;(TODAY()-(Data_Val!$J$3*365.25)),Data!#REF!&lt;=(TODAY()-(Data_Val!$J$2*365.25))),0,1),1))</f>
        <v>#REF!</v>
      </c>
      <c r="R16" s="17" t="e">
        <f>IF(Data!#REF!="","",IF(ISNUMBER(MATCH(Data!#REF!,Data_Val!$B$2:$B$15,0)),0,1))</f>
        <v>#REF!</v>
      </c>
      <c r="S16" s="11" t="str">
        <f>IF(Data!G16="","",IF(Data!G16=Data_Val!$C$2,IF(Data!M16="",0,1),0))</f>
        <v/>
      </c>
      <c r="T16" s="11" t="str">
        <f>IF(Data!M16="","",IF(ISNUMBER(MATCH(Data!N16,Data_Val!$A$2:$A$3,0)),0,1))</f>
        <v/>
      </c>
      <c r="U16" s="11" t="str">
        <f ca="1">IF(Data!M16="","",IF(ISNUMBER(Data!O16),IF(AND(Data!O16&gt;(TODAY()-(Data_Val!$K$3*365.25)),Data!O16&lt;=(TODAY()-(Data_Val!$K$2*365.25))),0,1),1))</f>
        <v/>
      </c>
      <c r="V16" s="12" t="str">
        <f>IF(Data!G16="","",IF(Data!G16=Data_Val!$C$2,IF(Data!P16="",0,1),0))</f>
        <v/>
      </c>
      <c r="W16" s="12" t="str">
        <f>IF(Data!P16="","",IF(ISNUMBER(MATCH(Data!Q16,Data_Val!$A$2:$A$3,0)),0,1))</f>
        <v/>
      </c>
      <c r="X16" s="26" t="str">
        <f ca="1">IF(Data!P16="","",IF(ISNUMBER(Data!R16),IF(AND(Data!R16&gt;(TODAY()-(Data_Val!$L$3*365.25)),Data!R16&lt;=(TODAY()-(Data_Val!$L$2*365.25))),0,1),1))</f>
        <v/>
      </c>
      <c r="Y16" s="13" t="str">
        <f>IF(Data!$G16="","",IF(Data!$G16=Data_Val!$C$2,IF(Data!S16="",0,1),0))</f>
        <v/>
      </c>
      <c r="Z16" s="13" t="str">
        <f>IF(Data!S16="","",IF(ISNUMBER(MATCH(Data!T16,Data_Val!$A$2:$A$3,0)),0,1))</f>
        <v/>
      </c>
      <c r="AA16" s="28" t="str">
        <f ca="1">IF(Data!S16="","",IF(ISNUMBER(Data!U16),IF(AND(Data!U16&gt;(TODAY()-(Data_Val!$L$3*365.25)),Data!U16&lt;=(TODAY()-(Data_Val!$L$2*365.25))),0,1),1))</f>
        <v/>
      </c>
      <c r="AB16" s="11"/>
      <c r="AC16" s="11" t="e">
        <f>IF(Data!#REF!="","",IF(ISNUMBER(MATCH(Data!#REF!,Data_Val!$A$2:$A$3,0)),0,1))</f>
        <v>#REF!</v>
      </c>
      <c r="AD16" s="11" t="e">
        <f ca="1">IF(Data!#REF!="","",IF(ISNUMBER(Data!#REF!),IF(AND(Data!#REF!&gt;(TODAY()-(Data_Val!$L$3*365.25)),Data!#REF!&lt;=(TODAY()-(Data_Val!$L$2*365.25))),0,1),1))</f>
        <v>#REF!</v>
      </c>
      <c r="AE16" s="11" t="e">
        <f>IF(Data!#REF!="","",IF(Data!$G16="",1,IF(ISNUMBER(MATCH(Data!#REF!,Data_Val!$D$2:$D$10,0)),0,1)))</f>
        <v>#REF!</v>
      </c>
      <c r="AF16" s="12"/>
      <c r="AG16" s="12" t="e">
        <f>IF(Data!#REF!="","",IF(ISNUMBER(MATCH(Data!#REF!,Data_Val!$A$2:$A$3,0)),0,1))</f>
        <v>#REF!</v>
      </c>
      <c r="AH16" s="26" t="e">
        <f ca="1">IF(Data!#REF!="","",IF(ISNUMBER(Data!#REF!),IF(AND(Data!#REF!&gt;(TODAY()-(Data_Val!$L$3*365.25)),Data!#REF!&lt;=(TODAY()-(Data_Val!$L$2*365.25))),0,1),1))</f>
        <v>#REF!</v>
      </c>
      <c r="AI16" s="12" t="e">
        <f>IF(Data!#REF!="","",IF(Data!$G16="",1,IF(ISNUMBER(MATCH(Data!#REF!,Data_Val!$D$2:$D$10,0)),0,1)))</f>
        <v>#REF!</v>
      </c>
      <c r="AJ16" s="17"/>
      <c r="AK16" s="17" t="e">
        <f>IF(Data!#REF!="","",IF(ISNUMBER(MATCH(Data!#REF!,Data_Val!$A$2:$A$3,0)),0,1))</f>
        <v>#REF!</v>
      </c>
      <c r="AL16" s="25" t="e">
        <f ca="1">IF(Data!#REF!="","",IF(ISNUMBER(Data!#REF!),IF(AND(Data!#REF!&gt;(TODAY()-(Data_Val!$L$3*365.25)),Data!#REF!&lt;=(TODAY()-(Data_Val!$L$2*365.25))),0,1),1))</f>
        <v>#REF!</v>
      </c>
      <c r="AM16" s="17" t="e">
        <f>IF(Data!#REF!="","",IF(Data!$G16="",1,IF(ISNUMBER(MATCH(Data!#REF!,Data_Val!$D$2:$D$10,0)),0,1)))</f>
        <v>#REF!</v>
      </c>
      <c r="AN16" s="13"/>
      <c r="AO16" s="28" t="e">
        <f ca="1">IF(Data!#REF!="","",IF(ISNUMBER(Data!#REF!),IF(AND(Data!#REF!&gt;(TODAY()-(Data_Val!$I$3*365.25)),Data!#REF!&lt;=(TODAY()-(Data_Val!$I$2*365.25))),0,1),1))</f>
        <v>#REF!</v>
      </c>
      <c r="AP16" s="13" t="e">
        <f>IF(Data!#REF!="","",IF(Data!$G16="",1,IF(ISNUMBER(MATCH(Data!#REF!,Data_Val!$D$2:$D$10,0)),0,1)))</f>
        <v>#REF!</v>
      </c>
      <c r="AQ16" s="17"/>
      <c r="AR16" s="30" t="e">
        <f ca="1">IF(Data!#REF!="","",IF(ISNUMBER(Data!#REF!),IF(AND(Data!#REF!&gt;(TODAY()-(Data_Val!$I$3*365.25)),Data!#REF!&lt;=(TODAY()-(Data_Val!$I$2*365.25))),0,1),1))</f>
        <v>#REF!</v>
      </c>
      <c r="AS16" s="31" t="e">
        <f>IF(Data!#REF!="","",IF(Data!$G16="",1,IF(ISNUMBER(MATCH(Data!#REF!,Data_Val!$D$2:$D$10,0)),0,1)))</f>
        <v>#REF!</v>
      </c>
      <c r="AT16" s="11"/>
      <c r="AU16" s="11" t="e">
        <f ca="1">IF(Data!#REF!="","",IF(ISNUMBER(Data!#REF!),IF(AND(Data!#REF!&gt;(TODAY()-(Data_Val!$I$3*365.25)),Data!#REF!&lt;=(TODAY()-(Data_Val!$I$2*365.25))),0,1),1))</f>
        <v>#REF!</v>
      </c>
      <c r="AV16" s="11" t="e">
        <f>IF(Data!#REF!="","",IF(Data!$G16="",1,IF(ISNUMBER(MATCH(Data!#REF!,Data_Val!$D$2:$D$10,0)),0,1)))</f>
        <v>#REF!</v>
      </c>
      <c r="AW16" s="12"/>
      <c r="AX16" s="26" t="e">
        <f ca="1">IF(Data!#REF!="","",IF(ISNUMBER(Data!#REF!),IF(AND(Data!#REF!&gt;(TODAY()-(Data_Val!$I$3*365.25)),Data!#REF!&lt;=(TODAY()-(Data_Val!$I$2*365.25))),0,1),1))</f>
        <v>#REF!</v>
      </c>
      <c r="AY16" s="12" t="e">
        <f>IF(Data!#REF!="","",IF(Data!$G16="",1,IF(ISNUMBER(MATCH(Data!#REF!,Data_Val!$D$2:$D$10,0)),0,1)))</f>
        <v>#REF!</v>
      </c>
      <c r="AZ16" s="11"/>
      <c r="BA16" s="19" t="e">
        <f ca="1">IF(Data!#REF!="","",IF(ISNUMBER(Data!#REF!),IF(AND(Data!#REF!&gt;(TODAY()-(Data_Val!$M$3*365.25)),Data!#REF!&lt;=(TODAY()-(Data_Val!$M$2*365.25))),0,1),1))</f>
        <v>#REF!</v>
      </c>
      <c r="BB16" s="11" t="e">
        <f>IF(Data!#REF!="","",IF(Data!$G16="",1,IF(ISNUMBER(MATCH(Data!#REF!,Data_Val!$D$2:$D$10,0)),0,1)))</f>
        <v>#REF!</v>
      </c>
      <c r="BC16" s="12"/>
      <c r="BD16" s="20" t="e">
        <f ca="1">IF(Data!#REF!="","",IF(ISNUMBER(Data!#REF!),IF(AND(Data!#REF!&gt;(TODAY()-(Data_Val!$M$3*365.25)),Data!#REF!&lt;=(TODAY()-(Data_Val!$M$2*365.25))),0,1),1))</f>
        <v>#REF!</v>
      </c>
      <c r="BE16" s="12" t="e">
        <f>IF(Data!#REF!="","",IF(Data!$G16="",1,IF(ISNUMBER(MATCH(Data!#REF!,Data_Val!$D$2:$D$10,0)),0,1)))</f>
        <v>#REF!</v>
      </c>
      <c r="BF16" s="17"/>
      <c r="BG16" s="18" t="e">
        <f ca="1">IF(Data!#REF!="","",IF(ISNUMBER(Data!#REF!),IF(AND(Data!#REF!&gt;(TODAY()-(Data_Val!$M$3*365.25)),Data!#REF!&lt;=(TODAY()-(Data_Val!$M$2*365.25))),0,1),1))</f>
        <v>#REF!</v>
      </c>
      <c r="BH16" s="29" t="e">
        <f>IF(Data!#REF!="","",IF(Data!$G16="",1,IF(ISNUMBER(MATCH(Data!#REF!,Data_Val!$D$2:$D$10,0)),0,1)))</f>
        <v>#REF!</v>
      </c>
      <c r="BI16" s="13"/>
      <c r="BJ16" s="21" t="e">
        <f ca="1">IF(Data!#REF!="","",IF(ISNUMBER(Data!#REF!),IF(AND(Data!#REF!&gt;(TODAY()-(Data_Val!$M$3*365.25)),Data!#REF!&lt;=(TODAY()-(Data_Val!$M$2*365.25))),0,1),1))</f>
        <v>#REF!</v>
      </c>
      <c r="BK16" s="13" t="e">
        <f>IF(Data!#REF!="","",IF(Data!$G16="",1,IF(ISNUMBER(MATCH(Data!#REF!,Data_Val!$D$2:$D$10,0)),0,1)))</f>
        <v>#REF!</v>
      </c>
    </row>
    <row r="17" spans="1:63" x14ac:dyDescent="0.25">
      <c r="A17" s="9" t="str">
        <f>IF(Data!B17="","",IF(COUNTIFS(Data!A$1:'Data'!A17,Data!A17)&lt;=1,0,1))</f>
        <v/>
      </c>
      <c r="B17" s="9"/>
      <c r="C17" s="23" t="str">
        <f>IF(Data!C17="","",(IF(ISNUMBER(MATCH("*@*.?*",Data!C17,0)),0,1)+IF(COUNTIFS(Data!C$1:'Data'!C17,Data!C17)&gt;1,1,0)))</f>
        <v/>
      </c>
      <c r="D17" s="9" t="str">
        <f>IF(Data!B17="","",IF(ISNUMBER(Data!D17),IF(AND(Data!D17&gt;999999999,Data!D17&lt;=9999999999),IF(COUNTIFS(Data!D$1:'Data'!D17,Data!D17)&lt;=1,0,1),1),1))</f>
        <v/>
      </c>
      <c r="E17" s="9" t="str">
        <f>IF(Data!B17="","",IF(ISNUMBER(MATCH(Data!E17,Data_Val!$A$2:$A$3,0)),0,1))</f>
        <v/>
      </c>
      <c r="F17" s="9" t="str">
        <f ca="1">IF(Data!B17="","",IF(ISNUMBER(Data!F17),IF(AND(Data!F17&gt;(TODAY()-(Data_Val!$H$3*365.25)),Data!F17&lt;=(TODAY()-(Data_Val!$H$2*365.25))),0,1),1))</f>
        <v/>
      </c>
      <c r="G17" s="15" t="str">
        <f>IF(Data!B17="","",IF(AND(Data!G17="",Data!H17&lt;&gt;""),1,IF(Data!#REF!&lt;&gt;"",0,IF(ISNUMBER(MATCH(Data!G17,Data_Val!$C$2:$C$5,0)),0,1))))</f>
        <v/>
      </c>
      <c r="H17" s="15" t="str">
        <f>IF(Data!B17="","",IF(AND(Data!G17&lt;&gt;"",Data!H17=""),1,IF(Data!#REF!&lt;&gt;"",0,IF(Data!G17="",1,IF(ISNUMBER(MATCH(Data!H17,Data_Val!$D$2:$D$35,0)),0,1)))))</f>
        <v/>
      </c>
      <c r="I17" s="15" t="str">
        <f>IF(Data!B17="","",IF(Data!G17&lt;&gt;"",0,IF(ISNUMBER(MATCH(Data!#REF!,Data_Val!$E$2:$E$12,0)),0,1)))</f>
        <v/>
      </c>
      <c r="J17" s="16" t="e">
        <f>IF(OR(Data!B17="",Data!#REF!=""),"",IF(Data!#REF!="",1,0))</f>
        <v>#REF!</v>
      </c>
      <c r="K17" s="16" t="e">
        <f>IF(OR(Data!B17="",Data!#REF!=""),"",IF(Data!#REF!="",1,0))</f>
        <v>#REF!</v>
      </c>
      <c r="L17" s="16" t="e">
        <f>IF(OR(Data!B17="",Data!#REF!=""),"",IF(ISNUMBER(Data!#REF!),IF(AND(Data!#REF!&gt;Data_Val!$G$2,Data!#REF!&lt;=Data_Val!$G$3),0,1),1))</f>
        <v>#REF!</v>
      </c>
      <c r="M17" s="9" t="e">
        <f>IF(OR(Data!B17="",Data!#REF!=""),"",IF(ISNUMBER(MATCH(Data!#REF!,Data_Val!$F$1:$F$38,0)),0,1))</f>
        <v>#REF!</v>
      </c>
      <c r="N17" s="9" t="e">
        <f>IF(OR(Data!B17="",Data!#REF!=""),"",IF(Data!#REF!="",1,0))</f>
        <v>#REF!</v>
      </c>
      <c r="O17" s="17" t="e">
        <f>IF(Data!#REF!="","",IF(Data!#REF!="",1,0))</f>
        <v>#REF!</v>
      </c>
      <c r="P17" s="17" t="e">
        <f>IF(Data!#REF!="","",IF(ISNUMBER(MATCH(Data!#REF!,Data_Val!$A$2:$A$3,0)),0,1))</f>
        <v>#REF!</v>
      </c>
      <c r="Q17" s="25" t="e">
        <f ca="1">IF(Data!#REF!="","",IF(ISNUMBER(Data!#REF!),IF(AND(Data!#REF!&gt;(TODAY()-(Data_Val!$J$3*365.25)),Data!#REF!&lt;=(TODAY()-(Data_Val!$J$2*365.25))),0,1),1))</f>
        <v>#REF!</v>
      </c>
      <c r="R17" s="17" t="e">
        <f>IF(Data!#REF!="","",IF(ISNUMBER(MATCH(Data!#REF!,Data_Val!$B$2:$B$15,0)),0,1))</f>
        <v>#REF!</v>
      </c>
      <c r="S17" s="11" t="str">
        <f>IF(Data!G17="","",IF(Data!G17=Data_Val!$C$2,IF(Data!M17="",0,1),0))</f>
        <v/>
      </c>
      <c r="T17" s="11" t="str">
        <f>IF(Data!M17="","",IF(ISNUMBER(MATCH(Data!N17,Data_Val!$A$2:$A$3,0)),0,1))</f>
        <v/>
      </c>
      <c r="U17" s="11" t="str">
        <f ca="1">IF(Data!M17="","",IF(ISNUMBER(Data!O17),IF(AND(Data!O17&gt;(TODAY()-(Data_Val!$K$3*365.25)),Data!O17&lt;=(TODAY()-(Data_Val!$K$2*365.25))),0,1),1))</f>
        <v/>
      </c>
      <c r="V17" s="12" t="str">
        <f>IF(Data!G17="","",IF(Data!G17=Data_Val!$C$2,IF(Data!P17="",0,1),0))</f>
        <v/>
      </c>
      <c r="W17" s="12" t="str">
        <f>IF(Data!P17="","",IF(ISNUMBER(MATCH(Data!Q17,Data_Val!$A$2:$A$3,0)),0,1))</f>
        <v/>
      </c>
      <c r="X17" s="26" t="str">
        <f ca="1">IF(Data!P17="","",IF(ISNUMBER(Data!R17),IF(AND(Data!R17&gt;(TODAY()-(Data_Val!$L$3*365.25)),Data!R17&lt;=(TODAY()-(Data_Val!$L$2*365.25))),0,1),1))</f>
        <v/>
      </c>
      <c r="Y17" s="13" t="str">
        <f>IF(Data!$G17="","",IF(Data!$G17=Data_Val!$C$2,IF(Data!S17="",0,1),0))</f>
        <v/>
      </c>
      <c r="Z17" s="13" t="str">
        <f>IF(Data!S17="","",IF(ISNUMBER(MATCH(Data!T17,Data_Val!$A$2:$A$3,0)),0,1))</f>
        <v/>
      </c>
      <c r="AA17" s="28" t="str">
        <f ca="1">IF(Data!S17="","",IF(ISNUMBER(Data!U17),IF(AND(Data!U17&gt;(TODAY()-(Data_Val!$L$3*365.25)),Data!U17&lt;=(TODAY()-(Data_Val!$L$2*365.25))),0,1),1))</f>
        <v/>
      </c>
      <c r="AB17" s="11"/>
      <c r="AC17" s="11" t="e">
        <f>IF(Data!#REF!="","",IF(ISNUMBER(MATCH(Data!#REF!,Data_Val!$A$2:$A$3,0)),0,1))</f>
        <v>#REF!</v>
      </c>
      <c r="AD17" s="11" t="e">
        <f ca="1">IF(Data!#REF!="","",IF(ISNUMBER(Data!#REF!),IF(AND(Data!#REF!&gt;(TODAY()-(Data_Val!$L$3*365.25)),Data!#REF!&lt;=(TODAY()-(Data_Val!$L$2*365.25))),0,1),1))</f>
        <v>#REF!</v>
      </c>
      <c r="AE17" s="11" t="e">
        <f>IF(Data!#REF!="","",IF(Data!$G17="",1,IF(ISNUMBER(MATCH(Data!#REF!,Data_Val!$D$2:$D$10,0)),0,1)))</f>
        <v>#REF!</v>
      </c>
      <c r="AF17" s="12"/>
      <c r="AG17" s="12" t="e">
        <f>IF(Data!#REF!="","",IF(ISNUMBER(MATCH(Data!#REF!,Data_Val!$A$2:$A$3,0)),0,1))</f>
        <v>#REF!</v>
      </c>
      <c r="AH17" s="26" t="e">
        <f ca="1">IF(Data!#REF!="","",IF(ISNUMBER(Data!#REF!),IF(AND(Data!#REF!&gt;(TODAY()-(Data_Val!$L$3*365.25)),Data!#REF!&lt;=(TODAY()-(Data_Val!$L$2*365.25))),0,1),1))</f>
        <v>#REF!</v>
      </c>
      <c r="AI17" s="12" t="e">
        <f>IF(Data!#REF!="","",IF(Data!$G17="",1,IF(ISNUMBER(MATCH(Data!#REF!,Data_Val!$D$2:$D$10,0)),0,1)))</f>
        <v>#REF!</v>
      </c>
      <c r="AJ17" s="17"/>
      <c r="AK17" s="17" t="e">
        <f>IF(Data!#REF!="","",IF(ISNUMBER(MATCH(Data!#REF!,Data_Val!$A$2:$A$3,0)),0,1))</f>
        <v>#REF!</v>
      </c>
      <c r="AL17" s="25" t="e">
        <f ca="1">IF(Data!#REF!="","",IF(ISNUMBER(Data!#REF!),IF(AND(Data!#REF!&gt;(TODAY()-(Data_Val!$L$3*365.25)),Data!#REF!&lt;=(TODAY()-(Data_Val!$L$2*365.25))),0,1),1))</f>
        <v>#REF!</v>
      </c>
      <c r="AM17" s="17" t="e">
        <f>IF(Data!#REF!="","",IF(Data!$G17="",1,IF(ISNUMBER(MATCH(Data!#REF!,Data_Val!$D$2:$D$10,0)),0,1)))</f>
        <v>#REF!</v>
      </c>
      <c r="AN17" s="13"/>
      <c r="AO17" s="28" t="e">
        <f ca="1">IF(Data!#REF!="","",IF(ISNUMBER(Data!#REF!),IF(AND(Data!#REF!&gt;(TODAY()-(Data_Val!$I$3*365.25)),Data!#REF!&lt;=(TODAY()-(Data_Val!$I$2*365.25))),0,1),1))</f>
        <v>#REF!</v>
      </c>
      <c r="AP17" s="13" t="e">
        <f>IF(Data!#REF!="","",IF(Data!$G17="",1,IF(ISNUMBER(MATCH(Data!#REF!,Data_Val!$D$2:$D$10,0)),0,1)))</f>
        <v>#REF!</v>
      </c>
      <c r="AQ17" s="17"/>
      <c r="AR17" s="30" t="e">
        <f ca="1">IF(Data!#REF!="","",IF(ISNUMBER(Data!#REF!),IF(AND(Data!#REF!&gt;(TODAY()-(Data_Val!$I$3*365.25)),Data!#REF!&lt;=(TODAY()-(Data_Val!$I$2*365.25))),0,1),1))</f>
        <v>#REF!</v>
      </c>
      <c r="AS17" s="31" t="e">
        <f>IF(Data!#REF!="","",IF(Data!$G17="",1,IF(ISNUMBER(MATCH(Data!#REF!,Data_Val!$D$2:$D$10,0)),0,1)))</f>
        <v>#REF!</v>
      </c>
      <c r="AT17" s="11"/>
      <c r="AU17" s="11" t="e">
        <f ca="1">IF(Data!#REF!="","",IF(ISNUMBER(Data!#REF!),IF(AND(Data!#REF!&gt;(TODAY()-(Data_Val!$I$3*365.25)),Data!#REF!&lt;=(TODAY()-(Data_Val!$I$2*365.25))),0,1),1))</f>
        <v>#REF!</v>
      </c>
      <c r="AV17" s="11" t="e">
        <f>IF(Data!#REF!="","",IF(Data!$G17="",1,IF(ISNUMBER(MATCH(Data!#REF!,Data_Val!$D$2:$D$10,0)),0,1)))</f>
        <v>#REF!</v>
      </c>
      <c r="AW17" s="12"/>
      <c r="AX17" s="26" t="e">
        <f ca="1">IF(Data!#REF!="","",IF(ISNUMBER(Data!#REF!),IF(AND(Data!#REF!&gt;(TODAY()-(Data_Val!$I$3*365.25)),Data!#REF!&lt;=(TODAY()-(Data_Val!$I$2*365.25))),0,1),1))</f>
        <v>#REF!</v>
      </c>
      <c r="AY17" s="12" t="e">
        <f>IF(Data!#REF!="","",IF(Data!$G17="",1,IF(ISNUMBER(MATCH(Data!#REF!,Data_Val!$D$2:$D$10,0)),0,1)))</f>
        <v>#REF!</v>
      </c>
      <c r="AZ17" s="11"/>
      <c r="BA17" s="19" t="e">
        <f ca="1">IF(Data!#REF!="","",IF(ISNUMBER(Data!#REF!),IF(AND(Data!#REF!&gt;(TODAY()-(Data_Val!$M$3*365.25)),Data!#REF!&lt;=(TODAY()-(Data_Val!$M$2*365.25))),0,1),1))</f>
        <v>#REF!</v>
      </c>
      <c r="BB17" s="11" t="e">
        <f>IF(Data!#REF!="","",IF(Data!$G17="",1,IF(ISNUMBER(MATCH(Data!#REF!,Data_Val!$D$2:$D$10,0)),0,1)))</f>
        <v>#REF!</v>
      </c>
      <c r="BC17" s="12"/>
      <c r="BD17" s="20" t="e">
        <f ca="1">IF(Data!#REF!="","",IF(ISNUMBER(Data!#REF!),IF(AND(Data!#REF!&gt;(TODAY()-(Data_Val!$M$3*365.25)),Data!#REF!&lt;=(TODAY()-(Data_Val!$M$2*365.25))),0,1),1))</f>
        <v>#REF!</v>
      </c>
      <c r="BE17" s="12" t="e">
        <f>IF(Data!#REF!="","",IF(Data!$G17="",1,IF(ISNUMBER(MATCH(Data!#REF!,Data_Val!$D$2:$D$10,0)),0,1)))</f>
        <v>#REF!</v>
      </c>
      <c r="BF17" s="17"/>
      <c r="BG17" s="18" t="e">
        <f ca="1">IF(Data!#REF!="","",IF(ISNUMBER(Data!#REF!),IF(AND(Data!#REF!&gt;(TODAY()-(Data_Val!$M$3*365.25)),Data!#REF!&lt;=(TODAY()-(Data_Val!$M$2*365.25))),0,1),1))</f>
        <v>#REF!</v>
      </c>
      <c r="BH17" s="29" t="e">
        <f>IF(Data!#REF!="","",IF(Data!$G17="",1,IF(ISNUMBER(MATCH(Data!#REF!,Data_Val!$D$2:$D$10,0)),0,1)))</f>
        <v>#REF!</v>
      </c>
      <c r="BI17" s="13"/>
      <c r="BJ17" s="21" t="e">
        <f ca="1">IF(Data!#REF!="","",IF(ISNUMBER(Data!#REF!),IF(AND(Data!#REF!&gt;(TODAY()-(Data_Val!$M$3*365.25)),Data!#REF!&lt;=(TODAY()-(Data_Val!$M$2*365.25))),0,1),1))</f>
        <v>#REF!</v>
      </c>
      <c r="BK17" s="13" t="e">
        <f>IF(Data!#REF!="","",IF(Data!$G17="",1,IF(ISNUMBER(MATCH(Data!#REF!,Data_Val!$D$2:$D$10,0)),0,1)))</f>
        <v>#REF!</v>
      </c>
    </row>
    <row r="18" spans="1:63" x14ac:dyDescent="0.25">
      <c r="A18" s="9" t="str">
        <f>IF(Data!B18="","",IF(COUNTIFS(Data!A$1:'Data'!A18,Data!A18)&lt;=1,0,1))</f>
        <v/>
      </c>
      <c r="B18" s="9"/>
      <c r="C18" s="23" t="str">
        <f>IF(Data!C18="","",(IF(ISNUMBER(MATCH("*@*.?*",Data!C18,0)),0,1)+IF(COUNTIFS(Data!C$1:'Data'!C18,Data!C18)&gt;1,1,0)))</f>
        <v/>
      </c>
      <c r="D18" s="9" t="str">
        <f>IF(Data!B18="","",IF(ISNUMBER(Data!D18),IF(AND(Data!D18&gt;999999999,Data!D18&lt;=9999999999),IF(COUNTIFS(Data!D$1:'Data'!D18,Data!D18)&lt;=1,0,1),1),1))</f>
        <v/>
      </c>
      <c r="E18" s="9" t="str">
        <f>IF(Data!B18="","",IF(ISNUMBER(MATCH(Data!E18,Data_Val!$A$2:$A$3,0)),0,1))</f>
        <v/>
      </c>
      <c r="F18" s="9" t="str">
        <f ca="1">IF(Data!B18="","",IF(ISNUMBER(Data!F18),IF(AND(Data!F18&gt;(TODAY()-(Data_Val!$H$3*365.25)),Data!F18&lt;=(TODAY()-(Data_Val!$H$2*365.25))),0,1),1))</f>
        <v/>
      </c>
      <c r="G18" s="15" t="str">
        <f>IF(Data!B18="","",IF(AND(Data!G18="",Data!H18&lt;&gt;""),1,IF(Data!#REF!&lt;&gt;"",0,IF(ISNUMBER(MATCH(Data!G18,Data_Val!$C$2:$C$5,0)),0,1))))</f>
        <v/>
      </c>
      <c r="H18" s="15" t="str">
        <f>IF(Data!B18="","",IF(AND(Data!G18&lt;&gt;"",Data!H18=""),1,IF(Data!#REF!&lt;&gt;"",0,IF(Data!G18="",1,IF(ISNUMBER(MATCH(Data!H18,Data_Val!$D$2:$D$35,0)),0,1)))))</f>
        <v/>
      </c>
      <c r="I18" s="15" t="str">
        <f>IF(Data!B18="","",IF(Data!G18&lt;&gt;"",0,IF(ISNUMBER(MATCH(Data!#REF!,Data_Val!$E$2:$E$12,0)),0,1)))</f>
        <v/>
      </c>
      <c r="J18" s="16" t="e">
        <f>IF(OR(Data!B18="",Data!#REF!=""),"",IF(Data!#REF!="",1,0))</f>
        <v>#REF!</v>
      </c>
      <c r="K18" s="16" t="e">
        <f>IF(OR(Data!B18="",Data!#REF!=""),"",IF(Data!#REF!="",1,0))</f>
        <v>#REF!</v>
      </c>
      <c r="L18" s="16" t="e">
        <f>IF(OR(Data!B18="",Data!#REF!=""),"",IF(ISNUMBER(Data!#REF!),IF(AND(Data!#REF!&gt;Data_Val!$G$2,Data!#REF!&lt;=Data_Val!$G$3),0,1),1))</f>
        <v>#REF!</v>
      </c>
      <c r="M18" s="9" t="e">
        <f>IF(OR(Data!B18="",Data!#REF!=""),"",IF(ISNUMBER(MATCH(Data!#REF!,Data_Val!$F$1:$F$38,0)),0,1))</f>
        <v>#REF!</v>
      </c>
      <c r="N18" s="9" t="e">
        <f>IF(OR(Data!B18="",Data!#REF!=""),"",IF(Data!#REF!="",1,0))</f>
        <v>#REF!</v>
      </c>
      <c r="O18" s="17" t="e">
        <f>IF(Data!#REF!="","",IF(Data!#REF!="",1,0))</f>
        <v>#REF!</v>
      </c>
      <c r="P18" s="17" t="e">
        <f>IF(Data!#REF!="","",IF(ISNUMBER(MATCH(Data!#REF!,Data_Val!$A$2:$A$3,0)),0,1))</f>
        <v>#REF!</v>
      </c>
      <c r="Q18" s="25" t="e">
        <f ca="1">IF(Data!#REF!="","",IF(ISNUMBER(Data!#REF!),IF(AND(Data!#REF!&gt;(TODAY()-(Data_Val!$J$3*365.25)),Data!#REF!&lt;=(TODAY()-(Data_Val!$J$2*365.25))),0,1),1))</f>
        <v>#REF!</v>
      </c>
      <c r="R18" s="17" t="e">
        <f>IF(Data!#REF!="","",IF(ISNUMBER(MATCH(Data!#REF!,Data_Val!$B$2:$B$15,0)),0,1))</f>
        <v>#REF!</v>
      </c>
      <c r="S18" s="11" t="str">
        <f>IF(Data!G18="","",IF(Data!G18=Data_Val!$C$2,IF(Data!M18="",0,1),0))</f>
        <v/>
      </c>
      <c r="T18" s="11" t="str">
        <f>IF(Data!M18="","",IF(ISNUMBER(MATCH(Data!N18,Data_Val!$A$2:$A$3,0)),0,1))</f>
        <v/>
      </c>
      <c r="U18" s="11" t="str">
        <f ca="1">IF(Data!M18="","",IF(ISNUMBER(Data!O18),IF(AND(Data!O18&gt;(TODAY()-(Data_Val!$K$3*365.25)),Data!O18&lt;=(TODAY()-(Data_Val!$K$2*365.25))),0,1),1))</f>
        <v/>
      </c>
      <c r="V18" s="12" t="str">
        <f>IF(Data!G18="","",IF(Data!G18=Data_Val!$C$2,IF(Data!P18="",0,1),0))</f>
        <v/>
      </c>
      <c r="W18" s="12" t="str">
        <f>IF(Data!P18="","",IF(ISNUMBER(MATCH(Data!Q18,Data_Val!$A$2:$A$3,0)),0,1))</f>
        <v/>
      </c>
      <c r="X18" s="26" t="str">
        <f ca="1">IF(Data!P18="","",IF(ISNUMBER(Data!R18),IF(AND(Data!R18&gt;(TODAY()-(Data_Val!$L$3*365.25)),Data!R18&lt;=(TODAY()-(Data_Val!$L$2*365.25))),0,1),1))</f>
        <v/>
      </c>
      <c r="Y18" s="13" t="str">
        <f>IF(Data!$G18="","",IF(Data!$G18=Data_Val!$C$2,IF(Data!S18="",0,1),0))</f>
        <v/>
      </c>
      <c r="Z18" s="13" t="str">
        <f>IF(Data!S18="","",IF(ISNUMBER(MATCH(Data!T18,Data_Val!$A$2:$A$3,0)),0,1))</f>
        <v/>
      </c>
      <c r="AA18" s="28" t="str">
        <f ca="1">IF(Data!S18="","",IF(ISNUMBER(Data!U18),IF(AND(Data!U18&gt;(TODAY()-(Data_Val!$L$3*365.25)),Data!U18&lt;=(TODAY()-(Data_Val!$L$2*365.25))),0,1),1))</f>
        <v/>
      </c>
      <c r="AB18" s="11"/>
      <c r="AC18" s="11" t="e">
        <f>IF(Data!#REF!="","",IF(ISNUMBER(MATCH(Data!#REF!,Data_Val!$A$2:$A$3,0)),0,1))</f>
        <v>#REF!</v>
      </c>
      <c r="AD18" s="11" t="e">
        <f ca="1">IF(Data!#REF!="","",IF(ISNUMBER(Data!#REF!),IF(AND(Data!#REF!&gt;(TODAY()-(Data_Val!$L$3*365.25)),Data!#REF!&lt;=(TODAY()-(Data_Val!$L$2*365.25))),0,1),1))</f>
        <v>#REF!</v>
      </c>
      <c r="AE18" s="11" t="e">
        <f>IF(Data!#REF!="","",IF(Data!$G18="",1,IF(ISNUMBER(MATCH(Data!#REF!,Data_Val!$D$2:$D$10,0)),0,1)))</f>
        <v>#REF!</v>
      </c>
      <c r="AF18" s="12"/>
      <c r="AG18" s="12" t="e">
        <f>IF(Data!#REF!="","",IF(ISNUMBER(MATCH(Data!#REF!,Data_Val!$A$2:$A$3,0)),0,1))</f>
        <v>#REF!</v>
      </c>
      <c r="AH18" s="26" t="e">
        <f ca="1">IF(Data!#REF!="","",IF(ISNUMBER(Data!#REF!),IF(AND(Data!#REF!&gt;(TODAY()-(Data_Val!$L$3*365.25)),Data!#REF!&lt;=(TODAY()-(Data_Val!$L$2*365.25))),0,1),1))</f>
        <v>#REF!</v>
      </c>
      <c r="AI18" s="12" t="e">
        <f>IF(Data!#REF!="","",IF(Data!$G18="",1,IF(ISNUMBER(MATCH(Data!#REF!,Data_Val!$D$2:$D$10,0)),0,1)))</f>
        <v>#REF!</v>
      </c>
      <c r="AJ18" s="17"/>
      <c r="AK18" s="17" t="e">
        <f>IF(Data!#REF!="","",IF(ISNUMBER(MATCH(Data!#REF!,Data_Val!$A$2:$A$3,0)),0,1))</f>
        <v>#REF!</v>
      </c>
      <c r="AL18" s="25" t="e">
        <f ca="1">IF(Data!#REF!="","",IF(ISNUMBER(Data!#REF!),IF(AND(Data!#REF!&gt;(TODAY()-(Data_Val!$L$3*365.25)),Data!#REF!&lt;=(TODAY()-(Data_Val!$L$2*365.25))),0,1),1))</f>
        <v>#REF!</v>
      </c>
      <c r="AM18" s="17" t="e">
        <f>IF(Data!#REF!="","",IF(Data!$G18="",1,IF(ISNUMBER(MATCH(Data!#REF!,Data_Val!$D$2:$D$10,0)),0,1)))</f>
        <v>#REF!</v>
      </c>
      <c r="AN18" s="13"/>
      <c r="AO18" s="28" t="e">
        <f ca="1">IF(Data!#REF!="","",IF(ISNUMBER(Data!#REF!),IF(AND(Data!#REF!&gt;(TODAY()-(Data_Val!$I$3*365.25)),Data!#REF!&lt;=(TODAY()-(Data_Val!$I$2*365.25))),0,1),1))</f>
        <v>#REF!</v>
      </c>
      <c r="AP18" s="13" t="e">
        <f>IF(Data!#REF!="","",IF(Data!$G18="",1,IF(ISNUMBER(MATCH(Data!#REF!,Data_Val!$D$2:$D$10,0)),0,1)))</f>
        <v>#REF!</v>
      </c>
      <c r="AQ18" s="17"/>
      <c r="AR18" s="30" t="e">
        <f ca="1">IF(Data!#REF!="","",IF(ISNUMBER(Data!#REF!),IF(AND(Data!#REF!&gt;(TODAY()-(Data_Val!$I$3*365.25)),Data!#REF!&lt;=(TODAY()-(Data_Val!$I$2*365.25))),0,1),1))</f>
        <v>#REF!</v>
      </c>
      <c r="AS18" s="31" t="e">
        <f>IF(Data!#REF!="","",IF(Data!$G18="",1,IF(ISNUMBER(MATCH(Data!#REF!,Data_Val!$D$2:$D$10,0)),0,1)))</f>
        <v>#REF!</v>
      </c>
      <c r="AT18" s="11"/>
      <c r="AU18" s="11" t="e">
        <f ca="1">IF(Data!#REF!="","",IF(ISNUMBER(Data!#REF!),IF(AND(Data!#REF!&gt;(TODAY()-(Data_Val!$I$3*365.25)),Data!#REF!&lt;=(TODAY()-(Data_Val!$I$2*365.25))),0,1),1))</f>
        <v>#REF!</v>
      </c>
      <c r="AV18" s="11" t="e">
        <f>IF(Data!#REF!="","",IF(Data!$G18="",1,IF(ISNUMBER(MATCH(Data!#REF!,Data_Val!$D$2:$D$10,0)),0,1)))</f>
        <v>#REF!</v>
      </c>
      <c r="AW18" s="12"/>
      <c r="AX18" s="26" t="e">
        <f ca="1">IF(Data!#REF!="","",IF(ISNUMBER(Data!#REF!),IF(AND(Data!#REF!&gt;(TODAY()-(Data_Val!$I$3*365.25)),Data!#REF!&lt;=(TODAY()-(Data_Val!$I$2*365.25))),0,1),1))</f>
        <v>#REF!</v>
      </c>
      <c r="AY18" s="12" t="e">
        <f>IF(Data!#REF!="","",IF(Data!$G18="",1,IF(ISNUMBER(MATCH(Data!#REF!,Data_Val!$D$2:$D$10,0)),0,1)))</f>
        <v>#REF!</v>
      </c>
      <c r="AZ18" s="11"/>
      <c r="BA18" s="19" t="e">
        <f ca="1">IF(Data!#REF!="","",IF(ISNUMBER(Data!#REF!),IF(AND(Data!#REF!&gt;(TODAY()-(Data_Val!$M$3*365.25)),Data!#REF!&lt;=(TODAY()-(Data_Val!$M$2*365.25))),0,1),1))</f>
        <v>#REF!</v>
      </c>
      <c r="BB18" s="11" t="e">
        <f>IF(Data!#REF!="","",IF(Data!$G18="",1,IF(ISNUMBER(MATCH(Data!#REF!,Data_Val!$D$2:$D$10,0)),0,1)))</f>
        <v>#REF!</v>
      </c>
      <c r="BC18" s="12"/>
      <c r="BD18" s="20" t="e">
        <f ca="1">IF(Data!#REF!="","",IF(ISNUMBER(Data!#REF!),IF(AND(Data!#REF!&gt;(TODAY()-(Data_Val!$M$3*365.25)),Data!#REF!&lt;=(TODAY()-(Data_Val!$M$2*365.25))),0,1),1))</f>
        <v>#REF!</v>
      </c>
      <c r="BE18" s="12" t="e">
        <f>IF(Data!#REF!="","",IF(Data!$G18="",1,IF(ISNUMBER(MATCH(Data!#REF!,Data_Val!$D$2:$D$10,0)),0,1)))</f>
        <v>#REF!</v>
      </c>
      <c r="BF18" s="17"/>
      <c r="BG18" s="18" t="e">
        <f ca="1">IF(Data!#REF!="","",IF(ISNUMBER(Data!#REF!),IF(AND(Data!#REF!&gt;(TODAY()-(Data_Val!$M$3*365.25)),Data!#REF!&lt;=(TODAY()-(Data_Val!$M$2*365.25))),0,1),1))</f>
        <v>#REF!</v>
      </c>
      <c r="BH18" s="29" t="e">
        <f>IF(Data!#REF!="","",IF(Data!$G18="",1,IF(ISNUMBER(MATCH(Data!#REF!,Data_Val!$D$2:$D$10,0)),0,1)))</f>
        <v>#REF!</v>
      </c>
      <c r="BI18" s="13"/>
      <c r="BJ18" s="21" t="e">
        <f ca="1">IF(Data!#REF!="","",IF(ISNUMBER(Data!#REF!),IF(AND(Data!#REF!&gt;(TODAY()-(Data_Val!$M$3*365.25)),Data!#REF!&lt;=(TODAY()-(Data_Val!$M$2*365.25))),0,1),1))</f>
        <v>#REF!</v>
      </c>
      <c r="BK18" s="13" t="e">
        <f>IF(Data!#REF!="","",IF(Data!$G18="",1,IF(ISNUMBER(MATCH(Data!#REF!,Data_Val!$D$2:$D$10,0)),0,1)))</f>
        <v>#REF!</v>
      </c>
    </row>
    <row r="19" spans="1:63" x14ac:dyDescent="0.25">
      <c r="A19" s="9" t="str">
        <f>IF(Data!B19="","",IF(COUNTIFS(Data!A$1:'Data'!A19,Data!A19)&lt;=1,0,1))</f>
        <v/>
      </c>
      <c r="B19" s="9"/>
      <c r="C19" s="23" t="str">
        <f>IF(Data!C19="","",(IF(ISNUMBER(MATCH("*@*.?*",Data!C19,0)),0,1)+IF(COUNTIFS(Data!C$1:'Data'!C19,Data!C19)&gt;1,1,0)))</f>
        <v/>
      </c>
      <c r="D19" s="9" t="str">
        <f>IF(Data!B19="","",IF(ISNUMBER(Data!D19),IF(AND(Data!D19&gt;999999999,Data!D19&lt;=9999999999),IF(COUNTIFS(Data!D$1:'Data'!D19,Data!D19)&lt;=1,0,1),1),1))</f>
        <v/>
      </c>
      <c r="E19" s="9" t="str">
        <f>IF(Data!B19="","",IF(ISNUMBER(MATCH(Data!E19,Data_Val!$A$2:$A$3,0)),0,1))</f>
        <v/>
      </c>
      <c r="F19" s="9" t="str">
        <f ca="1">IF(Data!B19="","",IF(ISNUMBER(Data!F19),IF(AND(Data!F19&gt;(TODAY()-(Data_Val!$H$3*365.25)),Data!F19&lt;=(TODAY()-(Data_Val!$H$2*365.25))),0,1),1))</f>
        <v/>
      </c>
      <c r="G19" s="15" t="str">
        <f>IF(Data!B19="","",IF(AND(Data!G19="",Data!H19&lt;&gt;""),1,IF(Data!#REF!&lt;&gt;"",0,IF(ISNUMBER(MATCH(Data!G19,Data_Val!$C$2:$C$5,0)),0,1))))</f>
        <v/>
      </c>
      <c r="H19" s="15" t="str">
        <f>IF(Data!B19="","",IF(AND(Data!G19&lt;&gt;"",Data!H19=""),1,IF(Data!#REF!&lt;&gt;"",0,IF(Data!G19="",1,IF(ISNUMBER(MATCH(Data!H19,Data_Val!$D$2:$D$35,0)),0,1)))))</f>
        <v/>
      </c>
      <c r="I19" s="15" t="str">
        <f>IF(Data!B19="","",IF(Data!G19&lt;&gt;"",0,IF(ISNUMBER(MATCH(Data!#REF!,Data_Val!$E$2:$E$12,0)),0,1)))</f>
        <v/>
      </c>
      <c r="J19" s="16" t="e">
        <f>IF(OR(Data!B19="",Data!#REF!=""),"",IF(Data!#REF!="",1,0))</f>
        <v>#REF!</v>
      </c>
      <c r="K19" s="16" t="e">
        <f>IF(OR(Data!B19="",Data!#REF!=""),"",IF(Data!#REF!="",1,0))</f>
        <v>#REF!</v>
      </c>
      <c r="L19" s="16" t="e">
        <f>IF(OR(Data!B19="",Data!#REF!=""),"",IF(ISNUMBER(Data!#REF!),IF(AND(Data!#REF!&gt;Data_Val!$G$2,Data!#REF!&lt;=Data_Val!$G$3),0,1),1))</f>
        <v>#REF!</v>
      </c>
      <c r="M19" s="9" t="e">
        <f>IF(OR(Data!B19="",Data!#REF!=""),"",IF(ISNUMBER(MATCH(Data!#REF!,Data_Val!$F$1:$F$38,0)),0,1))</f>
        <v>#REF!</v>
      </c>
      <c r="N19" s="9" t="e">
        <f>IF(OR(Data!B19="",Data!#REF!=""),"",IF(Data!#REF!="",1,0))</f>
        <v>#REF!</v>
      </c>
      <c r="O19" s="17" t="e">
        <f>IF(Data!#REF!="","",IF(Data!#REF!="",1,0))</f>
        <v>#REF!</v>
      </c>
      <c r="P19" s="17" t="e">
        <f>IF(Data!#REF!="","",IF(ISNUMBER(MATCH(Data!#REF!,Data_Val!$A$2:$A$3,0)),0,1))</f>
        <v>#REF!</v>
      </c>
      <c r="Q19" s="25" t="e">
        <f ca="1">IF(Data!#REF!="","",IF(ISNUMBER(Data!#REF!),IF(AND(Data!#REF!&gt;(TODAY()-(Data_Val!$J$3*365.25)),Data!#REF!&lt;=(TODAY()-(Data_Val!$J$2*365.25))),0,1),1))</f>
        <v>#REF!</v>
      </c>
      <c r="R19" s="17" t="e">
        <f>IF(Data!#REF!="","",IF(ISNUMBER(MATCH(Data!#REF!,Data_Val!$B$2:$B$15,0)),0,1))</f>
        <v>#REF!</v>
      </c>
      <c r="S19" s="11" t="str">
        <f>IF(Data!G19="","",IF(Data!G19=Data_Val!$C$2,IF(Data!M19="",0,1),0))</f>
        <v/>
      </c>
      <c r="T19" s="11" t="str">
        <f>IF(Data!M19="","",IF(ISNUMBER(MATCH(Data!N19,Data_Val!$A$2:$A$3,0)),0,1))</f>
        <v/>
      </c>
      <c r="U19" s="11" t="str">
        <f ca="1">IF(Data!M19="","",IF(ISNUMBER(Data!O19),IF(AND(Data!O19&gt;(TODAY()-(Data_Val!$K$3*365.25)),Data!O19&lt;=(TODAY()-(Data_Val!$K$2*365.25))),0,1),1))</f>
        <v/>
      </c>
      <c r="V19" s="12" t="str">
        <f>IF(Data!G19="","",IF(Data!G19=Data_Val!$C$2,IF(Data!P19="",0,1),0))</f>
        <v/>
      </c>
      <c r="W19" s="12" t="str">
        <f>IF(Data!P19="","",IF(ISNUMBER(MATCH(Data!Q19,Data_Val!$A$2:$A$3,0)),0,1))</f>
        <v/>
      </c>
      <c r="X19" s="26" t="str">
        <f ca="1">IF(Data!P19="","",IF(ISNUMBER(Data!R19),IF(AND(Data!R19&gt;(TODAY()-(Data_Val!$L$3*365.25)),Data!R19&lt;=(TODAY()-(Data_Val!$L$2*365.25))),0,1),1))</f>
        <v/>
      </c>
      <c r="Y19" s="13" t="str">
        <f>IF(Data!$G19="","",IF(Data!$G19=Data_Val!$C$2,IF(Data!S19="",0,1),0))</f>
        <v/>
      </c>
      <c r="Z19" s="13" t="str">
        <f>IF(Data!S19="","",IF(ISNUMBER(MATCH(Data!T19,Data_Val!$A$2:$A$3,0)),0,1))</f>
        <v/>
      </c>
      <c r="AA19" s="28" t="str">
        <f ca="1">IF(Data!S19="","",IF(ISNUMBER(Data!U19),IF(AND(Data!U19&gt;(TODAY()-(Data_Val!$L$3*365.25)),Data!U19&lt;=(TODAY()-(Data_Val!$L$2*365.25))),0,1),1))</f>
        <v/>
      </c>
      <c r="AB19" s="11"/>
      <c r="AC19" s="11" t="e">
        <f>IF(Data!#REF!="","",IF(ISNUMBER(MATCH(Data!#REF!,Data_Val!$A$2:$A$3,0)),0,1))</f>
        <v>#REF!</v>
      </c>
      <c r="AD19" s="11" t="e">
        <f ca="1">IF(Data!#REF!="","",IF(ISNUMBER(Data!#REF!),IF(AND(Data!#REF!&gt;(TODAY()-(Data_Val!$L$3*365.25)),Data!#REF!&lt;=(TODAY()-(Data_Val!$L$2*365.25))),0,1),1))</f>
        <v>#REF!</v>
      </c>
      <c r="AE19" s="11" t="e">
        <f>IF(Data!#REF!="","",IF(Data!$G19="",1,IF(ISNUMBER(MATCH(Data!#REF!,Data_Val!$D$2:$D$10,0)),0,1)))</f>
        <v>#REF!</v>
      </c>
      <c r="AF19" s="12"/>
      <c r="AG19" s="12" t="e">
        <f>IF(Data!#REF!="","",IF(ISNUMBER(MATCH(Data!#REF!,Data_Val!$A$2:$A$3,0)),0,1))</f>
        <v>#REF!</v>
      </c>
      <c r="AH19" s="26" t="e">
        <f ca="1">IF(Data!#REF!="","",IF(ISNUMBER(Data!#REF!),IF(AND(Data!#REF!&gt;(TODAY()-(Data_Val!$L$3*365.25)),Data!#REF!&lt;=(TODAY()-(Data_Val!$L$2*365.25))),0,1),1))</f>
        <v>#REF!</v>
      </c>
      <c r="AI19" s="12" t="e">
        <f>IF(Data!#REF!="","",IF(Data!$G19="",1,IF(ISNUMBER(MATCH(Data!#REF!,Data_Val!$D$2:$D$10,0)),0,1)))</f>
        <v>#REF!</v>
      </c>
      <c r="AJ19" s="17"/>
      <c r="AK19" s="17" t="e">
        <f>IF(Data!#REF!="","",IF(ISNUMBER(MATCH(Data!#REF!,Data_Val!$A$2:$A$3,0)),0,1))</f>
        <v>#REF!</v>
      </c>
      <c r="AL19" s="25" t="e">
        <f ca="1">IF(Data!#REF!="","",IF(ISNUMBER(Data!#REF!),IF(AND(Data!#REF!&gt;(TODAY()-(Data_Val!$L$3*365.25)),Data!#REF!&lt;=(TODAY()-(Data_Val!$L$2*365.25))),0,1),1))</f>
        <v>#REF!</v>
      </c>
      <c r="AM19" s="17" t="e">
        <f>IF(Data!#REF!="","",IF(Data!$G19="",1,IF(ISNUMBER(MATCH(Data!#REF!,Data_Val!$D$2:$D$10,0)),0,1)))</f>
        <v>#REF!</v>
      </c>
      <c r="AN19" s="13"/>
      <c r="AO19" s="28" t="e">
        <f ca="1">IF(Data!#REF!="","",IF(ISNUMBER(Data!#REF!),IF(AND(Data!#REF!&gt;(TODAY()-(Data_Val!$I$3*365.25)),Data!#REF!&lt;=(TODAY()-(Data_Val!$I$2*365.25))),0,1),1))</f>
        <v>#REF!</v>
      </c>
      <c r="AP19" s="13" t="e">
        <f>IF(Data!#REF!="","",IF(Data!$G19="",1,IF(ISNUMBER(MATCH(Data!#REF!,Data_Val!$D$2:$D$10,0)),0,1)))</f>
        <v>#REF!</v>
      </c>
      <c r="AQ19" s="17"/>
      <c r="AR19" s="30" t="e">
        <f ca="1">IF(Data!#REF!="","",IF(ISNUMBER(Data!#REF!),IF(AND(Data!#REF!&gt;(TODAY()-(Data_Val!$I$3*365.25)),Data!#REF!&lt;=(TODAY()-(Data_Val!$I$2*365.25))),0,1),1))</f>
        <v>#REF!</v>
      </c>
      <c r="AS19" s="31" t="e">
        <f>IF(Data!#REF!="","",IF(Data!$G19="",1,IF(ISNUMBER(MATCH(Data!#REF!,Data_Val!$D$2:$D$10,0)),0,1)))</f>
        <v>#REF!</v>
      </c>
      <c r="AT19" s="11"/>
      <c r="AU19" s="11" t="e">
        <f ca="1">IF(Data!#REF!="","",IF(ISNUMBER(Data!#REF!),IF(AND(Data!#REF!&gt;(TODAY()-(Data_Val!$I$3*365.25)),Data!#REF!&lt;=(TODAY()-(Data_Val!$I$2*365.25))),0,1),1))</f>
        <v>#REF!</v>
      </c>
      <c r="AV19" s="11" t="e">
        <f>IF(Data!#REF!="","",IF(Data!$G19="",1,IF(ISNUMBER(MATCH(Data!#REF!,Data_Val!$D$2:$D$10,0)),0,1)))</f>
        <v>#REF!</v>
      </c>
      <c r="AW19" s="12"/>
      <c r="AX19" s="26" t="e">
        <f ca="1">IF(Data!#REF!="","",IF(ISNUMBER(Data!#REF!),IF(AND(Data!#REF!&gt;(TODAY()-(Data_Val!$I$3*365.25)),Data!#REF!&lt;=(TODAY()-(Data_Val!$I$2*365.25))),0,1),1))</f>
        <v>#REF!</v>
      </c>
      <c r="AY19" s="12" t="e">
        <f>IF(Data!#REF!="","",IF(Data!$G19="",1,IF(ISNUMBER(MATCH(Data!#REF!,Data_Val!$D$2:$D$10,0)),0,1)))</f>
        <v>#REF!</v>
      </c>
      <c r="AZ19" s="11"/>
      <c r="BA19" s="19" t="e">
        <f ca="1">IF(Data!#REF!="","",IF(ISNUMBER(Data!#REF!),IF(AND(Data!#REF!&gt;(TODAY()-(Data_Val!$M$3*365.25)),Data!#REF!&lt;=(TODAY()-(Data_Val!$M$2*365.25))),0,1),1))</f>
        <v>#REF!</v>
      </c>
      <c r="BB19" s="11" t="e">
        <f>IF(Data!#REF!="","",IF(Data!$G19="",1,IF(ISNUMBER(MATCH(Data!#REF!,Data_Val!$D$2:$D$10,0)),0,1)))</f>
        <v>#REF!</v>
      </c>
      <c r="BC19" s="12"/>
      <c r="BD19" s="20" t="e">
        <f ca="1">IF(Data!#REF!="","",IF(ISNUMBER(Data!#REF!),IF(AND(Data!#REF!&gt;(TODAY()-(Data_Val!$M$3*365.25)),Data!#REF!&lt;=(TODAY()-(Data_Val!$M$2*365.25))),0,1),1))</f>
        <v>#REF!</v>
      </c>
      <c r="BE19" s="12" t="e">
        <f>IF(Data!#REF!="","",IF(Data!$G19="",1,IF(ISNUMBER(MATCH(Data!#REF!,Data_Val!$D$2:$D$10,0)),0,1)))</f>
        <v>#REF!</v>
      </c>
      <c r="BF19" s="17"/>
      <c r="BG19" s="18" t="e">
        <f ca="1">IF(Data!#REF!="","",IF(ISNUMBER(Data!#REF!),IF(AND(Data!#REF!&gt;(TODAY()-(Data_Val!$M$3*365.25)),Data!#REF!&lt;=(TODAY()-(Data_Val!$M$2*365.25))),0,1),1))</f>
        <v>#REF!</v>
      </c>
      <c r="BH19" s="29" t="e">
        <f>IF(Data!#REF!="","",IF(Data!$G19="",1,IF(ISNUMBER(MATCH(Data!#REF!,Data_Val!$D$2:$D$10,0)),0,1)))</f>
        <v>#REF!</v>
      </c>
      <c r="BI19" s="13"/>
      <c r="BJ19" s="21" t="e">
        <f ca="1">IF(Data!#REF!="","",IF(ISNUMBER(Data!#REF!),IF(AND(Data!#REF!&gt;(TODAY()-(Data_Val!$M$3*365.25)),Data!#REF!&lt;=(TODAY()-(Data_Val!$M$2*365.25))),0,1),1))</f>
        <v>#REF!</v>
      </c>
      <c r="BK19" s="13" t="e">
        <f>IF(Data!#REF!="","",IF(Data!$G19="",1,IF(ISNUMBER(MATCH(Data!#REF!,Data_Val!$D$2:$D$10,0)),0,1)))</f>
        <v>#REF!</v>
      </c>
    </row>
    <row r="20" spans="1:63" x14ac:dyDescent="0.25">
      <c r="A20" s="9" t="str">
        <f>IF(Data!B20="","",IF(COUNTIFS(Data!A$1:'Data'!A20,Data!A20)&lt;=1,0,1))</f>
        <v/>
      </c>
      <c r="B20" s="9"/>
      <c r="C20" s="23" t="str">
        <f>IF(Data!C20="","",(IF(ISNUMBER(MATCH("*@*.?*",Data!C20,0)),0,1)+IF(COUNTIFS(Data!C$1:'Data'!C20,Data!C20)&gt;1,1,0)))</f>
        <v/>
      </c>
      <c r="D20" s="9" t="str">
        <f>IF(Data!B20="","",IF(ISNUMBER(Data!D20),IF(AND(Data!D20&gt;999999999,Data!D20&lt;=9999999999),IF(COUNTIFS(Data!D$1:'Data'!D20,Data!D20)&lt;=1,0,1),1),1))</f>
        <v/>
      </c>
      <c r="E20" s="9" t="str">
        <f>IF(Data!B20="","",IF(ISNUMBER(MATCH(Data!E20,Data_Val!$A$2:$A$3,0)),0,1))</f>
        <v/>
      </c>
      <c r="F20" s="9" t="str">
        <f ca="1">IF(Data!B20="","",IF(ISNUMBER(Data!F20),IF(AND(Data!F20&gt;(TODAY()-(Data_Val!$H$3*365.25)),Data!F20&lt;=(TODAY()-(Data_Val!$H$2*365.25))),0,1),1))</f>
        <v/>
      </c>
      <c r="G20" s="15" t="str">
        <f>IF(Data!B20="","",IF(AND(Data!G20="",Data!H20&lt;&gt;""),1,IF(Data!#REF!&lt;&gt;"",0,IF(ISNUMBER(MATCH(Data!G20,Data_Val!$C$2:$C$5,0)),0,1))))</f>
        <v/>
      </c>
      <c r="H20" s="15" t="str">
        <f>IF(Data!B20="","",IF(AND(Data!G20&lt;&gt;"",Data!H20=""),1,IF(Data!#REF!&lt;&gt;"",0,IF(Data!G20="",1,IF(ISNUMBER(MATCH(Data!H20,Data_Val!$D$2:$D$35,0)),0,1)))))</f>
        <v/>
      </c>
      <c r="I20" s="15" t="str">
        <f>IF(Data!B20="","",IF(Data!G20&lt;&gt;"",0,IF(ISNUMBER(MATCH(Data!#REF!,Data_Val!$E$2:$E$12,0)),0,1)))</f>
        <v/>
      </c>
      <c r="J20" s="16" t="e">
        <f>IF(OR(Data!B20="",Data!#REF!=""),"",IF(Data!#REF!="",1,0))</f>
        <v>#REF!</v>
      </c>
      <c r="K20" s="16" t="e">
        <f>IF(OR(Data!B20="",Data!#REF!=""),"",IF(Data!#REF!="",1,0))</f>
        <v>#REF!</v>
      </c>
      <c r="L20" s="16" t="e">
        <f>IF(OR(Data!B20="",Data!#REF!=""),"",IF(ISNUMBER(Data!#REF!),IF(AND(Data!#REF!&gt;Data_Val!$G$2,Data!#REF!&lt;=Data_Val!$G$3),0,1),1))</f>
        <v>#REF!</v>
      </c>
      <c r="M20" s="9" t="e">
        <f>IF(OR(Data!B20="",Data!#REF!=""),"",IF(ISNUMBER(MATCH(Data!#REF!,Data_Val!$F$1:$F$38,0)),0,1))</f>
        <v>#REF!</v>
      </c>
      <c r="N20" s="9" t="e">
        <f>IF(OR(Data!B20="",Data!#REF!=""),"",IF(Data!#REF!="",1,0))</f>
        <v>#REF!</v>
      </c>
      <c r="O20" s="17" t="e">
        <f>IF(Data!#REF!="","",IF(Data!#REF!="",1,0))</f>
        <v>#REF!</v>
      </c>
      <c r="P20" s="17" t="e">
        <f>IF(Data!#REF!="","",IF(ISNUMBER(MATCH(Data!#REF!,Data_Val!$A$2:$A$3,0)),0,1))</f>
        <v>#REF!</v>
      </c>
      <c r="Q20" s="25" t="e">
        <f ca="1">IF(Data!#REF!="","",IF(ISNUMBER(Data!#REF!),IF(AND(Data!#REF!&gt;(TODAY()-(Data_Val!$J$3*365.25)),Data!#REF!&lt;=(TODAY()-(Data_Val!$J$2*365.25))),0,1),1))</f>
        <v>#REF!</v>
      </c>
      <c r="R20" s="17" t="e">
        <f>IF(Data!#REF!="","",IF(ISNUMBER(MATCH(Data!#REF!,Data_Val!$B$2:$B$15,0)),0,1))</f>
        <v>#REF!</v>
      </c>
      <c r="S20" s="11" t="str">
        <f>IF(Data!G20="","",IF(Data!G20=Data_Val!$C$2,IF(Data!M20="",0,1),0))</f>
        <v/>
      </c>
      <c r="T20" s="11" t="str">
        <f>IF(Data!M20="","",IF(ISNUMBER(MATCH(Data!N20,Data_Val!$A$2:$A$3,0)),0,1))</f>
        <v/>
      </c>
      <c r="U20" s="11" t="str">
        <f ca="1">IF(Data!M20="","",IF(ISNUMBER(Data!O20),IF(AND(Data!O20&gt;(TODAY()-(Data_Val!$K$3*365.25)),Data!O20&lt;=(TODAY()-(Data_Val!$K$2*365.25))),0,1),1))</f>
        <v/>
      </c>
      <c r="V20" s="12" t="str">
        <f>IF(Data!G20="","",IF(Data!G20=Data_Val!$C$2,IF(Data!P20="",0,1),0))</f>
        <v/>
      </c>
      <c r="W20" s="12" t="str">
        <f>IF(Data!P20="","",IF(ISNUMBER(MATCH(Data!Q20,Data_Val!$A$2:$A$3,0)),0,1))</f>
        <v/>
      </c>
      <c r="X20" s="26" t="str">
        <f ca="1">IF(Data!P20="","",IF(ISNUMBER(Data!R20),IF(AND(Data!R20&gt;(TODAY()-(Data_Val!$L$3*365.25)),Data!R20&lt;=(TODAY()-(Data_Val!$L$2*365.25))),0,1),1))</f>
        <v/>
      </c>
      <c r="Y20" s="13" t="str">
        <f>IF(Data!$G20="","",IF(Data!$G20=Data_Val!$C$2,IF(Data!S20="",0,1),0))</f>
        <v/>
      </c>
      <c r="Z20" s="13" t="str">
        <f>IF(Data!S20="","",IF(ISNUMBER(MATCH(Data!T20,Data_Val!$A$2:$A$3,0)),0,1))</f>
        <v/>
      </c>
      <c r="AA20" s="28" t="str">
        <f ca="1">IF(Data!S20="","",IF(ISNUMBER(Data!U20),IF(AND(Data!U20&gt;(TODAY()-(Data_Val!$L$3*365.25)),Data!U20&lt;=(TODAY()-(Data_Val!$L$2*365.25))),0,1),1))</f>
        <v/>
      </c>
      <c r="AB20" s="11"/>
      <c r="AC20" s="11" t="e">
        <f>IF(Data!#REF!="","",IF(ISNUMBER(MATCH(Data!#REF!,Data_Val!$A$2:$A$3,0)),0,1))</f>
        <v>#REF!</v>
      </c>
      <c r="AD20" s="11" t="e">
        <f ca="1">IF(Data!#REF!="","",IF(ISNUMBER(Data!#REF!),IF(AND(Data!#REF!&gt;(TODAY()-(Data_Val!$L$3*365.25)),Data!#REF!&lt;=(TODAY()-(Data_Val!$L$2*365.25))),0,1),1))</f>
        <v>#REF!</v>
      </c>
      <c r="AE20" s="11" t="e">
        <f>IF(Data!#REF!="","",IF(Data!$G20="",1,IF(ISNUMBER(MATCH(Data!#REF!,Data_Val!$D$2:$D$10,0)),0,1)))</f>
        <v>#REF!</v>
      </c>
      <c r="AF20" s="12"/>
      <c r="AG20" s="12" t="e">
        <f>IF(Data!#REF!="","",IF(ISNUMBER(MATCH(Data!#REF!,Data_Val!$A$2:$A$3,0)),0,1))</f>
        <v>#REF!</v>
      </c>
      <c r="AH20" s="26" t="e">
        <f ca="1">IF(Data!#REF!="","",IF(ISNUMBER(Data!#REF!),IF(AND(Data!#REF!&gt;(TODAY()-(Data_Val!$L$3*365.25)),Data!#REF!&lt;=(TODAY()-(Data_Val!$L$2*365.25))),0,1),1))</f>
        <v>#REF!</v>
      </c>
      <c r="AI20" s="12" t="e">
        <f>IF(Data!#REF!="","",IF(Data!$G20="",1,IF(ISNUMBER(MATCH(Data!#REF!,Data_Val!$D$2:$D$10,0)),0,1)))</f>
        <v>#REF!</v>
      </c>
      <c r="AJ20" s="17"/>
      <c r="AK20" s="17" t="e">
        <f>IF(Data!#REF!="","",IF(ISNUMBER(MATCH(Data!#REF!,Data_Val!$A$2:$A$3,0)),0,1))</f>
        <v>#REF!</v>
      </c>
      <c r="AL20" s="25" t="e">
        <f ca="1">IF(Data!#REF!="","",IF(ISNUMBER(Data!#REF!),IF(AND(Data!#REF!&gt;(TODAY()-(Data_Val!$L$3*365.25)),Data!#REF!&lt;=(TODAY()-(Data_Val!$L$2*365.25))),0,1),1))</f>
        <v>#REF!</v>
      </c>
      <c r="AM20" s="17" t="e">
        <f>IF(Data!#REF!="","",IF(Data!$G20="",1,IF(ISNUMBER(MATCH(Data!#REF!,Data_Val!$D$2:$D$10,0)),0,1)))</f>
        <v>#REF!</v>
      </c>
      <c r="AN20" s="13"/>
      <c r="AO20" s="28" t="e">
        <f ca="1">IF(Data!#REF!="","",IF(ISNUMBER(Data!#REF!),IF(AND(Data!#REF!&gt;(TODAY()-(Data_Val!$I$3*365.25)),Data!#REF!&lt;=(TODAY()-(Data_Val!$I$2*365.25))),0,1),1))</f>
        <v>#REF!</v>
      </c>
      <c r="AP20" s="13" t="e">
        <f>IF(Data!#REF!="","",IF(Data!$G20="",1,IF(ISNUMBER(MATCH(Data!#REF!,Data_Val!$D$2:$D$10,0)),0,1)))</f>
        <v>#REF!</v>
      </c>
      <c r="AQ20" s="17"/>
      <c r="AR20" s="30" t="e">
        <f ca="1">IF(Data!#REF!="","",IF(ISNUMBER(Data!#REF!),IF(AND(Data!#REF!&gt;(TODAY()-(Data_Val!$I$3*365.25)),Data!#REF!&lt;=(TODAY()-(Data_Val!$I$2*365.25))),0,1),1))</f>
        <v>#REF!</v>
      </c>
      <c r="AS20" s="31" t="e">
        <f>IF(Data!#REF!="","",IF(Data!$G20="",1,IF(ISNUMBER(MATCH(Data!#REF!,Data_Val!$D$2:$D$10,0)),0,1)))</f>
        <v>#REF!</v>
      </c>
      <c r="AT20" s="11"/>
      <c r="AU20" s="11" t="e">
        <f ca="1">IF(Data!#REF!="","",IF(ISNUMBER(Data!#REF!),IF(AND(Data!#REF!&gt;(TODAY()-(Data_Val!$I$3*365.25)),Data!#REF!&lt;=(TODAY()-(Data_Val!$I$2*365.25))),0,1),1))</f>
        <v>#REF!</v>
      </c>
      <c r="AV20" s="11" t="e">
        <f>IF(Data!#REF!="","",IF(Data!$G20="",1,IF(ISNUMBER(MATCH(Data!#REF!,Data_Val!$D$2:$D$10,0)),0,1)))</f>
        <v>#REF!</v>
      </c>
      <c r="AW20" s="12"/>
      <c r="AX20" s="26" t="e">
        <f ca="1">IF(Data!#REF!="","",IF(ISNUMBER(Data!#REF!),IF(AND(Data!#REF!&gt;(TODAY()-(Data_Val!$I$3*365.25)),Data!#REF!&lt;=(TODAY()-(Data_Val!$I$2*365.25))),0,1),1))</f>
        <v>#REF!</v>
      </c>
      <c r="AY20" s="12" t="e">
        <f>IF(Data!#REF!="","",IF(Data!$G20="",1,IF(ISNUMBER(MATCH(Data!#REF!,Data_Val!$D$2:$D$10,0)),0,1)))</f>
        <v>#REF!</v>
      </c>
      <c r="AZ20" s="11"/>
      <c r="BA20" s="19" t="e">
        <f ca="1">IF(Data!#REF!="","",IF(ISNUMBER(Data!#REF!),IF(AND(Data!#REF!&gt;(TODAY()-(Data_Val!$M$3*365.25)),Data!#REF!&lt;=(TODAY()-(Data_Val!$M$2*365.25))),0,1),1))</f>
        <v>#REF!</v>
      </c>
      <c r="BB20" s="11" t="e">
        <f>IF(Data!#REF!="","",IF(Data!$G20="",1,IF(ISNUMBER(MATCH(Data!#REF!,Data_Val!$D$2:$D$10,0)),0,1)))</f>
        <v>#REF!</v>
      </c>
      <c r="BC20" s="12"/>
      <c r="BD20" s="20" t="e">
        <f ca="1">IF(Data!#REF!="","",IF(ISNUMBER(Data!#REF!),IF(AND(Data!#REF!&gt;(TODAY()-(Data_Val!$M$3*365.25)),Data!#REF!&lt;=(TODAY()-(Data_Val!$M$2*365.25))),0,1),1))</f>
        <v>#REF!</v>
      </c>
      <c r="BE20" s="12" t="e">
        <f>IF(Data!#REF!="","",IF(Data!$G20="",1,IF(ISNUMBER(MATCH(Data!#REF!,Data_Val!$D$2:$D$10,0)),0,1)))</f>
        <v>#REF!</v>
      </c>
      <c r="BF20" s="17"/>
      <c r="BG20" s="18" t="e">
        <f ca="1">IF(Data!#REF!="","",IF(ISNUMBER(Data!#REF!),IF(AND(Data!#REF!&gt;(TODAY()-(Data_Val!$M$3*365.25)),Data!#REF!&lt;=(TODAY()-(Data_Val!$M$2*365.25))),0,1),1))</f>
        <v>#REF!</v>
      </c>
      <c r="BH20" s="29" t="e">
        <f>IF(Data!#REF!="","",IF(Data!$G20="",1,IF(ISNUMBER(MATCH(Data!#REF!,Data_Val!$D$2:$D$10,0)),0,1)))</f>
        <v>#REF!</v>
      </c>
      <c r="BI20" s="13"/>
      <c r="BJ20" s="21" t="e">
        <f ca="1">IF(Data!#REF!="","",IF(ISNUMBER(Data!#REF!),IF(AND(Data!#REF!&gt;(TODAY()-(Data_Val!$M$3*365.25)),Data!#REF!&lt;=(TODAY()-(Data_Val!$M$2*365.25))),0,1),1))</f>
        <v>#REF!</v>
      </c>
      <c r="BK20" s="13" t="e">
        <f>IF(Data!#REF!="","",IF(Data!$G20="",1,IF(ISNUMBER(MATCH(Data!#REF!,Data_Val!$D$2:$D$10,0)),0,1)))</f>
        <v>#REF!</v>
      </c>
    </row>
    <row r="21" spans="1:63" x14ac:dyDescent="0.25">
      <c r="A21" s="9" t="str">
        <f>IF(Data!B21="","",IF(COUNTIFS(Data!A$1:'Data'!A21,Data!A21)&lt;=1,0,1))</f>
        <v/>
      </c>
      <c r="B21" s="9"/>
      <c r="C21" s="23" t="str">
        <f>IF(Data!C21="","",(IF(ISNUMBER(MATCH("*@*.?*",Data!C21,0)),0,1)+IF(COUNTIFS(Data!C$1:'Data'!C21,Data!C21)&gt;1,1,0)))</f>
        <v/>
      </c>
      <c r="D21" s="9" t="str">
        <f>IF(Data!B21="","",IF(ISNUMBER(Data!D21),IF(AND(Data!D21&gt;999999999,Data!D21&lt;=9999999999),IF(COUNTIFS(Data!D$1:'Data'!D21,Data!D21)&lt;=1,0,1),1),1))</f>
        <v/>
      </c>
      <c r="E21" s="9" t="str">
        <f>IF(Data!B21="","",IF(ISNUMBER(MATCH(Data!E21,Data_Val!$A$2:$A$3,0)),0,1))</f>
        <v/>
      </c>
      <c r="F21" s="9" t="str">
        <f ca="1">IF(Data!B21="","",IF(ISNUMBER(Data!F21),IF(AND(Data!F21&gt;(TODAY()-(Data_Val!$H$3*365.25)),Data!F21&lt;=(TODAY()-(Data_Val!$H$2*365.25))),0,1),1))</f>
        <v/>
      </c>
      <c r="G21" s="15" t="str">
        <f>IF(Data!B21="","",IF(AND(Data!G21="",Data!H21&lt;&gt;""),1,IF(Data!#REF!&lt;&gt;"",0,IF(ISNUMBER(MATCH(Data!G21,Data_Val!$C$2:$C$5,0)),0,1))))</f>
        <v/>
      </c>
      <c r="H21" s="15" t="str">
        <f>IF(Data!B21="","",IF(AND(Data!G21&lt;&gt;"",Data!H21=""),1,IF(Data!#REF!&lt;&gt;"",0,IF(Data!G21="",1,IF(ISNUMBER(MATCH(Data!H21,Data_Val!$D$2:$D$35,0)),0,1)))))</f>
        <v/>
      </c>
      <c r="I21" s="15" t="str">
        <f>IF(Data!B21="","",IF(Data!G21&lt;&gt;"",0,IF(ISNUMBER(MATCH(Data!#REF!,Data_Val!$E$2:$E$12,0)),0,1)))</f>
        <v/>
      </c>
      <c r="J21" s="16" t="e">
        <f>IF(OR(Data!B21="",Data!#REF!=""),"",IF(Data!#REF!="",1,0))</f>
        <v>#REF!</v>
      </c>
      <c r="K21" s="16" t="e">
        <f>IF(OR(Data!B21="",Data!#REF!=""),"",IF(Data!#REF!="",1,0))</f>
        <v>#REF!</v>
      </c>
      <c r="L21" s="16" t="e">
        <f>IF(OR(Data!B21="",Data!#REF!=""),"",IF(ISNUMBER(Data!#REF!),IF(AND(Data!#REF!&gt;Data_Val!$G$2,Data!#REF!&lt;=Data_Val!$G$3),0,1),1))</f>
        <v>#REF!</v>
      </c>
      <c r="M21" s="9" t="e">
        <f>IF(OR(Data!B21="",Data!#REF!=""),"",IF(ISNUMBER(MATCH(Data!#REF!,Data_Val!$F$1:$F$38,0)),0,1))</f>
        <v>#REF!</v>
      </c>
      <c r="N21" s="9" t="e">
        <f>IF(OR(Data!B21="",Data!#REF!=""),"",IF(Data!#REF!="",1,0))</f>
        <v>#REF!</v>
      </c>
      <c r="O21" s="17" t="e">
        <f>IF(Data!#REF!="","",IF(Data!#REF!="",1,0))</f>
        <v>#REF!</v>
      </c>
      <c r="P21" s="17" t="e">
        <f>IF(Data!#REF!="","",IF(ISNUMBER(MATCH(Data!#REF!,Data_Val!$A$2:$A$3,0)),0,1))</f>
        <v>#REF!</v>
      </c>
      <c r="Q21" s="25" t="e">
        <f ca="1">IF(Data!#REF!="","",IF(ISNUMBER(Data!#REF!),IF(AND(Data!#REF!&gt;(TODAY()-(Data_Val!$J$3*365.25)),Data!#REF!&lt;=(TODAY()-(Data_Val!$J$2*365.25))),0,1),1))</f>
        <v>#REF!</v>
      </c>
      <c r="R21" s="17" t="e">
        <f>IF(Data!#REF!="","",IF(ISNUMBER(MATCH(Data!#REF!,Data_Val!$B$2:$B$15,0)),0,1))</f>
        <v>#REF!</v>
      </c>
      <c r="S21" s="11" t="str">
        <f>IF(Data!G21="","",IF(Data!G21=Data_Val!$C$2,IF(Data!M21="",0,1),0))</f>
        <v/>
      </c>
      <c r="T21" s="11" t="str">
        <f>IF(Data!M21="","",IF(ISNUMBER(MATCH(Data!N21,Data_Val!$A$2:$A$3,0)),0,1))</f>
        <v/>
      </c>
      <c r="U21" s="11" t="str">
        <f ca="1">IF(Data!M21="","",IF(ISNUMBER(Data!O21),IF(AND(Data!O21&gt;(TODAY()-(Data_Val!$K$3*365.25)),Data!O21&lt;=(TODAY()-(Data_Val!$K$2*365.25))),0,1),1))</f>
        <v/>
      </c>
      <c r="V21" s="12" t="str">
        <f>IF(Data!G21="","",IF(Data!G21=Data_Val!$C$2,IF(Data!P21="",0,1),0))</f>
        <v/>
      </c>
      <c r="W21" s="12" t="str">
        <f>IF(Data!P21="","",IF(ISNUMBER(MATCH(Data!Q21,Data_Val!$A$2:$A$3,0)),0,1))</f>
        <v/>
      </c>
      <c r="X21" s="26" t="str">
        <f ca="1">IF(Data!P21="","",IF(ISNUMBER(Data!R21),IF(AND(Data!R21&gt;(TODAY()-(Data_Val!$L$3*365.25)),Data!R21&lt;=(TODAY()-(Data_Val!$L$2*365.25))),0,1),1))</f>
        <v/>
      </c>
      <c r="Y21" s="13" t="str">
        <f>IF(Data!$G21="","",IF(Data!$G21=Data_Val!$C$2,IF(Data!S21="",0,1),0))</f>
        <v/>
      </c>
      <c r="Z21" s="13" t="str">
        <f>IF(Data!S21="","",IF(ISNUMBER(MATCH(Data!T21,Data_Val!$A$2:$A$3,0)),0,1))</f>
        <v/>
      </c>
      <c r="AA21" s="28" t="str">
        <f ca="1">IF(Data!S21="","",IF(ISNUMBER(Data!U21),IF(AND(Data!U21&gt;(TODAY()-(Data_Val!$L$3*365.25)),Data!U21&lt;=(TODAY()-(Data_Val!$L$2*365.25))),0,1),1))</f>
        <v/>
      </c>
      <c r="AB21" s="11"/>
      <c r="AC21" s="11" t="e">
        <f>IF(Data!#REF!="","",IF(ISNUMBER(MATCH(Data!#REF!,Data_Val!$A$2:$A$3,0)),0,1))</f>
        <v>#REF!</v>
      </c>
      <c r="AD21" s="11" t="e">
        <f ca="1">IF(Data!#REF!="","",IF(ISNUMBER(Data!#REF!),IF(AND(Data!#REF!&gt;(TODAY()-(Data_Val!$L$3*365.25)),Data!#REF!&lt;=(TODAY()-(Data_Val!$L$2*365.25))),0,1),1))</f>
        <v>#REF!</v>
      </c>
      <c r="AE21" s="11" t="e">
        <f>IF(Data!#REF!="","",IF(Data!$G21="",1,IF(ISNUMBER(MATCH(Data!#REF!,Data_Val!$D$2:$D$10,0)),0,1)))</f>
        <v>#REF!</v>
      </c>
      <c r="AF21" s="12"/>
      <c r="AG21" s="12" t="e">
        <f>IF(Data!#REF!="","",IF(ISNUMBER(MATCH(Data!#REF!,Data_Val!$A$2:$A$3,0)),0,1))</f>
        <v>#REF!</v>
      </c>
      <c r="AH21" s="26" t="e">
        <f ca="1">IF(Data!#REF!="","",IF(ISNUMBER(Data!#REF!),IF(AND(Data!#REF!&gt;(TODAY()-(Data_Val!$L$3*365.25)),Data!#REF!&lt;=(TODAY()-(Data_Val!$L$2*365.25))),0,1),1))</f>
        <v>#REF!</v>
      </c>
      <c r="AI21" s="12" t="e">
        <f>IF(Data!#REF!="","",IF(Data!$G21="",1,IF(ISNUMBER(MATCH(Data!#REF!,Data_Val!$D$2:$D$10,0)),0,1)))</f>
        <v>#REF!</v>
      </c>
      <c r="AJ21" s="17"/>
      <c r="AK21" s="17" t="e">
        <f>IF(Data!#REF!="","",IF(ISNUMBER(MATCH(Data!#REF!,Data_Val!$A$2:$A$3,0)),0,1))</f>
        <v>#REF!</v>
      </c>
      <c r="AL21" s="25" t="e">
        <f ca="1">IF(Data!#REF!="","",IF(ISNUMBER(Data!#REF!),IF(AND(Data!#REF!&gt;(TODAY()-(Data_Val!$L$3*365.25)),Data!#REF!&lt;=(TODAY()-(Data_Val!$L$2*365.25))),0,1),1))</f>
        <v>#REF!</v>
      </c>
      <c r="AM21" s="17" t="e">
        <f>IF(Data!#REF!="","",IF(Data!$G21="",1,IF(ISNUMBER(MATCH(Data!#REF!,Data_Val!$D$2:$D$10,0)),0,1)))</f>
        <v>#REF!</v>
      </c>
      <c r="AN21" s="13"/>
      <c r="AO21" s="28" t="e">
        <f ca="1">IF(Data!#REF!="","",IF(ISNUMBER(Data!#REF!),IF(AND(Data!#REF!&gt;(TODAY()-(Data_Val!$I$3*365.25)),Data!#REF!&lt;=(TODAY()-(Data_Val!$I$2*365.25))),0,1),1))</f>
        <v>#REF!</v>
      </c>
      <c r="AP21" s="13" t="e">
        <f>IF(Data!#REF!="","",IF(Data!$G21="",1,IF(ISNUMBER(MATCH(Data!#REF!,Data_Val!$D$2:$D$10,0)),0,1)))</f>
        <v>#REF!</v>
      </c>
      <c r="AQ21" s="17"/>
      <c r="AR21" s="30" t="e">
        <f ca="1">IF(Data!#REF!="","",IF(ISNUMBER(Data!#REF!),IF(AND(Data!#REF!&gt;(TODAY()-(Data_Val!$I$3*365.25)),Data!#REF!&lt;=(TODAY()-(Data_Val!$I$2*365.25))),0,1),1))</f>
        <v>#REF!</v>
      </c>
      <c r="AS21" s="31" t="e">
        <f>IF(Data!#REF!="","",IF(Data!$G21="",1,IF(ISNUMBER(MATCH(Data!#REF!,Data_Val!$D$2:$D$10,0)),0,1)))</f>
        <v>#REF!</v>
      </c>
      <c r="AT21" s="11"/>
      <c r="AU21" s="11" t="e">
        <f ca="1">IF(Data!#REF!="","",IF(ISNUMBER(Data!#REF!),IF(AND(Data!#REF!&gt;(TODAY()-(Data_Val!$I$3*365.25)),Data!#REF!&lt;=(TODAY()-(Data_Val!$I$2*365.25))),0,1),1))</f>
        <v>#REF!</v>
      </c>
      <c r="AV21" s="11" t="e">
        <f>IF(Data!#REF!="","",IF(Data!$G21="",1,IF(ISNUMBER(MATCH(Data!#REF!,Data_Val!$D$2:$D$10,0)),0,1)))</f>
        <v>#REF!</v>
      </c>
      <c r="AW21" s="12"/>
      <c r="AX21" s="26" t="e">
        <f ca="1">IF(Data!#REF!="","",IF(ISNUMBER(Data!#REF!),IF(AND(Data!#REF!&gt;(TODAY()-(Data_Val!$I$3*365.25)),Data!#REF!&lt;=(TODAY()-(Data_Val!$I$2*365.25))),0,1),1))</f>
        <v>#REF!</v>
      </c>
      <c r="AY21" s="12" t="e">
        <f>IF(Data!#REF!="","",IF(Data!$G21="",1,IF(ISNUMBER(MATCH(Data!#REF!,Data_Val!$D$2:$D$10,0)),0,1)))</f>
        <v>#REF!</v>
      </c>
      <c r="AZ21" s="11"/>
      <c r="BA21" s="19" t="e">
        <f ca="1">IF(Data!#REF!="","",IF(ISNUMBER(Data!#REF!),IF(AND(Data!#REF!&gt;(TODAY()-(Data_Val!$M$3*365.25)),Data!#REF!&lt;=(TODAY()-(Data_Val!$M$2*365.25))),0,1),1))</f>
        <v>#REF!</v>
      </c>
      <c r="BB21" s="11" t="e">
        <f>IF(Data!#REF!="","",IF(Data!$G21="",1,IF(ISNUMBER(MATCH(Data!#REF!,Data_Val!$D$2:$D$10,0)),0,1)))</f>
        <v>#REF!</v>
      </c>
      <c r="BC21" s="12"/>
      <c r="BD21" s="20" t="e">
        <f ca="1">IF(Data!#REF!="","",IF(ISNUMBER(Data!#REF!),IF(AND(Data!#REF!&gt;(TODAY()-(Data_Val!$M$3*365.25)),Data!#REF!&lt;=(TODAY()-(Data_Val!$M$2*365.25))),0,1),1))</f>
        <v>#REF!</v>
      </c>
      <c r="BE21" s="12" t="e">
        <f>IF(Data!#REF!="","",IF(Data!$G21="",1,IF(ISNUMBER(MATCH(Data!#REF!,Data_Val!$D$2:$D$10,0)),0,1)))</f>
        <v>#REF!</v>
      </c>
      <c r="BF21" s="17"/>
      <c r="BG21" s="18" t="e">
        <f ca="1">IF(Data!#REF!="","",IF(ISNUMBER(Data!#REF!),IF(AND(Data!#REF!&gt;(TODAY()-(Data_Val!$M$3*365.25)),Data!#REF!&lt;=(TODAY()-(Data_Val!$M$2*365.25))),0,1),1))</f>
        <v>#REF!</v>
      </c>
      <c r="BH21" s="29" t="e">
        <f>IF(Data!#REF!="","",IF(Data!$G21="",1,IF(ISNUMBER(MATCH(Data!#REF!,Data_Val!$D$2:$D$10,0)),0,1)))</f>
        <v>#REF!</v>
      </c>
      <c r="BI21" s="13"/>
      <c r="BJ21" s="21" t="e">
        <f ca="1">IF(Data!#REF!="","",IF(ISNUMBER(Data!#REF!),IF(AND(Data!#REF!&gt;(TODAY()-(Data_Val!$M$3*365.25)),Data!#REF!&lt;=(TODAY()-(Data_Val!$M$2*365.25))),0,1),1))</f>
        <v>#REF!</v>
      </c>
      <c r="BK21" s="13" t="e">
        <f>IF(Data!#REF!="","",IF(Data!$G21="",1,IF(ISNUMBER(MATCH(Data!#REF!,Data_Val!$D$2:$D$10,0)),0,1)))</f>
        <v>#REF!</v>
      </c>
    </row>
    <row r="22" spans="1:63" x14ac:dyDescent="0.25">
      <c r="A22" s="9" t="str">
        <f>IF(Data!B22="","",IF(COUNTIFS(Data!A$1:'Data'!A22,Data!A22)&lt;=1,0,1))</f>
        <v/>
      </c>
      <c r="B22" s="9"/>
      <c r="C22" s="23" t="str">
        <f>IF(Data!C22="","",(IF(ISNUMBER(MATCH("*@*.?*",Data!C22,0)),0,1)+IF(COUNTIFS(Data!C$1:'Data'!C22,Data!C22)&gt;1,1,0)))</f>
        <v/>
      </c>
      <c r="D22" s="9" t="str">
        <f>IF(Data!B22="","",IF(ISNUMBER(Data!D22),IF(AND(Data!D22&gt;999999999,Data!D22&lt;=9999999999),IF(COUNTIFS(Data!D$1:'Data'!D22,Data!D22)&lt;=1,0,1),1),1))</f>
        <v/>
      </c>
      <c r="E22" s="9" t="str">
        <f>IF(Data!B22="","",IF(ISNUMBER(MATCH(Data!E22,Data_Val!$A$2:$A$3,0)),0,1))</f>
        <v/>
      </c>
      <c r="F22" s="9" t="str">
        <f ca="1">IF(Data!B22="","",IF(ISNUMBER(Data!F22),IF(AND(Data!F22&gt;(TODAY()-(Data_Val!$H$3*365.25)),Data!F22&lt;=(TODAY()-(Data_Val!$H$2*365.25))),0,1),1))</f>
        <v/>
      </c>
      <c r="G22" s="15" t="str">
        <f>IF(Data!B22="","",IF(AND(Data!G22="",Data!H22&lt;&gt;""),1,IF(Data!#REF!&lt;&gt;"",0,IF(ISNUMBER(MATCH(Data!G22,Data_Val!$C$2:$C$5,0)),0,1))))</f>
        <v/>
      </c>
      <c r="H22" s="15" t="str">
        <f>IF(Data!B22="","",IF(AND(Data!G22&lt;&gt;"",Data!H22=""),1,IF(Data!#REF!&lt;&gt;"",0,IF(Data!G22="",1,IF(ISNUMBER(MATCH(Data!H22,Data_Val!$D$2:$D$35,0)),0,1)))))</f>
        <v/>
      </c>
      <c r="I22" s="15" t="str">
        <f>IF(Data!B22="","",IF(Data!G22&lt;&gt;"",0,IF(ISNUMBER(MATCH(Data!#REF!,Data_Val!$E$2:$E$12,0)),0,1)))</f>
        <v/>
      </c>
      <c r="J22" s="16" t="e">
        <f>IF(OR(Data!B22="",Data!#REF!=""),"",IF(Data!#REF!="",1,0))</f>
        <v>#REF!</v>
      </c>
      <c r="K22" s="16" t="e">
        <f>IF(OR(Data!B22="",Data!#REF!=""),"",IF(Data!#REF!="",1,0))</f>
        <v>#REF!</v>
      </c>
      <c r="L22" s="16" t="e">
        <f>IF(OR(Data!B22="",Data!#REF!=""),"",IF(ISNUMBER(Data!#REF!),IF(AND(Data!#REF!&gt;Data_Val!$G$2,Data!#REF!&lt;=Data_Val!$G$3),0,1),1))</f>
        <v>#REF!</v>
      </c>
      <c r="M22" s="9" t="e">
        <f>IF(OR(Data!B22="",Data!#REF!=""),"",IF(ISNUMBER(MATCH(Data!#REF!,Data_Val!$F$1:$F$38,0)),0,1))</f>
        <v>#REF!</v>
      </c>
      <c r="N22" s="9" t="e">
        <f>IF(OR(Data!B22="",Data!#REF!=""),"",IF(Data!#REF!="",1,0))</f>
        <v>#REF!</v>
      </c>
      <c r="O22" s="17" t="e">
        <f>IF(Data!#REF!="","",IF(Data!#REF!="",1,0))</f>
        <v>#REF!</v>
      </c>
      <c r="P22" s="17" t="e">
        <f>IF(Data!#REF!="","",IF(ISNUMBER(MATCH(Data!#REF!,Data_Val!$A$2:$A$3,0)),0,1))</f>
        <v>#REF!</v>
      </c>
      <c r="Q22" s="25" t="e">
        <f ca="1">IF(Data!#REF!="","",IF(ISNUMBER(Data!#REF!),IF(AND(Data!#REF!&gt;(TODAY()-(Data_Val!$J$3*365.25)),Data!#REF!&lt;=(TODAY()-(Data_Val!$J$2*365.25))),0,1),1))</f>
        <v>#REF!</v>
      </c>
      <c r="R22" s="17" t="e">
        <f>IF(Data!#REF!="","",IF(ISNUMBER(MATCH(Data!#REF!,Data_Val!$B$2:$B$15,0)),0,1))</f>
        <v>#REF!</v>
      </c>
      <c r="S22" s="11" t="str">
        <f>IF(Data!G22="","",IF(Data!G22=Data_Val!$C$2,IF(Data!M22="",0,1),0))</f>
        <v/>
      </c>
      <c r="T22" s="11" t="str">
        <f>IF(Data!M22="","",IF(ISNUMBER(MATCH(Data!N22,Data_Val!$A$2:$A$3,0)),0,1))</f>
        <v/>
      </c>
      <c r="U22" s="11" t="str">
        <f ca="1">IF(Data!M22="","",IF(ISNUMBER(Data!O22),IF(AND(Data!O22&gt;(TODAY()-(Data_Val!$K$3*365.25)),Data!O22&lt;=(TODAY()-(Data_Val!$K$2*365.25))),0,1),1))</f>
        <v/>
      </c>
      <c r="V22" s="12" t="str">
        <f>IF(Data!G22="","",IF(Data!G22=Data_Val!$C$2,IF(Data!P22="",0,1),0))</f>
        <v/>
      </c>
      <c r="W22" s="12" t="str">
        <f>IF(Data!P22="","",IF(ISNUMBER(MATCH(Data!Q22,Data_Val!$A$2:$A$3,0)),0,1))</f>
        <v/>
      </c>
      <c r="X22" s="26" t="str">
        <f ca="1">IF(Data!P22="","",IF(ISNUMBER(Data!R22),IF(AND(Data!R22&gt;(TODAY()-(Data_Val!$L$3*365.25)),Data!R22&lt;=(TODAY()-(Data_Val!$L$2*365.25))),0,1),1))</f>
        <v/>
      </c>
      <c r="Y22" s="13" t="str">
        <f>IF(Data!$G22="","",IF(Data!$G22=Data_Val!$C$2,IF(Data!S22="",0,1),0))</f>
        <v/>
      </c>
      <c r="Z22" s="13" t="str">
        <f>IF(Data!S22="","",IF(ISNUMBER(MATCH(Data!T22,Data_Val!$A$2:$A$3,0)),0,1))</f>
        <v/>
      </c>
      <c r="AA22" s="28" t="str">
        <f ca="1">IF(Data!S22="","",IF(ISNUMBER(Data!U22),IF(AND(Data!U22&gt;(TODAY()-(Data_Val!$L$3*365.25)),Data!U22&lt;=(TODAY()-(Data_Val!$L$2*365.25))),0,1),1))</f>
        <v/>
      </c>
      <c r="AB22" s="11"/>
      <c r="AC22" s="11" t="e">
        <f>IF(Data!#REF!="","",IF(ISNUMBER(MATCH(Data!#REF!,Data_Val!$A$2:$A$3,0)),0,1))</f>
        <v>#REF!</v>
      </c>
      <c r="AD22" s="11" t="e">
        <f ca="1">IF(Data!#REF!="","",IF(ISNUMBER(Data!#REF!),IF(AND(Data!#REF!&gt;(TODAY()-(Data_Val!$L$3*365.25)),Data!#REF!&lt;=(TODAY()-(Data_Val!$L$2*365.25))),0,1),1))</f>
        <v>#REF!</v>
      </c>
      <c r="AE22" s="11" t="e">
        <f>IF(Data!#REF!="","",IF(Data!$G22="",1,IF(ISNUMBER(MATCH(Data!#REF!,Data_Val!$D$2:$D$10,0)),0,1)))</f>
        <v>#REF!</v>
      </c>
      <c r="AF22" s="12"/>
      <c r="AG22" s="12" t="e">
        <f>IF(Data!#REF!="","",IF(ISNUMBER(MATCH(Data!#REF!,Data_Val!$A$2:$A$3,0)),0,1))</f>
        <v>#REF!</v>
      </c>
      <c r="AH22" s="26" t="e">
        <f ca="1">IF(Data!#REF!="","",IF(ISNUMBER(Data!#REF!),IF(AND(Data!#REF!&gt;(TODAY()-(Data_Val!$L$3*365.25)),Data!#REF!&lt;=(TODAY()-(Data_Val!$L$2*365.25))),0,1),1))</f>
        <v>#REF!</v>
      </c>
      <c r="AI22" s="12" t="e">
        <f>IF(Data!#REF!="","",IF(Data!$G22="",1,IF(ISNUMBER(MATCH(Data!#REF!,Data_Val!$D$2:$D$10,0)),0,1)))</f>
        <v>#REF!</v>
      </c>
      <c r="AJ22" s="17"/>
      <c r="AK22" s="17" t="e">
        <f>IF(Data!#REF!="","",IF(ISNUMBER(MATCH(Data!#REF!,Data_Val!$A$2:$A$3,0)),0,1))</f>
        <v>#REF!</v>
      </c>
      <c r="AL22" s="25" t="e">
        <f ca="1">IF(Data!#REF!="","",IF(ISNUMBER(Data!#REF!),IF(AND(Data!#REF!&gt;(TODAY()-(Data_Val!$L$3*365.25)),Data!#REF!&lt;=(TODAY()-(Data_Val!$L$2*365.25))),0,1),1))</f>
        <v>#REF!</v>
      </c>
      <c r="AM22" s="17" t="e">
        <f>IF(Data!#REF!="","",IF(Data!$G22="",1,IF(ISNUMBER(MATCH(Data!#REF!,Data_Val!$D$2:$D$10,0)),0,1)))</f>
        <v>#REF!</v>
      </c>
      <c r="AN22" s="13"/>
      <c r="AO22" s="28" t="e">
        <f ca="1">IF(Data!#REF!="","",IF(ISNUMBER(Data!#REF!),IF(AND(Data!#REF!&gt;(TODAY()-(Data_Val!$I$3*365.25)),Data!#REF!&lt;=(TODAY()-(Data_Val!$I$2*365.25))),0,1),1))</f>
        <v>#REF!</v>
      </c>
      <c r="AP22" s="13" t="e">
        <f>IF(Data!#REF!="","",IF(Data!$G22="",1,IF(ISNUMBER(MATCH(Data!#REF!,Data_Val!$D$2:$D$10,0)),0,1)))</f>
        <v>#REF!</v>
      </c>
      <c r="AQ22" s="17"/>
      <c r="AR22" s="30" t="e">
        <f ca="1">IF(Data!#REF!="","",IF(ISNUMBER(Data!#REF!),IF(AND(Data!#REF!&gt;(TODAY()-(Data_Val!$I$3*365.25)),Data!#REF!&lt;=(TODAY()-(Data_Val!$I$2*365.25))),0,1),1))</f>
        <v>#REF!</v>
      </c>
      <c r="AS22" s="31" t="e">
        <f>IF(Data!#REF!="","",IF(Data!$G22="",1,IF(ISNUMBER(MATCH(Data!#REF!,Data_Val!$D$2:$D$10,0)),0,1)))</f>
        <v>#REF!</v>
      </c>
      <c r="AT22" s="11"/>
      <c r="AU22" s="11" t="e">
        <f ca="1">IF(Data!#REF!="","",IF(ISNUMBER(Data!#REF!),IF(AND(Data!#REF!&gt;(TODAY()-(Data_Val!$I$3*365.25)),Data!#REF!&lt;=(TODAY()-(Data_Val!$I$2*365.25))),0,1),1))</f>
        <v>#REF!</v>
      </c>
      <c r="AV22" s="11" t="e">
        <f>IF(Data!#REF!="","",IF(Data!$G22="",1,IF(ISNUMBER(MATCH(Data!#REF!,Data_Val!$D$2:$D$10,0)),0,1)))</f>
        <v>#REF!</v>
      </c>
      <c r="AW22" s="12"/>
      <c r="AX22" s="26" t="e">
        <f ca="1">IF(Data!#REF!="","",IF(ISNUMBER(Data!#REF!),IF(AND(Data!#REF!&gt;(TODAY()-(Data_Val!$I$3*365.25)),Data!#REF!&lt;=(TODAY()-(Data_Val!$I$2*365.25))),0,1),1))</f>
        <v>#REF!</v>
      </c>
      <c r="AY22" s="12" t="e">
        <f>IF(Data!#REF!="","",IF(Data!$G22="",1,IF(ISNUMBER(MATCH(Data!#REF!,Data_Val!$D$2:$D$10,0)),0,1)))</f>
        <v>#REF!</v>
      </c>
      <c r="AZ22" s="11"/>
      <c r="BA22" s="19" t="e">
        <f ca="1">IF(Data!#REF!="","",IF(ISNUMBER(Data!#REF!),IF(AND(Data!#REF!&gt;(TODAY()-(Data_Val!$M$3*365.25)),Data!#REF!&lt;=(TODAY()-(Data_Val!$M$2*365.25))),0,1),1))</f>
        <v>#REF!</v>
      </c>
      <c r="BB22" s="11" t="e">
        <f>IF(Data!#REF!="","",IF(Data!$G22="",1,IF(ISNUMBER(MATCH(Data!#REF!,Data_Val!$D$2:$D$10,0)),0,1)))</f>
        <v>#REF!</v>
      </c>
      <c r="BC22" s="12"/>
      <c r="BD22" s="20" t="e">
        <f ca="1">IF(Data!#REF!="","",IF(ISNUMBER(Data!#REF!),IF(AND(Data!#REF!&gt;(TODAY()-(Data_Val!$M$3*365.25)),Data!#REF!&lt;=(TODAY()-(Data_Val!$M$2*365.25))),0,1),1))</f>
        <v>#REF!</v>
      </c>
      <c r="BE22" s="12" t="e">
        <f>IF(Data!#REF!="","",IF(Data!$G22="",1,IF(ISNUMBER(MATCH(Data!#REF!,Data_Val!$D$2:$D$10,0)),0,1)))</f>
        <v>#REF!</v>
      </c>
      <c r="BF22" s="17"/>
      <c r="BG22" s="18" t="e">
        <f ca="1">IF(Data!#REF!="","",IF(ISNUMBER(Data!#REF!),IF(AND(Data!#REF!&gt;(TODAY()-(Data_Val!$M$3*365.25)),Data!#REF!&lt;=(TODAY()-(Data_Val!$M$2*365.25))),0,1),1))</f>
        <v>#REF!</v>
      </c>
      <c r="BH22" s="29" t="e">
        <f>IF(Data!#REF!="","",IF(Data!$G22="",1,IF(ISNUMBER(MATCH(Data!#REF!,Data_Val!$D$2:$D$10,0)),0,1)))</f>
        <v>#REF!</v>
      </c>
      <c r="BI22" s="13"/>
      <c r="BJ22" s="21" t="e">
        <f ca="1">IF(Data!#REF!="","",IF(ISNUMBER(Data!#REF!),IF(AND(Data!#REF!&gt;(TODAY()-(Data_Val!$M$3*365.25)),Data!#REF!&lt;=(TODAY()-(Data_Val!$M$2*365.25))),0,1),1))</f>
        <v>#REF!</v>
      </c>
      <c r="BK22" s="13" t="e">
        <f>IF(Data!#REF!="","",IF(Data!$G22="",1,IF(ISNUMBER(MATCH(Data!#REF!,Data_Val!$D$2:$D$10,0)),0,1)))</f>
        <v>#REF!</v>
      </c>
    </row>
    <row r="23" spans="1:63" x14ac:dyDescent="0.25">
      <c r="A23" s="9" t="str">
        <f>IF(Data!B23="","",IF(COUNTIFS(Data!A$1:'Data'!A23,Data!A23)&lt;=1,0,1))</f>
        <v/>
      </c>
      <c r="B23" s="9"/>
      <c r="C23" s="23" t="str">
        <f>IF(Data!C23="","",(IF(ISNUMBER(MATCH("*@*.?*",Data!C23,0)),0,1)+IF(COUNTIFS(Data!C$1:'Data'!C23,Data!C23)&gt;1,1,0)))</f>
        <v/>
      </c>
      <c r="D23" s="9" t="str">
        <f>IF(Data!B23="","",IF(ISNUMBER(Data!D23),IF(AND(Data!D23&gt;999999999,Data!D23&lt;=9999999999),IF(COUNTIFS(Data!D$1:'Data'!D23,Data!D23)&lt;=1,0,1),1),1))</f>
        <v/>
      </c>
      <c r="E23" s="9" t="str">
        <f>IF(Data!B23="","",IF(ISNUMBER(MATCH(Data!E23,Data_Val!$A$2:$A$3,0)),0,1))</f>
        <v/>
      </c>
      <c r="F23" s="9" t="str">
        <f ca="1">IF(Data!B23="","",IF(ISNUMBER(Data!F23),IF(AND(Data!F23&gt;(TODAY()-(Data_Val!$H$3*365.25)),Data!F23&lt;=(TODAY()-(Data_Val!$H$2*365.25))),0,1),1))</f>
        <v/>
      </c>
      <c r="G23" s="15" t="str">
        <f>IF(Data!B23="","",IF(AND(Data!G23="",Data!H23&lt;&gt;""),1,IF(Data!#REF!&lt;&gt;"",0,IF(ISNUMBER(MATCH(Data!G23,Data_Val!$C$2:$C$5,0)),0,1))))</f>
        <v/>
      </c>
      <c r="H23" s="15" t="str">
        <f>IF(Data!B23="","",IF(AND(Data!G23&lt;&gt;"",Data!H23=""),1,IF(Data!#REF!&lt;&gt;"",0,IF(Data!G23="",1,IF(ISNUMBER(MATCH(Data!H23,Data_Val!$D$2:$D$35,0)),0,1)))))</f>
        <v/>
      </c>
      <c r="I23" s="15" t="str">
        <f>IF(Data!B23="","",IF(Data!G23&lt;&gt;"",0,IF(ISNUMBER(MATCH(Data!#REF!,Data_Val!$E$2:$E$12,0)),0,1)))</f>
        <v/>
      </c>
      <c r="J23" s="16" t="e">
        <f>IF(OR(Data!B23="",Data!#REF!=""),"",IF(Data!#REF!="",1,0))</f>
        <v>#REF!</v>
      </c>
      <c r="K23" s="16" t="e">
        <f>IF(OR(Data!B23="",Data!#REF!=""),"",IF(Data!#REF!="",1,0))</f>
        <v>#REF!</v>
      </c>
      <c r="L23" s="16" t="e">
        <f>IF(OR(Data!B23="",Data!#REF!=""),"",IF(ISNUMBER(Data!#REF!),IF(AND(Data!#REF!&gt;Data_Val!$G$2,Data!#REF!&lt;=Data_Val!$G$3),0,1),1))</f>
        <v>#REF!</v>
      </c>
      <c r="M23" s="9" t="e">
        <f>IF(OR(Data!B23="",Data!#REF!=""),"",IF(ISNUMBER(MATCH(Data!#REF!,Data_Val!$F$1:$F$38,0)),0,1))</f>
        <v>#REF!</v>
      </c>
      <c r="N23" s="9" t="e">
        <f>IF(OR(Data!B23="",Data!#REF!=""),"",IF(Data!#REF!="",1,0))</f>
        <v>#REF!</v>
      </c>
      <c r="O23" s="17" t="e">
        <f>IF(Data!#REF!="","",IF(Data!#REF!="",1,0))</f>
        <v>#REF!</v>
      </c>
      <c r="P23" s="17" t="e">
        <f>IF(Data!#REF!="","",IF(ISNUMBER(MATCH(Data!#REF!,Data_Val!$A$2:$A$3,0)),0,1))</f>
        <v>#REF!</v>
      </c>
      <c r="Q23" s="25" t="e">
        <f ca="1">IF(Data!#REF!="","",IF(ISNUMBER(Data!#REF!),IF(AND(Data!#REF!&gt;(TODAY()-(Data_Val!$J$3*365.25)),Data!#REF!&lt;=(TODAY()-(Data_Val!$J$2*365.25))),0,1),1))</f>
        <v>#REF!</v>
      </c>
      <c r="R23" s="17" t="e">
        <f>IF(Data!#REF!="","",IF(ISNUMBER(MATCH(Data!#REF!,Data_Val!$B$2:$B$15,0)),0,1))</f>
        <v>#REF!</v>
      </c>
      <c r="S23" s="11" t="str">
        <f>IF(Data!G23="","",IF(Data!G23=Data_Val!$C$2,IF(Data!M23="",0,1),0))</f>
        <v/>
      </c>
      <c r="T23" s="11" t="str">
        <f>IF(Data!M23="","",IF(ISNUMBER(MATCH(Data!N23,Data_Val!$A$2:$A$3,0)),0,1))</f>
        <v/>
      </c>
      <c r="U23" s="11" t="str">
        <f ca="1">IF(Data!M23="","",IF(ISNUMBER(Data!O23),IF(AND(Data!O23&gt;(TODAY()-(Data_Val!$K$3*365.25)),Data!O23&lt;=(TODAY()-(Data_Val!$K$2*365.25))),0,1),1))</f>
        <v/>
      </c>
      <c r="V23" s="12" t="str">
        <f>IF(Data!G23="","",IF(Data!G23=Data_Val!$C$2,IF(Data!P23="",0,1),0))</f>
        <v/>
      </c>
      <c r="W23" s="12" t="str">
        <f>IF(Data!P23="","",IF(ISNUMBER(MATCH(Data!Q23,Data_Val!$A$2:$A$3,0)),0,1))</f>
        <v/>
      </c>
      <c r="X23" s="26" t="str">
        <f ca="1">IF(Data!P23="","",IF(ISNUMBER(Data!R23),IF(AND(Data!R23&gt;(TODAY()-(Data_Val!$L$3*365.25)),Data!R23&lt;=(TODAY()-(Data_Val!$L$2*365.25))),0,1),1))</f>
        <v/>
      </c>
      <c r="Y23" s="13" t="str">
        <f>IF(Data!$G23="","",IF(Data!$G23=Data_Val!$C$2,IF(Data!S23="",0,1),0))</f>
        <v/>
      </c>
      <c r="Z23" s="13" t="str">
        <f>IF(Data!S23="","",IF(ISNUMBER(MATCH(Data!T23,Data_Val!$A$2:$A$3,0)),0,1))</f>
        <v/>
      </c>
      <c r="AA23" s="28" t="str">
        <f ca="1">IF(Data!S23="","",IF(ISNUMBER(Data!U23),IF(AND(Data!U23&gt;(TODAY()-(Data_Val!$L$3*365.25)),Data!U23&lt;=(TODAY()-(Data_Val!$L$2*365.25))),0,1),1))</f>
        <v/>
      </c>
      <c r="AB23" s="11"/>
      <c r="AC23" s="11" t="e">
        <f>IF(Data!#REF!="","",IF(ISNUMBER(MATCH(Data!#REF!,Data_Val!$A$2:$A$3,0)),0,1))</f>
        <v>#REF!</v>
      </c>
      <c r="AD23" s="11" t="e">
        <f ca="1">IF(Data!#REF!="","",IF(ISNUMBER(Data!#REF!),IF(AND(Data!#REF!&gt;(TODAY()-(Data_Val!$L$3*365.25)),Data!#REF!&lt;=(TODAY()-(Data_Val!$L$2*365.25))),0,1),1))</f>
        <v>#REF!</v>
      </c>
      <c r="AE23" s="11" t="e">
        <f>IF(Data!#REF!="","",IF(Data!$G23="",1,IF(ISNUMBER(MATCH(Data!#REF!,Data_Val!$D$2:$D$10,0)),0,1)))</f>
        <v>#REF!</v>
      </c>
      <c r="AF23" s="12"/>
      <c r="AG23" s="12" t="e">
        <f>IF(Data!#REF!="","",IF(ISNUMBER(MATCH(Data!#REF!,Data_Val!$A$2:$A$3,0)),0,1))</f>
        <v>#REF!</v>
      </c>
      <c r="AH23" s="26" t="e">
        <f ca="1">IF(Data!#REF!="","",IF(ISNUMBER(Data!#REF!),IF(AND(Data!#REF!&gt;(TODAY()-(Data_Val!$L$3*365.25)),Data!#REF!&lt;=(TODAY()-(Data_Val!$L$2*365.25))),0,1),1))</f>
        <v>#REF!</v>
      </c>
      <c r="AI23" s="12" t="e">
        <f>IF(Data!#REF!="","",IF(Data!$G23="",1,IF(ISNUMBER(MATCH(Data!#REF!,Data_Val!$D$2:$D$10,0)),0,1)))</f>
        <v>#REF!</v>
      </c>
      <c r="AJ23" s="17"/>
      <c r="AK23" s="17" t="e">
        <f>IF(Data!#REF!="","",IF(ISNUMBER(MATCH(Data!#REF!,Data_Val!$A$2:$A$3,0)),0,1))</f>
        <v>#REF!</v>
      </c>
      <c r="AL23" s="25" t="e">
        <f ca="1">IF(Data!#REF!="","",IF(ISNUMBER(Data!#REF!),IF(AND(Data!#REF!&gt;(TODAY()-(Data_Val!$L$3*365.25)),Data!#REF!&lt;=(TODAY()-(Data_Val!$L$2*365.25))),0,1),1))</f>
        <v>#REF!</v>
      </c>
      <c r="AM23" s="17" t="e">
        <f>IF(Data!#REF!="","",IF(Data!$G23="",1,IF(ISNUMBER(MATCH(Data!#REF!,Data_Val!$D$2:$D$10,0)),0,1)))</f>
        <v>#REF!</v>
      </c>
      <c r="AN23" s="13"/>
      <c r="AO23" s="28" t="e">
        <f ca="1">IF(Data!#REF!="","",IF(ISNUMBER(Data!#REF!),IF(AND(Data!#REF!&gt;(TODAY()-(Data_Val!$I$3*365.25)),Data!#REF!&lt;=(TODAY()-(Data_Val!$I$2*365.25))),0,1),1))</f>
        <v>#REF!</v>
      </c>
      <c r="AP23" s="13" t="e">
        <f>IF(Data!#REF!="","",IF(Data!$G23="",1,IF(ISNUMBER(MATCH(Data!#REF!,Data_Val!$D$2:$D$10,0)),0,1)))</f>
        <v>#REF!</v>
      </c>
      <c r="AQ23" s="17"/>
      <c r="AR23" s="30" t="e">
        <f ca="1">IF(Data!#REF!="","",IF(ISNUMBER(Data!#REF!),IF(AND(Data!#REF!&gt;(TODAY()-(Data_Val!$I$3*365.25)),Data!#REF!&lt;=(TODAY()-(Data_Val!$I$2*365.25))),0,1),1))</f>
        <v>#REF!</v>
      </c>
      <c r="AS23" s="31" t="e">
        <f>IF(Data!#REF!="","",IF(Data!$G23="",1,IF(ISNUMBER(MATCH(Data!#REF!,Data_Val!$D$2:$D$10,0)),0,1)))</f>
        <v>#REF!</v>
      </c>
      <c r="AT23" s="11"/>
      <c r="AU23" s="11" t="e">
        <f ca="1">IF(Data!#REF!="","",IF(ISNUMBER(Data!#REF!),IF(AND(Data!#REF!&gt;(TODAY()-(Data_Val!$I$3*365.25)),Data!#REF!&lt;=(TODAY()-(Data_Val!$I$2*365.25))),0,1),1))</f>
        <v>#REF!</v>
      </c>
      <c r="AV23" s="11" t="e">
        <f>IF(Data!#REF!="","",IF(Data!$G23="",1,IF(ISNUMBER(MATCH(Data!#REF!,Data_Val!$D$2:$D$10,0)),0,1)))</f>
        <v>#REF!</v>
      </c>
      <c r="AW23" s="12"/>
      <c r="AX23" s="26" t="e">
        <f ca="1">IF(Data!#REF!="","",IF(ISNUMBER(Data!#REF!),IF(AND(Data!#REF!&gt;(TODAY()-(Data_Val!$I$3*365.25)),Data!#REF!&lt;=(TODAY()-(Data_Val!$I$2*365.25))),0,1),1))</f>
        <v>#REF!</v>
      </c>
      <c r="AY23" s="12" t="e">
        <f>IF(Data!#REF!="","",IF(Data!$G23="",1,IF(ISNUMBER(MATCH(Data!#REF!,Data_Val!$D$2:$D$10,0)),0,1)))</f>
        <v>#REF!</v>
      </c>
      <c r="AZ23" s="11"/>
      <c r="BA23" s="19" t="e">
        <f ca="1">IF(Data!#REF!="","",IF(ISNUMBER(Data!#REF!),IF(AND(Data!#REF!&gt;(TODAY()-(Data_Val!$M$3*365.25)),Data!#REF!&lt;=(TODAY()-(Data_Val!$M$2*365.25))),0,1),1))</f>
        <v>#REF!</v>
      </c>
      <c r="BB23" s="11" t="e">
        <f>IF(Data!#REF!="","",IF(Data!$G23="",1,IF(ISNUMBER(MATCH(Data!#REF!,Data_Val!$D$2:$D$10,0)),0,1)))</f>
        <v>#REF!</v>
      </c>
      <c r="BC23" s="12"/>
      <c r="BD23" s="20" t="e">
        <f ca="1">IF(Data!#REF!="","",IF(ISNUMBER(Data!#REF!),IF(AND(Data!#REF!&gt;(TODAY()-(Data_Val!$M$3*365.25)),Data!#REF!&lt;=(TODAY()-(Data_Val!$M$2*365.25))),0,1),1))</f>
        <v>#REF!</v>
      </c>
      <c r="BE23" s="12" t="e">
        <f>IF(Data!#REF!="","",IF(Data!$G23="",1,IF(ISNUMBER(MATCH(Data!#REF!,Data_Val!$D$2:$D$10,0)),0,1)))</f>
        <v>#REF!</v>
      </c>
      <c r="BF23" s="17"/>
      <c r="BG23" s="18" t="e">
        <f ca="1">IF(Data!#REF!="","",IF(ISNUMBER(Data!#REF!),IF(AND(Data!#REF!&gt;(TODAY()-(Data_Val!$M$3*365.25)),Data!#REF!&lt;=(TODAY()-(Data_Val!$M$2*365.25))),0,1),1))</f>
        <v>#REF!</v>
      </c>
      <c r="BH23" s="29" t="e">
        <f>IF(Data!#REF!="","",IF(Data!$G23="",1,IF(ISNUMBER(MATCH(Data!#REF!,Data_Val!$D$2:$D$10,0)),0,1)))</f>
        <v>#REF!</v>
      </c>
      <c r="BI23" s="13"/>
      <c r="BJ23" s="21" t="e">
        <f ca="1">IF(Data!#REF!="","",IF(ISNUMBER(Data!#REF!),IF(AND(Data!#REF!&gt;(TODAY()-(Data_Val!$M$3*365.25)),Data!#REF!&lt;=(TODAY()-(Data_Val!$M$2*365.25))),0,1),1))</f>
        <v>#REF!</v>
      </c>
      <c r="BK23" s="13" t="e">
        <f>IF(Data!#REF!="","",IF(Data!$G23="",1,IF(ISNUMBER(MATCH(Data!#REF!,Data_Val!$D$2:$D$10,0)),0,1)))</f>
        <v>#REF!</v>
      </c>
    </row>
    <row r="24" spans="1:63" x14ac:dyDescent="0.25">
      <c r="A24" s="9" t="str">
        <f>IF(Data!B24="","",IF(COUNTIFS(Data!A$1:'Data'!A24,Data!A24)&lt;=1,0,1))</f>
        <v/>
      </c>
      <c r="B24" s="9"/>
      <c r="C24" s="23" t="str">
        <f>IF(Data!C24="","",(IF(ISNUMBER(MATCH("*@*.?*",Data!C24,0)),0,1)+IF(COUNTIFS(Data!C$1:'Data'!C24,Data!C24)&gt;1,1,0)))</f>
        <v/>
      </c>
      <c r="D24" s="9" t="str">
        <f>IF(Data!B24="","",IF(ISNUMBER(Data!D24),IF(AND(Data!D24&gt;999999999,Data!D24&lt;=9999999999),IF(COUNTIFS(Data!D$1:'Data'!D24,Data!D24)&lt;=1,0,1),1),1))</f>
        <v/>
      </c>
      <c r="E24" s="9" t="str">
        <f>IF(Data!B24="","",IF(ISNUMBER(MATCH(Data!E24,Data_Val!$A$2:$A$3,0)),0,1))</f>
        <v/>
      </c>
      <c r="F24" s="9" t="str">
        <f ca="1">IF(Data!B24="","",IF(ISNUMBER(Data!F24),IF(AND(Data!F24&gt;(TODAY()-(Data_Val!$H$3*365.25)),Data!F24&lt;=(TODAY()-(Data_Val!$H$2*365.25))),0,1),1))</f>
        <v/>
      </c>
      <c r="G24" s="15" t="str">
        <f>IF(Data!B24="","",IF(AND(Data!G24="",Data!H24&lt;&gt;""),1,IF(Data!#REF!&lt;&gt;"",0,IF(ISNUMBER(MATCH(Data!G24,Data_Val!$C$2:$C$5,0)),0,1))))</f>
        <v/>
      </c>
      <c r="H24" s="15" t="str">
        <f>IF(Data!B24="","",IF(AND(Data!G24&lt;&gt;"",Data!H24=""),1,IF(Data!#REF!&lt;&gt;"",0,IF(Data!G24="",1,IF(ISNUMBER(MATCH(Data!H24,Data_Val!$D$2:$D$35,0)),0,1)))))</f>
        <v/>
      </c>
      <c r="I24" s="15" t="str">
        <f>IF(Data!B24="","",IF(Data!G24&lt;&gt;"",0,IF(ISNUMBER(MATCH(Data!#REF!,Data_Val!$E$2:$E$12,0)),0,1)))</f>
        <v/>
      </c>
      <c r="J24" s="16" t="e">
        <f>IF(OR(Data!B24="",Data!#REF!=""),"",IF(Data!#REF!="",1,0))</f>
        <v>#REF!</v>
      </c>
      <c r="K24" s="16" t="e">
        <f>IF(OR(Data!B24="",Data!#REF!=""),"",IF(Data!#REF!="",1,0))</f>
        <v>#REF!</v>
      </c>
      <c r="L24" s="16" t="e">
        <f>IF(OR(Data!B24="",Data!#REF!=""),"",IF(ISNUMBER(Data!#REF!),IF(AND(Data!#REF!&gt;Data_Val!$G$2,Data!#REF!&lt;=Data_Val!$G$3),0,1),1))</f>
        <v>#REF!</v>
      </c>
      <c r="M24" s="9" t="e">
        <f>IF(OR(Data!B24="",Data!#REF!=""),"",IF(ISNUMBER(MATCH(Data!#REF!,Data_Val!$F$1:$F$38,0)),0,1))</f>
        <v>#REF!</v>
      </c>
      <c r="N24" s="9" t="e">
        <f>IF(OR(Data!B24="",Data!#REF!=""),"",IF(Data!#REF!="",1,0))</f>
        <v>#REF!</v>
      </c>
      <c r="O24" s="17" t="e">
        <f>IF(Data!#REF!="","",IF(Data!#REF!="",1,0))</f>
        <v>#REF!</v>
      </c>
      <c r="P24" s="17" t="e">
        <f>IF(Data!#REF!="","",IF(ISNUMBER(MATCH(Data!#REF!,Data_Val!$A$2:$A$3,0)),0,1))</f>
        <v>#REF!</v>
      </c>
      <c r="Q24" s="25" t="e">
        <f ca="1">IF(Data!#REF!="","",IF(ISNUMBER(Data!#REF!),IF(AND(Data!#REF!&gt;(TODAY()-(Data_Val!$J$3*365.25)),Data!#REF!&lt;=(TODAY()-(Data_Val!$J$2*365.25))),0,1),1))</f>
        <v>#REF!</v>
      </c>
      <c r="R24" s="17" t="e">
        <f>IF(Data!#REF!="","",IF(ISNUMBER(MATCH(Data!#REF!,Data_Val!$B$2:$B$15,0)),0,1))</f>
        <v>#REF!</v>
      </c>
      <c r="S24" s="11" t="str">
        <f>IF(Data!G24="","",IF(Data!G24=Data_Val!$C$2,IF(Data!M24="",0,1),0))</f>
        <v/>
      </c>
      <c r="T24" s="11" t="str">
        <f>IF(Data!M24="","",IF(ISNUMBER(MATCH(Data!N24,Data_Val!$A$2:$A$3,0)),0,1))</f>
        <v/>
      </c>
      <c r="U24" s="11" t="str">
        <f ca="1">IF(Data!M24="","",IF(ISNUMBER(Data!O24),IF(AND(Data!O24&gt;(TODAY()-(Data_Val!$K$3*365.25)),Data!O24&lt;=(TODAY()-(Data_Val!$K$2*365.25))),0,1),1))</f>
        <v/>
      </c>
      <c r="V24" s="12" t="str">
        <f>IF(Data!G24="","",IF(Data!G24=Data_Val!$C$2,IF(Data!P24="",0,1),0))</f>
        <v/>
      </c>
      <c r="W24" s="12" t="str">
        <f>IF(Data!P24="","",IF(ISNUMBER(MATCH(Data!Q24,Data_Val!$A$2:$A$3,0)),0,1))</f>
        <v/>
      </c>
      <c r="X24" s="26" t="str">
        <f ca="1">IF(Data!P24="","",IF(ISNUMBER(Data!R24),IF(AND(Data!R24&gt;(TODAY()-(Data_Val!$L$3*365.25)),Data!R24&lt;=(TODAY()-(Data_Val!$L$2*365.25))),0,1),1))</f>
        <v/>
      </c>
      <c r="Y24" s="13" t="str">
        <f>IF(Data!$G24="","",IF(Data!$G24=Data_Val!$C$2,IF(Data!S24="",0,1),0))</f>
        <v/>
      </c>
      <c r="Z24" s="13" t="str">
        <f>IF(Data!S24="","",IF(ISNUMBER(MATCH(Data!T24,Data_Val!$A$2:$A$3,0)),0,1))</f>
        <v/>
      </c>
      <c r="AA24" s="28" t="str">
        <f ca="1">IF(Data!S24="","",IF(ISNUMBER(Data!U24),IF(AND(Data!U24&gt;(TODAY()-(Data_Val!$L$3*365.25)),Data!U24&lt;=(TODAY()-(Data_Val!$L$2*365.25))),0,1),1))</f>
        <v/>
      </c>
      <c r="AB24" s="11"/>
      <c r="AC24" s="11" t="e">
        <f>IF(Data!#REF!="","",IF(ISNUMBER(MATCH(Data!#REF!,Data_Val!$A$2:$A$3,0)),0,1))</f>
        <v>#REF!</v>
      </c>
      <c r="AD24" s="11" t="e">
        <f ca="1">IF(Data!#REF!="","",IF(ISNUMBER(Data!#REF!),IF(AND(Data!#REF!&gt;(TODAY()-(Data_Val!$L$3*365.25)),Data!#REF!&lt;=(TODAY()-(Data_Val!$L$2*365.25))),0,1),1))</f>
        <v>#REF!</v>
      </c>
      <c r="AE24" s="11" t="e">
        <f>IF(Data!#REF!="","",IF(Data!$G24="",1,IF(ISNUMBER(MATCH(Data!#REF!,Data_Val!$D$2:$D$10,0)),0,1)))</f>
        <v>#REF!</v>
      </c>
      <c r="AF24" s="12"/>
      <c r="AG24" s="12" t="e">
        <f>IF(Data!#REF!="","",IF(ISNUMBER(MATCH(Data!#REF!,Data_Val!$A$2:$A$3,0)),0,1))</f>
        <v>#REF!</v>
      </c>
      <c r="AH24" s="26" t="e">
        <f ca="1">IF(Data!#REF!="","",IF(ISNUMBER(Data!#REF!),IF(AND(Data!#REF!&gt;(TODAY()-(Data_Val!$L$3*365.25)),Data!#REF!&lt;=(TODAY()-(Data_Val!$L$2*365.25))),0,1),1))</f>
        <v>#REF!</v>
      </c>
      <c r="AI24" s="12" t="e">
        <f>IF(Data!#REF!="","",IF(Data!$G24="",1,IF(ISNUMBER(MATCH(Data!#REF!,Data_Val!$D$2:$D$10,0)),0,1)))</f>
        <v>#REF!</v>
      </c>
      <c r="AJ24" s="17"/>
      <c r="AK24" s="17" t="e">
        <f>IF(Data!#REF!="","",IF(ISNUMBER(MATCH(Data!#REF!,Data_Val!$A$2:$A$3,0)),0,1))</f>
        <v>#REF!</v>
      </c>
      <c r="AL24" s="25" t="e">
        <f ca="1">IF(Data!#REF!="","",IF(ISNUMBER(Data!#REF!),IF(AND(Data!#REF!&gt;(TODAY()-(Data_Val!$L$3*365.25)),Data!#REF!&lt;=(TODAY()-(Data_Val!$L$2*365.25))),0,1),1))</f>
        <v>#REF!</v>
      </c>
      <c r="AM24" s="17" t="e">
        <f>IF(Data!#REF!="","",IF(Data!$G24="",1,IF(ISNUMBER(MATCH(Data!#REF!,Data_Val!$D$2:$D$10,0)),0,1)))</f>
        <v>#REF!</v>
      </c>
      <c r="AN24" s="13"/>
      <c r="AO24" s="28" t="e">
        <f ca="1">IF(Data!#REF!="","",IF(ISNUMBER(Data!#REF!),IF(AND(Data!#REF!&gt;(TODAY()-(Data_Val!$I$3*365.25)),Data!#REF!&lt;=(TODAY()-(Data_Val!$I$2*365.25))),0,1),1))</f>
        <v>#REF!</v>
      </c>
      <c r="AP24" s="13" t="e">
        <f>IF(Data!#REF!="","",IF(Data!$G24="",1,IF(ISNUMBER(MATCH(Data!#REF!,Data_Val!$D$2:$D$10,0)),0,1)))</f>
        <v>#REF!</v>
      </c>
      <c r="AQ24" s="17"/>
      <c r="AR24" s="30" t="e">
        <f ca="1">IF(Data!#REF!="","",IF(ISNUMBER(Data!#REF!),IF(AND(Data!#REF!&gt;(TODAY()-(Data_Val!$I$3*365.25)),Data!#REF!&lt;=(TODAY()-(Data_Val!$I$2*365.25))),0,1),1))</f>
        <v>#REF!</v>
      </c>
      <c r="AS24" s="31" t="e">
        <f>IF(Data!#REF!="","",IF(Data!$G24="",1,IF(ISNUMBER(MATCH(Data!#REF!,Data_Val!$D$2:$D$10,0)),0,1)))</f>
        <v>#REF!</v>
      </c>
      <c r="AT24" s="11"/>
      <c r="AU24" s="11" t="e">
        <f ca="1">IF(Data!#REF!="","",IF(ISNUMBER(Data!#REF!),IF(AND(Data!#REF!&gt;(TODAY()-(Data_Val!$I$3*365.25)),Data!#REF!&lt;=(TODAY()-(Data_Val!$I$2*365.25))),0,1),1))</f>
        <v>#REF!</v>
      </c>
      <c r="AV24" s="11" t="e">
        <f>IF(Data!#REF!="","",IF(Data!$G24="",1,IF(ISNUMBER(MATCH(Data!#REF!,Data_Val!$D$2:$D$10,0)),0,1)))</f>
        <v>#REF!</v>
      </c>
      <c r="AW24" s="12"/>
      <c r="AX24" s="26" t="e">
        <f ca="1">IF(Data!#REF!="","",IF(ISNUMBER(Data!#REF!),IF(AND(Data!#REF!&gt;(TODAY()-(Data_Val!$I$3*365.25)),Data!#REF!&lt;=(TODAY()-(Data_Val!$I$2*365.25))),0,1),1))</f>
        <v>#REF!</v>
      </c>
      <c r="AY24" s="12" t="e">
        <f>IF(Data!#REF!="","",IF(Data!$G24="",1,IF(ISNUMBER(MATCH(Data!#REF!,Data_Val!$D$2:$D$10,0)),0,1)))</f>
        <v>#REF!</v>
      </c>
      <c r="AZ24" s="11"/>
      <c r="BA24" s="19" t="e">
        <f ca="1">IF(Data!#REF!="","",IF(ISNUMBER(Data!#REF!),IF(AND(Data!#REF!&gt;(TODAY()-(Data_Val!$M$3*365.25)),Data!#REF!&lt;=(TODAY()-(Data_Val!$M$2*365.25))),0,1),1))</f>
        <v>#REF!</v>
      </c>
      <c r="BB24" s="11" t="e">
        <f>IF(Data!#REF!="","",IF(Data!$G24="",1,IF(ISNUMBER(MATCH(Data!#REF!,Data_Val!$D$2:$D$10,0)),0,1)))</f>
        <v>#REF!</v>
      </c>
      <c r="BC24" s="12"/>
      <c r="BD24" s="20" t="e">
        <f ca="1">IF(Data!#REF!="","",IF(ISNUMBER(Data!#REF!),IF(AND(Data!#REF!&gt;(TODAY()-(Data_Val!$M$3*365.25)),Data!#REF!&lt;=(TODAY()-(Data_Val!$M$2*365.25))),0,1),1))</f>
        <v>#REF!</v>
      </c>
      <c r="BE24" s="12" t="e">
        <f>IF(Data!#REF!="","",IF(Data!$G24="",1,IF(ISNUMBER(MATCH(Data!#REF!,Data_Val!$D$2:$D$10,0)),0,1)))</f>
        <v>#REF!</v>
      </c>
      <c r="BF24" s="17"/>
      <c r="BG24" s="18" t="e">
        <f ca="1">IF(Data!#REF!="","",IF(ISNUMBER(Data!#REF!),IF(AND(Data!#REF!&gt;(TODAY()-(Data_Val!$M$3*365.25)),Data!#REF!&lt;=(TODAY()-(Data_Val!$M$2*365.25))),0,1),1))</f>
        <v>#REF!</v>
      </c>
      <c r="BH24" s="29" t="e">
        <f>IF(Data!#REF!="","",IF(Data!$G24="",1,IF(ISNUMBER(MATCH(Data!#REF!,Data_Val!$D$2:$D$10,0)),0,1)))</f>
        <v>#REF!</v>
      </c>
      <c r="BI24" s="13"/>
      <c r="BJ24" s="21" t="e">
        <f ca="1">IF(Data!#REF!="","",IF(ISNUMBER(Data!#REF!),IF(AND(Data!#REF!&gt;(TODAY()-(Data_Val!$M$3*365.25)),Data!#REF!&lt;=(TODAY()-(Data_Val!$M$2*365.25))),0,1),1))</f>
        <v>#REF!</v>
      </c>
      <c r="BK24" s="13" t="e">
        <f>IF(Data!#REF!="","",IF(Data!$G24="",1,IF(ISNUMBER(MATCH(Data!#REF!,Data_Val!$D$2:$D$10,0)),0,1)))</f>
        <v>#REF!</v>
      </c>
    </row>
    <row r="25" spans="1:63" x14ac:dyDescent="0.25">
      <c r="A25" s="9" t="str">
        <f>IF(Data!B25="","",IF(COUNTIFS(Data!A$1:'Data'!A25,Data!A25)&lt;=1,0,1))</f>
        <v/>
      </c>
      <c r="B25" s="9"/>
      <c r="C25" s="23" t="str">
        <f>IF(Data!C25="","",(IF(ISNUMBER(MATCH("*@*.?*",Data!C25,0)),0,1)+IF(COUNTIFS(Data!C$1:'Data'!C25,Data!C25)&gt;1,1,0)))</f>
        <v/>
      </c>
      <c r="D25" s="9" t="str">
        <f>IF(Data!B25="","",IF(ISNUMBER(Data!D25),IF(AND(Data!D25&gt;999999999,Data!D25&lt;=9999999999),IF(COUNTIFS(Data!D$1:'Data'!D25,Data!D25)&lt;=1,0,1),1),1))</f>
        <v/>
      </c>
      <c r="E25" s="9" t="str">
        <f>IF(Data!B25="","",IF(ISNUMBER(MATCH(Data!E25,Data_Val!$A$2:$A$3,0)),0,1))</f>
        <v/>
      </c>
      <c r="F25" s="9" t="str">
        <f ca="1">IF(Data!B25="","",IF(ISNUMBER(Data!F25),IF(AND(Data!F25&gt;(TODAY()-(Data_Val!$H$3*365.25)),Data!F25&lt;=(TODAY()-(Data_Val!$H$2*365.25))),0,1),1))</f>
        <v/>
      </c>
      <c r="G25" s="15" t="str">
        <f>IF(Data!B25="","",IF(AND(Data!G25="",Data!H25&lt;&gt;""),1,IF(Data!#REF!&lt;&gt;"",0,IF(ISNUMBER(MATCH(Data!G25,Data_Val!$C$2:$C$5,0)),0,1))))</f>
        <v/>
      </c>
      <c r="H25" s="15" t="str">
        <f>IF(Data!B25="","",IF(AND(Data!G25&lt;&gt;"",Data!H25=""),1,IF(Data!#REF!&lt;&gt;"",0,IF(Data!G25="",1,IF(ISNUMBER(MATCH(Data!H25,Data_Val!$D$2:$D$35,0)),0,1)))))</f>
        <v/>
      </c>
      <c r="I25" s="15" t="str">
        <f>IF(Data!B25="","",IF(Data!G25&lt;&gt;"",0,IF(ISNUMBER(MATCH(Data!#REF!,Data_Val!$E$2:$E$12,0)),0,1)))</f>
        <v/>
      </c>
      <c r="J25" s="16" t="e">
        <f>IF(OR(Data!B25="",Data!#REF!=""),"",IF(Data!#REF!="",1,0))</f>
        <v>#REF!</v>
      </c>
      <c r="K25" s="16" t="e">
        <f>IF(OR(Data!B25="",Data!#REF!=""),"",IF(Data!#REF!="",1,0))</f>
        <v>#REF!</v>
      </c>
      <c r="L25" s="16" t="e">
        <f>IF(OR(Data!B25="",Data!#REF!=""),"",IF(ISNUMBER(Data!#REF!),IF(AND(Data!#REF!&gt;Data_Val!$G$2,Data!#REF!&lt;=Data_Val!$G$3),0,1),1))</f>
        <v>#REF!</v>
      </c>
      <c r="M25" s="9" t="e">
        <f>IF(OR(Data!B25="",Data!#REF!=""),"",IF(ISNUMBER(MATCH(Data!#REF!,Data_Val!$F$1:$F$38,0)),0,1))</f>
        <v>#REF!</v>
      </c>
      <c r="N25" s="9" t="e">
        <f>IF(OR(Data!B25="",Data!#REF!=""),"",IF(Data!#REF!="",1,0))</f>
        <v>#REF!</v>
      </c>
      <c r="O25" s="17" t="e">
        <f>IF(Data!#REF!="","",IF(Data!#REF!="",1,0))</f>
        <v>#REF!</v>
      </c>
      <c r="P25" s="17" t="e">
        <f>IF(Data!#REF!="","",IF(ISNUMBER(MATCH(Data!#REF!,Data_Val!$A$2:$A$3,0)),0,1))</f>
        <v>#REF!</v>
      </c>
      <c r="Q25" s="25" t="e">
        <f ca="1">IF(Data!#REF!="","",IF(ISNUMBER(Data!#REF!),IF(AND(Data!#REF!&gt;(TODAY()-(Data_Val!$J$3*365.25)),Data!#REF!&lt;=(TODAY()-(Data_Val!$J$2*365.25))),0,1),1))</f>
        <v>#REF!</v>
      </c>
      <c r="R25" s="17" t="e">
        <f>IF(Data!#REF!="","",IF(ISNUMBER(MATCH(Data!#REF!,Data_Val!$B$2:$B$15,0)),0,1))</f>
        <v>#REF!</v>
      </c>
      <c r="S25" s="11" t="str">
        <f>IF(Data!G25="","",IF(Data!G25=Data_Val!$C$2,IF(Data!M25="",0,1),0))</f>
        <v/>
      </c>
      <c r="T25" s="11" t="str">
        <f>IF(Data!M25="","",IF(ISNUMBER(MATCH(Data!N25,Data_Val!$A$2:$A$3,0)),0,1))</f>
        <v/>
      </c>
      <c r="U25" s="11" t="str">
        <f ca="1">IF(Data!M25="","",IF(ISNUMBER(Data!O25),IF(AND(Data!O25&gt;(TODAY()-(Data_Val!$K$3*365.25)),Data!O25&lt;=(TODAY()-(Data_Val!$K$2*365.25))),0,1),1))</f>
        <v/>
      </c>
      <c r="V25" s="12" t="str">
        <f>IF(Data!G25="","",IF(Data!G25=Data_Val!$C$2,IF(Data!P25="",0,1),0))</f>
        <v/>
      </c>
      <c r="W25" s="12" t="str">
        <f>IF(Data!P25="","",IF(ISNUMBER(MATCH(Data!Q25,Data_Val!$A$2:$A$3,0)),0,1))</f>
        <v/>
      </c>
      <c r="X25" s="26" t="str">
        <f ca="1">IF(Data!P25="","",IF(ISNUMBER(Data!R25),IF(AND(Data!R25&gt;(TODAY()-(Data_Val!$L$3*365.25)),Data!R25&lt;=(TODAY()-(Data_Val!$L$2*365.25))),0,1),1))</f>
        <v/>
      </c>
      <c r="Y25" s="13" t="str">
        <f>IF(Data!$G25="","",IF(Data!$G25=Data_Val!$C$2,IF(Data!S25="",0,1),0))</f>
        <v/>
      </c>
      <c r="Z25" s="13" t="str">
        <f>IF(Data!S25="","",IF(ISNUMBER(MATCH(Data!T25,Data_Val!$A$2:$A$3,0)),0,1))</f>
        <v/>
      </c>
      <c r="AA25" s="28" t="str">
        <f ca="1">IF(Data!S25="","",IF(ISNUMBER(Data!U25),IF(AND(Data!U25&gt;(TODAY()-(Data_Val!$L$3*365.25)),Data!U25&lt;=(TODAY()-(Data_Val!$L$2*365.25))),0,1),1))</f>
        <v/>
      </c>
      <c r="AB25" s="11"/>
      <c r="AC25" s="11" t="e">
        <f>IF(Data!#REF!="","",IF(ISNUMBER(MATCH(Data!#REF!,Data_Val!$A$2:$A$3,0)),0,1))</f>
        <v>#REF!</v>
      </c>
      <c r="AD25" s="11" t="e">
        <f ca="1">IF(Data!#REF!="","",IF(ISNUMBER(Data!#REF!),IF(AND(Data!#REF!&gt;(TODAY()-(Data_Val!$L$3*365.25)),Data!#REF!&lt;=(TODAY()-(Data_Val!$L$2*365.25))),0,1),1))</f>
        <v>#REF!</v>
      </c>
      <c r="AE25" s="11" t="e">
        <f>IF(Data!#REF!="","",IF(Data!$G25="",1,IF(ISNUMBER(MATCH(Data!#REF!,Data_Val!$D$2:$D$10,0)),0,1)))</f>
        <v>#REF!</v>
      </c>
      <c r="AF25" s="12"/>
      <c r="AG25" s="12" t="e">
        <f>IF(Data!#REF!="","",IF(ISNUMBER(MATCH(Data!#REF!,Data_Val!$A$2:$A$3,0)),0,1))</f>
        <v>#REF!</v>
      </c>
      <c r="AH25" s="26" t="e">
        <f ca="1">IF(Data!#REF!="","",IF(ISNUMBER(Data!#REF!),IF(AND(Data!#REF!&gt;(TODAY()-(Data_Val!$L$3*365.25)),Data!#REF!&lt;=(TODAY()-(Data_Val!$L$2*365.25))),0,1),1))</f>
        <v>#REF!</v>
      </c>
      <c r="AI25" s="12" t="e">
        <f>IF(Data!#REF!="","",IF(Data!$G25="",1,IF(ISNUMBER(MATCH(Data!#REF!,Data_Val!$D$2:$D$10,0)),0,1)))</f>
        <v>#REF!</v>
      </c>
      <c r="AJ25" s="17"/>
      <c r="AK25" s="17" t="e">
        <f>IF(Data!#REF!="","",IF(ISNUMBER(MATCH(Data!#REF!,Data_Val!$A$2:$A$3,0)),0,1))</f>
        <v>#REF!</v>
      </c>
      <c r="AL25" s="25" t="e">
        <f ca="1">IF(Data!#REF!="","",IF(ISNUMBER(Data!#REF!),IF(AND(Data!#REF!&gt;(TODAY()-(Data_Val!$L$3*365.25)),Data!#REF!&lt;=(TODAY()-(Data_Val!$L$2*365.25))),0,1),1))</f>
        <v>#REF!</v>
      </c>
      <c r="AM25" s="17" t="e">
        <f>IF(Data!#REF!="","",IF(Data!$G25="",1,IF(ISNUMBER(MATCH(Data!#REF!,Data_Val!$D$2:$D$10,0)),0,1)))</f>
        <v>#REF!</v>
      </c>
      <c r="AN25" s="13"/>
      <c r="AO25" s="28" t="e">
        <f ca="1">IF(Data!#REF!="","",IF(ISNUMBER(Data!#REF!),IF(AND(Data!#REF!&gt;(TODAY()-(Data_Val!$I$3*365.25)),Data!#REF!&lt;=(TODAY()-(Data_Val!$I$2*365.25))),0,1),1))</f>
        <v>#REF!</v>
      </c>
      <c r="AP25" s="13" t="e">
        <f>IF(Data!#REF!="","",IF(Data!$G25="",1,IF(ISNUMBER(MATCH(Data!#REF!,Data_Val!$D$2:$D$10,0)),0,1)))</f>
        <v>#REF!</v>
      </c>
      <c r="AQ25" s="17"/>
      <c r="AR25" s="30" t="e">
        <f ca="1">IF(Data!#REF!="","",IF(ISNUMBER(Data!#REF!),IF(AND(Data!#REF!&gt;(TODAY()-(Data_Val!$I$3*365.25)),Data!#REF!&lt;=(TODAY()-(Data_Val!$I$2*365.25))),0,1),1))</f>
        <v>#REF!</v>
      </c>
      <c r="AS25" s="31" t="e">
        <f>IF(Data!#REF!="","",IF(Data!$G25="",1,IF(ISNUMBER(MATCH(Data!#REF!,Data_Val!$D$2:$D$10,0)),0,1)))</f>
        <v>#REF!</v>
      </c>
      <c r="AT25" s="11"/>
      <c r="AU25" s="11" t="e">
        <f ca="1">IF(Data!#REF!="","",IF(ISNUMBER(Data!#REF!),IF(AND(Data!#REF!&gt;(TODAY()-(Data_Val!$I$3*365.25)),Data!#REF!&lt;=(TODAY()-(Data_Val!$I$2*365.25))),0,1),1))</f>
        <v>#REF!</v>
      </c>
      <c r="AV25" s="11" t="e">
        <f>IF(Data!#REF!="","",IF(Data!$G25="",1,IF(ISNUMBER(MATCH(Data!#REF!,Data_Val!$D$2:$D$10,0)),0,1)))</f>
        <v>#REF!</v>
      </c>
      <c r="AW25" s="12"/>
      <c r="AX25" s="26" t="e">
        <f ca="1">IF(Data!#REF!="","",IF(ISNUMBER(Data!#REF!),IF(AND(Data!#REF!&gt;(TODAY()-(Data_Val!$I$3*365.25)),Data!#REF!&lt;=(TODAY()-(Data_Val!$I$2*365.25))),0,1),1))</f>
        <v>#REF!</v>
      </c>
      <c r="AY25" s="12" t="e">
        <f>IF(Data!#REF!="","",IF(Data!$G25="",1,IF(ISNUMBER(MATCH(Data!#REF!,Data_Val!$D$2:$D$10,0)),0,1)))</f>
        <v>#REF!</v>
      </c>
      <c r="AZ25" s="11"/>
      <c r="BA25" s="19" t="e">
        <f ca="1">IF(Data!#REF!="","",IF(ISNUMBER(Data!#REF!),IF(AND(Data!#REF!&gt;(TODAY()-(Data_Val!$M$3*365.25)),Data!#REF!&lt;=(TODAY()-(Data_Val!$M$2*365.25))),0,1),1))</f>
        <v>#REF!</v>
      </c>
      <c r="BB25" s="11" t="e">
        <f>IF(Data!#REF!="","",IF(Data!$G25="",1,IF(ISNUMBER(MATCH(Data!#REF!,Data_Val!$D$2:$D$10,0)),0,1)))</f>
        <v>#REF!</v>
      </c>
      <c r="BC25" s="12"/>
      <c r="BD25" s="20" t="e">
        <f ca="1">IF(Data!#REF!="","",IF(ISNUMBER(Data!#REF!),IF(AND(Data!#REF!&gt;(TODAY()-(Data_Val!$M$3*365.25)),Data!#REF!&lt;=(TODAY()-(Data_Val!$M$2*365.25))),0,1),1))</f>
        <v>#REF!</v>
      </c>
      <c r="BE25" s="12" t="e">
        <f>IF(Data!#REF!="","",IF(Data!$G25="",1,IF(ISNUMBER(MATCH(Data!#REF!,Data_Val!$D$2:$D$10,0)),0,1)))</f>
        <v>#REF!</v>
      </c>
      <c r="BF25" s="17"/>
      <c r="BG25" s="18" t="e">
        <f ca="1">IF(Data!#REF!="","",IF(ISNUMBER(Data!#REF!),IF(AND(Data!#REF!&gt;(TODAY()-(Data_Val!$M$3*365.25)),Data!#REF!&lt;=(TODAY()-(Data_Val!$M$2*365.25))),0,1),1))</f>
        <v>#REF!</v>
      </c>
      <c r="BH25" s="29" t="e">
        <f>IF(Data!#REF!="","",IF(Data!$G25="",1,IF(ISNUMBER(MATCH(Data!#REF!,Data_Val!$D$2:$D$10,0)),0,1)))</f>
        <v>#REF!</v>
      </c>
      <c r="BI25" s="13"/>
      <c r="BJ25" s="21" t="e">
        <f ca="1">IF(Data!#REF!="","",IF(ISNUMBER(Data!#REF!),IF(AND(Data!#REF!&gt;(TODAY()-(Data_Val!$M$3*365.25)),Data!#REF!&lt;=(TODAY()-(Data_Val!$M$2*365.25))),0,1),1))</f>
        <v>#REF!</v>
      </c>
      <c r="BK25" s="13" t="e">
        <f>IF(Data!#REF!="","",IF(Data!$G25="",1,IF(ISNUMBER(MATCH(Data!#REF!,Data_Val!$D$2:$D$10,0)),0,1)))</f>
        <v>#REF!</v>
      </c>
    </row>
    <row r="26" spans="1:63" x14ac:dyDescent="0.25">
      <c r="A26" s="9" t="str">
        <f>IF(Data!B26="","",IF(COUNTIFS(Data!A$1:'Data'!A26,Data!A26)&lt;=1,0,1))</f>
        <v/>
      </c>
      <c r="B26" s="9"/>
      <c r="C26" s="23" t="str">
        <f>IF(Data!C26="","",(IF(ISNUMBER(MATCH("*@*.?*",Data!C26,0)),0,1)+IF(COUNTIFS(Data!C$1:'Data'!C26,Data!C26)&gt;1,1,0)))</f>
        <v/>
      </c>
      <c r="D26" s="9" t="str">
        <f>IF(Data!B26="","",IF(ISNUMBER(Data!D26),IF(AND(Data!D26&gt;999999999,Data!D26&lt;=9999999999),IF(COUNTIFS(Data!D$1:'Data'!D26,Data!D26)&lt;=1,0,1),1),1))</f>
        <v/>
      </c>
      <c r="E26" s="9" t="str">
        <f>IF(Data!B26="","",IF(ISNUMBER(MATCH(Data!E26,Data_Val!$A$2:$A$3,0)),0,1))</f>
        <v/>
      </c>
      <c r="F26" s="9" t="str">
        <f ca="1">IF(Data!B26="","",IF(ISNUMBER(Data!F26),IF(AND(Data!F26&gt;(TODAY()-(Data_Val!$H$3*365.25)),Data!F26&lt;=(TODAY()-(Data_Val!$H$2*365.25))),0,1),1))</f>
        <v/>
      </c>
      <c r="G26" s="15" t="str">
        <f>IF(Data!B26="","",IF(AND(Data!G26="",Data!H26&lt;&gt;""),1,IF(Data!#REF!&lt;&gt;"",0,IF(ISNUMBER(MATCH(Data!G26,Data_Val!$C$2:$C$5,0)),0,1))))</f>
        <v/>
      </c>
      <c r="H26" s="15" t="str">
        <f>IF(Data!B26="","",IF(AND(Data!G26&lt;&gt;"",Data!H26=""),1,IF(Data!#REF!&lt;&gt;"",0,IF(Data!G26="",1,IF(ISNUMBER(MATCH(Data!H26,Data_Val!$D$2:$D$35,0)),0,1)))))</f>
        <v/>
      </c>
      <c r="I26" s="15" t="str">
        <f>IF(Data!B26="","",IF(Data!G26&lt;&gt;"",0,IF(ISNUMBER(MATCH(Data!#REF!,Data_Val!$E$2:$E$12,0)),0,1)))</f>
        <v/>
      </c>
      <c r="J26" s="16" t="e">
        <f>IF(OR(Data!B26="",Data!#REF!=""),"",IF(Data!#REF!="",1,0))</f>
        <v>#REF!</v>
      </c>
      <c r="K26" s="16" t="e">
        <f>IF(OR(Data!B26="",Data!#REF!=""),"",IF(Data!#REF!="",1,0))</f>
        <v>#REF!</v>
      </c>
      <c r="L26" s="16" t="e">
        <f>IF(OR(Data!B26="",Data!#REF!=""),"",IF(ISNUMBER(Data!#REF!),IF(AND(Data!#REF!&gt;Data_Val!$G$2,Data!#REF!&lt;=Data_Val!$G$3),0,1),1))</f>
        <v>#REF!</v>
      </c>
      <c r="M26" s="9" t="e">
        <f>IF(OR(Data!B26="",Data!#REF!=""),"",IF(ISNUMBER(MATCH(Data!#REF!,Data_Val!$F$1:$F$38,0)),0,1))</f>
        <v>#REF!</v>
      </c>
      <c r="N26" s="9" t="e">
        <f>IF(OR(Data!B26="",Data!#REF!=""),"",IF(Data!#REF!="",1,0))</f>
        <v>#REF!</v>
      </c>
      <c r="O26" s="17" t="e">
        <f>IF(Data!#REF!="","",IF(Data!#REF!="",1,0))</f>
        <v>#REF!</v>
      </c>
      <c r="P26" s="17" t="e">
        <f>IF(Data!#REF!="","",IF(ISNUMBER(MATCH(Data!#REF!,Data_Val!$A$2:$A$3,0)),0,1))</f>
        <v>#REF!</v>
      </c>
      <c r="Q26" s="25" t="e">
        <f ca="1">IF(Data!#REF!="","",IF(ISNUMBER(Data!#REF!),IF(AND(Data!#REF!&gt;(TODAY()-(Data_Val!$J$3*365.25)),Data!#REF!&lt;=(TODAY()-(Data_Val!$J$2*365.25))),0,1),1))</f>
        <v>#REF!</v>
      </c>
      <c r="R26" s="17" t="e">
        <f>IF(Data!#REF!="","",IF(ISNUMBER(MATCH(Data!#REF!,Data_Val!$B$2:$B$15,0)),0,1))</f>
        <v>#REF!</v>
      </c>
      <c r="S26" s="11" t="str">
        <f>IF(Data!G26="","",IF(Data!G26=Data_Val!$C$2,IF(Data!M26="",0,1),0))</f>
        <v/>
      </c>
      <c r="T26" s="11" t="str">
        <f>IF(Data!M26="","",IF(ISNUMBER(MATCH(Data!N26,Data_Val!$A$2:$A$3,0)),0,1))</f>
        <v/>
      </c>
      <c r="U26" s="11" t="str">
        <f ca="1">IF(Data!M26="","",IF(ISNUMBER(Data!O26),IF(AND(Data!O26&gt;(TODAY()-(Data_Val!$K$3*365.25)),Data!O26&lt;=(TODAY()-(Data_Val!$K$2*365.25))),0,1),1))</f>
        <v/>
      </c>
      <c r="V26" s="12" t="str">
        <f>IF(Data!G26="","",IF(Data!G26=Data_Val!$C$2,IF(Data!P26="",0,1),0))</f>
        <v/>
      </c>
      <c r="W26" s="12" t="str">
        <f>IF(Data!P26="","",IF(ISNUMBER(MATCH(Data!Q26,Data_Val!$A$2:$A$3,0)),0,1))</f>
        <v/>
      </c>
      <c r="X26" s="26" t="str">
        <f ca="1">IF(Data!P26="","",IF(ISNUMBER(Data!R26),IF(AND(Data!R26&gt;(TODAY()-(Data_Val!$L$3*365.25)),Data!R26&lt;=(TODAY()-(Data_Val!$L$2*365.25))),0,1),1))</f>
        <v/>
      </c>
      <c r="Y26" s="13" t="str">
        <f>IF(Data!$G26="","",IF(Data!$G26=Data_Val!$C$2,IF(Data!S26="",0,1),0))</f>
        <v/>
      </c>
      <c r="Z26" s="13" t="str">
        <f>IF(Data!S26="","",IF(ISNUMBER(MATCH(Data!T26,Data_Val!$A$2:$A$3,0)),0,1))</f>
        <v/>
      </c>
      <c r="AA26" s="28" t="str">
        <f ca="1">IF(Data!S26="","",IF(ISNUMBER(Data!U26),IF(AND(Data!U26&gt;(TODAY()-(Data_Val!$L$3*365.25)),Data!U26&lt;=(TODAY()-(Data_Val!$L$2*365.25))),0,1),1))</f>
        <v/>
      </c>
      <c r="AB26" s="11"/>
      <c r="AC26" s="11" t="e">
        <f>IF(Data!#REF!="","",IF(ISNUMBER(MATCH(Data!#REF!,Data_Val!$A$2:$A$3,0)),0,1))</f>
        <v>#REF!</v>
      </c>
      <c r="AD26" s="11" t="e">
        <f ca="1">IF(Data!#REF!="","",IF(ISNUMBER(Data!#REF!),IF(AND(Data!#REF!&gt;(TODAY()-(Data_Val!$L$3*365.25)),Data!#REF!&lt;=(TODAY()-(Data_Val!$L$2*365.25))),0,1),1))</f>
        <v>#REF!</v>
      </c>
      <c r="AE26" s="11" t="e">
        <f>IF(Data!#REF!="","",IF(Data!$G26="",1,IF(ISNUMBER(MATCH(Data!#REF!,Data_Val!$D$2:$D$10,0)),0,1)))</f>
        <v>#REF!</v>
      </c>
      <c r="AF26" s="12"/>
      <c r="AG26" s="12" t="e">
        <f>IF(Data!#REF!="","",IF(ISNUMBER(MATCH(Data!#REF!,Data_Val!$A$2:$A$3,0)),0,1))</f>
        <v>#REF!</v>
      </c>
      <c r="AH26" s="26" t="e">
        <f ca="1">IF(Data!#REF!="","",IF(ISNUMBER(Data!#REF!),IF(AND(Data!#REF!&gt;(TODAY()-(Data_Val!$L$3*365.25)),Data!#REF!&lt;=(TODAY()-(Data_Val!$L$2*365.25))),0,1),1))</f>
        <v>#REF!</v>
      </c>
      <c r="AI26" s="12" t="e">
        <f>IF(Data!#REF!="","",IF(Data!$G26="",1,IF(ISNUMBER(MATCH(Data!#REF!,Data_Val!$D$2:$D$10,0)),0,1)))</f>
        <v>#REF!</v>
      </c>
      <c r="AJ26" s="17"/>
      <c r="AK26" s="17" t="e">
        <f>IF(Data!#REF!="","",IF(ISNUMBER(MATCH(Data!#REF!,Data_Val!$A$2:$A$3,0)),0,1))</f>
        <v>#REF!</v>
      </c>
      <c r="AL26" s="25" t="e">
        <f ca="1">IF(Data!#REF!="","",IF(ISNUMBER(Data!#REF!),IF(AND(Data!#REF!&gt;(TODAY()-(Data_Val!$L$3*365.25)),Data!#REF!&lt;=(TODAY()-(Data_Val!$L$2*365.25))),0,1),1))</f>
        <v>#REF!</v>
      </c>
      <c r="AM26" s="17" t="e">
        <f>IF(Data!#REF!="","",IF(Data!$G26="",1,IF(ISNUMBER(MATCH(Data!#REF!,Data_Val!$D$2:$D$10,0)),0,1)))</f>
        <v>#REF!</v>
      </c>
      <c r="AN26" s="13"/>
      <c r="AO26" s="28" t="e">
        <f ca="1">IF(Data!#REF!="","",IF(ISNUMBER(Data!#REF!),IF(AND(Data!#REF!&gt;(TODAY()-(Data_Val!$I$3*365.25)),Data!#REF!&lt;=(TODAY()-(Data_Val!$I$2*365.25))),0,1),1))</f>
        <v>#REF!</v>
      </c>
      <c r="AP26" s="13" t="e">
        <f>IF(Data!#REF!="","",IF(Data!$G26="",1,IF(ISNUMBER(MATCH(Data!#REF!,Data_Val!$D$2:$D$10,0)),0,1)))</f>
        <v>#REF!</v>
      </c>
      <c r="AQ26" s="17"/>
      <c r="AR26" s="30" t="e">
        <f ca="1">IF(Data!#REF!="","",IF(ISNUMBER(Data!#REF!),IF(AND(Data!#REF!&gt;(TODAY()-(Data_Val!$I$3*365.25)),Data!#REF!&lt;=(TODAY()-(Data_Val!$I$2*365.25))),0,1),1))</f>
        <v>#REF!</v>
      </c>
      <c r="AS26" s="31" t="e">
        <f>IF(Data!#REF!="","",IF(Data!$G26="",1,IF(ISNUMBER(MATCH(Data!#REF!,Data_Val!$D$2:$D$10,0)),0,1)))</f>
        <v>#REF!</v>
      </c>
      <c r="AT26" s="11"/>
      <c r="AU26" s="11" t="e">
        <f ca="1">IF(Data!#REF!="","",IF(ISNUMBER(Data!#REF!),IF(AND(Data!#REF!&gt;(TODAY()-(Data_Val!$I$3*365.25)),Data!#REF!&lt;=(TODAY()-(Data_Val!$I$2*365.25))),0,1),1))</f>
        <v>#REF!</v>
      </c>
      <c r="AV26" s="11" t="e">
        <f>IF(Data!#REF!="","",IF(Data!$G26="",1,IF(ISNUMBER(MATCH(Data!#REF!,Data_Val!$D$2:$D$10,0)),0,1)))</f>
        <v>#REF!</v>
      </c>
      <c r="AW26" s="12"/>
      <c r="AX26" s="26" t="e">
        <f ca="1">IF(Data!#REF!="","",IF(ISNUMBER(Data!#REF!),IF(AND(Data!#REF!&gt;(TODAY()-(Data_Val!$I$3*365.25)),Data!#REF!&lt;=(TODAY()-(Data_Val!$I$2*365.25))),0,1),1))</f>
        <v>#REF!</v>
      </c>
      <c r="AY26" s="12" t="e">
        <f>IF(Data!#REF!="","",IF(Data!$G26="",1,IF(ISNUMBER(MATCH(Data!#REF!,Data_Val!$D$2:$D$10,0)),0,1)))</f>
        <v>#REF!</v>
      </c>
      <c r="AZ26" s="11"/>
      <c r="BA26" s="19" t="e">
        <f ca="1">IF(Data!#REF!="","",IF(ISNUMBER(Data!#REF!),IF(AND(Data!#REF!&gt;(TODAY()-(Data_Val!$M$3*365.25)),Data!#REF!&lt;=(TODAY()-(Data_Val!$M$2*365.25))),0,1),1))</f>
        <v>#REF!</v>
      </c>
      <c r="BB26" s="11" t="e">
        <f>IF(Data!#REF!="","",IF(Data!$G26="",1,IF(ISNUMBER(MATCH(Data!#REF!,Data_Val!$D$2:$D$10,0)),0,1)))</f>
        <v>#REF!</v>
      </c>
      <c r="BC26" s="12"/>
      <c r="BD26" s="20" t="e">
        <f ca="1">IF(Data!#REF!="","",IF(ISNUMBER(Data!#REF!),IF(AND(Data!#REF!&gt;(TODAY()-(Data_Val!$M$3*365.25)),Data!#REF!&lt;=(TODAY()-(Data_Val!$M$2*365.25))),0,1),1))</f>
        <v>#REF!</v>
      </c>
      <c r="BE26" s="12" t="e">
        <f>IF(Data!#REF!="","",IF(Data!$G26="",1,IF(ISNUMBER(MATCH(Data!#REF!,Data_Val!$D$2:$D$10,0)),0,1)))</f>
        <v>#REF!</v>
      </c>
      <c r="BF26" s="17"/>
      <c r="BG26" s="18" t="e">
        <f ca="1">IF(Data!#REF!="","",IF(ISNUMBER(Data!#REF!),IF(AND(Data!#REF!&gt;(TODAY()-(Data_Val!$M$3*365.25)),Data!#REF!&lt;=(TODAY()-(Data_Val!$M$2*365.25))),0,1),1))</f>
        <v>#REF!</v>
      </c>
      <c r="BH26" s="29" t="e">
        <f>IF(Data!#REF!="","",IF(Data!$G26="",1,IF(ISNUMBER(MATCH(Data!#REF!,Data_Val!$D$2:$D$10,0)),0,1)))</f>
        <v>#REF!</v>
      </c>
      <c r="BI26" s="13"/>
      <c r="BJ26" s="21" t="e">
        <f ca="1">IF(Data!#REF!="","",IF(ISNUMBER(Data!#REF!),IF(AND(Data!#REF!&gt;(TODAY()-(Data_Val!$M$3*365.25)),Data!#REF!&lt;=(TODAY()-(Data_Val!$M$2*365.25))),0,1),1))</f>
        <v>#REF!</v>
      </c>
      <c r="BK26" s="13" t="e">
        <f>IF(Data!#REF!="","",IF(Data!$G26="",1,IF(ISNUMBER(MATCH(Data!#REF!,Data_Val!$D$2:$D$10,0)),0,1)))</f>
        <v>#REF!</v>
      </c>
    </row>
    <row r="27" spans="1:63" x14ac:dyDescent="0.25">
      <c r="A27" s="9" t="str">
        <f>IF(Data!B27="","",IF(COUNTIFS(Data!A$1:'Data'!A27,Data!A27)&lt;=1,0,1))</f>
        <v/>
      </c>
      <c r="B27" s="9"/>
      <c r="C27" s="23" t="str">
        <f>IF(Data!C27="","",(IF(ISNUMBER(MATCH("*@*.?*",Data!C27,0)),0,1)+IF(COUNTIFS(Data!C$1:'Data'!C27,Data!C27)&gt;1,1,0)))</f>
        <v/>
      </c>
      <c r="D27" s="9" t="str">
        <f>IF(Data!B27="","",IF(ISNUMBER(Data!D27),IF(AND(Data!D27&gt;999999999,Data!D27&lt;=9999999999),IF(COUNTIFS(Data!D$1:'Data'!D27,Data!D27)&lt;=1,0,1),1),1))</f>
        <v/>
      </c>
      <c r="E27" s="9" t="str">
        <f>IF(Data!B27="","",IF(ISNUMBER(MATCH(Data!E27,Data_Val!$A$2:$A$3,0)),0,1))</f>
        <v/>
      </c>
      <c r="F27" s="9" t="str">
        <f ca="1">IF(Data!B27="","",IF(ISNUMBER(Data!F27),IF(AND(Data!F27&gt;(TODAY()-(Data_Val!$H$3*365.25)),Data!F27&lt;=(TODAY()-(Data_Val!$H$2*365.25))),0,1),1))</f>
        <v/>
      </c>
      <c r="G27" s="15" t="str">
        <f>IF(Data!B27="","",IF(AND(Data!G27="",Data!H27&lt;&gt;""),1,IF(Data!#REF!&lt;&gt;"",0,IF(ISNUMBER(MATCH(Data!G27,Data_Val!$C$2:$C$5,0)),0,1))))</f>
        <v/>
      </c>
      <c r="H27" s="15" t="str">
        <f>IF(Data!B27="","",IF(AND(Data!G27&lt;&gt;"",Data!H27=""),1,IF(Data!#REF!&lt;&gt;"",0,IF(Data!G27="",1,IF(ISNUMBER(MATCH(Data!H27,Data_Val!$D$2:$D$35,0)),0,1)))))</f>
        <v/>
      </c>
      <c r="I27" s="15" t="str">
        <f>IF(Data!B27="","",IF(Data!G27&lt;&gt;"",0,IF(ISNUMBER(MATCH(Data!#REF!,Data_Val!$E$2:$E$12,0)),0,1)))</f>
        <v/>
      </c>
      <c r="J27" s="16" t="e">
        <f>IF(OR(Data!B27="",Data!#REF!=""),"",IF(Data!#REF!="",1,0))</f>
        <v>#REF!</v>
      </c>
      <c r="K27" s="16" t="e">
        <f>IF(OR(Data!B27="",Data!#REF!=""),"",IF(Data!#REF!="",1,0))</f>
        <v>#REF!</v>
      </c>
      <c r="L27" s="16" t="e">
        <f>IF(OR(Data!B27="",Data!#REF!=""),"",IF(ISNUMBER(Data!#REF!),IF(AND(Data!#REF!&gt;Data_Val!$G$2,Data!#REF!&lt;=Data_Val!$G$3),0,1),1))</f>
        <v>#REF!</v>
      </c>
      <c r="M27" s="9" t="e">
        <f>IF(OR(Data!B27="",Data!#REF!=""),"",IF(ISNUMBER(MATCH(Data!#REF!,Data_Val!$F$1:$F$38,0)),0,1))</f>
        <v>#REF!</v>
      </c>
      <c r="N27" s="9" t="e">
        <f>IF(OR(Data!B27="",Data!#REF!=""),"",IF(Data!#REF!="",1,0))</f>
        <v>#REF!</v>
      </c>
      <c r="O27" s="17" t="e">
        <f>IF(Data!#REF!="","",IF(Data!#REF!="",1,0))</f>
        <v>#REF!</v>
      </c>
      <c r="P27" s="17" t="e">
        <f>IF(Data!#REF!="","",IF(ISNUMBER(MATCH(Data!#REF!,Data_Val!$A$2:$A$3,0)),0,1))</f>
        <v>#REF!</v>
      </c>
      <c r="Q27" s="25" t="e">
        <f ca="1">IF(Data!#REF!="","",IF(ISNUMBER(Data!#REF!),IF(AND(Data!#REF!&gt;(TODAY()-(Data_Val!$J$3*365.25)),Data!#REF!&lt;=(TODAY()-(Data_Val!$J$2*365.25))),0,1),1))</f>
        <v>#REF!</v>
      </c>
      <c r="R27" s="17" t="e">
        <f>IF(Data!#REF!="","",IF(ISNUMBER(MATCH(Data!#REF!,Data_Val!$B$2:$B$15,0)),0,1))</f>
        <v>#REF!</v>
      </c>
      <c r="S27" s="11" t="str">
        <f>IF(Data!G27="","",IF(Data!G27=Data_Val!$C$2,IF(Data!M27="",0,1),0))</f>
        <v/>
      </c>
      <c r="T27" s="11" t="str">
        <f>IF(Data!M27="","",IF(ISNUMBER(MATCH(Data!N27,Data_Val!$A$2:$A$3,0)),0,1))</f>
        <v/>
      </c>
      <c r="U27" s="11" t="str">
        <f ca="1">IF(Data!M27="","",IF(ISNUMBER(Data!O27),IF(AND(Data!O27&gt;(TODAY()-(Data_Val!$K$3*365.25)),Data!O27&lt;=(TODAY()-(Data_Val!$K$2*365.25))),0,1),1))</f>
        <v/>
      </c>
      <c r="V27" s="12" t="str">
        <f>IF(Data!G27="","",IF(Data!G27=Data_Val!$C$2,IF(Data!P27="",0,1),0))</f>
        <v/>
      </c>
      <c r="W27" s="12" t="str">
        <f>IF(Data!P27="","",IF(ISNUMBER(MATCH(Data!Q27,Data_Val!$A$2:$A$3,0)),0,1))</f>
        <v/>
      </c>
      <c r="X27" s="26" t="str">
        <f ca="1">IF(Data!P27="","",IF(ISNUMBER(Data!R27),IF(AND(Data!R27&gt;(TODAY()-(Data_Val!$L$3*365.25)),Data!R27&lt;=(TODAY()-(Data_Val!$L$2*365.25))),0,1),1))</f>
        <v/>
      </c>
      <c r="Y27" s="13" t="str">
        <f>IF(Data!$G27="","",IF(Data!$G27=Data_Val!$C$2,IF(Data!S27="",0,1),0))</f>
        <v/>
      </c>
      <c r="Z27" s="13" t="str">
        <f>IF(Data!S27="","",IF(ISNUMBER(MATCH(Data!T27,Data_Val!$A$2:$A$3,0)),0,1))</f>
        <v/>
      </c>
      <c r="AA27" s="28" t="str">
        <f ca="1">IF(Data!S27="","",IF(ISNUMBER(Data!U27),IF(AND(Data!U27&gt;(TODAY()-(Data_Val!$L$3*365.25)),Data!U27&lt;=(TODAY()-(Data_Val!$L$2*365.25))),0,1),1))</f>
        <v/>
      </c>
      <c r="AB27" s="11"/>
      <c r="AC27" s="11" t="e">
        <f>IF(Data!#REF!="","",IF(ISNUMBER(MATCH(Data!#REF!,Data_Val!$A$2:$A$3,0)),0,1))</f>
        <v>#REF!</v>
      </c>
      <c r="AD27" s="11" t="e">
        <f ca="1">IF(Data!#REF!="","",IF(ISNUMBER(Data!#REF!),IF(AND(Data!#REF!&gt;(TODAY()-(Data_Val!$L$3*365.25)),Data!#REF!&lt;=(TODAY()-(Data_Val!$L$2*365.25))),0,1),1))</f>
        <v>#REF!</v>
      </c>
      <c r="AE27" s="11" t="e">
        <f>IF(Data!#REF!="","",IF(Data!$G27="",1,IF(ISNUMBER(MATCH(Data!#REF!,Data_Val!$D$2:$D$10,0)),0,1)))</f>
        <v>#REF!</v>
      </c>
      <c r="AF27" s="12"/>
      <c r="AG27" s="12" t="e">
        <f>IF(Data!#REF!="","",IF(ISNUMBER(MATCH(Data!#REF!,Data_Val!$A$2:$A$3,0)),0,1))</f>
        <v>#REF!</v>
      </c>
      <c r="AH27" s="26" t="e">
        <f ca="1">IF(Data!#REF!="","",IF(ISNUMBER(Data!#REF!),IF(AND(Data!#REF!&gt;(TODAY()-(Data_Val!$L$3*365.25)),Data!#REF!&lt;=(TODAY()-(Data_Val!$L$2*365.25))),0,1),1))</f>
        <v>#REF!</v>
      </c>
      <c r="AI27" s="12" t="e">
        <f>IF(Data!#REF!="","",IF(Data!$G27="",1,IF(ISNUMBER(MATCH(Data!#REF!,Data_Val!$D$2:$D$10,0)),0,1)))</f>
        <v>#REF!</v>
      </c>
      <c r="AJ27" s="17"/>
      <c r="AK27" s="17" t="e">
        <f>IF(Data!#REF!="","",IF(ISNUMBER(MATCH(Data!#REF!,Data_Val!$A$2:$A$3,0)),0,1))</f>
        <v>#REF!</v>
      </c>
      <c r="AL27" s="25" t="e">
        <f ca="1">IF(Data!#REF!="","",IF(ISNUMBER(Data!#REF!),IF(AND(Data!#REF!&gt;(TODAY()-(Data_Val!$L$3*365.25)),Data!#REF!&lt;=(TODAY()-(Data_Val!$L$2*365.25))),0,1),1))</f>
        <v>#REF!</v>
      </c>
      <c r="AM27" s="17" t="e">
        <f>IF(Data!#REF!="","",IF(Data!$G27="",1,IF(ISNUMBER(MATCH(Data!#REF!,Data_Val!$D$2:$D$10,0)),0,1)))</f>
        <v>#REF!</v>
      </c>
      <c r="AN27" s="13"/>
      <c r="AO27" s="28" t="e">
        <f ca="1">IF(Data!#REF!="","",IF(ISNUMBER(Data!#REF!),IF(AND(Data!#REF!&gt;(TODAY()-(Data_Val!$I$3*365.25)),Data!#REF!&lt;=(TODAY()-(Data_Val!$I$2*365.25))),0,1),1))</f>
        <v>#REF!</v>
      </c>
      <c r="AP27" s="13" t="e">
        <f>IF(Data!#REF!="","",IF(Data!$G27="",1,IF(ISNUMBER(MATCH(Data!#REF!,Data_Val!$D$2:$D$10,0)),0,1)))</f>
        <v>#REF!</v>
      </c>
      <c r="AQ27" s="17"/>
      <c r="AR27" s="30" t="e">
        <f ca="1">IF(Data!#REF!="","",IF(ISNUMBER(Data!#REF!),IF(AND(Data!#REF!&gt;(TODAY()-(Data_Val!$I$3*365.25)),Data!#REF!&lt;=(TODAY()-(Data_Val!$I$2*365.25))),0,1),1))</f>
        <v>#REF!</v>
      </c>
      <c r="AS27" s="31" t="e">
        <f>IF(Data!#REF!="","",IF(Data!$G27="",1,IF(ISNUMBER(MATCH(Data!#REF!,Data_Val!$D$2:$D$10,0)),0,1)))</f>
        <v>#REF!</v>
      </c>
      <c r="AT27" s="11"/>
      <c r="AU27" s="11" t="e">
        <f ca="1">IF(Data!#REF!="","",IF(ISNUMBER(Data!#REF!),IF(AND(Data!#REF!&gt;(TODAY()-(Data_Val!$I$3*365.25)),Data!#REF!&lt;=(TODAY()-(Data_Val!$I$2*365.25))),0,1),1))</f>
        <v>#REF!</v>
      </c>
      <c r="AV27" s="11" t="e">
        <f>IF(Data!#REF!="","",IF(Data!$G27="",1,IF(ISNUMBER(MATCH(Data!#REF!,Data_Val!$D$2:$D$10,0)),0,1)))</f>
        <v>#REF!</v>
      </c>
      <c r="AW27" s="12"/>
      <c r="AX27" s="26" t="e">
        <f ca="1">IF(Data!#REF!="","",IF(ISNUMBER(Data!#REF!),IF(AND(Data!#REF!&gt;(TODAY()-(Data_Val!$I$3*365.25)),Data!#REF!&lt;=(TODAY()-(Data_Val!$I$2*365.25))),0,1),1))</f>
        <v>#REF!</v>
      </c>
      <c r="AY27" s="12" t="e">
        <f>IF(Data!#REF!="","",IF(Data!$G27="",1,IF(ISNUMBER(MATCH(Data!#REF!,Data_Val!$D$2:$D$10,0)),0,1)))</f>
        <v>#REF!</v>
      </c>
      <c r="AZ27" s="11"/>
      <c r="BA27" s="19" t="e">
        <f ca="1">IF(Data!#REF!="","",IF(ISNUMBER(Data!#REF!),IF(AND(Data!#REF!&gt;(TODAY()-(Data_Val!$M$3*365.25)),Data!#REF!&lt;=(TODAY()-(Data_Val!$M$2*365.25))),0,1),1))</f>
        <v>#REF!</v>
      </c>
      <c r="BB27" s="11" t="e">
        <f>IF(Data!#REF!="","",IF(Data!$G27="",1,IF(ISNUMBER(MATCH(Data!#REF!,Data_Val!$D$2:$D$10,0)),0,1)))</f>
        <v>#REF!</v>
      </c>
      <c r="BC27" s="12"/>
      <c r="BD27" s="20" t="e">
        <f ca="1">IF(Data!#REF!="","",IF(ISNUMBER(Data!#REF!),IF(AND(Data!#REF!&gt;(TODAY()-(Data_Val!$M$3*365.25)),Data!#REF!&lt;=(TODAY()-(Data_Val!$M$2*365.25))),0,1),1))</f>
        <v>#REF!</v>
      </c>
      <c r="BE27" s="12" t="e">
        <f>IF(Data!#REF!="","",IF(Data!$G27="",1,IF(ISNUMBER(MATCH(Data!#REF!,Data_Val!$D$2:$D$10,0)),0,1)))</f>
        <v>#REF!</v>
      </c>
      <c r="BF27" s="17"/>
      <c r="BG27" s="18" t="e">
        <f ca="1">IF(Data!#REF!="","",IF(ISNUMBER(Data!#REF!),IF(AND(Data!#REF!&gt;(TODAY()-(Data_Val!$M$3*365.25)),Data!#REF!&lt;=(TODAY()-(Data_Val!$M$2*365.25))),0,1),1))</f>
        <v>#REF!</v>
      </c>
      <c r="BH27" s="29" t="e">
        <f>IF(Data!#REF!="","",IF(Data!$G27="",1,IF(ISNUMBER(MATCH(Data!#REF!,Data_Val!$D$2:$D$10,0)),0,1)))</f>
        <v>#REF!</v>
      </c>
      <c r="BI27" s="13"/>
      <c r="BJ27" s="21" t="e">
        <f ca="1">IF(Data!#REF!="","",IF(ISNUMBER(Data!#REF!),IF(AND(Data!#REF!&gt;(TODAY()-(Data_Val!$M$3*365.25)),Data!#REF!&lt;=(TODAY()-(Data_Val!$M$2*365.25))),0,1),1))</f>
        <v>#REF!</v>
      </c>
      <c r="BK27" s="13" t="e">
        <f>IF(Data!#REF!="","",IF(Data!$G27="",1,IF(ISNUMBER(MATCH(Data!#REF!,Data_Val!$D$2:$D$10,0)),0,1)))</f>
        <v>#REF!</v>
      </c>
    </row>
    <row r="28" spans="1:63" x14ac:dyDescent="0.25">
      <c r="A28" s="9" t="str">
        <f>IF(Data!B28="","",IF(COUNTIFS(Data!A$1:'Data'!A28,Data!A28)&lt;=1,0,1))</f>
        <v/>
      </c>
      <c r="B28" s="9"/>
      <c r="C28" s="23" t="str">
        <f>IF(Data!C28="","",(IF(ISNUMBER(MATCH("*@*.?*",Data!C28,0)),0,1)+IF(COUNTIFS(Data!C$1:'Data'!C28,Data!C28)&gt;1,1,0)))</f>
        <v/>
      </c>
      <c r="D28" s="9" t="str">
        <f>IF(Data!B28="","",IF(ISNUMBER(Data!D28),IF(AND(Data!D28&gt;999999999,Data!D28&lt;=9999999999),IF(COUNTIFS(Data!D$1:'Data'!D28,Data!D28)&lt;=1,0,1),1),1))</f>
        <v/>
      </c>
      <c r="E28" s="9" t="str">
        <f>IF(Data!B28="","",IF(ISNUMBER(MATCH(Data!E28,Data_Val!$A$2:$A$3,0)),0,1))</f>
        <v/>
      </c>
      <c r="F28" s="9" t="str">
        <f ca="1">IF(Data!B28="","",IF(ISNUMBER(Data!F28),IF(AND(Data!F28&gt;(TODAY()-(Data_Val!$H$3*365.25)),Data!F28&lt;=(TODAY()-(Data_Val!$H$2*365.25))),0,1),1))</f>
        <v/>
      </c>
      <c r="G28" s="15" t="str">
        <f>IF(Data!B28="","",IF(AND(Data!G28="",Data!H28&lt;&gt;""),1,IF(Data!#REF!&lt;&gt;"",0,IF(ISNUMBER(MATCH(Data!G28,Data_Val!$C$2:$C$5,0)),0,1))))</f>
        <v/>
      </c>
      <c r="H28" s="15" t="str">
        <f>IF(Data!B28="","",IF(AND(Data!G28&lt;&gt;"",Data!H28=""),1,IF(Data!#REF!&lt;&gt;"",0,IF(Data!G28="",1,IF(ISNUMBER(MATCH(Data!H28,Data_Val!$D$2:$D$35,0)),0,1)))))</f>
        <v/>
      </c>
      <c r="I28" s="15" t="str">
        <f>IF(Data!B28="","",IF(Data!G28&lt;&gt;"",0,IF(ISNUMBER(MATCH(Data!#REF!,Data_Val!$E$2:$E$12,0)),0,1)))</f>
        <v/>
      </c>
      <c r="J28" s="16" t="e">
        <f>IF(OR(Data!B28="",Data!#REF!=""),"",IF(Data!#REF!="",1,0))</f>
        <v>#REF!</v>
      </c>
      <c r="K28" s="16" t="e">
        <f>IF(OR(Data!B28="",Data!#REF!=""),"",IF(Data!#REF!="",1,0))</f>
        <v>#REF!</v>
      </c>
      <c r="L28" s="16" t="e">
        <f>IF(OR(Data!B28="",Data!#REF!=""),"",IF(ISNUMBER(Data!#REF!),IF(AND(Data!#REF!&gt;Data_Val!$G$2,Data!#REF!&lt;=Data_Val!$G$3),0,1),1))</f>
        <v>#REF!</v>
      </c>
      <c r="M28" s="9" t="e">
        <f>IF(OR(Data!B28="",Data!#REF!=""),"",IF(ISNUMBER(MATCH(Data!#REF!,Data_Val!$F$1:$F$38,0)),0,1))</f>
        <v>#REF!</v>
      </c>
      <c r="N28" s="9" t="e">
        <f>IF(OR(Data!B28="",Data!#REF!=""),"",IF(Data!#REF!="",1,0))</f>
        <v>#REF!</v>
      </c>
      <c r="O28" s="17" t="e">
        <f>IF(Data!#REF!="","",IF(Data!#REF!="",1,0))</f>
        <v>#REF!</v>
      </c>
      <c r="P28" s="17" t="e">
        <f>IF(Data!#REF!="","",IF(ISNUMBER(MATCH(Data!#REF!,Data_Val!$A$2:$A$3,0)),0,1))</f>
        <v>#REF!</v>
      </c>
      <c r="Q28" s="25" t="e">
        <f ca="1">IF(Data!#REF!="","",IF(ISNUMBER(Data!#REF!),IF(AND(Data!#REF!&gt;(TODAY()-(Data_Val!$J$3*365.25)),Data!#REF!&lt;=(TODAY()-(Data_Val!$J$2*365.25))),0,1),1))</f>
        <v>#REF!</v>
      </c>
      <c r="R28" s="17" t="e">
        <f>IF(Data!#REF!="","",IF(ISNUMBER(MATCH(Data!#REF!,Data_Val!$B$2:$B$15,0)),0,1))</f>
        <v>#REF!</v>
      </c>
      <c r="S28" s="11" t="str">
        <f>IF(Data!G28="","",IF(Data!G28=Data_Val!$C$2,IF(Data!M28="",0,1),0))</f>
        <v/>
      </c>
      <c r="T28" s="11" t="str">
        <f>IF(Data!M28="","",IF(ISNUMBER(MATCH(Data!N28,Data_Val!$A$2:$A$3,0)),0,1))</f>
        <v/>
      </c>
      <c r="U28" s="11" t="str">
        <f ca="1">IF(Data!M28="","",IF(ISNUMBER(Data!O28),IF(AND(Data!O28&gt;(TODAY()-(Data_Val!$K$3*365.25)),Data!O28&lt;=(TODAY()-(Data_Val!$K$2*365.25))),0,1),1))</f>
        <v/>
      </c>
      <c r="V28" s="12" t="str">
        <f>IF(Data!G28="","",IF(Data!G28=Data_Val!$C$2,IF(Data!P28="",0,1),0))</f>
        <v/>
      </c>
      <c r="W28" s="12" t="str">
        <f>IF(Data!P28="","",IF(ISNUMBER(MATCH(Data!Q28,Data_Val!$A$2:$A$3,0)),0,1))</f>
        <v/>
      </c>
      <c r="X28" s="26" t="str">
        <f ca="1">IF(Data!P28="","",IF(ISNUMBER(Data!R28),IF(AND(Data!R28&gt;(TODAY()-(Data_Val!$L$3*365.25)),Data!R28&lt;=(TODAY()-(Data_Val!$L$2*365.25))),0,1),1))</f>
        <v/>
      </c>
      <c r="Y28" s="13" t="str">
        <f>IF(Data!$G28="","",IF(Data!$G28=Data_Val!$C$2,IF(Data!S28="",0,1),0))</f>
        <v/>
      </c>
      <c r="Z28" s="13" t="str">
        <f>IF(Data!S28="","",IF(ISNUMBER(MATCH(Data!T28,Data_Val!$A$2:$A$3,0)),0,1))</f>
        <v/>
      </c>
      <c r="AA28" s="28" t="str">
        <f ca="1">IF(Data!S28="","",IF(ISNUMBER(Data!U28),IF(AND(Data!U28&gt;(TODAY()-(Data_Val!$L$3*365.25)),Data!U28&lt;=(TODAY()-(Data_Val!$L$2*365.25))),0,1),1))</f>
        <v/>
      </c>
      <c r="AB28" s="11"/>
      <c r="AC28" s="11" t="e">
        <f>IF(Data!#REF!="","",IF(ISNUMBER(MATCH(Data!#REF!,Data_Val!$A$2:$A$3,0)),0,1))</f>
        <v>#REF!</v>
      </c>
      <c r="AD28" s="11" t="e">
        <f ca="1">IF(Data!#REF!="","",IF(ISNUMBER(Data!#REF!),IF(AND(Data!#REF!&gt;(TODAY()-(Data_Val!$L$3*365.25)),Data!#REF!&lt;=(TODAY()-(Data_Val!$L$2*365.25))),0,1),1))</f>
        <v>#REF!</v>
      </c>
      <c r="AE28" s="11" t="e">
        <f>IF(Data!#REF!="","",IF(Data!$G28="",1,IF(ISNUMBER(MATCH(Data!#REF!,Data_Val!$D$2:$D$10,0)),0,1)))</f>
        <v>#REF!</v>
      </c>
      <c r="AF28" s="12"/>
      <c r="AG28" s="12" t="e">
        <f>IF(Data!#REF!="","",IF(ISNUMBER(MATCH(Data!#REF!,Data_Val!$A$2:$A$3,0)),0,1))</f>
        <v>#REF!</v>
      </c>
      <c r="AH28" s="26" t="e">
        <f ca="1">IF(Data!#REF!="","",IF(ISNUMBER(Data!#REF!),IF(AND(Data!#REF!&gt;(TODAY()-(Data_Val!$L$3*365.25)),Data!#REF!&lt;=(TODAY()-(Data_Val!$L$2*365.25))),0,1),1))</f>
        <v>#REF!</v>
      </c>
      <c r="AI28" s="12" t="e">
        <f>IF(Data!#REF!="","",IF(Data!$G28="",1,IF(ISNUMBER(MATCH(Data!#REF!,Data_Val!$D$2:$D$10,0)),0,1)))</f>
        <v>#REF!</v>
      </c>
      <c r="AJ28" s="17"/>
      <c r="AK28" s="17" t="e">
        <f>IF(Data!#REF!="","",IF(ISNUMBER(MATCH(Data!#REF!,Data_Val!$A$2:$A$3,0)),0,1))</f>
        <v>#REF!</v>
      </c>
      <c r="AL28" s="25" t="e">
        <f ca="1">IF(Data!#REF!="","",IF(ISNUMBER(Data!#REF!),IF(AND(Data!#REF!&gt;(TODAY()-(Data_Val!$L$3*365.25)),Data!#REF!&lt;=(TODAY()-(Data_Val!$L$2*365.25))),0,1),1))</f>
        <v>#REF!</v>
      </c>
      <c r="AM28" s="17" t="e">
        <f>IF(Data!#REF!="","",IF(Data!$G28="",1,IF(ISNUMBER(MATCH(Data!#REF!,Data_Val!$D$2:$D$10,0)),0,1)))</f>
        <v>#REF!</v>
      </c>
      <c r="AN28" s="13"/>
      <c r="AO28" s="28" t="e">
        <f ca="1">IF(Data!#REF!="","",IF(ISNUMBER(Data!#REF!),IF(AND(Data!#REF!&gt;(TODAY()-(Data_Val!$I$3*365.25)),Data!#REF!&lt;=(TODAY()-(Data_Val!$I$2*365.25))),0,1),1))</f>
        <v>#REF!</v>
      </c>
      <c r="AP28" s="13" t="e">
        <f>IF(Data!#REF!="","",IF(Data!$G28="",1,IF(ISNUMBER(MATCH(Data!#REF!,Data_Val!$D$2:$D$10,0)),0,1)))</f>
        <v>#REF!</v>
      </c>
      <c r="AQ28" s="17"/>
      <c r="AR28" s="30" t="e">
        <f ca="1">IF(Data!#REF!="","",IF(ISNUMBER(Data!#REF!),IF(AND(Data!#REF!&gt;(TODAY()-(Data_Val!$I$3*365.25)),Data!#REF!&lt;=(TODAY()-(Data_Val!$I$2*365.25))),0,1),1))</f>
        <v>#REF!</v>
      </c>
      <c r="AS28" s="31" t="e">
        <f>IF(Data!#REF!="","",IF(Data!$G28="",1,IF(ISNUMBER(MATCH(Data!#REF!,Data_Val!$D$2:$D$10,0)),0,1)))</f>
        <v>#REF!</v>
      </c>
      <c r="AT28" s="11"/>
      <c r="AU28" s="11" t="e">
        <f ca="1">IF(Data!#REF!="","",IF(ISNUMBER(Data!#REF!),IF(AND(Data!#REF!&gt;(TODAY()-(Data_Val!$I$3*365.25)),Data!#REF!&lt;=(TODAY()-(Data_Val!$I$2*365.25))),0,1),1))</f>
        <v>#REF!</v>
      </c>
      <c r="AV28" s="11" t="e">
        <f>IF(Data!#REF!="","",IF(Data!$G28="",1,IF(ISNUMBER(MATCH(Data!#REF!,Data_Val!$D$2:$D$10,0)),0,1)))</f>
        <v>#REF!</v>
      </c>
      <c r="AW28" s="12"/>
      <c r="AX28" s="26" t="e">
        <f ca="1">IF(Data!#REF!="","",IF(ISNUMBER(Data!#REF!),IF(AND(Data!#REF!&gt;(TODAY()-(Data_Val!$I$3*365.25)),Data!#REF!&lt;=(TODAY()-(Data_Val!$I$2*365.25))),0,1),1))</f>
        <v>#REF!</v>
      </c>
      <c r="AY28" s="12" t="e">
        <f>IF(Data!#REF!="","",IF(Data!$G28="",1,IF(ISNUMBER(MATCH(Data!#REF!,Data_Val!$D$2:$D$10,0)),0,1)))</f>
        <v>#REF!</v>
      </c>
      <c r="AZ28" s="11"/>
      <c r="BA28" s="19" t="e">
        <f ca="1">IF(Data!#REF!="","",IF(ISNUMBER(Data!#REF!),IF(AND(Data!#REF!&gt;(TODAY()-(Data_Val!$M$3*365.25)),Data!#REF!&lt;=(TODAY()-(Data_Val!$M$2*365.25))),0,1),1))</f>
        <v>#REF!</v>
      </c>
      <c r="BB28" s="11" t="e">
        <f>IF(Data!#REF!="","",IF(Data!$G28="",1,IF(ISNUMBER(MATCH(Data!#REF!,Data_Val!$D$2:$D$10,0)),0,1)))</f>
        <v>#REF!</v>
      </c>
      <c r="BC28" s="12"/>
      <c r="BD28" s="20" t="e">
        <f ca="1">IF(Data!#REF!="","",IF(ISNUMBER(Data!#REF!),IF(AND(Data!#REF!&gt;(TODAY()-(Data_Val!$M$3*365.25)),Data!#REF!&lt;=(TODAY()-(Data_Val!$M$2*365.25))),0,1),1))</f>
        <v>#REF!</v>
      </c>
      <c r="BE28" s="12" t="e">
        <f>IF(Data!#REF!="","",IF(Data!$G28="",1,IF(ISNUMBER(MATCH(Data!#REF!,Data_Val!$D$2:$D$10,0)),0,1)))</f>
        <v>#REF!</v>
      </c>
      <c r="BF28" s="17"/>
      <c r="BG28" s="18" t="e">
        <f ca="1">IF(Data!#REF!="","",IF(ISNUMBER(Data!#REF!),IF(AND(Data!#REF!&gt;(TODAY()-(Data_Val!$M$3*365.25)),Data!#REF!&lt;=(TODAY()-(Data_Val!$M$2*365.25))),0,1),1))</f>
        <v>#REF!</v>
      </c>
      <c r="BH28" s="29" t="e">
        <f>IF(Data!#REF!="","",IF(Data!$G28="",1,IF(ISNUMBER(MATCH(Data!#REF!,Data_Val!$D$2:$D$10,0)),0,1)))</f>
        <v>#REF!</v>
      </c>
      <c r="BI28" s="13"/>
      <c r="BJ28" s="21" t="e">
        <f ca="1">IF(Data!#REF!="","",IF(ISNUMBER(Data!#REF!),IF(AND(Data!#REF!&gt;(TODAY()-(Data_Val!$M$3*365.25)),Data!#REF!&lt;=(TODAY()-(Data_Val!$M$2*365.25))),0,1),1))</f>
        <v>#REF!</v>
      </c>
      <c r="BK28" s="13" t="e">
        <f>IF(Data!#REF!="","",IF(Data!$G28="",1,IF(ISNUMBER(MATCH(Data!#REF!,Data_Val!$D$2:$D$10,0)),0,1)))</f>
        <v>#REF!</v>
      </c>
    </row>
    <row r="29" spans="1:63" x14ac:dyDescent="0.25">
      <c r="A29" s="9" t="str">
        <f>IF(Data!B29="","",IF(COUNTIFS(Data!A$1:'Data'!A29,Data!A29)&lt;=1,0,1))</f>
        <v/>
      </c>
      <c r="B29" s="9"/>
      <c r="C29" s="23" t="str">
        <f>IF(Data!C29="","",(IF(ISNUMBER(MATCH("*@*.?*",Data!C29,0)),0,1)+IF(COUNTIFS(Data!C$1:'Data'!C29,Data!C29)&gt;1,1,0)))</f>
        <v/>
      </c>
      <c r="D29" s="9" t="str">
        <f>IF(Data!B29="","",IF(ISNUMBER(Data!D29),IF(AND(Data!D29&gt;999999999,Data!D29&lt;=9999999999),IF(COUNTIFS(Data!D$1:'Data'!D29,Data!D29)&lt;=1,0,1),1),1))</f>
        <v/>
      </c>
      <c r="E29" s="9" t="str">
        <f>IF(Data!B29="","",IF(ISNUMBER(MATCH(Data!E29,Data_Val!$A$2:$A$3,0)),0,1))</f>
        <v/>
      </c>
      <c r="F29" s="9" t="str">
        <f ca="1">IF(Data!B29="","",IF(ISNUMBER(Data!F29),IF(AND(Data!F29&gt;(TODAY()-(Data_Val!$H$3*365.25)),Data!F29&lt;=(TODAY()-(Data_Val!$H$2*365.25))),0,1),1))</f>
        <v/>
      </c>
      <c r="G29" s="15" t="str">
        <f>IF(Data!B29="","",IF(AND(Data!G29="",Data!H29&lt;&gt;""),1,IF(Data!#REF!&lt;&gt;"",0,IF(ISNUMBER(MATCH(Data!G29,Data_Val!$C$2:$C$5,0)),0,1))))</f>
        <v/>
      </c>
      <c r="H29" s="15" t="str">
        <f>IF(Data!B29="","",IF(AND(Data!G29&lt;&gt;"",Data!H29=""),1,IF(Data!#REF!&lt;&gt;"",0,IF(Data!G29="",1,IF(ISNUMBER(MATCH(Data!H29,Data_Val!$D$2:$D$35,0)),0,1)))))</f>
        <v/>
      </c>
      <c r="I29" s="15" t="str">
        <f>IF(Data!B29="","",IF(Data!G29&lt;&gt;"",0,IF(ISNUMBER(MATCH(Data!#REF!,Data_Val!$E$2:$E$12,0)),0,1)))</f>
        <v/>
      </c>
      <c r="J29" s="16" t="e">
        <f>IF(OR(Data!B29="",Data!#REF!=""),"",IF(Data!#REF!="",1,0))</f>
        <v>#REF!</v>
      </c>
      <c r="K29" s="16" t="e">
        <f>IF(OR(Data!B29="",Data!#REF!=""),"",IF(Data!#REF!="",1,0))</f>
        <v>#REF!</v>
      </c>
      <c r="L29" s="16" t="e">
        <f>IF(OR(Data!B29="",Data!#REF!=""),"",IF(ISNUMBER(Data!#REF!),IF(AND(Data!#REF!&gt;Data_Val!$G$2,Data!#REF!&lt;=Data_Val!$G$3),0,1),1))</f>
        <v>#REF!</v>
      </c>
      <c r="M29" s="9" t="e">
        <f>IF(OR(Data!B29="",Data!#REF!=""),"",IF(ISNUMBER(MATCH(Data!#REF!,Data_Val!$F$1:$F$38,0)),0,1))</f>
        <v>#REF!</v>
      </c>
      <c r="N29" s="9" t="e">
        <f>IF(OR(Data!B29="",Data!#REF!=""),"",IF(Data!#REF!="",1,0))</f>
        <v>#REF!</v>
      </c>
      <c r="O29" s="17" t="e">
        <f>IF(Data!#REF!="","",IF(Data!#REF!="",1,0))</f>
        <v>#REF!</v>
      </c>
      <c r="P29" s="17" t="e">
        <f>IF(Data!#REF!="","",IF(ISNUMBER(MATCH(Data!#REF!,Data_Val!$A$2:$A$3,0)),0,1))</f>
        <v>#REF!</v>
      </c>
      <c r="Q29" s="25" t="e">
        <f ca="1">IF(Data!#REF!="","",IF(ISNUMBER(Data!#REF!),IF(AND(Data!#REF!&gt;(TODAY()-(Data_Val!$J$3*365.25)),Data!#REF!&lt;=(TODAY()-(Data_Val!$J$2*365.25))),0,1),1))</f>
        <v>#REF!</v>
      </c>
      <c r="R29" s="17" t="e">
        <f>IF(Data!#REF!="","",IF(ISNUMBER(MATCH(Data!#REF!,Data_Val!$B$2:$B$15,0)),0,1))</f>
        <v>#REF!</v>
      </c>
      <c r="S29" s="11" t="str">
        <f>IF(Data!G29="","",IF(Data!G29=Data_Val!$C$2,IF(Data!M29="",0,1),0))</f>
        <v/>
      </c>
      <c r="T29" s="11" t="str">
        <f>IF(Data!M29="","",IF(ISNUMBER(MATCH(Data!N29,Data_Val!$A$2:$A$3,0)),0,1))</f>
        <v/>
      </c>
      <c r="U29" s="11" t="str">
        <f ca="1">IF(Data!M29="","",IF(ISNUMBER(Data!O29),IF(AND(Data!O29&gt;(TODAY()-(Data_Val!$K$3*365.25)),Data!O29&lt;=(TODAY()-(Data_Val!$K$2*365.25))),0,1),1))</f>
        <v/>
      </c>
      <c r="V29" s="12" t="str">
        <f>IF(Data!G29="","",IF(Data!G29=Data_Val!$C$2,IF(Data!P29="",0,1),0))</f>
        <v/>
      </c>
      <c r="W29" s="12" t="str">
        <f>IF(Data!P29="","",IF(ISNUMBER(MATCH(Data!Q29,Data_Val!$A$2:$A$3,0)),0,1))</f>
        <v/>
      </c>
      <c r="X29" s="26" t="str">
        <f ca="1">IF(Data!P29="","",IF(ISNUMBER(Data!R29),IF(AND(Data!R29&gt;(TODAY()-(Data_Val!$L$3*365.25)),Data!R29&lt;=(TODAY()-(Data_Val!$L$2*365.25))),0,1),1))</f>
        <v/>
      </c>
      <c r="Y29" s="13" t="str">
        <f>IF(Data!$G29="","",IF(Data!$G29=Data_Val!$C$2,IF(Data!S29="",0,1),0))</f>
        <v/>
      </c>
      <c r="Z29" s="13" t="str">
        <f>IF(Data!S29="","",IF(ISNUMBER(MATCH(Data!T29,Data_Val!$A$2:$A$3,0)),0,1))</f>
        <v/>
      </c>
      <c r="AA29" s="28" t="str">
        <f ca="1">IF(Data!S29="","",IF(ISNUMBER(Data!U29),IF(AND(Data!U29&gt;(TODAY()-(Data_Val!$L$3*365.25)),Data!U29&lt;=(TODAY()-(Data_Val!$L$2*365.25))),0,1),1))</f>
        <v/>
      </c>
      <c r="AB29" s="11"/>
      <c r="AC29" s="11" t="e">
        <f>IF(Data!#REF!="","",IF(ISNUMBER(MATCH(Data!#REF!,Data_Val!$A$2:$A$3,0)),0,1))</f>
        <v>#REF!</v>
      </c>
      <c r="AD29" s="11" t="e">
        <f ca="1">IF(Data!#REF!="","",IF(ISNUMBER(Data!#REF!),IF(AND(Data!#REF!&gt;(TODAY()-(Data_Val!$L$3*365.25)),Data!#REF!&lt;=(TODAY()-(Data_Val!$L$2*365.25))),0,1),1))</f>
        <v>#REF!</v>
      </c>
      <c r="AE29" s="11" t="e">
        <f>IF(Data!#REF!="","",IF(Data!$G29="",1,IF(ISNUMBER(MATCH(Data!#REF!,Data_Val!$D$2:$D$10,0)),0,1)))</f>
        <v>#REF!</v>
      </c>
      <c r="AF29" s="12"/>
      <c r="AG29" s="12" t="e">
        <f>IF(Data!#REF!="","",IF(ISNUMBER(MATCH(Data!#REF!,Data_Val!$A$2:$A$3,0)),0,1))</f>
        <v>#REF!</v>
      </c>
      <c r="AH29" s="26" t="e">
        <f ca="1">IF(Data!#REF!="","",IF(ISNUMBER(Data!#REF!),IF(AND(Data!#REF!&gt;(TODAY()-(Data_Val!$L$3*365.25)),Data!#REF!&lt;=(TODAY()-(Data_Val!$L$2*365.25))),0,1),1))</f>
        <v>#REF!</v>
      </c>
      <c r="AI29" s="12" t="e">
        <f>IF(Data!#REF!="","",IF(Data!$G29="",1,IF(ISNUMBER(MATCH(Data!#REF!,Data_Val!$D$2:$D$10,0)),0,1)))</f>
        <v>#REF!</v>
      </c>
      <c r="AJ29" s="17"/>
      <c r="AK29" s="17" t="e">
        <f>IF(Data!#REF!="","",IF(ISNUMBER(MATCH(Data!#REF!,Data_Val!$A$2:$A$3,0)),0,1))</f>
        <v>#REF!</v>
      </c>
      <c r="AL29" s="25" t="e">
        <f ca="1">IF(Data!#REF!="","",IF(ISNUMBER(Data!#REF!),IF(AND(Data!#REF!&gt;(TODAY()-(Data_Val!$L$3*365.25)),Data!#REF!&lt;=(TODAY()-(Data_Val!$L$2*365.25))),0,1),1))</f>
        <v>#REF!</v>
      </c>
      <c r="AM29" s="17" t="e">
        <f>IF(Data!#REF!="","",IF(Data!$G29="",1,IF(ISNUMBER(MATCH(Data!#REF!,Data_Val!$D$2:$D$10,0)),0,1)))</f>
        <v>#REF!</v>
      </c>
      <c r="AN29" s="13"/>
      <c r="AO29" s="28" t="e">
        <f ca="1">IF(Data!#REF!="","",IF(ISNUMBER(Data!#REF!),IF(AND(Data!#REF!&gt;(TODAY()-(Data_Val!$I$3*365.25)),Data!#REF!&lt;=(TODAY()-(Data_Val!$I$2*365.25))),0,1),1))</f>
        <v>#REF!</v>
      </c>
      <c r="AP29" s="13" t="e">
        <f>IF(Data!#REF!="","",IF(Data!$G29="",1,IF(ISNUMBER(MATCH(Data!#REF!,Data_Val!$D$2:$D$10,0)),0,1)))</f>
        <v>#REF!</v>
      </c>
      <c r="AQ29" s="17"/>
      <c r="AR29" s="30" t="e">
        <f ca="1">IF(Data!#REF!="","",IF(ISNUMBER(Data!#REF!),IF(AND(Data!#REF!&gt;(TODAY()-(Data_Val!$I$3*365.25)),Data!#REF!&lt;=(TODAY()-(Data_Val!$I$2*365.25))),0,1),1))</f>
        <v>#REF!</v>
      </c>
      <c r="AS29" s="31" t="e">
        <f>IF(Data!#REF!="","",IF(Data!$G29="",1,IF(ISNUMBER(MATCH(Data!#REF!,Data_Val!$D$2:$D$10,0)),0,1)))</f>
        <v>#REF!</v>
      </c>
      <c r="AT29" s="11"/>
      <c r="AU29" s="11" t="e">
        <f ca="1">IF(Data!#REF!="","",IF(ISNUMBER(Data!#REF!),IF(AND(Data!#REF!&gt;(TODAY()-(Data_Val!$I$3*365.25)),Data!#REF!&lt;=(TODAY()-(Data_Val!$I$2*365.25))),0,1),1))</f>
        <v>#REF!</v>
      </c>
      <c r="AV29" s="11" t="e">
        <f>IF(Data!#REF!="","",IF(Data!$G29="",1,IF(ISNUMBER(MATCH(Data!#REF!,Data_Val!$D$2:$D$10,0)),0,1)))</f>
        <v>#REF!</v>
      </c>
      <c r="AW29" s="12"/>
      <c r="AX29" s="26" t="e">
        <f ca="1">IF(Data!#REF!="","",IF(ISNUMBER(Data!#REF!),IF(AND(Data!#REF!&gt;(TODAY()-(Data_Val!$I$3*365.25)),Data!#REF!&lt;=(TODAY()-(Data_Val!$I$2*365.25))),0,1),1))</f>
        <v>#REF!</v>
      </c>
      <c r="AY29" s="12" t="e">
        <f>IF(Data!#REF!="","",IF(Data!$G29="",1,IF(ISNUMBER(MATCH(Data!#REF!,Data_Val!$D$2:$D$10,0)),0,1)))</f>
        <v>#REF!</v>
      </c>
      <c r="AZ29" s="11"/>
      <c r="BA29" s="19" t="e">
        <f ca="1">IF(Data!#REF!="","",IF(ISNUMBER(Data!#REF!),IF(AND(Data!#REF!&gt;(TODAY()-(Data_Val!$M$3*365.25)),Data!#REF!&lt;=(TODAY()-(Data_Val!$M$2*365.25))),0,1),1))</f>
        <v>#REF!</v>
      </c>
      <c r="BB29" s="11" t="e">
        <f>IF(Data!#REF!="","",IF(Data!$G29="",1,IF(ISNUMBER(MATCH(Data!#REF!,Data_Val!$D$2:$D$10,0)),0,1)))</f>
        <v>#REF!</v>
      </c>
      <c r="BC29" s="12"/>
      <c r="BD29" s="20" t="e">
        <f ca="1">IF(Data!#REF!="","",IF(ISNUMBER(Data!#REF!),IF(AND(Data!#REF!&gt;(TODAY()-(Data_Val!$M$3*365.25)),Data!#REF!&lt;=(TODAY()-(Data_Val!$M$2*365.25))),0,1),1))</f>
        <v>#REF!</v>
      </c>
      <c r="BE29" s="12" t="e">
        <f>IF(Data!#REF!="","",IF(Data!$G29="",1,IF(ISNUMBER(MATCH(Data!#REF!,Data_Val!$D$2:$D$10,0)),0,1)))</f>
        <v>#REF!</v>
      </c>
      <c r="BF29" s="17"/>
      <c r="BG29" s="18" t="e">
        <f ca="1">IF(Data!#REF!="","",IF(ISNUMBER(Data!#REF!),IF(AND(Data!#REF!&gt;(TODAY()-(Data_Val!$M$3*365.25)),Data!#REF!&lt;=(TODAY()-(Data_Val!$M$2*365.25))),0,1),1))</f>
        <v>#REF!</v>
      </c>
      <c r="BH29" s="29" t="e">
        <f>IF(Data!#REF!="","",IF(Data!$G29="",1,IF(ISNUMBER(MATCH(Data!#REF!,Data_Val!$D$2:$D$10,0)),0,1)))</f>
        <v>#REF!</v>
      </c>
      <c r="BI29" s="13"/>
      <c r="BJ29" s="21" t="e">
        <f ca="1">IF(Data!#REF!="","",IF(ISNUMBER(Data!#REF!),IF(AND(Data!#REF!&gt;(TODAY()-(Data_Val!$M$3*365.25)),Data!#REF!&lt;=(TODAY()-(Data_Val!$M$2*365.25))),0,1),1))</f>
        <v>#REF!</v>
      </c>
      <c r="BK29" s="13" t="e">
        <f>IF(Data!#REF!="","",IF(Data!$G29="",1,IF(ISNUMBER(MATCH(Data!#REF!,Data_Val!$D$2:$D$10,0)),0,1)))</f>
        <v>#REF!</v>
      </c>
    </row>
    <row r="30" spans="1:63" x14ac:dyDescent="0.25">
      <c r="A30" s="9" t="str">
        <f>IF(Data!B30="","",IF(COUNTIFS(Data!A$1:'Data'!A30,Data!A30)&lt;=1,0,1))</f>
        <v/>
      </c>
      <c r="B30" s="9"/>
      <c r="C30" s="23" t="str">
        <f>IF(Data!C30="","",(IF(ISNUMBER(MATCH("*@*.?*",Data!C30,0)),0,1)+IF(COUNTIFS(Data!C$1:'Data'!C30,Data!C30)&gt;1,1,0)))</f>
        <v/>
      </c>
      <c r="D30" s="9" t="str">
        <f>IF(Data!B30="","",IF(ISNUMBER(Data!D30),IF(AND(Data!D30&gt;999999999,Data!D30&lt;=9999999999),IF(COUNTIFS(Data!D$1:'Data'!D30,Data!D30)&lt;=1,0,1),1),1))</f>
        <v/>
      </c>
      <c r="E30" s="9" t="str">
        <f>IF(Data!B30="","",IF(ISNUMBER(MATCH(Data!E30,Data_Val!$A$2:$A$3,0)),0,1))</f>
        <v/>
      </c>
      <c r="F30" s="9" t="str">
        <f ca="1">IF(Data!B30="","",IF(ISNUMBER(Data!F30),IF(AND(Data!F30&gt;(TODAY()-(Data_Val!$H$3*365.25)),Data!F30&lt;=(TODAY()-(Data_Val!$H$2*365.25))),0,1),1))</f>
        <v/>
      </c>
      <c r="G30" s="15" t="str">
        <f>IF(Data!B30="","",IF(AND(Data!G30="",Data!H30&lt;&gt;""),1,IF(Data!#REF!&lt;&gt;"",0,IF(ISNUMBER(MATCH(Data!G30,Data_Val!$C$2:$C$5,0)),0,1))))</f>
        <v/>
      </c>
      <c r="H30" s="15" t="str">
        <f>IF(Data!B30="","",IF(AND(Data!G30&lt;&gt;"",Data!H30=""),1,IF(Data!#REF!&lt;&gt;"",0,IF(Data!G30="",1,IF(ISNUMBER(MATCH(Data!H30,Data_Val!$D$2:$D$35,0)),0,1)))))</f>
        <v/>
      </c>
      <c r="I30" s="15" t="str">
        <f>IF(Data!B30="","",IF(Data!G30&lt;&gt;"",0,IF(ISNUMBER(MATCH(Data!#REF!,Data_Val!$E$2:$E$12,0)),0,1)))</f>
        <v/>
      </c>
      <c r="J30" s="16" t="e">
        <f>IF(OR(Data!B30="",Data!#REF!=""),"",IF(Data!#REF!="",1,0))</f>
        <v>#REF!</v>
      </c>
      <c r="K30" s="16" t="e">
        <f>IF(OR(Data!B30="",Data!#REF!=""),"",IF(Data!#REF!="",1,0))</f>
        <v>#REF!</v>
      </c>
      <c r="L30" s="16" t="e">
        <f>IF(OR(Data!B30="",Data!#REF!=""),"",IF(ISNUMBER(Data!#REF!),IF(AND(Data!#REF!&gt;Data_Val!$G$2,Data!#REF!&lt;=Data_Val!$G$3),0,1),1))</f>
        <v>#REF!</v>
      </c>
      <c r="M30" s="9" t="e">
        <f>IF(OR(Data!B30="",Data!#REF!=""),"",IF(ISNUMBER(MATCH(Data!#REF!,Data_Val!$F$1:$F$38,0)),0,1))</f>
        <v>#REF!</v>
      </c>
      <c r="N30" s="9" t="e">
        <f>IF(OR(Data!B30="",Data!#REF!=""),"",IF(Data!#REF!="",1,0))</f>
        <v>#REF!</v>
      </c>
      <c r="O30" s="17" t="e">
        <f>IF(Data!#REF!="","",IF(Data!#REF!="",1,0))</f>
        <v>#REF!</v>
      </c>
      <c r="P30" s="17" t="e">
        <f>IF(Data!#REF!="","",IF(ISNUMBER(MATCH(Data!#REF!,Data_Val!$A$2:$A$3,0)),0,1))</f>
        <v>#REF!</v>
      </c>
      <c r="Q30" s="25" t="e">
        <f ca="1">IF(Data!#REF!="","",IF(ISNUMBER(Data!#REF!),IF(AND(Data!#REF!&gt;(TODAY()-(Data_Val!$J$3*365.25)),Data!#REF!&lt;=(TODAY()-(Data_Val!$J$2*365.25))),0,1),1))</f>
        <v>#REF!</v>
      </c>
      <c r="R30" s="17" t="e">
        <f>IF(Data!#REF!="","",IF(ISNUMBER(MATCH(Data!#REF!,Data_Val!$B$2:$B$15,0)),0,1))</f>
        <v>#REF!</v>
      </c>
      <c r="S30" s="11" t="str">
        <f>IF(Data!G30="","",IF(Data!G30=Data_Val!$C$2,IF(Data!M30="",0,1),0))</f>
        <v/>
      </c>
      <c r="T30" s="11" t="str">
        <f>IF(Data!M30="","",IF(ISNUMBER(MATCH(Data!N30,Data_Val!$A$2:$A$3,0)),0,1))</f>
        <v/>
      </c>
      <c r="U30" s="11" t="str">
        <f ca="1">IF(Data!M30="","",IF(ISNUMBER(Data!O30),IF(AND(Data!O30&gt;(TODAY()-(Data_Val!$K$3*365.25)),Data!O30&lt;=(TODAY()-(Data_Val!$K$2*365.25))),0,1),1))</f>
        <v/>
      </c>
      <c r="V30" s="12" t="str">
        <f>IF(Data!G30="","",IF(Data!G30=Data_Val!$C$2,IF(Data!P30="",0,1),0))</f>
        <v/>
      </c>
      <c r="W30" s="12" t="str">
        <f>IF(Data!P30="","",IF(ISNUMBER(MATCH(Data!Q30,Data_Val!$A$2:$A$3,0)),0,1))</f>
        <v/>
      </c>
      <c r="X30" s="26" t="str">
        <f ca="1">IF(Data!P30="","",IF(ISNUMBER(Data!R30),IF(AND(Data!R30&gt;(TODAY()-(Data_Val!$L$3*365.25)),Data!R30&lt;=(TODAY()-(Data_Val!$L$2*365.25))),0,1),1))</f>
        <v/>
      </c>
      <c r="Y30" s="13" t="str">
        <f>IF(Data!$G30="","",IF(Data!$G30=Data_Val!$C$2,IF(Data!S30="",0,1),0))</f>
        <v/>
      </c>
      <c r="Z30" s="13" t="str">
        <f>IF(Data!S30="","",IF(ISNUMBER(MATCH(Data!T30,Data_Val!$A$2:$A$3,0)),0,1))</f>
        <v/>
      </c>
      <c r="AA30" s="28" t="str">
        <f ca="1">IF(Data!S30="","",IF(ISNUMBER(Data!U30),IF(AND(Data!U30&gt;(TODAY()-(Data_Val!$L$3*365.25)),Data!U30&lt;=(TODAY()-(Data_Val!$L$2*365.25))),0,1),1))</f>
        <v/>
      </c>
      <c r="AB30" s="11"/>
      <c r="AC30" s="11" t="e">
        <f>IF(Data!#REF!="","",IF(ISNUMBER(MATCH(Data!#REF!,Data_Val!$A$2:$A$3,0)),0,1))</f>
        <v>#REF!</v>
      </c>
      <c r="AD30" s="11" t="e">
        <f ca="1">IF(Data!#REF!="","",IF(ISNUMBER(Data!#REF!),IF(AND(Data!#REF!&gt;(TODAY()-(Data_Val!$L$3*365.25)),Data!#REF!&lt;=(TODAY()-(Data_Val!$L$2*365.25))),0,1),1))</f>
        <v>#REF!</v>
      </c>
      <c r="AE30" s="11" t="e">
        <f>IF(Data!#REF!="","",IF(Data!$G30="",1,IF(ISNUMBER(MATCH(Data!#REF!,Data_Val!$D$2:$D$10,0)),0,1)))</f>
        <v>#REF!</v>
      </c>
      <c r="AF30" s="12"/>
      <c r="AG30" s="12" t="e">
        <f>IF(Data!#REF!="","",IF(ISNUMBER(MATCH(Data!#REF!,Data_Val!$A$2:$A$3,0)),0,1))</f>
        <v>#REF!</v>
      </c>
      <c r="AH30" s="26" t="e">
        <f ca="1">IF(Data!#REF!="","",IF(ISNUMBER(Data!#REF!),IF(AND(Data!#REF!&gt;(TODAY()-(Data_Val!$L$3*365.25)),Data!#REF!&lt;=(TODAY()-(Data_Val!$L$2*365.25))),0,1),1))</f>
        <v>#REF!</v>
      </c>
      <c r="AI30" s="12" t="e">
        <f>IF(Data!#REF!="","",IF(Data!$G30="",1,IF(ISNUMBER(MATCH(Data!#REF!,Data_Val!$D$2:$D$10,0)),0,1)))</f>
        <v>#REF!</v>
      </c>
      <c r="AJ30" s="17"/>
      <c r="AK30" s="17" t="e">
        <f>IF(Data!#REF!="","",IF(ISNUMBER(MATCH(Data!#REF!,Data_Val!$A$2:$A$3,0)),0,1))</f>
        <v>#REF!</v>
      </c>
      <c r="AL30" s="25" t="e">
        <f ca="1">IF(Data!#REF!="","",IF(ISNUMBER(Data!#REF!),IF(AND(Data!#REF!&gt;(TODAY()-(Data_Val!$L$3*365.25)),Data!#REF!&lt;=(TODAY()-(Data_Val!$L$2*365.25))),0,1),1))</f>
        <v>#REF!</v>
      </c>
      <c r="AM30" s="17" t="e">
        <f>IF(Data!#REF!="","",IF(Data!$G30="",1,IF(ISNUMBER(MATCH(Data!#REF!,Data_Val!$D$2:$D$10,0)),0,1)))</f>
        <v>#REF!</v>
      </c>
      <c r="AN30" s="13"/>
      <c r="AO30" s="28" t="e">
        <f ca="1">IF(Data!#REF!="","",IF(ISNUMBER(Data!#REF!),IF(AND(Data!#REF!&gt;(TODAY()-(Data_Val!$I$3*365.25)),Data!#REF!&lt;=(TODAY()-(Data_Val!$I$2*365.25))),0,1),1))</f>
        <v>#REF!</v>
      </c>
      <c r="AP30" s="13" t="e">
        <f>IF(Data!#REF!="","",IF(Data!$G30="",1,IF(ISNUMBER(MATCH(Data!#REF!,Data_Val!$D$2:$D$10,0)),0,1)))</f>
        <v>#REF!</v>
      </c>
      <c r="AQ30" s="17"/>
      <c r="AR30" s="30" t="e">
        <f ca="1">IF(Data!#REF!="","",IF(ISNUMBER(Data!#REF!),IF(AND(Data!#REF!&gt;(TODAY()-(Data_Val!$I$3*365.25)),Data!#REF!&lt;=(TODAY()-(Data_Val!$I$2*365.25))),0,1),1))</f>
        <v>#REF!</v>
      </c>
      <c r="AS30" s="31" t="e">
        <f>IF(Data!#REF!="","",IF(Data!$G30="",1,IF(ISNUMBER(MATCH(Data!#REF!,Data_Val!$D$2:$D$10,0)),0,1)))</f>
        <v>#REF!</v>
      </c>
      <c r="AT30" s="11"/>
      <c r="AU30" s="11" t="e">
        <f ca="1">IF(Data!#REF!="","",IF(ISNUMBER(Data!#REF!),IF(AND(Data!#REF!&gt;(TODAY()-(Data_Val!$I$3*365.25)),Data!#REF!&lt;=(TODAY()-(Data_Val!$I$2*365.25))),0,1),1))</f>
        <v>#REF!</v>
      </c>
      <c r="AV30" s="11" t="e">
        <f>IF(Data!#REF!="","",IF(Data!$G30="",1,IF(ISNUMBER(MATCH(Data!#REF!,Data_Val!$D$2:$D$10,0)),0,1)))</f>
        <v>#REF!</v>
      </c>
      <c r="AW30" s="12"/>
      <c r="AX30" s="26" t="e">
        <f ca="1">IF(Data!#REF!="","",IF(ISNUMBER(Data!#REF!),IF(AND(Data!#REF!&gt;(TODAY()-(Data_Val!$I$3*365.25)),Data!#REF!&lt;=(TODAY()-(Data_Val!$I$2*365.25))),0,1),1))</f>
        <v>#REF!</v>
      </c>
      <c r="AY30" s="12" t="e">
        <f>IF(Data!#REF!="","",IF(Data!$G30="",1,IF(ISNUMBER(MATCH(Data!#REF!,Data_Val!$D$2:$D$10,0)),0,1)))</f>
        <v>#REF!</v>
      </c>
      <c r="AZ30" s="11"/>
      <c r="BA30" s="19" t="e">
        <f ca="1">IF(Data!#REF!="","",IF(ISNUMBER(Data!#REF!),IF(AND(Data!#REF!&gt;(TODAY()-(Data_Val!$M$3*365.25)),Data!#REF!&lt;=(TODAY()-(Data_Val!$M$2*365.25))),0,1),1))</f>
        <v>#REF!</v>
      </c>
      <c r="BB30" s="11" t="e">
        <f>IF(Data!#REF!="","",IF(Data!$G30="",1,IF(ISNUMBER(MATCH(Data!#REF!,Data_Val!$D$2:$D$10,0)),0,1)))</f>
        <v>#REF!</v>
      </c>
      <c r="BC30" s="12"/>
      <c r="BD30" s="20" t="e">
        <f ca="1">IF(Data!#REF!="","",IF(ISNUMBER(Data!#REF!),IF(AND(Data!#REF!&gt;(TODAY()-(Data_Val!$M$3*365.25)),Data!#REF!&lt;=(TODAY()-(Data_Val!$M$2*365.25))),0,1),1))</f>
        <v>#REF!</v>
      </c>
      <c r="BE30" s="12" t="e">
        <f>IF(Data!#REF!="","",IF(Data!$G30="",1,IF(ISNUMBER(MATCH(Data!#REF!,Data_Val!$D$2:$D$10,0)),0,1)))</f>
        <v>#REF!</v>
      </c>
      <c r="BF30" s="17"/>
      <c r="BG30" s="18" t="e">
        <f ca="1">IF(Data!#REF!="","",IF(ISNUMBER(Data!#REF!),IF(AND(Data!#REF!&gt;(TODAY()-(Data_Val!$M$3*365.25)),Data!#REF!&lt;=(TODAY()-(Data_Val!$M$2*365.25))),0,1),1))</f>
        <v>#REF!</v>
      </c>
      <c r="BH30" s="29" t="e">
        <f>IF(Data!#REF!="","",IF(Data!$G30="",1,IF(ISNUMBER(MATCH(Data!#REF!,Data_Val!$D$2:$D$10,0)),0,1)))</f>
        <v>#REF!</v>
      </c>
      <c r="BI30" s="13"/>
      <c r="BJ30" s="21" t="e">
        <f ca="1">IF(Data!#REF!="","",IF(ISNUMBER(Data!#REF!),IF(AND(Data!#REF!&gt;(TODAY()-(Data_Val!$M$3*365.25)),Data!#REF!&lt;=(TODAY()-(Data_Val!$M$2*365.25))),0,1),1))</f>
        <v>#REF!</v>
      </c>
      <c r="BK30" s="13" t="e">
        <f>IF(Data!#REF!="","",IF(Data!$G30="",1,IF(ISNUMBER(MATCH(Data!#REF!,Data_Val!$D$2:$D$10,0)),0,1)))</f>
        <v>#REF!</v>
      </c>
    </row>
    <row r="31" spans="1:63" x14ac:dyDescent="0.25">
      <c r="A31" s="9" t="str">
        <f>IF(Data!B31="","",IF(COUNTIFS(Data!A$1:'Data'!A31,Data!A31)&lt;=1,0,1))</f>
        <v/>
      </c>
      <c r="B31" s="9"/>
      <c r="C31" s="23" t="str">
        <f>IF(Data!C31="","",(IF(ISNUMBER(MATCH("*@*.?*",Data!C31,0)),0,1)+IF(COUNTIFS(Data!C$1:'Data'!C31,Data!C31)&gt;1,1,0)))</f>
        <v/>
      </c>
      <c r="D31" s="9" t="str">
        <f>IF(Data!B31="","",IF(ISNUMBER(Data!D31),IF(AND(Data!D31&gt;999999999,Data!D31&lt;=9999999999),IF(COUNTIFS(Data!D$1:'Data'!D31,Data!D31)&lt;=1,0,1),1),1))</f>
        <v/>
      </c>
      <c r="E31" s="9" t="str">
        <f>IF(Data!B31="","",IF(ISNUMBER(MATCH(Data!E31,Data_Val!$A$2:$A$3,0)),0,1))</f>
        <v/>
      </c>
      <c r="F31" s="9" t="str">
        <f ca="1">IF(Data!B31="","",IF(ISNUMBER(Data!F31),IF(AND(Data!F31&gt;(TODAY()-(Data_Val!$H$3*365.25)),Data!F31&lt;=(TODAY()-(Data_Val!$H$2*365.25))),0,1),1))</f>
        <v/>
      </c>
      <c r="G31" s="15" t="str">
        <f>IF(Data!B31="","",IF(AND(Data!G31="",Data!H31&lt;&gt;""),1,IF(Data!#REF!&lt;&gt;"",0,IF(ISNUMBER(MATCH(Data!G31,Data_Val!$C$2:$C$5,0)),0,1))))</f>
        <v/>
      </c>
      <c r="H31" s="15" t="str">
        <f>IF(Data!B31="","",IF(AND(Data!G31&lt;&gt;"",Data!H31=""),1,IF(Data!#REF!&lt;&gt;"",0,IF(Data!G31="",1,IF(ISNUMBER(MATCH(Data!H31,Data_Val!$D$2:$D$35,0)),0,1)))))</f>
        <v/>
      </c>
      <c r="I31" s="15" t="str">
        <f>IF(Data!B31="","",IF(Data!G31&lt;&gt;"",0,IF(ISNUMBER(MATCH(Data!#REF!,Data_Val!$E$2:$E$12,0)),0,1)))</f>
        <v/>
      </c>
      <c r="J31" s="16" t="e">
        <f>IF(OR(Data!B31="",Data!#REF!=""),"",IF(Data!#REF!="",1,0))</f>
        <v>#REF!</v>
      </c>
      <c r="K31" s="16" t="e">
        <f>IF(OR(Data!B31="",Data!#REF!=""),"",IF(Data!#REF!="",1,0))</f>
        <v>#REF!</v>
      </c>
      <c r="L31" s="16" t="e">
        <f>IF(OR(Data!B31="",Data!#REF!=""),"",IF(ISNUMBER(Data!#REF!),IF(AND(Data!#REF!&gt;Data_Val!$G$2,Data!#REF!&lt;=Data_Val!$G$3),0,1),1))</f>
        <v>#REF!</v>
      </c>
      <c r="M31" s="9" t="e">
        <f>IF(OR(Data!B31="",Data!#REF!=""),"",IF(ISNUMBER(MATCH(Data!#REF!,Data_Val!$F$1:$F$38,0)),0,1))</f>
        <v>#REF!</v>
      </c>
      <c r="N31" s="9" t="e">
        <f>IF(OR(Data!B31="",Data!#REF!=""),"",IF(Data!#REF!="",1,0))</f>
        <v>#REF!</v>
      </c>
      <c r="O31" s="17" t="e">
        <f>IF(Data!#REF!="","",IF(Data!#REF!="",1,0))</f>
        <v>#REF!</v>
      </c>
      <c r="P31" s="17" t="e">
        <f>IF(Data!#REF!="","",IF(ISNUMBER(MATCH(Data!#REF!,Data_Val!$A$2:$A$3,0)),0,1))</f>
        <v>#REF!</v>
      </c>
      <c r="Q31" s="25" t="e">
        <f ca="1">IF(Data!#REF!="","",IF(ISNUMBER(Data!#REF!),IF(AND(Data!#REF!&gt;(TODAY()-(Data_Val!$J$3*365.25)),Data!#REF!&lt;=(TODAY()-(Data_Val!$J$2*365.25))),0,1),1))</f>
        <v>#REF!</v>
      </c>
      <c r="R31" s="17" t="e">
        <f>IF(Data!#REF!="","",IF(ISNUMBER(MATCH(Data!#REF!,Data_Val!$B$2:$B$15,0)),0,1))</f>
        <v>#REF!</v>
      </c>
      <c r="S31" s="11" t="str">
        <f>IF(Data!G31="","",IF(Data!G31=Data_Val!$C$2,IF(Data!M31="",0,1),0))</f>
        <v/>
      </c>
      <c r="T31" s="11" t="str">
        <f>IF(Data!M31="","",IF(ISNUMBER(MATCH(Data!N31,Data_Val!$A$2:$A$3,0)),0,1))</f>
        <v/>
      </c>
      <c r="U31" s="11" t="str">
        <f ca="1">IF(Data!M31="","",IF(ISNUMBER(Data!O31),IF(AND(Data!O31&gt;(TODAY()-(Data_Val!$K$3*365.25)),Data!O31&lt;=(TODAY()-(Data_Val!$K$2*365.25))),0,1),1))</f>
        <v/>
      </c>
      <c r="V31" s="12" t="str">
        <f>IF(Data!G31="","",IF(Data!G31=Data_Val!$C$2,IF(Data!P31="",0,1),0))</f>
        <v/>
      </c>
      <c r="W31" s="12" t="str">
        <f>IF(Data!P31="","",IF(ISNUMBER(MATCH(Data!Q31,Data_Val!$A$2:$A$3,0)),0,1))</f>
        <v/>
      </c>
      <c r="X31" s="26" t="str">
        <f ca="1">IF(Data!P31="","",IF(ISNUMBER(Data!R31),IF(AND(Data!R31&gt;(TODAY()-(Data_Val!$L$3*365.25)),Data!R31&lt;=(TODAY()-(Data_Val!$L$2*365.25))),0,1),1))</f>
        <v/>
      </c>
      <c r="Y31" s="13" t="str">
        <f>IF(Data!$G31="","",IF(Data!$G31=Data_Val!$C$2,IF(Data!S31="",0,1),0))</f>
        <v/>
      </c>
      <c r="Z31" s="13" t="str">
        <f>IF(Data!S31="","",IF(ISNUMBER(MATCH(Data!T31,Data_Val!$A$2:$A$3,0)),0,1))</f>
        <v/>
      </c>
      <c r="AA31" s="28" t="str">
        <f ca="1">IF(Data!S31="","",IF(ISNUMBER(Data!U31),IF(AND(Data!U31&gt;(TODAY()-(Data_Val!$L$3*365.25)),Data!U31&lt;=(TODAY()-(Data_Val!$L$2*365.25))),0,1),1))</f>
        <v/>
      </c>
      <c r="AB31" s="11"/>
      <c r="AC31" s="11" t="e">
        <f>IF(Data!#REF!="","",IF(ISNUMBER(MATCH(Data!#REF!,Data_Val!$A$2:$A$3,0)),0,1))</f>
        <v>#REF!</v>
      </c>
      <c r="AD31" s="11" t="e">
        <f ca="1">IF(Data!#REF!="","",IF(ISNUMBER(Data!#REF!),IF(AND(Data!#REF!&gt;(TODAY()-(Data_Val!$L$3*365.25)),Data!#REF!&lt;=(TODAY()-(Data_Val!$L$2*365.25))),0,1),1))</f>
        <v>#REF!</v>
      </c>
      <c r="AE31" s="11" t="e">
        <f>IF(Data!#REF!="","",IF(Data!$G31="",1,IF(ISNUMBER(MATCH(Data!#REF!,Data_Val!$D$2:$D$10,0)),0,1)))</f>
        <v>#REF!</v>
      </c>
      <c r="AF31" s="12"/>
      <c r="AG31" s="12" t="e">
        <f>IF(Data!#REF!="","",IF(ISNUMBER(MATCH(Data!#REF!,Data_Val!$A$2:$A$3,0)),0,1))</f>
        <v>#REF!</v>
      </c>
      <c r="AH31" s="26" t="e">
        <f ca="1">IF(Data!#REF!="","",IF(ISNUMBER(Data!#REF!),IF(AND(Data!#REF!&gt;(TODAY()-(Data_Val!$L$3*365.25)),Data!#REF!&lt;=(TODAY()-(Data_Val!$L$2*365.25))),0,1),1))</f>
        <v>#REF!</v>
      </c>
      <c r="AI31" s="12" t="e">
        <f>IF(Data!#REF!="","",IF(Data!$G31="",1,IF(ISNUMBER(MATCH(Data!#REF!,Data_Val!$D$2:$D$10,0)),0,1)))</f>
        <v>#REF!</v>
      </c>
      <c r="AJ31" s="17"/>
      <c r="AK31" s="17" t="e">
        <f>IF(Data!#REF!="","",IF(ISNUMBER(MATCH(Data!#REF!,Data_Val!$A$2:$A$3,0)),0,1))</f>
        <v>#REF!</v>
      </c>
      <c r="AL31" s="25" t="e">
        <f ca="1">IF(Data!#REF!="","",IF(ISNUMBER(Data!#REF!),IF(AND(Data!#REF!&gt;(TODAY()-(Data_Val!$L$3*365.25)),Data!#REF!&lt;=(TODAY()-(Data_Val!$L$2*365.25))),0,1),1))</f>
        <v>#REF!</v>
      </c>
      <c r="AM31" s="17" t="e">
        <f>IF(Data!#REF!="","",IF(Data!$G31="",1,IF(ISNUMBER(MATCH(Data!#REF!,Data_Val!$D$2:$D$10,0)),0,1)))</f>
        <v>#REF!</v>
      </c>
      <c r="AN31" s="13"/>
      <c r="AO31" s="28" t="e">
        <f ca="1">IF(Data!#REF!="","",IF(ISNUMBER(Data!#REF!),IF(AND(Data!#REF!&gt;(TODAY()-(Data_Val!$I$3*365.25)),Data!#REF!&lt;=(TODAY()-(Data_Val!$I$2*365.25))),0,1),1))</f>
        <v>#REF!</v>
      </c>
      <c r="AP31" s="13" t="e">
        <f>IF(Data!#REF!="","",IF(Data!$G31="",1,IF(ISNUMBER(MATCH(Data!#REF!,Data_Val!$D$2:$D$10,0)),0,1)))</f>
        <v>#REF!</v>
      </c>
      <c r="AQ31" s="17"/>
      <c r="AR31" s="30" t="e">
        <f ca="1">IF(Data!#REF!="","",IF(ISNUMBER(Data!#REF!),IF(AND(Data!#REF!&gt;(TODAY()-(Data_Val!$I$3*365.25)),Data!#REF!&lt;=(TODAY()-(Data_Val!$I$2*365.25))),0,1),1))</f>
        <v>#REF!</v>
      </c>
      <c r="AS31" s="31" t="e">
        <f>IF(Data!#REF!="","",IF(Data!$G31="",1,IF(ISNUMBER(MATCH(Data!#REF!,Data_Val!$D$2:$D$10,0)),0,1)))</f>
        <v>#REF!</v>
      </c>
      <c r="AT31" s="11"/>
      <c r="AU31" s="11" t="e">
        <f ca="1">IF(Data!#REF!="","",IF(ISNUMBER(Data!#REF!),IF(AND(Data!#REF!&gt;(TODAY()-(Data_Val!$I$3*365.25)),Data!#REF!&lt;=(TODAY()-(Data_Val!$I$2*365.25))),0,1),1))</f>
        <v>#REF!</v>
      </c>
      <c r="AV31" s="11" t="e">
        <f>IF(Data!#REF!="","",IF(Data!$G31="",1,IF(ISNUMBER(MATCH(Data!#REF!,Data_Val!$D$2:$D$10,0)),0,1)))</f>
        <v>#REF!</v>
      </c>
      <c r="AW31" s="12"/>
      <c r="AX31" s="26" t="e">
        <f ca="1">IF(Data!#REF!="","",IF(ISNUMBER(Data!#REF!),IF(AND(Data!#REF!&gt;(TODAY()-(Data_Val!$I$3*365.25)),Data!#REF!&lt;=(TODAY()-(Data_Val!$I$2*365.25))),0,1),1))</f>
        <v>#REF!</v>
      </c>
      <c r="AY31" s="12" t="e">
        <f>IF(Data!#REF!="","",IF(Data!$G31="",1,IF(ISNUMBER(MATCH(Data!#REF!,Data_Val!$D$2:$D$10,0)),0,1)))</f>
        <v>#REF!</v>
      </c>
      <c r="AZ31" s="11"/>
      <c r="BA31" s="19" t="e">
        <f ca="1">IF(Data!#REF!="","",IF(ISNUMBER(Data!#REF!),IF(AND(Data!#REF!&gt;(TODAY()-(Data_Val!$M$3*365.25)),Data!#REF!&lt;=(TODAY()-(Data_Val!$M$2*365.25))),0,1),1))</f>
        <v>#REF!</v>
      </c>
      <c r="BB31" s="11" t="e">
        <f>IF(Data!#REF!="","",IF(Data!$G31="",1,IF(ISNUMBER(MATCH(Data!#REF!,Data_Val!$D$2:$D$10,0)),0,1)))</f>
        <v>#REF!</v>
      </c>
      <c r="BC31" s="12"/>
      <c r="BD31" s="20" t="e">
        <f ca="1">IF(Data!#REF!="","",IF(ISNUMBER(Data!#REF!),IF(AND(Data!#REF!&gt;(TODAY()-(Data_Val!$M$3*365.25)),Data!#REF!&lt;=(TODAY()-(Data_Val!$M$2*365.25))),0,1),1))</f>
        <v>#REF!</v>
      </c>
      <c r="BE31" s="12" t="e">
        <f>IF(Data!#REF!="","",IF(Data!$G31="",1,IF(ISNUMBER(MATCH(Data!#REF!,Data_Val!$D$2:$D$10,0)),0,1)))</f>
        <v>#REF!</v>
      </c>
      <c r="BF31" s="17"/>
      <c r="BG31" s="18" t="e">
        <f ca="1">IF(Data!#REF!="","",IF(ISNUMBER(Data!#REF!),IF(AND(Data!#REF!&gt;(TODAY()-(Data_Val!$M$3*365.25)),Data!#REF!&lt;=(TODAY()-(Data_Val!$M$2*365.25))),0,1),1))</f>
        <v>#REF!</v>
      </c>
      <c r="BH31" s="29" t="e">
        <f>IF(Data!#REF!="","",IF(Data!$G31="",1,IF(ISNUMBER(MATCH(Data!#REF!,Data_Val!$D$2:$D$10,0)),0,1)))</f>
        <v>#REF!</v>
      </c>
      <c r="BI31" s="13"/>
      <c r="BJ31" s="21" t="e">
        <f ca="1">IF(Data!#REF!="","",IF(ISNUMBER(Data!#REF!),IF(AND(Data!#REF!&gt;(TODAY()-(Data_Val!$M$3*365.25)),Data!#REF!&lt;=(TODAY()-(Data_Val!$M$2*365.25))),0,1),1))</f>
        <v>#REF!</v>
      </c>
      <c r="BK31" s="13" t="e">
        <f>IF(Data!#REF!="","",IF(Data!$G31="",1,IF(ISNUMBER(MATCH(Data!#REF!,Data_Val!$D$2:$D$10,0)),0,1)))</f>
        <v>#REF!</v>
      </c>
    </row>
    <row r="32" spans="1:63" x14ac:dyDescent="0.25">
      <c r="A32" s="9" t="str">
        <f>IF(Data!B32="","",IF(COUNTIFS(Data!A$1:'Data'!A32,Data!A32)&lt;=1,0,1))</f>
        <v/>
      </c>
      <c r="B32" s="9"/>
      <c r="C32" s="23" t="str">
        <f>IF(Data!C32="","",(IF(ISNUMBER(MATCH("*@*.?*",Data!C32,0)),0,1)+IF(COUNTIFS(Data!C$1:'Data'!C32,Data!C32)&gt;1,1,0)))</f>
        <v/>
      </c>
      <c r="D32" s="9" t="str">
        <f>IF(Data!B32="","",IF(ISNUMBER(Data!D32),IF(AND(Data!D32&gt;999999999,Data!D32&lt;=9999999999),IF(COUNTIFS(Data!D$1:'Data'!D32,Data!D32)&lt;=1,0,1),1),1))</f>
        <v/>
      </c>
      <c r="E32" s="9" t="str">
        <f>IF(Data!B32="","",IF(ISNUMBER(MATCH(Data!E32,Data_Val!$A$2:$A$3,0)),0,1))</f>
        <v/>
      </c>
      <c r="F32" s="9" t="str">
        <f ca="1">IF(Data!B32="","",IF(ISNUMBER(Data!F32),IF(AND(Data!F32&gt;(TODAY()-(Data_Val!$H$3*365.25)),Data!F32&lt;=(TODAY()-(Data_Val!$H$2*365.25))),0,1),1))</f>
        <v/>
      </c>
      <c r="G32" s="15" t="str">
        <f>IF(Data!B32="","",IF(AND(Data!G32="",Data!H32&lt;&gt;""),1,IF(Data!#REF!&lt;&gt;"",0,IF(ISNUMBER(MATCH(Data!G32,Data_Val!$C$2:$C$5,0)),0,1))))</f>
        <v/>
      </c>
      <c r="H32" s="15" t="str">
        <f>IF(Data!B32="","",IF(AND(Data!G32&lt;&gt;"",Data!H32=""),1,IF(Data!#REF!&lt;&gt;"",0,IF(Data!G32="",1,IF(ISNUMBER(MATCH(Data!H32,Data_Val!$D$2:$D$35,0)),0,1)))))</f>
        <v/>
      </c>
      <c r="I32" s="15" t="str">
        <f>IF(Data!B32="","",IF(Data!G32&lt;&gt;"",0,IF(ISNUMBER(MATCH(Data!#REF!,Data_Val!$E$2:$E$12,0)),0,1)))</f>
        <v/>
      </c>
      <c r="J32" s="16" t="e">
        <f>IF(OR(Data!B32="",Data!#REF!=""),"",IF(Data!#REF!="",1,0))</f>
        <v>#REF!</v>
      </c>
      <c r="K32" s="16" t="e">
        <f>IF(OR(Data!B32="",Data!#REF!=""),"",IF(Data!#REF!="",1,0))</f>
        <v>#REF!</v>
      </c>
      <c r="L32" s="16" t="e">
        <f>IF(OR(Data!B32="",Data!#REF!=""),"",IF(ISNUMBER(Data!#REF!),IF(AND(Data!#REF!&gt;Data_Val!$G$2,Data!#REF!&lt;=Data_Val!$G$3),0,1),1))</f>
        <v>#REF!</v>
      </c>
      <c r="M32" s="9" t="e">
        <f>IF(OR(Data!B32="",Data!#REF!=""),"",IF(ISNUMBER(MATCH(Data!#REF!,Data_Val!$F$1:$F$38,0)),0,1))</f>
        <v>#REF!</v>
      </c>
      <c r="N32" s="9" t="e">
        <f>IF(OR(Data!B32="",Data!#REF!=""),"",IF(Data!#REF!="",1,0))</f>
        <v>#REF!</v>
      </c>
      <c r="O32" s="17" t="e">
        <f>IF(Data!#REF!="","",IF(Data!#REF!="",1,0))</f>
        <v>#REF!</v>
      </c>
      <c r="P32" s="17" t="e">
        <f>IF(Data!#REF!="","",IF(ISNUMBER(MATCH(Data!#REF!,Data_Val!$A$2:$A$3,0)),0,1))</f>
        <v>#REF!</v>
      </c>
      <c r="Q32" s="25" t="e">
        <f ca="1">IF(Data!#REF!="","",IF(ISNUMBER(Data!#REF!),IF(AND(Data!#REF!&gt;(TODAY()-(Data_Val!$J$3*365.25)),Data!#REF!&lt;=(TODAY()-(Data_Val!$J$2*365.25))),0,1),1))</f>
        <v>#REF!</v>
      </c>
      <c r="R32" s="17" t="e">
        <f>IF(Data!#REF!="","",IF(ISNUMBER(MATCH(Data!#REF!,Data_Val!$B$2:$B$15,0)),0,1))</f>
        <v>#REF!</v>
      </c>
      <c r="S32" s="11" t="str">
        <f>IF(Data!G32="","",IF(Data!G32=Data_Val!$C$2,IF(Data!M32="",0,1),0))</f>
        <v/>
      </c>
      <c r="T32" s="11" t="str">
        <f>IF(Data!M32="","",IF(ISNUMBER(MATCH(Data!N32,Data_Val!$A$2:$A$3,0)),0,1))</f>
        <v/>
      </c>
      <c r="U32" s="11" t="str">
        <f ca="1">IF(Data!M32="","",IF(ISNUMBER(Data!O32),IF(AND(Data!O32&gt;(TODAY()-(Data_Val!$K$3*365.25)),Data!O32&lt;=(TODAY()-(Data_Val!$K$2*365.25))),0,1),1))</f>
        <v/>
      </c>
      <c r="V32" s="12" t="str">
        <f>IF(Data!G32="","",IF(Data!G32=Data_Val!$C$2,IF(Data!P32="",0,1),0))</f>
        <v/>
      </c>
      <c r="W32" s="12" t="str">
        <f>IF(Data!P32="","",IF(ISNUMBER(MATCH(Data!Q32,Data_Val!$A$2:$A$3,0)),0,1))</f>
        <v/>
      </c>
      <c r="X32" s="26" t="str">
        <f ca="1">IF(Data!P32="","",IF(ISNUMBER(Data!R32),IF(AND(Data!R32&gt;(TODAY()-(Data_Val!$L$3*365.25)),Data!R32&lt;=(TODAY()-(Data_Val!$L$2*365.25))),0,1),1))</f>
        <v/>
      </c>
      <c r="Y32" s="13" t="str">
        <f>IF(Data!$G32="","",IF(Data!$G32=Data_Val!$C$2,IF(Data!S32="",0,1),0))</f>
        <v/>
      </c>
      <c r="Z32" s="13" t="str">
        <f>IF(Data!S32="","",IF(ISNUMBER(MATCH(Data!T32,Data_Val!$A$2:$A$3,0)),0,1))</f>
        <v/>
      </c>
      <c r="AA32" s="28" t="str">
        <f ca="1">IF(Data!S32="","",IF(ISNUMBER(Data!U32),IF(AND(Data!U32&gt;(TODAY()-(Data_Val!$L$3*365.25)),Data!U32&lt;=(TODAY()-(Data_Val!$L$2*365.25))),0,1),1))</f>
        <v/>
      </c>
      <c r="AB32" s="11"/>
      <c r="AC32" s="11" t="e">
        <f>IF(Data!#REF!="","",IF(ISNUMBER(MATCH(Data!#REF!,Data_Val!$A$2:$A$3,0)),0,1))</f>
        <v>#REF!</v>
      </c>
      <c r="AD32" s="11" t="e">
        <f ca="1">IF(Data!#REF!="","",IF(ISNUMBER(Data!#REF!),IF(AND(Data!#REF!&gt;(TODAY()-(Data_Val!$L$3*365.25)),Data!#REF!&lt;=(TODAY()-(Data_Val!$L$2*365.25))),0,1),1))</f>
        <v>#REF!</v>
      </c>
      <c r="AE32" s="11" t="e">
        <f>IF(Data!#REF!="","",IF(Data!$G32="",1,IF(ISNUMBER(MATCH(Data!#REF!,Data_Val!$D$2:$D$10,0)),0,1)))</f>
        <v>#REF!</v>
      </c>
      <c r="AF32" s="12"/>
      <c r="AG32" s="12" t="e">
        <f>IF(Data!#REF!="","",IF(ISNUMBER(MATCH(Data!#REF!,Data_Val!$A$2:$A$3,0)),0,1))</f>
        <v>#REF!</v>
      </c>
      <c r="AH32" s="26" t="e">
        <f ca="1">IF(Data!#REF!="","",IF(ISNUMBER(Data!#REF!),IF(AND(Data!#REF!&gt;(TODAY()-(Data_Val!$L$3*365.25)),Data!#REF!&lt;=(TODAY()-(Data_Val!$L$2*365.25))),0,1),1))</f>
        <v>#REF!</v>
      </c>
      <c r="AI32" s="12" t="e">
        <f>IF(Data!#REF!="","",IF(Data!$G32="",1,IF(ISNUMBER(MATCH(Data!#REF!,Data_Val!$D$2:$D$10,0)),0,1)))</f>
        <v>#REF!</v>
      </c>
      <c r="AJ32" s="17"/>
      <c r="AK32" s="17" t="e">
        <f>IF(Data!#REF!="","",IF(ISNUMBER(MATCH(Data!#REF!,Data_Val!$A$2:$A$3,0)),0,1))</f>
        <v>#REF!</v>
      </c>
      <c r="AL32" s="25" t="e">
        <f ca="1">IF(Data!#REF!="","",IF(ISNUMBER(Data!#REF!),IF(AND(Data!#REF!&gt;(TODAY()-(Data_Val!$L$3*365.25)),Data!#REF!&lt;=(TODAY()-(Data_Val!$L$2*365.25))),0,1),1))</f>
        <v>#REF!</v>
      </c>
      <c r="AM32" s="17" t="e">
        <f>IF(Data!#REF!="","",IF(Data!$G32="",1,IF(ISNUMBER(MATCH(Data!#REF!,Data_Val!$D$2:$D$10,0)),0,1)))</f>
        <v>#REF!</v>
      </c>
      <c r="AN32" s="13"/>
      <c r="AO32" s="28" t="e">
        <f ca="1">IF(Data!#REF!="","",IF(ISNUMBER(Data!#REF!),IF(AND(Data!#REF!&gt;(TODAY()-(Data_Val!$I$3*365.25)),Data!#REF!&lt;=(TODAY()-(Data_Val!$I$2*365.25))),0,1),1))</f>
        <v>#REF!</v>
      </c>
      <c r="AP32" s="13" t="e">
        <f>IF(Data!#REF!="","",IF(Data!$G32="",1,IF(ISNUMBER(MATCH(Data!#REF!,Data_Val!$D$2:$D$10,0)),0,1)))</f>
        <v>#REF!</v>
      </c>
      <c r="AQ32" s="17"/>
      <c r="AR32" s="30" t="e">
        <f ca="1">IF(Data!#REF!="","",IF(ISNUMBER(Data!#REF!),IF(AND(Data!#REF!&gt;(TODAY()-(Data_Val!$I$3*365.25)),Data!#REF!&lt;=(TODAY()-(Data_Val!$I$2*365.25))),0,1),1))</f>
        <v>#REF!</v>
      </c>
      <c r="AS32" s="31" t="e">
        <f>IF(Data!#REF!="","",IF(Data!$G32="",1,IF(ISNUMBER(MATCH(Data!#REF!,Data_Val!$D$2:$D$10,0)),0,1)))</f>
        <v>#REF!</v>
      </c>
      <c r="AT32" s="11"/>
      <c r="AU32" s="11" t="e">
        <f ca="1">IF(Data!#REF!="","",IF(ISNUMBER(Data!#REF!),IF(AND(Data!#REF!&gt;(TODAY()-(Data_Val!$I$3*365.25)),Data!#REF!&lt;=(TODAY()-(Data_Val!$I$2*365.25))),0,1),1))</f>
        <v>#REF!</v>
      </c>
      <c r="AV32" s="11" t="e">
        <f>IF(Data!#REF!="","",IF(Data!$G32="",1,IF(ISNUMBER(MATCH(Data!#REF!,Data_Val!$D$2:$D$10,0)),0,1)))</f>
        <v>#REF!</v>
      </c>
      <c r="AW32" s="12"/>
      <c r="AX32" s="26" t="e">
        <f ca="1">IF(Data!#REF!="","",IF(ISNUMBER(Data!#REF!),IF(AND(Data!#REF!&gt;(TODAY()-(Data_Val!$I$3*365.25)),Data!#REF!&lt;=(TODAY()-(Data_Val!$I$2*365.25))),0,1),1))</f>
        <v>#REF!</v>
      </c>
      <c r="AY32" s="12" t="e">
        <f>IF(Data!#REF!="","",IF(Data!$G32="",1,IF(ISNUMBER(MATCH(Data!#REF!,Data_Val!$D$2:$D$10,0)),0,1)))</f>
        <v>#REF!</v>
      </c>
      <c r="AZ32" s="11"/>
      <c r="BA32" s="19" t="e">
        <f ca="1">IF(Data!#REF!="","",IF(ISNUMBER(Data!#REF!),IF(AND(Data!#REF!&gt;(TODAY()-(Data_Val!$M$3*365.25)),Data!#REF!&lt;=(TODAY()-(Data_Val!$M$2*365.25))),0,1),1))</f>
        <v>#REF!</v>
      </c>
      <c r="BB32" s="11" t="e">
        <f>IF(Data!#REF!="","",IF(Data!$G32="",1,IF(ISNUMBER(MATCH(Data!#REF!,Data_Val!$D$2:$D$10,0)),0,1)))</f>
        <v>#REF!</v>
      </c>
      <c r="BC32" s="12"/>
      <c r="BD32" s="20" t="e">
        <f ca="1">IF(Data!#REF!="","",IF(ISNUMBER(Data!#REF!),IF(AND(Data!#REF!&gt;(TODAY()-(Data_Val!$M$3*365.25)),Data!#REF!&lt;=(TODAY()-(Data_Val!$M$2*365.25))),0,1),1))</f>
        <v>#REF!</v>
      </c>
      <c r="BE32" s="12" t="e">
        <f>IF(Data!#REF!="","",IF(Data!$G32="",1,IF(ISNUMBER(MATCH(Data!#REF!,Data_Val!$D$2:$D$10,0)),0,1)))</f>
        <v>#REF!</v>
      </c>
      <c r="BF32" s="17"/>
      <c r="BG32" s="18" t="e">
        <f ca="1">IF(Data!#REF!="","",IF(ISNUMBER(Data!#REF!),IF(AND(Data!#REF!&gt;(TODAY()-(Data_Val!$M$3*365.25)),Data!#REF!&lt;=(TODAY()-(Data_Val!$M$2*365.25))),0,1),1))</f>
        <v>#REF!</v>
      </c>
      <c r="BH32" s="29" t="e">
        <f>IF(Data!#REF!="","",IF(Data!$G32="",1,IF(ISNUMBER(MATCH(Data!#REF!,Data_Val!$D$2:$D$10,0)),0,1)))</f>
        <v>#REF!</v>
      </c>
      <c r="BI32" s="13"/>
      <c r="BJ32" s="21" t="e">
        <f ca="1">IF(Data!#REF!="","",IF(ISNUMBER(Data!#REF!),IF(AND(Data!#REF!&gt;(TODAY()-(Data_Val!$M$3*365.25)),Data!#REF!&lt;=(TODAY()-(Data_Val!$M$2*365.25))),0,1),1))</f>
        <v>#REF!</v>
      </c>
      <c r="BK32" s="13" t="e">
        <f>IF(Data!#REF!="","",IF(Data!$G32="",1,IF(ISNUMBER(MATCH(Data!#REF!,Data_Val!$D$2:$D$10,0)),0,1)))</f>
        <v>#REF!</v>
      </c>
    </row>
    <row r="33" spans="1:63" x14ac:dyDescent="0.25">
      <c r="A33" s="9" t="str">
        <f>IF(Data!B33="","",IF(COUNTIFS(Data!A$1:'Data'!A33,Data!A33)&lt;=1,0,1))</f>
        <v/>
      </c>
      <c r="B33" s="9"/>
      <c r="C33" s="23" t="str">
        <f>IF(Data!C33="","",(IF(ISNUMBER(MATCH("*@*.?*",Data!C33,0)),0,1)+IF(COUNTIFS(Data!C$1:'Data'!C33,Data!C33)&gt;1,1,0)))</f>
        <v/>
      </c>
      <c r="D33" s="9" t="str">
        <f>IF(Data!B33="","",IF(ISNUMBER(Data!D33),IF(AND(Data!D33&gt;999999999,Data!D33&lt;=9999999999),IF(COUNTIFS(Data!D$1:'Data'!D33,Data!D33)&lt;=1,0,1),1),1))</f>
        <v/>
      </c>
      <c r="E33" s="9" t="str">
        <f>IF(Data!B33="","",IF(ISNUMBER(MATCH(Data!E33,Data_Val!$A$2:$A$3,0)),0,1))</f>
        <v/>
      </c>
      <c r="F33" s="9" t="str">
        <f ca="1">IF(Data!B33="","",IF(ISNUMBER(Data!F33),IF(AND(Data!F33&gt;(TODAY()-(Data_Val!$H$3*365.25)),Data!F33&lt;=(TODAY()-(Data_Val!$H$2*365.25))),0,1),1))</f>
        <v/>
      </c>
      <c r="G33" s="15" t="str">
        <f>IF(Data!B33="","",IF(AND(Data!G33="",Data!H33&lt;&gt;""),1,IF(Data!#REF!&lt;&gt;"",0,IF(ISNUMBER(MATCH(Data!G33,Data_Val!$C$2:$C$5,0)),0,1))))</f>
        <v/>
      </c>
      <c r="H33" s="15" t="str">
        <f>IF(Data!B33="","",IF(AND(Data!G33&lt;&gt;"",Data!H33=""),1,IF(Data!#REF!&lt;&gt;"",0,IF(Data!G33="",1,IF(ISNUMBER(MATCH(Data!H33,Data_Val!$D$2:$D$35,0)),0,1)))))</f>
        <v/>
      </c>
      <c r="I33" s="15" t="str">
        <f>IF(Data!B33="","",IF(Data!G33&lt;&gt;"",0,IF(ISNUMBER(MATCH(Data!#REF!,Data_Val!$E$2:$E$12,0)),0,1)))</f>
        <v/>
      </c>
      <c r="J33" s="16" t="e">
        <f>IF(OR(Data!B33="",Data!#REF!=""),"",IF(Data!#REF!="",1,0))</f>
        <v>#REF!</v>
      </c>
      <c r="K33" s="16" t="e">
        <f>IF(OR(Data!B33="",Data!#REF!=""),"",IF(Data!#REF!="",1,0))</f>
        <v>#REF!</v>
      </c>
      <c r="L33" s="16" t="e">
        <f>IF(OR(Data!B33="",Data!#REF!=""),"",IF(ISNUMBER(Data!#REF!),IF(AND(Data!#REF!&gt;Data_Val!$G$2,Data!#REF!&lt;=Data_Val!$G$3),0,1),1))</f>
        <v>#REF!</v>
      </c>
      <c r="M33" s="9" t="e">
        <f>IF(OR(Data!B33="",Data!#REF!=""),"",IF(ISNUMBER(MATCH(Data!#REF!,Data_Val!$F$1:$F$38,0)),0,1))</f>
        <v>#REF!</v>
      </c>
      <c r="N33" s="9" t="e">
        <f>IF(OR(Data!B33="",Data!#REF!=""),"",IF(Data!#REF!="",1,0))</f>
        <v>#REF!</v>
      </c>
      <c r="O33" s="17" t="e">
        <f>IF(Data!#REF!="","",IF(Data!#REF!="",1,0))</f>
        <v>#REF!</v>
      </c>
      <c r="P33" s="17" t="e">
        <f>IF(Data!#REF!="","",IF(ISNUMBER(MATCH(Data!#REF!,Data_Val!$A$2:$A$3,0)),0,1))</f>
        <v>#REF!</v>
      </c>
      <c r="Q33" s="25" t="e">
        <f ca="1">IF(Data!#REF!="","",IF(ISNUMBER(Data!#REF!),IF(AND(Data!#REF!&gt;(TODAY()-(Data_Val!$J$3*365.25)),Data!#REF!&lt;=(TODAY()-(Data_Val!$J$2*365.25))),0,1),1))</f>
        <v>#REF!</v>
      </c>
      <c r="R33" s="17" t="e">
        <f>IF(Data!#REF!="","",IF(ISNUMBER(MATCH(Data!#REF!,Data_Val!$B$2:$B$15,0)),0,1))</f>
        <v>#REF!</v>
      </c>
      <c r="S33" s="11" t="str">
        <f>IF(Data!G33="","",IF(Data!G33=Data_Val!$C$2,IF(Data!M33="",0,1),0))</f>
        <v/>
      </c>
      <c r="T33" s="11" t="str">
        <f>IF(Data!M33="","",IF(ISNUMBER(MATCH(Data!N33,Data_Val!$A$2:$A$3,0)),0,1))</f>
        <v/>
      </c>
      <c r="U33" s="11" t="str">
        <f ca="1">IF(Data!M33="","",IF(ISNUMBER(Data!O33),IF(AND(Data!O33&gt;(TODAY()-(Data_Val!$K$3*365.25)),Data!O33&lt;=(TODAY()-(Data_Val!$K$2*365.25))),0,1),1))</f>
        <v/>
      </c>
      <c r="V33" s="12" t="str">
        <f>IF(Data!G33="","",IF(Data!G33=Data_Val!$C$2,IF(Data!P33="",0,1),0))</f>
        <v/>
      </c>
      <c r="W33" s="12" t="str">
        <f>IF(Data!P33="","",IF(ISNUMBER(MATCH(Data!Q33,Data_Val!$A$2:$A$3,0)),0,1))</f>
        <v/>
      </c>
      <c r="X33" s="26" t="str">
        <f ca="1">IF(Data!P33="","",IF(ISNUMBER(Data!R33),IF(AND(Data!R33&gt;(TODAY()-(Data_Val!$L$3*365.25)),Data!R33&lt;=(TODAY()-(Data_Val!$L$2*365.25))),0,1),1))</f>
        <v/>
      </c>
      <c r="Y33" s="13" t="str">
        <f>IF(Data!$G33="","",IF(Data!$G33=Data_Val!$C$2,IF(Data!S33="",0,1),0))</f>
        <v/>
      </c>
      <c r="Z33" s="13" t="str">
        <f>IF(Data!S33="","",IF(ISNUMBER(MATCH(Data!T33,Data_Val!$A$2:$A$3,0)),0,1))</f>
        <v/>
      </c>
      <c r="AA33" s="28" t="str">
        <f ca="1">IF(Data!S33="","",IF(ISNUMBER(Data!U33),IF(AND(Data!U33&gt;(TODAY()-(Data_Val!$L$3*365.25)),Data!U33&lt;=(TODAY()-(Data_Val!$L$2*365.25))),0,1),1))</f>
        <v/>
      </c>
      <c r="AB33" s="11"/>
      <c r="AC33" s="11" t="e">
        <f>IF(Data!#REF!="","",IF(ISNUMBER(MATCH(Data!#REF!,Data_Val!$A$2:$A$3,0)),0,1))</f>
        <v>#REF!</v>
      </c>
      <c r="AD33" s="11" t="e">
        <f ca="1">IF(Data!#REF!="","",IF(ISNUMBER(Data!#REF!),IF(AND(Data!#REF!&gt;(TODAY()-(Data_Val!$L$3*365.25)),Data!#REF!&lt;=(TODAY()-(Data_Val!$L$2*365.25))),0,1),1))</f>
        <v>#REF!</v>
      </c>
      <c r="AE33" s="11" t="e">
        <f>IF(Data!#REF!="","",IF(Data!$G33="",1,IF(ISNUMBER(MATCH(Data!#REF!,Data_Val!$D$2:$D$10,0)),0,1)))</f>
        <v>#REF!</v>
      </c>
      <c r="AF33" s="12"/>
      <c r="AG33" s="12" t="e">
        <f>IF(Data!#REF!="","",IF(ISNUMBER(MATCH(Data!#REF!,Data_Val!$A$2:$A$3,0)),0,1))</f>
        <v>#REF!</v>
      </c>
      <c r="AH33" s="26" t="e">
        <f ca="1">IF(Data!#REF!="","",IF(ISNUMBER(Data!#REF!),IF(AND(Data!#REF!&gt;(TODAY()-(Data_Val!$L$3*365.25)),Data!#REF!&lt;=(TODAY()-(Data_Val!$L$2*365.25))),0,1),1))</f>
        <v>#REF!</v>
      </c>
      <c r="AI33" s="12" t="e">
        <f>IF(Data!#REF!="","",IF(Data!$G33="",1,IF(ISNUMBER(MATCH(Data!#REF!,Data_Val!$D$2:$D$10,0)),0,1)))</f>
        <v>#REF!</v>
      </c>
      <c r="AJ33" s="17"/>
      <c r="AK33" s="17" t="e">
        <f>IF(Data!#REF!="","",IF(ISNUMBER(MATCH(Data!#REF!,Data_Val!$A$2:$A$3,0)),0,1))</f>
        <v>#REF!</v>
      </c>
      <c r="AL33" s="25" t="e">
        <f ca="1">IF(Data!#REF!="","",IF(ISNUMBER(Data!#REF!),IF(AND(Data!#REF!&gt;(TODAY()-(Data_Val!$L$3*365.25)),Data!#REF!&lt;=(TODAY()-(Data_Val!$L$2*365.25))),0,1),1))</f>
        <v>#REF!</v>
      </c>
      <c r="AM33" s="17" t="e">
        <f>IF(Data!#REF!="","",IF(Data!$G33="",1,IF(ISNUMBER(MATCH(Data!#REF!,Data_Val!$D$2:$D$10,0)),0,1)))</f>
        <v>#REF!</v>
      </c>
      <c r="AN33" s="13"/>
      <c r="AO33" s="28" t="e">
        <f ca="1">IF(Data!#REF!="","",IF(ISNUMBER(Data!#REF!),IF(AND(Data!#REF!&gt;(TODAY()-(Data_Val!$I$3*365.25)),Data!#REF!&lt;=(TODAY()-(Data_Val!$I$2*365.25))),0,1),1))</f>
        <v>#REF!</v>
      </c>
      <c r="AP33" s="13" t="e">
        <f>IF(Data!#REF!="","",IF(Data!$G33="",1,IF(ISNUMBER(MATCH(Data!#REF!,Data_Val!$D$2:$D$10,0)),0,1)))</f>
        <v>#REF!</v>
      </c>
      <c r="AQ33" s="17"/>
      <c r="AR33" s="30" t="e">
        <f ca="1">IF(Data!#REF!="","",IF(ISNUMBER(Data!#REF!),IF(AND(Data!#REF!&gt;(TODAY()-(Data_Val!$I$3*365.25)),Data!#REF!&lt;=(TODAY()-(Data_Val!$I$2*365.25))),0,1),1))</f>
        <v>#REF!</v>
      </c>
      <c r="AS33" s="31" t="e">
        <f>IF(Data!#REF!="","",IF(Data!$G33="",1,IF(ISNUMBER(MATCH(Data!#REF!,Data_Val!$D$2:$D$10,0)),0,1)))</f>
        <v>#REF!</v>
      </c>
      <c r="AT33" s="11"/>
      <c r="AU33" s="11" t="e">
        <f ca="1">IF(Data!#REF!="","",IF(ISNUMBER(Data!#REF!),IF(AND(Data!#REF!&gt;(TODAY()-(Data_Val!$I$3*365.25)),Data!#REF!&lt;=(TODAY()-(Data_Val!$I$2*365.25))),0,1),1))</f>
        <v>#REF!</v>
      </c>
      <c r="AV33" s="11" t="e">
        <f>IF(Data!#REF!="","",IF(Data!$G33="",1,IF(ISNUMBER(MATCH(Data!#REF!,Data_Val!$D$2:$D$10,0)),0,1)))</f>
        <v>#REF!</v>
      </c>
      <c r="AW33" s="12"/>
      <c r="AX33" s="26" t="e">
        <f ca="1">IF(Data!#REF!="","",IF(ISNUMBER(Data!#REF!),IF(AND(Data!#REF!&gt;(TODAY()-(Data_Val!$I$3*365.25)),Data!#REF!&lt;=(TODAY()-(Data_Val!$I$2*365.25))),0,1),1))</f>
        <v>#REF!</v>
      </c>
      <c r="AY33" s="12" t="e">
        <f>IF(Data!#REF!="","",IF(Data!$G33="",1,IF(ISNUMBER(MATCH(Data!#REF!,Data_Val!$D$2:$D$10,0)),0,1)))</f>
        <v>#REF!</v>
      </c>
      <c r="AZ33" s="11"/>
      <c r="BA33" s="19" t="e">
        <f ca="1">IF(Data!#REF!="","",IF(ISNUMBER(Data!#REF!),IF(AND(Data!#REF!&gt;(TODAY()-(Data_Val!$M$3*365.25)),Data!#REF!&lt;=(TODAY()-(Data_Val!$M$2*365.25))),0,1),1))</f>
        <v>#REF!</v>
      </c>
      <c r="BB33" s="11" t="e">
        <f>IF(Data!#REF!="","",IF(Data!$G33="",1,IF(ISNUMBER(MATCH(Data!#REF!,Data_Val!$D$2:$D$10,0)),0,1)))</f>
        <v>#REF!</v>
      </c>
      <c r="BC33" s="12"/>
      <c r="BD33" s="20" t="e">
        <f ca="1">IF(Data!#REF!="","",IF(ISNUMBER(Data!#REF!),IF(AND(Data!#REF!&gt;(TODAY()-(Data_Val!$M$3*365.25)),Data!#REF!&lt;=(TODAY()-(Data_Val!$M$2*365.25))),0,1),1))</f>
        <v>#REF!</v>
      </c>
      <c r="BE33" s="12" t="e">
        <f>IF(Data!#REF!="","",IF(Data!$G33="",1,IF(ISNUMBER(MATCH(Data!#REF!,Data_Val!$D$2:$D$10,0)),0,1)))</f>
        <v>#REF!</v>
      </c>
      <c r="BF33" s="17"/>
      <c r="BG33" s="18" t="e">
        <f ca="1">IF(Data!#REF!="","",IF(ISNUMBER(Data!#REF!),IF(AND(Data!#REF!&gt;(TODAY()-(Data_Val!$M$3*365.25)),Data!#REF!&lt;=(TODAY()-(Data_Val!$M$2*365.25))),0,1),1))</f>
        <v>#REF!</v>
      </c>
      <c r="BH33" s="29" t="e">
        <f>IF(Data!#REF!="","",IF(Data!$G33="",1,IF(ISNUMBER(MATCH(Data!#REF!,Data_Val!$D$2:$D$10,0)),0,1)))</f>
        <v>#REF!</v>
      </c>
      <c r="BI33" s="13"/>
      <c r="BJ33" s="21" t="e">
        <f ca="1">IF(Data!#REF!="","",IF(ISNUMBER(Data!#REF!),IF(AND(Data!#REF!&gt;(TODAY()-(Data_Val!$M$3*365.25)),Data!#REF!&lt;=(TODAY()-(Data_Val!$M$2*365.25))),0,1),1))</f>
        <v>#REF!</v>
      </c>
      <c r="BK33" s="13" t="e">
        <f>IF(Data!#REF!="","",IF(Data!$G33="",1,IF(ISNUMBER(MATCH(Data!#REF!,Data_Val!$D$2:$D$10,0)),0,1)))</f>
        <v>#REF!</v>
      </c>
    </row>
    <row r="34" spans="1:63" x14ac:dyDescent="0.25">
      <c r="A34" s="9" t="str">
        <f>IF(Data!B34="","",IF(COUNTIFS(Data!A$1:'Data'!A34,Data!A34)&lt;=1,0,1))</f>
        <v/>
      </c>
      <c r="B34" s="9"/>
      <c r="C34" s="23" t="str">
        <f>IF(Data!C34="","",(IF(ISNUMBER(MATCH("*@*.?*",Data!C34,0)),0,1)+IF(COUNTIFS(Data!C$1:'Data'!C34,Data!C34)&gt;1,1,0)))</f>
        <v/>
      </c>
      <c r="D34" s="9" t="str">
        <f>IF(Data!B34="","",IF(ISNUMBER(Data!D34),IF(AND(Data!D34&gt;999999999,Data!D34&lt;=9999999999),IF(COUNTIFS(Data!D$1:'Data'!D34,Data!D34)&lt;=1,0,1),1),1))</f>
        <v/>
      </c>
      <c r="E34" s="9" t="str">
        <f>IF(Data!B34="","",IF(ISNUMBER(MATCH(Data!E34,Data_Val!$A$2:$A$3,0)),0,1))</f>
        <v/>
      </c>
      <c r="F34" s="9" t="str">
        <f ca="1">IF(Data!B34="","",IF(ISNUMBER(Data!F34),IF(AND(Data!F34&gt;(TODAY()-(Data_Val!$H$3*365.25)),Data!F34&lt;=(TODAY()-(Data_Val!$H$2*365.25))),0,1),1))</f>
        <v/>
      </c>
      <c r="G34" s="15" t="str">
        <f>IF(Data!B34="","",IF(AND(Data!G34="",Data!H34&lt;&gt;""),1,IF(Data!#REF!&lt;&gt;"",0,IF(ISNUMBER(MATCH(Data!G34,Data_Val!$C$2:$C$5,0)),0,1))))</f>
        <v/>
      </c>
      <c r="H34" s="15" t="str">
        <f>IF(Data!B34="","",IF(AND(Data!G34&lt;&gt;"",Data!H34=""),1,IF(Data!#REF!&lt;&gt;"",0,IF(Data!G34="",1,IF(ISNUMBER(MATCH(Data!H34,Data_Val!$D$2:$D$35,0)),0,1)))))</f>
        <v/>
      </c>
      <c r="I34" s="15" t="str">
        <f>IF(Data!B34="","",IF(Data!G34&lt;&gt;"",0,IF(ISNUMBER(MATCH(Data!#REF!,Data_Val!$E$2:$E$12,0)),0,1)))</f>
        <v/>
      </c>
      <c r="J34" s="16" t="e">
        <f>IF(OR(Data!B34="",Data!#REF!=""),"",IF(Data!#REF!="",1,0))</f>
        <v>#REF!</v>
      </c>
      <c r="K34" s="16" t="e">
        <f>IF(OR(Data!B34="",Data!#REF!=""),"",IF(Data!#REF!="",1,0))</f>
        <v>#REF!</v>
      </c>
      <c r="L34" s="16" t="e">
        <f>IF(OR(Data!B34="",Data!#REF!=""),"",IF(ISNUMBER(Data!#REF!),IF(AND(Data!#REF!&gt;Data_Val!$G$2,Data!#REF!&lt;=Data_Val!$G$3),0,1),1))</f>
        <v>#REF!</v>
      </c>
      <c r="M34" s="9" t="e">
        <f>IF(OR(Data!B34="",Data!#REF!=""),"",IF(ISNUMBER(MATCH(Data!#REF!,Data_Val!$F$1:$F$38,0)),0,1))</f>
        <v>#REF!</v>
      </c>
      <c r="N34" s="9" t="e">
        <f>IF(OR(Data!B34="",Data!#REF!=""),"",IF(Data!#REF!="",1,0))</f>
        <v>#REF!</v>
      </c>
      <c r="O34" s="17" t="e">
        <f>IF(Data!#REF!="","",IF(Data!#REF!="",1,0))</f>
        <v>#REF!</v>
      </c>
      <c r="P34" s="17" t="e">
        <f>IF(Data!#REF!="","",IF(ISNUMBER(MATCH(Data!#REF!,Data_Val!$A$2:$A$3,0)),0,1))</f>
        <v>#REF!</v>
      </c>
      <c r="Q34" s="25" t="e">
        <f ca="1">IF(Data!#REF!="","",IF(ISNUMBER(Data!#REF!),IF(AND(Data!#REF!&gt;(TODAY()-(Data_Val!$J$3*365.25)),Data!#REF!&lt;=(TODAY()-(Data_Val!$J$2*365.25))),0,1),1))</f>
        <v>#REF!</v>
      </c>
      <c r="R34" s="17" t="e">
        <f>IF(Data!#REF!="","",IF(ISNUMBER(MATCH(Data!#REF!,Data_Val!$B$2:$B$15,0)),0,1))</f>
        <v>#REF!</v>
      </c>
      <c r="S34" s="11" t="str">
        <f>IF(Data!G34="","",IF(Data!G34=Data_Val!$C$2,IF(Data!M34="",0,1),0))</f>
        <v/>
      </c>
      <c r="T34" s="11" t="str">
        <f>IF(Data!M34="","",IF(ISNUMBER(MATCH(Data!N34,Data_Val!$A$2:$A$3,0)),0,1))</f>
        <v/>
      </c>
      <c r="U34" s="11" t="str">
        <f ca="1">IF(Data!M34="","",IF(ISNUMBER(Data!O34),IF(AND(Data!O34&gt;(TODAY()-(Data_Val!$K$3*365.25)),Data!O34&lt;=(TODAY()-(Data_Val!$K$2*365.25))),0,1),1))</f>
        <v/>
      </c>
      <c r="V34" s="12" t="str">
        <f>IF(Data!G34="","",IF(Data!G34=Data_Val!$C$2,IF(Data!P34="",0,1),0))</f>
        <v/>
      </c>
      <c r="W34" s="12" t="str">
        <f>IF(Data!P34="","",IF(ISNUMBER(MATCH(Data!Q34,Data_Val!$A$2:$A$3,0)),0,1))</f>
        <v/>
      </c>
      <c r="X34" s="26" t="str">
        <f ca="1">IF(Data!P34="","",IF(ISNUMBER(Data!R34),IF(AND(Data!R34&gt;(TODAY()-(Data_Val!$L$3*365.25)),Data!R34&lt;=(TODAY()-(Data_Val!$L$2*365.25))),0,1),1))</f>
        <v/>
      </c>
      <c r="Y34" s="13" t="str">
        <f>IF(Data!$G34="","",IF(Data!$G34=Data_Val!$C$2,IF(Data!S34="",0,1),0))</f>
        <v/>
      </c>
      <c r="Z34" s="13" t="str">
        <f>IF(Data!S34="","",IF(ISNUMBER(MATCH(Data!T34,Data_Val!$A$2:$A$3,0)),0,1))</f>
        <v/>
      </c>
      <c r="AA34" s="28" t="str">
        <f ca="1">IF(Data!S34="","",IF(ISNUMBER(Data!U34),IF(AND(Data!U34&gt;(TODAY()-(Data_Val!$L$3*365.25)),Data!U34&lt;=(TODAY()-(Data_Val!$L$2*365.25))),0,1),1))</f>
        <v/>
      </c>
      <c r="AB34" s="11"/>
      <c r="AC34" s="11" t="e">
        <f>IF(Data!#REF!="","",IF(ISNUMBER(MATCH(Data!#REF!,Data_Val!$A$2:$A$3,0)),0,1))</f>
        <v>#REF!</v>
      </c>
      <c r="AD34" s="11" t="e">
        <f ca="1">IF(Data!#REF!="","",IF(ISNUMBER(Data!#REF!),IF(AND(Data!#REF!&gt;(TODAY()-(Data_Val!$L$3*365.25)),Data!#REF!&lt;=(TODAY()-(Data_Val!$L$2*365.25))),0,1),1))</f>
        <v>#REF!</v>
      </c>
      <c r="AE34" s="11" t="e">
        <f>IF(Data!#REF!="","",IF(Data!$G34="",1,IF(ISNUMBER(MATCH(Data!#REF!,Data_Val!$D$2:$D$10,0)),0,1)))</f>
        <v>#REF!</v>
      </c>
      <c r="AF34" s="12"/>
      <c r="AG34" s="12" t="e">
        <f>IF(Data!#REF!="","",IF(ISNUMBER(MATCH(Data!#REF!,Data_Val!$A$2:$A$3,0)),0,1))</f>
        <v>#REF!</v>
      </c>
      <c r="AH34" s="26" t="e">
        <f ca="1">IF(Data!#REF!="","",IF(ISNUMBER(Data!#REF!),IF(AND(Data!#REF!&gt;(TODAY()-(Data_Val!$L$3*365.25)),Data!#REF!&lt;=(TODAY()-(Data_Val!$L$2*365.25))),0,1),1))</f>
        <v>#REF!</v>
      </c>
      <c r="AI34" s="12" t="e">
        <f>IF(Data!#REF!="","",IF(Data!$G34="",1,IF(ISNUMBER(MATCH(Data!#REF!,Data_Val!$D$2:$D$10,0)),0,1)))</f>
        <v>#REF!</v>
      </c>
      <c r="AJ34" s="17"/>
      <c r="AK34" s="17" t="e">
        <f>IF(Data!#REF!="","",IF(ISNUMBER(MATCH(Data!#REF!,Data_Val!$A$2:$A$3,0)),0,1))</f>
        <v>#REF!</v>
      </c>
      <c r="AL34" s="25" t="e">
        <f ca="1">IF(Data!#REF!="","",IF(ISNUMBER(Data!#REF!),IF(AND(Data!#REF!&gt;(TODAY()-(Data_Val!$L$3*365.25)),Data!#REF!&lt;=(TODAY()-(Data_Val!$L$2*365.25))),0,1),1))</f>
        <v>#REF!</v>
      </c>
      <c r="AM34" s="17" t="e">
        <f>IF(Data!#REF!="","",IF(Data!$G34="",1,IF(ISNUMBER(MATCH(Data!#REF!,Data_Val!$D$2:$D$10,0)),0,1)))</f>
        <v>#REF!</v>
      </c>
      <c r="AN34" s="13"/>
      <c r="AO34" s="28" t="e">
        <f ca="1">IF(Data!#REF!="","",IF(ISNUMBER(Data!#REF!),IF(AND(Data!#REF!&gt;(TODAY()-(Data_Val!$I$3*365.25)),Data!#REF!&lt;=(TODAY()-(Data_Val!$I$2*365.25))),0,1),1))</f>
        <v>#REF!</v>
      </c>
      <c r="AP34" s="13" t="e">
        <f>IF(Data!#REF!="","",IF(Data!$G34="",1,IF(ISNUMBER(MATCH(Data!#REF!,Data_Val!$D$2:$D$10,0)),0,1)))</f>
        <v>#REF!</v>
      </c>
      <c r="AQ34" s="17"/>
      <c r="AR34" s="30" t="e">
        <f ca="1">IF(Data!#REF!="","",IF(ISNUMBER(Data!#REF!),IF(AND(Data!#REF!&gt;(TODAY()-(Data_Val!$I$3*365.25)),Data!#REF!&lt;=(TODAY()-(Data_Val!$I$2*365.25))),0,1),1))</f>
        <v>#REF!</v>
      </c>
      <c r="AS34" s="31" t="e">
        <f>IF(Data!#REF!="","",IF(Data!$G34="",1,IF(ISNUMBER(MATCH(Data!#REF!,Data_Val!$D$2:$D$10,0)),0,1)))</f>
        <v>#REF!</v>
      </c>
      <c r="AT34" s="11"/>
      <c r="AU34" s="11" t="e">
        <f ca="1">IF(Data!#REF!="","",IF(ISNUMBER(Data!#REF!),IF(AND(Data!#REF!&gt;(TODAY()-(Data_Val!$I$3*365.25)),Data!#REF!&lt;=(TODAY()-(Data_Val!$I$2*365.25))),0,1),1))</f>
        <v>#REF!</v>
      </c>
      <c r="AV34" s="11" t="e">
        <f>IF(Data!#REF!="","",IF(Data!$G34="",1,IF(ISNUMBER(MATCH(Data!#REF!,Data_Val!$D$2:$D$10,0)),0,1)))</f>
        <v>#REF!</v>
      </c>
      <c r="AW34" s="12"/>
      <c r="AX34" s="26" t="e">
        <f ca="1">IF(Data!#REF!="","",IF(ISNUMBER(Data!#REF!),IF(AND(Data!#REF!&gt;(TODAY()-(Data_Val!$I$3*365.25)),Data!#REF!&lt;=(TODAY()-(Data_Val!$I$2*365.25))),0,1),1))</f>
        <v>#REF!</v>
      </c>
      <c r="AY34" s="12" t="e">
        <f>IF(Data!#REF!="","",IF(Data!$G34="",1,IF(ISNUMBER(MATCH(Data!#REF!,Data_Val!$D$2:$D$10,0)),0,1)))</f>
        <v>#REF!</v>
      </c>
      <c r="AZ34" s="11"/>
      <c r="BA34" s="19" t="e">
        <f ca="1">IF(Data!#REF!="","",IF(ISNUMBER(Data!#REF!),IF(AND(Data!#REF!&gt;(TODAY()-(Data_Val!$M$3*365.25)),Data!#REF!&lt;=(TODAY()-(Data_Val!$M$2*365.25))),0,1),1))</f>
        <v>#REF!</v>
      </c>
      <c r="BB34" s="11" t="e">
        <f>IF(Data!#REF!="","",IF(Data!$G34="",1,IF(ISNUMBER(MATCH(Data!#REF!,Data_Val!$D$2:$D$10,0)),0,1)))</f>
        <v>#REF!</v>
      </c>
      <c r="BC34" s="12"/>
      <c r="BD34" s="20" t="e">
        <f ca="1">IF(Data!#REF!="","",IF(ISNUMBER(Data!#REF!),IF(AND(Data!#REF!&gt;(TODAY()-(Data_Val!$M$3*365.25)),Data!#REF!&lt;=(TODAY()-(Data_Val!$M$2*365.25))),0,1),1))</f>
        <v>#REF!</v>
      </c>
      <c r="BE34" s="12" t="e">
        <f>IF(Data!#REF!="","",IF(Data!$G34="",1,IF(ISNUMBER(MATCH(Data!#REF!,Data_Val!$D$2:$D$10,0)),0,1)))</f>
        <v>#REF!</v>
      </c>
      <c r="BF34" s="17"/>
      <c r="BG34" s="18" t="e">
        <f ca="1">IF(Data!#REF!="","",IF(ISNUMBER(Data!#REF!),IF(AND(Data!#REF!&gt;(TODAY()-(Data_Val!$M$3*365.25)),Data!#REF!&lt;=(TODAY()-(Data_Val!$M$2*365.25))),0,1),1))</f>
        <v>#REF!</v>
      </c>
      <c r="BH34" s="29" t="e">
        <f>IF(Data!#REF!="","",IF(Data!$G34="",1,IF(ISNUMBER(MATCH(Data!#REF!,Data_Val!$D$2:$D$10,0)),0,1)))</f>
        <v>#REF!</v>
      </c>
      <c r="BI34" s="13"/>
      <c r="BJ34" s="21" t="e">
        <f ca="1">IF(Data!#REF!="","",IF(ISNUMBER(Data!#REF!),IF(AND(Data!#REF!&gt;(TODAY()-(Data_Val!$M$3*365.25)),Data!#REF!&lt;=(TODAY()-(Data_Val!$M$2*365.25))),0,1),1))</f>
        <v>#REF!</v>
      </c>
      <c r="BK34" s="13" t="e">
        <f>IF(Data!#REF!="","",IF(Data!$G34="",1,IF(ISNUMBER(MATCH(Data!#REF!,Data_Val!$D$2:$D$10,0)),0,1)))</f>
        <v>#REF!</v>
      </c>
    </row>
    <row r="35" spans="1:63" x14ac:dyDescent="0.25">
      <c r="A35" s="9" t="str">
        <f>IF(Data!B35="","",IF(COUNTIFS(Data!A$1:'Data'!A35,Data!A35)&lt;=1,0,1))</f>
        <v/>
      </c>
      <c r="B35" s="9"/>
      <c r="C35" s="23" t="str">
        <f>IF(Data!C35="","",(IF(ISNUMBER(MATCH("*@*.?*",Data!C35,0)),0,1)+IF(COUNTIFS(Data!C$1:'Data'!C35,Data!C35)&gt;1,1,0)))</f>
        <v/>
      </c>
      <c r="D35" s="9" t="str">
        <f>IF(Data!B35="","",IF(ISNUMBER(Data!D35),IF(AND(Data!D35&gt;999999999,Data!D35&lt;=9999999999),IF(COUNTIFS(Data!D$1:'Data'!D35,Data!D35)&lt;=1,0,1),1),1))</f>
        <v/>
      </c>
      <c r="E35" s="9" t="str">
        <f>IF(Data!B35="","",IF(ISNUMBER(MATCH(Data!E35,Data_Val!$A$2:$A$3,0)),0,1))</f>
        <v/>
      </c>
      <c r="F35" s="9" t="str">
        <f ca="1">IF(Data!B35="","",IF(ISNUMBER(Data!F35),IF(AND(Data!F35&gt;(TODAY()-(Data_Val!$H$3*365.25)),Data!F35&lt;=(TODAY()-(Data_Val!$H$2*365.25))),0,1),1))</f>
        <v/>
      </c>
      <c r="G35" s="15" t="str">
        <f>IF(Data!B35="","",IF(AND(Data!G35="",Data!H35&lt;&gt;""),1,IF(Data!#REF!&lt;&gt;"",0,IF(ISNUMBER(MATCH(Data!G35,Data_Val!$C$2:$C$5,0)),0,1))))</f>
        <v/>
      </c>
      <c r="H35" s="15" t="str">
        <f>IF(Data!B35="","",IF(AND(Data!G35&lt;&gt;"",Data!H35=""),1,IF(Data!#REF!&lt;&gt;"",0,IF(Data!G35="",1,IF(ISNUMBER(MATCH(Data!H35,Data_Val!$D$2:$D$35,0)),0,1)))))</f>
        <v/>
      </c>
      <c r="I35" s="15" t="str">
        <f>IF(Data!B35="","",IF(Data!G35&lt;&gt;"",0,IF(ISNUMBER(MATCH(Data!#REF!,Data_Val!$E$2:$E$12,0)),0,1)))</f>
        <v/>
      </c>
      <c r="J35" s="16" t="e">
        <f>IF(OR(Data!B35="",Data!#REF!=""),"",IF(Data!#REF!="",1,0))</f>
        <v>#REF!</v>
      </c>
      <c r="K35" s="16" t="e">
        <f>IF(OR(Data!B35="",Data!#REF!=""),"",IF(Data!#REF!="",1,0))</f>
        <v>#REF!</v>
      </c>
      <c r="L35" s="16" t="e">
        <f>IF(OR(Data!B35="",Data!#REF!=""),"",IF(ISNUMBER(Data!#REF!),IF(AND(Data!#REF!&gt;Data_Val!$G$2,Data!#REF!&lt;=Data_Val!$G$3),0,1),1))</f>
        <v>#REF!</v>
      </c>
      <c r="M35" s="9" t="e">
        <f>IF(OR(Data!B35="",Data!#REF!=""),"",IF(ISNUMBER(MATCH(Data!#REF!,Data_Val!$F$1:$F$38,0)),0,1))</f>
        <v>#REF!</v>
      </c>
      <c r="N35" s="9" t="e">
        <f>IF(OR(Data!B35="",Data!#REF!=""),"",IF(Data!#REF!="",1,0))</f>
        <v>#REF!</v>
      </c>
      <c r="O35" s="17" t="e">
        <f>IF(Data!#REF!="","",IF(Data!#REF!="",1,0))</f>
        <v>#REF!</v>
      </c>
      <c r="P35" s="17" t="e">
        <f>IF(Data!#REF!="","",IF(ISNUMBER(MATCH(Data!#REF!,Data_Val!$A$2:$A$3,0)),0,1))</f>
        <v>#REF!</v>
      </c>
      <c r="Q35" s="25" t="e">
        <f ca="1">IF(Data!#REF!="","",IF(ISNUMBER(Data!#REF!),IF(AND(Data!#REF!&gt;(TODAY()-(Data_Val!$J$3*365.25)),Data!#REF!&lt;=(TODAY()-(Data_Val!$J$2*365.25))),0,1),1))</f>
        <v>#REF!</v>
      </c>
      <c r="R35" s="17" t="e">
        <f>IF(Data!#REF!="","",IF(ISNUMBER(MATCH(Data!#REF!,Data_Val!$B$2:$B$15,0)),0,1))</f>
        <v>#REF!</v>
      </c>
      <c r="S35" s="11" t="str">
        <f>IF(Data!G35="","",IF(Data!G35=Data_Val!$C$2,IF(Data!M35="",0,1),0))</f>
        <v/>
      </c>
      <c r="T35" s="11" t="str">
        <f>IF(Data!M35="","",IF(ISNUMBER(MATCH(Data!N35,Data_Val!$A$2:$A$3,0)),0,1))</f>
        <v/>
      </c>
      <c r="U35" s="11" t="str">
        <f ca="1">IF(Data!M35="","",IF(ISNUMBER(Data!O35),IF(AND(Data!O35&gt;(TODAY()-(Data_Val!$K$3*365.25)),Data!O35&lt;=(TODAY()-(Data_Val!$K$2*365.25))),0,1),1))</f>
        <v/>
      </c>
      <c r="V35" s="12" t="str">
        <f>IF(Data!G35="","",IF(Data!G35=Data_Val!$C$2,IF(Data!P35="",0,1),0))</f>
        <v/>
      </c>
      <c r="W35" s="12" t="str">
        <f>IF(Data!P35="","",IF(ISNUMBER(MATCH(Data!Q35,Data_Val!$A$2:$A$3,0)),0,1))</f>
        <v/>
      </c>
      <c r="X35" s="26" t="str">
        <f ca="1">IF(Data!P35="","",IF(ISNUMBER(Data!R35),IF(AND(Data!R35&gt;(TODAY()-(Data_Val!$L$3*365.25)),Data!R35&lt;=(TODAY()-(Data_Val!$L$2*365.25))),0,1),1))</f>
        <v/>
      </c>
      <c r="Y35" s="13" t="str">
        <f>IF(Data!$G35="","",IF(Data!$G35=Data_Val!$C$2,IF(Data!S35="",0,1),0))</f>
        <v/>
      </c>
      <c r="Z35" s="13" t="str">
        <f>IF(Data!S35="","",IF(ISNUMBER(MATCH(Data!T35,Data_Val!$A$2:$A$3,0)),0,1))</f>
        <v/>
      </c>
      <c r="AA35" s="28" t="str">
        <f ca="1">IF(Data!S35="","",IF(ISNUMBER(Data!U35),IF(AND(Data!U35&gt;(TODAY()-(Data_Val!$L$3*365.25)),Data!U35&lt;=(TODAY()-(Data_Val!$L$2*365.25))),0,1),1))</f>
        <v/>
      </c>
      <c r="AB35" s="11"/>
      <c r="AC35" s="11" t="e">
        <f>IF(Data!#REF!="","",IF(ISNUMBER(MATCH(Data!#REF!,Data_Val!$A$2:$A$3,0)),0,1))</f>
        <v>#REF!</v>
      </c>
      <c r="AD35" s="11" t="e">
        <f ca="1">IF(Data!#REF!="","",IF(ISNUMBER(Data!#REF!),IF(AND(Data!#REF!&gt;(TODAY()-(Data_Val!$L$3*365.25)),Data!#REF!&lt;=(TODAY()-(Data_Val!$L$2*365.25))),0,1),1))</f>
        <v>#REF!</v>
      </c>
      <c r="AE35" s="11" t="e">
        <f>IF(Data!#REF!="","",IF(Data!$G35="",1,IF(ISNUMBER(MATCH(Data!#REF!,Data_Val!$D$2:$D$10,0)),0,1)))</f>
        <v>#REF!</v>
      </c>
      <c r="AF35" s="12"/>
      <c r="AG35" s="12" t="e">
        <f>IF(Data!#REF!="","",IF(ISNUMBER(MATCH(Data!#REF!,Data_Val!$A$2:$A$3,0)),0,1))</f>
        <v>#REF!</v>
      </c>
      <c r="AH35" s="26" t="e">
        <f ca="1">IF(Data!#REF!="","",IF(ISNUMBER(Data!#REF!),IF(AND(Data!#REF!&gt;(TODAY()-(Data_Val!$L$3*365.25)),Data!#REF!&lt;=(TODAY()-(Data_Val!$L$2*365.25))),0,1),1))</f>
        <v>#REF!</v>
      </c>
      <c r="AI35" s="12" t="e">
        <f>IF(Data!#REF!="","",IF(Data!$G35="",1,IF(ISNUMBER(MATCH(Data!#REF!,Data_Val!$D$2:$D$10,0)),0,1)))</f>
        <v>#REF!</v>
      </c>
      <c r="AJ35" s="17"/>
      <c r="AK35" s="17" t="e">
        <f>IF(Data!#REF!="","",IF(ISNUMBER(MATCH(Data!#REF!,Data_Val!$A$2:$A$3,0)),0,1))</f>
        <v>#REF!</v>
      </c>
      <c r="AL35" s="25" t="e">
        <f ca="1">IF(Data!#REF!="","",IF(ISNUMBER(Data!#REF!),IF(AND(Data!#REF!&gt;(TODAY()-(Data_Val!$L$3*365.25)),Data!#REF!&lt;=(TODAY()-(Data_Val!$L$2*365.25))),0,1),1))</f>
        <v>#REF!</v>
      </c>
      <c r="AM35" s="17" t="e">
        <f>IF(Data!#REF!="","",IF(Data!$G35="",1,IF(ISNUMBER(MATCH(Data!#REF!,Data_Val!$D$2:$D$10,0)),0,1)))</f>
        <v>#REF!</v>
      </c>
      <c r="AN35" s="13"/>
      <c r="AO35" s="28" t="e">
        <f ca="1">IF(Data!#REF!="","",IF(ISNUMBER(Data!#REF!),IF(AND(Data!#REF!&gt;(TODAY()-(Data_Val!$I$3*365.25)),Data!#REF!&lt;=(TODAY()-(Data_Val!$I$2*365.25))),0,1),1))</f>
        <v>#REF!</v>
      </c>
      <c r="AP35" s="13" t="e">
        <f>IF(Data!#REF!="","",IF(Data!$G35="",1,IF(ISNUMBER(MATCH(Data!#REF!,Data_Val!$D$2:$D$10,0)),0,1)))</f>
        <v>#REF!</v>
      </c>
      <c r="AQ35" s="17"/>
      <c r="AR35" s="30" t="e">
        <f ca="1">IF(Data!#REF!="","",IF(ISNUMBER(Data!#REF!),IF(AND(Data!#REF!&gt;(TODAY()-(Data_Val!$I$3*365.25)),Data!#REF!&lt;=(TODAY()-(Data_Val!$I$2*365.25))),0,1),1))</f>
        <v>#REF!</v>
      </c>
      <c r="AS35" s="31" t="e">
        <f>IF(Data!#REF!="","",IF(Data!$G35="",1,IF(ISNUMBER(MATCH(Data!#REF!,Data_Val!$D$2:$D$10,0)),0,1)))</f>
        <v>#REF!</v>
      </c>
      <c r="AT35" s="11"/>
      <c r="AU35" s="11" t="e">
        <f ca="1">IF(Data!#REF!="","",IF(ISNUMBER(Data!#REF!),IF(AND(Data!#REF!&gt;(TODAY()-(Data_Val!$I$3*365.25)),Data!#REF!&lt;=(TODAY()-(Data_Val!$I$2*365.25))),0,1),1))</f>
        <v>#REF!</v>
      </c>
      <c r="AV35" s="11" t="e">
        <f>IF(Data!#REF!="","",IF(Data!$G35="",1,IF(ISNUMBER(MATCH(Data!#REF!,Data_Val!$D$2:$D$10,0)),0,1)))</f>
        <v>#REF!</v>
      </c>
      <c r="AW35" s="12"/>
      <c r="AX35" s="26" t="e">
        <f ca="1">IF(Data!#REF!="","",IF(ISNUMBER(Data!#REF!),IF(AND(Data!#REF!&gt;(TODAY()-(Data_Val!$I$3*365.25)),Data!#REF!&lt;=(TODAY()-(Data_Val!$I$2*365.25))),0,1),1))</f>
        <v>#REF!</v>
      </c>
      <c r="AY35" s="12" t="e">
        <f>IF(Data!#REF!="","",IF(Data!$G35="",1,IF(ISNUMBER(MATCH(Data!#REF!,Data_Val!$D$2:$D$10,0)),0,1)))</f>
        <v>#REF!</v>
      </c>
      <c r="AZ35" s="11"/>
      <c r="BA35" s="19" t="e">
        <f ca="1">IF(Data!#REF!="","",IF(ISNUMBER(Data!#REF!),IF(AND(Data!#REF!&gt;(TODAY()-(Data_Val!$M$3*365.25)),Data!#REF!&lt;=(TODAY()-(Data_Val!$M$2*365.25))),0,1),1))</f>
        <v>#REF!</v>
      </c>
      <c r="BB35" s="11" t="e">
        <f>IF(Data!#REF!="","",IF(Data!$G35="",1,IF(ISNUMBER(MATCH(Data!#REF!,Data_Val!$D$2:$D$10,0)),0,1)))</f>
        <v>#REF!</v>
      </c>
      <c r="BC35" s="12"/>
      <c r="BD35" s="20" t="e">
        <f ca="1">IF(Data!#REF!="","",IF(ISNUMBER(Data!#REF!),IF(AND(Data!#REF!&gt;(TODAY()-(Data_Val!$M$3*365.25)),Data!#REF!&lt;=(TODAY()-(Data_Val!$M$2*365.25))),0,1),1))</f>
        <v>#REF!</v>
      </c>
      <c r="BE35" s="12" t="e">
        <f>IF(Data!#REF!="","",IF(Data!$G35="",1,IF(ISNUMBER(MATCH(Data!#REF!,Data_Val!$D$2:$D$10,0)),0,1)))</f>
        <v>#REF!</v>
      </c>
      <c r="BF35" s="17"/>
      <c r="BG35" s="18" t="e">
        <f ca="1">IF(Data!#REF!="","",IF(ISNUMBER(Data!#REF!),IF(AND(Data!#REF!&gt;(TODAY()-(Data_Val!$M$3*365.25)),Data!#REF!&lt;=(TODAY()-(Data_Val!$M$2*365.25))),0,1),1))</f>
        <v>#REF!</v>
      </c>
      <c r="BH35" s="29" t="e">
        <f>IF(Data!#REF!="","",IF(Data!$G35="",1,IF(ISNUMBER(MATCH(Data!#REF!,Data_Val!$D$2:$D$10,0)),0,1)))</f>
        <v>#REF!</v>
      </c>
      <c r="BI35" s="13"/>
      <c r="BJ35" s="21" t="e">
        <f ca="1">IF(Data!#REF!="","",IF(ISNUMBER(Data!#REF!),IF(AND(Data!#REF!&gt;(TODAY()-(Data_Val!$M$3*365.25)),Data!#REF!&lt;=(TODAY()-(Data_Val!$M$2*365.25))),0,1),1))</f>
        <v>#REF!</v>
      </c>
      <c r="BK35" s="13" t="e">
        <f>IF(Data!#REF!="","",IF(Data!$G35="",1,IF(ISNUMBER(MATCH(Data!#REF!,Data_Val!$D$2:$D$10,0)),0,1)))</f>
        <v>#REF!</v>
      </c>
    </row>
    <row r="36" spans="1:63" x14ac:dyDescent="0.25">
      <c r="A36" s="9" t="str">
        <f>IF(Data!B36="","",IF(COUNTIFS(Data!A$1:'Data'!A36,Data!A36)&lt;=1,0,1))</f>
        <v/>
      </c>
      <c r="B36" s="9"/>
      <c r="C36" s="23" t="str">
        <f>IF(Data!C36="","",(IF(ISNUMBER(MATCH("*@*.?*",Data!C36,0)),0,1)+IF(COUNTIFS(Data!C$1:'Data'!C36,Data!C36)&gt;1,1,0)))</f>
        <v/>
      </c>
      <c r="D36" s="9" t="str">
        <f>IF(Data!B36="","",IF(ISNUMBER(Data!D36),IF(AND(Data!D36&gt;999999999,Data!D36&lt;=9999999999),IF(COUNTIFS(Data!D$1:'Data'!D36,Data!D36)&lt;=1,0,1),1),1))</f>
        <v/>
      </c>
      <c r="E36" s="9" t="str">
        <f>IF(Data!B36="","",IF(ISNUMBER(MATCH(Data!E36,Data_Val!$A$2:$A$3,0)),0,1))</f>
        <v/>
      </c>
      <c r="F36" s="9" t="str">
        <f ca="1">IF(Data!B36="","",IF(ISNUMBER(Data!F36),IF(AND(Data!F36&gt;(TODAY()-(Data_Val!$H$3*365.25)),Data!F36&lt;=(TODAY()-(Data_Val!$H$2*365.25))),0,1),1))</f>
        <v/>
      </c>
      <c r="G36" s="15" t="str">
        <f>IF(Data!B36="","",IF(AND(Data!G36="",Data!H36&lt;&gt;""),1,IF(Data!#REF!&lt;&gt;"",0,IF(ISNUMBER(MATCH(Data!G36,Data_Val!$C$2:$C$5,0)),0,1))))</f>
        <v/>
      </c>
      <c r="H36" s="15" t="str">
        <f>IF(Data!B36="","",IF(AND(Data!G36&lt;&gt;"",Data!H36=""),1,IF(Data!#REF!&lt;&gt;"",0,IF(Data!G36="",1,IF(ISNUMBER(MATCH(Data!H36,Data_Val!$D$2:$D$35,0)),0,1)))))</f>
        <v/>
      </c>
      <c r="I36" s="15" t="str">
        <f>IF(Data!B36="","",IF(Data!G36&lt;&gt;"",0,IF(ISNUMBER(MATCH(Data!#REF!,Data_Val!$E$2:$E$12,0)),0,1)))</f>
        <v/>
      </c>
      <c r="J36" s="16" t="e">
        <f>IF(OR(Data!B36="",Data!#REF!=""),"",IF(Data!#REF!="",1,0))</f>
        <v>#REF!</v>
      </c>
      <c r="K36" s="16" t="e">
        <f>IF(OR(Data!B36="",Data!#REF!=""),"",IF(Data!#REF!="",1,0))</f>
        <v>#REF!</v>
      </c>
      <c r="L36" s="16" t="e">
        <f>IF(OR(Data!B36="",Data!#REF!=""),"",IF(ISNUMBER(Data!#REF!),IF(AND(Data!#REF!&gt;Data_Val!$G$2,Data!#REF!&lt;=Data_Val!$G$3),0,1),1))</f>
        <v>#REF!</v>
      </c>
      <c r="M36" s="9" t="e">
        <f>IF(OR(Data!B36="",Data!#REF!=""),"",IF(ISNUMBER(MATCH(Data!#REF!,Data_Val!$F$1:$F$38,0)),0,1))</f>
        <v>#REF!</v>
      </c>
      <c r="N36" s="9" t="e">
        <f>IF(OR(Data!B36="",Data!#REF!=""),"",IF(Data!#REF!="",1,0))</f>
        <v>#REF!</v>
      </c>
      <c r="O36" s="17" t="e">
        <f>IF(Data!#REF!="","",IF(Data!#REF!="",1,0))</f>
        <v>#REF!</v>
      </c>
      <c r="P36" s="17" t="e">
        <f>IF(Data!#REF!="","",IF(ISNUMBER(MATCH(Data!#REF!,Data_Val!$A$2:$A$3,0)),0,1))</f>
        <v>#REF!</v>
      </c>
      <c r="Q36" s="25" t="e">
        <f ca="1">IF(Data!#REF!="","",IF(ISNUMBER(Data!#REF!),IF(AND(Data!#REF!&gt;(TODAY()-(Data_Val!$J$3*365.25)),Data!#REF!&lt;=(TODAY()-(Data_Val!$J$2*365.25))),0,1),1))</f>
        <v>#REF!</v>
      </c>
      <c r="R36" s="17" t="e">
        <f>IF(Data!#REF!="","",IF(ISNUMBER(MATCH(Data!#REF!,Data_Val!$B$2:$B$15,0)),0,1))</f>
        <v>#REF!</v>
      </c>
      <c r="S36" s="11" t="str">
        <f>IF(Data!G36="","",IF(Data!G36=Data_Val!$C$2,IF(Data!M36="",0,1),0))</f>
        <v/>
      </c>
      <c r="T36" s="11" t="str">
        <f>IF(Data!M36="","",IF(ISNUMBER(MATCH(Data!N36,Data_Val!$A$2:$A$3,0)),0,1))</f>
        <v/>
      </c>
      <c r="U36" s="11" t="str">
        <f ca="1">IF(Data!M36="","",IF(ISNUMBER(Data!O36),IF(AND(Data!O36&gt;(TODAY()-(Data_Val!$K$3*365.25)),Data!O36&lt;=(TODAY()-(Data_Val!$K$2*365.25))),0,1),1))</f>
        <v/>
      </c>
      <c r="V36" s="12" t="str">
        <f>IF(Data!G36="","",IF(Data!G36=Data_Val!$C$2,IF(Data!P36="",0,1),0))</f>
        <v/>
      </c>
      <c r="W36" s="12" t="str">
        <f>IF(Data!P36="","",IF(ISNUMBER(MATCH(Data!Q36,Data_Val!$A$2:$A$3,0)),0,1))</f>
        <v/>
      </c>
      <c r="X36" s="26" t="str">
        <f ca="1">IF(Data!P36="","",IF(ISNUMBER(Data!R36),IF(AND(Data!R36&gt;(TODAY()-(Data_Val!$L$3*365.25)),Data!R36&lt;=(TODAY()-(Data_Val!$L$2*365.25))),0,1),1))</f>
        <v/>
      </c>
      <c r="Y36" s="13" t="str">
        <f>IF(Data!$G36="","",IF(Data!$G36=Data_Val!$C$2,IF(Data!S36="",0,1),0))</f>
        <v/>
      </c>
      <c r="Z36" s="13" t="str">
        <f>IF(Data!S36="","",IF(ISNUMBER(MATCH(Data!T36,Data_Val!$A$2:$A$3,0)),0,1))</f>
        <v/>
      </c>
      <c r="AA36" s="28" t="str">
        <f ca="1">IF(Data!S36="","",IF(ISNUMBER(Data!U36),IF(AND(Data!U36&gt;(TODAY()-(Data_Val!$L$3*365.25)),Data!U36&lt;=(TODAY()-(Data_Val!$L$2*365.25))),0,1),1))</f>
        <v/>
      </c>
      <c r="AB36" s="11"/>
      <c r="AC36" s="11" t="e">
        <f>IF(Data!#REF!="","",IF(ISNUMBER(MATCH(Data!#REF!,Data_Val!$A$2:$A$3,0)),0,1))</f>
        <v>#REF!</v>
      </c>
      <c r="AD36" s="11" t="e">
        <f ca="1">IF(Data!#REF!="","",IF(ISNUMBER(Data!#REF!),IF(AND(Data!#REF!&gt;(TODAY()-(Data_Val!$L$3*365.25)),Data!#REF!&lt;=(TODAY()-(Data_Val!$L$2*365.25))),0,1),1))</f>
        <v>#REF!</v>
      </c>
      <c r="AE36" s="11" t="e">
        <f>IF(Data!#REF!="","",IF(Data!$G36="",1,IF(ISNUMBER(MATCH(Data!#REF!,Data_Val!$D$2:$D$10,0)),0,1)))</f>
        <v>#REF!</v>
      </c>
      <c r="AF36" s="12"/>
      <c r="AG36" s="12" t="e">
        <f>IF(Data!#REF!="","",IF(ISNUMBER(MATCH(Data!#REF!,Data_Val!$A$2:$A$3,0)),0,1))</f>
        <v>#REF!</v>
      </c>
      <c r="AH36" s="26" t="e">
        <f ca="1">IF(Data!#REF!="","",IF(ISNUMBER(Data!#REF!),IF(AND(Data!#REF!&gt;(TODAY()-(Data_Val!$L$3*365.25)),Data!#REF!&lt;=(TODAY()-(Data_Val!$L$2*365.25))),0,1),1))</f>
        <v>#REF!</v>
      </c>
      <c r="AI36" s="12" t="e">
        <f>IF(Data!#REF!="","",IF(Data!$G36="",1,IF(ISNUMBER(MATCH(Data!#REF!,Data_Val!$D$2:$D$10,0)),0,1)))</f>
        <v>#REF!</v>
      </c>
      <c r="AJ36" s="17"/>
      <c r="AK36" s="17" t="e">
        <f>IF(Data!#REF!="","",IF(ISNUMBER(MATCH(Data!#REF!,Data_Val!$A$2:$A$3,0)),0,1))</f>
        <v>#REF!</v>
      </c>
      <c r="AL36" s="25" t="e">
        <f ca="1">IF(Data!#REF!="","",IF(ISNUMBER(Data!#REF!),IF(AND(Data!#REF!&gt;(TODAY()-(Data_Val!$L$3*365.25)),Data!#REF!&lt;=(TODAY()-(Data_Val!$L$2*365.25))),0,1),1))</f>
        <v>#REF!</v>
      </c>
      <c r="AM36" s="17" t="e">
        <f>IF(Data!#REF!="","",IF(Data!$G36="",1,IF(ISNUMBER(MATCH(Data!#REF!,Data_Val!$D$2:$D$10,0)),0,1)))</f>
        <v>#REF!</v>
      </c>
      <c r="AN36" s="13"/>
      <c r="AO36" s="28" t="e">
        <f ca="1">IF(Data!#REF!="","",IF(ISNUMBER(Data!#REF!),IF(AND(Data!#REF!&gt;(TODAY()-(Data_Val!$I$3*365.25)),Data!#REF!&lt;=(TODAY()-(Data_Val!$I$2*365.25))),0,1),1))</f>
        <v>#REF!</v>
      </c>
      <c r="AP36" s="13" t="e">
        <f>IF(Data!#REF!="","",IF(Data!$G36="",1,IF(ISNUMBER(MATCH(Data!#REF!,Data_Val!$D$2:$D$10,0)),0,1)))</f>
        <v>#REF!</v>
      </c>
      <c r="AQ36" s="17"/>
      <c r="AR36" s="30" t="e">
        <f ca="1">IF(Data!#REF!="","",IF(ISNUMBER(Data!#REF!),IF(AND(Data!#REF!&gt;(TODAY()-(Data_Val!$I$3*365.25)),Data!#REF!&lt;=(TODAY()-(Data_Val!$I$2*365.25))),0,1),1))</f>
        <v>#REF!</v>
      </c>
      <c r="AS36" s="31" t="e">
        <f>IF(Data!#REF!="","",IF(Data!$G36="",1,IF(ISNUMBER(MATCH(Data!#REF!,Data_Val!$D$2:$D$10,0)),0,1)))</f>
        <v>#REF!</v>
      </c>
      <c r="AT36" s="11"/>
      <c r="AU36" s="11" t="e">
        <f ca="1">IF(Data!#REF!="","",IF(ISNUMBER(Data!#REF!),IF(AND(Data!#REF!&gt;(TODAY()-(Data_Val!$I$3*365.25)),Data!#REF!&lt;=(TODAY()-(Data_Val!$I$2*365.25))),0,1),1))</f>
        <v>#REF!</v>
      </c>
      <c r="AV36" s="11" t="e">
        <f>IF(Data!#REF!="","",IF(Data!$G36="",1,IF(ISNUMBER(MATCH(Data!#REF!,Data_Val!$D$2:$D$10,0)),0,1)))</f>
        <v>#REF!</v>
      </c>
      <c r="AW36" s="12"/>
      <c r="AX36" s="26" t="e">
        <f ca="1">IF(Data!#REF!="","",IF(ISNUMBER(Data!#REF!),IF(AND(Data!#REF!&gt;(TODAY()-(Data_Val!$I$3*365.25)),Data!#REF!&lt;=(TODAY()-(Data_Val!$I$2*365.25))),0,1),1))</f>
        <v>#REF!</v>
      </c>
      <c r="AY36" s="12" t="e">
        <f>IF(Data!#REF!="","",IF(Data!$G36="",1,IF(ISNUMBER(MATCH(Data!#REF!,Data_Val!$D$2:$D$10,0)),0,1)))</f>
        <v>#REF!</v>
      </c>
      <c r="AZ36" s="11"/>
      <c r="BA36" s="19" t="e">
        <f ca="1">IF(Data!#REF!="","",IF(ISNUMBER(Data!#REF!),IF(AND(Data!#REF!&gt;(TODAY()-(Data_Val!$M$3*365.25)),Data!#REF!&lt;=(TODAY()-(Data_Val!$M$2*365.25))),0,1),1))</f>
        <v>#REF!</v>
      </c>
      <c r="BB36" s="11" t="e">
        <f>IF(Data!#REF!="","",IF(Data!$G36="",1,IF(ISNUMBER(MATCH(Data!#REF!,Data_Val!$D$2:$D$10,0)),0,1)))</f>
        <v>#REF!</v>
      </c>
      <c r="BC36" s="12"/>
      <c r="BD36" s="20" t="e">
        <f ca="1">IF(Data!#REF!="","",IF(ISNUMBER(Data!#REF!),IF(AND(Data!#REF!&gt;(TODAY()-(Data_Val!$M$3*365.25)),Data!#REF!&lt;=(TODAY()-(Data_Val!$M$2*365.25))),0,1),1))</f>
        <v>#REF!</v>
      </c>
      <c r="BE36" s="12" t="e">
        <f>IF(Data!#REF!="","",IF(Data!$G36="",1,IF(ISNUMBER(MATCH(Data!#REF!,Data_Val!$D$2:$D$10,0)),0,1)))</f>
        <v>#REF!</v>
      </c>
      <c r="BF36" s="17"/>
      <c r="BG36" s="18" t="e">
        <f ca="1">IF(Data!#REF!="","",IF(ISNUMBER(Data!#REF!),IF(AND(Data!#REF!&gt;(TODAY()-(Data_Val!$M$3*365.25)),Data!#REF!&lt;=(TODAY()-(Data_Val!$M$2*365.25))),0,1),1))</f>
        <v>#REF!</v>
      </c>
      <c r="BH36" s="29" t="e">
        <f>IF(Data!#REF!="","",IF(Data!$G36="",1,IF(ISNUMBER(MATCH(Data!#REF!,Data_Val!$D$2:$D$10,0)),0,1)))</f>
        <v>#REF!</v>
      </c>
      <c r="BI36" s="13"/>
      <c r="BJ36" s="21" t="e">
        <f ca="1">IF(Data!#REF!="","",IF(ISNUMBER(Data!#REF!),IF(AND(Data!#REF!&gt;(TODAY()-(Data_Val!$M$3*365.25)),Data!#REF!&lt;=(TODAY()-(Data_Val!$M$2*365.25))),0,1),1))</f>
        <v>#REF!</v>
      </c>
      <c r="BK36" s="13" t="e">
        <f>IF(Data!#REF!="","",IF(Data!$G36="",1,IF(ISNUMBER(MATCH(Data!#REF!,Data_Val!$D$2:$D$10,0)),0,1)))</f>
        <v>#REF!</v>
      </c>
    </row>
    <row r="37" spans="1:63" x14ac:dyDescent="0.25">
      <c r="A37" s="9" t="str">
        <f>IF(Data!B37="","",IF(COUNTIFS(Data!A$1:'Data'!A37,Data!A37)&lt;=1,0,1))</f>
        <v/>
      </c>
      <c r="B37" s="9"/>
      <c r="C37" s="23" t="str">
        <f>IF(Data!C37="","",(IF(ISNUMBER(MATCH("*@*.?*",Data!C37,0)),0,1)+IF(COUNTIFS(Data!C$1:'Data'!C37,Data!C37)&gt;1,1,0)))</f>
        <v/>
      </c>
      <c r="D37" s="9" t="str">
        <f>IF(Data!B37="","",IF(ISNUMBER(Data!D37),IF(AND(Data!D37&gt;999999999,Data!D37&lt;=9999999999),IF(COUNTIFS(Data!D$1:'Data'!D37,Data!D37)&lt;=1,0,1),1),1))</f>
        <v/>
      </c>
      <c r="E37" s="9" t="str">
        <f>IF(Data!B37="","",IF(ISNUMBER(MATCH(Data!E37,Data_Val!$A$2:$A$3,0)),0,1))</f>
        <v/>
      </c>
      <c r="F37" s="9" t="str">
        <f ca="1">IF(Data!B37="","",IF(ISNUMBER(Data!F37),IF(AND(Data!F37&gt;(TODAY()-(Data_Val!$H$3*365.25)),Data!F37&lt;=(TODAY()-(Data_Val!$H$2*365.25))),0,1),1))</f>
        <v/>
      </c>
      <c r="G37" s="15" t="str">
        <f>IF(Data!B37="","",IF(AND(Data!G37="",Data!H37&lt;&gt;""),1,IF(Data!#REF!&lt;&gt;"",0,IF(ISNUMBER(MATCH(Data!G37,Data_Val!$C$2:$C$5,0)),0,1))))</f>
        <v/>
      </c>
      <c r="H37" s="15" t="str">
        <f>IF(Data!B37="","",IF(AND(Data!G37&lt;&gt;"",Data!H37=""),1,IF(Data!#REF!&lt;&gt;"",0,IF(Data!G37="",1,IF(ISNUMBER(MATCH(Data!H37,Data_Val!$D$2:$D$35,0)),0,1)))))</f>
        <v/>
      </c>
      <c r="I37" s="15" t="str">
        <f>IF(Data!B37="","",IF(Data!G37&lt;&gt;"",0,IF(ISNUMBER(MATCH(Data!#REF!,Data_Val!$E$2:$E$12,0)),0,1)))</f>
        <v/>
      </c>
      <c r="J37" s="16" t="e">
        <f>IF(OR(Data!B37="",Data!#REF!=""),"",IF(Data!#REF!="",1,0))</f>
        <v>#REF!</v>
      </c>
      <c r="K37" s="16" t="e">
        <f>IF(OR(Data!B37="",Data!#REF!=""),"",IF(Data!#REF!="",1,0))</f>
        <v>#REF!</v>
      </c>
      <c r="L37" s="16" t="e">
        <f>IF(OR(Data!B37="",Data!#REF!=""),"",IF(ISNUMBER(Data!#REF!),IF(AND(Data!#REF!&gt;Data_Val!$G$2,Data!#REF!&lt;=Data_Val!$G$3),0,1),1))</f>
        <v>#REF!</v>
      </c>
      <c r="M37" s="9" t="e">
        <f>IF(OR(Data!B37="",Data!#REF!=""),"",IF(ISNUMBER(MATCH(Data!#REF!,Data_Val!$F$1:$F$38,0)),0,1))</f>
        <v>#REF!</v>
      </c>
      <c r="N37" s="9" t="e">
        <f>IF(OR(Data!B37="",Data!#REF!=""),"",IF(Data!#REF!="",1,0))</f>
        <v>#REF!</v>
      </c>
      <c r="O37" s="17" t="e">
        <f>IF(Data!#REF!="","",IF(Data!#REF!="",1,0))</f>
        <v>#REF!</v>
      </c>
      <c r="P37" s="17" t="e">
        <f>IF(Data!#REF!="","",IF(ISNUMBER(MATCH(Data!#REF!,Data_Val!$A$2:$A$3,0)),0,1))</f>
        <v>#REF!</v>
      </c>
      <c r="Q37" s="25" t="e">
        <f ca="1">IF(Data!#REF!="","",IF(ISNUMBER(Data!#REF!),IF(AND(Data!#REF!&gt;(TODAY()-(Data_Val!$J$3*365.25)),Data!#REF!&lt;=(TODAY()-(Data_Val!$J$2*365.25))),0,1),1))</f>
        <v>#REF!</v>
      </c>
      <c r="R37" s="17" t="e">
        <f>IF(Data!#REF!="","",IF(ISNUMBER(MATCH(Data!#REF!,Data_Val!$B$2:$B$15,0)),0,1))</f>
        <v>#REF!</v>
      </c>
      <c r="S37" s="11" t="str">
        <f>IF(Data!G37="","",IF(Data!G37=Data_Val!$C$2,IF(Data!M37="",0,1),0))</f>
        <v/>
      </c>
      <c r="T37" s="11" t="str">
        <f>IF(Data!M37="","",IF(ISNUMBER(MATCH(Data!N37,Data_Val!$A$2:$A$3,0)),0,1))</f>
        <v/>
      </c>
      <c r="U37" s="11" t="str">
        <f ca="1">IF(Data!M37="","",IF(ISNUMBER(Data!O37),IF(AND(Data!O37&gt;(TODAY()-(Data_Val!$K$3*365.25)),Data!O37&lt;=(TODAY()-(Data_Val!$K$2*365.25))),0,1),1))</f>
        <v/>
      </c>
      <c r="V37" s="12" t="str">
        <f>IF(Data!G37="","",IF(Data!G37=Data_Val!$C$2,IF(Data!P37="",0,1),0))</f>
        <v/>
      </c>
      <c r="W37" s="12" t="str">
        <f>IF(Data!P37="","",IF(ISNUMBER(MATCH(Data!Q37,Data_Val!$A$2:$A$3,0)),0,1))</f>
        <v/>
      </c>
      <c r="X37" s="26" t="str">
        <f ca="1">IF(Data!P37="","",IF(ISNUMBER(Data!R37),IF(AND(Data!R37&gt;(TODAY()-(Data_Val!$L$3*365.25)),Data!R37&lt;=(TODAY()-(Data_Val!$L$2*365.25))),0,1),1))</f>
        <v/>
      </c>
      <c r="Y37" s="13" t="str">
        <f>IF(Data!$G37="","",IF(Data!$G37=Data_Val!$C$2,IF(Data!S37="",0,1),0))</f>
        <v/>
      </c>
      <c r="Z37" s="13" t="str">
        <f>IF(Data!S37="","",IF(ISNUMBER(MATCH(Data!T37,Data_Val!$A$2:$A$3,0)),0,1))</f>
        <v/>
      </c>
      <c r="AA37" s="28" t="str">
        <f ca="1">IF(Data!S37="","",IF(ISNUMBER(Data!U37),IF(AND(Data!U37&gt;(TODAY()-(Data_Val!$L$3*365.25)),Data!U37&lt;=(TODAY()-(Data_Val!$L$2*365.25))),0,1),1))</f>
        <v/>
      </c>
      <c r="AB37" s="11"/>
      <c r="AC37" s="11" t="e">
        <f>IF(Data!#REF!="","",IF(ISNUMBER(MATCH(Data!#REF!,Data_Val!$A$2:$A$3,0)),0,1))</f>
        <v>#REF!</v>
      </c>
      <c r="AD37" s="11" t="e">
        <f ca="1">IF(Data!#REF!="","",IF(ISNUMBER(Data!#REF!),IF(AND(Data!#REF!&gt;(TODAY()-(Data_Val!$L$3*365.25)),Data!#REF!&lt;=(TODAY()-(Data_Val!$L$2*365.25))),0,1),1))</f>
        <v>#REF!</v>
      </c>
      <c r="AE37" s="11" t="e">
        <f>IF(Data!#REF!="","",IF(Data!$G37="",1,IF(ISNUMBER(MATCH(Data!#REF!,Data_Val!$D$2:$D$10,0)),0,1)))</f>
        <v>#REF!</v>
      </c>
      <c r="AF37" s="12"/>
      <c r="AG37" s="12" t="e">
        <f>IF(Data!#REF!="","",IF(ISNUMBER(MATCH(Data!#REF!,Data_Val!$A$2:$A$3,0)),0,1))</f>
        <v>#REF!</v>
      </c>
      <c r="AH37" s="26" t="e">
        <f ca="1">IF(Data!#REF!="","",IF(ISNUMBER(Data!#REF!),IF(AND(Data!#REF!&gt;(TODAY()-(Data_Val!$L$3*365.25)),Data!#REF!&lt;=(TODAY()-(Data_Val!$L$2*365.25))),0,1),1))</f>
        <v>#REF!</v>
      </c>
      <c r="AI37" s="12" t="e">
        <f>IF(Data!#REF!="","",IF(Data!$G37="",1,IF(ISNUMBER(MATCH(Data!#REF!,Data_Val!$D$2:$D$10,0)),0,1)))</f>
        <v>#REF!</v>
      </c>
      <c r="AJ37" s="17"/>
      <c r="AK37" s="17" t="e">
        <f>IF(Data!#REF!="","",IF(ISNUMBER(MATCH(Data!#REF!,Data_Val!$A$2:$A$3,0)),0,1))</f>
        <v>#REF!</v>
      </c>
      <c r="AL37" s="25" t="e">
        <f ca="1">IF(Data!#REF!="","",IF(ISNUMBER(Data!#REF!),IF(AND(Data!#REF!&gt;(TODAY()-(Data_Val!$L$3*365.25)),Data!#REF!&lt;=(TODAY()-(Data_Val!$L$2*365.25))),0,1),1))</f>
        <v>#REF!</v>
      </c>
      <c r="AM37" s="17" t="e">
        <f>IF(Data!#REF!="","",IF(Data!$G37="",1,IF(ISNUMBER(MATCH(Data!#REF!,Data_Val!$D$2:$D$10,0)),0,1)))</f>
        <v>#REF!</v>
      </c>
      <c r="AN37" s="13"/>
      <c r="AO37" s="28" t="e">
        <f ca="1">IF(Data!#REF!="","",IF(ISNUMBER(Data!#REF!),IF(AND(Data!#REF!&gt;(TODAY()-(Data_Val!$I$3*365.25)),Data!#REF!&lt;=(TODAY()-(Data_Val!$I$2*365.25))),0,1),1))</f>
        <v>#REF!</v>
      </c>
      <c r="AP37" s="13" t="e">
        <f>IF(Data!#REF!="","",IF(Data!$G37="",1,IF(ISNUMBER(MATCH(Data!#REF!,Data_Val!$D$2:$D$10,0)),0,1)))</f>
        <v>#REF!</v>
      </c>
      <c r="AQ37" s="17"/>
      <c r="AR37" s="30" t="e">
        <f ca="1">IF(Data!#REF!="","",IF(ISNUMBER(Data!#REF!),IF(AND(Data!#REF!&gt;(TODAY()-(Data_Val!$I$3*365.25)),Data!#REF!&lt;=(TODAY()-(Data_Val!$I$2*365.25))),0,1),1))</f>
        <v>#REF!</v>
      </c>
      <c r="AS37" s="31" t="e">
        <f>IF(Data!#REF!="","",IF(Data!$G37="",1,IF(ISNUMBER(MATCH(Data!#REF!,Data_Val!$D$2:$D$10,0)),0,1)))</f>
        <v>#REF!</v>
      </c>
      <c r="AT37" s="11"/>
      <c r="AU37" s="11" t="e">
        <f ca="1">IF(Data!#REF!="","",IF(ISNUMBER(Data!#REF!),IF(AND(Data!#REF!&gt;(TODAY()-(Data_Val!$I$3*365.25)),Data!#REF!&lt;=(TODAY()-(Data_Val!$I$2*365.25))),0,1),1))</f>
        <v>#REF!</v>
      </c>
      <c r="AV37" s="11" t="e">
        <f>IF(Data!#REF!="","",IF(Data!$G37="",1,IF(ISNUMBER(MATCH(Data!#REF!,Data_Val!$D$2:$D$10,0)),0,1)))</f>
        <v>#REF!</v>
      </c>
      <c r="AW37" s="12"/>
      <c r="AX37" s="26" t="e">
        <f ca="1">IF(Data!#REF!="","",IF(ISNUMBER(Data!#REF!),IF(AND(Data!#REF!&gt;(TODAY()-(Data_Val!$I$3*365.25)),Data!#REF!&lt;=(TODAY()-(Data_Val!$I$2*365.25))),0,1),1))</f>
        <v>#REF!</v>
      </c>
      <c r="AY37" s="12" t="e">
        <f>IF(Data!#REF!="","",IF(Data!$G37="",1,IF(ISNUMBER(MATCH(Data!#REF!,Data_Val!$D$2:$D$10,0)),0,1)))</f>
        <v>#REF!</v>
      </c>
      <c r="AZ37" s="11"/>
      <c r="BA37" s="19" t="e">
        <f ca="1">IF(Data!#REF!="","",IF(ISNUMBER(Data!#REF!),IF(AND(Data!#REF!&gt;(TODAY()-(Data_Val!$M$3*365.25)),Data!#REF!&lt;=(TODAY()-(Data_Val!$M$2*365.25))),0,1),1))</f>
        <v>#REF!</v>
      </c>
      <c r="BB37" s="11" t="e">
        <f>IF(Data!#REF!="","",IF(Data!$G37="",1,IF(ISNUMBER(MATCH(Data!#REF!,Data_Val!$D$2:$D$10,0)),0,1)))</f>
        <v>#REF!</v>
      </c>
      <c r="BC37" s="12"/>
      <c r="BD37" s="20" t="e">
        <f ca="1">IF(Data!#REF!="","",IF(ISNUMBER(Data!#REF!),IF(AND(Data!#REF!&gt;(TODAY()-(Data_Val!$M$3*365.25)),Data!#REF!&lt;=(TODAY()-(Data_Val!$M$2*365.25))),0,1),1))</f>
        <v>#REF!</v>
      </c>
      <c r="BE37" s="12" t="e">
        <f>IF(Data!#REF!="","",IF(Data!$G37="",1,IF(ISNUMBER(MATCH(Data!#REF!,Data_Val!$D$2:$D$10,0)),0,1)))</f>
        <v>#REF!</v>
      </c>
      <c r="BF37" s="17"/>
      <c r="BG37" s="18" t="e">
        <f ca="1">IF(Data!#REF!="","",IF(ISNUMBER(Data!#REF!),IF(AND(Data!#REF!&gt;(TODAY()-(Data_Val!$M$3*365.25)),Data!#REF!&lt;=(TODAY()-(Data_Val!$M$2*365.25))),0,1),1))</f>
        <v>#REF!</v>
      </c>
      <c r="BH37" s="29" t="e">
        <f>IF(Data!#REF!="","",IF(Data!$G37="",1,IF(ISNUMBER(MATCH(Data!#REF!,Data_Val!$D$2:$D$10,0)),0,1)))</f>
        <v>#REF!</v>
      </c>
      <c r="BI37" s="13"/>
      <c r="BJ37" s="21" t="e">
        <f ca="1">IF(Data!#REF!="","",IF(ISNUMBER(Data!#REF!),IF(AND(Data!#REF!&gt;(TODAY()-(Data_Val!$M$3*365.25)),Data!#REF!&lt;=(TODAY()-(Data_Val!$M$2*365.25))),0,1),1))</f>
        <v>#REF!</v>
      </c>
      <c r="BK37" s="13" t="e">
        <f>IF(Data!#REF!="","",IF(Data!$G37="",1,IF(ISNUMBER(MATCH(Data!#REF!,Data_Val!$D$2:$D$10,0)),0,1)))</f>
        <v>#REF!</v>
      </c>
    </row>
    <row r="38" spans="1:63" x14ac:dyDescent="0.25">
      <c r="A38" s="9" t="str">
        <f>IF(Data!B38="","",IF(COUNTIFS(Data!A$1:'Data'!A38,Data!A38)&lt;=1,0,1))</f>
        <v/>
      </c>
      <c r="B38" s="9"/>
      <c r="C38" s="23" t="str">
        <f>IF(Data!C38="","",(IF(ISNUMBER(MATCH("*@*.?*",Data!C38,0)),0,1)+IF(COUNTIFS(Data!C$1:'Data'!C38,Data!C38)&gt;1,1,0)))</f>
        <v/>
      </c>
      <c r="D38" s="9" t="str">
        <f>IF(Data!B38="","",IF(ISNUMBER(Data!D38),IF(AND(Data!D38&gt;999999999,Data!D38&lt;=9999999999),IF(COUNTIFS(Data!D$1:'Data'!D38,Data!D38)&lt;=1,0,1),1),1))</f>
        <v/>
      </c>
      <c r="E38" s="9" t="str">
        <f>IF(Data!B38="","",IF(ISNUMBER(MATCH(Data!E38,Data_Val!$A$2:$A$3,0)),0,1))</f>
        <v/>
      </c>
      <c r="F38" s="9" t="str">
        <f ca="1">IF(Data!B38="","",IF(ISNUMBER(Data!F38),IF(AND(Data!F38&gt;(TODAY()-(Data_Val!$H$3*365.25)),Data!F38&lt;=(TODAY()-(Data_Val!$H$2*365.25))),0,1),1))</f>
        <v/>
      </c>
      <c r="G38" s="15" t="str">
        <f>IF(Data!B38="","",IF(AND(Data!G38="",Data!H38&lt;&gt;""),1,IF(Data!#REF!&lt;&gt;"",0,IF(ISNUMBER(MATCH(Data!G38,Data_Val!$C$2:$C$5,0)),0,1))))</f>
        <v/>
      </c>
      <c r="H38" s="15" t="str">
        <f>IF(Data!B38="","",IF(AND(Data!G38&lt;&gt;"",Data!H38=""),1,IF(Data!#REF!&lt;&gt;"",0,IF(Data!G38="",1,IF(ISNUMBER(MATCH(Data!H38,Data_Val!$D$2:$D$35,0)),0,1)))))</f>
        <v/>
      </c>
      <c r="I38" s="15" t="str">
        <f>IF(Data!B38="","",IF(Data!G38&lt;&gt;"",0,IF(ISNUMBER(MATCH(Data!#REF!,Data_Val!$E$2:$E$12,0)),0,1)))</f>
        <v/>
      </c>
      <c r="J38" s="16" t="e">
        <f>IF(OR(Data!B38="",Data!#REF!=""),"",IF(Data!#REF!="",1,0))</f>
        <v>#REF!</v>
      </c>
      <c r="K38" s="16" t="e">
        <f>IF(OR(Data!B38="",Data!#REF!=""),"",IF(Data!#REF!="",1,0))</f>
        <v>#REF!</v>
      </c>
      <c r="L38" s="16" t="e">
        <f>IF(OR(Data!B38="",Data!#REF!=""),"",IF(ISNUMBER(Data!#REF!),IF(AND(Data!#REF!&gt;Data_Val!$G$2,Data!#REF!&lt;=Data_Val!$G$3),0,1),1))</f>
        <v>#REF!</v>
      </c>
      <c r="M38" s="9" t="e">
        <f>IF(OR(Data!B38="",Data!#REF!=""),"",IF(ISNUMBER(MATCH(Data!#REF!,Data_Val!$F$1:$F$38,0)),0,1))</f>
        <v>#REF!</v>
      </c>
      <c r="N38" s="9" t="e">
        <f>IF(OR(Data!B38="",Data!#REF!=""),"",IF(Data!#REF!="",1,0))</f>
        <v>#REF!</v>
      </c>
      <c r="O38" s="17" t="e">
        <f>IF(Data!#REF!="","",IF(Data!#REF!="",1,0))</f>
        <v>#REF!</v>
      </c>
      <c r="P38" s="17" t="e">
        <f>IF(Data!#REF!="","",IF(ISNUMBER(MATCH(Data!#REF!,Data_Val!$A$2:$A$3,0)),0,1))</f>
        <v>#REF!</v>
      </c>
      <c r="Q38" s="25" t="e">
        <f ca="1">IF(Data!#REF!="","",IF(ISNUMBER(Data!#REF!),IF(AND(Data!#REF!&gt;(TODAY()-(Data_Val!$J$3*365.25)),Data!#REF!&lt;=(TODAY()-(Data_Val!$J$2*365.25))),0,1),1))</f>
        <v>#REF!</v>
      </c>
      <c r="R38" s="17" t="e">
        <f>IF(Data!#REF!="","",IF(ISNUMBER(MATCH(Data!#REF!,Data_Val!$B$2:$B$15,0)),0,1))</f>
        <v>#REF!</v>
      </c>
      <c r="S38" s="11" t="str">
        <f>IF(Data!G38="","",IF(Data!G38=Data_Val!$C$2,IF(Data!M38="",0,1),0))</f>
        <v/>
      </c>
      <c r="T38" s="11" t="str">
        <f>IF(Data!M38="","",IF(ISNUMBER(MATCH(Data!N38,Data_Val!$A$2:$A$3,0)),0,1))</f>
        <v/>
      </c>
      <c r="U38" s="11" t="str">
        <f ca="1">IF(Data!M38="","",IF(ISNUMBER(Data!O38),IF(AND(Data!O38&gt;(TODAY()-(Data_Val!$K$3*365.25)),Data!O38&lt;=(TODAY()-(Data_Val!$K$2*365.25))),0,1),1))</f>
        <v/>
      </c>
      <c r="V38" s="12" t="str">
        <f>IF(Data!G38="","",IF(Data!G38=Data_Val!$C$2,IF(Data!P38="",0,1),0))</f>
        <v/>
      </c>
      <c r="W38" s="12" t="str">
        <f>IF(Data!P38="","",IF(ISNUMBER(MATCH(Data!Q38,Data_Val!$A$2:$A$3,0)),0,1))</f>
        <v/>
      </c>
      <c r="X38" s="26" t="str">
        <f ca="1">IF(Data!P38="","",IF(ISNUMBER(Data!R38),IF(AND(Data!R38&gt;(TODAY()-(Data_Val!$L$3*365.25)),Data!R38&lt;=(TODAY()-(Data_Val!$L$2*365.25))),0,1),1))</f>
        <v/>
      </c>
      <c r="Y38" s="13" t="str">
        <f>IF(Data!$G38="","",IF(Data!$G38=Data_Val!$C$2,IF(Data!S38="",0,1),0))</f>
        <v/>
      </c>
      <c r="Z38" s="13" t="str">
        <f>IF(Data!S38="","",IF(ISNUMBER(MATCH(Data!T38,Data_Val!$A$2:$A$3,0)),0,1))</f>
        <v/>
      </c>
      <c r="AA38" s="28" t="str">
        <f ca="1">IF(Data!S38="","",IF(ISNUMBER(Data!U38),IF(AND(Data!U38&gt;(TODAY()-(Data_Val!$L$3*365.25)),Data!U38&lt;=(TODAY()-(Data_Val!$L$2*365.25))),0,1),1))</f>
        <v/>
      </c>
      <c r="AB38" s="11"/>
      <c r="AC38" s="11" t="e">
        <f>IF(Data!#REF!="","",IF(ISNUMBER(MATCH(Data!#REF!,Data_Val!$A$2:$A$3,0)),0,1))</f>
        <v>#REF!</v>
      </c>
      <c r="AD38" s="11" t="e">
        <f ca="1">IF(Data!#REF!="","",IF(ISNUMBER(Data!#REF!),IF(AND(Data!#REF!&gt;(TODAY()-(Data_Val!$L$3*365.25)),Data!#REF!&lt;=(TODAY()-(Data_Val!$L$2*365.25))),0,1),1))</f>
        <v>#REF!</v>
      </c>
      <c r="AE38" s="11" t="e">
        <f>IF(Data!#REF!="","",IF(Data!$G38="",1,IF(ISNUMBER(MATCH(Data!#REF!,Data_Val!$D$2:$D$10,0)),0,1)))</f>
        <v>#REF!</v>
      </c>
      <c r="AF38" s="12"/>
      <c r="AG38" s="12" t="e">
        <f>IF(Data!#REF!="","",IF(ISNUMBER(MATCH(Data!#REF!,Data_Val!$A$2:$A$3,0)),0,1))</f>
        <v>#REF!</v>
      </c>
      <c r="AH38" s="26" t="e">
        <f ca="1">IF(Data!#REF!="","",IF(ISNUMBER(Data!#REF!),IF(AND(Data!#REF!&gt;(TODAY()-(Data_Val!$L$3*365.25)),Data!#REF!&lt;=(TODAY()-(Data_Val!$L$2*365.25))),0,1),1))</f>
        <v>#REF!</v>
      </c>
      <c r="AI38" s="12" t="e">
        <f>IF(Data!#REF!="","",IF(Data!$G38="",1,IF(ISNUMBER(MATCH(Data!#REF!,Data_Val!$D$2:$D$10,0)),0,1)))</f>
        <v>#REF!</v>
      </c>
      <c r="AJ38" s="17"/>
      <c r="AK38" s="17" t="e">
        <f>IF(Data!#REF!="","",IF(ISNUMBER(MATCH(Data!#REF!,Data_Val!$A$2:$A$3,0)),0,1))</f>
        <v>#REF!</v>
      </c>
      <c r="AL38" s="25" t="e">
        <f ca="1">IF(Data!#REF!="","",IF(ISNUMBER(Data!#REF!),IF(AND(Data!#REF!&gt;(TODAY()-(Data_Val!$L$3*365.25)),Data!#REF!&lt;=(TODAY()-(Data_Val!$L$2*365.25))),0,1),1))</f>
        <v>#REF!</v>
      </c>
      <c r="AM38" s="17" t="e">
        <f>IF(Data!#REF!="","",IF(Data!$G38="",1,IF(ISNUMBER(MATCH(Data!#REF!,Data_Val!$D$2:$D$10,0)),0,1)))</f>
        <v>#REF!</v>
      </c>
      <c r="AN38" s="13"/>
      <c r="AO38" s="28" t="e">
        <f ca="1">IF(Data!#REF!="","",IF(ISNUMBER(Data!#REF!),IF(AND(Data!#REF!&gt;(TODAY()-(Data_Val!$I$3*365.25)),Data!#REF!&lt;=(TODAY()-(Data_Val!$I$2*365.25))),0,1),1))</f>
        <v>#REF!</v>
      </c>
      <c r="AP38" s="13" t="e">
        <f>IF(Data!#REF!="","",IF(Data!$G38="",1,IF(ISNUMBER(MATCH(Data!#REF!,Data_Val!$D$2:$D$10,0)),0,1)))</f>
        <v>#REF!</v>
      </c>
      <c r="AQ38" s="17"/>
      <c r="AR38" s="30" t="e">
        <f ca="1">IF(Data!#REF!="","",IF(ISNUMBER(Data!#REF!),IF(AND(Data!#REF!&gt;(TODAY()-(Data_Val!$I$3*365.25)),Data!#REF!&lt;=(TODAY()-(Data_Val!$I$2*365.25))),0,1),1))</f>
        <v>#REF!</v>
      </c>
      <c r="AS38" s="31" t="e">
        <f>IF(Data!#REF!="","",IF(Data!$G38="",1,IF(ISNUMBER(MATCH(Data!#REF!,Data_Val!$D$2:$D$10,0)),0,1)))</f>
        <v>#REF!</v>
      </c>
      <c r="AT38" s="11"/>
      <c r="AU38" s="11" t="e">
        <f ca="1">IF(Data!#REF!="","",IF(ISNUMBER(Data!#REF!),IF(AND(Data!#REF!&gt;(TODAY()-(Data_Val!$I$3*365.25)),Data!#REF!&lt;=(TODAY()-(Data_Val!$I$2*365.25))),0,1),1))</f>
        <v>#REF!</v>
      </c>
      <c r="AV38" s="11" t="e">
        <f>IF(Data!#REF!="","",IF(Data!$G38="",1,IF(ISNUMBER(MATCH(Data!#REF!,Data_Val!$D$2:$D$10,0)),0,1)))</f>
        <v>#REF!</v>
      </c>
      <c r="AW38" s="12"/>
      <c r="AX38" s="26" t="e">
        <f ca="1">IF(Data!#REF!="","",IF(ISNUMBER(Data!#REF!),IF(AND(Data!#REF!&gt;(TODAY()-(Data_Val!$I$3*365.25)),Data!#REF!&lt;=(TODAY()-(Data_Val!$I$2*365.25))),0,1),1))</f>
        <v>#REF!</v>
      </c>
      <c r="AY38" s="12" t="e">
        <f>IF(Data!#REF!="","",IF(Data!$G38="",1,IF(ISNUMBER(MATCH(Data!#REF!,Data_Val!$D$2:$D$10,0)),0,1)))</f>
        <v>#REF!</v>
      </c>
      <c r="AZ38" s="11"/>
      <c r="BA38" s="19" t="e">
        <f ca="1">IF(Data!#REF!="","",IF(ISNUMBER(Data!#REF!),IF(AND(Data!#REF!&gt;(TODAY()-(Data_Val!$M$3*365.25)),Data!#REF!&lt;=(TODAY()-(Data_Val!$M$2*365.25))),0,1),1))</f>
        <v>#REF!</v>
      </c>
      <c r="BB38" s="11" t="e">
        <f>IF(Data!#REF!="","",IF(Data!$G38="",1,IF(ISNUMBER(MATCH(Data!#REF!,Data_Val!$D$2:$D$10,0)),0,1)))</f>
        <v>#REF!</v>
      </c>
      <c r="BC38" s="12"/>
      <c r="BD38" s="20" t="e">
        <f ca="1">IF(Data!#REF!="","",IF(ISNUMBER(Data!#REF!),IF(AND(Data!#REF!&gt;(TODAY()-(Data_Val!$M$3*365.25)),Data!#REF!&lt;=(TODAY()-(Data_Val!$M$2*365.25))),0,1),1))</f>
        <v>#REF!</v>
      </c>
      <c r="BE38" s="12" t="e">
        <f>IF(Data!#REF!="","",IF(Data!$G38="",1,IF(ISNUMBER(MATCH(Data!#REF!,Data_Val!$D$2:$D$10,0)),0,1)))</f>
        <v>#REF!</v>
      </c>
      <c r="BF38" s="17"/>
      <c r="BG38" s="18" t="e">
        <f ca="1">IF(Data!#REF!="","",IF(ISNUMBER(Data!#REF!),IF(AND(Data!#REF!&gt;(TODAY()-(Data_Val!$M$3*365.25)),Data!#REF!&lt;=(TODAY()-(Data_Val!$M$2*365.25))),0,1),1))</f>
        <v>#REF!</v>
      </c>
      <c r="BH38" s="29" t="e">
        <f>IF(Data!#REF!="","",IF(Data!$G38="",1,IF(ISNUMBER(MATCH(Data!#REF!,Data_Val!$D$2:$D$10,0)),0,1)))</f>
        <v>#REF!</v>
      </c>
      <c r="BI38" s="13"/>
      <c r="BJ38" s="21" t="e">
        <f ca="1">IF(Data!#REF!="","",IF(ISNUMBER(Data!#REF!),IF(AND(Data!#REF!&gt;(TODAY()-(Data_Val!$M$3*365.25)),Data!#REF!&lt;=(TODAY()-(Data_Val!$M$2*365.25))),0,1),1))</f>
        <v>#REF!</v>
      </c>
      <c r="BK38" s="13" t="e">
        <f>IF(Data!#REF!="","",IF(Data!$G38="",1,IF(ISNUMBER(MATCH(Data!#REF!,Data_Val!$D$2:$D$10,0)),0,1)))</f>
        <v>#REF!</v>
      </c>
    </row>
    <row r="39" spans="1:63" x14ac:dyDescent="0.25">
      <c r="A39" s="9" t="str">
        <f>IF(Data!B39="","",IF(COUNTIFS(Data!A$1:'Data'!A39,Data!A39)&lt;=1,0,1))</f>
        <v/>
      </c>
      <c r="B39" s="9"/>
      <c r="C39" s="23" t="str">
        <f>IF(Data!C39="","",(IF(ISNUMBER(MATCH("*@*.?*",Data!C39,0)),0,1)+IF(COUNTIFS(Data!C$1:'Data'!C39,Data!C39)&gt;1,1,0)))</f>
        <v/>
      </c>
      <c r="D39" s="9" t="str">
        <f>IF(Data!B39="","",IF(ISNUMBER(Data!D39),IF(AND(Data!D39&gt;999999999,Data!D39&lt;=9999999999),IF(COUNTIFS(Data!D$1:'Data'!D39,Data!D39)&lt;=1,0,1),1),1))</f>
        <v/>
      </c>
      <c r="E39" s="9" t="str">
        <f>IF(Data!B39="","",IF(ISNUMBER(MATCH(Data!E39,Data_Val!$A$2:$A$3,0)),0,1))</f>
        <v/>
      </c>
      <c r="F39" s="9" t="str">
        <f ca="1">IF(Data!B39="","",IF(ISNUMBER(Data!F39),IF(AND(Data!F39&gt;(TODAY()-(Data_Val!$H$3*365.25)),Data!F39&lt;=(TODAY()-(Data_Val!$H$2*365.25))),0,1),1))</f>
        <v/>
      </c>
      <c r="G39" s="15" t="str">
        <f>IF(Data!B39="","",IF(AND(Data!G39="",Data!H39&lt;&gt;""),1,IF(Data!#REF!&lt;&gt;"",0,IF(ISNUMBER(MATCH(Data!G39,Data_Val!$C$2:$C$5,0)),0,1))))</f>
        <v/>
      </c>
      <c r="H39" s="15" t="str">
        <f>IF(Data!B39="","",IF(AND(Data!G39&lt;&gt;"",Data!H39=""),1,IF(Data!#REF!&lt;&gt;"",0,IF(Data!G39="",1,IF(ISNUMBER(MATCH(Data!H39,Data_Val!$D$2:$D$35,0)),0,1)))))</f>
        <v/>
      </c>
      <c r="I39" s="15" t="str">
        <f>IF(Data!B39="","",IF(Data!G39&lt;&gt;"",0,IF(ISNUMBER(MATCH(Data!#REF!,Data_Val!$E$2:$E$12,0)),0,1)))</f>
        <v/>
      </c>
      <c r="J39" s="16" t="e">
        <f>IF(OR(Data!B39="",Data!#REF!=""),"",IF(Data!#REF!="",1,0))</f>
        <v>#REF!</v>
      </c>
      <c r="K39" s="16" t="e">
        <f>IF(OR(Data!B39="",Data!#REF!=""),"",IF(Data!#REF!="",1,0))</f>
        <v>#REF!</v>
      </c>
      <c r="L39" s="16" t="e">
        <f>IF(OR(Data!B39="",Data!#REF!=""),"",IF(ISNUMBER(Data!#REF!),IF(AND(Data!#REF!&gt;Data_Val!$G$2,Data!#REF!&lt;=Data_Val!$G$3),0,1),1))</f>
        <v>#REF!</v>
      </c>
      <c r="M39" s="9" t="e">
        <f>IF(OR(Data!B39="",Data!#REF!=""),"",IF(ISNUMBER(MATCH(Data!#REF!,Data_Val!$F$1:$F$38,0)),0,1))</f>
        <v>#REF!</v>
      </c>
      <c r="N39" s="9" t="e">
        <f>IF(OR(Data!B39="",Data!#REF!=""),"",IF(Data!#REF!="",1,0))</f>
        <v>#REF!</v>
      </c>
      <c r="O39" s="17" t="e">
        <f>IF(Data!#REF!="","",IF(Data!#REF!="",1,0))</f>
        <v>#REF!</v>
      </c>
      <c r="P39" s="17" t="e">
        <f>IF(Data!#REF!="","",IF(ISNUMBER(MATCH(Data!#REF!,Data_Val!$A$2:$A$3,0)),0,1))</f>
        <v>#REF!</v>
      </c>
      <c r="Q39" s="25" t="e">
        <f ca="1">IF(Data!#REF!="","",IF(ISNUMBER(Data!#REF!),IF(AND(Data!#REF!&gt;(TODAY()-(Data_Val!$J$3*365.25)),Data!#REF!&lt;=(TODAY()-(Data_Val!$J$2*365.25))),0,1),1))</f>
        <v>#REF!</v>
      </c>
      <c r="R39" s="17" t="e">
        <f>IF(Data!#REF!="","",IF(ISNUMBER(MATCH(Data!#REF!,Data_Val!$B$2:$B$15,0)),0,1))</f>
        <v>#REF!</v>
      </c>
      <c r="S39" s="11" t="str">
        <f>IF(Data!G39="","",IF(Data!G39=Data_Val!$C$2,IF(Data!M39="",0,1),0))</f>
        <v/>
      </c>
      <c r="T39" s="11" t="str">
        <f>IF(Data!M39="","",IF(ISNUMBER(MATCH(Data!N39,Data_Val!$A$2:$A$3,0)),0,1))</f>
        <v/>
      </c>
      <c r="U39" s="11" t="str">
        <f ca="1">IF(Data!M39="","",IF(ISNUMBER(Data!O39),IF(AND(Data!O39&gt;(TODAY()-(Data_Val!$K$3*365.25)),Data!O39&lt;=(TODAY()-(Data_Val!$K$2*365.25))),0,1),1))</f>
        <v/>
      </c>
      <c r="V39" s="12" t="str">
        <f>IF(Data!G39="","",IF(Data!G39=Data_Val!$C$2,IF(Data!P39="",0,1),0))</f>
        <v/>
      </c>
      <c r="W39" s="12" t="str">
        <f>IF(Data!P39="","",IF(ISNUMBER(MATCH(Data!Q39,Data_Val!$A$2:$A$3,0)),0,1))</f>
        <v/>
      </c>
      <c r="X39" s="26" t="str">
        <f ca="1">IF(Data!P39="","",IF(ISNUMBER(Data!R39),IF(AND(Data!R39&gt;(TODAY()-(Data_Val!$L$3*365.25)),Data!R39&lt;=(TODAY()-(Data_Val!$L$2*365.25))),0,1),1))</f>
        <v/>
      </c>
      <c r="Y39" s="13" t="str">
        <f>IF(Data!$G39="","",IF(Data!$G39=Data_Val!$C$2,IF(Data!S39="",0,1),0))</f>
        <v/>
      </c>
      <c r="Z39" s="13" t="str">
        <f>IF(Data!S39="","",IF(ISNUMBER(MATCH(Data!T39,Data_Val!$A$2:$A$3,0)),0,1))</f>
        <v/>
      </c>
      <c r="AA39" s="28" t="str">
        <f ca="1">IF(Data!S39="","",IF(ISNUMBER(Data!U39),IF(AND(Data!U39&gt;(TODAY()-(Data_Val!$L$3*365.25)),Data!U39&lt;=(TODAY()-(Data_Val!$L$2*365.25))),0,1),1))</f>
        <v/>
      </c>
      <c r="AB39" s="11"/>
      <c r="AC39" s="11" t="e">
        <f>IF(Data!#REF!="","",IF(ISNUMBER(MATCH(Data!#REF!,Data_Val!$A$2:$A$3,0)),0,1))</f>
        <v>#REF!</v>
      </c>
      <c r="AD39" s="11" t="e">
        <f ca="1">IF(Data!#REF!="","",IF(ISNUMBER(Data!#REF!),IF(AND(Data!#REF!&gt;(TODAY()-(Data_Val!$L$3*365.25)),Data!#REF!&lt;=(TODAY()-(Data_Val!$L$2*365.25))),0,1),1))</f>
        <v>#REF!</v>
      </c>
      <c r="AE39" s="11" t="e">
        <f>IF(Data!#REF!="","",IF(Data!$G39="",1,IF(ISNUMBER(MATCH(Data!#REF!,Data_Val!$D$2:$D$10,0)),0,1)))</f>
        <v>#REF!</v>
      </c>
      <c r="AF39" s="12"/>
      <c r="AG39" s="12" t="e">
        <f>IF(Data!#REF!="","",IF(ISNUMBER(MATCH(Data!#REF!,Data_Val!$A$2:$A$3,0)),0,1))</f>
        <v>#REF!</v>
      </c>
      <c r="AH39" s="26" t="e">
        <f ca="1">IF(Data!#REF!="","",IF(ISNUMBER(Data!#REF!),IF(AND(Data!#REF!&gt;(TODAY()-(Data_Val!$L$3*365.25)),Data!#REF!&lt;=(TODAY()-(Data_Val!$L$2*365.25))),0,1),1))</f>
        <v>#REF!</v>
      </c>
      <c r="AI39" s="12" t="e">
        <f>IF(Data!#REF!="","",IF(Data!$G39="",1,IF(ISNUMBER(MATCH(Data!#REF!,Data_Val!$D$2:$D$10,0)),0,1)))</f>
        <v>#REF!</v>
      </c>
      <c r="AJ39" s="17"/>
      <c r="AK39" s="17" t="e">
        <f>IF(Data!#REF!="","",IF(ISNUMBER(MATCH(Data!#REF!,Data_Val!$A$2:$A$3,0)),0,1))</f>
        <v>#REF!</v>
      </c>
      <c r="AL39" s="25" t="e">
        <f ca="1">IF(Data!#REF!="","",IF(ISNUMBER(Data!#REF!),IF(AND(Data!#REF!&gt;(TODAY()-(Data_Val!$L$3*365.25)),Data!#REF!&lt;=(TODAY()-(Data_Val!$L$2*365.25))),0,1),1))</f>
        <v>#REF!</v>
      </c>
      <c r="AM39" s="17" t="e">
        <f>IF(Data!#REF!="","",IF(Data!$G39="",1,IF(ISNUMBER(MATCH(Data!#REF!,Data_Val!$D$2:$D$10,0)),0,1)))</f>
        <v>#REF!</v>
      </c>
      <c r="AN39" s="13"/>
      <c r="AO39" s="28" t="e">
        <f ca="1">IF(Data!#REF!="","",IF(ISNUMBER(Data!#REF!),IF(AND(Data!#REF!&gt;(TODAY()-(Data_Val!$I$3*365.25)),Data!#REF!&lt;=(TODAY()-(Data_Val!$I$2*365.25))),0,1),1))</f>
        <v>#REF!</v>
      </c>
      <c r="AP39" s="13" t="e">
        <f>IF(Data!#REF!="","",IF(Data!$G39="",1,IF(ISNUMBER(MATCH(Data!#REF!,Data_Val!$D$2:$D$10,0)),0,1)))</f>
        <v>#REF!</v>
      </c>
      <c r="AQ39" s="17"/>
      <c r="AR39" s="30" t="e">
        <f ca="1">IF(Data!#REF!="","",IF(ISNUMBER(Data!#REF!),IF(AND(Data!#REF!&gt;(TODAY()-(Data_Val!$I$3*365.25)),Data!#REF!&lt;=(TODAY()-(Data_Val!$I$2*365.25))),0,1),1))</f>
        <v>#REF!</v>
      </c>
      <c r="AS39" s="31" t="e">
        <f>IF(Data!#REF!="","",IF(Data!$G39="",1,IF(ISNUMBER(MATCH(Data!#REF!,Data_Val!$D$2:$D$10,0)),0,1)))</f>
        <v>#REF!</v>
      </c>
      <c r="AT39" s="11"/>
      <c r="AU39" s="11" t="e">
        <f ca="1">IF(Data!#REF!="","",IF(ISNUMBER(Data!#REF!),IF(AND(Data!#REF!&gt;(TODAY()-(Data_Val!$I$3*365.25)),Data!#REF!&lt;=(TODAY()-(Data_Val!$I$2*365.25))),0,1),1))</f>
        <v>#REF!</v>
      </c>
      <c r="AV39" s="11" t="e">
        <f>IF(Data!#REF!="","",IF(Data!$G39="",1,IF(ISNUMBER(MATCH(Data!#REF!,Data_Val!$D$2:$D$10,0)),0,1)))</f>
        <v>#REF!</v>
      </c>
      <c r="AW39" s="12"/>
      <c r="AX39" s="26" t="e">
        <f ca="1">IF(Data!#REF!="","",IF(ISNUMBER(Data!#REF!),IF(AND(Data!#REF!&gt;(TODAY()-(Data_Val!$I$3*365.25)),Data!#REF!&lt;=(TODAY()-(Data_Val!$I$2*365.25))),0,1),1))</f>
        <v>#REF!</v>
      </c>
      <c r="AY39" s="12" t="e">
        <f>IF(Data!#REF!="","",IF(Data!$G39="",1,IF(ISNUMBER(MATCH(Data!#REF!,Data_Val!$D$2:$D$10,0)),0,1)))</f>
        <v>#REF!</v>
      </c>
      <c r="AZ39" s="11"/>
      <c r="BA39" s="19" t="e">
        <f ca="1">IF(Data!#REF!="","",IF(ISNUMBER(Data!#REF!),IF(AND(Data!#REF!&gt;(TODAY()-(Data_Val!$M$3*365.25)),Data!#REF!&lt;=(TODAY()-(Data_Val!$M$2*365.25))),0,1),1))</f>
        <v>#REF!</v>
      </c>
      <c r="BB39" s="11" t="e">
        <f>IF(Data!#REF!="","",IF(Data!$G39="",1,IF(ISNUMBER(MATCH(Data!#REF!,Data_Val!$D$2:$D$10,0)),0,1)))</f>
        <v>#REF!</v>
      </c>
      <c r="BC39" s="12"/>
      <c r="BD39" s="20" t="e">
        <f ca="1">IF(Data!#REF!="","",IF(ISNUMBER(Data!#REF!),IF(AND(Data!#REF!&gt;(TODAY()-(Data_Val!$M$3*365.25)),Data!#REF!&lt;=(TODAY()-(Data_Val!$M$2*365.25))),0,1),1))</f>
        <v>#REF!</v>
      </c>
      <c r="BE39" s="12" t="e">
        <f>IF(Data!#REF!="","",IF(Data!$G39="",1,IF(ISNUMBER(MATCH(Data!#REF!,Data_Val!$D$2:$D$10,0)),0,1)))</f>
        <v>#REF!</v>
      </c>
      <c r="BF39" s="17"/>
      <c r="BG39" s="18" t="e">
        <f ca="1">IF(Data!#REF!="","",IF(ISNUMBER(Data!#REF!),IF(AND(Data!#REF!&gt;(TODAY()-(Data_Val!$M$3*365.25)),Data!#REF!&lt;=(TODAY()-(Data_Val!$M$2*365.25))),0,1),1))</f>
        <v>#REF!</v>
      </c>
      <c r="BH39" s="29" t="e">
        <f>IF(Data!#REF!="","",IF(Data!$G39="",1,IF(ISNUMBER(MATCH(Data!#REF!,Data_Val!$D$2:$D$10,0)),0,1)))</f>
        <v>#REF!</v>
      </c>
      <c r="BI39" s="13"/>
      <c r="BJ39" s="21" t="e">
        <f ca="1">IF(Data!#REF!="","",IF(ISNUMBER(Data!#REF!),IF(AND(Data!#REF!&gt;(TODAY()-(Data_Val!$M$3*365.25)),Data!#REF!&lt;=(TODAY()-(Data_Val!$M$2*365.25))),0,1),1))</f>
        <v>#REF!</v>
      </c>
      <c r="BK39" s="13" t="e">
        <f>IF(Data!#REF!="","",IF(Data!$G39="",1,IF(ISNUMBER(MATCH(Data!#REF!,Data_Val!$D$2:$D$10,0)),0,1)))</f>
        <v>#REF!</v>
      </c>
    </row>
    <row r="40" spans="1:63" x14ac:dyDescent="0.25">
      <c r="A40" s="9" t="str">
        <f>IF(Data!B40="","",IF(COUNTIFS(Data!A$1:'Data'!A40,Data!A40)&lt;=1,0,1))</f>
        <v/>
      </c>
      <c r="B40" s="9"/>
      <c r="C40" s="23" t="str">
        <f>IF(Data!C40="","",(IF(ISNUMBER(MATCH("*@*.?*",Data!C40,0)),0,1)+IF(COUNTIFS(Data!C$1:'Data'!C40,Data!C40)&gt;1,1,0)))</f>
        <v/>
      </c>
      <c r="D40" s="9" t="str">
        <f>IF(Data!B40="","",IF(ISNUMBER(Data!D40),IF(AND(Data!D40&gt;999999999,Data!D40&lt;=9999999999),IF(COUNTIFS(Data!D$1:'Data'!D40,Data!D40)&lt;=1,0,1),1),1))</f>
        <v/>
      </c>
      <c r="E40" s="9" t="str">
        <f>IF(Data!B40="","",IF(ISNUMBER(MATCH(Data!E40,Data_Val!$A$2:$A$3,0)),0,1))</f>
        <v/>
      </c>
      <c r="F40" s="9" t="str">
        <f ca="1">IF(Data!B40="","",IF(ISNUMBER(Data!F40),IF(AND(Data!F40&gt;(TODAY()-(Data_Val!$H$3*365.25)),Data!F40&lt;=(TODAY()-(Data_Val!$H$2*365.25))),0,1),1))</f>
        <v/>
      </c>
      <c r="G40" s="15" t="str">
        <f>IF(Data!B40="","",IF(AND(Data!G40="",Data!H40&lt;&gt;""),1,IF(Data!#REF!&lt;&gt;"",0,IF(ISNUMBER(MATCH(Data!G40,Data_Val!$C$2:$C$5,0)),0,1))))</f>
        <v/>
      </c>
      <c r="H40" s="15" t="str">
        <f>IF(Data!B40="","",IF(AND(Data!G40&lt;&gt;"",Data!H40=""),1,IF(Data!#REF!&lt;&gt;"",0,IF(Data!G40="",1,IF(ISNUMBER(MATCH(Data!H40,Data_Val!$D$2:$D$35,0)),0,1)))))</f>
        <v/>
      </c>
      <c r="I40" s="15" t="str">
        <f>IF(Data!B40="","",IF(Data!G40&lt;&gt;"",0,IF(ISNUMBER(MATCH(Data!#REF!,Data_Val!$E$2:$E$12,0)),0,1)))</f>
        <v/>
      </c>
      <c r="J40" s="16" t="e">
        <f>IF(OR(Data!B40="",Data!#REF!=""),"",IF(Data!#REF!="",1,0))</f>
        <v>#REF!</v>
      </c>
      <c r="K40" s="16" t="e">
        <f>IF(OR(Data!B40="",Data!#REF!=""),"",IF(Data!#REF!="",1,0))</f>
        <v>#REF!</v>
      </c>
      <c r="L40" s="16" t="e">
        <f>IF(OR(Data!B40="",Data!#REF!=""),"",IF(ISNUMBER(Data!#REF!),IF(AND(Data!#REF!&gt;Data_Val!$G$2,Data!#REF!&lt;=Data_Val!$G$3),0,1),1))</f>
        <v>#REF!</v>
      </c>
      <c r="M40" s="9" t="e">
        <f>IF(OR(Data!B40="",Data!#REF!=""),"",IF(ISNUMBER(MATCH(Data!#REF!,Data_Val!$F$1:$F$38,0)),0,1))</f>
        <v>#REF!</v>
      </c>
      <c r="N40" s="9" t="e">
        <f>IF(OR(Data!B40="",Data!#REF!=""),"",IF(Data!#REF!="",1,0))</f>
        <v>#REF!</v>
      </c>
      <c r="O40" s="17" t="e">
        <f>IF(Data!#REF!="","",IF(Data!#REF!="",1,0))</f>
        <v>#REF!</v>
      </c>
      <c r="P40" s="17" t="e">
        <f>IF(Data!#REF!="","",IF(ISNUMBER(MATCH(Data!#REF!,Data_Val!$A$2:$A$3,0)),0,1))</f>
        <v>#REF!</v>
      </c>
      <c r="Q40" s="25" t="e">
        <f ca="1">IF(Data!#REF!="","",IF(ISNUMBER(Data!#REF!),IF(AND(Data!#REF!&gt;(TODAY()-(Data_Val!$J$3*365.25)),Data!#REF!&lt;=(TODAY()-(Data_Val!$J$2*365.25))),0,1),1))</f>
        <v>#REF!</v>
      </c>
      <c r="R40" s="17" t="e">
        <f>IF(Data!#REF!="","",IF(ISNUMBER(MATCH(Data!#REF!,Data_Val!$B$2:$B$15,0)),0,1))</f>
        <v>#REF!</v>
      </c>
      <c r="S40" s="11" t="str">
        <f>IF(Data!G40="","",IF(Data!G40=Data_Val!$C$2,IF(Data!M40="",0,1),0))</f>
        <v/>
      </c>
      <c r="T40" s="11" t="str">
        <f>IF(Data!M40="","",IF(ISNUMBER(MATCH(Data!N40,Data_Val!$A$2:$A$3,0)),0,1))</f>
        <v/>
      </c>
      <c r="U40" s="11" t="str">
        <f ca="1">IF(Data!M40="","",IF(ISNUMBER(Data!O40),IF(AND(Data!O40&gt;(TODAY()-(Data_Val!$K$3*365.25)),Data!O40&lt;=(TODAY()-(Data_Val!$K$2*365.25))),0,1),1))</f>
        <v/>
      </c>
      <c r="V40" s="12" t="str">
        <f>IF(Data!G40="","",IF(Data!G40=Data_Val!$C$2,IF(Data!P40="",0,1),0))</f>
        <v/>
      </c>
      <c r="W40" s="12" t="str">
        <f>IF(Data!P40="","",IF(ISNUMBER(MATCH(Data!Q40,Data_Val!$A$2:$A$3,0)),0,1))</f>
        <v/>
      </c>
      <c r="X40" s="26" t="str">
        <f ca="1">IF(Data!P40="","",IF(ISNUMBER(Data!R40),IF(AND(Data!R40&gt;(TODAY()-(Data_Val!$L$3*365.25)),Data!R40&lt;=(TODAY()-(Data_Val!$L$2*365.25))),0,1),1))</f>
        <v/>
      </c>
      <c r="Y40" s="13" t="str">
        <f>IF(Data!$G40="","",IF(Data!$G40=Data_Val!$C$2,IF(Data!S40="",0,1),0))</f>
        <v/>
      </c>
      <c r="Z40" s="13" t="str">
        <f>IF(Data!S40="","",IF(ISNUMBER(MATCH(Data!T40,Data_Val!$A$2:$A$3,0)),0,1))</f>
        <v/>
      </c>
      <c r="AA40" s="28" t="str">
        <f ca="1">IF(Data!S40="","",IF(ISNUMBER(Data!U40),IF(AND(Data!U40&gt;(TODAY()-(Data_Val!$L$3*365.25)),Data!U40&lt;=(TODAY()-(Data_Val!$L$2*365.25))),0,1),1))</f>
        <v/>
      </c>
      <c r="AB40" s="11"/>
      <c r="AC40" s="11" t="e">
        <f>IF(Data!#REF!="","",IF(ISNUMBER(MATCH(Data!#REF!,Data_Val!$A$2:$A$3,0)),0,1))</f>
        <v>#REF!</v>
      </c>
      <c r="AD40" s="11" t="e">
        <f ca="1">IF(Data!#REF!="","",IF(ISNUMBER(Data!#REF!),IF(AND(Data!#REF!&gt;(TODAY()-(Data_Val!$L$3*365.25)),Data!#REF!&lt;=(TODAY()-(Data_Val!$L$2*365.25))),0,1),1))</f>
        <v>#REF!</v>
      </c>
      <c r="AE40" s="11" t="e">
        <f>IF(Data!#REF!="","",IF(Data!$G40="",1,IF(ISNUMBER(MATCH(Data!#REF!,Data_Val!$D$2:$D$10,0)),0,1)))</f>
        <v>#REF!</v>
      </c>
      <c r="AF40" s="12"/>
      <c r="AG40" s="12" t="e">
        <f>IF(Data!#REF!="","",IF(ISNUMBER(MATCH(Data!#REF!,Data_Val!$A$2:$A$3,0)),0,1))</f>
        <v>#REF!</v>
      </c>
      <c r="AH40" s="26" t="e">
        <f ca="1">IF(Data!#REF!="","",IF(ISNUMBER(Data!#REF!),IF(AND(Data!#REF!&gt;(TODAY()-(Data_Val!$L$3*365.25)),Data!#REF!&lt;=(TODAY()-(Data_Val!$L$2*365.25))),0,1),1))</f>
        <v>#REF!</v>
      </c>
      <c r="AI40" s="12" t="e">
        <f>IF(Data!#REF!="","",IF(Data!$G40="",1,IF(ISNUMBER(MATCH(Data!#REF!,Data_Val!$D$2:$D$10,0)),0,1)))</f>
        <v>#REF!</v>
      </c>
      <c r="AJ40" s="17"/>
      <c r="AK40" s="17" t="e">
        <f>IF(Data!#REF!="","",IF(ISNUMBER(MATCH(Data!#REF!,Data_Val!$A$2:$A$3,0)),0,1))</f>
        <v>#REF!</v>
      </c>
      <c r="AL40" s="25" t="e">
        <f ca="1">IF(Data!#REF!="","",IF(ISNUMBER(Data!#REF!),IF(AND(Data!#REF!&gt;(TODAY()-(Data_Val!$L$3*365.25)),Data!#REF!&lt;=(TODAY()-(Data_Val!$L$2*365.25))),0,1),1))</f>
        <v>#REF!</v>
      </c>
      <c r="AM40" s="17" t="e">
        <f>IF(Data!#REF!="","",IF(Data!$G40="",1,IF(ISNUMBER(MATCH(Data!#REF!,Data_Val!$D$2:$D$10,0)),0,1)))</f>
        <v>#REF!</v>
      </c>
      <c r="AN40" s="13"/>
      <c r="AO40" s="28" t="e">
        <f ca="1">IF(Data!#REF!="","",IF(ISNUMBER(Data!#REF!),IF(AND(Data!#REF!&gt;(TODAY()-(Data_Val!$I$3*365.25)),Data!#REF!&lt;=(TODAY()-(Data_Val!$I$2*365.25))),0,1),1))</f>
        <v>#REF!</v>
      </c>
      <c r="AP40" s="13" t="e">
        <f>IF(Data!#REF!="","",IF(Data!$G40="",1,IF(ISNUMBER(MATCH(Data!#REF!,Data_Val!$D$2:$D$10,0)),0,1)))</f>
        <v>#REF!</v>
      </c>
      <c r="AQ40" s="17"/>
      <c r="AR40" s="30" t="e">
        <f ca="1">IF(Data!#REF!="","",IF(ISNUMBER(Data!#REF!),IF(AND(Data!#REF!&gt;(TODAY()-(Data_Val!$I$3*365.25)),Data!#REF!&lt;=(TODAY()-(Data_Val!$I$2*365.25))),0,1),1))</f>
        <v>#REF!</v>
      </c>
      <c r="AS40" s="31" t="e">
        <f>IF(Data!#REF!="","",IF(Data!$G40="",1,IF(ISNUMBER(MATCH(Data!#REF!,Data_Val!$D$2:$D$10,0)),0,1)))</f>
        <v>#REF!</v>
      </c>
      <c r="AT40" s="11"/>
      <c r="AU40" s="11" t="e">
        <f ca="1">IF(Data!#REF!="","",IF(ISNUMBER(Data!#REF!),IF(AND(Data!#REF!&gt;(TODAY()-(Data_Val!$I$3*365.25)),Data!#REF!&lt;=(TODAY()-(Data_Val!$I$2*365.25))),0,1),1))</f>
        <v>#REF!</v>
      </c>
      <c r="AV40" s="11" t="e">
        <f>IF(Data!#REF!="","",IF(Data!$G40="",1,IF(ISNUMBER(MATCH(Data!#REF!,Data_Val!$D$2:$D$10,0)),0,1)))</f>
        <v>#REF!</v>
      </c>
      <c r="AW40" s="12"/>
      <c r="AX40" s="26" t="e">
        <f ca="1">IF(Data!#REF!="","",IF(ISNUMBER(Data!#REF!),IF(AND(Data!#REF!&gt;(TODAY()-(Data_Val!$I$3*365.25)),Data!#REF!&lt;=(TODAY()-(Data_Val!$I$2*365.25))),0,1),1))</f>
        <v>#REF!</v>
      </c>
      <c r="AY40" s="12" t="e">
        <f>IF(Data!#REF!="","",IF(Data!$G40="",1,IF(ISNUMBER(MATCH(Data!#REF!,Data_Val!$D$2:$D$10,0)),0,1)))</f>
        <v>#REF!</v>
      </c>
      <c r="AZ40" s="11"/>
      <c r="BA40" s="19" t="e">
        <f ca="1">IF(Data!#REF!="","",IF(ISNUMBER(Data!#REF!),IF(AND(Data!#REF!&gt;(TODAY()-(Data_Val!$M$3*365.25)),Data!#REF!&lt;=(TODAY()-(Data_Val!$M$2*365.25))),0,1),1))</f>
        <v>#REF!</v>
      </c>
      <c r="BB40" s="11" t="e">
        <f>IF(Data!#REF!="","",IF(Data!$G40="",1,IF(ISNUMBER(MATCH(Data!#REF!,Data_Val!$D$2:$D$10,0)),0,1)))</f>
        <v>#REF!</v>
      </c>
      <c r="BC40" s="12"/>
      <c r="BD40" s="20" t="e">
        <f ca="1">IF(Data!#REF!="","",IF(ISNUMBER(Data!#REF!),IF(AND(Data!#REF!&gt;(TODAY()-(Data_Val!$M$3*365.25)),Data!#REF!&lt;=(TODAY()-(Data_Val!$M$2*365.25))),0,1),1))</f>
        <v>#REF!</v>
      </c>
      <c r="BE40" s="12" t="e">
        <f>IF(Data!#REF!="","",IF(Data!$G40="",1,IF(ISNUMBER(MATCH(Data!#REF!,Data_Val!$D$2:$D$10,0)),0,1)))</f>
        <v>#REF!</v>
      </c>
      <c r="BF40" s="17"/>
      <c r="BG40" s="18" t="e">
        <f ca="1">IF(Data!#REF!="","",IF(ISNUMBER(Data!#REF!),IF(AND(Data!#REF!&gt;(TODAY()-(Data_Val!$M$3*365.25)),Data!#REF!&lt;=(TODAY()-(Data_Val!$M$2*365.25))),0,1),1))</f>
        <v>#REF!</v>
      </c>
      <c r="BH40" s="29" t="e">
        <f>IF(Data!#REF!="","",IF(Data!$G40="",1,IF(ISNUMBER(MATCH(Data!#REF!,Data_Val!$D$2:$D$10,0)),0,1)))</f>
        <v>#REF!</v>
      </c>
      <c r="BI40" s="13"/>
      <c r="BJ40" s="21" t="e">
        <f ca="1">IF(Data!#REF!="","",IF(ISNUMBER(Data!#REF!),IF(AND(Data!#REF!&gt;(TODAY()-(Data_Val!$M$3*365.25)),Data!#REF!&lt;=(TODAY()-(Data_Val!$M$2*365.25))),0,1),1))</f>
        <v>#REF!</v>
      </c>
      <c r="BK40" s="13" t="e">
        <f>IF(Data!#REF!="","",IF(Data!$G40="",1,IF(ISNUMBER(MATCH(Data!#REF!,Data_Val!$D$2:$D$10,0)),0,1)))</f>
        <v>#REF!</v>
      </c>
    </row>
    <row r="41" spans="1:63" x14ac:dyDescent="0.25">
      <c r="A41" s="9" t="str">
        <f>IF(Data!B41="","",IF(COUNTIFS(Data!A$1:'Data'!A41,Data!A41)&lt;=1,0,1))</f>
        <v/>
      </c>
      <c r="B41" s="9"/>
      <c r="C41" s="23" t="str">
        <f>IF(Data!C41="","",(IF(ISNUMBER(MATCH("*@*.?*",Data!C41,0)),0,1)+IF(COUNTIFS(Data!C$1:'Data'!C41,Data!C41)&gt;1,1,0)))</f>
        <v/>
      </c>
      <c r="D41" s="9" t="str">
        <f>IF(Data!B41="","",IF(ISNUMBER(Data!D41),IF(AND(Data!D41&gt;999999999,Data!D41&lt;=9999999999),IF(COUNTIFS(Data!D$1:'Data'!D41,Data!D41)&lt;=1,0,1),1),1))</f>
        <v/>
      </c>
      <c r="E41" s="9" t="str">
        <f>IF(Data!B41="","",IF(ISNUMBER(MATCH(Data!E41,Data_Val!$A$2:$A$3,0)),0,1))</f>
        <v/>
      </c>
      <c r="F41" s="9" t="str">
        <f ca="1">IF(Data!B41="","",IF(ISNUMBER(Data!F41),IF(AND(Data!F41&gt;(TODAY()-(Data_Val!$H$3*365.25)),Data!F41&lt;=(TODAY()-(Data_Val!$H$2*365.25))),0,1),1))</f>
        <v/>
      </c>
      <c r="G41" s="15" t="str">
        <f>IF(Data!B41="","",IF(AND(Data!G41="",Data!H41&lt;&gt;""),1,IF(Data!#REF!&lt;&gt;"",0,IF(ISNUMBER(MATCH(Data!G41,Data_Val!$C$2:$C$5,0)),0,1))))</f>
        <v/>
      </c>
      <c r="H41" s="15" t="str">
        <f>IF(Data!B41="","",IF(AND(Data!G41&lt;&gt;"",Data!H41=""),1,IF(Data!#REF!&lt;&gt;"",0,IF(Data!G41="",1,IF(ISNUMBER(MATCH(Data!H41,Data_Val!$D$2:$D$35,0)),0,1)))))</f>
        <v/>
      </c>
      <c r="I41" s="15" t="str">
        <f>IF(Data!B41="","",IF(Data!G41&lt;&gt;"",0,IF(ISNUMBER(MATCH(Data!#REF!,Data_Val!$E$2:$E$12,0)),0,1)))</f>
        <v/>
      </c>
      <c r="J41" s="16" t="e">
        <f>IF(OR(Data!B41="",Data!#REF!=""),"",IF(Data!#REF!="",1,0))</f>
        <v>#REF!</v>
      </c>
      <c r="K41" s="16" t="e">
        <f>IF(OR(Data!B41="",Data!#REF!=""),"",IF(Data!#REF!="",1,0))</f>
        <v>#REF!</v>
      </c>
      <c r="L41" s="16" t="e">
        <f>IF(OR(Data!B41="",Data!#REF!=""),"",IF(ISNUMBER(Data!#REF!),IF(AND(Data!#REF!&gt;Data_Val!$G$2,Data!#REF!&lt;=Data_Val!$G$3),0,1),1))</f>
        <v>#REF!</v>
      </c>
      <c r="M41" s="9" t="e">
        <f>IF(OR(Data!B41="",Data!#REF!=""),"",IF(ISNUMBER(MATCH(Data!#REF!,Data_Val!$F$1:$F$38,0)),0,1))</f>
        <v>#REF!</v>
      </c>
      <c r="N41" s="9" t="e">
        <f>IF(OR(Data!B41="",Data!#REF!=""),"",IF(Data!#REF!="",1,0))</f>
        <v>#REF!</v>
      </c>
      <c r="O41" s="17" t="e">
        <f>IF(Data!#REF!="","",IF(Data!#REF!="",1,0))</f>
        <v>#REF!</v>
      </c>
      <c r="P41" s="17" t="e">
        <f>IF(Data!#REF!="","",IF(ISNUMBER(MATCH(Data!#REF!,Data_Val!$A$2:$A$3,0)),0,1))</f>
        <v>#REF!</v>
      </c>
      <c r="Q41" s="25" t="e">
        <f ca="1">IF(Data!#REF!="","",IF(ISNUMBER(Data!#REF!),IF(AND(Data!#REF!&gt;(TODAY()-(Data_Val!$J$3*365.25)),Data!#REF!&lt;=(TODAY()-(Data_Val!$J$2*365.25))),0,1),1))</f>
        <v>#REF!</v>
      </c>
      <c r="R41" s="17" t="e">
        <f>IF(Data!#REF!="","",IF(ISNUMBER(MATCH(Data!#REF!,Data_Val!$B$2:$B$15,0)),0,1))</f>
        <v>#REF!</v>
      </c>
      <c r="S41" s="11" t="str">
        <f>IF(Data!G41="","",IF(Data!G41=Data_Val!$C$2,IF(Data!M41="",0,1),0))</f>
        <v/>
      </c>
      <c r="T41" s="11" t="str">
        <f>IF(Data!M41="","",IF(ISNUMBER(MATCH(Data!N41,Data_Val!$A$2:$A$3,0)),0,1))</f>
        <v/>
      </c>
      <c r="U41" s="11" t="str">
        <f ca="1">IF(Data!M41="","",IF(ISNUMBER(Data!O41),IF(AND(Data!O41&gt;(TODAY()-(Data_Val!$K$3*365.25)),Data!O41&lt;=(TODAY()-(Data_Val!$K$2*365.25))),0,1),1))</f>
        <v/>
      </c>
      <c r="V41" s="12" t="str">
        <f>IF(Data!G41="","",IF(Data!G41=Data_Val!$C$2,IF(Data!P41="",0,1),0))</f>
        <v/>
      </c>
      <c r="W41" s="12" t="str">
        <f>IF(Data!P41="","",IF(ISNUMBER(MATCH(Data!Q41,Data_Val!$A$2:$A$3,0)),0,1))</f>
        <v/>
      </c>
      <c r="X41" s="26" t="str">
        <f ca="1">IF(Data!P41="","",IF(ISNUMBER(Data!R41),IF(AND(Data!R41&gt;(TODAY()-(Data_Val!$L$3*365.25)),Data!R41&lt;=(TODAY()-(Data_Val!$L$2*365.25))),0,1),1))</f>
        <v/>
      </c>
      <c r="Y41" s="13" t="str">
        <f>IF(Data!$G41="","",IF(Data!$G41=Data_Val!$C$2,IF(Data!S41="",0,1),0))</f>
        <v/>
      </c>
      <c r="Z41" s="13" t="str">
        <f>IF(Data!S41="","",IF(ISNUMBER(MATCH(Data!T41,Data_Val!$A$2:$A$3,0)),0,1))</f>
        <v/>
      </c>
      <c r="AA41" s="28" t="str">
        <f ca="1">IF(Data!S41="","",IF(ISNUMBER(Data!U41),IF(AND(Data!U41&gt;(TODAY()-(Data_Val!$L$3*365.25)),Data!U41&lt;=(TODAY()-(Data_Val!$L$2*365.25))),0,1),1))</f>
        <v/>
      </c>
      <c r="AB41" s="11"/>
      <c r="AC41" s="11" t="e">
        <f>IF(Data!#REF!="","",IF(ISNUMBER(MATCH(Data!#REF!,Data_Val!$A$2:$A$3,0)),0,1))</f>
        <v>#REF!</v>
      </c>
      <c r="AD41" s="11" t="e">
        <f ca="1">IF(Data!#REF!="","",IF(ISNUMBER(Data!#REF!),IF(AND(Data!#REF!&gt;(TODAY()-(Data_Val!$L$3*365.25)),Data!#REF!&lt;=(TODAY()-(Data_Val!$L$2*365.25))),0,1),1))</f>
        <v>#REF!</v>
      </c>
      <c r="AE41" s="11" t="e">
        <f>IF(Data!#REF!="","",IF(Data!$G41="",1,IF(ISNUMBER(MATCH(Data!#REF!,Data_Val!$D$2:$D$10,0)),0,1)))</f>
        <v>#REF!</v>
      </c>
      <c r="AF41" s="12"/>
      <c r="AG41" s="12" t="e">
        <f>IF(Data!#REF!="","",IF(ISNUMBER(MATCH(Data!#REF!,Data_Val!$A$2:$A$3,0)),0,1))</f>
        <v>#REF!</v>
      </c>
      <c r="AH41" s="26" t="e">
        <f ca="1">IF(Data!#REF!="","",IF(ISNUMBER(Data!#REF!),IF(AND(Data!#REF!&gt;(TODAY()-(Data_Val!$L$3*365.25)),Data!#REF!&lt;=(TODAY()-(Data_Val!$L$2*365.25))),0,1),1))</f>
        <v>#REF!</v>
      </c>
      <c r="AI41" s="12" t="e">
        <f>IF(Data!#REF!="","",IF(Data!$G41="",1,IF(ISNUMBER(MATCH(Data!#REF!,Data_Val!$D$2:$D$10,0)),0,1)))</f>
        <v>#REF!</v>
      </c>
      <c r="AJ41" s="17"/>
      <c r="AK41" s="17" t="e">
        <f>IF(Data!#REF!="","",IF(ISNUMBER(MATCH(Data!#REF!,Data_Val!$A$2:$A$3,0)),0,1))</f>
        <v>#REF!</v>
      </c>
      <c r="AL41" s="25" t="e">
        <f ca="1">IF(Data!#REF!="","",IF(ISNUMBER(Data!#REF!),IF(AND(Data!#REF!&gt;(TODAY()-(Data_Val!$L$3*365.25)),Data!#REF!&lt;=(TODAY()-(Data_Val!$L$2*365.25))),0,1),1))</f>
        <v>#REF!</v>
      </c>
      <c r="AM41" s="17" t="e">
        <f>IF(Data!#REF!="","",IF(Data!$G41="",1,IF(ISNUMBER(MATCH(Data!#REF!,Data_Val!$D$2:$D$10,0)),0,1)))</f>
        <v>#REF!</v>
      </c>
      <c r="AN41" s="13"/>
      <c r="AO41" s="28" t="e">
        <f ca="1">IF(Data!#REF!="","",IF(ISNUMBER(Data!#REF!),IF(AND(Data!#REF!&gt;(TODAY()-(Data_Val!$I$3*365.25)),Data!#REF!&lt;=(TODAY()-(Data_Val!$I$2*365.25))),0,1),1))</f>
        <v>#REF!</v>
      </c>
      <c r="AP41" s="13" t="e">
        <f>IF(Data!#REF!="","",IF(Data!$G41="",1,IF(ISNUMBER(MATCH(Data!#REF!,Data_Val!$D$2:$D$10,0)),0,1)))</f>
        <v>#REF!</v>
      </c>
      <c r="AQ41" s="17"/>
      <c r="AR41" s="30" t="e">
        <f ca="1">IF(Data!#REF!="","",IF(ISNUMBER(Data!#REF!),IF(AND(Data!#REF!&gt;(TODAY()-(Data_Val!$I$3*365.25)),Data!#REF!&lt;=(TODAY()-(Data_Val!$I$2*365.25))),0,1),1))</f>
        <v>#REF!</v>
      </c>
      <c r="AS41" s="31" t="e">
        <f>IF(Data!#REF!="","",IF(Data!$G41="",1,IF(ISNUMBER(MATCH(Data!#REF!,Data_Val!$D$2:$D$10,0)),0,1)))</f>
        <v>#REF!</v>
      </c>
      <c r="AT41" s="11"/>
      <c r="AU41" s="11" t="e">
        <f ca="1">IF(Data!#REF!="","",IF(ISNUMBER(Data!#REF!),IF(AND(Data!#REF!&gt;(TODAY()-(Data_Val!$I$3*365.25)),Data!#REF!&lt;=(TODAY()-(Data_Val!$I$2*365.25))),0,1),1))</f>
        <v>#REF!</v>
      </c>
      <c r="AV41" s="11" t="e">
        <f>IF(Data!#REF!="","",IF(Data!$G41="",1,IF(ISNUMBER(MATCH(Data!#REF!,Data_Val!$D$2:$D$10,0)),0,1)))</f>
        <v>#REF!</v>
      </c>
      <c r="AW41" s="12"/>
      <c r="AX41" s="26" t="e">
        <f ca="1">IF(Data!#REF!="","",IF(ISNUMBER(Data!#REF!),IF(AND(Data!#REF!&gt;(TODAY()-(Data_Val!$I$3*365.25)),Data!#REF!&lt;=(TODAY()-(Data_Val!$I$2*365.25))),0,1),1))</f>
        <v>#REF!</v>
      </c>
      <c r="AY41" s="12" t="e">
        <f>IF(Data!#REF!="","",IF(Data!$G41="",1,IF(ISNUMBER(MATCH(Data!#REF!,Data_Val!$D$2:$D$10,0)),0,1)))</f>
        <v>#REF!</v>
      </c>
      <c r="AZ41" s="11"/>
      <c r="BA41" s="19" t="e">
        <f ca="1">IF(Data!#REF!="","",IF(ISNUMBER(Data!#REF!),IF(AND(Data!#REF!&gt;(TODAY()-(Data_Val!$M$3*365.25)),Data!#REF!&lt;=(TODAY()-(Data_Val!$M$2*365.25))),0,1),1))</f>
        <v>#REF!</v>
      </c>
      <c r="BB41" s="11" t="e">
        <f>IF(Data!#REF!="","",IF(Data!$G41="",1,IF(ISNUMBER(MATCH(Data!#REF!,Data_Val!$D$2:$D$10,0)),0,1)))</f>
        <v>#REF!</v>
      </c>
      <c r="BC41" s="12"/>
      <c r="BD41" s="20" t="e">
        <f ca="1">IF(Data!#REF!="","",IF(ISNUMBER(Data!#REF!),IF(AND(Data!#REF!&gt;(TODAY()-(Data_Val!$M$3*365.25)),Data!#REF!&lt;=(TODAY()-(Data_Val!$M$2*365.25))),0,1),1))</f>
        <v>#REF!</v>
      </c>
      <c r="BE41" s="12" t="e">
        <f>IF(Data!#REF!="","",IF(Data!$G41="",1,IF(ISNUMBER(MATCH(Data!#REF!,Data_Val!$D$2:$D$10,0)),0,1)))</f>
        <v>#REF!</v>
      </c>
      <c r="BF41" s="17"/>
      <c r="BG41" s="18" t="e">
        <f ca="1">IF(Data!#REF!="","",IF(ISNUMBER(Data!#REF!),IF(AND(Data!#REF!&gt;(TODAY()-(Data_Val!$M$3*365.25)),Data!#REF!&lt;=(TODAY()-(Data_Val!$M$2*365.25))),0,1),1))</f>
        <v>#REF!</v>
      </c>
      <c r="BH41" s="29" t="e">
        <f>IF(Data!#REF!="","",IF(Data!$G41="",1,IF(ISNUMBER(MATCH(Data!#REF!,Data_Val!$D$2:$D$10,0)),0,1)))</f>
        <v>#REF!</v>
      </c>
      <c r="BI41" s="13"/>
      <c r="BJ41" s="21" t="e">
        <f ca="1">IF(Data!#REF!="","",IF(ISNUMBER(Data!#REF!),IF(AND(Data!#REF!&gt;(TODAY()-(Data_Val!$M$3*365.25)),Data!#REF!&lt;=(TODAY()-(Data_Val!$M$2*365.25))),0,1),1))</f>
        <v>#REF!</v>
      </c>
      <c r="BK41" s="13" t="e">
        <f>IF(Data!#REF!="","",IF(Data!$G41="",1,IF(ISNUMBER(MATCH(Data!#REF!,Data_Val!$D$2:$D$10,0)),0,1)))</f>
        <v>#REF!</v>
      </c>
    </row>
    <row r="42" spans="1:63" x14ac:dyDescent="0.25">
      <c r="A42" s="9" t="str">
        <f>IF(Data!B42="","",IF(COUNTIFS(Data!A$1:'Data'!A42,Data!A42)&lt;=1,0,1))</f>
        <v/>
      </c>
      <c r="B42" s="9"/>
      <c r="C42" s="23" t="str">
        <f>IF(Data!C42="","",(IF(ISNUMBER(MATCH("*@*.?*",Data!C42,0)),0,1)+IF(COUNTIFS(Data!C$1:'Data'!C42,Data!C42)&gt;1,1,0)))</f>
        <v/>
      </c>
      <c r="D42" s="9" t="str">
        <f>IF(Data!B42="","",IF(ISNUMBER(Data!D42),IF(AND(Data!D42&gt;999999999,Data!D42&lt;=9999999999),IF(COUNTIFS(Data!D$1:'Data'!D42,Data!D42)&lt;=1,0,1),1),1))</f>
        <v/>
      </c>
      <c r="E42" s="9" t="str">
        <f>IF(Data!B42="","",IF(ISNUMBER(MATCH(Data!E42,Data_Val!$A$2:$A$3,0)),0,1))</f>
        <v/>
      </c>
      <c r="F42" s="9" t="str">
        <f ca="1">IF(Data!B42="","",IF(ISNUMBER(Data!F42),IF(AND(Data!F42&gt;(TODAY()-(Data_Val!$H$3*365.25)),Data!F42&lt;=(TODAY()-(Data_Val!$H$2*365.25))),0,1),1))</f>
        <v/>
      </c>
      <c r="G42" s="15" t="str">
        <f>IF(Data!B42="","",IF(AND(Data!G42="",Data!H42&lt;&gt;""),1,IF(Data!#REF!&lt;&gt;"",0,IF(ISNUMBER(MATCH(Data!G42,Data_Val!$C$2:$C$5,0)),0,1))))</f>
        <v/>
      </c>
      <c r="H42" s="15" t="str">
        <f>IF(Data!B42="","",IF(AND(Data!G42&lt;&gt;"",Data!H42=""),1,IF(Data!#REF!&lt;&gt;"",0,IF(Data!G42="",1,IF(ISNUMBER(MATCH(Data!H42,Data_Val!$D$2:$D$35,0)),0,1)))))</f>
        <v/>
      </c>
      <c r="I42" s="15" t="str">
        <f>IF(Data!B42="","",IF(Data!G42&lt;&gt;"",0,IF(ISNUMBER(MATCH(Data!#REF!,Data_Val!$E$2:$E$12,0)),0,1)))</f>
        <v/>
      </c>
      <c r="J42" s="16" t="e">
        <f>IF(OR(Data!B42="",Data!#REF!=""),"",IF(Data!#REF!="",1,0))</f>
        <v>#REF!</v>
      </c>
      <c r="K42" s="16" t="e">
        <f>IF(OR(Data!B42="",Data!#REF!=""),"",IF(Data!#REF!="",1,0))</f>
        <v>#REF!</v>
      </c>
      <c r="L42" s="16" t="e">
        <f>IF(OR(Data!B42="",Data!#REF!=""),"",IF(ISNUMBER(Data!#REF!),IF(AND(Data!#REF!&gt;Data_Val!$G$2,Data!#REF!&lt;=Data_Val!$G$3),0,1),1))</f>
        <v>#REF!</v>
      </c>
      <c r="M42" s="9" t="e">
        <f>IF(OR(Data!B42="",Data!#REF!=""),"",IF(ISNUMBER(MATCH(Data!#REF!,Data_Val!$F$1:$F$38,0)),0,1))</f>
        <v>#REF!</v>
      </c>
      <c r="N42" s="9" t="e">
        <f>IF(OR(Data!B42="",Data!#REF!=""),"",IF(Data!#REF!="",1,0))</f>
        <v>#REF!</v>
      </c>
      <c r="O42" s="17" t="e">
        <f>IF(Data!#REF!="","",IF(Data!#REF!="",1,0))</f>
        <v>#REF!</v>
      </c>
      <c r="P42" s="17" t="e">
        <f>IF(Data!#REF!="","",IF(ISNUMBER(MATCH(Data!#REF!,Data_Val!$A$2:$A$3,0)),0,1))</f>
        <v>#REF!</v>
      </c>
      <c r="Q42" s="25" t="e">
        <f ca="1">IF(Data!#REF!="","",IF(ISNUMBER(Data!#REF!),IF(AND(Data!#REF!&gt;(TODAY()-(Data_Val!$J$3*365.25)),Data!#REF!&lt;=(TODAY()-(Data_Val!$J$2*365.25))),0,1),1))</f>
        <v>#REF!</v>
      </c>
      <c r="R42" s="17" t="e">
        <f>IF(Data!#REF!="","",IF(ISNUMBER(MATCH(Data!#REF!,Data_Val!$B$2:$B$15,0)),0,1))</f>
        <v>#REF!</v>
      </c>
      <c r="S42" s="11" t="str">
        <f>IF(Data!G42="","",IF(Data!G42=Data_Val!$C$2,IF(Data!M42="",0,1),0))</f>
        <v/>
      </c>
      <c r="T42" s="11" t="str">
        <f>IF(Data!M42="","",IF(ISNUMBER(MATCH(Data!N42,Data_Val!$A$2:$A$3,0)),0,1))</f>
        <v/>
      </c>
      <c r="U42" s="11" t="str">
        <f ca="1">IF(Data!M42="","",IF(ISNUMBER(Data!O42),IF(AND(Data!O42&gt;(TODAY()-(Data_Val!$K$3*365.25)),Data!O42&lt;=(TODAY()-(Data_Val!$K$2*365.25))),0,1),1))</f>
        <v/>
      </c>
      <c r="V42" s="12" t="str">
        <f>IF(Data!G42="","",IF(Data!G42=Data_Val!$C$2,IF(Data!P42="",0,1),0))</f>
        <v/>
      </c>
      <c r="W42" s="12" t="str">
        <f>IF(Data!P42="","",IF(ISNUMBER(MATCH(Data!Q42,Data_Val!$A$2:$A$3,0)),0,1))</f>
        <v/>
      </c>
      <c r="X42" s="26" t="str">
        <f ca="1">IF(Data!P42="","",IF(ISNUMBER(Data!R42),IF(AND(Data!R42&gt;(TODAY()-(Data_Val!$L$3*365.25)),Data!R42&lt;=(TODAY()-(Data_Val!$L$2*365.25))),0,1),1))</f>
        <v/>
      </c>
      <c r="Y42" s="13" t="str">
        <f>IF(Data!$G42="","",IF(Data!$G42=Data_Val!$C$2,IF(Data!S42="",0,1),0))</f>
        <v/>
      </c>
      <c r="Z42" s="13" t="str">
        <f>IF(Data!S42="","",IF(ISNUMBER(MATCH(Data!T42,Data_Val!$A$2:$A$3,0)),0,1))</f>
        <v/>
      </c>
      <c r="AA42" s="28" t="str">
        <f ca="1">IF(Data!S42="","",IF(ISNUMBER(Data!U42),IF(AND(Data!U42&gt;(TODAY()-(Data_Val!$L$3*365.25)),Data!U42&lt;=(TODAY()-(Data_Val!$L$2*365.25))),0,1),1))</f>
        <v/>
      </c>
      <c r="AB42" s="11"/>
      <c r="AC42" s="11" t="e">
        <f>IF(Data!#REF!="","",IF(ISNUMBER(MATCH(Data!#REF!,Data_Val!$A$2:$A$3,0)),0,1))</f>
        <v>#REF!</v>
      </c>
      <c r="AD42" s="11" t="e">
        <f ca="1">IF(Data!#REF!="","",IF(ISNUMBER(Data!#REF!),IF(AND(Data!#REF!&gt;(TODAY()-(Data_Val!$L$3*365.25)),Data!#REF!&lt;=(TODAY()-(Data_Val!$L$2*365.25))),0,1),1))</f>
        <v>#REF!</v>
      </c>
      <c r="AE42" s="11" t="e">
        <f>IF(Data!#REF!="","",IF(Data!$G42="",1,IF(ISNUMBER(MATCH(Data!#REF!,Data_Val!$D$2:$D$10,0)),0,1)))</f>
        <v>#REF!</v>
      </c>
      <c r="AF42" s="12"/>
      <c r="AG42" s="12" t="e">
        <f>IF(Data!#REF!="","",IF(ISNUMBER(MATCH(Data!#REF!,Data_Val!$A$2:$A$3,0)),0,1))</f>
        <v>#REF!</v>
      </c>
      <c r="AH42" s="26" t="e">
        <f ca="1">IF(Data!#REF!="","",IF(ISNUMBER(Data!#REF!),IF(AND(Data!#REF!&gt;(TODAY()-(Data_Val!$L$3*365.25)),Data!#REF!&lt;=(TODAY()-(Data_Val!$L$2*365.25))),0,1),1))</f>
        <v>#REF!</v>
      </c>
      <c r="AI42" s="12" t="e">
        <f>IF(Data!#REF!="","",IF(Data!$G42="",1,IF(ISNUMBER(MATCH(Data!#REF!,Data_Val!$D$2:$D$10,0)),0,1)))</f>
        <v>#REF!</v>
      </c>
      <c r="AJ42" s="17"/>
      <c r="AK42" s="17" t="e">
        <f>IF(Data!#REF!="","",IF(ISNUMBER(MATCH(Data!#REF!,Data_Val!$A$2:$A$3,0)),0,1))</f>
        <v>#REF!</v>
      </c>
      <c r="AL42" s="25" t="e">
        <f ca="1">IF(Data!#REF!="","",IF(ISNUMBER(Data!#REF!),IF(AND(Data!#REF!&gt;(TODAY()-(Data_Val!$L$3*365.25)),Data!#REF!&lt;=(TODAY()-(Data_Val!$L$2*365.25))),0,1),1))</f>
        <v>#REF!</v>
      </c>
      <c r="AM42" s="17" t="e">
        <f>IF(Data!#REF!="","",IF(Data!$G42="",1,IF(ISNUMBER(MATCH(Data!#REF!,Data_Val!$D$2:$D$10,0)),0,1)))</f>
        <v>#REF!</v>
      </c>
      <c r="AN42" s="13"/>
      <c r="AO42" s="28" t="e">
        <f ca="1">IF(Data!#REF!="","",IF(ISNUMBER(Data!#REF!),IF(AND(Data!#REF!&gt;(TODAY()-(Data_Val!$I$3*365.25)),Data!#REF!&lt;=(TODAY()-(Data_Val!$I$2*365.25))),0,1),1))</f>
        <v>#REF!</v>
      </c>
      <c r="AP42" s="13" t="e">
        <f>IF(Data!#REF!="","",IF(Data!$G42="",1,IF(ISNUMBER(MATCH(Data!#REF!,Data_Val!$D$2:$D$10,0)),0,1)))</f>
        <v>#REF!</v>
      </c>
      <c r="AQ42" s="17"/>
      <c r="AR42" s="30" t="e">
        <f ca="1">IF(Data!#REF!="","",IF(ISNUMBER(Data!#REF!),IF(AND(Data!#REF!&gt;(TODAY()-(Data_Val!$I$3*365.25)),Data!#REF!&lt;=(TODAY()-(Data_Val!$I$2*365.25))),0,1),1))</f>
        <v>#REF!</v>
      </c>
      <c r="AS42" s="31" t="e">
        <f>IF(Data!#REF!="","",IF(Data!$G42="",1,IF(ISNUMBER(MATCH(Data!#REF!,Data_Val!$D$2:$D$10,0)),0,1)))</f>
        <v>#REF!</v>
      </c>
      <c r="AT42" s="11"/>
      <c r="AU42" s="11" t="e">
        <f ca="1">IF(Data!#REF!="","",IF(ISNUMBER(Data!#REF!),IF(AND(Data!#REF!&gt;(TODAY()-(Data_Val!$I$3*365.25)),Data!#REF!&lt;=(TODAY()-(Data_Val!$I$2*365.25))),0,1),1))</f>
        <v>#REF!</v>
      </c>
      <c r="AV42" s="11" t="e">
        <f>IF(Data!#REF!="","",IF(Data!$G42="",1,IF(ISNUMBER(MATCH(Data!#REF!,Data_Val!$D$2:$D$10,0)),0,1)))</f>
        <v>#REF!</v>
      </c>
      <c r="AW42" s="12"/>
      <c r="AX42" s="26" t="e">
        <f ca="1">IF(Data!#REF!="","",IF(ISNUMBER(Data!#REF!),IF(AND(Data!#REF!&gt;(TODAY()-(Data_Val!$I$3*365.25)),Data!#REF!&lt;=(TODAY()-(Data_Val!$I$2*365.25))),0,1),1))</f>
        <v>#REF!</v>
      </c>
      <c r="AY42" s="12" t="e">
        <f>IF(Data!#REF!="","",IF(Data!$G42="",1,IF(ISNUMBER(MATCH(Data!#REF!,Data_Val!$D$2:$D$10,0)),0,1)))</f>
        <v>#REF!</v>
      </c>
      <c r="AZ42" s="11"/>
      <c r="BA42" s="19" t="e">
        <f ca="1">IF(Data!#REF!="","",IF(ISNUMBER(Data!#REF!),IF(AND(Data!#REF!&gt;(TODAY()-(Data_Val!$M$3*365.25)),Data!#REF!&lt;=(TODAY()-(Data_Val!$M$2*365.25))),0,1),1))</f>
        <v>#REF!</v>
      </c>
      <c r="BB42" s="11" t="e">
        <f>IF(Data!#REF!="","",IF(Data!$G42="",1,IF(ISNUMBER(MATCH(Data!#REF!,Data_Val!$D$2:$D$10,0)),0,1)))</f>
        <v>#REF!</v>
      </c>
      <c r="BC42" s="12"/>
      <c r="BD42" s="20" t="e">
        <f ca="1">IF(Data!#REF!="","",IF(ISNUMBER(Data!#REF!),IF(AND(Data!#REF!&gt;(TODAY()-(Data_Val!$M$3*365.25)),Data!#REF!&lt;=(TODAY()-(Data_Val!$M$2*365.25))),0,1),1))</f>
        <v>#REF!</v>
      </c>
      <c r="BE42" s="12" t="e">
        <f>IF(Data!#REF!="","",IF(Data!$G42="",1,IF(ISNUMBER(MATCH(Data!#REF!,Data_Val!$D$2:$D$10,0)),0,1)))</f>
        <v>#REF!</v>
      </c>
      <c r="BF42" s="17"/>
      <c r="BG42" s="18" t="e">
        <f ca="1">IF(Data!#REF!="","",IF(ISNUMBER(Data!#REF!),IF(AND(Data!#REF!&gt;(TODAY()-(Data_Val!$M$3*365.25)),Data!#REF!&lt;=(TODAY()-(Data_Val!$M$2*365.25))),0,1),1))</f>
        <v>#REF!</v>
      </c>
      <c r="BH42" s="29" t="e">
        <f>IF(Data!#REF!="","",IF(Data!$G42="",1,IF(ISNUMBER(MATCH(Data!#REF!,Data_Val!$D$2:$D$10,0)),0,1)))</f>
        <v>#REF!</v>
      </c>
      <c r="BI42" s="13"/>
      <c r="BJ42" s="21" t="e">
        <f ca="1">IF(Data!#REF!="","",IF(ISNUMBER(Data!#REF!),IF(AND(Data!#REF!&gt;(TODAY()-(Data_Val!$M$3*365.25)),Data!#REF!&lt;=(TODAY()-(Data_Val!$M$2*365.25))),0,1),1))</f>
        <v>#REF!</v>
      </c>
      <c r="BK42" s="13" t="e">
        <f>IF(Data!#REF!="","",IF(Data!$G42="",1,IF(ISNUMBER(MATCH(Data!#REF!,Data_Val!$D$2:$D$10,0)),0,1)))</f>
        <v>#REF!</v>
      </c>
    </row>
    <row r="43" spans="1:63" x14ac:dyDescent="0.25">
      <c r="A43" s="9" t="str">
        <f>IF(Data!B43="","",IF(COUNTIFS(Data!A$1:'Data'!A43,Data!A43)&lt;=1,0,1))</f>
        <v/>
      </c>
      <c r="B43" s="9"/>
      <c r="C43" s="23" t="str">
        <f>IF(Data!C43="","",(IF(ISNUMBER(MATCH("*@*.?*",Data!C43,0)),0,1)+IF(COUNTIFS(Data!C$1:'Data'!C43,Data!C43)&gt;1,1,0)))</f>
        <v/>
      </c>
      <c r="D43" s="9" t="str">
        <f>IF(Data!B43="","",IF(ISNUMBER(Data!D43),IF(AND(Data!D43&gt;999999999,Data!D43&lt;=9999999999),IF(COUNTIFS(Data!D$1:'Data'!D43,Data!D43)&lt;=1,0,1),1),1))</f>
        <v/>
      </c>
      <c r="E43" s="9" t="str">
        <f>IF(Data!B43="","",IF(ISNUMBER(MATCH(Data!E43,Data_Val!$A$2:$A$3,0)),0,1))</f>
        <v/>
      </c>
      <c r="F43" s="9" t="str">
        <f ca="1">IF(Data!B43="","",IF(ISNUMBER(Data!F43),IF(AND(Data!F43&gt;(TODAY()-(Data_Val!$H$3*365.25)),Data!F43&lt;=(TODAY()-(Data_Val!$H$2*365.25))),0,1),1))</f>
        <v/>
      </c>
      <c r="G43" s="15" t="str">
        <f>IF(Data!B43="","",IF(AND(Data!G43="",Data!H43&lt;&gt;""),1,IF(Data!#REF!&lt;&gt;"",0,IF(ISNUMBER(MATCH(Data!G43,Data_Val!$C$2:$C$5,0)),0,1))))</f>
        <v/>
      </c>
      <c r="H43" s="15" t="str">
        <f>IF(Data!B43="","",IF(AND(Data!G43&lt;&gt;"",Data!H43=""),1,IF(Data!#REF!&lt;&gt;"",0,IF(Data!G43="",1,IF(ISNUMBER(MATCH(Data!H43,Data_Val!$D$2:$D$35,0)),0,1)))))</f>
        <v/>
      </c>
      <c r="I43" s="15" t="str">
        <f>IF(Data!B43="","",IF(Data!G43&lt;&gt;"",0,IF(ISNUMBER(MATCH(Data!#REF!,Data_Val!$E$2:$E$12,0)),0,1)))</f>
        <v/>
      </c>
      <c r="J43" s="16" t="e">
        <f>IF(OR(Data!B43="",Data!#REF!=""),"",IF(Data!#REF!="",1,0))</f>
        <v>#REF!</v>
      </c>
      <c r="K43" s="16" t="e">
        <f>IF(OR(Data!B43="",Data!#REF!=""),"",IF(Data!#REF!="",1,0))</f>
        <v>#REF!</v>
      </c>
      <c r="L43" s="16" t="e">
        <f>IF(OR(Data!B43="",Data!#REF!=""),"",IF(ISNUMBER(Data!#REF!),IF(AND(Data!#REF!&gt;Data_Val!$G$2,Data!#REF!&lt;=Data_Val!$G$3),0,1),1))</f>
        <v>#REF!</v>
      </c>
      <c r="M43" s="9" t="e">
        <f>IF(OR(Data!B43="",Data!#REF!=""),"",IF(ISNUMBER(MATCH(Data!#REF!,Data_Val!$F$1:$F$38,0)),0,1))</f>
        <v>#REF!</v>
      </c>
      <c r="N43" s="9" t="e">
        <f>IF(OR(Data!B43="",Data!#REF!=""),"",IF(Data!#REF!="",1,0))</f>
        <v>#REF!</v>
      </c>
      <c r="O43" s="17" t="e">
        <f>IF(Data!#REF!="","",IF(Data!#REF!="",1,0))</f>
        <v>#REF!</v>
      </c>
      <c r="P43" s="17" t="e">
        <f>IF(Data!#REF!="","",IF(ISNUMBER(MATCH(Data!#REF!,Data_Val!$A$2:$A$3,0)),0,1))</f>
        <v>#REF!</v>
      </c>
      <c r="Q43" s="25" t="e">
        <f ca="1">IF(Data!#REF!="","",IF(ISNUMBER(Data!#REF!),IF(AND(Data!#REF!&gt;(TODAY()-(Data_Val!$J$3*365.25)),Data!#REF!&lt;=(TODAY()-(Data_Val!$J$2*365.25))),0,1),1))</f>
        <v>#REF!</v>
      </c>
      <c r="R43" s="17" t="e">
        <f>IF(Data!#REF!="","",IF(ISNUMBER(MATCH(Data!#REF!,Data_Val!$B$2:$B$15,0)),0,1))</f>
        <v>#REF!</v>
      </c>
      <c r="S43" s="11" t="str">
        <f>IF(Data!G43="","",IF(Data!G43=Data_Val!$C$2,IF(Data!M43="",0,1),0))</f>
        <v/>
      </c>
      <c r="T43" s="11" t="str">
        <f>IF(Data!M43="","",IF(ISNUMBER(MATCH(Data!N43,Data_Val!$A$2:$A$3,0)),0,1))</f>
        <v/>
      </c>
      <c r="U43" s="11" t="str">
        <f ca="1">IF(Data!M43="","",IF(ISNUMBER(Data!O43),IF(AND(Data!O43&gt;(TODAY()-(Data_Val!$K$3*365.25)),Data!O43&lt;=(TODAY()-(Data_Val!$K$2*365.25))),0,1),1))</f>
        <v/>
      </c>
      <c r="V43" s="12" t="str">
        <f>IF(Data!G43="","",IF(Data!G43=Data_Val!$C$2,IF(Data!P43="",0,1),0))</f>
        <v/>
      </c>
      <c r="W43" s="12" t="str">
        <f>IF(Data!P43="","",IF(ISNUMBER(MATCH(Data!Q43,Data_Val!$A$2:$A$3,0)),0,1))</f>
        <v/>
      </c>
      <c r="X43" s="26" t="str">
        <f ca="1">IF(Data!P43="","",IF(ISNUMBER(Data!R43),IF(AND(Data!R43&gt;(TODAY()-(Data_Val!$L$3*365.25)),Data!R43&lt;=(TODAY()-(Data_Val!$L$2*365.25))),0,1),1))</f>
        <v/>
      </c>
      <c r="Y43" s="13" t="str">
        <f>IF(Data!$G43="","",IF(Data!$G43=Data_Val!$C$2,IF(Data!S43="",0,1),0))</f>
        <v/>
      </c>
      <c r="Z43" s="13" t="str">
        <f>IF(Data!S43="","",IF(ISNUMBER(MATCH(Data!T43,Data_Val!$A$2:$A$3,0)),0,1))</f>
        <v/>
      </c>
      <c r="AA43" s="28" t="str">
        <f ca="1">IF(Data!S43="","",IF(ISNUMBER(Data!U43),IF(AND(Data!U43&gt;(TODAY()-(Data_Val!$L$3*365.25)),Data!U43&lt;=(TODAY()-(Data_Val!$L$2*365.25))),0,1),1))</f>
        <v/>
      </c>
      <c r="AB43" s="11"/>
      <c r="AC43" s="11" t="e">
        <f>IF(Data!#REF!="","",IF(ISNUMBER(MATCH(Data!#REF!,Data_Val!$A$2:$A$3,0)),0,1))</f>
        <v>#REF!</v>
      </c>
      <c r="AD43" s="11" t="e">
        <f ca="1">IF(Data!#REF!="","",IF(ISNUMBER(Data!#REF!),IF(AND(Data!#REF!&gt;(TODAY()-(Data_Val!$L$3*365.25)),Data!#REF!&lt;=(TODAY()-(Data_Val!$L$2*365.25))),0,1),1))</f>
        <v>#REF!</v>
      </c>
      <c r="AE43" s="11" t="e">
        <f>IF(Data!#REF!="","",IF(Data!$G43="",1,IF(ISNUMBER(MATCH(Data!#REF!,Data_Val!$D$2:$D$10,0)),0,1)))</f>
        <v>#REF!</v>
      </c>
      <c r="AF43" s="12"/>
      <c r="AG43" s="12" t="e">
        <f>IF(Data!#REF!="","",IF(ISNUMBER(MATCH(Data!#REF!,Data_Val!$A$2:$A$3,0)),0,1))</f>
        <v>#REF!</v>
      </c>
      <c r="AH43" s="26" t="e">
        <f ca="1">IF(Data!#REF!="","",IF(ISNUMBER(Data!#REF!),IF(AND(Data!#REF!&gt;(TODAY()-(Data_Val!$L$3*365.25)),Data!#REF!&lt;=(TODAY()-(Data_Val!$L$2*365.25))),0,1),1))</f>
        <v>#REF!</v>
      </c>
      <c r="AI43" s="12" t="e">
        <f>IF(Data!#REF!="","",IF(Data!$G43="",1,IF(ISNUMBER(MATCH(Data!#REF!,Data_Val!$D$2:$D$10,0)),0,1)))</f>
        <v>#REF!</v>
      </c>
      <c r="AJ43" s="17"/>
      <c r="AK43" s="17" t="e">
        <f>IF(Data!#REF!="","",IF(ISNUMBER(MATCH(Data!#REF!,Data_Val!$A$2:$A$3,0)),0,1))</f>
        <v>#REF!</v>
      </c>
      <c r="AL43" s="25" t="e">
        <f ca="1">IF(Data!#REF!="","",IF(ISNUMBER(Data!#REF!),IF(AND(Data!#REF!&gt;(TODAY()-(Data_Val!$L$3*365.25)),Data!#REF!&lt;=(TODAY()-(Data_Val!$L$2*365.25))),0,1),1))</f>
        <v>#REF!</v>
      </c>
      <c r="AM43" s="17" t="e">
        <f>IF(Data!#REF!="","",IF(Data!$G43="",1,IF(ISNUMBER(MATCH(Data!#REF!,Data_Val!$D$2:$D$10,0)),0,1)))</f>
        <v>#REF!</v>
      </c>
      <c r="AN43" s="13"/>
      <c r="AO43" s="28" t="e">
        <f ca="1">IF(Data!#REF!="","",IF(ISNUMBER(Data!#REF!),IF(AND(Data!#REF!&gt;(TODAY()-(Data_Val!$I$3*365.25)),Data!#REF!&lt;=(TODAY()-(Data_Val!$I$2*365.25))),0,1),1))</f>
        <v>#REF!</v>
      </c>
      <c r="AP43" s="13" t="e">
        <f>IF(Data!#REF!="","",IF(Data!$G43="",1,IF(ISNUMBER(MATCH(Data!#REF!,Data_Val!$D$2:$D$10,0)),0,1)))</f>
        <v>#REF!</v>
      </c>
      <c r="AQ43" s="17"/>
      <c r="AR43" s="30" t="e">
        <f ca="1">IF(Data!#REF!="","",IF(ISNUMBER(Data!#REF!),IF(AND(Data!#REF!&gt;(TODAY()-(Data_Val!$I$3*365.25)),Data!#REF!&lt;=(TODAY()-(Data_Val!$I$2*365.25))),0,1),1))</f>
        <v>#REF!</v>
      </c>
      <c r="AS43" s="31" t="e">
        <f>IF(Data!#REF!="","",IF(Data!$G43="",1,IF(ISNUMBER(MATCH(Data!#REF!,Data_Val!$D$2:$D$10,0)),0,1)))</f>
        <v>#REF!</v>
      </c>
      <c r="AT43" s="11"/>
      <c r="AU43" s="11" t="e">
        <f ca="1">IF(Data!#REF!="","",IF(ISNUMBER(Data!#REF!),IF(AND(Data!#REF!&gt;(TODAY()-(Data_Val!$I$3*365.25)),Data!#REF!&lt;=(TODAY()-(Data_Val!$I$2*365.25))),0,1),1))</f>
        <v>#REF!</v>
      </c>
      <c r="AV43" s="11" t="e">
        <f>IF(Data!#REF!="","",IF(Data!$G43="",1,IF(ISNUMBER(MATCH(Data!#REF!,Data_Val!$D$2:$D$10,0)),0,1)))</f>
        <v>#REF!</v>
      </c>
      <c r="AW43" s="12"/>
      <c r="AX43" s="26" t="e">
        <f ca="1">IF(Data!#REF!="","",IF(ISNUMBER(Data!#REF!),IF(AND(Data!#REF!&gt;(TODAY()-(Data_Val!$I$3*365.25)),Data!#REF!&lt;=(TODAY()-(Data_Val!$I$2*365.25))),0,1),1))</f>
        <v>#REF!</v>
      </c>
      <c r="AY43" s="12" t="e">
        <f>IF(Data!#REF!="","",IF(Data!$G43="",1,IF(ISNUMBER(MATCH(Data!#REF!,Data_Val!$D$2:$D$10,0)),0,1)))</f>
        <v>#REF!</v>
      </c>
      <c r="AZ43" s="11"/>
      <c r="BA43" s="19" t="e">
        <f ca="1">IF(Data!#REF!="","",IF(ISNUMBER(Data!#REF!),IF(AND(Data!#REF!&gt;(TODAY()-(Data_Val!$M$3*365.25)),Data!#REF!&lt;=(TODAY()-(Data_Val!$M$2*365.25))),0,1),1))</f>
        <v>#REF!</v>
      </c>
      <c r="BB43" s="11" t="e">
        <f>IF(Data!#REF!="","",IF(Data!$G43="",1,IF(ISNUMBER(MATCH(Data!#REF!,Data_Val!$D$2:$D$10,0)),0,1)))</f>
        <v>#REF!</v>
      </c>
      <c r="BC43" s="12"/>
      <c r="BD43" s="20" t="e">
        <f ca="1">IF(Data!#REF!="","",IF(ISNUMBER(Data!#REF!),IF(AND(Data!#REF!&gt;(TODAY()-(Data_Val!$M$3*365.25)),Data!#REF!&lt;=(TODAY()-(Data_Val!$M$2*365.25))),0,1),1))</f>
        <v>#REF!</v>
      </c>
      <c r="BE43" s="12" t="e">
        <f>IF(Data!#REF!="","",IF(Data!$G43="",1,IF(ISNUMBER(MATCH(Data!#REF!,Data_Val!$D$2:$D$10,0)),0,1)))</f>
        <v>#REF!</v>
      </c>
      <c r="BF43" s="17"/>
      <c r="BG43" s="18" t="e">
        <f ca="1">IF(Data!#REF!="","",IF(ISNUMBER(Data!#REF!),IF(AND(Data!#REF!&gt;(TODAY()-(Data_Val!$M$3*365.25)),Data!#REF!&lt;=(TODAY()-(Data_Val!$M$2*365.25))),0,1),1))</f>
        <v>#REF!</v>
      </c>
      <c r="BH43" s="29" t="e">
        <f>IF(Data!#REF!="","",IF(Data!$G43="",1,IF(ISNUMBER(MATCH(Data!#REF!,Data_Val!$D$2:$D$10,0)),0,1)))</f>
        <v>#REF!</v>
      </c>
      <c r="BI43" s="13"/>
      <c r="BJ43" s="21" t="e">
        <f ca="1">IF(Data!#REF!="","",IF(ISNUMBER(Data!#REF!),IF(AND(Data!#REF!&gt;(TODAY()-(Data_Val!$M$3*365.25)),Data!#REF!&lt;=(TODAY()-(Data_Val!$M$2*365.25))),0,1),1))</f>
        <v>#REF!</v>
      </c>
      <c r="BK43" s="13" t="e">
        <f>IF(Data!#REF!="","",IF(Data!$G43="",1,IF(ISNUMBER(MATCH(Data!#REF!,Data_Val!$D$2:$D$10,0)),0,1)))</f>
        <v>#REF!</v>
      </c>
    </row>
    <row r="44" spans="1:63" x14ac:dyDescent="0.25">
      <c r="A44" s="9" t="str">
        <f>IF(Data!B44="","",IF(COUNTIFS(Data!A$1:'Data'!A44,Data!A44)&lt;=1,0,1))</f>
        <v/>
      </c>
      <c r="B44" s="9"/>
      <c r="C44" s="23" t="str">
        <f>IF(Data!C44="","",(IF(ISNUMBER(MATCH("*@*.?*",Data!C44,0)),0,1)+IF(COUNTIFS(Data!C$1:'Data'!C44,Data!C44)&gt;1,1,0)))</f>
        <v/>
      </c>
      <c r="D44" s="9" t="str">
        <f>IF(Data!B44="","",IF(ISNUMBER(Data!D44),IF(AND(Data!D44&gt;999999999,Data!D44&lt;=9999999999),IF(COUNTIFS(Data!D$1:'Data'!D44,Data!D44)&lt;=1,0,1),1),1))</f>
        <v/>
      </c>
      <c r="E44" s="9" t="str">
        <f>IF(Data!B44="","",IF(ISNUMBER(MATCH(Data!E44,Data_Val!$A$2:$A$3,0)),0,1))</f>
        <v/>
      </c>
      <c r="F44" s="9" t="str">
        <f ca="1">IF(Data!B44="","",IF(ISNUMBER(Data!F44),IF(AND(Data!F44&gt;(TODAY()-(Data_Val!$H$3*365.25)),Data!F44&lt;=(TODAY()-(Data_Val!$H$2*365.25))),0,1),1))</f>
        <v/>
      </c>
      <c r="G44" s="15" t="str">
        <f>IF(Data!B44="","",IF(AND(Data!G44="",Data!H44&lt;&gt;""),1,IF(Data!#REF!&lt;&gt;"",0,IF(ISNUMBER(MATCH(Data!G44,Data_Val!$C$2:$C$5,0)),0,1))))</f>
        <v/>
      </c>
      <c r="H44" s="15" t="str">
        <f>IF(Data!B44="","",IF(AND(Data!G44&lt;&gt;"",Data!H44=""),1,IF(Data!#REF!&lt;&gt;"",0,IF(Data!G44="",1,IF(ISNUMBER(MATCH(Data!H44,Data_Val!$D$2:$D$35,0)),0,1)))))</f>
        <v/>
      </c>
      <c r="I44" s="15" t="str">
        <f>IF(Data!B44="","",IF(Data!G44&lt;&gt;"",0,IF(ISNUMBER(MATCH(Data!#REF!,Data_Val!$E$2:$E$12,0)),0,1)))</f>
        <v/>
      </c>
      <c r="J44" s="16" t="e">
        <f>IF(OR(Data!B44="",Data!#REF!=""),"",IF(Data!#REF!="",1,0))</f>
        <v>#REF!</v>
      </c>
      <c r="K44" s="16" t="e">
        <f>IF(OR(Data!B44="",Data!#REF!=""),"",IF(Data!#REF!="",1,0))</f>
        <v>#REF!</v>
      </c>
      <c r="L44" s="16" t="e">
        <f>IF(OR(Data!B44="",Data!#REF!=""),"",IF(ISNUMBER(Data!#REF!),IF(AND(Data!#REF!&gt;Data_Val!$G$2,Data!#REF!&lt;=Data_Val!$G$3),0,1),1))</f>
        <v>#REF!</v>
      </c>
      <c r="M44" s="9" t="e">
        <f>IF(OR(Data!B44="",Data!#REF!=""),"",IF(ISNUMBER(MATCH(Data!#REF!,Data_Val!$F$1:$F$38,0)),0,1))</f>
        <v>#REF!</v>
      </c>
      <c r="N44" s="9" t="e">
        <f>IF(OR(Data!B44="",Data!#REF!=""),"",IF(Data!#REF!="",1,0))</f>
        <v>#REF!</v>
      </c>
      <c r="O44" s="17" t="e">
        <f>IF(Data!#REF!="","",IF(Data!#REF!="",1,0))</f>
        <v>#REF!</v>
      </c>
      <c r="P44" s="17" t="e">
        <f>IF(Data!#REF!="","",IF(ISNUMBER(MATCH(Data!#REF!,Data_Val!$A$2:$A$3,0)),0,1))</f>
        <v>#REF!</v>
      </c>
      <c r="Q44" s="25" t="e">
        <f ca="1">IF(Data!#REF!="","",IF(ISNUMBER(Data!#REF!),IF(AND(Data!#REF!&gt;(TODAY()-(Data_Val!$J$3*365.25)),Data!#REF!&lt;=(TODAY()-(Data_Val!$J$2*365.25))),0,1),1))</f>
        <v>#REF!</v>
      </c>
      <c r="R44" s="17" t="e">
        <f>IF(Data!#REF!="","",IF(ISNUMBER(MATCH(Data!#REF!,Data_Val!$B$2:$B$15,0)),0,1))</f>
        <v>#REF!</v>
      </c>
      <c r="S44" s="11" t="str">
        <f>IF(Data!G44="","",IF(Data!G44=Data_Val!$C$2,IF(Data!M44="",0,1),0))</f>
        <v/>
      </c>
      <c r="T44" s="11" t="str">
        <f>IF(Data!M44="","",IF(ISNUMBER(MATCH(Data!N44,Data_Val!$A$2:$A$3,0)),0,1))</f>
        <v/>
      </c>
      <c r="U44" s="11" t="str">
        <f ca="1">IF(Data!M44="","",IF(ISNUMBER(Data!O44),IF(AND(Data!O44&gt;(TODAY()-(Data_Val!$K$3*365.25)),Data!O44&lt;=(TODAY()-(Data_Val!$K$2*365.25))),0,1),1))</f>
        <v/>
      </c>
      <c r="V44" s="12" t="str">
        <f>IF(Data!G44="","",IF(Data!G44=Data_Val!$C$2,IF(Data!P44="",0,1),0))</f>
        <v/>
      </c>
      <c r="W44" s="12" t="str">
        <f>IF(Data!P44="","",IF(ISNUMBER(MATCH(Data!Q44,Data_Val!$A$2:$A$3,0)),0,1))</f>
        <v/>
      </c>
      <c r="X44" s="26" t="str">
        <f ca="1">IF(Data!P44="","",IF(ISNUMBER(Data!R44),IF(AND(Data!R44&gt;(TODAY()-(Data_Val!$L$3*365.25)),Data!R44&lt;=(TODAY()-(Data_Val!$L$2*365.25))),0,1),1))</f>
        <v/>
      </c>
      <c r="Y44" s="13" t="str">
        <f>IF(Data!$G44="","",IF(Data!$G44=Data_Val!$C$2,IF(Data!S44="",0,1),0))</f>
        <v/>
      </c>
      <c r="Z44" s="13" t="str">
        <f>IF(Data!S44="","",IF(ISNUMBER(MATCH(Data!T44,Data_Val!$A$2:$A$3,0)),0,1))</f>
        <v/>
      </c>
      <c r="AA44" s="28" t="str">
        <f ca="1">IF(Data!S44="","",IF(ISNUMBER(Data!U44),IF(AND(Data!U44&gt;(TODAY()-(Data_Val!$L$3*365.25)),Data!U44&lt;=(TODAY()-(Data_Val!$L$2*365.25))),0,1),1))</f>
        <v/>
      </c>
      <c r="AB44" s="11"/>
      <c r="AC44" s="11" t="e">
        <f>IF(Data!#REF!="","",IF(ISNUMBER(MATCH(Data!#REF!,Data_Val!$A$2:$A$3,0)),0,1))</f>
        <v>#REF!</v>
      </c>
      <c r="AD44" s="11" t="e">
        <f ca="1">IF(Data!#REF!="","",IF(ISNUMBER(Data!#REF!),IF(AND(Data!#REF!&gt;(TODAY()-(Data_Val!$L$3*365.25)),Data!#REF!&lt;=(TODAY()-(Data_Val!$L$2*365.25))),0,1),1))</f>
        <v>#REF!</v>
      </c>
      <c r="AE44" s="11" t="e">
        <f>IF(Data!#REF!="","",IF(Data!$G44="",1,IF(ISNUMBER(MATCH(Data!#REF!,Data_Val!$D$2:$D$10,0)),0,1)))</f>
        <v>#REF!</v>
      </c>
      <c r="AF44" s="12"/>
      <c r="AG44" s="12" t="e">
        <f>IF(Data!#REF!="","",IF(ISNUMBER(MATCH(Data!#REF!,Data_Val!$A$2:$A$3,0)),0,1))</f>
        <v>#REF!</v>
      </c>
      <c r="AH44" s="26" t="e">
        <f ca="1">IF(Data!#REF!="","",IF(ISNUMBER(Data!#REF!),IF(AND(Data!#REF!&gt;(TODAY()-(Data_Val!$L$3*365.25)),Data!#REF!&lt;=(TODAY()-(Data_Val!$L$2*365.25))),0,1),1))</f>
        <v>#REF!</v>
      </c>
      <c r="AI44" s="12" t="e">
        <f>IF(Data!#REF!="","",IF(Data!$G44="",1,IF(ISNUMBER(MATCH(Data!#REF!,Data_Val!$D$2:$D$10,0)),0,1)))</f>
        <v>#REF!</v>
      </c>
      <c r="AJ44" s="17"/>
      <c r="AK44" s="17" t="e">
        <f>IF(Data!#REF!="","",IF(ISNUMBER(MATCH(Data!#REF!,Data_Val!$A$2:$A$3,0)),0,1))</f>
        <v>#REF!</v>
      </c>
      <c r="AL44" s="25" t="e">
        <f ca="1">IF(Data!#REF!="","",IF(ISNUMBER(Data!#REF!),IF(AND(Data!#REF!&gt;(TODAY()-(Data_Val!$L$3*365.25)),Data!#REF!&lt;=(TODAY()-(Data_Val!$L$2*365.25))),0,1),1))</f>
        <v>#REF!</v>
      </c>
      <c r="AM44" s="17" t="e">
        <f>IF(Data!#REF!="","",IF(Data!$G44="",1,IF(ISNUMBER(MATCH(Data!#REF!,Data_Val!$D$2:$D$10,0)),0,1)))</f>
        <v>#REF!</v>
      </c>
      <c r="AN44" s="13"/>
      <c r="AO44" s="28" t="e">
        <f ca="1">IF(Data!#REF!="","",IF(ISNUMBER(Data!#REF!),IF(AND(Data!#REF!&gt;(TODAY()-(Data_Val!$I$3*365.25)),Data!#REF!&lt;=(TODAY()-(Data_Val!$I$2*365.25))),0,1),1))</f>
        <v>#REF!</v>
      </c>
      <c r="AP44" s="13" t="e">
        <f>IF(Data!#REF!="","",IF(Data!$G44="",1,IF(ISNUMBER(MATCH(Data!#REF!,Data_Val!$D$2:$D$10,0)),0,1)))</f>
        <v>#REF!</v>
      </c>
      <c r="AQ44" s="17"/>
      <c r="AR44" s="30" t="e">
        <f ca="1">IF(Data!#REF!="","",IF(ISNUMBER(Data!#REF!),IF(AND(Data!#REF!&gt;(TODAY()-(Data_Val!$I$3*365.25)),Data!#REF!&lt;=(TODAY()-(Data_Val!$I$2*365.25))),0,1),1))</f>
        <v>#REF!</v>
      </c>
      <c r="AS44" s="31" t="e">
        <f>IF(Data!#REF!="","",IF(Data!$G44="",1,IF(ISNUMBER(MATCH(Data!#REF!,Data_Val!$D$2:$D$10,0)),0,1)))</f>
        <v>#REF!</v>
      </c>
      <c r="AT44" s="11"/>
      <c r="AU44" s="11" t="e">
        <f ca="1">IF(Data!#REF!="","",IF(ISNUMBER(Data!#REF!),IF(AND(Data!#REF!&gt;(TODAY()-(Data_Val!$I$3*365.25)),Data!#REF!&lt;=(TODAY()-(Data_Val!$I$2*365.25))),0,1),1))</f>
        <v>#REF!</v>
      </c>
      <c r="AV44" s="11" t="e">
        <f>IF(Data!#REF!="","",IF(Data!$G44="",1,IF(ISNUMBER(MATCH(Data!#REF!,Data_Val!$D$2:$D$10,0)),0,1)))</f>
        <v>#REF!</v>
      </c>
      <c r="AW44" s="12"/>
      <c r="AX44" s="26" t="e">
        <f ca="1">IF(Data!#REF!="","",IF(ISNUMBER(Data!#REF!),IF(AND(Data!#REF!&gt;(TODAY()-(Data_Val!$I$3*365.25)),Data!#REF!&lt;=(TODAY()-(Data_Val!$I$2*365.25))),0,1),1))</f>
        <v>#REF!</v>
      </c>
      <c r="AY44" s="12" t="e">
        <f>IF(Data!#REF!="","",IF(Data!$G44="",1,IF(ISNUMBER(MATCH(Data!#REF!,Data_Val!$D$2:$D$10,0)),0,1)))</f>
        <v>#REF!</v>
      </c>
      <c r="AZ44" s="11"/>
      <c r="BA44" s="19" t="e">
        <f ca="1">IF(Data!#REF!="","",IF(ISNUMBER(Data!#REF!),IF(AND(Data!#REF!&gt;(TODAY()-(Data_Val!$M$3*365.25)),Data!#REF!&lt;=(TODAY()-(Data_Val!$M$2*365.25))),0,1),1))</f>
        <v>#REF!</v>
      </c>
      <c r="BB44" s="11" t="e">
        <f>IF(Data!#REF!="","",IF(Data!$G44="",1,IF(ISNUMBER(MATCH(Data!#REF!,Data_Val!$D$2:$D$10,0)),0,1)))</f>
        <v>#REF!</v>
      </c>
      <c r="BC44" s="12"/>
      <c r="BD44" s="20" t="e">
        <f ca="1">IF(Data!#REF!="","",IF(ISNUMBER(Data!#REF!),IF(AND(Data!#REF!&gt;(TODAY()-(Data_Val!$M$3*365.25)),Data!#REF!&lt;=(TODAY()-(Data_Val!$M$2*365.25))),0,1),1))</f>
        <v>#REF!</v>
      </c>
      <c r="BE44" s="12" t="e">
        <f>IF(Data!#REF!="","",IF(Data!$G44="",1,IF(ISNUMBER(MATCH(Data!#REF!,Data_Val!$D$2:$D$10,0)),0,1)))</f>
        <v>#REF!</v>
      </c>
      <c r="BF44" s="17"/>
      <c r="BG44" s="18" t="e">
        <f ca="1">IF(Data!#REF!="","",IF(ISNUMBER(Data!#REF!),IF(AND(Data!#REF!&gt;(TODAY()-(Data_Val!$M$3*365.25)),Data!#REF!&lt;=(TODAY()-(Data_Val!$M$2*365.25))),0,1),1))</f>
        <v>#REF!</v>
      </c>
      <c r="BH44" s="29" t="e">
        <f>IF(Data!#REF!="","",IF(Data!$G44="",1,IF(ISNUMBER(MATCH(Data!#REF!,Data_Val!$D$2:$D$10,0)),0,1)))</f>
        <v>#REF!</v>
      </c>
      <c r="BI44" s="13"/>
      <c r="BJ44" s="21" t="e">
        <f ca="1">IF(Data!#REF!="","",IF(ISNUMBER(Data!#REF!),IF(AND(Data!#REF!&gt;(TODAY()-(Data_Val!$M$3*365.25)),Data!#REF!&lt;=(TODAY()-(Data_Val!$M$2*365.25))),0,1),1))</f>
        <v>#REF!</v>
      </c>
      <c r="BK44" s="13" t="e">
        <f>IF(Data!#REF!="","",IF(Data!$G44="",1,IF(ISNUMBER(MATCH(Data!#REF!,Data_Val!$D$2:$D$10,0)),0,1)))</f>
        <v>#REF!</v>
      </c>
    </row>
    <row r="45" spans="1:63" x14ac:dyDescent="0.25">
      <c r="A45" s="9" t="str">
        <f>IF(Data!B45="","",IF(COUNTIFS(Data!A$1:'Data'!A45,Data!A45)&lt;=1,0,1))</f>
        <v/>
      </c>
      <c r="B45" s="9"/>
      <c r="C45" s="23" t="str">
        <f>IF(Data!C45="","",(IF(ISNUMBER(MATCH("*@*.?*",Data!C45,0)),0,1)+IF(COUNTIFS(Data!C$1:'Data'!C45,Data!C45)&gt;1,1,0)))</f>
        <v/>
      </c>
      <c r="D45" s="9" t="str">
        <f>IF(Data!B45="","",IF(ISNUMBER(Data!D45),IF(AND(Data!D45&gt;999999999,Data!D45&lt;=9999999999),IF(COUNTIFS(Data!D$1:'Data'!D45,Data!D45)&lt;=1,0,1),1),1))</f>
        <v/>
      </c>
      <c r="E45" s="9" t="str">
        <f>IF(Data!B45="","",IF(ISNUMBER(MATCH(Data!E45,Data_Val!$A$2:$A$3,0)),0,1))</f>
        <v/>
      </c>
      <c r="F45" s="9" t="str">
        <f ca="1">IF(Data!B45="","",IF(ISNUMBER(Data!F45),IF(AND(Data!F45&gt;(TODAY()-(Data_Val!$H$3*365.25)),Data!F45&lt;=(TODAY()-(Data_Val!$H$2*365.25))),0,1),1))</f>
        <v/>
      </c>
      <c r="G45" s="15" t="str">
        <f>IF(Data!B45="","",IF(AND(Data!G45="",Data!H45&lt;&gt;""),1,IF(Data!#REF!&lt;&gt;"",0,IF(ISNUMBER(MATCH(Data!G45,Data_Val!$C$2:$C$5,0)),0,1))))</f>
        <v/>
      </c>
      <c r="H45" s="15" t="str">
        <f>IF(Data!B45="","",IF(AND(Data!G45&lt;&gt;"",Data!H45=""),1,IF(Data!#REF!&lt;&gt;"",0,IF(Data!G45="",1,IF(ISNUMBER(MATCH(Data!H45,Data_Val!$D$2:$D$35,0)),0,1)))))</f>
        <v/>
      </c>
      <c r="I45" s="15" t="str">
        <f>IF(Data!B45="","",IF(Data!G45&lt;&gt;"",0,IF(ISNUMBER(MATCH(Data!#REF!,Data_Val!$E$2:$E$12,0)),0,1)))</f>
        <v/>
      </c>
      <c r="J45" s="16" t="e">
        <f>IF(OR(Data!B45="",Data!#REF!=""),"",IF(Data!#REF!="",1,0))</f>
        <v>#REF!</v>
      </c>
      <c r="K45" s="16" t="e">
        <f>IF(OR(Data!B45="",Data!#REF!=""),"",IF(Data!#REF!="",1,0))</f>
        <v>#REF!</v>
      </c>
      <c r="L45" s="16" t="e">
        <f>IF(OR(Data!B45="",Data!#REF!=""),"",IF(ISNUMBER(Data!#REF!),IF(AND(Data!#REF!&gt;Data_Val!$G$2,Data!#REF!&lt;=Data_Val!$G$3),0,1),1))</f>
        <v>#REF!</v>
      </c>
      <c r="M45" s="9" t="e">
        <f>IF(OR(Data!B45="",Data!#REF!=""),"",IF(ISNUMBER(MATCH(Data!#REF!,Data_Val!$F$1:$F$38,0)),0,1))</f>
        <v>#REF!</v>
      </c>
      <c r="N45" s="9" t="e">
        <f>IF(OR(Data!B45="",Data!#REF!=""),"",IF(Data!#REF!="",1,0))</f>
        <v>#REF!</v>
      </c>
      <c r="O45" s="17" t="e">
        <f>IF(Data!#REF!="","",IF(Data!#REF!="",1,0))</f>
        <v>#REF!</v>
      </c>
      <c r="P45" s="17" t="e">
        <f>IF(Data!#REF!="","",IF(ISNUMBER(MATCH(Data!#REF!,Data_Val!$A$2:$A$3,0)),0,1))</f>
        <v>#REF!</v>
      </c>
      <c r="Q45" s="25" t="e">
        <f ca="1">IF(Data!#REF!="","",IF(ISNUMBER(Data!#REF!),IF(AND(Data!#REF!&gt;(TODAY()-(Data_Val!$J$3*365.25)),Data!#REF!&lt;=(TODAY()-(Data_Val!$J$2*365.25))),0,1),1))</f>
        <v>#REF!</v>
      </c>
      <c r="R45" s="17" t="e">
        <f>IF(Data!#REF!="","",IF(ISNUMBER(MATCH(Data!#REF!,Data_Val!$B$2:$B$15,0)),0,1))</f>
        <v>#REF!</v>
      </c>
      <c r="S45" s="11" t="str">
        <f>IF(Data!G45="","",IF(Data!G45=Data_Val!$C$2,IF(Data!M45="",0,1),0))</f>
        <v/>
      </c>
      <c r="T45" s="11" t="str">
        <f>IF(Data!M45="","",IF(ISNUMBER(MATCH(Data!N45,Data_Val!$A$2:$A$3,0)),0,1))</f>
        <v/>
      </c>
      <c r="U45" s="11" t="str">
        <f ca="1">IF(Data!M45="","",IF(ISNUMBER(Data!O45),IF(AND(Data!O45&gt;(TODAY()-(Data_Val!$K$3*365.25)),Data!O45&lt;=(TODAY()-(Data_Val!$K$2*365.25))),0,1),1))</f>
        <v/>
      </c>
      <c r="V45" s="12" t="str">
        <f>IF(Data!G45="","",IF(Data!G45=Data_Val!$C$2,IF(Data!P45="",0,1),0))</f>
        <v/>
      </c>
      <c r="W45" s="12" t="str">
        <f>IF(Data!P45="","",IF(ISNUMBER(MATCH(Data!Q45,Data_Val!$A$2:$A$3,0)),0,1))</f>
        <v/>
      </c>
      <c r="X45" s="26" t="str">
        <f ca="1">IF(Data!P45="","",IF(ISNUMBER(Data!R45),IF(AND(Data!R45&gt;(TODAY()-(Data_Val!$L$3*365.25)),Data!R45&lt;=(TODAY()-(Data_Val!$L$2*365.25))),0,1),1))</f>
        <v/>
      </c>
      <c r="Y45" s="13" t="str">
        <f>IF(Data!$G45="","",IF(Data!$G45=Data_Val!$C$2,IF(Data!S45="",0,1),0))</f>
        <v/>
      </c>
      <c r="Z45" s="13" t="str">
        <f>IF(Data!S45="","",IF(ISNUMBER(MATCH(Data!T45,Data_Val!$A$2:$A$3,0)),0,1))</f>
        <v/>
      </c>
      <c r="AA45" s="28" t="str">
        <f ca="1">IF(Data!S45="","",IF(ISNUMBER(Data!U45),IF(AND(Data!U45&gt;(TODAY()-(Data_Val!$L$3*365.25)),Data!U45&lt;=(TODAY()-(Data_Val!$L$2*365.25))),0,1),1))</f>
        <v/>
      </c>
      <c r="AB45" s="11"/>
      <c r="AC45" s="11" t="e">
        <f>IF(Data!#REF!="","",IF(ISNUMBER(MATCH(Data!#REF!,Data_Val!$A$2:$A$3,0)),0,1))</f>
        <v>#REF!</v>
      </c>
      <c r="AD45" s="11" t="e">
        <f ca="1">IF(Data!#REF!="","",IF(ISNUMBER(Data!#REF!),IF(AND(Data!#REF!&gt;(TODAY()-(Data_Val!$L$3*365.25)),Data!#REF!&lt;=(TODAY()-(Data_Val!$L$2*365.25))),0,1),1))</f>
        <v>#REF!</v>
      </c>
      <c r="AE45" s="11" t="e">
        <f>IF(Data!#REF!="","",IF(Data!$G45="",1,IF(ISNUMBER(MATCH(Data!#REF!,Data_Val!$D$2:$D$10,0)),0,1)))</f>
        <v>#REF!</v>
      </c>
      <c r="AF45" s="12"/>
      <c r="AG45" s="12" t="e">
        <f>IF(Data!#REF!="","",IF(ISNUMBER(MATCH(Data!#REF!,Data_Val!$A$2:$A$3,0)),0,1))</f>
        <v>#REF!</v>
      </c>
      <c r="AH45" s="26" t="e">
        <f ca="1">IF(Data!#REF!="","",IF(ISNUMBER(Data!#REF!),IF(AND(Data!#REF!&gt;(TODAY()-(Data_Val!$L$3*365.25)),Data!#REF!&lt;=(TODAY()-(Data_Val!$L$2*365.25))),0,1),1))</f>
        <v>#REF!</v>
      </c>
      <c r="AI45" s="12" t="e">
        <f>IF(Data!#REF!="","",IF(Data!$G45="",1,IF(ISNUMBER(MATCH(Data!#REF!,Data_Val!$D$2:$D$10,0)),0,1)))</f>
        <v>#REF!</v>
      </c>
      <c r="AJ45" s="17"/>
      <c r="AK45" s="17" t="e">
        <f>IF(Data!#REF!="","",IF(ISNUMBER(MATCH(Data!#REF!,Data_Val!$A$2:$A$3,0)),0,1))</f>
        <v>#REF!</v>
      </c>
      <c r="AL45" s="25" t="e">
        <f ca="1">IF(Data!#REF!="","",IF(ISNUMBER(Data!#REF!),IF(AND(Data!#REF!&gt;(TODAY()-(Data_Val!$L$3*365.25)),Data!#REF!&lt;=(TODAY()-(Data_Val!$L$2*365.25))),0,1),1))</f>
        <v>#REF!</v>
      </c>
      <c r="AM45" s="17" t="e">
        <f>IF(Data!#REF!="","",IF(Data!$G45="",1,IF(ISNUMBER(MATCH(Data!#REF!,Data_Val!$D$2:$D$10,0)),0,1)))</f>
        <v>#REF!</v>
      </c>
      <c r="AN45" s="13"/>
      <c r="AO45" s="28" t="e">
        <f ca="1">IF(Data!#REF!="","",IF(ISNUMBER(Data!#REF!),IF(AND(Data!#REF!&gt;(TODAY()-(Data_Val!$I$3*365.25)),Data!#REF!&lt;=(TODAY()-(Data_Val!$I$2*365.25))),0,1),1))</f>
        <v>#REF!</v>
      </c>
      <c r="AP45" s="13" t="e">
        <f>IF(Data!#REF!="","",IF(Data!$G45="",1,IF(ISNUMBER(MATCH(Data!#REF!,Data_Val!$D$2:$D$10,0)),0,1)))</f>
        <v>#REF!</v>
      </c>
      <c r="AQ45" s="17"/>
      <c r="AR45" s="30" t="e">
        <f ca="1">IF(Data!#REF!="","",IF(ISNUMBER(Data!#REF!),IF(AND(Data!#REF!&gt;(TODAY()-(Data_Val!$I$3*365.25)),Data!#REF!&lt;=(TODAY()-(Data_Val!$I$2*365.25))),0,1),1))</f>
        <v>#REF!</v>
      </c>
      <c r="AS45" s="31" t="e">
        <f>IF(Data!#REF!="","",IF(Data!$G45="",1,IF(ISNUMBER(MATCH(Data!#REF!,Data_Val!$D$2:$D$10,0)),0,1)))</f>
        <v>#REF!</v>
      </c>
      <c r="AT45" s="11"/>
      <c r="AU45" s="11" t="e">
        <f ca="1">IF(Data!#REF!="","",IF(ISNUMBER(Data!#REF!),IF(AND(Data!#REF!&gt;(TODAY()-(Data_Val!$I$3*365.25)),Data!#REF!&lt;=(TODAY()-(Data_Val!$I$2*365.25))),0,1),1))</f>
        <v>#REF!</v>
      </c>
      <c r="AV45" s="11" t="e">
        <f>IF(Data!#REF!="","",IF(Data!$G45="",1,IF(ISNUMBER(MATCH(Data!#REF!,Data_Val!$D$2:$D$10,0)),0,1)))</f>
        <v>#REF!</v>
      </c>
      <c r="AW45" s="12"/>
      <c r="AX45" s="26" t="e">
        <f ca="1">IF(Data!#REF!="","",IF(ISNUMBER(Data!#REF!),IF(AND(Data!#REF!&gt;(TODAY()-(Data_Val!$I$3*365.25)),Data!#REF!&lt;=(TODAY()-(Data_Val!$I$2*365.25))),0,1),1))</f>
        <v>#REF!</v>
      </c>
      <c r="AY45" s="12" t="e">
        <f>IF(Data!#REF!="","",IF(Data!$G45="",1,IF(ISNUMBER(MATCH(Data!#REF!,Data_Val!$D$2:$D$10,0)),0,1)))</f>
        <v>#REF!</v>
      </c>
      <c r="AZ45" s="11"/>
      <c r="BA45" s="19" t="e">
        <f ca="1">IF(Data!#REF!="","",IF(ISNUMBER(Data!#REF!),IF(AND(Data!#REF!&gt;(TODAY()-(Data_Val!$M$3*365.25)),Data!#REF!&lt;=(TODAY()-(Data_Val!$M$2*365.25))),0,1),1))</f>
        <v>#REF!</v>
      </c>
      <c r="BB45" s="11" t="e">
        <f>IF(Data!#REF!="","",IF(Data!$G45="",1,IF(ISNUMBER(MATCH(Data!#REF!,Data_Val!$D$2:$D$10,0)),0,1)))</f>
        <v>#REF!</v>
      </c>
      <c r="BC45" s="12"/>
      <c r="BD45" s="20" t="e">
        <f ca="1">IF(Data!#REF!="","",IF(ISNUMBER(Data!#REF!),IF(AND(Data!#REF!&gt;(TODAY()-(Data_Val!$M$3*365.25)),Data!#REF!&lt;=(TODAY()-(Data_Val!$M$2*365.25))),0,1),1))</f>
        <v>#REF!</v>
      </c>
      <c r="BE45" s="12" t="e">
        <f>IF(Data!#REF!="","",IF(Data!$G45="",1,IF(ISNUMBER(MATCH(Data!#REF!,Data_Val!$D$2:$D$10,0)),0,1)))</f>
        <v>#REF!</v>
      </c>
      <c r="BF45" s="17"/>
      <c r="BG45" s="18" t="e">
        <f ca="1">IF(Data!#REF!="","",IF(ISNUMBER(Data!#REF!),IF(AND(Data!#REF!&gt;(TODAY()-(Data_Val!$M$3*365.25)),Data!#REF!&lt;=(TODAY()-(Data_Val!$M$2*365.25))),0,1),1))</f>
        <v>#REF!</v>
      </c>
      <c r="BH45" s="29" t="e">
        <f>IF(Data!#REF!="","",IF(Data!$G45="",1,IF(ISNUMBER(MATCH(Data!#REF!,Data_Val!$D$2:$D$10,0)),0,1)))</f>
        <v>#REF!</v>
      </c>
      <c r="BI45" s="13"/>
      <c r="BJ45" s="21" t="e">
        <f ca="1">IF(Data!#REF!="","",IF(ISNUMBER(Data!#REF!),IF(AND(Data!#REF!&gt;(TODAY()-(Data_Val!$M$3*365.25)),Data!#REF!&lt;=(TODAY()-(Data_Val!$M$2*365.25))),0,1),1))</f>
        <v>#REF!</v>
      </c>
      <c r="BK45" s="13" t="e">
        <f>IF(Data!#REF!="","",IF(Data!$G45="",1,IF(ISNUMBER(MATCH(Data!#REF!,Data_Val!$D$2:$D$10,0)),0,1)))</f>
        <v>#REF!</v>
      </c>
    </row>
    <row r="46" spans="1:63" x14ac:dyDescent="0.25">
      <c r="A46" s="9" t="str">
        <f>IF(Data!B46="","",IF(COUNTIFS(Data!A$1:'Data'!A46,Data!A46)&lt;=1,0,1))</f>
        <v/>
      </c>
      <c r="B46" s="9"/>
      <c r="C46" s="23" t="str">
        <f>IF(Data!C46="","",(IF(ISNUMBER(MATCH("*@*.?*",Data!C46,0)),0,1)+IF(COUNTIFS(Data!C$1:'Data'!C46,Data!C46)&gt;1,1,0)))</f>
        <v/>
      </c>
      <c r="D46" s="9" t="str">
        <f>IF(Data!B46="","",IF(ISNUMBER(Data!D46),IF(AND(Data!D46&gt;999999999,Data!D46&lt;=9999999999),IF(COUNTIFS(Data!D$1:'Data'!D46,Data!D46)&lt;=1,0,1),1),1))</f>
        <v/>
      </c>
      <c r="E46" s="9" t="str">
        <f>IF(Data!B46="","",IF(ISNUMBER(MATCH(Data!E46,Data_Val!$A$2:$A$3,0)),0,1))</f>
        <v/>
      </c>
      <c r="F46" s="9" t="str">
        <f ca="1">IF(Data!B46="","",IF(ISNUMBER(Data!F46),IF(AND(Data!F46&gt;(TODAY()-(Data_Val!$H$3*365.25)),Data!F46&lt;=(TODAY()-(Data_Val!$H$2*365.25))),0,1),1))</f>
        <v/>
      </c>
      <c r="G46" s="15" t="str">
        <f>IF(Data!B46="","",IF(AND(Data!G46="",Data!H46&lt;&gt;""),1,IF(Data!#REF!&lt;&gt;"",0,IF(ISNUMBER(MATCH(Data!G46,Data_Val!$C$2:$C$5,0)),0,1))))</f>
        <v/>
      </c>
      <c r="H46" s="15" t="str">
        <f>IF(Data!B46="","",IF(AND(Data!G46&lt;&gt;"",Data!H46=""),1,IF(Data!#REF!&lt;&gt;"",0,IF(Data!G46="",1,IF(ISNUMBER(MATCH(Data!H46,Data_Val!$D$2:$D$35,0)),0,1)))))</f>
        <v/>
      </c>
      <c r="I46" s="15" t="str">
        <f>IF(Data!B46="","",IF(Data!G46&lt;&gt;"",0,IF(ISNUMBER(MATCH(Data!#REF!,Data_Val!$E$2:$E$12,0)),0,1)))</f>
        <v/>
      </c>
      <c r="J46" s="16" t="e">
        <f>IF(OR(Data!B46="",Data!#REF!=""),"",IF(Data!#REF!="",1,0))</f>
        <v>#REF!</v>
      </c>
      <c r="K46" s="16" t="e">
        <f>IF(OR(Data!B46="",Data!#REF!=""),"",IF(Data!#REF!="",1,0))</f>
        <v>#REF!</v>
      </c>
      <c r="L46" s="16" t="e">
        <f>IF(OR(Data!B46="",Data!#REF!=""),"",IF(ISNUMBER(Data!#REF!),IF(AND(Data!#REF!&gt;Data_Val!$G$2,Data!#REF!&lt;=Data_Val!$G$3),0,1),1))</f>
        <v>#REF!</v>
      </c>
      <c r="M46" s="9" t="e">
        <f>IF(OR(Data!B46="",Data!#REF!=""),"",IF(ISNUMBER(MATCH(Data!#REF!,Data_Val!$F$1:$F$38,0)),0,1))</f>
        <v>#REF!</v>
      </c>
      <c r="N46" s="9" t="e">
        <f>IF(OR(Data!B46="",Data!#REF!=""),"",IF(Data!#REF!="",1,0))</f>
        <v>#REF!</v>
      </c>
      <c r="O46" s="17" t="e">
        <f>IF(Data!#REF!="","",IF(Data!#REF!="",1,0))</f>
        <v>#REF!</v>
      </c>
      <c r="P46" s="17" t="e">
        <f>IF(Data!#REF!="","",IF(ISNUMBER(MATCH(Data!#REF!,Data_Val!$A$2:$A$3,0)),0,1))</f>
        <v>#REF!</v>
      </c>
      <c r="Q46" s="25" t="e">
        <f ca="1">IF(Data!#REF!="","",IF(ISNUMBER(Data!#REF!),IF(AND(Data!#REF!&gt;(TODAY()-(Data_Val!$J$3*365.25)),Data!#REF!&lt;=(TODAY()-(Data_Val!$J$2*365.25))),0,1),1))</f>
        <v>#REF!</v>
      </c>
      <c r="R46" s="17" t="e">
        <f>IF(Data!#REF!="","",IF(ISNUMBER(MATCH(Data!#REF!,Data_Val!$B$2:$B$15,0)),0,1))</f>
        <v>#REF!</v>
      </c>
      <c r="S46" s="11" t="str">
        <f>IF(Data!G46="","",IF(Data!G46=Data_Val!$C$2,IF(Data!M46="",0,1),0))</f>
        <v/>
      </c>
      <c r="T46" s="11" t="str">
        <f>IF(Data!M46="","",IF(ISNUMBER(MATCH(Data!N46,Data_Val!$A$2:$A$3,0)),0,1))</f>
        <v/>
      </c>
      <c r="U46" s="11" t="str">
        <f ca="1">IF(Data!M46="","",IF(ISNUMBER(Data!O46),IF(AND(Data!O46&gt;(TODAY()-(Data_Val!$K$3*365.25)),Data!O46&lt;=(TODAY()-(Data_Val!$K$2*365.25))),0,1),1))</f>
        <v/>
      </c>
      <c r="V46" s="12" t="str">
        <f>IF(Data!G46="","",IF(Data!G46=Data_Val!$C$2,IF(Data!P46="",0,1),0))</f>
        <v/>
      </c>
      <c r="W46" s="12" t="str">
        <f>IF(Data!P46="","",IF(ISNUMBER(MATCH(Data!Q46,Data_Val!$A$2:$A$3,0)),0,1))</f>
        <v/>
      </c>
      <c r="X46" s="26" t="str">
        <f ca="1">IF(Data!P46="","",IF(ISNUMBER(Data!R46),IF(AND(Data!R46&gt;(TODAY()-(Data_Val!$L$3*365.25)),Data!R46&lt;=(TODAY()-(Data_Val!$L$2*365.25))),0,1),1))</f>
        <v/>
      </c>
      <c r="Y46" s="13" t="str">
        <f>IF(Data!$G46="","",IF(Data!$G46=Data_Val!$C$2,IF(Data!S46="",0,1),0))</f>
        <v/>
      </c>
      <c r="Z46" s="13" t="str">
        <f>IF(Data!S46="","",IF(ISNUMBER(MATCH(Data!T46,Data_Val!$A$2:$A$3,0)),0,1))</f>
        <v/>
      </c>
      <c r="AA46" s="28" t="str">
        <f ca="1">IF(Data!S46="","",IF(ISNUMBER(Data!U46),IF(AND(Data!U46&gt;(TODAY()-(Data_Val!$L$3*365.25)),Data!U46&lt;=(TODAY()-(Data_Val!$L$2*365.25))),0,1),1))</f>
        <v/>
      </c>
      <c r="AB46" s="11"/>
      <c r="AC46" s="11" t="e">
        <f>IF(Data!#REF!="","",IF(ISNUMBER(MATCH(Data!#REF!,Data_Val!$A$2:$A$3,0)),0,1))</f>
        <v>#REF!</v>
      </c>
      <c r="AD46" s="11" t="e">
        <f ca="1">IF(Data!#REF!="","",IF(ISNUMBER(Data!#REF!),IF(AND(Data!#REF!&gt;(TODAY()-(Data_Val!$L$3*365.25)),Data!#REF!&lt;=(TODAY()-(Data_Val!$L$2*365.25))),0,1),1))</f>
        <v>#REF!</v>
      </c>
      <c r="AE46" s="11" t="e">
        <f>IF(Data!#REF!="","",IF(Data!$G46="",1,IF(ISNUMBER(MATCH(Data!#REF!,Data_Val!$D$2:$D$10,0)),0,1)))</f>
        <v>#REF!</v>
      </c>
      <c r="AF46" s="12"/>
      <c r="AG46" s="12" t="e">
        <f>IF(Data!#REF!="","",IF(ISNUMBER(MATCH(Data!#REF!,Data_Val!$A$2:$A$3,0)),0,1))</f>
        <v>#REF!</v>
      </c>
      <c r="AH46" s="26" t="e">
        <f ca="1">IF(Data!#REF!="","",IF(ISNUMBER(Data!#REF!),IF(AND(Data!#REF!&gt;(TODAY()-(Data_Val!$L$3*365.25)),Data!#REF!&lt;=(TODAY()-(Data_Val!$L$2*365.25))),0,1),1))</f>
        <v>#REF!</v>
      </c>
      <c r="AI46" s="12" t="e">
        <f>IF(Data!#REF!="","",IF(Data!$G46="",1,IF(ISNUMBER(MATCH(Data!#REF!,Data_Val!$D$2:$D$10,0)),0,1)))</f>
        <v>#REF!</v>
      </c>
      <c r="AJ46" s="17"/>
      <c r="AK46" s="17" t="e">
        <f>IF(Data!#REF!="","",IF(ISNUMBER(MATCH(Data!#REF!,Data_Val!$A$2:$A$3,0)),0,1))</f>
        <v>#REF!</v>
      </c>
      <c r="AL46" s="25" t="e">
        <f ca="1">IF(Data!#REF!="","",IF(ISNUMBER(Data!#REF!),IF(AND(Data!#REF!&gt;(TODAY()-(Data_Val!$L$3*365.25)),Data!#REF!&lt;=(TODAY()-(Data_Val!$L$2*365.25))),0,1),1))</f>
        <v>#REF!</v>
      </c>
      <c r="AM46" s="17" t="e">
        <f>IF(Data!#REF!="","",IF(Data!$G46="",1,IF(ISNUMBER(MATCH(Data!#REF!,Data_Val!$D$2:$D$10,0)),0,1)))</f>
        <v>#REF!</v>
      </c>
      <c r="AN46" s="13"/>
      <c r="AO46" s="28" t="e">
        <f ca="1">IF(Data!#REF!="","",IF(ISNUMBER(Data!#REF!),IF(AND(Data!#REF!&gt;(TODAY()-(Data_Val!$I$3*365.25)),Data!#REF!&lt;=(TODAY()-(Data_Val!$I$2*365.25))),0,1),1))</f>
        <v>#REF!</v>
      </c>
      <c r="AP46" s="13" t="e">
        <f>IF(Data!#REF!="","",IF(Data!$G46="",1,IF(ISNUMBER(MATCH(Data!#REF!,Data_Val!$D$2:$D$10,0)),0,1)))</f>
        <v>#REF!</v>
      </c>
      <c r="AQ46" s="17"/>
      <c r="AR46" s="30" t="e">
        <f ca="1">IF(Data!#REF!="","",IF(ISNUMBER(Data!#REF!),IF(AND(Data!#REF!&gt;(TODAY()-(Data_Val!$I$3*365.25)),Data!#REF!&lt;=(TODAY()-(Data_Val!$I$2*365.25))),0,1),1))</f>
        <v>#REF!</v>
      </c>
      <c r="AS46" s="31" t="e">
        <f>IF(Data!#REF!="","",IF(Data!$G46="",1,IF(ISNUMBER(MATCH(Data!#REF!,Data_Val!$D$2:$D$10,0)),0,1)))</f>
        <v>#REF!</v>
      </c>
      <c r="AT46" s="11"/>
      <c r="AU46" s="11" t="e">
        <f ca="1">IF(Data!#REF!="","",IF(ISNUMBER(Data!#REF!),IF(AND(Data!#REF!&gt;(TODAY()-(Data_Val!$I$3*365.25)),Data!#REF!&lt;=(TODAY()-(Data_Val!$I$2*365.25))),0,1),1))</f>
        <v>#REF!</v>
      </c>
      <c r="AV46" s="11" t="e">
        <f>IF(Data!#REF!="","",IF(Data!$G46="",1,IF(ISNUMBER(MATCH(Data!#REF!,Data_Val!$D$2:$D$10,0)),0,1)))</f>
        <v>#REF!</v>
      </c>
      <c r="AW46" s="12"/>
      <c r="AX46" s="26" t="e">
        <f ca="1">IF(Data!#REF!="","",IF(ISNUMBER(Data!#REF!),IF(AND(Data!#REF!&gt;(TODAY()-(Data_Val!$I$3*365.25)),Data!#REF!&lt;=(TODAY()-(Data_Val!$I$2*365.25))),0,1),1))</f>
        <v>#REF!</v>
      </c>
      <c r="AY46" s="12" t="e">
        <f>IF(Data!#REF!="","",IF(Data!$G46="",1,IF(ISNUMBER(MATCH(Data!#REF!,Data_Val!$D$2:$D$10,0)),0,1)))</f>
        <v>#REF!</v>
      </c>
      <c r="AZ46" s="11"/>
      <c r="BA46" s="19" t="e">
        <f ca="1">IF(Data!#REF!="","",IF(ISNUMBER(Data!#REF!),IF(AND(Data!#REF!&gt;(TODAY()-(Data_Val!$M$3*365.25)),Data!#REF!&lt;=(TODAY()-(Data_Val!$M$2*365.25))),0,1),1))</f>
        <v>#REF!</v>
      </c>
      <c r="BB46" s="11" t="e">
        <f>IF(Data!#REF!="","",IF(Data!$G46="",1,IF(ISNUMBER(MATCH(Data!#REF!,Data_Val!$D$2:$D$10,0)),0,1)))</f>
        <v>#REF!</v>
      </c>
      <c r="BC46" s="12"/>
      <c r="BD46" s="20" t="e">
        <f ca="1">IF(Data!#REF!="","",IF(ISNUMBER(Data!#REF!),IF(AND(Data!#REF!&gt;(TODAY()-(Data_Val!$M$3*365.25)),Data!#REF!&lt;=(TODAY()-(Data_Val!$M$2*365.25))),0,1),1))</f>
        <v>#REF!</v>
      </c>
      <c r="BE46" s="12" t="e">
        <f>IF(Data!#REF!="","",IF(Data!$G46="",1,IF(ISNUMBER(MATCH(Data!#REF!,Data_Val!$D$2:$D$10,0)),0,1)))</f>
        <v>#REF!</v>
      </c>
      <c r="BF46" s="17"/>
      <c r="BG46" s="18" t="e">
        <f ca="1">IF(Data!#REF!="","",IF(ISNUMBER(Data!#REF!),IF(AND(Data!#REF!&gt;(TODAY()-(Data_Val!$M$3*365.25)),Data!#REF!&lt;=(TODAY()-(Data_Val!$M$2*365.25))),0,1),1))</f>
        <v>#REF!</v>
      </c>
      <c r="BH46" s="29" t="e">
        <f>IF(Data!#REF!="","",IF(Data!$G46="",1,IF(ISNUMBER(MATCH(Data!#REF!,Data_Val!$D$2:$D$10,0)),0,1)))</f>
        <v>#REF!</v>
      </c>
      <c r="BI46" s="13"/>
      <c r="BJ46" s="21" t="e">
        <f ca="1">IF(Data!#REF!="","",IF(ISNUMBER(Data!#REF!),IF(AND(Data!#REF!&gt;(TODAY()-(Data_Val!$M$3*365.25)),Data!#REF!&lt;=(TODAY()-(Data_Val!$M$2*365.25))),0,1),1))</f>
        <v>#REF!</v>
      </c>
      <c r="BK46" s="13" t="e">
        <f>IF(Data!#REF!="","",IF(Data!$G46="",1,IF(ISNUMBER(MATCH(Data!#REF!,Data_Val!$D$2:$D$10,0)),0,1)))</f>
        <v>#REF!</v>
      </c>
    </row>
    <row r="47" spans="1:63" x14ac:dyDescent="0.25">
      <c r="A47" s="9" t="str">
        <f>IF(Data!B47="","",IF(COUNTIFS(Data!A$1:'Data'!A47,Data!A47)&lt;=1,0,1))</f>
        <v/>
      </c>
      <c r="B47" s="9"/>
      <c r="C47" s="23" t="str">
        <f>IF(Data!C47="","",(IF(ISNUMBER(MATCH("*@*.?*",Data!C47,0)),0,1)+IF(COUNTIFS(Data!C$1:'Data'!C47,Data!C47)&gt;1,1,0)))</f>
        <v/>
      </c>
      <c r="D47" s="9" t="str">
        <f>IF(Data!B47="","",IF(ISNUMBER(Data!D47),IF(AND(Data!D47&gt;999999999,Data!D47&lt;=9999999999),IF(COUNTIFS(Data!D$1:'Data'!D47,Data!D47)&lt;=1,0,1),1),1))</f>
        <v/>
      </c>
      <c r="E47" s="9" t="str">
        <f>IF(Data!B47="","",IF(ISNUMBER(MATCH(Data!E47,Data_Val!$A$2:$A$3,0)),0,1))</f>
        <v/>
      </c>
      <c r="F47" s="9" t="str">
        <f ca="1">IF(Data!B47="","",IF(ISNUMBER(Data!F47),IF(AND(Data!F47&gt;(TODAY()-(Data_Val!$H$3*365.25)),Data!F47&lt;=(TODAY()-(Data_Val!$H$2*365.25))),0,1),1))</f>
        <v/>
      </c>
      <c r="G47" s="15" t="str">
        <f>IF(Data!B47="","",IF(AND(Data!G47="",Data!H47&lt;&gt;""),1,IF(Data!#REF!&lt;&gt;"",0,IF(ISNUMBER(MATCH(Data!G47,Data_Val!$C$2:$C$5,0)),0,1))))</f>
        <v/>
      </c>
      <c r="H47" s="15" t="str">
        <f>IF(Data!B47="","",IF(AND(Data!G47&lt;&gt;"",Data!H47=""),1,IF(Data!#REF!&lt;&gt;"",0,IF(Data!G47="",1,IF(ISNUMBER(MATCH(Data!H47,Data_Val!$D$2:$D$35,0)),0,1)))))</f>
        <v/>
      </c>
      <c r="I47" s="15" t="str">
        <f>IF(Data!B47="","",IF(Data!G47&lt;&gt;"",0,IF(ISNUMBER(MATCH(Data!#REF!,Data_Val!$E$2:$E$12,0)),0,1)))</f>
        <v/>
      </c>
      <c r="J47" s="16" t="e">
        <f>IF(OR(Data!B47="",Data!#REF!=""),"",IF(Data!#REF!="",1,0))</f>
        <v>#REF!</v>
      </c>
      <c r="K47" s="16" t="e">
        <f>IF(OR(Data!B47="",Data!#REF!=""),"",IF(Data!#REF!="",1,0))</f>
        <v>#REF!</v>
      </c>
      <c r="L47" s="16" t="e">
        <f>IF(OR(Data!B47="",Data!#REF!=""),"",IF(ISNUMBER(Data!#REF!),IF(AND(Data!#REF!&gt;Data_Val!$G$2,Data!#REF!&lt;=Data_Val!$G$3),0,1),1))</f>
        <v>#REF!</v>
      </c>
      <c r="M47" s="9" t="e">
        <f>IF(OR(Data!B47="",Data!#REF!=""),"",IF(ISNUMBER(MATCH(Data!#REF!,Data_Val!$F$1:$F$38,0)),0,1))</f>
        <v>#REF!</v>
      </c>
      <c r="N47" s="9" t="e">
        <f>IF(OR(Data!B47="",Data!#REF!=""),"",IF(Data!#REF!="",1,0))</f>
        <v>#REF!</v>
      </c>
      <c r="O47" s="17" t="e">
        <f>IF(Data!#REF!="","",IF(Data!#REF!="",1,0))</f>
        <v>#REF!</v>
      </c>
      <c r="P47" s="17" t="e">
        <f>IF(Data!#REF!="","",IF(ISNUMBER(MATCH(Data!#REF!,Data_Val!$A$2:$A$3,0)),0,1))</f>
        <v>#REF!</v>
      </c>
      <c r="Q47" s="25" t="e">
        <f ca="1">IF(Data!#REF!="","",IF(ISNUMBER(Data!#REF!),IF(AND(Data!#REF!&gt;(TODAY()-(Data_Val!$J$3*365.25)),Data!#REF!&lt;=(TODAY()-(Data_Val!$J$2*365.25))),0,1),1))</f>
        <v>#REF!</v>
      </c>
      <c r="R47" s="17" t="e">
        <f>IF(Data!#REF!="","",IF(ISNUMBER(MATCH(Data!#REF!,Data_Val!$B$2:$B$15,0)),0,1))</f>
        <v>#REF!</v>
      </c>
      <c r="S47" s="11" t="str">
        <f>IF(Data!G47="","",IF(Data!G47=Data_Val!$C$2,IF(Data!M47="",0,1),0))</f>
        <v/>
      </c>
      <c r="T47" s="11" t="str">
        <f>IF(Data!M47="","",IF(ISNUMBER(MATCH(Data!N47,Data_Val!$A$2:$A$3,0)),0,1))</f>
        <v/>
      </c>
      <c r="U47" s="11" t="str">
        <f ca="1">IF(Data!M47="","",IF(ISNUMBER(Data!O47),IF(AND(Data!O47&gt;(TODAY()-(Data_Val!$K$3*365.25)),Data!O47&lt;=(TODAY()-(Data_Val!$K$2*365.25))),0,1),1))</f>
        <v/>
      </c>
      <c r="V47" s="12" t="str">
        <f>IF(Data!G47="","",IF(Data!G47=Data_Val!$C$2,IF(Data!P47="",0,1),0))</f>
        <v/>
      </c>
      <c r="W47" s="12" t="str">
        <f>IF(Data!P47="","",IF(ISNUMBER(MATCH(Data!Q47,Data_Val!$A$2:$A$3,0)),0,1))</f>
        <v/>
      </c>
      <c r="X47" s="26" t="str">
        <f ca="1">IF(Data!P47="","",IF(ISNUMBER(Data!R47),IF(AND(Data!R47&gt;(TODAY()-(Data_Val!$L$3*365.25)),Data!R47&lt;=(TODAY()-(Data_Val!$L$2*365.25))),0,1),1))</f>
        <v/>
      </c>
      <c r="Y47" s="13" t="str">
        <f>IF(Data!$G47="","",IF(Data!$G47=Data_Val!$C$2,IF(Data!S47="",0,1),0))</f>
        <v/>
      </c>
      <c r="Z47" s="13" t="str">
        <f>IF(Data!S47="","",IF(ISNUMBER(MATCH(Data!T47,Data_Val!$A$2:$A$3,0)),0,1))</f>
        <v/>
      </c>
      <c r="AA47" s="28" t="str">
        <f ca="1">IF(Data!S47="","",IF(ISNUMBER(Data!U47),IF(AND(Data!U47&gt;(TODAY()-(Data_Val!$L$3*365.25)),Data!U47&lt;=(TODAY()-(Data_Val!$L$2*365.25))),0,1),1))</f>
        <v/>
      </c>
      <c r="AB47" s="11"/>
      <c r="AC47" s="11" t="e">
        <f>IF(Data!#REF!="","",IF(ISNUMBER(MATCH(Data!#REF!,Data_Val!$A$2:$A$3,0)),0,1))</f>
        <v>#REF!</v>
      </c>
      <c r="AD47" s="11" t="e">
        <f ca="1">IF(Data!#REF!="","",IF(ISNUMBER(Data!#REF!),IF(AND(Data!#REF!&gt;(TODAY()-(Data_Val!$L$3*365.25)),Data!#REF!&lt;=(TODAY()-(Data_Val!$L$2*365.25))),0,1),1))</f>
        <v>#REF!</v>
      </c>
      <c r="AE47" s="11" t="e">
        <f>IF(Data!#REF!="","",IF(Data!$G47="",1,IF(ISNUMBER(MATCH(Data!#REF!,Data_Val!$D$2:$D$10,0)),0,1)))</f>
        <v>#REF!</v>
      </c>
      <c r="AF47" s="12"/>
      <c r="AG47" s="12" t="e">
        <f>IF(Data!#REF!="","",IF(ISNUMBER(MATCH(Data!#REF!,Data_Val!$A$2:$A$3,0)),0,1))</f>
        <v>#REF!</v>
      </c>
      <c r="AH47" s="26" t="e">
        <f ca="1">IF(Data!#REF!="","",IF(ISNUMBER(Data!#REF!),IF(AND(Data!#REF!&gt;(TODAY()-(Data_Val!$L$3*365.25)),Data!#REF!&lt;=(TODAY()-(Data_Val!$L$2*365.25))),0,1),1))</f>
        <v>#REF!</v>
      </c>
      <c r="AI47" s="12" t="e">
        <f>IF(Data!#REF!="","",IF(Data!$G47="",1,IF(ISNUMBER(MATCH(Data!#REF!,Data_Val!$D$2:$D$10,0)),0,1)))</f>
        <v>#REF!</v>
      </c>
      <c r="AJ47" s="17"/>
      <c r="AK47" s="17" t="e">
        <f>IF(Data!#REF!="","",IF(ISNUMBER(MATCH(Data!#REF!,Data_Val!$A$2:$A$3,0)),0,1))</f>
        <v>#REF!</v>
      </c>
      <c r="AL47" s="25" t="e">
        <f ca="1">IF(Data!#REF!="","",IF(ISNUMBER(Data!#REF!),IF(AND(Data!#REF!&gt;(TODAY()-(Data_Val!$L$3*365.25)),Data!#REF!&lt;=(TODAY()-(Data_Val!$L$2*365.25))),0,1),1))</f>
        <v>#REF!</v>
      </c>
      <c r="AM47" s="17" t="e">
        <f>IF(Data!#REF!="","",IF(Data!$G47="",1,IF(ISNUMBER(MATCH(Data!#REF!,Data_Val!$D$2:$D$10,0)),0,1)))</f>
        <v>#REF!</v>
      </c>
      <c r="AN47" s="13"/>
      <c r="AO47" s="28" t="e">
        <f ca="1">IF(Data!#REF!="","",IF(ISNUMBER(Data!#REF!),IF(AND(Data!#REF!&gt;(TODAY()-(Data_Val!$I$3*365.25)),Data!#REF!&lt;=(TODAY()-(Data_Val!$I$2*365.25))),0,1),1))</f>
        <v>#REF!</v>
      </c>
      <c r="AP47" s="13" t="e">
        <f>IF(Data!#REF!="","",IF(Data!$G47="",1,IF(ISNUMBER(MATCH(Data!#REF!,Data_Val!$D$2:$D$10,0)),0,1)))</f>
        <v>#REF!</v>
      </c>
      <c r="AQ47" s="17"/>
      <c r="AR47" s="30" t="e">
        <f ca="1">IF(Data!#REF!="","",IF(ISNUMBER(Data!#REF!),IF(AND(Data!#REF!&gt;(TODAY()-(Data_Val!$I$3*365.25)),Data!#REF!&lt;=(TODAY()-(Data_Val!$I$2*365.25))),0,1),1))</f>
        <v>#REF!</v>
      </c>
      <c r="AS47" s="31" t="e">
        <f>IF(Data!#REF!="","",IF(Data!$G47="",1,IF(ISNUMBER(MATCH(Data!#REF!,Data_Val!$D$2:$D$10,0)),0,1)))</f>
        <v>#REF!</v>
      </c>
      <c r="AT47" s="11"/>
      <c r="AU47" s="11" t="e">
        <f ca="1">IF(Data!#REF!="","",IF(ISNUMBER(Data!#REF!),IF(AND(Data!#REF!&gt;(TODAY()-(Data_Val!$I$3*365.25)),Data!#REF!&lt;=(TODAY()-(Data_Val!$I$2*365.25))),0,1),1))</f>
        <v>#REF!</v>
      </c>
      <c r="AV47" s="11" t="e">
        <f>IF(Data!#REF!="","",IF(Data!$G47="",1,IF(ISNUMBER(MATCH(Data!#REF!,Data_Val!$D$2:$D$10,0)),0,1)))</f>
        <v>#REF!</v>
      </c>
      <c r="AW47" s="12"/>
      <c r="AX47" s="26" t="e">
        <f ca="1">IF(Data!#REF!="","",IF(ISNUMBER(Data!#REF!),IF(AND(Data!#REF!&gt;(TODAY()-(Data_Val!$I$3*365.25)),Data!#REF!&lt;=(TODAY()-(Data_Val!$I$2*365.25))),0,1),1))</f>
        <v>#REF!</v>
      </c>
      <c r="AY47" s="12" t="e">
        <f>IF(Data!#REF!="","",IF(Data!$G47="",1,IF(ISNUMBER(MATCH(Data!#REF!,Data_Val!$D$2:$D$10,0)),0,1)))</f>
        <v>#REF!</v>
      </c>
      <c r="AZ47" s="11"/>
      <c r="BA47" s="19" t="e">
        <f ca="1">IF(Data!#REF!="","",IF(ISNUMBER(Data!#REF!),IF(AND(Data!#REF!&gt;(TODAY()-(Data_Val!$M$3*365.25)),Data!#REF!&lt;=(TODAY()-(Data_Val!$M$2*365.25))),0,1),1))</f>
        <v>#REF!</v>
      </c>
      <c r="BB47" s="11" t="e">
        <f>IF(Data!#REF!="","",IF(Data!$G47="",1,IF(ISNUMBER(MATCH(Data!#REF!,Data_Val!$D$2:$D$10,0)),0,1)))</f>
        <v>#REF!</v>
      </c>
      <c r="BC47" s="12"/>
      <c r="BD47" s="20" t="e">
        <f ca="1">IF(Data!#REF!="","",IF(ISNUMBER(Data!#REF!),IF(AND(Data!#REF!&gt;(TODAY()-(Data_Val!$M$3*365.25)),Data!#REF!&lt;=(TODAY()-(Data_Val!$M$2*365.25))),0,1),1))</f>
        <v>#REF!</v>
      </c>
      <c r="BE47" s="12" t="e">
        <f>IF(Data!#REF!="","",IF(Data!$G47="",1,IF(ISNUMBER(MATCH(Data!#REF!,Data_Val!$D$2:$D$10,0)),0,1)))</f>
        <v>#REF!</v>
      </c>
      <c r="BF47" s="17"/>
      <c r="BG47" s="18" t="e">
        <f ca="1">IF(Data!#REF!="","",IF(ISNUMBER(Data!#REF!),IF(AND(Data!#REF!&gt;(TODAY()-(Data_Val!$M$3*365.25)),Data!#REF!&lt;=(TODAY()-(Data_Val!$M$2*365.25))),0,1),1))</f>
        <v>#REF!</v>
      </c>
      <c r="BH47" s="29" t="e">
        <f>IF(Data!#REF!="","",IF(Data!$G47="",1,IF(ISNUMBER(MATCH(Data!#REF!,Data_Val!$D$2:$D$10,0)),0,1)))</f>
        <v>#REF!</v>
      </c>
      <c r="BI47" s="13"/>
      <c r="BJ47" s="21" t="e">
        <f ca="1">IF(Data!#REF!="","",IF(ISNUMBER(Data!#REF!),IF(AND(Data!#REF!&gt;(TODAY()-(Data_Val!$M$3*365.25)),Data!#REF!&lt;=(TODAY()-(Data_Val!$M$2*365.25))),0,1),1))</f>
        <v>#REF!</v>
      </c>
      <c r="BK47" s="13" t="e">
        <f>IF(Data!#REF!="","",IF(Data!$G47="",1,IF(ISNUMBER(MATCH(Data!#REF!,Data_Val!$D$2:$D$10,0)),0,1)))</f>
        <v>#REF!</v>
      </c>
    </row>
    <row r="48" spans="1:63" x14ac:dyDescent="0.25">
      <c r="A48" s="9" t="str">
        <f>IF(Data!B48="","",IF(COUNTIFS(Data!A$1:'Data'!A48,Data!A48)&lt;=1,0,1))</f>
        <v/>
      </c>
      <c r="B48" s="9"/>
      <c r="C48" s="23" t="str">
        <f>IF(Data!C48="","",(IF(ISNUMBER(MATCH("*@*.?*",Data!C48,0)),0,1)+IF(COUNTIFS(Data!C$1:'Data'!C48,Data!C48)&gt;1,1,0)))</f>
        <v/>
      </c>
      <c r="D48" s="9" t="str">
        <f>IF(Data!B48="","",IF(ISNUMBER(Data!D48),IF(AND(Data!D48&gt;999999999,Data!D48&lt;=9999999999),IF(COUNTIFS(Data!D$1:'Data'!D48,Data!D48)&lt;=1,0,1),1),1))</f>
        <v/>
      </c>
      <c r="E48" s="9" t="str">
        <f>IF(Data!B48="","",IF(ISNUMBER(MATCH(Data!E48,Data_Val!$A$2:$A$3,0)),0,1))</f>
        <v/>
      </c>
      <c r="F48" s="9" t="str">
        <f ca="1">IF(Data!B48="","",IF(ISNUMBER(Data!F48),IF(AND(Data!F48&gt;(TODAY()-(Data_Val!$H$3*365.25)),Data!F48&lt;=(TODAY()-(Data_Val!$H$2*365.25))),0,1),1))</f>
        <v/>
      </c>
      <c r="G48" s="15" t="str">
        <f>IF(Data!B48="","",IF(AND(Data!G48="",Data!H48&lt;&gt;""),1,IF(Data!#REF!&lt;&gt;"",0,IF(ISNUMBER(MATCH(Data!G48,Data_Val!$C$2:$C$5,0)),0,1))))</f>
        <v/>
      </c>
      <c r="H48" s="15" t="str">
        <f>IF(Data!B48="","",IF(AND(Data!G48&lt;&gt;"",Data!H48=""),1,IF(Data!#REF!&lt;&gt;"",0,IF(Data!G48="",1,IF(ISNUMBER(MATCH(Data!H48,Data_Val!$D$2:$D$35,0)),0,1)))))</f>
        <v/>
      </c>
      <c r="I48" s="15" t="str">
        <f>IF(Data!B48="","",IF(Data!G48&lt;&gt;"",0,IF(ISNUMBER(MATCH(Data!#REF!,Data_Val!$E$2:$E$12,0)),0,1)))</f>
        <v/>
      </c>
      <c r="J48" s="16" t="e">
        <f>IF(OR(Data!B48="",Data!#REF!=""),"",IF(Data!#REF!="",1,0))</f>
        <v>#REF!</v>
      </c>
      <c r="K48" s="16" t="e">
        <f>IF(OR(Data!B48="",Data!#REF!=""),"",IF(Data!#REF!="",1,0))</f>
        <v>#REF!</v>
      </c>
      <c r="L48" s="16" t="e">
        <f>IF(OR(Data!B48="",Data!#REF!=""),"",IF(ISNUMBER(Data!#REF!),IF(AND(Data!#REF!&gt;Data_Val!$G$2,Data!#REF!&lt;=Data_Val!$G$3),0,1),1))</f>
        <v>#REF!</v>
      </c>
      <c r="M48" s="9" t="e">
        <f>IF(OR(Data!B48="",Data!#REF!=""),"",IF(ISNUMBER(MATCH(Data!#REF!,Data_Val!$F$1:$F$38,0)),0,1))</f>
        <v>#REF!</v>
      </c>
      <c r="N48" s="9" t="e">
        <f>IF(OR(Data!B48="",Data!#REF!=""),"",IF(Data!#REF!="",1,0))</f>
        <v>#REF!</v>
      </c>
      <c r="O48" s="17" t="e">
        <f>IF(Data!#REF!="","",IF(Data!#REF!="",1,0))</f>
        <v>#REF!</v>
      </c>
      <c r="P48" s="17" t="e">
        <f>IF(Data!#REF!="","",IF(ISNUMBER(MATCH(Data!#REF!,Data_Val!$A$2:$A$3,0)),0,1))</f>
        <v>#REF!</v>
      </c>
      <c r="Q48" s="25" t="e">
        <f ca="1">IF(Data!#REF!="","",IF(ISNUMBER(Data!#REF!),IF(AND(Data!#REF!&gt;(TODAY()-(Data_Val!$J$3*365.25)),Data!#REF!&lt;=(TODAY()-(Data_Val!$J$2*365.25))),0,1),1))</f>
        <v>#REF!</v>
      </c>
      <c r="R48" s="17" t="e">
        <f>IF(Data!#REF!="","",IF(ISNUMBER(MATCH(Data!#REF!,Data_Val!$B$2:$B$15,0)),0,1))</f>
        <v>#REF!</v>
      </c>
      <c r="S48" s="11" t="str">
        <f>IF(Data!G48="","",IF(Data!G48=Data_Val!$C$2,IF(Data!M48="",0,1),0))</f>
        <v/>
      </c>
      <c r="T48" s="11" t="str">
        <f>IF(Data!M48="","",IF(ISNUMBER(MATCH(Data!N48,Data_Val!$A$2:$A$3,0)),0,1))</f>
        <v/>
      </c>
      <c r="U48" s="11" t="str">
        <f ca="1">IF(Data!M48="","",IF(ISNUMBER(Data!O48),IF(AND(Data!O48&gt;(TODAY()-(Data_Val!$K$3*365.25)),Data!O48&lt;=(TODAY()-(Data_Val!$K$2*365.25))),0,1),1))</f>
        <v/>
      </c>
      <c r="V48" s="12" t="str">
        <f>IF(Data!G48="","",IF(Data!G48=Data_Val!$C$2,IF(Data!P48="",0,1),0))</f>
        <v/>
      </c>
      <c r="W48" s="12" t="str">
        <f>IF(Data!P48="","",IF(ISNUMBER(MATCH(Data!Q48,Data_Val!$A$2:$A$3,0)),0,1))</f>
        <v/>
      </c>
      <c r="X48" s="26" t="str">
        <f ca="1">IF(Data!P48="","",IF(ISNUMBER(Data!R48),IF(AND(Data!R48&gt;(TODAY()-(Data_Val!$L$3*365.25)),Data!R48&lt;=(TODAY()-(Data_Val!$L$2*365.25))),0,1),1))</f>
        <v/>
      </c>
      <c r="Y48" s="13" t="str">
        <f>IF(Data!$G48="","",IF(Data!$G48=Data_Val!$C$2,IF(Data!S48="",0,1),0))</f>
        <v/>
      </c>
      <c r="Z48" s="13" t="str">
        <f>IF(Data!S48="","",IF(ISNUMBER(MATCH(Data!T48,Data_Val!$A$2:$A$3,0)),0,1))</f>
        <v/>
      </c>
      <c r="AA48" s="28" t="str">
        <f ca="1">IF(Data!S48="","",IF(ISNUMBER(Data!U48),IF(AND(Data!U48&gt;(TODAY()-(Data_Val!$L$3*365.25)),Data!U48&lt;=(TODAY()-(Data_Val!$L$2*365.25))),0,1),1))</f>
        <v/>
      </c>
      <c r="AB48" s="11"/>
      <c r="AC48" s="11" t="e">
        <f>IF(Data!#REF!="","",IF(ISNUMBER(MATCH(Data!#REF!,Data_Val!$A$2:$A$3,0)),0,1))</f>
        <v>#REF!</v>
      </c>
      <c r="AD48" s="11" t="e">
        <f ca="1">IF(Data!#REF!="","",IF(ISNUMBER(Data!#REF!),IF(AND(Data!#REF!&gt;(TODAY()-(Data_Val!$L$3*365.25)),Data!#REF!&lt;=(TODAY()-(Data_Val!$L$2*365.25))),0,1),1))</f>
        <v>#REF!</v>
      </c>
      <c r="AE48" s="11" t="e">
        <f>IF(Data!#REF!="","",IF(Data!$G48="",1,IF(ISNUMBER(MATCH(Data!#REF!,Data_Val!$D$2:$D$10,0)),0,1)))</f>
        <v>#REF!</v>
      </c>
      <c r="AF48" s="12"/>
      <c r="AG48" s="12" t="e">
        <f>IF(Data!#REF!="","",IF(ISNUMBER(MATCH(Data!#REF!,Data_Val!$A$2:$A$3,0)),0,1))</f>
        <v>#REF!</v>
      </c>
      <c r="AH48" s="26" t="e">
        <f ca="1">IF(Data!#REF!="","",IF(ISNUMBER(Data!#REF!),IF(AND(Data!#REF!&gt;(TODAY()-(Data_Val!$L$3*365.25)),Data!#REF!&lt;=(TODAY()-(Data_Val!$L$2*365.25))),0,1),1))</f>
        <v>#REF!</v>
      </c>
      <c r="AI48" s="12" t="e">
        <f>IF(Data!#REF!="","",IF(Data!$G48="",1,IF(ISNUMBER(MATCH(Data!#REF!,Data_Val!$D$2:$D$10,0)),0,1)))</f>
        <v>#REF!</v>
      </c>
      <c r="AJ48" s="17"/>
      <c r="AK48" s="17" t="e">
        <f>IF(Data!#REF!="","",IF(ISNUMBER(MATCH(Data!#REF!,Data_Val!$A$2:$A$3,0)),0,1))</f>
        <v>#REF!</v>
      </c>
      <c r="AL48" s="25" t="e">
        <f ca="1">IF(Data!#REF!="","",IF(ISNUMBER(Data!#REF!),IF(AND(Data!#REF!&gt;(TODAY()-(Data_Val!$L$3*365.25)),Data!#REF!&lt;=(TODAY()-(Data_Val!$L$2*365.25))),0,1),1))</f>
        <v>#REF!</v>
      </c>
      <c r="AM48" s="17" t="e">
        <f>IF(Data!#REF!="","",IF(Data!$G48="",1,IF(ISNUMBER(MATCH(Data!#REF!,Data_Val!$D$2:$D$10,0)),0,1)))</f>
        <v>#REF!</v>
      </c>
      <c r="AN48" s="13"/>
      <c r="AO48" s="28" t="e">
        <f ca="1">IF(Data!#REF!="","",IF(ISNUMBER(Data!#REF!),IF(AND(Data!#REF!&gt;(TODAY()-(Data_Val!$I$3*365.25)),Data!#REF!&lt;=(TODAY()-(Data_Val!$I$2*365.25))),0,1),1))</f>
        <v>#REF!</v>
      </c>
      <c r="AP48" s="13" t="e">
        <f>IF(Data!#REF!="","",IF(Data!$G48="",1,IF(ISNUMBER(MATCH(Data!#REF!,Data_Val!$D$2:$D$10,0)),0,1)))</f>
        <v>#REF!</v>
      </c>
      <c r="AQ48" s="17"/>
      <c r="AR48" s="30" t="e">
        <f ca="1">IF(Data!#REF!="","",IF(ISNUMBER(Data!#REF!),IF(AND(Data!#REF!&gt;(TODAY()-(Data_Val!$I$3*365.25)),Data!#REF!&lt;=(TODAY()-(Data_Val!$I$2*365.25))),0,1),1))</f>
        <v>#REF!</v>
      </c>
      <c r="AS48" s="31" t="e">
        <f>IF(Data!#REF!="","",IF(Data!$G48="",1,IF(ISNUMBER(MATCH(Data!#REF!,Data_Val!$D$2:$D$10,0)),0,1)))</f>
        <v>#REF!</v>
      </c>
      <c r="AT48" s="11"/>
      <c r="AU48" s="11" t="e">
        <f ca="1">IF(Data!#REF!="","",IF(ISNUMBER(Data!#REF!),IF(AND(Data!#REF!&gt;(TODAY()-(Data_Val!$I$3*365.25)),Data!#REF!&lt;=(TODAY()-(Data_Val!$I$2*365.25))),0,1),1))</f>
        <v>#REF!</v>
      </c>
      <c r="AV48" s="11" t="e">
        <f>IF(Data!#REF!="","",IF(Data!$G48="",1,IF(ISNUMBER(MATCH(Data!#REF!,Data_Val!$D$2:$D$10,0)),0,1)))</f>
        <v>#REF!</v>
      </c>
      <c r="AW48" s="12"/>
      <c r="AX48" s="26" t="e">
        <f ca="1">IF(Data!#REF!="","",IF(ISNUMBER(Data!#REF!),IF(AND(Data!#REF!&gt;(TODAY()-(Data_Val!$I$3*365.25)),Data!#REF!&lt;=(TODAY()-(Data_Val!$I$2*365.25))),0,1),1))</f>
        <v>#REF!</v>
      </c>
      <c r="AY48" s="12" t="e">
        <f>IF(Data!#REF!="","",IF(Data!$G48="",1,IF(ISNUMBER(MATCH(Data!#REF!,Data_Val!$D$2:$D$10,0)),0,1)))</f>
        <v>#REF!</v>
      </c>
      <c r="AZ48" s="11"/>
      <c r="BA48" s="19" t="e">
        <f ca="1">IF(Data!#REF!="","",IF(ISNUMBER(Data!#REF!),IF(AND(Data!#REF!&gt;(TODAY()-(Data_Val!$M$3*365.25)),Data!#REF!&lt;=(TODAY()-(Data_Val!$M$2*365.25))),0,1),1))</f>
        <v>#REF!</v>
      </c>
      <c r="BB48" s="11" t="e">
        <f>IF(Data!#REF!="","",IF(Data!$G48="",1,IF(ISNUMBER(MATCH(Data!#REF!,Data_Val!$D$2:$D$10,0)),0,1)))</f>
        <v>#REF!</v>
      </c>
      <c r="BC48" s="12"/>
      <c r="BD48" s="20" t="e">
        <f ca="1">IF(Data!#REF!="","",IF(ISNUMBER(Data!#REF!),IF(AND(Data!#REF!&gt;(TODAY()-(Data_Val!$M$3*365.25)),Data!#REF!&lt;=(TODAY()-(Data_Val!$M$2*365.25))),0,1),1))</f>
        <v>#REF!</v>
      </c>
      <c r="BE48" s="12" t="e">
        <f>IF(Data!#REF!="","",IF(Data!$G48="",1,IF(ISNUMBER(MATCH(Data!#REF!,Data_Val!$D$2:$D$10,0)),0,1)))</f>
        <v>#REF!</v>
      </c>
      <c r="BF48" s="17"/>
      <c r="BG48" s="18" t="e">
        <f ca="1">IF(Data!#REF!="","",IF(ISNUMBER(Data!#REF!),IF(AND(Data!#REF!&gt;(TODAY()-(Data_Val!$M$3*365.25)),Data!#REF!&lt;=(TODAY()-(Data_Val!$M$2*365.25))),0,1),1))</f>
        <v>#REF!</v>
      </c>
      <c r="BH48" s="29" t="e">
        <f>IF(Data!#REF!="","",IF(Data!$G48="",1,IF(ISNUMBER(MATCH(Data!#REF!,Data_Val!$D$2:$D$10,0)),0,1)))</f>
        <v>#REF!</v>
      </c>
      <c r="BI48" s="13"/>
      <c r="BJ48" s="21" t="e">
        <f ca="1">IF(Data!#REF!="","",IF(ISNUMBER(Data!#REF!),IF(AND(Data!#REF!&gt;(TODAY()-(Data_Val!$M$3*365.25)),Data!#REF!&lt;=(TODAY()-(Data_Val!$M$2*365.25))),0,1),1))</f>
        <v>#REF!</v>
      </c>
      <c r="BK48" s="13" t="e">
        <f>IF(Data!#REF!="","",IF(Data!$G48="",1,IF(ISNUMBER(MATCH(Data!#REF!,Data_Val!$D$2:$D$10,0)),0,1)))</f>
        <v>#REF!</v>
      </c>
    </row>
    <row r="49" spans="1:63" x14ac:dyDescent="0.25">
      <c r="A49" s="9" t="str">
        <f>IF(Data!B49="","",IF(COUNTIFS(Data!A$1:'Data'!A49,Data!A49)&lt;=1,0,1))</f>
        <v/>
      </c>
      <c r="B49" s="9"/>
      <c r="C49" s="23" t="str">
        <f>IF(Data!C49="","",(IF(ISNUMBER(MATCH("*@*.?*",Data!C49,0)),0,1)+IF(COUNTIFS(Data!C$1:'Data'!C49,Data!C49)&gt;1,1,0)))</f>
        <v/>
      </c>
      <c r="D49" s="9" t="str">
        <f>IF(Data!B49="","",IF(ISNUMBER(Data!D49),IF(AND(Data!D49&gt;999999999,Data!D49&lt;=9999999999),IF(COUNTIFS(Data!D$1:'Data'!D49,Data!D49)&lt;=1,0,1),1),1))</f>
        <v/>
      </c>
      <c r="E49" s="9" t="str">
        <f>IF(Data!B49="","",IF(ISNUMBER(MATCH(Data!E49,Data_Val!$A$2:$A$3,0)),0,1))</f>
        <v/>
      </c>
      <c r="F49" s="9" t="str">
        <f ca="1">IF(Data!B49="","",IF(ISNUMBER(Data!F49),IF(AND(Data!F49&gt;(TODAY()-(Data_Val!$H$3*365.25)),Data!F49&lt;=(TODAY()-(Data_Val!$H$2*365.25))),0,1),1))</f>
        <v/>
      </c>
      <c r="G49" s="15" t="str">
        <f>IF(Data!B49="","",IF(AND(Data!G49="",Data!H49&lt;&gt;""),1,IF(Data!#REF!&lt;&gt;"",0,IF(ISNUMBER(MATCH(Data!G49,Data_Val!$C$2:$C$5,0)),0,1))))</f>
        <v/>
      </c>
      <c r="H49" s="15" t="str">
        <f>IF(Data!B49="","",IF(AND(Data!G49&lt;&gt;"",Data!H49=""),1,IF(Data!#REF!&lt;&gt;"",0,IF(Data!G49="",1,IF(ISNUMBER(MATCH(Data!H49,Data_Val!$D$2:$D$35,0)),0,1)))))</f>
        <v/>
      </c>
      <c r="I49" s="15" t="str">
        <f>IF(Data!B49="","",IF(Data!G49&lt;&gt;"",0,IF(ISNUMBER(MATCH(Data!#REF!,Data_Val!$E$2:$E$12,0)),0,1)))</f>
        <v/>
      </c>
      <c r="J49" s="16" t="e">
        <f>IF(OR(Data!B49="",Data!#REF!=""),"",IF(Data!#REF!="",1,0))</f>
        <v>#REF!</v>
      </c>
      <c r="K49" s="16" t="e">
        <f>IF(OR(Data!B49="",Data!#REF!=""),"",IF(Data!#REF!="",1,0))</f>
        <v>#REF!</v>
      </c>
      <c r="L49" s="16" t="e">
        <f>IF(OR(Data!B49="",Data!#REF!=""),"",IF(ISNUMBER(Data!#REF!),IF(AND(Data!#REF!&gt;Data_Val!$G$2,Data!#REF!&lt;=Data_Val!$G$3),0,1),1))</f>
        <v>#REF!</v>
      </c>
      <c r="M49" s="9" t="e">
        <f>IF(OR(Data!B49="",Data!#REF!=""),"",IF(ISNUMBER(MATCH(Data!#REF!,Data_Val!$F$1:$F$38,0)),0,1))</f>
        <v>#REF!</v>
      </c>
      <c r="N49" s="9" t="e">
        <f>IF(OR(Data!B49="",Data!#REF!=""),"",IF(Data!#REF!="",1,0))</f>
        <v>#REF!</v>
      </c>
      <c r="O49" s="17" t="e">
        <f>IF(Data!#REF!="","",IF(Data!#REF!="",1,0))</f>
        <v>#REF!</v>
      </c>
      <c r="P49" s="17" t="e">
        <f>IF(Data!#REF!="","",IF(ISNUMBER(MATCH(Data!#REF!,Data_Val!$A$2:$A$3,0)),0,1))</f>
        <v>#REF!</v>
      </c>
      <c r="Q49" s="25" t="e">
        <f ca="1">IF(Data!#REF!="","",IF(ISNUMBER(Data!#REF!),IF(AND(Data!#REF!&gt;(TODAY()-(Data_Val!$J$3*365.25)),Data!#REF!&lt;=(TODAY()-(Data_Val!$J$2*365.25))),0,1),1))</f>
        <v>#REF!</v>
      </c>
      <c r="R49" s="17" t="e">
        <f>IF(Data!#REF!="","",IF(ISNUMBER(MATCH(Data!#REF!,Data_Val!$B$2:$B$15,0)),0,1))</f>
        <v>#REF!</v>
      </c>
      <c r="S49" s="11" t="str">
        <f>IF(Data!G49="","",IF(Data!G49=Data_Val!$C$2,IF(Data!M49="",0,1),0))</f>
        <v/>
      </c>
      <c r="T49" s="11" t="str">
        <f>IF(Data!M49="","",IF(ISNUMBER(MATCH(Data!N49,Data_Val!$A$2:$A$3,0)),0,1))</f>
        <v/>
      </c>
      <c r="U49" s="11" t="str">
        <f ca="1">IF(Data!M49="","",IF(ISNUMBER(Data!O49),IF(AND(Data!O49&gt;(TODAY()-(Data_Val!$K$3*365.25)),Data!O49&lt;=(TODAY()-(Data_Val!$K$2*365.25))),0,1),1))</f>
        <v/>
      </c>
      <c r="V49" s="12" t="str">
        <f>IF(Data!G49="","",IF(Data!G49=Data_Val!$C$2,IF(Data!P49="",0,1),0))</f>
        <v/>
      </c>
      <c r="W49" s="12" t="str">
        <f>IF(Data!P49="","",IF(ISNUMBER(MATCH(Data!Q49,Data_Val!$A$2:$A$3,0)),0,1))</f>
        <v/>
      </c>
      <c r="X49" s="26" t="str">
        <f ca="1">IF(Data!P49="","",IF(ISNUMBER(Data!R49),IF(AND(Data!R49&gt;(TODAY()-(Data_Val!$L$3*365.25)),Data!R49&lt;=(TODAY()-(Data_Val!$L$2*365.25))),0,1),1))</f>
        <v/>
      </c>
      <c r="Y49" s="13" t="str">
        <f>IF(Data!$G49="","",IF(Data!$G49=Data_Val!$C$2,IF(Data!S49="",0,1),0))</f>
        <v/>
      </c>
      <c r="Z49" s="13" t="str">
        <f>IF(Data!S49="","",IF(ISNUMBER(MATCH(Data!T49,Data_Val!$A$2:$A$3,0)),0,1))</f>
        <v/>
      </c>
      <c r="AA49" s="28" t="str">
        <f ca="1">IF(Data!S49="","",IF(ISNUMBER(Data!U49),IF(AND(Data!U49&gt;(TODAY()-(Data_Val!$L$3*365.25)),Data!U49&lt;=(TODAY()-(Data_Val!$L$2*365.25))),0,1),1))</f>
        <v/>
      </c>
      <c r="AB49" s="11"/>
      <c r="AC49" s="11" t="e">
        <f>IF(Data!#REF!="","",IF(ISNUMBER(MATCH(Data!#REF!,Data_Val!$A$2:$A$3,0)),0,1))</f>
        <v>#REF!</v>
      </c>
      <c r="AD49" s="11" t="e">
        <f ca="1">IF(Data!#REF!="","",IF(ISNUMBER(Data!#REF!),IF(AND(Data!#REF!&gt;(TODAY()-(Data_Val!$L$3*365.25)),Data!#REF!&lt;=(TODAY()-(Data_Val!$L$2*365.25))),0,1),1))</f>
        <v>#REF!</v>
      </c>
      <c r="AE49" s="11" t="e">
        <f>IF(Data!#REF!="","",IF(Data!$G49="",1,IF(ISNUMBER(MATCH(Data!#REF!,Data_Val!$D$2:$D$10,0)),0,1)))</f>
        <v>#REF!</v>
      </c>
      <c r="AF49" s="12"/>
      <c r="AG49" s="12" t="e">
        <f>IF(Data!#REF!="","",IF(ISNUMBER(MATCH(Data!#REF!,Data_Val!$A$2:$A$3,0)),0,1))</f>
        <v>#REF!</v>
      </c>
      <c r="AH49" s="26" t="e">
        <f ca="1">IF(Data!#REF!="","",IF(ISNUMBER(Data!#REF!),IF(AND(Data!#REF!&gt;(TODAY()-(Data_Val!$L$3*365.25)),Data!#REF!&lt;=(TODAY()-(Data_Val!$L$2*365.25))),0,1),1))</f>
        <v>#REF!</v>
      </c>
      <c r="AI49" s="12" t="e">
        <f>IF(Data!#REF!="","",IF(Data!$G49="",1,IF(ISNUMBER(MATCH(Data!#REF!,Data_Val!$D$2:$D$10,0)),0,1)))</f>
        <v>#REF!</v>
      </c>
      <c r="AJ49" s="17"/>
      <c r="AK49" s="17" t="e">
        <f>IF(Data!#REF!="","",IF(ISNUMBER(MATCH(Data!#REF!,Data_Val!$A$2:$A$3,0)),0,1))</f>
        <v>#REF!</v>
      </c>
      <c r="AL49" s="25" t="e">
        <f ca="1">IF(Data!#REF!="","",IF(ISNUMBER(Data!#REF!),IF(AND(Data!#REF!&gt;(TODAY()-(Data_Val!$L$3*365.25)),Data!#REF!&lt;=(TODAY()-(Data_Val!$L$2*365.25))),0,1),1))</f>
        <v>#REF!</v>
      </c>
      <c r="AM49" s="17" t="e">
        <f>IF(Data!#REF!="","",IF(Data!$G49="",1,IF(ISNUMBER(MATCH(Data!#REF!,Data_Val!$D$2:$D$10,0)),0,1)))</f>
        <v>#REF!</v>
      </c>
      <c r="AN49" s="13"/>
      <c r="AO49" s="28" t="e">
        <f ca="1">IF(Data!#REF!="","",IF(ISNUMBER(Data!#REF!),IF(AND(Data!#REF!&gt;(TODAY()-(Data_Val!$I$3*365.25)),Data!#REF!&lt;=(TODAY()-(Data_Val!$I$2*365.25))),0,1),1))</f>
        <v>#REF!</v>
      </c>
      <c r="AP49" s="13" t="e">
        <f>IF(Data!#REF!="","",IF(Data!$G49="",1,IF(ISNUMBER(MATCH(Data!#REF!,Data_Val!$D$2:$D$10,0)),0,1)))</f>
        <v>#REF!</v>
      </c>
      <c r="AQ49" s="17"/>
      <c r="AR49" s="30" t="e">
        <f ca="1">IF(Data!#REF!="","",IF(ISNUMBER(Data!#REF!),IF(AND(Data!#REF!&gt;(TODAY()-(Data_Val!$I$3*365.25)),Data!#REF!&lt;=(TODAY()-(Data_Val!$I$2*365.25))),0,1),1))</f>
        <v>#REF!</v>
      </c>
      <c r="AS49" s="31" t="e">
        <f>IF(Data!#REF!="","",IF(Data!$G49="",1,IF(ISNUMBER(MATCH(Data!#REF!,Data_Val!$D$2:$D$10,0)),0,1)))</f>
        <v>#REF!</v>
      </c>
      <c r="AT49" s="11"/>
      <c r="AU49" s="11" t="e">
        <f ca="1">IF(Data!#REF!="","",IF(ISNUMBER(Data!#REF!),IF(AND(Data!#REF!&gt;(TODAY()-(Data_Val!$I$3*365.25)),Data!#REF!&lt;=(TODAY()-(Data_Val!$I$2*365.25))),0,1),1))</f>
        <v>#REF!</v>
      </c>
      <c r="AV49" s="11" t="e">
        <f>IF(Data!#REF!="","",IF(Data!$G49="",1,IF(ISNUMBER(MATCH(Data!#REF!,Data_Val!$D$2:$D$10,0)),0,1)))</f>
        <v>#REF!</v>
      </c>
      <c r="AW49" s="12"/>
      <c r="AX49" s="26" t="e">
        <f ca="1">IF(Data!#REF!="","",IF(ISNUMBER(Data!#REF!),IF(AND(Data!#REF!&gt;(TODAY()-(Data_Val!$I$3*365.25)),Data!#REF!&lt;=(TODAY()-(Data_Val!$I$2*365.25))),0,1),1))</f>
        <v>#REF!</v>
      </c>
      <c r="AY49" s="12" t="e">
        <f>IF(Data!#REF!="","",IF(Data!$G49="",1,IF(ISNUMBER(MATCH(Data!#REF!,Data_Val!$D$2:$D$10,0)),0,1)))</f>
        <v>#REF!</v>
      </c>
      <c r="AZ49" s="11"/>
      <c r="BA49" s="19" t="e">
        <f ca="1">IF(Data!#REF!="","",IF(ISNUMBER(Data!#REF!),IF(AND(Data!#REF!&gt;(TODAY()-(Data_Val!$M$3*365.25)),Data!#REF!&lt;=(TODAY()-(Data_Val!$M$2*365.25))),0,1),1))</f>
        <v>#REF!</v>
      </c>
      <c r="BB49" s="11" t="e">
        <f>IF(Data!#REF!="","",IF(Data!$G49="",1,IF(ISNUMBER(MATCH(Data!#REF!,Data_Val!$D$2:$D$10,0)),0,1)))</f>
        <v>#REF!</v>
      </c>
      <c r="BC49" s="12"/>
      <c r="BD49" s="20" t="e">
        <f ca="1">IF(Data!#REF!="","",IF(ISNUMBER(Data!#REF!),IF(AND(Data!#REF!&gt;(TODAY()-(Data_Val!$M$3*365.25)),Data!#REF!&lt;=(TODAY()-(Data_Val!$M$2*365.25))),0,1),1))</f>
        <v>#REF!</v>
      </c>
      <c r="BE49" s="12" t="e">
        <f>IF(Data!#REF!="","",IF(Data!$G49="",1,IF(ISNUMBER(MATCH(Data!#REF!,Data_Val!$D$2:$D$10,0)),0,1)))</f>
        <v>#REF!</v>
      </c>
      <c r="BF49" s="17"/>
      <c r="BG49" s="18" t="e">
        <f ca="1">IF(Data!#REF!="","",IF(ISNUMBER(Data!#REF!),IF(AND(Data!#REF!&gt;(TODAY()-(Data_Val!$M$3*365.25)),Data!#REF!&lt;=(TODAY()-(Data_Val!$M$2*365.25))),0,1),1))</f>
        <v>#REF!</v>
      </c>
      <c r="BH49" s="29" t="e">
        <f>IF(Data!#REF!="","",IF(Data!$G49="",1,IF(ISNUMBER(MATCH(Data!#REF!,Data_Val!$D$2:$D$10,0)),0,1)))</f>
        <v>#REF!</v>
      </c>
      <c r="BI49" s="13"/>
      <c r="BJ49" s="21" t="e">
        <f ca="1">IF(Data!#REF!="","",IF(ISNUMBER(Data!#REF!),IF(AND(Data!#REF!&gt;(TODAY()-(Data_Val!$M$3*365.25)),Data!#REF!&lt;=(TODAY()-(Data_Val!$M$2*365.25))),0,1),1))</f>
        <v>#REF!</v>
      </c>
      <c r="BK49" s="13" t="e">
        <f>IF(Data!#REF!="","",IF(Data!$G49="",1,IF(ISNUMBER(MATCH(Data!#REF!,Data_Val!$D$2:$D$10,0)),0,1)))</f>
        <v>#REF!</v>
      </c>
    </row>
    <row r="50" spans="1:63" x14ac:dyDescent="0.25">
      <c r="A50" s="9" t="str">
        <f>IF(Data!B50="","",IF(COUNTIFS(Data!A$1:'Data'!A50,Data!A50)&lt;=1,0,1))</f>
        <v/>
      </c>
      <c r="B50" s="9"/>
      <c r="C50" s="23" t="str">
        <f>IF(Data!C50="","",(IF(ISNUMBER(MATCH("*@*.?*",Data!C50,0)),0,1)+IF(COUNTIFS(Data!C$1:'Data'!C50,Data!C50)&gt;1,1,0)))</f>
        <v/>
      </c>
      <c r="D50" s="9" t="str">
        <f>IF(Data!B50="","",IF(ISNUMBER(Data!D50),IF(AND(Data!D50&gt;999999999,Data!D50&lt;=9999999999),IF(COUNTIFS(Data!D$1:'Data'!D50,Data!D50)&lt;=1,0,1),1),1))</f>
        <v/>
      </c>
      <c r="E50" s="9" t="str">
        <f>IF(Data!B50="","",IF(ISNUMBER(MATCH(Data!E50,Data_Val!$A$2:$A$3,0)),0,1))</f>
        <v/>
      </c>
      <c r="F50" s="9" t="str">
        <f ca="1">IF(Data!B50="","",IF(ISNUMBER(Data!F50),IF(AND(Data!F50&gt;(TODAY()-(Data_Val!$H$3*365.25)),Data!F50&lt;=(TODAY()-(Data_Val!$H$2*365.25))),0,1),1))</f>
        <v/>
      </c>
      <c r="G50" s="15" t="str">
        <f>IF(Data!B50="","",IF(AND(Data!G50="",Data!H50&lt;&gt;""),1,IF(Data!#REF!&lt;&gt;"",0,IF(ISNUMBER(MATCH(Data!G50,Data_Val!$C$2:$C$5,0)),0,1))))</f>
        <v/>
      </c>
      <c r="H50" s="15" t="str">
        <f>IF(Data!B50="","",IF(AND(Data!G50&lt;&gt;"",Data!H50=""),1,IF(Data!#REF!&lt;&gt;"",0,IF(Data!G50="",1,IF(ISNUMBER(MATCH(Data!H50,Data_Val!$D$2:$D$35,0)),0,1)))))</f>
        <v/>
      </c>
      <c r="I50" s="15" t="str">
        <f>IF(Data!B50="","",IF(Data!G50&lt;&gt;"",0,IF(ISNUMBER(MATCH(Data!#REF!,Data_Val!$E$2:$E$12,0)),0,1)))</f>
        <v/>
      </c>
      <c r="J50" s="16" t="e">
        <f>IF(OR(Data!B50="",Data!#REF!=""),"",IF(Data!#REF!="",1,0))</f>
        <v>#REF!</v>
      </c>
      <c r="K50" s="16" t="e">
        <f>IF(OR(Data!B50="",Data!#REF!=""),"",IF(Data!#REF!="",1,0))</f>
        <v>#REF!</v>
      </c>
      <c r="L50" s="16" t="e">
        <f>IF(OR(Data!B50="",Data!#REF!=""),"",IF(ISNUMBER(Data!#REF!),IF(AND(Data!#REF!&gt;Data_Val!$G$2,Data!#REF!&lt;=Data_Val!$G$3),0,1),1))</f>
        <v>#REF!</v>
      </c>
      <c r="M50" s="9" t="e">
        <f>IF(OR(Data!B50="",Data!#REF!=""),"",IF(ISNUMBER(MATCH(Data!#REF!,Data_Val!$F$1:$F$38,0)),0,1))</f>
        <v>#REF!</v>
      </c>
      <c r="N50" s="9" t="e">
        <f>IF(OR(Data!B50="",Data!#REF!=""),"",IF(Data!#REF!="",1,0))</f>
        <v>#REF!</v>
      </c>
      <c r="O50" s="17" t="e">
        <f>IF(Data!#REF!="","",IF(Data!#REF!="",1,0))</f>
        <v>#REF!</v>
      </c>
      <c r="P50" s="17" t="e">
        <f>IF(Data!#REF!="","",IF(ISNUMBER(MATCH(Data!#REF!,Data_Val!$A$2:$A$3,0)),0,1))</f>
        <v>#REF!</v>
      </c>
      <c r="Q50" s="25" t="e">
        <f ca="1">IF(Data!#REF!="","",IF(ISNUMBER(Data!#REF!),IF(AND(Data!#REF!&gt;(TODAY()-(Data_Val!$J$3*365.25)),Data!#REF!&lt;=(TODAY()-(Data_Val!$J$2*365.25))),0,1),1))</f>
        <v>#REF!</v>
      </c>
      <c r="R50" s="17" t="e">
        <f>IF(Data!#REF!="","",IF(ISNUMBER(MATCH(Data!#REF!,Data_Val!$B$2:$B$15,0)),0,1))</f>
        <v>#REF!</v>
      </c>
      <c r="S50" s="11" t="str">
        <f>IF(Data!G50="","",IF(Data!G50=Data_Val!$C$2,IF(Data!M50="",0,1),0))</f>
        <v/>
      </c>
      <c r="T50" s="11" t="str">
        <f>IF(Data!M50="","",IF(ISNUMBER(MATCH(Data!N50,Data_Val!$A$2:$A$3,0)),0,1))</f>
        <v/>
      </c>
      <c r="U50" s="11" t="str">
        <f ca="1">IF(Data!M50="","",IF(ISNUMBER(Data!O50),IF(AND(Data!O50&gt;(TODAY()-(Data_Val!$K$3*365.25)),Data!O50&lt;=(TODAY()-(Data_Val!$K$2*365.25))),0,1),1))</f>
        <v/>
      </c>
      <c r="V50" s="12" t="str">
        <f>IF(Data!G50="","",IF(Data!G50=Data_Val!$C$2,IF(Data!P50="",0,1),0))</f>
        <v/>
      </c>
      <c r="W50" s="12" t="str">
        <f>IF(Data!P50="","",IF(ISNUMBER(MATCH(Data!Q50,Data_Val!$A$2:$A$3,0)),0,1))</f>
        <v/>
      </c>
      <c r="X50" s="26" t="str">
        <f ca="1">IF(Data!P50="","",IF(ISNUMBER(Data!R50),IF(AND(Data!R50&gt;(TODAY()-(Data_Val!$L$3*365.25)),Data!R50&lt;=(TODAY()-(Data_Val!$L$2*365.25))),0,1),1))</f>
        <v/>
      </c>
      <c r="Y50" s="13" t="str">
        <f>IF(Data!$G50="","",IF(Data!$G50=Data_Val!$C$2,IF(Data!S50="",0,1),0))</f>
        <v/>
      </c>
      <c r="Z50" s="13" t="str">
        <f>IF(Data!S50="","",IF(ISNUMBER(MATCH(Data!T50,Data_Val!$A$2:$A$3,0)),0,1))</f>
        <v/>
      </c>
      <c r="AA50" s="28" t="str">
        <f ca="1">IF(Data!S50="","",IF(ISNUMBER(Data!U50),IF(AND(Data!U50&gt;(TODAY()-(Data_Val!$L$3*365.25)),Data!U50&lt;=(TODAY()-(Data_Val!$L$2*365.25))),0,1),1))</f>
        <v/>
      </c>
      <c r="AB50" s="11"/>
      <c r="AC50" s="11" t="e">
        <f>IF(Data!#REF!="","",IF(ISNUMBER(MATCH(Data!#REF!,Data_Val!$A$2:$A$3,0)),0,1))</f>
        <v>#REF!</v>
      </c>
      <c r="AD50" s="11" t="e">
        <f ca="1">IF(Data!#REF!="","",IF(ISNUMBER(Data!#REF!),IF(AND(Data!#REF!&gt;(TODAY()-(Data_Val!$L$3*365.25)),Data!#REF!&lt;=(TODAY()-(Data_Val!$L$2*365.25))),0,1),1))</f>
        <v>#REF!</v>
      </c>
      <c r="AE50" s="11" t="e">
        <f>IF(Data!#REF!="","",IF(Data!$G50="",1,IF(ISNUMBER(MATCH(Data!#REF!,Data_Val!$D$2:$D$10,0)),0,1)))</f>
        <v>#REF!</v>
      </c>
      <c r="AF50" s="12"/>
      <c r="AG50" s="12" t="e">
        <f>IF(Data!#REF!="","",IF(ISNUMBER(MATCH(Data!#REF!,Data_Val!$A$2:$A$3,0)),0,1))</f>
        <v>#REF!</v>
      </c>
      <c r="AH50" s="26" t="e">
        <f ca="1">IF(Data!#REF!="","",IF(ISNUMBER(Data!#REF!),IF(AND(Data!#REF!&gt;(TODAY()-(Data_Val!$L$3*365.25)),Data!#REF!&lt;=(TODAY()-(Data_Val!$L$2*365.25))),0,1),1))</f>
        <v>#REF!</v>
      </c>
      <c r="AI50" s="12" t="e">
        <f>IF(Data!#REF!="","",IF(Data!$G50="",1,IF(ISNUMBER(MATCH(Data!#REF!,Data_Val!$D$2:$D$10,0)),0,1)))</f>
        <v>#REF!</v>
      </c>
      <c r="AJ50" s="17"/>
      <c r="AK50" s="17" t="e">
        <f>IF(Data!#REF!="","",IF(ISNUMBER(MATCH(Data!#REF!,Data_Val!$A$2:$A$3,0)),0,1))</f>
        <v>#REF!</v>
      </c>
      <c r="AL50" s="25" t="e">
        <f ca="1">IF(Data!#REF!="","",IF(ISNUMBER(Data!#REF!),IF(AND(Data!#REF!&gt;(TODAY()-(Data_Val!$L$3*365.25)),Data!#REF!&lt;=(TODAY()-(Data_Val!$L$2*365.25))),0,1),1))</f>
        <v>#REF!</v>
      </c>
      <c r="AM50" s="17" t="e">
        <f>IF(Data!#REF!="","",IF(Data!$G50="",1,IF(ISNUMBER(MATCH(Data!#REF!,Data_Val!$D$2:$D$10,0)),0,1)))</f>
        <v>#REF!</v>
      </c>
      <c r="AN50" s="13"/>
      <c r="AO50" s="28" t="e">
        <f ca="1">IF(Data!#REF!="","",IF(ISNUMBER(Data!#REF!),IF(AND(Data!#REF!&gt;(TODAY()-(Data_Val!$I$3*365.25)),Data!#REF!&lt;=(TODAY()-(Data_Val!$I$2*365.25))),0,1),1))</f>
        <v>#REF!</v>
      </c>
      <c r="AP50" s="13" t="e">
        <f>IF(Data!#REF!="","",IF(Data!$G50="",1,IF(ISNUMBER(MATCH(Data!#REF!,Data_Val!$D$2:$D$10,0)),0,1)))</f>
        <v>#REF!</v>
      </c>
      <c r="AQ50" s="17"/>
      <c r="AR50" s="30" t="e">
        <f ca="1">IF(Data!#REF!="","",IF(ISNUMBER(Data!#REF!),IF(AND(Data!#REF!&gt;(TODAY()-(Data_Val!$I$3*365.25)),Data!#REF!&lt;=(TODAY()-(Data_Val!$I$2*365.25))),0,1),1))</f>
        <v>#REF!</v>
      </c>
      <c r="AS50" s="31" t="e">
        <f>IF(Data!#REF!="","",IF(Data!$G50="",1,IF(ISNUMBER(MATCH(Data!#REF!,Data_Val!$D$2:$D$10,0)),0,1)))</f>
        <v>#REF!</v>
      </c>
      <c r="AT50" s="11"/>
      <c r="AU50" s="11" t="e">
        <f ca="1">IF(Data!#REF!="","",IF(ISNUMBER(Data!#REF!),IF(AND(Data!#REF!&gt;(TODAY()-(Data_Val!$I$3*365.25)),Data!#REF!&lt;=(TODAY()-(Data_Val!$I$2*365.25))),0,1),1))</f>
        <v>#REF!</v>
      </c>
      <c r="AV50" s="11" t="e">
        <f>IF(Data!#REF!="","",IF(Data!$G50="",1,IF(ISNUMBER(MATCH(Data!#REF!,Data_Val!$D$2:$D$10,0)),0,1)))</f>
        <v>#REF!</v>
      </c>
      <c r="AW50" s="12"/>
      <c r="AX50" s="26" t="e">
        <f ca="1">IF(Data!#REF!="","",IF(ISNUMBER(Data!#REF!),IF(AND(Data!#REF!&gt;(TODAY()-(Data_Val!$I$3*365.25)),Data!#REF!&lt;=(TODAY()-(Data_Val!$I$2*365.25))),0,1),1))</f>
        <v>#REF!</v>
      </c>
      <c r="AY50" s="12" t="e">
        <f>IF(Data!#REF!="","",IF(Data!$G50="",1,IF(ISNUMBER(MATCH(Data!#REF!,Data_Val!$D$2:$D$10,0)),0,1)))</f>
        <v>#REF!</v>
      </c>
      <c r="AZ50" s="11"/>
      <c r="BA50" s="19" t="e">
        <f ca="1">IF(Data!#REF!="","",IF(ISNUMBER(Data!#REF!),IF(AND(Data!#REF!&gt;(TODAY()-(Data_Val!$M$3*365.25)),Data!#REF!&lt;=(TODAY()-(Data_Val!$M$2*365.25))),0,1),1))</f>
        <v>#REF!</v>
      </c>
      <c r="BB50" s="11" t="e">
        <f>IF(Data!#REF!="","",IF(Data!$G50="",1,IF(ISNUMBER(MATCH(Data!#REF!,Data_Val!$D$2:$D$10,0)),0,1)))</f>
        <v>#REF!</v>
      </c>
      <c r="BC50" s="12"/>
      <c r="BD50" s="20" t="e">
        <f ca="1">IF(Data!#REF!="","",IF(ISNUMBER(Data!#REF!),IF(AND(Data!#REF!&gt;(TODAY()-(Data_Val!$M$3*365.25)),Data!#REF!&lt;=(TODAY()-(Data_Val!$M$2*365.25))),0,1),1))</f>
        <v>#REF!</v>
      </c>
      <c r="BE50" s="12" t="e">
        <f>IF(Data!#REF!="","",IF(Data!$G50="",1,IF(ISNUMBER(MATCH(Data!#REF!,Data_Val!$D$2:$D$10,0)),0,1)))</f>
        <v>#REF!</v>
      </c>
      <c r="BF50" s="17"/>
      <c r="BG50" s="18" t="e">
        <f ca="1">IF(Data!#REF!="","",IF(ISNUMBER(Data!#REF!),IF(AND(Data!#REF!&gt;(TODAY()-(Data_Val!$M$3*365.25)),Data!#REF!&lt;=(TODAY()-(Data_Val!$M$2*365.25))),0,1),1))</f>
        <v>#REF!</v>
      </c>
      <c r="BH50" s="29" t="e">
        <f>IF(Data!#REF!="","",IF(Data!$G50="",1,IF(ISNUMBER(MATCH(Data!#REF!,Data_Val!$D$2:$D$10,0)),0,1)))</f>
        <v>#REF!</v>
      </c>
      <c r="BI50" s="13"/>
      <c r="BJ50" s="21" t="e">
        <f ca="1">IF(Data!#REF!="","",IF(ISNUMBER(Data!#REF!),IF(AND(Data!#REF!&gt;(TODAY()-(Data_Val!$M$3*365.25)),Data!#REF!&lt;=(TODAY()-(Data_Val!$M$2*365.25))),0,1),1))</f>
        <v>#REF!</v>
      </c>
      <c r="BK50" s="13" t="e">
        <f>IF(Data!#REF!="","",IF(Data!$G50="",1,IF(ISNUMBER(MATCH(Data!#REF!,Data_Val!$D$2:$D$10,0)),0,1)))</f>
        <v>#REF!</v>
      </c>
    </row>
    <row r="51" spans="1:63" x14ac:dyDescent="0.25">
      <c r="A51" s="9" t="str">
        <f>IF(Data!B51="","",IF(COUNTIFS(Data!A$1:'Data'!A51,Data!A51)&lt;=1,0,1))</f>
        <v/>
      </c>
      <c r="B51" s="9"/>
      <c r="C51" s="23" t="str">
        <f>IF(Data!C51="","",(IF(ISNUMBER(MATCH("*@*.?*",Data!C51,0)),0,1)+IF(COUNTIFS(Data!C$1:'Data'!C51,Data!C51)&gt;1,1,0)))</f>
        <v/>
      </c>
      <c r="D51" s="9" t="str">
        <f>IF(Data!B51="","",IF(ISNUMBER(Data!D51),IF(AND(Data!D51&gt;999999999,Data!D51&lt;=9999999999),IF(COUNTIFS(Data!D$1:'Data'!D51,Data!D51)&lt;=1,0,1),1),1))</f>
        <v/>
      </c>
      <c r="E51" s="9" t="str">
        <f>IF(Data!B51="","",IF(ISNUMBER(MATCH(Data!E51,Data_Val!$A$2:$A$3,0)),0,1))</f>
        <v/>
      </c>
      <c r="F51" s="9" t="str">
        <f ca="1">IF(Data!B51="","",IF(ISNUMBER(Data!F51),IF(AND(Data!F51&gt;(TODAY()-(Data_Val!$H$3*365.25)),Data!F51&lt;=(TODAY()-(Data_Val!$H$2*365.25))),0,1),1))</f>
        <v/>
      </c>
      <c r="G51" s="15" t="str">
        <f>IF(Data!B51="","",IF(AND(Data!G51="",Data!H51&lt;&gt;""),1,IF(Data!#REF!&lt;&gt;"",0,IF(ISNUMBER(MATCH(Data!G51,Data_Val!$C$2:$C$5,0)),0,1))))</f>
        <v/>
      </c>
      <c r="H51" s="15" t="str">
        <f>IF(Data!B51="","",IF(AND(Data!G51&lt;&gt;"",Data!H51=""),1,IF(Data!#REF!&lt;&gt;"",0,IF(Data!G51="",1,IF(ISNUMBER(MATCH(Data!H51,Data_Val!$D$2:$D$35,0)),0,1)))))</f>
        <v/>
      </c>
      <c r="I51" s="15" t="str">
        <f>IF(Data!B51="","",IF(Data!G51&lt;&gt;"",0,IF(ISNUMBER(MATCH(Data!#REF!,Data_Val!$E$2:$E$12,0)),0,1)))</f>
        <v/>
      </c>
      <c r="J51" s="16" t="e">
        <f>IF(OR(Data!B51="",Data!#REF!=""),"",IF(Data!#REF!="",1,0))</f>
        <v>#REF!</v>
      </c>
      <c r="K51" s="16" t="e">
        <f>IF(OR(Data!B51="",Data!#REF!=""),"",IF(Data!#REF!="",1,0))</f>
        <v>#REF!</v>
      </c>
      <c r="L51" s="16" t="e">
        <f>IF(OR(Data!B51="",Data!#REF!=""),"",IF(ISNUMBER(Data!#REF!),IF(AND(Data!#REF!&gt;Data_Val!$G$2,Data!#REF!&lt;=Data_Val!$G$3),0,1),1))</f>
        <v>#REF!</v>
      </c>
      <c r="M51" s="9" t="e">
        <f>IF(OR(Data!B51="",Data!#REF!=""),"",IF(ISNUMBER(MATCH(Data!#REF!,Data_Val!$F$1:$F$38,0)),0,1))</f>
        <v>#REF!</v>
      </c>
      <c r="N51" s="9" t="e">
        <f>IF(OR(Data!B51="",Data!#REF!=""),"",IF(Data!#REF!="",1,0))</f>
        <v>#REF!</v>
      </c>
      <c r="O51" s="17" t="e">
        <f>IF(Data!#REF!="","",IF(Data!#REF!="",1,0))</f>
        <v>#REF!</v>
      </c>
      <c r="P51" s="17" t="e">
        <f>IF(Data!#REF!="","",IF(ISNUMBER(MATCH(Data!#REF!,Data_Val!$A$2:$A$3,0)),0,1))</f>
        <v>#REF!</v>
      </c>
      <c r="Q51" s="25" t="e">
        <f ca="1">IF(Data!#REF!="","",IF(ISNUMBER(Data!#REF!),IF(AND(Data!#REF!&gt;(TODAY()-(Data_Val!$J$3*365.25)),Data!#REF!&lt;=(TODAY()-(Data_Val!$J$2*365.25))),0,1),1))</f>
        <v>#REF!</v>
      </c>
      <c r="R51" s="17" t="e">
        <f>IF(Data!#REF!="","",IF(ISNUMBER(MATCH(Data!#REF!,Data_Val!$B$2:$B$15,0)),0,1))</f>
        <v>#REF!</v>
      </c>
      <c r="S51" s="11" t="str">
        <f>IF(Data!G51="","",IF(Data!G51=Data_Val!$C$2,IF(Data!M51="",0,1),0))</f>
        <v/>
      </c>
      <c r="T51" s="11" t="str">
        <f>IF(Data!M51="","",IF(ISNUMBER(MATCH(Data!N51,Data_Val!$A$2:$A$3,0)),0,1))</f>
        <v/>
      </c>
      <c r="U51" s="11" t="str">
        <f ca="1">IF(Data!M51="","",IF(ISNUMBER(Data!O51),IF(AND(Data!O51&gt;(TODAY()-(Data_Val!$K$3*365.25)),Data!O51&lt;=(TODAY()-(Data_Val!$K$2*365.25))),0,1),1))</f>
        <v/>
      </c>
      <c r="V51" s="12" t="str">
        <f>IF(Data!G51="","",IF(Data!G51=Data_Val!$C$2,IF(Data!P51="",0,1),0))</f>
        <v/>
      </c>
      <c r="W51" s="12" t="str">
        <f>IF(Data!P51="","",IF(ISNUMBER(MATCH(Data!Q51,Data_Val!$A$2:$A$3,0)),0,1))</f>
        <v/>
      </c>
      <c r="X51" s="26" t="str">
        <f ca="1">IF(Data!P51="","",IF(ISNUMBER(Data!R51),IF(AND(Data!R51&gt;(TODAY()-(Data_Val!$L$3*365.25)),Data!R51&lt;=(TODAY()-(Data_Val!$L$2*365.25))),0,1),1))</f>
        <v/>
      </c>
      <c r="Y51" s="13" t="str">
        <f>IF(Data!$G51="","",IF(Data!$G51=Data_Val!$C$2,IF(Data!S51="",0,1),0))</f>
        <v/>
      </c>
      <c r="Z51" s="13" t="str">
        <f>IF(Data!S51="","",IF(ISNUMBER(MATCH(Data!T51,Data_Val!$A$2:$A$3,0)),0,1))</f>
        <v/>
      </c>
      <c r="AA51" s="28" t="str">
        <f ca="1">IF(Data!S51="","",IF(ISNUMBER(Data!U51),IF(AND(Data!U51&gt;(TODAY()-(Data_Val!$L$3*365.25)),Data!U51&lt;=(TODAY()-(Data_Val!$L$2*365.25))),0,1),1))</f>
        <v/>
      </c>
      <c r="AB51" s="11"/>
      <c r="AC51" s="11" t="e">
        <f>IF(Data!#REF!="","",IF(ISNUMBER(MATCH(Data!#REF!,Data_Val!$A$2:$A$3,0)),0,1))</f>
        <v>#REF!</v>
      </c>
      <c r="AD51" s="11" t="e">
        <f ca="1">IF(Data!#REF!="","",IF(ISNUMBER(Data!#REF!),IF(AND(Data!#REF!&gt;(TODAY()-(Data_Val!$L$3*365.25)),Data!#REF!&lt;=(TODAY()-(Data_Val!$L$2*365.25))),0,1),1))</f>
        <v>#REF!</v>
      </c>
      <c r="AE51" s="11" t="e">
        <f>IF(Data!#REF!="","",IF(Data!$G51="",1,IF(ISNUMBER(MATCH(Data!#REF!,Data_Val!$D$2:$D$10,0)),0,1)))</f>
        <v>#REF!</v>
      </c>
      <c r="AF51" s="12"/>
      <c r="AG51" s="12" t="e">
        <f>IF(Data!#REF!="","",IF(ISNUMBER(MATCH(Data!#REF!,Data_Val!$A$2:$A$3,0)),0,1))</f>
        <v>#REF!</v>
      </c>
      <c r="AH51" s="26" t="e">
        <f ca="1">IF(Data!#REF!="","",IF(ISNUMBER(Data!#REF!),IF(AND(Data!#REF!&gt;(TODAY()-(Data_Val!$L$3*365.25)),Data!#REF!&lt;=(TODAY()-(Data_Val!$L$2*365.25))),0,1),1))</f>
        <v>#REF!</v>
      </c>
      <c r="AI51" s="12" t="e">
        <f>IF(Data!#REF!="","",IF(Data!$G51="",1,IF(ISNUMBER(MATCH(Data!#REF!,Data_Val!$D$2:$D$10,0)),0,1)))</f>
        <v>#REF!</v>
      </c>
      <c r="AJ51" s="17"/>
      <c r="AK51" s="17" t="e">
        <f>IF(Data!#REF!="","",IF(ISNUMBER(MATCH(Data!#REF!,Data_Val!$A$2:$A$3,0)),0,1))</f>
        <v>#REF!</v>
      </c>
      <c r="AL51" s="25" t="e">
        <f ca="1">IF(Data!#REF!="","",IF(ISNUMBER(Data!#REF!),IF(AND(Data!#REF!&gt;(TODAY()-(Data_Val!$L$3*365.25)),Data!#REF!&lt;=(TODAY()-(Data_Val!$L$2*365.25))),0,1),1))</f>
        <v>#REF!</v>
      </c>
      <c r="AM51" s="17" t="e">
        <f>IF(Data!#REF!="","",IF(Data!$G51="",1,IF(ISNUMBER(MATCH(Data!#REF!,Data_Val!$D$2:$D$10,0)),0,1)))</f>
        <v>#REF!</v>
      </c>
      <c r="AN51" s="13"/>
      <c r="AO51" s="28" t="e">
        <f ca="1">IF(Data!#REF!="","",IF(ISNUMBER(Data!#REF!),IF(AND(Data!#REF!&gt;(TODAY()-(Data_Val!$I$3*365.25)),Data!#REF!&lt;=(TODAY()-(Data_Val!$I$2*365.25))),0,1),1))</f>
        <v>#REF!</v>
      </c>
      <c r="AP51" s="13" t="e">
        <f>IF(Data!#REF!="","",IF(Data!$G51="",1,IF(ISNUMBER(MATCH(Data!#REF!,Data_Val!$D$2:$D$10,0)),0,1)))</f>
        <v>#REF!</v>
      </c>
      <c r="AQ51" s="17"/>
      <c r="AR51" s="30" t="e">
        <f ca="1">IF(Data!#REF!="","",IF(ISNUMBER(Data!#REF!),IF(AND(Data!#REF!&gt;(TODAY()-(Data_Val!$I$3*365.25)),Data!#REF!&lt;=(TODAY()-(Data_Val!$I$2*365.25))),0,1),1))</f>
        <v>#REF!</v>
      </c>
      <c r="AS51" s="31" t="e">
        <f>IF(Data!#REF!="","",IF(Data!$G51="",1,IF(ISNUMBER(MATCH(Data!#REF!,Data_Val!$D$2:$D$10,0)),0,1)))</f>
        <v>#REF!</v>
      </c>
      <c r="AT51" s="11"/>
      <c r="AU51" s="11" t="e">
        <f ca="1">IF(Data!#REF!="","",IF(ISNUMBER(Data!#REF!),IF(AND(Data!#REF!&gt;(TODAY()-(Data_Val!$I$3*365.25)),Data!#REF!&lt;=(TODAY()-(Data_Val!$I$2*365.25))),0,1),1))</f>
        <v>#REF!</v>
      </c>
      <c r="AV51" s="11" t="e">
        <f>IF(Data!#REF!="","",IF(Data!$G51="",1,IF(ISNUMBER(MATCH(Data!#REF!,Data_Val!$D$2:$D$10,0)),0,1)))</f>
        <v>#REF!</v>
      </c>
      <c r="AW51" s="12"/>
      <c r="AX51" s="26" t="e">
        <f ca="1">IF(Data!#REF!="","",IF(ISNUMBER(Data!#REF!),IF(AND(Data!#REF!&gt;(TODAY()-(Data_Val!$I$3*365.25)),Data!#REF!&lt;=(TODAY()-(Data_Val!$I$2*365.25))),0,1),1))</f>
        <v>#REF!</v>
      </c>
      <c r="AY51" s="12" t="e">
        <f>IF(Data!#REF!="","",IF(Data!$G51="",1,IF(ISNUMBER(MATCH(Data!#REF!,Data_Val!$D$2:$D$10,0)),0,1)))</f>
        <v>#REF!</v>
      </c>
      <c r="AZ51" s="11"/>
      <c r="BA51" s="19" t="e">
        <f ca="1">IF(Data!#REF!="","",IF(ISNUMBER(Data!#REF!),IF(AND(Data!#REF!&gt;(TODAY()-(Data_Val!$M$3*365.25)),Data!#REF!&lt;=(TODAY()-(Data_Val!$M$2*365.25))),0,1),1))</f>
        <v>#REF!</v>
      </c>
      <c r="BB51" s="11" t="e">
        <f>IF(Data!#REF!="","",IF(Data!$G51="",1,IF(ISNUMBER(MATCH(Data!#REF!,Data_Val!$D$2:$D$10,0)),0,1)))</f>
        <v>#REF!</v>
      </c>
      <c r="BC51" s="12"/>
      <c r="BD51" s="20" t="e">
        <f ca="1">IF(Data!#REF!="","",IF(ISNUMBER(Data!#REF!),IF(AND(Data!#REF!&gt;(TODAY()-(Data_Val!$M$3*365.25)),Data!#REF!&lt;=(TODAY()-(Data_Val!$M$2*365.25))),0,1),1))</f>
        <v>#REF!</v>
      </c>
      <c r="BE51" s="12" t="e">
        <f>IF(Data!#REF!="","",IF(Data!$G51="",1,IF(ISNUMBER(MATCH(Data!#REF!,Data_Val!$D$2:$D$10,0)),0,1)))</f>
        <v>#REF!</v>
      </c>
      <c r="BF51" s="17"/>
      <c r="BG51" s="18" t="e">
        <f ca="1">IF(Data!#REF!="","",IF(ISNUMBER(Data!#REF!),IF(AND(Data!#REF!&gt;(TODAY()-(Data_Val!$M$3*365.25)),Data!#REF!&lt;=(TODAY()-(Data_Val!$M$2*365.25))),0,1),1))</f>
        <v>#REF!</v>
      </c>
      <c r="BH51" s="29" t="e">
        <f>IF(Data!#REF!="","",IF(Data!$G51="",1,IF(ISNUMBER(MATCH(Data!#REF!,Data_Val!$D$2:$D$10,0)),0,1)))</f>
        <v>#REF!</v>
      </c>
      <c r="BI51" s="13"/>
      <c r="BJ51" s="21" t="e">
        <f ca="1">IF(Data!#REF!="","",IF(ISNUMBER(Data!#REF!),IF(AND(Data!#REF!&gt;(TODAY()-(Data_Val!$M$3*365.25)),Data!#REF!&lt;=(TODAY()-(Data_Val!$M$2*365.25))),0,1),1))</f>
        <v>#REF!</v>
      </c>
      <c r="BK51" s="13" t="e">
        <f>IF(Data!#REF!="","",IF(Data!$G51="",1,IF(ISNUMBER(MATCH(Data!#REF!,Data_Val!$D$2:$D$10,0)),0,1)))</f>
        <v>#REF!</v>
      </c>
    </row>
    <row r="52" spans="1:63" x14ac:dyDescent="0.25">
      <c r="A52" s="9" t="str">
        <f>IF(Data!B52="","",IF(COUNTIFS(Data!A$1:'Data'!A52,Data!A52)&lt;=1,0,1))</f>
        <v/>
      </c>
      <c r="B52" s="9"/>
      <c r="C52" s="23" t="str">
        <f>IF(Data!C52="","",(IF(ISNUMBER(MATCH("*@*.?*",Data!C52,0)),0,1)+IF(COUNTIFS(Data!C$1:'Data'!C52,Data!C52)&gt;1,1,0)))</f>
        <v/>
      </c>
      <c r="D52" s="9" t="str">
        <f>IF(Data!B52="","",IF(ISNUMBER(Data!D52),IF(AND(Data!D52&gt;999999999,Data!D52&lt;=9999999999),IF(COUNTIFS(Data!D$1:'Data'!D52,Data!D52)&lt;=1,0,1),1),1))</f>
        <v/>
      </c>
      <c r="E52" s="9" t="str">
        <f>IF(Data!B52="","",IF(ISNUMBER(MATCH(Data!E52,Data_Val!$A$2:$A$3,0)),0,1))</f>
        <v/>
      </c>
      <c r="F52" s="9" t="str">
        <f ca="1">IF(Data!B52="","",IF(ISNUMBER(Data!F52),IF(AND(Data!F52&gt;(TODAY()-(Data_Val!$H$3*365.25)),Data!F52&lt;=(TODAY()-(Data_Val!$H$2*365.25))),0,1),1))</f>
        <v/>
      </c>
      <c r="G52" s="15" t="str">
        <f>IF(Data!B52="","",IF(AND(Data!G52="",Data!H52&lt;&gt;""),1,IF(Data!#REF!&lt;&gt;"",0,IF(ISNUMBER(MATCH(Data!G52,Data_Val!$C$2:$C$5,0)),0,1))))</f>
        <v/>
      </c>
      <c r="H52" s="15" t="str">
        <f>IF(Data!B52="","",IF(AND(Data!G52&lt;&gt;"",Data!H52=""),1,IF(Data!#REF!&lt;&gt;"",0,IF(Data!G52="",1,IF(ISNUMBER(MATCH(Data!H52,Data_Val!$D$2:$D$35,0)),0,1)))))</f>
        <v/>
      </c>
      <c r="I52" s="15" t="str">
        <f>IF(Data!B52="","",IF(Data!G52&lt;&gt;"",0,IF(ISNUMBER(MATCH(Data!#REF!,Data_Val!$E$2:$E$12,0)),0,1)))</f>
        <v/>
      </c>
      <c r="J52" s="16" t="e">
        <f>IF(OR(Data!B52="",Data!#REF!=""),"",IF(Data!#REF!="",1,0))</f>
        <v>#REF!</v>
      </c>
      <c r="K52" s="16" t="e">
        <f>IF(OR(Data!B52="",Data!#REF!=""),"",IF(Data!#REF!="",1,0))</f>
        <v>#REF!</v>
      </c>
      <c r="L52" s="16" t="e">
        <f>IF(OR(Data!B52="",Data!#REF!=""),"",IF(ISNUMBER(Data!#REF!),IF(AND(Data!#REF!&gt;Data_Val!$G$2,Data!#REF!&lt;=Data_Val!$G$3),0,1),1))</f>
        <v>#REF!</v>
      </c>
      <c r="M52" s="9" t="e">
        <f>IF(OR(Data!B52="",Data!#REF!=""),"",IF(ISNUMBER(MATCH(Data!#REF!,Data_Val!$F$1:$F$38,0)),0,1))</f>
        <v>#REF!</v>
      </c>
      <c r="N52" s="9" t="e">
        <f>IF(OR(Data!B52="",Data!#REF!=""),"",IF(Data!#REF!="",1,0))</f>
        <v>#REF!</v>
      </c>
      <c r="O52" s="17" t="e">
        <f>IF(Data!#REF!="","",IF(Data!#REF!="",1,0))</f>
        <v>#REF!</v>
      </c>
      <c r="P52" s="17" t="e">
        <f>IF(Data!#REF!="","",IF(ISNUMBER(MATCH(Data!#REF!,Data_Val!$A$2:$A$3,0)),0,1))</f>
        <v>#REF!</v>
      </c>
      <c r="Q52" s="25" t="e">
        <f ca="1">IF(Data!#REF!="","",IF(ISNUMBER(Data!#REF!),IF(AND(Data!#REF!&gt;(TODAY()-(Data_Val!$J$3*365.25)),Data!#REF!&lt;=(TODAY()-(Data_Val!$J$2*365.25))),0,1),1))</f>
        <v>#REF!</v>
      </c>
      <c r="R52" s="17" t="e">
        <f>IF(Data!#REF!="","",IF(ISNUMBER(MATCH(Data!#REF!,Data_Val!$B$2:$B$15,0)),0,1))</f>
        <v>#REF!</v>
      </c>
      <c r="S52" s="11" t="str">
        <f>IF(Data!G52="","",IF(Data!G52=Data_Val!$C$2,IF(Data!M52="",0,1),0))</f>
        <v/>
      </c>
      <c r="T52" s="11" t="str">
        <f>IF(Data!M52="","",IF(ISNUMBER(MATCH(Data!N52,Data_Val!$A$2:$A$3,0)),0,1))</f>
        <v/>
      </c>
      <c r="U52" s="11" t="str">
        <f ca="1">IF(Data!M52="","",IF(ISNUMBER(Data!O52),IF(AND(Data!O52&gt;(TODAY()-(Data_Val!$K$3*365.25)),Data!O52&lt;=(TODAY()-(Data_Val!$K$2*365.25))),0,1),1))</f>
        <v/>
      </c>
      <c r="V52" s="12" t="str">
        <f>IF(Data!G52="","",IF(Data!G52=Data_Val!$C$2,IF(Data!P52="",0,1),0))</f>
        <v/>
      </c>
      <c r="W52" s="12" t="str">
        <f>IF(Data!P52="","",IF(ISNUMBER(MATCH(Data!Q52,Data_Val!$A$2:$A$3,0)),0,1))</f>
        <v/>
      </c>
      <c r="X52" s="26" t="str">
        <f ca="1">IF(Data!P52="","",IF(ISNUMBER(Data!R52),IF(AND(Data!R52&gt;(TODAY()-(Data_Val!$L$3*365.25)),Data!R52&lt;=(TODAY()-(Data_Val!$L$2*365.25))),0,1),1))</f>
        <v/>
      </c>
      <c r="Y52" s="13" t="str">
        <f>IF(Data!$G52="","",IF(Data!$G52=Data_Val!$C$2,IF(Data!S52="",0,1),0))</f>
        <v/>
      </c>
      <c r="Z52" s="13" t="str">
        <f>IF(Data!S52="","",IF(ISNUMBER(MATCH(Data!T52,Data_Val!$A$2:$A$3,0)),0,1))</f>
        <v/>
      </c>
      <c r="AA52" s="28" t="str">
        <f ca="1">IF(Data!S52="","",IF(ISNUMBER(Data!U52),IF(AND(Data!U52&gt;(TODAY()-(Data_Val!$L$3*365.25)),Data!U52&lt;=(TODAY()-(Data_Val!$L$2*365.25))),0,1),1))</f>
        <v/>
      </c>
      <c r="AB52" s="11"/>
      <c r="AC52" s="11" t="e">
        <f>IF(Data!#REF!="","",IF(ISNUMBER(MATCH(Data!#REF!,Data_Val!$A$2:$A$3,0)),0,1))</f>
        <v>#REF!</v>
      </c>
      <c r="AD52" s="11" t="e">
        <f ca="1">IF(Data!#REF!="","",IF(ISNUMBER(Data!#REF!),IF(AND(Data!#REF!&gt;(TODAY()-(Data_Val!$L$3*365.25)),Data!#REF!&lt;=(TODAY()-(Data_Val!$L$2*365.25))),0,1),1))</f>
        <v>#REF!</v>
      </c>
      <c r="AE52" s="11" t="e">
        <f>IF(Data!#REF!="","",IF(Data!$G52="",1,IF(ISNUMBER(MATCH(Data!#REF!,Data_Val!$D$2:$D$10,0)),0,1)))</f>
        <v>#REF!</v>
      </c>
      <c r="AF52" s="12"/>
      <c r="AG52" s="12" t="e">
        <f>IF(Data!#REF!="","",IF(ISNUMBER(MATCH(Data!#REF!,Data_Val!$A$2:$A$3,0)),0,1))</f>
        <v>#REF!</v>
      </c>
      <c r="AH52" s="26" t="e">
        <f ca="1">IF(Data!#REF!="","",IF(ISNUMBER(Data!#REF!),IF(AND(Data!#REF!&gt;(TODAY()-(Data_Val!$L$3*365.25)),Data!#REF!&lt;=(TODAY()-(Data_Val!$L$2*365.25))),0,1),1))</f>
        <v>#REF!</v>
      </c>
      <c r="AI52" s="12" t="e">
        <f>IF(Data!#REF!="","",IF(Data!$G52="",1,IF(ISNUMBER(MATCH(Data!#REF!,Data_Val!$D$2:$D$10,0)),0,1)))</f>
        <v>#REF!</v>
      </c>
      <c r="AJ52" s="17"/>
      <c r="AK52" s="17" t="e">
        <f>IF(Data!#REF!="","",IF(ISNUMBER(MATCH(Data!#REF!,Data_Val!$A$2:$A$3,0)),0,1))</f>
        <v>#REF!</v>
      </c>
      <c r="AL52" s="25" t="e">
        <f ca="1">IF(Data!#REF!="","",IF(ISNUMBER(Data!#REF!),IF(AND(Data!#REF!&gt;(TODAY()-(Data_Val!$L$3*365.25)),Data!#REF!&lt;=(TODAY()-(Data_Val!$L$2*365.25))),0,1),1))</f>
        <v>#REF!</v>
      </c>
      <c r="AM52" s="17" t="e">
        <f>IF(Data!#REF!="","",IF(Data!$G52="",1,IF(ISNUMBER(MATCH(Data!#REF!,Data_Val!$D$2:$D$10,0)),0,1)))</f>
        <v>#REF!</v>
      </c>
      <c r="AN52" s="13"/>
      <c r="AO52" s="28" t="e">
        <f ca="1">IF(Data!#REF!="","",IF(ISNUMBER(Data!#REF!),IF(AND(Data!#REF!&gt;(TODAY()-(Data_Val!$I$3*365.25)),Data!#REF!&lt;=(TODAY()-(Data_Val!$I$2*365.25))),0,1),1))</f>
        <v>#REF!</v>
      </c>
      <c r="AP52" s="13" t="e">
        <f>IF(Data!#REF!="","",IF(Data!$G52="",1,IF(ISNUMBER(MATCH(Data!#REF!,Data_Val!$D$2:$D$10,0)),0,1)))</f>
        <v>#REF!</v>
      </c>
      <c r="AQ52" s="17"/>
      <c r="AR52" s="30" t="e">
        <f ca="1">IF(Data!#REF!="","",IF(ISNUMBER(Data!#REF!),IF(AND(Data!#REF!&gt;(TODAY()-(Data_Val!$I$3*365.25)),Data!#REF!&lt;=(TODAY()-(Data_Val!$I$2*365.25))),0,1),1))</f>
        <v>#REF!</v>
      </c>
      <c r="AS52" s="31" t="e">
        <f>IF(Data!#REF!="","",IF(Data!$G52="",1,IF(ISNUMBER(MATCH(Data!#REF!,Data_Val!$D$2:$D$10,0)),0,1)))</f>
        <v>#REF!</v>
      </c>
      <c r="AT52" s="11"/>
      <c r="AU52" s="11" t="e">
        <f ca="1">IF(Data!#REF!="","",IF(ISNUMBER(Data!#REF!),IF(AND(Data!#REF!&gt;(TODAY()-(Data_Val!$I$3*365.25)),Data!#REF!&lt;=(TODAY()-(Data_Val!$I$2*365.25))),0,1),1))</f>
        <v>#REF!</v>
      </c>
      <c r="AV52" s="11" t="e">
        <f>IF(Data!#REF!="","",IF(Data!$G52="",1,IF(ISNUMBER(MATCH(Data!#REF!,Data_Val!$D$2:$D$10,0)),0,1)))</f>
        <v>#REF!</v>
      </c>
      <c r="AW52" s="12"/>
      <c r="AX52" s="26" t="e">
        <f ca="1">IF(Data!#REF!="","",IF(ISNUMBER(Data!#REF!),IF(AND(Data!#REF!&gt;(TODAY()-(Data_Val!$I$3*365.25)),Data!#REF!&lt;=(TODAY()-(Data_Val!$I$2*365.25))),0,1),1))</f>
        <v>#REF!</v>
      </c>
      <c r="AY52" s="12" t="e">
        <f>IF(Data!#REF!="","",IF(Data!$G52="",1,IF(ISNUMBER(MATCH(Data!#REF!,Data_Val!$D$2:$D$10,0)),0,1)))</f>
        <v>#REF!</v>
      </c>
      <c r="AZ52" s="11"/>
      <c r="BA52" s="19" t="e">
        <f ca="1">IF(Data!#REF!="","",IF(ISNUMBER(Data!#REF!),IF(AND(Data!#REF!&gt;(TODAY()-(Data_Val!$M$3*365.25)),Data!#REF!&lt;=(TODAY()-(Data_Val!$M$2*365.25))),0,1),1))</f>
        <v>#REF!</v>
      </c>
      <c r="BB52" s="11" t="e">
        <f>IF(Data!#REF!="","",IF(Data!$G52="",1,IF(ISNUMBER(MATCH(Data!#REF!,Data_Val!$D$2:$D$10,0)),0,1)))</f>
        <v>#REF!</v>
      </c>
      <c r="BC52" s="12"/>
      <c r="BD52" s="20" t="e">
        <f ca="1">IF(Data!#REF!="","",IF(ISNUMBER(Data!#REF!),IF(AND(Data!#REF!&gt;(TODAY()-(Data_Val!$M$3*365.25)),Data!#REF!&lt;=(TODAY()-(Data_Val!$M$2*365.25))),0,1),1))</f>
        <v>#REF!</v>
      </c>
      <c r="BE52" s="12" t="e">
        <f>IF(Data!#REF!="","",IF(Data!$G52="",1,IF(ISNUMBER(MATCH(Data!#REF!,Data_Val!$D$2:$D$10,0)),0,1)))</f>
        <v>#REF!</v>
      </c>
      <c r="BF52" s="17"/>
      <c r="BG52" s="18" t="e">
        <f ca="1">IF(Data!#REF!="","",IF(ISNUMBER(Data!#REF!),IF(AND(Data!#REF!&gt;(TODAY()-(Data_Val!$M$3*365.25)),Data!#REF!&lt;=(TODAY()-(Data_Val!$M$2*365.25))),0,1),1))</f>
        <v>#REF!</v>
      </c>
      <c r="BH52" s="29" t="e">
        <f>IF(Data!#REF!="","",IF(Data!$G52="",1,IF(ISNUMBER(MATCH(Data!#REF!,Data_Val!$D$2:$D$10,0)),0,1)))</f>
        <v>#REF!</v>
      </c>
      <c r="BI52" s="13"/>
      <c r="BJ52" s="21" t="e">
        <f ca="1">IF(Data!#REF!="","",IF(ISNUMBER(Data!#REF!),IF(AND(Data!#REF!&gt;(TODAY()-(Data_Val!$M$3*365.25)),Data!#REF!&lt;=(TODAY()-(Data_Val!$M$2*365.25))),0,1),1))</f>
        <v>#REF!</v>
      </c>
      <c r="BK52" s="13" t="e">
        <f>IF(Data!#REF!="","",IF(Data!$G52="",1,IF(ISNUMBER(MATCH(Data!#REF!,Data_Val!$D$2:$D$10,0)),0,1)))</f>
        <v>#REF!</v>
      </c>
    </row>
    <row r="53" spans="1:63" x14ac:dyDescent="0.25">
      <c r="A53" s="9" t="str">
        <f>IF(Data!B53="","",IF(COUNTIFS(Data!A$1:'Data'!A53,Data!A53)&lt;=1,0,1))</f>
        <v/>
      </c>
      <c r="B53" s="9"/>
      <c r="C53" s="23" t="str">
        <f>IF(Data!C53="","",(IF(ISNUMBER(MATCH("*@*.?*",Data!C53,0)),0,1)+IF(COUNTIFS(Data!C$1:'Data'!C53,Data!C53)&gt;1,1,0)))</f>
        <v/>
      </c>
      <c r="D53" s="9" t="str">
        <f>IF(Data!B53="","",IF(ISNUMBER(Data!D53),IF(AND(Data!D53&gt;999999999,Data!D53&lt;=9999999999),IF(COUNTIFS(Data!D$1:'Data'!D53,Data!D53)&lt;=1,0,1),1),1))</f>
        <v/>
      </c>
      <c r="E53" s="9" t="str">
        <f>IF(Data!B53="","",IF(ISNUMBER(MATCH(Data!E53,Data_Val!$A$2:$A$3,0)),0,1))</f>
        <v/>
      </c>
      <c r="F53" s="9" t="str">
        <f ca="1">IF(Data!B53="","",IF(ISNUMBER(Data!F53),IF(AND(Data!F53&gt;(TODAY()-(Data_Val!$H$3*365.25)),Data!F53&lt;=(TODAY()-(Data_Val!$H$2*365.25))),0,1),1))</f>
        <v/>
      </c>
      <c r="G53" s="15" t="str">
        <f>IF(Data!B53="","",IF(AND(Data!G53="",Data!H53&lt;&gt;""),1,IF(Data!#REF!&lt;&gt;"",0,IF(ISNUMBER(MATCH(Data!G53,Data_Val!$C$2:$C$5,0)),0,1))))</f>
        <v/>
      </c>
      <c r="H53" s="15" t="str">
        <f>IF(Data!B53="","",IF(AND(Data!G53&lt;&gt;"",Data!H53=""),1,IF(Data!#REF!&lt;&gt;"",0,IF(Data!G53="",1,IF(ISNUMBER(MATCH(Data!H53,Data_Val!$D$2:$D$35,0)),0,1)))))</f>
        <v/>
      </c>
      <c r="I53" s="15" t="str">
        <f>IF(Data!B53="","",IF(Data!G53&lt;&gt;"",0,IF(ISNUMBER(MATCH(Data!#REF!,Data_Val!$E$2:$E$12,0)),0,1)))</f>
        <v/>
      </c>
      <c r="J53" s="16" t="e">
        <f>IF(OR(Data!B53="",Data!#REF!=""),"",IF(Data!#REF!="",1,0))</f>
        <v>#REF!</v>
      </c>
      <c r="K53" s="16" t="e">
        <f>IF(OR(Data!B53="",Data!#REF!=""),"",IF(Data!#REF!="",1,0))</f>
        <v>#REF!</v>
      </c>
      <c r="L53" s="16" t="e">
        <f>IF(OR(Data!B53="",Data!#REF!=""),"",IF(ISNUMBER(Data!#REF!),IF(AND(Data!#REF!&gt;Data_Val!$G$2,Data!#REF!&lt;=Data_Val!$G$3),0,1),1))</f>
        <v>#REF!</v>
      </c>
      <c r="M53" s="9" t="e">
        <f>IF(OR(Data!B53="",Data!#REF!=""),"",IF(ISNUMBER(MATCH(Data!#REF!,Data_Val!$F$1:$F$38,0)),0,1))</f>
        <v>#REF!</v>
      </c>
      <c r="N53" s="9" t="e">
        <f>IF(OR(Data!B53="",Data!#REF!=""),"",IF(Data!#REF!="",1,0))</f>
        <v>#REF!</v>
      </c>
      <c r="O53" s="17" t="e">
        <f>IF(Data!#REF!="","",IF(Data!#REF!="",1,0))</f>
        <v>#REF!</v>
      </c>
      <c r="P53" s="17" t="e">
        <f>IF(Data!#REF!="","",IF(ISNUMBER(MATCH(Data!#REF!,Data_Val!$A$2:$A$3,0)),0,1))</f>
        <v>#REF!</v>
      </c>
      <c r="Q53" s="25" t="e">
        <f ca="1">IF(Data!#REF!="","",IF(ISNUMBER(Data!#REF!),IF(AND(Data!#REF!&gt;(TODAY()-(Data_Val!$J$3*365.25)),Data!#REF!&lt;=(TODAY()-(Data_Val!$J$2*365.25))),0,1),1))</f>
        <v>#REF!</v>
      </c>
      <c r="R53" s="17" t="e">
        <f>IF(Data!#REF!="","",IF(ISNUMBER(MATCH(Data!#REF!,Data_Val!$B$2:$B$15,0)),0,1))</f>
        <v>#REF!</v>
      </c>
      <c r="S53" s="11" t="str">
        <f>IF(Data!G53="","",IF(Data!G53=Data_Val!$C$2,IF(Data!M53="",0,1),0))</f>
        <v/>
      </c>
      <c r="T53" s="11" t="str">
        <f>IF(Data!M53="","",IF(ISNUMBER(MATCH(Data!N53,Data_Val!$A$2:$A$3,0)),0,1))</f>
        <v/>
      </c>
      <c r="U53" s="11" t="str">
        <f ca="1">IF(Data!M53="","",IF(ISNUMBER(Data!O53),IF(AND(Data!O53&gt;(TODAY()-(Data_Val!$K$3*365.25)),Data!O53&lt;=(TODAY()-(Data_Val!$K$2*365.25))),0,1),1))</f>
        <v/>
      </c>
      <c r="V53" s="12" t="str">
        <f>IF(Data!G53="","",IF(Data!G53=Data_Val!$C$2,IF(Data!P53="",0,1),0))</f>
        <v/>
      </c>
      <c r="W53" s="12" t="str">
        <f>IF(Data!P53="","",IF(ISNUMBER(MATCH(Data!Q53,Data_Val!$A$2:$A$3,0)),0,1))</f>
        <v/>
      </c>
      <c r="X53" s="26" t="str">
        <f ca="1">IF(Data!P53="","",IF(ISNUMBER(Data!R53),IF(AND(Data!R53&gt;(TODAY()-(Data_Val!$L$3*365.25)),Data!R53&lt;=(TODAY()-(Data_Val!$L$2*365.25))),0,1),1))</f>
        <v/>
      </c>
      <c r="Y53" s="13" t="str">
        <f>IF(Data!$G53="","",IF(Data!$G53=Data_Val!$C$2,IF(Data!S53="",0,1),0))</f>
        <v/>
      </c>
      <c r="Z53" s="13" t="str">
        <f>IF(Data!S53="","",IF(ISNUMBER(MATCH(Data!T53,Data_Val!$A$2:$A$3,0)),0,1))</f>
        <v/>
      </c>
      <c r="AA53" s="28" t="str">
        <f ca="1">IF(Data!S53="","",IF(ISNUMBER(Data!U53),IF(AND(Data!U53&gt;(TODAY()-(Data_Val!$L$3*365.25)),Data!U53&lt;=(TODAY()-(Data_Val!$L$2*365.25))),0,1),1))</f>
        <v/>
      </c>
      <c r="AB53" s="11"/>
      <c r="AC53" s="11" t="e">
        <f>IF(Data!#REF!="","",IF(ISNUMBER(MATCH(Data!#REF!,Data_Val!$A$2:$A$3,0)),0,1))</f>
        <v>#REF!</v>
      </c>
      <c r="AD53" s="11" t="e">
        <f ca="1">IF(Data!#REF!="","",IF(ISNUMBER(Data!#REF!),IF(AND(Data!#REF!&gt;(TODAY()-(Data_Val!$L$3*365.25)),Data!#REF!&lt;=(TODAY()-(Data_Val!$L$2*365.25))),0,1),1))</f>
        <v>#REF!</v>
      </c>
      <c r="AE53" s="11" t="e">
        <f>IF(Data!#REF!="","",IF(Data!$G53="",1,IF(ISNUMBER(MATCH(Data!#REF!,Data_Val!$D$2:$D$10,0)),0,1)))</f>
        <v>#REF!</v>
      </c>
      <c r="AF53" s="12"/>
      <c r="AG53" s="12" t="e">
        <f>IF(Data!#REF!="","",IF(ISNUMBER(MATCH(Data!#REF!,Data_Val!$A$2:$A$3,0)),0,1))</f>
        <v>#REF!</v>
      </c>
      <c r="AH53" s="26" t="e">
        <f ca="1">IF(Data!#REF!="","",IF(ISNUMBER(Data!#REF!),IF(AND(Data!#REF!&gt;(TODAY()-(Data_Val!$L$3*365.25)),Data!#REF!&lt;=(TODAY()-(Data_Val!$L$2*365.25))),0,1),1))</f>
        <v>#REF!</v>
      </c>
      <c r="AI53" s="12" t="e">
        <f>IF(Data!#REF!="","",IF(Data!$G53="",1,IF(ISNUMBER(MATCH(Data!#REF!,Data_Val!$D$2:$D$10,0)),0,1)))</f>
        <v>#REF!</v>
      </c>
      <c r="AJ53" s="17"/>
      <c r="AK53" s="17" t="e">
        <f>IF(Data!#REF!="","",IF(ISNUMBER(MATCH(Data!#REF!,Data_Val!$A$2:$A$3,0)),0,1))</f>
        <v>#REF!</v>
      </c>
      <c r="AL53" s="25" t="e">
        <f ca="1">IF(Data!#REF!="","",IF(ISNUMBER(Data!#REF!),IF(AND(Data!#REF!&gt;(TODAY()-(Data_Val!$L$3*365.25)),Data!#REF!&lt;=(TODAY()-(Data_Val!$L$2*365.25))),0,1),1))</f>
        <v>#REF!</v>
      </c>
      <c r="AM53" s="17" t="e">
        <f>IF(Data!#REF!="","",IF(Data!$G53="",1,IF(ISNUMBER(MATCH(Data!#REF!,Data_Val!$D$2:$D$10,0)),0,1)))</f>
        <v>#REF!</v>
      </c>
      <c r="AN53" s="13"/>
      <c r="AO53" s="28" t="e">
        <f ca="1">IF(Data!#REF!="","",IF(ISNUMBER(Data!#REF!),IF(AND(Data!#REF!&gt;(TODAY()-(Data_Val!$I$3*365.25)),Data!#REF!&lt;=(TODAY()-(Data_Val!$I$2*365.25))),0,1),1))</f>
        <v>#REF!</v>
      </c>
      <c r="AP53" s="13" t="e">
        <f>IF(Data!#REF!="","",IF(Data!$G53="",1,IF(ISNUMBER(MATCH(Data!#REF!,Data_Val!$D$2:$D$10,0)),0,1)))</f>
        <v>#REF!</v>
      </c>
      <c r="AQ53" s="17"/>
      <c r="AR53" s="30" t="e">
        <f ca="1">IF(Data!#REF!="","",IF(ISNUMBER(Data!#REF!),IF(AND(Data!#REF!&gt;(TODAY()-(Data_Val!$I$3*365.25)),Data!#REF!&lt;=(TODAY()-(Data_Val!$I$2*365.25))),0,1),1))</f>
        <v>#REF!</v>
      </c>
      <c r="AS53" s="31" t="e">
        <f>IF(Data!#REF!="","",IF(Data!$G53="",1,IF(ISNUMBER(MATCH(Data!#REF!,Data_Val!$D$2:$D$10,0)),0,1)))</f>
        <v>#REF!</v>
      </c>
      <c r="AT53" s="11"/>
      <c r="AU53" s="11" t="e">
        <f ca="1">IF(Data!#REF!="","",IF(ISNUMBER(Data!#REF!),IF(AND(Data!#REF!&gt;(TODAY()-(Data_Val!$I$3*365.25)),Data!#REF!&lt;=(TODAY()-(Data_Val!$I$2*365.25))),0,1),1))</f>
        <v>#REF!</v>
      </c>
      <c r="AV53" s="11" t="e">
        <f>IF(Data!#REF!="","",IF(Data!$G53="",1,IF(ISNUMBER(MATCH(Data!#REF!,Data_Val!$D$2:$D$10,0)),0,1)))</f>
        <v>#REF!</v>
      </c>
      <c r="AW53" s="12"/>
      <c r="AX53" s="26" t="e">
        <f ca="1">IF(Data!#REF!="","",IF(ISNUMBER(Data!#REF!),IF(AND(Data!#REF!&gt;(TODAY()-(Data_Val!$I$3*365.25)),Data!#REF!&lt;=(TODAY()-(Data_Val!$I$2*365.25))),0,1),1))</f>
        <v>#REF!</v>
      </c>
      <c r="AY53" s="12" t="e">
        <f>IF(Data!#REF!="","",IF(Data!$G53="",1,IF(ISNUMBER(MATCH(Data!#REF!,Data_Val!$D$2:$D$10,0)),0,1)))</f>
        <v>#REF!</v>
      </c>
      <c r="AZ53" s="11"/>
      <c r="BA53" s="19" t="e">
        <f ca="1">IF(Data!#REF!="","",IF(ISNUMBER(Data!#REF!),IF(AND(Data!#REF!&gt;(TODAY()-(Data_Val!$M$3*365.25)),Data!#REF!&lt;=(TODAY()-(Data_Val!$M$2*365.25))),0,1),1))</f>
        <v>#REF!</v>
      </c>
      <c r="BB53" s="11" t="e">
        <f>IF(Data!#REF!="","",IF(Data!$G53="",1,IF(ISNUMBER(MATCH(Data!#REF!,Data_Val!$D$2:$D$10,0)),0,1)))</f>
        <v>#REF!</v>
      </c>
      <c r="BC53" s="12"/>
      <c r="BD53" s="20" t="e">
        <f ca="1">IF(Data!#REF!="","",IF(ISNUMBER(Data!#REF!),IF(AND(Data!#REF!&gt;(TODAY()-(Data_Val!$M$3*365.25)),Data!#REF!&lt;=(TODAY()-(Data_Val!$M$2*365.25))),0,1),1))</f>
        <v>#REF!</v>
      </c>
      <c r="BE53" s="12" t="e">
        <f>IF(Data!#REF!="","",IF(Data!$G53="",1,IF(ISNUMBER(MATCH(Data!#REF!,Data_Val!$D$2:$D$10,0)),0,1)))</f>
        <v>#REF!</v>
      </c>
      <c r="BF53" s="17"/>
      <c r="BG53" s="18" t="e">
        <f ca="1">IF(Data!#REF!="","",IF(ISNUMBER(Data!#REF!),IF(AND(Data!#REF!&gt;(TODAY()-(Data_Val!$M$3*365.25)),Data!#REF!&lt;=(TODAY()-(Data_Val!$M$2*365.25))),0,1),1))</f>
        <v>#REF!</v>
      </c>
      <c r="BH53" s="29" t="e">
        <f>IF(Data!#REF!="","",IF(Data!$G53="",1,IF(ISNUMBER(MATCH(Data!#REF!,Data_Val!$D$2:$D$10,0)),0,1)))</f>
        <v>#REF!</v>
      </c>
      <c r="BI53" s="13"/>
      <c r="BJ53" s="21" t="e">
        <f ca="1">IF(Data!#REF!="","",IF(ISNUMBER(Data!#REF!),IF(AND(Data!#REF!&gt;(TODAY()-(Data_Val!$M$3*365.25)),Data!#REF!&lt;=(TODAY()-(Data_Val!$M$2*365.25))),0,1),1))</f>
        <v>#REF!</v>
      </c>
      <c r="BK53" s="13" t="e">
        <f>IF(Data!#REF!="","",IF(Data!$G53="",1,IF(ISNUMBER(MATCH(Data!#REF!,Data_Val!$D$2:$D$10,0)),0,1)))</f>
        <v>#REF!</v>
      </c>
    </row>
    <row r="54" spans="1:63" x14ac:dyDescent="0.25">
      <c r="A54" s="9" t="str">
        <f>IF(Data!B54="","",IF(COUNTIFS(Data!A$1:'Data'!A54,Data!A54)&lt;=1,0,1))</f>
        <v/>
      </c>
      <c r="B54" s="9"/>
      <c r="C54" s="23" t="str">
        <f>IF(Data!C54="","",(IF(ISNUMBER(MATCH("*@*.?*",Data!C54,0)),0,1)+IF(COUNTIFS(Data!C$1:'Data'!C54,Data!C54)&gt;1,1,0)))</f>
        <v/>
      </c>
      <c r="D54" s="9" t="str">
        <f>IF(Data!B54="","",IF(ISNUMBER(Data!D54),IF(AND(Data!D54&gt;999999999,Data!D54&lt;=9999999999),IF(COUNTIFS(Data!D$1:'Data'!D54,Data!D54)&lt;=1,0,1),1),1))</f>
        <v/>
      </c>
      <c r="E54" s="9" t="str">
        <f>IF(Data!B54="","",IF(ISNUMBER(MATCH(Data!E54,Data_Val!$A$2:$A$3,0)),0,1))</f>
        <v/>
      </c>
      <c r="F54" s="9" t="str">
        <f ca="1">IF(Data!B54="","",IF(ISNUMBER(Data!F54),IF(AND(Data!F54&gt;(TODAY()-(Data_Val!$H$3*365.25)),Data!F54&lt;=(TODAY()-(Data_Val!$H$2*365.25))),0,1),1))</f>
        <v/>
      </c>
      <c r="G54" s="15" t="str">
        <f>IF(Data!B54="","",IF(AND(Data!G54="",Data!H54&lt;&gt;""),1,IF(Data!#REF!&lt;&gt;"",0,IF(ISNUMBER(MATCH(Data!G54,Data_Val!$C$2:$C$5,0)),0,1))))</f>
        <v/>
      </c>
      <c r="H54" s="15" t="str">
        <f>IF(Data!B54="","",IF(AND(Data!G54&lt;&gt;"",Data!H54=""),1,IF(Data!#REF!&lt;&gt;"",0,IF(Data!G54="",1,IF(ISNUMBER(MATCH(Data!H54,Data_Val!$D$2:$D$35,0)),0,1)))))</f>
        <v/>
      </c>
      <c r="I54" s="15" t="str">
        <f>IF(Data!B54="","",IF(Data!G54&lt;&gt;"",0,IF(ISNUMBER(MATCH(Data!#REF!,Data_Val!$E$2:$E$12,0)),0,1)))</f>
        <v/>
      </c>
      <c r="J54" s="16" t="e">
        <f>IF(OR(Data!B54="",Data!#REF!=""),"",IF(Data!#REF!="",1,0))</f>
        <v>#REF!</v>
      </c>
      <c r="K54" s="16" t="e">
        <f>IF(OR(Data!B54="",Data!#REF!=""),"",IF(Data!#REF!="",1,0))</f>
        <v>#REF!</v>
      </c>
      <c r="L54" s="16" t="e">
        <f>IF(OR(Data!B54="",Data!#REF!=""),"",IF(ISNUMBER(Data!#REF!),IF(AND(Data!#REF!&gt;Data_Val!$G$2,Data!#REF!&lt;=Data_Val!$G$3),0,1),1))</f>
        <v>#REF!</v>
      </c>
      <c r="M54" s="9" t="e">
        <f>IF(OR(Data!B54="",Data!#REF!=""),"",IF(ISNUMBER(MATCH(Data!#REF!,Data_Val!$F$1:$F$38,0)),0,1))</f>
        <v>#REF!</v>
      </c>
      <c r="N54" s="9" t="e">
        <f>IF(OR(Data!B54="",Data!#REF!=""),"",IF(Data!#REF!="",1,0))</f>
        <v>#REF!</v>
      </c>
      <c r="O54" s="17" t="e">
        <f>IF(Data!#REF!="","",IF(Data!#REF!="",1,0))</f>
        <v>#REF!</v>
      </c>
      <c r="P54" s="17" t="e">
        <f>IF(Data!#REF!="","",IF(ISNUMBER(MATCH(Data!#REF!,Data_Val!$A$2:$A$3,0)),0,1))</f>
        <v>#REF!</v>
      </c>
      <c r="Q54" s="25" t="e">
        <f ca="1">IF(Data!#REF!="","",IF(ISNUMBER(Data!#REF!),IF(AND(Data!#REF!&gt;(TODAY()-(Data_Val!$J$3*365.25)),Data!#REF!&lt;=(TODAY()-(Data_Val!$J$2*365.25))),0,1),1))</f>
        <v>#REF!</v>
      </c>
      <c r="R54" s="17" t="e">
        <f>IF(Data!#REF!="","",IF(ISNUMBER(MATCH(Data!#REF!,Data_Val!$B$2:$B$15,0)),0,1))</f>
        <v>#REF!</v>
      </c>
      <c r="S54" s="11" t="str">
        <f>IF(Data!G54="","",IF(Data!G54=Data_Val!$C$2,IF(Data!M54="",0,1),0))</f>
        <v/>
      </c>
      <c r="T54" s="11" t="str">
        <f>IF(Data!M54="","",IF(ISNUMBER(MATCH(Data!N54,Data_Val!$A$2:$A$3,0)),0,1))</f>
        <v/>
      </c>
      <c r="U54" s="11" t="str">
        <f ca="1">IF(Data!M54="","",IF(ISNUMBER(Data!O54),IF(AND(Data!O54&gt;(TODAY()-(Data_Val!$K$3*365.25)),Data!O54&lt;=(TODAY()-(Data_Val!$K$2*365.25))),0,1),1))</f>
        <v/>
      </c>
      <c r="V54" s="12" t="str">
        <f>IF(Data!G54="","",IF(Data!G54=Data_Val!$C$2,IF(Data!P54="",0,1),0))</f>
        <v/>
      </c>
      <c r="W54" s="12" t="str">
        <f>IF(Data!P54="","",IF(ISNUMBER(MATCH(Data!Q54,Data_Val!$A$2:$A$3,0)),0,1))</f>
        <v/>
      </c>
      <c r="X54" s="26" t="str">
        <f ca="1">IF(Data!P54="","",IF(ISNUMBER(Data!R54),IF(AND(Data!R54&gt;(TODAY()-(Data_Val!$L$3*365.25)),Data!R54&lt;=(TODAY()-(Data_Val!$L$2*365.25))),0,1),1))</f>
        <v/>
      </c>
      <c r="Y54" s="13" t="str">
        <f>IF(Data!$G54="","",IF(Data!$G54=Data_Val!$C$2,IF(Data!S54="",0,1),0))</f>
        <v/>
      </c>
      <c r="Z54" s="13" t="str">
        <f>IF(Data!S54="","",IF(ISNUMBER(MATCH(Data!T54,Data_Val!$A$2:$A$3,0)),0,1))</f>
        <v/>
      </c>
      <c r="AA54" s="28" t="str">
        <f ca="1">IF(Data!S54="","",IF(ISNUMBER(Data!U54),IF(AND(Data!U54&gt;(TODAY()-(Data_Val!$L$3*365.25)),Data!U54&lt;=(TODAY()-(Data_Val!$L$2*365.25))),0,1),1))</f>
        <v/>
      </c>
      <c r="AB54" s="11"/>
      <c r="AC54" s="11" t="e">
        <f>IF(Data!#REF!="","",IF(ISNUMBER(MATCH(Data!#REF!,Data_Val!$A$2:$A$3,0)),0,1))</f>
        <v>#REF!</v>
      </c>
      <c r="AD54" s="11" t="e">
        <f ca="1">IF(Data!#REF!="","",IF(ISNUMBER(Data!#REF!),IF(AND(Data!#REF!&gt;(TODAY()-(Data_Val!$L$3*365.25)),Data!#REF!&lt;=(TODAY()-(Data_Val!$L$2*365.25))),0,1),1))</f>
        <v>#REF!</v>
      </c>
      <c r="AE54" s="11" t="e">
        <f>IF(Data!#REF!="","",IF(Data!$G54="",1,IF(ISNUMBER(MATCH(Data!#REF!,Data_Val!$D$2:$D$10,0)),0,1)))</f>
        <v>#REF!</v>
      </c>
      <c r="AF54" s="12"/>
      <c r="AG54" s="12" t="e">
        <f>IF(Data!#REF!="","",IF(ISNUMBER(MATCH(Data!#REF!,Data_Val!$A$2:$A$3,0)),0,1))</f>
        <v>#REF!</v>
      </c>
      <c r="AH54" s="26" t="e">
        <f ca="1">IF(Data!#REF!="","",IF(ISNUMBER(Data!#REF!),IF(AND(Data!#REF!&gt;(TODAY()-(Data_Val!$L$3*365.25)),Data!#REF!&lt;=(TODAY()-(Data_Val!$L$2*365.25))),0,1),1))</f>
        <v>#REF!</v>
      </c>
      <c r="AI54" s="12" t="e">
        <f>IF(Data!#REF!="","",IF(Data!$G54="",1,IF(ISNUMBER(MATCH(Data!#REF!,Data_Val!$D$2:$D$10,0)),0,1)))</f>
        <v>#REF!</v>
      </c>
      <c r="AJ54" s="17"/>
      <c r="AK54" s="17" t="e">
        <f>IF(Data!#REF!="","",IF(ISNUMBER(MATCH(Data!#REF!,Data_Val!$A$2:$A$3,0)),0,1))</f>
        <v>#REF!</v>
      </c>
      <c r="AL54" s="25" t="e">
        <f ca="1">IF(Data!#REF!="","",IF(ISNUMBER(Data!#REF!),IF(AND(Data!#REF!&gt;(TODAY()-(Data_Val!$L$3*365.25)),Data!#REF!&lt;=(TODAY()-(Data_Val!$L$2*365.25))),0,1),1))</f>
        <v>#REF!</v>
      </c>
      <c r="AM54" s="17" t="e">
        <f>IF(Data!#REF!="","",IF(Data!$G54="",1,IF(ISNUMBER(MATCH(Data!#REF!,Data_Val!$D$2:$D$10,0)),0,1)))</f>
        <v>#REF!</v>
      </c>
      <c r="AN54" s="13"/>
      <c r="AO54" s="28" t="e">
        <f ca="1">IF(Data!#REF!="","",IF(ISNUMBER(Data!#REF!),IF(AND(Data!#REF!&gt;(TODAY()-(Data_Val!$I$3*365.25)),Data!#REF!&lt;=(TODAY()-(Data_Val!$I$2*365.25))),0,1),1))</f>
        <v>#REF!</v>
      </c>
      <c r="AP54" s="13" t="e">
        <f>IF(Data!#REF!="","",IF(Data!$G54="",1,IF(ISNUMBER(MATCH(Data!#REF!,Data_Val!$D$2:$D$10,0)),0,1)))</f>
        <v>#REF!</v>
      </c>
      <c r="AQ54" s="17"/>
      <c r="AR54" s="30" t="e">
        <f ca="1">IF(Data!#REF!="","",IF(ISNUMBER(Data!#REF!),IF(AND(Data!#REF!&gt;(TODAY()-(Data_Val!$I$3*365.25)),Data!#REF!&lt;=(TODAY()-(Data_Val!$I$2*365.25))),0,1),1))</f>
        <v>#REF!</v>
      </c>
      <c r="AS54" s="31" t="e">
        <f>IF(Data!#REF!="","",IF(Data!$G54="",1,IF(ISNUMBER(MATCH(Data!#REF!,Data_Val!$D$2:$D$10,0)),0,1)))</f>
        <v>#REF!</v>
      </c>
      <c r="AT54" s="11"/>
      <c r="AU54" s="11" t="e">
        <f ca="1">IF(Data!#REF!="","",IF(ISNUMBER(Data!#REF!),IF(AND(Data!#REF!&gt;(TODAY()-(Data_Val!$I$3*365.25)),Data!#REF!&lt;=(TODAY()-(Data_Val!$I$2*365.25))),0,1),1))</f>
        <v>#REF!</v>
      </c>
      <c r="AV54" s="11" t="e">
        <f>IF(Data!#REF!="","",IF(Data!$G54="",1,IF(ISNUMBER(MATCH(Data!#REF!,Data_Val!$D$2:$D$10,0)),0,1)))</f>
        <v>#REF!</v>
      </c>
      <c r="AW54" s="12"/>
      <c r="AX54" s="26" t="e">
        <f ca="1">IF(Data!#REF!="","",IF(ISNUMBER(Data!#REF!),IF(AND(Data!#REF!&gt;(TODAY()-(Data_Val!$I$3*365.25)),Data!#REF!&lt;=(TODAY()-(Data_Val!$I$2*365.25))),0,1),1))</f>
        <v>#REF!</v>
      </c>
      <c r="AY54" s="12" t="e">
        <f>IF(Data!#REF!="","",IF(Data!$G54="",1,IF(ISNUMBER(MATCH(Data!#REF!,Data_Val!$D$2:$D$10,0)),0,1)))</f>
        <v>#REF!</v>
      </c>
      <c r="AZ54" s="11"/>
      <c r="BA54" s="19" t="e">
        <f ca="1">IF(Data!#REF!="","",IF(ISNUMBER(Data!#REF!),IF(AND(Data!#REF!&gt;(TODAY()-(Data_Val!$M$3*365.25)),Data!#REF!&lt;=(TODAY()-(Data_Val!$M$2*365.25))),0,1),1))</f>
        <v>#REF!</v>
      </c>
      <c r="BB54" s="11" t="e">
        <f>IF(Data!#REF!="","",IF(Data!$G54="",1,IF(ISNUMBER(MATCH(Data!#REF!,Data_Val!$D$2:$D$10,0)),0,1)))</f>
        <v>#REF!</v>
      </c>
      <c r="BC54" s="12"/>
      <c r="BD54" s="20" t="e">
        <f ca="1">IF(Data!#REF!="","",IF(ISNUMBER(Data!#REF!),IF(AND(Data!#REF!&gt;(TODAY()-(Data_Val!$M$3*365.25)),Data!#REF!&lt;=(TODAY()-(Data_Val!$M$2*365.25))),0,1),1))</f>
        <v>#REF!</v>
      </c>
      <c r="BE54" s="12" t="e">
        <f>IF(Data!#REF!="","",IF(Data!$G54="",1,IF(ISNUMBER(MATCH(Data!#REF!,Data_Val!$D$2:$D$10,0)),0,1)))</f>
        <v>#REF!</v>
      </c>
      <c r="BF54" s="17"/>
      <c r="BG54" s="18" t="e">
        <f ca="1">IF(Data!#REF!="","",IF(ISNUMBER(Data!#REF!),IF(AND(Data!#REF!&gt;(TODAY()-(Data_Val!$M$3*365.25)),Data!#REF!&lt;=(TODAY()-(Data_Val!$M$2*365.25))),0,1),1))</f>
        <v>#REF!</v>
      </c>
      <c r="BH54" s="29" t="e">
        <f>IF(Data!#REF!="","",IF(Data!$G54="",1,IF(ISNUMBER(MATCH(Data!#REF!,Data_Val!$D$2:$D$10,0)),0,1)))</f>
        <v>#REF!</v>
      </c>
      <c r="BI54" s="13"/>
      <c r="BJ54" s="21" t="e">
        <f ca="1">IF(Data!#REF!="","",IF(ISNUMBER(Data!#REF!),IF(AND(Data!#REF!&gt;(TODAY()-(Data_Val!$M$3*365.25)),Data!#REF!&lt;=(TODAY()-(Data_Val!$M$2*365.25))),0,1),1))</f>
        <v>#REF!</v>
      </c>
      <c r="BK54" s="13" t="e">
        <f>IF(Data!#REF!="","",IF(Data!$G54="",1,IF(ISNUMBER(MATCH(Data!#REF!,Data_Val!$D$2:$D$10,0)),0,1)))</f>
        <v>#REF!</v>
      </c>
    </row>
    <row r="55" spans="1:63" x14ac:dyDescent="0.25">
      <c r="A55" s="9" t="str">
        <f>IF(Data!B55="","",IF(COUNTIFS(Data!A$1:'Data'!A55,Data!A55)&lt;=1,0,1))</f>
        <v/>
      </c>
      <c r="B55" s="9"/>
      <c r="C55" s="23" t="str">
        <f>IF(Data!C55="","",(IF(ISNUMBER(MATCH("*@*.?*",Data!C55,0)),0,1)+IF(COUNTIFS(Data!C$1:'Data'!C55,Data!C55)&gt;1,1,0)))</f>
        <v/>
      </c>
      <c r="D55" s="9" t="str">
        <f>IF(Data!B55="","",IF(ISNUMBER(Data!D55),IF(AND(Data!D55&gt;999999999,Data!D55&lt;=9999999999),IF(COUNTIFS(Data!D$1:'Data'!D55,Data!D55)&lt;=1,0,1),1),1))</f>
        <v/>
      </c>
      <c r="E55" s="9" t="str">
        <f>IF(Data!B55="","",IF(ISNUMBER(MATCH(Data!E55,Data_Val!$A$2:$A$3,0)),0,1))</f>
        <v/>
      </c>
      <c r="F55" s="9" t="str">
        <f ca="1">IF(Data!B55="","",IF(ISNUMBER(Data!F55),IF(AND(Data!F55&gt;(TODAY()-(Data_Val!$H$3*365.25)),Data!F55&lt;=(TODAY()-(Data_Val!$H$2*365.25))),0,1),1))</f>
        <v/>
      </c>
      <c r="G55" s="15" t="str">
        <f>IF(Data!B55="","",IF(AND(Data!G55="",Data!H55&lt;&gt;""),1,IF(Data!#REF!&lt;&gt;"",0,IF(ISNUMBER(MATCH(Data!G55,Data_Val!$C$2:$C$5,0)),0,1))))</f>
        <v/>
      </c>
      <c r="H55" s="15" t="str">
        <f>IF(Data!B55="","",IF(AND(Data!G55&lt;&gt;"",Data!H55=""),1,IF(Data!#REF!&lt;&gt;"",0,IF(Data!G55="",1,IF(ISNUMBER(MATCH(Data!H55,Data_Val!$D$2:$D$35,0)),0,1)))))</f>
        <v/>
      </c>
      <c r="I55" s="15" t="str">
        <f>IF(Data!B55="","",IF(Data!G55&lt;&gt;"",0,IF(ISNUMBER(MATCH(Data!#REF!,Data_Val!$E$2:$E$12,0)),0,1)))</f>
        <v/>
      </c>
      <c r="J55" s="16" t="e">
        <f>IF(OR(Data!B55="",Data!#REF!=""),"",IF(Data!#REF!="",1,0))</f>
        <v>#REF!</v>
      </c>
      <c r="K55" s="16" t="e">
        <f>IF(OR(Data!B55="",Data!#REF!=""),"",IF(Data!#REF!="",1,0))</f>
        <v>#REF!</v>
      </c>
      <c r="L55" s="16" t="e">
        <f>IF(OR(Data!B55="",Data!#REF!=""),"",IF(ISNUMBER(Data!#REF!),IF(AND(Data!#REF!&gt;Data_Val!$G$2,Data!#REF!&lt;=Data_Val!$G$3),0,1),1))</f>
        <v>#REF!</v>
      </c>
      <c r="M55" s="9" t="e">
        <f>IF(OR(Data!B55="",Data!#REF!=""),"",IF(ISNUMBER(MATCH(Data!#REF!,Data_Val!$F$1:$F$38,0)),0,1))</f>
        <v>#REF!</v>
      </c>
      <c r="N55" s="9" t="e">
        <f>IF(OR(Data!B55="",Data!#REF!=""),"",IF(Data!#REF!="",1,0))</f>
        <v>#REF!</v>
      </c>
      <c r="O55" s="17" t="e">
        <f>IF(Data!#REF!="","",IF(Data!#REF!="",1,0))</f>
        <v>#REF!</v>
      </c>
      <c r="P55" s="17" t="e">
        <f>IF(Data!#REF!="","",IF(ISNUMBER(MATCH(Data!#REF!,Data_Val!$A$2:$A$3,0)),0,1))</f>
        <v>#REF!</v>
      </c>
      <c r="Q55" s="25" t="e">
        <f ca="1">IF(Data!#REF!="","",IF(ISNUMBER(Data!#REF!),IF(AND(Data!#REF!&gt;(TODAY()-(Data_Val!$J$3*365.25)),Data!#REF!&lt;=(TODAY()-(Data_Val!$J$2*365.25))),0,1),1))</f>
        <v>#REF!</v>
      </c>
      <c r="R55" s="17" t="e">
        <f>IF(Data!#REF!="","",IF(ISNUMBER(MATCH(Data!#REF!,Data_Val!$B$2:$B$15,0)),0,1))</f>
        <v>#REF!</v>
      </c>
      <c r="S55" s="11" t="str">
        <f>IF(Data!G55="","",IF(Data!G55=Data_Val!$C$2,IF(Data!M55="",0,1),0))</f>
        <v/>
      </c>
      <c r="T55" s="11" t="str">
        <f>IF(Data!M55="","",IF(ISNUMBER(MATCH(Data!N55,Data_Val!$A$2:$A$3,0)),0,1))</f>
        <v/>
      </c>
      <c r="U55" s="11" t="str">
        <f ca="1">IF(Data!M55="","",IF(ISNUMBER(Data!O55),IF(AND(Data!O55&gt;(TODAY()-(Data_Val!$K$3*365.25)),Data!O55&lt;=(TODAY()-(Data_Val!$K$2*365.25))),0,1),1))</f>
        <v/>
      </c>
      <c r="V55" s="12" t="str">
        <f>IF(Data!G55="","",IF(Data!G55=Data_Val!$C$2,IF(Data!P55="",0,1),0))</f>
        <v/>
      </c>
      <c r="W55" s="12" t="str">
        <f>IF(Data!P55="","",IF(ISNUMBER(MATCH(Data!Q55,Data_Val!$A$2:$A$3,0)),0,1))</f>
        <v/>
      </c>
      <c r="X55" s="26" t="str">
        <f ca="1">IF(Data!P55="","",IF(ISNUMBER(Data!R55),IF(AND(Data!R55&gt;(TODAY()-(Data_Val!$L$3*365.25)),Data!R55&lt;=(TODAY()-(Data_Val!$L$2*365.25))),0,1),1))</f>
        <v/>
      </c>
      <c r="Y55" s="13" t="str">
        <f>IF(Data!$G55="","",IF(Data!$G55=Data_Val!$C$2,IF(Data!S55="",0,1),0))</f>
        <v/>
      </c>
      <c r="Z55" s="13" t="str">
        <f>IF(Data!S55="","",IF(ISNUMBER(MATCH(Data!T55,Data_Val!$A$2:$A$3,0)),0,1))</f>
        <v/>
      </c>
      <c r="AA55" s="28" t="str">
        <f ca="1">IF(Data!S55="","",IF(ISNUMBER(Data!U55),IF(AND(Data!U55&gt;(TODAY()-(Data_Val!$L$3*365.25)),Data!U55&lt;=(TODAY()-(Data_Val!$L$2*365.25))),0,1),1))</f>
        <v/>
      </c>
      <c r="AB55" s="11"/>
      <c r="AC55" s="11" t="e">
        <f>IF(Data!#REF!="","",IF(ISNUMBER(MATCH(Data!#REF!,Data_Val!$A$2:$A$3,0)),0,1))</f>
        <v>#REF!</v>
      </c>
      <c r="AD55" s="11" t="e">
        <f ca="1">IF(Data!#REF!="","",IF(ISNUMBER(Data!#REF!),IF(AND(Data!#REF!&gt;(TODAY()-(Data_Val!$L$3*365.25)),Data!#REF!&lt;=(TODAY()-(Data_Val!$L$2*365.25))),0,1),1))</f>
        <v>#REF!</v>
      </c>
      <c r="AE55" s="11" t="e">
        <f>IF(Data!#REF!="","",IF(Data!$G55="",1,IF(ISNUMBER(MATCH(Data!#REF!,Data_Val!$D$2:$D$10,0)),0,1)))</f>
        <v>#REF!</v>
      </c>
      <c r="AF55" s="12"/>
      <c r="AG55" s="12" t="e">
        <f>IF(Data!#REF!="","",IF(ISNUMBER(MATCH(Data!#REF!,Data_Val!$A$2:$A$3,0)),0,1))</f>
        <v>#REF!</v>
      </c>
      <c r="AH55" s="26" t="e">
        <f ca="1">IF(Data!#REF!="","",IF(ISNUMBER(Data!#REF!),IF(AND(Data!#REF!&gt;(TODAY()-(Data_Val!$L$3*365.25)),Data!#REF!&lt;=(TODAY()-(Data_Val!$L$2*365.25))),0,1),1))</f>
        <v>#REF!</v>
      </c>
      <c r="AI55" s="12" t="e">
        <f>IF(Data!#REF!="","",IF(Data!$G55="",1,IF(ISNUMBER(MATCH(Data!#REF!,Data_Val!$D$2:$D$10,0)),0,1)))</f>
        <v>#REF!</v>
      </c>
      <c r="AJ55" s="17"/>
      <c r="AK55" s="17" t="e">
        <f>IF(Data!#REF!="","",IF(ISNUMBER(MATCH(Data!#REF!,Data_Val!$A$2:$A$3,0)),0,1))</f>
        <v>#REF!</v>
      </c>
      <c r="AL55" s="25" t="e">
        <f ca="1">IF(Data!#REF!="","",IF(ISNUMBER(Data!#REF!),IF(AND(Data!#REF!&gt;(TODAY()-(Data_Val!$L$3*365.25)),Data!#REF!&lt;=(TODAY()-(Data_Val!$L$2*365.25))),0,1),1))</f>
        <v>#REF!</v>
      </c>
      <c r="AM55" s="17" t="e">
        <f>IF(Data!#REF!="","",IF(Data!$G55="",1,IF(ISNUMBER(MATCH(Data!#REF!,Data_Val!$D$2:$D$10,0)),0,1)))</f>
        <v>#REF!</v>
      </c>
      <c r="AN55" s="13"/>
      <c r="AO55" s="28" t="e">
        <f ca="1">IF(Data!#REF!="","",IF(ISNUMBER(Data!#REF!),IF(AND(Data!#REF!&gt;(TODAY()-(Data_Val!$I$3*365.25)),Data!#REF!&lt;=(TODAY()-(Data_Val!$I$2*365.25))),0,1),1))</f>
        <v>#REF!</v>
      </c>
      <c r="AP55" s="13" t="e">
        <f>IF(Data!#REF!="","",IF(Data!$G55="",1,IF(ISNUMBER(MATCH(Data!#REF!,Data_Val!$D$2:$D$10,0)),0,1)))</f>
        <v>#REF!</v>
      </c>
      <c r="AQ55" s="17"/>
      <c r="AR55" s="30" t="e">
        <f ca="1">IF(Data!#REF!="","",IF(ISNUMBER(Data!#REF!),IF(AND(Data!#REF!&gt;(TODAY()-(Data_Val!$I$3*365.25)),Data!#REF!&lt;=(TODAY()-(Data_Val!$I$2*365.25))),0,1),1))</f>
        <v>#REF!</v>
      </c>
      <c r="AS55" s="31" t="e">
        <f>IF(Data!#REF!="","",IF(Data!$G55="",1,IF(ISNUMBER(MATCH(Data!#REF!,Data_Val!$D$2:$D$10,0)),0,1)))</f>
        <v>#REF!</v>
      </c>
      <c r="AT55" s="11"/>
      <c r="AU55" s="11" t="e">
        <f ca="1">IF(Data!#REF!="","",IF(ISNUMBER(Data!#REF!),IF(AND(Data!#REF!&gt;(TODAY()-(Data_Val!$I$3*365.25)),Data!#REF!&lt;=(TODAY()-(Data_Val!$I$2*365.25))),0,1),1))</f>
        <v>#REF!</v>
      </c>
      <c r="AV55" s="11" t="e">
        <f>IF(Data!#REF!="","",IF(Data!$G55="",1,IF(ISNUMBER(MATCH(Data!#REF!,Data_Val!$D$2:$D$10,0)),0,1)))</f>
        <v>#REF!</v>
      </c>
      <c r="AW55" s="12"/>
      <c r="AX55" s="26" t="e">
        <f ca="1">IF(Data!#REF!="","",IF(ISNUMBER(Data!#REF!),IF(AND(Data!#REF!&gt;(TODAY()-(Data_Val!$I$3*365.25)),Data!#REF!&lt;=(TODAY()-(Data_Val!$I$2*365.25))),0,1),1))</f>
        <v>#REF!</v>
      </c>
      <c r="AY55" s="12" t="e">
        <f>IF(Data!#REF!="","",IF(Data!$G55="",1,IF(ISNUMBER(MATCH(Data!#REF!,Data_Val!$D$2:$D$10,0)),0,1)))</f>
        <v>#REF!</v>
      </c>
      <c r="AZ55" s="11"/>
      <c r="BA55" s="19" t="e">
        <f ca="1">IF(Data!#REF!="","",IF(ISNUMBER(Data!#REF!),IF(AND(Data!#REF!&gt;(TODAY()-(Data_Val!$M$3*365.25)),Data!#REF!&lt;=(TODAY()-(Data_Val!$M$2*365.25))),0,1),1))</f>
        <v>#REF!</v>
      </c>
      <c r="BB55" s="11" t="e">
        <f>IF(Data!#REF!="","",IF(Data!$G55="",1,IF(ISNUMBER(MATCH(Data!#REF!,Data_Val!$D$2:$D$10,0)),0,1)))</f>
        <v>#REF!</v>
      </c>
      <c r="BC55" s="12"/>
      <c r="BD55" s="20" t="e">
        <f ca="1">IF(Data!#REF!="","",IF(ISNUMBER(Data!#REF!),IF(AND(Data!#REF!&gt;(TODAY()-(Data_Val!$M$3*365.25)),Data!#REF!&lt;=(TODAY()-(Data_Val!$M$2*365.25))),0,1),1))</f>
        <v>#REF!</v>
      </c>
      <c r="BE55" s="12" t="e">
        <f>IF(Data!#REF!="","",IF(Data!$G55="",1,IF(ISNUMBER(MATCH(Data!#REF!,Data_Val!$D$2:$D$10,0)),0,1)))</f>
        <v>#REF!</v>
      </c>
      <c r="BF55" s="17"/>
      <c r="BG55" s="18" t="e">
        <f ca="1">IF(Data!#REF!="","",IF(ISNUMBER(Data!#REF!),IF(AND(Data!#REF!&gt;(TODAY()-(Data_Val!$M$3*365.25)),Data!#REF!&lt;=(TODAY()-(Data_Val!$M$2*365.25))),0,1),1))</f>
        <v>#REF!</v>
      </c>
      <c r="BH55" s="29" t="e">
        <f>IF(Data!#REF!="","",IF(Data!$G55="",1,IF(ISNUMBER(MATCH(Data!#REF!,Data_Val!$D$2:$D$10,0)),0,1)))</f>
        <v>#REF!</v>
      </c>
      <c r="BI55" s="13"/>
      <c r="BJ55" s="21" t="e">
        <f ca="1">IF(Data!#REF!="","",IF(ISNUMBER(Data!#REF!),IF(AND(Data!#REF!&gt;(TODAY()-(Data_Val!$M$3*365.25)),Data!#REF!&lt;=(TODAY()-(Data_Val!$M$2*365.25))),0,1),1))</f>
        <v>#REF!</v>
      </c>
      <c r="BK55" s="13" t="e">
        <f>IF(Data!#REF!="","",IF(Data!$G55="",1,IF(ISNUMBER(MATCH(Data!#REF!,Data_Val!$D$2:$D$10,0)),0,1)))</f>
        <v>#REF!</v>
      </c>
    </row>
    <row r="56" spans="1:63" x14ac:dyDescent="0.25">
      <c r="A56" s="9" t="str">
        <f>IF(Data!B56="","",IF(COUNTIFS(Data!A$1:'Data'!A56,Data!A56)&lt;=1,0,1))</f>
        <v/>
      </c>
      <c r="B56" s="9"/>
      <c r="C56" s="23" t="str">
        <f>IF(Data!C56="","",(IF(ISNUMBER(MATCH("*@*.?*",Data!C56,0)),0,1)+IF(COUNTIFS(Data!C$1:'Data'!C56,Data!C56)&gt;1,1,0)))</f>
        <v/>
      </c>
      <c r="D56" s="9" t="str">
        <f>IF(Data!B56="","",IF(ISNUMBER(Data!D56),IF(AND(Data!D56&gt;999999999,Data!D56&lt;=9999999999),IF(COUNTIFS(Data!D$1:'Data'!D56,Data!D56)&lt;=1,0,1),1),1))</f>
        <v/>
      </c>
      <c r="E56" s="9" t="str">
        <f>IF(Data!B56="","",IF(ISNUMBER(MATCH(Data!E56,Data_Val!$A$2:$A$3,0)),0,1))</f>
        <v/>
      </c>
      <c r="F56" s="9" t="str">
        <f ca="1">IF(Data!B56="","",IF(ISNUMBER(Data!F56),IF(AND(Data!F56&gt;(TODAY()-(Data_Val!$H$3*365.25)),Data!F56&lt;=(TODAY()-(Data_Val!$H$2*365.25))),0,1),1))</f>
        <v/>
      </c>
      <c r="G56" s="15" t="str">
        <f>IF(Data!B56="","",IF(AND(Data!G56="",Data!H56&lt;&gt;""),1,IF(Data!#REF!&lt;&gt;"",0,IF(ISNUMBER(MATCH(Data!G56,Data_Val!$C$2:$C$5,0)),0,1))))</f>
        <v/>
      </c>
      <c r="H56" s="15" t="str">
        <f>IF(Data!B56="","",IF(AND(Data!G56&lt;&gt;"",Data!H56=""),1,IF(Data!#REF!&lt;&gt;"",0,IF(Data!G56="",1,IF(ISNUMBER(MATCH(Data!H56,Data_Val!$D$2:$D$35,0)),0,1)))))</f>
        <v/>
      </c>
      <c r="I56" s="15" t="str">
        <f>IF(Data!B56="","",IF(Data!G56&lt;&gt;"",0,IF(ISNUMBER(MATCH(Data!#REF!,Data_Val!$E$2:$E$12,0)),0,1)))</f>
        <v/>
      </c>
      <c r="J56" s="16" t="e">
        <f>IF(OR(Data!B56="",Data!#REF!=""),"",IF(Data!#REF!="",1,0))</f>
        <v>#REF!</v>
      </c>
      <c r="K56" s="16" t="e">
        <f>IF(OR(Data!B56="",Data!#REF!=""),"",IF(Data!#REF!="",1,0))</f>
        <v>#REF!</v>
      </c>
      <c r="L56" s="16" t="e">
        <f>IF(OR(Data!B56="",Data!#REF!=""),"",IF(ISNUMBER(Data!#REF!),IF(AND(Data!#REF!&gt;Data_Val!$G$2,Data!#REF!&lt;=Data_Val!$G$3),0,1),1))</f>
        <v>#REF!</v>
      </c>
      <c r="M56" s="9" t="e">
        <f>IF(OR(Data!B56="",Data!#REF!=""),"",IF(ISNUMBER(MATCH(Data!#REF!,Data_Val!$F$1:$F$38,0)),0,1))</f>
        <v>#REF!</v>
      </c>
      <c r="N56" s="9" t="e">
        <f>IF(OR(Data!B56="",Data!#REF!=""),"",IF(Data!#REF!="",1,0))</f>
        <v>#REF!</v>
      </c>
      <c r="O56" s="17" t="e">
        <f>IF(Data!#REF!="","",IF(Data!#REF!="",1,0))</f>
        <v>#REF!</v>
      </c>
      <c r="P56" s="17" t="e">
        <f>IF(Data!#REF!="","",IF(ISNUMBER(MATCH(Data!#REF!,Data_Val!$A$2:$A$3,0)),0,1))</f>
        <v>#REF!</v>
      </c>
      <c r="Q56" s="25" t="e">
        <f ca="1">IF(Data!#REF!="","",IF(ISNUMBER(Data!#REF!),IF(AND(Data!#REF!&gt;(TODAY()-(Data_Val!$J$3*365.25)),Data!#REF!&lt;=(TODAY()-(Data_Val!$J$2*365.25))),0,1),1))</f>
        <v>#REF!</v>
      </c>
      <c r="R56" s="17" t="e">
        <f>IF(Data!#REF!="","",IF(ISNUMBER(MATCH(Data!#REF!,Data_Val!$B$2:$B$15,0)),0,1))</f>
        <v>#REF!</v>
      </c>
      <c r="S56" s="11" t="str">
        <f>IF(Data!G56="","",IF(Data!G56=Data_Val!$C$2,IF(Data!M56="",0,1),0))</f>
        <v/>
      </c>
      <c r="T56" s="11" t="str">
        <f>IF(Data!M56="","",IF(ISNUMBER(MATCH(Data!N56,Data_Val!$A$2:$A$3,0)),0,1))</f>
        <v/>
      </c>
      <c r="U56" s="11" t="str">
        <f ca="1">IF(Data!M56="","",IF(ISNUMBER(Data!O56),IF(AND(Data!O56&gt;(TODAY()-(Data_Val!$K$3*365.25)),Data!O56&lt;=(TODAY()-(Data_Val!$K$2*365.25))),0,1),1))</f>
        <v/>
      </c>
      <c r="V56" s="12" t="str">
        <f>IF(Data!G56="","",IF(Data!G56=Data_Val!$C$2,IF(Data!P56="",0,1),0))</f>
        <v/>
      </c>
      <c r="W56" s="12" t="str">
        <f>IF(Data!P56="","",IF(ISNUMBER(MATCH(Data!Q56,Data_Val!$A$2:$A$3,0)),0,1))</f>
        <v/>
      </c>
      <c r="X56" s="26" t="str">
        <f ca="1">IF(Data!P56="","",IF(ISNUMBER(Data!R56),IF(AND(Data!R56&gt;(TODAY()-(Data_Val!$L$3*365.25)),Data!R56&lt;=(TODAY()-(Data_Val!$L$2*365.25))),0,1),1))</f>
        <v/>
      </c>
      <c r="Y56" s="13" t="str">
        <f>IF(Data!$G56="","",IF(Data!$G56=Data_Val!$C$2,IF(Data!S56="",0,1),0))</f>
        <v/>
      </c>
      <c r="Z56" s="13" t="str">
        <f>IF(Data!S56="","",IF(ISNUMBER(MATCH(Data!T56,Data_Val!$A$2:$A$3,0)),0,1))</f>
        <v/>
      </c>
      <c r="AA56" s="28" t="str">
        <f ca="1">IF(Data!S56="","",IF(ISNUMBER(Data!U56),IF(AND(Data!U56&gt;(TODAY()-(Data_Val!$L$3*365.25)),Data!U56&lt;=(TODAY()-(Data_Val!$L$2*365.25))),0,1),1))</f>
        <v/>
      </c>
      <c r="AB56" s="11"/>
      <c r="AC56" s="11" t="e">
        <f>IF(Data!#REF!="","",IF(ISNUMBER(MATCH(Data!#REF!,Data_Val!$A$2:$A$3,0)),0,1))</f>
        <v>#REF!</v>
      </c>
      <c r="AD56" s="11" t="e">
        <f ca="1">IF(Data!#REF!="","",IF(ISNUMBER(Data!#REF!),IF(AND(Data!#REF!&gt;(TODAY()-(Data_Val!$L$3*365.25)),Data!#REF!&lt;=(TODAY()-(Data_Val!$L$2*365.25))),0,1),1))</f>
        <v>#REF!</v>
      </c>
      <c r="AE56" s="11" t="e">
        <f>IF(Data!#REF!="","",IF(Data!$G56="",1,IF(ISNUMBER(MATCH(Data!#REF!,Data_Val!$D$2:$D$10,0)),0,1)))</f>
        <v>#REF!</v>
      </c>
      <c r="AF56" s="12"/>
      <c r="AG56" s="12" t="e">
        <f>IF(Data!#REF!="","",IF(ISNUMBER(MATCH(Data!#REF!,Data_Val!$A$2:$A$3,0)),0,1))</f>
        <v>#REF!</v>
      </c>
      <c r="AH56" s="26" t="e">
        <f ca="1">IF(Data!#REF!="","",IF(ISNUMBER(Data!#REF!),IF(AND(Data!#REF!&gt;(TODAY()-(Data_Val!$L$3*365.25)),Data!#REF!&lt;=(TODAY()-(Data_Val!$L$2*365.25))),0,1),1))</f>
        <v>#REF!</v>
      </c>
      <c r="AI56" s="12" t="e">
        <f>IF(Data!#REF!="","",IF(Data!$G56="",1,IF(ISNUMBER(MATCH(Data!#REF!,Data_Val!$D$2:$D$10,0)),0,1)))</f>
        <v>#REF!</v>
      </c>
      <c r="AJ56" s="17"/>
      <c r="AK56" s="17" t="e">
        <f>IF(Data!#REF!="","",IF(ISNUMBER(MATCH(Data!#REF!,Data_Val!$A$2:$A$3,0)),0,1))</f>
        <v>#REF!</v>
      </c>
      <c r="AL56" s="25" t="e">
        <f ca="1">IF(Data!#REF!="","",IF(ISNUMBER(Data!#REF!),IF(AND(Data!#REF!&gt;(TODAY()-(Data_Val!$L$3*365.25)),Data!#REF!&lt;=(TODAY()-(Data_Val!$L$2*365.25))),0,1),1))</f>
        <v>#REF!</v>
      </c>
      <c r="AM56" s="17" t="e">
        <f>IF(Data!#REF!="","",IF(Data!$G56="",1,IF(ISNUMBER(MATCH(Data!#REF!,Data_Val!$D$2:$D$10,0)),0,1)))</f>
        <v>#REF!</v>
      </c>
      <c r="AN56" s="13"/>
      <c r="AO56" s="28" t="e">
        <f ca="1">IF(Data!#REF!="","",IF(ISNUMBER(Data!#REF!),IF(AND(Data!#REF!&gt;(TODAY()-(Data_Val!$I$3*365.25)),Data!#REF!&lt;=(TODAY()-(Data_Val!$I$2*365.25))),0,1),1))</f>
        <v>#REF!</v>
      </c>
      <c r="AP56" s="13" t="e">
        <f>IF(Data!#REF!="","",IF(Data!$G56="",1,IF(ISNUMBER(MATCH(Data!#REF!,Data_Val!$D$2:$D$10,0)),0,1)))</f>
        <v>#REF!</v>
      </c>
      <c r="AQ56" s="17"/>
      <c r="AR56" s="30" t="e">
        <f ca="1">IF(Data!#REF!="","",IF(ISNUMBER(Data!#REF!),IF(AND(Data!#REF!&gt;(TODAY()-(Data_Val!$I$3*365.25)),Data!#REF!&lt;=(TODAY()-(Data_Val!$I$2*365.25))),0,1),1))</f>
        <v>#REF!</v>
      </c>
      <c r="AS56" s="31" t="e">
        <f>IF(Data!#REF!="","",IF(Data!$G56="",1,IF(ISNUMBER(MATCH(Data!#REF!,Data_Val!$D$2:$D$10,0)),0,1)))</f>
        <v>#REF!</v>
      </c>
      <c r="AT56" s="11"/>
      <c r="AU56" s="11" t="e">
        <f ca="1">IF(Data!#REF!="","",IF(ISNUMBER(Data!#REF!),IF(AND(Data!#REF!&gt;(TODAY()-(Data_Val!$I$3*365.25)),Data!#REF!&lt;=(TODAY()-(Data_Val!$I$2*365.25))),0,1),1))</f>
        <v>#REF!</v>
      </c>
      <c r="AV56" s="11" t="e">
        <f>IF(Data!#REF!="","",IF(Data!$G56="",1,IF(ISNUMBER(MATCH(Data!#REF!,Data_Val!$D$2:$D$10,0)),0,1)))</f>
        <v>#REF!</v>
      </c>
      <c r="AW56" s="12"/>
      <c r="AX56" s="26" t="e">
        <f ca="1">IF(Data!#REF!="","",IF(ISNUMBER(Data!#REF!),IF(AND(Data!#REF!&gt;(TODAY()-(Data_Val!$I$3*365.25)),Data!#REF!&lt;=(TODAY()-(Data_Val!$I$2*365.25))),0,1),1))</f>
        <v>#REF!</v>
      </c>
      <c r="AY56" s="12" t="e">
        <f>IF(Data!#REF!="","",IF(Data!$G56="",1,IF(ISNUMBER(MATCH(Data!#REF!,Data_Val!$D$2:$D$10,0)),0,1)))</f>
        <v>#REF!</v>
      </c>
      <c r="AZ56" s="11"/>
      <c r="BA56" s="19" t="e">
        <f ca="1">IF(Data!#REF!="","",IF(ISNUMBER(Data!#REF!),IF(AND(Data!#REF!&gt;(TODAY()-(Data_Val!$M$3*365.25)),Data!#REF!&lt;=(TODAY()-(Data_Val!$M$2*365.25))),0,1),1))</f>
        <v>#REF!</v>
      </c>
      <c r="BB56" s="11" t="e">
        <f>IF(Data!#REF!="","",IF(Data!$G56="",1,IF(ISNUMBER(MATCH(Data!#REF!,Data_Val!$D$2:$D$10,0)),0,1)))</f>
        <v>#REF!</v>
      </c>
      <c r="BC56" s="12"/>
      <c r="BD56" s="20" t="e">
        <f ca="1">IF(Data!#REF!="","",IF(ISNUMBER(Data!#REF!),IF(AND(Data!#REF!&gt;(TODAY()-(Data_Val!$M$3*365.25)),Data!#REF!&lt;=(TODAY()-(Data_Val!$M$2*365.25))),0,1),1))</f>
        <v>#REF!</v>
      </c>
      <c r="BE56" s="12" t="e">
        <f>IF(Data!#REF!="","",IF(Data!$G56="",1,IF(ISNUMBER(MATCH(Data!#REF!,Data_Val!$D$2:$D$10,0)),0,1)))</f>
        <v>#REF!</v>
      </c>
      <c r="BF56" s="17"/>
      <c r="BG56" s="18" t="e">
        <f ca="1">IF(Data!#REF!="","",IF(ISNUMBER(Data!#REF!),IF(AND(Data!#REF!&gt;(TODAY()-(Data_Val!$M$3*365.25)),Data!#REF!&lt;=(TODAY()-(Data_Val!$M$2*365.25))),0,1),1))</f>
        <v>#REF!</v>
      </c>
      <c r="BH56" s="29" t="e">
        <f>IF(Data!#REF!="","",IF(Data!$G56="",1,IF(ISNUMBER(MATCH(Data!#REF!,Data_Val!$D$2:$D$10,0)),0,1)))</f>
        <v>#REF!</v>
      </c>
      <c r="BI56" s="13"/>
      <c r="BJ56" s="21" t="e">
        <f ca="1">IF(Data!#REF!="","",IF(ISNUMBER(Data!#REF!),IF(AND(Data!#REF!&gt;(TODAY()-(Data_Val!$M$3*365.25)),Data!#REF!&lt;=(TODAY()-(Data_Val!$M$2*365.25))),0,1),1))</f>
        <v>#REF!</v>
      </c>
      <c r="BK56" s="13" t="e">
        <f>IF(Data!#REF!="","",IF(Data!$G56="",1,IF(ISNUMBER(MATCH(Data!#REF!,Data_Val!$D$2:$D$10,0)),0,1)))</f>
        <v>#REF!</v>
      </c>
    </row>
    <row r="57" spans="1:63" x14ac:dyDescent="0.25">
      <c r="A57" s="9" t="str">
        <f>IF(Data!B57="","",IF(COUNTIFS(Data!A$1:'Data'!A57,Data!A57)&lt;=1,0,1))</f>
        <v/>
      </c>
      <c r="B57" s="9"/>
      <c r="C57" s="23" t="str">
        <f>IF(Data!C57="","",(IF(ISNUMBER(MATCH("*@*.?*",Data!C57,0)),0,1)+IF(COUNTIFS(Data!C$1:'Data'!C57,Data!C57)&gt;1,1,0)))</f>
        <v/>
      </c>
      <c r="D57" s="9" t="str">
        <f>IF(Data!B57="","",IF(ISNUMBER(Data!D57),IF(AND(Data!D57&gt;999999999,Data!D57&lt;=9999999999),IF(COUNTIFS(Data!D$1:'Data'!D57,Data!D57)&lt;=1,0,1),1),1))</f>
        <v/>
      </c>
      <c r="E57" s="9" t="str">
        <f>IF(Data!B57="","",IF(ISNUMBER(MATCH(Data!E57,Data_Val!$A$2:$A$3,0)),0,1))</f>
        <v/>
      </c>
      <c r="F57" s="9" t="str">
        <f ca="1">IF(Data!B57="","",IF(ISNUMBER(Data!F57),IF(AND(Data!F57&gt;(TODAY()-(Data_Val!$H$3*365.25)),Data!F57&lt;=(TODAY()-(Data_Val!$H$2*365.25))),0,1),1))</f>
        <v/>
      </c>
      <c r="G57" s="15" t="str">
        <f>IF(Data!B57="","",IF(AND(Data!G57="",Data!H57&lt;&gt;""),1,IF(Data!#REF!&lt;&gt;"",0,IF(ISNUMBER(MATCH(Data!G57,Data_Val!$C$2:$C$5,0)),0,1))))</f>
        <v/>
      </c>
      <c r="H57" s="15" t="str">
        <f>IF(Data!B57="","",IF(AND(Data!G57&lt;&gt;"",Data!H57=""),1,IF(Data!#REF!&lt;&gt;"",0,IF(Data!G57="",1,IF(ISNUMBER(MATCH(Data!H57,Data_Val!$D$2:$D$35,0)),0,1)))))</f>
        <v/>
      </c>
      <c r="I57" s="15" t="str">
        <f>IF(Data!B57="","",IF(Data!G57&lt;&gt;"",0,IF(ISNUMBER(MATCH(Data!#REF!,Data_Val!$E$2:$E$12,0)),0,1)))</f>
        <v/>
      </c>
      <c r="J57" s="16" t="e">
        <f>IF(OR(Data!B57="",Data!#REF!=""),"",IF(Data!#REF!="",1,0))</f>
        <v>#REF!</v>
      </c>
      <c r="K57" s="16" t="e">
        <f>IF(OR(Data!B57="",Data!#REF!=""),"",IF(Data!#REF!="",1,0))</f>
        <v>#REF!</v>
      </c>
      <c r="L57" s="16" t="e">
        <f>IF(OR(Data!B57="",Data!#REF!=""),"",IF(ISNUMBER(Data!#REF!),IF(AND(Data!#REF!&gt;Data_Val!$G$2,Data!#REF!&lt;=Data_Val!$G$3),0,1),1))</f>
        <v>#REF!</v>
      </c>
      <c r="M57" s="9" t="e">
        <f>IF(OR(Data!B57="",Data!#REF!=""),"",IF(ISNUMBER(MATCH(Data!#REF!,Data_Val!$F$1:$F$38,0)),0,1))</f>
        <v>#REF!</v>
      </c>
      <c r="N57" s="9" t="e">
        <f>IF(OR(Data!B57="",Data!#REF!=""),"",IF(Data!#REF!="",1,0))</f>
        <v>#REF!</v>
      </c>
      <c r="O57" s="17" t="e">
        <f>IF(Data!#REF!="","",IF(Data!#REF!="",1,0))</f>
        <v>#REF!</v>
      </c>
      <c r="P57" s="17" t="e">
        <f>IF(Data!#REF!="","",IF(ISNUMBER(MATCH(Data!#REF!,Data_Val!$A$2:$A$3,0)),0,1))</f>
        <v>#REF!</v>
      </c>
      <c r="Q57" s="25" t="e">
        <f ca="1">IF(Data!#REF!="","",IF(ISNUMBER(Data!#REF!),IF(AND(Data!#REF!&gt;(TODAY()-(Data_Val!$J$3*365.25)),Data!#REF!&lt;=(TODAY()-(Data_Val!$J$2*365.25))),0,1),1))</f>
        <v>#REF!</v>
      </c>
      <c r="R57" s="17" t="e">
        <f>IF(Data!#REF!="","",IF(ISNUMBER(MATCH(Data!#REF!,Data_Val!$B$2:$B$15,0)),0,1))</f>
        <v>#REF!</v>
      </c>
      <c r="S57" s="11" t="str">
        <f>IF(Data!G57="","",IF(Data!G57=Data_Val!$C$2,IF(Data!M57="",0,1),0))</f>
        <v/>
      </c>
      <c r="T57" s="11" t="str">
        <f>IF(Data!M57="","",IF(ISNUMBER(MATCH(Data!N57,Data_Val!$A$2:$A$3,0)),0,1))</f>
        <v/>
      </c>
      <c r="U57" s="11" t="str">
        <f ca="1">IF(Data!M57="","",IF(ISNUMBER(Data!O57),IF(AND(Data!O57&gt;(TODAY()-(Data_Val!$K$3*365.25)),Data!O57&lt;=(TODAY()-(Data_Val!$K$2*365.25))),0,1),1))</f>
        <v/>
      </c>
      <c r="V57" s="12" t="str">
        <f>IF(Data!G57="","",IF(Data!G57=Data_Val!$C$2,IF(Data!P57="",0,1),0))</f>
        <v/>
      </c>
      <c r="W57" s="12" t="str">
        <f>IF(Data!P57="","",IF(ISNUMBER(MATCH(Data!Q57,Data_Val!$A$2:$A$3,0)),0,1))</f>
        <v/>
      </c>
      <c r="X57" s="26" t="str">
        <f ca="1">IF(Data!P57="","",IF(ISNUMBER(Data!R57),IF(AND(Data!R57&gt;(TODAY()-(Data_Val!$L$3*365.25)),Data!R57&lt;=(TODAY()-(Data_Val!$L$2*365.25))),0,1),1))</f>
        <v/>
      </c>
      <c r="Y57" s="13" t="str">
        <f>IF(Data!$G57="","",IF(Data!$G57=Data_Val!$C$2,IF(Data!S57="",0,1),0))</f>
        <v/>
      </c>
      <c r="Z57" s="13" t="str">
        <f>IF(Data!S57="","",IF(ISNUMBER(MATCH(Data!T57,Data_Val!$A$2:$A$3,0)),0,1))</f>
        <v/>
      </c>
      <c r="AA57" s="28" t="str">
        <f ca="1">IF(Data!S57="","",IF(ISNUMBER(Data!U57),IF(AND(Data!U57&gt;(TODAY()-(Data_Val!$L$3*365.25)),Data!U57&lt;=(TODAY()-(Data_Val!$L$2*365.25))),0,1),1))</f>
        <v/>
      </c>
      <c r="AB57" s="11"/>
      <c r="AC57" s="11" t="e">
        <f>IF(Data!#REF!="","",IF(ISNUMBER(MATCH(Data!#REF!,Data_Val!$A$2:$A$3,0)),0,1))</f>
        <v>#REF!</v>
      </c>
      <c r="AD57" s="11" t="e">
        <f ca="1">IF(Data!#REF!="","",IF(ISNUMBER(Data!#REF!),IF(AND(Data!#REF!&gt;(TODAY()-(Data_Val!$L$3*365.25)),Data!#REF!&lt;=(TODAY()-(Data_Val!$L$2*365.25))),0,1),1))</f>
        <v>#REF!</v>
      </c>
      <c r="AE57" s="11" t="e">
        <f>IF(Data!#REF!="","",IF(Data!$G57="",1,IF(ISNUMBER(MATCH(Data!#REF!,Data_Val!$D$2:$D$10,0)),0,1)))</f>
        <v>#REF!</v>
      </c>
      <c r="AF57" s="12"/>
      <c r="AG57" s="12" t="e">
        <f>IF(Data!#REF!="","",IF(ISNUMBER(MATCH(Data!#REF!,Data_Val!$A$2:$A$3,0)),0,1))</f>
        <v>#REF!</v>
      </c>
      <c r="AH57" s="26" t="e">
        <f ca="1">IF(Data!#REF!="","",IF(ISNUMBER(Data!#REF!),IF(AND(Data!#REF!&gt;(TODAY()-(Data_Val!$L$3*365.25)),Data!#REF!&lt;=(TODAY()-(Data_Val!$L$2*365.25))),0,1),1))</f>
        <v>#REF!</v>
      </c>
      <c r="AI57" s="12" t="e">
        <f>IF(Data!#REF!="","",IF(Data!$G57="",1,IF(ISNUMBER(MATCH(Data!#REF!,Data_Val!$D$2:$D$10,0)),0,1)))</f>
        <v>#REF!</v>
      </c>
      <c r="AJ57" s="17"/>
      <c r="AK57" s="17" t="e">
        <f>IF(Data!#REF!="","",IF(ISNUMBER(MATCH(Data!#REF!,Data_Val!$A$2:$A$3,0)),0,1))</f>
        <v>#REF!</v>
      </c>
      <c r="AL57" s="25" t="e">
        <f ca="1">IF(Data!#REF!="","",IF(ISNUMBER(Data!#REF!),IF(AND(Data!#REF!&gt;(TODAY()-(Data_Val!$L$3*365.25)),Data!#REF!&lt;=(TODAY()-(Data_Val!$L$2*365.25))),0,1),1))</f>
        <v>#REF!</v>
      </c>
      <c r="AM57" s="17" t="e">
        <f>IF(Data!#REF!="","",IF(Data!$G57="",1,IF(ISNUMBER(MATCH(Data!#REF!,Data_Val!$D$2:$D$10,0)),0,1)))</f>
        <v>#REF!</v>
      </c>
      <c r="AN57" s="13"/>
      <c r="AO57" s="28" t="e">
        <f ca="1">IF(Data!#REF!="","",IF(ISNUMBER(Data!#REF!),IF(AND(Data!#REF!&gt;(TODAY()-(Data_Val!$I$3*365.25)),Data!#REF!&lt;=(TODAY()-(Data_Val!$I$2*365.25))),0,1),1))</f>
        <v>#REF!</v>
      </c>
      <c r="AP57" s="13" t="e">
        <f>IF(Data!#REF!="","",IF(Data!$G57="",1,IF(ISNUMBER(MATCH(Data!#REF!,Data_Val!$D$2:$D$10,0)),0,1)))</f>
        <v>#REF!</v>
      </c>
      <c r="AQ57" s="17"/>
      <c r="AR57" s="30" t="e">
        <f ca="1">IF(Data!#REF!="","",IF(ISNUMBER(Data!#REF!),IF(AND(Data!#REF!&gt;(TODAY()-(Data_Val!$I$3*365.25)),Data!#REF!&lt;=(TODAY()-(Data_Val!$I$2*365.25))),0,1),1))</f>
        <v>#REF!</v>
      </c>
      <c r="AS57" s="31" t="e">
        <f>IF(Data!#REF!="","",IF(Data!$G57="",1,IF(ISNUMBER(MATCH(Data!#REF!,Data_Val!$D$2:$D$10,0)),0,1)))</f>
        <v>#REF!</v>
      </c>
      <c r="AT57" s="11"/>
      <c r="AU57" s="11" t="e">
        <f ca="1">IF(Data!#REF!="","",IF(ISNUMBER(Data!#REF!),IF(AND(Data!#REF!&gt;(TODAY()-(Data_Val!$I$3*365.25)),Data!#REF!&lt;=(TODAY()-(Data_Val!$I$2*365.25))),0,1),1))</f>
        <v>#REF!</v>
      </c>
      <c r="AV57" s="11" t="e">
        <f>IF(Data!#REF!="","",IF(Data!$G57="",1,IF(ISNUMBER(MATCH(Data!#REF!,Data_Val!$D$2:$D$10,0)),0,1)))</f>
        <v>#REF!</v>
      </c>
      <c r="AW57" s="12"/>
      <c r="AX57" s="26" t="e">
        <f ca="1">IF(Data!#REF!="","",IF(ISNUMBER(Data!#REF!),IF(AND(Data!#REF!&gt;(TODAY()-(Data_Val!$I$3*365.25)),Data!#REF!&lt;=(TODAY()-(Data_Val!$I$2*365.25))),0,1),1))</f>
        <v>#REF!</v>
      </c>
      <c r="AY57" s="12" t="e">
        <f>IF(Data!#REF!="","",IF(Data!$G57="",1,IF(ISNUMBER(MATCH(Data!#REF!,Data_Val!$D$2:$D$10,0)),0,1)))</f>
        <v>#REF!</v>
      </c>
      <c r="AZ57" s="11"/>
      <c r="BA57" s="19" t="e">
        <f ca="1">IF(Data!#REF!="","",IF(ISNUMBER(Data!#REF!),IF(AND(Data!#REF!&gt;(TODAY()-(Data_Val!$M$3*365.25)),Data!#REF!&lt;=(TODAY()-(Data_Val!$M$2*365.25))),0,1),1))</f>
        <v>#REF!</v>
      </c>
      <c r="BB57" s="11" t="e">
        <f>IF(Data!#REF!="","",IF(Data!$G57="",1,IF(ISNUMBER(MATCH(Data!#REF!,Data_Val!$D$2:$D$10,0)),0,1)))</f>
        <v>#REF!</v>
      </c>
      <c r="BC57" s="12"/>
      <c r="BD57" s="20" t="e">
        <f ca="1">IF(Data!#REF!="","",IF(ISNUMBER(Data!#REF!),IF(AND(Data!#REF!&gt;(TODAY()-(Data_Val!$M$3*365.25)),Data!#REF!&lt;=(TODAY()-(Data_Val!$M$2*365.25))),0,1),1))</f>
        <v>#REF!</v>
      </c>
      <c r="BE57" s="12" t="e">
        <f>IF(Data!#REF!="","",IF(Data!$G57="",1,IF(ISNUMBER(MATCH(Data!#REF!,Data_Val!$D$2:$D$10,0)),0,1)))</f>
        <v>#REF!</v>
      </c>
      <c r="BF57" s="17"/>
      <c r="BG57" s="18" t="e">
        <f ca="1">IF(Data!#REF!="","",IF(ISNUMBER(Data!#REF!),IF(AND(Data!#REF!&gt;(TODAY()-(Data_Val!$M$3*365.25)),Data!#REF!&lt;=(TODAY()-(Data_Val!$M$2*365.25))),0,1),1))</f>
        <v>#REF!</v>
      </c>
      <c r="BH57" s="29" t="e">
        <f>IF(Data!#REF!="","",IF(Data!$G57="",1,IF(ISNUMBER(MATCH(Data!#REF!,Data_Val!$D$2:$D$10,0)),0,1)))</f>
        <v>#REF!</v>
      </c>
      <c r="BI57" s="13"/>
      <c r="BJ57" s="21" t="e">
        <f ca="1">IF(Data!#REF!="","",IF(ISNUMBER(Data!#REF!),IF(AND(Data!#REF!&gt;(TODAY()-(Data_Val!$M$3*365.25)),Data!#REF!&lt;=(TODAY()-(Data_Val!$M$2*365.25))),0,1),1))</f>
        <v>#REF!</v>
      </c>
      <c r="BK57" s="13" t="e">
        <f>IF(Data!#REF!="","",IF(Data!$G57="",1,IF(ISNUMBER(MATCH(Data!#REF!,Data_Val!$D$2:$D$10,0)),0,1)))</f>
        <v>#REF!</v>
      </c>
    </row>
    <row r="58" spans="1:63" x14ac:dyDescent="0.25">
      <c r="A58" s="9" t="str">
        <f>IF(Data!B58="","",IF(COUNTIFS(Data!A$1:'Data'!A58,Data!A58)&lt;=1,0,1))</f>
        <v/>
      </c>
      <c r="B58" s="9"/>
      <c r="C58" s="23" t="str">
        <f>IF(Data!C58="","",(IF(ISNUMBER(MATCH("*@*.?*",Data!C58,0)),0,1)+IF(COUNTIFS(Data!C$1:'Data'!C58,Data!C58)&gt;1,1,0)))</f>
        <v/>
      </c>
      <c r="D58" s="9" t="str">
        <f>IF(Data!B58="","",IF(ISNUMBER(Data!D58),IF(AND(Data!D58&gt;999999999,Data!D58&lt;=9999999999),IF(COUNTIFS(Data!D$1:'Data'!D58,Data!D58)&lt;=1,0,1),1),1))</f>
        <v/>
      </c>
      <c r="E58" s="9" t="str">
        <f>IF(Data!B58="","",IF(ISNUMBER(MATCH(Data!E58,Data_Val!$A$2:$A$3,0)),0,1))</f>
        <v/>
      </c>
      <c r="F58" s="9" t="str">
        <f ca="1">IF(Data!B58="","",IF(ISNUMBER(Data!F58),IF(AND(Data!F58&gt;(TODAY()-(Data_Val!$H$3*365.25)),Data!F58&lt;=(TODAY()-(Data_Val!$H$2*365.25))),0,1),1))</f>
        <v/>
      </c>
      <c r="G58" s="15" t="str">
        <f>IF(Data!B58="","",IF(AND(Data!G58="",Data!H58&lt;&gt;""),1,IF(Data!#REF!&lt;&gt;"",0,IF(ISNUMBER(MATCH(Data!G58,Data_Val!$C$2:$C$5,0)),0,1))))</f>
        <v/>
      </c>
      <c r="H58" s="15" t="str">
        <f>IF(Data!B58="","",IF(AND(Data!G58&lt;&gt;"",Data!H58=""),1,IF(Data!#REF!&lt;&gt;"",0,IF(Data!G58="",1,IF(ISNUMBER(MATCH(Data!H58,Data_Val!$D$2:$D$35,0)),0,1)))))</f>
        <v/>
      </c>
      <c r="I58" s="15" t="str">
        <f>IF(Data!B58="","",IF(Data!G58&lt;&gt;"",0,IF(ISNUMBER(MATCH(Data!#REF!,Data_Val!$E$2:$E$12,0)),0,1)))</f>
        <v/>
      </c>
      <c r="J58" s="16" t="e">
        <f>IF(OR(Data!B58="",Data!#REF!=""),"",IF(Data!#REF!="",1,0))</f>
        <v>#REF!</v>
      </c>
      <c r="K58" s="16" t="e">
        <f>IF(OR(Data!B58="",Data!#REF!=""),"",IF(Data!#REF!="",1,0))</f>
        <v>#REF!</v>
      </c>
      <c r="L58" s="16" t="e">
        <f>IF(OR(Data!B58="",Data!#REF!=""),"",IF(ISNUMBER(Data!#REF!),IF(AND(Data!#REF!&gt;Data_Val!$G$2,Data!#REF!&lt;=Data_Val!$G$3),0,1),1))</f>
        <v>#REF!</v>
      </c>
      <c r="M58" s="9" t="e">
        <f>IF(OR(Data!B58="",Data!#REF!=""),"",IF(ISNUMBER(MATCH(Data!#REF!,Data_Val!$F$1:$F$38,0)),0,1))</f>
        <v>#REF!</v>
      </c>
      <c r="N58" s="9" t="e">
        <f>IF(OR(Data!B58="",Data!#REF!=""),"",IF(Data!#REF!="",1,0))</f>
        <v>#REF!</v>
      </c>
      <c r="O58" s="17" t="e">
        <f>IF(Data!#REF!="","",IF(Data!#REF!="",1,0))</f>
        <v>#REF!</v>
      </c>
      <c r="P58" s="17" t="e">
        <f>IF(Data!#REF!="","",IF(ISNUMBER(MATCH(Data!#REF!,Data_Val!$A$2:$A$3,0)),0,1))</f>
        <v>#REF!</v>
      </c>
      <c r="Q58" s="25" t="e">
        <f ca="1">IF(Data!#REF!="","",IF(ISNUMBER(Data!#REF!),IF(AND(Data!#REF!&gt;(TODAY()-(Data_Val!$J$3*365.25)),Data!#REF!&lt;=(TODAY()-(Data_Val!$J$2*365.25))),0,1),1))</f>
        <v>#REF!</v>
      </c>
      <c r="R58" s="17" t="e">
        <f>IF(Data!#REF!="","",IF(ISNUMBER(MATCH(Data!#REF!,Data_Val!$B$2:$B$15,0)),0,1))</f>
        <v>#REF!</v>
      </c>
      <c r="S58" s="11" t="str">
        <f>IF(Data!G58="","",IF(Data!G58=Data_Val!$C$2,IF(Data!M58="",0,1),0))</f>
        <v/>
      </c>
      <c r="T58" s="11" t="str">
        <f>IF(Data!M58="","",IF(ISNUMBER(MATCH(Data!N58,Data_Val!$A$2:$A$3,0)),0,1))</f>
        <v/>
      </c>
      <c r="U58" s="11" t="str">
        <f ca="1">IF(Data!M58="","",IF(ISNUMBER(Data!O58),IF(AND(Data!O58&gt;(TODAY()-(Data_Val!$K$3*365.25)),Data!O58&lt;=(TODAY()-(Data_Val!$K$2*365.25))),0,1),1))</f>
        <v/>
      </c>
      <c r="V58" s="12" t="str">
        <f>IF(Data!G58="","",IF(Data!G58=Data_Val!$C$2,IF(Data!P58="",0,1),0))</f>
        <v/>
      </c>
      <c r="W58" s="12" t="str">
        <f>IF(Data!P58="","",IF(ISNUMBER(MATCH(Data!Q58,Data_Val!$A$2:$A$3,0)),0,1))</f>
        <v/>
      </c>
      <c r="X58" s="26" t="str">
        <f ca="1">IF(Data!P58="","",IF(ISNUMBER(Data!R58),IF(AND(Data!R58&gt;(TODAY()-(Data_Val!$L$3*365.25)),Data!R58&lt;=(TODAY()-(Data_Val!$L$2*365.25))),0,1),1))</f>
        <v/>
      </c>
      <c r="Y58" s="13" t="str">
        <f>IF(Data!$G58="","",IF(Data!$G58=Data_Val!$C$2,IF(Data!S58="",0,1),0))</f>
        <v/>
      </c>
      <c r="Z58" s="13" t="str">
        <f>IF(Data!S58="","",IF(ISNUMBER(MATCH(Data!T58,Data_Val!$A$2:$A$3,0)),0,1))</f>
        <v/>
      </c>
      <c r="AA58" s="28" t="str">
        <f ca="1">IF(Data!S58="","",IF(ISNUMBER(Data!U58),IF(AND(Data!U58&gt;(TODAY()-(Data_Val!$L$3*365.25)),Data!U58&lt;=(TODAY()-(Data_Val!$L$2*365.25))),0,1),1))</f>
        <v/>
      </c>
      <c r="AB58" s="11"/>
      <c r="AC58" s="11" t="e">
        <f>IF(Data!#REF!="","",IF(ISNUMBER(MATCH(Data!#REF!,Data_Val!$A$2:$A$3,0)),0,1))</f>
        <v>#REF!</v>
      </c>
      <c r="AD58" s="11" t="e">
        <f ca="1">IF(Data!#REF!="","",IF(ISNUMBER(Data!#REF!),IF(AND(Data!#REF!&gt;(TODAY()-(Data_Val!$L$3*365.25)),Data!#REF!&lt;=(TODAY()-(Data_Val!$L$2*365.25))),0,1),1))</f>
        <v>#REF!</v>
      </c>
      <c r="AE58" s="11" t="e">
        <f>IF(Data!#REF!="","",IF(Data!$G58="",1,IF(ISNUMBER(MATCH(Data!#REF!,Data_Val!$D$2:$D$10,0)),0,1)))</f>
        <v>#REF!</v>
      </c>
      <c r="AF58" s="12"/>
      <c r="AG58" s="12" t="e">
        <f>IF(Data!#REF!="","",IF(ISNUMBER(MATCH(Data!#REF!,Data_Val!$A$2:$A$3,0)),0,1))</f>
        <v>#REF!</v>
      </c>
      <c r="AH58" s="26" t="e">
        <f ca="1">IF(Data!#REF!="","",IF(ISNUMBER(Data!#REF!),IF(AND(Data!#REF!&gt;(TODAY()-(Data_Val!$L$3*365.25)),Data!#REF!&lt;=(TODAY()-(Data_Val!$L$2*365.25))),0,1),1))</f>
        <v>#REF!</v>
      </c>
      <c r="AI58" s="12" t="e">
        <f>IF(Data!#REF!="","",IF(Data!$G58="",1,IF(ISNUMBER(MATCH(Data!#REF!,Data_Val!$D$2:$D$10,0)),0,1)))</f>
        <v>#REF!</v>
      </c>
      <c r="AJ58" s="17"/>
      <c r="AK58" s="17" t="e">
        <f>IF(Data!#REF!="","",IF(ISNUMBER(MATCH(Data!#REF!,Data_Val!$A$2:$A$3,0)),0,1))</f>
        <v>#REF!</v>
      </c>
      <c r="AL58" s="25" t="e">
        <f ca="1">IF(Data!#REF!="","",IF(ISNUMBER(Data!#REF!),IF(AND(Data!#REF!&gt;(TODAY()-(Data_Val!$L$3*365.25)),Data!#REF!&lt;=(TODAY()-(Data_Val!$L$2*365.25))),0,1),1))</f>
        <v>#REF!</v>
      </c>
      <c r="AM58" s="17" t="e">
        <f>IF(Data!#REF!="","",IF(Data!$G58="",1,IF(ISNUMBER(MATCH(Data!#REF!,Data_Val!$D$2:$D$10,0)),0,1)))</f>
        <v>#REF!</v>
      </c>
      <c r="AN58" s="13"/>
      <c r="AO58" s="28" t="e">
        <f ca="1">IF(Data!#REF!="","",IF(ISNUMBER(Data!#REF!),IF(AND(Data!#REF!&gt;(TODAY()-(Data_Val!$I$3*365.25)),Data!#REF!&lt;=(TODAY()-(Data_Val!$I$2*365.25))),0,1),1))</f>
        <v>#REF!</v>
      </c>
      <c r="AP58" s="13" t="e">
        <f>IF(Data!#REF!="","",IF(Data!$G58="",1,IF(ISNUMBER(MATCH(Data!#REF!,Data_Val!$D$2:$D$10,0)),0,1)))</f>
        <v>#REF!</v>
      </c>
      <c r="AQ58" s="17"/>
      <c r="AR58" s="30" t="e">
        <f ca="1">IF(Data!#REF!="","",IF(ISNUMBER(Data!#REF!),IF(AND(Data!#REF!&gt;(TODAY()-(Data_Val!$I$3*365.25)),Data!#REF!&lt;=(TODAY()-(Data_Val!$I$2*365.25))),0,1),1))</f>
        <v>#REF!</v>
      </c>
      <c r="AS58" s="31" t="e">
        <f>IF(Data!#REF!="","",IF(Data!$G58="",1,IF(ISNUMBER(MATCH(Data!#REF!,Data_Val!$D$2:$D$10,0)),0,1)))</f>
        <v>#REF!</v>
      </c>
      <c r="AT58" s="11"/>
      <c r="AU58" s="11" t="e">
        <f ca="1">IF(Data!#REF!="","",IF(ISNUMBER(Data!#REF!),IF(AND(Data!#REF!&gt;(TODAY()-(Data_Val!$I$3*365.25)),Data!#REF!&lt;=(TODAY()-(Data_Val!$I$2*365.25))),0,1),1))</f>
        <v>#REF!</v>
      </c>
      <c r="AV58" s="11" t="e">
        <f>IF(Data!#REF!="","",IF(Data!$G58="",1,IF(ISNUMBER(MATCH(Data!#REF!,Data_Val!$D$2:$D$10,0)),0,1)))</f>
        <v>#REF!</v>
      </c>
      <c r="AW58" s="12"/>
      <c r="AX58" s="26" t="e">
        <f ca="1">IF(Data!#REF!="","",IF(ISNUMBER(Data!#REF!),IF(AND(Data!#REF!&gt;(TODAY()-(Data_Val!$I$3*365.25)),Data!#REF!&lt;=(TODAY()-(Data_Val!$I$2*365.25))),0,1),1))</f>
        <v>#REF!</v>
      </c>
      <c r="AY58" s="12" t="e">
        <f>IF(Data!#REF!="","",IF(Data!$G58="",1,IF(ISNUMBER(MATCH(Data!#REF!,Data_Val!$D$2:$D$10,0)),0,1)))</f>
        <v>#REF!</v>
      </c>
      <c r="AZ58" s="11"/>
      <c r="BA58" s="19" t="e">
        <f ca="1">IF(Data!#REF!="","",IF(ISNUMBER(Data!#REF!),IF(AND(Data!#REF!&gt;(TODAY()-(Data_Val!$M$3*365.25)),Data!#REF!&lt;=(TODAY()-(Data_Val!$M$2*365.25))),0,1),1))</f>
        <v>#REF!</v>
      </c>
      <c r="BB58" s="11" t="e">
        <f>IF(Data!#REF!="","",IF(Data!$G58="",1,IF(ISNUMBER(MATCH(Data!#REF!,Data_Val!$D$2:$D$10,0)),0,1)))</f>
        <v>#REF!</v>
      </c>
      <c r="BC58" s="12"/>
      <c r="BD58" s="20" t="e">
        <f ca="1">IF(Data!#REF!="","",IF(ISNUMBER(Data!#REF!),IF(AND(Data!#REF!&gt;(TODAY()-(Data_Val!$M$3*365.25)),Data!#REF!&lt;=(TODAY()-(Data_Val!$M$2*365.25))),0,1),1))</f>
        <v>#REF!</v>
      </c>
      <c r="BE58" s="12" t="e">
        <f>IF(Data!#REF!="","",IF(Data!$G58="",1,IF(ISNUMBER(MATCH(Data!#REF!,Data_Val!$D$2:$D$10,0)),0,1)))</f>
        <v>#REF!</v>
      </c>
      <c r="BF58" s="17"/>
      <c r="BG58" s="18" t="e">
        <f ca="1">IF(Data!#REF!="","",IF(ISNUMBER(Data!#REF!),IF(AND(Data!#REF!&gt;(TODAY()-(Data_Val!$M$3*365.25)),Data!#REF!&lt;=(TODAY()-(Data_Val!$M$2*365.25))),0,1),1))</f>
        <v>#REF!</v>
      </c>
      <c r="BH58" s="29" t="e">
        <f>IF(Data!#REF!="","",IF(Data!$G58="",1,IF(ISNUMBER(MATCH(Data!#REF!,Data_Val!$D$2:$D$10,0)),0,1)))</f>
        <v>#REF!</v>
      </c>
      <c r="BI58" s="13"/>
      <c r="BJ58" s="21" t="e">
        <f ca="1">IF(Data!#REF!="","",IF(ISNUMBER(Data!#REF!),IF(AND(Data!#REF!&gt;(TODAY()-(Data_Val!$M$3*365.25)),Data!#REF!&lt;=(TODAY()-(Data_Val!$M$2*365.25))),0,1),1))</f>
        <v>#REF!</v>
      </c>
      <c r="BK58" s="13" t="e">
        <f>IF(Data!#REF!="","",IF(Data!$G58="",1,IF(ISNUMBER(MATCH(Data!#REF!,Data_Val!$D$2:$D$10,0)),0,1)))</f>
        <v>#REF!</v>
      </c>
    </row>
    <row r="59" spans="1:63" x14ac:dyDescent="0.25">
      <c r="A59" s="9" t="str">
        <f>IF(Data!B59="","",IF(COUNTIFS(Data!A$1:'Data'!A59,Data!A59)&lt;=1,0,1))</f>
        <v/>
      </c>
      <c r="B59" s="9"/>
      <c r="C59" s="23" t="str">
        <f>IF(Data!C59="","",(IF(ISNUMBER(MATCH("*@*.?*",Data!C59,0)),0,1)+IF(COUNTIFS(Data!C$1:'Data'!C59,Data!C59)&gt;1,1,0)))</f>
        <v/>
      </c>
      <c r="D59" s="9" t="str">
        <f>IF(Data!B59="","",IF(ISNUMBER(Data!D59),IF(AND(Data!D59&gt;999999999,Data!D59&lt;=9999999999),IF(COUNTIFS(Data!D$1:'Data'!D59,Data!D59)&lt;=1,0,1),1),1))</f>
        <v/>
      </c>
      <c r="E59" s="9" t="str">
        <f>IF(Data!B59="","",IF(ISNUMBER(MATCH(Data!E59,Data_Val!$A$2:$A$3,0)),0,1))</f>
        <v/>
      </c>
      <c r="F59" s="9" t="str">
        <f ca="1">IF(Data!B59="","",IF(ISNUMBER(Data!F59),IF(AND(Data!F59&gt;(TODAY()-(Data_Val!$H$3*365.25)),Data!F59&lt;=(TODAY()-(Data_Val!$H$2*365.25))),0,1),1))</f>
        <v/>
      </c>
      <c r="G59" s="15" t="str">
        <f>IF(Data!B59="","",IF(AND(Data!G59="",Data!H59&lt;&gt;""),1,IF(Data!#REF!&lt;&gt;"",0,IF(ISNUMBER(MATCH(Data!G59,Data_Val!$C$2:$C$5,0)),0,1))))</f>
        <v/>
      </c>
      <c r="H59" s="15" t="str">
        <f>IF(Data!B59="","",IF(AND(Data!G59&lt;&gt;"",Data!H59=""),1,IF(Data!#REF!&lt;&gt;"",0,IF(Data!G59="",1,IF(ISNUMBER(MATCH(Data!H59,Data_Val!$D$2:$D$35,0)),0,1)))))</f>
        <v/>
      </c>
      <c r="I59" s="15" t="str">
        <f>IF(Data!B59="","",IF(Data!G59&lt;&gt;"",0,IF(ISNUMBER(MATCH(Data!#REF!,Data_Val!$E$2:$E$12,0)),0,1)))</f>
        <v/>
      </c>
      <c r="J59" s="16" t="e">
        <f>IF(OR(Data!B59="",Data!#REF!=""),"",IF(Data!#REF!="",1,0))</f>
        <v>#REF!</v>
      </c>
      <c r="K59" s="16" t="e">
        <f>IF(OR(Data!B59="",Data!#REF!=""),"",IF(Data!#REF!="",1,0))</f>
        <v>#REF!</v>
      </c>
      <c r="L59" s="16" t="e">
        <f>IF(OR(Data!B59="",Data!#REF!=""),"",IF(ISNUMBER(Data!#REF!),IF(AND(Data!#REF!&gt;Data_Val!$G$2,Data!#REF!&lt;=Data_Val!$G$3),0,1),1))</f>
        <v>#REF!</v>
      </c>
      <c r="M59" s="9" t="e">
        <f>IF(OR(Data!B59="",Data!#REF!=""),"",IF(ISNUMBER(MATCH(Data!#REF!,Data_Val!$F$1:$F$38,0)),0,1))</f>
        <v>#REF!</v>
      </c>
      <c r="N59" s="9" t="e">
        <f>IF(OR(Data!B59="",Data!#REF!=""),"",IF(Data!#REF!="",1,0))</f>
        <v>#REF!</v>
      </c>
      <c r="O59" s="17" t="e">
        <f>IF(Data!#REF!="","",IF(Data!#REF!="",1,0))</f>
        <v>#REF!</v>
      </c>
      <c r="P59" s="17" t="e">
        <f>IF(Data!#REF!="","",IF(ISNUMBER(MATCH(Data!#REF!,Data_Val!$A$2:$A$3,0)),0,1))</f>
        <v>#REF!</v>
      </c>
      <c r="Q59" s="25" t="e">
        <f ca="1">IF(Data!#REF!="","",IF(ISNUMBER(Data!#REF!),IF(AND(Data!#REF!&gt;(TODAY()-(Data_Val!$J$3*365.25)),Data!#REF!&lt;=(TODAY()-(Data_Val!$J$2*365.25))),0,1),1))</f>
        <v>#REF!</v>
      </c>
      <c r="R59" s="17" t="e">
        <f>IF(Data!#REF!="","",IF(ISNUMBER(MATCH(Data!#REF!,Data_Val!$B$2:$B$15,0)),0,1))</f>
        <v>#REF!</v>
      </c>
      <c r="S59" s="11" t="str">
        <f>IF(Data!G59="","",IF(Data!G59=Data_Val!$C$2,IF(Data!M59="",0,1),0))</f>
        <v/>
      </c>
      <c r="T59" s="11" t="str">
        <f>IF(Data!M59="","",IF(ISNUMBER(MATCH(Data!N59,Data_Val!$A$2:$A$3,0)),0,1))</f>
        <v/>
      </c>
      <c r="U59" s="11" t="str">
        <f ca="1">IF(Data!M59="","",IF(ISNUMBER(Data!O59),IF(AND(Data!O59&gt;(TODAY()-(Data_Val!$K$3*365.25)),Data!O59&lt;=(TODAY()-(Data_Val!$K$2*365.25))),0,1),1))</f>
        <v/>
      </c>
      <c r="V59" s="12" t="str">
        <f>IF(Data!G59="","",IF(Data!G59=Data_Val!$C$2,IF(Data!P59="",0,1),0))</f>
        <v/>
      </c>
      <c r="W59" s="12" t="str">
        <f>IF(Data!P59="","",IF(ISNUMBER(MATCH(Data!Q59,Data_Val!$A$2:$A$3,0)),0,1))</f>
        <v/>
      </c>
      <c r="X59" s="26" t="str">
        <f ca="1">IF(Data!P59="","",IF(ISNUMBER(Data!R59),IF(AND(Data!R59&gt;(TODAY()-(Data_Val!$L$3*365.25)),Data!R59&lt;=(TODAY()-(Data_Val!$L$2*365.25))),0,1),1))</f>
        <v/>
      </c>
      <c r="Y59" s="13" t="str">
        <f>IF(Data!$G59="","",IF(Data!$G59=Data_Val!$C$2,IF(Data!S59="",0,1),0))</f>
        <v/>
      </c>
      <c r="Z59" s="13" t="str">
        <f>IF(Data!S59="","",IF(ISNUMBER(MATCH(Data!T59,Data_Val!$A$2:$A$3,0)),0,1))</f>
        <v/>
      </c>
      <c r="AA59" s="28" t="str">
        <f ca="1">IF(Data!S59="","",IF(ISNUMBER(Data!U59),IF(AND(Data!U59&gt;(TODAY()-(Data_Val!$L$3*365.25)),Data!U59&lt;=(TODAY()-(Data_Val!$L$2*365.25))),0,1),1))</f>
        <v/>
      </c>
      <c r="AB59" s="11"/>
      <c r="AC59" s="11" t="e">
        <f>IF(Data!#REF!="","",IF(ISNUMBER(MATCH(Data!#REF!,Data_Val!$A$2:$A$3,0)),0,1))</f>
        <v>#REF!</v>
      </c>
      <c r="AD59" s="11" t="e">
        <f ca="1">IF(Data!#REF!="","",IF(ISNUMBER(Data!#REF!),IF(AND(Data!#REF!&gt;(TODAY()-(Data_Val!$L$3*365.25)),Data!#REF!&lt;=(TODAY()-(Data_Val!$L$2*365.25))),0,1),1))</f>
        <v>#REF!</v>
      </c>
      <c r="AE59" s="11" t="e">
        <f>IF(Data!#REF!="","",IF(Data!$G59="",1,IF(ISNUMBER(MATCH(Data!#REF!,Data_Val!$D$2:$D$10,0)),0,1)))</f>
        <v>#REF!</v>
      </c>
      <c r="AF59" s="12"/>
      <c r="AG59" s="12" t="e">
        <f>IF(Data!#REF!="","",IF(ISNUMBER(MATCH(Data!#REF!,Data_Val!$A$2:$A$3,0)),0,1))</f>
        <v>#REF!</v>
      </c>
      <c r="AH59" s="26" t="e">
        <f ca="1">IF(Data!#REF!="","",IF(ISNUMBER(Data!#REF!),IF(AND(Data!#REF!&gt;(TODAY()-(Data_Val!$L$3*365.25)),Data!#REF!&lt;=(TODAY()-(Data_Val!$L$2*365.25))),0,1),1))</f>
        <v>#REF!</v>
      </c>
      <c r="AI59" s="12" t="e">
        <f>IF(Data!#REF!="","",IF(Data!$G59="",1,IF(ISNUMBER(MATCH(Data!#REF!,Data_Val!$D$2:$D$10,0)),0,1)))</f>
        <v>#REF!</v>
      </c>
      <c r="AJ59" s="17"/>
      <c r="AK59" s="17" t="e">
        <f>IF(Data!#REF!="","",IF(ISNUMBER(MATCH(Data!#REF!,Data_Val!$A$2:$A$3,0)),0,1))</f>
        <v>#REF!</v>
      </c>
      <c r="AL59" s="25" t="e">
        <f ca="1">IF(Data!#REF!="","",IF(ISNUMBER(Data!#REF!),IF(AND(Data!#REF!&gt;(TODAY()-(Data_Val!$L$3*365.25)),Data!#REF!&lt;=(TODAY()-(Data_Val!$L$2*365.25))),0,1),1))</f>
        <v>#REF!</v>
      </c>
      <c r="AM59" s="17" t="e">
        <f>IF(Data!#REF!="","",IF(Data!$G59="",1,IF(ISNUMBER(MATCH(Data!#REF!,Data_Val!$D$2:$D$10,0)),0,1)))</f>
        <v>#REF!</v>
      </c>
      <c r="AN59" s="13"/>
      <c r="AO59" s="28" t="e">
        <f ca="1">IF(Data!#REF!="","",IF(ISNUMBER(Data!#REF!),IF(AND(Data!#REF!&gt;(TODAY()-(Data_Val!$I$3*365.25)),Data!#REF!&lt;=(TODAY()-(Data_Val!$I$2*365.25))),0,1),1))</f>
        <v>#REF!</v>
      </c>
      <c r="AP59" s="13" t="e">
        <f>IF(Data!#REF!="","",IF(Data!$G59="",1,IF(ISNUMBER(MATCH(Data!#REF!,Data_Val!$D$2:$D$10,0)),0,1)))</f>
        <v>#REF!</v>
      </c>
      <c r="AQ59" s="17"/>
      <c r="AR59" s="30" t="e">
        <f ca="1">IF(Data!#REF!="","",IF(ISNUMBER(Data!#REF!),IF(AND(Data!#REF!&gt;(TODAY()-(Data_Val!$I$3*365.25)),Data!#REF!&lt;=(TODAY()-(Data_Val!$I$2*365.25))),0,1),1))</f>
        <v>#REF!</v>
      </c>
      <c r="AS59" s="31" t="e">
        <f>IF(Data!#REF!="","",IF(Data!$G59="",1,IF(ISNUMBER(MATCH(Data!#REF!,Data_Val!$D$2:$D$10,0)),0,1)))</f>
        <v>#REF!</v>
      </c>
      <c r="AT59" s="11"/>
      <c r="AU59" s="11" t="e">
        <f ca="1">IF(Data!#REF!="","",IF(ISNUMBER(Data!#REF!),IF(AND(Data!#REF!&gt;(TODAY()-(Data_Val!$I$3*365.25)),Data!#REF!&lt;=(TODAY()-(Data_Val!$I$2*365.25))),0,1),1))</f>
        <v>#REF!</v>
      </c>
      <c r="AV59" s="11" t="e">
        <f>IF(Data!#REF!="","",IF(Data!$G59="",1,IF(ISNUMBER(MATCH(Data!#REF!,Data_Val!$D$2:$D$10,0)),0,1)))</f>
        <v>#REF!</v>
      </c>
      <c r="AW59" s="12"/>
      <c r="AX59" s="26" t="e">
        <f ca="1">IF(Data!#REF!="","",IF(ISNUMBER(Data!#REF!),IF(AND(Data!#REF!&gt;(TODAY()-(Data_Val!$I$3*365.25)),Data!#REF!&lt;=(TODAY()-(Data_Val!$I$2*365.25))),0,1),1))</f>
        <v>#REF!</v>
      </c>
      <c r="AY59" s="12" t="e">
        <f>IF(Data!#REF!="","",IF(Data!$G59="",1,IF(ISNUMBER(MATCH(Data!#REF!,Data_Val!$D$2:$D$10,0)),0,1)))</f>
        <v>#REF!</v>
      </c>
      <c r="AZ59" s="11"/>
      <c r="BA59" s="19" t="e">
        <f ca="1">IF(Data!#REF!="","",IF(ISNUMBER(Data!#REF!),IF(AND(Data!#REF!&gt;(TODAY()-(Data_Val!$M$3*365.25)),Data!#REF!&lt;=(TODAY()-(Data_Val!$M$2*365.25))),0,1),1))</f>
        <v>#REF!</v>
      </c>
      <c r="BB59" s="11" t="e">
        <f>IF(Data!#REF!="","",IF(Data!$G59="",1,IF(ISNUMBER(MATCH(Data!#REF!,Data_Val!$D$2:$D$10,0)),0,1)))</f>
        <v>#REF!</v>
      </c>
      <c r="BC59" s="12"/>
      <c r="BD59" s="20" t="e">
        <f ca="1">IF(Data!#REF!="","",IF(ISNUMBER(Data!#REF!),IF(AND(Data!#REF!&gt;(TODAY()-(Data_Val!$M$3*365.25)),Data!#REF!&lt;=(TODAY()-(Data_Val!$M$2*365.25))),0,1),1))</f>
        <v>#REF!</v>
      </c>
      <c r="BE59" s="12" t="e">
        <f>IF(Data!#REF!="","",IF(Data!$G59="",1,IF(ISNUMBER(MATCH(Data!#REF!,Data_Val!$D$2:$D$10,0)),0,1)))</f>
        <v>#REF!</v>
      </c>
      <c r="BF59" s="17"/>
      <c r="BG59" s="18" t="e">
        <f ca="1">IF(Data!#REF!="","",IF(ISNUMBER(Data!#REF!),IF(AND(Data!#REF!&gt;(TODAY()-(Data_Val!$M$3*365.25)),Data!#REF!&lt;=(TODAY()-(Data_Val!$M$2*365.25))),0,1),1))</f>
        <v>#REF!</v>
      </c>
      <c r="BH59" s="29" t="e">
        <f>IF(Data!#REF!="","",IF(Data!$G59="",1,IF(ISNUMBER(MATCH(Data!#REF!,Data_Val!$D$2:$D$10,0)),0,1)))</f>
        <v>#REF!</v>
      </c>
      <c r="BI59" s="13"/>
      <c r="BJ59" s="21" t="e">
        <f ca="1">IF(Data!#REF!="","",IF(ISNUMBER(Data!#REF!),IF(AND(Data!#REF!&gt;(TODAY()-(Data_Val!$M$3*365.25)),Data!#REF!&lt;=(TODAY()-(Data_Val!$M$2*365.25))),0,1),1))</f>
        <v>#REF!</v>
      </c>
      <c r="BK59" s="13" t="e">
        <f>IF(Data!#REF!="","",IF(Data!$G59="",1,IF(ISNUMBER(MATCH(Data!#REF!,Data_Val!$D$2:$D$10,0)),0,1)))</f>
        <v>#REF!</v>
      </c>
    </row>
    <row r="60" spans="1:63" x14ac:dyDescent="0.25">
      <c r="A60" s="9" t="str">
        <f>IF(Data!B60="","",IF(COUNTIFS(Data!A$1:'Data'!A60,Data!A60)&lt;=1,0,1))</f>
        <v/>
      </c>
      <c r="B60" s="9"/>
      <c r="C60" s="23" t="str">
        <f>IF(Data!C60="","",(IF(ISNUMBER(MATCH("*@*.?*",Data!C60,0)),0,1)+IF(COUNTIFS(Data!C$1:'Data'!C60,Data!C60)&gt;1,1,0)))</f>
        <v/>
      </c>
      <c r="D60" s="9" t="str">
        <f>IF(Data!B60="","",IF(ISNUMBER(Data!D60),IF(AND(Data!D60&gt;999999999,Data!D60&lt;=9999999999),IF(COUNTIFS(Data!D$1:'Data'!D60,Data!D60)&lt;=1,0,1),1),1))</f>
        <v/>
      </c>
      <c r="E60" s="9" t="str">
        <f>IF(Data!B60="","",IF(ISNUMBER(MATCH(Data!E60,Data_Val!$A$2:$A$3,0)),0,1))</f>
        <v/>
      </c>
      <c r="F60" s="9" t="str">
        <f ca="1">IF(Data!B60="","",IF(ISNUMBER(Data!F60),IF(AND(Data!F60&gt;(TODAY()-(Data_Val!$H$3*365.25)),Data!F60&lt;=(TODAY()-(Data_Val!$H$2*365.25))),0,1),1))</f>
        <v/>
      </c>
      <c r="G60" s="15" t="str">
        <f>IF(Data!B60="","",IF(AND(Data!G60="",Data!H60&lt;&gt;""),1,IF(Data!#REF!&lt;&gt;"",0,IF(ISNUMBER(MATCH(Data!G60,Data_Val!$C$2:$C$5,0)),0,1))))</f>
        <v/>
      </c>
      <c r="H60" s="15" t="str">
        <f>IF(Data!B60="","",IF(AND(Data!G60&lt;&gt;"",Data!H60=""),1,IF(Data!#REF!&lt;&gt;"",0,IF(Data!G60="",1,IF(ISNUMBER(MATCH(Data!H60,Data_Val!$D$2:$D$35,0)),0,1)))))</f>
        <v/>
      </c>
      <c r="I60" s="15" t="str">
        <f>IF(Data!B60="","",IF(Data!G60&lt;&gt;"",0,IF(ISNUMBER(MATCH(Data!#REF!,Data_Val!$E$2:$E$12,0)),0,1)))</f>
        <v/>
      </c>
      <c r="J60" s="16" t="e">
        <f>IF(OR(Data!B60="",Data!#REF!=""),"",IF(Data!#REF!="",1,0))</f>
        <v>#REF!</v>
      </c>
      <c r="K60" s="16" t="e">
        <f>IF(OR(Data!B60="",Data!#REF!=""),"",IF(Data!#REF!="",1,0))</f>
        <v>#REF!</v>
      </c>
      <c r="L60" s="16" t="e">
        <f>IF(OR(Data!B60="",Data!#REF!=""),"",IF(ISNUMBER(Data!#REF!),IF(AND(Data!#REF!&gt;Data_Val!$G$2,Data!#REF!&lt;=Data_Val!$G$3),0,1),1))</f>
        <v>#REF!</v>
      </c>
      <c r="M60" s="9" t="e">
        <f>IF(OR(Data!B60="",Data!#REF!=""),"",IF(ISNUMBER(MATCH(Data!#REF!,Data_Val!$F$1:$F$38,0)),0,1))</f>
        <v>#REF!</v>
      </c>
      <c r="N60" s="9" t="e">
        <f>IF(OR(Data!B60="",Data!#REF!=""),"",IF(Data!#REF!="",1,0))</f>
        <v>#REF!</v>
      </c>
      <c r="O60" s="17" t="e">
        <f>IF(Data!#REF!="","",IF(Data!#REF!="",1,0))</f>
        <v>#REF!</v>
      </c>
      <c r="P60" s="17" t="e">
        <f>IF(Data!#REF!="","",IF(ISNUMBER(MATCH(Data!#REF!,Data_Val!$A$2:$A$3,0)),0,1))</f>
        <v>#REF!</v>
      </c>
      <c r="Q60" s="25" t="e">
        <f ca="1">IF(Data!#REF!="","",IF(ISNUMBER(Data!#REF!),IF(AND(Data!#REF!&gt;(TODAY()-(Data_Val!$J$3*365.25)),Data!#REF!&lt;=(TODAY()-(Data_Val!$J$2*365.25))),0,1),1))</f>
        <v>#REF!</v>
      </c>
      <c r="R60" s="17" t="e">
        <f>IF(Data!#REF!="","",IF(ISNUMBER(MATCH(Data!#REF!,Data_Val!$B$2:$B$15,0)),0,1))</f>
        <v>#REF!</v>
      </c>
      <c r="S60" s="11" t="str">
        <f>IF(Data!G60="","",IF(Data!G60=Data_Val!$C$2,IF(Data!M60="",0,1),0))</f>
        <v/>
      </c>
      <c r="T60" s="11" t="str">
        <f>IF(Data!M60="","",IF(ISNUMBER(MATCH(Data!N60,Data_Val!$A$2:$A$3,0)),0,1))</f>
        <v/>
      </c>
      <c r="U60" s="11" t="str">
        <f ca="1">IF(Data!M60="","",IF(ISNUMBER(Data!O60),IF(AND(Data!O60&gt;(TODAY()-(Data_Val!$K$3*365.25)),Data!O60&lt;=(TODAY()-(Data_Val!$K$2*365.25))),0,1),1))</f>
        <v/>
      </c>
      <c r="V60" s="12" t="str">
        <f>IF(Data!G60="","",IF(Data!G60=Data_Val!$C$2,IF(Data!P60="",0,1),0))</f>
        <v/>
      </c>
      <c r="W60" s="12" t="str">
        <f>IF(Data!P60="","",IF(ISNUMBER(MATCH(Data!Q60,Data_Val!$A$2:$A$3,0)),0,1))</f>
        <v/>
      </c>
      <c r="X60" s="26" t="str">
        <f ca="1">IF(Data!P60="","",IF(ISNUMBER(Data!R60),IF(AND(Data!R60&gt;(TODAY()-(Data_Val!$L$3*365.25)),Data!R60&lt;=(TODAY()-(Data_Val!$L$2*365.25))),0,1),1))</f>
        <v/>
      </c>
      <c r="Y60" s="13" t="str">
        <f>IF(Data!$G60="","",IF(Data!$G60=Data_Val!$C$2,IF(Data!S60="",0,1),0))</f>
        <v/>
      </c>
      <c r="Z60" s="13" t="str">
        <f>IF(Data!S60="","",IF(ISNUMBER(MATCH(Data!T60,Data_Val!$A$2:$A$3,0)),0,1))</f>
        <v/>
      </c>
      <c r="AA60" s="28" t="str">
        <f ca="1">IF(Data!S60="","",IF(ISNUMBER(Data!U60),IF(AND(Data!U60&gt;(TODAY()-(Data_Val!$L$3*365.25)),Data!U60&lt;=(TODAY()-(Data_Val!$L$2*365.25))),0,1),1))</f>
        <v/>
      </c>
      <c r="AB60" s="11"/>
      <c r="AC60" s="11" t="e">
        <f>IF(Data!#REF!="","",IF(ISNUMBER(MATCH(Data!#REF!,Data_Val!$A$2:$A$3,0)),0,1))</f>
        <v>#REF!</v>
      </c>
      <c r="AD60" s="11" t="e">
        <f ca="1">IF(Data!#REF!="","",IF(ISNUMBER(Data!#REF!),IF(AND(Data!#REF!&gt;(TODAY()-(Data_Val!$L$3*365.25)),Data!#REF!&lt;=(TODAY()-(Data_Val!$L$2*365.25))),0,1),1))</f>
        <v>#REF!</v>
      </c>
      <c r="AE60" s="11" t="e">
        <f>IF(Data!#REF!="","",IF(Data!$G60="",1,IF(ISNUMBER(MATCH(Data!#REF!,Data_Val!$D$2:$D$10,0)),0,1)))</f>
        <v>#REF!</v>
      </c>
      <c r="AF60" s="12"/>
      <c r="AG60" s="12" t="e">
        <f>IF(Data!#REF!="","",IF(ISNUMBER(MATCH(Data!#REF!,Data_Val!$A$2:$A$3,0)),0,1))</f>
        <v>#REF!</v>
      </c>
      <c r="AH60" s="26" t="e">
        <f ca="1">IF(Data!#REF!="","",IF(ISNUMBER(Data!#REF!),IF(AND(Data!#REF!&gt;(TODAY()-(Data_Val!$L$3*365.25)),Data!#REF!&lt;=(TODAY()-(Data_Val!$L$2*365.25))),0,1),1))</f>
        <v>#REF!</v>
      </c>
      <c r="AI60" s="12" t="e">
        <f>IF(Data!#REF!="","",IF(Data!$G60="",1,IF(ISNUMBER(MATCH(Data!#REF!,Data_Val!$D$2:$D$10,0)),0,1)))</f>
        <v>#REF!</v>
      </c>
      <c r="AJ60" s="17"/>
      <c r="AK60" s="17" t="e">
        <f>IF(Data!#REF!="","",IF(ISNUMBER(MATCH(Data!#REF!,Data_Val!$A$2:$A$3,0)),0,1))</f>
        <v>#REF!</v>
      </c>
      <c r="AL60" s="25" t="e">
        <f ca="1">IF(Data!#REF!="","",IF(ISNUMBER(Data!#REF!),IF(AND(Data!#REF!&gt;(TODAY()-(Data_Val!$L$3*365.25)),Data!#REF!&lt;=(TODAY()-(Data_Val!$L$2*365.25))),0,1),1))</f>
        <v>#REF!</v>
      </c>
      <c r="AM60" s="17" t="e">
        <f>IF(Data!#REF!="","",IF(Data!$G60="",1,IF(ISNUMBER(MATCH(Data!#REF!,Data_Val!$D$2:$D$10,0)),0,1)))</f>
        <v>#REF!</v>
      </c>
      <c r="AN60" s="13"/>
      <c r="AO60" s="28" t="e">
        <f ca="1">IF(Data!#REF!="","",IF(ISNUMBER(Data!#REF!),IF(AND(Data!#REF!&gt;(TODAY()-(Data_Val!$I$3*365.25)),Data!#REF!&lt;=(TODAY()-(Data_Val!$I$2*365.25))),0,1),1))</f>
        <v>#REF!</v>
      </c>
      <c r="AP60" s="13" t="e">
        <f>IF(Data!#REF!="","",IF(Data!$G60="",1,IF(ISNUMBER(MATCH(Data!#REF!,Data_Val!$D$2:$D$10,0)),0,1)))</f>
        <v>#REF!</v>
      </c>
      <c r="AQ60" s="17"/>
      <c r="AR60" s="30" t="e">
        <f ca="1">IF(Data!#REF!="","",IF(ISNUMBER(Data!#REF!),IF(AND(Data!#REF!&gt;(TODAY()-(Data_Val!$I$3*365.25)),Data!#REF!&lt;=(TODAY()-(Data_Val!$I$2*365.25))),0,1),1))</f>
        <v>#REF!</v>
      </c>
      <c r="AS60" s="31" t="e">
        <f>IF(Data!#REF!="","",IF(Data!$G60="",1,IF(ISNUMBER(MATCH(Data!#REF!,Data_Val!$D$2:$D$10,0)),0,1)))</f>
        <v>#REF!</v>
      </c>
      <c r="AT60" s="11"/>
      <c r="AU60" s="11" t="e">
        <f ca="1">IF(Data!#REF!="","",IF(ISNUMBER(Data!#REF!),IF(AND(Data!#REF!&gt;(TODAY()-(Data_Val!$I$3*365.25)),Data!#REF!&lt;=(TODAY()-(Data_Val!$I$2*365.25))),0,1),1))</f>
        <v>#REF!</v>
      </c>
      <c r="AV60" s="11" t="e">
        <f>IF(Data!#REF!="","",IF(Data!$G60="",1,IF(ISNUMBER(MATCH(Data!#REF!,Data_Val!$D$2:$D$10,0)),0,1)))</f>
        <v>#REF!</v>
      </c>
      <c r="AW60" s="12"/>
      <c r="AX60" s="26" t="e">
        <f ca="1">IF(Data!#REF!="","",IF(ISNUMBER(Data!#REF!),IF(AND(Data!#REF!&gt;(TODAY()-(Data_Val!$I$3*365.25)),Data!#REF!&lt;=(TODAY()-(Data_Val!$I$2*365.25))),0,1),1))</f>
        <v>#REF!</v>
      </c>
      <c r="AY60" s="12" t="e">
        <f>IF(Data!#REF!="","",IF(Data!$G60="",1,IF(ISNUMBER(MATCH(Data!#REF!,Data_Val!$D$2:$D$10,0)),0,1)))</f>
        <v>#REF!</v>
      </c>
      <c r="AZ60" s="11"/>
      <c r="BA60" s="19" t="e">
        <f ca="1">IF(Data!#REF!="","",IF(ISNUMBER(Data!#REF!),IF(AND(Data!#REF!&gt;(TODAY()-(Data_Val!$M$3*365.25)),Data!#REF!&lt;=(TODAY()-(Data_Val!$M$2*365.25))),0,1),1))</f>
        <v>#REF!</v>
      </c>
      <c r="BB60" s="11" t="e">
        <f>IF(Data!#REF!="","",IF(Data!$G60="",1,IF(ISNUMBER(MATCH(Data!#REF!,Data_Val!$D$2:$D$10,0)),0,1)))</f>
        <v>#REF!</v>
      </c>
      <c r="BC60" s="12"/>
      <c r="BD60" s="20" t="e">
        <f ca="1">IF(Data!#REF!="","",IF(ISNUMBER(Data!#REF!),IF(AND(Data!#REF!&gt;(TODAY()-(Data_Val!$M$3*365.25)),Data!#REF!&lt;=(TODAY()-(Data_Val!$M$2*365.25))),0,1),1))</f>
        <v>#REF!</v>
      </c>
      <c r="BE60" s="12" t="e">
        <f>IF(Data!#REF!="","",IF(Data!$G60="",1,IF(ISNUMBER(MATCH(Data!#REF!,Data_Val!$D$2:$D$10,0)),0,1)))</f>
        <v>#REF!</v>
      </c>
      <c r="BF60" s="17"/>
      <c r="BG60" s="18" t="e">
        <f ca="1">IF(Data!#REF!="","",IF(ISNUMBER(Data!#REF!),IF(AND(Data!#REF!&gt;(TODAY()-(Data_Val!$M$3*365.25)),Data!#REF!&lt;=(TODAY()-(Data_Val!$M$2*365.25))),0,1),1))</f>
        <v>#REF!</v>
      </c>
      <c r="BH60" s="29" t="e">
        <f>IF(Data!#REF!="","",IF(Data!$G60="",1,IF(ISNUMBER(MATCH(Data!#REF!,Data_Val!$D$2:$D$10,0)),0,1)))</f>
        <v>#REF!</v>
      </c>
      <c r="BI60" s="13"/>
      <c r="BJ60" s="21" t="e">
        <f ca="1">IF(Data!#REF!="","",IF(ISNUMBER(Data!#REF!),IF(AND(Data!#REF!&gt;(TODAY()-(Data_Val!$M$3*365.25)),Data!#REF!&lt;=(TODAY()-(Data_Val!$M$2*365.25))),0,1),1))</f>
        <v>#REF!</v>
      </c>
      <c r="BK60" s="13" t="e">
        <f>IF(Data!#REF!="","",IF(Data!$G60="",1,IF(ISNUMBER(MATCH(Data!#REF!,Data_Val!$D$2:$D$10,0)),0,1)))</f>
        <v>#REF!</v>
      </c>
    </row>
    <row r="61" spans="1:63" x14ac:dyDescent="0.25">
      <c r="A61" s="9" t="str">
        <f>IF(Data!B61="","",IF(COUNTIFS(Data!A$1:'Data'!A61,Data!A61)&lt;=1,0,1))</f>
        <v/>
      </c>
      <c r="B61" s="9"/>
      <c r="C61" s="23" t="str">
        <f>IF(Data!C61="","",(IF(ISNUMBER(MATCH("*@*.?*",Data!C61,0)),0,1)+IF(COUNTIFS(Data!C$1:'Data'!C61,Data!C61)&gt;1,1,0)))</f>
        <v/>
      </c>
      <c r="D61" s="9" t="str">
        <f>IF(Data!B61="","",IF(ISNUMBER(Data!D61),IF(AND(Data!D61&gt;999999999,Data!D61&lt;=9999999999),IF(COUNTIFS(Data!D$1:'Data'!D61,Data!D61)&lt;=1,0,1),1),1))</f>
        <v/>
      </c>
      <c r="E61" s="9" t="str">
        <f>IF(Data!B61="","",IF(ISNUMBER(MATCH(Data!E61,Data_Val!$A$2:$A$3,0)),0,1))</f>
        <v/>
      </c>
      <c r="F61" s="9" t="str">
        <f ca="1">IF(Data!B61="","",IF(ISNUMBER(Data!F61),IF(AND(Data!F61&gt;(TODAY()-(Data_Val!$H$3*365.25)),Data!F61&lt;=(TODAY()-(Data_Val!$H$2*365.25))),0,1),1))</f>
        <v/>
      </c>
      <c r="G61" s="15" t="str">
        <f>IF(Data!B61="","",IF(AND(Data!G61="",Data!H61&lt;&gt;""),1,IF(Data!#REF!&lt;&gt;"",0,IF(ISNUMBER(MATCH(Data!G61,Data_Val!$C$2:$C$5,0)),0,1))))</f>
        <v/>
      </c>
      <c r="H61" s="15" t="str">
        <f>IF(Data!B61="","",IF(AND(Data!G61&lt;&gt;"",Data!H61=""),1,IF(Data!#REF!&lt;&gt;"",0,IF(Data!G61="",1,IF(ISNUMBER(MATCH(Data!H61,Data_Val!$D$2:$D$35,0)),0,1)))))</f>
        <v/>
      </c>
      <c r="I61" s="15" t="str">
        <f>IF(Data!B61="","",IF(Data!G61&lt;&gt;"",0,IF(ISNUMBER(MATCH(Data!#REF!,Data_Val!$E$2:$E$12,0)),0,1)))</f>
        <v/>
      </c>
      <c r="J61" s="16" t="e">
        <f>IF(OR(Data!B61="",Data!#REF!=""),"",IF(Data!#REF!="",1,0))</f>
        <v>#REF!</v>
      </c>
      <c r="K61" s="16" t="e">
        <f>IF(OR(Data!B61="",Data!#REF!=""),"",IF(Data!#REF!="",1,0))</f>
        <v>#REF!</v>
      </c>
      <c r="L61" s="16" t="e">
        <f>IF(OR(Data!B61="",Data!#REF!=""),"",IF(ISNUMBER(Data!#REF!),IF(AND(Data!#REF!&gt;Data_Val!$G$2,Data!#REF!&lt;=Data_Val!$G$3),0,1),1))</f>
        <v>#REF!</v>
      </c>
      <c r="M61" s="9" t="e">
        <f>IF(OR(Data!B61="",Data!#REF!=""),"",IF(ISNUMBER(MATCH(Data!#REF!,Data_Val!$F$1:$F$38,0)),0,1))</f>
        <v>#REF!</v>
      </c>
      <c r="N61" s="9" t="e">
        <f>IF(OR(Data!B61="",Data!#REF!=""),"",IF(Data!#REF!="",1,0))</f>
        <v>#REF!</v>
      </c>
      <c r="O61" s="17" t="e">
        <f>IF(Data!#REF!="","",IF(Data!#REF!="",1,0))</f>
        <v>#REF!</v>
      </c>
      <c r="P61" s="17" t="e">
        <f>IF(Data!#REF!="","",IF(ISNUMBER(MATCH(Data!#REF!,Data_Val!$A$2:$A$3,0)),0,1))</f>
        <v>#REF!</v>
      </c>
      <c r="Q61" s="25" t="e">
        <f ca="1">IF(Data!#REF!="","",IF(ISNUMBER(Data!#REF!),IF(AND(Data!#REF!&gt;(TODAY()-(Data_Val!$J$3*365.25)),Data!#REF!&lt;=(TODAY()-(Data_Val!$J$2*365.25))),0,1),1))</f>
        <v>#REF!</v>
      </c>
      <c r="R61" s="17" t="e">
        <f>IF(Data!#REF!="","",IF(ISNUMBER(MATCH(Data!#REF!,Data_Val!$B$2:$B$15,0)),0,1))</f>
        <v>#REF!</v>
      </c>
      <c r="S61" s="11" t="str">
        <f>IF(Data!G61="","",IF(Data!G61=Data_Val!$C$2,IF(Data!M61="",0,1),0))</f>
        <v/>
      </c>
      <c r="T61" s="11" t="str">
        <f>IF(Data!M61="","",IF(ISNUMBER(MATCH(Data!N61,Data_Val!$A$2:$A$3,0)),0,1))</f>
        <v/>
      </c>
      <c r="U61" s="11" t="str">
        <f ca="1">IF(Data!M61="","",IF(ISNUMBER(Data!O61),IF(AND(Data!O61&gt;(TODAY()-(Data_Val!$K$3*365.25)),Data!O61&lt;=(TODAY()-(Data_Val!$K$2*365.25))),0,1),1))</f>
        <v/>
      </c>
      <c r="V61" s="12" t="str">
        <f>IF(Data!G61="","",IF(Data!G61=Data_Val!$C$2,IF(Data!P61="",0,1),0))</f>
        <v/>
      </c>
      <c r="W61" s="12" t="str">
        <f>IF(Data!P61="","",IF(ISNUMBER(MATCH(Data!Q61,Data_Val!$A$2:$A$3,0)),0,1))</f>
        <v/>
      </c>
      <c r="X61" s="26" t="str">
        <f ca="1">IF(Data!P61="","",IF(ISNUMBER(Data!R61),IF(AND(Data!R61&gt;(TODAY()-(Data_Val!$L$3*365.25)),Data!R61&lt;=(TODAY()-(Data_Val!$L$2*365.25))),0,1),1))</f>
        <v/>
      </c>
      <c r="Y61" s="13" t="str">
        <f>IF(Data!$G61="","",IF(Data!$G61=Data_Val!$C$2,IF(Data!S61="",0,1),0))</f>
        <v/>
      </c>
      <c r="Z61" s="13" t="str">
        <f>IF(Data!S61="","",IF(ISNUMBER(MATCH(Data!T61,Data_Val!$A$2:$A$3,0)),0,1))</f>
        <v/>
      </c>
      <c r="AA61" s="28" t="str">
        <f ca="1">IF(Data!S61="","",IF(ISNUMBER(Data!U61),IF(AND(Data!U61&gt;(TODAY()-(Data_Val!$L$3*365.25)),Data!U61&lt;=(TODAY()-(Data_Val!$L$2*365.25))),0,1),1))</f>
        <v/>
      </c>
      <c r="AB61" s="11"/>
      <c r="AC61" s="11" t="e">
        <f>IF(Data!#REF!="","",IF(ISNUMBER(MATCH(Data!#REF!,Data_Val!$A$2:$A$3,0)),0,1))</f>
        <v>#REF!</v>
      </c>
      <c r="AD61" s="11" t="e">
        <f ca="1">IF(Data!#REF!="","",IF(ISNUMBER(Data!#REF!),IF(AND(Data!#REF!&gt;(TODAY()-(Data_Val!$L$3*365.25)),Data!#REF!&lt;=(TODAY()-(Data_Val!$L$2*365.25))),0,1),1))</f>
        <v>#REF!</v>
      </c>
      <c r="AE61" s="11" t="e">
        <f>IF(Data!#REF!="","",IF(Data!$G61="",1,IF(ISNUMBER(MATCH(Data!#REF!,Data_Val!$D$2:$D$10,0)),0,1)))</f>
        <v>#REF!</v>
      </c>
      <c r="AF61" s="12"/>
      <c r="AG61" s="12" t="e">
        <f>IF(Data!#REF!="","",IF(ISNUMBER(MATCH(Data!#REF!,Data_Val!$A$2:$A$3,0)),0,1))</f>
        <v>#REF!</v>
      </c>
      <c r="AH61" s="26" t="e">
        <f ca="1">IF(Data!#REF!="","",IF(ISNUMBER(Data!#REF!),IF(AND(Data!#REF!&gt;(TODAY()-(Data_Val!$L$3*365.25)),Data!#REF!&lt;=(TODAY()-(Data_Val!$L$2*365.25))),0,1),1))</f>
        <v>#REF!</v>
      </c>
      <c r="AI61" s="12" t="e">
        <f>IF(Data!#REF!="","",IF(Data!$G61="",1,IF(ISNUMBER(MATCH(Data!#REF!,Data_Val!$D$2:$D$10,0)),0,1)))</f>
        <v>#REF!</v>
      </c>
      <c r="AJ61" s="17"/>
      <c r="AK61" s="17" t="e">
        <f>IF(Data!#REF!="","",IF(ISNUMBER(MATCH(Data!#REF!,Data_Val!$A$2:$A$3,0)),0,1))</f>
        <v>#REF!</v>
      </c>
      <c r="AL61" s="25" t="e">
        <f ca="1">IF(Data!#REF!="","",IF(ISNUMBER(Data!#REF!),IF(AND(Data!#REF!&gt;(TODAY()-(Data_Val!$L$3*365.25)),Data!#REF!&lt;=(TODAY()-(Data_Val!$L$2*365.25))),0,1),1))</f>
        <v>#REF!</v>
      </c>
      <c r="AM61" s="17" t="e">
        <f>IF(Data!#REF!="","",IF(Data!$G61="",1,IF(ISNUMBER(MATCH(Data!#REF!,Data_Val!$D$2:$D$10,0)),0,1)))</f>
        <v>#REF!</v>
      </c>
      <c r="AN61" s="13"/>
      <c r="AO61" s="28" t="e">
        <f ca="1">IF(Data!#REF!="","",IF(ISNUMBER(Data!#REF!),IF(AND(Data!#REF!&gt;(TODAY()-(Data_Val!$I$3*365.25)),Data!#REF!&lt;=(TODAY()-(Data_Val!$I$2*365.25))),0,1),1))</f>
        <v>#REF!</v>
      </c>
      <c r="AP61" s="13" t="e">
        <f>IF(Data!#REF!="","",IF(Data!$G61="",1,IF(ISNUMBER(MATCH(Data!#REF!,Data_Val!$D$2:$D$10,0)),0,1)))</f>
        <v>#REF!</v>
      </c>
      <c r="AQ61" s="17"/>
      <c r="AR61" s="30" t="e">
        <f ca="1">IF(Data!#REF!="","",IF(ISNUMBER(Data!#REF!),IF(AND(Data!#REF!&gt;(TODAY()-(Data_Val!$I$3*365.25)),Data!#REF!&lt;=(TODAY()-(Data_Val!$I$2*365.25))),0,1),1))</f>
        <v>#REF!</v>
      </c>
      <c r="AS61" s="31" t="e">
        <f>IF(Data!#REF!="","",IF(Data!$G61="",1,IF(ISNUMBER(MATCH(Data!#REF!,Data_Val!$D$2:$D$10,0)),0,1)))</f>
        <v>#REF!</v>
      </c>
      <c r="AT61" s="11"/>
      <c r="AU61" s="11" t="e">
        <f ca="1">IF(Data!#REF!="","",IF(ISNUMBER(Data!#REF!),IF(AND(Data!#REF!&gt;(TODAY()-(Data_Val!$I$3*365.25)),Data!#REF!&lt;=(TODAY()-(Data_Val!$I$2*365.25))),0,1),1))</f>
        <v>#REF!</v>
      </c>
      <c r="AV61" s="11" t="e">
        <f>IF(Data!#REF!="","",IF(Data!$G61="",1,IF(ISNUMBER(MATCH(Data!#REF!,Data_Val!$D$2:$D$10,0)),0,1)))</f>
        <v>#REF!</v>
      </c>
      <c r="AW61" s="12"/>
      <c r="AX61" s="26" t="e">
        <f ca="1">IF(Data!#REF!="","",IF(ISNUMBER(Data!#REF!),IF(AND(Data!#REF!&gt;(TODAY()-(Data_Val!$I$3*365.25)),Data!#REF!&lt;=(TODAY()-(Data_Val!$I$2*365.25))),0,1),1))</f>
        <v>#REF!</v>
      </c>
      <c r="AY61" s="12" t="e">
        <f>IF(Data!#REF!="","",IF(Data!$G61="",1,IF(ISNUMBER(MATCH(Data!#REF!,Data_Val!$D$2:$D$10,0)),0,1)))</f>
        <v>#REF!</v>
      </c>
      <c r="AZ61" s="11"/>
      <c r="BA61" s="19" t="e">
        <f ca="1">IF(Data!#REF!="","",IF(ISNUMBER(Data!#REF!),IF(AND(Data!#REF!&gt;(TODAY()-(Data_Val!$M$3*365.25)),Data!#REF!&lt;=(TODAY()-(Data_Val!$M$2*365.25))),0,1),1))</f>
        <v>#REF!</v>
      </c>
      <c r="BB61" s="11" t="e">
        <f>IF(Data!#REF!="","",IF(Data!$G61="",1,IF(ISNUMBER(MATCH(Data!#REF!,Data_Val!$D$2:$D$10,0)),0,1)))</f>
        <v>#REF!</v>
      </c>
      <c r="BC61" s="12"/>
      <c r="BD61" s="20" t="e">
        <f ca="1">IF(Data!#REF!="","",IF(ISNUMBER(Data!#REF!),IF(AND(Data!#REF!&gt;(TODAY()-(Data_Val!$M$3*365.25)),Data!#REF!&lt;=(TODAY()-(Data_Val!$M$2*365.25))),0,1),1))</f>
        <v>#REF!</v>
      </c>
      <c r="BE61" s="12" t="e">
        <f>IF(Data!#REF!="","",IF(Data!$G61="",1,IF(ISNUMBER(MATCH(Data!#REF!,Data_Val!$D$2:$D$10,0)),0,1)))</f>
        <v>#REF!</v>
      </c>
      <c r="BF61" s="17"/>
      <c r="BG61" s="18" t="e">
        <f ca="1">IF(Data!#REF!="","",IF(ISNUMBER(Data!#REF!),IF(AND(Data!#REF!&gt;(TODAY()-(Data_Val!$M$3*365.25)),Data!#REF!&lt;=(TODAY()-(Data_Val!$M$2*365.25))),0,1),1))</f>
        <v>#REF!</v>
      </c>
      <c r="BH61" s="29" t="e">
        <f>IF(Data!#REF!="","",IF(Data!$G61="",1,IF(ISNUMBER(MATCH(Data!#REF!,Data_Val!$D$2:$D$10,0)),0,1)))</f>
        <v>#REF!</v>
      </c>
      <c r="BI61" s="13"/>
      <c r="BJ61" s="21" t="e">
        <f ca="1">IF(Data!#REF!="","",IF(ISNUMBER(Data!#REF!),IF(AND(Data!#REF!&gt;(TODAY()-(Data_Val!$M$3*365.25)),Data!#REF!&lt;=(TODAY()-(Data_Val!$M$2*365.25))),0,1),1))</f>
        <v>#REF!</v>
      </c>
      <c r="BK61" s="13" t="e">
        <f>IF(Data!#REF!="","",IF(Data!$G61="",1,IF(ISNUMBER(MATCH(Data!#REF!,Data_Val!$D$2:$D$10,0)),0,1)))</f>
        <v>#REF!</v>
      </c>
    </row>
    <row r="62" spans="1:63" x14ac:dyDescent="0.25">
      <c r="A62" s="9" t="str">
        <f>IF(Data!B62="","",IF(COUNTIFS(Data!A$1:'Data'!A62,Data!A62)&lt;=1,0,1))</f>
        <v/>
      </c>
      <c r="B62" s="9"/>
      <c r="C62" s="23" t="str">
        <f>IF(Data!C62="","",(IF(ISNUMBER(MATCH("*@*.?*",Data!C62,0)),0,1)+IF(COUNTIFS(Data!C$1:'Data'!C62,Data!C62)&gt;1,1,0)))</f>
        <v/>
      </c>
      <c r="D62" s="9" t="str">
        <f>IF(Data!B62="","",IF(ISNUMBER(Data!D62),IF(AND(Data!D62&gt;999999999,Data!D62&lt;=9999999999),IF(COUNTIFS(Data!D$1:'Data'!D62,Data!D62)&lt;=1,0,1),1),1))</f>
        <v/>
      </c>
      <c r="E62" s="9" t="str">
        <f>IF(Data!B62="","",IF(ISNUMBER(MATCH(Data!E62,Data_Val!$A$2:$A$3,0)),0,1))</f>
        <v/>
      </c>
      <c r="F62" s="9" t="str">
        <f ca="1">IF(Data!B62="","",IF(ISNUMBER(Data!F62),IF(AND(Data!F62&gt;(TODAY()-(Data_Val!$H$3*365.25)),Data!F62&lt;=(TODAY()-(Data_Val!$H$2*365.25))),0,1),1))</f>
        <v/>
      </c>
      <c r="G62" s="15" t="str">
        <f>IF(Data!B62="","",IF(AND(Data!G62="",Data!H62&lt;&gt;""),1,IF(Data!#REF!&lt;&gt;"",0,IF(ISNUMBER(MATCH(Data!G62,Data_Val!$C$2:$C$5,0)),0,1))))</f>
        <v/>
      </c>
      <c r="H62" s="15" t="str">
        <f>IF(Data!B62="","",IF(AND(Data!G62&lt;&gt;"",Data!H62=""),1,IF(Data!#REF!&lt;&gt;"",0,IF(Data!G62="",1,IF(ISNUMBER(MATCH(Data!H62,Data_Val!$D$2:$D$35,0)),0,1)))))</f>
        <v/>
      </c>
      <c r="I62" s="15" t="str">
        <f>IF(Data!B62="","",IF(Data!G62&lt;&gt;"",0,IF(ISNUMBER(MATCH(Data!#REF!,Data_Val!$E$2:$E$12,0)),0,1)))</f>
        <v/>
      </c>
      <c r="J62" s="16" t="e">
        <f>IF(OR(Data!B62="",Data!#REF!=""),"",IF(Data!#REF!="",1,0))</f>
        <v>#REF!</v>
      </c>
      <c r="K62" s="16" t="e">
        <f>IF(OR(Data!B62="",Data!#REF!=""),"",IF(Data!#REF!="",1,0))</f>
        <v>#REF!</v>
      </c>
      <c r="L62" s="16" t="e">
        <f>IF(OR(Data!B62="",Data!#REF!=""),"",IF(ISNUMBER(Data!#REF!),IF(AND(Data!#REF!&gt;Data_Val!$G$2,Data!#REF!&lt;=Data_Val!$G$3),0,1),1))</f>
        <v>#REF!</v>
      </c>
      <c r="M62" s="9" t="e">
        <f>IF(OR(Data!B62="",Data!#REF!=""),"",IF(ISNUMBER(MATCH(Data!#REF!,Data_Val!$F$1:$F$38,0)),0,1))</f>
        <v>#REF!</v>
      </c>
      <c r="N62" s="9" t="e">
        <f>IF(OR(Data!B62="",Data!#REF!=""),"",IF(Data!#REF!="",1,0))</f>
        <v>#REF!</v>
      </c>
      <c r="O62" s="17" t="e">
        <f>IF(Data!#REF!="","",IF(Data!#REF!="",1,0))</f>
        <v>#REF!</v>
      </c>
      <c r="P62" s="17" t="e">
        <f>IF(Data!#REF!="","",IF(ISNUMBER(MATCH(Data!#REF!,Data_Val!$A$2:$A$3,0)),0,1))</f>
        <v>#REF!</v>
      </c>
      <c r="Q62" s="25" t="e">
        <f ca="1">IF(Data!#REF!="","",IF(ISNUMBER(Data!#REF!),IF(AND(Data!#REF!&gt;(TODAY()-(Data_Val!$J$3*365.25)),Data!#REF!&lt;=(TODAY()-(Data_Val!$J$2*365.25))),0,1),1))</f>
        <v>#REF!</v>
      </c>
      <c r="R62" s="17" t="e">
        <f>IF(Data!#REF!="","",IF(ISNUMBER(MATCH(Data!#REF!,Data_Val!$B$2:$B$15,0)),0,1))</f>
        <v>#REF!</v>
      </c>
      <c r="S62" s="11" t="str">
        <f>IF(Data!G62="","",IF(Data!G62=Data_Val!$C$2,IF(Data!M62="",0,1),0))</f>
        <v/>
      </c>
      <c r="T62" s="11" t="str">
        <f>IF(Data!M62="","",IF(ISNUMBER(MATCH(Data!N62,Data_Val!$A$2:$A$3,0)),0,1))</f>
        <v/>
      </c>
      <c r="U62" s="11" t="str">
        <f ca="1">IF(Data!M62="","",IF(ISNUMBER(Data!O62),IF(AND(Data!O62&gt;(TODAY()-(Data_Val!$K$3*365.25)),Data!O62&lt;=(TODAY()-(Data_Val!$K$2*365.25))),0,1),1))</f>
        <v/>
      </c>
      <c r="V62" s="12" t="str">
        <f>IF(Data!G62="","",IF(Data!G62=Data_Val!$C$2,IF(Data!P62="",0,1),0))</f>
        <v/>
      </c>
      <c r="W62" s="12" t="str">
        <f>IF(Data!P62="","",IF(ISNUMBER(MATCH(Data!Q62,Data_Val!$A$2:$A$3,0)),0,1))</f>
        <v/>
      </c>
      <c r="X62" s="26" t="str">
        <f ca="1">IF(Data!P62="","",IF(ISNUMBER(Data!R62),IF(AND(Data!R62&gt;(TODAY()-(Data_Val!$L$3*365.25)),Data!R62&lt;=(TODAY()-(Data_Val!$L$2*365.25))),0,1),1))</f>
        <v/>
      </c>
      <c r="Y62" s="13" t="str">
        <f>IF(Data!$G62="","",IF(Data!$G62=Data_Val!$C$2,IF(Data!S62="",0,1),0))</f>
        <v/>
      </c>
      <c r="Z62" s="13" t="str">
        <f>IF(Data!S62="","",IF(ISNUMBER(MATCH(Data!T62,Data_Val!$A$2:$A$3,0)),0,1))</f>
        <v/>
      </c>
      <c r="AA62" s="28" t="str">
        <f ca="1">IF(Data!S62="","",IF(ISNUMBER(Data!U62),IF(AND(Data!U62&gt;(TODAY()-(Data_Val!$L$3*365.25)),Data!U62&lt;=(TODAY()-(Data_Val!$L$2*365.25))),0,1),1))</f>
        <v/>
      </c>
      <c r="AB62" s="11"/>
      <c r="AC62" s="11" t="e">
        <f>IF(Data!#REF!="","",IF(ISNUMBER(MATCH(Data!#REF!,Data_Val!$A$2:$A$3,0)),0,1))</f>
        <v>#REF!</v>
      </c>
      <c r="AD62" s="11" t="e">
        <f ca="1">IF(Data!#REF!="","",IF(ISNUMBER(Data!#REF!),IF(AND(Data!#REF!&gt;(TODAY()-(Data_Val!$L$3*365.25)),Data!#REF!&lt;=(TODAY()-(Data_Val!$L$2*365.25))),0,1),1))</f>
        <v>#REF!</v>
      </c>
      <c r="AE62" s="11" t="e">
        <f>IF(Data!#REF!="","",IF(Data!$G62="",1,IF(ISNUMBER(MATCH(Data!#REF!,Data_Val!$D$2:$D$10,0)),0,1)))</f>
        <v>#REF!</v>
      </c>
      <c r="AF62" s="12"/>
      <c r="AG62" s="12" t="e">
        <f>IF(Data!#REF!="","",IF(ISNUMBER(MATCH(Data!#REF!,Data_Val!$A$2:$A$3,0)),0,1))</f>
        <v>#REF!</v>
      </c>
      <c r="AH62" s="26" t="e">
        <f ca="1">IF(Data!#REF!="","",IF(ISNUMBER(Data!#REF!),IF(AND(Data!#REF!&gt;(TODAY()-(Data_Val!$L$3*365.25)),Data!#REF!&lt;=(TODAY()-(Data_Val!$L$2*365.25))),0,1),1))</f>
        <v>#REF!</v>
      </c>
      <c r="AI62" s="12" t="e">
        <f>IF(Data!#REF!="","",IF(Data!$G62="",1,IF(ISNUMBER(MATCH(Data!#REF!,Data_Val!$D$2:$D$10,0)),0,1)))</f>
        <v>#REF!</v>
      </c>
      <c r="AJ62" s="17"/>
      <c r="AK62" s="17" t="e">
        <f>IF(Data!#REF!="","",IF(ISNUMBER(MATCH(Data!#REF!,Data_Val!$A$2:$A$3,0)),0,1))</f>
        <v>#REF!</v>
      </c>
      <c r="AL62" s="25" t="e">
        <f ca="1">IF(Data!#REF!="","",IF(ISNUMBER(Data!#REF!),IF(AND(Data!#REF!&gt;(TODAY()-(Data_Val!$L$3*365.25)),Data!#REF!&lt;=(TODAY()-(Data_Val!$L$2*365.25))),0,1),1))</f>
        <v>#REF!</v>
      </c>
      <c r="AM62" s="17" t="e">
        <f>IF(Data!#REF!="","",IF(Data!$G62="",1,IF(ISNUMBER(MATCH(Data!#REF!,Data_Val!$D$2:$D$10,0)),0,1)))</f>
        <v>#REF!</v>
      </c>
      <c r="AN62" s="13"/>
      <c r="AO62" s="28" t="e">
        <f ca="1">IF(Data!#REF!="","",IF(ISNUMBER(Data!#REF!),IF(AND(Data!#REF!&gt;(TODAY()-(Data_Val!$I$3*365.25)),Data!#REF!&lt;=(TODAY()-(Data_Val!$I$2*365.25))),0,1),1))</f>
        <v>#REF!</v>
      </c>
      <c r="AP62" s="13" t="e">
        <f>IF(Data!#REF!="","",IF(Data!$G62="",1,IF(ISNUMBER(MATCH(Data!#REF!,Data_Val!$D$2:$D$10,0)),0,1)))</f>
        <v>#REF!</v>
      </c>
      <c r="AQ62" s="17"/>
      <c r="AR62" s="30" t="e">
        <f ca="1">IF(Data!#REF!="","",IF(ISNUMBER(Data!#REF!),IF(AND(Data!#REF!&gt;(TODAY()-(Data_Val!$I$3*365.25)),Data!#REF!&lt;=(TODAY()-(Data_Val!$I$2*365.25))),0,1),1))</f>
        <v>#REF!</v>
      </c>
      <c r="AS62" s="31" t="e">
        <f>IF(Data!#REF!="","",IF(Data!$G62="",1,IF(ISNUMBER(MATCH(Data!#REF!,Data_Val!$D$2:$D$10,0)),0,1)))</f>
        <v>#REF!</v>
      </c>
      <c r="AT62" s="11"/>
      <c r="AU62" s="11" t="e">
        <f ca="1">IF(Data!#REF!="","",IF(ISNUMBER(Data!#REF!),IF(AND(Data!#REF!&gt;(TODAY()-(Data_Val!$I$3*365.25)),Data!#REF!&lt;=(TODAY()-(Data_Val!$I$2*365.25))),0,1),1))</f>
        <v>#REF!</v>
      </c>
      <c r="AV62" s="11" t="e">
        <f>IF(Data!#REF!="","",IF(Data!$G62="",1,IF(ISNUMBER(MATCH(Data!#REF!,Data_Val!$D$2:$D$10,0)),0,1)))</f>
        <v>#REF!</v>
      </c>
      <c r="AW62" s="12"/>
      <c r="AX62" s="26" t="e">
        <f ca="1">IF(Data!#REF!="","",IF(ISNUMBER(Data!#REF!),IF(AND(Data!#REF!&gt;(TODAY()-(Data_Val!$I$3*365.25)),Data!#REF!&lt;=(TODAY()-(Data_Val!$I$2*365.25))),0,1),1))</f>
        <v>#REF!</v>
      </c>
      <c r="AY62" s="12" t="e">
        <f>IF(Data!#REF!="","",IF(Data!$G62="",1,IF(ISNUMBER(MATCH(Data!#REF!,Data_Val!$D$2:$D$10,0)),0,1)))</f>
        <v>#REF!</v>
      </c>
      <c r="AZ62" s="11"/>
      <c r="BA62" s="19" t="e">
        <f ca="1">IF(Data!#REF!="","",IF(ISNUMBER(Data!#REF!),IF(AND(Data!#REF!&gt;(TODAY()-(Data_Val!$M$3*365.25)),Data!#REF!&lt;=(TODAY()-(Data_Val!$M$2*365.25))),0,1),1))</f>
        <v>#REF!</v>
      </c>
      <c r="BB62" s="11" t="e">
        <f>IF(Data!#REF!="","",IF(Data!$G62="",1,IF(ISNUMBER(MATCH(Data!#REF!,Data_Val!$D$2:$D$10,0)),0,1)))</f>
        <v>#REF!</v>
      </c>
      <c r="BC62" s="12"/>
      <c r="BD62" s="20" t="e">
        <f ca="1">IF(Data!#REF!="","",IF(ISNUMBER(Data!#REF!),IF(AND(Data!#REF!&gt;(TODAY()-(Data_Val!$M$3*365.25)),Data!#REF!&lt;=(TODAY()-(Data_Val!$M$2*365.25))),0,1),1))</f>
        <v>#REF!</v>
      </c>
      <c r="BE62" s="12" t="e">
        <f>IF(Data!#REF!="","",IF(Data!$G62="",1,IF(ISNUMBER(MATCH(Data!#REF!,Data_Val!$D$2:$D$10,0)),0,1)))</f>
        <v>#REF!</v>
      </c>
      <c r="BF62" s="17"/>
      <c r="BG62" s="18" t="e">
        <f ca="1">IF(Data!#REF!="","",IF(ISNUMBER(Data!#REF!),IF(AND(Data!#REF!&gt;(TODAY()-(Data_Val!$M$3*365.25)),Data!#REF!&lt;=(TODAY()-(Data_Val!$M$2*365.25))),0,1),1))</f>
        <v>#REF!</v>
      </c>
      <c r="BH62" s="29" t="e">
        <f>IF(Data!#REF!="","",IF(Data!$G62="",1,IF(ISNUMBER(MATCH(Data!#REF!,Data_Val!$D$2:$D$10,0)),0,1)))</f>
        <v>#REF!</v>
      </c>
      <c r="BI62" s="13"/>
      <c r="BJ62" s="21" t="e">
        <f ca="1">IF(Data!#REF!="","",IF(ISNUMBER(Data!#REF!),IF(AND(Data!#REF!&gt;(TODAY()-(Data_Val!$M$3*365.25)),Data!#REF!&lt;=(TODAY()-(Data_Val!$M$2*365.25))),0,1),1))</f>
        <v>#REF!</v>
      </c>
      <c r="BK62" s="13" t="e">
        <f>IF(Data!#REF!="","",IF(Data!$G62="",1,IF(ISNUMBER(MATCH(Data!#REF!,Data_Val!$D$2:$D$10,0)),0,1)))</f>
        <v>#REF!</v>
      </c>
    </row>
    <row r="63" spans="1:63" x14ac:dyDescent="0.25">
      <c r="A63" s="9" t="str">
        <f>IF(Data!B63="","",IF(COUNTIFS(Data!A$1:'Data'!A63,Data!A63)&lt;=1,0,1))</f>
        <v/>
      </c>
      <c r="B63" s="9"/>
      <c r="C63" s="23" t="str">
        <f>IF(Data!C63="","",(IF(ISNUMBER(MATCH("*@*.?*",Data!C63,0)),0,1)+IF(COUNTIFS(Data!C$1:'Data'!C63,Data!C63)&gt;1,1,0)))</f>
        <v/>
      </c>
      <c r="D63" s="9" t="str">
        <f>IF(Data!B63="","",IF(ISNUMBER(Data!D63),IF(AND(Data!D63&gt;999999999,Data!D63&lt;=9999999999),IF(COUNTIFS(Data!D$1:'Data'!D63,Data!D63)&lt;=1,0,1),1),1))</f>
        <v/>
      </c>
      <c r="E63" s="9" t="str">
        <f>IF(Data!B63="","",IF(ISNUMBER(MATCH(Data!E63,Data_Val!$A$2:$A$3,0)),0,1))</f>
        <v/>
      </c>
      <c r="F63" s="9" t="str">
        <f ca="1">IF(Data!B63="","",IF(ISNUMBER(Data!F63),IF(AND(Data!F63&gt;(TODAY()-(Data_Val!$H$3*365.25)),Data!F63&lt;=(TODAY()-(Data_Val!$H$2*365.25))),0,1),1))</f>
        <v/>
      </c>
      <c r="G63" s="15" t="str">
        <f>IF(Data!B63="","",IF(AND(Data!G63="",Data!H63&lt;&gt;""),1,IF(Data!#REF!&lt;&gt;"",0,IF(ISNUMBER(MATCH(Data!G63,Data_Val!$C$2:$C$5,0)),0,1))))</f>
        <v/>
      </c>
      <c r="H63" s="15" t="str">
        <f>IF(Data!B63="","",IF(AND(Data!G63&lt;&gt;"",Data!H63=""),1,IF(Data!#REF!&lt;&gt;"",0,IF(Data!G63="",1,IF(ISNUMBER(MATCH(Data!H63,Data_Val!$D$2:$D$35,0)),0,1)))))</f>
        <v/>
      </c>
      <c r="I63" s="15" t="str">
        <f>IF(Data!B63="","",IF(Data!G63&lt;&gt;"",0,IF(ISNUMBER(MATCH(Data!#REF!,Data_Val!$E$2:$E$12,0)),0,1)))</f>
        <v/>
      </c>
      <c r="J63" s="16" t="e">
        <f>IF(OR(Data!B63="",Data!#REF!=""),"",IF(Data!#REF!="",1,0))</f>
        <v>#REF!</v>
      </c>
      <c r="K63" s="16" t="e">
        <f>IF(OR(Data!B63="",Data!#REF!=""),"",IF(Data!#REF!="",1,0))</f>
        <v>#REF!</v>
      </c>
      <c r="L63" s="16" t="e">
        <f>IF(OR(Data!B63="",Data!#REF!=""),"",IF(ISNUMBER(Data!#REF!),IF(AND(Data!#REF!&gt;Data_Val!$G$2,Data!#REF!&lt;=Data_Val!$G$3),0,1),1))</f>
        <v>#REF!</v>
      </c>
      <c r="M63" s="9" t="e">
        <f>IF(OR(Data!B63="",Data!#REF!=""),"",IF(ISNUMBER(MATCH(Data!#REF!,Data_Val!$F$1:$F$38,0)),0,1))</f>
        <v>#REF!</v>
      </c>
      <c r="N63" s="9" t="e">
        <f>IF(OR(Data!B63="",Data!#REF!=""),"",IF(Data!#REF!="",1,0))</f>
        <v>#REF!</v>
      </c>
      <c r="O63" s="17" t="e">
        <f>IF(Data!#REF!="","",IF(Data!#REF!="",1,0))</f>
        <v>#REF!</v>
      </c>
      <c r="P63" s="17" t="e">
        <f>IF(Data!#REF!="","",IF(ISNUMBER(MATCH(Data!#REF!,Data_Val!$A$2:$A$3,0)),0,1))</f>
        <v>#REF!</v>
      </c>
      <c r="Q63" s="25" t="e">
        <f ca="1">IF(Data!#REF!="","",IF(ISNUMBER(Data!#REF!),IF(AND(Data!#REF!&gt;(TODAY()-(Data_Val!$J$3*365.25)),Data!#REF!&lt;=(TODAY()-(Data_Val!$J$2*365.25))),0,1),1))</f>
        <v>#REF!</v>
      </c>
      <c r="R63" s="17" t="e">
        <f>IF(Data!#REF!="","",IF(ISNUMBER(MATCH(Data!#REF!,Data_Val!$B$2:$B$15,0)),0,1))</f>
        <v>#REF!</v>
      </c>
      <c r="S63" s="11" t="str">
        <f>IF(Data!G63="","",IF(Data!G63=Data_Val!$C$2,IF(Data!M63="",0,1),0))</f>
        <v/>
      </c>
      <c r="T63" s="11" t="str">
        <f>IF(Data!M63="","",IF(ISNUMBER(MATCH(Data!N63,Data_Val!$A$2:$A$3,0)),0,1))</f>
        <v/>
      </c>
      <c r="U63" s="11" t="str">
        <f ca="1">IF(Data!M63="","",IF(ISNUMBER(Data!O63),IF(AND(Data!O63&gt;(TODAY()-(Data_Val!$K$3*365.25)),Data!O63&lt;=(TODAY()-(Data_Val!$K$2*365.25))),0,1),1))</f>
        <v/>
      </c>
      <c r="V63" s="12" t="str">
        <f>IF(Data!G63="","",IF(Data!G63=Data_Val!$C$2,IF(Data!P63="",0,1),0))</f>
        <v/>
      </c>
      <c r="W63" s="12" t="str">
        <f>IF(Data!P63="","",IF(ISNUMBER(MATCH(Data!Q63,Data_Val!$A$2:$A$3,0)),0,1))</f>
        <v/>
      </c>
      <c r="X63" s="26" t="str">
        <f ca="1">IF(Data!P63="","",IF(ISNUMBER(Data!R63),IF(AND(Data!R63&gt;(TODAY()-(Data_Val!$L$3*365.25)),Data!R63&lt;=(TODAY()-(Data_Val!$L$2*365.25))),0,1),1))</f>
        <v/>
      </c>
      <c r="Y63" s="13" t="str">
        <f>IF(Data!$G63="","",IF(Data!$G63=Data_Val!$C$2,IF(Data!S63="",0,1),0))</f>
        <v/>
      </c>
      <c r="Z63" s="13" t="str">
        <f>IF(Data!S63="","",IF(ISNUMBER(MATCH(Data!T63,Data_Val!$A$2:$A$3,0)),0,1))</f>
        <v/>
      </c>
      <c r="AA63" s="28" t="str">
        <f ca="1">IF(Data!S63="","",IF(ISNUMBER(Data!U63),IF(AND(Data!U63&gt;(TODAY()-(Data_Val!$L$3*365.25)),Data!U63&lt;=(TODAY()-(Data_Val!$L$2*365.25))),0,1),1))</f>
        <v/>
      </c>
      <c r="AB63" s="11"/>
      <c r="AC63" s="11" t="e">
        <f>IF(Data!#REF!="","",IF(ISNUMBER(MATCH(Data!#REF!,Data_Val!$A$2:$A$3,0)),0,1))</f>
        <v>#REF!</v>
      </c>
      <c r="AD63" s="11" t="e">
        <f ca="1">IF(Data!#REF!="","",IF(ISNUMBER(Data!#REF!),IF(AND(Data!#REF!&gt;(TODAY()-(Data_Val!$L$3*365.25)),Data!#REF!&lt;=(TODAY()-(Data_Val!$L$2*365.25))),0,1),1))</f>
        <v>#REF!</v>
      </c>
      <c r="AE63" s="11" t="e">
        <f>IF(Data!#REF!="","",IF(Data!$G63="",1,IF(ISNUMBER(MATCH(Data!#REF!,Data_Val!$D$2:$D$10,0)),0,1)))</f>
        <v>#REF!</v>
      </c>
      <c r="AF63" s="12"/>
      <c r="AG63" s="12" t="e">
        <f>IF(Data!#REF!="","",IF(ISNUMBER(MATCH(Data!#REF!,Data_Val!$A$2:$A$3,0)),0,1))</f>
        <v>#REF!</v>
      </c>
      <c r="AH63" s="26" t="e">
        <f ca="1">IF(Data!#REF!="","",IF(ISNUMBER(Data!#REF!),IF(AND(Data!#REF!&gt;(TODAY()-(Data_Val!$L$3*365.25)),Data!#REF!&lt;=(TODAY()-(Data_Val!$L$2*365.25))),0,1),1))</f>
        <v>#REF!</v>
      </c>
      <c r="AI63" s="12" t="e">
        <f>IF(Data!#REF!="","",IF(Data!$G63="",1,IF(ISNUMBER(MATCH(Data!#REF!,Data_Val!$D$2:$D$10,0)),0,1)))</f>
        <v>#REF!</v>
      </c>
      <c r="AJ63" s="17"/>
      <c r="AK63" s="17" t="e">
        <f>IF(Data!#REF!="","",IF(ISNUMBER(MATCH(Data!#REF!,Data_Val!$A$2:$A$3,0)),0,1))</f>
        <v>#REF!</v>
      </c>
      <c r="AL63" s="25" t="e">
        <f ca="1">IF(Data!#REF!="","",IF(ISNUMBER(Data!#REF!),IF(AND(Data!#REF!&gt;(TODAY()-(Data_Val!$L$3*365.25)),Data!#REF!&lt;=(TODAY()-(Data_Val!$L$2*365.25))),0,1),1))</f>
        <v>#REF!</v>
      </c>
      <c r="AM63" s="17" t="e">
        <f>IF(Data!#REF!="","",IF(Data!$G63="",1,IF(ISNUMBER(MATCH(Data!#REF!,Data_Val!$D$2:$D$10,0)),0,1)))</f>
        <v>#REF!</v>
      </c>
      <c r="AN63" s="13"/>
      <c r="AO63" s="28" t="e">
        <f ca="1">IF(Data!#REF!="","",IF(ISNUMBER(Data!#REF!),IF(AND(Data!#REF!&gt;(TODAY()-(Data_Val!$I$3*365.25)),Data!#REF!&lt;=(TODAY()-(Data_Val!$I$2*365.25))),0,1),1))</f>
        <v>#REF!</v>
      </c>
      <c r="AP63" s="13" t="e">
        <f>IF(Data!#REF!="","",IF(Data!$G63="",1,IF(ISNUMBER(MATCH(Data!#REF!,Data_Val!$D$2:$D$10,0)),0,1)))</f>
        <v>#REF!</v>
      </c>
      <c r="AQ63" s="17"/>
      <c r="AR63" s="30" t="e">
        <f ca="1">IF(Data!#REF!="","",IF(ISNUMBER(Data!#REF!),IF(AND(Data!#REF!&gt;(TODAY()-(Data_Val!$I$3*365.25)),Data!#REF!&lt;=(TODAY()-(Data_Val!$I$2*365.25))),0,1),1))</f>
        <v>#REF!</v>
      </c>
      <c r="AS63" s="31" t="e">
        <f>IF(Data!#REF!="","",IF(Data!$G63="",1,IF(ISNUMBER(MATCH(Data!#REF!,Data_Val!$D$2:$D$10,0)),0,1)))</f>
        <v>#REF!</v>
      </c>
      <c r="AT63" s="11"/>
      <c r="AU63" s="11" t="e">
        <f ca="1">IF(Data!#REF!="","",IF(ISNUMBER(Data!#REF!),IF(AND(Data!#REF!&gt;(TODAY()-(Data_Val!$I$3*365.25)),Data!#REF!&lt;=(TODAY()-(Data_Val!$I$2*365.25))),0,1),1))</f>
        <v>#REF!</v>
      </c>
      <c r="AV63" s="11" t="e">
        <f>IF(Data!#REF!="","",IF(Data!$G63="",1,IF(ISNUMBER(MATCH(Data!#REF!,Data_Val!$D$2:$D$10,0)),0,1)))</f>
        <v>#REF!</v>
      </c>
      <c r="AW63" s="12"/>
      <c r="AX63" s="26" t="e">
        <f ca="1">IF(Data!#REF!="","",IF(ISNUMBER(Data!#REF!),IF(AND(Data!#REF!&gt;(TODAY()-(Data_Val!$I$3*365.25)),Data!#REF!&lt;=(TODAY()-(Data_Val!$I$2*365.25))),0,1),1))</f>
        <v>#REF!</v>
      </c>
      <c r="AY63" s="12" t="e">
        <f>IF(Data!#REF!="","",IF(Data!$G63="",1,IF(ISNUMBER(MATCH(Data!#REF!,Data_Val!$D$2:$D$10,0)),0,1)))</f>
        <v>#REF!</v>
      </c>
      <c r="AZ63" s="11"/>
      <c r="BA63" s="19" t="e">
        <f ca="1">IF(Data!#REF!="","",IF(ISNUMBER(Data!#REF!),IF(AND(Data!#REF!&gt;(TODAY()-(Data_Val!$M$3*365.25)),Data!#REF!&lt;=(TODAY()-(Data_Val!$M$2*365.25))),0,1),1))</f>
        <v>#REF!</v>
      </c>
      <c r="BB63" s="11" t="e">
        <f>IF(Data!#REF!="","",IF(Data!$G63="",1,IF(ISNUMBER(MATCH(Data!#REF!,Data_Val!$D$2:$D$10,0)),0,1)))</f>
        <v>#REF!</v>
      </c>
      <c r="BC63" s="12"/>
      <c r="BD63" s="20" t="e">
        <f ca="1">IF(Data!#REF!="","",IF(ISNUMBER(Data!#REF!),IF(AND(Data!#REF!&gt;(TODAY()-(Data_Val!$M$3*365.25)),Data!#REF!&lt;=(TODAY()-(Data_Val!$M$2*365.25))),0,1),1))</f>
        <v>#REF!</v>
      </c>
      <c r="BE63" s="12" t="e">
        <f>IF(Data!#REF!="","",IF(Data!$G63="",1,IF(ISNUMBER(MATCH(Data!#REF!,Data_Val!$D$2:$D$10,0)),0,1)))</f>
        <v>#REF!</v>
      </c>
      <c r="BF63" s="17"/>
      <c r="BG63" s="18" t="e">
        <f ca="1">IF(Data!#REF!="","",IF(ISNUMBER(Data!#REF!),IF(AND(Data!#REF!&gt;(TODAY()-(Data_Val!$M$3*365.25)),Data!#REF!&lt;=(TODAY()-(Data_Val!$M$2*365.25))),0,1),1))</f>
        <v>#REF!</v>
      </c>
      <c r="BH63" s="29" t="e">
        <f>IF(Data!#REF!="","",IF(Data!$G63="",1,IF(ISNUMBER(MATCH(Data!#REF!,Data_Val!$D$2:$D$10,0)),0,1)))</f>
        <v>#REF!</v>
      </c>
      <c r="BI63" s="13"/>
      <c r="BJ63" s="21" t="e">
        <f ca="1">IF(Data!#REF!="","",IF(ISNUMBER(Data!#REF!),IF(AND(Data!#REF!&gt;(TODAY()-(Data_Val!$M$3*365.25)),Data!#REF!&lt;=(TODAY()-(Data_Val!$M$2*365.25))),0,1),1))</f>
        <v>#REF!</v>
      </c>
      <c r="BK63" s="13" t="e">
        <f>IF(Data!#REF!="","",IF(Data!$G63="",1,IF(ISNUMBER(MATCH(Data!#REF!,Data_Val!$D$2:$D$10,0)),0,1)))</f>
        <v>#REF!</v>
      </c>
    </row>
    <row r="64" spans="1:63" x14ac:dyDescent="0.25">
      <c r="A64" s="9" t="str">
        <f>IF(Data!B64="","",IF(COUNTIFS(Data!A$1:'Data'!A64,Data!A64)&lt;=1,0,1))</f>
        <v/>
      </c>
      <c r="B64" s="9"/>
      <c r="C64" s="23" t="str">
        <f>IF(Data!C64="","",(IF(ISNUMBER(MATCH("*@*.?*",Data!C64,0)),0,1)+IF(COUNTIFS(Data!C$1:'Data'!C64,Data!C64)&gt;1,1,0)))</f>
        <v/>
      </c>
      <c r="D64" s="9" t="str">
        <f>IF(Data!B64="","",IF(ISNUMBER(Data!D64),IF(AND(Data!D64&gt;999999999,Data!D64&lt;=9999999999),IF(COUNTIFS(Data!D$1:'Data'!D64,Data!D64)&lt;=1,0,1),1),1))</f>
        <v/>
      </c>
      <c r="E64" s="9" t="str">
        <f>IF(Data!B64="","",IF(ISNUMBER(MATCH(Data!E64,Data_Val!$A$2:$A$3,0)),0,1))</f>
        <v/>
      </c>
      <c r="F64" s="9" t="str">
        <f ca="1">IF(Data!B64="","",IF(ISNUMBER(Data!F64),IF(AND(Data!F64&gt;(TODAY()-(Data_Val!$H$3*365.25)),Data!F64&lt;=(TODAY()-(Data_Val!$H$2*365.25))),0,1),1))</f>
        <v/>
      </c>
      <c r="G64" s="15" t="str">
        <f>IF(Data!B64="","",IF(AND(Data!G64="",Data!H64&lt;&gt;""),1,IF(Data!#REF!&lt;&gt;"",0,IF(ISNUMBER(MATCH(Data!G64,Data_Val!$C$2:$C$5,0)),0,1))))</f>
        <v/>
      </c>
      <c r="H64" s="15" t="str">
        <f>IF(Data!B64="","",IF(AND(Data!G64&lt;&gt;"",Data!H64=""),1,IF(Data!#REF!&lt;&gt;"",0,IF(Data!G64="",1,IF(ISNUMBER(MATCH(Data!H64,Data_Val!$D$2:$D$35,0)),0,1)))))</f>
        <v/>
      </c>
      <c r="I64" s="15" t="str">
        <f>IF(Data!B64="","",IF(Data!G64&lt;&gt;"",0,IF(ISNUMBER(MATCH(Data!#REF!,Data_Val!$E$2:$E$12,0)),0,1)))</f>
        <v/>
      </c>
      <c r="J64" s="16" t="e">
        <f>IF(OR(Data!B64="",Data!#REF!=""),"",IF(Data!#REF!="",1,0))</f>
        <v>#REF!</v>
      </c>
      <c r="K64" s="16" t="e">
        <f>IF(OR(Data!B64="",Data!#REF!=""),"",IF(Data!#REF!="",1,0))</f>
        <v>#REF!</v>
      </c>
      <c r="L64" s="16" t="e">
        <f>IF(OR(Data!B64="",Data!#REF!=""),"",IF(ISNUMBER(Data!#REF!),IF(AND(Data!#REF!&gt;Data_Val!$G$2,Data!#REF!&lt;=Data_Val!$G$3),0,1),1))</f>
        <v>#REF!</v>
      </c>
      <c r="M64" s="9" t="e">
        <f>IF(OR(Data!B64="",Data!#REF!=""),"",IF(ISNUMBER(MATCH(Data!#REF!,Data_Val!$F$1:$F$38,0)),0,1))</f>
        <v>#REF!</v>
      </c>
      <c r="N64" s="9" t="e">
        <f>IF(OR(Data!B64="",Data!#REF!=""),"",IF(Data!#REF!="",1,0))</f>
        <v>#REF!</v>
      </c>
      <c r="O64" s="17" t="e">
        <f>IF(Data!#REF!="","",IF(Data!#REF!="",1,0))</f>
        <v>#REF!</v>
      </c>
      <c r="P64" s="17" t="e">
        <f>IF(Data!#REF!="","",IF(ISNUMBER(MATCH(Data!#REF!,Data_Val!$A$2:$A$3,0)),0,1))</f>
        <v>#REF!</v>
      </c>
      <c r="Q64" s="25" t="e">
        <f ca="1">IF(Data!#REF!="","",IF(ISNUMBER(Data!#REF!),IF(AND(Data!#REF!&gt;(TODAY()-(Data_Val!$J$3*365.25)),Data!#REF!&lt;=(TODAY()-(Data_Val!$J$2*365.25))),0,1),1))</f>
        <v>#REF!</v>
      </c>
      <c r="R64" s="17" t="e">
        <f>IF(Data!#REF!="","",IF(ISNUMBER(MATCH(Data!#REF!,Data_Val!$B$2:$B$15,0)),0,1))</f>
        <v>#REF!</v>
      </c>
      <c r="S64" s="11" t="str">
        <f>IF(Data!G64="","",IF(Data!G64=Data_Val!$C$2,IF(Data!M64="",0,1),0))</f>
        <v/>
      </c>
      <c r="T64" s="11" t="str">
        <f>IF(Data!M64="","",IF(ISNUMBER(MATCH(Data!N64,Data_Val!$A$2:$A$3,0)),0,1))</f>
        <v/>
      </c>
      <c r="U64" s="11" t="str">
        <f ca="1">IF(Data!M64="","",IF(ISNUMBER(Data!O64),IF(AND(Data!O64&gt;(TODAY()-(Data_Val!$K$3*365.25)),Data!O64&lt;=(TODAY()-(Data_Val!$K$2*365.25))),0,1),1))</f>
        <v/>
      </c>
      <c r="V64" s="12" t="str">
        <f>IF(Data!G64="","",IF(Data!G64=Data_Val!$C$2,IF(Data!P64="",0,1),0))</f>
        <v/>
      </c>
      <c r="W64" s="12" t="str">
        <f>IF(Data!P64="","",IF(ISNUMBER(MATCH(Data!Q64,Data_Val!$A$2:$A$3,0)),0,1))</f>
        <v/>
      </c>
      <c r="X64" s="26" t="str">
        <f ca="1">IF(Data!P64="","",IF(ISNUMBER(Data!R64),IF(AND(Data!R64&gt;(TODAY()-(Data_Val!$L$3*365.25)),Data!R64&lt;=(TODAY()-(Data_Val!$L$2*365.25))),0,1),1))</f>
        <v/>
      </c>
      <c r="Y64" s="13" t="str">
        <f>IF(Data!$G64="","",IF(Data!$G64=Data_Val!$C$2,IF(Data!S64="",0,1),0))</f>
        <v/>
      </c>
      <c r="Z64" s="13" t="str">
        <f>IF(Data!S64="","",IF(ISNUMBER(MATCH(Data!T64,Data_Val!$A$2:$A$3,0)),0,1))</f>
        <v/>
      </c>
      <c r="AA64" s="28" t="str">
        <f ca="1">IF(Data!S64="","",IF(ISNUMBER(Data!U64),IF(AND(Data!U64&gt;(TODAY()-(Data_Val!$L$3*365.25)),Data!U64&lt;=(TODAY()-(Data_Val!$L$2*365.25))),0,1),1))</f>
        <v/>
      </c>
      <c r="AB64" s="11"/>
      <c r="AC64" s="11" t="e">
        <f>IF(Data!#REF!="","",IF(ISNUMBER(MATCH(Data!#REF!,Data_Val!$A$2:$A$3,0)),0,1))</f>
        <v>#REF!</v>
      </c>
      <c r="AD64" s="11" t="e">
        <f ca="1">IF(Data!#REF!="","",IF(ISNUMBER(Data!#REF!),IF(AND(Data!#REF!&gt;(TODAY()-(Data_Val!$L$3*365.25)),Data!#REF!&lt;=(TODAY()-(Data_Val!$L$2*365.25))),0,1),1))</f>
        <v>#REF!</v>
      </c>
      <c r="AE64" s="11" t="e">
        <f>IF(Data!#REF!="","",IF(Data!$G64="",1,IF(ISNUMBER(MATCH(Data!#REF!,Data_Val!$D$2:$D$10,0)),0,1)))</f>
        <v>#REF!</v>
      </c>
      <c r="AF64" s="12"/>
      <c r="AG64" s="12" t="e">
        <f>IF(Data!#REF!="","",IF(ISNUMBER(MATCH(Data!#REF!,Data_Val!$A$2:$A$3,0)),0,1))</f>
        <v>#REF!</v>
      </c>
      <c r="AH64" s="26" t="e">
        <f ca="1">IF(Data!#REF!="","",IF(ISNUMBER(Data!#REF!),IF(AND(Data!#REF!&gt;(TODAY()-(Data_Val!$L$3*365.25)),Data!#REF!&lt;=(TODAY()-(Data_Val!$L$2*365.25))),0,1),1))</f>
        <v>#REF!</v>
      </c>
      <c r="AI64" s="12" t="e">
        <f>IF(Data!#REF!="","",IF(Data!$G64="",1,IF(ISNUMBER(MATCH(Data!#REF!,Data_Val!$D$2:$D$10,0)),0,1)))</f>
        <v>#REF!</v>
      </c>
      <c r="AJ64" s="17"/>
      <c r="AK64" s="17" t="e">
        <f>IF(Data!#REF!="","",IF(ISNUMBER(MATCH(Data!#REF!,Data_Val!$A$2:$A$3,0)),0,1))</f>
        <v>#REF!</v>
      </c>
      <c r="AL64" s="25" t="e">
        <f ca="1">IF(Data!#REF!="","",IF(ISNUMBER(Data!#REF!),IF(AND(Data!#REF!&gt;(TODAY()-(Data_Val!$L$3*365.25)),Data!#REF!&lt;=(TODAY()-(Data_Val!$L$2*365.25))),0,1),1))</f>
        <v>#REF!</v>
      </c>
      <c r="AM64" s="17" t="e">
        <f>IF(Data!#REF!="","",IF(Data!$G64="",1,IF(ISNUMBER(MATCH(Data!#REF!,Data_Val!$D$2:$D$10,0)),0,1)))</f>
        <v>#REF!</v>
      </c>
      <c r="AN64" s="13"/>
      <c r="AO64" s="28" t="e">
        <f ca="1">IF(Data!#REF!="","",IF(ISNUMBER(Data!#REF!),IF(AND(Data!#REF!&gt;(TODAY()-(Data_Val!$I$3*365.25)),Data!#REF!&lt;=(TODAY()-(Data_Val!$I$2*365.25))),0,1),1))</f>
        <v>#REF!</v>
      </c>
      <c r="AP64" s="13" t="e">
        <f>IF(Data!#REF!="","",IF(Data!$G64="",1,IF(ISNUMBER(MATCH(Data!#REF!,Data_Val!$D$2:$D$10,0)),0,1)))</f>
        <v>#REF!</v>
      </c>
      <c r="AQ64" s="17"/>
      <c r="AR64" s="30" t="e">
        <f ca="1">IF(Data!#REF!="","",IF(ISNUMBER(Data!#REF!),IF(AND(Data!#REF!&gt;(TODAY()-(Data_Val!$I$3*365.25)),Data!#REF!&lt;=(TODAY()-(Data_Val!$I$2*365.25))),0,1),1))</f>
        <v>#REF!</v>
      </c>
      <c r="AS64" s="31" t="e">
        <f>IF(Data!#REF!="","",IF(Data!$G64="",1,IF(ISNUMBER(MATCH(Data!#REF!,Data_Val!$D$2:$D$10,0)),0,1)))</f>
        <v>#REF!</v>
      </c>
      <c r="AT64" s="11"/>
      <c r="AU64" s="11" t="e">
        <f ca="1">IF(Data!#REF!="","",IF(ISNUMBER(Data!#REF!),IF(AND(Data!#REF!&gt;(TODAY()-(Data_Val!$I$3*365.25)),Data!#REF!&lt;=(TODAY()-(Data_Val!$I$2*365.25))),0,1),1))</f>
        <v>#REF!</v>
      </c>
      <c r="AV64" s="11" t="e">
        <f>IF(Data!#REF!="","",IF(Data!$G64="",1,IF(ISNUMBER(MATCH(Data!#REF!,Data_Val!$D$2:$D$10,0)),0,1)))</f>
        <v>#REF!</v>
      </c>
      <c r="AW64" s="12"/>
      <c r="AX64" s="26" t="e">
        <f ca="1">IF(Data!#REF!="","",IF(ISNUMBER(Data!#REF!),IF(AND(Data!#REF!&gt;(TODAY()-(Data_Val!$I$3*365.25)),Data!#REF!&lt;=(TODAY()-(Data_Val!$I$2*365.25))),0,1),1))</f>
        <v>#REF!</v>
      </c>
      <c r="AY64" s="12" t="e">
        <f>IF(Data!#REF!="","",IF(Data!$G64="",1,IF(ISNUMBER(MATCH(Data!#REF!,Data_Val!$D$2:$D$10,0)),0,1)))</f>
        <v>#REF!</v>
      </c>
      <c r="AZ64" s="11"/>
      <c r="BA64" s="19" t="e">
        <f ca="1">IF(Data!#REF!="","",IF(ISNUMBER(Data!#REF!),IF(AND(Data!#REF!&gt;(TODAY()-(Data_Val!$M$3*365.25)),Data!#REF!&lt;=(TODAY()-(Data_Val!$M$2*365.25))),0,1),1))</f>
        <v>#REF!</v>
      </c>
      <c r="BB64" s="11" t="e">
        <f>IF(Data!#REF!="","",IF(Data!$G64="",1,IF(ISNUMBER(MATCH(Data!#REF!,Data_Val!$D$2:$D$10,0)),0,1)))</f>
        <v>#REF!</v>
      </c>
      <c r="BC64" s="12"/>
      <c r="BD64" s="20" t="e">
        <f ca="1">IF(Data!#REF!="","",IF(ISNUMBER(Data!#REF!),IF(AND(Data!#REF!&gt;(TODAY()-(Data_Val!$M$3*365.25)),Data!#REF!&lt;=(TODAY()-(Data_Val!$M$2*365.25))),0,1),1))</f>
        <v>#REF!</v>
      </c>
      <c r="BE64" s="12" t="e">
        <f>IF(Data!#REF!="","",IF(Data!$G64="",1,IF(ISNUMBER(MATCH(Data!#REF!,Data_Val!$D$2:$D$10,0)),0,1)))</f>
        <v>#REF!</v>
      </c>
      <c r="BF64" s="17"/>
      <c r="BG64" s="18" t="e">
        <f ca="1">IF(Data!#REF!="","",IF(ISNUMBER(Data!#REF!),IF(AND(Data!#REF!&gt;(TODAY()-(Data_Val!$M$3*365.25)),Data!#REF!&lt;=(TODAY()-(Data_Val!$M$2*365.25))),0,1),1))</f>
        <v>#REF!</v>
      </c>
      <c r="BH64" s="29" t="e">
        <f>IF(Data!#REF!="","",IF(Data!$G64="",1,IF(ISNUMBER(MATCH(Data!#REF!,Data_Val!$D$2:$D$10,0)),0,1)))</f>
        <v>#REF!</v>
      </c>
      <c r="BI64" s="13"/>
      <c r="BJ64" s="21" t="e">
        <f ca="1">IF(Data!#REF!="","",IF(ISNUMBER(Data!#REF!),IF(AND(Data!#REF!&gt;(TODAY()-(Data_Val!$M$3*365.25)),Data!#REF!&lt;=(TODAY()-(Data_Val!$M$2*365.25))),0,1),1))</f>
        <v>#REF!</v>
      </c>
      <c r="BK64" s="13" t="e">
        <f>IF(Data!#REF!="","",IF(Data!$G64="",1,IF(ISNUMBER(MATCH(Data!#REF!,Data_Val!$D$2:$D$10,0)),0,1)))</f>
        <v>#REF!</v>
      </c>
    </row>
    <row r="65" spans="1:63" x14ac:dyDescent="0.25">
      <c r="A65" s="9" t="str">
        <f>IF(Data!B65="","",IF(COUNTIFS(Data!A$1:'Data'!A65,Data!A65)&lt;=1,0,1))</f>
        <v/>
      </c>
      <c r="B65" s="9"/>
      <c r="C65" s="23" t="str">
        <f>IF(Data!C65="","",(IF(ISNUMBER(MATCH("*@*.?*",Data!C65,0)),0,1)+IF(COUNTIFS(Data!C$1:'Data'!C65,Data!C65)&gt;1,1,0)))</f>
        <v/>
      </c>
      <c r="D65" s="9" t="str">
        <f>IF(Data!B65="","",IF(ISNUMBER(Data!D65),IF(AND(Data!D65&gt;999999999,Data!D65&lt;=9999999999),IF(COUNTIFS(Data!D$1:'Data'!D65,Data!D65)&lt;=1,0,1),1),1))</f>
        <v/>
      </c>
      <c r="E65" s="9" t="str">
        <f>IF(Data!B65="","",IF(ISNUMBER(MATCH(Data!E65,Data_Val!$A$2:$A$3,0)),0,1))</f>
        <v/>
      </c>
      <c r="F65" s="9" t="str">
        <f ca="1">IF(Data!B65="","",IF(ISNUMBER(Data!F65),IF(AND(Data!F65&gt;(TODAY()-(Data_Val!$H$3*365.25)),Data!F65&lt;=(TODAY()-(Data_Val!$H$2*365.25))),0,1),1))</f>
        <v/>
      </c>
      <c r="G65" s="15" t="str">
        <f>IF(Data!B65="","",IF(AND(Data!G65="",Data!H65&lt;&gt;""),1,IF(Data!#REF!&lt;&gt;"",0,IF(ISNUMBER(MATCH(Data!G65,Data_Val!$C$2:$C$5,0)),0,1))))</f>
        <v/>
      </c>
      <c r="H65" s="15" t="str">
        <f>IF(Data!B65="","",IF(AND(Data!G65&lt;&gt;"",Data!H65=""),1,IF(Data!#REF!&lt;&gt;"",0,IF(Data!G65="",1,IF(ISNUMBER(MATCH(Data!H65,Data_Val!$D$2:$D$35,0)),0,1)))))</f>
        <v/>
      </c>
      <c r="I65" s="15" t="str">
        <f>IF(Data!B65="","",IF(Data!G65&lt;&gt;"",0,IF(ISNUMBER(MATCH(Data!#REF!,Data_Val!$E$2:$E$12,0)),0,1)))</f>
        <v/>
      </c>
      <c r="J65" s="16" t="e">
        <f>IF(OR(Data!B65="",Data!#REF!=""),"",IF(Data!#REF!="",1,0))</f>
        <v>#REF!</v>
      </c>
      <c r="K65" s="16" t="e">
        <f>IF(OR(Data!B65="",Data!#REF!=""),"",IF(Data!#REF!="",1,0))</f>
        <v>#REF!</v>
      </c>
      <c r="L65" s="16" t="e">
        <f>IF(OR(Data!B65="",Data!#REF!=""),"",IF(ISNUMBER(Data!#REF!),IF(AND(Data!#REF!&gt;Data_Val!$G$2,Data!#REF!&lt;=Data_Val!$G$3),0,1),1))</f>
        <v>#REF!</v>
      </c>
      <c r="M65" s="9" t="e">
        <f>IF(OR(Data!B65="",Data!#REF!=""),"",IF(ISNUMBER(MATCH(Data!#REF!,Data_Val!$F$1:$F$38,0)),0,1))</f>
        <v>#REF!</v>
      </c>
      <c r="N65" s="9" t="e">
        <f>IF(OR(Data!B65="",Data!#REF!=""),"",IF(Data!#REF!="",1,0))</f>
        <v>#REF!</v>
      </c>
      <c r="O65" s="17" t="e">
        <f>IF(Data!#REF!="","",IF(Data!#REF!="",1,0))</f>
        <v>#REF!</v>
      </c>
      <c r="P65" s="17" t="e">
        <f>IF(Data!#REF!="","",IF(ISNUMBER(MATCH(Data!#REF!,Data_Val!$A$2:$A$3,0)),0,1))</f>
        <v>#REF!</v>
      </c>
      <c r="Q65" s="25" t="e">
        <f ca="1">IF(Data!#REF!="","",IF(ISNUMBER(Data!#REF!),IF(AND(Data!#REF!&gt;(TODAY()-(Data_Val!$J$3*365.25)),Data!#REF!&lt;=(TODAY()-(Data_Val!$J$2*365.25))),0,1),1))</f>
        <v>#REF!</v>
      </c>
      <c r="R65" s="17" t="e">
        <f>IF(Data!#REF!="","",IF(ISNUMBER(MATCH(Data!#REF!,Data_Val!$B$2:$B$15,0)),0,1))</f>
        <v>#REF!</v>
      </c>
      <c r="S65" s="11" t="str">
        <f>IF(Data!G65="","",IF(Data!G65=Data_Val!$C$2,IF(Data!M65="",0,1),0))</f>
        <v/>
      </c>
      <c r="T65" s="11" t="str">
        <f>IF(Data!M65="","",IF(ISNUMBER(MATCH(Data!N65,Data_Val!$A$2:$A$3,0)),0,1))</f>
        <v/>
      </c>
      <c r="U65" s="11" t="str">
        <f ca="1">IF(Data!M65="","",IF(ISNUMBER(Data!O65),IF(AND(Data!O65&gt;(TODAY()-(Data_Val!$K$3*365.25)),Data!O65&lt;=(TODAY()-(Data_Val!$K$2*365.25))),0,1),1))</f>
        <v/>
      </c>
      <c r="V65" s="12" t="str">
        <f>IF(Data!G65="","",IF(Data!G65=Data_Val!$C$2,IF(Data!P65="",0,1),0))</f>
        <v/>
      </c>
      <c r="W65" s="12" t="str">
        <f>IF(Data!P65="","",IF(ISNUMBER(MATCH(Data!Q65,Data_Val!$A$2:$A$3,0)),0,1))</f>
        <v/>
      </c>
      <c r="X65" s="26" t="str">
        <f ca="1">IF(Data!P65="","",IF(ISNUMBER(Data!R65),IF(AND(Data!R65&gt;(TODAY()-(Data_Val!$L$3*365.25)),Data!R65&lt;=(TODAY()-(Data_Val!$L$2*365.25))),0,1),1))</f>
        <v/>
      </c>
      <c r="Y65" s="13" t="str">
        <f>IF(Data!$G65="","",IF(Data!$G65=Data_Val!$C$2,IF(Data!S65="",0,1),0))</f>
        <v/>
      </c>
      <c r="Z65" s="13" t="str">
        <f>IF(Data!S65="","",IF(ISNUMBER(MATCH(Data!T65,Data_Val!$A$2:$A$3,0)),0,1))</f>
        <v/>
      </c>
      <c r="AA65" s="28" t="str">
        <f ca="1">IF(Data!S65="","",IF(ISNUMBER(Data!U65),IF(AND(Data!U65&gt;(TODAY()-(Data_Val!$L$3*365.25)),Data!U65&lt;=(TODAY()-(Data_Val!$L$2*365.25))),0,1),1))</f>
        <v/>
      </c>
      <c r="AB65" s="11"/>
      <c r="AC65" s="11" t="e">
        <f>IF(Data!#REF!="","",IF(ISNUMBER(MATCH(Data!#REF!,Data_Val!$A$2:$A$3,0)),0,1))</f>
        <v>#REF!</v>
      </c>
      <c r="AD65" s="11" t="e">
        <f ca="1">IF(Data!#REF!="","",IF(ISNUMBER(Data!#REF!),IF(AND(Data!#REF!&gt;(TODAY()-(Data_Val!$L$3*365.25)),Data!#REF!&lt;=(TODAY()-(Data_Val!$L$2*365.25))),0,1),1))</f>
        <v>#REF!</v>
      </c>
      <c r="AE65" s="11" t="e">
        <f>IF(Data!#REF!="","",IF(Data!$G65="",1,IF(ISNUMBER(MATCH(Data!#REF!,Data_Val!$D$2:$D$10,0)),0,1)))</f>
        <v>#REF!</v>
      </c>
      <c r="AF65" s="12"/>
      <c r="AG65" s="12" t="e">
        <f>IF(Data!#REF!="","",IF(ISNUMBER(MATCH(Data!#REF!,Data_Val!$A$2:$A$3,0)),0,1))</f>
        <v>#REF!</v>
      </c>
      <c r="AH65" s="26" t="e">
        <f ca="1">IF(Data!#REF!="","",IF(ISNUMBER(Data!#REF!),IF(AND(Data!#REF!&gt;(TODAY()-(Data_Val!$L$3*365.25)),Data!#REF!&lt;=(TODAY()-(Data_Val!$L$2*365.25))),0,1),1))</f>
        <v>#REF!</v>
      </c>
      <c r="AI65" s="12" t="e">
        <f>IF(Data!#REF!="","",IF(Data!$G65="",1,IF(ISNUMBER(MATCH(Data!#REF!,Data_Val!$D$2:$D$10,0)),0,1)))</f>
        <v>#REF!</v>
      </c>
      <c r="AJ65" s="17"/>
      <c r="AK65" s="17" t="e">
        <f>IF(Data!#REF!="","",IF(ISNUMBER(MATCH(Data!#REF!,Data_Val!$A$2:$A$3,0)),0,1))</f>
        <v>#REF!</v>
      </c>
      <c r="AL65" s="25" t="e">
        <f ca="1">IF(Data!#REF!="","",IF(ISNUMBER(Data!#REF!),IF(AND(Data!#REF!&gt;(TODAY()-(Data_Val!$L$3*365.25)),Data!#REF!&lt;=(TODAY()-(Data_Val!$L$2*365.25))),0,1),1))</f>
        <v>#REF!</v>
      </c>
      <c r="AM65" s="17" t="e">
        <f>IF(Data!#REF!="","",IF(Data!$G65="",1,IF(ISNUMBER(MATCH(Data!#REF!,Data_Val!$D$2:$D$10,0)),0,1)))</f>
        <v>#REF!</v>
      </c>
      <c r="AN65" s="13"/>
      <c r="AO65" s="28" t="e">
        <f ca="1">IF(Data!#REF!="","",IF(ISNUMBER(Data!#REF!),IF(AND(Data!#REF!&gt;(TODAY()-(Data_Val!$I$3*365.25)),Data!#REF!&lt;=(TODAY()-(Data_Val!$I$2*365.25))),0,1),1))</f>
        <v>#REF!</v>
      </c>
      <c r="AP65" s="13" t="e">
        <f>IF(Data!#REF!="","",IF(Data!$G65="",1,IF(ISNUMBER(MATCH(Data!#REF!,Data_Val!$D$2:$D$10,0)),0,1)))</f>
        <v>#REF!</v>
      </c>
      <c r="AQ65" s="17"/>
      <c r="AR65" s="30" t="e">
        <f ca="1">IF(Data!#REF!="","",IF(ISNUMBER(Data!#REF!),IF(AND(Data!#REF!&gt;(TODAY()-(Data_Val!$I$3*365.25)),Data!#REF!&lt;=(TODAY()-(Data_Val!$I$2*365.25))),0,1),1))</f>
        <v>#REF!</v>
      </c>
      <c r="AS65" s="31" t="e">
        <f>IF(Data!#REF!="","",IF(Data!$G65="",1,IF(ISNUMBER(MATCH(Data!#REF!,Data_Val!$D$2:$D$10,0)),0,1)))</f>
        <v>#REF!</v>
      </c>
      <c r="AT65" s="11"/>
      <c r="AU65" s="11" t="e">
        <f ca="1">IF(Data!#REF!="","",IF(ISNUMBER(Data!#REF!),IF(AND(Data!#REF!&gt;(TODAY()-(Data_Val!$I$3*365.25)),Data!#REF!&lt;=(TODAY()-(Data_Val!$I$2*365.25))),0,1),1))</f>
        <v>#REF!</v>
      </c>
      <c r="AV65" s="11" t="e">
        <f>IF(Data!#REF!="","",IF(Data!$G65="",1,IF(ISNUMBER(MATCH(Data!#REF!,Data_Val!$D$2:$D$10,0)),0,1)))</f>
        <v>#REF!</v>
      </c>
      <c r="AW65" s="12"/>
      <c r="AX65" s="26" t="e">
        <f ca="1">IF(Data!#REF!="","",IF(ISNUMBER(Data!#REF!),IF(AND(Data!#REF!&gt;(TODAY()-(Data_Val!$I$3*365.25)),Data!#REF!&lt;=(TODAY()-(Data_Val!$I$2*365.25))),0,1),1))</f>
        <v>#REF!</v>
      </c>
      <c r="AY65" s="12" t="e">
        <f>IF(Data!#REF!="","",IF(Data!$G65="",1,IF(ISNUMBER(MATCH(Data!#REF!,Data_Val!$D$2:$D$10,0)),0,1)))</f>
        <v>#REF!</v>
      </c>
      <c r="AZ65" s="11"/>
      <c r="BA65" s="19" t="e">
        <f ca="1">IF(Data!#REF!="","",IF(ISNUMBER(Data!#REF!),IF(AND(Data!#REF!&gt;(TODAY()-(Data_Val!$M$3*365.25)),Data!#REF!&lt;=(TODAY()-(Data_Val!$M$2*365.25))),0,1),1))</f>
        <v>#REF!</v>
      </c>
      <c r="BB65" s="11" t="e">
        <f>IF(Data!#REF!="","",IF(Data!$G65="",1,IF(ISNUMBER(MATCH(Data!#REF!,Data_Val!$D$2:$D$10,0)),0,1)))</f>
        <v>#REF!</v>
      </c>
      <c r="BC65" s="12"/>
      <c r="BD65" s="20" t="e">
        <f ca="1">IF(Data!#REF!="","",IF(ISNUMBER(Data!#REF!),IF(AND(Data!#REF!&gt;(TODAY()-(Data_Val!$M$3*365.25)),Data!#REF!&lt;=(TODAY()-(Data_Val!$M$2*365.25))),0,1),1))</f>
        <v>#REF!</v>
      </c>
      <c r="BE65" s="12" t="e">
        <f>IF(Data!#REF!="","",IF(Data!$G65="",1,IF(ISNUMBER(MATCH(Data!#REF!,Data_Val!$D$2:$D$10,0)),0,1)))</f>
        <v>#REF!</v>
      </c>
      <c r="BF65" s="17"/>
      <c r="BG65" s="18" t="e">
        <f ca="1">IF(Data!#REF!="","",IF(ISNUMBER(Data!#REF!),IF(AND(Data!#REF!&gt;(TODAY()-(Data_Val!$M$3*365.25)),Data!#REF!&lt;=(TODAY()-(Data_Val!$M$2*365.25))),0,1),1))</f>
        <v>#REF!</v>
      </c>
      <c r="BH65" s="29" t="e">
        <f>IF(Data!#REF!="","",IF(Data!$G65="",1,IF(ISNUMBER(MATCH(Data!#REF!,Data_Val!$D$2:$D$10,0)),0,1)))</f>
        <v>#REF!</v>
      </c>
      <c r="BI65" s="13"/>
      <c r="BJ65" s="21" t="e">
        <f ca="1">IF(Data!#REF!="","",IF(ISNUMBER(Data!#REF!),IF(AND(Data!#REF!&gt;(TODAY()-(Data_Val!$M$3*365.25)),Data!#REF!&lt;=(TODAY()-(Data_Val!$M$2*365.25))),0,1),1))</f>
        <v>#REF!</v>
      </c>
      <c r="BK65" s="13" t="e">
        <f>IF(Data!#REF!="","",IF(Data!$G65="",1,IF(ISNUMBER(MATCH(Data!#REF!,Data_Val!$D$2:$D$10,0)),0,1)))</f>
        <v>#REF!</v>
      </c>
    </row>
    <row r="66" spans="1:63" x14ac:dyDescent="0.25">
      <c r="A66" s="9" t="str">
        <f>IF(Data!B66="","",IF(COUNTIFS(Data!A$1:'Data'!A66,Data!A66)&lt;=1,0,1))</f>
        <v/>
      </c>
      <c r="B66" s="9"/>
      <c r="C66" s="23" t="str">
        <f>IF(Data!C66="","",(IF(ISNUMBER(MATCH("*@*.?*",Data!C66,0)),0,1)+IF(COUNTIFS(Data!C$1:'Data'!C66,Data!C66)&gt;1,1,0)))</f>
        <v/>
      </c>
      <c r="D66" s="9" t="str">
        <f>IF(Data!B66="","",IF(ISNUMBER(Data!D66),IF(AND(Data!D66&gt;999999999,Data!D66&lt;=9999999999),IF(COUNTIFS(Data!D$1:'Data'!D66,Data!D66)&lt;=1,0,1),1),1))</f>
        <v/>
      </c>
      <c r="E66" s="9" t="str">
        <f>IF(Data!B66="","",IF(ISNUMBER(MATCH(Data!E66,Data_Val!$A$2:$A$3,0)),0,1))</f>
        <v/>
      </c>
      <c r="F66" s="9" t="str">
        <f ca="1">IF(Data!B66="","",IF(ISNUMBER(Data!F66),IF(AND(Data!F66&gt;(TODAY()-(Data_Val!$H$3*365.25)),Data!F66&lt;=(TODAY()-(Data_Val!$H$2*365.25))),0,1),1))</f>
        <v/>
      </c>
      <c r="G66" s="15" t="str">
        <f>IF(Data!B66="","",IF(AND(Data!G66="",Data!H66&lt;&gt;""),1,IF(Data!#REF!&lt;&gt;"",0,IF(ISNUMBER(MATCH(Data!G66,Data_Val!$C$2:$C$5,0)),0,1))))</f>
        <v/>
      </c>
      <c r="H66" s="15" t="str">
        <f>IF(Data!B66="","",IF(AND(Data!G66&lt;&gt;"",Data!H66=""),1,IF(Data!#REF!&lt;&gt;"",0,IF(Data!G66="",1,IF(ISNUMBER(MATCH(Data!H66,Data_Val!$D$2:$D$35,0)),0,1)))))</f>
        <v/>
      </c>
      <c r="I66" s="15" t="str">
        <f>IF(Data!B66="","",IF(Data!G66&lt;&gt;"",0,IF(ISNUMBER(MATCH(Data!#REF!,Data_Val!$E$2:$E$12,0)),0,1)))</f>
        <v/>
      </c>
      <c r="J66" s="16" t="e">
        <f>IF(OR(Data!B66="",Data!#REF!=""),"",IF(Data!#REF!="",1,0))</f>
        <v>#REF!</v>
      </c>
      <c r="K66" s="16" t="e">
        <f>IF(OR(Data!B66="",Data!#REF!=""),"",IF(Data!#REF!="",1,0))</f>
        <v>#REF!</v>
      </c>
      <c r="L66" s="16" t="e">
        <f>IF(OR(Data!B66="",Data!#REF!=""),"",IF(ISNUMBER(Data!#REF!),IF(AND(Data!#REF!&gt;Data_Val!$G$2,Data!#REF!&lt;=Data_Val!$G$3),0,1),1))</f>
        <v>#REF!</v>
      </c>
      <c r="M66" s="9" t="e">
        <f>IF(OR(Data!B66="",Data!#REF!=""),"",IF(ISNUMBER(MATCH(Data!#REF!,Data_Val!$F$1:$F$38,0)),0,1))</f>
        <v>#REF!</v>
      </c>
      <c r="N66" s="9" t="e">
        <f>IF(OR(Data!B66="",Data!#REF!=""),"",IF(Data!#REF!="",1,0))</f>
        <v>#REF!</v>
      </c>
      <c r="O66" s="17" t="e">
        <f>IF(Data!#REF!="","",IF(Data!#REF!="",1,0))</f>
        <v>#REF!</v>
      </c>
      <c r="P66" s="17" t="e">
        <f>IF(Data!#REF!="","",IF(ISNUMBER(MATCH(Data!#REF!,Data_Val!$A$2:$A$3,0)),0,1))</f>
        <v>#REF!</v>
      </c>
      <c r="Q66" s="25" t="e">
        <f ca="1">IF(Data!#REF!="","",IF(ISNUMBER(Data!#REF!),IF(AND(Data!#REF!&gt;(TODAY()-(Data_Val!$J$3*365.25)),Data!#REF!&lt;=(TODAY()-(Data_Val!$J$2*365.25))),0,1),1))</f>
        <v>#REF!</v>
      </c>
      <c r="R66" s="17" t="e">
        <f>IF(Data!#REF!="","",IF(ISNUMBER(MATCH(Data!#REF!,Data_Val!$B$2:$B$15,0)),0,1))</f>
        <v>#REF!</v>
      </c>
      <c r="S66" s="11" t="str">
        <f>IF(Data!G66="","",IF(Data!G66=Data_Val!$C$2,IF(Data!M66="",0,1),0))</f>
        <v/>
      </c>
      <c r="T66" s="11" t="str">
        <f>IF(Data!M66="","",IF(ISNUMBER(MATCH(Data!N66,Data_Val!$A$2:$A$3,0)),0,1))</f>
        <v/>
      </c>
      <c r="U66" s="11" t="str">
        <f ca="1">IF(Data!M66="","",IF(ISNUMBER(Data!O66),IF(AND(Data!O66&gt;(TODAY()-(Data_Val!$K$3*365.25)),Data!O66&lt;=(TODAY()-(Data_Val!$K$2*365.25))),0,1),1))</f>
        <v/>
      </c>
      <c r="V66" s="12" t="str">
        <f>IF(Data!G66="","",IF(Data!G66=Data_Val!$C$2,IF(Data!P66="",0,1),0))</f>
        <v/>
      </c>
      <c r="W66" s="12" t="str">
        <f>IF(Data!P66="","",IF(ISNUMBER(MATCH(Data!Q66,Data_Val!$A$2:$A$3,0)),0,1))</f>
        <v/>
      </c>
      <c r="X66" s="26" t="str">
        <f ca="1">IF(Data!P66="","",IF(ISNUMBER(Data!R66),IF(AND(Data!R66&gt;(TODAY()-(Data_Val!$L$3*365.25)),Data!R66&lt;=(TODAY()-(Data_Val!$L$2*365.25))),0,1),1))</f>
        <v/>
      </c>
      <c r="Y66" s="13" t="str">
        <f>IF(Data!$G66="","",IF(Data!$G66=Data_Val!$C$2,IF(Data!S66="",0,1),0))</f>
        <v/>
      </c>
      <c r="Z66" s="13" t="str">
        <f>IF(Data!S66="","",IF(ISNUMBER(MATCH(Data!T66,Data_Val!$A$2:$A$3,0)),0,1))</f>
        <v/>
      </c>
      <c r="AA66" s="28" t="str">
        <f ca="1">IF(Data!S66="","",IF(ISNUMBER(Data!U66),IF(AND(Data!U66&gt;(TODAY()-(Data_Val!$L$3*365.25)),Data!U66&lt;=(TODAY()-(Data_Val!$L$2*365.25))),0,1),1))</f>
        <v/>
      </c>
      <c r="AB66" s="11"/>
      <c r="AC66" s="11" t="e">
        <f>IF(Data!#REF!="","",IF(ISNUMBER(MATCH(Data!#REF!,Data_Val!$A$2:$A$3,0)),0,1))</f>
        <v>#REF!</v>
      </c>
      <c r="AD66" s="11" t="e">
        <f ca="1">IF(Data!#REF!="","",IF(ISNUMBER(Data!#REF!),IF(AND(Data!#REF!&gt;(TODAY()-(Data_Val!$L$3*365.25)),Data!#REF!&lt;=(TODAY()-(Data_Val!$L$2*365.25))),0,1),1))</f>
        <v>#REF!</v>
      </c>
      <c r="AE66" s="11" t="e">
        <f>IF(Data!#REF!="","",IF(Data!$G66="",1,IF(ISNUMBER(MATCH(Data!#REF!,Data_Val!$D$2:$D$10,0)),0,1)))</f>
        <v>#REF!</v>
      </c>
      <c r="AF66" s="12"/>
      <c r="AG66" s="12" t="e">
        <f>IF(Data!#REF!="","",IF(ISNUMBER(MATCH(Data!#REF!,Data_Val!$A$2:$A$3,0)),0,1))</f>
        <v>#REF!</v>
      </c>
      <c r="AH66" s="26" t="e">
        <f ca="1">IF(Data!#REF!="","",IF(ISNUMBER(Data!#REF!),IF(AND(Data!#REF!&gt;(TODAY()-(Data_Val!$L$3*365.25)),Data!#REF!&lt;=(TODAY()-(Data_Val!$L$2*365.25))),0,1),1))</f>
        <v>#REF!</v>
      </c>
      <c r="AI66" s="12" t="e">
        <f>IF(Data!#REF!="","",IF(Data!$G66="",1,IF(ISNUMBER(MATCH(Data!#REF!,Data_Val!$D$2:$D$10,0)),0,1)))</f>
        <v>#REF!</v>
      </c>
      <c r="AJ66" s="17"/>
      <c r="AK66" s="17" t="e">
        <f>IF(Data!#REF!="","",IF(ISNUMBER(MATCH(Data!#REF!,Data_Val!$A$2:$A$3,0)),0,1))</f>
        <v>#REF!</v>
      </c>
      <c r="AL66" s="25" t="e">
        <f ca="1">IF(Data!#REF!="","",IF(ISNUMBER(Data!#REF!),IF(AND(Data!#REF!&gt;(TODAY()-(Data_Val!$L$3*365.25)),Data!#REF!&lt;=(TODAY()-(Data_Val!$L$2*365.25))),0,1),1))</f>
        <v>#REF!</v>
      </c>
      <c r="AM66" s="17" t="e">
        <f>IF(Data!#REF!="","",IF(Data!$G66="",1,IF(ISNUMBER(MATCH(Data!#REF!,Data_Val!$D$2:$D$10,0)),0,1)))</f>
        <v>#REF!</v>
      </c>
      <c r="AN66" s="13"/>
      <c r="AO66" s="28" t="e">
        <f ca="1">IF(Data!#REF!="","",IF(ISNUMBER(Data!#REF!),IF(AND(Data!#REF!&gt;(TODAY()-(Data_Val!$I$3*365.25)),Data!#REF!&lt;=(TODAY()-(Data_Val!$I$2*365.25))),0,1),1))</f>
        <v>#REF!</v>
      </c>
      <c r="AP66" s="13" t="e">
        <f>IF(Data!#REF!="","",IF(Data!$G66="",1,IF(ISNUMBER(MATCH(Data!#REF!,Data_Val!$D$2:$D$10,0)),0,1)))</f>
        <v>#REF!</v>
      </c>
      <c r="AQ66" s="17"/>
      <c r="AR66" s="30" t="e">
        <f ca="1">IF(Data!#REF!="","",IF(ISNUMBER(Data!#REF!),IF(AND(Data!#REF!&gt;(TODAY()-(Data_Val!$I$3*365.25)),Data!#REF!&lt;=(TODAY()-(Data_Val!$I$2*365.25))),0,1),1))</f>
        <v>#REF!</v>
      </c>
      <c r="AS66" s="31" t="e">
        <f>IF(Data!#REF!="","",IF(Data!$G66="",1,IF(ISNUMBER(MATCH(Data!#REF!,Data_Val!$D$2:$D$10,0)),0,1)))</f>
        <v>#REF!</v>
      </c>
      <c r="AT66" s="11"/>
      <c r="AU66" s="11" t="e">
        <f ca="1">IF(Data!#REF!="","",IF(ISNUMBER(Data!#REF!),IF(AND(Data!#REF!&gt;(TODAY()-(Data_Val!$I$3*365.25)),Data!#REF!&lt;=(TODAY()-(Data_Val!$I$2*365.25))),0,1),1))</f>
        <v>#REF!</v>
      </c>
      <c r="AV66" s="11" t="e">
        <f>IF(Data!#REF!="","",IF(Data!$G66="",1,IF(ISNUMBER(MATCH(Data!#REF!,Data_Val!$D$2:$D$10,0)),0,1)))</f>
        <v>#REF!</v>
      </c>
      <c r="AW66" s="12"/>
      <c r="AX66" s="26" t="e">
        <f ca="1">IF(Data!#REF!="","",IF(ISNUMBER(Data!#REF!),IF(AND(Data!#REF!&gt;(TODAY()-(Data_Val!$I$3*365.25)),Data!#REF!&lt;=(TODAY()-(Data_Val!$I$2*365.25))),0,1),1))</f>
        <v>#REF!</v>
      </c>
      <c r="AY66" s="12" t="e">
        <f>IF(Data!#REF!="","",IF(Data!$G66="",1,IF(ISNUMBER(MATCH(Data!#REF!,Data_Val!$D$2:$D$10,0)),0,1)))</f>
        <v>#REF!</v>
      </c>
      <c r="AZ66" s="11"/>
      <c r="BA66" s="19" t="e">
        <f ca="1">IF(Data!#REF!="","",IF(ISNUMBER(Data!#REF!),IF(AND(Data!#REF!&gt;(TODAY()-(Data_Val!$M$3*365.25)),Data!#REF!&lt;=(TODAY()-(Data_Val!$M$2*365.25))),0,1),1))</f>
        <v>#REF!</v>
      </c>
      <c r="BB66" s="11" t="e">
        <f>IF(Data!#REF!="","",IF(Data!$G66="",1,IF(ISNUMBER(MATCH(Data!#REF!,Data_Val!$D$2:$D$10,0)),0,1)))</f>
        <v>#REF!</v>
      </c>
      <c r="BC66" s="12"/>
      <c r="BD66" s="20" t="e">
        <f ca="1">IF(Data!#REF!="","",IF(ISNUMBER(Data!#REF!),IF(AND(Data!#REF!&gt;(TODAY()-(Data_Val!$M$3*365.25)),Data!#REF!&lt;=(TODAY()-(Data_Val!$M$2*365.25))),0,1),1))</f>
        <v>#REF!</v>
      </c>
      <c r="BE66" s="12" t="e">
        <f>IF(Data!#REF!="","",IF(Data!$G66="",1,IF(ISNUMBER(MATCH(Data!#REF!,Data_Val!$D$2:$D$10,0)),0,1)))</f>
        <v>#REF!</v>
      </c>
      <c r="BF66" s="17"/>
      <c r="BG66" s="18" t="e">
        <f ca="1">IF(Data!#REF!="","",IF(ISNUMBER(Data!#REF!),IF(AND(Data!#REF!&gt;(TODAY()-(Data_Val!$M$3*365.25)),Data!#REF!&lt;=(TODAY()-(Data_Val!$M$2*365.25))),0,1),1))</f>
        <v>#REF!</v>
      </c>
      <c r="BH66" s="29" t="e">
        <f>IF(Data!#REF!="","",IF(Data!$G66="",1,IF(ISNUMBER(MATCH(Data!#REF!,Data_Val!$D$2:$D$10,0)),0,1)))</f>
        <v>#REF!</v>
      </c>
      <c r="BI66" s="13"/>
      <c r="BJ66" s="21" t="e">
        <f ca="1">IF(Data!#REF!="","",IF(ISNUMBER(Data!#REF!),IF(AND(Data!#REF!&gt;(TODAY()-(Data_Val!$M$3*365.25)),Data!#REF!&lt;=(TODAY()-(Data_Val!$M$2*365.25))),0,1),1))</f>
        <v>#REF!</v>
      </c>
      <c r="BK66" s="13" t="e">
        <f>IF(Data!#REF!="","",IF(Data!$G66="",1,IF(ISNUMBER(MATCH(Data!#REF!,Data_Val!$D$2:$D$10,0)),0,1)))</f>
        <v>#REF!</v>
      </c>
    </row>
    <row r="67" spans="1:63" x14ac:dyDescent="0.25">
      <c r="A67" s="9" t="str">
        <f>IF(Data!B67="","",IF(COUNTIFS(Data!A$1:'Data'!A67,Data!A67)&lt;=1,0,1))</f>
        <v/>
      </c>
      <c r="B67" s="9"/>
      <c r="C67" s="23" t="str">
        <f>IF(Data!C67="","",(IF(ISNUMBER(MATCH("*@*.?*",Data!C67,0)),0,1)+IF(COUNTIFS(Data!C$1:'Data'!C67,Data!C67)&gt;1,1,0)))</f>
        <v/>
      </c>
      <c r="D67" s="9" t="str">
        <f>IF(Data!B67="","",IF(ISNUMBER(Data!D67),IF(AND(Data!D67&gt;999999999,Data!D67&lt;=9999999999),IF(COUNTIFS(Data!D$1:'Data'!D67,Data!D67)&lt;=1,0,1),1),1))</f>
        <v/>
      </c>
      <c r="E67" s="9" t="str">
        <f>IF(Data!B67="","",IF(ISNUMBER(MATCH(Data!E67,Data_Val!$A$2:$A$3,0)),0,1))</f>
        <v/>
      </c>
      <c r="F67" s="9" t="str">
        <f ca="1">IF(Data!B67="","",IF(ISNUMBER(Data!F67),IF(AND(Data!F67&gt;(TODAY()-(Data_Val!$H$3*365.25)),Data!F67&lt;=(TODAY()-(Data_Val!$H$2*365.25))),0,1),1))</f>
        <v/>
      </c>
      <c r="G67" s="15" t="str">
        <f>IF(Data!B67="","",IF(AND(Data!G67="",Data!H67&lt;&gt;""),1,IF(Data!#REF!&lt;&gt;"",0,IF(ISNUMBER(MATCH(Data!G67,Data_Val!$C$2:$C$5,0)),0,1))))</f>
        <v/>
      </c>
      <c r="H67" s="15" t="str">
        <f>IF(Data!B67="","",IF(AND(Data!G67&lt;&gt;"",Data!H67=""),1,IF(Data!#REF!&lt;&gt;"",0,IF(Data!G67="",1,IF(ISNUMBER(MATCH(Data!H67,Data_Val!$D$2:$D$35,0)),0,1)))))</f>
        <v/>
      </c>
      <c r="I67" s="15" t="str">
        <f>IF(Data!B67="","",IF(Data!G67&lt;&gt;"",0,IF(ISNUMBER(MATCH(Data!#REF!,Data_Val!$E$2:$E$12,0)),0,1)))</f>
        <v/>
      </c>
      <c r="J67" s="16" t="e">
        <f>IF(OR(Data!B67="",Data!#REF!=""),"",IF(Data!#REF!="",1,0))</f>
        <v>#REF!</v>
      </c>
      <c r="K67" s="16" t="e">
        <f>IF(OR(Data!B67="",Data!#REF!=""),"",IF(Data!#REF!="",1,0))</f>
        <v>#REF!</v>
      </c>
      <c r="L67" s="16" t="e">
        <f>IF(OR(Data!B67="",Data!#REF!=""),"",IF(ISNUMBER(Data!#REF!),IF(AND(Data!#REF!&gt;Data_Val!$G$2,Data!#REF!&lt;=Data_Val!$G$3),0,1),1))</f>
        <v>#REF!</v>
      </c>
      <c r="M67" s="9" t="e">
        <f>IF(OR(Data!B67="",Data!#REF!=""),"",IF(ISNUMBER(MATCH(Data!#REF!,Data_Val!$F$1:$F$38,0)),0,1))</f>
        <v>#REF!</v>
      </c>
      <c r="N67" s="9" t="e">
        <f>IF(OR(Data!B67="",Data!#REF!=""),"",IF(Data!#REF!="",1,0))</f>
        <v>#REF!</v>
      </c>
      <c r="O67" s="17" t="e">
        <f>IF(Data!#REF!="","",IF(Data!#REF!="",1,0))</f>
        <v>#REF!</v>
      </c>
      <c r="P67" s="17" t="e">
        <f>IF(Data!#REF!="","",IF(ISNUMBER(MATCH(Data!#REF!,Data_Val!$A$2:$A$3,0)),0,1))</f>
        <v>#REF!</v>
      </c>
      <c r="Q67" s="25" t="e">
        <f ca="1">IF(Data!#REF!="","",IF(ISNUMBER(Data!#REF!),IF(AND(Data!#REF!&gt;(TODAY()-(Data_Val!$J$3*365.25)),Data!#REF!&lt;=(TODAY()-(Data_Val!$J$2*365.25))),0,1),1))</f>
        <v>#REF!</v>
      </c>
      <c r="R67" s="17" t="e">
        <f>IF(Data!#REF!="","",IF(ISNUMBER(MATCH(Data!#REF!,Data_Val!$B$2:$B$15,0)),0,1))</f>
        <v>#REF!</v>
      </c>
      <c r="S67" s="11" t="str">
        <f>IF(Data!G67="","",IF(Data!G67=Data_Val!$C$2,IF(Data!M67="",0,1),0))</f>
        <v/>
      </c>
      <c r="T67" s="11" t="str">
        <f>IF(Data!M67="","",IF(ISNUMBER(MATCH(Data!N67,Data_Val!$A$2:$A$3,0)),0,1))</f>
        <v/>
      </c>
      <c r="U67" s="11" t="str">
        <f ca="1">IF(Data!M67="","",IF(ISNUMBER(Data!O67),IF(AND(Data!O67&gt;(TODAY()-(Data_Val!$K$3*365.25)),Data!O67&lt;=(TODAY()-(Data_Val!$K$2*365.25))),0,1),1))</f>
        <v/>
      </c>
      <c r="V67" s="12" t="str">
        <f>IF(Data!G67="","",IF(Data!G67=Data_Val!$C$2,IF(Data!P67="",0,1),0))</f>
        <v/>
      </c>
      <c r="W67" s="12" t="str">
        <f>IF(Data!P67="","",IF(ISNUMBER(MATCH(Data!Q67,Data_Val!$A$2:$A$3,0)),0,1))</f>
        <v/>
      </c>
      <c r="X67" s="26" t="str">
        <f ca="1">IF(Data!P67="","",IF(ISNUMBER(Data!R67),IF(AND(Data!R67&gt;(TODAY()-(Data_Val!$L$3*365.25)),Data!R67&lt;=(TODAY()-(Data_Val!$L$2*365.25))),0,1),1))</f>
        <v/>
      </c>
      <c r="Y67" s="13" t="str">
        <f>IF(Data!$G67="","",IF(Data!$G67=Data_Val!$C$2,IF(Data!S67="",0,1),0))</f>
        <v/>
      </c>
      <c r="Z67" s="13" t="str">
        <f>IF(Data!S67="","",IF(ISNUMBER(MATCH(Data!T67,Data_Val!$A$2:$A$3,0)),0,1))</f>
        <v/>
      </c>
      <c r="AA67" s="28" t="str">
        <f ca="1">IF(Data!S67="","",IF(ISNUMBER(Data!U67),IF(AND(Data!U67&gt;(TODAY()-(Data_Val!$L$3*365.25)),Data!U67&lt;=(TODAY()-(Data_Val!$L$2*365.25))),0,1),1))</f>
        <v/>
      </c>
      <c r="AB67" s="11"/>
      <c r="AC67" s="11" t="e">
        <f>IF(Data!#REF!="","",IF(ISNUMBER(MATCH(Data!#REF!,Data_Val!$A$2:$A$3,0)),0,1))</f>
        <v>#REF!</v>
      </c>
      <c r="AD67" s="11" t="e">
        <f ca="1">IF(Data!#REF!="","",IF(ISNUMBER(Data!#REF!),IF(AND(Data!#REF!&gt;(TODAY()-(Data_Val!$L$3*365.25)),Data!#REF!&lt;=(TODAY()-(Data_Val!$L$2*365.25))),0,1),1))</f>
        <v>#REF!</v>
      </c>
      <c r="AE67" s="11" t="e">
        <f>IF(Data!#REF!="","",IF(Data!$G67="",1,IF(ISNUMBER(MATCH(Data!#REF!,Data_Val!$D$2:$D$10,0)),0,1)))</f>
        <v>#REF!</v>
      </c>
      <c r="AF67" s="12"/>
      <c r="AG67" s="12" t="e">
        <f>IF(Data!#REF!="","",IF(ISNUMBER(MATCH(Data!#REF!,Data_Val!$A$2:$A$3,0)),0,1))</f>
        <v>#REF!</v>
      </c>
      <c r="AH67" s="26" t="e">
        <f ca="1">IF(Data!#REF!="","",IF(ISNUMBER(Data!#REF!),IF(AND(Data!#REF!&gt;(TODAY()-(Data_Val!$L$3*365.25)),Data!#REF!&lt;=(TODAY()-(Data_Val!$L$2*365.25))),0,1),1))</f>
        <v>#REF!</v>
      </c>
      <c r="AI67" s="12" t="e">
        <f>IF(Data!#REF!="","",IF(Data!$G67="",1,IF(ISNUMBER(MATCH(Data!#REF!,Data_Val!$D$2:$D$10,0)),0,1)))</f>
        <v>#REF!</v>
      </c>
      <c r="AJ67" s="17"/>
      <c r="AK67" s="17" t="e">
        <f>IF(Data!#REF!="","",IF(ISNUMBER(MATCH(Data!#REF!,Data_Val!$A$2:$A$3,0)),0,1))</f>
        <v>#REF!</v>
      </c>
      <c r="AL67" s="25" t="e">
        <f ca="1">IF(Data!#REF!="","",IF(ISNUMBER(Data!#REF!),IF(AND(Data!#REF!&gt;(TODAY()-(Data_Val!$L$3*365.25)),Data!#REF!&lt;=(TODAY()-(Data_Val!$L$2*365.25))),0,1),1))</f>
        <v>#REF!</v>
      </c>
      <c r="AM67" s="17" t="e">
        <f>IF(Data!#REF!="","",IF(Data!$G67="",1,IF(ISNUMBER(MATCH(Data!#REF!,Data_Val!$D$2:$D$10,0)),0,1)))</f>
        <v>#REF!</v>
      </c>
      <c r="AN67" s="13"/>
      <c r="AO67" s="28" t="e">
        <f ca="1">IF(Data!#REF!="","",IF(ISNUMBER(Data!#REF!),IF(AND(Data!#REF!&gt;(TODAY()-(Data_Val!$I$3*365.25)),Data!#REF!&lt;=(TODAY()-(Data_Val!$I$2*365.25))),0,1),1))</f>
        <v>#REF!</v>
      </c>
      <c r="AP67" s="13" t="e">
        <f>IF(Data!#REF!="","",IF(Data!$G67="",1,IF(ISNUMBER(MATCH(Data!#REF!,Data_Val!$D$2:$D$10,0)),0,1)))</f>
        <v>#REF!</v>
      </c>
      <c r="AQ67" s="17"/>
      <c r="AR67" s="30" t="e">
        <f ca="1">IF(Data!#REF!="","",IF(ISNUMBER(Data!#REF!),IF(AND(Data!#REF!&gt;(TODAY()-(Data_Val!$I$3*365.25)),Data!#REF!&lt;=(TODAY()-(Data_Val!$I$2*365.25))),0,1),1))</f>
        <v>#REF!</v>
      </c>
      <c r="AS67" s="31" t="e">
        <f>IF(Data!#REF!="","",IF(Data!$G67="",1,IF(ISNUMBER(MATCH(Data!#REF!,Data_Val!$D$2:$D$10,0)),0,1)))</f>
        <v>#REF!</v>
      </c>
      <c r="AT67" s="11"/>
      <c r="AU67" s="11" t="e">
        <f ca="1">IF(Data!#REF!="","",IF(ISNUMBER(Data!#REF!),IF(AND(Data!#REF!&gt;(TODAY()-(Data_Val!$I$3*365.25)),Data!#REF!&lt;=(TODAY()-(Data_Val!$I$2*365.25))),0,1),1))</f>
        <v>#REF!</v>
      </c>
      <c r="AV67" s="11" t="e">
        <f>IF(Data!#REF!="","",IF(Data!$G67="",1,IF(ISNUMBER(MATCH(Data!#REF!,Data_Val!$D$2:$D$10,0)),0,1)))</f>
        <v>#REF!</v>
      </c>
      <c r="AW67" s="12"/>
      <c r="AX67" s="26" t="e">
        <f ca="1">IF(Data!#REF!="","",IF(ISNUMBER(Data!#REF!),IF(AND(Data!#REF!&gt;(TODAY()-(Data_Val!$I$3*365.25)),Data!#REF!&lt;=(TODAY()-(Data_Val!$I$2*365.25))),0,1),1))</f>
        <v>#REF!</v>
      </c>
      <c r="AY67" s="12" t="e">
        <f>IF(Data!#REF!="","",IF(Data!$G67="",1,IF(ISNUMBER(MATCH(Data!#REF!,Data_Val!$D$2:$D$10,0)),0,1)))</f>
        <v>#REF!</v>
      </c>
      <c r="AZ67" s="11"/>
      <c r="BA67" s="19" t="e">
        <f ca="1">IF(Data!#REF!="","",IF(ISNUMBER(Data!#REF!),IF(AND(Data!#REF!&gt;(TODAY()-(Data_Val!$M$3*365.25)),Data!#REF!&lt;=(TODAY()-(Data_Val!$M$2*365.25))),0,1),1))</f>
        <v>#REF!</v>
      </c>
      <c r="BB67" s="11" t="e">
        <f>IF(Data!#REF!="","",IF(Data!$G67="",1,IF(ISNUMBER(MATCH(Data!#REF!,Data_Val!$D$2:$D$10,0)),0,1)))</f>
        <v>#REF!</v>
      </c>
      <c r="BC67" s="12"/>
      <c r="BD67" s="20" t="e">
        <f ca="1">IF(Data!#REF!="","",IF(ISNUMBER(Data!#REF!),IF(AND(Data!#REF!&gt;(TODAY()-(Data_Val!$M$3*365.25)),Data!#REF!&lt;=(TODAY()-(Data_Val!$M$2*365.25))),0,1),1))</f>
        <v>#REF!</v>
      </c>
      <c r="BE67" s="12" t="e">
        <f>IF(Data!#REF!="","",IF(Data!$G67="",1,IF(ISNUMBER(MATCH(Data!#REF!,Data_Val!$D$2:$D$10,0)),0,1)))</f>
        <v>#REF!</v>
      </c>
      <c r="BF67" s="17"/>
      <c r="BG67" s="18" t="e">
        <f ca="1">IF(Data!#REF!="","",IF(ISNUMBER(Data!#REF!),IF(AND(Data!#REF!&gt;(TODAY()-(Data_Val!$M$3*365.25)),Data!#REF!&lt;=(TODAY()-(Data_Val!$M$2*365.25))),0,1),1))</f>
        <v>#REF!</v>
      </c>
      <c r="BH67" s="29" t="e">
        <f>IF(Data!#REF!="","",IF(Data!$G67="",1,IF(ISNUMBER(MATCH(Data!#REF!,Data_Val!$D$2:$D$10,0)),0,1)))</f>
        <v>#REF!</v>
      </c>
      <c r="BI67" s="13"/>
      <c r="BJ67" s="21" t="e">
        <f ca="1">IF(Data!#REF!="","",IF(ISNUMBER(Data!#REF!),IF(AND(Data!#REF!&gt;(TODAY()-(Data_Val!$M$3*365.25)),Data!#REF!&lt;=(TODAY()-(Data_Val!$M$2*365.25))),0,1),1))</f>
        <v>#REF!</v>
      </c>
      <c r="BK67" s="13" t="e">
        <f>IF(Data!#REF!="","",IF(Data!$G67="",1,IF(ISNUMBER(MATCH(Data!#REF!,Data_Val!$D$2:$D$10,0)),0,1)))</f>
        <v>#REF!</v>
      </c>
    </row>
    <row r="68" spans="1:63" x14ac:dyDescent="0.25">
      <c r="A68" s="9" t="str">
        <f>IF(Data!B68="","",IF(COUNTIFS(Data!A$1:'Data'!A68,Data!A68)&lt;=1,0,1))</f>
        <v/>
      </c>
      <c r="B68" s="9"/>
      <c r="C68" s="23" t="str">
        <f>IF(Data!C68="","",(IF(ISNUMBER(MATCH("*@*.?*",Data!C68,0)),0,1)+IF(COUNTIFS(Data!C$1:'Data'!C68,Data!C68)&gt;1,1,0)))</f>
        <v/>
      </c>
      <c r="D68" s="9" t="str">
        <f>IF(Data!B68="","",IF(ISNUMBER(Data!D68),IF(AND(Data!D68&gt;999999999,Data!D68&lt;=9999999999),IF(COUNTIFS(Data!D$1:'Data'!D68,Data!D68)&lt;=1,0,1),1),1))</f>
        <v/>
      </c>
      <c r="E68" s="9" t="str">
        <f>IF(Data!B68="","",IF(ISNUMBER(MATCH(Data!E68,Data_Val!$A$2:$A$3,0)),0,1))</f>
        <v/>
      </c>
      <c r="F68" s="9" t="str">
        <f ca="1">IF(Data!B68="","",IF(ISNUMBER(Data!F68),IF(AND(Data!F68&gt;(TODAY()-(Data_Val!$H$3*365.25)),Data!F68&lt;=(TODAY()-(Data_Val!$H$2*365.25))),0,1),1))</f>
        <v/>
      </c>
      <c r="G68" s="15" t="str">
        <f>IF(Data!B68="","",IF(AND(Data!G68="",Data!H68&lt;&gt;""),1,IF(Data!#REF!&lt;&gt;"",0,IF(ISNUMBER(MATCH(Data!G68,Data_Val!$C$2:$C$5,0)),0,1))))</f>
        <v/>
      </c>
      <c r="H68" s="15" t="str">
        <f>IF(Data!B68="","",IF(AND(Data!G68&lt;&gt;"",Data!H68=""),1,IF(Data!#REF!&lt;&gt;"",0,IF(Data!G68="",1,IF(ISNUMBER(MATCH(Data!H68,Data_Val!$D$2:$D$35,0)),0,1)))))</f>
        <v/>
      </c>
      <c r="I68" s="15" t="str">
        <f>IF(Data!B68="","",IF(Data!G68&lt;&gt;"",0,IF(ISNUMBER(MATCH(Data!#REF!,Data_Val!$E$2:$E$12,0)),0,1)))</f>
        <v/>
      </c>
      <c r="J68" s="16" t="e">
        <f>IF(OR(Data!B68="",Data!#REF!=""),"",IF(Data!#REF!="",1,0))</f>
        <v>#REF!</v>
      </c>
      <c r="K68" s="16" t="e">
        <f>IF(OR(Data!B68="",Data!#REF!=""),"",IF(Data!#REF!="",1,0))</f>
        <v>#REF!</v>
      </c>
      <c r="L68" s="16" t="e">
        <f>IF(OR(Data!B68="",Data!#REF!=""),"",IF(ISNUMBER(Data!#REF!),IF(AND(Data!#REF!&gt;Data_Val!$G$2,Data!#REF!&lt;=Data_Val!$G$3),0,1),1))</f>
        <v>#REF!</v>
      </c>
      <c r="M68" s="9" t="e">
        <f>IF(OR(Data!B68="",Data!#REF!=""),"",IF(ISNUMBER(MATCH(Data!#REF!,Data_Val!$F$1:$F$38,0)),0,1))</f>
        <v>#REF!</v>
      </c>
      <c r="N68" s="9" t="e">
        <f>IF(OR(Data!B68="",Data!#REF!=""),"",IF(Data!#REF!="",1,0))</f>
        <v>#REF!</v>
      </c>
      <c r="O68" s="17" t="e">
        <f>IF(Data!#REF!="","",IF(Data!#REF!="",1,0))</f>
        <v>#REF!</v>
      </c>
      <c r="P68" s="17" t="e">
        <f>IF(Data!#REF!="","",IF(ISNUMBER(MATCH(Data!#REF!,Data_Val!$A$2:$A$3,0)),0,1))</f>
        <v>#REF!</v>
      </c>
      <c r="Q68" s="25" t="e">
        <f ca="1">IF(Data!#REF!="","",IF(ISNUMBER(Data!#REF!),IF(AND(Data!#REF!&gt;(TODAY()-(Data_Val!$J$3*365.25)),Data!#REF!&lt;=(TODAY()-(Data_Val!$J$2*365.25))),0,1),1))</f>
        <v>#REF!</v>
      </c>
      <c r="R68" s="17" t="e">
        <f>IF(Data!#REF!="","",IF(ISNUMBER(MATCH(Data!#REF!,Data_Val!$B$2:$B$15,0)),0,1))</f>
        <v>#REF!</v>
      </c>
      <c r="S68" s="11" t="str">
        <f>IF(Data!G68="","",IF(Data!G68=Data_Val!$C$2,IF(Data!M68="",0,1),0))</f>
        <v/>
      </c>
      <c r="T68" s="11" t="str">
        <f>IF(Data!M68="","",IF(ISNUMBER(MATCH(Data!N68,Data_Val!$A$2:$A$3,0)),0,1))</f>
        <v/>
      </c>
      <c r="U68" s="11" t="str">
        <f ca="1">IF(Data!M68="","",IF(ISNUMBER(Data!O68),IF(AND(Data!O68&gt;(TODAY()-(Data_Val!$K$3*365.25)),Data!O68&lt;=(TODAY()-(Data_Val!$K$2*365.25))),0,1),1))</f>
        <v/>
      </c>
      <c r="V68" s="12" t="str">
        <f>IF(Data!G68="","",IF(Data!G68=Data_Val!$C$2,IF(Data!P68="",0,1),0))</f>
        <v/>
      </c>
      <c r="W68" s="12" t="str">
        <f>IF(Data!P68="","",IF(ISNUMBER(MATCH(Data!Q68,Data_Val!$A$2:$A$3,0)),0,1))</f>
        <v/>
      </c>
      <c r="X68" s="26" t="str">
        <f ca="1">IF(Data!P68="","",IF(ISNUMBER(Data!R68),IF(AND(Data!R68&gt;(TODAY()-(Data_Val!$L$3*365.25)),Data!R68&lt;=(TODAY()-(Data_Val!$L$2*365.25))),0,1),1))</f>
        <v/>
      </c>
      <c r="Y68" s="13" t="str">
        <f>IF(Data!$G68="","",IF(Data!$G68=Data_Val!$C$2,IF(Data!S68="",0,1),0))</f>
        <v/>
      </c>
      <c r="Z68" s="13" t="str">
        <f>IF(Data!S68="","",IF(ISNUMBER(MATCH(Data!T68,Data_Val!$A$2:$A$3,0)),0,1))</f>
        <v/>
      </c>
      <c r="AA68" s="28" t="str">
        <f ca="1">IF(Data!S68="","",IF(ISNUMBER(Data!U68),IF(AND(Data!U68&gt;(TODAY()-(Data_Val!$L$3*365.25)),Data!U68&lt;=(TODAY()-(Data_Val!$L$2*365.25))),0,1),1))</f>
        <v/>
      </c>
      <c r="AB68" s="11"/>
      <c r="AC68" s="11" t="e">
        <f>IF(Data!#REF!="","",IF(ISNUMBER(MATCH(Data!#REF!,Data_Val!$A$2:$A$3,0)),0,1))</f>
        <v>#REF!</v>
      </c>
      <c r="AD68" s="11" t="e">
        <f ca="1">IF(Data!#REF!="","",IF(ISNUMBER(Data!#REF!),IF(AND(Data!#REF!&gt;(TODAY()-(Data_Val!$L$3*365.25)),Data!#REF!&lt;=(TODAY()-(Data_Val!$L$2*365.25))),0,1),1))</f>
        <v>#REF!</v>
      </c>
      <c r="AE68" s="11" t="e">
        <f>IF(Data!#REF!="","",IF(Data!$G68="",1,IF(ISNUMBER(MATCH(Data!#REF!,Data_Val!$D$2:$D$10,0)),0,1)))</f>
        <v>#REF!</v>
      </c>
      <c r="AF68" s="12"/>
      <c r="AG68" s="12" t="e">
        <f>IF(Data!#REF!="","",IF(ISNUMBER(MATCH(Data!#REF!,Data_Val!$A$2:$A$3,0)),0,1))</f>
        <v>#REF!</v>
      </c>
      <c r="AH68" s="26" t="e">
        <f ca="1">IF(Data!#REF!="","",IF(ISNUMBER(Data!#REF!),IF(AND(Data!#REF!&gt;(TODAY()-(Data_Val!$L$3*365.25)),Data!#REF!&lt;=(TODAY()-(Data_Val!$L$2*365.25))),0,1),1))</f>
        <v>#REF!</v>
      </c>
      <c r="AI68" s="12" t="e">
        <f>IF(Data!#REF!="","",IF(Data!$G68="",1,IF(ISNUMBER(MATCH(Data!#REF!,Data_Val!$D$2:$D$10,0)),0,1)))</f>
        <v>#REF!</v>
      </c>
      <c r="AJ68" s="17"/>
      <c r="AK68" s="17" t="e">
        <f>IF(Data!#REF!="","",IF(ISNUMBER(MATCH(Data!#REF!,Data_Val!$A$2:$A$3,0)),0,1))</f>
        <v>#REF!</v>
      </c>
      <c r="AL68" s="25" t="e">
        <f ca="1">IF(Data!#REF!="","",IF(ISNUMBER(Data!#REF!),IF(AND(Data!#REF!&gt;(TODAY()-(Data_Val!$L$3*365.25)),Data!#REF!&lt;=(TODAY()-(Data_Val!$L$2*365.25))),0,1),1))</f>
        <v>#REF!</v>
      </c>
      <c r="AM68" s="17" t="e">
        <f>IF(Data!#REF!="","",IF(Data!$G68="",1,IF(ISNUMBER(MATCH(Data!#REF!,Data_Val!$D$2:$D$10,0)),0,1)))</f>
        <v>#REF!</v>
      </c>
      <c r="AN68" s="13"/>
      <c r="AO68" s="28" t="e">
        <f ca="1">IF(Data!#REF!="","",IF(ISNUMBER(Data!#REF!),IF(AND(Data!#REF!&gt;(TODAY()-(Data_Val!$I$3*365.25)),Data!#REF!&lt;=(TODAY()-(Data_Val!$I$2*365.25))),0,1),1))</f>
        <v>#REF!</v>
      </c>
      <c r="AP68" s="13" t="e">
        <f>IF(Data!#REF!="","",IF(Data!$G68="",1,IF(ISNUMBER(MATCH(Data!#REF!,Data_Val!$D$2:$D$10,0)),0,1)))</f>
        <v>#REF!</v>
      </c>
      <c r="AQ68" s="17"/>
      <c r="AR68" s="30" t="e">
        <f ca="1">IF(Data!#REF!="","",IF(ISNUMBER(Data!#REF!),IF(AND(Data!#REF!&gt;(TODAY()-(Data_Val!$I$3*365.25)),Data!#REF!&lt;=(TODAY()-(Data_Val!$I$2*365.25))),0,1),1))</f>
        <v>#REF!</v>
      </c>
      <c r="AS68" s="31" t="e">
        <f>IF(Data!#REF!="","",IF(Data!$G68="",1,IF(ISNUMBER(MATCH(Data!#REF!,Data_Val!$D$2:$D$10,0)),0,1)))</f>
        <v>#REF!</v>
      </c>
      <c r="AT68" s="11"/>
      <c r="AU68" s="11" t="e">
        <f ca="1">IF(Data!#REF!="","",IF(ISNUMBER(Data!#REF!),IF(AND(Data!#REF!&gt;(TODAY()-(Data_Val!$I$3*365.25)),Data!#REF!&lt;=(TODAY()-(Data_Val!$I$2*365.25))),0,1),1))</f>
        <v>#REF!</v>
      </c>
      <c r="AV68" s="11" t="e">
        <f>IF(Data!#REF!="","",IF(Data!$G68="",1,IF(ISNUMBER(MATCH(Data!#REF!,Data_Val!$D$2:$D$10,0)),0,1)))</f>
        <v>#REF!</v>
      </c>
      <c r="AW68" s="12"/>
      <c r="AX68" s="26" t="e">
        <f ca="1">IF(Data!#REF!="","",IF(ISNUMBER(Data!#REF!),IF(AND(Data!#REF!&gt;(TODAY()-(Data_Val!$I$3*365.25)),Data!#REF!&lt;=(TODAY()-(Data_Val!$I$2*365.25))),0,1),1))</f>
        <v>#REF!</v>
      </c>
      <c r="AY68" s="12" t="e">
        <f>IF(Data!#REF!="","",IF(Data!$G68="",1,IF(ISNUMBER(MATCH(Data!#REF!,Data_Val!$D$2:$D$10,0)),0,1)))</f>
        <v>#REF!</v>
      </c>
      <c r="AZ68" s="11"/>
      <c r="BA68" s="19" t="e">
        <f ca="1">IF(Data!#REF!="","",IF(ISNUMBER(Data!#REF!),IF(AND(Data!#REF!&gt;(TODAY()-(Data_Val!$M$3*365.25)),Data!#REF!&lt;=(TODAY()-(Data_Val!$M$2*365.25))),0,1),1))</f>
        <v>#REF!</v>
      </c>
      <c r="BB68" s="11" t="e">
        <f>IF(Data!#REF!="","",IF(Data!$G68="",1,IF(ISNUMBER(MATCH(Data!#REF!,Data_Val!$D$2:$D$10,0)),0,1)))</f>
        <v>#REF!</v>
      </c>
      <c r="BC68" s="12"/>
      <c r="BD68" s="20" t="e">
        <f ca="1">IF(Data!#REF!="","",IF(ISNUMBER(Data!#REF!),IF(AND(Data!#REF!&gt;(TODAY()-(Data_Val!$M$3*365.25)),Data!#REF!&lt;=(TODAY()-(Data_Val!$M$2*365.25))),0,1),1))</f>
        <v>#REF!</v>
      </c>
      <c r="BE68" s="12" t="e">
        <f>IF(Data!#REF!="","",IF(Data!$G68="",1,IF(ISNUMBER(MATCH(Data!#REF!,Data_Val!$D$2:$D$10,0)),0,1)))</f>
        <v>#REF!</v>
      </c>
      <c r="BF68" s="17"/>
      <c r="BG68" s="18" t="e">
        <f ca="1">IF(Data!#REF!="","",IF(ISNUMBER(Data!#REF!),IF(AND(Data!#REF!&gt;(TODAY()-(Data_Val!$M$3*365.25)),Data!#REF!&lt;=(TODAY()-(Data_Val!$M$2*365.25))),0,1),1))</f>
        <v>#REF!</v>
      </c>
      <c r="BH68" s="29" t="e">
        <f>IF(Data!#REF!="","",IF(Data!$G68="",1,IF(ISNUMBER(MATCH(Data!#REF!,Data_Val!$D$2:$D$10,0)),0,1)))</f>
        <v>#REF!</v>
      </c>
      <c r="BI68" s="13"/>
      <c r="BJ68" s="21" t="e">
        <f ca="1">IF(Data!#REF!="","",IF(ISNUMBER(Data!#REF!),IF(AND(Data!#REF!&gt;(TODAY()-(Data_Val!$M$3*365.25)),Data!#REF!&lt;=(TODAY()-(Data_Val!$M$2*365.25))),0,1),1))</f>
        <v>#REF!</v>
      </c>
      <c r="BK68" s="13" t="e">
        <f>IF(Data!#REF!="","",IF(Data!$G68="",1,IF(ISNUMBER(MATCH(Data!#REF!,Data_Val!$D$2:$D$10,0)),0,1)))</f>
        <v>#REF!</v>
      </c>
    </row>
    <row r="69" spans="1:63" x14ac:dyDescent="0.25">
      <c r="A69" s="9" t="str">
        <f>IF(Data!B69="","",IF(COUNTIFS(Data!A$1:'Data'!A69,Data!A69)&lt;=1,0,1))</f>
        <v/>
      </c>
      <c r="B69" s="9"/>
      <c r="C69" s="23" t="str">
        <f>IF(Data!C69="","",(IF(ISNUMBER(MATCH("*@*.?*",Data!C69,0)),0,1)+IF(COUNTIFS(Data!C$1:'Data'!C69,Data!C69)&gt;1,1,0)))</f>
        <v/>
      </c>
      <c r="D69" s="9" t="str">
        <f>IF(Data!B69="","",IF(ISNUMBER(Data!D69),IF(AND(Data!D69&gt;999999999,Data!D69&lt;=9999999999),IF(COUNTIFS(Data!D$1:'Data'!D69,Data!D69)&lt;=1,0,1),1),1))</f>
        <v/>
      </c>
      <c r="E69" s="9" t="str">
        <f>IF(Data!B69="","",IF(ISNUMBER(MATCH(Data!E69,Data_Val!$A$2:$A$3,0)),0,1))</f>
        <v/>
      </c>
      <c r="F69" s="9" t="str">
        <f ca="1">IF(Data!B69="","",IF(ISNUMBER(Data!F69),IF(AND(Data!F69&gt;(TODAY()-(Data_Val!$H$3*365.25)),Data!F69&lt;=(TODAY()-(Data_Val!$H$2*365.25))),0,1),1))</f>
        <v/>
      </c>
      <c r="G69" s="15" t="str">
        <f>IF(Data!B69="","",IF(AND(Data!G69="",Data!H69&lt;&gt;""),1,IF(Data!#REF!&lt;&gt;"",0,IF(ISNUMBER(MATCH(Data!G69,Data_Val!$C$2:$C$5,0)),0,1))))</f>
        <v/>
      </c>
      <c r="H69" s="15" t="str">
        <f>IF(Data!B69="","",IF(AND(Data!G69&lt;&gt;"",Data!H69=""),1,IF(Data!#REF!&lt;&gt;"",0,IF(Data!G69="",1,IF(ISNUMBER(MATCH(Data!H69,Data_Val!$D$2:$D$35,0)),0,1)))))</f>
        <v/>
      </c>
      <c r="I69" s="15" t="str">
        <f>IF(Data!B69="","",IF(Data!G69&lt;&gt;"",0,IF(ISNUMBER(MATCH(Data!#REF!,Data_Val!$E$2:$E$12,0)),0,1)))</f>
        <v/>
      </c>
      <c r="J69" s="16" t="e">
        <f>IF(OR(Data!B69="",Data!#REF!=""),"",IF(Data!#REF!="",1,0))</f>
        <v>#REF!</v>
      </c>
      <c r="K69" s="16" t="e">
        <f>IF(OR(Data!B69="",Data!#REF!=""),"",IF(Data!#REF!="",1,0))</f>
        <v>#REF!</v>
      </c>
      <c r="L69" s="16" t="e">
        <f>IF(OR(Data!B69="",Data!#REF!=""),"",IF(ISNUMBER(Data!#REF!),IF(AND(Data!#REF!&gt;Data_Val!$G$2,Data!#REF!&lt;=Data_Val!$G$3),0,1),1))</f>
        <v>#REF!</v>
      </c>
      <c r="M69" s="9" t="e">
        <f>IF(OR(Data!B69="",Data!#REF!=""),"",IF(ISNUMBER(MATCH(Data!#REF!,Data_Val!$F$1:$F$38,0)),0,1))</f>
        <v>#REF!</v>
      </c>
      <c r="N69" s="9" t="e">
        <f>IF(OR(Data!B69="",Data!#REF!=""),"",IF(Data!#REF!="",1,0))</f>
        <v>#REF!</v>
      </c>
      <c r="O69" s="17" t="e">
        <f>IF(Data!#REF!="","",IF(Data!#REF!="",1,0))</f>
        <v>#REF!</v>
      </c>
      <c r="P69" s="17" t="e">
        <f>IF(Data!#REF!="","",IF(ISNUMBER(MATCH(Data!#REF!,Data_Val!$A$2:$A$3,0)),0,1))</f>
        <v>#REF!</v>
      </c>
      <c r="Q69" s="25" t="e">
        <f ca="1">IF(Data!#REF!="","",IF(ISNUMBER(Data!#REF!),IF(AND(Data!#REF!&gt;(TODAY()-(Data_Val!$J$3*365.25)),Data!#REF!&lt;=(TODAY()-(Data_Val!$J$2*365.25))),0,1),1))</f>
        <v>#REF!</v>
      </c>
      <c r="R69" s="17" t="e">
        <f>IF(Data!#REF!="","",IF(ISNUMBER(MATCH(Data!#REF!,Data_Val!$B$2:$B$15,0)),0,1))</f>
        <v>#REF!</v>
      </c>
      <c r="S69" s="11" t="str">
        <f>IF(Data!G69="","",IF(Data!G69=Data_Val!$C$2,IF(Data!M69="",0,1),0))</f>
        <v/>
      </c>
      <c r="T69" s="11" t="str">
        <f>IF(Data!M69="","",IF(ISNUMBER(MATCH(Data!N69,Data_Val!$A$2:$A$3,0)),0,1))</f>
        <v/>
      </c>
      <c r="U69" s="11" t="str">
        <f ca="1">IF(Data!M69="","",IF(ISNUMBER(Data!O69),IF(AND(Data!O69&gt;(TODAY()-(Data_Val!$K$3*365.25)),Data!O69&lt;=(TODAY()-(Data_Val!$K$2*365.25))),0,1),1))</f>
        <v/>
      </c>
      <c r="V69" s="12" t="str">
        <f>IF(Data!G69="","",IF(Data!G69=Data_Val!$C$2,IF(Data!P69="",0,1),0))</f>
        <v/>
      </c>
      <c r="W69" s="12" t="str">
        <f>IF(Data!P69="","",IF(ISNUMBER(MATCH(Data!Q69,Data_Val!$A$2:$A$3,0)),0,1))</f>
        <v/>
      </c>
      <c r="X69" s="26" t="str">
        <f ca="1">IF(Data!P69="","",IF(ISNUMBER(Data!R69),IF(AND(Data!R69&gt;(TODAY()-(Data_Val!$L$3*365.25)),Data!R69&lt;=(TODAY()-(Data_Val!$L$2*365.25))),0,1),1))</f>
        <v/>
      </c>
      <c r="Y69" s="13" t="str">
        <f>IF(Data!$G69="","",IF(Data!$G69=Data_Val!$C$2,IF(Data!S69="",0,1),0))</f>
        <v/>
      </c>
      <c r="Z69" s="13" t="str">
        <f>IF(Data!S69="","",IF(ISNUMBER(MATCH(Data!T69,Data_Val!$A$2:$A$3,0)),0,1))</f>
        <v/>
      </c>
      <c r="AA69" s="28" t="str">
        <f ca="1">IF(Data!S69="","",IF(ISNUMBER(Data!U69),IF(AND(Data!U69&gt;(TODAY()-(Data_Val!$L$3*365.25)),Data!U69&lt;=(TODAY()-(Data_Val!$L$2*365.25))),0,1),1))</f>
        <v/>
      </c>
      <c r="AB69" s="11"/>
      <c r="AC69" s="11" t="e">
        <f>IF(Data!#REF!="","",IF(ISNUMBER(MATCH(Data!#REF!,Data_Val!$A$2:$A$3,0)),0,1))</f>
        <v>#REF!</v>
      </c>
      <c r="AD69" s="11" t="e">
        <f ca="1">IF(Data!#REF!="","",IF(ISNUMBER(Data!#REF!),IF(AND(Data!#REF!&gt;(TODAY()-(Data_Val!$L$3*365.25)),Data!#REF!&lt;=(TODAY()-(Data_Val!$L$2*365.25))),0,1),1))</f>
        <v>#REF!</v>
      </c>
      <c r="AE69" s="11" t="e">
        <f>IF(Data!#REF!="","",IF(Data!$G69="",1,IF(ISNUMBER(MATCH(Data!#REF!,Data_Val!$D$2:$D$10,0)),0,1)))</f>
        <v>#REF!</v>
      </c>
      <c r="AF69" s="12"/>
      <c r="AG69" s="12" t="e">
        <f>IF(Data!#REF!="","",IF(ISNUMBER(MATCH(Data!#REF!,Data_Val!$A$2:$A$3,0)),0,1))</f>
        <v>#REF!</v>
      </c>
      <c r="AH69" s="26" t="e">
        <f ca="1">IF(Data!#REF!="","",IF(ISNUMBER(Data!#REF!),IF(AND(Data!#REF!&gt;(TODAY()-(Data_Val!$L$3*365.25)),Data!#REF!&lt;=(TODAY()-(Data_Val!$L$2*365.25))),0,1),1))</f>
        <v>#REF!</v>
      </c>
      <c r="AI69" s="12" t="e">
        <f>IF(Data!#REF!="","",IF(Data!$G69="",1,IF(ISNUMBER(MATCH(Data!#REF!,Data_Val!$D$2:$D$10,0)),0,1)))</f>
        <v>#REF!</v>
      </c>
      <c r="AJ69" s="17"/>
      <c r="AK69" s="17" t="e">
        <f>IF(Data!#REF!="","",IF(ISNUMBER(MATCH(Data!#REF!,Data_Val!$A$2:$A$3,0)),0,1))</f>
        <v>#REF!</v>
      </c>
      <c r="AL69" s="25" t="e">
        <f ca="1">IF(Data!#REF!="","",IF(ISNUMBER(Data!#REF!),IF(AND(Data!#REF!&gt;(TODAY()-(Data_Val!$L$3*365.25)),Data!#REF!&lt;=(TODAY()-(Data_Val!$L$2*365.25))),0,1),1))</f>
        <v>#REF!</v>
      </c>
      <c r="AM69" s="17" t="e">
        <f>IF(Data!#REF!="","",IF(Data!$G69="",1,IF(ISNUMBER(MATCH(Data!#REF!,Data_Val!$D$2:$D$10,0)),0,1)))</f>
        <v>#REF!</v>
      </c>
      <c r="AN69" s="13"/>
      <c r="AO69" s="28" t="e">
        <f ca="1">IF(Data!#REF!="","",IF(ISNUMBER(Data!#REF!),IF(AND(Data!#REF!&gt;(TODAY()-(Data_Val!$I$3*365.25)),Data!#REF!&lt;=(TODAY()-(Data_Val!$I$2*365.25))),0,1),1))</f>
        <v>#REF!</v>
      </c>
      <c r="AP69" s="13" t="e">
        <f>IF(Data!#REF!="","",IF(Data!$G69="",1,IF(ISNUMBER(MATCH(Data!#REF!,Data_Val!$D$2:$D$10,0)),0,1)))</f>
        <v>#REF!</v>
      </c>
      <c r="AQ69" s="17"/>
      <c r="AR69" s="30" t="e">
        <f ca="1">IF(Data!#REF!="","",IF(ISNUMBER(Data!#REF!),IF(AND(Data!#REF!&gt;(TODAY()-(Data_Val!$I$3*365.25)),Data!#REF!&lt;=(TODAY()-(Data_Val!$I$2*365.25))),0,1),1))</f>
        <v>#REF!</v>
      </c>
      <c r="AS69" s="31" t="e">
        <f>IF(Data!#REF!="","",IF(Data!$G69="",1,IF(ISNUMBER(MATCH(Data!#REF!,Data_Val!$D$2:$D$10,0)),0,1)))</f>
        <v>#REF!</v>
      </c>
      <c r="AT69" s="11"/>
      <c r="AU69" s="11" t="e">
        <f ca="1">IF(Data!#REF!="","",IF(ISNUMBER(Data!#REF!),IF(AND(Data!#REF!&gt;(TODAY()-(Data_Val!$I$3*365.25)),Data!#REF!&lt;=(TODAY()-(Data_Val!$I$2*365.25))),0,1),1))</f>
        <v>#REF!</v>
      </c>
      <c r="AV69" s="11" t="e">
        <f>IF(Data!#REF!="","",IF(Data!$G69="",1,IF(ISNUMBER(MATCH(Data!#REF!,Data_Val!$D$2:$D$10,0)),0,1)))</f>
        <v>#REF!</v>
      </c>
      <c r="AW69" s="12"/>
      <c r="AX69" s="26" t="e">
        <f ca="1">IF(Data!#REF!="","",IF(ISNUMBER(Data!#REF!),IF(AND(Data!#REF!&gt;(TODAY()-(Data_Val!$I$3*365.25)),Data!#REF!&lt;=(TODAY()-(Data_Val!$I$2*365.25))),0,1),1))</f>
        <v>#REF!</v>
      </c>
      <c r="AY69" s="12" t="e">
        <f>IF(Data!#REF!="","",IF(Data!$G69="",1,IF(ISNUMBER(MATCH(Data!#REF!,Data_Val!$D$2:$D$10,0)),0,1)))</f>
        <v>#REF!</v>
      </c>
      <c r="AZ69" s="11"/>
      <c r="BA69" s="19" t="e">
        <f ca="1">IF(Data!#REF!="","",IF(ISNUMBER(Data!#REF!),IF(AND(Data!#REF!&gt;(TODAY()-(Data_Val!$M$3*365.25)),Data!#REF!&lt;=(TODAY()-(Data_Val!$M$2*365.25))),0,1),1))</f>
        <v>#REF!</v>
      </c>
      <c r="BB69" s="11" t="e">
        <f>IF(Data!#REF!="","",IF(Data!$G69="",1,IF(ISNUMBER(MATCH(Data!#REF!,Data_Val!$D$2:$D$10,0)),0,1)))</f>
        <v>#REF!</v>
      </c>
      <c r="BC69" s="12"/>
      <c r="BD69" s="20" t="e">
        <f ca="1">IF(Data!#REF!="","",IF(ISNUMBER(Data!#REF!),IF(AND(Data!#REF!&gt;(TODAY()-(Data_Val!$M$3*365.25)),Data!#REF!&lt;=(TODAY()-(Data_Val!$M$2*365.25))),0,1),1))</f>
        <v>#REF!</v>
      </c>
      <c r="BE69" s="12" t="e">
        <f>IF(Data!#REF!="","",IF(Data!$G69="",1,IF(ISNUMBER(MATCH(Data!#REF!,Data_Val!$D$2:$D$10,0)),0,1)))</f>
        <v>#REF!</v>
      </c>
      <c r="BF69" s="17"/>
      <c r="BG69" s="18" t="e">
        <f ca="1">IF(Data!#REF!="","",IF(ISNUMBER(Data!#REF!),IF(AND(Data!#REF!&gt;(TODAY()-(Data_Val!$M$3*365.25)),Data!#REF!&lt;=(TODAY()-(Data_Val!$M$2*365.25))),0,1),1))</f>
        <v>#REF!</v>
      </c>
      <c r="BH69" s="29" t="e">
        <f>IF(Data!#REF!="","",IF(Data!$G69="",1,IF(ISNUMBER(MATCH(Data!#REF!,Data_Val!$D$2:$D$10,0)),0,1)))</f>
        <v>#REF!</v>
      </c>
      <c r="BI69" s="13"/>
      <c r="BJ69" s="21" t="e">
        <f ca="1">IF(Data!#REF!="","",IF(ISNUMBER(Data!#REF!),IF(AND(Data!#REF!&gt;(TODAY()-(Data_Val!$M$3*365.25)),Data!#REF!&lt;=(TODAY()-(Data_Val!$M$2*365.25))),0,1),1))</f>
        <v>#REF!</v>
      </c>
      <c r="BK69" s="13" t="e">
        <f>IF(Data!#REF!="","",IF(Data!$G69="",1,IF(ISNUMBER(MATCH(Data!#REF!,Data_Val!$D$2:$D$10,0)),0,1)))</f>
        <v>#REF!</v>
      </c>
    </row>
    <row r="70" spans="1:63" x14ac:dyDescent="0.25">
      <c r="A70" s="9" t="str">
        <f>IF(Data!B70="","",IF(COUNTIFS(Data!A$1:'Data'!A70,Data!A70)&lt;=1,0,1))</f>
        <v/>
      </c>
      <c r="B70" s="9"/>
      <c r="C70" s="23" t="str">
        <f>IF(Data!C70="","",(IF(ISNUMBER(MATCH("*@*.?*",Data!C70,0)),0,1)+IF(COUNTIFS(Data!C$1:'Data'!C70,Data!C70)&gt;1,1,0)))</f>
        <v/>
      </c>
      <c r="D70" s="9" t="str">
        <f>IF(Data!B70="","",IF(ISNUMBER(Data!D70),IF(AND(Data!D70&gt;999999999,Data!D70&lt;=9999999999),IF(COUNTIFS(Data!D$1:'Data'!D70,Data!D70)&lt;=1,0,1),1),1))</f>
        <v/>
      </c>
      <c r="E70" s="9" t="str">
        <f>IF(Data!B70="","",IF(ISNUMBER(MATCH(Data!E70,Data_Val!$A$2:$A$3,0)),0,1))</f>
        <v/>
      </c>
      <c r="F70" s="9" t="str">
        <f ca="1">IF(Data!B70="","",IF(ISNUMBER(Data!F70),IF(AND(Data!F70&gt;(TODAY()-(Data_Val!$H$3*365.25)),Data!F70&lt;=(TODAY()-(Data_Val!$H$2*365.25))),0,1),1))</f>
        <v/>
      </c>
      <c r="G70" s="15" t="str">
        <f>IF(Data!B70="","",IF(AND(Data!G70="",Data!H70&lt;&gt;""),1,IF(Data!#REF!&lt;&gt;"",0,IF(ISNUMBER(MATCH(Data!G70,Data_Val!$C$2:$C$5,0)),0,1))))</f>
        <v/>
      </c>
      <c r="H70" s="15" t="str">
        <f>IF(Data!B70="","",IF(AND(Data!G70&lt;&gt;"",Data!H70=""),1,IF(Data!#REF!&lt;&gt;"",0,IF(Data!G70="",1,IF(ISNUMBER(MATCH(Data!H70,Data_Val!$D$2:$D$35,0)),0,1)))))</f>
        <v/>
      </c>
      <c r="I70" s="15" t="str">
        <f>IF(Data!B70="","",IF(Data!G70&lt;&gt;"",0,IF(ISNUMBER(MATCH(Data!#REF!,Data_Val!$E$2:$E$12,0)),0,1)))</f>
        <v/>
      </c>
      <c r="J70" s="16" t="e">
        <f>IF(OR(Data!B70="",Data!#REF!=""),"",IF(Data!#REF!="",1,0))</f>
        <v>#REF!</v>
      </c>
      <c r="K70" s="16" t="e">
        <f>IF(OR(Data!B70="",Data!#REF!=""),"",IF(Data!#REF!="",1,0))</f>
        <v>#REF!</v>
      </c>
      <c r="L70" s="16" t="e">
        <f>IF(OR(Data!B70="",Data!#REF!=""),"",IF(ISNUMBER(Data!#REF!),IF(AND(Data!#REF!&gt;Data_Val!$G$2,Data!#REF!&lt;=Data_Val!$G$3),0,1),1))</f>
        <v>#REF!</v>
      </c>
      <c r="M70" s="9" t="e">
        <f>IF(OR(Data!B70="",Data!#REF!=""),"",IF(ISNUMBER(MATCH(Data!#REF!,Data_Val!$F$1:$F$38,0)),0,1))</f>
        <v>#REF!</v>
      </c>
      <c r="N70" s="9" t="e">
        <f>IF(OR(Data!B70="",Data!#REF!=""),"",IF(Data!#REF!="",1,0))</f>
        <v>#REF!</v>
      </c>
      <c r="O70" s="17" t="e">
        <f>IF(Data!#REF!="","",IF(Data!#REF!="",1,0))</f>
        <v>#REF!</v>
      </c>
      <c r="P70" s="17" t="e">
        <f>IF(Data!#REF!="","",IF(ISNUMBER(MATCH(Data!#REF!,Data_Val!$A$2:$A$3,0)),0,1))</f>
        <v>#REF!</v>
      </c>
      <c r="Q70" s="25" t="e">
        <f ca="1">IF(Data!#REF!="","",IF(ISNUMBER(Data!#REF!),IF(AND(Data!#REF!&gt;(TODAY()-(Data_Val!$J$3*365.25)),Data!#REF!&lt;=(TODAY()-(Data_Val!$J$2*365.25))),0,1),1))</f>
        <v>#REF!</v>
      </c>
      <c r="R70" s="17" t="e">
        <f>IF(Data!#REF!="","",IF(ISNUMBER(MATCH(Data!#REF!,Data_Val!$B$2:$B$15,0)),0,1))</f>
        <v>#REF!</v>
      </c>
      <c r="S70" s="11" t="str">
        <f>IF(Data!G70="","",IF(Data!G70=Data_Val!$C$2,IF(Data!M70="",0,1),0))</f>
        <v/>
      </c>
      <c r="T70" s="11" t="str">
        <f>IF(Data!M70="","",IF(ISNUMBER(MATCH(Data!N70,Data_Val!$A$2:$A$3,0)),0,1))</f>
        <v/>
      </c>
      <c r="U70" s="11" t="str">
        <f ca="1">IF(Data!M70="","",IF(ISNUMBER(Data!O70),IF(AND(Data!O70&gt;(TODAY()-(Data_Val!$K$3*365.25)),Data!O70&lt;=(TODAY()-(Data_Val!$K$2*365.25))),0,1),1))</f>
        <v/>
      </c>
      <c r="V70" s="12" t="str">
        <f>IF(Data!G70="","",IF(Data!G70=Data_Val!$C$2,IF(Data!P70="",0,1),0))</f>
        <v/>
      </c>
      <c r="W70" s="12" t="str">
        <f>IF(Data!P70="","",IF(ISNUMBER(MATCH(Data!Q70,Data_Val!$A$2:$A$3,0)),0,1))</f>
        <v/>
      </c>
      <c r="X70" s="26" t="str">
        <f ca="1">IF(Data!P70="","",IF(ISNUMBER(Data!R70),IF(AND(Data!R70&gt;(TODAY()-(Data_Val!$L$3*365.25)),Data!R70&lt;=(TODAY()-(Data_Val!$L$2*365.25))),0,1),1))</f>
        <v/>
      </c>
      <c r="Y70" s="13" t="str">
        <f>IF(Data!$G70="","",IF(Data!$G70=Data_Val!$C$2,IF(Data!S70="",0,1),0))</f>
        <v/>
      </c>
      <c r="Z70" s="13" t="str">
        <f>IF(Data!S70="","",IF(ISNUMBER(MATCH(Data!T70,Data_Val!$A$2:$A$3,0)),0,1))</f>
        <v/>
      </c>
      <c r="AA70" s="28" t="str">
        <f ca="1">IF(Data!S70="","",IF(ISNUMBER(Data!U70),IF(AND(Data!U70&gt;(TODAY()-(Data_Val!$L$3*365.25)),Data!U70&lt;=(TODAY()-(Data_Val!$L$2*365.25))),0,1),1))</f>
        <v/>
      </c>
      <c r="AB70" s="11"/>
      <c r="AC70" s="11" t="e">
        <f>IF(Data!#REF!="","",IF(ISNUMBER(MATCH(Data!#REF!,Data_Val!$A$2:$A$3,0)),0,1))</f>
        <v>#REF!</v>
      </c>
      <c r="AD70" s="11" t="e">
        <f ca="1">IF(Data!#REF!="","",IF(ISNUMBER(Data!#REF!),IF(AND(Data!#REF!&gt;(TODAY()-(Data_Val!$L$3*365.25)),Data!#REF!&lt;=(TODAY()-(Data_Val!$L$2*365.25))),0,1),1))</f>
        <v>#REF!</v>
      </c>
      <c r="AE70" s="11" t="e">
        <f>IF(Data!#REF!="","",IF(Data!$G70="",1,IF(ISNUMBER(MATCH(Data!#REF!,Data_Val!$D$2:$D$10,0)),0,1)))</f>
        <v>#REF!</v>
      </c>
      <c r="AF70" s="12"/>
      <c r="AG70" s="12" t="e">
        <f>IF(Data!#REF!="","",IF(ISNUMBER(MATCH(Data!#REF!,Data_Val!$A$2:$A$3,0)),0,1))</f>
        <v>#REF!</v>
      </c>
      <c r="AH70" s="26" t="e">
        <f ca="1">IF(Data!#REF!="","",IF(ISNUMBER(Data!#REF!),IF(AND(Data!#REF!&gt;(TODAY()-(Data_Val!$L$3*365.25)),Data!#REF!&lt;=(TODAY()-(Data_Val!$L$2*365.25))),0,1),1))</f>
        <v>#REF!</v>
      </c>
      <c r="AI70" s="12" t="e">
        <f>IF(Data!#REF!="","",IF(Data!$G70="",1,IF(ISNUMBER(MATCH(Data!#REF!,Data_Val!$D$2:$D$10,0)),0,1)))</f>
        <v>#REF!</v>
      </c>
      <c r="AJ70" s="17"/>
      <c r="AK70" s="17" t="e">
        <f>IF(Data!#REF!="","",IF(ISNUMBER(MATCH(Data!#REF!,Data_Val!$A$2:$A$3,0)),0,1))</f>
        <v>#REF!</v>
      </c>
      <c r="AL70" s="25" t="e">
        <f ca="1">IF(Data!#REF!="","",IF(ISNUMBER(Data!#REF!),IF(AND(Data!#REF!&gt;(TODAY()-(Data_Val!$L$3*365.25)),Data!#REF!&lt;=(TODAY()-(Data_Val!$L$2*365.25))),0,1),1))</f>
        <v>#REF!</v>
      </c>
      <c r="AM70" s="17" t="e">
        <f>IF(Data!#REF!="","",IF(Data!$G70="",1,IF(ISNUMBER(MATCH(Data!#REF!,Data_Val!$D$2:$D$10,0)),0,1)))</f>
        <v>#REF!</v>
      </c>
      <c r="AN70" s="13"/>
      <c r="AO70" s="28" t="e">
        <f ca="1">IF(Data!#REF!="","",IF(ISNUMBER(Data!#REF!),IF(AND(Data!#REF!&gt;(TODAY()-(Data_Val!$I$3*365.25)),Data!#REF!&lt;=(TODAY()-(Data_Val!$I$2*365.25))),0,1),1))</f>
        <v>#REF!</v>
      </c>
      <c r="AP70" s="13" t="e">
        <f>IF(Data!#REF!="","",IF(Data!$G70="",1,IF(ISNUMBER(MATCH(Data!#REF!,Data_Val!$D$2:$D$10,0)),0,1)))</f>
        <v>#REF!</v>
      </c>
      <c r="AQ70" s="17"/>
      <c r="AR70" s="30" t="e">
        <f ca="1">IF(Data!#REF!="","",IF(ISNUMBER(Data!#REF!),IF(AND(Data!#REF!&gt;(TODAY()-(Data_Val!$I$3*365.25)),Data!#REF!&lt;=(TODAY()-(Data_Val!$I$2*365.25))),0,1),1))</f>
        <v>#REF!</v>
      </c>
      <c r="AS70" s="31" t="e">
        <f>IF(Data!#REF!="","",IF(Data!$G70="",1,IF(ISNUMBER(MATCH(Data!#REF!,Data_Val!$D$2:$D$10,0)),0,1)))</f>
        <v>#REF!</v>
      </c>
      <c r="AT70" s="11"/>
      <c r="AU70" s="11" t="e">
        <f ca="1">IF(Data!#REF!="","",IF(ISNUMBER(Data!#REF!),IF(AND(Data!#REF!&gt;(TODAY()-(Data_Val!$I$3*365.25)),Data!#REF!&lt;=(TODAY()-(Data_Val!$I$2*365.25))),0,1),1))</f>
        <v>#REF!</v>
      </c>
      <c r="AV70" s="11" t="e">
        <f>IF(Data!#REF!="","",IF(Data!$G70="",1,IF(ISNUMBER(MATCH(Data!#REF!,Data_Val!$D$2:$D$10,0)),0,1)))</f>
        <v>#REF!</v>
      </c>
      <c r="AW70" s="12"/>
      <c r="AX70" s="26" t="e">
        <f ca="1">IF(Data!#REF!="","",IF(ISNUMBER(Data!#REF!),IF(AND(Data!#REF!&gt;(TODAY()-(Data_Val!$I$3*365.25)),Data!#REF!&lt;=(TODAY()-(Data_Val!$I$2*365.25))),0,1),1))</f>
        <v>#REF!</v>
      </c>
      <c r="AY70" s="12" t="e">
        <f>IF(Data!#REF!="","",IF(Data!$G70="",1,IF(ISNUMBER(MATCH(Data!#REF!,Data_Val!$D$2:$D$10,0)),0,1)))</f>
        <v>#REF!</v>
      </c>
      <c r="AZ70" s="11"/>
      <c r="BA70" s="19" t="e">
        <f ca="1">IF(Data!#REF!="","",IF(ISNUMBER(Data!#REF!),IF(AND(Data!#REF!&gt;(TODAY()-(Data_Val!$M$3*365.25)),Data!#REF!&lt;=(TODAY()-(Data_Val!$M$2*365.25))),0,1),1))</f>
        <v>#REF!</v>
      </c>
      <c r="BB70" s="11" t="e">
        <f>IF(Data!#REF!="","",IF(Data!$G70="",1,IF(ISNUMBER(MATCH(Data!#REF!,Data_Val!$D$2:$D$10,0)),0,1)))</f>
        <v>#REF!</v>
      </c>
      <c r="BC70" s="12"/>
      <c r="BD70" s="20" t="e">
        <f ca="1">IF(Data!#REF!="","",IF(ISNUMBER(Data!#REF!),IF(AND(Data!#REF!&gt;(TODAY()-(Data_Val!$M$3*365.25)),Data!#REF!&lt;=(TODAY()-(Data_Val!$M$2*365.25))),0,1),1))</f>
        <v>#REF!</v>
      </c>
      <c r="BE70" s="12" t="e">
        <f>IF(Data!#REF!="","",IF(Data!$G70="",1,IF(ISNUMBER(MATCH(Data!#REF!,Data_Val!$D$2:$D$10,0)),0,1)))</f>
        <v>#REF!</v>
      </c>
      <c r="BF70" s="17"/>
      <c r="BG70" s="18" t="e">
        <f ca="1">IF(Data!#REF!="","",IF(ISNUMBER(Data!#REF!),IF(AND(Data!#REF!&gt;(TODAY()-(Data_Val!$M$3*365.25)),Data!#REF!&lt;=(TODAY()-(Data_Val!$M$2*365.25))),0,1),1))</f>
        <v>#REF!</v>
      </c>
      <c r="BH70" s="29" t="e">
        <f>IF(Data!#REF!="","",IF(Data!$G70="",1,IF(ISNUMBER(MATCH(Data!#REF!,Data_Val!$D$2:$D$10,0)),0,1)))</f>
        <v>#REF!</v>
      </c>
      <c r="BI70" s="13"/>
      <c r="BJ70" s="21" t="e">
        <f ca="1">IF(Data!#REF!="","",IF(ISNUMBER(Data!#REF!),IF(AND(Data!#REF!&gt;(TODAY()-(Data_Val!$M$3*365.25)),Data!#REF!&lt;=(TODAY()-(Data_Val!$M$2*365.25))),0,1),1))</f>
        <v>#REF!</v>
      </c>
      <c r="BK70" s="13" t="e">
        <f>IF(Data!#REF!="","",IF(Data!$G70="",1,IF(ISNUMBER(MATCH(Data!#REF!,Data_Val!$D$2:$D$10,0)),0,1)))</f>
        <v>#REF!</v>
      </c>
    </row>
    <row r="71" spans="1:63" x14ac:dyDescent="0.25">
      <c r="A71" s="9" t="str">
        <f>IF(Data!B71="","",IF(COUNTIFS(Data!A$1:'Data'!A71,Data!A71)&lt;=1,0,1))</f>
        <v/>
      </c>
      <c r="B71" s="9"/>
      <c r="C71" s="23" t="str">
        <f>IF(Data!C71="","",(IF(ISNUMBER(MATCH("*@*.?*",Data!C71,0)),0,1)+IF(COUNTIFS(Data!C$1:'Data'!C71,Data!C71)&gt;1,1,0)))</f>
        <v/>
      </c>
      <c r="D71" s="9" t="str">
        <f>IF(Data!B71="","",IF(ISNUMBER(Data!D71),IF(AND(Data!D71&gt;999999999,Data!D71&lt;=9999999999),IF(COUNTIFS(Data!D$1:'Data'!D71,Data!D71)&lt;=1,0,1),1),1))</f>
        <v/>
      </c>
      <c r="E71" s="9" t="str">
        <f>IF(Data!B71="","",IF(ISNUMBER(MATCH(Data!E71,Data_Val!$A$2:$A$3,0)),0,1))</f>
        <v/>
      </c>
      <c r="F71" s="9" t="str">
        <f ca="1">IF(Data!B71="","",IF(ISNUMBER(Data!F71),IF(AND(Data!F71&gt;(TODAY()-(Data_Val!$H$3*365.25)),Data!F71&lt;=(TODAY()-(Data_Val!$H$2*365.25))),0,1),1))</f>
        <v/>
      </c>
      <c r="G71" s="15" t="str">
        <f>IF(Data!B71="","",IF(AND(Data!G71="",Data!H71&lt;&gt;""),1,IF(Data!#REF!&lt;&gt;"",0,IF(ISNUMBER(MATCH(Data!G71,Data_Val!$C$2:$C$5,0)),0,1))))</f>
        <v/>
      </c>
      <c r="H71" s="15" t="str">
        <f>IF(Data!B71="","",IF(AND(Data!G71&lt;&gt;"",Data!H71=""),1,IF(Data!#REF!&lt;&gt;"",0,IF(Data!G71="",1,IF(ISNUMBER(MATCH(Data!H71,Data_Val!$D$2:$D$35,0)),0,1)))))</f>
        <v/>
      </c>
      <c r="I71" s="15" t="str">
        <f>IF(Data!B71="","",IF(Data!G71&lt;&gt;"",0,IF(ISNUMBER(MATCH(Data!#REF!,Data_Val!$E$2:$E$12,0)),0,1)))</f>
        <v/>
      </c>
      <c r="J71" s="16" t="e">
        <f>IF(OR(Data!B71="",Data!#REF!=""),"",IF(Data!#REF!="",1,0))</f>
        <v>#REF!</v>
      </c>
      <c r="K71" s="16" t="e">
        <f>IF(OR(Data!B71="",Data!#REF!=""),"",IF(Data!#REF!="",1,0))</f>
        <v>#REF!</v>
      </c>
      <c r="L71" s="16" t="e">
        <f>IF(OR(Data!B71="",Data!#REF!=""),"",IF(ISNUMBER(Data!#REF!),IF(AND(Data!#REF!&gt;Data_Val!$G$2,Data!#REF!&lt;=Data_Val!$G$3),0,1),1))</f>
        <v>#REF!</v>
      </c>
      <c r="M71" s="9" t="e">
        <f>IF(OR(Data!B71="",Data!#REF!=""),"",IF(ISNUMBER(MATCH(Data!#REF!,Data_Val!$F$1:$F$38,0)),0,1))</f>
        <v>#REF!</v>
      </c>
      <c r="N71" s="9" t="e">
        <f>IF(OR(Data!B71="",Data!#REF!=""),"",IF(Data!#REF!="",1,0))</f>
        <v>#REF!</v>
      </c>
      <c r="O71" s="17" t="e">
        <f>IF(Data!#REF!="","",IF(Data!#REF!="",1,0))</f>
        <v>#REF!</v>
      </c>
      <c r="P71" s="17" t="e">
        <f>IF(Data!#REF!="","",IF(ISNUMBER(MATCH(Data!#REF!,Data_Val!$A$2:$A$3,0)),0,1))</f>
        <v>#REF!</v>
      </c>
      <c r="Q71" s="25" t="e">
        <f ca="1">IF(Data!#REF!="","",IF(ISNUMBER(Data!#REF!),IF(AND(Data!#REF!&gt;(TODAY()-(Data_Val!$J$3*365.25)),Data!#REF!&lt;=(TODAY()-(Data_Val!$J$2*365.25))),0,1),1))</f>
        <v>#REF!</v>
      </c>
      <c r="R71" s="17" t="e">
        <f>IF(Data!#REF!="","",IF(ISNUMBER(MATCH(Data!#REF!,Data_Val!$B$2:$B$15,0)),0,1))</f>
        <v>#REF!</v>
      </c>
      <c r="S71" s="11" t="str">
        <f>IF(Data!G71="","",IF(Data!G71=Data_Val!$C$2,IF(Data!M71="",0,1),0))</f>
        <v/>
      </c>
      <c r="T71" s="11" t="str">
        <f>IF(Data!M71="","",IF(ISNUMBER(MATCH(Data!N71,Data_Val!$A$2:$A$3,0)),0,1))</f>
        <v/>
      </c>
      <c r="U71" s="11" t="str">
        <f ca="1">IF(Data!M71="","",IF(ISNUMBER(Data!O71),IF(AND(Data!O71&gt;(TODAY()-(Data_Val!$K$3*365.25)),Data!O71&lt;=(TODAY()-(Data_Val!$K$2*365.25))),0,1),1))</f>
        <v/>
      </c>
      <c r="V71" s="12" t="str">
        <f>IF(Data!G71="","",IF(Data!G71=Data_Val!$C$2,IF(Data!P71="",0,1),0))</f>
        <v/>
      </c>
      <c r="W71" s="12" t="str">
        <f>IF(Data!P71="","",IF(ISNUMBER(MATCH(Data!Q71,Data_Val!$A$2:$A$3,0)),0,1))</f>
        <v/>
      </c>
      <c r="X71" s="26" t="str">
        <f ca="1">IF(Data!P71="","",IF(ISNUMBER(Data!R71),IF(AND(Data!R71&gt;(TODAY()-(Data_Val!$L$3*365.25)),Data!R71&lt;=(TODAY()-(Data_Val!$L$2*365.25))),0,1),1))</f>
        <v/>
      </c>
      <c r="Y71" s="13" t="str">
        <f>IF(Data!$G71="","",IF(Data!$G71=Data_Val!$C$2,IF(Data!S71="",0,1),0))</f>
        <v/>
      </c>
      <c r="Z71" s="13" t="str">
        <f>IF(Data!S71="","",IF(ISNUMBER(MATCH(Data!T71,Data_Val!$A$2:$A$3,0)),0,1))</f>
        <v/>
      </c>
      <c r="AA71" s="28" t="str">
        <f ca="1">IF(Data!S71="","",IF(ISNUMBER(Data!U71),IF(AND(Data!U71&gt;(TODAY()-(Data_Val!$L$3*365.25)),Data!U71&lt;=(TODAY()-(Data_Val!$L$2*365.25))),0,1),1))</f>
        <v/>
      </c>
      <c r="AB71" s="11"/>
      <c r="AC71" s="11" t="e">
        <f>IF(Data!#REF!="","",IF(ISNUMBER(MATCH(Data!#REF!,Data_Val!$A$2:$A$3,0)),0,1))</f>
        <v>#REF!</v>
      </c>
      <c r="AD71" s="11" t="e">
        <f ca="1">IF(Data!#REF!="","",IF(ISNUMBER(Data!#REF!),IF(AND(Data!#REF!&gt;(TODAY()-(Data_Val!$L$3*365.25)),Data!#REF!&lt;=(TODAY()-(Data_Val!$L$2*365.25))),0,1),1))</f>
        <v>#REF!</v>
      </c>
      <c r="AE71" s="11" t="e">
        <f>IF(Data!#REF!="","",IF(Data!$G71="",1,IF(ISNUMBER(MATCH(Data!#REF!,Data_Val!$D$2:$D$10,0)),0,1)))</f>
        <v>#REF!</v>
      </c>
      <c r="AF71" s="12"/>
      <c r="AG71" s="12" t="e">
        <f>IF(Data!#REF!="","",IF(ISNUMBER(MATCH(Data!#REF!,Data_Val!$A$2:$A$3,0)),0,1))</f>
        <v>#REF!</v>
      </c>
      <c r="AH71" s="26" t="e">
        <f ca="1">IF(Data!#REF!="","",IF(ISNUMBER(Data!#REF!),IF(AND(Data!#REF!&gt;(TODAY()-(Data_Val!$L$3*365.25)),Data!#REF!&lt;=(TODAY()-(Data_Val!$L$2*365.25))),0,1),1))</f>
        <v>#REF!</v>
      </c>
      <c r="AI71" s="12" t="e">
        <f>IF(Data!#REF!="","",IF(Data!$G71="",1,IF(ISNUMBER(MATCH(Data!#REF!,Data_Val!$D$2:$D$10,0)),0,1)))</f>
        <v>#REF!</v>
      </c>
      <c r="AJ71" s="17"/>
      <c r="AK71" s="17" t="e">
        <f>IF(Data!#REF!="","",IF(ISNUMBER(MATCH(Data!#REF!,Data_Val!$A$2:$A$3,0)),0,1))</f>
        <v>#REF!</v>
      </c>
      <c r="AL71" s="25" t="e">
        <f ca="1">IF(Data!#REF!="","",IF(ISNUMBER(Data!#REF!),IF(AND(Data!#REF!&gt;(TODAY()-(Data_Val!$L$3*365.25)),Data!#REF!&lt;=(TODAY()-(Data_Val!$L$2*365.25))),0,1),1))</f>
        <v>#REF!</v>
      </c>
      <c r="AM71" s="17" t="e">
        <f>IF(Data!#REF!="","",IF(Data!$G71="",1,IF(ISNUMBER(MATCH(Data!#REF!,Data_Val!$D$2:$D$10,0)),0,1)))</f>
        <v>#REF!</v>
      </c>
      <c r="AN71" s="13"/>
      <c r="AO71" s="28" t="e">
        <f ca="1">IF(Data!#REF!="","",IF(ISNUMBER(Data!#REF!),IF(AND(Data!#REF!&gt;(TODAY()-(Data_Val!$I$3*365.25)),Data!#REF!&lt;=(TODAY()-(Data_Val!$I$2*365.25))),0,1),1))</f>
        <v>#REF!</v>
      </c>
      <c r="AP71" s="13" t="e">
        <f>IF(Data!#REF!="","",IF(Data!$G71="",1,IF(ISNUMBER(MATCH(Data!#REF!,Data_Val!$D$2:$D$10,0)),0,1)))</f>
        <v>#REF!</v>
      </c>
      <c r="AQ71" s="17"/>
      <c r="AR71" s="30" t="e">
        <f ca="1">IF(Data!#REF!="","",IF(ISNUMBER(Data!#REF!),IF(AND(Data!#REF!&gt;(TODAY()-(Data_Val!$I$3*365.25)),Data!#REF!&lt;=(TODAY()-(Data_Val!$I$2*365.25))),0,1),1))</f>
        <v>#REF!</v>
      </c>
      <c r="AS71" s="31" t="e">
        <f>IF(Data!#REF!="","",IF(Data!$G71="",1,IF(ISNUMBER(MATCH(Data!#REF!,Data_Val!$D$2:$D$10,0)),0,1)))</f>
        <v>#REF!</v>
      </c>
      <c r="AT71" s="11"/>
      <c r="AU71" s="11" t="e">
        <f ca="1">IF(Data!#REF!="","",IF(ISNUMBER(Data!#REF!),IF(AND(Data!#REF!&gt;(TODAY()-(Data_Val!$I$3*365.25)),Data!#REF!&lt;=(TODAY()-(Data_Val!$I$2*365.25))),0,1),1))</f>
        <v>#REF!</v>
      </c>
      <c r="AV71" s="11" t="e">
        <f>IF(Data!#REF!="","",IF(Data!$G71="",1,IF(ISNUMBER(MATCH(Data!#REF!,Data_Val!$D$2:$D$10,0)),0,1)))</f>
        <v>#REF!</v>
      </c>
      <c r="AW71" s="12"/>
      <c r="AX71" s="26" t="e">
        <f ca="1">IF(Data!#REF!="","",IF(ISNUMBER(Data!#REF!),IF(AND(Data!#REF!&gt;(TODAY()-(Data_Val!$I$3*365.25)),Data!#REF!&lt;=(TODAY()-(Data_Val!$I$2*365.25))),0,1),1))</f>
        <v>#REF!</v>
      </c>
      <c r="AY71" s="12" t="e">
        <f>IF(Data!#REF!="","",IF(Data!$G71="",1,IF(ISNUMBER(MATCH(Data!#REF!,Data_Val!$D$2:$D$10,0)),0,1)))</f>
        <v>#REF!</v>
      </c>
      <c r="AZ71" s="11"/>
      <c r="BA71" s="19" t="e">
        <f ca="1">IF(Data!#REF!="","",IF(ISNUMBER(Data!#REF!),IF(AND(Data!#REF!&gt;(TODAY()-(Data_Val!$M$3*365.25)),Data!#REF!&lt;=(TODAY()-(Data_Val!$M$2*365.25))),0,1),1))</f>
        <v>#REF!</v>
      </c>
      <c r="BB71" s="11" t="e">
        <f>IF(Data!#REF!="","",IF(Data!$G71="",1,IF(ISNUMBER(MATCH(Data!#REF!,Data_Val!$D$2:$D$10,0)),0,1)))</f>
        <v>#REF!</v>
      </c>
      <c r="BC71" s="12"/>
      <c r="BD71" s="20" t="e">
        <f ca="1">IF(Data!#REF!="","",IF(ISNUMBER(Data!#REF!),IF(AND(Data!#REF!&gt;(TODAY()-(Data_Val!$M$3*365.25)),Data!#REF!&lt;=(TODAY()-(Data_Val!$M$2*365.25))),0,1),1))</f>
        <v>#REF!</v>
      </c>
      <c r="BE71" s="12" t="e">
        <f>IF(Data!#REF!="","",IF(Data!$G71="",1,IF(ISNUMBER(MATCH(Data!#REF!,Data_Val!$D$2:$D$10,0)),0,1)))</f>
        <v>#REF!</v>
      </c>
      <c r="BF71" s="17"/>
      <c r="BG71" s="18" t="e">
        <f ca="1">IF(Data!#REF!="","",IF(ISNUMBER(Data!#REF!),IF(AND(Data!#REF!&gt;(TODAY()-(Data_Val!$M$3*365.25)),Data!#REF!&lt;=(TODAY()-(Data_Val!$M$2*365.25))),0,1),1))</f>
        <v>#REF!</v>
      </c>
      <c r="BH71" s="29" t="e">
        <f>IF(Data!#REF!="","",IF(Data!$G71="",1,IF(ISNUMBER(MATCH(Data!#REF!,Data_Val!$D$2:$D$10,0)),0,1)))</f>
        <v>#REF!</v>
      </c>
      <c r="BI71" s="13"/>
      <c r="BJ71" s="21" t="e">
        <f ca="1">IF(Data!#REF!="","",IF(ISNUMBER(Data!#REF!),IF(AND(Data!#REF!&gt;(TODAY()-(Data_Val!$M$3*365.25)),Data!#REF!&lt;=(TODAY()-(Data_Val!$M$2*365.25))),0,1),1))</f>
        <v>#REF!</v>
      </c>
      <c r="BK71" s="13" t="e">
        <f>IF(Data!#REF!="","",IF(Data!$G71="",1,IF(ISNUMBER(MATCH(Data!#REF!,Data_Val!$D$2:$D$10,0)),0,1)))</f>
        <v>#REF!</v>
      </c>
    </row>
    <row r="72" spans="1:63" x14ac:dyDescent="0.25">
      <c r="A72" s="9" t="str">
        <f>IF(Data!B72="","",IF(COUNTIFS(Data!A$1:'Data'!A72,Data!A72)&lt;=1,0,1))</f>
        <v/>
      </c>
      <c r="B72" s="9"/>
      <c r="C72" s="23" t="str">
        <f>IF(Data!C72="","",(IF(ISNUMBER(MATCH("*@*.?*",Data!C72,0)),0,1)+IF(COUNTIFS(Data!C$1:'Data'!C72,Data!C72)&gt;1,1,0)))</f>
        <v/>
      </c>
      <c r="D72" s="9" t="str">
        <f>IF(Data!B72="","",IF(ISNUMBER(Data!D72),IF(AND(Data!D72&gt;999999999,Data!D72&lt;=9999999999),IF(COUNTIFS(Data!D$1:'Data'!D72,Data!D72)&lt;=1,0,1),1),1))</f>
        <v/>
      </c>
      <c r="E72" s="9" t="str">
        <f>IF(Data!B72="","",IF(ISNUMBER(MATCH(Data!E72,Data_Val!$A$2:$A$3,0)),0,1))</f>
        <v/>
      </c>
      <c r="F72" s="9" t="str">
        <f ca="1">IF(Data!B72="","",IF(ISNUMBER(Data!F72),IF(AND(Data!F72&gt;(TODAY()-(Data_Val!$H$3*365.25)),Data!F72&lt;=(TODAY()-(Data_Val!$H$2*365.25))),0,1),1))</f>
        <v/>
      </c>
      <c r="G72" s="15" t="str">
        <f>IF(Data!B72="","",IF(AND(Data!G72="",Data!H72&lt;&gt;""),1,IF(Data!#REF!&lt;&gt;"",0,IF(ISNUMBER(MATCH(Data!G72,Data_Val!$C$2:$C$5,0)),0,1))))</f>
        <v/>
      </c>
      <c r="H72" s="15" t="str">
        <f>IF(Data!B72="","",IF(AND(Data!G72&lt;&gt;"",Data!H72=""),1,IF(Data!#REF!&lt;&gt;"",0,IF(Data!G72="",1,IF(ISNUMBER(MATCH(Data!H72,Data_Val!$D$2:$D$35,0)),0,1)))))</f>
        <v/>
      </c>
      <c r="I72" s="15" t="str">
        <f>IF(Data!B72="","",IF(Data!G72&lt;&gt;"",0,IF(ISNUMBER(MATCH(Data!#REF!,Data_Val!$E$2:$E$12,0)),0,1)))</f>
        <v/>
      </c>
      <c r="J72" s="16" t="e">
        <f>IF(OR(Data!B72="",Data!#REF!=""),"",IF(Data!#REF!="",1,0))</f>
        <v>#REF!</v>
      </c>
      <c r="K72" s="16" t="e">
        <f>IF(OR(Data!B72="",Data!#REF!=""),"",IF(Data!#REF!="",1,0))</f>
        <v>#REF!</v>
      </c>
      <c r="L72" s="16" t="e">
        <f>IF(OR(Data!B72="",Data!#REF!=""),"",IF(ISNUMBER(Data!#REF!),IF(AND(Data!#REF!&gt;Data_Val!$G$2,Data!#REF!&lt;=Data_Val!$G$3),0,1),1))</f>
        <v>#REF!</v>
      </c>
      <c r="M72" s="9" t="e">
        <f>IF(OR(Data!B72="",Data!#REF!=""),"",IF(ISNUMBER(MATCH(Data!#REF!,Data_Val!$F$1:$F$38,0)),0,1))</f>
        <v>#REF!</v>
      </c>
      <c r="N72" s="9" t="e">
        <f>IF(OR(Data!B72="",Data!#REF!=""),"",IF(Data!#REF!="",1,0))</f>
        <v>#REF!</v>
      </c>
      <c r="O72" s="17" t="e">
        <f>IF(Data!#REF!="","",IF(Data!#REF!="",1,0))</f>
        <v>#REF!</v>
      </c>
      <c r="P72" s="17" t="e">
        <f>IF(Data!#REF!="","",IF(ISNUMBER(MATCH(Data!#REF!,Data_Val!$A$2:$A$3,0)),0,1))</f>
        <v>#REF!</v>
      </c>
      <c r="Q72" s="25" t="e">
        <f ca="1">IF(Data!#REF!="","",IF(ISNUMBER(Data!#REF!),IF(AND(Data!#REF!&gt;(TODAY()-(Data_Val!$J$3*365.25)),Data!#REF!&lt;=(TODAY()-(Data_Val!$J$2*365.25))),0,1),1))</f>
        <v>#REF!</v>
      </c>
      <c r="R72" s="17" t="e">
        <f>IF(Data!#REF!="","",IF(ISNUMBER(MATCH(Data!#REF!,Data_Val!$B$2:$B$15,0)),0,1))</f>
        <v>#REF!</v>
      </c>
      <c r="S72" s="11" t="str">
        <f>IF(Data!G72="","",IF(Data!G72=Data_Val!$C$2,IF(Data!M72="",0,1),0))</f>
        <v/>
      </c>
      <c r="T72" s="11" t="str">
        <f>IF(Data!M72="","",IF(ISNUMBER(MATCH(Data!N72,Data_Val!$A$2:$A$3,0)),0,1))</f>
        <v/>
      </c>
      <c r="U72" s="11" t="str">
        <f ca="1">IF(Data!M72="","",IF(ISNUMBER(Data!O72),IF(AND(Data!O72&gt;(TODAY()-(Data_Val!$K$3*365.25)),Data!O72&lt;=(TODAY()-(Data_Val!$K$2*365.25))),0,1),1))</f>
        <v/>
      </c>
      <c r="V72" s="12" t="str">
        <f>IF(Data!G72="","",IF(Data!G72=Data_Val!$C$2,IF(Data!P72="",0,1),0))</f>
        <v/>
      </c>
      <c r="W72" s="12" t="str">
        <f>IF(Data!P72="","",IF(ISNUMBER(MATCH(Data!Q72,Data_Val!$A$2:$A$3,0)),0,1))</f>
        <v/>
      </c>
      <c r="X72" s="26" t="str">
        <f ca="1">IF(Data!P72="","",IF(ISNUMBER(Data!R72),IF(AND(Data!R72&gt;(TODAY()-(Data_Val!$L$3*365.25)),Data!R72&lt;=(TODAY()-(Data_Val!$L$2*365.25))),0,1),1))</f>
        <v/>
      </c>
      <c r="Y72" s="13" t="str">
        <f>IF(Data!$G72="","",IF(Data!$G72=Data_Val!$C$2,IF(Data!S72="",0,1),0))</f>
        <v/>
      </c>
      <c r="Z72" s="13" t="str">
        <f>IF(Data!S72="","",IF(ISNUMBER(MATCH(Data!T72,Data_Val!$A$2:$A$3,0)),0,1))</f>
        <v/>
      </c>
      <c r="AA72" s="28" t="str">
        <f ca="1">IF(Data!S72="","",IF(ISNUMBER(Data!U72),IF(AND(Data!U72&gt;(TODAY()-(Data_Val!$L$3*365.25)),Data!U72&lt;=(TODAY()-(Data_Val!$L$2*365.25))),0,1),1))</f>
        <v/>
      </c>
      <c r="AB72" s="11"/>
      <c r="AC72" s="11" t="e">
        <f>IF(Data!#REF!="","",IF(ISNUMBER(MATCH(Data!#REF!,Data_Val!$A$2:$A$3,0)),0,1))</f>
        <v>#REF!</v>
      </c>
      <c r="AD72" s="11" t="e">
        <f ca="1">IF(Data!#REF!="","",IF(ISNUMBER(Data!#REF!),IF(AND(Data!#REF!&gt;(TODAY()-(Data_Val!$L$3*365.25)),Data!#REF!&lt;=(TODAY()-(Data_Val!$L$2*365.25))),0,1),1))</f>
        <v>#REF!</v>
      </c>
      <c r="AE72" s="11" t="e">
        <f>IF(Data!#REF!="","",IF(Data!$G72="",1,IF(ISNUMBER(MATCH(Data!#REF!,Data_Val!$D$2:$D$10,0)),0,1)))</f>
        <v>#REF!</v>
      </c>
      <c r="AF72" s="12"/>
      <c r="AG72" s="12" t="e">
        <f>IF(Data!#REF!="","",IF(ISNUMBER(MATCH(Data!#REF!,Data_Val!$A$2:$A$3,0)),0,1))</f>
        <v>#REF!</v>
      </c>
      <c r="AH72" s="26" t="e">
        <f ca="1">IF(Data!#REF!="","",IF(ISNUMBER(Data!#REF!),IF(AND(Data!#REF!&gt;(TODAY()-(Data_Val!$L$3*365.25)),Data!#REF!&lt;=(TODAY()-(Data_Val!$L$2*365.25))),0,1),1))</f>
        <v>#REF!</v>
      </c>
      <c r="AI72" s="12" t="e">
        <f>IF(Data!#REF!="","",IF(Data!$G72="",1,IF(ISNUMBER(MATCH(Data!#REF!,Data_Val!$D$2:$D$10,0)),0,1)))</f>
        <v>#REF!</v>
      </c>
      <c r="AJ72" s="17"/>
      <c r="AK72" s="17" t="e">
        <f>IF(Data!#REF!="","",IF(ISNUMBER(MATCH(Data!#REF!,Data_Val!$A$2:$A$3,0)),0,1))</f>
        <v>#REF!</v>
      </c>
      <c r="AL72" s="25" t="e">
        <f ca="1">IF(Data!#REF!="","",IF(ISNUMBER(Data!#REF!),IF(AND(Data!#REF!&gt;(TODAY()-(Data_Val!$L$3*365.25)),Data!#REF!&lt;=(TODAY()-(Data_Val!$L$2*365.25))),0,1),1))</f>
        <v>#REF!</v>
      </c>
      <c r="AM72" s="17" t="e">
        <f>IF(Data!#REF!="","",IF(Data!$G72="",1,IF(ISNUMBER(MATCH(Data!#REF!,Data_Val!$D$2:$D$10,0)),0,1)))</f>
        <v>#REF!</v>
      </c>
      <c r="AN72" s="13"/>
      <c r="AO72" s="28" t="e">
        <f ca="1">IF(Data!#REF!="","",IF(ISNUMBER(Data!#REF!),IF(AND(Data!#REF!&gt;(TODAY()-(Data_Val!$I$3*365.25)),Data!#REF!&lt;=(TODAY()-(Data_Val!$I$2*365.25))),0,1),1))</f>
        <v>#REF!</v>
      </c>
      <c r="AP72" s="13" t="e">
        <f>IF(Data!#REF!="","",IF(Data!$G72="",1,IF(ISNUMBER(MATCH(Data!#REF!,Data_Val!$D$2:$D$10,0)),0,1)))</f>
        <v>#REF!</v>
      </c>
      <c r="AQ72" s="17"/>
      <c r="AR72" s="30" t="e">
        <f ca="1">IF(Data!#REF!="","",IF(ISNUMBER(Data!#REF!),IF(AND(Data!#REF!&gt;(TODAY()-(Data_Val!$I$3*365.25)),Data!#REF!&lt;=(TODAY()-(Data_Val!$I$2*365.25))),0,1),1))</f>
        <v>#REF!</v>
      </c>
      <c r="AS72" s="31" t="e">
        <f>IF(Data!#REF!="","",IF(Data!$G72="",1,IF(ISNUMBER(MATCH(Data!#REF!,Data_Val!$D$2:$D$10,0)),0,1)))</f>
        <v>#REF!</v>
      </c>
      <c r="AT72" s="11"/>
      <c r="AU72" s="11" t="e">
        <f ca="1">IF(Data!#REF!="","",IF(ISNUMBER(Data!#REF!),IF(AND(Data!#REF!&gt;(TODAY()-(Data_Val!$I$3*365.25)),Data!#REF!&lt;=(TODAY()-(Data_Val!$I$2*365.25))),0,1),1))</f>
        <v>#REF!</v>
      </c>
      <c r="AV72" s="11" t="e">
        <f>IF(Data!#REF!="","",IF(Data!$G72="",1,IF(ISNUMBER(MATCH(Data!#REF!,Data_Val!$D$2:$D$10,0)),0,1)))</f>
        <v>#REF!</v>
      </c>
      <c r="AW72" s="12"/>
      <c r="AX72" s="26" t="e">
        <f ca="1">IF(Data!#REF!="","",IF(ISNUMBER(Data!#REF!),IF(AND(Data!#REF!&gt;(TODAY()-(Data_Val!$I$3*365.25)),Data!#REF!&lt;=(TODAY()-(Data_Val!$I$2*365.25))),0,1),1))</f>
        <v>#REF!</v>
      </c>
      <c r="AY72" s="12" t="e">
        <f>IF(Data!#REF!="","",IF(Data!$G72="",1,IF(ISNUMBER(MATCH(Data!#REF!,Data_Val!$D$2:$D$10,0)),0,1)))</f>
        <v>#REF!</v>
      </c>
      <c r="AZ72" s="11"/>
      <c r="BA72" s="19" t="e">
        <f ca="1">IF(Data!#REF!="","",IF(ISNUMBER(Data!#REF!),IF(AND(Data!#REF!&gt;(TODAY()-(Data_Val!$M$3*365.25)),Data!#REF!&lt;=(TODAY()-(Data_Val!$M$2*365.25))),0,1),1))</f>
        <v>#REF!</v>
      </c>
      <c r="BB72" s="11" t="e">
        <f>IF(Data!#REF!="","",IF(Data!$G72="",1,IF(ISNUMBER(MATCH(Data!#REF!,Data_Val!$D$2:$D$10,0)),0,1)))</f>
        <v>#REF!</v>
      </c>
      <c r="BC72" s="12"/>
      <c r="BD72" s="20" t="e">
        <f ca="1">IF(Data!#REF!="","",IF(ISNUMBER(Data!#REF!),IF(AND(Data!#REF!&gt;(TODAY()-(Data_Val!$M$3*365.25)),Data!#REF!&lt;=(TODAY()-(Data_Val!$M$2*365.25))),0,1),1))</f>
        <v>#REF!</v>
      </c>
      <c r="BE72" s="12" t="e">
        <f>IF(Data!#REF!="","",IF(Data!$G72="",1,IF(ISNUMBER(MATCH(Data!#REF!,Data_Val!$D$2:$D$10,0)),0,1)))</f>
        <v>#REF!</v>
      </c>
      <c r="BF72" s="17"/>
      <c r="BG72" s="18" t="e">
        <f ca="1">IF(Data!#REF!="","",IF(ISNUMBER(Data!#REF!),IF(AND(Data!#REF!&gt;(TODAY()-(Data_Val!$M$3*365.25)),Data!#REF!&lt;=(TODAY()-(Data_Val!$M$2*365.25))),0,1),1))</f>
        <v>#REF!</v>
      </c>
      <c r="BH72" s="29" t="e">
        <f>IF(Data!#REF!="","",IF(Data!$G72="",1,IF(ISNUMBER(MATCH(Data!#REF!,Data_Val!$D$2:$D$10,0)),0,1)))</f>
        <v>#REF!</v>
      </c>
      <c r="BI72" s="13"/>
      <c r="BJ72" s="21" t="e">
        <f ca="1">IF(Data!#REF!="","",IF(ISNUMBER(Data!#REF!),IF(AND(Data!#REF!&gt;(TODAY()-(Data_Val!$M$3*365.25)),Data!#REF!&lt;=(TODAY()-(Data_Val!$M$2*365.25))),0,1),1))</f>
        <v>#REF!</v>
      </c>
      <c r="BK72" s="13" t="e">
        <f>IF(Data!#REF!="","",IF(Data!$G72="",1,IF(ISNUMBER(MATCH(Data!#REF!,Data_Val!$D$2:$D$10,0)),0,1)))</f>
        <v>#REF!</v>
      </c>
    </row>
    <row r="73" spans="1:63" x14ac:dyDescent="0.25">
      <c r="A73" s="9" t="str">
        <f>IF(Data!B73="","",IF(COUNTIFS(Data!A$1:'Data'!A73,Data!A73)&lt;=1,0,1))</f>
        <v/>
      </c>
      <c r="B73" s="9"/>
      <c r="C73" s="23" t="str">
        <f>IF(Data!C73="","",(IF(ISNUMBER(MATCH("*@*.?*",Data!C73,0)),0,1)+IF(COUNTIFS(Data!C$1:'Data'!C73,Data!C73)&gt;1,1,0)))</f>
        <v/>
      </c>
      <c r="D73" s="9" t="str">
        <f>IF(Data!B73="","",IF(ISNUMBER(Data!D73),IF(AND(Data!D73&gt;999999999,Data!D73&lt;=9999999999),IF(COUNTIFS(Data!D$1:'Data'!D73,Data!D73)&lt;=1,0,1),1),1))</f>
        <v/>
      </c>
      <c r="E73" s="9" t="str">
        <f>IF(Data!B73="","",IF(ISNUMBER(MATCH(Data!E73,Data_Val!$A$2:$A$3,0)),0,1))</f>
        <v/>
      </c>
      <c r="F73" s="9" t="str">
        <f ca="1">IF(Data!B73="","",IF(ISNUMBER(Data!F73),IF(AND(Data!F73&gt;(TODAY()-(Data_Val!$H$3*365.25)),Data!F73&lt;=(TODAY()-(Data_Val!$H$2*365.25))),0,1),1))</f>
        <v/>
      </c>
      <c r="G73" s="15" t="str">
        <f>IF(Data!B73="","",IF(AND(Data!G73="",Data!H73&lt;&gt;""),1,IF(Data!#REF!&lt;&gt;"",0,IF(ISNUMBER(MATCH(Data!G73,Data_Val!$C$2:$C$5,0)),0,1))))</f>
        <v/>
      </c>
      <c r="H73" s="15" t="str">
        <f>IF(Data!B73="","",IF(AND(Data!G73&lt;&gt;"",Data!H73=""),1,IF(Data!#REF!&lt;&gt;"",0,IF(Data!G73="",1,IF(ISNUMBER(MATCH(Data!H73,Data_Val!$D$2:$D$35,0)),0,1)))))</f>
        <v/>
      </c>
      <c r="I73" s="15" t="str">
        <f>IF(Data!B73="","",IF(Data!G73&lt;&gt;"",0,IF(ISNUMBER(MATCH(Data!#REF!,Data_Val!$E$2:$E$12,0)),0,1)))</f>
        <v/>
      </c>
      <c r="J73" s="16" t="e">
        <f>IF(OR(Data!B73="",Data!#REF!=""),"",IF(Data!#REF!="",1,0))</f>
        <v>#REF!</v>
      </c>
      <c r="K73" s="16" t="e">
        <f>IF(OR(Data!B73="",Data!#REF!=""),"",IF(Data!#REF!="",1,0))</f>
        <v>#REF!</v>
      </c>
      <c r="L73" s="16" t="e">
        <f>IF(OR(Data!B73="",Data!#REF!=""),"",IF(ISNUMBER(Data!#REF!),IF(AND(Data!#REF!&gt;Data_Val!$G$2,Data!#REF!&lt;=Data_Val!$G$3),0,1),1))</f>
        <v>#REF!</v>
      </c>
      <c r="M73" s="9" t="e">
        <f>IF(OR(Data!B73="",Data!#REF!=""),"",IF(ISNUMBER(MATCH(Data!#REF!,Data_Val!$F$1:$F$38,0)),0,1))</f>
        <v>#REF!</v>
      </c>
      <c r="N73" s="9" t="e">
        <f>IF(OR(Data!B73="",Data!#REF!=""),"",IF(Data!#REF!="",1,0))</f>
        <v>#REF!</v>
      </c>
      <c r="O73" s="17" t="e">
        <f>IF(Data!#REF!="","",IF(Data!#REF!="",1,0))</f>
        <v>#REF!</v>
      </c>
      <c r="P73" s="17" t="e">
        <f>IF(Data!#REF!="","",IF(ISNUMBER(MATCH(Data!#REF!,Data_Val!$A$2:$A$3,0)),0,1))</f>
        <v>#REF!</v>
      </c>
      <c r="Q73" s="25" t="e">
        <f ca="1">IF(Data!#REF!="","",IF(ISNUMBER(Data!#REF!),IF(AND(Data!#REF!&gt;(TODAY()-(Data_Val!$J$3*365.25)),Data!#REF!&lt;=(TODAY()-(Data_Val!$J$2*365.25))),0,1),1))</f>
        <v>#REF!</v>
      </c>
      <c r="R73" s="17" t="e">
        <f>IF(Data!#REF!="","",IF(ISNUMBER(MATCH(Data!#REF!,Data_Val!$B$2:$B$15,0)),0,1))</f>
        <v>#REF!</v>
      </c>
      <c r="S73" s="11" t="str">
        <f>IF(Data!G73="","",IF(Data!G73=Data_Val!$C$2,IF(Data!M73="",0,1),0))</f>
        <v/>
      </c>
      <c r="T73" s="11" t="str">
        <f>IF(Data!M73="","",IF(ISNUMBER(MATCH(Data!N73,Data_Val!$A$2:$A$3,0)),0,1))</f>
        <v/>
      </c>
      <c r="U73" s="11" t="str">
        <f ca="1">IF(Data!M73="","",IF(ISNUMBER(Data!O73),IF(AND(Data!O73&gt;(TODAY()-(Data_Val!$K$3*365.25)),Data!O73&lt;=(TODAY()-(Data_Val!$K$2*365.25))),0,1),1))</f>
        <v/>
      </c>
      <c r="V73" s="12" t="str">
        <f>IF(Data!G73="","",IF(Data!G73=Data_Val!$C$2,IF(Data!P73="",0,1),0))</f>
        <v/>
      </c>
      <c r="W73" s="12" t="str">
        <f>IF(Data!P73="","",IF(ISNUMBER(MATCH(Data!Q73,Data_Val!$A$2:$A$3,0)),0,1))</f>
        <v/>
      </c>
      <c r="X73" s="26" t="str">
        <f ca="1">IF(Data!P73="","",IF(ISNUMBER(Data!R73),IF(AND(Data!R73&gt;(TODAY()-(Data_Val!$L$3*365.25)),Data!R73&lt;=(TODAY()-(Data_Val!$L$2*365.25))),0,1),1))</f>
        <v/>
      </c>
      <c r="Y73" s="13" t="str">
        <f>IF(Data!$G73="","",IF(Data!$G73=Data_Val!$C$2,IF(Data!S73="",0,1),0))</f>
        <v/>
      </c>
      <c r="Z73" s="13" t="str">
        <f>IF(Data!S73="","",IF(ISNUMBER(MATCH(Data!T73,Data_Val!$A$2:$A$3,0)),0,1))</f>
        <v/>
      </c>
      <c r="AA73" s="28" t="str">
        <f ca="1">IF(Data!S73="","",IF(ISNUMBER(Data!U73),IF(AND(Data!U73&gt;(TODAY()-(Data_Val!$L$3*365.25)),Data!U73&lt;=(TODAY()-(Data_Val!$L$2*365.25))),0,1),1))</f>
        <v/>
      </c>
      <c r="AB73" s="11"/>
      <c r="AC73" s="11" t="e">
        <f>IF(Data!#REF!="","",IF(ISNUMBER(MATCH(Data!#REF!,Data_Val!$A$2:$A$3,0)),0,1))</f>
        <v>#REF!</v>
      </c>
      <c r="AD73" s="11" t="e">
        <f ca="1">IF(Data!#REF!="","",IF(ISNUMBER(Data!#REF!),IF(AND(Data!#REF!&gt;(TODAY()-(Data_Val!$L$3*365.25)),Data!#REF!&lt;=(TODAY()-(Data_Val!$L$2*365.25))),0,1),1))</f>
        <v>#REF!</v>
      </c>
      <c r="AE73" s="11" t="e">
        <f>IF(Data!#REF!="","",IF(Data!$G73="",1,IF(ISNUMBER(MATCH(Data!#REF!,Data_Val!$D$2:$D$10,0)),0,1)))</f>
        <v>#REF!</v>
      </c>
      <c r="AF73" s="12"/>
      <c r="AG73" s="12" t="e">
        <f>IF(Data!#REF!="","",IF(ISNUMBER(MATCH(Data!#REF!,Data_Val!$A$2:$A$3,0)),0,1))</f>
        <v>#REF!</v>
      </c>
      <c r="AH73" s="26" t="e">
        <f ca="1">IF(Data!#REF!="","",IF(ISNUMBER(Data!#REF!),IF(AND(Data!#REF!&gt;(TODAY()-(Data_Val!$L$3*365.25)),Data!#REF!&lt;=(TODAY()-(Data_Val!$L$2*365.25))),0,1),1))</f>
        <v>#REF!</v>
      </c>
      <c r="AI73" s="12" t="e">
        <f>IF(Data!#REF!="","",IF(Data!$G73="",1,IF(ISNUMBER(MATCH(Data!#REF!,Data_Val!$D$2:$D$10,0)),0,1)))</f>
        <v>#REF!</v>
      </c>
      <c r="AJ73" s="17"/>
      <c r="AK73" s="17" t="e">
        <f>IF(Data!#REF!="","",IF(ISNUMBER(MATCH(Data!#REF!,Data_Val!$A$2:$A$3,0)),0,1))</f>
        <v>#REF!</v>
      </c>
      <c r="AL73" s="25" t="e">
        <f ca="1">IF(Data!#REF!="","",IF(ISNUMBER(Data!#REF!),IF(AND(Data!#REF!&gt;(TODAY()-(Data_Val!$L$3*365.25)),Data!#REF!&lt;=(TODAY()-(Data_Val!$L$2*365.25))),0,1),1))</f>
        <v>#REF!</v>
      </c>
      <c r="AM73" s="17" t="e">
        <f>IF(Data!#REF!="","",IF(Data!$G73="",1,IF(ISNUMBER(MATCH(Data!#REF!,Data_Val!$D$2:$D$10,0)),0,1)))</f>
        <v>#REF!</v>
      </c>
      <c r="AN73" s="13"/>
      <c r="AO73" s="28" t="e">
        <f ca="1">IF(Data!#REF!="","",IF(ISNUMBER(Data!#REF!),IF(AND(Data!#REF!&gt;(TODAY()-(Data_Val!$I$3*365.25)),Data!#REF!&lt;=(TODAY()-(Data_Val!$I$2*365.25))),0,1),1))</f>
        <v>#REF!</v>
      </c>
      <c r="AP73" s="13" t="e">
        <f>IF(Data!#REF!="","",IF(Data!$G73="",1,IF(ISNUMBER(MATCH(Data!#REF!,Data_Val!$D$2:$D$10,0)),0,1)))</f>
        <v>#REF!</v>
      </c>
      <c r="AQ73" s="17"/>
      <c r="AR73" s="30" t="e">
        <f ca="1">IF(Data!#REF!="","",IF(ISNUMBER(Data!#REF!),IF(AND(Data!#REF!&gt;(TODAY()-(Data_Val!$I$3*365.25)),Data!#REF!&lt;=(TODAY()-(Data_Val!$I$2*365.25))),0,1),1))</f>
        <v>#REF!</v>
      </c>
      <c r="AS73" s="31" t="e">
        <f>IF(Data!#REF!="","",IF(Data!$G73="",1,IF(ISNUMBER(MATCH(Data!#REF!,Data_Val!$D$2:$D$10,0)),0,1)))</f>
        <v>#REF!</v>
      </c>
      <c r="AT73" s="11"/>
      <c r="AU73" s="11" t="e">
        <f ca="1">IF(Data!#REF!="","",IF(ISNUMBER(Data!#REF!),IF(AND(Data!#REF!&gt;(TODAY()-(Data_Val!$I$3*365.25)),Data!#REF!&lt;=(TODAY()-(Data_Val!$I$2*365.25))),0,1),1))</f>
        <v>#REF!</v>
      </c>
      <c r="AV73" s="11" t="e">
        <f>IF(Data!#REF!="","",IF(Data!$G73="",1,IF(ISNUMBER(MATCH(Data!#REF!,Data_Val!$D$2:$D$10,0)),0,1)))</f>
        <v>#REF!</v>
      </c>
      <c r="AW73" s="12"/>
      <c r="AX73" s="26" t="e">
        <f ca="1">IF(Data!#REF!="","",IF(ISNUMBER(Data!#REF!),IF(AND(Data!#REF!&gt;(TODAY()-(Data_Val!$I$3*365.25)),Data!#REF!&lt;=(TODAY()-(Data_Val!$I$2*365.25))),0,1),1))</f>
        <v>#REF!</v>
      </c>
      <c r="AY73" s="12" t="e">
        <f>IF(Data!#REF!="","",IF(Data!$G73="",1,IF(ISNUMBER(MATCH(Data!#REF!,Data_Val!$D$2:$D$10,0)),0,1)))</f>
        <v>#REF!</v>
      </c>
      <c r="AZ73" s="11"/>
      <c r="BA73" s="19" t="e">
        <f ca="1">IF(Data!#REF!="","",IF(ISNUMBER(Data!#REF!),IF(AND(Data!#REF!&gt;(TODAY()-(Data_Val!$M$3*365.25)),Data!#REF!&lt;=(TODAY()-(Data_Val!$M$2*365.25))),0,1),1))</f>
        <v>#REF!</v>
      </c>
      <c r="BB73" s="11" t="e">
        <f>IF(Data!#REF!="","",IF(Data!$G73="",1,IF(ISNUMBER(MATCH(Data!#REF!,Data_Val!$D$2:$D$10,0)),0,1)))</f>
        <v>#REF!</v>
      </c>
      <c r="BC73" s="12"/>
      <c r="BD73" s="20" t="e">
        <f ca="1">IF(Data!#REF!="","",IF(ISNUMBER(Data!#REF!),IF(AND(Data!#REF!&gt;(TODAY()-(Data_Val!$M$3*365.25)),Data!#REF!&lt;=(TODAY()-(Data_Val!$M$2*365.25))),0,1),1))</f>
        <v>#REF!</v>
      </c>
      <c r="BE73" s="12" t="e">
        <f>IF(Data!#REF!="","",IF(Data!$G73="",1,IF(ISNUMBER(MATCH(Data!#REF!,Data_Val!$D$2:$D$10,0)),0,1)))</f>
        <v>#REF!</v>
      </c>
      <c r="BF73" s="17"/>
      <c r="BG73" s="18" t="e">
        <f ca="1">IF(Data!#REF!="","",IF(ISNUMBER(Data!#REF!),IF(AND(Data!#REF!&gt;(TODAY()-(Data_Val!$M$3*365.25)),Data!#REF!&lt;=(TODAY()-(Data_Val!$M$2*365.25))),0,1),1))</f>
        <v>#REF!</v>
      </c>
      <c r="BH73" s="29" t="e">
        <f>IF(Data!#REF!="","",IF(Data!$G73="",1,IF(ISNUMBER(MATCH(Data!#REF!,Data_Val!$D$2:$D$10,0)),0,1)))</f>
        <v>#REF!</v>
      </c>
      <c r="BI73" s="13"/>
      <c r="BJ73" s="21" t="e">
        <f ca="1">IF(Data!#REF!="","",IF(ISNUMBER(Data!#REF!),IF(AND(Data!#REF!&gt;(TODAY()-(Data_Val!$M$3*365.25)),Data!#REF!&lt;=(TODAY()-(Data_Val!$M$2*365.25))),0,1),1))</f>
        <v>#REF!</v>
      </c>
      <c r="BK73" s="13" t="e">
        <f>IF(Data!#REF!="","",IF(Data!$G73="",1,IF(ISNUMBER(MATCH(Data!#REF!,Data_Val!$D$2:$D$10,0)),0,1)))</f>
        <v>#REF!</v>
      </c>
    </row>
    <row r="74" spans="1:63" x14ac:dyDescent="0.25">
      <c r="A74" s="9" t="str">
        <f>IF(Data!B74="","",IF(COUNTIFS(Data!A$1:'Data'!A74,Data!A74)&lt;=1,0,1))</f>
        <v/>
      </c>
      <c r="B74" s="9"/>
      <c r="C74" s="23" t="str">
        <f>IF(Data!C74="","",(IF(ISNUMBER(MATCH("*@*.?*",Data!C74,0)),0,1)+IF(COUNTIFS(Data!C$1:'Data'!C74,Data!C74)&gt;1,1,0)))</f>
        <v/>
      </c>
      <c r="D74" s="9" t="str">
        <f>IF(Data!B74="","",IF(ISNUMBER(Data!D74),IF(AND(Data!D74&gt;999999999,Data!D74&lt;=9999999999),IF(COUNTIFS(Data!D$1:'Data'!D74,Data!D74)&lt;=1,0,1),1),1))</f>
        <v/>
      </c>
      <c r="E74" s="9" t="str">
        <f>IF(Data!B74="","",IF(ISNUMBER(MATCH(Data!E74,Data_Val!$A$2:$A$3,0)),0,1))</f>
        <v/>
      </c>
      <c r="F74" s="9" t="str">
        <f ca="1">IF(Data!B74="","",IF(ISNUMBER(Data!F74),IF(AND(Data!F74&gt;(TODAY()-(Data_Val!$H$3*365.25)),Data!F74&lt;=(TODAY()-(Data_Val!$H$2*365.25))),0,1),1))</f>
        <v/>
      </c>
      <c r="G74" s="15" t="str">
        <f>IF(Data!B74="","",IF(AND(Data!G74="",Data!H74&lt;&gt;""),1,IF(Data!#REF!&lt;&gt;"",0,IF(ISNUMBER(MATCH(Data!G74,Data_Val!$C$2:$C$5,0)),0,1))))</f>
        <v/>
      </c>
      <c r="H74" s="15" t="str">
        <f>IF(Data!B74="","",IF(AND(Data!G74&lt;&gt;"",Data!H74=""),1,IF(Data!#REF!&lt;&gt;"",0,IF(Data!G74="",1,IF(ISNUMBER(MATCH(Data!H74,Data_Val!$D$2:$D$35,0)),0,1)))))</f>
        <v/>
      </c>
      <c r="I74" s="15" t="str">
        <f>IF(Data!B74="","",IF(Data!G74&lt;&gt;"",0,IF(ISNUMBER(MATCH(Data!#REF!,Data_Val!$E$2:$E$12,0)),0,1)))</f>
        <v/>
      </c>
      <c r="J74" s="16" t="e">
        <f>IF(OR(Data!B74="",Data!#REF!=""),"",IF(Data!#REF!="",1,0))</f>
        <v>#REF!</v>
      </c>
      <c r="K74" s="16" t="e">
        <f>IF(OR(Data!B74="",Data!#REF!=""),"",IF(Data!#REF!="",1,0))</f>
        <v>#REF!</v>
      </c>
      <c r="L74" s="16" t="e">
        <f>IF(OR(Data!B74="",Data!#REF!=""),"",IF(ISNUMBER(Data!#REF!),IF(AND(Data!#REF!&gt;Data_Val!$G$2,Data!#REF!&lt;=Data_Val!$G$3),0,1),1))</f>
        <v>#REF!</v>
      </c>
      <c r="M74" s="9" t="e">
        <f>IF(OR(Data!B74="",Data!#REF!=""),"",IF(ISNUMBER(MATCH(Data!#REF!,Data_Val!$F$1:$F$38,0)),0,1))</f>
        <v>#REF!</v>
      </c>
      <c r="N74" s="9" t="e">
        <f>IF(OR(Data!B74="",Data!#REF!=""),"",IF(Data!#REF!="",1,0))</f>
        <v>#REF!</v>
      </c>
      <c r="O74" s="17" t="e">
        <f>IF(Data!#REF!="","",IF(Data!#REF!="",1,0))</f>
        <v>#REF!</v>
      </c>
      <c r="P74" s="17" t="e">
        <f>IF(Data!#REF!="","",IF(ISNUMBER(MATCH(Data!#REF!,Data_Val!$A$2:$A$3,0)),0,1))</f>
        <v>#REF!</v>
      </c>
      <c r="Q74" s="25" t="e">
        <f ca="1">IF(Data!#REF!="","",IF(ISNUMBER(Data!#REF!),IF(AND(Data!#REF!&gt;(TODAY()-(Data_Val!$J$3*365.25)),Data!#REF!&lt;=(TODAY()-(Data_Val!$J$2*365.25))),0,1),1))</f>
        <v>#REF!</v>
      </c>
      <c r="R74" s="17" t="e">
        <f>IF(Data!#REF!="","",IF(ISNUMBER(MATCH(Data!#REF!,Data_Val!$B$2:$B$15,0)),0,1))</f>
        <v>#REF!</v>
      </c>
      <c r="S74" s="11" t="str">
        <f>IF(Data!G74="","",IF(Data!G74=Data_Val!$C$2,IF(Data!M74="",0,1),0))</f>
        <v/>
      </c>
      <c r="T74" s="11" t="str">
        <f>IF(Data!M74="","",IF(ISNUMBER(MATCH(Data!N74,Data_Val!$A$2:$A$3,0)),0,1))</f>
        <v/>
      </c>
      <c r="U74" s="11" t="str">
        <f ca="1">IF(Data!M74="","",IF(ISNUMBER(Data!O74),IF(AND(Data!O74&gt;(TODAY()-(Data_Val!$K$3*365.25)),Data!O74&lt;=(TODAY()-(Data_Val!$K$2*365.25))),0,1),1))</f>
        <v/>
      </c>
      <c r="V74" s="12" t="str">
        <f>IF(Data!G74="","",IF(Data!G74=Data_Val!$C$2,IF(Data!P74="",0,1),0))</f>
        <v/>
      </c>
      <c r="W74" s="12" t="str">
        <f>IF(Data!P74="","",IF(ISNUMBER(MATCH(Data!Q74,Data_Val!$A$2:$A$3,0)),0,1))</f>
        <v/>
      </c>
      <c r="X74" s="26" t="str">
        <f ca="1">IF(Data!P74="","",IF(ISNUMBER(Data!R74),IF(AND(Data!R74&gt;(TODAY()-(Data_Val!$L$3*365.25)),Data!R74&lt;=(TODAY()-(Data_Val!$L$2*365.25))),0,1),1))</f>
        <v/>
      </c>
      <c r="Y74" s="13" t="str">
        <f>IF(Data!$G74="","",IF(Data!$G74=Data_Val!$C$2,IF(Data!S74="",0,1),0))</f>
        <v/>
      </c>
      <c r="Z74" s="13" t="str">
        <f>IF(Data!S74="","",IF(ISNUMBER(MATCH(Data!T74,Data_Val!$A$2:$A$3,0)),0,1))</f>
        <v/>
      </c>
      <c r="AA74" s="28" t="str">
        <f ca="1">IF(Data!S74="","",IF(ISNUMBER(Data!U74),IF(AND(Data!U74&gt;(TODAY()-(Data_Val!$L$3*365.25)),Data!U74&lt;=(TODAY()-(Data_Val!$L$2*365.25))),0,1),1))</f>
        <v/>
      </c>
      <c r="AB74" s="11"/>
      <c r="AC74" s="11" t="e">
        <f>IF(Data!#REF!="","",IF(ISNUMBER(MATCH(Data!#REF!,Data_Val!$A$2:$A$3,0)),0,1))</f>
        <v>#REF!</v>
      </c>
      <c r="AD74" s="11" t="e">
        <f ca="1">IF(Data!#REF!="","",IF(ISNUMBER(Data!#REF!),IF(AND(Data!#REF!&gt;(TODAY()-(Data_Val!$L$3*365.25)),Data!#REF!&lt;=(TODAY()-(Data_Val!$L$2*365.25))),0,1),1))</f>
        <v>#REF!</v>
      </c>
      <c r="AE74" s="11" t="e">
        <f>IF(Data!#REF!="","",IF(Data!$G74="",1,IF(ISNUMBER(MATCH(Data!#REF!,Data_Val!$D$2:$D$10,0)),0,1)))</f>
        <v>#REF!</v>
      </c>
      <c r="AF74" s="12"/>
      <c r="AG74" s="12" t="e">
        <f>IF(Data!#REF!="","",IF(ISNUMBER(MATCH(Data!#REF!,Data_Val!$A$2:$A$3,0)),0,1))</f>
        <v>#REF!</v>
      </c>
      <c r="AH74" s="26" t="e">
        <f ca="1">IF(Data!#REF!="","",IF(ISNUMBER(Data!#REF!),IF(AND(Data!#REF!&gt;(TODAY()-(Data_Val!$L$3*365.25)),Data!#REF!&lt;=(TODAY()-(Data_Val!$L$2*365.25))),0,1),1))</f>
        <v>#REF!</v>
      </c>
      <c r="AI74" s="12" t="e">
        <f>IF(Data!#REF!="","",IF(Data!$G74="",1,IF(ISNUMBER(MATCH(Data!#REF!,Data_Val!$D$2:$D$10,0)),0,1)))</f>
        <v>#REF!</v>
      </c>
      <c r="AJ74" s="17"/>
      <c r="AK74" s="17" t="e">
        <f>IF(Data!#REF!="","",IF(ISNUMBER(MATCH(Data!#REF!,Data_Val!$A$2:$A$3,0)),0,1))</f>
        <v>#REF!</v>
      </c>
      <c r="AL74" s="25" t="e">
        <f ca="1">IF(Data!#REF!="","",IF(ISNUMBER(Data!#REF!),IF(AND(Data!#REF!&gt;(TODAY()-(Data_Val!$L$3*365.25)),Data!#REF!&lt;=(TODAY()-(Data_Val!$L$2*365.25))),0,1),1))</f>
        <v>#REF!</v>
      </c>
      <c r="AM74" s="17" t="e">
        <f>IF(Data!#REF!="","",IF(Data!$G74="",1,IF(ISNUMBER(MATCH(Data!#REF!,Data_Val!$D$2:$D$10,0)),0,1)))</f>
        <v>#REF!</v>
      </c>
      <c r="AN74" s="13"/>
      <c r="AO74" s="28" t="e">
        <f ca="1">IF(Data!#REF!="","",IF(ISNUMBER(Data!#REF!),IF(AND(Data!#REF!&gt;(TODAY()-(Data_Val!$I$3*365.25)),Data!#REF!&lt;=(TODAY()-(Data_Val!$I$2*365.25))),0,1),1))</f>
        <v>#REF!</v>
      </c>
      <c r="AP74" s="13" t="e">
        <f>IF(Data!#REF!="","",IF(Data!$G74="",1,IF(ISNUMBER(MATCH(Data!#REF!,Data_Val!$D$2:$D$10,0)),0,1)))</f>
        <v>#REF!</v>
      </c>
      <c r="AQ74" s="17"/>
      <c r="AR74" s="30" t="e">
        <f ca="1">IF(Data!#REF!="","",IF(ISNUMBER(Data!#REF!),IF(AND(Data!#REF!&gt;(TODAY()-(Data_Val!$I$3*365.25)),Data!#REF!&lt;=(TODAY()-(Data_Val!$I$2*365.25))),0,1),1))</f>
        <v>#REF!</v>
      </c>
      <c r="AS74" s="31" t="e">
        <f>IF(Data!#REF!="","",IF(Data!$G74="",1,IF(ISNUMBER(MATCH(Data!#REF!,Data_Val!$D$2:$D$10,0)),0,1)))</f>
        <v>#REF!</v>
      </c>
      <c r="AT74" s="11"/>
      <c r="AU74" s="11" t="e">
        <f ca="1">IF(Data!#REF!="","",IF(ISNUMBER(Data!#REF!),IF(AND(Data!#REF!&gt;(TODAY()-(Data_Val!$I$3*365.25)),Data!#REF!&lt;=(TODAY()-(Data_Val!$I$2*365.25))),0,1),1))</f>
        <v>#REF!</v>
      </c>
      <c r="AV74" s="11" t="e">
        <f>IF(Data!#REF!="","",IF(Data!$G74="",1,IF(ISNUMBER(MATCH(Data!#REF!,Data_Val!$D$2:$D$10,0)),0,1)))</f>
        <v>#REF!</v>
      </c>
      <c r="AW74" s="12"/>
      <c r="AX74" s="26" t="e">
        <f ca="1">IF(Data!#REF!="","",IF(ISNUMBER(Data!#REF!),IF(AND(Data!#REF!&gt;(TODAY()-(Data_Val!$I$3*365.25)),Data!#REF!&lt;=(TODAY()-(Data_Val!$I$2*365.25))),0,1),1))</f>
        <v>#REF!</v>
      </c>
      <c r="AY74" s="12" t="e">
        <f>IF(Data!#REF!="","",IF(Data!$G74="",1,IF(ISNUMBER(MATCH(Data!#REF!,Data_Val!$D$2:$D$10,0)),0,1)))</f>
        <v>#REF!</v>
      </c>
      <c r="AZ74" s="11"/>
      <c r="BA74" s="19" t="e">
        <f ca="1">IF(Data!#REF!="","",IF(ISNUMBER(Data!#REF!),IF(AND(Data!#REF!&gt;(TODAY()-(Data_Val!$M$3*365.25)),Data!#REF!&lt;=(TODAY()-(Data_Val!$M$2*365.25))),0,1),1))</f>
        <v>#REF!</v>
      </c>
      <c r="BB74" s="11" t="e">
        <f>IF(Data!#REF!="","",IF(Data!$G74="",1,IF(ISNUMBER(MATCH(Data!#REF!,Data_Val!$D$2:$D$10,0)),0,1)))</f>
        <v>#REF!</v>
      </c>
      <c r="BC74" s="12"/>
      <c r="BD74" s="20" t="e">
        <f ca="1">IF(Data!#REF!="","",IF(ISNUMBER(Data!#REF!),IF(AND(Data!#REF!&gt;(TODAY()-(Data_Val!$M$3*365.25)),Data!#REF!&lt;=(TODAY()-(Data_Val!$M$2*365.25))),0,1),1))</f>
        <v>#REF!</v>
      </c>
      <c r="BE74" s="12" t="e">
        <f>IF(Data!#REF!="","",IF(Data!$G74="",1,IF(ISNUMBER(MATCH(Data!#REF!,Data_Val!$D$2:$D$10,0)),0,1)))</f>
        <v>#REF!</v>
      </c>
      <c r="BF74" s="17"/>
      <c r="BG74" s="18" t="e">
        <f ca="1">IF(Data!#REF!="","",IF(ISNUMBER(Data!#REF!),IF(AND(Data!#REF!&gt;(TODAY()-(Data_Val!$M$3*365.25)),Data!#REF!&lt;=(TODAY()-(Data_Val!$M$2*365.25))),0,1),1))</f>
        <v>#REF!</v>
      </c>
      <c r="BH74" s="29" t="e">
        <f>IF(Data!#REF!="","",IF(Data!$G74="",1,IF(ISNUMBER(MATCH(Data!#REF!,Data_Val!$D$2:$D$10,0)),0,1)))</f>
        <v>#REF!</v>
      </c>
      <c r="BI74" s="13"/>
      <c r="BJ74" s="21" t="e">
        <f ca="1">IF(Data!#REF!="","",IF(ISNUMBER(Data!#REF!),IF(AND(Data!#REF!&gt;(TODAY()-(Data_Val!$M$3*365.25)),Data!#REF!&lt;=(TODAY()-(Data_Val!$M$2*365.25))),0,1),1))</f>
        <v>#REF!</v>
      </c>
      <c r="BK74" s="13" t="e">
        <f>IF(Data!#REF!="","",IF(Data!$G74="",1,IF(ISNUMBER(MATCH(Data!#REF!,Data_Val!$D$2:$D$10,0)),0,1)))</f>
        <v>#REF!</v>
      </c>
    </row>
    <row r="75" spans="1:63" x14ac:dyDescent="0.25">
      <c r="A75" s="9" t="str">
        <f>IF(Data!B75="","",IF(COUNTIFS(Data!A$1:'Data'!A75,Data!A75)&lt;=1,0,1))</f>
        <v/>
      </c>
      <c r="B75" s="9"/>
      <c r="C75" s="23" t="str">
        <f>IF(Data!C75="","",(IF(ISNUMBER(MATCH("*@*.?*",Data!C75,0)),0,1)+IF(COUNTIFS(Data!C$1:'Data'!C75,Data!C75)&gt;1,1,0)))</f>
        <v/>
      </c>
      <c r="D75" s="9" t="str">
        <f>IF(Data!B75="","",IF(ISNUMBER(Data!D75),IF(AND(Data!D75&gt;999999999,Data!D75&lt;=9999999999),IF(COUNTIFS(Data!D$1:'Data'!D75,Data!D75)&lt;=1,0,1),1),1))</f>
        <v/>
      </c>
      <c r="E75" s="9" t="str">
        <f>IF(Data!B75="","",IF(ISNUMBER(MATCH(Data!E75,Data_Val!$A$2:$A$3,0)),0,1))</f>
        <v/>
      </c>
      <c r="F75" s="9" t="str">
        <f ca="1">IF(Data!B75="","",IF(ISNUMBER(Data!F75),IF(AND(Data!F75&gt;(TODAY()-(Data_Val!$H$3*365.25)),Data!F75&lt;=(TODAY()-(Data_Val!$H$2*365.25))),0,1),1))</f>
        <v/>
      </c>
      <c r="G75" s="15" t="str">
        <f>IF(Data!B75="","",IF(AND(Data!G75="",Data!H75&lt;&gt;""),1,IF(Data!#REF!&lt;&gt;"",0,IF(ISNUMBER(MATCH(Data!G75,Data_Val!$C$2:$C$5,0)),0,1))))</f>
        <v/>
      </c>
      <c r="H75" s="15" t="str">
        <f>IF(Data!B75="","",IF(AND(Data!G75&lt;&gt;"",Data!H75=""),1,IF(Data!#REF!&lt;&gt;"",0,IF(Data!G75="",1,IF(ISNUMBER(MATCH(Data!H75,Data_Val!$D$2:$D$35,0)),0,1)))))</f>
        <v/>
      </c>
      <c r="I75" s="15" t="str">
        <f>IF(Data!B75="","",IF(Data!G75&lt;&gt;"",0,IF(ISNUMBER(MATCH(Data!#REF!,Data_Val!$E$2:$E$12,0)),0,1)))</f>
        <v/>
      </c>
      <c r="J75" s="16" t="e">
        <f>IF(OR(Data!B75="",Data!#REF!=""),"",IF(Data!#REF!="",1,0))</f>
        <v>#REF!</v>
      </c>
      <c r="K75" s="16" t="e">
        <f>IF(OR(Data!B75="",Data!#REF!=""),"",IF(Data!#REF!="",1,0))</f>
        <v>#REF!</v>
      </c>
      <c r="L75" s="16" t="e">
        <f>IF(OR(Data!B75="",Data!#REF!=""),"",IF(ISNUMBER(Data!#REF!),IF(AND(Data!#REF!&gt;Data_Val!$G$2,Data!#REF!&lt;=Data_Val!$G$3),0,1),1))</f>
        <v>#REF!</v>
      </c>
      <c r="M75" s="9" t="e">
        <f>IF(OR(Data!B75="",Data!#REF!=""),"",IF(ISNUMBER(MATCH(Data!#REF!,Data_Val!$F$1:$F$38,0)),0,1))</f>
        <v>#REF!</v>
      </c>
      <c r="N75" s="9" t="e">
        <f>IF(OR(Data!B75="",Data!#REF!=""),"",IF(Data!#REF!="",1,0))</f>
        <v>#REF!</v>
      </c>
      <c r="O75" s="17" t="e">
        <f>IF(Data!#REF!="","",IF(Data!#REF!="",1,0))</f>
        <v>#REF!</v>
      </c>
      <c r="P75" s="17" t="e">
        <f>IF(Data!#REF!="","",IF(ISNUMBER(MATCH(Data!#REF!,Data_Val!$A$2:$A$3,0)),0,1))</f>
        <v>#REF!</v>
      </c>
      <c r="Q75" s="25" t="e">
        <f ca="1">IF(Data!#REF!="","",IF(ISNUMBER(Data!#REF!),IF(AND(Data!#REF!&gt;(TODAY()-(Data_Val!$J$3*365.25)),Data!#REF!&lt;=(TODAY()-(Data_Val!$J$2*365.25))),0,1),1))</f>
        <v>#REF!</v>
      </c>
      <c r="R75" s="17" t="e">
        <f>IF(Data!#REF!="","",IF(ISNUMBER(MATCH(Data!#REF!,Data_Val!$B$2:$B$15,0)),0,1))</f>
        <v>#REF!</v>
      </c>
      <c r="S75" s="11" t="str">
        <f>IF(Data!G75="","",IF(Data!G75=Data_Val!$C$2,IF(Data!M75="",0,1),0))</f>
        <v/>
      </c>
      <c r="T75" s="11" t="str">
        <f>IF(Data!M75="","",IF(ISNUMBER(MATCH(Data!N75,Data_Val!$A$2:$A$3,0)),0,1))</f>
        <v/>
      </c>
      <c r="U75" s="11" t="str">
        <f ca="1">IF(Data!M75="","",IF(ISNUMBER(Data!O75),IF(AND(Data!O75&gt;(TODAY()-(Data_Val!$K$3*365.25)),Data!O75&lt;=(TODAY()-(Data_Val!$K$2*365.25))),0,1),1))</f>
        <v/>
      </c>
      <c r="V75" s="12" t="str">
        <f>IF(Data!G75="","",IF(Data!G75=Data_Val!$C$2,IF(Data!P75="",0,1),0))</f>
        <v/>
      </c>
      <c r="W75" s="12" t="str">
        <f>IF(Data!P75="","",IF(ISNUMBER(MATCH(Data!Q75,Data_Val!$A$2:$A$3,0)),0,1))</f>
        <v/>
      </c>
      <c r="X75" s="26" t="str">
        <f ca="1">IF(Data!P75="","",IF(ISNUMBER(Data!R75),IF(AND(Data!R75&gt;(TODAY()-(Data_Val!$L$3*365.25)),Data!R75&lt;=(TODAY()-(Data_Val!$L$2*365.25))),0,1),1))</f>
        <v/>
      </c>
      <c r="Y75" s="13" t="str">
        <f>IF(Data!$G75="","",IF(Data!$G75=Data_Val!$C$2,IF(Data!S75="",0,1),0))</f>
        <v/>
      </c>
      <c r="Z75" s="13" t="str">
        <f>IF(Data!S75="","",IF(ISNUMBER(MATCH(Data!T75,Data_Val!$A$2:$A$3,0)),0,1))</f>
        <v/>
      </c>
      <c r="AA75" s="28" t="str">
        <f ca="1">IF(Data!S75="","",IF(ISNUMBER(Data!U75),IF(AND(Data!U75&gt;(TODAY()-(Data_Val!$L$3*365.25)),Data!U75&lt;=(TODAY()-(Data_Val!$L$2*365.25))),0,1),1))</f>
        <v/>
      </c>
      <c r="AB75" s="11"/>
      <c r="AC75" s="11" t="e">
        <f>IF(Data!#REF!="","",IF(ISNUMBER(MATCH(Data!#REF!,Data_Val!$A$2:$A$3,0)),0,1))</f>
        <v>#REF!</v>
      </c>
      <c r="AD75" s="11" t="e">
        <f ca="1">IF(Data!#REF!="","",IF(ISNUMBER(Data!#REF!),IF(AND(Data!#REF!&gt;(TODAY()-(Data_Val!$L$3*365.25)),Data!#REF!&lt;=(TODAY()-(Data_Val!$L$2*365.25))),0,1),1))</f>
        <v>#REF!</v>
      </c>
      <c r="AE75" s="11" t="e">
        <f>IF(Data!#REF!="","",IF(Data!$G75="",1,IF(ISNUMBER(MATCH(Data!#REF!,Data_Val!$D$2:$D$10,0)),0,1)))</f>
        <v>#REF!</v>
      </c>
      <c r="AF75" s="12"/>
      <c r="AG75" s="12" t="e">
        <f>IF(Data!#REF!="","",IF(ISNUMBER(MATCH(Data!#REF!,Data_Val!$A$2:$A$3,0)),0,1))</f>
        <v>#REF!</v>
      </c>
      <c r="AH75" s="26" t="e">
        <f ca="1">IF(Data!#REF!="","",IF(ISNUMBER(Data!#REF!),IF(AND(Data!#REF!&gt;(TODAY()-(Data_Val!$L$3*365.25)),Data!#REF!&lt;=(TODAY()-(Data_Val!$L$2*365.25))),0,1),1))</f>
        <v>#REF!</v>
      </c>
      <c r="AI75" s="12" t="e">
        <f>IF(Data!#REF!="","",IF(Data!$G75="",1,IF(ISNUMBER(MATCH(Data!#REF!,Data_Val!$D$2:$D$10,0)),0,1)))</f>
        <v>#REF!</v>
      </c>
      <c r="AJ75" s="17"/>
      <c r="AK75" s="17" t="e">
        <f>IF(Data!#REF!="","",IF(ISNUMBER(MATCH(Data!#REF!,Data_Val!$A$2:$A$3,0)),0,1))</f>
        <v>#REF!</v>
      </c>
      <c r="AL75" s="25" t="e">
        <f ca="1">IF(Data!#REF!="","",IF(ISNUMBER(Data!#REF!),IF(AND(Data!#REF!&gt;(TODAY()-(Data_Val!$L$3*365.25)),Data!#REF!&lt;=(TODAY()-(Data_Val!$L$2*365.25))),0,1),1))</f>
        <v>#REF!</v>
      </c>
      <c r="AM75" s="17" t="e">
        <f>IF(Data!#REF!="","",IF(Data!$G75="",1,IF(ISNUMBER(MATCH(Data!#REF!,Data_Val!$D$2:$D$10,0)),0,1)))</f>
        <v>#REF!</v>
      </c>
      <c r="AN75" s="13"/>
      <c r="AO75" s="28" t="e">
        <f ca="1">IF(Data!#REF!="","",IF(ISNUMBER(Data!#REF!),IF(AND(Data!#REF!&gt;(TODAY()-(Data_Val!$I$3*365.25)),Data!#REF!&lt;=(TODAY()-(Data_Val!$I$2*365.25))),0,1),1))</f>
        <v>#REF!</v>
      </c>
      <c r="AP75" s="13" t="e">
        <f>IF(Data!#REF!="","",IF(Data!$G75="",1,IF(ISNUMBER(MATCH(Data!#REF!,Data_Val!$D$2:$D$10,0)),0,1)))</f>
        <v>#REF!</v>
      </c>
      <c r="AQ75" s="17"/>
      <c r="AR75" s="30" t="e">
        <f ca="1">IF(Data!#REF!="","",IF(ISNUMBER(Data!#REF!),IF(AND(Data!#REF!&gt;(TODAY()-(Data_Val!$I$3*365.25)),Data!#REF!&lt;=(TODAY()-(Data_Val!$I$2*365.25))),0,1),1))</f>
        <v>#REF!</v>
      </c>
      <c r="AS75" s="31" t="e">
        <f>IF(Data!#REF!="","",IF(Data!$G75="",1,IF(ISNUMBER(MATCH(Data!#REF!,Data_Val!$D$2:$D$10,0)),0,1)))</f>
        <v>#REF!</v>
      </c>
      <c r="AT75" s="11"/>
      <c r="AU75" s="11" t="e">
        <f ca="1">IF(Data!#REF!="","",IF(ISNUMBER(Data!#REF!),IF(AND(Data!#REF!&gt;(TODAY()-(Data_Val!$I$3*365.25)),Data!#REF!&lt;=(TODAY()-(Data_Val!$I$2*365.25))),0,1),1))</f>
        <v>#REF!</v>
      </c>
      <c r="AV75" s="11" t="e">
        <f>IF(Data!#REF!="","",IF(Data!$G75="",1,IF(ISNUMBER(MATCH(Data!#REF!,Data_Val!$D$2:$D$10,0)),0,1)))</f>
        <v>#REF!</v>
      </c>
      <c r="AW75" s="12"/>
      <c r="AX75" s="26" t="e">
        <f ca="1">IF(Data!#REF!="","",IF(ISNUMBER(Data!#REF!),IF(AND(Data!#REF!&gt;(TODAY()-(Data_Val!$I$3*365.25)),Data!#REF!&lt;=(TODAY()-(Data_Val!$I$2*365.25))),0,1),1))</f>
        <v>#REF!</v>
      </c>
      <c r="AY75" s="12" t="e">
        <f>IF(Data!#REF!="","",IF(Data!$G75="",1,IF(ISNUMBER(MATCH(Data!#REF!,Data_Val!$D$2:$D$10,0)),0,1)))</f>
        <v>#REF!</v>
      </c>
      <c r="AZ75" s="11"/>
      <c r="BA75" s="19" t="e">
        <f ca="1">IF(Data!#REF!="","",IF(ISNUMBER(Data!#REF!),IF(AND(Data!#REF!&gt;(TODAY()-(Data_Val!$M$3*365.25)),Data!#REF!&lt;=(TODAY()-(Data_Val!$M$2*365.25))),0,1),1))</f>
        <v>#REF!</v>
      </c>
      <c r="BB75" s="11" t="e">
        <f>IF(Data!#REF!="","",IF(Data!$G75="",1,IF(ISNUMBER(MATCH(Data!#REF!,Data_Val!$D$2:$D$10,0)),0,1)))</f>
        <v>#REF!</v>
      </c>
      <c r="BC75" s="12"/>
      <c r="BD75" s="20" t="e">
        <f ca="1">IF(Data!#REF!="","",IF(ISNUMBER(Data!#REF!),IF(AND(Data!#REF!&gt;(TODAY()-(Data_Val!$M$3*365.25)),Data!#REF!&lt;=(TODAY()-(Data_Val!$M$2*365.25))),0,1),1))</f>
        <v>#REF!</v>
      </c>
      <c r="BE75" s="12" t="e">
        <f>IF(Data!#REF!="","",IF(Data!$G75="",1,IF(ISNUMBER(MATCH(Data!#REF!,Data_Val!$D$2:$D$10,0)),0,1)))</f>
        <v>#REF!</v>
      </c>
      <c r="BF75" s="17"/>
      <c r="BG75" s="18" t="e">
        <f ca="1">IF(Data!#REF!="","",IF(ISNUMBER(Data!#REF!),IF(AND(Data!#REF!&gt;(TODAY()-(Data_Val!$M$3*365.25)),Data!#REF!&lt;=(TODAY()-(Data_Val!$M$2*365.25))),0,1),1))</f>
        <v>#REF!</v>
      </c>
      <c r="BH75" s="29" t="e">
        <f>IF(Data!#REF!="","",IF(Data!$G75="",1,IF(ISNUMBER(MATCH(Data!#REF!,Data_Val!$D$2:$D$10,0)),0,1)))</f>
        <v>#REF!</v>
      </c>
      <c r="BI75" s="13"/>
      <c r="BJ75" s="21" t="e">
        <f ca="1">IF(Data!#REF!="","",IF(ISNUMBER(Data!#REF!),IF(AND(Data!#REF!&gt;(TODAY()-(Data_Val!$M$3*365.25)),Data!#REF!&lt;=(TODAY()-(Data_Val!$M$2*365.25))),0,1),1))</f>
        <v>#REF!</v>
      </c>
      <c r="BK75" s="13" t="e">
        <f>IF(Data!#REF!="","",IF(Data!$G75="",1,IF(ISNUMBER(MATCH(Data!#REF!,Data_Val!$D$2:$D$10,0)),0,1)))</f>
        <v>#REF!</v>
      </c>
    </row>
    <row r="76" spans="1:63" x14ac:dyDescent="0.25">
      <c r="A76" s="9" t="str">
        <f>IF(Data!B76="","",IF(COUNTIFS(Data!A$1:'Data'!A76,Data!A76)&lt;=1,0,1))</f>
        <v/>
      </c>
      <c r="B76" s="9"/>
      <c r="C76" s="23" t="str">
        <f>IF(Data!C76="","",(IF(ISNUMBER(MATCH("*@*.?*",Data!C76,0)),0,1)+IF(COUNTIFS(Data!C$1:'Data'!C76,Data!C76)&gt;1,1,0)))</f>
        <v/>
      </c>
      <c r="D76" s="9" t="str">
        <f>IF(Data!B76="","",IF(ISNUMBER(Data!D76),IF(AND(Data!D76&gt;999999999,Data!D76&lt;=9999999999),IF(COUNTIFS(Data!D$1:'Data'!D76,Data!D76)&lt;=1,0,1),1),1))</f>
        <v/>
      </c>
      <c r="E76" s="9" t="str">
        <f>IF(Data!B76="","",IF(ISNUMBER(MATCH(Data!E76,Data_Val!$A$2:$A$3,0)),0,1))</f>
        <v/>
      </c>
      <c r="F76" s="9" t="str">
        <f ca="1">IF(Data!B76="","",IF(ISNUMBER(Data!F76),IF(AND(Data!F76&gt;(TODAY()-(Data_Val!$H$3*365.25)),Data!F76&lt;=(TODAY()-(Data_Val!$H$2*365.25))),0,1),1))</f>
        <v/>
      </c>
      <c r="G76" s="15" t="str">
        <f>IF(Data!B76="","",IF(AND(Data!G76="",Data!H76&lt;&gt;""),1,IF(Data!#REF!&lt;&gt;"",0,IF(ISNUMBER(MATCH(Data!G76,Data_Val!$C$2:$C$5,0)),0,1))))</f>
        <v/>
      </c>
      <c r="H76" s="15" t="str">
        <f>IF(Data!B76="","",IF(AND(Data!G76&lt;&gt;"",Data!H76=""),1,IF(Data!#REF!&lt;&gt;"",0,IF(Data!G76="",1,IF(ISNUMBER(MATCH(Data!H76,Data_Val!$D$2:$D$35,0)),0,1)))))</f>
        <v/>
      </c>
      <c r="I76" s="15" t="str">
        <f>IF(Data!B76="","",IF(Data!G76&lt;&gt;"",0,IF(ISNUMBER(MATCH(Data!#REF!,Data_Val!$E$2:$E$12,0)),0,1)))</f>
        <v/>
      </c>
      <c r="J76" s="16" t="e">
        <f>IF(OR(Data!B76="",Data!#REF!=""),"",IF(Data!#REF!="",1,0))</f>
        <v>#REF!</v>
      </c>
      <c r="K76" s="16" t="e">
        <f>IF(OR(Data!B76="",Data!#REF!=""),"",IF(Data!#REF!="",1,0))</f>
        <v>#REF!</v>
      </c>
      <c r="L76" s="16" t="e">
        <f>IF(OR(Data!B76="",Data!#REF!=""),"",IF(ISNUMBER(Data!#REF!),IF(AND(Data!#REF!&gt;Data_Val!$G$2,Data!#REF!&lt;=Data_Val!$G$3),0,1),1))</f>
        <v>#REF!</v>
      </c>
      <c r="M76" s="9" t="e">
        <f>IF(OR(Data!B76="",Data!#REF!=""),"",IF(ISNUMBER(MATCH(Data!#REF!,Data_Val!$F$1:$F$38,0)),0,1))</f>
        <v>#REF!</v>
      </c>
      <c r="N76" s="9" t="e">
        <f>IF(OR(Data!B76="",Data!#REF!=""),"",IF(Data!#REF!="",1,0))</f>
        <v>#REF!</v>
      </c>
      <c r="O76" s="17" t="e">
        <f>IF(Data!#REF!="","",IF(Data!#REF!="",1,0))</f>
        <v>#REF!</v>
      </c>
      <c r="P76" s="17" t="e">
        <f>IF(Data!#REF!="","",IF(ISNUMBER(MATCH(Data!#REF!,Data_Val!$A$2:$A$3,0)),0,1))</f>
        <v>#REF!</v>
      </c>
      <c r="Q76" s="25" t="e">
        <f ca="1">IF(Data!#REF!="","",IF(ISNUMBER(Data!#REF!),IF(AND(Data!#REF!&gt;(TODAY()-(Data_Val!$J$3*365.25)),Data!#REF!&lt;=(TODAY()-(Data_Val!$J$2*365.25))),0,1),1))</f>
        <v>#REF!</v>
      </c>
      <c r="R76" s="17" t="e">
        <f>IF(Data!#REF!="","",IF(ISNUMBER(MATCH(Data!#REF!,Data_Val!$B$2:$B$15,0)),0,1))</f>
        <v>#REF!</v>
      </c>
      <c r="S76" s="11" t="str">
        <f>IF(Data!G76="","",IF(Data!G76=Data_Val!$C$2,IF(Data!M76="",0,1),0))</f>
        <v/>
      </c>
      <c r="T76" s="11" t="str">
        <f>IF(Data!M76="","",IF(ISNUMBER(MATCH(Data!N76,Data_Val!$A$2:$A$3,0)),0,1))</f>
        <v/>
      </c>
      <c r="U76" s="11" t="str">
        <f ca="1">IF(Data!M76="","",IF(ISNUMBER(Data!O76),IF(AND(Data!O76&gt;(TODAY()-(Data_Val!$K$3*365.25)),Data!O76&lt;=(TODAY()-(Data_Val!$K$2*365.25))),0,1),1))</f>
        <v/>
      </c>
      <c r="V76" s="12" t="str">
        <f>IF(Data!G76="","",IF(Data!G76=Data_Val!$C$2,IF(Data!P76="",0,1),0))</f>
        <v/>
      </c>
      <c r="W76" s="12" t="str">
        <f>IF(Data!P76="","",IF(ISNUMBER(MATCH(Data!Q76,Data_Val!$A$2:$A$3,0)),0,1))</f>
        <v/>
      </c>
      <c r="X76" s="26" t="str">
        <f ca="1">IF(Data!P76="","",IF(ISNUMBER(Data!R76),IF(AND(Data!R76&gt;(TODAY()-(Data_Val!$L$3*365.25)),Data!R76&lt;=(TODAY()-(Data_Val!$L$2*365.25))),0,1),1))</f>
        <v/>
      </c>
      <c r="Y76" s="13" t="str">
        <f>IF(Data!$G76="","",IF(Data!$G76=Data_Val!$C$2,IF(Data!S76="",0,1),0))</f>
        <v/>
      </c>
      <c r="Z76" s="13" t="str">
        <f>IF(Data!S76="","",IF(ISNUMBER(MATCH(Data!T76,Data_Val!$A$2:$A$3,0)),0,1))</f>
        <v/>
      </c>
      <c r="AA76" s="28" t="str">
        <f ca="1">IF(Data!S76="","",IF(ISNUMBER(Data!U76),IF(AND(Data!U76&gt;(TODAY()-(Data_Val!$L$3*365.25)),Data!U76&lt;=(TODAY()-(Data_Val!$L$2*365.25))),0,1),1))</f>
        <v/>
      </c>
      <c r="AB76" s="11"/>
      <c r="AC76" s="11" t="e">
        <f>IF(Data!#REF!="","",IF(ISNUMBER(MATCH(Data!#REF!,Data_Val!$A$2:$A$3,0)),0,1))</f>
        <v>#REF!</v>
      </c>
      <c r="AD76" s="11" t="e">
        <f ca="1">IF(Data!#REF!="","",IF(ISNUMBER(Data!#REF!),IF(AND(Data!#REF!&gt;(TODAY()-(Data_Val!$L$3*365.25)),Data!#REF!&lt;=(TODAY()-(Data_Val!$L$2*365.25))),0,1),1))</f>
        <v>#REF!</v>
      </c>
      <c r="AE76" s="11" t="e">
        <f>IF(Data!#REF!="","",IF(Data!$G76="",1,IF(ISNUMBER(MATCH(Data!#REF!,Data_Val!$D$2:$D$10,0)),0,1)))</f>
        <v>#REF!</v>
      </c>
      <c r="AF76" s="12"/>
      <c r="AG76" s="12" t="e">
        <f>IF(Data!#REF!="","",IF(ISNUMBER(MATCH(Data!#REF!,Data_Val!$A$2:$A$3,0)),0,1))</f>
        <v>#REF!</v>
      </c>
      <c r="AH76" s="26" t="e">
        <f ca="1">IF(Data!#REF!="","",IF(ISNUMBER(Data!#REF!),IF(AND(Data!#REF!&gt;(TODAY()-(Data_Val!$L$3*365.25)),Data!#REF!&lt;=(TODAY()-(Data_Val!$L$2*365.25))),0,1),1))</f>
        <v>#REF!</v>
      </c>
      <c r="AI76" s="12" t="e">
        <f>IF(Data!#REF!="","",IF(Data!$G76="",1,IF(ISNUMBER(MATCH(Data!#REF!,Data_Val!$D$2:$D$10,0)),0,1)))</f>
        <v>#REF!</v>
      </c>
      <c r="AJ76" s="17"/>
      <c r="AK76" s="17" t="e">
        <f>IF(Data!#REF!="","",IF(ISNUMBER(MATCH(Data!#REF!,Data_Val!$A$2:$A$3,0)),0,1))</f>
        <v>#REF!</v>
      </c>
      <c r="AL76" s="25" t="e">
        <f ca="1">IF(Data!#REF!="","",IF(ISNUMBER(Data!#REF!),IF(AND(Data!#REF!&gt;(TODAY()-(Data_Val!$L$3*365.25)),Data!#REF!&lt;=(TODAY()-(Data_Val!$L$2*365.25))),0,1),1))</f>
        <v>#REF!</v>
      </c>
      <c r="AM76" s="17" t="e">
        <f>IF(Data!#REF!="","",IF(Data!$G76="",1,IF(ISNUMBER(MATCH(Data!#REF!,Data_Val!$D$2:$D$10,0)),0,1)))</f>
        <v>#REF!</v>
      </c>
      <c r="AN76" s="13"/>
      <c r="AO76" s="28" t="e">
        <f ca="1">IF(Data!#REF!="","",IF(ISNUMBER(Data!#REF!),IF(AND(Data!#REF!&gt;(TODAY()-(Data_Val!$I$3*365.25)),Data!#REF!&lt;=(TODAY()-(Data_Val!$I$2*365.25))),0,1),1))</f>
        <v>#REF!</v>
      </c>
      <c r="AP76" s="13" t="e">
        <f>IF(Data!#REF!="","",IF(Data!$G76="",1,IF(ISNUMBER(MATCH(Data!#REF!,Data_Val!$D$2:$D$10,0)),0,1)))</f>
        <v>#REF!</v>
      </c>
      <c r="AQ76" s="17"/>
      <c r="AR76" s="30" t="e">
        <f ca="1">IF(Data!#REF!="","",IF(ISNUMBER(Data!#REF!),IF(AND(Data!#REF!&gt;(TODAY()-(Data_Val!$I$3*365.25)),Data!#REF!&lt;=(TODAY()-(Data_Val!$I$2*365.25))),0,1),1))</f>
        <v>#REF!</v>
      </c>
      <c r="AS76" s="31" t="e">
        <f>IF(Data!#REF!="","",IF(Data!$G76="",1,IF(ISNUMBER(MATCH(Data!#REF!,Data_Val!$D$2:$D$10,0)),0,1)))</f>
        <v>#REF!</v>
      </c>
      <c r="AT76" s="11"/>
      <c r="AU76" s="11" t="e">
        <f ca="1">IF(Data!#REF!="","",IF(ISNUMBER(Data!#REF!),IF(AND(Data!#REF!&gt;(TODAY()-(Data_Val!$I$3*365.25)),Data!#REF!&lt;=(TODAY()-(Data_Val!$I$2*365.25))),0,1),1))</f>
        <v>#REF!</v>
      </c>
      <c r="AV76" s="11" t="e">
        <f>IF(Data!#REF!="","",IF(Data!$G76="",1,IF(ISNUMBER(MATCH(Data!#REF!,Data_Val!$D$2:$D$10,0)),0,1)))</f>
        <v>#REF!</v>
      </c>
      <c r="AW76" s="12"/>
      <c r="AX76" s="26" t="e">
        <f ca="1">IF(Data!#REF!="","",IF(ISNUMBER(Data!#REF!),IF(AND(Data!#REF!&gt;(TODAY()-(Data_Val!$I$3*365.25)),Data!#REF!&lt;=(TODAY()-(Data_Val!$I$2*365.25))),0,1),1))</f>
        <v>#REF!</v>
      </c>
      <c r="AY76" s="12" t="e">
        <f>IF(Data!#REF!="","",IF(Data!$G76="",1,IF(ISNUMBER(MATCH(Data!#REF!,Data_Val!$D$2:$D$10,0)),0,1)))</f>
        <v>#REF!</v>
      </c>
      <c r="AZ76" s="11"/>
      <c r="BA76" s="19" t="e">
        <f ca="1">IF(Data!#REF!="","",IF(ISNUMBER(Data!#REF!),IF(AND(Data!#REF!&gt;(TODAY()-(Data_Val!$M$3*365.25)),Data!#REF!&lt;=(TODAY()-(Data_Val!$M$2*365.25))),0,1),1))</f>
        <v>#REF!</v>
      </c>
      <c r="BB76" s="11" t="e">
        <f>IF(Data!#REF!="","",IF(Data!$G76="",1,IF(ISNUMBER(MATCH(Data!#REF!,Data_Val!$D$2:$D$10,0)),0,1)))</f>
        <v>#REF!</v>
      </c>
      <c r="BC76" s="12"/>
      <c r="BD76" s="20" t="e">
        <f ca="1">IF(Data!#REF!="","",IF(ISNUMBER(Data!#REF!),IF(AND(Data!#REF!&gt;(TODAY()-(Data_Val!$M$3*365.25)),Data!#REF!&lt;=(TODAY()-(Data_Val!$M$2*365.25))),0,1),1))</f>
        <v>#REF!</v>
      </c>
      <c r="BE76" s="12" t="e">
        <f>IF(Data!#REF!="","",IF(Data!$G76="",1,IF(ISNUMBER(MATCH(Data!#REF!,Data_Val!$D$2:$D$10,0)),0,1)))</f>
        <v>#REF!</v>
      </c>
      <c r="BF76" s="17"/>
      <c r="BG76" s="18" t="e">
        <f ca="1">IF(Data!#REF!="","",IF(ISNUMBER(Data!#REF!),IF(AND(Data!#REF!&gt;(TODAY()-(Data_Val!$M$3*365.25)),Data!#REF!&lt;=(TODAY()-(Data_Val!$M$2*365.25))),0,1),1))</f>
        <v>#REF!</v>
      </c>
      <c r="BH76" s="29" t="e">
        <f>IF(Data!#REF!="","",IF(Data!$G76="",1,IF(ISNUMBER(MATCH(Data!#REF!,Data_Val!$D$2:$D$10,0)),0,1)))</f>
        <v>#REF!</v>
      </c>
      <c r="BI76" s="13"/>
      <c r="BJ76" s="21" t="e">
        <f ca="1">IF(Data!#REF!="","",IF(ISNUMBER(Data!#REF!),IF(AND(Data!#REF!&gt;(TODAY()-(Data_Val!$M$3*365.25)),Data!#REF!&lt;=(TODAY()-(Data_Val!$M$2*365.25))),0,1),1))</f>
        <v>#REF!</v>
      </c>
      <c r="BK76" s="13" t="e">
        <f>IF(Data!#REF!="","",IF(Data!$G76="",1,IF(ISNUMBER(MATCH(Data!#REF!,Data_Val!$D$2:$D$10,0)),0,1)))</f>
        <v>#REF!</v>
      </c>
    </row>
    <row r="77" spans="1:63" x14ac:dyDescent="0.25">
      <c r="A77" s="9" t="str">
        <f>IF(Data!B77="","",IF(COUNTIFS(Data!A$1:'Data'!A77,Data!A77)&lt;=1,0,1))</f>
        <v/>
      </c>
      <c r="B77" s="9"/>
      <c r="C77" s="23" t="str">
        <f>IF(Data!C77="","",(IF(ISNUMBER(MATCH("*@*.?*",Data!C77,0)),0,1)+IF(COUNTIFS(Data!C$1:'Data'!C77,Data!C77)&gt;1,1,0)))</f>
        <v/>
      </c>
      <c r="D77" s="9" t="str">
        <f>IF(Data!B77="","",IF(ISNUMBER(Data!D77),IF(AND(Data!D77&gt;999999999,Data!D77&lt;=9999999999),IF(COUNTIFS(Data!D$1:'Data'!D77,Data!D77)&lt;=1,0,1),1),1))</f>
        <v/>
      </c>
      <c r="E77" s="9" t="str">
        <f>IF(Data!B77="","",IF(ISNUMBER(MATCH(Data!E77,Data_Val!$A$2:$A$3,0)),0,1))</f>
        <v/>
      </c>
      <c r="F77" s="9" t="str">
        <f ca="1">IF(Data!B77="","",IF(ISNUMBER(Data!F77),IF(AND(Data!F77&gt;(TODAY()-(Data_Val!$H$3*365.25)),Data!F77&lt;=(TODAY()-(Data_Val!$H$2*365.25))),0,1),1))</f>
        <v/>
      </c>
      <c r="G77" s="15" t="str">
        <f>IF(Data!B77="","",IF(AND(Data!G77="",Data!H77&lt;&gt;""),1,IF(Data!#REF!&lt;&gt;"",0,IF(ISNUMBER(MATCH(Data!G77,Data_Val!$C$2:$C$5,0)),0,1))))</f>
        <v/>
      </c>
      <c r="H77" s="15" t="str">
        <f>IF(Data!B77="","",IF(AND(Data!G77&lt;&gt;"",Data!H77=""),1,IF(Data!#REF!&lt;&gt;"",0,IF(Data!G77="",1,IF(ISNUMBER(MATCH(Data!H77,Data_Val!$D$2:$D$35,0)),0,1)))))</f>
        <v/>
      </c>
      <c r="I77" s="15" t="str">
        <f>IF(Data!B77="","",IF(Data!G77&lt;&gt;"",0,IF(ISNUMBER(MATCH(Data!#REF!,Data_Val!$E$2:$E$12,0)),0,1)))</f>
        <v/>
      </c>
      <c r="J77" s="16" t="e">
        <f>IF(OR(Data!B77="",Data!#REF!=""),"",IF(Data!#REF!="",1,0))</f>
        <v>#REF!</v>
      </c>
      <c r="K77" s="16" t="e">
        <f>IF(OR(Data!B77="",Data!#REF!=""),"",IF(Data!#REF!="",1,0))</f>
        <v>#REF!</v>
      </c>
      <c r="L77" s="16" t="e">
        <f>IF(OR(Data!B77="",Data!#REF!=""),"",IF(ISNUMBER(Data!#REF!),IF(AND(Data!#REF!&gt;Data_Val!$G$2,Data!#REF!&lt;=Data_Val!$G$3),0,1),1))</f>
        <v>#REF!</v>
      </c>
      <c r="M77" s="9" t="e">
        <f>IF(OR(Data!B77="",Data!#REF!=""),"",IF(ISNUMBER(MATCH(Data!#REF!,Data_Val!$F$1:$F$38,0)),0,1))</f>
        <v>#REF!</v>
      </c>
      <c r="N77" s="9" t="e">
        <f>IF(OR(Data!B77="",Data!#REF!=""),"",IF(Data!#REF!="",1,0))</f>
        <v>#REF!</v>
      </c>
      <c r="O77" s="17" t="e">
        <f>IF(Data!#REF!="","",IF(Data!#REF!="",1,0))</f>
        <v>#REF!</v>
      </c>
      <c r="P77" s="17" t="e">
        <f>IF(Data!#REF!="","",IF(ISNUMBER(MATCH(Data!#REF!,Data_Val!$A$2:$A$3,0)),0,1))</f>
        <v>#REF!</v>
      </c>
      <c r="Q77" s="25" t="e">
        <f ca="1">IF(Data!#REF!="","",IF(ISNUMBER(Data!#REF!),IF(AND(Data!#REF!&gt;(TODAY()-(Data_Val!$J$3*365.25)),Data!#REF!&lt;=(TODAY()-(Data_Val!$J$2*365.25))),0,1),1))</f>
        <v>#REF!</v>
      </c>
      <c r="R77" s="17" t="e">
        <f>IF(Data!#REF!="","",IF(ISNUMBER(MATCH(Data!#REF!,Data_Val!$B$2:$B$15,0)),0,1))</f>
        <v>#REF!</v>
      </c>
      <c r="S77" s="11" t="str">
        <f>IF(Data!G77="","",IF(Data!G77=Data_Val!$C$2,IF(Data!M77="",0,1),0))</f>
        <v/>
      </c>
      <c r="T77" s="11" t="str">
        <f>IF(Data!M77="","",IF(ISNUMBER(MATCH(Data!N77,Data_Val!$A$2:$A$3,0)),0,1))</f>
        <v/>
      </c>
      <c r="U77" s="11" t="str">
        <f ca="1">IF(Data!M77="","",IF(ISNUMBER(Data!O77),IF(AND(Data!O77&gt;(TODAY()-(Data_Val!$K$3*365.25)),Data!O77&lt;=(TODAY()-(Data_Val!$K$2*365.25))),0,1),1))</f>
        <v/>
      </c>
      <c r="V77" s="12" t="str">
        <f>IF(Data!G77="","",IF(Data!G77=Data_Val!$C$2,IF(Data!P77="",0,1),0))</f>
        <v/>
      </c>
      <c r="W77" s="12" t="str">
        <f>IF(Data!P77="","",IF(ISNUMBER(MATCH(Data!Q77,Data_Val!$A$2:$A$3,0)),0,1))</f>
        <v/>
      </c>
      <c r="X77" s="26" t="str">
        <f ca="1">IF(Data!P77="","",IF(ISNUMBER(Data!R77),IF(AND(Data!R77&gt;(TODAY()-(Data_Val!$L$3*365.25)),Data!R77&lt;=(TODAY()-(Data_Val!$L$2*365.25))),0,1),1))</f>
        <v/>
      </c>
      <c r="Y77" s="13" t="str">
        <f>IF(Data!$G77="","",IF(Data!$G77=Data_Val!$C$2,IF(Data!S77="",0,1),0))</f>
        <v/>
      </c>
      <c r="Z77" s="13" t="str">
        <f>IF(Data!S77="","",IF(ISNUMBER(MATCH(Data!T77,Data_Val!$A$2:$A$3,0)),0,1))</f>
        <v/>
      </c>
      <c r="AA77" s="28" t="str">
        <f ca="1">IF(Data!S77="","",IF(ISNUMBER(Data!U77),IF(AND(Data!U77&gt;(TODAY()-(Data_Val!$L$3*365.25)),Data!U77&lt;=(TODAY()-(Data_Val!$L$2*365.25))),0,1),1))</f>
        <v/>
      </c>
      <c r="AB77" s="11"/>
      <c r="AC77" s="11" t="e">
        <f>IF(Data!#REF!="","",IF(ISNUMBER(MATCH(Data!#REF!,Data_Val!$A$2:$A$3,0)),0,1))</f>
        <v>#REF!</v>
      </c>
      <c r="AD77" s="11" t="e">
        <f ca="1">IF(Data!#REF!="","",IF(ISNUMBER(Data!#REF!),IF(AND(Data!#REF!&gt;(TODAY()-(Data_Val!$L$3*365.25)),Data!#REF!&lt;=(TODAY()-(Data_Val!$L$2*365.25))),0,1),1))</f>
        <v>#REF!</v>
      </c>
      <c r="AE77" s="11" t="e">
        <f>IF(Data!#REF!="","",IF(Data!$G77="",1,IF(ISNUMBER(MATCH(Data!#REF!,Data_Val!$D$2:$D$10,0)),0,1)))</f>
        <v>#REF!</v>
      </c>
      <c r="AF77" s="12"/>
      <c r="AG77" s="12" t="e">
        <f>IF(Data!#REF!="","",IF(ISNUMBER(MATCH(Data!#REF!,Data_Val!$A$2:$A$3,0)),0,1))</f>
        <v>#REF!</v>
      </c>
      <c r="AH77" s="26" t="e">
        <f ca="1">IF(Data!#REF!="","",IF(ISNUMBER(Data!#REF!),IF(AND(Data!#REF!&gt;(TODAY()-(Data_Val!$L$3*365.25)),Data!#REF!&lt;=(TODAY()-(Data_Val!$L$2*365.25))),0,1),1))</f>
        <v>#REF!</v>
      </c>
      <c r="AI77" s="12" t="e">
        <f>IF(Data!#REF!="","",IF(Data!$G77="",1,IF(ISNUMBER(MATCH(Data!#REF!,Data_Val!$D$2:$D$10,0)),0,1)))</f>
        <v>#REF!</v>
      </c>
      <c r="AJ77" s="17"/>
      <c r="AK77" s="17" t="e">
        <f>IF(Data!#REF!="","",IF(ISNUMBER(MATCH(Data!#REF!,Data_Val!$A$2:$A$3,0)),0,1))</f>
        <v>#REF!</v>
      </c>
      <c r="AL77" s="25" t="e">
        <f ca="1">IF(Data!#REF!="","",IF(ISNUMBER(Data!#REF!),IF(AND(Data!#REF!&gt;(TODAY()-(Data_Val!$L$3*365.25)),Data!#REF!&lt;=(TODAY()-(Data_Val!$L$2*365.25))),0,1),1))</f>
        <v>#REF!</v>
      </c>
      <c r="AM77" s="17" t="e">
        <f>IF(Data!#REF!="","",IF(Data!$G77="",1,IF(ISNUMBER(MATCH(Data!#REF!,Data_Val!$D$2:$D$10,0)),0,1)))</f>
        <v>#REF!</v>
      </c>
      <c r="AN77" s="13"/>
      <c r="AO77" s="28" t="e">
        <f ca="1">IF(Data!#REF!="","",IF(ISNUMBER(Data!#REF!),IF(AND(Data!#REF!&gt;(TODAY()-(Data_Val!$I$3*365.25)),Data!#REF!&lt;=(TODAY()-(Data_Val!$I$2*365.25))),0,1),1))</f>
        <v>#REF!</v>
      </c>
      <c r="AP77" s="13" t="e">
        <f>IF(Data!#REF!="","",IF(Data!$G77="",1,IF(ISNUMBER(MATCH(Data!#REF!,Data_Val!$D$2:$D$10,0)),0,1)))</f>
        <v>#REF!</v>
      </c>
      <c r="AQ77" s="17"/>
      <c r="AR77" s="30" t="e">
        <f ca="1">IF(Data!#REF!="","",IF(ISNUMBER(Data!#REF!),IF(AND(Data!#REF!&gt;(TODAY()-(Data_Val!$I$3*365.25)),Data!#REF!&lt;=(TODAY()-(Data_Val!$I$2*365.25))),0,1),1))</f>
        <v>#REF!</v>
      </c>
      <c r="AS77" s="31" t="e">
        <f>IF(Data!#REF!="","",IF(Data!$G77="",1,IF(ISNUMBER(MATCH(Data!#REF!,Data_Val!$D$2:$D$10,0)),0,1)))</f>
        <v>#REF!</v>
      </c>
      <c r="AT77" s="11"/>
      <c r="AU77" s="11" t="e">
        <f ca="1">IF(Data!#REF!="","",IF(ISNUMBER(Data!#REF!),IF(AND(Data!#REF!&gt;(TODAY()-(Data_Val!$I$3*365.25)),Data!#REF!&lt;=(TODAY()-(Data_Val!$I$2*365.25))),0,1),1))</f>
        <v>#REF!</v>
      </c>
      <c r="AV77" s="11" t="e">
        <f>IF(Data!#REF!="","",IF(Data!$G77="",1,IF(ISNUMBER(MATCH(Data!#REF!,Data_Val!$D$2:$D$10,0)),0,1)))</f>
        <v>#REF!</v>
      </c>
      <c r="AW77" s="12"/>
      <c r="AX77" s="26" t="e">
        <f ca="1">IF(Data!#REF!="","",IF(ISNUMBER(Data!#REF!),IF(AND(Data!#REF!&gt;(TODAY()-(Data_Val!$I$3*365.25)),Data!#REF!&lt;=(TODAY()-(Data_Val!$I$2*365.25))),0,1),1))</f>
        <v>#REF!</v>
      </c>
      <c r="AY77" s="12" t="e">
        <f>IF(Data!#REF!="","",IF(Data!$G77="",1,IF(ISNUMBER(MATCH(Data!#REF!,Data_Val!$D$2:$D$10,0)),0,1)))</f>
        <v>#REF!</v>
      </c>
      <c r="AZ77" s="11"/>
      <c r="BA77" s="19" t="e">
        <f ca="1">IF(Data!#REF!="","",IF(ISNUMBER(Data!#REF!),IF(AND(Data!#REF!&gt;(TODAY()-(Data_Val!$M$3*365.25)),Data!#REF!&lt;=(TODAY()-(Data_Val!$M$2*365.25))),0,1),1))</f>
        <v>#REF!</v>
      </c>
      <c r="BB77" s="11" t="e">
        <f>IF(Data!#REF!="","",IF(Data!$G77="",1,IF(ISNUMBER(MATCH(Data!#REF!,Data_Val!$D$2:$D$10,0)),0,1)))</f>
        <v>#REF!</v>
      </c>
      <c r="BC77" s="12"/>
      <c r="BD77" s="20" t="e">
        <f ca="1">IF(Data!#REF!="","",IF(ISNUMBER(Data!#REF!),IF(AND(Data!#REF!&gt;(TODAY()-(Data_Val!$M$3*365.25)),Data!#REF!&lt;=(TODAY()-(Data_Val!$M$2*365.25))),0,1),1))</f>
        <v>#REF!</v>
      </c>
      <c r="BE77" s="12" t="e">
        <f>IF(Data!#REF!="","",IF(Data!$G77="",1,IF(ISNUMBER(MATCH(Data!#REF!,Data_Val!$D$2:$D$10,0)),0,1)))</f>
        <v>#REF!</v>
      </c>
      <c r="BF77" s="17"/>
      <c r="BG77" s="18" t="e">
        <f ca="1">IF(Data!#REF!="","",IF(ISNUMBER(Data!#REF!),IF(AND(Data!#REF!&gt;(TODAY()-(Data_Val!$M$3*365.25)),Data!#REF!&lt;=(TODAY()-(Data_Val!$M$2*365.25))),0,1),1))</f>
        <v>#REF!</v>
      </c>
      <c r="BH77" s="29" t="e">
        <f>IF(Data!#REF!="","",IF(Data!$G77="",1,IF(ISNUMBER(MATCH(Data!#REF!,Data_Val!$D$2:$D$10,0)),0,1)))</f>
        <v>#REF!</v>
      </c>
      <c r="BI77" s="13"/>
      <c r="BJ77" s="21" t="e">
        <f ca="1">IF(Data!#REF!="","",IF(ISNUMBER(Data!#REF!),IF(AND(Data!#REF!&gt;(TODAY()-(Data_Val!$M$3*365.25)),Data!#REF!&lt;=(TODAY()-(Data_Val!$M$2*365.25))),0,1),1))</f>
        <v>#REF!</v>
      </c>
      <c r="BK77" s="13" t="e">
        <f>IF(Data!#REF!="","",IF(Data!$G77="",1,IF(ISNUMBER(MATCH(Data!#REF!,Data_Val!$D$2:$D$10,0)),0,1)))</f>
        <v>#REF!</v>
      </c>
    </row>
    <row r="78" spans="1:63" x14ac:dyDescent="0.25">
      <c r="A78" s="9" t="str">
        <f>IF(Data!B78="","",IF(COUNTIFS(Data!A$1:'Data'!A78,Data!A78)&lt;=1,0,1))</f>
        <v/>
      </c>
      <c r="B78" s="9"/>
      <c r="C78" s="23" t="str">
        <f>IF(Data!C78="","",(IF(ISNUMBER(MATCH("*@*.?*",Data!C78,0)),0,1)+IF(COUNTIFS(Data!C$1:'Data'!C78,Data!C78)&gt;1,1,0)))</f>
        <v/>
      </c>
      <c r="D78" s="9" t="str">
        <f>IF(Data!B78="","",IF(ISNUMBER(Data!D78),IF(AND(Data!D78&gt;999999999,Data!D78&lt;=9999999999),IF(COUNTIFS(Data!D$1:'Data'!D78,Data!D78)&lt;=1,0,1),1),1))</f>
        <v/>
      </c>
      <c r="E78" s="9" t="str">
        <f>IF(Data!B78="","",IF(ISNUMBER(MATCH(Data!E78,Data_Val!$A$2:$A$3,0)),0,1))</f>
        <v/>
      </c>
      <c r="F78" s="9" t="str">
        <f ca="1">IF(Data!B78="","",IF(ISNUMBER(Data!F78),IF(AND(Data!F78&gt;(TODAY()-(Data_Val!$H$3*365.25)),Data!F78&lt;=(TODAY()-(Data_Val!$H$2*365.25))),0,1),1))</f>
        <v/>
      </c>
      <c r="G78" s="15" t="str">
        <f>IF(Data!B78="","",IF(AND(Data!G78="",Data!H78&lt;&gt;""),1,IF(Data!#REF!&lt;&gt;"",0,IF(ISNUMBER(MATCH(Data!G78,Data_Val!$C$2:$C$5,0)),0,1))))</f>
        <v/>
      </c>
      <c r="H78" s="15" t="str">
        <f>IF(Data!B78="","",IF(AND(Data!G78&lt;&gt;"",Data!H78=""),1,IF(Data!#REF!&lt;&gt;"",0,IF(Data!G78="",1,IF(ISNUMBER(MATCH(Data!H78,Data_Val!$D$2:$D$35,0)),0,1)))))</f>
        <v/>
      </c>
      <c r="I78" s="15" t="str">
        <f>IF(Data!B78="","",IF(Data!G78&lt;&gt;"",0,IF(ISNUMBER(MATCH(Data!#REF!,Data_Val!$E$2:$E$12,0)),0,1)))</f>
        <v/>
      </c>
      <c r="J78" s="16" t="e">
        <f>IF(OR(Data!B78="",Data!#REF!=""),"",IF(Data!#REF!="",1,0))</f>
        <v>#REF!</v>
      </c>
      <c r="K78" s="16" t="e">
        <f>IF(OR(Data!B78="",Data!#REF!=""),"",IF(Data!#REF!="",1,0))</f>
        <v>#REF!</v>
      </c>
      <c r="L78" s="16" t="e">
        <f>IF(OR(Data!B78="",Data!#REF!=""),"",IF(ISNUMBER(Data!#REF!),IF(AND(Data!#REF!&gt;Data_Val!$G$2,Data!#REF!&lt;=Data_Val!$G$3),0,1),1))</f>
        <v>#REF!</v>
      </c>
      <c r="M78" s="9" t="e">
        <f>IF(OR(Data!B78="",Data!#REF!=""),"",IF(ISNUMBER(MATCH(Data!#REF!,Data_Val!$F$1:$F$38,0)),0,1))</f>
        <v>#REF!</v>
      </c>
      <c r="N78" s="9" t="e">
        <f>IF(OR(Data!B78="",Data!#REF!=""),"",IF(Data!#REF!="",1,0))</f>
        <v>#REF!</v>
      </c>
      <c r="O78" s="17" t="e">
        <f>IF(Data!#REF!="","",IF(Data!#REF!="",1,0))</f>
        <v>#REF!</v>
      </c>
      <c r="P78" s="17" t="e">
        <f>IF(Data!#REF!="","",IF(ISNUMBER(MATCH(Data!#REF!,Data_Val!$A$2:$A$3,0)),0,1))</f>
        <v>#REF!</v>
      </c>
      <c r="Q78" s="25" t="e">
        <f ca="1">IF(Data!#REF!="","",IF(ISNUMBER(Data!#REF!),IF(AND(Data!#REF!&gt;(TODAY()-(Data_Val!$J$3*365.25)),Data!#REF!&lt;=(TODAY()-(Data_Val!$J$2*365.25))),0,1),1))</f>
        <v>#REF!</v>
      </c>
      <c r="R78" s="17" t="e">
        <f>IF(Data!#REF!="","",IF(ISNUMBER(MATCH(Data!#REF!,Data_Val!$B$2:$B$15,0)),0,1))</f>
        <v>#REF!</v>
      </c>
      <c r="S78" s="11" t="str">
        <f>IF(Data!G78="","",IF(Data!G78=Data_Val!$C$2,IF(Data!M78="",0,1),0))</f>
        <v/>
      </c>
      <c r="T78" s="11" t="str">
        <f>IF(Data!M78="","",IF(ISNUMBER(MATCH(Data!N78,Data_Val!$A$2:$A$3,0)),0,1))</f>
        <v/>
      </c>
      <c r="U78" s="11" t="str">
        <f ca="1">IF(Data!M78="","",IF(ISNUMBER(Data!O78),IF(AND(Data!O78&gt;(TODAY()-(Data_Val!$K$3*365.25)),Data!O78&lt;=(TODAY()-(Data_Val!$K$2*365.25))),0,1),1))</f>
        <v/>
      </c>
      <c r="V78" s="12" t="str">
        <f>IF(Data!G78="","",IF(Data!G78=Data_Val!$C$2,IF(Data!P78="",0,1),0))</f>
        <v/>
      </c>
      <c r="W78" s="12" t="str">
        <f>IF(Data!P78="","",IF(ISNUMBER(MATCH(Data!Q78,Data_Val!$A$2:$A$3,0)),0,1))</f>
        <v/>
      </c>
      <c r="X78" s="26" t="str">
        <f ca="1">IF(Data!P78="","",IF(ISNUMBER(Data!R78),IF(AND(Data!R78&gt;(TODAY()-(Data_Val!$L$3*365.25)),Data!R78&lt;=(TODAY()-(Data_Val!$L$2*365.25))),0,1),1))</f>
        <v/>
      </c>
      <c r="Y78" s="13" t="str">
        <f>IF(Data!$G78="","",IF(Data!$G78=Data_Val!$C$2,IF(Data!S78="",0,1),0))</f>
        <v/>
      </c>
      <c r="Z78" s="13" t="str">
        <f>IF(Data!S78="","",IF(ISNUMBER(MATCH(Data!T78,Data_Val!$A$2:$A$3,0)),0,1))</f>
        <v/>
      </c>
      <c r="AA78" s="28" t="str">
        <f ca="1">IF(Data!S78="","",IF(ISNUMBER(Data!U78),IF(AND(Data!U78&gt;(TODAY()-(Data_Val!$L$3*365.25)),Data!U78&lt;=(TODAY()-(Data_Val!$L$2*365.25))),0,1),1))</f>
        <v/>
      </c>
      <c r="AB78" s="11"/>
      <c r="AC78" s="11" t="e">
        <f>IF(Data!#REF!="","",IF(ISNUMBER(MATCH(Data!#REF!,Data_Val!$A$2:$A$3,0)),0,1))</f>
        <v>#REF!</v>
      </c>
      <c r="AD78" s="11" t="e">
        <f ca="1">IF(Data!#REF!="","",IF(ISNUMBER(Data!#REF!),IF(AND(Data!#REF!&gt;(TODAY()-(Data_Val!$L$3*365.25)),Data!#REF!&lt;=(TODAY()-(Data_Val!$L$2*365.25))),0,1),1))</f>
        <v>#REF!</v>
      </c>
      <c r="AE78" s="11" t="e">
        <f>IF(Data!#REF!="","",IF(Data!$G78="",1,IF(ISNUMBER(MATCH(Data!#REF!,Data_Val!$D$2:$D$10,0)),0,1)))</f>
        <v>#REF!</v>
      </c>
      <c r="AF78" s="12"/>
      <c r="AG78" s="12" t="e">
        <f>IF(Data!#REF!="","",IF(ISNUMBER(MATCH(Data!#REF!,Data_Val!$A$2:$A$3,0)),0,1))</f>
        <v>#REF!</v>
      </c>
      <c r="AH78" s="26" t="e">
        <f ca="1">IF(Data!#REF!="","",IF(ISNUMBER(Data!#REF!),IF(AND(Data!#REF!&gt;(TODAY()-(Data_Val!$L$3*365.25)),Data!#REF!&lt;=(TODAY()-(Data_Val!$L$2*365.25))),0,1),1))</f>
        <v>#REF!</v>
      </c>
      <c r="AI78" s="12" t="e">
        <f>IF(Data!#REF!="","",IF(Data!$G78="",1,IF(ISNUMBER(MATCH(Data!#REF!,Data_Val!$D$2:$D$10,0)),0,1)))</f>
        <v>#REF!</v>
      </c>
      <c r="AJ78" s="17"/>
      <c r="AK78" s="17" t="e">
        <f>IF(Data!#REF!="","",IF(ISNUMBER(MATCH(Data!#REF!,Data_Val!$A$2:$A$3,0)),0,1))</f>
        <v>#REF!</v>
      </c>
      <c r="AL78" s="25" t="e">
        <f ca="1">IF(Data!#REF!="","",IF(ISNUMBER(Data!#REF!),IF(AND(Data!#REF!&gt;(TODAY()-(Data_Val!$L$3*365.25)),Data!#REF!&lt;=(TODAY()-(Data_Val!$L$2*365.25))),0,1),1))</f>
        <v>#REF!</v>
      </c>
      <c r="AM78" s="17" t="e">
        <f>IF(Data!#REF!="","",IF(Data!$G78="",1,IF(ISNUMBER(MATCH(Data!#REF!,Data_Val!$D$2:$D$10,0)),0,1)))</f>
        <v>#REF!</v>
      </c>
      <c r="AN78" s="13"/>
      <c r="AO78" s="28" t="e">
        <f ca="1">IF(Data!#REF!="","",IF(ISNUMBER(Data!#REF!),IF(AND(Data!#REF!&gt;(TODAY()-(Data_Val!$I$3*365.25)),Data!#REF!&lt;=(TODAY()-(Data_Val!$I$2*365.25))),0,1),1))</f>
        <v>#REF!</v>
      </c>
      <c r="AP78" s="13" t="e">
        <f>IF(Data!#REF!="","",IF(Data!$G78="",1,IF(ISNUMBER(MATCH(Data!#REF!,Data_Val!$D$2:$D$10,0)),0,1)))</f>
        <v>#REF!</v>
      </c>
      <c r="AQ78" s="17"/>
      <c r="AR78" s="30" t="e">
        <f ca="1">IF(Data!#REF!="","",IF(ISNUMBER(Data!#REF!),IF(AND(Data!#REF!&gt;(TODAY()-(Data_Val!$I$3*365.25)),Data!#REF!&lt;=(TODAY()-(Data_Val!$I$2*365.25))),0,1),1))</f>
        <v>#REF!</v>
      </c>
      <c r="AS78" s="31" t="e">
        <f>IF(Data!#REF!="","",IF(Data!$G78="",1,IF(ISNUMBER(MATCH(Data!#REF!,Data_Val!$D$2:$D$10,0)),0,1)))</f>
        <v>#REF!</v>
      </c>
      <c r="AT78" s="11"/>
      <c r="AU78" s="11" t="e">
        <f ca="1">IF(Data!#REF!="","",IF(ISNUMBER(Data!#REF!),IF(AND(Data!#REF!&gt;(TODAY()-(Data_Val!$I$3*365.25)),Data!#REF!&lt;=(TODAY()-(Data_Val!$I$2*365.25))),0,1),1))</f>
        <v>#REF!</v>
      </c>
      <c r="AV78" s="11" t="e">
        <f>IF(Data!#REF!="","",IF(Data!$G78="",1,IF(ISNUMBER(MATCH(Data!#REF!,Data_Val!$D$2:$D$10,0)),0,1)))</f>
        <v>#REF!</v>
      </c>
      <c r="AW78" s="12"/>
      <c r="AX78" s="26" t="e">
        <f ca="1">IF(Data!#REF!="","",IF(ISNUMBER(Data!#REF!),IF(AND(Data!#REF!&gt;(TODAY()-(Data_Val!$I$3*365.25)),Data!#REF!&lt;=(TODAY()-(Data_Val!$I$2*365.25))),0,1),1))</f>
        <v>#REF!</v>
      </c>
      <c r="AY78" s="12" t="e">
        <f>IF(Data!#REF!="","",IF(Data!$G78="",1,IF(ISNUMBER(MATCH(Data!#REF!,Data_Val!$D$2:$D$10,0)),0,1)))</f>
        <v>#REF!</v>
      </c>
      <c r="AZ78" s="11"/>
      <c r="BA78" s="19" t="e">
        <f ca="1">IF(Data!#REF!="","",IF(ISNUMBER(Data!#REF!),IF(AND(Data!#REF!&gt;(TODAY()-(Data_Val!$M$3*365.25)),Data!#REF!&lt;=(TODAY()-(Data_Val!$M$2*365.25))),0,1),1))</f>
        <v>#REF!</v>
      </c>
      <c r="BB78" s="11" t="e">
        <f>IF(Data!#REF!="","",IF(Data!$G78="",1,IF(ISNUMBER(MATCH(Data!#REF!,Data_Val!$D$2:$D$10,0)),0,1)))</f>
        <v>#REF!</v>
      </c>
      <c r="BC78" s="12"/>
      <c r="BD78" s="20" t="e">
        <f ca="1">IF(Data!#REF!="","",IF(ISNUMBER(Data!#REF!),IF(AND(Data!#REF!&gt;(TODAY()-(Data_Val!$M$3*365.25)),Data!#REF!&lt;=(TODAY()-(Data_Val!$M$2*365.25))),0,1),1))</f>
        <v>#REF!</v>
      </c>
      <c r="BE78" s="12" t="e">
        <f>IF(Data!#REF!="","",IF(Data!$G78="",1,IF(ISNUMBER(MATCH(Data!#REF!,Data_Val!$D$2:$D$10,0)),0,1)))</f>
        <v>#REF!</v>
      </c>
      <c r="BF78" s="17"/>
      <c r="BG78" s="18" t="e">
        <f ca="1">IF(Data!#REF!="","",IF(ISNUMBER(Data!#REF!),IF(AND(Data!#REF!&gt;(TODAY()-(Data_Val!$M$3*365.25)),Data!#REF!&lt;=(TODAY()-(Data_Val!$M$2*365.25))),0,1),1))</f>
        <v>#REF!</v>
      </c>
      <c r="BH78" s="29" t="e">
        <f>IF(Data!#REF!="","",IF(Data!$G78="",1,IF(ISNUMBER(MATCH(Data!#REF!,Data_Val!$D$2:$D$10,0)),0,1)))</f>
        <v>#REF!</v>
      </c>
      <c r="BI78" s="13"/>
      <c r="BJ78" s="21" t="e">
        <f ca="1">IF(Data!#REF!="","",IF(ISNUMBER(Data!#REF!),IF(AND(Data!#REF!&gt;(TODAY()-(Data_Val!$M$3*365.25)),Data!#REF!&lt;=(TODAY()-(Data_Val!$M$2*365.25))),0,1),1))</f>
        <v>#REF!</v>
      </c>
      <c r="BK78" s="13" t="e">
        <f>IF(Data!#REF!="","",IF(Data!$G78="",1,IF(ISNUMBER(MATCH(Data!#REF!,Data_Val!$D$2:$D$10,0)),0,1)))</f>
        <v>#REF!</v>
      </c>
    </row>
    <row r="79" spans="1:63" x14ac:dyDescent="0.25">
      <c r="A79" s="9" t="str">
        <f>IF(Data!B79="","",IF(COUNTIFS(Data!A$1:'Data'!A79,Data!A79)&lt;=1,0,1))</f>
        <v/>
      </c>
      <c r="B79" s="9"/>
      <c r="C79" s="23" t="str">
        <f>IF(Data!C79="","",(IF(ISNUMBER(MATCH("*@*.?*",Data!C79,0)),0,1)+IF(COUNTIFS(Data!C$1:'Data'!C79,Data!C79)&gt;1,1,0)))</f>
        <v/>
      </c>
      <c r="D79" s="9" t="str">
        <f>IF(Data!B79="","",IF(ISNUMBER(Data!D79),IF(AND(Data!D79&gt;999999999,Data!D79&lt;=9999999999),IF(COUNTIFS(Data!D$1:'Data'!D79,Data!D79)&lt;=1,0,1),1),1))</f>
        <v/>
      </c>
      <c r="E79" s="9" t="str">
        <f>IF(Data!B79="","",IF(ISNUMBER(MATCH(Data!E79,Data_Val!$A$2:$A$3,0)),0,1))</f>
        <v/>
      </c>
      <c r="F79" s="9" t="str">
        <f ca="1">IF(Data!B79="","",IF(ISNUMBER(Data!F79),IF(AND(Data!F79&gt;(TODAY()-(Data_Val!$H$3*365.25)),Data!F79&lt;=(TODAY()-(Data_Val!$H$2*365.25))),0,1),1))</f>
        <v/>
      </c>
      <c r="G79" s="15" t="str">
        <f>IF(Data!B79="","",IF(AND(Data!G79="",Data!H79&lt;&gt;""),1,IF(Data!#REF!&lt;&gt;"",0,IF(ISNUMBER(MATCH(Data!G79,Data_Val!$C$2:$C$5,0)),0,1))))</f>
        <v/>
      </c>
      <c r="H79" s="15" t="str">
        <f>IF(Data!B79="","",IF(AND(Data!G79&lt;&gt;"",Data!H79=""),1,IF(Data!#REF!&lt;&gt;"",0,IF(Data!G79="",1,IF(ISNUMBER(MATCH(Data!H79,Data_Val!$D$2:$D$35,0)),0,1)))))</f>
        <v/>
      </c>
      <c r="I79" s="15" t="str">
        <f>IF(Data!B79="","",IF(Data!G79&lt;&gt;"",0,IF(ISNUMBER(MATCH(Data!#REF!,Data_Val!$E$2:$E$12,0)),0,1)))</f>
        <v/>
      </c>
      <c r="J79" s="16" t="e">
        <f>IF(OR(Data!B79="",Data!#REF!=""),"",IF(Data!#REF!="",1,0))</f>
        <v>#REF!</v>
      </c>
      <c r="K79" s="16" t="e">
        <f>IF(OR(Data!B79="",Data!#REF!=""),"",IF(Data!#REF!="",1,0))</f>
        <v>#REF!</v>
      </c>
      <c r="L79" s="16" t="e">
        <f>IF(OR(Data!B79="",Data!#REF!=""),"",IF(ISNUMBER(Data!#REF!),IF(AND(Data!#REF!&gt;Data_Val!$G$2,Data!#REF!&lt;=Data_Val!$G$3),0,1),1))</f>
        <v>#REF!</v>
      </c>
      <c r="M79" s="9" t="e">
        <f>IF(OR(Data!B79="",Data!#REF!=""),"",IF(ISNUMBER(MATCH(Data!#REF!,Data_Val!$F$1:$F$38,0)),0,1))</f>
        <v>#REF!</v>
      </c>
      <c r="N79" s="9" t="e">
        <f>IF(OR(Data!B79="",Data!#REF!=""),"",IF(Data!#REF!="",1,0))</f>
        <v>#REF!</v>
      </c>
      <c r="O79" s="17" t="e">
        <f>IF(Data!#REF!="","",IF(Data!#REF!="",1,0))</f>
        <v>#REF!</v>
      </c>
      <c r="P79" s="17" t="e">
        <f>IF(Data!#REF!="","",IF(ISNUMBER(MATCH(Data!#REF!,Data_Val!$A$2:$A$3,0)),0,1))</f>
        <v>#REF!</v>
      </c>
      <c r="Q79" s="25" t="e">
        <f ca="1">IF(Data!#REF!="","",IF(ISNUMBER(Data!#REF!),IF(AND(Data!#REF!&gt;(TODAY()-(Data_Val!$J$3*365.25)),Data!#REF!&lt;=(TODAY()-(Data_Val!$J$2*365.25))),0,1),1))</f>
        <v>#REF!</v>
      </c>
      <c r="R79" s="17" t="e">
        <f>IF(Data!#REF!="","",IF(ISNUMBER(MATCH(Data!#REF!,Data_Val!$B$2:$B$15,0)),0,1))</f>
        <v>#REF!</v>
      </c>
      <c r="S79" s="11" t="str">
        <f>IF(Data!G79="","",IF(Data!G79=Data_Val!$C$2,IF(Data!M79="",0,1),0))</f>
        <v/>
      </c>
      <c r="T79" s="11" t="str">
        <f>IF(Data!M79="","",IF(ISNUMBER(MATCH(Data!N79,Data_Val!$A$2:$A$3,0)),0,1))</f>
        <v/>
      </c>
      <c r="U79" s="11" t="str">
        <f ca="1">IF(Data!M79="","",IF(ISNUMBER(Data!O79),IF(AND(Data!O79&gt;(TODAY()-(Data_Val!$K$3*365.25)),Data!O79&lt;=(TODAY()-(Data_Val!$K$2*365.25))),0,1),1))</f>
        <v/>
      </c>
      <c r="V79" s="12" t="str">
        <f>IF(Data!G79="","",IF(Data!G79=Data_Val!$C$2,IF(Data!P79="",0,1),0))</f>
        <v/>
      </c>
      <c r="W79" s="12" t="str">
        <f>IF(Data!P79="","",IF(ISNUMBER(MATCH(Data!Q79,Data_Val!$A$2:$A$3,0)),0,1))</f>
        <v/>
      </c>
      <c r="X79" s="26" t="str">
        <f ca="1">IF(Data!P79="","",IF(ISNUMBER(Data!R79),IF(AND(Data!R79&gt;(TODAY()-(Data_Val!$L$3*365.25)),Data!R79&lt;=(TODAY()-(Data_Val!$L$2*365.25))),0,1),1))</f>
        <v/>
      </c>
      <c r="Y79" s="13" t="str">
        <f>IF(Data!$G79="","",IF(Data!$G79=Data_Val!$C$2,IF(Data!S79="",0,1),0))</f>
        <v/>
      </c>
      <c r="Z79" s="13" t="str">
        <f>IF(Data!S79="","",IF(ISNUMBER(MATCH(Data!T79,Data_Val!$A$2:$A$3,0)),0,1))</f>
        <v/>
      </c>
      <c r="AA79" s="28" t="str">
        <f ca="1">IF(Data!S79="","",IF(ISNUMBER(Data!U79),IF(AND(Data!U79&gt;(TODAY()-(Data_Val!$L$3*365.25)),Data!U79&lt;=(TODAY()-(Data_Val!$L$2*365.25))),0,1),1))</f>
        <v/>
      </c>
      <c r="AB79" s="11"/>
      <c r="AC79" s="11" t="e">
        <f>IF(Data!#REF!="","",IF(ISNUMBER(MATCH(Data!#REF!,Data_Val!$A$2:$A$3,0)),0,1))</f>
        <v>#REF!</v>
      </c>
      <c r="AD79" s="11" t="e">
        <f ca="1">IF(Data!#REF!="","",IF(ISNUMBER(Data!#REF!),IF(AND(Data!#REF!&gt;(TODAY()-(Data_Val!$L$3*365.25)),Data!#REF!&lt;=(TODAY()-(Data_Val!$L$2*365.25))),0,1),1))</f>
        <v>#REF!</v>
      </c>
      <c r="AE79" s="11" t="e">
        <f>IF(Data!#REF!="","",IF(Data!$G79="",1,IF(ISNUMBER(MATCH(Data!#REF!,Data_Val!$D$2:$D$10,0)),0,1)))</f>
        <v>#REF!</v>
      </c>
      <c r="AF79" s="12"/>
      <c r="AG79" s="12" t="e">
        <f>IF(Data!#REF!="","",IF(ISNUMBER(MATCH(Data!#REF!,Data_Val!$A$2:$A$3,0)),0,1))</f>
        <v>#REF!</v>
      </c>
      <c r="AH79" s="26" t="e">
        <f ca="1">IF(Data!#REF!="","",IF(ISNUMBER(Data!#REF!),IF(AND(Data!#REF!&gt;(TODAY()-(Data_Val!$L$3*365.25)),Data!#REF!&lt;=(TODAY()-(Data_Val!$L$2*365.25))),0,1),1))</f>
        <v>#REF!</v>
      </c>
      <c r="AI79" s="12" t="e">
        <f>IF(Data!#REF!="","",IF(Data!$G79="",1,IF(ISNUMBER(MATCH(Data!#REF!,Data_Val!$D$2:$D$10,0)),0,1)))</f>
        <v>#REF!</v>
      </c>
      <c r="AJ79" s="17"/>
      <c r="AK79" s="17" t="e">
        <f>IF(Data!#REF!="","",IF(ISNUMBER(MATCH(Data!#REF!,Data_Val!$A$2:$A$3,0)),0,1))</f>
        <v>#REF!</v>
      </c>
      <c r="AL79" s="25" t="e">
        <f ca="1">IF(Data!#REF!="","",IF(ISNUMBER(Data!#REF!),IF(AND(Data!#REF!&gt;(TODAY()-(Data_Val!$L$3*365.25)),Data!#REF!&lt;=(TODAY()-(Data_Val!$L$2*365.25))),0,1),1))</f>
        <v>#REF!</v>
      </c>
      <c r="AM79" s="17" t="e">
        <f>IF(Data!#REF!="","",IF(Data!$G79="",1,IF(ISNUMBER(MATCH(Data!#REF!,Data_Val!$D$2:$D$10,0)),0,1)))</f>
        <v>#REF!</v>
      </c>
      <c r="AN79" s="13"/>
      <c r="AO79" s="28" t="e">
        <f ca="1">IF(Data!#REF!="","",IF(ISNUMBER(Data!#REF!),IF(AND(Data!#REF!&gt;(TODAY()-(Data_Val!$I$3*365.25)),Data!#REF!&lt;=(TODAY()-(Data_Val!$I$2*365.25))),0,1),1))</f>
        <v>#REF!</v>
      </c>
      <c r="AP79" s="13" t="e">
        <f>IF(Data!#REF!="","",IF(Data!$G79="",1,IF(ISNUMBER(MATCH(Data!#REF!,Data_Val!$D$2:$D$10,0)),0,1)))</f>
        <v>#REF!</v>
      </c>
      <c r="AQ79" s="17"/>
      <c r="AR79" s="30" t="e">
        <f ca="1">IF(Data!#REF!="","",IF(ISNUMBER(Data!#REF!),IF(AND(Data!#REF!&gt;(TODAY()-(Data_Val!$I$3*365.25)),Data!#REF!&lt;=(TODAY()-(Data_Val!$I$2*365.25))),0,1),1))</f>
        <v>#REF!</v>
      </c>
      <c r="AS79" s="31" t="e">
        <f>IF(Data!#REF!="","",IF(Data!$G79="",1,IF(ISNUMBER(MATCH(Data!#REF!,Data_Val!$D$2:$D$10,0)),0,1)))</f>
        <v>#REF!</v>
      </c>
      <c r="AT79" s="11"/>
      <c r="AU79" s="11" t="e">
        <f ca="1">IF(Data!#REF!="","",IF(ISNUMBER(Data!#REF!),IF(AND(Data!#REF!&gt;(TODAY()-(Data_Val!$I$3*365.25)),Data!#REF!&lt;=(TODAY()-(Data_Val!$I$2*365.25))),0,1),1))</f>
        <v>#REF!</v>
      </c>
      <c r="AV79" s="11" t="e">
        <f>IF(Data!#REF!="","",IF(Data!$G79="",1,IF(ISNUMBER(MATCH(Data!#REF!,Data_Val!$D$2:$D$10,0)),0,1)))</f>
        <v>#REF!</v>
      </c>
      <c r="AW79" s="12"/>
      <c r="AX79" s="26" t="e">
        <f ca="1">IF(Data!#REF!="","",IF(ISNUMBER(Data!#REF!),IF(AND(Data!#REF!&gt;(TODAY()-(Data_Val!$I$3*365.25)),Data!#REF!&lt;=(TODAY()-(Data_Val!$I$2*365.25))),0,1),1))</f>
        <v>#REF!</v>
      </c>
      <c r="AY79" s="12" t="e">
        <f>IF(Data!#REF!="","",IF(Data!$G79="",1,IF(ISNUMBER(MATCH(Data!#REF!,Data_Val!$D$2:$D$10,0)),0,1)))</f>
        <v>#REF!</v>
      </c>
      <c r="AZ79" s="11"/>
      <c r="BA79" s="19" t="e">
        <f ca="1">IF(Data!#REF!="","",IF(ISNUMBER(Data!#REF!),IF(AND(Data!#REF!&gt;(TODAY()-(Data_Val!$M$3*365.25)),Data!#REF!&lt;=(TODAY()-(Data_Val!$M$2*365.25))),0,1),1))</f>
        <v>#REF!</v>
      </c>
      <c r="BB79" s="11" t="e">
        <f>IF(Data!#REF!="","",IF(Data!$G79="",1,IF(ISNUMBER(MATCH(Data!#REF!,Data_Val!$D$2:$D$10,0)),0,1)))</f>
        <v>#REF!</v>
      </c>
      <c r="BC79" s="12"/>
      <c r="BD79" s="20" t="e">
        <f ca="1">IF(Data!#REF!="","",IF(ISNUMBER(Data!#REF!),IF(AND(Data!#REF!&gt;(TODAY()-(Data_Val!$M$3*365.25)),Data!#REF!&lt;=(TODAY()-(Data_Val!$M$2*365.25))),0,1),1))</f>
        <v>#REF!</v>
      </c>
      <c r="BE79" s="12" t="e">
        <f>IF(Data!#REF!="","",IF(Data!$G79="",1,IF(ISNUMBER(MATCH(Data!#REF!,Data_Val!$D$2:$D$10,0)),0,1)))</f>
        <v>#REF!</v>
      </c>
      <c r="BF79" s="17"/>
      <c r="BG79" s="18" t="e">
        <f ca="1">IF(Data!#REF!="","",IF(ISNUMBER(Data!#REF!),IF(AND(Data!#REF!&gt;(TODAY()-(Data_Val!$M$3*365.25)),Data!#REF!&lt;=(TODAY()-(Data_Val!$M$2*365.25))),0,1),1))</f>
        <v>#REF!</v>
      </c>
      <c r="BH79" s="29" t="e">
        <f>IF(Data!#REF!="","",IF(Data!$G79="",1,IF(ISNUMBER(MATCH(Data!#REF!,Data_Val!$D$2:$D$10,0)),0,1)))</f>
        <v>#REF!</v>
      </c>
      <c r="BI79" s="13"/>
      <c r="BJ79" s="21" t="e">
        <f ca="1">IF(Data!#REF!="","",IF(ISNUMBER(Data!#REF!),IF(AND(Data!#REF!&gt;(TODAY()-(Data_Val!$M$3*365.25)),Data!#REF!&lt;=(TODAY()-(Data_Val!$M$2*365.25))),0,1),1))</f>
        <v>#REF!</v>
      </c>
      <c r="BK79" s="13" t="e">
        <f>IF(Data!#REF!="","",IF(Data!$G79="",1,IF(ISNUMBER(MATCH(Data!#REF!,Data_Val!$D$2:$D$10,0)),0,1)))</f>
        <v>#REF!</v>
      </c>
    </row>
    <row r="80" spans="1:63" x14ac:dyDescent="0.25">
      <c r="A80" s="9" t="str">
        <f>IF(Data!B80="","",IF(COUNTIFS(Data!A$1:'Data'!A80,Data!A80)&lt;=1,0,1))</f>
        <v/>
      </c>
      <c r="B80" s="9"/>
      <c r="C80" s="23" t="str">
        <f>IF(Data!C80="","",(IF(ISNUMBER(MATCH("*@*.?*",Data!C80,0)),0,1)+IF(COUNTIFS(Data!C$1:'Data'!C80,Data!C80)&gt;1,1,0)))</f>
        <v/>
      </c>
      <c r="D80" s="9" t="str">
        <f>IF(Data!B80="","",IF(ISNUMBER(Data!D80),IF(AND(Data!D80&gt;999999999,Data!D80&lt;=9999999999),IF(COUNTIFS(Data!D$1:'Data'!D80,Data!D80)&lt;=1,0,1),1),1))</f>
        <v/>
      </c>
      <c r="E80" s="9" t="str">
        <f>IF(Data!B80="","",IF(ISNUMBER(MATCH(Data!E80,Data_Val!$A$2:$A$3,0)),0,1))</f>
        <v/>
      </c>
      <c r="F80" s="9" t="str">
        <f ca="1">IF(Data!B80="","",IF(ISNUMBER(Data!F80),IF(AND(Data!F80&gt;(TODAY()-(Data_Val!$H$3*365.25)),Data!F80&lt;=(TODAY()-(Data_Val!$H$2*365.25))),0,1),1))</f>
        <v/>
      </c>
      <c r="G80" s="15" t="str">
        <f>IF(Data!B80="","",IF(AND(Data!G80="",Data!H80&lt;&gt;""),1,IF(Data!#REF!&lt;&gt;"",0,IF(ISNUMBER(MATCH(Data!G80,Data_Val!$C$2:$C$5,0)),0,1))))</f>
        <v/>
      </c>
      <c r="H80" s="15" t="str">
        <f>IF(Data!B80="","",IF(AND(Data!G80&lt;&gt;"",Data!H80=""),1,IF(Data!#REF!&lt;&gt;"",0,IF(Data!G80="",1,IF(ISNUMBER(MATCH(Data!H80,Data_Val!$D$2:$D$35,0)),0,1)))))</f>
        <v/>
      </c>
      <c r="I80" s="15" t="str">
        <f>IF(Data!B80="","",IF(Data!G80&lt;&gt;"",0,IF(ISNUMBER(MATCH(Data!#REF!,Data_Val!$E$2:$E$12,0)),0,1)))</f>
        <v/>
      </c>
      <c r="J80" s="16" t="e">
        <f>IF(OR(Data!B80="",Data!#REF!=""),"",IF(Data!#REF!="",1,0))</f>
        <v>#REF!</v>
      </c>
      <c r="K80" s="16" t="e">
        <f>IF(OR(Data!B80="",Data!#REF!=""),"",IF(Data!#REF!="",1,0))</f>
        <v>#REF!</v>
      </c>
      <c r="L80" s="16" t="e">
        <f>IF(OR(Data!B80="",Data!#REF!=""),"",IF(ISNUMBER(Data!#REF!),IF(AND(Data!#REF!&gt;Data_Val!$G$2,Data!#REF!&lt;=Data_Val!$G$3),0,1),1))</f>
        <v>#REF!</v>
      </c>
      <c r="M80" s="9" t="e">
        <f>IF(OR(Data!B80="",Data!#REF!=""),"",IF(ISNUMBER(MATCH(Data!#REF!,Data_Val!$F$1:$F$38,0)),0,1))</f>
        <v>#REF!</v>
      </c>
      <c r="N80" s="9" t="e">
        <f>IF(OR(Data!B80="",Data!#REF!=""),"",IF(Data!#REF!="",1,0))</f>
        <v>#REF!</v>
      </c>
      <c r="O80" s="17" t="e">
        <f>IF(Data!#REF!="","",IF(Data!#REF!="",1,0))</f>
        <v>#REF!</v>
      </c>
      <c r="P80" s="17" t="e">
        <f>IF(Data!#REF!="","",IF(ISNUMBER(MATCH(Data!#REF!,Data_Val!$A$2:$A$3,0)),0,1))</f>
        <v>#REF!</v>
      </c>
      <c r="Q80" s="25" t="e">
        <f ca="1">IF(Data!#REF!="","",IF(ISNUMBER(Data!#REF!),IF(AND(Data!#REF!&gt;(TODAY()-(Data_Val!$J$3*365.25)),Data!#REF!&lt;=(TODAY()-(Data_Val!$J$2*365.25))),0,1),1))</f>
        <v>#REF!</v>
      </c>
      <c r="R80" s="17" t="e">
        <f>IF(Data!#REF!="","",IF(ISNUMBER(MATCH(Data!#REF!,Data_Val!$B$2:$B$15,0)),0,1))</f>
        <v>#REF!</v>
      </c>
      <c r="S80" s="11" t="str">
        <f>IF(Data!G80="","",IF(Data!G80=Data_Val!$C$2,IF(Data!M80="",0,1),0))</f>
        <v/>
      </c>
      <c r="T80" s="11" t="str">
        <f>IF(Data!M80="","",IF(ISNUMBER(MATCH(Data!N80,Data_Val!$A$2:$A$3,0)),0,1))</f>
        <v/>
      </c>
      <c r="U80" s="11" t="str">
        <f ca="1">IF(Data!M80="","",IF(ISNUMBER(Data!O80),IF(AND(Data!O80&gt;(TODAY()-(Data_Val!$K$3*365.25)),Data!O80&lt;=(TODAY()-(Data_Val!$K$2*365.25))),0,1),1))</f>
        <v/>
      </c>
      <c r="V80" s="12" t="str">
        <f>IF(Data!G80="","",IF(Data!G80=Data_Val!$C$2,IF(Data!P80="",0,1),0))</f>
        <v/>
      </c>
      <c r="W80" s="12" t="str">
        <f>IF(Data!P80="","",IF(ISNUMBER(MATCH(Data!Q80,Data_Val!$A$2:$A$3,0)),0,1))</f>
        <v/>
      </c>
      <c r="X80" s="26" t="str">
        <f ca="1">IF(Data!P80="","",IF(ISNUMBER(Data!R80),IF(AND(Data!R80&gt;(TODAY()-(Data_Val!$L$3*365.25)),Data!R80&lt;=(TODAY()-(Data_Val!$L$2*365.25))),0,1),1))</f>
        <v/>
      </c>
      <c r="Y80" s="13" t="str">
        <f>IF(Data!$G80="","",IF(Data!$G80=Data_Val!$C$2,IF(Data!S80="",0,1),0))</f>
        <v/>
      </c>
      <c r="Z80" s="13" t="str">
        <f>IF(Data!S80="","",IF(ISNUMBER(MATCH(Data!T80,Data_Val!$A$2:$A$3,0)),0,1))</f>
        <v/>
      </c>
      <c r="AA80" s="28" t="str">
        <f ca="1">IF(Data!S80="","",IF(ISNUMBER(Data!U80),IF(AND(Data!U80&gt;(TODAY()-(Data_Val!$L$3*365.25)),Data!U80&lt;=(TODAY()-(Data_Val!$L$2*365.25))),0,1),1))</f>
        <v/>
      </c>
      <c r="AB80" s="11"/>
      <c r="AC80" s="11" t="e">
        <f>IF(Data!#REF!="","",IF(ISNUMBER(MATCH(Data!#REF!,Data_Val!$A$2:$A$3,0)),0,1))</f>
        <v>#REF!</v>
      </c>
      <c r="AD80" s="11" t="e">
        <f ca="1">IF(Data!#REF!="","",IF(ISNUMBER(Data!#REF!),IF(AND(Data!#REF!&gt;(TODAY()-(Data_Val!$L$3*365.25)),Data!#REF!&lt;=(TODAY()-(Data_Val!$L$2*365.25))),0,1),1))</f>
        <v>#REF!</v>
      </c>
      <c r="AE80" s="11" t="e">
        <f>IF(Data!#REF!="","",IF(Data!$G80="",1,IF(ISNUMBER(MATCH(Data!#REF!,Data_Val!$D$2:$D$10,0)),0,1)))</f>
        <v>#REF!</v>
      </c>
      <c r="AF80" s="12"/>
      <c r="AG80" s="12" t="e">
        <f>IF(Data!#REF!="","",IF(ISNUMBER(MATCH(Data!#REF!,Data_Val!$A$2:$A$3,0)),0,1))</f>
        <v>#REF!</v>
      </c>
      <c r="AH80" s="26" t="e">
        <f ca="1">IF(Data!#REF!="","",IF(ISNUMBER(Data!#REF!),IF(AND(Data!#REF!&gt;(TODAY()-(Data_Val!$L$3*365.25)),Data!#REF!&lt;=(TODAY()-(Data_Val!$L$2*365.25))),0,1),1))</f>
        <v>#REF!</v>
      </c>
      <c r="AI80" s="12" t="e">
        <f>IF(Data!#REF!="","",IF(Data!$G80="",1,IF(ISNUMBER(MATCH(Data!#REF!,Data_Val!$D$2:$D$10,0)),0,1)))</f>
        <v>#REF!</v>
      </c>
      <c r="AJ80" s="17"/>
      <c r="AK80" s="17" t="e">
        <f>IF(Data!#REF!="","",IF(ISNUMBER(MATCH(Data!#REF!,Data_Val!$A$2:$A$3,0)),0,1))</f>
        <v>#REF!</v>
      </c>
      <c r="AL80" s="25" t="e">
        <f ca="1">IF(Data!#REF!="","",IF(ISNUMBER(Data!#REF!),IF(AND(Data!#REF!&gt;(TODAY()-(Data_Val!$L$3*365.25)),Data!#REF!&lt;=(TODAY()-(Data_Val!$L$2*365.25))),0,1),1))</f>
        <v>#REF!</v>
      </c>
      <c r="AM80" s="17" t="e">
        <f>IF(Data!#REF!="","",IF(Data!$G80="",1,IF(ISNUMBER(MATCH(Data!#REF!,Data_Val!$D$2:$D$10,0)),0,1)))</f>
        <v>#REF!</v>
      </c>
      <c r="AN80" s="13"/>
      <c r="AO80" s="28" t="e">
        <f ca="1">IF(Data!#REF!="","",IF(ISNUMBER(Data!#REF!),IF(AND(Data!#REF!&gt;(TODAY()-(Data_Val!$I$3*365.25)),Data!#REF!&lt;=(TODAY()-(Data_Val!$I$2*365.25))),0,1),1))</f>
        <v>#REF!</v>
      </c>
      <c r="AP80" s="13" t="e">
        <f>IF(Data!#REF!="","",IF(Data!$G80="",1,IF(ISNUMBER(MATCH(Data!#REF!,Data_Val!$D$2:$D$10,0)),0,1)))</f>
        <v>#REF!</v>
      </c>
      <c r="AQ80" s="17"/>
      <c r="AR80" s="30" t="e">
        <f ca="1">IF(Data!#REF!="","",IF(ISNUMBER(Data!#REF!),IF(AND(Data!#REF!&gt;(TODAY()-(Data_Val!$I$3*365.25)),Data!#REF!&lt;=(TODAY()-(Data_Val!$I$2*365.25))),0,1),1))</f>
        <v>#REF!</v>
      </c>
      <c r="AS80" s="31" t="e">
        <f>IF(Data!#REF!="","",IF(Data!$G80="",1,IF(ISNUMBER(MATCH(Data!#REF!,Data_Val!$D$2:$D$10,0)),0,1)))</f>
        <v>#REF!</v>
      </c>
      <c r="AT80" s="11"/>
      <c r="AU80" s="11" t="e">
        <f ca="1">IF(Data!#REF!="","",IF(ISNUMBER(Data!#REF!),IF(AND(Data!#REF!&gt;(TODAY()-(Data_Val!$I$3*365.25)),Data!#REF!&lt;=(TODAY()-(Data_Val!$I$2*365.25))),0,1),1))</f>
        <v>#REF!</v>
      </c>
      <c r="AV80" s="11" t="e">
        <f>IF(Data!#REF!="","",IF(Data!$G80="",1,IF(ISNUMBER(MATCH(Data!#REF!,Data_Val!$D$2:$D$10,0)),0,1)))</f>
        <v>#REF!</v>
      </c>
      <c r="AW80" s="12"/>
      <c r="AX80" s="26" t="e">
        <f ca="1">IF(Data!#REF!="","",IF(ISNUMBER(Data!#REF!),IF(AND(Data!#REF!&gt;(TODAY()-(Data_Val!$I$3*365.25)),Data!#REF!&lt;=(TODAY()-(Data_Val!$I$2*365.25))),0,1),1))</f>
        <v>#REF!</v>
      </c>
      <c r="AY80" s="12" t="e">
        <f>IF(Data!#REF!="","",IF(Data!$G80="",1,IF(ISNUMBER(MATCH(Data!#REF!,Data_Val!$D$2:$D$10,0)),0,1)))</f>
        <v>#REF!</v>
      </c>
      <c r="AZ80" s="11"/>
      <c r="BA80" s="19" t="e">
        <f ca="1">IF(Data!#REF!="","",IF(ISNUMBER(Data!#REF!),IF(AND(Data!#REF!&gt;(TODAY()-(Data_Val!$M$3*365.25)),Data!#REF!&lt;=(TODAY()-(Data_Val!$M$2*365.25))),0,1),1))</f>
        <v>#REF!</v>
      </c>
      <c r="BB80" s="11" t="e">
        <f>IF(Data!#REF!="","",IF(Data!$G80="",1,IF(ISNUMBER(MATCH(Data!#REF!,Data_Val!$D$2:$D$10,0)),0,1)))</f>
        <v>#REF!</v>
      </c>
      <c r="BC80" s="12"/>
      <c r="BD80" s="20" t="e">
        <f ca="1">IF(Data!#REF!="","",IF(ISNUMBER(Data!#REF!),IF(AND(Data!#REF!&gt;(TODAY()-(Data_Val!$M$3*365.25)),Data!#REF!&lt;=(TODAY()-(Data_Val!$M$2*365.25))),0,1),1))</f>
        <v>#REF!</v>
      </c>
      <c r="BE80" s="12" t="e">
        <f>IF(Data!#REF!="","",IF(Data!$G80="",1,IF(ISNUMBER(MATCH(Data!#REF!,Data_Val!$D$2:$D$10,0)),0,1)))</f>
        <v>#REF!</v>
      </c>
      <c r="BF80" s="17"/>
      <c r="BG80" s="18" t="e">
        <f ca="1">IF(Data!#REF!="","",IF(ISNUMBER(Data!#REF!),IF(AND(Data!#REF!&gt;(TODAY()-(Data_Val!$M$3*365.25)),Data!#REF!&lt;=(TODAY()-(Data_Val!$M$2*365.25))),0,1),1))</f>
        <v>#REF!</v>
      </c>
      <c r="BH80" s="29" t="e">
        <f>IF(Data!#REF!="","",IF(Data!$G80="",1,IF(ISNUMBER(MATCH(Data!#REF!,Data_Val!$D$2:$D$10,0)),0,1)))</f>
        <v>#REF!</v>
      </c>
      <c r="BI80" s="13"/>
      <c r="BJ80" s="21" t="e">
        <f ca="1">IF(Data!#REF!="","",IF(ISNUMBER(Data!#REF!),IF(AND(Data!#REF!&gt;(TODAY()-(Data_Val!$M$3*365.25)),Data!#REF!&lt;=(TODAY()-(Data_Val!$M$2*365.25))),0,1),1))</f>
        <v>#REF!</v>
      </c>
      <c r="BK80" s="13" t="e">
        <f>IF(Data!#REF!="","",IF(Data!$G80="",1,IF(ISNUMBER(MATCH(Data!#REF!,Data_Val!$D$2:$D$10,0)),0,1)))</f>
        <v>#REF!</v>
      </c>
    </row>
    <row r="81" spans="1:63" x14ac:dyDescent="0.25">
      <c r="A81" s="9" t="str">
        <f>IF(Data!B81="","",IF(COUNTIFS(Data!A$1:'Data'!A81,Data!A81)&lt;=1,0,1))</f>
        <v/>
      </c>
      <c r="B81" s="9"/>
      <c r="C81" s="23" t="str">
        <f>IF(Data!C81="","",(IF(ISNUMBER(MATCH("*@*.?*",Data!C81,0)),0,1)+IF(COUNTIFS(Data!C$1:'Data'!C81,Data!C81)&gt;1,1,0)))</f>
        <v/>
      </c>
      <c r="D81" s="9" t="str">
        <f>IF(Data!B81="","",IF(ISNUMBER(Data!D81),IF(AND(Data!D81&gt;999999999,Data!D81&lt;=9999999999),IF(COUNTIFS(Data!D$1:'Data'!D81,Data!D81)&lt;=1,0,1),1),1))</f>
        <v/>
      </c>
      <c r="E81" s="9" t="str">
        <f>IF(Data!B81="","",IF(ISNUMBER(MATCH(Data!E81,Data_Val!$A$2:$A$3,0)),0,1))</f>
        <v/>
      </c>
      <c r="F81" s="9" t="str">
        <f ca="1">IF(Data!B81="","",IF(ISNUMBER(Data!F81),IF(AND(Data!F81&gt;(TODAY()-(Data_Val!$H$3*365.25)),Data!F81&lt;=(TODAY()-(Data_Val!$H$2*365.25))),0,1),1))</f>
        <v/>
      </c>
      <c r="G81" s="15" t="str">
        <f>IF(Data!B81="","",IF(AND(Data!G81="",Data!H81&lt;&gt;""),1,IF(Data!#REF!&lt;&gt;"",0,IF(ISNUMBER(MATCH(Data!G81,Data_Val!$C$2:$C$5,0)),0,1))))</f>
        <v/>
      </c>
      <c r="H81" s="15" t="str">
        <f>IF(Data!B81="","",IF(AND(Data!G81&lt;&gt;"",Data!H81=""),1,IF(Data!#REF!&lt;&gt;"",0,IF(Data!G81="",1,IF(ISNUMBER(MATCH(Data!H81,Data_Val!$D$2:$D$35,0)),0,1)))))</f>
        <v/>
      </c>
      <c r="I81" s="15" t="str">
        <f>IF(Data!B81="","",IF(Data!G81&lt;&gt;"",0,IF(ISNUMBER(MATCH(Data!#REF!,Data_Val!$E$2:$E$12,0)),0,1)))</f>
        <v/>
      </c>
      <c r="J81" s="16" t="e">
        <f>IF(OR(Data!B81="",Data!#REF!=""),"",IF(Data!#REF!="",1,0))</f>
        <v>#REF!</v>
      </c>
      <c r="K81" s="16" t="e">
        <f>IF(OR(Data!B81="",Data!#REF!=""),"",IF(Data!#REF!="",1,0))</f>
        <v>#REF!</v>
      </c>
      <c r="L81" s="16" t="e">
        <f>IF(OR(Data!B81="",Data!#REF!=""),"",IF(ISNUMBER(Data!#REF!),IF(AND(Data!#REF!&gt;Data_Val!$G$2,Data!#REF!&lt;=Data_Val!$G$3),0,1),1))</f>
        <v>#REF!</v>
      </c>
      <c r="M81" s="9" t="e">
        <f>IF(OR(Data!B81="",Data!#REF!=""),"",IF(ISNUMBER(MATCH(Data!#REF!,Data_Val!$F$1:$F$38,0)),0,1))</f>
        <v>#REF!</v>
      </c>
      <c r="N81" s="9" t="e">
        <f>IF(OR(Data!B81="",Data!#REF!=""),"",IF(Data!#REF!="",1,0))</f>
        <v>#REF!</v>
      </c>
      <c r="O81" s="17" t="e">
        <f>IF(Data!#REF!="","",IF(Data!#REF!="",1,0))</f>
        <v>#REF!</v>
      </c>
      <c r="P81" s="17" t="e">
        <f>IF(Data!#REF!="","",IF(ISNUMBER(MATCH(Data!#REF!,Data_Val!$A$2:$A$3,0)),0,1))</f>
        <v>#REF!</v>
      </c>
      <c r="Q81" s="25" t="e">
        <f ca="1">IF(Data!#REF!="","",IF(ISNUMBER(Data!#REF!),IF(AND(Data!#REF!&gt;(TODAY()-(Data_Val!$J$3*365.25)),Data!#REF!&lt;=(TODAY()-(Data_Val!$J$2*365.25))),0,1),1))</f>
        <v>#REF!</v>
      </c>
      <c r="R81" s="17" t="e">
        <f>IF(Data!#REF!="","",IF(ISNUMBER(MATCH(Data!#REF!,Data_Val!$B$2:$B$15,0)),0,1))</f>
        <v>#REF!</v>
      </c>
      <c r="S81" s="11" t="str">
        <f>IF(Data!G81="","",IF(Data!G81=Data_Val!$C$2,IF(Data!M81="",0,1),0))</f>
        <v/>
      </c>
      <c r="T81" s="11" t="str">
        <f>IF(Data!M81="","",IF(ISNUMBER(MATCH(Data!N81,Data_Val!$A$2:$A$3,0)),0,1))</f>
        <v/>
      </c>
      <c r="U81" s="11" t="str">
        <f ca="1">IF(Data!M81="","",IF(ISNUMBER(Data!O81),IF(AND(Data!O81&gt;(TODAY()-(Data_Val!$K$3*365.25)),Data!O81&lt;=(TODAY()-(Data_Val!$K$2*365.25))),0,1),1))</f>
        <v/>
      </c>
      <c r="V81" s="12" t="str">
        <f>IF(Data!G81="","",IF(Data!G81=Data_Val!$C$2,IF(Data!P81="",0,1),0))</f>
        <v/>
      </c>
      <c r="W81" s="12" t="str">
        <f>IF(Data!P81="","",IF(ISNUMBER(MATCH(Data!Q81,Data_Val!$A$2:$A$3,0)),0,1))</f>
        <v/>
      </c>
      <c r="X81" s="26" t="str">
        <f ca="1">IF(Data!P81="","",IF(ISNUMBER(Data!R81),IF(AND(Data!R81&gt;(TODAY()-(Data_Val!$L$3*365.25)),Data!R81&lt;=(TODAY()-(Data_Val!$L$2*365.25))),0,1),1))</f>
        <v/>
      </c>
      <c r="Y81" s="13" t="str">
        <f>IF(Data!$G81="","",IF(Data!$G81=Data_Val!$C$2,IF(Data!S81="",0,1),0))</f>
        <v/>
      </c>
      <c r="Z81" s="13" t="str">
        <f>IF(Data!S81="","",IF(ISNUMBER(MATCH(Data!T81,Data_Val!$A$2:$A$3,0)),0,1))</f>
        <v/>
      </c>
      <c r="AA81" s="28" t="str">
        <f ca="1">IF(Data!S81="","",IF(ISNUMBER(Data!U81),IF(AND(Data!U81&gt;(TODAY()-(Data_Val!$L$3*365.25)),Data!U81&lt;=(TODAY()-(Data_Val!$L$2*365.25))),0,1),1))</f>
        <v/>
      </c>
      <c r="AB81" s="11"/>
      <c r="AC81" s="11" t="e">
        <f>IF(Data!#REF!="","",IF(ISNUMBER(MATCH(Data!#REF!,Data_Val!$A$2:$A$3,0)),0,1))</f>
        <v>#REF!</v>
      </c>
      <c r="AD81" s="11" t="e">
        <f ca="1">IF(Data!#REF!="","",IF(ISNUMBER(Data!#REF!),IF(AND(Data!#REF!&gt;(TODAY()-(Data_Val!$L$3*365.25)),Data!#REF!&lt;=(TODAY()-(Data_Val!$L$2*365.25))),0,1),1))</f>
        <v>#REF!</v>
      </c>
      <c r="AE81" s="11" t="e">
        <f>IF(Data!#REF!="","",IF(Data!$G81="",1,IF(ISNUMBER(MATCH(Data!#REF!,Data_Val!$D$2:$D$10,0)),0,1)))</f>
        <v>#REF!</v>
      </c>
      <c r="AF81" s="12"/>
      <c r="AG81" s="12" t="e">
        <f>IF(Data!#REF!="","",IF(ISNUMBER(MATCH(Data!#REF!,Data_Val!$A$2:$A$3,0)),0,1))</f>
        <v>#REF!</v>
      </c>
      <c r="AH81" s="26" t="e">
        <f ca="1">IF(Data!#REF!="","",IF(ISNUMBER(Data!#REF!),IF(AND(Data!#REF!&gt;(TODAY()-(Data_Val!$L$3*365.25)),Data!#REF!&lt;=(TODAY()-(Data_Val!$L$2*365.25))),0,1),1))</f>
        <v>#REF!</v>
      </c>
      <c r="AI81" s="12" t="e">
        <f>IF(Data!#REF!="","",IF(Data!$G81="",1,IF(ISNUMBER(MATCH(Data!#REF!,Data_Val!$D$2:$D$10,0)),0,1)))</f>
        <v>#REF!</v>
      </c>
      <c r="AJ81" s="17"/>
      <c r="AK81" s="17" t="e">
        <f>IF(Data!#REF!="","",IF(ISNUMBER(MATCH(Data!#REF!,Data_Val!$A$2:$A$3,0)),0,1))</f>
        <v>#REF!</v>
      </c>
      <c r="AL81" s="25" t="e">
        <f ca="1">IF(Data!#REF!="","",IF(ISNUMBER(Data!#REF!),IF(AND(Data!#REF!&gt;(TODAY()-(Data_Val!$L$3*365.25)),Data!#REF!&lt;=(TODAY()-(Data_Val!$L$2*365.25))),0,1),1))</f>
        <v>#REF!</v>
      </c>
      <c r="AM81" s="17" t="e">
        <f>IF(Data!#REF!="","",IF(Data!$G81="",1,IF(ISNUMBER(MATCH(Data!#REF!,Data_Val!$D$2:$D$10,0)),0,1)))</f>
        <v>#REF!</v>
      </c>
      <c r="AN81" s="13"/>
      <c r="AO81" s="28" t="e">
        <f ca="1">IF(Data!#REF!="","",IF(ISNUMBER(Data!#REF!),IF(AND(Data!#REF!&gt;(TODAY()-(Data_Val!$I$3*365.25)),Data!#REF!&lt;=(TODAY()-(Data_Val!$I$2*365.25))),0,1),1))</f>
        <v>#REF!</v>
      </c>
      <c r="AP81" s="13" t="e">
        <f>IF(Data!#REF!="","",IF(Data!$G81="",1,IF(ISNUMBER(MATCH(Data!#REF!,Data_Val!$D$2:$D$10,0)),0,1)))</f>
        <v>#REF!</v>
      </c>
      <c r="AQ81" s="17"/>
      <c r="AR81" s="30" t="e">
        <f ca="1">IF(Data!#REF!="","",IF(ISNUMBER(Data!#REF!),IF(AND(Data!#REF!&gt;(TODAY()-(Data_Val!$I$3*365.25)),Data!#REF!&lt;=(TODAY()-(Data_Val!$I$2*365.25))),0,1),1))</f>
        <v>#REF!</v>
      </c>
      <c r="AS81" s="31" t="e">
        <f>IF(Data!#REF!="","",IF(Data!$G81="",1,IF(ISNUMBER(MATCH(Data!#REF!,Data_Val!$D$2:$D$10,0)),0,1)))</f>
        <v>#REF!</v>
      </c>
      <c r="AT81" s="11"/>
      <c r="AU81" s="11" t="e">
        <f ca="1">IF(Data!#REF!="","",IF(ISNUMBER(Data!#REF!),IF(AND(Data!#REF!&gt;(TODAY()-(Data_Val!$I$3*365.25)),Data!#REF!&lt;=(TODAY()-(Data_Val!$I$2*365.25))),0,1),1))</f>
        <v>#REF!</v>
      </c>
      <c r="AV81" s="11" t="e">
        <f>IF(Data!#REF!="","",IF(Data!$G81="",1,IF(ISNUMBER(MATCH(Data!#REF!,Data_Val!$D$2:$D$10,0)),0,1)))</f>
        <v>#REF!</v>
      </c>
      <c r="AW81" s="12"/>
      <c r="AX81" s="26" t="e">
        <f ca="1">IF(Data!#REF!="","",IF(ISNUMBER(Data!#REF!),IF(AND(Data!#REF!&gt;(TODAY()-(Data_Val!$I$3*365.25)),Data!#REF!&lt;=(TODAY()-(Data_Val!$I$2*365.25))),0,1),1))</f>
        <v>#REF!</v>
      </c>
      <c r="AY81" s="12" t="e">
        <f>IF(Data!#REF!="","",IF(Data!$G81="",1,IF(ISNUMBER(MATCH(Data!#REF!,Data_Val!$D$2:$D$10,0)),0,1)))</f>
        <v>#REF!</v>
      </c>
      <c r="AZ81" s="11"/>
      <c r="BA81" s="19" t="e">
        <f ca="1">IF(Data!#REF!="","",IF(ISNUMBER(Data!#REF!),IF(AND(Data!#REF!&gt;(TODAY()-(Data_Val!$M$3*365.25)),Data!#REF!&lt;=(TODAY()-(Data_Val!$M$2*365.25))),0,1),1))</f>
        <v>#REF!</v>
      </c>
      <c r="BB81" s="11" t="e">
        <f>IF(Data!#REF!="","",IF(Data!$G81="",1,IF(ISNUMBER(MATCH(Data!#REF!,Data_Val!$D$2:$D$10,0)),0,1)))</f>
        <v>#REF!</v>
      </c>
      <c r="BC81" s="12"/>
      <c r="BD81" s="20" t="e">
        <f ca="1">IF(Data!#REF!="","",IF(ISNUMBER(Data!#REF!),IF(AND(Data!#REF!&gt;(TODAY()-(Data_Val!$M$3*365.25)),Data!#REF!&lt;=(TODAY()-(Data_Val!$M$2*365.25))),0,1),1))</f>
        <v>#REF!</v>
      </c>
      <c r="BE81" s="12" t="e">
        <f>IF(Data!#REF!="","",IF(Data!$G81="",1,IF(ISNUMBER(MATCH(Data!#REF!,Data_Val!$D$2:$D$10,0)),0,1)))</f>
        <v>#REF!</v>
      </c>
      <c r="BF81" s="17"/>
      <c r="BG81" s="18" t="e">
        <f ca="1">IF(Data!#REF!="","",IF(ISNUMBER(Data!#REF!),IF(AND(Data!#REF!&gt;(TODAY()-(Data_Val!$M$3*365.25)),Data!#REF!&lt;=(TODAY()-(Data_Val!$M$2*365.25))),0,1),1))</f>
        <v>#REF!</v>
      </c>
      <c r="BH81" s="29" t="e">
        <f>IF(Data!#REF!="","",IF(Data!$G81="",1,IF(ISNUMBER(MATCH(Data!#REF!,Data_Val!$D$2:$D$10,0)),0,1)))</f>
        <v>#REF!</v>
      </c>
      <c r="BI81" s="13"/>
      <c r="BJ81" s="21" t="e">
        <f ca="1">IF(Data!#REF!="","",IF(ISNUMBER(Data!#REF!),IF(AND(Data!#REF!&gt;(TODAY()-(Data_Val!$M$3*365.25)),Data!#REF!&lt;=(TODAY()-(Data_Val!$M$2*365.25))),0,1),1))</f>
        <v>#REF!</v>
      </c>
      <c r="BK81" s="13" t="e">
        <f>IF(Data!#REF!="","",IF(Data!$G81="",1,IF(ISNUMBER(MATCH(Data!#REF!,Data_Val!$D$2:$D$10,0)),0,1)))</f>
        <v>#REF!</v>
      </c>
    </row>
    <row r="82" spans="1:63" x14ac:dyDescent="0.25">
      <c r="A82" s="9" t="str">
        <f>IF(Data!B82="","",IF(COUNTIFS(Data!A$1:'Data'!A82,Data!A82)&lt;=1,0,1))</f>
        <v/>
      </c>
      <c r="B82" s="9"/>
      <c r="C82" s="23" t="str">
        <f>IF(Data!C82="","",(IF(ISNUMBER(MATCH("*@*.?*",Data!C82,0)),0,1)+IF(COUNTIFS(Data!C$1:'Data'!C82,Data!C82)&gt;1,1,0)))</f>
        <v/>
      </c>
      <c r="D82" s="9" t="str">
        <f>IF(Data!B82="","",IF(ISNUMBER(Data!D82),IF(AND(Data!D82&gt;999999999,Data!D82&lt;=9999999999),IF(COUNTIFS(Data!D$1:'Data'!D82,Data!D82)&lt;=1,0,1),1),1))</f>
        <v/>
      </c>
      <c r="E82" s="9" t="str">
        <f>IF(Data!B82="","",IF(ISNUMBER(MATCH(Data!E82,Data_Val!$A$2:$A$3,0)),0,1))</f>
        <v/>
      </c>
      <c r="F82" s="9" t="str">
        <f ca="1">IF(Data!B82="","",IF(ISNUMBER(Data!F82),IF(AND(Data!F82&gt;(TODAY()-(Data_Val!$H$3*365.25)),Data!F82&lt;=(TODAY()-(Data_Val!$H$2*365.25))),0,1),1))</f>
        <v/>
      </c>
      <c r="G82" s="15" t="str">
        <f>IF(Data!B82="","",IF(AND(Data!G82="",Data!H82&lt;&gt;""),1,IF(Data!#REF!&lt;&gt;"",0,IF(ISNUMBER(MATCH(Data!G82,Data_Val!$C$2:$C$5,0)),0,1))))</f>
        <v/>
      </c>
      <c r="H82" s="15" t="str">
        <f>IF(Data!B82="","",IF(AND(Data!G82&lt;&gt;"",Data!H82=""),1,IF(Data!#REF!&lt;&gt;"",0,IF(Data!G82="",1,IF(ISNUMBER(MATCH(Data!H82,Data_Val!$D$2:$D$35,0)),0,1)))))</f>
        <v/>
      </c>
      <c r="I82" s="15" t="str">
        <f>IF(Data!B82="","",IF(Data!G82&lt;&gt;"",0,IF(ISNUMBER(MATCH(Data!#REF!,Data_Val!$E$2:$E$12,0)),0,1)))</f>
        <v/>
      </c>
      <c r="J82" s="16" t="e">
        <f>IF(OR(Data!B82="",Data!#REF!=""),"",IF(Data!#REF!="",1,0))</f>
        <v>#REF!</v>
      </c>
      <c r="K82" s="16" t="e">
        <f>IF(OR(Data!B82="",Data!#REF!=""),"",IF(Data!#REF!="",1,0))</f>
        <v>#REF!</v>
      </c>
      <c r="L82" s="16" t="e">
        <f>IF(OR(Data!B82="",Data!#REF!=""),"",IF(ISNUMBER(Data!#REF!),IF(AND(Data!#REF!&gt;Data_Val!$G$2,Data!#REF!&lt;=Data_Val!$G$3),0,1),1))</f>
        <v>#REF!</v>
      </c>
      <c r="M82" s="9" t="e">
        <f>IF(OR(Data!B82="",Data!#REF!=""),"",IF(ISNUMBER(MATCH(Data!#REF!,Data_Val!$F$1:$F$38,0)),0,1))</f>
        <v>#REF!</v>
      </c>
      <c r="N82" s="9" t="e">
        <f>IF(OR(Data!B82="",Data!#REF!=""),"",IF(Data!#REF!="",1,0))</f>
        <v>#REF!</v>
      </c>
      <c r="O82" s="17" t="e">
        <f>IF(Data!#REF!="","",IF(Data!#REF!="",1,0))</f>
        <v>#REF!</v>
      </c>
      <c r="P82" s="17" t="e">
        <f>IF(Data!#REF!="","",IF(ISNUMBER(MATCH(Data!#REF!,Data_Val!$A$2:$A$3,0)),0,1))</f>
        <v>#REF!</v>
      </c>
      <c r="Q82" s="25" t="e">
        <f ca="1">IF(Data!#REF!="","",IF(ISNUMBER(Data!#REF!),IF(AND(Data!#REF!&gt;(TODAY()-(Data_Val!$J$3*365.25)),Data!#REF!&lt;=(TODAY()-(Data_Val!$J$2*365.25))),0,1),1))</f>
        <v>#REF!</v>
      </c>
      <c r="R82" s="17" t="e">
        <f>IF(Data!#REF!="","",IF(ISNUMBER(MATCH(Data!#REF!,Data_Val!$B$2:$B$15,0)),0,1))</f>
        <v>#REF!</v>
      </c>
      <c r="S82" s="11" t="str">
        <f>IF(Data!G82="","",IF(Data!G82=Data_Val!$C$2,IF(Data!M82="",0,1),0))</f>
        <v/>
      </c>
      <c r="T82" s="11" t="str">
        <f>IF(Data!M82="","",IF(ISNUMBER(MATCH(Data!N82,Data_Val!$A$2:$A$3,0)),0,1))</f>
        <v/>
      </c>
      <c r="U82" s="11" t="str">
        <f ca="1">IF(Data!M82="","",IF(ISNUMBER(Data!O82),IF(AND(Data!O82&gt;(TODAY()-(Data_Val!$K$3*365.25)),Data!O82&lt;=(TODAY()-(Data_Val!$K$2*365.25))),0,1),1))</f>
        <v/>
      </c>
      <c r="V82" s="12" t="str">
        <f>IF(Data!G82="","",IF(Data!G82=Data_Val!$C$2,IF(Data!P82="",0,1),0))</f>
        <v/>
      </c>
      <c r="W82" s="12" t="str">
        <f>IF(Data!P82="","",IF(ISNUMBER(MATCH(Data!Q82,Data_Val!$A$2:$A$3,0)),0,1))</f>
        <v/>
      </c>
      <c r="X82" s="26" t="str">
        <f ca="1">IF(Data!P82="","",IF(ISNUMBER(Data!R82),IF(AND(Data!R82&gt;(TODAY()-(Data_Val!$L$3*365.25)),Data!R82&lt;=(TODAY()-(Data_Val!$L$2*365.25))),0,1),1))</f>
        <v/>
      </c>
      <c r="Y82" s="13" t="str">
        <f>IF(Data!$G82="","",IF(Data!$G82=Data_Val!$C$2,IF(Data!S82="",0,1),0))</f>
        <v/>
      </c>
      <c r="Z82" s="13" t="str">
        <f>IF(Data!S82="","",IF(ISNUMBER(MATCH(Data!T82,Data_Val!$A$2:$A$3,0)),0,1))</f>
        <v/>
      </c>
      <c r="AA82" s="28" t="str">
        <f ca="1">IF(Data!S82="","",IF(ISNUMBER(Data!U82),IF(AND(Data!U82&gt;(TODAY()-(Data_Val!$L$3*365.25)),Data!U82&lt;=(TODAY()-(Data_Val!$L$2*365.25))),0,1),1))</f>
        <v/>
      </c>
      <c r="AB82" s="11"/>
      <c r="AC82" s="11" t="e">
        <f>IF(Data!#REF!="","",IF(ISNUMBER(MATCH(Data!#REF!,Data_Val!$A$2:$A$3,0)),0,1))</f>
        <v>#REF!</v>
      </c>
      <c r="AD82" s="11" t="e">
        <f ca="1">IF(Data!#REF!="","",IF(ISNUMBER(Data!#REF!),IF(AND(Data!#REF!&gt;(TODAY()-(Data_Val!$L$3*365.25)),Data!#REF!&lt;=(TODAY()-(Data_Val!$L$2*365.25))),0,1),1))</f>
        <v>#REF!</v>
      </c>
      <c r="AE82" s="11" t="e">
        <f>IF(Data!#REF!="","",IF(Data!$G82="",1,IF(ISNUMBER(MATCH(Data!#REF!,Data_Val!$D$2:$D$10,0)),0,1)))</f>
        <v>#REF!</v>
      </c>
      <c r="AF82" s="12"/>
      <c r="AG82" s="12" t="e">
        <f>IF(Data!#REF!="","",IF(ISNUMBER(MATCH(Data!#REF!,Data_Val!$A$2:$A$3,0)),0,1))</f>
        <v>#REF!</v>
      </c>
      <c r="AH82" s="26" t="e">
        <f ca="1">IF(Data!#REF!="","",IF(ISNUMBER(Data!#REF!),IF(AND(Data!#REF!&gt;(TODAY()-(Data_Val!$L$3*365.25)),Data!#REF!&lt;=(TODAY()-(Data_Val!$L$2*365.25))),0,1),1))</f>
        <v>#REF!</v>
      </c>
      <c r="AI82" s="12" t="e">
        <f>IF(Data!#REF!="","",IF(Data!$G82="",1,IF(ISNUMBER(MATCH(Data!#REF!,Data_Val!$D$2:$D$10,0)),0,1)))</f>
        <v>#REF!</v>
      </c>
      <c r="AJ82" s="17"/>
      <c r="AK82" s="17" t="e">
        <f>IF(Data!#REF!="","",IF(ISNUMBER(MATCH(Data!#REF!,Data_Val!$A$2:$A$3,0)),0,1))</f>
        <v>#REF!</v>
      </c>
      <c r="AL82" s="25" t="e">
        <f ca="1">IF(Data!#REF!="","",IF(ISNUMBER(Data!#REF!),IF(AND(Data!#REF!&gt;(TODAY()-(Data_Val!$L$3*365.25)),Data!#REF!&lt;=(TODAY()-(Data_Val!$L$2*365.25))),0,1),1))</f>
        <v>#REF!</v>
      </c>
      <c r="AM82" s="17" t="e">
        <f>IF(Data!#REF!="","",IF(Data!$G82="",1,IF(ISNUMBER(MATCH(Data!#REF!,Data_Val!$D$2:$D$10,0)),0,1)))</f>
        <v>#REF!</v>
      </c>
      <c r="AN82" s="13"/>
      <c r="AO82" s="28" t="e">
        <f ca="1">IF(Data!#REF!="","",IF(ISNUMBER(Data!#REF!),IF(AND(Data!#REF!&gt;(TODAY()-(Data_Val!$I$3*365.25)),Data!#REF!&lt;=(TODAY()-(Data_Val!$I$2*365.25))),0,1),1))</f>
        <v>#REF!</v>
      </c>
      <c r="AP82" s="13" t="e">
        <f>IF(Data!#REF!="","",IF(Data!$G82="",1,IF(ISNUMBER(MATCH(Data!#REF!,Data_Val!$D$2:$D$10,0)),0,1)))</f>
        <v>#REF!</v>
      </c>
      <c r="AQ82" s="17"/>
      <c r="AR82" s="30" t="e">
        <f ca="1">IF(Data!#REF!="","",IF(ISNUMBER(Data!#REF!),IF(AND(Data!#REF!&gt;(TODAY()-(Data_Val!$I$3*365.25)),Data!#REF!&lt;=(TODAY()-(Data_Val!$I$2*365.25))),0,1),1))</f>
        <v>#REF!</v>
      </c>
      <c r="AS82" s="31" t="e">
        <f>IF(Data!#REF!="","",IF(Data!$G82="",1,IF(ISNUMBER(MATCH(Data!#REF!,Data_Val!$D$2:$D$10,0)),0,1)))</f>
        <v>#REF!</v>
      </c>
      <c r="AT82" s="11"/>
      <c r="AU82" s="11" t="e">
        <f ca="1">IF(Data!#REF!="","",IF(ISNUMBER(Data!#REF!),IF(AND(Data!#REF!&gt;(TODAY()-(Data_Val!$I$3*365.25)),Data!#REF!&lt;=(TODAY()-(Data_Val!$I$2*365.25))),0,1),1))</f>
        <v>#REF!</v>
      </c>
      <c r="AV82" s="11" t="e">
        <f>IF(Data!#REF!="","",IF(Data!$G82="",1,IF(ISNUMBER(MATCH(Data!#REF!,Data_Val!$D$2:$D$10,0)),0,1)))</f>
        <v>#REF!</v>
      </c>
      <c r="AW82" s="12"/>
      <c r="AX82" s="26" t="e">
        <f ca="1">IF(Data!#REF!="","",IF(ISNUMBER(Data!#REF!),IF(AND(Data!#REF!&gt;(TODAY()-(Data_Val!$I$3*365.25)),Data!#REF!&lt;=(TODAY()-(Data_Val!$I$2*365.25))),0,1),1))</f>
        <v>#REF!</v>
      </c>
      <c r="AY82" s="12" t="e">
        <f>IF(Data!#REF!="","",IF(Data!$G82="",1,IF(ISNUMBER(MATCH(Data!#REF!,Data_Val!$D$2:$D$10,0)),0,1)))</f>
        <v>#REF!</v>
      </c>
      <c r="AZ82" s="11"/>
      <c r="BA82" s="19" t="e">
        <f ca="1">IF(Data!#REF!="","",IF(ISNUMBER(Data!#REF!),IF(AND(Data!#REF!&gt;(TODAY()-(Data_Val!$M$3*365.25)),Data!#REF!&lt;=(TODAY()-(Data_Val!$M$2*365.25))),0,1),1))</f>
        <v>#REF!</v>
      </c>
      <c r="BB82" s="11" t="e">
        <f>IF(Data!#REF!="","",IF(Data!$G82="",1,IF(ISNUMBER(MATCH(Data!#REF!,Data_Val!$D$2:$D$10,0)),0,1)))</f>
        <v>#REF!</v>
      </c>
      <c r="BC82" s="12"/>
      <c r="BD82" s="20" t="e">
        <f ca="1">IF(Data!#REF!="","",IF(ISNUMBER(Data!#REF!),IF(AND(Data!#REF!&gt;(TODAY()-(Data_Val!$M$3*365.25)),Data!#REF!&lt;=(TODAY()-(Data_Val!$M$2*365.25))),0,1),1))</f>
        <v>#REF!</v>
      </c>
      <c r="BE82" s="12" t="e">
        <f>IF(Data!#REF!="","",IF(Data!$G82="",1,IF(ISNUMBER(MATCH(Data!#REF!,Data_Val!$D$2:$D$10,0)),0,1)))</f>
        <v>#REF!</v>
      </c>
      <c r="BF82" s="17"/>
      <c r="BG82" s="18" t="e">
        <f ca="1">IF(Data!#REF!="","",IF(ISNUMBER(Data!#REF!),IF(AND(Data!#REF!&gt;(TODAY()-(Data_Val!$M$3*365.25)),Data!#REF!&lt;=(TODAY()-(Data_Val!$M$2*365.25))),0,1),1))</f>
        <v>#REF!</v>
      </c>
      <c r="BH82" s="29" t="e">
        <f>IF(Data!#REF!="","",IF(Data!$G82="",1,IF(ISNUMBER(MATCH(Data!#REF!,Data_Val!$D$2:$D$10,0)),0,1)))</f>
        <v>#REF!</v>
      </c>
      <c r="BI82" s="13"/>
      <c r="BJ82" s="21" t="e">
        <f ca="1">IF(Data!#REF!="","",IF(ISNUMBER(Data!#REF!),IF(AND(Data!#REF!&gt;(TODAY()-(Data_Val!$M$3*365.25)),Data!#REF!&lt;=(TODAY()-(Data_Val!$M$2*365.25))),0,1),1))</f>
        <v>#REF!</v>
      </c>
      <c r="BK82" s="13" t="e">
        <f>IF(Data!#REF!="","",IF(Data!$G82="",1,IF(ISNUMBER(MATCH(Data!#REF!,Data_Val!$D$2:$D$10,0)),0,1)))</f>
        <v>#REF!</v>
      </c>
    </row>
    <row r="83" spans="1:63" x14ac:dyDescent="0.25">
      <c r="A83" s="9" t="str">
        <f>IF(Data!B83="","",IF(COUNTIFS(Data!A$1:'Data'!A83,Data!A83)&lt;=1,0,1))</f>
        <v/>
      </c>
      <c r="B83" s="9"/>
      <c r="C83" s="23" t="str">
        <f>IF(Data!C83="","",(IF(ISNUMBER(MATCH("*@*.?*",Data!C83,0)),0,1)+IF(COUNTIFS(Data!C$1:'Data'!C83,Data!C83)&gt;1,1,0)))</f>
        <v/>
      </c>
      <c r="D83" s="9" t="str">
        <f>IF(Data!B83="","",IF(ISNUMBER(Data!D83),IF(AND(Data!D83&gt;999999999,Data!D83&lt;=9999999999),IF(COUNTIFS(Data!D$1:'Data'!D83,Data!D83)&lt;=1,0,1),1),1))</f>
        <v/>
      </c>
      <c r="E83" s="9" t="str">
        <f>IF(Data!B83="","",IF(ISNUMBER(MATCH(Data!E83,Data_Val!$A$2:$A$3,0)),0,1))</f>
        <v/>
      </c>
      <c r="F83" s="9" t="str">
        <f ca="1">IF(Data!B83="","",IF(ISNUMBER(Data!F83),IF(AND(Data!F83&gt;(TODAY()-(Data_Val!$H$3*365.25)),Data!F83&lt;=(TODAY()-(Data_Val!$H$2*365.25))),0,1),1))</f>
        <v/>
      </c>
      <c r="G83" s="15" t="str">
        <f>IF(Data!B83="","",IF(AND(Data!G83="",Data!H83&lt;&gt;""),1,IF(Data!#REF!&lt;&gt;"",0,IF(ISNUMBER(MATCH(Data!G83,Data_Val!$C$2:$C$5,0)),0,1))))</f>
        <v/>
      </c>
      <c r="H83" s="15" t="str">
        <f>IF(Data!B83="","",IF(AND(Data!G83&lt;&gt;"",Data!H83=""),1,IF(Data!#REF!&lt;&gt;"",0,IF(Data!G83="",1,IF(ISNUMBER(MATCH(Data!H83,Data_Val!$D$2:$D$35,0)),0,1)))))</f>
        <v/>
      </c>
      <c r="I83" s="15" t="str">
        <f>IF(Data!B83="","",IF(Data!G83&lt;&gt;"",0,IF(ISNUMBER(MATCH(Data!#REF!,Data_Val!$E$2:$E$12,0)),0,1)))</f>
        <v/>
      </c>
      <c r="J83" s="16" t="e">
        <f>IF(OR(Data!B83="",Data!#REF!=""),"",IF(Data!#REF!="",1,0))</f>
        <v>#REF!</v>
      </c>
      <c r="K83" s="16" t="e">
        <f>IF(OR(Data!B83="",Data!#REF!=""),"",IF(Data!#REF!="",1,0))</f>
        <v>#REF!</v>
      </c>
      <c r="L83" s="16" t="e">
        <f>IF(OR(Data!B83="",Data!#REF!=""),"",IF(ISNUMBER(Data!#REF!),IF(AND(Data!#REF!&gt;Data_Val!$G$2,Data!#REF!&lt;=Data_Val!$G$3),0,1),1))</f>
        <v>#REF!</v>
      </c>
      <c r="M83" s="9" t="e">
        <f>IF(OR(Data!B83="",Data!#REF!=""),"",IF(ISNUMBER(MATCH(Data!#REF!,Data_Val!$F$1:$F$38,0)),0,1))</f>
        <v>#REF!</v>
      </c>
      <c r="N83" s="9" t="e">
        <f>IF(OR(Data!B83="",Data!#REF!=""),"",IF(Data!#REF!="",1,0))</f>
        <v>#REF!</v>
      </c>
      <c r="O83" s="17" t="e">
        <f>IF(Data!#REF!="","",IF(Data!#REF!="",1,0))</f>
        <v>#REF!</v>
      </c>
      <c r="P83" s="17" t="e">
        <f>IF(Data!#REF!="","",IF(ISNUMBER(MATCH(Data!#REF!,Data_Val!$A$2:$A$3,0)),0,1))</f>
        <v>#REF!</v>
      </c>
      <c r="Q83" s="25" t="e">
        <f ca="1">IF(Data!#REF!="","",IF(ISNUMBER(Data!#REF!),IF(AND(Data!#REF!&gt;(TODAY()-(Data_Val!$J$3*365.25)),Data!#REF!&lt;=(TODAY()-(Data_Val!$J$2*365.25))),0,1),1))</f>
        <v>#REF!</v>
      </c>
      <c r="R83" s="17" t="e">
        <f>IF(Data!#REF!="","",IF(ISNUMBER(MATCH(Data!#REF!,Data_Val!$B$2:$B$15,0)),0,1))</f>
        <v>#REF!</v>
      </c>
      <c r="S83" s="11" t="str">
        <f>IF(Data!G83="","",IF(Data!G83=Data_Val!$C$2,IF(Data!M83="",0,1),0))</f>
        <v/>
      </c>
      <c r="T83" s="11" t="str">
        <f>IF(Data!M83="","",IF(ISNUMBER(MATCH(Data!N83,Data_Val!$A$2:$A$3,0)),0,1))</f>
        <v/>
      </c>
      <c r="U83" s="11" t="str">
        <f ca="1">IF(Data!M83="","",IF(ISNUMBER(Data!O83),IF(AND(Data!O83&gt;(TODAY()-(Data_Val!$K$3*365.25)),Data!O83&lt;=(TODAY()-(Data_Val!$K$2*365.25))),0,1),1))</f>
        <v/>
      </c>
      <c r="V83" s="12" t="str">
        <f>IF(Data!G83="","",IF(Data!G83=Data_Val!$C$2,IF(Data!P83="",0,1),0))</f>
        <v/>
      </c>
      <c r="W83" s="12" t="str">
        <f>IF(Data!P83="","",IF(ISNUMBER(MATCH(Data!Q83,Data_Val!$A$2:$A$3,0)),0,1))</f>
        <v/>
      </c>
      <c r="X83" s="26" t="str">
        <f ca="1">IF(Data!P83="","",IF(ISNUMBER(Data!R83),IF(AND(Data!R83&gt;(TODAY()-(Data_Val!$L$3*365.25)),Data!R83&lt;=(TODAY()-(Data_Val!$L$2*365.25))),0,1),1))</f>
        <v/>
      </c>
      <c r="Y83" s="13" t="str">
        <f>IF(Data!$G83="","",IF(Data!$G83=Data_Val!$C$2,IF(Data!S83="",0,1),0))</f>
        <v/>
      </c>
      <c r="Z83" s="13" t="str">
        <f>IF(Data!S83="","",IF(ISNUMBER(MATCH(Data!T83,Data_Val!$A$2:$A$3,0)),0,1))</f>
        <v/>
      </c>
      <c r="AA83" s="28" t="str">
        <f ca="1">IF(Data!S83="","",IF(ISNUMBER(Data!U83),IF(AND(Data!U83&gt;(TODAY()-(Data_Val!$L$3*365.25)),Data!U83&lt;=(TODAY()-(Data_Val!$L$2*365.25))),0,1),1))</f>
        <v/>
      </c>
      <c r="AB83" s="11"/>
      <c r="AC83" s="11" t="e">
        <f>IF(Data!#REF!="","",IF(ISNUMBER(MATCH(Data!#REF!,Data_Val!$A$2:$A$3,0)),0,1))</f>
        <v>#REF!</v>
      </c>
      <c r="AD83" s="11" t="e">
        <f ca="1">IF(Data!#REF!="","",IF(ISNUMBER(Data!#REF!),IF(AND(Data!#REF!&gt;(TODAY()-(Data_Val!$L$3*365.25)),Data!#REF!&lt;=(TODAY()-(Data_Val!$L$2*365.25))),0,1),1))</f>
        <v>#REF!</v>
      </c>
      <c r="AE83" s="11" t="e">
        <f>IF(Data!#REF!="","",IF(Data!$G83="",1,IF(ISNUMBER(MATCH(Data!#REF!,Data_Val!$D$2:$D$10,0)),0,1)))</f>
        <v>#REF!</v>
      </c>
      <c r="AF83" s="12"/>
      <c r="AG83" s="12" t="e">
        <f>IF(Data!#REF!="","",IF(ISNUMBER(MATCH(Data!#REF!,Data_Val!$A$2:$A$3,0)),0,1))</f>
        <v>#REF!</v>
      </c>
      <c r="AH83" s="26" t="e">
        <f ca="1">IF(Data!#REF!="","",IF(ISNUMBER(Data!#REF!),IF(AND(Data!#REF!&gt;(TODAY()-(Data_Val!$L$3*365.25)),Data!#REF!&lt;=(TODAY()-(Data_Val!$L$2*365.25))),0,1),1))</f>
        <v>#REF!</v>
      </c>
      <c r="AI83" s="12" t="e">
        <f>IF(Data!#REF!="","",IF(Data!$G83="",1,IF(ISNUMBER(MATCH(Data!#REF!,Data_Val!$D$2:$D$10,0)),0,1)))</f>
        <v>#REF!</v>
      </c>
      <c r="AJ83" s="17"/>
      <c r="AK83" s="17" t="e">
        <f>IF(Data!#REF!="","",IF(ISNUMBER(MATCH(Data!#REF!,Data_Val!$A$2:$A$3,0)),0,1))</f>
        <v>#REF!</v>
      </c>
      <c r="AL83" s="25" t="e">
        <f ca="1">IF(Data!#REF!="","",IF(ISNUMBER(Data!#REF!),IF(AND(Data!#REF!&gt;(TODAY()-(Data_Val!$L$3*365.25)),Data!#REF!&lt;=(TODAY()-(Data_Val!$L$2*365.25))),0,1),1))</f>
        <v>#REF!</v>
      </c>
      <c r="AM83" s="17" t="e">
        <f>IF(Data!#REF!="","",IF(Data!$G83="",1,IF(ISNUMBER(MATCH(Data!#REF!,Data_Val!$D$2:$D$10,0)),0,1)))</f>
        <v>#REF!</v>
      </c>
      <c r="AN83" s="13"/>
      <c r="AO83" s="28" t="e">
        <f ca="1">IF(Data!#REF!="","",IF(ISNUMBER(Data!#REF!),IF(AND(Data!#REF!&gt;(TODAY()-(Data_Val!$I$3*365.25)),Data!#REF!&lt;=(TODAY()-(Data_Val!$I$2*365.25))),0,1),1))</f>
        <v>#REF!</v>
      </c>
      <c r="AP83" s="13" t="e">
        <f>IF(Data!#REF!="","",IF(Data!$G83="",1,IF(ISNUMBER(MATCH(Data!#REF!,Data_Val!$D$2:$D$10,0)),0,1)))</f>
        <v>#REF!</v>
      </c>
      <c r="AQ83" s="17"/>
      <c r="AR83" s="30" t="e">
        <f ca="1">IF(Data!#REF!="","",IF(ISNUMBER(Data!#REF!),IF(AND(Data!#REF!&gt;(TODAY()-(Data_Val!$I$3*365.25)),Data!#REF!&lt;=(TODAY()-(Data_Val!$I$2*365.25))),0,1),1))</f>
        <v>#REF!</v>
      </c>
      <c r="AS83" s="31" t="e">
        <f>IF(Data!#REF!="","",IF(Data!$G83="",1,IF(ISNUMBER(MATCH(Data!#REF!,Data_Val!$D$2:$D$10,0)),0,1)))</f>
        <v>#REF!</v>
      </c>
      <c r="AT83" s="11"/>
      <c r="AU83" s="11" t="e">
        <f ca="1">IF(Data!#REF!="","",IF(ISNUMBER(Data!#REF!),IF(AND(Data!#REF!&gt;(TODAY()-(Data_Val!$I$3*365.25)),Data!#REF!&lt;=(TODAY()-(Data_Val!$I$2*365.25))),0,1),1))</f>
        <v>#REF!</v>
      </c>
      <c r="AV83" s="11" t="e">
        <f>IF(Data!#REF!="","",IF(Data!$G83="",1,IF(ISNUMBER(MATCH(Data!#REF!,Data_Val!$D$2:$D$10,0)),0,1)))</f>
        <v>#REF!</v>
      </c>
      <c r="AW83" s="12"/>
      <c r="AX83" s="26" t="e">
        <f ca="1">IF(Data!#REF!="","",IF(ISNUMBER(Data!#REF!),IF(AND(Data!#REF!&gt;(TODAY()-(Data_Val!$I$3*365.25)),Data!#REF!&lt;=(TODAY()-(Data_Val!$I$2*365.25))),0,1),1))</f>
        <v>#REF!</v>
      </c>
      <c r="AY83" s="12" t="e">
        <f>IF(Data!#REF!="","",IF(Data!$G83="",1,IF(ISNUMBER(MATCH(Data!#REF!,Data_Val!$D$2:$D$10,0)),0,1)))</f>
        <v>#REF!</v>
      </c>
      <c r="AZ83" s="11"/>
      <c r="BA83" s="19" t="e">
        <f ca="1">IF(Data!#REF!="","",IF(ISNUMBER(Data!#REF!),IF(AND(Data!#REF!&gt;(TODAY()-(Data_Val!$M$3*365.25)),Data!#REF!&lt;=(TODAY()-(Data_Val!$M$2*365.25))),0,1),1))</f>
        <v>#REF!</v>
      </c>
      <c r="BB83" s="11" t="e">
        <f>IF(Data!#REF!="","",IF(Data!$G83="",1,IF(ISNUMBER(MATCH(Data!#REF!,Data_Val!$D$2:$D$10,0)),0,1)))</f>
        <v>#REF!</v>
      </c>
      <c r="BC83" s="12"/>
      <c r="BD83" s="20" t="e">
        <f ca="1">IF(Data!#REF!="","",IF(ISNUMBER(Data!#REF!),IF(AND(Data!#REF!&gt;(TODAY()-(Data_Val!$M$3*365.25)),Data!#REF!&lt;=(TODAY()-(Data_Val!$M$2*365.25))),0,1),1))</f>
        <v>#REF!</v>
      </c>
      <c r="BE83" s="12" t="e">
        <f>IF(Data!#REF!="","",IF(Data!$G83="",1,IF(ISNUMBER(MATCH(Data!#REF!,Data_Val!$D$2:$D$10,0)),0,1)))</f>
        <v>#REF!</v>
      </c>
      <c r="BF83" s="17"/>
      <c r="BG83" s="18" t="e">
        <f ca="1">IF(Data!#REF!="","",IF(ISNUMBER(Data!#REF!),IF(AND(Data!#REF!&gt;(TODAY()-(Data_Val!$M$3*365.25)),Data!#REF!&lt;=(TODAY()-(Data_Val!$M$2*365.25))),0,1),1))</f>
        <v>#REF!</v>
      </c>
      <c r="BH83" s="29" t="e">
        <f>IF(Data!#REF!="","",IF(Data!$G83="",1,IF(ISNUMBER(MATCH(Data!#REF!,Data_Val!$D$2:$D$10,0)),0,1)))</f>
        <v>#REF!</v>
      </c>
      <c r="BI83" s="13"/>
      <c r="BJ83" s="21" t="e">
        <f ca="1">IF(Data!#REF!="","",IF(ISNUMBER(Data!#REF!),IF(AND(Data!#REF!&gt;(TODAY()-(Data_Val!$M$3*365.25)),Data!#REF!&lt;=(TODAY()-(Data_Val!$M$2*365.25))),0,1),1))</f>
        <v>#REF!</v>
      </c>
      <c r="BK83" s="13" t="e">
        <f>IF(Data!#REF!="","",IF(Data!$G83="",1,IF(ISNUMBER(MATCH(Data!#REF!,Data_Val!$D$2:$D$10,0)),0,1)))</f>
        <v>#REF!</v>
      </c>
    </row>
    <row r="84" spans="1:63" x14ac:dyDescent="0.25">
      <c r="A84" s="9" t="str">
        <f>IF(Data!B84="","",IF(COUNTIFS(Data!A$1:'Data'!A84,Data!A84)&lt;=1,0,1))</f>
        <v/>
      </c>
      <c r="B84" s="9"/>
      <c r="C84" s="23" t="str">
        <f>IF(Data!C84="","",(IF(ISNUMBER(MATCH("*@*.?*",Data!C84,0)),0,1)+IF(COUNTIFS(Data!C$1:'Data'!C84,Data!C84)&gt;1,1,0)))</f>
        <v/>
      </c>
      <c r="D84" s="9" t="str">
        <f>IF(Data!B84="","",IF(ISNUMBER(Data!D84),IF(AND(Data!D84&gt;999999999,Data!D84&lt;=9999999999),IF(COUNTIFS(Data!D$1:'Data'!D84,Data!D84)&lt;=1,0,1),1),1))</f>
        <v/>
      </c>
      <c r="E84" s="9" t="str">
        <f>IF(Data!B84="","",IF(ISNUMBER(MATCH(Data!E84,Data_Val!$A$2:$A$3,0)),0,1))</f>
        <v/>
      </c>
      <c r="F84" s="9" t="str">
        <f ca="1">IF(Data!B84="","",IF(ISNUMBER(Data!F84),IF(AND(Data!F84&gt;(TODAY()-(Data_Val!$H$3*365.25)),Data!F84&lt;=(TODAY()-(Data_Val!$H$2*365.25))),0,1),1))</f>
        <v/>
      </c>
      <c r="G84" s="15" t="str">
        <f>IF(Data!B84="","",IF(AND(Data!G84="",Data!H84&lt;&gt;""),1,IF(Data!#REF!&lt;&gt;"",0,IF(ISNUMBER(MATCH(Data!G84,Data_Val!$C$2:$C$5,0)),0,1))))</f>
        <v/>
      </c>
      <c r="H84" s="15" t="str">
        <f>IF(Data!B84="","",IF(AND(Data!G84&lt;&gt;"",Data!H84=""),1,IF(Data!#REF!&lt;&gt;"",0,IF(Data!G84="",1,IF(ISNUMBER(MATCH(Data!H84,Data_Val!$D$2:$D$35,0)),0,1)))))</f>
        <v/>
      </c>
      <c r="I84" s="15" t="str">
        <f>IF(Data!B84="","",IF(Data!G84&lt;&gt;"",0,IF(ISNUMBER(MATCH(Data!#REF!,Data_Val!$E$2:$E$12,0)),0,1)))</f>
        <v/>
      </c>
      <c r="J84" s="16" t="e">
        <f>IF(OR(Data!B84="",Data!#REF!=""),"",IF(Data!#REF!="",1,0))</f>
        <v>#REF!</v>
      </c>
      <c r="K84" s="16" t="e">
        <f>IF(OR(Data!B84="",Data!#REF!=""),"",IF(Data!#REF!="",1,0))</f>
        <v>#REF!</v>
      </c>
      <c r="L84" s="16" t="e">
        <f>IF(OR(Data!B84="",Data!#REF!=""),"",IF(ISNUMBER(Data!#REF!),IF(AND(Data!#REF!&gt;Data_Val!$G$2,Data!#REF!&lt;=Data_Val!$G$3),0,1),1))</f>
        <v>#REF!</v>
      </c>
      <c r="M84" s="9" t="e">
        <f>IF(OR(Data!B84="",Data!#REF!=""),"",IF(ISNUMBER(MATCH(Data!#REF!,Data_Val!$F$1:$F$38,0)),0,1))</f>
        <v>#REF!</v>
      </c>
      <c r="N84" s="9" t="e">
        <f>IF(OR(Data!B84="",Data!#REF!=""),"",IF(Data!#REF!="",1,0))</f>
        <v>#REF!</v>
      </c>
      <c r="O84" s="17" t="e">
        <f>IF(Data!#REF!="","",IF(Data!#REF!="",1,0))</f>
        <v>#REF!</v>
      </c>
      <c r="P84" s="17" t="e">
        <f>IF(Data!#REF!="","",IF(ISNUMBER(MATCH(Data!#REF!,Data_Val!$A$2:$A$3,0)),0,1))</f>
        <v>#REF!</v>
      </c>
      <c r="Q84" s="25" t="e">
        <f ca="1">IF(Data!#REF!="","",IF(ISNUMBER(Data!#REF!),IF(AND(Data!#REF!&gt;(TODAY()-(Data_Val!$J$3*365.25)),Data!#REF!&lt;=(TODAY()-(Data_Val!$J$2*365.25))),0,1),1))</f>
        <v>#REF!</v>
      </c>
      <c r="R84" s="17" t="e">
        <f>IF(Data!#REF!="","",IF(ISNUMBER(MATCH(Data!#REF!,Data_Val!$B$2:$B$15,0)),0,1))</f>
        <v>#REF!</v>
      </c>
      <c r="S84" s="11" t="str">
        <f>IF(Data!G84="","",IF(Data!G84=Data_Val!$C$2,IF(Data!M84="",0,1),0))</f>
        <v/>
      </c>
      <c r="T84" s="11" t="str">
        <f>IF(Data!M84="","",IF(ISNUMBER(MATCH(Data!N84,Data_Val!$A$2:$A$3,0)),0,1))</f>
        <v/>
      </c>
      <c r="U84" s="11" t="str">
        <f ca="1">IF(Data!M84="","",IF(ISNUMBER(Data!O84),IF(AND(Data!O84&gt;(TODAY()-(Data_Val!$K$3*365.25)),Data!O84&lt;=(TODAY()-(Data_Val!$K$2*365.25))),0,1),1))</f>
        <v/>
      </c>
      <c r="V84" s="12" t="str">
        <f>IF(Data!G84="","",IF(Data!G84=Data_Val!$C$2,IF(Data!P84="",0,1),0))</f>
        <v/>
      </c>
      <c r="W84" s="12" t="str">
        <f>IF(Data!P84="","",IF(ISNUMBER(MATCH(Data!Q84,Data_Val!$A$2:$A$3,0)),0,1))</f>
        <v/>
      </c>
      <c r="X84" s="26" t="str">
        <f ca="1">IF(Data!P84="","",IF(ISNUMBER(Data!R84),IF(AND(Data!R84&gt;(TODAY()-(Data_Val!$L$3*365.25)),Data!R84&lt;=(TODAY()-(Data_Val!$L$2*365.25))),0,1),1))</f>
        <v/>
      </c>
      <c r="Y84" s="13" t="str">
        <f>IF(Data!$G84="","",IF(Data!$G84=Data_Val!$C$2,IF(Data!S84="",0,1),0))</f>
        <v/>
      </c>
      <c r="Z84" s="13" t="str">
        <f>IF(Data!S84="","",IF(ISNUMBER(MATCH(Data!T84,Data_Val!$A$2:$A$3,0)),0,1))</f>
        <v/>
      </c>
      <c r="AA84" s="28" t="str">
        <f ca="1">IF(Data!S84="","",IF(ISNUMBER(Data!U84),IF(AND(Data!U84&gt;(TODAY()-(Data_Val!$L$3*365.25)),Data!U84&lt;=(TODAY()-(Data_Val!$L$2*365.25))),0,1),1))</f>
        <v/>
      </c>
      <c r="AB84" s="11"/>
      <c r="AC84" s="11" t="e">
        <f>IF(Data!#REF!="","",IF(ISNUMBER(MATCH(Data!#REF!,Data_Val!$A$2:$A$3,0)),0,1))</f>
        <v>#REF!</v>
      </c>
      <c r="AD84" s="11" t="e">
        <f ca="1">IF(Data!#REF!="","",IF(ISNUMBER(Data!#REF!),IF(AND(Data!#REF!&gt;(TODAY()-(Data_Val!$L$3*365.25)),Data!#REF!&lt;=(TODAY()-(Data_Val!$L$2*365.25))),0,1),1))</f>
        <v>#REF!</v>
      </c>
      <c r="AE84" s="11" t="e">
        <f>IF(Data!#REF!="","",IF(Data!$G84="",1,IF(ISNUMBER(MATCH(Data!#REF!,Data_Val!$D$2:$D$10,0)),0,1)))</f>
        <v>#REF!</v>
      </c>
      <c r="AF84" s="12"/>
      <c r="AG84" s="12" t="e">
        <f>IF(Data!#REF!="","",IF(ISNUMBER(MATCH(Data!#REF!,Data_Val!$A$2:$A$3,0)),0,1))</f>
        <v>#REF!</v>
      </c>
      <c r="AH84" s="26" t="e">
        <f ca="1">IF(Data!#REF!="","",IF(ISNUMBER(Data!#REF!),IF(AND(Data!#REF!&gt;(TODAY()-(Data_Val!$L$3*365.25)),Data!#REF!&lt;=(TODAY()-(Data_Val!$L$2*365.25))),0,1),1))</f>
        <v>#REF!</v>
      </c>
      <c r="AI84" s="12" t="e">
        <f>IF(Data!#REF!="","",IF(Data!$G84="",1,IF(ISNUMBER(MATCH(Data!#REF!,Data_Val!$D$2:$D$10,0)),0,1)))</f>
        <v>#REF!</v>
      </c>
      <c r="AJ84" s="17"/>
      <c r="AK84" s="17" t="e">
        <f>IF(Data!#REF!="","",IF(ISNUMBER(MATCH(Data!#REF!,Data_Val!$A$2:$A$3,0)),0,1))</f>
        <v>#REF!</v>
      </c>
      <c r="AL84" s="25" t="e">
        <f ca="1">IF(Data!#REF!="","",IF(ISNUMBER(Data!#REF!),IF(AND(Data!#REF!&gt;(TODAY()-(Data_Val!$L$3*365.25)),Data!#REF!&lt;=(TODAY()-(Data_Val!$L$2*365.25))),0,1),1))</f>
        <v>#REF!</v>
      </c>
      <c r="AM84" s="17" t="e">
        <f>IF(Data!#REF!="","",IF(Data!$G84="",1,IF(ISNUMBER(MATCH(Data!#REF!,Data_Val!$D$2:$D$10,0)),0,1)))</f>
        <v>#REF!</v>
      </c>
      <c r="AN84" s="13"/>
      <c r="AO84" s="28" t="e">
        <f ca="1">IF(Data!#REF!="","",IF(ISNUMBER(Data!#REF!),IF(AND(Data!#REF!&gt;(TODAY()-(Data_Val!$I$3*365.25)),Data!#REF!&lt;=(TODAY()-(Data_Val!$I$2*365.25))),0,1),1))</f>
        <v>#REF!</v>
      </c>
      <c r="AP84" s="13" t="e">
        <f>IF(Data!#REF!="","",IF(Data!$G84="",1,IF(ISNUMBER(MATCH(Data!#REF!,Data_Val!$D$2:$D$10,0)),0,1)))</f>
        <v>#REF!</v>
      </c>
      <c r="AQ84" s="17"/>
      <c r="AR84" s="30" t="e">
        <f ca="1">IF(Data!#REF!="","",IF(ISNUMBER(Data!#REF!),IF(AND(Data!#REF!&gt;(TODAY()-(Data_Val!$I$3*365.25)),Data!#REF!&lt;=(TODAY()-(Data_Val!$I$2*365.25))),0,1),1))</f>
        <v>#REF!</v>
      </c>
      <c r="AS84" s="31" t="e">
        <f>IF(Data!#REF!="","",IF(Data!$G84="",1,IF(ISNUMBER(MATCH(Data!#REF!,Data_Val!$D$2:$D$10,0)),0,1)))</f>
        <v>#REF!</v>
      </c>
      <c r="AT84" s="11"/>
      <c r="AU84" s="11" t="e">
        <f ca="1">IF(Data!#REF!="","",IF(ISNUMBER(Data!#REF!),IF(AND(Data!#REF!&gt;(TODAY()-(Data_Val!$I$3*365.25)),Data!#REF!&lt;=(TODAY()-(Data_Val!$I$2*365.25))),0,1),1))</f>
        <v>#REF!</v>
      </c>
      <c r="AV84" s="11" t="e">
        <f>IF(Data!#REF!="","",IF(Data!$G84="",1,IF(ISNUMBER(MATCH(Data!#REF!,Data_Val!$D$2:$D$10,0)),0,1)))</f>
        <v>#REF!</v>
      </c>
      <c r="AW84" s="12"/>
      <c r="AX84" s="26" t="e">
        <f ca="1">IF(Data!#REF!="","",IF(ISNUMBER(Data!#REF!),IF(AND(Data!#REF!&gt;(TODAY()-(Data_Val!$I$3*365.25)),Data!#REF!&lt;=(TODAY()-(Data_Val!$I$2*365.25))),0,1),1))</f>
        <v>#REF!</v>
      </c>
      <c r="AY84" s="12" t="e">
        <f>IF(Data!#REF!="","",IF(Data!$G84="",1,IF(ISNUMBER(MATCH(Data!#REF!,Data_Val!$D$2:$D$10,0)),0,1)))</f>
        <v>#REF!</v>
      </c>
      <c r="AZ84" s="11"/>
      <c r="BA84" s="19" t="e">
        <f ca="1">IF(Data!#REF!="","",IF(ISNUMBER(Data!#REF!),IF(AND(Data!#REF!&gt;(TODAY()-(Data_Val!$M$3*365.25)),Data!#REF!&lt;=(TODAY()-(Data_Val!$M$2*365.25))),0,1),1))</f>
        <v>#REF!</v>
      </c>
      <c r="BB84" s="11" t="e">
        <f>IF(Data!#REF!="","",IF(Data!$G84="",1,IF(ISNUMBER(MATCH(Data!#REF!,Data_Val!$D$2:$D$10,0)),0,1)))</f>
        <v>#REF!</v>
      </c>
      <c r="BC84" s="12"/>
      <c r="BD84" s="20" t="e">
        <f ca="1">IF(Data!#REF!="","",IF(ISNUMBER(Data!#REF!),IF(AND(Data!#REF!&gt;(TODAY()-(Data_Val!$M$3*365.25)),Data!#REF!&lt;=(TODAY()-(Data_Val!$M$2*365.25))),0,1),1))</f>
        <v>#REF!</v>
      </c>
      <c r="BE84" s="12" t="e">
        <f>IF(Data!#REF!="","",IF(Data!$G84="",1,IF(ISNUMBER(MATCH(Data!#REF!,Data_Val!$D$2:$D$10,0)),0,1)))</f>
        <v>#REF!</v>
      </c>
      <c r="BF84" s="17"/>
      <c r="BG84" s="18" t="e">
        <f ca="1">IF(Data!#REF!="","",IF(ISNUMBER(Data!#REF!),IF(AND(Data!#REF!&gt;(TODAY()-(Data_Val!$M$3*365.25)),Data!#REF!&lt;=(TODAY()-(Data_Val!$M$2*365.25))),0,1),1))</f>
        <v>#REF!</v>
      </c>
      <c r="BH84" s="29" t="e">
        <f>IF(Data!#REF!="","",IF(Data!$G84="",1,IF(ISNUMBER(MATCH(Data!#REF!,Data_Val!$D$2:$D$10,0)),0,1)))</f>
        <v>#REF!</v>
      </c>
      <c r="BI84" s="13"/>
      <c r="BJ84" s="21" t="e">
        <f ca="1">IF(Data!#REF!="","",IF(ISNUMBER(Data!#REF!),IF(AND(Data!#REF!&gt;(TODAY()-(Data_Val!$M$3*365.25)),Data!#REF!&lt;=(TODAY()-(Data_Val!$M$2*365.25))),0,1),1))</f>
        <v>#REF!</v>
      </c>
      <c r="BK84" s="13" t="e">
        <f>IF(Data!#REF!="","",IF(Data!$G84="",1,IF(ISNUMBER(MATCH(Data!#REF!,Data_Val!$D$2:$D$10,0)),0,1)))</f>
        <v>#REF!</v>
      </c>
    </row>
    <row r="85" spans="1:63" x14ac:dyDescent="0.25">
      <c r="A85" s="9" t="str">
        <f>IF(Data!B85="","",IF(COUNTIFS(Data!A$1:'Data'!A85,Data!A85)&lt;=1,0,1))</f>
        <v/>
      </c>
      <c r="B85" s="9"/>
      <c r="C85" s="23" t="str">
        <f>IF(Data!C85="","",(IF(ISNUMBER(MATCH("*@*.?*",Data!C85,0)),0,1)+IF(COUNTIFS(Data!C$1:'Data'!C85,Data!C85)&gt;1,1,0)))</f>
        <v/>
      </c>
      <c r="D85" s="9" t="str">
        <f>IF(Data!B85="","",IF(ISNUMBER(Data!D85),IF(AND(Data!D85&gt;999999999,Data!D85&lt;=9999999999),IF(COUNTIFS(Data!D$1:'Data'!D85,Data!D85)&lt;=1,0,1),1),1))</f>
        <v/>
      </c>
      <c r="E85" s="9" t="str">
        <f>IF(Data!B85="","",IF(ISNUMBER(MATCH(Data!E85,Data_Val!$A$2:$A$3,0)),0,1))</f>
        <v/>
      </c>
      <c r="F85" s="9" t="str">
        <f ca="1">IF(Data!B85="","",IF(ISNUMBER(Data!F85),IF(AND(Data!F85&gt;(TODAY()-(Data_Val!$H$3*365.25)),Data!F85&lt;=(TODAY()-(Data_Val!$H$2*365.25))),0,1),1))</f>
        <v/>
      </c>
      <c r="G85" s="15" t="str">
        <f>IF(Data!B85="","",IF(AND(Data!G85="",Data!H85&lt;&gt;""),1,IF(Data!#REF!&lt;&gt;"",0,IF(ISNUMBER(MATCH(Data!G85,Data_Val!$C$2:$C$5,0)),0,1))))</f>
        <v/>
      </c>
      <c r="H85" s="15" t="str">
        <f>IF(Data!B85="","",IF(AND(Data!G85&lt;&gt;"",Data!H85=""),1,IF(Data!#REF!&lt;&gt;"",0,IF(Data!G85="",1,IF(ISNUMBER(MATCH(Data!H85,Data_Val!$D$2:$D$35,0)),0,1)))))</f>
        <v/>
      </c>
      <c r="I85" s="15" t="str">
        <f>IF(Data!B85="","",IF(Data!G85&lt;&gt;"",0,IF(ISNUMBER(MATCH(Data!#REF!,Data_Val!$E$2:$E$12,0)),0,1)))</f>
        <v/>
      </c>
      <c r="J85" s="16" t="e">
        <f>IF(OR(Data!B85="",Data!#REF!=""),"",IF(Data!#REF!="",1,0))</f>
        <v>#REF!</v>
      </c>
      <c r="K85" s="16" t="e">
        <f>IF(OR(Data!B85="",Data!#REF!=""),"",IF(Data!#REF!="",1,0))</f>
        <v>#REF!</v>
      </c>
      <c r="L85" s="16" t="e">
        <f>IF(OR(Data!B85="",Data!#REF!=""),"",IF(ISNUMBER(Data!#REF!),IF(AND(Data!#REF!&gt;Data_Val!$G$2,Data!#REF!&lt;=Data_Val!$G$3),0,1),1))</f>
        <v>#REF!</v>
      </c>
      <c r="M85" s="9" t="e">
        <f>IF(OR(Data!B85="",Data!#REF!=""),"",IF(ISNUMBER(MATCH(Data!#REF!,Data_Val!$F$1:$F$38,0)),0,1))</f>
        <v>#REF!</v>
      </c>
      <c r="N85" s="9" t="e">
        <f>IF(OR(Data!B85="",Data!#REF!=""),"",IF(Data!#REF!="",1,0))</f>
        <v>#REF!</v>
      </c>
      <c r="O85" s="17" t="e">
        <f>IF(Data!#REF!="","",IF(Data!#REF!="",1,0))</f>
        <v>#REF!</v>
      </c>
      <c r="P85" s="17" t="e">
        <f>IF(Data!#REF!="","",IF(ISNUMBER(MATCH(Data!#REF!,Data_Val!$A$2:$A$3,0)),0,1))</f>
        <v>#REF!</v>
      </c>
      <c r="Q85" s="25" t="e">
        <f ca="1">IF(Data!#REF!="","",IF(ISNUMBER(Data!#REF!),IF(AND(Data!#REF!&gt;(TODAY()-(Data_Val!$J$3*365.25)),Data!#REF!&lt;=(TODAY()-(Data_Val!$J$2*365.25))),0,1),1))</f>
        <v>#REF!</v>
      </c>
      <c r="R85" s="17" t="e">
        <f>IF(Data!#REF!="","",IF(ISNUMBER(MATCH(Data!#REF!,Data_Val!$B$2:$B$15,0)),0,1))</f>
        <v>#REF!</v>
      </c>
      <c r="S85" s="11" t="str">
        <f>IF(Data!G85="","",IF(Data!G85=Data_Val!$C$2,IF(Data!M85="",0,1),0))</f>
        <v/>
      </c>
      <c r="T85" s="11" t="str">
        <f>IF(Data!M85="","",IF(ISNUMBER(MATCH(Data!N85,Data_Val!$A$2:$A$3,0)),0,1))</f>
        <v/>
      </c>
      <c r="U85" s="11" t="str">
        <f ca="1">IF(Data!M85="","",IF(ISNUMBER(Data!O85),IF(AND(Data!O85&gt;(TODAY()-(Data_Val!$K$3*365.25)),Data!O85&lt;=(TODAY()-(Data_Val!$K$2*365.25))),0,1),1))</f>
        <v/>
      </c>
      <c r="V85" s="12" t="str">
        <f>IF(Data!G85="","",IF(Data!G85=Data_Val!$C$2,IF(Data!P85="",0,1),0))</f>
        <v/>
      </c>
      <c r="W85" s="12" t="str">
        <f>IF(Data!P85="","",IF(ISNUMBER(MATCH(Data!Q85,Data_Val!$A$2:$A$3,0)),0,1))</f>
        <v/>
      </c>
      <c r="X85" s="26" t="str">
        <f ca="1">IF(Data!P85="","",IF(ISNUMBER(Data!R85),IF(AND(Data!R85&gt;(TODAY()-(Data_Val!$L$3*365.25)),Data!R85&lt;=(TODAY()-(Data_Val!$L$2*365.25))),0,1),1))</f>
        <v/>
      </c>
      <c r="Y85" s="13" t="str">
        <f>IF(Data!$G85="","",IF(Data!$G85=Data_Val!$C$2,IF(Data!S85="",0,1),0))</f>
        <v/>
      </c>
      <c r="Z85" s="13" t="str">
        <f>IF(Data!S85="","",IF(ISNUMBER(MATCH(Data!T85,Data_Val!$A$2:$A$3,0)),0,1))</f>
        <v/>
      </c>
      <c r="AA85" s="28" t="str">
        <f ca="1">IF(Data!S85="","",IF(ISNUMBER(Data!U85),IF(AND(Data!U85&gt;(TODAY()-(Data_Val!$L$3*365.25)),Data!U85&lt;=(TODAY()-(Data_Val!$L$2*365.25))),0,1),1))</f>
        <v/>
      </c>
      <c r="AB85" s="11"/>
      <c r="AC85" s="11" t="e">
        <f>IF(Data!#REF!="","",IF(ISNUMBER(MATCH(Data!#REF!,Data_Val!$A$2:$A$3,0)),0,1))</f>
        <v>#REF!</v>
      </c>
      <c r="AD85" s="11" t="e">
        <f ca="1">IF(Data!#REF!="","",IF(ISNUMBER(Data!#REF!),IF(AND(Data!#REF!&gt;(TODAY()-(Data_Val!$L$3*365.25)),Data!#REF!&lt;=(TODAY()-(Data_Val!$L$2*365.25))),0,1),1))</f>
        <v>#REF!</v>
      </c>
      <c r="AE85" s="11" t="e">
        <f>IF(Data!#REF!="","",IF(Data!$G85="",1,IF(ISNUMBER(MATCH(Data!#REF!,Data_Val!$D$2:$D$10,0)),0,1)))</f>
        <v>#REF!</v>
      </c>
      <c r="AF85" s="12"/>
      <c r="AG85" s="12" t="e">
        <f>IF(Data!#REF!="","",IF(ISNUMBER(MATCH(Data!#REF!,Data_Val!$A$2:$A$3,0)),0,1))</f>
        <v>#REF!</v>
      </c>
      <c r="AH85" s="26" t="e">
        <f ca="1">IF(Data!#REF!="","",IF(ISNUMBER(Data!#REF!),IF(AND(Data!#REF!&gt;(TODAY()-(Data_Val!$L$3*365.25)),Data!#REF!&lt;=(TODAY()-(Data_Val!$L$2*365.25))),0,1),1))</f>
        <v>#REF!</v>
      </c>
      <c r="AI85" s="12" t="e">
        <f>IF(Data!#REF!="","",IF(Data!$G85="",1,IF(ISNUMBER(MATCH(Data!#REF!,Data_Val!$D$2:$D$10,0)),0,1)))</f>
        <v>#REF!</v>
      </c>
      <c r="AJ85" s="17"/>
      <c r="AK85" s="17" t="e">
        <f>IF(Data!#REF!="","",IF(ISNUMBER(MATCH(Data!#REF!,Data_Val!$A$2:$A$3,0)),0,1))</f>
        <v>#REF!</v>
      </c>
      <c r="AL85" s="25" t="e">
        <f ca="1">IF(Data!#REF!="","",IF(ISNUMBER(Data!#REF!),IF(AND(Data!#REF!&gt;(TODAY()-(Data_Val!$L$3*365.25)),Data!#REF!&lt;=(TODAY()-(Data_Val!$L$2*365.25))),0,1),1))</f>
        <v>#REF!</v>
      </c>
      <c r="AM85" s="17" t="e">
        <f>IF(Data!#REF!="","",IF(Data!$G85="",1,IF(ISNUMBER(MATCH(Data!#REF!,Data_Val!$D$2:$D$10,0)),0,1)))</f>
        <v>#REF!</v>
      </c>
      <c r="AN85" s="13"/>
      <c r="AO85" s="28" t="e">
        <f ca="1">IF(Data!#REF!="","",IF(ISNUMBER(Data!#REF!),IF(AND(Data!#REF!&gt;(TODAY()-(Data_Val!$I$3*365.25)),Data!#REF!&lt;=(TODAY()-(Data_Val!$I$2*365.25))),0,1),1))</f>
        <v>#REF!</v>
      </c>
      <c r="AP85" s="13" t="e">
        <f>IF(Data!#REF!="","",IF(Data!$G85="",1,IF(ISNUMBER(MATCH(Data!#REF!,Data_Val!$D$2:$D$10,0)),0,1)))</f>
        <v>#REF!</v>
      </c>
      <c r="AQ85" s="17"/>
      <c r="AR85" s="30" t="e">
        <f ca="1">IF(Data!#REF!="","",IF(ISNUMBER(Data!#REF!),IF(AND(Data!#REF!&gt;(TODAY()-(Data_Val!$I$3*365.25)),Data!#REF!&lt;=(TODAY()-(Data_Val!$I$2*365.25))),0,1),1))</f>
        <v>#REF!</v>
      </c>
      <c r="AS85" s="31" t="e">
        <f>IF(Data!#REF!="","",IF(Data!$G85="",1,IF(ISNUMBER(MATCH(Data!#REF!,Data_Val!$D$2:$D$10,0)),0,1)))</f>
        <v>#REF!</v>
      </c>
      <c r="AT85" s="11"/>
      <c r="AU85" s="11" t="e">
        <f ca="1">IF(Data!#REF!="","",IF(ISNUMBER(Data!#REF!),IF(AND(Data!#REF!&gt;(TODAY()-(Data_Val!$I$3*365.25)),Data!#REF!&lt;=(TODAY()-(Data_Val!$I$2*365.25))),0,1),1))</f>
        <v>#REF!</v>
      </c>
      <c r="AV85" s="11" t="e">
        <f>IF(Data!#REF!="","",IF(Data!$G85="",1,IF(ISNUMBER(MATCH(Data!#REF!,Data_Val!$D$2:$D$10,0)),0,1)))</f>
        <v>#REF!</v>
      </c>
      <c r="AW85" s="12"/>
      <c r="AX85" s="26" t="e">
        <f ca="1">IF(Data!#REF!="","",IF(ISNUMBER(Data!#REF!),IF(AND(Data!#REF!&gt;(TODAY()-(Data_Val!$I$3*365.25)),Data!#REF!&lt;=(TODAY()-(Data_Val!$I$2*365.25))),0,1),1))</f>
        <v>#REF!</v>
      </c>
      <c r="AY85" s="12" t="e">
        <f>IF(Data!#REF!="","",IF(Data!$G85="",1,IF(ISNUMBER(MATCH(Data!#REF!,Data_Val!$D$2:$D$10,0)),0,1)))</f>
        <v>#REF!</v>
      </c>
      <c r="AZ85" s="11"/>
      <c r="BA85" s="19" t="e">
        <f ca="1">IF(Data!#REF!="","",IF(ISNUMBER(Data!#REF!),IF(AND(Data!#REF!&gt;(TODAY()-(Data_Val!$M$3*365.25)),Data!#REF!&lt;=(TODAY()-(Data_Val!$M$2*365.25))),0,1),1))</f>
        <v>#REF!</v>
      </c>
      <c r="BB85" s="11" t="e">
        <f>IF(Data!#REF!="","",IF(Data!$G85="",1,IF(ISNUMBER(MATCH(Data!#REF!,Data_Val!$D$2:$D$10,0)),0,1)))</f>
        <v>#REF!</v>
      </c>
      <c r="BC85" s="12"/>
      <c r="BD85" s="20" t="e">
        <f ca="1">IF(Data!#REF!="","",IF(ISNUMBER(Data!#REF!),IF(AND(Data!#REF!&gt;(TODAY()-(Data_Val!$M$3*365.25)),Data!#REF!&lt;=(TODAY()-(Data_Val!$M$2*365.25))),0,1),1))</f>
        <v>#REF!</v>
      </c>
      <c r="BE85" s="12" t="e">
        <f>IF(Data!#REF!="","",IF(Data!$G85="",1,IF(ISNUMBER(MATCH(Data!#REF!,Data_Val!$D$2:$D$10,0)),0,1)))</f>
        <v>#REF!</v>
      </c>
      <c r="BF85" s="17"/>
      <c r="BG85" s="18" t="e">
        <f ca="1">IF(Data!#REF!="","",IF(ISNUMBER(Data!#REF!),IF(AND(Data!#REF!&gt;(TODAY()-(Data_Val!$M$3*365.25)),Data!#REF!&lt;=(TODAY()-(Data_Val!$M$2*365.25))),0,1),1))</f>
        <v>#REF!</v>
      </c>
      <c r="BH85" s="29" t="e">
        <f>IF(Data!#REF!="","",IF(Data!$G85="",1,IF(ISNUMBER(MATCH(Data!#REF!,Data_Val!$D$2:$D$10,0)),0,1)))</f>
        <v>#REF!</v>
      </c>
      <c r="BI85" s="13"/>
      <c r="BJ85" s="21" t="e">
        <f ca="1">IF(Data!#REF!="","",IF(ISNUMBER(Data!#REF!),IF(AND(Data!#REF!&gt;(TODAY()-(Data_Val!$M$3*365.25)),Data!#REF!&lt;=(TODAY()-(Data_Val!$M$2*365.25))),0,1),1))</f>
        <v>#REF!</v>
      </c>
      <c r="BK85" s="13" t="e">
        <f>IF(Data!#REF!="","",IF(Data!$G85="",1,IF(ISNUMBER(MATCH(Data!#REF!,Data_Val!$D$2:$D$10,0)),0,1)))</f>
        <v>#REF!</v>
      </c>
    </row>
    <row r="86" spans="1:63" x14ac:dyDescent="0.25">
      <c r="A86" s="9" t="str">
        <f>IF(Data!B86="","",IF(COUNTIFS(Data!A$1:'Data'!A86,Data!A86)&lt;=1,0,1))</f>
        <v/>
      </c>
      <c r="B86" s="9"/>
      <c r="C86" s="23" t="str">
        <f>IF(Data!C86="","",(IF(ISNUMBER(MATCH("*@*.?*",Data!C86,0)),0,1)+IF(COUNTIFS(Data!C$1:'Data'!C86,Data!C86)&gt;1,1,0)))</f>
        <v/>
      </c>
      <c r="D86" s="9" t="str">
        <f>IF(Data!B86="","",IF(ISNUMBER(Data!D86),IF(AND(Data!D86&gt;999999999,Data!D86&lt;=9999999999),IF(COUNTIFS(Data!D$1:'Data'!D86,Data!D86)&lt;=1,0,1),1),1))</f>
        <v/>
      </c>
      <c r="E86" s="9" t="str">
        <f>IF(Data!B86="","",IF(ISNUMBER(MATCH(Data!E86,Data_Val!$A$2:$A$3,0)),0,1))</f>
        <v/>
      </c>
      <c r="F86" s="9" t="str">
        <f ca="1">IF(Data!B86="","",IF(ISNUMBER(Data!F86),IF(AND(Data!F86&gt;(TODAY()-(Data_Val!$H$3*365.25)),Data!F86&lt;=(TODAY()-(Data_Val!$H$2*365.25))),0,1),1))</f>
        <v/>
      </c>
      <c r="G86" s="15" t="str">
        <f>IF(Data!B86="","",IF(AND(Data!G86="",Data!H86&lt;&gt;""),1,IF(Data!#REF!&lt;&gt;"",0,IF(ISNUMBER(MATCH(Data!G86,Data_Val!$C$2:$C$5,0)),0,1))))</f>
        <v/>
      </c>
      <c r="H86" s="15" t="str">
        <f>IF(Data!B86="","",IF(AND(Data!G86&lt;&gt;"",Data!H86=""),1,IF(Data!#REF!&lt;&gt;"",0,IF(Data!G86="",1,IF(ISNUMBER(MATCH(Data!H86,Data_Val!$D$2:$D$35,0)),0,1)))))</f>
        <v/>
      </c>
      <c r="I86" s="15" t="str">
        <f>IF(Data!B86="","",IF(Data!G86&lt;&gt;"",0,IF(ISNUMBER(MATCH(Data!#REF!,Data_Val!$E$2:$E$12,0)),0,1)))</f>
        <v/>
      </c>
      <c r="J86" s="16" t="e">
        <f>IF(OR(Data!B86="",Data!#REF!=""),"",IF(Data!#REF!="",1,0))</f>
        <v>#REF!</v>
      </c>
      <c r="K86" s="16" t="e">
        <f>IF(OR(Data!B86="",Data!#REF!=""),"",IF(Data!#REF!="",1,0))</f>
        <v>#REF!</v>
      </c>
      <c r="L86" s="16" t="e">
        <f>IF(OR(Data!B86="",Data!#REF!=""),"",IF(ISNUMBER(Data!#REF!),IF(AND(Data!#REF!&gt;Data_Val!$G$2,Data!#REF!&lt;=Data_Val!$G$3),0,1),1))</f>
        <v>#REF!</v>
      </c>
      <c r="M86" s="9" t="e">
        <f>IF(OR(Data!B86="",Data!#REF!=""),"",IF(ISNUMBER(MATCH(Data!#REF!,Data_Val!$F$1:$F$38,0)),0,1))</f>
        <v>#REF!</v>
      </c>
      <c r="N86" s="9" t="e">
        <f>IF(OR(Data!B86="",Data!#REF!=""),"",IF(Data!#REF!="",1,0))</f>
        <v>#REF!</v>
      </c>
      <c r="O86" s="17" t="e">
        <f>IF(Data!#REF!="","",IF(Data!#REF!="",1,0))</f>
        <v>#REF!</v>
      </c>
      <c r="P86" s="17" t="e">
        <f>IF(Data!#REF!="","",IF(ISNUMBER(MATCH(Data!#REF!,Data_Val!$A$2:$A$3,0)),0,1))</f>
        <v>#REF!</v>
      </c>
      <c r="Q86" s="25" t="e">
        <f ca="1">IF(Data!#REF!="","",IF(ISNUMBER(Data!#REF!),IF(AND(Data!#REF!&gt;(TODAY()-(Data_Val!$J$3*365.25)),Data!#REF!&lt;=(TODAY()-(Data_Val!$J$2*365.25))),0,1),1))</f>
        <v>#REF!</v>
      </c>
      <c r="R86" s="17" t="e">
        <f>IF(Data!#REF!="","",IF(ISNUMBER(MATCH(Data!#REF!,Data_Val!$B$2:$B$15,0)),0,1))</f>
        <v>#REF!</v>
      </c>
      <c r="S86" s="11" t="str">
        <f>IF(Data!G86="","",IF(Data!G86=Data_Val!$C$2,IF(Data!M86="",0,1),0))</f>
        <v/>
      </c>
      <c r="T86" s="11" t="str">
        <f>IF(Data!M86="","",IF(ISNUMBER(MATCH(Data!N86,Data_Val!$A$2:$A$3,0)),0,1))</f>
        <v/>
      </c>
      <c r="U86" s="11" t="str">
        <f ca="1">IF(Data!M86="","",IF(ISNUMBER(Data!O86),IF(AND(Data!O86&gt;(TODAY()-(Data_Val!$K$3*365.25)),Data!O86&lt;=(TODAY()-(Data_Val!$K$2*365.25))),0,1),1))</f>
        <v/>
      </c>
      <c r="V86" s="12" t="str">
        <f>IF(Data!G86="","",IF(Data!G86=Data_Val!$C$2,IF(Data!P86="",0,1),0))</f>
        <v/>
      </c>
      <c r="W86" s="12" t="str">
        <f>IF(Data!P86="","",IF(ISNUMBER(MATCH(Data!Q86,Data_Val!$A$2:$A$3,0)),0,1))</f>
        <v/>
      </c>
      <c r="X86" s="26" t="str">
        <f ca="1">IF(Data!P86="","",IF(ISNUMBER(Data!R86),IF(AND(Data!R86&gt;(TODAY()-(Data_Val!$L$3*365.25)),Data!R86&lt;=(TODAY()-(Data_Val!$L$2*365.25))),0,1),1))</f>
        <v/>
      </c>
      <c r="Y86" s="13" t="str">
        <f>IF(Data!$G86="","",IF(Data!$G86=Data_Val!$C$2,IF(Data!S86="",0,1),0))</f>
        <v/>
      </c>
      <c r="Z86" s="13" t="str">
        <f>IF(Data!S86="","",IF(ISNUMBER(MATCH(Data!T86,Data_Val!$A$2:$A$3,0)),0,1))</f>
        <v/>
      </c>
      <c r="AA86" s="28" t="str">
        <f ca="1">IF(Data!S86="","",IF(ISNUMBER(Data!U86),IF(AND(Data!U86&gt;(TODAY()-(Data_Val!$L$3*365.25)),Data!U86&lt;=(TODAY()-(Data_Val!$L$2*365.25))),0,1),1))</f>
        <v/>
      </c>
      <c r="AB86" s="11"/>
      <c r="AC86" s="11" t="e">
        <f>IF(Data!#REF!="","",IF(ISNUMBER(MATCH(Data!#REF!,Data_Val!$A$2:$A$3,0)),0,1))</f>
        <v>#REF!</v>
      </c>
      <c r="AD86" s="11" t="e">
        <f ca="1">IF(Data!#REF!="","",IF(ISNUMBER(Data!#REF!),IF(AND(Data!#REF!&gt;(TODAY()-(Data_Val!$L$3*365.25)),Data!#REF!&lt;=(TODAY()-(Data_Val!$L$2*365.25))),0,1),1))</f>
        <v>#REF!</v>
      </c>
      <c r="AE86" s="11" t="e">
        <f>IF(Data!#REF!="","",IF(Data!$G86="",1,IF(ISNUMBER(MATCH(Data!#REF!,Data_Val!$D$2:$D$10,0)),0,1)))</f>
        <v>#REF!</v>
      </c>
      <c r="AF86" s="12"/>
      <c r="AG86" s="12" t="e">
        <f>IF(Data!#REF!="","",IF(ISNUMBER(MATCH(Data!#REF!,Data_Val!$A$2:$A$3,0)),0,1))</f>
        <v>#REF!</v>
      </c>
      <c r="AH86" s="26" t="e">
        <f ca="1">IF(Data!#REF!="","",IF(ISNUMBER(Data!#REF!),IF(AND(Data!#REF!&gt;(TODAY()-(Data_Val!$L$3*365.25)),Data!#REF!&lt;=(TODAY()-(Data_Val!$L$2*365.25))),0,1),1))</f>
        <v>#REF!</v>
      </c>
      <c r="AI86" s="12" t="e">
        <f>IF(Data!#REF!="","",IF(Data!$G86="",1,IF(ISNUMBER(MATCH(Data!#REF!,Data_Val!$D$2:$D$10,0)),0,1)))</f>
        <v>#REF!</v>
      </c>
      <c r="AJ86" s="17"/>
      <c r="AK86" s="17" t="e">
        <f>IF(Data!#REF!="","",IF(ISNUMBER(MATCH(Data!#REF!,Data_Val!$A$2:$A$3,0)),0,1))</f>
        <v>#REF!</v>
      </c>
      <c r="AL86" s="25" t="e">
        <f ca="1">IF(Data!#REF!="","",IF(ISNUMBER(Data!#REF!),IF(AND(Data!#REF!&gt;(TODAY()-(Data_Val!$L$3*365.25)),Data!#REF!&lt;=(TODAY()-(Data_Val!$L$2*365.25))),0,1),1))</f>
        <v>#REF!</v>
      </c>
      <c r="AM86" s="17" t="e">
        <f>IF(Data!#REF!="","",IF(Data!$G86="",1,IF(ISNUMBER(MATCH(Data!#REF!,Data_Val!$D$2:$D$10,0)),0,1)))</f>
        <v>#REF!</v>
      </c>
      <c r="AN86" s="13"/>
      <c r="AO86" s="28" t="e">
        <f ca="1">IF(Data!#REF!="","",IF(ISNUMBER(Data!#REF!),IF(AND(Data!#REF!&gt;(TODAY()-(Data_Val!$I$3*365.25)),Data!#REF!&lt;=(TODAY()-(Data_Val!$I$2*365.25))),0,1),1))</f>
        <v>#REF!</v>
      </c>
      <c r="AP86" s="13" t="e">
        <f>IF(Data!#REF!="","",IF(Data!$G86="",1,IF(ISNUMBER(MATCH(Data!#REF!,Data_Val!$D$2:$D$10,0)),0,1)))</f>
        <v>#REF!</v>
      </c>
      <c r="AQ86" s="17"/>
      <c r="AR86" s="30" t="e">
        <f ca="1">IF(Data!#REF!="","",IF(ISNUMBER(Data!#REF!),IF(AND(Data!#REF!&gt;(TODAY()-(Data_Val!$I$3*365.25)),Data!#REF!&lt;=(TODAY()-(Data_Val!$I$2*365.25))),0,1),1))</f>
        <v>#REF!</v>
      </c>
      <c r="AS86" s="31" t="e">
        <f>IF(Data!#REF!="","",IF(Data!$G86="",1,IF(ISNUMBER(MATCH(Data!#REF!,Data_Val!$D$2:$D$10,0)),0,1)))</f>
        <v>#REF!</v>
      </c>
      <c r="AT86" s="11"/>
      <c r="AU86" s="11" t="e">
        <f ca="1">IF(Data!#REF!="","",IF(ISNUMBER(Data!#REF!),IF(AND(Data!#REF!&gt;(TODAY()-(Data_Val!$I$3*365.25)),Data!#REF!&lt;=(TODAY()-(Data_Val!$I$2*365.25))),0,1),1))</f>
        <v>#REF!</v>
      </c>
      <c r="AV86" s="11" t="e">
        <f>IF(Data!#REF!="","",IF(Data!$G86="",1,IF(ISNUMBER(MATCH(Data!#REF!,Data_Val!$D$2:$D$10,0)),0,1)))</f>
        <v>#REF!</v>
      </c>
      <c r="AW86" s="12"/>
      <c r="AX86" s="26" t="e">
        <f ca="1">IF(Data!#REF!="","",IF(ISNUMBER(Data!#REF!),IF(AND(Data!#REF!&gt;(TODAY()-(Data_Val!$I$3*365.25)),Data!#REF!&lt;=(TODAY()-(Data_Val!$I$2*365.25))),0,1),1))</f>
        <v>#REF!</v>
      </c>
      <c r="AY86" s="12" t="e">
        <f>IF(Data!#REF!="","",IF(Data!$G86="",1,IF(ISNUMBER(MATCH(Data!#REF!,Data_Val!$D$2:$D$10,0)),0,1)))</f>
        <v>#REF!</v>
      </c>
      <c r="AZ86" s="11"/>
      <c r="BA86" s="19" t="e">
        <f ca="1">IF(Data!#REF!="","",IF(ISNUMBER(Data!#REF!),IF(AND(Data!#REF!&gt;(TODAY()-(Data_Val!$M$3*365.25)),Data!#REF!&lt;=(TODAY()-(Data_Val!$M$2*365.25))),0,1),1))</f>
        <v>#REF!</v>
      </c>
      <c r="BB86" s="11" t="e">
        <f>IF(Data!#REF!="","",IF(Data!$G86="",1,IF(ISNUMBER(MATCH(Data!#REF!,Data_Val!$D$2:$D$10,0)),0,1)))</f>
        <v>#REF!</v>
      </c>
      <c r="BC86" s="12"/>
      <c r="BD86" s="20" t="e">
        <f ca="1">IF(Data!#REF!="","",IF(ISNUMBER(Data!#REF!),IF(AND(Data!#REF!&gt;(TODAY()-(Data_Val!$M$3*365.25)),Data!#REF!&lt;=(TODAY()-(Data_Val!$M$2*365.25))),0,1),1))</f>
        <v>#REF!</v>
      </c>
      <c r="BE86" s="12" t="e">
        <f>IF(Data!#REF!="","",IF(Data!$G86="",1,IF(ISNUMBER(MATCH(Data!#REF!,Data_Val!$D$2:$D$10,0)),0,1)))</f>
        <v>#REF!</v>
      </c>
      <c r="BF86" s="17"/>
      <c r="BG86" s="18" t="e">
        <f ca="1">IF(Data!#REF!="","",IF(ISNUMBER(Data!#REF!),IF(AND(Data!#REF!&gt;(TODAY()-(Data_Val!$M$3*365.25)),Data!#REF!&lt;=(TODAY()-(Data_Val!$M$2*365.25))),0,1),1))</f>
        <v>#REF!</v>
      </c>
      <c r="BH86" s="29" t="e">
        <f>IF(Data!#REF!="","",IF(Data!$G86="",1,IF(ISNUMBER(MATCH(Data!#REF!,Data_Val!$D$2:$D$10,0)),0,1)))</f>
        <v>#REF!</v>
      </c>
      <c r="BI86" s="13"/>
      <c r="BJ86" s="21" t="e">
        <f ca="1">IF(Data!#REF!="","",IF(ISNUMBER(Data!#REF!),IF(AND(Data!#REF!&gt;(TODAY()-(Data_Val!$M$3*365.25)),Data!#REF!&lt;=(TODAY()-(Data_Val!$M$2*365.25))),0,1),1))</f>
        <v>#REF!</v>
      </c>
      <c r="BK86" s="13" t="e">
        <f>IF(Data!#REF!="","",IF(Data!$G86="",1,IF(ISNUMBER(MATCH(Data!#REF!,Data_Val!$D$2:$D$10,0)),0,1)))</f>
        <v>#REF!</v>
      </c>
    </row>
    <row r="87" spans="1:63" x14ac:dyDescent="0.25">
      <c r="A87" s="9" t="str">
        <f>IF(Data!B87="","",IF(COUNTIFS(Data!A$1:'Data'!A87,Data!A87)&lt;=1,0,1))</f>
        <v/>
      </c>
      <c r="B87" s="9"/>
      <c r="C87" s="23" t="str">
        <f>IF(Data!C87="","",(IF(ISNUMBER(MATCH("*@*.?*",Data!C87,0)),0,1)+IF(COUNTIFS(Data!C$1:'Data'!C87,Data!C87)&gt;1,1,0)))</f>
        <v/>
      </c>
      <c r="D87" s="9" t="str">
        <f>IF(Data!B87="","",IF(ISNUMBER(Data!D87),IF(AND(Data!D87&gt;999999999,Data!D87&lt;=9999999999),IF(COUNTIFS(Data!D$1:'Data'!D87,Data!D87)&lt;=1,0,1),1),1))</f>
        <v/>
      </c>
      <c r="E87" s="9" t="str">
        <f>IF(Data!B87="","",IF(ISNUMBER(MATCH(Data!E87,Data_Val!$A$2:$A$3,0)),0,1))</f>
        <v/>
      </c>
      <c r="F87" s="9" t="str">
        <f ca="1">IF(Data!B87="","",IF(ISNUMBER(Data!F87),IF(AND(Data!F87&gt;(TODAY()-(Data_Val!$H$3*365.25)),Data!F87&lt;=(TODAY()-(Data_Val!$H$2*365.25))),0,1),1))</f>
        <v/>
      </c>
      <c r="G87" s="15" t="str">
        <f>IF(Data!B87="","",IF(AND(Data!G87="",Data!H87&lt;&gt;""),1,IF(Data!#REF!&lt;&gt;"",0,IF(ISNUMBER(MATCH(Data!G87,Data_Val!$C$2:$C$5,0)),0,1))))</f>
        <v/>
      </c>
      <c r="H87" s="15" t="str">
        <f>IF(Data!B87="","",IF(AND(Data!G87&lt;&gt;"",Data!H87=""),1,IF(Data!#REF!&lt;&gt;"",0,IF(Data!G87="",1,IF(ISNUMBER(MATCH(Data!H87,Data_Val!$D$2:$D$35,0)),0,1)))))</f>
        <v/>
      </c>
      <c r="I87" s="15" t="str">
        <f>IF(Data!B87="","",IF(Data!G87&lt;&gt;"",0,IF(ISNUMBER(MATCH(Data!#REF!,Data_Val!$E$2:$E$12,0)),0,1)))</f>
        <v/>
      </c>
      <c r="J87" s="16" t="e">
        <f>IF(OR(Data!B87="",Data!#REF!=""),"",IF(Data!#REF!="",1,0))</f>
        <v>#REF!</v>
      </c>
      <c r="K87" s="16" t="e">
        <f>IF(OR(Data!B87="",Data!#REF!=""),"",IF(Data!#REF!="",1,0))</f>
        <v>#REF!</v>
      </c>
      <c r="L87" s="16" t="e">
        <f>IF(OR(Data!B87="",Data!#REF!=""),"",IF(ISNUMBER(Data!#REF!),IF(AND(Data!#REF!&gt;Data_Val!$G$2,Data!#REF!&lt;=Data_Val!$G$3),0,1),1))</f>
        <v>#REF!</v>
      </c>
      <c r="M87" s="9" t="e">
        <f>IF(OR(Data!B87="",Data!#REF!=""),"",IF(ISNUMBER(MATCH(Data!#REF!,Data_Val!$F$1:$F$38,0)),0,1))</f>
        <v>#REF!</v>
      </c>
      <c r="N87" s="9" t="e">
        <f>IF(OR(Data!B87="",Data!#REF!=""),"",IF(Data!#REF!="",1,0))</f>
        <v>#REF!</v>
      </c>
      <c r="O87" s="17" t="e">
        <f>IF(Data!#REF!="","",IF(Data!#REF!="",1,0))</f>
        <v>#REF!</v>
      </c>
      <c r="P87" s="17" t="e">
        <f>IF(Data!#REF!="","",IF(ISNUMBER(MATCH(Data!#REF!,Data_Val!$A$2:$A$3,0)),0,1))</f>
        <v>#REF!</v>
      </c>
      <c r="Q87" s="25" t="e">
        <f ca="1">IF(Data!#REF!="","",IF(ISNUMBER(Data!#REF!),IF(AND(Data!#REF!&gt;(TODAY()-(Data_Val!$J$3*365.25)),Data!#REF!&lt;=(TODAY()-(Data_Val!$J$2*365.25))),0,1),1))</f>
        <v>#REF!</v>
      </c>
      <c r="R87" s="17" t="e">
        <f>IF(Data!#REF!="","",IF(ISNUMBER(MATCH(Data!#REF!,Data_Val!$B$2:$B$15,0)),0,1))</f>
        <v>#REF!</v>
      </c>
      <c r="S87" s="11" t="str">
        <f>IF(Data!G87="","",IF(Data!G87=Data_Val!$C$2,IF(Data!M87="",0,1),0))</f>
        <v/>
      </c>
      <c r="T87" s="11" t="str">
        <f>IF(Data!M87="","",IF(ISNUMBER(MATCH(Data!N87,Data_Val!$A$2:$A$3,0)),0,1))</f>
        <v/>
      </c>
      <c r="U87" s="11" t="str">
        <f ca="1">IF(Data!M87="","",IF(ISNUMBER(Data!O87),IF(AND(Data!O87&gt;(TODAY()-(Data_Val!$K$3*365.25)),Data!O87&lt;=(TODAY()-(Data_Val!$K$2*365.25))),0,1),1))</f>
        <v/>
      </c>
      <c r="V87" s="12" t="str">
        <f>IF(Data!G87="","",IF(Data!G87=Data_Val!$C$2,IF(Data!P87="",0,1),0))</f>
        <v/>
      </c>
      <c r="W87" s="12" t="str">
        <f>IF(Data!P87="","",IF(ISNUMBER(MATCH(Data!Q87,Data_Val!$A$2:$A$3,0)),0,1))</f>
        <v/>
      </c>
      <c r="X87" s="26" t="str">
        <f ca="1">IF(Data!P87="","",IF(ISNUMBER(Data!R87),IF(AND(Data!R87&gt;(TODAY()-(Data_Val!$L$3*365.25)),Data!R87&lt;=(TODAY()-(Data_Val!$L$2*365.25))),0,1),1))</f>
        <v/>
      </c>
      <c r="Y87" s="13" t="str">
        <f>IF(Data!$G87="","",IF(Data!$G87=Data_Val!$C$2,IF(Data!S87="",0,1),0))</f>
        <v/>
      </c>
      <c r="Z87" s="13" t="str">
        <f>IF(Data!S87="","",IF(ISNUMBER(MATCH(Data!T87,Data_Val!$A$2:$A$3,0)),0,1))</f>
        <v/>
      </c>
      <c r="AA87" s="28" t="str">
        <f ca="1">IF(Data!S87="","",IF(ISNUMBER(Data!U87),IF(AND(Data!U87&gt;(TODAY()-(Data_Val!$L$3*365.25)),Data!U87&lt;=(TODAY()-(Data_Val!$L$2*365.25))),0,1),1))</f>
        <v/>
      </c>
      <c r="AB87" s="11"/>
      <c r="AC87" s="11" t="e">
        <f>IF(Data!#REF!="","",IF(ISNUMBER(MATCH(Data!#REF!,Data_Val!$A$2:$A$3,0)),0,1))</f>
        <v>#REF!</v>
      </c>
      <c r="AD87" s="11" t="e">
        <f ca="1">IF(Data!#REF!="","",IF(ISNUMBER(Data!#REF!),IF(AND(Data!#REF!&gt;(TODAY()-(Data_Val!$L$3*365.25)),Data!#REF!&lt;=(TODAY()-(Data_Val!$L$2*365.25))),0,1),1))</f>
        <v>#REF!</v>
      </c>
      <c r="AE87" s="11" t="e">
        <f>IF(Data!#REF!="","",IF(Data!$G87="",1,IF(ISNUMBER(MATCH(Data!#REF!,Data_Val!$D$2:$D$10,0)),0,1)))</f>
        <v>#REF!</v>
      </c>
      <c r="AF87" s="12"/>
      <c r="AG87" s="12" t="e">
        <f>IF(Data!#REF!="","",IF(ISNUMBER(MATCH(Data!#REF!,Data_Val!$A$2:$A$3,0)),0,1))</f>
        <v>#REF!</v>
      </c>
      <c r="AH87" s="26" t="e">
        <f ca="1">IF(Data!#REF!="","",IF(ISNUMBER(Data!#REF!),IF(AND(Data!#REF!&gt;(TODAY()-(Data_Val!$L$3*365.25)),Data!#REF!&lt;=(TODAY()-(Data_Val!$L$2*365.25))),0,1),1))</f>
        <v>#REF!</v>
      </c>
      <c r="AI87" s="12" t="e">
        <f>IF(Data!#REF!="","",IF(Data!$G87="",1,IF(ISNUMBER(MATCH(Data!#REF!,Data_Val!$D$2:$D$10,0)),0,1)))</f>
        <v>#REF!</v>
      </c>
      <c r="AJ87" s="17"/>
      <c r="AK87" s="17" t="e">
        <f>IF(Data!#REF!="","",IF(ISNUMBER(MATCH(Data!#REF!,Data_Val!$A$2:$A$3,0)),0,1))</f>
        <v>#REF!</v>
      </c>
      <c r="AL87" s="25" t="e">
        <f ca="1">IF(Data!#REF!="","",IF(ISNUMBER(Data!#REF!),IF(AND(Data!#REF!&gt;(TODAY()-(Data_Val!$L$3*365.25)),Data!#REF!&lt;=(TODAY()-(Data_Val!$L$2*365.25))),0,1),1))</f>
        <v>#REF!</v>
      </c>
      <c r="AM87" s="17" t="e">
        <f>IF(Data!#REF!="","",IF(Data!$G87="",1,IF(ISNUMBER(MATCH(Data!#REF!,Data_Val!$D$2:$D$10,0)),0,1)))</f>
        <v>#REF!</v>
      </c>
      <c r="AN87" s="13"/>
      <c r="AO87" s="28" t="e">
        <f ca="1">IF(Data!#REF!="","",IF(ISNUMBER(Data!#REF!),IF(AND(Data!#REF!&gt;(TODAY()-(Data_Val!$I$3*365.25)),Data!#REF!&lt;=(TODAY()-(Data_Val!$I$2*365.25))),0,1),1))</f>
        <v>#REF!</v>
      </c>
      <c r="AP87" s="13" t="e">
        <f>IF(Data!#REF!="","",IF(Data!$G87="",1,IF(ISNUMBER(MATCH(Data!#REF!,Data_Val!$D$2:$D$10,0)),0,1)))</f>
        <v>#REF!</v>
      </c>
      <c r="AQ87" s="17"/>
      <c r="AR87" s="30" t="e">
        <f ca="1">IF(Data!#REF!="","",IF(ISNUMBER(Data!#REF!),IF(AND(Data!#REF!&gt;(TODAY()-(Data_Val!$I$3*365.25)),Data!#REF!&lt;=(TODAY()-(Data_Val!$I$2*365.25))),0,1),1))</f>
        <v>#REF!</v>
      </c>
      <c r="AS87" s="31" t="e">
        <f>IF(Data!#REF!="","",IF(Data!$G87="",1,IF(ISNUMBER(MATCH(Data!#REF!,Data_Val!$D$2:$D$10,0)),0,1)))</f>
        <v>#REF!</v>
      </c>
      <c r="AT87" s="11"/>
      <c r="AU87" s="11" t="e">
        <f ca="1">IF(Data!#REF!="","",IF(ISNUMBER(Data!#REF!),IF(AND(Data!#REF!&gt;(TODAY()-(Data_Val!$I$3*365.25)),Data!#REF!&lt;=(TODAY()-(Data_Val!$I$2*365.25))),0,1),1))</f>
        <v>#REF!</v>
      </c>
      <c r="AV87" s="11" t="e">
        <f>IF(Data!#REF!="","",IF(Data!$G87="",1,IF(ISNUMBER(MATCH(Data!#REF!,Data_Val!$D$2:$D$10,0)),0,1)))</f>
        <v>#REF!</v>
      </c>
      <c r="AW87" s="12"/>
      <c r="AX87" s="26" t="e">
        <f ca="1">IF(Data!#REF!="","",IF(ISNUMBER(Data!#REF!),IF(AND(Data!#REF!&gt;(TODAY()-(Data_Val!$I$3*365.25)),Data!#REF!&lt;=(TODAY()-(Data_Val!$I$2*365.25))),0,1),1))</f>
        <v>#REF!</v>
      </c>
      <c r="AY87" s="12" t="e">
        <f>IF(Data!#REF!="","",IF(Data!$G87="",1,IF(ISNUMBER(MATCH(Data!#REF!,Data_Val!$D$2:$D$10,0)),0,1)))</f>
        <v>#REF!</v>
      </c>
      <c r="AZ87" s="11"/>
      <c r="BA87" s="19" t="e">
        <f ca="1">IF(Data!#REF!="","",IF(ISNUMBER(Data!#REF!),IF(AND(Data!#REF!&gt;(TODAY()-(Data_Val!$M$3*365.25)),Data!#REF!&lt;=(TODAY()-(Data_Val!$M$2*365.25))),0,1),1))</f>
        <v>#REF!</v>
      </c>
      <c r="BB87" s="11" t="e">
        <f>IF(Data!#REF!="","",IF(Data!$G87="",1,IF(ISNUMBER(MATCH(Data!#REF!,Data_Val!$D$2:$D$10,0)),0,1)))</f>
        <v>#REF!</v>
      </c>
      <c r="BC87" s="12"/>
      <c r="BD87" s="20" t="e">
        <f ca="1">IF(Data!#REF!="","",IF(ISNUMBER(Data!#REF!),IF(AND(Data!#REF!&gt;(TODAY()-(Data_Val!$M$3*365.25)),Data!#REF!&lt;=(TODAY()-(Data_Val!$M$2*365.25))),0,1),1))</f>
        <v>#REF!</v>
      </c>
      <c r="BE87" s="12" t="e">
        <f>IF(Data!#REF!="","",IF(Data!$G87="",1,IF(ISNUMBER(MATCH(Data!#REF!,Data_Val!$D$2:$D$10,0)),0,1)))</f>
        <v>#REF!</v>
      </c>
      <c r="BF87" s="17"/>
      <c r="BG87" s="18" t="e">
        <f ca="1">IF(Data!#REF!="","",IF(ISNUMBER(Data!#REF!),IF(AND(Data!#REF!&gt;(TODAY()-(Data_Val!$M$3*365.25)),Data!#REF!&lt;=(TODAY()-(Data_Val!$M$2*365.25))),0,1),1))</f>
        <v>#REF!</v>
      </c>
      <c r="BH87" s="29" t="e">
        <f>IF(Data!#REF!="","",IF(Data!$G87="",1,IF(ISNUMBER(MATCH(Data!#REF!,Data_Val!$D$2:$D$10,0)),0,1)))</f>
        <v>#REF!</v>
      </c>
      <c r="BI87" s="13"/>
      <c r="BJ87" s="21" t="e">
        <f ca="1">IF(Data!#REF!="","",IF(ISNUMBER(Data!#REF!),IF(AND(Data!#REF!&gt;(TODAY()-(Data_Val!$M$3*365.25)),Data!#REF!&lt;=(TODAY()-(Data_Val!$M$2*365.25))),0,1),1))</f>
        <v>#REF!</v>
      </c>
      <c r="BK87" s="13" t="e">
        <f>IF(Data!#REF!="","",IF(Data!$G87="",1,IF(ISNUMBER(MATCH(Data!#REF!,Data_Val!$D$2:$D$10,0)),0,1)))</f>
        <v>#REF!</v>
      </c>
    </row>
    <row r="88" spans="1:63" x14ac:dyDescent="0.25">
      <c r="A88" s="9" t="str">
        <f>IF(Data!B88="","",IF(COUNTIFS(Data!A$1:'Data'!A88,Data!A88)&lt;=1,0,1))</f>
        <v/>
      </c>
      <c r="B88" s="9"/>
      <c r="C88" s="23" t="str">
        <f>IF(Data!C88="","",(IF(ISNUMBER(MATCH("*@*.?*",Data!C88,0)),0,1)+IF(COUNTIFS(Data!C$1:'Data'!C88,Data!C88)&gt;1,1,0)))</f>
        <v/>
      </c>
      <c r="D88" s="9" t="str">
        <f>IF(Data!B88="","",IF(ISNUMBER(Data!D88),IF(AND(Data!D88&gt;999999999,Data!D88&lt;=9999999999),IF(COUNTIFS(Data!D$1:'Data'!D88,Data!D88)&lt;=1,0,1),1),1))</f>
        <v/>
      </c>
      <c r="E88" s="9" t="str">
        <f>IF(Data!B88="","",IF(ISNUMBER(MATCH(Data!E88,Data_Val!$A$2:$A$3,0)),0,1))</f>
        <v/>
      </c>
      <c r="F88" s="9" t="str">
        <f ca="1">IF(Data!B88="","",IF(ISNUMBER(Data!F88),IF(AND(Data!F88&gt;(TODAY()-(Data_Val!$H$3*365.25)),Data!F88&lt;=(TODAY()-(Data_Val!$H$2*365.25))),0,1),1))</f>
        <v/>
      </c>
      <c r="G88" s="15" t="str">
        <f>IF(Data!B88="","",IF(AND(Data!G88="",Data!H88&lt;&gt;""),1,IF(Data!#REF!&lt;&gt;"",0,IF(ISNUMBER(MATCH(Data!G88,Data_Val!$C$2:$C$5,0)),0,1))))</f>
        <v/>
      </c>
      <c r="H88" s="15" t="str">
        <f>IF(Data!B88="","",IF(AND(Data!G88&lt;&gt;"",Data!H88=""),1,IF(Data!#REF!&lt;&gt;"",0,IF(Data!G88="",1,IF(ISNUMBER(MATCH(Data!H88,Data_Val!$D$2:$D$35,0)),0,1)))))</f>
        <v/>
      </c>
      <c r="I88" s="15" t="str">
        <f>IF(Data!B88="","",IF(Data!G88&lt;&gt;"",0,IF(ISNUMBER(MATCH(Data!#REF!,Data_Val!$E$2:$E$12,0)),0,1)))</f>
        <v/>
      </c>
      <c r="J88" s="16" t="e">
        <f>IF(OR(Data!B88="",Data!#REF!=""),"",IF(Data!#REF!="",1,0))</f>
        <v>#REF!</v>
      </c>
      <c r="K88" s="16" t="e">
        <f>IF(OR(Data!B88="",Data!#REF!=""),"",IF(Data!#REF!="",1,0))</f>
        <v>#REF!</v>
      </c>
      <c r="L88" s="16" t="e">
        <f>IF(OR(Data!B88="",Data!#REF!=""),"",IF(ISNUMBER(Data!#REF!),IF(AND(Data!#REF!&gt;Data_Val!$G$2,Data!#REF!&lt;=Data_Val!$G$3),0,1),1))</f>
        <v>#REF!</v>
      </c>
      <c r="M88" s="9" t="e">
        <f>IF(OR(Data!B88="",Data!#REF!=""),"",IF(ISNUMBER(MATCH(Data!#REF!,Data_Val!$F$1:$F$38,0)),0,1))</f>
        <v>#REF!</v>
      </c>
      <c r="N88" s="9" t="e">
        <f>IF(OR(Data!B88="",Data!#REF!=""),"",IF(Data!#REF!="",1,0))</f>
        <v>#REF!</v>
      </c>
      <c r="O88" s="17" t="e">
        <f>IF(Data!#REF!="","",IF(Data!#REF!="",1,0))</f>
        <v>#REF!</v>
      </c>
      <c r="P88" s="17" t="e">
        <f>IF(Data!#REF!="","",IF(ISNUMBER(MATCH(Data!#REF!,Data_Val!$A$2:$A$3,0)),0,1))</f>
        <v>#REF!</v>
      </c>
      <c r="Q88" s="25" t="e">
        <f ca="1">IF(Data!#REF!="","",IF(ISNUMBER(Data!#REF!),IF(AND(Data!#REF!&gt;(TODAY()-(Data_Val!$J$3*365.25)),Data!#REF!&lt;=(TODAY()-(Data_Val!$J$2*365.25))),0,1),1))</f>
        <v>#REF!</v>
      </c>
      <c r="R88" s="17" t="e">
        <f>IF(Data!#REF!="","",IF(ISNUMBER(MATCH(Data!#REF!,Data_Val!$B$2:$B$15,0)),0,1))</f>
        <v>#REF!</v>
      </c>
      <c r="S88" s="11" t="str">
        <f>IF(Data!G88="","",IF(Data!G88=Data_Val!$C$2,IF(Data!M88="",0,1),0))</f>
        <v/>
      </c>
      <c r="T88" s="11" t="str">
        <f>IF(Data!M88="","",IF(ISNUMBER(MATCH(Data!N88,Data_Val!$A$2:$A$3,0)),0,1))</f>
        <v/>
      </c>
      <c r="U88" s="11" t="str">
        <f ca="1">IF(Data!M88="","",IF(ISNUMBER(Data!O88),IF(AND(Data!O88&gt;(TODAY()-(Data_Val!$K$3*365.25)),Data!O88&lt;=(TODAY()-(Data_Val!$K$2*365.25))),0,1),1))</f>
        <v/>
      </c>
      <c r="V88" s="12" t="str">
        <f>IF(Data!G88="","",IF(Data!G88=Data_Val!$C$2,IF(Data!P88="",0,1),0))</f>
        <v/>
      </c>
      <c r="W88" s="12" t="str">
        <f>IF(Data!P88="","",IF(ISNUMBER(MATCH(Data!Q88,Data_Val!$A$2:$A$3,0)),0,1))</f>
        <v/>
      </c>
      <c r="X88" s="26" t="str">
        <f ca="1">IF(Data!P88="","",IF(ISNUMBER(Data!R88),IF(AND(Data!R88&gt;(TODAY()-(Data_Val!$L$3*365.25)),Data!R88&lt;=(TODAY()-(Data_Val!$L$2*365.25))),0,1),1))</f>
        <v/>
      </c>
      <c r="Y88" s="13" t="str">
        <f>IF(Data!$G88="","",IF(Data!$G88=Data_Val!$C$2,IF(Data!S88="",0,1),0))</f>
        <v/>
      </c>
      <c r="Z88" s="13" t="str">
        <f>IF(Data!S88="","",IF(ISNUMBER(MATCH(Data!T88,Data_Val!$A$2:$A$3,0)),0,1))</f>
        <v/>
      </c>
      <c r="AA88" s="28" t="str">
        <f ca="1">IF(Data!S88="","",IF(ISNUMBER(Data!U88),IF(AND(Data!U88&gt;(TODAY()-(Data_Val!$L$3*365.25)),Data!U88&lt;=(TODAY()-(Data_Val!$L$2*365.25))),0,1),1))</f>
        <v/>
      </c>
      <c r="AB88" s="11"/>
      <c r="AC88" s="11" t="e">
        <f>IF(Data!#REF!="","",IF(ISNUMBER(MATCH(Data!#REF!,Data_Val!$A$2:$A$3,0)),0,1))</f>
        <v>#REF!</v>
      </c>
      <c r="AD88" s="11" t="e">
        <f ca="1">IF(Data!#REF!="","",IF(ISNUMBER(Data!#REF!),IF(AND(Data!#REF!&gt;(TODAY()-(Data_Val!$L$3*365.25)),Data!#REF!&lt;=(TODAY()-(Data_Val!$L$2*365.25))),0,1),1))</f>
        <v>#REF!</v>
      </c>
      <c r="AE88" s="11" t="e">
        <f>IF(Data!#REF!="","",IF(Data!$G88="",1,IF(ISNUMBER(MATCH(Data!#REF!,Data_Val!$D$2:$D$10,0)),0,1)))</f>
        <v>#REF!</v>
      </c>
      <c r="AF88" s="12"/>
      <c r="AG88" s="12" t="e">
        <f>IF(Data!#REF!="","",IF(ISNUMBER(MATCH(Data!#REF!,Data_Val!$A$2:$A$3,0)),0,1))</f>
        <v>#REF!</v>
      </c>
      <c r="AH88" s="26" t="e">
        <f ca="1">IF(Data!#REF!="","",IF(ISNUMBER(Data!#REF!),IF(AND(Data!#REF!&gt;(TODAY()-(Data_Val!$L$3*365.25)),Data!#REF!&lt;=(TODAY()-(Data_Val!$L$2*365.25))),0,1),1))</f>
        <v>#REF!</v>
      </c>
      <c r="AI88" s="12" t="e">
        <f>IF(Data!#REF!="","",IF(Data!$G88="",1,IF(ISNUMBER(MATCH(Data!#REF!,Data_Val!$D$2:$D$10,0)),0,1)))</f>
        <v>#REF!</v>
      </c>
      <c r="AJ88" s="17"/>
      <c r="AK88" s="17" t="e">
        <f>IF(Data!#REF!="","",IF(ISNUMBER(MATCH(Data!#REF!,Data_Val!$A$2:$A$3,0)),0,1))</f>
        <v>#REF!</v>
      </c>
      <c r="AL88" s="25" t="e">
        <f ca="1">IF(Data!#REF!="","",IF(ISNUMBER(Data!#REF!),IF(AND(Data!#REF!&gt;(TODAY()-(Data_Val!$L$3*365.25)),Data!#REF!&lt;=(TODAY()-(Data_Val!$L$2*365.25))),0,1),1))</f>
        <v>#REF!</v>
      </c>
      <c r="AM88" s="17" t="e">
        <f>IF(Data!#REF!="","",IF(Data!$G88="",1,IF(ISNUMBER(MATCH(Data!#REF!,Data_Val!$D$2:$D$10,0)),0,1)))</f>
        <v>#REF!</v>
      </c>
      <c r="AN88" s="13"/>
      <c r="AO88" s="28" t="e">
        <f ca="1">IF(Data!#REF!="","",IF(ISNUMBER(Data!#REF!),IF(AND(Data!#REF!&gt;(TODAY()-(Data_Val!$I$3*365.25)),Data!#REF!&lt;=(TODAY()-(Data_Val!$I$2*365.25))),0,1),1))</f>
        <v>#REF!</v>
      </c>
      <c r="AP88" s="13" t="e">
        <f>IF(Data!#REF!="","",IF(Data!$G88="",1,IF(ISNUMBER(MATCH(Data!#REF!,Data_Val!$D$2:$D$10,0)),0,1)))</f>
        <v>#REF!</v>
      </c>
      <c r="AQ88" s="17"/>
      <c r="AR88" s="30" t="e">
        <f ca="1">IF(Data!#REF!="","",IF(ISNUMBER(Data!#REF!),IF(AND(Data!#REF!&gt;(TODAY()-(Data_Val!$I$3*365.25)),Data!#REF!&lt;=(TODAY()-(Data_Val!$I$2*365.25))),0,1),1))</f>
        <v>#REF!</v>
      </c>
      <c r="AS88" s="31" t="e">
        <f>IF(Data!#REF!="","",IF(Data!$G88="",1,IF(ISNUMBER(MATCH(Data!#REF!,Data_Val!$D$2:$D$10,0)),0,1)))</f>
        <v>#REF!</v>
      </c>
      <c r="AT88" s="11"/>
      <c r="AU88" s="11" t="e">
        <f ca="1">IF(Data!#REF!="","",IF(ISNUMBER(Data!#REF!),IF(AND(Data!#REF!&gt;(TODAY()-(Data_Val!$I$3*365.25)),Data!#REF!&lt;=(TODAY()-(Data_Val!$I$2*365.25))),0,1),1))</f>
        <v>#REF!</v>
      </c>
      <c r="AV88" s="11" t="e">
        <f>IF(Data!#REF!="","",IF(Data!$G88="",1,IF(ISNUMBER(MATCH(Data!#REF!,Data_Val!$D$2:$D$10,0)),0,1)))</f>
        <v>#REF!</v>
      </c>
      <c r="AW88" s="12"/>
      <c r="AX88" s="26" t="e">
        <f ca="1">IF(Data!#REF!="","",IF(ISNUMBER(Data!#REF!),IF(AND(Data!#REF!&gt;(TODAY()-(Data_Val!$I$3*365.25)),Data!#REF!&lt;=(TODAY()-(Data_Val!$I$2*365.25))),0,1),1))</f>
        <v>#REF!</v>
      </c>
      <c r="AY88" s="12" t="e">
        <f>IF(Data!#REF!="","",IF(Data!$G88="",1,IF(ISNUMBER(MATCH(Data!#REF!,Data_Val!$D$2:$D$10,0)),0,1)))</f>
        <v>#REF!</v>
      </c>
      <c r="AZ88" s="11"/>
      <c r="BA88" s="19" t="e">
        <f ca="1">IF(Data!#REF!="","",IF(ISNUMBER(Data!#REF!),IF(AND(Data!#REF!&gt;(TODAY()-(Data_Val!$M$3*365.25)),Data!#REF!&lt;=(TODAY()-(Data_Val!$M$2*365.25))),0,1),1))</f>
        <v>#REF!</v>
      </c>
      <c r="BB88" s="11" t="e">
        <f>IF(Data!#REF!="","",IF(Data!$G88="",1,IF(ISNUMBER(MATCH(Data!#REF!,Data_Val!$D$2:$D$10,0)),0,1)))</f>
        <v>#REF!</v>
      </c>
      <c r="BC88" s="12"/>
      <c r="BD88" s="20" t="e">
        <f ca="1">IF(Data!#REF!="","",IF(ISNUMBER(Data!#REF!),IF(AND(Data!#REF!&gt;(TODAY()-(Data_Val!$M$3*365.25)),Data!#REF!&lt;=(TODAY()-(Data_Val!$M$2*365.25))),0,1),1))</f>
        <v>#REF!</v>
      </c>
      <c r="BE88" s="12" t="e">
        <f>IF(Data!#REF!="","",IF(Data!$G88="",1,IF(ISNUMBER(MATCH(Data!#REF!,Data_Val!$D$2:$D$10,0)),0,1)))</f>
        <v>#REF!</v>
      </c>
      <c r="BF88" s="17"/>
      <c r="BG88" s="18" t="e">
        <f ca="1">IF(Data!#REF!="","",IF(ISNUMBER(Data!#REF!),IF(AND(Data!#REF!&gt;(TODAY()-(Data_Val!$M$3*365.25)),Data!#REF!&lt;=(TODAY()-(Data_Val!$M$2*365.25))),0,1),1))</f>
        <v>#REF!</v>
      </c>
      <c r="BH88" s="29" t="e">
        <f>IF(Data!#REF!="","",IF(Data!$G88="",1,IF(ISNUMBER(MATCH(Data!#REF!,Data_Val!$D$2:$D$10,0)),0,1)))</f>
        <v>#REF!</v>
      </c>
      <c r="BI88" s="13"/>
      <c r="BJ88" s="21" t="e">
        <f ca="1">IF(Data!#REF!="","",IF(ISNUMBER(Data!#REF!),IF(AND(Data!#REF!&gt;(TODAY()-(Data_Val!$M$3*365.25)),Data!#REF!&lt;=(TODAY()-(Data_Val!$M$2*365.25))),0,1),1))</f>
        <v>#REF!</v>
      </c>
      <c r="BK88" s="13" t="e">
        <f>IF(Data!#REF!="","",IF(Data!$G88="",1,IF(ISNUMBER(MATCH(Data!#REF!,Data_Val!$D$2:$D$10,0)),0,1)))</f>
        <v>#REF!</v>
      </c>
    </row>
    <row r="89" spans="1:63" x14ac:dyDescent="0.25">
      <c r="A89" s="9" t="str">
        <f>IF(Data!B89="","",IF(COUNTIFS(Data!A$1:'Data'!A89,Data!A89)&lt;=1,0,1))</f>
        <v/>
      </c>
      <c r="B89" s="9"/>
      <c r="C89" s="23" t="str">
        <f>IF(Data!C89="","",(IF(ISNUMBER(MATCH("*@*.?*",Data!C89,0)),0,1)+IF(COUNTIFS(Data!C$1:'Data'!C89,Data!C89)&gt;1,1,0)))</f>
        <v/>
      </c>
      <c r="D89" s="9" t="str">
        <f>IF(Data!B89="","",IF(ISNUMBER(Data!D89),IF(AND(Data!D89&gt;999999999,Data!D89&lt;=9999999999),IF(COUNTIFS(Data!D$1:'Data'!D89,Data!D89)&lt;=1,0,1),1),1))</f>
        <v/>
      </c>
      <c r="E89" s="9" t="str">
        <f>IF(Data!B89="","",IF(ISNUMBER(MATCH(Data!E89,Data_Val!$A$2:$A$3,0)),0,1))</f>
        <v/>
      </c>
      <c r="F89" s="9" t="str">
        <f ca="1">IF(Data!B89="","",IF(ISNUMBER(Data!F89),IF(AND(Data!F89&gt;(TODAY()-(Data_Val!$H$3*365.25)),Data!F89&lt;=(TODAY()-(Data_Val!$H$2*365.25))),0,1),1))</f>
        <v/>
      </c>
      <c r="G89" s="15" t="str">
        <f>IF(Data!B89="","",IF(AND(Data!G89="",Data!H89&lt;&gt;""),1,IF(Data!#REF!&lt;&gt;"",0,IF(ISNUMBER(MATCH(Data!G89,Data_Val!$C$2:$C$5,0)),0,1))))</f>
        <v/>
      </c>
      <c r="H89" s="15" t="str">
        <f>IF(Data!B89="","",IF(AND(Data!G89&lt;&gt;"",Data!H89=""),1,IF(Data!#REF!&lt;&gt;"",0,IF(Data!G89="",1,IF(ISNUMBER(MATCH(Data!H89,Data_Val!$D$2:$D$35,0)),0,1)))))</f>
        <v/>
      </c>
      <c r="I89" s="15" t="str">
        <f>IF(Data!B89="","",IF(Data!G89&lt;&gt;"",0,IF(ISNUMBER(MATCH(Data!#REF!,Data_Val!$E$2:$E$12,0)),0,1)))</f>
        <v/>
      </c>
      <c r="J89" s="16" t="e">
        <f>IF(OR(Data!B89="",Data!#REF!=""),"",IF(Data!#REF!="",1,0))</f>
        <v>#REF!</v>
      </c>
      <c r="K89" s="16" t="e">
        <f>IF(OR(Data!B89="",Data!#REF!=""),"",IF(Data!#REF!="",1,0))</f>
        <v>#REF!</v>
      </c>
      <c r="L89" s="16" t="e">
        <f>IF(OR(Data!B89="",Data!#REF!=""),"",IF(ISNUMBER(Data!#REF!),IF(AND(Data!#REF!&gt;Data_Val!$G$2,Data!#REF!&lt;=Data_Val!$G$3),0,1),1))</f>
        <v>#REF!</v>
      </c>
      <c r="M89" s="9" t="e">
        <f>IF(OR(Data!B89="",Data!#REF!=""),"",IF(ISNUMBER(MATCH(Data!#REF!,Data_Val!$F$1:$F$38,0)),0,1))</f>
        <v>#REF!</v>
      </c>
      <c r="N89" s="9" t="e">
        <f>IF(OR(Data!B89="",Data!#REF!=""),"",IF(Data!#REF!="",1,0))</f>
        <v>#REF!</v>
      </c>
      <c r="O89" s="17" t="e">
        <f>IF(Data!#REF!="","",IF(Data!#REF!="",1,0))</f>
        <v>#REF!</v>
      </c>
      <c r="P89" s="17" t="e">
        <f>IF(Data!#REF!="","",IF(ISNUMBER(MATCH(Data!#REF!,Data_Val!$A$2:$A$3,0)),0,1))</f>
        <v>#REF!</v>
      </c>
      <c r="Q89" s="25" t="e">
        <f ca="1">IF(Data!#REF!="","",IF(ISNUMBER(Data!#REF!),IF(AND(Data!#REF!&gt;(TODAY()-(Data_Val!$J$3*365.25)),Data!#REF!&lt;=(TODAY()-(Data_Val!$J$2*365.25))),0,1),1))</f>
        <v>#REF!</v>
      </c>
      <c r="R89" s="17" t="e">
        <f>IF(Data!#REF!="","",IF(ISNUMBER(MATCH(Data!#REF!,Data_Val!$B$2:$B$15,0)),0,1))</f>
        <v>#REF!</v>
      </c>
      <c r="S89" s="11" t="str">
        <f>IF(Data!G89="","",IF(Data!G89=Data_Val!$C$2,IF(Data!M89="",0,1),0))</f>
        <v/>
      </c>
      <c r="T89" s="11" t="str">
        <f>IF(Data!M89="","",IF(ISNUMBER(MATCH(Data!N89,Data_Val!$A$2:$A$3,0)),0,1))</f>
        <v/>
      </c>
      <c r="U89" s="11" t="str">
        <f ca="1">IF(Data!M89="","",IF(ISNUMBER(Data!O89),IF(AND(Data!O89&gt;(TODAY()-(Data_Val!$K$3*365.25)),Data!O89&lt;=(TODAY()-(Data_Val!$K$2*365.25))),0,1),1))</f>
        <v/>
      </c>
      <c r="V89" s="12" t="str">
        <f>IF(Data!G89="","",IF(Data!G89=Data_Val!$C$2,IF(Data!P89="",0,1),0))</f>
        <v/>
      </c>
      <c r="W89" s="12" t="str">
        <f>IF(Data!P89="","",IF(ISNUMBER(MATCH(Data!Q89,Data_Val!$A$2:$A$3,0)),0,1))</f>
        <v/>
      </c>
      <c r="X89" s="26" t="str">
        <f ca="1">IF(Data!P89="","",IF(ISNUMBER(Data!R89),IF(AND(Data!R89&gt;(TODAY()-(Data_Val!$L$3*365.25)),Data!R89&lt;=(TODAY()-(Data_Val!$L$2*365.25))),0,1),1))</f>
        <v/>
      </c>
      <c r="Y89" s="13" t="str">
        <f>IF(Data!$G89="","",IF(Data!$G89=Data_Val!$C$2,IF(Data!S89="",0,1),0))</f>
        <v/>
      </c>
      <c r="Z89" s="13" t="str">
        <f>IF(Data!S89="","",IF(ISNUMBER(MATCH(Data!T89,Data_Val!$A$2:$A$3,0)),0,1))</f>
        <v/>
      </c>
      <c r="AA89" s="28" t="str">
        <f ca="1">IF(Data!S89="","",IF(ISNUMBER(Data!U89),IF(AND(Data!U89&gt;(TODAY()-(Data_Val!$L$3*365.25)),Data!U89&lt;=(TODAY()-(Data_Val!$L$2*365.25))),0,1),1))</f>
        <v/>
      </c>
      <c r="AB89" s="11"/>
      <c r="AC89" s="11" t="e">
        <f>IF(Data!#REF!="","",IF(ISNUMBER(MATCH(Data!#REF!,Data_Val!$A$2:$A$3,0)),0,1))</f>
        <v>#REF!</v>
      </c>
      <c r="AD89" s="11" t="e">
        <f ca="1">IF(Data!#REF!="","",IF(ISNUMBER(Data!#REF!),IF(AND(Data!#REF!&gt;(TODAY()-(Data_Val!$L$3*365.25)),Data!#REF!&lt;=(TODAY()-(Data_Val!$L$2*365.25))),0,1),1))</f>
        <v>#REF!</v>
      </c>
      <c r="AE89" s="11" t="e">
        <f>IF(Data!#REF!="","",IF(Data!$G89="",1,IF(ISNUMBER(MATCH(Data!#REF!,Data_Val!$D$2:$D$10,0)),0,1)))</f>
        <v>#REF!</v>
      </c>
      <c r="AF89" s="12"/>
      <c r="AG89" s="12" t="e">
        <f>IF(Data!#REF!="","",IF(ISNUMBER(MATCH(Data!#REF!,Data_Val!$A$2:$A$3,0)),0,1))</f>
        <v>#REF!</v>
      </c>
      <c r="AH89" s="26" t="e">
        <f ca="1">IF(Data!#REF!="","",IF(ISNUMBER(Data!#REF!),IF(AND(Data!#REF!&gt;(TODAY()-(Data_Val!$L$3*365.25)),Data!#REF!&lt;=(TODAY()-(Data_Val!$L$2*365.25))),0,1),1))</f>
        <v>#REF!</v>
      </c>
      <c r="AI89" s="12" t="e">
        <f>IF(Data!#REF!="","",IF(Data!$G89="",1,IF(ISNUMBER(MATCH(Data!#REF!,Data_Val!$D$2:$D$10,0)),0,1)))</f>
        <v>#REF!</v>
      </c>
      <c r="AJ89" s="17"/>
      <c r="AK89" s="17" t="e">
        <f>IF(Data!#REF!="","",IF(ISNUMBER(MATCH(Data!#REF!,Data_Val!$A$2:$A$3,0)),0,1))</f>
        <v>#REF!</v>
      </c>
      <c r="AL89" s="25" t="e">
        <f ca="1">IF(Data!#REF!="","",IF(ISNUMBER(Data!#REF!),IF(AND(Data!#REF!&gt;(TODAY()-(Data_Val!$L$3*365.25)),Data!#REF!&lt;=(TODAY()-(Data_Val!$L$2*365.25))),0,1),1))</f>
        <v>#REF!</v>
      </c>
      <c r="AM89" s="17" t="e">
        <f>IF(Data!#REF!="","",IF(Data!$G89="",1,IF(ISNUMBER(MATCH(Data!#REF!,Data_Val!$D$2:$D$10,0)),0,1)))</f>
        <v>#REF!</v>
      </c>
      <c r="AN89" s="13"/>
      <c r="AO89" s="28" t="e">
        <f ca="1">IF(Data!#REF!="","",IF(ISNUMBER(Data!#REF!),IF(AND(Data!#REF!&gt;(TODAY()-(Data_Val!$I$3*365.25)),Data!#REF!&lt;=(TODAY()-(Data_Val!$I$2*365.25))),0,1),1))</f>
        <v>#REF!</v>
      </c>
      <c r="AP89" s="13" t="e">
        <f>IF(Data!#REF!="","",IF(Data!$G89="",1,IF(ISNUMBER(MATCH(Data!#REF!,Data_Val!$D$2:$D$10,0)),0,1)))</f>
        <v>#REF!</v>
      </c>
      <c r="AQ89" s="17"/>
      <c r="AR89" s="30" t="e">
        <f ca="1">IF(Data!#REF!="","",IF(ISNUMBER(Data!#REF!),IF(AND(Data!#REF!&gt;(TODAY()-(Data_Val!$I$3*365.25)),Data!#REF!&lt;=(TODAY()-(Data_Val!$I$2*365.25))),0,1),1))</f>
        <v>#REF!</v>
      </c>
      <c r="AS89" s="31" t="e">
        <f>IF(Data!#REF!="","",IF(Data!$G89="",1,IF(ISNUMBER(MATCH(Data!#REF!,Data_Val!$D$2:$D$10,0)),0,1)))</f>
        <v>#REF!</v>
      </c>
      <c r="AT89" s="11"/>
      <c r="AU89" s="11" t="e">
        <f ca="1">IF(Data!#REF!="","",IF(ISNUMBER(Data!#REF!),IF(AND(Data!#REF!&gt;(TODAY()-(Data_Val!$I$3*365.25)),Data!#REF!&lt;=(TODAY()-(Data_Val!$I$2*365.25))),0,1),1))</f>
        <v>#REF!</v>
      </c>
      <c r="AV89" s="11" t="e">
        <f>IF(Data!#REF!="","",IF(Data!$G89="",1,IF(ISNUMBER(MATCH(Data!#REF!,Data_Val!$D$2:$D$10,0)),0,1)))</f>
        <v>#REF!</v>
      </c>
      <c r="AW89" s="12"/>
      <c r="AX89" s="26" t="e">
        <f ca="1">IF(Data!#REF!="","",IF(ISNUMBER(Data!#REF!),IF(AND(Data!#REF!&gt;(TODAY()-(Data_Val!$I$3*365.25)),Data!#REF!&lt;=(TODAY()-(Data_Val!$I$2*365.25))),0,1),1))</f>
        <v>#REF!</v>
      </c>
      <c r="AY89" s="12" t="e">
        <f>IF(Data!#REF!="","",IF(Data!$G89="",1,IF(ISNUMBER(MATCH(Data!#REF!,Data_Val!$D$2:$D$10,0)),0,1)))</f>
        <v>#REF!</v>
      </c>
      <c r="AZ89" s="11"/>
      <c r="BA89" s="19" t="e">
        <f ca="1">IF(Data!#REF!="","",IF(ISNUMBER(Data!#REF!),IF(AND(Data!#REF!&gt;(TODAY()-(Data_Val!$M$3*365.25)),Data!#REF!&lt;=(TODAY()-(Data_Val!$M$2*365.25))),0,1),1))</f>
        <v>#REF!</v>
      </c>
      <c r="BB89" s="11" t="e">
        <f>IF(Data!#REF!="","",IF(Data!$G89="",1,IF(ISNUMBER(MATCH(Data!#REF!,Data_Val!$D$2:$D$10,0)),0,1)))</f>
        <v>#REF!</v>
      </c>
      <c r="BC89" s="12"/>
      <c r="BD89" s="20" t="e">
        <f ca="1">IF(Data!#REF!="","",IF(ISNUMBER(Data!#REF!),IF(AND(Data!#REF!&gt;(TODAY()-(Data_Val!$M$3*365.25)),Data!#REF!&lt;=(TODAY()-(Data_Val!$M$2*365.25))),0,1),1))</f>
        <v>#REF!</v>
      </c>
      <c r="BE89" s="12" t="e">
        <f>IF(Data!#REF!="","",IF(Data!$G89="",1,IF(ISNUMBER(MATCH(Data!#REF!,Data_Val!$D$2:$D$10,0)),0,1)))</f>
        <v>#REF!</v>
      </c>
      <c r="BF89" s="17"/>
      <c r="BG89" s="18" t="e">
        <f ca="1">IF(Data!#REF!="","",IF(ISNUMBER(Data!#REF!),IF(AND(Data!#REF!&gt;(TODAY()-(Data_Val!$M$3*365.25)),Data!#REF!&lt;=(TODAY()-(Data_Val!$M$2*365.25))),0,1),1))</f>
        <v>#REF!</v>
      </c>
      <c r="BH89" s="29" t="e">
        <f>IF(Data!#REF!="","",IF(Data!$G89="",1,IF(ISNUMBER(MATCH(Data!#REF!,Data_Val!$D$2:$D$10,0)),0,1)))</f>
        <v>#REF!</v>
      </c>
      <c r="BI89" s="13"/>
      <c r="BJ89" s="21" t="e">
        <f ca="1">IF(Data!#REF!="","",IF(ISNUMBER(Data!#REF!),IF(AND(Data!#REF!&gt;(TODAY()-(Data_Val!$M$3*365.25)),Data!#REF!&lt;=(TODAY()-(Data_Val!$M$2*365.25))),0,1),1))</f>
        <v>#REF!</v>
      </c>
      <c r="BK89" s="13" t="e">
        <f>IF(Data!#REF!="","",IF(Data!$G89="",1,IF(ISNUMBER(MATCH(Data!#REF!,Data_Val!$D$2:$D$10,0)),0,1)))</f>
        <v>#REF!</v>
      </c>
    </row>
    <row r="90" spans="1:63" x14ac:dyDescent="0.25">
      <c r="A90" s="9" t="str">
        <f>IF(Data!B90="","",IF(COUNTIFS(Data!A$1:'Data'!A90,Data!A90)&lt;=1,0,1))</f>
        <v/>
      </c>
      <c r="B90" s="9"/>
      <c r="C90" s="23" t="str">
        <f>IF(Data!C90="","",(IF(ISNUMBER(MATCH("*@*.?*",Data!C90,0)),0,1)+IF(COUNTIFS(Data!C$1:'Data'!C90,Data!C90)&gt;1,1,0)))</f>
        <v/>
      </c>
      <c r="D90" s="9" t="str">
        <f>IF(Data!B90="","",IF(ISNUMBER(Data!D90),IF(AND(Data!D90&gt;999999999,Data!D90&lt;=9999999999),IF(COUNTIFS(Data!D$1:'Data'!D90,Data!D90)&lt;=1,0,1),1),1))</f>
        <v/>
      </c>
      <c r="E90" s="9" t="str">
        <f>IF(Data!B90="","",IF(ISNUMBER(MATCH(Data!E90,Data_Val!$A$2:$A$3,0)),0,1))</f>
        <v/>
      </c>
      <c r="F90" s="9" t="str">
        <f ca="1">IF(Data!B90="","",IF(ISNUMBER(Data!F90),IF(AND(Data!F90&gt;(TODAY()-(Data_Val!$H$3*365.25)),Data!F90&lt;=(TODAY()-(Data_Val!$H$2*365.25))),0,1),1))</f>
        <v/>
      </c>
      <c r="G90" s="15" t="str">
        <f>IF(Data!B90="","",IF(AND(Data!G90="",Data!H90&lt;&gt;""),1,IF(Data!#REF!&lt;&gt;"",0,IF(ISNUMBER(MATCH(Data!G90,Data_Val!$C$2:$C$5,0)),0,1))))</f>
        <v/>
      </c>
      <c r="H90" s="15" t="str">
        <f>IF(Data!B90="","",IF(AND(Data!G90&lt;&gt;"",Data!H90=""),1,IF(Data!#REF!&lt;&gt;"",0,IF(Data!G90="",1,IF(ISNUMBER(MATCH(Data!H90,Data_Val!$D$2:$D$35,0)),0,1)))))</f>
        <v/>
      </c>
      <c r="I90" s="15" t="str">
        <f>IF(Data!B90="","",IF(Data!G90&lt;&gt;"",0,IF(ISNUMBER(MATCH(Data!#REF!,Data_Val!$E$2:$E$12,0)),0,1)))</f>
        <v/>
      </c>
      <c r="J90" s="16" t="e">
        <f>IF(OR(Data!B90="",Data!#REF!=""),"",IF(Data!#REF!="",1,0))</f>
        <v>#REF!</v>
      </c>
      <c r="K90" s="16" t="e">
        <f>IF(OR(Data!B90="",Data!#REF!=""),"",IF(Data!#REF!="",1,0))</f>
        <v>#REF!</v>
      </c>
      <c r="L90" s="16" t="e">
        <f>IF(OR(Data!B90="",Data!#REF!=""),"",IF(ISNUMBER(Data!#REF!),IF(AND(Data!#REF!&gt;Data_Val!$G$2,Data!#REF!&lt;=Data_Val!$G$3),0,1),1))</f>
        <v>#REF!</v>
      </c>
      <c r="M90" s="9" t="e">
        <f>IF(OR(Data!B90="",Data!#REF!=""),"",IF(ISNUMBER(MATCH(Data!#REF!,Data_Val!$F$1:$F$38,0)),0,1))</f>
        <v>#REF!</v>
      </c>
      <c r="N90" s="9" t="e">
        <f>IF(OR(Data!B90="",Data!#REF!=""),"",IF(Data!#REF!="",1,0))</f>
        <v>#REF!</v>
      </c>
      <c r="O90" s="17" t="e">
        <f>IF(Data!#REF!="","",IF(Data!#REF!="",1,0))</f>
        <v>#REF!</v>
      </c>
      <c r="P90" s="17" t="e">
        <f>IF(Data!#REF!="","",IF(ISNUMBER(MATCH(Data!#REF!,Data_Val!$A$2:$A$3,0)),0,1))</f>
        <v>#REF!</v>
      </c>
      <c r="Q90" s="25" t="e">
        <f ca="1">IF(Data!#REF!="","",IF(ISNUMBER(Data!#REF!),IF(AND(Data!#REF!&gt;(TODAY()-(Data_Val!$J$3*365.25)),Data!#REF!&lt;=(TODAY()-(Data_Val!$J$2*365.25))),0,1),1))</f>
        <v>#REF!</v>
      </c>
      <c r="R90" s="17" t="e">
        <f>IF(Data!#REF!="","",IF(ISNUMBER(MATCH(Data!#REF!,Data_Val!$B$2:$B$15,0)),0,1))</f>
        <v>#REF!</v>
      </c>
      <c r="S90" s="11" t="str">
        <f>IF(Data!G90="","",IF(Data!G90=Data_Val!$C$2,IF(Data!M90="",0,1),0))</f>
        <v/>
      </c>
      <c r="T90" s="11" t="str">
        <f>IF(Data!M90="","",IF(ISNUMBER(MATCH(Data!N90,Data_Val!$A$2:$A$3,0)),0,1))</f>
        <v/>
      </c>
      <c r="U90" s="11" t="str">
        <f ca="1">IF(Data!M90="","",IF(ISNUMBER(Data!O90),IF(AND(Data!O90&gt;(TODAY()-(Data_Val!$K$3*365.25)),Data!O90&lt;=(TODAY()-(Data_Val!$K$2*365.25))),0,1),1))</f>
        <v/>
      </c>
      <c r="V90" s="12" t="str">
        <f>IF(Data!G90="","",IF(Data!G90=Data_Val!$C$2,IF(Data!P90="",0,1),0))</f>
        <v/>
      </c>
      <c r="W90" s="12" t="str">
        <f>IF(Data!P90="","",IF(ISNUMBER(MATCH(Data!Q90,Data_Val!$A$2:$A$3,0)),0,1))</f>
        <v/>
      </c>
      <c r="X90" s="26" t="str">
        <f ca="1">IF(Data!P90="","",IF(ISNUMBER(Data!R90),IF(AND(Data!R90&gt;(TODAY()-(Data_Val!$L$3*365.25)),Data!R90&lt;=(TODAY()-(Data_Val!$L$2*365.25))),0,1),1))</f>
        <v/>
      </c>
      <c r="Y90" s="13" t="str">
        <f>IF(Data!$G90="","",IF(Data!$G90=Data_Val!$C$2,IF(Data!S90="",0,1),0))</f>
        <v/>
      </c>
      <c r="Z90" s="13" t="str">
        <f>IF(Data!S90="","",IF(ISNUMBER(MATCH(Data!T90,Data_Val!$A$2:$A$3,0)),0,1))</f>
        <v/>
      </c>
      <c r="AA90" s="28" t="str">
        <f ca="1">IF(Data!S90="","",IF(ISNUMBER(Data!U90),IF(AND(Data!U90&gt;(TODAY()-(Data_Val!$L$3*365.25)),Data!U90&lt;=(TODAY()-(Data_Val!$L$2*365.25))),0,1),1))</f>
        <v/>
      </c>
      <c r="AB90" s="11"/>
      <c r="AC90" s="11" t="e">
        <f>IF(Data!#REF!="","",IF(ISNUMBER(MATCH(Data!#REF!,Data_Val!$A$2:$A$3,0)),0,1))</f>
        <v>#REF!</v>
      </c>
      <c r="AD90" s="11" t="e">
        <f ca="1">IF(Data!#REF!="","",IF(ISNUMBER(Data!#REF!),IF(AND(Data!#REF!&gt;(TODAY()-(Data_Val!$L$3*365.25)),Data!#REF!&lt;=(TODAY()-(Data_Val!$L$2*365.25))),0,1),1))</f>
        <v>#REF!</v>
      </c>
      <c r="AE90" s="11" t="e">
        <f>IF(Data!#REF!="","",IF(Data!$G90="",1,IF(ISNUMBER(MATCH(Data!#REF!,Data_Val!$D$2:$D$10,0)),0,1)))</f>
        <v>#REF!</v>
      </c>
      <c r="AF90" s="12"/>
      <c r="AG90" s="12" t="e">
        <f>IF(Data!#REF!="","",IF(ISNUMBER(MATCH(Data!#REF!,Data_Val!$A$2:$A$3,0)),0,1))</f>
        <v>#REF!</v>
      </c>
      <c r="AH90" s="26" t="e">
        <f ca="1">IF(Data!#REF!="","",IF(ISNUMBER(Data!#REF!),IF(AND(Data!#REF!&gt;(TODAY()-(Data_Val!$L$3*365.25)),Data!#REF!&lt;=(TODAY()-(Data_Val!$L$2*365.25))),0,1),1))</f>
        <v>#REF!</v>
      </c>
      <c r="AI90" s="12" t="e">
        <f>IF(Data!#REF!="","",IF(Data!$G90="",1,IF(ISNUMBER(MATCH(Data!#REF!,Data_Val!$D$2:$D$10,0)),0,1)))</f>
        <v>#REF!</v>
      </c>
      <c r="AJ90" s="17"/>
      <c r="AK90" s="17" t="e">
        <f>IF(Data!#REF!="","",IF(ISNUMBER(MATCH(Data!#REF!,Data_Val!$A$2:$A$3,0)),0,1))</f>
        <v>#REF!</v>
      </c>
      <c r="AL90" s="25" t="e">
        <f ca="1">IF(Data!#REF!="","",IF(ISNUMBER(Data!#REF!),IF(AND(Data!#REF!&gt;(TODAY()-(Data_Val!$L$3*365.25)),Data!#REF!&lt;=(TODAY()-(Data_Val!$L$2*365.25))),0,1),1))</f>
        <v>#REF!</v>
      </c>
      <c r="AM90" s="17" t="e">
        <f>IF(Data!#REF!="","",IF(Data!$G90="",1,IF(ISNUMBER(MATCH(Data!#REF!,Data_Val!$D$2:$D$10,0)),0,1)))</f>
        <v>#REF!</v>
      </c>
      <c r="AN90" s="13"/>
      <c r="AO90" s="28" t="e">
        <f ca="1">IF(Data!#REF!="","",IF(ISNUMBER(Data!#REF!),IF(AND(Data!#REF!&gt;(TODAY()-(Data_Val!$I$3*365.25)),Data!#REF!&lt;=(TODAY()-(Data_Val!$I$2*365.25))),0,1),1))</f>
        <v>#REF!</v>
      </c>
      <c r="AP90" s="13" t="e">
        <f>IF(Data!#REF!="","",IF(Data!$G90="",1,IF(ISNUMBER(MATCH(Data!#REF!,Data_Val!$D$2:$D$10,0)),0,1)))</f>
        <v>#REF!</v>
      </c>
      <c r="AQ90" s="17"/>
      <c r="AR90" s="30" t="e">
        <f ca="1">IF(Data!#REF!="","",IF(ISNUMBER(Data!#REF!),IF(AND(Data!#REF!&gt;(TODAY()-(Data_Val!$I$3*365.25)),Data!#REF!&lt;=(TODAY()-(Data_Val!$I$2*365.25))),0,1),1))</f>
        <v>#REF!</v>
      </c>
      <c r="AS90" s="31" t="e">
        <f>IF(Data!#REF!="","",IF(Data!$G90="",1,IF(ISNUMBER(MATCH(Data!#REF!,Data_Val!$D$2:$D$10,0)),0,1)))</f>
        <v>#REF!</v>
      </c>
      <c r="AT90" s="11"/>
      <c r="AU90" s="11" t="e">
        <f ca="1">IF(Data!#REF!="","",IF(ISNUMBER(Data!#REF!),IF(AND(Data!#REF!&gt;(TODAY()-(Data_Val!$I$3*365.25)),Data!#REF!&lt;=(TODAY()-(Data_Val!$I$2*365.25))),0,1),1))</f>
        <v>#REF!</v>
      </c>
      <c r="AV90" s="11" t="e">
        <f>IF(Data!#REF!="","",IF(Data!$G90="",1,IF(ISNUMBER(MATCH(Data!#REF!,Data_Val!$D$2:$D$10,0)),0,1)))</f>
        <v>#REF!</v>
      </c>
      <c r="AW90" s="12"/>
      <c r="AX90" s="26" t="e">
        <f ca="1">IF(Data!#REF!="","",IF(ISNUMBER(Data!#REF!),IF(AND(Data!#REF!&gt;(TODAY()-(Data_Val!$I$3*365.25)),Data!#REF!&lt;=(TODAY()-(Data_Val!$I$2*365.25))),0,1),1))</f>
        <v>#REF!</v>
      </c>
      <c r="AY90" s="12" t="e">
        <f>IF(Data!#REF!="","",IF(Data!$G90="",1,IF(ISNUMBER(MATCH(Data!#REF!,Data_Val!$D$2:$D$10,0)),0,1)))</f>
        <v>#REF!</v>
      </c>
      <c r="AZ90" s="11"/>
      <c r="BA90" s="19" t="e">
        <f ca="1">IF(Data!#REF!="","",IF(ISNUMBER(Data!#REF!),IF(AND(Data!#REF!&gt;(TODAY()-(Data_Val!$M$3*365.25)),Data!#REF!&lt;=(TODAY()-(Data_Val!$M$2*365.25))),0,1),1))</f>
        <v>#REF!</v>
      </c>
      <c r="BB90" s="11" t="e">
        <f>IF(Data!#REF!="","",IF(Data!$G90="",1,IF(ISNUMBER(MATCH(Data!#REF!,Data_Val!$D$2:$D$10,0)),0,1)))</f>
        <v>#REF!</v>
      </c>
      <c r="BC90" s="12"/>
      <c r="BD90" s="20" t="e">
        <f ca="1">IF(Data!#REF!="","",IF(ISNUMBER(Data!#REF!),IF(AND(Data!#REF!&gt;(TODAY()-(Data_Val!$M$3*365.25)),Data!#REF!&lt;=(TODAY()-(Data_Val!$M$2*365.25))),0,1),1))</f>
        <v>#REF!</v>
      </c>
      <c r="BE90" s="12" t="e">
        <f>IF(Data!#REF!="","",IF(Data!$G90="",1,IF(ISNUMBER(MATCH(Data!#REF!,Data_Val!$D$2:$D$10,0)),0,1)))</f>
        <v>#REF!</v>
      </c>
      <c r="BF90" s="17"/>
      <c r="BG90" s="18" t="e">
        <f ca="1">IF(Data!#REF!="","",IF(ISNUMBER(Data!#REF!),IF(AND(Data!#REF!&gt;(TODAY()-(Data_Val!$M$3*365.25)),Data!#REF!&lt;=(TODAY()-(Data_Val!$M$2*365.25))),0,1),1))</f>
        <v>#REF!</v>
      </c>
      <c r="BH90" s="29" t="e">
        <f>IF(Data!#REF!="","",IF(Data!$G90="",1,IF(ISNUMBER(MATCH(Data!#REF!,Data_Val!$D$2:$D$10,0)),0,1)))</f>
        <v>#REF!</v>
      </c>
      <c r="BI90" s="13"/>
      <c r="BJ90" s="21" t="e">
        <f ca="1">IF(Data!#REF!="","",IF(ISNUMBER(Data!#REF!),IF(AND(Data!#REF!&gt;(TODAY()-(Data_Val!$M$3*365.25)),Data!#REF!&lt;=(TODAY()-(Data_Val!$M$2*365.25))),0,1),1))</f>
        <v>#REF!</v>
      </c>
      <c r="BK90" s="13" t="e">
        <f>IF(Data!#REF!="","",IF(Data!$G90="",1,IF(ISNUMBER(MATCH(Data!#REF!,Data_Val!$D$2:$D$10,0)),0,1)))</f>
        <v>#REF!</v>
      </c>
    </row>
    <row r="91" spans="1:63" x14ac:dyDescent="0.25">
      <c r="A91" s="9" t="str">
        <f>IF(Data!B91="","",IF(COUNTIFS(Data!A$1:'Data'!A91,Data!A91)&lt;=1,0,1))</f>
        <v/>
      </c>
      <c r="B91" s="9"/>
      <c r="C91" s="23" t="str">
        <f>IF(Data!C91="","",(IF(ISNUMBER(MATCH("*@*.?*",Data!C91,0)),0,1)+IF(COUNTIFS(Data!C$1:'Data'!C91,Data!C91)&gt;1,1,0)))</f>
        <v/>
      </c>
      <c r="D91" s="9" t="str">
        <f>IF(Data!B91="","",IF(ISNUMBER(Data!D91),IF(AND(Data!D91&gt;999999999,Data!D91&lt;=9999999999),IF(COUNTIFS(Data!D$1:'Data'!D91,Data!D91)&lt;=1,0,1),1),1))</f>
        <v/>
      </c>
      <c r="E91" s="9" t="str">
        <f>IF(Data!B91="","",IF(ISNUMBER(MATCH(Data!E91,Data_Val!$A$2:$A$3,0)),0,1))</f>
        <v/>
      </c>
      <c r="F91" s="9" t="str">
        <f ca="1">IF(Data!B91="","",IF(ISNUMBER(Data!F91),IF(AND(Data!F91&gt;(TODAY()-(Data_Val!$H$3*365.25)),Data!F91&lt;=(TODAY()-(Data_Val!$H$2*365.25))),0,1),1))</f>
        <v/>
      </c>
      <c r="G91" s="15" t="str">
        <f>IF(Data!B91="","",IF(AND(Data!G91="",Data!H91&lt;&gt;""),1,IF(Data!#REF!&lt;&gt;"",0,IF(ISNUMBER(MATCH(Data!G91,Data_Val!$C$2:$C$5,0)),0,1))))</f>
        <v/>
      </c>
      <c r="H91" s="15" t="str">
        <f>IF(Data!B91="","",IF(AND(Data!G91&lt;&gt;"",Data!H91=""),1,IF(Data!#REF!&lt;&gt;"",0,IF(Data!G91="",1,IF(ISNUMBER(MATCH(Data!H91,Data_Val!$D$2:$D$35,0)),0,1)))))</f>
        <v/>
      </c>
      <c r="I91" s="15" t="str">
        <f>IF(Data!B91="","",IF(Data!G91&lt;&gt;"",0,IF(ISNUMBER(MATCH(Data!#REF!,Data_Val!$E$2:$E$12,0)),0,1)))</f>
        <v/>
      </c>
      <c r="J91" s="16" t="e">
        <f>IF(OR(Data!B91="",Data!#REF!=""),"",IF(Data!#REF!="",1,0))</f>
        <v>#REF!</v>
      </c>
      <c r="K91" s="16" t="e">
        <f>IF(OR(Data!B91="",Data!#REF!=""),"",IF(Data!#REF!="",1,0))</f>
        <v>#REF!</v>
      </c>
      <c r="L91" s="16" t="e">
        <f>IF(OR(Data!B91="",Data!#REF!=""),"",IF(ISNUMBER(Data!#REF!),IF(AND(Data!#REF!&gt;Data_Val!$G$2,Data!#REF!&lt;=Data_Val!$G$3),0,1),1))</f>
        <v>#REF!</v>
      </c>
      <c r="M91" s="9" t="e">
        <f>IF(OR(Data!B91="",Data!#REF!=""),"",IF(ISNUMBER(MATCH(Data!#REF!,Data_Val!$F$1:$F$38,0)),0,1))</f>
        <v>#REF!</v>
      </c>
      <c r="N91" s="9" t="e">
        <f>IF(OR(Data!B91="",Data!#REF!=""),"",IF(Data!#REF!="",1,0))</f>
        <v>#REF!</v>
      </c>
      <c r="O91" s="17" t="e">
        <f>IF(Data!#REF!="","",IF(Data!#REF!="",1,0))</f>
        <v>#REF!</v>
      </c>
      <c r="P91" s="17" t="e">
        <f>IF(Data!#REF!="","",IF(ISNUMBER(MATCH(Data!#REF!,Data_Val!$A$2:$A$3,0)),0,1))</f>
        <v>#REF!</v>
      </c>
      <c r="Q91" s="25" t="e">
        <f ca="1">IF(Data!#REF!="","",IF(ISNUMBER(Data!#REF!),IF(AND(Data!#REF!&gt;(TODAY()-(Data_Val!$J$3*365.25)),Data!#REF!&lt;=(TODAY()-(Data_Val!$J$2*365.25))),0,1),1))</f>
        <v>#REF!</v>
      </c>
      <c r="R91" s="17" t="e">
        <f>IF(Data!#REF!="","",IF(ISNUMBER(MATCH(Data!#REF!,Data_Val!$B$2:$B$15,0)),0,1))</f>
        <v>#REF!</v>
      </c>
      <c r="S91" s="11" t="str">
        <f>IF(Data!G91="","",IF(Data!G91=Data_Val!$C$2,IF(Data!M91="",0,1),0))</f>
        <v/>
      </c>
      <c r="T91" s="11" t="str">
        <f>IF(Data!M91="","",IF(ISNUMBER(MATCH(Data!N91,Data_Val!$A$2:$A$3,0)),0,1))</f>
        <v/>
      </c>
      <c r="U91" s="11" t="str">
        <f ca="1">IF(Data!M91="","",IF(ISNUMBER(Data!O91),IF(AND(Data!O91&gt;(TODAY()-(Data_Val!$K$3*365.25)),Data!O91&lt;=(TODAY()-(Data_Val!$K$2*365.25))),0,1),1))</f>
        <v/>
      </c>
      <c r="V91" s="12" t="str">
        <f>IF(Data!G91="","",IF(Data!G91=Data_Val!$C$2,IF(Data!P91="",0,1),0))</f>
        <v/>
      </c>
      <c r="W91" s="12" t="str">
        <f>IF(Data!P91="","",IF(ISNUMBER(MATCH(Data!Q91,Data_Val!$A$2:$A$3,0)),0,1))</f>
        <v/>
      </c>
      <c r="X91" s="26" t="str">
        <f ca="1">IF(Data!P91="","",IF(ISNUMBER(Data!R91),IF(AND(Data!R91&gt;(TODAY()-(Data_Val!$L$3*365.25)),Data!R91&lt;=(TODAY()-(Data_Val!$L$2*365.25))),0,1),1))</f>
        <v/>
      </c>
      <c r="Y91" s="13" t="str">
        <f>IF(Data!$G91="","",IF(Data!$G91=Data_Val!$C$2,IF(Data!S91="",0,1),0))</f>
        <v/>
      </c>
      <c r="Z91" s="13" t="str">
        <f>IF(Data!S91="","",IF(ISNUMBER(MATCH(Data!T91,Data_Val!$A$2:$A$3,0)),0,1))</f>
        <v/>
      </c>
      <c r="AA91" s="28" t="str">
        <f ca="1">IF(Data!S91="","",IF(ISNUMBER(Data!U91),IF(AND(Data!U91&gt;(TODAY()-(Data_Val!$L$3*365.25)),Data!U91&lt;=(TODAY()-(Data_Val!$L$2*365.25))),0,1),1))</f>
        <v/>
      </c>
      <c r="AB91" s="11"/>
      <c r="AC91" s="11" t="e">
        <f>IF(Data!#REF!="","",IF(ISNUMBER(MATCH(Data!#REF!,Data_Val!$A$2:$A$3,0)),0,1))</f>
        <v>#REF!</v>
      </c>
      <c r="AD91" s="11" t="e">
        <f ca="1">IF(Data!#REF!="","",IF(ISNUMBER(Data!#REF!),IF(AND(Data!#REF!&gt;(TODAY()-(Data_Val!$L$3*365.25)),Data!#REF!&lt;=(TODAY()-(Data_Val!$L$2*365.25))),0,1),1))</f>
        <v>#REF!</v>
      </c>
      <c r="AE91" s="11" t="e">
        <f>IF(Data!#REF!="","",IF(Data!$G91="",1,IF(ISNUMBER(MATCH(Data!#REF!,Data_Val!$D$2:$D$10,0)),0,1)))</f>
        <v>#REF!</v>
      </c>
      <c r="AF91" s="12"/>
      <c r="AG91" s="12" t="e">
        <f>IF(Data!#REF!="","",IF(ISNUMBER(MATCH(Data!#REF!,Data_Val!$A$2:$A$3,0)),0,1))</f>
        <v>#REF!</v>
      </c>
      <c r="AH91" s="26" t="e">
        <f ca="1">IF(Data!#REF!="","",IF(ISNUMBER(Data!#REF!),IF(AND(Data!#REF!&gt;(TODAY()-(Data_Val!$L$3*365.25)),Data!#REF!&lt;=(TODAY()-(Data_Val!$L$2*365.25))),0,1),1))</f>
        <v>#REF!</v>
      </c>
      <c r="AI91" s="12" t="e">
        <f>IF(Data!#REF!="","",IF(Data!$G91="",1,IF(ISNUMBER(MATCH(Data!#REF!,Data_Val!$D$2:$D$10,0)),0,1)))</f>
        <v>#REF!</v>
      </c>
      <c r="AJ91" s="17"/>
      <c r="AK91" s="17" t="e">
        <f>IF(Data!#REF!="","",IF(ISNUMBER(MATCH(Data!#REF!,Data_Val!$A$2:$A$3,0)),0,1))</f>
        <v>#REF!</v>
      </c>
      <c r="AL91" s="25" t="e">
        <f ca="1">IF(Data!#REF!="","",IF(ISNUMBER(Data!#REF!),IF(AND(Data!#REF!&gt;(TODAY()-(Data_Val!$L$3*365.25)),Data!#REF!&lt;=(TODAY()-(Data_Val!$L$2*365.25))),0,1),1))</f>
        <v>#REF!</v>
      </c>
      <c r="AM91" s="17" t="e">
        <f>IF(Data!#REF!="","",IF(Data!$G91="",1,IF(ISNUMBER(MATCH(Data!#REF!,Data_Val!$D$2:$D$10,0)),0,1)))</f>
        <v>#REF!</v>
      </c>
      <c r="AN91" s="13"/>
      <c r="AO91" s="28" t="e">
        <f ca="1">IF(Data!#REF!="","",IF(ISNUMBER(Data!#REF!),IF(AND(Data!#REF!&gt;(TODAY()-(Data_Val!$I$3*365.25)),Data!#REF!&lt;=(TODAY()-(Data_Val!$I$2*365.25))),0,1),1))</f>
        <v>#REF!</v>
      </c>
      <c r="AP91" s="13" t="e">
        <f>IF(Data!#REF!="","",IF(Data!$G91="",1,IF(ISNUMBER(MATCH(Data!#REF!,Data_Val!$D$2:$D$10,0)),0,1)))</f>
        <v>#REF!</v>
      </c>
      <c r="AQ91" s="17"/>
      <c r="AR91" s="30" t="e">
        <f ca="1">IF(Data!#REF!="","",IF(ISNUMBER(Data!#REF!),IF(AND(Data!#REF!&gt;(TODAY()-(Data_Val!$I$3*365.25)),Data!#REF!&lt;=(TODAY()-(Data_Val!$I$2*365.25))),0,1),1))</f>
        <v>#REF!</v>
      </c>
      <c r="AS91" s="31" t="e">
        <f>IF(Data!#REF!="","",IF(Data!$G91="",1,IF(ISNUMBER(MATCH(Data!#REF!,Data_Val!$D$2:$D$10,0)),0,1)))</f>
        <v>#REF!</v>
      </c>
      <c r="AT91" s="11"/>
      <c r="AU91" s="11" t="e">
        <f ca="1">IF(Data!#REF!="","",IF(ISNUMBER(Data!#REF!),IF(AND(Data!#REF!&gt;(TODAY()-(Data_Val!$I$3*365.25)),Data!#REF!&lt;=(TODAY()-(Data_Val!$I$2*365.25))),0,1),1))</f>
        <v>#REF!</v>
      </c>
      <c r="AV91" s="11" t="e">
        <f>IF(Data!#REF!="","",IF(Data!$G91="",1,IF(ISNUMBER(MATCH(Data!#REF!,Data_Val!$D$2:$D$10,0)),0,1)))</f>
        <v>#REF!</v>
      </c>
      <c r="AW91" s="12"/>
      <c r="AX91" s="26" t="e">
        <f ca="1">IF(Data!#REF!="","",IF(ISNUMBER(Data!#REF!),IF(AND(Data!#REF!&gt;(TODAY()-(Data_Val!$I$3*365.25)),Data!#REF!&lt;=(TODAY()-(Data_Val!$I$2*365.25))),0,1),1))</f>
        <v>#REF!</v>
      </c>
      <c r="AY91" s="12" t="e">
        <f>IF(Data!#REF!="","",IF(Data!$G91="",1,IF(ISNUMBER(MATCH(Data!#REF!,Data_Val!$D$2:$D$10,0)),0,1)))</f>
        <v>#REF!</v>
      </c>
      <c r="AZ91" s="11"/>
      <c r="BA91" s="19" t="e">
        <f ca="1">IF(Data!#REF!="","",IF(ISNUMBER(Data!#REF!),IF(AND(Data!#REF!&gt;(TODAY()-(Data_Val!$M$3*365.25)),Data!#REF!&lt;=(TODAY()-(Data_Val!$M$2*365.25))),0,1),1))</f>
        <v>#REF!</v>
      </c>
      <c r="BB91" s="11" t="e">
        <f>IF(Data!#REF!="","",IF(Data!$G91="",1,IF(ISNUMBER(MATCH(Data!#REF!,Data_Val!$D$2:$D$10,0)),0,1)))</f>
        <v>#REF!</v>
      </c>
      <c r="BC91" s="12"/>
      <c r="BD91" s="20" t="e">
        <f ca="1">IF(Data!#REF!="","",IF(ISNUMBER(Data!#REF!),IF(AND(Data!#REF!&gt;(TODAY()-(Data_Val!$M$3*365.25)),Data!#REF!&lt;=(TODAY()-(Data_Val!$M$2*365.25))),0,1),1))</f>
        <v>#REF!</v>
      </c>
      <c r="BE91" s="12" t="e">
        <f>IF(Data!#REF!="","",IF(Data!$G91="",1,IF(ISNUMBER(MATCH(Data!#REF!,Data_Val!$D$2:$D$10,0)),0,1)))</f>
        <v>#REF!</v>
      </c>
      <c r="BF91" s="17"/>
      <c r="BG91" s="18" t="e">
        <f ca="1">IF(Data!#REF!="","",IF(ISNUMBER(Data!#REF!),IF(AND(Data!#REF!&gt;(TODAY()-(Data_Val!$M$3*365.25)),Data!#REF!&lt;=(TODAY()-(Data_Val!$M$2*365.25))),0,1),1))</f>
        <v>#REF!</v>
      </c>
      <c r="BH91" s="29" t="e">
        <f>IF(Data!#REF!="","",IF(Data!$G91="",1,IF(ISNUMBER(MATCH(Data!#REF!,Data_Val!$D$2:$D$10,0)),0,1)))</f>
        <v>#REF!</v>
      </c>
      <c r="BI91" s="13"/>
      <c r="BJ91" s="21" t="e">
        <f ca="1">IF(Data!#REF!="","",IF(ISNUMBER(Data!#REF!),IF(AND(Data!#REF!&gt;(TODAY()-(Data_Val!$M$3*365.25)),Data!#REF!&lt;=(TODAY()-(Data_Val!$M$2*365.25))),0,1),1))</f>
        <v>#REF!</v>
      </c>
      <c r="BK91" s="13" t="e">
        <f>IF(Data!#REF!="","",IF(Data!$G91="",1,IF(ISNUMBER(MATCH(Data!#REF!,Data_Val!$D$2:$D$10,0)),0,1)))</f>
        <v>#REF!</v>
      </c>
    </row>
    <row r="92" spans="1:63" x14ac:dyDescent="0.25">
      <c r="A92" s="9" t="str">
        <f>IF(Data!B92="","",IF(COUNTIFS(Data!A$1:'Data'!A92,Data!A92)&lt;=1,0,1))</f>
        <v/>
      </c>
      <c r="B92" s="9"/>
      <c r="C92" s="23" t="str">
        <f>IF(Data!C92="","",(IF(ISNUMBER(MATCH("*@*.?*",Data!C92,0)),0,1)+IF(COUNTIFS(Data!C$1:'Data'!C92,Data!C92)&gt;1,1,0)))</f>
        <v/>
      </c>
      <c r="D92" s="9" t="str">
        <f>IF(Data!B92="","",IF(ISNUMBER(Data!D92),IF(AND(Data!D92&gt;999999999,Data!D92&lt;=9999999999),IF(COUNTIFS(Data!D$1:'Data'!D92,Data!D92)&lt;=1,0,1),1),1))</f>
        <v/>
      </c>
      <c r="E92" s="9" t="str">
        <f>IF(Data!B92="","",IF(ISNUMBER(MATCH(Data!E92,Data_Val!$A$2:$A$3,0)),0,1))</f>
        <v/>
      </c>
      <c r="F92" s="9" t="str">
        <f ca="1">IF(Data!B92="","",IF(ISNUMBER(Data!F92),IF(AND(Data!F92&gt;(TODAY()-(Data_Val!$H$3*365.25)),Data!F92&lt;=(TODAY()-(Data_Val!$H$2*365.25))),0,1),1))</f>
        <v/>
      </c>
      <c r="G92" s="15" t="str">
        <f>IF(Data!B92="","",IF(AND(Data!G92="",Data!H92&lt;&gt;""),1,IF(Data!#REF!&lt;&gt;"",0,IF(ISNUMBER(MATCH(Data!G92,Data_Val!$C$2:$C$5,0)),0,1))))</f>
        <v/>
      </c>
      <c r="H92" s="15" t="str">
        <f>IF(Data!B92="","",IF(AND(Data!G92&lt;&gt;"",Data!H92=""),1,IF(Data!#REF!&lt;&gt;"",0,IF(Data!G92="",1,IF(ISNUMBER(MATCH(Data!H92,Data_Val!$D$2:$D$35,0)),0,1)))))</f>
        <v/>
      </c>
      <c r="I92" s="15" t="str">
        <f>IF(Data!B92="","",IF(Data!G92&lt;&gt;"",0,IF(ISNUMBER(MATCH(Data!#REF!,Data_Val!$E$2:$E$12,0)),0,1)))</f>
        <v/>
      </c>
      <c r="J92" s="16" t="e">
        <f>IF(OR(Data!B92="",Data!#REF!=""),"",IF(Data!#REF!="",1,0))</f>
        <v>#REF!</v>
      </c>
      <c r="K92" s="16" t="e">
        <f>IF(OR(Data!B92="",Data!#REF!=""),"",IF(Data!#REF!="",1,0))</f>
        <v>#REF!</v>
      </c>
      <c r="L92" s="16" t="e">
        <f>IF(OR(Data!B92="",Data!#REF!=""),"",IF(ISNUMBER(Data!#REF!),IF(AND(Data!#REF!&gt;Data_Val!$G$2,Data!#REF!&lt;=Data_Val!$G$3),0,1),1))</f>
        <v>#REF!</v>
      </c>
      <c r="M92" s="9" t="e">
        <f>IF(OR(Data!B92="",Data!#REF!=""),"",IF(ISNUMBER(MATCH(Data!#REF!,Data_Val!$F$1:$F$38,0)),0,1))</f>
        <v>#REF!</v>
      </c>
      <c r="N92" s="9" t="e">
        <f>IF(OR(Data!B92="",Data!#REF!=""),"",IF(Data!#REF!="",1,0))</f>
        <v>#REF!</v>
      </c>
      <c r="O92" s="17" t="e">
        <f>IF(Data!#REF!="","",IF(Data!#REF!="",1,0))</f>
        <v>#REF!</v>
      </c>
      <c r="P92" s="17" t="e">
        <f>IF(Data!#REF!="","",IF(ISNUMBER(MATCH(Data!#REF!,Data_Val!$A$2:$A$3,0)),0,1))</f>
        <v>#REF!</v>
      </c>
      <c r="Q92" s="25" t="e">
        <f ca="1">IF(Data!#REF!="","",IF(ISNUMBER(Data!#REF!),IF(AND(Data!#REF!&gt;(TODAY()-(Data_Val!$J$3*365.25)),Data!#REF!&lt;=(TODAY()-(Data_Val!$J$2*365.25))),0,1),1))</f>
        <v>#REF!</v>
      </c>
      <c r="R92" s="17" t="e">
        <f>IF(Data!#REF!="","",IF(ISNUMBER(MATCH(Data!#REF!,Data_Val!$B$2:$B$15,0)),0,1))</f>
        <v>#REF!</v>
      </c>
      <c r="S92" s="11" t="str">
        <f>IF(Data!G92="","",IF(Data!G92=Data_Val!$C$2,IF(Data!M92="",0,1),0))</f>
        <v/>
      </c>
      <c r="T92" s="11" t="str">
        <f>IF(Data!M92="","",IF(ISNUMBER(MATCH(Data!N92,Data_Val!$A$2:$A$3,0)),0,1))</f>
        <v/>
      </c>
      <c r="U92" s="11" t="str">
        <f ca="1">IF(Data!M92="","",IF(ISNUMBER(Data!O92),IF(AND(Data!O92&gt;(TODAY()-(Data_Val!$K$3*365.25)),Data!O92&lt;=(TODAY()-(Data_Val!$K$2*365.25))),0,1),1))</f>
        <v/>
      </c>
      <c r="V92" s="12" t="str">
        <f>IF(Data!G92="","",IF(Data!G92=Data_Val!$C$2,IF(Data!P92="",0,1),0))</f>
        <v/>
      </c>
      <c r="W92" s="12" t="str">
        <f>IF(Data!P92="","",IF(ISNUMBER(MATCH(Data!Q92,Data_Val!$A$2:$A$3,0)),0,1))</f>
        <v/>
      </c>
      <c r="X92" s="26" t="str">
        <f ca="1">IF(Data!P92="","",IF(ISNUMBER(Data!R92),IF(AND(Data!R92&gt;(TODAY()-(Data_Val!$L$3*365.25)),Data!R92&lt;=(TODAY()-(Data_Val!$L$2*365.25))),0,1),1))</f>
        <v/>
      </c>
      <c r="Y92" s="13" t="str">
        <f>IF(Data!$G92="","",IF(Data!$G92=Data_Val!$C$2,IF(Data!S92="",0,1),0))</f>
        <v/>
      </c>
      <c r="Z92" s="13" t="str">
        <f>IF(Data!S92="","",IF(ISNUMBER(MATCH(Data!T92,Data_Val!$A$2:$A$3,0)),0,1))</f>
        <v/>
      </c>
      <c r="AA92" s="28" t="str">
        <f ca="1">IF(Data!S92="","",IF(ISNUMBER(Data!U92),IF(AND(Data!U92&gt;(TODAY()-(Data_Val!$L$3*365.25)),Data!U92&lt;=(TODAY()-(Data_Val!$L$2*365.25))),0,1),1))</f>
        <v/>
      </c>
      <c r="AB92" s="11"/>
      <c r="AC92" s="11" t="e">
        <f>IF(Data!#REF!="","",IF(ISNUMBER(MATCH(Data!#REF!,Data_Val!$A$2:$A$3,0)),0,1))</f>
        <v>#REF!</v>
      </c>
      <c r="AD92" s="11" t="e">
        <f ca="1">IF(Data!#REF!="","",IF(ISNUMBER(Data!#REF!),IF(AND(Data!#REF!&gt;(TODAY()-(Data_Val!$L$3*365.25)),Data!#REF!&lt;=(TODAY()-(Data_Val!$L$2*365.25))),0,1),1))</f>
        <v>#REF!</v>
      </c>
      <c r="AE92" s="11" t="e">
        <f>IF(Data!#REF!="","",IF(Data!$G92="",1,IF(ISNUMBER(MATCH(Data!#REF!,Data_Val!$D$2:$D$10,0)),0,1)))</f>
        <v>#REF!</v>
      </c>
      <c r="AF92" s="12"/>
      <c r="AG92" s="12" t="e">
        <f>IF(Data!#REF!="","",IF(ISNUMBER(MATCH(Data!#REF!,Data_Val!$A$2:$A$3,0)),0,1))</f>
        <v>#REF!</v>
      </c>
      <c r="AH92" s="26" t="e">
        <f ca="1">IF(Data!#REF!="","",IF(ISNUMBER(Data!#REF!),IF(AND(Data!#REF!&gt;(TODAY()-(Data_Val!$L$3*365.25)),Data!#REF!&lt;=(TODAY()-(Data_Val!$L$2*365.25))),0,1),1))</f>
        <v>#REF!</v>
      </c>
      <c r="AI92" s="12" t="e">
        <f>IF(Data!#REF!="","",IF(Data!$G92="",1,IF(ISNUMBER(MATCH(Data!#REF!,Data_Val!$D$2:$D$10,0)),0,1)))</f>
        <v>#REF!</v>
      </c>
      <c r="AJ92" s="17"/>
      <c r="AK92" s="17" t="e">
        <f>IF(Data!#REF!="","",IF(ISNUMBER(MATCH(Data!#REF!,Data_Val!$A$2:$A$3,0)),0,1))</f>
        <v>#REF!</v>
      </c>
      <c r="AL92" s="25" t="e">
        <f ca="1">IF(Data!#REF!="","",IF(ISNUMBER(Data!#REF!),IF(AND(Data!#REF!&gt;(TODAY()-(Data_Val!$L$3*365.25)),Data!#REF!&lt;=(TODAY()-(Data_Val!$L$2*365.25))),0,1),1))</f>
        <v>#REF!</v>
      </c>
      <c r="AM92" s="17" t="e">
        <f>IF(Data!#REF!="","",IF(Data!$G92="",1,IF(ISNUMBER(MATCH(Data!#REF!,Data_Val!$D$2:$D$10,0)),0,1)))</f>
        <v>#REF!</v>
      </c>
      <c r="AN92" s="13"/>
      <c r="AO92" s="28" t="e">
        <f ca="1">IF(Data!#REF!="","",IF(ISNUMBER(Data!#REF!),IF(AND(Data!#REF!&gt;(TODAY()-(Data_Val!$I$3*365.25)),Data!#REF!&lt;=(TODAY()-(Data_Val!$I$2*365.25))),0,1),1))</f>
        <v>#REF!</v>
      </c>
      <c r="AP92" s="13" t="e">
        <f>IF(Data!#REF!="","",IF(Data!$G92="",1,IF(ISNUMBER(MATCH(Data!#REF!,Data_Val!$D$2:$D$10,0)),0,1)))</f>
        <v>#REF!</v>
      </c>
      <c r="AQ92" s="17"/>
      <c r="AR92" s="30" t="e">
        <f ca="1">IF(Data!#REF!="","",IF(ISNUMBER(Data!#REF!),IF(AND(Data!#REF!&gt;(TODAY()-(Data_Val!$I$3*365.25)),Data!#REF!&lt;=(TODAY()-(Data_Val!$I$2*365.25))),0,1),1))</f>
        <v>#REF!</v>
      </c>
      <c r="AS92" s="31" t="e">
        <f>IF(Data!#REF!="","",IF(Data!$G92="",1,IF(ISNUMBER(MATCH(Data!#REF!,Data_Val!$D$2:$D$10,0)),0,1)))</f>
        <v>#REF!</v>
      </c>
      <c r="AT92" s="11"/>
      <c r="AU92" s="11" t="e">
        <f ca="1">IF(Data!#REF!="","",IF(ISNUMBER(Data!#REF!),IF(AND(Data!#REF!&gt;(TODAY()-(Data_Val!$I$3*365.25)),Data!#REF!&lt;=(TODAY()-(Data_Val!$I$2*365.25))),0,1),1))</f>
        <v>#REF!</v>
      </c>
      <c r="AV92" s="11" t="e">
        <f>IF(Data!#REF!="","",IF(Data!$G92="",1,IF(ISNUMBER(MATCH(Data!#REF!,Data_Val!$D$2:$D$10,0)),0,1)))</f>
        <v>#REF!</v>
      </c>
      <c r="AW92" s="12"/>
      <c r="AX92" s="26" t="e">
        <f ca="1">IF(Data!#REF!="","",IF(ISNUMBER(Data!#REF!),IF(AND(Data!#REF!&gt;(TODAY()-(Data_Val!$I$3*365.25)),Data!#REF!&lt;=(TODAY()-(Data_Val!$I$2*365.25))),0,1),1))</f>
        <v>#REF!</v>
      </c>
      <c r="AY92" s="12" t="e">
        <f>IF(Data!#REF!="","",IF(Data!$G92="",1,IF(ISNUMBER(MATCH(Data!#REF!,Data_Val!$D$2:$D$10,0)),0,1)))</f>
        <v>#REF!</v>
      </c>
      <c r="AZ92" s="11"/>
      <c r="BA92" s="19" t="e">
        <f ca="1">IF(Data!#REF!="","",IF(ISNUMBER(Data!#REF!),IF(AND(Data!#REF!&gt;(TODAY()-(Data_Val!$M$3*365.25)),Data!#REF!&lt;=(TODAY()-(Data_Val!$M$2*365.25))),0,1),1))</f>
        <v>#REF!</v>
      </c>
      <c r="BB92" s="11" t="e">
        <f>IF(Data!#REF!="","",IF(Data!$G92="",1,IF(ISNUMBER(MATCH(Data!#REF!,Data_Val!$D$2:$D$10,0)),0,1)))</f>
        <v>#REF!</v>
      </c>
      <c r="BC92" s="12"/>
      <c r="BD92" s="20" t="e">
        <f ca="1">IF(Data!#REF!="","",IF(ISNUMBER(Data!#REF!),IF(AND(Data!#REF!&gt;(TODAY()-(Data_Val!$M$3*365.25)),Data!#REF!&lt;=(TODAY()-(Data_Val!$M$2*365.25))),0,1),1))</f>
        <v>#REF!</v>
      </c>
      <c r="BE92" s="12" t="e">
        <f>IF(Data!#REF!="","",IF(Data!$G92="",1,IF(ISNUMBER(MATCH(Data!#REF!,Data_Val!$D$2:$D$10,0)),0,1)))</f>
        <v>#REF!</v>
      </c>
      <c r="BF92" s="17"/>
      <c r="BG92" s="18" t="e">
        <f ca="1">IF(Data!#REF!="","",IF(ISNUMBER(Data!#REF!),IF(AND(Data!#REF!&gt;(TODAY()-(Data_Val!$M$3*365.25)),Data!#REF!&lt;=(TODAY()-(Data_Val!$M$2*365.25))),0,1),1))</f>
        <v>#REF!</v>
      </c>
      <c r="BH92" s="29" t="e">
        <f>IF(Data!#REF!="","",IF(Data!$G92="",1,IF(ISNUMBER(MATCH(Data!#REF!,Data_Val!$D$2:$D$10,0)),0,1)))</f>
        <v>#REF!</v>
      </c>
      <c r="BI92" s="13"/>
      <c r="BJ92" s="21" t="e">
        <f ca="1">IF(Data!#REF!="","",IF(ISNUMBER(Data!#REF!),IF(AND(Data!#REF!&gt;(TODAY()-(Data_Val!$M$3*365.25)),Data!#REF!&lt;=(TODAY()-(Data_Val!$M$2*365.25))),0,1),1))</f>
        <v>#REF!</v>
      </c>
      <c r="BK92" s="13" t="e">
        <f>IF(Data!#REF!="","",IF(Data!$G92="",1,IF(ISNUMBER(MATCH(Data!#REF!,Data_Val!$D$2:$D$10,0)),0,1)))</f>
        <v>#REF!</v>
      </c>
    </row>
    <row r="93" spans="1:63" x14ac:dyDescent="0.25">
      <c r="A93" s="9" t="str">
        <f>IF(Data!B93="","",IF(COUNTIFS(Data!A$1:'Data'!A93,Data!A93)&lt;=1,0,1))</f>
        <v/>
      </c>
      <c r="B93" s="9"/>
      <c r="C93" s="23" t="str">
        <f>IF(Data!C93="","",(IF(ISNUMBER(MATCH("*@*.?*",Data!C93,0)),0,1)+IF(COUNTIFS(Data!C$1:'Data'!C93,Data!C93)&gt;1,1,0)))</f>
        <v/>
      </c>
      <c r="D93" s="9" t="str">
        <f>IF(Data!B93="","",IF(ISNUMBER(Data!D93),IF(AND(Data!D93&gt;999999999,Data!D93&lt;=9999999999),IF(COUNTIFS(Data!D$1:'Data'!D93,Data!D93)&lt;=1,0,1),1),1))</f>
        <v/>
      </c>
      <c r="E93" s="9" t="str">
        <f>IF(Data!B93="","",IF(ISNUMBER(MATCH(Data!E93,Data_Val!$A$2:$A$3,0)),0,1))</f>
        <v/>
      </c>
      <c r="F93" s="9" t="str">
        <f ca="1">IF(Data!B93="","",IF(ISNUMBER(Data!F93),IF(AND(Data!F93&gt;(TODAY()-(Data_Val!$H$3*365.25)),Data!F93&lt;=(TODAY()-(Data_Val!$H$2*365.25))),0,1),1))</f>
        <v/>
      </c>
      <c r="G93" s="15" t="str">
        <f>IF(Data!B93="","",IF(AND(Data!G93="",Data!H93&lt;&gt;""),1,IF(Data!#REF!&lt;&gt;"",0,IF(ISNUMBER(MATCH(Data!G93,Data_Val!$C$2:$C$5,0)),0,1))))</f>
        <v/>
      </c>
      <c r="H93" s="15" t="str">
        <f>IF(Data!B93="","",IF(AND(Data!G93&lt;&gt;"",Data!H93=""),1,IF(Data!#REF!&lt;&gt;"",0,IF(Data!G93="",1,IF(ISNUMBER(MATCH(Data!H93,Data_Val!$D$2:$D$35,0)),0,1)))))</f>
        <v/>
      </c>
      <c r="I93" s="15" t="str">
        <f>IF(Data!B93="","",IF(Data!G93&lt;&gt;"",0,IF(ISNUMBER(MATCH(Data!#REF!,Data_Val!$E$2:$E$12,0)),0,1)))</f>
        <v/>
      </c>
      <c r="J93" s="16" t="e">
        <f>IF(OR(Data!B93="",Data!#REF!=""),"",IF(Data!#REF!="",1,0))</f>
        <v>#REF!</v>
      </c>
      <c r="K93" s="16" t="e">
        <f>IF(OR(Data!B93="",Data!#REF!=""),"",IF(Data!#REF!="",1,0))</f>
        <v>#REF!</v>
      </c>
      <c r="L93" s="16" t="e">
        <f>IF(OR(Data!B93="",Data!#REF!=""),"",IF(ISNUMBER(Data!#REF!),IF(AND(Data!#REF!&gt;Data_Val!$G$2,Data!#REF!&lt;=Data_Val!$G$3),0,1),1))</f>
        <v>#REF!</v>
      </c>
      <c r="M93" s="9" t="e">
        <f>IF(OR(Data!B93="",Data!#REF!=""),"",IF(ISNUMBER(MATCH(Data!#REF!,Data_Val!$F$1:$F$38,0)),0,1))</f>
        <v>#REF!</v>
      </c>
      <c r="N93" s="9" t="e">
        <f>IF(OR(Data!B93="",Data!#REF!=""),"",IF(Data!#REF!="",1,0))</f>
        <v>#REF!</v>
      </c>
      <c r="O93" s="17" t="e">
        <f>IF(Data!#REF!="","",IF(Data!#REF!="",1,0))</f>
        <v>#REF!</v>
      </c>
      <c r="P93" s="17" t="e">
        <f>IF(Data!#REF!="","",IF(ISNUMBER(MATCH(Data!#REF!,Data_Val!$A$2:$A$3,0)),0,1))</f>
        <v>#REF!</v>
      </c>
      <c r="Q93" s="25" t="e">
        <f ca="1">IF(Data!#REF!="","",IF(ISNUMBER(Data!#REF!),IF(AND(Data!#REF!&gt;(TODAY()-(Data_Val!$J$3*365.25)),Data!#REF!&lt;=(TODAY()-(Data_Val!$J$2*365.25))),0,1),1))</f>
        <v>#REF!</v>
      </c>
      <c r="R93" s="17" t="e">
        <f>IF(Data!#REF!="","",IF(ISNUMBER(MATCH(Data!#REF!,Data_Val!$B$2:$B$15,0)),0,1))</f>
        <v>#REF!</v>
      </c>
      <c r="S93" s="11" t="str">
        <f>IF(Data!G93="","",IF(Data!G93=Data_Val!$C$2,IF(Data!M93="",0,1),0))</f>
        <v/>
      </c>
      <c r="T93" s="11" t="str">
        <f>IF(Data!M93="","",IF(ISNUMBER(MATCH(Data!N93,Data_Val!$A$2:$A$3,0)),0,1))</f>
        <v/>
      </c>
      <c r="U93" s="11" t="str">
        <f ca="1">IF(Data!M93="","",IF(ISNUMBER(Data!O93),IF(AND(Data!O93&gt;(TODAY()-(Data_Val!$K$3*365.25)),Data!O93&lt;=(TODAY()-(Data_Val!$K$2*365.25))),0,1),1))</f>
        <v/>
      </c>
      <c r="V93" s="12" t="str">
        <f>IF(Data!G93="","",IF(Data!G93=Data_Val!$C$2,IF(Data!P93="",0,1),0))</f>
        <v/>
      </c>
      <c r="W93" s="12" t="str">
        <f>IF(Data!P93="","",IF(ISNUMBER(MATCH(Data!Q93,Data_Val!$A$2:$A$3,0)),0,1))</f>
        <v/>
      </c>
      <c r="X93" s="26" t="str">
        <f ca="1">IF(Data!P93="","",IF(ISNUMBER(Data!R93),IF(AND(Data!R93&gt;(TODAY()-(Data_Val!$L$3*365.25)),Data!R93&lt;=(TODAY()-(Data_Val!$L$2*365.25))),0,1),1))</f>
        <v/>
      </c>
      <c r="Y93" s="13" t="str">
        <f>IF(Data!$G93="","",IF(Data!$G93=Data_Val!$C$2,IF(Data!S93="",0,1),0))</f>
        <v/>
      </c>
      <c r="Z93" s="13" t="str">
        <f>IF(Data!S93="","",IF(ISNUMBER(MATCH(Data!T93,Data_Val!$A$2:$A$3,0)),0,1))</f>
        <v/>
      </c>
      <c r="AA93" s="28" t="str">
        <f ca="1">IF(Data!S93="","",IF(ISNUMBER(Data!U93),IF(AND(Data!U93&gt;(TODAY()-(Data_Val!$L$3*365.25)),Data!U93&lt;=(TODAY()-(Data_Val!$L$2*365.25))),0,1),1))</f>
        <v/>
      </c>
      <c r="AB93" s="11"/>
      <c r="AC93" s="11" t="e">
        <f>IF(Data!#REF!="","",IF(ISNUMBER(MATCH(Data!#REF!,Data_Val!$A$2:$A$3,0)),0,1))</f>
        <v>#REF!</v>
      </c>
      <c r="AD93" s="11" t="e">
        <f ca="1">IF(Data!#REF!="","",IF(ISNUMBER(Data!#REF!),IF(AND(Data!#REF!&gt;(TODAY()-(Data_Val!$L$3*365.25)),Data!#REF!&lt;=(TODAY()-(Data_Val!$L$2*365.25))),0,1),1))</f>
        <v>#REF!</v>
      </c>
      <c r="AE93" s="11" t="e">
        <f>IF(Data!#REF!="","",IF(Data!$G93="",1,IF(ISNUMBER(MATCH(Data!#REF!,Data_Val!$D$2:$D$10,0)),0,1)))</f>
        <v>#REF!</v>
      </c>
      <c r="AF93" s="12"/>
      <c r="AG93" s="12" t="e">
        <f>IF(Data!#REF!="","",IF(ISNUMBER(MATCH(Data!#REF!,Data_Val!$A$2:$A$3,0)),0,1))</f>
        <v>#REF!</v>
      </c>
      <c r="AH93" s="26" t="e">
        <f ca="1">IF(Data!#REF!="","",IF(ISNUMBER(Data!#REF!),IF(AND(Data!#REF!&gt;(TODAY()-(Data_Val!$L$3*365.25)),Data!#REF!&lt;=(TODAY()-(Data_Val!$L$2*365.25))),0,1),1))</f>
        <v>#REF!</v>
      </c>
      <c r="AI93" s="12" t="e">
        <f>IF(Data!#REF!="","",IF(Data!$G93="",1,IF(ISNUMBER(MATCH(Data!#REF!,Data_Val!$D$2:$D$10,0)),0,1)))</f>
        <v>#REF!</v>
      </c>
      <c r="AJ93" s="17"/>
      <c r="AK93" s="17" t="e">
        <f>IF(Data!#REF!="","",IF(ISNUMBER(MATCH(Data!#REF!,Data_Val!$A$2:$A$3,0)),0,1))</f>
        <v>#REF!</v>
      </c>
      <c r="AL93" s="25" t="e">
        <f ca="1">IF(Data!#REF!="","",IF(ISNUMBER(Data!#REF!),IF(AND(Data!#REF!&gt;(TODAY()-(Data_Val!$L$3*365.25)),Data!#REF!&lt;=(TODAY()-(Data_Val!$L$2*365.25))),0,1),1))</f>
        <v>#REF!</v>
      </c>
      <c r="AM93" s="17" t="e">
        <f>IF(Data!#REF!="","",IF(Data!$G93="",1,IF(ISNUMBER(MATCH(Data!#REF!,Data_Val!$D$2:$D$10,0)),0,1)))</f>
        <v>#REF!</v>
      </c>
      <c r="AN93" s="13"/>
      <c r="AO93" s="28" t="e">
        <f ca="1">IF(Data!#REF!="","",IF(ISNUMBER(Data!#REF!),IF(AND(Data!#REF!&gt;(TODAY()-(Data_Val!$I$3*365.25)),Data!#REF!&lt;=(TODAY()-(Data_Val!$I$2*365.25))),0,1),1))</f>
        <v>#REF!</v>
      </c>
      <c r="AP93" s="13" t="e">
        <f>IF(Data!#REF!="","",IF(Data!$G93="",1,IF(ISNUMBER(MATCH(Data!#REF!,Data_Val!$D$2:$D$10,0)),0,1)))</f>
        <v>#REF!</v>
      </c>
      <c r="AQ93" s="17"/>
      <c r="AR93" s="30" t="e">
        <f ca="1">IF(Data!#REF!="","",IF(ISNUMBER(Data!#REF!),IF(AND(Data!#REF!&gt;(TODAY()-(Data_Val!$I$3*365.25)),Data!#REF!&lt;=(TODAY()-(Data_Val!$I$2*365.25))),0,1),1))</f>
        <v>#REF!</v>
      </c>
      <c r="AS93" s="31" t="e">
        <f>IF(Data!#REF!="","",IF(Data!$G93="",1,IF(ISNUMBER(MATCH(Data!#REF!,Data_Val!$D$2:$D$10,0)),0,1)))</f>
        <v>#REF!</v>
      </c>
      <c r="AT93" s="11"/>
      <c r="AU93" s="11" t="e">
        <f ca="1">IF(Data!#REF!="","",IF(ISNUMBER(Data!#REF!),IF(AND(Data!#REF!&gt;(TODAY()-(Data_Val!$I$3*365.25)),Data!#REF!&lt;=(TODAY()-(Data_Val!$I$2*365.25))),0,1),1))</f>
        <v>#REF!</v>
      </c>
      <c r="AV93" s="11" t="e">
        <f>IF(Data!#REF!="","",IF(Data!$G93="",1,IF(ISNUMBER(MATCH(Data!#REF!,Data_Val!$D$2:$D$10,0)),0,1)))</f>
        <v>#REF!</v>
      </c>
      <c r="AW93" s="12"/>
      <c r="AX93" s="26" t="e">
        <f ca="1">IF(Data!#REF!="","",IF(ISNUMBER(Data!#REF!),IF(AND(Data!#REF!&gt;(TODAY()-(Data_Val!$I$3*365.25)),Data!#REF!&lt;=(TODAY()-(Data_Val!$I$2*365.25))),0,1),1))</f>
        <v>#REF!</v>
      </c>
      <c r="AY93" s="12" t="e">
        <f>IF(Data!#REF!="","",IF(Data!$G93="",1,IF(ISNUMBER(MATCH(Data!#REF!,Data_Val!$D$2:$D$10,0)),0,1)))</f>
        <v>#REF!</v>
      </c>
      <c r="AZ93" s="11"/>
      <c r="BA93" s="19" t="e">
        <f ca="1">IF(Data!#REF!="","",IF(ISNUMBER(Data!#REF!),IF(AND(Data!#REF!&gt;(TODAY()-(Data_Val!$M$3*365.25)),Data!#REF!&lt;=(TODAY()-(Data_Val!$M$2*365.25))),0,1),1))</f>
        <v>#REF!</v>
      </c>
      <c r="BB93" s="11" t="e">
        <f>IF(Data!#REF!="","",IF(Data!$G93="",1,IF(ISNUMBER(MATCH(Data!#REF!,Data_Val!$D$2:$D$10,0)),0,1)))</f>
        <v>#REF!</v>
      </c>
      <c r="BC93" s="12"/>
      <c r="BD93" s="20" t="e">
        <f ca="1">IF(Data!#REF!="","",IF(ISNUMBER(Data!#REF!),IF(AND(Data!#REF!&gt;(TODAY()-(Data_Val!$M$3*365.25)),Data!#REF!&lt;=(TODAY()-(Data_Val!$M$2*365.25))),0,1),1))</f>
        <v>#REF!</v>
      </c>
      <c r="BE93" s="12" t="e">
        <f>IF(Data!#REF!="","",IF(Data!$G93="",1,IF(ISNUMBER(MATCH(Data!#REF!,Data_Val!$D$2:$D$10,0)),0,1)))</f>
        <v>#REF!</v>
      </c>
      <c r="BF93" s="17"/>
      <c r="BG93" s="18" t="e">
        <f ca="1">IF(Data!#REF!="","",IF(ISNUMBER(Data!#REF!),IF(AND(Data!#REF!&gt;(TODAY()-(Data_Val!$M$3*365.25)),Data!#REF!&lt;=(TODAY()-(Data_Val!$M$2*365.25))),0,1),1))</f>
        <v>#REF!</v>
      </c>
      <c r="BH93" s="29" t="e">
        <f>IF(Data!#REF!="","",IF(Data!$G93="",1,IF(ISNUMBER(MATCH(Data!#REF!,Data_Val!$D$2:$D$10,0)),0,1)))</f>
        <v>#REF!</v>
      </c>
      <c r="BI93" s="13"/>
      <c r="BJ93" s="21" t="e">
        <f ca="1">IF(Data!#REF!="","",IF(ISNUMBER(Data!#REF!),IF(AND(Data!#REF!&gt;(TODAY()-(Data_Val!$M$3*365.25)),Data!#REF!&lt;=(TODAY()-(Data_Val!$M$2*365.25))),0,1),1))</f>
        <v>#REF!</v>
      </c>
      <c r="BK93" s="13" t="e">
        <f>IF(Data!#REF!="","",IF(Data!$G93="",1,IF(ISNUMBER(MATCH(Data!#REF!,Data_Val!$D$2:$D$10,0)),0,1)))</f>
        <v>#REF!</v>
      </c>
    </row>
    <row r="94" spans="1:63" x14ac:dyDescent="0.25">
      <c r="A94" s="9" t="str">
        <f>IF(Data!B94="","",IF(COUNTIFS(Data!A$1:'Data'!A94,Data!A94)&lt;=1,0,1))</f>
        <v/>
      </c>
      <c r="B94" s="9"/>
      <c r="C94" s="23" t="str">
        <f>IF(Data!C94="","",(IF(ISNUMBER(MATCH("*@*.?*",Data!C94,0)),0,1)+IF(COUNTIFS(Data!C$1:'Data'!C94,Data!C94)&gt;1,1,0)))</f>
        <v/>
      </c>
      <c r="D94" s="9" t="str">
        <f>IF(Data!B94="","",IF(ISNUMBER(Data!D94),IF(AND(Data!D94&gt;999999999,Data!D94&lt;=9999999999),IF(COUNTIFS(Data!D$1:'Data'!D94,Data!D94)&lt;=1,0,1),1),1))</f>
        <v/>
      </c>
      <c r="E94" s="9" t="str">
        <f>IF(Data!B94="","",IF(ISNUMBER(MATCH(Data!E94,Data_Val!$A$2:$A$3,0)),0,1))</f>
        <v/>
      </c>
      <c r="F94" s="9" t="str">
        <f ca="1">IF(Data!B94="","",IF(ISNUMBER(Data!F94),IF(AND(Data!F94&gt;(TODAY()-(Data_Val!$H$3*365.25)),Data!F94&lt;=(TODAY()-(Data_Val!$H$2*365.25))),0,1),1))</f>
        <v/>
      </c>
      <c r="G94" s="15" t="str">
        <f>IF(Data!B94="","",IF(AND(Data!G94="",Data!H94&lt;&gt;""),1,IF(Data!#REF!&lt;&gt;"",0,IF(ISNUMBER(MATCH(Data!G94,Data_Val!$C$2:$C$5,0)),0,1))))</f>
        <v/>
      </c>
      <c r="H94" s="15" t="str">
        <f>IF(Data!B94="","",IF(AND(Data!G94&lt;&gt;"",Data!H94=""),1,IF(Data!#REF!&lt;&gt;"",0,IF(Data!G94="",1,IF(ISNUMBER(MATCH(Data!H94,Data_Val!$D$2:$D$35,0)),0,1)))))</f>
        <v/>
      </c>
      <c r="I94" s="15" t="str">
        <f>IF(Data!B94="","",IF(Data!G94&lt;&gt;"",0,IF(ISNUMBER(MATCH(Data!#REF!,Data_Val!$E$2:$E$12,0)),0,1)))</f>
        <v/>
      </c>
      <c r="J94" s="16" t="e">
        <f>IF(OR(Data!B94="",Data!#REF!=""),"",IF(Data!#REF!="",1,0))</f>
        <v>#REF!</v>
      </c>
      <c r="K94" s="16" t="e">
        <f>IF(OR(Data!B94="",Data!#REF!=""),"",IF(Data!#REF!="",1,0))</f>
        <v>#REF!</v>
      </c>
      <c r="L94" s="16" t="e">
        <f>IF(OR(Data!B94="",Data!#REF!=""),"",IF(ISNUMBER(Data!#REF!),IF(AND(Data!#REF!&gt;Data_Val!$G$2,Data!#REF!&lt;=Data_Val!$G$3),0,1),1))</f>
        <v>#REF!</v>
      </c>
      <c r="M94" s="9" t="e">
        <f>IF(OR(Data!B94="",Data!#REF!=""),"",IF(ISNUMBER(MATCH(Data!#REF!,Data_Val!$F$1:$F$38,0)),0,1))</f>
        <v>#REF!</v>
      </c>
      <c r="N94" s="9" t="e">
        <f>IF(OR(Data!B94="",Data!#REF!=""),"",IF(Data!#REF!="",1,0))</f>
        <v>#REF!</v>
      </c>
      <c r="O94" s="17" t="e">
        <f>IF(Data!#REF!="","",IF(Data!#REF!="",1,0))</f>
        <v>#REF!</v>
      </c>
      <c r="P94" s="17" t="e">
        <f>IF(Data!#REF!="","",IF(ISNUMBER(MATCH(Data!#REF!,Data_Val!$A$2:$A$3,0)),0,1))</f>
        <v>#REF!</v>
      </c>
      <c r="Q94" s="25" t="e">
        <f ca="1">IF(Data!#REF!="","",IF(ISNUMBER(Data!#REF!),IF(AND(Data!#REF!&gt;(TODAY()-(Data_Val!$J$3*365.25)),Data!#REF!&lt;=(TODAY()-(Data_Val!$J$2*365.25))),0,1),1))</f>
        <v>#REF!</v>
      </c>
      <c r="R94" s="17" t="e">
        <f>IF(Data!#REF!="","",IF(ISNUMBER(MATCH(Data!#REF!,Data_Val!$B$2:$B$15,0)),0,1))</f>
        <v>#REF!</v>
      </c>
      <c r="S94" s="11" t="str">
        <f>IF(Data!G94="","",IF(Data!G94=Data_Val!$C$2,IF(Data!M94="",0,1),0))</f>
        <v/>
      </c>
      <c r="T94" s="11" t="str">
        <f>IF(Data!M94="","",IF(ISNUMBER(MATCH(Data!N94,Data_Val!$A$2:$A$3,0)),0,1))</f>
        <v/>
      </c>
      <c r="U94" s="11" t="str">
        <f ca="1">IF(Data!M94="","",IF(ISNUMBER(Data!O94),IF(AND(Data!O94&gt;(TODAY()-(Data_Val!$K$3*365.25)),Data!O94&lt;=(TODAY()-(Data_Val!$K$2*365.25))),0,1),1))</f>
        <v/>
      </c>
      <c r="V94" s="12" t="str">
        <f>IF(Data!G94="","",IF(Data!G94=Data_Val!$C$2,IF(Data!P94="",0,1),0))</f>
        <v/>
      </c>
      <c r="W94" s="12" t="str">
        <f>IF(Data!P94="","",IF(ISNUMBER(MATCH(Data!Q94,Data_Val!$A$2:$A$3,0)),0,1))</f>
        <v/>
      </c>
      <c r="X94" s="26" t="str">
        <f ca="1">IF(Data!P94="","",IF(ISNUMBER(Data!R94),IF(AND(Data!R94&gt;(TODAY()-(Data_Val!$L$3*365.25)),Data!R94&lt;=(TODAY()-(Data_Val!$L$2*365.25))),0,1),1))</f>
        <v/>
      </c>
      <c r="Y94" s="13" t="str">
        <f>IF(Data!$G94="","",IF(Data!$G94=Data_Val!$C$2,IF(Data!S94="",0,1),0))</f>
        <v/>
      </c>
      <c r="Z94" s="13" t="str">
        <f>IF(Data!S94="","",IF(ISNUMBER(MATCH(Data!T94,Data_Val!$A$2:$A$3,0)),0,1))</f>
        <v/>
      </c>
      <c r="AA94" s="28" t="str">
        <f ca="1">IF(Data!S94="","",IF(ISNUMBER(Data!U94),IF(AND(Data!U94&gt;(TODAY()-(Data_Val!$L$3*365.25)),Data!U94&lt;=(TODAY()-(Data_Val!$L$2*365.25))),0,1),1))</f>
        <v/>
      </c>
      <c r="AB94" s="11"/>
      <c r="AC94" s="11" t="e">
        <f>IF(Data!#REF!="","",IF(ISNUMBER(MATCH(Data!#REF!,Data_Val!$A$2:$A$3,0)),0,1))</f>
        <v>#REF!</v>
      </c>
      <c r="AD94" s="11" t="e">
        <f ca="1">IF(Data!#REF!="","",IF(ISNUMBER(Data!#REF!),IF(AND(Data!#REF!&gt;(TODAY()-(Data_Val!$L$3*365.25)),Data!#REF!&lt;=(TODAY()-(Data_Val!$L$2*365.25))),0,1),1))</f>
        <v>#REF!</v>
      </c>
      <c r="AE94" s="11" t="e">
        <f>IF(Data!#REF!="","",IF(Data!$G94="",1,IF(ISNUMBER(MATCH(Data!#REF!,Data_Val!$D$2:$D$10,0)),0,1)))</f>
        <v>#REF!</v>
      </c>
      <c r="AF94" s="12"/>
      <c r="AG94" s="12" t="e">
        <f>IF(Data!#REF!="","",IF(ISNUMBER(MATCH(Data!#REF!,Data_Val!$A$2:$A$3,0)),0,1))</f>
        <v>#REF!</v>
      </c>
      <c r="AH94" s="26" t="e">
        <f ca="1">IF(Data!#REF!="","",IF(ISNUMBER(Data!#REF!),IF(AND(Data!#REF!&gt;(TODAY()-(Data_Val!$L$3*365.25)),Data!#REF!&lt;=(TODAY()-(Data_Val!$L$2*365.25))),0,1),1))</f>
        <v>#REF!</v>
      </c>
      <c r="AI94" s="12" t="e">
        <f>IF(Data!#REF!="","",IF(Data!$G94="",1,IF(ISNUMBER(MATCH(Data!#REF!,Data_Val!$D$2:$D$10,0)),0,1)))</f>
        <v>#REF!</v>
      </c>
      <c r="AJ94" s="17"/>
      <c r="AK94" s="17" t="e">
        <f>IF(Data!#REF!="","",IF(ISNUMBER(MATCH(Data!#REF!,Data_Val!$A$2:$A$3,0)),0,1))</f>
        <v>#REF!</v>
      </c>
      <c r="AL94" s="25" t="e">
        <f ca="1">IF(Data!#REF!="","",IF(ISNUMBER(Data!#REF!),IF(AND(Data!#REF!&gt;(TODAY()-(Data_Val!$L$3*365.25)),Data!#REF!&lt;=(TODAY()-(Data_Val!$L$2*365.25))),0,1),1))</f>
        <v>#REF!</v>
      </c>
      <c r="AM94" s="17" t="e">
        <f>IF(Data!#REF!="","",IF(Data!$G94="",1,IF(ISNUMBER(MATCH(Data!#REF!,Data_Val!$D$2:$D$10,0)),0,1)))</f>
        <v>#REF!</v>
      </c>
      <c r="AN94" s="13"/>
      <c r="AO94" s="28" t="e">
        <f ca="1">IF(Data!#REF!="","",IF(ISNUMBER(Data!#REF!),IF(AND(Data!#REF!&gt;(TODAY()-(Data_Val!$I$3*365.25)),Data!#REF!&lt;=(TODAY()-(Data_Val!$I$2*365.25))),0,1),1))</f>
        <v>#REF!</v>
      </c>
      <c r="AP94" s="13" t="e">
        <f>IF(Data!#REF!="","",IF(Data!$G94="",1,IF(ISNUMBER(MATCH(Data!#REF!,Data_Val!$D$2:$D$10,0)),0,1)))</f>
        <v>#REF!</v>
      </c>
      <c r="AQ94" s="17"/>
      <c r="AR94" s="30" t="e">
        <f ca="1">IF(Data!#REF!="","",IF(ISNUMBER(Data!#REF!),IF(AND(Data!#REF!&gt;(TODAY()-(Data_Val!$I$3*365.25)),Data!#REF!&lt;=(TODAY()-(Data_Val!$I$2*365.25))),0,1),1))</f>
        <v>#REF!</v>
      </c>
      <c r="AS94" s="31" t="e">
        <f>IF(Data!#REF!="","",IF(Data!$G94="",1,IF(ISNUMBER(MATCH(Data!#REF!,Data_Val!$D$2:$D$10,0)),0,1)))</f>
        <v>#REF!</v>
      </c>
      <c r="AT94" s="11"/>
      <c r="AU94" s="11" t="e">
        <f ca="1">IF(Data!#REF!="","",IF(ISNUMBER(Data!#REF!),IF(AND(Data!#REF!&gt;(TODAY()-(Data_Val!$I$3*365.25)),Data!#REF!&lt;=(TODAY()-(Data_Val!$I$2*365.25))),0,1),1))</f>
        <v>#REF!</v>
      </c>
      <c r="AV94" s="11" t="e">
        <f>IF(Data!#REF!="","",IF(Data!$G94="",1,IF(ISNUMBER(MATCH(Data!#REF!,Data_Val!$D$2:$D$10,0)),0,1)))</f>
        <v>#REF!</v>
      </c>
      <c r="AW94" s="12"/>
      <c r="AX94" s="26" t="e">
        <f ca="1">IF(Data!#REF!="","",IF(ISNUMBER(Data!#REF!),IF(AND(Data!#REF!&gt;(TODAY()-(Data_Val!$I$3*365.25)),Data!#REF!&lt;=(TODAY()-(Data_Val!$I$2*365.25))),0,1),1))</f>
        <v>#REF!</v>
      </c>
      <c r="AY94" s="12" t="e">
        <f>IF(Data!#REF!="","",IF(Data!$G94="",1,IF(ISNUMBER(MATCH(Data!#REF!,Data_Val!$D$2:$D$10,0)),0,1)))</f>
        <v>#REF!</v>
      </c>
      <c r="AZ94" s="11"/>
      <c r="BA94" s="19" t="e">
        <f ca="1">IF(Data!#REF!="","",IF(ISNUMBER(Data!#REF!),IF(AND(Data!#REF!&gt;(TODAY()-(Data_Val!$M$3*365.25)),Data!#REF!&lt;=(TODAY()-(Data_Val!$M$2*365.25))),0,1),1))</f>
        <v>#REF!</v>
      </c>
      <c r="BB94" s="11" t="e">
        <f>IF(Data!#REF!="","",IF(Data!$G94="",1,IF(ISNUMBER(MATCH(Data!#REF!,Data_Val!$D$2:$D$10,0)),0,1)))</f>
        <v>#REF!</v>
      </c>
      <c r="BC94" s="12"/>
      <c r="BD94" s="20" t="e">
        <f ca="1">IF(Data!#REF!="","",IF(ISNUMBER(Data!#REF!),IF(AND(Data!#REF!&gt;(TODAY()-(Data_Val!$M$3*365.25)),Data!#REF!&lt;=(TODAY()-(Data_Val!$M$2*365.25))),0,1),1))</f>
        <v>#REF!</v>
      </c>
      <c r="BE94" s="12" t="e">
        <f>IF(Data!#REF!="","",IF(Data!$G94="",1,IF(ISNUMBER(MATCH(Data!#REF!,Data_Val!$D$2:$D$10,0)),0,1)))</f>
        <v>#REF!</v>
      </c>
      <c r="BF94" s="17"/>
      <c r="BG94" s="18" t="e">
        <f ca="1">IF(Data!#REF!="","",IF(ISNUMBER(Data!#REF!),IF(AND(Data!#REF!&gt;(TODAY()-(Data_Val!$M$3*365.25)),Data!#REF!&lt;=(TODAY()-(Data_Val!$M$2*365.25))),0,1),1))</f>
        <v>#REF!</v>
      </c>
      <c r="BH94" s="29" t="e">
        <f>IF(Data!#REF!="","",IF(Data!$G94="",1,IF(ISNUMBER(MATCH(Data!#REF!,Data_Val!$D$2:$D$10,0)),0,1)))</f>
        <v>#REF!</v>
      </c>
      <c r="BI94" s="13"/>
      <c r="BJ94" s="21" t="e">
        <f ca="1">IF(Data!#REF!="","",IF(ISNUMBER(Data!#REF!),IF(AND(Data!#REF!&gt;(TODAY()-(Data_Val!$M$3*365.25)),Data!#REF!&lt;=(TODAY()-(Data_Val!$M$2*365.25))),0,1),1))</f>
        <v>#REF!</v>
      </c>
      <c r="BK94" s="13" t="e">
        <f>IF(Data!#REF!="","",IF(Data!$G94="",1,IF(ISNUMBER(MATCH(Data!#REF!,Data_Val!$D$2:$D$10,0)),0,1)))</f>
        <v>#REF!</v>
      </c>
    </row>
    <row r="95" spans="1:63" x14ac:dyDescent="0.25">
      <c r="A95" s="9" t="str">
        <f>IF(Data!B95="","",IF(COUNTIFS(Data!A$1:'Data'!A95,Data!A95)&lt;=1,0,1))</f>
        <v/>
      </c>
      <c r="B95" s="9"/>
      <c r="C95" s="23" t="str">
        <f>IF(Data!C95="","",(IF(ISNUMBER(MATCH("*@*.?*",Data!C95,0)),0,1)+IF(COUNTIFS(Data!C$1:'Data'!C95,Data!C95)&gt;1,1,0)))</f>
        <v/>
      </c>
      <c r="D95" s="9" t="str">
        <f>IF(Data!B95="","",IF(ISNUMBER(Data!D95),IF(AND(Data!D95&gt;999999999,Data!D95&lt;=9999999999),IF(COUNTIFS(Data!D$1:'Data'!D95,Data!D95)&lt;=1,0,1),1),1))</f>
        <v/>
      </c>
      <c r="E95" s="9" t="str">
        <f>IF(Data!B95="","",IF(ISNUMBER(MATCH(Data!E95,Data_Val!$A$2:$A$3,0)),0,1))</f>
        <v/>
      </c>
      <c r="F95" s="9" t="str">
        <f ca="1">IF(Data!B95="","",IF(ISNUMBER(Data!F95),IF(AND(Data!F95&gt;(TODAY()-(Data_Val!$H$3*365.25)),Data!F95&lt;=(TODAY()-(Data_Val!$H$2*365.25))),0,1),1))</f>
        <v/>
      </c>
      <c r="G95" s="15" t="str">
        <f>IF(Data!B95="","",IF(AND(Data!G95="",Data!H95&lt;&gt;""),1,IF(Data!#REF!&lt;&gt;"",0,IF(ISNUMBER(MATCH(Data!G95,Data_Val!$C$2:$C$5,0)),0,1))))</f>
        <v/>
      </c>
      <c r="H95" s="15" t="str">
        <f>IF(Data!B95="","",IF(AND(Data!G95&lt;&gt;"",Data!H95=""),1,IF(Data!#REF!&lt;&gt;"",0,IF(Data!G95="",1,IF(ISNUMBER(MATCH(Data!H95,Data_Val!$D$2:$D$35,0)),0,1)))))</f>
        <v/>
      </c>
      <c r="I95" s="15" t="str">
        <f>IF(Data!B95="","",IF(Data!G95&lt;&gt;"",0,IF(ISNUMBER(MATCH(Data!#REF!,Data_Val!$E$2:$E$12,0)),0,1)))</f>
        <v/>
      </c>
      <c r="J95" s="16" t="e">
        <f>IF(OR(Data!B95="",Data!#REF!=""),"",IF(Data!#REF!="",1,0))</f>
        <v>#REF!</v>
      </c>
      <c r="K95" s="16" t="e">
        <f>IF(OR(Data!B95="",Data!#REF!=""),"",IF(Data!#REF!="",1,0))</f>
        <v>#REF!</v>
      </c>
      <c r="L95" s="16" t="e">
        <f>IF(OR(Data!B95="",Data!#REF!=""),"",IF(ISNUMBER(Data!#REF!),IF(AND(Data!#REF!&gt;Data_Val!$G$2,Data!#REF!&lt;=Data_Val!$G$3),0,1),1))</f>
        <v>#REF!</v>
      </c>
      <c r="M95" s="9" t="e">
        <f>IF(OR(Data!B95="",Data!#REF!=""),"",IF(ISNUMBER(MATCH(Data!#REF!,Data_Val!$F$1:$F$38,0)),0,1))</f>
        <v>#REF!</v>
      </c>
      <c r="N95" s="9" t="e">
        <f>IF(OR(Data!B95="",Data!#REF!=""),"",IF(Data!#REF!="",1,0))</f>
        <v>#REF!</v>
      </c>
      <c r="O95" s="17" t="e">
        <f>IF(Data!#REF!="","",IF(Data!#REF!="",1,0))</f>
        <v>#REF!</v>
      </c>
      <c r="P95" s="17" t="e">
        <f>IF(Data!#REF!="","",IF(ISNUMBER(MATCH(Data!#REF!,Data_Val!$A$2:$A$3,0)),0,1))</f>
        <v>#REF!</v>
      </c>
      <c r="Q95" s="25" t="e">
        <f ca="1">IF(Data!#REF!="","",IF(ISNUMBER(Data!#REF!),IF(AND(Data!#REF!&gt;(TODAY()-(Data_Val!$J$3*365.25)),Data!#REF!&lt;=(TODAY()-(Data_Val!$J$2*365.25))),0,1),1))</f>
        <v>#REF!</v>
      </c>
      <c r="R95" s="17" t="e">
        <f>IF(Data!#REF!="","",IF(ISNUMBER(MATCH(Data!#REF!,Data_Val!$B$2:$B$15,0)),0,1))</f>
        <v>#REF!</v>
      </c>
      <c r="S95" s="11" t="str">
        <f>IF(Data!G95="","",IF(Data!G95=Data_Val!$C$2,IF(Data!M95="",0,1),0))</f>
        <v/>
      </c>
      <c r="T95" s="11" t="str">
        <f>IF(Data!M95="","",IF(ISNUMBER(MATCH(Data!N95,Data_Val!$A$2:$A$3,0)),0,1))</f>
        <v/>
      </c>
      <c r="U95" s="11" t="str">
        <f ca="1">IF(Data!M95="","",IF(ISNUMBER(Data!O95),IF(AND(Data!O95&gt;(TODAY()-(Data_Val!$K$3*365.25)),Data!O95&lt;=(TODAY()-(Data_Val!$K$2*365.25))),0,1),1))</f>
        <v/>
      </c>
      <c r="V95" s="12" t="str">
        <f>IF(Data!G95="","",IF(Data!G95=Data_Val!$C$2,IF(Data!P95="",0,1),0))</f>
        <v/>
      </c>
      <c r="W95" s="12" t="str">
        <f>IF(Data!P95="","",IF(ISNUMBER(MATCH(Data!Q95,Data_Val!$A$2:$A$3,0)),0,1))</f>
        <v/>
      </c>
      <c r="X95" s="26" t="str">
        <f ca="1">IF(Data!P95="","",IF(ISNUMBER(Data!R95),IF(AND(Data!R95&gt;(TODAY()-(Data_Val!$L$3*365.25)),Data!R95&lt;=(TODAY()-(Data_Val!$L$2*365.25))),0,1),1))</f>
        <v/>
      </c>
      <c r="Y95" s="13" t="str">
        <f>IF(Data!$G95="","",IF(Data!$G95=Data_Val!$C$2,IF(Data!S95="",0,1),0))</f>
        <v/>
      </c>
      <c r="Z95" s="13" t="str">
        <f>IF(Data!S95="","",IF(ISNUMBER(MATCH(Data!T95,Data_Val!$A$2:$A$3,0)),0,1))</f>
        <v/>
      </c>
      <c r="AA95" s="28" t="str">
        <f ca="1">IF(Data!S95="","",IF(ISNUMBER(Data!U95),IF(AND(Data!U95&gt;(TODAY()-(Data_Val!$L$3*365.25)),Data!U95&lt;=(TODAY()-(Data_Val!$L$2*365.25))),0,1),1))</f>
        <v/>
      </c>
      <c r="AB95" s="11"/>
      <c r="AC95" s="11" t="e">
        <f>IF(Data!#REF!="","",IF(ISNUMBER(MATCH(Data!#REF!,Data_Val!$A$2:$A$3,0)),0,1))</f>
        <v>#REF!</v>
      </c>
      <c r="AD95" s="11" t="e">
        <f ca="1">IF(Data!#REF!="","",IF(ISNUMBER(Data!#REF!),IF(AND(Data!#REF!&gt;(TODAY()-(Data_Val!$L$3*365.25)),Data!#REF!&lt;=(TODAY()-(Data_Val!$L$2*365.25))),0,1),1))</f>
        <v>#REF!</v>
      </c>
      <c r="AE95" s="11" t="e">
        <f>IF(Data!#REF!="","",IF(Data!$G95="",1,IF(ISNUMBER(MATCH(Data!#REF!,Data_Val!$D$2:$D$10,0)),0,1)))</f>
        <v>#REF!</v>
      </c>
      <c r="AF95" s="12"/>
      <c r="AG95" s="12" t="e">
        <f>IF(Data!#REF!="","",IF(ISNUMBER(MATCH(Data!#REF!,Data_Val!$A$2:$A$3,0)),0,1))</f>
        <v>#REF!</v>
      </c>
      <c r="AH95" s="26" t="e">
        <f ca="1">IF(Data!#REF!="","",IF(ISNUMBER(Data!#REF!),IF(AND(Data!#REF!&gt;(TODAY()-(Data_Val!$L$3*365.25)),Data!#REF!&lt;=(TODAY()-(Data_Val!$L$2*365.25))),0,1),1))</f>
        <v>#REF!</v>
      </c>
      <c r="AI95" s="12" t="e">
        <f>IF(Data!#REF!="","",IF(Data!$G95="",1,IF(ISNUMBER(MATCH(Data!#REF!,Data_Val!$D$2:$D$10,0)),0,1)))</f>
        <v>#REF!</v>
      </c>
      <c r="AJ95" s="17"/>
      <c r="AK95" s="17" t="e">
        <f>IF(Data!#REF!="","",IF(ISNUMBER(MATCH(Data!#REF!,Data_Val!$A$2:$A$3,0)),0,1))</f>
        <v>#REF!</v>
      </c>
      <c r="AL95" s="25" t="e">
        <f ca="1">IF(Data!#REF!="","",IF(ISNUMBER(Data!#REF!),IF(AND(Data!#REF!&gt;(TODAY()-(Data_Val!$L$3*365.25)),Data!#REF!&lt;=(TODAY()-(Data_Val!$L$2*365.25))),0,1),1))</f>
        <v>#REF!</v>
      </c>
      <c r="AM95" s="17" t="e">
        <f>IF(Data!#REF!="","",IF(Data!$G95="",1,IF(ISNUMBER(MATCH(Data!#REF!,Data_Val!$D$2:$D$10,0)),0,1)))</f>
        <v>#REF!</v>
      </c>
      <c r="AN95" s="13"/>
      <c r="AO95" s="28" t="e">
        <f ca="1">IF(Data!#REF!="","",IF(ISNUMBER(Data!#REF!),IF(AND(Data!#REF!&gt;(TODAY()-(Data_Val!$I$3*365.25)),Data!#REF!&lt;=(TODAY()-(Data_Val!$I$2*365.25))),0,1),1))</f>
        <v>#REF!</v>
      </c>
      <c r="AP95" s="13" t="e">
        <f>IF(Data!#REF!="","",IF(Data!$G95="",1,IF(ISNUMBER(MATCH(Data!#REF!,Data_Val!$D$2:$D$10,0)),0,1)))</f>
        <v>#REF!</v>
      </c>
      <c r="AQ95" s="17"/>
      <c r="AR95" s="30" t="e">
        <f ca="1">IF(Data!#REF!="","",IF(ISNUMBER(Data!#REF!),IF(AND(Data!#REF!&gt;(TODAY()-(Data_Val!$I$3*365.25)),Data!#REF!&lt;=(TODAY()-(Data_Val!$I$2*365.25))),0,1),1))</f>
        <v>#REF!</v>
      </c>
      <c r="AS95" s="31" t="e">
        <f>IF(Data!#REF!="","",IF(Data!$G95="",1,IF(ISNUMBER(MATCH(Data!#REF!,Data_Val!$D$2:$D$10,0)),0,1)))</f>
        <v>#REF!</v>
      </c>
      <c r="AT95" s="11"/>
      <c r="AU95" s="11" t="e">
        <f ca="1">IF(Data!#REF!="","",IF(ISNUMBER(Data!#REF!),IF(AND(Data!#REF!&gt;(TODAY()-(Data_Val!$I$3*365.25)),Data!#REF!&lt;=(TODAY()-(Data_Val!$I$2*365.25))),0,1),1))</f>
        <v>#REF!</v>
      </c>
      <c r="AV95" s="11" t="e">
        <f>IF(Data!#REF!="","",IF(Data!$G95="",1,IF(ISNUMBER(MATCH(Data!#REF!,Data_Val!$D$2:$D$10,0)),0,1)))</f>
        <v>#REF!</v>
      </c>
      <c r="AW95" s="12"/>
      <c r="AX95" s="26" t="e">
        <f ca="1">IF(Data!#REF!="","",IF(ISNUMBER(Data!#REF!),IF(AND(Data!#REF!&gt;(TODAY()-(Data_Val!$I$3*365.25)),Data!#REF!&lt;=(TODAY()-(Data_Val!$I$2*365.25))),0,1),1))</f>
        <v>#REF!</v>
      </c>
      <c r="AY95" s="12" t="e">
        <f>IF(Data!#REF!="","",IF(Data!$G95="",1,IF(ISNUMBER(MATCH(Data!#REF!,Data_Val!$D$2:$D$10,0)),0,1)))</f>
        <v>#REF!</v>
      </c>
      <c r="AZ95" s="11"/>
      <c r="BA95" s="19" t="e">
        <f ca="1">IF(Data!#REF!="","",IF(ISNUMBER(Data!#REF!),IF(AND(Data!#REF!&gt;(TODAY()-(Data_Val!$M$3*365.25)),Data!#REF!&lt;=(TODAY()-(Data_Val!$M$2*365.25))),0,1),1))</f>
        <v>#REF!</v>
      </c>
      <c r="BB95" s="11" t="e">
        <f>IF(Data!#REF!="","",IF(Data!$G95="",1,IF(ISNUMBER(MATCH(Data!#REF!,Data_Val!$D$2:$D$10,0)),0,1)))</f>
        <v>#REF!</v>
      </c>
      <c r="BC95" s="12"/>
      <c r="BD95" s="20" t="e">
        <f ca="1">IF(Data!#REF!="","",IF(ISNUMBER(Data!#REF!),IF(AND(Data!#REF!&gt;(TODAY()-(Data_Val!$M$3*365.25)),Data!#REF!&lt;=(TODAY()-(Data_Val!$M$2*365.25))),0,1),1))</f>
        <v>#REF!</v>
      </c>
      <c r="BE95" s="12" t="e">
        <f>IF(Data!#REF!="","",IF(Data!$G95="",1,IF(ISNUMBER(MATCH(Data!#REF!,Data_Val!$D$2:$D$10,0)),0,1)))</f>
        <v>#REF!</v>
      </c>
      <c r="BF95" s="17"/>
      <c r="BG95" s="18" t="e">
        <f ca="1">IF(Data!#REF!="","",IF(ISNUMBER(Data!#REF!),IF(AND(Data!#REF!&gt;(TODAY()-(Data_Val!$M$3*365.25)),Data!#REF!&lt;=(TODAY()-(Data_Val!$M$2*365.25))),0,1),1))</f>
        <v>#REF!</v>
      </c>
      <c r="BH95" s="29" t="e">
        <f>IF(Data!#REF!="","",IF(Data!$G95="",1,IF(ISNUMBER(MATCH(Data!#REF!,Data_Val!$D$2:$D$10,0)),0,1)))</f>
        <v>#REF!</v>
      </c>
      <c r="BI95" s="13"/>
      <c r="BJ95" s="21" t="e">
        <f ca="1">IF(Data!#REF!="","",IF(ISNUMBER(Data!#REF!),IF(AND(Data!#REF!&gt;(TODAY()-(Data_Val!$M$3*365.25)),Data!#REF!&lt;=(TODAY()-(Data_Val!$M$2*365.25))),0,1),1))</f>
        <v>#REF!</v>
      </c>
      <c r="BK95" s="13" t="e">
        <f>IF(Data!#REF!="","",IF(Data!$G95="",1,IF(ISNUMBER(MATCH(Data!#REF!,Data_Val!$D$2:$D$10,0)),0,1)))</f>
        <v>#REF!</v>
      </c>
    </row>
    <row r="96" spans="1:63" x14ac:dyDescent="0.25">
      <c r="A96" s="9" t="str">
        <f>IF(Data!B96="","",IF(COUNTIFS(Data!A$1:'Data'!A96,Data!A96)&lt;=1,0,1))</f>
        <v/>
      </c>
      <c r="B96" s="9"/>
      <c r="C96" s="23" t="str">
        <f>IF(Data!C96="","",(IF(ISNUMBER(MATCH("*@*.?*",Data!C96,0)),0,1)+IF(COUNTIFS(Data!C$1:'Data'!C96,Data!C96)&gt;1,1,0)))</f>
        <v/>
      </c>
      <c r="D96" s="9" t="str">
        <f>IF(Data!B96="","",IF(ISNUMBER(Data!D96),IF(AND(Data!D96&gt;999999999,Data!D96&lt;=9999999999),IF(COUNTIFS(Data!D$1:'Data'!D96,Data!D96)&lt;=1,0,1),1),1))</f>
        <v/>
      </c>
      <c r="E96" s="9" t="str">
        <f>IF(Data!B96="","",IF(ISNUMBER(MATCH(Data!E96,Data_Val!$A$2:$A$3,0)),0,1))</f>
        <v/>
      </c>
      <c r="F96" s="9" t="str">
        <f ca="1">IF(Data!B96="","",IF(ISNUMBER(Data!F96),IF(AND(Data!F96&gt;(TODAY()-(Data_Val!$H$3*365.25)),Data!F96&lt;=(TODAY()-(Data_Val!$H$2*365.25))),0,1),1))</f>
        <v/>
      </c>
      <c r="G96" s="15" t="str">
        <f>IF(Data!B96="","",IF(AND(Data!G96="",Data!H96&lt;&gt;""),1,IF(Data!#REF!&lt;&gt;"",0,IF(ISNUMBER(MATCH(Data!G96,Data_Val!$C$2:$C$5,0)),0,1))))</f>
        <v/>
      </c>
      <c r="H96" s="15" t="str">
        <f>IF(Data!B96="","",IF(AND(Data!G96&lt;&gt;"",Data!H96=""),1,IF(Data!#REF!&lt;&gt;"",0,IF(Data!G96="",1,IF(ISNUMBER(MATCH(Data!H96,Data_Val!$D$2:$D$35,0)),0,1)))))</f>
        <v/>
      </c>
      <c r="I96" s="15" t="str">
        <f>IF(Data!B96="","",IF(Data!G96&lt;&gt;"",0,IF(ISNUMBER(MATCH(Data!#REF!,Data_Val!$E$2:$E$12,0)),0,1)))</f>
        <v/>
      </c>
      <c r="J96" s="16" t="e">
        <f>IF(OR(Data!B96="",Data!#REF!=""),"",IF(Data!#REF!="",1,0))</f>
        <v>#REF!</v>
      </c>
      <c r="K96" s="16" t="e">
        <f>IF(OR(Data!B96="",Data!#REF!=""),"",IF(Data!#REF!="",1,0))</f>
        <v>#REF!</v>
      </c>
      <c r="L96" s="16" t="e">
        <f>IF(OR(Data!B96="",Data!#REF!=""),"",IF(ISNUMBER(Data!#REF!),IF(AND(Data!#REF!&gt;Data_Val!$G$2,Data!#REF!&lt;=Data_Val!$G$3),0,1),1))</f>
        <v>#REF!</v>
      </c>
      <c r="M96" s="9" t="e">
        <f>IF(OR(Data!B96="",Data!#REF!=""),"",IF(ISNUMBER(MATCH(Data!#REF!,Data_Val!$F$1:$F$38,0)),0,1))</f>
        <v>#REF!</v>
      </c>
      <c r="N96" s="9" t="e">
        <f>IF(OR(Data!B96="",Data!#REF!=""),"",IF(Data!#REF!="",1,0))</f>
        <v>#REF!</v>
      </c>
      <c r="O96" s="17" t="e">
        <f>IF(Data!#REF!="","",IF(Data!#REF!="",1,0))</f>
        <v>#REF!</v>
      </c>
      <c r="P96" s="17" t="e">
        <f>IF(Data!#REF!="","",IF(ISNUMBER(MATCH(Data!#REF!,Data_Val!$A$2:$A$3,0)),0,1))</f>
        <v>#REF!</v>
      </c>
      <c r="Q96" s="25" t="e">
        <f ca="1">IF(Data!#REF!="","",IF(ISNUMBER(Data!#REF!),IF(AND(Data!#REF!&gt;(TODAY()-(Data_Val!$J$3*365.25)),Data!#REF!&lt;=(TODAY()-(Data_Val!$J$2*365.25))),0,1),1))</f>
        <v>#REF!</v>
      </c>
      <c r="R96" s="17" t="e">
        <f>IF(Data!#REF!="","",IF(ISNUMBER(MATCH(Data!#REF!,Data_Val!$B$2:$B$15,0)),0,1))</f>
        <v>#REF!</v>
      </c>
      <c r="S96" s="11" t="str">
        <f>IF(Data!G96="","",IF(Data!G96=Data_Val!$C$2,IF(Data!M96="",0,1),0))</f>
        <v/>
      </c>
      <c r="T96" s="11" t="str">
        <f>IF(Data!M96="","",IF(ISNUMBER(MATCH(Data!N96,Data_Val!$A$2:$A$3,0)),0,1))</f>
        <v/>
      </c>
      <c r="U96" s="11" t="str">
        <f ca="1">IF(Data!M96="","",IF(ISNUMBER(Data!O96),IF(AND(Data!O96&gt;(TODAY()-(Data_Val!$K$3*365.25)),Data!O96&lt;=(TODAY()-(Data_Val!$K$2*365.25))),0,1),1))</f>
        <v/>
      </c>
      <c r="V96" s="12" t="str">
        <f>IF(Data!G96="","",IF(Data!G96=Data_Val!$C$2,IF(Data!P96="",0,1),0))</f>
        <v/>
      </c>
      <c r="W96" s="12" t="str">
        <f>IF(Data!P96="","",IF(ISNUMBER(MATCH(Data!Q96,Data_Val!$A$2:$A$3,0)),0,1))</f>
        <v/>
      </c>
      <c r="X96" s="26" t="str">
        <f ca="1">IF(Data!P96="","",IF(ISNUMBER(Data!R96),IF(AND(Data!R96&gt;(TODAY()-(Data_Val!$L$3*365.25)),Data!R96&lt;=(TODAY()-(Data_Val!$L$2*365.25))),0,1),1))</f>
        <v/>
      </c>
      <c r="Y96" s="13" t="str">
        <f>IF(Data!$G96="","",IF(Data!$G96=Data_Val!$C$2,IF(Data!S96="",0,1),0))</f>
        <v/>
      </c>
      <c r="Z96" s="13" t="str">
        <f>IF(Data!S96="","",IF(ISNUMBER(MATCH(Data!T96,Data_Val!$A$2:$A$3,0)),0,1))</f>
        <v/>
      </c>
      <c r="AA96" s="28" t="str">
        <f ca="1">IF(Data!S96="","",IF(ISNUMBER(Data!U96),IF(AND(Data!U96&gt;(TODAY()-(Data_Val!$L$3*365.25)),Data!U96&lt;=(TODAY()-(Data_Val!$L$2*365.25))),0,1),1))</f>
        <v/>
      </c>
      <c r="AB96" s="11"/>
      <c r="AC96" s="11" t="e">
        <f>IF(Data!#REF!="","",IF(ISNUMBER(MATCH(Data!#REF!,Data_Val!$A$2:$A$3,0)),0,1))</f>
        <v>#REF!</v>
      </c>
      <c r="AD96" s="11" t="e">
        <f ca="1">IF(Data!#REF!="","",IF(ISNUMBER(Data!#REF!),IF(AND(Data!#REF!&gt;(TODAY()-(Data_Val!$L$3*365.25)),Data!#REF!&lt;=(TODAY()-(Data_Val!$L$2*365.25))),0,1),1))</f>
        <v>#REF!</v>
      </c>
      <c r="AE96" s="11" t="e">
        <f>IF(Data!#REF!="","",IF(Data!$G96="",1,IF(ISNUMBER(MATCH(Data!#REF!,Data_Val!$D$2:$D$10,0)),0,1)))</f>
        <v>#REF!</v>
      </c>
      <c r="AF96" s="12"/>
      <c r="AG96" s="12" t="e">
        <f>IF(Data!#REF!="","",IF(ISNUMBER(MATCH(Data!#REF!,Data_Val!$A$2:$A$3,0)),0,1))</f>
        <v>#REF!</v>
      </c>
      <c r="AH96" s="26" t="e">
        <f ca="1">IF(Data!#REF!="","",IF(ISNUMBER(Data!#REF!),IF(AND(Data!#REF!&gt;(TODAY()-(Data_Val!$L$3*365.25)),Data!#REF!&lt;=(TODAY()-(Data_Val!$L$2*365.25))),0,1),1))</f>
        <v>#REF!</v>
      </c>
      <c r="AI96" s="12" t="e">
        <f>IF(Data!#REF!="","",IF(Data!$G96="",1,IF(ISNUMBER(MATCH(Data!#REF!,Data_Val!$D$2:$D$10,0)),0,1)))</f>
        <v>#REF!</v>
      </c>
      <c r="AJ96" s="17"/>
      <c r="AK96" s="17" t="e">
        <f>IF(Data!#REF!="","",IF(ISNUMBER(MATCH(Data!#REF!,Data_Val!$A$2:$A$3,0)),0,1))</f>
        <v>#REF!</v>
      </c>
      <c r="AL96" s="25" t="e">
        <f ca="1">IF(Data!#REF!="","",IF(ISNUMBER(Data!#REF!),IF(AND(Data!#REF!&gt;(TODAY()-(Data_Val!$L$3*365.25)),Data!#REF!&lt;=(TODAY()-(Data_Val!$L$2*365.25))),0,1),1))</f>
        <v>#REF!</v>
      </c>
      <c r="AM96" s="17" t="e">
        <f>IF(Data!#REF!="","",IF(Data!$G96="",1,IF(ISNUMBER(MATCH(Data!#REF!,Data_Val!$D$2:$D$10,0)),0,1)))</f>
        <v>#REF!</v>
      </c>
      <c r="AN96" s="13"/>
      <c r="AO96" s="28" t="e">
        <f ca="1">IF(Data!#REF!="","",IF(ISNUMBER(Data!#REF!),IF(AND(Data!#REF!&gt;(TODAY()-(Data_Val!$I$3*365.25)),Data!#REF!&lt;=(TODAY()-(Data_Val!$I$2*365.25))),0,1),1))</f>
        <v>#REF!</v>
      </c>
      <c r="AP96" s="13" t="e">
        <f>IF(Data!#REF!="","",IF(Data!$G96="",1,IF(ISNUMBER(MATCH(Data!#REF!,Data_Val!$D$2:$D$10,0)),0,1)))</f>
        <v>#REF!</v>
      </c>
      <c r="AQ96" s="17"/>
      <c r="AR96" s="30" t="e">
        <f ca="1">IF(Data!#REF!="","",IF(ISNUMBER(Data!#REF!),IF(AND(Data!#REF!&gt;(TODAY()-(Data_Val!$I$3*365.25)),Data!#REF!&lt;=(TODAY()-(Data_Val!$I$2*365.25))),0,1),1))</f>
        <v>#REF!</v>
      </c>
      <c r="AS96" s="31" t="e">
        <f>IF(Data!#REF!="","",IF(Data!$G96="",1,IF(ISNUMBER(MATCH(Data!#REF!,Data_Val!$D$2:$D$10,0)),0,1)))</f>
        <v>#REF!</v>
      </c>
      <c r="AT96" s="11"/>
      <c r="AU96" s="11" t="e">
        <f ca="1">IF(Data!#REF!="","",IF(ISNUMBER(Data!#REF!),IF(AND(Data!#REF!&gt;(TODAY()-(Data_Val!$I$3*365.25)),Data!#REF!&lt;=(TODAY()-(Data_Val!$I$2*365.25))),0,1),1))</f>
        <v>#REF!</v>
      </c>
      <c r="AV96" s="11" t="e">
        <f>IF(Data!#REF!="","",IF(Data!$G96="",1,IF(ISNUMBER(MATCH(Data!#REF!,Data_Val!$D$2:$D$10,0)),0,1)))</f>
        <v>#REF!</v>
      </c>
      <c r="AW96" s="12"/>
      <c r="AX96" s="26" t="e">
        <f ca="1">IF(Data!#REF!="","",IF(ISNUMBER(Data!#REF!),IF(AND(Data!#REF!&gt;(TODAY()-(Data_Val!$I$3*365.25)),Data!#REF!&lt;=(TODAY()-(Data_Val!$I$2*365.25))),0,1),1))</f>
        <v>#REF!</v>
      </c>
      <c r="AY96" s="12" t="e">
        <f>IF(Data!#REF!="","",IF(Data!$G96="",1,IF(ISNUMBER(MATCH(Data!#REF!,Data_Val!$D$2:$D$10,0)),0,1)))</f>
        <v>#REF!</v>
      </c>
      <c r="AZ96" s="11"/>
      <c r="BA96" s="19" t="e">
        <f ca="1">IF(Data!#REF!="","",IF(ISNUMBER(Data!#REF!),IF(AND(Data!#REF!&gt;(TODAY()-(Data_Val!$M$3*365.25)),Data!#REF!&lt;=(TODAY()-(Data_Val!$M$2*365.25))),0,1),1))</f>
        <v>#REF!</v>
      </c>
      <c r="BB96" s="11" t="e">
        <f>IF(Data!#REF!="","",IF(Data!$G96="",1,IF(ISNUMBER(MATCH(Data!#REF!,Data_Val!$D$2:$D$10,0)),0,1)))</f>
        <v>#REF!</v>
      </c>
      <c r="BC96" s="12"/>
      <c r="BD96" s="20" t="e">
        <f ca="1">IF(Data!#REF!="","",IF(ISNUMBER(Data!#REF!),IF(AND(Data!#REF!&gt;(TODAY()-(Data_Val!$M$3*365.25)),Data!#REF!&lt;=(TODAY()-(Data_Val!$M$2*365.25))),0,1),1))</f>
        <v>#REF!</v>
      </c>
      <c r="BE96" s="12" t="e">
        <f>IF(Data!#REF!="","",IF(Data!$G96="",1,IF(ISNUMBER(MATCH(Data!#REF!,Data_Val!$D$2:$D$10,0)),0,1)))</f>
        <v>#REF!</v>
      </c>
      <c r="BF96" s="17"/>
      <c r="BG96" s="18" t="e">
        <f ca="1">IF(Data!#REF!="","",IF(ISNUMBER(Data!#REF!),IF(AND(Data!#REF!&gt;(TODAY()-(Data_Val!$M$3*365.25)),Data!#REF!&lt;=(TODAY()-(Data_Val!$M$2*365.25))),0,1),1))</f>
        <v>#REF!</v>
      </c>
      <c r="BH96" s="29" t="e">
        <f>IF(Data!#REF!="","",IF(Data!$G96="",1,IF(ISNUMBER(MATCH(Data!#REF!,Data_Val!$D$2:$D$10,0)),0,1)))</f>
        <v>#REF!</v>
      </c>
      <c r="BI96" s="13"/>
      <c r="BJ96" s="21" t="e">
        <f ca="1">IF(Data!#REF!="","",IF(ISNUMBER(Data!#REF!),IF(AND(Data!#REF!&gt;(TODAY()-(Data_Val!$M$3*365.25)),Data!#REF!&lt;=(TODAY()-(Data_Val!$M$2*365.25))),0,1),1))</f>
        <v>#REF!</v>
      </c>
      <c r="BK96" s="13" t="e">
        <f>IF(Data!#REF!="","",IF(Data!$G96="",1,IF(ISNUMBER(MATCH(Data!#REF!,Data_Val!$D$2:$D$10,0)),0,1)))</f>
        <v>#REF!</v>
      </c>
    </row>
    <row r="97" spans="1:63" x14ac:dyDescent="0.25">
      <c r="A97" s="9" t="str">
        <f>IF(Data!B97="","",IF(COUNTIFS(Data!A$1:'Data'!A97,Data!A97)&lt;=1,0,1))</f>
        <v/>
      </c>
      <c r="B97" s="9"/>
      <c r="C97" s="23" t="str">
        <f>IF(Data!C97="","",(IF(ISNUMBER(MATCH("*@*.?*",Data!C97,0)),0,1)+IF(COUNTIFS(Data!C$1:'Data'!C97,Data!C97)&gt;1,1,0)))</f>
        <v/>
      </c>
      <c r="D97" s="9" t="str">
        <f>IF(Data!B97="","",IF(ISNUMBER(Data!D97),IF(AND(Data!D97&gt;999999999,Data!D97&lt;=9999999999),IF(COUNTIFS(Data!D$1:'Data'!D97,Data!D97)&lt;=1,0,1),1),1))</f>
        <v/>
      </c>
      <c r="E97" s="9" t="str">
        <f>IF(Data!B97="","",IF(ISNUMBER(MATCH(Data!E97,Data_Val!$A$2:$A$3,0)),0,1))</f>
        <v/>
      </c>
      <c r="F97" s="9" t="str">
        <f ca="1">IF(Data!B97="","",IF(ISNUMBER(Data!F97),IF(AND(Data!F97&gt;(TODAY()-(Data_Val!$H$3*365.25)),Data!F97&lt;=(TODAY()-(Data_Val!$H$2*365.25))),0,1),1))</f>
        <v/>
      </c>
      <c r="G97" s="15" t="str">
        <f>IF(Data!B97="","",IF(AND(Data!G97="",Data!H97&lt;&gt;""),1,IF(Data!#REF!&lt;&gt;"",0,IF(ISNUMBER(MATCH(Data!G97,Data_Val!$C$2:$C$5,0)),0,1))))</f>
        <v/>
      </c>
      <c r="H97" s="15" t="str">
        <f>IF(Data!B97="","",IF(AND(Data!G97&lt;&gt;"",Data!H97=""),1,IF(Data!#REF!&lt;&gt;"",0,IF(Data!G97="",1,IF(ISNUMBER(MATCH(Data!H97,Data_Val!$D$2:$D$35,0)),0,1)))))</f>
        <v/>
      </c>
      <c r="I97" s="15" t="str">
        <f>IF(Data!B97="","",IF(Data!G97&lt;&gt;"",0,IF(ISNUMBER(MATCH(Data!#REF!,Data_Val!$E$2:$E$12,0)),0,1)))</f>
        <v/>
      </c>
      <c r="J97" s="16" t="e">
        <f>IF(OR(Data!B97="",Data!#REF!=""),"",IF(Data!#REF!="",1,0))</f>
        <v>#REF!</v>
      </c>
      <c r="K97" s="16" t="e">
        <f>IF(OR(Data!B97="",Data!#REF!=""),"",IF(Data!#REF!="",1,0))</f>
        <v>#REF!</v>
      </c>
      <c r="L97" s="16" t="e">
        <f>IF(OR(Data!B97="",Data!#REF!=""),"",IF(ISNUMBER(Data!#REF!),IF(AND(Data!#REF!&gt;Data_Val!$G$2,Data!#REF!&lt;=Data_Val!$G$3),0,1),1))</f>
        <v>#REF!</v>
      </c>
      <c r="M97" s="9" t="e">
        <f>IF(OR(Data!B97="",Data!#REF!=""),"",IF(ISNUMBER(MATCH(Data!#REF!,Data_Val!$F$1:$F$38,0)),0,1))</f>
        <v>#REF!</v>
      </c>
      <c r="N97" s="9" t="e">
        <f>IF(OR(Data!B97="",Data!#REF!=""),"",IF(Data!#REF!="",1,0))</f>
        <v>#REF!</v>
      </c>
      <c r="O97" s="17" t="e">
        <f>IF(Data!#REF!="","",IF(Data!#REF!="",1,0))</f>
        <v>#REF!</v>
      </c>
      <c r="P97" s="17" t="e">
        <f>IF(Data!#REF!="","",IF(ISNUMBER(MATCH(Data!#REF!,Data_Val!$A$2:$A$3,0)),0,1))</f>
        <v>#REF!</v>
      </c>
      <c r="Q97" s="25" t="e">
        <f ca="1">IF(Data!#REF!="","",IF(ISNUMBER(Data!#REF!),IF(AND(Data!#REF!&gt;(TODAY()-(Data_Val!$J$3*365.25)),Data!#REF!&lt;=(TODAY()-(Data_Val!$J$2*365.25))),0,1),1))</f>
        <v>#REF!</v>
      </c>
      <c r="R97" s="17" t="e">
        <f>IF(Data!#REF!="","",IF(ISNUMBER(MATCH(Data!#REF!,Data_Val!$B$2:$B$15,0)),0,1))</f>
        <v>#REF!</v>
      </c>
      <c r="S97" s="11" t="str">
        <f>IF(Data!G97="","",IF(Data!G97=Data_Val!$C$2,IF(Data!M97="",0,1),0))</f>
        <v/>
      </c>
      <c r="T97" s="11" t="str">
        <f>IF(Data!M97="","",IF(ISNUMBER(MATCH(Data!N97,Data_Val!$A$2:$A$3,0)),0,1))</f>
        <v/>
      </c>
      <c r="U97" s="11" t="str">
        <f ca="1">IF(Data!M97="","",IF(ISNUMBER(Data!O97),IF(AND(Data!O97&gt;(TODAY()-(Data_Val!$K$3*365.25)),Data!O97&lt;=(TODAY()-(Data_Val!$K$2*365.25))),0,1),1))</f>
        <v/>
      </c>
      <c r="V97" s="12" t="str">
        <f>IF(Data!G97="","",IF(Data!G97=Data_Val!$C$2,IF(Data!P97="",0,1),0))</f>
        <v/>
      </c>
      <c r="W97" s="12" t="str">
        <f>IF(Data!P97="","",IF(ISNUMBER(MATCH(Data!Q97,Data_Val!$A$2:$A$3,0)),0,1))</f>
        <v/>
      </c>
      <c r="X97" s="26" t="str">
        <f ca="1">IF(Data!P97="","",IF(ISNUMBER(Data!R97),IF(AND(Data!R97&gt;(TODAY()-(Data_Val!$L$3*365.25)),Data!R97&lt;=(TODAY()-(Data_Val!$L$2*365.25))),0,1),1))</f>
        <v/>
      </c>
      <c r="Y97" s="13" t="str">
        <f>IF(Data!$G97="","",IF(Data!$G97=Data_Val!$C$2,IF(Data!S97="",0,1),0))</f>
        <v/>
      </c>
      <c r="Z97" s="13" t="str">
        <f>IF(Data!S97="","",IF(ISNUMBER(MATCH(Data!T97,Data_Val!$A$2:$A$3,0)),0,1))</f>
        <v/>
      </c>
      <c r="AA97" s="28" t="str">
        <f ca="1">IF(Data!S97="","",IF(ISNUMBER(Data!U97),IF(AND(Data!U97&gt;(TODAY()-(Data_Val!$L$3*365.25)),Data!U97&lt;=(TODAY()-(Data_Val!$L$2*365.25))),0,1),1))</f>
        <v/>
      </c>
      <c r="AB97" s="11"/>
      <c r="AC97" s="11" t="e">
        <f>IF(Data!#REF!="","",IF(ISNUMBER(MATCH(Data!#REF!,Data_Val!$A$2:$A$3,0)),0,1))</f>
        <v>#REF!</v>
      </c>
      <c r="AD97" s="11" t="e">
        <f ca="1">IF(Data!#REF!="","",IF(ISNUMBER(Data!#REF!),IF(AND(Data!#REF!&gt;(TODAY()-(Data_Val!$L$3*365.25)),Data!#REF!&lt;=(TODAY()-(Data_Val!$L$2*365.25))),0,1),1))</f>
        <v>#REF!</v>
      </c>
      <c r="AE97" s="11" t="e">
        <f>IF(Data!#REF!="","",IF(Data!$G97="",1,IF(ISNUMBER(MATCH(Data!#REF!,Data_Val!$D$2:$D$10,0)),0,1)))</f>
        <v>#REF!</v>
      </c>
      <c r="AF97" s="12"/>
      <c r="AG97" s="12" t="e">
        <f>IF(Data!#REF!="","",IF(ISNUMBER(MATCH(Data!#REF!,Data_Val!$A$2:$A$3,0)),0,1))</f>
        <v>#REF!</v>
      </c>
      <c r="AH97" s="26" t="e">
        <f ca="1">IF(Data!#REF!="","",IF(ISNUMBER(Data!#REF!),IF(AND(Data!#REF!&gt;(TODAY()-(Data_Val!$L$3*365.25)),Data!#REF!&lt;=(TODAY()-(Data_Val!$L$2*365.25))),0,1),1))</f>
        <v>#REF!</v>
      </c>
      <c r="AI97" s="12" t="e">
        <f>IF(Data!#REF!="","",IF(Data!$G97="",1,IF(ISNUMBER(MATCH(Data!#REF!,Data_Val!$D$2:$D$10,0)),0,1)))</f>
        <v>#REF!</v>
      </c>
      <c r="AJ97" s="17"/>
      <c r="AK97" s="17" t="e">
        <f>IF(Data!#REF!="","",IF(ISNUMBER(MATCH(Data!#REF!,Data_Val!$A$2:$A$3,0)),0,1))</f>
        <v>#REF!</v>
      </c>
      <c r="AL97" s="25" t="e">
        <f ca="1">IF(Data!#REF!="","",IF(ISNUMBER(Data!#REF!),IF(AND(Data!#REF!&gt;(TODAY()-(Data_Val!$L$3*365.25)),Data!#REF!&lt;=(TODAY()-(Data_Val!$L$2*365.25))),0,1),1))</f>
        <v>#REF!</v>
      </c>
      <c r="AM97" s="17" t="e">
        <f>IF(Data!#REF!="","",IF(Data!$G97="",1,IF(ISNUMBER(MATCH(Data!#REF!,Data_Val!$D$2:$D$10,0)),0,1)))</f>
        <v>#REF!</v>
      </c>
      <c r="AN97" s="13"/>
      <c r="AO97" s="28" t="e">
        <f ca="1">IF(Data!#REF!="","",IF(ISNUMBER(Data!#REF!),IF(AND(Data!#REF!&gt;(TODAY()-(Data_Val!$I$3*365.25)),Data!#REF!&lt;=(TODAY()-(Data_Val!$I$2*365.25))),0,1),1))</f>
        <v>#REF!</v>
      </c>
      <c r="AP97" s="13" t="e">
        <f>IF(Data!#REF!="","",IF(Data!$G97="",1,IF(ISNUMBER(MATCH(Data!#REF!,Data_Val!$D$2:$D$10,0)),0,1)))</f>
        <v>#REF!</v>
      </c>
      <c r="AQ97" s="17"/>
      <c r="AR97" s="30" t="e">
        <f ca="1">IF(Data!#REF!="","",IF(ISNUMBER(Data!#REF!),IF(AND(Data!#REF!&gt;(TODAY()-(Data_Val!$I$3*365.25)),Data!#REF!&lt;=(TODAY()-(Data_Val!$I$2*365.25))),0,1),1))</f>
        <v>#REF!</v>
      </c>
      <c r="AS97" s="31" t="e">
        <f>IF(Data!#REF!="","",IF(Data!$G97="",1,IF(ISNUMBER(MATCH(Data!#REF!,Data_Val!$D$2:$D$10,0)),0,1)))</f>
        <v>#REF!</v>
      </c>
      <c r="AT97" s="11"/>
      <c r="AU97" s="11" t="e">
        <f ca="1">IF(Data!#REF!="","",IF(ISNUMBER(Data!#REF!),IF(AND(Data!#REF!&gt;(TODAY()-(Data_Val!$I$3*365.25)),Data!#REF!&lt;=(TODAY()-(Data_Val!$I$2*365.25))),0,1),1))</f>
        <v>#REF!</v>
      </c>
      <c r="AV97" s="11" t="e">
        <f>IF(Data!#REF!="","",IF(Data!$G97="",1,IF(ISNUMBER(MATCH(Data!#REF!,Data_Val!$D$2:$D$10,0)),0,1)))</f>
        <v>#REF!</v>
      </c>
      <c r="AW97" s="12"/>
      <c r="AX97" s="26" t="e">
        <f ca="1">IF(Data!#REF!="","",IF(ISNUMBER(Data!#REF!),IF(AND(Data!#REF!&gt;(TODAY()-(Data_Val!$I$3*365.25)),Data!#REF!&lt;=(TODAY()-(Data_Val!$I$2*365.25))),0,1),1))</f>
        <v>#REF!</v>
      </c>
      <c r="AY97" s="12" t="e">
        <f>IF(Data!#REF!="","",IF(Data!$G97="",1,IF(ISNUMBER(MATCH(Data!#REF!,Data_Val!$D$2:$D$10,0)),0,1)))</f>
        <v>#REF!</v>
      </c>
      <c r="AZ97" s="11"/>
      <c r="BA97" s="19" t="e">
        <f ca="1">IF(Data!#REF!="","",IF(ISNUMBER(Data!#REF!),IF(AND(Data!#REF!&gt;(TODAY()-(Data_Val!$M$3*365.25)),Data!#REF!&lt;=(TODAY()-(Data_Val!$M$2*365.25))),0,1),1))</f>
        <v>#REF!</v>
      </c>
      <c r="BB97" s="11" t="e">
        <f>IF(Data!#REF!="","",IF(Data!$G97="",1,IF(ISNUMBER(MATCH(Data!#REF!,Data_Val!$D$2:$D$10,0)),0,1)))</f>
        <v>#REF!</v>
      </c>
      <c r="BC97" s="12"/>
      <c r="BD97" s="20" t="e">
        <f ca="1">IF(Data!#REF!="","",IF(ISNUMBER(Data!#REF!),IF(AND(Data!#REF!&gt;(TODAY()-(Data_Val!$M$3*365.25)),Data!#REF!&lt;=(TODAY()-(Data_Val!$M$2*365.25))),0,1),1))</f>
        <v>#REF!</v>
      </c>
      <c r="BE97" s="12" t="e">
        <f>IF(Data!#REF!="","",IF(Data!$G97="",1,IF(ISNUMBER(MATCH(Data!#REF!,Data_Val!$D$2:$D$10,0)),0,1)))</f>
        <v>#REF!</v>
      </c>
      <c r="BF97" s="17"/>
      <c r="BG97" s="18" t="e">
        <f ca="1">IF(Data!#REF!="","",IF(ISNUMBER(Data!#REF!),IF(AND(Data!#REF!&gt;(TODAY()-(Data_Val!$M$3*365.25)),Data!#REF!&lt;=(TODAY()-(Data_Val!$M$2*365.25))),0,1),1))</f>
        <v>#REF!</v>
      </c>
      <c r="BH97" s="29" t="e">
        <f>IF(Data!#REF!="","",IF(Data!$G97="",1,IF(ISNUMBER(MATCH(Data!#REF!,Data_Val!$D$2:$D$10,0)),0,1)))</f>
        <v>#REF!</v>
      </c>
      <c r="BI97" s="13"/>
      <c r="BJ97" s="21" t="e">
        <f ca="1">IF(Data!#REF!="","",IF(ISNUMBER(Data!#REF!),IF(AND(Data!#REF!&gt;(TODAY()-(Data_Val!$M$3*365.25)),Data!#REF!&lt;=(TODAY()-(Data_Val!$M$2*365.25))),0,1),1))</f>
        <v>#REF!</v>
      </c>
      <c r="BK97" s="13" t="e">
        <f>IF(Data!#REF!="","",IF(Data!$G97="",1,IF(ISNUMBER(MATCH(Data!#REF!,Data_Val!$D$2:$D$10,0)),0,1)))</f>
        <v>#REF!</v>
      </c>
    </row>
    <row r="98" spans="1:63" x14ac:dyDescent="0.25">
      <c r="A98" s="9" t="str">
        <f>IF(Data!B98="","",IF(COUNTIFS(Data!A$1:'Data'!A98,Data!A98)&lt;=1,0,1))</f>
        <v/>
      </c>
      <c r="B98" s="9"/>
      <c r="C98" s="23" t="str">
        <f>IF(Data!C98="","",(IF(ISNUMBER(MATCH("*@*.?*",Data!C98,0)),0,1)+IF(COUNTIFS(Data!C$1:'Data'!C98,Data!C98)&gt;1,1,0)))</f>
        <v/>
      </c>
      <c r="D98" s="9" t="str">
        <f>IF(Data!B98="","",IF(ISNUMBER(Data!D98),IF(AND(Data!D98&gt;999999999,Data!D98&lt;=9999999999),IF(COUNTIFS(Data!D$1:'Data'!D98,Data!D98)&lt;=1,0,1),1),1))</f>
        <v/>
      </c>
      <c r="E98" s="9" t="str">
        <f>IF(Data!B98="","",IF(ISNUMBER(MATCH(Data!E98,Data_Val!$A$2:$A$3,0)),0,1))</f>
        <v/>
      </c>
      <c r="F98" s="9" t="str">
        <f ca="1">IF(Data!B98="","",IF(ISNUMBER(Data!F98),IF(AND(Data!F98&gt;(TODAY()-(Data_Val!$H$3*365.25)),Data!F98&lt;=(TODAY()-(Data_Val!$H$2*365.25))),0,1),1))</f>
        <v/>
      </c>
      <c r="G98" s="15" t="str">
        <f>IF(Data!B98="","",IF(AND(Data!G98="",Data!H98&lt;&gt;""),1,IF(Data!#REF!&lt;&gt;"",0,IF(ISNUMBER(MATCH(Data!G98,Data_Val!$C$2:$C$5,0)),0,1))))</f>
        <v/>
      </c>
      <c r="H98" s="15" t="str">
        <f>IF(Data!B98="","",IF(AND(Data!G98&lt;&gt;"",Data!H98=""),1,IF(Data!#REF!&lt;&gt;"",0,IF(Data!G98="",1,IF(ISNUMBER(MATCH(Data!H98,Data_Val!$D$2:$D$35,0)),0,1)))))</f>
        <v/>
      </c>
      <c r="I98" s="15" t="str">
        <f>IF(Data!B98="","",IF(Data!G98&lt;&gt;"",0,IF(ISNUMBER(MATCH(Data!#REF!,Data_Val!$E$2:$E$12,0)),0,1)))</f>
        <v/>
      </c>
      <c r="J98" s="16" t="e">
        <f>IF(OR(Data!B98="",Data!#REF!=""),"",IF(Data!#REF!="",1,0))</f>
        <v>#REF!</v>
      </c>
      <c r="K98" s="16" t="e">
        <f>IF(OR(Data!B98="",Data!#REF!=""),"",IF(Data!#REF!="",1,0))</f>
        <v>#REF!</v>
      </c>
      <c r="L98" s="16" t="e">
        <f>IF(OR(Data!B98="",Data!#REF!=""),"",IF(ISNUMBER(Data!#REF!),IF(AND(Data!#REF!&gt;Data_Val!$G$2,Data!#REF!&lt;=Data_Val!$G$3),0,1),1))</f>
        <v>#REF!</v>
      </c>
      <c r="M98" s="9" t="e">
        <f>IF(OR(Data!B98="",Data!#REF!=""),"",IF(ISNUMBER(MATCH(Data!#REF!,Data_Val!$F$1:$F$38,0)),0,1))</f>
        <v>#REF!</v>
      </c>
      <c r="N98" s="9" t="e">
        <f>IF(OR(Data!B98="",Data!#REF!=""),"",IF(Data!#REF!="",1,0))</f>
        <v>#REF!</v>
      </c>
      <c r="O98" s="17" t="e">
        <f>IF(Data!#REF!="","",IF(Data!#REF!="",1,0))</f>
        <v>#REF!</v>
      </c>
      <c r="P98" s="17" t="e">
        <f>IF(Data!#REF!="","",IF(ISNUMBER(MATCH(Data!#REF!,Data_Val!$A$2:$A$3,0)),0,1))</f>
        <v>#REF!</v>
      </c>
      <c r="Q98" s="25" t="e">
        <f ca="1">IF(Data!#REF!="","",IF(ISNUMBER(Data!#REF!),IF(AND(Data!#REF!&gt;(TODAY()-(Data_Val!$J$3*365.25)),Data!#REF!&lt;=(TODAY()-(Data_Val!$J$2*365.25))),0,1),1))</f>
        <v>#REF!</v>
      </c>
      <c r="R98" s="17" t="e">
        <f>IF(Data!#REF!="","",IF(ISNUMBER(MATCH(Data!#REF!,Data_Val!$B$2:$B$15,0)),0,1))</f>
        <v>#REF!</v>
      </c>
      <c r="S98" s="11" t="str">
        <f>IF(Data!G98="","",IF(Data!G98=Data_Val!$C$2,IF(Data!M98="",0,1),0))</f>
        <v/>
      </c>
      <c r="T98" s="11" t="str">
        <f>IF(Data!M98="","",IF(ISNUMBER(MATCH(Data!N98,Data_Val!$A$2:$A$3,0)),0,1))</f>
        <v/>
      </c>
      <c r="U98" s="11" t="str">
        <f ca="1">IF(Data!M98="","",IF(ISNUMBER(Data!O98),IF(AND(Data!O98&gt;(TODAY()-(Data_Val!$K$3*365.25)),Data!O98&lt;=(TODAY()-(Data_Val!$K$2*365.25))),0,1),1))</f>
        <v/>
      </c>
      <c r="V98" s="12" t="str">
        <f>IF(Data!G98="","",IF(Data!G98=Data_Val!$C$2,IF(Data!P98="",0,1),0))</f>
        <v/>
      </c>
      <c r="W98" s="12" t="str">
        <f>IF(Data!P98="","",IF(ISNUMBER(MATCH(Data!Q98,Data_Val!$A$2:$A$3,0)),0,1))</f>
        <v/>
      </c>
      <c r="X98" s="26" t="str">
        <f ca="1">IF(Data!P98="","",IF(ISNUMBER(Data!R98),IF(AND(Data!R98&gt;(TODAY()-(Data_Val!$L$3*365.25)),Data!R98&lt;=(TODAY()-(Data_Val!$L$2*365.25))),0,1),1))</f>
        <v/>
      </c>
      <c r="Y98" s="13" t="str">
        <f>IF(Data!$G98="","",IF(Data!$G98=Data_Val!$C$2,IF(Data!S98="",0,1),0))</f>
        <v/>
      </c>
      <c r="Z98" s="13" t="str">
        <f>IF(Data!S98="","",IF(ISNUMBER(MATCH(Data!T98,Data_Val!$A$2:$A$3,0)),0,1))</f>
        <v/>
      </c>
      <c r="AA98" s="28" t="str">
        <f ca="1">IF(Data!S98="","",IF(ISNUMBER(Data!U98),IF(AND(Data!U98&gt;(TODAY()-(Data_Val!$L$3*365.25)),Data!U98&lt;=(TODAY()-(Data_Val!$L$2*365.25))),0,1),1))</f>
        <v/>
      </c>
      <c r="AB98" s="11"/>
      <c r="AC98" s="11" t="e">
        <f>IF(Data!#REF!="","",IF(ISNUMBER(MATCH(Data!#REF!,Data_Val!$A$2:$A$3,0)),0,1))</f>
        <v>#REF!</v>
      </c>
      <c r="AD98" s="11" t="e">
        <f ca="1">IF(Data!#REF!="","",IF(ISNUMBER(Data!#REF!),IF(AND(Data!#REF!&gt;(TODAY()-(Data_Val!$L$3*365.25)),Data!#REF!&lt;=(TODAY()-(Data_Val!$L$2*365.25))),0,1),1))</f>
        <v>#REF!</v>
      </c>
      <c r="AE98" s="11" t="e">
        <f>IF(Data!#REF!="","",IF(Data!$G98="",1,IF(ISNUMBER(MATCH(Data!#REF!,Data_Val!$D$2:$D$10,0)),0,1)))</f>
        <v>#REF!</v>
      </c>
      <c r="AF98" s="12"/>
      <c r="AG98" s="12" t="e">
        <f>IF(Data!#REF!="","",IF(ISNUMBER(MATCH(Data!#REF!,Data_Val!$A$2:$A$3,0)),0,1))</f>
        <v>#REF!</v>
      </c>
      <c r="AH98" s="26" t="e">
        <f ca="1">IF(Data!#REF!="","",IF(ISNUMBER(Data!#REF!),IF(AND(Data!#REF!&gt;(TODAY()-(Data_Val!$L$3*365.25)),Data!#REF!&lt;=(TODAY()-(Data_Val!$L$2*365.25))),0,1),1))</f>
        <v>#REF!</v>
      </c>
      <c r="AI98" s="12" t="e">
        <f>IF(Data!#REF!="","",IF(Data!$G98="",1,IF(ISNUMBER(MATCH(Data!#REF!,Data_Val!$D$2:$D$10,0)),0,1)))</f>
        <v>#REF!</v>
      </c>
      <c r="AJ98" s="17"/>
      <c r="AK98" s="17" t="e">
        <f>IF(Data!#REF!="","",IF(ISNUMBER(MATCH(Data!#REF!,Data_Val!$A$2:$A$3,0)),0,1))</f>
        <v>#REF!</v>
      </c>
      <c r="AL98" s="25" t="e">
        <f ca="1">IF(Data!#REF!="","",IF(ISNUMBER(Data!#REF!),IF(AND(Data!#REF!&gt;(TODAY()-(Data_Val!$L$3*365.25)),Data!#REF!&lt;=(TODAY()-(Data_Val!$L$2*365.25))),0,1),1))</f>
        <v>#REF!</v>
      </c>
      <c r="AM98" s="17" t="e">
        <f>IF(Data!#REF!="","",IF(Data!$G98="",1,IF(ISNUMBER(MATCH(Data!#REF!,Data_Val!$D$2:$D$10,0)),0,1)))</f>
        <v>#REF!</v>
      </c>
      <c r="AN98" s="13"/>
      <c r="AO98" s="28" t="e">
        <f ca="1">IF(Data!#REF!="","",IF(ISNUMBER(Data!#REF!),IF(AND(Data!#REF!&gt;(TODAY()-(Data_Val!$I$3*365.25)),Data!#REF!&lt;=(TODAY()-(Data_Val!$I$2*365.25))),0,1),1))</f>
        <v>#REF!</v>
      </c>
      <c r="AP98" s="13" t="e">
        <f>IF(Data!#REF!="","",IF(Data!$G98="",1,IF(ISNUMBER(MATCH(Data!#REF!,Data_Val!$D$2:$D$10,0)),0,1)))</f>
        <v>#REF!</v>
      </c>
      <c r="AQ98" s="17"/>
      <c r="AR98" s="30" t="e">
        <f ca="1">IF(Data!#REF!="","",IF(ISNUMBER(Data!#REF!),IF(AND(Data!#REF!&gt;(TODAY()-(Data_Val!$I$3*365.25)),Data!#REF!&lt;=(TODAY()-(Data_Val!$I$2*365.25))),0,1),1))</f>
        <v>#REF!</v>
      </c>
      <c r="AS98" s="31" t="e">
        <f>IF(Data!#REF!="","",IF(Data!$G98="",1,IF(ISNUMBER(MATCH(Data!#REF!,Data_Val!$D$2:$D$10,0)),0,1)))</f>
        <v>#REF!</v>
      </c>
      <c r="AT98" s="11"/>
      <c r="AU98" s="11" t="e">
        <f ca="1">IF(Data!#REF!="","",IF(ISNUMBER(Data!#REF!),IF(AND(Data!#REF!&gt;(TODAY()-(Data_Val!$I$3*365.25)),Data!#REF!&lt;=(TODAY()-(Data_Val!$I$2*365.25))),0,1),1))</f>
        <v>#REF!</v>
      </c>
      <c r="AV98" s="11" t="e">
        <f>IF(Data!#REF!="","",IF(Data!$G98="",1,IF(ISNUMBER(MATCH(Data!#REF!,Data_Val!$D$2:$D$10,0)),0,1)))</f>
        <v>#REF!</v>
      </c>
      <c r="AW98" s="12"/>
      <c r="AX98" s="26" t="e">
        <f ca="1">IF(Data!#REF!="","",IF(ISNUMBER(Data!#REF!),IF(AND(Data!#REF!&gt;(TODAY()-(Data_Val!$I$3*365.25)),Data!#REF!&lt;=(TODAY()-(Data_Val!$I$2*365.25))),0,1),1))</f>
        <v>#REF!</v>
      </c>
      <c r="AY98" s="12" t="e">
        <f>IF(Data!#REF!="","",IF(Data!$G98="",1,IF(ISNUMBER(MATCH(Data!#REF!,Data_Val!$D$2:$D$10,0)),0,1)))</f>
        <v>#REF!</v>
      </c>
      <c r="AZ98" s="11"/>
      <c r="BA98" s="19" t="e">
        <f ca="1">IF(Data!#REF!="","",IF(ISNUMBER(Data!#REF!),IF(AND(Data!#REF!&gt;(TODAY()-(Data_Val!$M$3*365.25)),Data!#REF!&lt;=(TODAY()-(Data_Val!$M$2*365.25))),0,1),1))</f>
        <v>#REF!</v>
      </c>
      <c r="BB98" s="11" t="e">
        <f>IF(Data!#REF!="","",IF(Data!$G98="",1,IF(ISNUMBER(MATCH(Data!#REF!,Data_Val!$D$2:$D$10,0)),0,1)))</f>
        <v>#REF!</v>
      </c>
      <c r="BC98" s="12"/>
      <c r="BD98" s="20" t="e">
        <f ca="1">IF(Data!#REF!="","",IF(ISNUMBER(Data!#REF!),IF(AND(Data!#REF!&gt;(TODAY()-(Data_Val!$M$3*365.25)),Data!#REF!&lt;=(TODAY()-(Data_Val!$M$2*365.25))),0,1),1))</f>
        <v>#REF!</v>
      </c>
      <c r="BE98" s="12" t="e">
        <f>IF(Data!#REF!="","",IF(Data!$G98="",1,IF(ISNUMBER(MATCH(Data!#REF!,Data_Val!$D$2:$D$10,0)),0,1)))</f>
        <v>#REF!</v>
      </c>
      <c r="BF98" s="17"/>
      <c r="BG98" s="18" t="e">
        <f ca="1">IF(Data!#REF!="","",IF(ISNUMBER(Data!#REF!),IF(AND(Data!#REF!&gt;(TODAY()-(Data_Val!$M$3*365.25)),Data!#REF!&lt;=(TODAY()-(Data_Val!$M$2*365.25))),0,1),1))</f>
        <v>#REF!</v>
      </c>
      <c r="BH98" s="29" t="e">
        <f>IF(Data!#REF!="","",IF(Data!$G98="",1,IF(ISNUMBER(MATCH(Data!#REF!,Data_Val!$D$2:$D$10,0)),0,1)))</f>
        <v>#REF!</v>
      </c>
      <c r="BI98" s="13"/>
      <c r="BJ98" s="21" t="e">
        <f ca="1">IF(Data!#REF!="","",IF(ISNUMBER(Data!#REF!),IF(AND(Data!#REF!&gt;(TODAY()-(Data_Val!$M$3*365.25)),Data!#REF!&lt;=(TODAY()-(Data_Val!$M$2*365.25))),0,1),1))</f>
        <v>#REF!</v>
      </c>
      <c r="BK98" s="13" t="e">
        <f>IF(Data!#REF!="","",IF(Data!$G98="",1,IF(ISNUMBER(MATCH(Data!#REF!,Data_Val!$D$2:$D$10,0)),0,1)))</f>
        <v>#REF!</v>
      </c>
    </row>
    <row r="99" spans="1:63" x14ac:dyDescent="0.25">
      <c r="A99" s="9" t="str">
        <f>IF(Data!B99="","",IF(COUNTIFS(Data!A$1:'Data'!A99,Data!A99)&lt;=1,0,1))</f>
        <v/>
      </c>
      <c r="B99" s="9"/>
      <c r="C99" s="23" t="str">
        <f>IF(Data!C99="","",(IF(ISNUMBER(MATCH("*@*.?*",Data!C99,0)),0,1)+IF(COUNTIFS(Data!C$1:'Data'!C99,Data!C99)&gt;1,1,0)))</f>
        <v/>
      </c>
      <c r="D99" s="9" t="str">
        <f>IF(Data!B99="","",IF(ISNUMBER(Data!D99),IF(AND(Data!D99&gt;999999999,Data!D99&lt;=9999999999),IF(COUNTIFS(Data!D$1:'Data'!D99,Data!D99)&lt;=1,0,1),1),1))</f>
        <v/>
      </c>
      <c r="E99" s="9" t="str">
        <f>IF(Data!B99="","",IF(ISNUMBER(MATCH(Data!E99,Data_Val!$A$2:$A$3,0)),0,1))</f>
        <v/>
      </c>
      <c r="F99" s="9" t="str">
        <f ca="1">IF(Data!B99="","",IF(ISNUMBER(Data!F99),IF(AND(Data!F99&gt;(TODAY()-(Data_Val!$H$3*365.25)),Data!F99&lt;=(TODAY()-(Data_Val!$H$2*365.25))),0,1),1))</f>
        <v/>
      </c>
      <c r="G99" s="15" t="str">
        <f>IF(Data!B99="","",IF(AND(Data!G99="",Data!H99&lt;&gt;""),1,IF(Data!#REF!&lt;&gt;"",0,IF(ISNUMBER(MATCH(Data!G99,Data_Val!$C$2:$C$5,0)),0,1))))</f>
        <v/>
      </c>
      <c r="H99" s="15" t="str">
        <f>IF(Data!B99="","",IF(AND(Data!G99&lt;&gt;"",Data!H99=""),1,IF(Data!#REF!&lt;&gt;"",0,IF(Data!G99="",1,IF(ISNUMBER(MATCH(Data!H99,Data_Val!$D$2:$D$35,0)),0,1)))))</f>
        <v/>
      </c>
      <c r="I99" s="15" t="str">
        <f>IF(Data!B99="","",IF(Data!G99&lt;&gt;"",0,IF(ISNUMBER(MATCH(Data!#REF!,Data_Val!$E$2:$E$12,0)),0,1)))</f>
        <v/>
      </c>
      <c r="J99" s="16" t="e">
        <f>IF(OR(Data!B99="",Data!#REF!=""),"",IF(Data!#REF!="",1,0))</f>
        <v>#REF!</v>
      </c>
      <c r="K99" s="16" t="e">
        <f>IF(OR(Data!B99="",Data!#REF!=""),"",IF(Data!#REF!="",1,0))</f>
        <v>#REF!</v>
      </c>
      <c r="L99" s="16" t="e">
        <f>IF(OR(Data!B99="",Data!#REF!=""),"",IF(ISNUMBER(Data!#REF!),IF(AND(Data!#REF!&gt;Data_Val!$G$2,Data!#REF!&lt;=Data_Val!$G$3),0,1),1))</f>
        <v>#REF!</v>
      </c>
      <c r="M99" s="9" t="e">
        <f>IF(OR(Data!B99="",Data!#REF!=""),"",IF(ISNUMBER(MATCH(Data!#REF!,Data_Val!$F$1:$F$38,0)),0,1))</f>
        <v>#REF!</v>
      </c>
      <c r="N99" s="9" t="e">
        <f>IF(OR(Data!B99="",Data!#REF!=""),"",IF(Data!#REF!="",1,0))</f>
        <v>#REF!</v>
      </c>
      <c r="O99" s="17" t="e">
        <f>IF(Data!#REF!="","",IF(Data!#REF!="",1,0))</f>
        <v>#REF!</v>
      </c>
      <c r="P99" s="17" t="e">
        <f>IF(Data!#REF!="","",IF(ISNUMBER(MATCH(Data!#REF!,Data_Val!$A$2:$A$3,0)),0,1))</f>
        <v>#REF!</v>
      </c>
      <c r="Q99" s="25" t="e">
        <f ca="1">IF(Data!#REF!="","",IF(ISNUMBER(Data!#REF!),IF(AND(Data!#REF!&gt;(TODAY()-(Data_Val!$J$3*365.25)),Data!#REF!&lt;=(TODAY()-(Data_Val!$J$2*365.25))),0,1),1))</f>
        <v>#REF!</v>
      </c>
      <c r="R99" s="17" t="e">
        <f>IF(Data!#REF!="","",IF(ISNUMBER(MATCH(Data!#REF!,Data_Val!$B$2:$B$15,0)),0,1))</f>
        <v>#REF!</v>
      </c>
      <c r="S99" s="11" t="str">
        <f>IF(Data!G99="","",IF(Data!G99=Data_Val!$C$2,IF(Data!M99="",0,1),0))</f>
        <v/>
      </c>
      <c r="T99" s="11" t="str">
        <f>IF(Data!M99="","",IF(ISNUMBER(MATCH(Data!N99,Data_Val!$A$2:$A$3,0)),0,1))</f>
        <v/>
      </c>
      <c r="U99" s="11" t="str">
        <f ca="1">IF(Data!M99="","",IF(ISNUMBER(Data!O99),IF(AND(Data!O99&gt;(TODAY()-(Data_Val!$K$3*365.25)),Data!O99&lt;=(TODAY()-(Data_Val!$K$2*365.25))),0,1),1))</f>
        <v/>
      </c>
      <c r="V99" s="12" t="str">
        <f>IF(Data!G99="","",IF(Data!G99=Data_Val!$C$2,IF(Data!P99="",0,1),0))</f>
        <v/>
      </c>
      <c r="W99" s="12" t="str">
        <f>IF(Data!P99="","",IF(ISNUMBER(MATCH(Data!Q99,Data_Val!$A$2:$A$3,0)),0,1))</f>
        <v/>
      </c>
      <c r="X99" s="26" t="str">
        <f ca="1">IF(Data!P99="","",IF(ISNUMBER(Data!R99),IF(AND(Data!R99&gt;(TODAY()-(Data_Val!$L$3*365.25)),Data!R99&lt;=(TODAY()-(Data_Val!$L$2*365.25))),0,1),1))</f>
        <v/>
      </c>
      <c r="Y99" s="13" t="str">
        <f>IF(Data!$G99="","",IF(Data!$G99=Data_Val!$C$2,IF(Data!S99="",0,1),0))</f>
        <v/>
      </c>
      <c r="Z99" s="13" t="str">
        <f>IF(Data!S99="","",IF(ISNUMBER(MATCH(Data!T99,Data_Val!$A$2:$A$3,0)),0,1))</f>
        <v/>
      </c>
      <c r="AA99" s="28" t="str">
        <f ca="1">IF(Data!S99="","",IF(ISNUMBER(Data!U99),IF(AND(Data!U99&gt;(TODAY()-(Data_Val!$L$3*365.25)),Data!U99&lt;=(TODAY()-(Data_Val!$L$2*365.25))),0,1),1))</f>
        <v/>
      </c>
      <c r="AB99" s="11"/>
      <c r="AC99" s="11" t="e">
        <f>IF(Data!#REF!="","",IF(ISNUMBER(MATCH(Data!#REF!,Data_Val!$A$2:$A$3,0)),0,1))</f>
        <v>#REF!</v>
      </c>
      <c r="AD99" s="11" t="e">
        <f ca="1">IF(Data!#REF!="","",IF(ISNUMBER(Data!#REF!),IF(AND(Data!#REF!&gt;(TODAY()-(Data_Val!$L$3*365.25)),Data!#REF!&lt;=(TODAY()-(Data_Val!$L$2*365.25))),0,1),1))</f>
        <v>#REF!</v>
      </c>
      <c r="AE99" s="11" t="e">
        <f>IF(Data!#REF!="","",IF(Data!$G99="",1,IF(ISNUMBER(MATCH(Data!#REF!,Data_Val!$D$2:$D$10,0)),0,1)))</f>
        <v>#REF!</v>
      </c>
      <c r="AF99" s="12"/>
      <c r="AG99" s="12" t="e">
        <f>IF(Data!#REF!="","",IF(ISNUMBER(MATCH(Data!#REF!,Data_Val!$A$2:$A$3,0)),0,1))</f>
        <v>#REF!</v>
      </c>
      <c r="AH99" s="26" t="e">
        <f ca="1">IF(Data!#REF!="","",IF(ISNUMBER(Data!#REF!),IF(AND(Data!#REF!&gt;(TODAY()-(Data_Val!$L$3*365.25)),Data!#REF!&lt;=(TODAY()-(Data_Val!$L$2*365.25))),0,1),1))</f>
        <v>#REF!</v>
      </c>
      <c r="AI99" s="12" t="e">
        <f>IF(Data!#REF!="","",IF(Data!$G99="",1,IF(ISNUMBER(MATCH(Data!#REF!,Data_Val!$D$2:$D$10,0)),0,1)))</f>
        <v>#REF!</v>
      </c>
      <c r="AJ99" s="17"/>
      <c r="AK99" s="17" t="e">
        <f>IF(Data!#REF!="","",IF(ISNUMBER(MATCH(Data!#REF!,Data_Val!$A$2:$A$3,0)),0,1))</f>
        <v>#REF!</v>
      </c>
      <c r="AL99" s="25" t="e">
        <f ca="1">IF(Data!#REF!="","",IF(ISNUMBER(Data!#REF!),IF(AND(Data!#REF!&gt;(TODAY()-(Data_Val!$L$3*365.25)),Data!#REF!&lt;=(TODAY()-(Data_Val!$L$2*365.25))),0,1),1))</f>
        <v>#REF!</v>
      </c>
      <c r="AM99" s="17" t="e">
        <f>IF(Data!#REF!="","",IF(Data!$G99="",1,IF(ISNUMBER(MATCH(Data!#REF!,Data_Val!$D$2:$D$10,0)),0,1)))</f>
        <v>#REF!</v>
      </c>
      <c r="AN99" s="13"/>
      <c r="AO99" s="28" t="e">
        <f ca="1">IF(Data!#REF!="","",IF(ISNUMBER(Data!#REF!),IF(AND(Data!#REF!&gt;(TODAY()-(Data_Val!$I$3*365.25)),Data!#REF!&lt;=(TODAY()-(Data_Val!$I$2*365.25))),0,1),1))</f>
        <v>#REF!</v>
      </c>
      <c r="AP99" s="13" t="e">
        <f>IF(Data!#REF!="","",IF(Data!$G99="",1,IF(ISNUMBER(MATCH(Data!#REF!,Data_Val!$D$2:$D$10,0)),0,1)))</f>
        <v>#REF!</v>
      </c>
      <c r="AQ99" s="17"/>
      <c r="AR99" s="30" t="e">
        <f ca="1">IF(Data!#REF!="","",IF(ISNUMBER(Data!#REF!),IF(AND(Data!#REF!&gt;(TODAY()-(Data_Val!$I$3*365.25)),Data!#REF!&lt;=(TODAY()-(Data_Val!$I$2*365.25))),0,1),1))</f>
        <v>#REF!</v>
      </c>
      <c r="AS99" s="31" t="e">
        <f>IF(Data!#REF!="","",IF(Data!$G99="",1,IF(ISNUMBER(MATCH(Data!#REF!,Data_Val!$D$2:$D$10,0)),0,1)))</f>
        <v>#REF!</v>
      </c>
      <c r="AT99" s="11"/>
      <c r="AU99" s="11" t="e">
        <f ca="1">IF(Data!#REF!="","",IF(ISNUMBER(Data!#REF!),IF(AND(Data!#REF!&gt;(TODAY()-(Data_Val!$I$3*365.25)),Data!#REF!&lt;=(TODAY()-(Data_Val!$I$2*365.25))),0,1),1))</f>
        <v>#REF!</v>
      </c>
      <c r="AV99" s="11" t="e">
        <f>IF(Data!#REF!="","",IF(Data!$G99="",1,IF(ISNUMBER(MATCH(Data!#REF!,Data_Val!$D$2:$D$10,0)),0,1)))</f>
        <v>#REF!</v>
      </c>
      <c r="AW99" s="12"/>
      <c r="AX99" s="26" t="e">
        <f ca="1">IF(Data!#REF!="","",IF(ISNUMBER(Data!#REF!),IF(AND(Data!#REF!&gt;(TODAY()-(Data_Val!$I$3*365.25)),Data!#REF!&lt;=(TODAY()-(Data_Val!$I$2*365.25))),0,1),1))</f>
        <v>#REF!</v>
      </c>
      <c r="AY99" s="12" t="e">
        <f>IF(Data!#REF!="","",IF(Data!$G99="",1,IF(ISNUMBER(MATCH(Data!#REF!,Data_Val!$D$2:$D$10,0)),0,1)))</f>
        <v>#REF!</v>
      </c>
      <c r="AZ99" s="11"/>
      <c r="BA99" s="19" t="e">
        <f ca="1">IF(Data!#REF!="","",IF(ISNUMBER(Data!#REF!),IF(AND(Data!#REF!&gt;(TODAY()-(Data_Val!$M$3*365.25)),Data!#REF!&lt;=(TODAY()-(Data_Val!$M$2*365.25))),0,1),1))</f>
        <v>#REF!</v>
      </c>
      <c r="BB99" s="11" t="e">
        <f>IF(Data!#REF!="","",IF(Data!$G99="",1,IF(ISNUMBER(MATCH(Data!#REF!,Data_Val!$D$2:$D$10,0)),0,1)))</f>
        <v>#REF!</v>
      </c>
      <c r="BC99" s="12"/>
      <c r="BD99" s="20" t="e">
        <f ca="1">IF(Data!#REF!="","",IF(ISNUMBER(Data!#REF!),IF(AND(Data!#REF!&gt;(TODAY()-(Data_Val!$M$3*365.25)),Data!#REF!&lt;=(TODAY()-(Data_Val!$M$2*365.25))),0,1),1))</f>
        <v>#REF!</v>
      </c>
      <c r="BE99" s="12" t="e">
        <f>IF(Data!#REF!="","",IF(Data!$G99="",1,IF(ISNUMBER(MATCH(Data!#REF!,Data_Val!$D$2:$D$10,0)),0,1)))</f>
        <v>#REF!</v>
      </c>
      <c r="BF99" s="17"/>
      <c r="BG99" s="18" t="e">
        <f ca="1">IF(Data!#REF!="","",IF(ISNUMBER(Data!#REF!),IF(AND(Data!#REF!&gt;(TODAY()-(Data_Val!$M$3*365.25)),Data!#REF!&lt;=(TODAY()-(Data_Val!$M$2*365.25))),0,1),1))</f>
        <v>#REF!</v>
      </c>
      <c r="BH99" s="29" t="e">
        <f>IF(Data!#REF!="","",IF(Data!$G99="",1,IF(ISNUMBER(MATCH(Data!#REF!,Data_Val!$D$2:$D$10,0)),0,1)))</f>
        <v>#REF!</v>
      </c>
      <c r="BI99" s="13"/>
      <c r="BJ99" s="21" t="e">
        <f ca="1">IF(Data!#REF!="","",IF(ISNUMBER(Data!#REF!),IF(AND(Data!#REF!&gt;(TODAY()-(Data_Val!$M$3*365.25)),Data!#REF!&lt;=(TODAY()-(Data_Val!$M$2*365.25))),0,1),1))</f>
        <v>#REF!</v>
      </c>
      <c r="BK99" s="13" t="e">
        <f>IF(Data!#REF!="","",IF(Data!$G99="",1,IF(ISNUMBER(MATCH(Data!#REF!,Data_Val!$D$2:$D$10,0)),0,1)))</f>
        <v>#REF!</v>
      </c>
    </row>
    <row r="100" spans="1:63" x14ac:dyDescent="0.25">
      <c r="A100" s="9" t="str">
        <f>IF(Data!B100="","",IF(COUNTIFS(Data!A$1:'Data'!A100,Data!A100)&lt;=1,0,1))</f>
        <v/>
      </c>
      <c r="B100" s="9"/>
      <c r="C100" s="23" t="str">
        <f>IF(Data!C100="","",(IF(ISNUMBER(MATCH("*@*.?*",Data!C100,0)),0,1)+IF(COUNTIFS(Data!C$1:'Data'!C100,Data!C100)&gt;1,1,0)))</f>
        <v/>
      </c>
      <c r="D100" s="9" t="str">
        <f>IF(Data!B100="","",IF(ISNUMBER(Data!D100),IF(AND(Data!D100&gt;999999999,Data!D100&lt;=9999999999),IF(COUNTIFS(Data!D$1:'Data'!D100,Data!D100)&lt;=1,0,1),1),1))</f>
        <v/>
      </c>
      <c r="E100" s="9" t="str">
        <f>IF(Data!B100="","",IF(ISNUMBER(MATCH(Data!E100,Data_Val!$A$2:$A$3,0)),0,1))</f>
        <v/>
      </c>
      <c r="F100" s="9" t="str">
        <f ca="1">IF(Data!B100="","",IF(ISNUMBER(Data!F100),IF(AND(Data!F100&gt;(TODAY()-(Data_Val!$H$3*365.25)),Data!F100&lt;=(TODAY()-(Data_Val!$H$2*365.25))),0,1),1))</f>
        <v/>
      </c>
      <c r="G100" s="15" t="str">
        <f>IF(Data!B100="","",IF(AND(Data!G100="",Data!H100&lt;&gt;""),1,IF(Data!#REF!&lt;&gt;"",0,IF(ISNUMBER(MATCH(Data!G100,Data_Val!$C$2:$C$5,0)),0,1))))</f>
        <v/>
      </c>
      <c r="H100" s="15" t="str">
        <f>IF(Data!B100="","",IF(AND(Data!G100&lt;&gt;"",Data!H100=""),1,IF(Data!#REF!&lt;&gt;"",0,IF(Data!G100="",1,IF(ISNUMBER(MATCH(Data!H100,Data_Val!$D$2:$D$35,0)),0,1)))))</f>
        <v/>
      </c>
      <c r="I100" s="15" t="str">
        <f>IF(Data!B100="","",IF(Data!G100&lt;&gt;"",0,IF(ISNUMBER(MATCH(Data!#REF!,Data_Val!$E$2:$E$12,0)),0,1)))</f>
        <v/>
      </c>
      <c r="J100" s="16" t="e">
        <f>IF(OR(Data!B100="",Data!#REF!=""),"",IF(Data!#REF!="",1,0))</f>
        <v>#REF!</v>
      </c>
      <c r="K100" s="16" t="e">
        <f>IF(OR(Data!B100="",Data!#REF!=""),"",IF(Data!#REF!="",1,0))</f>
        <v>#REF!</v>
      </c>
      <c r="L100" s="16" t="e">
        <f>IF(OR(Data!B100="",Data!#REF!=""),"",IF(ISNUMBER(Data!#REF!),IF(AND(Data!#REF!&gt;Data_Val!$G$2,Data!#REF!&lt;=Data_Val!$G$3),0,1),1))</f>
        <v>#REF!</v>
      </c>
      <c r="M100" s="9" t="e">
        <f>IF(OR(Data!B100="",Data!#REF!=""),"",IF(ISNUMBER(MATCH(Data!#REF!,Data_Val!$F$1:$F$38,0)),0,1))</f>
        <v>#REF!</v>
      </c>
      <c r="N100" s="9" t="e">
        <f>IF(OR(Data!B100="",Data!#REF!=""),"",IF(Data!#REF!="",1,0))</f>
        <v>#REF!</v>
      </c>
      <c r="O100" s="17" t="e">
        <f>IF(Data!#REF!="","",IF(Data!#REF!="",1,0))</f>
        <v>#REF!</v>
      </c>
      <c r="P100" s="17" t="e">
        <f>IF(Data!#REF!="","",IF(ISNUMBER(MATCH(Data!#REF!,Data_Val!$A$2:$A$3,0)),0,1))</f>
        <v>#REF!</v>
      </c>
      <c r="Q100" s="25" t="e">
        <f ca="1">IF(Data!#REF!="","",IF(ISNUMBER(Data!#REF!),IF(AND(Data!#REF!&gt;(TODAY()-(Data_Val!$J$3*365.25)),Data!#REF!&lt;=(TODAY()-(Data_Val!$J$2*365.25))),0,1),1))</f>
        <v>#REF!</v>
      </c>
      <c r="R100" s="17" t="e">
        <f>IF(Data!#REF!="","",IF(ISNUMBER(MATCH(Data!#REF!,Data_Val!$B$2:$B$15,0)),0,1))</f>
        <v>#REF!</v>
      </c>
      <c r="S100" s="11" t="str">
        <f>IF(Data!G100="","",IF(Data!G100=Data_Val!$C$2,IF(Data!M100="",0,1),0))</f>
        <v/>
      </c>
      <c r="T100" s="11" t="str">
        <f>IF(Data!M100="","",IF(ISNUMBER(MATCH(Data!N100,Data_Val!$A$2:$A$3,0)),0,1))</f>
        <v/>
      </c>
      <c r="U100" s="11" t="str">
        <f ca="1">IF(Data!M100="","",IF(ISNUMBER(Data!O100),IF(AND(Data!O100&gt;(TODAY()-(Data_Val!$K$3*365.25)),Data!O100&lt;=(TODAY()-(Data_Val!$K$2*365.25))),0,1),1))</f>
        <v/>
      </c>
      <c r="V100" s="12" t="str">
        <f>IF(Data!G100="","",IF(Data!G100=Data_Val!$C$2,IF(Data!P100="",0,1),0))</f>
        <v/>
      </c>
      <c r="W100" s="12" t="str">
        <f>IF(Data!P100="","",IF(ISNUMBER(MATCH(Data!Q100,Data_Val!$A$2:$A$3,0)),0,1))</f>
        <v/>
      </c>
      <c r="X100" s="26" t="str">
        <f ca="1">IF(Data!P100="","",IF(ISNUMBER(Data!R100),IF(AND(Data!R100&gt;(TODAY()-(Data_Val!$L$3*365.25)),Data!R100&lt;=(TODAY()-(Data_Val!$L$2*365.25))),0,1),1))</f>
        <v/>
      </c>
      <c r="Y100" s="13" t="str">
        <f>IF(Data!$G100="","",IF(Data!$G100=Data_Val!$C$2,IF(Data!S100="",0,1),0))</f>
        <v/>
      </c>
      <c r="Z100" s="13" t="str">
        <f>IF(Data!S100="","",IF(ISNUMBER(MATCH(Data!T100,Data_Val!$A$2:$A$3,0)),0,1))</f>
        <v/>
      </c>
      <c r="AA100" s="28" t="str">
        <f ca="1">IF(Data!S100="","",IF(ISNUMBER(Data!U100),IF(AND(Data!U100&gt;(TODAY()-(Data_Val!$L$3*365.25)),Data!U100&lt;=(TODAY()-(Data_Val!$L$2*365.25))),0,1),1))</f>
        <v/>
      </c>
      <c r="AB100" s="11"/>
      <c r="AC100" s="11" t="e">
        <f>IF(Data!#REF!="","",IF(ISNUMBER(MATCH(Data!#REF!,Data_Val!$A$2:$A$3,0)),0,1))</f>
        <v>#REF!</v>
      </c>
      <c r="AD100" s="11" t="e">
        <f ca="1">IF(Data!#REF!="","",IF(ISNUMBER(Data!#REF!),IF(AND(Data!#REF!&gt;(TODAY()-(Data_Val!$L$3*365.25)),Data!#REF!&lt;=(TODAY()-(Data_Val!$L$2*365.25))),0,1),1))</f>
        <v>#REF!</v>
      </c>
      <c r="AE100" s="11" t="e">
        <f>IF(Data!#REF!="","",IF(Data!$G100="",1,IF(ISNUMBER(MATCH(Data!#REF!,Data_Val!$D$2:$D$10,0)),0,1)))</f>
        <v>#REF!</v>
      </c>
      <c r="AF100" s="12"/>
      <c r="AG100" s="12" t="e">
        <f>IF(Data!#REF!="","",IF(ISNUMBER(MATCH(Data!#REF!,Data_Val!$A$2:$A$3,0)),0,1))</f>
        <v>#REF!</v>
      </c>
      <c r="AH100" s="26" t="e">
        <f ca="1">IF(Data!#REF!="","",IF(ISNUMBER(Data!#REF!),IF(AND(Data!#REF!&gt;(TODAY()-(Data_Val!$L$3*365.25)),Data!#REF!&lt;=(TODAY()-(Data_Val!$L$2*365.25))),0,1),1))</f>
        <v>#REF!</v>
      </c>
      <c r="AI100" s="12" t="e">
        <f>IF(Data!#REF!="","",IF(Data!$G100="",1,IF(ISNUMBER(MATCH(Data!#REF!,Data_Val!$D$2:$D$10,0)),0,1)))</f>
        <v>#REF!</v>
      </c>
      <c r="AJ100" s="17"/>
      <c r="AK100" s="17" t="e">
        <f>IF(Data!#REF!="","",IF(ISNUMBER(MATCH(Data!#REF!,Data_Val!$A$2:$A$3,0)),0,1))</f>
        <v>#REF!</v>
      </c>
      <c r="AL100" s="25" t="e">
        <f ca="1">IF(Data!#REF!="","",IF(ISNUMBER(Data!#REF!),IF(AND(Data!#REF!&gt;(TODAY()-(Data_Val!$L$3*365.25)),Data!#REF!&lt;=(TODAY()-(Data_Val!$L$2*365.25))),0,1),1))</f>
        <v>#REF!</v>
      </c>
      <c r="AM100" s="17" t="e">
        <f>IF(Data!#REF!="","",IF(Data!$G100="",1,IF(ISNUMBER(MATCH(Data!#REF!,Data_Val!$D$2:$D$10,0)),0,1)))</f>
        <v>#REF!</v>
      </c>
      <c r="AN100" s="13"/>
      <c r="AO100" s="28" t="e">
        <f ca="1">IF(Data!#REF!="","",IF(ISNUMBER(Data!#REF!),IF(AND(Data!#REF!&gt;(TODAY()-(Data_Val!$I$3*365.25)),Data!#REF!&lt;=(TODAY()-(Data_Val!$I$2*365.25))),0,1),1))</f>
        <v>#REF!</v>
      </c>
      <c r="AP100" s="13" t="e">
        <f>IF(Data!#REF!="","",IF(Data!$G100="",1,IF(ISNUMBER(MATCH(Data!#REF!,Data_Val!$D$2:$D$10,0)),0,1)))</f>
        <v>#REF!</v>
      </c>
      <c r="AQ100" s="17"/>
      <c r="AR100" s="30" t="e">
        <f ca="1">IF(Data!#REF!="","",IF(ISNUMBER(Data!#REF!),IF(AND(Data!#REF!&gt;(TODAY()-(Data_Val!$I$3*365.25)),Data!#REF!&lt;=(TODAY()-(Data_Val!$I$2*365.25))),0,1),1))</f>
        <v>#REF!</v>
      </c>
      <c r="AS100" s="31" t="e">
        <f>IF(Data!#REF!="","",IF(Data!$G100="",1,IF(ISNUMBER(MATCH(Data!#REF!,Data_Val!$D$2:$D$10,0)),0,1)))</f>
        <v>#REF!</v>
      </c>
      <c r="AT100" s="11"/>
      <c r="AU100" s="11" t="e">
        <f ca="1">IF(Data!#REF!="","",IF(ISNUMBER(Data!#REF!),IF(AND(Data!#REF!&gt;(TODAY()-(Data_Val!$I$3*365.25)),Data!#REF!&lt;=(TODAY()-(Data_Val!$I$2*365.25))),0,1),1))</f>
        <v>#REF!</v>
      </c>
      <c r="AV100" s="11" t="e">
        <f>IF(Data!#REF!="","",IF(Data!$G100="",1,IF(ISNUMBER(MATCH(Data!#REF!,Data_Val!$D$2:$D$10,0)),0,1)))</f>
        <v>#REF!</v>
      </c>
      <c r="AW100" s="12"/>
      <c r="AX100" s="26" t="e">
        <f ca="1">IF(Data!#REF!="","",IF(ISNUMBER(Data!#REF!),IF(AND(Data!#REF!&gt;(TODAY()-(Data_Val!$I$3*365.25)),Data!#REF!&lt;=(TODAY()-(Data_Val!$I$2*365.25))),0,1),1))</f>
        <v>#REF!</v>
      </c>
      <c r="AY100" s="12" t="e">
        <f>IF(Data!#REF!="","",IF(Data!$G100="",1,IF(ISNUMBER(MATCH(Data!#REF!,Data_Val!$D$2:$D$10,0)),0,1)))</f>
        <v>#REF!</v>
      </c>
      <c r="AZ100" s="11"/>
      <c r="BA100" s="19" t="e">
        <f ca="1">IF(Data!#REF!="","",IF(ISNUMBER(Data!#REF!),IF(AND(Data!#REF!&gt;(TODAY()-(Data_Val!$M$3*365.25)),Data!#REF!&lt;=(TODAY()-(Data_Val!$M$2*365.25))),0,1),1))</f>
        <v>#REF!</v>
      </c>
      <c r="BB100" s="11" t="e">
        <f>IF(Data!#REF!="","",IF(Data!$G100="",1,IF(ISNUMBER(MATCH(Data!#REF!,Data_Val!$D$2:$D$10,0)),0,1)))</f>
        <v>#REF!</v>
      </c>
      <c r="BC100" s="12"/>
      <c r="BD100" s="20" t="e">
        <f ca="1">IF(Data!#REF!="","",IF(ISNUMBER(Data!#REF!),IF(AND(Data!#REF!&gt;(TODAY()-(Data_Val!$M$3*365.25)),Data!#REF!&lt;=(TODAY()-(Data_Val!$M$2*365.25))),0,1),1))</f>
        <v>#REF!</v>
      </c>
      <c r="BE100" s="12" t="e">
        <f>IF(Data!#REF!="","",IF(Data!$G100="",1,IF(ISNUMBER(MATCH(Data!#REF!,Data_Val!$D$2:$D$10,0)),0,1)))</f>
        <v>#REF!</v>
      </c>
      <c r="BF100" s="17"/>
      <c r="BG100" s="18" t="e">
        <f ca="1">IF(Data!#REF!="","",IF(ISNUMBER(Data!#REF!),IF(AND(Data!#REF!&gt;(TODAY()-(Data_Val!$M$3*365.25)),Data!#REF!&lt;=(TODAY()-(Data_Val!$M$2*365.25))),0,1),1))</f>
        <v>#REF!</v>
      </c>
      <c r="BH100" s="29" t="e">
        <f>IF(Data!#REF!="","",IF(Data!$G100="",1,IF(ISNUMBER(MATCH(Data!#REF!,Data_Val!$D$2:$D$10,0)),0,1)))</f>
        <v>#REF!</v>
      </c>
      <c r="BI100" s="13"/>
      <c r="BJ100" s="21" t="e">
        <f ca="1">IF(Data!#REF!="","",IF(ISNUMBER(Data!#REF!),IF(AND(Data!#REF!&gt;(TODAY()-(Data_Val!$M$3*365.25)),Data!#REF!&lt;=(TODAY()-(Data_Val!$M$2*365.25))),0,1),1))</f>
        <v>#REF!</v>
      </c>
      <c r="BK100" s="13" t="e">
        <f>IF(Data!#REF!="","",IF(Data!$G100="",1,IF(ISNUMBER(MATCH(Data!#REF!,Data_Val!$D$2:$D$10,0)),0,1)))</f>
        <v>#REF!</v>
      </c>
    </row>
    <row r="101" spans="1:63" x14ac:dyDescent="0.25">
      <c r="A101" s="9" t="str">
        <f>IF(Data!B101="","",IF(COUNTIFS(Data!A$1:'Data'!A101,Data!A101)&lt;=1,0,1))</f>
        <v/>
      </c>
      <c r="B101" s="9"/>
      <c r="C101" s="23" t="str">
        <f>IF(Data!C101="","",(IF(ISNUMBER(MATCH("*@*.?*",Data!C101,0)),0,1)+IF(COUNTIFS(Data!C$1:'Data'!C101,Data!C101)&gt;1,1,0)))</f>
        <v/>
      </c>
      <c r="D101" s="9" t="str">
        <f>IF(Data!B101="","",IF(ISNUMBER(Data!D101),IF(AND(Data!D101&gt;999999999,Data!D101&lt;=9999999999),IF(COUNTIFS(Data!D$1:'Data'!D101,Data!D101)&lt;=1,0,1),1),1))</f>
        <v/>
      </c>
      <c r="E101" s="9" t="str">
        <f>IF(Data!B101="","",IF(ISNUMBER(MATCH(Data!E101,Data_Val!$A$2:$A$3,0)),0,1))</f>
        <v/>
      </c>
      <c r="F101" s="9" t="str">
        <f ca="1">IF(Data!B101="","",IF(ISNUMBER(Data!F101),IF(AND(Data!F101&gt;(TODAY()-(Data_Val!$H$3*365.25)),Data!F101&lt;=(TODAY()-(Data_Val!$H$2*365.25))),0,1),1))</f>
        <v/>
      </c>
      <c r="G101" s="15" t="str">
        <f>IF(Data!B101="","",IF(AND(Data!G101="",Data!H101&lt;&gt;""),1,IF(Data!#REF!&lt;&gt;"",0,IF(ISNUMBER(MATCH(Data!G101,Data_Val!$C$2:$C$5,0)),0,1))))</f>
        <v/>
      </c>
      <c r="H101" s="15" t="str">
        <f>IF(Data!B101="","",IF(AND(Data!G101&lt;&gt;"",Data!H101=""),1,IF(Data!#REF!&lt;&gt;"",0,IF(Data!G101="",1,IF(ISNUMBER(MATCH(Data!H101,Data_Val!$D$2:$D$35,0)),0,1)))))</f>
        <v/>
      </c>
      <c r="I101" s="15" t="str">
        <f>IF(Data!B101="","",IF(Data!G101&lt;&gt;"",0,IF(ISNUMBER(MATCH(Data!#REF!,Data_Val!$E$2:$E$12,0)),0,1)))</f>
        <v/>
      </c>
      <c r="J101" s="16" t="e">
        <f>IF(OR(Data!B101="",Data!#REF!=""),"",IF(Data!#REF!="",1,0))</f>
        <v>#REF!</v>
      </c>
      <c r="K101" s="16" t="e">
        <f>IF(OR(Data!B101="",Data!#REF!=""),"",IF(Data!#REF!="",1,0))</f>
        <v>#REF!</v>
      </c>
      <c r="L101" s="16" t="e">
        <f>IF(OR(Data!B101="",Data!#REF!=""),"",IF(ISNUMBER(Data!#REF!),IF(AND(Data!#REF!&gt;Data_Val!$G$2,Data!#REF!&lt;=Data_Val!$G$3),0,1),1))</f>
        <v>#REF!</v>
      </c>
      <c r="M101" s="9" t="e">
        <f>IF(OR(Data!B101="",Data!#REF!=""),"",IF(ISNUMBER(MATCH(Data!#REF!,Data_Val!$F$1:$F$38,0)),0,1))</f>
        <v>#REF!</v>
      </c>
      <c r="N101" s="9" t="e">
        <f>IF(OR(Data!B101="",Data!#REF!=""),"",IF(Data!#REF!="",1,0))</f>
        <v>#REF!</v>
      </c>
      <c r="O101" s="17" t="e">
        <f>IF(Data!#REF!="","",IF(Data!#REF!="",1,0))</f>
        <v>#REF!</v>
      </c>
      <c r="P101" s="17" t="e">
        <f>IF(Data!#REF!="","",IF(ISNUMBER(MATCH(Data!#REF!,Data_Val!$A$2:$A$3,0)),0,1))</f>
        <v>#REF!</v>
      </c>
      <c r="Q101" s="25" t="e">
        <f ca="1">IF(Data!#REF!="","",IF(ISNUMBER(Data!#REF!),IF(AND(Data!#REF!&gt;(TODAY()-(Data_Val!$J$3*365.25)),Data!#REF!&lt;=(TODAY()-(Data_Val!$J$2*365.25))),0,1),1))</f>
        <v>#REF!</v>
      </c>
      <c r="R101" s="17" t="e">
        <f>IF(Data!#REF!="","",IF(ISNUMBER(MATCH(Data!#REF!,Data_Val!$B$2:$B$15,0)),0,1))</f>
        <v>#REF!</v>
      </c>
      <c r="S101" s="11" t="str">
        <f>IF(Data!G101="","",IF(Data!G101=Data_Val!$C$2,IF(Data!M101="",0,1),0))</f>
        <v/>
      </c>
      <c r="T101" s="11" t="str">
        <f>IF(Data!M101="","",IF(ISNUMBER(MATCH(Data!N101,Data_Val!$A$2:$A$3,0)),0,1))</f>
        <v/>
      </c>
      <c r="U101" s="11" t="str">
        <f ca="1">IF(Data!M101="","",IF(ISNUMBER(Data!O101),IF(AND(Data!O101&gt;(TODAY()-(Data_Val!$K$3*365.25)),Data!O101&lt;=(TODAY()-(Data_Val!$K$2*365.25))),0,1),1))</f>
        <v/>
      </c>
      <c r="V101" s="12" t="str">
        <f>IF(Data!G101="","",IF(Data!G101=Data_Val!$C$2,IF(Data!P101="",0,1),0))</f>
        <v/>
      </c>
      <c r="W101" s="12" t="str">
        <f>IF(Data!P101="","",IF(ISNUMBER(MATCH(Data!Q101,Data_Val!$A$2:$A$3,0)),0,1))</f>
        <v/>
      </c>
      <c r="X101" s="26" t="str">
        <f ca="1">IF(Data!P101="","",IF(ISNUMBER(Data!R101),IF(AND(Data!R101&gt;(TODAY()-(Data_Val!$L$3*365.25)),Data!R101&lt;=(TODAY()-(Data_Val!$L$2*365.25))),0,1),1))</f>
        <v/>
      </c>
      <c r="Y101" s="13" t="str">
        <f>IF(Data!$G101="","",IF(Data!$G101=Data_Val!$C$2,IF(Data!S101="",0,1),0))</f>
        <v/>
      </c>
      <c r="Z101" s="13" t="str">
        <f>IF(Data!S101="","",IF(ISNUMBER(MATCH(Data!T101,Data_Val!$A$2:$A$3,0)),0,1))</f>
        <v/>
      </c>
      <c r="AA101" s="28" t="str">
        <f ca="1">IF(Data!S101="","",IF(ISNUMBER(Data!U101),IF(AND(Data!U101&gt;(TODAY()-(Data_Val!$L$3*365.25)),Data!U101&lt;=(TODAY()-(Data_Val!$L$2*365.25))),0,1),1))</f>
        <v/>
      </c>
      <c r="AB101" s="11"/>
      <c r="AC101" s="11" t="e">
        <f>IF(Data!#REF!="","",IF(ISNUMBER(MATCH(Data!#REF!,Data_Val!$A$2:$A$3,0)),0,1))</f>
        <v>#REF!</v>
      </c>
      <c r="AD101" s="11" t="e">
        <f ca="1">IF(Data!#REF!="","",IF(ISNUMBER(Data!#REF!),IF(AND(Data!#REF!&gt;(TODAY()-(Data_Val!$L$3*365.25)),Data!#REF!&lt;=(TODAY()-(Data_Val!$L$2*365.25))),0,1),1))</f>
        <v>#REF!</v>
      </c>
      <c r="AE101" s="11" t="e">
        <f>IF(Data!#REF!="","",IF(Data!$G101="",1,IF(ISNUMBER(MATCH(Data!#REF!,Data_Val!$D$2:$D$10,0)),0,1)))</f>
        <v>#REF!</v>
      </c>
      <c r="AF101" s="12"/>
      <c r="AG101" s="12" t="e">
        <f>IF(Data!#REF!="","",IF(ISNUMBER(MATCH(Data!#REF!,Data_Val!$A$2:$A$3,0)),0,1))</f>
        <v>#REF!</v>
      </c>
      <c r="AH101" s="26" t="e">
        <f ca="1">IF(Data!#REF!="","",IF(ISNUMBER(Data!#REF!),IF(AND(Data!#REF!&gt;(TODAY()-(Data_Val!$L$3*365.25)),Data!#REF!&lt;=(TODAY()-(Data_Val!$L$2*365.25))),0,1),1))</f>
        <v>#REF!</v>
      </c>
      <c r="AI101" s="12" t="e">
        <f>IF(Data!#REF!="","",IF(Data!$G101="",1,IF(ISNUMBER(MATCH(Data!#REF!,Data_Val!$D$2:$D$10,0)),0,1)))</f>
        <v>#REF!</v>
      </c>
      <c r="AJ101" s="17"/>
      <c r="AK101" s="17" t="e">
        <f>IF(Data!#REF!="","",IF(ISNUMBER(MATCH(Data!#REF!,Data_Val!$A$2:$A$3,0)),0,1))</f>
        <v>#REF!</v>
      </c>
      <c r="AL101" s="25" t="e">
        <f ca="1">IF(Data!#REF!="","",IF(ISNUMBER(Data!#REF!),IF(AND(Data!#REF!&gt;(TODAY()-(Data_Val!$L$3*365.25)),Data!#REF!&lt;=(TODAY()-(Data_Val!$L$2*365.25))),0,1),1))</f>
        <v>#REF!</v>
      </c>
      <c r="AM101" s="17" t="e">
        <f>IF(Data!#REF!="","",IF(Data!$G101="",1,IF(ISNUMBER(MATCH(Data!#REF!,Data_Val!$D$2:$D$10,0)),0,1)))</f>
        <v>#REF!</v>
      </c>
      <c r="AN101" s="13"/>
      <c r="AO101" s="28" t="e">
        <f ca="1">IF(Data!#REF!="","",IF(ISNUMBER(Data!#REF!),IF(AND(Data!#REF!&gt;(TODAY()-(Data_Val!$I$3*365.25)),Data!#REF!&lt;=(TODAY()-(Data_Val!$I$2*365.25))),0,1),1))</f>
        <v>#REF!</v>
      </c>
      <c r="AP101" s="13" t="e">
        <f>IF(Data!#REF!="","",IF(Data!$G101="",1,IF(ISNUMBER(MATCH(Data!#REF!,Data_Val!$D$2:$D$10,0)),0,1)))</f>
        <v>#REF!</v>
      </c>
      <c r="AQ101" s="17"/>
      <c r="AR101" s="30" t="e">
        <f ca="1">IF(Data!#REF!="","",IF(ISNUMBER(Data!#REF!),IF(AND(Data!#REF!&gt;(TODAY()-(Data_Val!$I$3*365.25)),Data!#REF!&lt;=(TODAY()-(Data_Val!$I$2*365.25))),0,1),1))</f>
        <v>#REF!</v>
      </c>
      <c r="AS101" s="31" t="e">
        <f>IF(Data!#REF!="","",IF(Data!$G101="",1,IF(ISNUMBER(MATCH(Data!#REF!,Data_Val!$D$2:$D$10,0)),0,1)))</f>
        <v>#REF!</v>
      </c>
      <c r="AT101" s="11"/>
      <c r="AU101" s="11" t="e">
        <f ca="1">IF(Data!#REF!="","",IF(ISNUMBER(Data!#REF!),IF(AND(Data!#REF!&gt;(TODAY()-(Data_Val!$I$3*365.25)),Data!#REF!&lt;=(TODAY()-(Data_Val!$I$2*365.25))),0,1),1))</f>
        <v>#REF!</v>
      </c>
      <c r="AV101" s="11" t="e">
        <f>IF(Data!#REF!="","",IF(Data!$G101="",1,IF(ISNUMBER(MATCH(Data!#REF!,Data_Val!$D$2:$D$10,0)),0,1)))</f>
        <v>#REF!</v>
      </c>
      <c r="AW101" s="12"/>
      <c r="AX101" s="26" t="e">
        <f ca="1">IF(Data!#REF!="","",IF(ISNUMBER(Data!#REF!),IF(AND(Data!#REF!&gt;(TODAY()-(Data_Val!$I$3*365.25)),Data!#REF!&lt;=(TODAY()-(Data_Val!$I$2*365.25))),0,1),1))</f>
        <v>#REF!</v>
      </c>
      <c r="AY101" s="12" t="e">
        <f>IF(Data!#REF!="","",IF(Data!$G101="",1,IF(ISNUMBER(MATCH(Data!#REF!,Data_Val!$D$2:$D$10,0)),0,1)))</f>
        <v>#REF!</v>
      </c>
      <c r="AZ101" s="11"/>
      <c r="BA101" s="19" t="e">
        <f ca="1">IF(Data!#REF!="","",IF(ISNUMBER(Data!#REF!),IF(AND(Data!#REF!&gt;(TODAY()-(Data_Val!$M$3*365.25)),Data!#REF!&lt;=(TODAY()-(Data_Val!$M$2*365.25))),0,1),1))</f>
        <v>#REF!</v>
      </c>
      <c r="BB101" s="11" t="e">
        <f>IF(Data!#REF!="","",IF(Data!$G101="",1,IF(ISNUMBER(MATCH(Data!#REF!,Data_Val!$D$2:$D$10,0)),0,1)))</f>
        <v>#REF!</v>
      </c>
      <c r="BC101" s="12"/>
      <c r="BD101" s="20" t="e">
        <f ca="1">IF(Data!#REF!="","",IF(ISNUMBER(Data!#REF!),IF(AND(Data!#REF!&gt;(TODAY()-(Data_Val!$M$3*365.25)),Data!#REF!&lt;=(TODAY()-(Data_Val!$M$2*365.25))),0,1),1))</f>
        <v>#REF!</v>
      </c>
      <c r="BE101" s="12" t="e">
        <f>IF(Data!#REF!="","",IF(Data!$G101="",1,IF(ISNUMBER(MATCH(Data!#REF!,Data_Val!$D$2:$D$10,0)),0,1)))</f>
        <v>#REF!</v>
      </c>
      <c r="BF101" s="17"/>
      <c r="BG101" s="18" t="e">
        <f ca="1">IF(Data!#REF!="","",IF(ISNUMBER(Data!#REF!),IF(AND(Data!#REF!&gt;(TODAY()-(Data_Val!$M$3*365.25)),Data!#REF!&lt;=(TODAY()-(Data_Val!$M$2*365.25))),0,1),1))</f>
        <v>#REF!</v>
      </c>
      <c r="BH101" s="29" t="e">
        <f>IF(Data!#REF!="","",IF(Data!$G101="",1,IF(ISNUMBER(MATCH(Data!#REF!,Data_Val!$D$2:$D$10,0)),0,1)))</f>
        <v>#REF!</v>
      </c>
      <c r="BI101" s="13"/>
      <c r="BJ101" s="21" t="e">
        <f ca="1">IF(Data!#REF!="","",IF(ISNUMBER(Data!#REF!),IF(AND(Data!#REF!&gt;(TODAY()-(Data_Val!$M$3*365.25)),Data!#REF!&lt;=(TODAY()-(Data_Val!$M$2*365.25))),0,1),1))</f>
        <v>#REF!</v>
      </c>
      <c r="BK101" s="13" t="e">
        <f>IF(Data!#REF!="","",IF(Data!$G101="",1,IF(ISNUMBER(MATCH(Data!#REF!,Data_Val!$D$2:$D$10,0)),0,1)))</f>
        <v>#REF!</v>
      </c>
    </row>
    <row r="102" spans="1:63" x14ac:dyDescent="0.25">
      <c r="A102" s="9" t="str">
        <f>IF(Data!B102="","",IF(COUNTIFS(Data!A$1:'Data'!A102,Data!A102)&lt;=1,0,1))</f>
        <v/>
      </c>
      <c r="B102" s="9"/>
      <c r="C102" s="23" t="str">
        <f>IF(Data!C102="","",(IF(ISNUMBER(MATCH("*@*.?*",Data!C102,0)),0,1)+IF(COUNTIFS(Data!C$1:'Data'!C102,Data!C102)&gt;1,1,0)))</f>
        <v/>
      </c>
      <c r="D102" s="9" t="str">
        <f>IF(Data!B102="","",IF(ISNUMBER(Data!D102),IF(AND(Data!D102&gt;999999999,Data!D102&lt;=9999999999),IF(COUNTIFS(Data!D$1:'Data'!D102,Data!D102)&lt;=1,0,1),1),1))</f>
        <v/>
      </c>
      <c r="E102" s="9" t="str">
        <f>IF(Data!B102="","",IF(ISNUMBER(MATCH(Data!E102,Data_Val!$A$2:$A$3,0)),0,1))</f>
        <v/>
      </c>
      <c r="F102" s="9" t="str">
        <f ca="1">IF(Data!B102="","",IF(ISNUMBER(Data!F102),IF(AND(Data!F102&gt;(TODAY()-(Data_Val!$H$3*365.25)),Data!F102&lt;=(TODAY()-(Data_Val!$H$2*365.25))),0,1),1))</f>
        <v/>
      </c>
      <c r="G102" s="15" t="str">
        <f>IF(Data!B102="","",IF(AND(Data!G102="",Data!H102&lt;&gt;""),1,IF(Data!#REF!&lt;&gt;"",0,IF(ISNUMBER(MATCH(Data!G102,Data_Val!$C$2:$C$5,0)),0,1))))</f>
        <v/>
      </c>
      <c r="H102" s="15" t="str">
        <f>IF(Data!B102="","",IF(AND(Data!G102&lt;&gt;"",Data!H102=""),1,IF(Data!#REF!&lt;&gt;"",0,IF(Data!G102="",1,IF(ISNUMBER(MATCH(Data!H102,Data_Val!$D$2:$D$35,0)),0,1)))))</f>
        <v/>
      </c>
      <c r="I102" s="15" t="str">
        <f>IF(Data!B102="","",IF(Data!G102&lt;&gt;"",0,IF(ISNUMBER(MATCH(Data!#REF!,Data_Val!$E$2:$E$12,0)),0,1)))</f>
        <v/>
      </c>
      <c r="J102" s="16" t="e">
        <f>IF(OR(Data!B102="",Data!#REF!=""),"",IF(Data!#REF!="",1,0))</f>
        <v>#REF!</v>
      </c>
      <c r="K102" s="16" t="e">
        <f>IF(OR(Data!B102="",Data!#REF!=""),"",IF(Data!#REF!="",1,0))</f>
        <v>#REF!</v>
      </c>
      <c r="L102" s="16" t="e">
        <f>IF(OR(Data!B102="",Data!#REF!=""),"",IF(ISNUMBER(Data!#REF!),IF(AND(Data!#REF!&gt;Data_Val!$G$2,Data!#REF!&lt;=Data_Val!$G$3),0,1),1))</f>
        <v>#REF!</v>
      </c>
      <c r="M102" s="9" t="e">
        <f>IF(OR(Data!B102="",Data!#REF!=""),"",IF(ISNUMBER(MATCH(Data!#REF!,Data_Val!$F$1:$F$38,0)),0,1))</f>
        <v>#REF!</v>
      </c>
      <c r="N102" s="9" t="e">
        <f>IF(OR(Data!B102="",Data!#REF!=""),"",IF(Data!#REF!="",1,0))</f>
        <v>#REF!</v>
      </c>
      <c r="O102" s="17" t="e">
        <f>IF(Data!#REF!="","",IF(Data!#REF!="",1,0))</f>
        <v>#REF!</v>
      </c>
      <c r="P102" s="17" t="e">
        <f>IF(Data!#REF!="","",IF(ISNUMBER(MATCH(Data!#REF!,Data_Val!$A$2:$A$3,0)),0,1))</f>
        <v>#REF!</v>
      </c>
      <c r="Q102" s="25" t="e">
        <f ca="1">IF(Data!#REF!="","",IF(ISNUMBER(Data!#REF!),IF(AND(Data!#REF!&gt;(TODAY()-(Data_Val!$J$3*365.25)),Data!#REF!&lt;=(TODAY()-(Data_Val!$J$2*365.25))),0,1),1))</f>
        <v>#REF!</v>
      </c>
      <c r="R102" s="17" t="e">
        <f>IF(Data!#REF!="","",IF(ISNUMBER(MATCH(Data!#REF!,Data_Val!$B$2:$B$15,0)),0,1))</f>
        <v>#REF!</v>
      </c>
      <c r="S102" s="11" t="str">
        <f>IF(Data!G102="","",IF(Data!G102=Data_Val!$C$2,IF(Data!M102="",0,1),0))</f>
        <v/>
      </c>
      <c r="T102" s="11" t="str">
        <f>IF(Data!M102="","",IF(ISNUMBER(MATCH(Data!N102,Data_Val!$A$2:$A$3,0)),0,1))</f>
        <v/>
      </c>
      <c r="U102" s="11" t="str">
        <f ca="1">IF(Data!M102="","",IF(ISNUMBER(Data!O102),IF(AND(Data!O102&gt;(TODAY()-(Data_Val!$K$3*365.25)),Data!O102&lt;=(TODAY()-(Data_Val!$K$2*365.25))),0,1),1))</f>
        <v/>
      </c>
      <c r="V102" s="12" t="str">
        <f>IF(Data!G102="","",IF(Data!G102=Data_Val!$C$2,IF(Data!P102="",0,1),0))</f>
        <v/>
      </c>
      <c r="W102" s="12" t="str">
        <f>IF(Data!P102="","",IF(ISNUMBER(MATCH(Data!Q102,Data_Val!$A$2:$A$3,0)),0,1))</f>
        <v/>
      </c>
      <c r="X102" s="26" t="str">
        <f ca="1">IF(Data!P102="","",IF(ISNUMBER(Data!R102),IF(AND(Data!R102&gt;(TODAY()-(Data_Val!$L$3*365.25)),Data!R102&lt;=(TODAY()-(Data_Val!$L$2*365.25))),0,1),1))</f>
        <v/>
      </c>
      <c r="Y102" s="13" t="str">
        <f>IF(Data!$G102="","",IF(Data!$G102=Data_Val!$C$2,IF(Data!S102="",0,1),0))</f>
        <v/>
      </c>
      <c r="Z102" s="13" t="str">
        <f>IF(Data!S102="","",IF(ISNUMBER(MATCH(Data!T102,Data_Val!$A$2:$A$3,0)),0,1))</f>
        <v/>
      </c>
      <c r="AA102" s="28" t="str">
        <f ca="1">IF(Data!S102="","",IF(ISNUMBER(Data!U102),IF(AND(Data!U102&gt;(TODAY()-(Data_Val!$L$3*365.25)),Data!U102&lt;=(TODAY()-(Data_Val!$L$2*365.25))),0,1),1))</f>
        <v/>
      </c>
      <c r="AB102" s="11"/>
      <c r="AC102" s="11" t="e">
        <f>IF(Data!#REF!="","",IF(ISNUMBER(MATCH(Data!#REF!,Data_Val!$A$2:$A$3,0)),0,1))</f>
        <v>#REF!</v>
      </c>
      <c r="AD102" s="11" t="e">
        <f ca="1">IF(Data!#REF!="","",IF(ISNUMBER(Data!#REF!),IF(AND(Data!#REF!&gt;(TODAY()-(Data_Val!$L$3*365.25)),Data!#REF!&lt;=(TODAY()-(Data_Val!$L$2*365.25))),0,1),1))</f>
        <v>#REF!</v>
      </c>
      <c r="AE102" s="11" t="e">
        <f>IF(Data!#REF!="","",IF(Data!$G102="",1,IF(ISNUMBER(MATCH(Data!#REF!,Data_Val!$D$2:$D$10,0)),0,1)))</f>
        <v>#REF!</v>
      </c>
      <c r="AF102" s="12"/>
      <c r="AG102" s="12" t="e">
        <f>IF(Data!#REF!="","",IF(ISNUMBER(MATCH(Data!#REF!,Data_Val!$A$2:$A$3,0)),0,1))</f>
        <v>#REF!</v>
      </c>
      <c r="AH102" s="26" t="e">
        <f ca="1">IF(Data!#REF!="","",IF(ISNUMBER(Data!#REF!),IF(AND(Data!#REF!&gt;(TODAY()-(Data_Val!$L$3*365.25)),Data!#REF!&lt;=(TODAY()-(Data_Val!$L$2*365.25))),0,1),1))</f>
        <v>#REF!</v>
      </c>
      <c r="AI102" s="12" t="e">
        <f>IF(Data!#REF!="","",IF(Data!$G102="",1,IF(ISNUMBER(MATCH(Data!#REF!,Data_Val!$D$2:$D$10,0)),0,1)))</f>
        <v>#REF!</v>
      </c>
      <c r="AJ102" s="17"/>
      <c r="AK102" s="17" t="e">
        <f>IF(Data!#REF!="","",IF(ISNUMBER(MATCH(Data!#REF!,Data_Val!$A$2:$A$3,0)),0,1))</f>
        <v>#REF!</v>
      </c>
      <c r="AL102" s="25" t="e">
        <f ca="1">IF(Data!#REF!="","",IF(ISNUMBER(Data!#REF!),IF(AND(Data!#REF!&gt;(TODAY()-(Data_Val!$L$3*365.25)),Data!#REF!&lt;=(TODAY()-(Data_Val!$L$2*365.25))),0,1),1))</f>
        <v>#REF!</v>
      </c>
      <c r="AM102" s="17" t="e">
        <f>IF(Data!#REF!="","",IF(Data!$G102="",1,IF(ISNUMBER(MATCH(Data!#REF!,Data_Val!$D$2:$D$10,0)),0,1)))</f>
        <v>#REF!</v>
      </c>
      <c r="AN102" s="13"/>
      <c r="AO102" s="28" t="e">
        <f ca="1">IF(Data!#REF!="","",IF(ISNUMBER(Data!#REF!),IF(AND(Data!#REF!&gt;(TODAY()-(Data_Val!$I$3*365.25)),Data!#REF!&lt;=(TODAY()-(Data_Val!$I$2*365.25))),0,1),1))</f>
        <v>#REF!</v>
      </c>
      <c r="AP102" s="13" t="e">
        <f>IF(Data!#REF!="","",IF(Data!$G102="",1,IF(ISNUMBER(MATCH(Data!#REF!,Data_Val!$D$2:$D$10,0)),0,1)))</f>
        <v>#REF!</v>
      </c>
      <c r="AQ102" s="17"/>
      <c r="AR102" s="30" t="e">
        <f ca="1">IF(Data!#REF!="","",IF(ISNUMBER(Data!#REF!),IF(AND(Data!#REF!&gt;(TODAY()-(Data_Val!$I$3*365.25)),Data!#REF!&lt;=(TODAY()-(Data_Val!$I$2*365.25))),0,1),1))</f>
        <v>#REF!</v>
      </c>
      <c r="AS102" s="31" t="e">
        <f>IF(Data!#REF!="","",IF(Data!$G102="",1,IF(ISNUMBER(MATCH(Data!#REF!,Data_Val!$D$2:$D$10,0)),0,1)))</f>
        <v>#REF!</v>
      </c>
      <c r="AT102" s="11"/>
      <c r="AU102" s="11" t="e">
        <f ca="1">IF(Data!#REF!="","",IF(ISNUMBER(Data!#REF!),IF(AND(Data!#REF!&gt;(TODAY()-(Data_Val!$I$3*365.25)),Data!#REF!&lt;=(TODAY()-(Data_Val!$I$2*365.25))),0,1),1))</f>
        <v>#REF!</v>
      </c>
      <c r="AV102" s="11" t="e">
        <f>IF(Data!#REF!="","",IF(Data!$G102="",1,IF(ISNUMBER(MATCH(Data!#REF!,Data_Val!$D$2:$D$10,0)),0,1)))</f>
        <v>#REF!</v>
      </c>
      <c r="AW102" s="12"/>
      <c r="AX102" s="26" t="e">
        <f ca="1">IF(Data!#REF!="","",IF(ISNUMBER(Data!#REF!),IF(AND(Data!#REF!&gt;(TODAY()-(Data_Val!$I$3*365.25)),Data!#REF!&lt;=(TODAY()-(Data_Val!$I$2*365.25))),0,1),1))</f>
        <v>#REF!</v>
      </c>
      <c r="AY102" s="12" t="e">
        <f>IF(Data!#REF!="","",IF(Data!$G102="",1,IF(ISNUMBER(MATCH(Data!#REF!,Data_Val!$D$2:$D$10,0)),0,1)))</f>
        <v>#REF!</v>
      </c>
      <c r="AZ102" s="11"/>
      <c r="BA102" s="19" t="e">
        <f ca="1">IF(Data!#REF!="","",IF(ISNUMBER(Data!#REF!),IF(AND(Data!#REF!&gt;(TODAY()-(Data_Val!$M$3*365.25)),Data!#REF!&lt;=(TODAY()-(Data_Val!$M$2*365.25))),0,1),1))</f>
        <v>#REF!</v>
      </c>
      <c r="BB102" s="11" t="e">
        <f>IF(Data!#REF!="","",IF(Data!$G102="",1,IF(ISNUMBER(MATCH(Data!#REF!,Data_Val!$D$2:$D$10,0)),0,1)))</f>
        <v>#REF!</v>
      </c>
      <c r="BC102" s="12"/>
      <c r="BD102" s="20" t="e">
        <f ca="1">IF(Data!#REF!="","",IF(ISNUMBER(Data!#REF!),IF(AND(Data!#REF!&gt;(TODAY()-(Data_Val!$M$3*365.25)),Data!#REF!&lt;=(TODAY()-(Data_Val!$M$2*365.25))),0,1),1))</f>
        <v>#REF!</v>
      </c>
      <c r="BE102" s="12" t="e">
        <f>IF(Data!#REF!="","",IF(Data!$G102="",1,IF(ISNUMBER(MATCH(Data!#REF!,Data_Val!$D$2:$D$10,0)),0,1)))</f>
        <v>#REF!</v>
      </c>
      <c r="BF102" s="17"/>
      <c r="BG102" s="18" t="e">
        <f ca="1">IF(Data!#REF!="","",IF(ISNUMBER(Data!#REF!),IF(AND(Data!#REF!&gt;(TODAY()-(Data_Val!$M$3*365.25)),Data!#REF!&lt;=(TODAY()-(Data_Val!$M$2*365.25))),0,1),1))</f>
        <v>#REF!</v>
      </c>
      <c r="BH102" s="29" t="e">
        <f>IF(Data!#REF!="","",IF(Data!$G102="",1,IF(ISNUMBER(MATCH(Data!#REF!,Data_Val!$D$2:$D$10,0)),0,1)))</f>
        <v>#REF!</v>
      </c>
      <c r="BI102" s="13"/>
      <c r="BJ102" s="21" t="e">
        <f ca="1">IF(Data!#REF!="","",IF(ISNUMBER(Data!#REF!),IF(AND(Data!#REF!&gt;(TODAY()-(Data_Val!$M$3*365.25)),Data!#REF!&lt;=(TODAY()-(Data_Val!$M$2*365.25))),0,1),1))</f>
        <v>#REF!</v>
      </c>
      <c r="BK102" s="13" t="e">
        <f>IF(Data!#REF!="","",IF(Data!$G102="",1,IF(ISNUMBER(MATCH(Data!#REF!,Data_Val!$D$2:$D$10,0)),0,1)))</f>
        <v>#REF!</v>
      </c>
    </row>
    <row r="103" spans="1:63" x14ac:dyDescent="0.25">
      <c r="A103" s="9" t="str">
        <f>IF(Data!B103="","",IF(COUNTIFS(Data!A$1:'Data'!A103,Data!A103)&lt;=1,0,1))</f>
        <v/>
      </c>
      <c r="B103" s="9"/>
      <c r="C103" s="23" t="str">
        <f>IF(Data!C103="","",(IF(ISNUMBER(MATCH("*@*.?*",Data!C103,0)),0,1)+IF(COUNTIFS(Data!C$1:'Data'!C103,Data!C103)&gt;1,1,0)))</f>
        <v/>
      </c>
      <c r="D103" s="9" t="str">
        <f>IF(Data!B103="","",IF(ISNUMBER(Data!D103),IF(AND(Data!D103&gt;999999999,Data!D103&lt;=9999999999),IF(COUNTIFS(Data!D$1:'Data'!D103,Data!D103)&lt;=1,0,1),1),1))</f>
        <v/>
      </c>
      <c r="E103" s="9" t="str">
        <f>IF(Data!B103="","",IF(ISNUMBER(MATCH(Data!E103,Data_Val!$A$2:$A$3,0)),0,1))</f>
        <v/>
      </c>
      <c r="F103" s="9" t="str">
        <f ca="1">IF(Data!B103="","",IF(ISNUMBER(Data!F103),IF(AND(Data!F103&gt;(TODAY()-(Data_Val!$H$3*365.25)),Data!F103&lt;=(TODAY()-(Data_Val!$H$2*365.25))),0,1),1))</f>
        <v/>
      </c>
      <c r="G103" s="15" t="str">
        <f>IF(Data!B103="","",IF(AND(Data!G103="",Data!H103&lt;&gt;""),1,IF(Data!#REF!&lt;&gt;"",0,IF(ISNUMBER(MATCH(Data!G103,Data_Val!$C$2:$C$5,0)),0,1))))</f>
        <v/>
      </c>
      <c r="H103" s="15" t="str">
        <f>IF(Data!B103="","",IF(AND(Data!G103&lt;&gt;"",Data!H103=""),1,IF(Data!#REF!&lt;&gt;"",0,IF(Data!G103="",1,IF(ISNUMBER(MATCH(Data!H103,Data_Val!$D$2:$D$35,0)),0,1)))))</f>
        <v/>
      </c>
      <c r="I103" s="15" t="str">
        <f>IF(Data!B103="","",IF(Data!G103&lt;&gt;"",0,IF(ISNUMBER(MATCH(Data!#REF!,Data_Val!$E$2:$E$12,0)),0,1)))</f>
        <v/>
      </c>
      <c r="J103" s="16" t="e">
        <f>IF(OR(Data!B103="",Data!#REF!=""),"",IF(Data!#REF!="",1,0))</f>
        <v>#REF!</v>
      </c>
      <c r="K103" s="16" t="e">
        <f>IF(OR(Data!B103="",Data!#REF!=""),"",IF(Data!#REF!="",1,0))</f>
        <v>#REF!</v>
      </c>
      <c r="L103" s="16" t="e">
        <f>IF(OR(Data!B103="",Data!#REF!=""),"",IF(ISNUMBER(Data!#REF!),IF(AND(Data!#REF!&gt;Data_Val!$G$2,Data!#REF!&lt;=Data_Val!$G$3),0,1),1))</f>
        <v>#REF!</v>
      </c>
      <c r="M103" s="9" t="e">
        <f>IF(OR(Data!B103="",Data!#REF!=""),"",IF(ISNUMBER(MATCH(Data!#REF!,Data_Val!$F$1:$F$38,0)),0,1))</f>
        <v>#REF!</v>
      </c>
      <c r="N103" s="9" t="e">
        <f>IF(OR(Data!B103="",Data!#REF!=""),"",IF(Data!#REF!="",1,0))</f>
        <v>#REF!</v>
      </c>
      <c r="O103" s="17" t="e">
        <f>IF(Data!#REF!="","",IF(Data!#REF!="",1,0))</f>
        <v>#REF!</v>
      </c>
      <c r="P103" s="17" t="e">
        <f>IF(Data!#REF!="","",IF(ISNUMBER(MATCH(Data!#REF!,Data_Val!$A$2:$A$3,0)),0,1))</f>
        <v>#REF!</v>
      </c>
      <c r="Q103" s="25" t="e">
        <f ca="1">IF(Data!#REF!="","",IF(ISNUMBER(Data!#REF!),IF(AND(Data!#REF!&gt;(TODAY()-(Data_Val!$J$3*365.25)),Data!#REF!&lt;=(TODAY()-(Data_Val!$J$2*365.25))),0,1),1))</f>
        <v>#REF!</v>
      </c>
      <c r="R103" s="17" t="e">
        <f>IF(Data!#REF!="","",IF(ISNUMBER(MATCH(Data!#REF!,Data_Val!$B$2:$B$15,0)),0,1))</f>
        <v>#REF!</v>
      </c>
      <c r="S103" s="11" t="str">
        <f>IF(Data!G103="","",IF(Data!G103=Data_Val!$C$2,IF(Data!M103="",0,1),0))</f>
        <v/>
      </c>
      <c r="T103" s="11" t="str">
        <f>IF(Data!M103="","",IF(ISNUMBER(MATCH(Data!N103,Data_Val!$A$2:$A$3,0)),0,1))</f>
        <v/>
      </c>
      <c r="U103" s="11" t="str">
        <f ca="1">IF(Data!M103="","",IF(ISNUMBER(Data!O103),IF(AND(Data!O103&gt;(TODAY()-(Data_Val!$K$3*365.25)),Data!O103&lt;=(TODAY()-(Data_Val!$K$2*365.25))),0,1),1))</f>
        <v/>
      </c>
      <c r="V103" s="12" t="str">
        <f>IF(Data!G103="","",IF(Data!G103=Data_Val!$C$2,IF(Data!P103="",0,1),0))</f>
        <v/>
      </c>
      <c r="W103" s="12" t="str">
        <f>IF(Data!P103="","",IF(ISNUMBER(MATCH(Data!Q103,Data_Val!$A$2:$A$3,0)),0,1))</f>
        <v/>
      </c>
      <c r="X103" s="26" t="str">
        <f ca="1">IF(Data!P103="","",IF(ISNUMBER(Data!R103),IF(AND(Data!R103&gt;(TODAY()-(Data_Val!$L$3*365.25)),Data!R103&lt;=(TODAY()-(Data_Val!$L$2*365.25))),0,1),1))</f>
        <v/>
      </c>
      <c r="Y103" s="13" t="str">
        <f>IF(Data!$G103="","",IF(Data!$G103=Data_Val!$C$2,IF(Data!S103="",0,1),0))</f>
        <v/>
      </c>
      <c r="Z103" s="13" t="str">
        <f>IF(Data!S103="","",IF(ISNUMBER(MATCH(Data!T103,Data_Val!$A$2:$A$3,0)),0,1))</f>
        <v/>
      </c>
      <c r="AA103" s="28" t="str">
        <f ca="1">IF(Data!S103="","",IF(ISNUMBER(Data!U103),IF(AND(Data!U103&gt;(TODAY()-(Data_Val!$L$3*365.25)),Data!U103&lt;=(TODAY()-(Data_Val!$L$2*365.25))),0,1),1))</f>
        <v/>
      </c>
      <c r="AB103" s="11"/>
      <c r="AC103" s="11" t="e">
        <f>IF(Data!#REF!="","",IF(ISNUMBER(MATCH(Data!#REF!,Data_Val!$A$2:$A$3,0)),0,1))</f>
        <v>#REF!</v>
      </c>
      <c r="AD103" s="11" t="e">
        <f ca="1">IF(Data!#REF!="","",IF(ISNUMBER(Data!#REF!),IF(AND(Data!#REF!&gt;(TODAY()-(Data_Val!$L$3*365.25)),Data!#REF!&lt;=(TODAY()-(Data_Val!$L$2*365.25))),0,1),1))</f>
        <v>#REF!</v>
      </c>
      <c r="AE103" s="11" t="e">
        <f>IF(Data!#REF!="","",IF(Data!$G103="",1,IF(ISNUMBER(MATCH(Data!#REF!,Data_Val!$D$2:$D$10,0)),0,1)))</f>
        <v>#REF!</v>
      </c>
      <c r="AF103" s="12"/>
      <c r="AG103" s="12" t="e">
        <f>IF(Data!#REF!="","",IF(ISNUMBER(MATCH(Data!#REF!,Data_Val!$A$2:$A$3,0)),0,1))</f>
        <v>#REF!</v>
      </c>
      <c r="AH103" s="26" t="e">
        <f ca="1">IF(Data!#REF!="","",IF(ISNUMBER(Data!#REF!),IF(AND(Data!#REF!&gt;(TODAY()-(Data_Val!$L$3*365.25)),Data!#REF!&lt;=(TODAY()-(Data_Val!$L$2*365.25))),0,1),1))</f>
        <v>#REF!</v>
      </c>
      <c r="AI103" s="12" t="e">
        <f>IF(Data!#REF!="","",IF(Data!$G103="",1,IF(ISNUMBER(MATCH(Data!#REF!,Data_Val!$D$2:$D$10,0)),0,1)))</f>
        <v>#REF!</v>
      </c>
      <c r="AJ103" s="17"/>
      <c r="AK103" s="17" t="e">
        <f>IF(Data!#REF!="","",IF(ISNUMBER(MATCH(Data!#REF!,Data_Val!$A$2:$A$3,0)),0,1))</f>
        <v>#REF!</v>
      </c>
      <c r="AL103" s="25" t="e">
        <f ca="1">IF(Data!#REF!="","",IF(ISNUMBER(Data!#REF!),IF(AND(Data!#REF!&gt;(TODAY()-(Data_Val!$L$3*365.25)),Data!#REF!&lt;=(TODAY()-(Data_Val!$L$2*365.25))),0,1),1))</f>
        <v>#REF!</v>
      </c>
      <c r="AM103" s="17" t="e">
        <f>IF(Data!#REF!="","",IF(Data!$G103="",1,IF(ISNUMBER(MATCH(Data!#REF!,Data_Val!$D$2:$D$10,0)),0,1)))</f>
        <v>#REF!</v>
      </c>
      <c r="AN103" s="13"/>
      <c r="AO103" s="28" t="e">
        <f ca="1">IF(Data!#REF!="","",IF(ISNUMBER(Data!#REF!),IF(AND(Data!#REF!&gt;(TODAY()-(Data_Val!$I$3*365.25)),Data!#REF!&lt;=(TODAY()-(Data_Val!$I$2*365.25))),0,1),1))</f>
        <v>#REF!</v>
      </c>
      <c r="AP103" s="13" t="e">
        <f>IF(Data!#REF!="","",IF(Data!$G103="",1,IF(ISNUMBER(MATCH(Data!#REF!,Data_Val!$D$2:$D$10,0)),0,1)))</f>
        <v>#REF!</v>
      </c>
      <c r="AQ103" s="17"/>
      <c r="AR103" s="30" t="e">
        <f ca="1">IF(Data!#REF!="","",IF(ISNUMBER(Data!#REF!),IF(AND(Data!#REF!&gt;(TODAY()-(Data_Val!$I$3*365.25)),Data!#REF!&lt;=(TODAY()-(Data_Val!$I$2*365.25))),0,1),1))</f>
        <v>#REF!</v>
      </c>
      <c r="AS103" s="31" t="e">
        <f>IF(Data!#REF!="","",IF(Data!$G103="",1,IF(ISNUMBER(MATCH(Data!#REF!,Data_Val!$D$2:$D$10,0)),0,1)))</f>
        <v>#REF!</v>
      </c>
      <c r="AT103" s="11"/>
      <c r="AU103" s="11" t="e">
        <f ca="1">IF(Data!#REF!="","",IF(ISNUMBER(Data!#REF!),IF(AND(Data!#REF!&gt;(TODAY()-(Data_Val!$I$3*365.25)),Data!#REF!&lt;=(TODAY()-(Data_Val!$I$2*365.25))),0,1),1))</f>
        <v>#REF!</v>
      </c>
      <c r="AV103" s="11" t="e">
        <f>IF(Data!#REF!="","",IF(Data!$G103="",1,IF(ISNUMBER(MATCH(Data!#REF!,Data_Val!$D$2:$D$10,0)),0,1)))</f>
        <v>#REF!</v>
      </c>
      <c r="AW103" s="12"/>
      <c r="AX103" s="26" t="e">
        <f ca="1">IF(Data!#REF!="","",IF(ISNUMBER(Data!#REF!),IF(AND(Data!#REF!&gt;(TODAY()-(Data_Val!$I$3*365.25)),Data!#REF!&lt;=(TODAY()-(Data_Val!$I$2*365.25))),0,1),1))</f>
        <v>#REF!</v>
      </c>
      <c r="AY103" s="12" t="e">
        <f>IF(Data!#REF!="","",IF(Data!$G103="",1,IF(ISNUMBER(MATCH(Data!#REF!,Data_Val!$D$2:$D$10,0)),0,1)))</f>
        <v>#REF!</v>
      </c>
      <c r="AZ103" s="11"/>
      <c r="BA103" s="19" t="e">
        <f ca="1">IF(Data!#REF!="","",IF(ISNUMBER(Data!#REF!),IF(AND(Data!#REF!&gt;(TODAY()-(Data_Val!$M$3*365.25)),Data!#REF!&lt;=(TODAY()-(Data_Val!$M$2*365.25))),0,1),1))</f>
        <v>#REF!</v>
      </c>
      <c r="BB103" s="11" t="e">
        <f>IF(Data!#REF!="","",IF(Data!$G103="",1,IF(ISNUMBER(MATCH(Data!#REF!,Data_Val!$D$2:$D$10,0)),0,1)))</f>
        <v>#REF!</v>
      </c>
      <c r="BC103" s="12"/>
      <c r="BD103" s="20" t="e">
        <f ca="1">IF(Data!#REF!="","",IF(ISNUMBER(Data!#REF!),IF(AND(Data!#REF!&gt;(TODAY()-(Data_Val!$M$3*365.25)),Data!#REF!&lt;=(TODAY()-(Data_Val!$M$2*365.25))),0,1),1))</f>
        <v>#REF!</v>
      </c>
      <c r="BE103" s="12" t="e">
        <f>IF(Data!#REF!="","",IF(Data!$G103="",1,IF(ISNUMBER(MATCH(Data!#REF!,Data_Val!$D$2:$D$10,0)),0,1)))</f>
        <v>#REF!</v>
      </c>
      <c r="BF103" s="17"/>
      <c r="BG103" s="18" t="e">
        <f ca="1">IF(Data!#REF!="","",IF(ISNUMBER(Data!#REF!),IF(AND(Data!#REF!&gt;(TODAY()-(Data_Val!$M$3*365.25)),Data!#REF!&lt;=(TODAY()-(Data_Val!$M$2*365.25))),0,1),1))</f>
        <v>#REF!</v>
      </c>
      <c r="BH103" s="29" t="e">
        <f>IF(Data!#REF!="","",IF(Data!$G103="",1,IF(ISNUMBER(MATCH(Data!#REF!,Data_Val!$D$2:$D$10,0)),0,1)))</f>
        <v>#REF!</v>
      </c>
      <c r="BI103" s="13"/>
      <c r="BJ103" s="21" t="e">
        <f ca="1">IF(Data!#REF!="","",IF(ISNUMBER(Data!#REF!),IF(AND(Data!#REF!&gt;(TODAY()-(Data_Val!$M$3*365.25)),Data!#REF!&lt;=(TODAY()-(Data_Val!$M$2*365.25))),0,1),1))</f>
        <v>#REF!</v>
      </c>
      <c r="BK103" s="13" t="e">
        <f>IF(Data!#REF!="","",IF(Data!$G103="",1,IF(ISNUMBER(MATCH(Data!#REF!,Data_Val!$D$2:$D$10,0)),0,1)))</f>
        <v>#REF!</v>
      </c>
    </row>
    <row r="104" spans="1:63" x14ac:dyDescent="0.25">
      <c r="A104" s="9" t="str">
        <f>IF(Data!B104="","",IF(COUNTIFS(Data!A$1:'Data'!A104,Data!A104)&lt;=1,0,1))</f>
        <v/>
      </c>
      <c r="B104" s="9"/>
      <c r="C104" s="23" t="str">
        <f>IF(Data!C104="","",(IF(ISNUMBER(MATCH("*@*.?*",Data!C104,0)),0,1)+IF(COUNTIFS(Data!C$1:'Data'!C104,Data!C104)&gt;1,1,0)))</f>
        <v/>
      </c>
      <c r="D104" s="9" t="str">
        <f>IF(Data!B104="","",IF(ISNUMBER(Data!D104),IF(AND(Data!D104&gt;999999999,Data!D104&lt;=9999999999),IF(COUNTIFS(Data!D$1:'Data'!D104,Data!D104)&lt;=1,0,1),1),1))</f>
        <v/>
      </c>
      <c r="E104" s="9" t="str">
        <f>IF(Data!B104="","",IF(ISNUMBER(MATCH(Data!E104,Data_Val!$A$2:$A$3,0)),0,1))</f>
        <v/>
      </c>
      <c r="F104" s="9" t="str">
        <f ca="1">IF(Data!B104="","",IF(ISNUMBER(Data!F104),IF(AND(Data!F104&gt;(TODAY()-(Data_Val!$H$3*365.25)),Data!F104&lt;=(TODAY()-(Data_Val!$H$2*365.25))),0,1),1))</f>
        <v/>
      </c>
      <c r="G104" s="15" t="str">
        <f>IF(Data!B104="","",IF(AND(Data!G104="",Data!H104&lt;&gt;""),1,IF(Data!#REF!&lt;&gt;"",0,IF(ISNUMBER(MATCH(Data!G104,Data_Val!$C$2:$C$5,0)),0,1))))</f>
        <v/>
      </c>
      <c r="H104" s="15" t="str">
        <f>IF(Data!B104="","",IF(AND(Data!G104&lt;&gt;"",Data!H104=""),1,IF(Data!#REF!&lt;&gt;"",0,IF(Data!G104="",1,IF(ISNUMBER(MATCH(Data!H104,Data_Val!$D$2:$D$35,0)),0,1)))))</f>
        <v/>
      </c>
      <c r="I104" s="15" t="str">
        <f>IF(Data!B104="","",IF(Data!G104&lt;&gt;"",0,IF(ISNUMBER(MATCH(Data!#REF!,Data_Val!$E$2:$E$12,0)),0,1)))</f>
        <v/>
      </c>
      <c r="J104" s="16" t="e">
        <f>IF(OR(Data!B104="",Data!#REF!=""),"",IF(Data!#REF!="",1,0))</f>
        <v>#REF!</v>
      </c>
      <c r="K104" s="16" t="e">
        <f>IF(OR(Data!B104="",Data!#REF!=""),"",IF(Data!#REF!="",1,0))</f>
        <v>#REF!</v>
      </c>
      <c r="L104" s="16" t="e">
        <f>IF(OR(Data!B104="",Data!#REF!=""),"",IF(ISNUMBER(Data!#REF!),IF(AND(Data!#REF!&gt;Data_Val!$G$2,Data!#REF!&lt;=Data_Val!$G$3),0,1),1))</f>
        <v>#REF!</v>
      </c>
      <c r="M104" s="9" t="e">
        <f>IF(OR(Data!B104="",Data!#REF!=""),"",IF(ISNUMBER(MATCH(Data!#REF!,Data_Val!$F$1:$F$38,0)),0,1))</f>
        <v>#REF!</v>
      </c>
      <c r="N104" s="9" t="e">
        <f>IF(OR(Data!B104="",Data!#REF!=""),"",IF(Data!#REF!="",1,0))</f>
        <v>#REF!</v>
      </c>
      <c r="O104" s="17" t="e">
        <f>IF(Data!#REF!="","",IF(Data!#REF!="",1,0))</f>
        <v>#REF!</v>
      </c>
      <c r="P104" s="17" t="e">
        <f>IF(Data!#REF!="","",IF(ISNUMBER(MATCH(Data!#REF!,Data_Val!$A$2:$A$3,0)),0,1))</f>
        <v>#REF!</v>
      </c>
      <c r="Q104" s="25" t="e">
        <f ca="1">IF(Data!#REF!="","",IF(ISNUMBER(Data!#REF!),IF(AND(Data!#REF!&gt;(TODAY()-(Data_Val!$J$3*365.25)),Data!#REF!&lt;=(TODAY()-(Data_Val!$J$2*365.25))),0,1),1))</f>
        <v>#REF!</v>
      </c>
      <c r="R104" s="17" t="e">
        <f>IF(Data!#REF!="","",IF(ISNUMBER(MATCH(Data!#REF!,Data_Val!$B$2:$B$15,0)),0,1))</f>
        <v>#REF!</v>
      </c>
      <c r="S104" s="11" t="str">
        <f>IF(Data!G104="","",IF(Data!G104=Data_Val!$C$2,IF(Data!M104="",0,1),0))</f>
        <v/>
      </c>
      <c r="T104" s="11" t="str">
        <f>IF(Data!M104="","",IF(ISNUMBER(MATCH(Data!N104,Data_Val!$A$2:$A$3,0)),0,1))</f>
        <v/>
      </c>
      <c r="U104" s="11" t="str">
        <f ca="1">IF(Data!M104="","",IF(ISNUMBER(Data!O104),IF(AND(Data!O104&gt;(TODAY()-(Data_Val!$K$3*365.25)),Data!O104&lt;=(TODAY()-(Data_Val!$K$2*365.25))),0,1),1))</f>
        <v/>
      </c>
      <c r="V104" s="12" t="str">
        <f>IF(Data!G104="","",IF(Data!G104=Data_Val!$C$2,IF(Data!P104="",0,1),0))</f>
        <v/>
      </c>
      <c r="W104" s="12" t="str">
        <f>IF(Data!P104="","",IF(ISNUMBER(MATCH(Data!Q104,Data_Val!$A$2:$A$3,0)),0,1))</f>
        <v/>
      </c>
      <c r="X104" s="26" t="str">
        <f ca="1">IF(Data!P104="","",IF(ISNUMBER(Data!R104),IF(AND(Data!R104&gt;(TODAY()-(Data_Val!$L$3*365.25)),Data!R104&lt;=(TODAY()-(Data_Val!$L$2*365.25))),0,1),1))</f>
        <v/>
      </c>
      <c r="Y104" s="13" t="str">
        <f>IF(Data!$G104="","",IF(Data!$G104=Data_Val!$C$2,IF(Data!S104="",0,1),0))</f>
        <v/>
      </c>
      <c r="Z104" s="13" t="str">
        <f>IF(Data!S104="","",IF(ISNUMBER(MATCH(Data!T104,Data_Val!$A$2:$A$3,0)),0,1))</f>
        <v/>
      </c>
      <c r="AA104" s="28" t="str">
        <f ca="1">IF(Data!S104="","",IF(ISNUMBER(Data!U104),IF(AND(Data!U104&gt;(TODAY()-(Data_Val!$L$3*365.25)),Data!U104&lt;=(TODAY()-(Data_Val!$L$2*365.25))),0,1),1))</f>
        <v/>
      </c>
      <c r="AB104" s="11"/>
      <c r="AC104" s="11" t="e">
        <f>IF(Data!#REF!="","",IF(ISNUMBER(MATCH(Data!#REF!,Data_Val!$A$2:$A$3,0)),0,1))</f>
        <v>#REF!</v>
      </c>
      <c r="AD104" s="11" t="e">
        <f ca="1">IF(Data!#REF!="","",IF(ISNUMBER(Data!#REF!),IF(AND(Data!#REF!&gt;(TODAY()-(Data_Val!$L$3*365.25)),Data!#REF!&lt;=(TODAY()-(Data_Val!$L$2*365.25))),0,1),1))</f>
        <v>#REF!</v>
      </c>
      <c r="AE104" s="11" t="e">
        <f>IF(Data!#REF!="","",IF(Data!$G104="",1,IF(ISNUMBER(MATCH(Data!#REF!,Data_Val!$D$2:$D$10,0)),0,1)))</f>
        <v>#REF!</v>
      </c>
      <c r="AF104" s="12"/>
      <c r="AG104" s="12" t="e">
        <f>IF(Data!#REF!="","",IF(ISNUMBER(MATCH(Data!#REF!,Data_Val!$A$2:$A$3,0)),0,1))</f>
        <v>#REF!</v>
      </c>
      <c r="AH104" s="26" t="e">
        <f ca="1">IF(Data!#REF!="","",IF(ISNUMBER(Data!#REF!),IF(AND(Data!#REF!&gt;(TODAY()-(Data_Val!$L$3*365.25)),Data!#REF!&lt;=(TODAY()-(Data_Val!$L$2*365.25))),0,1),1))</f>
        <v>#REF!</v>
      </c>
      <c r="AI104" s="12" t="e">
        <f>IF(Data!#REF!="","",IF(Data!$G104="",1,IF(ISNUMBER(MATCH(Data!#REF!,Data_Val!$D$2:$D$10,0)),0,1)))</f>
        <v>#REF!</v>
      </c>
      <c r="AJ104" s="17"/>
      <c r="AK104" s="17" t="e">
        <f>IF(Data!#REF!="","",IF(ISNUMBER(MATCH(Data!#REF!,Data_Val!$A$2:$A$3,0)),0,1))</f>
        <v>#REF!</v>
      </c>
      <c r="AL104" s="25" t="e">
        <f ca="1">IF(Data!#REF!="","",IF(ISNUMBER(Data!#REF!),IF(AND(Data!#REF!&gt;(TODAY()-(Data_Val!$L$3*365.25)),Data!#REF!&lt;=(TODAY()-(Data_Val!$L$2*365.25))),0,1),1))</f>
        <v>#REF!</v>
      </c>
      <c r="AM104" s="17" t="e">
        <f>IF(Data!#REF!="","",IF(Data!$G104="",1,IF(ISNUMBER(MATCH(Data!#REF!,Data_Val!$D$2:$D$10,0)),0,1)))</f>
        <v>#REF!</v>
      </c>
      <c r="AN104" s="13"/>
      <c r="AO104" s="28" t="e">
        <f ca="1">IF(Data!#REF!="","",IF(ISNUMBER(Data!#REF!),IF(AND(Data!#REF!&gt;(TODAY()-(Data_Val!$I$3*365.25)),Data!#REF!&lt;=(TODAY()-(Data_Val!$I$2*365.25))),0,1),1))</f>
        <v>#REF!</v>
      </c>
      <c r="AP104" s="13" t="e">
        <f>IF(Data!#REF!="","",IF(Data!$G104="",1,IF(ISNUMBER(MATCH(Data!#REF!,Data_Val!$D$2:$D$10,0)),0,1)))</f>
        <v>#REF!</v>
      </c>
      <c r="AQ104" s="17"/>
      <c r="AR104" s="30" t="e">
        <f ca="1">IF(Data!#REF!="","",IF(ISNUMBER(Data!#REF!),IF(AND(Data!#REF!&gt;(TODAY()-(Data_Val!$I$3*365.25)),Data!#REF!&lt;=(TODAY()-(Data_Val!$I$2*365.25))),0,1),1))</f>
        <v>#REF!</v>
      </c>
      <c r="AS104" s="31" t="e">
        <f>IF(Data!#REF!="","",IF(Data!$G104="",1,IF(ISNUMBER(MATCH(Data!#REF!,Data_Val!$D$2:$D$10,0)),0,1)))</f>
        <v>#REF!</v>
      </c>
      <c r="AT104" s="11"/>
      <c r="AU104" s="11" t="e">
        <f ca="1">IF(Data!#REF!="","",IF(ISNUMBER(Data!#REF!),IF(AND(Data!#REF!&gt;(TODAY()-(Data_Val!$I$3*365.25)),Data!#REF!&lt;=(TODAY()-(Data_Val!$I$2*365.25))),0,1),1))</f>
        <v>#REF!</v>
      </c>
      <c r="AV104" s="11" t="e">
        <f>IF(Data!#REF!="","",IF(Data!$G104="",1,IF(ISNUMBER(MATCH(Data!#REF!,Data_Val!$D$2:$D$10,0)),0,1)))</f>
        <v>#REF!</v>
      </c>
      <c r="AW104" s="12"/>
      <c r="AX104" s="26" t="e">
        <f ca="1">IF(Data!#REF!="","",IF(ISNUMBER(Data!#REF!),IF(AND(Data!#REF!&gt;(TODAY()-(Data_Val!$I$3*365.25)),Data!#REF!&lt;=(TODAY()-(Data_Val!$I$2*365.25))),0,1),1))</f>
        <v>#REF!</v>
      </c>
      <c r="AY104" s="12" t="e">
        <f>IF(Data!#REF!="","",IF(Data!$G104="",1,IF(ISNUMBER(MATCH(Data!#REF!,Data_Val!$D$2:$D$10,0)),0,1)))</f>
        <v>#REF!</v>
      </c>
      <c r="AZ104" s="11"/>
      <c r="BA104" s="19" t="e">
        <f ca="1">IF(Data!#REF!="","",IF(ISNUMBER(Data!#REF!),IF(AND(Data!#REF!&gt;(TODAY()-(Data_Val!$M$3*365.25)),Data!#REF!&lt;=(TODAY()-(Data_Val!$M$2*365.25))),0,1),1))</f>
        <v>#REF!</v>
      </c>
      <c r="BB104" s="11" t="e">
        <f>IF(Data!#REF!="","",IF(Data!$G104="",1,IF(ISNUMBER(MATCH(Data!#REF!,Data_Val!$D$2:$D$10,0)),0,1)))</f>
        <v>#REF!</v>
      </c>
      <c r="BC104" s="12"/>
      <c r="BD104" s="20" t="e">
        <f ca="1">IF(Data!#REF!="","",IF(ISNUMBER(Data!#REF!),IF(AND(Data!#REF!&gt;(TODAY()-(Data_Val!$M$3*365.25)),Data!#REF!&lt;=(TODAY()-(Data_Val!$M$2*365.25))),0,1),1))</f>
        <v>#REF!</v>
      </c>
      <c r="BE104" s="12" t="e">
        <f>IF(Data!#REF!="","",IF(Data!$G104="",1,IF(ISNUMBER(MATCH(Data!#REF!,Data_Val!$D$2:$D$10,0)),0,1)))</f>
        <v>#REF!</v>
      </c>
      <c r="BF104" s="17"/>
      <c r="BG104" s="18" t="e">
        <f ca="1">IF(Data!#REF!="","",IF(ISNUMBER(Data!#REF!),IF(AND(Data!#REF!&gt;(TODAY()-(Data_Val!$M$3*365.25)),Data!#REF!&lt;=(TODAY()-(Data_Val!$M$2*365.25))),0,1),1))</f>
        <v>#REF!</v>
      </c>
      <c r="BH104" s="29" t="e">
        <f>IF(Data!#REF!="","",IF(Data!$G104="",1,IF(ISNUMBER(MATCH(Data!#REF!,Data_Val!$D$2:$D$10,0)),0,1)))</f>
        <v>#REF!</v>
      </c>
      <c r="BI104" s="13"/>
      <c r="BJ104" s="21" t="e">
        <f ca="1">IF(Data!#REF!="","",IF(ISNUMBER(Data!#REF!),IF(AND(Data!#REF!&gt;(TODAY()-(Data_Val!$M$3*365.25)),Data!#REF!&lt;=(TODAY()-(Data_Val!$M$2*365.25))),0,1),1))</f>
        <v>#REF!</v>
      </c>
      <c r="BK104" s="13" t="e">
        <f>IF(Data!#REF!="","",IF(Data!$G104="",1,IF(ISNUMBER(MATCH(Data!#REF!,Data_Val!$D$2:$D$10,0)),0,1)))</f>
        <v>#REF!</v>
      </c>
    </row>
    <row r="105" spans="1:63" x14ac:dyDescent="0.25">
      <c r="A105" s="9" t="str">
        <f>IF(Data!B105="","",IF(COUNTIFS(Data!A$1:'Data'!A105,Data!A105)&lt;=1,0,1))</f>
        <v/>
      </c>
      <c r="B105" s="9"/>
      <c r="C105" s="23" t="str">
        <f>IF(Data!C105="","",(IF(ISNUMBER(MATCH("*@*.?*",Data!C105,0)),0,1)+IF(COUNTIFS(Data!C$1:'Data'!C105,Data!C105)&gt;1,1,0)))</f>
        <v/>
      </c>
      <c r="D105" s="9" t="str">
        <f>IF(Data!B105="","",IF(ISNUMBER(Data!D105),IF(AND(Data!D105&gt;999999999,Data!D105&lt;=9999999999),IF(COUNTIFS(Data!D$1:'Data'!D105,Data!D105)&lt;=1,0,1),1),1))</f>
        <v/>
      </c>
      <c r="E105" s="9" t="str">
        <f>IF(Data!B105="","",IF(ISNUMBER(MATCH(Data!E105,Data_Val!$A$2:$A$3,0)),0,1))</f>
        <v/>
      </c>
      <c r="F105" s="9" t="str">
        <f ca="1">IF(Data!B105="","",IF(ISNUMBER(Data!F105),IF(AND(Data!F105&gt;(TODAY()-(Data_Val!$H$3*365.25)),Data!F105&lt;=(TODAY()-(Data_Val!$H$2*365.25))),0,1),1))</f>
        <v/>
      </c>
      <c r="G105" s="15" t="str">
        <f>IF(Data!B105="","",IF(AND(Data!G105="",Data!H105&lt;&gt;""),1,IF(Data!#REF!&lt;&gt;"",0,IF(ISNUMBER(MATCH(Data!G105,Data_Val!$C$2:$C$5,0)),0,1))))</f>
        <v/>
      </c>
      <c r="H105" s="15" t="str">
        <f>IF(Data!B105="","",IF(AND(Data!G105&lt;&gt;"",Data!H105=""),1,IF(Data!#REF!&lt;&gt;"",0,IF(Data!G105="",1,IF(ISNUMBER(MATCH(Data!H105,Data_Val!$D$2:$D$35,0)),0,1)))))</f>
        <v/>
      </c>
      <c r="I105" s="15" t="str">
        <f>IF(Data!B105="","",IF(Data!G105&lt;&gt;"",0,IF(ISNUMBER(MATCH(Data!#REF!,Data_Val!$E$2:$E$12,0)),0,1)))</f>
        <v/>
      </c>
      <c r="J105" s="16" t="e">
        <f>IF(OR(Data!B105="",Data!#REF!=""),"",IF(Data!#REF!="",1,0))</f>
        <v>#REF!</v>
      </c>
      <c r="K105" s="16" t="e">
        <f>IF(OR(Data!B105="",Data!#REF!=""),"",IF(Data!#REF!="",1,0))</f>
        <v>#REF!</v>
      </c>
      <c r="L105" s="16" t="e">
        <f>IF(OR(Data!B105="",Data!#REF!=""),"",IF(ISNUMBER(Data!#REF!),IF(AND(Data!#REF!&gt;Data_Val!$G$2,Data!#REF!&lt;=Data_Val!$G$3),0,1),1))</f>
        <v>#REF!</v>
      </c>
      <c r="M105" s="9" t="e">
        <f>IF(OR(Data!B105="",Data!#REF!=""),"",IF(ISNUMBER(MATCH(Data!#REF!,Data_Val!$F$1:$F$38,0)),0,1))</f>
        <v>#REF!</v>
      </c>
      <c r="N105" s="9" t="e">
        <f>IF(OR(Data!B105="",Data!#REF!=""),"",IF(Data!#REF!="",1,0))</f>
        <v>#REF!</v>
      </c>
      <c r="O105" s="17" t="e">
        <f>IF(Data!#REF!="","",IF(Data!#REF!="",1,0))</f>
        <v>#REF!</v>
      </c>
      <c r="P105" s="17" t="e">
        <f>IF(Data!#REF!="","",IF(ISNUMBER(MATCH(Data!#REF!,Data_Val!$A$2:$A$3,0)),0,1))</f>
        <v>#REF!</v>
      </c>
      <c r="Q105" s="25" t="e">
        <f ca="1">IF(Data!#REF!="","",IF(ISNUMBER(Data!#REF!),IF(AND(Data!#REF!&gt;(TODAY()-(Data_Val!$J$3*365.25)),Data!#REF!&lt;=(TODAY()-(Data_Val!$J$2*365.25))),0,1),1))</f>
        <v>#REF!</v>
      </c>
      <c r="R105" s="17" t="e">
        <f>IF(Data!#REF!="","",IF(ISNUMBER(MATCH(Data!#REF!,Data_Val!$B$2:$B$15,0)),0,1))</f>
        <v>#REF!</v>
      </c>
      <c r="S105" s="11" t="str">
        <f>IF(Data!G105="","",IF(Data!G105=Data_Val!$C$2,IF(Data!M105="",0,1),0))</f>
        <v/>
      </c>
      <c r="T105" s="11" t="str">
        <f>IF(Data!M105="","",IF(ISNUMBER(MATCH(Data!N105,Data_Val!$A$2:$A$3,0)),0,1))</f>
        <v/>
      </c>
      <c r="U105" s="11" t="str">
        <f ca="1">IF(Data!M105="","",IF(ISNUMBER(Data!O105),IF(AND(Data!O105&gt;(TODAY()-(Data_Val!$K$3*365.25)),Data!O105&lt;=(TODAY()-(Data_Val!$K$2*365.25))),0,1),1))</f>
        <v/>
      </c>
      <c r="V105" s="12" t="str">
        <f>IF(Data!G105="","",IF(Data!G105=Data_Val!$C$2,IF(Data!P105="",0,1),0))</f>
        <v/>
      </c>
      <c r="W105" s="12" t="str">
        <f>IF(Data!P105="","",IF(ISNUMBER(MATCH(Data!Q105,Data_Val!$A$2:$A$3,0)),0,1))</f>
        <v/>
      </c>
      <c r="X105" s="26" t="str">
        <f ca="1">IF(Data!P105="","",IF(ISNUMBER(Data!R105),IF(AND(Data!R105&gt;(TODAY()-(Data_Val!$L$3*365.25)),Data!R105&lt;=(TODAY()-(Data_Val!$L$2*365.25))),0,1),1))</f>
        <v/>
      </c>
      <c r="Y105" s="13" t="str">
        <f>IF(Data!$G105="","",IF(Data!$G105=Data_Val!$C$2,IF(Data!S105="",0,1),0))</f>
        <v/>
      </c>
      <c r="Z105" s="13" t="str">
        <f>IF(Data!S105="","",IF(ISNUMBER(MATCH(Data!T105,Data_Val!$A$2:$A$3,0)),0,1))</f>
        <v/>
      </c>
      <c r="AA105" s="28" t="str">
        <f ca="1">IF(Data!S105="","",IF(ISNUMBER(Data!U105),IF(AND(Data!U105&gt;(TODAY()-(Data_Val!$L$3*365.25)),Data!U105&lt;=(TODAY()-(Data_Val!$L$2*365.25))),0,1),1))</f>
        <v/>
      </c>
      <c r="AB105" s="11"/>
      <c r="AC105" s="11" t="e">
        <f>IF(Data!#REF!="","",IF(ISNUMBER(MATCH(Data!#REF!,Data_Val!$A$2:$A$3,0)),0,1))</f>
        <v>#REF!</v>
      </c>
      <c r="AD105" s="11" t="e">
        <f ca="1">IF(Data!#REF!="","",IF(ISNUMBER(Data!#REF!),IF(AND(Data!#REF!&gt;(TODAY()-(Data_Val!$L$3*365.25)),Data!#REF!&lt;=(TODAY()-(Data_Val!$L$2*365.25))),0,1),1))</f>
        <v>#REF!</v>
      </c>
      <c r="AE105" s="11" t="e">
        <f>IF(Data!#REF!="","",IF(Data!$G105="",1,IF(ISNUMBER(MATCH(Data!#REF!,Data_Val!$D$2:$D$10,0)),0,1)))</f>
        <v>#REF!</v>
      </c>
      <c r="AF105" s="12"/>
      <c r="AG105" s="12" t="e">
        <f>IF(Data!#REF!="","",IF(ISNUMBER(MATCH(Data!#REF!,Data_Val!$A$2:$A$3,0)),0,1))</f>
        <v>#REF!</v>
      </c>
      <c r="AH105" s="26" t="e">
        <f ca="1">IF(Data!#REF!="","",IF(ISNUMBER(Data!#REF!),IF(AND(Data!#REF!&gt;(TODAY()-(Data_Val!$L$3*365.25)),Data!#REF!&lt;=(TODAY()-(Data_Val!$L$2*365.25))),0,1),1))</f>
        <v>#REF!</v>
      </c>
      <c r="AI105" s="12" t="e">
        <f>IF(Data!#REF!="","",IF(Data!$G105="",1,IF(ISNUMBER(MATCH(Data!#REF!,Data_Val!$D$2:$D$10,0)),0,1)))</f>
        <v>#REF!</v>
      </c>
      <c r="AJ105" s="17"/>
      <c r="AK105" s="17" t="e">
        <f>IF(Data!#REF!="","",IF(ISNUMBER(MATCH(Data!#REF!,Data_Val!$A$2:$A$3,0)),0,1))</f>
        <v>#REF!</v>
      </c>
      <c r="AL105" s="25" t="e">
        <f ca="1">IF(Data!#REF!="","",IF(ISNUMBER(Data!#REF!),IF(AND(Data!#REF!&gt;(TODAY()-(Data_Val!$L$3*365.25)),Data!#REF!&lt;=(TODAY()-(Data_Val!$L$2*365.25))),0,1),1))</f>
        <v>#REF!</v>
      </c>
      <c r="AM105" s="17" t="e">
        <f>IF(Data!#REF!="","",IF(Data!$G105="",1,IF(ISNUMBER(MATCH(Data!#REF!,Data_Val!$D$2:$D$10,0)),0,1)))</f>
        <v>#REF!</v>
      </c>
      <c r="AN105" s="13"/>
      <c r="AO105" s="28" t="e">
        <f ca="1">IF(Data!#REF!="","",IF(ISNUMBER(Data!#REF!),IF(AND(Data!#REF!&gt;(TODAY()-(Data_Val!$I$3*365.25)),Data!#REF!&lt;=(TODAY()-(Data_Val!$I$2*365.25))),0,1),1))</f>
        <v>#REF!</v>
      </c>
      <c r="AP105" s="13" t="e">
        <f>IF(Data!#REF!="","",IF(Data!$G105="",1,IF(ISNUMBER(MATCH(Data!#REF!,Data_Val!$D$2:$D$10,0)),0,1)))</f>
        <v>#REF!</v>
      </c>
      <c r="AQ105" s="17"/>
      <c r="AR105" s="30" t="e">
        <f ca="1">IF(Data!#REF!="","",IF(ISNUMBER(Data!#REF!),IF(AND(Data!#REF!&gt;(TODAY()-(Data_Val!$I$3*365.25)),Data!#REF!&lt;=(TODAY()-(Data_Val!$I$2*365.25))),0,1),1))</f>
        <v>#REF!</v>
      </c>
      <c r="AS105" s="31" t="e">
        <f>IF(Data!#REF!="","",IF(Data!$G105="",1,IF(ISNUMBER(MATCH(Data!#REF!,Data_Val!$D$2:$D$10,0)),0,1)))</f>
        <v>#REF!</v>
      </c>
      <c r="AT105" s="11"/>
      <c r="AU105" s="11" t="e">
        <f ca="1">IF(Data!#REF!="","",IF(ISNUMBER(Data!#REF!),IF(AND(Data!#REF!&gt;(TODAY()-(Data_Val!$I$3*365.25)),Data!#REF!&lt;=(TODAY()-(Data_Val!$I$2*365.25))),0,1),1))</f>
        <v>#REF!</v>
      </c>
      <c r="AV105" s="11" t="e">
        <f>IF(Data!#REF!="","",IF(Data!$G105="",1,IF(ISNUMBER(MATCH(Data!#REF!,Data_Val!$D$2:$D$10,0)),0,1)))</f>
        <v>#REF!</v>
      </c>
      <c r="AW105" s="12"/>
      <c r="AX105" s="26" t="e">
        <f ca="1">IF(Data!#REF!="","",IF(ISNUMBER(Data!#REF!),IF(AND(Data!#REF!&gt;(TODAY()-(Data_Val!$I$3*365.25)),Data!#REF!&lt;=(TODAY()-(Data_Val!$I$2*365.25))),0,1),1))</f>
        <v>#REF!</v>
      </c>
      <c r="AY105" s="12" t="e">
        <f>IF(Data!#REF!="","",IF(Data!$G105="",1,IF(ISNUMBER(MATCH(Data!#REF!,Data_Val!$D$2:$D$10,0)),0,1)))</f>
        <v>#REF!</v>
      </c>
      <c r="AZ105" s="11"/>
      <c r="BA105" s="19" t="e">
        <f ca="1">IF(Data!#REF!="","",IF(ISNUMBER(Data!#REF!),IF(AND(Data!#REF!&gt;(TODAY()-(Data_Val!$M$3*365.25)),Data!#REF!&lt;=(TODAY()-(Data_Val!$M$2*365.25))),0,1),1))</f>
        <v>#REF!</v>
      </c>
      <c r="BB105" s="11" t="e">
        <f>IF(Data!#REF!="","",IF(Data!$G105="",1,IF(ISNUMBER(MATCH(Data!#REF!,Data_Val!$D$2:$D$10,0)),0,1)))</f>
        <v>#REF!</v>
      </c>
      <c r="BC105" s="12"/>
      <c r="BD105" s="20" t="e">
        <f ca="1">IF(Data!#REF!="","",IF(ISNUMBER(Data!#REF!),IF(AND(Data!#REF!&gt;(TODAY()-(Data_Val!$M$3*365.25)),Data!#REF!&lt;=(TODAY()-(Data_Val!$M$2*365.25))),0,1),1))</f>
        <v>#REF!</v>
      </c>
      <c r="BE105" s="12" t="e">
        <f>IF(Data!#REF!="","",IF(Data!$G105="",1,IF(ISNUMBER(MATCH(Data!#REF!,Data_Val!$D$2:$D$10,0)),0,1)))</f>
        <v>#REF!</v>
      </c>
      <c r="BF105" s="17"/>
      <c r="BG105" s="18" t="e">
        <f ca="1">IF(Data!#REF!="","",IF(ISNUMBER(Data!#REF!),IF(AND(Data!#REF!&gt;(TODAY()-(Data_Val!$M$3*365.25)),Data!#REF!&lt;=(TODAY()-(Data_Val!$M$2*365.25))),0,1),1))</f>
        <v>#REF!</v>
      </c>
      <c r="BH105" s="29" t="e">
        <f>IF(Data!#REF!="","",IF(Data!$G105="",1,IF(ISNUMBER(MATCH(Data!#REF!,Data_Val!$D$2:$D$10,0)),0,1)))</f>
        <v>#REF!</v>
      </c>
      <c r="BI105" s="13"/>
      <c r="BJ105" s="21" t="e">
        <f ca="1">IF(Data!#REF!="","",IF(ISNUMBER(Data!#REF!),IF(AND(Data!#REF!&gt;(TODAY()-(Data_Val!$M$3*365.25)),Data!#REF!&lt;=(TODAY()-(Data_Val!$M$2*365.25))),0,1),1))</f>
        <v>#REF!</v>
      </c>
      <c r="BK105" s="13" t="e">
        <f>IF(Data!#REF!="","",IF(Data!$G105="",1,IF(ISNUMBER(MATCH(Data!#REF!,Data_Val!$D$2:$D$10,0)),0,1)))</f>
        <v>#REF!</v>
      </c>
    </row>
    <row r="106" spans="1:63" x14ac:dyDescent="0.25">
      <c r="A106" s="9" t="str">
        <f>IF(Data!B106="","",IF(COUNTIFS(Data!A$1:'Data'!A106,Data!A106)&lt;=1,0,1))</f>
        <v/>
      </c>
      <c r="B106" s="9"/>
      <c r="C106" s="23" t="str">
        <f>IF(Data!C106="","",(IF(ISNUMBER(MATCH("*@*.?*",Data!C106,0)),0,1)+IF(COUNTIFS(Data!C$1:'Data'!C106,Data!C106)&gt;1,1,0)))</f>
        <v/>
      </c>
      <c r="D106" s="9" t="str">
        <f>IF(Data!B106="","",IF(ISNUMBER(Data!D106),IF(AND(Data!D106&gt;999999999,Data!D106&lt;=9999999999),IF(COUNTIFS(Data!D$1:'Data'!D106,Data!D106)&lt;=1,0,1),1),1))</f>
        <v/>
      </c>
      <c r="E106" s="9" t="str">
        <f>IF(Data!B106="","",IF(ISNUMBER(MATCH(Data!E106,Data_Val!$A$2:$A$3,0)),0,1))</f>
        <v/>
      </c>
      <c r="F106" s="9" t="str">
        <f ca="1">IF(Data!B106="","",IF(ISNUMBER(Data!F106),IF(AND(Data!F106&gt;(TODAY()-(Data_Val!$H$3*365.25)),Data!F106&lt;=(TODAY()-(Data_Val!$H$2*365.25))),0,1),1))</f>
        <v/>
      </c>
      <c r="G106" s="15" t="str">
        <f>IF(Data!B106="","",IF(AND(Data!G106="",Data!H106&lt;&gt;""),1,IF(Data!#REF!&lt;&gt;"",0,IF(ISNUMBER(MATCH(Data!G106,Data_Val!$C$2:$C$5,0)),0,1))))</f>
        <v/>
      </c>
      <c r="H106" s="15" t="str">
        <f>IF(Data!B106="","",IF(AND(Data!G106&lt;&gt;"",Data!H106=""),1,IF(Data!#REF!&lt;&gt;"",0,IF(Data!G106="",1,IF(ISNUMBER(MATCH(Data!H106,Data_Val!$D$2:$D$35,0)),0,1)))))</f>
        <v/>
      </c>
      <c r="I106" s="15" t="str">
        <f>IF(Data!B106="","",IF(Data!G106&lt;&gt;"",0,IF(ISNUMBER(MATCH(Data!#REF!,Data_Val!$E$2:$E$12,0)),0,1)))</f>
        <v/>
      </c>
      <c r="J106" s="16" t="e">
        <f>IF(OR(Data!B106="",Data!#REF!=""),"",IF(Data!#REF!="",1,0))</f>
        <v>#REF!</v>
      </c>
      <c r="K106" s="16" t="e">
        <f>IF(OR(Data!B106="",Data!#REF!=""),"",IF(Data!#REF!="",1,0))</f>
        <v>#REF!</v>
      </c>
      <c r="L106" s="16" t="e">
        <f>IF(OR(Data!B106="",Data!#REF!=""),"",IF(ISNUMBER(Data!#REF!),IF(AND(Data!#REF!&gt;Data_Val!$G$2,Data!#REF!&lt;=Data_Val!$G$3),0,1),1))</f>
        <v>#REF!</v>
      </c>
      <c r="M106" s="9" t="e">
        <f>IF(OR(Data!B106="",Data!#REF!=""),"",IF(ISNUMBER(MATCH(Data!#REF!,Data_Val!$F$1:$F$38,0)),0,1))</f>
        <v>#REF!</v>
      </c>
      <c r="N106" s="9" t="e">
        <f>IF(OR(Data!B106="",Data!#REF!=""),"",IF(Data!#REF!="",1,0))</f>
        <v>#REF!</v>
      </c>
      <c r="O106" s="17" t="e">
        <f>IF(Data!#REF!="","",IF(Data!#REF!="",1,0))</f>
        <v>#REF!</v>
      </c>
      <c r="P106" s="17" t="e">
        <f>IF(Data!#REF!="","",IF(ISNUMBER(MATCH(Data!#REF!,Data_Val!$A$2:$A$3,0)),0,1))</f>
        <v>#REF!</v>
      </c>
      <c r="Q106" s="25" t="e">
        <f ca="1">IF(Data!#REF!="","",IF(ISNUMBER(Data!#REF!),IF(AND(Data!#REF!&gt;(TODAY()-(Data_Val!$J$3*365.25)),Data!#REF!&lt;=(TODAY()-(Data_Val!$J$2*365.25))),0,1),1))</f>
        <v>#REF!</v>
      </c>
      <c r="R106" s="17" t="e">
        <f>IF(Data!#REF!="","",IF(ISNUMBER(MATCH(Data!#REF!,Data_Val!$B$2:$B$15,0)),0,1))</f>
        <v>#REF!</v>
      </c>
      <c r="S106" s="11" t="str">
        <f>IF(Data!G106="","",IF(Data!G106=Data_Val!$C$2,IF(Data!M106="",0,1),0))</f>
        <v/>
      </c>
      <c r="T106" s="11" t="str">
        <f>IF(Data!M106="","",IF(ISNUMBER(MATCH(Data!N106,Data_Val!$A$2:$A$3,0)),0,1))</f>
        <v/>
      </c>
      <c r="U106" s="11" t="str">
        <f ca="1">IF(Data!M106="","",IF(ISNUMBER(Data!O106),IF(AND(Data!O106&gt;(TODAY()-(Data_Val!$K$3*365.25)),Data!O106&lt;=(TODAY()-(Data_Val!$K$2*365.25))),0,1),1))</f>
        <v/>
      </c>
      <c r="V106" s="12" t="str">
        <f>IF(Data!G106="","",IF(Data!G106=Data_Val!$C$2,IF(Data!P106="",0,1),0))</f>
        <v/>
      </c>
      <c r="W106" s="12" t="str">
        <f>IF(Data!P106="","",IF(ISNUMBER(MATCH(Data!Q106,Data_Val!$A$2:$A$3,0)),0,1))</f>
        <v/>
      </c>
      <c r="X106" s="26" t="str">
        <f ca="1">IF(Data!P106="","",IF(ISNUMBER(Data!R106),IF(AND(Data!R106&gt;(TODAY()-(Data_Val!$L$3*365.25)),Data!R106&lt;=(TODAY()-(Data_Val!$L$2*365.25))),0,1),1))</f>
        <v/>
      </c>
      <c r="Y106" s="13" t="str">
        <f>IF(Data!$G106="","",IF(Data!$G106=Data_Val!$C$2,IF(Data!S106="",0,1),0))</f>
        <v/>
      </c>
      <c r="Z106" s="13" t="str">
        <f>IF(Data!S106="","",IF(ISNUMBER(MATCH(Data!T106,Data_Val!$A$2:$A$3,0)),0,1))</f>
        <v/>
      </c>
      <c r="AA106" s="28" t="str">
        <f ca="1">IF(Data!S106="","",IF(ISNUMBER(Data!U106),IF(AND(Data!U106&gt;(TODAY()-(Data_Val!$L$3*365.25)),Data!U106&lt;=(TODAY()-(Data_Val!$L$2*365.25))),0,1),1))</f>
        <v/>
      </c>
      <c r="AB106" s="11"/>
      <c r="AC106" s="11" t="e">
        <f>IF(Data!#REF!="","",IF(ISNUMBER(MATCH(Data!#REF!,Data_Val!$A$2:$A$3,0)),0,1))</f>
        <v>#REF!</v>
      </c>
      <c r="AD106" s="11" t="e">
        <f ca="1">IF(Data!#REF!="","",IF(ISNUMBER(Data!#REF!),IF(AND(Data!#REF!&gt;(TODAY()-(Data_Val!$L$3*365.25)),Data!#REF!&lt;=(TODAY()-(Data_Val!$L$2*365.25))),0,1),1))</f>
        <v>#REF!</v>
      </c>
      <c r="AE106" s="11" t="e">
        <f>IF(Data!#REF!="","",IF(Data!$G106="",1,IF(ISNUMBER(MATCH(Data!#REF!,Data_Val!$D$2:$D$10,0)),0,1)))</f>
        <v>#REF!</v>
      </c>
      <c r="AF106" s="12"/>
      <c r="AG106" s="12" t="e">
        <f>IF(Data!#REF!="","",IF(ISNUMBER(MATCH(Data!#REF!,Data_Val!$A$2:$A$3,0)),0,1))</f>
        <v>#REF!</v>
      </c>
      <c r="AH106" s="26" t="e">
        <f ca="1">IF(Data!#REF!="","",IF(ISNUMBER(Data!#REF!),IF(AND(Data!#REF!&gt;(TODAY()-(Data_Val!$L$3*365.25)),Data!#REF!&lt;=(TODAY()-(Data_Val!$L$2*365.25))),0,1),1))</f>
        <v>#REF!</v>
      </c>
      <c r="AI106" s="12" t="e">
        <f>IF(Data!#REF!="","",IF(Data!$G106="",1,IF(ISNUMBER(MATCH(Data!#REF!,Data_Val!$D$2:$D$10,0)),0,1)))</f>
        <v>#REF!</v>
      </c>
      <c r="AJ106" s="17"/>
      <c r="AK106" s="17" t="e">
        <f>IF(Data!#REF!="","",IF(ISNUMBER(MATCH(Data!#REF!,Data_Val!$A$2:$A$3,0)),0,1))</f>
        <v>#REF!</v>
      </c>
      <c r="AL106" s="25" t="e">
        <f ca="1">IF(Data!#REF!="","",IF(ISNUMBER(Data!#REF!),IF(AND(Data!#REF!&gt;(TODAY()-(Data_Val!$L$3*365.25)),Data!#REF!&lt;=(TODAY()-(Data_Val!$L$2*365.25))),0,1),1))</f>
        <v>#REF!</v>
      </c>
      <c r="AM106" s="17" t="e">
        <f>IF(Data!#REF!="","",IF(Data!$G106="",1,IF(ISNUMBER(MATCH(Data!#REF!,Data_Val!$D$2:$D$10,0)),0,1)))</f>
        <v>#REF!</v>
      </c>
      <c r="AN106" s="13"/>
      <c r="AO106" s="28" t="e">
        <f ca="1">IF(Data!#REF!="","",IF(ISNUMBER(Data!#REF!),IF(AND(Data!#REF!&gt;(TODAY()-(Data_Val!$I$3*365.25)),Data!#REF!&lt;=(TODAY()-(Data_Val!$I$2*365.25))),0,1),1))</f>
        <v>#REF!</v>
      </c>
      <c r="AP106" s="13" t="e">
        <f>IF(Data!#REF!="","",IF(Data!$G106="",1,IF(ISNUMBER(MATCH(Data!#REF!,Data_Val!$D$2:$D$10,0)),0,1)))</f>
        <v>#REF!</v>
      </c>
      <c r="AQ106" s="17"/>
      <c r="AR106" s="30" t="e">
        <f ca="1">IF(Data!#REF!="","",IF(ISNUMBER(Data!#REF!),IF(AND(Data!#REF!&gt;(TODAY()-(Data_Val!$I$3*365.25)),Data!#REF!&lt;=(TODAY()-(Data_Val!$I$2*365.25))),0,1),1))</f>
        <v>#REF!</v>
      </c>
      <c r="AS106" s="31" t="e">
        <f>IF(Data!#REF!="","",IF(Data!$G106="",1,IF(ISNUMBER(MATCH(Data!#REF!,Data_Val!$D$2:$D$10,0)),0,1)))</f>
        <v>#REF!</v>
      </c>
      <c r="AT106" s="11"/>
      <c r="AU106" s="11" t="e">
        <f ca="1">IF(Data!#REF!="","",IF(ISNUMBER(Data!#REF!),IF(AND(Data!#REF!&gt;(TODAY()-(Data_Val!$I$3*365.25)),Data!#REF!&lt;=(TODAY()-(Data_Val!$I$2*365.25))),0,1),1))</f>
        <v>#REF!</v>
      </c>
      <c r="AV106" s="11" t="e">
        <f>IF(Data!#REF!="","",IF(Data!$G106="",1,IF(ISNUMBER(MATCH(Data!#REF!,Data_Val!$D$2:$D$10,0)),0,1)))</f>
        <v>#REF!</v>
      </c>
      <c r="AW106" s="12"/>
      <c r="AX106" s="26" t="e">
        <f ca="1">IF(Data!#REF!="","",IF(ISNUMBER(Data!#REF!),IF(AND(Data!#REF!&gt;(TODAY()-(Data_Val!$I$3*365.25)),Data!#REF!&lt;=(TODAY()-(Data_Val!$I$2*365.25))),0,1),1))</f>
        <v>#REF!</v>
      </c>
      <c r="AY106" s="12" t="e">
        <f>IF(Data!#REF!="","",IF(Data!$G106="",1,IF(ISNUMBER(MATCH(Data!#REF!,Data_Val!$D$2:$D$10,0)),0,1)))</f>
        <v>#REF!</v>
      </c>
      <c r="AZ106" s="11"/>
      <c r="BA106" s="19" t="e">
        <f ca="1">IF(Data!#REF!="","",IF(ISNUMBER(Data!#REF!),IF(AND(Data!#REF!&gt;(TODAY()-(Data_Val!$M$3*365.25)),Data!#REF!&lt;=(TODAY()-(Data_Val!$M$2*365.25))),0,1),1))</f>
        <v>#REF!</v>
      </c>
      <c r="BB106" s="11" t="e">
        <f>IF(Data!#REF!="","",IF(Data!$G106="",1,IF(ISNUMBER(MATCH(Data!#REF!,Data_Val!$D$2:$D$10,0)),0,1)))</f>
        <v>#REF!</v>
      </c>
      <c r="BC106" s="12"/>
      <c r="BD106" s="20" t="e">
        <f ca="1">IF(Data!#REF!="","",IF(ISNUMBER(Data!#REF!),IF(AND(Data!#REF!&gt;(TODAY()-(Data_Val!$M$3*365.25)),Data!#REF!&lt;=(TODAY()-(Data_Val!$M$2*365.25))),0,1),1))</f>
        <v>#REF!</v>
      </c>
      <c r="BE106" s="12" t="e">
        <f>IF(Data!#REF!="","",IF(Data!$G106="",1,IF(ISNUMBER(MATCH(Data!#REF!,Data_Val!$D$2:$D$10,0)),0,1)))</f>
        <v>#REF!</v>
      </c>
      <c r="BF106" s="17"/>
      <c r="BG106" s="18" t="e">
        <f ca="1">IF(Data!#REF!="","",IF(ISNUMBER(Data!#REF!),IF(AND(Data!#REF!&gt;(TODAY()-(Data_Val!$M$3*365.25)),Data!#REF!&lt;=(TODAY()-(Data_Val!$M$2*365.25))),0,1),1))</f>
        <v>#REF!</v>
      </c>
      <c r="BH106" s="29" t="e">
        <f>IF(Data!#REF!="","",IF(Data!$G106="",1,IF(ISNUMBER(MATCH(Data!#REF!,Data_Val!$D$2:$D$10,0)),0,1)))</f>
        <v>#REF!</v>
      </c>
      <c r="BI106" s="13"/>
      <c r="BJ106" s="21" t="e">
        <f ca="1">IF(Data!#REF!="","",IF(ISNUMBER(Data!#REF!),IF(AND(Data!#REF!&gt;(TODAY()-(Data_Val!$M$3*365.25)),Data!#REF!&lt;=(TODAY()-(Data_Val!$M$2*365.25))),0,1),1))</f>
        <v>#REF!</v>
      </c>
      <c r="BK106" s="13" t="e">
        <f>IF(Data!#REF!="","",IF(Data!$G106="",1,IF(ISNUMBER(MATCH(Data!#REF!,Data_Val!$D$2:$D$10,0)),0,1)))</f>
        <v>#REF!</v>
      </c>
    </row>
    <row r="107" spans="1:63" x14ac:dyDescent="0.25">
      <c r="A107" s="9" t="str">
        <f>IF(Data!B107="","",IF(COUNTIFS(Data!A$1:'Data'!A107,Data!A107)&lt;=1,0,1))</f>
        <v/>
      </c>
      <c r="B107" s="9"/>
      <c r="C107" s="23" t="str">
        <f>IF(Data!C107="","",(IF(ISNUMBER(MATCH("*@*.?*",Data!C107,0)),0,1)+IF(COUNTIFS(Data!C$1:'Data'!C107,Data!C107)&gt;1,1,0)))</f>
        <v/>
      </c>
      <c r="D107" s="9" t="str">
        <f>IF(Data!B107="","",IF(ISNUMBER(Data!D107),IF(AND(Data!D107&gt;999999999,Data!D107&lt;=9999999999),IF(COUNTIFS(Data!D$1:'Data'!D107,Data!D107)&lt;=1,0,1),1),1))</f>
        <v/>
      </c>
      <c r="E107" s="9" t="str">
        <f>IF(Data!B107="","",IF(ISNUMBER(MATCH(Data!E107,Data_Val!$A$2:$A$3,0)),0,1))</f>
        <v/>
      </c>
      <c r="F107" s="9" t="str">
        <f ca="1">IF(Data!B107="","",IF(ISNUMBER(Data!F107),IF(AND(Data!F107&gt;(TODAY()-(Data_Val!$H$3*365.25)),Data!F107&lt;=(TODAY()-(Data_Val!$H$2*365.25))),0,1),1))</f>
        <v/>
      </c>
      <c r="G107" s="15" t="str">
        <f>IF(Data!B107="","",IF(AND(Data!G107="",Data!H107&lt;&gt;""),1,IF(Data!#REF!&lt;&gt;"",0,IF(ISNUMBER(MATCH(Data!G107,Data_Val!$C$2:$C$5,0)),0,1))))</f>
        <v/>
      </c>
      <c r="H107" s="15" t="str">
        <f>IF(Data!B107="","",IF(AND(Data!G107&lt;&gt;"",Data!H107=""),1,IF(Data!#REF!&lt;&gt;"",0,IF(Data!G107="",1,IF(ISNUMBER(MATCH(Data!H107,Data_Val!$D$2:$D$35,0)),0,1)))))</f>
        <v/>
      </c>
      <c r="I107" s="15" t="str">
        <f>IF(Data!B107="","",IF(Data!G107&lt;&gt;"",0,IF(ISNUMBER(MATCH(Data!#REF!,Data_Val!$E$2:$E$12,0)),0,1)))</f>
        <v/>
      </c>
      <c r="J107" s="16" t="e">
        <f>IF(OR(Data!B107="",Data!#REF!=""),"",IF(Data!#REF!="",1,0))</f>
        <v>#REF!</v>
      </c>
      <c r="K107" s="16" t="e">
        <f>IF(OR(Data!B107="",Data!#REF!=""),"",IF(Data!#REF!="",1,0))</f>
        <v>#REF!</v>
      </c>
      <c r="L107" s="16" t="e">
        <f>IF(OR(Data!B107="",Data!#REF!=""),"",IF(ISNUMBER(Data!#REF!),IF(AND(Data!#REF!&gt;Data_Val!$G$2,Data!#REF!&lt;=Data_Val!$G$3),0,1),1))</f>
        <v>#REF!</v>
      </c>
      <c r="M107" s="9" t="e">
        <f>IF(OR(Data!B107="",Data!#REF!=""),"",IF(ISNUMBER(MATCH(Data!#REF!,Data_Val!$F$1:$F$38,0)),0,1))</f>
        <v>#REF!</v>
      </c>
      <c r="N107" s="9" t="e">
        <f>IF(OR(Data!B107="",Data!#REF!=""),"",IF(Data!#REF!="",1,0))</f>
        <v>#REF!</v>
      </c>
      <c r="O107" s="17" t="e">
        <f>IF(Data!#REF!="","",IF(Data!#REF!="",1,0))</f>
        <v>#REF!</v>
      </c>
      <c r="P107" s="17" t="e">
        <f>IF(Data!#REF!="","",IF(ISNUMBER(MATCH(Data!#REF!,Data_Val!$A$2:$A$3,0)),0,1))</f>
        <v>#REF!</v>
      </c>
      <c r="Q107" s="25" t="e">
        <f ca="1">IF(Data!#REF!="","",IF(ISNUMBER(Data!#REF!),IF(AND(Data!#REF!&gt;(TODAY()-(Data_Val!$J$3*365.25)),Data!#REF!&lt;=(TODAY()-(Data_Val!$J$2*365.25))),0,1),1))</f>
        <v>#REF!</v>
      </c>
      <c r="R107" s="17" t="e">
        <f>IF(Data!#REF!="","",IF(ISNUMBER(MATCH(Data!#REF!,Data_Val!$B$2:$B$15,0)),0,1))</f>
        <v>#REF!</v>
      </c>
      <c r="S107" s="11" t="str">
        <f>IF(Data!G107="","",IF(Data!G107=Data_Val!$C$2,IF(Data!M107="",0,1),0))</f>
        <v/>
      </c>
      <c r="T107" s="11" t="str">
        <f>IF(Data!M107="","",IF(ISNUMBER(MATCH(Data!N107,Data_Val!$A$2:$A$3,0)),0,1))</f>
        <v/>
      </c>
      <c r="U107" s="11" t="str">
        <f ca="1">IF(Data!M107="","",IF(ISNUMBER(Data!O107),IF(AND(Data!O107&gt;(TODAY()-(Data_Val!$K$3*365.25)),Data!O107&lt;=(TODAY()-(Data_Val!$K$2*365.25))),0,1),1))</f>
        <v/>
      </c>
      <c r="V107" s="12" t="str">
        <f>IF(Data!G107="","",IF(Data!G107=Data_Val!$C$2,IF(Data!P107="",0,1),0))</f>
        <v/>
      </c>
      <c r="W107" s="12" t="str">
        <f>IF(Data!P107="","",IF(ISNUMBER(MATCH(Data!Q107,Data_Val!$A$2:$A$3,0)),0,1))</f>
        <v/>
      </c>
      <c r="X107" s="26" t="str">
        <f ca="1">IF(Data!P107="","",IF(ISNUMBER(Data!R107),IF(AND(Data!R107&gt;(TODAY()-(Data_Val!$L$3*365.25)),Data!R107&lt;=(TODAY()-(Data_Val!$L$2*365.25))),0,1),1))</f>
        <v/>
      </c>
      <c r="Y107" s="13" t="str">
        <f>IF(Data!$G107="","",IF(Data!$G107=Data_Val!$C$2,IF(Data!S107="",0,1),0))</f>
        <v/>
      </c>
      <c r="Z107" s="13" t="str">
        <f>IF(Data!S107="","",IF(ISNUMBER(MATCH(Data!T107,Data_Val!$A$2:$A$3,0)),0,1))</f>
        <v/>
      </c>
      <c r="AA107" s="28" t="str">
        <f ca="1">IF(Data!S107="","",IF(ISNUMBER(Data!U107),IF(AND(Data!U107&gt;(TODAY()-(Data_Val!$L$3*365.25)),Data!U107&lt;=(TODAY()-(Data_Val!$L$2*365.25))),0,1),1))</f>
        <v/>
      </c>
      <c r="AB107" s="11"/>
      <c r="AC107" s="11" t="e">
        <f>IF(Data!#REF!="","",IF(ISNUMBER(MATCH(Data!#REF!,Data_Val!$A$2:$A$3,0)),0,1))</f>
        <v>#REF!</v>
      </c>
      <c r="AD107" s="11" t="e">
        <f ca="1">IF(Data!#REF!="","",IF(ISNUMBER(Data!#REF!),IF(AND(Data!#REF!&gt;(TODAY()-(Data_Val!$L$3*365.25)),Data!#REF!&lt;=(TODAY()-(Data_Val!$L$2*365.25))),0,1),1))</f>
        <v>#REF!</v>
      </c>
      <c r="AE107" s="11" t="e">
        <f>IF(Data!#REF!="","",IF(Data!$G107="",1,IF(ISNUMBER(MATCH(Data!#REF!,Data_Val!$D$2:$D$10,0)),0,1)))</f>
        <v>#REF!</v>
      </c>
      <c r="AF107" s="12"/>
      <c r="AG107" s="12" t="e">
        <f>IF(Data!#REF!="","",IF(ISNUMBER(MATCH(Data!#REF!,Data_Val!$A$2:$A$3,0)),0,1))</f>
        <v>#REF!</v>
      </c>
      <c r="AH107" s="26" t="e">
        <f ca="1">IF(Data!#REF!="","",IF(ISNUMBER(Data!#REF!),IF(AND(Data!#REF!&gt;(TODAY()-(Data_Val!$L$3*365.25)),Data!#REF!&lt;=(TODAY()-(Data_Val!$L$2*365.25))),0,1),1))</f>
        <v>#REF!</v>
      </c>
      <c r="AI107" s="12" t="e">
        <f>IF(Data!#REF!="","",IF(Data!$G107="",1,IF(ISNUMBER(MATCH(Data!#REF!,Data_Val!$D$2:$D$10,0)),0,1)))</f>
        <v>#REF!</v>
      </c>
      <c r="AJ107" s="17"/>
      <c r="AK107" s="17" t="e">
        <f>IF(Data!#REF!="","",IF(ISNUMBER(MATCH(Data!#REF!,Data_Val!$A$2:$A$3,0)),0,1))</f>
        <v>#REF!</v>
      </c>
      <c r="AL107" s="25" t="e">
        <f ca="1">IF(Data!#REF!="","",IF(ISNUMBER(Data!#REF!),IF(AND(Data!#REF!&gt;(TODAY()-(Data_Val!$L$3*365.25)),Data!#REF!&lt;=(TODAY()-(Data_Val!$L$2*365.25))),0,1),1))</f>
        <v>#REF!</v>
      </c>
      <c r="AM107" s="17" t="e">
        <f>IF(Data!#REF!="","",IF(Data!$G107="",1,IF(ISNUMBER(MATCH(Data!#REF!,Data_Val!$D$2:$D$10,0)),0,1)))</f>
        <v>#REF!</v>
      </c>
      <c r="AN107" s="13"/>
      <c r="AO107" s="28" t="e">
        <f ca="1">IF(Data!#REF!="","",IF(ISNUMBER(Data!#REF!),IF(AND(Data!#REF!&gt;(TODAY()-(Data_Val!$I$3*365.25)),Data!#REF!&lt;=(TODAY()-(Data_Val!$I$2*365.25))),0,1),1))</f>
        <v>#REF!</v>
      </c>
      <c r="AP107" s="13" t="e">
        <f>IF(Data!#REF!="","",IF(Data!$G107="",1,IF(ISNUMBER(MATCH(Data!#REF!,Data_Val!$D$2:$D$10,0)),0,1)))</f>
        <v>#REF!</v>
      </c>
      <c r="AQ107" s="17"/>
      <c r="AR107" s="30" t="e">
        <f ca="1">IF(Data!#REF!="","",IF(ISNUMBER(Data!#REF!),IF(AND(Data!#REF!&gt;(TODAY()-(Data_Val!$I$3*365.25)),Data!#REF!&lt;=(TODAY()-(Data_Val!$I$2*365.25))),0,1),1))</f>
        <v>#REF!</v>
      </c>
      <c r="AS107" s="31" t="e">
        <f>IF(Data!#REF!="","",IF(Data!$G107="",1,IF(ISNUMBER(MATCH(Data!#REF!,Data_Val!$D$2:$D$10,0)),0,1)))</f>
        <v>#REF!</v>
      </c>
      <c r="AT107" s="11"/>
      <c r="AU107" s="11" t="e">
        <f ca="1">IF(Data!#REF!="","",IF(ISNUMBER(Data!#REF!),IF(AND(Data!#REF!&gt;(TODAY()-(Data_Val!$I$3*365.25)),Data!#REF!&lt;=(TODAY()-(Data_Val!$I$2*365.25))),0,1),1))</f>
        <v>#REF!</v>
      </c>
      <c r="AV107" s="11" t="e">
        <f>IF(Data!#REF!="","",IF(Data!$G107="",1,IF(ISNUMBER(MATCH(Data!#REF!,Data_Val!$D$2:$D$10,0)),0,1)))</f>
        <v>#REF!</v>
      </c>
      <c r="AW107" s="12"/>
      <c r="AX107" s="26" t="e">
        <f ca="1">IF(Data!#REF!="","",IF(ISNUMBER(Data!#REF!),IF(AND(Data!#REF!&gt;(TODAY()-(Data_Val!$I$3*365.25)),Data!#REF!&lt;=(TODAY()-(Data_Val!$I$2*365.25))),0,1),1))</f>
        <v>#REF!</v>
      </c>
      <c r="AY107" s="12" t="e">
        <f>IF(Data!#REF!="","",IF(Data!$G107="",1,IF(ISNUMBER(MATCH(Data!#REF!,Data_Val!$D$2:$D$10,0)),0,1)))</f>
        <v>#REF!</v>
      </c>
      <c r="AZ107" s="11"/>
      <c r="BA107" s="19" t="e">
        <f ca="1">IF(Data!#REF!="","",IF(ISNUMBER(Data!#REF!),IF(AND(Data!#REF!&gt;(TODAY()-(Data_Val!$M$3*365.25)),Data!#REF!&lt;=(TODAY()-(Data_Val!$M$2*365.25))),0,1),1))</f>
        <v>#REF!</v>
      </c>
      <c r="BB107" s="11" t="e">
        <f>IF(Data!#REF!="","",IF(Data!$G107="",1,IF(ISNUMBER(MATCH(Data!#REF!,Data_Val!$D$2:$D$10,0)),0,1)))</f>
        <v>#REF!</v>
      </c>
      <c r="BC107" s="12"/>
      <c r="BD107" s="20" t="e">
        <f ca="1">IF(Data!#REF!="","",IF(ISNUMBER(Data!#REF!),IF(AND(Data!#REF!&gt;(TODAY()-(Data_Val!$M$3*365.25)),Data!#REF!&lt;=(TODAY()-(Data_Val!$M$2*365.25))),0,1),1))</f>
        <v>#REF!</v>
      </c>
      <c r="BE107" s="12" t="e">
        <f>IF(Data!#REF!="","",IF(Data!$G107="",1,IF(ISNUMBER(MATCH(Data!#REF!,Data_Val!$D$2:$D$10,0)),0,1)))</f>
        <v>#REF!</v>
      </c>
      <c r="BF107" s="17"/>
      <c r="BG107" s="18" t="e">
        <f ca="1">IF(Data!#REF!="","",IF(ISNUMBER(Data!#REF!),IF(AND(Data!#REF!&gt;(TODAY()-(Data_Val!$M$3*365.25)),Data!#REF!&lt;=(TODAY()-(Data_Val!$M$2*365.25))),0,1),1))</f>
        <v>#REF!</v>
      </c>
      <c r="BH107" s="29" t="e">
        <f>IF(Data!#REF!="","",IF(Data!$G107="",1,IF(ISNUMBER(MATCH(Data!#REF!,Data_Val!$D$2:$D$10,0)),0,1)))</f>
        <v>#REF!</v>
      </c>
      <c r="BI107" s="13"/>
      <c r="BJ107" s="21" t="e">
        <f ca="1">IF(Data!#REF!="","",IF(ISNUMBER(Data!#REF!),IF(AND(Data!#REF!&gt;(TODAY()-(Data_Val!$M$3*365.25)),Data!#REF!&lt;=(TODAY()-(Data_Val!$M$2*365.25))),0,1),1))</f>
        <v>#REF!</v>
      </c>
      <c r="BK107" s="13" t="e">
        <f>IF(Data!#REF!="","",IF(Data!$G107="",1,IF(ISNUMBER(MATCH(Data!#REF!,Data_Val!$D$2:$D$10,0)),0,1)))</f>
        <v>#REF!</v>
      </c>
    </row>
    <row r="108" spans="1:63" x14ac:dyDescent="0.25">
      <c r="A108" s="9" t="str">
        <f>IF(Data!B108="","",IF(COUNTIFS(Data!A$1:'Data'!A108,Data!A108)&lt;=1,0,1))</f>
        <v/>
      </c>
      <c r="B108" s="9"/>
      <c r="C108" s="23" t="str">
        <f>IF(Data!C108="","",(IF(ISNUMBER(MATCH("*@*.?*",Data!C108,0)),0,1)+IF(COUNTIFS(Data!C$1:'Data'!C108,Data!C108)&gt;1,1,0)))</f>
        <v/>
      </c>
      <c r="D108" s="9" t="str">
        <f>IF(Data!B108="","",IF(ISNUMBER(Data!D108),IF(AND(Data!D108&gt;999999999,Data!D108&lt;=9999999999),IF(COUNTIFS(Data!D$1:'Data'!D108,Data!D108)&lt;=1,0,1),1),1))</f>
        <v/>
      </c>
      <c r="E108" s="9" t="str">
        <f>IF(Data!B108="","",IF(ISNUMBER(MATCH(Data!E108,Data_Val!$A$2:$A$3,0)),0,1))</f>
        <v/>
      </c>
      <c r="F108" s="9" t="str">
        <f ca="1">IF(Data!B108="","",IF(ISNUMBER(Data!F108),IF(AND(Data!F108&gt;(TODAY()-(Data_Val!$H$3*365.25)),Data!F108&lt;=(TODAY()-(Data_Val!$H$2*365.25))),0,1),1))</f>
        <v/>
      </c>
      <c r="G108" s="15" t="str">
        <f>IF(Data!B108="","",IF(AND(Data!G108="",Data!H108&lt;&gt;""),1,IF(Data!#REF!&lt;&gt;"",0,IF(ISNUMBER(MATCH(Data!G108,Data_Val!$C$2:$C$5,0)),0,1))))</f>
        <v/>
      </c>
      <c r="H108" s="15" t="str">
        <f>IF(Data!B108="","",IF(AND(Data!G108&lt;&gt;"",Data!H108=""),1,IF(Data!#REF!&lt;&gt;"",0,IF(Data!G108="",1,IF(ISNUMBER(MATCH(Data!H108,Data_Val!$D$2:$D$35,0)),0,1)))))</f>
        <v/>
      </c>
      <c r="I108" s="15" t="str">
        <f>IF(Data!B108="","",IF(Data!G108&lt;&gt;"",0,IF(ISNUMBER(MATCH(Data!#REF!,Data_Val!$E$2:$E$12,0)),0,1)))</f>
        <v/>
      </c>
      <c r="J108" s="16" t="e">
        <f>IF(OR(Data!B108="",Data!#REF!=""),"",IF(Data!#REF!="",1,0))</f>
        <v>#REF!</v>
      </c>
      <c r="K108" s="16" t="e">
        <f>IF(OR(Data!B108="",Data!#REF!=""),"",IF(Data!#REF!="",1,0))</f>
        <v>#REF!</v>
      </c>
      <c r="L108" s="16" t="e">
        <f>IF(OR(Data!B108="",Data!#REF!=""),"",IF(ISNUMBER(Data!#REF!),IF(AND(Data!#REF!&gt;Data_Val!$G$2,Data!#REF!&lt;=Data_Val!$G$3),0,1),1))</f>
        <v>#REF!</v>
      </c>
      <c r="M108" s="9" t="e">
        <f>IF(OR(Data!B108="",Data!#REF!=""),"",IF(ISNUMBER(MATCH(Data!#REF!,Data_Val!$F$1:$F$38,0)),0,1))</f>
        <v>#REF!</v>
      </c>
      <c r="N108" s="9" t="e">
        <f>IF(OR(Data!B108="",Data!#REF!=""),"",IF(Data!#REF!="",1,0))</f>
        <v>#REF!</v>
      </c>
      <c r="O108" s="17" t="e">
        <f>IF(Data!#REF!="","",IF(Data!#REF!="",1,0))</f>
        <v>#REF!</v>
      </c>
      <c r="P108" s="17" t="e">
        <f>IF(Data!#REF!="","",IF(ISNUMBER(MATCH(Data!#REF!,Data_Val!$A$2:$A$3,0)),0,1))</f>
        <v>#REF!</v>
      </c>
      <c r="Q108" s="25" t="e">
        <f ca="1">IF(Data!#REF!="","",IF(ISNUMBER(Data!#REF!),IF(AND(Data!#REF!&gt;(TODAY()-(Data_Val!$J$3*365.25)),Data!#REF!&lt;=(TODAY()-(Data_Val!$J$2*365.25))),0,1),1))</f>
        <v>#REF!</v>
      </c>
      <c r="R108" s="17" t="e">
        <f>IF(Data!#REF!="","",IF(ISNUMBER(MATCH(Data!#REF!,Data_Val!$B$2:$B$15,0)),0,1))</f>
        <v>#REF!</v>
      </c>
      <c r="S108" s="11" t="str">
        <f>IF(Data!G108="","",IF(Data!G108=Data_Val!$C$2,IF(Data!M108="",0,1),0))</f>
        <v/>
      </c>
      <c r="T108" s="11" t="str">
        <f>IF(Data!M108="","",IF(ISNUMBER(MATCH(Data!N108,Data_Val!$A$2:$A$3,0)),0,1))</f>
        <v/>
      </c>
      <c r="U108" s="11" t="str">
        <f ca="1">IF(Data!M108="","",IF(ISNUMBER(Data!O108),IF(AND(Data!O108&gt;(TODAY()-(Data_Val!$K$3*365.25)),Data!O108&lt;=(TODAY()-(Data_Val!$K$2*365.25))),0,1),1))</f>
        <v/>
      </c>
      <c r="V108" s="12" t="str">
        <f>IF(Data!G108="","",IF(Data!G108=Data_Val!$C$2,IF(Data!P108="",0,1),0))</f>
        <v/>
      </c>
      <c r="W108" s="12" t="str">
        <f>IF(Data!P108="","",IF(ISNUMBER(MATCH(Data!Q108,Data_Val!$A$2:$A$3,0)),0,1))</f>
        <v/>
      </c>
      <c r="X108" s="26" t="str">
        <f ca="1">IF(Data!P108="","",IF(ISNUMBER(Data!R108),IF(AND(Data!R108&gt;(TODAY()-(Data_Val!$L$3*365.25)),Data!R108&lt;=(TODAY()-(Data_Val!$L$2*365.25))),0,1),1))</f>
        <v/>
      </c>
      <c r="Y108" s="13" t="str">
        <f>IF(Data!$G108="","",IF(Data!$G108=Data_Val!$C$2,IF(Data!S108="",0,1),0))</f>
        <v/>
      </c>
      <c r="Z108" s="13" t="str">
        <f>IF(Data!S108="","",IF(ISNUMBER(MATCH(Data!T108,Data_Val!$A$2:$A$3,0)),0,1))</f>
        <v/>
      </c>
      <c r="AA108" s="28" t="str">
        <f ca="1">IF(Data!S108="","",IF(ISNUMBER(Data!U108),IF(AND(Data!U108&gt;(TODAY()-(Data_Val!$L$3*365.25)),Data!U108&lt;=(TODAY()-(Data_Val!$L$2*365.25))),0,1),1))</f>
        <v/>
      </c>
      <c r="AB108" s="11"/>
      <c r="AC108" s="11" t="e">
        <f>IF(Data!#REF!="","",IF(ISNUMBER(MATCH(Data!#REF!,Data_Val!$A$2:$A$3,0)),0,1))</f>
        <v>#REF!</v>
      </c>
      <c r="AD108" s="11" t="e">
        <f ca="1">IF(Data!#REF!="","",IF(ISNUMBER(Data!#REF!),IF(AND(Data!#REF!&gt;(TODAY()-(Data_Val!$L$3*365.25)),Data!#REF!&lt;=(TODAY()-(Data_Val!$L$2*365.25))),0,1),1))</f>
        <v>#REF!</v>
      </c>
      <c r="AE108" s="11" t="e">
        <f>IF(Data!#REF!="","",IF(Data!$G108="",1,IF(ISNUMBER(MATCH(Data!#REF!,Data_Val!$D$2:$D$10,0)),0,1)))</f>
        <v>#REF!</v>
      </c>
      <c r="AF108" s="12"/>
      <c r="AG108" s="12" t="e">
        <f>IF(Data!#REF!="","",IF(ISNUMBER(MATCH(Data!#REF!,Data_Val!$A$2:$A$3,0)),0,1))</f>
        <v>#REF!</v>
      </c>
      <c r="AH108" s="26" t="e">
        <f ca="1">IF(Data!#REF!="","",IF(ISNUMBER(Data!#REF!),IF(AND(Data!#REF!&gt;(TODAY()-(Data_Val!$L$3*365.25)),Data!#REF!&lt;=(TODAY()-(Data_Val!$L$2*365.25))),0,1),1))</f>
        <v>#REF!</v>
      </c>
      <c r="AI108" s="12" t="e">
        <f>IF(Data!#REF!="","",IF(Data!$G108="",1,IF(ISNUMBER(MATCH(Data!#REF!,Data_Val!$D$2:$D$10,0)),0,1)))</f>
        <v>#REF!</v>
      </c>
      <c r="AJ108" s="17"/>
      <c r="AK108" s="17" t="e">
        <f>IF(Data!#REF!="","",IF(ISNUMBER(MATCH(Data!#REF!,Data_Val!$A$2:$A$3,0)),0,1))</f>
        <v>#REF!</v>
      </c>
      <c r="AL108" s="25" t="e">
        <f ca="1">IF(Data!#REF!="","",IF(ISNUMBER(Data!#REF!),IF(AND(Data!#REF!&gt;(TODAY()-(Data_Val!$L$3*365.25)),Data!#REF!&lt;=(TODAY()-(Data_Val!$L$2*365.25))),0,1),1))</f>
        <v>#REF!</v>
      </c>
      <c r="AM108" s="17" t="e">
        <f>IF(Data!#REF!="","",IF(Data!$G108="",1,IF(ISNUMBER(MATCH(Data!#REF!,Data_Val!$D$2:$D$10,0)),0,1)))</f>
        <v>#REF!</v>
      </c>
      <c r="AN108" s="13"/>
      <c r="AO108" s="28" t="e">
        <f ca="1">IF(Data!#REF!="","",IF(ISNUMBER(Data!#REF!),IF(AND(Data!#REF!&gt;(TODAY()-(Data_Val!$I$3*365.25)),Data!#REF!&lt;=(TODAY()-(Data_Val!$I$2*365.25))),0,1),1))</f>
        <v>#REF!</v>
      </c>
      <c r="AP108" s="13" t="e">
        <f>IF(Data!#REF!="","",IF(Data!$G108="",1,IF(ISNUMBER(MATCH(Data!#REF!,Data_Val!$D$2:$D$10,0)),0,1)))</f>
        <v>#REF!</v>
      </c>
      <c r="AQ108" s="17"/>
      <c r="AR108" s="30" t="e">
        <f ca="1">IF(Data!#REF!="","",IF(ISNUMBER(Data!#REF!),IF(AND(Data!#REF!&gt;(TODAY()-(Data_Val!$I$3*365.25)),Data!#REF!&lt;=(TODAY()-(Data_Val!$I$2*365.25))),0,1),1))</f>
        <v>#REF!</v>
      </c>
      <c r="AS108" s="31" t="e">
        <f>IF(Data!#REF!="","",IF(Data!$G108="",1,IF(ISNUMBER(MATCH(Data!#REF!,Data_Val!$D$2:$D$10,0)),0,1)))</f>
        <v>#REF!</v>
      </c>
      <c r="AT108" s="11"/>
      <c r="AU108" s="11" t="e">
        <f ca="1">IF(Data!#REF!="","",IF(ISNUMBER(Data!#REF!),IF(AND(Data!#REF!&gt;(TODAY()-(Data_Val!$I$3*365.25)),Data!#REF!&lt;=(TODAY()-(Data_Val!$I$2*365.25))),0,1),1))</f>
        <v>#REF!</v>
      </c>
      <c r="AV108" s="11" t="e">
        <f>IF(Data!#REF!="","",IF(Data!$G108="",1,IF(ISNUMBER(MATCH(Data!#REF!,Data_Val!$D$2:$D$10,0)),0,1)))</f>
        <v>#REF!</v>
      </c>
      <c r="AW108" s="12"/>
      <c r="AX108" s="26" t="e">
        <f ca="1">IF(Data!#REF!="","",IF(ISNUMBER(Data!#REF!),IF(AND(Data!#REF!&gt;(TODAY()-(Data_Val!$I$3*365.25)),Data!#REF!&lt;=(TODAY()-(Data_Val!$I$2*365.25))),0,1),1))</f>
        <v>#REF!</v>
      </c>
      <c r="AY108" s="12" t="e">
        <f>IF(Data!#REF!="","",IF(Data!$G108="",1,IF(ISNUMBER(MATCH(Data!#REF!,Data_Val!$D$2:$D$10,0)),0,1)))</f>
        <v>#REF!</v>
      </c>
      <c r="AZ108" s="11"/>
      <c r="BA108" s="19" t="e">
        <f ca="1">IF(Data!#REF!="","",IF(ISNUMBER(Data!#REF!),IF(AND(Data!#REF!&gt;(TODAY()-(Data_Val!$M$3*365.25)),Data!#REF!&lt;=(TODAY()-(Data_Val!$M$2*365.25))),0,1),1))</f>
        <v>#REF!</v>
      </c>
      <c r="BB108" s="11" t="e">
        <f>IF(Data!#REF!="","",IF(Data!$G108="",1,IF(ISNUMBER(MATCH(Data!#REF!,Data_Val!$D$2:$D$10,0)),0,1)))</f>
        <v>#REF!</v>
      </c>
      <c r="BC108" s="12"/>
      <c r="BD108" s="20" t="e">
        <f ca="1">IF(Data!#REF!="","",IF(ISNUMBER(Data!#REF!),IF(AND(Data!#REF!&gt;(TODAY()-(Data_Val!$M$3*365.25)),Data!#REF!&lt;=(TODAY()-(Data_Val!$M$2*365.25))),0,1),1))</f>
        <v>#REF!</v>
      </c>
      <c r="BE108" s="12" t="e">
        <f>IF(Data!#REF!="","",IF(Data!$G108="",1,IF(ISNUMBER(MATCH(Data!#REF!,Data_Val!$D$2:$D$10,0)),0,1)))</f>
        <v>#REF!</v>
      </c>
      <c r="BF108" s="17"/>
      <c r="BG108" s="18" t="e">
        <f ca="1">IF(Data!#REF!="","",IF(ISNUMBER(Data!#REF!),IF(AND(Data!#REF!&gt;(TODAY()-(Data_Val!$M$3*365.25)),Data!#REF!&lt;=(TODAY()-(Data_Val!$M$2*365.25))),0,1),1))</f>
        <v>#REF!</v>
      </c>
      <c r="BH108" s="29" t="e">
        <f>IF(Data!#REF!="","",IF(Data!$G108="",1,IF(ISNUMBER(MATCH(Data!#REF!,Data_Val!$D$2:$D$10,0)),0,1)))</f>
        <v>#REF!</v>
      </c>
      <c r="BI108" s="13"/>
      <c r="BJ108" s="21" t="e">
        <f ca="1">IF(Data!#REF!="","",IF(ISNUMBER(Data!#REF!),IF(AND(Data!#REF!&gt;(TODAY()-(Data_Val!$M$3*365.25)),Data!#REF!&lt;=(TODAY()-(Data_Val!$M$2*365.25))),0,1),1))</f>
        <v>#REF!</v>
      </c>
      <c r="BK108" s="13" t="e">
        <f>IF(Data!#REF!="","",IF(Data!$G108="",1,IF(ISNUMBER(MATCH(Data!#REF!,Data_Val!$D$2:$D$10,0)),0,1)))</f>
        <v>#REF!</v>
      </c>
    </row>
    <row r="109" spans="1:63" x14ac:dyDescent="0.25">
      <c r="A109" s="9" t="str">
        <f>IF(Data!B109="","",IF(COUNTIFS(Data!A$1:'Data'!A109,Data!A109)&lt;=1,0,1))</f>
        <v/>
      </c>
      <c r="B109" s="9"/>
      <c r="C109" s="23" t="str">
        <f>IF(Data!C109="","",(IF(ISNUMBER(MATCH("*@*.?*",Data!C109,0)),0,1)+IF(COUNTIFS(Data!C$1:'Data'!C109,Data!C109)&gt;1,1,0)))</f>
        <v/>
      </c>
      <c r="D109" s="9" t="str">
        <f>IF(Data!B109="","",IF(ISNUMBER(Data!D109),IF(AND(Data!D109&gt;999999999,Data!D109&lt;=9999999999),IF(COUNTIFS(Data!D$1:'Data'!D109,Data!D109)&lt;=1,0,1),1),1))</f>
        <v/>
      </c>
      <c r="E109" s="9" t="str">
        <f>IF(Data!B109="","",IF(ISNUMBER(MATCH(Data!E109,Data_Val!$A$2:$A$3,0)),0,1))</f>
        <v/>
      </c>
      <c r="F109" s="9" t="str">
        <f ca="1">IF(Data!B109="","",IF(ISNUMBER(Data!F109),IF(AND(Data!F109&gt;(TODAY()-(Data_Val!$H$3*365.25)),Data!F109&lt;=(TODAY()-(Data_Val!$H$2*365.25))),0,1),1))</f>
        <v/>
      </c>
      <c r="G109" s="15" t="str">
        <f>IF(Data!B109="","",IF(AND(Data!G109="",Data!H109&lt;&gt;""),1,IF(Data!#REF!&lt;&gt;"",0,IF(ISNUMBER(MATCH(Data!G109,Data_Val!$C$2:$C$5,0)),0,1))))</f>
        <v/>
      </c>
      <c r="H109" s="15" t="str">
        <f>IF(Data!B109="","",IF(AND(Data!G109&lt;&gt;"",Data!H109=""),1,IF(Data!#REF!&lt;&gt;"",0,IF(Data!G109="",1,IF(ISNUMBER(MATCH(Data!H109,Data_Val!$D$2:$D$35,0)),0,1)))))</f>
        <v/>
      </c>
      <c r="I109" s="15" t="str">
        <f>IF(Data!B109="","",IF(Data!G109&lt;&gt;"",0,IF(ISNUMBER(MATCH(Data!#REF!,Data_Val!$E$2:$E$12,0)),0,1)))</f>
        <v/>
      </c>
      <c r="J109" s="16" t="e">
        <f>IF(OR(Data!B109="",Data!#REF!=""),"",IF(Data!#REF!="",1,0))</f>
        <v>#REF!</v>
      </c>
      <c r="K109" s="16" t="e">
        <f>IF(OR(Data!B109="",Data!#REF!=""),"",IF(Data!#REF!="",1,0))</f>
        <v>#REF!</v>
      </c>
      <c r="L109" s="16" t="e">
        <f>IF(OR(Data!B109="",Data!#REF!=""),"",IF(ISNUMBER(Data!#REF!),IF(AND(Data!#REF!&gt;Data_Val!$G$2,Data!#REF!&lt;=Data_Val!$G$3),0,1),1))</f>
        <v>#REF!</v>
      </c>
      <c r="M109" s="9" t="e">
        <f>IF(OR(Data!B109="",Data!#REF!=""),"",IF(ISNUMBER(MATCH(Data!#REF!,Data_Val!$F$1:$F$38,0)),0,1))</f>
        <v>#REF!</v>
      </c>
      <c r="N109" s="9" t="e">
        <f>IF(OR(Data!B109="",Data!#REF!=""),"",IF(Data!#REF!="",1,0))</f>
        <v>#REF!</v>
      </c>
      <c r="O109" s="17" t="e">
        <f>IF(Data!#REF!="","",IF(Data!#REF!="",1,0))</f>
        <v>#REF!</v>
      </c>
      <c r="P109" s="17" t="e">
        <f>IF(Data!#REF!="","",IF(ISNUMBER(MATCH(Data!#REF!,Data_Val!$A$2:$A$3,0)),0,1))</f>
        <v>#REF!</v>
      </c>
      <c r="Q109" s="25" t="e">
        <f ca="1">IF(Data!#REF!="","",IF(ISNUMBER(Data!#REF!),IF(AND(Data!#REF!&gt;(TODAY()-(Data_Val!$J$3*365.25)),Data!#REF!&lt;=(TODAY()-(Data_Val!$J$2*365.25))),0,1),1))</f>
        <v>#REF!</v>
      </c>
      <c r="R109" s="17" t="e">
        <f>IF(Data!#REF!="","",IF(ISNUMBER(MATCH(Data!#REF!,Data_Val!$B$2:$B$15,0)),0,1))</f>
        <v>#REF!</v>
      </c>
      <c r="S109" s="11" t="str">
        <f>IF(Data!G109="","",IF(Data!G109=Data_Val!$C$2,IF(Data!M109="",0,1),0))</f>
        <v/>
      </c>
      <c r="T109" s="11" t="str">
        <f>IF(Data!M109="","",IF(ISNUMBER(MATCH(Data!N109,Data_Val!$A$2:$A$3,0)),0,1))</f>
        <v/>
      </c>
      <c r="U109" s="11" t="str">
        <f ca="1">IF(Data!M109="","",IF(ISNUMBER(Data!O109),IF(AND(Data!O109&gt;(TODAY()-(Data_Val!$K$3*365.25)),Data!O109&lt;=(TODAY()-(Data_Val!$K$2*365.25))),0,1),1))</f>
        <v/>
      </c>
      <c r="V109" s="12" t="str">
        <f>IF(Data!G109="","",IF(Data!G109=Data_Val!$C$2,IF(Data!P109="",0,1),0))</f>
        <v/>
      </c>
      <c r="W109" s="12" t="str">
        <f>IF(Data!P109="","",IF(ISNUMBER(MATCH(Data!Q109,Data_Val!$A$2:$A$3,0)),0,1))</f>
        <v/>
      </c>
      <c r="X109" s="26" t="str">
        <f ca="1">IF(Data!P109="","",IF(ISNUMBER(Data!R109),IF(AND(Data!R109&gt;(TODAY()-(Data_Val!$L$3*365.25)),Data!R109&lt;=(TODAY()-(Data_Val!$L$2*365.25))),0,1),1))</f>
        <v/>
      </c>
      <c r="Y109" s="13" t="str">
        <f>IF(Data!$G109="","",IF(Data!$G109=Data_Val!$C$2,IF(Data!S109="",0,1),0))</f>
        <v/>
      </c>
      <c r="Z109" s="13" t="str">
        <f>IF(Data!S109="","",IF(ISNUMBER(MATCH(Data!T109,Data_Val!$A$2:$A$3,0)),0,1))</f>
        <v/>
      </c>
      <c r="AA109" s="28" t="str">
        <f ca="1">IF(Data!S109="","",IF(ISNUMBER(Data!U109),IF(AND(Data!U109&gt;(TODAY()-(Data_Val!$L$3*365.25)),Data!U109&lt;=(TODAY()-(Data_Val!$L$2*365.25))),0,1),1))</f>
        <v/>
      </c>
      <c r="AB109" s="11"/>
      <c r="AC109" s="11" t="e">
        <f>IF(Data!#REF!="","",IF(ISNUMBER(MATCH(Data!#REF!,Data_Val!$A$2:$A$3,0)),0,1))</f>
        <v>#REF!</v>
      </c>
      <c r="AD109" s="11" t="e">
        <f ca="1">IF(Data!#REF!="","",IF(ISNUMBER(Data!#REF!),IF(AND(Data!#REF!&gt;(TODAY()-(Data_Val!$L$3*365.25)),Data!#REF!&lt;=(TODAY()-(Data_Val!$L$2*365.25))),0,1),1))</f>
        <v>#REF!</v>
      </c>
      <c r="AE109" s="11" t="e">
        <f>IF(Data!#REF!="","",IF(Data!$G109="",1,IF(ISNUMBER(MATCH(Data!#REF!,Data_Val!$D$2:$D$10,0)),0,1)))</f>
        <v>#REF!</v>
      </c>
      <c r="AF109" s="12"/>
      <c r="AG109" s="12" t="e">
        <f>IF(Data!#REF!="","",IF(ISNUMBER(MATCH(Data!#REF!,Data_Val!$A$2:$A$3,0)),0,1))</f>
        <v>#REF!</v>
      </c>
      <c r="AH109" s="26" t="e">
        <f ca="1">IF(Data!#REF!="","",IF(ISNUMBER(Data!#REF!),IF(AND(Data!#REF!&gt;(TODAY()-(Data_Val!$L$3*365.25)),Data!#REF!&lt;=(TODAY()-(Data_Val!$L$2*365.25))),0,1),1))</f>
        <v>#REF!</v>
      </c>
      <c r="AI109" s="12" t="e">
        <f>IF(Data!#REF!="","",IF(Data!$G109="",1,IF(ISNUMBER(MATCH(Data!#REF!,Data_Val!$D$2:$D$10,0)),0,1)))</f>
        <v>#REF!</v>
      </c>
      <c r="AJ109" s="17"/>
      <c r="AK109" s="17" t="e">
        <f>IF(Data!#REF!="","",IF(ISNUMBER(MATCH(Data!#REF!,Data_Val!$A$2:$A$3,0)),0,1))</f>
        <v>#REF!</v>
      </c>
      <c r="AL109" s="25" t="e">
        <f ca="1">IF(Data!#REF!="","",IF(ISNUMBER(Data!#REF!),IF(AND(Data!#REF!&gt;(TODAY()-(Data_Val!$L$3*365.25)),Data!#REF!&lt;=(TODAY()-(Data_Val!$L$2*365.25))),0,1),1))</f>
        <v>#REF!</v>
      </c>
      <c r="AM109" s="17" t="e">
        <f>IF(Data!#REF!="","",IF(Data!$G109="",1,IF(ISNUMBER(MATCH(Data!#REF!,Data_Val!$D$2:$D$10,0)),0,1)))</f>
        <v>#REF!</v>
      </c>
      <c r="AN109" s="13"/>
      <c r="AO109" s="28" t="e">
        <f ca="1">IF(Data!#REF!="","",IF(ISNUMBER(Data!#REF!),IF(AND(Data!#REF!&gt;(TODAY()-(Data_Val!$I$3*365.25)),Data!#REF!&lt;=(TODAY()-(Data_Val!$I$2*365.25))),0,1),1))</f>
        <v>#REF!</v>
      </c>
      <c r="AP109" s="13" t="e">
        <f>IF(Data!#REF!="","",IF(Data!$G109="",1,IF(ISNUMBER(MATCH(Data!#REF!,Data_Val!$D$2:$D$10,0)),0,1)))</f>
        <v>#REF!</v>
      </c>
      <c r="AQ109" s="17"/>
      <c r="AR109" s="30" t="e">
        <f ca="1">IF(Data!#REF!="","",IF(ISNUMBER(Data!#REF!),IF(AND(Data!#REF!&gt;(TODAY()-(Data_Val!$I$3*365.25)),Data!#REF!&lt;=(TODAY()-(Data_Val!$I$2*365.25))),0,1),1))</f>
        <v>#REF!</v>
      </c>
      <c r="AS109" s="31" t="e">
        <f>IF(Data!#REF!="","",IF(Data!$G109="",1,IF(ISNUMBER(MATCH(Data!#REF!,Data_Val!$D$2:$D$10,0)),0,1)))</f>
        <v>#REF!</v>
      </c>
      <c r="AT109" s="11"/>
      <c r="AU109" s="11" t="e">
        <f ca="1">IF(Data!#REF!="","",IF(ISNUMBER(Data!#REF!),IF(AND(Data!#REF!&gt;(TODAY()-(Data_Val!$I$3*365.25)),Data!#REF!&lt;=(TODAY()-(Data_Val!$I$2*365.25))),0,1),1))</f>
        <v>#REF!</v>
      </c>
      <c r="AV109" s="11" t="e">
        <f>IF(Data!#REF!="","",IF(Data!$G109="",1,IF(ISNUMBER(MATCH(Data!#REF!,Data_Val!$D$2:$D$10,0)),0,1)))</f>
        <v>#REF!</v>
      </c>
      <c r="AW109" s="12"/>
      <c r="AX109" s="26" t="e">
        <f ca="1">IF(Data!#REF!="","",IF(ISNUMBER(Data!#REF!),IF(AND(Data!#REF!&gt;(TODAY()-(Data_Val!$I$3*365.25)),Data!#REF!&lt;=(TODAY()-(Data_Val!$I$2*365.25))),0,1),1))</f>
        <v>#REF!</v>
      </c>
      <c r="AY109" s="12" t="e">
        <f>IF(Data!#REF!="","",IF(Data!$G109="",1,IF(ISNUMBER(MATCH(Data!#REF!,Data_Val!$D$2:$D$10,0)),0,1)))</f>
        <v>#REF!</v>
      </c>
      <c r="AZ109" s="11"/>
      <c r="BA109" s="19" t="e">
        <f ca="1">IF(Data!#REF!="","",IF(ISNUMBER(Data!#REF!),IF(AND(Data!#REF!&gt;(TODAY()-(Data_Val!$M$3*365.25)),Data!#REF!&lt;=(TODAY()-(Data_Val!$M$2*365.25))),0,1),1))</f>
        <v>#REF!</v>
      </c>
      <c r="BB109" s="11" t="e">
        <f>IF(Data!#REF!="","",IF(Data!$G109="",1,IF(ISNUMBER(MATCH(Data!#REF!,Data_Val!$D$2:$D$10,0)),0,1)))</f>
        <v>#REF!</v>
      </c>
      <c r="BC109" s="12"/>
      <c r="BD109" s="20" t="e">
        <f ca="1">IF(Data!#REF!="","",IF(ISNUMBER(Data!#REF!),IF(AND(Data!#REF!&gt;(TODAY()-(Data_Val!$M$3*365.25)),Data!#REF!&lt;=(TODAY()-(Data_Val!$M$2*365.25))),0,1),1))</f>
        <v>#REF!</v>
      </c>
      <c r="BE109" s="12" t="e">
        <f>IF(Data!#REF!="","",IF(Data!$G109="",1,IF(ISNUMBER(MATCH(Data!#REF!,Data_Val!$D$2:$D$10,0)),0,1)))</f>
        <v>#REF!</v>
      </c>
      <c r="BF109" s="17"/>
      <c r="BG109" s="18" t="e">
        <f ca="1">IF(Data!#REF!="","",IF(ISNUMBER(Data!#REF!),IF(AND(Data!#REF!&gt;(TODAY()-(Data_Val!$M$3*365.25)),Data!#REF!&lt;=(TODAY()-(Data_Val!$M$2*365.25))),0,1),1))</f>
        <v>#REF!</v>
      </c>
      <c r="BH109" s="29" t="e">
        <f>IF(Data!#REF!="","",IF(Data!$G109="",1,IF(ISNUMBER(MATCH(Data!#REF!,Data_Val!$D$2:$D$10,0)),0,1)))</f>
        <v>#REF!</v>
      </c>
      <c r="BI109" s="13"/>
      <c r="BJ109" s="21" t="e">
        <f ca="1">IF(Data!#REF!="","",IF(ISNUMBER(Data!#REF!),IF(AND(Data!#REF!&gt;(TODAY()-(Data_Val!$M$3*365.25)),Data!#REF!&lt;=(TODAY()-(Data_Val!$M$2*365.25))),0,1),1))</f>
        <v>#REF!</v>
      </c>
      <c r="BK109" s="13" t="e">
        <f>IF(Data!#REF!="","",IF(Data!$G109="",1,IF(ISNUMBER(MATCH(Data!#REF!,Data_Val!$D$2:$D$10,0)),0,1)))</f>
        <v>#REF!</v>
      </c>
    </row>
    <row r="110" spans="1:63" x14ac:dyDescent="0.25">
      <c r="A110" s="9" t="str">
        <f>IF(Data!B110="","",IF(COUNTIFS(Data!A$1:'Data'!A110,Data!A110)&lt;=1,0,1))</f>
        <v/>
      </c>
      <c r="B110" s="9"/>
      <c r="C110" s="23" t="str">
        <f>IF(Data!C110="","",(IF(ISNUMBER(MATCH("*@*.?*",Data!C110,0)),0,1)+IF(COUNTIFS(Data!C$1:'Data'!C110,Data!C110)&gt;1,1,0)))</f>
        <v/>
      </c>
      <c r="D110" s="9" t="str">
        <f>IF(Data!B110="","",IF(ISNUMBER(Data!D110),IF(AND(Data!D110&gt;999999999,Data!D110&lt;=9999999999),IF(COUNTIFS(Data!D$1:'Data'!D110,Data!D110)&lt;=1,0,1),1),1))</f>
        <v/>
      </c>
      <c r="E110" s="9" t="str">
        <f>IF(Data!B110="","",IF(ISNUMBER(MATCH(Data!E110,Data_Val!$A$2:$A$3,0)),0,1))</f>
        <v/>
      </c>
      <c r="F110" s="9" t="str">
        <f ca="1">IF(Data!B110="","",IF(ISNUMBER(Data!F110),IF(AND(Data!F110&gt;(TODAY()-(Data_Val!$H$3*365.25)),Data!F110&lt;=(TODAY()-(Data_Val!$H$2*365.25))),0,1),1))</f>
        <v/>
      </c>
      <c r="G110" s="15" t="str">
        <f>IF(Data!B110="","",IF(AND(Data!G110="",Data!H110&lt;&gt;""),1,IF(Data!#REF!&lt;&gt;"",0,IF(ISNUMBER(MATCH(Data!G110,Data_Val!$C$2:$C$5,0)),0,1))))</f>
        <v/>
      </c>
      <c r="H110" s="15" t="str">
        <f>IF(Data!B110="","",IF(AND(Data!G110&lt;&gt;"",Data!H110=""),1,IF(Data!#REF!&lt;&gt;"",0,IF(Data!G110="",1,IF(ISNUMBER(MATCH(Data!H110,Data_Val!$D$2:$D$35,0)),0,1)))))</f>
        <v/>
      </c>
      <c r="I110" s="15" t="str">
        <f>IF(Data!B110="","",IF(Data!G110&lt;&gt;"",0,IF(ISNUMBER(MATCH(Data!#REF!,Data_Val!$E$2:$E$12,0)),0,1)))</f>
        <v/>
      </c>
      <c r="J110" s="16" t="e">
        <f>IF(OR(Data!B110="",Data!#REF!=""),"",IF(Data!#REF!="",1,0))</f>
        <v>#REF!</v>
      </c>
      <c r="K110" s="16" t="e">
        <f>IF(OR(Data!B110="",Data!#REF!=""),"",IF(Data!#REF!="",1,0))</f>
        <v>#REF!</v>
      </c>
      <c r="L110" s="16" t="e">
        <f>IF(OR(Data!B110="",Data!#REF!=""),"",IF(ISNUMBER(Data!#REF!),IF(AND(Data!#REF!&gt;Data_Val!$G$2,Data!#REF!&lt;=Data_Val!$G$3),0,1),1))</f>
        <v>#REF!</v>
      </c>
      <c r="M110" s="9" t="e">
        <f>IF(OR(Data!B110="",Data!#REF!=""),"",IF(ISNUMBER(MATCH(Data!#REF!,Data_Val!$F$1:$F$38,0)),0,1))</f>
        <v>#REF!</v>
      </c>
      <c r="N110" s="9" t="e">
        <f>IF(OR(Data!B110="",Data!#REF!=""),"",IF(Data!#REF!="",1,0))</f>
        <v>#REF!</v>
      </c>
      <c r="O110" s="17" t="e">
        <f>IF(Data!#REF!="","",IF(Data!#REF!="",1,0))</f>
        <v>#REF!</v>
      </c>
      <c r="P110" s="17" t="e">
        <f>IF(Data!#REF!="","",IF(ISNUMBER(MATCH(Data!#REF!,Data_Val!$A$2:$A$3,0)),0,1))</f>
        <v>#REF!</v>
      </c>
      <c r="Q110" s="25" t="e">
        <f ca="1">IF(Data!#REF!="","",IF(ISNUMBER(Data!#REF!),IF(AND(Data!#REF!&gt;(TODAY()-(Data_Val!$J$3*365.25)),Data!#REF!&lt;=(TODAY()-(Data_Val!$J$2*365.25))),0,1),1))</f>
        <v>#REF!</v>
      </c>
      <c r="R110" s="17" t="e">
        <f>IF(Data!#REF!="","",IF(ISNUMBER(MATCH(Data!#REF!,Data_Val!$B$2:$B$15,0)),0,1))</f>
        <v>#REF!</v>
      </c>
      <c r="S110" s="11" t="str">
        <f>IF(Data!G110="","",IF(Data!G110=Data_Val!$C$2,IF(Data!M110="",0,1),0))</f>
        <v/>
      </c>
      <c r="T110" s="11" t="str">
        <f>IF(Data!M110="","",IF(ISNUMBER(MATCH(Data!N110,Data_Val!$A$2:$A$3,0)),0,1))</f>
        <v/>
      </c>
      <c r="U110" s="11" t="str">
        <f ca="1">IF(Data!M110="","",IF(ISNUMBER(Data!O110),IF(AND(Data!O110&gt;(TODAY()-(Data_Val!$K$3*365.25)),Data!O110&lt;=(TODAY()-(Data_Val!$K$2*365.25))),0,1),1))</f>
        <v/>
      </c>
      <c r="V110" s="12" t="str">
        <f>IF(Data!G110="","",IF(Data!G110=Data_Val!$C$2,IF(Data!P110="",0,1),0))</f>
        <v/>
      </c>
      <c r="W110" s="12" t="str">
        <f>IF(Data!P110="","",IF(ISNUMBER(MATCH(Data!Q110,Data_Val!$A$2:$A$3,0)),0,1))</f>
        <v/>
      </c>
      <c r="X110" s="26" t="str">
        <f ca="1">IF(Data!P110="","",IF(ISNUMBER(Data!R110),IF(AND(Data!R110&gt;(TODAY()-(Data_Val!$L$3*365.25)),Data!R110&lt;=(TODAY()-(Data_Val!$L$2*365.25))),0,1),1))</f>
        <v/>
      </c>
      <c r="Y110" s="13" t="str">
        <f>IF(Data!$G110="","",IF(Data!$G110=Data_Val!$C$2,IF(Data!S110="",0,1),0))</f>
        <v/>
      </c>
      <c r="Z110" s="13" t="str">
        <f>IF(Data!S110="","",IF(ISNUMBER(MATCH(Data!T110,Data_Val!$A$2:$A$3,0)),0,1))</f>
        <v/>
      </c>
      <c r="AA110" s="28" t="str">
        <f ca="1">IF(Data!S110="","",IF(ISNUMBER(Data!U110),IF(AND(Data!U110&gt;(TODAY()-(Data_Val!$L$3*365.25)),Data!U110&lt;=(TODAY()-(Data_Val!$L$2*365.25))),0,1),1))</f>
        <v/>
      </c>
      <c r="AB110" s="11"/>
      <c r="AC110" s="11" t="e">
        <f>IF(Data!#REF!="","",IF(ISNUMBER(MATCH(Data!#REF!,Data_Val!$A$2:$A$3,0)),0,1))</f>
        <v>#REF!</v>
      </c>
      <c r="AD110" s="11" t="e">
        <f ca="1">IF(Data!#REF!="","",IF(ISNUMBER(Data!#REF!),IF(AND(Data!#REF!&gt;(TODAY()-(Data_Val!$L$3*365.25)),Data!#REF!&lt;=(TODAY()-(Data_Val!$L$2*365.25))),0,1),1))</f>
        <v>#REF!</v>
      </c>
      <c r="AE110" s="11" t="e">
        <f>IF(Data!#REF!="","",IF(Data!$G110="",1,IF(ISNUMBER(MATCH(Data!#REF!,Data_Val!$D$2:$D$10,0)),0,1)))</f>
        <v>#REF!</v>
      </c>
      <c r="AF110" s="12"/>
      <c r="AG110" s="12" t="e">
        <f>IF(Data!#REF!="","",IF(ISNUMBER(MATCH(Data!#REF!,Data_Val!$A$2:$A$3,0)),0,1))</f>
        <v>#REF!</v>
      </c>
      <c r="AH110" s="26" t="e">
        <f ca="1">IF(Data!#REF!="","",IF(ISNUMBER(Data!#REF!),IF(AND(Data!#REF!&gt;(TODAY()-(Data_Val!$L$3*365.25)),Data!#REF!&lt;=(TODAY()-(Data_Val!$L$2*365.25))),0,1),1))</f>
        <v>#REF!</v>
      </c>
      <c r="AI110" s="12" t="e">
        <f>IF(Data!#REF!="","",IF(Data!$G110="",1,IF(ISNUMBER(MATCH(Data!#REF!,Data_Val!$D$2:$D$10,0)),0,1)))</f>
        <v>#REF!</v>
      </c>
      <c r="AJ110" s="17"/>
      <c r="AK110" s="17" t="e">
        <f>IF(Data!#REF!="","",IF(ISNUMBER(MATCH(Data!#REF!,Data_Val!$A$2:$A$3,0)),0,1))</f>
        <v>#REF!</v>
      </c>
      <c r="AL110" s="25" t="e">
        <f ca="1">IF(Data!#REF!="","",IF(ISNUMBER(Data!#REF!),IF(AND(Data!#REF!&gt;(TODAY()-(Data_Val!$L$3*365.25)),Data!#REF!&lt;=(TODAY()-(Data_Val!$L$2*365.25))),0,1),1))</f>
        <v>#REF!</v>
      </c>
      <c r="AM110" s="17" t="e">
        <f>IF(Data!#REF!="","",IF(Data!$G110="",1,IF(ISNUMBER(MATCH(Data!#REF!,Data_Val!$D$2:$D$10,0)),0,1)))</f>
        <v>#REF!</v>
      </c>
      <c r="AN110" s="13"/>
      <c r="AO110" s="28" t="e">
        <f ca="1">IF(Data!#REF!="","",IF(ISNUMBER(Data!#REF!),IF(AND(Data!#REF!&gt;(TODAY()-(Data_Val!$I$3*365.25)),Data!#REF!&lt;=(TODAY()-(Data_Val!$I$2*365.25))),0,1),1))</f>
        <v>#REF!</v>
      </c>
      <c r="AP110" s="13" t="e">
        <f>IF(Data!#REF!="","",IF(Data!$G110="",1,IF(ISNUMBER(MATCH(Data!#REF!,Data_Val!$D$2:$D$10,0)),0,1)))</f>
        <v>#REF!</v>
      </c>
      <c r="AQ110" s="17"/>
      <c r="AR110" s="30" t="e">
        <f ca="1">IF(Data!#REF!="","",IF(ISNUMBER(Data!#REF!),IF(AND(Data!#REF!&gt;(TODAY()-(Data_Val!$I$3*365.25)),Data!#REF!&lt;=(TODAY()-(Data_Val!$I$2*365.25))),0,1),1))</f>
        <v>#REF!</v>
      </c>
      <c r="AS110" s="31" t="e">
        <f>IF(Data!#REF!="","",IF(Data!$G110="",1,IF(ISNUMBER(MATCH(Data!#REF!,Data_Val!$D$2:$D$10,0)),0,1)))</f>
        <v>#REF!</v>
      </c>
      <c r="AT110" s="11"/>
      <c r="AU110" s="11" t="e">
        <f ca="1">IF(Data!#REF!="","",IF(ISNUMBER(Data!#REF!),IF(AND(Data!#REF!&gt;(TODAY()-(Data_Val!$I$3*365.25)),Data!#REF!&lt;=(TODAY()-(Data_Val!$I$2*365.25))),0,1),1))</f>
        <v>#REF!</v>
      </c>
      <c r="AV110" s="11" t="e">
        <f>IF(Data!#REF!="","",IF(Data!$G110="",1,IF(ISNUMBER(MATCH(Data!#REF!,Data_Val!$D$2:$D$10,0)),0,1)))</f>
        <v>#REF!</v>
      </c>
      <c r="AW110" s="12"/>
      <c r="AX110" s="26" t="e">
        <f ca="1">IF(Data!#REF!="","",IF(ISNUMBER(Data!#REF!),IF(AND(Data!#REF!&gt;(TODAY()-(Data_Val!$I$3*365.25)),Data!#REF!&lt;=(TODAY()-(Data_Val!$I$2*365.25))),0,1),1))</f>
        <v>#REF!</v>
      </c>
      <c r="AY110" s="12" t="e">
        <f>IF(Data!#REF!="","",IF(Data!$G110="",1,IF(ISNUMBER(MATCH(Data!#REF!,Data_Val!$D$2:$D$10,0)),0,1)))</f>
        <v>#REF!</v>
      </c>
      <c r="AZ110" s="11"/>
      <c r="BA110" s="19" t="e">
        <f ca="1">IF(Data!#REF!="","",IF(ISNUMBER(Data!#REF!),IF(AND(Data!#REF!&gt;(TODAY()-(Data_Val!$M$3*365.25)),Data!#REF!&lt;=(TODAY()-(Data_Val!$M$2*365.25))),0,1),1))</f>
        <v>#REF!</v>
      </c>
      <c r="BB110" s="11" t="e">
        <f>IF(Data!#REF!="","",IF(Data!$G110="",1,IF(ISNUMBER(MATCH(Data!#REF!,Data_Val!$D$2:$D$10,0)),0,1)))</f>
        <v>#REF!</v>
      </c>
      <c r="BC110" s="12"/>
      <c r="BD110" s="20" t="e">
        <f ca="1">IF(Data!#REF!="","",IF(ISNUMBER(Data!#REF!),IF(AND(Data!#REF!&gt;(TODAY()-(Data_Val!$M$3*365.25)),Data!#REF!&lt;=(TODAY()-(Data_Val!$M$2*365.25))),0,1),1))</f>
        <v>#REF!</v>
      </c>
      <c r="BE110" s="12" t="e">
        <f>IF(Data!#REF!="","",IF(Data!$G110="",1,IF(ISNUMBER(MATCH(Data!#REF!,Data_Val!$D$2:$D$10,0)),0,1)))</f>
        <v>#REF!</v>
      </c>
      <c r="BF110" s="17"/>
      <c r="BG110" s="18" t="e">
        <f ca="1">IF(Data!#REF!="","",IF(ISNUMBER(Data!#REF!),IF(AND(Data!#REF!&gt;(TODAY()-(Data_Val!$M$3*365.25)),Data!#REF!&lt;=(TODAY()-(Data_Val!$M$2*365.25))),0,1),1))</f>
        <v>#REF!</v>
      </c>
      <c r="BH110" s="29" t="e">
        <f>IF(Data!#REF!="","",IF(Data!$G110="",1,IF(ISNUMBER(MATCH(Data!#REF!,Data_Val!$D$2:$D$10,0)),0,1)))</f>
        <v>#REF!</v>
      </c>
      <c r="BI110" s="13"/>
      <c r="BJ110" s="21" t="e">
        <f ca="1">IF(Data!#REF!="","",IF(ISNUMBER(Data!#REF!),IF(AND(Data!#REF!&gt;(TODAY()-(Data_Val!$M$3*365.25)),Data!#REF!&lt;=(TODAY()-(Data_Val!$M$2*365.25))),0,1),1))</f>
        <v>#REF!</v>
      </c>
      <c r="BK110" s="13" t="e">
        <f>IF(Data!#REF!="","",IF(Data!$G110="",1,IF(ISNUMBER(MATCH(Data!#REF!,Data_Val!$D$2:$D$10,0)),0,1)))</f>
        <v>#REF!</v>
      </c>
    </row>
    <row r="111" spans="1:63" x14ac:dyDescent="0.25">
      <c r="A111" s="9" t="str">
        <f>IF(Data!B111="","",IF(COUNTIFS(Data!A$1:'Data'!A111,Data!A111)&lt;=1,0,1))</f>
        <v/>
      </c>
      <c r="B111" s="9"/>
      <c r="C111" s="23" t="str">
        <f>IF(Data!C111="","",(IF(ISNUMBER(MATCH("*@*.?*",Data!C111,0)),0,1)+IF(COUNTIFS(Data!C$1:'Data'!C111,Data!C111)&gt;1,1,0)))</f>
        <v/>
      </c>
      <c r="D111" s="9" t="str">
        <f>IF(Data!B111="","",IF(ISNUMBER(Data!D111),IF(AND(Data!D111&gt;999999999,Data!D111&lt;=9999999999),IF(COUNTIFS(Data!D$1:'Data'!D111,Data!D111)&lt;=1,0,1),1),1))</f>
        <v/>
      </c>
      <c r="E111" s="9" t="str">
        <f>IF(Data!B111="","",IF(ISNUMBER(MATCH(Data!E111,Data_Val!$A$2:$A$3,0)),0,1))</f>
        <v/>
      </c>
      <c r="F111" s="9" t="str">
        <f ca="1">IF(Data!B111="","",IF(ISNUMBER(Data!F111),IF(AND(Data!F111&gt;(TODAY()-(Data_Val!$H$3*365.25)),Data!F111&lt;=(TODAY()-(Data_Val!$H$2*365.25))),0,1),1))</f>
        <v/>
      </c>
      <c r="G111" s="15" t="str">
        <f>IF(Data!B111="","",IF(AND(Data!G111="",Data!H111&lt;&gt;""),1,IF(Data!#REF!&lt;&gt;"",0,IF(ISNUMBER(MATCH(Data!G111,Data_Val!$C$2:$C$5,0)),0,1))))</f>
        <v/>
      </c>
      <c r="H111" s="15" t="str">
        <f>IF(Data!B111="","",IF(AND(Data!G111&lt;&gt;"",Data!H111=""),1,IF(Data!#REF!&lt;&gt;"",0,IF(Data!G111="",1,IF(ISNUMBER(MATCH(Data!H111,Data_Val!$D$2:$D$35,0)),0,1)))))</f>
        <v/>
      </c>
      <c r="I111" s="15" t="str">
        <f>IF(Data!B111="","",IF(Data!G111&lt;&gt;"",0,IF(ISNUMBER(MATCH(Data!#REF!,Data_Val!$E$2:$E$12,0)),0,1)))</f>
        <v/>
      </c>
      <c r="J111" s="16" t="e">
        <f>IF(OR(Data!B111="",Data!#REF!=""),"",IF(Data!#REF!="",1,0))</f>
        <v>#REF!</v>
      </c>
      <c r="K111" s="16" t="e">
        <f>IF(OR(Data!B111="",Data!#REF!=""),"",IF(Data!#REF!="",1,0))</f>
        <v>#REF!</v>
      </c>
      <c r="L111" s="16" t="e">
        <f>IF(OR(Data!B111="",Data!#REF!=""),"",IF(ISNUMBER(Data!#REF!),IF(AND(Data!#REF!&gt;Data_Val!$G$2,Data!#REF!&lt;=Data_Val!$G$3),0,1),1))</f>
        <v>#REF!</v>
      </c>
      <c r="M111" s="9" t="e">
        <f>IF(OR(Data!B111="",Data!#REF!=""),"",IF(ISNUMBER(MATCH(Data!#REF!,Data_Val!$F$1:$F$38,0)),0,1))</f>
        <v>#REF!</v>
      </c>
      <c r="N111" s="9" t="e">
        <f>IF(OR(Data!B111="",Data!#REF!=""),"",IF(Data!#REF!="",1,0))</f>
        <v>#REF!</v>
      </c>
      <c r="O111" s="17" t="e">
        <f>IF(Data!#REF!="","",IF(Data!#REF!="",1,0))</f>
        <v>#REF!</v>
      </c>
      <c r="P111" s="17" t="e">
        <f>IF(Data!#REF!="","",IF(ISNUMBER(MATCH(Data!#REF!,Data_Val!$A$2:$A$3,0)),0,1))</f>
        <v>#REF!</v>
      </c>
      <c r="Q111" s="25" t="e">
        <f ca="1">IF(Data!#REF!="","",IF(ISNUMBER(Data!#REF!),IF(AND(Data!#REF!&gt;(TODAY()-(Data_Val!$J$3*365.25)),Data!#REF!&lt;=(TODAY()-(Data_Val!$J$2*365.25))),0,1),1))</f>
        <v>#REF!</v>
      </c>
      <c r="R111" s="17" t="e">
        <f>IF(Data!#REF!="","",IF(ISNUMBER(MATCH(Data!#REF!,Data_Val!$B$2:$B$15,0)),0,1))</f>
        <v>#REF!</v>
      </c>
      <c r="S111" s="11" t="str">
        <f>IF(Data!G111="","",IF(Data!G111=Data_Val!$C$2,IF(Data!M111="",0,1),0))</f>
        <v/>
      </c>
      <c r="T111" s="11" t="str">
        <f>IF(Data!M111="","",IF(ISNUMBER(MATCH(Data!N111,Data_Val!$A$2:$A$3,0)),0,1))</f>
        <v/>
      </c>
      <c r="U111" s="11" t="str">
        <f ca="1">IF(Data!M111="","",IF(ISNUMBER(Data!O111),IF(AND(Data!O111&gt;(TODAY()-(Data_Val!$K$3*365.25)),Data!O111&lt;=(TODAY()-(Data_Val!$K$2*365.25))),0,1),1))</f>
        <v/>
      </c>
      <c r="V111" s="12" t="str">
        <f>IF(Data!G111="","",IF(Data!G111=Data_Val!$C$2,IF(Data!P111="",0,1),0))</f>
        <v/>
      </c>
      <c r="W111" s="12" t="str">
        <f>IF(Data!P111="","",IF(ISNUMBER(MATCH(Data!Q111,Data_Val!$A$2:$A$3,0)),0,1))</f>
        <v/>
      </c>
      <c r="X111" s="26" t="str">
        <f ca="1">IF(Data!P111="","",IF(ISNUMBER(Data!R111),IF(AND(Data!R111&gt;(TODAY()-(Data_Val!$L$3*365.25)),Data!R111&lt;=(TODAY()-(Data_Val!$L$2*365.25))),0,1),1))</f>
        <v/>
      </c>
      <c r="Y111" s="13" t="str">
        <f>IF(Data!$G111="","",IF(Data!$G111=Data_Val!$C$2,IF(Data!S111="",0,1),0))</f>
        <v/>
      </c>
      <c r="Z111" s="13" t="str">
        <f>IF(Data!S111="","",IF(ISNUMBER(MATCH(Data!T111,Data_Val!$A$2:$A$3,0)),0,1))</f>
        <v/>
      </c>
      <c r="AA111" s="28" t="str">
        <f ca="1">IF(Data!S111="","",IF(ISNUMBER(Data!U111),IF(AND(Data!U111&gt;(TODAY()-(Data_Val!$L$3*365.25)),Data!U111&lt;=(TODAY()-(Data_Val!$L$2*365.25))),0,1),1))</f>
        <v/>
      </c>
      <c r="AB111" s="11"/>
      <c r="AC111" s="11" t="e">
        <f>IF(Data!#REF!="","",IF(ISNUMBER(MATCH(Data!#REF!,Data_Val!$A$2:$A$3,0)),0,1))</f>
        <v>#REF!</v>
      </c>
      <c r="AD111" s="11" t="e">
        <f ca="1">IF(Data!#REF!="","",IF(ISNUMBER(Data!#REF!),IF(AND(Data!#REF!&gt;(TODAY()-(Data_Val!$L$3*365.25)),Data!#REF!&lt;=(TODAY()-(Data_Val!$L$2*365.25))),0,1),1))</f>
        <v>#REF!</v>
      </c>
      <c r="AE111" s="11" t="e">
        <f>IF(Data!#REF!="","",IF(Data!$G111="",1,IF(ISNUMBER(MATCH(Data!#REF!,Data_Val!$D$2:$D$10,0)),0,1)))</f>
        <v>#REF!</v>
      </c>
      <c r="AF111" s="12"/>
      <c r="AG111" s="12" t="e">
        <f>IF(Data!#REF!="","",IF(ISNUMBER(MATCH(Data!#REF!,Data_Val!$A$2:$A$3,0)),0,1))</f>
        <v>#REF!</v>
      </c>
      <c r="AH111" s="26" t="e">
        <f ca="1">IF(Data!#REF!="","",IF(ISNUMBER(Data!#REF!),IF(AND(Data!#REF!&gt;(TODAY()-(Data_Val!$L$3*365.25)),Data!#REF!&lt;=(TODAY()-(Data_Val!$L$2*365.25))),0,1),1))</f>
        <v>#REF!</v>
      </c>
      <c r="AI111" s="12" t="e">
        <f>IF(Data!#REF!="","",IF(Data!$G111="",1,IF(ISNUMBER(MATCH(Data!#REF!,Data_Val!$D$2:$D$10,0)),0,1)))</f>
        <v>#REF!</v>
      </c>
      <c r="AJ111" s="17"/>
      <c r="AK111" s="17" t="e">
        <f>IF(Data!#REF!="","",IF(ISNUMBER(MATCH(Data!#REF!,Data_Val!$A$2:$A$3,0)),0,1))</f>
        <v>#REF!</v>
      </c>
      <c r="AL111" s="25" t="e">
        <f ca="1">IF(Data!#REF!="","",IF(ISNUMBER(Data!#REF!),IF(AND(Data!#REF!&gt;(TODAY()-(Data_Val!$L$3*365.25)),Data!#REF!&lt;=(TODAY()-(Data_Val!$L$2*365.25))),0,1),1))</f>
        <v>#REF!</v>
      </c>
      <c r="AM111" s="17" t="e">
        <f>IF(Data!#REF!="","",IF(Data!$G111="",1,IF(ISNUMBER(MATCH(Data!#REF!,Data_Val!$D$2:$D$10,0)),0,1)))</f>
        <v>#REF!</v>
      </c>
      <c r="AN111" s="13"/>
      <c r="AO111" s="28" t="e">
        <f ca="1">IF(Data!#REF!="","",IF(ISNUMBER(Data!#REF!),IF(AND(Data!#REF!&gt;(TODAY()-(Data_Val!$I$3*365.25)),Data!#REF!&lt;=(TODAY()-(Data_Val!$I$2*365.25))),0,1),1))</f>
        <v>#REF!</v>
      </c>
      <c r="AP111" s="13" t="e">
        <f>IF(Data!#REF!="","",IF(Data!$G111="",1,IF(ISNUMBER(MATCH(Data!#REF!,Data_Val!$D$2:$D$10,0)),0,1)))</f>
        <v>#REF!</v>
      </c>
      <c r="AQ111" s="17"/>
      <c r="AR111" s="30" t="e">
        <f ca="1">IF(Data!#REF!="","",IF(ISNUMBER(Data!#REF!),IF(AND(Data!#REF!&gt;(TODAY()-(Data_Val!$I$3*365.25)),Data!#REF!&lt;=(TODAY()-(Data_Val!$I$2*365.25))),0,1),1))</f>
        <v>#REF!</v>
      </c>
      <c r="AS111" s="31" t="e">
        <f>IF(Data!#REF!="","",IF(Data!$G111="",1,IF(ISNUMBER(MATCH(Data!#REF!,Data_Val!$D$2:$D$10,0)),0,1)))</f>
        <v>#REF!</v>
      </c>
      <c r="AT111" s="11"/>
      <c r="AU111" s="11" t="e">
        <f ca="1">IF(Data!#REF!="","",IF(ISNUMBER(Data!#REF!),IF(AND(Data!#REF!&gt;(TODAY()-(Data_Val!$I$3*365.25)),Data!#REF!&lt;=(TODAY()-(Data_Val!$I$2*365.25))),0,1),1))</f>
        <v>#REF!</v>
      </c>
      <c r="AV111" s="11" t="e">
        <f>IF(Data!#REF!="","",IF(Data!$G111="",1,IF(ISNUMBER(MATCH(Data!#REF!,Data_Val!$D$2:$D$10,0)),0,1)))</f>
        <v>#REF!</v>
      </c>
      <c r="AW111" s="12"/>
      <c r="AX111" s="26" t="e">
        <f ca="1">IF(Data!#REF!="","",IF(ISNUMBER(Data!#REF!),IF(AND(Data!#REF!&gt;(TODAY()-(Data_Val!$I$3*365.25)),Data!#REF!&lt;=(TODAY()-(Data_Val!$I$2*365.25))),0,1),1))</f>
        <v>#REF!</v>
      </c>
      <c r="AY111" s="12" t="e">
        <f>IF(Data!#REF!="","",IF(Data!$G111="",1,IF(ISNUMBER(MATCH(Data!#REF!,Data_Val!$D$2:$D$10,0)),0,1)))</f>
        <v>#REF!</v>
      </c>
      <c r="AZ111" s="11"/>
      <c r="BA111" s="19" t="e">
        <f ca="1">IF(Data!#REF!="","",IF(ISNUMBER(Data!#REF!),IF(AND(Data!#REF!&gt;(TODAY()-(Data_Val!$M$3*365.25)),Data!#REF!&lt;=(TODAY()-(Data_Val!$M$2*365.25))),0,1),1))</f>
        <v>#REF!</v>
      </c>
      <c r="BB111" s="11" t="e">
        <f>IF(Data!#REF!="","",IF(Data!$G111="",1,IF(ISNUMBER(MATCH(Data!#REF!,Data_Val!$D$2:$D$10,0)),0,1)))</f>
        <v>#REF!</v>
      </c>
      <c r="BC111" s="12"/>
      <c r="BD111" s="20" t="e">
        <f ca="1">IF(Data!#REF!="","",IF(ISNUMBER(Data!#REF!),IF(AND(Data!#REF!&gt;(TODAY()-(Data_Val!$M$3*365.25)),Data!#REF!&lt;=(TODAY()-(Data_Val!$M$2*365.25))),0,1),1))</f>
        <v>#REF!</v>
      </c>
      <c r="BE111" s="12" t="e">
        <f>IF(Data!#REF!="","",IF(Data!$G111="",1,IF(ISNUMBER(MATCH(Data!#REF!,Data_Val!$D$2:$D$10,0)),0,1)))</f>
        <v>#REF!</v>
      </c>
      <c r="BF111" s="17"/>
      <c r="BG111" s="18" t="e">
        <f ca="1">IF(Data!#REF!="","",IF(ISNUMBER(Data!#REF!),IF(AND(Data!#REF!&gt;(TODAY()-(Data_Val!$M$3*365.25)),Data!#REF!&lt;=(TODAY()-(Data_Val!$M$2*365.25))),0,1),1))</f>
        <v>#REF!</v>
      </c>
      <c r="BH111" s="29" t="e">
        <f>IF(Data!#REF!="","",IF(Data!$G111="",1,IF(ISNUMBER(MATCH(Data!#REF!,Data_Val!$D$2:$D$10,0)),0,1)))</f>
        <v>#REF!</v>
      </c>
      <c r="BI111" s="13"/>
      <c r="BJ111" s="21" t="e">
        <f ca="1">IF(Data!#REF!="","",IF(ISNUMBER(Data!#REF!),IF(AND(Data!#REF!&gt;(TODAY()-(Data_Val!$M$3*365.25)),Data!#REF!&lt;=(TODAY()-(Data_Val!$M$2*365.25))),0,1),1))</f>
        <v>#REF!</v>
      </c>
      <c r="BK111" s="13" t="e">
        <f>IF(Data!#REF!="","",IF(Data!$G111="",1,IF(ISNUMBER(MATCH(Data!#REF!,Data_Val!$D$2:$D$10,0)),0,1)))</f>
        <v>#REF!</v>
      </c>
    </row>
    <row r="112" spans="1:63" x14ac:dyDescent="0.25">
      <c r="A112" s="9" t="str">
        <f>IF(Data!B112="","",IF(COUNTIFS(Data!A$1:'Data'!A112,Data!A112)&lt;=1,0,1))</f>
        <v/>
      </c>
      <c r="B112" s="9"/>
      <c r="C112" s="23" t="str">
        <f>IF(Data!C112="","",(IF(ISNUMBER(MATCH("*@*.?*",Data!C112,0)),0,1)+IF(COUNTIFS(Data!C$1:'Data'!C112,Data!C112)&gt;1,1,0)))</f>
        <v/>
      </c>
      <c r="D112" s="9" t="str">
        <f>IF(Data!B112="","",IF(ISNUMBER(Data!D112),IF(AND(Data!D112&gt;999999999,Data!D112&lt;=9999999999),IF(COUNTIFS(Data!D$1:'Data'!D112,Data!D112)&lt;=1,0,1),1),1))</f>
        <v/>
      </c>
      <c r="E112" s="9" t="str">
        <f>IF(Data!B112="","",IF(ISNUMBER(MATCH(Data!E112,Data_Val!$A$2:$A$3,0)),0,1))</f>
        <v/>
      </c>
      <c r="F112" s="9" t="str">
        <f ca="1">IF(Data!B112="","",IF(ISNUMBER(Data!F112),IF(AND(Data!F112&gt;(TODAY()-(Data_Val!$H$3*365.25)),Data!F112&lt;=(TODAY()-(Data_Val!$H$2*365.25))),0,1),1))</f>
        <v/>
      </c>
      <c r="G112" s="15" t="str">
        <f>IF(Data!B112="","",IF(AND(Data!G112="",Data!H112&lt;&gt;""),1,IF(Data!#REF!&lt;&gt;"",0,IF(ISNUMBER(MATCH(Data!G112,Data_Val!$C$2:$C$5,0)),0,1))))</f>
        <v/>
      </c>
      <c r="H112" s="15" t="str">
        <f>IF(Data!B112="","",IF(AND(Data!G112&lt;&gt;"",Data!H112=""),1,IF(Data!#REF!&lt;&gt;"",0,IF(Data!G112="",1,IF(ISNUMBER(MATCH(Data!H112,Data_Val!$D$2:$D$35,0)),0,1)))))</f>
        <v/>
      </c>
      <c r="I112" s="15" t="str">
        <f>IF(Data!B112="","",IF(Data!G112&lt;&gt;"",0,IF(ISNUMBER(MATCH(Data!#REF!,Data_Val!$E$2:$E$12,0)),0,1)))</f>
        <v/>
      </c>
      <c r="J112" s="16" t="e">
        <f>IF(OR(Data!B112="",Data!#REF!=""),"",IF(Data!#REF!="",1,0))</f>
        <v>#REF!</v>
      </c>
      <c r="K112" s="16" t="e">
        <f>IF(OR(Data!B112="",Data!#REF!=""),"",IF(Data!#REF!="",1,0))</f>
        <v>#REF!</v>
      </c>
      <c r="L112" s="16" t="e">
        <f>IF(OR(Data!B112="",Data!#REF!=""),"",IF(ISNUMBER(Data!#REF!),IF(AND(Data!#REF!&gt;Data_Val!$G$2,Data!#REF!&lt;=Data_Val!$G$3),0,1),1))</f>
        <v>#REF!</v>
      </c>
      <c r="M112" s="9" t="e">
        <f>IF(OR(Data!B112="",Data!#REF!=""),"",IF(ISNUMBER(MATCH(Data!#REF!,Data_Val!$F$1:$F$38,0)),0,1))</f>
        <v>#REF!</v>
      </c>
      <c r="N112" s="9" t="e">
        <f>IF(OR(Data!B112="",Data!#REF!=""),"",IF(Data!#REF!="",1,0))</f>
        <v>#REF!</v>
      </c>
      <c r="O112" s="17" t="e">
        <f>IF(Data!#REF!="","",IF(Data!#REF!="",1,0))</f>
        <v>#REF!</v>
      </c>
      <c r="P112" s="17" t="e">
        <f>IF(Data!#REF!="","",IF(ISNUMBER(MATCH(Data!#REF!,Data_Val!$A$2:$A$3,0)),0,1))</f>
        <v>#REF!</v>
      </c>
      <c r="Q112" s="25" t="e">
        <f ca="1">IF(Data!#REF!="","",IF(ISNUMBER(Data!#REF!),IF(AND(Data!#REF!&gt;(TODAY()-(Data_Val!$J$3*365.25)),Data!#REF!&lt;=(TODAY()-(Data_Val!$J$2*365.25))),0,1),1))</f>
        <v>#REF!</v>
      </c>
      <c r="R112" s="17" t="e">
        <f>IF(Data!#REF!="","",IF(ISNUMBER(MATCH(Data!#REF!,Data_Val!$B$2:$B$15,0)),0,1))</f>
        <v>#REF!</v>
      </c>
      <c r="S112" s="11" t="str">
        <f>IF(Data!G112="","",IF(Data!G112=Data_Val!$C$2,IF(Data!M112="",0,1),0))</f>
        <v/>
      </c>
      <c r="T112" s="11" t="str">
        <f>IF(Data!M112="","",IF(ISNUMBER(MATCH(Data!N112,Data_Val!$A$2:$A$3,0)),0,1))</f>
        <v/>
      </c>
      <c r="U112" s="11" t="str">
        <f ca="1">IF(Data!M112="","",IF(ISNUMBER(Data!O112),IF(AND(Data!O112&gt;(TODAY()-(Data_Val!$K$3*365.25)),Data!O112&lt;=(TODAY()-(Data_Val!$K$2*365.25))),0,1),1))</f>
        <v/>
      </c>
      <c r="V112" s="12" t="str">
        <f>IF(Data!G112="","",IF(Data!G112=Data_Val!$C$2,IF(Data!P112="",0,1),0))</f>
        <v/>
      </c>
      <c r="W112" s="12" t="str">
        <f>IF(Data!P112="","",IF(ISNUMBER(MATCH(Data!Q112,Data_Val!$A$2:$A$3,0)),0,1))</f>
        <v/>
      </c>
      <c r="X112" s="26" t="str">
        <f ca="1">IF(Data!P112="","",IF(ISNUMBER(Data!R112),IF(AND(Data!R112&gt;(TODAY()-(Data_Val!$L$3*365.25)),Data!R112&lt;=(TODAY()-(Data_Val!$L$2*365.25))),0,1),1))</f>
        <v/>
      </c>
      <c r="Y112" s="13" t="str">
        <f>IF(Data!$G112="","",IF(Data!$G112=Data_Val!$C$2,IF(Data!S112="",0,1),0))</f>
        <v/>
      </c>
      <c r="Z112" s="13" t="str">
        <f>IF(Data!S112="","",IF(ISNUMBER(MATCH(Data!T112,Data_Val!$A$2:$A$3,0)),0,1))</f>
        <v/>
      </c>
      <c r="AA112" s="28" t="str">
        <f ca="1">IF(Data!S112="","",IF(ISNUMBER(Data!U112),IF(AND(Data!U112&gt;(TODAY()-(Data_Val!$L$3*365.25)),Data!U112&lt;=(TODAY()-(Data_Val!$L$2*365.25))),0,1),1))</f>
        <v/>
      </c>
      <c r="AB112" s="11"/>
      <c r="AC112" s="11" t="e">
        <f>IF(Data!#REF!="","",IF(ISNUMBER(MATCH(Data!#REF!,Data_Val!$A$2:$A$3,0)),0,1))</f>
        <v>#REF!</v>
      </c>
      <c r="AD112" s="11" t="e">
        <f ca="1">IF(Data!#REF!="","",IF(ISNUMBER(Data!#REF!),IF(AND(Data!#REF!&gt;(TODAY()-(Data_Val!$L$3*365.25)),Data!#REF!&lt;=(TODAY()-(Data_Val!$L$2*365.25))),0,1),1))</f>
        <v>#REF!</v>
      </c>
      <c r="AE112" s="11" t="e">
        <f>IF(Data!#REF!="","",IF(Data!$G112="",1,IF(ISNUMBER(MATCH(Data!#REF!,Data_Val!$D$2:$D$10,0)),0,1)))</f>
        <v>#REF!</v>
      </c>
      <c r="AF112" s="12"/>
      <c r="AG112" s="12" t="e">
        <f>IF(Data!#REF!="","",IF(ISNUMBER(MATCH(Data!#REF!,Data_Val!$A$2:$A$3,0)),0,1))</f>
        <v>#REF!</v>
      </c>
      <c r="AH112" s="26" t="e">
        <f ca="1">IF(Data!#REF!="","",IF(ISNUMBER(Data!#REF!),IF(AND(Data!#REF!&gt;(TODAY()-(Data_Val!$L$3*365.25)),Data!#REF!&lt;=(TODAY()-(Data_Val!$L$2*365.25))),0,1),1))</f>
        <v>#REF!</v>
      </c>
      <c r="AI112" s="12" t="e">
        <f>IF(Data!#REF!="","",IF(Data!$G112="",1,IF(ISNUMBER(MATCH(Data!#REF!,Data_Val!$D$2:$D$10,0)),0,1)))</f>
        <v>#REF!</v>
      </c>
      <c r="AJ112" s="17"/>
      <c r="AK112" s="17" t="e">
        <f>IF(Data!#REF!="","",IF(ISNUMBER(MATCH(Data!#REF!,Data_Val!$A$2:$A$3,0)),0,1))</f>
        <v>#REF!</v>
      </c>
      <c r="AL112" s="25" t="e">
        <f ca="1">IF(Data!#REF!="","",IF(ISNUMBER(Data!#REF!),IF(AND(Data!#REF!&gt;(TODAY()-(Data_Val!$L$3*365.25)),Data!#REF!&lt;=(TODAY()-(Data_Val!$L$2*365.25))),0,1),1))</f>
        <v>#REF!</v>
      </c>
      <c r="AM112" s="17" t="e">
        <f>IF(Data!#REF!="","",IF(Data!$G112="",1,IF(ISNUMBER(MATCH(Data!#REF!,Data_Val!$D$2:$D$10,0)),0,1)))</f>
        <v>#REF!</v>
      </c>
      <c r="AN112" s="13"/>
      <c r="AO112" s="28" t="e">
        <f ca="1">IF(Data!#REF!="","",IF(ISNUMBER(Data!#REF!),IF(AND(Data!#REF!&gt;(TODAY()-(Data_Val!$I$3*365.25)),Data!#REF!&lt;=(TODAY()-(Data_Val!$I$2*365.25))),0,1),1))</f>
        <v>#REF!</v>
      </c>
      <c r="AP112" s="13" t="e">
        <f>IF(Data!#REF!="","",IF(Data!$G112="",1,IF(ISNUMBER(MATCH(Data!#REF!,Data_Val!$D$2:$D$10,0)),0,1)))</f>
        <v>#REF!</v>
      </c>
      <c r="AQ112" s="17"/>
      <c r="AR112" s="30" t="e">
        <f ca="1">IF(Data!#REF!="","",IF(ISNUMBER(Data!#REF!),IF(AND(Data!#REF!&gt;(TODAY()-(Data_Val!$I$3*365.25)),Data!#REF!&lt;=(TODAY()-(Data_Val!$I$2*365.25))),0,1),1))</f>
        <v>#REF!</v>
      </c>
      <c r="AS112" s="31" t="e">
        <f>IF(Data!#REF!="","",IF(Data!$G112="",1,IF(ISNUMBER(MATCH(Data!#REF!,Data_Val!$D$2:$D$10,0)),0,1)))</f>
        <v>#REF!</v>
      </c>
      <c r="AT112" s="11"/>
      <c r="AU112" s="11" t="e">
        <f ca="1">IF(Data!#REF!="","",IF(ISNUMBER(Data!#REF!),IF(AND(Data!#REF!&gt;(TODAY()-(Data_Val!$I$3*365.25)),Data!#REF!&lt;=(TODAY()-(Data_Val!$I$2*365.25))),0,1),1))</f>
        <v>#REF!</v>
      </c>
      <c r="AV112" s="11" t="e">
        <f>IF(Data!#REF!="","",IF(Data!$G112="",1,IF(ISNUMBER(MATCH(Data!#REF!,Data_Val!$D$2:$D$10,0)),0,1)))</f>
        <v>#REF!</v>
      </c>
      <c r="AW112" s="12"/>
      <c r="AX112" s="26" t="e">
        <f ca="1">IF(Data!#REF!="","",IF(ISNUMBER(Data!#REF!),IF(AND(Data!#REF!&gt;(TODAY()-(Data_Val!$I$3*365.25)),Data!#REF!&lt;=(TODAY()-(Data_Val!$I$2*365.25))),0,1),1))</f>
        <v>#REF!</v>
      </c>
      <c r="AY112" s="12" t="e">
        <f>IF(Data!#REF!="","",IF(Data!$G112="",1,IF(ISNUMBER(MATCH(Data!#REF!,Data_Val!$D$2:$D$10,0)),0,1)))</f>
        <v>#REF!</v>
      </c>
      <c r="AZ112" s="11"/>
      <c r="BA112" s="19" t="e">
        <f ca="1">IF(Data!#REF!="","",IF(ISNUMBER(Data!#REF!),IF(AND(Data!#REF!&gt;(TODAY()-(Data_Val!$M$3*365.25)),Data!#REF!&lt;=(TODAY()-(Data_Val!$M$2*365.25))),0,1),1))</f>
        <v>#REF!</v>
      </c>
      <c r="BB112" s="11" t="e">
        <f>IF(Data!#REF!="","",IF(Data!$G112="",1,IF(ISNUMBER(MATCH(Data!#REF!,Data_Val!$D$2:$D$10,0)),0,1)))</f>
        <v>#REF!</v>
      </c>
      <c r="BC112" s="12"/>
      <c r="BD112" s="20" t="e">
        <f ca="1">IF(Data!#REF!="","",IF(ISNUMBER(Data!#REF!),IF(AND(Data!#REF!&gt;(TODAY()-(Data_Val!$M$3*365.25)),Data!#REF!&lt;=(TODAY()-(Data_Val!$M$2*365.25))),0,1),1))</f>
        <v>#REF!</v>
      </c>
      <c r="BE112" s="12" t="e">
        <f>IF(Data!#REF!="","",IF(Data!$G112="",1,IF(ISNUMBER(MATCH(Data!#REF!,Data_Val!$D$2:$D$10,0)),0,1)))</f>
        <v>#REF!</v>
      </c>
      <c r="BF112" s="17"/>
      <c r="BG112" s="18" t="e">
        <f ca="1">IF(Data!#REF!="","",IF(ISNUMBER(Data!#REF!),IF(AND(Data!#REF!&gt;(TODAY()-(Data_Val!$M$3*365.25)),Data!#REF!&lt;=(TODAY()-(Data_Val!$M$2*365.25))),0,1),1))</f>
        <v>#REF!</v>
      </c>
      <c r="BH112" s="29" t="e">
        <f>IF(Data!#REF!="","",IF(Data!$G112="",1,IF(ISNUMBER(MATCH(Data!#REF!,Data_Val!$D$2:$D$10,0)),0,1)))</f>
        <v>#REF!</v>
      </c>
      <c r="BI112" s="13"/>
      <c r="BJ112" s="21" t="e">
        <f ca="1">IF(Data!#REF!="","",IF(ISNUMBER(Data!#REF!),IF(AND(Data!#REF!&gt;(TODAY()-(Data_Val!$M$3*365.25)),Data!#REF!&lt;=(TODAY()-(Data_Val!$M$2*365.25))),0,1),1))</f>
        <v>#REF!</v>
      </c>
      <c r="BK112" s="13" t="e">
        <f>IF(Data!#REF!="","",IF(Data!$G112="",1,IF(ISNUMBER(MATCH(Data!#REF!,Data_Val!$D$2:$D$10,0)),0,1)))</f>
        <v>#REF!</v>
      </c>
    </row>
    <row r="113" spans="1:63" x14ac:dyDescent="0.25">
      <c r="A113" s="9" t="str">
        <f>IF(Data!B113="","",IF(COUNTIFS(Data!A$1:'Data'!A113,Data!A113)&lt;=1,0,1))</f>
        <v/>
      </c>
      <c r="B113" s="9"/>
      <c r="C113" s="23" t="str">
        <f>IF(Data!C113="","",(IF(ISNUMBER(MATCH("*@*.?*",Data!C113,0)),0,1)+IF(COUNTIFS(Data!C$1:'Data'!C113,Data!C113)&gt;1,1,0)))</f>
        <v/>
      </c>
      <c r="D113" s="9" t="str">
        <f>IF(Data!B113="","",IF(ISNUMBER(Data!D113),IF(AND(Data!D113&gt;999999999,Data!D113&lt;=9999999999),IF(COUNTIFS(Data!D$1:'Data'!D113,Data!D113)&lt;=1,0,1),1),1))</f>
        <v/>
      </c>
      <c r="E113" s="9" t="str">
        <f>IF(Data!B113="","",IF(ISNUMBER(MATCH(Data!E113,Data_Val!$A$2:$A$3,0)),0,1))</f>
        <v/>
      </c>
      <c r="F113" s="9" t="str">
        <f ca="1">IF(Data!B113="","",IF(ISNUMBER(Data!F113),IF(AND(Data!F113&gt;(TODAY()-(Data_Val!$H$3*365.25)),Data!F113&lt;=(TODAY()-(Data_Val!$H$2*365.25))),0,1),1))</f>
        <v/>
      </c>
      <c r="G113" s="15" t="str">
        <f>IF(Data!B113="","",IF(AND(Data!G113="",Data!H113&lt;&gt;""),1,IF(Data!#REF!&lt;&gt;"",0,IF(ISNUMBER(MATCH(Data!G113,Data_Val!$C$2:$C$5,0)),0,1))))</f>
        <v/>
      </c>
      <c r="H113" s="15" t="str">
        <f>IF(Data!B113="","",IF(AND(Data!G113&lt;&gt;"",Data!H113=""),1,IF(Data!#REF!&lt;&gt;"",0,IF(Data!G113="",1,IF(ISNUMBER(MATCH(Data!H113,Data_Val!$D$2:$D$35,0)),0,1)))))</f>
        <v/>
      </c>
      <c r="I113" s="15" t="str">
        <f>IF(Data!B113="","",IF(Data!G113&lt;&gt;"",0,IF(ISNUMBER(MATCH(Data!#REF!,Data_Val!$E$2:$E$12,0)),0,1)))</f>
        <v/>
      </c>
      <c r="J113" s="16" t="e">
        <f>IF(OR(Data!B113="",Data!#REF!=""),"",IF(Data!#REF!="",1,0))</f>
        <v>#REF!</v>
      </c>
      <c r="K113" s="16" t="e">
        <f>IF(OR(Data!B113="",Data!#REF!=""),"",IF(Data!#REF!="",1,0))</f>
        <v>#REF!</v>
      </c>
      <c r="L113" s="16" t="e">
        <f>IF(OR(Data!B113="",Data!#REF!=""),"",IF(ISNUMBER(Data!#REF!),IF(AND(Data!#REF!&gt;Data_Val!$G$2,Data!#REF!&lt;=Data_Val!$G$3),0,1),1))</f>
        <v>#REF!</v>
      </c>
      <c r="M113" s="9" t="e">
        <f>IF(OR(Data!B113="",Data!#REF!=""),"",IF(ISNUMBER(MATCH(Data!#REF!,Data_Val!$F$1:$F$38,0)),0,1))</f>
        <v>#REF!</v>
      </c>
      <c r="N113" s="9" t="e">
        <f>IF(OR(Data!B113="",Data!#REF!=""),"",IF(Data!#REF!="",1,0))</f>
        <v>#REF!</v>
      </c>
      <c r="O113" s="17" t="e">
        <f>IF(Data!#REF!="","",IF(Data!#REF!="",1,0))</f>
        <v>#REF!</v>
      </c>
      <c r="P113" s="17" t="e">
        <f>IF(Data!#REF!="","",IF(ISNUMBER(MATCH(Data!#REF!,Data_Val!$A$2:$A$3,0)),0,1))</f>
        <v>#REF!</v>
      </c>
      <c r="Q113" s="25" t="e">
        <f ca="1">IF(Data!#REF!="","",IF(ISNUMBER(Data!#REF!),IF(AND(Data!#REF!&gt;(TODAY()-(Data_Val!$J$3*365.25)),Data!#REF!&lt;=(TODAY()-(Data_Val!$J$2*365.25))),0,1),1))</f>
        <v>#REF!</v>
      </c>
      <c r="R113" s="17" t="e">
        <f>IF(Data!#REF!="","",IF(ISNUMBER(MATCH(Data!#REF!,Data_Val!$B$2:$B$15,0)),0,1))</f>
        <v>#REF!</v>
      </c>
      <c r="S113" s="11" t="str">
        <f>IF(Data!G113="","",IF(Data!G113=Data_Val!$C$2,IF(Data!M113="",0,1),0))</f>
        <v/>
      </c>
      <c r="T113" s="11" t="str">
        <f>IF(Data!M113="","",IF(ISNUMBER(MATCH(Data!N113,Data_Val!$A$2:$A$3,0)),0,1))</f>
        <v/>
      </c>
      <c r="U113" s="11" t="str">
        <f ca="1">IF(Data!M113="","",IF(ISNUMBER(Data!O113),IF(AND(Data!O113&gt;(TODAY()-(Data_Val!$K$3*365.25)),Data!O113&lt;=(TODAY()-(Data_Val!$K$2*365.25))),0,1),1))</f>
        <v/>
      </c>
      <c r="V113" s="12" t="str">
        <f>IF(Data!G113="","",IF(Data!G113=Data_Val!$C$2,IF(Data!P113="",0,1),0))</f>
        <v/>
      </c>
      <c r="W113" s="12" t="str">
        <f>IF(Data!P113="","",IF(ISNUMBER(MATCH(Data!Q113,Data_Val!$A$2:$A$3,0)),0,1))</f>
        <v/>
      </c>
      <c r="X113" s="26" t="str">
        <f ca="1">IF(Data!P113="","",IF(ISNUMBER(Data!R113),IF(AND(Data!R113&gt;(TODAY()-(Data_Val!$L$3*365.25)),Data!R113&lt;=(TODAY()-(Data_Val!$L$2*365.25))),0,1),1))</f>
        <v/>
      </c>
      <c r="Y113" s="13" t="str">
        <f>IF(Data!$G113="","",IF(Data!$G113=Data_Val!$C$2,IF(Data!S113="",0,1),0))</f>
        <v/>
      </c>
      <c r="Z113" s="13" t="str">
        <f>IF(Data!S113="","",IF(ISNUMBER(MATCH(Data!T113,Data_Val!$A$2:$A$3,0)),0,1))</f>
        <v/>
      </c>
      <c r="AA113" s="28" t="str">
        <f ca="1">IF(Data!S113="","",IF(ISNUMBER(Data!U113),IF(AND(Data!U113&gt;(TODAY()-(Data_Val!$L$3*365.25)),Data!U113&lt;=(TODAY()-(Data_Val!$L$2*365.25))),0,1),1))</f>
        <v/>
      </c>
      <c r="AB113" s="11"/>
      <c r="AC113" s="11" t="e">
        <f>IF(Data!#REF!="","",IF(ISNUMBER(MATCH(Data!#REF!,Data_Val!$A$2:$A$3,0)),0,1))</f>
        <v>#REF!</v>
      </c>
      <c r="AD113" s="11" t="e">
        <f ca="1">IF(Data!#REF!="","",IF(ISNUMBER(Data!#REF!),IF(AND(Data!#REF!&gt;(TODAY()-(Data_Val!$L$3*365.25)),Data!#REF!&lt;=(TODAY()-(Data_Val!$L$2*365.25))),0,1),1))</f>
        <v>#REF!</v>
      </c>
      <c r="AE113" s="11" t="e">
        <f>IF(Data!#REF!="","",IF(Data!$G113="",1,IF(ISNUMBER(MATCH(Data!#REF!,Data_Val!$D$2:$D$10,0)),0,1)))</f>
        <v>#REF!</v>
      </c>
      <c r="AF113" s="12"/>
      <c r="AG113" s="12" t="e">
        <f>IF(Data!#REF!="","",IF(ISNUMBER(MATCH(Data!#REF!,Data_Val!$A$2:$A$3,0)),0,1))</f>
        <v>#REF!</v>
      </c>
      <c r="AH113" s="26" t="e">
        <f ca="1">IF(Data!#REF!="","",IF(ISNUMBER(Data!#REF!),IF(AND(Data!#REF!&gt;(TODAY()-(Data_Val!$L$3*365.25)),Data!#REF!&lt;=(TODAY()-(Data_Val!$L$2*365.25))),0,1),1))</f>
        <v>#REF!</v>
      </c>
      <c r="AI113" s="12" t="e">
        <f>IF(Data!#REF!="","",IF(Data!$G113="",1,IF(ISNUMBER(MATCH(Data!#REF!,Data_Val!$D$2:$D$10,0)),0,1)))</f>
        <v>#REF!</v>
      </c>
      <c r="AJ113" s="17"/>
      <c r="AK113" s="17" t="e">
        <f>IF(Data!#REF!="","",IF(ISNUMBER(MATCH(Data!#REF!,Data_Val!$A$2:$A$3,0)),0,1))</f>
        <v>#REF!</v>
      </c>
      <c r="AL113" s="25" t="e">
        <f ca="1">IF(Data!#REF!="","",IF(ISNUMBER(Data!#REF!),IF(AND(Data!#REF!&gt;(TODAY()-(Data_Val!$L$3*365.25)),Data!#REF!&lt;=(TODAY()-(Data_Val!$L$2*365.25))),0,1),1))</f>
        <v>#REF!</v>
      </c>
      <c r="AM113" s="17" t="e">
        <f>IF(Data!#REF!="","",IF(Data!$G113="",1,IF(ISNUMBER(MATCH(Data!#REF!,Data_Val!$D$2:$D$10,0)),0,1)))</f>
        <v>#REF!</v>
      </c>
      <c r="AN113" s="13"/>
      <c r="AO113" s="28" t="e">
        <f ca="1">IF(Data!#REF!="","",IF(ISNUMBER(Data!#REF!),IF(AND(Data!#REF!&gt;(TODAY()-(Data_Val!$I$3*365.25)),Data!#REF!&lt;=(TODAY()-(Data_Val!$I$2*365.25))),0,1),1))</f>
        <v>#REF!</v>
      </c>
      <c r="AP113" s="13" t="e">
        <f>IF(Data!#REF!="","",IF(Data!$G113="",1,IF(ISNUMBER(MATCH(Data!#REF!,Data_Val!$D$2:$D$10,0)),0,1)))</f>
        <v>#REF!</v>
      </c>
      <c r="AQ113" s="17"/>
      <c r="AR113" s="30" t="e">
        <f ca="1">IF(Data!#REF!="","",IF(ISNUMBER(Data!#REF!),IF(AND(Data!#REF!&gt;(TODAY()-(Data_Val!$I$3*365.25)),Data!#REF!&lt;=(TODAY()-(Data_Val!$I$2*365.25))),0,1),1))</f>
        <v>#REF!</v>
      </c>
      <c r="AS113" s="31" t="e">
        <f>IF(Data!#REF!="","",IF(Data!$G113="",1,IF(ISNUMBER(MATCH(Data!#REF!,Data_Val!$D$2:$D$10,0)),0,1)))</f>
        <v>#REF!</v>
      </c>
      <c r="AT113" s="11"/>
      <c r="AU113" s="11" t="e">
        <f ca="1">IF(Data!#REF!="","",IF(ISNUMBER(Data!#REF!),IF(AND(Data!#REF!&gt;(TODAY()-(Data_Val!$I$3*365.25)),Data!#REF!&lt;=(TODAY()-(Data_Val!$I$2*365.25))),0,1),1))</f>
        <v>#REF!</v>
      </c>
      <c r="AV113" s="11" t="e">
        <f>IF(Data!#REF!="","",IF(Data!$G113="",1,IF(ISNUMBER(MATCH(Data!#REF!,Data_Val!$D$2:$D$10,0)),0,1)))</f>
        <v>#REF!</v>
      </c>
      <c r="AW113" s="12"/>
      <c r="AX113" s="26" t="e">
        <f ca="1">IF(Data!#REF!="","",IF(ISNUMBER(Data!#REF!),IF(AND(Data!#REF!&gt;(TODAY()-(Data_Val!$I$3*365.25)),Data!#REF!&lt;=(TODAY()-(Data_Val!$I$2*365.25))),0,1),1))</f>
        <v>#REF!</v>
      </c>
      <c r="AY113" s="12" t="e">
        <f>IF(Data!#REF!="","",IF(Data!$G113="",1,IF(ISNUMBER(MATCH(Data!#REF!,Data_Val!$D$2:$D$10,0)),0,1)))</f>
        <v>#REF!</v>
      </c>
      <c r="AZ113" s="11"/>
      <c r="BA113" s="19" t="e">
        <f ca="1">IF(Data!#REF!="","",IF(ISNUMBER(Data!#REF!),IF(AND(Data!#REF!&gt;(TODAY()-(Data_Val!$M$3*365.25)),Data!#REF!&lt;=(TODAY()-(Data_Val!$M$2*365.25))),0,1),1))</f>
        <v>#REF!</v>
      </c>
      <c r="BB113" s="11" t="e">
        <f>IF(Data!#REF!="","",IF(Data!$G113="",1,IF(ISNUMBER(MATCH(Data!#REF!,Data_Val!$D$2:$D$10,0)),0,1)))</f>
        <v>#REF!</v>
      </c>
      <c r="BC113" s="12"/>
      <c r="BD113" s="20" t="e">
        <f ca="1">IF(Data!#REF!="","",IF(ISNUMBER(Data!#REF!),IF(AND(Data!#REF!&gt;(TODAY()-(Data_Val!$M$3*365.25)),Data!#REF!&lt;=(TODAY()-(Data_Val!$M$2*365.25))),0,1),1))</f>
        <v>#REF!</v>
      </c>
      <c r="BE113" s="12" t="e">
        <f>IF(Data!#REF!="","",IF(Data!$G113="",1,IF(ISNUMBER(MATCH(Data!#REF!,Data_Val!$D$2:$D$10,0)),0,1)))</f>
        <v>#REF!</v>
      </c>
      <c r="BF113" s="17"/>
      <c r="BG113" s="18" t="e">
        <f ca="1">IF(Data!#REF!="","",IF(ISNUMBER(Data!#REF!),IF(AND(Data!#REF!&gt;(TODAY()-(Data_Val!$M$3*365.25)),Data!#REF!&lt;=(TODAY()-(Data_Val!$M$2*365.25))),0,1),1))</f>
        <v>#REF!</v>
      </c>
      <c r="BH113" s="29" t="e">
        <f>IF(Data!#REF!="","",IF(Data!$G113="",1,IF(ISNUMBER(MATCH(Data!#REF!,Data_Val!$D$2:$D$10,0)),0,1)))</f>
        <v>#REF!</v>
      </c>
      <c r="BI113" s="13"/>
      <c r="BJ113" s="21" t="e">
        <f ca="1">IF(Data!#REF!="","",IF(ISNUMBER(Data!#REF!),IF(AND(Data!#REF!&gt;(TODAY()-(Data_Val!$M$3*365.25)),Data!#REF!&lt;=(TODAY()-(Data_Val!$M$2*365.25))),0,1),1))</f>
        <v>#REF!</v>
      </c>
      <c r="BK113" s="13" t="e">
        <f>IF(Data!#REF!="","",IF(Data!$G113="",1,IF(ISNUMBER(MATCH(Data!#REF!,Data_Val!$D$2:$D$10,0)),0,1)))</f>
        <v>#REF!</v>
      </c>
    </row>
    <row r="114" spans="1:63" x14ac:dyDescent="0.25">
      <c r="A114" s="9" t="str">
        <f>IF(Data!B114="","",IF(COUNTIFS(Data!A$1:'Data'!A114,Data!A114)&lt;=1,0,1))</f>
        <v/>
      </c>
      <c r="B114" s="9"/>
      <c r="C114" s="23" t="str">
        <f>IF(Data!C114="","",(IF(ISNUMBER(MATCH("*@*.?*",Data!C114,0)),0,1)+IF(COUNTIFS(Data!C$1:'Data'!C114,Data!C114)&gt;1,1,0)))</f>
        <v/>
      </c>
      <c r="D114" s="9" t="str">
        <f>IF(Data!B114="","",IF(ISNUMBER(Data!D114),IF(AND(Data!D114&gt;999999999,Data!D114&lt;=9999999999),IF(COUNTIFS(Data!D$1:'Data'!D114,Data!D114)&lt;=1,0,1),1),1))</f>
        <v/>
      </c>
      <c r="E114" s="9" t="str">
        <f>IF(Data!B114="","",IF(ISNUMBER(MATCH(Data!E114,Data_Val!$A$2:$A$3,0)),0,1))</f>
        <v/>
      </c>
      <c r="F114" s="9" t="str">
        <f ca="1">IF(Data!B114="","",IF(ISNUMBER(Data!F114),IF(AND(Data!F114&gt;(TODAY()-(Data_Val!$H$3*365.25)),Data!F114&lt;=(TODAY()-(Data_Val!$H$2*365.25))),0,1),1))</f>
        <v/>
      </c>
      <c r="G114" s="15" t="str">
        <f>IF(Data!B114="","",IF(AND(Data!G114="",Data!H114&lt;&gt;""),1,IF(Data!#REF!&lt;&gt;"",0,IF(ISNUMBER(MATCH(Data!G114,Data_Val!$C$2:$C$5,0)),0,1))))</f>
        <v/>
      </c>
      <c r="H114" s="15" t="str">
        <f>IF(Data!B114="","",IF(AND(Data!G114&lt;&gt;"",Data!H114=""),1,IF(Data!#REF!&lt;&gt;"",0,IF(Data!G114="",1,IF(ISNUMBER(MATCH(Data!H114,Data_Val!$D$2:$D$35,0)),0,1)))))</f>
        <v/>
      </c>
      <c r="I114" s="15" t="str">
        <f>IF(Data!B114="","",IF(Data!G114&lt;&gt;"",0,IF(ISNUMBER(MATCH(Data!#REF!,Data_Val!$E$2:$E$12,0)),0,1)))</f>
        <v/>
      </c>
      <c r="J114" s="16" t="e">
        <f>IF(OR(Data!B114="",Data!#REF!=""),"",IF(Data!#REF!="",1,0))</f>
        <v>#REF!</v>
      </c>
      <c r="K114" s="16" t="e">
        <f>IF(OR(Data!B114="",Data!#REF!=""),"",IF(Data!#REF!="",1,0))</f>
        <v>#REF!</v>
      </c>
      <c r="L114" s="16" t="e">
        <f>IF(OR(Data!B114="",Data!#REF!=""),"",IF(ISNUMBER(Data!#REF!),IF(AND(Data!#REF!&gt;Data_Val!$G$2,Data!#REF!&lt;=Data_Val!$G$3),0,1),1))</f>
        <v>#REF!</v>
      </c>
      <c r="M114" s="9" t="e">
        <f>IF(OR(Data!B114="",Data!#REF!=""),"",IF(ISNUMBER(MATCH(Data!#REF!,Data_Val!$F$1:$F$38,0)),0,1))</f>
        <v>#REF!</v>
      </c>
      <c r="N114" s="9" t="e">
        <f>IF(OR(Data!B114="",Data!#REF!=""),"",IF(Data!#REF!="",1,0))</f>
        <v>#REF!</v>
      </c>
      <c r="O114" s="17" t="e">
        <f>IF(Data!#REF!="","",IF(Data!#REF!="",1,0))</f>
        <v>#REF!</v>
      </c>
      <c r="P114" s="17" t="e">
        <f>IF(Data!#REF!="","",IF(ISNUMBER(MATCH(Data!#REF!,Data_Val!$A$2:$A$3,0)),0,1))</f>
        <v>#REF!</v>
      </c>
      <c r="Q114" s="25" t="e">
        <f ca="1">IF(Data!#REF!="","",IF(ISNUMBER(Data!#REF!),IF(AND(Data!#REF!&gt;(TODAY()-(Data_Val!$J$3*365.25)),Data!#REF!&lt;=(TODAY()-(Data_Val!$J$2*365.25))),0,1),1))</f>
        <v>#REF!</v>
      </c>
      <c r="R114" s="17" t="e">
        <f>IF(Data!#REF!="","",IF(ISNUMBER(MATCH(Data!#REF!,Data_Val!$B$2:$B$15,0)),0,1))</f>
        <v>#REF!</v>
      </c>
      <c r="S114" s="11" t="str">
        <f>IF(Data!G114="","",IF(Data!G114=Data_Val!$C$2,IF(Data!M114="",0,1),0))</f>
        <v/>
      </c>
      <c r="T114" s="11" t="str">
        <f>IF(Data!M114="","",IF(ISNUMBER(MATCH(Data!N114,Data_Val!$A$2:$A$3,0)),0,1))</f>
        <v/>
      </c>
      <c r="U114" s="11" t="str">
        <f ca="1">IF(Data!M114="","",IF(ISNUMBER(Data!O114),IF(AND(Data!O114&gt;(TODAY()-(Data_Val!$K$3*365.25)),Data!O114&lt;=(TODAY()-(Data_Val!$K$2*365.25))),0,1),1))</f>
        <v/>
      </c>
      <c r="V114" s="12" t="str">
        <f>IF(Data!G114="","",IF(Data!G114=Data_Val!$C$2,IF(Data!P114="",0,1),0))</f>
        <v/>
      </c>
      <c r="W114" s="12" t="str">
        <f>IF(Data!P114="","",IF(ISNUMBER(MATCH(Data!Q114,Data_Val!$A$2:$A$3,0)),0,1))</f>
        <v/>
      </c>
      <c r="X114" s="26" t="str">
        <f ca="1">IF(Data!P114="","",IF(ISNUMBER(Data!R114),IF(AND(Data!R114&gt;(TODAY()-(Data_Val!$L$3*365.25)),Data!R114&lt;=(TODAY()-(Data_Val!$L$2*365.25))),0,1),1))</f>
        <v/>
      </c>
      <c r="Y114" s="13" t="str">
        <f>IF(Data!$G114="","",IF(Data!$G114=Data_Val!$C$2,IF(Data!S114="",0,1),0))</f>
        <v/>
      </c>
      <c r="Z114" s="13" t="str">
        <f>IF(Data!S114="","",IF(ISNUMBER(MATCH(Data!T114,Data_Val!$A$2:$A$3,0)),0,1))</f>
        <v/>
      </c>
      <c r="AA114" s="28" t="str">
        <f ca="1">IF(Data!S114="","",IF(ISNUMBER(Data!U114),IF(AND(Data!U114&gt;(TODAY()-(Data_Val!$L$3*365.25)),Data!U114&lt;=(TODAY()-(Data_Val!$L$2*365.25))),0,1),1))</f>
        <v/>
      </c>
      <c r="AB114" s="11"/>
      <c r="AC114" s="11" t="e">
        <f>IF(Data!#REF!="","",IF(ISNUMBER(MATCH(Data!#REF!,Data_Val!$A$2:$A$3,0)),0,1))</f>
        <v>#REF!</v>
      </c>
      <c r="AD114" s="11" t="e">
        <f ca="1">IF(Data!#REF!="","",IF(ISNUMBER(Data!#REF!),IF(AND(Data!#REF!&gt;(TODAY()-(Data_Val!$L$3*365.25)),Data!#REF!&lt;=(TODAY()-(Data_Val!$L$2*365.25))),0,1),1))</f>
        <v>#REF!</v>
      </c>
      <c r="AE114" s="11" t="e">
        <f>IF(Data!#REF!="","",IF(Data!$G114="",1,IF(ISNUMBER(MATCH(Data!#REF!,Data_Val!$D$2:$D$10,0)),0,1)))</f>
        <v>#REF!</v>
      </c>
      <c r="AF114" s="12"/>
      <c r="AG114" s="12" t="e">
        <f>IF(Data!#REF!="","",IF(ISNUMBER(MATCH(Data!#REF!,Data_Val!$A$2:$A$3,0)),0,1))</f>
        <v>#REF!</v>
      </c>
      <c r="AH114" s="26" t="e">
        <f ca="1">IF(Data!#REF!="","",IF(ISNUMBER(Data!#REF!),IF(AND(Data!#REF!&gt;(TODAY()-(Data_Val!$L$3*365.25)),Data!#REF!&lt;=(TODAY()-(Data_Val!$L$2*365.25))),0,1),1))</f>
        <v>#REF!</v>
      </c>
      <c r="AI114" s="12" t="e">
        <f>IF(Data!#REF!="","",IF(Data!$G114="",1,IF(ISNUMBER(MATCH(Data!#REF!,Data_Val!$D$2:$D$10,0)),0,1)))</f>
        <v>#REF!</v>
      </c>
      <c r="AJ114" s="17"/>
      <c r="AK114" s="17" t="e">
        <f>IF(Data!#REF!="","",IF(ISNUMBER(MATCH(Data!#REF!,Data_Val!$A$2:$A$3,0)),0,1))</f>
        <v>#REF!</v>
      </c>
      <c r="AL114" s="25" t="e">
        <f ca="1">IF(Data!#REF!="","",IF(ISNUMBER(Data!#REF!),IF(AND(Data!#REF!&gt;(TODAY()-(Data_Val!$L$3*365.25)),Data!#REF!&lt;=(TODAY()-(Data_Val!$L$2*365.25))),0,1),1))</f>
        <v>#REF!</v>
      </c>
      <c r="AM114" s="17" t="e">
        <f>IF(Data!#REF!="","",IF(Data!$G114="",1,IF(ISNUMBER(MATCH(Data!#REF!,Data_Val!$D$2:$D$10,0)),0,1)))</f>
        <v>#REF!</v>
      </c>
      <c r="AN114" s="13"/>
      <c r="AO114" s="28" t="e">
        <f ca="1">IF(Data!#REF!="","",IF(ISNUMBER(Data!#REF!),IF(AND(Data!#REF!&gt;(TODAY()-(Data_Val!$I$3*365.25)),Data!#REF!&lt;=(TODAY()-(Data_Val!$I$2*365.25))),0,1),1))</f>
        <v>#REF!</v>
      </c>
      <c r="AP114" s="13" t="e">
        <f>IF(Data!#REF!="","",IF(Data!$G114="",1,IF(ISNUMBER(MATCH(Data!#REF!,Data_Val!$D$2:$D$10,0)),0,1)))</f>
        <v>#REF!</v>
      </c>
      <c r="AQ114" s="17"/>
      <c r="AR114" s="30" t="e">
        <f ca="1">IF(Data!#REF!="","",IF(ISNUMBER(Data!#REF!),IF(AND(Data!#REF!&gt;(TODAY()-(Data_Val!$I$3*365.25)),Data!#REF!&lt;=(TODAY()-(Data_Val!$I$2*365.25))),0,1),1))</f>
        <v>#REF!</v>
      </c>
      <c r="AS114" s="31" t="e">
        <f>IF(Data!#REF!="","",IF(Data!$G114="",1,IF(ISNUMBER(MATCH(Data!#REF!,Data_Val!$D$2:$D$10,0)),0,1)))</f>
        <v>#REF!</v>
      </c>
      <c r="AT114" s="11"/>
      <c r="AU114" s="11" t="e">
        <f ca="1">IF(Data!#REF!="","",IF(ISNUMBER(Data!#REF!),IF(AND(Data!#REF!&gt;(TODAY()-(Data_Val!$I$3*365.25)),Data!#REF!&lt;=(TODAY()-(Data_Val!$I$2*365.25))),0,1),1))</f>
        <v>#REF!</v>
      </c>
      <c r="AV114" s="11" t="e">
        <f>IF(Data!#REF!="","",IF(Data!$G114="",1,IF(ISNUMBER(MATCH(Data!#REF!,Data_Val!$D$2:$D$10,0)),0,1)))</f>
        <v>#REF!</v>
      </c>
      <c r="AW114" s="12"/>
      <c r="AX114" s="26" t="e">
        <f ca="1">IF(Data!#REF!="","",IF(ISNUMBER(Data!#REF!),IF(AND(Data!#REF!&gt;(TODAY()-(Data_Val!$I$3*365.25)),Data!#REF!&lt;=(TODAY()-(Data_Val!$I$2*365.25))),0,1),1))</f>
        <v>#REF!</v>
      </c>
      <c r="AY114" s="12" t="e">
        <f>IF(Data!#REF!="","",IF(Data!$G114="",1,IF(ISNUMBER(MATCH(Data!#REF!,Data_Val!$D$2:$D$10,0)),0,1)))</f>
        <v>#REF!</v>
      </c>
      <c r="AZ114" s="11"/>
      <c r="BA114" s="19" t="e">
        <f ca="1">IF(Data!#REF!="","",IF(ISNUMBER(Data!#REF!),IF(AND(Data!#REF!&gt;(TODAY()-(Data_Val!$M$3*365.25)),Data!#REF!&lt;=(TODAY()-(Data_Val!$M$2*365.25))),0,1),1))</f>
        <v>#REF!</v>
      </c>
      <c r="BB114" s="11" t="e">
        <f>IF(Data!#REF!="","",IF(Data!$G114="",1,IF(ISNUMBER(MATCH(Data!#REF!,Data_Val!$D$2:$D$10,0)),0,1)))</f>
        <v>#REF!</v>
      </c>
      <c r="BC114" s="12"/>
      <c r="BD114" s="20" t="e">
        <f ca="1">IF(Data!#REF!="","",IF(ISNUMBER(Data!#REF!),IF(AND(Data!#REF!&gt;(TODAY()-(Data_Val!$M$3*365.25)),Data!#REF!&lt;=(TODAY()-(Data_Val!$M$2*365.25))),0,1),1))</f>
        <v>#REF!</v>
      </c>
      <c r="BE114" s="12" t="e">
        <f>IF(Data!#REF!="","",IF(Data!$G114="",1,IF(ISNUMBER(MATCH(Data!#REF!,Data_Val!$D$2:$D$10,0)),0,1)))</f>
        <v>#REF!</v>
      </c>
      <c r="BF114" s="17"/>
      <c r="BG114" s="18" t="e">
        <f ca="1">IF(Data!#REF!="","",IF(ISNUMBER(Data!#REF!),IF(AND(Data!#REF!&gt;(TODAY()-(Data_Val!$M$3*365.25)),Data!#REF!&lt;=(TODAY()-(Data_Val!$M$2*365.25))),0,1),1))</f>
        <v>#REF!</v>
      </c>
      <c r="BH114" s="29" t="e">
        <f>IF(Data!#REF!="","",IF(Data!$G114="",1,IF(ISNUMBER(MATCH(Data!#REF!,Data_Val!$D$2:$D$10,0)),0,1)))</f>
        <v>#REF!</v>
      </c>
      <c r="BI114" s="13"/>
      <c r="BJ114" s="21" t="e">
        <f ca="1">IF(Data!#REF!="","",IF(ISNUMBER(Data!#REF!),IF(AND(Data!#REF!&gt;(TODAY()-(Data_Val!$M$3*365.25)),Data!#REF!&lt;=(TODAY()-(Data_Val!$M$2*365.25))),0,1),1))</f>
        <v>#REF!</v>
      </c>
      <c r="BK114" s="13" t="e">
        <f>IF(Data!#REF!="","",IF(Data!$G114="",1,IF(ISNUMBER(MATCH(Data!#REF!,Data_Val!$D$2:$D$10,0)),0,1)))</f>
        <v>#REF!</v>
      </c>
    </row>
    <row r="115" spans="1:63" x14ac:dyDescent="0.25">
      <c r="A115" s="9" t="str">
        <f>IF(Data!B115="","",IF(COUNTIFS(Data!A$1:'Data'!A115,Data!A115)&lt;=1,0,1))</f>
        <v/>
      </c>
      <c r="B115" s="9"/>
      <c r="C115" s="23" t="str">
        <f>IF(Data!C115="","",(IF(ISNUMBER(MATCH("*@*.?*",Data!C115,0)),0,1)+IF(COUNTIFS(Data!C$1:'Data'!C115,Data!C115)&gt;1,1,0)))</f>
        <v/>
      </c>
      <c r="D115" s="9" t="str">
        <f>IF(Data!B115="","",IF(ISNUMBER(Data!D115),IF(AND(Data!D115&gt;999999999,Data!D115&lt;=9999999999),IF(COUNTIFS(Data!D$1:'Data'!D115,Data!D115)&lt;=1,0,1),1),1))</f>
        <v/>
      </c>
      <c r="E115" s="9" t="str">
        <f>IF(Data!B115="","",IF(ISNUMBER(MATCH(Data!E115,Data_Val!$A$2:$A$3,0)),0,1))</f>
        <v/>
      </c>
      <c r="F115" s="9" t="str">
        <f ca="1">IF(Data!B115="","",IF(ISNUMBER(Data!F115),IF(AND(Data!F115&gt;(TODAY()-(Data_Val!$H$3*365.25)),Data!F115&lt;=(TODAY()-(Data_Val!$H$2*365.25))),0,1),1))</f>
        <v/>
      </c>
      <c r="G115" s="15" t="str">
        <f>IF(Data!B115="","",IF(AND(Data!G115="",Data!H115&lt;&gt;""),1,IF(Data!#REF!&lt;&gt;"",0,IF(ISNUMBER(MATCH(Data!G115,Data_Val!$C$2:$C$5,0)),0,1))))</f>
        <v/>
      </c>
      <c r="H115" s="15" t="str">
        <f>IF(Data!B115="","",IF(AND(Data!G115&lt;&gt;"",Data!H115=""),1,IF(Data!#REF!&lt;&gt;"",0,IF(Data!G115="",1,IF(ISNUMBER(MATCH(Data!H115,Data_Val!$D$2:$D$35,0)),0,1)))))</f>
        <v/>
      </c>
      <c r="I115" s="15" t="str">
        <f>IF(Data!B115="","",IF(Data!G115&lt;&gt;"",0,IF(ISNUMBER(MATCH(Data!#REF!,Data_Val!$E$2:$E$12,0)),0,1)))</f>
        <v/>
      </c>
      <c r="J115" s="16" t="e">
        <f>IF(OR(Data!B115="",Data!#REF!=""),"",IF(Data!#REF!="",1,0))</f>
        <v>#REF!</v>
      </c>
      <c r="K115" s="16" t="e">
        <f>IF(OR(Data!B115="",Data!#REF!=""),"",IF(Data!#REF!="",1,0))</f>
        <v>#REF!</v>
      </c>
      <c r="L115" s="16" t="e">
        <f>IF(OR(Data!B115="",Data!#REF!=""),"",IF(ISNUMBER(Data!#REF!),IF(AND(Data!#REF!&gt;Data_Val!$G$2,Data!#REF!&lt;=Data_Val!$G$3),0,1),1))</f>
        <v>#REF!</v>
      </c>
      <c r="M115" s="9" t="e">
        <f>IF(OR(Data!B115="",Data!#REF!=""),"",IF(ISNUMBER(MATCH(Data!#REF!,Data_Val!$F$1:$F$38,0)),0,1))</f>
        <v>#REF!</v>
      </c>
      <c r="N115" s="9" t="e">
        <f>IF(OR(Data!B115="",Data!#REF!=""),"",IF(Data!#REF!="",1,0))</f>
        <v>#REF!</v>
      </c>
      <c r="O115" s="17" t="e">
        <f>IF(Data!#REF!="","",IF(Data!#REF!="",1,0))</f>
        <v>#REF!</v>
      </c>
      <c r="P115" s="17" t="e">
        <f>IF(Data!#REF!="","",IF(ISNUMBER(MATCH(Data!#REF!,Data_Val!$A$2:$A$3,0)),0,1))</f>
        <v>#REF!</v>
      </c>
      <c r="Q115" s="25" t="e">
        <f ca="1">IF(Data!#REF!="","",IF(ISNUMBER(Data!#REF!),IF(AND(Data!#REF!&gt;(TODAY()-(Data_Val!$J$3*365.25)),Data!#REF!&lt;=(TODAY()-(Data_Val!$J$2*365.25))),0,1),1))</f>
        <v>#REF!</v>
      </c>
      <c r="R115" s="17" t="e">
        <f>IF(Data!#REF!="","",IF(ISNUMBER(MATCH(Data!#REF!,Data_Val!$B$2:$B$15,0)),0,1))</f>
        <v>#REF!</v>
      </c>
      <c r="S115" s="11" t="str">
        <f>IF(Data!G115="","",IF(Data!G115=Data_Val!$C$2,IF(Data!M115="",0,1),0))</f>
        <v/>
      </c>
      <c r="T115" s="11" t="str">
        <f>IF(Data!M115="","",IF(ISNUMBER(MATCH(Data!N115,Data_Val!$A$2:$A$3,0)),0,1))</f>
        <v/>
      </c>
      <c r="U115" s="11" t="str">
        <f ca="1">IF(Data!M115="","",IF(ISNUMBER(Data!O115),IF(AND(Data!O115&gt;(TODAY()-(Data_Val!$K$3*365.25)),Data!O115&lt;=(TODAY()-(Data_Val!$K$2*365.25))),0,1),1))</f>
        <v/>
      </c>
      <c r="V115" s="12" t="str">
        <f>IF(Data!G115="","",IF(Data!G115=Data_Val!$C$2,IF(Data!P115="",0,1),0))</f>
        <v/>
      </c>
      <c r="W115" s="12" t="str">
        <f>IF(Data!P115="","",IF(ISNUMBER(MATCH(Data!Q115,Data_Val!$A$2:$A$3,0)),0,1))</f>
        <v/>
      </c>
      <c r="X115" s="26" t="str">
        <f ca="1">IF(Data!P115="","",IF(ISNUMBER(Data!R115),IF(AND(Data!R115&gt;(TODAY()-(Data_Val!$L$3*365.25)),Data!R115&lt;=(TODAY()-(Data_Val!$L$2*365.25))),0,1),1))</f>
        <v/>
      </c>
      <c r="Y115" s="13" t="str">
        <f>IF(Data!$G115="","",IF(Data!$G115=Data_Val!$C$2,IF(Data!S115="",0,1),0))</f>
        <v/>
      </c>
      <c r="Z115" s="13" t="str">
        <f>IF(Data!S115="","",IF(ISNUMBER(MATCH(Data!T115,Data_Val!$A$2:$A$3,0)),0,1))</f>
        <v/>
      </c>
      <c r="AA115" s="28" t="str">
        <f ca="1">IF(Data!S115="","",IF(ISNUMBER(Data!U115),IF(AND(Data!U115&gt;(TODAY()-(Data_Val!$L$3*365.25)),Data!U115&lt;=(TODAY()-(Data_Val!$L$2*365.25))),0,1),1))</f>
        <v/>
      </c>
      <c r="AB115" s="11"/>
      <c r="AC115" s="11" t="e">
        <f>IF(Data!#REF!="","",IF(ISNUMBER(MATCH(Data!#REF!,Data_Val!$A$2:$A$3,0)),0,1))</f>
        <v>#REF!</v>
      </c>
      <c r="AD115" s="11" t="e">
        <f ca="1">IF(Data!#REF!="","",IF(ISNUMBER(Data!#REF!),IF(AND(Data!#REF!&gt;(TODAY()-(Data_Val!$L$3*365.25)),Data!#REF!&lt;=(TODAY()-(Data_Val!$L$2*365.25))),0,1),1))</f>
        <v>#REF!</v>
      </c>
      <c r="AE115" s="11" t="e">
        <f>IF(Data!#REF!="","",IF(Data!$G115="",1,IF(ISNUMBER(MATCH(Data!#REF!,Data_Val!$D$2:$D$10,0)),0,1)))</f>
        <v>#REF!</v>
      </c>
      <c r="AF115" s="12"/>
      <c r="AG115" s="12" t="e">
        <f>IF(Data!#REF!="","",IF(ISNUMBER(MATCH(Data!#REF!,Data_Val!$A$2:$A$3,0)),0,1))</f>
        <v>#REF!</v>
      </c>
      <c r="AH115" s="26" t="e">
        <f ca="1">IF(Data!#REF!="","",IF(ISNUMBER(Data!#REF!),IF(AND(Data!#REF!&gt;(TODAY()-(Data_Val!$L$3*365.25)),Data!#REF!&lt;=(TODAY()-(Data_Val!$L$2*365.25))),0,1),1))</f>
        <v>#REF!</v>
      </c>
      <c r="AI115" s="12" t="e">
        <f>IF(Data!#REF!="","",IF(Data!$G115="",1,IF(ISNUMBER(MATCH(Data!#REF!,Data_Val!$D$2:$D$10,0)),0,1)))</f>
        <v>#REF!</v>
      </c>
      <c r="AJ115" s="17"/>
      <c r="AK115" s="17" t="e">
        <f>IF(Data!#REF!="","",IF(ISNUMBER(MATCH(Data!#REF!,Data_Val!$A$2:$A$3,0)),0,1))</f>
        <v>#REF!</v>
      </c>
      <c r="AL115" s="25" t="e">
        <f ca="1">IF(Data!#REF!="","",IF(ISNUMBER(Data!#REF!),IF(AND(Data!#REF!&gt;(TODAY()-(Data_Val!$L$3*365.25)),Data!#REF!&lt;=(TODAY()-(Data_Val!$L$2*365.25))),0,1),1))</f>
        <v>#REF!</v>
      </c>
      <c r="AM115" s="17" t="e">
        <f>IF(Data!#REF!="","",IF(Data!$G115="",1,IF(ISNUMBER(MATCH(Data!#REF!,Data_Val!$D$2:$D$10,0)),0,1)))</f>
        <v>#REF!</v>
      </c>
      <c r="AN115" s="13"/>
      <c r="AO115" s="28" t="e">
        <f ca="1">IF(Data!#REF!="","",IF(ISNUMBER(Data!#REF!),IF(AND(Data!#REF!&gt;(TODAY()-(Data_Val!$I$3*365.25)),Data!#REF!&lt;=(TODAY()-(Data_Val!$I$2*365.25))),0,1),1))</f>
        <v>#REF!</v>
      </c>
      <c r="AP115" s="13" t="e">
        <f>IF(Data!#REF!="","",IF(Data!$G115="",1,IF(ISNUMBER(MATCH(Data!#REF!,Data_Val!$D$2:$D$10,0)),0,1)))</f>
        <v>#REF!</v>
      </c>
      <c r="AQ115" s="17"/>
      <c r="AR115" s="30" t="e">
        <f ca="1">IF(Data!#REF!="","",IF(ISNUMBER(Data!#REF!),IF(AND(Data!#REF!&gt;(TODAY()-(Data_Val!$I$3*365.25)),Data!#REF!&lt;=(TODAY()-(Data_Val!$I$2*365.25))),0,1),1))</f>
        <v>#REF!</v>
      </c>
      <c r="AS115" s="31" t="e">
        <f>IF(Data!#REF!="","",IF(Data!$G115="",1,IF(ISNUMBER(MATCH(Data!#REF!,Data_Val!$D$2:$D$10,0)),0,1)))</f>
        <v>#REF!</v>
      </c>
      <c r="AT115" s="11"/>
      <c r="AU115" s="11" t="e">
        <f ca="1">IF(Data!#REF!="","",IF(ISNUMBER(Data!#REF!),IF(AND(Data!#REF!&gt;(TODAY()-(Data_Val!$I$3*365.25)),Data!#REF!&lt;=(TODAY()-(Data_Val!$I$2*365.25))),0,1),1))</f>
        <v>#REF!</v>
      </c>
      <c r="AV115" s="11" t="e">
        <f>IF(Data!#REF!="","",IF(Data!$G115="",1,IF(ISNUMBER(MATCH(Data!#REF!,Data_Val!$D$2:$D$10,0)),0,1)))</f>
        <v>#REF!</v>
      </c>
      <c r="AW115" s="12"/>
      <c r="AX115" s="26" t="e">
        <f ca="1">IF(Data!#REF!="","",IF(ISNUMBER(Data!#REF!),IF(AND(Data!#REF!&gt;(TODAY()-(Data_Val!$I$3*365.25)),Data!#REF!&lt;=(TODAY()-(Data_Val!$I$2*365.25))),0,1),1))</f>
        <v>#REF!</v>
      </c>
      <c r="AY115" s="12" t="e">
        <f>IF(Data!#REF!="","",IF(Data!$G115="",1,IF(ISNUMBER(MATCH(Data!#REF!,Data_Val!$D$2:$D$10,0)),0,1)))</f>
        <v>#REF!</v>
      </c>
      <c r="AZ115" s="11"/>
      <c r="BA115" s="19" t="e">
        <f ca="1">IF(Data!#REF!="","",IF(ISNUMBER(Data!#REF!),IF(AND(Data!#REF!&gt;(TODAY()-(Data_Val!$M$3*365.25)),Data!#REF!&lt;=(TODAY()-(Data_Val!$M$2*365.25))),0,1),1))</f>
        <v>#REF!</v>
      </c>
      <c r="BB115" s="11" t="e">
        <f>IF(Data!#REF!="","",IF(Data!$G115="",1,IF(ISNUMBER(MATCH(Data!#REF!,Data_Val!$D$2:$D$10,0)),0,1)))</f>
        <v>#REF!</v>
      </c>
      <c r="BC115" s="12"/>
      <c r="BD115" s="20" t="e">
        <f ca="1">IF(Data!#REF!="","",IF(ISNUMBER(Data!#REF!),IF(AND(Data!#REF!&gt;(TODAY()-(Data_Val!$M$3*365.25)),Data!#REF!&lt;=(TODAY()-(Data_Val!$M$2*365.25))),0,1),1))</f>
        <v>#REF!</v>
      </c>
      <c r="BE115" s="12" t="e">
        <f>IF(Data!#REF!="","",IF(Data!$G115="",1,IF(ISNUMBER(MATCH(Data!#REF!,Data_Val!$D$2:$D$10,0)),0,1)))</f>
        <v>#REF!</v>
      </c>
      <c r="BF115" s="17"/>
      <c r="BG115" s="18" t="e">
        <f ca="1">IF(Data!#REF!="","",IF(ISNUMBER(Data!#REF!),IF(AND(Data!#REF!&gt;(TODAY()-(Data_Val!$M$3*365.25)),Data!#REF!&lt;=(TODAY()-(Data_Val!$M$2*365.25))),0,1),1))</f>
        <v>#REF!</v>
      </c>
      <c r="BH115" s="29" t="e">
        <f>IF(Data!#REF!="","",IF(Data!$G115="",1,IF(ISNUMBER(MATCH(Data!#REF!,Data_Val!$D$2:$D$10,0)),0,1)))</f>
        <v>#REF!</v>
      </c>
      <c r="BI115" s="13"/>
      <c r="BJ115" s="21" t="e">
        <f ca="1">IF(Data!#REF!="","",IF(ISNUMBER(Data!#REF!),IF(AND(Data!#REF!&gt;(TODAY()-(Data_Val!$M$3*365.25)),Data!#REF!&lt;=(TODAY()-(Data_Val!$M$2*365.25))),0,1),1))</f>
        <v>#REF!</v>
      </c>
      <c r="BK115" s="13" t="e">
        <f>IF(Data!#REF!="","",IF(Data!$G115="",1,IF(ISNUMBER(MATCH(Data!#REF!,Data_Val!$D$2:$D$10,0)),0,1)))</f>
        <v>#REF!</v>
      </c>
    </row>
    <row r="116" spans="1:63" x14ac:dyDescent="0.25">
      <c r="A116" s="9" t="str">
        <f>IF(Data!B116="","",IF(COUNTIFS(Data!A$1:'Data'!A116,Data!A116)&lt;=1,0,1))</f>
        <v/>
      </c>
      <c r="B116" s="9"/>
      <c r="C116" s="23" t="str">
        <f>IF(Data!C116="","",(IF(ISNUMBER(MATCH("*@*.?*",Data!C116,0)),0,1)+IF(COUNTIFS(Data!C$1:'Data'!C116,Data!C116)&gt;1,1,0)))</f>
        <v/>
      </c>
      <c r="D116" s="9" t="str">
        <f>IF(Data!B116="","",IF(ISNUMBER(Data!D116),IF(AND(Data!D116&gt;999999999,Data!D116&lt;=9999999999),IF(COUNTIFS(Data!D$1:'Data'!D116,Data!D116)&lt;=1,0,1),1),1))</f>
        <v/>
      </c>
      <c r="E116" s="9" t="str">
        <f>IF(Data!B116="","",IF(ISNUMBER(MATCH(Data!E116,Data_Val!$A$2:$A$3,0)),0,1))</f>
        <v/>
      </c>
      <c r="F116" s="9" t="str">
        <f ca="1">IF(Data!B116="","",IF(ISNUMBER(Data!F116),IF(AND(Data!F116&gt;(TODAY()-(Data_Val!$H$3*365.25)),Data!F116&lt;=(TODAY()-(Data_Val!$H$2*365.25))),0,1),1))</f>
        <v/>
      </c>
      <c r="G116" s="15" t="str">
        <f>IF(Data!B116="","",IF(AND(Data!G116="",Data!H116&lt;&gt;""),1,IF(Data!#REF!&lt;&gt;"",0,IF(ISNUMBER(MATCH(Data!G116,Data_Val!$C$2:$C$5,0)),0,1))))</f>
        <v/>
      </c>
      <c r="H116" s="15" t="str">
        <f>IF(Data!B116="","",IF(AND(Data!G116&lt;&gt;"",Data!H116=""),1,IF(Data!#REF!&lt;&gt;"",0,IF(Data!G116="",1,IF(ISNUMBER(MATCH(Data!H116,Data_Val!$D$2:$D$35,0)),0,1)))))</f>
        <v/>
      </c>
      <c r="I116" s="15" t="str">
        <f>IF(Data!B116="","",IF(Data!G116&lt;&gt;"",0,IF(ISNUMBER(MATCH(Data!#REF!,Data_Val!$E$2:$E$12,0)),0,1)))</f>
        <v/>
      </c>
      <c r="J116" s="16" t="e">
        <f>IF(OR(Data!B116="",Data!#REF!=""),"",IF(Data!#REF!="",1,0))</f>
        <v>#REF!</v>
      </c>
      <c r="K116" s="16" t="e">
        <f>IF(OR(Data!B116="",Data!#REF!=""),"",IF(Data!#REF!="",1,0))</f>
        <v>#REF!</v>
      </c>
      <c r="L116" s="16" t="e">
        <f>IF(OR(Data!B116="",Data!#REF!=""),"",IF(ISNUMBER(Data!#REF!),IF(AND(Data!#REF!&gt;Data_Val!$G$2,Data!#REF!&lt;=Data_Val!$G$3),0,1),1))</f>
        <v>#REF!</v>
      </c>
      <c r="M116" s="9" t="e">
        <f>IF(OR(Data!B116="",Data!#REF!=""),"",IF(ISNUMBER(MATCH(Data!#REF!,Data_Val!$F$1:$F$38,0)),0,1))</f>
        <v>#REF!</v>
      </c>
      <c r="N116" s="9" t="e">
        <f>IF(OR(Data!B116="",Data!#REF!=""),"",IF(Data!#REF!="",1,0))</f>
        <v>#REF!</v>
      </c>
      <c r="O116" s="17" t="e">
        <f>IF(Data!#REF!="","",IF(Data!#REF!="",1,0))</f>
        <v>#REF!</v>
      </c>
      <c r="P116" s="17" t="e">
        <f>IF(Data!#REF!="","",IF(ISNUMBER(MATCH(Data!#REF!,Data_Val!$A$2:$A$3,0)),0,1))</f>
        <v>#REF!</v>
      </c>
      <c r="Q116" s="25" t="e">
        <f ca="1">IF(Data!#REF!="","",IF(ISNUMBER(Data!#REF!),IF(AND(Data!#REF!&gt;(TODAY()-(Data_Val!$J$3*365.25)),Data!#REF!&lt;=(TODAY()-(Data_Val!$J$2*365.25))),0,1),1))</f>
        <v>#REF!</v>
      </c>
      <c r="R116" s="17" t="e">
        <f>IF(Data!#REF!="","",IF(ISNUMBER(MATCH(Data!#REF!,Data_Val!$B$2:$B$15,0)),0,1))</f>
        <v>#REF!</v>
      </c>
      <c r="S116" s="11" t="str">
        <f>IF(Data!G116="","",IF(Data!G116=Data_Val!$C$2,IF(Data!M116="",0,1),0))</f>
        <v/>
      </c>
      <c r="T116" s="11" t="str">
        <f>IF(Data!M116="","",IF(ISNUMBER(MATCH(Data!N116,Data_Val!$A$2:$A$3,0)),0,1))</f>
        <v/>
      </c>
      <c r="U116" s="11" t="str">
        <f ca="1">IF(Data!M116="","",IF(ISNUMBER(Data!O116),IF(AND(Data!O116&gt;(TODAY()-(Data_Val!$K$3*365.25)),Data!O116&lt;=(TODAY()-(Data_Val!$K$2*365.25))),0,1),1))</f>
        <v/>
      </c>
      <c r="V116" s="12" t="str">
        <f>IF(Data!G116="","",IF(Data!G116=Data_Val!$C$2,IF(Data!P116="",0,1),0))</f>
        <v/>
      </c>
      <c r="W116" s="12" t="str">
        <f>IF(Data!P116="","",IF(ISNUMBER(MATCH(Data!Q116,Data_Val!$A$2:$A$3,0)),0,1))</f>
        <v/>
      </c>
      <c r="X116" s="26" t="str">
        <f ca="1">IF(Data!P116="","",IF(ISNUMBER(Data!R116),IF(AND(Data!R116&gt;(TODAY()-(Data_Val!$L$3*365.25)),Data!R116&lt;=(TODAY()-(Data_Val!$L$2*365.25))),0,1),1))</f>
        <v/>
      </c>
      <c r="Y116" s="13" t="str">
        <f>IF(Data!$G116="","",IF(Data!$G116=Data_Val!$C$2,IF(Data!S116="",0,1),0))</f>
        <v/>
      </c>
      <c r="Z116" s="13" t="str">
        <f>IF(Data!S116="","",IF(ISNUMBER(MATCH(Data!T116,Data_Val!$A$2:$A$3,0)),0,1))</f>
        <v/>
      </c>
      <c r="AA116" s="28" t="str">
        <f ca="1">IF(Data!S116="","",IF(ISNUMBER(Data!U116),IF(AND(Data!U116&gt;(TODAY()-(Data_Val!$L$3*365.25)),Data!U116&lt;=(TODAY()-(Data_Val!$L$2*365.25))),0,1),1))</f>
        <v/>
      </c>
      <c r="AB116" s="11"/>
      <c r="AC116" s="11" t="e">
        <f>IF(Data!#REF!="","",IF(ISNUMBER(MATCH(Data!#REF!,Data_Val!$A$2:$A$3,0)),0,1))</f>
        <v>#REF!</v>
      </c>
      <c r="AD116" s="11" t="e">
        <f ca="1">IF(Data!#REF!="","",IF(ISNUMBER(Data!#REF!),IF(AND(Data!#REF!&gt;(TODAY()-(Data_Val!$L$3*365.25)),Data!#REF!&lt;=(TODAY()-(Data_Val!$L$2*365.25))),0,1),1))</f>
        <v>#REF!</v>
      </c>
      <c r="AE116" s="11" t="e">
        <f>IF(Data!#REF!="","",IF(Data!$G116="",1,IF(ISNUMBER(MATCH(Data!#REF!,Data_Val!$D$2:$D$10,0)),0,1)))</f>
        <v>#REF!</v>
      </c>
      <c r="AF116" s="12"/>
      <c r="AG116" s="12" t="e">
        <f>IF(Data!#REF!="","",IF(ISNUMBER(MATCH(Data!#REF!,Data_Val!$A$2:$A$3,0)),0,1))</f>
        <v>#REF!</v>
      </c>
      <c r="AH116" s="26" t="e">
        <f ca="1">IF(Data!#REF!="","",IF(ISNUMBER(Data!#REF!),IF(AND(Data!#REF!&gt;(TODAY()-(Data_Val!$L$3*365.25)),Data!#REF!&lt;=(TODAY()-(Data_Val!$L$2*365.25))),0,1),1))</f>
        <v>#REF!</v>
      </c>
      <c r="AI116" s="12" t="e">
        <f>IF(Data!#REF!="","",IF(Data!$G116="",1,IF(ISNUMBER(MATCH(Data!#REF!,Data_Val!$D$2:$D$10,0)),0,1)))</f>
        <v>#REF!</v>
      </c>
      <c r="AJ116" s="17"/>
      <c r="AK116" s="17" t="e">
        <f>IF(Data!#REF!="","",IF(ISNUMBER(MATCH(Data!#REF!,Data_Val!$A$2:$A$3,0)),0,1))</f>
        <v>#REF!</v>
      </c>
      <c r="AL116" s="25" t="e">
        <f ca="1">IF(Data!#REF!="","",IF(ISNUMBER(Data!#REF!),IF(AND(Data!#REF!&gt;(TODAY()-(Data_Val!$L$3*365.25)),Data!#REF!&lt;=(TODAY()-(Data_Val!$L$2*365.25))),0,1),1))</f>
        <v>#REF!</v>
      </c>
      <c r="AM116" s="17" t="e">
        <f>IF(Data!#REF!="","",IF(Data!$G116="",1,IF(ISNUMBER(MATCH(Data!#REF!,Data_Val!$D$2:$D$10,0)),0,1)))</f>
        <v>#REF!</v>
      </c>
      <c r="AN116" s="13"/>
      <c r="AO116" s="28" t="e">
        <f ca="1">IF(Data!#REF!="","",IF(ISNUMBER(Data!#REF!),IF(AND(Data!#REF!&gt;(TODAY()-(Data_Val!$I$3*365.25)),Data!#REF!&lt;=(TODAY()-(Data_Val!$I$2*365.25))),0,1),1))</f>
        <v>#REF!</v>
      </c>
      <c r="AP116" s="13" t="e">
        <f>IF(Data!#REF!="","",IF(Data!$G116="",1,IF(ISNUMBER(MATCH(Data!#REF!,Data_Val!$D$2:$D$10,0)),0,1)))</f>
        <v>#REF!</v>
      </c>
      <c r="AQ116" s="17"/>
      <c r="AR116" s="30" t="e">
        <f ca="1">IF(Data!#REF!="","",IF(ISNUMBER(Data!#REF!),IF(AND(Data!#REF!&gt;(TODAY()-(Data_Val!$I$3*365.25)),Data!#REF!&lt;=(TODAY()-(Data_Val!$I$2*365.25))),0,1),1))</f>
        <v>#REF!</v>
      </c>
      <c r="AS116" s="31" t="e">
        <f>IF(Data!#REF!="","",IF(Data!$G116="",1,IF(ISNUMBER(MATCH(Data!#REF!,Data_Val!$D$2:$D$10,0)),0,1)))</f>
        <v>#REF!</v>
      </c>
      <c r="AT116" s="11"/>
      <c r="AU116" s="11" t="e">
        <f ca="1">IF(Data!#REF!="","",IF(ISNUMBER(Data!#REF!),IF(AND(Data!#REF!&gt;(TODAY()-(Data_Val!$I$3*365.25)),Data!#REF!&lt;=(TODAY()-(Data_Val!$I$2*365.25))),0,1),1))</f>
        <v>#REF!</v>
      </c>
      <c r="AV116" s="11" t="e">
        <f>IF(Data!#REF!="","",IF(Data!$G116="",1,IF(ISNUMBER(MATCH(Data!#REF!,Data_Val!$D$2:$D$10,0)),0,1)))</f>
        <v>#REF!</v>
      </c>
      <c r="AW116" s="12"/>
      <c r="AX116" s="26" t="e">
        <f ca="1">IF(Data!#REF!="","",IF(ISNUMBER(Data!#REF!),IF(AND(Data!#REF!&gt;(TODAY()-(Data_Val!$I$3*365.25)),Data!#REF!&lt;=(TODAY()-(Data_Val!$I$2*365.25))),0,1),1))</f>
        <v>#REF!</v>
      </c>
      <c r="AY116" s="12" t="e">
        <f>IF(Data!#REF!="","",IF(Data!$G116="",1,IF(ISNUMBER(MATCH(Data!#REF!,Data_Val!$D$2:$D$10,0)),0,1)))</f>
        <v>#REF!</v>
      </c>
      <c r="AZ116" s="11"/>
      <c r="BA116" s="19" t="e">
        <f ca="1">IF(Data!#REF!="","",IF(ISNUMBER(Data!#REF!),IF(AND(Data!#REF!&gt;(TODAY()-(Data_Val!$M$3*365.25)),Data!#REF!&lt;=(TODAY()-(Data_Val!$M$2*365.25))),0,1),1))</f>
        <v>#REF!</v>
      </c>
      <c r="BB116" s="11" t="e">
        <f>IF(Data!#REF!="","",IF(Data!$G116="",1,IF(ISNUMBER(MATCH(Data!#REF!,Data_Val!$D$2:$D$10,0)),0,1)))</f>
        <v>#REF!</v>
      </c>
      <c r="BC116" s="12"/>
      <c r="BD116" s="20" t="e">
        <f ca="1">IF(Data!#REF!="","",IF(ISNUMBER(Data!#REF!),IF(AND(Data!#REF!&gt;(TODAY()-(Data_Val!$M$3*365.25)),Data!#REF!&lt;=(TODAY()-(Data_Val!$M$2*365.25))),0,1),1))</f>
        <v>#REF!</v>
      </c>
      <c r="BE116" s="12" t="e">
        <f>IF(Data!#REF!="","",IF(Data!$G116="",1,IF(ISNUMBER(MATCH(Data!#REF!,Data_Val!$D$2:$D$10,0)),0,1)))</f>
        <v>#REF!</v>
      </c>
      <c r="BF116" s="17"/>
      <c r="BG116" s="18" t="e">
        <f ca="1">IF(Data!#REF!="","",IF(ISNUMBER(Data!#REF!),IF(AND(Data!#REF!&gt;(TODAY()-(Data_Val!$M$3*365.25)),Data!#REF!&lt;=(TODAY()-(Data_Val!$M$2*365.25))),0,1),1))</f>
        <v>#REF!</v>
      </c>
      <c r="BH116" s="29" t="e">
        <f>IF(Data!#REF!="","",IF(Data!$G116="",1,IF(ISNUMBER(MATCH(Data!#REF!,Data_Val!$D$2:$D$10,0)),0,1)))</f>
        <v>#REF!</v>
      </c>
      <c r="BI116" s="13"/>
      <c r="BJ116" s="21" t="e">
        <f ca="1">IF(Data!#REF!="","",IF(ISNUMBER(Data!#REF!),IF(AND(Data!#REF!&gt;(TODAY()-(Data_Val!$M$3*365.25)),Data!#REF!&lt;=(TODAY()-(Data_Val!$M$2*365.25))),0,1),1))</f>
        <v>#REF!</v>
      </c>
      <c r="BK116" s="13" t="e">
        <f>IF(Data!#REF!="","",IF(Data!$G116="",1,IF(ISNUMBER(MATCH(Data!#REF!,Data_Val!$D$2:$D$10,0)),0,1)))</f>
        <v>#REF!</v>
      </c>
    </row>
    <row r="117" spans="1:63" x14ac:dyDescent="0.25">
      <c r="A117" s="9" t="str">
        <f>IF(Data!B117="","",IF(COUNTIFS(Data!A$1:'Data'!A117,Data!A117)&lt;=1,0,1))</f>
        <v/>
      </c>
      <c r="B117" s="9"/>
      <c r="C117" s="23" t="str">
        <f>IF(Data!C117="","",(IF(ISNUMBER(MATCH("*@*.?*",Data!C117,0)),0,1)+IF(COUNTIFS(Data!C$1:'Data'!C117,Data!C117)&gt;1,1,0)))</f>
        <v/>
      </c>
      <c r="D117" s="9" t="str">
        <f>IF(Data!B117="","",IF(ISNUMBER(Data!D117),IF(AND(Data!D117&gt;999999999,Data!D117&lt;=9999999999),IF(COUNTIFS(Data!D$1:'Data'!D117,Data!D117)&lt;=1,0,1),1),1))</f>
        <v/>
      </c>
      <c r="E117" s="9" t="str">
        <f>IF(Data!B117="","",IF(ISNUMBER(MATCH(Data!E117,Data_Val!$A$2:$A$3,0)),0,1))</f>
        <v/>
      </c>
      <c r="F117" s="9" t="str">
        <f ca="1">IF(Data!B117="","",IF(ISNUMBER(Data!F117),IF(AND(Data!F117&gt;(TODAY()-(Data_Val!$H$3*365.25)),Data!F117&lt;=(TODAY()-(Data_Val!$H$2*365.25))),0,1),1))</f>
        <v/>
      </c>
      <c r="G117" s="15" t="str">
        <f>IF(Data!B117="","",IF(AND(Data!G117="",Data!H117&lt;&gt;""),1,IF(Data!#REF!&lt;&gt;"",0,IF(ISNUMBER(MATCH(Data!G117,Data_Val!$C$2:$C$5,0)),0,1))))</f>
        <v/>
      </c>
      <c r="H117" s="15" t="str">
        <f>IF(Data!B117="","",IF(AND(Data!G117&lt;&gt;"",Data!H117=""),1,IF(Data!#REF!&lt;&gt;"",0,IF(Data!G117="",1,IF(ISNUMBER(MATCH(Data!H117,Data_Val!$D$2:$D$35,0)),0,1)))))</f>
        <v/>
      </c>
      <c r="I117" s="15" t="str">
        <f>IF(Data!B117="","",IF(Data!G117&lt;&gt;"",0,IF(ISNUMBER(MATCH(Data!#REF!,Data_Val!$E$2:$E$12,0)),0,1)))</f>
        <v/>
      </c>
      <c r="J117" s="16" t="e">
        <f>IF(OR(Data!B117="",Data!#REF!=""),"",IF(Data!#REF!="",1,0))</f>
        <v>#REF!</v>
      </c>
      <c r="K117" s="16" t="e">
        <f>IF(OR(Data!B117="",Data!#REF!=""),"",IF(Data!#REF!="",1,0))</f>
        <v>#REF!</v>
      </c>
      <c r="L117" s="16" t="e">
        <f>IF(OR(Data!B117="",Data!#REF!=""),"",IF(ISNUMBER(Data!#REF!),IF(AND(Data!#REF!&gt;Data_Val!$G$2,Data!#REF!&lt;=Data_Val!$G$3),0,1),1))</f>
        <v>#REF!</v>
      </c>
      <c r="M117" s="9" t="e">
        <f>IF(OR(Data!B117="",Data!#REF!=""),"",IF(ISNUMBER(MATCH(Data!#REF!,Data_Val!$F$1:$F$38,0)),0,1))</f>
        <v>#REF!</v>
      </c>
      <c r="N117" s="9" t="e">
        <f>IF(OR(Data!B117="",Data!#REF!=""),"",IF(Data!#REF!="",1,0))</f>
        <v>#REF!</v>
      </c>
      <c r="O117" s="17" t="e">
        <f>IF(Data!#REF!="","",IF(Data!#REF!="",1,0))</f>
        <v>#REF!</v>
      </c>
      <c r="P117" s="17" t="e">
        <f>IF(Data!#REF!="","",IF(ISNUMBER(MATCH(Data!#REF!,Data_Val!$A$2:$A$3,0)),0,1))</f>
        <v>#REF!</v>
      </c>
      <c r="Q117" s="25" t="e">
        <f ca="1">IF(Data!#REF!="","",IF(ISNUMBER(Data!#REF!),IF(AND(Data!#REF!&gt;(TODAY()-(Data_Val!$J$3*365.25)),Data!#REF!&lt;=(TODAY()-(Data_Val!$J$2*365.25))),0,1),1))</f>
        <v>#REF!</v>
      </c>
      <c r="R117" s="17" t="e">
        <f>IF(Data!#REF!="","",IF(ISNUMBER(MATCH(Data!#REF!,Data_Val!$B$2:$B$15,0)),0,1))</f>
        <v>#REF!</v>
      </c>
      <c r="S117" s="11" t="str">
        <f>IF(Data!G117="","",IF(Data!G117=Data_Val!$C$2,IF(Data!M117="",0,1),0))</f>
        <v/>
      </c>
      <c r="T117" s="11" t="str">
        <f>IF(Data!M117="","",IF(ISNUMBER(MATCH(Data!N117,Data_Val!$A$2:$A$3,0)),0,1))</f>
        <v/>
      </c>
      <c r="U117" s="11" t="str">
        <f ca="1">IF(Data!M117="","",IF(ISNUMBER(Data!O117),IF(AND(Data!O117&gt;(TODAY()-(Data_Val!$K$3*365.25)),Data!O117&lt;=(TODAY()-(Data_Val!$K$2*365.25))),0,1),1))</f>
        <v/>
      </c>
      <c r="V117" s="12" t="str">
        <f>IF(Data!G117="","",IF(Data!G117=Data_Val!$C$2,IF(Data!P117="",0,1),0))</f>
        <v/>
      </c>
      <c r="W117" s="12" t="str">
        <f>IF(Data!P117="","",IF(ISNUMBER(MATCH(Data!Q117,Data_Val!$A$2:$A$3,0)),0,1))</f>
        <v/>
      </c>
      <c r="X117" s="26" t="str">
        <f ca="1">IF(Data!P117="","",IF(ISNUMBER(Data!R117),IF(AND(Data!R117&gt;(TODAY()-(Data_Val!$L$3*365.25)),Data!R117&lt;=(TODAY()-(Data_Val!$L$2*365.25))),0,1),1))</f>
        <v/>
      </c>
      <c r="Y117" s="13" t="str">
        <f>IF(Data!$G117="","",IF(Data!$G117=Data_Val!$C$2,IF(Data!S117="",0,1),0))</f>
        <v/>
      </c>
      <c r="Z117" s="13" t="str">
        <f>IF(Data!S117="","",IF(ISNUMBER(MATCH(Data!T117,Data_Val!$A$2:$A$3,0)),0,1))</f>
        <v/>
      </c>
      <c r="AA117" s="28" t="str">
        <f ca="1">IF(Data!S117="","",IF(ISNUMBER(Data!U117),IF(AND(Data!U117&gt;(TODAY()-(Data_Val!$L$3*365.25)),Data!U117&lt;=(TODAY()-(Data_Val!$L$2*365.25))),0,1),1))</f>
        <v/>
      </c>
      <c r="AB117" s="11"/>
      <c r="AC117" s="11" t="e">
        <f>IF(Data!#REF!="","",IF(ISNUMBER(MATCH(Data!#REF!,Data_Val!$A$2:$A$3,0)),0,1))</f>
        <v>#REF!</v>
      </c>
      <c r="AD117" s="11" t="e">
        <f ca="1">IF(Data!#REF!="","",IF(ISNUMBER(Data!#REF!),IF(AND(Data!#REF!&gt;(TODAY()-(Data_Val!$L$3*365.25)),Data!#REF!&lt;=(TODAY()-(Data_Val!$L$2*365.25))),0,1),1))</f>
        <v>#REF!</v>
      </c>
      <c r="AE117" s="11" t="e">
        <f>IF(Data!#REF!="","",IF(Data!$G117="",1,IF(ISNUMBER(MATCH(Data!#REF!,Data_Val!$D$2:$D$10,0)),0,1)))</f>
        <v>#REF!</v>
      </c>
      <c r="AF117" s="12"/>
      <c r="AG117" s="12" t="e">
        <f>IF(Data!#REF!="","",IF(ISNUMBER(MATCH(Data!#REF!,Data_Val!$A$2:$A$3,0)),0,1))</f>
        <v>#REF!</v>
      </c>
      <c r="AH117" s="26" t="e">
        <f ca="1">IF(Data!#REF!="","",IF(ISNUMBER(Data!#REF!),IF(AND(Data!#REF!&gt;(TODAY()-(Data_Val!$L$3*365.25)),Data!#REF!&lt;=(TODAY()-(Data_Val!$L$2*365.25))),0,1),1))</f>
        <v>#REF!</v>
      </c>
      <c r="AI117" s="12" t="e">
        <f>IF(Data!#REF!="","",IF(Data!$G117="",1,IF(ISNUMBER(MATCH(Data!#REF!,Data_Val!$D$2:$D$10,0)),0,1)))</f>
        <v>#REF!</v>
      </c>
      <c r="AJ117" s="17"/>
      <c r="AK117" s="17" t="e">
        <f>IF(Data!#REF!="","",IF(ISNUMBER(MATCH(Data!#REF!,Data_Val!$A$2:$A$3,0)),0,1))</f>
        <v>#REF!</v>
      </c>
      <c r="AL117" s="25" t="e">
        <f ca="1">IF(Data!#REF!="","",IF(ISNUMBER(Data!#REF!),IF(AND(Data!#REF!&gt;(TODAY()-(Data_Val!$L$3*365.25)),Data!#REF!&lt;=(TODAY()-(Data_Val!$L$2*365.25))),0,1),1))</f>
        <v>#REF!</v>
      </c>
      <c r="AM117" s="17" t="e">
        <f>IF(Data!#REF!="","",IF(Data!$G117="",1,IF(ISNUMBER(MATCH(Data!#REF!,Data_Val!$D$2:$D$10,0)),0,1)))</f>
        <v>#REF!</v>
      </c>
      <c r="AN117" s="13"/>
      <c r="AO117" s="28" t="e">
        <f ca="1">IF(Data!#REF!="","",IF(ISNUMBER(Data!#REF!),IF(AND(Data!#REF!&gt;(TODAY()-(Data_Val!$I$3*365.25)),Data!#REF!&lt;=(TODAY()-(Data_Val!$I$2*365.25))),0,1),1))</f>
        <v>#REF!</v>
      </c>
      <c r="AP117" s="13" t="e">
        <f>IF(Data!#REF!="","",IF(Data!$G117="",1,IF(ISNUMBER(MATCH(Data!#REF!,Data_Val!$D$2:$D$10,0)),0,1)))</f>
        <v>#REF!</v>
      </c>
      <c r="AQ117" s="17"/>
      <c r="AR117" s="30" t="e">
        <f ca="1">IF(Data!#REF!="","",IF(ISNUMBER(Data!#REF!),IF(AND(Data!#REF!&gt;(TODAY()-(Data_Val!$I$3*365.25)),Data!#REF!&lt;=(TODAY()-(Data_Val!$I$2*365.25))),0,1),1))</f>
        <v>#REF!</v>
      </c>
      <c r="AS117" s="31" t="e">
        <f>IF(Data!#REF!="","",IF(Data!$G117="",1,IF(ISNUMBER(MATCH(Data!#REF!,Data_Val!$D$2:$D$10,0)),0,1)))</f>
        <v>#REF!</v>
      </c>
      <c r="AT117" s="11"/>
      <c r="AU117" s="11" t="e">
        <f ca="1">IF(Data!#REF!="","",IF(ISNUMBER(Data!#REF!),IF(AND(Data!#REF!&gt;(TODAY()-(Data_Val!$I$3*365.25)),Data!#REF!&lt;=(TODAY()-(Data_Val!$I$2*365.25))),0,1),1))</f>
        <v>#REF!</v>
      </c>
      <c r="AV117" s="11" t="e">
        <f>IF(Data!#REF!="","",IF(Data!$G117="",1,IF(ISNUMBER(MATCH(Data!#REF!,Data_Val!$D$2:$D$10,0)),0,1)))</f>
        <v>#REF!</v>
      </c>
      <c r="AW117" s="12"/>
      <c r="AX117" s="26" t="e">
        <f ca="1">IF(Data!#REF!="","",IF(ISNUMBER(Data!#REF!),IF(AND(Data!#REF!&gt;(TODAY()-(Data_Val!$I$3*365.25)),Data!#REF!&lt;=(TODAY()-(Data_Val!$I$2*365.25))),0,1),1))</f>
        <v>#REF!</v>
      </c>
      <c r="AY117" s="12" t="e">
        <f>IF(Data!#REF!="","",IF(Data!$G117="",1,IF(ISNUMBER(MATCH(Data!#REF!,Data_Val!$D$2:$D$10,0)),0,1)))</f>
        <v>#REF!</v>
      </c>
      <c r="AZ117" s="11"/>
      <c r="BA117" s="19" t="e">
        <f ca="1">IF(Data!#REF!="","",IF(ISNUMBER(Data!#REF!),IF(AND(Data!#REF!&gt;(TODAY()-(Data_Val!$M$3*365.25)),Data!#REF!&lt;=(TODAY()-(Data_Val!$M$2*365.25))),0,1),1))</f>
        <v>#REF!</v>
      </c>
      <c r="BB117" s="11" t="e">
        <f>IF(Data!#REF!="","",IF(Data!$G117="",1,IF(ISNUMBER(MATCH(Data!#REF!,Data_Val!$D$2:$D$10,0)),0,1)))</f>
        <v>#REF!</v>
      </c>
      <c r="BC117" s="12"/>
      <c r="BD117" s="20" t="e">
        <f ca="1">IF(Data!#REF!="","",IF(ISNUMBER(Data!#REF!),IF(AND(Data!#REF!&gt;(TODAY()-(Data_Val!$M$3*365.25)),Data!#REF!&lt;=(TODAY()-(Data_Val!$M$2*365.25))),0,1),1))</f>
        <v>#REF!</v>
      </c>
      <c r="BE117" s="12" t="e">
        <f>IF(Data!#REF!="","",IF(Data!$G117="",1,IF(ISNUMBER(MATCH(Data!#REF!,Data_Val!$D$2:$D$10,0)),0,1)))</f>
        <v>#REF!</v>
      </c>
      <c r="BF117" s="17"/>
      <c r="BG117" s="18" t="e">
        <f ca="1">IF(Data!#REF!="","",IF(ISNUMBER(Data!#REF!),IF(AND(Data!#REF!&gt;(TODAY()-(Data_Val!$M$3*365.25)),Data!#REF!&lt;=(TODAY()-(Data_Val!$M$2*365.25))),0,1),1))</f>
        <v>#REF!</v>
      </c>
      <c r="BH117" s="29" t="e">
        <f>IF(Data!#REF!="","",IF(Data!$G117="",1,IF(ISNUMBER(MATCH(Data!#REF!,Data_Val!$D$2:$D$10,0)),0,1)))</f>
        <v>#REF!</v>
      </c>
      <c r="BI117" s="13"/>
      <c r="BJ117" s="21" t="e">
        <f ca="1">IF(Data!#REF!="","",IF(ISNUMBER(Data!#REF!),IF(AND(Data!#REF!&gt;(TODAY()-(Data_Val!$M$3*365.25)),Data!#REF!&lt;=(TODAY()-(Data_Val!$M$2*365.25))),0,1),1))</f>
        <v>#REF!</v>
      </c>
      <c r="BK117" s="13" t="e">
        <f>IF(Data!#REF!="","",IF(Data!$G117="",1,IF(ISNUMBER(MATCH(Data!#REF!,Data_Val!$D$2:$D$10,0)),0,1)))</f>
        <v>#REF!</v>
      </c>
    </row>
    <row r="118" spans="1:63" x14ac:dyDescent="0.25">
      <c r="A118" s="9" t="str">
        <f>IF(Data!B118="","",IF(COUNTIFS(Data!A$1:'Data'!A118,Data!A118)&lt;=1,0,1))</f>
        <v/>
      </c>
      <c r="B118" s="9"/>
      <c r="C118" s="23" t="str">
        <f>IF(Data!C118="","",(IF(ISNUMBER(MATCH("*@*.?*",Data!C118,0)),0,1)+IF(COUNTIFS(Data!C$1:'Data'!C118,Data!C118)&gt;1,1,0)))</f>
        <v/>
      </c>
      <c r="D118" s="9" t="str">
        <f>IF(Data!B118="","",IF(ISNUMBER(Data!D118),IF(AND(Data!D118&gt;999999999,Data!D118&lt;=9999999999),IF(COUNTIFS(Data!D$1:'Data'!D118,Data!D118)&lt;=1,0,1),1),1))</f>
        <v/>
      </c>
      <c r="E118" s="9" t="str">
        <f>IF(Data!B118="","",IF(ISNUMBER(MATCH(Data!E118,Data_Val!$A$2:$A$3,0)),0,1))</f>
        <v/>
      </c>
      <c r="F118" s="9" t="str">
        <f ca="1">IF(Data!B118="","",IF(ISNUMBER(Data!F118),IF(AND(Data!F118&gt;(TODAY()-(Data_Val!$H$3*365.25)),Data!F118&lt;=(TODAY()-(Data_Val!$H$2*365.25))),0,1),1))</f>
        <v/>
      </c>
      <c r="G118" s="15" t="str">
        <f>IF(Data!B118="","",IF(AND(Data!G118="",Data!H118&lt;&gt;""),1,IF(Data!#REF!&lt;&gt;"",0,IF(ISNUMBER(MATCH(Data!G118,Data_Val!$C$2:$C$5,0)),0,1))))</f>
        <v/>
      </c>
      <c r="H118" s="15" t="str">
        <f>IF(Data!B118="","",IF(AND(Data!G118&lt;&gt;"",Data!H118=""),1,IF(Data!#REF!&lt;&gt;"",0,IF(Data!G118="",1,IF(ISNUMBER(MATCH(Data!H118,Data_Val!$D$2:$D$35,0)),0,1)))))</f>
        <v/>
      </c>
      <c r="I118" s="15" t="str">
        <f>IF(Data!B118="","",IF(Data!G118&lt;&gt;"",0,IF(ISNUMBER(MATCH(Data!#REF!,Data_Val!$E$2:$E$12,0)),0,1)))</f>
        <v/>
      </c>
      <c r="J118" s="16" t="e">
        <f>IF(OR(Data!B118="",Data!#REF!=""),"",IF(Data!#REF!="",1,0))</f>
        <v>#REF!</v>
      </c>
      <c r="K118" s="16" t="e">
        <f>IF(OR(Data!B118="",Data!#REF!=""),"",IF(Data!#REF!="",1,0))</f>
        <v>#REF!</v>
      </c>
      <c r="L118" s="16" t="e">
        <f>IF(OR(Data!B118="",Data!#REF!=""),"",IF(ISNUMBER(Data!#REF!),IF(AND(Data!#REF!&gt;Data_Val!$G$2,Data!#REF!&lt;=Data_Val!$G$3),0,1),1))</f>
        <v>#REF!</v>
      </c>
      <c r="M118" s="9" t="e">
        <f>IF(OR(Data!B118="",Data!#REF!=""),"",IF(ISNUMBER(MATCH(Data!#REF!,Data_Val!$F$1:$F$38,0)),0,1))</f>
        <v>#REF!</v>
      </c>
      <c r="N118" s="9" t="e">
        <f>IF(OR(Data!B118="",Data!#REF!=""),"",IF(Data!#REF!="",1,0))</f>
        <v>#REF!</v>
      </c>
      <c r="O118" s="17" t="e">
        <f>IF(Data!#REF!="","",IF(Data!#REF!="",1,0))</f>
        <v>#REF!</v>
      </c>
      <c r="P118" s="17" t="e">
        <f>IF(Data!#REF!="","",IF(ISNUMBER(MATCH(Data!#REF!,Data_Val!$A$2:$A$3,0)),0,1))</f>
        <v>#REF!</v>
      </c>
      <c r="Q118" s="25" t="e">
        <f ca="1">IF(Data!#REF!="","",IF(ISNUMBER(Data!#REF!),IF(AND(Data!#REF!&gt;(TODAY()-(Data_Val!$J$3*365.25)),Data!#REF!&lt;=(TODAY()-(Data_Val!$J$2*365.25))),0,1),1))</f>
        <v>#REF!</v>
      </c>
      <c r="R118" s="17" t="e">
        <f>IF(Data!#REF!="","",IF(ISNUMBER(MATCH(Data!#REF!,Data_Val!$B$2:$B$15,0)),0,1))</f>
        <v>#REF!</v>
      </c>
      <c r="S118" s="11" t="str">
        <f>IF(Data!G118="","",IF(Data!G118=Data_Val!$C$2,IF(Data!M118="",0,1),0))</f>
        <v/>
      </c>
      <c r="T118" s="11" t="str">
        <f>IF(Data!M118="","",IF(ISNUMBER(MATCH(Data!N118,Data_Val!$A$2:$A$3,0)),0,1))</f>
        <v/>
      </c>
      <c r="U118" s="11" t="str">
        <f ca="1">IF(Data!M118="","",IF(ISNUMBER(Data!O118),IF(AND(Data!O118&gt;(TODAY()-(Data_Val!$K$3*365.25)),Data!O118&lt;=(TODAY()-(Data_Val!$K$2*365.25))),0,1),1))</f>
        <v/>
      </c>
      <c r="V118" s="12" t="str">
        <f>IF(Data!G118="","",IF(Data!G118=Data_Val!$C$2,IF(Data!P118="",0,1),0))</f>
        <v/>
      </c>
      <c r="W118" s="12" t="str">
        <f>IF(Data!P118="","",IF(ISNUMBER(MATCH(Data!Q118,Data_Val!$A$2:$A$3,0)),0,1))</f>
        <v/>
      </c>
      <c r="X118" s="26" t="str">
        <f ca="1">IF(Data!P118="","",IF(ISNUMBER(Data!R118),IF(AND(Data!R118&gt;(TODAY()-(Data_Val!$L$3*365.25)),Data!R118&lt;=(TODAY()-(Data_Val!$L$2*365.25))),0,1),1))</f>
        <v/>
      </c>
      <c r="Y118" s="13" t="str">
        <f>IF(Data!$G118="","",IF(Data!$G118=Data_Val!$C$2,IF(Data!S118="",0,1),0))</f>
        <v/>
      </c>
      <c r="Z118" s="13" t="str">
        <f>IF(Data!S118="","",IF(ISNUMBER(MATCH(Data!T118,Data_Val!$A$2:$A$3,0)),0,1))</f>
        <v/>
      </c>
      <c r="AA118" s="28" t="str">
        <f ca="1">IF(Data!S118="","",IF(ISNUMBER(Data!U118),IF(AND(Data!U118&gt;(TODAY()-(Data_Val!$L$3*365.25)),Data!U118&lt;=(TODAY()-(Data_Val!$L$2*365.25))),0,1),1))</f>
        <v/>
      </c>
      <c r="AB118" s="11"/>
      <c r="AC118" s="11" t="e">
        <f>IF(Data!#REF!="","",IF(ISNUMBER(MATCH(Data!#REF!,Data_Val!$A$2:$A$3,0)),0,1))</f>
        <v>#REF!</v>
      </c>
      <c r="AD118" s="11" t="e">
        <f ca="1">IF(Data!#REF!="","",IF(ISNUMBER(Data!#REF!),IF(AND(Data!#REF!&gt;(TODAY()-(Data_Val!$L$3*365.25)),Data!#REF!&lt;=(TODAY()-(Data_Val!$L$2*365.25))),0,1),1))</f>
        <v>#REF!</v>
      </c>
      <c r="AE118" s="11" t="e">
        <f>IF(Data!#REF!="","",IF(Data!$G118="",1,IF(ISNUMBER(MATCH(Data!#REF!,Data_Val!$D$2:$D$10,0)),0,1)))</f>
        <v>#REF!</v>
      </c>
      <c r="AF118" s="12"/>
      <c r="AG118" s="12" t="e">
        <f>IF(Data!#REF!="","",IF(ISNUMBER(MATCH(Data!#REF!,Data_Val!$A$2:$A$3,0)),0,1))</f>
        <v>#REF!</v>
      </c>
      <c r="AH118" s="26" t="e">
        <f ca="1">IF(Data!#REF!="","",IF(ISNUMBER(Data!#REF!),IF(AND(Data!#REF!&gt;(TODAY()-(Data_Val!$L$3*365.25)),Data!#REF!&lt;=(TODAY()-(Data_Val!$L$2*365.25))),0,1),1))</f>
        <v>#REF!</v>
      </c>
      <c r="AI118" s="12" t="e">
        <f>IF(Data!#REF!="","",IF(Data!$G118="",1,IF(ISNUMBER(MATCH(Data!#REF!,Data_Val!$D$2:$D$10,0)),0,1)))</f>
        <v>#REF!</v>
      </c>
      <c r="AJ118" s="17"/>
      <c r="AK118" s="17" t="e">
        <f>IF(Data!#REF!="","",IF(ISNUMBER(MATCH(Data!#REF!,Data_Val!$A$2:$A$3,0)),0,1))</f>
        <v>#REF!</v>
      </c>
      <c r="AL118" s="25" t="e">
        <f ca="1">IF(Data!#REF!="","",IF(ISNUMBER(Data!#REF!),IF(AND(Data!#REF!&gt;(TODAY()-(Data_Val!$L$3*365.25)),Data!#REF!&lt;=(TODAY()-(Data_Val!$L$2*365.25))),0,1),1))</f>
        <v>#REF!</v>
      </c>
      <c r="AM118" s="17" t="e">
        <f>IF(Data!#REF!="","",IF(Data!$G118="",1,IF(ISNUMBER(MATCH(Data!#REF!,Data_Val!$D$2:$D$10,0)),0,1)))</f>
        <v>#REF!</v>
      </c>
      <c r="AN118" s="13"/>
      <c r="AO118" s="28" t="e">
        <f ca="1">IF(Data!#REF!="","",IF(ISNUMBER(Data!#REF!),IF(AND(Data!#REF!&gt;(TODAY()-(Data_Val!$I$3*365.25)),Data!#REF!&lt;=(TODAY()-(Data_Val!$I$2*365.25))),0,1),1))</f>
        <v>#REF!</v>
      </c>
      <c r="AP118" s="13" t="e">
        <f>IF(Data!#REF!="","",IF(Data!$G118="",1,IF(ISNUMBER(MATCH(Data!#REF!,Data_Val!$D$2:$D$10,0)),0,1)))</f>
        <v>#REF!</v>
      </c>
      <c r="AQ118" s="17"/>
      <c r="AR118" s="30" t="e">
        <f ca="1">IF(Data!#REF!="","",IF(ISNUMBER(Data!#REF!),IF(AND(Data!#REF!&gt;(TODAY()-(Data_Val!$I$3*365.25)),Data!#REF!&lt;=(TODAY()-(Data_Val!$I$2*365.25))),0,1),1))</f>
        <v>#REF!</v>
      </c>
      <c r="AS118" s="31" t="e">
        <f>IF(Data!#REF!="","",IF(Data!$G118="",1,IF(ISNUMBER(MATCH(Data!#REF!,Data_Val!$D$2:$D$10,0)),0,1)))</f>
        <v>#REF!</v>
      </c>
      <c r="AT118" s="11"/>
      <c r="AU118" s="11" t="e">
        <f ca="1">IF(Data!#REF!="","",IF(ISNUMBER(Data!#REF!),IF(AND(Data!#REF!&gt;(TODAY()-(Data_Val!$I$3*365.25)),Data!#REF!&lt;=(TODAY()-(Data_Val!$I$2*365.25))),0,1),1))</f>
        <v>#REF!</v>
      </c>
      <c r="AV118" s="11" t="e">
        <f>IF(Data!#REF!="","",IF(Data!$G118="",1,IF(ISNUMBER(MATCH(Data!#REF!,Data_Val!$D$2:$D$10,0)),0,1)))</f>
        <v>#REF!</v>
      </c>
      <c r="AW118" s="12"/>
      <c r="AX118" s="26" t="e">
        <f ca="1">IF(Data!#REF!="","",IF(ISNUMBER(Data!#REF!),IF(AND(Data!#REF!&gt;(TODAY()-(Data_Val!$I$3*365.25)),Data!#REF!&lt;=(TODAY()-(Data_Val!$I$2*365.25))),0,1),1))</f>
        <v>#REF!</v>
      </c>
      <c r="AY118" s="12" t="e">
        <f>IF(Data!#REF!="","",IF(Data!$G118="",1,IF(ISNUMBER(MATCH(Data!#REF!,Data_Val!$D$2:$D$10,0)),0,1)))</f>
        <v>#REF!</v>
      </c>
      <c r="AZ118" s="11"/>
      <c r="BA118" s="19" t="e">
        <f ca="1">IF(Data!#REF!="","",IF(ISNUMBER(Data!#REF!),IF(AND(Data!#REF!&gt;(TODAY()-(Data_Val!$M$3*365.25)),Data!#REF!&lt;=(TODAY()-(Data_Val!$M$2*365.25))),0,1),1))</f>
        <v>#REF!</v>
      </c>
      <c r="BB118" s="11" t="e">
        <f>IF(Data!#REF!="","",IF(Data!$G118="",1,IF(ISNUMBER(MATCH(Data!#REF!,Data_Val!$D$2:$D$10,0)),0,1)))</f>
        <v>#REF!</v>
      </c>
      <c r="BC118" s="12"/>
      <c r="BD118" s="20" t="e">
        <f ca="1">IF(Data!#REF!="","",IF(ISNUMBER(Data!#REF!),IF(AND(Data!#REF!&gt;(TODAY()-(Data_Val!$M$3*365.25)),Data!#REF!&lt;=(TODAY()-(Data_Val!$M$2*365.25))),0,1),1))</f>
        <v>#REF!</v>
      </c>
      <c r="BE118" s="12" t="e">
        <f>IF(Data!#REF!="","",IF(Data!$G118="",1,IF(ISNUMBER(MATCH(Data!#REF!,Data_Val!$D$2:$D$10,0)),0,1)))</f>
        <v>#REF!</v>
      </c>
      <c r="BF118" s="17"/>
      <c r="BG118" s="18" t="e">
        <f ca="1">IF(Data!#REF!="","",IF(ISNUMBER(Data!#REF!),IF(AND(Data!#REF!&gt;(TODAY()-(Data_Val!$M$3*365.25)),Data!#REF!&lt;=(TODAY()-(Data_Val!$M$2*365.25))),0,1),1))</f>
        <v>#REF!</v>
      </c>
      <c r="BH118" s="29" t="e">
        <f>IF(Data!#REF!="","",IF(Data!$G118="",1,IF(ISNUMBER(MATCH(Data!#REF!,Data_Val!$D$2:$D$10,0)),0,1)))</f>
        <v>#REF!</v>
      </c>
      <c r="BI118" s="13"/>
      <c r="BJ118" s="21" t="e">
        <f ca="1">IF(Data!#REF!="","",IF(ISNUMBER(Data!#REF!),IF(AND(Data!#REF!&gt;(TODAY()-(Data_Val!$M$3*365.25)),Data!#REF!&lt;=(TODAY()-(Data_Val!$M$2*365.25))),0,1),1))</f>
        <v>#REF!</v>
      </c>
      <c r="BK118" s="13" t="e">
        <f>IF(Data!#REF!="","",IF(Data!$G118="",1,IF(ISNUMBER(MATCH(Data!#REF!,Data_Val!$D$2:$D$10,0)),0,1)))</f>
        <v>#REF!</v>
      </c>
    </row>
    <row r="119" spans="1:63" x14ac:dyDescent="0.25">
      <c r="A119" s="9" t="str">
        <f>IF(Data!B119="","",IF(COUNTIFS(Data!A$1:'Data'!A119,Data!A119)&lt;=1,0,1))</f>
        <v/>
      </c>
      <c r="B119" s="9"/>
      <c r="C119" s="23" t="str">
        <f>IF(Data!C119="","",(IF(ISNUMBER(MATCH("*@*.?*",Data!C119,0)),0,1)+IF(COUNTIFS(Data!C$1:'Data'!C119,Data!C119)&gt;1,1,0)))</f>
        <v/>
      </c>
      <c r="D119" s="9" t="str">
        <f>IF(Data!B119="","",IF(ISNUMBER(Data!D119),IF(AND(Data!D119&gt;999999999,Data!D119&lt;=9999999999),IF(COUNTIFS(Data!D$1:'Data'!D119,Data!D119)&lt;=1,0,1),1),1))</f>
        <v/>
      </c>
      <c r="E119" s="9" t="str">
        <f>IF(Data!B119="","",IF(ISNUMBER(MATCH(Data!E119,Data_Val!$A$2:$A$3,0)),0,1))</f>
        <v/>
      </c>
      <c r="F119" s="9" t="str">
        <f ca="1">IF(Data!B119="","",IF(ISNUMBER(Data!F119),IF(AND(Data!F119&gt;(TODAY()-(Data_Val!$H$3*365.25)),Data!F119&lt;=(TODAY()-(Data_Val!$H$2*365.25))),0,1),1))</f>
        <v/>
      </c>
      <c r="G119" s="15" t="str">
        <f>IF(Data!B119="","",IF(AND(Data!G119="",Data!H119&lt;&gt;""),1,IF(Data!#REF!&lt;&gt;"",0,IF(ISNUMBER(MATCH(Data!G119,Data_Val!$C$2:$C$5,0)),0,1))))</f>
        <v/>
      </c>
      <c r="H119" s="15" t="str">
        <f>IF(Data!B119="","",IF(AND(Data!G119&lt;&gt;"",Data!H119=""),1,IF(Data!#REF!&lt;&gt;"",0,IF(Data!G119="",1,IF(ISNUMBER(MATCH(Data!H119,Data_Val!$D$2:$D$35,0)),0,1)))))</f>
        <v/>
      </c>
      <c r="I119" s="15" t="str">
        <f>IF(Data!B119="","",IF(Data!G119&lt;&gt;"",0,IF(ISNUMBER(MATCH(Data!#REF!,Data_Val!$E$2:$E$12,0)),0,1)))</f>
        <v/>
      </c>
      <c r="J119" s="16" t="e">
        <f>IF(OR(Data!B119="",Data!#REF!=""),"",IF(Data!#REF!="",1,0))</f>
        <v>#REF!</v>
      </c>
      <c r="K119" s="16" t="e">
        <f>IF(OR(Data!B119="",Data!#REF!=""),"",IF(Data!#REF!="",1,0))</f>
        <v>#REF!</v>
      </c>
      <c r="L119" s="16" t="e">
        <f>IF(OR(Data!B119="",Data!#REF!=""),"",IF(ISNUMBER(Data!#REF!),IF(AND(Data!#REF!&gt;Data_Val!$G$2,Data!#REF!&lt;=Data_Val!$G$3),0,1),1))</f>
        <v>#REF!</v>
      </c>
      <c r="M119" s="9" t="e">
        <f>IF(OR(Data!B119="",Data!#REF!=""),"",IF(ISNUMBER(MATCH(Data!#REF!,Data_Val!$F$1:$F$38,0)),0,1))</f>
        <v>#REF!</v>
      </c>
      <c r="N119" s="9" t="e">
        <f>IF(OR(Data!B119="",Data!#REF!=""),"",IF(Data!#REF!="",1,0))</f>
        <v>#REF!</v>
      </c>
      <c r="O119" s="17" t="e">
        <f>IF(Data!#REF!="","",IF(Data!#REF!="",1,0))</f>
        <v>#REF!</v>
      </c>
      <c r="P119" s="17" t="e">
        <f>IF(Data!#REF!="","",IF(ISNUMBER(MATCH(Data!#REF!,Data_Val!$A$2:$A$3,0)),0,1))</f>
        <v>#REF!</v>
      </c>
      <c r="Q119" s="25" t="e">
        <f ca="1">IF(Data!#REF!="","",IF(ISNUMBER(Data!#REF!),IF(AND(Data!#REF!&gt;(TODAY()-(Data_Val!$J$3*365.25)),Data!#REF!&lt;=(TODAY()-(Data_Val!$J$2*365.25))),0,1),1))</f>
        <v>#REF!</v>
      </c>
      <c r="R119" s="17" t="e">
        <f>IF(Data!#REF!="","",IF(ISNUMBER(MATCH(Data!#REF!,Data_Val!$B$2:$B$15,0)),0,1))</f>
        <v>#REF!</v>
      </c>
      <c r="S119" s="11" t="str">
        <f>IF(Data!G119="","",IF(Data!G119=Data_Val!$C$2,IF(Data!M119="",0,1),0))</f>
        <v/>
      </c>
      <c r="T119" s="11" t="str">
        <f>IF(Data!M119="","",IF(ISNUMBER(MATCH(Data!N119,Data_Val!$A$2:$A$3,0)),0,1))</f>
        <v/>
      </c>
      <c r="U119" s="11" t="str">
        <f ca="1">IF(Data!M119="","",IF(ISNUMBER(Data!O119),IF(AND(Data!O119&gt;(TODAY()-(Data_Val!$K$3*365.25)),Data!O119&lt;=(TODAY()-(Data_Val!$K$2*365.25))),0,1),1))</f>
        <v/>
      </c>
      <c r="V119" s="12" t="str">
        <f>IF(Data!G119="","",IF(Data!G119=Data_Val!$C$2,IF(Data!P119="",0,1),0))</f>
        <v/>
      </c>
      <c r="W119" s="12" t="str">
        <f>IF(Data!P119="","",IF(ISNUMBER(MATCH(Data!Q119,Data_Val!$A$2:$A$3,0)),0,1))</f>
        <v/>
      </c>
      <c r="X119" s="26" t="str">
        <f ca="1">IF(Data!P119="","",IF(ISNUMBER(Data!R119),IF(AND(Data!R119&gt;(TODAY()-(Data_Val!$L$3*365.25)),Data!R119&lt;=(TODAY()-(Data_Val!$L$2*365.25))),0,1),1))</f>
        <v/>
      </c>
      <c r="Y119" s="13" t="str">
        <f>IF(Data!$G119="","",IF(Data!$G119=Data_Val!$C$2,IF(Data!S119="",0,1),0))</f>
        <v/>
      </c>
      <c r="Z119" s="13" t="str">
        <f>IF(Data!S119="","",IF(ISNUMBER(MATCH(Data!T119,Data_Val!$A$2:$A$3,0)),0,1))</f>
        <v/>
      </c>
      <c r="AA119" s="28" t="str">
        <f ca="1">IF(Data!S119="","",IF(ISNUMBER(Data!U119),IF(AND(Data!U119&gt;(TODAY()-(Data_Val!$L$3*365.25)),Data!U119&lt;=(TODAY()-(Data_Val!$L$2*365.25))),0,1),1))</f>
        <v/>
      </c>
      <c r="AB119" s="11"/>
      <c r="AC119" s="11" t="e">
        <f>IF(Data!#REF!="","",IF(ISNUMBER(MATCH(Data!#REF!,Data_Val!$A$2:$A$3,0)),0,1))</f>
        <v>#REF!</v>
      </c>
      <c r="AD119" s="11" t="e">
        <f ca="1">IF(Data!#REF!="","",IF(ISNUMBER(Data!#REF!),IF(AND(Data!#REF!&gt;(TODAY()-(Data_Val!$L$3*365.25)),Data!#REF!&lt;=(TODAY()-(Data_Val!$L$2*365.25))),0,1),1))</f>
        <v>#REF!</v>
      </c>
      <c r="AE119" s="11" t="e">
        <f>IF(Data!#REF!="","",IF(Data!$G119="",1,IF(ISNUMBER(MATCH(Data!#REF!,Data_Val!$D$2:$D$10,0)),0,1)))</f>
        <v>#REF!</v>
      </c>
      <c r="AF119" s="12"/>
      <c r="AG119" s="12" t="e">
        <f>IF(Data!#REF!="","",IF(ISNUMBER(MATCH(Data!#REF!,Data_Val!$A$2:$A$3,0)),0,1))</f>
        <v>#REF!</v>
      </c>
      <c r="AH119" s="26" t="e">
        <f ca="1">IF(Data!#REF!="","",IF(ISNUMBER(Data!#REF!),IF(AND(Data!#REF!&gt;(TODAY()-(Data_Val!$L$3*365.25)),Data!#REF!&lt;=(TODAY()-(Data_Val!$L$2*365.25))),0,1),1))</f>
        <v>#REF!</v>
      </c>
      <c r="AI119" s="12" t="e">
        <f>IF(Data!#REF!="","",IF(Data!$G119="",1,IF(ISNUMBER(MATCH(Data!#REF!,Data_Val!$D$2:$D$10,0)),0,1)))</f>
        <v>#REF!</v>
      </c>
      <c r="AJ119" s="17"/>
      <c r="AK119" s="17" t="e">
        <f>IF(Data!#REF!="","",IF(ISNUMBER(MATCH(Data!#REF!,Data_Val!$A$2:$A$3,0)),0,1))</f>
        <v>#REF!</v>
      </c>
      <c r="AL119" s="25" t="e">
        <f ca="1">IF(Data!#REF!="","",IF(ISNUMBER(Data!#REF!),IF(AND(Data!#REF!&gt;(TODAY()-(Data_Val!$L$3*365.25)),Data!#REF!&lt;=(TODAY()-(Data_Val!$L$2*365.25))),0,1),1))</f>
        <v>#REF!</v>
      </c>
      <c r="AM119" s="17" t="e">
        <f>IF(Data!#REF!="","",IF(Data!$G119="",1,IF(ISNUMBER(MATCH(Data!#REF!,Data_Val!$D$2:$D$10,0)),0,1)))</f>
        <v>#REF!</v>
      </c>
      <c r="AN119" s="13"/>
      <c r="AO119" s="28" t="e">
        <f ca="1">IF(Data!#REF!="","",IF(ISNUMBER(Data!#REF!),IF(AND(Data!#REF!&gt;(TODAY()-(Data_Val!$I$3*365.25)),Data!#REF!&lt;=(TODAY()-(Data_Val!$I$2*365.25))),0,1),1))</f>
        <v>#REF!</v>
      </c>
      <c r="AP119" s="13" t="e">
        <f>IF(Data!#REF!="","",IF(Data!$G119="",1,IF(ISNUMBER(MATCH(Data!#REF!,Data_Val!$D$2:$D$10,0)),0,1)))</f>
        <v>#REF!</v>
      </c>
      <c r="AQ119" s="17"/>
      <c r="AR119" s="30" t="e">
        <f ca="1">IF(Data!#REF!="","",IF(ISNUMBER(Data!#REF!),IF(AND(Data!#REF!&gt;(TODAY()-(Data_Val!$I$3*365.25)),Data!#REF!&lt;=(TODAY()-(Data_Val!$I$2*365.25))),0,1),1))</f>
        <v>#REF!</v>
      </c>
      <c r="AS119" s="31" t="e">
        <f>IF(Data!#REF!="","",IF(Data!$G119="",1,IF(ISNUMBER(MATCH(Data!#REF!,Data_Val!$D$2:$D$10,0)),0,1)))</f>
        <v>#REF!</v>
      </c>
      <c r="AT119" s="11"/>
      <c r="AU119" s="11" t="e">
        <f ca="1">IF(Data!#REF!="","",IF(ISNUMBER(Data!#REF!),IF(AND(Data!#REF!&gt;(TODAY()-(Data_Val!$I$3*365.25)),Data!#REF!&lt;=(TODAY()-(Data_Val!$I$2*365.25))),0,1),1))</f>
        <v>#REF!</v>
      </c>
      <c r="AV119" s="11" t="e">
        <f>IF(Data!#REF!="","",IF(Data!$G119="",1,IF(ISNUMBER(MATCH(Data!#REF!,Data_Val!$D$2:$D$10,0)),0,1)))</f>
        <v>#REF!</v>
      </c>
      <c r="AW119" s="12"/>
      <c r="AX119" s="26" t="e">
        <f ca="1">IF(Data!#REF!="","",IF(ISNUMBER(Data!#REF!),IF(AND(Data!#REF!&gt;(TODAY()-(Data_Val!$I$3*365.25)),Data!#REF!&lt;=(TODAY()-(Data_Val!$I$2*365.25))),0,1),1))</f>
        <v>#REF!</v>
      </c>
      <c r="AY119" s="12" t="e">
        <f>IF(Data!#REF!="","",IF(Data!$G119="",1,IF(ISNUMBER(MATCH(Data!#REF!,Data_Val!$D$2:$D$10,0)),0,1)))</f>
        <v>#REF!</v>
      </c>
      <c r="AZ119" s="11"/>
      <c r="BA119" s="19" t="e">
        <f ca="1">IF(Data!#REF!="","",IF(ISNUMBER(Data!#REF!),IF(AND(Data!#REF!&gt;(TODAY()-(Data_Val!$M$3*365.25)),Data!#REF!&lt;=(TODAY()-(Data_Val!$M$2*365.25))),0,1),1))</f>
        <v>#REF!</v>
      </c>
      <c r="BB119" s="11" t="e">
        <f>IF(Data!#REF!="","",IF(Data!$G119="",1,IF(ISNUMBER(MATCH(Data!#REF!,Data_Val!$D$2:$D$10,0)),0,1)))</f>
        <v>#REF!</v>
      </c>
      <c r="BC119" s="12"/>
      <c r="BD119" s="20" t="e">
        <f ca="1">IF(Data!#REF!="","",IF(ISNUMBER(Data!#REF!),IF(AND(Data!#REF!&gt;(TODAY()-(Data_Val!$M$3*365.25)),Data!#REF!&lt;=(TODAY()-(Data_Val!$M$2*365.25))),0,1),1))</f>
        <v>#REF!</v>
      </c>
      <c r="BE119" s="12" t="e">
        <f>IF(Data!#REF!="","",IF(Data!$G119="",1,IF(ISNUMBER(MATCH(Data!#REF!,Data_Val!$D$2:$D$10,0)),0,1)))</f>
        <v>#REF!</v>
      </c>
      <c r="BF119" s="17"/>
      <c r="BG119" s="18" t="e">
        <f ca="1">IF(Data!#REF!="","",IF(ISNUMBER(Data!#REF!),IF(AND(Data!#REF!&gt;(TODAY()-(Data_Val!$M$3*365.25)),Data!#REF!&lt;=(TODAY()-(Data_Val!$M$2*365.25))),0,1),1))</f>
        <v>#REF!</v>
      </c>
      <c r="BH119" s="29" t="e">
        <f>IF(Data!#REF!="","",IF(Data!$G119="",1,IF(ISNUMBER(MATCH(Data!#REF!,Data_Val!$D$2:$D$10,0)),0,1)))</f>
        <v>#REF!</v>
      </c>
      <c r="BI119" s="13"/>
      <c r="BJ119" s="21" t="e">
        <f ca="1">IF(Data!#REF!="","",IF(ISNUMBER(Data!#REF!),IF(AND(Data!#REF!&gt;(TODAY()-(Data_Val!$M$3*365.25)),Data!#REF!&lt;=(TODAY()-(Data_Val!$M$2*365.25))),0,1),1))</f>
        <v>#REF!</v>
      </c>
      <c r="BK119" s="13" t="e">
        <f>IF(Data!#REF!="","",IF(Data!$G119="",1,IF(ISNUMBER(MATCH(Data!#REF!,Data_Val!$D$2:$D$10,0)),0,1)))</f>
        <v>#REF!</v>
      </c>
    </row>
    <row r="120" spans="1:63" x14ac:dyDescent="0.25">
      <c r="A120" s="9" t="str">
        <f>IF(Data!B120="","",IF(COUNTIFS(Data!A$1:'Data'!A120,Data!A120)&lt;=1,0,1))</f>
        <v/>
      </c>
      <c r="B120" s="9"/>
      <c r="C120" s="23" t="str">
        <f>IF(Data!C120="","",(IF(ISNUMBER(MATCH("*@*.?*",Data!C120,0)),0,1)+IF(COUNTIFS(Data!C$1:'Data'!C120,Data!C120)&gt;1,1,0)))</f>
        <v/>
      </c>
      <c r="D120" s="9" t="str">
        <f>IF(Data!B120="","",IF(ISNUMBER(Data!D120),IF(AND(Data!D120&gt;999999999,Data!D120&lt;=9999999999),IF(COUNTIFS(Data!D$1:'Data'!D120,Data!D120)&lt;=1,0,1),1),1))</f>
        <v/>
      </c>
      <c r="E120" s="9" t="str">
        <f>IF(Data!B120="","",IF(ISNUMBER(MATCH(Data!E120,Data_Val!$A$2:$A$3,0)),0,1))</f>
        <v/>
      </c>
      <c r="F120" s="9" t="str">
        <f ca="1">IF(Data!B120="","",IF(ISNUMBER(Data!F120),IF(AND(Data!F120&gt;(TODAY()-(Data_Val!$H$3*365.25)),Data!F120&lt;=(TODAY()-(Data_Val!$H$2*365.25))),0,1),1))</f>
        <v/>
      </c>
      <c r="G120" s="15" t="str">
        <f>IF(Data!B120="","",IF(AND(Data!G120="",Data!H120&lt;&gt;""),1,IF(Data!#REF!&lt;&gt;"",0,IF(ISNUMBER(MATCH(Data!G120,Data_Val!$C$2:$C$5,0)),0,1))))</f>
        <v/>
      </c>
      <c r="H120" s="15" t="str">
        <f>IF(Data!B120="","",IF(AND(Data!G120&lt;&gt;"",Data!H120=""),1,IF(Data!#REF!&lt;&gt;"",0,IF(Data!G120="",1,IF(ISNUMBER(MATCH(Data!H120,Data_Val!$D$2:$D$35,0)),0,1)))))</f>
        <v/>
      </c>
      <c r="I120" s="15" t="str">
        <f>IF(Data!B120="","",IF(Data!G120&lt;&gt;"",0,IF(ISNUMBER(MATCH(Data!#REF!,Data_Val!$E$2:$E$12,0)),0,1)))</f>
        <v/>
      </c>
      <c r="J120" s="16" t="e">
        <f>IF(OR(Data!B120="",Data!#REF!=""),"",IF(Data!#REF!="",1,0))</f>
        <v>#REF!</v>
      </c>
      <c r="K120" s="16" t="e">
        <f>IF(OR(Data!B120="",Data!#REF!=""),"",IF(Data!#REF!="",1,0))</f>
        <v>#REF!</v>
      </c>
      <c r="L120" s="16" t="e">
        <f>IF(OR(Data!B120="",Data!#REF!=""),"",IF(ISNUMBER(Data!#REF!),IF(AND(Data!#REF!&gt;Data_Val!$G$2,Data!#REF!&lt;=Data_Val!$G$3),0,1),1))</f>
        <v>#REF!</v>
      </c>
      <c r="M120" s="9" t="e">
        <f>IF(OR(Data!B120="",Data!#REF!=""),"",IF(ISNUMBER(MATCH(Data!#REF!,Data_Val!$F$1:$F$38,0)),0,1))</f>
        <v>#REF!</v>
      </c>
      <c r="N120" s="9" t="e">
        <f>IF(OR(Data!B120="",Data!#REF!=""),"",IF(Data!#REF!="",1,0))</f>
        <v>#REF!</v>
      </c>
      <c r="O120" s="17" t="e">
        <f>IF(Data!#REF!="","",IF(Data!#REF!="",1,0))</f>
        <v>#REF!</v>
      </c>
      <c r="P120" s="17" t="e">
        <f>IF(Data!#REF!="","",IF(ISNUMBER(MATCH(Data!#REF!,Data_Val!$A$2:$A$3,0)),0,1))</f>
        <v>#REF!</v>
      </c>
      <c r="Q120" s="25" t="e">
        <f ca="1">IF(Data!#REF!="","",IF(ISNUMBER(Data!#REF!),IF(AND(Data!#REF!&gt;(TODAY()-(Data_Val!$J$3*365.25)),Data!#REF!&lt;=(TODAY()-(Data_Val!$J$2*365.25))),0,1),1))</f>
        <v>#REF!</v>
      </c>
      <c r="R120" s="17" t="e">
        <f>IF(Data!#REF!="","",IF(ISNUMBER(MATCH(Data!#REF!,Data_Val!$B$2:$B$15,0)),0,1))</f>
        <v>#REF!</v>
      </c>
      <c r="S120" s="11" t="str">
        <f>IF(Data!G120="","",IF(Data!G120=Data_Val!$C$2,IF(Data!M120="",0,1),0))</f>
        <v/>
      </c>
      <c r="T120" s="11" t="str">
        <f>IF(Data!M120="","",IF(ISNUMBER(MATCH(Data!N120,Data_Val!$A$2:$A$3,0)),0,1))</f>
        <v/>
      </c>
      <c r="U120" s="11" t="str">
        <f ca="1">IF(Data!M120="","",IF(ISNUMBER(Data!O120),IF(AND(Data!O120&gt;(TODAY()-(Data_Val!$K$3*365.25)),Data!O120&lt;=(TODAY()-(Data_Val!$K$2*365.25))),0,1),1))</f>
        <v/>
      </c>
      <c r="V120" s="12" t="str">
        <f>IF(Data!G120="","",IF(Data!G120=Data_Val!$C$2,IF(Data!P120="",0,1),0))</f>
        <v/>
      </c>
      <c r="W120" s="12" t="str">
        <f>IF(Data!P120="","",IF(ISNUMBER(MATCH(Data!Q120,Data_Val!$A$2:$A$3,0)),0,1))</f>
        <v/>
      </c>
      <c r="X120" s="26" t="str">
        <f ca="1">IF(Data!P120="","",IF(ISNUMBER(Data!R120),IF(AND(Data!R120&gt;(TODAY()-(Data_Val!$L$3*365.25)),Data!R120&lt;=(TODAY()-(Data_Val!$L$2*365.25))),0,1),1))</f>
        <v/>
      </c>
      <c r="Y120" s="13" t="str">
        <f>IF(Data!$G120="","",IF(Data!$G120=Data_Val!$C$2,IF(Data!S120="",0,1),0))</f>
        <v/>
      </c>
      <c r="Z120" s="13" t="str">
        <f>IF(Data!S120="","",IF(ISNUMBER(MATCH(Data!T120,Data_Val!$A$2:$A$3,0)),0,1))</f>
        <v/>
      </c>
      <c r="AA120" s="28" t="str">
        <f ca="1">IF(Data!S120="","",IF(ISNUMBER(Data!U120),IF(AND(Data!U120&gt;(TODAY()-(Data_Val!$L$3*365.25)),Data!U120&lt;=(TODAY()-(Data_Val!$L$2*365.25))),0,1),1))</f>
        <v/>
      </c>
      <c r="AB120" s="11"/>
      <c r="AC120" s="11" t="e">
        <f>IF(Data!#REF!="","",IF(ISNUMBER(MATCH(Data!#REF!,Data_Val!$A$2:$A$3,0)),0,1))</f>
        <v>#REF!</v>
      </c>
      <c r="AD120" s="11" t="e">
        <f ca="1">IF(Data!#REF!="","",IF(ISNUMBER(Data!#REF!),IF(AND(Data!#REF!&gt;(TODAY()-(Data_Val!$L$3*365.25)),Data!#REF!&lt;=(TODAY()-(Data_Val!$L$2*365.25))),0,1),1))</f>
        <v>#REF!</v>
      </c>
      <c r="AE120" s="11" t="e">
        <f>IF(Data!#REF!="","",IF(Data!$G120="",1,IF(ISNUMBER(MATCH(Data!#REF!,Data_Val!$D$2:$D$10,0)),0,1)))</f>
        <v>#REF!</v>
      </c>
      <c r="AF120" s="12"/>
      <c r="AG120" s="12" t="e">
        <f>IF(Data!#REF!="","",IF(ISNUMBER(MATCH(Data!#REF!,Data_Val!$A$2:$A$3,0)),0,1))</f>
        <v>#REF!</v>
      </c>
      <c r="AH120" s="26" t="e">
        <f ca="1">IF(Data!#REF!="","",IF(ISNUMBER(Data!#REF!),IF(AND(Data!#REF!&gt;(TODAY()-(Data_Val!$L$3*365.25)),Data!#REF!&lt;=(TODAY()-(Data_Val!$L$2*365.25))),0,1),1))</f>
        <v>#REF!</v>
      </c>
      <c r="AI120" s="12" t="e">
        <f>IF(Data!#REF!="","",IF(Data!$G120="",1,IF(ISNUMBER(MATCH(Data!#REF!,Data_Val!$D$2:$D$10,0)),0,1)))</f>
        <v>#REF!</v>
      </c>
      <c r="AJ120" s="17"/>
      <c r="AK120" s="17" t="e">
        <f>IF(Data!#REF!="","",IF(ISNUMBER(MATCH(Data!#REF!,Data_Val!$A$2:$A$3,0)),0,1))</f>
        <v>#REF!</v>
      </c>
      <c r="AL120" s="25" t="e">
        <f ca="1">IF(Data!#REF!="","",IF(ISNUMBER(Data!#REF!),IF(AND(Data!#REF!&gt;(TODAY()-(Data_Val!$L$3*365.25)),Data!#REF!&lt;=(TODAY()-(Data_Val!$L$2*365.25))),0,1),1))</f>
        <v>#REF!</v>
      </c>
      <c r="AM120" s="17" t="e">
        <f>IF(Data!#REF!="","",IF(Data!$G120="",1,IF(ISNUMBER(MATCH(Data!#REF!,Data_Val!$D$2:$D$10,0)),0,1)))</f>
        <v>#REF!</v>
      </c>
      <c r="AN120" s="13"/>
      <c r="AO120" s="28" t="e">
        <f ca="1">IF(Data!#REF!="","",IF(ISNUMBER(Data!#REF!),IF(AND(Data!#REF!&gt;(TODAY()-(Data_Val!$I$3*365.25)),Data!#REF!&lt;=(TODAY()-(Data_Val!$I$2*365.25))),0,1),1))</f>
        <v>#REF!</v>
      </c>
      <c r="AP120" s="13" t="e">
        <f>IF(Data!#REF!="","",IF(Data!$G120="",1,IF(ISNUMBER(MATCH(Data!#REF!,Data_Val!$D$2:$D$10,0)),0,1)))</f>
        <v>#REF!</v>
      </c>
      <c r="AQ120" s="17"/>
      <c r="AR120" s="30" t="e">
        <f ca="1">IF(Data!#REF!="","",IF(ISNUMBER(Data!#REF!),IF(AND(Data!#REF!&gt;(TODAY()-(Data_Val!$I$3*365.25)),Data!#REF!&lt;=(TODAY()-(Data_Val!$I$2*365.25))),0,1),1))</f>
        <v>#REF!</v>
      </c>
      <c r="AS120" s="31" t="e">
        <f>IF(Data!#REF!="","",IF(Data!$G120="",1,IF(ISNUMBER(MATCH(Data!#REF!,Data_Val!$D$2:$D$10,0)),0,1)))</f>
        <v>#REF!</v>
      </c>
      <c r="AT120" s="11"/>
      <c r="AU120" s="11" t="e">
        <f ca="1">IF(Data!#REF!="","",IF(ISNUMBER(Data!#REF!),IF(AND(Data!#REF!&gt;(TODAY()-(Data_Val!$I$3*365.25)),Data!#REF!&lt;=(TODAY()-(Data_Val!$I$2*365.25))),0,1),1))</f>
        <v>#REF!</v>
      </c>
      <c r="AV120" s="11" t="e">
        <f>IF(Data!#REF!="","",IF(Data!$G120="",1,IF(ISNUMBER(MATCH(Data!#REF!,Data_Val!$D$2:$D$10,0)),0,1)))</f>
        <v>#REF!</v>
      </c>
      <c r="AW120" s="12"/>
      <c r="AX120" s="26" t="e">
        <f ca="1">IF(Data!#REF!="","",IF(ISNUMBER(Data!#REF!),IF(AND(Data!#REF!&gt;(TODAY()-(Data_Val!$I$3*365.25)),Data!#REF!&lt;=(TODAY()-(Data_Val!$I$2*365.25))),0,1),1))</f>
        <v>#REF!</v>
      </c>
      <c r="AY120" s="12" t="e">
        <f>IF(Data!#REF!="","",IF(Data!$G120="",1,IF(ISNUMBER(MATCH(Data!#REF!,Data_Val!$D$2:$D$10,0)),0,1)))</f>
        <v>#REF!</v>
      </c>
      <c r="AZ120" s="11"/>
      <c r="BA120" s="19" t="e">
        <f ca="1">IF(Data!#REF!="","",IF(ISNUMBER(Data!#REF!),IF(AND(Data!#REF!&gt;(TODAY()-(Data_Val!$M$3*365.25)),Data!#REF!&lt;=(TODAY()-(Data_Val!$M$2*365.25))),0,1),1))</f>
        <v>#REF!</v>
      </c>
      <c r="BB120" s="11" t="e">
        <f>IF(Data!#REF!="","",IF(Data!$G120="",1,IF(ISNUMBER(MATCH(Data!#REF!,Data_Val!$D$2:$D$10,0)),0,1)))</f>
        <v>#REF!</v>
      </c>
      <c r="BC120" s="12"/>
      <c r="BD120" s="20" t="e">
        <f ca="1">IF(Data!#REF!="","",IF(ISNUMBER(Data!#REF!),IF(AND(Data!#REF!&gt;(TODAY()-(Data_Val!$M$3*365.25)),Data!#REF!&lt;=(TODAY()-(Data_Val!$M$2*365.25))),0,1),1))</f>
        <v>#REF!</v>
      </c>
      <c r="BE120" s="12" t="e">
        <f>IF(Data!#REF!="","",IF(Data!$G120="",1,IF(ISNUMBER(MATCH(Data!#REF!,Data_Val!$D$2:$D$10,0)),0,1)))</f>
        <v>#REF!</v>
      </c>
      <c r="BF120" s="17"/>
      <c r="BG120" s="18" t="e">
        <f ca="1">IF(Data!#REF!="","",IF(ISNUMBER(Data!#REF!),IF(AND(Data!#REF!&gt;(TODAY()-(Data_Val!$M$3*365.25)),Data!#REF!&lt;=(TODAY()-(Data_Val!$M$2*365.25))),0,1),1))</f>
        <v>#REF!</v>
      </c>
      <c r="BH120" s="29" t="e">
        <f>IF(Data!#REF!="","",IF(Data!$G120="",1,IF(ISNUMBER(MATCH(Data!#REF!,Data_Val!$D$2:$D$10,0)),0,1)))</f>
        <v>#REF!</v>
      </c>
      <c r="BI120" s="13"/>
      <c r="BJ120" s="21" t="e">
        <f ca="1">IF(Data!#REF!="","",IF(ISNUMBER(Data!#REF!),IF(AND(Data!#REF!&gt;(TODAY()-(Data_Val!$M$3*365.25)),Data!#REF!&lt;=(TODAY()-(Data_Val!$M$2*365.25))),0,1),1))</f>
        <v>#REF!</v>
      </c>
      <c r="BK120" s="13" t="e">
        <f>IF(Data!#REF!="","",IF(Data!$G120="",1,IF(ISNUMBER(MATCH(Data!#REF!,Data_Val!$D$2:$D$10,0)),0,1)))</f>
        <v>#REF!</v>
      </c>
    </row>
    <row r="121" spans="1:63" x14ac:dyDescent="0.25">
      <c r="A121" s="9" t="str">
        <f>IF(Data!B121="","",IF(COUNTIFS(Data!A$1:'Data'!A121,Data!A121)&lt;=1,0,1))</f>
        <v/>
      </c>
      <c r="B121" s="9"/>
      <c r="C121" s="23" t="str">
        <f>IF(Data!C121="","",(IF(ISNUMBER(MATCH("*@*.?*",Data!C121,0)),0,1)+IF(COUNTIFS(Data!C$1:'Data'!C121,Data!C121)&gt;1,1,0)))</f>
        <v/>
      </c>
      <c r="D121" s="9" t="str">
        <f>IF(Data!B121="","",IF(ISNUMBER(Data!D121),IF(AND(Data!D121&gt;999999999,Data!D121&lt;=9999999999),IF(COUNTIFS(Data!D$1:'Data'!D121,Data!D121)&lt;=1,0,1),1),1))</f>
        <v/>
      </c>
      <c r="E121" s="9" t="str">
        <f>IF(Data!B121="","",IF(ISNUMBER(MATCH(Data!E121,Data_Val!$A$2:$A$3,0)),0,1))</f>
        <v/>
      </c>
      <c r="F121" s="9" t="str">
        <f ca="1">IF(Data!B121="","",IF(ISNUMBER(Data!F121),IF(AND(Data!F121&gt;(TODAY()-(Data_Val!$H$3*365.25)),Data!F121&lt;=(TODAY()-(Data_Val!$H$2*365.25))),0,1),1))</f>
        <v/>
      </c>
      <c r="G121" s="15" t="str">
        <f>IF(Data!B121="","",IF(AND(Data!G121="",Data!H121&lt;&gt;""),1,IF(Data!#REF!&lt;&gt;"",0,IF(ISNUMBER(MATCH(Data!G121,Data_Val!$C$2:$C$5,0)),0,1))))</f>
        <v/>
      </c>
      <c r="H121" s="15" t="str">
        <f>IF(Data!B121="","",IF(AND(Data!G121&lt;&gt;"",Data!H121=""),1,IF(Data!#REF!&lt;&gt;"",0,IF(Data!G121="",1,IF(ISNUMBER(MATCH(Data!H121,Data_Val!$D$2:$D$35,0)),0,1)))))</f>
        <v/>
      </c>
      <c r="I121" s="15" t="str">
        <f>IF(Data!B121="","",IF(Data!G121&lt;&gt;"",0,IF(ISNUMBER(MATCH(Data!#REF!,Data_Val!$E$2:$E$12,0)),0,1)))</f>
        <v/>
      </c>
      <c r="J121" s="16" t="e">
        <f>IF(OR(Data!B121="",Data!#REF!=""),"",IF(Data!#REF!="",1,0))</f>
        <v>#REF!</v>
      </c>
      <c r="K121" s="16" t="e">
        <f>IF(OR(Data!B121="",Data!#REF!=""),"",IF(Data!#REF!="",1,0))</f>
        <v>#REF!</v>
      </c>
      <c r="L121" s="16" t="e">
        <f>IF(OR(Data!B121="",Data!#REF!=""),"",IF(ISNUMBER(Data!#REF!),IF(AND(Data!#REF!&gt;Data_Val!$G$2,Data!#REF!&lt;=Data_Val!$G$3),0,1),1))</f>
        <v>#REF!</v>
      </c>
      <c r="M121" s="9" t="e">
        <f>IF(OR(Data!B121="",Data!#REF!=""),"",IF(ISNUMBER(MATCH(Data!#REF!,Data_Val!$F$1:$F$38,0)),0,1))</f>
        <v>#REF!</v>
      </c>
      <c r="N121" s="9" t="e">
        <f>IF(OR(Data!B121="",Data!#REF!=""),"",IF(Data!#REF!="",1,0))</f>
        <v>#REF!</v>
      </c>
      <c r="O121" s="17" t="e">
        <f>IF(Data!#REF!="","",IF(Data!#REF!="",1,0))</f>
        <v>#REF!</v>
      </c>
      <c r="P121" s="17" t="e">
        <f>IF(Data!#REF!="","",IF(ISNUMBER(MATCH(Data!#REF!,Data_Val!$A$2:$A$3,0)),0,1))</f>
        <v>#REF!</v>
      </c>
      <c r="Q121" s="25" t="e">
        <f ca="1">IF(Data!#REF!="","",IF(ISNUMBER(Data!#REF!),IF(AND(Data!#REF!&gt;(TODAY()-(Data_Val!$J$3*365.25)),Data!#REF!&lt;=(TODAY()-(Data_Val!$J$2*365.25))),0,1),1))</f>
        <v>#REF!</v>
      </c>
      <c r="R121" s="17" t="e">
        <f>IF(Data!#REF!="","",IF(ISNUMBER(MATCH(Data!#REF!,Data_Val!$B$2:$B$15,0)),0,1))</f>
        <v>#REF!</v>
      </c>
      <c r="S121" s="11" t="str">
        <f>IF(Data!G121="","",IF(Data!G121=Data_Val!$C$2,IF(Data!M121="",0,1),0))</f>
        <v/>
      </c>
      <c r="T121" s="11" t="str">
        <f>IF(Data!M121="","",IF(ISNUMBER(MATCH(Data!N121,Data_Val!$A$2:$A$3,0)),0,1))</f>
        <v/>
      </c>
      <c r="U121" s="11" t="str">
        <f ca="1">IF(Data!M121="","",IF(ISNUMBER(Data!O121),IF(AND(Data!O121&gt;(TODAY()-(Data_Val!$K$3*365.25)),Data!O121&lt;=(TODAY()-(Data_Val!$K$2*365.25))),0,1),1))</f>
        <v/>
      </c>
      <c r="V121" s="12" t="str">
        <f>IF(Data!G121="","",IF(Data!G121=Data_Val!$C$2,IF(Data!P121="",0,1),0))</f>
        <v/>
      </c>
      <c r="W121" s="12" t="str">
        <f>IF(Data!P121="","",IF(ISNUMBER(MATCH(Data!Q121,Data_Val!$A$2:$A$3,0)),0,1))</f>
        <v/>
      </c>
      <c r="X121" s="26" t="str">
        <f ca="1">IF(Data!P121="","",IF(ISNUMBER(Data!R121),IF(AND(Data!R121&gt;(TODAY()-(Data_Val!$L$3*365.25)),Data!R121&lt;=(TODAY()-(Data_Val!$L$2*365.25))),0,1),1))</f>
        <v/>
      </c>
      <c r="Y121" s="13" t="str">
        <f>IF(Data!$G121="","",IF(Data!$G121=Data_Val!$C$2,IF(Data!S121="",0,1),0))</f>
        <v/>
      </c>
      <c r="Z121" s="13" t="str">
        <f>IF(Data!S121="","",IF(ISNUMBER(MATCH(Data!T121,Data_Val!$A$2:$A$3,0)),0,1))</f>
        <v/>
      </c>
      <c r="AA121" s="28" t="str">
        <f ca="1">IF(Data!S121="","",IF(ISNUMBER(Data!U121),IF(AND(Data!U121&gt;(TODAY()-(Data_Val!$L$3*365.25)),Data!U121&lt;=(TODAY()-(Data_Val!$L$2*365.25))),0,1),1))</f>
        <v/>
      </c>
      <c r="AB121" s="11"/>
      <c r="AC121" s="11" t="e">
        <f>IF(Data!#REF!="","",IF(ISNUMBER(MATCH(Data!#REF!,Data_Val!$A$2:$A$3,0)),0,1))</f>
        <v>#REF!</v>
      </c>
      <c r="AD121" s="11" t="e">
        <f ca="1">IF(Data!#REF!="","",IF(ISNUMBER(Data!#REF!),IF(AND(Data!#REF!&gt;(TODAY()-(Data_Val!$L$3*365.25)),Data!#REF!&lt;=(TODAY()-(Data_Val!$L$2*365.25))),0,1),1))</f>
        <v>#REF!</v>
      </c>
      <c r="AE121" s="11" t="e">
        <f>IF(Data!#REF!="","",IF(Data!$G121="",1,IF(ISNUMBER(MATCH(Data!#REF!,Data_Val!$D$2:$D$10,0)),0,1)))</f>
        <v>#REF!</v>
      </c>
      <c r="AF121" s="12"/>
      <c r="AG121" s="12" t="e">
        <f>IF(Data!#REF!="","",IF(ISNUMBER(MATCH(Data!#REF!,Data_Val!$A$2:$A$3,0)),0,1))</f>
        <v>#REF!</v>
      </c>
      <c r="AH121" s="26" t="e">
        <f ca="1">IF(Data!#REF!="","",IF(ISNUMBER(Data!#REF!),IF(AND(Data!#REF!&gt;(TODAY()-(Data_Val!$L$3*365.25)),Data!#REF!&lt;=(TODAY()-(Data_Val!$L$2*365.25))),0,1),1))</f>
        <v>#REF!</v>
      </c>
      <c r="AI121" s="12" t="e">
        <f>IF(Data!#REF!="","",IF(Data!$G121="",1,IF(ISNUMBER(MATCH(Data!#REF!,Data_Val!$D$2:$D$10,0)),0,1)))</f>
        <v>#REF!</v>
      </c>
      <c r="AJ121" s="17"/>
      <c r="AK121" s="17" t="e">
        <f>IF(Data!#REF!="","",IF(ISNUMBER(MATCH(Data!#REF!,Data_Val!$A$2:$A$3,0)),0,1))</f>
        <v>#REF!</v>
      </c>
      <c r="AL121" s="25" t="e">
        <f ca="1">IF(Data!#REF!="","",IF(ISNUMBER(Data!#REF!),IF(AND(Data!#REF!&gt;(TODAY()-(Data_Val!$L$3*365.25)),Data!#REF!&lt;=(TODAY()-(Data_Val!$L$2*365.25))),0,1),1))</f>
        <v>#REF!</v>
      </c>
      <c r="AM121" s="17" t="e">
        <f>IF(Data!#REF!="","",IF(Data!$G121="",1,IF(ISNUMBER(MATCH(Data!#REF!,Data_Val!$D$2:$D$10,0)),0,1)))</f>
        <v>#REF!</v>
      </c>
      <c r="AN121" s="13"/>
      <c r="AO121" s="28" t="e">
        <f ca="1">IF(Data!#REF!="","",IF(ISNUMBER(Data!#REF!),IF(AND(Data!#REF!&gt;(TODAY()-(Data_Val!$I$3*365.25)),Data!#REF!&lt;=(TODAY()-(Data_Val!$I$2*365.25))),0,1),1))</f>
        <v>#REF!</v>
      </c>
      <c r="AP121" s="13" t="e">
        <f>IF(Data!#REF!="","",IF(Data!$G121="",1,IF(ISNUMBER(MATCH(Data!#REF!,Data_Val!$D$2:$D$10,0)),0,1)))</f>
        <v>#REF!</v>
      </c>
      <c r="AQ121" s="17"/>
      <c r="AR121" s="30" t="e">
        <f ca="1">IF(Data!#REF!="","",IF(ISNUMBER(Data!#REF!),IF(AND(Data!#REF!&gt;(TODAY()-(Data_Val!$I$3*365.25)),Data!#REF!&lt;=(TODAY()-(Data_Val!$I$2*365.25))),0,1),1))</f>
        <v>#REF!</v>
      </c>
      <c r="AS121" s="31" t="e">
        <f>IF(Data!#REF!="","",IF(Data!$G121="",1,IF(ISNUMBER(MATCH(Data!#REF!,Data_Val!$D$2:$D$10,0)),0,1)))</f>
        <v>#REF!</v>
      </c>
      <c r="AT121" s="11"/>
      <c r="AU121" s="11" t="e">
        <f ca="1">IF(Data!#REF!="","",IF(ISNUMBER(Data!#REF!),IF(AND(Data!#REF!&gt;(TODAY()-(Data_Val!$I$3*365.25)),Data!#REF!&lt;=(TODAY()-(Data_Val!$I$2*365.25))),0,1),1))</f>
        <v>#REF!</v>
      </c>
      <c r="AV121" s="11" t="e">
        <f>IF(Data!#REF!="","",IF(Data!$G121="",1,IF(ISNUMBER(MATCH(Data!#REF!,Data_Val!$D$2:$D$10,0)),0,1)))</f>
        <v>#REF!</v>
      </c>
      <c r="AW121" s="12"/>
      <c r="AX121" s="26" t="e">
        <f ca="1">IF(Data!#REF!="","",IF(ISNUMBER(Data!#REF!),IF(AND(Data!#REF!&gt;(TODAY()-(Data_Val!$I$3*365.25)),Data!#REF!&lt;=(TODAY()-(Data_Val!$I$2*365.25))),0,1),1))</f>
        <v>#REF!</v>
      </c>
      <c r="AY121" s="12" t="e">
        <f>IF(Data!#REF!="","",IF(Data!$G121="",1,IF(ISNUMBER(MATCH(Data!#REF!,Data_Val!$D$2:$D$10,0)),0,1)))</f>
        <v>#REF!</v>
      </c>
      <c r="AZ121" s="11"/>
      <c r="BA121" s="19" t="e">
        <f ca="1">IF(Data!#REF!="","",IF(ISNUMBER(Data!#REF!),IF(AND(Data!#REF!&gt;(TODAY()-(Data_Val!$M$3*365.25)),Data!#REF!&lt;=(TODAY()-(Data_Val!$M$2*365.25))),0,1),1))</f>
        <v>#REF!</v>
      </c>
      <c r="BB121" s="11" t="e">
        <f>IF(Data!#REF!="","",IF(Data!$G121="",1,IF(ISNUMBER(MATCH(Data!#REF!,Data_Val!$D$2:$D$10,0)),0,1)))</f>
        <v>#REF!</v>
      </c>
      <c r="BC121" s="12"/>
      <c r="BD121" s="20" t="e">
        <f ca="1">IF(Data!#REF!="","",IF(ISNUMBER(Data!#REF!),IF(AND(Data!#REF!&gt;(TODAY()-(Data_Val!$M$3*365.25)),Data!#REF!&lt;=(TODAY()-(Data_Val!$M$2*365.25))),0,1),1))</f>
        <v>#REF!</v>
      </c>
      <c r="BE121" s="12" t="e">
        <f>IF(Data!#REF!="","",IF(Data!$G121="",1,IF(ISNUMBER(MATCH(Data!#REF!,Data_Val!$D$2:$D$10,0)),0,1)))</f>
        <v>#REF!</v>
      </c>
      <c r="BF121" s="17"/>
      <c r="BG121" s="18" t="e">
        <f ca="1">IF(Data!#REF!="","",IF(ISNUMBER(Data!#REF!),IF(AND(Data!#REF!&gt;(TODAY()-(Data_Val!$M$3*365.25)),Data!#REF!&lt;=(TODAY()-(Data_Val!$M$2*365.25))),0,1),1))</f>
        <v>#REF!</v>
      </c>
      <c r="BH121" s="29" t="e">
        <f>IF(Data!#REF!="","",IF(Data!$G121="",1,IF(ISNUMBER(MATCH(Data!#REF!,Data_Val!$D$2:$D$10,0)),0,1)))</f>
        <v>#REF!</v>
      </c>
      <c r="BI121" s="13"/>
      <c r="BJ121" s="21" t="e">
        <f ca="1">IF(Data!#REF!="","",IF(ISNUMBER(Data!#REF!),IF(AND(Data!#REF!&gt;(TODAY()-(Data_Val!$M$3*365.25)),Data!#REF!&lt;=(TODAY()-(Data_Val!$M$2*365.25))),0,1),1))</f>
        <v>#REF!</v>
      </c>
      <c r="BK121" s="13" t="e">
        <f>IF(Data!#REF!="","",IF(Data!$G121="",1,IF(ISNUMBER(MATCH(Data!#REF!,Data_Val!$D$2:$D$10,0)),0,1)))</f>
        <v>#REF!</v>
      </c>
    </row>
    <row r="122" spans="1:63" x14ac:dyDescent="0.25">
      <c r="A122" s="9" t="str">
        <f>IF(Data!B122="","",IF(COUNTIFS(Data!A$1:'Data'!A122,Data!A122)&lt;=1,0,1))</f>
        <v/>
      </c>
      <c r="B122" s="9"/>
      <c r="C122" s="23" t="str">
        <f>IF(Data!C122="","",(IF(ISNUMBER(MATCH("*@*.?*",Data!C122,0)),0,1)+IF(COUNTIFS(Data!C$1:'Data'!C122,Data!C122)&gt;1,1,0)))</f>
        <v/>
      </c>
      <c r="D122" s="9" t="str">
        <f>IF(Data!B122="","",IF(ISNUMBER(Data!D122),IF(AND(Data!D122&gt;999999999,Data!D122&lt;=9999999999),IF(COUNTIFS(Data!D$1:'Data'!D122,Data!D122)&lt;=1,0,1),1),1))</f>
        <v/>
      </c>
      <c r="E122" s="9" t="str">
        <f>IF(Data!B122="","",IF(ISNUMBER(MATCH(Data!E122,Data_Val!$A$2:$A$3,0)),0,1))</f>
        <v/>
      </c>
      <c r="F122" s="9" t="str">
        <f ca="1">IF(Data!B122="","",IF(ISNUMBER(Data!F122),IF(AND(Data!F122&gt;(TODAY()-(Data_Val!$H$3*365.25)),Data!F122&lt;=(TODAY()-(Data_Val!$H$2*365.25))),0,1),1))</f>
        <v/>
      </c>
      <c r="G122" s="15" t="str">
        <f>IF(Data!B122="","",IF(AND(Data!G122="",Data!H122&lt;&gt;""),1,IF(Data!#REF!&lt;&gt;"",0,IF(ISNUMBER(MATCH(Data!G122,Data_Val!$C$2:$C$5,0)),0,1))))</f>
        <v/>
      </c>
      <c r="H122" s="15" t="str">
        <f>IF(Data!B122="","",IF(AND(Data!G122&lt;&gt;"",Data!H122=""),1,IF(Data!#REF!&lt;&gt;"",0,IF(Data!G122="",1,IF(ISNUMBER(MATCH(Data!H122,Data_Val!$D$2:$D$35,0)),0,1)))))</f>
        <v/>
      </c>
      <c r="I122" s="15" t="str">
        <f>IF(Data!B122="","",IF(Data!G122&lt;&gt;"",0,IF(ISNUMBER(MATCH(Data!#REF!,Data_Val!$E$2:$E$12,0)),0,1)))</f>
        <v/>
      </c>
      <c r="J122" s="16" t="e">
        <f>IF(OR(Data!B122="",Data!#REF!=""),"",IF(Data!#REF!="",1,0))</f>
        <v>#REF!</v>
      </c>
      <c r="K122" s="16" t="e">
        <f>IF(OR(Data!B122="",Data!#REF!=""),"",IF(Data!#REF!="",1,0))</f>
        <v>#REF!</v>
      </c>
      <c r="L122" s="16" t="e">
        <f>IF(OR(Data!B122="",Data!#REF!=""),"",IF(ISNUMBER(Data!#REF!),IF(AND(Data!#REF!&gt;Data_Val!$G$2,Data!#REF!&lt;=Data_Val!$G$3),0,1),1))</f>
        <v>#REF!</v>
      </c>
      <c r="M122" s="9" t="e">
        <f>IF(OR(Data!B122="",Data!#REF!=""),"",IF(ISNUMBER(MATCH(Data!#REF!,Data_Val!$F$1:$F$38,0)),0,1))</f>
        <v>#REF!</v>
      </c>
      <c r="N122" s="9" t="e">
        <f>IF(OR(Data!B122="",Data!#REF!=""),"",IF(Data!#REF!="",1,0))</f>
        <v>#REF!</v>
      </c>
      <c r="O122" s="17" t="e">
        <f>IF(Data!#REF!="","",IF(Data!#REF!="",1,0))</f>
        <v>#REF!</v>
      </c>
      <c r="P122" s="17" t="e">
        <f>IF(Data!#REF!="","",IF(ISNUMBER(MATCH(Data!#REF!,Data_Val!$A$2:$A$3,0)),0,1))</f>
        <v>#REF!</v>
      </c>
      <c r="Q122" s="25" t="e">
        <f ca="1">IF(Data!#REF!="","",IF(ISNUMBER(Data!#REF!),IF(AND(Data!#REF!&gt;(TODAY()-(Data_Val!$J$3*365.25)),Data!#REF!&lt;=(TODAY()-(Data_Val!$J$2*365.25))),0,1),1))</f>
        <v>#REF!</v>
      </c>
      <c r="R122" s="17" t="e">
        <f>IF(Data!#REF!="","",IF(ISNUMBER(MATCH(Data!#REF!,Data_Val!$B$2:$B$15,0)),0,1))</f>
        <v>#REF!</v>
      </c>
      <c r="S122" s="11" t="str">
        <f>IF(Data!G122="","",IF(Data!G122=Data_Val!$C$2,IF(Data!M122="",0,1),0))</f>
        <v/>
      </c>
      <c r="T122" s="11" t="str">
        <f>IF(Data!M122="","",IF(ISNUMBER(MATCH(Data!N122,Data_Val!$A$2:$A$3,0)),0,1))</f>
        <v/>
      </c>
      <c r="U122" s="11" t="str">
        <f ca="1">IF(Data!M122="","",IF(ISNUMBER(Data!O122),IF(AND(Data!O122&gt;(TODAY()-(Data_Val!$K$3*365.25)),Data!O122&lt;=(TODAY()-(Data_Val!$K$2*365.25))),0,1),1))</f>
        <v/>
      </c>
      <c r="V122" s="12" t="str">
        <f>IF(Data!G122="","",IF(Data!G122=Data_Val!$C$2,IF(Data!P122="",0,1),0))</f>
        <v/>
      </c>
      <c r="W122" s="12" t="str">
        <f>IF(Data!P122="","",IF(ISNUMBER(MATCH(Data!Q122,Data_Val!$A$2:$A$3,0)),0,1))</f>
        <v/>
      </c>
      <c r="X122" s="26" t="str">
        <f ca="1">IF(Data!P122="","",IF(ISNUMBER(Data!R122),IF(AND(Data!R122&gt;(TODAY()-(Data_Val!$L$3*365.25)),Data!R122&lt;=(TODAY()-(Data_Val!$L$2*365.25))),0,1),1))</f>
        <v/>
      </c>
      <c r="Y122" s="13" t="str">
        <f>IF(Data!$G122="","",IF(Data!$G122=Data_Val!$C$2,IF(Data!S122="",0,1),0))</f>
        <v/>
      </c>
      <c r="Z122" s="13" t="str">
        <f>IF(Data!S122="","",IF(ISNUMBER(MATCH(Data!T122,Data_Val!$A$2:$A$3,0)),0,1))</f>
        <v/>
      </c>
      <c r="AA122" s="28" t="str">
        <f ca="1">IF(Data!S122="","",IF(ISNUMBER(Data!U122),IF(AND(Data!U122&gt;(TODAY()-(Data_Val!$L$3*365.25)),Data!U122&lt;=(TODAY()-(Data_Val!$L$2*365.25))),0,1),1))</f>
        <v/>
      </c>
      <c r="AB122" s="11"/>
      <c r="AC122" s="11" t="e">
        <f>IF(Data!#REF!="","",IF(ISNUMBER(MATCH(Data!#REF!,Data_Val!$A$2:$A$3,0)),0,1))</f>
        <v>#REF!</v>
      </c>
      <c r="AD122" s="11" t="e">
        <f ca="1">IF(Data!#REF!="","",IF(ISNUMBER(Data!#REF!),IF(AND(Data!#REF!&gt;(TODAY()-(Data_Val!$L$3*365.25)),Data!#REF!&lt;=(TODAY()-(Data_Val!$L$2*365.25))),0,1),1))</f>
        <v>#REF!</v>
      </c>
      <c r="AE122" s="11" t="e">
        <f>IF(Data!#REF!="","",IF(Data!$G122="",1,IF(ISNUMBER(MATCH(Data!#REF!,Data_Val!$D$2:$D$10,0)),0,1)))</f>
        <v>#REF!</v>
      </c>
      <c r="AF122" s="12"/>
      <c r="AG122" s="12" t="e">
        <f>IF(Data!#REF!="","",IF(ISNUMBER(MATCH(Data!#REF!,Data_Val!$A$2:$A$3,0)),0,1))</f>
        <v>#REF!</v>
      </c>
      <c r="AH122" s="26" t="e">
        <f ca="1">IF(Data!#REF!="","",IF(ISNUMBER(Data!#REF!),IF(AND(Data!#REF!&gt;(TODAY()-(Data_Val!$L$3*365.25)),Data!#REF!&lt;=(TODAY()-(Data_Val!$L$2*365.25))),0,1),1))</f>
        <v>#REF!</v>
      </c>
      <c r="AI122" s="12" t="e">
        <f>IF(Data!#REF!="","",IF(Data!$G122="",1,IF(ISNUMBER(MATCH(Data!#REF!,Data_Val!$D$2:$D$10,0)),0,1)))</f>
        <v>#REF!</v>
      </c>
      <c r="AJ122" s="17"/>
      <c r="AK122" s="17" t="e">
        <f>IF(Data!#REF!="","",IF(ISNUMBER(MATCH(Data!#REF!,Data_Val!$A$2:$A$3,0)),0,1))</f>
        <v>#REF!</v>
      </c>
      <c r="AL122" s="25" t="e">
        <f ca="1">IF(Data!#REF!="","",IF(ISNUMBER(Data!#REF!),IF(AND(Data!#REF!&gt;(TODAY()-(Data_Val!$L$3*365.25)),Data!#REF!&lt;=(TODAY()-(Data_Val!$L$2*365.25))),0,1),1))</f>
        <v>#REF!</v>
      </c>
      <c r="AM122" s="17" t="e">
        <f>IF(Data!#REF!="","",IF(Data!$G122="",1,IF(ISNUMBER(MATCH(Data!#REF!,Data_Val!$D$2:$D$10,0)),0,1)))</f>
        <v>#REF!</v>
      </c>
      <c r="AN122" s="13"/>
      <c r="AO122" s="28" t="e">
        <f ca="1">IF(Data!#REF!="","",IF(ISNUMBER(Data!#REF!),IF(AND(Data!#REF!&gt;(TODAY()-(Data_Val!$I$3*365.25)),Data!#REF!&lt;=(TODAY()-(Data_Val!$I$2*365.25))),0,1),1))</f>
        <v>#REF!</v>
      </c>
      <c r="AP122" s="13" t="e">
        <f>IF(Data!#REF!="","",IF(Data!$G122="",1,IF(ISNUMBER(MATCH(Data!#REF!,Data_Val!$D$2:$D$10,0)),0,1)))</f>
        <v>#REF!</v>
      </c>
      <c r="AQ122" s="17"/>
      <c r="AR122" s="30" t="e">
        <f ca="1">IF(Data!#REF!="","",IF(ISNUMBER(Data!#REF!),IF(AND(Data!#REF!&gt;(TODAY()-(Data_Val!$I$3*365.25)),Data!#REF!&lt;=(TODAY()-(Data_Val!$I$2*365.25))),0,1),1))</f>
        <v>#REF!</v>
      </c>
      <c r="AS122" s="31" t="e">
        <f>IF(Data!#REF!="","",IF(Data!$G122="",1,IF(ISNUMBER(MATCH(Data!#REF!,Data_Val!$D$2:$D$10,0)),0,1)))</f>
        <v>#REF!</v>
      </c>
      <c r="AT122" s="11"/>
      <c r="AU122" s="11" t="e">
        <f ca="1">IF(Data!#REF!="","",IF(ISNUMBER(Data!#REF!),IF(AND(Data!#REF!&gt;(TODAY()-(Data_Val!$I$3*365.25)),Data!#REF!&lt;=(TODAY()-(Data_Val!$I$2*365.25))),0,1),1))</f>
        <v>#REF!</v>
      </c>
      <c r="AV122" s="11" t="e">
        <f>IF(Data!#REF!="","",IF(Data!$G122="",1,IF(ISNUMBER(MATCH(Data!#REF!,Data_Val!$D$2:$D$10,0)),0,1)))</f>
        <v>#REF!</v>
      </c>
      <c r="AW122" s="12"/>
      <c r="AX122" s="26" t="e">
        <f ca="1">IF(Data!#REF!="","",IF(ISNUMBER(Data!#REF!),IF(AND(Data!#REF!&gt;(TODAY()-(Data_Val!$I$3*365.25)),Data!#REF!&lt;=(TODAY()-(Data_Val!$I$2*365.25))),0,1),1))</f>
        <v>#REF!</v>
      </c>
      <c r="AY122" s="12" t="e">
        <f>IF(Data!#REF!="","",IF(Data!$G122="",1,IF(ISNUMBER(MATCH(Data!#REF!,Data_Val!$D$2:$D$10,0)),0,1)))</f>
        <v>#REF!</v>
      </c>
      <c r="AZ122" s="11"/>
      <c r="BA122" s="19" t="e">
        <f ca="1">IF(Data!#REF!="","",IF(ISNUMBER(Data!#REF!),IF(AND(Data!#REF!&gt;(TODAY()-(Data_Val!$M$3*365.25)),Data!#REF!&lt;=(TODAY()-(Data_Val!$M$2*365.25))),0,1),1))</f>
        <v>#REF!</v>
      </c>
      <c r="BB122" s="11" t="e">
        <f>IF(Data!#REF!="","",IF(Data!$G122="",1,IF(ISNUMBER(MATCH(Data!#REF!,Data_Val!$D$2:$D$10,0)),0,1)))</f>
        <v>#REF!</v>
      </c>
      <c r="BC122" s="12"/>
      <c r="BD122" s="20" t="e">
        <f ca="1">IF(Data!#REF!="","",IF(ISNUMBER(Data!#REF!),IF(AND(Data!#REF!&gt;(TODAY()-(Data_Val!$M$3*365.25)),Data!#REF!&lt;=(TODAY()-(Data_Val!$M$2*365.25))),0,1),1))</f>
        <v>#REF!</v>
      </c>
      <c r="BE122" s="12" t="e">
        <f>IF(Data!#REF!="","",IF(Data!$G122="",1,IF(ISNUMBER(MATCH(Data!#REF!,Data_Val!$D$2:$D$10,0)),0,1)))</f>
        <v>#REF!</v>
      </c>
      <c r="BF122" s="17"/>
      <c r="BG122" s="18" t="e">
        <f ca="1">IF(Data!#REF!="","",IF(ISNUMBER(Data!#REF!),IF(AND(Data!#REF!&gt;(TODAY()-(Data_Val!$M$3*365.25)),Data!#REF!&lt;=(TODAY()-(Data_Val!$M$2*365.25))),0,1),1))</f>
        <v>#REF!</v>
      </c>
      <c r="BH122" s="29" t="e">
        <f>IF(Data!#REF!="","",IF(Data!$G122="",1,IF(ISNUMBER(MATCH(Data!#REF!,Data_Val!$D$2:$D$10,0)),0,1)))</f>
        <v>#REF!</v>
      </c>
      <c r="BI122" s="13"/>
      <c r="BJ122" s="21" t="e">
        <f ca="1">IF(Data!#REF!="","",IF(ISNUMBER(Data!#REF!),IF(AND(Data!#REF!&gt;(TODAY()-(Data_Val!$M$3*365.25)),Data!#REF!&lt;=(TODAY()-(Data_Val!$M$2*365.25))),0,1),1))</f>
        <v>#REF!</v>
      </c>
      <c r="BK122" s="13" t="e">
        <f>IF(Data!#REF!="","",IF(Data!$G122="",1,IF(ISNUMBER(MATCH(Data!#REF!,Data_Val!$D$2:$D$10,0)),0,1)))</f>
        <v>#REF!</v>
      </c>
    </row>
    <row r="123" spans="1:63" x14ac:dyDescent="0.25">
      <c r="A123" s="9" t="str">
        <f>IF(Data!B123="","",IF(COUNTIFS(Data!A$1:'Data'!A123,Data!A123)&lt;=1,0,1))</f>
        <v/>
      </c>
      <c r="B123" s="9"/>
      <c r="C123" s="23" t="str">
        <f>IF(Data!C123="","",(IF(ISNUMBER(MATCH("*@*.?*",Data!C123,0)),0,1)+IF(COUNTIFS(Data!C$1:'Data'!C123,Data!C123)&gt;1,1,0)))</f>
        <v/>
      </c>
      <c r="D123" s="9" t="str">
        <f>IF(Data!B123="","",IF(ISNUMBER(Data!D123),IF(AND(Data!D123&gt;999999999,Data!D123&lt;=9999999999),IF(COUNTIFS(Data!D$1:'Data'!D123,Data!D123)&lt;=1,0,1),1),1))</f>
        <v/>
      </c>
      <c r="E123" s="9" t="str">
        <f>IF(Data!B123="","",IF(ISNUMBER(MATCH(Data!E123,Data_Val!$A$2:$A$3,0)),0,1))</f>
        <v/>
      </c>
      <c r="F123" s="9" t="str">
        <f ca="1">IF(Data!B123="","",IF(ISNUMBER(Data!F123),IF(AND(Data!F123&gt;(TODAY()-(Data_Val!$H$3*365.25)),Data!F123&lt;=(TODAY()-(Data_Val!$H$2*365.25))),0,1),1))</f>
        <v/>
      </c>
      <c r="G123" s="15" t="str">
        <f>IF(Data!B123="","",IF(AND(Data!G123="",Data!H123&lt;&gt;""),1,IF(Data!#REF!&lt;&gt;"",0,IF(ISNUMBER(MATCH(Data!G123,Data_Val!$C$2:$C$5,0)),0,1))))</f>
        <v/>
      </c>
      <c r="H123" s="15" t="str">
        <f>IF(Data!B123="","",IF(AND(Data!G123&lt;&gt;"",Data!H123=""),1,IF(Data!#REF!&lt;&gt;"",0,IF(Data!G123="",1,IF(ISNUMBER(MATCH(Data!H123,Data_Val!$D$2:$D$35,0)),0,1)))))</f>
        <v/>
      </c>
      <c r="I123" s="15" t="str">
        <f>IF(Data!B123="","",IF(Data!G123&lt;&gt;"",0,IF(ISNUMBER(MATCH(Data!#REF!,Data_Val!$E$2:$E$12,0)),0,1)))</f>
        <v/>
      </c>
      <c r="J123" s="16" t="e">
        <f>IF(OR(Data!B123="",Data!#REF!=""),"",IF(Data!#REF!="",1,0))</f>
        <v>#REF!</v>
      </c>
      <c r="K123" s="16" t="e">
        <f>IF(OR(Data!B123="",Data!#REF!=""),"",IF(Data!#REF!="",1,0))</f>
        <v>#REF!</v>
      </c>
      <c r="L123" s="16" t="e">
        <f>IF(OR(Data!B123="",Data!#REF!=""),"",IF(ISNUMBER(Data!#REF!),IF(AND(Data!#REF!&gt;Data_Val!$G$2,Data!#REF!&lt;=Data_Val!$G$3),0,1),1))</f>
        <v>#REF!</v>
      </c>
      <c r="M123" s="9" t="e">
        <f>IF(OR(Data!B123="",Data!#REF!=""),"",IF(ISNUMBER(MATCH(Data!#REF!,Data_Val!$F$1:$F$38,0)),0,1))</f>
        <v>#REF!</v>
      </c>
      <c r="N123" s="9" t="e">
        <f>IF(OR(Data!B123="",Data!#REF!=""),"",IF(Data!#REF!="",1,0))</f>
        <v>#REF!</v>
      </c>
      <c r="O123" s="17" t="e">
        <f>IF(Data!#REF!="","",IF(Data!#REF!="",1,0))</f>
        <v>#REF!</v>
      </c>
      <c r="P123" s="17" t="e">
        <f>IF(Data!#REF!="","",IF(ISNUMBER(MATCH(Data!#REF!,Data_Val!$A$2:$A$3,0)),0,1))</f>
        <v>#REF!</v>
      </c>
      <c r="Q123" s="25" t="e">
        <f ca="1">IF(Data!#REF!="","",IF(ISNUMBER(Data!#REF!),IF(AND(Data!#REF!&gt;(TODAY()-(Data_Val!$J$3*365.25)),Data!#REF!&lt;=(TODAY()-(Data_Val!$J$2*365.25))),0,1),1))</f>
        <v>#REF!</v>
      </c>
      <c r="R123" s="17" t="e">
        <f>IF(Data!#REF!="","",IF(ISNUMBER(MATCH(Data!#REF!,Data_Val!$B$2:$B$15,0)),0,1))</f>
        <v>#REF!</v>
      </c>
      <c r="S123" s="11" t="str">
        <f>IF(Data!G123="","",IF(Data!G123=Data_Val!$C$2,IF(Data!M123="",0,1),0))</f>
        <v/>
      </c>
      <c r="T123" s="11" t="str">
        <f>IF(Data!M123="","",IF(ISNUMBER(MATCH(Data!N123,Data_Val!$A$2:$A$3,0)),0,1))</f>
        <v/>
      </c>
      <c r="U123" s="11" t="str">
        <f ca="1">IF(Data!M123="","",IF(ISNUMBER(Data!O123),IF(AND(Data!O123&gt;(TODAY()-(Data_Val!$K$3*365.25)),Data!O123&lt;=(TODAY()-(Data_Val!$K$2*365.25))),0,1),1))</f>
        <v/>
      </c>
      <c r="V123" s="12" t="str">
        <f>IF(Data!G123="","",IF(Data!G123=Data_Val!$C$2,IF(Data!P123="",0,1),0))</f>
        <v/>
      </c>
      <c r="W123" s="12" t="str">
        <f>IF(Data!P123="","",IF(ISNUMBER(MATCH(Data!Q123,Data_Val!$A$2:$A$3,0)),0,1))</f>
        <v/>
      </c>
      <c r="X123" s="26" t="str">
        <f ca="1">IF(Data!P123="","",IF(ISNUMBER(Data!R123),IF(AND(Data!R123&gt;(TODAY()-(Data_Val!$L$3*365.25)),Data!R123&lt;=(TODAY()-(Data_Val!$L$2*365.25))),0,1),1))</f>
        <v/>
      </c>
      <c r="Y123" s="13" t="str">
        <f>IF(Data!$G123="","",IF(Data!$G123=Data_Val!$C$2,IF(Data!S123="",0,1),0))</f>
        <v/>
      </c>
      <c r="Z123" s="13" t="str">
        <f>IF(Data!S123="","",IF(ISNUMBER(MATCH(Data!T123,Data_Val!$A$2:$A$3,0)),0,1))</f>
        <v/>
      </c>
      <c r="AA123" s="28" t="str">
        <f ca="1">IF(Data!S123="","",IF(ISNUMBER(Data!U123),IF(AND(Data!U123&gt;(TODAY()-(Data_Val!$L$3*365.25)),Data!U123&lt;=(TODAY()-(Data_Val!$L$2*365.25))),0,1),1))</f>
        <v/>
      </c>
      <c r="AB123" s="11"/>
      <c r="AC123" s="11" t="e">
        <f>IF(Data!#REF!="","",IF(ISNUMBER(MATCH(Data!#REF!,Data_Val!$A$2:$A$3,0)),0,1))</f>
        <v>#REF!</v>
      </c>
      <c r="AD123" s="11" t="e">
        <f ca="1">IF(Data!#REF!="","",IF(ISNUMBER(Data!#REF!),IF(AND(Data!#REF!&gt;(TODAY()-(Data_Val!$L$3*365.25)),Data!#REF!&lt;=(TODAY()-(Data_Val!$L$2*365.25))),0,1),1))</f>
        <v>#REF!</v>
      </c>
      <c r="AE123" s="11" t="e">
        <f>IF(Data!#REF!="","",IF(Data!$G123="",1,IF(ISNUMBER(MATCH(Data!#REF!,Data_Val!$D$2:$D$10,0)),0,1)))</f>
        <v>#REF!</v>
      </c>
      <c r="AF123" s="12"/>
      <c r="AG123" s="12" t="e">
        <f>IF(Data!#REF!="","",IF(ISNUMBER(MATCH(Data!#REF!,Data_Val!$A$2:$A$3,0)),0,1))</f>
        <v>#REF!</v>
      </c>
      <c r="AH123" s="26" t="e">
        <f ca="1">IF(Data!#REF!="","",IF(ISNUMBER(Data!#REF!),IF(AND(Data!#REF!&gt;(TODAY()-(Data_Val!$L$3*365.25)),Data!#REF!&lt;=(TODAY()-(Data_Val!$L$2*365.25))),0,1),1))</f>
        <v>#REF!</v>
      </c>
      <c r="AI123" s="12" t="e">
        <f>IF(Data!#REF!="","",IF(Data!$G123="",1,IF(ISNUMBER(MATCH(Data!#REF!,Data_Val!$D$2:$D$10,0)),0,1)))</f>
        <v>#REF!</v>
      </c>
      <c r="AJ123" s="17"/>
      <c r="AK123" s="17" t="e">
        <f>IF(Data!#REF!="","",IF(ISNUMBER(MATCH(Data!#REF!,Data_Val!$A$2:$A$3,0)),0,1))</f>
        <v>#REF!</v>
      </c>
      <c r="AL123" s="25" t="e">
        <f ca="1">IF(Data!#REF!="","",IF(ISNUMBER(Data!#REF!),IF(AND(Data!#REF!&gt;(TODAY()-(Data_Val!$L$3*365.25)),Data!#REF!&lt;=(TODAY()-(Data_Val!$L$2*365.25))),0,1),1))</f>
        <v>#REF!</v>
      </c>
      <c r="AM123" s="17" t="e">
        <f>IF(Data!#REF!="","",IF(Data!$G123="",1,IF(ISNUMBER(MATCH(Data!#REF!,Data_Val!$D$2:$D$10,0)),0,1)))</f>
        <v>#REF!</v>
      </c>
      <c r="AN123" s="13"/>
      <c r="AO123" s="28" t="e">
        <f ca="1">IF(Data!#REF!="","",IF(ISNUMBER(Data!#REF!),IF(AND(Data!#REF!&gt;(TODAY()-(Data_Val!$I$3*365.25)),Data!#REF!&lt;=(TODAY()-(Data_Val!$I$2*365.25))),0,1),1))</f>
        <v>#REF!</v>
      </c>
      <c r="AP123" s="13" t="e">
        <f>IF(Data!#REF!="","",IF(Data!$G123="",1,IF(ISNUMBER(MATCH(Data!#REF!,Data_Val!$D$2:$D$10,0)),0,1)))</f>
        <v>#REF!</v>
      </c>
      <c r="AQ123" s="17"/>
      <c r="AR123" s="30" t="e">
        <f ca="1">IF(Data!#REF!="","",IF(ISNUMBER(Data!#REF!),IF(AND(Data!#REF!&gt;(TODAY()-(Data_Val!$I$3*365.25)),Data!#REF!&lt;=(TODAY()-(Data_Val!$I$2*365.25))),0,1),1))</f>
        <v>#REF!</v>
      </c>
      <c r="AS123" s="31" t="e">
        <f>IF(Data!#REF!="","",IF(Data!$G123="",1,IF(ISNUMBER(MATCH(Data!#REF!,Data_Val!$D$2:$D$10,0)),0,1)))</f>
        <v>#REF!</v>
      </c>
      <c r="AT123" s="11"/>
      <c r="AU123" s="11" t="e">
        <f ca="1">IF(Data!#REF!="","",IF(ISNUMBER(Data!#REF!),IF(AND(Data!#REF!&gt;(TODAY()-(Data_Val!$I$3*365.25)),Data!#REF!&lt;=(TODAY()-(Data_Val!$I$2*365.25))),0,1),1))</f>
        <v>#REF!</v>
      </c>
      <c r="AV123" s="11" t="e">
        <f>IF(Data!#REF!="","",IF(Data!$G123="",1,IF(ISNUMBER(MATCH(Data!#REF!,Data_Val!$D$2:$D$10,0)),0,1)))</f>
        <v>#REF!</v>
      </c>
      <c r="AW123" s="12"/>
      <c r="AX123" s="26" t="e">
        <f ca="1">IF(Data!#REF!="","",IF(ISNUMBER(Data!#REF!),IF(AND(Data!#REF!&gt;(TODAY()-(Data_Val!$I$3*365.25)),Data!#REF!&lt;=(TODAY()-(Data_Val!$I$2*365.25))),0,1),1))</f>
        <v>#REF!</v>
      </c>
      <c r="AY123" s="12" t="e">
        <f>IF(Data!#REF!="","",IF(Data!$G123="",1,IF(ISNUMBER(MATCH(Data!#REF!,Data_Val!$D$2:$D$10,0)),0,1)))</f>
        <v>#REF!</v>
      </c>
      <c r="AZ123" s="11"/>
      <c r="BA123" s="19" t="e">
        <f ca="1">IF(Data!#REF!="","",IF(ISNUMBER(Data!#REF!),IF(AND(Data!#REF!&gt;(TODAY()-(Data_Val!$M$3*365.25)),Data!#REF!&lt;=(TODAY()-(Data_Val!$M$2*365.25))),0,1),1))</f>
        <v>#REF!</v>
      </c>
      <c r="BB123" s="11" t="e">
        <f>IF(Data!#REF!="","",IF(Data!$G123="",1,IF(ISNUMBER(MATCH(Data!#REF!,Data_Val!$D$2:$D$10,0)),0,1)))</f>
        <v>#REF!</v>
      </c>
      <c r="BC123" s="12"/>
      <c r="BD123" s="20" t="e">
        <f ca="1">IF(Data!#REF!="","",IF(ISNUMBER(Data!#REF!),IF(AND(Data!#REF!&gt;(TODAY()-(Data_Val!$M$3*365.25)),Data!#REF!&lt;=(TODAY()-(Data_Val!$M$2*365.25))),0,1),1))</f>
        <v>#REF!</v>
      </c>
      <c r="BE123" s="12" t="e">
        <f>IF(Data!#REF!="","",IF(Data!$G123="",1,IF(ISNUMBER(MATCH(Data!#REF!,Data_Val!$D$2:$D$10,0)),0,1)))</f>
        <v>#REF!</v>
      </c>
      <c r="BF123" s="17"/>
      <c r="BG123" s="18" t="e">
        <f ca="1">IF(Data!#REF!="","",IF(ISNUMBER(Data!#REF!),IF(AND(Data!#REF!&gt;(TODAY()-(Data_Val!$M$3*365.25)),Data!#REF!&lt;=(TODAY()-(Data_Val!$M$2*365.25))),0,1),1))</f>
        <v>#REF!</v>
      </c>
      <c r="BH123" s="29" t="e">
        <f>IF(Data!#REF!="","",IF(Data!$G123="",1,IF(ISNUMBER(MATCH(Data!#REF!,Data_Val!$D$2:$D$10,0)),0,1)))</f>
        <v>#REF!</v>
      </c>
      <c r="BI123" s="13"/>
      <c r="BJ123" s="21" t="e">
        <f ca="1">IF(Data!#REF!="","",IF(ISNUMBER(Data!#REF!),IF(AND(Data!#REF!&gt;(TODAY()-(Data_Val!$M$3*365.25)),Data!#REF!&lt;=(TODAY()-(Data_Val!$M$2*365.25))),0,1),1))</f>
        <v>#REF!</v>
      </c>
      <c r="BK123" s="13" t="e">
        <f>IF(Data!#REF!="","",IF(Data!$G123="",1,IF(ISNUMBER(MATCH(Data!#REF!,Data_Val!$D$2:$D$10,0)),0,1)))</f>
        <v>#REF!</v>
      </c>
    </row>
    <row r="124" spans="1:63" x14ac:dyDescent="0.25">
      <c r="A124" s="9" t="str">
        <f>IF(Data!B124="","",IF(COUNTIFS(Data!A$1:'Data'!A124,Data!A124)&lt;=1,0,1))</f>
        <v/>
      </c>
      <c r="B124" s="9"/>
      <c r="C124" s="23" t="str">
        <f>IF(Data!C124="","",(IF(ISNUMBER(MATCH("*@*.?*",Data!C124,0)),0,1)+IF(COUNTIFS(Data!C$1:'Data'!C124,Data!C124)&gt;1,1,0)))</f>
        <v/>
      </c>
      <c r="D124" s="9" t="str">
        <f>IF(Data!B124="","",IF(ISNUMBER(Data!D124),IF(AND(Data!D124&gt;999999999,Data!D124&lt;=9999999999),IF(COUNTIFS(Data!D$1:'Data'!D124,Data!D124)&lt;=1,0,1),1),1))</f>
        <v/>
      </c>
      <c r="E124" s="9" t="str">
        <f>IF(Data!B124="","",IF(ISNUMBER(MATCH(Data!E124,Data_Val!$A$2:$A$3,0)),0,1))</f>
        <v/>
      </c>
      <c r="F124" s="9" t="str">
        <f ca="1">IF(Data!B124="","",IF(ISNUMBER(Data!F124),IF(AND(Data!F124&gt;(TODAY()-(Data_Val!$H$3*365.25)),Data!F124&lt;=(TODAY()-(Data_Val!$H$2*365.25))),0,1),1))</f>
        <v/>
      </c>
      <c r="G124" s="15" t="str">
        <f>IF(Data!B124="","",IF(AND(Data!G124="",Data!H124&lt;&gt;""),1,IF(Data!#REF!&lt;&gt;"",0,IF(ISNUMBER(MATCH(Data!G124,Data_Val!$C$2:$C$5,0)),0,1))))</f>
        <v/>
      </c>
      <c r="H124" s="15" t="str">
        <f>IF(Data!B124="","",IF(AND(Data!G124&lt;&gt;"",Data!H124=""),1,IF(Data!#REF!&lt;&gt;"",0,IF(Data!G124="",1,IF(ISNUMBER(MATCH(Data!H124,Data_Val!$D$2:$D$35,0)),0,1)))))</f>
        <v/>
      </c>
      <c r="I124" s="15" t="str">
        <f>IF(Data!B124="","",IF(Data!G124&lt;&gt;"",0,IF(ISNUMBER(MATCH(Data!#REF!,Data_Val!$E$2:$E$12,0)),0,1)))</f>
        <v/>
      </c>
      <c r="J124" s="16" t="e">
        <f>IF(OR(Data!B124="",Data!#REF!=""),"",IF(Data!#REF!="",1,0))</f>
        <v>#REF!</v>
      </c>
      <c r="K124" s="16" t="e">
        <f>IF(OR(Data!B124="",Data!#REF!=""),"",IF(Data!#REF!="",1,0))</f>
        <v>#REF!</v>
      </c>
      <c r="L124" s="16" t="e">
        <f>IF(OR(Data!B124="",Data!#REF!=""),"",IF(ISNUMBER(Data!#REF!),IF(AND(Data!#REF!&gt;Data_Val!$G$2,Data!#REF!&lt;=Data_Val!$G$3),0,1),1))</f>
        <v>#REF!</v>
      </c>
      <c r="M124" s="9" t="e">
        <f>IF(OR(Data!B124="",Data!#REF!=""),"",IF(ISNUMBER(MATCH(Data!#REF!,Data_Val!$F$1:$F$38,0)),0,1))</f>
        <v>#REF!</v>
      </c>
      <c r="N124" s="9" t="e">
        <f>IF(OR(Data!B124="",Data!#REF!=""),"",IF(Data!#REF!="",1,0))</f>
        <v>#REF!</v>
      </c>
      <c r="O124" s="17" t="e">
        <f>IF(Data!#REF!="","",IF(Data!#REF!="",1,0))</f>
        <v>#REF!</v>
      </c>
      <c r="P124" s="17" t="e">
        <f>IF(Data!#REF!="","",IF(ISNUMBER(MATCH(Data!#REF!,Data_Val!$A$2:$A$3,0)),0,1))</f>
        <v>#REF!</v>
      </c>
      <c r="Q124" s="25" t="e">
        <f ca="1">IF(Data!#REF!="","",IF(ISNUMBER(Data!#REF!),IF(AND(Data!#REF!&gt;(TODAY()-(Data_Val!$J$3*365.25)),Data!#REF!&lt;=(TODAY()-(Data_Val!$J$2*365.25))),0,1),1))</f>
        <v>#REF!</v>
      </c>
      <c r="R124" s="17" t="e">
        <f>IF(Data!#REF!="","",IF(ISNUMBER(MATCH(Data!#REF!,Data_Val!$B$2:$B$15,0)),0,1))</f>
        <v>#REF!</v>
      </c>
      <c r="S124" s="11" t="str">
        <f>IF(Data!G124="","",IF(Data!G124=Data_Val!$C$2,IF(Data!M124="",0,1),0))</f>
        <v/>
      </c>
      <c r="T124" s="11" t="str">
        <f>IF(Data!M124="","",IF(ISNUMBER(MATCH(Data!N124,Data_Val!$A$2:$A$3,0)),0,1))</f>
        <v/>
      </c>
      <c r="U124" s="11" t="str">
        <f ca="1">IF(Data!M124="","",IF(ISNUMBER(Data!O124),IF(AND(Data!O124&gt;(TODAY()-(Data_Val!$K$3*365.25)),Data!O124&lt;=(TODAY()-(Data_Val!$K$2*365.25))),0,1),1))</f>
        <v/>
      </c>
      <c r="V124" s="12" t="str">
        <f>IF(Data!G124="","",IF(Data!G124=Data_Val!$C$2,IF(Data!P124="",0,1),0))</f>
        <v/>
      </c>
      <c r="W124" s="12" t="str">
        <f>IF(Data!P124="","",IF(ISNUMBER(MATCH(Data!Q124,Data_Val!$A$2:$A$3,0)),0,1))</f>
        <v/>
      </c>
      <c r="X124" s="26" t="str">
        <f ca="1">IF(Data!P124="","",IF(ISNUMBER(Data!R124),IF(AND(Data!R124&gt;(TODAY()-(Data_Val!$L$3*365.25)),Data!R124&lt;=(TODAY()-(Data_Val!$L$2*365.25))),0,1),1))</f>
        <v/>
      </c>
      <c r="Y124" s="13" t="str">
        <f>IF(Data!$G124="","",IF(Data!$G124=Data_Val!$C$2,IF(Data!S124="",0,1),0))</f>
        <v/>
      </c>
      <c r="Z124" s="13" t="str">
        <f>IF(Data!S124="","",IF(ISNUMBER(MATCH(Data!T124,Data_Val!$A$2:$A$3,0)),0,1))</f>
        <v/>
      </c>
      <c r="AA124" s="28" t="str">
        <f ca="1">IF(Data!S124="","",IF(ISNUMBER(Data!U124),IF(AND(Data!U124&gt;(TODAY()-(Data_Val!$L$3*365.25)),Data!U124&lt;=(TODAY()-(Data_Val!$L$2*365.25))),0,1),1))</f>
        <v/>
      </c>
      <c r="AB124" s="11"/>
      <c r="AC124" s="11" t="e">
        <f>IF(Data!#REF!="","",IF(ISNUMBER(MATCH(Data!#REF!,Data_Val!$A$2:$A$3,0)),0,1))</f>
        <v>#REF!</v>
      </c>
      <c r="AD124" s="11" t="e">
        <f ca="1">IF(Data!#REF!="","",IF(ISNUMBER(Data!#REF!),IF(AND(Data!#REF!&gt;(TODAY()-(Data_Val!$L$3*365.25)),Data!#REF!&lt;=(TODAY()-(Data_Val!$L$2*365.25))),0,1),1))</f>
        <v>#REF!</v>
      </c>
      <c r="AE124" s="11" t="e">
        <f>IF(Data!#REF!="","",IF(Data!$G124="",1,IF(ISNUMBER(MATCH(Data!#REF!,Data_Val!$D$2:$D$10,0)),0,1)))</f>
        <v>#REF!</v>
      </c>
      <c r="AF124" s="12"/>
      <c r="AG124" s="12" t="e">
        <f>IF(Data!#REF!="","",IF(ISNUMBER(MATCH(Data!#REF!,Data_Val!$A$2:$A$3,0)),0,1))</f>
        <v>#REF!</v>
      </c>
      <c r="AH124" s="26" t="e">
        <f ca="1">IF(Data!#REF!="","",IF(ISNUMBER(Data!#REF!),IF(AND(Data!#REF!&gt;(TODAY()-(Data_Val!$L$3*365.25)),Data!#REF!&lt;=(TODAY()-(Data_Val!$L$2*365.25))),0,1),1))</f>
        <v>#REF!</v>
      </c>
      <c r="AI124" s="12" t="e">
        <f>IF(Data!#REF!="","",IF(Data!$G124="",1,IF(ISNUMBER(MATCH(Data!#REF!,Data_Val!$D$2:$D$10,0)),0,1)))</f>
        <v>#REF!</v>
      </c>
      <c r="AJ124" s="17"/>
      <c r="AK124" s="17" t="e">
        <f>IF(Data!#REF!="","",IF(ISNUMBER(MATCH(Data!#REF!,Data_Val!$A$2:$A$3,0)),0,1))</f>
        <v>#REF!</v>
      </c>
      <c r="AL124" s="25" t="e">
        <f ca="1">IF(Data!#REF!="","",IF(ISNUMBER(Data!#REF!),IF(AND(Data!#REF!&gt;(TODAY()-(Data_Val!$L$3*365.25)),Data!#REF!&lt;=(TODAY()-(Data_Val!$L$2*365.25))),0,1),1))</f>
        <v>#REF!</v>
      </c>
      <c r="AM124" s="17" t="e">
        <f>IF(Data!#REF!="","",IF(Data!$G124="",1,IF(ISNUMBER(MATCH(Data!#REF!,Data_Val!$D$2:$D$10,0)),0,1)))</f>
        <v>#REF!</v>
      </c>
      <c r="AN124" s="13"/>
      <c r="AO124" s="28" t="e">
        <f ca="1">IF(Data!#REF!="","",IF(ISNUMBER(Data!#REF!),IF(AND(Data!#REF!&gt;(TODAY()-(Data_Val!$I$3*365.25)),Data!#REF!&lt;=(TODAY()-(Data_Val!$I$2*365.25))),0,1),1))</f>
        <v>#REF!</v>
      </c>
      <c r="AP124" s="13" t="e">
        <f>IF(Data!#REF!="","",IF(Data!$G124="",1,IF(ISNUMBER(MATCH(Data!#REF!,Data_Val!$D$2:$D$10,0)),0,1)))</f>
        <v>#REF!</v>
      </c>
      <c r="AQ124" s="17"/>
      <c r="AR124" s="30" t="e">
        <f ca="1">IF(Data!#REF!="","",IF(ISNUMBER(Data!#REF!),IF(AND(Data!#REF!&gt;(TODAY()-(Data_Val!$I$3*365.25)),Data!#REF!&lt;=(TODAY()-(Data_Val!$I$2*365.25))),0,1),1))</f>
        <v>#REF!</v>
      </c>
      <c r="AS124" s="31" t="e">
        <f>IF(Data!#REF!="","",IF(Data!$G124="",1,IF(ISNUMBER(MATCH(Data!#REF!,Data_Val!$D$2:$D$10,0)),0,1)))</f>
        <v>#REF!</v>
      </c>
      <c r="AT124" s="11"/>
      <c r="AU124" s="11" t="e">
        <f ca="1">IF(Data!#REF!="","",IF(ISNUMBER(Data!#REF!),IF(AND(Data!#REF!&gt;(TODAY()-(Data_Val!$I$3*365.25)),Data!#REF!&lt;=(TODAY()-(Data_Val!$I$2*365.25))),0,1),1))</f>
        <v>#REF!</v>
      </c>
      <c r="AV124" s="11" t="e">
        <f>IF(Data!#REF!="","",IF(Data!$G124="",1,IF(ISNUMBER(MATCH(Data!#REF!,Data_Val!$D$2:$D$10,0)),0,1)))</f>
        <v>#REF!</v>
      </c>
      <c r="AW124" s="12"/>
      <c r="AX124" s="26" t="e">
        <f ca="1">IF(Data!#REF!="","",IF(ISNUMBER(Data!#REF!),IF(AND(Data!#REF!&gt;(TODAY()-(Data_Val!$I$3*365.25)),Data!#REF!&lt;=(TODAY()-(Data_Val!$I$2*365.25))),0,1),1))</f>
        <v>#REF!</v>
      </c>
      <c r="AY124" s="12" t="e">
        <f>IF(Data!#REF!="","",IF(Data!$G124="",1,IF(ISNUMBER(MATCH(Data!#REF!,Data_Val!$D$2:$D$10,0)),0,1)))</f>
        <v>#REF!</v>
      </c>
      <c r="AZ124" s="11"/>
      <c r="BA124" s="19" t="e">
        <f ca="1">IF(Data!#REF!="","",IF(ISNUMBER(Data!#REF!),IF(AND(Data!#REF!&gt;(TODAY()-(Data_Val!$M$3*365.25)),Data!#REF!&lt;=(TODAY()-(Data_Val!$M$2*365.25))),0,1),1))</f>
        <v>#REF!</v>
      </c>
      <c r="BB124" s="11" t="e">
        <f>IF(Data!#REF!="","",IF(Data!$G124="",1,IF(ISNUMBER(MATCH(Data!#REF!,Data_Val!$D$2:$D$10,0)),0,1)))</f>
        <v>#REF!</v>
      </c>
      <c r="BC124" s="12"/>
      <c r="BD124" s="20" t="e">
        <f ca="1">IF(Data!#REF!="","",IF(ISNUMBER(Data!#REF!),IF(AND(Data!#REF!&gt;(TODAY()-(Data_Val!$M$3*365.25)),Data!#REF!&lt;=(TODAY()-(Data_Val!$M$2*365.25))),0,1),1))</f>
        <v>#REF!</v>
      </c>
      <c r="BE124" s="12" t="e">
        <f>IF(Data!#REF!="","",IF(Data!$G124="",1,IF(ISNUMBER(MATCH(Data!#REF!,Data_Val!$D$2:$D$10,0)),0,1)))</f>
        <v>#REF!</v>
      </c>
      <c r="BF124" s="17"/>
      <c r="BG124" s="18" t="e">
        <f ca="1">IF(Data!#REF!="","",IF(ISNUMBER(Data!#REF!),IF(AND(Data!#REF!&gt;(TODAY()-(Data_Val!$M$3*365.25)),Data!#REF!&lt;=(TODAY()-(Data_Val!$M$2*365.25))),0,1),1))</f>
        <v>#REF!</v>
      </c>
      <c r="BH124" s="29" t="e">
        <f>IF(Data!#REF!="","",IF(Data!$G124="",1,IF(ISNUMBER(MATCH(Data!#REF!,Data_Val!$D$2:$D$10,0)),0,1)))</f>
        <v>#REF!</v>
      </c>
      <c r="BI124" s="13"/>
      <c r="BJ124" s="21" t="e">
        <f ca="1">IF(Data!#REF!="","",IF(ISNUMBER(Data!#REF!),IF(AND(Data!#REF!&gt;(TODAY()-(Data_Val!$M$3*365.25)),Data!#REF!&lt;=(TODAY()-(Data_Val!$M$2*365.25))),0,1),1))</f>
        <v>#REF!</v>
      </c>
      <c r="BK124" s="13" t="e">
        <f>IF(Data!#REF!="","",IF(Data!$G124="",1,IF(ISNUMBER(MATCH(Data!#REF!,Data_Val!$D$2:$D$10,0)),0,1)))</f>
        <v>#REF!</v>
      </c>
    </row>
    <row r="125" spans="1:63" x14ac:dyDescent="0.25">
      <c r="A125" s="9" t="str">
        <f>IF(Data!B125="","",IF(COUNTIFS(Data!A$1:'Data'!A125,Data!A125)&lt;=1,0,1))</f>
        <v/>
      </c>
      <c r="B125" s="9"/>
      <c r="C125" s="23" t="str">
        <f>IF(Data!C125="","",(IF(ISNUMBER(MATCH("*@*.?*",Data!C125,0)),0,1)+IF(COUNTIFS(Data!C$1:'Data'!C125,Data!C125)&gt;1,1,0)))</f>
        <v/>
      </c>
      <c r="D125" s="9" t="str">
        <f>IF(Data!B125="","",IF(ISNUMBER(Data!D125),IF(AND(Data!D125&gt;999999999,Data!D125&lt;=9999999999),IF(COUNTIFS(Data!D$1:'Data'!D125,Data!D125)&lt;=1,0,1),1),1))</f>
        <v/>
      </c>
      <c r="E125" s="9" t="str">
        <f>IF(Data!B125="","",IF(ISNUMBER(MATCH(Data!E125,Data_Val!$A$2:$A$3,0)),0,1))</f>
        <v/>
      </c>
      <c r="F125" s="9" t="str">
        <f ca="1">IF(Data!B125="","",IF(ISNUMBER(Data!F125),IF(AND(Data!F125&gt;(TODAY()-(Data_Val!$H$3*365.25)),Data!F125&lt;=(TODAY()-(Data_Val!$H$2*365.25))),0,1),1))</f>
        <v/>
      </c>
      <c r="G125" s="15" t="str">
        <f>IF(Data!B125="","",IF(AND(Data!G125="",Data!H125&lt;&gt;""),1,IF(Data!#REF!&lt;&gt;"",0,IF(ISNUMBER(MATCH(Data!G125,Data_Val!$C$2:$C$5,0)),0,1))))</f>
        <v/>
      </c>
      <c r="H125" s="15" t="str">
        <f>IF(Data!B125="","",IF(AND(Data!G125&lt;&gt;"",Data!H125=""),1,IF(Data!#REF!&lt;&gt;"",0,IF(Data!G125="",1,IF(ISNUMBER(MATCH(Data!H125,Data_Val!$D$2:$D$35,0)),0,1)))))</f>
        <v/>
      </c>
      <c r="I125" s="15" t="str">
        <f>IF(Data!B125="","",IF(Data!G125&lt;&gt;"",0,IF(ISNUMBER(MATCH(Data!#REF!,Data_Val!$E$2:$E$12,0)),0,1)))</f>
        <v/>
      </c>
      <c r="J125" s="16" t="e">
        <f>IF(OR(Data!B125="",Data!#REF!=""),"",IF(Data!#REF!="",1,0))</f>
        <v>#REF!</v>
      </c>
      <c r="K125" s="16" t="e">
        <f>IF(OR(Data!B125="",Data!#REF!=""),"",IF(Data!#REF!="",1,0))</f>
        <v>#REF!</v>
      </c>
      <c r="L125" s="16" t="e">
        <f>IF(OR(Data!B125="",Data!#REF!=""),"",IF(ISNUMBER(Data!#REF!),IF(AND(Data!#REF!&gt;Data_Val!$G$2,Data!#REF!&lt;=Data_Val!$G$3),0,1),1))</f>
        <v>#REF!</v>
      </c>
      <c r="M125" s="9" t="e">
        <f>IF(OR(Data!B125="",Data!#REF!=""),"",IF(ISNUMBER(MATCH(Data!#REF!,Data_Val!$F$1:$F$38,0)),0,1))</f>
        <v>#REF!</v>
      </c>
      <c r="N125" s="9" t="e">
        <f>IF(OR(Data!B125="",Data!#REF!=""),"",IF(Data!#REF!="",1,0))</f>
        <v>#REF!</v>
      </c>
      <c r="O125" s="17" t="e">
        <f>IF(Data!#REF!="","",IF(Data!#REF!="",1,0))</f>
        <v>#REF!</v>
      </c>
      <c r="P125" s="17" t="e">
        <f>IF(Data!#REF!="","",IF(ISNUMBER(MATCH(Data!#REF!,Data_Val!$A$2:$A$3,0)),0,1))</f>
        <v>#REF!</v>
      </c>
      <c r="Q125" s="25" t="e">
        <f ca="1">IF(Data!#REF!="","",IF(ISNUMBER(Data!#REF!),IF(AND(Data!#REF!&gt;(TODAY()-(Data_Val!$J$3*365.25)),Data!#REF!&lt;=(TODAY()-(Data_Val!$J$2*365.25))),0,1),1))</f>
        <v>#REF!</v>
      </c>
      <c r="R125" s="17" t="e">
        <f>IF(Data!#REF!="","",IF(ISNUMBER(MATCH(Data!#REF!,Data_Val!$B$2:$B$15,0)),0,1))</f>
        <v>#REF!</v>
      </c>
      <c r="S125" s="11" t="str">
        <f>IF(Data!G125="","",IF(Data!G125=Data_Val!$C$2,IF(Data!M125="",0,1),0))</f>
        <v/>
      </c>
      <c r="T125" s="11" t="str">
        <f>IF(Data!M125="","",IF(ISNUMBER(MATCH(Data!N125,Data_Val!$A$2:$A$3,0)),0,1))</f>
        <v/>
      </c>
      <c r="U125" s="11" t="str">
        <f ca="1">IF(Data!M125="","",IF(ISNUMBER(Data!O125),IF(AND(Data!O125&gt;(TODAY()-(Data_Val!$K$3*365.25)),Data!O125&lt;=(TODAY()-(Data_Val!$K$2*365.25))),0,1),1))</f>
        <v/>
      </c>
      <c r="V125" s="12" t="str">
        <f>IF(Data!G125="","",IF(Data!G125=Data_Val!$C$2,IF(Data!P125="",0,1),0))</f>
        <v/>
      </c>
      <c r="W125" s="12" t="str">
        <f>IF(Data!P125="","",IF(ISNUMBER(MATCH(Data!Q125,Data_Val!$A$2:$A$3,0)),0,1))</f>
        <v/>
      </c>
      <c r="X125" s="26" t="str">
        <f ca="1">IF(Data!P125="","",IF(ISNUMBER(Data!R125),IF(AND(Data!R125&gt;(TODAY()-(Data_Val!$L$3*365.25)),Data!R125&lt;=(TODAY()-(Data_Val!$L$2*365.25))),0,1),1))</f>
        <v/>
      </c>
      <c r="Y125" s="13" t="str">
        <f>IF(Data!$G125="","",IF(Data!$G125=Data_Val!$C$2,IF(Data!S125="",0,1),0))</f>
        <v/>
      </c>
      <c r="Z125" s="13" t="str">
        <f>IF(Data!S125="","",IF(ISNUMBER(MATCH(Data!T125,Data_Val!$A$2:$A$3,0)),0,1))</f>
        <v/>
      </c>
      <c r="AA125" s="28" t="str">
        <f ca="1">IF(Data!S125="","",IF(ISNUMBER(Data!U125),IF(AND(Data!U125&gt;(TODAY()-(Data_Val!$L$3*365.25)),Data!U125&lt;=(TODAY()-(Data_Val!$L$2*365.25))),0,1),1))</f>
        <v/>
      </c>
      <c r="AB125" s="11"/>
      <c r="AC125" s="11" t="e">
        <f>IF(Data!#REF!="","",IF(ISNUMBER(MATCH(Data!#REF!,Data_Val!$A$2:$A$3,0)),0,1))</f>
        <v>#REF!</v>
      </c>
      <c r="AD125" s="11" t="e">
        <f ca="1">IF(Data!#REF!="","",IF(ISNUMBER(Data!#REF!),IF(AND(Data!#REF!&gt;(TODAY()-(Data_Val!$L$3*365.25)),Data!#REF!&lt;=(TODAY()-(Data_Val!$L$2*365.25))),0,1),1))</f>
        <v>#REF!</v>
      </c>
      <c r="AE125" s="11" t="e">
        <f>IF(Data!#REF!="","",IF(Data!$G125="",1,IF(ISNUMBER(MATCH(Data!#REF!,Data_Val!$D$2:$D$10,0)),0,1)))</f>
        <v>#REF!</v>
      </c>
      <c r="AF125" s="12"/>
      <c r="AG125" s="12" t="e">
        <f>IF(Data!#REF!="","",IF(ISNUMBER(MATCH(Data!#REF!,Data_Val!$A$2:$A$3,0)),0,1))</f>
        <v>#REF!</v>
      </c>
      <c r="AH125" s="26" t="e">
        <f ca="1">IF(Data!#REF!="","",IF(ISNUMBER(Data!#REF!),IF(AND(Data!#REF!&gt;(TODAY()-(Data_Val!$L$3*365.25)),Data!#REF!&lt;=(TODAY()-(Data_Val!$L$2*365.25))),0,1),1))</f>
        <v>#REF!</v>
      </c>
      <c r="AI125" s="12" t="e">
        <f>IF(Data!#REF!="","",IF(Data!$G125="",1,IF(ISNUMBER(MATCH(Data!#REF!,Data_Val!$D$2:$D$10,0)),0,1)))</f>
        <v>#REF!</v>
      </c>
      <c r="AJ125" s="17"/>
      <c r="AK125" s="17" t="e">
        <f>IF(Data!#REF!="","",IF(ISNUMBER(MATCH(Data!#REF!,Data_Val!$A$2:$A$3,0)),0,1))</f>
        <v>#REF!</v>
      </c>
      <c r="AL125" s="25" t="e">
        <f ca="1">IF(Data!#REF!="","",IF(ISNUMBER(Data!#REF!),IF(AND(Data!#REF!&gt;(TODAY()-(Data_Val!$L$3*365.25)),Data!#REF!&lt;=(TODAY()-(Data_Val!$L$2*365.25))),0,1),1))</f>
        <v>#REF!</v>
      </c>
      <c r="AM125" s="17" t="e">
        <f>IF(Data!#REF!="","",IF(Data!$G125="",1,IF(ISNUMBER(MATCH(Data!#REF!,Data_Val!$D$2:$D$10,0)),0,1)))</f>
        <v>#REF!</v>
      </c>
      <c r="AN125" s="13"/>
      <c r="AO125" s="28" t="e">
        <f ca="1">IF(Data!#REF!="","",IF(ISNUMBER(Data!#REF!),IF(AND(Data!#REF!&gt;(TODAY()-(Data_Val!$I$3*365.25)),Data!#REF!&lt;=(TODAY()-(Data_Val!$I$2*365.25))),0,1),1))</f>
        <v>#REF!</v>
      </c>
      <c r="AP125" s="13" t="e">
        <f>IF(Data!#REF!="","",IF(Data!$G125="",1,IF(ISNUMBER(MATCH(Data!#REF!,Data_Val!$D$2:$D$10,0)),0,1)))</f>
        <v>#REF!</v>
      </c>
      <c r="AQ125" s="17"/>
      <c r="AR125" s="30" t="e">
        <f ca="1">IF(Data!#REF!="","",IF(ISNUMBER(Data!#REF!),IF(AND(Data!#REF!&gt;(TODAY()-(Data_Val!$I$3*365.25)),Data!#REF!&lt;=(TODAY()-(Data_Val!$I$2*365.25))),0,1),1))</f>
        <v>#REF!</v>
      </c>
      <c r="AS125" s="31" t="e">
        <f>IF(Data!#REF!="","",IF(Data!$G125="",1,IF(ISNUMBER(MATCH(Data!#REF!,Data_Val!$D$2:$D$10,0)),0,1)))</f>
        <v>#REF!</v>
      </c>
      <c r="AT125" s="11"/>
      <c r="AU125" s="11" t="e">
        <f ca="1">IF(Data!#REF!="","",IF(ISNUMBER(Data!#REF!),IF(AND(Data!#REF!&gt;(TODAY()-(Data_Val!$I$3*365.25)),Data!#REF!&lt;=(TODAY()-(Data_Val!$I$2*365.25))),0,1),1))</f>
        <v>#REF!</v>
      </c>
      <c r="AV125" s="11" t="e">
        <f>IF(Data!#REF!="","",IF(Data!$G125="",1,IF(ISNUMBER(MATCH(Data!#REF!,Data_Val!$D$2:$D$10,0)),0,1)))</f>
        <v>#REF!</v>
      </c>
      <c r="AW125" s="12"/>
      <c r="AX125" s="26" t="e">
        <f ca="1">IF(Data!#REF!="","",IF(ISNUMBER(Data!#REF!),IF(AND(Data!#REF!&gt;(TODAY()-(Data_Val!$I$3*365.25)),Data!#REF!&lt;=(TODAY()-(Data_Val!$I$2*365.25))),0,1),1))</f>
        <v>#REF!</v>
      </c>
      <c r="AY125" s="12" t="e">
        <f>IF(Data!#REF!="","",IF(Data!$G125="",1,IF(ISNUMBER(MATCH(Data!#REF!,Data_Val!$D$2:$D$10,0)),0,1)))</f>
        <v>#REF!</v>
      </c>
      <c r="AZ125" s="11"/>
      <c r="BA125" s="19" t="e">
        <f ca="1">IF(Data!#REF!="","",IF(ISNUMBER(Data!#REF!),IF(AND(Data!#REF!&gt;(TODAY()-(Data_Val!$M$3*365.25)),Data!#REF!&lt;=(TODAY()-(Data_Val!$M$2*365.25))),0,1),1))</f>
        <v>#REF!</v>
      </c>
      <c r="BB125" s="11" t="e">
        <f>IF(Data!#REF!="","",IF(Data!$G125="",1,IF(ISNUMBER(MATCH(Data!#REF!,Data_Val!$D$2:$D$10,0)),0,1)))</f>
        <v>#REF!</v>
      </c>
      <c r="BC125" s="12"/>
      <c r="BD125" s="20" t="e">
        <f ca="1">IF(Data!#REF!="","",IF(ISNUMBER(Data!#REF!),IF(AND(Data!#REF!&gt;(TODAY()-(Data_Val!$M$3*365.25)),Data!#REF!&lt;=(TODAY()-(Data_Val!$M$2*365.25))),0,1),1))</f>
        <v>#REF!</v>
      </c>
      <c r="BE125" s="12" t="e">
        <f>IF(Data!#REF!="","",IF(Data!$G125="",1,IF(ISNUMBER(MATCH(Data!#REF!,Data_Val!$D$2:$D$10,0)),0,1)))</f>
        <v>#REF!</v>
      </c>
      <c r="BF125" s="17"/>
      <c r="BG125" s="18" t="e">
        <f ca="1">IF(Data!#REF!="","",IF(ISNUMBER(Data!#REF!),IF(AND(Data!#REF!&gt;(TODAY()-(Data_Val!$M$3*365.25)),Data!#REF!&lt;=(TODAY()-(Data_Val!$M$2*365.25))),0,1),1))</f>
        <v>#REF!</v>
      </c>
      <c r="BH125" s="29" t="e">
        <f>IF(Data!#REF!="","",IF(Data!$G125="",1,IF(ISNUMBER(MATCH(Data!#REF!,Data_Val!$D$2:$D$10,0)),0,1)))</f>
        <v>#REF!</v>
      </c>
      <c r="BI125" s="13"/>
      <c r="BJ125" s="21" t="e">
        <f ca="1">IF(Data!#REF!="","",IF(ISNUMBER(Data!#REF!),IF(AND(Data!#REF!&gt;(TODAY()-(Data_Val!$M$3*365.25)),Data!#REF!&lt;=(TODAY()-(Data_Val!$M$2*365.25))),0,1),1))</f>
        <v>#REF!</v>
      </c>
      <c r="BK125" s="13" t="e">
        <f>IF(Data!#REF!="","",IF(Data!$G125="",1,IF(ISNUMBER(MATCH(Data!#REF!,Data_Val!$D$2:$D$10,0)),0,1)))</f>
        <v>#REF!</v>
      </c>
    </row>
    <row r="126" spans="1:63" x14ac:dyDescent="0.25">
      <c r="A126" s="9" t="str">
        <f>IF(Data!B126="","",IF(COUNTIFS(Data!A$1:'Data'!A126,Data!A126)&lt;=1,0,1))</f>
        <v/>
      </c>
      <c r="B126" s="9"/>
      <c r="C126" s="23" t="str">
        <f>IF(Data!C126="","",(IF(ISNUMBER(MATCH("*@*.?*",Data!C126,0)),0,1)+IF(COUNTIFS(Data!C$1:'Data'!C126,Data!C126)&gt;1,1,0)))</f>
        <v/>
      </c>
      <c r="D126" s="9" t="str">
        <f>IF(Data!B126="","",IF(ISNUMBER(Data!D126),IF(AND(Data!D126&gt;999999999,Data!D126&lt;=9999999999),IF(COUNTIFS(Data!D$1:'Data'!D126,Data!D126)&lt;=1,0,1),1),1))</f>
        <v/>
      </c>
      <c r="E126" s="9" t="str">
        <f>IF(Data!B126="","",IF(ISNUMBER(MATCH(Data!E126,Data_Val!$A$2:$A$3,0)),0,1))</f>
        <v/>
      </c>
      <c r="F126" s="9" t="str">
        <f ca="1">IF(Data!B126="","",IF(ISNUMBER(Data!F126),IF(AND(Data!F126&gt;(TODAY()-(Data_Val!$H$3*365.25)),Data!F126&lt;=(TODAY()-(Data_Val!$H$2*365.25))),0,1),1))</f>
        <v/>
      </c>
      <c r="G126" s="15" t="str">
        <f>IF(Data!B126="","",IF(AND(Data!G126="",Data!H126&lt;&gt;""),1,IF(Data!#REF!&lt;&gt;"",0,IF(ISNUMBER(MATCH(Data!G126,Data_Val!$C$2:$C$5,0)),0,1))))</f>
        <v/>
      </c>
      <c r="H126" s="15" t="str">
        <f>IF(Data!B126="","",IF(AND(Data!G126&lt;&gt;"",Data!H126=""),1,IF(Data!#REF!&lt;&gt;"",0,IF(Data!G126="",1,IF(ISNUMBER(MATCH(Data!H126,Data_Val!$D$2:$D$35,0)),0,1)))))</f>
        <v/>
      </c>
      <c r="I126" s="15" t="str">
        <f>IF(Data!B126="","",IF(Data!G126&lt;&gt;"",0,IF(ISNUMBER(MATCH(Data!#REF!,Data_Val!$E$2:$E$12,0)),0,1)))</f>
        <v/>
      </c>
      <c r="J126" s="16" t="e">
        <f>IF(OR(Data!B126="",Data!#REF!=""),"",IF(Data!#REF!="",1,0))</f>
        <v>#REF!</v>
      </c>
      <c r="K126" s="16" t="e">
        <f>IF(OR(Data!B126="",Data!#REF!=""),"",IF(Data!#REF!="",1,0))</f>
        <v>#REF!</v>
      </c>
      <c r="L126" s="16" t="e">
        <f>IF(OR(Data!B126="",Data!#REF!=""),"",IF(ISNUMBER(Data!#REF!),IF(AND(Data!#REF!&gt;Data_Val!$G$2,Data!#REF!&lt;=Data_Val!$G$3),0,1),1))</f>
        <v>#REF!</v>
      </c>
      <c r="M126" s="9" t="e">
        <f>IF(OR(Data!B126="",Data!#REF!=""),"",IF(ISNUMBER(MATCH(Data!#REF!,Data_Val!$F$1:$F$38,0)),0,1))</f>
        <v>#REF!</v>
      </c>
      <c r="N126" s="9" t="e">
        <f>IF(OR(Data!B126="",Data!#REF!=""),"",IF(Data!#REF!="",1,0))</f>
        <v>#REF!</v>
      </c>
      <c r="O126" s="17" t="e">
        <f>IF(Data!#REF!="","",IF(Data!#REF!="",1,0))</f>
        <v>#REF!</v>
      </c>
      <c r="P126" s="17" t="e">
        <f>IF(Data!#REF!="","",IF(ISNUMBER(MATCH(Data!#REF!,Data_Val!$A$2:$A$3,0)),0,1))</f>
        <v>#REF!</v>
      </c>
      <c r="Q126" s="25" t="e">
        <f ca="1">IF(Data!#REF!="","",IF(ISNUMBER(Data!#REF!),IF(AND(Data!#REF!&gt;(TODAY()-(Data_Val!$J$3*365.25)),Data!#REF!&lt;=(TODAY()-(Data_Val!$J$2*365.25))),0,1),1))</f>
        <v>#REF!</v>
      </c>
      <c r="R126" s="17" t="e">
        <f>IF(Data!#REF!="","",IF(ISNUMBER(MATCH(Data!#REF!,Data_Val!$B$2:$B$15,0)),0,1))</f>
        <v>#REF!</v>
      </c>
      <c r="S126" s="11" t="str">
        <f>IF(Data!G126="","",IF(Data!G126=Data_Val!$C$2,IF(Data!M126="",0,1),0))</f>
        <v/>
      </c>
      <c r="T126" s="11" t="str">
        <f>IF(Data!M126="","",IF(ISNUMBER(MATCH(Data!N126,Data_Val!$A$2:$A$3,0)),0,1))</f>
        <v/>
      </c>
      <c r="U126" s="11" t="str">
        <f ca="1">IF(Data!M126="","",IF(ISNUMBER(Data!O126),IF(AND(Data!O126&gt;(TODAY()-(Data_Val!$K$3*365.25)),Data!O126&lt;=(TODAY()-(Data_Val!$K$2*365.25))),0,1),1))</f>
        <v/>
      </c>
      <c r="V126" s="12" t="str">
        <f>IF(Data!G126="","",IF(Data!G126=Data_Val!$C$2,IF(Data!P126="",0,1),0))</f>
        <v/>
      </c>
      <c r="W126" s="12" t="str">
        <f>IF(Data!P126="","",IF(ISNUMBER(MATCH(Data!Q126,Data_Val!$A$2:$A$3,0)),0,1))</f>
        <v/>
      </c>
      <c r="X126" s="26" t="str">
        <f ca="1">IF(Data!P126="","",IF(ISNUMBER(Data!R126),IF(AND(Data!R126&gt;(TODAY()-(Data_Val!$L$3*365.25)),Data!R126&lt;=(TODAY()-(Data_Val!$L$2*365.25))),0,1),1))</f>
        <v/>
      </c>
      <c r="Y126" s="13" t="str">
        <f>IF(Data!$G126="","",IF(Data!$G126=Data_Val!$C$2,IF(Data!S126="",0,1),0))</f>
        <v/>
      </c>
      <c r="Z126" s="13" t="str">
        <f>IF(Data!S126="","",IF(ISNUMBER(MATCH(Data!T126,Data_Val!$A$2:$A$3,0)),0,1))</f>
        <v/>
      </c>
      <c r="AA126" s="28" t="str">
        <f ca="1">IF(Data!S126="","",IF(ISNUMBER(Data!U126),IF(AND(Data!U126&gt;(TODAY()-(Data_Val!$L$3*365.25)),Data!U126&lt;=(TODAY()-(Data_Val!$L$2*365.25))),0,1),1))</f>
        <v/>
      </c>
      <c r="AB126" s="11"/>
      <c r="AC126" s="11" t="e">
        <f>IF(Data!#REF!="","",IF(ISNUMBER(MATCH(Data!#REF!,Data_Val!$A$2:$A$3,0)),0,1))</f>
        <v>#REF!</v>
      </c>
      <c r="AD126" s="11" t="e">
        <f ca="1">IF(Data!#REF!="","",IF(ISNUMBER(Data!#REF!),IF(AND(Data!#REF!&gt;(TODAY()-(Data_Val!$L$3*365.25)),Data!#REF!&lt;=(TODAY()-(Data_Val!$L$2*365.25))),0,1),1))</f>
        <v>#REF!</v>
      </c>
      <c r="AE126" s="11" t="e">
        <f>IF(Data!#REF!="","",IF(Data!$G126="",1,IF(ISNUMBER(MATCH(Data!#REF!,Data_Val!$D$2:$D$10,0)),0,1)))</f>
        <v>#REF!</v>
      </c>
      <c r="AF126" s="12"/>
      <c r="AG126" s="12" t="e">
        <f>IF(Data!#REF!="","",IF(ISNUMBER(MATCH(Data!#REF!,Data_Val!$A$2:$A$3,0)),0,1))</f>
        <v>#REF!</v>
      </c>
      <c r="AH126" s="26" t="e">
        <f ca="1">IF(Data!#REF!="","",IF(ISNUMBER(Data!#REF!),IF(AND(Data!#REF!&gt;(TODAY()-(Data_Val!$L$3*365.25)),Data!#REF!&lt;=(TODAY()-(Data_Val!$L$2*365.25))),0,1),1))</f>
        <v>#REF!</v>
      </c>
      <c r="AI126" s="12" t="e">
        <f>IF(Data!#REF!="","",IF(Data!$G126="",1,IF(ISNUMBER(MATCH(Data!#REF!,Data_Val!$D$2:$D$10,0)),0,1)))</f>
        <v>#REF!</v>
      </c>
      <c r="AJ126" s="17"/>
      <c r="AK126" s="17" t="e">
        <f>IF(Data!#REF!="","",IF(ISNUMBER(MATCH(Data!#REF!,Data_Val!$A$2:$A$3,0)),0,1))</f>
        <v>#REF!</v>
      </c>
      <c r="AL126" s="25" t="e">
        <f ca="1">IF(Data!#REF!="","",IF(ISNUMBER(Data!#REF!),IF(AND(Data!#REF!&gt;(TODAY()-(Data_Val!$L$3*365.25)),Data!#REF!&lt;=(TODAY()-(Data_Val!$L$2*365.25))),0,1),1))</f>
        <v>#REF!</v>
      </c>
      <c r="AM126" s="17" t="e">
        <f>IF(Data!#REF!="","",IF(Data!$G126="",1,IF(ISNUMBER(MATCH(Data!#REF!,Data_Val!$D$2:$D$10,0)),0,1)))</f>
        <v>#REF!</v>
      </c>
      <c r="AN126" s="13"/>
      <c r="AO126" s="28" t="e">
        <f ca="1">IF(Data!#REF!="","",IF(ISNUMBER(Data!#REF!),IF(AND(Data!#REF!&gt;(TODAY()-(Data_Val!$I$3*365.25)),Data!#REF!&lt;=(TODAY()-(Data_Val!$I$2*365.25))),0,1),1))</f>
        <v>#REF!</v>
      </c>
      <c r="AP126" s="13" t="e">
        <f>IF(Data!#REF!="","",IF(Data!$G126="",1,IF(ISNUMBER(MATCH(Data!#REF!,Data_Val!$D$2:$D$10,0)),0,1)))</f>
        <v>#REF!</v>
      </c>
      <c r="AQ126" s="17"/>
      <c r="AR126" s="30" t="e">
        <f ca="1">IF(Data!#REF!="","",IF(ISNUMBER(Data!#REF!),IF(AND(Data!#REF!&gt;(TODAY()-(Data_Val!$I$3*365.25)),Data!#REF!&lt;=(TODAY()-(Data_Val!$I$2*365.25))),0,1),1))</f>
        <v>#REF!</v>
      </c>
      <c r="AS126" s="31" t="e">
        <f>IF(Data!#REF!="","",IF(Data!$G126="",1,IF(ISNUMBER(MATCH(Data!#REF!,Data_Val!$D$2:$D$10,0)),0,1)))</f>
        <v>#REF!</v>
      </c>
      <c r="AT126" s="11"/>
      <c r="AU126" s="11" t="e">
        <f ca="1">IF(Data!#REF!="","",IF(ISNUMBER(Data!#REF!),IF(AND(Data!#REF!&gt;(TODAY()-(Data_Val!$I$3*365.25)),Data!#REF!&lt;=(TODAY()-(Data_Val!$I$2*365.25))),0,1),1))</f>
        <v>#REF!</v>
      </c>
      <c r="AV126" s="11" t="e">
        <f>IF(Data!#REF!="","",IF(Data!$G126="",1,IF(ISNUMBER(MATCH(Data!#REF!,Data_Val!$D$2:$D$10,0)),0,1)))</f>
        <v>#REF!</v>
      </c>
      <c r="AW126" s="12"/>
      <c r="AX126" s="26" t="e">
        <f ca="1">IF(Data!#REF!="","",IF(ISNUMBER(Data!#REF!),IF(AND(Data!#REF!&gt;(TODAY()-(Data_Val!$I$3*365.25)),Data!#REF!&lt;=(TODAY()-(Data_Val!$I$2*365.25))),0,1),1))</f>
        <v>#REF!</v>
      </c>
      <c r="AY126" s="12" t="e">
        <f>IF(Data!#REF!="","",IF(Data!$G126="",1,IF(ISNUMBER(MATCH(Data!#REF!,Data_Val!$D$2:$D$10,0)),0,1)))</f>
        <v>#REF!</v>
      </c>
      <c r="AZ126" s="11"/>
      <c r="BA126" s="19" t="e">
        <f ca="1">IF(Data!#REF!="","",IF(ISNUMBER(Data!#REF!),IF(AND(Data!#REF!&gt;(TODAY()-(Data_Val!$M$3*365.25)),Data!#REF!&lt;=(TODAY()-(Data_Val!$M$2*365.25))),0,1),1))</f>
        <v>#REF!</v>
      </c>
      <c r="BB126" s="11" t="e">
        <f>IF(Data!#REF!="","",IF(Data!$G126="",1,IF(ISNUMBER(MATCH(Data!#REF!,Data_Val!$D$2:$D$10,0)),0,1)))</f>
        <v>#REF!</v>
      </c>
      <c r="BC126" s="12"/>
      <c r="BD126" s="20" t="e">
        <f ca="1">IF(Data!#REF!="","",IF(ISNUMBER(Data!#REF!),IF(AND(Data!#REF!&gt;(TODAY()-(Data_Val!$M$3*365.25)),Data!#REF!&lt;=(TODAY()-(Data_Val!$M$2*365.25))),0,1),1))</f>
        <v>#REF!</v>
      </c>
      <c r="BE126" s="12" t="e">
        <f>IF(Data!#REF!="","",IF(Data!$G126="",1,IF(ISNUMBER(MATCH(Data!#REF!,Data_Val!$D$2:$D$10,0)),0,1)))</f>
        <v>#REF!</v>
      </c>
      <c r="BF126" s="17"/>
      <c r="BG126" s="18" t="e">
        <f ca="1">IF(Data!#REF!="","",IF(ISNUMBER(Data!#REF!),IF(AND(Data!#REF!&gt;(TODAY()-(Data_Val!$M$3*365.25)),Data!#REF!&lt;=(TODAY()-(Data_Val!$M$2*365.25))),0,1),1))</f>
        <v>#REF!</v>
      </c>
      <c r="BH126" s="29" t="e">
        <f>IF(Data!#REF!="","",IF(Data!$G126="",1,IF(ISNUMBER(MATCH(Data!#REF!,Data_Val!$D$2:$D$10,0)),0,1)))</f>
        <v>#REF!</v>
      </c>
      <c r="BI126" s="13"/>
      <c r="BJ126" s="21" t="e">
        <f ca="1">IF(Data!#REF!="","",IF(ISNUMBER(Data!#REF!),IF(AND(Data!#REF!&gt;(TODAY()-(Data_Val!$M$3*365.25)),Data!#REF!&lt;=(TODAY()-(Data_Val!$M$2*365.25))),0,1),1))</f>
        <v>#REF!</v>
      </c>
      <c r="BK126" s="13" t="e">
        <f>IF(Data!#REF!="","",IF(Data!$G126="",1,IF(ISNUMBER(MATCH(Data!#REF!,Data_Val!$D$2:$D$10,0)),0,1)))</f>
        <v>#REF!</v>
      </c>
    </row>
    <row r="127" spans="1:63" x14ac:dyDescent="0.25">
      <c r="A127" s="9" t="str">
        <f>IF(Data!B127="","",IF(COUNTIFS(Data!A$1:'Data'!A127,Data!A127)&lt;=1,0,1))</f>
        <v/>
      </c>
      <c r="B127" s="9"/>
      <c r="C127" s="23" t="str">
        <f>IF(Data!C127="","",(IF(ISNUMBER(MATCH("*@*.?*",Data!C127,0)),0,1)+IF(COUNTIFS(Data!C$1:'Data'!C127,Data!C127)&gt;1,1,0)))</f>
        <v/>
      </c>
      <c r="D127" s="9" t="str">
        <f>IF(Data!B127="","",IF(ISNUMBER(Data!D127),IF(AND(Data!D127&gt;999999999,Data!D127&lt;=9999999999),IF(COUNTIFS(Data!D$1:'Data'!D127,Data!D127)&lt;=1,0,1),1),1))</f>
        <v/>
      </c>
      <c r="E127" s="9" t="str">
        <f>IF(Data!B127="","",IF(ISNUMBER(MATCH(Data!E127,Data_Val!$A$2:$A$3,0)),0,1))</f>
        <v/>
      </c>
      <c r="F127" s="9" t="str">
        <f ca="1">IF(Data!B127="","",IF(ISNUMBER(Data!F127),IF(AND(Data!F127&gt;(TODAY()-(Data_Val!$H$3*365.25)),Data!F127&lt;=(TODAY()-(Data_Val!$H$2*365.25))),0,1),1))</f>
        <v/>
      </c>
      <c r="G127" s="15" t="str">
        <f>IF(Data!B127="","",IF(AND(Data!G127="",Data!H127&lt;&gt;""),1,IF(Data!#REF!&lt;&gt;"",0,IF(ISNUMBER(MATCH(Data!G127,Data_Val!$C$2:$C$5,0)),0,1))))</f>
        <v/>
      </c>
      <c r="H127" s="15" t="str">
        <f>IF(Data!B127="","",IF(AND(Data!G127&lt;&gt;"",Data!H127=""),1,IF(Data!#REF!&lt;&gt;"",0,IF(Data!G127="",1,IF(ISNUMBER(MATCH(Data!H127,Data_Val!$D$2:$D$35,0)),0,1)))))</f>
        <v/>
      </c>
      <c r="I127" s="15" t="str">
        <f>IF(Data!B127="","",IF(Data!G127&lt;&gt;"",0,IF(ISNUMBER(MATCH(Data!#REF!,Data_Val!$E$2:$E$12,0)),0,1)))</f>
        <v/>
      </c>
      <c r="J127" s="16" t="e">
        <f>IF(OR(Data!B127="",Data!#REF!=""),"",IF(Data!#REF!="",1,0))</f>
        <v>#REF!</v>
      </c>
      <c r="K127" s="16" t="e">
        <f>IF(OR(Data!B127="",Data!#REF!=""),"",IF(Data!#REF!="",1,0))</f>
        <v>#REF!</v>
      </c>
      <c r="L127" s="16" t="e">
        <f>IF(OR(Data!B127="",Data!#REF!=""),"",IF(ISNUMBER(Data!#REF!),IF(AND(Data!#REF!&gt;Data_Val!$G$2,Data!#REF!&lt;=Data_Val!$G$3),0,1),1))</f>
        <v>#REF!</v>
      </c>
      <c r="M127" s="9" t="e">
        <f>IF(OR(Data!B127="",Data!#REF!=""),"",IF(ISNUMBER(MATCH(Data!#REF!,Data_Val!$F$1:$F$38,0)),0,1))</f>
        <v>#REF!</v>
      </c>
      <c r="N127" s="9" t="e">
        <f>IF(OR(Data!B127="",Data!#REF!=""),"",IF(Data!#REF!="",1,0))</f>
        <v>#REF!</v>
      </c>
      <c r="O127" s="17" t="e">
        <f>IF(Data!#REF!="","",IF(Data!#REF!="",1,0))</f>
        <v>#REF!</v>
      </c>
      <c r="P127" s="17" t="e">
        <f>IF(Data!#REF!="","",IF(ISNUMBER(MATCH(Data!#REF!,Data_Val!$A$2:$A$3,0)),0,1))</f>
        <v>#REF!</v>
      </c>
      <c r="Q127" s="25" t="e">
        <f ca="1">IF(Data!#REF!="","",IF(ISNUMBER(Data!#REF!),IF(AND(Data!#REF!&gt;(TODAY()-(Data_Val!$J$3*365.25)),Data!#REF!&lt;=(TODAY()-(Data_Val!$J$2*365.25))),0,1),1))</f>
        <v>#REF!</v>
      </c>
      <c r="R127" s="17" t="e">
        <f>IF(Data!#REF!="","",IF(ISNUMBER(MATCH(Data!#REF!,Data_Val!$B$2:$B$15,0)),0,1))</f>
        <v>#REF!</v>
      </c>
      <c r="S127" s="11" t="str">
        <f>IF(Data!G127="","",IF(Data!G127=Data_Val!$C$2,IF(Data!M127="",0,1),0))</f>
        <v/>
      </c>
      <c r="T127" s="11" t="str">
        <f>IF(Data!M127="","",IF(ISNUMBER(MATCH(Data!N127,Data_Val!$A$2:$A$3,0)),0,1))</f>
        <v/>
      </c>
      <c r="U127" s="11" t="str">
        <f ca="1">IF(Data!M127="","",IF(ISNUMBER(Data!O127),IF(AND(Data!O127&gt;(TODAY()-(Data_Val!$K$3*365.25)),Data!O127&lt;=(TODAY()-(Data_Val!$K$2*365.25))),0,1),1))</f>
        <v/>
      </c>
      <c r="V127" s="12" t="str">
        <f>IF(Data!G127="","",IF(Data!G127=Data_Val!$C$2,IF(Data!P127="",0,1),0))</f>
        <v/>
      </c>
      <c r="W127" s="12" t="str">
        <f>IF(Data!P127="","",IF(ISNUMBER(MATCH(Data!Q127,Data_Val!$A$2:$A$3,0)),0,1))</f>
        <v/>
      </c>
      <c r="X127" s="26" t="str">
        <f ca="1">IF(Data!P127="","",IF(ISNUMBER(Data!R127),IF(AND(Data!R127&gt;(TODAY()-(Data_Val!$L$3*365.25)),Data!R127&lt;=(TODAY()-(Data_Val!$L$2*365.25))),0,1),1))</f>
        <v/>
      </c>
      <c r="Y127" s="13" t="str">
        <f>IF(Data!$G127="","",IF(Data!$G127=Data_Val!$C$2,IF(Data!S127="",0,1),0))</f>
        <v/>
      </c>
      <c r="Z127" s="13" t="str">
        <f>IF(Data!S127="","",IF(ISNUMBER(MATCH(Data!T127,Data_Val!$A$2:$A$3,0)),0,1))</f>
        <v/>
      </c>
      <c r="AA127" s="28" t="str">
        <f ca="1">IF(Data!S127="","",IF(ISNUMBER(Data!U127),IF(AND(Data!U127&gt;(TODAY()-(Data_Val!$L$3*365.25)),Data!U127&lt;=(TODAY()-(Data_Val!$L$2*365.25))),0,1),1))</f>
        <v/>
      </c>
      <c r="AB127" s="11"/>
      <c r="AC127" s="11" t="e">
        <f>IF(Data!#REF!="","",IF(ISNUMBER(MATCH(Data!#REF!,Data_Val!$A$2:$A$3,0)),0,1))</f>
        <v>#REF!</v>
      </c>
      <c r="AD127" s="11" t="e">
        <f ca="1">IF(Data!#REF!="","",IF(ISNUMBER(Data!#REF!),IF(AND(Data!#REF!&gt;(TODAY()-(Data_Val!$L$3*365.25)),Data!#REF!&lt;=(TODAY()-(Data_Val!$L$2*365.25))),0,1),1))</f>
        <v>#REF!</v>
      </c>
      <c r="AE127" s="11" t="e">
        <f>IF(Data!#REF!="","",IF(Data!$G127="",1,IF(ISNUMBER(MATCH(Data!#REF!,Data_Val!$D$2:$D$10,0)),0,1)))</f>
        <v>#REF!</v>
      </c>
      <c r="AF127" s="12"/>
      <c r="AG127" s="12" t="e">
        <f>IF(Data!#REF!="","",IF(ISNUMBER(MATCH(Data!#REF!,Data_Val!$A$2:$A$3,0)),0,1))</f>
        <v>#REF!</v>
      </c>
      <c r="AH127" s="26" t="e">
        <f ca="1">IF(Data!#REF!="","",IF(ISNUMBER(Data!#REF!),IF(AND(Data!#REF!&gt;(TODAY()-(Data_Val!$L$3*365.25)),Data!#REF!&lt;=(TODAY()-(Data_Val!$L$2*365.25))),0,1),1))</f>
        <v>#REF!</v>
      </c>
      <c r="AI127" s="12" t="e">
        <f>IF(Data!#REF!="","",IF(Data!$G127="",1,IF(ISNUMBER(MATCH(Data!#REF!,Data_Val!$D$2:$D$10,0)),0,1)))</f>
        <v>#REF!</v>
      </c>
      <c r="AJ127" s="17"/>
      <c r="AK127" s="17" t="e">
        <f>IF(Data!#REF!="","",IF(ISNUMBER(MATCH(Data!#REF!,Data_Val!$A$2:$A$3,0)),0,1))</f>
        <v>#REF!</v>
      </c>
      <c r="AL127" s="25" t="e">
        <f ca="1">IF(Data!#REF!="","",IF(ISNUMBER(Data!#REF!),IF(AND(Data!#REF!&gt;(TODAY()-(Data_Val!$L$3*365.25)),Data!#REF!&lt;=(TODAY()-(Data_Val!$L$2*365.25))),0,1),1))</f>
        <v>#REF!</v>
      </c>
      <c r="AM127" s="17" t="e">
        <f>IF(Data!#REF!="","",IF(Data!$G127="",1,IF(ISNUMBER(MATCH(Data!#REF!,Data_Val!$D$2:$D$10,0)),0,1)))</f>
        <v>#REF!</v>
      </c>
      <c r="AN127" s="13"/>
      <c r="AO127" s="28" t="e">
        <f ca="1">IF(Data!#REF!="","",IF(ISNUMBER(Data!#REF!),IF(AND(Data!#REF!&gt;(TODAY()-(Data_Val!$I$3*365.25)),Data!#REF!&lt;=(TODAY()-(Data_Val!$I$2*365.25))),0,1),1))</f>
        <v>#REF!</v>
      </c>
      <c r="AP127" s="13" t="e">
        <f>IF(Data!#REF!="","",IF(Data!$G127="",1,IF(ISNUMBER(MATCH(Data!#REF!,Data_Val!$D$2:$D$10,0)),0,1)))</f>
        <v>#REF!</v>
      </c>
      <c r="AQ127" s="17"/>
      <c r="AR127" s="30" t="e">
        <f ca="1">IF(Data!#REF!="","",IF(ISNUMBER(Data!#REF!),IF(AND(Data!#REF!&gt;(TODAY()-(Data_Val!$I$3*365.25)),Data!#REF!&lt;=(TODAY()-(Data_Val!$I$2*365.25))),0,1),1))</f>
        <v>#REF!</v>
      </c>
      <c r="AS127" s="31" t="e">
        <f>IF(Data!#REF!="","",IF(Data!$G127="",1,IF(ISNUMBER(MATCH(Data!#REF!,Data_Val!$D$2:$D$10,0)),0,1)))</f>
        <v>#REF!</v>
      </c>
      <c r="AT127" s="11"/>
      <c r="AU127" s="11" t="e">
        <f ca="1">IF(Data!#REF!="","",IF(ISNUMBER(Data!#REF!),IF(AND(Data!#REF!&gt;(TODAY()-(Data_Val!$I$3*365.25)),Data!#REF!&lt;=(TODAY()-(Data_Val!$I$2*365.25))),0,1),1))</f>
        <v>#REF!</v>
      </c>
      <c r="AV127" s="11" t="e">
        <f>IF(Data!#REF!="","",IF(Data!$G127="",1,IF(ISNUMBER(MATCH(Data!#REF!,Data_Val!$D$2:$D$10,0)),0,1)))</f>
        <v>#REF!</v>
      </c>
      <c r="AW127" s="12"/>
      <c r="AX127" s="26" t="e">
        <f ca="1">IF(Data!#REF!="","",IF(ISNUMBER(Data!#REF!),IF(AND(Data!#REF!&gt;(TODAY()-(Data_Val!$I$3*365.25)),Data!#REF!&lt;=(TODAY()-(Data_Val!$I$2*365.25))),0,1),1))</f>
        <v>#REF!</v>
      </c>
      <c r="AY127" s="12" t="e">
        <f>IF(Data!#REF!="","",IF(Data!$G127="",1,IF(ISNUMBER(MATCH(Data!#REF!,Data_Val!$D$2:$D$10,0)),0,1)))</f>
        <v>#REF!</v>
      </c>
      <c r="AZ127" s="11"/>
      <c r="BA127" s="19" t="e">
        <f ca="1">IF(Data!#REF!="","",IF(ISNUMBER(Data!#REF!),IF(AND(Data!#REF!&gt;(TODAY()-(Data_Val!$M$3*365.25)),Data!#REF!&lt;=(TODAY()-(Data_Val!$M$2*365.25))),0,1),1))</f>
        <v>#REF!</v>
      </c>
      <c r="BB127" s="11" t="e">
        <f>IF(Data!#REF!="","",IF(Data!$G127="",1,IF(ISNUMBER(MATCH(Data!#REF!,Data_Val!$D$2:$D$10,0)),0,1)))</f>
        <v>#REF!</v>
      </c>
      <c r="BC127" s="12"/>
      <c r="BD127" s="20" t="e">
        <f ca="1">IF(Data!#REF!="","",IF(ISNUMBER(Data!#REF!),IF(AND(Data!#REF!&gt;(TODAY()-(Data_Val!$M$3*365.25)),Data!#REF!&lt;=(TODAY()-(Data_Val!$M$2*365.25))),0,1),1))</f>
        <v>#REF!</v>
      </c>
      <c r="BE127" s="12" t="e">
        <f>IF(Data!#REF!="","",IF(Data!$G127="",1,IF(ISNUMBER(MATCH(Data!#REF!,Data_Val!$D$2:$D$10,0)),0,1)))</f>
        <v>#REF!</v>
      </c>
      <c r="BF127" s="17"/>
      <c r="BG127" s="18" t="e">
        <f ca="1">IF(Data!#REF!="","",IF(ISNUMBER(Data!#REF!),IF(AND(Data!#REF!&gt;(TODAY()-(Data_Val!$M$3*365.25)),Data!#REF!&lt;=(TODAY()-(Data_Val!$M$2*365.25))),0,1),1))</f>
        <v>#REF!</v>
      </c>
      <c r="BH127" s="29" t="e">
        <f>IF(Data!#REF!="","",IF(Data!$G127="",1,IF(ISNUMBER(MATCH(Data!#REF!,Data_Val!$D$2:$D$10,0)),0,1)))</f>
        <v>#REF!</v>
      </c>
      <c r="BI127" s="13"/>
      <c r="BJ127" s="21" t="e">
        <f ca="1">IF(Data!#REF!="","",IF(ISNUMBER(Data!#REF!),IF(AND(Data!#REF!&gt;(TODAY()-(Data_Val!$M$3*365.25)),Data!#REF!&lt;=(TODAY()-(Data_Val!$M$2*365.25))),0,1),1))</f>
        <v>#REF!</v>
      </c>
      <c r="BK127" s="13" t="e">
        <f>IF(Data!#REF!="","",IF(Data!$G127="",1,IF(ISNUMBER(MATCH(Data!#REF!,Data_Val!$D$2:$D$10,0)),0,1)))</f>
        <v>#REF!</v>
      </c>
    </row>
    <row r="128" spans="1:63" x14ac:dyDescent="0.25">
      <c r="A128" s="9" t="str">
        <f>IF(Data!B128="","",IF(COUNTIFS(Data!A$1:'Data'!A128,Data!A128)&lt;=1,0,1))</f>
        <v/>
      </c>
      <c r="B128" s="9"/>
      <c r="C128" s="23" t="str">
        <f>IF(Data!C128="","",(IF(ISNUMBER(MATCH("*@*.?*",Data!C128,0)),0,1)+IF(COUNTIFS(Data!C$1:'Data'!C128,Data!C128)&gt;1,1,0)))</f>
        <v/>
      </c>
      <c r="D128" s="9" t="str">
        <f>IF(Data!B128="","",IF(ISNUMBER(Data!D128),IF(AND(Data!D128&gt;999999999,Data!D128&lt;=9999999999),IF(COUNTIFS(Data!D$1:'Data'!D128,Data!D128)&lt;=1,0,1),1),1))</f>
        <v/>
      </c>
      <c r="E128" s="9" t="str">
        <f>IF(Data!B128="","",IF(ISNUMBER(MATCH(Data!E128,Data_Val!$A$2:$A$3,0)),0,1))</f>
        <v/>
      </c>
      <c r="F128" s="9" t="str">
        <f ca="1">IF(Data!B128="","",IF(ISNUMBER(Data!F128),IF(AND(Data!F128&gt;(TODAY()-(Data_Val!$H$3*365.25)),Data!F128&lt;=(TODAY()-(Data_Val!$H$2*365.25))),0,1),1))</f>
        <v/>
      </c>
      <c r="G128" s="15" t="str">
        <f>IF(Data!B128="","",IF(AND(Data!G128="",Data!H128&lt;&gt;""),1,IF(Data!#REF!&lt;&gt;"",0,IF(ISNUMBER(MATCH(Data!G128,Data_Val!$C$2:$C$5,0)),0,1))))</f>
        <v/>
      </c>
      <c r="H128" s="15" t="str">
        <f>IF(Data!B128="","",IF(AND(Data!G128&lt;&gt;"",Data!H128=""),1,IF(Data!#REF!&lt;&gt;"",0,IF(Data!G128="",1,IF(ISNUMBER(MATCH(Data!H128,Data_Val!$D$2:$D$35,0)),0,1)))))</f>
        <v/>
      </c>
      <c r="I128" s="15" t="str">
        <f>IF(Data!B128="","",IF(Data!G128&lt;&gt;"",0,IF(ISNUMBER(MATCH(Data!#REF!,Data_Val!$E$2:$E$12,0)),0,1)))</f>
        <v/>
      </c>
      <c r="J128" s="16" t="e">
        <f>IF(OR(Data!B128="",Data!#REF!=""),"",IF(Data!#REF!="",1,0))</f>
        <v>#REF!</v>
      </c>
      <c r="K128" s="16" t="e">
        <f>IF(OR(Data!B128="",Data!#REF!=""),"",IF(Data!#REF!="",1,0))</f>
        <v>#REF!</v>
      </c>
      <c r="L128" s="16" t="e">
        <f>IF(OR(Data!B128="",Data!#REF!=""),"",IF(ISNUMBER(Data!#REF!),IF(AND(Data!#REF!&gt;Data_Val!$G$2,Data!#REF!&lt;=Data_Val!$G$3),0,1),1))</f>
        <v>#REF!</v>
      </c>
      <c r="M128" s="9" t="e">
        <f>IF(OR(Data!B128="",Data!#REF!=""),"",IF(ISNUMBER(MATCH(Data!#REF!,Data_Val!$F$1:$F$38,0)),0,1))</f>
        <v>#REF!</v>
      </c>
      <c r="N128" s="9" t="e">
        <f>IF(OR(Data!B128="",Data!#REF!=""),"",IF(Data!#REF!="",1,0))</f>
        <v>#REF!</v>
      </c>
      <c r="O128" s="17" t="e">
        <f>IF(Data!#REF!="","",IF(Data!#REF!="",1,0))</f>
        <v>#REF!</v>
      </c>
      <c r="P128" s="17" t="e">
        <f>IF(Data!#REF!="","",IF(ISNUMBER(MATCH(Data!#REF!,Data_Val!$A$2:$A$3,0)),0,1))</f>
        <v>#REF!</v>
      </c>
      <c r="Q128" s="25" t="e">
        <f ca="1">IF(Data!#REF!="","",IF(ISNUMBER(Data!#REF!),IF(AND(Data!#REF!&gt;(TODAY()-(Data_Val!$J$3*365.25)),Data!#REF!&lt;=(TODAY()-(Data_Val!$J$2*365.25))),0,1),1))</f>
        <v>#REF!</v>
      </c>
      <c r="R128" s="17" t="e">
        <f>IF(Data!#REF!="","",IF(ISNUMBER(MATCH(Data!#REF!,Data_Val!$B$2:$B$15,0)),0,1))</f>
        <v>#REF!</v>
      </c>
      <c r="S128" s="11" t="str">
        <f>IF(Data!G128="","",IF(Data!G128=Data_Val!$C$2,IF(Data!M128="",0,1),0))</f>
        <v/>
      </c>
      <c r="T128" s="11" t="str">
        <f>IF(Data!M128="","",IF(ISNUMBER(MATCH(Data!N128,Data_Val!$A$2:$A$3,0)),0,1))</f>
        <v/>
      </c>
      <c r="U128" s="11" t="str">
        <f ca="1">IF(Data!M128="","",IF(ISNUMBER(Data!O128),IF(AND(Data!O128&gt;(TODAY()-(Data_Val!$K$3*365.25)),Data!O128&lt;=(TODAY()-(Data_Val!$K$2*365.25))),0,1),1))</f>
        <v/>
      </c>
      <c r="V128" s="12" t="str">
        <f>IF(Data!G128="","",IF(Data!G128=Data_Val!$C$2,IF(Data!P128="",0,1),0))</f>
        <v/>
      </c>
      <c r="W128" s="12" t="str">
        <f>IF(Data!P128="","",IF(ISNUMBER(MATCH(Data!Q128,Data_Val!$A$2:$A$3,0)),0,1))</f>
        <v/>
      </c>
      <c r="X128" s="26" t="str">
        <f ca="1">IF(Data!P128="","",IF(ISNUMBER(Data!R128),IF(AND(Data!R128&gt;(TODAY()-(Data_Val!$L$3*365.25)),Data!R128&lt;=(TODAY()-(Data_Val!$L$2*365.25))),0,1),1))</f>
        <v/>
      </c>
      <c r="Y128" s="13" t="str">
        <f>IF(Data!$G128="","",IF(Data!$G128=Data_Val!$C$2,IF(Data!S128="",0,1),0))</f>
        <v/>
      </c>
      <c r="Z128" s="13" t="str">
        <f>IF(Data!S128="","",IF(ISNUMBER(MATCH(Data!T128,Data_Val!$A$2:$A$3,0)),0,1))</f>
        <v/>
      </c>
      <c r="AA128" s="28" t="str">
        <f ca="1">IF(Data!S128="","",IF(ISNUMBER(Data!U128),IF(AND(Data!U128&gt;(TODAY()-(Data_Val!$L$3*365.25)),Data!U128&lt;=(TODAY()-(Data_Val!$L$2*365.25))),0,1),1))</f>
        <v/>
      </c>
      <c r="AB128" s="11"/>
      <c r="AC128" s="11" t="e">
        <f>IF(Data!#REF!="","",IF(ISNUMBER(MATCH(Data!#REF!,Data_Val!$A$2:$A$3,0)),0,1))</f>
        <v>#REF!</v>
      </c>
      <c r="AD128" s="11" t="e">
        <f ca="1">IF(Data!#REF!="","",IF(ISNUMBER(Data!#REF!),IF(AND(Data!#REF!&gt;(TODAY()-(Data_Val!$L$3*365.25)),Data!#REF!&lt;=(TODAY()-(Data_Val!$L$2*365.25))),0,1),1))</f>
        <v>#REF!</v>
      </c>
      <c r="AE128" s="11" t="e">
        <f>IF(Data!#REF!="","",IF(Data!$G128="",1,IF(ISNUMBER(MATCH(Data!#REF!,Data_Val!$D$2:$D$10,0)),0,1)))</f>
        <v>#REF!</v>
      </c>
      <c r="AF128" s="12"/>
      <c r="AG128" s="12" t="e">
        <f>IF(Data!#REF!="","",IF(ISNUMBER(MATCH(Data!#REF!,Data_Val!$A$2:$A$3,0)),0,1))</f>
        <v>#REF!</v>
      </c>
      <c r="AH128" s="26" t="e">
        <f ca="1">IF(Data!#REF!="","",IF(ISNUMBER(Data!#REF!),IF(AND(Data!#REF!&gt;(TODAY()-(Data_Val!$L$3*365.25)),Data!#REF!&lt;=(TODAY()-(Data_Val!$L$2*365.25))),0,1),1))</f>
        <v>#REF!</v>
      </c>
      <c r="AI128" s="12" t="e">
        <f>IF(Data!#REF!="","",IF(Data!$G128="",1,IF(ISNUMBER(MATCH(Data!#REF!,Data_Val!$D$2:$D$10,0)),0,1)))</f>
        <v>#REF!</v>
      </c>
      <c r="AJ128" s="17"/>
      <c r="AK128" s="17" t="e">
        <f>IF(Data!#REF!="","",IF(ISNUMBER(MATCH(Data!#REF!,Data_Val!$A$2:$A$3,0)),0,1))</f>
        <v>#REF!</v>
      </c>
      <c r="AL128" s="25" t="e">
        <f ca="1">IF(Data!#REF!="","",IF(ISNUMBER(Data!#REF!),IF(AND(Data!#REF!&gt;(TODAY()-(Data_Val!$L$3*365.25)),Data!#REF!&lt;=(TODAY()-(Data_Val!$L$2*365.25))),0,1),1))</f>
        <v>#REF!</v>
      </c>
      <c r="AM128" s="17" t="e">
        <f>IF(Data!#REF!="","",IF(Data!$G128="",1,IF(ISNUMBER(MATCH(Data!#REF!,Data_Val!$D$2:$D$10,0)),0,1)))</f>
        <v>#REF!</v>
      </c>
      <c r="AN128" s="13"/>
      <c r="AO128" s="28" t="e">
        <f ca="1">IF(Data!#REF!="","",IF(ISNUMBER(Data!#REF!),IF(AND(Data!#REF!&gt;(TODAY()-(Data_Val!$I$3*365.25)),Data!#REF!&lt;=(TODAY()-(Data_Val!$I$2*365.25))),0,1),1))</f>
        <v>#REF!</v>
      </c>
      <c r="AP128" s="13" t="e">
        <f>IF(Data!#REF!="","",IF(Data!$G128="",1,IF(ISNUMBER(MATCH(Data!#REF!,Data_Val!$D$2:$D$10,0)),0,1)))</f>
        <v>#REF!</v>
      </c>
      <c r="AQ128" s="17"/>
      <c r="AR128" s="30" t="e">
        <f ca="1">IF(Data!#REF!="","",IF(ISNUMBER(Data!#REF!),IF(AND(Data!#REF!&gt;(TODAY()-(Data_Val!$I$3*365.25)),Data!#REF!&lt;=(TODAY()-(Data_Val!$I$2*365.25))),0,1),1))</f>
        <v>#REF!</v>
      </c>
      <c r="AS128" s="31" t="e">
        <f>IF(Data!#REF!="","",IF(Data!$G128="",1,IF(ISNUMBER(MATCH(Data!#REF!,Data_Val!$D$2:$D$10,0)),0,1)))</f>
        <v>#REF!</v>
      </c>
      <c r="AT128" s="11"/>
      <c r="AU128" s="11" t="e">
        <f ca="1">IF(Data!#REF!="","",IF(ISNUMBER(Data!#REF!),IF(AND(Data!#REF!&gt;(TODAY()-(Data_Val!$I$3*365.25)),Data!#REF!&lt;=(TODAY()-(Data_Val!$I$2*365.25))),0,1),1))</f>
        <v>#REF!</v>
      </c>
      <c r="AV128" s="11" t="e">
        <f>IF(Data!#REF!="","",IF(Data!$G128="",1,IF(ISNUMBER(MATCH(Data!#REF!,Data_Val!$D$2:$D$10,0)),0,1)))</f>
        <v>#REF!</v>
      </c>
      <c r="AW128" s="12"/>
      <c r="AX128" s="26" t="e">
        <f ca="1">IF(Data!#REF!="","",IF(ISNUMBER(Data!#REF!),IF(AND(Data!#REF!&gt;(TODAY()-(Data_Val!$I$3*365.25)),Data!#REF!&lt;=(TODAY()-(Data_Val!$I$2*365.25))),0,1),1))</f>
        <v>#REF!</v>
      </c>
      <c r="AY128" s="12" t="e">
        <f>IF(Data!#REF!="","",IF(Data!$G128="",1,IF(ISNUMBER(MATCH(Data!#REF!,Data_Val!$D$2:$D$10,0)),0,1)))</f>
        <v>#REF!</v>
      </c>
      <c r="AZ128" s="11"/>
      <c r="BA128" s="19" t="e">
        <f ca="1">IF(Data!#REF!="","",IF(ISNUMBER(Data!#REF!),IF(AND(Data!#REF!&gt;(TODAY()-(Data_Val!$M$3*365.25)),Data!#REF!&lt;=(TODAY()-(Data_Val!$M$2*365.25))),0,1),1))</f>
        <v>#REF!</v>
      </c>
      <c r="BB128" s="11" t="e">
        <f>IF(Data!#REF!="","",IF(Data!$G128="",1,IF(ISNUMBER(MATCH(Data!#REF!,Data_Val!$D$2:$D$10,0)),0,1)))</f>
        <v>#REF!</v>
      </c>
      <c r="BC128" s="12"/>
      <c r="BD128" s="20" t="e">
        <f ca="1">IF(Data!#REF!="","",IF(ISNUMBER(Data!#REF!),IF(AND(Data!#REF!&gt;(TODAY()-(Data_Val!$M$3*365.25)),Data!#REF!&lt;=(TODAY()-(Data_Val!$M$2*365.25))),0,1),1))</f>
        <v>#REF!</v>
      </c>
      <c r="BE128" s="12" t="e">
        <f>IF(Data!#REF!="","",IF(Data!$G128="",1,IF(ISNUMBER(MATCH(Data!#REF!,Data_Val!$D$2:$D$10,0)),0,1)))</f>
        <v>#REF!</v>
      </c>
      <c r="BF128" s="17"/>
      <c r="BG128" s="18" t="e">
        <f ca="1">IF(Data!#REF!="","",IF(ISNUMBER(Data!#REF!),IF(AND(Data!#REF!&gt;(TODAY()-(Data_Val!$M$3*365.25)),Data!#REF!&lt;=(TODAY()-(Data_Val!$M$2*365.25))),0,1),1))</f>
        <v>#REF!</v>
      </c>
      <c r="BH128" s="29" t="e">
        <f>IF(Data!#REF!="","",IF(Data!$G128="",1,IF(ISNUMBER(MATCH(Data!#REF!,Data_Val!$D$2:$D$10,0)),0,1)))</f>
        <v>#REF!</v>
      </c>
      <c r="BI128" s="13"/>
      <c r="BJ128" s="21" t="e">
        <f ca="1">IF(Data!#REF!="","",IF(ISNUMBER(Data!#REF!),IF(AND(Data!#REF!&gt;(TODAY()-(Data_Val!$M$3*365.25)),Data!#REF!&lt;=(TODAY()-(Data_Val!$M$2*365.25))),0,1),1))</f>
        <v>#REF!</v>
      </c>
      <c r="BK128" s="13" t="e">
        <f>IF(Data!#REF!="","",IF(Data!$G128="",1,IF(ISNUMBER(MATCH(Data!#REF!,Data_Val!$D$2:$D$10,0)),0,1)))</f>
        <v>#REF!</v>
      </c>
    </row>
    <row r="129" spans="1:63" x14ac:dyDescent="0.25">
      <c r="A129" s="9" t="str">
        <f>IF(Data!B129="","",IF(COUNTIFS(Data!A$1:'Data'!A129,Data!A129)&lt;=1,0,1))</f>
        <v/>
      </c>
      <c r="B129" s="9"/>
      <c r="C129" s="23" t="str">
        <f>IF(Data!C129="","",(IF(ISNUMBER(MATCH("*@*.?*",Data!C129,0)),0,1)+IF(COUNTIFS(Data!C$1:'Data'!C129,Data!C129)&gt;1,1,0)))</f>
        <v/>
      </c>
      <c r="D129" s="9" t="str">
        <f>IF(Data!B129="","",IF(ISNUMBER(Data!D129),IF(AND(Data!D129&gt;999999999,Data!D129&lt;=9999999999),IF(COUNTIFS(Data!D$1:'Data'!D129,Data!D129)&lt;=1,0,1),1),1))</f>
        <v/>
      </c>
      <c r="E129" s="9" t="str">
        <f>IF(Data!B129="","",IF(ISNUMBER(MATCH(Data!E129,Data_Val!$A$2:$A$3,0)),0,1))</f>
        <v/>
      </c>
      <c r="F129" s="9" t="str">
        <f ca="1">IF(Data!B129="","",IF(ISNUMBER(Data!F129),IF(AND(Data!F129&gt;(TODAY()-(Data_Val!$H$3*365.25)),Data!F129&lt;=(TODAY()-(Data_Val!$H$2*365.25))),0,1),1))</f>
        <v/>
      </c>
      <c r="G129" s="15" t="str">
        <f>IF(Data!B129="","",IF(AND(Data!G129="",Data!H129&lt;&gt;""),1,IF(Data!#REF!&lt;&gt;"",0,IF(ISNUMBER(MATCH(Data!G129,Data_Val!$C$2:$C$5,0)),0,1))))</f>
        <v/>
      </c>
      <c r="H129" s="15" t="str">
        <f>IF(Data!B129="","",IF(AND(Data!G129&lt;&gt;"",Data!H129=""),1,IF(Data!#REF!&lt;&gt;"",0,IF(Data!G129="",1,IF(ISNUMBER(MATCH(Data!H129,Data_Val!$D$2:$D$35,0)),0,1)))))</f>
        <v/>
      </c>
      <c r="I129" s="15" t="str">
        <f>IF(Data!B129="","",IF(Data!G129&lt;&gt;"",0,IF(ISNUMBER(MATCH(Data!#REF!,Data_Val!$E$2:$E$12,0)),0,1)))</f>
        <v/>
      </c>
      <c r="J129" s="16" t="e">
        <f>IF(OR(Data!B129="",Data!#REF!=""),"",IF(Data!#REF!="",1,0))</f>
        <v>#REF!</v>
      </c>
      <c r="K129" s="16" t="e">
        <f>IF(OR(Data!B129="",Data!#REF!=""),"",IF(Data!#REF!="",1,0))</f>
        <v>#REF!</v>
      </c>
      <c r="L129" s="16" t="e">
        <f>IF(OR(Data!B129="",Data!#REF!=""),"",IF(ISNUMBER(Data!#REF!),IF(AND(Data!#REF!&gt;Data_Val!$G$2,Data!#REF!&lt;=Data_Val!$G$3),0,1),1))</f>
        <v>#REF!</v>
      </c>
      <c r="M129" s="9" t="e">
        <f>IF(OR(Data!B129="",Data!#REF!=""),"",IF(ISNUMBER(MATCH(Data!#REF!,Data_Val!$F$1:$F$38,0)),0,1))</f>
        <v>#REF!</v>
      </c>
      <c r="N129" s="9" t="e">
        <f>IF(OR(Data!B129="",Data!#REF!=""),"",IF(Data!#REF!="",1,0))</f>
        <v>#REF!</v>
      </c>
      <c r="O129" s="17" t="e">
        <f>IF(Data!#REF!="","",IF(Data!#REF!="",1,0))</f>
        <v>#REF!</v>
      </c>
      <c r="P129" s="17" t="e">
        <f>IF(Data!#REF!="","",IF(ISNUMBER(MATCH(Data!#REF!,Data_Val!$A$2:$A$3,0)),0,1))</f>
        <v>#REF!</v>
      </c>
      <c r="Q129" s="25" t="e">
        <f ca="1">IF(Data!#REF!="","",IF(ISNUMBER(Data!#REF!),IF(AND(Data!#REF!&gt;(TODAY()-(Data_Val!$J$3*365.25)),Data!#REF!&lt;=(TODAY()-(Data_Val!$J$2*365.25))),0,1),1))</f>
        <v>#REF!</v>
      </c>
      <c r="R129" s="17" t="e">
        <f>IF(Data!#REF!="","",IF(ISNUMBER(MATCH(Data!#REF!,Data_Val!$B$2:$B$15,0)),0,1))</f>
        <v>#REF!</v>
      </c>
      <c r="S129" s="11" t="str">
        <f>IF(Data!G129="","",IF(Data!G129=Data_Val!$C$2,IF(Data!M129="",0,1),0))</f>
        <v/>
      </c>
      <c r="T129" s="11" t="str">
        <f>IF(Data!M129="","",IF(ISNUMBER(MATCH(Data!N129,Data_Val!$A$2:$A$3,0)),0,1))</f>
        <v/>
      </c>
      <c r="U129" s="11" t="str">
        <f ca="1">IF(Data!M129="","",IF(ISNUMBER(Data!O129),IF(AND(Data!O129&gt;(TODAY()-(Data_Val!$K$3*365.25)),Data!O129&lt;=(TODAY()-(Data_Val!$K$2*365.25))),0,1),1))</f>
        <v/>
      </c>
      <c r="V129" s="12" t="str">
        <f>IF(Data!G129="","",IF(Data!G129=Data_Val!$C$2,IF(Data!P129="",0,1),0))</f>
        <v/>
      </c>
      <c r="W129" s="12" t="str">
        <f>IF(Data!P129="","",IF(ISNUMBER(MATCH(Data!Q129,Data_Val!$A$2:$A$3,0)),0,1))</f>
        <v/>
      </c>
      <c r="X129" s="26" t="str">
        <f ca="1">IF(Data!P129="","",IF(ISNUMBER(Data!R129),IF(AND(Data!R129&gt;(TODAY()-(Data_Val!$L$3*365.25)),Data!R129&lt;=(TODAY()-(Data_Val!$L$2*365.25))),0,1),1))</f>
        <v/>
      </c>
      <c r="Y129" s="13" t="str">
        <f>IF(Data!$G129="","",IF(Data!$G129=Data_Val!$C$2,IF(Data!S129="",0,1),0))</f>
        <v/>
      </c>
      <c r="Z129" s="13" t="str">
        <f>IF(Data!S129="","",IF(ISNUMBER(MATCH(Data!T129,Data_Val!$A$2:$A$3,0)),0,1))</f>
        <v/>
      </c>
      <c r="AA129" s="28" t="str">
        <f ca="1">IF(Data!S129="","",IF(ISNUMBER(Data!U129),IF(AND(Data!U129&gt;(TODAY()-(Data_Val!$L$3*365.25)),Data!U129&lt;=(TODAY()-(Data_Val!$L$2*365.25))),0,1),1))</f>
        <v/>
      </c>
      <c r="AB129" s="11"/>
      <c r="AC129" s="11" t="e">
        <f>IF(Data!#REF!="","",IF(ISNUMBER(MATCH(Data!#REF!,Data_Val!$A$2:$A$3,0)),0,1))</f>
        <v>#REF!</v>
      </c>
      <c r="AD129" s="11" t="e">
        <f ca="1">IF(Data!#REF!="","",IF(ISNUMBER(Data!#REF!),IF(AND(Data!#REF!&gt;(TODAY()-(Data_Val!$L$3*365.25)),Data!#REF!&lt;=(TODAY()-(Data_Val!$L$2*365.25))),0,1),1))</f>
        <v>#REF!</v>
      </c>
      <c r="AE129" s="11" t="e">
        <f>IF(Data!#REF!="","",IF(Data!$G129="",1,IF(ISNUMBER(MATCH(Data!#REF!,Data_Val!$D$2:$D$10,0)),0,1)))</f>
        <v>#REF!</v>
      </c>
      <c r="AF129" s="12"/>
      <c r="AG129" s="12" t="e">
        <f>IF(Data!#REF!="","",IF(ISNUMBER(MATCH(Data!#REF!,Data_Val!$A$2:$A$3,0)),0,1))</f>
        <v>#REF!</v>
      </c>
      <c r="AH129" s="26" t="e">
        <f ca="1">IF(Data!#REF!="","",IF(ISNUMBER(Data!#REF!),IF(AND(Data!#REF!&gt;(TODAY()-(Data_Val!$L$3*365.25)),Data!#REF!&lt;=(TODAY()-(Data_Val!$L$2*365.25))),0,1),1))</f>
        <v>#REF!</v>
      </c>
      <c r="AI129" s="12" t="e">
        <f>IF(Data!#REF!="","",IF(Data!$G129="",1,IF(ISNUMBER(MATCH(Data!#REF!,Data_Val!$D$2:$D$10,0)),0,1)))</f>
        <v>#REF!</v>
      </c>
      <c r="AJ129" s="17"/>
      <c r="AK129" s="17" t="e">
        <f>IF(Data!#REF!="","",IF(ISNUMBER(MATCH(Data!#REF!,Data_Val!$A$2:$A$3,0)),0,1))</f>
        <v>#REF!</v>
      </c>
      <c r="AL129" s="25" t="e">
        <f ca="1">IF(Data!#REF!="","",IF(ISNUMBER(Data!#REF!),IF(AND(Data!#REF!&gt;(TODAY()-(Data_Val!$L$3*365.25)),Data!#REF!&lt;=(TODAY()-(Data_Val!$L$2*365.25))),0,1),1))</f>
        <v>#REF!</v>
      </c>
      <c r="AM129" s="17" t="e">
        <f>IF(Data!#REF!="","",IF(Data!$G129="",1,IF(ISNUMBER(MATCH(Data!#REF!,Data_Val!$D$2:$D$10,0)),0,1)))</f>
        <v>#REF!</v>
      </c>
      <c r="AN129" s="13"/>
      <c r="AO129" s="28" t="e">
        <f ca="1">IF(Data!#REF!="","",IF(ISNUMBER(Data!#REF!),IF(AND(Data!#REF!&gt;(TODAY()-(Data_Val!$I$3*365.25)),Data!#REF!&lt;=(TODAY()-(Data_Val!$I$2*365.25))),0,1),1))</f>
        <v>#REF!</v>
      </c>
      <c r="AP129" s="13" t="e">
        <f>IF(Data!#REF!="","",IF(Data!$G129="",1,IF(ISNUMBER(MATCH(Data!#REF!,Data_Val!$D$2:$D$10,0)),0,1)))</f>
        <v>#REF!</v>
      </c>
      <c r="AQ129" s="17"/>
      <c r="AR129" s="30" t="e">
        <f ca="1">IF(Data!#REF!="","",IF(ISNUMBER(Data!#REF!),IF(AND(Data!#REF!&gt;(TODAY()-(Data_Val!$I$3*365.25)),Data!#REF!&lt;=(TODAY()-(Data_Val!$I$2*365.25))),0,1),1))</f>
        <v>#REF!</v>
      </c>
      <c r="AS129" s="31" t="e">
        <f>IF(Data!#REF!="","",IF(Data!$G129="",1,IF(ISNUMBER(MATCH(Data!#REF!,Data_Val!$D$2:$D$10,0)),0,1)))</f>
        <v>#REF!</v>
      </c>
      <c r="AT129" s="11"/>
      <c r="AU129" s="11" t="e">
        <f ca="1">IF(Data!#REF!="","",IF(ISNUMBER(Data!#REF!),IF(AND(Data!#REF!&gt;(TODAY()-(Data_Val!$I$3*365.25)),Data!#REF!&lt;=(TODAY()-(Data_Val!$I$2*365.25))),0,1),1))</f>
        <v>#REF!</v>
      </c>
      <c r="AV129" s="11" t="e">
        <f>IF(Data!#REF!="","",IF(Data!$G129="",1,IF(ISNUMBER(MATCH(Data!#REF!,Data_Val!$D$2:$D$10,0)),0,1)))</f>
        <v>#REF!</v>
      </c>
      <c r="AW129" s="12"/>
      <c r="AX129" s="26" t="e">
        <f ca="1">IF(Data!#REF!="","",IF(ISNUMBER(Data!#REF!),IF(AND(Data!#REF!&gt;(TODAY()-(Data_Val!$I$3*365.25)),Data!#REF!&lt;=(TODAY()-(Data_Val!$I$2*365.25))),0,1),1))</f>
        <v>#REF!</v>
      </c>
      <c r="AY129" s="12" t="e">
        <f>IF(Data!#REF!="","",IF(Data!$G129="",1,IF(ISNUMBER(MATCH(Data!#REF!,Data_Val!$D$2:$D$10,0)),0,1)))</f>
        <v>#REF!</v>
      </c>
      <c r="AZ129" s="11"/>
      <c r="BA129" s="19" t="e">
        <f ca="1">IF(Data!#REF!="","",IF(ISNUMBER(Data!#REF!),IF(AND(Data!#REF!&gt;(TODAY()-(Data_Val!$M$3*365.25)),Data!#REF!&lt;=(TODAY()-(Data_Val!$M$2*365.25))),0,1),1))</f>
        <v>#REF!</v>
      </c>
      <c r="BB129" s="11" t="e">
        <f>IF(Data!#REF!="","",IF(Data!$G129="",1,IF(ISNUMBER(MATCH(Data!#REF!,Data_Val!$D$2:$D$10,0)),0,1)))</f>
        <v>#REF!</v>
      </c>
      <c r="BC129" s="12"/>
      <c r="BD129" s="20" t="e">
        <f ca="1">IF(Data!#REF!="","",IF(ISNUMBER(Data!#REF!),IF(AND(Data!#REF!&gt;(TODAY()-(Data_Val!$M$3*365.25)),Data!#REF!&lt;=(TODAY()-(Data_Val!$M$2*365.25))),0,1),1))</f>
        <v>#REF!</v>
      </c>
      <c r="BE129" s="12" t="e">
        <f>IF(Data!#REF!="","",IF(Data!$G129="",1,IF(ISNUMBER(MATCH(Data!#REF!,Data_Val!$D$2:$D$10,0)),0,1)))</f>
        <v>#REF!</v>
      </c>
      <c r="BF129" s="17"/>
      <c r="BG129" s="18" t="e">
        <f ca="1">IF(Data!#REF!="","",IF(ISNUMBER(Data!#REF!),IF(AND(Data!#REF!&gt;(TODAY()-(Data_Val!$M$3*365.25)),Data!#REF!&lt;=(TODAY()-(Data_Val!$M$2*365.25))),0,1),1))</f>
        <v>#REF!</v>
      </c>
      <c r="BH129" s="29" t="e">
        <f>IF(Data!#REF!="","",IF(Data!$G129="",1,IF(ISNUMBER(MATCH(Data!#REF!,Data_Val!$D$2:$D$10,0)),0,1)))</f>
        <v>#REF!</v>
      </c>
      <c r="BI129" s="13"/>
      <c r="BJ129" s="21" t="e">
        <f ca="1">IF(Data!#REF!="","",IF(ISNUMBER(Data!#REF!),IF(AND(Data!#REF!&gt;(TODAY()-(Data_Val!$M$3*365.25)),Data!#REF!&lt;=(TODAY()-(Data_Val!$M$2*365.25))),0,1),1))</f>
        <v>#REF!</v>
      </c>
      <c r="BK129" s="13" t="e">
        <f>IF(Data!#REF!="","",IF(Data!$G129="",1,IF(ISNUMBER(MATCH(Data!#REF!,Data_Val!$D$2:$D$10,0)),0,1)))</f>
        <v>#REF!</v>
      </c>
    </row>
    <row r="130" spans="1:63" x14ac:dyDescent="0.25">
      <c r="A130" s="9" t="str">
        <f>IF(Data!B130="","",IF(COUNTIFS(Data!A$1:'Data'!A130,Data!A130)&lt;=1,0,1))</f>
        <v/>
      </c>
      <c r="B130" s="9"/>
      <c r="C130" s="23" t="str">
        <f>IF(Data!C130="","",(IF(ISNUMBER(MATCH("*@*.?*",Data!C130,0)),0,1)+IF(COUNTIFS(Data!C$1:'Data'!C130,Data!C130)&gt;1,1,0)))</f>
        <v/>
      </c>
      <c r="D130" s="9" t="str">
        <f>IF(Data!B130="","",IF(ISNUMBER(Data!D130),IF(AND(Data!D130&gt;999999999,Data!D130&lt;=9999999999),IF(COUNTIFS(Data!D$1:'Data'!D130,Data!D130)&lt;=1,0,1),1),1))</f>
        <v/>
      </c>
      <c r="E130" s="9" t="str">
        <f>IF(Data!B130="","",IF(ISNUMBER(MATCH(Data!E130,Data_Val!$A$2:$A$3,0)),0,1))</f>
        <v/>
      </c>
      <c r="F130" s="9" t="str">
        <f ca="1">IF(Data!B130="","",IF(ISNUMBER(Data!F130),IF(AND(Data!F130&gt;(TODAY()-(Data_Val!$H$3*365.25)),Data!F130&lt;=(TODAY()-(Data_Val!$H$2*365.25))),0,1),1))</f>
        <v/>
      </c>
      <c r="G130" s="15" t="str">
        <f>IF(Data!B130="","",IF(AND(Data!G130="",Data!H130&lt;&gt;""),1,IF(Data!#REF!&lt;&gt;"",0,IF(ISNUMBER(MATCH(Data!G130,Data_Val!$C$2:$C$5,0)),0,1))))</f>
        <v/>
      </c>
      <c r="H130" s="15" t="str">
        <f>IF(Data!B130="","",IF(AND(Data!G130&lt;&gt;"",Data!H130=""),1,IF(Data!#REF!&lt;&gt;"",0,IF(Data!G130="",1,IF(ISNUMBER(MATCH(Data!H130,Data_Val!$D$2:$D$35,0)),0,1)))))</f>
        <v/>
      </c>
      <c r="I130" s="15" t="str">
        <f>IF(Data!B130="","",IF(Data!G130&lt;&gt;"",0,IF(ISNUMBER(MATCH(Data!#REF!,Data_Val!$E$2:$E$12,0)),0,1)))</f>
        <v/>
      </c>
      <c r="J130" s="16" t="e">
        <f>IF(OR(Data!B130="",Data!#REF!=""),"",IF(Data!#REF!="",1,0))</f>
        <v>#REF!</v>
      </c>
      <c r="K130" s="16" t="e">
        <f>IF(OR(Data!B130="",Data!#REF!=""),"",IF(Data!#REF!="",1,0))</f>
        <v>#REF!</v>
      </c>
      <c r="L130" s="16" t="e">
        <f>IF(OR(Data!B130="",Data!#REF!=""),"",IF(ISNUMBER(Data!#REF!),IF(AND(Data!#REF!&gt;Data_Val!$G$2,Data!#REF!&lt;=Data_Val!$G$3),0,1),1))</f>
        <v>#REF!</v>
      </c>
      <c r="M130" s="9" t="e">
        <f>IF(OR(Data!B130="",Data!#REF!=""),"",IF(ISNUMBER(MATCH(Data!#REF!,Data_Val!$F$1:$F$38,0)),0,1))</f>
        <v>#REF!</v>
      </c>
      <c r="N130" s="9" t="e">
        <f>IF(OR(Data!B130="",Data!#REF!=""),"",IF(Data!#REF!="",1,0))</f>
        <v>#REF!</v>
      </c>
      <c r="O130" s="17" t="e">
        <f>IF(Data!#REF!="","",IF(Data!#REF!="",1,0))</f>
        <v>#REF!</v>
      </c>
      <c r="P130" s="17" t="e">
        <f>IF(Data!#REF!="","",IF(ISNUMBER(MATCH(Data!#REF!,Data_Val!$A$2:$A$3,0)),0,1))</f>
        <v>#REF!</v>
      </c>
      <c r="Q130" s="25" t="e">
        <f ca="1">IF(Data!#REF!="","",IF(ISNUMBER(Data!#REF!),IF(AND(Data!#REF!&gt;(TODAY()-(Data_Val!$J$3*365.25)),Data!#REF!&lt;=(TODAY()-(Data_Val!$J$2*365.25))),0,1),1))</f>
        <v>#REF!</v>
      </c>
      <c r="R130" s="17" t="e">
        <f>IF(Data!#REF!="","",IF(ISNUMBER(MATCH(Data!#REF!,Data_Val!$B$2:$B$15,0)),0,1))</f>
        <v>#REF!</v>
      </c>
      <c r="S130" s="11" t="str">
        <f>IF(Data!G130="","",IF(Data!G130=Data_Val!$C$2,IF(Data!M130="",0,1),0))</f>
        <v/>
      </c>
      <c r="T130" s="11" t="str">
        <f>IF(Data!M130="","",IF(ISNUMBER(MATCH(Data!N130,Data_Val!$A$2:$A$3,0)),0,1))</f>
        <v/>
      </c>
      <c r="U130" s="11" t="str">
        <f ca="1">IF(Data!M130="","",IF(ISNUMBER(Data!O130),IF(AND(Data!O130&gt;(TODAY()-(Data_Val!$K$3*365.25)),Data!O130&lt;=(TODAY()-(Data_Val!$K$2*365.25))),0,1),1))</f>
        <v/>
      </c>
      <c r="V130" s="12" t="str">
        <f>IF(Data!G130="","",IF(Data!G130=Data_Val!$C$2,IF(Data!P130="",0,1),0))</f>
        <v/>
      </c>
      <c r="W130" s="12" t="str">
        <f>IF(Data!P130="","",IF(ISNUMBER(MATCH(Data!Q130,Data_Val!$A$2:$A$3,0)),0,1))</f>
        <v/>
      </c>
      <c r="X130" s="26" t="str">
        <f ca="1">IF(Data!P130="","",IF(ISNUMBER(Data!R130),IF(AND(Data!R130&gt;(TODAY()-(Data_Val!$L$3*365.25)),Data!R130&lt;=(TODAY()-(Data_Val!$L$2*365.25))),0,1),1))</f>
        <v/>
      </c>
      <c r="Y130" s="13" t="str">
        <f>IF(Data!$G130="","",IF(Data!$G130=Data_Val!$C$2,IF(Data!S130="",0,1),0))</f>
        <v/>
      </c>
      <c r="Z130" s="13" t="str">
        <f>IF(Data!S130="","",IF(ISNUMBER(MATCH(Data!T130,Data_Val!$A$2:$A$3,0)),0,1))</f>
        <v/>
      </c>
      <c r="AA130" s="28" t="str">
        <f ca="1">IF(Data!S130="","",IF(ISNUMBER(Data!U130),IF(AND(Data!U130&gt;(TODAY()-(Data_Val!$L$3*365.25)),Data!U130&lt;=(TODAY()-(Data_Val!$L$2*365.25))),0,1),1))</f>
        <v/>
      </c>
      <c r="AB130" s="11"/>
      <c r="AC130" s="11" t="e">
        <f>IF(Data!#REF!="","",IF(ISNUMBER(MATCH(Data!#REF!,Data_Val!$A$2:$A$3,0)),0,1))</f>
        <v>#REF!</v>
      </c>
      <c r="AD130" s="11" t="e">
        <f ca="1">IF(Data!#REF!="","",IF(ISNUMBER(Data!#REF!),IF(AND(Data!#REF!&gt;(TODAY()-(Data_Val!$L$3*365.25)),Data!#REF!&lt;=(TODAY()-(Data_Val!$L$2*365.25))),0,1),1))</f>
        <v>#REF!</v>
      </c>
      <c r="AE130" s="11" t="e">
        <f>IF(Data!#REF!="","",IF(Data!$G130="",1,IF(ISNUMBER(MATCH(Data!#REF!,Data_Val!$D$2:$D$10,0)),0,1)))</f>
        <v>#REF!</v>
      </c>
      <c r="AF130" s="12"/>
      <c r="AG130" s="12" t="e">
        <f>IF(Data!#REF!="","",IF(ISNUMBER(MATCH(Data!#REF!,Data_Val!$A$2:$A$3,0)),0,1))</f>
        <v>#REF!</v>
      </c>
      <c r="AH130" s="26" t="e">
        <f ca="1">IF(Data!#REF!="","",IF(ISNUMBER(Data!#REF!),IF(AND(Data!#REF!&gt;(TODAY()-(Data_Val!$L$3*365.25)),Data!#REF!&lt;=(TODAY()-(Data_Val!$L$2*365.25))),0,1),1))</f>
        <v>#REF!</v>
      </c>
      <c r="AI130" s="12" t="e">
        <f>IF(Data!#REF!="","",IF(Data!$G130="",1,IF(ISNUMBER(MATCH(Data!#REF!,Data_Val!$D$2:$D$10,0)),0,1)))</f>
        <v>#REF!</v>
      </c>
      <c r="AJ130" s="17"/>
      <c r="AK130" s="17" t="e">
        <f>IF(Data!#REF!="","",IF(ISNUMBER(MATCH(Data!#REF!,Data_Val!$A$2:$A$3,0)),0,1))</f>
        <v>#REF!</v>
      </c>
      <c r="AL130" s="25" t="e">
        <f ca="1">IF(Data!#REF!="","",IF(ISNUMBER(Data!#REF!),IF(AND(Data!#REF!&gt;(TODAY()-(Data_Val!$L$3*365.25)),Data!#REF!&lt;=(TODAY()-(Data_Val!$L$2*365.25))),0,1),1))</f>
        <v>#REF!</v>
      </c>
      <c r="AM130" s="17" t="e">
        <f>IF(Data!#REF!="","",IF(Data!$G130="",1,IF(ISNUMBER(MATCH(Data!#REF!,Data_Val!$D$2:$D$10,0)),0,1)))</f>
        <v>#REF!</v>
      </c>
      <c r="AN130" s="13"/>
      <c r="AO130" s="28" t="e">
        <f ca="1">IF(Data!#REF!="","",IF(ISNUMBER(Data!#REF!),IF(AND(Data!#REF!&gt;(TODAY()-(Data_Val!$I$3*365.25)),Data!#REF!&lt;=(TODAY()-(Data_Val!$I$2*365.25))),0,1),1))</f>
        <v>#REF!</v>
      </c>
      <c r="AP130" s="13" t="e">
        <f>IF(Data!#REF!="","",IF(Data!$G130="",1,IF(ISNUMBER(MATCH(Data!#REF!,Data_Val!$D$2:$D$10,0)),0,1)))</f>
        <v>#REF!</v>
      </c>
      <c r="AQ130" s="17"/>
      <c r="AR130" s="30" t="e">
        <f ca="1">IF(Data!#REF!="","",IF(ISNUMBER(Data!#REF!),IF(AND(Data!#REF!&gt;(TODAY()-(Data_Val!$I$3*365.25)),Data!#REF!&lt;=(TODAY()-(Data_Val!$I$2*365.25))),0,1),1))</f>
        <v>#REF!</v>
      </c>
      <c r="AS130" s="31" t="e">
        <f>IF(Data!#REF!="","",IF(Data!$G130="",1,IF(ISNUMBER(MATCH(Data!#REF!,Data_Val!$D$2:$D$10,0)),0,1)))</f>
        <v>#REF!</v>
      </c>
      <c r="AT130" s="11"/>
      <c r="AU130" s="11" t="e">
        <f ca="1">IF(Data!#REF!="","",IF(ISNUMBER(Data!#REF!),IF(AND(Data!#REF!&gt;(TODAY()-(Data_Val!$I$3*365.25)),Data!#REF!&lt;=(TODAY()-(Data_Val!$I$2*365.25))),0,1),1))</f>
        <v>#REF!</v>
      </c>
      <c r="AV130" s="11" t="e">
        <f>IF(Data!#REF!="","",IF(Data!$G130="",1,IF(ISNUMBER(MATCH(Data!#REF!,Data_Val!$D$2:$D$10,0)),0,1)))</f>
        <v>#REF!</v>
      </c>
      <c r="AW130" s="12"/>
      <c r="AX130" s="26" t="e">
        <f ca="1">IF(Data!#REF!="","",IF(ISNUMBER(Data!#REF!),IF(AND(Data!#REF!&gt;(TODAY()-(Data_Val!$I$3*365.25)),Data!#REF!&lt;=(TODAY()-(Data_Val!$I$2*365.25))),0,1),1))</f>
        <v>#REF!</v>
      </c>
      <c r="AY130" s="12" t="e">
        <f>IF(Data!#REF!="","",IF(Data!$G130="",1,IF(ISNUMBER(MATCH(Data!#REF!,Data_Val!$D$2:$D$10,0)),0,1)))</f>
        <v>#REF!</v>
      </c>
      <c r="AZ130" s="11"/>
      <c r="BA130" s="19" t="e">
        <f ca="1">IF(Data!#REF!="","",IF(ISNUMBER(Data!#REF!),IF(AND(Data!#REF!&gt;(TODAY()-(Data_Val!$M$3*365.25)),Data!#REF!&lt;=(TODAY()-(Data_Val!$M$2*365.25))),0,1),1))</f>
        <v>#REF!</v>
      </c>
      <c r="BB130" s="11" t="e">
        <f>IF(Data!#REF!="","",IF(Data!$G130="",1,IF(ISNUMBER(MATCH(Data!#REF!,Data_Val!$D$2:$D$10,0)),0,1)))</f>
        <v>#REF!</v>
      </c>
      <c r="BC130" s="12"/>
      <c r="BD130" s="20" t="e">
        <f ca="1">IF(Data!#REF!="","",IF(ISNUMBER(Data!#REF!),IF(AND(Data!#REF!&gt;(TODAY()-(Data_Val!$M$3*365.25)),Data!#REF!&lt;=(TODAY()-(Data_Val!$M$2*365.25))),0,1),1))</f>
        <v>#REF!</v>
      </c>
      <c r="BE130" s="12" t="e">
        <f>IF(Data!#REF!="","",IF(Data!$G130="",1,IF(ISNUMBER(MATCH(Data!#REF!,Data_Val!$D$2:$D$10,0)),0,1)))</f>
        <v>#REF!</v>
      </c>
      <c r="BF130" s="17"/>
      <c r="BG130" s="18" t="e">
        <f ca="1">IF(Data!#REF!="","",IF(ISNUMBER(Data!#REF!),IF(AND(Data!#REF!&gt;(TODAY()-(Data_Val!$M$3*365.25)),Data!#REF!&lt;=(TODAY()-(Data_Val!$M$2*365.25))),0,1),1))</f>
        <v>#REF!</v>
      </c>
      <c r="BH130" s="29" t="e">
        <f>IF(Data!#REF!="","",IF(Data!$G130="",1,IF(ISNUMBER(MATCH(Data!#REF!,Data_Val!$D$2:$D$10,0)),0,1)))</f>
        <v>#REF!</v>
      </c>
      <c r="BI130" s="13"/>
      <c r="BJ130" s="21" t="e">
        <f ca="1">IF(Data!#REF!="","",IF(ISNUMBER(Data!#REF!),IF(AND(Data!#REF!&gt;(TODAY()-(Data_Val!$M$3*365.25)),Data!#REF!&lt;=(TODAY()-(Data_Val!$M$2*365.25))),0,1),1))</f>
        <v>#REF!</v>
      </c>
      <c r="BK130" s="13" t="e">
        <f>IF(Data!#REF!="","",IF(Data!$G130="",1,IF(ISNUMBER(MATCH(Data!#REF!,Data_Val!$D$2:$D$10,0)),0,1)))</f>
        <v>#REF!</v>
      </c>
    </row>
    <row r="131" spans="1:63" x14ac:dyDescent="0.25">
      <c r="A131" s="9" t="str">
        <f>IF(Data!B131="","",IF(COUNTIFS(Data!A$1:'Data'!A131,Data!A131)&lt;=1,0,1))</f>
        <v/>
      </c>
      <c r="B131" s="9"/>
      <c r="C131" s="23" t="str">
        <f>IF(Data!C131="","",(IF(ISNUMBER(MATCH("*@*.?*",Data!C131,0)),0,1)+IF(COUNTIFS(Data!C$1:'Data'!C131,Data!C131)&gt;1,1,0)))</f>
        <v/>
      </c>
      <c r="D131" s="9" t="str">
        <f>IF(Data!B131="","",IF(ISNUMBER(Data!D131),IF(AND(Data!D131&gt;999999999,Data!D131&lt;=9999999999),IF(COUNTIFS(Data!D$1:'Data'!D131,Data!D131)&lt;=1,0,1),1),1))</f>
        <v/>
      </c>
      <c r="E131" s="9" t="str">
        <f>IF(Data!B131="","",IF(ISNUMBER(MATCH(Data!E131,Data_Val!$A$2:$A$3,0)),0,1))</f>
        <v/>
      </c>
      <c r="F131" s="9" t="str">
        <f ca="1">IF(Data!B131="","",IF(ISNUMBER(Data!F131),IF(AND(Data!F131&gt;(TODAY()-(Data_Val!$H$3*365.25)),Data!F131&lt;=(TODAY()-(Data_Val!$H$2*365.25))),0,1),1))</f>
        <v/>
      </c>
      <c r="G131" s="15" t="str">
        <f>IF(Data!B131="","",IF(AND(Data!G131="",Data!H131&lt;&gt;""),1,IF(Data!#REF!&lt;&gt;"",0,IF(ISNUMBER(MATCH(Data!G131,Data_Val!$C$2:$C$5,0)),0,1))))</f>
        <v/>
      </c>
      <c r="H131" s="15" t="str">
        <f>IF(Data!B131="","",IF(AND(Data!G131&lt;&gt;"",Data!H131=""),1,IF(Data!#REF!&lt;&gt;"",0,IF(Data!G131="",1,IF(ISNUMBER(MATCH(Data!H131,Data_Val!$D$2:$D$35,0)),0,1)))))</f>
        <v/>
      </c>
      <c r="I131" s="15" t="str">
        <f>IF(Data!B131="","",IF(Data!G131&lt;&gt;"",0,IF(ISNUMBER(MATCH(Data!#REF!,Data_Val!$E$2:$E$12,0)),0,1)))</f>
        <v/>
      </c>
      <c r="J131" s="16" t="e">
        <f>IF(OR(Data!B131="",Data!#REF!=""),"",IF(Data!#REF!="",1,0))</f>
        <v>#REF!</v>
      </c>
      <c r="K131" s="16" t="e">
        <f>IF(OR(Data!B131="",Data!#REF!=""),"",IF(Data!#REF!="",1,0))</f>
        <v>#REF!</v>
      </c>
      <c r="L131" s="16" t="e">
        <f>IF(OR(Data!B131="",Data!#REF!=""),"",IF(ISNUMBER(Data!#REF!),IF(AND(Data!#REF!&gt;Data_Val!$G$2,Data!#REF!&lt;=Data_Val!$G$3),0,1),1))</f>
        <v>#REF!</v>
      </c>
      <c r="M131" s="9" t="e">
        <f>IF(OR(Data!B131="",Data!#REF!=""),"",IF(ISNUMBER(MATCH(Data!#REF!,Data_Val!$F$1:$F$38,0)),0,1))</f>
        <v>#REF!</v>
      </c>
      <c r="N131" s="9" t="e">
        <f>IF(OR(Data!B131="",Data!#REF!=""),"",IF(Data!#REF!="",1,0))</f>
        <v>#REF!</v>
      </c>
      <c r="O131" s="17" t="e">
        <f>IF(Data!#REF!="","",IF(Data!#REF!="",1,0))</f>
        <v>#REF!</v>
      </c>
      <c r="P131" s="17" t="e">
        <f>IF(Data!#REF!="","",IF(ISNUMBER(MATCH(Data!#REF!,Data_Val!$A$2:$A$3,0)),0,1))</f>
        <v>#REF!</v>
      </c>
      <c r="Q131" s="25" t="e">
        <f ca="1">IF(Data!#REF!="","",IF(ISNUMBER(Data!#REF!),IF(AND(Data!#REF!&gt;(TODAY()-(Data_Val!$J$3*365.25)),Data!#REF!&lt;=(TODAY()-(Data_Val!$J$2*365.25))),0,1),1))</f>
        <v>#REF!</v>
      </c>
      <c r="R131" s="17" t="e">
        <f>IF(Data!#REF!="","",IF(ISNUMBER(MATCH(Data!#REF!,Data_Val!$B$2:$B$15,0)),0,1))</f>
        <v>#REF!</v>
      </c>
      <c r="S131" s="11" t="str">
        <f>IF(Data!G131="","",IF(Data!G131=Data_Val!$C$2,IF(Data!M131="",0,1),0))</f>
        <v/>
      </c>
      <c r="T131" s="11" t="str">
        <f>IF(Data!M131="","",IF(ISNUMBER(MATCH(Data!N131,Data_Val!$A$2:$A$3,0)),0,1))</f>
        <v/>
      </c>
      <c r="U131" s="11" t="str">
        <f ca="1">IF(Data!M131="","",IF(ISNUMBER(Data!O131),IF(AND(Data!O131&gt;(TODAY()-(Data_Val!$K$3*365.25)),Data!O131&lt;=(TODAY()-(Data_Val!$K$2*365.25))),0,1),1))</f>
        <v/>
      </c>
      <c r="V131" s="12" t="str">
        <f>IF(Data!G131="","",IF(Data!G131=Data_Val!$C$2,IF(Data!P131="",0,1),0))</f>
        <v/>
      </c>
      <c r="W131" s="12" t="str">
        <f>IF(Data!P131="","",IF(ISNUMBER(MATCH(Data!Q131,Data_Val!$A$2:$A$3,0)),0,1))</f>
        <v/>
      </c>
      <c r="X131" s="26" t="str">
        <f ca="1">IF(Data!P131="","",IF(ISNUMBER(Data!R131),IF(AND(Data!R131&gt;(TODAY()-(Data_Val!$L$3*365.25)),Data!R131&lt;=(TODAY()-(Data_Val!$L$2*365.25))),0,1),1))</f>
        <v/>
      </c>
      <c r="Y131" s="13" t="str">
        <f>IF(Data!$G131="","",IF(Data!$G131=Data_Val!$C$2,IF(Data!S131="",0,1),0))</f>
        <v/>
      </c>
      <c r="Z131" s="13" t="str">
        <f>IF(Data!S131="","",IF(ISNUMBER(MATCH(Data!T131,Data_Val!$A$2:$A$3,0)),0,1))</f>
        <v/>
      </c>
      <c r="AA131" s="28" t="str">
        <f ca="1">IF(Data!S131="","",IF(ISNUMBER(Data!U131),IF(AND(Data!U131&gt;(TODAY()-(Data_Val!$L$3*365.25)),Data!U131&lt;=(TODAY()-(Data_Val!$L$2*365.25))),0,1),1))</f>
        <v/>
      </c>
      <c r="AB131" s="11"/>
      <c r="AC131" s="11" t="e">
        <f>IF(Data!#REF!="","",IF(ISNUMBER(MATCH(Data!#REF!,Data_Val!$A$2:$A$3,0)),0,1))</f>
        <v>#REF!</v>
      </c>
      <c r="AD131" s="11" t="e">
        <f ca="1">IF(Data!#REF!="","",IF(ISNUMBER(Data!#REF!),IF(AND(Data!#REF!&gt;(TODAY()-(Data_Val!$L$3*365.25)),Data!#REF!&lt;=(TODAY()-(Data_Val!$L$2*365.25))),0,1),1))</f>
        <v>#REF!</v>
      </c>
      <c r="AE131" s="11" t="e">
        <f>IF(Data!#REF!="","",IF(Data!$G131="",1,IF(ISNUMBER(MATCH(Data!#REF!,Data_Val!$D$2:$D$10,0)),0,1)))</f>
        <v>#REF!</v>
      </c>
      <c r="AF131" s="12"/>
      <c r="AG131" s="12" t="e">
        <f>IF(Data!#REF!="","",IF(ISNUMBER(MATCH(Data!#REF!,Data_Val!$A$2:$A$3,0)),0,1))</f>
        <v>#REF!</v>
      </c>
      <c r="AH131" s="26" t="e">
        <f ca="1">IF(Data!#REF!="","",IF(ISNUMBER(Data!#REF!),IF(AND(Data!#REF!&gt;(TODAY()-(Data_Val!$L$3*365.25)),Data!#REF!&lt;=(TODAY()-(Data_Val!$L$2*365.25))),0,1),1))</f>
        <v>#REF!</v>
      </c>
      <c r="AI131" s="12" t="e">
        <f>IF(Data!#REF!="","",IF(Data!$G131="",1,IF(ISNUMBER(MATCH(Data!#REF!,Data_Val!$D$2:$D$10,0)),0,1)))</f>
        <v>#REF!</v>
      </c>
      <c r="AJ131" s="17"/>
      <c r="AK131" s="17" t="e">
        <f>IF(Data!#REF!="","",IF(ISNUMBER(MATCH(Data!#REF!,Data_Val!$A$2:$A$3,0)),0,1))</f>
        <v>#REF!</v>
      </c>
      <c r="AL131" s="25" t="e">
        <f ca="1">IF(Data!#REF!="","",IF(ISNUMBER(Data!#REF!),IF(AND(Data!#REF!&gt;(TODAY()-(Data_Val!$L$3*365.25)),Data!#REF!&lt;=(TODAY()-(Data_Val!$L$2*365.25))),0,1),1))</f>
        <v>#REF!</v>
      </c>
      <c r="AM131" s="17" t="e">
        <f>IF(Data!#REF!="","",IF(Data!$G131="",1,IF(ISNUMBER(MATCH(Data!#REF!,Data_Val!$D$2:$D$10,0)),0,1)))</f>
        <v>#REF!</v>
      </c>
      <c r="AN131" s="13"/>
      <c r="AO131" s="28" t="e">
        <f ca="1">IF(Data!#REF!="","",IF(ISNUMBER(Data!#REF!),IF(AND(Data!#REF!&gt;(TODAY()-(Data_Val!$I$3*365.25)),Data!#REF!&lt;=(TODAY()-(Data_Val!$I$2*365.25))),0,1),1))</f>
        <v>#REF!</v>
      </c>
      <c r="AP131" s="13" t="e">
        <f>IF(Data!#REF!="","",IF(Data!$G131="",1,IF(ISNUMBER(MATCH(Data!#REF!,Data_Val!$D$2:$D$10,0)),0,1)))</f>
        <v>#REF!</v>
      </c>
      <c r="AQ131" s="17"/>
      <c r="AR131" s="30" t="e">
        <f ca="1">IF(Data!#REF!="","",IF(ISNUMBER(Data!#REF!),IF(AND(Data!#REF!&gt;(TODAY()-(Data_Val!$I$3*365.25)),Data!#REF!&lt;=(TODAY()-(Data_Val!$I$2*365.25))),0,1),1))</f>
        <v>#REF!</v>
      </c>
      <c r="AS131" s="31" t="e">
        <f>IF(Data!#REF!="","",IF(Data!$G131="",1,IF(ISNUMBER(MATCH(Data!#REF!,Data_Val!$D$2:$D$10,0)),0,1)))</f>
        <v>#REF!</v>
      </c>
      <c r="AT131" s="11"/>
      <c r="AU131" s="11" t="e">
        <f ca="1">IF(Data!#REF!="","",IF(ISNUMBER(Data!#REF!),IF(AND(Data!#REF!&gt;(TODAY()-(Data_Val!$I$3*365.25)),Data!#REF!&lt;=(TODAY()-(Data_Val!$I$2*365.25))),0,1),1))</f>
        <v>#REF!</v>
      </c>
      <c r="AV131" s="11" t="e">
        <f>IF(Data!#REF!="","",IF(Data!$G131="",1,IF(ISNUMBER(MATCH(Data!#REF!,Data_Val!$D$2:$D$10,0)),0,1)))</f>
        <v>#REF!</v>
      </c>
      <c r="AW131" s="12"/>
      <c r="AX131" s="26" t="e">
        <f ca="1">IF(Data!#REF!="","",IF(ISNUMBER(Data!#REF!),IF(AND(Data!#REF!&gt;(TODAY()-(Data_Val!$I$3*365.25)),Data!#REF!&lt;=(TODAY()-(Data_Val!$I$2*365.25))),0,1),1))</f>
        <v>#REF!</v>
      </c>
      <c r="AY131" s="12" t="e">
        <f>IF(Data!#REF!="","",IF(Data!$G131="",1,IF(ISNUMBER(MATCH(Data!#REF!,Data_Val!$D$2:$D$10,0)),0,1)))</f>
        <v>#REF!</v>
      </c>
      <c r="AZ131" s="11"/>
      <c r="BA131" s="19" t="e">
        <f ca="1">IF(Data!#REF!="","",IF(ISNUMBER(Data!#REF!),IF(AND(Data!#REF!&gt;(TODAY()-(Data_Val!$M$3*365.25)),Data!#REF!&lt;=(TODAY()-(Data_Val!$M$2*365.25))),0,1),1))</f>
        <v>#REF!</v>
      </c>
      <c r="BB131" s="11" t="e">
        <f>IF(Data!#REF!="","",IF(Data!$G131="",1,IF(ISNUMBER(MATCH(Data!#REF!,Data_Val!$D$2:$D$10,0)),0,1)))</f>
        <v>#REF!</v>
      </c>
      <c r="BC131" s="12"/>
      <c r="BD131" s="20" t="e">
        <f ca="1">IF(Data!#REF!="","",IF(ISNUMBER(Data!#REF!),IF(AND(Data!#REF!&gt;(TODAY()-(Data_Val!$M$3*365.25)),Data!#REF!&lt;=(TODAY()-(Data_Val!$M$2*365.25))),0,1),1))</f>
        <v>#REF!</v>
      </c>
      <c r="BE131" s="12" t="e">
        <f>IF(Data!#REF!="","",IF(Data!$G131="",1,IF(ISNUMBER(MATCH(Data!#REF!,Data_Val!$D$2:$D$10,0)),0,1)))</f>
        <v>#REF!</v>
      </c>
      <c r="BF131" s="17"/>
      <c r="BG131" s="18" t="e">
        <f ca="1">IF(Data!#REF!="","",IF(ISNUMBER(Data!#REF!),IF(AND(Data!#REF!&gt;(TODAY()-(Data_Val!$M$3*365.25)),Data!#REF!&lt;=(TODAY()-(Data_Val!$M$2*365.25))),0,1),1))</f>
        <v>#REF!</v>
      </c>
      <c r="BH131" s="29" t="e">
        <f>IF(Data!#REF!="","",IF(Data!$G131="",1,IF(ISNUMBER(MATCH(Data!#REF!,Data_Val!$D$2:$D$10,0)),0,1)))</f>
        <v>#REF!</v>
      </c>
      <c r="BI131" s="13"/>
      <c r="BJ131" s="21" t="e">
        <f ca="1">IF(Data!#REF!="","",IF(ISNUMBER(Data!#REF!),IF(AND(Data!#REF!&gt;(TODAY()-(Data_Val!$M$3*365.25)),Data!#REF!&lt;=(TODAY()-(Data_Val!$M$2*365.25))),0,1),1))</f>
        <v>#REF!</v>
      </c>
      <c r="BK131" s="13" t="e">
        <f>IF(Data!#REF!="","",IF(Data!$G131="",1,IF(ISNUMBER(MATCH(Data!#REF!,Data_Val!$D$2:$D$10,0)),0,1)))</f>
        <v>#REF!</v>
      </c>
    </row>
    <row r="132" spans="1:63" x14ac:dyDescent="0.25">
      <c r="A132" s="9" t="str">
        <f>IF(Data!B132="","",IF(COUNTIFS(Data!A$1:'Data'!A132,Data!A132)&lt;=1,0,1))</f>
        <v/>
      </c>
      <c r="B132" s="9"/>
      <c r="C132" s="23" t="str">
        <f>IF(Data!C132="","",(IF(ISNUMBER(MATCH("*@*.?*",Data!C132,0)),0,1)+IF(COUNTIFS(Data!C$1:'Data'!C132,Data!C132)&gt;1,1,0)))</f>
        <v/>
      </c>
      <c r="D132" s="9" t="str">
        <f>IF(Data!B132="","",IF(ISNUMBER(Data!D132),IF(AND(Data!D132&gt;999999999,Data!D132&lt;=9999999999),IF(COUNTIFS(Data!D$1:'Data'!D132,Data!D132)&lt;=1,0,1),1),1))</f>
        <v/>
      </c>
      <c r="E132" s="9" t="str">
        <f>IF(Data!B132="","",IF(ISNUMBER(MATCH(Data!E132,Data_Val!$A$2:$A$3,0)),0,1))</f>
        <v/>
      </c>
      <c r="F132" s="9" t="str">
        <f ca="1">IF(Data!B132="","",IF(ISNUMBER(Data!F132),IF(AND(Data!F132&gt;(TODAY()-(Data_Val!$H$3*365.25)),Data!F132&lt;=(TODAY()-(Data_Val!$H$2*365.25))),0,1),1))</f>
        <v/>
      </c>
      <c r="G132" s="15" t="str">
        <f>IF(Data!B132="","",IF(AND(Data!G132="",Data!H132&lt;&gt;""),1,IF(Data!#REF!&lt;&gt;"",0,IF(ISNUMBER(MATCH(Data!G132,Data_Val!$C$2:$C$5,0)),0,1))))</f>
        <v/>
      </c>
      <c r="H132" s="15" t="str">
        <f>IF(Data!B132="","",IF(AND(Data!G132&lt;&gt;"",Data!H132=""),1,IF(Data!#REF!&lt;&gt;"",0,IF(Data!G132="",1,IF(ISNUMBER(MATCH(Data!H132,Data_Val!$D$2:$D$35,0)),0,1)))))</f>
        <v/>
      </c>
      <c r="I132" s="15" t="str">
        <f>IF(Data!B132="","",IF(Data!G132&lt;&gt;"",0,IF(ISNUMBER(MATCH(Data!#REF!,Data_Val!$E$2:$E$12,0)),0,1)))</f>
        <v/>
      </c>
      <c r="J132" s="16" t="e">
        <f>IF(OR(Data!B132="",Data!#REF!=""),"",IF(Data!#REF!="",1,0))</f>
        <v>#REF!</v>
      </c>
      <c r="K132" s="16" t="e">
        <f>IF(OR(Data!B132="",Data!#REF!=""),"",IF(Data!#REF!="",1,0))</f>
        <v>#REF!</v>
      </c>
      <c r="L132" s="16" t="e">
        <f>IF(OR(Data!B132="",Data!#REF!=""),"",IF(ISNUMBER(Data!#REF!),IF(AND(Data!#REF!&gt;Data_Val!$G$2,Data!#REF!&lt;=Data_Val!$G$3),0,1),1))</f>
        <v>#REF!</v>
      </c>
      <c r="M132" s="9" t="e">
        <f>IF(OR(Data!B132="",Data!#REF!=""),"",IF(ISNUMBER(MATCH(Data!#REF!,Data_Val!$F$1:$F$38,0)),0,1))</f>
        <v>#REF!</v>
      </c>
      <c r="N132" s="9" t="e">
        <f>IF(OR(Data!B132="",Data!#REF!=""),"",IF(Data!#REF!="",1,0))</f>
        <v>#REF!</v>
      </c>
      <c r="O132" s="17" t="e">
        <f>IF(Data!#REF!="","",IF(Data!#REF!="",1,0))</f>
        <v>#REF!</v>
      </c>
      <c r="P132" s="17" t="e">
        <f>IF(Data!#REF!="","",IF(ISNUMBER(MATCH(Data!#REF!,Data_Val!$A$2:$A$3,0)),0,1))</f>
        <v>#REF!</v>
      </c>
      <c r="Q132" s="25" t="e">
        <f ca="1">IF(Data!#REF!="","",IF(ISNUMBER(Data!#REF!),IF(AND(Data!#REF!&gt;(TODAY()-(Data_Val!$J$3*365.25)),Data!#REF!&lt;=(TODAY()-(Data_Val!$J$2*365.25))),0,1),1))</f>
        <v>#REF!</v>
      </c>
      <c r="R132" s="17" t="e">
        <f>IF(Data!#REF!="","",IF(ISNUMBER(MATCH(Data!#REF!,Data_Val!$B$2:$B$15,0)),0,1))</f>
        <v>#REF!</v>
      </c>
      <c r="S132" s="11" t="str">
        <f>IF(Data!G132="","",IF(Data!G132=Data_Val!$C$2,IF(Data!M132="",0,1),0))</f>
        <v/>
      </c>
      <c r="T132" s="11" t="str">
        <f>IF(Data!M132="","",IF(ISNUMBER(MATCH(Data!N132,Data_Val!$A$2:$A$3,0)),0,1))</f>
        <v/>
      </c>
      <c r="U132" s="11" t="str">
        <f ca="1">IF(Data!M132="","",IF(ISNUMBER(Data!O132),IF(AND(Data!O132&gt;(TODAY()-(Data_Val!$K$3*365.25)),Data!O132&lt;=(TODAY()-(Data_Val!$K$2*365.25))),0,1),1))</f>
        <v/>
      </c>
      <c r="V132" s="12" t="str">
        <f>IF(Data!G132="","",IF(Data!G132=Data_Val!$C$2,IF(Data!P132="",0,1),0))</f>
        <v/>
      </c>
      <c r="W132" s="12" t="str">
        <f>IF(Data!P132="","",IF(ISNUMBER(MATCH(Data!Q132,Data_Val!$A$2:$A$3,0)),0,1))</f>
        <v/>
      </c>
      <c r="X132" s="26" t="str">
        <f ca="1">IF(Data!P132="","",IF(ISNUMBER(Data!R132),IF(AND(Data!R132&gt;(TODAY()-(Data_Val!$L$3*365.25)),Data!R132&lt;=(TODAY()-(Data_Val!$L$2*365.25))),0,1),1))</f>
        <v/>
      </c>
      <c r="Y132" s="13" t="str">
        <f>IF(Data!$G132="","",IF(Data!$G132=Data_Val!$C$2,IF(Data!S132="",0,1),0))</f>
        <v/>
      </c>
      <c r="Z132" s="13" t="str">
        <f>IF(Data!S132="","",IF(ISNUMBER(MATCH(Data!T132,Data_Val!$A$2:$A$3,0)),0,1))</f>
        <v/>
      </c>
      <c r="AA132" s="28" t="str">
        <f ca="1">IF(Data!S132="","",IF(ISNUMBER(Data!U132),IF(AND(Data!U132&gt;(TODAY()-(Data_Val!$L$3*365.25)),Data!U132&lt;=(TODAY()-(Data_Val!$L$2*365.25))),0,1),1))</f>
        <v/>
      </c>
      <c r="AB132" s="11"/>
      <c r="AC132" s="11" t="e">
        <f>IF(Data!#REF!="","",IF(ISNUMBER(MATCH(Data!#REF!,Data_Val!$A$2:$A$3,0)),0,1))</f>
        <v>#REF!</v>
      </c>
      <c r="AD132" s="11" t="e">
        <f ca="1">IF(Data!#REF!="","",IF(ISNUMBER(Data!#REF!),IF(AND(Data!#REF!&gt;(TODAY()-(Data_Val!$L$3*365.25)),Data!#REF!&lt;=(TODAY()-(Data_Val!$L$2*365.25))),0,1),1))</f>
        <v>#REF!</v>
      </c>
      <c r="AE132" s="11" t="e">
        <f>IF(Data!#REF!="","",IF(Data!$G132="",1,IF(ISNUMBER(MATCH(Data!#REF!,Data_Val!$D$2:$D$10,0)),0,1)))</f>
        <v>#REF!</v>
      </c>
      <c r="AF132" s="12"/>
      <c r="AG132" s="12" t="e">
        <f>IF(Data!#REF!="","",IF(ISNUMBER(MATCH(Data!#REF!,Data_Val!$A$2:$A$3,0)),0,1))</f>
        <v>#REF!</v>
      </c>
      <c r="AH132" s="26" t="e">
        <f ca="1">IF(Data!#REF!="","",IF(ISNUMBER(Data!#REF!),IF(AND(Data!#REF!&gt;(TODAY()-(Data_Val!$L$3*365.25)),Data!#REF!&lt;=(TODAY()-(Data_Val!$L$2*365.25))),0,1),1))</f>
        <v>#REF!</v>
      </c>
      <c r="AI132" s="12" t="e">
        <f>IF(Data!#REF!="","",IF(Data!$G132="",1,IF(ISNUMBER(MATCH(Data!#REF!,Data_Val!$D$2:$D$10,0)),0,1)))</f>
        <v>#REF!</v>
      </c>
      <c r="AJ132" s="17"/>
      <c r="AK132" s="17" t="e">
        <f>IF(Data!#REF!="","",IF(ISNUMBER(MATCH(Data!#REF!,Data_Val!$A$2:$A$3,0)),0,1))</f>
        <v>#REF!</v>
      </c>
      <c r="AL132" s="25" t="e">
        <f ca="1">IF(Data!#REF!="","",IF(ISNUMBER(Data!#REF!),IF(AND(Data!#REF!&gt;(TODAY()-(Data_Val!$L$3*365.25)),Data!#REF!&lt;=(TODAY()-(Data_Val!$L$2*365.25))),0,1),1))</f>
        <v>#REF!</v>
      </c>
      <c r="AM132" s="17" t="e">
        <f>IF(Data!#REF!="","",IF(Data!$G132="",1,IF(ISNUMBER(MATCH(Data!#REF!,Data_Val!$D$2:$D$10,0)),0,1)))</f>
        <v>#REF!</v>
      </c>
      <c r="AN132" s="13"/>
      <c r="AO132" s="28" t="e">
        <f ca="1">IF(Data!#REF!="","",IF(ISNUMBER(Data!#REF!),IF(AND(Data!#REF!&gt;(TODAY()-(Data_Val!$I$3*365.25)),Data!#REF!&lt;=(TODAY()-(Data_Val!$I$2*365.25))),0,1),1))</f>
        <v>#REF!</v>
      </c>
      <c r="AP132" s="13" t="e">
        <f>IF(Data!#REF!="","",IF(Data!$G132="",1,IF(ISNUMBER(MATCH(Data!#REF!,Data_Val!$D$2:$D$10,0)),0,1)))</f>
        <v>#REF!</v>
      </c>
      <c r="AQ132" s="17"/>
      <c r="AR132" s="30" t="e">
        <f ca="1">IF(Data!#REF!="","",IF(ISNUMBER(Data!#REF!),IF(AND(Data!#REF!&gt;(TODAY()-(Data_Val!$I$3*365.25)),Data!#REF!&lt;=(TODAY()-(Data_Val!$I$2*365.25))),0,1),1))</f>
        <v>#REF!</v>
      </c>
      <c r="AS132" s="31" t="e">
        <f>IF(Data!#REF!="","",IF(Data!$G132="",1,IF(ISNUMBER(MATCH(Data!#REF!,Data_Val!$D$2:$D$10,0)),0,1)))</f>
        <v>#REF!</v>
      </c>
      <c r="AT132" s="11"/>
      <c r="AU132" s="11" t="e">
        <f ca="1">IF(Data!#REF!="","",IF(ISNUMBER(Data!#REF!),IF(AND(Data!#REF!&gt;(TODAY()-(Data_Val!$I$3*365.25)),Data!#REF!&lt;=(TODAY()-(Data_Val!$I$2*365.25))),0,1),1))</f>
        <v>#REF!</v>
      </c>
      <c r="AV132" s="11" t="e">
        <f>IF(Data!#REF!="","",IF(Data!$G132="",1,IF(ISNUMBER(MATCH(Data!#REF!,Data_Val!$D$2:$D$10,0)),0,1)))</f>
        <v>#REF!</v>
      </c>
      <c r="AW132" s="12"/>
      <c r="AX132" s="26" t="e">
        <f ca="1">IF(Data!#REF!="","",IF(ISNUMBER(Data!#REF!),IF(AND(Data!#REF!&gt;(TODAY()-(Data_Val!$I$3*365.25)),Data!#REF!&lt;=(TODAY()-(Data_Val!$I$2*365.25))),0,1),1))</f>
        <v>#REF!</v>
      </c>
      <c r="AY132" s="12" t="e">
        <f>IF(Data!#REF!="","",IF(Data!$G132="",1,IF(ISNUMBER(MATCH(Data!#REF!,Data_Val!$D$2:$D$10,0)),0,1)))</f>
        <v>#REF!</v>
      </c>
      <c r="AZ132" s="11"/>
      <c r="BA132" s="19" t="e">
        <f ca="1">IF(Data!#REF!="","",IF(ISNUMBER(Data!#REF!),IF(AND(Data!#REF!&gt;(TODAY()-(Data_Val!$M$3*365.25)),Data!#REF!&lt;=(TODAY()-(Data_Val!$M$2*365.25))),0,1),1))</f>
        <v>#REF!</v>
      </c>
      <c r="BB132" s="11" t="e">
        <f>IF(Data!#REF!="","",IF(Data!$G132="",1,IF(ISNUMBER(MATCH(Data!#REF!,Data_Val!$D$2:$D$10,0)),0,1)))</f>
        <v>#REF!</v>
      </c>
      <c r="BC132" s="12"/>
      <c r="BD132" s="20" t="e">
        <f ca="1">IF(Data!#REF!="","",IF(ISNUMBER(Data!#REF!),IF(AND(Data!#REF!&gt;(TODAY()-(Data_Val!$M$3*365.25)),Data!#REF!&lt;=(TODAY()-(Data_Val!$M$2*365.25))),0,1),1))</f>
        <v>#REF!</v>
      </c>
      <c r="BE132" s="12" t="e">
        <f>IF(Data!#REF!="","",IF(Data!$G132="",1,IF(ISNUMBER(MATCH(Data!#REF!,Data_Val!$D$2:$D$10,0)),0,1)))</f>
        <v>#REF!</v>
      </c>
      <c r="BF132" s="17"/>
      <c r="BG132" s="18" t="e">
        <f ca="1">IF(Data!#REF!="","",IF(ISNUMBER(Data!#REF!),IF(AND(Data!#REF!&gt;(TODAY()-(Data_Val!$M$3*365.25)),Data!#REF!&lt;=(TODAY()-(Data_Val!$M$2*365.25))),0,1),1))</f>
        <v>#REF!</v>
      </c>
      <c r="BH132" s="29" t="e">
        <f>IF(Data!#REF!="","",IF(Data!$G132="",1,IF(ISNUMBER(MATCH(Data!#REF!,Data_Val!$D$2:$D$10,0)),0,1)))</f>
        <v>#REF!</v>
      </c>
      <c r="BI132" s="13"/>
      <c r="BJ132" s="21" t="e">
        <f ca="1">IF(Data!#REF!="","",IF(ISNUMBER(Data!#REF!),IF(AND(Data!#REF!&gt;(TODAY()-(Data_Val!$M$3*365.25)),Data!#REF!&lt;=(TODAY()-(Data_Val!$M$2*365.25))),0,1),1))</f>
        <v>#REF!</v>
      </c>
      <c r="BK132" s="13" t="e">
        <f>IF(Data!#REF!="","",IF(Data!$G132="",1,IF(ISNUMBER(MATCH(Data!#REF!,Data_Val!$D$2:$D$10,0)),0,1)))</f>
        <v>#REF!</v>
      </c>
    </row>
    <row r="133" spans="1:63" x14ac:dyDescent="0.25">
      <c r="A133" s="9" t="str">
        <f>IF(Data!B133="","",IF(COUNTIFS(Data!A$1:'Data'!A133,Data!A133)&lt;=1,0,1))</f>
        <v/>
      </c>
      <c r="B133" s="9"/>
      <c r="C133" s="23" t="str">
        <f>IF(Data!C133="","",(IF(ISNUMBER(MATCH("*@*.?*",Data!C133,0)),0,1)+IF(COUNTIFS(Data!C$1:'Data'!C133,Data!C133)&gt;1,1,0)))</f>
        <v/>
      </c>
      <c r="D133" s="9" t="str">
        <f>IF(Data!B133="","",IF(ISNUMBER(Data!D133),IF(AND(Data!D133&gt;999999999,Data!D133&lt;=9999999999),IF(COUNTIFS(Data!D$1:'Data'!D133,Data!D133)&lt;=1,0,1),1),1))</f>
        <v/>
      </c>
      <c r="E133" s="9" t="str">
        <f>IF(Data!B133="","",IF(ISNUMBER(MATCH(Data!E133,Data_Val!$A$2:$A$3,0)),0,1))</f>
        <v/>
      </c>
      <c r="F133" s="9" t="str">
        <f ca="1">IF(Data!B133="","",IF(ISNUMBER(Data!F133),IF(AND(Data!F133&gt;(TODAY()-(Data_Val!$H$3*365.25)),Data!F133&lt;=(TODAY()-(Data_Val!$H$2*365.25))),0,1),1))</f>
        <v/>
      </c>
      <c r="G133" s="15" t="str">
        <f>IF(Data!B133="","",IF(AND(Data!G133="",Data!H133&lt;&gt;""),1,IF(Data!#REF!&lt;&gt;"",0,IF(ISNUMBER(MATCH(Data!G133,Data_Val!$C$2:$C$5,0)),0,1))))</f>
        <v/>
      </c>
      <c r="H133" s="15" t="str">
        <f>IF(Data!B133="","",IF(AND(Data!G133&lt;&gt;"",Data!H133=""),1,IF(Data!#REF!&lt;&gt;"",0,IF(Data!G133="",1,IF(ISNUMBER(MATCH(Data!H133,Data_Val!$D$2:$D$35,0)),0,1)))))</f>
        <v/>
      </c>
      <c r="I133" s="15" t="str">
        <f>IF(Data!B133="","",IF(Data!G133&lt;&gt;"",0,IF(ISNUMBER(MATCH(Data!#REF!,Data_Val!$E$2:$E$12,0)),0,1)))</f>
        <v/>
      </c>
      <c r="J133" s="16" t="e">
        <f>IF(OR(Data!B133="",Data!#REF!=""),"",IF(Data!#REF!="",1,0))</f>
        <v>#REF!</v>
      </c>
      <c r="K133" s="16" t="e">
        <f>IF(OR(Data!B133="",Data!#REF!=""),"",IF(Data!#REF!="",1,0))</f>
        <v>#REF!</v>
      </c>
      <c r="L133" s="16" t="e">
        <f>IF(OR(Data!B133="",Data!#REF!=""),"",IF(ISNUMBER(Data!#REF!),IF(AND(Data!#REF!&gt;Data_Val!$G$2,Data!#REF!&lt;=Data_Val!$G$3),0,1),1))</f>
        <v>#REF!</v>
      </c>
      <c r="M133" s="9" t="e">
        <f>IF(OR(Data!B133="",Data!#REF!=""),"",IF(ISNUMBER(MATCH(Data!#REF!,Data_Val!$F$1:$F$38,0)),0,1))</f>
        <v>#REF!</v>
      </c>
      <c r="N133" s="9" t="e">
        <f>IF(OR(Data!B133="",Data!#REF!=""),"",IF(Data!#REF!="",1,0))</f>
        <v>#REF!</v>
      </c>
      <c r="O133" s="17" t="e">
        <f>IF(Data!#REF!="","",IF(Data!#REF!="",1,0))</f>
        <v>#REF!</v>
      </c>
      <c r="P133" s="17" t="e">
        <f>IF(Data!#REF!="","",IF(ISNUMBER(MATCH(Data!#REF!,Data_Val!$A$2:$A$3,0)),0,1))</f>
        <v>#REF!</v>
      </c>
      <c r="Q133" s="25" t="e">
        <f ca="1">IF(Data!#REF!="","",IF(ISNUMBER(Data!#REF!),IF(AND(Data!#REF!&gt;(TODAY()-(Data_Val!$J$3*365.25)),Data!#REF!&lt;=(TODAY()-(Data_Val!$J$2*365.25))),0,1),1))</f>
        <v>#REF!</v>
      </c>
      <c r="R133" s="17" t="e">
        <f>IF(Data!#REF!="","",IF(ISNUMBER(MATCH(Data!#REF!,Data_Val!$B$2:$B$15,0)),0,1))</f>
        <v>#REF!</v>
      </c>
      <c r="S133" s="11" t="str">
        <f>IF(Data!G133="","",IF(Data!G133=Data_Val!$C$2,IF(Data!M133="",0,1),0))</f>
        <v/>
      </c>
      <c r="T133" s="11" t="str">
        <f>IF(Data!M133="","",IF(ISNUMBER(MATCH(Data!N133,Data_Val!$A$2:$A$3,0)),0,1))</f>
        <v/>
      </c>
      <c r="U133" s="11" t="str">
        <f ca="1">IF(Data!M133="","",IF(ISNUMBER(Data!O133),IF(AND(Data!O133&gt;(TODAY()-(Data_Val!$K$3*365.25)),Data!O133&lt;=(TODAY()-(Data_Val!$K$2*365.25))),0,1),1))</f>
        <v/>
      </c>
      <c r="V133" s="12" t="str">
        <f>IF(Data!G133="","",IF(Data!G133=Data_Val!$C$2,IF(Data!P133="",0,1),0))</f>
        <v/>
      </c>
      <c r="W133" s="12" t="str">
        <f>IF(Data!P133="","",IF(ISNUMBER(MATCH(Data!Q133,Data_Val!$A$2:$A$3,0)),0,1))</f>
        <v/>
      </c>
      <c r="X133" s="26" t="str">
        <f ca="1">IF(Data!P133="","",IF(ISNUMBER(Data!R133),IF(AND(Data!R133&gt;(TODAY()-(Data_Val!$L$3*365.25)),Data!R133&lt;=(TODAY()-(Data_Val!$L$2*365.25))),0,1),1))</f>
        <v/>
      </c>
      <c r="Y133" s="13" t="str">
        <f>IF(Data!$G133="","",IF(Data!$G133=Data_Val!$C$2,IF(Data!S133="",0,1),0))</f>
        <v/>
      </c>
      <c r="Z133" s="13" t="str">
        <f>IF(Data!S133="","",IF(ISNUMBER(MATCH(Data!T133,Data_Val!$A$2:$A$3,0)),0,1))</f>
        <v/>
      </c>
      <c r="AA133" s="28" t="str">
        <f ca="1">IF(Data!S133="","",IF(ISNUMBER(Data!U133),IF(AND(Data!U133&gt;(TODAY()-(Data_Val!$L$3*365.25)),Data!U133&lt;=(TODAY()-(Data_Val!$L$2*365.25))),0,1),1))</f>
        <v/>
      </c>
      <c r="AB133" s="11"/>
      <c r="AC133" s="11" t="e">
        <f>IF(Data!#REF!="","",IF(ISNUMBER(MATCH(Data!#REF!,Data_Val!$A$2:$A$3,0)),0,1))</f>
        <v>#REF!</v>
      </c>
      <c r="AD133" s="11" t="e">
        <f ca="1">IF(Data!#REF!="","",IF(ISNUMBER(Data!#REF!),IF(AND(Data!#REF!&gt;(TODAY()-(Data_Val!$L$3*365.25)),Data!#REF!&lt;=(TODAY()-(Data_Val!$L$2*365.25))),0,1),1))</f>
        <v>#REF!</v>
      </c>
      <c r="AE133" s="11" t="e">
        <f>IF(Data!#REF!="","",IF(Data!$G133="",1,IF(ISNUMBER(MATCH(Data!#REF!,Data_Val!$D$2:$D$10,0)),0,1)))</f>
        <v>#REF!</v>
      </c>
      <c r="AF133" s="12"/>
      <c r="AG133" s="12" t="e">
        <f>IF(Data!#REF!="","",IF(ISNUMBER(MATCH(Data!#REF!,Data_Val!$A$2:$A$3,0)),0,1))</f>
        <v>#REF!</v>
      </c>
      <c r="AH133" s="26" t="e">
        <f ca="1">IF(Data!#REF!="","",IF(ISNUMBER(Data!#REF!),IF(AND(Data!#REF!&gt;(TODAY()-(Data_Val!$L$3*365.25)),Data!#REF!&lt;=(TODAY()-(Data_Val!$L$2*365.25))),0,1),1))</f>
        <v>#REF!</v>
      </c>
      <c r="AI133" s="12" t="e">
        <f>IF(Data!#REF!="","",IF(Data!$G133="",1,IF(ISNUMBER(MATCH(Data!#REF!,Data_Val!$D$2:$D$10,0)),0,1)))</f>
        <v>#REF!</v>
      </c>
      <c r="AJ133" s="17"/>
      <c r="AK133" s="17" t="e">
        <f>IF(Data!#REF!="","",IF(ISNUMBER(MATCH(Data!#REF!,Data_Val!$A$2:$A$3,0)),0,1))</f>
        <v>#REF!</v>
      </c>
      <c r="AL133" s="25" t="e">
        <f ca="1">IF(Data!#REF!="","",IF(ISNUMBER(Data!#REF!),IF(AND(Data!#REF!&gt;(TODAY()-(Data_Val!$L$3*365.25)),Data!#REF!&lt;=(TODAY()-(Data_Val!$L$2*365.25))),0,1),1))</f>
        <v>#REF!</v>
      </c>
      <c r="AM133" s="17" t="e">
        <f>IF(Data!#REF!="","",IF(Data!$G133="",1,IF(ISNUMBER(MATCH(Data!#REF!,Data_Val!$D$2:$D$10,0)),0,1)))</f>
        <v>#REF!</v>
      </c>
      <c r="AN133" s="13"/>
      <c r="AO133" s="28" t="e">
        <f ca="1">IF(Data!#REF!="","",IF(ISNUMBER(Data!#REF!),IF(AND(Data!#REF!&gt;(TODAY()-(Data_Val!$I$3*365.25)),Data!#REF!&lt;=(TODAY()-(Data_Val!$I$2*365.25))),0,1),1))</f>
        <v>#REF!</v>
      </c>
      <c r="AP133" s="13" t="e">
        <f>IF(Data!#REF!="","",IF(Data!$G133="",1,IF(ISNUMBER(MATCH(Data!#REF!,Data_Val!$D$2:$D$10,0)),0,1)))</f>
        <v>#REF!</v>
      </c>
      <c r="AQ133" s="17"/>
      <c r="AR133" s="30" t="e">
        <f ca="1">IF(Data!#REF!="","",IF(ISNUMBER(Data!#REF!),IF(AND(Data!#REF!&gt;(TODAY()-(Data_Val!$I$3*365.25)),Data!#REF!&lt;=(TODAY()-(Data_Val!$I$2*365.25))),0,1),1))</f>
        <v>#REF!</v>
      </c>
      <c r="AS133" s="31" t="e">
        <f>IF(Data!#REF!="","",IF(Data!$G133="",1,IF(ISNUMBER(MATCH(Data!#REF!,Data_Val!$D$2:$D$10,0)),0,1)))</f>
        <v>#REF!</v>
      </c>
      <c r="AT133" s="11"/>
      <c r="AU133" s="11" t="e">
        <f ca="1">IF(Data!#REF!="","",IF(ISNUMBER(Data!#REF!),IF(AND(Data!#REF!&gt;(TODAY()-(Data_Val!$I$3*365.25)),Data!#REF!&lt;=(TODAY()-(Data_Val!$I$2*365.25))),0,1),1))</f>
        <v>#REF!</v>
      </c>
      <c r="AV133" s="11" t="e">
        <f>IF(Data!#REF!="","",IF(Data!$G133="",1,IF(ISNUMBER(MATCH(Data!#REF!,Data_Val!$D$2:$D$10,0)),0,1)))</f>
        <v>#REF!</v>
      </c>
      <c r="AW133" s="12"/>
      <c r="AX133" s="26" t="e">
        <f ca="1">IF(Data!#REF!="","",IF(ISNUMBER(Data!#REF!),IF(AND(Data!#REF!&gt;(TODAY()-(Data_Val!$I$3*365.25)),Data!#REF!&lt;=(TODAY()-(Data_Val!$I$2*365.25))),0,1),1))</f>
        <v>#REF!</v>
      </c>
      <c r="AY133" s="12" t="e">
        <f>IF(Data!#REF!="","",IF(Data!$G133="",1,IF(ISNUMBER(MATCH(Data!#REF!,Data_Val!$D$2:$D$10,0)),0,1)))</f>
        <v>#REF!</v>
      </c>
      <c r="AZ133" s="11"/>
      <c r="BA133" s="19" t="e">
        <f ca="1">IF(Data!#REF!="","",IF(ISNUMBER(Data!#REF!),IF(AND(Data!#REF!&gt;(TODAY()-(Data_Val!$M$3*365.25)),Data!#REF!&lt;=(TODAY()-(Data_Val!$M$2*365.25))),0,1),1))</f>
        <v>#REF!</v>
      </c>
      <c r="BB133" s="11" t="e">
        <f>IF(Data!#REF!="","",IF(Data!$G133="",1,IF(ISNUMBER(MATCH(Data!#REF!,Data_Val!$D$2:$D$10,0)),0,1)))</f>
        <v>#REF!</v>
      </c>
      <c r="BC133" s="12"/>
      <c r="BD133" s="20" t="e">
        <f ca="1">IF(Data!#REF!="","",IF(ISNUMBER(Data!#REF!),IF(AND(Data!#REF!&gt;(TODAY()-(Data_Val!$M$3*365.25)),Data!#REF!&lt;=(TODAY()-(Data_Val!$M$2*365.25))),0,1),1))</f>
        <v>#REF!</v>
      </c>
      <c r="BE133" s="12" t="e">
        <f>IF(Data!#REF!="","",IF(Data!$G133="",1,IF(ISNUMBER(MATCH(Data!#REF!,Data_Val!$D$2:$D$10,0)),0,1)))</f>
        <v>#REF!</v>
      </c>
      <c r="BF133" s="17"/>
      <c r="BG133" s="18" t="e">
        <f ca="1">IF(Data!#REF!="","",IF(ISNUMBER(Data!#REF!),IF(AND(Data!#REF!&gt;(TODAY()-(Data_Val!$M$3*365.25)),Data!#REF!&lt;=(TODAY()-(Data_Val!$M$2*365.25))),0,1),1))</f>
        <v>#REF!</v>
      </c>
      <c r="BH133" s="29" t="e">
        <f>IF(Data!#REF!="","",IF(Data!$G133="",1,IF(ISNUMBER(MATCH(Data!#REF!,Data_Val!$D$2:$D$10,0)),0,1)))</f>
        <v>#REF!</v>
      </c>
      <c r="BI133" s="13"/>
      <c r="BJ133" s="21" t="e">
        <f ca="1">IF(Data!#REF!="","",IF(ISNUMBER(Data!#REF!),IF(AND(Data!#REF!&gt;(TODAY()-(Data_Val!$M$3*365.25)),Data!#REF!&lt;=(TODAY()-(Data_Val!$M$2*365.25))),0,1),1))</f>
        <v>#REF!</v>
      </c>
      <c r="BK133" s="13" t="e">
        <f>IF(Data!#REF!="","",IF(Data!$G133="",1,IF(ISNUMBER(MATCH(Data!#REF!,Data_Val!$D$2:$D$10,0)),0,1)))</f>
        <v>#REF!</v>
      </c>
    </row>
    <row r="134" spans="1:63" x14ac:dyDescent="0.25">
      <c r="A134" s="9" t="str">
        <f>IF(Data!B134="","",IF(COUNTIFS(Data!A$1:'Data'!A134,Data!A134)&lt;=1,0,1))</f>
        <v/>
      </c>
      <c r="B134" s="9"/>
      <c r="C134" s="23" t="str">
        <f>IF(Data!C134="","",(IF(ISNUMBER(MATCH("*@*.?*",Data!C134,0)),0,1)+IF(COUNTIFS(Data!C$1:'Data'!C134,Data!C134)&gt;1,1,0)))</f>
        <v/>
      </c>
      <c r="D134" s="9" t="str">
        <f>IF(Data!B134="","",IF(ISNUMBER(Data!D134),IF(AND(Data!D134&gt;999999999,Data!D134&lt;=9999999999),IF(COUNTIFS(Data!D$1:'Data'!D134,Data!D134)&lt;=1,0,1),1),1))</f>
        <v/>
      </c>
      <c r="E134" s="9" t="str">
        <f>IF(Data!B134="","",IF(ISNUMBER(MATCH(Data!E134,Data_Val!$A$2:$A$3,0)),0,1))</f>
        <v/>
      </c>
      <c r="F134" s="9" t="str">
        <f ca="1">IF(Data!B134="","",IF(ISNUMBER(Data!F134),IF(AND(Data!F134&gt;(TODAY()-(Data_Val!$H$3*365.25)),Data!F134&lt;=(TODAY()-(Data_Val!$H$2*365.25))),0,1),1))</f>
        <v/>
      </c>
      <c r="G134" s="15" t="str">
        <f>IF(Data!B134="","",IF(AND(Data!G134="",Data!H134&lt;&gt;""),1,IF(Data!#REF!&lt;&gt;"",0,IF(ISNUMBER(MATCH(Data!G134,Data_Val!$C$2:$C$5,0)),0,1))))</f>
        <v/>
      </c>
      <c r="H134" s="15" t="str">
        <f>IF(Data!B134="","",IF(AND(Data!G134&lt;&gt;"",Data!H134=""),1,IF(Data!#REF!&lt;&gt;"",0,IF(Data!G134="",1,IF(ISNUMBER(MATCH(Data!H134,Data_Val!$D$2:$D$35,0)),0,1)))))</f>
        <v/>
      </c>
      <c r="I134" s="15" t="str">
        <f>IF(Data!B134="","",IF(Data!G134&lt;&gt;"",0,IF(ISNUMBER(MATCH(Data!#REF!,Data_Val!$E$2:$E$12,0)),0,1)))</f>
        <v/>
      </c>
      <c r="J134" s="16" t="e">
        <f>IF(OR(Data!B134="",Data!#REF!=""),"",IF(Data!#REF!="",1,0))</f>
        <v>#REF!</v>
      </c>
      <c r="K134" s="16" t="e">
        <f>IF(OR(Data!B134="",Data!#REF!=""),"",IF(Data!#REF!="",1,0))</f>
        <v>#REF!</v>
      </c>
      <c r="L134" s="16" t="e">
        <f>IF(OR(Data!B134="",Data!#REF!=""),"",IF(ISNUMBER(Data!#REF!),IF(AND(Data!#REF!&gt;Data_Val!$G$2,Data!#REF!&lt;=Data_Val!$G$3),0,1),1))</f>
        <v>#REF!</v>
      </c>
      <c r="M134" s="9" t="e">
        <f>IF(OR(Data!B134="",Data!#REF!=""),"",IF(ISNUMBER(MATCH(Data!#REF!,Data_Val!$F$1:$F$38,0)),0,1))</f>
        <v>#REF!</v>
      </c>
      <c r="N134" s="9" t="e">
        <f>IF(OR(Data!B134="",Data!#REF!=""),"",IF(Data!#REF!="",1,0))</f>
        <v>#REF!</v>
      </c>
      <c r="O134" s="17" t="e">
        <f>IF(Data!#REF!="","",IF(Data!#REF!="",1,0))</f>
        <v>#REF!</v>
      </c>
      <c r="P134" s="17" t="e">
        <f>IF(Data!#REF!="","",IF(ISNUMBER(MATCH(Data!#REF!,Data_Val!$A$2:$A$3,0)),0,1))</f>
        <v>#REF!</v>
      </c>
      <c r="Q134" s="25" t="e">
        <f ca="1">IF(Data!#REF!="","",IF(ISNUMBER(Data!#REF!),IF(AND(Data!#REF!&gt;(TODAY()-(Data_Val!$J$3*365.25)),Data!#REF!&lt;=(TODAY()-(Data_Val!$J$2*365.25))),0,1),1))</f>
        <v>#REF!</v>
      </c>
      <c r="R134" s="17" t="e">
        <f>IF(Data!#REF!="","",IF(ISNUMBER(MATCH(Data!#REF!,Data_Val!$B$2:$B$15,0)),0,1))</f>
        <v>#REF!</v>
      </c>
      <c r="S134" s="11" t="str">
        <f>IF(Data!G134="","",IF(Data!G134=Data_Val!$C$2,IF(Data!M134="",0,1),0))</f>
        <v/>
      </c>
      <c r="T134" s="11" t="str">
        <f>IF(Data!M134="","",IF(ISNUMBER(MATCH(Data!N134,Data_Val!$A$2:$A$3,0)),0,1))</f>
        <v/>
      </c>
      <c r="U134" s="11" t="str">
        <f ca="1">IF(Data!M134="","",IF(ISNUMBER(Data!O134),IF(AND(Data!O134&gt;(TODAY()-(Data_Val!$K$3*365.25)),Data!O134&lt;=(TODAY()-(Data_Val!$K$2*365.25))),0,1),1))</f>
        <v/>
      </c>
      <c r="V134" s="12" t="str">
        <f>IF(Data!G134="","",IF(Data!G134=Data_Val!$C$2,IF(Data!P134="",0,1),0))</f>
        <v/>
      </c>
      <c r="W134" s="12" t="str">
        <f>IF(Data!P134="","",IF(ISNUMBER(MATCH(Data!Q134,Data_Val!$A$2:$A$3,0)),0,1))</f>
        <v/>
      </c>
      <c r="X134" s="26" t="str">
        <f ca="1">IF(Data!P134="","",IF(ISNUMBER(Data!R134),IF(AND(Data!R134&gt;(TODAY()-(Data_Val!$L$3*365.25)),Data!R134&lt;=(TODAY()-(Data_Val!$L$2*365.25))),0,1),1))</f>
        <v/>
      </c>
      <c r="Y134" s="13" t="str">
        <f>IF(Data!$G134="","",IF(Data!$G134=Data_Val!$C$2,IF(Data!S134="",0,1),0))</f>
        <v/>
      </c>
      <c r="Z134" s="13" t="str">
        <f>IF(Data!S134="","",IF(ISNUMBER(MATCH(Data!T134,Data_Val!$A$2:$A$3,0)),0,1))</f>
        <v/>
      </c>
      <c r="AA134" s="28" t="str">
        <f ca="1">IF(Data!S134="","",IF(ISNUMBER(Data!U134),IF(AND(Data!U134&gt;(TODAY()-(Data_Val!$L$3*365.25)),Data!U134&lt;=(TODAY()-(Data_Val!$L$2*365.25))),0,1),1))</f>
        <v/>
      </c>
      <c r="AB134" s="11"/>
      <c r="AC134" s="11" t="e">
        <f>IF(Data!#REF!="","",IF(ISNUMBER(MATCH(Data!#REF!,Data_Val!$A$2:$A$3,0)),0,1))</f>
        <v>#REF!</v>
      </c>
      <c r="AD134" s="11" t="e">
        <f ca="1">IF(Data!#REF!="","",IF(ISNUMBER(Data!#REF!),IF(AND(Data!#REF!&gt;(TODAY()-(Data_Val!$L$3*365.25)),Data!#REF!&lt;=(TODAY()-(Data_Val!$L$2*365.25))),0,1),1))</f>
        <v>#REF!</v>
      </c>
      <c r="AE134" s="11" t="e">
        <f>IF(Data!#REF!="","",IF(Data!$G134="",1,IF(ISNUMBER(MATCH(Data!#REF!,Data_Val!$D$2:$D$10,0)),0,1)))</f>
        <v>#REF!</v>
      </c>
      <c r="AF134" s="12"/>
      <c r="AG134" s="12" t="e">
        <f>IF(Data!#REF!="","",IF(ISNUMBER(MATCH(Data!#REF!,Data_Val!$A$2:$A$3,0)),0,1))</f>
        <v>#REF!</v>
      </c>
      <c r="AH134" s="26" t="e">
        <f ca="1">IF(Data!#REF!="","",IF(ISNUMBER(Data!#REF!),IF(AND(Data!#REF!&gt;(TODAY()-(Data_Val!$L$3*365.25)),Data!#REF!&lt;=(TODAY()-(Data_Val!$L$2*365.25))),0,1),1))</f>
        <v>#REF!</v>
      </c>
      <c r="AI134" s="12" t="e">
        <f>IF(Data!#REF!="","",IF(Data!$G134="",1,IF(ISNUMBER(MATCH(Data!#REF!,Data_Val!$D$2:$D$10,0)),0,1)))</f>
        <v>#REF!</v>
      </c>
      <c r="AJ134" s="17"/>
      <c r="AK134" s="17" t="e">
        <f>IF(Data!#REF!="","",IF(ISNUMBER(MATCH(Data!#REF!,Data_Val!$A$2:$A$3,0)),0,1))</f>
        <v>#REF!</v>
      </c>
      <c r="AL134" s="25" t="e">
        <f ca="1">IF(Data!#REF!="","",IF(ISNUMBER(Data!#REF!),IF(AND(Data!#REF!&gt;(TODAY()-(Data_Val!$L$3*365.25)),Data!#REF!&lt;=(TODAY()-(Data_Val!$L$2*365.25))),0,1),1))</f>
        <v>#REF!</v>
      </c>
      <c r="AM134" s="17" t="e">
        <f>IF(Data!#REF!="","",IF(Data!$G134="",1,IF(ISNUMBER(MATCH(Data!#REF!,Data_Val!$D$2:$D$10,0)),0,1)))</f>
        <v>#REF!</v>
      </c>
      <c r="AN134" s="13"/>
      <c r="AO134" s="28" t="e">
        <f ca="1">IF(Data!#REF!="","",IF(ISNUMBER(Data!#REF!),IF(AND(Data!#REF!&gt;(TODAY()-(Data_Val!$I$3*365.25)),Data!#REF!&lt;=(TODAY()-(Data_Val!$I$2*365.25))),0,1),1))</f>
        <v>#REF!</v>
      </c>
      <c r="AP134" s="13" t="e">
        <f>IF(Data!#REF!="","",IF(Data!$G134="",1,IF(ISNUMBER(MATCH(Data!#REF!,Data_Val!$D$2:$D$10,0)),0,1)))</f>
        <v>#REF!</v>
      </c>
      <c r="AQ134" s="17"/>
      <c r="AR134" s="30" t="e">
        <f ca="1">IF(Data!#REF!="","",IF(ISNUMBER(Data!#REF!),IF(AND(Data!#REF!&gt;(TODAY()-(Data_Val!$I$3*365.25)),Data!#REF!&lt;=(TODAY()-(Data_Val!$I$2*365.25))),0,1),1))</f>
        <v>#REF!</v>
      </c>
      <c r="AS134" s="31" t="e">
        <f>IF(Data!#REF!="","",IF(Data!$G134="",1,IF(ISNUMBER(MATCH(Data!#REF!,Data_Val!$D$2:$D$10,0)),0,1)))</f>
        <v>#REF!</v>
      </c>
      <c r="AT134" s="11"/>
      <c r="AU134" s="11" t="e">
        <f ca="1">IF(Data!#REF!="","",IF(ISNUMBER(Data!#REF!),IF(AND(Data!#REF!&gt;(TODAY()-(Data_Val!$I$3*365.25)),Data!#REF!&lt;=(TODAY()-(Data_Val!$I$2*365.25))),0,1),1))</f>
        <v>#REF!</v>
      </c>
      <c r="AV134" s="11" t="e">
        <f>IF(Data!#REF!="","",IF(Data!$G134="",1,IF(ISNUMBER(MATCH(Data!#REF!,Data_Val!$D$2:$D$10,0)),0,1)))</f>
        <v>#REF!</v>
      </c>
      <c r="AW134" s="12"/>
      <c r="AX134" s="26" t="e">
        <f ca="1">IF(Data!#REF!="","",IF(ISNUMBER(Data!#REF!),IF(AND(Data!#REF!&gt;(TODAY()-(Data_Val!$I$3*365.25)),Data!#REF!&lt;=(TODAY()-(Data_Val!$I$2*365.25))),0,1),1))</f>
        <v>#REF!</v>
      </c>
      <c r="AY134" s="12" t="e">
        <f>IF(Data!#REF!="","",IF(Data!$G134="",1,IF(ISNUMBER(MATCH(Data!#REF!,Data_Val!$D$2:$D$10,0)),0,1)))</f>
        <v>#REF!</v>
      </c>
      <c r="AZ134" s="11"/>
      <c r="BA134" s="19" t="e">
        <f ca="1">IF(Data!#REF!="","",IF(ISNUMBER(Data!#REF!),IF(AND(Data!#REF!&gt;(TODAY()-(Data_Val!$M$3*365.25)),Data!#REF!&lt;=(TODAY()-(Data_Val!$M$2*365.25))),0,1),1))</f>
        <v>#REF!</v>
      </c>
      <c r="BB134" s="11" t="e">
        <f>IF(Data!#REF!="","",IF(Data!$G134="",1,IF(ISNUMBER(MATCH(Data!#REF!,Data_Val!$D$2:$D$10,0)),0,1)))</f>
        <v>#REF!</v>
      </c>
      <c r="BC134" s="12"/>
      <c r="BD134" s="20" t="e">
        <f ca="1">IF(Data!#REF!="","",IF(ISNUMBER(Data!#REF!),IF(AND(Data!#REF!&gt;(TODAY()-(Data_Val!$M$3*365.25)),Data!#REF!&lt;=(TODAY()-(Data_Val!$M$2*365.25))),0,1),1))</f>
        <v>#REF!</v>
      </c>
      <c r="BE134" s="12" t="e">
        <f>IF(Data!#REF!="","",IF(Data!$G134="",1,IF(ISNUMBER(MATCH(Data!#REF!,Data_Val!$D$2:$D$10,0)),0,1)))</f>
        <v>#REF!</v>
      </c>
      <c r="BF134" s="17"/>
      <c r="BG134" s="18" t="e">
        <f ca="1">IF(Data!#REF!="","",IF(ISNUMBER(Data!#REF!),IF(AND(Data!#REF!&gt;(TODAY()-(Data_Val!$M$3*365.25)),Data!#REF!&lt;=(TODAY()-(Data_Val!$M$2*365.25))),0,1),1))</f>
        <v>#REF!</v>
      </c>
      <c r="BH134" s="29" t="e">
        <f>IF(Data!#REF!="","",IF(Data!$G134="",1,IF(ISNUMBER(MATCH(Data!#REF!,Data_Val!$D$2:$D$10,0)),0,1)))</f>
        <v>#REF!</v>
      </c>
      <c r="BI134" s="13"/>
      <c r="BJ134" s="21" t="e">
        <f ca="1">IF(Data!#REF!="","",IF(ISNUMBER(Data!#REF!),IF(AND(Data!#REF!&gt;(TODAY()-(Data_Val!$M$3*365.25)),Data!#REF!&lt;=(TODAY()-(Data_Val!$M$2*365.25))),0,1),1))</f>
        <v>#REF!</v>
      </c>
      <c r="BK134" s="13" t="e">
        <f>IF(Data!#REF!="","",IF(Data!$G134="",1,IF(ISNUMBER(MATCH(Data!#REF!,Data_Val!$D$2:$D$10,0)),0,1)))</f>
        <v>#REF!</v>
      </c>
    </row>
    <row r="135" spans="1:63" x14ac:dyDescent="0.25">
      <c r="A135" s="9" t="str">
        <f>IF(Data!B135="","",IF(COUNTIFS(Data!A$1:'Data'!A135,Data!A135)&lt;=1,0,1))</f>
        <v/>
      </c>
      <c r="B135" s="9"/>
      <c r="C135" s="23" t="str">
        <f>IF(Data!C135="","",(IF(ISNUMBER(MATCH("*@*.?*",Data!C135,0)),0,1)+IF(COUNTIFS(Data!C$1:'Data'!C135,Data!C135)&gt;1,1,0)))</f>
        <v/>
      </c>
      <c r="D135" s="9" t="str">
        <f>IF(Data!B135="","",IF(ISNUMBER(Data!D135),IF(AND(Data!D135&gt;999999999,Data!D135&lt;=9999999999),IF(COUNTIFS(Data!D$1:'Data'!D135,Data!D135)&lt;=1,0,1),1),1))</f>
        <v/>
      </c>
      <c r="E135" s="9" t="str">
        <f>IF(Data!B135="","",IF(ISNUMBER(MATCH(Data!E135,Data_Val!$A$2:$A$3,0)),0,1))</f>
        <v/>
      </c>
      <c r="F135" s="9" t="str">
        <f ca="1">IF(Data!B135="","",IF(ISNUMBER(Data!F135),IF(AND(Data!F135&gt;(TODAY()-(Data_Val!$H$3*365.25)),Data!F135&lt;=(TODAY()-(Data_Val!$H$2*365.25))),0,1),1))</f>
        <v/>
      </c>
      <c r="G135" s="15" t="str">
        <f>IF(Data!B135="","",IF(AND(Data!G135="",Data!H135&lt;&gt;""),1,IF(Data!#REF!&lt;&gt;"",0,IF(ISNUMBER(MATCH(Data!G135,Data_Val!$C$2:$C$5,0)),0,1))))</f>
        <v/>
      </c>
      <c r="H135" s="15" t="str">
        <f>IF(Data!B135="","",IF(AND(Data!G135&lt;&gt;"",Data!H135=""),1,IF(Data!#REF!&lt;&gt;"",0,IF(Data!G135="",1,IF(ISNUMBER(MATCH(Data!H135,Data_Val!$D$2:$D$35,0)),0,1)))))</f>
        <v/>
      </c>
      <c r="I135" s="15" t="str">
        <f>IF(Data!B135="","",IF(Data!G135&lt;&gt;"",0,IF(ISNUMBER(MATCH(Data!#REF!,Data_Val!$E$2:$E$12,0)),0,1)))</f>
        <v/>
      </c>
      <c r="J135" s="16" t="e">
        <f>IF(OR(Data!B135="",Data!#REF!=""),"",IF(Data!#REF!="",1,0))</f>
        <v>#REF!</v>
      </c>
      <c r="K135" s="16" t="e">
        <f>IF(OR(Data!B135="",Data!#REF!=""),"",IF(Data!#REF!="",1,0))</f>
        <v>#REF!</v>
      </c>
      <c r="L135" s="16" t="e">
        <f>IF(OR(Data!B135="",Data!#REF!=""),"",IF(ISNUMBER(Data!#REF!),IF(AND(Data!#REF!&gt;Data_Val!$G$2,Data!#REF!&lt;=Data_Val!$G$3),0,1),1))</f>
        <v>#REF!</v>
      </c>
      <c r="M135" s="9" t="e">
        <f>IF(OR(Data!B135="",Data!#REF!=""),"",IF(ISNUMBER(MATCH(Data!#REF!,Data_Val!$F$1:$F$38,0)),0,1))</f>
        <v>#REF!</v>
      </c>
      <c r="N135" s="9" t="e">
        <f>IF(OR(Data!B135="",Data!#REF!=""),"",IF(Data!#REF!="",1,0))</f>
        <v>#REF!</v>
      </c>
      <c r="O135" s="17" t="e">
        <f>IF(Data!#REF!="","",IF(Data!#REF!="",1,0))</f>
        <v>#REF!</v>
      </c>
      <c r="P135" s="17" t="e">
        <f>IF(Data!#REF!="","",IF(ISNUMBER(MATCH(Data!#REF!,Data_Val!$A$2:$A$3,0)),0,1))</f>
        <v>#REF!</v>
      </c>
      <c r="Q135" s="25" t="e">
        <f ca="1">IF(Data!#REF!="","",IF(ISNUMBER(Data!#REF!),IF(AND(Data!#REF!&gt;(TODAY()-(Data_Val!$J$3*365.25)),Data!#REF!&lt;=(TODAY()-(Data_Val!$J$2*365.25))),0,1),1))</f>
        <v>#REF!</v>
      </c>
      <c r="R135" s="17" t="e">
        <f>IF(Data!#REF!="","",IF(ISNUMBER(MATCH(Data!#REF!,Data_Val!$B$2:$B$15,0)),0,1))</f>
        <v>#REF!</v>
      </c>
      <c r="S135" s="11" t="str">
        <f>IF(Data!G135="","",IF(Data!G135=Data_Val!$C$2,IF(Data!M135="",0,1),0))</f>
        <v/>
      </c>
      <c r="T135" s="11" t="str">
        <f>IF(Data!M135="","",IF(ISNUMBER(MATCH(Data!N135,Data_Val!$A$2:$A$3,0)),0,1))</f>
        <v/>
      </c>
      <c r="U135" s="11" t="str">
        <f ca="1">IF(Data!M135="","",IF(ISNUMBER(Data!O135),IF(AND(Data!O135&gt;(TODAY()-(Data_Val!$K$3*365.25)),Data!O135&lt;=(TODAY()-(Data_Val!$K$2*365.25))),0,1),1))</f>
        <v/>
      </c>
      <c r="V135" s="12" t="str">
        <f>IF(Data!G135="","",IF(Data!G135=Data_Val!$C$2,IF(Data!P135="",0,1),0))</f>
        <v/>
      </c>
      <c r="W135" s="12" t="str">
        <f>IF(Data!P135="","",IF(ISNUMBER(MATCH(Data!Q135,Data_Val!$A$2:$A$3,0)),0,1))</f>
        <v/>
      </c>
      <c r="X135" s="26" t="str">
        <f ca="1">IF(Data!P135="","",IF(ISNUMBER(Data!R135),IF(AND(Data!R135&gt;(TODAY()-(Data_Val!$L$3*365.25)),Data!R135&lt;=(TODAY()-(Data_Val!$L$2*365.25))),0,1),1))</f>
        <v/>
      </c>
      <c r="Y135" s="13" t="str">
        <f>IF(Data!$G135="","",IF(Data!$G135=Data_Val!$C$2,IF(Data!S135="",0,1),0))</f>
        <v/>
      </c>
      <c r="Z135" s="13" t="str">
        <f>IF(Data!S135="","",IF(ISNUMBER(MATCH(Data!T135,Data_Val!$A$2:$A$3,0)),0,1))</f>
        <v/>
      </c>
      <c r="AA135" s="28" t="str">
        <f ca="1">IF(Data!S135="","",IF(ISNUMBER(Data!U135),IF(AND(Data!U135&gt;(TODAY()-(Data_Val!$L$3*365.25)),Data!U135&lt;=(TODAY()-(Data_Val!$L$2*365.25))),0,1),1))</f>
        <v/>
      </c>
      <c r="AB135" s="11"/>
      <c r="AC135" s="11" t="e">
        <f>IF(Data!#REF!="","",IF(ISNUMBER(MATCH(Data!#REF!,Data_Val!$A$2:$A$3,0)),0,1))</f>
        <v>#REF!</v>
      </c>
      <c r="AD135" s="11" t="e">
        <f ca="1">IF(Data!#REF!="","",IF(ISNUMBER(Data!#REF!),IF(AND(Data!#REF!&gt;(TODAY()-(Data_Val!$L$3*365.25)),Data!#REF!&lt;=(TODAY()-(Data_Val!$L$2*365.25))),0,1),1))</f>
        <v>#REF!</v>
      </c>
      <c r="AE135" s="11" t="e">
        <f>IF(Data!#REF!="","",IF(Data!$G135="",1,IF(ISNUMBER(MATCH(Data!#REF!,Data_Val!$D$2:$D$10,0)),0,1)))</f>
        <v>#REF!</v>
      </c>
      <c r="AF135" s="12"/>
      <c r="AG135" s="12" t="e">
        <f>IF(Data!#REF!="","",IF(ISNUMBER(MATCH(Data!#REF!,Data_Val!$A$2:$A$3,0)),0,1))</f>
        <v>#REF!</v>
      </c>
      <c r="AH135" s="26" t="e">
        <f ca="1">IF(Data!#REF!="","",IF(ISNUMBER(Data!#REF!),IF(AND(Data!#REF!&gt;(TODAY()-(Data_Val!$L$3*365.25)),Data!#REF!&lt;=(TODAY()-(Data_Val!$L$2*365.25))),0,1),1))</f>
        <v>#REF!</v>
      </c>
      <c r="AI135" s="12" t="e">
        <f>IF(Data!#REF!="","",IF(Data!$G135="",1,IF(ISNUMBER(MATCH(Data!#REF!,Data_Val!$D$2:$D$10,0)),0,1)))</f>
        <v>#REF!</v>
      </c>
      <c r="AJ135" s="17"/>
      <c r="AK135" s="17" t="e">
        <f>IF(Data!#REF!="","",IF(ISNUMBER(MATCH(Data!#REF!,Data_Val!$A$2:$A$3,0)),0,1))</f>
        <v>#REF!</v>
      </c>
      <c r="AL135" s="25" t="e">
        <f ca="1">IF(Data!#REF!="","",IF(ISNUMBER(Data!#REF!),IF(AND(Data!#REF!&gt;(TODAY()-(Data_Val!$L$3*365.25)),Data!#REF!&lt;=(TODAY()-(Data_Val!$L$2*365.25))),0,1),1))</f>
        <v>#REF!</v>
      </c>
      <c r="AM135" s="17" t="e">
        <f>IF(Data!#REF!="","",IF(Data!$G135="",1,IF(ISNUMBER(MATCH(Data!#REF!,Data_Val!$D$2:$D$10,0)),0,1)))</f>
        <v>#REF!</v>
      </c>
      <c r="AN135" s="13"/>
      <c r="AO135" s="28" t="e">
        <f ca="1">IF(Data!#REF!="","",IF(ISNUMBER(Data!#REF!),IF(AND(Data!#REF!&gt;(TODAY()-(Data_Val!$I$3*365.25)),Data!#REF!&lt;=(TODAY()-(Data_Val!$I$2*365.25))),0,1),1))</f>
        <v>#REF!</v>
      </c>
      <c r="AP135" s="13" t="e">
        <f>IF(Data!#REF!="","",IF(Data!$G135="",1,IF(ISNUMBER(MATCH(Data!#REF!,Data_Val!$D$2:$D$10,0)),0,1)))</f>
        <v>#REF!</v>
      </c>
      <c r="AQ135" s="17"/>
      <c r="AR135" s="30" t="e">
        <f ca="1">IF(Data!#REF!="","",IF(ISNUMBER(Data!#REF!),IF(AND(Data!#REF!&gt;(TODAY()-(Data_Val!$I$3*365.25)),Data!#REF!&lt;=(TODAY()-(Data_Val!$I$2*365.25))),0,1),1))</f>
        <v>#REF!</v>
      </c>
      <c r="AS135" s="31" t="e">
        <f>IF(Data!#REF!="","",IF(Data!$G135="",1,IF(ISNUMBER(MATCH(Data!#REF!,Data_Val!$D$2:$D$10,0)),0,1)))</f>
        <v>#REF!</v>
      </c>
      <c r="AT135" s="11"/>
      <c r="AU135" s="11" t="e">
        <f ca="1">IF(Data!#REF!="","",IF(ISNUMBER(Data!#REF!),IF(AND(Data!#REF!&gt;(TODAY()-(Data_Val!$I$3*365.25)),Data!#REF!&lt;=(TODAY()-(Data_Val!$I$2*365.25))),0,1),1))</f>
        <v>#REF!</v>
      </c>
      <c r="AV135" s="11" t="e">
        <f>IF(Data!#REF!="","",IF(Data!$G135="",1,IF(ISNUMBER(MATCH(Data!#REF!,Data_Val!$D$2:$D$10,0)),0,1)))</f>
        <v>#REF!</v>
      </c>
      <c r="AW135" s="12"/>
      <c r="AX135" s="26" t="e">
        <f ca="1">IF(Data!#REF!="","",IF(ISNUMBER(Data!#REF!),IF(AND(Data!#REF!&gt;(TODAY()-(Data_Val!$I$3*365.25)),Data!#REF!&lt;=(TODAY()-(Data_Val!$I$2*365.25))),0,1),1))</f>
        <v>#REF!</v>
      </c>
      <c r="AY135" s="12" t="e">
        <f>IF(Data!#REF!="","",IF(Data!$G135="",1,IF(ISNUMBER(MATCH(Data!#REF!,Data_Val!$D$2:$D$10,0)),0,1)))</f>
        <v>#REF!</v>
      </c>
      <c r="AZ135" s="11"/>
      <c r="BA135" s="19" t="e">
        <f ca="1">IF(Data!#REF!="","",IF(ISNUMBER(Data!#REF!),IF(AND(Data!#REF!&gt;(TODAY()-(Data_Val!$M$3*365.25)),Data!#REF!&lt;=(TODAY()-(Data_Val!$M$2*365.25))),0,1),1))</f>
        <v>#REF!</v>
      </c>
      <c r="BB135" s="11" t="e">
        <f>IF(Data!#REF!="","",IF(Data!$G135="",1,IF(ISNUMBER(MATCH(Data!#REF!,Data_Val!$D$2:$D$10,0)),0,1)))</f>
        <v>#REF!</v>
      </c>
      <c r="BC135" s="12"/>
      <c r="BD135" s="20" t="e">
        <f ca="1">IF(Data!#REF!="","",IF(ISNUMBER(Data!#REF!),IF(AND(Data!#REF!&gt;(TODAY()-(Data_Val!$M$3*365.25)),Data!#REF!&lt;=(TODAY()-(Data_Val!$M$2*365.25))),0,1),1))</f>
        <v>#REF!</v>
      </c>
      <c r="BE135" s="12" t="e">
        <f>IF(Data!#REF!="","",IF(Data!$G135="",1,IF(ISNUMBER(MATCH(Data!#REF!,Data_Val!$D$2:$D$10,0)),0,1)))</f>
        <v>#REF!</v>
      </c>
      <c r="BF135" s="17"/>
      <c r="BG135" s="18" t="e">
        <f ca="1">IF(Data!#REF!="","",IF(ISNUMBER(Data!#REF!),IF(AND(Data!#REF!&gt;(TODAY()-(Data_Val!$M$3*365.25)),Data!#REF!&lt;=(TODAY()-(Data_Val!$M$2*365.25))),0,1),1))</f>
        <v>#REF!</v>
      </c>
      <c r="BH135" s="29" t="e">
        <f>IF(Data!#REF!="","",IF(Data!$G135="",1,IF(ISNUMBER(MATCH(Data!#REF!,Data_Val!$D$2:$D$10,0)),0,1)))</f>
        <v>#REF!</v>
      </c>
      <c r="BI135" s="13"/>
      <c r="BJ135" s="21" t="e">
        <f ca="1">IF(Data!#REF!="","",IF(ISNUMBER(Data!#REF!),IF(AND(Data!#REF!&gt;(TODAY()-(Data_Val!$M$3*365.25)),Data!#REF!&lt;=(TODAY()-(Data_Val!$M$2*365.25))),0,1),1))</f>
        <v>#REF!</v>
      </c>
      <c r="BK135" s="13" t="e">
        <f>IF(Data!#REF!="","",IF(Data!$G135="",1,IF(ISNUMBER(MATCH(Data!#REF!,Data_Val!$D$2:$D$10,0)),0,1)))</f>
        <v>#REF!</v>
      </c>
    </row>
    <row r="136" spans="1:63" x14ac:dyDescent="0.25">
      <c r="A136" s="9" t="str">
        <f>IF(Data!B136="","",IF(COUNTIFS(Data!A$1:'Data'!A136,Data!A136)&lt;=1,0,1))</f>
        <v/>
      </c>
      <c r="B136" s="9"/>
      <c r="C136" s="23" t="str">
        <f>IF(Data!C136="","",(IF(ISNUMBER(MATCH("*@*.?*",Data!C136,0)),0,1)+IF(COUNTIFS(Data!C$1:'Data'!C136,Data!C136)&gt;1,1,0)))</f>
        <v/>
      </c>
      <c r="D136" s="9" t="str">
        <f>IF(Data!B136="","",IF(ISNUMBER(Data!D136),IF(AND(Data!D136&gt;999999999,Data!D136&lt;=9999999999),IF(COUNTIFS(Data!D$1:'Data'!D136,Data!D136)&lt;=1,0,1),1),1))</f>
        <v/>
      </c>
      <c r="E136" s="9" t="str">
        <f>IF(Data!B136="","",IF(ISNUMBER(MATCH(Data!E136,Data_Val!$A$2:$A$3,0)),0,1))</f>
        <v/>
      </c>
      <c r="F136" s="9" t="str">
        <f ca="1">IF(Data!B136="","",IF(ISNUMBER(Data!F136),IF(AND(Data!F136&gt;(TODAY()-(Data_Val!$H$3*365.25)),Data!F136&lt;=(TODAY()-(Data_Val!$H$2*365.25))),0,1),1))</f>
        <v/>
      </c>
      <c r="G136" s="15" t="str">
        <f>IF(Data!B136="","",IF(AND(Data!G136="",Data!H136&lt;&gt;""),1,IF(Data!#REF!&lt;&gt;"",0,IF(ISNUMBER(MATCH(Data!G136,Data_Val!$C$2:$C$5,0)),0,1))))</f>
        <v/>
      </c>
      <c r="H136" s="15" t="str">
        <f>IF(Data!B136="","",IF(AND(Data!G136&lt;&gt;"",Data!H136=""),1,IF(Data!#REF!&lt;&gt;"",0,IF(Data!G136="",1,IF(ISNUMBER(MATCH(Data!H136,Data_Val!$D$2:$D$35,0)),0,1)))))</f>
        <v/>
      </c>
      <c r="I136" s="15" t="str">
        <f>IF(Data!B136="","",IF(Data!G136&lt;&gt;"",0,IF(ISNUMBER(MATCH(Data!#REF!,Data_Val!$E$2:$E$12,0)),0,1)))</f>
        <v/>
      </c>
      <c r="J136" s="16" t="e">
        <f>IF(OR(Data!B136="",Data!#REF!=""),"",IF(Data!#REF!="",1,0))</f>
        <v>#REF!</v>
      </c>
      <c r="K136" s="16" t="e">
        <f>IF(OR(Data!B136="",Data!#REF!=""),"",IF(Data!#REF!="",1,0))</f>
        <v>#REF!</v>
      </c>
      <c r="L136" s="16" t="e">
        <f>IF(OR(Data!B136="",Data!#REF!=""),"",IF(ISNUMBER(Data!#REF!),IF(AND(Data!#REF!&gt;Data_Val!$G$2,Data!#REF!&lt;=Data_Val!$G$3),0,1),1))</f>
        <v>#REF!</v>
      </c>
      <c r="M136" s="9" t="e">
        <f>IF(OR(Data!B136="",Data!#REF!=""),"",IF(ISNUMBER(MATCH(Data!#REF!,Data_Val!$F$1:$F$38,0)),0,1))</f>
        <v>#REF!</v>
      </c>
      <c r="N136" s="9" t="e">
        <f>IF(OR(Data!B136="",Data!#REF!=""),"",IF(Data!#REF!="",1,0))</f>
        <v>#REF!</v>
      </c>
      <c r="O136" s="17" t="e">
        <f>IF(Data!#REF!="","",IF(Data!#REF!="",1,0))</f>
        <v>#REF!</v>
      </c>
      <c r="P136" s="17" t="e">
        <f>IF(Data!#REF!="","",IF(ISNUMBER(MATCH(Data!#REF!,Data_Val!$A$2:$A$3,0)),0,1))</f>
        <v>#REF!</v>
      </c>
      <c r="Q136" s="25" t="e">
        <f ca="1">IF(Data!#REF!="","",IF(ISNUMBER(Data!#REF!),IF(AND(Data!#REF!&gt;(TODAY()-(Data_Val!$J$3*365.25)),Data!#REF!&lt;=(TODAY()-(Data_Val!$J$2*365.25))),0,1),1))</f>
        <v>#REF!</v>
      </c>
      <c r="R136" s="17" t="e">
        <f>IF(Data!#REF!="","",IF(ISNUMBER(MATCH(Data!#REF!,Data_Val!$B$2:$B$15,0)),0,1))</f>
        <v>#REF!</v>
      </c>
      <c r="S136" s="11" t="str">
        <f>IF(Data!G136="","",IF(Data!G136=Data_Val!$C$2,IF(Data!M136="",0,1),0))</f>
        <v/>
      </c>
      <c r="T136" s="11" t="str">
        <f>IF(Data!M136="","",IF(ISNUMBER(MATCH(Data!N136,Data_Val!$A$2:$A$3,0)),0,1))</f>
        <v/>
      </c>
      <c r="U136" s="11" t="str">
        <f ca="1">IF(Data!M136="","",IF(ISNUMBER(Data!O136),IF(AND(Data!O136&gt;(TODAY()-(Data_Val!$K$3*365.25)),Data!O136&lt;=(TODAY()-(Data_Val!$K$2*365.25))),0,1),1))</f>
        <v/>
      </c>
      <c r="V136" s="12" t="str">
        <f>IF(Data!G136="","",IF(Data!G136=Data_Val!$C$2,IF(Data!P136="",0,1),0))</f>
        <v/>
      </c>
      <c r="W136" s="12" t="str">
        <f>IF(Data!P136="","",IF(ISNUMBER(MATCH(Data!Q136,Data_Val!$A$2:$A$3,0)),0,1))</f>
        <v/>
      </c>
      <c r="X136" s="26" t="str">
        <f ca="1">IF(Data!P136="","",IF(ISNUMBER(Data!R136),IF(AND(Data!R136&gt;(TODAY()-(Data_Val!$L$3*365.25)),Data!R136&lt;=(TODAY()-(Data_Val!$L$2*365.25))),0,1),1))</f>
        <v/>
      </c>
      <c r="Y136" s="13" t="str">
        <f>IF(Data!$G136="","",IF(Data!$G136=Data_Val!$C$2,IF(Data!S136="",0,1),0))</f>
        <v/>
      </c>
      <c r="Z136" s="13" t="str">
        <f>IF(Data!S136="","",IF(ISNUMBER(MATCH(Data!T136,Data_Val!$A$2:$A$3,0)),0,1))</f>
        <v/>
      </c>
      <c r="AA136" s="28" t="str">
        <f ca="1">IF(Data!S136="","",IF(ISNUMBER(Data!U136),IF(AND(Data!U136&gt;(TODAY()-(Data_Val!$L$3*365.25)),Data!U136&lt;=(TODAY()-(Data_Val!$L$2*365.25))),0,1),1))</f>
        <v/>
      </c>
      <c r="AB136" s="11"/>
      <c r="AC136" s="11" t="e">
        <f>IF(Data!#REF!="","",IF(ISNUMBER(MATCH(Data!#REF!,Data_Val!$A$2:$A$3,0)),0,1))</f>
        <v>#REF!</v>
      </c>
      <c r="AD136" s="11" t="e">
        <f ca="1">IF(Data!#REF!="","",IF(ISNUMBER(Data!#REF!),IF(AND(Data!#REF!&gt;(TODAY()-(Data_Val!$L$3*365.25)),Data!#REF!&lt;=(TODAY()-(Data_Val!$L$2*365.25))),0,1),1))</f>
        <v>#REF!</v>
      </c>
      <c r="AE136" s="11" t="e">
        <f>IF(Data!#REF!="","",IF(Data!$G136="",1,IF(ISNUMBER(MATCH(Data!#REF!,Data_Val!$D$2:$D$10,0)),0,1)))</f>
        <v>#REF!</v>
      </c>
      <c r="AF136" s="12"/>
      <c r="AG136" s="12" t="e">
        <f>IF(Data!#REF!="","",IF(ISNUMBER(MATCH(Data!#REF!,Data_Val!$A$2:$A$3,0)),0,1))</f>
        <v>#REF!</v>
      </c>
      <c r="AH136" s="26" t="e">
        <f ca="1">IF(Data!#REF!="","",IF(ISNUMBER(Data!#REF!),IF(AND(Data!#REF!&gt;(TODAY()-(Data_Val!$L$3*365.25)),Data!#REF!&lt;=(TODAY()-(Data_Val!$L$2*365.25))),0,1),1))</f>
        <v>#REF!</v>
      </c>
      <c r="AI136" s="12" t="e">
        <f>IF(Data!#REF!="","",IF(Data!$G136="",1,IF(ISNUMBER(MATCH(Data!#REF!,Data_Val!$D$2:$D$10,0)),0,1)))</f>
        <v>#REF!</v>
      </c>
      <c r="AJ136" s="17"/>
      <c r="AK136" s="17" t="e">
        <f>IF(Data!#REF!="","",IF(ISNUMBER(MATCH(Data!#REF!,Data_Val!$A$2:$A$3,0)),0,1))</f>
        <v>#REF!</v>
      </c>
      <c r="AL136" s="25" t="e">
        <f ca="1">IF(Data!#REF!="","",IF(ISNUMBER(Data!#REF!),IF(AND(Data!#REF!&gt;(TODAY()-(Data_Val!$L$3*365.25)),Data!#REF!&lt;=(TODAY()-(Data_Val!$L$2*365.25))),0,1),1))</f>
        <v>#REF!</v>
      </c>
      <c r="AM136" s="17" t="e">
        <f>IF(Data!#REF!="","",IF(Data!$G136="",1,IF(ISNUMBER(MATCH(Data!#REF!,Data_Val!$D$2:$D$10,0)),0,1)))</f>
        <v>#REF!</v>
      </c>
      <c r="AN136" s="13"/>
      <c r="AO136" s="28" t="e">
        <f ca="1">IF(Data!#REF!="","",IF(ISNUMBER(Data!#REF!),IF(AND(Data!#REF!&gt;(TODAY()-(Data_Val!$I$3*365.25)),Data!#REF!&lt;=(TODAY()-(Data_Val!$I$2*365.25))),0,1),1))</f>
        <v>#REF!</v>
      </c>
      <c r="AP136" s="13" t="e">
        <f>IF(Data!#REF!="","",IF(Data!$G136="",1,IF(ISNUMBER(MATCH(Data!#REF!,Data_Val!$D$2:$D$10,0)),0,1)))</f>
        <v>#REF!</v>
      </c>
      <c r="AQ136" s="17"/>
      <c r="AR136" s="30" t="e">
        <f ca="1">IF(Data!#REF!="","",IF(ISNUMBER(Data!#REF!),IF(AND(Data!#REF!&gt;(TODAY()-(Data_Val!$I$3*365.25)),Data!#REF!&lt;=(TODAY()-(Data_Val!$I$2*365.25))),0,1),1))</f>
        <v>#REF!</v>
      </c>
      <c r="AS136" s="31" t="e">
        <f>IF(Data!#REF!="","",IF(Data!$G136="",1,IF(ISNUMBER(MATCH(Data!#REF!,Data_Val!$D$2:$D$10,0)),0,1)))</f>
        <v>#REF!</v>
      </c>
      <c r="AT136" s="11"/>
      <c r="AU136" s="11" t="e">
        <f ca="1">IF(Data!#REF!="","",IF(ISNUMBER(Data!#REF!),IF(AND(Data!#REF!&gt;(TODAY()-(Data_Val!$I$3*365.25)),Data!#REF!&lt;=(TODAY()-(Data_Val!$I$2*365.25))),0,1),1))</f>
        <v>#REF!</v>
      </c>
      <c r="AV136" s="11" t="e">
        <f>IF(Data!#REF!="","",IF(Data!$G136="",1,IF(ISNUMBER(MATCH(Data!#REF!,Data_Val!$D$2:$D$10,0)),0,1)))</f>
        <v>#REF!</v>
      </c>
      <c r="AW136" s="12"/>
      <c r="AX136" s="26" t="e">
        <f ca="1">IF(Data!#REF!="","",IF(ISNUMBER(Data!#REF!),IF(AND(Data!#REF!&gt;(TODAY()-(Data_Val!$I$3*365.25)),Data!#REF!&lt;=(TODAY()-(Data_Val!$I$2*365.25))),0,1),1))</f>
        <v>#REF!</v>
      </c>
      <c r="AY136" s="12" t="e">
        <f>IF(Data!#REF!="","",IF(Data!$G136="",1,IF(ISNUMBER(MATCH(Data!#REF!,Data_Val!$D$2:$D$10,0)),0,1)))</f>
        <v>#REF!</v>
      </c>
      <c r="AZ136" s="11"/>
      <c r="BA136" s="19" t="e">
        <f ca="1">IF(Data!#REF!="","",IF(ISNUMBER(Data!#REF!),IF(AND(Data!#REF!&gt;(TODAY()-(Data_Val!$M$3*365.25)),Data!#REF!&lt;=(TODAY()-(Data_Val!$M$2*365.25))),0,1),1))</f>
        <v>#REF!</v>
      </c>
      <c r="BB136" s="11" t="e">
        <f>IF(Data!#REF!="","",IF(Data!$G136="",1,IF(ISNUMBER(MATCH(Data!#REF!,Data_Val!$D$2:$D$10,0)),0,1)))</f>
        <v>#REF!</v>
      </c>
      <c r="BC136" s="12"/>
      <c r="BD136" s="20" t="e">
        <f ca="1">IF(Data!#REF!="","",IF(ISNUMBER(Data!#REF!),IF(AND(Data!#REF!&gt;(TODAY()-(Data_Val!$M$3*365.25)),Data!#REF!&lt;=(TODAY()-(Data_Val!$M$2*365.25))),0,1),1))</f>
        <v>#REF!</v>
      </c>
      <c r="BE136" s="12" t="e">
        <f>IF(Data!#REF!="","",IF(Data!$G136="",1,IF(ISNUMBER(MATCH(Data!#REF!,Data_Val!$D$2:$D$10,0)),0,1)))</f>
        <v>#REF!</v>
      </c>
      <c r="BF136" s="17"/>
      <c r="BG136" s="18" t="e">
        <f ca="1">IF(Data!#REF!="","",IF(ISNUMBER(Data!#REF!),IF(AND(Data!#REF!&gt;(TODAY()-(Data_Val!$M$3*365.25)),Data!#REF!&lt;=(TODAY()-(Data_Val!$M$2*365.25))),0,1),1))</f>
        <v>#REF!</v>
      </c>
      <c r="BH136" s="29" t="e">
        <f>IF(Data!#REF!="","",IF(Data!$G136="",1,IF(ISNUMBER(MATCH(Data!#REF!,Data_Val!$D$2:$D$10,0)),0,1)))</f>
        <v>#REF!</v>
      </c>
      <c r="BI136" s="13"/>
      <c r="BJ136" s="21" t="e">
        <f ca="1">IF(Data!#REF!="","",IF(ISNUMBER(Data!#REF!),IF(AND(Data!#REF!&gt;(TODAY()-(Data_Val!$M$3*365.25)),Data!#REF!&lt;=(TODAY()-(Data_Val!$M$2*365.25))),0,1),1))</f>
        <v>#REF!</v>
      </c>
      <c r="BK136" s="13" t="e">
        <f>IF(Data!#REF!="","",IF(Data!$G136="",1,IF(ISNUMBER(MATCH(Data!#REF!,Data_Val!$D$2:$D$10,0)),0,1)))</f>
        <v>#REF!</v>
      </c>
    </row>
    <row r="137" spans="1:63" x14ac:dyDescent="0.25">
      <c r="A137" s="9" t="str">
        <f>IF(Data!B137="","",IF(COUNTIFS(Data!A$1:'Data'!A137,Data!A137)&lt;=1,0,1))</f>
        <v/>
      </c>
      <c r="B137" s="9"/>
      <c r="C137" s="23" t="str">
        <f>IF(Data!C137="","",(IF(ISNUMBER(MATCH("*@*.?*",Data!C137,0)),0,1)+IF(COUNTIFS(Data!C$1:'Data'!C137,Data!C137)&gt;1,1,0)))</f>
        <v/>
      </c>
      <c r="D137" s="9" t="str">
        <f>IF(Data!B137="","",IF(ISNUMBER(Data!D137),IF(AND(Data!D137&gt;999999999,Data!D137&lt;=9999999999),IF(COUNTIFS(Data!D$1:'Data'!D137,Data!D137)&lt;=1,0,1),1),1))</f>
        <v/>
      </c>
      <c r="E137" s="9" t="str">
        <f>IF(Data!B137="","",IF(ISNUMBER(MATCH(Data!E137,Data_Val!$A$2:$A$3,0)),0,1))</f>
        <v/>
      </c>
      <c r="F137" s="9" t="str">
        <f ca="1">IF(Data!B137="","",IF(ISNUMBER(Data!F137),IF(AND(Data!F137&gt;(TODAY()-(Data_Val!$H$3*365.25)),Data!F137&lt;=(TODAY()-(Data_Val!$H$2*365.25))),0,1),1))</f>
        <v/>
      </c>
      <c r="G137" s="15" t="str">
        <f>IF(Data!B137="","",IF(AND(Data!G137="",Data!H137&lt;&gt;""),1,IF(Data!#REF!&lt;&gt;"",0,IF(ISNUMBER(MATCH(Data!G137,Data_Val!$C$2:$C$5,0)),0,1))))</f>
        <v/>
      </c>
      <c r="H137" s="15" t="str">
        <f>IF(Data!B137="","",IF(AND(Data!G137&lt;&gt;"",Data!H137=""),1,IF(Data!#REF!&lt;&gt;"",0,IF(Data!G137="",1,IF(ISNUMBER(MATCH(Data!H137,Data_Val!$D$2:$D$35,0)),0,1)))))</f>
        <v/>
      </c>
      <c r="I137" s="15" t="str">
        <f>IF(Data!B137="","",IF(Data!G137&lt;&gt;"",0,IF(ISNUMBER(MATCH(Data!#REF!,Data_Val!$E$2:$E$12,0)),0,1)))</f>
        <v/>
      </c>
      <c r="J137" s="16" t="e">
        <f>IF(OR(Data!B137="",Data!#REF!=""),"",IF(Data!#REF!="",1,0))</f>
        <v>#REF!</v>
      </c>
      <c r="K137" s="16" t="e">
        <f>IF(OR(Data!B137="",Data!#REF!=""),"",IF(Data!#REF!="",1,0))</f>
        <v>#REF!</v>
      </c>
      <c r="L137" s="16" t="e">
        <f>IF(OR(Data!B137="",Data!#REF!=""),"",IF(ISNUMBER(Data!#REF!),IF(AND(Data!#REF!&gt;Data_Val!$G$2,Data!#REF!&lt;=Data_Val!$G$3),0,1),1))</f>
        <v>#REF!</v>
      </c>
      <c r="M137" s="9" t="e">
        <f>IF(OR(Data!B137="",Data!#REF!=""),"",IF(ISNUMBER(MATCH(Data!#REF!,Data_Val!$F$1:$F$38,0)),0,1))</f>
        <v>#REF!</v>
      </c>
      <c r="N137" s="9" t="e">
        <f>IF(OR(Data!B137="",Data!#REF!=""),"",IF(Data!#REF!="",1,0))</f>
        <v>#REF!</v>
      </c>
      <c r="O137" s="17" t="e">
        <f>IF(Data!#REF!="","",IF(Data!#REF!="",1,0))</f>
        <v>#REF!</v>
      </c>
      <c r="P137" s="17" t="e">
        <f>IF(Data!#REF!="","",IF(ISNUMBER(MATCH(Data!#REF!,Data_Val!$A$2:$A$3,0)),0,1))</f>
        <v>#REF!</v>
      </c>
      <c r="Q137" s="25" t="e">
        <f ca="1">IF(Data!#REF!="","",IF(ISNUMBER(Data!#REF!),IF(AND(Data!#REF!&gt;(TODAY()-(Data_Val!$J$3*365.25)),Data!#REF!&lt;=(TODAY()-(Data_Val!$J$2*365.25))),0,1),1))</f>
        <v>#REF!</v>
      </c>
      <c r="R137" s="17" t="e">
        <f>IF(Data!#REF!="","",IF(ISNUMBER(MATCH(Data!#REF!,Data_Val!$B$2:$B$15,0)),0,1))</f>
        <v>#REF!</v>
      </c>
      <c r="S137" s="11" t="str">
        <f>IF(Data!G137="","",IF(Data!G137=Data_Val!$C$2,IF(Data!M137="",0,1),0))</f>
        <v/>
      </c>
      <c r="T137" s="11" t="str">
        <f>IF(Data!M137="","",IF(ISNUMBER(MATCH(Data!N137,Data_Val!$A$2:$A$3,0)),0,1))</f>
        <v/>
      </c>
      <c r="U137" s="11" t="str">
        <f ca="1">IF(Data!M137="","",IF(ISNUMBER(Data!O137),IF(AND(Data!O137&gt;(TODAY()-(Data_Val!$K$3*365.25)),Data!O137&lt;=(TODAY()-(Data_Val!$K$2*365.25))),0,1),1))</f>
        <v/>
      </c>
      <c r="V137" s="12" t="str">
        <f>IF(Data!G137="","",IF(Data!G137=Data_Val!$C$2,IF(Data!P137="",0,1),0))</f>
        <v/>
      </c>
      <c r="W137" s="12" t="str">
        <f>IF(Data!P137="","",IF(ISNUMBER(MATCH(Data!Q137,Data_Val!$A$2:$A$3,0)),0,1))</f>
        <v/>
      </c>
      <c r="X137" s="26" t="str">
        <f ca="1">IF(Data!P137="","",IF(ISNUMBER(Data!R137),IF(AND(Data!R137&gt;(TODAY()-(Data_Val!$L$3*365.25)),Data!R137&lt;=(TODAY()-(Data_Val!$L$2*365.25))),0,1),1))</f>
        <v/>
      </c>
      <c r="Y137" s="13" t="str">
        <f>IF(Data!$G137="","",IF(Data!$G137=Data_Val!$C$2,IF(Data!S137="",0,1),0))</f>
        <v/>
      </c>
      <c r="Z137" s="13" t="str">
        <f>IF(Data!S137="","",IF(ISNUMBER(MATCH(Data!T137,Data_Val!$A$2:$A$3,0)),0,1))</f>
        <v/>
      </c>
      <c r="AA137" s="28" t="str">
        <f ca="1">IF(Data!S137="","",IF(ISNUMBER(Data!U137),IF(AND(Data!U137&gt;(TODAY()-(Data_Val!$L$3*365.25)),Data!U137&lt;=(TODAY()-(Data_Val!$L$2*365.25))),0,1),1))</f>
        <v/>
      </c>
      <c r="AB137" s="11"/>
      <c r="AC137" s="11" t="e">
        <f>IF(Data!#REF!="","",IF(ISNUMBER(MATCH(Data!#REF!,Data_Val!$A$2:$A$3,0)),0,1))</f>
        <v>#REF!</v>
      </c>
      <c r="AD137" s="11" t="e">
        <f ca="1">IF(Data!#REF!="","",IF(ISNUMBER(Data!#REF!),IF(AND(Data!#REF!&gt;(TODAY()-(Data_Val!$L$3*365.25)),Data!#REF!&lt;=(TODAY()-(Data_Val!$L$2*365.25))),0,1),1))</f>
        <v>#REF!</v>
      </c>
      <c r="AE137" s="11" t="e">
        <f>IF(Data!#REF!="","",IF(Data!$G137="",1,IF(ISNUMBER(MATCH(Data!#REF!,Data_Val!$D$2:$D$10,0)),0,1)))</f>
        <v>#REF!</v>
      </c>
      <c r="AF137" s="12"/>
      <c r="AG137" s="12" t="e">
        <f>IF(Data!#REF!="","",IF(ISNUMBER(MATCH(Data!#REF!,Data_Val!$A$2:$A$3,0)),0,1))</f>
        <v>#REF!</v>
      </c>
      <c r="AH137" s="26" t="e">
        <f ca="1">IF(Data!#REF!="","",IF(ISNUMBER(Data!#REF!),IF(AND(Data!#REF!&gt;(TODAY()-(Data_Val!$L$3*365.25)),Data!#REF!&lt;=(TODAY()-(Data_Val!$L$2*365.25))),0,1),1))</f>
        <v>#REF!</v>
      </c>
      <c r="AI137" s="12" t="e">
        <f>IF(Data!#REF!="","",IF(Data!$G137="",1,IF(ISNUMBER(MATCH(Data!#REF!,Data_Val!$D$2:$D$10,0)),0,1)))</f>
        <v>#REF!</v>
      </c>
      <c r="AJ137" s="17"/>
      <c r="AK137" s="17" t="e">
        <f>IF(Data!#REF!="","",IF(ISNUMBER(MATCH(Data!#REF!,Data_Val!$A$2:$A$3,0)),0,1))</f>
        <v>#REF!</v>
      </c>
      <c r="AL137" s="25" t="e">
        <f ca="1">IF(Data!#REF!="","",IF(ISNUMBER(Data!#REF!),IF(AND(Data!#REF!&gt;(TODAY()-(Data_Val!$L$3*365.25)),Data!#REF!&lt;=(TODAY()-(Data_Val!$L$2*365.25))),0,1),1))</f>
        <v>#REF!</v>
      </c>
      <c r="AM137" s="17" t="e">
        <f>IF(Data!#REF!="","",IF(Data!$G137="",1,IF(ISNUMBER(MATCH(Data!#REF!,Data_Val!$D$2:$D$10,0)),0,1)))</f>
        <v>#REF!</v>
      </c>
      <c r="AN137" s="13"/>
      <c r="AO137" s="28" t="e">
        <f ca="1">IF(Data!#REF!="","",IF(ISNUMBER(Data!#REF!),IF(AND(Data!#REF!&gt;(TODAY()-(Data_Val!$I$3*365.25)),Data!#REF!&lt;=(TODAY()-(Data_Val!$I$2*365.25))),0,1),1))</f>
        <v>#REF!</v>
      </c>
      <c r="AP137" s="13" t="e">
        <f>IF(Data!#REF!="","",IF(Data!$G137="",1,IF(ISNUMBER(MATCH(Data!#REF!,Data_Val!$D$2:$D$10,0)),0,1)))</f>
        <v>#REF!</v>
      </c>
      <c r="AQ137" s="17"/>
      <c r="AR137" s="30" t="e">
        <f ca="1">IF(Data!#REF!="","",IF(ISNUMBER(Data!#REF!),IF(AND(Data!#REF!&gt;(TODAY()-(Data_Val!$I$3*365.25)),Data!#REF!&lt;=(TODAY()-(Data_Val!$I$2*365.25))),0,1),1))</f>
        <v>#REF!</v>
      </c>
      <c r="AS137" s="31" t="e">
        <f>IF(Data!#REF!="","",IF(Data!$G137="",1,IF(ISNUMBER(MATCH(Data!#REF!,Data_Val!$D$2:$D$10,0)),0,1)))</f>
        <v>#REF!</v>
      </c>
      <c r="AT137" s="11"/>
      <c r="AU137" s="11" t="e">
        <f ca="1">IF(Data!#REF!="","",IF(ISNUMBER(Data!#REF!),IF(AND(Data!#REF!&gt;(TODAY()-(Data_Val!$I$3*365.25)),Data!#REF!&lt;=(TODAY()-(Data_Val!$I$2*365.25))),0,1),1))</f>
        <v>#REF!</v>
      </c>
      <c r="AV137" s="11" t="e">
        <f>IF(Data!#REF!="","",IF(Data!$G137="",1,IF(ISNUMBER(MATCH(Data!#REF!,Data_Val!$D$2:$D$10,0)),0,1)))</f>
        <v>#REF!</v>
      </c>
      <c r="AW137" s="12"/>
      <c r="AX137" s="26" t="e">
        <f ca="1">IF(Data!#REF!="","",IF(ISNUMBER(Data!#REF!),IF(AND(Data!#REF!&gt;(TODAY()-(Data_Val!$I$3*365.25)),Data!#REF!&lt;=(TODAY()-(Data_Val!$I$2*365.25))),0,1),1))</f>
        <v>#REF!</v>
      </c>
      <c r="AY137" s="12" t="e">
        <f>IF(Data!#REF!="","",IF(Data!$G137="",1,IF(ISNUMBER(MATCH(Data!#REF!,Data_Val!$D$2:$D$10,0)),0,1)))</f>
        <v>#REF!</v>
      </c>
      <c r="AZ137" s="11"/>
      <c r="BA137" s="19" t="e">
        <f ca="1">IF(Data!#REF!="","",IF(ISNUMBER(Data!#REF!),IF(AND(Data!#REF!&gt;(TODAY()-(Data_Val!$M$3*365.25)),Data!#REF!&lt;=(TODAY()-(Data_Val!$M$2*365.25))),0,1),1))</f>
        <v>#REF!</v>
      </c>
      <c r="BB137" s="11" t="e">
        <f>IF(Data!#REF!="","",IF(Data!$G137="",1,IF(ISNUMBER(MATCH(Data!#REF!,Data_Val!$D$2:$D$10,0)),0,1)))</f>
        <v>#REF!</v>
      </c>
      <c r="BC137" s="12"/>
      <c r="BD137" s="20" t="e">
        <f ca="1">IF(Data!#REF!="","",IF(ISNUMBER(Data!#REF!),IF(AND(Data!#REF!&gt;(TODAY()-(Data_Val!$M$3*365.25)),Data!#REF!&lt;=(TODAY()-(Data_Val!$M$2*365.25))),0,1),1))</f>
        <v>#REF!</v>
      </c>
      <c r="BE137" s="12" t="e">
        <f>IF(Data!#REF!="","",IF(Data!$G137="",1,IF(ISNUMBER(MATCH(Data!#REF!,Data_Val!$D$2:$D$10,0)),0,1)))</f>
        <v>#REF!</v>
      </c>
      <c r="BF137" s="17"/>
      <c r="BG137" s="18" t="e">
        <f ca="1">IF(Data!#REF!="","",IF(ISNUMBER(Data!#REF!),IF(AND(Data!#REF!&gt;(TODAY()-(Data_Val!$M$3*365.25)),Data!#REF!&lt;=(TODAY()-(Data_Val!$M$2*365.25))),0,1),1))</f>
        <v>#REF!</v>
      </c>
      <c r="BH137" s="29" t="e">
        <f>IF(Data!#REF!="","",IF(Data!$G137="",1,IF(ISNUMBER(MATCH(Data!#REF!,Data_Val!$D$2:$D$10,0)),0,1)))</f>
        <v>#REF!</v>
      </c>
      <c r="BI137" s="13"/>
      <c r="BJ137" s="21" t="e">
        <f ca="1">IF(Data!#REF!="","",IF(ISNUMBER(Data!#REF!),IF(AND(Data!#REF!&gt;(TODAY()-(Data_Val!$M$3*365.25)),Data!#REF!&lt;=(TODAY()-(Data_Val!$M$2*365.25))),0,1),1))</f>
        <v>#REF!</v>
      </c>
      <c r="BK137" s="13" t="e">
        <f>IF(Data!#REF!="","",IF(Data!$G137="",1,IF(ISNUMBER(MATCH(Data!#REF!,Data_Val!$D$2:$D$10,0)),0,1)))</f>
        <v>#REF!</v>
      </c>
    </row>
    <row r="138" spans="1:63" x14ac:dyDescent="0.25">
      <c r="A138" s="9" t="str">
        <f>IF(Data!B138="","",IF(COUNTIFS(Data!A$1:'Data'!A138,Data!A138)&lt;=1,0,1))</f>
        <v/>
      </c>
      <c r="B138" s="9"/>
      <c r="C138" s="23" t="str">
        <f>IF(Data!C138="","",(IF(ISNUMBER(MATCH("*@*.?*",Data!C138,0)),0,1)+IF(COUNTIFS(Data!C$1:'Data'!C138,Data!C138)&gt;1,1,0)))</f>
        <v/>
      </c>
      <c r="D138" s="9" t="str">
        <f>IF(Data!B138="","",IF(ISNUMBER(Data!D138),IF(AND(Data!D138&gt;999999999,Data!D138&lt;=9999999999),IF(COUNTIFS(Data!D$1:'Data'!D138,Data!D138)&lt;=1,0,1),1),1))</f>
        <v/>
      </c>
      <c r="E138" s="9" t="str">
        <f>IF(Data!B138="","",IF(ISNUMBER(MATCH(Data!E138,Data_Val!$A$2:$A$3,0)),0,1))</f>
        <v/>
      </c>
      <c r="F138" s="9" t="str">
        <f ca="1">IF(Data!B138="","",IF(ISNUMBER(Data!F138),IF(AND(Data!F138&gt;(TODAY()-(Data_Val!$H$3*365.25)),Data!F138&lt;=(TODAY()-(Data_Val!$H$2*365.25))),0,1),1))</f>
        <v/>
      </c>
      <c r="G138" s="15" t="str">
        <f>IF(Data!B138="","",IF(AND(Data!G138="",Data!H138&lt;&gt;""),1,IF(Data!#REF!&lt;&gt;"",0,IF(ISNUMBER(MATCH(Data!G138,Data_Val!$C$2:$C$5,0)),0,1))))</f>
        <v/>
      </c>
      <c r="H138" s="15" t="str">
        <f>IF(Data!B138="","",IF(AND(Data!G138&lt;&gt;"",Data!H138=""),1,IF(Data!#REF!&lt;&gt;"",0,IF(Data!G138="",1,IF(ISNUMBER(MATCH(Data!H138,Data_Val!$D$2:$D$35,0)),0,1)))))</f>
        <v/>
      </c>
      <c r="I138" s="15" t="str">
        <f>IF(Data!B138="","",IF(Data!G138&lt;&gt;"",0,IF(ISNUMBER(MATCH(Data!#REF!,Data_Val!$E$2:$E$12,0)),0,1)))</f>
        <v/>
      </c>
      <c r="J138" s="16" t="e">
        <f>IF(OR(Data!B138="",Data!#REF!=""),"",IF(Data!#REF!="",1,0))</f>
        <v>#REF!</v>
      </c>
      <c r="K138" s="16" t="e">
        <f>IF(OR(Data!B138="",Data!#REF!=""),"",IF(Data!#REF!="",1,0))</f>
        <v>#REF!</v>
      </c>
      <c r="L138" s="16" t="e">
        <f>IF(OR(Data!B138="",Data!#REF!=""),"",IF(ISNUMBER(Data!#REF!),IF(AND(Data!#REF!&gt;Data_Val!$G$2,Data!#REF!&lt;=Data_Val!$G$3),0,1),1))</f>
        <v>#REF!</v>
      </c>
      <c r="M138" s="9" t="e">
        <f>IF(OR(Data!B138="",Data!#REF!=""),"",IF(ISNUMBER(MATCH(Data!#REF!,Data_Val!$F$1:$F$38,0)),0,1))</f>
        <v>#REF!</v>
      </c>
      <c r="N138" s="9" t="e">
        <f>IF(OR(Data!B138="",Data!#REF!=""),"",IF(Data!#REF!="",1,0))</f>
        <v>#REF!</v>
      </c>
      <c r="O138" s="17" t="e">
        <f>IF(Data!#REF!="","",IF(Data!#REF!="",1,0))</f>
        <v>#REF!</v>
      </c>
      <c r="P138" s="17" t="e">
        <f>IF(Data!#REF!="","",IF(ISNUMBER(MATCH(Data!#REF!,Data_Val!$A$2:$A$3,0)),0,1))</f>
        <v>#REF!</v>
      </c>
      <c r="Q138" s="25" t="e">
        <f ca="1">IF(Data!#REF!="","",IF(ISNUMBER(Data!#REF!),IF(AND(Data!#REF!&gt;(TODAY()-(Data_Val!$J$3*365.25)),Data!#REF!&lt;=(TODAY()-(Data_Val!$J$2*365.25))),0,1),1))</f>
        <v>#REF!</v>
      </c>
      <c r="R138" s="17" t="e">
        <f>IF(Data!#REF!="","",IF(ISNUMBER(MATCH(Data!#REF!,Data_Val!$B$2:$B$15,0)),0,1))</f>
        <v>#REF!</v>
      </c>
      <c r="S138" s="11" t="str">
        <f>IF(Data!G138="","",IF(Data!G138=Data_Val!$C$2,IF(Data!M138="",0,1),0))</f>
        <v/>
      </c>
      <c r="T138" s="11" t="str">
        <f>IF(Data!M138="","",IF(ISNUMBER(MATCH(Data!N138,Data_Val!$A$2:$A$3,0)),0,1))</f>
        <v/>
      </c>
      <c r="U138" s="11" t="str">
        <f ca="1">IF(Data!M138="","",IF(ISNUMBER(Data!O138),IF(AND(Data!O138&gt;(TODAY()-(Data_Val!$K$3*365.25)),Data!O138&lt;=(TODAY()-(Data_Val!$K$2*365.25))),0,1),1))</f>
        <v/>
      </c>
      <c r="V138" s="12" t="str">
        <f>IF(Data!G138="","",IF(Data!G138=Data_Val!$C$2,IF(Data!P138="",0,1),0))</f>
        <v/>
      </c>
      <c r="W138" s="12" t="str">
        <f>IF(Data!P138="","",IF(ISNUMBER(MATCH(Data!Q138,Data_Val!$A$2:$A$3,0)),0,1))</f>
        <v/>
      </c>
      <c r="X138" s="26" t="str">
        <f ca="1">IF(Data!P138="","",IF(ISNUMBER(Data!R138),IF(AND(Data!R138&gt;(TODAY()-(Data_Val!$L$3*365.25)),Data!R138&lt;=(TODAY()-(Data_Val!$L$2*365.25))),0,1),1))</f>
        <v/>
      </c>
      <c r="Y138" s="13" t="str">
        <f>IF(Data!$G138="","",IF(Data!$G138=Data_Val!$C$2,IF(Data!S138="",0,1),0))</f>
        <v/>
      </c>
      <c r="Z138" s="13" t="str">
        <f>IF(Data!S138="","",IF(ISNUMBER(MATCH(Data!T138,Data_Val!$A$2:$A$3,0)),0,1))</f>
        <v/>
      </c>
      <c r="AA138" s="28" t="str">
        <f ca="1">IF(Data!S138="","",IF(ISNUMBER(Data!U138),IF(AND(Data!U138&gt;(TODAY()-(Data_Val!$L$3*365.25)),Data!U138&lt;=(TODAY()-(Data_Val!$L$2*365.25))),0,1),1))</f>
        <v/>
      </c>
      <c r="AB138" s="11"/>
      <c r="AC138" s="11" t="e">
        <f>IF(Data!#REF!="","",IF(ISNUMBER(MATCH(Data!#REF!,Data_Val!$A$2:$A$3,0)),0,1))</f>
        <v>#REF!</v>
      </c>
      <c r="AD138" s="11" t="e">
        <f ca="1">IF(Data!#REF!="","",IF(ISNUMBER(Data!#REF!),IF(AND(Data!#REF!&gt;(TODAY()-(Data_Val!$L$3*365.25)),Data!#REF!&lt;=(TODAY()-(Data_Val!$L$2*365.25))),0,1),1))</f>
        <v>#REF!</v>
      </c>
      <c r="AE138" s="11" t="e">
        <f>IF(Data!#REF!="","",IF(Data!$G138="",1,IF(ISNUMBER(MATCH(Data!#REF!,Data_Val!$D$2:$D$10,0)),0,1)))</f>
        <v>#REF!</v>
      </c>
      <c r="AF138" s="12"/>
      <c r="AG138" s="12" t="e">
        <f>IF(Data!#REF!="","",IF(ISNUMBER(MATCH(Data!#REF!,Data_Val!$A$2:$A$3,0)),0,1))</f>
        <v>#REF!</v>
      </c>
      <c r="AH138" s="26" t="e">
        <f ca="1">IF(Data!#REF!="","",IF(ISNUMBER(Data!#REF!),IF(AND(Data!#REF!&gt;(TODAY()-(Data_Val!$L$3*365.25)),Data!#REF!&lt;=(TODAY()-(Data_Val!$L$2*365.25))),0,1),1))</f>
        <v>#REF!</v>
      </c>
      <c r="AI138" s="12" t="e">
        <f>IF(Data!#REF!="","",IF(Data!$G138="",1,IF(ISNUMBER(MATCH(Data!#REF!,Data_Val!$D$2:$D$10,0)),0,1)))</f>
        <v>#REF!</v>
      </c>
      <c r="AJ138" s="17"/>
      <c r="AK138" s="17" t="e">
        <f>IF(Data!#REF!="","",IF(ISNUMBER(MATCH(Data!#REF!,Data_Val!$A$2:$A$3,0)),0,1))</f>
        <v>#REF!</v>
      </c>
      <c r="AL138" s="25" t="e">
        <f ca="1">IF(Data!#REF!="","",IF(ISNUMBER(Data!#REF!),IF(AND(Data!#REF!&gt;(TODAY()-(Data_Val!$L$3*365.25)),Data!#REF!&lt;=(TODAY()-(Data_Val!$L$2*365.25))),0,1),1))</f>
        <v>#REF!</v>
      </c>
      <c r="AM138" s="17" t="e">
        <f>IF(Data!#REF!="","",IF(Data!$G138="",1,IF(ISNUMBER(MATCH(Data!#REF!,Data_Val!$D$2:$D$10,0)),0,1)))</f>
        <v>#REF!</v>
      </c>
      <c r="AN138" s="13"/>
      <c r="AO138" s="28" t="e">
        <f ca="1">IF(Data!#REF!="","",IF(ISNUMBER(Data!#REF!),IF(AND(Data!#REF!&gt;(TODAY()-(Data_Val!$I$3*365.25)),Data!#REF!&lt;=(TODAY()-(Data_Val!$I$2*365.25))),0,1),1))</f>
        <v>#REF!</v>
      </c>
      <c r="AP138" s="13" t="e">
        <f>IF(Data!#REF!="","",IF(Data!$G138="",1,IF(ISNUMBER(MATCH(Data!#REF!,Data_Val!$D$2:$D$10,0)),0,1)))</f>
        <v>#REF!</v>
      </c>
      <c r="AQ138" s="17"/>
      <c r="AR138" s="30" t="e">
        <f ca="1">IF(Data!#REF!="","",IF(ISNUMBER(Data!#REF!),IF(AND(Data!#REF!&gt;(TODAY()-(Data_Val!$I$3*365.25)),Data!#REF!&lt;=(TODAY()-(Data_Val!$I$2*365.25))),0,1),1))</f>
        <v>#REF!</v>
      </c>
      <c r="AS138" s="31" t="e">
        <f>IF(Data!#REF!="","",IF(Data!$G138="",1,IF(ISNUMBER(MATCH(Data!#REF!,Data_Val!$D$2:$D$10,0)),0,1)))</f>
        <v>#REF!</v>
      </c>
      <c r="AT138" s="11"/>
      <c r="AU138" s="11" t="e">
        <f ca="1">IF(Data!#REF!="","",IF(ISNUMBER(Data!#REF!),IF(AND(Data!#REF!&gt;(TODAY()-(Data_Val!$I$3*365.25)),Data!#REF!&lt;=(TODAY()-(Data_Val!$I$2*365.25))),0,1),1))</f>
        <v>#REF!</v>
      </c>
      <c r="AV138" s="11" t="e">
        <f>IF(Data!#REF!="","",IF(Data!$G138="",1,IF(ISNUMBER(MATCH(Data!#REF!,Data_Val!$D$2:$D$10,0)),0,1)))</f>
        <v>#REF!</v>
      </c>
      <c r="AW138" s="12"/>
      <c r="AX138" s="26" t="e">
        <f ca="1">IF(Data!#REF!="","",IF(ISNUMBER(Data!#REF!),IF(AND(Data!#REF!&gt;(TODAY()-(Data_Val!$I$3*365.25)),Data!#REF!&lt;=(TODAY()-(Data_Val!$I$2*365.25))),0,1),1))</f>
        <v>#REF!</v>
      </c>
      <c r="AY138" s="12" t="e">
        <f>IF(Data!#REF!="","",IF(Data!$G138="",1,IF(ISNUMBER(MATCH(Data!#REF!,Data_Val!$D$2:$D$10,0)),0,1)))</f>
        <v>#REF!</v>
      </c>
      <c r="AZ138" s="11"/>
      <c r="BA138" s="19" t="e">
        <f ca="1">IF(Data!#REF!="","",IF(ISNUMBER(Data!#REF!),IF(AND(Data!#REF!&gt;(TODAY()-(Data_Val!$M$3*365.25)),Data!#REF!&lt;=(TODAY()-(Data_Val!$M$2*365.25))),0,1),1))</f>
        <v>#REF!</v>
      </c>
      <c r="BB138" s="11" t="e">
        <f>IF(Data!#REF!="","",IF(Data!$G138="",1,IF(ISNUMBER(MATCH(Data!#REF!,Data_Val!$D$2:$D$10,0)),0,1)))</f>
        <v>#REF!</v>
      </c>
      <c r="BC138" s="12"/>
      <c r="BD138" s="20" t="e">
        <f ca="1">IF(Data!#REF!="","",IF(ISNUMBER(Data!#REF!),IF(AND(Data!#REF!&gt;(TODAY()-(Data_Val!$M$3*365.25)),Data!#REF!&lt;=(TODAY()-(Data_Val!$M$2*365.25))),0,1),1))</f>
        <v>#REF!</v>
      </c>
      <c r="BE138" s="12" t="e">
        <f>IF(Data!#REF!="","",IF(Data!$G138="",1,IF(ISNUMBER(MATCH(Data!#REF!,Data_Val!$D$2:$D$10,0)),0,1)))</f>
        <v>#REF!</v>
      </c>
      <c r="BF138" s="17"/>
      <c r="BG138" s="18" t="e">
        <f ca="1">IF(Data!#REF!="","",IF(ISNUMBER(Data!#REF!),IF(AND(Data!#REF!&gt;(TODAY()-(Data_Val!$M$3*365.25)),Data!#REF!&lt;=(TODAY()-(Data_Val!$M$2*365.25))),0,1),1))</f>
        <v>#REF!</v>
      </c>
      <c r="BH138" s="29" t="e">
        <f>IF(Data!#REF!="","",IF(Data!$G138="",1,IF(ISNUMBER(MATCH(Data!#REF!,Data_Val!$D$2:$D$10,0)),0,1)))</f>
        <v>#REF!</v>
      </c>
      <c r="BI138" s="13"/>
      <c r="BJ138" s="21" t="e">
        <f ca="1">IF(Data!#REF!="","",IF(ISNUMBER(Data!#REF!),IF(AND(Data!#REF!&gt;(TODAY()-(Data_Val!$M$3*365.25)),Data!#REF!&lt;=(TODAY()-(Data_Val!$M$2*365.25))),0,1),1))</f>
        <v>#REF!</v>
      </c>
      <c r="BK138" s="13" t="e">
        <f>IF(Data!#REF!="","",IF(Data!$G138="",1,IF(ISNUMBER(MATCH(Data!#REF!,Data_Val!$D$2:$D$10,0)),0,1)))</f>
        <v>#REF!</v>
      </c>
    </row>
    <row r="139" spans="1:63" x14ac:dyDescent="0.25">
      <c r="A139" s="9" t="str">
        <f>IF(Data!B139="","",IF(COUNTIFS(Data!A$1:'Data'!A139,Data!A139)&lt;=1,0,1))</f>
        <v/>
      </c>
      <c r="B139" s="9"/>
      <c r="C139" s="23" t="str">
        <f>IF(Data!C139="","",(IF(ISNUMBER(MATCH("*@*.?*",Data!C139,0)),0,1)+IF(COUNTIFS(Data!C$1:'Data'!C139,Data!C139)&gt;1,1,0)))</f>
        <v/>
      </c>
      <c r="D139" s="9" t="str">
        <f>IF(Data!B139="","",IF(ISNUMBER(Data!D139),IF(AND(Data!D139&gt;999999999,Data!D139&lt;=9999999999),IF(COUNTIFS(Data!D$1:'Data'!D139,Data!D139)&lt;=1,0,1),1),1))</f>
        <v/>
      </c>
      <c r="E139" s="9" t="str">
        <f>IF(Data!B139="","",IF(ISNUMBER(MATCH(Data!E139,Data_Val!$A$2:$A$3,0)),0,1))</f>
        <v/>
      </c>
      <c r="F139" s="9" t="str">
        <f ca="1">IF(Data!B139="","",IF(ISNUMBER(Data!F139),IF(AND(Data!F139&gt;(TODAY()-(Data_Val!$H$3*365.25)),Data!F139&lt;=(TODAY()-(Data_Val!$H$2*365.25))),0,1),1))</f>
        <v/>
      </c>
      <c r="G139" s="15" t="str">
        <f>IF(Data!B139="","",IF(AND(Data!G139="",Data!H139&lt;&gt;""),1,IF(Data!#REF!&lt;&gt;"",0,IF(ISNUMBER(MATCH(Data!G139,Data_Val!$C$2:$C$5,0)),0,1))))</f>
        <v/>
      </c>
      <c r="H139" s="15" t="str">
        <f>IF(Data!B139="","",IF(AND(Data!G139&lt;&gt;"",Data!H139=""),1,IF(Data!#REF!&lt;&gt;"",0,IF(Data!G139="",1,IF(ISNUMBER(MATCH(Data!H139,Data_Val!$D$2:$D$35,0)),0,1)))))</f>
        <v/>
      </c>
      <c r="I139" s="15" t="str">
        <f>IF(Data!B139="","",IF(Data!G139&lt;&gt;"",0,IF(ISNUMBER(MATCH(Data!#REF!,Data_Val!$E$2:$E$12,0)),0,1)))</f>
        <v/>
      </c>
      <c r="J139" s="16" t="e">
        <f>IF(OR(Data!B139="",Data!#REF!=""),"",IF(Data!#REF!="",1,0))</f>
        <v>#REF!</v>
      </c>
      <c r="K139" s="16" t="e">
        <f>IF(OR(Data!B139="",Data!#REF!=""),"",IF(Data!#REF!="",1,0))</f>
        <v>#REF!</v>
      </c>
      <c r="L139" s="16" t="e">
        <f>IF(OR(Data!B139="",Data!#REF!=""),"",IF(ISNUMBER(Data!#REF!),IF(AND(Data!#REF!&gt;Data_Val!$G$2,Data!#REF!&lt;=Data_Val!$G$3),0,1),1))</f>
        <v>#REF!</v>
      </c>
      <c r="M139" s="9" t="e">
        <f>IF(OR(Data!B139="",Data!#REF!=""),"",IF(ISNUMBER(MATCH(Data!#REF!,Data_Val!$F$1:$F$38,0)),0,1))</f>
        <v>#REF!</v>
      </c>
      <c r="N139" s="9" t="e">
        <f>IF(OR(Data!B139="",Data!#REF!=""),"",IF(Data!#REF!="",1,0))</f>
        <v>#REF!</v>
      </c>
      <c r="O139" s="17" t="e">
        <f>IF(Data!#REF!="","",IF(Data!#REF!="",1,0))</f>
        <v>#REF!</v>
      </c>
      <c r="P139" s="17" t="e">
        <f>IF(Data!#REF!="","",IF(ISNUMBER(MATCH(Data!#REF!,Data_Val!$A$2:$A$3,0)),0,1))</f>
        <v>#REF!</v>
      </c>
      <c r="Q139" s="25" t="e">
        <f ca="1">IF(Data!#REF!="","",IF(ISNUMBER(Data!#REF!),IF(AND(Data!#REF!&gt;(TODAY()-(Data_Val!$J$3*365.25)),Data!#REF!&lt;=(TODAY()-(Data_Val!$J$2*365.25))),0,1),1))</f>
        <v>#REF!</v>
      </c>
      <c r="R139" s="17" t="e">
        <f>IF(Data!#REF!="","",IF(ISNUMBER(MATCH(Data!#REF!,Data_Val!$B$2:$B$15,0)),0,1))</f>
        <v>#REF!</v>
      </c>
      <c r="S139" s="11" t="str">
        <f>IF(Data!G139="","",IF(Data!G139=Data_Val!$C$2,IF(Data!M139="",0,1),0))</f>
        <v/>
      </c>
      <c r="T139" s="11" t="str">
        <f>IF(Data!M139="","",IF(ISNUMBER(MATCH(Data!N139,Data_Val!$A$2:$A$3,0)),0,1))</f>
        <v/>
      </c>
      <c r="U139" s="11" t="str">
        <f ca="1">IF(Data!M139="","",IF(ISNUMBER(Data!O139),IF(AND(Data!O139&gt;(TODAY()-(Data_Val!$K$3*365.25)),Data!O139&lt;=(TODAY()-(Data_Val!$K$2*365.25))),0,1),1))</f>
        <v/>
      </c>
      <c r="V139" s="12" t="str">
        <f>IF(Data!G139="","",IF(Data!G139=Data_Val!$C$2,IF(Data!P139="",0,1),0))</f>
        <v/>
      </c>
      <c r="W139" s="12" t="str">
        <f>IF(Data!P139="","",IF(ISNUMBER(MATCH(Data!Q139,Data_Val!$A$2:$A$3,0)),0,1))</f>
        <v/>
      </c>
      <c r="X139" s="26" t="str">
        <f ca="1">IF(Data!P139="","",IF(ISNUMBER(Data!R139),IF(AND(Data!R139&gt;(TODAY()-(Data_Val!$L$3*365.25)),Data!R139&lt;=(TODAY()-(Data_Val!$L$2*365.25))),0,1),1))</f>
        <v/>
      </c>
      <c r="Y139" s="13" t="str">
        <f>IF(Data!$G139="","",IF(Data!$G139=Data_Val!$C$2,IF(Data!S139="",0,1),0))</f>
        <v/>
      </c>
      <c r="Z139" s="13" t="str">
        <f>IF(Data!S139="","",IF(ISNUMBER(MATCH(Data!T139,Data_Val!$A$2:$A$3,0)),0,1))</f>
        <v/>
      </c>
      <c r="AA139" s="28" t="str">
        <f ca="1">IF(Data!S139="","",IF(ISNUMBER(Data!U139),IF(AND(Data!U139&gt;(TODAY()-(Data_Val!$L$3*365.25)),Data!U139&lt;=(TODAY()-(Data_Val!$L$2*365.25))),0,1),1))</f>
        <v/>
      </c>
      <c r="AB139" s="11"/>
      <c r="AC139" s="11" t="e">
        <f>IF(Data!#REF!="","",IF(ISNUMBER(MATCH(Data!#REF!,Data_Val!$A$2:$A$3,0)),0,1))</f>
        <v>#REF!</v>
      </c>
      <c r="AD139" s="11" t="e">
        <f ca="1">IF(Data!#REF!="","",IF(ISNUMBER(Data!#REF!),IF(AND(Data!#REF!&gt;(TODAY()-(Data_Val!$L$3*365.25)),Data!#REF!&lt;=(TODAY()-(Data_Val!$L$2*365.25))),0,1),1))</f>
        <v>#REF!</v>
      </c>
      <c r="AE139" s="11" t="e">
        <f>IF(Data!#REF!="","",IF(Data!$G139="",1,IF(ISNUMBER(MATCH(Data!#REF!,Data_Val!$D$2:$D$10,0)),0,1)))</f>
        <v>#REF!</v>
      </c>
      <c r="AF139" s="12"/>
      <c r="AG139" s="12" t="e">
        <f>IF(Data!#REF!="","",IF(ISNUMBER(MATCH(Data!#REF!,Data_Val!$A$2:$A$3,0)),0,1))</f>
        <v>#REF!</v>
      </c>
      <c r="AH139" s="26" t="e">
        <f ca="1">IF(Data!#REF!="","",IF(ISNUMBER(Data!#REF!),IF(AND(Data!#REF!&gt;(TODAY()-(Data_Val!$L$3*365.25)),Data!#REF!&lt;=(TODAY()-(Data_Val!$L$2*365.25))),0,1),1))</f>
        <v>#REF!</v>
      </c>
      <c r="AI139" s="12" t="e">
        <f>IF(Data!#REF!="","",IF(Data!$G139="",1,IF(ISNUMBER(MATCH(Data!#REF!,Data_Val!$D$2:$D$10,0)),0,1)))</f>
        <v>#REF!</v>
      </c>
      <c r="AJ139" s="17"/>
      <c r="AK139" s="17" t="e">
        <f>IF(Data!#REF!="","",IF(ISNUMBER(MATCH(Data!#REF!,Data_Val!$A$2:$A$3,0)),0,1))</f>
        <v>#REF!</v>
      </c>
      <c r="AL139" s="25" t="e">
        <f ca="1">IF(Data!#REF!="","",IF(ISNUMBER(Data!#REF!),IF(AND(Data!#REF!&gt;(TODAY()-(Data_Val!$L$3*365.25)),Data!#REF!&lt;=(TODAY()-(Data_Val!$L$2*365.25))),0,1),1))</f>
        <v>#REF!</v>
      </c>
      <c r="AM139" s="17" t="e">
        <f>IF(Data!#REF!="","",IF(Data!$G139="",1,IF(ISNUMBER(MATCH(Data!#REF!,Data_Val!$D$2:$D$10,0)),0,1)))</f>
        <v>#REF!</v>
      </c>
      <c r="AN139" s="13"/>
      <c r="AO139" s="28" t="e">
        <f ca="1">IF(Data!#REF!="","",IF(ISNUMBER(Data!#REF!),IF(AND(Data!#REF!&gt;(TODAY()-(Data_Val!$I$3*365.25)),Data!#REF!&lt;=(TODAY()-(Data_Val!$I$2*365.25))),0,1),1))</f>
        <v>#REF!</v>
      </c>
      <c r="AP139" s="13" t="e">
        <f>IF(Data!#REF!="","",IF(Data!$G139="",1,IF(ISNUMBER(MATCH(Data!#REF!,Data_Val!$D$2:$D$10,0)),0,1)))</f>
        <v>#REF!</v>
      </c>
      <c r="AQ139" s="17"/>
      <c r="AR139" s="30" t="e">
        <f ca="1">IF(Data!#REF!="","",IF(ISNUMBER(Data!#REF!),IF(AND(Data!#REF!&gt;(TODAY()-(Data_Val!$I$3*365.25)),Data!#REF!&lt;=(TODAY()-(Data_Val!$I$2*365.25))),0,1),1))</f>
        <v>#REF!</v>
      </c>
      <c r="AS139" s="31" t="e">
        <f>IF(Data!#REF!="","",IF(Data!$G139="",1,IF(ISNUMBER(MATCH(Data!#REF!,Data_Val!$D$2:$D$10,0)),0,1)))</f>
        <v>#REF!</v>
      </c>
      <c r="AT139" s="11"/>
      <c r="AU139" s="11" t="e">
        <f ca="1">IF(Data!#REF!="","",IF(ISNUMBER(Data!#REF!),IF(AND(Data!#REF!&gt;(TODAY()-(Data_Val!$I$3*365.25)),Data!#REF!&lt;=(TODAY()-(Data_Val!$I$2*365.25))),0,1),1))</f>
        <v>#REF!</v>
      </c>
      <c r="AV139" s="11" t="e">
        <f>IF(Data!#REF!="","",IF(Data!$G139="",1,IF(ISNUMBER(MATCH(Data!#REF!,Data_Val!$D$2:$D$10,0)),0,1)))</f>
        <v>#REF!</v>
      </c>
      <c r="AW139" s="12"/>
      <c r="AX139" s="26" t="e">
        <f ca="1">IF(Data!#REF!="","",IF(ISNUMBER(Data!#REF!),IF(AND(Data!#REF!&gt;(TODAY()-(Data_Val!$I$3*365.25)),Data!#REF!&lt;=(TODAY()-(Data_Val!$I$2*365.25))),0,1),1))</f>
        <v>#REF!</v>
      </c>
      <c r="AY139" s="12" t="e">
        <f>IF(Data!#REF!="","",IF(Data!$G139="",1,IF(ISNUMBER(MATCH(Data!#REF!,Data_Val!$D$2:$D$10,0)),0,1)))</f>
        <v>#REF!</v>
      </c>
      <c r="AZ139" s="11"/>
      <c r="BA139" s="19" t="e">
        <f ca="1">IF(Data!#REF!="","",IF(ISNUMBER(Data!#REF!),IF(AND(Data!#REF!&gt;(TODAY()-(Data_Val!$M$3*365.25)),Data!#REF!&lt;=(TODAY()-(Data_Val!$M$2*365.25))),0,1),1))</f>
        <v>#REF!</v>
      </c>
      <c r="BB139" s="11" t="e">
        <f>IF(Data!#REF!="","",IF(Data!$G139="",1,IF(ISNUMBER(MATCH(Data!#REF!,Data_Val!$D$2:$D$10,0)),0,1)))</f>
        <v>#REF!</v>
      </c>
      <c r="BC139" s="12"/>
      <c r="BD139" s="20" t="e">
        <f ca="1">IF(Data!#REF!="","",IF(ISNUMBER(Data!#REF!),IF(AND(Data!#REF!&gt;(TODAY()-(Data_Val!$M$3*365.25)),Data!#REF!&lt;=(TODAY()-(Data_Val!$M$2*365.25))),0,1),1))</f>
        <v>#REF!</v>
      </c>
      <c r="BE139" s="12" t="e">
        <f>IF(Data!#REF!="","",IF(Data!$G139="",1,IF(ISNUMBER(MATCH(Data!#REF!,Data_Val!$D$2:$D$10,0)),0,1)))</f>
        <v>#REF!</v>
      </c>
      <c r="BF139" s="17"/>
      <c r="BG139" s="18" t="e">
        <f ca="1">IF(Data!#REF!="","",IF(ISNUMBER(Data!#REF!),IF(AND(Data!#REF!&gt;(TODAY()-(Data_Val!$M$3*365.25)),Data!#REF!&lt;=(TODAY()-(Data_Val!$M$2*365.25))),0,1),1))</f>
        <v>#REF!</v>
      </c>
      <c r="BH139" s="29" t="e">
        <f>IF(Data!#REF!="","",IF(Data!$G139="",1,IF(ISNUMBER(MATCH(Data!#REF!,Data_Val!$D$2:$D$10,0)),0,1)))</f>
        <v>#REF!</v>
      </c>
      <c r="BI139" s="13"/>
      <c r="BJ139" s="21" t="e">
        <f ca="1">IF(Data!#REF!="","",IF(ISNUMBER(Data!#REF!),IF(AND(Data!#REF!&gt;(TODAY()-(Data_Val!$M$3*365.25)),Data!#REF!&lt;=(TODAY()-(Data_Val!$M$2*365.25))),0,1),1))</f>
        <v>#REF!</v>
      </c>
      <c r="BK139" s="13" t="e">
        <f>IF(Data!#REF!="","",IF(Data!$G139="",1,IF(ISNUMBER(MATCH(Data!#REF!,Data_Val!$D$2:$D$10,0)),0,1)))</f>
        <v>#REF!</v>
      </c>
    </row>
    <row r="140" spans="1:63" x14ac:dyDescent="0.25">
      <c r="A140" s="9" t="str">
        <f>IF(Data!B140="","",IF(COUNTIFS(Data!A$1:'Data'!A140,Data!A140)&lt;=1,0,1))</f>
        <v/>
      </c>
      <c r="B140" s="9"/>
      <c r="C140" s="23" t="str">
        <f>IF(Data!C140="","",(IF(ISNUMBER(MATCH("*@*.?*",Data!C140,0)),0,1)+IF(COUNTIFS(Data!C$1:'Data'!C140,Data!C140)&gt;1,1,0)))</f>
        <v/>
      </c>
      <c r="D140" s="9" t="str">
        <f>IF(Data!B140="","",IF(ISNUMBER(Data!D140),IF(AND(Data!D140&gt;999999999,Data!D140&lt;=9999999999),IF(COUNTIFS(Data!D$1:'Data'!D140,Data!D140)&lt;=1,0,1),1),1))</f>
        <v/>
      </c>
      <c r="E140" s="9" t="str">
        <f>IF(Data!B140="","",IF(ISNUMBER(MATCH(Data!E140,Data_Val!$A$2:$A$3,0)),0,1))</f>
        <v/>
      </c>
      <c r="F140" s="9" t="str">
        <f ca="1">IF(Data!B140="","",IF(ISNUMBER(Data!F140),IF(AND(Data!F140&gt;(TODAY()-(Data_Val!$H$3*365.25)),Data!F140&lt;=(TODAY()-(Data_Val!$H$2*365.25))),0,1),1))</f>
        <v/>
      </c>
      <c r="G140" s="15" t="str">
        <f>IF(Data!B140="","",IF(AND(Data!G140="",Data!H140&lt;&gt;""),1,IF(Data!#REF!&lt;&gt;"",0,IF(ISNUMBER(MATCH(Data!G140,Data_Val!$C$2:$C$5,0)),0,1))))</f>
        <v/>
      </c>
      <c r="H140" s="15" t="str">
        <f>IF(Data!B140="","",IF(AND(Data!G140&lt;&gt;"",Data!H140=""),1,IF(Data!#REF!&lt;&gt;"",0,IF(Data!G140="",1,IF(ISNUMBER(MATCH(Data!H140,Data_Val!$D$2:$D$35,0)),0,1)))))</f>
        <v/>
      </c>
      <c r="I140" s="15" t="str">
        <f>IF(Data!B140="","",IF(Data!G140&lt;&gt;"",0,IF(ISNUMBER(MATCH(Data!#REF!,Data_Val!$E$2:$E$12,0)),0,1)))</f>
        <v/>
      </c>
      <c r="J140" s="16" t="e">
        <f>IF(OR(Data!B140="",Data!#REF!=""),"",IF(Data!#REF!="",1,0))</f>
        <v>#REF!</v>
      </c>
      <c r="K140" s="16" t="e">
        <f>IF(OR(Data!B140="",Data!#REF!=""),"",IF(Data!#REF!="",1,0))</f>
        <v>#REF!</v>
      </c>
      <c r="L140" s="16" t="e">
        <f>IF(OR(Data!B140="",Data!#REF!=""),"",IF(ISNUMBER(Data!#REF!),IF(AND(Data!#REF!&gt;Data_Val!$G$2,Data!#REF!&lt;=Data_Val!$G$3),0,1),1))</f>
        <v>#REF!</v>
      </c>
      <c r="M140" s="9" t="e">
        <f>IF(OR(Data!B140="",Data!#REF!=""),"",IF(ISNUMBER(MATCH(Data!#REF!,Data_Val!$F$1:$F$38,0)),0,1))</f>
        <v>#REF!</v>
      </c>
      <c r="N140" s="9" t="e">
        <f>IF(OR(Data!B140="",Data!#REF!=""),"",IF(Data!#REF!="",1,0))</f>
        <v>#REF!</v>
      </c>
      <c r="O140" s="17" t="e">
        <f>IF(Data!#REF!="","",IF(Data!#REF!="",1,0))</f>
        <v>#REF!</v>
      </c>
      <c r="P140" s="17" t="e">
        <f>IF(Data!#REF!="","",IF(ISNUMBER(MATCH(Data!#REF!,Data_Val!$A$2:$A$3,0)),0,1))</f>
        <v>#REF!</v>
      </c>
      <c r="Q140" s="25" t="e">
        <f ca="1">IF(Data!#REF!="","",IF(ISNUMBER(Data!#REF!),IF(AND(Data!#REF!&gt;(TODAY()-(Data_Val!$J$3*365.25)),Data!#REF!&lt;=(TODAY()-(Data_Val!$J$2*365.25))),0,1),1))</f>
        <v>#REF!</v>
      </c>
      <c r="R140" s="17" t="e">
        <f>IF(Data!#REF!="","",IF(ISNUMBER(MATCH(Data!#REF!,Data_Val!$B$2:$B$15,0)),0,1))</f>
        <v>#REF!</v>
      </c>
      <c r="S140" s="11" t="str">
        <f>IF(Data!G140="","",IF(Data!G140=Data_Val!$C$2,IF(Data!M140="",0,1),0))</f>
        <v/>
      </c>
      <c r="T140" s="11" t="str">
        <f>IF(Data!M140="","",IF(ISNUMBER(MATCH(Data!N140,Data_Val!$A$2:$A$3,0)),0,1))</f>
        <v/>
      </c>
      <c r="U140" s="11" t="str">
        <f ca="1">IF(Data!M140="","",IF(ISNUMBER(Data!O140),IF(AND(Data!O140&gt;(TODAY()-(Data_Val!$K$3*365.25)),Data!O140&lt;=(TODAY()-(Data_Val!$K$2*365.25))),0,1),1))</f>
        <v/>
      </c>
      <c r="V140" s="12" t="str">
        <f>IF(Data!G140="","",IF(Data!G140=Data_Val!$C$2,IF(Data!P140="",0,1),0))</f>
        <v/>
      </c>
      <c r="W140" s="12" t="str">
        <f>IF(Data!P140="","",IF(ISNUMBER(MATCH(Data!Q140,Data_Val!$A$2:$A$3,0)),0,1))</f>
        <v/>
      </c>
      <c r="X140" s="26" t="str">
        <f ca="1">IF(Data!P140="","",IF(ISNUMBER(Data!R140),IF(AND(Data!R140&gt;(TODAY()-(Data_Val!$L$3*365.25)),Data!R140&lt;=(TODAY()-(Data_Val!$L$2*365.25))),0,1),1))</f>
        <v/>
      </c>
      <c r="Y140" s="13" t="str">
        <f>IF(Data!$G140="","",IF(Data!$G140=Data_Val!$C$2,IF(Data!S140="",0,1),0))</f>
        <v/>
      </c>
      <c r="Z140" s="13" t="str">
        <f>IF(Data!S140="","",IF(ISNUMBER(MATCH(Data!T140,Data_Val!$A$2:$A$3,0)),0,1))</f>
        <v/>
      </c>
      <c r="AA140" s="28" t="str">
        <f ca="1">IF(Data!S140="","",IF(ISNUMBER(Data!U140),IF(AND(Data!U140&gt;(TODAY()-(Data_Val!$L$3*365.25)),Data!U140&lt;=(TODAY()-(Data_Val!$L$2*365.25))),0,1),1))</f>
        <v/>
      </c>
      <c r="AB140" s="11"/>
      <c r="AC140" s="11" t="e">
        <f>IF(Data!#REF!="","",IF(ISNUMBER(MATCH(Data!#REF!,Data_Val!$A$2:$A$3,0)),0,1))</f>
        <v>#REF!</v>
      </c>
      <c r="AD140" s="11" t="e">
        <f ca="1">IF(Data!#REF!="","",IF(ISNUMBER(Data!#REF!),IF(AND(Data!#REF!&gt;(TODAY()-(Data_Val!$L$3*365.25)),Data!#REF!&lt;=(TODAY()-(Data_Val!$L$2*365.25))),0,1),1))</f>
        <v>#REF!</v>
      </c>
      <c r="AE140" s="11" t="e">
        <f>IF(Data!#REF!="","",IF(Data!$G140="",1,IF(ISNUMBER(MATCH(Data!#REF!,Data_Val!$D$2:$D$10,0)),0,1)))</f>
        <v>#REF!</v>
      </c>
      <c r="AF140" s="12"/>
      <c r="AG140" s="12" t="e">
        <f>IF(Data!#REF!="","",IF(ISNUMBER(MATCH(Data!#REF!,Data_Val!$A$2:$A$3,0)),0,1))</f>
        <v>#REF!</v>
      </c>
      <c r="AH140" s="26" t="e">
        <f ca="1">IF(Data!#REF!="","",IF(ISNUMBER(Data!#REF!),IF(AND(Data!#REF!&gt;(TODAY()-(Data_Val!$L$3*365.25)),Data!#REF!&lt;=(TODAY()-(Data_Val!$L$2*365.25))),0,1),1))</f>
        <v>#REF!</v>
      </c>
      <c r="AI140" s="12" t="e">
        <f>IF(Data!#REF!="","",IF(Data!$G140="",1,IF(ISNUMBER(MATCH(Data!#REF!,Data_Val!$D$2:$D$10,0)),0,1)))</f>
        <v>#REF!</v>
      </c>
      <c r="AJ140" s="17"/>
      <c r="AK140" s="17" t="e">
        <f>IF(Data!#REF!="","",IF(ISNUMBER(MATCH(Data!#REF!,Data_Val!$A$2:$A$3,0)),0,1))</f>
        <v>#REF!</v>
      </c>
      <c r="AL140" s="25" t="e">
        <f ca="1">IF(Data!#REF!="","",IF(ISNUMBER(Data!#REF!),IF(AND(Data!#REF!&gt;(TODAY()-(Data_Val!$L$3*365.25)),Data!#REF!&lt;=(TODAY()-(Data_Val!$L$2*365.25))),0,1),1))</f>
        <v>#REF!</v>
      </c>
      <c r="AM140" s="17" t="e">
        <f>IF(Data!#REF!="","",IF(Data!$G140="",1,IF(ISNUMBER(MATCH(Data!#REF!,Data_Val!$D$2:$D$10,0)),0,1)))</f>
        <v>#REF!</v>
      </c>
      <c r="AN140" s="13"/>
      <c r="AO140" s="28" t="e">
        <f ca="1">IF(Data!#REF!="","",IF(ISNUMBER(Data!#REF!),IF(AND(Data!#REF!&gt;(TODAY()-(Data_Val!$I$3*365.25)),Data!#REF!&lt;=(TODAY()-(Data_Val!$I$2*365.25))),0,1),1))</f>
        <v>#REF!</v>
      </c>
      <c r="AP140" s="13" t="e">
        <f>IF(Data!#REF!="","",IF(Data!$G140="",1,IF(ISNUMBER(MATCH(Data!#REF!,Data_Val!$D$2:$D$10,0)),0,1)))</f>
        <v>#REF!</v>
      </c>
      <c r="AQ140" s="17"/>
      <c r="AR140" s="30" t="e">
        <f ca="1">IF(Data!#REF!="","",IF(ISNUMBER(Data!#REF!),IF(AND(Data!#REF!&gt;(TODAY()-(Data_Val!$I$3*365.25)),Data!#REF!&lt;=(TODAY()-(Data_Val!$I$2*365.25))),0,1),1))</f>
        <v>#REF!</v>
      </c>
      <c r="AS140" s="31" t="e">
        <f>IF(Data!#REF!="","",IF(Data!$G140="",1,IF(ISNUMBER(MATCH(Data!#REF!,Data_Val!$D$2:$D$10,0)),0,1)))</f>
        <v>#REF!</v>
      </c>
      <c r="AT140" s="11"/>
      <c r="AU140" s="11" t="e">
        <f ca="1">IF(Data!#REF!="","",IF(ISNUMBER(Data!#REF!),IF(AND(Data!#REF!&gt;(TODAY()-(Data_Val!$I$3*365.25)),Data!#REF!&lt;=(TODAY()-(Data_Val!$I$2*365.25))),0,1),1))</f>
        <v>#REF!</v>
      </c>
      <c r="AV140" s="11" t="e">
        <f>IF(Data!#REF!="","",IF(Data!$G140="",1,IF(ISNUMBER(MATCH(Data!#REF!,Data_Val!$D$2:$D$10,0)),0,1)))</f>
        <v>#REF!</v>
      </c>
      <c r="AW140" s="12"/>
      <c r="AX140" s="26" t="e">
        <f ca="1">IF(Data!#REF!="","",IF(ISNUMBER(Data!#REF!),IF(AND(Data!#REF!&gt;(TODAY()-(Data_Val!$I$3*365.25)),Data!#REF!&lt;=(TODAY()-(Data_Val!$I$2*365.25))),0,1),1))</f>
        <v>#REF!</v>
      </c>
      <c r="AY140" s="12" t="e">
        <f>IF(Data!#REF!="","",IF(Data!$G140="",1,IF(ISNUMBER(MATCH(Data!#REF!,Data_Val!$D$2:$D$10,0)),0,1)))</f>
        <v>#REF!</v>
      </c>
      <c r="AZ140" s="11"/>
      <c r="BA140" s="19" t="e">
        <f ca="1">IF(Data!#REF!="","",IF(ISNUMBER(Data!#REF!),IF(AND(Data!#REF!&gt;(TODAY()-(Data_Val!$M$3*365.25)),Data!#REF!&lt;=(TODAY()-(Data_Val!$M$2*365.25))),0,1),1))</f>
        <v>#REF!</v>
      </c>
      <c r="BB140" s="11" t="e">
        <f>IF(Data!#REF!="","",IF(Data!$G140="",1,IF(ISNUMBER(MATCH(Data!#REF!,Data_Val!$D$2:$D$10,0)),0,1)))</f>
        <v>#REF!</v>
      </c>
      <c r="BC140" s="12"/>
      <c r="BD140" s="20" t="e">
        <f ca="1">IF(Data!#REF!="","",IF(ISNUMBER(Data!#REF!),IF(AND(Data!#REF!&gt;(TODAY()-(Data_Val!$M$3*365.25)),Data!#REF!&lt;=(TODAY()-(Data_Val!$M$2*365.25))),0,1),1))</f>
        <v>#REF!</v>
      </c>
      <c r="BE140" s="12" t="e">
        <f>IF(Data!#REF!="","",IF(Data!$G140="",1,IF(ISNUMBER(MATCH(Data!#REF!,Data_Val!$D$2:$D$10,0)),0,1)))</f>
        <v>#REF!</v>
      </c>
      <c r="BF140" s="17"/>
      <c r="BG140" s="18" t="e">
        <f ca="1">IF(Data!#REF!="","",IF(ISNUMBER(Data!#REF!),IF(AND(Data!#REF!&gt;(TODAY()-(Data_Val!$M$3*365.25)),Data!#REF!&lt;=(TODAY()-(Data_Val!$M$2*365.25))),0,1),1))</f>
        <v>#REF!</v>
      </c>
      <c r="BH140" s="29" t="e">
        <f>IF(Data!#REF!="","",IF(Data!$G140="",1,IF(ISNUMBER(MATCH(Data!#REF!,Data_Val!$D$2:$D$10,0)),0,1)))</f>
        <v>#REF!</v>
      </c>
      <c r="BI140" s="13"/>
      <c r="BJ140" s="21" t="e">
        <f ca="1">IF(Data!#REF!="","",IF(ISNUMBER(Data!#REF!),IF(AND(Data!#REF!&gt;(TODAY()-(Data_Val!$M$3*365.25)),Data!#REF!&lt;=(TODAY()-(Data_Val!$M$2*365.25))),0,1),1))</f>
        <v>#REF!</v>
      </c>
      <c r="BK140" s="13" t="e">
        <f>IF(Data!#REF!="","",IF(Data!$G140="",1,IF(ISNUMBER(MATCH(Data!#REF!,Data_Val!$D$2:$D$10,0)),0,1)))</f>
        <v>#REF!</v>
      </c>
    </row>
    <row r="141" spans="1:63" x14ac:dyDescent="0.25">
      <c r="A141" s="9" t="str">
        <f>IF(Data!B141="","",IF(COUNTIFS(Data!A$1:'Data'!A141,Data!A141)&lt;=1,0,1))</f>
        <v/>
      </c>
      <c r="B141" s="9"/>
      <c r="C141" s="23" t="str">
        <f>IF(Data!C141="","",(IF(ISNUMBER(MATCH("*@*.?*",Data!C141,0)),0,1)+IF(COUNTIFS(Data!C$1:'Data'!C141,Data!C141)&gt;1,1,0)))</f>
        <v/>
      </c>
      <c r="D141" s="9" t="str">
        <f>IF(Data!B141="","",IF(ISNUMBER(Data!D141),IF(AND(Data!D141&gt;999999999,Data!D141&lt;=9999999999),IF(COUNTIFS(Data!D$1:'Data'!D141,Data!D141)&lt;=1,0,1),1),1))</f>
        <v/>
      </c>
      <c r="E141" s="9" t="str">
        <f>IF(Data!B141="","",IF(ISNUMBER(MATCH(Data!E141,Data_Val!$A$2:$A$3,0)),0,1))</f>
        <v/>
      </c>
      <c r="F141" s="9" t="str">
        <f ca="1">IF(Data!B141="","",IF(ISNUMBER(Data!F141),IF(AND(Data!F141&gt;(TODAY()-(Data_Val!$H$3*365.25)),Data!F141&lt;=(TODAY()-(Data_Val!$H$2*365.25))),0,1),1))</f>
        <v/>
      </c>
      <c r="G141" s="15" t="str">
        <f>IF(Data!B141="","",IF(AND(Data!G141="",Data!H141&lt;&gt;""),1,IF(Data!#REF!&lt;&gt;"",0,IF(ISNUMBER(MATCH(Data!G141,Data_Val!$C$2:$C$5,0)),0,1))))</f>
        <v/>
      </c>
      <c r="H141" s="15" t="str">
        <f>IF(Data!B141="","",IF(AND(Data!G141&lt;&gt;"",Data!H141=""),1,IF(Data!#REF!&lt;&gt;"",0,IF(Data!G141="",1,IF(ISNUMBER(MATCH(Data!H141,Data_Val!$D$2:$D$35,0)),0,1)))))</f>
        <v/>
      </c>
      <c r="I141" s="15" t="str">
        <f>IF(Data!B141="","",IF(Data!G141&lt;&gt;"",0,IF(ISNUMBER(MATCH(Data!#REF!,Data_Val!$E$2:$E$12,0)),0,1)))</f>
        <v/>
      </c>
      <c r="J141" s="16" t="e">
        <f>IF(OR(Data!B141="",Data!#REF!=""),"",IF(Data!#REF!="",1,0))</f>
        <v>#REF!</v>
      </c>
      <c r="K141" s="16" t="e">
        <f>IF(OR(Data!B141="",Data!#REF!=""),"",IF(Data!#REF!="",1,0))</f>
        <v>#REF!</v>
      </c>
      <c r="L141" s="16" t="e">
        <f>IF(OR(Data!B141="",Data!#REF!=""),"",IF(ISNUMBER(Data!#REF!),IF(AND(Data!#REF!&gt;Data_Val!$G$2,Data!#REF!&lt;=Data_Val!$G$3),0,1),1))</f>
        <v>#REF!</v>
      </c>
      <c r="M141" s="9" t="e">
        <f>IF(OR(Data!B141="",Data!#REF!=""),"",IF(ISNUMBER(MATCH(Data!#REF!,Data_Val!$F$1:$F$38,0)),0,1))</f>
        <v>#REF!</v>
      </c>
      <c r="N141" s="9" t="e">
        <f>IF(OR(Data!B141="",Data!#REF!=""),"",IF(Data!#REF!="",1,0))</f>
        <v>#REF!</v>
      </c>
      <c r="O141" s="17" t="e">
        <f>IF(Data!#REF!="","",IF(Data!#REF!="",1,0))</f>
        <v>#REF!</v>
      </c>
      <c r="P141" s="17" t="e">
        <f>IF(Data!#REF!="","",IF(ISNUMBER(MATCH(Data!#REF!,Data_Val!$A$2:$A$3,0)),0,1))</f>
        <v>#REF!</v>
      </c>
      <c r="Q141" s="25" t="e">
        <f ca="1">IF(Data!#REF!="","",IF(ISNUMBER(Data!#REF!),IF(AND(Data!#REF!&gt;(TODAY()-(Data_Val!$J$3*365.25)),Data!#REF!&lt;=(TODAY()-(Data_Val!$J$2*365.25))),0,1),1))</f>
        <v>#REF!</v>
      </c>
      <c r="R141" s="17" t="e">
        <f>IF(Data!#REF!="","",IF(ISNUMBER(MATCH(Data!#REF!,Data_Val!$B$2:$B$15,0)),0,1))</f>
        <v>#REF!</v>
      </c>
      <c r="S141" s="11" t="str">
        <f>IF(Data!G141="","",IF(Data!G141=Data_Val!$C$2,IF(Data!M141="",0,1),0))</f>
        <v/>
      </c>
      <c r="T141" s="11" t="str">
        <f>IF(Data!M141="","",IF(ISNUMBER(MATCH(Data!N141,Data_Val!$A$2:$A$3,0)),0,1))</f>
        <v/>
      </c>
      <c r="U141" s="11" t="str">
        <f ca="1">IF(Data!M141="","",IF(ISNUMBER(Data!O141),IF(AND(Data!O141&gt;(TODAY()-(Data_Val!$K$3*365.25)),Data!O141&lt;=(TODAY()-(Data_Val!$K$2*365.25))),0,1),1))</f>
        <v/>
      </c>
      <c r="V141" s="12" t="str">
        <f>IF(Data!G141="","",IF(Data!G141=Data_Val!$C$2,IF(Data!P141="",0,1),0))</f>
        <v/>
      </c>
      <c r="W141" s="12" t="str">
        <f>IF(Data!P141="","",IF(ISNUMBER(MATCH(Data!Q141,Data_Val!$A$2:$A$3,0)),0,1))</f>
        <v/>
      </c>
      <c r="X141" s="26" t="str">
        <f ca="1">IF(Data!P141="","",IF(ISNUMBER(Data!R141),IF(AND(Data!R141&gt;(TODAY()-(Data_Val!$L$3*365.25)),Data!R141&lt;=(TODAY()-(Data_Val!$L$2*365.25))),0,1),1))</f>
        <v/>
      </c>
      <c r="Y141" s="13" t="str">
        <f>IF(Data!$G141="","",IF(Data!$G141=Data_Val!$C$2,IF(Data!S141="",0,1),0))</f>
        <v/>
      </c>
      <c r="Z141" s="13" t="str">
        <f>IF(Data!S141="","",IF(ISNUMBER(MATCH(Data!T141,Data_Val!$A$2:$A$3,0)),0,1))</f>
        <v/>
      </c>
      <c r="AA141" s="28" t="str">
        <f ca="1">IF(Data!S141="","",IF(ISNUMBER(Data!U141),IF(AND(Data!U141&gt;(TODAY()-(Data_Val!$L$3*365.25)),Data!U141&lt;=(TODAY()-(Data_Val!$L$2*365.25))),0,1),1))</f>
        <v/>
      </c>
      <c r="AB141" s="11"/>
      <c r="AC141" s="11" t="e">
        <f>IF(Data!#REF!="","",IF(ISNUMBER(MATCH(Data!#REF!,Data_Val!$A$2:$A$3,0)),0,1))</f>
        <v>#REF!</v>
      </c>
      <c r="AD141" s="11" t="e">
        <f ca="1">IF(Data!#REF!="","",IF(ISNUMBER(Data!#REF!),IF(AND(Data!#REF!&gt;(TODAY()-(Data_Val!$L$3*365.25)),Data!#REF!&lt;=(TODAY()-(Data_Val!$L$2*365.25))),0,1),1))</f>
        <v>#REF!</v>
      </c>
      <c r="AE141" s="11" t="e">
        <f>IF(Data!#REF!="","",IF(Data!$G141="",1,IF(ISNUMBER(MATCH(Data!#REF!,Data_Val!$D$2:$D$10,0)),0,1)))</f>
        <v>#REF!</v>
      </c>
      <c r="AF141" s="12"/>
      <c r="AG141" s="12" t="e">
        <f>IF(Data!#REF!="","",IF(ISNUMBER(MATCH(Data!#REF!,Data_Val!$A$2:$A$3,0)),0,1))</f>
        <v>#REF!</v>
      </c>
      <c r="AH141" s="26" t="e">
        <f ca="1">IF(Data!#REF!="","",IF(ISNUMBER(Data!#REF!),IF(AND(Data!#REF!&gt;(TODAY()-(Data_Val!$L$3*365.25)),Data!#REF!&lt;=(TODAY()-(Data_Val!$L$2*365.25))),0,1),1))</f>
        <v>#REF!</v>
      </c>
      <c r="AI141" s="12" t="e">
        <f>IF(Data!#REF!="","",IF(Data!$G141="",1,IF(ISNUMBER(MATCH(Data!#REF!,Data_Val!$D$2:$D$10,0)),0,1)))</f>
        <v>#REF!</v>
      </c>
      <c r="AJ141" s="17"/>
      <c r="AK141" s="17" t="e">
        <f>IF(Data!#REF!="","",IF(ISNUMBER(MATCH(Data!#REF!,Data_Val!$A$2:$A$3,0)),0,1))</f>
        <v>#REF!</v>
      </c>
      <c r="AL141" s="25" t="e">
        <f ca="1">IF(Data!#REF!="","",IF(ISNUMBER(Data!#REF!),IF(AND(Data!#REF!&gt;(TODAY()-(Data_Val!$L$3*365.25)),Data!#REF!&lt;=(TODAY()-(Data_Val!$L$2*365.25))),0,1),1))</f>
        <v>#REF!</v>
      </c>
      <c r="AM141" s="17" t="e">
        <f>IF(Data!#REF!="","",IF(Data!$G141="",1,IF(ISNUMBER(MATCH(Data!#REF!,Data_Val!$D$2:$D$10,0)),0,1)))</f>
        <v>#REF!</v>
      </c>
      <c r="AN141" s="13"/>
      <c r="AO141" s="28" t="e">
        <f ca="1">IF(Data!#REF!="","",IF(ISNUMBER(Data!#REF!),IF(AND(Data!#REF!&gt;(TODAY()-(Data_Val!$I$3*365.25)),Data!#REF!&lt;=(TODAY()-(Data_Val!$I$2*365.25))),0,1),1))</f>
        <v>#REF!</v>
      </c>
      <c r="AP141" s="13" t="e">
        <f>IF(Data!#REF!="","",IF(Data!$G141="",1,IF(ISNUMBER(MATCH(Data!#REF!,Data_Val!$D$2:$D$10,0)),0,1)))</f>
        <v>#REF!</v>
      </c>
      <c r="AQ141" s="17"/>
      <c r="AR141" s="30" t="e">
        <f ca="1">IF(Data!#REF!="","",IF(ISNUMBER(Data!#REF!),IF(AND(Data!#REF!&gt;(TODAY()-(Data_Val!$I$3*365.25)),Data!#REF!&lt;=(TODAY()-(Data_Val!$I$2*365.25))),0,1),1))</f>
        <v>#REF!</v>
      </c>
      <c r="AS141" s="31" t="e">
        <f>IF(Data!#REF!="","",IF(Data!$G141="",1,IF(ISNUMBER(MATCH(Data!#REF!,Data_Val!$D$2:$D$10,0)),0,1)))</f>
        <v>#REF!</v>
      </c>
      <c r="AT141" s="11"/>
      <c r="AU141" s="11" t="e">
        <f ca="1">IF(Data!#REF!="","",IF(ISNUMBER(Data!#REF!),IF(AND(Data!#REF!&gt;(TODAY()-(Data_Val!$I$3*365.25)),Data!#REF!&lt;=(TODAY()-(Data_Val!$I$2*365.25))),0,1),1))</f>
        <v>#REF!</v>
      </c>
      <c r="AV141" s="11" t="e">
        <f>IF(Data!#REF!="","",IF(Data!$G141="",1,IF(ISNUMBER(MATCH(Data!#REF!,Data_Val!$D$2:$D$10,0)),0,1)))</f>
        <v>#REF!</v>
      </c>
      <c r="AW141" s="12"/>
      <c r="AX141" s="26" t="e">
        <f ca="1">IF(Data!#REF!="","",IF(ISNUMBER(Data!#REF!),IF(AND(Data!#REF!&gt;(TODAY()-(Data_Val!$I$3*365.25)),Data!#REF!&lt;=(TODAY()-(Data_Val!$I$2*365.25))),0,1),1))</f>
        <v>#REF!</v>
      </c>
      <c r="AY141" s="12" t="e">
        <f>IF(Data!#REF!="","",IF(Data!$G141="",1,IF(ISNUMBER(MATCH(Data!#REF!,Data_Val!$D$2:$D$10,0)),0,1)))</f>
        <v>#REF!</v>
      </c>
      <c r="AZ141" s="11"/>
      <c r="BA141" s="19" t="e">
        <f ca="1">IF(Data!#REF!="","",IF(ISNUMBER(Data!#REF!),IF(AND(Data!#REF!&gt;(TODAY()-(Data_Val!$M$3*365.25)),Data!#REF!&lt;=(TODAY()-(Data_Val!$M$2*365.25))),0,1),1))</f>
        <v>#REF!</v>
      </c>
      <c r="BB141" s="11" t="e">
        <f>IF(Data!#REF!="","",IF(Data!$G141="",1,IF(ISNUMBER(MATCH(Data!#REF!,Data_Val!$D$2:$D$10,0)),0,1)))</f>
        <v>#REF!</v>
      </c>
      <c r="BC141" s="12"/>
      <c r="BD141" s="20" t="e">
        <f ca="1">IF(Data!#REF!="","",IF(ISNUMBER(Data!#REF!),IF(AND(Data!#REF!&gt;(TODAY()-(Data_Val!$M$3*365.25)),Data!#REF!&lt;=(TODAY()-(Data_Val!$M$2*365.25))),0,1),1))</f>
        <v>#REF!</v>
      </c>
      <c r="BE141" s="12" t="e">
        <f>IF(Data!#REF!="","",IF(Data!$G141="",1,IF(ISNUMBER(MATCH(Data!#REF!,Data_Val!$D$2:$D$10,0)),0,1)))</f>
        <v>#REF!</v>
      </c>
      <c r="BF141" s="17"/>
      <c r="BG141" s="18" t="e">
        <f ca="1">IF(Data!#REF!="","",IF(ISNUMBER(Data!#REF!),IF(AND(Data!#REF!&gt;(TODAY()-(Data_Val!$M$3*365.25)),Data!#REF!&lt;=(TODAY()-(Data_Val!$M$2*365.25))),0,1),1))</f>
        <v>#REF!</v>
      </c>
      <c r="BH141" s="29" t="e">
        <f>IF(Data!#REF!="","",IF(Data!$G141="",1,IF(ISNUMBER(MATCH(Data!#REF!,Data_Val!$D$2:$D$10,0)),0,1)))</f>
        <v>#REF!</v>
      </c>
      <c r="BI141" s="13"/>
      <c r="BJ141" s="21" t="e">
        <f ca="1">IF(Data!#REF!="","",IF(ISNUMBER(Data!#REF!),IF(AND(Data!#REF!&gt;(TODAY()-(Data_Val!$M$3*365.25)),Data!#REF!&lt;=(TODAY()-(Data_Val!$M$2*365.25))),0,1),1))</f>
        <v>#REF!</v>
      </c>
      <c r="BK141" s="13" t="e">
        <f>IF(Data!#REF!="","",IF(Data!$G141="",1,IF(ISNUMBER(MATCH(Data!#REF!,Data_Val!$D$2:$D$10,0)),0,1)))</f>
        <v>#REF!</v>
      </c>
    </row>
    <row r="142" spans="1:63" x14ac:dyDescent="0.25">
      <c r="A142" s="9" t="str">
        <f>IF(Data!B142="","",IF(COUNTIFS(Data!A$1:'Data'!A142,Data!A142)&lt;=1,0,1))</f>
        <v/>
      </c>
      <c r="B142" s="9"/>
      <c r="C142" s="23" t="str">
        <f>IF(Data!C142="","",(IF(ISNUMBER(MATCH("*@*.?*",Data!C142,0)),0,1)+IF(COUNTIFS(Data!C$1:'Data'!C142,Data!C142)&gt;1,1,0)))</f>
        <v/>
      </c>
      <c r="D142" s="9" t="str">
        <f>IF(Data!B142="","",IF(ISNUMBER(Data!D142),IF(AND(Data!D142&gt;999999999,Data!D142&lt;=9999999999),IF(COUNTIFS(Data!D$1:'Data'!D142,Data!D142)&lt;=1,0,1),1),1))</f>
        <v/>
      </c>
      <c r="E142" s="9" t="str">
        <f>IF(Data!B142="","",IF(ISNUMBER(MATCH(Data!E142,Data_Val!$A$2:$A$3,0)),0,1))</f>
        <v/>
      </c>
      <c r="F142" s="9" t="str">
        <f ca="1">IF(Data!B142="","",IF(ISNUMBER(Data!F142),IF(AND(Data!F142&gt;(TODAY()-(Data_Val!$H$3*365.25)),Data!F142&lt;=(TODAY()-(Data_Val!$H$2*365.25))),0,1),1))</f>
        <v/>
      </c>
      <c r="G142" s="15" t="str">
        <f>IF(Data!B142="","",IF(AND(Data!G142="",Data!H142&lt;&gt;""),1,IF(Data!#REF!&lt;&gt;"",0,IF(ISNUMBER(MATCH(Data!G142,Data_Val!$C$2:$C$5,0)),0,1))))</f>
        <v/>
      </c>
      <c r="H142" s="15" t="str">
        <f>IF(Data!B142="","",IF(AND(Data!G142&lt;&gt;"",Data!H142=""),1,IF(Data!#REF!&lt;&gt;"",0,IF(Data!G142="",1,IF(ISNUMBER(MATCH(Data!H142,Data_Val!$D$2:$D$35,0)),0,1)))))</f>
        <v/>
      </c>
      <c r="I142" s="15" t="str">
        <f>IF(Data!B142="","",IF(Data!G142&lt;&gt;"",0,IF(ISNUMBER(MATCH(Data!#REF!,Data_Val!$E$2:$E$12,0)),0,1)))</f>
        <v/>
      </c>
      <c r="J142" s="16" t="e">
        <f>IF(OR(Data!B142="",Data!#REF!=""),"",IF(Data!#REF!="",1,0))</f>
        <v>#REF!</v>
      </c>
      <c r="K142" s="16" t="e">
        <f>IF(OR(Data!B142="",Data!#REF!=""),"",IF(Data!#REF!="",1,0))</f>
        <v>#REF!</v>
      </c>
      <c r="L142" s="16" t="e">
        <f>IF(OR(Data!B142="",Data!#REF!=""),"",IF(ISNUMBER(Data!#REF!),IF(AND(Data!#REF!&gt;Data_Val!$G$2,Data!#REF!&lt;=Data_Val!$G$3),0,1),1))</f>
        <v>#REF!</v>
      </c>
      <c r="M142" s="9" t="e">
        <f>IF(OR(Data!B142="",Data!#REF!=""),"",IF(ISNUMBER(MATCH(Data!#REF!,Data_Val!$F$1:$F$38,0)),0,1))</f>
        <v>#REF!</v>
      </c>
      <c r="N142" s="9" t="e">
        <f>IF(OR(Data!B142="",Data!#REF!=""),"",IF(Data!#REF!="",1,0))</f>
        <v>#REF!</v>
      </c>
      <c r="O142" s="17" t="e">
        <f>IF(Data!#REF!="","",IF(Data!#REF!="",1,0))</f>
        <v>#REF!</v>
      </c>
      <c r="P142" s="17" t="e">
        <f>IF(Data!#REF!="","",IF(ISNUMBER(MATCH(Data!#REF!,Data_Val!$A$2:$A$3,0)),0,1))</f>
        <v>#REF!</v>
      </c>
      <c r="Q142" s="25" t="e">
        <f ca="1">IF(Data!#REF!="","",IF(ISNUMBER(Data!#REF!),IF(AND(Data!#REF!&gt;(TODAY()-(Data_Val!$J$3*365.25)),Data!#REF!&lt;=(TODAY()-(Data_Val!$J$2*365.25))),0,1),1))</f>
        <v>#REF!</v>
      </c>
      <c r="R142" s="17" t="e">
        <f>IF(Data!#REF!="","",IF(ISNUMBER(MATCH(Data!#REF!,Data_Val!$B$2:$B$15,0)),0,1))</f>
        <v>#REF!</v>
      </c>
      <c r="S142" s="11" t="str">
        <f>IF(Data!G142="","",IF(Data!G142=Data_Val!$C$2,IF(Data!M142="",0,1),0))</f>
        <v/>
      </c>
      <c r="T142" s="11" t="str">
        <f>IF(Data!M142="","",IF(ISNUMBER(MATCH(Data!N142,Data_Val!$A$2:$A$3,0)),0,1))</f>
        <v/>
      </c>
      <c r="U142" s="11" t="str">
        <f ca="1">IF(Data!M142="","",IF(ISNUMBER(Data!O142),IF(AND(Data!O142&gt;(TODAY()-(Data_Val!$K$3*365.25)),Data!O142&lt;=(TODAY()-(Data_Val!$K$2*365.25))),0,1),1))</f>
        <v/>
      </c>
      <c r="V142" s="12" t="str">
        <f>IF(Data!G142="","",IF(Data!G142=Data_Val!$C$2,IF(Data!P142="",0,1),0))</f>
        <v/>
      </c>
      <c r="W142" s="12" t="str">
        <f>IF(Data!P142="","",IF(ISNUMBER(MATCH(Data!Q142,Data_Val!$A$2:$A$3,0)),0,1))</f>
        <v/>
      </c>
      <c r="X142" s="26" t="str">
        <f ca="1">IF(Data!P142="","",IF(ISNUMBER(Data!R142),IF(AND(Data!R142&gt;(TODAY()-(Data_Val!$L$3*365.25)),Data!R142&lt;=(TODAY()-(Data_Val!$L$2*365.25))),0,1),1))</f>
        <v/>
      </c>
      <c r="Y142" s="13" t="str">
        <f>IF(Data!$G142="","",IF(Data!$G142=Data_Val!$C$2,IF(Data!S142="",0,1),0))</f>
        <v/>
      </c>
      <c r="Z142" s="13" t="str">
        <f>IF(Data!S142="","",IF(ISNUMBER(MATCH(Data!T142,Data_Val!$A$2:$A$3,0)),0,1))</f>
        <v/>
      </c>
      <c r="AA142" s="28" t="str">
        <f ca="1">IF(Data!S142="","",IF(ISNUMBER(Data!U142),IF(AND(Data!U142&gt;(TODAY()-(Data_Val!$L$3*365.25)),Data!U142&lt;=(TODAY()-(Data_Val!$L$2*365.25))),0,1),1))</f>
        <v/>
      </c>
      <c r="AB142" s="11"/>
      <c r="AC142" s="11" t="e">
        <f>IF(Data!#REF!="","",IF(ISNUMBER(MATCH(Data!#REF!,Data_Val!$A$2:$A$3,0)),0,1))</f>
        <v>#REF!</v>
      </c>
      <c r="AD142" s="11" t="e">
        <f ca="1">IF(Data!#REF!="","",IF(ISNUMBER(Data!#REF!),IF(AND(Data!#REF!&gt;(TODAY()-(Data_Val!$L$3*365.25)),Data!#REF!&lt;=(TODAY()-(Data_Val!$L$2*365.25))),0,1),1))</f>
        <v>#REF!</v>
      </c>
      <c r="AE142" s="11" t="e">
        <f>IF(Data!#REF!="","",IF(Data!$G142="",1,IF(ISNUMBER(MATCH(Data!#REF!,Data_Val!$D$2:$D$10,0)),0,1)))</f>
        <v>#REF!</v>
      </c>
      <c r="AF142" s="12"/>
      <c r="AG142" s="12" t="e">
        <f>IF(Data!#REF!="","",IF(ISNUMBER(MATCH(Data!#REF!,Data_Val!$A$2:$A$3,0)),0,1))</f>
        <v>#REF!</v>
      </c>
      <c r="AH142" s="26" t="e">
        <f ca="1">IF(Data!#REF!="","",IF(ISNUMBER(Data!#REF!),IF(AND(Data!#REF!&gt;(TODAY()-(Data_Val!$L$3*365.25)),Data!#REF!&lt;=(TODAY()-(Data_Val!$L$2*365.25))),0,1),1))</f>
        <v>#REF!</v>
      </c>
      <c r="AI142" s="12" t="e">
        <f>IF(Data!#REF!="","",IF(Data!$G142="",1,IF(ISNUMBER(MATCH(Data!#REF!,Data_Val!$D$2:$D$10,0)),0,1)))</f>
        <v>#REF!</v>
      </c>
      <c r="AJ142" s="17"/>
      <c r="AK142" s="17" t="e">
        <f>IF(Data!#REF!="","",IF(ISNUMBER(MATCH(Data!#REF!,Data_Val!$A$2:$A$3,0)),0,1))</f>
        <v>#REF!</v>
      </c>
      <c r="AL142" s="25" t="e">
        <f ca="1">IF(Data!#REF!="","",IF(ISNUMBER(Data!#REF!),IF(AND(Data!#REF!&gt;(TODAY()-(Data_Val!$L$3*365.25)),Data!#REF!&lt;=(TODAY()-(Data_Val!$L$2*365.25))),0,1),1))</f>
        <v>#REF!</v>
      </c>
      <c r="AM142" s="17" t="e">
        <f>IF(Data!#REF!="","",IF(Data!$G142="",1,IF(ISNUMBER(MATCH(Data!#REF!,Data_Val!$D$2:$D$10,0)),0,1)))</f>
        <v>#REF!</v>
      </c>
      <c r="AN142" s="13"/>
      <c r="AO142" s="28" t="e">
        <f ca="1">IF(Data!#REF!="","",IF(ISNUMBER(Data!#REF!),IF(AND(Data!#REF!&gt;(TODAY()-(Data_Val!$I$3*365.25)),Data!#REF!&lt;=(TODAY()-(Data_Val!$I$2*365.25))),0,1),1))</f>
        <v>#REF!</v>
      </c>
      <c r="AP142" s="13" t="e">
        <f>IF(Data!#REF!="","",IF(Data!$G142="",1,IF(ISNUMBER(MATCH(Data!#REF!,Data_Val!$D$2:$D$10,0)),0,1)))</f>
        <v>#REF!</v>
      </c>
      <c r="AQ142" s="17"/>
      <c r="AR142" s="30" t="e">
        <f ca="1">IF(Data!#REF!="","",IF(ISNUMBER(Data!#REF!),IF(AND(Data!#REF!&gt;(TODAY()-(Data_Val!$I$3*365.25)),Data!#REF!&lt;=(TODAY()-(Data_Val!$I$2*365.25))),0,1),1))</f>
        <v>#REF!</v>
      </c>
      <c r="AS142" s="31" t="e">
        <f>IF(Data!#REF!="","",IF(Data!$G142="",1,IF(ISNUMBER(MATCH(Data!#REF!,Data_Val!$D$2:$D$10,0)),0,1)))</f>
        <v>#REF!</v>
      </c>
      <c r="AT142" s="11"/>
      <c r="AU142" s="11" t="e">
        <f ca="1">IF(Data!#REF!="","",IF(ISNUMBER(Data!#REF!),IF(AND(Data!#REF!&gt;(TODAY()-(Data_Val!$I$3*365.25)),Data!#REF!&lt;=(TODAY()-(Data_Val!$I$2*365.25))),0,1),1))</f>
        <v>#REF!</v>
      </c>
      <c r="AV142" s="11" t="e">
        <f>IF(Data!#REF!="","",IF(Data!$G142="",1,IF(ISNUMBER(MATCH(Data!#REF!,Data_Val!$D$2:$D$10,0)),0,1)))</f>
        <v>#REF!</v>
      </c>
      <c r="AW142" s="12"/>
      <c r="AX142" s="26" t="e">
        <f ca="1">IF(Data!#REF!="","",IF(ISNUMBER(Data!#REF!),IF(AND(Data!#REF!&gt;(TODAY()-(Data_Val!$I$3*365.25)),Data!#REF!&lt;=(TODAY()-(Data_Val!$I$2*365.25))),0,1),1))</f>
        <v>#REF!</v>
      </c>
      <c r="AY142" s="12" t="e">
        <f>IF(Data!#REF!="","",IF(Data!$G142="",1,IF(ISNUMBER(MATCH(Data!#REF!,Data_Val!$D$2:$D$10,0)),0,1)))</f>
        <v>#REF!</v>
      </c>
      <c r="AZ142" s="11"/>
      <c r="BA142" s="19" t="e">
        <f ca="1">IF(Data!#REF!="","",IF(ISNUMBER(Data!#REF!),IF(AND(Data!#REF!&gt;(TODAY()-(Data_Val!$M$3*365.25)),Data!#REF!&lt;=(TODAY()-(Data_Val!$M$2*365.25))),0,1),1))</f>
        <v>#REF!</v>
      </c>
      <c r="BB142" s="11" t="e">
        <f>IF(Data!#REF!="","",IF(Data!$G142="",1,IF(ISNUMBER(MATCH(Data!#REF!,Data_Val!$D$2:$D$10,0)),0,1)))</f>
        <v>#REF!</v>
      </c>
      <c r="BC142" s="12"/>
      <c r="BD142" s="20" t="e">
        <f ca="1">IF(Data!#REF!="","",IF(ISNUMBER(Data!#REF!),IF(AND(Data!#REF!&gt;(TODAY()-(Data_Val!$M$3*365.25)),Data!#REF!&lt;=(TODAY()-(Data_Val!$M$2*365.25))),0,1),1))</f>
        <v>#REF!</v>
      </c>
      <c r="BE142" s="12" t="e">
        <f>IF(Data!#REF!="","",IF(Data!$G142="",1,IF(ISNUMBER(MATCH(Data!#REF!,Data_Val!$D$2:$D$10,0)),0,1)))</f>
        <v>#REF!</v>
      </c>
      <c r="BF142" s="17"/>
      <c r="BG142" s="18" t="e">
        <f ca="1">IF(Data!#REF!="","",IF(ISNUMBER(Data!#REF!),IF(AND(Data!#REF!&gt;(TODAY()-(Data_Val!$M$3*365.25)),Data!#REF!&lt;=(TODAY()-(Data_Val!$M$2*365.25))),0,1),1))</f>
        <v>#REF!</v>
      </c>
      <c r="BH142" s="29" t="e">
        <f>IF(Data!#REF!="","",IF(Data!$G142="",1,IF(ISNUMBER(MATCH(Data!#REF!,Data_Val!$D$2:$D$10,0)),0,1)))</f>
        <v>#REF!</v>
      </c>
      <c r="BI142" s="13"/>
      <c r="BJ142" s="21" t="e">
        <f ca="1">IF(Data!#REF!="","",IF(ISNUMBER(Data!#REF!),IF(AND(Data!#REF!&gt;(TODAY()-(Data_Val!$M$3*365.25)),Data!#REF!&lt;=(TODAY()-(Data_Val!$M$2*365.25))),0,1),1))</f>
        <v>#REF!</v>
      </c>
      <c r="BK142" s="13" t="e">
        <f>IF(Data!#REF!="","",IF(Data!$G142="",1,IF(ISNUMBER(MATCH(Data!#REF!,Data_Val!$D$2:$D$10,0)),0,1)))</f>
        <v>#REF!</v>
      </c>
    </row>
    <row r="143" spans="1:63" x14ac:dyDescent="0.25">
      <c r="A143" s="9" t="str">
        <f>IF(Data!B143="","",IF(COUNTIFS(Data!A$1:'Data'!A143,Data!A143)&lt;=1,0,1))</f>
        <v/>
      </c>
      <c r="B143" s="9"/>
      <c r="C143" s="23" t="str">
        <f>IF(Data!C143="","",(IF(ISNUMBER(MATCH("*@*.?*",Data!C143,0)),0,1)+IF(COUNTIFS(Data!C$1:'Data'!C143,Data!C143)&gt;1,1,0)))</f>
        <v/>
      </c>
      <c r="D143" s="9" t="str">
        <f>IF(Data!B143="","",IF(ISNUMBER(Data!D143),IF(AND(Data!D143&gt;999999999,Data!D143&lt;=9999999999),IF(COUNTIFS(Data!D$1:'Data'!D143,Data!D143)&lt;=1,0,1),1),1))</f>
        <v/>
      </c>
      <c r="E143" s="9" t="str">
        <f>IF(Data!B143="","",IF(ISNUMBER(MATCH(Data!E143,Data_Val!$A$2:$A$3,0)),0,1))</f>
        <v/>
      </c>
      <c r="F143" s="9" t="str">
        <f ca="1">IF(Data!B143="","",IF(ISNUMBER(Data!F143),IF(AND(Data!F143&gt;(TODAY()-(Data_Val!$H$3*365.25)),Data!F143&lt;=(TODAY()-(Data_Val!$H$2*365.25))),0,1),1))</f>
        <v/>
      </c>
      <c r="G143" s="15" t="str">
        <f>IF(Data!B143="","",IF(AND(Data!G143="",Data!H143&lt;&gt;""),1,IF(Data!#REF!&lt;&gt;"",0,IF(ISNUMBER(MATCH(Data!G143,Data_Val!$C$2:$C$5,0)),0,1))))</f>
        <v/>
      </c>
      <c r="H143" s="15" t="str">
        <f>IF(Data!B143="","",IF(AND(Data!G143&lt;&gt;"",Data!H143=""),1,IF(Data!#REF!&lt;&gt;"",0,IF(Data!G143="",1,IF(ISNUMBER(MATCH(Data!H143,Data_Val!$D$2:$D$35,0)),0,1)))))</f>
        <v/>
      </c>
      <c r="I143" s="15" t="str">
        <f>IF(Data!B143="","",IF(Data!G143&lt;&gt;"",0,IF(ISNUMBER(MATCH(Data!#REF!,Data_Val!$E$2:$E$12,0)),0,1)))</f>
        <v/>
      </c>
      <c r="J143" s="16" t="e">
        <f>IF(OR(Data!B143="",Data!#REF!=""),"",IF(Data!#REF!="",1,0))</f>
        <v>#REF!</v>
      </c>
      <c r="K143" s="16" t="e">
        <f>IF(OR(Data!B143="",Data!#REF!=""),"",IF(Data!#REF!="",1,0))</f>
        <v>#REF!</v>
      </c>
      <c r="L143" s="16" t="e">
        <f>IF(OR(Data!B143="",Data!#REF!=""),"",IF(ISNUMBER(Data!#REF!),IF(AND(Data!#REF!&gt;Data_Val!$G$2,Data!#REF!&lt;=Data_Val!$G$3),0,1),1))</f>
        <v>#REF!</v>
      </c>
      <c r="M143" s="9" t="e">
        <f>IF(OR(Data!B143="",Data!#REF!=""),"",IF(ISNUMBER(MATCH(Data!#REF!,Data_Val!$F$1:$F$38,0)),0,1))</f>
        <v>#REF!</v>
      </c>
      <c r="N143" s="9" t="e">
        <f>IF(OR(Data!B143="",Data!#REF!=""),"",IF(Data!#REF!="",1,0))</f>
        <v>#REF!</v>
      </c>
      <c r="O143" s="17" t="e">
        <f>IF(Data!#REF!="","",IF(Data!#REF!="",1,0))</f>
        <v>#REF!</v>
      </c>
      <c r="P143" s="17" t="e">
        <f>IF(Data!#REF!="","",IF(ISNUMBER(MATCH(Data!#REF!,Data_Val!$A$2:$A$3,0)),0,1))</f>
        <v>#REF!</v>
      </c>
      <c r="Q143" s="25" t="e">
        <f ca="1">IF(Data!#REF!="","",IF(ISNUMBER(Data!#REF!),IF(AND(Data!#REF!&gt;(TODAY()-(Data_Val!$J$3*365.25)),Data!#REF!&lt;=(TODAY()-(Data_Val!$J$2*365.25))),0,1),1))</f>
        <v>#REF!</v>
      </c>
      <c r="R143" s="17" t="e">
        <f>IF(Data!#REF!="","",IF(ISNUMBER(MATCH(Data!#REF!,Data_Val!$B$2:$B$15,0)),0,1))</f>
        <v>#REF!</v>
      </c>
      <c r="S143" s="11" t="str">
        <f>IF(Data!G143="","",IF(Data!G143=Data_Val!$C$2,IF(Data!M143="",0,1),0))</f>
        <v/>
      </c>
      <c r="T143" s="11" t="str">
        <f>IF(Data!M143="","",IF(ISNUMBER(MATCH(Data!N143,Data_Val!$A$2:$A$3,0)),0,1))</f>
        <v/>
      </c>
      <c r="U143" s="11" t="str">
        <f ca="1">IF(Data!M143="","",IF(ISNUMBER(Data!O143),IF(AND(Data!O143&gt;(TODAY()-(Data_Val!$K$3*365.25)),Data!O143&lt;=(TODAY()-(Data_Val!$K$2*365.25))),0,1),1))</f>
        <v/>
      </c>
      <c r="V143" s="12" t="str">
        <f>IF(Data!G143="","",IF(Data!G143=Data_Val!$C$2,IF(Data!P143="",0,1),0))</f>
        <v/>
      </c>
      <c r="W143" s="12" t="str">
        <f>IF(Data!P143="","",IF(ISNUMBER(MATCH(Data!Q143,Data_Val!$A$2:$A$3,0)),0,1))</f>
        <v/>
      </c>
      <c r="X143" s="26" t="str">
        <f ca="1">IF(Data!P143="","",IF(ISNUMBER(Data!R143),IF(AND(Data!R143&gt;(TODAY()-(Data_Val!$L$3*365.25)),Data!R143&lt;=(TODAY()-(Data_Val!$L$2*365.25))),0,1),1))</f>
        <v/>
      </c>
      <c r="Y143" s="13" t="str">
        <f>IF(Data!$G143="","",IF(Data!$G143=Data_Val!$C$2,IF(Data!S143="",0,1),0))</f>
        <v/>
      </c>
      <c r="Z143" s="13" t="str">
        <f>IF(Data!S143="","",IF(ISNUMBER(MATCH(Data!T143,Data_Val!$A$2:$A$3,0)),0,1))</f>
        <v/>
      </c>
      <c r="AA143" s="28" t="str">
        <f ca="1">IF(Data!S143="","",IF(ISNUMBER(Data!U143),IF(AND(Data!U143&gt;(TODAY()-(Data_Val!$L$3*365.25)),Data!U143&lt;=(TODAY()-(Data_Val!$L$2*365.25))),0,1),1))</f>
        <v/>
      </c>
      <c r="AB143" s="11"/>
      <c r="AC143" s="11" t="e">
        <f>IF(Data!#REF!="","",IF(ISNUMBER(MATCH(Data!#REF!,Data_Val!$A$2:$A$3,0)),0,1))</f>
        <v>#REF!</v>
      </c>
      <c r="AD143" s="11" t="e">
        <f ca="1">IF(Data!#REF!="","",IF(ISNUMBER(Data!#REF!),IF(AND(Data!#REF!&gt;(TODAY()-(Data_Val!$L$3*365.25)),Data!#REF!&lt;=(TODAY()-(Data_Val!$L$2*365.25))),0,1),1))</f>
        <v>#REF!</v>
      </c>
      <c r="AE143" s="11" t="e">
        <f>IF(Data!#REF!="","",IF(Data!$G143="",1,IF(ISNUMBER(MATCH(Data!#REF!,Data_Val!$D$2:$D$10,0)),0,1)))</f>
        <v>#REF!</v>
      </c>
      <c r="AF143" s="12"/>
      <c r="AG143" s="12" t="e">
        <f>IF(Data!#REF!="","",IF(ISNUMBER(MATCH(Data!#REF!,Data_Val!$A$2:$A$3,0)),0,1))</f>
        <v>#REF!</v>
      </c>
      <c r="AH143" s="26" t="e">
        <f ca="1">IF(Data!#REF!="","",IF(ISNUMBER(Data!#REF!),IF(AND(Data!#REF!&gt;(TODAY()-(Data_Val!$L$3*365.25)),Data!#REF!&lt;=(TODAY()-(Data_Val!$L$2*365.25))),0,1),1))</f>
        <v>#REF!</v>
      </c>
      <c r="AI143" s="12" t="e">
        <f>IF(Data!#REF!="","",IF(Data!$G143="",1,IF(ISNUMBER(MATCH(Data!#REF!,Data_Val!$D$2:$D$10,0)),0,1)))</f>
        <v>#REF!</v>
      </c>
      <c r="AJ143" s="17"/>
      <c r="AK143" s="17" t="e">
        <f>IF(Data!#REF!="","",IF(ISNUMBER(MATCH(Data!#REF!,Data_Val!$A$2:$A$3,0)),0,1))</f>
        <v>#REF!</v>
      </c>
      <c r="AL143" s="25" t="e">
        <f ca="1">IF(Data!#REF!="","",IF(ISNUMBER(Data!#REF!),IF(AND(Data!#REF!&gt;(TODAY()-(Data_Val!$L$3*365.25)),Data!#REF!&lt;=(TODAY()-(Data_Val!$L$2*365.25))),0,1),1))</f>
        <v>#REF!</v>
      </c>
      <c r="AM143" s="17" t="e">
        <f>IF(Data!#REF!="","",IF(Data!$G143="",1,IF(ISNUMBER(MATCH(Data!#REF!,Data_Val!$D$2:$D$10,0)),0,1)))</f>
        <v>#REF!</v>
      </c>
      <c r="AN143" s="13"/>
      <c r="AO143" s="28" t="e">
        <f ca="1">IF(Data!#REF!="","",IF(ISNUMBER(Data!#REF!),IF(AND(Data!#REF!&gt;(TODAY()-(Data_Val!$I$3*365.25)),Data!#REF!&lt;=(TODAY()-(Data_Val!$I$2*365.25))),0,1),1))</f>
        <v>#REF!</v>
      </c>
      <c r="AP143" s="13" t="e">
        <f>IF(Data!#REF!="","",IF(Data!$G143="",1,IF(ISNUMBER(MATCH(Data!#REF!,Data_Val!$D$2:$D$10,0)),0,1)))</f>
        <v>#REF!</v>
      </c>
      <c r="AQ143" s="17"/>
      <c r="AR143" s="30" t="e">
        <f ca="1">IF(Data!#REF!="","",IF(ISNUMBER(Data!#REF!),IF(AND(Data!#REF!&gt;(TODAY()-(Data_Val!$I$3*365.25)),Data!#REF!&lt;=(TODAY()-(Data_Val!$I$2*365.25))),0,1),1))</f>
        <v>#REF!</v>
      </c>
      <c r="AS143" s="31" t="e">
        <f>IF(Data!#REF!="","",IF(Data!$G143="",1,IF(ISNUMBER(MATCH(Data!#REF!,Data_Val!$D$2:$D$10,0)),0,1)))</f>
        <v>#REF!</v>
      </c>
      <c r="AT143" s="11"/>
      <c r="AU143" s="11" t="e">
        <f ca="1">IF(Data!#REF!="","",IF(ISNUMBER(Data!#REF!),IF(AND(Data!#REF!&gt;(TODAY()-(Data_Val!$I$3*365.25)),Data!#REF!&lt;=(TODAY()-(Data_Val!$I$2*365.25))),0,1),1))</f>
        <v>#REF!</v>
      </c>
      <c r="AV143" s="11" t="e">
        <f>IF(Data!#REF!="","",IF(Data!$G143="",1,IF(ISNUMBER(MATCH(Data!#REF!,Data_Val!$D$2:$D$10,0)),0,1)))</f>
        <v>#REF!</v>
      </c>
      <c r="AW143" s="12"/>
      <c r="AX143" s="26" t="e">
        <f ca="1">IF(Data!#REF!="","",IF(ISNUMBER(Data!#REF!),IF(AND(Data!#REF!&gt;(TODAY()-(Data_Val!$I$3*365.25)),Data!#REF!&lt;=(TODAY()-(Data_Val!$I$2*365.25))),0,1),1))</f>
        <v>#REF!</v>
      </c>
      <c r="AY143" s="12" t="e">
        <f>IF(Data!#REF!="","",IF(Data!$G143="",1,IF(ISNUMBER(MATCH(Data!#REF!,Data_Val!$D$2:$D$10,0)),0,1)))</f>
        <v>#REF!</v>
      </c>
      <c r="AZ143" s="11"/>
      <c r="BA143" s="19" t="e">
        <f ca="1">IF(Data!#REF!="","",IF(ISNUMBER(Data!#REF!),IF(AND(Data!#REF!&gt;(TODAY()-(Data_Val!$M$3*365.25)),Data!#REF!&lt;=(TODAY()-(Data_Val!$M$2*365.25))),0,1),1))</f>
        <v>#REF!</v>
      </c>
      <c r="BB143" s="11" t="e">
        <f>IF(Data!#REF!="","",IF(Data!$G143="",1,IF(ISNUMBER(MATCH(Data!#REF!,Data_Val!$D$2:$D$10,0)),0,1)))</f>
        <v>#REF!</v>
      </c>
      <c r="BC143" s="12"/>
      <c r="BD143" s="20" t="e">
        <f ca="1">IF(Data!#REF!="","",IF(ISNUMBER(Data!#REF!),IF(AND(Data!#REF!&gt;(TODAY()-(Data_Val!$M$3*365.25)),Data!#REF!&lt;=(TODAY()-(Data_Val!$M$2*365.25))),0,1),1))</f>
        <v>#REF!</v>
      </c>
      <c r="BE143" s="12" t="e">
        <f>IF(Data!#REF!="","",IF(Data!$G143="",1,IF(ISNUMBER(MATCH(Data!#REF!,Data_Val!$D$2:$D$10,0)),0,1)))</f>
        <v>#REF!</v>
      </c>
      <c r="BF143" s="17"/>
      <c r="BG143" s="18" t="e">
        <f ca="1">IF(Data!#REF!="","",IF(ISNUMBER(Data!#REF!),IF(AND(Data!#REF!&gt;(TODAY()-(Data_Val!$M$3*365.25)),Data!#REF!&lt;=(TODAY()-(Data_Val!$M$2*365.25))),0,1),1))</f>
        <v>#REF!</v>
      </c>
      <c r="BH143" s="29" t="e">
        <f>IF(Data!#REF!="","",IF(Data!$G143="",1,IF(ISNUMBER(MATCH(Data!#REF!,Data_Val!$D$2:$D$10,0)),0,1)))</f>
        <v>#REF!</v>
      </c>
      <c r="BI143" s="13"/>
      <c r="BJ143" s="21" t="e">
        <f ca="1">IF(Data!#REF!="","",IF(ISNUMBER(Data!#REF!),IF(AND(Data!#REF!&gt;(TODAY()-(Data_Val!$M$3*365.25)),Data!#REF!&lt;=(TODAY()-(Data_Val!$M$2*365.25))),0,1),1))</f>
        <v>#REF!</v>
      </c>
      <c r="BK143" s="13" t="e">
        <f>IF(Data!#REF!="","",IF(Data!$G143="",1,IF(ISNUMBER(MATCH(Data!#REF!,Data_Val!$D$2:$D$10,0)),0,1)))</f>
        <v>#REF!</v>
      </c>
    </row>
    <row r="144" spans="1:63" x14ac:dyDescent="0.25">
      <c r="A144" s="9" t="str">
        <f>IF(Data!B144="","",IF(COUNTIFS(Data!A$1:'Data'!A144,Data!A144)&lt;=1,0,1))</f>
        <v/>
      </c>
      <c r="B144" s="9"/>
      <c r="C144" s="23" t="str">
        <f>IF(Data!C144="","",(IF(ISNUMBER(MATCH("*@*.?*",Data!C144,0)),0,1)+IF(COUNTIFS(Data!C$1:'Data'!C144,Data!C144)&gt;1,1,0)))</f>
        <v/>
      </c>
      <c r="D144" s="9" t="str">
        <f>IF(Data!B144="","",IF(ISNUMBER(Data!D144),IF(AND(Data!D144&gt;999999999,Data!D144&lt;=9999999999),IF(COUNTIFS(Data!D$1:'Data'!D144,Data!D144)&lt;=1,0,1),1),1))</f>
        <v/>
      </c>
      <c r="E144" s="9" t="str">
        <f>IF(Data!B144="","",IF(ISNUMBER(MATCH(Data!E144,Data_Val!$A$2:$A$3,0)),0,1))</f>
        <v/>
      </c>
      <c r="F144" s="9" t="str">
        <f ca="1">IF(Data!B144="","",IF(ISNUMBER(Data!F144),IF(AND(Data!F144&gt;(TODAY()-(Data_Val!$H$3*365.25)),Data!F144&lt;=(TODAY()-(Data_Val!$H$2*365.25))),0,1),1))</f>
        <v/>
      </c>
      <c r="G144" s="15" t="str">
        <f>IF(Data!B144="","",IF(AND(Data!G144="",Data!H144&lt;&gt;""),1,IF(Data!#REF!&lt;&gt;"",0,IF(ISNUMBER(MATCH(Data!G144,Data_Val!$C$2:$C$5,0)),0,1))))</f>
        <v/>
      </c>
      <c r="H144" s="15" t="str">
        <f>IF(Data!B144="","",IF(AND(Data!G144&lt;&gt;"",Data!H144=""),1,IF(Data!#REF!&lt;&gt;"",0,IF(Data!G144="",1,IF(ISNUMBER(MATCH(Data!H144,Data_Val!$D$2:$D$35,0)),0,1)))))</f>
        <v/>
      </c>
      <c r="I144" s="15" t="str">
        <f>IF(Data!B144="","",IF(Data!G144&lt;&gt;"",0,IF(ISNUMBER(MATCH(Data!#REF!,Data_Val!$E$2:$E$12,0)),0,1)))</f>
        <v/>
      </c>
      <c r="J144" s="16" t="e">
        <f>IF(OR(Data!B144="",Data!#REF!=""),"",IF(Data!#REF!="",1,0))</f>
        <v>#REF!</v>
      </c>
      <c r="K144" s="16" t="e">
        <f>IF(OR(Data!B144="",Data!#REF!=""),"",IF(Data!#REF!="",1,0))</f>
        <v>#REF!</v>
      </c>
      <c r="L144" s="16" t="e">
        <f>IF(OR(Data!B144="",Data!#REF!=""),"",IF(ISNUMBER(Data!#REF!),IF(AND(Data!#REF!&gt;Data_Val!$G$2,Data!#REF!&lt;=Data_Val!$G$3),0,1),1))</f>
        <v>#REF!</v>
      </c>
      <c r="M144" s="9" t="e">
        <f>IF(OR(Data!B144="",Data!#REF!=""),"",IF(ISNUMBER(MATCH(Data!#REF!,Data_Val!$F$1:$F$38,0)),0,1))</f>
        <v>#REF!</v>
      </c>
      <c r="N144" s="9" t="e">
        <f>IF(OR(Data!B144="",Data!#REF!=""),"",IF(Data!#REF!="",1,0))</f>
        <v>#REF!</v>
      </c>
      <c r="O144" s="17" t="e">
        <f>IF(Data!#REF!="","",IF(Data!#REF!="",1,0))</f>
        <v>#REF!</v>
      </c>
      <c r="P144" s="17" t="e">
        <f>IF(Data!#REF!="","",IF(ISNUMBER(MATCH(Data!#REF!,Data_Val!$A$2:$A$3,0)),0,1))</f>
        <v>#REF!</v>
      </c>
      <c r="Q144" s="25" t="e">
        <f ca="1">IF(Data!#REF!="","",IF(ISNUMBER(Data!#REF!),IF(AND(Data!#REF!&gt;(TODAY()-(Data_Val!$J$3*365.25)),Data!#REF!&lt;=(TODAY()-(Data_Val!$J$2*365.25))),0,1),1))</f>
        <v>#REF!</v>
      </c>
      <c r="R144" s="17" t="e">
        <f>IF(Data!#REF!="","",IF(ISNUMBER(MATCH(Data!#REF!,Data_Val!$B$2:$B$15,0)),0,1))</f>
        <v>#REF!</v>
      </c>
      <c r="S144" s="11" t="str">
        <f>IF(Data!G144="","",IF(Data!G144=Data_Val!$C$2,IF(Data!M144="",0,1),0))</f>
        <v/>
      </c>
      <c r="T144" s="11" t="str">
        <f>IF(Data!M144="","",IF(ISNUMBER(MATCH(Data!N144,Data_Val!$A$2:$A$3,0)),0,1))</f>
        <v/>
      </c>
      <c r="U144" s="11" t="str">
        <f ca="1">IF(Data!M144="","",IF(ISNUMBER(Data!O144),IF(AND(Data!O144&gt;(TODAY()-(Data_Val!$K$3*365.25)),Data!O144&lt;=(TODAY()-(Data_Val!$K$2*365.25))),0,1),1))</f>
        <v/>
      </c>
      <c r="V144" s="12" t="str">
        <f>IF(Data!G144="","",IF(Data!G144=Data_Val!$C$2,IF(Data!P144="",0,1),0))</f>
        <v/>
      </c>
      <c r="W144" s="12" t="str">
        <f>IF(Data!P144="","",IF(ISNUMBER(MATCH(Data!Q144,Data_Val!$A$2:$A$3,0)),0,1))</f>
        <v/>
      </c>
      <c r="X144" s="26" t="str">
        <f ca="1">IF(Data!P144="","",IF(ISNUMBER(Data!R144),IF(AND(Data!R144&gt;(TODAY()-(Data_Val!$L$3*365.25)),Data!R144&lt;=(TODAY()-(Data_Val!$L$2*365.25))),0,1),1))</f>
        <v/>
      </c>
      <c r="Y144" s="13" t="str">
        <f>IF(Data!$G144="","",IF(Data!$G144=Data_Val!$C$2,IF(Data!S144="",0,1),0))</f>
        <v/>
      </c>
      <c r="Z144" s="13" t="str">
        <f>IF(Data!S144="","",IF(ISNUMBER(MATCH(Data!T144,Data_Val!$A$2:$A$3,0)),0,1))</f>
        <v/>
      </c>
      <c r="AA144" s="28" t="str">
        <f ca="1">IF(Data!S144="","",IF(ISNUMBER(Data!U144),IF(AND(Data!U144&gt;(TODAY()-(Data_Val!$L$3*365.25)),Data!U144&lt;=(TODAY()-(Data_Val!$L$2*365.25))),0,1),1))</f>
        <v/>
      </c>
      <c r="AB144" s="11"/>
      <c r="AC144" s="11" t="e">
        <f>IF(Data!#REF!="","",IF(ISNUMBER(MATCH(Data!#REF!,Data_Val!$A$2:$A$3,0)),0,1))</f>
        <v>#REF!</v>
      </c>
      <c r="AD144" s="11" t="e">
        <f ca="1">IF(Data!#REF!="","",IF(ISNUMBER(Data!#REF!),IF(AND(Data!#REF!&gt;(TODAY()-(Data_Val!$L$3*365.25)),Data!#REF!&lt;=(TODAY()-(Data_Val!$L$2*365.25))),0,1),1))</f>
        <v>#REF!</v>
      </c>
      <c r="AE144" s="11" t="e">
        <f>IF(Data!#REF!="","",IF(Data!$G144="",1,IF(ISNUMBER(MATCH(Data!#REF!,Data_Val!$D$2:$D$10,0)),0,1)))</f>
        <v>#REF!</v>
      </c>
      <c r="AF144" s="12"/>
      <c r="AG144" s="12" t="e">
        <f>IF(Data!#REF!="","",IF(ISNUMBER(MATCH(Data!#REF!,Data_Val!$A$2:$A$3,0)),0,1))</f>
        <v>#REF!</v>
      </c>
      <c r="AH144" s="26" t="e">
        <f ca="1">IF(Data!#REF!="","",IF(ISNUMBER(Data!#REF!),IF(AND(Data!#REF!&gt;(TODAY()-(Data_Val!$L$3*365.25)),Data!#REF!&lt;=(TODAY()-(Data_Val!$L$2*365.25))),0,1),1))</f>
        <v>#REF!</v>
      </c>
      <c r="AI144" s="12" t="e">
        <f>IF(Data!#REF!="","",IF(Data!$G144="",1,IF(ISNUMBER(MATCH(Data!#REF!,Data_Val!$D$2:$D$10,0)),0,1)))</f>
        <v>#REF!</v>
      </c>
      <c r="AJ144" s="17"/>
      <c r="AK144" s="17" t="e">
        <f>IF(Data!#REF!="","",IF(ISNUMBER(MATCH(Data!#REF!,Data_Val!$A$2:$A$3,0)),0,1))</f>
        <v>#REF!</v>
      </c>
      <c r="AL144" s="25" t="e">
        <f ca="1">IF(Data!#REF!="","",IF(ISNUMBER(Data!#REF!),IF(AND(Data!#REF!&gt;(TODAY()-(Data_Val!$L$3*365.25)),Data!#REF!&lt;=(TODAY()-(Data_Val!$L$2*365.25))),0,1),1))</f>
        <v>#REF!</v>
      </c>
      <c r="AM144" s="17" t="e">
        <f>IF(Data!#REF!="","",IF(Data!$G144="",1,IF(ISNUMBER(MATCH(Data!#REF!,Data_Val!$D$2:$D$10,0)),0,1)))</f>
        <v>#REF!</v>
      </c>
      <c r="AN144" s="13"/>
      <c r="AO144" s="28" t="e">
        <f ca="1">IF(Data!#REF!="","",IF(ISNUMBER(Data!#REF!),IF(AND(Data!#REF!&gt;(TODAY()-(Data_Val!$I$3*365.25)),Data!#REF!&lt;=(TODAY()-(Data_Val!$I$2*365.25))),0,1),1))</f>
        <v>#REF!</v>
      </c>
      <c r="AP144" s="13" t="e">
        <f>IF(Data!#REF!="","",IF(Data!$G144="",1,IF(ISNUMBER(MATCH(Data!#REF!,Data_Val!$D$2:$D$10,0)),0,1)))</f>
        <v>#REF!</v>
      </c>
      <c r="AQ144" s="17"/>
      <c r="AR144" s="30" t="e">
        <f ca="1">IF(Data!#REF!="","",IF(ISNUMBER(Data!#REF!),IF(AND(Data!#REF!&gt;(TODAY()-(Data_Val!$I$3*365.25)),Data!#REF!&lt;=(TODAY()-(Data_Val!$I$2*365.25))),0,1),1))</f>
        <v>#REF!</v>
      </c>
      <c r="AS144" s="31" t="e">
        <f>IF(Data!#REF!="","",IF(Data!$G144="",1,IF(ISNUMBER(MATCH(Data!#REF!,Data_Val!$D$2:$D$10,0)),0,1)))</f>
        <v>#REF!</v>
      </c>
      <c r="AT144" s="11"/>
      <c r="AU144" s="11" t="e">
        <f ca="1">IF(Data!#REF!="","",IF(ISNUMBER(Data!#REF!),IF(AND(Data!#REF!&gt;(TODAY()-(Data_Val!$I$3*365.25)),Data!#REF!&lt;=(TODAY()-(Data_Val!$I$2*365.25))),0,1),1))</f>
        <v>#REF!</v>
      </c>
      <c r="AV144" s="11" t="e">
        <f>IF(Data!#REF!="","",IF(Data!$G144="",1,IF(ISNUMBER(MATCH(Data!#REF!,Data_Val!$D$2:$D$10,0)),0,1)))</f>
        <v>#REF!</v>
      </c>
      <c r="AW144" s="12"/>
      <c r="AX144" s="26" t="e">
        <f ca="1">IF(Data!#REF!="","",IF(ISNUMBER(Data!#REF!),IF(AND(Data!#REF!&gt;(TODAY()-(Data_Val!$I$3*365.25)),Data!#REF!&lt;=(TODAY()-(Data_Val!$I$2*365.25))),0,1),1))</f>
        <v>#REF!</v>
      </c>
      <c r="AY144" s="12" t="e">
        <f>IF(Data!#REF!="","",IF(Data!$G144="",1,IF(ISNUMBER(MATCH(Data!#REF!,Data_Val!$D$2:$D$10,0)),0,1)))</f>
        <v>#REF!</v>
      </c>
      <c r="AZ144" s="11"/>
      <c r="BA144" s="19" t="e">
        <f ca="1">IF(Data!#REF!="","",IF(ISNUMBER(Data!#REF!),IF(AND(Data!#REF!&gt;(TODAY()-(Data_Val!$M$3*365.25)),Data!#REF!&lt;=(TODAY()-(Data_Val!$M$2*365.25))),0,1),1))</f>
        <v>#REF!</v>
      </c>
      <c r="BB144" s="11" t="e">
        <f>IF(Data!#REF!="","",IF(Data!$G144="",1,IF(ISNUMBER(MATCH(Data!#REF!,Data_Val!$D$2:$D$10,0)),0,1)))</f>
        <v>#REF!</v>
      </c>
      <c r="BC144" s="12"/>
      <c r="BD144" s="20" t="e">
        <f ca="1">IF(Data!#REF!="","",IF(ISNUMBER(Data!#REF!),IF(AND(Data!#REF!&gt;(TODAY()-(Data_Val!$M$3*365.25)),Data!#REF!&lt;=(TODAY()-(Data_Val!$M$2*365.25))),0,1),1))</f>
        <v>#REF!</v>
      </c>
      <c r="BE144" s="12" t="e">
        <f>IF(Data!#REF!="","",IF(Data!$G144="",1,IF(ISNUMBER(MATCH(Data!#REF!,Data_Val!$D$2:$D$10,0)),0,1)))</f>
        <v>#REF!</v>
      </c>
      <c r="BF144" s="17"/>
      <c r="BG144" s="18" t="e">
        <f ca="1">IF(Data!#REF!="","",IF(ISNUMBER(Data!#REF!),IF(AND(Data!#REF!&gt;(TODAY()-(Data_Val!$M$3*365.25)),Data!#REF!&lt;=(TODAY()-(Data_Val!$M$2*365.25))),0,1),1))</f>
        <v>#REF!</v>
      </c>
      <c r="BH144" s="29" t="e">
        <f>IF(Data!#REF!="","",IF(Data!$G144="",1,IF(ISNUMBER(MATCH(Data!#REF!,Data_Val!$D$2:$D$10,0)),0,1)))</f>
        <v>#REF!</v>
      </c>
      <c r="BI144" s="13"/>
      <c r="BJ144" s="21" t="e">
        <f ca="1">IF(Data!#REF!="","",IF(ISNUMBER(Data!#REF!),IF(AND(Data!#REF!&gt;(TODAY()-(Data_Val!$M$3*365.25)),Data!#REF!&lt;=(TODAY()-(Data_Val!$M$2*365.25))),0,1),1))</f>
        <v>#REF!</v>
      </c>
      <c r="BK144" s="13" t="e">
        <f>IF(Data!#REF!="","",IF(Data!$G144="",1,IF(ISNUMBER(MATCH(Data!#REF!,Data_Val!$D$2:$D$10,0)),0,1)))</f>
        <v>#REF!</v>
      </c>
    </row>
    <row r="145" spans="1:63" x14ac:dyDescent="0.25">
      <c r="A145" s="9" t="str">
        <f>IF(Data!B145="","",IF(COUNTIFS(Data!A$1:'Data'!A145,Data!A145)&lt;=1,0,1))</f>
        <v/>
      </c>
      <c r="B145" s="9"/>
      <c r="C145" s="23" t="str">
        <f>IF(Data!C145="","",(IF(ISNUMBER(MATCH("*@*.?*",Data!C145,0)),0,1)+IF(COUNTIFS(Data!C$1:'Data'!C145,Data!C145)&gt;1,1,0)))</f>
        <v/>
      </c>
      <c r="D145" s="9" t="str">
        <f>IF(Data!B145="","",IF(ISNUMBER(Data!D145),IF(AND(Data!D145&gt;999999999,Data!D145&lt;=9999999999),IF(COUNTIFS(Data!D$1:'Data'!D145,Data!D145)&lt;=1,0,1),1),1))</f>
        <v/>
      </c>
      <c r="E145" s="9" t="str">
        <f>IF(Data!B145="","",IF(ISNUMBER(MATCH(Data!E145,Data_Val!$A$2:$A$3,0)),0,1))</f>
        <v/>
      </c>
      <c r="F145" s="9" t="str">
        <f ca="1">IF(Data!B145="","",IF(ISNUMBER(Data!F145),IF(AND(Data!F145&gt;(TODAY()-(Data_Val!$H$3*365.25)),Data!F145&lt;=(TODAY()-(Data_Val!$H$2*365.25))),0,1),1))</f>
        <v/>
      </c>
      <c r="G145" s="15" t="str">
        <f>IF(Data!B145="","",IF(AND(Data!G145="",Data!H145&lt;&gt;""),1,IF(Data!#REF!&lt;&gt;"",0,IF(ISNUMBER(MATCH(Data!G145,Data_Val!$C$2:$C$5,0)),0,1))))</f>
        <v/>
      </c>
      <c r="H145" s="15" t="str">
        <f>IF(Data!B145="","",IF(AND(Data!G145&lt;&gt;"",Data!H145=""),1,IF(Data!#REF!&lt;&gt;"",0,IF(Data!G145="",1,IF(ISNUMBER(MATCH(Data!H145,Data_Val!$D$2:$D$35,0)),0,1)))))</f>
        <v/>
      </c>
      <c r="I145" s="15" t="str">
        <f>IF(Data!B145="","",IF(Data!G145&lt;&gt;"",0,IF(ISNUMBER(MATCH(Data!#REF!,Data_Val!$E$2:$E$12,0)),0,1)))</f>
        <v/>
      </c>
      <c r="J145" s="16" t="e">
        <f>IF(OR(Data!B145="",Data!#REF!=""),"",IF(Data!#REF!="",1,0))</f>
        <v>#REF!</v>
      </c>
      <c r="K145" s="16" t="e">
        <f>IF(OR(Data!B145="",Data!#REF!=""),"",IF(Data!#REF!="",1,0))</f>
        <v>#REF!</v>
      </c>
      <c r="L145" s="16" t="e">
        <f>IF(OR(Data!B145="",Data!#REF!=""),"",IF(ISNUMBER(Data!#REF!),IF(AND(Data!#REF!&gt;Data_Val!$G$2,Data!#REF!&lt;=Data_Val!$G$3),0,1),1))</f>
        <v>#REF!</v>
      </c>
      <c r="M145" s="9" t="e">
        <f>IF(OR(Data!B145="",Data!#REF!=""),"",IF(ISNUMBER(MATCH(Data!#REF!,Data_Val!$F$1:$F$38,0)),0,1))</f>
        <v>#REF!</v>
      </c>
      <c r="N145" s="9" t="e">
        <f>IF(OR(Data!B145="",Data!#REF!=""),"",IF(Data!#REF!="",1,0))</f>
        <v>#REF!</v>
      </c>
      <c r="O145" s="17" t="e">
        <f>IF(Data!#REF!="","",IF(Data!#REF!="",1,0))</f>
        <v>#REF!</v>
      </c>
      <c r="P145" s="17" t="e">
        <f>IF(Data!#REF!="","",IF(ISNUMBER(MATCH(Data!#REF!,Data_Val!$A$2:$A$3,0)),0,1))</f>
        <v>#REF!</v>
      </c>
      <c r="Q145" s="25" t="e">
        <f ca="1">IF(Data!#REF!="","",IF(ISNUMBER(Data!#REF!),IF(AND(Data!#REF!&gt;(TODAY()-(Data_Val!$J$3*365.25)),Data!#REF!&lt;=(TODAY()-(Data_Val!$J$2*365.25))),0,1),1))</f>
        <v>#REF!</v>
      </c>
      <c r="R145" s="17" t="e">
        <f>IF(Data!#REF!="","",IF(ISNUMBER(MATCH(Data!#REF!,Data_Val!$B$2:$B$15,0)),0,1))</f>
        <v>#REF!</v>
      </c>
      <c r="S145" s="11" t="str">
        <f>IF(Data!G145="","",IF(Data!G145=Data_Val!$C$2,IF(Data!M145="",0,1),0))</f>
        <v/>
      </c>
      <c r="T145" s="11" t="str">
        <f>IF(Data!M145="","",IF(ISNUMBER(MATCH(Data!N145,Data_Val!$A$2:$A$3,0)),0,1))</f>
        <v/>
      </c>
      <c r="U145" s="11" t="str">
        <f ca="1">IF(Data!M145="","",IF(ISNUMBER(Data!O145),IF(AND(Data!O145&gt;(TODAY()-(Data_Val!$K$3*365.25)),Data!O145&lt;=(TODAY()-(Data_Val!$K$2*365.25))),0,1),1))</f>
        <v/>
      </c>
      <c r="V145" s="12" t="str">
        <f>IF(Data!G145="","",IF(Data!G145=Data_Val!$C$2,IF(Data!P145="",0,1),0))</f>
        <v/>
      </c>
      <c r="W145" s="12" t="str">
        <f>IF(Data!P145="","",IF(ISNUMBER(MATCH(Data!Q145,Data_Val!$A$2:$A$3,0)),0,1))</f>
        <v/>
      </c>
      <c r="X145" s="26" t="str">
        <f ca="1">IF(Data!P145="","",IF(ISNUMBER(Data!R145),IF(AND(Data!R145&gt;(TODAY()-(Data_Val!$L$3*365.25)),Data!R145&lt;=(TODAY()-(Data_Val!$L$2*365.25))),0,1),1))</f>
        <v/>
      </c>
      <c r="Y145" s="13" t="str">
        <f>IF(Data!$G145="","",IF(Data!$G145=Data_Val!$C$2,IF(Data!S145="",0,1),0))</f>
        <v/>
      </c>
      <c r="Z145" s="13" t="str">
        <f>IF(Data!S145="","",IF(ISNUMBER(MATCH(Data!T145,Data_Val!$A$2:$A$3,0)),0,1))</f>
        <v/>
      </c>
      <c r="AA145" s="28" t="str">
        <f ca="1">IF(Data!S145="","",IF(ISNUMBER(Data!U145),IF(AND(Data!U145&gt;(TODAY()-(Data_Val!$L$3*365.25)),Data!U145&lt;=(TODAY()-(Data_Val!$L$2*365.25))),0,1),1))</f>
        <v/>
      </c>
      <c r="AB145" s="11"/>
      <c r="AC145" s="11" t="e">
        <f>IF(Data!#REF!="","",IF(ISNUMBER(MATCH(Data!#REF!,Data_Val!$A$2:$A$3,0)),0,1))</f>
        <v>#REF!</v>
      </c>
      <c r="AD145" s="11" t="e">
        <f ca="1">IF(Data!#REF!="","",IF(ISNUMBER(Data!#REF!),IF(AND(Data!#REF!&gt;(TODAY()-(Data_Val!$L$3*365.25)),Data!#REF!&lt;=(TODAY()-(Data_Val!$L$2*365.25))),0,1),1))</f>
        <v>#REF!</v>
      </c>
      <c r="AE145" s="11" t="e">
        <f>IF(Data!#REF!="","",IF(Data!$G145="",1,IF(ISNUMBER(MATCH(Data!#REF!,Data_Val!$D$2:$D$10,0)),0,1)))</f>
        <v>#REF!</v>
      </c>
      <c r="AF145" s="12"/>
      <c r="AG145" s="12" t="e">
        <f>IF(Data!#REF!="","",IF(ISNUMBER(MATCH(Data!#REF!,Data_Val!$A$2:$A$3,0)),0,1))</f>
        <v>#REF!</v>
      </c>
      <c r="AH145" s="26" t="e">
        <f ca="1">IF(Data!#REF!="","",IF(ISNUMBER(Data!#REF!),IF(AND(Data!#REF!&gt;(TODAY()-(Data_Val!$L$3*365.25)),Data!#REF!&lt;=(TODAY()-(Data_Val!$L$2*365.25))),0,1),1))</f>
        <v>#REF!</v>
      </c>
      <c r="AI145" s="12" t="e">
        <f>IF(Data!#REF!="","",IF(Data!$G145="",1,IF(ISNUMBER(MATCH(Data!#REF!,Data_Val!$D$2:$D$10,0)),0,1)))</f>
        <v>#REF!</v>
      </c>
      <c r="AJ145" s="17"/>
      <c r="AK145" s="17" t="e">
        <f>IF(Data!#REF!="","",IF(ISNUMBER(MATCH(Data!#REF!,Data_Val!$A$2:$A$3,0)),0,1))</f>
        <v>#REF!</v>
      </c>
      <c r="AL145" s="25" t="e">
        <f ca="1">IF(Data!#REF!="","",IF(ISNUMBER(Data!#REF!),IF(AND(Data!#REF!&gt;(TODAY()-(Data_Val!$L$3*365.25)),Data!#REF!&lt;=(TODAY()-(Data_Val!$L$2*365.25))),0,1),1))</f>
        <v>#REF!</v>
      </c>
      <c r="AM145" s="17" t="e">
        <f>IF(Data!#REF!="","",IF(Data!$G145="",1,IF(ISNUMBER(MATCH(Data!#REF!,Data_Val!$D$2:$D$10,0)),0,1)))</f>
        <v>#REF!</v>
      </c>
      <c r="AN145" s="13"/>
      <c r="AO145" s="28" t="e">
        <f ca="1">IF(Data!#REF!="","",IF(ISNUMBER(Data!#REF!),IF(AND(Data!#REF!&gt;(TODAY()-(Data_Val!$I$3*365.25)),Data!#REF!&lt;=(TODAY()-(Data_Val!$I$2*365.25))),0,1),1))</f>
        <v>#REF!</v>
      </c>
      <c r="AP145" s="13" t="e">
        <f>IF(Data!#REF!="","",IF(Data!$G145="",1,IF(ISNUMBER(MATCH(Data!#REF!,Data_Val!$D$2:$D$10,0)),0,1)))</f>
        <v>#REF!</v>
      </c>
      <c r="AQ145" s="17"/>
      <c r="AR145" s="30" t="e">
        <f ca="1">IF(Data!#REF!="","",IF(ISNUMBER(Data!#REF!),IF(AND(Data!#REF!&gt;(TODAY()-(Data_Val!$I$3*365.25)),Data!#REF!&lt;=(TODAY()-(Data_Val!$I$2*365.25))),0,1),1))</f>
        <v>#REF!</v>
      </c>
      <c r="AS145" s="31" t="e">
        <f>IF(Data!#REF!="","",IF(Data!$G145="",1,IF(ISNUMBER(MATCH(Data!#REF!,Data_Val!$D$2:$D$10,0)),0,1)))</f>
        <v>#REF!</v>
      </c>
      <c r="AT145" s="11"/>
      <c r="AU145" s="11" t="e">
        <f ca="1">IF(Data!#REF!="","",IF(ISNUMBER(Data!#REF!),IF(AND(Data!#REF!&gt;(TODAY()-(Data_Val!$I$3*365.25)),Data!#REF!&lt;=(TODAY()-(Data_Val!$I$2*365.25))),0,1),1))</f>
        <v>#REF!</v>
      </c>
      <c r="AV145" s="11" t="e">
        <f>IF(Data!#REF!="","",IF(Data!$G145="",1,IF(ISNUMBER(MATCH(Data!#REF!,Data_Val!$D$2:$D$10,0)),0,1)))</f>
        <v>#REF!</v>
      </c>
      <c r="AW145" s="12"/>
      <c r="AX145" s="26" t="e">
        <f ca="1">IF(Data!#REF!="","",IF(ISNUMBER(Data!#REF!),IF(AND(Data!#REF!&gt;(TODAY()-(Data_Val!$I$3*365.25)),Data!#REF!&lt;=(TODAY()-(Data_Val!$I$2*365.25))),0,1),1))</f>
        <v>#REF!</v>
      </c>
      <c r="AY145" s="12" t="e">
        <f>IF(Data!#REF!="","",IF(Data!$G145="",1,IF(ISNUMBER(MATCH(Data!#REF!,Data_Val!$D$2:$D$10,0)),0,1)))</f>
        <v>#REF!</v>
      </c>
      <c r="AZ145" s="11"/>
      <c r="BA145" s="19" t="e">
        <f ca="1">IF(Data!#REF!="","",IF(ISNUMBER(Data!#REF!),IF(AND(Data!#REF!&gt;(TODAY()-(Data_Val!$M$3*365.25)),Data!#REF!&lt;=(TODAY()-(Data_Val!$M$2*365.25))),0,1),1))</f>
        <v>#REF!</v>
      </c>
      <c r="BB145" s="11" t="e">
        <f>IF(Data!#REF!="","",IF(Data!$G145="",1,IF(ISNUMBER(MATCH(Data!#REF!,Data_Val!$D$2:$D$10,0)),0,1)))</f>
        <v>#REF!</v>
      </c>
      <c r="BC145" s="12"/>
      <c r="BD145" s="20" t="e">
        <f ca="1">IF(Data!#REF!="","",IF(ISNUMBER(Data!#REF!),IF(AND(Data!#REF!&gt;(TODAY()-(Data_Val!$M$3*365.25)),Data!#REF!&lt;=(TODAY()-(Data_Val!$M$2*365.25))),0,1),1))</f>
        <v>#REF!</v>
      </c>
      <c r="BE145" s="12" t="e">
        <f>IF(Data!#REF!="","",IF(Data!$G145="",1,IF(ISNUMBER(MATCH(Data!#REF!,Data_Val!$D$2:$D$10,0)),0,1)))</f>
        <v>#REF!</v>
      </c>
      <c r="BF145" s="17"/>
      <c r="BG145" s="18" t="e">
        <f ca="1">IF(Data!#REF!="","",IF(ISNUMBER(Data!#REF!),IF(AND(Data!#REF!&gt;(TODAY()-(Data_Val!$M$3*365.25)),Data!#REF!&lt;=(TODAY()-(Data_Val!$M$2*365.25))),0,1),1))</f>
        <v>#REF!</v>
      </c>
      <c r="BH145" s="29" t="e">
        <f>IF(Data!#REF!="","",IF(Data!$G145="",1,IF(ISNUMBER(MATCH(Data!#REF!,Data_Val!$D$2:$D$10,0)),0,1)))</f>
        <v>#REF!</v>
      </c>
      <c r="BI145" s="13"/>
      <c r="BJ145" s="21" t="e">
        <f ca="1">IF(Data!#REF!="","",IF(ISNUMBER(Data!#REF!),IF(AND(Data!#REF!&gt;(TODAY()-(Data_Val!$M$3*365.25)),Data!#REF!&lt;=(TODAY()-(Data_Val!$M$2*365.25))),0,1),1))</f>
        <v>#REF!</v>
      </c>
      <c r="BK145" s="13" t="e">
        <f>IF(Data!#REF!="","",IF(Data!$G145="",1,IF(ISNUMBER(MATCH(Data!#REF!,Data_Val!$D$2:$D$10,0)),0,1)))</f>
        <v>#REF!</v>
      </c>
    </row>
    <row r="146" spans="1:63" x14ac:dyDescent="0.25">
      <c r="A146" s="9" t="str">
        <f>IF(Data!B146="","",IF(COUNTIFS(Data!A$1:'Data'!A146,Data!A146)&lt;=1,0,1))</f>
        <v/>
      </c>
      <c r="B146" s="9"/>
      <c r="C146" s="23" t="str">
        <f>IF(Data!C146="","",(IF(ISNUMBER(MATCH("*@*.?*",Data!C146,0)),0,1)+IF(COUNTIFS(Data!C$1:'Data'!C146,Data!C146)&gt;1,1,0)))</f>
        <v/>
      </c>
      <c r="D146" s="9" t="str">
        <f>IF(Data!B146="","",IF(ISNUMBER(Data!D146),IF(AND(Data!D146&gt;999999999,Data!D146&lt;=9999999999),IF(COUNTIFS(Data!D$1:'Data'!D146,Data!D146)&lt;=1,0,1),1),1))</f>
        <v/>
      </c>
      <c r="E146" s="9" t="str">
        <f>IF(Data!B146="","",IF(ISNUMBER(MATCH(Data!E146,Data_Val!$A$2:$A$3,0)),0,1))</f>
        <v/>
      </c>
      <c r="F146" s="9" t="str">
        <f ca="1">IF(Data!B146="","",IF(ISNUMBER(Data!F146),IF(AND(Data!F146&gt;(TODAY()-(Data_Val!$H$3*365.25)),Data!F146&lt;=(TODAY()-(Data_Val!$H$2*365.25))),0,1),1))</f>
        <v/>
      </c>
      <c r="G146" s="15" t="str">
        <f>IF(Data!B146="","",IF(AND(Data!G146="",Data!H146&lt;&gt;""),1,IF(Data!#REF!&lt;&gt;"",0,IF(ISNUMBER(MATCH(Data!G146,Data_Val!$C$2:$C$5,0)),0,1))))</f>
        <v/>
      </c>
      <c r="H146" s="15" t="str">
        <f>IF(Data!B146="","",IF(AND(Data!G146&lt;&gt;"",Data!H146=""),1,IF(Data!#REF!&lt;&gt;"",0,IF(Data!G146="",1,IF(ISNUMBER(MATCH(Data!H146,Data_Val!$D$2:$D$35,0)),0,1)))))</f>
        <v/>
      </c>
      <c r="I146" s="15" t="str">
        <f>IF(Data!B146="","",IF(Data!G146&lt;&gt;"",0,IF(ISNUMBER(MATCH(Data!#REF!,Data_Val!$E$2:$E$12,0)),0,1)))</f>
        <v/>
      </c>
      <c r="J146" s="16" t="e">
        <f>IF(OR(Data!B146="",Data!#REF!=""),"",IF(Data!#REF!="",1,0))</f>
        <v>#REF!</v>
      </c>
      <c r="K146" s="16" t="e">
        <f>IF(OR(Data!B146="",Data!#REF!=""),"",IF(Data!#REF!="",1,0))</f>
        <v>#REF!</v>
      </c>
      <c r="L146" s="16" t="e">
        <f>IF(OR(Data!B146="",Data!#REF!=""),"",IF(ISNUMBER(Data!#REF!),IF(AND(Data!#REF!&gt;Data_Val!$G$2,Data!#REF!&lt;=Data_Val!$G$3),0,1),1))</f>
        <v>#REF!</v>
      </c>
      <c r="M146" s="9" t="e">
        <f>IF(OR(Data!B146="",Data!#REF!=""),"",IF(ISNUMBER(MATCH(Data!#REF!,Data_Val!$F$1:$F$38,0)),0,1))</f>
        <v>#REF!</v>
      </c>
      <c r="N146" s="9" t="e">
        <f>IF(OR(Data!B146="",Data!#REF!=""),"",IF(Data!#REF!="",1,0))</f>
        <v>#REF!</v>
      </c>
      <c r="O146" s="17" t="e">
        <f>IF(Data!#REF!="","",IF(Data!#REF!="",1,0))</f>
        <v>#REF!</v>
      </c>
      <c r="P146" s="17" t="e">
        <f>IF(Data!#REF!="","",IF(ISNUMBER(MATCH(Data!#REF!,Data_Val!$A$2:$A$3,0)),0,1))</f>
        <v>#REF!</v>
      </c>
      <c r="Q146" s="25" t="e">
        <f ca="1">IF(Data!#REF!="","",IF(ISNUMBER(Data!#REF!),IF(AND(Data!#REF!&gt;(TODAY()-(Data_Val!$J$3*365.25)),Data!#REF!&lt;=(TODAY()-(Data_Val!$J$2*365.25))),0,1),1))</f>
        <v>#REF!</v>
      </c>
      <c r="R146" s="17" t="e">
        <f>IF(Data!#REF!="","",IF(ISNUMBER(MATCH(Data!#REF!,Data_Val!$B$2:$B$15,0)),0,1))</f>
        <v>#REF!</v>
      </c>
      <c r="S146" s="11" t="str">
        <f>IF(Data!G146="","",IF(Data!G146=Data_Val!$C$2,IF(Data!M146="",0,1),0))</f>
        <v/>
      </c>
      <c r="T146" s="11" t="str">
        <f>IF(Data!M146="","",IF(ISNUMBER(MATCH(Data!N146,Data_Val!$A$2:$A$3,0)),0,1))</f>
        <v/>
      </c>
      <c r="U146" s="11" t="str">
        <f ca="1">IF(Data!M146="","",IF(ISNUMBER(Data!O146),IF(AND(Data!O146&gt;(TODAY()-(Data_Val!$K$3*365.25)),Data!O146&lt;=(TODAY()-(Data_Val!$K$2*365.25))),0,1),1))</f>
        <v/>
      </c>
      <c r="V146" s="12" t="str">
        <f>IF(Data!G146="","",IF(Data!G146=Data_Val!$C$2,IF(Data!P146="",0,1),0))</f>
        <v/>
      </c>
      <c r="W146" s="12" t="str">
        <f>IF(Data!P146="","",IF(ISNUMBER(MATCH(Data!Q146,Data_Val!$A$2:$A$3,0)),0,1))</f>
        <v/>
      </c>
      <c r="X146" s="26" t="str">
        <f ca="1">IF(Data!P146="","",IF(ISNUMBER(Data!R146),IF(AND(Data!R146&gt;(TODAY()-(Data_Val!$L$3*365.25)),Data!R146&lt;=(TODAY()-(Data_Val!$L$2*365.25))),0,1),1))</f>
        <v/>
      </c>
      <c r="Y146" s="13" t="str">
        <f>IF(Data!$G146="","",IF(Data!$G146=Data_Val!$C$2,IF(Data!S146="",0,1),0))</f>
        <v/>
      </c>
      <c r="Z146" s="13" t="str">
        <f>IF(Data!S146="","",IF(ISNUMBER(MATCH(Data!T146,Data_Val!$A$2:$A$3,0)),0,1))</f>
        <v/>
      </c>
      <c r="AA146" s="28" t="str">
        <f ca="1">IF(Data!S146="","",IF(ISNUMBER(Data!U146),IF(AND(Data!U146&gt;(TODAY()-(Data_Val!$L$3*365.25)),Data!U146&lt;=(TODAY()-(Data_Val!$L$2*365.25))),0,1),1))</f>
        <v/>
      </c>
      <c r="AB146" s="11"/>
      <c r="AC146" s="11" t="e">
        <f>IF(Data!#REF!="","",IF(ISNUMBER(MATCH(Data!#REF!,Data_Val!$A$2:$A$3,0)),0,1))</f>
        <v>#REF!</v>
      </c>
      <c r="AD146" s="11" t="e">
        <f ca="1">IF(Data!#REF!="","",IF(ISNUMBER(Data!#REF!),IF(AND(Data!#REF!&gt;(TODAY()-(Data_Val!$L$3*365.25)),Data!#REF!&lt;=(TODAY()-(Data_Val!$L$2*365.25))),0,1),1))</f>
        <v>#REF!</v>
      </c>
      <c r="AE146" s="11" t="e">
        <f>IF(Data!#REF!="","",IF(Data!$G146="",1,IF(ISNUMBER(MATCH(Data!#REF!,Data_Val!$D$2:$D$10,0)),0,1)))</f>
        <v>#REF!</v>
      </c>
      <c r="AF146" s="12"/>
      <c r="AG146" s="12" t="e">
        <f>IF(Data!#REF!="","",IF(ISNUMBER(MATCH(Data!#REF!,Data_Val!$A$2:$A$3,0)),0,1))</f>
        <v>#REF!</v>
      </c>
      <c r="AH146" s="26" t="e">
        <f ca="1">IF(Data!#REF!="","",IF(ISNUMBER(Data!#REF!),IF(AND(Data!#REF!&gt;(TODAY()-(Data_Val!$L$3*365.25)),Data!#REF!&lt;=(TODAY()-(Data_Val!$L$2*365.25))),0,1),1))</f>
        <v>#REF!</v>
      </c>
      <c r="AI146" s="12" t="e">
        <f>IF(Data!#REF!="","",IF(Data!$G146="",1,IF(ISNUMBER(MATCH(Data!#REF!,Data_Val!$D$2:$D$10,0)),0,1)))</f>
        <v>#REF!</v>
      </c>
      <c r="AJ146" s="17"/>
      <c r="AK146" s="17" t="e">
        <f>IF(Data!#REF!="","",IF(ISNUMBER(MATCH(Data!#REF!,Data_Val!$A$2:$A$3,0)),0,1))</f>
        <v>#REF!</v>
      </c>
      <c r="AL146" s="25" t="e">
        <f ca="1">IF(Data!#REF!="","",IF(ISNUMBER(Data!#REF!),IF(AND(Data!#REF!&gt;(TODAY()-(Data_Val!$L$3*365.25)),Data!#REF!&lt;=(TODAY()-(Data_Val!$L$2*365.25))),0,1),1))</f>
        <v>#REF!</v>
      </c>
      <c r="AM146" s="17" t="e">
        <f>IF(Data!#REF!="","",IF(Data!$G146="",1,IF(ISNUMBER(MATCH(Data!#REF!,Data_Val!$D$2:$D$10,0)),0,1)))</f>
        <v>#REF!</v>
      </c>
      <c r="AN146" s="13"/>
      <c r="AO146" s="28" t="e">
        <f ca="1">IF(Data!#REF!="","",IF(ISNUMBER(Data!#REF!),IF(AND(Data!#REF!&gt;(TODAY()-(Data_Val!$I$3*365.25)),Data!#REF!&lt;=(TODAY()-(Data_Val!$I$2*365.25))),0,1),1))</f>
        <v>#REF!</v>
      </c>
      <c r="AP146" s="13" t="e">
        <f>IF(Data!#REF!="","",IF(Data!$G146="",1,IF(ISNUMBER(MATCH(Data!#REF!,Data_Val!$D$2:$D$10,0)),0,1)))</f>
        <v>#REF!</v>
      </c>
      <c r="AQ146" s="17"/>
      <c r="AR146" s="30" t="e">
        <f ca="1">IF(Data!#REF!="","",IF(ISNUMBER(Data!#REF!),IF(AND(Data!#REF!&gt;(TODAY()-(Data_Val!$I$3*365.25)),Data!#REF!&lt;=(TODAY()-(Data_Val!$I$2*365.25))),0,1),1))</f>
        <v>#REF!</v>
      </c>
      <c r="AS146" s="31" t="e">
        <f>IF(Data!#REF!="","",IF(Data!$G146="",1,IF(ISNUMBER(MATCH(Data!#REF!,Data_Val!$D$2:$D$10,0)),0,1)))</f>
        <v>#REF!</v>
      </c>
      <c r="AT146" s="11"/>
      <c r="AU146" s="11" t="e">
        <f ca="1">IF(Data!#REF!="","",IF(ISNUMBER(Data!#REF!),IF(AND(Data!#REF!&gt;(TODAY()-(Data_Val!$I$3*365.25)),Data!#REF!&lt;=(TODAY()-(Data_Val!$I$2*365.25))),0,1),1))</f>
        <v>#REF!</v>
      </c>
      <c r="AV146" s="11" t="e">
        <f>IF(Data!#REF!="","",IF(Data!$G146="",1,IF(ISNUMBER(MATCH(Data!#REF!,Data_Val!$D$2:$D$10,0)),0,1)))</f>
        <v>#REF!</v>
      </c>
      <c r="AW146" s="12"/>
      <c r="AX146" s="26" t="e">
        <f ca="1">IF(Data!#REF!="","",IF(ISNUMBER(Data!#REF!),IF(AND(Data!#REF!&gt;(TODAY()-(Data_Val!$I$3*365.25)),Data!#REF!&lt;=(TODAY()-(Data_Val!$I$2*365.25))),0,1),1))</f>
        <v>#REF!</v>
      </c>
      <c r="AY146" s="12" t="e">
        <f>IF(Data!#REF!="","",IF(Data!$G146="",1,IF(ISNUMBER(MATCH(Data!#REF!,Data_Val!$D$2:$D$10,0)),0,1)))</f>
        <v>#REF!</v>
      </c>
      <c r="AZ146" s="11"/>
      <c r="BA146" s="19" t="e">
        <f ca="1">IF(Data!#REF!="","",IF(ISNUMBER(Data!#REF!),IF(AND(Data!#REF!&gt;(TODAY()-(Data_Val!$M$3*365.25)),Data!#REF!&lt;=(TODAY()-(Data_Val!$M$2*365.25))),0,1),1))</f>
        <v>#REF!</v>
      </c>
      <c r="BB146" s="11" t="e">
        <f>IF(Data!#REF!="","",IF(Data!$G146="",1,IF(ISNUMBER(MATCH(Data!#REF!,Data_Val!$D$2:$D$10,0)),0,1)))</f>
        <v>#REF!</v>
      </c>
      <c r="BC146" s="12"/>
      <c r="BD146" s="20" t="e">
        <f ca="1">IF(Data!#REF!="","",IF(ISNUMBER(Data!#REF!),IF(AND(Data!#REF!&gt;(TODAY()-(Data_Val!$M$3*365.25)),Data!#REF!&lt;=(TODAY()-(Data_Val!$M$2*365.25))),0,1),1))</f>
        <v>#REF!</v>
      </c>
      <c r="BE146" s="12" t="e">
        <f>IF(Data!#REF!="","",IF(Data!$G146="",1,IF(ISNUMBER(MATCH(Data!#REF!,Data_Val!$D$2:$D$10,0)),0,1)))</f>
        <v>#REF!</v>
      </c>
      <c r="BF146" s="17"/>
      <c r="BG146" s="18" t="e">
        <f ca="1">IF(Data!#REF!="","",IF(ISNUMBER(Data!#REF!),IF(AND(Data!#REF!&gt;(TODAY()-(Data_Val!$M$3*365.25)),Data!#REF!&lt;=(TODAY()-(Data_Val!$M$2*365.25))),0,1),1))</f>
        <v>#REF!</v>
      </c>
      <c r="BH146" s="29" t="e">
        <f>IF(Data!#REF!="","",IF(Data!$G146="",1,IF(ISNUMBER(MATCH(Data!#REF!,Data_Val!$D$2:$D$10,0)),0,1)))</f>
        <v>#REF!</v>
      </c>
      <c r="BI146" s="13"/>
      <c r="BJ146" s="21" t="e">
        <f ca="1">IF(Data!#REF!="","",IF(ISNUMBER(Data!#REF!),IF(AND(Data!#REF!&gt;(TODAY()-(Data_Val!$M$3*365.25)),Data!#REF!&lt;=(TODAY()-(Data_Val!$M$2*365.25))),0,1),1))</f>
        <v>#REF!</v>
      </c>
      <c r="BK146" s="13" t="e">
        <f>IF(Data!#REF!="","",IF(Data!$G146="",1,IF(ISNUMBER(MATCH(Data!#REF!,Data_Val!$D$2:$D$10,0)),0,1)))</f>
        <v>#REF!</v>
      </c>
    </row>
    <row r="147" spans="1:63" x14ac:dyDescent="0.25">
      <c r="A147" s="9" t="str">
        <f>IF(Data!B147="","",IF(COUNTIFS(Data!A$1:'Data'!A147,Data!A147)&lt;=1,0,1))</f>
        <v/>
      </c>
      <c r="B147" s="9"/>
      <c r="C147" s="23" t="str">
        <f>IF(Data!C147="","",(IF(ISNUMBER(MATCH("*@*.?*",Data!C147,0)),0,1)+IF(COUNTIFS(Data!C$1:'Data'!C147,Data!C147)&gt;1,1,0)))</f>
        <v/>
      </c>
      <c r="D147" s="9" t="str">
        <f>IF(Data!B147="","",IF(ISNUMBER(Data!D147),IF(AND(Data!D147&gt;999999999,Data!D147&lt;=9999999999),IF(COUNTIFS(Data!D$1:'Data'!D147,Data!D147)&lt;=1,0,1),1),1))</f>
        <v/>
      </c>
      <c r="E147" s="9" t="str">
        <f>IF(Data!B147="","",IF(ISNUMBER(MATCH(Data!E147,Data_Val!$A$2:$A$3,0)),0,1))</f>
        <v/>
      </c>
      <c r="F147" s="9" t="str">
        <f ca="1">IF(Data!B147="","",IF(ISNUMBER(Data!F147),IF(AND(Data!F147&gt;(TODAY()-(Data_Val!$H$3*365.25)),Data!F147&lt;=(TODAY()-(Data_Val!$H$2*365.25))),0,1),1))</f>
        <v/>
      </c>
      <c r="G147" s="15" t="str">
        <f>IF(Data!B147="","",IF(AND(Data!G147="",Data!H147&lt;&gt;""),1,IF(Data!#REF!&lt;&gt;"",0,IF(ISNUMBER(MATCH(Data!G147,Data_Val!$C$2:$C$5,0)),0,1))))</f>
        <v/>
      </c>
      <c r="H147" s="15" t="str">
        <f>IF(Data!B147="","",IF(AND(Data!G147&lt;&gt;"",Data!H147=""),1,IF(Data!#REF!&lt;&gt;"",0,IF(Data!G147="",1,IF(ISNUMBER(MATCH(Data!H147,Data_Val!$D$2:$D$35,0)),0,1)))))</f>
        <v/>
      </c>
      <c r="I147" s="15" t="str">
        <f>IF(Data!B147="","",IF(Data!G147&lt;&gt;"",0,IF(ISNUMBER(MATCH(Data!#REF!,Data_Val!$E$2:$E$12,0)),0,1)))</f>
        <v/>
      </c>
      <c r="J147" s="16" t="e">
        <f>IF(OR(Data!B147="",Data!#REF!=""),"",IF(Data!#REF!="",1,0))</f>
        <v>#REF!</v>
      </c>
      <c r="K147" s="16" t="e">
        <f>IF(OR(Data!B147="",Data!#REF!=""),"",IF(Data!#REF!="",1,0))</f>
        <v>#REF!</v>
      </c>
      <c r="L147" s="16" t="e">
        <f>IF(OR(Data!B147="",Data!#REF!=""),"",IF(ISNUMBER(Data!#REF!),IF(AND(Data!#REF!&gt;Data_Val!$G$2,Data!#REF!&lt;=Data_Val!$G$3),0,1),1))</f>
        <v>#REF!</v>
      </c>
      <c r="M147" s="9" t="e">
        <f>IF(OR(Data!B147="",Data!#REF!=""),"",IF(ISNUMBER(MATCH(Data!#REF!,Data_Val!$F$1:$F$38,0)),0,1))</f>
        <v>#REF!</v>
      </c>
      <c r="N147" s="9" t="e">
        <f>IF(OR(Data!B147="",Data!#REF!=""),"",IF(Data!#REF!="",1,0))</f>
        <v>#REF!</v>
      </c>
      <c r="O147" s="17" t="e">
        <f>IF(Data!#REF!="","",IF(Data!#REF!="",1,0))</f>
        <v>#REF!</v>
      </c>
      <c r="P147" s="17" t="e">
        <f>IF(Data!#REF!="","",IF(ISNUMBER(MATCH(Data!#REF!,Data_Val!$A$2:$A$3,0)),0,1))</f>
        <v>#REF!</v>
      </c>
      <c r="Q147" s="25" t="e">
        <f ca="1">IF(Data!#REF!="","",IF(ISNUMBER(Data!#REF!),IF(AND(Data!#REF!&gt;(TODAY()-(Data_Val!$J$3*365.25)),Data!#REF!&lt;=(TODAY()-(Data_Val!$J$2*365.25))),0,1),1))</f>
        <v>#REF!</v>
      </c>
      <c r="R147" s="17" t="e">
        <f>IF(Data!#REF!="","",IF(ISNUMBER(MATCH(Data!#REF!,Data_Val!$B$2:$B$15,0)),0,1))</f>
        <v>#REF!</v>
      </c>
      <c r="S147" s="11" t="str">
        <f>IF(Data!G147="","",IF(Data!G147=Data_Val!$C$2,IF(Data!M147="",0,1),0))</f>
        <v/>
      </c>
      <c r="T147" s="11" t="str">
        <f>IF(Data!M147="","",IF(ISNUMBER(MATCH(Data!N147,Data_Val!$A$2:$A$3,0)),0,1))</f>
        <v/>
      </c>
      <c r="U147" s="11" t="str">
        <f ca="1">IF(Data!M147="","",IF(ISNUMBER(Data!O147),IF(AND(Data!O147&gt;(TODAY()-(Data_Val!$K$3*365.25)),Data!O147&lt;=(TODAY()-(Data_Val!$K$2*365.25))),0,1),1))</f>
        <v/>
      </c>
      <c r="V147" s="12" t="str">
        <f>IF(Data!G147="","",IF(Data!G147=Data_Val!$C$2,IF(Data!P147="",0,1),0))</f>
        <v/>
      </c>
      <c r="W147" s="12" t="str">
        <f>IF(Data!P147="","",IF(ISNUMBER(MATCH(Data!Q147,Data_Val!$A$2:$A$3,0)),0,1))</f>
        <v/>
      </c>
      <c r="X147" s="26" t="str">
        <f ca="1">IF(Data!P147="","",IF(ISNUMBER(Data!R147),IF(AND(Data!R147&gt;(TODAY()-(Data_Val!$L$3*365.25)),Data!R147&lt;=(TODAY()-(Data_Val!$L$2*365.25))),0,1),1))</f>
        <v/>
      </c>
      <c r="Y147" s="13" t="str">
        <f>IF(Data!$G147="","",IF(Data!$G147=Data_Val!$C$2,IF(Data!S147="",0,1),0))</f>
        <v/>
      </c>
      <c r="Z147" s="13" t="str">
        <f>IF(Data!S147="","",IF(ISNUMBER(MATCH(Data!T147,Data_Val!$A$2:$A$3,0)),0,1))</f>
        <v/>
      </c>
      <c r="AA147" s="28" t="str">
        <f ca="1">IF(Data!S147="","",IF(ISNUMBER(Data!U147),IF(AND(Data!U147&gt;(TODAY()-(Data_Val!$L$3*365.25)),Data!U147&lt;=(TODAY()-(Data_Val!$L$2*365.25))),0,1),1))</f>
        <v/>
      </c>
      <c r="AB147" s="11"/>
      <c r="AC147" s="11" t="e">
        <f>IF(Data!#REF!="","",IF(ISNUMBER(MATCH(Data!#REF!,Data_Val!$A$2:$A$3,0)),0,1))</f>
        <v>#REF!</v>
      </c>
      <c r="AD147" s="11" t="e">
        <f ca="1">IF(Data!#REF!="","",IF(ISNUMBER(Data!#REF!),IF(AND(Data!#REF!&gt;(TODAY()-(Data_Val!$L$3*365.25)),Data!#REF!&lt;=(TODAY()-(Data_Val!$L$2*365.25))),0,1),1))</f>
        <v>#REF!</v>
      </c>
      <c r="AE147" s="11" t="e">
        <f>IF(Data!#REF!="","",IF(Data!$G147="",1,IF(ISNUMBER(MATCH(Data!#REF!,Data_Val!$D$2:$D$10,0)),0,1)))</f>
        <v>#REF!</v>
      </c>
      <c r="AF147" s="12"/>
      <c r="AG147" s="12" t="e">
        <f>IF(Data!#REF!="","",IF(ISNUMBER(MATCH(Data!#REF!,Data_Val!$A$2:$A$3,0)),0,1))</f>
        <v>#REF!</v>
      </c>
      <c r="AH147" s="26" t="e">
        <f ca="1">IF(Data!#REF!="","",IF(ISNUMBER(Data!#REF!),IF(AND(Data!#REF!&gt;(TODAY()-(Data_Val!$L$3*365.25)),Data!#REF!&lt;=(TODAY()-(Data_Val!$L$2*365.25))),0,1),1))</f>
        <v>#REF!</v>
      </c>
      <c r="AI147" s="12" t="e">
        <f>IF(Data!#REF!="","",IF(Data!$G147="",1,IF(ISNUMBER(MATCH(Data!#REF!,Data_Val!$D$2:$D$10,0)),0,1)))</f>
        <v>#REF!</v>
      </c>
      <c r="AJ147" s="17"/>
      <c r="AK147" s="17" t="e">
        <f>IF(Data!#REF!="","",IF(ISNUMBER(MATCH(Data!#REF!,Data_Val!$A$2:$A$3,0)),0,1))</f>
        <v>#REF!</v>
      </c>
      <c r="AL147" s="25" t="e">
        <f ca="1">IF(Data!#REF!="","",IF(ISNUMBER(Data!#REF!),IF(AND(Data!#REF!&gt;(TODAY()-(Data_Val!$L$3*365.25)),Data!#REF!&lt;=(TODAY()-(Data_Val!$L$2*365.25))),0,1),1))</f>
        <v>#REF!</v>
      </c>
      <c r="AM147" s="17" t="e">
        <f>IF(Data!#REF!="","",IF(Data!$G147="",1,IF(ISNUMBER(MATCH(Data!#REF!,Data_Val!$D$2:$D$10,0)),0,1)))</f>
        <v>#REF!</v>
      </c>
      <c r="AN147" s="13"/>
      <c r="AO147" s="28" t="e">
        <f ca="1">IF(Data!#REF!="","",IF(ISNUMBER(Data!#REF!),IF(AND(Data!#REF!&gt;(TODAY()-(Data_Val!$I$3*365.25)),Data!#REF!&lt;=(TODAY()-(Data_Val!$I$2*365.25))),0,1),1))</f>
        <v>#REF!</v>
      </c>
      <c r="AP147" s="13" t="e">
        <f>IF(Data!#REF!="","",IF(Data!$G147="",1,IF(ISNUMBER(MATCH(Data!#REF!,Data_Val!$D$2:$D$10,0)),0,1)))</f>
        <v>#REF!</v>
      </c>
      <c r="AQ147" s="17"/>
      <c r="AR147" s="30" t="e">
        <f ca="1">IF(Data!#REF!="","",IF(ISNUMBER(Data!#REF!),IF(AND(Data!#REF!&gt;(TODAY()-(Data_Val!$I$3*365.25)),Data!#REF!&lt;=(TODAY()-(Data_Val!$I$2*365.25))),0,1),1))</f>
        <v>#REF!</v>
      </c>
      <c r="AS147" s="31" t="e">
        <f>IF(Data!#REF!="","",IF(Data!$G147="",1,IF(ISNUMBER(MATCH(Data!#REF!,Data_Val!$D$2:$D$10,0)),0,1)))</f>
        <v>#REF!</v>
      </c>
      <c r="AT147" s="11"/>
      <c r="AU147" s="11" t="e">
        <f ca="1">IF(Data!#REF!="","",IF(ISNUMBER(Data!#REF!),IF(AND(Data!#REF!&gt;(TODAY()-(Data_Val!$I$3*365.25)),Data!#REF!&lt;=(TODAY()-(Data_Val!$I$2*365.25))),0,1),1))</f>
        <v>#REF!</v>
      </c>
      <c r="AV147" s="11" t="e">
        <f>IF(Data!#REF!="","",IF(Data!$G147="",1,IF(ISNUMBER(MATCH(Data!#REF!,Data_Val!$D$2:$D$10,0)),0,1)))</f>
        <v>#REF!</v>
      </c>
      <c r="AW147" s="12"/>
      <c r="AX147" s="26" t="e">
        <f ca="1">IF(Data!#REF!="","",IF(ISNUMBER(Data!#REF!),IF(AND(Data!#REF!&gt;(TODAY()-(Data_Val!$I$3*365.25)),Data!#REF!&lt;=(TODAY()-(Data_Val!$I$2*365.25))),0,1),1))</f>
        <v>#REF!</v>
      </c>
      <c r="AY147" s="12" t="e">
        <f>IF(Data!#REF!="","",IF(Data!$G147="",1,IF(ISNUMBER(MATCH(Data!#REF!,Data_Val!$D$2:$D$10,0)),0,1)))</f>
        <v>#REF!</v>
      </c>
      <c r="AZ147" s="11"/>
      <c r="BA147" s="19" t="e">
        <f ca="1">IF(Data!#REF!="","",IF(ISNUMBER(Data!#REF!),IF(AND(Data!#REF!&gt;(TODAY()-(Data_Val!$M$3*365.25)),Data!#REF!&lt;=(TODAY()-(Data_Val!$M$2*365.25))),0,1),1))</f>
        <v>#REF!</v>
      </c>
      <c r="BB147" s="11" t="e">
        <f>IF(Data!#REF!="","",IF(Data!$G147="",1,IF(ISNUMBER(MATCH(Data!#REF!,Data_Val!$D$2:$D$10,0)),0,1)))</f>
        <v>#REF!</v>
      </c>
      <c r="BC147" s="12"/>
      <c r="BD147" s="20" t="e">
        <f ca="1">IF(Data!#REF!="","",IF(ISNUMBER(Data!#REF!),IF(AND(Data!#REF!&gt;(TODAY()-(Data_Val!$M$3*365.25)),Data!#REF!&lt;=(TODAY()-(Data_Val!$M$2*365.25))),0,1),1))</f>
        <v>#REF!</v>
      </c>
      <c r="BE147" s="12" t="e">
        <f>IF(Data!#REF!="","",IF(Data!$G147="",1,IF(ISNUMBER(MATCH(Data!#REF!,Data_Val!$D$2:$D$10,0)),0,1)))</f>
        <v>#REF!</v>
      </c>
      <c r="BF147" s="17"/>
      <c r="BG147" s="18" t="e">
        <f ca="1">IF(Data!#REF!="","",IF(ISNUMBER(Data!#REF!),IF(AND(Data!#REF!&gt;(TODAY()-(Data_Val!$M$3*365.25)),Data!#REF!&lt;=(TODAY()-(Data_Val!$M$2*365.25))),0,1),1))</f>
        <v>#REF!</v>
      </c>
      <c r="BH147" s="29" t="e">
        <f>IF(Data!#REF!="","",IF(Data!$G147="",1,IF(ISNUMBER(MATCH(Data!#REF!,Data_Val!$D$2:$D$10,0)),0,1)))</f>
        <v>#REF!</v>
      </c>
      <c r="BI147" s="13"/>
      <c r="BJ147" s="21" t="e">
        <f ca="1">IF(Data!#REF!="","",IF(ISNUMBER(Data!#REF!),IF(AND(Data!#REF!&gt;(TODAY()-(Data_Val!$M$3*365.25)),Data!#REF!&lt;=(TODAY()-(Data_Val!$M$2*365.25))),0,1),1))</f>
        <v>#REF!</v>
      </c>
      <c r="BK147" s="13" t="e">
        <f>IF(Data!#REF!="","",IF(Data!$G147="",1,IF(ISNUMBER(MATCH(Data!#REF!,Data_Val!$D$2:$D$10,0)),0,1)))</f>
        <v>#REF!</v>
      </c>
    </row>
    <row r="148" spans="1:63" x14ac:dyDescent="0.25">
      <c r="A148" s="9" t="str">
        <f>IF(Data!B148="","",IF(COUNTIFS(Data!A$1:'Data'!A148,Data!A148)&lt;=1,0,1))</f>
        <v/>
      </c>
      <c r="B148" s="9"/>
      <c r="C148" s="23" t="str">
        <f>IF(Data!C148="","",(IF(ISNUMBER(MATCH("*@*.?*",Data!C148,0)),0,1)+IF(COUNTIFS(Data!C$1:'Data'!C148,Data!C148)&gt;1,1,0)))</f>
        <v/>
      </c>
      <c r="D148" s="9" t="str">
        <f>IF(Data!B148="","",IF(ISNUMBER(Data!D148),IF(AND(Data!D148&gt;999999999,Data!D148&lt;=9999999999),IF(COUNTIFS(Data!D$1:'Data'!D148,Data!D148)&lt;=1,0,1),1),1))</f>
        <v/>
      </c>
      <c r="E148" s="9" t="str">
        <f>IF(Data!B148="","",IF(ISNUMBER(MATCH(Data!E148,Data_Val!$A$2:$A$3,0)),0,1))</f>
        <v/>
      </c>
      <c r="F148" s="9" t="str">
        <f ca="1">IF(Data!B148="","",IF(ISNUMBER(Data!F148),IF(AND(Data!F148&gt;(TODAY()-(Data_Val!$H$3*365.25)),Data!F148&lt;=(TODAY()-(Data_Val!$H$2*365.25))),0,1),1))</f>
        <v/>
      </c>
      <c r="G148" s="15" t="str">
        <f>IF(Data!B148="","",IF(AND(Data!G148="",Data!H148&lt;&gt;""),1,IF(Data!#REF!&lt;&gt;"",0,IF(ISNUMBER(MATCH(Data!G148,Data_Val!$C$2:$C$5,0)),0,1))))</f>
        <v/>
      </c>
      <c r="H148" s="15" t="str">
        <f>IF(Data!B148="","",IF(AND(Data!G148&lt;&gt;"",Data!H148=""),1,IF(Data!#REF!&lt;&gt;"",0,IF(Data!G148="",1,IF(ISNUMBER(MATCH(Data!H148,Data_Val!$D$2:$D$35,0)),0,1)))))</f>
        <v/>
      </c>
      <c r="I148" s="15" t="str">
        <f>IF(Data!B148="","",IF(Data!G148&lt;&gt;"",0,IF(ISNUMBER(MATCH(Data!#REF!,Data_Val!$E$2:$E$12,0)),0,1)))</f>
        <v/>
      </c>
      <c r="J148" s="16" t="e">
        <f>IF(OR(Data!B148="",Data!#REF!=""),"",IF(Data!#REF!="",1,0))</f>
        <v>#REF!</v>
      </c>
      <c r="K148" s="16" t="e">
        <f>IF(OR(Data!B148="",Data!#REF!=""),"",IF(Data!#REF!="",1,0))</f>
        <v>#REF!</v>
      </c>
      <c r="L148" s="16" t="e">
        <f>IF(OR(Data!B148="",Data!#REF!=""),"",IF(ISNUMBER(Data!#REF!),IF(AND(Data!#REF!&gt;Data_Val!$G$2,Data!#REF!&lt;=Data_Val!$G$3),0,1),1))</f>
        <v>#REF!</v>
      </c>
      <c r="M148" s="9" t="e">
        <f>IF(OR(Data!B148="",Data!#REF!=""),"",IF(ISNUMBER(MATCH(Data!#REF!,Data_Val!$F$1:$F$38,0)),0,1))</f>
        <v>#REF!</v>
      </c>
      <c r="N148" s="9" t="e">
        <f>IF(OR(Data!B148="",Data!#REF!=""),"",IF(Data!#REF!="",1,0))</f>
        <v>#REF!</v>
      </c>
      <c r="O148" s="17" t="e">
        <f>IF(Data!#REF!="","",IF(Data!#REF!="",1,0))</f>
        <v>#REF!</v>
      </c>
      <c r="P148" s="17" t="e">
        <f>IF(Data!#REF!="","",IF(ISNUMBER(MATCH(Data!#REF!,Data_Val!$A$2:$A$3,0)),0,1))</f>
        <v>#REF!</v>
      </c>
      <c r="Q148" s="25" t="e">
        <f ca="1">IF(Data!#REF!="","",IF(ISNUMBER(Data!#REF!),IF(AND(Data!#REF!&gt;(TODAY()-(Data_Val!$J$3*365.25)),Data!#REF!&lt;=(TODAY()-(Data_Val!$J$2*365.25))),0,1),1))</f>
        <v>#REF!</v>
      </c>
      <c r="R148" s="17" t="e">
        <f>IF(Data!#REF!="","",IF(ISNUMBER(MATCH(Data!#REF!,Data_Val!$B$2:$B$15,0)),0,1))</f>
        <v>#REF!</v>
      </c>
      <c r="S148" s="11" t="str">
        <f>IF(Data!G148="","",IF(Data!G148=Data_Val!$C$2,IF(Data!M148="",0,1),0))</f>
        <v/>
      </c>
      <c r="T148" s="11" t="str">
        <f>IF(Data!M148="","",IF(ISNUMBER(MATCH(Data!N148,Data_Val!$A$2:$A$3,0)),0,1))</f>
        <v/>
      </c>
      <c r="U148" s="11" t="str">
        <f ca="1">IF(Data!M148="","",IF(ISNUMBER(Data!O148),IF(AND(Data!O148&gt;(TODAY()-(Data_Val!$K$3*365.25)),Data!O148&lt;=(TODAY()-(Data_Val!$K$2*365.25))),0,1),1))</f>
        <v/>
      </c>
      <c r="V148" s="12" t="str">
        <f>IF(Data!G148="","",IF(Data!G148=Data_Val!$C$2,IF(Data!P148="",0,1),0))</f>
        <v/>
      </c>
      <c r="W148" s="12" t="str">
        <f>IF(Data!P148="","",IF(ISNUMBER(MATCH(Data!Q148,Data_Val!$A$2:$A$3,0)),0,1))</f>
        <v/>
      </c>
      <c r="X148" s="26" t="str">
        <f ca="1">IF(Data!P148="","",IF(ISNUMBER(Data!R148),IF(AND(Data!R148&gt;(TODAY()-(Data_Val!$L$3*365.25)),Data!R148&lt;=(TODAY()-(Data_Val!$L$2*365.25))),0,1),1))</f>
        <v/>
      </c>
      <c r="Y148" s="13" t="str">
        <f>IF(Data!$G148="","",IF(Data!$G148=Data_Val!$C$2,IF(Data!S148="",0,1),0))</f>
        <v/>
      </c>
      <c r="Z148" s="13" t="str">
        <f>IF(Data!S148="","",IF(ISNUMBER(MATCH(Data!T148,Data_Val!$A$2:$A$3,0)),0,1))</f>
        <v/>
      </c>
      <c r="AA148" s="28" t="str">
        <f ca="1">IF(Data!S148="","",IF(ISNUMBER(Data!U148),IF(AND(Data!U148&gt;(TODAY()-(Data_Val!$L$3*365.25)),Data!U148&lt;=(TODAY()-(Data_Val!$L$2*365.25))),0,1),1))</f>
        <v/>
      </c>
      <c r="AB148" s="11"/>
      <c r="AC148" s="11" t="e">
        <f>IF(Data!#REF!="","",IF(ISNUMBER(MATCH(Data!#REF!,Data_Val!$A$2:$A$3,0)),0,1))</f>
        <v>#REF!</v>
      </c>
      <c r="AD148" s="11" t="e">
        <f ca="1">IF(Data!#REF!="","",IF(ISNUMBER(Data!#REF!),IF(AND(Data!#REF!&gt;(TODAY()-(Data_Val!$L$3*365.25)),Data!#REF!&lt;=(TODAY()-(Data_Val!$L$2*365.25))),0,1),1))</f>
        <v>#REF!</v>
      </c>
      <c r="AE148" s="11" t="e">
        <f>IF(Data!#REF!="","",IF(Data!$G148="",1,IF(ISNUMBER(MATCH(Data!#REF!,Data_Val!$D$2:$D$10,0)),0,1)))</f>
        <v>#REF!</v>
      </c>
      <c r="AF148" s="12"/>
      <c r="AG148" s="12" t="e">
        <f>IF(Data!#REF!="","",IF(ISNUMBER(MATCH(Data!#REF!,Data_Val!$A$2:$A$3,0)),0,1))</f>
        <v>#REF!</v>
      </c>
      <c r="AH148" s="26" t="e">
        <f ca="1">IF(Data!#REF!="","",IF(ISNUMBER(Data!#REF!),IF(AND(Data!#REF!&gt;(TODAY()-(Data_Val!$L$3*365.25)),Data!#REF!&lt;=(TODAY()-(Data_Val!$L$2*365.25))),0,1),1))</f>
        <v>#REF!</v>
      </c>
      <c r="AI148" s="12" t="e">
        <f>IF(Data!#REF!="","",IF(Data!$G148="",1,IF(ISNUMBER(MATCH(Data!#REF!,Data_Val!$D$2:$D$10,0)),0,1)))</f>
        <v>#REF!</v>
      </c>
      <c r="AJ148" s="17"/>
      <c r="AK148" s="17" t="e">
        <f>IF(Data!#REF!="","",IF(ISNUMBER(MATCH(Data!#REF!,Data_Val!$A$2:$A$3,0)),0,1))</f>
        <v>#REF!</v>
      </c>
      <c r="AL148" s="25" t="e">
        <f ca="1">IF(Data!#REF!="","",IF(ISNUMBER(Data!#REF!),IF(AND(Data!#REF!&gt;(TODAY()-(Data_Val!$L$3*365.25)),Data!#REF!&lt;=(TODAY()-(Data_Val!$L$2*365.25))),0,1),1))</f>
        <v>#REF!</v>
      </c>
      <c r="AM148" s="17" t="e">
        <f>IF(Data!#REF!="","",IF(Data!$G148="",1,IF(ISNUMBER(MATCH(Data!#REF!,Data_Val!$D$2:$D$10,0)),0,1)))</f>
        <v>#REF!</v>
      </c>
      <c r="AN148" s="13"/>
      <c r="AO148" s="28" t="e">
        <f ca="1">IF(Data!#REF!="","",IF(ISNUMBER(Data!#REF!),IF(AND(Data!#REF!&gt;(TODAY()-(Data_Val!$I$3*365.25)),Data!#REF!&lt;=(TODAY()-(Data_Val!$I$2*365.25))),0,1),1))</f>
        <v>#REF!</v>
      </c>
      <c r="AP148" s="13" t="e">
        <f>IF(Data!#REF!="","",IF(Data!$G148="",1,IF(ISNUMBER(MATCH(Data!#REF!,Data_Val!$D$2:$D$10,0)),0,1)))</f>
        <v>#REF!</v>
      </c>
      <c r="AQ148" s="17"/>
      <c r="AR148" s="30" t="e">
        <f ca="1">IF(Data!#REF!="","",IF(ISNUMBER(Data!#REF!),IF(AND(Data!#REF!&gt;(TODAY()-(Data_Val!$I$3*365.25)),Data!#REF!&lt;=(TODAY()-(Data_Val!$I$2*365.25))),0,1),1))</f>
        <v>#REF!</v>
      </c>
      <c r="AS148" s="31" t="e">
        <f>IF(Data!#REF!="","",IF(Data!$G148="",1,IF(ISNUMBER(MATCH(Data!#REF!,Data_Val!$D$2:$D$10,0)),0,1)))</f>
        <v>#REF!</v>
      </c>
      <c r="AT148" s="11"/>
      <c r="AU148" s="11" t="e">
        <f ca="1">IF(Data!#REF!="","",IF(ISNUMBER(Data!#REF!),IF(AND(Data!#REF!&gt;(TODAY()-(Data_Val!$I$3*365.25)),Data!#REF!&lt;=(TODAY()-(Data_Val!$I$2*365.25))),0,1),1))</f>
        <v>#REF!</v>
      </c>
      <c r="AV148" s="11" t="e">
        <f>IF(Data!#REF!="","",IF(Data!$G148="",1,IF(ISNUMBER(MATCH(Data!#REF!,Data_Val!$D$2:$D$10,0)),0,1)))</f>
        <v>#REF!</v>
      </c>
      <c r="AW148" s="12"/>
      <c r="AX148" s="26" t="e">
        <f ca="1">IF(Data!#REF!="","",IF(ISNUMBER(Data!#REF!),IF(AND(Data!#REF!&gt;(TODAY()-(Data_Val!$I$3*365.25)),Data!#REF!&lt;=(TODAY()-(Data_Val!$I$2*365.25))),0,1),1))</f>
        <v>#REF!</v>
      </c>
      <c r="AY148" s="12" t="e">
        <f>IF(Data!#REF!="","",IF(Data!$G148="",1,IF(ISNUMBER(MATCH(Data!#REF!,Data_Val!$D$2:$D$10,0)),0,1)))</f>
        <v>#REF!</v>
      </c>
      <c r="AZ148" s="11"/>
      <c r="BA148" s="19" t="e">
        <f ca="1">IF(Data!#REF!="","",IF(ISNUMBER(Data!#REF!),IF(AND(Data!#REF!&gt;(TODAY()-(Data_Val!$M$3*365.25)),Data!#REF!&lt;=(TODAY()-(Data_Val!$M$2*365.25))),0,1),1))</f>
        <v>#REF!</v>
      </c>
      <c r="BB148" s="11" t="e">
        <f>IF(Data!#REF!="","",IF(Data!$G148="",1,IF(ISNUMBER(MATCH(Data!#REF!,Data_Val!$D$2:$D$10,0)),0,1)))</f>
        <v>#REF!</v>
      </c>
      <c r="BC148" s="12"/>
      <c r="BD148" s="20" t="e">
        <f ca="1">IF(Data!#REF!="","",IF(ISNUMBER(Data!#REF!),IF(AND(Data!#REF!&gt;(TODAY()-(Data_Val!$M$3*365.25)),Data!#REF!&lt;=(TODAY()-(Data_Val!$M$2*365.25))),0,1),1))</f>
        <v>#REF!</v>
      </c>
      <c r="BE148" s="12" t="e">
        <f>IF(Data!#REF!="","",IF(Data!$G148="",1,IF(ISNUMBER(MATCH(Data!#REF!,Data_Val!$D$2:$D$10,0)),0,1)))</f>
        <v>#REF!</v>
      </c>
      <c r="BF148" s="17"/>
      <c r="BG148" s="18" t="e">
        <f ca="1">IF(Data!#REF!="","",IF(ISNUMBER(Data!#REF!),IF(AND(Data!#REF!&gt;(TODAY()-(Data_Val!$M$3*365.25)),Data!#REF!&lt;=(TODAY()-(Data_Val!$M$2*365.25))),0,1),1))</f>
        <v>#REF!</v>
      </c>
      <c r="BH148" s="29" t="e">
        <f>IF(Data!#REF!="","",IF(Data!$G148="",1,IF(ISNUMBER(MATCH(Data!#REF!,Data_Val!$D$2:$D$10,0)),0,1)))</f>
        <v>#REF!</v>
      </c>
      <c r="BI148" s="13"/>
      <c r="BJ148" s="21" t="e">
        <f ca="1">IF(Data!#REF!="","",IF(ISNUMBER(Data!#REF!),IF(AND(Data!#REF!&gt;(TODAY()-(Data_Val!$M$3*365.25)),Data!#REF!&lt;=(TODAY()-(Data_Val!$M$2*365.25))),0,1),1))</f>
        <v>#REF!</v>
      </c>
      <c r="BK148" s="13" t="e">
        <f>IF(Data!#REF!="","",IF(Data!$G148="",1,IF(ISNUMBER(MATCH(Data!#REF!,Data_Val!$D$2:$D$10,0)),0,1)))</f>
        <v>#REF!</v>
      </c>
    </row>
    <row r="149" spans="1:63" x14ac:dyDescent="0.25">
      <c r="A149" s="9" t="str">
        <f>IF(Data!B149="","",IF(COUNTIFS(Data!A$1:'Data'!A149,Data!A149)&lt;=1,0,1))</f>
        <v/>
      </c>
      <c r="B149" s="9"/>
      <c r="C149" s="23" t="str">
        <f>IF(Data!C149="","",(IF(ISNUMBER(MATCH("*@*.?*",Data!C149,0)),0,1)+IF(COUNTIFS(Data!C$1:'Data'!C149,Data!C149)&gt;1,1,0)))</f>
        <v/>
      </c>
      <c r="D149" s="9" t="str">
        <f>IF(Data!B149="","",IF(ISNUMBER(Data!D149),IF(AND(Data!D149&gt;999999999,Data!D149&lt;=9999999999),IF(COUNTIFS(Data!D$1:'Data'!D149,Data!D149)&lt;=1,0,1),1),1))</f>
        <v/>
      </c>
      <c r="E149" s="9" t="str">
        <f>IF(Data!B149="","",IF(ISNUMBER(MATCH(Data!E149,Data_Val!$A$2:$A$3,0)),0,1))</f>
        <v/>
      </c>
      <c r="F149" s="9" t="str">
        <f ca="1">IF(Data!B149="","",IF(ISNUMBER(Data!F149),IF(AND(Data!F149&gt;(TODAY()-(Data_Val!$H$3*365.25)),Data!F149&lt;=(TODAY()-(Data_Val!$H$2*365.25))),0,1),1))</f>
        <v/>
      </c>
      <c r="G149" s="15" t="str">
        <f>IF(Data!B149="","",IF(AND(Data!G149="",Data!H149&lt;&gt;""),1,IF(Data!#REF!&lt;&gt;"",0,IF(ISNUMBER(MATCH(Data!G149,Data_Val!$C$2:$C$5,0)),0,1))))</f>
        <v/>
      </c>
      <c r="H149" s="15" t="str">
        <f>IF(Data!B149="","",IF(AND(Data!G149&lt;&gt;"",Data!H149=""),1,IF(Data!#REF!&lt;&gt;"",0,IF(Data!G149="",1,IF(ISNUMBER(MATCH(Data!H149,Data_Val!$D$2:$D$35,0)),0,1)))))</f>
        <v/>
      </c>
      <c r="I149" s="15" t="str">
        <f>IF(Data!B149="","",IF(Data!G149&lt;&gt;"",0,IF(ISNUMBER(MATCH(Data!#REF!,Data_Val!$E$2:$E$12,0)),0,1)))</f>
        <v/>
      </c>
      <c r="J149" s="16" t="e">
        <f>IF(OR(Data!B149="",Data!#REF!=""),"",IF(Data!#REF!="",1,0))</f>
        <v>#REF!</v>
      </c>
      <c r="K149" s="16" t="e">
        <f>IF(OR(Data!B149="",Data!#REF!=""),"",IF(Data!#REF!="",1,0))</f>
        <v>#REF!</v>
      </c>
      <c r="L149" s="16" t="e">
        <f>IF(OR(Data!B149="",Data!#REF!=""),"",IF(ISNUMBER(Data!#REF!),IF(AND(Data!#REF!&gt;Data_Val!$G$2,Data!#REF!&lt;=Data_Val!$G$3),0,1),1))</f>
        <v>#REF!</v>
      </c>
      <c r="M149" s="9" t="e">
        <f>IF(OR(Data!B149="",Data!#REF!=""),"",IF(ISNUMBER(MATCH(Data!#REF!,Data_Val!$F$1:$F$38,0)),0,1))</f>
        <v>#REF!</v>
      </c>
      <c r="N149" s="9" t="e">
        <f>IF(OR(Data!B149="",Data!#REF!=""),"",IF(Data!#REF!="",1,0))</f>
        <v>#REF!</v>
      </c>
      <c r="O149" s="17" t="e">
        <f>IF(Data!#REF!="","",IF(Data!#REF!="",1,0))</f>
        <v>#REF!</v>
      </c>
      <c r="P149" s="17" t="e">
        <f>IF(Data!#REF!="","",IF(ISNUMBER(MATCH(Data!#REF!,Data_Val!$A$2:$A$3,0)),0,1))</f>
        <v>#REF!</v>
      </c>
      <c r="Q149" s="25" t="e">
        <f ca="1">IF(Data!#REF!="","",IF(ISNUMBER(Data!#REF!),IF(AND(Data!#REF!&gt;(TODAY()-(Data_Val!$J$3*365.25)),Data!#REF!&lt;=(TODAY()-(Data_Val!$J$2*365.25))),0,1),1))</f>
        <v>#REF!</v>
      </c>
      <c r="R149" s="17" t="e">
        <f>IF(Data!#REF!="","",IF(ISNUMBER(MATCH(Data!#REF!,Data_Val!$B$2:$B$15,0)),0,1))</f>
        <v>#REF!</v>
      </c>
      <c r="S149" s="11" t="str">
        <f>IF(Data!G149="","",IF(Data!G149=Data_Val!$C$2,IF(Data!M149="",0,1),0))</f>
        <v/>
      </c>
      <c r="T149" s="11" t="str">
        <f>IF(Data!M149="","",IF(ISNUMBER(MATCH(Data!N149,Data_Val!$A$2:$A$3,0)),0,1))</f>
        <v/>
      </c>
      <c r="U149" s="11" t="str">
        <f ca="1">IF(Data!M149="","",IF(ISNUMBER(Data!O149),IF(AND(Data!O149&gt;(TODAY()-(Data_Val!$K$3*365.25)),Data!O149&lt;=(TODAY()-(Data_Val!$K$2*365.25))),0,1),1))</f>
        <v/>
      </c>
      <c r="V149" s="12" t="str">
        <f>IF(Data!G149="","",IF(Data!G149=Data_Val!$C$2,IF(Data!P149="",0,1),0))</f>
        <v/>
      </c>
      <c r="W149" s="12" t="str">
        <f>IF(Data!P149="","",IF(ISNUMBER(MATCH(Data!Q149,Data_Val!$A$2:$A$3,0)),0,1))</f>
        <v/>
      </c>
      <c r="X149" s="26" t="str">
        <f ca="1">IF(Data!P149="","",IF(ISNUMBER(Data!R149),IF(AND(Data!R149&gt;(TODAY()-(Data_Val!$L$3*365.25)),Data!R149&lt;=(TODAY()-(Data_Val!$L$2*365.25))),0,1),1))</f>
        <v/>
      </c>
      <c r="Y149" s="13" t="str">
        <f>IF(Data!$G149="","",IF(Data!$G149=Data_Val!$C$2,IF(Data!S149="",0,1),0))</f>
        <v/>
      </c>
      <c r="Z149" s="13" t="str">
        <f>IF(Data!S149="","",IF(ISNUMBER(MATCH(Data!T149,Data_Val!$A$2:$A$3,0)),0,1))</f>
        <v/>
      </c>
      <c r="AA149" s="28" t="str">
        <f ca="1">IF(Data!S149="","",IF(ISNUMBER(Data!U149),IF(AND(Data!U149&gt;(TODAY()-(Data_Val!$L$3*365.25)),Data!U149&lt;=(TODAY()-(Data_Val!$L$2*365.25))),0,1),1))</f>
        <v/>
      </c>
      <c r="AB149" s="11"/>
      <c r="AC149" s="11" t="e">
        <f>IF(Data!#REF!="","",IF(ISNUMBER(MATCH(Data!#REF!,Data_Val!$A$2:$A$3,0)),0,1))</f>
        <v>#REF!</v>
      </c>
      <c r="AD149" s="11" t="e">
        <f ca="1">IF(Data!#REF!="","",IF(ISNUMBER(Data!#REF!),IF(AND(Data!#REF!&gt;(TODAY()-(Data_Val!$L$3*365.25)),Data!#REF!&lt;=(TODAY()-(Data_Val!$L$2*365.25))),0,1),1))</f>
        <v>#REF!</v>
      </c>
      <c r="AE149" s="11" t="e">
        <f>IF(Data!#REF!="","",IF(Data!$G149="",1,IF(ISNUMBER(MATCH(Data!#REF!,Data_Val!$D$2:$D$10,0)),0,1)))</f>
        <v>#REF!</v>
      </c>
      <c r="AF149" s="12"/>
      <c r="AG149" s="12" t="e">
        <f>IF(Data!#REF!="","",IF(ISNUMBER(MATCH(Data!#REF!,Data_Val!$A$2:$A$3,0)),0,1))</f>
        <v>#REF!</v>
      </c>
      <c r="AH149" s="26" t="e">
        <f ca="1">IF(Data!#REF!="","",IF(ISNUMBER(Data!#REF!),IF(AND(Data!#REF!&gt;(TODAY()-(Data_Val!$L$3*365.25)),Data!#REF!&lt;=(TODAY()-(Data_Val!$L$2*365.25))),0,1),1))</f>
        <v>#REF!</v>
      </c>
      <c r="AI149" s="12" t="e">
        <f>IF(Data!#REF!="","",IF(Data!$G149="",1,IF(ISNUMBER(MATCH(Data!#REF!,Data_Val!$D$2:$D$10,0)),0,1)))</f>
        <v>#REF!</v>
      </c>
      <c r="AJ149" s="17"/>
      <c r="AK149" s="17" t="e">
        <f>IF(Data!#REF!="","",IF(ISNUMBER(MATCH(Data!#REF!,Data_Val!$A$2:$A$3,0)),0,1))</f>
        <v>#REF!</v>
      </c>
      <c r="AL149" s="25" t="e">
        <f ca="1">IF(Data!#REF!="","",IF(ISNUMBER(Data!#REF!),IF(AND(Data!#REF!&gt;(TODAY()-(Data_Val!$L$3*365.25)),Data!#REF!&lt;=(TODAY()-(Data_Val!$L$2*365.25))),0,1),1))</f>
        <v>#REF!</v>
      </c>
      <c r="AM149" s="17" t="e">
        <f>IF(Data!#REF!="","",IF(Data!$G149="",1,IF(ISNUMBER(MATCH(Data!#REF!,Data_Val!$D$2:$D$10,0)),0,1)))</f>
        <v>#REF!</v>
      </c>
      <c r="AN149" s="13"/>
      <c r="AO149" s="28" t="e">
        <f ca="1">IF(Data!#REF!="","",IF(ISNUMBER(Data!#REF!),IF(AND(Data!#REF!&gt;(TODAY()-(Data_Val!$I$3*365.25)),Data!#REF!&lt;=(TODAY()-(Data_Val!$I$2*365.25))),0,1),1))</f>
        <v>#REF!</v>
      </c>
      <c r="AP149" s="13" t="e">
        <f>IF(Data!#REF!="","",IF(Data!$G149="",1,IF(ISNUMBER(MATCH(Data!#REF!,Data_Val!$D$2:$D$10,0)),0,1)))</f>
        <v>#REF!</v>
      </c>
      <c r="AQ149" s="17"/>
      <c r="AR149" s="30" t="e">
        <f ca="1">IF(Data!#REF!="","",IF(ISNUMBER(Data!#REF!),IF(AND(Data!#REF!&gt;(TODAY()-(Data_Val!$I$3*365.25)),Data!#REF!&lt;=(TODAY()-(Data_Val!$I$2*365.25))),0,1),1))</f>
        <v>#REF!</v>
      </c>
      <c r="AS149" s="31" t="e">
        <f>IF(Data!#REF!="","",IF(Data!$G149="",1,IF(ISNUMBER(MATCH(Data!#REF!,Data_Val!$D$2:$D$10,0)),0,1)))</f>
        <v>#REF!</v>
      </c>
      <c r="AT149" s="11"/>
      <c r="AU149" s="11" t="e">
        <f ca="1">IF(Data!#REF!="","",IF(ISNUMBER(Data!#REF!),IF(AND(Data!#REF!&gt;(TODAY()-(Data_Val!$I$3*365.25)),Data!#REF!&lt;=(TODAY()-(Data_Val!$I$2*365.25))),0,1),1))</f>
        <v>#REF!</v>
      </c>
      <c r="AV149" s="11" t="e">
        <f>IF(Data!#REF!="","",IF(Data!$G149="",1,IF(ISNUMBER(MATCH(Data!#REF!,Data_Val!$D$2:$D$10,0)),0,1)))</f>
        <v>#REF!</v>
      </c>
      <c r="AW149" s="12"/>
      <c r="AX149" s="26" t="e">
        <f ca="1">IF(Data!#REF!="","",IF(ISNUMBER(Data!#REF!),IF(AND(Data!#REF!&gt;(TODAY()-(Data_Val!$I$3*365.25)),Data!#REF!&lt;=(TODAY()-(Data_Val!$I$2*365.25))),0,1),1))</f>
        <v>#REF!</v>
      </c>
      <c r="AY149" s="12" t="e">
        <f>IF(Data!#REF!="","",IF(Data!$G149="",1,IF(ISNUMBER(MATCH(Data!#REF!,Data_Val!$D$2:$D$10,0)),0,1)))</f>
        <v>#REF!</v>
      </c>
      <c r="AZ149" s="11"/>
      <c r="BA149" s="19" t="e">
        <f ca="1">IF(Data!#REF!="","",IF(ISNUMBER(Data!#REF!),IF(AND(Data!#REF!&gt;(TODAY()-(Data_Val!$M$3*365.25)),Data!#REF!&lt;=(TODAY()-(Data_Val!$M$2*365.25))),0,1),1))</f>
        <v>#REF!</v>
      </c>
      <c r="BB149" s="11" t="e">
        <f>IF(Data!#REF!="","",IF(Data!$G149="",1,IF(ISNUMBER(MATCH(Data!#REF!,Data_Val!$D$2:$D$10,0)),0,1)))</f>
        <v>#REF!</v>
      </c>
      <c r="BC149" s="12"/>
      <c r="BD149" s="20" t="e">
        <f ca="1">IF(Data!#REF!="","",IF(ISNUMBER(Data!#REF!),IF(AND(Data!#REF!&gt;(TODAY()-(Data_Val!$M$3*365.25)),Data!#REF!&lt;=(TODAY()-(Data_Val!$M$2*365.25))),0,1),1))</f>
        <v>#REF!</v>
      </c>
      <c r="BE149" s="12" t="e">
        <f>IF(Data!#REF!="","",IF(Data!$G149="",1,IF(ISNUMBER(MATCH(Data!#REF!,Data_Val!$D$2:$D$10,0)),0,1)))</f>
        <v>#REF!</v>
      </c>
      <c r="BF149" s="17"/>
      <c r="BG149" s="18" t="e">
        <f ca="1">IF(Data!#REF!="","",IF(ISNUMBER(Data!#REF!),IF(AND(Data!#REF!&gt;(TODAY()-(Data_Val!$M$3*365.25)),Data!#REF!&lt;=(TODAY()-(Data_Val!$M$2*365.25))),0,1),1))</f>
        <v>#REF!</v>
      </c>
      <c r="BH149" s="29" t="e">
        <f>IF(Data!#REF!="","",IF(Data!$G149="",1,IF(ISNUMBER(MATCH(Data!#REF!,Data_Val!$D$2:$D$10,0)),0,1)))</f>
        <v>#REF!</v>
      </c>
      <c r="BI149" s="13"/>
      <c r="BJ149" s="21" t="e">
        <f ca="1">IF(Data!#REF!="","",IF(ISNUMBER(Data!#REF!),IF(AND(Data!#REF!&gt;(TODAY()-(Data_Val!$M$3*365.25)),Data!#REF!&lt;=(TODAY()-(Data_Val!$M$2*365.25))),0,1),1))</f>
        <v>#REF!</v>
      </c>
      <c r="BK149" s="13" t="e">
        <f>IF(Data!#REF!="","",IF(Data!$G149="",1,IF(ISNUMBER(MATCH(Data!#REF!,Data_Val!$D$2:$D$10,0)),0,1)))</f>
        <v>#REF!</v>
      </c>
    </row>
    <row r="150" spans="1:63" x14ac:dyDescent="0.25">
      <c r="A150" s="9" t="str">
        <f>IF(Data!B150="","",IF(COUNTIFS(Data!A$1:'Data'!A150,Data!A150)&lt;=1,0,1))</f>
        <v/>
      </c>
      <c r="B150" s="9"/>
      <c r="C150" s="23" t="str">
        <f>IF(Data!C150="","",(IF(ISNUMBER(MATCH("*@*.?*",Data!C150,0)),0,1)+IF(COUNTIFS(Data!C$1:'Data'!C150,Data!C150)&gt;1,1,0)))</f>
        <v/>
      </c>
      <c r="D150" s="9" t="str">
        <f>IF(Data!B150="","",IF(ISNUMBER(Data!D150),IF(AND(Data!D150&gt;999999999,Data!D150&lt;=9999999999),IF(COUNTIFS(Data!D$1:'Data'!D150,Data!D150)&lt;=1,0,1),1),1))</f>
        <v/>
      </c>
      <c r="E150" s="9" t="str">
        <f>IF(Data!B150="","",IF(ISNUMBER(MATCH(Data!E150,Data_Val!$A$2:$A$3,0)),0,1))</f>
        <v/>
      </c>
      <c r="F150" s="9" t="str">
        <f ca="1">IF(Data!B150="","",IF(ISNUMBER(Data!F150),IF(AND(Data!F150&gt;(TODAY()-(Data_Val!$H$3*365.25)),Data!F150&lt;=(TODAY()-(Data_Val!$H$2*365.25))),0,1),1))</f>
        <v/>
      </c>
      <c r="G150" s="15" t="str">
        <f>IF(Data!B150="","",IF(AND(Data!G150="",Data!H150&lt;&gt;""),1,IF(Data!#REF!&lt;&gt;"",0,IF(ISNUMBER(MATCH(Data!G150,Data_Val!$C$2:$C$5,0)),0,1))))</f>
        <v/>
      </c>
      <c r="H150" s="15" t="str">
        <f>IF(Data!B150="","",IF(AND(Data!G150&lt;&gt;"",Data!H150=""),1,IF(Data!#REF!&lt;&gt;"",0,IF(Data!G150="",1,IF(ISNUMBER(MATCH(Data!H150,Data_Val!$D$2:$D$35,0)),0,1)))))</f>
        <v/>
      </c>
      <c r="I150" s="15" t="str">
        <f>IF(Data!B150="","",IF(Data!G150&lt;&gt;"",0,IF(ISNUMBER(MATCH(Data!#REF!,Data_Val!$E$2:$E$12,0)),0,1)))</f>
        <v/>
      </c>
      <c r="J150" s="16" t="e">
        <f>IF(OR(Data!B150="",Data!#REF!=""),"",IF(Data!#REF!="",1,0))</f>
        <v>#REF!</v>
      </c>
      <c r="K150" s="16" t="e">
        <f>IF(OR(Data!B150="",Data!#REF!=""),"",IF(Data!#REF!="",1,0))</f>
        <v>#REF!</v>
      </c>
      <c r="L150" s="16" t="e">
        <f>IF(OR(Data!B150="",Data!#REF!=""),"",IF(ISNUMBER(Data!#REF!),IF(AND(Data!#REF!&gt;Data_Val!$G$2,Data!#REF!&lt;=Data_Val!$G$3),0,1),1))</f>
        <v>#REF!</v>
      </c>
      <c r="M150" s="9" t="e">
        <f>IF(OR(Data!B150="",Data!#REF!=""),"",IF(ISNUMBER(MATCH(Data!#REF!,Data_Val!$F$1:$F$38,0)),0,1))</f>
        <v>#REF!</v>
      </c>
      <c r="N150" s="9" t="e">
        <f>IF(OR(Data!B150="",Data!#REF!=""),"",IF(Data!#REF!="",1,0))</f>
        <v>#REF!</v>
      </c>
      <c r="O150" s="17" t="e">
        <f>IF(Data!#REF!="","",IF(Data!#REF!="",1,0))</f>
        <v>#REF!</v>
      </c>
      <c r="P150" s="17" t="e">
        <f>IF(Data!#REF!="","",IF(ISNUMBER(MATCH(Data!#REF!,Data_Val!$A$2:$A$3,0)),0,1))</f>
        <v>#REF!</v>
      </c>
      <c r="Q150" s="25" t="e">
        <f ca="1">IF(Data!#REF!="","",IF(ISNUMBER(Data!#REF!),IF(AND(Data!#REF!&gt;(TODAY()-(Data_Val!$J$3*365.25)),Data!#REF!&lt;=(TODAY()-(Data_Val!$J$2*365.25))),0,1),1))</f>
        <v>#REF!</v>
      </c>
      <c r="R150" s="17" t="e">
        <f>IF(Data!#REF!="","",IF(ISNUMBER(MATCH(Data!#REF!,Data_Val!$B$2:$B$15,0)),0,1))</f>
        <v>#REF!</v>
      </c>
      <c r="S150" s="11" t="str">
        <f>IF(Data!G150="","",IF(Data!G150=Data_Val!$C$2,IF(Data!M150="",0,1),0))</f>
        <v/>
      </c>
      <c r="T150" s="11" t="str">
        <f>IF(Data!M150="","",IF(ISNUMBER(MATCH(Data!N150,Data_Val!$A$2:$A$3,0)),0,1))</f>
        <v/>
      </c>
      <c r="U150" s="11" t="str">
        <f ca="1">IF(Data!M150="","",IF(ISNUMBER(Data!O150),IF(AND(Data!O150&gt;(TODAY()-(Data_Val!$K$3*365.25)),Data!O150&lt;=(TODAY()-(Data_Val!$K$2*365.25))),0,1),1))</f>
        <v/>
      </c>
      <c r="V150" s="12" t="str">
        <f>IF(Data!G150="","",IF(Data!G150=Data_Val!$C$2,IF(Data!P150="",0,1),0))</f>
        <v/>
      </c>
      <c r="W150" s="12" t="str">
        <f>IF(Data!P150="","",IF(ISNUMBER(MATCH(Data!Q150,Data_Val!$A$2:$A$3,0)),0,1))</f>
        <v/>
      </c>
      <c r="X150" s="26" t="str">
        <f ca="1">IF(Data!P150="","",IF(ISNUMBER(Data!R150),IF(AND(Data!R150&gt;(TODAY()-(Data_Val!$L$3*365.25)),Data!R150&lt;=(TODAY()-(Data_Val!$L$2*365.25))),0,1),1))</f>
        <v/>
      </c>
      <c r="Y150" s="13" t="str">
        <f>IF(Data!$G150="","",IF(Data!$G150=Data_Val!$C$2,IF(Data!S150="",0,1),0))</f>
        <v/>
      </c>
      <c r="Z150" s="13" t="str">
        <f>IF(Data!S150="","",IF(ISNUMBER(MATCH(Data!T150,Data_Val!$A$2:$A$3,0)),0,1))</f>
        <v/>
      </c>
      <c r="AA150" s="28" t="str">
        <f ca="1">IF(Data!S150="","",IF(ISNUMBER(Data!U150),IF(AND(Data!U150&gt;(TODAY()-(Data_Val!$L$3*365.25)),Data!U150&lt;=(TODAY()-(Data_Val!$L$2*365.25))),0,1),1))</f>
        <v/>
      </c>
      <c r="AB150" s="11"/>
      <c r="AC150" s="11" t="e">
        <f>IF(Data!#REF!="","",IF(ISNUMBER(MATCH(Data!#REF!,Data_Val!$A$2:$A$3,0)),0,1))</f>
        <v>#REF!</v>
      </c>
      <c r="AD150" s="11" t="e">
        <f ca="1">IF(Data!#REF!="","",IF(ISNUMBER(Data!#REF!),IF(AND(Data!#REF!&gt;(TODAY()-(Data_Val!$L$3*365.25)),Data!#REF!&lt;=(TODAY()-(Data_Val!$L$2*365.25))),0,1),1))</f>
        <v>#REF!</v>
      </c>
      <c r="AE150" s="11" t="e">
        <f>IF(Data!#REF!="","",IF(Data!$G150="",1,IF(ISNUMBER(MATCH(Data!#REF!,Data_Val!$D$2:$D$10,0)),0,1)))</f>
        <v>#REF!</v>
      </c>
      <c r="AF150" s="12"/>
      <c r="AG150" s="12" t="e">
        <f>IF(Data!#REF!="","",IF(ISNUMBER(MATCH(Data!#REF!,Data_Val!$A$2:$A$3,0)),0,1))</f>
        <v>#REF!</v>
      </c>
      <c r="AH150" s="26" t="e">
        <f ca="1">IF(Data!#REF!="","",IF(ISNUMBER(Data!#REF!),IF(AND(Data!#REF!&gt;(TODAY()-(Data_Val!$L$3*365.25)),Data!#REF!&lt;=(TODAY()-(Data_Val!$L$2*365.25))),0,1),1))</f>
        <v>#REF!</v>
      </c>
      <c r="AI150" s="12" t="e">
        <f>IF(Data!#REF!="","",IF(Data!$G150="",1,IF(ISNUMBER(MATCH(Data!#REF!,Data_Val!$D$2:$D$10,0)),0,1)))</f>
        <v>#REF!</v>
      </c>
      <c r="AJ150" s="17"/>
      <c r="AK150" s="17" t="e">
        <f>IF(Data!#REF!="","",IF(ISNUMBER(MATCH(Data!#REF!,Data_Val!$A$2:$A$3,0)),0,1))</f>
        <v>#REF!</v>
      </c>
      <c r="AL150" s="25" t="e">
        <f ca="1">IF(Data!#REF!="","",IF(ISNUMBER(Data!#REF!),IF(AND(Data!#REF!&gt;(TODAY()-(Data_Val!$L$3*365.25)),Data!#REF!&lt;=(TODAY()-(Data_Val!$L$2*365.25))),0,1),1))</f>
        <v>#REF!</v>
      </c>
      <c r="AM150" s="17" t="e">
        <f>IF(Data!#REF!="","",IF(Data!$G150="",1,IF(ISNUMBER(MATCH(Data!#REF!,Data_Val!$D$2:$D$10,0)),0,1)))</f>
        <v>#REF!</v>
      </c>
      <c r="AN150" s="13"/>
      <c r="AO150" s="28" t="e">
        <f ca="1">IF(Data!#REF!="","",IF(ISNUMBER(Data!#REF!),IF(AND(Data!#REF!&gt;(TODAY()-(Data_Val!$I$3*365.25)),Data!#REF!&lt;=(TODAY()-(Data_Val!$I$2*365.25))),0,1),1))</f>
        <v>#REF!</v>
      </c>
      <c r="AP150" s="13" t="e">
        <f>IF(Data!#REF!="","",IF(Data!$G150="",1,IF(ISNUMBER(MATCH(Data!#REF!,Data_Val!$D$2:$D$10,0)),0,1)))</f>
        <v>#REF!</v>
      </c>
      <c r="AQ150" s="17"/>
      <c r="AR150" s="30" t="e">
        <f ca="1">IF(Data!#REF!="","",IF(ISNUMBER(Data!#REF!),IF(AND(Data!#REF!&gt;(TODAY()-(Data_Val!$I$3*365.25)),Data!#REF!&lt;=(TODAY()-(Data_Val!$I$2*365.25))),0,1),1))</f>
        <v>#REF!</v>
      </c>
      <c r="AS150" s="31" t="e">
        <f>IF(Data!#REF!="","",IF(Data!$G150="",1,IF(ISNUMBER(MATCH(Data!#REF!,Data_Val!$D$2:$D$10,0)),0,1)))</f>
        <v>#REF!</v>
      </c>
      <c r="AT150" s="11"/>
      <c r="AU150" s="11" t="e">
        <f ca="1">IF(Data!#REF!="","",IF(ISNUMBER(Data!#REF!),IF(AND(Data!#REF!&gt;(TODAY()-(Data_Val!$I$3*365.25)),Data!#REF!&lt;=(TODAY()-(Data_Val!$I$2*365.25))),0,1),1))</f>
        <v>#REF!</v>
      </c>
      <c r="AV150" s="11" t="e">
        <f>IF(Data!#REF!="","",IF(Data!$G150="",1,IF(ISNUMBER(MATCH(Data!#REF!,Data_Val!$D$2:$D$10,0)),0,1)))</f>
        <v>#REF!</v>
      </c>
      <c r="AW150" s="12"/>
      <c r="AX150" s="26" t="e">
        <f ca="1">IF(Data!#REF!="","",IF(ISNUMBER(Data!#REF!),IF(AND(Data!#REF!&gt;(TODAY()-(Data_Val!$I$3*365.25)),Data!#REF!&lt;=(TODAY()-(Data_Val!$I$2*365.25))),0,1),1))</f>
        <v>#REF!</v>
      </c>
      <c r="AY150" s="12" t="e">
        <f>IF(Data!#REF!="","",IF(Data!$G150="",1,IF(ISNUMBER(MATCH(Data!#REF!,Data_Val!$D$2:$D$10,0)),0,1)))</f>
        <v>#REF!</v>
      </c>
      <c r="AZ150" s="11"/>
      <c r="BA150" s="19" t="e">
        <f ca="1">IF(Data!#REF!="","",IF(ISNUMBER(Data!#REF!),IF(AND(Data!#REF!&gt;(TODAY()-(Data_Val!$M$3*365.25)),Data!#REF!&lt;=(TODAY()-(Data_Val!$M$2*365.25))),0,1),1))</f>
        <v>#REF!</v>
      </c>
      <c r="BB150" s="11" t="e">
        <f>IF(Data!#REF!="","",IF(Data!$G150="",1,IF(ISNUMBER(MATCH(Data!#REF!,Data_Val!$D$2:$D$10,0)),0,1)))</f>
        <v>#REF!</v>
      </c>
      <c r="BC150" s="12"/>
      <c r="BD150" s="20" t="e">
        <f ca="1">IF(Data!#REF!="","",IF(ISNUMBER(Data!#REF!),IF(AND(Data!#REF!&gt;(TODAY()-(Data_Val!$M$3*365.25)),Data!#REF!&lt;=(TODAY()-(Data_Val!$M$2*365.25))),0,1),1))</f>
        <v>#REF!</v>
      </c>
      <c r="BE150" s="12" t="e">
        <f>IF(Data!#REF!="","",IF(Data!$G150="",1,IF(ISNUMBER(MATCH(Data!#REF!,Data_Val!$D$2:$D$10,0)),0,1)))</f>
        <v>#REF!</v>
      </c>
      <c r="BF150" s="17"/>
      <c r="BG150" s="18" t="e">
        <f ca="1">IF(Data!#REF!="","",IF(ISNUMBER(Data!#REF!),IF(AND(Data!#REF!&gt;(TODAY()-(Data_Val!$M$3*365.25)),Data!#REF!&lt;=(TODAY()-(Data_Val!$M$2*365.25))),0,1),1))</f>
        <v>#REF!</v>
      </c>
      <c r="BH150" s="29" t="e">
        <f>IF(Data!#REF!="","",IF(Data!$G150="",1,IF(ISNUMBER(MATCH(Data!#REF!,Data_Val!$D$2:$D$10,0)),0,1)))</f>
        <v>#REF!</v>
      </c>
      <c r="BI150" s="13"/>
      <c r="BJ150" s="21" t="e">
        <f ca="1">IF(Data!#REF!="","",IF(ISNUMBER(Data!#REF!),IF(AND(Data!#REF!&gt;(TODAY()-(Data_Val!$M$3*365.25)),Data!#REF!&lt;=(TODAY()-(Data_Val!$M$2*365.25))),0,1),1))</f>
        <v>#REF!</v>
      </c>
      <c r="BK150" s="13" t="e">
        <f>IF(Data!#REF!="","",IF(Data!$G150="",1,IF(ISNUMBER(MATCH(Data!#REF!,Data_Val!$D$2:$D$10,0)),0,1)))</f>
        <v>#REF!</v>
      </c>
    </row>
    <row r="151" spans="1:63" x14ac:dyDescent="0.25">
      <c r="A151" s="9" t="str">
        <f>IF(Data!B151="","",IF(COUNTIFS(Data!A$1:'Data'!A151,Data!A151)&lt;=1,0,1))</f>
        <v/>
      </c>
      <c r="B151" s="9"/>
      <c r="C151" s="23" t="str">
        <f>IF(Data!C151="","",(IF(ISNUMBER(MATCH("*@*.?*",Data!C151,0)),0,1)+IF(COUNTIFS(Data!C$1:'Data'!C151,Data!C151)&gt;1,1,0)))</f>
        <v/>
      </c>
      <c r="D151" s="9" t="str">
        <f>IF(Data!B151="","",IF(ISNUMBER(Data!D151),IF(AND(Data!D151&gt;999999999,Data!D151&lt;=9999999999),IF(COUNTIFS(Data!D$1:'Data'!D151,Data!D151)&lt;=1,0,1),1),1))</f>
        <v/>
      </c>
      <c r="E151" s="9" t="str">
        <f>IF(Data!B151="","",IF(ISNUMBER(MATCH(Data!E151,Data_Val!$A$2:$A$3,0)),0,1))</f>
        <v/>
      </c>
      <c r="F151" s="9" t="str">
        <f ca="1">IF(Data!B151="","",IF(ISNUMBER(Data!F151),IF(AND(Data!F151&gt;(TODAY()-(Data_Val!$H$3*365.25)),Data!F151&lt;=(TODAY()-(Data_Val!$H$2*365.25))),0,1),1))</f>
        <v/>
      </c>
      <c r="G151" s="15" t="str">
        <f>IF(Data!B151="","",IF(AND(Data!G151="",Data!H151&lt;&gt;""),1,IF(Data!#REF!&lt;&gt;"",0,IF(ISNUMBER(MATCH(Data!G151,Data_Val!$C$2:$C$5,0)),0,1))))</f>
        <v/>
      </c>
      <c r="H151" s="15" t="str">
        <f>IF(Data!B151="","",IF(AND(Data!G151&lt;&gt;"",Data!H151=""),1,IF(Data!#REF!&lt;&gt;"",0,IF(Data!G151="",1,IF(ISNUMBER(MATCH(Data!H151,Data_Val!$D$2:$D$35,0)),0,1)))))</f>
        <v/>
      </c>
      <c r="I151" s="15" t="str">
        <f>IF(Data!B151="","",IF(Data!G151&lt;&gt;"",0,IF(ISNUMBER(MATCH(Data!#REF!,Data_Val!$E$2:$E$12,0)),0,1)))</f>
        <v/>
      </c>
      <c r="J151" s="16" t="e">
        <f>IF(OR(Data!B151="",Data!#REF!=""),"",IF(Data!#REF!="",1,0))</f>
        <v>#REF!</v>
      </c>
      <c r="K151" s="16" t="e">
        <f>IF(OR(Data!B151="",Data!#REF!=""),"",IF(Data!#REF!="",1,0))</f>
        <v>#REF!</v>
      </c>
      <c r="L151" s="16" t="e">
        <f>IF(OR(Data!B151="",Data!#REF!=""),"",IF(ISNUMBER(Data!#REF!),IF(AND(Data!#REF!&gt;Data_Val!$G$2,Data!#REF!&lt;=Data_Val!$G$3),0,1),1))</f>
        <v>#REF!</v>
      </c>
      <c r="M151" s="9" t="e">
        <f>IF(OR(Data!B151="",Data!#REF!=""),"",IF(ISNUMBER(MATCH(Data!#REF!,Data_Val!$F$1:$F$38,0)),0,1))</f>
        <v>#REF!</v>
      </c>
      <c r="N151" s="9" t="e">
        <f>IF(OR(Data!B151="",Data!#REF!=""),"",IF(Data!#REF!="",1,0))</f>
        <v>#REF!</v>
      </c>
      <c r="O151" s="17" t="e">
        <f>IF(Data!#REF!="","",IF(Data!#REF!="",1,0))</f>
        <v>#REF!</v>
      </c>
      <c r="P151" s="17" t="e">
        <f>IF(Data!#REF!="","",IF(ISNUMBER(MATCH(Data!#REF!,Data_Val!$A$2:$A$3,0)),0,1))</f>
        <v>#REF!</v>
      </c>
      <c r="Q151" s="25" t="e">
        <f ca="1">IF(Data!#REF!="","",IF(ISNUMBER(Data!#REF!),IF(AND(Data!#REF!&gt;(TODAY()-(Data_Val!$J$3*365.25)),Data!#REF!&lt;=(TODAY()-(Data_Val!$J$2*365.25))),0,1),1))</f>
        <v>#REF!</v>
      </c>
      <c r="R151" s="17" t="e">
        <f>IF(Data!#REF!="","",IF(ISNUMBER(MATCH(Data!#REF!,Data_Val!$B$2:$B$15,0)),0,1))</f>
        <v>#REF!</v>
      </c>
      <c r="S151" s="11" t="str">
        <f>IF(Data!G151="","",IF(Data!G151=Data_Val!$C$2,IF(Data!M151="",0,1),0))</f>
        <v/>
      </c>
      <c r="T151" s="11" t="str">
        <f>IF(Data!M151="","",IF(ISNUMBER(MATCH(Data!N151,Data_Val!$A$2:$A$3,0)),0,1))</f>
        <v/>
      </c>
      <c r="U151" s="11" t="str">
        <f ca="1">IF(Data!M151="","",IF(ISNUMBER(Data!O151),IF(AND(Data!O151&gt;(TODAY()-(Data_Val!$K$3*365.25)),Data!O151&lt;=(TODAY()-(Data_Val!$K$2*365.25))),0,1),1))</f>
        <v/>
      </c>
      <c r="V151" s="12" t="str">
        <f>IF(Data!G151="","",IF(Data!G151=Data_Val!$C$2,IF(Data!P151="",0,1),0))</f>
        <v/>
      </c>
      <c r="W151" s="12" t="str">
        <f>IF(Data!P151="","",IF(ISNUMBER(MATCH(Data!Q151,Data_Val!$A$2:$A$3,0)),0,1))</f>
        <v/>
      </c>
      <c r="X151" s="26" t="str">
        <f ca="1">IF(Data!P151="","",IF(ISNUMBER(Data!R151),IF(AND(Data!R151&gt;(TODAY()-(Data_Val!$L$3*365.25)),Data!R151&lt;=(TODAY()-(Data_Val!$L$2*365.25))),0,1),1))</f>
        <v/>
      </c>
      <c r="Y151" s="13" t="str">
        <f>IF(Data!$G151="","",IF(Data!$G151=Data_Val!$C$2,IF(Data!S151="",0,1),0))</f>
        <v/>
      </c>
      <c r="Z151" s="13" t="str">
        <f>IF(Data!S151="","",IF(ISNUMBER(MATCH(Data!T151,Data_Val!$A$2:$A$3,0)),0,1))</f>
        <v/>
      </c>
      <c r="AA151" s="28" t="str">
        <f ca="1">IF(Data!S151="","",IF(ISNUMBER(Data!U151),IF(AND(Data!U151&gt;(TODAY()-(Data_Val!$L$3*365.25)),Data!U151&lt;=(TODAY()-(Data_Val!$L$2*365.25))),0,1),1))</f>
        <v/>
      </c>
      <c r="AB151" s="11"/>
      <c r="AC151" s="11" t="e">
        <f>IF(Data!#REF!="","",IF(ISNUMBER(MATCH(Data!#REF!,Data_Val!$A$2:$A$3,0)),0,1))</f>
        <v>#REF!</v>
      </c>
      <c r="AD151" s="11" t="e">
        <f ca="1">IF(Data!#REF!="","",IF(ISNUMBER(Data!#REF!),IF(AND(Data!#REF!&gt;(TODAY()-(Data_Val!$L$3*365.25)),Data!#REF!&lt;=(TODAY()-(Data_Val!$L$2*365.25))),0,1),1))</f>
        <v>#REF!</v>
      </c>
      <c r="AE151" s="11" t="e">
        <f>IF(Data!#REF!="","",IF(Data!$G151="",1,IF(ISNUMBER(MATCH(Data!#REF!,Data_Val!$D$2:$D$10,0)),0,1)))</f>
        <v>#REF!</v>
      </c>
      <c r="AF151" s="12"/>
      <c r="AG151" s="12" t="e">
        <f>IF(Data!#REF!="","",IF(ISNUMBER(MATCH(Data!#REF!,Data_Val!$A$2:$A$3,0)),0,1))</f>
        <v>#REF!</v>
      </c>
      <c r="AH151" s="26" t="e">
        <f ca="1">IF(Data!#REF!="","",IF(ISNUMBER(Data!#REF!),IF(AND(Data!#REF!&gt;(TODAY()-(Data_Val!$L$3*365.25)),Data!#REF!&lt;=(TODAY()-(Data_Val!$L$2*365.25))),0,1),1))</f>
        <v>#REF!</v>
      </c>
      <c r="AI151" s="12" t="e">
        <f>IF(Data!#REF!="","",IF(Data!$G151="",1,IF(ISNUMBER(MATCH(Data!#REF!,Data_Val!$D$2:$D$10,0)),0,1)))</f>
        <v>#REF!</v>
      </c>
      <c r="AJ151" s="17"/>
      <c r="AK151" s="17" t="e">
        <f>IF(Data!#REF!="","",IF(ISNUMBER(MATCH(Data!#REF!,Data_Val!$A$2:$A$3,0)),0,1))</f>
        <v>#REF!</v>
      </c>
      <c r="AL151" s="25" t="e">
        <f ca="1">IF(Data!#REF!="","",IF(ISNUMBER(Data!#REF!),IF(AND(Data!#REF!&gt;(TODAY()-(Data_Val!$L$3*365.25)),Data!#REF!&lt;=(TODAY()-(Data_Val!$L$2*365.25))),0,1),1))</f>
        <v>#REF!</v>
      </c>
      <c r="AM151" s="17" t="e">
        <f>IF(Data!#REF!="","",IF(Data!$G151="",1,IF(ISNUMBER(MATCH(Data!#REF!,Data_Val!$D$2:$D$10,0)),0,1)))</f>
        <v>#REF!</v>
      </c>
      <c r="AN151" s="13"/>
      <c r="AO151" s="28" t="e">
        <f ca="1">IF(Data!#REF!="","",IF(ISNUMBER(Data!#REF!),IF(AND(Data!#REF!&gt;(TODAY()-(Data_Val!$I$3*365.25)),Data!#REF!&lt;=(TODAY()-(Data_Val!$I$2*365.25))),0,1),1))</f>
        <v>#REF!</v>
      </c>
      <c r="AP151" s="13" t="e">
        <f>IF(Data!#REF!="","",IF(Data!$G151="",1,IF(ISNUMBER(MATCH(Data!#REF!,Data_Val!$D$2:$D$10,0)),0,1)))</f>
        <v>#REF!</v>
      </c>
      <c r="AQ151" s="17"/>
      <c r="AR151" s="30" t="e">
        <f ca="1">IF(Data!#REF!="","",IF(ISNUMBER(Data!#REF!),IF(AND(Data!#REF!&gt;(TODAY()-(Data_Val!$I$3*365.25)),Data!#REF!&lt;=(TODAY()-(Data_Val!$I$2*365.25))),0,1),1))</f>
        <v>#REF!</v>
      </c>
      <c r="AS151" s="31" t="e">
        <f>IF(Data!#REF!="","",IF(Data!$G151="",1,IF(ISNUMBER(MATCH(Data!#REF!,Data_Val!$D$2:$D$10,0)),0,1)))</f>
        <v>#REF!</v>
      </c>
      <c r="AT151" s="11"/>
      <c r="AU151" s="11" t="e">
        <f ca="1">IF(Data!#REF!="","",IF(ISNUMBER(Data!#REF!),IF(AND(Data!#REF!&gt;(TODAY()-(Data_Val!$I$3*365.25)),Data!#REF!&lt;=(TODAY()-(Data_Val!$I$2*365.25))),0,1),1))</f>
        <v>#REF!</v>
      </c>
      <c r="AV151" s="11" t="e">
        <f>IF(Data!#REF!="","",IF(Data!$G151="",1,IF(ISNUMBER(MATCH(Data!#REF!,Data_Val!$D$2:$D$10,0)),0,1)))</f>
        <v>#REF!</v>
      </c>
      <c r="AW151" s="12"/>
      <c r="AX151" s="26" t="e">
        <f ca="1">IF(Data!#REF!="","",IF(ISNUMBER(Data!#REF!),IF(AND(Data!#REF!&gt;(TODAY()-(Data_Val!$I$3*365.25)),Data!#REF!&lt;=(TODAY()-(Data_Val!$I$2*365.25))),0,1),1))</f>
        <v>#REF!</v>
      </c>
      <c r="AY151" s="12" t="e">
        <f>IF(Data!#REF!="","",IF(Data!$G151="",1,IF(ISNUMBER(MATCH(Data!#REF!,Data_Val!$D$2:$D$10,0)),0,1)))</f>
        <v>#REF!</v>
      </c>
      <c r="AZ151" s="11"/>
      <c r="BA151" s="19" t="e">
        <f ca="1">IF(Data!#REF!="","",IF(ISNUMBER(Data!#REF!),IF(AND(Data!#REF!&gt;(TODAY()-(Data_Val!$M$3*365.25)),Data!#REF!&lt;=(TODAY()-(Data_Val!$M$2*365.25))),0,1),1))</f>
        <v>#REF!</v>
      </c>
      <c r="BB151" s="11" t="e">
        <f>IF(Data!#REF!="","",IF(Data!$G151="",1,IF(ISNUMBER(MATCH(Data!#REF!,Data_Val!$D$2:$D$10,0)),0,1)))</f>
        <v>#REF!</v>
      </c>
      <c r="BC151" s="12"/>
      <c r="BD151" s="20" t="e">
        <f ca="1">IF(Data!#REF!="","",IF(ISNUMBER(Data!#REF!),IF(AND(Data!#REF!&gt;(TODAY()-(Data_Val!$M$3*365.25)),Data!#REF!&lt;=(TODAY()-(Data_Val!$M$2*365.25))),0,1),1))</f>
        <v>#REF!</v>
      </c>
      <c r="BE151" s="12" t="e">
        <f>IF(Data!#REF!="","",IF(Data!$G151="",1,IF(ISNUMBER(MATCH(Data!#REF!,Data_Val!$D$2:$D$10,0)),0,1)))</f>
        <v>#REF!</v>
      </c>
      <c r="BF151" s="17"/>
      <c r="BG151" s="18" t="e">
        <f ca="1">IF(Data!#REF!="","",IF(ISNUMBER(Data!#REF!),IF(AND(Data!#REF!&gt;(TODAY()-(Data_Val!$M$3*365.25)),Data!#REF!&lt;=(TODAY()-(Data_Val!$M$2*365.25))),0,1),1))</f>
        <v>#REF!</v>
      </c>
      <c r="BH151" s="29" t="e">
        <f>IF(Data!#REF!="","",IF(Data!$G151="",1,IF(ISNUMBER(MATCH(Data!#REF!,Data_Val!$D$2:$D$10,0)),0,1)))</f>
        <v>#REF!</v>
      </c>
      <c r="BI151" s="13"/>
      <c r="BJ151" s="21" t="e">
        <f ca="1">IF(Data!#REF!="","",IF(ISNUMBER(Data!#REF!),IF(AND(Data!#REF!&gt;(TODAY()-(Data_Val!$M$3*365.25)),Data!#REF!&lt;=(TODAY()-(Data_Val!$M$2*365.25))),0,1),1))</f>
        <v>#REF!</v>
      </c>
      <c r="BK151" s="13" t="e">
        <f>IF(Data!#REF!="","",IF(Data!$G151="",1,IF(ISNUMBER(MATCH(Data!#REF!,Data_Val!$D$2:$D$10,0)),0,1)))</f>
        <v>#REF!</v>
      </c>
    </row>
    <row r="152" spans="1:63" x14ac:dyDescent="0.25">
      <c r="A152" s="9" t="str">
        <f>IF(Data!B152="","",IF(COUNTIFS(Data!A$1:'Data'!A152,Data!A152)&lt;=1,0,1))</f>
        <v/>
      </c>
      <c r="B152" s="9"/>
      <c r="C152" s="23" t="str">
        <f>IF(Data!C152="","",(IF(ISNUMBER(MATCH("*@*.?*",Data!C152,0)),0,1)+IF(COUNTIFS(Data!C$1:'Data'!C152,Data!C152)&gt;1,1,0)))</f>
        <v/>
      </c>
      <c r="D152" s="9" t="str">
        <f>IF(Data!B152="","",IF(ISNUMBER(Data!D152),IF(AND(Data!D152&gt;999999999,Data!D152&lt;=9999999999),IF(COUNTIFS(Data!D$1:'Data'!D152,Data!D152)&lt;=1,0,1),1),1))</f>
        <v/>
      </c>
      <c r="E152" s="9" t="str">
        <f>IF(Data!B152="","",IF(ISNUMBER(MATCH(Data!E152,Data_Val!$A$2:$A$3,0)),0,1))</f>
        <v/>
      </c>
      <c r="F152" s="9" t="str">
        <f ca="1">IF(Data!B152="","",IF(ISNUMBER(Data!F152),IF(AND(Data!F152&gt;(TODAY()-(Data_Val!$H$3*365.25)),Data!F152&lt;=(TODAY()-(Data_Val!$H$2*365.25))),0,1),1))</f>
        <v/>
      </c>
      <c r="G152" s="15" t="str">
        <f>IF(Data!B152="","",IF(AND(Data!G152="",Data!H152&lt;&gt;""),1,IF(Data!#REF!&lt;&gt;"",0,IF(ISNUMBER(MATCH(Data!G152,Data_Val!$C$2:$C$5,0)),0,1))))</f>
        <v/>
      </c>
      <c r="H152" s="15" t="str">
        <f>IF(Data!B152="","",IF(AND(Data!G152&lt;&gt;"",Data!H152=""),1,IF(Data!#REF!&lt;&gt;"",0,IF(Data!G152="",1,IF(ISNUMBER(MATCH(Data!H152,Data_Val!$D$2:$D$35,0)),0,1)))))</f>
        <v/>
      </c>
      <c r="I152" s="15" t="str">
        <f>IF(Data!B152="","",IF(Data!G152&lt;&gt;"",0,IF(ISNUMBER(MATCH(Data!#REF!,Data_Val!$E$2:$E$12,0)),0,1)))</f>
        <v/>
      </c>
      <c r="J152" s="16" t="e">
        <f>IF(OR(Data!B152="",Data!#REF!=""),"",IF(Data!#REF!="",1,0))</f>
        <v>#REF!</v>
      </c>
      <c r="K152" s="16" t="e">
        <f>IF(OR(Data!B152="",Data!#REF!=""),"",IF(Data!#REF!="",1,0))</f>
        <v>#REF!</v>
      </c>
      <c r="L152" s="16" t="e">
        <f>IF(OR(Data!B152="",Data!#REF!=""),"",IF(ISNUMBER(Data!#REF!),IF(AND(Data!#REF!&gt;Data_Val!$G$2,Data!#REF!&lt;=Data_Val!$G$3),0,1),1))</f>
        <v>#REF!</v>
      </c>
      <c r="M152" s="9" t="e">
        <f>IF(OR(Data!B152="",Data!#REF!=""),"",IF(ISNUMBER(MATCH(Data!#REF!,Data_Val!$F$1:$F$38,0)),0,1))</f>
        <v>#REF!</v>
      </c>
      <c r="N152" s="9" t="e">
        <f>IF(OR(Data!B152="",Data!#REF!=""),"",IF(Data!#REF!="",1,0))</f>
        <v>#REF!</v>
      </c>
      <c r="O152" s="17" t="e">
        <f>IF(Data!#REF!="","",IF(Data!#REF!="",1,0))</f>
        <v>#REF!</v>
      </c>
      <c r="P152" s="17" t="e">
        <f>IF(Data!#REF!="","",IF(ISNUMBER(MATCH(Data!#REF!,Data_Val!$A$2:$A$3,0)),0,1))</f>
        <v>#REF!</v>
      </c>
      <c r="Q152" s="25" t="e">
        <f ca="1">IF(Data!#REF!="","",IF(ISNUMBER(Data!#REF!),IF(AND(Data!#REF!&gt;(TODAY()-(Data_Val!$J$3*365.25)),Data!#REF!&lt;=(TODAY()-(Data_Val!$J$2*365.25))),0,1),1))</f>
        <v>#REF!</v>
      </c>
      <c r="R152" s="17" t="e">
        <f>IF(Data!#REF!="","",IF(ISNUMBER(MATCH(Data!#REF!,Data_Val!$B$2:$B$15,0)),0,1))</f>
        <v>#REF!</v>
      </c>
      <c r="S152" s="11" t="str">
        <f>IF(Data!G152="","",IF(Data!G152=Data_Val!$C$2,IF(Data!M152="",0,1),0))</f>
        <v/>
      </c>
      <c r="T152" s="11" t="str">
        <f>IF(Data!M152="","",IF(ISNUMBER(MATCH(Data!N152,Data_Val!$A$2:$A$3,0)),0,1))</f>
        <v/>
      </c>
      <c r="U152" s="11" t="str">
        <f ca="1">IF(Data!M152="","",IF(ISNUMBER(Data!O152),IF(AND(Data!O152&gt;(TODAY()-(Data_Val!$K$3*365.25)),Data!O152&lt;=(TODAY()-(Data_Val!$K$2*365.25))),0,1),1))</f>
        <v/>
      </c>
      <c r="V152" s="12" t="str">
        <f>IF(Data!G152="","",IF(Data!G152=Data_Val!$C$2,IF(Data!P152="",0,1),0))</f>
        <v/>
      </c>
      <c r="W152" s="12" t="str">
        <f>IF(Data!P152="","",IF(ISNUMBER(MATCH(Data!Q152,Data_Val!$A$2:$A$3,0)),0,1))</f>
        <v/>
      </c>
      <c r="X152" s="26" t="str">
        <f ca="1">IF(Data!P152="","",IF(ISNUMBER(Data!R152),IF(AND(Data!R152&gt;(TODAY()-(Data_Val!$L$3*365.25)),Data!R152&lt;=(TODAY()-(Data_Val!$L$2*365.25))),0,1),1))</f>
        <v/>
      </c>
      <c r="Y152" s="13" t="str">
        <f>IF(Data!$G152="","",IF(Data!$G152=Data_Val!$C$2,IF(Data!S152="",0,1),0))</f>
        <v/>
      </c>
      <c r="Z152" s="13" t="str">
        <f>IF(Data!S152="","",IF(ISNUMBER(MATCH(Data!T152,Data_Val!$A$2:$A$3,0)),0,1))</f>
        <v/>
      </c>
      <c r="AA152" s="28" t="str">
        <f ca="1">IF(Data!S152="","",IF(ISNUMBER(Data!U152),IF(AND(Data!U152&gt;(TODAY()-(Data_Val!$L$3*365.25)),Data!U152&lt;=(TODAY()-(Data_Val!$L$2*365.25))),0,1),1))</f>
        <v/>
      </c>
      <c r="AB152" s="11"/>
      <c r="AC152" s="11" t="e">
        <f>IF(Data!#REF!="","",IF(ISNUMBER(MATCH(Data!#REF!,Data_Val!$A$2:$A$3,0)),0,1))</f>
        <v>#REF!</v>
      </c>
      <c r="AD152" s="11" t="e">
        <f ca="1">IF(Data!#REF!="","",IF(ISNUMBER(Data!#REF!),IF(AND(Data!#REF!&gt;(TODAY()-(Data_Val!$L$3*365.25)),Data!#REF!&lt;=(TODAY()-(Data_Val!$L$2*365.25))),0,1),1))</f>
        <v>#REF!</v>
      </c>
      <c r="AE152" s="11" t="e">
        <f>IF(Data!#REF!="","",IF(Data!$G152="",1,IF(ISNUMBER(MATCH(Data!#REF!,Data_Val!$D$2:$D$10,0)),0,1)))</f>
        <v>#REF!</v>
      </c>
      <c r="AF152" s="12"/>
      <c r="AG152" s="12" t="e">
        <f>IF(Data!#REF!="","",IF(ISNUMBER(MATCH(Data!#REF!,Data_Val!$A$2:$A$3,0)),0,1))</f>
        <v>#REF!</v>
      </c>
      <c r="AH152" s="26" t="e">
        <f ca="1">IF(Data!#REF!="","",IF(ISNUMBER(Data!#REF!),IF(AND(Data!#REF!&gt;(TODAY()-(Data_Val!$L$3*365.25)),Data!#REF!&lt;=(TODAY()-(Data_Val!$L$2*365.25))),0,1),1))</f>
        <v>#REF!</v>
      </c>
      <c r="AI152" s="12" t="e">
        <f>IF(Data!#REF!="","",IF(Data!$G152="",1,IF(ISNUMBER(MATCH(Data!#REF!,Data_Val!$D$2:$D$10,0)),0,1)))</f>
        <v>#REF!</v>
      </c>
      <c r="AJ152" s="17"/>
      <c r="AK152" s="17" t="e">
        <f>IF(Data!#REF!="","",IF(ISNUMBER(MATCH(Data!#REF!,Data_Val!$A$2:$A$3,0)),0,1))</f>
        <v>#REF!</v>
      </c>
      <c r="AL152" s="25" t="e">
        <f ca="1">IF(Data!#REF!="","",IF(ISNUMBER(Data!#REF!),IF(AND(Data!#REF!&gt;(TODAY()-(Data_Val!$L$3*365.25)),Data!#REF!&lt;=(TODAY()-(Data_Val!$L$2*365.25))),0,1),1))</f>
        <v>#REF!</v>
      </c>
      <c r="AM152" s="17" t="e">
        <f>IF(Data!#REF!="","",IF(Data!$G152="",1,IF(ISNUMBER(MATCH(Data!#REF!,Data_Val!$D$2:$D$10,0)),0,1)))</f>
        <v>#REF!</v>
      </c>
      <c r="AN152" s="13"/>
      <c r="AO152" s="28" t="e">
        <f ca="1">IF(Data!#REF!="","",IF(ISNUMBER(Data!#REF!),IF(AND(Data!#REF!&gt;(TODAY()-(Data_Val!$I$3*365.25)),Data!#REF!&lt;=(TODAY()-(Data_Val!$I$2*365.25))),0,1),1))</f>
        <v>#REF!</v>
      </c>
      <c r="AP152" s="13" t="e">
        <f>IF(Data!#REF!="","",IF(Data!$G152="",1,IF(ISNUMBER(MATCH(Data!#REF!,Data_Val!$D$2:$D$10,0)),0,1)))</f>
        <v>#REF!</v>
      </c>
      <c r="AQ152" s="17"/>
      <c r="AR152" s="30" t="e">
        <f ca="1">IF(Data!#REF!="","",IF(ISNUMBER(Data!#REF!),IF(AND(Data!#REF!&gt;(TODAY()-(Data_Val!$I$3*365.25)),Data!#REF!&lt;=(TODAY()-(Data_Val!$I$2*365.25))),0,1),1))</f>
        <v>#REF!</v>
      </c>
      <c r="AS152" s="31" t="e">
        <f>IF(Data!#REF!="","",IF(Data!$G152="",1,IF(ISNUMBER(MATCH(Data!#REF!,Data_Val!$D$2:$D$10,0)),0,1)))</f>
        <v>#REF!</v>
      </c>
      <c r="AT152" s="11"/>
      <c r="AU152" s="11" t="e">
        <f ca="1">IF(Data!#REF!="","",IF(ISNUMBER(Data!#REF!),IF(AND(Data!#REF!&gt;(TODAY()-(Data_Val!$I$3*365.25)),Data!#REF!&lt;=(TODAY()-(Data_Val!$I$2*365.25))),0,1),1))</f>
        <v>#REF!</v>
      </c>
      <c r="AV152" s="11" t="e">
        <f>IF(Data!#REF!="","",IF(Data!$G152="",1,IF(ISNUMBER(MATCH(Data!#REF!,Data_Val!$D$2:$D$10,0)),0,1)))</f>
        <v>#REF!</v>
      </c>
      <c r="AW152" s="12"/>
      <c r="AX152" s="26" t="e">
        <f ca="1">IF(Data!#REF!="","",IF(ISNUMBER(Data!#REF!),IF(AND(Data!#REF!&gt;(TODAY()-(Data_Val!$I$3*365.25)),Data!#REF!&lt;=(TODAY()-(Data_Val!$I$2*365.25))),0,1),1))</f>
        <v>#REF!</v>
      </c>
      <c r="AY152" s="12" t="e">
        <f>IF(Data!#REF!="","",IF(Data!$G152="",1,IF(ISNUMBER(MATCH(Data!#REF!,Data_Val!$D$2:$D$10,0)),0,1)))</f>
        <v>#REF!</v>
      </c>
      <c r="AZ152" s="11"/>
      <c r="BA152" s="19" t="e">
        <f ca="1">IF(Data!#REF!="","",IF(ISNUMBER(Data!#REF!),IF(AND(Data!#REF!&gt;(TODAY()-(Data_Val!$M$3*365.25)),Data!#REF!&lt;=(TODAY()-(Data_Val!$M$2*365.25))),0,1),1))</f>
        <v>#REF!</v>
      </c>
      <c r="BB152" s="11" t="e">
        <f>IF(Data!#REF!="","",IF(Data!$G152="",1,IF(ISNUMBER(MATCH(Data!#REF!,Data_Val!$D$2:$D$10,0)),0,1)))</f>
        <v>#REF!</v>
      </c>
      <c r="BC152" s="12"/>
      <c r="BD152" s="20" t="e">
        <f ca="1">IF(Data!#REF!="","",IF(ISNUMBER(Data!#REF!),IF(AND(Data!#REF!&gt;(TODAY()-(Data_Val!$M$3*365.25)),Data!#REF!&lt;=(TODAY()-(Data_Val!$M$2*365.25))),0,1),1))</f>
        <v>#REF!</v>
      </c>
      <c r="BE152" s="12" t="e">
        <f>IF(Data!#REF!="","",IF(Data!$G152="",1,IF(ISNUMBER(MATCH(Data!#REF!,Data_Val!$D$2:$D$10,0)),0,1)))</f>
        <v>#REF!</v>
      </c>
      <c r="BF152" s="17"/>
      <c r="BG152" s="18" t="e">
        <f ca="1">IF(Data!#REF!="","",IF(ISNUMBER(Data!#REF!),IF(AND(Data!#REF!&gt;(TODAY()-(Data_Val!$M$3*365.25)),Data!#REF!&lt;=(TODAY()-(Data_Val!$M$2*365.25))),0,1),1))</f>
        <v>#REF!</v>
      </c>
      <c r="BH152" s="29" t="e">
        <f>IF(Data!#REF!="","",IF(Data!$G152="",1,IF(ISNUMBER(MATCH(Data!#REF!,Data_Val!$D$2:$D$10,0)),0,1)))</f>
        <v>#REF!</v>
      </c>
      <c r="BI152" s="13"/>
      <c r="BJ152" s="21" t="e">
        <f ca="1">IF(Data!#REF!="","",IF(ISNUMBER(Data!#REF!),IF(AND(Data!#REF!&gt;(TODAY()-(Data_Val!$M$3*365.25)),Data!#REF!&lt;=(TODAY()-(Data_Val!$M$2*365.25))),0,1),1))</f>
        <v>#REF!</v>
      </c>
      <c r="BK152" s="13" t="e">
        <f>IF(Data!#REF!="","",IF(Data!$G152="",1,IF(ISNUMBER(MATCH(Data!#REF!,Data_Val!$D$2:$D$10,0)),0,1)))</f>
        <v>#REF!</v>
      </c>
    </row>
    <row r="153" spans="1:63" x14ac:dyDescent="0.25">
      <c r="A153" s="9" t="str">
        <f>IF(Data!B153="","",IF(COUNTIFS(Data!A$1:'Data'!A153,Data!A153)&lt;=1,0,1))</f>
        <v/>
      </c>
      <c r="B153" s="9"/>
      <c r="C153" s="23" t="str">
        <f>IF(Data!C153="","",(IF(ISNUMBER(MATCH("*@*.?*",Data!C153,0)),0,1)+IF(COUNTIFS(Data!C$1:'Data'!C153,Data!C153)&gt;1,1,0)))</f>
        <v/>
      </c>
      <c r="D153" s="9" t="str">
        <f>IF(Data!B153="","",IF(ISNUMBER(Data!D153),IF(AND(Data!D153&gt;999999999,Data!D153&lt;=9999999999),IF(COUNTIFS(Data!D$1:'Data'!D153,Data!D153)&lt;=1,0,1),1),1))</f>
        <v/>
      </c>
      <c r="E153" s="9" t="str">
        <f>IF(Data!B153="","",IF(ISNUMBER(MATCH(Data!E153,Data_Val!$A$2:$A$3,0)),0,1))</f>
        <v/>
      </c>
      <c r="F153" s="9" t="str">
        <f ca="1">IF(Data!B153="","",IF(ISNUMBER(Data!F153),IF(AND(Data!F153&gt;(TODAY()-(Data_Val!$H$3*365.25)),Data!F153&lt;=(TODAY()-(Data_Val!$H$2*365.25))),0,1),1))</f>
        <v/>
      </c>
      <c r="G153" s="15" t="str">
        <f>IF(Data!B153="","",IF(AND(Data!G153="",Data!H153&lt;&gt;""),1,IF(Data!#REF!&lt;&gt;"",0,IF(ISNUMBER(MATCH(Data!G153,Data_Val!$C$2:$C$5,0)),0,1))))</f>
        <v/>
      </c>
      <c r="H153" s="15" t="str">
        <f>IF(Data!B153="","",IF(AND(Data!G153&lt;&gt;"",Data!H153=""),1,IF(Data!#REF!&lt;&gt;"",0,IF(Data!G153="",1,IF(ISNUMBER(MATCH(Data!H153,Data_Val!$D$2:$D$35,0)),0,1)))))</f>
        <v/>
      </c>
      <c r="I153" s="15" t="str">
        <f>IF(Data!B153="","",IF(Data!G153&lt;&gt;"",0,IF(ISNUMBER(MATCH(Data!#REF!,Data_Val!$E$2:$E$12,0)),0,1)))</f>
        <v/>
      </c>
      <c r="J153" s="16" t="e">
        <f>IF(OR(Data!B153="",Data!#REF!=""),"",IF(Data!#REF!="",1,0))</f>
        <v>#REF!</v>
      </c>
      <c r="K153" s="16" t="e">
        <f>IF(OR(Data!B153="",Data!#REF!=""),"",IF(Data!#REF!="",1,0))</f>
        <v>#REF!</v>
      </c>
      <c r="L153" s="16" t="e">
        <f>IF(OR(Data!B153="",Data!#REF!=""),"",IF(ISNUMBER(Data!#REF!),IF(AND(Data!#REF!&gt;Data_Val!$G$2,Data!#REF!&lt;=Data_Val!$G$3),0,1),1))</f>
        <v>#REF!</v>
      </c>
      <c r="M153" s="9" t="e">
        <f>IF(OR(Data!B153="",Data!#REF!=""),"",IF(ISNUMBER(MATCH(Data!#REF!,Data_Val!$F$1:$F$38,0)),0,1))</f>
        <v>#REF!</v>
      </c>
      <c r="N153" s="9" t="e">
        <f>IF(OR(Data!B153="",Data!#REF!=""),"",IF(Data!#REF!="",1,0))</f>
        <v>#REF!</v>
      </c>
      <c r="O153" s="17" t="e">
        <f>IF(Data!#REF!="","",IF(Data!#REF!="",1,0))</f>
        <v>#REF!</v>
      </c>
      <c r="P153" s="17" t="e">
        <f>IF(Data!#REF!="","",IF(ISNUMBER(MATCH(Data!#REF!,Data_Val!$A$2:$A$3,0)),0,1))</f>
        <v>#REF!</v>
      </c>
      <c r="Q153" s="25" t="e">
        <f ca="1">IF(Data!#REF!="","",IF(ISNUMBER(Data!#REF!),IF(AND(Data!#REF!&gt;(TODAY()-(Data_Val!$J$3*365.25)),Data!#REF!&lt;=(TODAY()-(Data_Val!$J$2*365.25))),0,1),1))</f>
        <v>#REF!</v>
      </c>
      <c r="R153" s="17" t="e">
        <f>IF(Data!#REF!="","",IF(ISNUMBER(MATCH(Data!#REF!,Data_Val!$B$2:$B$15,0)),0,1))</f>
        <v>#REF!</v>
      </c>
      <c r="S153" s="11" t="str">
        <f>IF(Data!G153="","",IF(Data!G153=Data_Val!$C$2,IF(Data!M153="",0,1),0))</f>
        <v/>
      </c>
      <c r="T153" s="11" t="str">
        <f>IF(Data!M153="","",IF(ISNUMBER(MATCH(Data!N153,Data_Val!$A$2:$A$3,0)),0,1))</f>
        <v/>
      </c>
      <c r="U153" s="11" t="str">
        <f ca="1">IF(Data!M153="","",IF(ISNUMBER(Data!O153),IF(AND(Data!O153&gt;(TODAY()-(Data_Val!$K$3*365.25)),Data!O153&lt;=(TODAY()-(Data_Val!$K$2*365.25))),0,1),1))</f>
        <v/>
      </c>
      <c r="V153" s="12" t="str">
        <f>IF(Data!G153="","",IF(Data!G153=Data_Val!$C$2,IF(Data!P153="",0,1),0))</f>
        <v/>
      </c>
      <c r="W153" s="12" t="str">
        <f>IF(Data!P153="","",IF(ISNUMBER(MATCH(Data!Q153,Data_Val!$A$2:$A$3,0)),0,1))</f>
        <v/>
      </c>
      <c r="X153" s="26" t="str">
        <f ca="1">IF(Data!P153="","",IF(ISNUMBER(Data!R153),IF(AND(Data!R153&gt;(TODAY()-(Data_Val!$L$3*365.25)),Data!R153&lt;=(TODAY()-(Data_Val!$L$2*365.25))),0,1),1))</f>
        <v/>
      </c>
      <c r="Y153" s="13" t="str">
        <f>IF(Data!$G153="","",IF(Data!$G153=Data_Val!$C$2,IF(Data!S153="",0,1),0))</f>
        <v/>
      </c>
      <c r="Z153" s="13" t="str">
        <f>IF(Data!S153="","",IF(ISNUMBER(MATCH(Data!T153,Data_Val!$A$2:$A$3,0)),0,1))</f>
        <v/>
      </c>
      <c r="AA153" s="28" t="str">
        <f ca="1">IF(Data!S153="","",IF(ISNUMBER(Data!U153),IF(AND(Data!U153&gt;(TODAY()-(Data_Val!$L$3*365.25)),Data!U153&lt;=(TODAY()-(Data_Val!$L$2*365.25))),0,1),1))</f>
        <v/>
      </c>
      <c r="AB153" s="11"/>
      <c r="AC153" s="11" t="e">
        <f>IF(Data!#REF!="","",IF(ISNUMBER(MATCH(Data!#REF!,Data_Val!$A$2:$A$3,0)),0,1))</f>
        <v>#REF!</v>
      </c>
      <c r="AD153" s="11" t="e">
        <f ca="1">IF(Data!#REF!="","",IF(ISNUMBER(Data!#REF!),IF(AND(Data!#REF!&gt;(TODAY()-(Data_Val!$L$3*365.25)),Data!#REF!&lt;=(TODAY()-(Data_Val!$L$2*365.25))),0,1),1))</f>
        <v>#REF!</v>
      </c>
      <c r="AE153" s="11" t="e">
        <f>IF(Data!#REF!="","",IF(Data!$G153="",1,IF(ISNUMBER(MATCH(Data!#REF!,Data_Val!$D$2:$D$10,0)),0,1)))</f>
        <v>#REF!</v>
      </c>
      <c r="AF153" s="12"/>
      <c r="AG153" s="12" t="e">
        <f>IF(Data!#REF!="","",IF(ISNUMBER(MATCH(Data!#REF!,Data_Val!$A$2:$A$3,0)),0,1))</f>
        <v>#REF!</v>
      </c>
      <c r="AH153" s="26" t="e">
        <f ca="1">IF(Data!#REF!="","",IF(ISNUMBER(Data!#REF!),IF(AND(Data!#REF!&gt;(TODAY()-(Data_Val!$L$3*365.25)),Data!#REF!&lt;=(TODAY()-(Data_Val!$L$2*365.25))),0,1),1))</f>
        <v>#REF!</v>
      </c>
      <c r="AI153" s="12" t="e">
        <f>IF(Data!#REF!="","",IF(Data!$G153="",1,IF(ISNUMBER(MATCH(Data!#REF!,Data_Val!$D$2:$D$10,0)),0,1)))</f>
        <v>#REF!</v>
      </c>
      <c r="AJ153" s="17"/>
      <c r="AK153" s="17" t="e">
        <f>IF(Data!#REF!="","",IF(ISNUMBER(MATCH(Data!#REF!,Data_Val!$A$2:$A$3,0)),0,1))</f>
        <v>#REF!</v>
      </c>
      <c r="AL153" s="25" t="e">
        <f ca="1">IF(Data!#REF!="","",IF(ISNUMBER(Data!#REF!),IF(AND(Data!#REF!&gt;(TODAY()-(Data_Val!$L$3*365.25)),Data!#REF!&lt;=(TODAY()-(Data_Val!$L$2*365.25))),0,1),1))</f>
        <v>#REF!</v>
      </c>
      <c r="AM153" s="17" t="e">
        <f>IF(Data!#REF!="","",IF(Data!$G153="",1,IF(ISNUMBER(MATCH(Data!#REF!,Data_Val!$D$2:$D$10,0)),0,1)))</f>
        <v>#REF!</v>
      </c>
      <c r="AN153" s="13"/>
      <c r="AO153" s="28" t="e">
        <f ca="1">IF(Data!#REF!="","",IF(ISNUMBER(Data!#REF!),IF(AND(Data!#REF!&gt;(TODAY()-(Data_Val!$I$3*365.25)),Data!#REF!&lt;=(TODAY()-(Data_Val!$I$2*365.25))),0,1),1))</f>
        <v>#REF!</v>
      </c>
      <c r="AP153" s="13" t="e">
        <f>IF(Data!#REF!="","",IF(Data!$G153="",1,IF(ISNUMBER(MATCH(Data!#REF!,Data_Val!$D$2:$D$10,0)),0,1)))</f>
        <v>#REF!</v>
      </c>
      <c r="AQ153" s="17"/>
      <c r="AR153" s="30" t="e">
        <f ca="1">IF(Data!#REF!="","",IF(ISNUMBER(Data!#REF!),IF(AND(Data!#REF!&gt;(TODAY()-(Data_Val!$I$3*365.25)),Data!#REF!&lt;=(TODAY()-(Data_Val!$I$2*365.25))),0,1),1))</f>
        <v>#REF!</v>
      </c>
      <c r="AS153" s="31" t="e">
        <f>IF(Data!#REF!="","",IF(Data!$G153="",1,IF(ISNUMBER(MATCH(Data!#REF!,Data_Val!$D$2:$D$10,0)),0,1)))</f>
        <v>#REF!</v>
      </c>
      <c r="AT153" s="11"/>
      <c r="AU153" s="11" t="e">
        <f ca="1">IF(Data!#REF!="","",IF(ISNUMBER(Data!#REF!),IF(AND(Data!#REF!&gt;(TODAY()-(Data_Val!$I$3*365.25)),Data!#REF!&lt;=(TODAY()-(Data_Val!$I$2*365.25))),0,1),1))</f>
        <v>#REF!</v>
      </c>
      <c r="AV153" s="11" t="e">
        <f>IF(Data!#REF!="","",IF(Data!$G153="",1,IF(ISNUMBER(MATCH(Data!#REF!,Data_Val!$D$2:$D$10,0)),0,1)))</f>
        <v>#REF!</v>
      </c>
      <c r="AW153" s="12"/>
      <c r="AX153" s="26" t="e">
        <f ca="1">IF(Data!#REF!="","",IF(ISNUMBER(Data!#REF!),IF(AND(Data!#REF!&gt;(TODAY()-(Data_Val!$I$3*365.25)),Data!#REF!&lt;=(TODAY()-(Data_Val!$I$2*365.25))),0,1),1))</f>
        <v>#REF!</v>
      </c>
      <c r="AY153" s="12" t="e">
        <f>IF(Data!#REF!="","",IF(Data!$G153="",1,IF(ISNUMBER(MATCH(Data!#REF!,Data_Val!$D$2:$D$10,0)),0,1)))</f>
        <v>#REF!</v>
      </c>
      <c r="AZ153" s="11"/>
      <c r="BA153" s="19" t="e">
        <f ca="1">IF(Data!#REF!="","",IF(ISNUMBER(Data!#REF!),IF(AND(Data!#REF!&gt;(TODAY()-(Data_Val!$M$3*365.25)),Data!#REF!&lt;=(TODAY()-(Data_Val!$M$2*365.25))),0,1),1))</f>
        <v>#REF!</v>
      </c>
      <c r="BB153" s="11" t="e">
        <f>IF(Data!#REF!="","",IF(Data!$G153="",1,IF(ISNUMBER(MATCH(Data!#REF!,Data_Val!$D$2:$D$10,0)),0,1)))</f>
        <v>#REF!</v>
      </c>
      <c r="BC153" s="12"/>
      <c r="BD153" s="20" t="e">
        <f ca="1">IF(Data!#REF!="","",IF(ISNUMBER(Data!#REF!),IF(AND(Data!#REF!&gt;(TODAY()-(Data_Val!$M$3*365.25)),Data!#REF!&lt;=(TODAY()-(Data_Val!$M$2*365.25))),0,1),1))</f>
        <v>#REF!</v>
      </c>
      <c r="BE153" s="12" t="e">
        <f>IF(Data!#REF!="","",IF(Data!$G153="",1,IF(ISNUMBER(MATCH(Data!#REF!,Data_Val!$D$2:$D$10,0)),0,1)))</f>
        <v>#REF!</v>
      </c>
      <c r="BF153" s="17"/>
      <c r="BG153" s="18" t="e">
        <f ca="1">IF(Data!#REF!="","",IF(ISNUMBER(Data!#REF!),IF(AND(Data!#REF!&gt;(TODAY()-(Data_Val!$M$3*365.25)),Data!#REF!&lt;=(TODAY()-(Data_Val!$M$2*365.25))),0,1),1))</f>
        <v>#REF!</v>
      </c>
      <c r="BH153" s="29" t="e">
        <f>IF(Data!#REF!="","",IF(Data!$G153="",1,IF(ISNUMBER(MATCH(Data!#REF!,Data_Val!$D$2:$D$10,0)),0,1)))</f>
        <v>#REF!</v>
      </c>
      <c r="BI153" s="13"/>
      <c r="BJ153" s="21" t="e">
        <f ca="1">IF(Data!#REF!="","",IF(ISNUMBER(Data!#REF!),IF(AND(Data!#REF!&gt;(TODAY()-(Data_Val!$M$3*365.25)),Data!#REF!&lt;=(TODAY()-(Data_Val!$M$2*365.25))),0,1),1))</f>
        <v>#REF!</v>
      </c>
      <c r="BK153" s="13" t="e">
        <f>IF(Data!#REF!="","",IF(Data!$G153="",1,IF(ISNUMBER(MATCH(Data!#REF!,Data_Val!$D$2:$D$10,0)),0,1)))</f>
        <v>#REF!</v>
      </c>
    </row>
    <row r="154" spans="1:63" x14ac:dyDescent="0.25">
      <c r="A154" s="9" t="str">
        <f>IF(Data!B154="","",IF(COUNTIFS(Data!A$1:'Data'!A154,Data!A154)&lt;=1,0,1))</f>
        <v/>
      </c>
      <c r="B154" s="9"/>
      <c r="C154" s="23" t="str">
        <f>IF(Data!C154="","",(IF(ISNUMBER(MATCH("*@*.?*",Data!C154,0)),0,1)+IF(COUNTIFS(Data!C$1:'Data'!C154,Data!C154)&gt;1,1,0)))</f>
        <v/>
      </c>
      <c r="D154" s="9" t="str">
        <f>IF(Data!B154="","",IF(ISNUMBER(Data!D154),IF(AND(Data!D154&gt;999999999,Data!D154&lt;=9999999999),IF(COUNTIFS(Data!D$1:'Data'!D154,Data!D154)&lt;=1,0,1),1),1))</f>
        <v/>
      </c>
      <c r="E154" s="9" t="str">
        <f>IF(Data!B154="","",IF(ISNUMBER(MATCH(Data!E154,Data_Val!$A$2:$A$3,0)),0,1))</f>
        <v/>
      </c>
      <c r="F154" s="9" t="str">
        <f ca="1">IF(Data!B154="","",IF(ISNUMBER(Data!F154),IF(AND(Data!F154&gt;(TODAY()-(Data_Val!$H$3*365.25)),Data!F154&lt;=(TODAY()-(Data_Val!$H$2*365.25))),0,1),1))</f>
        <v/>
      </c>
      <c r="G154" s="15" t="str">
        <f>IF(Data!B154="","",IF(AND(Data!G154="",Data!H154&lt;&gt;""),1,IF(Data!#REF!&lt;&gt;"",0,IF(ISNUMBER(MATCH(Data!G154,Data_Val!$C$2:$C$5,0)),0,1))))</f>
        <v/>
      </c>
      <c r="H154" s="15" t="str">
        <f>IF(Data!B154="","",IF(AND(Data!G154&lt;&gt;"",Data!H154=""),1,IF(Data!#REF!&lt;&gt;"",0,IF(Data!G154="",1,IF(ISNUMBER(MATCH(Data!H154,Data_Val!$D$2:$D$35,0)),0,1)))))</f>
        <v/>
      </c>
      <c r="I154" s="15" t="str">
        <f>IF(Data!B154="","",IF(Data!G154&lt;&gt;"",0,IF(ISNUMBER(MATCH(Data!#REF!,Data_Val!$E$2:$E$12,0)),0,1)))</f>
        <v/>
      </c>
      <c r="J154" s="16" t="e">
        <f>IF(OR(Data!B154="",Data!#REF!=""),"",IF(Data!#REF!="",1,0))</f>
        <v>#REF!</v>
      </c>
      <c r="K154" s="16" t="e">
        <f>IF(OR(Data!B154="",Data!#REF!=""),"",IF(Data!#REF!="",1,0))</f>
        <v>#REF!</v>
      </c>
      <c r="L154" s="16" t="e">
        <f>IF(OR(Data!B154="",Data!#REF!=""),"",IF(ISNUMBER(Data!#REF!),IF(AND(Data!#REF!&gt;Data_Val!$G$2,Data!#REF!&lt;=Data_Val!$G$3),0,1),1))</f>
        <v>#REF!</v>
      </c>
      <c r="M154" s="9" t="e">
        <f>IF(OR(Data!B154="",Data!#REF!=""),"",IF(ISNUMBER(MATCH(Data!#REF!,Data_Val!$F$1:$F$38,0)),0,1))</f>
        <v>#REF!</v>
      </c>
      <c r="N154" s="9" t="e">
        <f>IF(OR(Data!B154="",Data!#REF!=""),"",IF(Data!#REF!="",1,0))</f>
        <v>#REF!</v>
      </c>
      <c r="O154" s="17" t="e">
        <f>IF(Data!#REF!="","",IF(Data!#REF!="",1,0))</f>
        <v>#REF!</v>
      </c>
      <c r="P154" s="17" t="e">
        <f>IF(Data!#REF!="","",IF(ISNUMBER(MATCH(Data!#REF!,Data_Val!$A$2:$A$3,0)),0,1))</f>
        <v>#REF!</v>
      </c>
      <c r="Q154" s="25" t="e">
        <f ca="1">IF(Data!#REF!="","",IF(ISNUMBER(Data!#REF!),IF(AND(Data!#REF!&gt;(TODAY()-(Data_Val!$J$3*365.25)),Data!#REF!&lt;=(TODAY()-(Data_Val!$J$2*365.25))),0,1),1))</f>
        <v>#REF!</v>
      </c>
      <c r="R154" s="17" t="e">
        <f>IF(Data!#REF!="","",IF(ISNUMBER(MATCH(Data!#REF!,Data_Val!$B$2:$B$15,0)),0,1))</f>
        <v>#REF!</v>
      </c>
      <c r="S154" s="11" t="str">
        <f>IF(Data!G154="","",IF(Data!G154=Data_Val!$C$2,IF(Data!M154="",0,1),0))</f>
        <v/>
      </c>
      <c r="T154" s="11" t="str">
        <f>IF(Data!M154="","",IF(ISNUMBER(MATCH(Data!N154,Data_Val!$A$2:$A$3,0)),0,1))</f>
        <v/>
      </c>
      <c r="U154" s="11" t="str">
        <f ca="1">IF(Data!M154="","",IF(ISNUMBER(Data!O154),IF(AND(Data!O154&gt;(TODAY()-(Data_Val!$K$3*365.25)),Data!O154&lt;=(TODAY()-(Data_Val!$K$2*365.25))),0,1),1))</f>
        <v/>
      </c>
      <c r="V154" s="12" t="str">
        <f>IF(Data!G154="","",IF(Data!G154=Data_Val!$C$2,IF(Data!P154="",0,1),0))</f>
        <v/>
      </c>
      <c r="W154" s="12" t="str">
        <f>IF(Data!P154="","",IF(ISNUMBER(MATCH(Data!Q154,Data_Val!$A$2:$A$3,0)),0,1))</f>
        <v/>
      </c>
      <c r="X154" s="26" t="str">
        <f ca="1">IF(Data!P154="","",IF(ISNUMBER(Data!R154),IF(AND(Data!R154&gt;(TODAY()-(Data_Val!$L$3*365.25)),Data!R154&lt;=(TODAY()-(Data_Val!$L$2*365.25))),0,1),1))</f>
        <v/>
      </c>
      <c r="Y154" s="13" t="str">
        <f>IF(Data!$G154="","",IF(Data!$G154=Data_Val!$C$2,IF(Data!S154="",0,1),0))</f>
        <v/>
      </c>
      <c r="Z154" s="13" t="str">
        <f>IF(Data!S154="","",IF(ISNUMBER(MATCH(Data!T154,Data_Val!$A$2:$A$3,0)),0,1))</f>
        <v/>
      </c>
      <c r="AA154" s="28" t="str">
        <f ca="1">IF(Data!S154="","",IF(ISNUMBER(Data!U154),IF(AND(Data!U154&gt;(TODAY()-(Data_Val!$L$3*365.25)),Data!U154&lt;=(TODAY()-(Data_Val!$L$2*365.25))),0,1),1))</f>
        <v/>
      </c>
      <c r="AB154" s="11"/>
      <c r="AC154" s="11" t="e">
        <f>IF(Data!#REF!="","",IF(ISNUMBER(MATCH(Data!#REF!,Data_Val!$A$2:$A$3,0)),0,1))</f>
        <v>#REF!</v>
      </c>
      <c r="AD154" s="11" t="e">
        <f ca="1">IF(Data!#REF!="","",IF(ISNUMBER(Data!#REF!),IF(AND(Data!#REF!&gt;(TODAY()-(Data_Val!$L$3*365.25)),Data!#REF!&lt;=(TODAY()-(Data_Val!$L$2*365.25))),0,1),1))</f>
        <v>#REF!</v>
      </c>
      <c r="AE154" s="11" t="e">
        <f>IF(Data!#REF!="","",IF(Data!$G154="",1,IF(ISNUMBER(MATCH(Data!#REF!,Data_Val!$D$2:$D$10,0)),0,1)))</f>
        <v>#REF!</v>
      </c>
      <c r="AF154" s="12"/>
      <c r="AG154" s="12" t="e">
        <f>IF(Data!#REF!="","",IF(ISNUMBER(MATCH(Data!#REF!,Data_Val!$A$2:$A$3,0)),0,1))</f>
        <v>#REF!</v>
      </c>
      <c r="AH154" s="26" t="e">
        <f ca="1">IF(Data!#REF!="","",IF(ISNUMBER(Data!#REF!),IF(AND(Data!#REF!&gt;(TODAY()-(Data_Val!$L$3*365.25)),Data!#REF!&lt;=(TODAY()-(Data_Val!$L$2*365.25))),0,1),1))</f>
        <v>#REF!</v>
      </c>
      <c r="AI154" s="12" t="e">
        <f>IF(Data!#REF!="","",IF(Data!$G154="",1,IF(ISNUMBER(MATCH(Data!#REF!,Data_Val!$D$2:$D$10,0)),0,1)))</f>
        <v>#REF!</v>
      </c>
      <c r="AJ154" s="17"/>
      <c r="AK154" s="17" t="e">
        <f>IF(Data!#REF!="","",IF(ISNUMBER(MATCH(Data!#REF!,Data_Val!$A$2:$A$3,0)),0,1))</f>
        <v>#REF!</v>
      </c>
      <c r="AL154" s="25" t="e">
        <f ca="1">IF(Data!#REF!="","",IF(ISNUMBER(Data!#REF!),IF(AND(Data!#REF!&gt;(TODAY()-(Data_Val!$L$3*365.25)),Data!#REF!&lt;=(TODAY()-(Data_Val!$L$2*365.25))),0,1),1))</f>
        <v>#REF!</v>
      </c>
      <c r="AM154" s="17" t="e">
        <f>IF(Data!#REF!="","",IF(Data!$G154="",1,IF(ISNUMBER(MATCH(Data!#REF!,Data_Val!$D$2:$D$10,0)),0,1)))</f>
        <v>#REF!</v>
      </c>
      <c r="AN154" s="13"/>
      <c r="AO154" s="28" t="e">
        <f ca="1">IF(Data!#REF!="","",IF(ISNUMBER(Data!#REF!),IF(AND(Data!#REF!&gt;(TODAY()-(Data_Val!$I$3*365.25)),Data!#REF!&lt;=(TODAY()-(Data_Val!$I$2*365.25))),0,1),1))</f>
        <v>#REF!</v>
      </c>
      <c r="AP154" s="13" t="e">
        <f>IF(Data!#REF!="","",IF(Data!$G154="",1,IF(ISNUMBER(MATCH(Data!#REF!,Data_Val!$D$2:$D$10,0)),0,1)))</f>
        <v>#REF!</v>
      </c>
      <c r="AQ154" s="17"/>
      <c r="AR154" s="30" t="e">
        <f ca="1">IF(Data!#REF!="","",IF(ISNUMBER(Data!#REF!),IF(AND(Data!#REF!&gt;(TODAY()-(Data_Val!$I$3*365.25)),Data!#REF!&lt;=(TODAY()-(Data_Val!$I$2*365.25))),0,1),1))</f>
        <v>#REF!</v>
      </c>
      <c r="AS154" s="31" t="e">
        <f>IF(Data!#REF!="","",IF(Data!$G154="",1,IF(ISNUMBER(MATCH(Data!#REF!,Data_Val!$D$2:$D$10,0)),0,1)))</f>
        <v>#REF!</v>
      </c>
      <c r="AT154" s="11"/>
      <c r="AU154" s="11" t="e">
        <f ca="1">IF(Data!#REF!="","",IF(ISNUMBER(Data!#REF!),IF(AND(Data!#REF!&gt;(TODAY()-(Data_Val!$I$3*365.25)),Data!#REF!&lt;=(TODAY()-(Data_Val!$I$2*365.25))),0,1),1))</f>
        <v>#REF!</v>
      </c>
      <c r="AV154" s="11" t="e">
        <f>IF(Data!#REF!="","",IF(Data!$G154="",1,IF(ISNUMBER(MATCH(Data!#REF!,Data_Val!$D$2:$D$10,0)),0,1)))</f>
        <v>#REF!</v>
      </c>
      <c r="AW154" s="12"/>
      <c r="AX154" s="26" t="e">
        <f ca="1">IF(Data!#REF!="","",IF(ISNUMBER(Data!#REF!),IF(AND(Data!#REF!&gt;(TODAY()-(Data_Val!$I$3*365.25)),Data!#REF!&lt;=(TODAY()-(Data_Val!$I$2*365.25))),0,1),1))</f>
        <v>#REF!</v>
      </c>
      <c r="AY154" s="12" t="e">
        <f>IF(Data!#REF!="","",IF(Data!$G154="",1,IF(ISNUMBER(MATCH(Data!#REF!,Data_Val!$D$2:$D$10,0)),0,1)))</f>
        <v>#REF!</v>
      </c>
      <c r="AZ154" s="11"/>
      <c r="BA154" s="19" t="e">
        <f ca="1">IF(Data!#REF!="","",IF(ISNUMBER(Data!#REF!),IF(AND(Data!#REF!&gt;(TODAY()-(Data_Val!$M$3*365.25)),Data!#REF!&lt;=(TODAY()-(Data_Val!$M$2*365.25))),0,1),1))</f>
        <v>#REF!</v>
      </c>
      <c r="BB154" s="11" t="e">
        <f>IF(Data!#REF!="","",IF(Data!$G154="",1,IF(ISNUMBER(MATCH(Data!#REF!,Data_Val!$D$2:$D$10,0)),0,1)))</f>
        <v>#REF!</v>
      </c>
      <c r="BC154" s="12"/>
      <c r="BD154" s="20" t="e">
        <f ca="1">IF(Data!#REF!="","",IF(ISNUMBER(Data!#REF!),IF(AND(Data!#REF!&gt;(TODAY()-(Data_Val!$M$3*365.25)),Data!#REF!&lt;=(TODAY()-(Data_Val!$M$2*365.25))),0,1),1))</f>
        <v>#REF!</v>
      </c>
      <c r="BE154" s="12" t="e">
        <f>IF(Data!#REF!="","",IF(Data!$G154="",1,IF(ISNUMBER(MATCH(Data!#REF!,Data_Val!$D$2:$D$10,0)),0,1)))</f>
        <v>#REF!</v>
      </c>
      <c r="BF154" s="17"/>
      <c r="BG154" s="18" t="e">
        <f ca="1">IF(Data!#REF!="","",IF(ISNUMBER(Data!#REF!),IF(AND(Data!#REF!&gt;(TODAY()-(Data_Val!$M$3*365.25)),Data!#REF!&lt;=(TODAY()-(Data_Val!$M$2*365.25))),0,1),1))</f>
        <v>#REF!</v>
      </c>
      <c r="BH154" s="29" t="e">
        <f>IF(Data!#REF!="","",IF(Data!$G154="",1,IF(ISNUMBER(MATCH(Data!#REF!,Data_Val!$D$2:$D$10,0)),0,1)))</f>
        <v>#REF!</v>
      </c>
      <c r="BI154" s="13"/>
      <c r="BJ154" s="21" t="e">
        <f ca="1">IF(Data!#REF!="","",IF(ISNUMBER(Data!#REF!),IF(AND(Data!#REF!&gt;(TODAY()-(Data_Val!$M$3*365.25)),Data!#REF!&lt;=(TODAY()-(Data_Val!$M$2*365.25))),0,1),1))</f>
        <v>#REF!</v>
      </c>
      <c r="BK154" s="13" t="e">
        <f>IF(Data!#REF!="","",IF(Data!$G154="",1,IF(ISNUMBER(MATCH(Data!#REF!,Data_Val!$D$2:$D$10,0)),0,1)))</f>
        <v>#REF!</v>
      </c>
    </row>
    <row r="155" spans="1:63" x14ac:dyDescent="0.25">
      <c r="A155" s="9" t="str">
        <f>IF(Data!B155="","",IF(COUNTIFS(Data!A$1:'Data'!A155,Data!A155)&lt;=1,0,1))</f>
        <v/>
      </c>
      <c r="B155" s="9"/>
      <c r="C155" s="23" t="str">
        <f>IF(Data!C155="","",(IF(ISNUMBER(MATCH("*@*.?*",Data!C155,0)),0,1)+IF(COUNTIFS(Data!C$1:'Data'!C155,Data!C155)&gt;1,1,0)))</f>
        <v/>
      </c>
      <c r="D155" s="9" t="str">
        <f>IF(Data!B155="","",IF(ISNUMBER(Data!D155),IF(AND(Data!D155&gt;999999999,Data!D155&lt;=9999999999),IF(COUNTIFS(Data!D$1:'Data'!D155,Data!D155)&lt;=1,0,1),1),1))</f>
        <v/>
      </c>
      <c r="E155" s="9" t="str">
        <f>IF(Data!B155="","",IF(ISNUMBER(MATCH(Data!E155,Data_Val!$A$2:$A$3,0)),0,1))</f>
        <v/>
      </c>
      <c r="F155" s="9" t="str">
        <f ca="1">IF(Data!B155="","",IF(ISNUMBER(Data!F155),IF(AND(Data!F155&gt;(TODAY()-(Data_Val!$H$3*365.25)),Data!F155&lt;=(TODAY()-(Data_Val!$H$2*365.25))),0,1),1))</f>
        <v/>
      </c>
      <c r="G155" s="15" t="str">
        <f>IF(Data!B155="","",IF(AND(Data!G155="",Data!H155&lt;&gt;""),1,IF(Data!#REF!&lt;&gt;"",0,IF(ISNUMBER(MATCH(Data!G155,Data_Val!$C$2:$C$5,0)),0,1))))</f>
        <v/>
      </c>
      <c r="H155" s="15" t="str">
        <f>IF(Data!B155="","",IF(AND(Data!G155&lt;&gt;"",Data!H155=""),1,IF(Data!#REF!&lt;&gt;"",0,IF(Data!G155="",1,IF(ISNUMBER(MATCH(Data!H155,Data_Val!$D$2:$D$35,0)),0,1)))))</f>
        <v/>
      </c>
      <c r="I155" s="15" t="str">
        <f>IF(Data!B155="","",IF(Data!G155&lt;&gt;"",0,IF(ISNUMBER(MATCH(Data!#REF!,Data_Val!$E$2:$E$12,0)),0,1)))</f>
        <v/>
      </c>
      <c r="J155" s="16" t="e">
        <f>IF(OR(Data!B155="",Data!#REF!=""),"",IF(Data!#REF!="",1,0))</f>
        <v>#REF!</v>
      </c>
      <c r="K155" s="16" t="e">
        <f>IF(OR(Data!B155="",Data!#REF!=""),"",IF(Data!#REF!="",1,0))</f>
        <v>#REF!</v>
      </c>
      <c r="L155" s="16" t="e">
        <f>IF(OR(Data!B155="",Data!#REF!=""),"",IF(ISNUMBER(Data!#REF!),IF(AND(Data!#REF!&gt;Data_Val!$G$2,Data!#REF!&lt;=Data_Val!$G$3),0,1),1))</f>
        <v>#REF!</v>
      </c>
      <c r="M155" s="9" t="e">
        <f>IF(OR(Data!B155="",Data!#REF!=""),"",IF(ISNUMBER(MATCH(Data!#REF!,Data_Val!$F$1:$F$38,0)),0,1))</f>
        <v>#REF!</v>
      </c>
      <c r="N155" s="9" t="e">
        <f>IF(OR(Data!B155="",Data!#REF!=""),"",IF(Data!#REF!="",1,0))</f>
        <v>#REF!</v>
      </c>
      <c r="O155" s="17" t="e">
        <f>IF(Data!#REF!="","",IF(Data!#REF!="",1,0))</f>
        <v>#REF!</v>
      </c>
      <c r="P155" s="17" t="e">
        <f>IF(Data!#REF!="","",IF(ISNUMBER(MATCH(Data!#REF!,Data_Val!$A$2:$A$3,0)),0,1))</f>
        <v>#REF!</v>
      </c>
      <c r="Q155" s="25" t="e">
        <f ca="1">IF(Data!#REF!="","",IF(ISNUMBER(Data!#REF!),IF(AND(Data!#REF!&gt;(TODAY()-(Data_Val!$J$3*365.25)),Data!#REF!&lt;=(TODAY()-(Data_Val!$J$2*365.25))),0,1),1))</f>
        <v>#REF!</v>
      </c>
      <c r="R155" s="17" t="e">
        <f>IF(Data!#REF!="","",IF(ISNUMBER(MATCH(Data!#REF!,Data_Val!$B$2:$B$15,0)),0,1))</f>
        <v>#REF!</v>
      </c>
      <c r="S155" s="11" t="str">
        <f>IF(Data!G155="","",IF(Data!G155=Data_Val!$C$2,IF(Data!M155="",0,1),0))</f>
        <v/>
      </c>
      <c r="T155" s="11" t="str">
        <f>IF(Data!M155="","",IF(ISNUMBER(MATCH(Data!N155,Data_Val!$A$2:$A$3,0)),0,1))</f>
        <v/>
      </c>
      <c r="U155" s="11" t="str">
        <f ca="1">IF(Data!M155="","",IF(ISNUMBER(Data!O155),IF(AND(Data!O155&gt;(TODAY()-(Data_Val!$K$3*365.25)),Data!O155&lt;=(TODAY()-(Data_Val!$K$2*365.25))),0,1),1))</f>
        <v/>
      </c>
      <c r="V155" s="12" t="str">
        <f>IF(Data!G155="","",IF(Data!G155=Data_Val!$C$2,IF(Data!P155="",0,1),0))</f>
        <v/>
      </c>
      <c r="W155" s="12" t="str">
        <f>IF(Data!P155="","",IF(ISNUMBER(MATCH(Data!Q155,Data_Val!$A$2:$A$3,0)),0,1))</f>
        <v/>
      </c>
      <c r="X155" s="26" t="str">
        <f ca="1">IF(Data!P155="","",IF(ISNUMBER(Data!R155),IF(AND(Data!R155&gt;(TODAY()-(Data_Val!$L$3*365.25)),Data!R155&lt;=(TODAY()-(Data_Val!$L$2*365.25))),0,1),1))</f>
        <v/>
      </c>
      <c r="Y155" s="13" t="str">
        <f>IF(Data!$G155="","",IF(Data!$G155=Data_Val!$C$2,IF(Data!S155="",0,1),0))</f>
        <v/>
      </c>
      <c r="Z155" s="13" t="str">
        <f>IF(Data!S155="","",IF(ISNUMBER(MATCH(Data!T155,Data_Val!$A$2:$A$3,0)),0,1))</f>
        <v/>
      </c>
      <c r="AA155" s="28" t="str">
        <f ca="1">IF(Data!S155="","",IF(ISNUMBER(Data!U155),IF(AND(Data!U155&gt;(TODAY()-(Data_Val!$L$3*365.25)),Data!U155&lt;=(TODAY()-(Data_Val!$L$2*365.25))),0,1),1))</f>
        <v/>
      </c>
      <c r="AB155" s="11"/>
      <c r="AC155" s="11" t="e">
        <f>IF(Data!#REF!="","",IF(ISNUMBER(MATCH(Data!#REF!,Data_Val!$A$2:$A$3,0)),0,1))</f>
        <v>#REF!</v>
      </c>
      <c r="AD155" s="11" t="e">
        <f ca="1">IF(Data!#REF!="","",IF(ISNUMBER(Data!#REF!),IF(AND(Data!#REF!&gt;(TODAY()-(Data_Val!$L$3*365.25)),Data!#REF!&lt;=(TODAY()-(Data_Val!$L$2*365.25))),0,1),1))</f>
        <v>#REF!</v>
      </c>
      <c r="AE155" s="11" t="e">
        <f>IF(Data!#REF!="","",IF(Data!$G155="",1,IF(ISNUMBER(MATCH(Data!#REF!,Data_Val!$D$2:$D$10,0)),0,1)))</f>
        <v>#REF!</v>
      </c>
      <c r="AF155" s="12"/>
      <c r="AG155" s="12" t="e">
        <f>IF(Data!#REF!="","",IF(ISNUMBER(MATCH(Data!#REF!,Data_Val!$A$2:$A$3,0)),0,1))</f>
        <v>#REF!</v>
      </c>
      <c r="AH155" s="26" t="e">
        <f ca="1">IF(Data!#REF!="","",IF(ISNUMBER(Data!#REF!),IF(AND(Data!#REF!&gt;(TODAY()-(Data_Val!$L$3*365.25)),Data!#REF!&lt;=(TODAY()-(Data_Val!$L$2*365.25))),0,1),1))</f>
        <v>#REF!</v>
      </c>
      <c r="AI155" s="12" t="e">
        <f>IF(Data!#REF!="","",IF(Data!$G155="",1,IF(ISNUMBER(MATCH(Data!#REF!,Data_Val!$D$2:$D$10,0)),0,1)))</f>
        <v>#REF!</v>
      </c>
      <c r="AJ155" s="17"/>
      <c r="AK155" s="17" t="e">
        <f>IF(Data!#REF!="","",IF(ISNUMBER(MATCH(Data!#REF!,Data_Val!$A$2:$A$3,0)),0,1))</f>
        <v>#REF!</v>
      </c>
      <c r="AL155" s="25" t="e">
        <f ca="1">IF(Data!#REF!="","",IF(ISNUMBER(Data!#REF!),IF(AND(Data!#REF!&gt;(TODAY()-(Data_Val!$L$3*365.25)),Data!#REF!&lt;=(TODAY()-(Data_Val!$L$2*365.25))),0,1),1))</f>
        <v>#REF!</v>
      </c>
      <c r="AM155" s="17" t="e">
        <f>IF(Data!#REF!="","",IF(Data!$G155="",1,IF(ISNUMBER(MATCH(Data!#REF!,Data_Val!$D$2:$D$10,0)),0,1)))</f>
        <v>#REF!</v>
      </c>
      <c r="AN155" s="13"/>
      <c r="AO155" s="28" t="e">
        <f ca="1">IF(Data!#REF!="","",IF(ISNUMBER(Data!#REF!),IF(AND(Data!#REF!&gt;(TODAY()-(Data_Val!$I$3*365.25)),Data!#REF!&lt;=(TODAY()-(Data_Val!$I$2*365.25))),0,1),1))</f>
        <v>#REF!</v>
      </c>
      <c r="AP155" s="13" t="e">
        <f>IF(Data!#REF!="","",IF(Data!$G155="",1,IF(ISNUMBER(MATCH(Data!#REF!,Data_Val!$D$2:$D$10,0)),0,1)))</f>
        <v>#REF!</v>
      </c>
      <c r="AQ155" s="17"/>
      <c r="AR155" s="30" t="e">
        <f ca="1">IF(Data!#REF!="","",IF(ISNUMBER(Data!#REF!),IF(AND(Data!#REF!&gt;(TODAY()-(Data_Val!$I$3*365.25)),Data!#REF!&lt;=(TODAY()-(Data_Val!$I$2*365.25))),0,1),1))</f>
        <v>#REF!</v>
      </c>
      <c r="AS155" s="31" t="e">
        <f>IF(Data!#REF!="","",IF(Data!$G155="",1,IF(ISNUMBER(MATCH(Data!#REF!,Data_Val!$D$2:$D$10,0)),0,1)))</f>
        <v>#REF!</v>
      </c>
      <c r="AT155" s="11"/>
      <c r="AU155" s="11" t="e">
        <f ca="1">IF(Data!#REF!="","",IF(ISNUMBER(Data!#REF!),IF(AND(Data!#REF!&gt;(TODAY()-(Data_Val!$I$3*365.25)),Data!#REF!&lt;=(TODAY()-(Data_Val!$I$2*365.25))),0,1),1))</f>
        <v>#REF!</v>
      </c>
      <c r="AV155" s="11" t="e">
        <f>IF(Data!#REF!="","",IF(Data!$G155="",1,IF(ISNUMBER(MATCH(Data!#REF!,Data_Val!$D$2:$D$10,0)),0,1)))</f>
        <v>#REF!</v>
      </c>
      <c r="AW155" s="12"/>
      <c r="AX155" s="26" t="e">
        <f ca="1">IF(Data!#REF!="","",IF(ISNUMBER(Data!#REF!),IF(AND(Data!#REF!&gt;(TODAY()-(Data_Val!$I$3*365.25)),Data!#REF!&lt;=(TODAY()-(Data_Val!$I$2*365.25))),0,1),1))</f>
        <v>#REF!</v>
      </c>
      <c r="AY155" s="12" t="e">
        <f>IF(Data!#REF!="","",IF(Data!$G155="",1,IF(ISNUMBER(MATCH(Data!#REF!,Data_Val!$D$2:$D$10,0)),0,1)))</f>
        <v>#REF!</v>
      </c>
      <c r="AZ155" s="11"/>
      <c r="BA155" s="19" t="e">
        <f ca="1">IF(Data!#REF!="","",IF(ISNUMBER(Data!#REF!),IF(AND(Data!#REF!&gt;(TODAY()-(Data_Val!$M$3*365.25)),Data!#REF!&lt;=(TODAY()-(Data_Val!$M$2*365.25))),0,1),1))</f>
        <v>#REF!</v>
      </c>
      <c r="BB155" s="11" t="e">
        <f>IF(Data!#REF!="","",IF(Data!$G155="",1,IF(ISNUMBER(MATCH(Data!#REF!,Data_Val!$D$2:$D$10,0)),0,1)))</f>
        <v>#REF!</v>
      </c>
      <c r="BC155" s="12"/>
      <c r="BD155" s="20" t="e">
        <f ca="1">IF(Data!#REF!="","",IF(ISNUMBER(Data!#REF!),IF(AND(Data!#REF!&gt;(TODAY()-(Data_Val!$M$3*365.25)),Data!#REF!&lt;=(TODAY()-(Data_Val!$M$2*365.25))),0,1),1))</f>
        <v>#REF!</v>
      </c>
      <c r="BE155" s="12" t="e">
        <f>IF(Data!#REF!="","",IF(Data!$G155="",1,IF(ISNUMBER(MATCH(Data!#REF!,Data_Val!$D$2:$D$10,0)),0,1)))</f>
        <v>#REF!</v>
      </c>
      <c r="BF155" s="17"/>
      <c r="BG155" s="18" t="e">
        <f ca="1">IF(Data!#REF!="","",IF(ISNUMBER(Data!#REF!),IF(AND(Data!#REF!&gt;(TODAY()-(Data_Val!$M$3*365.25)),Data!#REF!&lt;=(TODAY()-(Data_Val!$M$2*365.25))),0,1),1))</f>
        <v>#REF!</v>
      </c>
      <c r="BH155" s="29" t="e">
        <f>IF(Data!#REF!="","",IF(Data!$G155="",1,IF(ISNUMBER(MATCH(Data!#REF!,Data_Val!$D$2:$D$10,0)),0,1)))</f>
        <v>#REF!</v>
      </c>
      <c r="BI155" s="13"/>
      <c r="BJ155" s="21" t="e">
        <f ca="1">IF(Data!#REF!="","",IF(ISNUMBER(Data!#REF!),IF(AND(Data!#REF!&gt;(TODAY()-(Data_Val!$M$3*365.25)),Data!#REF!&lt;=(TODAY()-(Data_Val!$M$2*365.25))),0,1),1))</f>
        <v>#REF!</v>
      </c>
      <c r="BK155" s="13" t="e">
        <f>IF(Data!#REF!="","",IF(Data!$G155="",1,IF(ISNUMBER(MATCH(Data!#REF!,Data_Val!$D$2:$D$10,0)),0,1)))</f>
        <v>#REF!</v>
      </c>
    </row>
    <row r="156" spans="1:63" x14ac:dyDescent="0.25">
      <c r="A156" s="9" t="str">
        <f>IF(Data!B156="","",IF(COUNTIFS(Data!A$1:'Data'!A156,Data!A156)&lt;=1,0,1))</f>
        <v/>
      </c>
      <c r="B156" s="9"/>
      <c r="C156" s="23" t="str">
        <f>IF(Data!C156="","",(IF(ISNUMBER(MATCH("*@*.?*",Data!C156,0)),0,1)+IF(COUNTIFS(Data!C$1:'Data'!C156,Data!C156)&gt;1,1,0)))</f>
        <v/>
      </c>
      <c r="D156" s="9" t="str">
        <f>IF(Data!B156="","",IF(ISNUMBER(Data!D156),IF(AND(Data!D156&gt;999999999,Data!D156&lt;=9999999999),IF(COUNTIFS(Data!D$1:'Data'!D156,Data!D156)&lt;=1,0,1),1),1))</f>
        <v/>
      </c>
      <c r="E156" s="9" t="str">
        <f>IF(Data!B156="","",IF(ISNUMBER(MATCH(Data!E156,Data_Val!$A$2:$A$3,0)),0,1))</f>
        <v/>
      </c>
      <c r="F156" s="9" t="str">
        <f ca="1">IF(Data!B156="","",IF(ISNUMBER(Data!F156),IF(AND(Data!F156&gt;(TODAY()-(Data_Val!$H$3*365.25)),Data!F156&lt;=(TODAY()-(Data_Val!$H$2*365.25))),0,1),1))</f>
        <v/>
      </c>
      <c r="G156" s="15" t="str">
        <f>IF(Data!B156="","",IF(AND(Data!G156="",Data!H156&lt;&gt;""),1,IF(Data!#REF!&lt;&gt;"",0,IF(ISNUMBER(MATCH(Data!G156,Data_Val!$C$2:$C$5,0)),0,1))))</f>
        <v/>
      </c>
      <c r="H156" s="15" t="str">
        <f>IF(Data!B156="","",IF(AND(Data!G156&lt;&gt;"",Data!H156=""),1,IF(Data!#REF!&lt;&gt;"",0,IF(Data!G156="",1,IF(ISNUMBER(MATCH(Data!H156,Data_Val!$D$2:$D$35,0)),0,1)))))</f>
        <v/>
      </c>
      <c r="I156" s="15" t="str">
        <f>IF(Data!B156="","",IF(Data!G156&lt;&gt;"",0,IF(ISNUMBER(MATCH(Data!#REF!,Data_Val!$E$2:$E$12,0)),0,1)))</f>
        <v/>
      </c>
      <c r="J156" s="16" t="e">
        <f>IF(OR(Data!B156="",Data!#REF!=""),"",IF(Data!#REF!="",1,0))</f>
        <v>#REF!</v>
      </c>
      <c r="K156" s="16" t="e">
        <f>IF(OR(Data!B156="",Data!#REF!=""),"",IF(Data!#REF!="",1,0))</f>
        <v>#REF!</v>
      </c>
      <c r="L156" s="16" t="e">
        <f>IF(OR(Data!B156="",Data!#REF!=""),"",IF(ISNUMBER(Data!#REF!),IF(AND(Data!#REF!&gt;Data_Val!$G$2,Data!#REF!&lt;=Data_Val!$G$3),0,1),1))</f>
        <v>#REF!</v>
      </c>
      <c r="M156" s="9" t="e">
        <f>IF(OR(Data!B156="",Data!#REF!=""),"",IF(ISNUMBER(MATCH(Data!#REF!,Data_Val!$F$1:$F$38,0)),0,1))</f>
        <v>#REF!</v>
      </c>
      <c r="N156" s="9" t="e">
        <f>IF(OR(Data!B156="",Data!#REF!=""),"",IF(Data!#REF!="",1,0))</f>
        <v>#REF!</v>
      </c>
      <c r="O156" s="17" t="e">
        <f>IF(Data!#REF!="","",IF(Data!#REF!="",1,0))</f>
        <v>#REF!</v>
      </c>
      <c r="P156" s="17" t="e">
        <f>IF(Data!#REF!="","",IF(ISNUMBER(MATCH(Data!#REF!,Data_Val!$A$2:$A$3,0)),0,1))</f>
        <v>#REF!</v>
      </c>
      <c r="Q156" s="25" t="e">
        <f ca="1">IF(Data!#REF!="","",IF(ISNUMBER(Data!#REF!),IF(AND(Data!#REF!&gt;(TODAY()-(Data_Val!$J$3*365.25)),Data!#REF!&lt;=(TODAY()-(Data_Val!$J$2*365.25))),0,1),1))</f>
        <v>#REF!</v>
      </c>
      <c r="R156" s="17" t="e">
        <f>IF(Data!#REF!="","",IF(ISNUMBER(MATCH(Data!#REF!,Data_Val!$B$2:$B$15,0)),0,1))</f>
        <v>#REF!</v>
      </c>
      <c r="S156" s="11" t="str">
        <f>IF(Data!G156="","",IF(Data!G156=Data_Val!$C$2,IF(Data!M156="",0,1),0))</f>
        <v/>
      </c>
      <c r="T156" s="11" t="str">
        <f>IF(Data!M156="","",IF(ISNUMBER(MATCH(Data!N156,Data_Val!$A$2:$A$3,0)),0,1))</f>
        <v/>
      </c>
      <c r="U156" s="11" t="str">
        <f ca="1">IF(Data!M156="","",IF(ISNUMBER(Data!O156),IF(AND(Data!O156&gt;(TODAY()-(Data_Val!$K$3*365.25)),Data!O156&lt;=(TODAY()-(Data_Val!$K$2*365.25))),0,1),1))</f>
        <v/>
      </c>
      <c r="V156" s="12" t="str">
        <f>IF(Data!G156="","",IF(Data!G156=Data_Val!$C$2,IF(Data!P156="",0,1),0))</f>
        <v/>
      </c>
      <c r="W156" s="12" t="str">
        <f>IF(Data!P156="","",IF(ISNUMBER(MATCH(Data!Q156,Data_Val!$A$2:$A$3,0)),0,1))</f>
        <v/>
      </c>
      <c r="X156" s="26" t="str">
        <f ca="1">IF(Data!P156="","",IF(ISNUMBER(Data!R156),IF(AND(Data!R156&gt;(TODAY()-(Data_Val!$L$3*365.25)),Data!R156&lt;=(TODAY()-(Data_Val!$L$2*365.25))),0,1),1))</f>
        <v/>
      </c>
      <c r="Y156" s="13" t="str">
        <f>IF(Data!$G156="","",IF(Data!$G156=Data_Val!$C$2,IF(Data!S156="",0,1),0))</f>
        <v/>
      </c>
      <c r="Z156" s="13" t="str">
        <f>IF(Data!S156="","",IF(ISNUMBER(MATCH(Data!T156,Data_Val!$A$2:$A$3,0)),0,1))</f>
        <v/>
      </c>
      <c r="AA156" s="28" t="str">
        <f ca="1">IF(Data!S156="","",IF(ISNUMBER(Data!U156),IF(AND(Data!U156&gt;(TODAY()-(Data_Val!$L$3*365.25)),Data!U156&lt;=(TODAY()-(Data_Val!$L$2*365.25))),0,1),1))</f>
        <v/>
      </c>
      <c r="AB156" s="11"/>
      <c r="AC156" s="11" t="e">
        <f>IF(Data!#REF!="","",IF(ISNUMBER(MATCH(Data!#REF!,Data_Val!$A$2:$A$3,0)),0,1))</f>
        <v>#REF!</v>
      </c>
      <c r="AD156" s="11" t="e">
        <f ca="1">IF(Data!#REF!="","",IF(ISNUMBER(Data!#REF!),IF(AND(Data!#REF!&gt;(TODAY()-(Data_Val!$L$3*365.25)),Data!#REF!&lt;=(TODAY()-(Data_Val!$L$2*365.25))),0,1),1))</f>
        <v>#REF!</v>
      </c>
      <c r="AE156" s="11" t="e">
        <f>IF(Data!#REF!="","",IF(Data!$G156="",1,IF(ISNUMBER(MATCH(Data!#REF!,Data_Val!$D$2:$D$10,0)),0,1)))</f>
        <v>#REF!</v>
      </c>
      <c r="AF156" s="12"/>
      <c r="AG156" s="12" t="e">
        <f>IF(Data!#REF!="","",IF(ISNUMBER(MATCH(Data!#REF!,Data_Val!$A$2:$A$3,0)),0,1))</f>
        <v>#REF!</v>
      </c>
      <c r="AH156" s="26" t="e">
        <f ca="1">IF(Data!#REF!="","",IF(ISNUMBER(Data!#REF!),IF(AND(Data!#REF!&gt;(TODAY()-(Data_Val!$L$3*365.25)),Data!#REF!&lt;=(TODAY()-(Data_Val!$L$2*365.25))),0,1),1))</f>
        <v>#REF!</v>
      </c>
      <c r="AI156" s="12" t="e">
        <f>IF(Data!#REF!="","",IF(Data!$G156="",1,IF(ISNUMBER(MATCH(Data!#REF!,Data_Val!$D$2:$D$10,0)),0,1)))</f>
        <v>#REF!</v>
      </c>
      <c r="AJ156" s="17"/>
      <c r="AK156" s="17" t="e">
        <f>IF(Data!#REF!="","",IF(ISNUMBER(MATCH(Data!#REF!,Data_Val!$A$2:$A$3,0)),0,1))</f>
        <v>#REF!</v>
      </c>
      <c r="AL156" s="25" t="e">
        <f ca="1">IF(Data!#REF!="","",IF(ISNUMBER(Data!#REF!),IF(AND(Data!#REF!&gt;(TODAY()-(Data_Val!$L$3*365.25)),Data!#REF!&lt;=(TODAY()-(Data_Val!$L$2*365.25))),0,1),1))</f>
        <v>#REF!</v>
      </c>
      <c r="AM156" s="17" t="e">
        <f>IF(Data!#REF!="","",IF(Data!$G156="",1,IF(ISNUMBER(MATCH(Data!#REF!,Data_Val!$D$2:$D$10,0)),0,1)))</f>
        <v>#REF!</v>
      </c>
      <c r="AN156" s="13"/>
      <c r="AO156" s="28" t="e">
        <f ca="1">IF(Data!#REF!="","",IF(ISNUMBER(Data!#REF!),IF(AND(Data!#REF!&gt;(TODAY()-(Data_Val!$I$3*365.25)),Data!#REF!&lt;=(TODAY()-(Data_Val!$I$2*365.25))),0,1),1))</f>
        <v>#REF!</v>
      </c>
      <c r="AP156" s="13" t="e">
        <f>IF(Data!#REF!="","",IF(Data!$G156="",1,IF(ISNUMBER(MATCH(Data!#REF!,Data_Val!$D$2:$D$10,0)),0,1)))</f>
        <v>#REF!</v>
      </c>
      <c r="AQ156" s="17"/>
      <c r="AR156" s="30" t="e">
        <f ca="1">IF(Data!#REF!="","",IF(ISNUMBER(Data!#REF!),IF(AND(Data!#REF!&gt;(TODAY()-(Data_Val!$I$3*365.25)),Data!#REF!&lt;=(TODAY()-(Data_Val!$I$2*365.25))),0,1),1))</f>
        <v>#REF!</v>
      </c>
      <c r="AS156" s="31" t="e">
        <f>IF(Data!#REF!="","",IF(Data!$G156="",1,IF(ISNUMBER(MATCH(Data!#REF!,Data_Val!$D$2:$D$10,0)),0,1)))</f>
        <v>#REF!</v>
      </c>
      <c r="AT156" s="11"/>
      <c r="AU156" s="11" t="e">
        <f ca="1">IF(Data!#REF!="","",IF(ISNUMBER(Data!#REF!),IF(AND(Data!#REF!&gt;(TODAY()-(Data_Val!$I$3*365.25)),Data!#REF!&lt;=(TODAY()-(Data_Val!$I$2*365.25))),0,1),1))</f>
        <v>#REF!</v>
      </c>
      <c r="AV156" s="11" t="e">
        <f>IF(Data!#REF!="","",IF(Data!$G156="",1,IF(ISNUMBER(MATCH(Data!#REF!,Data_Val!$D$2:$D$10,0)),0,1)))</f>
        <v>#REF!</v>
      </c>
      <c r="AW156" s="12"/>
      <c r="AX156" s="26" t="e">
        <f ca="1">IF(Data!#REF!="","",IF(ISNUMBER(Data!#REF!),IF(AND(Data!#REF!&gt;(TODAY()-(Data_Val!$I$3*365.25)),Data!#REF!&lt;=(TODAY()-(Data_Val!$I$2*365.25))),0,1),1))</f>
        <v>#REF!</v>
      </c>
      <c r="AY156" s="12" t="e">
        <f>IF(Data!#REF!="","",IF(Data!$G156="",1,IF(ISNUMBER(MATCH(Data!#REF!,Data_Val!$D$2:$D$10,0)),0,1)))</f>
        <v>#REF!</v>
      </c>
      <c r="AZ156" s="11"/>
      <c r="BA156" s="19" t="e">
        <f ca="1">IF(Data!#REF!="","",IF(ISNUMBER(Data!#REF!),IF(AND(Data!#REF!&gt;(TODAY()-(Data_Val!$M$3*365.25)),Data!#REF!&lt;=(TODAY()-(Data_Val!$M$2*365.25))),0,1),1))</f>
        <v>#REF!</v>
      </c>
      <c r="BB156" s="11" t="e">
        <f>IF(Data!#REF!="","",IF(Data!$G156="",1,IF(ISNUMBER(MATCH(Data!#REF!,Data_Val!$D$2:$D$10,0)),0,1)))</f>
        <v>#REF!</v>
      </c>
      <c r="BC156" s="12"/>
      <c r="BD156" s="20" t="e">
        <f ca="1">IF(Data!#REF!="","",IF(ISNUMBER(Data!#REF!),IF(AND(Data!#REF!&gt;(TODAY()-(Data_Val!$M$3*365.25)),Data!#REF!&lt;=(TODAY()-(Data_Val!$M$2*365.25))),0,1),1))</f>
        <v>#REF!</v>
      </c>
      <c r="BE156" s="12" t="e">
        <f>IF(Data!#REF!="","",IF(Data!$G156="",1,IF(ISNUMBER(MATCH(Data!#REF!,Data_Val!$D$2:$D$10,0)),0,1)))</f>
        <v>#REF!</v>
      </c>
      <c r="BF156" s="17"/>
      <c r="BG156" s="18" t="e">
        <f ca="1">IF(Data!#REF!="","",IF(ISNUMBER(Data!#REF!),IF(AND(Data!#REF!&gt;(TODAY()-(Data_Val!$M$3*365.25)),Data!#REF!&lt;=(TODAY()-(Data_Val!$M$2*365.25))),0,1),1))</f>
        <v>#REF!</v>
      </c>
      <c r="BH156" s="29" t="e">
        <f>IF(Data!#REF!="","",IF(Data!$G156="",1,IF(ISNUMBER(MATCH(Data!#REF!,Data_Val!$D$2:$D$10,0)),0,1)))</f>
        <v>#REF!</v>
      </c>
      <c r="BI156" s="13"/>
      <c r="BJ156" s="21" t="e">
        <f ca="1">IF(Data!#REF!="","",IF(ISNUMBER(Data!#REF!),IF(AND(Data!#REF!&gt;(TODAY()-(Data_Val!$M$3*365.25)),Data!#REF!&lt;=(TODAY()-(Data_Val!$M$2*365.25))),0,1),1))</f>
        <v>#REF!</v>
      </c>
      <c r="BK156" s="13" t="e">
        <f>IF(Data!#REF!="","",IF(Data!$G156="",1,IF(ISNUMBER(MATCH(Data!#REF!,Data_Val!$D$2:$D$10,0)),0,1)))</f>
        <v>#REF!</v>
      </c>
    </row>
    <row r="157" spans="1:63" x14ac:dyDescent="0.25">
      <c r="A157" s="9" t="str">
        <f>IF(Data!B157="","",IF(COUNTIFS(Data!A$1:'Data'!A157,Data!A157)&lt;=1,0,1))</f>
        <v/>
      </c>
      <c r="B157" s="9"/>
      <c r="C157" s="23" t="str">
        <f>IF(Data!C157="","",(IF(ISNUMBER(MATCH("*@*.?*",Data!C157,0)),0,1)+IF(COUNTIFS(Data!C$1:'Data'!C157,Data!C157)&gt;1,1,0)))</f>
        <v/>
      </c>
      <c r="D157" s="9" t="str">
        <f>IF(Data!B157="","",IF(ISNUMBER(Data!D157),IF(AND(Data!D157&gt;999999999,Data!D157&lt;=9999999999),IF(COUNTIFS(Data!D$1:'Data'!D157,Data!D157)&lt;=1,0,1),1),1))</f>
        <v/>
      </c>
      <c r="E157" s="9" t="str">
        <f>IF(Data!B157="","",IF(ISNUMBER(MATCH(Data!E157,Data_Val!$A$2:$A$3,0)),0,1))</f>
        <v/>
      </c>
      <c r="F157" s="9" t="str">
        <f ca="1">IF(Data!B157="","",IF(ISNUMBER(Data!F157),IF(AND(Data!F157&gt;(TODAY()-(Data_Val!$H$3*365.25)),Data!F157&lt;=(TODAY()-(Data_Val!$H$2*365.25))),0,1),1))</f>
        <v/>
      </c>
      <c r="G157" s="15" t="str">
        <f>IF(Data!B157="","",IF(AND(Data!G157="",Data!H157&lt;&gt;""),1,IF(Data!#REF!&lt;&gt;"",0,IF(ISNUMBER(MATCH(Data!G157,Data_Val!$C$2:$C$5,0)),0,1))))</f>
        <v/>
      </c>
      <c r="H157" s="15" t="str">
        <f>IF(Data!B157="","",IF(AND(Data!G157&lt;&gt;"",Data!H157=""),1,IF(Data!#REF!&lt;&gt;"",0,IF(Data!G157="",1,IF(ISNUMBER(MATCH(Data!H157,Data_Val!$D$2:$D$35,0)),0,1)))))</f>
        <v/>
      </c>
      <c r="I157" s="15" t="str">
        <f>IF(Data!B157="","",IF(Data!G157&lt;&gt;"",0,IF(ISNUMBER(MATCH(Data!#REF!,Data_Val!$E$2:$E$12,0)),0,1)))</f>
        <v/>
      </c>
      <c r="J157" s="16" t="e">
        <f>IF(OR(Data!B157="",Data!#REF!=""),"",IF(Data!#REF!="",1,0))</f>
        <v>#REF!</v>
      </c>
      <c r="K157" s="16" t="e">
        <f>IF(OR(Data!B157="",Data!#REF!=""),"",IF(Data!#REF!="",1,0))</f>
        <v>#REF!</v>
      </c>
      <c r="L157" s="16" t="e">
        <f>IF(OR(Data!B157="",Data!#REF!=""),"",IF(ISNUMBER(Data!#REF!),IF(AND(Data!#REF!&gt;Data_Val!$G$2,Data!#REF!&lt;=Data_Val!$G$3),0,1),1))</f>
        <v>#REF!</v>
      </c>
      <c r="M157" s="9" t="e">
        <f>IF(OR(Data!B157="",Data!#REF!=""),"",IF(ISNUMBER(MATCH(Data!#REF!,Data_Val!$F$1:$F$38,0)),0,1))</f>
        <v>#REF!</v>
      </c>
      <c r="N157" s="9" t="e">
        <f>IF(OR(Data!B157="",Data!#REF!=""),"",IF(Data!#REF!="",1,0))</f>
        <v>#REF!</v>
      </c>
      <c r="O157" s="17" t="e">
        <f>IF(Data!#REF!="","",IF(Data!#REF!="",1,0))</f>
        <v>#REF!</v>
      </c>
      <c r="P157" s="17" t="e">
        <f>IF(Data!#REF!="","",IF(ISNUMBER(MATCH(Data!#REF!,Data_Val!$A$2:$A$3,0)),0,1))</f>
        <v>#REF!</v>
      </c>
      <c r="Q157" s="25" t="e">
        <f ca="1">IF(Data!#REF!="","",IF(ISNUMBER(Data!#REF!),IF(AND(Data!#REF!&gt;(TODAY()-(Data_Val!$J$3*365.25)),Data!#REF!&lt;=(TODAY()-(Data_Val!$J$2*365.25))),0,1),1))</f>
        <v>#REF!</v>
      </c>
      <c r="R157" s="17" t="e">
        <f>IF(Data!#REF!="","",IF(ISNUMBER(MATCH(Data!#REF!,Data_Val!$B$2:$B$15,0)),0,1))</f>
        <v>#REF!</v>
      </c>
      <c r="S157" s="11" t="str">
        <f>IF(Data!G157="","",IF(Data!G157=Data_Val!$C$2,IF(Data!M157="",0,1),0))</f>
        <v/>
      </c>
      <c r="T157" s="11" t="str">
        <f>IF(Data!M157="","",IF(ISNUMBER(MATCH(Data!N157,Data_Val!$A$2:$A$3,0)),0,1))</f>
        <v/>
      </c>
      <c r="U157" s="11" t="str">
        <f ca="1">IF(Data!M157="","",IF(ISNUMBER(Data!O157),IF(AND(Data!O157&gt;(TODAY()-(Data_Val!$K$3*365.25)),Data!O157&lt;=(TODAY()-(Data_Val!$K$2*365.25))),0,1),1))</f>
        <v/>
      </c>
      <c r="V157" s="12" t="str">
        <f>IF(Data!G157="","",IF(Data!G157=Data_Val!$C$2,IF(Data!P157="",0,1),0))</f>
        <v/>
      </c>
      <c r="W157" s="12" t="str">
        <f>IF(Data!P157="","",IF(ISNUMBER(MATCH(Data!Q157,Data_Val!$A$2:$A$3,0)),0,1))</f>
        <v/>
      </c>
      <c r="X157" s="26" t="str">
        <f ca="1">IF(Data!P157="","",IF(ISNUMBER(Data!R157),IF(AND(Data!R157&gt;(TODAY()-(Data_Val!$L$3*365.25)),Data!R157&lt;=(TODAY()-(Data_Val!$L$2*365.25))),0,1),1))</f>
        <v/>
      </c>
      <c r="Y157" s="13" t="str">
        <f>IF(Data!$G157="","",IF(Data!$G157=Data_Val!$C$2,IF(Data!S157="",0,1),0))</f>
        <v/>
      </c>
      <c r="Z157" s="13" t="str">
        <f>IF(Data!S157="","",IF(ISNUMBER(MATCH(Data!T157,Data_Val!$A$2:$A$3,0)),0,1))</f>
        <v/>
      </c>
      <c r="AA157" s="28" t="str">
        <f ca="1">IF(Data!S157="","",IF(ISNUMBER(Data!U157),IF(AND(Data!U157&gt;(TODAY()-(Data_Val!$L$3*365.25)),Data!U157&lt;=(TODAY()-(Data_Val!$L$2*365.25))),0,1),1))</f>
        <v/>
      </c>
      <c r="AB157" s="11"/>
      <c r="AC157" s="11" t="e">
        <f>IF(Data!#REF!="","",IF(ISNUMBER(MATCH(Data!#REF!,Data_Val!$A$2:$A$3,0)),0,1))</f>
        <v>#REF!</v>
      </c>
      <c r="AD157" s="11" t="e">
        <f ca="1">IF(Data!#REF!="","",IF(ISNUMBER(Data!#REF!),IF(AND(Data!#REF!&gt;(TODAY()-(Data_Val!$L$3*365.25)),Data!#REF!&lt;=(TODAY()-(Data_Val!$L$2*365.25))),0,1),1))</f>
        <v>#REF!</v>
      </c>
      <c r="AE157" s="11" t="e">
        <f>IF(Data!#REF!="","",IF(Data!$G157="",1,IF(ISNUMBER(MATCH(Data!#REF!,Data_Val!$D$2:$D$10,0)),0,1)))</f>
        <v>#REF!</v>
      </c>
      <c r="AF157" s="12"/>
      <c r="AG157" s="12" t="e">
        <f>IF(Data!#REF!="","",IF(ISNUMBER(MATCH(Data!#REF!,Data_Val!$A$2:$A$3,0)),0,1))</f>
        <v>#REF!</v>
      </c>
      <c r="AH157" s="26" t="e">
        <f ca="1">IF(Data!#REF!="","",IF(ISNUMBER(Data!#REF!),IF(AND(Data!#REF!&gt;(TODAY()-(Data_Val!$L$3*365.25)),Data!#REF!&lt;=(TODAY()-(Data_Val!$L$2*365.25))),0,1),1))</f>
        <v>#REF!</v>
      </c>
      <c r="AI157" s="12" t="e">
        <f>IF(Data!#REF!="","",IF(Data!$G157="",1,IF(ISNUMBER(MATCH(Data!#REF!,Data_Val!$D$2:$D$10,0)),0,1)))</f>
        <v>#REF!</v>
      </c>
      <c r="AJ157" s="17"/>
      <c r="AK157" s="17" t="e">
        <f>IF(Data!#REF!="","",IF(ISNUMBER(MATCH(Data!#REF!,Data_Val!$A$2:$A$3,0)),0,1))</f>
        <v>#REF!</v>
      </c>
      <c r="AL157" s="25" t="e">
        <f ca="1">IF(Data!#REF!="","",IF(ISNUMBER(Data!#REF!),IF(AND(Data!#REF!&gt;(TODAY()-(Data_Val!$L$3*365.25)),Data!#REF!&lt;=(TODAY()-(Data_Val!$L$2*365.25))),0,1),1))</f>
        <v>#REF!</v>
      </c>
      <c r="AM157" s="17" t="e">
        <f>IF(Data!#REF!="","",IF(Data!$G157="",1,IF(ISNUMBER(MATCH(Data!#REF!,Data_Val!$D$2:$D$10,0)),0,1)))</f>
        <v>#REF!</v>
      </c>
      <c r="AN157" s="13"/>
      <c r="AO157" s="28" t="e">
        <f ca="1">IF(Data!#REF!="","",IF(ISNUMBER(Data!#REF!),IF(AND(Data!#REF!&gt;(TODAY()-(Data_Val!$I$3*365.25)),Data!#REF!&lt;=(TODAY()-(Data_Val!$I$2*365.25))),0,1),1))</f>
        <v>#REF!</v>
      </c>
      <c r="AP157" s="13" t="e">
        <f>IF(Data!#REF!="","",IF(Data!$G157="",1,IF(ISNUMBER(MATCH(Data!#REF!,Data_Val!$D$2:$D$10,0)),0,1)))</f>
        <v>#REF!</v>
      </c>
      <c r="AQ157" s="17"/>
      <c r="AR157" s="30" t="e">
        <f ca="1">IF(Data!#REF!="","",IF(ISNUMBER(Data!#REF!),IF(AND(Data!#REF!&gt;(TODAY()-(Data_Val!$I$3*365.25)),Data!#REF!&lt;=(TODAY()-(Data_Val!$I$2*365.25))),0,1),1))</f>
        <v>#REF!</v>
      </c>
      <c r="AS157" s="31" t="e">
        <f>IF(Data!#REF!="","",IF(Data!$G157="",1,IF(ISNUMBER(MATCH(Data!#REF!,Data_Val!$D$2:$D$10,0)),0,1)))</f>
        <v>#REF!</v>
      </c>
      <c r="AT157" s="11"/>
      <c r="AU157" s="11" t="e">
        <f ca="1">IF(Data!#REF!="","",IF(ISNUMBER(Data!#REF!),IF(AND(Data!#REF!&gt;(TODAY()-(Data_Val!$I$3*365.25)),Data!#REF!&lt;=(TODAY()-(Data_Val!$I$2*365.25))),0,1),1))</f>
        <v>#REF!</v>
      </c>
      <c r="AV157" s="11" t="e">
        <f>IF(Data!#REF!="","",IF(Data!$G157="",1,IF(ISNUMBER(MATCH(Data!#REF!,Data_Val!$D$2:$D$10,0)),0,1)))</f>
        <v>#REF!</v>
      </c>
      <c r="AW157" s="12"/>
      <c r="AX157" s="26" t="e">
        <f ca="1">IF(Data!#REF!="","",IF(ISNUMBER(Data!#REF!),IF(AND(Data!#REF!&gt;(TODAY()-(Data_Val!$I$3*365.25)),Data!#REF!&lt;=(TODAY()-(Data_Val!$I$2*365.25))),0,1),1))</f>
        <v>#REF!</v>
      </c>
      <c r="AY157" s="12" t="e">
        <f>IF(Data!#REF!="","",IF(Data!$G157="",1,IF(ISNUMBER(MATCH(Data!#REF!,Data_Val!$D$2:$D$10,0)),0,1)))</f>
        <v>#REF!</v>
      </c>
      <c r="AZ157" s="11"/>
      <c r="BA157" s="19" t="e">
        <f ca="1">IF(Data!#REF!="","",IF(ISNUMBER(Data!#REF!),IF(AND(Data!#REF!&gt;(TODAY()-(Data_Val!$M$3*365.25)),Data!#REF!&lt;=(TODAY()-(Data_Val!$M$2*365.25))),0,1),1))</f>
        <v>#REF!</v>
      </c>
      <c r="BB157" s="11" t="e">
        <f>IF(Data!#REF!="","",IF(Data!$G157="",1,IF(ISNUMBER(MATCH(Data!#REF!,Data_Val!$D$2:$D$10,0)),0,1)))</f>
        <v>#REF!</v>
      </c>
      <c r="BC157" s="12"/>
      <c r="BD157" s="20" t="e">
        <f ca="1">IF(Data!#REF!="","",IF(ISNUMBER(Data!#REF!),IF(AND(Data!#REF!&gt;(TODAY()-(Data_Val!$M$3*365.25)),Data!#REF!&lt;=(TODAY()-(Data_Val!$M$2*365.25))),0,1),1))</f>
        <v>#REF!</v>
      </c>
      <c r="BE157" s="12" t="e">
        <f>IF(Data!#REF!="","",IF(Data!$G157="",1,IF(ISNUMBER(MATCH(Data!#REF!,Data_Val!$D$2:$D$10,0)),0,1)))</f>
        <v>#REF!</v>
      </c>
      <c r="BF157" s="17"/>
      <c r="BG157" s="18" t="e">
        <f ca="1">IF(Data!#REF!="","",IF(ISNUMBER(Data!#REF!),IF(AND(Data!#REF!&gt;(TODAY()-(Data_Val!$M$3*365.25)),Data!#REF!&lt;=(TODAY()-(Data_Val!$M$2*365.25))),0,1),1))</f>
        <v>#REF!</v>
      </c>
      <c r="BH157" s="29" t="e">
        <f>IF(Data!#REF!="","",IF(Data!$G157="",1,IF(ISNUMBER(MATCH(Data!#REF!,Data_Val!$D$2:$D$10,0)),0,1)))</f>
        <v>#REF!</v>
      </c>
      <c r="BI157" s="13"/>
      <c r="BJ157" s="21" t="e">
        <f ca="1">IF(Data!#REF!="","",IF(ISNUMBER(Data!#REF!),IF(AND(Data!#REF!&gt;(TODAY()-(Data_Val!$M$3*365.25)),Data!#REF!&lt;=(TODAY()-(Data_Val!$M$2*365.25))),0,1),1))</f>
        <v>#REF!</v>
      </c>
      <c r="BK157" s="13" t="e">
        <f>IF(Data!#REF!="","",IF(Data!$G157="",1,IF(ISNUMBER(MATCH(Data!#REF!,Data_Val!$D$2:$D$10,0)),0,1)))</f>
        <v>#REF!</v>
      </c>
    </row>
    <row r="158" spans="1:63" x14ac:dyDescent="0.25">
      <c r="A158" s="9" t="str">
        <f>IF(Data!B158="","",IF(COUNTIFS(Data!A$1:'Data'!A158,Data!A158)&lt;=1,0,1))</f>
        <v/>
      </c>
      <c r="B158" s="9"/>
      <c r="C158" s="23" t="str">
        <f>IF(Data!C158="","",(IF(ISNUMBER(MATCH("*@*.?*",Data!C158,0)),0,1)+IF(COUNTIFS(Data!C$1:'Data'!C158,Data!C158)&gt;1,1,0)))</f>
        <v/>
      </c>
      <c r="D158" s="9" t="str">
        <f>IF(Data!B158="","",IF(ISNUMBER(Data!D158),IF(AND(Data!D158&gt;999999999,Data!D158&lt;=9999999999),IF(COUNTIFS(Data!D$1:'Data'!D158,Data!D158)&lt;=1,0,1),1),1))</f>
        <v/>
      </c>
      <c r="E158" s="9" t="str">
        <f>IF(Data!B158="","",IF(ISNUMBER(MATCH(Data!E158,Data_Val!$A$2:$A$3,0)),0,1))</f>
        <v/>
      </c>
      <c r="F158" s="9" t="str">
        <f ca="1">IF(Data!B158="","",IF(ISNUMBER(Data!F158),IF(AND(Data!F158&gt;(TODAY()-(Data_Val!$H$3*365.25)),Data!F158&lt;=(TODAY()-(Data_Val!$H$2*365.25))),0,1),1))</f>
        <v/>
      </c>
      <c r="G158" s="15" t="str">
        <f>IF(Data!B158="","",IF(AND(Data!G158="",Data!H158&lt;&gt;""),1,IF(Data!#REF!&lt;&gt;"",0,IF(ISNUMBER(MATCH(Data!G158,Data_Val!$C$2:$C$5,0)),0,1))))</f>
        <v/>
      </c>
      <c r="H158" s="15" t="str">
        <f>IF(Data!B158="","",IF(AND(Data!G158&lt;&gt;"",Data!H158=""),1,IF(Data!#REF!&lt;&gt;"",0,IF(Data!G158="",1,IF(ISNUMBER(MATCH(Data!H158,Data_Val!$D$2:$D$35,0)),0,1)))))</f>
        <v/>
      </c>
      <c r="I158" s="15" t="str">
        <f>IF(Data!B158="","",IF(Data!G158&lt;&gt;"",0,IF(ISNUMBER(MATCH(Data!#REF!,Data_Val!$E$2:$E$12,0)),0,1)))</f>
        <v/>
      </c>
      <c r="J158" s="16" t="e">
        <f>IF(OR(Data!B158="",Data!#REF!=""),"",IF(Data!#REF!="",1,0))</f>
        <v>#REF!</v>
      </c>
      <c r="K158" s="16" t="e">
        <f>IF(OR(Data!B158="",Data!#REF!=""),"",IF(Data!#REF!="",1,0))</f>
        <v>#REF!</v>
      </c>
      <c r="L158" s="16" t="e">
        <f>IF(OR(Data!B158="",Data!#REF!=""),"",IF(ISNUMBER(Data!#REF!),IF(AND(Data!#REF!&gt;Data_Val!$G$2,Data!#REF!&lt;=Data_Val!$G$3),0,1),1))</f>
        <v>#REF!</v>
      </c>
      <c r="M158" s="9" t="e">
        <f>IF(OR(Data!B158="",Data!#REF!=""),"",IF(ISNUMBER(MATCH(Data!#REF!,Data_Val!$F$1:$F$38,0)),0,1))</f>
        <v>#REF!</v>
      </c>
      <c r="N158" s="9" t="e">
        <f>IF(OR(Data!B158="",Data!#REF!=""),"",IF(Data!#REF!="",1,0))</f>
        <v>#REF!</v>
      </c>
      <c r="O158" s="17" t="e">
        <f>IF(Data!#REF!="","",IF(Data!#REF!="",1,0))</f>
        <v>#REF!</v>
      </c>
      <c r="P158" s="17" t="e">
        <f>IF(Data!#REF!="","",IF(ISNUMBER(MATCH(Data!#REF!,Data_Val!$A$2:$A$3,0)),0,1))</f>
        <v>#REF!</v>
      </c>
      <c r="Q158" s="25" t="e">
        <f ca="1">IF(Data!#REF!="","",IF(ISNUMBER(Data!#REF!),IF(AND(Data!#REF!&gt;(TODAY()-(Data_Val!$J$3*365.25)),Data!#REF!&lt;=(TODAY()-(Data_Val!$J$2*365.25))),0,1),1))</f>
        <v>#REF!</v>
      </c>
      <c r="R158" s="17" t="e">
        <f>IF(Data!#REF!="","",IF(ISNUMBER(MATCH(Data!#REF!,Data_Val!$B$2:$B$15,0)),0,1))</f>
        <v>#REF!</v>
      </c>
      <c r="S158" s="11" t="str">
        <f>IF(Data!G158="","",IF(Data!G158=Data_Val!$C$2,IF(Data!M158="",0,1),0))</f>
        <v/>
      </c>
      <c r="T158" s="11" t="str">
        <f>IF(Data!M158="","",IF(ISNUMBER(MATCH(Data!N158,Data_Val!$A$2:$A$3,0)),0,1))</f>
        <v/>
      </c>
      <c r="U158" s="11" t="str">
        <f ca="1">IF(Data!M158="","",IF(ISNUMBER(Data!O158),IF(AND(Data!O158&gt;(TODAY()-(Data_Val!$K$3*365.25)),Data!O158&lt;=(TODAY()-(Data_Val!$K$2*365.25))),0,1),1))</f>
        <v/>
      </c>
      <c r="V158" s="12" t="str">
        <f>IF(Data!G158="","",IF(Data!G158=Data_Val!$C$2,IF(Data!P158="",0,1),0))</f>
        <v/>
      </c>
      <c r="W158" s="12" t="str">
        <f>IF(Data!P158="","",IF(ISNUMBER(MATCH(Data!Q158,Data_Val!$A$2:$A$3,0)),0,1))</f>
        <v/>
      </c>
      <c r="X158" s="26" t="str">
        <f ca="1">IF(Data!P158="","",IF(ISNUMBER(Data!R158),IF(AND(Data!R158&gt;(TODAY()-(Data_Val!$L$3*365.25)),Data!R158&lt;=(TODAY()-(Data_Val!$L$2*365.25))),0,1),1))</f>
        <v/>
      </c>
      <c r="Y158" s="13" t="str">
        <f>IF(Data!$G158="","",IF(Data!$G158=Data_Val!$C$2,IF(Data!S158="",0,1),0))</f>
        <v/>
      </c>
      <c r="Z158" s="13" t="str">
        <f>IF(Data!S158="","",IF(ISNUMBER(MATCH(Data!T158,Data_Val!$A$2:$A$3,0)),0,1))</f>
        <v/>
      </c>
      <c r="AA158" s="28" t="str">
        <f ca="1">IF(Data!S158="","",IF(ISNUMBER(Data!U158),IF(AND(Data!U158&gt;(TODAY()-(Data_Val!$L$3*365.25)),Data!U158&lt;=(TODAY()-(Data_Val!$L$2*365.25))),0,1),1))</f>
        <v/>
      </c>
      <c r="AB158" s="11"/>
      <c r="AC158" s="11" t="e">
        <f>IF(Data!#REF!="","",IF(ISNUMBER(MATCH(Data!#REF!,Data_Val!$A$2:$A$3,0)),0,1))</f>
        <v>#REF!</v>
      </c>
      <c r="AD158" s="11" t="e">
        <f ca="1">IF(Data!#REF!="","",IF(ISNUMBER(Data!#REF!),IF(AND(Data!#REF!&gt;(TODAY()-(Data_Val!$L$3*365.25)),Data!#REF!&lt;=(TODAY()-(Data_Val!$L$2*365.25))),0,1),1))</f>
        <v>#REF!</v>
      </c>
      <c r="AE158" s="11" t="e">
        <f>IF(Data!#REF!="","",IF(Data!$G158="",1,IF(ISNUMBER(MATCH(Data!#REF!,Data_Val!$D$2:$D$10,0)),0,1)))</f>
        <v>#REF!</v>
      </c>
      <c r="AF158" s="12"/>
      <c r="AG158" s="12" t="e">
        <f>IF(Data!#REF!="","",IF(ISNUMBER(MATCH(Data!#REF!,Data_Val!$A$2:$A$3,0)),0,1))</f>
        <v>#REF!</v>
      </c>
      <c r="AH158" s="26" t="e">
        <f ca="1">IF(Data!#REF!="","",IF(ISNUMBER(Data!#REF!),IF(AND(Data!#REF!&gt;(TODAY()-(Data_Val!$L$3*365.25)),Data!#REF!&lt;=(TODAY()-(Data_Val!$L$2*365.25))),0,1),1))</f>
        <v>#REF!</v>
      </c>
      <c r="AI158" s="12" t="e">
        <f>IF(Data!#REF!="","",IF(Data!$G158="",1,IF(ISNUMBER(MATCH(Data!#REF!,Data_Val!$D$2:$D$10,0)),0,1)))</f>
        <v>#REF!</v>
      </c>
      <c r="AJ158" s="17"/>
      <c r="AK158" s="17" t="e">
        <f>IF(Data!#REF!="","",IF(ISNUMBER(MATCH(Data!#REF!,Data_Val!$A$2:$A$3,0)),0,1))</f>
        <v>#REF!</v>
      </c>
      <c r="AL158" s="25" t="e">
        <f ca="1">IF(Data!#REF!="","",IF(ISNUMBER(Data!#REF!),IF(AND(Data!#REF!&gt;(TODAY()-(Data_Val!$L$3*365.25)),Data!#REF!&lt;=(TODAY()-(Data_Val!$L$2*365.25))),0,1),1))</f>
        <v>#REF!</v>
      </c>
      <c r="AM158" s="17" t="e">
        <f>IF(Data!#REF!="","",IF(Data!$G158="",1,IF(ISNUMBER(MATCH(Data!#REF!,Data_Val!$D$2:$D$10,0)),0,1)))</f>
        <v>#REF!</v>
      </c>
      <c r="AN158" s="13"/>
      <c r="AO158" s="28" t="e">
        <f ca="1">IF(Data!#REF!="","",IF(ISNUMBER(Data!#REF!),IF(AND(Data!#REF!&gt;(TODAY()-(Data_Val!$I$3*365.25)),Data!#REF!&lt;=(TODAY()-(Data_Val!$I$2*365.25))),0,1),1))</f>
        <v>#REF!</v>
      </c>
      <c r="AP158" s="13" t="e">
        <f>IF(Data!#REF!="","",IF(Data!$G158="",1,IF(ISNUMBER(MATCH(Data!#REF!,Data_Val!$D$2:$D$10,0)),0,1)))</f>
        <v>#REF!</v>
      </c>
      <c r="AQ158" s="17"/>
      <c r="AR158" s="30" t="e">
        <f ca="1">IF(Data!#REF!="","",IF(ISNUMBER(Data!#REF!),IF(AND(Data!#REF!&gt;(TODAY()-(Data_Val!$I$3*365.25)),Data!#REF!&lt;=(TODAY()-(Data_Val!$I$2*365.25))),0,1),1))</f>
        <v>#REF!</v>
      </c>
      <c r="AS158" s="31" t="e">
        <f>IF(Data!#REF!="","",IF(Data!$G158="",1,IF(ISNUMBER(MATCH(Data!#REF!,Data_Val!$D$2:$D$10,0)),0,1)))</f>
        <v>#REF!</v>
      </c>
      <c r="AT158" s="11"/>
      <c r="AU158" s="11" t="e">
        <f ca="1">IF(Data!#REF!="","",IF(ISNUMBER(Data!#REF!),IF(AND(Data!#REF!&gt;(TODAY()-(Data_Val!$I$3*365.25)),Data!#REF!&lt;=(TODAY()-(Data_Val!$I$2*365.25))),0,1),1))</f>
        <v>#REF!</v>
      </c>
      <c r="AV158" s="11" t="e">
        <f>IF(Data!#REF!="","",IF(Data!$G158="",1,IF(ISNUMBER(MATCH(Data!#REF!,Data_Val!$D$2:$D$10,0)),0,1)))</f>
        <v>#REF!</v>
      </c>
      <c r="AW158" s="12"/>
      <c r="AX158" s="26" t="e">
        <f ca="1">IF(Data!#REF!="","",IF(ISNUMBER(Data!#REF!),IF(AND(Data!#REF!&gt;(TODAY()-(Data_Val!$I$3*365.25)),Data!#REF!&lt;=(TODAY()-(Data_Val!$I$2*365.25))),0,1),1))</f>
        <v>#REF!</v>
      </c>
      <c r="AY158" s="12" t="e">
        <f>IF(Data!#REF!="","",IF(Data!$G158="",1,IF(ISNUMBER(MATCH(Data!#REF!,Data_Val!$D$2:$D$10,0)),0,1)))</f>
        <v>#REF!</v>
      </c>
      <c r="AZ158" s="11"/>
      <c r="BA158" s="19" t="e">
        <f ca="1">IF(Data!#REF!="","",IF(ISNUMBER(Data!#REF!),IF(AND(Data!#REF!&gt;(TODAY()-(Data_Val!$M$3*365.25)),Data!#REF!&lt;=(TODAY()-(Data_Val!$M$2*365.25))),0,1),1))</f>
        <v>#REF!</v>
      </c>
      <c r="BB158" s="11" t="e">
        <f>IF(Data!#REF!="","",IF(Data!$G158="",1,IF(ISNUMBER(MATCH(Data!#REF!,Data_Val!$D$2:$D$10,0)),0,1)))</f>
        <v>#REF!</v>
      </c>
      <c r="BC158" s="12"/>
      <c r="BD158" s="20" t="e">
        <f ca="1">IF(Data!#REF!="","",IF(ISNUMBER(Data!#REF!),IF(AND(Data!#REF!&gt;(TODAY()-(Data_Val!$M$3*365.25)),Data!#REF!&lt;=(TODAY()-(Data_Val!$M$2*365.25))),0,1),1))</f>
        <v>#REF!</v>
      </c>
      <c r="BE158" s="12" t="e">
        <f>IF(Data!#REF!="","",IF(Data!$G158="",1,IF(ISNUMBER(MATCH(Data!#REF!,Data_Val!$D$2:$D$10,0)),0,1)))</f>
        <v>#REF!</v>
      </c>
      <c r="BF158" s="17"/>
      <c r="BG158" s="18" t="e">
        <f ca="1">IF(Data!#REF!="","",IF(ISNUMBER(Data!#REF!),IF(AND(Data!#REF!&gt;(TODAY()-(Data_Val!$M$3*365.25)),Data!#REF!&lt;=(TODAY()-(Data_Val!$M$2*365.25))),0,1),1))</f>
        <v>#REF!</v>
      </c>
      <c r="BH158" s="29" t="e">
        <f>IF(Data!#REF!="","",IF(Data!$G158="",1,IF(ISNUMBER(MATCH(Data!#REF!,Data_Val!$D$2:$D$10,0)),0,1)))</f>
        <v>#REF!</v>
      </c>
      <c r="BI158" s="13"/>
      <c r="BJ158" s="21" t="e">
        <f ca="1">IF(Data!#REF!="","",IF(ISNUMBER(Data!#REF!),IF(AND(Data!#REF!&gt;(TODAY()-(Data_Val!$M$3*365.25)),Data!#REF!&lt;=(TODAY()-(Data_Val!$M$2*365.25))),0,1),1))</f>
        <v>#REF!</v>
      </c>
      <c r="BK158" s="13" t="e">
        <f>IF(Data!#REF!="","",IF(Data!$G158="",1,IF(ISNUMBER(MATCH(Data!#REF!,Data_Val!$D$2:$D$10,0)),0,1)))</f>
        <v>#REF!</v>
      </c>
    </row>
    <row r="159" spans="1:63" x14ac:dyDescent="0.25">
      <c r="A159" s="9" t="str">
        <f>IF(Data!B159="","",IF(COUNTIFS(Data!A$1:'Data'!A159,Data!A159)&lt;=1,0,1))</f>
        <v/>
      </c>
      <c r="B159" s="9"/>
      <c r="C159" s="23" t="str">
        <f>IF(Data!C159="","",(IF(ISNUMBER(MATCH("*@*.?*",Data!C159,0)),0,1)+IF(COUNTIFS(Data!C$1:'Data'!C159,Data!C159)&gt;1,1,0)))</f>
        <v/>
      </c>
      <c r="D159" s="9" t="str">
        <f>IF(Data!B159="","",IF(ISNUMBER(Data!D159),IF(AND(Data!D159&gt;999999999,Data!D159&lt;=9999999999),IF(COUNTIFS(Data!D$1:'Data'!D159,Data!D159)&lt;=1,0,1),1),1))</f>
        <v/>
      </c>
      <c r="E159" s="9" t="str">
        <f>IF(Data!B159="","",IF(ISNUMBER(MATCH(Data!E159,Data_Val!$A$2:$A$3,0)),0,1))</f>
        <v/>
      </c>
      <c r="F159" s="9" t="str">
        <f ca="1">IF(Data!B159="","",IF(ISNUMBER(Data!F159),IF(AND(Data!F159&gt;(TODAY()-(Data_Val!$H$3*365.25)),Data!F159&lt;=(TODAY()-(Data_Val!$H$2*365.25))),0,1),1))</f>
        <v/>
      </c>
      <c r="G159" s="15" t="str">
        <f>IF(Data!B159="","",IF(AND(Data!G159="",Data!H159&lt;&gt;""),1,IF(Data!#REF!&lt;&gt;"",0,IF(ISNUMBER(MATCH(Data!G159,Data_Val!$C$2:$C$5,0)),0,1))))</f>
        <v/>
      </c>
      <c r="H159" s="15" t="str">
        <f>IF(Data!B159="","",IF(AND(Data!G159&lt;&gt;"",Data!H159=""),1,IF(Data!#REF!&lt;&gt;"",0,IF(Data!G159="",1,IF(ISNUMBER(MATCH(Data!H159,Data_Val!$D$2:$D$35,0)),0,1)))))</f>
        <v/>
      </c>
      <c r="I159" s="15" t="str">
        <f>IF(Data!B159="","",IF(Data!G159&lt;&gt;"",0,IF(ISNUMBER(MATCH(Data!#REF!,Data_Val!$E$2:$E$12,0)),0,1)))</f>
        <v/>
      </c>
      <c r="J159" s="16" t="e">
        <f>IF(OR(Data!B159="",Data!#REF!=""),"",IF(Data!#REF!="",1,0))</f>
        <v>#REF!</v>
      </c>
      <c r="K159" s="16" t="e">
        <f>IF(OR(Data!B159="",Data!#REF!=""),"",IF(Data!#REF!="",1,0))</f>
        <v>#REF!</v>
      </c>
      <c r="L159" s="16" t="e">
        <f>IF(OR(Data!B159="",Data!#REF!=""),"",IF(ISNUMBER(Data!#REF!),IF(AND(Data!#REF!&gt;Data_Val!$G$2,Data!#REF!&lt;=Data_Val!$G$3),0,1),1))</f>
        <v>#REF!</v>
      </c>
      <c r="M159" s="9" t="e">
        <f>IF(OR(Data!B159="",Data!#REF!=""),"",IF(ISNUMBER(MATCH(Data!#REF!,Data_Val!$F$1:$F$38,0)),0,1))</f>
        <v>#REF!</v>
      </c>
      <c r="N159" s="9" t="e">
        <f>IF(OR(Data!B159="",Data!#REF!=""),"",IF(Data!#REF!="",1,0))</f>
        <v>#REF!</v>
      </c>
      <c r="O159" s="17" t="e">
        <f>IF(Data!#REF!="","",IF(Data!#REF!="",1,0))</f>
        <v>#REF!</v>
      </c>
      <c r="P159" s="17" t="e">
        <f>IF(Data!#REF!="","",IF(ISNUMBER(MATCH(Data!#REF!,Data_Val!$A$2:$A$3,0)),0,1))</f>
        <v>#REF!</v>
      </c>
      <c r="Q159" s="25" t="e">
        <f ca="1">IF(Data!#REF!="","",IF(ISNUMBER(Data!#REF!),IF(AND(Data!#REF!&gt;(TODAY()-(Data_Val!$J$3*365.25)),Data!#REF!&lt;=(TODAY()-(Data_Val!$J$2*365.25))),0,1),1))</f>
        <v>#REF!</v>
      </c>
      <c r="R159" s="17" t="e">
        <f>IF(Data!#REF!="","",IF(ISNUMBER(MATCH(Data!#REF!,Data_Val!$B$2:$B$15,0)),0,1))</f>
        <v>#REF!</v>
      </c>
      <c r="S159" s="11" t="str">
        <f>IF(Data!G159="","",IF(Data!G159=Data_Val!$C$2,IF(Data!M159="",0,1),0))</f>
        <v/>
      </c>
      <c r="T159" s="11" t="str">
        <f>IF(Data!M159="","",IF(ISNUMBER(MATCH(Data!N159,Data_Val!$A$2:$A$3,0)),0,1))</f>
        <v/>
      </c>
      <c r="U159" s="11" t="str">
        <f ca="1">IF(Data!M159="","",IF(ISNUMBER(Data!O159),IF(AND(Data!O159&gt;(TODAY()-(Data_Val!$K$3*365.25)),Data!O159&lt;=(TODAY()-(Data_Val!$K$2*365.25))),0,1),1))</f>
        <v/>
      </c>
      <c r="V159" s="12" t="str">
        <f>IF(Data!G159="","",IF(Data!G159=Data_Val!$C$2,IF(Data!P159="",0,1),0))</f>
        <v/>
      </c>
      <c r="W159" s="12" t="str">
        <f>IF(Data!P159="","",IF(ISNUMBER(MATCH(Data!Q159,Data_Val!$A$2:$A$3,0)),0,1))</f>
        <v/>
      </c>
      <c r="X159" s="26" t="str">
        <f ca="1">IF(Data!P159="","",IF(ISNUMBER(Data!R159),IF(AND(Data!R159&gt;(TODAY()-(Data_Val!$L$3*365.25)),Data!R159&lt;=(TODAY()-(Data_Val!$L$2*365.25))),0,1),1))</f>
        <v/>
      </c>
      <c r="Y159" s="13" t="str">
        <f>IF(Data!$G159="","",IF(Data!$G159=Data_Val!$C$2,IF(Data!S159="",0,1),0))</f>
        <v/>
      </c>
      <c r="Z159" s="13" t="str">
        <f>IF(Data!S159="","",IF(ISNUMBER(MATCH(Data!T159,Data_Val!$A$2:$A$3,0)),0,1))</f>
        <v/>
      </c>
      <c r="AA159" s="28" t="str">
        <f ca="1">IF(Data!S159="","",IF(ISNUMBER(Data!U159),IF(AND(Data!U159&gt;(TODAY()-(Data_Val!$L$3*365.25)),Data!U159&lt;=(TODAY()-(Data_Val!$L$2*365.25))),0,1),1))</f>
        <v/>
      </c>
      <c r="AB159" s="11"/>
      <c r="AC159" s="11" t="e">
        <f>IF(Data!#REF!="","",IF(ISNUMBER(MATCH(Data!#REF!,Data_Val!$A$2:$A$3,0)),0,1))</f>
        <v>#REF!</v>
      </c>
      <c r="AD159" s="11" t="e">
        <f ca="1">IF(Data!#REF!="","",IF(ISNUMBER(Data!#REF!),IF(AND(Data!#REF!&gt;(TODAY()-(Data_Val!$L$3*365.25)),Data!#REF!&lt;=(TODAY()-(Data_Val!$L$2*365.25))),0,1),1))</f>
        <v>#REF!</v>
      </c>
      <c r="AE159" s="11" t="e">
        <f>IF(Data!#REF!="","",IF(Data!$G159="",1,IF(ISNUMBER(MATCH(Data!#REF!,Data_Val!$D$2:$D$10,0)),0,1)))</f>
        <v>#REF!</v>
      </c>
      <c r="AF159" s="12"/>
      <c r="AG159" s="12" t="e">
        <f>IF(Data!#REF!="","",IF(ISNUMBER(MATCH(Data!#REF!,Data_Val!$A$2:$A$3,0)),0,1))</f>
        <v>#REF!</v>
      </c>
      <c r="AH159" s="26" t="e">
        <f ca="1">IF(Data!#REF!="","",IF(ISNUMBER(Data!#REF!),IF(AND(Data!#REF!&gt;(TODAY()-(Data_Val!$L$3*365.25)),Data!#REF!&lt;=(TODAY()-(Data_Val!$L$2*365.25))),0,1),1))</f>
        <v>#REF!</v>
      </c>
      <c r="AI159" s="12" t="e">
        <f>IF(Data!#REF!="","",IF(Data!$G159="",1,IF(ISNUMBER(MATCH(Data!#REF!,Data_Val!$D$2:$D$10,0)),0,1)))</f>
        <v>#REF!</v>
      </c>
      <c r="AJ159" s="17"/>
      <c r="AK159" s="17" t="e">
        <f>IF(Data!#REF!="","",IF(ISNUMBER(MATCH(Data!#REF!,Data_Val!$A$2:$A$3,0)),0,1))</f>
        <v>#REF!</v>
      </c>
      <c r="AL159" s="25" t="e">
        <f ca="1">IF(Data!#REF!="","",IF(ISNUMBER(Data!#REF!),IF(AND(Data!#REF!&gt;(TODAY()-(Data_Val!$L$3*365.25)),Data!#REF!&lt;=(TODAY()-(Data_Val!$L$2*365.25))),0,1),1))</f>
        <v>#REF!</v>
      </c>
      <c r="AM159" s="17" t="e">
        <f>IF(Data!#REF!="","",IF(Data!$G159="",1,IF(ISNUMBER(MATCH(Data!#REF!,Data_Val!$D$2:$D$10,0)),0,1)))</f>
        <v>#REF!</v>
      </c>
      <c r="AN159" s="13"/>
      <c r="AO159" s="28" t="e">
        <f ca="1">IF(Data!#REF!="","",IF(ISNUMBER(Data!#REF!),IF(AND(Data!#REF!&gt;(TODAY()-(Data_Val!$I$3*365.25)),Data!#REF!&lt;=(TODAY()-(Data_Val!$I$2*365.25))),0,1),1))</f>
        <v>#REF!</v>
      </c>
      <c r="AP159" s="13" t="e">
        <f>IF(Data!#REF!="","",IF(Data!$G159="",1,IF(ISNUMBER(MATCH(Data!#REF!,Data_Val!$D$2:$D$10,0)),0,1)))</f>
        <v>#REF!</v>
      </c>
      <c r="AQ159" s="17"/>
      <c r="AR159" s="30" t="e">
        <f ca="1">IF(Data!#REF!="","",IF(ISNUMBER(Data!#REF!),IF(AND(Data!#REF!&gt;(TODAY()-(Data_Val!$I$3*365.25)),Data!#REF!&lt;=(TODAY()-(Data_Val!$I$2*365.25))),0,1),1))</f>
        <v>#REF!</v>
      </c>
      <c r="AS159" s="31" t="e">
        <f>IF(Data!#REF!="","",IF(Data!$G159="",1,IF(ISNUMBER(MATCH(Data!#REF!,Data_Val!$D$2:$D$10,0)),0,1)))</f>
        <v>#REF!</v>
      </c>
      <c r="AT159" s="11"/>
      <c r="AU159" s="11" t="e">
        <f ca="1">IF(Data!#REF!="","",IF(ISNUMBER(Data!#REF!),IF(AND(Data!#REF!&gt;(TODAY()-(Data_Val!$I$3*365.25)),Data!#REF!&lt;=(TODAY()-(Data_Val!$I$2*365.25))),0,1),1))</f>
        <v>#REF!</v>
      </c>
      <c r="AV159" s="11" t="e">
        <f>IF(Data!#REF!="","",IF(Data!$G159="",1,IF(ISNUMBER(MATCH(Data!#REF!,Data_Val!$D$2:$D$10,0)),0,1)))</f>
        <v>#REF!</v>
      </c>
      <c r="AW159" s="12"/>
      <c r="AX159" s="26" t="e">
        <f ca="1">IF(Data!#REF!="","",IF(ISNUMBER(Data!#REF!),IF(AND(Data!#REF!&gt;(TODAY()-(Data_Val!$I$3*365.25)),Data!#REF!&lt;=(TODAY()-(Data_Val!$I$2*365.25))),0,1),1))</f>
        <v>#REF!</v>
      </c>
      <c r="AY159" s="12" t="e">
        <f>IF(Data!#REF!="","",IF(Data!$G159="",1,IF(ISNUMBER(MATCH(Data!#REF!,Data_Val!$D$2:$D$10,0)),0,1)))</f>
        <v>#REF!</v>
      </c>
      <c r="AZ159" s="11"/>
      <c r="BA159" s="19" t="e">
        <f ca="1">IF(Data!#REF!="","",IF(ISNUMBER(Data!#REF!),IF(AND(Data!#REF!&gt;(TODAY()-(Data_Val!$M$3*365.25)),Data!#REF!&lt;=(TODAY()-(Data_Val!$M$2*365.25))),0,1),1))</f>
        <v>#REF!</v>
      </c>
      <c r="BB159" s="11" t="e">
        <f>IF(Data!#REF!="","",IF(Data!$G159="",1,IF(ISNUMBER(MATCH(Data!#REF!,Data_Val!$D$2:$D$10,0)),0,1)))</f>
        <v>#REF!</v>
      </c>
      <c r="BC159" s="12"/>
      <c r="BD159" s="20" t="e">
        <f ca="1">IF(Data!#REF!="","",IF(ISNUMBER(Data!#REF!),IF(AND(Data!#REF!&gt;(TODAY()-(Data_Val!$M$3*365.25)),Data!#REF!&lt;=(TODAY()-(Data_Val!$M$2*365.25))),0,1),1))</f>
        <v>#REF!</v>
      </c>
      <c r="BE159" s="12" t="e">
        <f>IF(Data!#REF!="","",IF(Data!$G159="",1,IF(ISNUMBER(MATCH(Data!#REF!,Data_Val!$D$2:$D$10,0)),0,1)))</f>
        <v>#REF!</v>
      </c>
      <c r="BF159" s="17"/>
      <c r="BG159" s="18" t="e">
        <f ca="1">IF(Data!#REF!="","",IF(ISNUMBER(Data!#REF!),IF(AND(Data!#REF!&gt;(TODAY()-(Data_Val!$M$3*365.25)),Data!#REF!&lt;=(TODAY()-(Data_Val!$M$2*365.25))),0,1),1))</f>
        <v>#REF!</v>
      </c>
      <c r="BH159" s="29" t="e">
        <f>IF(Data!#REF!="","",IF(Data!$G159="",1,IF(ISNUMBER(MATCH(Data!#REF!,Data_Val!$D$2:$D$10,0)),0,1)))</f>
        <v>#REF!</v>
      </c>
      <c r="BI159" s="13"/>
      <c r="BJ159" s="21" t="e">
        <f ca="1">IF(Data!#REF!="","",IF(ISNUMBER(Data!#REF!),IF(AND(Data!#REF!&gt;(TODAY()-(Data_Val!$M$3*365.25)),Data!#REF!&lt;=(TODAY()-(Data_Val!$M$2*365.25))),0,1),1))</f>
        <v>#REF!</v>
      </c>
      <c r="BK159" s="13" t="e">
        <f>IF(Data!#REF!="","",IF(Data!$G159="",1,IF(ISNUMBER(MATCH(Data!#REF!,Data_Val!$D$2:$D$10,0)),0,1)))</f>
        <v>#REF!</v>
      </c>
    </row>
    <row r="160" spans="1:63" x14ac:dyDescent="0.25">
      <c r="A160" s="9" t="str">
        <f>IF(Data!B160="","",IF(COUNTIFS(Data!A$1:'Data'!A160,Data!A160)&lt;=1,0,1))</f>
        <v/>
      </c>
      <c r="B160" s="9"/>
      <c r="C160" s="23" t="str">
        <f>IF(Data!C160="","",(IF(ISNUMBER(MATCH("*@*.?*",Data!C160,0)),0,1)+IF(COUNTIFS(Data!C$1:'Data'!C160,Data!C160)&gt;1,1,0)))</f>
        <v/>
      </c>
      <c r="D160" s="9" t="str">
        <f>IF(Data!B160="","",IF(ISNUMBER(Data!D160),IF(AND(Data!D160&gt;999999999,Data!D160&lt;=9999999999),IF(COUNTIFS(Data!D$1:'Data'!D160,Data!D160)&lt;=1,0,1),1),1))</f>
        <v/>
      </c>
      <c r="E160" s="9" t="str">
        <f>IF(Data!B160="","",IF(ISNUMBER(MATCH(Data!E160,Data_Val!$A$2:$A$3,0)),0,1))</f>
        <v/>
      </c>
      <c r="F160" s="9" t="str">
        <f ca="1">IF(Data!B160="","",IF(ISNUMBER(Data!F160),IF(AND(Data!F160&gt;(TODAY()-(Data_Val!$H$3*365.25)),Data!F160&lt;=(TODAY()-(Data_Val!$H$2*365.25))),0,1),1))</f>
        <v/>
      </c>
      <c r="G160" s="15" t="str">
        <f>IF(Data!B160="","",IF(AND(Data!G160="",Data!H160&lt;&gt;""),1,IF(Data!#REF!&lt;&gt;"",0,IF(ISNUMBER(MATCH(Data!G160,Data_Val!$C$2:$C$5,0)),0,1))))</f>
        <v/>
      </c>
      <c r="H160" s="15" t="str">
        <f>IF(Data!B160="","",IF(AND(Data!G160&lt;&gt;"",Data!H160=""),1,IF(Data!#REF!&lt;&gt;"",0,IF(Data!G160="",1,IF(ISNUMBER(MATCH(Data!H160,Data_Val!$D$2:$D$35,0)),0,1)))))</f>
        <v/>
      </c>
      <c r="I160" s="15" t="str">
        <f>IF(Data!B160="","",IF(Data!G160&lt;&gt;"",0,IF(ISNUMBER(MATCH(Data!#REF!,Data_Val!$E$2:$E$12,0)),0,1)))</f>
        <v/>
      </c>
      <c r="J160" s="16" t="e">
        <f>IF(OR(Data!B160="",Data!#REF!=""),"",IF(Data!#REF!="",1,0))</f>
        <v>#REF!</v>
      </c>
      <c r="K160" s="16" t="e">
        <f>IF(OR(Data!B160="",Data!#REF!=""),"",IF(Data!#REF!="",1,0))</f>
        <v>#REF!</v>
      </c>
      <c r="L160" s="16" t="e">
        <f>IF(OR(Data!B160="",Data!#REF!=""),"",IF(ISNUMBER(Data!#REF!),IF(AND(Data!#REF!&gt;Data_Val!$G$2,Data!#REF!&lt;=Data_Val!$G$3),0,1),1))</f>
        <v>#REF!</v>
      </c>
      <c r="M160" s="9" t="e">
        <f>IF(OR(Data!B160="",Data!#REF!=""),"",IF(ISNUMBER(MATCH(Data!#REF!,Data_Val!$F$1:$F$38,0)),0,1))</f>
        <v>#REF!</v>
      </c>
      <c r="N160" s="9" t="e">
        <f>IF(OR(Data!B160="",Data!#REF!=""),"",IF(Data!#REF!="",1,0))</f>
        <v>#REF!</v>
      </c>
      <c r="O160" s="17" t="e">
        <f>IF(Data!#REF!="","",IF(Data!#REF!="",1,0))</f>
        <v>#REF!</v>
      </c>
      <c r="P160" s="17" t="e">
        <f>IF(Data!#REF!="","",IF(ISNUMBER(MATCH(Data!#REF!,Data_Val!$A$2:$A$3,0)),0,1))</f>
        <v>#REF!</v>
      </c>
      <c r="Q160" s="25" t="e">
        <f ca="1">IF(Data!#REF!="","",IF(ISNUMBER(Data!#REF!),IF(AND(Data!#REF!&gt;(TODAY()-(Data_Val!$J$3*365.25)),Data!#REF!&lt;=(TODAY()-(Data_Val!$J$2*365.25))),0,1),1))</f>
        <v>#REF!</v>
      </c>
      <c r="R160" s="17" t="e">
        <f>IF(Data!#REF!="","",IF(ISNUMBER(MATCH(Data!#REF!,Data_Val!$B$2:$B$15,0)),0,1))</f>
        <v>#REF!</v>
      </c>
      <c r="S160" s="11" t="str">
        <f>IF(Data!G160="","",IF(Data!G160=Data_Val!$C$2,IF(Data!M160="",0,1),0))</f>
        <v/>
      </c>
      <c r="T160" s="11" t="str">
        <f>IF(Data!M160="","",IF(ISNUMBER(MATCH(Data!N160,Data_Val!$A$2:$A$3,0)),0,1))</f>
        <v/>
      </c>
      <c r="U160" s="11" t="str">
        <f ca="1">IF(Data!M160="","",IF(ISNUMBER(Data!O160),IF(AND(Data!O160&gt;(TODAY()-(Data_Val!$K$3*365.25)),Data!O160&lt;=(TODAY()-(Data_Val!$K$2*365.25))),0,1),1))</f>
        <v/>
      </c>
      <c r="V160" s="12" t="str">
        <f>IF(Data!G160="","",IF(Data!G160=Data_Val!$C$2,IF(Data!P160="",0,1),0))</f>
        <v/>
      </c>
      <c r="W160" s="12" t="str">
        <f>IF(Data!P160="","",IF(ISNUMBER(MATCH(Data!Q160,Data_Val!$A$2:$A$3,0)),0,1))</f>
        <v/>
      </c>
      <c r="X160" s="26" t="str">
        <f ca="1">IF(Data!P160="","",IF(ISNUMBER(Data!R160),IF(AND(Data!R160&gt;(TODAY()-(Data_Val!$L$3*365.25)),Data!R160&lt;=(TODAY()-(Data_Val!$L$2*365.25))),0,1),1))</f>
        <v/>
      </c>
      <c r="Y160" s="13" t="str">
        <f>IF(Data!$G160="","",IF(Data!$G160=Data_Val!$C$2,IF(Data!S160="",0,1),0))</f>
        <v/>
      </c>
      <c r="Z160" s="13" t="str">
        <f>IF(Data!S160="","",IF(ISNUMBER(MATCH(Data!T160,Data_Val!$A$2:$A$3,0)),0,1))</f>
        <v/>
      </c>
      <c r="AA160" s="28" t="str">
        <f ca="1">IF(Data!S160="","",IF(ISNUMBER(Data!U160),IF(AND(Data!U160&gt;(TODAY()-(Data_Val!$L$3*365.25)),Data!U160&lt;=(TODAY()-(Data_Val!$L$2*365.25))),0,1),1))</f>
        <v/>
      </c>
      <c r="AB160" s="11"/>
      <c r="AC160" s="11" t="e">
        <f>IF(Data!#REF!="","",IF(ISNUMBER(MATCH(Data!#REF!,Data_Val!$A$2:$A$3,0)),0,1))</f>
        <v>#REF!</v>
      </c>
      <c r="AD160" s="11" t="e">
        <f ca="1">IF(Data!#REF!="","",IF(ISNUMBER(Data!#REF!),IF(AND(Data!#REF!&gt;(TODAY()-(Data_Val!$L$3*365.25)),Data!#REF!&lt;=(TODAY()-(Data_Val!$L$2*365.25))),0,1),1))</f>
        <v>#REF!</v>
      </c>
      <c r="AE160" s="11" t="e">
        <f>IF(Data!#REF!="","",IF(Data!$G160="",1,IF(ISNUMBER(MATCH(Data!#REF!,Data_Val!$D$2:$D$10,0)),0,1)))</f>
        <v>#REF!</v>
      </c>
      <c r="AF160" s="12"/>
      <c r="AG160" s="12" t="e">
        <f>IF(Data!#REF!="","",IF(ISNUMBER(MATCH(Data!#REF!,Data_Val!$A$2:$A$3,0)),0,1))</f>
        <v>#REF!</v>
      </c>
      <c r="AH160" s="26" t="e">
        <f ca="1">IF(Data!#REF!="","",IF(ISNUMBER(Data!#REF!),IF(AND(Data!#REF!&gt;(TODAY()-(Data_Val!$L$3*365.25)),Data!#REF!&lt;=(TODAY()-(Data_Val!$L$2*365.25))),0,1),1))</f>
        <v>#REF!</v>
      </c>
      <c r="AI160" s="12" t="e">
        <f>IF(Data!#REF!="","",IF(Data!$G160="",1,IF(ISNUMBER(MATCH(Data!#REF!,Data_Val!$D$2:$D$10,0)),0,1)))</f>
        <v>#REF!</v>
      </c>
      <c r="AJ160" s="17"/>
      <c r="AK160" s="17" t="e">
        <f>IF(Data!#REF!="","",IF(ISNUMBER(MATCH(Data!#REF!,Data_Val!$A$2:$A$3,0)),0,1))</f>
        <v>#REF!</v>
      </c>
      <c r="AL160" s="25" t="e">
        <f ca="1">IF(Data!#REF!="","",IF(ISNUMBER(Data!#REF!),IF(AND(Data!#REF!&gt;(TODAY()-(Data_Val!$L$3*365.25)),Data!#REF!&lt;=(TODAY()-(Data_Val!$L$2*365.25))),0,1),1))</f>
        <v>#REF!</v>
      </c>
      <c r="AM160" s="17" t="e">
        <f>IF(Data!#REF!="","",IF(Data!$G160="",1,IF(ISNUMBER(MATCH(Data!#REF!,Data_Val!$D$2:$D$10,0)),0,1)))</f>
        <v>#REF!</v>
      </c>
      <c r="AN160" s="13"/>
      <c r="AO160" s="28" t="e">
        <f ca="1">IF(Data!#REF!="","",IF(ISNUMBER(Data!#REF!),IF(AND(Data!#REF!&gt;(TODAY()-(Data_Val!$I$3*365.25)),Data!#REF!&lt;=(TODAY()-(Data_Val!$I$2*365.25))),0,1),1))</f>
        <v>#REF!</v>
      </c>
      <c r="AP160" s="13" t="e">
        <f>IF(Data!#REF!="","",IF(Data!$G160="",1,IF(ISNUMBER(MATCH(Data!#REF!,Data_Val!$D$2:$D$10,0)),0,1)))</f>
        <v>#REF!</v>
      </c>
      <c r="AQ160" s="17"/>
      <c r="AR160" s="30" t="e">
        <f ca="1">IF(Data!#REF!="","",IF(ISNUMBER(Data!#REF!),IF(AND(Data!#REF!&gt;(TODAY()-(Data_Val!$I$3*365.25)),Data!#REF!&lt;=(TODAY()-(Data_Val!$I$2*365.25))),0,1),1))</f>
        <v>#REF!</v>
      </c>
      <c r="AS160" s="31" t="e">
        <f>IF(Data!#REF!="","",IF(Data!$G160="",1,IF(ISNUMBER(MATCH(Data!#REF!,Data_Val!$D$2:$D$10,0)),0,1)))</f>
        <v>#REF!</v>
      </c>
      <c r="AT160" s="11"/>
      <c r="AU160" s="11" t="e">
        <f ca="1">IF(Data!#REF!="","",IF(ISNUMBER(Data!#REF!),IF(AND(Data!#REF!&gt;(TODAY()-(Data_Val!$I$3*365.25)),Data!#REF!&lt;=(TODAY()-(Data_Val!$I$2*365.25))),0,1),1))</f>
        <v>#REF!</v>
      </c>
      <c r="AV160" s="11" t="e">
        <f>IF(Data!#REF!="","",IF(Data!$G160="",1,IF(ISNUMBER(MATCH(Data!#REF!,Data_Val!$D$2:$D$10,0)),0,1)))</f>
        <v>#REF!</v>
      </c>
      <c r="AW160" s="12"/>
      <c r="AX160" s="26" t="e">
        <f ca="1">IF(Data!#REF!="","",IF(ISNUMBER(Data!#REF!),IF(AND(Data!#REF!&gt;(TODAY()-(Data_Val!$I$3*365.25)),Data!#REF!&lt;=(TODAY()-(Data_Val!$I$2*365.25))),0,1),1))</f>
        <v>#REF!</v>
      </c>
      <c r="AY160" s="12" t="e">
        <f>IF(Data!#REF!="","",IF(Data!$G160="",1,IF(ISNUMBER(MATCH(Data!#REF!,Data_Val!$D$2:$D$10,0)),0,1)))</f>
        <v>#REF!</v>
      </c>
      <c r="AZ160" s="11"/>
      <c r="BA160" s="19" t="e">
        <f ca="1">IF(Data!#REF!="","",IF(ISNUMBER(Data!#REF!),IF(AND(Data!#REF!&gt;(TODAY()-(Data_Val!$M$3*365.25)),Data!#REF!&lt;=(TODAY()-(Data_Val!$M$2*365.25))),0,1),1))</f>
        <v>#REF!</v>
      </c>
      <c r="BB160" s="11" t="e">
        <f>IF(Data!#REF!="","",IF(Data!$G160="",1,IF(ISNUMBER(MATCH(Data!#REF!,Data_Val!$D$2:$D$10,0)),0,1)))</f>
        <v>#REF!</v>
      </c>
      <c r="BC160" s="12"/>
      <c r="BD160" s="20" t="e">
        <f ca="1">IF(Data!#REF!="","",IF(ISNUMBER(Data!#REF!),IF(AND(Data!#REF!&gt;(TODAY()-(Data_Val!$M$3*365.25)),Data!#REF!&lt;=(TODAY()-(Data_Val!$M$2*365.25))),0,1),1))</f>
        <v>#REF!</v>
      </c>
      <c r="BE160" s="12" t="e">
        <f>IF(Data!#REF!="","",IF(Data!$G160="",1,IF(ISNUMBER(MATCH(Data!#REF!,Data_Val!$D$2:$D$10,0)),0,1)))</f>
        <v>#REF!</v>
      </c>
      <c r="BF160" s="17"/>
      <c r="BG160" s="18" t="e">
        <f ca="1">IF(Data!#REF!="","",IF(ISNUMBER(Data!#REF!),IF(AND(Data!#REF!&gt;(TODAY()-(Data_Val!$M$3*365.25)),Data!#REF!&lt;=(TODAY()-(Data_Val!$M$2*365.25))),0,1),1))</f>
        <v>#REF!</v>
      </c>
      <c r="BH160" s="29" t="e">
        <f>IF(Data!#REF!="","",IF(Data!$G160="",1,IF(ISNUMBER(MATCH(Data!#REF!,Data_Val!$D$2:$D$10,0)),0,1)))</f>
        <v>#REF!</v>
      </c>
      <c r="BI160" s="13"/>
      <c r="BJ160" s="21" t="e">
        <f ca="1">IF(Data!#REF!="","",IF(ISNUMBER(Data!#REF!),IF(AND(Data!#REF!&gt;(TODAY()-(Data_Val!$M$3*365.25)),Data!#REF!&lt;=(TODAY()-(Data_Val!$M$2*365.25))),0,1),1))</f>
        <v>#REF!</v>
      </c>
      <c r="BK160" s="13" t="e">
        <f>IF(Data!#REF!="","",IF(Data!$G160="",1,IF(ISNUMBER(MATCH(Data!#REF!,Data_Val!$D$2:$D$10,0)),0,1)))</f>
        <v>#REF!</v>
      </c>
    </row>
    <row r="161" spans="1:63" x14ac:dyDescent="0.25">
      <c r="A161" s="9" t="str">
        <f>IF(Data!B161="","",IF(COUNTIFS(Data!A$1:'Data'!A161,Data!A161)&lt;=1,0,1))</f>
        <v/>
      </c>
      <c r="B161" s="9"/>
      <c r="C161" s="23" t="str">
        <f>IF(Data!C161="","",(IF(ISNUMBER(MATCH("*@*.?*",Data!C161,0)),0,1)+IF(COUNTIFS(Data!C$1:'Data'!C161,Data!C161)&gt;1,1,0)))</f>
        <v/>
      </c>
      <c r="D161" s="9" t="str">
        <f>IF(Data!B161="","",IF(ISNUMBER(Data!D161),IF(AND(Data!D161&gt;999999999,Data!D161&lt;=9999999999),IF(COUNTIFS(Data!D$1:'Data'!D161,Data!D161)&lt;=1,0,1),1),1))</f>
        <v/>
      </c>
      <c r="E161" s="9" t="str">
        <f>IF(Data!B161="","",IF(ISNUMBER(MATCH(Data!E161,Data_Val!$A$2:$A$3,0)),0,1))</f>
        <v/>
      </c>
      <c r="F161" s="9" t="str">
        <f ca="1">IF(Data!B161="","",IF(ISNUMBER(Data!F161),IF(AND(Data!F161&gt;(TODAY()-(Data_Val!$H$3*365.25)),Data!F161&lt;=(TODAY()-(Data_Val!$H$2*365.25))),0,1),1))</f>
        <v/>
      </c>
      <c r="G161" s="15" t="str">
        <f>IF(Data!B161="","",IF(AND(Data!G161="",Data!H161&lt;&gt;""),1,IF(Data!#REF!&lt;&gt;"",0,IF(ISNUMBER(MATCH(Data!G161,Data_Val!$C$2:$C$5,0)),0,1))))</f>
        <v/>
      </c>
      <c r="H161" s="15" t="str">
        <f>IF(Data!B161="","",IF(AND(Data!G161&lt;&gt;"",Data!H161=""),1,IF(Data!#REF!&lt;&gt;"",0,IF(Data!G161="",1,IF(ISNUMBER(MATCH(Data!H161,Data_Val!$D$2:$D$35,0)),0,1)))))</f>
        <v/>
      </c>
      <c r="I161" s="15" t="str">
        <f>IF(Data!B161="","",IF(Data!G161&lt;&gt;"",0,IF(ISNUMBER(MATCH(Data!#REF!,Data_Val!$E$2:$E$12,0)),0,1)))</f>
        <v/>
      </c>
      <c r="J161" s="16" t="e">
        <f>IF(OR(Data!B161="",Data!#REF!=""),"",IF(Data!#REF!="",1,0))</f>
        <v>#REF!</v>
      </c>
      <c r="K161" s="16" t="e">
        <f>IF(OR(Data!B161="",Data!#REF!=""),"",IF(Data!#REF!="",1,0))</f>
        <v>#REF!</v>
      </c>
      <c r="L161" s="16" t="e">
        <f>IF(OR(Data!B161="",Data!#REF!=""),"",IF(ISNUMBER(Data!#REF!),IF(AND(Data!#REF!&gt;Data_Val!$G$2,Data!#REF!&lt;=Data_Val!$G$3),0,1),1))</f>
        <v>#REF!</v>
      </c>
      <c r="M161" s="9" t="e">
        <f>IF(OR(Data!B161="",Data!#REF!=""),"",IF(ISNUMBER(MATCH(Data!#REF!,Data_Val!$F$1:$F$38,0)),0,1))</f>
        <v>#REF!</v>
      </c>
      <c r="N161" s="9" t="e">
        <f>IF(OR(Data!B161="",Data!#REF!=""),"",IF(Data!#REF!="",1,0))</f>
        <v>#REF!</v>
      </c>
      <c r="O161" s="17" t="e">
        <f>IF(Data!#REF!="","",IF(Data!#REF!="",1,0))</f>
        <v>#REF!</v>
      </c>
      <c r="P161" s="17" t="e">
        <f>IF(Data!#REF!="","",IF(ISNUMBER(MATCH(Data!#REF!,Data_Val!$A$2:$A$3,0)),0,1))</f>
        <v>#REF!</v>
      </c>
      <c r="Q161" s="25" t="e">
        <f ca="1">IF(Data!#REF!="","",IF(ISNUMBER(Data!#REF!),IF(AND(Data!#REF!&gt;(TODAY()-(Data_Val!$J$3*365.25)),Data!#REF!&lt;=(TODAY()-(Data_Val!$J$2*365.25))),0,1),1))</f>
        <v>#REF!</v>
      </c>
      <c r="R161" s="17" t="e">
        <f>IF(Data!#REF!="","",IF(ISNUMBER(MATCH(Data!#REF!,Data_Val!$B$2:$B$15,0)),0,1))</f>
        <v>#REF!</v>
      </c>
      <c r="S161" s="11" t="str">
        <f>IF(Data!G161="","",IF(Data!G161=Data_Val!$C$2,IF(Data!M161="",0,1),0))</f>
        <v/>
      </c>
      <c r="T161" s="11" t="str">
        <f>IF(Data!M161="","",IF(ISNUMBER(MATCH(Data!N161,Data_Val!$A$2:$A$3,0)),0,1))</f>
        <v/>
      </c>
      <c r="U161" s="11" t="str">
        <f ca="1">IF(Data!M161="","",IF(ISNUMBER(Data!O161),IF(AND(Data!O161&gt;(TODAY()-(Data_Val!$K$3*365.25)),Data!O161&lt;=(TODAY()-(Data_Val!$K$2*365.25))),0,1),1))</f>
        <v/>
      </c>
      <c r="V161" s="12" t="str">
        <f>IF(Data!G161="","",IF(Data!G161=Data_Val!$C$2,IF(Data!P161="",0,1),0))</f>
        <v/>
      </c>
      <c r="W161" s="12" t="str">
        <f>IF(Data!P161="","",IF(ISNUMBER(MATCH(Data!Q161,Data_Val!$A$2:$A$3,0)),0,1))</f>
        <v/>
      </c>
      <c r="X161" s="26" t="str">
        <f ca="1">IF(Data!P161="","",IF(ISNUMBER(Data!R161),IF(AND(Data!R161&gt;(TODAY()-(Data_Val!$L$3*365.25)),Data!R161&lt;=(TODAY()-(Data_Val!$L$2*365.25))),0,1),1))</f>
        <v/>
      </c>
      <c r="Y161" s="13" t="str">
        <f>IF(Data!$G161="","",IF(Data!$G161=Data_Val!$C$2,IF(Data!S161="",0,1),0))</f>
        <v/>
      </c>
      <c r="Z161" s="13" t="str">
        <f>IF(Data!S161="","",IF(ISNUMBER(MATCH(Data!T161,Data_Val!$A$2:$A$3,0)),0,1))</f>
        <v/>
      </c>
      <c r="AA161" s="28" t="str">
        <f ca="1">IF(Data!S161="","",IF(ISNUMBER(Data!U161),IF(AND(Data!U161&gt;(TODAY()-(Data_Val!$L$3*365.25)),Data!U161&lt;=(TODAY()-(Data_Val!$L$2*365.25))),0,1),1))</f>
        <v/>
      </c>
      <c r="AB161" s="11"/>
      <c r="AC161" s="11" t="e">
        <f>IF(Data!#REF!="","",IF(ISNUMBER(MATCH(Data!#REF!,Data_Val!$A$2:$A$3,0)),0,1))</f>
        <v>#REF!</v>
      </c>
      <c r="AD161" s="11" t="e">
        <f ca="1">IF(Data!#REF!="","",IF(ISNUMBER(Data!#REF!),IF(AND(Data!#REF!&gt;(TODAY()-(Data_Val!$L$3*365.25)),Data!#REF!&lt;=(TODAY()-(Data_Val!$L$2*365.25))),0,1),1))</f>
        <v>#REF!</v>
      </c>
      <c r="AE161" s="11" t="e">
        <f>IF(Data!#REF!="","",IF(Data!$G161="",1,IF(ISNUMBER(MATCH(Data!#REF!,Data_Val!$D$2:$D$10,0)),0,1)))</f>
        <v>#REF!</v>
      </c>
      <c r="AF161" s="12"/>
      <c r="AG161" s="12" t="e">
        <f>IF(Data!#REF!="","",IF(ISNUMBER(MATCH(Data!#REF!,Data_Val!$A$2:$A$3,0)),0,1))</f>
        <v>#REF!</v>
      </c>
      <c r="AH161" s="26" t="e">
        <f ca="1">IF(Data!#REF!="","",IF(ISNUMBER(Data!#REF!),IF(AND(Data!#REF!&gt;(TODAY()-(Data_Val!$L$3*365.25)),Data!#REF!&lt;=(TODAY()-(Data_Val!$L$2*365.25))),0,1),1))</f>
        <v>#REF!</v>
      </c>
      <c r="AI161" s="12" t="e">
        <f>IF(Data!#REF!="","",IF(Data!$G161="",1,IF(ISNUMBER(MATCH(Data!#REF!,Data_Val!$D$2:$D$10,0)),0,1)))</f>
        <v>#REF!</v>
      </c>
      <c r="AJ161" s="17"/>
      <c r="AK161" s="17" t="e">
        <f>IF(Data!#REF!="","",IF(ISNUMBER(MATCH(Data!#REF!,Data_Val!$A$2:$A$3,0)),0,1))</f>
        <v>#REF!</v>
      </c>
      <c r="AL161" s="25" t="e">
        <f ca="1">IF(Data!#REF!="","",IF(ISNUMBER(Data!#REF!),IF(AND(Data!#REF!&gt;(TODAY()-(Data_Val!$L$3*365.25)),Data!#REF!&lt;=(TODAY()-(Data_Val!$L$2*365.25))),0,1),1))</f>
        <v>#REF!</v>
      </c>
      <c r="AM161" s="17" t="e">
        <f>IF(Data!#REF!="","",IF(Data!$G161="",1,IF(ISNUMBER(MATCH(Data!#REF!,Data_Val!$D$2:$D$10,0)),0,1)))</f>
        <v>#REF!</v>
      </c>
      <c r="AN161" s="13"/>
      <c r="AO161" s="28" t="e">
        <f ca="1">IF(Data!#REF!="","",IF(ISNUMBER(Data!#REF!),IF(AND(Data!#REF!&gt;(TODAY()-(Data_Val!$I$3*365.25)),Data!#REF!&lt;=(TODAY()-(Data_Val!$I$2*365.25))),0,1),1))</f>
        <v>#REF!</v>
      </c>
      <c r="AP161" s="13" t="e">
        <f>IF(Data!#REF!="","",IF(Data!$G161="",1,IF(ISNUMBER(MATCH(Data!#REF!,Data_Val!$D$2:$D$10,0)),0,1)))</f>
        <v>#REF!</v>
      </c>
      <c r="AQ161" s="17"/>
      <c r="AR161" s="30" t="e">
        <f ca="1">IF(Data!#REF!="","",IF(ISNUMBER(Data!#REF!),IF(AND(Data!#REF!&gt;(TODAY()-(Data_Val!$I$3*365.25)),Data!#REF!&lt;=(TODAY()-(Data_Val!$I$2*365.25))),0,1),1))</f>
        <v>#REF!</v>
      </c>
      <c r="AS161" s="31" t="e">
        <f>IF(Data!#REF!="","",IF(Data!$G161="",1,IF(ISNUMBER(MATCH(Data!#REF!,Data_Val!$D$2:$D$10,0)),0,1)))</f>
        <v>#REF!</v>
      </c>
      <c r="AT161" s="11"/>
      <c r="AU161" s="11" t="e">
        <f ca="1">IF(Data!#REF!="","",IF(ISNUMBER(Data!#REF!),IF(AND(Data!#REF!&gt;(TODAY()-(Data_Val!$I$3*365.25)),Data!#REF!&lt;=(TODAY()-(Data_Val!$I$2*365.25))),0,1),1))</f>
        <v>#REF!</v>
      </c>
      <c r="AV161" s="11" t="e">
        <f>IF(Data!#REF!="","",IF(Data!$G161="",1,IF(ISNUMBER(MATCH(Data!#REF!,Data_Val!$D$2:$D$10,0)),0,1)))</f>
        <v>#REF!</v>
      </c>
      <c r="AW161" s="12"/>
      <c r="AX161" s="26" t="e">
        <f ca="1">IF(Data!#REF!="","",IF(ISNUMBER(Data!#REF!),IF(AND(Data!#REF!&gt;(TODAY()-(Data_Val!$I$3*365.25)),Data!#REF!&lt;=(TODAY()-(Data_Val!$I$2*365.25))),0,1),1))</f>
        <v>#REF!</v>
      </c>
      <c r="AY161" s="12" t="e">
        <f>IF(Data!#REF!="","",IF(Data!$G161="",1,IF(ISNUMBER(MATCH(Data!#REF!,Data_Val!$D$2:$D$10,0)),0,1)))</f>
        <v>#REF!</v>
      </c>
      <c r="AZ161" s="11"/>
      <c r="BA161" s="19" t="e">
        <f ca="1">IF(Data!#REF!="","",IF(ISNUMBER(Data!#REF!),IF(AND(Data!#REF!&gt;(TODAY()-(Data_Val!$M$3*365.25)),Data!#REF!&lt;=(TODAY()-(Data_Val!$M$2*365.25))),0,1),1))</f>
        <v>#REF!</v>
      </c>
      <c r="BB161" s="11" t="e">
        <f>IF(Data!#REF!="","",IF(Data!$G161="",1,IF(ISNUMBER(MATCH(Data!#REF!,Data_Val!$D$2:$D$10,0)),0,1)))</f>
        <v>#REF!</v>
      </c>
      <c r="BC161" s="12"/>
      <c r="BD161" s="20" t="e">
        <f ca="1">IF(Data!#REF!="","",IF(ISNUMBER(Data!#REF!),IF(AND(Data!#REF!&gt;(TODAY()-(Data_Val!$M$3*365.25)),Data!#REF!&lt;=(TODAY()-(Data_Val!$M$2*365.25))),0,1),1))</f>
        <v>#REF!</v>
      </c>
      <c r="BE161" s="12" t="e">
        <f>IF(Data!#REF!="","",IF(Data!$G161="",1,IF(ISNUMBER(MATCH(Data!#REF!,Data_Val!$D$2:$D$10,0)),0,1)))</f>
        <v>#REF!</v>
      </c>
      <c r="BF161" s="17"/>
      <c r="BG161" s="18" t="e">
        <f ca="1">IF(Data!#REF!="","",IF(ISNUMBER(Data!#REF!),IF(AND(Data!#REF!&gt;(TODAY()-(Data_Val!$M$3*365.25)),Data!#REF!&lt;=(TODAY()-(Data_Val!$M$2*365.25))),0,1),1))</f>
        <v>#REF!</v>
      </c>
      <c r="BH161" s="29" t="e">
        <f>IF(Data!#REF!="","",IF(Data!$G161="",1,IF(ISNUMBER(MATCH(Data!#REF!,Data_Val!$D$2:$D$10,0)),0,1)))</f>
        <v>#REF!</v>
      </c>
      <c r="BI161" s="13"/>
      <c r="BJ161" s="21" t="e">
        <f ca="1">IF(Data!#REF!="","",IF(ISNUMBER(Data!#REF!),IF(AND(Data!#REF!&gt;(TODAY()-(Data_Val!$M$3*365.25)),Data!#REF!&lt;=(TODAY()-(Data_Val!$M$2*365.25))),0,1),1))</f>
        <v>#REF!</v>
      </c>
      <c r="BK161" s="13" t="e">
        <f>IF(Data!#REF!="","",IF(Data!$G161="",1,IF(ISNUMBER(MATCH(Data!#REF!,Data_Val!$D$2:$D$10,0)),0,1)))</f>
        <v>#REF!</v>
      </c>
    </row>
    <row r="162" spans="1:63" x14ac:dyDescent="0.25">
      <c r="A162" s="9" t="str">
        <f>IF(Data!B162="","",IF(COUNTIFS(Data!A$1:'Data'!A162,Data!A162)&lt;=1,0,1))</f>
        <v/>
      </c>
      <c r="B162" s="9"/>
      <c r="C162" s="23" t="str">
        <f>IF(Data!C162="","",(IF(ISNUMBER(MATCH("*@*.?*",Data!C162,0)),0,1)+IF(COUNTIFS(Data!C$1:'Data'!C162,Data!C162)&gt;1,1,0)))</f>
        <v/>
      </c>
      <c r="D162" s="9" t="str">
        <f>IF(Data!B162="","",IF(ISNUMBER(Data!D162),IF(AND(Data!D162&gt;999999999,Data!D162&lt;=9999999999),IF(COUNTIFS(Data!D$1:'Data'!D162,Data!D162)&lt;=1,0,1),1),1))</f>
        <v/>
      </c>
      <c r="E162" s="9" t="str">
        <f>IF(Data!B162="","",IF(ISNUMBER(MATCH(Data!E162,Data_Val!$A$2:$A$3,0)),0,1))</f>
        <v/>
      </c>
      <c r="F162" s="9" t="str">
        <f ca="1">IF(Data!B162="","",IF(ISNUMBER(Data!F162),IF(AND(Data!F162&gt;(TODAY()-(Data_Val!$H$3*365.25)),Data!F162&lt;=(TODAY()-(Data_Val!$H$2*365.25))),0,1),1))</f>
        <v/>
      </c>
      <c r="G162" s="15" t="str">
        <f>IF(Data!B162="","",IF(AND(Data!G162="",Data!H162&lt;&gt;""),1,IF(Data!#REF!&lt;&gt;"",0,IF(ISNUMBER(MATCH(Data!G162,Data_Val!$C$2:$C$5,0)),0,1))))</f>
        <v/>
      </c>
      <c r="H162" s="15" t="str">
        <f>IF(Data!B162="","",IF(AND(Data!G162&lt;&gt;"",Data!H162=""),1,IF(Data!#REF!&lt;&gt;"",0,IF(Data!G162="",1,IF(ISNUMBER(MATCH(Data!H162,Data_Val!$D$2:$D$35,0)),0,1)))))</f>
        <v/>
      </c>
      <c r="I162" s="15" t="str">
        <f>IF(Data!B162="","",IF(Data!G162&lt;&gt;"",0,IF(ISNUMBER(MATCH(Data!#REF!,Data_Val!$E$2:$E$12,0)),0,1)))</f>
        <v/>
      </c>
      <c r="J162" s="16" t="e">
        <f>IF(OR(Data!B162="",Data!#REF!=""),"",IF(Data!#REF!="",1,0))</f>
        <v>#REF!</v>
      </c>
      <c r="K162" s="16" t="e">
        <f>IF(OR(Data!B162="",Data!#REF!=""),"",IF(Data!#REF!="",1,0))</f>
        <v>#REF!</v>
      </c>
      <c r="L162" s="16" t="e">
        <f>IF(OR(Data!B162="",Data!#REF!=""),"",IF(ISNUMBER(Data!#REF!),IF(AND(Data!#REF!&gt;Data_Val!$G$2,Data!#REF!&lt;=Data_Val!$G$3),0,1),1))</f>
        <v>#REF!</v>
      </c>
      <c r="M162" s="9" t="e">
        <f>IF(OR(Data!B162="",Data!#REF!=""),"",IF(ISNUMBER(MATCH(Data!#REF!,Data_Val!$F$1:$F$38,0)),0,1))</f>
        <v>#REF!</v>
      </c>
      <c r="N162" s="9" t="e">
        <f>IF(OR(Data!B162="",Data!#REF!=""),"",IF(Data!#REF!="",1,0))</f>
        <v>#REF!</v>
      </c>
      <c r="O162" s="17" t="e">
        <f>IF(Data!#REF!="","",IF(Data!#REF!="",1,0))</f>
        <v>#REF!</v>
      </c>
      <c r="P162" s="17" t="e">
        <f>IF(Data!#REF!="","",IF(ISNUMBER(MATCH(Data!#REF!,Data_Val!$A$2:$A$3,0)),0,1))</f>
        <v>#REF!</v>
      </c>
      <c r="Q162" s="25" t="e">
        <f ca="1">IF(Data!#REF!="","",IF(ISNUMBER(Data!#REF!),IF(AND(Data!#REF!&gt;(TODAY()-(Data_Val!$J$3*365.25)),Data!#REF!&lt;=(TODAY()-(Data_Val!$J$2*365.25))),0,1),1))</f>
        <v>#REF!</v>
      </c>
      <c r="R162" s="17" t="e">
        <f>IF(Data!#REF!="","",IF(ISNUMBER(MATCH(Data!#REF!,Data_Val!$B$2:$B$15,0)),0,1))</f>
        <v>#REF!</v>
      </c>
      <c r="S162" s="11" t="str">
        <f>IF(Data!G162="","",IF(Data!G162=Data_Val!$C$2,IF(Data!M162="",0,1),0))</f>
        <v/>
      </c>
      <c r="T162" s="11" t="str">
        <f>IF(Data!M162="","",IF(ISNUMBER(MATCH(Data!N162,Data_Val!$A$2:$A$3,0)),0,1))</f>
        <v/>
      </c>
      <c r="U162" s="11" t="str">
        <f ca="1">IF(Data!M162="","",IF(ISNUMBER(Data!O162),IF(AND(Data!O162&gt;(TODAY()-(Data_Val!$K$3*365.25)),Data!O162&lt;=(TODAY()-(Data_Val!$K$2*365.25))),0,1),1))</f>
        <v/>
      </c>
      <c r="V162" s="12" t="str">
        <f>IF(Data!G162="","",IF(Data!G162=Data_Val!$C$2,IF(Data!P162="",0,1),0))</f>
        <v/>
      </c>
      <c r="W162" s="12" t="str">
        <f>IF(Data!P162="","",IF(ISNUMBER(MATCH(Data!Q162,Data_Val!$A$2:$A$3,0)),0,1))</f>
        <v/>
      </c>
      <c r="X162" s="26" t="str">
        <f ca="1">IF(Data!P162="","",IF(ISNUMBER(Data!R162),IF(AND(Data!R162&gt;(TODAY()-(Data_Val!$L$3*365.25)),Data!R162&lt;=(TODAY()-(Data_Val!$L$2*365.25))),0,1),1))</f>
        <v/>
      </c>
      <c r="Y162" s="13" t="str">
        <f>IF(Data!$G162="","",IF(Data!$G162=Data_Val!$C$2,IF(Data!S162="",0,1),0))</f>
        <v/>
      </c>
      <c r="Z162" s="13" t="str">
        <f>IF(Data!S162="","",IF(ISNUMBER(MATCH(Data!T162,Data_Val!$A$2:$A$3,0)),0,1))</f>
        <v/>
      </c>
      <c r="AA162" s="28" t="str">
        <f ca="1">IF(Data!S162="","",IF(ISNUMBER(Data!U162),IF(AND(Data!U162&gt;(TODAY()-(Data_Val!$L$3*365.25)),Data!U162&lt;=(TODAY()-(Data_Val!$L$2*365.25))),0,1),1))</f>
        <v/>
      </c>
      <c r="AB162" s="11"/>
      <c r="AC162" s="11" t="e">
        <f>IF(Data!#REF!="","",IF(ISNUMBER(MATCH(Data!#REF!,Data_Val!$A$2:$A$3,0)),0,1))</f>
        <v>#REF!</v>
      </c>
      <c r="AD162" s="11" t="e">
        <f ca="1">IF(Data!#REF!="","",IF(ISNUMBER(Data!#REF!),IF(AND(Data!#REF!&gt;(TODAY()-(Data_Val!$L$3*365.25)),Data!#REF!&lt;=(TODAY()-(Data_Val!$L$2*365.25))),0,1),1))</f>
        <v>#REF!</v>
      </c>
      <c r="AE162" s="11" t="e">
        <f>IF(Data!#REF!="","",IF(Data!$G162="",1,IF(ISNUMBER(MATCH(Data!#REF!,Data_Val!$D$2:$D$10,0)),0,1)))</f>
        <v>#REF!</v>
      </c>
      <c r="AF162" s="12"/>
      <c r="AG162" s="12" t="e">
        <f>IF(Data!#REF!="","",IF(ISNUMBER(MATCH(Data!#REF!,Data_Val!$A$2:$A$3,0)),0,1))</f>
        <v>#REF!</v>
      </c>
      <c r="AH162" s="26" t="e">
        <f ca="1">IF(Data!#REF!="","",IF(ISNUMBER(Data!#REF!),IF(AND(Data!#REF!&gt;(TODAY()-(Data_Val!$L$3*365.25)),Data!#REF!&lt;=(TODAY()-(Data_Val!$L$2*365.25))),0,1),1))</f>
        <v>#REF!</v>
      </c>
      <c r="AI162" s="12" t="e">
        <f>IF(Data!#REF!="","",IF(Data!$G162="",1,IF(ISNUMBER(MATCH(Data!#REF!,Data_Val!$D$2:$D$10,0)),0,1)))</f>
        <v>#REF!</v>
      </c>
      <c r="AJ162" s="17"/>
      <c r="AK162" s="17" t="e">
        <f>IF(Data!#REF!="","",IF(ISNUMBER(MATCH(Data!#REF!,Data_Val!$A$2:$A$3,0)),0,1))</f>
        <v>#REF!</v>
      </c>
      <c r="AL162" s="25" t="e">
        <f ca="1">IF(Data!#REF!="","",IF(ISNUMBER(Data!#REF!),IF(AND(Data!#REF!&gt;(TODAY()-(Data_Val!$L$3*365.25)),Data!#REF!&lt;=(TODAY()-(Data_Val!$L$2*365.25))),0,1),1))</f>
        <v>#REF!</v>
      </c>
      <c r="AM162" s="17" t="e">
        <f>IF(Data!#REF!="","",IF(Data!$G162="",1,IF(ISNUMBER(MATCH(Data!#REF!,Data_Val!$D$2:$D$10,0)),0,1)))</f>
        <v>#REF!</v>
      </c>
      <c r="AN162" s="13"/>
      <c r="AO162" s="28" t="e">
        <f ca="1">IF(Data!#REF!="","",IF(ISNUMBER(Data!#REF!),IF(AND(Data!#REF!&gt;(TODAY()-(Data_Val!$I$3*365.25)),Data!#REF!&lt;=(TODAY()-(Data_Val!$I$2*365.25))),0,1),1))</f>
        <v>#REF!</v>
      </c>
      <c r="AP162" s="13" t="e">
        <f>IF(Data!#REF!="","",IF(Data!$G162="",1,IF(ISNUMBER(MATCH(Data!#REF!,Data_Val!$D$2:$D$10,0)),0,1)))</f>
        <v>#REF!</v>
      </c>
      <c r="AQ162" s="17"/>
      <c r="AR162" s="30" t="e">
        <f ca="1">IF(Data!#REF!="","",IF(ISNUMBER(Data!#REF!),IF(AND(Data!#REF!&gt;(TODAY()-(Data_Val!$I$3*365.25)),Data!#REF!&lt;=(TODAY()-(Data_Val!$I$2*365.25))),0,1),1))</f>
        <v>#REF!</v>
      </c>
      <c r="AS162" s="31" t="e">
        <f>IF(Data!#REF!="","",IF(Data!$G162="",1,IF(ISNUMBER(MATCH(Data!#REF!,Data_Val!$D$2:$D$10,0)),0,1)))</f>
        <v>#REF!</v>
      </c>
      <c r="AT162" s="11"/>
      <c r="AU162" s="11" t="e">
        <f ca="1">IF(Data!#REF!="","",IF(ISNUMBER(Data!#REF!),IF(AND(Data!#REF!&gt;(TODAY()-(Data_Val!$I$3*365.25)),Data!#REF!&lt;=(TODAY()-(Data_Val!$I$2*365.25))),0,1),1))</f>
        <v>#REF!</v>
      </c>
      <c r="AV162" s="11" t="e">
        <f>IF(Data!#REF!="","",IF(Data!$G162="",1,IF(ISNUMBER(MATCH(Data!#REF!,Data_Val!$D$2:$D$10,0)),0,1)))</f>
        <v>#REF!</v>
      </c>
      <c r="AW162" s="12"/>
      <c r="AX162" s="26" t="e">
        <f ca="1">IF(Data!#REF!="","",IF(ISNUMBER(Data!#REF!),IF(AND(Data!#REF!&gt;(TODAY()-(Data_Val!$I$3*365.25)),Data!#REF!&lt;=(TODAY()-(Data_Val!$I$2*365.25))),0,1),1))</f>
        <v>#REF!</v>
      </c>
      <c r="AY162" s="12" t="e">
        <f>IF(Data!#REF!="","",IF(Data!$G162="",1,IF(ISNUMBER(MATCH(Data!#REF!,Data_Val!$D$2:$D$10,0)),0,1)))</f>
        <v>#REF!</v>
      </c>
      <c r="AZ162" s="11"/>
      <c r="BA162" s="19" t="e">
        <f ca="1">IF(Data!#REF!="","",IF(ISNUMBER(Data!#REF!),IF(AND(Data!#REF!&gt;(TODAY()-(Data_Val!$M$3*365.25)),Data!#REF!&lt;=(TODAY()-(Data_Val!$M$2*365.25))),0,1),1))</f>
        <v>#REF!</v>
      </c>
      <c r="BB162" s="11" t="e">
        <f>IF(Data!#REF!="","",IF(Data!$G162="",1,IF(ISNUMBER(MATCH(Data!#REF!,Data_Val!$D$2:$D$10,0)),0,1)))</f>
        <v>#REF!</v>
      </c>
      <c r="BC162" s="12"/>
      <c r="BD162" s="20" t="e">
        <f ca="1">IF(Data!#REF!="","",IF(ISNUMBER(Data!#REF!),IF(AND(Data!#REF!&gt;(TODAY()-(Data_Val!$M$3*365.25)),Data!#REF!&lt;=(TODAY()-(Data_Val!$M$2*365.25))),0,1),1))</f>
        <v>#REF!</v>
      </c>
      <c r="BE162" s="12" t="e">
        <f>IF(Data!#REF!="","",IF(Data!$G162="",1,IF(ISNUMBER(MATCH(Data!#REF!,Data_Val!$D$2:$D$10,0)),0,1)))</f>
        <v>#REF!</v>
      </c>
      <c r="BF162" s="17"/>
      <c r="BG162" s="18" t="e">
        <f ca="1">IF(Data!#REF!="","",IF(ISNUMBER(Data!#REF!),IF(AND(Data!#REF!&gt;(TODAY()-(Data_Val!$M$3*365.25)),Data!#REF!&lt;=(TODAY()-(Data_Val!$M$2*365.25))),0,1),1))</f>
        <v>#REF!</v>
      </c>
      <c r="BH162" s="29" t="e">
        <f>IF(Data!#REF!="","",IF(Data!$G162="",1,IF(ISNUMBER(MATCH(Data!#REF!,Data_Val!$D$2:$D$10,0)),0,1)))</f>
        <v>#REF!</v>
      </c>
      <c r="BI162" s="13"/>
      <c r="BJ162" s="21" t="e">
        <f ca="1">IF(Data!#REF!="","",IF(ISNUMBER(Data!#REF!),IF(AND(Data!#REF!&gt;(TODAY()-(Data_Val!$M$3*365.25)),Data!#REF!&lt;=(TODAY()-(Data_Val!$M$2*365.25))),0,1),1))</f>
        <v>#REF!</v>
      </c>
      <c r="BK162" s="13" t="e">
        <f>IF(Data!#REF!="","",IF(Data!$G162="",1,IF(ISNUMBER(MATCH(Data!#REF!,Data_Val!$D$2:$D$10,0)),0,1)))</f>
        <v>#REF!</v>
      </c>
    </row>
    <row r="163" spans="1:63" x14ac:dyDescent="0.25">
      <c r="A163" s="9" t="str">
        <f>IF(Data!B163="","",IF(COUNTIFS(Data!A$1:'Data'!A163,Data!A163)&lt;=1,0,1))</f>
        <v/>
      </c>
      <c r="B163" s="9"/>
      <c r="C163" s="23" t="str">
        <f>IF(Data!C163="","",(IF(ISNUMBER(MATCH("*@*.?*",Data!C163,0)),0,1)+IF(COUNTIFS(Data!C$1:'Data'!C163,Data!C163)&gt;1,1,0)))</f>
        <v/>
      </c>
      <c r="D163" s="9" t="str">
        <f>IF(Data!B163="","",IF(ISNUMBER(Data!D163),IF(AND(Data!D163&gt;999999999,Data!D163&lt;=9999999999),IF(COUNTIFS(Data!D$1:'Data'!D163,Data!D163)&lt;=1,0,1),1),1))</f>
        <v/>
      </c>
      <c r="E163" s="9" t="str">
        <f>IF(Data!B163="","",IF(ISNUMBER(MATCH(Data!E163,Data_Val!$A$2:$A$3,0)),0,1))</f>
        <v/>
      </c>
      <c r="F163" s="9" t="str">
        <f ca="1">IF(Data!B163="","",IF(ISNUMBER(Data!F163),IF(AND(Data!F163&gt;(TODAY()-(Data_Val!$H$3*365.25)),Data!F163&lt;=(TODAY()-(Data_Val!$H$2*365.25))),0,1),1))</f>
        <v/>
      </c>
      <c r="G163" s="15" t="str">
        <f>IF(Data!B163="","",IF(AND(Data!G163="",Data!H163&lt;&gt;""),1,IF(Data!#REF!&lt;&gt;"",0,IF(ISNUMBER(MATCH(Data!G163,Data_Val!$C$2:$C$5,0)),0,1))))</f>
        <v/>
      </c>
      <c r="H163" s="15" t="str">
        <f>IF(Data!B163="","",IF(AND(Data!G163&lt;&gt;"",Data!H163=""),1,IF(Data!#REF!&lt;&gt;"",0,IF(Data!G163="",1,IF(ISNUMBER(MATCH(Data!H163,Data_Val!$D$2:$D$35,0)),0,1)))))</f>
        <v/>
      </c>
      <c r="I163" s="15" t="str">
        <f>IF(Data!B163="","",IF(Data!G163&lt;&gt;"",0,IF(ISNUMBER(MATCH(Data!#REF!,Data_Val!$E$2:$E$12,0)),0,1)))</f>
        <v/>
      </c>
      <c r="J163" s="16" t="e">
        <f>IF(OR(Data!B163="",Data!#REF!=""),"",IF(Data!#REF!="",1,0))</f>
        <v>#REF!</v>
      </c>
      <c r="K163" s="16" t="e">
        <f>IF(OR(Data!B163="",Data!#REF!=""),"",IF(Data!#REF!="",1,0))</f>
        <v>#REF!</v>
      </c>
      <c r="L163" s="16" t="e">
        <f>IF(OR(Data!B163="",Data!#REF!=""),"",IF(ISNUMBER(Data!#REF!),IF(AND(Data!#REF!&gt;Data_Val!$G$2,Data!#REF!&lt;=Data_Val!$G$3),0,1),1))</f>
        <v>#REF!</v>
      </c>
      <c r="M163" s="9" t="e">
        <f>IF(OR(Data!B163="",Data!#REF!=""),"",IF(ISNUMBER(MATCH(Data!#REF!,Data_Val!$F$1:$F$38,0)),0,1))</f>
        <v>#REF!</v>
      </c>
      <c r="N163" s="9" t="e">
        <f>IF(OR(Data!B163="",Data!#REF!=""),"",IF(Data!#REF!="",1,0))</f>
        <v>#REF!</v>
      </c>
      <c r="O163" s="17" t="e">
        <f>IF(Data!#REF!="","",IF(Data!#REF!="",1,0))</f>
        <v>#REF!</v>
      </c>
      <c r="P163" s="17" t="e">
        <f>IF(Data!#REF!="","",IF(ISNUMBER(MATCH(Data!#REF!,Data_Val!$A$2:$A$3,0)),0,1))</f>
        <v>#REF!</v>
      </c>
      <c r="Q163" s="25" t="e">
        <f ca="1">IF(Data!#REF!="","",IF(ISNUMBER(Data!#REF!),IF(AND(Data!#REF!&gt;(TODAY()-(Data_Val!$J$3*365.25)),Data!#REF!&lt;=(TODAY()-(Data_Val!$J$2*365.25))),0,1),1))</f>
        <v>#REF!</v>
      </c>
      <c r="R163" s="17" t="e">
        <f>IF(Data!#REF!="","",IF(ISNUMBER(MATCH(Data!#REF!,Data_Val!$B$2:$B$15,0)),0,1))</f>
        <v>#REF!</v>
      </c>
      <c r="S163" s="11" t="str">
        <f>IF(Data!G163="","",IF(Data!G163=Data_Val!$C$2,IF(Data!M163="",0,1),0))</f>
        <v/>
      </c>
      <c r="T163" s="11" t="str">
        <f>IF(Data!M163="","",IF(ISNUMBER(MATCH(Data!N163,Data_Val!$A$2:$A$3,0)),0,1))</f>
        <v/>
      </c>
      <c r="U163" s="11" t="str">
        <f ca="1">IF(Data!M163="","",IF(ISNUMBER(Data!O163),IF(AND(Data!O163&gt;(TODAY()-(Data_Val!$K$3*365.25)),Data!O163&lt;=(TODAY()-(Data_Val!$K$2*365.25))),0,1),1))</f>
        <v/>
      </c>
      <c r="V163" s="12" t="str">
        <f>IF(Data!G163="","",IF(Data!G163=Data_Val!$C$2,IF(Data!P163="",0,1),0))</f>
        <v/>
      </c>
      <c r="W163" s="12" t="str">
        <f>IF(Data!P163="","",IF(ISNUMBER(MATCH(Data!Q163,Data_Val!$A$2:$A$3,0)),0,1))</f>
        <v/>
      </c>
      <c r="X163" s="26" t="str">
        <f ca="1">IF(Data!P163="","",IF(ISNUMBER(Data!R163),IF(AND(Data!R163&gt;(TODAY()-(Data_Val!$L$3*365.25)),Data!R163&lt;=(TODAY()-(Data_Val!$L$2*365.25))),0,1),1))</f>
        <v/>
      </c>
      <c r="Y163" s="13" t="str">
        <f>IF(Data!$G163="","",IF(Data!$G163=Data_Val!$C$2,IF(Data!S163="",0,1),0))</f>
        <v/>
      </c>
      <c r="Z163" s="13" t="str">
        <f>IF(Data!S163="","",IF(ISNUMBER(MATCH(Data!T163,Data_Val!$A$2:$A$3,0)),0,1))</f>
        <v/>
      </c>
      <c r="AA163" s="28" t="str">
        <f ca="1">IF(Data!S163="","",IF(ISNUMBER(Data!U163),IF(AND(Data!U163&gt;(TODAY()-(Data_Val!$L$3*365.25)),Data!U163&lt;=(TODAY()-(Data_Val!$L$2*365.25))),0,1),1))</f>
        <v/>
      </c>
      <c r="AB163" s="11"/>
      <c r="AC163" s="11" t="e">
        <f>IF(Data!#REF!="","",IF(ISNUMBER(MATCH(Data!#REF!,Data_Val!$A$2:$A$3,0)),0,1))</f>
        <v>#REF!</v>
      </c>
      <c r="AD163" s="11" t="e">
        <f ca="1">IF(Data!#REF!="","",IF(ISNUMBER(Data!#REF!),IF(AND(Data!#REF!&gt;(TODAY()-(Data_Val!$L$3*365.25)),Data!#REF!&lt;=(TODAY()-(Data_Val!$L$2*365.25))),0,1),1))</f>
        <v>#REF!</v>
      </c>
      <c r="AE163" s="11" t="e">
        <f>IF(Data!#REF!="","",IF(Data!$G163="",1,IF(ISNUMBER(MATCH(Data!#REF!,Data_Val!$D$2:$D$10,0)),0,1)))</f>
        <v>#REF!</v>
      </c>
      <c r="AF163" s="12"/>
      <c r="AG163" s="12" t="e">
        <f>IF(Data!#REF!="","",IF(ISNUMBER(MATCH(Data!#REF!,Data_Val!$A$2:$A$3,0)),0,1))</f>
        <v>#REF!</v>
      </c>
      <c r="AH163" s="26" t="e">
        <f ca="1">IF(Data!#REF!="","",IF(ISNUMBER(Data!#REF!),IF(AND(Data!#REF!&gt;(TODAY()-(Data_Val!$L$3*365.25)),Data!#REF!&lt;=(TODAY()-(Data_Val!$L$2*365.25))),0,1),1))</f>
        <v>#REF!</v>
      </c>
      <c r="AI163" s="12" t="e">
        <f>IF(Data!#REF!="","",IF(Data!$G163="",1,IF(ISNUMBER(MATCH(Data!#REF!,Data_Val!$D$2:$D$10,0)),0,1)))</f>
        <v>#REF!</v>
      </c>
      <c r="AJ163" s="17"/>
      <c r="AK163" s="17" t="e">
        <f>IF(Data!#REF!="","",IF(ISNUMBER(MATCH(Data!#REF!,Data_Val!$A$2:$A$3,0)),0,1))</f>
        <v>#REF!</v>
      </c>
      <c r="AL163" s="25" t="e">
        <f ca="1">IF(Data!#REF!="","",IF(ISNUMBER(Data!#REF!),IF(AND(Data!#REF!&gt;(TODAY()-(Data_Val!$L$3*365.25)),Data!#REF!&lt;=(TODAY()-(Data_Val!$L$2*365.25))),0,1),1))</f>
        <v>#REF!</v>
      </c>
      <c r="AM163" s="17" t="e">
        <f>IF(Data!#REF!="","",IF(Data!$G163="",1,IF(ISNUMBER(MATCH(Data!#REF!,Data_Val!$D$2:$D$10,0)),0,1)))</f>
        <v>#REF!</v>
      </c>
      <c r="AN163" s="13"/>
      <c r="AO163" s="28" t="e">
        <f ca="1">IF(Data!#REF!="","",IF(ISNUMBER(Data!#REF!),IF(AND(Data!#REF!&gt;(TODAY()-(Data_Val!$I$3*365.25)),Data!#REF!&lt;=(TODAY()-(Data_Val!$I$2*365.25))),0,1),1))</f>
        <v>#REF!</v>
      </c>
      <c r="AP163" s="13" t="e">
        <f>IF(Data!#REF!="","",IF(Data!$G163="",1,IF(ISNUMBER(MATCH(Data!#REF!,Data_Val!$D$2:$D$10,0)),0,1)))</f>
        <v>#REF!</v>
      </c>
      <c r="AQ163" s="17"/>
      <c r="AR163" s="30" t="e">
        <f ca="1">IF(Data!#REF!="","",IF(ISNUMBER(Data!#REF!),IF(AND(Data!#REF!&gt;(TODAY()-(Data_Val!$I$3*365.25)),Data!#REF!&lt;=(TODAY()-(Data_Val!$I$2*365.25))),0,1),1))</f>
        <v>#REF!</v>
      </c>
      <c r="AS163" s="31" t="e">
        <f>IF(Data!#REF!="","",IF(Data!$G163="",1,IF(ISNUMBER(MATCH(Data!#REF!,Data_Val!$D$2:$D$10,0)),0,1)))</f>
        <v>#REF!</v>
      </c>
      <c r="AT163" s="11"/>
      <c r="AU163" s="11" t="e">
        <f ca="1">IF(Data!#REF!="","",IF(ISNUMBER(Data!#REF!),IF(AND(Data!#REF!&gt;(TODAY()-(Data_Val!$I$3*365.25)),Data!#REF!&lt;=(TODAY()-(Data_Val!$I$2*365.25))),0,1),1))</f>
        <v>#REF!</v>
      </c>
      <c r="AV163" s="11" t="e">
        <f>IF(Data!#REF!="","",IF(Data!$G163="",1,IF(ISNUMBER(MATCH(Data!#REF!,Data_Val!$D$2:$D$10,0)),0,1)))</f>
        <v>#REF!</v>
      </c>
      <c r="AW163" s="12"/>
      <c r="AX163" s="26" t="e">
        <f ca="1">IF(Data!#REF!="","",IF(ISNUMBER(Data!#REF!),IF(AND(Data!#REF!&gt;(TODAY()-(Data_Val!$I$3*365.25)),Data!#REF!&lt;=(TODAY()-(Data_Val!$I$2*365.25))),0,1),1))</f>
        <v>#REF!</v>
      </c>
      <c r="AY163" s="12" t="e">
        <f>IF(Data!#REF!="","",IF(Data!$G163="",1,IF(ISNUMBER(MATCH(Data!#REF!,Data_Val!$D$2:$D$10,0)),0,1)))</f>
        <v>#REF!</v>
      </c>
      <c r="AZ163" s="11"/>
      <c r="BA163" s="19" t="e">
        <f ca="1">IF(Data!#REF!="","",IF(ISNUMBER(Data!#REF!),IF(AND(Data!#REF!&gt;(TODAY()-(Data_Val!$M$3*365.25)),Data!#REF!&lt;=(TODAY()-(Data_Val!$M$2*365.25))),0,1),1))</f>
        <v>#REF!</v>
      </c>
      <c r="BB163" s="11" t="e">
        <f>IF(Data!#REF!="","",IF(Data!$G163="",1,IF(ISNUMBER(MATCH(Data!#REF!,Data_Val!$D$2:$D$10,0)),0,1)))</f>
        <v>#REF!</v>
      </c>
      <c r="BC163" s="12"/>
      <c r="BD163" s="20" t="e">
        <f ca="1">IF(Data!#REF!="","",IF(ISNUMBER(Data!#REF!),IF(AND(Data!#REF!&gt;(TODAY()-(Data_Val!$M$3*365.25)),Data!#REF!&lt;=(TODAY()-(Data_Val!$M$2*365.25))),0,1),1))</f>
        <v>#REF!</v>
      </c>
      <c r="BE163" s="12" t="e">
        <f>IF(Data!#REF!="","",IF(Data!$G163="",1,IF(ISNUMBER(MATCH(Data!#REF!,Data_Val!$D$2:$D$10,0)),0,1)))</f>
        <v>#REF!</v>
      </c>
      <c r="BF163" s="17"/>
      <c r="BG163" s="18" t="e">
        <f ca="1">IF(Data!#REF!="","",IF(ISNUMBER(Data!#REF!),IF(AND(Data!#REF!&gt;(TODAY()-(Data_Val!$M$3*365.25)),Data!#REF!&lt;=(TODAY()-(Data_Val!$M$2*365.25))),0,1),1))</f>
        <v>#REF!</v>
      </c>
      <c r="BH163" s="29" t="e">
        <f>IF(Data!#REF!="","",IF(Data!$G163="",1,IF(ISNUMBER(MATCH(Data!#REF!,Data_Val!$D$2:$D$10,0)),0,1)))</f>
        <v>#REF!</v>
      </c>
      <c r="BI163" s="13"/>
      <c r="BJ163" s="21" t="e">
        <f ca="1">IF(Data!#REF!="","",IF(ISNUMBER(Data!#REF!),IF(AND(Data!#REF!&gt;(TODAY()-(Data_Val!$M$3*365.25)),Data!#REF!&lt;=(TODAY()-(Data_Val!$M$2*365.25))),0,1),1))</f>
        <v>#REF!</v>
      </c>
      <c r="BK163" s="13" t="e">
        <f>IF(Data!#REF!="","",IF(Data!$G163="",1,IF(ISNUMBER(MATCH(Data!#REF!,Data_Val!$D$2:$D$10,0)),0,1)))</f>
        <v>#REF!</v>
      </c>
    </row>
    <row r="164" spans="1:63" x14ac:dyDescent="0.25">
      <c r="A164" s="9" t="str">
        <f>IF(Data!B164="","",IF(COUNTIFS(Data!A$1:'Data'!A164,Data!A164)&lt;=1,0,1))</f>
        <v/>
      </c>
      <c r="B164" s="9"/>
      <c r="C164" s="23" t="str">
        <f>IF(Data!C164="","",(IF(ISNUMBER(MATCH("*@*.?*",Data!C164,0)),0,1)+IF(COUNTIFS(Data!C$1:'Data'!C164,Data!C164)&gt;1,1,0)))</f>
        <v/>
      </c>
      <c r="D164" s="9" t="str">
        <f>IF(Data!B164="","",IF(ISNUMBER(Data!D164),IF(AND(Data!D164&gt;999999999,Data!D164&lt;=9999999999),IF(COUNTIFS(Data!D$1:'Data'!D164,Data!D164)&lt;=1,0,1),1),1))</f>
        <v/>
      </c>
      <c r="E164" s="9" t="str">
        <f>IF(Data!B164="","",IF(ISNUMBER(MATCH(Data!E164,Data_Val!$A$2:$A$3,0)),0,1))</f>
        <v/>
      </c>
      <c r="F164" s="9" t="str">
        <f ca="1">IF(Data!B164="","",IF(ISNUMBER(Data!F164),IF(AND(Data!F164&gt;(TODAY()-(Data_Val!$H$3*365.25)),Data!F164&lt;=(TODAY()-(Data_Val!$H$2*365.25))),0,1),1))</f>
        <v/>
      </c>
      <c r="G164" s="15" t="str">
        <f>IF(Data!B164="","",IF(AND(Data!G164="",Data!H164&lt;&gt;""),1,IF(Data!#REF!&lt;&gt;"",0,IF(ISNUMBER(MATCH(Data!G164,Data_Val!$C$2:$C$5,0)),0,1))))</f>
        <v/>
      </c>
      <c r="H164" s="15" t="str">
        <f>IF(Data!B164="","",IF(AND(Data!G164&lt;&gt;"",Data!H164=""),1,IF(Data!#REF!&lt;&gt;"",0,IF(Data!G164="",1,IF(ISNUMBER(MATCH(Data!H164,Data_Val!$D$2:$D$35,0)),0,1)))))</f>
        <v/>
      </c>
      <c r="I164" s="15" t="str">
        <f>IF(Data!B164="","",IF(Data!G164&lt;&gt;"",0,IF(ISNUMBER(MATCH(Data!#REF!,Data_Val!$E$2:$E$12,0)),0,1)))</f>
        <v/>
      </c>
      <c r="J164" s="16" t="e">
        <f>IF(OR(Data!B164="",Data!#REF!=""),"",IF(Data!#REF!="",1,0))</f>
        <v>#REF!</v>
      </c>
      <c r="K164" s="16" t="e">
        <f>IF(OR(Data!B164="",Data!#REF!=""),"",IF(Data!#REF!="",1,0))</f>
        <v>#REF!</v>
      </c>
      <c r="L164" s="16" t="e">
        <f>IF(OR(Data!B164="",Data!#REF!=""),"",IF(ISNUMBER(Data!#REF!),IF(AND(Data!#REF!&gt;Data_Val!$G$2,Data!#REF!&lt;=Data_Val!$G$3),0,1),1))</f>
        <v>#REF!</v>
      </c>
      <c r="M164" s="9" t="e">
        <f>IF(OR(Data!B164="",Data!#REF!=""),"",IF(ISNUMBER(MATCH(Data!#REF!,Data_Val!$F$1:$F$38,0)),0,1))</f>
        <v>#REF!</v>
      </c>
      <c r="N164" s="9" t="e">
        <f>IF(OR(Data!B164="",Data!#REF!=""),"",IF(Data!#REF!="",1,0))</f>
        <v>#REF!</v>
      </c>
      <c r="O164" s="17" t="e">
        <f>IF(Data!#REF!="","",IF(Data!#REF!="",1,0))</f>
        <v>#REF!</v>
      </c>
      <c r="P164" s="17" t="e">
        <f>IF(Data!#REF!="","",IF(ISNUMBER(MATCH(Data!#REF!,Data_Val!$A$2:$A$3,0)),0,1))</f>
        <v>#REF!</v>
      </c>
      <c r="Q164" s="25" t="e">
        <f ca="1">IF(Data!#REF!="","",IF(ISNUMBER(Data!#REF!),IF(AND(Data!#REF!&gt;(TODAY()-(Data_Val!$J$3*365.25)),Data!#REF!&lt;=(TODAY()-(Data_Val!$J$2*365.25))),0,1),1))</f>
        <v>#REF!</v>
      </c>
      <c r="R164" s="17" t="e">
        <f>IF(Data!#REF!="","",IF(ISNUMBER(MATCH(Data!#REF!,Data_Val!$B$2:$B$15,0)),0,1))</f>
        <v>#REF!</v>
      </c>
      <c r="S164" s="11" t="str">
        <f>IF(Data!G164="","",IF(Data!G164=Data_Val!$C$2,IF(Data!M164="",0,1),0))</f>
        <v/>
      </c>
      <c r="T164" s="11" t="str">
        <f>IF(Data!M164="","",IF(ISNUMBER(MATCH(Data!N164,Data_Val!$A$2:$A$3,0)),0,1))</f>
        <v/>
      </c>
      <c r="U164" s="11" t="str">
        <f ca="1">IF(Data!M164="","",IF(ISNUMBER(Data!O164),IF(AND(Data!O164&gt;(TODAY()-(Data_Val!$K$3*365.25)),Data!O164&lt;=(TODAY()-(Data_Val!$K$2*365.25))),0,1),1))</f>
        <v/>
      </c>
      <c r="V164" s="12" t="str">
        <f>IF(Data!G164="","",IF(Data!G164=Data_Val!$C$2,IF(Data!P164="",0,1),0))</f>
        <v/>
      </c>
      <c r="W164" s="12" t="str">
        <f>IF(Data!P164="","",IF(ISNUMBER(MATCH(Data!Q164,Data_Val!$A$2:$A$3,0)),0,1))</f>
        <v/>
      </c>
      <c r="X164" s="26" t="str">
        <f ca="1">IF(Data!P164="","",IF(ISNUMBER(Data!R164),IF(AND(Data!R164&gt;(TODAY()-(Data_Val!$L$3*365.25)),Data!R164&lt;=(TODAY()-(Data_Val!$L$2*365.25))),0,1),1))</f>
        <v/>
      </c>
      <c r="Y164" s="13" t="str">
        <f>IF(Data!$G164="","",IF(Data!$G164=Data_Val!$C$2,IF(Data!S164="",0,1),0))</f>
        <v/>
      </c>
      <c r="Z164" s="13" t="str">
        <f>IF(Data!S164="","",IF(ISNUMBER(MATCH(Data!T164,Data_Val!$A$2:$A$3,0)),0,1))</f>
        <v/>
      </c>
      <c r="AA164" s="28" t="str">
        <f ca="1">IF(Data!S164="","",IF(ISNUMBER(Data!U164),IF(AND(Data!U164&gt;(TODAY()-(Data_Val!$L$3*365.25)),Data!U164&lt;=(TODAY()-(Data_Val!$L$2*365.25))),0,1),1))</f>
        <v/>
      </c>
      <c r="AB164" s="11"/>
      <c r="AC164" s="11" t="e">
        <f>IF(Data!#REF!="","",IF(ISNUMBER(MATCH(Data!#REF!,Data_Val!$A$2:$A$3,0)),0,1))</f>
        <v>#REF!</v>
      </c>
      <c r="AD164" s="11" t="e">
        <f ca="1">IF(Data!#REF!="","",IF(ISNUMBER(Data!#REF!),IF(AND(Data!#REF!&gt;(TODAY()-(Data_Val!$L$3*365.25)),Data!#REF!&lt;=(TODAY()-(Data_Val!$L$2*365.25))),0,1),1))</f>
        <v>#REF!</v>
      </c>
      <c r="AE164" s="11" t="e">
        <f>IF(Data!#REF!="","",IF(Data!$G164="",1,IF(ISNUMBER(MATCH(Data!#REF!,Data_Val!$D$2:$D$10,0)),0,1)))</f>
        <v>#REF!</v>
      </c>
      <c r="AF164" s="12"/>
      <c r="AG164" s="12" t="e">
        <f>IF(Data!#REF!="","",IF(ISNUMBER(MATCH(Data!#REF!,Data_Val!$A$2:$A$3,0)),0,1))</f>
        <v>#REF!</v>
      </c>
      <c r="AH164" s="26" t="e">
        <f ca="1">IF(Data!#REF!="","",IF(ISNUMBER(Data!#REF!),IF(AND(Data!#REF!&gt;(TODAY()-(Data_Val!$L$3*365.25)),Data!#REF!&lt;=(TODAY()-(Data_Val!$L$2*365.25))),0,1),1))</f>
        <v>#REF!</v>
      </c>
      <c r="AI164" s="12" t="e">
        <f>IF(Data!#REF!="","",IF(Data!$G164="",1,IF(ISNUMBER(MATCH(Data!#REF!,Data_Val!$D$2:$D$10,0)),0,1)))</f>
        <v>#REF!</v>
      </c>
      <c r="AJ164" s="17"/>
      <c r="AK164" s="17" t="e">
        <f>IF(Data!#REF!="","",IF(ISNUMBER(MATCH(Data!#REF!,Data_Val!$A$2:$A$3,0)),0,1))</f>
        <v>#REF!</v>
      </c>
      <c r="AL164" s="25" t="e">
        <f ca="1">IF(Data!#REF!="","",IF(ISNUMBER(Data!#REF!),IF(AND(Data!#REF!&gt;(TODAY()-(Data_Val!$L$3*365.25)),Data!#REF!&lt;=(TODAY()-(Data_Val!$L$2*365.25))),0,1),1))</f>
        <v>#REF!</v>
      </c>
      <c r="AM164" s="17" t="e">
        <f>IF(Data!#REF!="","",IF(Data!$G164="",1,IF(ISNUMBER(MATCH(Data!#REF!,Data_Val!$D$2:$D$10,0)),0,1)))</f>
        <v>#REF!</v>
      </c>
      <c r="AN164" s="13"/>
      <c r="AO164" s="28" t="e">
        <f ca="1">IF(Data!#REF!="","",IF(ISNUMBER(Data!#REF!),IF(AND(Data!#REF!&gt;(TODAY()-(Data_Val!$I$3*365.25)),Data!#REF!&lt;=(TODAY()-(Data_Val!$I$2*365.25))),0,1),1))</f>
        <v>#REF!</v>
      </c>
      <c r="AP164" s="13" t="e">
        <f>IF(Data!#REF!="","",IF(Data!$G164="",1,IF(ISNUMBER(MATCH(Data!#REF!,Data_Val!$D$2:$D$10,0)),0,1)))</f>
        <v>#REF!</v>
      </c>
      <c r="AQ164" s="17"/>
      <c r="AR164" s="30" t="e">
        <f ca="1">IF(Data!#REF!="","",IF(ISNUMBER(Data!#REF!),IF(AND(Data!#REF!&gt;(TODAY()-(Data_Val!$I$3*365.25)),Data!#REF!&lt;=(TODAY()-(Data_Val!$I$2*365.25))),0,1),1))</f>
        <v>#REF!</v>
      </c>
      <c r="AS164" s="31" t="e">
        <f>IF(Data!#REF!="","",IF(Data!$G164="",1,IF(ISNUMBER(MATCH(Data!#REF!,Data_Val!$D$2:$D$10,0)),0,1)))</f>
        <v>#REF!</v>
      </c>
      <c r="AT164" s="11"/>
      <c r="AU164" s="11" t="e">
        <f ca="1">IF(Data!#REF!="","",IF(ISNUMBER(Data!#REF!),IF(AND(Data!#REF!&gt;(TODAY()-(Data_Val!$I$3*365.25)),Data!#REF!&lt;=(TODAY()-(Data_Val!$I$2*365.25))),0,1),1))</f>
        <v>#REF!</v>
      </c>
      <c r="AV164" s="11" t="e">
        <f>IF(Data!#REF!="","",IF(Data!$G164="",1,IF(ISNUMBER(MATCH(Data!#REF!,Data_Val!$D$2:$D$10,0)),0,1)))</f>
        <v>#REF!</v>
      </c>
      <c r="AW164" s="12"/>
      <c r="AX164" s="26" t="e">
        <f ca="1">IF(Data!#REF!="","",IF(ISNUMBER(Data!#REF!),IF(AND(Data!#REF!&gt;(TODAY()-(Data_Val!$I$3*365.25)),Data!#REF!&lt;=(TODAY()-(Data_Val!$I$2*365.25))),0,1),1))</f>
        <v>#REF!</v>
      </c>
      <c r="AY164" s="12" t="e">
        <f>IF(Data!#REF!="","",IF(Data!$G164="",1,IF(ISNUMBER(MATCH(Data!#REF!,Data_Val!$D$2:$D$10,0)),0,1)))</f>
        <v>#REF!</v>
      </c>
      <c r="AZ164" s="11"/>
      <c r="BA164" s="19" t="e">
        <f ca="1">IF(Data!#REF!="","",IF(ISNUMBER(Data!#REF!),IF(AND(Data!#REF!&gt;(TODAY()-(Data_Val!$M$3*365.25)),Data!#REF!&lt;=(TODAY()-(Data_Val!$M$2*365.25))),0,1),1))</f>
        <v>#REF!</v>
      </c>
      <c r="BB164" s="11" t="e">
        <f>IF(Data!#REF!="","",IF(Data!$G164="",1,IF(ISNUMBER(MATCH(Data!#REF!,Data_Val!$D$2:$D$10,0)),0,1)))</f>
        <v>#REF!</v>
      </c>
      <c r="BC164" s="12"/>
      <c r="BD164" s="20" t="e">
        <f ca="1">IF(Data!#REF!="","",IF(ISNUMBER(Data!#REF!),IF(AND(Data!#REF!&gt;(TODAY()-(Data_Val!$M$3*365.25)),Data!#REF!&lt;=(TODAY()-(Data_Val!$M$2*365.25))),0,1),1))</f>
        <v>#REF!</v>
      </c>
      <c r="BE164" s="12" t="e">
        <f>IF(Data!#REF!="","",IF(Data!$G164="",1,IF(ISNUMBER(MATCH(Data!#REF!,Data_Val!$D$2:$D$10,0)),0,1)))</f>
        <v>#REF!</v>
      </c>
      <c r="BF164" s="17"/>
      <c r="BG164" s="18" t="e">
        <f ca="1">IF(Data!#REF!="","",IF(ISNUMBER(Data!#REF!),IF(AND(Data!#REF!&gt;(TODAY()-(Data_Val!$M$3*365.25)),Data!#REF!&lt;=(TODAY()-(Data_Val!$M$2*365.25))),0,1),1))</f>
        <v>#REF!</v>
      </c>
      <c r="BH164" s="29" t="e">
        <f>IF(Data!#REF!="","",IF(Data!$G164="",1,IF(ISNUMBER(MATCH(Data!#REF!,Data_Val!$D$2:$D$10,0)),0,1)))</f>
        <v>#REF!</v>
      </c>
      <c r="BI164" s="13"/>
      <c r="BJ164" s="21" t="e">
        <f ca="1">IF(Data!#REF!="","",IF(ISNUMBER(Data!#REF!),IF(AND(Data!#REF!&gt;(TODAY()-(Data_Val!$M$3*365.25)),Data!#REF!&lt;=(TODAY()-(Data_Val!$M$2*365.25))),0,1),1))</f>
        <v>#REF!</v>
      </c>
      <c r="BK164" s="13" t="e">
        <f>IF(Data!#REF!="","",IF(Data!$G164="",1,IF(ISNUMBER(MATCH(Data!#REF!,Data_Val!$D$2:$D$10,0)),0,1)))</f>
        <v>#REF!</v>
      </c>
    </row>
    <row r="165" spans="1:63" x14ac:dyDescent="0.25">
      <c r="A165" s="9" t="str">
        <f>IF(Data!B165="","",IF(COUNTIFS(Data!A$1:'Data'!A165,Data!A165)&lt;=1,0,1))</f>
        <v/>
      </c>
      <c r="B165" s="9"/>
      <c r="C165" s="23" t="str">
        <f>IF(Data!C165="","",(IF(ISNUMBER(MATCH("*@*.?*",Data!C165,0)),0,1)+IF(COUNTIFS(Data!C$1:'Data'!C165,Data!C165)&gt;1,1,0)))</f>
        <v/>
      </c>
      <c r="D165" s="9" t="str">
        <f>IF(Data!B165="","",IF(ISNUMBER(Data!D165),IF(AND(Data!D165&gt;999999999,Data!D165&lt;=9999999999),IF(COUNTIFS(Data!D$1:'Data'!D165,Data!D165)&lt;=1,0,1),1),1))</f>
        <v/>
      </c>
      <c r="E165" s="9" t="str">
        <f>IF(Data!B165="","",IF(ISNUMBER(MATCH(Data!E165,Data_Val!$A$2:$A$3,0)),0,1))</f>
        <v/>
      </c>
      <c r="F165" s="9" t="str">
        <f ca="1">IF(Data!B165="","",IF(ISNUMBER(Data!F165),IF(AND(Data!F165&gt;(TODAY()-(Data_Val!$H$3*365.25)),Data!F165&lt;=(TODAY()-(Data_Val!$H$2*365.25))),0,1),1))</f>
        <v/>
      </c>
      <c r="G165" s="15" t="str">
        <f>IF(Data!B165="","",IF(AND(Data!G165="",Data!H165&lt;&gt;""),1,IF(Data!#REF!&lt;&gt;"",0,IF(ISNUMBER(MATCH(Data!G165,Data_Val!$C$2:$C$5,0)),0,1))))</f>
        <v/>
      </c>
      <c r="H165" s="15" t="str">
        <f>IF(Data!B165="","",IF(AND(Data!G165&lt;&gt;"",Data!H165=""),1,IF(Data!#REF!&lt;&gt;"",0,IF(Data!G165="",1,IF(ISNUMBER(MATCH(Data!H165,Data_Val!$D$2:$D$35,0)),0,1)))))</f>
        <v/>
      </c>
      <c r="I165" s="15" t="str">
        <f>IF(Data!B165="","",IF(Data!G165&lt;&gt;"",0,IF(ISNUMBER(MATCH(Data!#REF!,Data_Val!$E$2:$E$12,0)),0,1)))</f>
        <v/>
      </c>
      <c r="J165" s="16" t="e">
        <f>IF(OR(Data!B165="",Data!#REF!=""),"",IF(Data!#REF!="",1,0))</f>
        <v>#REF!</v>
      </c>
      <c r="K165" s="16" t="e">
        <f>IF(OR(Data!B165="",Data!#REF!=""),"",IF(Data!#REF!="",1,0))</f>
        <v>#REF!</v>
      </c>
      <c r="L165" s="16" t="e">
        <f>IF(OR(Data!B165="",Data!#REF!=""),"",IF(ISNUMBER(Data!#REF!),IF(AND(Data!#REF!&gt;Data_Val!$G$2,Data!#REF!&lt;=Data_Val!$G$3),0,1),1))</f>
        <v>#REF!</v>
      </c>
      <c r="M165" s="9" t="e">
        <f>IF(OR(Data!B165="",Data!#REF!=""),"",IF(ISNUMBER(MATCH(Data!#REF!,Data_Val!$F$1:$F$38,0)),0,1))</f>
        <v>#REF!</v>
      </c>
      <c r="N165" s="9" t="e">
        <f>IF(OR(Data!B165="",Data!#REF!=""),"",IF(Data!#REF!="",1,0))</f>
        <v>#REF!</v>
      </c>
      <c r="O165" s="17" t="e">
        <f>IF(Data!#REF!="","",IF(Data!#REF!="",1,0))</f>
        <v>#REF!</v>
      </c>
      <c r="P165" s="17" t="e">
        <f>IF(Data!#REF!="","",IF(ISNUMBER(MATCH(Data!#REF!,Data_Val!$A$2:$A$3,0)),0,1))</f>
        <v>#REF!</v>
      </c>
      <c r="Q165" s="25" t="e">
        <f ca="1">IF(Data!#REF!="","",IF(ISNUMBER(Data!#REF!),IF(AND(Data!#REF!&gt;(TODAY()-(Data_Val!$J$3*365.25)),Data!#REF!&lt;=(TODAY()-(Data_Val!$J$2*365.25))),0,1),1))</f>
        <v>#REF!</v>
      </c>
      <c r="R165" s="17" t="e">
        <f>IF(Data!#REF!="","",IF(ISNUMBER(MATCH(Data!#REF!,Data_Val!$B$2:$B$15,0)),0,1))</f>
        <v>#REF!</v>
      </c>
      <c r="S165" s="11" t="str">
        <f>IF(Data!G165="","",IF(Data!G165=Data_Val!$C$2,IF(Data!M165="",0,1),0))</f>
        <v/>
      </c>
      <c r="T165" s="11" t="str">
        <f>IF(Data!M165="","",IF(ISNUMBER(MATCH(Data!N165,Data_Val!$A$2:$A$3,0)),0,1))</f>
        <v/>
      </c>
      <c r="U165" s="11" t="str">
        <f ca="1">IF(Data!M165="","",IF(ISNUMBER(Data!O165),IF(AND(Data!O165&gt;(TODAY()-(Data_Val!$K$3*365.25)),Data!O165&lt;=(TODAY()-(Data_Val!$K$2*365.25))),0,1),1))</f>
        <v/>
      </c>
      <c r="V165" s="12" t="str">
        <f>IF(Data!G165="","",IF(Data!G165=Data_Val!$C$2,IF(Data!P165="",0,1),0))</f>
        <v/>
      </c>
      <c r="W165" s="12" t="str">
        <f>IF(Data!P165="","",IF(ISNUMBER(MATCH(Data!Q165,Data_Val!$A$2:$A$3,0)),0,1))</f>
        <v/>
      </c>
      <c r="X165" s="26" t="str">
        <f ca="1">IF(Data!P165="","",IF(ISNUMBER(Data!R165),IF(AND(Data!R165&gt;(TODAY()-(Data_Val!$L$3*365.25)),Data!R165&lt;=(TODAY()-(Data_Val!$L$2*365.25))),0,1),1))</f>
        <v/>
      </c>
      <c r="Y165" s="13" t="str">
        <f>IF(Data!$G165="","",IF(Data!$G165=Data_Val!$C$2,IF(Data!S165="",0,1),0))</f>
        <v/>
      </c>
      <c r="Z165" s="13" t="str">
        <f>IF(Data!S165="","",IF(ISNUMBER(MATCH(Data!T165,Data_Val!$A$2:$A$3,0)),0,1))</f>
        <v/>
      </c>
      <c r="AA165" s="28" t="str">
        <f ca="1">IF(Data!S165="","",IF(ISNUMBER(Data!U165),IF(AND(Data!U165&gt;(TODAY()-(Data_Val!$L$3*365.25)),Data!U165&lt;=(TODAY()-(Data_Val!$L$2*365.25))),0,1),1))</f>
        <v/>
      </c>
      <c r="AB165" s="11"/>
      <c r="AC165" s="11" t="e">
        <f>IF(Data!#REF!="","",IF(ISNUMBER(MATCH(Data!#REF!,Data_Val!$A$2:$A$3,0)),0,1))</f>
        <v>#REF!</v>
      </c>
      <c r="AD165" s="11" t="e">
        <f ca="1">IF(Data!#REF!="","",IF(ISNUMBER(Data!#REF!),IF(AND(Data!#REF!&gt;(TODAY()-(Data_Val!$L$3*365.25)),Data!#REF!&lt;=(TODAY()-(Data_Val!$L$2*365.25))),0,1),1))</f>
        <v>#REF!</v>
      </c>
      <c r="AE165" s="11" t="e">
        <f>IF(Data!#REF!="","",IF(Data!$G165="",1,IF(ISNUMBER(MATCH(Data!#REF!,Data_Val!$D$2:$D$10,0)),0,1)))</f>
        <v>#REF!</v>
      </c>
      <c r="AF165" s="12"/>
      <c r="AG165" s="12" t="e">
        <f>IF(Data!#REF!="","",IF(ISNUMBER(MATCH(Data!#REF!,Data_Val!$A$2:$A$3,0)),0,1))</f>
        <v>#REF!</v>
      </c>
      <c r="AH165" s="26" t="e">
        <f ca="1">IF(Data!#REF!="","",IF(ISNUMBER(Data!#REF!),IF(AND(Data!#REF!&gt;(TODAY()-(Data_Val!$L$3*365.25)),Data!#REF!&lt;=(TODAY()-(Data_Val!$L$2*365.25))),0,1),1))</f>
        <v>#REF!</v>
      </c>
      <c r="AI165" s="12" t="e">
        <f>IF(Data!#REF!="","",IF(Data!$G165="",1,IF(ISNUMBER(MATCH(Data!#REF!,Data_Val!$D$2:$D$10,0)),0,1)))</f>
        <v>#REF!</v>
      </c>
      <c r="AJ165" s="17"/>
      <c r="AK165" s="17" t="e">
        <f>IF(Data!#REF!="","",IF(ISNUMBER(MATCH(Data!#REF!,Data_Val!$A$2:$A$3,0)),0,1))</f>
        <v>#REF!</v>
      </c>
      <c r="AL165" s="25" t="e">
        <f ca="1">IF(Data!#REF!="","",IF(ISNUMBER(Data!#REF!),IF(AND(Data!#REF!&gt;(TODAY()-(Data_Val!$L$3*365.25)),Data!#REF!&lt;=(TODAY()-(Data_Val!$L$2*365.25))),0,1),1))</f>
        <v>#REF!</v>
      </c>
      <c r="AM165" s="17" t="e">
        <f>IF(Data!#REF!="","",IF(Data!$G165="",1,IF(ISNUMBER(MATCH(Data!#REF!,Data_Val!$D$2:$D$10,0)),0,1)))</f>
        <v>#REF!</v>
      </c>
      <c r="AN165" s="13"/>
      <c r="AO165" s="28" t="e">
        <f ca="1">IF(Data!#REF!="","",IF(ISNUMBER(Data!#REF!),IF(AND(Data!#REF!&gt;(TODAY()-(Data_Val!$I$3*365.25)),Data!#REF!&lt;=(TODAY()-(Data_Val!$I$2*365.25))),0,1),1))</f>
        <v>#REF!</v>
      </c>
      <c r="AP165" s="13" t="e">
        <f>IF(Data!#REF!="","",IF(Data!$G165="",1,IF(ISNUMBER(MATCH(Data!#REF!,Data_Val!$D$2:$D$10,0)),0,1)))</f>
        <v>#REF!</v>
      </c>
      <c r="AQ165" s="17"/>
      <c r="AR165" s="30" t="e">
        <f ca="1">IF(Data!#REF!="","",IF(ISNUMBER(Data!#REF!),IF(AND(Data!#REF!&gt;(TODAY()-(Data_Val!$I$3*365.25)),Data!#REF!&lt;=(TODAY()-(Data_Val!$I$2*365.25))),0,1),1))</f>
        <v>#REF!</v>
      </c>
      <c r="AS165" s="31" t="e">
        <f>IF(Data!#REF!="","",IF(Data!$G165="",1,IF(ISNUMBER(MATCH(Data!#REF!,Data_Val!$D$2:$D$10,0)),0,1)))</f>
        <v>#REF!</v>
      </c>
      <c r="AT165" s="11"/>
      <c r="AU165" s="11" t="e">
        <f ca="1">IF(Data!#REF!="","",IF(ISNUMBER(Data!#REF!),IF(AND(Data!#REF!&gt;(TODAY()-(Data_Val!$I$3*365.25)),Data!#REF!&lt;=(TODAY()-(Data_Val!$I$2*365.25))),0,1),1))</f>
        <v>#REF!</v>
      </c>
      <c r="AV165" s="11" t="e">
        <f>IF(Data!#REF!="","",IF(Data!$G165="",1,IF(ISNUMBER(MATCH(Data!#REF!,Data_Val!$D$2:$D$10,0)),0,1)))</f>
        <v>#REF!</v>
      </c>
      <c r="AW165" s="12"/>
      <c r="AX165" s="26" t="e">
        <f ca="1">IF(Data!#REF!="","",IF(ISNUMBER(Data!#REF!),IF(AND(Data!#REF!&gt;(TODAY()-(Data_Val!$I$3*365.25)),Data!#REF!&lt;=(TODAY()-(Data_Val!$I$2*365.25))),0,1),1))</f>
        <v>#REF!</v>
      </c>
      <c r="AY165" s="12" t="e">
        <f>IF(Data!#REF!="","",IF(Data!$G165="",1,IF(ISNUMBER(MATCH(Data!#REF!,Data_Val!$D$2:$D$10,0)),0,1)))</f>
        <v>#REF!</v>
      </c>
      <c r="AZ165" s="11"/>
      <c r="BA165" s="19" t="e">
        <f ca="1">IF(Data!#REF!="","",IF(ISNUMBER(Data!#REF!),IF(AND(Data!#REF!&gt;(TODAY()-(Data_Val!$M$3*365.25)),Data!#REF!&lt;=(TODAY()-(Data_Val!$M$2*365.25))),0,1),1))</f>
        <v>#REF!</v>
      </c>
      <c r="BB165" s="11" t="e">
        <f>IF(Data!#REF!="","",IF(Data!$G165="",1,IF(ISNUMBER(MATCH(Data!#REF!,Data_Val!$D$2:$D$10,0)),0,1)))</f>
        <v>#REF!</v>
      </c>
      <c r="BC165" s="12"/>
      <c r="BD165" s="20" t="e">
        <f ca="1">IF(Data!#REF!="","",IF(ISNUMBER(Data!#REF!),IF(AND(Data!#REF!&gt;(TODAY()-(Data_Val!$M$3*365.25)),Data!#REF!&lt;=(TODAY()-(Data_Val!$M$2*365.25))),0,1),1))</f>
        <v>#REF!</v>
      </c>
      <c r="BE165" s="12" t="e">
        <f>IF(Data!#REF!="","",IF(Data!$G165="",1,IF(ISNUMBER(MATCH(Data!#REF!,Data_Val!$D$2:$D$10,0)),0,1)))</f>
        <v>#REF!</v>
      </c>
      <c r="BF165" s="17"/>
      <c r="BG165" s="18" t="e">
        <f ca="1">IF(Data!#REF!="","",IF(ISNUMBER(Data!#REF!),IF(AND(Data!#REF!&gt;(TODAY()-(Data_Val!$M$3*365.25)),Data!#REF!&lt;=(TODAY()-(Data_Val!$M$2*365.25))),0,1),1))</f>
        <v>#REF!</v>
      </c>
      <c r="BH165" s="29" t="e">
        <f>IF(Data!#REF!="","",IF(Data!$G165="",1,IF(ISNUMBER(MATCH(Data!#REF!,Data_Val!$D$2:$D$10,0)),0,1)))</f>
        <v>#REF!</v>
      </c>
      <c r="BI165" s="13"/>
      <c r="BJ165" s="21" t="e">
        <f ca="1">IF(Data!#REF!="","",IF(ISNUMBER(Data!#REF!),IF(AND(Data!#REF!&gt;(TODAY()-(Data_Val!$M$3*365.25)),Data!#REF!&lt;=(TODAY()-(Data_Val!$M$2*365.25))),0,1),1))</f>
        <v>#REF!</v>
      </c>
      <c r="BK165" s="13" t="e">
        <f>IF(Data!#REF!="","",IF(Data!$G165="",1,IF(ISNUMBER(MATCH(Data!#REF!,Data_Val!$D$2:$D$10,0)),0,1)))</f>
        <v>#REF!</v>
      </c>
    </row>
    <row r="166" spans="1:63" x14ac:dyDescent="0.25">
      <c r="A166" s="9" t="str">
        <f>IF(Data!B166="","",IF(COUNTIFS(Data!A$1:'Data'!A166,Data!A166)&lt;=1,0,1))</f>
        <v/>
      </c>
      <c r="B166" s="9"/>
      <c r="C166" s="23" t="str">
        <f>IF(Data!C166="","",(IF(ISNUMBER(MATCH("*@*.?*",Data!C166,0)),0,1)+IF(COUNTIFS(Data!C$1:'Data'!C166,Data!C166)&gt;1,1,0)))</f>
        <v/>
      </c>
      <c r="D166" s="9" t="str">
        <f>IF(Data!B166="","",IF(ISNUMBER(Data!D166),IF(AND(Data!D166&gt;999999999,Data!D166&lt;=9999999999),IF(COUNTIFS(Data!D$1:'Data'!D166,Data!D166)&lt;=1,0,1),1),1))</f>
        <v/>
      </c>
      <c r="E166" s="9" t="str">
        <f>IF(Data!B166="","",IF(ISNUMBER(MATCH(Data!E166,Data_Val!$A$2:$A$3,0)),0,1))</f>
        <v/>
      </c>
      <c r="F166" s="9" t="str">
        <f ca="1">IF(Data!B166="","",IF(ISNUMBER(Data!F166),IF(AND(Data!F166&gt;(TODAY()-(Data_Val!$H$3*365.25)),Data!F166&lt;=(TODAY()-(Data_Val!$H$2*365.25))),0,1),1))</f>
        <v/>
      </c>
      <c r="G166" s="15" t="str">
        <f>IF(Data!B166="","",IF(AND(Data!G166="",Data!H166&lt;&gt;""),1,IF(Data!#REF!&lt;&gt;"",0,IF(ISNUMBER(MATCH(Data!G166,Data_Val!$C$2:$C$5,0)),0,1))))</f>
        <v/>
      </c>
      <c r="H166" s="15" t="str">
        <f>IF(Data!B166="","",IF(AND(Data!G166&lt;&gt;"",Data!H166=""),1,IF(Data!#REF!&lt;&gt;"",0,IF(Data!G166="",1,IF(ISNUMBER(MATCH(Data!H166,Data_Val!$D$2:$D$35,0)),0,1)))))</f>
        <v/>
      </c>
      <c r="I166" s="15" t="str">
        <f>IF(Data!B166="","",IF(Data!G166&lt;&gt;"",0,IF(ISNUMBER(MATCH(Data!#REF!,Data_Val!$E$2:$E$12,0)),0,1)))</f>
        <v/>
      </c>
      <c r="J166" s="16" t="e">
        <f>IF(OR(Data!B166="",Data!#REF!=""),"",IF(Data!#REF!="",1,0))</f>
        <v>#REF!</v>
      </c>
      <c r="K166" s="16" t="e">
        <f>IF(OR(Data!B166="",Data!#REF!=""),"",IF(Data!#REF!="",1,0))</f>
        <v>#REF!</v>
      </c>
      <c r="L166" s="16" t="e">
        <f>IF(OR(Data!B166="",Data!#REF!=""),"",IF(ISNUMBER(Data!#REF!),IF(AND(Data!#REF!&gt;Data_Val!$G$2,Data!#REF!&lt;=Data_Val!$G$3),0,1),1))</f>
        <v>#REF!</v>
      </c>
      <c r="M166" s="9" t="e">
        <f>IF(OR(Data!B166="",Data!#REF!=""),"",IF(ISNUMBER(MATCH(Data!#REF!,Data_Val!$F$1:$F$38,0)),0,1))</f>
        <v>#REF!</v>
      </c>
      <c r="N166" s="9" t="e">
        <f>IF(OR(Data!B166="",Data!#REF!=""),"",IF(Data!#REF!="",1,0))</f>
        <v>#REF!</v>
      </c>
      <c r="O166" s="17" t="e">
        <f>IF(Data!#REF!="","",IF(Data!#REF!="",1,0))</f>
        <v>#REF!</v>
      </c>
      <c r="P166" s="17" t="e">
        <f>IF(Data!#REF!="","",IF(ISNUMBER(MATCH(Data!#REF!,Data_Val!$A$2:$A$3,0)),0,1))</f>
        <v>#REF!</v>
      </c>
      <c r="Q166" s="25" t="e">
        <f ca="1">IF(Data!#REF!="","",IF(ISNUMBER(Data!#REF!),IF(AND(Data!#REF!&gt;(TODAY()-(Data_Val!$J$3*365.25)),Data!#REF!&lt;=(TODAY()-(Data_Val!$J$2*365.25))),0,1),1))</f>
        <v>#REF!</v>
      </c>
      <c r="R166" s="17" t="e">
        <f>IF(Data!#REF!="","",IF(ISNUMBER(MATCH(Data!#REF!,Data_Val!$B$2:$B$15,0)),0,1))</f>
        <v>#REF!</v>
      </c>
      <c r="S166" s="11" t="str">
        <f>IF(Data!G166="","",IF(Data!G166=Data_Val!$C$2,IF(Data!M166="",0,1),0))</f>
        <v/>
      </c>
      <c r="T166" s="11" t="str">
        <f>IF(Data!M166="","",IF(ISNUMBER(MATCH(Data!N166,Data_Val!$A$2:$A$3,0)),0,1))</f>
        <v/>
      </c>
      <c r="U166" s="11" t="str">
        <f ca="1">IF(Data!M166="","",IF(ISNUMBER(Data!O166),IF(AND(Data!O166&gt;(TODAY()-(Data_Val!$K$3*365.25)),Data!O166&lt;=(TODAY()-(Data_Val!$K$2*365.25))),0,1),1))</f>
        <v/>
      </c>
      <c r="V166" s="12" t="str">
        <f>IF(Data!G166="","",IF(Data!G166=Data_Val!$C$2,IF(Data!P166="",0,1),0))</f>
        <v/>
      </c>
      <c r="W166" s="12" t="str">
        <f>IF(Data!P166="","",IF(ISNUMBER(MATCH(Data!Q166,Data_Val!$A$2:$A$3,0)),0,1))</f>
        <v/>
      </c>
      <c r="X166" s="26" t="str">
        <f ca="1">IF(Data!P166="","",IF(ISNUMBER(Data!R166),IF(AND(Data!R166&gt;(TODAY()-(Data_Val!$L$3*365.25)),Data!R166&lt;=(TODAY()-(Data_Val!$L$2*365.25))),0,1),1))</f>
        <v/>
      </c>
      <c r="Y166" s="13" t="str">
        <f>IF(Data!$G166="","",IF(Data!$G166=Data_Val!$C$2,IF(Data!S166="",0,1),0))</f>
        <v/>
      </c>
      <c r="Z166" s="13" t="str">
        <f>IF(Data!S166="","",IF(ISNUMBER(MATCH(Data!T166,Data_Val!$A$2:$A$3,0)),0,1))</f>
        <v/>
      </c>
      <c r="AA166" s="28" t="str">
        <f ca="1">IF(Data!S166="","",IF(ISNUMBER(Data!U166),IF(AND(Data!U166&gt;(TODAY()-(Data_Val!$L$3*365.25)),Data!U166&lt;=(TODAY()-(Data_Val!$L$2*365.25))),0,1),1))</f>
        <v/>
      </c>
      <c r="AB166" s="11"/>
      <c r="AC166" s="11" t="e">
        <f>IF(Data!#REF!="","",IF(ISNUMBER(MATCH(Data!#REF!,Data_Val!$A$2:$A$3,0)),0,1))</f>
        <v>#REF!</v>
      </c>
      <c r="AD166" s="11" t="e">
        <f ca="1">IF(Data!#REF!="","",IF(ISNUMBER(Data!#REF!),IF(AND(Data!#REF!&gt;(TODAY()-(Data_Val!$L$3*365.25)),Data!#REF!&lt;=(TODAY()-(Data_Val!$L$2*365.25))),0,1),1))</f>
        <v>#REF!</v>
      </c>
      <c r="AE166" s="11" t="e">
        <f>IF(Data!#REF!="","",IF(Data!$G166="",1,IF(ISNUMBER(MATCH(Data!#REF!,Data_Val!$D$2:$D$10,0)),0,1)))</f>
        <v>#REF!</v>
      </c>
      <c r="AF166" s="12"/>
      <c r="AG166" s="12" t="e">
        <f>IF(Data!#REF!="","",IF(ISNUMBER(MATCH(Data!#REF!,Data_Val!$A$2:$A$3,0)),0,1))</f>
        <v>#REF!</v>
      </c>
      <c r="AH166" s="26" t="e">
        <f ca="1">IF(Data!#REF!="","",IF(ISNUMBER(Data!#REF!),IF(AND(Data!#REF!&gt;(TODAY()-(Data_Val!$L$3*365.25)),Data!#REF!&lt;=(TODAY()-(Data_Val!$L$2*365.25))),0,1),1))</f>
        <v>#REF!</v>
      </c>
      <c r="AI166" s="12" t="e">
        <f>IF(Data!#REF!="","",IF(Data!$G166="",1,IF(ISNUMBER(MATCH(Data!#REF!,Data_Val!$D$2:$D$10,0)),0,1)))</f>
        <v>#REF!</v>
      </c>
      <c r="AJ166" s="17"/>
      <c r="AK166" s="17" t="e">
        <f>IF(Data!#REF!="","",IF(ISNUMBER(MATCH(Data!#REF!,Data_Val!$A$2:$A$3,0)),0,1))</f>
        <v>#REF!</v>
      </c>
      <c r="AL166" s="25" t="e">
        <f ca="1">IF(Data!#REF!="","",IF(ISNUMBER(Data!#REF!),IF(AND(Data!#REF!&gt;(TODAY()-(Data_Val!$L$3*365.25)),Data!#REF!&lt;=(TODAY()-(Data_Val!$L$2*365.25))),0,1),1))</f>
        <v>#REF!</v>
      </c>
      <c r="AM166" s="17" t="e">
        <f>IF(Data!#REF!="","",IF(Data!$G166="",1,IF(ISNUMBER(MATCH(Data!#REF!,Data_Val!$D$2:$D$10,0)),0,1)))</f>
        <v>#REF!</v>
      </c>
      <c r="AN166" s="13"/>
      <c r="AO166" s="28" t="e">
        <f ca="1">IF(Data!#REF!="","",IF(ISNUMBER(Data!#REF!),IF(AND(Data!#REF!&gt;(TODAY()-(Data_Val!$I$3*365.25)),Data!#REF!&lt;=(TODAY()-(Data_Val!$I$2*365.25))),0,1),1))</f>
        <v>#REF!</v>
      </c>
      <c r="AP166" s="13" t="e">
        <f>IF(Data!#REF!="","",IF(Data!$G166="",1,IF(ISNUMBER(MATCH(Data!#REF!,Data_Val!$D$2:$D$10,0)),0,1)))</f>
        <v>#REF!</v>
      </c>
      <c r="AQ166" s="17"/>
      <c r="AR166" s="30" t="e">
        <f ca="1">IF(Data!#REF!="","",IF(ISNUMBER(Data!#REF!),IF(AND(Data!#REF!&gt;(TODAY()-(Data_Val!$I$3*365.25)),Data!#REF!&lt;=(TODAY()-(Data_Val!$I$2*365.25))),0,1),1))</f>
        <v>#REF!</v>
      </c>
      <c r="AS166" s="31" t="e">
        <f>IF(Data!#REF!="","",IF(Data!$G166="",1,IF(ISNUMBER(MATCH(Data!#REF!,Data_Val!$D$2:$D$10,0)),0,1)))</f>
        <v>#REF!</v>
      </c>
      <c r="AT166" s="11"/>
      <c r="AU166" s="11" t="e">
        <f ca="1">IF(Data!#REF!="","",IF(ISNUMBER(Data!#REF!),IF(AND(Data!#REF!&gt;(TODAY()-(Data_Val!$I$3*365.25)),Data!#REF!&lt;=(TODAY()-(Data_Val!$I$2*365.25))),0,1),1))</f>
        <v>#REF!</v>
      </c>
      <c r="AV166" s="11" t="e">
        <f>IF(Data!#REF!="","",IF(Data!$G166="",1,IF(ISNUMBER(MATCH(Data!#REF!,Data_Val!$D$2:$D$10,0)),0,1)))</f>
        <v>#REF!</v>
      </c>
      <c r="AW166" s="12"/>
      <c r="AX166" s="26" t="e">
        <f ca="1">IF(Data!#REF!="","",IF(ISNUMBER(Data!#REF!),IF(AND(Data!#REF!&gt;(TODAY()-(Data_Val!$I$3*365.25)),Data!#REF!&lt;=(TODAY()-(Data_Val!$I$2*365.25))),0,1),1))</f>
        <v>#REF!</v>
      </c>
      <c r="AY166" s="12" t="e">
        <f>IF(Data!#REF!="","",IF(Data!$G166="",1,IF(ISNUMBER(MATCH(Data!#REF!,Data_Val!$D$2:$D$10,0)),0,1)))</f>
        <v>#REF!</v>
      </c>
      <c r="AZ166" s="11"/>
      <c r="BA166" s="19" t="e">
        <f ca="1">IF(Data!#REF!="","",IF(ISNUMBER(Data!#REF!),IF(AND(Data!#REF!&gt;(TODAY()-(Data_Val!$M$3*365.25)),Data!#REF!&lt;=(TODAY()-(Data_Val!$M$2*365.25))),0,1),1))</f>
        <v>#REF!</v>
      </c>
      <c r="BB166" s="11" t="e">
        <f>IF(Data!#REF!="","",IF(Data!$G166="",1,IF(ISNUMBER(MATCH(Data!#REF!,Data_Val!$D$2:$D$10,0)),0,1)))</f>
        <v>#REF!</v>
      </c>
      <c r="BC166" s="12"/>
      <c r="BD166" s="20" t="e">
        <f ca="1">IF(Data!#REF!="","",IF(ISNUMBER(Data!#REF!),IF(AND(Data!#REF!&gt;(TODAY()-(Data_Val!$M$3*365.25)),Data!#REF!&lt;=(TODAY()-(Data_Val!$M$2*365.25))),0,1),1))</f>
        <v>#REF!</v>
      </c>
      <c r="BE166" s="12" t="e">
        <f>IF(Data!#REF!="","",IF(Data!$G166="",1,IF(ISNUMBER(MATCH(Data!#REF!,Data_Val!$D$2:$D$10,0)),0,1)))</f>
        <v>#REF!</v>
      </c>
      <c r="BF166" s="17"/>
      <c r="BG166" s="18" t="e">
        <f ca="1">IF(Data!#REF!="","",IF(ISNUMBER(Data!#REF!),IF(AND(Data!#REF!&gt;(TODAY()-(Data_Val!$M$3*365.25)),Data!#REF!&lt;=(TODAY()-(Data_Val!$M$2*365.25))),0,1),1))</f>
        <v>#REF!</v>
      </c>
      <c r="BH166" s="29" t="e">
        <f>IF(Data!#REF!="","",IF(Data!$G166="",1,IF(ISNUMBER(MATCH(Data!#REF!,Data_Val!$D$2:$D$10,0)),0,1)))</f>
        <v>#REF!</v>
      </c>
      <c r="BI166" s="13"/>
      <c r="BJ166" s="21" t="e">
        <f ca="1">IF(Data!#REF!="","",IF(ISNUMBER(Data!#REF!),IF(AND(Data!#REF!&gt;(TODAY()-(Data_Val!$M$3*365.25)),Data!#REF!&lt;=(TODAY()-(Data_Val!$M$2*365.25))),0,1),1))</f>
        <v>#REF!</v>
      </c>
      <c r="BK166" s="13" t="e">
        <f>IF(Data!#REF!="","",IF(Data!$G166="",1,IF(ISNUMBER(MATCH(Data!#REF!,Data_Val!$D$2:$D$10,0)),0,1)))</f>
        <v>#REF!</v>
      </c>
    </row>
    <row r="167" spans="1:63" x14ac:dyDescent="0.25">
      <c r="A167" s="9" t="str">
        <f>IF(Data!B167="","",IF(COUNTIFS(Data!A$1:'Data'!A167,Data!A167)&lt;=1,0,1))</f>
        <v/>
      </c>
      <c r="B167" s="9"/>
      <c r="C167" s="23" t="str">
        <f>IF(Data!C167="","",(IF(ISNUMBER(MATCH("*@*.?*",Data!C167,0)),0,1)+IF(COUNTIFS(Data!C$1:'Data'!C167,Data!C167)&gt;1,1,0)))</f>
        <v/>
      </c>
      <c r="D167" s="9" t="str">
        <f>IF(Data!B167="","",IF(ISNUMBER(Data!D167),IF(AND(Data!D167&gt;999999999,Data!D167&lt;=9999999999),IF(COUNTIFS(Data!D$1:'Data'!D167,Data!D167)&lt;=1,0,1),1),1))</f>
        <v/>
      </c>
      <c r="E167" s="9" t="str">
        <f>IF(Data!B167="","",IF(ISNUMBER(MATCH(Data!E167,Data_Val!$A$2:$A$3,0)),0,1))</f>
        <v/>
      </c>
      <c r="F167" s="9" t="str">
        <f ca="1">IF(Data!B167="","",IF(ISNUMBER(Data!F167),IF(AND(Data!F167&gt;(TODAY()-(Data_Val!$H$3*365.25)),Data!F167&lt;=(TODAY()-(Data_Val!$H$2*365.25))),0,1),1))</f>
        <v/>
      </c>
      <c r="G167" s="15" t="str">
        <f>IF(Data!B167="","",IF(AND(Data!G167="",Data!H167&lt;&gt;""),1,IF(Data!#REF!&lt;&gt;"",0,IF(ISNUMBER(MATCH(Data!G167,Data_Val!$C$2:$C$5,0)),0,1))))</f>
        <v/>
      </c>
      <c r="H167" s="15" t="str">
        <f>IF(Data!B167="","",IF(AND(Data!G167&lt;&gt;"",Data!H167=""),1,IF(Data!#REF!&lt;&gt;"",0,IF(Data!G167="",1,IF(ISNUMBER(MATCH(Data!H167,Data_Val!$D$2:$D$35,0)),0,1)))))</f>
        <v/>
      </c>
      <c r="I167" s="15" t="str">
        <f>IF(Data!B167="","",IF(Data!G167&lt;&gt;"",0,IF(ISNUMBER(MATCH(Data!#REF!,Data_Val!$E$2:$E$12,0)),0,1)))</f>
        <v/>
      </c>
      <c r="J167" s="16" t="e">
        <f>IF(OR(Data!B167="",Data!#REF!=""),"",IF(Data!#REF!="",1,0))</f>
        <v>#REF!</v>
      </c>
      <c r="K167" s="16" t="e">
        <f>IF(OR(Data!B167="",Data!#REF!=""),"",IF(Data!#REF!="",1,0))</f>
        <v>#REF!</v>
      </c>
      <c r="L167" s="16" t="e">
        <f>IF(OR(Data!B167="",Data!#REF!=""),"",IF(ISNUMBER(Data!#REF!),IF(AND(Data!#REF!&gt;Data_Val!$G$2,Data!#REF!&lt;=Data_Val!$G$3),0,1),1))</f>
        <v>#REF!</v>
      </c>
      <c r="M167" s="9" t="e">
        <f>IF(OR(Data!B167="",Data!#REF!=""),"",IF(ISNUMBER(MATCH(Data!#REF!,Data_Val!$F$1:$F$38,0)),0,1))</f>
        <v>#REF!</v>
      </c>
      <c r="N167" s="9" t="e">
        <f>IF(OR(Data!B167="",Data!#REF!=""),"",IF(Data!#REF!="",1,0))</f>
        <v>#REF!</v>
      </c>
      <c r="O167" s="17" t="e">
        <f>IF(Data!#REF!="","",IF(Data!#REF!="",1,0))</f>
        <v>#REF!</v>
      </c>
      <c r="P167" s="17" t="e">
        <f>IF(Data!#REF!="","",IF(ISNUMBER(MATCH(Data!#REF!,Data_Val!$A$2:$A$3,0)),0,1))</f>
        <v>#REF!</v>
      </c>
      <c r="Q167" s="25" t="e">
        <f ca="1">IF(Data!#REF!="","",IF(ISNUMBER(Data!#REF!),IF(AND(Data!#REF!&gt;(TODAY()-(Data_Val!$J$3*365.25)),Data!#REF!&lt;=(TODAY()-(Data_Val!$J$2*365.25))),0,1),1))</f>
        <v>#REF!</v>
      </c>
      <c r="R167" s="17" t="e">
        <f>IF(Data!#REF!="","",IF(ISNUMBER(MATCH(Data!#REF!,Data_Val!$B$2:$B$15,0)),0,1))</f>
        <v>#REF!</v>
      </c>
      <c r="S167" s="11" t="str">
        <f>IF(Data!G167="","",IF(Data!G167=Data_Val!$C$2,IF(Data!M167="",0,1),0))</f>
        <v/>
      </c>
      <c r="T167" s="11" t="str">
        <f>IF(Data!M167="","",IF(ISNUMBER(MATCH(Data!N167,Data_Val!$A$2:$A$3,0)),0,1))</f>
        <v/>
      </c>
      <c r="U167" s="11" t="str">
        <f ca="1">IF(Data!M167="","",IF(ISNUMBER(Data!O167),IF(AND(Data!O167&gt;(TODAY()-(Data_Val!$K$3*365.25)),Data!O167&lt;=(TODAY()-(Data_Val!$K$2*365.25))),0,1),1))</f>
        <v/>
      </c>
      <c r="V167" s="12" t="str">
        <f>IF(Data!G167="","",IF(Data!G167=Data_Val!$C$2,IF(Data!P167="",0,1),0))</f>
        <v/>
      </c>
      <c r="W167" s="12" t="str">
        <f>IF(Data!P167="","",IF(ISNUMBER(MATCH(Data!Q167,Data_Val!$A$2:$A$3,0)),0,1))</f>
        <v/>
      </c>
      <c r="X167" s="26" t="str">
        <f ca="1">IF(Data!P167="","",IF(ISNUMBER(Data!R167),IF(AND(Data!R167&gt;(TODAY()-(Data_Val!$L$3*365.25)),Data!R167&lt;=(TODAY()-(Data_Val!$L$2*365.25))),0,1),1))</f>
        <v/>
      </c>
      <c r="Y167" s="13" t="str">
        <f>IF(Data!$G167="","",IF(Data!$G167=Data_Val!$C$2,IF(Data!S167="",0,1),0))</f>
        <v/>
      </c>
      <c r="Z167" s="13" t="str">
        <f>IF(Data!S167="","",IF(ISNUMBER(MATCH(Data!T167,Data_Val!$A$2:$A$3,0)),0,1))</f>
        <v/>
      </c>
      <c r="AA167" s="28" t="str">
        <f ca="1">IF(Data!S167="","",IF(ISNUMBER(Data!U167),IF(AND(Data!U167&gt;(TODAY()-(Data_Val!$L$3*365.25)),Data!U167&lt;=(TODAY()-(Data_Val!$L$2*365.25))),0,1),1))</f>
        <v/>
      </c>
      <c r="AB167" s="11"/>
      <c r="AC167" s="11" t="e">
        <f>IF(Data!#REF!="","",IF(ISNUMBER(MATCH(Data!#REF!,Data_Val!$A$2:$A$3,0)),0,1))</f>
        <v>#REF!</v>
      </c>
      <c r="AD167" s="11" t="e">
        <f ca="1">IF(Data!#REF!="","",IF(ISNUMBER(Data!#REF!),IF(AND(Data!#REF!&gt;(TODAY()-(Data_Val!$L$3*365.25)),Data!#REF!&lt;=(TODAY()-(Data_Val!$L$2*365.25))),0,1),1))</f>
        <v>#REF!</v>
      </c>
      <c r="AE167" s="11" t="e">
        <f>IF(Data!#REF!="","",IF(Data!$G167="",1,IF(ISNUMBER(MATCH(Data!#REF!,Data_Val!$D$2:$D$10,0)),0,1)))</f>
        <v>#REF!</v>
      </c>
      <c r="AF167" s="12"/>
      <c r="AG167" s="12" t="e">
        <f>IF(Data!#REF!="","",IF(ISNUMBER(MATCH(Data!#REF!,Data_Val!$A$2:$A$3,0)),0,1))</f>
        <v>#REF!</v>
      </c>
      <c r="AH167" s="26" t="e">
        <f ca="1">IF(Data!#REF!="","",IF(ISNUMBER(Data!#REF!),IF(AND(Data!#REF!&gt;(TODAY()-(Data_Val!$L$3*365.25)),Data!#REF!&lt;=(TODAY()-(Data_Val!$L$2*365.25))),0,1),1))</f>
        <v>#REF!</v>
      </c>
      <c r="AI167" s="12" t="e">
        <f>IF(Data!#REF!="","",IF(Data!$G167="",1,IF(ISNUMBER(MATCH(Data!#REF!,Data_Val!$D$2:$D$10,0)),0,1)))</f>
        <v>#REF!</v>
      </c>
      <c r="AJ167" s="17"/>
      <c r="AK167" s="17" t="e">
        <f>IF(Data!#REF!="","",IF(ISNUMBER(MATCH(Data!#REF!,Data_Val!$A$2:$A$3,0)),0,1))</f>
        <v>#REF!</v>
      </c>
      <c r="AL167" s="25" t="e">
        <f ca="1">IF(Data!#REF!="","",IF(ISNUMBER(Data!#REF!),IF(AND(Data!#REF!&gt;(TODAY()-(Data_Val!$L$3*365.25)),Data!#REF!&lt;=(TODAY()-(Data_Val!$L$2*365.25))),0,1),1))</f>
        <v>#REF!</v>
      </c>
      <c r="AM167" s="17" t="e">
        <f>IF(Data!#REF!="","",IF(Data!$G167="",1,IF(ISNUMBER(MATCH(Data!#REF!,Data_Val!$D$2:$D$10,0)),0,1)))</f>
        <v>#REF!</v>
      </c>
      <c r="AN167" s="13"/>
      <c r="AO167" s="28" t="e">
        <f ca="1">IF(Data!#REF!="","",IF(ISNUMBER(Data!#REF!),IF(AND(Data!#REF!&gt;(TODAY()-(Data_Val!$I$3*365.25)),Data!#REF!&lt;=(TODAY()-(Data_Val!$I$2*365.25))),0,1),1))</f>
        <v>#REF!</v>
      </c>
      <c r="AP167" s="13" t="e">
        <f>IF(Data!#REF!="","",IF(Data!$G167="",1,IF(ISNUMBER(MATCH(Data!#REF!,Data_Val!$D$2:$D$10,0)),0,1)))</f>
        <v>#REF!</v>
      </c>
      <c r="AQ167" s="17"/>
      <c r="AR167" s="30" t="e">
        <f ca="1">IF(Data!#REF!="","",IF(ISNUMBER(Data!#REF!),IF(AND(Data!#REF!&gt;(TODAY()-(Data_Val!$I$3*365.25)),Data!#REF!&lt;=(TODAY()-(Data_Val!$I$2*365.25))),0,1),1))</f>
        <v>#REF!</v>
      </c>
      <c r="AS167" s="31" t="e">
        <f>IF(Data!#REF!="","",IF(Data!$G167="",1,IF(ISNUMBER(MATCH(Data!#REF!,Data_Val!$D$2:$D$10,0)),0,1)))</f>
        <v>#REF!</v>
      </c>
      <c r="AT167" s="11"/>
      <c r="AU167" s="11" t="e">
        <f ca="1">IF(Data!#REF!="","",IF(ISNUMBER(Data!#REF!),IF(AND(Data!#REF!&gt;(TODAY()-(Data_Val!$I$3*365.25)),Data!#REF!&lt;=(TODAY()-(Data_Val!$I$2*365.25))),0,1),1))</f>
        <v>#REF!</v>
      </c>
      <c r="AV167" s="11" t="e">
        <f>IF(Data!#REF!="","",IF(Data!$G167="",1,IF(ISNUMBER(MATCH(Data!#REF!,Data_Val!$D$2:$D$10,0)),0,1)))</f>
        <v>#REF!</v>
      </c>
      <c r="AW167" s="12"/>
      <c r="AX167" s="26" t="e">
        <f ca="1">IF(Data!#REF!="","",IF(ISNUMBER(Data!#REF!),IF(AND(Data!#REF!&gt;(TODAY()-(Data_Val!$I$3*365.25)),Data!#REF!&lt;=(TODAY()-(Data_Val!$I$2*365.25))),0,1),1))</f>
        <v>#REF!</v>
      </c>
      <c r="AY167" s="12" t="e">
        <f>IF(Data!#REF!="","",IF(Data!$G167="",1,IF(ISNUMBER(MATCH(Data!#REF!,Data_Val!$D$2:$D$10,0)),0,1)))</f>
        <v>#REF!</v>
      </c>
      <c r="AZ167" s="11"/>
      <c r="BA167" s="19" t="e">
        <f ca="1">IF(Data!#REF!="","",IF(ISNUMBER(Data!#REF!),IF(AND(Data!#REF!&gt;(TODAY()-(Data_Val!$M$3*365.25)),Data!#REF!&lt;=(TODAY()-(Data_Val!$M$2*365.25))),0,1),1))</f>
        <v>#REF!</v>
      </c>
      <c r="BB167" s="11" t="e">
        <f>IF(Data!#REF!="","",IF(Data!$G167="",1,IF(ISNUMBER(MATCH(Data!#REF!,Data_Val!$D$2:$D$10,0)),0,1)))</f>
        <v>#REF!</v>
      </c>
      <c r="BC167" s="12"/>
      <c r="BD167" s="20" t="e">
        <f ca="1">IF(Data!#REF!="","",IF(ISNUMBER(Data!#REF!),IF(AND(Data!#REF!&gt;(TODAY()-(Data_Val!$M$3*365.25)),Data!#REF!&lt;=(TODAY()-(Data_Val!$M$2*365.25))),0,1),1))</f>
        <v>#REF!</v>
      </c>
      <c r="BE167" s="12" t="e">
        <f>IF(Data!#REF!="","",IF(Data!$G167="",1,IF(ISNUMBER(MATCH(Data!#REF!,Data_Val!$D$2:$D$10,0)),0,1)))</f>
        <v>#REF!</v>
      </c>
      <c r="BF167" s="17"/>
      <c r="BG167" s="18" t="e">
        <f ca="1">IF(Data!#REF!="","",IF(ISNUMBER(Data!#REF!),IF(AND(Data!#REF!&gt;(TODAY()-(Data_Val!$M$3*365.25)),Data!#REF!&lt;=(TODAY()-(Data_Val!$M$2*365.25))),0,1),1))</f>
        <v>#REF!</v>
      </c>
      <c r="BH167" s="29" t="e">
        <f>IF(Data!#REF!="","",IF(Data!$G167="",1,IF(ISNUMBER(MATCH(Data!#REF!,Data_Val!$D$2:$D$10,0)),0,1)))</f>
        <v>#REF!</v>
      </c>
      <c r="BI167" s="13"/>
      <c r="BJ167" s="21" t="e">
        <f ca="1">IF(Data!#REF!="","",IF(ISNUMBER(Data!#REF!),IF(AND(Data!#REF!&gt;(TODAY()-(Data_Val!$M$3*365.25)),Data!#REF!&lt;=(TODAY()-(Data_Val!$M$2*365.25))),0,1),1))</f>
        <v>#REF!</v>
      </c>
      <c r="BK167" s="13" t="e">
        <f>IF(Data!#REF!="","",IF(Data!$G167="",1,IF(ISNUMBER(MATCH(Data!#REF!,Data_Val!$D$2:$D$10,0)),0,1)))</f>
        <v>#REF!</v>
      </c>
    </row>
    <row r="168" spans="1:63" x14ac:dyDescent="0.25">
      <c r="A168" s="9" t="str">
        <f>IF(Data!B168="","",IF(COUNTIFS(Data!A$1:'Data'!A168,Data!A168)&lt;=1,0,1))</f>
        <v/>
      </c>
      <c r="B168" s="9"/>
      <c r="C168" s="23" t="str">
        <f>IF(Data!C168="","",(IF(ISNUMBER(MATCH("*@*.?*",Data!C168,0)),0,1)+IF(COUNTIFS(Data!C$1:'Data'!C168,Data!C168)&gt;1,1,0)))</f>
        <v/>
      </c>
      <c r="D168" s="9" t="str">
        <f>IF(Data!B168="","",IF(ISNUMBER(Data!D168),IF(AND(Data!D168&gt;999999999,Data!D168&lt;=9999999999),IF(COUNTIFS(Data!D$1:'Data'!D168,Data!D168)&lt;=1,0,1),1),1))</f>
        <v/>
      </c>
      <c r="E168" s="9" t="str">
        <f>IF(Data!B168="","",IF(ISNUMBER(MATCH(Data!E168,Data_Val!$A$2:$A$3,0)),0,1))</f>
        <v/>
      </c>
      <c r="F168" s="9" t="str">
        <f ca="1">IF(Data!B168="","",IF(ISNUMBER(Data!F168),IF(AND(Data!F168&gt;(TODAY()-(Data_Val!$H$3*365.25)),Data!F168&lt;=(TODAY()-(Data_Val!$H$2*365.25))),0,1),1))</f>
        <v/>
      </c>
      <c r="G168" s="15" t="str">
        <f>IF(Data!B168="","",IF(AND(Data!G168="",Data!H168&lt;&gt;""),1,IF(Data!#REF!&lt;&gt;"",0,IF(ISNUMBER(MATCH(Data!G168,Data_Val!$C$2:$C$5,0)),0,1))))</f>
        <v/>
      </c>
      <c r="H168" s="15" t="str">
        <f>IF(Data!B168="","",IF(AND(Data!G168&lt;&gt;"",Data!H168=""),1,IF(Data!#REF!&lt;&gt;"",0,IF(Data!G168="",1,IF(ISNUMBER(MATCH(Data!H168,Data_Val!$D$2:$D$35,0)),0,1)))))</f>
        <v/>
      </c>
      <c r="I168" s="15" t="str">
        <f>IF(Data!B168="","",IF(Data!G168&lt;&gt;"",0,IF(ISNUMBER(MATCH(Data!#REF!,Data_Val!$E$2:$E$12,0)),0,1)))</f>
        <v/>
      </c>
      <c r="J168" s="16" t="e">
        <f>IF(OR(Data!B168="",Data!#REF!=""),"",IF(Data!#REF!="",1,0))</f>
        <v>#REF!</v>
      </c>
      <c r="K168" s="16" t="e">
        <f>IF(OR(Data!B168="",Data!#REF!=""),"",IF(Data!#REF!="",1,0))</f>
        <v>#REF!</v>
      </c>
      <c r="L168" s="16" t="e">
        <f>IF(OR(Data!B168="",Data!#REF!=""),"",IF(ISNUMBER(Data!#REF!),IF(AND(Data!#REF!&gt;Data_Val!$G$2,Data!#REF!&lt;=Data_Val!$G$3),0,1),1))</f>
        <v>#REF!</v>
      </c>
      <c r="M168" s="9" t="e">
        <f>IF(OR(Data!B168="",Data!#REF!=""),"",IF(ISNUMBER(MATCH(Data!#REF!,Data_Val!$F$1:$F$38,0)),0,1))</f>
        <v>#REF!</v>
      </c>
      <c r="N168" s="9" t="e">
        <f>IF(OR(Data!B168="",Data!#REF!=""),"",IF(Data!#REF!="",1,0))</f>
        <v>#REF!</v>
      </c>
      <c r="O168" s="17" t="e">
        <f>IF(Data!#REF!="","",IF(Data!#REF!="",1,0))</f>
        <v>#REF!</v>
      </c>
      <c r="P168" s="17" t="e">
        <f>IF(Data!#REF!="","",IF(ISNUMBER(MATCH(Data!#REF!,Data_Val!$A$2:$A$3,0)),0,1))</f>
        <v>#REF!</v>
      </c>
      <c r="Q168" s="25" t="e">
        <f ca="1">IF(Data!#REF!="","",IF(ISNUMBER(Data!#REF!),IF(AND(Data!#REF!&gt;(TODAY()-(Data_Val!$J$3*365.25)),Data!#REF!&lt;=(TODAY()-(Data_Val!$J$2*365.25))),0,1),1))</f>
        <v>#REF!</v>
      </c>
      <c r="R168" s="17" t="e">
        <f>IF(Data!#REF!="","",IF(ISNUMBER(MATCH(Data!#REF!,Data_Val!$B$2:$B$15,0)),0,1))</f>
        <v>#REF!</v>
      </c>
      <c r="S168" s="11" t="str">
        <f>IF(Data!G168="","",IF(Data!G168=Data_Val!$C$2,IF(Data!M168="",0,1),0))</f>
        <v/>
      </c>
      <c r="T168" s="11" t="str">
        <f>IF(Data!M168="","",IF(ISNUMBER(MATCH(Data!N168,Data_Val!$A$2:$A$3,0)),0,1))</f>
        <v/>
      </c>
      <c r="U168" s="11" t="str">
        <f ca="1">IF(Data!M168="","",IF(ISNUMBER(Data!O168),IF(AND(Data!O168&gt;(TODAY()-(Data_Val!$K$3*365.25)),Data!O168&lt;=(TODAY()-(Data_Val!$K$2*365.25))),0,1),1))</f>
        <v/>
      </c>
      <c r="V168" s="12" t="str">
        <f>IF(Data!G168="","",IF(Data!G168=Data_Val!$C$2,IF(Data!P168="",0,1),0))</f>
        <v/>
      </c>
      <c r="W168" s="12" t="str">
        <f>IF(Data!P168="","",IF(ISNUMBER(MATCH(Data!Q168,Data_Val!$A$2:$A$3,0)),0,1))</f>
        <v/>
      </c>
      <c r="X168" s="26" t="str">
        <f ca="1">IF(Data!P168="","",IF(ISNUMBER(Data!R168),IF(AND(Data!R168&gt;(TODAY()-(Data_Val!$L$3*365.25)),Data!R168&lt;=(TODAY()-(Data_Val!$L$2*365.25))),0,1),1))</f>
        <v/>
      </c>
      <c r="Y168" s="13" t="str">
        <f>IF(Data!$G168="","",IF(Data!$G168=Data_Val!$C$2,IF(Data!S168="",0,1),0))</f>
        <v/>
      </c>
      <c r="Z168" s="13" t="str">
        <f>IF(Data!S168="","",IF(ISNUMBER(MATCH(Data!T168,Data_Val!$A$2:$A$3,0)),0,1))</f>
        <v/>
      </c>
      <c r="AA168" s="28" t="str">
        <f ca="1">IF(Data!S168="","",IF(ISNUMBER(Data!U168),IF(AND(Data!U168&gt;(TODAY()-(Data_Val!$L$3*365.25)),Data!U168&lt;=(TODAY()-(Data_Val!$L$2*365.25))),0,1),1))</f>
        <v/>
      </c>
      <c r="AB168" s="11"/>
      <c r="AC168" s="11" t="e">
        <f>IF(Data!#REF!="","",IF(ISNUMBER(MATCH(Data!#REF!,Data_Val!$A$2:$A$3,0)),0,1))</f>
        <v>#REF!</v>
      </c>
      <c r="AD168" s="11" t="e">
        <f ca="1">IF(Data!#REF!="","",IF(ISNUMBER(Data!#REF!),IF(AND(Data!#REF!&gt;(TODAY()-(Data_Val!$L$3*365.25)),Data!#REF!&lt;=(TODAY()-(Data_Val!$L$2*365.25))),0,1),1))</f>
        <v>#REF!</v>
      </c>
      <c r="AE168" s="11" t="e">
        <f>IF(Data!#REF!="","",IF(Data!$G168="",1,IF(ISNUMBER(MATCH(Data!#REF!,Data_Val!$D$2:$D$10,0)),0,1)))</f>
        <v>#REF!</v>
      </c>
      <c r="AF168" s="12"/>
      <c r="AG168" s="12" t="e">
        <f>IF(Data!#REF!="","",IF(ISNUMBER(MATCH(Data!#REF!,Data_Val!$A$2:$A$3,0)),0,1))</f>
        <v>#REF!</v>
      </c>
      <c r="AH168" s="26" t="e">
        <f ca="1">IF(Data!#REF!="","",IF(ISNUMBER(Data!#REF!),IF(AND(Data!#REF!&gt;(TODAY()-(Data_Val!$L$3*365.25)),Data!#REF!&lt;=(TODAY()-(Data_Val!$L$2*365.25))),0,1),1))</f>
        <v>#REF!</v>
      </c>
      <c r="AI168" s="12" t="e">
        <f>IF(Data!#REF!="","",IF(Data!$G168="",1,IF(ISNUMBER(MATCH(Data!#REF!,Data_Val!$D$2:$D$10,0)),0,1)))</f>
        <v>#REF!</v>
      </c>
      <c r="AJ168" s="17"/>
      <c r="AK168" s="17" t="e">
        <f>IF(Data!#REF!="","",IF(ISNUMBER(MATCH(Data!#REF!,Data_Val!$A$2:$A$3,0)),0,1))</f>
        <v>#REF!</v>
      </c>
      <c r="AL168" s="25" t="e">
        <f ca="1">IF(Data!#REF!="","",IF(ISNUMBER(Data!#REF!),IF(AND(Data!#REF!&gt;(TODAY()-(Data_Val!$L$3*365.25)),Data!#REF!&lt;=(TODAY()-(Data_Val!$L$2*365.25))),0,1),1))</f>
        <v>#REF!</v>
      </c>
      <c r="AM168" s="17" t="e">
        <f>IF(Data!#REF!="","",IF(Data!$G168="",1,IF(ISNUMBER(MATCH(Data!#REF!,Data_Val!$D$2:$D$10,0)),0,1)))</f>
        <v>#REF!</v>
      </c>
      <c r="AN168" s="13"/>
      <c r="AO168" s="28" t="e">
        <f ca="1">IF(Data!#REF!="","",IF(ISNUMBER(Data!#REF!),IF(AND(Data!#REF!&gt;(TODAY()-(Data_Val!$I$3*365.25)),Data!#REF!&lt;=(TODAY()-(Data_Val!$I$2*365.25))),0,1),1))</f>
        <v>#REF!</v>
      </c>
      <c r="AP168" s="13" t="e">
        <f>IF(Data!#REF!="","",IF(Data!$G168="",1,IF(ISNUMBER(MATCH(Data!#REF!,Data_Val!$D$2:$D$10,0)),0,1)))</f>
        <v>#REF!</v>
      </c>
      <c r="AQ168" s="17"/>
      <c r="AR168" s="30" t="e">
        <f ca="1">IF(Data!#REF!="","",IF(ISNUMBER(Data!#REF!),IF(AND(Data!#REF!&gt;(TODAY()-(Data_Val!$I$3*365.25)),Data!#REF!&lt;=(TODAY()-(Data_Val!$I$2*365.25))),0,1),1))</f>
        <v>#REF!</v>
      </c>
      <c r="AS168" s="31" t="e">
        <f>IF(Data!#REF!="","",IF(Data!$G168="",1,IF(ISNUMBER(MATCH(Data!#REF!,Data_Val!$D$2:$D$10,0)),0,1)))</f>
        <v>#REF!</v>
      </c>
      <c r="AT168" s="11"/>
      <c r="AU168" s="11" t="e">
        <f ca="1">IF(Data!#REF!="","",IF(ISNUMBER(Data!#REF!),IF(AND(Data!#REF!&gt;(TODAY()-(Data_Val!$I$3*365.25)),Data!#REF!&lt;=(TODAY()-(Data_Val!$I$2*365.25))),0,1),1))</f>
        <v>#REF!</v>
      </c>
      <c r="AV168" s="11" t="e">
        <f>IF(Data!#REF!="","",IF(Data!$G168="",1,IF(ISNUMBER(MATCH(Data!#REF!,Data_Val!$D$2:$D$10,0)),0,1)))</f>
        <v>#REF!</v>
      </c>
      <c r="AW168" s="12"/>
      <c r="AX168" s="26" t="e">
        <f ca="1">IF(Data!#REF!="","",IF(ISNUMBER(Data!#REF!),IF(AND(Data!#REF!&gt;(TODAY()-(Data_Val!$I$3*365.25)),Data!#REF!&lt;=(TODAY()-(Data_Val!$I$2*365.25))),0,1),1))</f>
        <v>#REF!</v>
      </c>
      <c r="AY168" s="12" t="e">
        <f>IF(Data!#REF!="","",IF(Data!$G168="",1,IF(ISNUMBER(MATCH(Data!#REF!,Data_Val!$D$2:$D$10,0)),0,1)))</f>
        <v>#REF!</v>
      </c>
      <c r="AZ168" s="11"/>
      <c r="BA168" s="19" t="e">
        <f ca="1">IF(Data!#REF!="","",IF(ISNUMBER(Data!#REF!),IF(AND(Data!#REF!&gt;(TODAY()-(Data_Val!$M$3*365.25)),Data!#REF!&lt;=(TODAY()-(Data_Val!$M$2*365.25))),0,1),1))</f>
        <v>#REF!</v>
      </c>
      <c r="BB168" s="11" t="e">
        <f>IF(Data!#REF!="","",IF(Data!$G168="",1,IF(ISNUMBER(MATCH(Data!#REF!,Data_Val!$D$2:$D$10,0)),0,1)))</f>
        <v>#REF!</v>
      </c>
      <c r="BC168" s="12"/>
      <c r="BD168" s="20" t="e">
        <f ca="1">IF(Data!#REF!="","",IF(ISNUMBER(Data!#REF!),IF(AND(Data!#REF!&gt;(TODAY()-(Data_Val!$M$3*365.25)),Data!#REF!&lt;=(TODAY()-(Data_Val!$M$2*365.25))),0,1),1))</f>
        <v>#REF!</v>
      </c>
      <c r="BE168" s="12" t="e">
        <f>IF(Data!#REF!="","",IF(Data!$G168="",1,IF(ISNUMBER(MATCH(Data!#REF!,Data_Val!$D$2:$D$10,0)),0,1)))</f>
        <v>#REF!</v>
      </c>
      <c r="BF168" s="17"/>
      <c r="BG168" s="18" t="e">
        <f ca="1">IF(Data!#REF!="","",IF(ISNUMBER(Data!#REF!),IF(AND(Data!#REF!&gt;(TODAY()-(Data_Val!$M$3*365.25)),Data!#REF!&lt;=(TODAY()-(Data_Val!$M$2*365.25))),0,1),1))</f>
        <v>#REF!</v>
      </c>
      <c r="BH168" s="29" t="e">
        <f>IF(Data!#REF!="","",IF(Data!$G168="",1,IF(ISNUMBER(MATCH(Data!#REF!,Data_Val!$D$2:$D$10,0)),0,1)))</f>
        <v>#REF!</v>
      </c>
      <c r="BI168" s="13"/>
      <c r="BJ168" s="21" t="e">
        <f ca="1">IF(Data!#REF!="","",IF(ISNUMBER(Data!#REF!),IF(AND(Data!#REF!&gt;(TODAY()-(Data_Val!$M$3*365.25)),Data!#REF!&lt;=(TODAY()-(Data_Val!$M$2*365.25))),0,1),1))</f>
        <v>#REF!</v>
      </c>
      <c r="BK168" s="13" t="e">
        <f>IF(Data!#REF!="","",IF(Data!$G168="",1,IF(ISNUMBER(MATCH(Data!#REF!,Data_Val!$D$2:$D$10,0)),0,1)))</f>
        <v>#REF!</v>
      </c>
    </row>
    <row r="169" spans="1:63" x14ac:dyDescent="0.25">
      <c r="A169" s="9" t="str">
        <f>IF(Data!B169="","",IF(COUNTIFS(Data!A$1:'Data'!A169,Data!A169)&lt;=1,0,1))</f>
        <v/>
      </c>
      <c r="B169" s="9"/>
      <c r="C169" s="23" t="str">
        <f>IF(Data!C169="","",(IF(ISNUMBER(MATCH("*@*.?*",Data!C169,0)),0,1)+IF(COUNTIFS(Data!C$1:'Data'!C169,Data!C169)&gt;1,1,0)))</f>
        <v/>
      </c>
      <c r="D169" s="9" t="str">
        <f>IF(Data!B169="","",IF(ISNUMBER(Data!D169),IF(AND(Data!D169&gt;999999999,Data!D169&lt;=9999999999),IF(COUNTIFS(Data!D$1:'Data'!D169,Data!D169)&lt;=1,0,1),1),1))</f>
        <v/>
      </c>
      <c r="E169" s="9" t="str">
        <f>IF(Data!B169="","",IF(ISNUMBER(MATCH(Data!E169,Data_Val!$A$2:$A$3,0)),0,1))</f>
        <v/>
      </c>
      <c r="F169" s="9" t="str">
        <f ca="1">IF(Data!B169="","",IF(ISNUMBER(Data!F169),IF(AND(Data!F169&gt;(TODAY()-(Data_Val!$H$3*365.25)),Data!F169&lt;=(TODAY()-(Data_Val!$H$2*365.25))),0,1),1))</f>
        <v/>
      </c>
      <c r="G169" s="15" t="str">
        <f>IF(Data!B169="","",IF(AND(Data!G169="",Data!H169&lt;&gt;""),1,IF(Data!#REF!&lt;&gt;"",0,IF(ISNUMBER(MATCH(Data!G169,Data_Val!$C$2:$C$5,0)),0,1))))</f>
        <v/>
      </c>
      <c r="H169" s="15" t="str">
        <f>IF(Data!B169="","",IF(AND(Data!G169&lt;&gt;"",Data!H169=""),1,IF(Data!#REF!&lt;&gt;"",0,IF(Data!G169="",1,IF(ISNUMBER(MATCH(Data!H169,Data_Val!$D$2:$D$35,0)),0,1)))))</f>
        <v/>
      </c>
      <c r="I169" s="15" t="str">
        <f>IF(Data!B169="","",IF(Data!G169&lt;&gt;"",0,IF(ISNUMBER(MATCH(Data!#REF!,Data_Val!$E$2:$E$12,0)),0,1)))</f>
        <v/>
      </c>
      <c r="J169" s="16" t="e">
        <f>IF(OR(Data!B169="",Data!#REF!=""),"",IF(Data!#REF!="",1,0))</f>
        <v>#REF!</v>
      </c>
      <c r="K169" s="16" t="e">
        <f>IF(OR(Data!B169="",Data!#REF!=""),"",IF(Data!#REF!="",1,0))</f>
        <v>#REF!</v>
      </c>
      <c r="L169" s="16" t="e">
        <f>IF(OR(Data!B169="",Data!#REF!=""),"",IF(ISNUMBER(Data!#REF!),IF(AND(Data!#REF!&gt;Data_Val!$G$2,Data!#REF!&lt;=Data_Val!$G$3),0,1),1))</f>
        <v>#REF!</v>
      </c>
      <c r="M169" s="9" t="e">
        <f>IF(OR(Data!B169="",Data!#REF!=""),"",IF(ISNUMBER(MATCH(Data!#REF!,Data_Val!$F$1:$F$38,0)),0,1))</f>
        <v>#REF!</v>
      </c>
      <c r="N169" s="9" t="e">
        <f>IF(OR(Data!B169="",Data!#REF!=""),"",IF(Data!#REF!="",1,0))</f>
        <v>#REF!</v>
      </c>
      <c r="O169" s="17" t="e">
        <f>IF(Data!#REF!="","",IF(Data!#REF!="",1,0))</f>
        <v>#REF!</v>
      </c>
      <c r="P169" s="17" t="e">
        <f>IF(Data!#REF!="","",IF(ISNUMBER(MATCH(Data!#REF!,Data_Val!$A$2:$A$3,0)),0,1))</f>
        <v>#REF!</v>
      </c>
      <c r="Q169" s="25" t="e">
        <f ca="1">IF(Data!#REF!="","",IF(ISNUMBER(Data!#REF!),IF(AND(Data!#REF!&gt;(TODAY()-(Data_Val!$J$3*365.25)),Data!#REF!&lt;=(TODAY()-(Data_Val!$J$2*365.25))),0,1),1))</f>
        <v>#REF!</v>
      </c>
      <c r="R169" s="17" t="e">
        <f>IF(Data!#REF!="","",IF(ISNUMBER(MATCH(Data!#REF!,Data_Val!$B$2:$B$15,0)),0,1))</f>
        <v>#REF!</v>
      </c>
      <c r="S169" s="11" t="str">
        <f>IF(Data!G169="","",IF(Data!G169=Data_Val!$C$2,IF(Data!M169="",0,1),0))</f>
        <v/>
      </c>
      <c r="T169" s="11" t="str">
        <f>IF(Data!M169="","",IF(ISNUMBER(MATCH(Data!N169,Data_Val!$A$2:$A$3,0)),0,1))</f>
        <v/>
      </c>
      <c r="U169" s="11" t="str">
        <f ca="1">IF(Data!M169="","",IF(ISNUMBER(Data!O169),IF(AND(Data!O169&gt;(TODAY()-(Data_Val!$K$3*365.25)),Data!O169&lt;=(TODAY()-(Data_Val!$K$2*365.25))),0,1),1))</f>
        <v/>
      </c>
      <c r="V169" s="12" t="str">
        <f>IF(Data!G169="","",IF(Data!G169=Data_Val!$C$2,IF(Data!P169="",0,1),0))</f>
        <v/>
      </c>
      <c r="W169" s="12" t="str">
        <f>IF(Data!P169="","",IF(ISNUMBER(MATCH(Data!Q169,Data_Val!$A$2:$A$3,0)),0,1))</f>
        <v/>
      </c>
      <c r="X169" s="26" t="str">
        <f ca="1">IF(Data!P169="","",IF(ISNUMBER(Data!R169),IF(AND(Data!R169&gt;(TODAY()-(Data_Val!$L$3*365.25)),Data!R169&lt;=(TODAY()-(Data_Val!$L$2*365.25))),0,1),1))</f>
        <v/>
      </c>
      <c r="Y169" s="13" t="str">
        <f>IF(Data!$G169="","",IF(Data!$G169=Data_Val!$C$2,IF(Data!S169="",0,1),0))</f>
        <v/>
      </c>
      <c r="Z169" s="13" t="str">
        <f>IF(Data!S169="","",IF(ISNUMBER(MATCH(Data!T169,Data_Val!$A$2:$A$3,0)),0,1))</f>
        <v/>
      </c>
      <c r="AA169" s="28" t="str">
        <f ca="1">IF(Data!S169="","",IF(ISNUMBER(Data!U169),IF(AND(Data!U169&gt;(TODAY()-(Data_Val!$L$3*365.25)),Data!U169&lt;=(TODAY()-(Data_Val!$L$2*365.25))),0,1),1))</f>
        <v/>
      </c>
      <c r="AB169" s="11"/>
      <c r="AC169" s="11" t="e">
        <f>IF(Data!#REF!="","",IF(ISNUMBER(MATCH(Data!#REF!,Data_Val!$A$2:$A$3,0)),0,1))</f>
        <v>#REF!</v>
      </c>
      <c r="AD169" s="11" t="e">
        <f ca="1">IF(Data!#REF!="","",IF(ISNUMBER(Data!#REF!),IF(AND(Data!#REF!&gt;(TODAY()-(Data_Val!$L$3*365.25)),Data!#REF!&lt;=(TODAY()-(Data_Val!$L$2*365.25))),0,1),1))</f>
        <v>#REF!</v>
      </c>
      <c r="AE169" s="11" t="e">
        <f>IF(Data!#REF!="","",IF(Data!$G169="",1,IF(ISNUMBER(MATCH(Data!#REF!,Data_Val!$D$2:$D$10,0)),0,1)))</f>
        <v>#REF!</v>
      </c>
      <c r="AF169" s="12"/>
      <c r="AG169" s="12" t="e">
        <f>IF(Data!#REF!="","",IF(ISNUMBER(MATCH(Data!#REF!,Data_Val!$A$2:$A$3,0)),0,1))</f>
        <v>#REF!</v>
      </c>
      <c r="AH169" s="26" t="e">
        <f ca="1">IF(Data!#REF!="","",IF(ISNUMBER(Data!#REF!),IF(AND(Data!#REF!&gt;(TODAY()-(Data_Val!$L$3*365.25)),Data!#REF!&lt;=(TODAY()-(Data_Val!$L$2*365.25))),0,1),1))</f>
        <v>#REF!</v>
      </c>
      <c r="AI169" s="12" t="e">
        <f>IF(Data!#REF!="","",IF(Data!$G169="",1,IF(ISNUMBER(MATCH(Data!#REF!,Data_Val!$D$2:$D$10,0)),0,1)))</f>
        <v>#REF!</v>
      </c>
      <c r="AJ169" s="17"/>
      <c r="AK169" s="17" t="e">
        <f>IF(Data!#REF!="","",IF(ISNUMBER(MATCH(Data!#REF!,Data_Val!$A$2:$A$3,0)),0,1))</f>
        <v>#REF!</v>
      </c>
      <c r="AL169" s="25" t="e">
        <f ca="1">IF(Data!#REF!="","",IF(ISNUMBER(Data!#REF!),IF(AND(Data!#REF!&gt;(TODAY()-(Data_Val!$L$3*365.25)),Data!#REF!&lt;=(TODAY()-(Data_Val!$L$2*365.25))),0,1),1))</f>
        <v>#REF!</v>
      </c>
      <c r="AM169" s="17" t="e">
        <f>IF(Data!#REF!="","",IF(Data!$G169="",1,IF(ISNUMBER(MATCH(Data!#REF!,Data_Val!$D$2:$D$10,0)),0,1)))</f>
        <v>#REF!</v>
      </c>
      <c r="AN169" s="13"/>
      <c r="AO169" s="28" t="e">
        <f ca="1">IF(Data!#REF!="","",IF(ISNUMBER(Data!#REF!),IF(AND(Data!#REF!&gt;(TODAY()-(Data_Val!$I$3*365.25)),Data!#REF!&lt;=(TODAY()-(Data_Val!$I$2*365.25))),0,1),1))</f>
        <v>#REF!</v>
      </c>
      <c r="AP169" s="13" t="e">
        <f>IF(Data!#REF!="","",IF(Data!$G169="",1,IF(ISNUMBER(MATCH(Data!#REF!,Data_Val!$D$2:$D$10,0)),0,1)))</f>
        <v>#REF!</v>
      </c>
      <c r="AQ169" s="17"/>
      <c r="AR169" s="30" t="e">
        <f ca="1">IF(Data!#REF!="","",IF(ISNUMBER(Data!#REF!),IF(AND(Data!#REF!&gt;(TODAY()-(Data_Val!$I$3*365.25)),Data!#REF!&lt;=(TODAY()-(Data_Val!$I$2*365.25))),0,1),1))</f>
        <v>#REF!</v>
      </c>
      <c r="AS169" s="31" t="e">
        <f>IF(Data!#REF!="","",IF(Data!$G169="",1,IF(ISNUMBER(MATCH(Data!#REF!,Data_Val!$D$2:$D$10,0)),0,1)))</f>
        <v>#REF!</v>
      </c>
      <c r="AT169" s="11"/>
      <c r="AU169" s="11" t="e">
        <f ca="1">IF(Data!#REF!="","",IF(ISNUMBER(Data!#REF!),IF(AND(Data!#REF!&gt;(TODAY()-(Data_Val!$I$3*365.25)),Data!#REF!&lt;=(TODAY()-(Data_Val!$I$2*365.25))),0,1),1))</f>
        <v>#REF!</v>
      </c>
      <c r="AV169" s="11" t="e">
        <f>IF(Data!#REF!="","",IF(Data!$G169="",1,IF(ISNUMBER(MATCH(Data!#REF!,Data_Val!$D$2:$D$10,0)),0,1)))</f>
        <v>#REF!</v>
      </c>
      <c r="AW169" s="12"/>
      <c r="AX169" s="26" t="e">
        <f ca="1">IF(Data!#REF!="","",IF(ISNUMBER(Data!#REF!),IF(AND(Data!#REF!&gt;(TODAY()-(Data_Val!$I$3*365.25)),Data!#REF!&lt;=(TODAY()-(Data_Val!$I$2*365.25))),0,1),1))</f>
        <v>#REF!</v>
      </c>
      <c r="AY169" s="12" t="e">
        <f>IF(Data!#REF!="","",IF(Data!$G169="",1,IF(ISNUMBER(MATCH(Data!#REF!,Data_Val!$D$2:$D$10,0)),0,1)))</f>
        <v>#REF!</v>
      </c>
      <c r="AZ169" s="11"/>
      <c r="BA169" s="19" t="e">
        <f ca="1">IF(Data!#REF!="","",IF(ISNUMBER(Data!#REF!),IF(AND(Data!#REF!&gt;(TODAY()-(Data_Val!$M$3*365.25)),Data!#REF!&lt;=(TODAY()-(Data_Val!$M$2*365.25))),0,1),1))</f>
        <v>#REF!</v>
      </c>
      <c r="BB169" s="11" t="e">
        <f>IF(Data!#REF!="","",IF(Data!$G169="",1,IF(ISNUMBER(MATCH(Data!#REF!,Data_Val!$D$2:$D$10,0)),0,1)))</f>
        <v>#REF!</v>
      </c>
      <c r="BC169" s="12"/>
      <c r="BD169" s="20" t="e">
        <f ca="1">IF(Data!#REF!="","",IF(ISNUMBER(Data!#REF!),IF(AND(Data!#REF!&gt;(TODAY()-(Data_Val!$M$3*365.25)),Data!#REF!&lt;=(TODAY()-(Data_Val!$M$2*365.25))),0,1),1))</f>
        <v>#REF!</v>
      </c>
      <c r="BE169" s="12" t="e">
        <f>IF(Data!#REF!="","",IF(Data!$G169="",1,IF(ISNUMBER(MATCH(Data!#REF!,Data_Val!$D$2:$D$10,0)),0,1)))</f>
        <v>#REF!</v>
      </c>
      <c r="BF169" s="17"/>
      <c r="BG169" s="18" t="e">
        <f ca="1">IF(Data!#REF!="","",IF(ISNUMBER(Data!#REF!),IF(AND(Data!#REF!&gt;(TODAY()-(Data_Val!$M$3*365.25)),Data!#REF!&lt;=(TODAY()-(Data_Val!$M$2*365.25))),0,1),1))</f>
        <v>#REF!</v>
      </c>
      <c r="BH169" s="29" t="e">
        <f>IF(Data!#REF!="","",IF(Data!$G169="",1,IF(ISNUMBER(MATCH(Data!#REF!,Data_Val!$D$2:$D$10,0)),0,1)))</f>
        <v>#REF!</v>
      </c>
      <c r="BI169" s="13"/>
      <c r="BJ169" s="21" t="e">
        <f ca="1">IF(Data!#REF!="","",IF(ISNUMBER(Data!#REF!),IF(AND(Data!#REF!&gt;(TODAY()-(Data_Val!$M$3*365.25)),Data!#REF!&lt;=(TODAY()-(Data_Val!$M$2*365.25))),0,1),1))</f>
        <v>#REF!</v>
      </c>
      <c r="BK169" s="13" t="e">
        <f>IF(Data!#REF!="","",IF(Data!$G169="",1,IF(ISNUMBER(MATCH(Data!#REF!,Data_Val!$D$2:$D$10,0)),0,1)))</f>
        <v>#REF!</v>
      </c>
    </row>
    <row r="170" spans="1:63" x14ac:dyDescent="0.25">
      <c r="A170" s="9" t="str">
        <f>IF(Data!B170="","",IF(COUNTIFS(Data!A$1:'Data'!A170,Data!A170)&lt;=1,0,1))</f>
        <v/>
      </c>
      <c r="B170" s="9"/>
      <c r="C170" s="23" t="str">
        <f>IF(Data!C170="","",(IF(ISNUMBER(MATCH("*@*.?*",Data!C170,0)),0,1)+IF(COUNTIFS(Data!C$1:'Data'!C170,Data!C170)&gt;1,1,0)))</f>
        <v/>
      </c>
      <c r="D170" s="9" t="str">
        <f>IF(Data!B170="","",IF(ISNUMBER(Data!D170),IF(AND(Data!D170&gt;999999999,Data!D170&lt;=9999999999),IF(COUNTIFS(Data!D$1:'Data'!D170,Data!D170)&lt;=1,0,1),1),1))</f>
        <v/>
      </c>
      <c r="E170" s="9" t="str">
        <f>IF(Data!B170="","",IF(ISNUMBER(MATCH(Data!E170,Data_Val!$A$2:$A$3,0)),0,1))</f>
        <v/>
      </c>
      <c r="F170" s="9" t="str">
        <f ca="1">IF(Data!B170="","",IF(ISNUMBER(Data!F170),IF(AND(Data!F170&gt;(TODAY()-(Data_Val!$H$3*365.25)),Data!F170&lt;=(TODAY()-(Data_Val!$H$2*365.25))),0,1),1))</f>
        <v/>
      </c>
      <c r="G170" s="15" t="str">
        <f>IF(Data!B170="","",IF(AND(Data!G170="",Data!H170&lt;&gt;""),1,IF(Data!#REF!&lt;&gt;"",0,IF(ISNUMBER(MATCH(Data!G170,Data_Val!$C$2:$C$5,0)),0,1))))</f>
        <v/>
      </c>
      <c r="H170" s="15" t="str">
        <f>IF(Data!B170="","",IF(AND(Data!G170&lt;&gt;"",Data!H170=""),1,IF(Data!#REF!&lt;&gt;"",0,IF(Data!G170="",1,IF(ISNUMBER(MATCH(Data!H170,Data_Val!$D$2:$D$35,0)),0,1)))))</f>
        <v/>
      </c>
      <c r="I170" s="15" t="str">
        <f>IF(Data!B170="","",IF(Data!G170&lt;&gt;"",0,IF(ISNUMBER(MATCH(Data!#REF!,Data_Val!$E$2:$E$12,0)),0,1)))</f>
        <v/>
      </c>
      <c r="J170" s="16" t="e">
        <f>IF(OR(Data!B170="",Data!#REF!=""),"",IF(Data!#REF!="",1,0))</f>
        <v>#REF!</v>
      </c>
      <c r="K170" s="16" t="e">
        <f>IF(OR(Data!B170="",Data!#REF!=""),"",IF(Data!#REF!="",1,0))</f>
        <v>#REF!</v>
      </c>
      <c r="L170" s="16" t="e">
        <f>IF(OR(Data!B170="",Data!#REF!=""),"",IF(ISNUMBER(Data!#REF!),IF(AND(Data!#REF!&gt;Data_Val!$G$2,Data!#REF!&lt;=Data_Val!$G$3),0,1),1))</f>
        <v>#REF!</v>
      </c>
      <c r="M170" s="9" t="e">
        <f>IF(OR(Data!B170="",Data!#REF!=""),"",IF(ISNUMBER(MATCH(Data!#REF!,Data_Val!$F$1:$F$38,0)),0,1))</f>
        <v>#REF!</v>
      </c>
      <c r="N170" s="9" t="e">
        <f>IF(OR(Data!B170="",Data!#REF!=""),"",IF(Data!#REF!="",1,0))</f>
        <v>#REF!</v>
      </c>
      <c r="O170" s="17" t="e">
        <f>IF(Data!#REF!="","",IF(Data!#REF!="",1,0))</f>
        <v>#REF!</v>
      </c>
      <c r="P170" s="17" t="e">
        <f>IF(Data!#REF!="","",IF(ISNUMBER(MATCH(Data!#REF!,Data_Val!$A$2:$A$3,0)),0,1))</f>
        <v>#REF!</v>
      </c>
      <c r="Q170" s="25" t="e">
        <f ca="1">IF(Data!#REF!="","",IF(ISNUMBER(Data!#REF!),IF(AND(Data!#REF!&gt;(TODAY()-(Data_Val!$J$3*365.25)),Data!#REF!&lt;=(TODAY()-(Data_Val!$J$2*365.25))),0,1),1))</f>
        <v>#REF!</v>
      </c>
      <c r="R170" s="17" t="e">
        <f>IF(Data!#REF!="","",IF(ISNUMBER(MATCH(Data!#REF!,Data_Val!$B$2:$B$15,0)),0,1))</f>
        <v>#REF!</v>
      </c>
      <c r="S170" s="11" t="str">
        <f>IF(Data!G170="","",IF(Data!G170=Data_Val!$C$2,IF(Data!M170="",0,1),0))</f>
        <v/>
      </c>
      <c r="T170" s="11" t="str">
        <f>IF(Data!M170="","",IF(ISNUMBER(MATCH(Data!N170,Data_Val!$A$2:$A$3,0)),0,1))</f>
        <v/>
      </c>
      <c r="U170" s="11" t="str">
        <f ca="1">IF(Data!M170="","",IF(ISNUMBER(Data!O170),IF(AND(Data!O170&gt;(TODAY()-(Data_Val!$K$3*365.25)),Data!O170&lt;=(TODAY()-(Data_Val!$K$2*365.25))),0,1),1))</f>
        <v/>
      </c>
      <c r="V170" s="12" t="str">
        <f>IF(Data!G170="","",IF(Data!G170=Data_Val!$C$2,IF(Data!P170="",0,1),0))</f>
        <v/>
      </c>
      <c r="W170" s="12" t="str">
        <f>IF(Data!P170="","",IF(ISNUMBER(MATCH(Data!Q170,Data_Val!$A$2:$A$3,0)),0,1))</f>
        <v/>
      </c>
      <c r="X170" s="26" t="str">
        <f ca="1">IF(Data!P170="","",IF(ISNUMBER(Data!R170),IF(AND(Data!R170&gt;(TODAY()-(Data_Val!$L$3*365.25)),Data!R170&lt;=(TODAY()-(Data_Val!$L$2*365.25))),0,1),1))</f>
        <v/>
      </c>
      <c r="Y170" s="13" t="str">
        <f>IF(Data!$G170="","",IF(Data!$G170=Data_Val!$C$2,IF(Data!S170="",0,1),0))</f>
        <v/>
      </c>
      <c r="Z170" s="13" t="str">
        <f>IF(Data!S170="","",IF(ISNUMBER(MATCH(Data!T170,Data_Val!$A$2:$A$3,0)),0,1))</f>
        <v/>
      </c>
      <c r="AA170" s="28" t="str">
        <f ca="1">IF(Data!S170="","",IF(ISNUMBER(Data!U170),IF(AND(Data!U170&gt;(TODAY()-(Data_Val!$L$3*365.25)),Data!U170&lt;=(TODAY()-(Data_Val!$L$2*365.25))),0,1),1))</f>
        <v/>
      </c>
      <c r="AB170" s="11"/>
      <c r="AC170" s="11" t="e">
        <f>IF(Data!#REF!="","",IF(ISNUMBER(MATCH(Data!#REF!,Data_Val!$A$2:$A$3,0)),0,1))</f>
        <v>#REF!</v>
      </c>
      <c r="AD170" s="11" t="e">
        <f ca="1">IF(Data!#REF!="","",IF(ISNUMBER(Data!#REF!),IF(AND(Data!#REF!&gt;(TODAY()-(Data_Val!$L$3*365.25)),Data!#REF!&lt;=(TODAY()-(Data_Val!$L$2*365.25))),0,1),1))</f>
        <v>#REF!</v>
      </c>
      <c r="AE170" s="11" t="e">
        <f>IF(Data!#REF!="","",IF(Data!$G170="",1,IF(ISNUMBER(MATCH(Data!#REF!,Data_Val!$D$2:$D$10,0)),0,1)))</f>
        <v>#REF!</v>
      </c>
      <c r="AF170" s="12"/>
      <c r="AG170" s="12" t="e">
        <f>IF(Data!#REF!="","",IF(ISNUMBER(MATCH(Data!#REF!,Data_Val!$A$2:$A$3,0)),0,1))</f>
        <v>#REF!</v>
      </c>
      <c r="AH170" s="26" t="e">
        <f ca="1">IF(Data!#REF!="","",IF(ISNUMBER(Data!#REF!),IF(AND(Data!#REF!&gt;(TODAY()-(Data_Val!$L$3*365.25)),Data!#REF!&lt;=(TODAY()-(Data_Val!$L$2*365.25))),0,1),1))</f>
        <v>#REF!</v>
      </c>
      <c r="AI170" s="12" t="e">
        <f>IF(Data!#REF!="","",IF(Data!$G170="",1,IF(ISNUMBER(MATCH(Data!#REF!,Data_Val!$D$2:$D$10,0)),0,1)))</f>
        <v>#REF!</v>
      </c>
      <c r="AJ170" s="17"/>
      <c r="AK170" s="17" t="e">
        <f>IF(Data!#REF!="","",IF(ISNUMBER(MATCH(Data!#REF!,Data_Val!$A$2:$A$3,0)),0,1))</f>
        <v>#REF!</v>
      </c>
      <c r="AL170" s="25" t="e">
        <f ca="1">IF(Data!#REF!="","",IF(ISNUMBER(Data!#REF!),IF(AND(Data!#REF!&gt;(TODAY()-(Data_Val!$L$3*365.25)),Data!#REF!&lt;=(TODAY()-(Data_Val!$L$2*365.25))),0,1),1))</f>
        <v>#REF!</v>
      </c>
      <c r="AM170" s="17" t="e">
        <f>IF(Data!#REF!="","",IF(Data!$G170="",1,IF(ISNUMBER(MATCH(Data!#REF!,Data_Val!$D$2:$D$10,0)),0,1)))</f>
        <v>#REF!</v>
      </c>
      <c r="AN170" s="13"/>
      <c r="AO170" s="28" t="e">
        <f ca="1">IF(Data!#REF!="","",IF(ISNUMBER(Data!#REF!),IF(AND(Data!#REF!&gt;(TODAY()-(Data_Val!$I$3*365.25)),Data!#REF!&lt;=(TODAY()-(Data_Val!$I$2*365.25))),0,1),1))</f>
        <v>#REF!</v>
      </c>
      <c r="AP170" s="13" t="e">
        <f>IF(Data!#REF!="","",IF(Data!$G170="",1,IF(ISNUMBER(MATCH(Data!#REF!,Data_Val!$D$2:$D$10,0)),0,1)))</f>
        <v>#REF!</v>
      </c>
      <c r="AQ170" s="17"/>
      <c r="AR170" s="30" t="e">
        <f ca="1">IF(Data!#REF!="","",IF(ISNUMBER(Data!#REF!),IF(AND(Data!#REF!&gt;(TODAY()-(Data_Val!$I$3*365.25)),Data!#REF!&lt;=(TODAY()-(Data_Val!$I$2*365.25))),0,1),1))</f>
        <v>#REF!</v>
      </c>
      <c r="AS170" s="31" t="e">
        <f>IF(Data!#REF!="","",IF(Data!$G170="",1,IF(ISNUMBER(MATCH(Data!#REF!,Data_Val!$D$2:$D$10,0)),0,1)))</f>
        <v>#REF!</v>
      </c>
      <c r="AT170" s="11"/>
      <c r="AU170" s="11" t="e">
        <f ca="1">IF(Data!#REF!="","",IF(ISNUMBER(Data!#REF!),IF(AND(Data!#REF!&gt;(TODAY()-(Data_Val!$I$3*365.25)),Data!#REF!&lt;=(TODAY()-(Data_Val!$I$2*365.25))),0,1),1))</f>
        <v>#REF!</v>
      </c>
      <c r="AV170" s="11" t="e">
        <f>IF(Data!#REF!="","",IF(Data!$G170="",1,IF(ISNUMBER(MATCH(Data!#REF!,Data_Val!$D$2:$D$10,0)),0,1)))</f>
        <v>#REF!</v>
      </c>
      <c r="AW170" s="12"/>
      <c r="AX170" s="26" t="e">
        <f ca="1">IF(Data!#REF!="","",IF(ISNUMBER(Data!#REF!),IF(AND(Data!#REF!&gt;(TODAY()-(Data_Val!$I$3*365.25)),Data!#REF!&lt;=(TODAY()-(Data_Val!$I$2*365.25))),0,1),1))</f>
        <v>#REF!</v>
      </c>
      <c r="AY170" s="12" t="e">
        <f>IF(Data!#REF!="","",IF(Data!$G170="",1,IF(ISNUMBER(MATCH(Data!#REF!,Data_Val!$D$2:$D$10,0)),0,1)))</f>
        <v>#REF!</v>
      </c>
      <c r="AZ170" s="11"/>
      <c r="BA170" s="19" t="e">
        <f ca="1">IF(Data!#REF!="","",IF(ISNUMBER(Data!#REF!),IF(AND(Data!#REF!&gt;(TODAY()-(Data_Val!$M$3*365.25)),Data!#REF!&lt;=(TODAY()-(Data_Val!$M$2*365.25))),0,1),1))</f>
        <v>#REF!</v>
      </c>
      <c r="BB170" s="11" t="e">
        <f>IF(Data!#REF!="","",IF(Data!$G170="",1,IF(ISNUMBER(MATCH(Data!#REF!,Data_Val!$D$2:$D$10,0)),0,1)))</f>
        <v>#REF!</v>
      </c>
      <c r="BC170" s="12"/>
      <c r="BD170" s="20" t="e">
        <f ca="1">IF(Data!#REF!="","",IF(ISNUMBER(Data!#REF!),IF(AND(Data!#REF!&gt;(TODAY()-(Data_Val!$M$3*365.25)),Data!#REF!&lt;=(TODAY()-(Data_Val!$M$2*365.25))),0,1),1))</f>
        <v>#REF!</v>
      </c>
      <c r="BE170" s="12" t="e">
        <f>IF(Data!#REF!="","",IF(Data!$G170="",1,IF(ISNUMBER(MATCH(Data!#REF!,Data_Val!$D$2:$D$10,0)),0,1)))</f>
        <v>#REF!</v>
      </c>
      <c r="BF170" s="17"/>
      <c r="BG170" s="18" t="e">
        <f ca="1">IF(Data!#REF!="","",IF(ISNUMBER(Data!#REF!),IF(AND(Data!#REF!&gt;(TODAY()-(Data_Val!$M$3*365.25)),Data!#REF!&lt;=(TODAY()-(Data_Val!$M$2*365.25))),0,1),1))</f>
        <v>#REF!</v>
      </c>
      <c r="BH170" s="29" t="e">
        <f>IF(Data!#REF!="","",IF(Data!$G170="",1,IF(ISNUMBER(MATCH(Data!#REF!,Data_Val!$D$2:$D$10,0)),0,1)))</f>
        <v>#REF!</v>
      </c>
      <c r="BI170" s="13"/>
      <c r="BJ170" s="21" t="e">
        <f ca="1">IF(Data!#REF!="","",IF(ISNUMBER(Data!#REF!),IF(AND(Data!#REF!&gt;(TODAY()-(Data_Val!$M$3*365.25)),Data!#REF!&lt;=(TODAY()-(Data_Val!$M$2*365.25))),0,1),1))</f>
        <v>#REF!</v>
      </c>
      <c r="BK170" s="13" t="e">
        <f>IF(Data!#REF!="","",IF(Data!$G170="",1,IF(ISNUMBER(MATCH(Data!#REF!,Data_Val!$D$2:$D$10,0)),0,1)))</f>
        <v>#REF!</v>
      </c>
    </row>
    <row r="171" spans="1:63" x14ac:dyDescent="0.25">
      <c r="A171" s="9" t="str">
        <f>IF(Data!B171="","",IF(COUNTIFS(Data!A$1:'Data'!A171,Data!A171)&lt;=1,0,1))</f>
        <v/>
      </c>
      <c r="B171" s="9"/>
      <c r="C171" s="23" t="str">
        <f>IF(Data!C171="","",(IF(ISNUMBER(MATCH("*@*.?*",Data!C171,0)),0,1)+IF(COUNTIFS(Data!C$1:'Data'!C171,Data!C171)&gt;1,1,0)))</f>
        <v/>
      </c>
      <c r="D171" s="9" t="str">
        <f>IF(Data!B171="","",IF(ISNUMBER(Data!D171),IF(AND(Data!D171&gt;999999999,Data!D171&lt;=9999999999),IF(COUNTIFS(Data!D$1:'Data'!D171,Data!D171)&lt;=1,0,1),1),1))</f>
        <v/>
      </c>
      <c r="E171" s="9" t="str">
        <f>IF(Data!B171="","",IF(ISNUMBER(MATCH(Data!E171,Data_Val!$A$2:$A$3,0)),0,1))</f>
        <v/>
      </c>
      <c r="F171" s="9" t="str">
        <f ca="1">IF(Data!B171="","",IF(ISNUMBER(Data!F171),IF(AND(Data!F171&gt;(TODAY()-(Data_Val!$H$3*365.25)),Data!F171&lt;=(TODAY()-(Data_Val!$H$2*365.25))),0,1),1))</f>
        <v/>
      </c>
      <c r="G171" s="15" t="str">
        <f>IF(Data!B171="","",IF(AND(Data!G171="",Data!H171&lt;&gt;""),1,IF(Data!#REF!&lt;&gt;"",0,IF(ISNUMBER(MATCH(Data!G171,Data_Val!$C$2:$C$5,0)),0,1))))</f>
        <v/>
      </c>
      <c r="H171" s="15" t="str">
        <f>IF(Data!B171="","",IF(AND(Data!G171&lt;&gt;"",Data!H171=""),1,IF(Data!#REF!&lt;&gt;"",0,IF(Data!G171="",1,IF(ISNUMBER(MATCH(Data!H171,Data_Val!$D$2:$D$35,0)),0,1)))))</f>
        <v/>
      </c>
      <c r="I171" s="15" t="str">
        <f>IF(Data!B171="","",IF(Data!G171&lt;&gt;"",0,IF(ISNUMBER(MATCH(Data!#REF!,Data_Val!$E$2:$E$12,0)),0,1)))</f>
        <v/>
      </c>
      <c r="J171" s="16" t="e">
        <f>IF(OR(Data!B171="",Data!#REF!=""),"",IF(Data!#REF!="",1,0))</f>
        <v>#REF!</v>
      </c>
      <c r="K171" s="16" t="e">
        <f>IF(OR(Data!B171="",Data!#REF!=""),"",IF(Data!#REF!="",1,0))</f>
        <v>#REF!</v>
      </c>
      <c r="L171" s="16" t="e">
        <f>IF(OR(Data!B171="",Data!#REF!=""),"",IF(ISNUMBER(Data!#REF!),IF(AND(Data!#REF!&gt;Data_Val!$G$2,Data!#REF!&lt;=Data_Val!$G$3),0,1),1))</f>
        <v>#REF!</v>
      </c>
      <c r="M171" s="9" t="e">
        <f>IF(OR(Data!B171="",Data!#REF!=""),"",IF(ISNUMBER(MATCH(Data!#REF!,Data_Val!$F$1:$F$38,0)),0,1))</f>
        <v>#REF!</v>
      </c>
      <c r="N171" s="9" t="e">
        <f>IF(OR(Data!B171="",Data!#REF!=""),"",IF(Data!#REF!="",1,0))</f>
        <v>#REF!</v>
      </c>
      <c r="O171" s="17" t="e">
        <f>IF(Data!#REF!="","",IF(Data!#REF!="",1,0))</f>
        <v>#REF!</v>
      </c>
      <c r="P171" s="17" t="e">
        <f>IF(Data!#REF!="","",IF(ISNUMBER(MATCH(Data!#REF!,Data_Val!$A$2:$A$3,0)),0,1))</f>
        <v>#REF!</v>
      </c>
      <c r="Q171" s="25" t="e">
        <f ca="1">IF(Data!#REF!="","",IF(ISNUMBER(Data!#REF!),IF(AND(Data!#REF!&gt;(TODAY()-(Data_Val!$J$3*365.25)),Data!#REF!&lt;=(TODAY()-(Data_Val!$J$2*365.25))),0,1),1))</f>
        <v>#REF!</v>
      </c>
      <c r="R171" s="17" t="e">
        <f>IF(Data!#REF!="","",IF(ISNUMBER(MATCH(Data!#REF!,Data_Val!$B$2:$B$15,0)),0,1))</f>
        <v>#REF!</v>
      </c>
      <c r="S171" s="11" t="str">
        <f>IF(Data!G171="","",IF(Data!G171=Data_Val!$C$2,IF(Data!M171="",0,1),0))</f>
        <v/>
      </c>
      <c r="T171" s="11" t="str">
        <f>IF(Data!M171="","",IF(ISNUMBER(MATCH(Data!N171,Data_Val!$A$2:$A$3,0)),0,1))</f>
        <v/>
      </c>
      <c r="U171" s="11" t="str">
        <f ca="1">IF(Data!M171="","",IF(ISNUMBER(Data!O171),IF(AND(Data!O171&gt;(TODAY()-(Data_Val!$K$3*365.25)),Data!O171&lt;=(TODAY()-(Data_Val!$K$2*365.25))),0,1),1))</f>
        <v/>
      </c>
      <c r="V171" s="12" t="str">
        <f>IF(Data!G171="","",IF(Data!G171=Data_Val!$C$2,IF(Data!P171="",0,1),0))</f>
        <v/>
      </c>
      <c r="W171" s="12" t="str">
        <f>IF(Data!P171="","",IF(ISNUMBER(MATCH(Data!Q171,Data_Val!$A$2:$A$3,0)),0,1))</f>
        <v/>
      </c>
      <c r="X171" s="26" t="str">
        <f ca="1">IF(Data!P171="","",IF(ISNUMBER(Data!R171),IF(AND(Data!R171&gt;(TODAY()-(Data_Val!$L$3*365.25)),Data!R171&lt;=(TODAY()-(Data_Val!$L$2*365.25))),0,1),1))</f>
        <v/>
      </c>
      <c r="Y171" s="13" t="str">
        <f>IF(Data!$G171="","",IF(Data!$G171=Data_Val!$C$2,IF(Data!S171="",0,1),0))</f>
        <v/>
      </c>
      <c r="Z171" s="13" t="str">
        <f>IF(Data!S171="","",IF(ISNUMBER(MATCH(Data!T171,Data_Val!$A$2:$A$3,0)),0,1))</f>
        <v/>
      </c>
      <c r="AA171" s="28" t="str">
        <f ca="1">IF(Data!S171="","",IF(ISNUMBER(Data!U171),IF(AND(Data!U171&gt;(TODAY()-(Data_Val!$L$3*365.25)),Data!U171&lt;=(TODAY()-(Data_Val!$L$2*365.25))),0,1),1))</f>
        <v/>
      </c>
      <c r="AB171" s="11"/>
      <c r="AC171" s="11" t="e">
        <f>IF(Data!#REF!="","",IF(ISNUMBER(MATCH(Data!#REF!,Data_Val!$A$2:$A$3,0)),0,1))</f>
        <v>#REF!</v>
      </c>
      <c r="AD171" s="11" t="e">
        <f ca="1">IF(Data!#REF!="","",IF(ISNUMBER(Data!#REF!),IF(AND(Data!#REF!&gt;(TODAY()-(Data_Val!$L$3*365.25)),Data!#REF!&lt;=(TODAY()-(Data_Val!$L$2*365.25))),0,1),1))</f>
        <v>#REF!</v>
      </c>
      <c r="AE171" s="11" t="e">
        <f>IF(Data!#REF!="","",IF(Data!$G171="",1,IF(ISNUMBER(MATCH(Data!#REF!,Data_Val!$D$2:$D$10,0)),0,1)))</f>
        <v>#REF!</v>
      </c>
      <c r="AF171" s="12"/>
      <c r="AG171" s="12" t="e">
        <f>IF(Data!#REF!="","",IF(ISNUMBER(MATCH(Data!#REF!,Data_Val!$A$2:$A$3,0)),0,1))</f>
        <v>#REF!</v>
      </c>
      <c r="AH171" s="26" t="e">
        <f ca="1">IF(Data!#REF!="","",IF(ISNUMBER(Data!#REF!),IF(AND(Data!#REF!&gt;(TODAY()-(Data_Val!$L$3*365.25)),Data!#REF!&lt;=(TODAY()-(Data_Val!$L$2*365.25))),0,1),1))</f>
        <v>#REF!</v>
      </c>
      <c r="AI171" s="12" t="e">
        <f>IF(Data!#REF!="","",IF(Data!$G171="",1,IF(ISNUMBER(MATCH(Data!#REF!,Data_Val!$D$2:$D$10,0)),0,1)))</f>
        <v>#REF!</v>
      </c>
      <c r="AJ171" s="17"/>
      <c r="AK171" s="17" t="e">
        <f>IF(Data!#REF!="","",IF(ISNUMBER(MATCH(Data!#REF!,Data_Val!$A$2:$A$3,0)),0,1))</f>
        <v>#REF!</v>
      </c>
      <c r="AL171" s="25" t="e">
        <f ca="1">IF(Data!#REF!="","",IF(ISNUMBER(Data!#REF!),IF(AND(Data!#REF!&gt;(TODAY()-(Data_Val!$L$3*365.25)),Data!#REF!&lt;=(TODAY()-(Data_Val!$L$2*365.25))),0,1),1))</f>
        <v>#REF!</v>
      </c>
      <c r="AM171" s="17" t="e">
        <f>IF(Data!#REF!="","",IF(Data!$G171="",1,IF(ISNUMBER(MATCH(Data!#REF!,Data_Val!$D$2:$D$10,0)),0,1)))</f>
        <v>#REF!</v>
      </c>
      <c r="AN171" s="13"/>
      <c r="AO171" s="28" t="e">
        <f ca="1">IF(Data!#REF!="","",IF(ISNUMBER(Data!#REF!),IF(AND(Data!#REF!&gt;(TODAY()-(Data_Val!$I$3*365.25)),Data!#REF!&lt;=(TODAY()-(Data_Val!$I$2*365.25))),0,1),1))</f>
        <v>#REF!</v>
      </c>
      <c r="AP171" s="13" t="e">
        <f>IF(Data!#REF!="","",IF(Data!$G171="",1,IF(ISNUMBER(MATCH(Data!#REF!,Data_Val!$D$2:$D$10,0)),0,1)))</f>
        <v>#REF!</v>
      </c>
      <c r="AQ171" s="17"/>
      <c r="AR171" s="30" t="e">
        <f ca="1">IF(Data!#REF!="","",IF(ISNUMBER(Data!#REF!),IF(AND(Data!#REF!&gt;(TODAY()-(Data_Val!$I$3*365.25)),Data!#REF!&lt;=(TODAY()-(Data_Val!$I$2*365.25))),0,1),1))</f>
        <v>#REF!</v>
      </c>
      <c r="AS171" s="31" t="e">
        <f>IF(Data!#REF!="","",IF(Data!$G171="",1,IF(ISNUMBER(MATCH(Data!#REF!,Data_Val!$D$2:$D$10,0)),0,1)))</f>
        <v>#REF!</v>
      </c>
      <c r="AT171" s="11"/>
      <c r="AU171" s="11" t="e">
        <f ca="1">IF(Data!#REF!="","",IF(ISNUMBER(Data!#REF!),IF(AND(Data!#REF!&gt;(TODAY()-(Data_Val!$I$3*365.25)),Data!#REF!&lt;=(TODAY()-(Data_Val!$I$2*365.25))),0,1),1))</f>
        <v>#REF!</v>
      </c>
      <c r="AV171" s="11" t="e">
        <f>IF(Data!#REF!="","",IF(Data!$G171="",1,IF(ISNUMBER(MATCH(Data!#REF!,Data_Val!$D$2:$D$10,0)),0,1)))</f>
        <v>#REF!</v>
      </c>
      <c r="AW171" s="12"/>
      <c r="AX171" s="26" t="e">
        <f ca="1">IF(Data!#REF!="","",IF(ISNUMBER(Data!#REF!),IF(AND(Data!#REF!&gt;(TODAY()-(Data_Val!$I$3*365.25)),Data!#REF!&lt;=(TODAY()-(Data_Val!$I$2*365.25))),0,1),1))</f>
        <v>#REF!</v>
      </c>
      <c r="AY171" s="12" t="e">
        <f>IF(Data!#REF!="","",IF(Data!$G171="",1,IF(ISNUMBER(MATCH(Data!#REF!,Data_Val!$D$2:$D$10,0)),0,1)))</f>
        <v>#REF!</v>
      </c>
      <c r="AZ171" s="11"/>
      <c r="BA171" s="19" t="e">
        <f ca="1">IF(Data!#REF!="","",IF(ISNUMBER(Data!#REF!),IF(AND(Data!#REF!&gt;(TODAY()-(Data_Val!$M$3*365.25)),Data!#REF!&lt;=(TODAY()-(Data_Val!$M$2*365.25))),0,1),1))</f>
        <v>#REF!</v>
      </c>
      <c r="BB171" s="11" t="e">
        <f>IF(Data!#REF!="","",IF(Data!$G171="",1,IF(ISNUMBER(MATCH(Data!#REF!,Data_Val!$D$2:$D$10,0)),0,1)))</f>
        <v>#REF!</v>
      </c>
      <c r="BC171" s="12"/>
      <c r="BD171" s="20" t="e">
        <f ca="1">IF(Data!#REF!="","",IF(ISNUMBER(Data!#REF!),IF(AND(Data!#REF!&gt;(TODAY()-(Data_Val!$M$3*365.25)),Data!#REF!&lt;=(TODAY()-(Data_Val!$M$2*365.25))),0,1),1))</f>
        <v>#REF!</v>
      </c>
      <c r="BE171" s="12" t="e">
        <f>IF(Data!#REF!="","",IF(Data!$G171="",1,IF(ISNUMBER(MATCH(Data!#REF!,Data_Val!$D$2:$D$10,0)),0,1)))</f>
        <v>#REF!</v>
      </c>
      <c r="BF171" s="17"/>
      <c r="BG171" s="18" t="e">
        <f ca="1">IF(Data!#REF!="","",IF(ISNUMBER(Data!#REF!),IF(AND(Data!#REF!&gt;(TODAY()-(Data_Val!$M$3*365.25)),Data!#REF!&lt;=(TODAY()-(Data_Val!$M$2*365.25))),0,1),1))</f>
        <v>#REF!</v>
      </c>
      <c r="BH171" s="29" t="e">
        <f>IF(Data!#REF!="","",IF(Data!$G171="",1,IF(ISNUMBER(MATCH(Data!#REF!,Data_Val!$D$2:$D$10,0)),0,1)))</f>
        <v>#REF!</v>
      </c>
      <c r="BI171" s="13"/>
      <c r="BJ171" s="21" t="e">
        <f ca="1">IF(Data!#REF!="","",IF(ISNUMBER(Data!#REF!),IF(AND(Data!#REF!&gt;(TODAY()-(Data_Val!$M$3*365.25)),Data!#REF!&lt;=(TODAY()-(Data_Val!$M$2*365.25))),0,1),1))</f>
        <v>#REF!</v>
      </c>
      <c r="BK171" s="13" t="e">
        <f>IF(Data!#REF!="","",IF(Data!$G171="",1,IF(ISNUMBER(MATCH(Data!#REF!,Data_Val!$D$2:$D$10,0)),0,1)))</f>
        <v>#REF!</v>
      </c>
    </row>
    <row r="172" spans="1:63" x14ac:dyDescent="0.25">
      <c r="A172" s="9" t="str">
        <f>IF(Data!B172="","",IF(COUNTIFS(Data!A$1:'Data'!A172,Data!A172)&lt;=1,0,1))</f>
        <v/>
      </c>
      <c r="B172" s="9"/>
      <c r="C172" s="23" t="str">
        <f>IF(Data!C172="","",(IF(ISNUMBER(MATCH("*@*.?*",Data!C172,0)),0,1)+IF(COUNTIFS(Data!C$1:'Data'!C172,Data!C172)&gt;1,1,0)))</f>
        <v/>
      </c>
      <c r="D172" s="9" t="str">
        <f>IF(Data!B172="","",IF(ISNUMBER(Data!D172),IF(AND(Data!D172&gt;999999999,Data!D172&lt;=9999999999),IF(COUNTIFS(Data!D$1:'Data'!D172,Data!D172)&lt;=1,0,1),1),1))</f>
        <v/>
      </c>
      <c r="E172" s="9" t="str">
        <f>IF(Data!B172="","",IF(ISNUMBER(MATCH(Data!E172,Data_Val!$A$2:$A$3,0)),0,1))</f>
        <v/>
      </c>
      <c r="F172" s="9" t="str">
        <f ca="1">IF(Data!B172="","",IF(ISNUMBER(Data!F172),IF(AND(Data!F172&gt;(TODAY()-(Data_Val!$H$3*365.25)),Data!F172&lt;=(TODAY()-(Data_Val!$H$2*365.25))),0,1),1))</f>
        <v/>
      </c>
      <c r="G172" s="15" t="str">
        <f>IF(Data!B172="","",IF(AND(Data!G172="",Data!H172&lt;&gt;""),1,IF(Data!#REF!&lt;&gt;"",0,IF(ISNUMBER(MATCH(Data!G172,Data_Val!$C$2:$C$5,0)),0,1))))</f>
        <v/>
      </c>
      <c r="H172" s="15" t="str">
        <f>IF(Data!B172="","",IF(AND(Data!G172&lt;&gt;"",Data!H172=""),1,IF(Data!#REF!&lt;&gt;"",0,IF(Data!G172="",1,IF(ISNUMBER(MATCH(Data!H172,Data_Val!$D$2:$D$35,0)),0,1)))))</f>
        <v/>
      </c>
      <c r="I172" s="15" t="str">
        <f>IF(Data!B172="","",IF(Data!G172&lt;&gt;"",0,IF(ISNUMBER(MATCH(Data!#REF!,Data_Val!$E$2:$E$12,0)),0,1)))</f>
        <v/>
      </c>
      <c r="J172" s="16" t="e">
        <f>IF(OR(Data!B172="",Data!#REF!=""),"",IF(Data!#REF!="",1,0))</f>
        <v>#REF!</v>
      </c>
      <c r="K172" s="16" t="e">
        <f>IF(OR(Data!B172="",Data!#REF!=""),"",IF(Data!#REF!="",1,0))</f>
        <v>#REF!</v>
      </c>
      <c r="L172" s="16" t="e">
        <f>IF(OR(Data!B172="",Data!#REF!=""),"",IF(ISNUMBER(Data!#REF!),IF(AND(Data!#REF!&gt;Data_Val!$G$2,Data!#REF!&lt;=Data_Val!$G$3),0,1),1))</f>
        <v>#REF!</v>
      </c>
      <c r="M172" s="9" t="e">
        <f>IF(OR(Data!B172="",Data!#REF!=""),"",IF(ISNUMBER(MATCH(Data!#REF!,Data_Val!$F$1:$F$38,0)),0,1))</f>
        <v>#REF!</v>
      </c>
      <c r="N172" s="9" t="e">
        <f>IF(OR(Data!B172="",Data!#REF!=""),"",IF(Data!#REF!="",1,0))</f>
        <v>#REF!</v>
      </c>
      <c r="O172" s="17" t="e">
        <f>IF(Data!#REF!="","",IF(Data!#REF!="",1,0))</f>
        <v>#REF!</v>
      </c>
      <c r="P172" s="17" t="e">
        <f>IF(Data!#REF!="","",IF(ISNUMBER(MATCH(Data!#REF!,Data_Val!$A$2:$A$3,0)),0,1))</f>
        <v>#REF!</v>
      </c>
      <c r="Q172" s="25" t="e">
        <f ca="1">IF(Data!#REF!="","",IF(ISNUMBER(Data!#REF!),IF(AND(Data!#REF!&gt;(TODAY()-(Data_Val!$J$3*365.25)),Data!#REF!&lt;=(TODAY()-(Data_Val!$J$2*365.25))),0,1),1))</f>
        <v>#REF!</v>
      </c>
      <c r="R172" s="17" t="e">
        <f>IF(Data!#REF!="","",IF(ISNUMBER(MATCH(Data!#REF!,Data_Val!$B$2:$B$15,0)),0,1))</f>
        <v>#REF!</v>
      </c>
      <c r="S172" s="11" t="str">
        <f>IF(Data!G172="","",IF(Data!G172=Data_Val!$C$2,IF(Data!M172="",0,1),0))</f>
        <v/>
      </c>
      <c r="T172" s="11" t="str">
        <f>IF(Data!M172="","",IF(ISNUMBER(MATCH(Data!N172,Data_Val!$A$2:$A$3,0)),0,1))</f>
        <v/>
      </c>
      <c r="U172" s="11" t="str">
        <f ca="1">IF(Data!M172="","",IF(ISNUMBER(Data!O172),IF(AND(Data!O172&gt;(TODAY()-(Data_Val!$K$3*365.25)),Data!O172&lt;=(TODAY()-(Data_Val!$K$2*365.25))),0,1),1))</f>
        <v/>
      </c>
      <c r="V172" s="12" t="str">
        <f>IF(Data!G172="","",IF(Data!G172=Data_Val!$C$2,IF(Data!P172="",0,1),0))</f>
        <v/>
      </c>
      <c r="W172" s="12" t="str">
        <f>IF(Data!P172="","",IF(ISNUMBER(MATCH(Data!Q172,Data_Val!$A$2:$A$3,0)),0,1))</f>
        <v/>
      </c>
      <c r="X172" s="26" t="str">
        <f ca="1">IF(Data!P172="","",IF(ISNUMBER(Data!R172),IF(AND(Data!R172&gt;(TODAY()-(Data_Val!$L$3*365.25)),Data!R172&lt;=(TODAY()-(Data_Val!$L$2*365.25))),0,1),1))</f>
        <v/>
      </c>
      <c r="Y172" s="13" t="str">
        <f>IF(Data!$G172="","",IF(Data!$G172=Data_Val!$C$2,IF(Data!S172="",0,1),0))</f>
        <v/>
      </c>
      <c r="Z172" s="13" t="str">
        <f>IF(Data!S172="","",IF(ISNUMBER(MATCH(Data!T172,Data_Val!$A$2:$A$3,0)),0,1))</f>
        <v/>
      </c>
      <c r="AA172" s="28" t="str">
        <f ca="1">IF(Data!S172="","",IF(ISNUMBER(Data!U172),IF(AND(Data!U172&gt;(TODAY()-(Data_Val!$L$3*365.25)),Data!U172&lt;=(TODAY()-(Data_Val!$L$2*365.25))),0,1),1))</f>
        <v/>
      </c>
      <c r="AB172" s="11"/>
      <c r="AC172" s="11" t="e">
        <f>IF(Data!#REF!="","",IF(ISNUMBER(MATCH(Data!#REF!,Data_Val!$A$2:$A$3,0)),0,1))</f>
        <v>#REF!</v>
      </c>
      <c r="AD172" s="11" t="e">
        <f ca="1">IF(Data!#REF!="","",IF(ISNUMBER(Data!#REF!),IF(AND(Data!#REF!&gt;(TODAY()-(Data_Val!$L$3*365.25)),Data!#REF!&lt;=(TODAY()-(Data_Val!$L$2*365.25))),0,1),1))</f>
        <v>#REF!</v>
      </c>
      <c r="AE172" s="11" t="e">
        <f>IF(Data!#REF!="","",IF(Data!$G172="",1,IF(ISNUMBER(MATCH(Data!#REF!,Data_Val!$D$2:$D$10,0)),0,1)))</f>
        <v>#REF!</v>
      </c>
      <c r="AF172" s="12"/>
      <c r="AG172" s="12" t="e">
        <f>IF(Data!#REF!="","",IF(ISNUMBER(MATCH(Data!#REF!,Data_Val!$A$2:$A$3,0)),0,1))</f>
        <v>#REF!</v>
      </c>
      <c r="AH172" s="26" t="e">
        <f ca="1">IF(Data!#REF!="","",IF(ISNUMBER(Data!#REF!),IF(AND(Data!#REF!&gt;(TODAY()-(Data_Val!$L$3*365.25)),Data!#REF!&lt;=(TODAY()-(Data_Val!$L$2*365.25))),0,1),1))</f>
        <v>#REF!</v>
      </c>
      <c r="AI172" s="12" t="e">
        <f>IF(Data!#REF!="","",IF(Data!$G172="",1,IF(ISNUMBER(MATCH(Data!#REF!,Data_Val!$D$2:$D$10,0)),0,1)))</f>
        <v>#REF!</v>
      </c>
      <c r="AJ172" s="17"/>
      <c r="AK172" s="17" t="e">
        <f>IF(Data!#REF!="","",IF(ISNUMBER(MATCH(Data!#REF!,Data_Val!$A$2:$A$3,0)),0,1))</f>
        <v>#REF!</v>
      </c>
      <c r="AL172" s="25" t="e">
        <f ca="1">IF(Data!#REF!="","",IF(ISNUMBER(Data!#REF!),IF(AND(Data!#REF!&gt;(TODAY()-(Data_Val!$L$3*365.25)),Data!#REF!&lt;=(TODAY()-(Data_Val!$L$2*365.25))),0,1),1))</f>
        <v>#REF!</v>
      </c>
      <c r="AM172" s="17" t="e">
        <f>IF(Data!#REF!="","",IF(Data!$G172="",1,IF(ISNUMBER(MATCH(Data!#REF!,Data_Val!$D$2:$D$10,0)),0,1)))</f>
        <v>#REF!</v>
      </c>
      <c r="AN172" s="13"/>
      <c r="AO172" s="28" t="e">
        <f ca="1">IF(Data!#REF!="","",IF(ISNUMBER(Data!#REF!),IF(AND(Data!#REF!&gt;(TODAY()-(Data_Val!$I$3*365.25)),Data!#REF!&lt;=(TODAY()-(Data_Val!$I$2*365.25))),0,1),1))</f>
        <v>#REF!</v>
      </c>
      <c r="AP172" s="13" t="e">
        <f>IF(Data!#REF!="","",IF(Data!$G172="",1,IF(ISNUMBER(MATCH(Data!#REF!,Data_Val!$D$2:$D$10,0)),0,1)))</f>
        <v>#REF!</v>
      </c>
      <c r="AQ172" s="17"/>
      <c r="AR172" s="30" t="e">
        <f ca="1">IF(Data!#REF!="","",IF(ISNUMBER(Data!#REF!),IF(AND(Data!#REF!&gt;(TODAY()-(Data_Val!$I$3*365.25)),Data!#REF!&lt;=(TODAY()-(Data_Val!$I$2*365.25))),0,1),1))</f>
        <v>#REF!</v>
      </c>
      <c r="AS172" s="31" t="e">
        <f>IF(Data!#REF!="","",IF(Data!$G172="",1,IF(ISNUMBER(MATCH(Data!#REF!,Data_Val!$D$2:$D$10,0)),0,1)))</f>
        <v>#REF!</v>
      </c>
      <c r="AT172" s="11"/>
      <c r="AU172" s="11" t="e">
        <f ca="1">IF(Data!#REF!="","",IF(ISNUMBER(Data!#REF!),IF(AND(Data!#REF!&gt;(TODAY()-(Data_Val!$I$3*365.25)),Data!#REF!&lt;=(TODAY()-(Data_Val!$I$2*365.25))),0,1),1))</f>
        <v>#REF!</v>
      </c>
      <c r="AV172" s="11" t="e">
        <f>IF(Data!#REF!="","",IF(Data!$G172="",1,IF(ISNUMBER(MATCH(Data!#REF!,Data_Val!$D$2:$D$10,0)),0,1)))</f>
        <v>#REF!</v>
      </c>
      <c r="AW172" s="12"/>
      <c r="AX172" s="26" t="e">
        <f ca="1">IF(Data!#REF!="","",IF(ISNUMBER(Data!#REF!),IF(AND(Data!#REF!&gt;(TODAY()-(Data_Val!$I$3*365.25)),Data!#REF!&lt;=(TODAY()-(Data_Val!$I$2*365.25))),0,1),1))</f>
        <v>#REF!</v>
      </c>
      <c r="AY172" s="12" t="e">
        <f>IF(Data!#REF!="","",IF(Data!$G172="",1,IF(ISNUMBER(MATCH(Data!#REF!,Data_Val!$D$2:$D$10,0)),0,1)))</f>
        <v>#REF!</v>
      </c>
      <c r="AZ172" s="11"/>
      <c r="BA172" s="19" t="e">
        <f ca="1">IF(Data!#REF!="","",IF(ISNUMBER(Data!#REF!),IF(AND(Data!#REF!&gt;(TODAY()-(Data_Val!$M$3*365.25)),Data!#REF!&lt;=(TODAY()-(Data_Val!$M$2*365.25))),0,1),1))</f>
        <v>#REF!</v>
      </c>
      <c r="BB172" s="11" t="e">
        <f>IF(Data!#REF!="","",IF(Data!$G172="",1,IF(ISNUMBER(MATCH(Data!#REF!,Data_Val!$D$2:$D$10,0)),0,1)))</f>
        <v>#REF!</v>
      </c>
      <c r="BC172" s="12"/>
      <c r="BD172" s="20" t="e">
        <f ca="1">IF(Data!#REF!="","",IF(ISNUMBER(Data!#REF!),IF(AND(Data!#REF!&gt;(TODAY()-(Data_Val!$M$3*365.25)),Data!#REF!&lt;=(TODAY()-(Data_Val!$M$2*365.25))),0,1),1))</f>
        <v>#REF!</v>
      </c>
      <c r="BE172" s="12" t="e">
        <f>IF(Data!#REF!="","",IF(Data!$G172="",1,IF(ISNUMBER(MATCH(Data!#REF!,Data_Val!$D$2:$D$10,0)),0,1)))</f>
        <v>#REF!</v>
      </c>
      <c r="BF172" s="17"/>
      <c r="BG172" s="18" t="e">
        <f ca="1">IF(Data!#REF!="","",IF(ISNUMBER(Data!#REF!),IF(AND(Data!#REF!&gt;(TODAY()-(Data_Val!$M$3*365.25)),Data!#REF!&lt;=(TODAY()-(Data_Val!$M$2*365.25))),0,1),1))</f>
        <v>#REF!</v>
      </c>
      <c r="BH172" s="29" t="e">
        <f>IF(Data!#REF!="","",IF(Data!$G172="",1,IF(ISNUMBER(MATCH(Data!#REF!,Data_Val!$D$2:$D$10,0)),0,1)))</f>
        <v>#REF!</v>
      </c>
      <c r="BI172" s="13"/>
      <c r="BJ172" s="21" t="e">
        <f ca="1">IF(Data!#REF!="","",IF(ISNUMBER(Data!#REF!),IF(AND(Data!#REF!&gt;(TODAY()-(Data_Val!$M$3*365.25)),Data!#REF!&lt;=(TODAY()-(Data_Val!$M$2*365.25))),0,1),1))</f>
        <v>#REF!</v>
      </c>
      <c r="BK172" s="13" t="e">
        <f>IF(Data!#REF!="","",IF(Data!$G172="",1,IF(ISNUMBER(MATCH(Data!#REF!,Data_Val!$D$2:$D$10,0)),0,1)))</f>
        <v>#REF!</v>
      </c>
    </row>
    <row r="173" spans="1:63" x14ac:dyDescent="0.25">
      <c r="A173" s="9" t="str">
        <f>IF(Data!B173="","",IF(COUNTIFS(Data!A$1:'Data'!A173,Data!A173)&lt;=1,0,1))</f>
        <v/>
      </c>
      <c r="B173" s="9"/>
      <c r="C173" s="23" t="str">
        <f>IF(Data!C173="","",(IF(ISNUMBER(MATCH("*@*.?*",Data!C173,0)),0,1)+IF(COUNTIFS(Data!C$1:'Data'!C173,Data!C173)&gt;1,1,0)))</f>
        <v/>
      </c>
      <c r="D173" s="9" t="str">
        <f>IF(Data!B173="","",IF(ISNUMBER(Data!D173),IF(AND(Data!D173&gt;999999999,Data!D173&lt;=9999999999),IF(COUNTIFS(Data!D$1:'Data'!D173,Data!D173)&lt;=1,0,1),1),1))</f>
        <v/>
      </c>
      <c r="E173" s="9" t="str">
        <f>IF(Data!B173="","",IF(ISNUMBER(MATCH(Data!E173,Data_Val!$A$2:$A$3,0)),0,1))</f>
        <v/>
      </c>
      <c r="F173" s="9" t="str">
        <f ca="1">IF(Data!B173="","",IF(ISNUMBER(Data!F173),IF(AND(Data!F173&gt;(TODAY()-(Data_Val!$H$3*365.25)),Data!F173&lt;=(TODAY()-(Data_Val!$H$2*365.25))),0,1),1))</f>
        <v/>
      </c>
      <c r="G173" s="15" t="str">
        <f>IF(Data!B173="","",IF(AND(Data!G173="",Data!H173&lt;&gt;""),1,IF(Data!#REF!&lt;&gt;"",0,IF(ISNUMBER(MATCH(Data!G173,Data_Val!$C$2:$C$5,0)),0,1))))</f>
        <v/>
      </c>
      <c r="H173" s="15" t="str">
        <f>IF(Data!B173="","",IF(AND(Data!G173&lt;&gt;"",Data!H173=""),1,IF(Data!#REF!&lt;&gt;"",0,IF(Data!G173="",1,IF(ISNUMBER(MATCH(Data!H173,Data_Val!$D$2:$D$35,0)),0,1)))))</f>
        <v/>
      </c>
      <c r="I173" s="15" t="str">
        <f>IF(Data!B173="","",IF(Data!G173&lt;&gt;"",0,IF(ISNUMBER(MATCH(Data!#REF!,Data_Val!$E$2:$E$12,0)),0,1)))</f>
        <v/>
      </c>
      <c r="J173" s="16" t="e">
        <f>IF(OR(Data!B173="",Data!#REF!=""),"",IF(Data!#REF!="",1,0))</f>
        <v>#REF!</v>
      </c>
      <c r="K173" s="16" t="e">
        <f>IF(OR(Data!B173="",Data!#REF!=""),"",IF(Data!#REF!="",1,0))</f>
        <v>#REF!</v>
      </c>
      <c r="L173" s="16" t="e">
        <f>IF(OR(Data!B173="",Data!#REF!=""),"",IF(ISNUMBER(Data!#REF!),IF(AND(Data!#REF!&gt;Data_Val!$G$2,Data!#REF!&lt;=Data_Val!$G$3),0,1),1))</f>
        <v>#REF!</v>
      </c>
      <c r="M173" s="9" t="e">
        <f>IF(OR(Data!B173="",Data!#REF!=""),"",IF(ISNUMBER(MATCH(Data!#REF!,Data_Val!$F$1:$F$38,0)),0,1))</f>
        <v>#REF!</v>
      </c>
      <c r="N173" s="9" t="e">
        <f>IF(OR(Data!B173="",Data!#REF!=""),"",IF(Data!#REF!="",1,0))</f>
        <v>#REF!</v>
      </c>
      <c r="O173" s="17" t="e">
        <f>IF(Data!#REF!="","",IF(Data!#REF!="",1,0))</f>
        <v>#REF!</v>
      </c>
      <c r="P173" s="17" t="e">
        <f>IF(Data!#REF!="","",IF(ISNUMBER(MATCH(Data!#REF!,Data_Val!$A$2:$A$3,0)),0,1))</f>
        <v>#REF!</v>
      </c>
      <c r="Q173" s="25" t="e">
        <f ca="1">IF(Data!#REF!="","",IF(ISNUMBER(Data!#REF!),IF(AND(Data!#REF!&gt;(TODAY()-(Data_Val!$J$3*365.25)),Data!#REF!&lt;=(TODAY()-(Data_Val!$J$2*365.25))),0,1),1))</f>
        <v>#REF!</v>
      </c>
      <c r="R173" s="17" t="e">
        <f>IF(Data!#REF!="","",IF(ISNUMBER(MATCH(Data!#REF!,Data_Val!$B$2:$B$15,0)),0,1))</f>
        <v>#REF!</v>
      </c>
      <c r="S173" s="11" t="str">
        <f>IF(Data!G173="","",IF(Data!G173=Data_Val!$C$2,IF(Data!M173="",0,1),0))</f>
        <v/>
      </c>
      <c r="T173" s="11" t="str">
        <f>IF(Data!M173="","",IF(ISNUMBER(MATCH(Data!N173,Data_Val!$A$2:$A$3,0)),0,1))</f>
        <v/>
      </c>
      <c r="U173" s="11" t="str">
        <f ca="1">IF(Data!M173="","",IF(ISNUMBER(Data!O173),IF(AND(Data!O173&gt;(TODAY()-(Data_Val!$K$3*365.25)),Data!O173&lt;=(TODAY()-(Data_Val!$K$2*365.25))),0,1),1))</f>
        <v/>
      </c>
      <c r="V173" s="12" t="str">
        <f>IF(Data!G173="","",IF(Data!G173=Data_Val!$C$2,IF(Data!P173="",0,1),0))</f>
        <v/>
      </c>
      <c r="W173" s="12" t="str">
        <f>IF(Data!P173="","",IF(ISNUMBER(MATCH(Data!Q173,Data_Val!$A$2:$A$3,0)),0,1))</f>
        <v/>
      </c>
      <c r="X173" s="26" t="str">
        <f ca="1">IF(Data!P173="","",IF(ISNUMBER(Data!R173),IF(AND(Data!R173&gt;(TODAY()-(Data_Val!$L$3*365.25)),Data!R173&lt;=(TODAY()-(Data_Val!$L$2*365.25))),0,1),1))</f>
        <v/>
      </c>
      <c r="Y173" s="13" t="str">
        <f>IF(Data!$G173="","",IF(Data!$G173=Data_Val!$C$2,IF(Data!S173="",0,1),0))</f>
        <v/>
      </c>
      <c r="Z173" s="13" t="str">
        <f>IF(Data!S173="","",IF(ISNUMBER(MATCH(Data!T173,Data_Val!$A$2:$A$3,0)),0,1))</f>
        <v/>
      </c>
      <c r="AA173" s="28" t="str">
        <f ca="1">IF(Data!S173="","",IF(ISNUMBER(Data!U173),IF(AND(Data!U173&gt;(TODAY()-(Data_Val!$L$3*365.25)),Data!U173&lt;=(TODAY()-(Data_Val!$L$2*365.25))),0,1),1))</f>
        <v/>
      </c>
      <c r="AB173" s="11"/>
      <c r="AC173" s="11" t="e">
        <f>IF(Data!#REF!="","",IF(ISNUMBER(MATCH(Data!#REF!,Data_Val!$A$2:$A$3,0)),0,1))</f>
        <v>#REF!</v>
      </c>
      <c r="AD173" s="11" t="e">
        <f ca="1">IF(Data!#REF!="","",IF(ISNUMBER(Data!#REF!),IF(AND(Data!#REF!&gt;(TODAY()-(Data_Val!$L$3*365.25)),Data!#REF!&lt;=(TODAY()-(Data_Val!$L$2*365.25))),0,1),1))</f>
        <v>#REF!</v>
      </c>
      <c r="AE173" s="11" t="e">
        <f>IF(Data!#REF!="","",IF(Data!$G173="",1,IF(ISNUMBER(MATCH(Data!#REF!,Data_Val!$D$2:$D$10,0)),0,1)))</f>
        <v>#REF!</v>
      </c>
      <c r="AF173" s="12"/>
      <c r="AG173" s="12" t="e">
        <f>IF(Data!#REF!="","",IF(ISNUMBER(MATCH(Data!#REF!,Data_Val!$A$2:$A$3,0)),0,1))</f>
        <v>#REF!</v>
      </c>
      <c r="AH173" s="26" t="e">
        <f ca="1">IF(Data!#REF!="","",IF(ISNUMBER(Data!#REF!),IF(AND(Data!#REF!&gt;(TODAY()-(Data_Val!$L$3*365.25)),Data!#REF!&lt;=(TODAY()-(Data_Val!$L$2*365.25))),0,1),1))</f>
        <v>#REF!</v>
      </c>
      <c r="AI173" s="12" t="e">
        <f>IF(Data!#REF!="","",IF(Data!$G173="",1,IF(ISNUMBER(MATCH(Data!#REF!,Data_Val!$D$2:$D$10,0)),0,1)))</f>
        <v>#REF!</v>
      </c>
      <c r="AJ173" s="17"/>
      <c r="AK173" s="17" t="e">
        <f>IF(Data!#REF!="","",IF(ISNUMBER(MATCH(Data!#REF!,Data_Val!$A$2:$A$3,0)),0,1))</f>
        <v>#REF!</v>
      </c>
      <c r="AL173" s="25" t="e">
        <f ca="1">IF(Data!#REF!="","",IF(ISNUMBER(Data!#REF!),IF(AND(Data!#REF!&gt;(TODAY()-(Data_Val!$L$3*365.25)),Data!#REF!&lt;=(TODAY()-(Data_Val!$L$2*365.25))),0,1),1))</f>
        <v>#REF!</v>
      </c>
      <c r="AM173" s="17" t="e">
        <f>IF(Data!#REF!="","",IF(Data!$G173="",1,IF(ISNUMBER(MATCH(Data!#REF!,Data_Val!$D$2:$D$10,0)),0,1)))</f>
        <v>#REF!</v>
      </c>
      <c r="AN173" s="13"/>
      <c r="AO173" s="28" t="e">
        <f ca="1">IF(Data!#REF!="","",IF(ISNUMBER(Data!#REF!),IF(AND(Data!#REF!&gt;(TODAY()-(Data_Val!$I$3*365.25)),Data!#REF!&lt;=(TODAY()-(Data_Val!$I$2*365.25))),0,1),1))</f>
        <v>#REF!</v>
      </c>
      <c r="AP173" s="13" t="e">
        <f>IF(Data!#REF!="","",IF(Data!$G173="",1,IF(ISNUMBER(MATCH(Data!#REF!,Data_Val!$D$2:$D$10,0)),0,1)))</f>
        <v>#REF!</v>
      </c>
      <c r="AQ173" s="17"/>
      <c r="AR173" s="30" t="e">
        <f ca="1">IF(Data!#REF!="","",IF(ISNUMBER(Data!#REF!),IF(AND(Data!#REF!&gt;(TODAY()-(Data_Val!$I$3*365.25)),Data!#REF!&lt;=(TODAY()-(Data_Val!$I$2*365.25))),0,1),1))</f>
        <v>#REF!</v>
      </c>
      <c r="AS173" s="31" t="e">
        <f>IF(Data!#REF!="","",IF(Data!$G173="",1,IF(ISNUMBER(MATCH(Data!#REF!,Data_Val!$D$2:$D$10,0)),0,1)))</f>
        <v>#REF!</v>
      </c>
      <c r="AT173" s="11"/>
      <c r="AU173" s="11" t="e">
        <f ca="1">IF(Data!#REF!="","",IF(ISNUMBER(Data!#REF!),IF(AND(Data!#REF!&gt;(TODAY()-(Data_Val!$I$3*365.25)),Data!#REF!&lt;=(TODAY()-(Data_Val!$I$2*365.25))),0,1),1))</f>
        <v>#REF!</v>
      </c>
      <c r="AV173" s="11" t="e">
        <f>IF(Data!#REF!="","",IF(Data!$G173="",1,IF(ISNUMBER(MATCH(Data!#REF!,Data_Val!$D$2:$D$10,0)),0,1)))</f>
        <v>#REF!</v>
      </c>
      <c r="AW173" s="12"/>
      <c r="AX173" s="26" t="e">
        <f ca="1">IF(Data!#REF!="","",IF(ISNUMBER(Data!#REF!),IF(AND(Data!#REF!&gt;(TODAY()-(Data_Val!$I$3*365.25)),Data!#REF!&lt;=(TODAY()-(Data_Val!$I$2*365.25))),0,1),1))</f>
        <v>#REF!</v>
      </c>
      <c r="AY173" s="12" t="e">
        <f>IF(Data!#REF!="","",IF(Data!$G173="",1,IF(ISNUMBER(MATCH(Data!#REF!,Data_Val!$D$2:$D$10,0)),0,1)))</f>
        <v>#REF!</v>
      </c>
      <c r="AZ173" s="11"/>
      <c r="BA173" s="19" t="e">
        <f ca="1">IF(Data!#REF!="","",IF(ISNUMBER(Data!#REF!),IF(AND(Data!#REF!&gt;(TODAY()-(Data_Val!$M$3*365.25)),Data!#REF!&lt;=(TODAY()-(Data_Val!$M$2*365.25))),0,1),1))</f>
        <v>#REF!</v>
      </c>
      <c r="BB173" s="11" t="e">
        <f>IF(Data!#REF!="","",IF(Data!$G173="",1,IF(ISNUMBER(MATCH(Data!#REF!,Data_Val!$D$2:$D$10,0)),0,1)))</f>
        <v>#REF!</v>
      </c>
      <c r="BC173" s="12"/>
      <c r="BD173" s="20" t="e">
        <f ca="1">IF(Data!#REF!="","",IF(ISNUMBER(Data!#REF!),IF(AND(Data!#REF!&gt;(TODAY()-(Data_Val!$M$3*365.25)),Data!#REF!&lt;=(TODAY()-(Data_Val!$M$2*365.25))),0,1),1))</f>
        <v>#REF!</v>
      </c>
      <c r="BE173" s="12" t="e">
        <f>IF(Data!#REF!="","",IF(Data!$G173="",1,IF(ISNUMBER(MATCH(Data!#REF!,Data_Val!$D$2:$D$10,0)),0,1)))</f>
        <v>#REF!</v>
      </c>
      <c r="BF173" s="17"/>
      <c r="BG173" s="18" t="e">
        <f ca="1">IF(Data!#REF!="","",IF(ISNUMBER(Data!#REF!),IF(AND(Data!#REF!&gt;(TODAY()-(Data_Val!$M$3*365.25)),Data!#REF!&lt;=(TODAY()-(Data_Val!$M$2*365.25))),0,1),1))</f>
        <v>#REF!</v>
      </c>
      <c r="BH173" s="29" t="e">
        <f>IF(Data!#REF!="","",IF(Data!$G173="",1,IF(ISNUMBER(MATCH(Data!#REF!,Data_Val!$D$2:$D$10,0)),0,1)))</f>
        <v>#REF!</v>
      </c>
      <c r="BI173" s="13"/>
      <c r="BJ173" s="21" t="e">
        <f ca="1">IF(Data!#REF!="","",IF(ISNUMBER(Data!#REF!),IF(AND(Data!#REF!&gt;(TODAY()-(Data_Val!$M$3*365.25)),Data!#REF!&lt;=(TODAY()-(Data_Val!$M$2*365.25))),0,1),1))</f>
        <v>#REF!</v>
      </c>
      <c r="BK173" s="13" t="e">
        <f>IF(Data!#REF!="","",IF(Data!$G173="",1,IF(ISNUMBER(MATCH(Data!#REF!,Data_Val!$D$2:$D$10,0)),0,1)))</f>
        <v>#REF!</v>
      </c>
    </row>
    <row r="174" spans="1:63" x14ac:dyDescent="0.25">
      <c r="A174" s="9" t="str">
        <f>IF(Data!B174="","",IF(COUNTIFS(Data!A$1:'Data'!A174,Data!A174)&lt;=1,0,1))</f>
        <v/>
      </c>
      <c r="B174" s="9"/>
      <c r="C174" s="23" t="str">
        <f>IF(Data!C174="","",(IF(ISNUMBER(MATCH("*@*.?*",Data!C174,0)),0,1)+IF(COUNTIFS(Data!C$1:'Data'!C174,Data!C174)&gt;1,1,0)))</f>
        <v/>
      </c>
      <c r="D174" s="9" t="str">
        <f>IF(Data!B174="","",IF(ISNUMBER(Data!D174),IF(AND(Data!D174&gt;999999999,Data!D174&lt;=9999999999),IF(COUNTIFS(Data!D$1:'Data'!D174,Data!D174)&lt;=1,0,1),1),1))</f>
        <v/>
      </c>
      <c r="E174" s="9" t="str">
        <f>IF(Data!B174="","",IF(ISNUMBER(MATCH(Data!E174,Data_Val!$A$2:$A$3,0)),0,1))</f>
        <v/>
      </c>
      <c r="F174" s="9" t="str">
        <f ca="1">IF(Data!B174="","",IF(ISNUMBER(Data!F174),IF(AND(Data!F174&gt;(TODAY()-(Data_Val!$H$3*365.25)),Data!F174&lt;=(TODAY()-(Data_Val!$H$2*365.25))),0,1),1))</f>
        <v/>
      </c>
      <c r="G174" s="15" t="str">
        <f>IF(Data!B174="","",IF(AND(Data!G174="",Data!H174&lt;&gt;""),1,IF(Data!#REF!&lt;&gt;"",0,IF(ISNUMBER(MATCH(Data!G174,Data_Val!$C$2:$C$5,0)),0,1))))</f>
        <v/>
      </c>
      <c r="H174" s="15" t="str">
        <f>IF(Data!B174="","",IF(AND(Data!G174&lt;&gt;"",Data!H174=""),1,IF(Data!#REF!&lt;&gt;"",0,IF(Data!G174="",1,IF(ISNUMBER(MATCH(Data!H174,Data_Val!$D$2:$D$35,0)),0,1)))))</f>
        <v/>
      </c>
      <c r="I174" s="15" t="str">
        <f>IF(Data!B174="","",IF(Data!G174&lt;&gt;"",0,IF(ISNUMBER(MATCH(Data!#REF!,Data_Val!$E$2:$E$12,0)),0,1)))</f>
        <v/>
      </c>
      <c r="J174" s="16" t="e">
        <f>IF(OR(Data!B174="",Data!#REF!=""),"",IF(Data!#REF!="",1,0))</f>
        <v>#REF!</v>
      </c>
      <c r="K174" s="16" t="e">
        <f>IF(OR(Data!B174="",Data!#REF!=""),"",IF(Data!#REF!="",1,0))</f>
        <v>#REF!</v>
      </c>
      <c r="L174" s="16" t="e">
        <f>IF(OR(Data!B174="",Data!#REF!=""),"",IF(ISNUMBER(Data!#REF!),IF(AND(Data!#REF!&gt;Data_Val!$G$2,Data!#REF!&lt;=Data_Val!$G$3),0,1),1))</f>
        <v>#REF!</v>
      </c>
      <c r="M174" s="9" t="e">
        <f>IF(OR(Data!B174="",Data!#REF!=""),"",IF(ISNUMBER(MATCH(Data!#REF!,Data_Val!$F$1:$F$38,0)),0,1))</f>
        <v>#REF!</v>
      </c>
      <c r="N174" s="9" t="e">
        <f>IF(OR(Data!B174="",Data!#REF!=""),"",IF(Data!#REF!="",1,0))</f>
        <v>#REF!</v>
      </c>
      <c r="O174" s="17" t="e">
        <f>IF(Data!#REF!="","",IF(Data!#REF!="",1,0))</f>
        <v>#REF!</v>
      </c>
      <c r="P174" s="17" t="e">
        <f>IF(Data!#REF!="","",IF(ISNUMBER(MATCH(Data!#REF!,Data_Val!$A$2:$A$3,0)),0,1))</f>
        <v>#REF!</v>
      </c>
      <c r="Q174" s="25" t="e">
        <f ca="1">IF(Data!#REF!="","",IF(ISNUMBER(Data!#REF!),IF(AND(Data!#REF!&gt;(TODAY()-(Data_Val!$J$3*365.25)),Data!#REF!&lt;=(TODAY()-(Data_Val!$J$2*365.25))),0,1),1))</f>
        <v>#REF!</v>
      </c>
      <c r="R174" s="17" t="e">
        <f>IF(Data!#REF!="","",IF(ISNUMBER(MATCH(Data!#REF!,Data_Val!$B$2:$B$15,0)),0,1))</f>
        <v>#REF!</v>
      </c>
      <c r="S174" s="11" t="str">
        <f>IF(Data!G174="","",IF(Data!G174=Data_Val!$C$2,IF(Data!M174="",0,1),0))</f>
        <v/>
      </c>
      <c r="T174" s="11" t="str">
        <f>IF(Data!M174="","",IF(ISNUMBER(MATCH(Data!N174,Data_Val!$A$2:$A$3,0)),0,1))</f>
        <v/>
      </c>
      <c r="U174" s="11" t="str">
        <f ca="1">IF(Data!M174="","",IF(ISNUMBER(Data!O174),IF(AND(Data!O174&gt;(TODAY()-(Data_Val!$K$3*365.25)),Data!O174&lt;=(TODAY()-(Data_Val!$K$2*365.25))),0,1),1))</f>
        <v/>
      </c>
      <c r="V174" s="12" t="str">
        <f>IF(Data!G174="","",IF(Data!G174=Data_Val!$C$2,IF(Data!P174="",0,1),0))</f>
        <v/>
      </c>
      <c r="W174" s="12" t="str">
        <f>IF(Data!P174="","",IF(ISNUMBER(MATCH(Data!Q174,Data_Val!$A$2:$A$3,0)),0,1))</f>
        <v/>
      </c>
      <c r="X174" s="26" t="str">
        <f ca="1">IF(Data!P174="","",IF(ISNUMBER(Data!R174),IF(AND(Data!R174&gt;(TODAY()-(Data_Val!$L$3*365.25)),Data!R174&lt;=(TODAY()-(Data_Val!$L$2*365.25))),0,1),1))</f>
        <v/>
      </c>
      <c r="Y174" s="13" t="str">
        <f>IF(Data!$G174="","",IF(Data!$G174=Data_Val!$C$2,IF(Data!S174="",0,1),0))</f>
        <v/>
      </c>
      <c r="Z174" s="13" t="str">
        <f>IF(Data!S174="","",IF(ISNUMBER(MATCH(Data!T174,Data_Val!$A$2:$A$3,0)),0,1))</f>
        <v/>
      </c>
      <c r="AA174" s="28" t="str">
        <f ca="1">IF(Data!S174="","",IF(ISNUMBER(Data!U174),IF(AND(Data!U174&gt;(TODAY()-(Data_Val!$L$3*365.25)),Data!U174&lt;=(TODAY()-(Data_Val!$L$2*365.25))),0,1),1))</f>
        <v/>
      </c>
      <c r="AB174" s="11"/>
      <c r="AC174" s="11" t="e">
        <f>IF(Data!#REF!="","",IF(ISNUMBER(MATCH(Data!#REF!,Data_Val!$A$2:$A$3,0)),0,1))</f>
        <v>#REF!</v>
      </c>
      <c r="AD174" s="11" t="e">
        <f ca="1">IF(Data!#REF!="","",IF(ISNUMBER(Data!#REF!),IF(AND(Data!#REF!&gt;(TODAY()-(Data_Val!$L$3*365.25)),Data!#REF!&lt;=(TODAY()-(Data_Val!$L$2*365.25))),0,1),1))</f>
        <v>#REF!</v>
      </c>
      <c r="AE174" s="11" t="e">
        <f>IF(Data!#REF!="","",IF(Data!$G174="",1,IF(ISNUMBER(MATCH(Data!#REF!,Data_Val!$D$2:$D$10,0)),0,1)))</f>
        <v>#REF!</v>
      </c>
      <c r="AF174" s="12"/>
      <c r="AG174" s="12" t="e">
        <f>IF(Data!#REF!="","",IF(ISNUMBER(MATCH(Data!#REF!,Data_Val!$A$2:$A$3,0)),0,1))</f>
        <v>#REF!</v>
      </c>
      <c r="AH174" s="26" t="e">
        <f ca="1">IF(Data!#REF!="","",IF(ISNUMBER(Data!#REF!),IF(AND(Data!#REF!&gt;(TODAY()-(Data_Val!$L$3*365.25)),Data!#REF!&lt;=(TODAY()-(Data_Val!$L$2*365.25))),0,1),1))</f>
        <v>#REF!</v>
      </c>
      <c r="AI174" s="12" t="e">
        <f>IF(Data!#REF!="","",IF(Data!$G174="",1,IF(ISNUMBER(MATCH(Data!#REF!,Data_Val!$D$2:$D$10,0)),0,1)))</f>
        <v>#REF!</v>
      </c>
      <c r="AJ174" s="17"/>
      <c r="AK174" s="17" t="e">
        <f>IF(Data!#REF!="","",IF(ISNUMBER(MATCH(Data!#REF!,Data_Val!$A$2:$A$3,0)),0,1))</f>
        <v>#REF!</v>
      </c>
      <c r="AL174" s="25" t="e">
        <f ca="1">IF(Data!#REF!="","",IF(ISNUMBER(Data!#REF!),IF(AND(Data!#REF!&gt;(TODAY()-(Data_Val!$L$3*365.25)),Data!#REF!&lt;=(TODAY()-(Data_Val!$L$2*365.25))),0,1),1))</f>
        <v>#REF!</v>
      </c>
      <c r="AM174" s="17" t="e">
        <f>IF(Data!#REF!="","",IF(Data!$G174="",1,IF(ISNUMBER(MATCH(Data!#REF!,Data_Val!$D$2:$D$10,0)),0,1)))</f>
        <v>#REF!</v>
      </c>
      <c r="AN174" s="13"/>
      <c r="AO174" s="28" t="e">
        <f ca="1">IF(Data!#REF!="","",IF(ISNUMBER(Data!#REF!),IF(AND(Data!#REF!&gt;(TODAY()-(Data_Val!$I$3*365.25)),Data!#REF!&lt;=(TODAY()-(Data_Val!$I$2*365.25))),0,1),1))</f>
        <v>#REF!</v>
      </c>
      <c r="AP174" s="13" t="e">
        <f>IF(Data!#REF!="","",IF(Data!$G174="",1,IF(ISNUMBER(MATCH(Data!#REF!,Data_Val!$D$2:$D$10,0)),0,1)))</f>
        <v>#REF!</v>
      </c>
      <c r="AQ174" s="17"/>
      <c r="AR174" s="30" t="e">
        <f ca="1">IF(Data!#REF!="","",IF(ISNUMBER(Data!#REF!),IF(AND(Data!#REF!&gt;(TODAY()-(Data_Val!$I$3*365.25)),Data!#REF!&lt;=(TODAY()-(Data_Val!$I$2*365.25))),0,1),1))</f>
        <v>#REF!</v>
      </c>
      <c r="AS174" s="31" t="e">
        <f>IF(Data!#REF!="","",IF(Data!$G174="",1,IF(ISNUMBER(MATCH(Data!#REF!,Data_Val!$D$2:$D$10,0)),0,1)))</f>
        <v>#REF!</v>
      </c>
      <c r="AT174" s="11"/>
      <c r="AU174" s="11" t="e">
        <f ca="1">IF(Data!#REF!="","",IF(ISNUMBER(Data!#REF!),IF(AND(Data!#REF!&gt;(TODAY()-(Data_Val!$I$3*365.25)),Data!#REF!&lt;=(TODAY()-(Data_Val!$I$2*365.25))),0,1),1))</f>
        <v>#REF!</v>
      </c>
      <c r="AV174" s="11" t="e">
        <f>IF(Data!#REF!="","",IF(Data!$G174="",1,IF(ISNUMBER(MATCH(Data!#REF!,Data_Val!$D$2:$D$10,0)),0,1)))</f>
        <v>#REF!</v>
      </c>
      <c r="AW174" s="12"/>
      <c r="AX174" s="26" t="e">
        <f ca="1">IF(Data!#REF!="","",IF(ISNUMBER(Data!#REF!),IF(AND(Data!#REF!&gt;(TODAY()-(Data_Val!$I$3*365.25)),Data!#REF!&lt;=(TODAY()-(Data_Val!$I$2*365.25))),0,1),1))</f>
        <v>#REF!</v>
      </c>
      <c r="AY174" s="12" t="e">
        <f>IF(Data!#REF!="","",IF(Data!$G174="",1,IF(ISNUMBER(MATCH(Data!#REF!,Data_Val!$D$2:$D$10,0)),0,1)))</f>
        <v>#REF!</v>
      </c>
      <c r="AZ174" s="11"/>
      <c r="BA174" s="19" t="e">
        <f ca="1">IF(Data!#REF!="","",IF(ISNUMBER(Data!#REF!),IF(AND(Data!#REF!&gt;(TODAY()-(Data_Val!$M$3*365.25)),Data!#REF!&lt;=(TODAY()-(Data_Val!$M$2*365.25))),0,1),1))</f>
        <v>#REF!</v>
      </c>
      <c r="BB174" s="11" t="e">
        <f>IF(Data!#REF!="","",IF(Data!$G174="",1,IF(ISNUMBER(MATCH(Data!#REF!,Data_Val!$D$2:$D$10,0)),0,1)))</f>
        <v>#REF!</v>
      </c>
      <c r="BC174" s="12"/>
      <c r="BD174" s="20" t="e">
        <f ca="1">IF(Data!#REF!="","",IF(ISNUMBER(Data!#REF!),IF(AND(Data!#REF!&gt;(TODAY()-(Data_Val!$M$3*365.25)),Data!#REF!&lt;=(TODAY()-(Data_Val!$M$2*365.25))),0,1),1))</f>
        <v>#REF!</v>
      </c>
      <c r="BE174" s="12" t="e">
        <f>IF(Data!#REF!="","",IF(Data!$G174="",1,IF(ISNUMBER(MATCH(Data!#REF!,Data_Val!$D$2:$D$10,0)),0,1)))</f>
        <v>#REF!</v>
      </c>
      <c r="BF174" s="17"/>
      <c r="BG174" s="18" t="e">
        <f ca="1">IF(Data!#REF!="","",IF(ISNUMBER(Data!#REF!),IF(AND(Data!#REF!&gt;(TODAY()-(Data_Val!$M$3*365.25)),Data!#REF!&lt;=(TODAY()-(Data_Val!$M$2*365.25))),0,1),1))</f>
        <v>#REF!</v>
      </c>
      <c r="BH174" s="29" t="e">
        <f>IF(Data!#REF!="","",IF(Data!$G174="",1,IF(ISNUMBER(MATCH(Data!#REF!,Data_Val!$D$2:$D$10,0)),0,1)))</f>
        <v>#REF!</v>
      </c>
      <c r="BI174" s="13"/>
      <c r="BJ174" s="21" t="e">
        <f ca="1">IF(Data!#REF!="","",IF(ISNUMBER(Data!#REF!),IF(AND(Data!#REF!&gt;(TODAY()-(Data_Val!$M$3*365.25)),Data!#REF!&lt;=(TODAY()-(Data_Val!$M$2*365.25))),0,1),1))</f>
        <v>#REF!</v>
      </c>
      <c r="BK174" s="13" t="e">
        <f>IF(Data!#REF!="","",IF(Data!$G174="",1,IF(ISNUMBER(MATCH(Data!#REF!,Data_Val!$D$2:$D$10,0)),0,1)))</f>
        <v>#REF!</v>
      </c>
    </row>
    <row r="175" spans="1:63" x14ac:dyDescent="0.25">
      <c r="A175" s="9" t="str">
        <f>IF(Data!B175="","",IF(COUNTIFS(Data!A$1:'Data'!A175,Data!A175)&lt;=1,0,1))</f>
        <v/>
      </c>
      <c r="B175" s="9"/>
      <c r="C175" s="23" t="str">
        <f>IF(Data!C175="","",(IF(ISNUMBER(MATCH("*@*.?*",Data!C175,0)),0,1)+IF(COUNTIFS(Data!C$1:'Data'!C175,Data!C175)&gt;1,1,0)))</f>
        <v/>
      </c>
      <c r="D175" s="9" t="str">
        <f>IF(Data!B175="","",IF(ISNUMBER(Data!D175),IF(AND(Data!D175&gt;999999999,Data!D175&lt;=9999999999),IF(COUNTIFS(Data!D$1:'Data'!D175,Data!D175)&lt;=1,0,1),1),1))</f>
        <v/>
      </c>
      <c r="E175" s="9" t="str">
        <f>IF(Data!B175="","",IF(ISNUMBER(MATCH(Data!E175,Data_Val!$A$2:$A$3,0)),0,1))</f>
        <v/>
      </c>
      <c r="F175" s="9" t="str">
        <f ca="1">IF(Data!B175="","",IF(ISNUMBER(Data!F175),IF(AND(Data!F175&gt;(TODAY()-(Data_Val!$H$3*365.25)),Data!F175&lt;=(TODAY()-(Data_Val!$H$2*365.25))),0,1),1))</f>
        <v/>
      </c>
      <c r="G175" s="15" t="str">
        <f>IF(Data!B175="","",IF(AND(Data!G175="",Data!H175&lt;&gt;""),1,IF(Data!#REF!&lt;&gt;"",0,IF(ISNUMBER(MATCH(Data!G175,Data_Val!$C$2:$C$5,0)),0,1))))</f>
        <v/>
      </c>
      <c r="H175" s="15" t="str">
        <f>IF(Data!B175="","",IF(AND(Data!G175&lt;&gt;"",Data!H175=""),1,IF(Data!#REF!&lt;&gt;"",0,IF(Data!G175="",1,IF(ISNUMBER(MATCH(Data!H175,Data_Val!$D$2:$D$35,0)),0,1)))))</f>
        <v/>
      </c>
      <c r="I175" s="15" t="str">
        <f>IF(Data!B175="","",IF(Data!G175&lt;&gt;"",0,IF(ISNUMBER(MATCH(Data!#REF!,Data_Val!$E$2:$E$12,0)),0,1)))</f>
        <v/>
      </c>
      <c r="J175" s="16" t="e">
        <f>IF(OR(Data!B175="",Data!#REF!=""),"",IF(Data!#REF!="",1,0))</f>
        <v>#REF!</v>
      </c>
      <c r="K175" s="16" t="e">
        <f>IF(OR(Data!B175="",Data!#REF!=""),"",IF(Data!#REF!="",1,0))</f>
        <v>#REF!</v>
      </c>
      <c r="L175" s="16" t="e">
        <f>IF(OR(Data!B175="",Data!#REF!=""),"",IF(ISNUMBER(Data!#REF!),IF(AND(Data!#REF!&gt;Data_Val!$G$2,Data!#REF!&lt;=Data_Val!$G$3),0,1),1))</f>
        <v>#REF!</v>
      </c>
      <c r="M175" s="9" t="e">
        <f>IF(OR(Data!B175="",Data!#REF!=""),"",IF(ISNUMBER(MATCH(Data!#REF!,Data_Val!$F$1:$F$38,0)),0,1))</f>
        <v>#REF!</v>
      </c>
      <c r="N175" s="9" t="e">
        <f>IF(OR(Data!B175="",Data!#REF!=""),"",IF(Data!#REF!="",1,0))</f>
        <v>#REF!</v>
      </c>
      <c r="O175" s="17" t="e">
        <f>IF(Data!#REF!="","",IF(Data!#REF!="",1,0))</f>
        <v>#REF!</v>
      </c>
      <c r="P175" s="17" t="e">
        <f>IF(Data!#REF!="","",IF(ISNUMBER(MATCH(Data!#REF!,Data_Val!$A$2:$A$3,0)),0,1))</f>
        <v>#REF!</v>
      </c>
      <c r="Q175" s="25" t="e">
        <f ca="1">IF(Data!#REF!="","",IF(ISNUMBER(Data!#REF!),IF(AND(Data!#REF!&gt;(TODAY()-(Data_Val!$J$3*365.25)),Data!#REF!&lt;=(TODAY()-(Data_Val!$J$2*365.25))),0,1),1))</f>
        <v>#REF!</v>
      </c>
      <c r="R175" s="17" t="e">
        <f>IF(Data!#REF!="","",IF(ISNUMBER(MATCH(Data!#REF!,Data_Val!$B$2:$B$15,0)),0,1))</f>
        <v>#REF!</v>
      </c>
      <c r="S175" s="11" t="str">
        <f>IF(Data!G175="","",IF(Data!G175=Data_Val!$C$2,IF(Data!M175="",0,1),0))</f>
        <v/>
      </c>
      <c r="T175" s="11" t="str">
        <f>IF(Data!M175="","",IF(ISNUMBER(MATCH(Data!N175,Data_Val!$A$2:$A$3,0)),0,1))</f>
        <v/>
      </c>
      <c r="U175" s="11" t="str">
        <f ca="1">IF(Data!M175="","",IF(ISNUMBER(Data!O175),IF(AND(Data!O175&gt;(TODAY()-(Data_Val!$K$3*365.25)),Data!O175&lt;=(TODAY()-(Data_Val!$K$2*365.25))),0,1),1))</f>
        <v/>
      </c>
      <c r="V175" s="12" t="str">
        <f>IF(Data!G175="","",IF(Data!G175=Data_Val!$C$2,IF(Data!P175="",0,1),0))</f>
        <v/>
      </c>
      <c r="W175" s="12" t="str">
        <f>IF(Data!P175="","",IF(ISNUMBER(MATCH(Data!Q175,Data_Val!$A$2:$A$3,0)),0,1))</f>
        <v/>
      </c>
      <c r="X175" s="26" t="str">
        <f ca="1">IF(Data!P175="","",IF(ISNUMBER(Data!R175),IF(AND(Data!R175&gt;(TODAY()-(Data_Val!$L$3*365.25)),Data!R175&lt;=(TODAY()-(Data_Val!$L$2*365.25))),0,1),1))</f>
        <v/>
      </c>
      <c r="Y175" s="13" t="str">
        <f>IF(Data!$G175="","",IF(Data!$G175=Data_Val!$C$2,IF(Data!S175="",0,1),0))</f>
        <v/>
      </c>
      <c r="Z175" s="13" t="str">
        <f>IF(Data!S175="","",IF(ISNUMBER(MATCH(Data!T175,Data_Val!$A$2:$A$3,0)),0,1))</f>
        <v/>
      </c>
      <c r="AA175" s="28" t="str">
        <f ca="1">IF(Data!S175="","",IF(ISNUMBER(Data!U175),IF(AND(Data!U175&gt;(TODAY()-(Data_Val!$L$3*365.25)),Data!U175&lt;=(TODAY()-(Data_Val!$L$2*365.25))),0,1),1))</f>
        <v/>
      </c>
      <c r="AB175" s="11"/>
      <c r="AC175" s="11" t="e">
        <f>IF(Data!#REF!="","",IF(ISNUMBER(MATCH(Data!#REF!,Data_Val!$A$2:$A$3,0)),0,1))</f>
        <v>#REF!</v>
      </c>
      <c r="AD175" s="11" t="e">
        <f ca="1">IF(Data!#REF!="","",IF(ISNUMBER(Data!#REF!),IF(AND(Data!#REF!&gt;(TODAY()-(Data_Val!$L$3*365.25)),Data!#REF!&lt;=(TODAY()-(Data_Val!$L$2*365.25))),0,1),1))</f>
        <v>#REF!</v>
      </c>
      <c r="AE175" s="11" t="e">
        <f>IF(Data!#REF!="","",IF(Data!$G175="",1,IF(ISNUMBER(MATCH(Data!#REF!,Data_Val!$D$2:$D$10,0)),0,1)))</f>
        <v>#REF!</v>
      </c>
      <c r="AF175" s="12"/>
      <c r="AG175" s="12" t="e">
        <f>IF(Data!#REF!="","",IF(ISNUMBER(MATCH(Data!#REF!,Data_Val!$A$2:$A$3,0)),0,1))</f>
        <v>#REF!</v>
      </c>
      <c r="AH175" s="26" t="e">
        <f ca="1">IF(Data!#REF!="","",IF(ISNUMBER(Data!#REF!),IF(AND(Data!#REF!&gt;(TODAY()-(Data_Val!$L$3*365.25)),Data!#REF!&lt;=(TODAY()-(Data_Val!$L$2*365.25))),0,1),1))</f>
        <v>#REF!</v>
      </c>
      <c r="AI175" s="12" t="e">
        <f>IF(Data!#REF!="","",IF(Data!$G175="",1,IF(ISNUMBER(MATCH(Data!#REF!,Data_Val!$D$2:$D$10,0)),0,1)))</f>
        <v>#REF!</v>
      </c>
      <c r="AJ175" s="17"/>
      <c r="AK175" s="17" t="e">
        <f>IF(Data!#REF!="","",IF(ISNUMBER(MATCH(Data!#REF!,Data_Val!$A$2:$A$3,0)),0,1))</f>
        <v>#REF!</v>
      </c>
      <c r="AL175" s="25" t="e">
        <f ca="1">IF(Data!#REF!="","",IF(ISNUMBER(Data!#REF!),IF(AND(Data!#REF!&gt;(TODAY()-(Data_Val!$L$3*365.25)),Data!#REF!&lt;=(TODAY()-(Data_Val!$L$2*365.25))),0,1),1))</f>
        <v>#REF!</v>
      </c>
      <c r="AM175" s="17" t="e">
        <f>IF(Data!#REF!="","",IF(Data!$G175="",1,IF(ISNUMBER(MATCH(Data!#REF!,Data_Val!$D$2:$D$10,0)),0,1)))</f>
        <v>#REF!</v>
      </c>
      <c r="AN175" s="13"/>
      <c r="AO175" s="28" t="e">
        <f ca="1">IF(Data!#REF!="","",IF(ISNUMBER(Data!#REF!),IF(AND(Data!#REF!&gt;(TODAY()-(Data_Val!$I$3*365.25)),Data!#REF!&lt;=(TODAY()-(Data_Val!$I$2*365.25))),0,1),1))</f>
        <v>#REF!</v>
      </c>
      <c r="AP175" s="13" t="e">
        <f>IF(Data!#REF!="","",IF(Data!$G175="",1,IF(ISNUMBER(MATCH(Data!#REF!,Data_Val!$D$2:$D$10,0)),0,1)))</f>
        <v>#REF!</v>
      </c>
      <c r="AQ175" s="17"/>
      <c r="AR175" s="30" t="e">
        <f ca="1">IF(Data!#REF!="","",IF(ISNUMBER(Data!#REF!),IF(AND(Data!#REF!&gt;(TODAY()-(Data_Val!$I$3*365.25)),Data!#REF!&lt;=(TODAY()-(Data_Val!$I$2*365.25))),0,1),1))</f>
        <v>#REF!</v>
      </c>
      <c r="AS175" s="31" t="e">
        <f>IF(Data!#REF!="","",IF(Data!$G175="",1,IF(ISNUMBER(MATCH(Data!#REF!,Data_Val!$D$2:$D$10,0)),0,1)))</f>
        <v>#REF!</v>
      </c>
      <c r="AT175" s="11"/>
      <c r="AU175" s="11" t="e">
        <f ca="1">IF(Data!#REF!="","",IF(ISNUMBER(Data!#REF!),IF(AND(Data!#REF!&gt;(TODAY()-(Data_Val!$I$3*365.25)),Data!#REF!&lt;=(TODAY()-(Data_Val!$I$2*365.25))),0,1),1))</f>
        <v>#REF!</v>
      </c>
      <c r="AV175" s="11" t="e">
        <f>IF(Data!#REF!="","",IF(Data!$G175="",1,IF(ISNUMBER(MATCH(Data!#REF!,Data_Val!$D$2:$D$10,0)),0,1)))</f>
        <v>#REF!</v>
      </c>
      <c r="AW175" s="12"/>
      <c r="AX175" s="26" t="e">
        <f ca="1">IF(Data!#REF!="","",IF(ISNUMBER(Data!#REF!),IF(AND(Data!#REF!&gt;(TODAY()-(Data_Val!$I$3*365.25)),Data!#REF!&lt;=(TODAY()-(Data_Val!$I$2*365.25))),0,1),1))</f>
        <v>#REF!</v>
      </c>
      <c r="AY175" s="12" t="e">
        <f>IF(Data!#REF!="","",IF(Data!$G175="",1,IF(ISNUMBER(MATCH(Data!#REF!,Data_Val!$D$2:$D$10,0)),0,1)))</f>
        <v>#REF!</v>
      </c>
      <c r="AZ175" s="11"/>
      <c r="BA175" s="19" t="e">
        <f ca="1">IF(Data!#REF!="","",IF(ISNUMBER(Data!#REF!),IF(AND(Data!#REF!&gt;(TODAY()-(Data_Val!$M$3*365.25)),Data!#REF!&lt;=(TODAY()-(Data_Val!$M$2*365.25))),0,1),1))</f>
        <v>#REF!</v>
      </c>
      <c r="BB175" s="11" t="e">
        <f>IF(Data!#REF!="","",IF(Data!$G175="",1,IF(ISNUMBER(MATCH(Data!#REF!,Data_Val!$D$2:$D$10,0)),0,1)))</f>
        <v>#REF!</v>
      </c>
      <c r="BC175" s="12"/>
      <c r="BD175" s="20" t="e">
        <f ca="1">IF(Data!#REF!="","",IF(ISNUMBER(Data!#REF!),IF(AND(Data!#REF!&gt;(TODAY()-(Data_Val!$M$3*365.25)),Data!#REF!&lt;=(TODAY()-(Data_Val!$M$2*365.25))),0,1),1))</f>
        <v>#REF!</v>
      </c>
      <c r="BE175" s="12" t="e">
        <f>IF(Data!#REF!="","",IF(Data!$G175="",1,IF(ISNUMBER(MATCH(Data!#REF!,Data_Val!$D$2:$D$10,0)),0,1)))</f>
        <v>#REF!</v>
      </c>
      <c r="BF175" s="17"/>
      <c r="BG175" s="18" t="e">
        <f ca="1">IF(Data!#REF!="","",IF(ISNUMBER(Data!#REF!),IF(AND(Data!#REF!&gt;(TODAY()-(Data_Val!$M$3*365.25)),Data!#REF!&lt;=(TODAY()-(Data_Val!$M$2*365.25))),0,1),1))</f>
        <v>#REF!</v>
      </c>
      <c r="BH175" s="29" t="e">
        <f>IF(Data!#REF!="","",IF(Data!$G175="",1,IF(ISNUMBER(MATCH(Data!#REF!,Data_Val!$D$2:$D$10,0)),0,1)))</f>
        <v>#REF!</v>
      </c>
      <c r="BI175" s="13"/>
      <c r="BJ175" s="21" t="e">
        <f ca="1">IF(Data!#REF!="","",IF(ISNUMBER(Data!#REF!),IF(AND(Data!#REF!&gt;(TODAY()-(Data_Val!$M$3*365.25)),Data!#REF!&lt;=(TODAY()-(Data_Val!$M$2*365.25))),0,1),1))</f>
        <v>#REF!</v>
      </c>
      <c r="BK175" s="13" t="e">
        <f>IF(Data!#REF!="","",IF(Data!$G175="",1,IF(ISNUMBER(MATCH(Data!#REF!,Data_Val!$D$2:$D$10,0)),0,1)))</f>
        <v>#REF!</v>
      </c>
    </row>
    <row r="176" spans="1:63" x14ac:dyDescent="0.25">
      <c r="A176" s="9" t="str">
        <f>IF(Data!B176="","",IF(COUNTIFS(Data!A$1:'Data'!A176,Data!A176)&lt;=1,0,1))</f>
        <v/>
      </c>
      <c r="B176" s="9"/>
      <c r="C176" s="23" t="str">
        <f>IF(Data!C176="","",(IF(ISNUMBER(MATCH("*@*.?*",Data!C176,0)),0,1)+IF(COUNTIFS(Data!C$1:'Data'!C176,Data!C176)&gt;1,1,0)))</f>
        <v/>
      </c>
      <c r="D176" s="9" t="str">
        <f>IF(Data!B176="","",IF(ISNUMBER(Data!D176),IF(AND(Data!D176&gt;999999999,Data!D176&lt;=9999999999),IF(COUNTIFS(Data!D$1:'Data'!D176,Data!D176)&lt;=1,0,1),1),1))</f>
        <v/>
      </c>
      <c r="E176" s="9" t="str">
        <f>IF(Data!B176="","",IF(ISNUMBER(MATCH(Data!E176,Data_Val!$A$2:$A$3,0)),0,1))</f>
        <v/>
      </c>
      <c r="F176" s="9" t="str">
        <f ca="1">IF(Data!B176="","",IF(ISNUMBER(Data!F176),IF(AND(Data!F176&gt;(TODAY()-(Data_Val!$H$3*365.25)),Data!F176&lt;=(TODAY()-(Data_Val!$H$2*365.25))),0,1),1))</f>
        <v/>
      </c>
      <c r="G176" s="15" t="str">
        <f>IF(Data!B176="","",IF(AND(Data!G176="",Data!H176&lt;&gt;""),1,IF(Data!#REF!&lt;&gt;"",0,IF(ISNUMBER(MATCH(Data!G176,Data_Val!$C$2:$C$5,0)),0,1))))</f>
        <v/>
      </c>
      <c r="H176" s="15" t="str">
        <f>IF(Data!B176="","",IF(AND(Data!G176&lt;&gt;"",Data!H176=""),1,IF(Data!#REF!&lt;&gt;"",0,IF(Data!G176="",1,IF(ISNUMBER(MATCH(Data!H176,Data_Val!$D$2:$D$35,0)),0,1)))))</f>
        <v/>
      </c>
      <c r="I176" s="15" t="str">
        <f>IF(Data!B176="","",IF(Data!G176&lt;&gt;"",0,IF(ISNUMBER(MATCH(Data!#REF!,Data_Val!$E$2:$E$12,0)),0,1)))</f>
        <v/>
      </c>
      <c r="J176" s="16" t="e">
        <f>IF(OR(Data!B176="",Data!#REF!=""),"",IF(Data!#REF!="",1,0))</f>
        <v>#REF!</v>
      </c>
      <c r="K176" s="16" t="e">
        <f>IF(OR(Data!B176="",Data!#REF!=""),"",IF(Data!#REF!="",1,0))</f>
        <v>#REF!</v>
      </c>
      <c r="L176" s="16" t="e">
        <f>IF(OR(Data!B176="",Data!#REF!=""),"",IF(ISNUMBER(Data!#REF!),IF(AND(Data!#REF!&gt;Data_Val!$G$2,Data!#REF!&lt;=Data_Val!$G$3),0,1),1))</f>
        <v>#REF!</v>
      </c>
      <c r="M176" s="9" t="e">
        <f>IF(OR(Data!B176="",Data!#REF!=""),"",IF(ISNUMBER(MATCH(Data!#REF!,Data_Val!$F$1:$F$38,0)),0,1))</f>
        <v>#REF!</v>
      </c>
      <c r="N176" s="9" t="e">
        <f>IF(OR(Data!B176="",Data!#REF!=""),"",IF(Data!#REF!="",1,0))</f>
        <v>#REF!</v>
      </c>
      <c r="O176" s="17" t="e">
        <f>IF(Data!#REF!="","",IF(Data!#REF!="",1,0))</f>
        <v>#REF!</v>
      </c>
      <c r="P176" s="17" t="e">
        <f>IF(Data!#REF!="","",IF(ISNUMBER(MATCH(Data!#REF!,Data_Val!$A$2:$A$3,0)),0,1))</f>
        <v>#REF!</v>
      </c>
      <c r="Q176" s="25" t="e">
        <f ca="1">IF(Data!#REF!="","",IF(ISNUMBER(Data!#REF!),IF(AND(Data!#REF!&gt;(TODAY()-(Data_Val!$J$3*365.25)),Data!#REF!&lt;=(TODAY()-(Data_Val!$J$2*365.25))),0,1),1))</f>
        <v>#REF!</v>
      </c>
      <c r="R176" s="17" t="e">
        <f>IF(Data!#REF!="","",IF(ISNUMBER(MATCH(Data!#REF!,Data_Val!$B$2:$B$15,0)),0,1))</f>
        <v>#REF!</v>
      </c>
      <c r="S176" s="11" t="str">
        <f>IF(Data!G176="","",IF(Data!G176=Data_Val!$C$2,IF(Data!M176="",0,1),0))</f>
        <v/>
      </c>
      <c r="T176" s="11" t="str">
        <f>IF(Data!M176="","",IF(ISNUMBER(MATCH(Data!N176,Data_Val!$A$2:$A$3,0)),0,1))</f>
        <v/>
      </c>
      <c r="U176" s="11" t="str">
        <f ca="1">IF(Data!M176="","",IF(ISNUMBER(Data!O176),IF(AND(Data!O176&gt;(TODAY()-(Data_Val!$K$3*365.25)),Data!O176&lt;=(TODAY()-(Data_Val!$K$2*365.25))),0,1),1))</f>
        <v/>
      </c>
      <c r="V176" s="12" t="str">
        <f>IF(Data!G176="","",IF(Data!G176=Data_Val!$C$2,IF(Data!P176="",0,1),0))</f>
        <v/>
      </c>
      <c r="W176" s="12" t="str">
        <f>IF(Data!P176="","",IF(ISNUMBER(MATCH(Data!Q176,Data_Val!$A$2:$A$3,0)),0,1))</f>
        <v/>
      </c>
      <c r="X176" s="26" t="str">
        <f ca="1">IF(Data!P176="","",IF(ISNUMBER(Data!R176),IF(AND(Data!R176&gt;(TODAY()-(Data_Val!$L$3*365.25)),Data!R176&lt;=(TODAY()-(Data_Val!$L$2*365.25))),0,1),1))</f>
        <v/>
      </c>
      <c r="Y176" s="13" t="str">
        <f>IF(Data!$G176="","",IF(Data!$G176=Data_Val!$C$2,IF(Data!S176="",0,1),0))</f>
        <v/>
      </c>
      <c r="Z176" s="13" t="str">
        <f>IF(Data!S176="","",IF(ISNUMBER(MATCH(Data!T176,Data_Val!$A$2:$A$3,0)),0,1))</f>
        <v/>
      </c>
      <c r="AA176" s="28" t="str">
        <f ca="1">IF(Data!S176="","",IF(ISNUMBER(Data!U176),IF(AND(Data!U176&gt;(TODAY()-(Data_Val!$L$3*365.25)),Data!U176&lt;=(TODAY()-(Data_Val!$L$2*365.25))),0,1),1))</f>
        <v/>
      </c>
      <c r="AB176" s="11"/>
      <c r="AC176" s="11" t="e">
        <f>IF(Data!#REF!="","",IF(ISNUMBER(MATCH(Data!#REF!,Data_Val!$A$2:$A$3,0)),0,1))</f>
        <v>#REF!</v>
      </c>
      <c r="AD176" s="11" t="e">
        <f ca="1">IF(Data!#REF!="","",IF(ISNUMBER(Data!#REF!),IF(AND(Data!#REF!&gt;(TODAY()-(Data_Val!$L$3*365.25)),Data!#REF!&lt;=(TODAY()-(Data_Val!$L$2*365.25))),0,1),1))</f>
        <v>#REF!</v>
      </c>
      <c r="AE176" s="11" t="e">
        <f>IF(Data!#REF!="","",IF(Data!$G176="",1,IF(ISNUMBER(MATCH(Data!#REF!,Data_Val!$D$2:$D$10,0)),0,1)))</f>
        <v>#REF!</v>
      </c>
      <c r="AF176" s="12"/>
      <c r="AG176" s="12" t="e">
        <f>IF(Data!#REF!="","",IF(ISNUMBER(MATCH(Data!#REF!,Data_Val!$A$2:$A$3,0)),0,1))</f>
        <v>#REF!</v>
      </c>
      <c r="AH176" s="26" t="e">
        <f ca="1">IF(Data!#REF!="","",IF(ISNUMBER(Data!#REF!),IF(AND(Data!#REF!&gt;(TODAY()-(Data_Val!$L$3*365.25)),Data!#REF!&lt;=(TODAY()-(Data_Val!$L$2*365.25))),0,1),1))</f>
        <v>#REF!</v>
      </c>
      <c r="AI176" s="12" t="e">
        <f>IF(Data!#REF!="","",IF(Data!$G176="",1,IF(ISNUMBER(MATCH(Data!#REF!,Data_Val!$D$2:$D$10,0)),0,1)))</f>
        <v>#REF!</v>
      </c>
      <c r="AJ176" s="17"/>
      <c r="AK176" s="17" t="e">
        <f>IF(Data!#REF!="","",IF(ISNUMBER(MATCH(Data!#REF!,Data_Val!$A$2:$A$3,0)),0,1))</f>
        <v>#REF!</v>
      </c>
      <c r="AL176" s="25" t="e">
        <f ca="1">IF(Data!#REF!="","",IF(ISNUMBER(Data!#REF!),IF(AND(Data!#REF!&gt;(TODAY()-(Data_Val!$L$3*365.25)),Data!#REF!&lt;=(TODAY()-(Data_Val!$L$2*365.25))),0,1),1))</f>
        <v>#REF!</v>
      </c>
      <c r="AM176" s="17" t="e">
        <f>IF(Data!#REF!="","",IF(Data!$G176="",1,IF(ISNUMBER(MATCH(Data!#REF!,Data_Val!$D$2:$D$10,0)),0,1)))</f>
        <v>#REF!</v>
      </c>
      <c r="AN176" s="13"/>
      <c r="AO176" s="28" t="e">
        <f ca="1">IF(Data!#REF!="","",IF(ISNUMBER(Data!#REF!),IF(AND(Data!#REF!&gt;(TODAY()-(Data_Val!$I$3*365.25)),Data!#REF!&lt;=(TODAY()-(Data_Val!$I$2*365.25))),0,1),1))</f>
        <v>#REF!</v>
      </c>
      <c r="AP176" s="13" t="e">
        <f>IF(Data!#REF!="","",IF(Data!$G176="",1,IF(ISNUMBER(MATCH(Data!#REF!,Data_Val!$D$2:$D$10,0)),0,1)))</f>
        <v>#REF!</v>
      </c>
      <c r="AQ176" s="17"/>
      <c r="AR176" s="30" t="e">
        <f ca="1">IF(Data!#REF!="","",IF(ISNUMBER(Data!#REF!),IF(AND(Data!#REF!&gt;(TODAY()-(Data_Val!$I$3*365.25)),Data!#REF!&lt;=(TODAY()-(Data_Val!$I$2*365.25))),0,1),1))</f>
        <v>#REF!</v>
      </c>
      <c r="AS176" s="31" t="e">
        <f>IF(Data!#REF!="","",IF(Data!$G176="",1,IF(ISNUMBER(MATCH(Data!#REF!,Data_Val!$D$2:$D$10,0)),0,1)))</f>
        <v>#REF!</v>
      </c>
      <c r="AT176" s="11"/>
      <c r="AU176" s="11" t="e">
        <f ca="1">IF(Data!#REF!="","",IF(ISNUMBER(Data!#REF!),IF(AND(Data!#REF!&gt;(TODAY()-(Data_Val!$I$3*365.25)),Data!#REF!&lt;=(TODAY()-(Data_Val!$I$2*365.25))),0,1),1))</f>
        <v>#REF!</v>
      </c>
      <c r="AV176" s="11" t="e">
        <f>IF(Data!#REF!="","",IF(Data!$G176="",1,IF(ISNUMBER(MATCH(Data!#REF!,Data_Val!$D$2:$D$10,0)),0,1)))</f>
        <v>#REF!</v>
      </c>
      <c r="AW176" s="12"/>
      <c r="AX176" s="26" t="e">
        <f ca="1">IF(Data!#REF!="","",IF(ISNUMBER(Data!#REF!),IF(AND(Data!#REF!&gt;(TODAY()-(Data_Val!$I$3*365.25)),Data!#REF!&lt;=(TODAY()-(Data_Val!$I$2*365.25))),0,1),1))</f>
        <v>#REF!</v>
      </c>
      <c r="AY176" s="12" t="e">
        <f>IF(Data!#REF!="","",IF(Data!$G176="",1,IF(ISNUMBER(MATCH(Data!#REF!,Data_Val!$D$2:$D$10,0)),0,1)))</f>
        <v>#REF!</v>
      </c>
      <c r="AZ176" s="11"/>
      <c r="BA176" s="19" t="e">
        <f ca="1">IF(Data!#REF!="","",IF(ISNUMBER(Data!#REF!),IF(AND(Data!#REF!&gt;(TODAY()-(Data_Val!$M$3*365.25)),Data!#REF!&lt;=(TODAY()-(Data_Val!$M$2*365.25))),0,1),1))</f>
        <v>#REF!</v>
      </c>
      <c r="BB176" s="11" t="e">
        <f>IF(Data!#REF!="","",IF(Data!$G176="",1,IF(ISNUMBER(MATCH(Data!#REF!,Data_Val!$D$2:$D$10,0)),0,1)))</f>
        <v>#REF!</v>
      </c>
      <c r="BC176" s="12"/>
      <c r="BD176" s="20" t="e">
        <f ca="1">IF(Data!#REF!="","",IF(ISNUMBER(Data!#REF!),IF(AND(Data!#REF!&gt;(TODAY()-(Data_Val!$M$3*365.25)),Data!#REF!&lt;=(TODAY()-(Data_Val!$M$2*365.25))),0,1),1))</f>
        <v>#REF!</v>
      </c>
      <c r="BE176" s="12" t="e">
        <f>IF(Data!#REF!="","",IF(Data!$G176="",1,IF(ISNUMBER(MATCH(Data!#REF!,Data_Val!$D$2:$D$10,0)),0,1)))</f>
        <v>#REF!</v>
      </c>
      <c r="BF176" s="17"/>
      <c r="BG176" s="18" t="e">
        <f ca="1">IF(Data!#REF!="","",IF(ISNUMBER(Data!#REF!),IF(AND(Data!#REF!&gt;(TODAY()-(Data_Val!$M$3*365.25)),Data!#REF!&lt;=(TODAY()-(Data_Val!$M$2*365.25))),0,1),1))</f>
        <v>#REF!</v>
      </c>
      <c r="BH176" s="29" t="e">
        <f>IF(Data!#REF!="","",IF(Data!$G176="",1,IF(ISNUMBER(MATCH(Data!#REF!,Data_Val!$D$2:$D$10,0)),0,1)))</f>
        <v>#REF!</v>
      </c>
      <c r="BI176" s="13"/>
      <c r="BJ176" s="21" t="e">
        <f ca="1">IF(Data!#REF!="","",IF(ISNUMBER(Data!#REF!),IF(AND(Data!#REF!&gt;(TODAY()-(Data_Val!$M$3*365.25)),Data!#REF!&lt;=(TODAY()-(Data_Val!$M$2*365.25))),0,1),1))</f>
        <v>#REF!</v>
      </c>
      <c r="BK176" s="13" t="e">
        <f>IF(Data!#REF!="","",IF(Data!$G176="",1,IF(ISNUMBER(MATCH(Data!#REF!,Data_Val!$D$2:$D$10,0)),0,1)))</f>
        <v>#REF!</v>
      </c>
    </row>
    <row r="177" spans="1:63" x14ac:dyDescent="0.25">
      <c r="A177" s="9" t="str">
        <f>IF(Data!B177="","",IF(COUNTIFS(Data!A$1:'Data'!A177,Data!A177)&lt;=1,0,1))</f>
        <v/>
      </c>
      <c r="B177" s="9"/>
      <c r="C177" s="23" t="str">
        <f>IF(Data!C177="","",(IF(ISNUMBER(MATCH("*@*.?*",Data!C177,0)),0,1)+IF(COUNTIFS(Data!C$1:'Data'!C177,Data!C177)&gt;1,1,0)))</f>
        <v/>
      </c>
      <c r="D177" s="9" t="str">
        <f>IF(Data!B177="","",IF(ISNUMBER(Data!D177),IF(AND(Data!D177&gt;999999999,Data!D177&lt;=9999999999),IF(COUNTIFS(Data!D$1:'Data'!D177,Data!D177)&lt;=1,0,1),1),1))</f>
        <v/>
      </c>
      <c r="E177" s="9" t="str">
        <f>IF(Data!B177="","",IF(ISNUMBER(MATCH(Data!E177,Data_Val!$A$2:$A$3,0)),0,1))</f>
        <v/>
      </c>
      <c r="F177" s="9" t="str">
        <f ca="1">IF(Data!B177="","",IF(ISNUMBER(Data!F177),IF(AND(Data!F177&gt;(TODAY()-(Data_Val!$H$3*365.25)),Data!F177&lt;=(TODAY()-(Data_Val!$H$2*365.25))),0,1),1))</f>
        <v/>
      </c>
      <c r="G177" s="15" t="str">
        <f>IF(Data!B177="","",IF(AND(Data!G177="",Data!H177&lt;&gt;""),1,IF(Data!#REF!&lt;&gt;"",0,IF(ISNUMBER(MATCH(Data!G177,Data_Val!$C$2:$C$5,0)),0,1))))</f>
        <v/>
      </c>
      <c r="H177" s="15" t="str">
        <f>IF(Data!B177="","",IF(AND(Data!G177&lt;&gt;"",Data!H177=""),1,IF(Data!#REF!&lt;&gt;"",0,IF(Data!G177="",1,IF(ISNUMBER(MATCH(Data!H177,Data_Val!$D$2:$D$35,0)),0,1)))))</f>
        <v/>
      </c>
      <c r="I177" s="15" t="str">
        <f>IF(Data!B177="","",IF(Data!G177&lt;&gt;"",0,IF(ISNUMBER(MATCH(Data!#REF!,Data_Val!$E$2:$E$12,0)),0,1)))</f>
        <v/>
      </c>
      <c r="J177" s="16" t="e">
        <f>IF(OR(Data!B177="",Data!#REF!=""),"",IF(Data!#REF!="",1,0))</f>
        <v>#REF!</v>
      </c>
      <c r="K177" s="16" t="e">
        <f>IF(OR(Data!B177="",Data!#REF!=""),"",IF(Data!#REF!="",1,0))</f>
        <v>#REF!</v>
      </c>
      <c r="L177" s="16" t="e">
        <f>IF(OR(Data!B177="",Data!#REF!=""),"",IF(ISNUMBER(Data!#REF!),IF(AND(Data!#REF!&gt;Data_Val!$G$2,Data!#REF!&lt;=Data_Val!$G$3),0,1),1))</f>
        <v>#REF!</v>
      </c>
      <c r="M177" s="9" t="e">
        <f>IF(OR(Data!B177="",Data!#REF!=""),"",IF(ISNUMBER(MATCH(Data!#REF!,Data_Val!$F$1:$F$38,0)),0,1))</f>
        <v>#REF!</v>
      </c>
      <c r="N177" s="9" t="e">
        <f>IF(OR(Data!B177="",Data!#REF!=""),"",IF(Data!#REF!="",1,0))</f>
        <v>#REF!</v>
      </c>
      <c r="O177" s="17" t="e">
        <f>IF(Data!#REF!="","",IF(Data!#REF!="",1,0))</f>
        <v>#REF!</v>
      </c>
      <c r="P177" s="17" t="e">
        <f>IF(Data!#REF!="","",IF(ISNUMBER(MATCH(Data!#REF!,Data_Val!$A$2:$A$3,0)),0,1))</f>
        <v>#REF!</v>
      </c>
      <c r="Q177" s="25" t="e">
        <f ca="1">IF(Data!#REF!="","",IF(ISNUMBER(Data!#REF!),IF(AND(Data!#REF!&gt;(TODAY()-(Data_Val!$J$3*365.25)),Data!#REF!&lt;=(TODAY()-(Data_Val!$J$2*365.25))),0,1),1))</f>
        <v>#REF!</v>
      </c>
      <c r="R177" s="17" t="e">
        <f>IF(Data!#REF!="","",IF(ISNUMBER(MATCH(Data!#REF!,Data_Val!$B$2:$B$15,0)),0,1))</f>
        <v>#REF!</v>
      </c>
      <c r="S177" s="11" t="str">
        <f>IF(Data!G177="","",IF(Data!G177=Data_Val!$C$2,IF(Data!M177="",0,1),0))</f>
        <v/>
      </c>
      <c r="T177" s="11" t="str">
        <f>IF(Data!M177="","",IF(ISNUMBER(MATCH(Data!N177,Data_Val!$A$2:$A$3,0)),0,1))</f>
        <v/>
      </c>
      <c r="U177" s="11" t="str">
        <f ca="1">IF(Data!M177="","",IF(ISNUMBER(Data!O177),IF(AND(Data!O177&gt;(TODAY()-(Data_Val!$K$3*365.25)),Data!O177&lt;=(TODAY()-(Data_Val!$K$2*365.25))),0,1),1))</f>
        <v/>
      </c>
      <c r="V177" s="12" t="str">
        <f>IF(Data!G177="","",IF(Data!G177=Data_Val!$C$2,IF(Data!P177="",0,1),0))</f>
        <v/>
      </c>
      <c r="W177" s="12" t="str">
        <f>IF(Data!P177="","",IF(ISNUMBER(MATCH(Data!Q177,Data_Val!$A$2:$A$3,0)),0,1))</f>
        <v/>
      </c>
      <c r="X177" s="26" t="str">
        <f ca="1">IF(Data!P177="","",IF(ISNUMBER(Data!R177),IF(AND(Data!R177&gt;(TODAY()-(Data_Val!$L$3*365.25)),Data!R177&lt;=(TODAY()-(Data_Val!$L$2*365.25))),0,1),1))</f>
        <v/>
      </c>
      <c r="Y177" s="13" t="str">
        <f>IF(Data!$G177="","",IF(Data!$G177=Data_Val!$C$2,IF(Data!S177="",0,1),0))</f>
        <v/>
      </c>
      <c r="Z177" s="13" t="str">
        <f>IF(Data!S177="","",IF(ISNUMBER(MATCH(Data!T177,Data_Val!$A$2:$A$3,0)),0,1))</f>
        <v/>
      </c>
      <c r="AA177" s="28" t="str">
        <f ca="1">IF(Data!S177="","",IF(ISNUMBER(Data!U177),IF(AND(Data!U177&gt;(TODAY()-(Data_Val!$L$3*365.25)),Data!U177&lt;=(TODAY()-(Data_Val!$L$2*365.25))),0,1),1))</f>
        <v/>
      </c>
      <c r="AB177" s="11"/>
      <c r="AC177" s="11" t="e">
        <f>IF(Data!#REF!="","",IF(ISNUMBER(MATCH(Data!#REF!,Data_Val!$A$2:$A$3,0)),0,1))</f>
        <v>#REF!</v>
      </c>
      <c r="AD177" s="11" t="e">
        <f ca="1">IF(Data!#REF!="","",IF(ISNUMBER(Data!#REF!),IF(AND(Data!#REF!&gt;(TODAY()-(Data_Val!$L$3*365.25)),Data!#REF!&lt;=(TODAY()-(Data_Val!$L$2*365.25))),0,1),1))</f>
        <v>#REF!</v>
      </c>
      <c r="AE177" s="11" t="e">
        <f>IF(Data!#REF!="","",IF(Data!$G177="",1,IF(ISNUMBER(MATCH(Data!#REF!,Data_Val!$D$2:$D$10,0)),0,1)))</f>
        <v>#REF!</v>
      </c>
      <c r="AF177" s="12"/>
      <c r="AG177" s="12" t="e">
        <f>IF(Data!#REF!="","",IF(ISNUMBER(MATCH(Data!#REF!,Data_Val!$A$2:$A$3,0)),0,1))</f>
        <v>#REF!</v>
      </c>
      <c r="AH177" s="26" t="e">
        <f ca="1">IF(Data!#REF!="","",IF(ISNUMBER(Data!#REF!),IF(AND(Data!#REF!&gt;(TODAY()-(Data_Val!$L$3*365.25)),Data!#REF!&lt;=(TODAY()-(Data_Val!$L$2*365.25))),0,1),1))</f>
        <v>#REF!</v>
      </c>
      <c r="AI177" s="12" t="e">
        <f>IF(Data!#REF!="","",IF(Data!$G177="",1,IF(ISNUMBER(MATCH(Data!#REF!,Data_Val!$D$2:$D$10,0)),0,1)))</f>
        <v>#REF!</v>
      </c>
      <c r="AJ177" s="17"/>
      <c r="AK177" s="17" t="e">
        <f>IF(Data!#REF!="","",IF(ISNUMBER(MATCH(Data!#REF!,Data_Val!$A$2:$A$3,0)),0,1))</f>
        <v>#REF!</v>
      </c>
      <c r="AL177" s="25" t="e">
        <f ca="1">IF(Data!#REF!="","",IF(ISNUMBER(Data!#REF!),IF(AND(Data!#REF!&gt;(TODAY()-(Data_Val!$L$3*365.25)),Data!#REF!&lt;=(TODAY()-(Data_Val!$L$2*365.25))),0,1),1))</f>
        <v>#REF!</v>
      </c>
      <c r="AM177" s="17" t="e">
        <f>IF(Data!#REF!="","",IF(Data!$G177="",1,IF(ISNUMBER(MATCH(Data!#REF!,Data_Val!$D$2:$D$10,0)),0,1)))</f>
        <v>#REF!</v>
      </c>
      <c r="AN177" s="13"/>
      <c r="AO177" s="28" t="e">
        <f ca="1">IF(Data!#REF!="","",IF(ISNUMBER(Data!#REF!),IF(AND(Data!#REF!&gt;(TODAY()-(Data_Val!$I$3*365.25)),Data!#REF!&lt;=(TODAY()-(Data_Val!$I$2*365.25))),0,1),1))</f>
        <v>#REF!</v>
      </c>
      <c r="AP177" s="13" t="e">
        <f>IF(Data!#REF!="","",IF(Data!$G177="",1,IF(ISNUMBER(MATCH(Data!#REF!,Data_Val!$D$2:$D$10,0)),0,1)))</f>
        <v>#REF!</v>
      </c>
      <c r="AQ177" s="17"/>
      <c r="AR177" s="30" t="e">
        <f ca="1">IF(Data!#REF!="","",IF(ISNUMBER(Data!#REF!),IF(AND(Data!#REF!&gt;(TODAY()-(Data_Val!$I$3*365.25)),Data!#REF!&lt;=(TODAY()-(Data_Val!$I$2*365.25))),0,1),1))</f>
        <v>#REF!</v>
      </c>
      <c r="AS177" s="31" t="e">
        <f>IF(Data!#REF!="","",IF(Data!$G177="",1,IF(ISNUMBER(MATCH(Data!#REF!,Data_Val!$D$2:$D$10,0)),0,1)))</f>
        <v>#REF!</v>
      </c>
      <c r="AT177" s="11"/>
      <c r="AU177" s="11" t="e">
        <f ca="1">IF(Data!#REF!="","",IF(ISNUMBER(Data!#REF!),IF(AND(Data!#REF!&gt;(TODAY()-(Data_Val!$I$3*365.25)),Data!#REF!&lt;=(TODAY()-(Data_Val!$I$2*365.25))),0,1),1))</f>
        <v>#REF!</v>
      </c>
      <c r="AV177" s="11" t="e">
        <f>IF(Data!#REF!="","",IF(Data!$G177="",1,IF(ISNUMBER(MATCH(Data!#REF!,Data_Val!$D$2:$D$10,0)),0,1)))</f>
        <v>#REF!</v>
      </c>
      <c r="AW177" s="12"/>
      <c r="AX177" s="26" t="e">
        <f ca="1">IF(Data!#REF!="","",IF(ISNUMBER(Data!#REF!),IF(AND(Data!#REF!&gt;(TODAY()-(Data_Val!$I$3*365.25)),Data!#REF!&lt;=(TODAY()-(Data_Val!$I$2*365.25))),0,1),1))</f>
        <v>#REF!</v>
      </c>
      <c r="AY177" s="12" t="e">
        <f>IF(Data!#REF!="","",IF(Data!$G177="",1,IF(ISNUMBER(MATCH(Data!#REF!,Data_Val!$D$2:$D$10,0)),0,1)))</f>
        <v>#REF!</v>
      </c>
      <c r="AZ177" s="11"/>
      <c r="BA177" s="19" t="e">
        <f ca="1">IF(Data!#REF!="","",IF(ISNUMBER(Data!#REF!),IF(AND(Data!#REF!&gt;(TODAY()-(Data_Val!$M$3*365.25)),Data!#REF!&lt;=(TODAY()-(Data_Val!$M$2*365.25))),0,1),1))</f>
        <v>#REF!</v>
      </c>
      <c r="BB177" s="11" t="e">
        <f>IF(Data!#REF!="","",IF(Data!$G177="",1,IF(ISNUMBER(MATCH(Data!#REF!,Data_Val!$D$2:$D$10,0)),0,1)))</f>
        <v>#REF!</v>
      </c>
      <c r="BC177" s="12"/>
      <c r="BD177" s="20" t="e">
        <f ca="1">IF(Data!#REF!="","",IF(ISNUMBER(Data!#REF!),IF(AND(Data!#REF!&gt;(TODAY()-(Data_Val!$M$3*365.25)),Data!#REF!&lt;=(TODAY()-(Data_Val!$M$2*365.25))),0,1),1))</f>
        <v>#REF!</v>
      </c>
      <c r="BE177" s="12" t="e">
        <f>IF(Data!#REF!="","",IF(Data!$G177="",1,IF(ISNUMBER(MATCH(Data!#REF!,Data_Val!$D$2:$D$10,0)),0,1)))</f>
        <v>#REF!</v>
      </c>
      <c r="BF177" s="17"/>
      <c r="BG177" s="18" t="e">
        <f ca="1">IF(Data!#REF!="","",IF(ISNUMBER(Data!#REF!),IF(AND(Data!#REF!&gt;(TODAY()-(Data_Val!$M$3*365.25)),Data!#REF!&lt;=(TODAY()-(Data_Val!$M$2*365.25))),0,1),1))</f>
        <v>#REF!</v>
      </c>
      <c r="BH177" s="29" t="e">
        <f>IF(Data!#REF!="","",IF(Data!$G177="",1,IF(ISNUMBER(MATCH(Data!#REF!,Data_Val!$D$2:$D$10,0)),0,1)))</f>
        <v>#REF!</v>
      </c>
      <c r="BI177" s="13"/>
      <c r="BJ177" s="21" t="e">
        <f ca="1">IF(Data!#REF!="","",IF(ISNUMBER(Data!#REF!),IF(AND(Data!#REF!&gt;(TODAY()-(Data_Val!$M$3*365.25)),Data!#REF!&lt;=(TODAY()-(Data_Val!$M$2*365.25))),0,1),1))</f>
        <v>#REF!</v>
      </c>
      <c r="BK177" s="13" t="e">
        <f>IF(Data!#REF!="","",IF(Data!$G177="",1,IF(ISNUMBER(MATCH(Data!#REF!,Data_Val!$D$2:$D$10,0)),0,1)))</f>
        <v>#REF!</v>
      </c>
    </row>
    <row r="178" spans="1:63" x14ac:dyDescent="0.25">
      <c r="A178" s="9" t="str">
        <f>IF(Data!B178="","",IF(COUNTIFS(Data!A$1:'Data'!A178,Data!A178)&lt;=1,0,1))</f>
        <v/>
      </c>
      <c r="B178" s="9"/>
      <c r="C178" s="23" t="str">
        <f>IF(Data!C178="","",(IF(ISNUMBER(MATCH("*@*.?*",Data!C178,0)),0,1)+IF(COUNTIFS(Data!C$1:'Data'!C178,Data!C178)&gt;1,1,0)))</f>
        <v/>
      </c>
      <c r="D178" s="9" t="str">
        <f>IF(Data!B178="","",IF(ISNUMBER(Data!D178),IF(AND(Data!D178&gt;999999999,Data!D178&lt;=9999999999),IF(COUNTIFS(Data!D$1:'Data'!D178,Data!D178)&lt;=1,0,1),1),1))</f>
        <v/>
      </c>
      <c r="E178" s="9" t="str">
        <f>IF(Data!B178="","",IF(ISNUMBER(MATCH(Data!E178,Data_Val!$A$2:$A$3,0)),0,1))</f>
        <v/>
      </c>
      <c r="F178" s="9" t="str">
        <f ca="1">IF(Data!B178="","",IF(ISNUMBER(Data!F178),IF(AND(Data!F178&gt;(TODAY()-(Data_Val!$H$3*365.25)),Data!F178&lt;=(TODAY()-(Data_Val!$H$2*365.25))),0,1),1))</f>
        <v/>
      </c>
      <c r="G178" s="15" t="str">
        <f>IF(Data!B178="","",IF(AND(Data!G178="",Data!H178&lt;&gt;""),1,IF(Data!#REF!&lt;&gt;"",0,IF(ISNUMBER(MATCH(Data!G178,Data_Val!$C$2:$C$5,0)),0,1))))</f>
        <v/>
      </c>
      <c r="H178" s="15" t="str">
        <f>IF(Data!B178="","",IF(AND(Data!G178&lt;&gt;"",Data!H178=""),1,IF(Data!#REF!&lt;&gt;"",0,IF(Data!G178="",1,IF(ISNUMBER(MATCH(Data!H178,Data_Val!$D$2:$D$35,0)),0,1)))))</f>
        <v/>
      </c>
      <c r="I178" s="15" t="str">
        <f>IF(Data!B178="","",IF(Data!G178&lt;&gt;"",0,IF(ISNUMBER(MATCH(Data!#REF!,Data_Val!$E$2:$E$12,0)),0,1)))</f>
        <v/>
      </c>
      <c r="J178" s="16" t="e">
        <f>IF(OR(Data!B178="",Data!#REF!=""),"",IF(Data!#REF!="",1,0))</f>
        <v>#REF!</v>
      </c>
      <c r="K178" s="16" t="e">
        <f>IF(OR(Data!B178="",Data!#REF!=""),"",IF(Data!#REF!="",1,0))</f>
        <v>#REF!</v>
      </c>
      <c r="L178" s="16" t="e">
        <f>IF(OR(Data!B178="",Data!#REF!=""),"",IF(ISNUMBER(Data!#REF!),IF(AND(Data!#REF!&gt;Data_Val!$G$2,Data!#REF!&lt;=Data_Val!$G$3),0,1),1))</f>
        <v>#REF!</v>
      </c>
      <c r="M178" s="9" t="e">
        <f>IF(OR(Data!B178="",Data!#REF!=""),"",IF(ISNUMBER(MATCH(Data!#REF!,Data_Val!$F$1:$F$38,0)),0,1))</f>
        <v>#REF!</v>
      </c>
      <c r="N178" s="9" t="e">
        <f>IF(OR(Data!B178="",Data!#REF!=""),"",IF(Data!#REF!="",1,0))</f>
        <v>#REF!</v>
      </c>
      <c r="O178" s="17" t="e">
        <f>IF(Data!#REF!="","",IF(Data!#REF!="",1,0))</f>
        <v>#REF!</v>
      </c>
      <c r="P178" s="17" t="e">
        <f>IF(Data!#REF!="","",IF(ISNUMBER(MATCH(Data!#REF!,Data_Val!$A$2:$A$3,0)),0,1))</f>
        <v>#REF!</v>
      </c>
      <c r="Q178" s="25" t="e">
        <f ca="1">IF(Data!#REF!="","",IF(ISNUMBER(Data!#REF!),IF(AND(Data!#REF!&gt;(TODAY()-(Data_Val!$J$3*365.25)),Data!#REF!&lt;=(TODAY()-(Data_Val!$J$2*365.25))),0,1),1))</f>
        <v>#REF!</v>
      </c>
      <c r="R178" s="17" t="e">
        <f>IF(Data!#REF!="","",IF(ISNUMBER(MATCH(Data!#REF!,Data_Val!$B$2:$B$15,0)),0,1))</f>
        <v>#REF!</v>
      </c>
      <c r="S178" s="11" t="str">
        <f>IF(Data!G178="","",IF(Data!G178=Data_Val!$C$2,IF(Data!M178="",0,1),0))</f>
        <v/>
      </c>
      <c r="T178" s="11" t="str">
        <f>IF(Data!M178="","",IF(ISNUMBER(MATCH(Data!N178,Data_Val!$A$2:$A$3,0)),0,1))</f>
        <v/>
      </c>
      <c r="U178" s="11" t="str">
        <f ca="1">IF(Data!M178="","",IF(ISNUMBER(Data!O178),IF(AND(Data!O178&gt;(TODAY()-(Data_Val!$K$3*365.25)),Data!O178&lt;=(TODAY()-(Data_Val!$K$2*365.25))),0,1),1))</f>
        <v/>
      </c>
      <c r="V178" s="12" t="str">
        <f>IF(Data!G178="","",IF(Data!G178=Data_Val!$C$2,IF(Data!P178="",0,1),0))</f>
        <v/>
      </c>
      <c r="W178" s="12" t="str">
        <f>IF(Data!P178="","",IF(ISNUMBER(MATCH(Data!Q178,Data_Val!$A$2:$A$3,0)),0,1))</f>
        <v/>
      </c>
      <c r="X178" s="26" t="str">
        <f ca="1">IF(Data!P178="","",IF(ISNUMBER(Data!R178),IF(AND(Data!R178&gt;(TODAY()-(Data_Val!$L$3*365.25)),Data!R178&lt;=(TODAY()-(Data_Val!$L$2*365.25))),0,1),1))</f>
        <v/>
      </c>
      <c r="Y178" s="13" t="str">
        <f>IF(Data!$G178="","",IF(Data!$G178=Data_Val!$C$2,IF(Data!S178="",0,1),0))</f>
        <v/>
      </c>
      <c r="Z178" s="13" t="str">
        <f>IF(Data!S178="","",IF(ISNUMBER(MATCH(Data!T178,Data_Val!$A$2:$A$3,0)),0,1))</f>
        <v/>
      </c>
      <c r="AA178" s="28" t="str">
        <f ca="1">IF(Data!S178="","",IF(ISNUMBER(Data!U178),IF(AND(Data!U178&gt;(TODAY()-(Data_Val!$L$3*365.25)),Data!U178&lt;=(TODAY()-(Data_Val!$L$2*365.25))),0,1),1))</f>
        <v/>
      </c>
      <c r="AB178" s="11"/>
      <c r="AC178" s="11" t="e">
        <f>IF(Data!#REF!="","",IF(ISNUMBER(MATCH(Data!#REF!,Data_Val!$A$2:$A$3,0)),0,1))</f>
        <v>#REF!</v>
      </c>
      <c r="AD178" s="11" t="e">
        <f ca="1">IF(Data!#REF!="","",IF(ISNUMBER(Data!#REF!),IF(AND(Data!#REF!&gt;(TODAY()-(Data_Val!$L$3*365.25)),Data!#REF!&lt;=(TODAY()-(Data_Val!$L$2*365.25))),0,1),1))</f>
        <v>#REF!</v>
      </c>
      <c r="AE178" s="11" t="e">
        <f>IF(Data!#REF!="","",IF(Data!$G178="",1,IF(ISNUMBER(MATCH(Data!#REF!,Data_Val!$D$2:$D$10,0)),0,1)))</f>
        <v>#REF!</v>
      </c>
      <c r="AF178" s="12"/>
      <c r="AG178" s="12" t="e">
        <f>IF(Data!#REF!="","",IF(ISNUMBER(MATCH(Data!#REF!,Data_Val!$A$2:$A$3,0)),0,1))</f>
        <v>#REF!</v>
      </c>
      <c r="AH178" s="26" t="e">
        <f ca="1">IF(Data!#REF!="","",IF(ISNUMBER(Data!#REF!),IF(AND(Data!#REF!&gt;(TODAY()-(Data_Val!$L$3*365.25)),Data!#REF!&lt;=(TODAY()-(Data_Val!$L$2*365.25))),0,1),1))</f>
        <v>#REF!</v>
      </c>
      <c r="AI178" s="12" t="e">
        <f>IF(Data!#REF!="","",IF(Data!$G178="",1,IF(ISNUMBER(MATCH(Data!#REF!,Data_Val!$D$2:$D$10,0)),0,1)))</f>
        <v>#REF!</v>
      </c>
      <c r="AJ178" s="17"/>
      <c r="AK178" s="17" t="e">
        <f>IF(Data!#REF!="","",IF(ISNUMBER(MATCH(Data!#REF!,Data_Val!$A$2:$A$3,0)),0,1))</f>
        <v>#REF!</v>
      </c>
      <c r="AL178" s="25" t="e">
        <f ca="1">IF(Data!#REF!="","",IF(ISNUMBER(Data!#REF!),IF(AND(Data!#REF!&gt;(TODAY()-(Data_Val!$L$3*365.25)),Data!#REF!&lt;=(TODAY()-(Data_Val!$L$2*365.25))),0,1),1))</f>
        <v>#REF!</v>
      </c>
      <c r="AM178" s="17" t="e">
        <f>IF(Data!#REF!="","",IF(Data!$G178="",1,IF(ISNUMBER(MATCH(Data!#REF!,Data_Val!$D$2:$D$10,0)),0,1)))</f>
        <v>#REF!</v>
      </c>
      <c r="AN178" s="13"/>
      <c r="AO178" s="28" t="e">
        <f ca="1">IF(Data!#REF!="","",IF(ISNUMBER(Data!#REF!),IF(AND(Data!#REF!&gt;(TODAY()-(Data_Val!$I$3*365.25)),Data!#REF!&lt;=(TODAY()-(Data_Val!$I$2*365.25))),0,1),1))</f>
        <v>#REF!</v>
      </c>
      <c r="AP178" s="13" t="e">
        <f>IF(Data!#REF!="","",IF(Data!$G178="",1,IF(ISNUMBER(MATCH(Data!#REF!,Data_Val!$D$2:$D$10,0)),0,1)))</f>
        <v>#REF!</v>
      </c>
      <c r="AQ178" s="17"/>
      <c r="AR178" s="30" t="e">
        <f ca="1">IF(Data!#REF!="","",IF(ISNUMBER(Data!#REF!),IF(AND(Data!#REF!&gt;(TODAY()-(Data_Val!$I$3*365.25)),Data!#REF!&lt;=(TODAY()-(Data_Val!$I$2*365.25))),0,1),1))</f>
        <v>#REF!</v>
      </c>
      <c r="AS178" s="31" t="e">
        <f>IF(Data!#REF!="","",IF(Data!$G178="",1,IF(ISNUMBER(MATCH(Data!#REF!,Data_Val!$D$2:$D$10,0)),0,1)))</f>
        <v>#REF!</v>
      </c>
      <c r="AT178" s="11"/>
      <c r="AU178" s="11" t="e">
        <f ca="1">IF(Data!#REF!="","",IF(ISNUMBER(Data!#REF!),IF(AND(Data!#REF!&gt;(TODAY()-(Data_Val!$I$3*365.25)),Data!#REF!&lt;=(TODAY()-(Data_Val!$I$2*365.25))),0,1),1))</f>
        <v>#REF!</v>
      </c>
      <c r="AV178" s="11" t="e">
        <f>IF(Data!#REF!="","",IF(Data!$G178="",1,IF(ISNUMBER(MATCH(Data!#REF!,Data_Val!$D$2:$D$10,0)),0,1)))</f>
        <v>#REF!</v>
      </c>
      <c r="AW178" s="12"/>
      <c r="AX178" s="26" t="e">
        <f ca="1">IF(Data!#REF!="","",IF(ISNUMBER(Data!#REF!),IF(AND(Data!#REF!&gt;(TODAY()-(Data_Val!$I$3*365.25)),Data!#REF!&lt;=(TODAY()-(Data_Val!$I$2*365.25))),0,1),1))</f>
        <v>#REF!</v>
      </c>
      <c r="AY178" s="12" t="e">
        <f>IF(Data!#REF!="","",IF(Data!$G178="",1,IF(ISNUMBER(MATCH(Data!#REF!,Data_Val!$D$2:$D$10,0)),0,1)))</f>
        <v>#REF!</v>
      </c>
      <c r="AZ178" s="11"/>
      <c r="BA178" s="19" t="e">
        <f ca="1">IF(Data!#REF!="","",IF(ISNUMBER(Data!#REF!),IF(AND(Data!#REF!&gt;(TODAY()-(Data_Val!$M$3*365.25)),Data!#REF!&lt;=(TODAY()-(Data_Val!$M$2*365.25))),0,1),1))</f>
        <v>#REF!</v>
      </c>
      <c r="BB178" s="11" t="e">
        <f>IF(Data!#REF!="","",IF(Data!$G178="",1,IF(ISNUMBER(MATCH(Data!#REF!,Data_Val!$D$2:$D$10,0)),0,1)))</f>
        <v>#REF!</v>
      </c>
      <c r="BC178" s="12"/>
      <c r="BD178" s="20" t="e">
        <f ca="1">IF(Data!#REF!="","",IF(ISNUMBER(Data!#REF!),IF(AND(Data!#REF!&gt;(TODAY()-(Data_Val!$M$3*365.25)),Data!#REF!&lt;=(TODAY()-(Data_Val!$M$2*365.25))),0,1),1))</f>
        <v>#REF!</v>
      </c>
      <c r="BE178" s="12" t="e">
        <f>IF(Data!#REF!="","",IF(Data!$G178="",1,IF(ISNUMBER(MATCH(Data!#REF!,Data_Val!$D$2:$D$10,0)),0,1)))</f>
        <v>#REF!</v>
      </c>
      <c r="BF178" s="17"/>
      <c r="BG178" s="18" t="e">
        <f ca="1">IF(Data!#REF!="","",IF(ISNUMBER(Data!#REF!),IF(AND(Data!#REF!&gt;(TODAY()-(Data_Val!$M$3*365.25)),Data!#REF!&lt;=(TODAY()-(Data_Val!$M$2*365.25))),0,1),1))</f>
        <v>#REF!</v>
      </c>
      <c r="BH178" s="29" t="e">
        <f>IF(Data!#REF!="","",IF(Data!$G178="",1,IF(ISNUMBER(MATCH(Data!#REF!,Data_Val!$D$2:$D$10,0)),0,1)))</f>
        <v>#REF!</v>
      </c>
      <c r="BI178" s="13"/>
      <c r="BJ178" s="21" t="e">
        <f ca="1">IF(Data!#REF!="","",IF(ISNUMBER(Data!#REF!),IF(AND(Data!#REF!&gt;(TODAY()-(Data_Val!$M$3*365.25)),Data!#REF!&lt;=(TODAY()-(Data_Val!$M$2*365.25))),0,1),1))</f>
        <v>#REF!</v>
      </c>
      <c r="BK178" s="13" t="e">
        <f>IF(Data!#REF!="","",IF(Data!$G178="",1,IF(ISNUMBER(MATCH(Data!#REF!,Data_Val!$D$2:$D$10,0)),0,1)))</f>
        <v>#REF!</v>
      </c>
    </row>
    <row r="179" spans="1:63" x14ac:dyDescent="0.25">
      <c r="A179" s="9" t="str">
        <f>IF(Data!B179="","",IF(COUNTIFS(Data!A$1:'Data'!A179,Data!A179)&lt;=1,0,1))</f>
        <v/>
      </c>
      <c r="B179" s="9"/>
      <c r="C179" s="23" t="str">
        <f>IF(Data!C179="","",(IF(ISNUMBER(MATCH("*@*.?*",Data!C179,0)),0,1)+IF(COUNTIFS(Data!C$1:'Data'!C179,Data!C179)&gt;1,1,0)))</f>
        <v/>
      </c>
      <c r="D179" s="9" t="str">
        <f>IF(Data!B179="","",IF(ISNUMBER(Data!D179),IF(AND(Data!D179&gt;999999999,Data!D179&lt;=9999999999),IF(COUNTIFS(Data!D$1:'Data'!D179,Data!D179)&lt;=1,0,1),1),1))</f>
        <v/>
      </c>
      <c r="E179" s="9" t="str">
        <f>IF(Data!B179="","",IF(ISNUMBER(MATCH(Data!E179,Data_Val!$A$2:$A$3,0)),0,1))</f>
        <v/>
      </c>
      <c r="F179" s="9" t="str">
        <f ca="1">IF(Data!B179="","",IF(ISNUMBER(Data!F179),IF(AND(Data!F179&gt;(TODAY()-(Data_Val!$H$3*365.25)),Data!F179&lt;=(TODAY()-(Data_Val!$H$2*365.25))),0,1),1))</f>
        <v/>
      </c>
      <c r="G179" s="15" t="str">
        <f>IF(Data!B179="","",IF(AND(Data!G179="",Data!H179&lt;&gt;""),1,IF(Data!#REF!&lt;&gt;"",0,IF(ISNUMBER(MATCH(Data!G179,Data_Val!$C$2:$C$5,0)),0,1))))</f>
        <v/>
      </c>
      <c r="H179" s="15" t="str">
        <f>IF(Data!B179="","",IF(AND(Data!G179&lt;&gt;"",Data!H179=""),1,IF(Data!#REF!&lt;&gt;"",0,IF(Data!G179="",1,IF(ISNUMBER(MATCH(Data!H179,Data_Val!$D$2:$D$35,0)),0,1)))))</f>
        <v/>
      </c>
      <c r="I179" s="15" t="str">
        <f>IF(Data!B179="","",IF(Data!G179&lt;&gt;"",0,IF(ISNUMBER(MATCH(Data!#REF!,Data_Val!$E$2:$E$12,0)),0,1)))</f>
        <v/>
      </c>
      <c r="J179" s="16" t="e">
        <f>IF(OR(Data!B179="",Data!#REF!=""),"",IF(Data!#REF!="",1,0))</f>
        <v>#REF!</v>
      </c>
      <c r="K179" s="16" t="e">
        <f>IF(OR(Data!B179="",Data!#REF!=""),"",IF(Data!#REF!="",1,0))</f>
        <v>#REF!</v>
      </c>
      <c r="L179" s="16" t="e">
        <f>IF(OR(Data!B179="",Data!#REF!=""),"",IF(ISNUMBER(Data!#REF!),IF(AND(Data!#REF!&gt;Data_Val!$G$2,Data!#REF!&lt;=Data_Val!$G$3),0,1),1))</f>
        <v>#REF!</v>
      </c>
      <c r="M179" s="9" t="e">
        <f>IF(OR(Data!B179="",Data!#REF!=""),"",IF(ISNUMBER(MATCH(Data!#REF!,Data_Val!$F$1:$F$38,0)),0,1))</f>
        <v>#REF!</v>
      </c>
      <c r="N179" s="9" t="e">
        <f>IF(OR(Data!B179="",Data!#REF!=""),"",IF(Data!#REF!="",1,0))</f>
        <v>#REF!</v>
      </c>
      <c r="O179" s="17" t="e">
        <f>IF(Data!#REF!="","",IF(Data!#REF!="",1,0))</f>
        <v>#REF!</v>
      </c>
      <c r="P179" s="17" t="e">
        <f>IF(Data!#REF!="","",IF(ISNUMBER(MATCH(Data!#REF!,Data_Val!$A$2:$A$3,0)),0,1))</f>
        <v>#REF!</v>
      </c>
      <c r="Q179" s="25" t="e">
        <f ca="1">IF(Data!#REF!="","",IF(ISNUMBER(Data!#REF!),IF(AND(Data!#REF!&gt;(TODAY()-(Data_Val!$J$3*365.25)),Data!#REF!&lt;=(TODAY()-(Data_Val!$J$2*365.25))),0,1),1))</f>
        <v>#REF!</v>
      </c>
      <c r="R179" s="17" t="e">
        <f>IF(Data!#REF!="","",IF(ISNUMBER(MATCH(Data!#REF!,Data_Val!$B$2:$B$15,0)),0,1))</f>
        <v>#REF!</v>
      </c>
      <c r="S179" s="11" t="str">
        <f>IF(Data!G179="","",IF(Data!G179=Data_Val!$C$2,IF(Data!M179="",0,1),0))</f>
        <v/>
      </c>
      <c r="T179" s="11" t="str">
        <f>IF(Data!M179="","",IF(ISNUMBER(MATCH(Data!N179,Data_Val!$A$2:$A$3,0)),0,1))</f>
        <v/>
      </c>
      <c r="U179" s="11" t="str">
        <f ca="1">IF(Data!M179="","",IF(ISNUMBER(Data!O179),IF(AND(Data!O179&gt;(TODAY()-(Data_Val!$K$3*365.25)),Data!O179&lt;=(TODAY()-(Data_Val!$K$2*365.25))),0,1),1))</f>
        <v/>
      </c>
      <c r="V179" s="12" t="str">
        <f>IF(Data!G179="","",IF(Data!G179=Data_Val!$C$2,IF(Data!P179="",0,1),0))</f>
        <v/>
      </c>
      <c r="W179" s="12" t="str">
        <f>IF(Data!P179="","",IF(ISNUMBER(MATCH(Data!Q179,Data_Val!$A$2:$A$3,0)),0,1))</f>
        <v/>
      </c>
      <c r="X179" s="26" t="str">
        <f ca="1">IF(Data!P179="","",IF(ISNUMBER(Data!R179),IF(AND(Data!R179&gt;(TODAY()-(Data_Val!$L$3*365.25)),Data!R179&lt;=(TODAY()-(Data_Val!$L$2*365.25))),0,1),1))</f>
        <v/>
      </c>
      <c r="Y179" s="13" t="str">
        <f>IF(Data!$G179="","",IF(Data!$G179=Data_Val!$C$2,IF(Data!S179="",0,1),0))</f>
        <v/>
      </c>
      <c r="Z179" s="13" t="str">
        <f>IF(Data!S179="","",IF(ISNUMBER(MATCH(Data!T179,Data_Val!$A$2:$A$3,0)),0,1))</f>
        <v/>
      </c>
      <c r="AA179" s="28" t="str">
        <f ca="1">IF(Data!S179="","",IF(ISNUMBER(Data!U179),IF(AND(Data!U179&gt;(TODAY()-(Data_Val!$L$3*365.25)),Data!U179&lt;=(TODAY()-(Data_Val!$L$2*365.25))),0,1),1))</f>
        <v/>
      </c>
      <c r="AB179" s="11"/>
      <c r="AC179" s="11" t="e">
        <f>IF(Data!#REF!="","",IF(ISNUMBER(MATCH(Data!#REF!,Data_Val!$A$2:$A$3,0)),0,1))</f>
        <v>#REF!</v>
      </c>
      <c r="AD179" s="11" t="e">
        <f ca="1">IF(Data!#REF!="","",IF(ISNUMBER(Data!#REF!),IF(AND(Data!#REF!&gt;(TODAY()-(Data_Val!$L$3*365.25)),Data!#REF!&lt;=(TODAY()-(Data_Val!$L$2*365.25))),0,1),1))</f>
        <v>#REF!</v>
      </c>
      <c r="AE179" s="11" t="e">
        <f>IF(Data!#REF!="","",IF(Data!$G179="",1,IF(ISNUMBER(MATCH(Data!#REF!,Data_Val!$D$2:$D$10,0)),0,1)))</f>
        <v>#REF!</v>
      </c>
      <c r="AF179" s="12"/>
      <c r="AG179" s="12" t="e">
        <f>IF(Data!#REF!="","",IF(ISNUMBER(MATCH(Data!#REF!,Data_Val!$A$2:$A$3,0)),0,1))</f>
        <v>#REF!</v>
      </c>
      <c r="AH179" s="26" t="e">
        <f ca="1">IF(Data!#REF!="","",IF(ISNUMBER(Data!#REF!),IF(AND(Data!#REF!&gt;(TODAY()-(Data_Val!$L$3*365.25)),Data!#REF!&lt;=(TODAY()-(Data_Val!$L$2*365.25))),0,1),1))</f>
        <v>#REF!</v>
      </c>
      <c r="AI179" s="12" t="e">
        <f>IF(Data!#REF!="","",IF(Data!$G179="",1,IF(ISNUMBER(MATCH(Data!#REF!,Data_Val!$D$2:$D$10,0)),0,1)))</f>
        <v>#REF!</v>
      </c>
      <c r="AJ179" s="17"/>
      <c r="AK179" s="17" t="e">
        <f>IF(Data!#REF!="","",IF(ISNUMBER(MATCH(Data!#REF!,Data_Val!$A$2:$A$3,0)),0,1))</f>
        <v>#REF!</v>
      </c>
      <c r="AL179" s="25" t="e">
        <f ca="1">IF(Data!#REF!="","",IF(ISNUMBER(Data!#REF!),IF(AND(Data!#REF!&gt;(TODAY()-(Data_Val!$L$3*365.25)),Data!#REF!&lt;=(TODAY()-(Data_Val!$L$2*365.25))),0,1),1))</f>
        <v>#REF!</v>
      </c>
      <c r="AM179" s="17" t="e">
        <f>IF(Data!#REF!="","",IF(Data!$G179="",1,IF(ISNUMBER(MATCH(Data!#REF!,Data_Val!$D$2:$D$10,0)),0,1)))</f>
        <v>#REF!</v>
      </c>
      <c r="AN179" s="13"/>
      <c r="AO179" s="28" t="e">
        <f ca="1">IF(Data!#REF!="","",IF(ISNUMBER(Data!#REF!),IF(AND(Data!#REF!&gt;(TODAY()-(Data_Val!$I$3*365.25)),Data!#REF!&lt;=(TODAY()-(Data_Val!$I$2*365.25))),0,1),1))</f>
        <v>#REF!</v>
      </c>
      <c r="AP179" s="13" t="e">
        <f>IF(Data!#REF!="","",IF(Data!$G179="",1,IF(ISNUMBER(MATCH(Data!#REF!,Data_Val!$D$2:$D$10,0)),0,1)))</f>
        <v>#REF!</v>
      </c>
      <c r="AQ179" s="17"/>
      <c r="AR179" s="30" t="e">
        <f ca="1">IF(Data!#REF!="","",IF(ISNUMBER(Data!#REF!),IF(AND(Data!#REF!&gt;(TODAY()-(Data_Val!$I$3*365.25)),Data!#REF!&lt;=(TODAY()-(Data_Val!$I$2*365.25))),0,1),1))</f>
        <v>#REF!</v>
      </c>
      <c r="AS179" s="31" t="e">
        <f>IF(Data!#REF!="","",IF(Data!$G179="",1,IF(ISNUMBER(MATCH(Data!#REF!,Data_Val!$D$2:$D$10,0)),0,1)))</f>
        <v>#REF!</v>
      </c>
      <c r="AT179" s="11"/>
      <c r="AU179" s="11" t="e">
        <f ca="1">IF(Data!#REF!="","",IF(ISNUMBER(Data!#REF!),IF(AND(Data!#REF!&gt;(TODAY()-(Data_Val!$I$3*365.25)),Data!#REF!&lt;=(TODAY()-(Data_Val!$I$2*365.25))),0,1),1))</f>
        <v>#REF!</v>
      </c>
      <c r="AV179" s="11" t="e">
        <f>IF(Data!#REF!="","",IF(Data!$G179="",1,IF(ISNUMBER(MATCH(Data!#REF!,Data_Val!$D$2:$D$10,0)),0,1)))</f>
        <v>#REF!</v>
      </c>
      <c r="AW179" s="12"/>
      <c r="AX179" s="26" t="e">
        <f ca="1">IF(Data!#REF!="","",IF(ISNUMBER(Data!#REF!),IF(AND(Data!#REF!&gt;(TODAY()-(Data_Val!$I$3*365.25)),Data!#REF!&lt;=(TODAY()-(Data_Val!$I$2*365.25))),0,1),1))</f>
        <v>#REF!</v>
      </c>
      <c r="AY179" s="12" t="e">
        <f>IF(Data!#REF!="","",IF(Data!$G179="",1,IF(ISNUMBER(MATCH(Data!#REF!,Data_Val!$D$2:$D$10,0)),0,1)))</f>
        <v>#REF!</v>
      </c>
      <c r="AZ179" s="11"/>
      <c r="BA179" s="19" t="e">
        <f ca="1">IF(Data!#REF!="","",IF(ISNUMBER(Data!#REF!),IF(AND(Data!#REF!&gt;(TODAY()-(Data_Val!$M$3*365.25)),Data!#REF!&lt;=(TODAY()-(Data_Val!$M$2*365.25))),0,1),1))</f>
        <v>#REF!</v>
      </c>
      <c r="BB179" s="11" t="e">
        <f>IF(Data!#REF!="","",IF(Data!$G179="",1,IF(ISNUMBER(MATCH(Data!#REF!,Data_Val!$D$2:$D$10,0)),0,1)))</f>
        <v>#REF!</v>
      </c>
      <c r="BC179" s="12"/>
      <c r="BD179" s="20" t="e">
        <f ca="1">IF(Data!#REF!="","",IF(ISNUMBER(Data!#REF!),IF(AND(Data!#REF!&gt;(TODAY()-(Data_Val!$M$3*365.25)),Data!#REF!&lt;=(TODAY()-(Data_Val!$M$2*365.25))),0,1),1))</f>
        <v>#REF!</v>
      </c>
      <c r="BE179" s="12" t="e">
        <f>IF(Data!#REF!="","",IF(Data!$G179="",1,IF(ISNUMBER(MATCH(Data!#REF!,Data_Val!$D$2:$D$10,0)),0,1)))</f>
        <v>#REF!</v>
      </c>
      <c r="BF179" s="17"/>
      <c r="BG179" s="18" t="e">
        <f ca="1">IF(Data!#REF!="","",IF(ISNUMBER(Data!#REF!),IF(AND(Data!#REF!&gt;(TODAY()-(Data_Val!$M$3*365.25)),Data!#REF!&lt;=(TODAY()-(Data_Val!$M$2*365.25))),0,1),1))</f>
        <v>#REF!</v>
      </c>
      <c r="BH179" s="29" t="e">
        <f>IF(Data!#REF!="","",IF(Data!$G179="",1,IF(ISNUMBER(MATCH(Data!#REF!,Data_Val!$D$2:$D$10,0)),0,1)))</f>
        <v>#REF!</v>
      </c>
      <c r="BI179" s="13"/>
      <c r="BJ179" s="21" t="e">
        <f ca="1">IF(Data!#REF!="","",IF(ISNUMBER(Data!#REF!),IF(AND(Data!#REF!&gt;(TODAY()-(Data_Val!$M$3*365.25)),Data!#REF!&lt;=(TODAY()-(Data_Val!$M$2*365.25))),0,1),1))</f>
        <v>#REF!</v>
      </c>
      <c r="BK179" s="13" t="e">
        <f>IF(Data!#REF!="","",IF(Data!$G179="",1,IF(ISNUMBER(MATCH(Data!#REF!,Data_Val!$D$2:$D$10,0)),0,1)))</f>
        <v>#REF!</v>
      </c>
    </row>
    <row r="180" spans="1:63" x14ac:dyDescent="0.25">
      <c r="A180" s="9" t="str">
        <f>IF(Data!B180="","",IF(COUNTIFS(Data!A$1:'Data'!A180,Data!A180)&lt;=1,0,1))</f>
        <v/>
      </c>
      <c r="B180" s="9"/>
      <c r="C180" s="23" t="str">
        <f>IF(Data!C180="","",(IF(ISNUMBER(MATCH("*@*.?*",Data!C180,0)),0,1)+IF(COUNTIFS(Data!C$1:'Data'!C180,Data!C180)&gt;1,1,0)))</f>
        <v/>
      </c>
      <c r="D180" s="9" t="str">
        <f>IF(Data!B180="","",IF(ISNUMBER(Data!D180),IF(AND(Data!D180&gt;999999999,Data!D180&lt;=9999999999),IF(COUNTIFS(Data!D$1:'Data'!D180,Data!D180)&lt;=1,0,1),1),1))</f>
        <v/>
      </c>
      <c r="E180" s="9" t="str">
        <f>IF(Data!B180="","",IF(ISNUMBER(MATCH(Data!E180,Data_Val!$A$2:$A$3,0)),0,1))</f>
        <v/>
      </c>
      <c r="F180" s="9" t="str">
        <f ca="1">IF(Data!B180="","",IF(ISNUMBER(Data!F180),IF(AND(Data!F180&gt;(TODAY()-(Data_Val!$H$3*365.25)),Data!F180&lt;=(TODAY()-(Data_Val!$H$2*365.25))),0,1),1))</f>
        <v/>
      </c>
      <c r="G180" s="15" t="str">
        <f>IF(Data!B180="","",IF(AND(Data!G180="",Data!H180&lt;&gt;""),1,IF(Data!#REF!&lt;&gt;"",0,IF(ISNUMBER(MATCH(Data!G180,Data_Val!$C$2:$C$5,0)),0,1))))</f>
        <v/>
      </c>
      <c r="H180" s="15" t="str">
        <f>IF(Data!B180="","",IF(AND(Data!G180&lt;&gt;"",Data!H180=""),1,IF(Data!#REF!&lt;&gt;"",0,IF(Data!G180="",1,IF(ISNUMBER(MATCH(Data!H180,Data_Val!$D$2:$D$35,0)),0,1)))))</f>
        <v/>
      </c>
      <c r="I180" s="15" t="str">
        <f>IF(Data!B180="","",IF(Data!G180&lt;&gt;"",0,IF(ISNUMBER(MATCH(Data!#REF!,Data_Val!$E$2:$E$12,0)),0,1)))</f>
        <v/>
      </c>
      <c r="J180" s="16" t="e">
        <f>IF(OR(Data!B180="",Data!#REF!=""),"",IF(Data!#REF!="",1,0))</f>
        <v>#REF!</v>
      </c>
      <c r="K180" s="16" t="e">
        <f>IF(OR(Data!B180="",Data!#REF!=""),"",IF(Data!#REF!="",1,0))</f>
        <v>#REF!</v>
      </c>
      <c r="L180" s="16" t="e">
        <f>IF(OR(Data!B180="",Data!#REF!=""),"",IF(ISNUMBER(Data!#REF!),IF(AND(Data!#REF!&gt;Data_Val!$G$2,Data!#REF!&lt;=Data_Val!$G$3),0,1),1))</f>
        <v>#REF!</v>
      </c>
      <c r="M180" s="9" t="e">
        <f>IF(OR(Data!B180="",Data!#REF!=""),"",IF(ISNUMBER(MATCH(Data!#REF!,Data_Val!$F$1:$F$38,0)),0,1))</f>
        <v>#REF!</v>
      </c>
      <c r="N180" s="9" t="e">
        <f>IF(OR(Data!B180="",Data!#REF!=""),"",IF(Data!#REF!="",1,0))</f>
        <v>#REF!</v>
      </c>
      <c r="O180" s="17" t="e">
        <f>IF(Data!#REF!="","",IF(Data!#REF!="",1,0))</f>
        <v>#REF!</v>
      </c>
      <c r="P180" s="17" t="e">
        <f>IF(Data!#REF!="","",IF(ISNUMBER(MATCH(Data!#REF!,Data_Val!$A$2:$A$3,0)),0,1))</f>
        <v>#REF!</v>
      </c>
      <c r="Q180" s="25" t="e">
        <f ca="1">IF(Data!#REF!="","",IF(ISNUMBER(Data!#REF!),IF(AND(Data!#REF!&gt;(TODAY()-(Data_Val!$J$3*365.25)),Data!#REF!&lt;=(TODAY()-(Data_Val!$J$2*365.25))),0,1),1))</f>
        <v>#REF!</v>
      </c>
      <c r="R180" s="17" t="e">
        <f>IF(Data!#REF!="","",IF(ISNUMBER(MATCH(Data!#REF!,Data_Val!$B$2:$B$15,0)),0,1))</f>
        <v>#REF!</v>
      </c>
      <c r="S180" s="11" t="str">
        <f>IF(Data!G180="","",IF(Data!G180=Data_Val!$C$2,IF(Data!M180="",0,1),0))</f>
        <v/>
      </c>
      <c r="T180" s="11" t="str">
        <f>IF(Data!M180="","",IF(ISNUMBER(MATCH(Data!N180,Data_Val!$A$2:$A$3,0)),0,1))</f>
        <v/>
      </c>
      <c r="U180" s="11" t="str">
        <f ca="1">IF(Data!M180="","",IF(ISNUMBER(Data!O180),IF(AND(Data!O180&gt;(TODAY()-(Data_Val!$K$3*365.25)),Data!O180&lt;=(TODAY()-(Data_Val!$K$2*365.25))),0,1),1))</f>
        <v/>
      </c>
      <c r="V180" s="12" t="str">
        <f>IF(Data!G180="","",IF(Data!G180=Data_Val!$C$2,IF(Data!P180="",0,1),0))</f>
        <v/>
      </c>
      <c r="W180" s="12" t="str">
        <f>IF(Data!P180="","",IF(ISNUMBER(MATCH(Data!Q180,Data_Val!$A$2:$A$3,0)),0,1))</f>
        <v/>
      </c>
      <c r="X180" s="26" t="str">
        <f ca="1">IF(Data!P180="","",IF(ISNUMBER(Data!R180),IF(AND(Data!R180&gt;(TODAY()-(Data_Val!$L$3*365.25)),Data!R180&lt;=(TODAY()-(Data_Val!$L$2*365.25))),0,1),1))</f>
        <v/>
      </c>
      <c r="Y180" s="13" t="str">
        <f>IF(Data!$G180="","",IF(Data!$G180=Data_Val!$C$2,IF(Data!S180="",0,1),0))</f>
        <v/>
      </c>
      <c r="Z180" s="13" t="str">
        <f>IF(Data!S180="","",IF(ISNUMBER(MATCH(Data!T180,Data_Val!$A$2:$A$3,0)),0,1))</f>
        <v/>
      </c>
      <c r="AA180" s="28" t="str">
        <f ca="1">IF(Data!S180="","",IF(ISNUMBER(Data!U180),IF(AND(Data!U180&gt;(TODAY()-(Data_Val!$L$3*365.25)),Data!U180&lt;=(TODAY()-(Data_Val!$L$2*365.25))),0,1),1))</f>
        <v/>
      </c>
      <c r="AB180" s="11"/>
      <c r="AC180" s="11" t="e">
        <f>IF(Data!#REF!="","",IF(ISNUMBER(MATCH(Data!#REF!,Data_Val!$A$2:$A$3,0)),0,1))</f>
        <v>#REF!</v>
      </c>
      <c r="AD180" s="11" t="e">
        <f ca="1">IF(Data!#REF!="","",IF(ISNUMBER(Data!#REF!),IF(AND(Data!#REF!&gt;(TODAY()-(Data_Val!$L$3*365.25)),Data!#REF!&lt;=(TODAY()-(Data_Val!$L$2*365.25))),0,1),1))</f>
        <v>#REF!</v>
      </c>
      <c r="AE180" s="11" t="e">
        <f>IF(Data!#REF!="","",IF(Data!$G180="",1,IF(ISNUMBER(MATCH(Data!#REF!,Data_Val!$D$2:$D$10,0)),0,1)))</f>
        <v>#REF!</v>
      </c>
      <c r="AF180" s="12"/>
      <c r="AG180" s="12" t="e">
        <f>IF(Data!#REF!="","",IF(ISNUMBER(MATCH(Data!#REF!,Data_Val!$A$2:$A$3,0)),0,1))</f>
        <v>#REF!</v>
      </c>
      <c r="AH180" s="26" t="e">
        <f ca="1">IF(Data!#REF!="","",IF(ISNUMBER(Data!#REF!),IF(AND(Data!#REF!&gt;(TODAY()-(Data_Val!$L$3*365.25)),Data!#REF!&lt;=(TODAY()-(Data_Val!$L$2*365.25))),0,1),1))</f>
        <v>#REF!</v>
      </c>
      <c r="AI180" s="12" t="e">
        <f>IF(Data!#REF!="","",IF(Data!$G180="",1,IF(ISNUMBER(MATCH(Data!#REF!,Data_Val!$D$2:$D$10,0)),0,1)))</f>
        <v>#REF!</v>
      </c>
      <c r="AJ180" s="17"/>
      <c r="AK180" s="17" t="e">
        <f>IF(Data!#REF!="","",IF(ISNUMBER(MATCH(Data!#REF!,Data_Val!$A$2:$A$3,0)),0,1))</f>
        <v>#REF!</v>
      </c>
      <c r="AL180" s="25" t="e">
        <f ca="1">IF(Data!#REF!="","",IF(ISNUMBER(Data!#REF!),IF(AND(Data!#REF!&gt;(TODAY()-(Data_Val!$L$3*365.25)),Data!#REF!&lt;=(TODAY()-(Data_Val!$L$2*365.25))),0,1),1))</f>
        <v>#REF!</v>
      </c>
      <c r="AM180" s="17" t="e">
        <f>IF(Data!#REF!="","",IF(Data!$G180="",1,IF(ISNUMBER(MATCH(Data!#REF!,Data_Val!$D$2:$D$10,0)),0,1)))</f>
        <v>#REF!</v>
      </c>
      <c r="AN180" s="13"/>
      <c r="AO180" s="28" t="e">
        <f ca="1">IF(Data!#REF!="","",IF(ISNUMBER(Data!#REF!),IF(AND(Data!#REF!&gt;(TODAY()-(Data_Val!$I$3*365.25)),Data!#REF!&lt;=(TODAY()-(Data_Val!$I$2*365.25))),0,1),1))</f>
        <v>#REF!</v>
      </c>
      <c r="AP180" s="13" t="e">
        <f>IF(Data!#REF!="","",IF(Data!$G180="",1,IF(ISNUMBER(MATCH(Data!#REF!,Data_Val!$D$2:$D$10,0)),0,1)))</f>
        <v>#REF!</v>
      </c>
      <c r="AQ180" s="17"/>
      <c r="AR180" s="30" t="e">
        <f ca="1">IF(Data!#REF!="","",IF(ISNUMBER(Data!#REF!),IF(AND(Data!#REF!&gt;(TODAY()-(Data_Val!$I$3*365.25)),Data!#REF!&lt;=(TODAY()-(Data_Val!$I$2*365.25))),0,1),1))</f>
        <v>#REF!</v>
      </c>
      <c r="AS180" s="31" t="e">
        <f>IF(Data!#REF!="","",IF(Data!$G180="",1,IF(ISNUMBER(MATCH(Data!#REF!,Data_Val!$D$2:$D$10,0)),0,1)))</f>
        <v>#REF!</v>
      </c>
      <c r="AT180" s="11"/>
      <c r="AU180" s="11" t="e">
        <f ca="1">IF(Data!#REF!="","",IF(ISNUMBER(Data!#REF!),IF(AND(Data!#REF!&gt;(TODAY()-(Data_Val!$I$3*365.25)),Data!#REF!&lt;=(TODAY()-(Data_Val!$I$2*365.25))),0,1),1))</f>
        <v>#REF!</v>
      </c>
      <c r="AV180" s="11" t="e">
        <f>IF(Data!#REF!="","",IF(Data!$G180="",1,IF(ISNUMBER(MATCH(Data!#REF!,Data_Val!$D$2:$D$10,0)),0,1)))</f>
        <v>#REF!</v>
      </c>
      <c r="AW180" s="12"/>
      <c r="AX180" s="26" t="e">
        <f ca="1">IF(Data!#REF!="","",IF(ISNUMBER(Data!#REF!),IF(AND(Data!#REF!&gt;(TODAY()-(Data_Val!$I$3*365.25)),Data!#REF!&lt;=(TODAY()-(Data_Val!$I$2*365.25))),0,1),1))</f>
        <v>#REF!</v>
      </c>
      <c r="AY180" s="12" t="e">
        <f>IF(Data!#REF!="","",IF(Data!$G180="",1,IF(ISNUMBER(MATCH(Data!#REF!,Data_Val!$D$2:$D$10,0)),0,1)))</f>
        <v>#REF!</v>
      </c>
      <c r="AZ180" s="11"/>
      <c r="BA180" s="19" t="e">
        <f ca="1">IF(Data!#REF!="","",IF(ISNUMBER(Data!#REF!),IF(AND(Data!#REF!&gt;(TODAY()-(Data_Val!$M$3*365.25)),Data!#REF!&lt;=(TODAY()-(Data_Val!$M$2*365.25))),0,1),1))</f>
        <v>#REF!</v>
      </c>
      <c r="BB180" s="11" t="e">
        <f>IF(Data!#REF!="","",IF(Data!$G180="",1,IF(ISNUMBER(MATCH(Data!#REF!,Data_Val!$D$2:$D$10,0)),0,1)))</f>
        <v>#REF!</v>
      </c>
      <c r="BC180" s="12"/>
      <c r="BD180" s="20" t="e">
        <f ca="1">IF(Data!#REF!="","",IF(ISNUMBER(Data!#REF!),IF(AND(Data!#REF!&gt;(TODAY()-(Data_Val!$M$3*365.25)),Data!#REF!&lt;=(TODAY()-(Data_Val!$M$2*365.25))),0,1),1))</f>
        <v>#REF!</v>
      </c>
      <c r="BE180" s="12" t="e">
        <f>IF(Data!#REF!="","",IF(Data!$G180="",1,IF(ISNUMBER(MATCH(Data!#REF!,Data_Val!$D$2:$D$10,0)),0,1)))</f>
        <v>#REF!</v>
      </c>
      <c r="BF180" s="17"/>
      <c r="BG180" s="18" t="e">
        <f ca="1">IF(Data!#REF!="","",IF(ISNUMBER(Data!#REF!),IF(AND(Data!#REF!&gt;(TODAY()-(Data_Val!$M$3*365.25)),Data!#REF!&lt;=(TODAY()-(Data_Val!$M$2*365.25))),0,1),1))</f>
        <v>#REF!</v>
      </c>
      <c r="BH180" s="29" t="e">
        <f>IF(Data!#REF!="","",IF(Data!$G180="",1,IF(ISNUMBER(MATCH(Data!#REF!,Data_Val!$D$2:$D$10,0)),0,1)))</f>
        <v>#REF!</v>
      </c>
      <c r="BI180" s="13"/>
      <c r="BJ180" s="21" t="e">
        <f ca="1">IF(Data!#REF!="","",IF(ISNUMBER(Data!#REF!),IF(AND(Data!#REF!&gt;(TODAY()-(Data_Val!$M$3*365.25)),Data!#REF!&lt;=(TODAY()-(Data_Val!$M$2*365.25))),0,1),1))</f>
        <v>#REF!</v>
      </c>
      <c r="BK180" s="13" t="e">
        <f>IF(Data!#REF!="","",IF(Data!$G180="",1,IF(ISNUMBER(MATCH(Data!#REF!,Data_Val!$D$2:$D$10,0)),0,1)))</f>
        <v>#REF!</v>
      </c>
    </row>
    <row r="181" spans="1:63" x14ac:dyDescent="0.25">
      <c r="A181" s="9" t="str">
        <f>IF(Data!B181="","",IF(COUNTIFS(Data!A$1:'Data'!A181,Data!A181)&lt;=1,0,1))</f>
        <v/>
      </c>
      <c r="B181" s="9"/>
      <c r="C181" s="23" t="str">
        <f>IF(Data!C181="","",(IF(ISNUMBER(MATCH("*@*.?*",Data!C181,0)),0,1)+IF(COUNTIFS(Data!C$1:'Data'!C181,Data!C181)&gt;1,1,0)))</f>
        <v/>
      </c>
      <c r="D181" s="9" t="str">
        <f>IF(Data!B181="","",IF(ISNUMBER(Data!D181),IF(AND(Data!D181&gt;999999999,Data!D181&lt;=9999999999),IF(COUNTIFS(Data!D$1:'Data'!D181,Data!D181)&lt;=1,0,1),1),1))</f>
        <v/>
      </c>
      <c r="E181" s="9" t="str">
        <f>IF(Data!B181="","",IF(ISNUMBER(MATCH(Data!E181,Data_Val!$A$2:$A$3,0)),0,1))</f>
        <v/>
      </c>
      <c r="F181" s="9" t="str">
        <f ca="1">IF(Data!B181="","",IF(ISNUMBER(Data!F181),IF(AND(Data!F181&gt;(TODAY()-(Data_Val!$H$3*365.25)),Data!F181&lt;=(TODAY()-(Data_Val!$H$2*365.25))),0,1),1))</f>
        <v/>
      </c>
      <c r="G181" s="15" t="str">
        <f>IF(Data!B181="","",IF(AND(Data!G181="",Data!H181&lt;&gt;""),1,IF(Data!#REF!&lt;&gt;"",0,IF(ISNUMBER(MATCH(Data!G181,Data_Val!$C$2:$C$5,0)),0,1))))</f>
        <v/>
      </c>
      <c r="H181" s="15" t="str">
        <f>IF(Data!B181="","",IF(AND(Data!G181&lt;&gt;"",Data!H181=""),1,IF(Data!#REF!&lt;&gt;"",0,IF(Data!G181="",1,IF(ISNUMBER(MATCH(Data!H181,Data_Val!$D$2:$D$35,0)),0,1)))))</f>
        <v/>
      </c>
      <c r="I181" s="15" t="str">
        <f>IF(Data!B181="","",IF(Data!G181&lt;&gt;"",0,IF(ISNUMBER(MATCH(Data!#REF!,Data_Val!$E$2:$E$12,0)),0,1)))</f>
        <v/>
      </c>
      <c r="J181" s="16" t="e">
        <f>IF(OR(Data!B181="",Data!#REF!=""),"",IF(Data!#REF!="",1,0))</f>
        <v>#REF!</v>
      </c>
      <c r="K181" s="16" t="e">
        <f>IF(OR(Data!B181="",Data!#REF!=""),"",IF(Data!#REF!="",1,0))</f>
        <v>#REF!</v>
      </c>
      <c r="L181" s="16" t="e">
        <f>IF(OR(Data!B181="",Data!#REF!=""),"",IF(ISNUMBER(Data!#REF!),IF(AND(Data!#REF!&gt;Data_Val!$G$2,Data!#REF!&lt;=Data_Val!$G$3),0,1),1))</f>
        <v>#REF!</v>
      </c>
      <c r="M181" s="9" t="e">
        <f>IF(OR(Data!B181="",Data!#REF!=""),"",IF(ISNUMBER(MATCH(Data!#REF!,Data_Val!$F$1:$F$38,0)),0,1))</f>
        <v>#REF!</v>
      </c>
      <c r="N181" s="9" t="e">
        <f>IF(OR(Data!B181="",Data!#REF!=""),"",IF(Data!#REF!="",1,0))</f>
        <v>#REF!</v>
      </c>
      <c r="O181" s="17" t="e">
        <f>IF(Data!#REF!="","",IF(Data!#REF!="",1,0))</f>
        <v>#REF!</v>
      </c>
      <c r="P181" s="17" t="e">
        <f>IF(Data!#REF!="","",IF(ISNUMBER(MATCH(Data!#REF!,Data_Val!$A$2:$A$3,0)),0,1))</f>
        <v>#REF!</v>
      </c>
      <c r="Q181" s="25" t="e">
        <f ca="1">IF(Data!#REF!="","",IF(ISNUMBER(Data!#REF!),IF(AND(Data!#REF!&gt;(TODAY()-(Data_Val!$J$3*365.25)),Data!#REF!&lt;=(TODAY()-(Data_Val!$J$2*365.25))),0,1),1))</f>
        <v>#REF!</v>
      </c>
      <c r="R181" s="17" t="e">
        <f>IF(Data!#REF!="","",IF(ISNUMBER(MATCH(Data!#REF!,Data_Val!$B$2:$B$15,0)),0,1))</f>
        <v>#REF!</v>
      </c>
      <c r="S181" s="11" t="str">
        <f>IF(Data!G181="","",IF(Data!G181=Data_Val!$C$2,IF(Data!M181="",0,1),0))</f>
        <v/>
      </c>
      <c r="T181" s="11" t="str">
        <f>IF(Data!M181="","",IF(ISNUMBER(MATCH(Data!N181,Data_Val!$A$2:$A$3,0)),0,1))</f>
        <v/>
      </c>
      <c r="U181" s="11" t="str">
        <f ca="1">IF(Data!M181="","",IF(ISNUMBER(Data!O181),IF(AND(Data!O181&gt;(TODAY()-(Data_Val!$K$3*365.25)),Data!O181&lt;=(TODAY()-(Data_Val!$K$2*365.25))),0,1),1))</f>
        <v/>
      </c>
      <c r="V181" s="12" t="str">
        <f>IF(Data!G181="","",IF(Data!G181=Data_Val!$C$2,IF(Data!P181="",0,1),0))</f>
        <v/>
      </c>
      <c r="W181" s="12" t="str">
        <f>IF(Data!P181="","",IF(ISNUMBER(MATCH(Data!Q181,Data_Val!$A$2:$A$3,0)),0,1))</f>
        <v/>
      </c>
      <c r="X181" s="26" t="str">
        <f ca="1">IF(Data!P181="","",IF(ISNUMBER(Data!R181),IF(AND(Data!R181&gt;(TODAY()-(Data_Val!$L$3*365.25)),Data!R181&lt;=(TODAY()-(Data_Val!$L$2*365.25))),0,1),1))</f>
        <v/>
      </c>
      <c r="Y181" s="13" t="str">
        <f>IF(Data!$G181="","",IF(Data!$G181=Data_Val!$C$2,IF(Data!S181="",0,1),0))</f>
        <v/>
      </c>
      <c r="Z181" s="13" t="str">
        <f>IF(Data!S181="","",IF(ISNUMBER(MATCH(Data!T181,Data_Val!$A$2:$A$3,0)),0,1))</f>
        <v/>
      </c>
      <c r="AA181" s="28" t="str">
        <f ca="1">IF(Data!S181="","",IF(ISNUMBER(Data!U181),IF(AND(Data!U181&gt;(TODAY()-(Data_Val!$L$3*365.25)),Data!U181&lt;=(TODAY()-(Data_Val!$L$2*365.25))),0,1),1))</f>
        <v/>
      </c>
      <c r="AB181" s="11"/>
      <c r="AC181" s="11" t="e">
        <f>IF(Data!#REF!="","",IF(ISNUMBER(MATCH(Data!#REF!,Data_Val!$A$2:$A$3,0)),0,1))</f>
        <v>#REF!</v>
      </c>
      <c r="AD181" s="11" t="e">
        <f ca="1">IF(Data!#REF!="","",IF(ISNUMBER(Data!#REF!),IF(AND(Data!#REF!&gt;(TODAY()-(Data_Val!$L$3*365.25)),Data!#REF!&lt;=(TODAY()-(Data_Val!$L$2*365.25))),0,1),1))</f>
        <v>#REF!</v>
      </c>
      <c r="AE181" s="11" t="e">
        <f>IF(Data!#REF!="","",IF(Data!$G181="",1,IF(ISNUMBER(MATCH(Data!#REF!,Data_Val!$D$2:$D$10,0)),0,1)))</f>
        <v>#REF!</v>
      </c>
      <c r="AF181" s="12"/>
      <c r="AG181" s="12" t="e">
        <f>IF(Data!#REF!="","",IF(ISNUMBER(MATCH(Data!#REF!,Data_Val!$A$2:$A$3,0)),0,1))</f>
        <v>#REF!</v>
      </c>
      <c r="AH181" s="26" t="e">
        <f ca="1">IF(Data!#REF!="","",IF(ISNUMBER(Data!#REF!),IF(AND(Data!#REF!&gt;(TODAY()-(Data_Val!$L$3*365.25)),Data!#REF!&lt;=(TODAY()-(Data_Val!$L$2*365.25))),0,1),1))</f>
        <v>#REF!</v>
      </c>
      <c r="AI181" s="12" t="e">
        <f>IF(Data!#REF!="","",IF(Data!$G181="",1,IF(ISNUMBER(MATCH(Data!#REF!,Data_Val!$D$2:$D$10,0)),0,1)))</f>
        <v>#REF!</v>
      </c>
      <c r="AJ181" s="17"/>
      <c r="AK181" s="17" t="e">
        <f>IF(Data!#REF!="","",IF(ISNUMBER(MATCH(Data!#REF!,Data_Val!$A$2:$A$3,0)),0,1))</f>
        <v>#REF!</v>
      </c>
      <c r="AL181" s="25" t="e">
        <f ca="1">IF(Data!#REF!="","",IF(ISNUMBER(Data!#REF!),IF(AND(Data!#REF!&gt;(TODAY()-(Data_Val!$L$3*365.25)),Data!#REF!&lt;=(TODAY()-(Data_Val!$L$2*365.25))),0,1),1))</f>
        <v>#REF!</v>
      </c>
      <c r="AM181" s="17" t="e">
        <f>IF(Data!#REF!="","",IF(Data!$G181="",1,IF(ISNUMBER(MATCH(Data!#REF!,Data_Val!$D$2:$D$10,0)),0,1)))</f>
        <v>#REF!</v>
      </c>
      <c r="AN181" s="13"/>
      <c r="AO181" s="28" t="e">
        <f ca="1">IF(Data!#REF!="","",IF(ISNUMBER(Data!#REF!),IF(AND(Data!#REF!&gt;(TODAY()-(Data_Val!$I$3*365.25)),Data!#REF!&lt;=(TODAY()-(Data_Val!$I$2*365.25))),0,1),1))</f>
        <v>#REF!</v>
      </c>
      <c r="AP181" s="13" t="e">
        <f>IF(Data!#REF!="","",IF(Data!$G181="",1,IF(ISNUMBER(MATCH(Data!#REF!,Data_Val!$D$2:$D$10,0)),0,1)))</f>
        <v>#REF!</v>
      </c>
      <c r="AQ181" s="17"/>
      <c r="AR181" s="30" t="e">
        <f ca="1">IF(Data!#REF!="","",IF(ISNUMBER(Data!#REF!),IF(AND(Data!#REF!&gt;(TODAY()-(Data_Val!$I$3*365.25)),Data!#REF!&lt;=(TODAY()-(Data_Val!$I$2*365.25))),0,1),1))</f>
        <v>#REF!</v>
      </c>
      <c r="AS181" s="31" t="e">
        <f>IF(Data!#REF!="","",IF(Data!$G181="",1,IF(ISNUMBER(MATCH(Data!#REF!,Data_Val!$D$2:$D$10,0)),0,1)))</f>
        <v>#REF!</v>
      </c>
      <c r="AT181" s="11"/>
      <c r="AU181" s="11" t="e">
        <f ca="1">IF(Data!#REF!="","",IF(ISNUMBER(Data!#REF!),IF(AND(Data!#REF!&gt;(TODAY()-(Data_Val!$I$3*365.25)),Data!#REF!&lt;=(TODAY()-(Data_Val!$I$2*365.25))),0,1),1))</f>
        <v>#REF!</v>
      </c>
      <c r="AV181" s="11" t="e">
        <f>IF(Data!#REF!="","",IF(Data!$G181="",1,IF(ISNUMBER(MATCH(Data!#REF!,Data_Val!$D$2:$D$10,0)),0,1)))</f>
        <v>#REF!</v>
      </c>
      <c r="AW181" s="12"/>
      <c r="AX181" s="26" t="e">
        <f ca="1">IF(Data!#REF!="","",IF(ISNUMBER(Data!#REF!),IF(AND(Data!#REF!&gt;(TODAY()-(Data_Val!$I$3*365.25)),Data!#REF!&lt;=(TODAY()-(Data_Val!$I$2*365.25))),0,1),1))</f>
        <v>#REF!</v>
      </c>
      <c r="AY181" s="12" t="e">
        <f>IF(Data!#REF!="","",IF(Data!$G181="",1,IF(ISNUMBER(MATCH(Data!#REF!,Data_Val!$D$2:$D$10,0)),0,1)))</f>
        <v>#REF!</v>
      </c>
      <c r="AZ181" s="11"/>
      <c r="BA181" s="19" t="e">
        <f ca="1">IF(Data!#REF!="","",IF(ISNUMBER(Data!#REF!),IF(AND(Data!#REF!&gt;(TODAY()-(Data_Val!$M$3*365.25)),Data!#REF!&lt;=(TODAY()-(Data_Val!$M$2*365.25))),0,1),1))</f>
        <v>#REF!</v>
      </c>
      <c r="BB181" s="11" t="e">
        <f>IF(Data!#REF!="","",IF(Data!$G181="",1,IF(ISNUMBER(MATCH(Data!#REF!,Data_Val!$D$2:$D$10,0)),0,1)))</f>
        <v>#REF!</v>
      </c>
      <c r="BC181" s="12"/>
      <c r="BD181" s="20" t="e">
        <f ca="1">IF(Data!#REF!="","",IF(ISNUMBER(Data!#REF!),IF(AND(Data!#REF!&gt;(TODAY()-(Data_Val!$M$3*365.25)),Data!#REF!&lt;=(TODAY()-(Data_Val!$M$2*365.25))),0,1),1))</f>
        <v>#REF!</v>
      </c>
      <c r="BE181" s="12" t="e">
        <f>IF(Data!#REF!="","",IF(Data!$G181="",1,IF(ISNUMBER(MATCH(Data!#REF!,Data_Val!$D$2:$D$10,0)),0,1)))</f>
        <v>#REF!</v>
      </c>
      <c r="BF181" s="17"/>
      <c r="BG181" s="18" t="e">
        <f ca="1">IF(Data!#REF!="","",IF(ISNUMBER(Data!#REF!),IF(AND(Data!#REF!&gt;(TODAY()-(Data_Val!$M$3*365.25)),Data!#REF!&lt;=(TODAY()-(Data_Val!$M$2*365.25))),0,1),1))</f>
        <v>#REF!</v>
      </c>
      <c r="BH181" s="29" t="e">
        <f>IF(Data!#REF!="","",IF(Data!$G181="",1,IF(ISNUMBER(MATCH(Data!#REF!,Data_Val!$D$2:$D$10,0)),0,1)))</f>
        <v>#REF!</v>
      </c>
      <c r="BI181" s="13"/>
      <c r="BJ181" s="21" t="e">
        <f ca="1">IF(Data!#REF!="","",IF(ISNUMBER(Data!#REF!),IF(AND(Data!#REF!&gt;(TODAY()-(Data_Val!$M$3*365.25)),Data!#REF!&lt;=(TODAY()-(Data_Val!$M$2*365.25))),0,1),1))</f>
        <v>#REF!</v>
      </c>
      <c r="BK181" s="13" t="e">
        <f>IF(Data!#REF!="","",IF(Data!$G181="",1,IF(ISNUMBER(MATCH(Data!#REF!,Data_Val!$D$2:$D$10,0)),0,1)))</f>
        <v>#REF!</v>
      </c>
    </row>
    <row r="182" spans="1:63" x14ac:dyDescent="0.25">
      <c r="A182" s="9" t="str">
        <f>IF(Data!B182="","",IF(COUNTIFS(Data!A$1:'Data'!A182,Data!A182)&lt;=1,0,1))</f>
        <v/>
      </c>
      <c r="B182" s="9"/>
      <c r="C182" s="23" t="str">
        <f>IF(Data!C182="","",(IF(ISNUMBER(MATCH("*@*.?*",Data!C182,0)),0,1)+IF(COUNTIFS(Data!C$1:'Data'!C182,Data!C182)&gt;1,1,0)))</f>
        <v/>
      </c>
      <c r="D182" s="9" t="str">
        <f>IF(Data!B182="","",IF(ISNUMBER(Data!D182),IF(AND(Data!D182&gt;999999999,Data!D182&lt;=9999999999),IF(COUNTIFS(Data!D$1:'Data'!D182,Data!D182)&lt;=1,0,1),1),1))</f>
        <v/>
      </c>
      <c r="E182" s="9" t="str">
        <f>IF(Data!B182="","",IF(ISNUMBER(MATCH(Data!E182,Data_Val!$A$2:$A$3,0)),0,1))</f>
        <v/>
      </c>
      <c r="F182" s="9" t="str">
        <f ca="1">IF(Data!B182="","",IF(ISNUMBER(Data!F182),IF(AND(Data!F182&gt;(TODAY()-(Data_Val!$H$3*365.25)),Data!F182&lt;=(TODAY()-(Data_Val!$H$2*365.25))),0,1),1))</f>
        <v/>
      </c>
      <c r="G182" s="15" t="str">
        <f>IF(Data!B182="","",IF(AND(Data!G182="",Data!H182&lt;&gt;""),1,IF(Data!#REF!&lt;&gt;"",0,IF(ISNUMBER(MATCH(Data!G182,Data_Val!$C$2:$C$5,0)),0,1))))</f>
        <v/>
      </c>
      <c r="H182" s="15" t="str">
        <f>IF(Data!B182="","",IF(AND(Data!G182&lt;&gt;"",Data!H182=""),1,IF(Data!#REF!&lt;&gt;"",0,IF(Data!G182="",1,IF(ISNUMBER(MATCH(Data!H182,Data_Val!$D$2:$D$35,0)),0,1)))))</f>
        <v/>
      </c>
      <c r="I182" s="15" t="str">
        <f>IF(Data!B182="","",IF(Data!G182&lt;&gt;"",0,IF(ISNUMBER(MATCH(Data!#REF!,Data_Val!$E$2:$E$12,0)),0,1)))</f>
        <v/>
      </c>
      <c r="J182" s="16" t="e">
        <f>IF(OR(Data!B182="",Data!#REF!=""),"",IF(Data!#REF!="",1,0))</f>
        <v>#REF!</v>
      </c>
      <c r="K182" s="16" t="e">
        <f>IF(OR(Data!B182="",Data!#REF!=""),"",IF(Data!#REF!="",1,0))</f>
        <v>#REF!</v>
      </c>
      <c r="L182" s="16" t="e">
        <f>IF(OR(Data!B182="",Data!#REF!=""),"",IF(ISNUMBER(Data!#REF!),IF(AND(Data!#REF!&gt;Data_Val!$G$2,Data!#REF!&lt;=Data_Val!$G$3),0,1),1))</f>
        <v>#REF!</v>
      </c>
      <c r="M182" s="9" t="e">
        <f>IF(OR(Data!B182="",Data!#REF!=""),"",IF(ISNUMBER(MATCH(Data!#REF!,Data_Val!$F$1:$F$38,0)),0,1))</f>
        <v>#REF!</v>
      </c>
      <c r="N182" s="9" t="e">
        <f>IF(OR(Data!B182="",Data!#REF!=""),"",IF(Data!#REF!="",1,0))</f>
        <v>#REF!</v>
      </c>
      <c r="O182" s="17" t="e">
        <f>IF(Data!#REF!="","",IF(Data!#REF!="",1,0))</f>
        <v>#REF!</v>
      </c>
      <c r="P182" s="17" t="e">
        <f>IF(Data!#REF!="","",IF(ISNUMBER(MATCH(Data!#REF!,Data_Val!$A$2:$A$3,0)),0,1))</f>
        <v>#REF!</v>
      </c>
      <c r="Q182" s="25" t="e">
        <f ca="1">IF(Data!#REF!="","",IF(ISNUMBER(Data!#REF!),IF(AND(Data!#REF!&gt;(TODAY()-(Data_Val!$J$3*365.25)),Data!#REF!&lt;=(TODAY()-(Data_Val!$J$2*365.25))),0,1),1))</f>
        <v>#REF!</v>
      </c>
      <c r="R182" s="17" t="e">
        <f>IF(Data!#REF!="","",IF(ISNUMBER(MATCH(Data!#REF!,Data_Val!$B$2:$B$15,0)),0,1))</f>
        <v>#REF!</v>
      </c>
      <c r="S182" s="11" t="str">
        <f>IF(Data!G182="","",IF(Data!G182=Data_Val!$C$2,IF(Data!M182="",0,1),0))</f>
        <v/>
      </c>
      <c r="T182" s="11" t="str">
        <f>IF(Data!M182="","",IF(ISNUMBER(MATCH(Data!N182,Data_Val!$A$2:$A$3,0)),0,1))</f>
        <v/>
      </c>
      <c r="U182" s="11" t="str">
        <f ca="1">IF(Data!M182="","",IF(ISNUMBER(Data!O182),IF(AND(Data!O182&gt;(TODAY()-(Data_Val!$K$3*365.25)),Data!O182&lt;=(TODAY()-(Data_Val!$K$2*365.25))),0,1),1))</f>
        <v/>
      </c>
      <c r="V182" s="12" t="str">
        <f>IF(Data!G182="","",IF(Data!G182=Data_Val!$C$2,IF(Data!P182="",0,1),0))</f>
        <v/>
      </c>
      <c r="W182" s="12" t="str">
        <f>IF(Data!P182="","",IF(ISNUMBER(MATCH(Data!Q182,Data_Val!$A$2:$A$3,0)),0,1))</f>
        <v/>
      </c>
      <c r="X182" s="26" t="str">
        <f ca="1">IF(Data!P182="","",IF(ISNUMBER(Data!R182),IF(AND(Data!R182&gt;(TODAY()-(Data_Val!$L$3*365.25)),Data!R182&lt;=(TODAY()-(Data_Val!$L$2*365.25))),0,1),1))</f>
        <v/>
      </c>
      <c r="Y182" s="13" t="str">
        <f>IF(Data!$G182="","",IF(Data!$G182=Data_Val!$C$2,IF(Data!S182="",0,1),0))</f>
        <v/>
      </c>
      <c r="Z182" s="13" t="str">
        <f>IF(Data!S182="","",IF(ISNUMBER(MATCH(Data!T182,Data_Val!$A$2:$A$3,0)),0,1))</f>
        <v/>
      </c>
      <c r="AA182" s="28" t="str">
        <f ca="1">IF(Data!S182="","",IF(ISNUMBER(Data!U182),IF(AND(Data!U182&gt;(TODAY()-(Data_Val!$L$3*365.25)),Data!U182&lt;=(TODAY()-(Data_Val!$L$2*365.25))),0,1),1))</f>
        <v/>
      </c>
      <c r="AB182" s="11"/>
      <c r="AC182" s="11" t="e">
        <f>IF(Data!#REF!="","",IF(ISNUMBER(MATCH(Data!#REF!,Data_Val!$A$2:$A$3,0)),0,1))</f>
        <v>#REF!</v>
      </c>
      <c r="AD182" s="11" t="e">
        <f ca="1">IF(Data!#REF!="","",IF(ISNUMBER(Data!#REF!),IF(AND(Data!#REF!&gt;(TODAY()-(Data_Val!$L$3*365.25)),Data!#REF!&lt;=(TODAY()-(Data_Val!$L$2*365.25))),0,1),1))</f>
        <v>#REF!</v>
      </c>
      <c r="AE182" s="11" t="e">
        <f>IF(Data!#REF!="","",IF(Data!$G182="",1,IF(ISNUMBER(MATCH(Data!#REF!,Data_Val!$D$2:$D$10,0)),0,1)))</f>
        <v>#REF!</v>
      </c>
      <c r="AF182" s="12"/>
      <c r="AG182" s="12" t="e">
        <f>IF(Data!#REF!="","",IF(ISNUMBER(MATCH(Data!#REF!,Data_Val!$A$2:$A$3,0)),0,1))</f>
        <v>#REF!</v>
      </c>
      <c r="AH182" s="26" t="e">
        <f ca="1">IF(Data!#REF!="","",IF(ISNUMBER(Data!#REF!),IF(AND(Data!#REF!&gt;(TODAY()-(Data_Val!$L$3*365.25)),Data!#REF!&lt;=(TODAY()-(Data_Val!$L$2*365.25))),0,1),1))</f>
        <v>#REF!</v>
      </c>
      <c r="AI182" s="12" t="e">
        <f>IF(Data!#REF!="","",IF(Data!$G182="",1,IF(ISNUMBER(MATCH(Data!#REF!,Data_Val!$D$2:$D$10,0)),0,1)))</f>
        <v>#REF!</v>
      </c>
      <c r="AJ182" s="17"/>
      <c r="AK182" s="17" t="e">
        <f>IF(Data!#REF!="","",IF(ISNUMBER(MATCH(Data!#REF!,Data_Val!$A$2:$A$3,0)),0,1))</f>
        <v>#REF!</v>
      </c>
      <c r="AL182" s="25" t="e">
        <f ca="1">IF(Data!#REF!="","",IF(ISNUMBER(Data!#REF!),IF(AND(Data!#REF!&gt;(TODAY()-(Data_Val!$L$3*365.25)),Data!#REF!&lt;=(TODAY()-(Data_Val!$L$2*365.25))),0,1),1))</f>
        <v>#REF!</v>
      </c>
      <c r="AM182" s="17" t="e">
        <f>IF(Data!#REF!="","",IF(Data!$G182="",1,IF(ISNUMBER(MATCH(Data!#REF!,Data_Val!$D$2:$D$10,0)),0,1)))</f>
        <v>#REF!</v>
      </c>
      <c r="AN182" s="13"/>
      <c r="AO182" s="28" t="e">
        <f ca="1">IF(Data!#REF!="","",IF(ISNUMBER(Data!#REF!),IF(AND(Data!#REF!&gt;(TODAY()-(Data_Val!$I$3*365.25)),Data!#REF!&lt;=(TODAY()-(Data_Val!$I$2*365.25))),0,1),1))</f>
        <v>#REF!</v>
      </c>
      <c r="AP182" s="13" t="e">
        <f>IF(Data!#REF!="","",IF(Data!$G182="",1,IF(ISNUMBER(MATCH(Data!#REF!,Data_Val!$D$2:$D$10,0)),0,1)))</f>
        <v>#REF!</v>
      </c>
      <c r="AQ182" s="17"/>
      <c r="AR182" s="30" t="e">
        <f ca="1">IF(Data!#REF!="","",IF(ISNUMBER(Data!#REF!),IF(AND(Data!#REF!&gt;(TODAY()-(Data_Val!$I$3*365.25)),Data!#REF!&lt;=(TODAY()-(Data_Val!$I$2*365.25))),0,1),1))</f>
        <v>#REF!</v>
      </c>
      <c r="AS182" s="31" t="e">
        <f>IF(Data!#REF!="","",IF(Data!$G182="",1,IF(ISNUMBER(MATCH(Data!#REF!,Data_Val!$D$2:$D$10,0)),0,1)))</f>
        <v>#REF!</v>
      </c>
      <c r="AT182" s="11"/>
      <c r="AU182" s="11" t="e">
        <f ca="1">IF(Data!#REF!="","",IF(ISNUMBER(Data!#REF!),IF(AND(Data!#REF!&gt;(TODAY()-(Data_Val!$I$3*365.25)),Data!#REF!&lt;=(TODAY()-(Data_Val!$I$2*365.25))),0,1),1))</f>
        <v>#REF!</v>
      </c>
      <c r="AV182" s="11" t="e">
        <f>IF(Data!#REF!="","",IF(Data!$G182="",1,IF(ISNUMBER(MATCH(Data!#REF!,Data_Val!$D$2:$D$10,0)),0,1)))</f>
        <v>#REF!</v>
      </c>
      <c r="AW182" s="12"/>
      <c r="AX182" s="26" t="e">
        <f ca="1">IF(Data!#REF!="","",IF(ISNUMBER(Data!#REF!),IF(AND(Data!#REF!&gt;(TODAY()-(Data_Val!$I$3*365.25)),Data!#REF!&lt;=(TODAY()-(Data_Val!$I$2*365.25))),0,1),1))</f>
        <v>#REF!</v>
      </c>
      <c r="AY182" s="12" t="e">
        <f>IF(Data!#REF!="","",IF(Data!$G182="",1,IF(ISNUMBER(MATCH(Data!#REF!,Data_Val!$D$2:$D$10,0)),0,1)))</f>
        <v>#REF!</v>
      </c>
      <c r="AZ182" s="11"/>
      <c r="BA182" s="19" t="e">
        <f ca="1">IF(Data!#REF!="","",IF(ISNUMBER(Data!#REF!),IF(AND(Data!#REF!&gt;(TODAY()-(Data_Val!$M$3*365.25)),Data!#REF!&lt;=(TODAY()-(Data_Val!$M$2*365.25))),0,1),1))</f>
        <v>#REF!</v>
      </c>
      <c r="BB182" s="11" t="e">
        <f>IF(Data!#REF!="","",IF(Data!$G182="",1,IF(ISNUMBER(MATCH(Data!#REF!,Data_Val!$D$2:$D$10,0)),0,1)))</f>
        <v>#REF!</v>
      </c>
      <c r="BC182" s="12"/>
      <c r="BD182" s="20" t="e">
        <f ca="1">IF(Data!#REF!="","",IF(ISNUMBER(Data!#REF!),IF(AND(Data!#REF!&gt;(TODAY()-(Data_Val!$M$3*365.25)),Data!#REF!&lt;=(TODAY()-(Data_Val!$M$2*365.25))),0,1),1))</f>
        <v>#REF!</v>
      </c>
      <c r="BE182" s="12" t="e">
        <f>IF(Data!#REF!="","",IF(Data!$G182="",1,IF(ISNUMBER(MATCH(Data!#REF!,Data_Val!$D$2:$D$10,0)),0,1)))</f>
        <v>#REF!</v>
      </c>
      <c r="BF182" s="17"/>
      <c r="BG182" s="18" t="e">
        <f ca="1">IF(Data!#REF!="","",IF(ISNUMBER(Data!#REF!),IF(AND(Data!#REF!&gt;(TODAY()-(Data_Val!$M$3*365.25)),Data!#REF!&lt;=(TODAY()-(Data_Val!$M$2*365.25))),0,1),1))</f>
        <v>#REF!</v>
      </c>
      <c r="BH182" s="29" t="e">
        <f>IF(Data!#REF!="","",IF(Data!$G182="",1,IF(ISNUMBER(MATCH(Data!#REF!,Data_Val!$D$2:$D$10,0)),0,1)))</f>
        <v>#REF!</v>
      </c>
      <c r="BI182" s="13"/>
      <c r="BJ182" s="21" t="e">
        <f ca="1">IF(Data!#REF!="","",IF(ISNUMBER(Data!#REF!),IF(AND(Data!#REF!&gt;(TODAY()-(Data_Val!$M$3*365.25)),Data!#REF!&lt;=(TODAY()-(Data_Val!$M$2*365.25))),0,1),1))</f>
        <v>#REF!</v>
      </c>
      <c r="BK182" s="13" t="e">
        <f>IF(Data!#REF!="","",IF(Data!$G182="",1,IF(ISNUMBER(MATCH(Data!#REF!,Data_Val!$D$2:$D$10,0)),0,1)))</f>
        <v>#REF!</v>
      </c>
    </row>
    <row r="183" spans="1:63" x14ac:dyDescent="0.25">
      <c r="A183" s="9" t="str">
        <f>IF(Data!B183="","",IF(COUNTIFS(Data!A$1:'Data'!A183,Data!A183)&lt;=1,0,1))</f>
        <v/>
      </c>
      <c r="B183" s="9"/>
      <c r="C183" s="23" t="str">
        <f>IF(Data!C183="","",(IF(ISNUMBER(MATCH("*@*.?*",Data!C183,0)),0,1)+IF(COUNTIFS(Data!C$1:'Data'!C183,Data!C183)&gt;1,1,0)))</f>
        <v/>
      </c>
      <c r="D183" s="9" t="str">
        <f>IF(Data!B183="","",IF(ISNUMBER(Data!D183),IF(AND(Data!D183&gt;999999999,Data!D183&lt;=9999999999),IF(COUNTIFS(Data!D$1:'Data'!D183,Data!D183)&lt;=1,0,1),1),1))</f>
        <v/>
      </c>
      <c r="E183" s="9" t="str">
        <f>IF(Data!B183="","",IF(ISNUMBER(MATCH(Data!E183,Data_Val!$A$2:$A$3,0)),0,1))</f>
        <v/>
      </c>
      <c r="F183" s="9" t="str">
        <f ca="1">IF(Data!B183="","",IF(ISNUMBER(Data!F183),IF(AND(Data!F183&gt;(TODAY()-(Data_Val!$H$3*365.25)),Data!F183&lt;=(TODAY()-(Data_Val!$H$2*365.25))),0,1),1))</f>
        <v/>
      </c>
      <c r="G183" s="15" t="str">
        <f>IF(Data!B183="","",IF(AND(Data!G183="",Data!H183&lt;&gt;""),1,IF(Data!#REF!&lt;&gt;"",0,IF(ISNUMBER(MATCH(Data!G183,Data_Val!$C$2:$C$5,0)),0,1))))</f>
        <v/>
      </c>
      <c r="H183" s="15" t="str">
        <f>IF(Data!B183="","",IF(AND(Data!G183&lt;&gt;"",Data!H183=""),1,IF(Data!#REF!&lt;&gt;"",0,IF(Data!G183="",1,IF(ISNUMBER(MATCH(Data!H183,Data_Val!$D$2:$D$35,0)),0,1)))))</f>
        <v/>
      </c>
      <c r="I183" s="15" t="str">
        <f>IF(Data!B183="","",IF(Data!G183&lt;&gt;"",0,IF(ISNUMBER(MATCH(Data!#REF!,Data_Val!$E$2:$E$12,0)),0,1)))</f>
        <v/>
      </c>
      <c r="J183" s="16" t="e">
        <f>IF(OR(Data!B183="",Data!#REF!=""),"",IF(Data!#REF!="",1,0))</f>
        <v>#REF!</v>
      </c>
      <c r="K183" s="16" t="e">
        <f>IF(OR(Data!B183="",Data!#REF!=""),"",IF(Data!#REF!="",1,0))</f>
        <v>#REF!</v>
      </c>
      <c r="L183" s="16" t="e">
        <f>IF(OR(Data!B183="",Data!#REF!=""),"",IF(ISNUMBER(Data!#REF!),IF(AND(Data!#REF!&gt;Data_Val!$G$2,Data!#REF!&lt;=Data_Val!$G$3),0,1),1))</f>
        <v>#REF!</v>
      </c>
      <c r="M183" s="9" t="e">
        <f>IF(OR(Data!B183="",Data!#REF!=""),"",IF(ISNUMBER(MATCH(Data!#REF!,Data_Val!$F$1:$F$38,0)),0,1))</f>
        <v>#REF!</v>
      </c>
      <c r="N183" s="9" t="e">
        <f>IF(OR(Data!B183="",Data!#REF!=""),"",IF(Data!#REF!="",1,0))</f>
        <v>#REF!</v>
      </c>
      <c r="O183" s="17" t="e">
        <f>IF(Data!#REF!="","",IF(Data!#REF!="",1,0))</f>
        <v>#REF!</v>
      </c>
      <c r="P183" s="17" t="e">
        <f>IF(Data!#REF!="","",IF(ISNUMBER(MATCH(Data!#REF!,Data_Val!$A$2:$A$3,0)),0,1))</f>
        <v>#REF!</v>
      </c>
      <c r="Q183" s="25" t="e">
        <f ca="1">IF(Data!#REF!="","",IF(ISNUMBER(Data!#REF!),IF(AND(Data!#REF!&gt;(TODAY()-(Data_Val!$J$3*365.25)),Data!#REF!&lt;=(TODAY()-(Data_Val!$J$2*365.25))),0,1),1))</f>
        <v>#REF!</v>
      </c>
      <c r="R183" s="17" t="e">
        <f>IF(Data!#REF!="","",IF(ISNUMBER(MATCH(Data!#REF!,Data_Val!$B$2:$B$15,0)),0,1))</f>
        <v>#REF!</v>
      </c>
      <c r="S183" s="11" t="str">
        <f>IF(Data!G183="","",IF(Data!G183=Data_Val!$C$2,IF(Data!M183="",0,1),0))</f>
        <v/>
      </c>
      <c r="T183" s="11" t="str">
        <f>IF(Data!M183="","",IF(ISNUMBER(MATCH(Data!N183,Data_Val!$A$2:$A$3,0)),0,1))</f>
        <v/>
      </c>
      <c r="U183" s="11" t="str">
        <f ca="1">IF(Data!M183="","",IF(ISNUMBER(Data!O183),IF(AND(Data!O183&gt;(TODAY()-(Data_Val!$K$3*365.25)),Data!O183&lt;=(TODAY()-(Data_Val!$K$2*365.25))),0,1),1))</f>
        <v/>
      </c>
      <c r="V183" s="12" t="str">
        <f>IF(Data!G183="","",IF(Data!G183=Data_Val!$C$2,IF(Data!P183="",0,1),0))</f>
        <v/>
      </c>
      <c r="W183" s="12" t="str">
        <f>IF(Data!P183="","",IF(ISNUMBER(MATCH(Data!Q183,Data_Val!$A$2:$A$3,0)),0,1))</f>
        <v/>
      </c>
      <c r="X183" s="26" t="str">
        <f ca="1">IF(Data!P183="","",IF(ISNUMBER(Data!R183),IF(AND(Data!R183&gt;(TODAY()-(Data_Val!$L$3*365.25)),Data!R183&lt;=(TODAY()-(Data_Val!$L$2*365.25))),0,1),1))</f>
        <v/>
      </c>
      <c r="Y183" s="13" t="str">
        <f>IF(Data!$G183="","",IF(Data!$G183=Data_Val!$C$2,IF(Data!S183="",0,1),0))</f>
        <v/>
      </c>
      <c r="Z183" s="13" t="str">
        <f>IF(Data!S183="","",IF(ISNUMBER(MATCH(Data!T183,Data_Val!$A$2:$A$3,0)),0,1))</f>
        <v/>
      </c>
      <c r="AA183" s="28" t="str">
        <f ca="1">IF(Data!S183="","",IF(ISNUMBER(Data!U183),IF(AND(Data!U183&gt;(TODAY()-(Data_Val!$L$3*365.25)),Data!U183&lt;=(TODAY()-(Data_Val!$L$2*365.25))),0,1),1))</f>
        <v/>
      </c>
      <c r="AB183" s="11"/>
      <c r="AC183" s="11" t="e">
        <f>IF(Data!#REF!="","",IF(ISNUMBER(MATCH(Data!#REF!,Data_Val!$A$2:$A$3,0)),0,1))</f>
        <v>#REF!</v>
      </c>
      <c r="AD183" s="11" t="e">
        <f ca="1">IF(Data!#REF!="","",IF(ISNUMBER(Data!#REF!),IF(AND(Data!#REF!&gt;(TODAY()-(Data_Val!$L$3*365.25)),Data!#REF!&lt;=(TODAY()-(Data_Val!$L$2*365.25))),0,1),1))</f>
        <v>#REF!</v>
      </c>
      <c r="AE183" s="11" t="e">
        <f>IF(Data!#REF!="","",IF(Data!$G183="",1,IF(ISNUMBER(MATCH(Data!#REF!,Data_Val!$D$2:$D$10,0)),0,1)))</f>
        <v>#REF!</v>
      </c>
      <c r="AF183" s="12"/>
      <c r="AG183" s="12" t="e">
        <f>IF(Data!#REF!="","",IF(ISNUMBER(MATCH(Data!#REF!,Data_Val!$A$2:$A$3,0)),0,1))</f>
        <v>#REF!</v>
      </c>
      <c r="AH183" s="26" t="e">
        <f ca="1">IF(Data!#REF!="","",IF(ISNUMBER(Data!#REF!),IF(AND(Data!#REF!&gt;(TODAY()-(Data_Val!$L$3*365.25)),Data!#REF!&lt;=(TODAY()-(Data_Val!$L$2*365.25))),0,1),1))</f>
        <v>#REF!</v>
      </c>
      <c r="AI183" s="12" t="e">
        <f>IF(Data!#REF!="","",IF(Data!$G183="",1,IF(ISNUMBER(MATCH(Data!#REF!,Data_Val!$D$2:$D$10,0)),0,1)))</f>
        <v>#REF!</v>
      </c>
      <c r="AJ183" s="17"/>
      <c r="AK183" s="17" t="e">
        <f>IF(Data!#REF!="","",IF(ISNUMBER(MATCH(Data!#REF!,Data_Val!$A$2:$A$3,0)),0,1))</f>
        <v>#REF!</v>
      </c>
      <c r="AL183" s="25" t="e">
        <f ca="1">IF(Data!#REF!="","",IF(ISNUMBER(Data!#REF!),IF(AND(Data!#REF!&gt;(TODAY()-(Data_Val!$L$3*365.25)),Data!#REF!&lt;=(TODAY()-(Data_Val!$L$2*365.25))),0,1),1))</f>
        <v>#REF!</v>
      </c>
      <c r="AM183" s="17" t="e">
        <f>IF(Data!#REF!="","",IF(Data!$G183="",1,IF(ISNUMBER(MATCH(Data!#REF!,Data_Val!$D$2:$D$10,0)),0,1)))</f>
        <v>#REF!</v>
      </c>
      <c r="AN183" s="13"/>
      <c r="AO183" s="28" t="e">
        <f ca="1">IF(Data!#REF!="","",IF(ISNUMBER(Data!#REF!),IF(AND(Data!#REF!&gt;(TODAY()-(Data_Val!$I$3*365.25)),Data!#REF!&lt;=(TODAY()-(Data_Val!$I$2*365.25))),0,1),1))</f>
        <v>#REF!</v>
      </c>
      <c r="AP183" s="13" t="e">
        <f>IF(Data!#REF!="","",IF(Data!$G183="",1,IF(ISNUMBER(MATCH(Data!#REF!,Data_Val!$D$2:$D$10,0)),0,1)))</f>
        <v>#REF!</v>
      </c>
      <c r="AQ183" s="17"/>
      <c r="AR183" s="30" t="e">
        <f ca="1">IF(Data!#REF!="","",IF(ISNUMBER(Data!#REF!),IF(AND(Data!#REF!&gt;(TODAY()-(Data_Val!$I$3*365.25)),Data!#REF!&lt;=(TODAY()-(Data_Val!$I$2*365.25))),0,1),1))</f>
        <v>#REF!</v>
      </c>
      <c r="AS183" s="31" t="e">
        <f>IF(Data!#REF!="","",IF(Data!$G183="",1,IF(ISNUMBER(MATCH(Data!#REF!,Data_Val!$D$2:$D$10,0)),0,1)))</f>
        <v>#REF!</v>
      </c>
      <c r="AT183" s="11"/>
      <c r="AU183" s="11" t="e">
        <f ca="1">IF(Data!#REF!="","",IF(ISNUMBER(Data!#REF!),IF(AND(Data!#REF!&gt;(TODAY()-(Data_Val!$I$3*365.25)),Data!#REF!&lt;=(TODAY()-(Data_Val!$I$2*365.25))),0,1),1))</f>
        <v>#REF!</v>
      </c>
      <c r="AV183" s="11" t="e">
        <f>IF(Data!#REF!="","",IF(Data!$G183="",1,IF(ISNUMBER(MATCH(Data!#REF!,Data_Val!$D$2:$D$10,0)),0,1)))</f>
        <v>#REF!</v>
      </c>
      <c r="AW183" s="12"/>
      <c r="AX183" s="26" t="e">
        <f ca="1">IF(Data!#REF!="","",IF(ISNUMBER(Data!#REF!),IF(AND(Data!#REF!&gt;(TODAY()-(Data_Val!$I$3*365.25)),Data!#REF!&lt;=(TODAY()-(Data_Val!$I$2*365.25))),0,1),1))</f>
        <v>#REF!</v>
      </c>
      <c r="AY183" s="12" t="e">
        <f>IF(Data!#REF!="","",IF(Data!$G183="",1,IF(ISNUMBER(MATCH(Data!#REF!,Data_Val!$D$2:$D$10,0)),0,1)))</f>
        <v>#REF!</v>
      </c>
      <c r="AZ183" s="11"/>
      <c r="BA183" s="19" t="e">
        <f ca="1">IF(Data!#REF!="","",IF(ISNUMBER(Data!#REF!),IF(AND(Data!#REF!&gt;(TODAY()-(Data_Val!$M$3*365.25)),Data!#REF!&lt;=(TODAY()-(Data_Val!$M$2*365.25))),0,1),1))</f>
        <v>#REF!</v>
      </c>
      <c r="BB183" s="11" t="e">
        <f>IF(Data!#REF!="","",IF(Data!$G183="",1,IF(ISNUMBER(MATCH(Data!#REF!,Data_Val!$D$2:$D$10,0)),0,1)))</f>
        <v>#REF!</v>
      </c>
      <c r="BC183" s="12"/>
      <c r="BD183" s="20" t="e">
        <f ca="1">IF(Data!#REF!="","",IF(ISNUMBER(Data!#REF!),IF(AND(Data!#REF!&gt;(TODAY()-(Data_Val!$M$3*365.25)),Data!#REF!&lt;=(TODAY()-(Data_Val!$M$2*365.25))),0,1),1))</f>
        <v>#REF!</v>
      </c>
      <c r="BE183" s="12" t="e">
        <f>IF(Data!#REF!="","",IF(Data!$G183="",1,IF(ISNUMBER(MATCH(Data!#REF!,Data_Val!$D$2:$D$10,0)),0,1)))</f>
        <v>#REF!</v>
      </c>
      <c r="BF183" s="17"/>
      <c r="BG183" s="18" t="e">
        <f ca="1">IF(Data!#REF!="","",IF(ISNUMBER(Data!#REF!),IF(AND(Data!#REF!&gt;(TODAY()-(Data_Val!$M$3*365.25)),Data!#REF!&lt;=(TODAY()-(Data_Val!$M$2*365.25))),0,1),1))</f>
        <v>#REF!</v>
      </c>
      <c r="BH183" s="29" t="e">
        <f>IF(Data!#REF!="","",IF(Data!$G183="",1,IF(ISNUMBER(MATCH(Data!#REF!,Data_Val!$D$2:$D$10,0)),0,1)))</f>
        <v>#REF!</v>
      </c>
      <c r="BI183" s="13"/>
      <c r="BJ183" s="21" t="e">
        <f ca="1">IF(Data!#REF!="","",IF(ISNUMBER(Data!#REF!),IF(AND(Data!#REF!&gt;(TODAY()-(Data_Val!$M$3*365.25)),Data!#REF!&lt;=(TODAY()-(Data_Val!$M$2*365.25))),0,1),1))</f>
        <v>#REF!</v>
      </c>
      <c r="BK183" s="13" t="e">
        <f>IF(Data!#REF!="","",IF(Data!$G183="",1,IF(ISNUMBER(MATCH(Data!#REF!,Data_Val!$D$2:$D$10,0)),0,1)))</f>
        <v>#REF!</v>
      </c>
    </row>
    <row r="184" spans="1:63" x14ac:dyDescent="0.25">
      <c r="A184" s="9" t="str">
        <f>IF(Data!B184="","",IF(COUNTIFS(Data!A$1:'Data'!A184,Data!A184)&lt;=1,0,1))</f>
        <v/>
      </c>
      <c r="B184" s="9"/>
      <c r="C184" s="23" t="str">
        <f>IF(Data!C184="","",(IF(ISNUMBER(MATCH("*@*.?*",Data!C184,0)),0,1)+IF(COUNTIFS(Data!C$1:'Data'!C184,Data!C184)&gt;1,1,0)))</f>
        <v/>
      </c>
      <c r="D184" s="9" t="str">
        <f>IF(Data!B184="","",IF(ISNUMBER(Data!D184),IF(AND(Data!D184&gt;999999999,Data!D184&lt;=9999999999),IF(COUNTIFS(Data!D$1:'Data'!D184,Data!D184)&lt;=1,0,1),1),1))</f>
        <v/>
      </c>
      <c r="E184" s="9" t="str">
        <f>IF(Data!B184="","",IF(ISNUMBER(MATCH(Data!E184,Data_Val!$A$2:$A$3,0)),0,1))</f>
        <v/>
      </c>
      <c r="F184" s="9" t="str">
        <f ca="1">IF(Data!B184="","",IF(ISNUMBER(Data!F184),IF(AND(Data!F184&gt;(TODAY()-(Data_Val!$H$3*365.25)),Data!F184&lt;=(TODAY()-(Data_Val!$H$2*365.25))),0,1),1))</f>
        <v/>
      </c>
      <c r="G184" s="15" t="str">
        <f>IF(Data!B184="","",IF(AND(Data!G184="",Data!H184&lt;&gt;""),1,IF(Data!#REF!&lt;&gt;"",0,IF(ISNUMBER(MATCH(Data!G184,Data_Val!$C$2:$C$5,0)),0,1))))</f>
        <v/>
      </c>
      <c r="H184" s="15" t="str">
        <f>IF(Data!B184="","",IF(AND(Data!G184&lt;&gt;"",Data!H184=""),1,IF(Data!#REF!&lt;&gt;"",0,IF(Data!G184="",1,IF(ISNUMBER(MATCH(Data!H184,Data_Val!$D$2:$D$35,0)),0,1)))))</f>
        <v/>
      </c>
      <c r="I184" s="15" t="str">
        <f>IF(Data!B184="","",IF(Data!G184&lt;&gt;"",0,IF(ISNUMBER(MATCH(Data!#REF!,Data_Val!$E$2:$E$12,0)),0,1)))</f>
        <v/>
      </c>
      <c r="J184" s="16" t="e">
        <f>IF(OR(Data!B184="",Data!#REF!=""),"",IF(Data!#REF!="",1,0))</f>
        <v>#REF!</v>
      </c>
      <c r="K184" s="16" t="e">
        <f>IF(OR(Data!B184="",Data!#REF!=""),"",IF(Data!#REF!="",1,0))</f>
        <v>#REF!</v>
      </c>
      <c r="L184" s="16" t="e">
        <f>IF(OR(Data!B184="",Data!#REF!=""),"",IF(ISNUMBER(Data!#REF!),IF(AND(Data!#REF!&gt;Data_Val!$G$2,Data!#REF!&lt;=Data_Val!$G$3),0,1),1))</f>
        <v>#REF!</v>
      </c>
      <c r="M184" s="9" t="e">
        <f>IF(OR(Data!B184="",Data!#REF!=""),"",IF(ISNUMBER(MATCH(Data!#REF!,Data_Val!$F$1:$F$38,0)),0,1))</f>
        <v>#REF!</v>
      </c>
      <c r="N184" s="9" t="e">
        <f>IF(OR(Data!B184="",Data!#REF!=""),"",IF(Data!#REF!="",1,0))</f>
        <v>#REF!</v>
      </c>
      <c r="O184" s="17" t="e">
        <f>IF(Data!#REF!="","",IF(Data!#REF!="",1,0))</f>
        <v>#REF!</v>
      </c>
      <c r="P184" s="17" t="e">
        <f>IF(Data!#REF!="","",IF(ISNUMBER(MATCH(Data!#REF!,Data_Val!$A$2:$A$3,0)),0,1))</f>
        <v>#REF!</v>
      </c>
      <c r="Q184" s="25" t="e">
        <f ca="1">IF(Data!#REF!="","",IF(ISNUMBER(Data!#REF!),IF(AND(Data!#REF!&gt;(TODAY()-(Data_Val!$J$3*365.25)),Data!#REF!&lt;=(TODAY()-(Data_Val!$J$2*365.25))),0,1),1))</f>
        <v>#REF!</v>
      </c>
      <c r="R184" s="17" t="e">
        <f>IF(Data!#REF!="","",IF(ISNUMBER(MATCH(Data!#REF!,Data_Val!$B$2:$B$15,0)),0,1))</f>
        <v>#REF!</v>
      </c>
      <c r="S184" s="11" t="str">
        <f>IF(Data!G184="","",IF(Data!G184=Data_Val!$C$2,IF(Data!M184="",0,1),0))</f>
        <v/>
      </c>
      <c r="T184" s="11" t="str">
        <f>IF(Data!M184="","",IF(ISNUMBER(MATCH(Data!N184,Data_Val!$A$2:$A$3,0)),0,1))</f>
        <v/>
      </c>
      <c r="U184" s="11" t="str">
        <f ca="1">IF(Data!M184="","",IF(ISNUMBER(Data!O184),IF(AND(Data!O184&gt;(TODAY()-(Data_Val!$K$3*365.25)),Data!O184&lt;=(TODAY()-(Data_Val!$K$2*365.25))),0,1),1))</f>
        <v/>
      </c>
      <c r="V184" s="12" t="str">
        <f>IF(Data!G184="","",IF(Data!G184=Data_Val!$C$2,IF(Data!P184="",0,1),0))</f>
        <v/>
      </c>
      <c r="W184" s="12" t="str">
        <f>IF(Data!P184="","",IF(ISNUMBER(MATCH(Data!Q184,Data_Val!$A$2:$A$3,0)),0,1))</f>
        <v/>
      </c>
      <c r="X184" s="26" t="str">
        <f ca="1">IF(Data!P184="","",IF(ISNUMBER(Data!R184),IF(AND(Data!R184&gt;(TODAY()-(Data_Val!$L$3*365.25)),Data!R184&lt;=(TODAY()-(Data_Val!$L$2*365.25))),0,1),1))</f>
        <v/>
      </c>
      <c r="Y184" s="13" t="str">
        <f>IF(Data!$G184="","",IF(Data!$G184=Data_Val!$C$2,IF(Data!S184="",0,1),0))</f>
        <v/>
      </c>
      <c r="Z184" s="13" t="str">
        <f>IF(Data!S184="","",IF(ISNUMBER(MATCH(Data!T184,Data_Val!$A$2:$A$3,0)),0,1))</f>
        <v/>
      </c>
      <c r="AA184" s="28" t="str">
        <f ca="1">IF(Data!S184="","",IF(ISNUMBER(Data!U184),IF(AND(Data!U184&gt;(TODAY()-(Data_Val!$L$3*365.25)),Data!U184&lt;=(TODAY()-(Data_Val!$L$2*365.25))),0,1),1))</f>
        <v/>
      </c>
      <c r="AB184" s="11"/>
      <c r="AC184" s="11" t="e">
        <f>IF(Data!#REF!="","",IF(ISNUMBER(MATCH(Data!#REF!,Data_Val!$A$2:$A$3,0)),0,1))</f>
        <v>#REF!</v>
      </c>
      <c r="AD184" s="11" t="e">
        <f ca="1">IF(Data!#REF!="","",IF(ISNUMBER(Data!#REF!),IF(AND(Data!#REF!&gt;(TODAY()-(Data_Val!$L$3*365.25)),Data!#REF!&lt;=(TODAY()-(Data_Val!$L$2*365.25))),0,1),1))</f>
        <v>#REF!</v>
      </c>
      <c r="AE184" s="11" t="e">
        <f>IF(Data!#REF!="","",IF(Data!$G184="",1,IF(ISNUMBER(MATCH(Data!#REF!,Data_Val!$D$2:$D$10,0)),0,1)))</f>
        <v>#REF!</v>
      </c>
      <c r="AF184" s="12"/>
      <c r="AG184" s="12" t="e">
        <f>IF(Data!#REF!="","",IF(ISNUMBER(MATCH(Data!#REF!,Data_Val!$A$2:$A$3,0)),0,1))</f>
        <v>#REF!</v>
      </c>
      <c r="AH184" s="26" t="e">
        <f ca="1">IF(Data!#REF!="","",IF(ISNUMBER(Data!#REF!),IF(AND(Data!#REF!&gt;(TODAY()-(Data_Val!$L$3*365.25)),Data!#REF!&lt;=(TODAY()-(Data_Val!$L$2*365.25))),0,1),1))</f>
        <v>#REF!</v>
      </c>
      <c r="AI184" s="12" t="e">
        <f>IF(Data!#REF!="","",IF(Data!$G184="",1,IF(ISNUMBER(MATCH(Data!#REF!,Data_Val!$D$2:$D$10,0)),0,1)))</f>
        <v>#REF!</v>
      </c>
      <c r="AJ184" s="17"/>
      <c r="AK184" s="17" t="e">
        <f>IF(Data!#REF!="","",IF(ISNUMBER(MATCH(Data!#REF!,Data_Val!$A$2:$A$3,0)),0,1))</f>
        <v>#REF!</v>
      </c>
      <c r="AL184" s="25" t="e">
        <f ca="1">IF(Data!#REF!="","",IF(ISNUMBER(Data!#REF!),IF(AND(Data!#REF!&gt;(TODAY()-(Data_Val!$L$3*365.25)),Data!#REF!&lt;=(TODAY()-(Data_Val!$L$2*365.25))),0,1),1))</f>
        <v>#REF!</v>
      </c>
      <c r="AM184" s="17" t="e">
        <f>IF(Data!#REF!="","",IF(Data!$G184="",1,IF(ISNUMBER(MATCH(Data!#REF!,Data_Val!$D$2:$D$10,0)),0,1)))</f>
        <v>#REF!</v>
      </c>
      <c r="AN184" s="13"/>
      <c r="AO184" s="28" t="e">
        <f ca="1">IF(Data!#REF!="","",IF(ISNUMBER(Data!#REF!),IF(AND(Data!#REF!&gt;(TODAY()-(Data_Val!$I$3*365.25)),Data!#REF!&lt;=(TODAY()-(Data_Val!$I$2*365.25))),0,1),1))</f>
        <v>#REF!</v>
      </c>
      <c r="AP184" s="13" t="e">
        <f>IF(Data!#REF!="","",IF(Data!$G184="",1,IF(ISNUMBER(MATCH(Data!#REF!,Data_Val!$D$2:$D$10,0)),0,1)))</f>
        <v>#REF!</v>
      </c>
      <c r="AQ184" s="17"/>
      <c r="AR184" s="30" t="e">
        <f ca="1">IF(Data!#REF!="","",IF(ISNUMBER(Data!#REF!),IF(AND(Data!#REF!&gt;(TODAY()-(Data_Val!$I$3*365.25)),Data!#REF!&lt;=(TODAY()-(Data_Val!$I$2*365.25))),0,1),1))</f>
        <v>#REF!</v>
      </c>
      <c r="AS184" s="31" t="e">
        <f>IF(Data!#REF!="","",IF(Data!$G184="",1,IF(ISNUMBER(MATCH(Data!#REF!,Data_Val!$D$2:$D$10,0)),0,1)))</f>
        <v>#REF!</v>
      </c>
      <c r="AT184" s="11"/>
      <c r="AU184" s="11" t="e">
        <f ca="1">IF(Data!#REF!="","",IF(ISNUMBER(Data!#REF!),IF(AND(Data!#REF!&gt;(TODAY()-(Data_Val!$I$3*365.25)),Data!#REF!&lt;=(TODAY()-(Data_Val!$I$2*365.25))),0,1),1))</f>
        <v>#REF!</v>
      </c>
      <c r="AV184" s="11" t="e">
        <f>IF(Data!#REF!="","",IF(Data!$G184="",1,IF(ISNUMBER(MATCH(Data!#REF!,Data_Val!$D$2:$D$10,0)),0,1)))</f>
        <v>#REF!</v>
      </c>
      <c r="AW184" s="12"/>
      <c r="AX184" s="26" t="e">
        <f ca="1">IF(Data!#REF!="","",IF(ISNUMBER(Data!#REF!),IF(AND(Data!#REF!&gt;(TODAY()-(Data_Val!$I$3*365.25)),Data!#REF!&lt;=(TODAY()-(Data_Val!$I$2*365.25))),0,1),1))</f>
        <v>#REF!</v>
      </c>
      <c r="AY184" s="12" t="e">
        <f>IF(Data!#REF!="","",IF(Data!$G184="",1,IF(ISNUMBER(MATCH(Data!#REF!,Data_Val!$D$2:$D$10,0)),0,1)))</f>
        <v>#REF!</v>
      </c>
      <c r="AZ184" s="11"/>
      <c r="BA184" s="19" t="e">
        <f ca="1">IF(Data!#REF!="","",IF(ISNUMBER(Data!#REF!),IF(AND(Data!#REF!&gt;(TODAY()-(Data_Val!$M$3*365.25)),Data!#REF!&lt;=(TODAY()-(Data_Val!$M$2*365.25))),0,1),1))</f>
        <v>#REF!</v>
      </c>
      <c r="BB184" s="11" t="e">
        <f>IF(Data!#REF!="","",IF(Data!$G184="",1,IF(ISNUMBER(MATCH(Data!#REF!,Data_Val!$D$2:$D$10,0)),0,1)))</f>
        <v>#REF!</v>
      </c>
      <c r="BC184" s="12"/>
      <c r="BD184" s="20" t="e">
        <f ca="1">IF(Data!#REF!="","",IF(ISNUMBER(Data!#REF!),IF(AND(Data!#REF!&gt;(TODAY()-(Data_Val!$M$3*365.25)),Data!#REF!&lt;=(TODAY()-(Data_Val!$M$2*365.25))),0,1),1))</f>
        <v>#REF!</v>
      </c>
      <c r="BE184" s="12" t="e">
        <f>IF(Data!#REF!="","",IF(Data!$G184="",1,IF(ISNUMBER(MATCH(Data!#REF!,Data_Val!$D$2:$D$10,0)),0,1)))</f>
        <v>#REF!</v>
      </c>
      <c r="BF184" s="17"/>
      <c r="BG184" s="18" t="e">
        <f ca="1">IF(Data!#REF!="","",IF(ISNUMBER(Data!#REF!),IF(AND(Data!#REF!&gt;(TODAY()-(Data_Val!$M$3*365.25)),Data!#REF!&lt;=(TODAY()-(Data_Val!$M$2*365.25))),0,1),1))</f>
        <v>#REF!</v>
      </c>
      <c r="BH184" s="29" t="e">
        <f>IF(Data!#REF!="","",IF(Data!$G184="",1,IF(ISNUMBER(MATCH(Data!#REF!,Data_Val!$D$2:$D$10,0)),0,1)))</f>
        <v>#REF!</v>
      </c>
      <c r="BI184" s="13"/>
      <c r="BJ184" s="21" t="e">
        <f ca="1">IF(Data!#REF!="","",IF(ISNUMBER(Data!#REF!),IF(AND(Data!#REF!&gt;(TODAY()-(Data_Val!$M$3*365.25)),Data!#REF!&lt;=(TODAY()-(Data_Val!$M$2*365.25))),0,1),1))</f>
        <v>#REF!</v>
      </c>
      <c r="BK184" s="13" t="e">
        <f>IF(Data!#REF!="","",IF(Data!$G184="",1,IF(ISNUMBER(MATCH(Data!#REF!,Data_Val!$D$2:$D$10,0)),0,1)))</f>
        <v>#REF!</v>
      </c>
    </row>
    <row r="185" spans="1:63" x14ac:dyDescent="0.25">
      <c r="A185" s="9" t="str">
        <f>IF(Data!B185="","",IF(COUNTIFS(Data!A$1:'Data'!A185,Data!A185)&lt;=1,0,1))</f>
        <v/>
      </c>
      <c r="B185" s="9"/>
      <c r="C185" s="23" t="str">
        <f>IF(Data!C185="","",(IF(ISNUMBER(MATCH("*@*.?*",Data!C185,0)),0,1)+IF(COUNTIFS(Data!C$1:'Data'!C185,Data!C185)&gt;1,1,0)))</f>
        <v/>
      </c>
      <c r="D185" s="9" t="str">
        <f>IF(Data!B185="","",IF(ISNUMBER(Data!D185),IF(AND(Data!D185&gt;999999999,Data!D185&lt;=9999999999),IF(COUNTIFS(Data!D$1:'Data'!D185,Data!D185)&lt;=1,0,1),1),1))</f>
        <v/>
      </c>
      <c r="E185" s="9" t="str">
        <f>IF(Data!B185="","",IF(ISNUMBER(MATCH(Data!E185,Data_Val!$A$2:$A$3,0)),0,1))</f>
        <v/>
      </c>
      <c r="F185" s="9" t="str">
        <f ca="1">IF(Data!B185="","",IF(ISNUMBER(Data!F185),IF(AND(Data!F185&gt;(TODAY()-(Data_Val!$H$3*365.25)),Data!F185&lt;=(TODAY()-(Data_Val!$H$2*365.25))),0,1),1))</f>
        <v/>
      </c>
      <c r="G185" s="15" t="str">
        <f>IF(Data!B185="","",IF(AND(Data!G185="",Data!H185&lt;&gt;""),1,IF(Data!#REF!&lt;&gt;"",0,IF(ISNUMBER(MATCH(Data!G185,Data_Val!$C$2:$C$5,0)),0,1))))</f>
        <v/>
      </c>
      <c r="H185" s="15" t="str">
        <f>IF(Data!B185="","",IF(AND(Data!G185&lt;&gt;"",Data!H185=""),1,IF(Data!#REF!&lt;&gt;"",0,IF(Data!G185="",1,IF(ISNUMBER(MATCH(Data!H185,Data_Val!$D$2:$D$35,0)),0,1)))))</f>
        <v/>
      </c>
      <c r="I185" s="15" t="str">
        <f>IF(Data!B185="","",IF(Data!G185&lt;&gt;"",0,IF(ISNUMBER(MATCH(Data!#REF!,Data_Val!$E$2:$E$12,0)),0,1)))</f>
        <v/>
      </c>
      <c r="J185" s="16" t="e">
        <f>IF(OR(Data!B185="",Data!#REF!=""),"",IF(Data!#REF!="",1,0))</f>
        <v>#REF!</v>
      </c>
      <c r="K185" s="16" t="e">
        <f>IF(OR(Data!B185="",Data!#REF!=""),"",IF(Data!#REF!="",1,0))</f>
        <v>#REF!</v>
      </c>
      <c r="L185" s="16" t="e">
        <f>IF(OR(Data!B185="",Data!#REF!=""),"",IF(ISNUMBER(Data!#REF!),IF(AND(Data!#REF!&gt;Data_Val!$G$2,Data!#REF!&lt;=Data_Val!$G$3),0,1),1))</f>
        <v>#REF!</v>
      </c>
      <c r="M185" s="9" t="e">
        <f>IF(OR(Data!B185="",Data!#REF!=""),"",IF(ISNUMBER(MATCH(Data!#REF!,Data_Val!$F$1:$F$38,0)),0,1))</f>
        <v>#REF!</v>
      </c>
      <c r="N185" s="9" t="e">
        <f>IF(OR(Data!B185="",Data!#REF!=""),"",IF(Data!#REF!="",1,0))</f>
        <v>#REF!</v>
      </c>
      <c r="O185" s="17" t="e">
        <f>IF(Data!#REF!="","",IF(Data!#REF!="",1,0))</f>
        <v>#REF!</v>
      </c>
      <c r="P185" s="17" t="e">
        <f>IF(Data!#REF!="","",IF(ISNUMBER(MATCH(Data!#REF!,Data_Val!$A$2:$A$3,0)),0,1))</f>
        <v>#REF!</v>
      </c>
      <c r="Q185" s="25" t="e">
        <f ca="1">IF(Data!#REF!="","",IF(ISNUMBER(Data!#REF!),IF(AND(Data!#REF!&gt;(TODAY()-(Data_Val!$J$3*365.25)),Data!#REF!&lt;=(TODAY()-(Data_Val!$J$2*365.25))),0,1),1))</f>
        <v>#REF!</v>
      </c>
      <c r="R185" s="17" t="e">
        <f>IF(Data!#REF!="","",IF(ISNUMBER(MATCH(Data!#REF!,Data_Val!$B$2:$B$15,0)),0,1))</f>
        <v>#REF!</v>
      </c>
      <c r="S185" s="11" t="str">
        <f>IF(Data!G185="","",IF(Data!G185=Data_Val!$C$2,IF(Data!M185="",0,1),0))</f>
        <v/>
      </c>
      <c r="T185" s="11" t="str">
        <f>IF(Data!M185="","",IF(ISNUMBER(MATCH(Data!N185,Data_Val!$A$2:$A$3,0)),0,1))</f>
        <v/>
      </c>
      <c r="U185" s="11" t="str">
        <f ca="1">IF(Data!M185="","",IF(ISNUMBER(Data!O185),IF(AND(Data!O185&gt;(TODAY()-(Data_Val!$K$3*365.25)),Data!O185&lt;=(TODAY()-(Data_Val!$K$2*365.25))),0,1),1))</f>
        <v/>
      </c>
      <c r="V185" s="12" t="str">
        <f>IF(Data!G185="","",IF(Data!G185=Data_Val!$C$2,IF(Data!P185="",0,1),0))</f>
        <v/>
      </c>
      <c r="W185" s="12" t="str">
        <f>IF(Data!P185="","",IF(ISNUMBER(MATCH(Data!Q185,Data_Val!$A$2:$A$3,0)),0,1))</f>
        <v/>
      </c>
      <c r="X185" s="26" t="str">
        <f ca="1">IF(Data!P185="","",IF(ISNUMBER(Data!R185),IF(AND(Data!R185&gt;(TODAY()-(Data_Val!$L$3*365.25)),Data!R185&lt;=(TODAY()-(Data_Val!$L$2*365.25))),0,1),1))</f>
        <v/>
      </c>
      <c r="Y185" s="13" t="str">
        <f>IF(Data!$G185="","",IF(Data!$G185=Data_Val!$C$2,IF(Data!S185="",0,1),0))</f>
        <v/>
      </c>
      <c r="Z185" s="13" t="str">
        <f>IF(Data!S185="","",IF(ISNUMBER(MATCH(Data!T185,Data_Val!$A$2:$A$3,0)),0,1))</f>
        <v/>
      </c>
      <c r="AA185" s="28" t="str">
        <f ca="1">IF(Data!S185="","",IF(ISNUMBER(Data!U185),IF(AND(Data!U185&gt;(TODAY()-(Data_Val!$L$3*365.25)),Data!U185&lt;=(TODAY()-(Data_Val!$L$2*365.25))),0,1),1))</f>
        <v/>
      </c>
      <c r="AB185" s="11"/>
      <c r="AC185" s="11" t="e">
        <f>IF(Data!#REF!="","",IF(ISNUMBER(MATCH(Data!#REF!,Data_Val!$A$2:$A$3,0)),0,1))</f>
        <v>#REF!</v>
      </c>
      <c r="AD185" s="11" t="e">
        <f ca="1">IF(Data!#REF!="","",IF(ISNUMBER(Data!#REF!),IF(AND(Data!#REF!&gt;(TODAY()-(Data_Val!$L$3*365.25)),Data!#REF!&lt;=(TODAY()-(Data_Val!$L$2*365.25))),0,1),1))</f>
        <v>#REF!</v>
      </c>
      <c r="AE185" s="11" t="e">
        <f>IF(Data!#REF!="","",IF(Data!$G185="",1,IF(ISNUMBER(MATCH(Data!#REF!,Data_Val!$D$2:$D$10,0)),0,1)))</f>
        <v>#REF!</v>
      </c>
      <c r="AF185" s="12"/>
      <c r="AG185" s="12" t="e">
        <f>IF(Data!#REF!="","",IF(ISNUMBER(MATCH(Data!#REF!,Data_Val!$A$2:$A$3,0)),0,1))</f>
        <v>#REF!</v>
      </c>
      <c r="AH185" s="26" t="e">
        <f ca="1">IF(Data!#REF!="","",IF(ISNUMBER(Data!#REF!),IF(AND(Data!#REF!&gt;(TODAY()-(Data_Val!$L$3*365.25)),Data!#REF!&lt;=(TODAY()-(Data_Val!$L$2*365.25))),0,1),1))</f>
        <v>#REF!</v>
      </c>
      <c r="AI185" s="12" t="e">
        <f>IF(Data!#REF!="","",IF(Data!$G185="",1,IF(ISNUMBER(MATCH(Data!#REF!,Data_Val!$D$2:$D$10,0)),0,1)))</f>
        <v>#REF!</v>
      </c>
      <c r="AJ185" s="17"/>
      <c r="AK185" s="17" t="e">
        <f>IF(Data!#REF!="","",IF(ISNUMBER(MATCH(Data!#REF!,Data_Val!$A$2:$A$3,0)),0,1))</f>
        <v>#REF!</v>
      </c>
      <c r="AL185" s="25" t="e">
        <f ca="1">IF(Data!#REF!="","",IF(ISNUMBER(Data!#REF!),IF(AND(Data!#REF!&gt;(TODAY()-(Data_Val!$L$3*365.25)),Data!#REF!&lt;=(TODAY()-(Data_Val!$L$2*365.25))),0,1),1))</f>
        <v>#REF!</v>
      </c>
      <c r="AM185" s="17" t="e">
        <f>IF(Data!#REF!="","",IF(Data!$G185="",1,IF(ISNUMBER(MATCH(Data!#REF!,Data_Val!$D$2:$D$10,0)),0,1)))</f>
        <v>#REF!</v>
      </c>
      <c r="AN185" s="13"/>
      <c r="AO185" s="28" t="e">
        <f ca="1">IF(Data!#REF!="","",IF(ISNUMBER(Data!#REF!),IF(AND(Data!#REF!&gt;(TODAY()-(Data_Val!$I$3*365.25)),Data!#REF!&lt;=(TODAY()-(Data_Val!$I$2*365.25))),0,1),1))</f>
        <v>#REF!</v>
      </c>
      <c r="AP185" s="13" t="e">
        <f>IF(Data!#REF!="","",IF(Data!$G185="",1,IF(ISNUMBER(MATCH(Data!#REF!,Data_Val!$D$2:$D$10,0)),0,1)))</f>
        <v>#REF!</v>
      </c>
      <c r="AQ185" s="17"/>
      <c r="AR185" s="30" t="e">
        <f ca="1">IF(Data!#REF!="","",IF(ISNUMBER(Data!#REF!),IF(AND(Data!#REF!&gt;(TODAY()-(Data_Val!$I$3*365.25)),Data!#REF!&lt;=(TODAY()-(Data_Val!$I$2*365.25))),0,1),1))</f>
        <v>#REF!</v>
      </c>
      <c r="AS185" s="31" t="e">
        <f>IF(Data!#REF!="","",IF(Data!$G185="",1,IF(ISNUMBER(MATCH(Data!#REF!,Data_Val!$D$2:$D$10,0)),0,1)))</f>
        <v>#REF!</v>
      </c>
      <c r="AT185" s="11"/>
      <c r="AU185" s="11" t="e">
        <f ca="1">IF(Data!#REF!="","",IF(ISNUMBER(Data!#REF!),IF(AND(Data!#REF!&gt;(TODAY()-(Data_Val!$I$3*365.25)),Data!#REF!&lt;=(TODAY()-(Data_Val!$I$2*365.25))),0,1),1))</f>
        <v>#REF!</v>
      </c>
      <c r="AV185" s="11" t="e">
        <f>IF(Data!#REF!="","",IF(Data!$G185="",1,IF(ISNUMBER(MATCH(Data!#REF!,Data_Val!$D$2:$D$10,0)),0,1)))</f>
        <v>#REF!</v>
      </c>
      <c r="AW185" s="12"/>
      <c r="AX185" s="26" t="e">
        <f ca="1">IF(Data!#REF!="","",IF(ISNUMBER(Data!#REF!),IF(AND(Data!#REF!&gt;(TODAY()-(Data_Val!$I$3*365.25)),Data!#REF!&lt;=(TODAY()-(Data_Val!$I$2*365.25))),0,1),1))</f>
        <v>#REF!</v>
      </c>
      <c r="AY185" s="12" t="e">
        <f>IF(Data!#REF!="","",IF(Data!$G185="",1,IF(ISNUMBER(MATCH(Data!#REF!,Data_Val!$D$2:$D$10,0)),0,1)))</f>
        <v>#REF!</v>
      </c>
      <c r="AZ185" s="11"/>
      <c r="BA185" s="19" t="e">
        <f ca="1">IF(Data!#REF!="","",IF(ISNUMBER(Data!#REF!),IF(AND(Data!#REF!&gt;(TODAY()-(Data_Val!$M$3*365.25)),Data!#REF!&lt;=(TODAY()-(Data_Val!$M$2*365.25))),0,1),1))</f>
        <v>#REF!</v>
      </c>
      <c r="BB185" s="11" t="e">
        <f>IF(Data!#REF!="","",IF(Data!$G185="",1,IF(ISNUMBER(MATCH(Data!#REF!,Data_Val!$D$2:$D$10,0)),0,1)))</f>
        <v>#REF!</v>
      </c>
      <c r="BC185" s="12"/>
      <c r="BD185" s="20" t="e">
        <f ca="1">IF(Data!#REF!="","",IF(ISNUMBER(Data!#REF!),IF(AND(Data!#REF!&gt;(TODAY()-(Data_Val!$M$3*365.25)),Data!#REF!&lt;=(TODAY()-(Data_Val!$M$2*365.25))),0,1),1))</f>
        <v>#REF!</v>
      </c>
      <c r="BE185" s="12" t="e">
        <f>IF(Data!#REF!="","",IF(Data!$G185="",1,IF(ISNUMBER(MATCH(Data!#REF!,Data_Val!$D$2:$D$10,0)),0,1)))</f>
        <v>#REF!</v>
      </c>
      <c r="BF185" s="17"/>
      <c r="BG185" s="18" t="e">
        <f ca="1">IF(Data!#REF!="","",IF(ISNUMBER(Data!#REF!),IF(AND(Data!#REF!&gt;(TODAY()-(Data_Val!$M$3*365.25)),Data!#REF!&lt;=(TODAY()-(Data_Val!$M$2*365.25))),0,1),1))</f>
        <v>#REF!</v>
      </c>
      <c r="BH185" s="29" t="e">
        <f>IF(Data!#REF!="","",IF(Data!$G185="",1,IF(ISNUMBER(MATCH(Data!#REF!,Data_Val!$D$2:$D$10,0)),0,1)))</f>
        <v>#REF!</v>
      </c>
      <c r="BI185" s="13"/>
      <c r="BJ185" s="21" t="e">
        <f ca="1">IF(Data!#REF!="","",IF(ISNUMBER(Data!#REF!),IF(AND(Data!#REF!&gt;(TODAY()-(Data_Val!$M$3*365.25)),Data!#REF!&lt;=(TODAY()-(Data_Val!$M$2*365.25))),0,1),1))</f>
        <v>#REF!</v>
      </c>
      <c r="BK185" s="13" t="e">
        <f>IF(Data!#REF!="","",IF(Data!$G185="",1,IF(ISNUMBER(MATCH(Data!#REF!,Data_Val!$D$2:$D$10,0)),0,1)))</f>
        <v>#REF!</v>
      </c>
    </row>
    <row r="186" spans="1:63" x14ac:dyDescent="0.25">
      <c r="A186" s="9" t="str">
        <f>IF(Data!B186="","",IF(COUNTIFS(Data!A$1:'Data'!A186,Data!A186)&lt;=1,0,1))</f>
        <v/>
      </c>
      <c r="B186" s="9"/>
      <c r="C186" s="23" t="str">
        <f>IF(Data!C186="","",(IF(ISNUMBER(MATCH("*@*.?*",Data!C186,0)),0,1)+IF(COUNTIFS(Data!C$1:'Data'!C186,Data!C186)&gt;1,1,0)))</f>
        <v/>
      </c>
      <c r="D186" s="9" t="str">
        <f>IF(Data!B186="","",IF(ISNUMBER(Data!D186),IF(AND(Data!D186&gt;999999999,Data!D186&lt;=9999999999),IF(COUNTIFS(Data!D$1:'Data'!D186,Data!D186)&lt;=1,0,1),1),1))</f>
        <v/>
      </c>
      <c r="E186" s="9" t="str">
        <f>IF(Data!B186="","",IF(ISNUMBER(MATCH(Data!E186,Data_Val!$A$2:$A$3,0)),0,1))</f>
        <v/>
      </c>
      <c r="F186" s="9" t="str">
        <f ca="1">IF(Data!B186="","",IF(ISNUMBER(Data!F186),IF(AND(Data!F186&gt;(TODAY()-(Data_Val!$H$3*365.25)),Data!F186&lt;=(TODAY()-(Data_Val!$H$2*365.25))),0,1),1))</f>
        <v/>
      </c>
      <c r="G186" s="15" t="str">
        <f>IF(Data!B186="","",IF(AND(Data!G186="",Data!H186&lt;&gt;""),1,IF(Data!#REF!&lt;&gt;"",0,IF(ISNUMBER(MATCH(Data!G186,Data_Val!$C$2:$C$5,0)),0,1))))</f>
        <v/>
      </c>
      <c r="H186" s="15" t="str">
        <f>IF(Data!B186="","",IF(AND(Data!G186&lt;&gt;"",Data!H186=""),1,IF(Data!#REF!&lt;&gt;"",0,IF(Data!G186="",1,IF(ISNUMBER(MATCH(Data!H186,Data_Val!$D$2:$D$35,0)),0,1)))))</f>
        <v/>
      </c>
      <c r="I186" s="15" t="str">
        <f>IF(Data!B186="","",IF(Data!G186&lt;&gt;"",0,IF(ISNUMBER(MATCH(Data!#REF!,Data_Val!$E$2:$E$12,0)),0,1)))</f>
        <v/>
      </c>
      <c r="J186" s="16" t="e">
        <f>IF(OR(Data!B186="",Data!#REF!=""),"",IF(Data!#REF!="",1,0))</f>
        <v>#REF!</v>
      </c>
      <c r="K186" s="16" t="e">
        <f>IF(OR(Data!B186="",Data!#REF!=""),"",IF(Data!#REF!="",1,0))</f>
        <v>#REF!</v>
      </c>
      <c r="L186" s="16" t="e">
        <f>IF(OR(Data!B186="",Data!#REF!=""),"",IF(ISNUMBER(Data!#REF!),IF(AND(Data!#REF!&gt;Data_Val!$G$2,Data!#REF!&lt;=Data_Val!$G$3),0,1),1))</f>
        <v>#REF!</v>
      </c>
      <c r="M186" s="9" t="e">
        <f>IF(OR(Data!B186="",Data!#REF!=""),"",IF(ISNUMBER(MATCH(Data!#REF!,Data_Val!$F$1:$F$38,0)),0,1))</f>
        <v>#REF!</v>
      </c>
      <c r="N186" s="9" t="e">
        <f>IF(OR(Data!B186="",Data!#REF!=""),"",IF(Data!#REF!="",1,0))</f>
        <v>#REF!</v>
      </c>
      <c r="O186" s="17" t="e">
        <f>IF(Data!#REF!="","",IF(Data!#REF!="",1,0))</f>
        <v>#REF!</v>
      </c>
      <c r="P186" s="17" t="e">
        <f>IF(Data!#REF!="","",IF(ISNUMBER(MATCH(Data!#REF!,Data_Val!$A$2:$A$3,0)),0,1))</f>
        <v>#REF!</v>
      </c>
      <c r="Q186" s="25" t="e">
        <f ca="1">IF(Data!#REF!="","",IF(ISNUMBER(Data!#REF!),IF(AND(Data!#REF!&gt;(TODAY()-(Data_Val!$J$3*365.25)),Data!#REF!&lt;=(TODAY()-(Data_Val!$J$2*365.25))),0,1),1))</f>
        <v>#REF!</v>
      </c>
      <c r="R186" s="17" t="e">
        <f>IF(Data!#REF!="","",IF(ISNUMBER(MATCH(Data!#REF!,Data_Val!$B$2:$B$15,0)),0,1))</f>
        <v>#REF!</v>
      </c>
      <c r="S186" s="11" t="str">
        <f>IF(Data!G186="","",IF(Data!G186=Data_Val!$C$2,IF(Data!M186="",0,1),0))</f>
        <v/>
      </c>
      <c r="T186" s="11" t="str">
        <f>IF(Data!M186="","",IF(ISNUMBER(MATCH(Data!N186,Data_Val!$A$2:$A$3,0)),0,1))</f>
        <v/>
      </c>
      <c r="U186" s="11" t="str">
        <f ca="1">IF(Data!M186="","",IF(ISNUMBER(Data!O186),IF(AND(Data!O186&gt;(TODAY()-(Data_Val!$K$3*365.25)),Data!O186&lt;=(TODAY()-(Data_Val!$K$2*365.25))),0,1),1))</f>
        <v/>
      </c>
      <c r="V186" s="12" t="str">
        <f>IF(Data!G186="","",IF(Data!G186=Data_Val!$C$2,IF(Data!P186="",0,1),0))</f>
        <v/>
      </c>
      <c r="W186" s="12" t="str">
        <f>IF(Data!P186="","",IF(ISNUMBER(MATCH(Data!Q186,Data_Val!$A$2:$A$3,0)),0,1))</f>
        <v/>
      </c>
      <c r="X186" s="26" t="str">
        <f ca="1">IF(Data!P186="","",IF(ISNUMBER(Data!R186),IF(AND(Data!R186&gt;(TODAY()-(Data_Val!$L$3*365.25)),Data!R186&lt;=(TODAY()-(Data_Val!$L$2*365.25))),0,1),1))</f>
        <v/>
      </c>
      <c r="Y186" s="13" t="str">
        <f>IF(Data!$G186="","",IF(Data!$G186=Data_Val!$C$2,IF(Data!S186="",0,1),0))</f>
        <v/>
      </c>
      <c r="Z186" s="13" t="str">
        <f>IF(Data!S186="","",IF(ISNUMBER(MATCH(Data!T186,Data_Val!$A$2:$A$3,0)),0,1))</f>
        <v/>
      </c>
      <c r="AA186" s="28" t="str">
        <f ca="1">IF(Data!S186="","",IF(ISNUMBER(Data!U186),IF(AND(Data!U186&gt;(TODAY()-(Data_Val!$L$3*365.25)),Data!U186&lt;=(TODAY()-(Data_Val!$L$2*365.25))),0,1),1))</f>
        <v/>
      </c>
      <c r="AB186" s="11"/>
      <c r="AC186" s="11" t="e">
        <f>IF(Data!#REF!="","",IF(ISNUMBER(MATCH(Data!#REF!,Data_Val!$A$2:$A$3,0)),0,1))</f>
        <v>#REF!</v>
      </c>
      <c r="AD186" s="11" t="e">
        <f ca="1">IF(Data!#REF!="","",IF(ISNUMBER(Data!#REF!),IF(AND(Data!#REF!&gt;(TODAY()-(Data_Val!$L$3*365.25)),Data!#REF!&lt;=(TODAY()-(Data_Val!$L$2*365.25))),0,1),1))</f>
        <v>#REF!</v>
      </c>
      <c r="AE186" s="11" t="e">
        <f>IF(Data!#REF!="","",IF(Data!$G186="",1,IF(ISNUMBER(MATCH(Data!#REF!,Data_Val!$D$2:$D$10,0)),0,1)))</f>
        <v>#REF!</v>
      </c>
      <c r="AF186" s="12"/>
      <c r="AG186" s="12" t="e">
        <f>IF(Data!#REF!="","",IF(ISNUMBER(MATCH(Data!#REF!,Data_Val!$A$2:$A$3,0)),0,1))</f>
        <v>#REF!</v>
      </c>
      <c r="AH186" s="26" t="e">
        <f ca="1">IF(Data!#REF!="","",IF(ISNUMBER(Data!#REF!),IF(AND(Data!#REF!&gt;(TODAY()-(Data_Val!$L$3*365.25)),Data!#REF!&lt;=(TODAY()-(Data_Val!$L$2*365.25))),0,1),1))</f>
        <v>#REF!</v>
      </c>
      <c r="AI186" s="12" t="e">
        <f>IF(Data!#REF!="","",IF(Data!$G186="",1,IF(ISNUMBER(MATCH(Data!#REF!,Data_Val!$D$2:$D$10,0)),0,1)))</f>
        <v>#REF!</v>
      </c>
      <c r="AJ186" s="17"/>
      <c r="AK186" s="17" t="e">
        <f>IF(Data!#REF!="","",IF(ISNUMBER(MATCH(Data!#REF!,Data_Val!$A$2:$A$3,0)),0,1))</f>
        <v>#REF!</v>
      </c>
      <c r="AL186" s="25" t="e">
        <f ca="1">IF(Data!#REF!="","",IF(ISNUMBER(Data!#REF!),IF(AND(Data!#REF!&gt;(TODAY()-(Data_Val!$L$3*365.25)),Data!#REF!&lt;=(TODAY()-(Data_Val!$L$2*365.25))),0,1),1))</f>
        <v>#REF!</v>
      </c>
      <c r="AM186" s="17" t="e">
        <f>IF(Data!#REF!="","",IF(Data!$G186="",1,IF(ISNUMBER(MATCH(Data!#REF!,Data_Val!$D$2:$D$10,0)),0,1)))</f>
        <v>#REF!</v>
      </c>
      <c r="AN186" s="13"/>
      <c r="AO186" s="28" t="e">
        <f ca="1">IF(Data!#REF!="","",IF(ISNUMBER(Data!#REF!),IF(AND(Data!#REF!&gt;(TODAY()-(Data_Val!$I$3*365.25)),Data!#REF!&lt;=(TODAY()-(Data_Val!$I$2*365.25))),0,1),1))</f>
        <v>#REF!</v>
      </c>
      <c r="AP186" s="13" t="e">
        <f>IF(Data!#REF!="","",IF(Data!$G186="",1,IF(ISNUMBER(MATCH(Data!#REF!,Data_Val!$D$2:$D$10,0)),0,1)))</f>
        <v>#REF!</v>
      </c>
      <c r="AQ186" s="17"/>
      <c r="AR186" s="30" t="e">
        <f ca="1">IF(Data!#REF!="","",IF(ISNUMBER(Data!#REF!),IF(AND(Data!#REF!&gt;(TODAY()-(Data_Val!$I$3*365.25)),Data!#REF!&lt;=(TODAY()-(Data_Val!$I$2*365.25))),0,1),1))</f>
        <v>#REF!</v>
      </c>
      <c r="AS186" s="31" t="e">
        <f>IF(Data!#REF!="","",IF(Data!$G186="",1,IF(ISNUMBER(MATCH(Data!#REF!,Data_Val!$D$2:$D$10,0)),0,1)))</f>
        <v>#REF!</v>
      </c>
      <c r="AT186" s="11"/>
      <c r="AU186" s="11" t="e">
        <f ca="1">IF(Data!#REF!="","",IF(ISNUMBER(Data!#REF!),IF(AND(Data!#REF!&gt;(TODAY()-(Data_Val!$I$3*365.25)),Data!#REF!&lt;=(TODAY()-(Data_Val!$I$2*365.25))),0,1),1))</f>
        <v>#REF!</v>
      </c>
      <c r="AV186" s="11" t="e">
        <f>IF(Data!#REF!="","",IF(Data!$G186="",1,IF(ISNUMBER(MATCH(Data!#REF!,Data_Val!$D$2:$D$10,0)),0,1)))</f>
        <v>#REF!</v>
      </c>
      <c r="AW186" s="12"/>
      <c r="AX186" s="26" t="e">
        <f ca="1">IF(Data!#REF!="","",IF(ISNUMBER(Data!#REF!),IF(AND(Data!#REF!&gt;(TODAY()-(Data_Val!$I$3*365.25)),Data!#REF!&lt;=(TODAY()-(Data_Val!$I$2*365.25))),0,1),1))</f>
        <v>#REF!</v>
      </c>
      <c r="AY186" s="12" t="e">
        <f>IF(Data!#REF!="","",IF(Data!$G186="",1,IF(ISNUMBER(MATCH(Data!#REF!,Data_Val!$D$2:$D$10,0)),0,1)))</f>
        <v>#REF!</v>
      </c>
      <c r="AZ186" s="11"/>
      <c r="BA186" s="19" t="e">
        <f ca="1">IF(Data!#REF!="","",IF(ISNUMBER(Data!#REF!),IF(AND(Data!#REF!&gt;(TODAY()-(Data_Val!$M$3*365.25)),Data!#REF!&lt;=(TODAY()-(Data_Val!$M$2*365.25))),0,1),1))</f>
        <v>#REF!</v>
      </c>
      <c r="BB186" s="11" t="e">
        <f>IF(Data!#REF!="","",IF(Data!$G186="",1,IF(ISNUMBER(MATCH(Data!#REF!,Data_Val!$D$2:$D$10,0)),0,1)))</f>
        <v>#REF!</v>
      </c>
      <c r="BC186" s="12"/>
      <c r="BD186" s="20" t="e">
        <f ca="1">IF(Data!#REF!="","",IF(ISNUMBER(Data!#REF!),IF(AND(Data!#REF!&gt;(TODAY()-(Data_Val!$M$3*365.25)),Data!#REF!&lt;=(TODAY()-(Data_Val!$M$2*365.25))),0,1),1))</f>
        <v>#REF!</v>
      </c>
      <c r="BE186" s="12" t="e">
        <f>IF(Data!#REF!="","",IF(Data!$G186="",1,IF(ISNUMBER(MATCH(Data!#REF!,Data_Val!$D$2:$D$10,0)),0,1)))</f>
        <v>#REF!</v>
      </c>
      <c r="BF186" s="17"/>
      <c r="BG186" s="18" t="e">
        <f ca="1">IF(Data!#REF!="","",IF(ISNUMBER(Data!#REF!),IF(AND(Data!#REF!&gt;(TODAY()-(Data_Val!$M$3*365.25)),Data!#REF!&lt;=(TODAY()-(Data_Val!$M$2*365.25))),0,1),1))</f>
        <v>#REF!</v>
      </c>
      <c r="BH186" s="29" t="e">
        <f>IF(Data!#REF!="","",IF(Data!$G186="",1,IF(ISNUMBER(MATCH(Data!#REF!,Data_Val!$D$2:$D$10,0)),0,1)))</f>
        <v>#REF!</v>
      </c>
      <c r="BI186" s="13"/>
      <c r="BJ186" s="21" t="e">
        <f ca="1">IF(Data!#REF!="","",IF(ISNUMBER(Data!#REF!),IF(AND(Data!#REF!&gt;(TODAY()-(Data_Val!$M$3*365.25)),Data!#REF!&lt;=(TODAY()-(Data_Val!$M$2*365.25))),0,1),1))</f>
        <v>#REF!</v>
      </c>
      <c r="BK186" s="13" t="e">
        <f>IF(Data!#REF!="","",IF(Data!$G186="",1,IF(ISNUMBER(MATCH(Data!#REF!,Data_Val!$D$2:$D$10,0)),0,1)))</f>
        <v>#REF!</v>
      </c>
    </row>
    <row r="187" spans="1:63" x14ac:dyDescent="0.25">
      <c r="A187" s="9" t="str">
        <f>IF(Data!B187="","",IF(COUNTIFS(Data!A$1:'Data'!A187,Data!A187)&lt;=1,0,1))</f>
        <v/>
      </c>
      <c r="B187" s="9"/>
      <c r="C187" s="23" t="str">
        <f>IF(Data!C187="","",(IF(ISNUMBER(MATCH("*@*.?*",Data!C187,0)),0,1)+IF(COUNTIFS(Data!C$1:'Data'!C187,Data!C187)&gt;1,1,0)))</f>
        <v/>
      </c>
      <c r="D187" s="9" t="str">
        <f>IF(Data!B187="","",IF(ISNUMBER(Data!D187),IF(AND(Data!D187&gt;999999999,Data!D187&lt;=9999999999),IF(COUNTIFS(Data!D$1:'Data'!D187,Data!D187)&lt;=1,0,1),1),1))</f>
        <v/>
      </c>
      <c r="E187" s="9" t="str">
        <f>IF(Data!B187="","",IF(ISNUMBER(MATCH(Data!E187,Data_Val!$A$2:$A$3,0)),0,1))</f>
        <v/>
      </c>
      <c r="F187" s="9" t="str">
        <f ca="1">IF(Data!B187="","",IF(ISNUMBER(Data!F187),IF(AND(Data!F187&gt;(TODAY()-(Data_Val!$H$3*365.25)),Data!F187&lt;=(TODAY()-(Data_Val!$H$2*365.25))),0,1),1))</f>
        <v/>
      </c>
      <c r="G187" s="15" t="str">
        <f>IF(Data!B187="","",IF(AND(Data!G187="",Data!H187&lt;&gt;""),1,IF(Data!#REF!&lt;&gt;"",0,IF(ISNUMBER(MATCH(Data!G187,Data_Val!$C$2:$C$5,0)),0,1))))</f>
        <v/>
      </c>
      <c r="H187" s="15" t="str">
        <f>IF(Data!B187="","",IF(AND(Data!G187&lt;&gt;"",Data!H187=""),1,IF(Data!#REF!&lt;&gt;"",0,IF(Data!G187="",1,IF(ISNUMBER(MATCH(Data!H187,Data_Val!$D$2:$D$35,0)),0,1)))))</f>
        <v/>
      </c>
      <c r="I187" s="15" t="str">
        <f>IF(Data!B187="","",IF(Data!G187&lt;&gt;"",0,IF(ISNUMBER(MATCH(Data!#REF!,Data_Val!$E$2:$E$12,0)),0,1)))</f>
        <v/>
      </c>
      <c r="J187" s="16" t="e">
        <f>IF(OR(Data!B187="",Data!#REF!=""),"",IF(Data!#REF!="",1,0))</f>
        <v>#REF!</v>
      </c>
      <c r="K187" s="16" t="e">
        <f>IF(OR(Data!B187="",Data!#REF!=""),"",IF(Data!#REF!="",1,0))</f>
        <v>#REF!</v>
      </c>
      <c r="L187" s="16" t="e">
        <f>IF(OR(Data!B187="",Data!#REF!=""),"",IF(ISNUMBER(Data!#REF!),IF(AND(Data!#REF!&gt;Data_Val!$G$2,Data!#REF!&lt;=Data_Val!$G$3),0,1),1))</f>
        <v>#REF!</v>
      </c>
      <c r="M187" s="9" t="e">
        <f>IF(OR(Data!B187="",Data!#REF!=""),"",IF(ISNUMBER(MATCH(Data!#REF!,Data_Val!$F$1:$F$38,0)),0,1))</f>
        <v>#REF!</v>
      </c>
      <c r="N187" s="9" t="e">
        <f>IF(OR(Data!B187="",Data!#REF!=""),"",IF(Data!#REF!="",1,0))</f>
        <v>#REF!</v>
      </c>
      <c r="O187" s="17" t="e">
        <f>IF(Data!#REF!="","",IF(Data!#REF!="",1,0))</f>
        <v>#REF!</v>
      </c>
      <c r="P187" s="17" t="e">
        <f>IF(Data!#REF!="","",IF(ISNUMBER(MATCH(Data!#REF!,Data_Val!$A$2:$A$3,0)),0,1))</f>
        <v>#REF!</v>
      </c>
      <c r="Q187" s="25" t="e">
        <f ca="1">IF(Data!#REF!="","",IF(ISNUMBER(Data!#REF!),IF(AND(Data!#REF!&gt;(TODAY()-(Data_Val!$J$3*365.25)),Data!#REF!&lt;=(TODAY()-(Data_Val!$J$2*365.25))),0,1),1))</f>
        <v>#REF!</v>
      </c>
      <c r="R187" s="17" t="e">
        <f>IF(Data!#REF!="","",IF(ISNUMBER(MATCH(Data!#REF!,Data_Val!$B$2:$B$15,0)),0,1))</f>
        <v>#REF!</v>
      </c>
      <c r="S187" s="11" t="str">
        <f>IF(Data!G187="","",IF(Data!G187=Data_Val!$C$2,IF(Data!M187="",0,1),0))</f>
        <v/>
      </c>
      <c r="T187" s="11" t="str">
        <f>IF(Data!M187="","",IF(ISNUMBER(MATCH(Data!N187,Data_Val!$A$2:$A$3,0)),0,1))</f>
        <v/>
      </c>
      <c r="U187" s="11" t="str">
        <f ca="1">IF(Data!M187="","",IF(ISNUMBER(Data!O187),IF(AND(Data!O187&gt;(TODAY()-(Data_Val!$K$3*365.25)),Data!O187&lt;=(TODAY()-(Data_Val!$K$2*365.25))),0,1),1))</f>
        <v/>
      </c>
      <c r="V187" s="12" t="str">
        <f>IF(Data!G187="","",IF(Data!G187=Data_Val!$C$2,IF(Data!P187="",0,1),0))</f>
        <v/>
      </c>
      <c r="W187" s="12" t="str">
        <f>IF(Data!P187="","",IF(ISNUMBER(MATCH(Data!Q187,Data_Val!$A$2:$A$3,0)),0,1))</f>
        <v/>
      </c>
      <c r="X187" s="26" t="str">
        <f ca="1">IF(Data!P187="","",IF(ISNUMBER(Data!R187),IF(AND(Data!R187&gt;(TODAY()-(Data_Val!$L$3*365.25)),Data!R187&lt;=(TODAY()-(Data_Val!$L$2*365.25))),0,1),1))</f>
        <v/>
      </c>
      <c r="Y187" s="13" t="str">
        <f>IF(Data!$G187="","",IF(Data!$G187=Data_Val!$C$2,IF(Data!S187="",0,1),0))</f>
        <v/>
      </c>
      <c r="Z187" s="13" t="str">
        <f>IF(Data!S187="","",IF(ISNUMBER(MATCH(Data!T187,Data_Val!$A$2:$A$3,0)),0,1))</f>
        <v/>
      </c>
      <c r="AA187" s="28" t="str">
        <f ca="1">IF(Data!S187="","",IF(ISNUMBER(Data!U187),IF(AND(Data!U187&gt;(TODAY()-(Data_Val!$L$3*365.25)),Data!U187&lt;=(TODAY()-(Data_Val!$L$2*365.25))),0,1),1))</f>
        <v/>
      </c>
      <c r="AB187" s="11"/>
      <c r="AC187" s="11" t="e">
        <f>IF(Data!#REF!="","",IF(ISNUMBER(MATCH(Data!#REF!,Data_Val!$A$2:$A$3,0)),0,1))</f>
        <v>#REF!</v>
      </c>
      <c r="AD187" s="11" t="e">
        <f ca="1">IF(Data!#REF!="","",IF(ISNUMBER(Data!#REF!),IF(AND(Data!#REF!&gt;(TODAY()-(Data_Val!$L$3*365.25)),Data!#REF!&lt;=(TODAY()-(Data_Val!$L$2*365.25))),0,1),1))</f>
        <v>#REF!</v>
      </c>
      <c r="AE187" s="11" t="e">
        <f>IF(Data!#REF!="","",IF(Data!$G187="",1,IF(ISNUMBER(MATCH(Data!#REF!,Data_Val!$D$2:$D$10,0)),0,1)))</f>
        <v>#REF!</v>
      </c>
      <c r="AF187" s="12"/>
      <c r="AG187" s="12" t="e">
        <f>IF(Data!#REF!="","",IF(ISNUMBER(MATCH(Data!#REF!,Data_Val!$A$2:$A$3,0)),0,1))</f>
        <v>#REF!</v>
      </c>
      <c r="AH187" s="26" t="e">
        <f ca="1">IF(Data!#REF!="","",IF(ISNUMBER(Data!#REF!),IF(AND(Data!#REF!&gt;(TODAY()-(Data_Val!$L$3*365.25)),Data!#REF!&lt;=(TODAY()-(Data_Val!$L$2*365.25))),0,1),1))</f>
        <v>#REF!</v>
      </c>
      <c r="AI187" s="12" t="e">
        <f>IF(Data!#REF!="","",IF(Data!$G187="",1,IF(ISNUMBER(MATCH(Data!#REF!,Data_Val!$D$2:$D$10,0)),0,1)))</f>
        <v>#REF!</v>
      </c>
      <c r="AJ187" s="17"/>
      <c r="AK187" s="17" t="e">
        <f>IF(Data!#REF!="","",IF(ISNUMBER(MATCH(Data!#REF!,Data_Val!$A$2:$A$3,0)),0,1))</f>
        <v>#REF!</v>
      </c>
      <c r="AL187" s="25" t="e">
        <f ca="1">IF(Data!#REF!="","",IF(ISNUMBER(Data!#REF!),IF(AND(Data!#REF!&gt;(TODAY()-(Data_Val!$L$3*365.25)),Data!#REF!&lt;=(TODAY()-(Data_Val!$L$2*365.25))),0,1),1))</f>
        <v>#REF!</v>
      </c>
      <c r="AM187" s="17" t="e">
        <f>IF(Data!#REF!="","",IF(Data!$G187="",1,IF(ISNUMBER(MATCH(Data!#REF!,Data_Val!$D$2:$D$10,0)),0,1)))</f>
        <v>#REF!</v>
      </c>
      <c r="AN187" s="13"/>
      <c r="AO187" s="28" t="e">
        <f ca="1">IF(Data!#REF!="","",IF(ISNUMBER(Data!#REF!),IF(AND(Data!#REF!&gt;(TODAY()-(Data_Val!$I$3*365.25)),Data!#REF!&lt;=(TODAY()-(Data_Val!$I$2*365.25))),0,1),1))</f>
        <v>#REF!</v>
      </c>
      <c r="AP187" s="13" t="e">
        <f>IF(Data!#REF!="","",IF(Data!$G187="",1,IF(ISNUMBER(MATCH(Data!#REF!,Data_Val!$D$2:$D$10,0)),0,1)))</f>
        <v>#REF!</v>
      </c>
      <c r="AQ187" s="17"/>
      <c r="AR187" s="30" t="e">
        <f ca="1">IF(Data!#REF!="","",IF(ISNUMBER(Data!#REF!),IF(AND(Data!#REF!&gt;(TODAY()-(Data_Val!$I$3*365.25)),Data!#REF!&lt;=(TODAY()-(Data_Val!$I$2*365.25))),0,1),1))</f>
        <v>#REF!</v>
      </c>
      <c r="AS187" s="31" t="e">
        <f>IF(Data!#REF!="","",IF(Data!$G187="",1,IF(ISNUMBER(MATCH(Data!#REF!,Data_Val!$D$2:$D$10,0)),0,1)))</f>
        <v>#REF!</v>
      </c>
      <c r="AT187" s="11"/>
      <c r="AU187" s="11" t="e">
        <f ca="1">IF(Data!#REF!="","",IF(ISNUMBER(Data!#REF!),IF(AND(Data!#REF!&gt;(TODAY()-(Data_Val!$I$3*365.25)),Data!#REF!&lt;=(TODAY()-(Data_Val!$I$2*365.25))),0,1),1))</f>
        <v>#REF!</v>
      </c>
      <c r="AV187" s="11" t="e">
        <f>IF(Data!#REF!="","",IF(Data!$G187="",1,IF(ISNUMBER(MATCH(Data!#REF!,Data_Val!$D$2:$D$10,0)),0,1)))</f>
        <v>#REF!</v>
      </c>
      <c r="AW187" s="12"/>
      <c r="AX187" s="26" t="e">
        <f ca="1">IF(Data!#REF!="","",IF(ISNUMBER(Data!#REF!),IF(AND(Data!#REF!&gt;(TODAY()-(Data_Val!$I$3*365.25)),Data!#REF!&lt;=(TODAY()-(Data_Val!$I$2*365.25))),0,1),1))</f>
        <v>#REF!</v>
      </c>
      <c r="AY187" s="12" t="e">
        <f>IF(Data!#REF!="","",IF(Data!$G187="",1,IF(ISNUMBER(MATCH(Data!#REF!,Data_Val!$D$2:$D$10,0)),0,1)))</f>
        <v>#REF!</v>
      </c>
      <c r="AZ187" s="11"/>
      <c r="BA187" s="19" t="e">
        <f ca="1">IF(Data!#REF!="","",IF(ISNUMBER(Data!#REF!),IF(AND(Data!#REF!&gt;(TODAY()-(Data_Val!$M$3*365.25)),Data!#REF!&lt;=(TODAY()-(Data_Val!$M$2*365.25))),0,1),1))</f>
        <v>#REF!</v>
      </c>
      <c r="BB187" s="11" t="e">
        <f>IF(Data!#REF!="","",IF(Data!$G187="",1,IF(ISNUMBER(MATCH(Data!#REF!,Data_Val!$D$2:$D$10,0)),0,1)))</f>
        <v>#REF!</v>
      </c>
      <c r="BC187" s="12"/>
      <c r="BD187" s="20" t="e">
        <f ca="1">IF(Data!#REF!="","",IF(ISNUMBER(Data!#REF!),IF(AND(Data!#REF!&gt;(TODAY()-(Data_Val!$M$3*365.25)),Data!#REF!&lt;=(TODAY()-(Data_Val!$M$2*365.25))),0,1),1))</f>
        <v>#REF!</v>
      </c>
      <c r="BE187" s="12" t="e">
        <f>IF(Data!#REF!="","",IF(Data!$G187="",1,IF(ISNUMBER(MATCH(Data!#REF!,Data_Val!$D$2:$D$10,0)),0,1)))</f>
        <v>#REF!</v>
      </c>
      <c r="BF187" s="17"/>
      <c r="BG187" s="18" t="e">
        <f ca="1">IF(Data!#REF!="","",IF(ISNUMBER(Data!#REF!),IF(AND(Data!#REF!&gt;(TODAY()-(Data_Val!$M$3*365.25)),Data!#REF!&lt;=(TODAY()-(Data_Val!$M$2*365.25))),0,1),1))</f>
        <v>#REF!</v>
      </c>
      <c r="BH187" s="29" t="e">
        <f>IF(Data!#REF!="","",IF(Data!$G187="",1,IF(ISNUMBER(MATCH(Data!#REF!,Data_Val!$D$2:$D$10,0)),0,1)))</f>
        <v>#REF!</v>
      </c>
      <c r="BI187" s="13"/>
      <c r="BJ187" s="21" t="e">
        <f ca="1">IF(Data!#REF!="","",IF(ISNUMBER(Data!#REF!),IF(AND(Data!#REF!&gt;(TODAY()-(Data_Val!$M$3*365.25)),Data!#REF!&lt;=(TODAY()-(Data_Val!$M$2*365.25))),0,1),1))</f>
        <v>#REF!</v>
      </c>
      <c r="BK187" s="13" t="e">
        <f>IF(Data!#REF!="","",IF(Data!$G187="",1,IF(ISNUMBER(MATCH(Data!#REF!,Data_Val!$D$2:$D$10,0)),0,1)))</f>
        <v>#REF!</v>
      </c>
    </row>
    <row r="188" spans="1:63" x14ac:dyDescent="0.25">
      <c r="A188" s="9" t="str">
        <f>IF(Data!B188="","",IF(COUNTIFS(Data!A$1:'Data'!A188,Data!A188)&lt;=1,0,1))</f>
        <v/>
      </c>
      <c r="B188" s="9"/>
      <c r="C188" s="23" t="str">
        <f>IF(Data!C188="","",(IF(ISNUMBER(MATCH("*@*.?*",Data!C188,0)),0,1)+IF(COUNTIFS(Data!C$1:'Data'!C188,Data!C188)&gt;1,1,0)))</f>
        <v/>
      </c>
      <c r="D188" s="9" t="str">
        <f>IF(Data!B188="","",IF(ISNUMBER(Data!D188),IF(AND(Data!D188&gt;999999999,Data!D188&lt;=9999999999),IF(COUNTIFS(Data!D$1:'Data'!D188,Data!D188)&lt;=1,0,1),1),1))</f>
        <v/>
      </c>
      <c r="E188" s="9" t="str">
        <f>IF(Data!B188="","",IF(ISNUMBER(MATCH(Data!E188,Data_Val!$A$2:$A$3,0)),0,1))</f>
        <v/>
      </c>
      <c r="F188" s="9" t="str">
        <f ca="1">IF(Data!B188="","",IF(ISNUMBER(Data!F188),IF(AND(Data!F188&gt;(TODAY()-(Data_Val!$H$3*365.25)),Data!F188&lt;=(TODAY()-(Data_Val!$H$2*365.25))),0,1),1))</f>
        <v/>
      </c>
      <c r="G188" s="15" t="str">
        <f>IF(Data!B188="","",IF(AND(Data!G188="",Data!H188&lt;&gt;""),1,IF(Data!#REF!&lt;&gt;"",0,IF(ISNUMBER(MATCH(Data!G188,Data_Val!$C$2:$C$5,0)),0,1))))</f>
        <v/>
      </c>
      <c r="H188" s="15" t="str">
        <f>IF(Data!B188="","",IF(AND(Data!G188&lt;&gt;"",Data!H188=""),1,IF(Data!#REF!&lt;&gt;"",0,IF(Data!G188="",1,IF(ISNUMBER(MATCH(Data!H188,Data_Val!$D$2:$D$35,0)),0,1)))))</f>
        <v/>
      </c>
      <c r="I188" s="15" t="str">
        <f>IF(Data!B188="","",IF(Data!G188&lt;&gt;"",0,IF(ISNUMBER(MATCH(Data!#REF!,Data_Val!$E$2:$E$12,0)),0,1)))</f>
        <v/>
      </c>
      <c r="J188" s="16" t="e">
        <f>IF(OR(Data!B188="",Data!#REF!=""),"",IF(Data!#REF!="",1,0))</f>
        <v>#REF!</v>
      </c>
      <c r="K188" s="16" t="e">
        <f>IF(OR(Data!B188="",Data!#REF!=""),"",IF(Data!#REF!="",1,0))</f>
        <v>#REF!</v>
      </c>
      <c r="L188" s="16" t="e">
        <f>IF(OR(Data!B188="",Data!#REF!=""),"",IF(ISNUMBER(Data!#REF!),IF(AND(Data!#REF!&gt;Data_Val!$G$2,Data!#REF!&lt;=Data_Val!$G$3),0,1),1))</f>
        <v>#REF!</v>
      </c>
      <c r="M188" s="9" t="e">
        <f>IF(OR(Data!B188="",Data!#REF!=""),"",IF(ISNUMBER(MATCH(Data!#REF!,Data_Val!$F$1:$F$38,0)),0,1))</f>
        <v>#REF!</v>
      </c>
      <c r="N188" s="9" t="e">
        <f>IF(OR(Data!B188="",Data!#REF!=""),"",IF(Data!#REF!="",1,0))</f>
        <v>#REF!</v>
      </c>
      <c r="O188" s="17" t="e">
        <f>IF(Data!#REF!="","",IF(Data!#REF!="",1,0))</f>
        <v>#REF!</v>
      </c>
      <c r="P188" s="17" t="e">
        <f>IF(Data!#REF!="","",IF(ISNUMBER(MATCH(Data!#REF!,Data_Val!$A$2:$A$3,0)),0,1))</f>
        <v>#REF!</v>
      </c>
      <c r="Q188" s="25" t="e">
        <f ca="1">IF(Data!#REF!="","",IF(ISNUMBER(Data!#REF!),IF(AND(Data!#REF!&gt;(TODAY()-(Data_Val!$J$3*365.25)),Data!#REF!&lt;=(TODAY()-(Data_Val!$J$2*365.25))),0,1),1))</f>
        <v>#REF!</v>
      </c>
      <c r="R188" s="17" t="e">
        <f>IF(Data!#REF!="","",IF(ISNUMBER(MATCH(Data!#REF!,Data_Val!$B$2:$B$15,0)),0,1))</f>
        <v>#REF!</v>
      </c>
      <c r="S188" s="11" t="str">
        <f>IF(Data!G188="","",IF(Data!G188=Data_Val!$C$2,IF(Data!M188="",0,1),0))</f>
        <v/>
      </c>
      <c r="T188" s="11" t="str">
        <f>IF(Data!M188="","",IF(ISNUMBER(MATCH(Data!N188,Data_Val!$A$2:$A$3,0)),0,1))</f>
        <v/>
      </c>
      <c r="U188" s="11" t="str">
        <f ca="1">IF(Data!M188="","",IF(ISNUMBER(Data!O188),IF(AND(Data!O188&gt;(TODAY()-(Data_Val!$K$3*365.25)),Data!O188&lt;=(TODAY()-(Data_Val!$K$2*365.25))),0,1),1))</f>
        <v/>
      </c>
      <c r="V188" s="12" t="str">
        <f>IF(Data!G188="","",IF(Data!G188=Data_Val!$C$2,IF(Data!P188="",0,1),0))</f>
        <v/>
      </c>
      <c r="W188" s="12" t="str">
        <f>IF(Data!P188="","",IF(ISNUMBER(MATCH(Data!Q188,Data_Val!$A$2:$A$3,0)),0,1))</f>
        <v/>
      </c>
      <c r="X188" s="26" t="str">
        <f ca="1">IF(Data!P188="","",IF(ISNUMBER(Data!R188),IF(AND(Data!R188&gt;(TODAY()-(Data_Val!$L$3*365.25)),Data!R188&lt;=(TODAY()-(Data_Val!$L$2*365.25))),0,1),1))</f>
        <v/>
      </c>
      <c r="Y188" s="13" t="str">
        <f>IF(Data!$G188="","",IF(Data!$G188=Data_Val!$C$2,IF(Data!S188="",0,1),0))</f>
        <v/>
      </c>
      <c r="Z188" s="13" t="str">
        <f>IF(Data!S188="","",IF(ISNUMBER(MATCH(Data!T188,Data_Val!$A$2:$A$3,0)),0,1))</f>
        <v/>
      </c>
      <c r="AA188" s="28" t="str">
        <f ca="1">IF(Data!S188="","",IF(ISNUMBER(Data!U188),IF(AND(Data!U188&gt;(TODAY()-(Data_Val!$L$3*365.25)),Data!U188&lt;=(TODAY()-(Data_Val!$L$2*365.25))),0,1),1))</f>
        <v/>
      </c>
      <c r="AB188" s="11"/>
      <c r="AC188" s="11" t="e">
        <f>IF(Data!#REF!="","",IF(ISNUMBER(MATCH(Data!#REF!,Data_Val!$A$2:$A$3,0)),0,1))</f>
        <v>#REF!</v>
      </c>
      <c r="AD188" s="11" t="e">
        <f ca="1">IF(Data!#REF!="","",IF(ISNUMBER(Data!#REF!),IF(AND(Data!#REF!&gt;(TODAY()-(Data_Val!$L$3*365.25)),Data!#REF!&lt;=(TODAY()-(Data_Val!$L$2*365.25))),0,1),1))</f>
        <v>#REF!</v>
      </c>
      <c r="AE188" s="11" t="e">
        <f>IF(Data!#REF!="","",IF(Data!$G188="",1,IF(ISNUMBER(MATCH(Data!#REF!,Data_Val!$D$2:$D$10,0)),0,1)))</f>
        <v>#REF!</v>
      </c>
      <c r="AF188" s="12"/>
      <c r="AG188" s="12" t="e">
        <f>IF(Data!#REF!="","",IF(ISNUMBER(MATCH(Data!#REF!,Data_Val!$A$2:$A$3,0)),0,1))</f>
        <v>#REF!</v>
      </c>
      <c r="AH188" s="26" t="e">
        <f ca="1">IF(Data!#REF!="","",IF(ISNUMBER(Data!#REF!),IF(AND(Data!#REF!&gt;(TODAY()-(Data_Val!$L$3*365.25)),Data!#REF!&lt;=(TODAY()-(Data_Val!$L$2*365.25))),0,1),1))</f>
        <v>#REF!</v>
      </c>
      <c r="AI188" s="12" t="e">
        <f>IF(Data!#REF!="","",IF(Data!$G188="",1,IF(ISNUMBER(MATCH(Data!#REF!,Data_Val!$D$2:$D$10,0)),0,1)))</f>
        <v>#REF!</v>
      </c>
      <c r="AJ188" s="17"/>
      <c r="AK188" s="17" t="e">
        <f>IF(Data!#REF!="","",IF(ISNUMBER(MATCH(Data!#REF!,Data_Val!$A$2:$A$3,0)),0,1))</f>
        <v>#REF!</v>
      </c>
      <c r="AL188" s="25" t="e">
        <f ca="1">IF(Data!#REF!="","",IF(ISNUMBER(Data!#REF!),IF(AND(Data!#REF!&gt;(TODAY()-(Data_Val!$L$3*365.25)),Data!#REF!&lt;=(TODAY()-(Data_Val!$L$2*365.25))),0,1),1))</f>
        <v>#REF!</v>
      </c>
      <c r="AM188" s="17" t="e">
        <f>IF(Data!#REF!="","",IF(Data!$G188="",1,IF(ISNUMBER(MATCH(Data!#REF!,Data_Val!$D$2:$D$10,0)),0,1)))</f>
        <v>#REF!</v>
      </c>
      <c r="AN188" s="13"/>
      <c r="AO188" s="28" t="e">
        <f ca="1">IF(Data!#REF!="","",IF(ISNUMBER(Data!#REF!),IF(AND(Data!#REF!&gt;(TODAY()-(Data_Val!$I$3*365.25)),Data!#REF!&lt;=(TODAY()-(Data_Val!$I$2*365.25))),0,1),1))</f>
        <v>#REF!</v>
      </c>
      <c r="AP188" s="13" t="e">
        <f>IF(Data!#REF!="","",IF(Data!$G188="",1,IF(ISNUMBER(MATCH(Data!#REF!,Data_Val!$D$2:$D$10,0)),0,1)))</f>
        <v>#REF!</v>
      </c>
      <c r="AQ188" s="17"/>
      <c r="AR188" s="30" t="e">
        <f ca="1">IF(Data!#REF!="","",IF(ISNUMBER(Data!#REF!),IF(AND(Data!#REF!&gt;(TODAY()-(Data_Val!$I$3*365.25)),Data!#REF!&lt;=(TODAY()-(Data_Val!$I$2*365.25))),0,1),1))</f>
        <v>#REF!</v>
      </c>
      <c r="AS188" s="31" t="e">
        <f>IF(Data!#REF!="","",IF(Data!$G188="",1,IF(ISNUMBER(MATCH(Data!#REF!,Data_Val!$D$2:$D$10,0)),0,1)))</f>
        <v>#REF!</v>
      </c>
      <c r="AT188" s="11"/>
      <c r="AU188" s="11" t="e">
        <f ca="1">IF(Data!#REF!="","",IF(ISNUMBER(Data!#REF!),IF(AND(Data!#REF!&gt;(TODAY()-(Data_Val!$I$3*365.25)),Data!#REF!&lt;=(TODAY()-(Data_Val!$I$2*365.25))),0,1),1))</f>
        <v>#REF!</v>
      </c>
      <c r="AV188" s="11" t="e">
        <f>IF(Data!#REF!="","",IF(Data!$G188="",1,IF(ISNUMBER(MATCH(Data!#REF!,Data_Val!$D$2:$D$10,0)),0,1)))</f>
        <v>#REF!</v>
      </c>
      <c r="AW188" s="12"/>
      <c r="AX188" s="26" t="e">
        <f ca="1">IF(Data!#REF!="","",IF(ISNUMBER(Data!#REF!),IF(AND(Data!#REF!&gt;(TODAY()-(Data_Val!$I$3*365.25)),Data!#REF!&lt;=(TODAY()-(Data_Val!$I$2*365.25))),0,1),1))</f>
        <v>#REF!</v>
      </c>
      <c r="AY188" s="12" t="e">
        <f>IF(Data!#REF!="","",IF(Data!$G188="",1,IF(ISNUMBER(MATCH(Data!#REF!,Data_Val!$D$2:$D$10,0)),0,1)))</f>
        <v>#REF!</v>
      </c>
      <c r="AZ188" s="11"/>
      <c r="BA188" s="19" t="e">
        <f ca="1">IF(Data!#REF!="","",IF(ISNUMBER(Data!#REF!),IF(AND(Data!#REF!&gt;(TODAY()-(Data_Val!$M$3*365.25)),Data!#REF!&lt;=(TODAY()-(Data_Val!$M$2*365.25))),0,1),1))</f>
        <v>#REF!</v>
      </c>
      <c r="BB188" s="11" t="e">
        <f>IF(Data!#REF!="","",IF(Data!$G188="",1,IF(ISNUMBER(MATCH(Data!#REF!,Data_Val!$D$2:$D$10,0)),0,1)))</f>
        <v>#REF!</v>
      </c>
      <c r="BC188" s="12"/>
      <c r="BD188" s="20" t="e">
        <f ca="1">IF(Data!#REF!="","",IF(ISNUMBER(Data!#REF!),IF(AND(Data!#REF!&gt;(TODAY()-(Data_Val!$M$3*365.25)),Data!#REF!&lt;=(TODAY()-(Data_Val!$M$2*365.25))),0,1),1))</f>
        <v>#REF!</v>
      </c>
      <c r="BE188" s="12" t="e">
        <f>IF(Data!#REF!="","",IF(Data!$G188="",1,IF(ISNUMBER(MATCH(Data!#REF!,Data_Val!$D$2:$D$10,0)),0,1)))</f>
        <v>#REF!</v>
      </c>
      <c r="BF188" s="17"/>
      <c r="BG188" s="18" t="e">
        <f ca="1">IF(Data!#REF!="","",IF(ISNUMBER(Data!#REF!),IF(AND(Data!#REF!&gt;(TODAY()-(Data_Val!$M$3*365.25)),Data!#REF!&lt;=(TODAY()-(Data_Val!$M$2*365.25))),0,1),1))</f>
        <v>#REF!</v>
      </c>
      <c r="BH188" s="29" t="e">
        <f>IF(Data!#REF!="","",IF(Data!$G188="",1,IF(ISNUMBER(MATCH(Data!#REF!,Data_Val!$D$2:$D$10,0)),0,1)))</f>
        <v>#REF!</v>
      </c>
      <c r="BI188" s="13"/>
      <c r="BJ188" s="21" t="e">
        <f ca="1">IF(Data!#REF!="","",IF(ISNUMBER(Data!#REF!),IF(AND(Data!#REF!&gt;(TODAY()-(Data_Val!$M$3*365.25)),Data!#REF!&lt;=(TODAY()-(Data_Val!$M$2*365.25))),0,1),1))</f>
        <v>#REF!</v>
      </c>
      <c r="BK188" s="13" t="e">
        <f>IF(Data!#REF!="","",IF(Data!$G188="",1,IF(ISNUMBER(MATCH(Data!#REF!,Data_Val!$D$2:$D$10,0)),0,1)))</f>
        <v>#REF!</v>
      </c>
    </row>
    <row r="189" spans="1:63" x14ac:dyDescent="0.25">
      <c r="A189" s="9" t="str">
        <f>IF(Data!B189="","",IF(COUNTIFS(Data!A$1:'Data'!A189,Data!A189)&lt;=1,0,1))</f>
        <v/>
      </c>
      <c r="B189" s="9"/>
      <c r="C189" s="23" t="str">
        <f>IF(Data!C189="","",(IF(ISNUMBER(MATCH("*@*.?*",Data!C189,0)),0,1)+IF(COUNTIFS(Data!C$1:'Data'!C189,Data!C189)&gt;1,1,0)))</f>
        <v/>
      </c>
      <c r="D189" s="9" t="str">
        <f>IF(Data!B189="","",IF(ISNUMBER(Data!D189),IF(AND(Data!D189&gt;999999999,Data!D189&lt;=9999999999),IF(COUNTIFS(Data!D$1:'Data'!D189,Data!D189)&lt;=1,0,1),1),1))</f>
        <v/>
      </c>
      <c r="E189" s="9" t="str">
        <f>IF(Data!B189="","",IF(ISNUMBER(MATCH(Data!E189,Data_Val!$A$2:$A$3,0)),0,1))</f>
        <v/>
      </c>
      <c r="F189" s="9" t="str">
        <f ca="1">IF(Data!B189="","",IF(ISNUMBER(Data!F189),IF(AND(Data!F189&gt;(TODAY()-(Data_Val!$H$3*365.25)),Data!F189&lt;=(TODAY()-(Data_Val!$H$2*365.25))),0,1),1))</f>
        <v/>
      </c>
      <c r="G189" s="15" t="str">
        <f>IF(Data!B189="","",IF(AND(Data!G189="",Data!H189&lt;&gt;""),1,IF(Data!#REF!&lt;&gt;"",0,IF(ISNUMBER(MATCH(Data!G189,Data_Val!$C$2:$C$5,0)),0,1))))</f>
        <v/>
      </c>
      <c r="H189" s="15" t="str">
        <f>IF(Data!B189="","",IF(AND(Data!G189&lt;&gt;"",Data!H189=""),1,IF(Data!#REF!&lt;&gt;"",0,IF(Data!G189="",1,IF(ISNUMBER(MATCH(Data!H189,Data_Val!$D$2:$D$35,0)),0,1)))))</f>
        <v/>
      </c>
      <c r="I189" s="15" t="str">
        <f>IF(Data!B189="","",IF(Data!G189&lt;&gt;"",0,IF(ISNUMBER(MATCH(Data!#REF!,Data_Val!$E$2:$E$12,0)),0,1)))</f>
        <v/>
      </c>
      <c r="J189" s="16" t="e">
        <f>IF(OR(Data!B189="",Data!#REF!=""),"",IF(Data!#REF!="",1,0))</f>
        <v>#REF!</v>
      </c>
      <c r="K189" s="16" t="e">
        <f>IF(OR(Data!B189="",Data!#REF!=""),"",IF(Data!#REF!="",1,0))</f>
        <v>#REF!</v>
      </c>
      <c r="L189" s="16" t="e">
        <f>IF(OR(Data!B189="",Data!#REF!=""),"",IF(ISNUMBER(Data!#REF!),IF(AND(Data!#REF!&gt;Data_Val!$G$2,Data!#REF!&lt;=Data_Val!$G$3),0,1),1))</f>
        <v>#REF!</v>
      </c>
      <c r="M189" s="9" t="e">
        <f>IF(OR(Data!B189="",Data!#REF!=""),"",IF(ISNUMBER(MATCH(Data!#REF!,Data_Val!$F$1:$F$38,0)),0,1))</f>
        <v>#REF!</v>
      </c>
      <c r="N189" s="9" t="e">
        <f>IF(OR(Data!B189="",Data!#REF!=""),"",IF(Data!#REF!="",1,0))</f>
        <v>#REF!</v>
      </c>
      <c r="O189" s="17" t="e">
        <f>IF(Data!#REF!="","",IF(Data!#REF!="",1,0))</f>
        <v>#REF!</v>
      </c>
      <c r="P189" s="17" t="e">
        <f>IF(Data!#REF!="","",IF(ISNUMBER(MATCH(Data!#REF!,Data_Val!$A$2:$A$3,0)),0,1))</f>
        <v>#REF!</v>
      </c>
      <c r="Q189" s="25" t="e">
        <f ca="1">IF(Data!#REF!="","",IF(ISNUMBER(Data!#REF!),IF(AND(Data!#REF!&gt;(TODAY()-(Data_Val!$J$3*365.25)),Data!#REF!&lt;=(TODAY()-(Data_Val!$J$2*365.25))),0,1),1))</f>
        <v>#REF!</v>
      </c>
      <c r="R189" s="17" t="e">
        <f>IF(Data!#REF!="","",IF(ISNUMBER(MATCH(Data!#REF!,Data_Val!$B$2:$B$15,0)),0,1))</f>
        <v>#REF!</v>
      </c>
      <c r="S189" s="11" t="str">
        <f>IF(Data!G189="","",IF(Data!G189=Data_Val!$C$2,IF(Data!M189="",0,1),0))</f>
        <v/>
      </c>
      <c r="T189" s="11" t="str">
        <f>IF(Data!M189="","",IF(ISNUMBER(MATCH(Data!N189,Data_Val!$A$2:$A$3,0)),0,1))</f>
        <v/>
      </c>
      <c r="U189" s="11" t="str">
        <f ca="1">IF(Data!M189="","",IF(ISNUMBER(Data!O189),IF(AND(Data!O189&gt;(TODAY()-(Data_Val!$K$3*365.25)),Data!O189&lt;=(TODAY()-(Data_Val!$K$2*365.25))),0,1),1))</f>
        <v/>
      </c>
      <c r="V189" s="12" t="str">
        <f>IF(Data!G189="","",IF(Data!G189=Data_Val!$C$2,IF(Data!P189="",0,1),0))</f>
        <v/>
      </c>
      <c r="W189" s="12" t="str">
        <f>IF(Data!P189="","",IF(ISNUMBER(MATCH(Data!Q189,Data_Val!$A$2:$A$3,0)),0,1))</f>
        <v/>
      </c>
      <c r="X189" s="26" t="str">
        <f ca="1">IF(Data!P189="","",IF(ISNUMBER(Data!R189),IF(AND(Data!R189&gt;(TODAY()-(Data_Val!$L$3*365.25)),Data!R189&lt;=(TODAY()-(Data_Val!$L$2*365.25))),0,1),1))</f>
        <v/>
      </c>
      <c r="Y189" s="13" t="str">
        <f>IF(Data!$G189="","",IF(Data!$G189=Data_Val!$C$2,IF(Data!S189="",0,1),0))</f>
        <v/>
      </c>
      <c r="Z189" s="13" t="str">
        <f>IF(Data!S189="","",IF(ISNUMBER(MATCH(Data!T189,Data_Val!$A$2:$A$3,0)),0,1))</f>
        <v/>
      </c>
      <c r="AA189" s="28" t="str">
        <f ca="1">IF(Data!S189="","",IF(ISNUMBER(Data!U189),IF(AND(Data!U189&gt;(TODAY()-(Data_Val!$L$3*365.25)),Data!U189&lt;=(TODAY()-(Data_Val!$L$2*365.25))),0,1),1))</f>
        <v/>
      </c>
      <c r="AB189" s="11"/>
      <c r="AC189" s="11" t="e">
        <f>IF(Data!#REF!="","",IF(ISNUMBER(MATCH(Data!#REF!,Data_Val!$A$2:$A$3,0)),0,1))</f>
        <v>#REF!</v>
      </c>
      <c r="AD189" s="11" t="e">
        <f ca="1">IF(Data!#REF!="","",IF(ISNUMBER(Data!#REF!),IF(AND(Data!#REF!&gt;(TODAY()-(Data_Val!$L$3*365.25)),Data!#REF!&lt;=(TODAY()-(Data_Val!$L$2*365.25))),0,1),1))</f>
        <v>#REF!</v>
      </c>
      <c r="AE189" s="11" t="e">
        <f>IF(Data!#REF!="","",IF(Data!$G189="",1,IF(ISNUMBER(MATCH(Data!#REF!,Data_Val!$D$2:$D$10,0)),0,1)))</f>
        <v>#REF!</v>
      </c>
      <c r="AF189" s="12"/>
      <c r="AG189" s="12" t="e">
        <f>IF(Data!#REF!="","",IF(ISNUMBER(MATCH(Data!#REF!,Data_Val!$A$2:$A$3,0)),0,1))</f>
        <v>#REF!</v>
      </c>
      <c r="AH189" s="26" t="e">
        <f ca="1">IF(Data!#REF!="","",IF(ISNUMBER(Data!#REF!),IF(AND(Data!#REF!&gt;(TODAY()-(Data_Val!$L$3*365.25)),Data!#REF!&lt;=(TODAY()-(Data_Val!$L$2*365.25))),0,1),1))</f>
        <v>#REF!</v>
      </c>
      <c r="AI189" s="12" t="e">
        <f>IF(Data!#REF!="","",IF(Data!$G189="",1,IF(ISNUMBER(MATCH(Data!#REF!,Data_Val!$D$2:$D$10,0)),0,1)))</f>
        <v>#REF!</v>
      </c>
      <c r="AJ189" s="17"/>
      <c r="AK189" s="17" t="e">
        <f>IF(Data!#REF!="","",IF(ISNUMBER(MATCH(Data!#REF!,Data_Val!$A$2:$A$3,0)),0,1))</f>
        <v>#REF!</v>
      </c>
      <c r="AL189" s="25" t="e">
        <f ca="1">IF(Data!#REF!="","",IF(ISNUMBER(Data!#REF!),IF(AND(Data!#REF!&gt;(TODAY()-(Data_Val!$L$3*365.25)),Data!#REF!&lt;=(TODAY()-(Data_Val!$L$2*365.25))),0,1),1))</f>
        <v>#REF!</v>
      </c>
      <c r="AM189" s="17" t="e">
        <f>IF(Data!#REF!="","",IF(Data!$G189="",1,IF(ISNUMBER(MATCH(Data!#REF!,Data_Val!$D$2:$D$10,0)),0,1)))</f>
        <v>#REF!</v>
      </c>
      <c r="AN189" s="13"/>
      <c r="AO189" s="28" t="e">
        <f ca="1">IF(Data!#REF!="","",IF(ISNUMBER(Data!#REF!),IF(AND(Data!#REF!&gt;(TODAY()-(Data_Val!$I$3*365.25)),Data!#REF!&lt;=(TODAY()-(Data_Val!$I$2*365.25))),0,1),1))</f>
        <v>#REF!</v>
      </c>
      <c r="AP189" s="13" t="e">
        <f>IF(Data!#REF!="","",IF(Data!$G189="",1,IF(ISNUMBER(MATCH(Data!#REF!,Data_Val!$D$2:$D$10,0)),0,1)))</f>
        <v>#REF!</v>
      </c>
      <c r="AQ189" s="17"/>
      <c r="AR189" s="30" t="e">
        <f ca="1">IF(Data!#REF!="","",IF(ISNUMBER(Data!#REF!),IF(AND(Data!#REF!&gt;(TODAY()-(Data_Val!$I$3*365.25)),Data!#REF!&lt;=(TODAY()-(Data_Val!$I$2*365.25))),0,1),1))</f>
        <v>#REF!</v>
      </c>
      <c r="AS189" s="31" t="e">
        <f>IF(Data!#REF!="","",IF(Data!$G189="",1,IF(ISNUMBER(MATCH(Data!#REF!,Data_Val!$D$2:$D$10,0)),0,1)))</f>
        <v>#REF!</v>
      </c>
      <c r="AT189" s="11"/>
      <c r="AU189" s="11" t="e">
        <f ca="1">IF(Data!#REF!="","",IF(ISNUMBER(Data!#REF!),IF(AND(Data!#REF!&gt;(TODAY()-(Data_Val!$I$3*365.25)),Data!#REF!&lt;=(TODAY()-(Data_Val!$I$2*365.25))),0,1),1))</f>
        <v>#REF!</v>
      </c>
      <c r="AV189" s="11" t="e">
        <f>IF(Data!#REF!="","",IF(Data!$G189="",1,IF(ISNUMBER(MATCH(Data!#REF!,Data_Val!$D$2:$D$10,0)),0,1)))</f>
        <v>#REF!</v>
      </c>
      <c r="AW189" s="12"/>
      <c r="AX189" s="26" t="e">
        <f ca="1">IF(Data!#REF!="","",IF(ISNUMBER(Data!#REF!),IF(AND(Data!#REF!&gt;(TODAY()-(Data_Val!$I$3*365.25)),Data!#REF!&lt;=(TODAY()-(Data_Val!$I$2*365.25))),0,1),1))</f>
        <v>#REF!</v>
      </c>
      <c r="AY189" s="12" t="e">
        <f>IF(Data!#REF!="","",IF(Data!$G189="",1,IF(ISNUMBER(MATCH(Data!#REF!,Data_Val!$D$2:$D$10,0)),0,1)))</f>
        <v>#REF!</v>
      </c>
      <c r="AZ189" s="11"/>
      <c r="BA189" s="19" t="e">
        <f ca="1">IF(Data!#REF!="","",IF(ISNUMBER(Data!#REF!),IF(AND(Data!#REF!&gt;(TODAY()-(Data_Val!$M$3*365.25)),Data!#REF!&lt;=(TODAY()-(Data_Val!$M$2*365.25))),0,1),1))</f>
        <v>#REF!</v>
      </c>
      <c r="BB189" s="11" t="e">
        <f>IF(Data!#REF!="","",IF(Data!$G189="",1,IF(ISNUMBER(MATCH(Data!#REF!,Data_Val!$D$2:$D$10,0)),0,1)))</f>
        <v>#REF!</v>
      </c>
      <c r="BC189" s="12"/>
      <c r="BD189" s="20" t="e">
        <f ca="1">IF(Data!#REF!="","",IF(ISNUMBER(Data!#REF!),IF(AND(Data!#REF!&gt;(TODAY()-(Data_Val!$M$3*365.25)),Data!#REF!&lt;=(TODAY()-(Data_Val!$M$2*365.25))),0,1),1))</f>
        <v>#REF!</v>
      </c>
      <c r="BE189" s="12" t="e">
        <f>IF(Data!#REF!="","",IF(Data!$G189="",1,IF(ISNUMBER(MATCH(Data!#REF!,Data_Val!$D$2:$D$10,0)),0,1)))</f>
        <v>#REF!</v>
      </c>
      <c r="BF189" s="17"/>
      <c r="BG189" s="18" t="e">
        <f ca="1">IF(Data!#REF!="","",IF(ISNUMBER(Data!#REF!),IF(AND(Data!#REF!&gt;(TODAY()-(Data_Val!$M$3*365.25)),Data!#REF!&lt;=(TODAY()-(Data_Val!$M$2*365.25))),0,1),1))</f>
        <v>#REF!</v>
      </c>
      <c r="BH189" s="29" t="e">
        <f>IF(Data!#REF!="","",IF(Data!$G189="",1,IF(ISNUMBER(MATCH(Data!#REF!,Data_Val!$D$2:$D$10,0)),0,1)))</f>
        <v>#REF!</v>
      </c>
      <c r="BI189" s="13"/>
      <c r="BJ189" s="21" t="e">
        <f ca="1">IF(Data!#REF!="","",IF(ISNUMBER(Data!#REF!),IF(AND(Data!#REF!&gt;(TODAY()-(Data_Val!$M$3*365.25)),Data!#REF!&lt;=(TODAY()-(Data_Val!$M$2*365.25))),0,1),1))</f>
        <v>#REF!</v>
      </c>
      <c r="BK189" s="13" t="e">
        <f>IF(Data!#REF!="","",IF(Data!$G189="",1,IF(ISNUMBER(MATCH(Data!#REF!,Data_Val!$D$2:$D$10,0)),0,1)))</f>
        <v>#REF!</v>
      </c>
    </row>
    <row r="190" spans="1:63" x14ac:dyDescent="0.25">
      <c r="A190" s="9" t="str">
        <f>IF(Data!B190="","",IF(COUNTIFS(Data!A$1:'Data'!A190,Data!A190)&lt;=1,0,1))</f>
        <v/>
      </c>
      <c r="B190" s="9"/>
      <c r="C190" s="23" t="str">
        <f>IF(Data!C190="","",(IF(ISNUMBER(MATCH("*@*.?*",Data!C190,0)),0,1)+IF(COUNTIFS(Data!C$1:'Data'!C190,Data!C190)&gt;1,1,0)))</f>
        <v/>
      </c>
      <c r="D190" s="9" t="str">
        <f>IF(Data!B190="","",IF(ISNUMBER(Data!D190),IF(AND(Data!D190&gt;999999999,Data!D190&lt;=9999999999),IF(COUNTIFS(Data!D$1:'Data'!D190,Data!D190)&lt;=1,0,1),1),1))</f>
        <v/>
      </c>
      <c r="E190" s="9" t="str">
        <f>IF(Data!B190="","",IF(ISNUMBER(MATCH(Data!E190,Data_Val!$A$2:$A$3,0)),0,1))</f>
        <v/>
      </c>
      <c r="F190" s="9" t="str">
        <f ca="1">IF(Data!B190="","",IF(ISNUMBER(Data!F190),IF(AND(Data!F190&gt;(TODAY()-(Data_Val!$H$3*365.25)),Data!F190&lt;=(TODAY()-(Data_Val!$H$2*365.25))),0,1),1))</f>
        <v/>
      </c>
      <c r="G190" s="15" t="str">
        <f>IF(Data!B190="","",IF(AND(Data!G190="",Data!H190&lt;&gt;""),1,IF(Data!#REF!&lt;&gt;"",0,IF(ISNUMBER(MATCH(Data!G190,Data_Val!$C$2:$C$5,0)),0,1))))</f>
        <v/>
      </c>
      <c r="H190" s="15" t="str">
        <f>IF(Data!B190="","",IF(AND(Data!G190&lt;&gt;"",Data!H190=""),1,IF(Data!#REF!&lt;&gt;"",0,IF(Data!G190="",1,IF(ISNUMBER(MATCH(Data!H190,Data_Val!$D$2:$D$35,0)),0,1)))))</f>
        <v/>
      </c>
      <c r="I190" s="15" t="str">
        <f>IF(Data!B190="","",IF(Data!G190&lt;&gt;"",0,IF(ISNUMBER(MATCH(Data!#REF!,Data_Val!$E$2:$E$12,0)),0,1)))</f>
        <v/>
      </c>
      <c r="J190" s="16" t="e">
        <f>IF(OR(Data!B190="",Data!#REF!=""),"",IF(Data!#REF!="",1,0))</f>
        <v>#REF!</v>
      </c>
      <c r="K190" s="16" t="e">
        <f>IF(OR(Data!B190="",Data!#REF!=""),"",IF(Data!#REF!="",1,0))</f>
        <v>#REF!</v>
      </c>
      <c r="L190" s="16" t="e">
        <f>IF(OR(Data!B190="",Data!#REF!=""),"",IF(ISNUMBER(Data!#REF!),IF(AND(Data!#REF!&gt;Data_Val!$G$2,Data!#REF!&lt;=Data_Val!$G$3),0,1),1))</f>
        <v>#REF!</v>
      </c>
      <c r="M190" s="9" t="e">
        <f>IF(OR(Data!B190="",Data!#REF!=""),"",IF(ISNUMBER(MATCH(Data!#REF!,Data_Val!$F$1:$F$38,0)),0,1))</f>
        <v>#REF!</v>
      </c>
      <c r="N190" s="9" t="e">
        <f>IF(OR(Data!B190="",Data!#REF!=""),"",IF(Data!#REF!="",1,0))</f>
        <v>#REF!</v>
      </c>
      <c r="O190" s="17" t="e">
        <f>IF(Data!#REF!="","",IF(Data!#REF!="",1,0))</f>
        <v>#REF!</v>
      </c>
      <c r="P190" s="17" t="e">
        <f>IF(Data!#REF!="","",IF(ISNUMBER(MATCH(Data!#REF!,Data_Val!$A$2:$A$3,0)),0,1))</f>
        <v>#REF!</v>
      </c>
      <c r="Q190" s="25" t="e">
        <f ca="1">IF(Data!#REF!="","",IF(ISNUMBER(Data!#REF!),IF(AND(Data!#REF!&gt;(TODAY()-(Data_Val!$J$3*365.25)),Data!#REF!&lt;=(TODAY()-(Data_Val!$J$2*365.25))),0,1),1))</f>
        <v>#REF!</v>
      </c>
      <c r="R190" s="17" t="e">
        <f>IF(Data!#REF!="","",IF(ISNUMBER(MATCH(Data!#REF!,Data_Val!$B$2:$B$15,0)),0,1))</f>
        <v>#REF!</v>
      </c>
      <c r="S190" s="11" t="str">
        <f>IF(Data!G190="","",IF(Data!G190=Data_Val!$C$2,IF(Data!M190="",0,1),0))</f>
        <v/>
      </c>
      <c r="T190" s="11" t="str">
        <f>IF(Data!M190="","",IF(ISNUMBER(MATCH(Data!N190,Data_Val!$A$2:$A$3,0)),0,1))</f>
        <v/>
      </c>
      <c r="U190" s="11" t="str">
        <f ca="1">IF(Data!M190="","",IF(ISNUMBER(Data!O190),IF(AND(Data!O190&gt;(TODAY()-(Data_Val!$K$3*365.25)),Data!O190&lt;=(TODAY()-(Data_Val!$K$2*365.25))),0,1),1))</f>
        <v/>
      </c>
      <c r="V190" s="12" t="str">
        <f>IF(Data!G190="","",IF(Data!G190=Data_Val!$C$2,IF(Data!P190="",0,1),0))</f>
        <v/>
      </c>
      <c r="W190" s="12" t="str">
        <f>IF(Data!P190="","",IF(ISNUMBER(MATCH(Data!Q190,Data_Val!$A$2:$A$3,0)),0,1))</f>
        <v/>
      </c>
      <c r="X190" s="26" t="str">
        <f ca="1">IF(Data!P190="","",IF(ISNUMBER(Data!R190),IF(AND(Data!R190&gt;(TODAY()-(Data_Val!$L$3*365.25)),Data!R190&lt;=(TODAY()-(Data_Val!$L$2*365.25))),0,1),1))</f>
        <v/>
      </c>
      <c r="Y190" s="13" t="str">
        <f>IF(Data!$G190="","",IF(Data!$G190=Data_Val!$C$2,IF(Data!S190="",0,1),0))</f>
        <v/>
      </c>
      <c r="Z190" s="13" t="str">
        <f>IF(Data!S190="","",IF(ISNUMBER(MATCH(Data!T190,Data_Val!$A$2:$A$3,0)),0,1))</f>
        <v/>
      </c>
      <c r="AA190" s="28" t="str">
        <f ca="1">IF(Data!S190="","",IF(ISNUMBER(Data!U190),IF(AND(Data!U190&gt;(TODAY()-(Data_Val!$L$3*365.25)),Data!U190&lt;=(TODAY()-(Data_Val!$L$2*365.25))),0,1),1))</f>
        <v/>
      </c>
      <c r="AB190" s="11"/>
      <c r="AC190" s="11" t="e">
        <f>IF(Data!#REF!="","",IF(ISNUMBER(MATCH(Data!#REF!,Data_Val!$A$2:$A$3,0)),0,1))</f>
        <v>#REF!</v>
      </c>
      <c r="AD190" s="11" t="e">
        <f ca="1">IF(Data!#REF!="","",IF(ISNUMBER(Data!#REF!),IF(AND(Data!#REF!&gt;(TODAY()-(Data_Val!$L$3*365.25)),Data!#REF!&lt;=(TODAY()-(Data_Val!$L$2*365.25))),0,1),1))</f>
        <v>#REF!</v>
      </c>
      <c r="AE190" s="11" t="e">
        <f>IF(Data!#REF!="","",IF(Data!$G190="",1,IF(ISNUMBER(MATCH(Data!#REF!,Data_Val!$D$2:$D$10,0)),0,1)))</f>
        <v>#REF!</v>
      </c>
      <c r="AF190" s="12"/>
      <c r="AG190" s="12" t="e">
        <f>IF(Data!#REF!="","",IF(ISNUMBER(MATCH(Data!#REF!,Data_Val!$A$2:$A$3,0)),0,1))</f>
        <v>#REF!</v>
      </c>
      <c r="AH190" s="26" t="e">
        <f ca="1">IF(Data!#REF!="","",IF(ISNUMBER(Data!#REF!),IF(AND(Data!#REF!&gt;(TODAY()-(Data_Val!$L$3*365.25)),Data!#REF!&lt;=(TODAY()-(Data_Val!$L$2*365.25))),0,1),1))</f>
        <v>#REF!</v>
      </c>
      <c r="AI190" s="12" t="e">
        <f>IF(Data!#REF!="","",IF(Data!$G190="",1,IF(ISNUMBER(MATCH(Data!#REF!,Data_Val!$D$2:$D$10,0)),0,1)))</f>
        <v>#REF!</v>
      </c>
      <c r="AJ190" s="17"/>
      <c r="AK190" s="17" t="e">
        <f>IF(Data!#REF!="","",IF(ISNUMBER(MATCH(Data!#REF!,Data_Val!$A$2:$A$3,0)),0,1))</f>
        <v>#REF!</v>
      </c>
      <c r="AL190" s="25" t="e">
        <f ca="1">IF(Data!#REF!="","",IF(ISNUMBER(Data!#REF!),IF(AND(Data!#REF!&gt;(TODAY()-(Data_Val!$L$3*365.25)),Data!#REF!&lt;=(TODAY()-(Data_Val!$L$2*365.25))),0,1),1))</f>
        <v>#REF!</v>
      </c>
      <c r="AM190" s="17" t="e">
        <f>IF(Data!#REF!="","",IF(Data!$G190="",1,IF(ISNUMBER(MATCH(Data!#REF!,Data_Val!$D$2:$D$10,0)),0,1)))</f>
        <v>#REF!</v>
      </c>
      <c r="AN190" s="13"/>
      <c r="AO190" s="28" t="e">
        <f ca="1">IF(Data!#REF!="","",IF(ISNUMBER(Data!#REF!),IF(AND(Data!#REF!&gt;(TODAY()-(Data_Val!$I$3*365.25)),Data!#REF!&lt;=(TODAY()-(Data_Val!$I$2*365.25))),0,1),1))</f>
        <v>#REF!</v>
      </c>
      <c r="AP190" s="13" t="e">
        <f>IF(Data!#REF!="","",IF(Data!$G190="",1,IF(ISNUMBER(MATCH(Data!#REF!,Data_Val!$D$2:$D$10,0)),0,1)))</f>
        <v>#REF!</v>
      </c>
      <c r="AQ190" s="17"/>
      <c r="AR190" s="30" t="e">
        <f ca="1">IF(Data!#REF!="","",IF(ISNUMBER(Data!#REF!),IF(AND(Data!#REF!&gt;(TODAY()-(Data_Val!$I$3*365.25)),Data!#REF!&lt;=(TODAY()-(Data_Val!$I$2*365.25))),0,1),1))</f>
        <v>#REF!</v>
      </c>
      <c r="AS190" s="31" t="e">
        <f>IF(Data!#REF!="","",IF(Data!$G190="",1,IF(ISNUMBER(MATCH(Data!#REF!,Data_Val!$D$2:$D$10,0)),0,1)))</f>
        <v>#REF!</v>
      </c>
      <c r="AT190" s="11"/>
      <c r="AU190" s="11" t="e">
        <f ca="1">IF(Data!#REF!="","",IF(ISNUMBER(Data!#REF!),IF(AND(Data!#REF!&gt;(TODAY()-(Data_Val!$I$3*365.25)),Data!#REF!&lt;=(TODAY()-(Data_Val!$I$2*365.25))),0,1),1))</f>
        <v>#REF!</v>
      </c>
      <c r="AV190" s="11" t="e">
        <f>IF(Data!#REF!="","",IF(Data!$G190="",1,IF(ISNUMBER(MATCH(Data!#REF!,Data_Val!$D$2:$D$10,0)),0,1)))</f>
        <v>#REF!</v>
      </c>
      <c r="AW190" s="12"/>
      <c r="AX190" s="26" t="e">
        <f ca="1">IF(Data!#REF!="","",IF(ISNUMBER(Data!#REF!),IF(AND(Data!#REF!&gt;(TODAY()-(Data_Val!$I$3*365.25)),Data!#REF!&lt;=(TODAY()-(Data_Val!$I$2*365.25))),0,1),1))</f>
        <v>#REF!</v>
      </c>
      <c r="AY190" s="12" t="e">
        <f>IF(Data!#REF!="","",IF(Data!$G190="",1,IF(ISNUMBER(MATCH(Data!#REF!,Data_Val!$D$2:$D$10,0)),0,1)))</f>
        <v>#REF!</v>
      </c>
      <c r="AZ190" s="11"/>
      <c r="BA190" s="19" t="e">
        <f ca="1">IF(Data!#REF!="","",IF(ISNUMBER(Data!#REF!),IF(AND(Data!#REF!&gt;(TODAY()-(Data_Val!$M$3*365.25)),Data!#REF!&lt;=(TODAY()-(Data_Val!$M$2*365.25))),0,1),1))</f>
        <v>#REF!</v>
      </c>
      <c r="BB190" s="11" t="e">
        <f>IF(Data!#REF!="","",IF(Data!$G190="",1,IF(ISNUMBER(MATCH(Data!#REF!,Data_Val!$D$2:$D$10,0)),0,1)))</f>
        <v>#REF!</v>
      </c>
      <c r="BC190" s="12"/>
      <c r="BD190" s="20" t="e">
        <f ca="1">IF(Data!#REF!="","",IF(ISNUMBER(Data!#REF!),IF(AND(Data!#REF!&gt;(TODAY()-(Data_Val!$M$3*365.25)),Data!#REF!&lt;=(TODAY()-(Data_Val!$M$2*365.25))),0,1),1))</f>
        <v>#REF!</v>
      </c>
      <c r="BE190" s="12" t="e">
        <f>IF(Data!#REF!="","",IF(Data!$G190="",1,IF(ISNUMBER(MATCH(Data!#REF!,Data_Val!$D$2:$D$10,0)),0,1)))</f>
        <v>#REF!</v>
      </c>
      <c r="BF190" s="17"/>
      <c r="BG190" s="18" t="e">
        <f ca="1">IF(Data!#REF!="","",IF(ISNUMBER(Data!#REF!),IF(AND(Data!#REF!&gt;(TODAY()-(Data_Val!$M$3*365.25)),Data!#REF!&lt;=(TODAY()-(Data_Val!$M$2*365.25))),0,1),1))</f>
        <v>#REF!</v>
      </c>
      <c r="BH190" s="29" t="e">
        <f>IF(Data!#REF!="","",IF(Data!$G190="",1,IF(ISNUMBER(MATCH(Data!#REF!,Data_Val!$D$2:$D$10,0)),0,1)))</f>
        <v>#REF!</v>
      </c>
      <c r="BI190" s="13"/>
      <c r="BJ190" s="21" t="e">
        <f ca="1">IF(Data!#REF!="","",IF(ISNUMBER(Data!#REF!),IF(AND(Data!#REF!&gt;(TODAY()-(Data_Val!$M$3*365.25)),Data!#REF!&lt;=(TODAY()-(Data_Val!$M$2*365.25))),0,1),1))</f>
        <v>#REF!</v>
      </c>
      <c r="BK190" s="13" t="e">
        <f>IF(Data!#REF!="","",IF(Data!$G190="",1,IF(ISNUMBER(MATCH(Data!#REF!,Data_Val!$D$2:$D$10,0)),0,1)))</f>
        <v>#REF!</v>
      </c>
    </row>
    <row r="191" spans="1:63" x14ac:dyDescent="0.25">
      <c r="A191" s="9" t="str">
        <f>IF(Data!B191="","",IF(COUNTIFS(Data!A$1:'Data'!A191,Data!A191)&lt;=1,0,1))</f>
        <v/>
      </c>
      <c r="B191" s="9"/>
      <c r="C191" s="23" t="str">
        <f>IF(Data!C191="","",(IF(ISNUMBER(MATCH("*@*.?*",Data!C191,0)),0,1)+IF(COUNTIFS(Data!C$1:'Data'!C191,Data!C191)&gt;1,1,0)))</f>
        <v/>
      </c>
      <c r="D191" s="9" t="str">
        <f>IF(Data!B191="","",IF(ISNUMBER(Data!D191),IF(AND(Data!D191&gt;999999999,Data!D191&lt;=9999999999),IF(COUNTIFS(Data!D$1:'Data'!D191,Data!D191)&lt;=1,0,1),1),1))</f>
        <v/>
      </c>
      <c r="E191" s="9" t="str">
        <f>IF(Data!B191="","",IF(ISNUMBER(MATCH(Data!E191,Data_Val!$A$2:$A$3,0)),0,1))</f>
        <v/>
      </c>
      <c r="F191" s="9" t="str">
        <f ca="1">IF(Data!B191="","",IF(ISNUMBER(Data!F191),IF(AND(Data!F191&gt;(TODAY()-(Data_Val!$H$3*365.25)),Data!F191&lt;=(TODAY()-(Data_Val!$H$2*365.25))),0,1),1))</f>
        <v/>
      </c>
      <c r="G191" s="15" t="str">
        <f>IF(Data!B191="","",IF(AND(Data!G191="",Data!H191&lt;&gt;""),1,IF(Data!#REF!&lt;&gt;"",0,IF(ISNUMBER(MATCH(Data!G191,Data_Val!$C$2:$C$5,0)),0,1))))</f>
        <v/>
      </c>
      <c r="H191" s="15" t="str">
        <f>IF(Data!B191="","",IF(AND(Data!G191&lt;&gt;"",Data!H191=""),1,IF(Data!#REF!&lt;&gt;"",0,IF(Data!G191="",1,IF(ISNUMBER(MATCH(Data!H191,Data_Val!$D$2:$D$35,0)),0,1)))))</f>
        <v/>
      </c>
      <c r="I191" s="15" t="str">
        <f>IF(Data!B191="","",IF(Data!G191&lt;&gt;"",0,IF(ISNUMBER(MATCH(Data!#REF!,Data_Val!$E$2:$E$12,0)),0,1)))</f>
        <v/>
      </c>
      <c r="J191" s="16" t="e">
        <f>IF(OR(Data!B191="",Data!#REF!=""),"",IF(Data!#REF!="",1,0))</f>
        <v>#REF!</v>
      </c>
      <c r="K191" s="16" t="e">
        <f>IF(OR(Data!B191="",Data!#REF!=""),"",IF(Data!#REF!="",1,0))</f>
        <v>#REF!</v>
      </c>
      <c r="L191" s="16" t="e">
        <f>IF(OR(Data!B191="",Data!#REF!=""),"",IF(ISNUMBER(Data!#REF!),IF(AND(Data!#REF!&gt;Data_Val!$G$2,Data!#REF!&lt;=Data_Val!$G$3),0,1),1))</f>
        <v>#REF!</v>
      </c>
      <c r="M191" s="9" t="e">
        <f>IF(OR(Data!B191="",Data!#REF!=""),"",IF(ISNUMBER(MATCH(Data!#REF!,Data_Val!$F$1:$F$38,0)),0,1))</f>
        <v>#REF!</v>
      </c>
      <c r="N191" s="9" t="e">
        <f>IF(OR(Data!B191="",Data!#REF!=""),"",IF(Data!#REF!="",1,0))</f>
        <v>#REF!</v>
      </c>
      <c r="O191" s="17" t="e">
        <f>IF(Data!#REF!="","",IF(Data!#REF!="",1,0))</f>
        <v>#REF!</v>
      </c>
      <c r="P191" s="17" t="e">
        <f>IF(Data!#REF!="","",IF(ISNUMBER(MATCH(Data!#REF!,Data_Val!$A$2:$A$3,0)),0,1))</f>
        <v>#REF!</v>
      </c>
      <c r="Q191" s="25" t="e">
        <f ca="1">IF(Data!#REF!="","",IF(ISNUMBER(Data!#REF!),IF(AND(Data!#REF!&gt;(TODAY()-(Data_Val!$J$3*365.25)),Data!#REF!&lt;=(TODAY()-(Data_Val!$J$2*365.25))),0,1),1))</f>
        <v>#REF!</v>
      </c>
      <c r="R191" s="17" t="e">
        <f>IF(Data!#REF!="","",IF(ISNUMBER(MATCH(Data!#REF!,Data_Val!$B$2:$B$15,0)),0,1))</f>
        <v>#REF!</v>
      </c>
      <c r="S191" s="11" t="str">
        <f>IF(Data!G191="","",IF(Data!G191=Data_Val!$C$2,IF(Data!M191="",0,1),0))</f>
        <v/>
      </c>
      <c r="T191" s="11" t="str">
        <f>IF(Data!M191="","",IF(ISNUMBER(MATCH(Data!N191,Data_Val!$A$2:$A$3,0)),0,1))</f>
        <v/>
      </c>
      <c r="U191" s="11" t="str">
        <f ca="1">IF(Data!M191="","",IF(ISNUMBER(Data!O191),IF(AND(Data!O191&gt;(TODAY()-(Data_Val!$K$3*365.25)),Data!O191&lt;=(TODAY()-(Data_Val!$K$2*365.25))),0,1),1))</f>
        <v/>
      </c>
      <c r="V191" s="12" t="str">
        <f>IF(Data!G191="","",IF(Data!G191=Data_Val!$C$2,IF(Data!P191="",0,1),0))</f>
        <v/>
      </c>
      <c r="W191" s="12" t="str">
        <f>IF(Data!P191="","",IF(ISNUMBER(MATCH(Data!Q191,Data_Val!$A$2:$A$3,0)),0,1))</f>
        <v/>
      </c>
      <c r="X191" s="26" t="str">
        <f ca="1">IF(Data!P191="","",IF(ISNUMBER(Data!R191),IF(AND(Data!R191&gt;(TODAY()-(Data_Val!$L$3*365.25)),Data!R191&lt;=(TODAY()-(Data_Val!$L$2*365.25))),0,1),1))</f>
        <v/>
      </c>
      <c r="Y191" s="13" t="str">
        <f>IF(Data!$G191="","",IF(Data!$G191=Data_Val!$C$2,IF(Data!S191="",0,1),0))</f>
        <v/>
      </c>
      <c r="Z191" s="13" t="str">
        <f>IF(Data!S191="","",IF(ISNUMBER(MATCH(Data!T191,Data_Val!$A$2:$A$3,0)),0,1))</f>
        <v/>
      </c>
      <c r="AA191" s="28" t="str">
        <f ca="1">IF(Data!S191="","",IF(ISNUMBER(Data!U191),IF(AND(Data!U191&gt;(TODAY()-(Data_Val!$L$3*365.25)),Data!U191&lt;=(TODAY()-(Data_Val!$L$2*365.25))),0,1),1))</f>
        <v/>
      </c>
      <c r="AB191" s="11"/>
      <c r="AC191" s="11" t="e">
        <f>IF(Data!#REF!="","",IF(ISNUMBER(MATCH(Data!#REF!,Data_Val!$A$2:$A$3,0)),0,1))</f>
        <v>#REF!</v>
      </c>
      <c r="AD191" s="11" t="e">
        <f ca="1">IF(Data!#REF!="","",IF(ISNUMBER(Data!#REF!),IF(AND(Data!#REF!&gt;(TODAY()-(Data_Val!$L$3*365.25)),Data!#REF!&lt;=(TODAY()-(Data_Val!$L$2*365.25))),0,1),1))</f>
        <v>#REF!</v>
      </c>
      <c r="AE191" s="11" t="e">
        <f>IF(Data!#REF!="","",IF(Data!$G191="",1,IF(ISNUMBER(MATCH(Data!#REF!,Data_Val!$D$2:$D$10,0)),0,1)))</f>
        <v>#REF!</v>
      </c>
      <c r="AF191" s="12"/>
      <c r="AG191" s="12" t="e">
        <f>IF(Data!#REF!="","",IF(ISNUMBER(MATCH(Data!#REF!,Data_Val!$A$2:$A$3,0)),0,1))</f>
        <v>#REF!</v>
      </c>
      <c r="AH191" s="26" t="e">
        <f ca="1">IF(Data!#REF!="","",IF(ISNUMBER(Data!#REF!),IF(AND(Data!#REF!&gt;(TODAY()-(Data_Val!$L$3*365.25)),Data!#REF!&lt;=(TODAY()-(Data_Val!$L$2*365.25))),0,1),1))</f>
        <v>#REF!</v>
      </c>
      <c r="AI191" s="12" t="e">
        <f>IF(Data!#REF!="","",IF(Data!$G191="",1,IF(ISNUMBER(MATCH(Data!#REF!,Data_Val!$D$2:$D$10,0)),0,1)))</f>
        <v>#REF!</v>
      </c>
      <c r="AJ191" s="17"/>
      <c r="AK191" s="17" t="e">
        <f>IF(Data!#REF!="","",IF(ISNUMBER(MATCH(Data!#REF!,Data_Val!$A$2:$A$3,0)),0,1))</f>
        <v>#REF!</v>
      </c>
      <c r="AL191" s="25" t="e">
        <f ca="1">IF(Data!#REF!="","",IF(ISNUMBER(Data!#REF!),IF(AND(Data!#REF!&gt;(TODAY()-(Data_Val!$L$3*365.25)),Data!#REF!&lt;=(TODAY()-(Data_Val!$L$2*365.25))),0,1),1))</f>
        <v>#REF!</v>
      </c>
      <c r="AM191" s="17" t="e">
        <f>IF(Data!#REF!="","",IF(Data!$G191="",1,IF(ISNUMBER(MATCH(Data!#REF!,Data_Val!$D$2:$D$10,0)),0,1)))</f>
        <v>#REF!</v>
      </c>
      <c r="AN191" s="13"/>
      <c r="AO191" s="28" t="e">
        <f ca="1">IF(Data!#REF!="","",IF(ISNUMBER(Data!#REF!),IF(AND(Data!#REF!&gt;(TODAY()-(Data_Val!$I$3*365.25)),Data!#REF!&lt;=(TODAY()-(Data_Val!$I$2*365.25))),0,1),1))</f>
        <v>#REF!</v>
      </c>
      <c r="AP191" s="13" t="e">
        <f>IF(Data!#REF!="","",IF(Data!$G191="",1,IF(ISNUMBER(MATCH(Data!#REF!,Data_Val!$D$2:$D$10,0)),0,1)))</f>
        <v>#REF!</v>
      </c>
      <c r="AQ191" s="17"/>
      <c r="AR191" s="30" t="e">
        <f ca="1">IF(Data!#REF!="","",IF(ISNUMBER(Data!#REF!),IF(AND(Data!#REF!&gt;(TODAY()-(Data_Val!$I$3*365.25)),Data!#REF!&lt;=(TODAY()-(Data_Val!$I$2*365.25))),0,1),1))</f>
        <v>#REF!</v>
      </c>
      <c r="AS191" s="31" t="e">
        <f>IF(Data!#REF!="","",IF(Data!$G191="",1,IF(ISNUMBER(MATCH(Data!#REF!,Data_Val!$D$2:$D$10,0)),0,1)))</f>
        <v>#REF!</v>
      </c>
      <c r="AT191" s="11"/>
      <c r="AU191" s="11" t="e">
        <f ca="1">IF(Data!#REF!="","",IF(ISNUMBER(Data!#REF!),IF(AND(Data!#REF!&gt;(TODAY()-(Data_Val!$I$3*365.25)),Data!#REF!&lt;=(TODAY()-(Data_Val!$I$2*365.25))),0,1),1))</f>
        <v>#REF!</v>
      </c>
      <c r="AV191" s="11" t="e">
        <f>IF(Data!#REF!="","",IF(Data!$G191="",1,IF(ISNUMBER(MATCH(Data!#REF!,Data_Val!$D$2:$D$10,0)),0,1)))</f>
        <v>#REF!</v>
      </c>
      <c r="AW191" s="12"/>
      <c r="AX191" s="26" t="e">
        <f ca="1">IF(Data!#REF!="","",IF(ISNUMBER(Data!#REF!),IF(AND(Data!#REF!&gt;(TODAY()-(Data_Val!$I$3*365.25)),Data!#REF!&lt;=(TODAY()-(Data_Val!$I$2*365.25))),0,1),1))</f>
        <v>#REF!</v>
      </c>
      <c r="AY191" s="12" t="e">
        <f>IF(Data!#REF!="","",IF(Data!$G191="",1,IF(ISNUMBER(MATCH(Data!#REF!,Data_Val!$D$2:$D$10,0)),0,1)))</f>
        <v>#REF!</v>
      </c>
      <c r="AZ191" s="11"/>
      <c r="BA191" s="19" t="e">
        <f ca="1">IF(Data!#REF!="","",IF(ISNUMBER(Data!#REF!),IF(AND(Data!#REF!&gt;(TODAY()-(Data_Val!$M$3*365.25)),Data!#REF!&lt;=(TODAY()-(Data_Val!$M$2*365.25))),0,1),1))</f>
        <v>#REF!</v>
      </c>
      <c r="BB191" s="11" t="e">
        <f>IF(Data!#REF!="","",IF(Data!$G191="",1,IF(ISNUMBER(MATCH(Data!#REF!,Data_Val!$D$2:$D$10,0)),0,1)))</f>
        <v>#REF!</v>
      </c>
      <c r="BC191" s="12"/>
      <c r="BD191" s="20" t="e">
        <f ca="1">IF(Data!#REF!="","",IF(ISNUMBER(Data!#REF!),IF(AND(Data!#REF!&gt;(TODAY()-(Data_Val!$M$3*365.25)),Data!#REF!&lt;=(TODAY()-(Data_Val!$M$2*365.25))),0,1),1))</f>
        <v>#REF!</v>
      </c>
      <c r="BE191" s="12" t="e">
        <f>IF(Data!#REF!="","",IF(Data!$G191="",1,IF(ISNUMBER(MATCH(Data!#REF!,Data_Val!$D$2:$D$10,0)),0,1)))</f>
        <v>#REF!</v>
      </c>
      <c r="BF191" s="17"/>
      <c r="BG191" s="18" t="e">
        <f ca="1">IF(Data!#REF!="","",IF(ISNUMBER(Data!#REF!),IF(AND(Data!#REF!&gt;(TODAY()-(Data_Val!$M$3*365.25)),Data!#REF!&lt;=(TODAY()-(Data_Val!$M$2*365.25))),0,1),1))</f>
        <v>#REF!</v>
      </c>
      <c r="BH191" s="29" t="e">
        <f>IF(Data!#REF!="","",IF(Data!$G191="",1,IF(ISNUMBER(MATCH(Data!#REF!,Data_Val!$D$2:$D$10,0)),0,1)))</f>
        <v>#REF!</v>
      </c>
      <c r="BI191" s="13"/>
      <c r="BJ191" s="21" t="e">
        <f ca="1">IF(Data!#REF!="","",IF(ISNUMBER(Data!#REF!),IF(AND(Data!#REF!&gt;(TODAY()-(Data_Val!$M$3*365.25)),Data!#REF!&lt;=(TODAY()-(Data_Val!$M$2*365.25))),0,1),1))</f>
        <v>#REF!</v>
      </c>
      <c r="BK191" s="13" t="e">
        <f>IF(Data!#REF!="","",IF(Data!$G191="",1,IF(ISNUMBER(MATCH(Data!#REF!,Data_Val!$D$2:$D$10,0)),0,1)))</f>
        <v>#REF!</v>
      </c>
    </row>
    <row r="192" spans="1:63" x14ac:dyDescent="0.25">
      <c r="A192" s="9" t="str">
        <f>IF(Data!B192="","",IF(COUNTIFS(Data!A$1:'Data'!A192,Data!A192)&lt;=1,0,1))</f>
        <v/>
      </c>
      <c r="B192" s="9"/>
      <c r="C192" s="23" t="str">
        <f>IF(Data!C192="","",(IF(ISNUMBER(MATCH("*@*.?*",Data!C192,0)),0,1)+IF(COUNTIFS(Data!C$1:'Data'!C192,Data!C192)&gt;1,1,0)))</f>
        <v/>
      </c>
      <c r="D192" s="9" t="str">
        <f>IF(Data!B192="","",IF(ISNUMBER(Data!D192),IF(AND(Data!D192&gt;999999999,Data!D192&lt;=9999999999),IF(COUNTIFS(Data!D$1:'Data'!D192,Data!D192)&lt;=1,0,1),1),1))</f>
        <v/>
      </c>
      <c r="E192" s="9" t="str">
        <f>IF(Data!B192="","",IF(ISNUMBER(MATCH(Data!E192,Data_Val!$A$2:$A$3,0)),0,1))</f>
        <v/>
      </c>
      <c r="F192" s="9" t="str">
        <f ca="1">IF(Data!B192="","",IF(ISNUMBER(Data!F192),IF(AND(Data!F192&gt;(TODAY()-(Data_Val!$H$3*365.25)),Data!F192&lt;=(TODAY()-(Data_Val!$H$2*365.25))),0,1),1))</f>
        <v/>
      </c>
      <c r="G192" s="15" t="str">
        <f>IF(Data!B192="","",IF(AND(Data!G192="",Data!H192&lt;&gt;""),1,IF(Data!#REF!&lt;&gt;"",0,IF(ISNUMBER(MATCH(Data!G192,Data_Val!$C$2:$C$5,0)),0,1))))</f>
        <v/>
      </c>
      <c r="H192" s="15" t="str">
        <f>IF(Data!B192="","",IF(AND(Data!G192&lt;&gt;"",Data!H192=""),1,IF(Data!#REF!&lt;&gt;"",0,IF(Data!G192="",1,IF(ISNUMBER(MATCH(Data!H192,Data_Val!$D$2:$D$35,0)),0,1)))))</f>
        <v/>
      </c>
      <c r="I192" s="15" t="str">
        <f>IF(Data!B192="","",IF(Data!G192&lt;&gt;"",0,IF(ISNUMBER(MATCH(Data!#REF!,Data_Val!$E$2:$E$12,0)),0,1)))</f>
        <v/>
      </c>
      <c r="J192" s="16" t="e">
        <f>IF(OR(Data!B192="",Data!#REF!=""),"",IF(Data!#REF!="",1,0))</f>
        <v>#REF!</v>
      </c>
      <c r="K192" s="16" t="e">
        <f>IF(OR(Data!B192="",Data!#REF!=""),"",IF(Data!#REF!="",1,0))</f>
        <v>#REF!</v>
      </c>
      <c r="L192" s="16" t="e">
        <f>IF(OR(Data!B192="",Data!#REF!=""),"",IF(ISNUMBER(Data!#REF!),IF(AND(Data!#REF!&gt;Data_Val!$G$2,Data!#REF!&lt;=Data_Val!$G$3),0,1),1))</f>
        <v>#REF!</v>
      </c>
      <c r="M192" s="9" t="e">
        <f>IF(OR(Data!B192="",Data!#REF!=""),"",IF(ISNUMBER(MATCH(Data!#REF!,Data_Val!$F$1:$F$38,0)),0,1))</f>
        <v>#REF!</v>
      </c>
      <c r="N192" s="9" t="e">
        <f>IF(OR(Data!B192="",Data!#REF!=""),"",IF(Data!#REF!="",1,0))</f>
        <v>#REF!</v>
      </c>
      <c r="O192" s="17" t="e">
        <f>IF(Data!#REF!="","",IF(Data!#REF!="",1,0))</f>
        <v>#REF!</v>
      </c>
      <c r="P192" s="17" t="e">
        <f>IF(Data!#REF!="","",IF(ISNUMBER(MATCH(Data!#REF!,Data_Val!$A$2:$A$3,0)),0,1))</f>
        <v>#REF!</v>
      </c>
      <c r="Q192" s="25" t="e">
        <f ca="1">IF(Data!#REF!="","",IF(ISNUMBER(Data!#REF!),IF(AND(Data!#REF!&gt;(TODAY()-(Data_Val!$J$3*365.25)),Data!#REF!&lt;=(TODAY()-(Data_Val!$J$2*365.25))),0,1),1))</f>
        <v>#REF!</v>
      </c>
      <c r="R192" s="17" t="e">
        <f>IF(Data!#REF!="","",IF(ISNUMBER(MATCH(Data!#REF!,Data_Val!$B$2:$B$15,0)),0,1))</f>
        <v>#REF!</v>
      </c>
      <c r="S192" s="11" t="str">
        <f>IF(Data!G192="","",IF(Data!G192=Data_Val!$C$2,IF(Data!M192="",0,1),0))</f>
        <v/>
      </c>
      <c r="T192" s="11" t="str">
        <f>IF(Data!M192="","",IF(ISNUMBER(MATCH(Data!N192,Data_Val!$A$2:$A$3,0)),0,1))</f>
        <v/>
      </c>
      <c r="U192" s="11" t="str">
        <f ca="1">IF(Data!M192="","",IF(ISNUMBER(Data!O192),IF(AND(Data!O192&gt;(TODAY()-(Data_Val!$K$3*365.25)),Data!O192&lt;=(TODAY()-(Data_Val!$K$2*365.25))),0,1),1))</f>
        <v/>
      </c>
      <c r="V192" s="12" t="str">
        <f>IF(Data!G192="","",IF(Data!G192=Data_Val!$C$2,IF(Data!P192="",0,1),0))</f>
        <v/>
      </c>
      <c r="W192" s="12" t="str">
        <f>IF(Data!P192="","",IF(ISNUMBER(MATCH(Data!Q192,Data_Val!$A$2:$A$3,0)),0,1))</f>
        <v/>
      </c>
      <c r="X192" s="26" t="str">
        <f ca="1">IF(Data!P192="","",IF(ISNUMBER(Data!R192),IF(AND(Data!R192&gt;(TODAY()-(Data_Val!$L$3*365.25)),Data!R192&lt;=(TODAY()-(Data_Val!$L$2*365.25))),0,1),1))</f>
        <v/>
      </c>
      <c r="Y192" s="13" t="str">
        <f>IF(Data!$G192="","",IF(Data!$G192=Data_Val!$C$2,IF(Data!S192="",0,1),0))</f>
        <v/>
      </c>
      <c r="Z192" s="13" t="str">
        <f>IF(Data!S192="","",IF(ISNUMBER(MATCH(Data!T192,Data_Val!$A$2:$A$3,0)),0,1))</f>
        <v/>
      </c>
      <c r="AA192" s="28" t="str">
        <f ca="1">IF(Data!S192="","",IF(ISNUMBER(Data!U192),IF(AND(Data!U192&gt;(TODAY()-(Data_Val!$L$3*365.25)),Data!U192&lt;=(TODAY()-(Data_Val!$L$2*365.25))),0,1),1))</f>
        <v/>
      </c>
      <c r="AB192" s="11"/>
      <c r="AC192" s="11" t="e">
        <f>IF(Data!#REF!="","",IF(ISNUMBER(MATCH(Data!#REF!,Data_Val!$A$2:$A$3,0)),0,1))</f>
        <v>#REF!</v>
      </c>
      <c r="AD192" s="11" t="e">
        <f ca="1">IF(Data!#REF!="","",IF(ISNUMBER(Data!#REF!),IF(AND(Data!#REF!&gt;(TODAY()-(Data_Val!$L$3*365.25)),Data!#REF!&lt;=(TODAY()-(Data_Val!$L$2*365.25))),0,1),1))</f>
        <v>#REF!</v>
      </c>
      <c r="AE192" s="11" t="e">
        <f>IF(Data!#REF!="","",IF(Data!$G192="",1,IF(ISNUMBER(MATCH(Data!#REF!,Data_Val!$D$2:$D$10,0)),0,1)))</f>
        <v>#REF!</v>
      </c>
      <c r="AF192" s="12"/>
      <c r="AG192" s="12" t="e">
        <f>IF(Data!#REF!="","",IF(ISNUMBER(MATCH(Data!#REF!,Data_Val!$A$2:$A$3,0)),0,1))</f>
        <v>#REF!</v>
      </c>
      <c r="AH192" s="26" t="e">
        <f ca="1">IF(Data!#REF!="","",IF(ISNUMBER(Data!#REF!),IF(AND(Data!#REF!&gt;(TODAY()-(Data_Val!$L$3*365.25)),Data!#REF!&lt;=(TODAY()-(Data_Val!$L$2*365.25))),0,1),1))</f>
        <v>#REF!</v>
      </c>
      <c r="AI192" s="12" t="e">
        <f>IF(Data!#REF!="","",IF(Data!$G192="",1,IF(ISNUMBER(MATCH(Data!#REF!,Data_Val!$D$2:$D$10,0)),0,1)))</f>
        <v>#REF!</v>
      </c>
      <c r="AJ192" s="17"/>
      <c r="AK192" s="17" t="e">
        <f>IF(Data!#REF!="","",IF(ISNUMBER(MATCH(Data!#REF!,Data_Val!$A$2:$A$3,0)),0,1))</f>
        <v>#REF!</v>
      </c>
      <c r="AL192" s="25" t="e">
        <f ca="1">IF(Data!#REF!="","",IF(ISNUMBER(Data!#REF!),IF(AND(Data!#REF!&gt;(TODAY()-(Data_Val!$L$3*365.25)),Data!#REF!&lt;=(TODAY()-(Data_Val!$L$2*365.25))),0,1),1))</f>
        <v>#REF!</v>
      </c>
      <c r="AM192" s="17" t="e">
        <f>IF(Data!#REF!="","",IF(Data!$G192="",1,IF(ISNUMBER(MATCH(Data!#REF!,Data_Val!$D$2:$D$10,0)),0,1)))</f>
        <v>#REF!</v>
      </c>
      <c r="AN192" s="13"/>
      <c r="AO192" s="28" t="e">
        <f ca="1">IF(Data!#REF!="","",IF(ISNUMBER(Data!#REF!),IF(AND(Data!#REF!&gt;(TODAY()-(Data_Val!$I$3*365.25)),Data!#REF!&lt;=(TODAY()-(Data_Val!$I$2*365.25))),0,1),1))</f>
        <v>#REF!</v>
      </c>
      <c r="AP192" s="13" t="e">
        <f>IF(Data!#REF!="","",IF(Data!$G192="",1,IF(ISNUMBER(MATCH(Data!#REF!,Data_Val!$D$2:$D$10,0)),0,1)))</f>
        <v>#REF!</v>
      </c>
      <c r="AQ192" s="17"/>
      <c r="AR192" s="30" t="e">
        <f ca="1">IF(Data!#REF!="","",IF(ISNUMBER(Data!#REF!),IF(AND(Data!#REF!&gt;(TODAY()-(Data_Val!$I$3*365.25)),Data!#REF!&lt;=(TODAY()-(Data_Val!$I$2*365.25))),0,1),1))</f>
        <v>#REF!</v>
      </c>
      <c r="AS192" s="31" t="e">
        <f>IF(Data!#REF!="","",IF(Data!$G192="",1,IF(ISNUMBER(MATCH(Data!#REF!,Data_Val!$D$2:$D$10,0)),0,1)))</f>
        <v>#REF!</v>
      </c>
      <c r="AT192" s="11"/>
      <c r="AU192" s="11" t="e">
        <f ca="1">IF(Data!#REF!="","",IF(ISNUMBER(Data!#REF!),IF(AND(Data!#REF!&gt;(TODAY()-(Data_Val!$I$3*365.25)),Data!#REF!&lt;=(TODAY()-(Data_Val!$I$2*365.25))),0,1),1))</f>
        <v>#REF!</v>
      </c>
      <c r="AV192" s="11" t="e">
        <f>IF(Data!#REF!="","",IF(Data!$G192="",1,IF(ISNUMBER(MATCH(Data!#REF!,Data_Val!$D$2:$D$10,0)),0,1)))</f>
        <v>#REF!</v>
      </c>
      <c r="AW192" s="12"/>
      <c r="AX192" s="26" t="e">
        <f ca="1">IF(Data!#REF!="","",IF(ISNUMBER(Data!#REF!),IF(AND(Data!#REF!&gt;(TODAY()-(Data_Val!$I$3*365.25)),Data!#REF!&lt;=(TODAY()-(Data_Val!$I$2*365.25))),0,1),1))</f>
        <v>#REF!</v>
      </c>
      <c r="AY192" s="12" t="e">
        <f>IF(Data!#REF!="","",IF(Data!$G192="",1,IF(ISNUMBER(MATCH(Data!#REF!,Data_Val!$D$2:$D$10,0)),0,1)))</f>
        <v>#REF!</v>
      </c>
      <c r="AZ192" s="11"/>
      <c r="BA192" s="19" t="e">
        <f ca="1">IF(Data!#REF!="","",IF(ISNUMBER(Data!#REF!),IF(AND(Data!#REF!&gt;(TODAY()-(Data_Val!$M$3*365.25)),Data!#REF!&lt;=(TODAY()-(Data_Val!$M$2*365.25))),0,1),1))</f>
        <v>#REF!</v>
      </c>
      <c r="BB192" s="11" t="e">
        <f>IF(Data!#REF!="","",IF(Data!$G192="",1,IF(ISNUMBER(MATCH(Data!#REF!,Data_Val!$D$2:$D$10,0)),0,1)))</f>
        <v>#REF!</v>
      </c>
      <c r="BC192" s="12"/>
      <c r="BD192" s="20" t="e">
        <f ca="1">IF(Data!#REF!="","",IF(ISNUMBER(Data!#REF!),IF(AND(Data!#REF!&gt;(TODAY()-(Data_Val!$M$3*365.25)),Data!#REF!&lt;=(TODAY()-(Data_Val!$M$2*365.25))),0,1),1))</f>
        <v>#REF!</v>
      </c>
      <c r="BE192" s="12" t="e">
        <f>IF(Data!#REF!="","",IF(Data!$G192="",1,IF(ISNUMBER(MATCH(Data!#REF!,Data_Val!$D$2:$D$10,0)),0,1)))</f>
        <v>#REF!</v>
      </c>
      <c r="BF192" s="17"/>
      <c r="BG192" s="18" t="e">
        <f ca="1">IF(Data!#REF!="","",IF(ISNUMBER(Data!#REF!),IF(AND(Data!#REF!&gt;(TODAY()-(Data_Val!$M$3*365.25)),Data!#REF!&lt;=(TODAY()-(Data_Val!$M$2*365.25))),0,1),1))</f>
        <v>#REF!</v>
      </c>
      <c r="BH192" s="29" t="e">
        <f>IF(Data!#REF!="","",IF(Data!$G192="",1,IF(ISNUMBER(MATCH(Data!#REF!,Data_Val!$D$2:$D$10,0)),0,1)))</f>
        <v>#REF!</v>
      </c>
      <c r="BI192" s="13"/>
      <c r="BJ192" s="21" t="e">
        <f ca="1">IF(Data!#REF!="","",IF(ISNUMBER(Data!#REF!),IF(AND(Data!#REF!&gt;(TODAY()-(Data_Val!$M$3*365.25)),Data!#REF!&lt;=(TODAY()-(Data_Val!$M$2*365.25))),0,1),1))</f>
        <v>#REF!</v>
      </c>
      <c r="BK192" s="13" t="e">
        <f>IF(Data!#REF!="","",IF(Data!$G192="",1,IF(ISNUMBER(MATCH(Data!#REF!,Data_Val!$D$2:$D$10,0)),0,1)))</f>
        <v>#REF!</v>
      </c>
    </row>
    <row r="193" spans="1:63" x14ac:dyDescent="0.25">
      <c r="A193" s="9" t="str">
        <f>IF(Data!B193="","",IF(COUNTIFS(Data!A$1:'Data'!A193,Data!A193)&lt;=1,0,1))</f>
        <v/>
      </c>
      <c r="B193" s="9"/>
      <c r="C193" s="23" t="str">
        <f>IF(Data!C193="","",(IF(ISNUMBER(MATCH("*@*.?*",Data!C193,0)),0,1)+IF(COUNTIFS(Data!C$1:'Data'!C193,Data!C193)&gt;1,1,0)))</f>
        <v/>
      </c>
      <c r="D193" s="9" t="str">
        <f>IF(Data!B193="","",IF(ISNUMBER(Data!D193),IF(AND(Data!D193&gt;999999999,Data!D193&lt;=9999999999),IF(COUNTIFS(Data!D$1:'Data'!D193,Data!D193)&lt;=1,0,1),1),1))</f>
        <v/>
      </c>
      <c r="E193" s="9" t="str">
        <f>IF(Data!B193="","",IF(ISNUMBER(MATCH(Data!E193,Data_Val!$A$2:$A$3,0)),0,1))</f>
        <v/>
      </c>
      <c r="F193" s="9" t="str">
        <f ca="1">IF(Data!B193="","",IF(ISNUMBER(Data!F193),IF(AND(Data!F193&gt;(TODAY()-(Data_Val!$H$3*365.25)),Data!F193&lt;=(TODAY()-(Data_Val!$H$2*365.25))),0,1),1))</f>
        <v/>
      </c>
      <c r="G193" s="15" t="str">
        <f>IF(Data!B193="","",IF(AND(Data!G193="",Data!H193&lt;&gt;""),1,IF(Data!#REF!&lt;&gt;"",0,IF(ISNUMBER(MATCH(Data!G193,Data_Val!$C$2:$C$5,0)),0,1))))</f>
        <v/>
      </c>
      <c r="H193" s="15" t="str">
        <f>IF(Data!B193="","",IF(AND(Data!G193&lt;&gt;"",Data!H193=""),1,IF(Data!#REF!&lt;&gt;"",0,IF(Data!G193="",1,IF(ISNUMBER(MATCH(Data!H193,Data_Val!$D$2:$D$35,0)),0,1)))))</f>
        <v/>
      </c>
      <c r="I193" s="15" t="str">
        <f>IF(Data!B193="","",IF(Data!G193&lt;&gt;"",0,IF(ISNUMBER(MATCH(Data!#REF!,Data_Val!$E$2:$E$12,0)),0,1)))</f>
        <v/>
      </c>
      <c r="J193" s="16" t="e">
        <f>IF(OR(Data!B193="",Data!#REF!=""),"",IF(Data!#REF!="",1,0))</f>
        <v>#REF!</v>
      </c>
      <c r="K193" s="16" t="e">
        <f>IF(OR(Data!B193="",Data!#REF!=""),"",IF(Data!#REF!="",1,0))</f>
        <v>#REF!</v>
      </c>
      <c r="L193" s="16" t="e">
        <f>IF(OR(Data!B193="",Data!#REF!=""),"",IF(ISNUMBER(Data!#REF!),IF(AND(Data!#REF!&gt;Data_Val!$G$2,Data!#REF!&lt;=Data_Val!$G$3),0,1),1))</f>
        <v>#REF!</v>
      </c>
      <c r="M193" s="9" t="e">
        <f>IF(OR(Data!B193="",Data!#REF!=""),"",IF(ISNUMBER(MATCH(Data!#REF!,Data_Val!$F$1:$F$38,0)),0,1))</f>
        <v>#REF!</v>
      </c>
      <c r="N193" s="9" t="e">
        <f>IF(OR(Data!B193="",Data!#REF!=""),"",IF(Data!#REF!="",1,0))</f>
        <v>#REF!</v>
      </c>
      <c r="O193" s="17" t="e">
        <f>IF(Data!#REF!="","",IF(Data!#REF!="",1,0))</f>
        <v>#REF!</v>
      </c>
      <c r="P193" s="17" t="e">
        <f>IF(Data!#REF!="","",IF(ISNUMBER(MATCH(Data!#REF!,Data_Val!$A$2:$A$3,0)),0,1))</f>
        <v>#REF!</v>
      </c>
      <c r="Q193" s="25" t="e">
        <f ca="1">IF(Data!#REF!="","",IF(ISNUMBER(Data!#REF!),IF(AND(Data!#REF!&gt;(TODAY()-(Data_Val!$J$3*365.25)),Data!#REF!&lt;=(TODAY()-(Data_Val!$J$2*365.25))),0,1),1))</f>
        <v>#REF!</v>
      </c>
      <c r="R193" s="17" t="e">
        <f>IF(Data!#REF!="","",IF(ISNUMBER(MATCH(Data!#REF!,Data_Val!$B$2:$B$15,0)),0,1))</f>
        <v>#REF!</v>
      </c>
      <c r="S193" s="11" t="str">
        <f>IF(Data!G193="","",IF(Data!G193=Data_Val!$C$2,IF(Data!M193="",0,1),0))</f>
        <v/>
      </c>
      <c r="T193" s="11" t="str">
        <f>IF(Data!M193="","",IF(ISNUMBER(MATCH(Data!N193,Data_Val!$A$2:$A$3,0)),0,1))</f>
        <v/>
      </c>
      <c r="U193" s="11" t="str">
        <f ca="1">IF(Data!M193="","",IF(ISNUMBER(Data!O193),IF(AND(Data!O193&gt;(TODAY()-(Data_Val!$K$3*365.25)),Data!O193&lt;=(TODAY()-(Data_Val!$K$2*365.25))),0,1),1))</f>
        <v/>
      </c>
      <c r="V193" s="12" t="str">
        <f>IF(Data!G193="","",IF(Data!G193=Data_Val!$C$2,IF(Data!P193="",0,1),0))</f>
        <v/>
      </c>
      <c r="W193" s="12" t="str">
        <f>IF(Data!P193="","",IF(ISNUMBER(MATCH(Data!Q193,Data_Val!$A$2:$A$3,0)),0,1))</f>
        <v/>
      </c>
      <c r="X193" s="26" t="str">
        <f ca="1">IF(Data!P193="","",IF(ISNUMBER(Data!R193),IF(AND(Data!R193&gt;(TODAY()-(Data_Val!$L$3*365.25)),Data!R193&lt;=(TODAY()-(Data_Val!$L$2*365.25))),0,1),1))</f>
        <v/>
      </c>
      <c r="Y193" s="13" t="str">
        <f>IF(Data!$G193="","",IF(Data!$G193=Data_Val!$C$2,IF(Data!S193="",0,1),0))</f>
        <v/>
      </c>
      <c r="Z193" s="13" t="str">
        <f>IF(Data!S193="","",IF(ISNUMBER(MATCH(Data!T193,Data_Val!$A$2:$A$3,0)),0,1))</f>
        <v/>
      </c>
      <c r="AA193" s="28" t="str">
        <f ca="1">IF(Data!S193="","",IF(ISNUMBER(Data!U193),IF(AND(Data!U193&gt;(TODAY()-(Data_Val!$L$3*365.25)),Data!U193&lt;=(TODAY()-(Data_Val!$L$2*365.25))),0,1),1))</f>
        <v/>
      </c>
      <c r="AB193" s="11"/>
      <c r="AC193" s="11" t="e">
        <f>IF(Data!#REF!="","",IF(ISNUMBER(MATCH(Data!#REF!,Data_Val!$A$2:$A$3,0)),0,1))</f>
        <v>#REF!</v>
      </c>
      <c r="AD193" s="11" t="e">
        <f ca="1">IF(Data!#REF!="","",IF(ISNUMBER(Data!#REF!),IF(AND(Data!#REF!&gt;(TODAY()-(Data_Val!$L$3*365.25)),Data!#REF!&lt;=(TODAY()-(Data_Val!$L$2*365.25))),0,1),1))</f>
        <v>#REF!</v>
      </c>
      <c r="AE193" s="11" t="e">
        <f>IF(Data!#REF!="","",IF(Data!$G193="",1,IF(ISNUMBER(MATCH(Data!#REF!,Data_Val!$D$2:$D$10,0)),0,1)))</f>
        <v>#REF!</v>
      </c>
      <c r="AF193" s="12"/>
      <c r="AG193" s="12" t="e">
        <f>IF(Data!#REF!="","",IF(ISNUMBER(MATCH(Data!#REF!,Data_Val!$A$2:$A$3,0)),0,1))</f>
        <v>#REF!</v>
      </c>
      <c r="AH193" s="26" t="e">
        <f ca="1">IF(Data!#REF!="","",IF(ISNUMBER(Data!#REF!),IF(AND(Data!#REF!&gt;(TODAY()-(Data_Val!$L$3*365.25)),Data!#REF!&lt;=(TODAY()-(Data_Val!$L$2*365.25))),0,1),1))</f>
        <v>#REF!</v>
      </c>
      <c r="AI193" s="12" t="e">
        <f>IF(Data!#REF!="","",IF(Data!$G193="",1,IF(ISNUMBER(MATCH(Data!#REF!,Data_Val!$D$2:$D$10,0)),0,1)))</f>
        <v>#REF!</v>
      </c>
      <c r="AJ193" s="17"/>
      <c r="AK193" s="17" t="e">
        <f>IF(Data!#REF!="","",IF(ISNUMBER(MATCH(Data!#REF!,Data_Val!$A$2:$A$3,0)),0,1))</f>
        <v>#REF!</v>
      </c>
      <c r="AL193" s="25" t="e">
        <f ca="1">IF(Data!#REF!="","",IF(ISNUMBER(Data!#REF!),IF(AND(Data!#REF!&gt;(TODAY()-(Data_Val!$L$3*365.25)),Data!#REF!&lt;=(TODAY()-(Data_Val!$L$2*365.25))),0,1),1))</f>
        <v>#REF!</v>
      </c>
      <c r="AM193" s="17" t="e">
        <f>IF(Data!#REF!="","",IF(Data!$G193="",1,IF(ISNUMBER(MATCH(Data!#REF!,Data_Val!$D$2:$D$10,0)),0,1)))</f>
        <v>#REF!</v>
      </c>
      <c r="AN193" s="13"/>
      <c r="AO193" s="28" t="e">
        <f ca="1">IF(Data!#REF!="","",IF(ISNUMBER(Data!#REF!),IF(AND(Data!#REF!&gt;(TODAY()-(Data_Val!$I$3*365.25)),Data!#REF!&lt;=(TODAY()-(Data_Val!$I$2*365.25))),0,1),1))</f>
        <v>#REF!</v>
      </c>
      <c r="AP193" s="13" t="e">
        <f>IF(Data!#REF!="","",IF(Data!$G193="",1,IF(ISNUMBER(MATCH(Data!#REF!,Data_Val!$D$2:$D$10,0)),0,1)))</f>
        <v>#REF!</v>
      </c>
      <c r="AQ193" s="17"/>
      <c r="AR193" s="30" t="e">
        <f ca="1">IF(Data!#REF!="","",IF(ISNUMBER(Data!#REF!),IF(AND(Data!#REF!&gt;(TODAY()-(Data_Val!$I$3*365.25)),Data!#REF!&lt;=(TODAY()-(Data_Val!$I$2*365.25))),0,1),1))</f>
        <v>#REF!</v>
      </c>
      <c r="AS193" s="31" t="e">
        <f>IF(Data!#REF!="","",IF(Data!$G193="",1,IF(ISNUMBER(MATCH(Data!#REF!,Data_Val!$D$2:$D$10,0)),0,1)))</f>
        <v>#REF!</v>
      </c>
      <c r="AT193" s="11"/>
      <c r="AU193" s="11" t="e">
        <f ca="1">IF(Data!#REF!="","",IF(ISNUMBER(Data!#REF!),IF(AND(Data!#REF!&gt;(TODAY()-(Data_Val!$I$3*365.25)),Data!#REF!&lt;=(TODAY()-(Data_Val!$I$2*365.25))),0,1),1))</f>
        <v>#REF!</v>
      </c>
      <c r="AV193" s="11" t="e">
        <f>IF(Data!#REF!="","",IF(Data!$G193="",1,IF(ISNUMBER(MATCH(Data!#REF!,Data_Val!$D$2:$D$10,0)),0,1)))</f>
        <v>#REF!</v>
      </c>
      <c r="AW193" s="12"/>
      <c r="AX193" s="26" t="e">
        <f ca="1">IF(Data!#REF!="","",IF(ISNUMBER(Data!#REF!),IF(AND(Data!#REF!&gt;(TODAY()-(Data_Val!$I$3*365.25)),Data!#REF!&lt;=(TODAY()-(Data_Val!$I$2*365.25))),0,1),1))</f>
        <v>#REF!</v>
      </c>
      <c r="AY193" s="12" t="e">
        <f>IF(Data!#REF!="","",IF(Data!$G193="",1,IF(ISNUMBER(MATCH(Data!#REF!,Data_Val!$D$2:$D$10,0)),0,1)))</f>
        <v>#REF!</v>
      </c>
      <c r="AZ193" s="11"/>
      <c r="BA193" s="19" t="e">
        <f ca="1">IF(Data!#REF!="","",IF(ISNUMBER(Data!#REF!),IF(AND(Data!#REF!&gt;(TODAY()-(Data_Val!$M$3*365.25)),Data!#REF!&lt;=(TODAY()-(Data_Val!$M$2*365.25))),0,1),1))</f>
        <v>#REF!</v>
      </c>
      <c r="BB193" s="11" t="e">
        <f>IF(Data!#REF!="","",IF(Data!$G193="",1,IF(ISNUMBER(MATCH(Data!#REF!,Data_Val!$D$2:$D$10,0)),0,1)))</f>
        <v>#REF!</v>
      </c>
      <c r="BC193" s="12"/>
      <c r="BD193" s="20" t="e">
        <f ca="1">IF(Data!#REF!="","",IF(ISNUMBER(Data!#REF!),IF(AND(Data!#REF!&gt;(TODAY()-(Data_Val!$M$3*365.25)),Data!#REF!&lt;=(TODAY()-(Data_Val!$M$2*365.25))),0,1),1))</f>
        <v>#REF!</v>
      </c>
      <c r="BE193" s="12" t="e">
        <f>IF(Data!#REF!="","",IF(Data!$G193="",1,IF(ISNUMBER(MATCH(Data!#REF!,Data_Val!$D$2:$D$10,0)),0,1)))</f>
        <v>#REF!</v>
      </c>
      <c r="BF193" s="17"/>
      <c r="BG193" s="18" t="e">
        <f ca="1">IF(Data!#REF!="","",IF(ISNUMBER(Data!#REF!),IF(AND(Data!#REF!&gt;(TODAY()-(Data_Val!$M$3*365.25)),Data!#REF!&lt;=(TODAY()-(Data_Val!$M$2*365.25))),0,1),1))</f>
        <v>#REF!</v>
      </c>
      <c r="BH193" s="29" t="e">
        <f>IF(Data!#REF!="","",IF(Data!$G193="",1,IF(ISNUMBER(MATCH(Data!#REF!,Data_Val!$D$2:$D$10,0)),0,1)))</f>
        <v>#REF!</v>
      </c>
      <c r="BI193" s="13"/>
      <c r="BJ193" s="21" t="e">
        <f ca="1">IF(Data!#REF!="","",IF(ISNUMBER(Data!#REF!),IF(AND(Data!#REF!&gt;(TODAY()-(Data_Val!$M$3*365.25)),Data!#REF!&lt;=(TODAY()-(Data_Val!$M$2*365.25))),0,1),1))</f>
        <v>#REF!</v>
      </c>
      <c r="BK193" s="13" t="e">
        <f>IF(Data!#REF!="","",IF(Data!$G193="",1,IF(ISNUMBER(MATCH(Data!#REF!,Data_Val!$D$2:$D$10,0)),0,1)))</f>
        <v>#REF!</v>
      </c>
    </row>
    <row r="194" spans="1:63" x14ac:dyDescent="0.25">
      <c r="A194" s="9" t="str">
        <f>IF(Data!B194="","",IF(COUNTIFS(Data!A$1:'Data'!A194,Data!A194)&lt;=1,0,1))</f>
        <v/>
      </c>
      <c r="B194" s="9"/>
      <c r="C194" s="23" t="str">
        <f>IF(Data!C194="","",(IF(ISNUMBER(MATCH("*@*.?*",Data!C194,0)),0,1)+IF(COUNTIFS(Data!C$1:'Data'!C194,Data!C194)&gt;1,1,0)))</f>
        <v/>
      </c>
      <c r="D194" s="9" t="str">
        <f>IF(Data!B194="","",IF(ISNUMBER(Data!D194),IF(AND(Data!D194&gt;999999999,Data!D194&lt;=9999999999),IF(COUNTIFS(Data!D$1:'Data'!D194,Data!D194)&lt;=1,0,1),1),1))</f>
        <v/>
      </c>
      <c r="E194" s="9" t="str">
        <f>IF(Data!B194="","",IF(ISNUMBER(MATCH(Data!E194,Data_Val!$A$2:$A$3,0)),0,1))</f>
        <v/>
      </c>
      <c r="F194" s="9" t="str">
        <f ca="1">IF(Data!B194="","",IF(ISNUMBER(Data!F194),IF(AND(Data!F194&gt;(TODAY()-(Data_Val!$H$3*365.25)),Data!F194&lt;=(TODAY()-(Data_Val!$H$2*365.25))),0,1),1))</f>
        <v/>
      </c>
      <c r="G194" s="15" t="str">
        <f>IF(Data!B194="","",IF(AND(Data!G194="",Data!H194&lt;&gt;""),1,IF(Data!#REF!&lt;&gt;"",0,IF(ISNUMBER(MATCH(Data!G194,Data_Val!$C$2:$C$5,0)),0,1))))</f>
        <v/>
      </c>
      <c r="H194" s="15" t="str">
        <f>IF(Data!B194="","",IF(AND(Data!G194&lt;&gt;"",Data!H194=""),1,IF(Data!#REF!&lt;&gt;"",0,IF(Data!G194="",1,IF(ISNUMBER(MATCH(Data!H194,Data_Val!$D$2:$D$35,0)),0,1)))))</f>
        <v/>
      </c>
      <c r="I194" s="15" t="str">
        <f>IF(Data!B194="","",IF(Data!G194&lt;&gt;"",0,IF(ISNUMBER(MATCH(Data!#REF!,Data_Val!$E$2:$E$12,0)),0,1)))</f>
        <v/>
      </c>
      <c r="J194" s="16" t="e">
        <f>IF(OR(Data!B194="",Data!#REF!=""),"",IF(Data!#REF!="",1,0))</f>
        <v>#REF!</v>
      </c>
      <c r="K194" s="16" t="e">
        <f>IF(OR(Data!B194="",Data!#REF!=""),"",IF(Data!#REF!="",1,0))</f>
        <v>#REF!</v>
      </c>
      <c r="L194" s="16" t="e">
        <f>IF(OR(Data!B194="",Data!#REF!=""),"",IF(ISNUMBER(Data!#REF!),IF(AND(Data!#REF!&gt;Data_Val!$G$2,Data!#REF!&lt;=Data_Val!$G$3),0,1),1))</f>
        <v>#REF!</v>
      </c>
      <c r="M194" s="9" t="e">
        <f>IF(OR(Data!B194="",Data!#REF!=""),"",IF(ISNUMBER(MATCH(Data!#REF!,Data_Val!$F$1:$F$38,0)),0,1))</f>
        <v>#REF!</v>
      </c>
      <c r="N194" s="9" t="e">
        <f>IF(OR(Data!B194="",Data!#REF!=""),"",IF(Data!#REF!="",1,0))</f>
        <v>#REF!</v>
      </c>
      <c r="O194" s="17" t="e">
        <f>IF(Data!#REF!="","",IF(Data!#REF!="",1,0))</f>
        <v>#REF!</v>
      </c>
      <c r="P194" s="17" t="e">
        <f>IF(Data!#REF!="","",IF(ISNUMBER(MATCH(Data!#REF!,Data_Val!$A$2:$A$3,0)),0,1))</f>
        <v>#REF!</v>
      </c>
      <c r="Q194" s="25" t="e">
        <f ca="1">IF(Data!#REF!="","",IF(ISNUMBER(Data!#REF!),IF(AND(Data!#REF!&gt;(TODAY()-(Data_Val!$J$3*365.25)),Data!#REF!&lt;=(TODAY()-(Data_Val!$J$2*365.25))),0,1),1))</f>
        <v>#REF!</v>
      </c>
      <c r="R194" s="17" t="e">
        <f>IF(Data!#REF!="","",IF(ISNUMBER(MATCH(Data!#REF!,Data_Val!$B$2:$B$15,0)),0,1))</f>
        <v>#REF!</v>
      </c>
      <c r="S194" s="11" t="str">
        <f>IF(Data!G194="","",IF(Data!G194=Data_Val!$C$2,IF(Data!M194="",0,1),0))</f>
        <v/>
      </c>
      <c r="T194" s="11" t="str">
        <f>IF(Data!M194="","",IF(ISNUMBER(MATCH(Data!N194,Data_Val!$A$2:$A$3,0)),0,1))</f>
        <v/>
      </c>
      <c r="U194" s="11" t="str">
        <f ca="1">IF(Data!M194="","",IF(ISNUMBER(Data!O194),IF(AND(Data!O194&gt;(TODAY()-(Data_Val!$K$3*365.25)),Data!O194&lt;=(TODAY()-(Data_Val!$K$2*365.25))),0,1),1))</f>
        <v/>
      </c>
      <c r="V194" s="12" t="str">
        <f>IF(Data!G194="","",IF(Data!G194=Data_Val!$C$2,IF(Data!P194="",0,1),0))</f>
        <v/>
      </c>
      <c r="W194" s="12" t="str">
        <f>IF(Data!P194="","",IF(ISNUMBER(MATCH(Data!Q194,Data_Val!$A$2:$A$3,0)),0,1))</f>
        <v/>
      </c>
      <c r="X194" s="26" t="str">
        <f ca="1">IF(Data!P194="","",IF(ISNUMBER(Data!R194),IF(AND(Data!R194&gt;(TODAY()-(Data_Val!$L$3*365.25)),Data!R194&lt;=(TODAY()-(Data_Val!$L$2*365.25))),0,1),1))</f>
        <v/>
      </c>
      <c r="Y194" s="13" t="str">
        <f>IF(Data!$G194="","",IF(Data!$G194=Data_Val!$C$2,IF(Data!S194="",0,1),0))</f>
        <v/>
      </c>
      <c r="Z194" s="13" t="str">
        <f>IF(Data!S194="","",IF(ISNUMBER(MATCH(Data!T194,Data_Val!$A$2:$A$3,0)),0,1))</f>
        <v/>
      </c>
      <c r="AA194" s="28" t="str">
        <f ca="1">IF(Data!S194="","",IF(ISNUMBER(Data!U194),IF(AND(Data!U194&gt;(TODAY()-(Data_Val!$L$3*365.25)),Data!U194&lt;=(TODAY()-(Data_Val!$L$2*365.25))),0,1),1))</f>
        <v/>
      </c>
      <c r="AB194" s="11"/>
      <c r="AC194" s="11" t="e">
        <f>IF(Data!#REF!="","",IF(ISNUMBER(MATCH(Data!#REF!,Data_Val!$A$2:$A$3,0)),0,1))</f>
        <v>#REF!</v>
      </c>
      <c r="AD194" s="11" t="e">
        <f ca="1">IF(Data!#REF!="","",IF(ISNUMBER(Data!#REF!),IF(AND(Data!#REF!&gt;(TODAY()-(Data_Val!$L$3*365.25)),Data!#REF!&lt;=(TODAY()-(Data_Val!$L$2*365.25))),0,1),1))</f>
        <v>#REF!</v>
      </c>
      <c r="AE194" s="11" t="e">
        <f>IF(Data!#REF!="","",IF(Data!$G194="",1,IF(ISNUMBER(MATCH(Data!#REF!,Data_Val!$D$2:$D$10,0)),0,1)))</f>
        <v>#REF!</v>
      </c>
      <c r="AF194" s="12"/>
      <c r="AG194" s="12" t="e">
        <f>IF(Data!#REF!="","",IF(ISNUMBER(MATCH(Data!#REF!,Data_Val!$A$2:$A$3,0)),0,1))</f>
        <v>#REF!</v>
      </c>
      <c r="AH194" s="26" t="e">
        <f ca="1">IF(Data!#REF!="","",IF(ISNUMBER(Data!#REF!),IF(AND(Data!#REF!&gt;(TODAY()-(Data_Val!$L$3*365.25)),Data!#REF!&lt;=(TODAY()-(Data_Val!$L$2*365.25))),0,1),1))</f>
        <v>#REF!</v>
      </c>
      <c r="AI194" s="12" t="e">
        <f>IF(Data!#REF!="","",IF(Data!$G194="",1,IF(ISNUMBER(MATCH(Data!#REF!,Data_Val!$D$2:$D$10,0)),0,1)))</f>
        <v>#REF!</v>
      </c>
      <c r="AJ194" s="17"/>
      <c r="AK194" s="17" t="e">
        <f>IF(Data!#REF!="","",IF(ISNUMBER(MATCH(Data!#REF!,Data_Val!$A$2:$A$3,0)),0,1))</f>
        <v>#REF!</v>
      </c>
      <c r="AL194" s="25" t="e">
        <f ca="1">IF(Data!#REF!="","",IF(ISNUMBER(Data!#REF!),IF(AND(Data!#REF!&gt;(TODAY()-(Data_Val!$L$3*365.25)),Data!#REF!&lt;=(TODAY()-(Data_Val!$L$2*365.25))),0,1),1))</f>
        <v>#REF!</v>
      </c>
      <c r="AM194" s="17" t="e">
        <f>IF(Data!#REF!="","",IF(Data!$G194="",1,IF(ISNUMBER(MATCH(Data!#REF!,Data_Val!$D$2:$D$10,0)),0,1)))</f>
        <v>#REF!</v>
      </c>
      <c r="AN194" s="13"/>
      <c r="AO194" s="28" t="e">
        <f ca="1">IF(Data!#REF!="","",IF(ISNUMBER(Data!#REF!),IF(AND(Data!#REF!&gt;(TODAY()-(Data_Val!$I$3*365.25)),Data!#REF!&lt;=(TODAY()-(Data_Val!$I$2*365.25))),0,1),1))</f>
        <v>#REF!</v>
      </c>
      <c r="AP194" s="13" t="e">
        <f>IF(Data!#REF!="","",IF(Data!$G194="",1,IF(ISNUMBER(MATCH(Data!#REF!,Data_Val!$D$2:$D$10,0)),0,1)))</f>
        <v>#REF!</v>
      </c>
      <c r="AQ194" s="17"/>
      <c r="AR194" s="30" t="e">
        <f ca="1">IF(Data!#REF!="","",IF(ISNUMBER(Data!#REF!),IF(AND(Data!#REF!&gt;(TODAY()-(Data_Val!$I$3*365.25)),Data!#REF!&lt;=(TODAY()-(Data_Val!$I$2*365.25))),0,1),1))</f>
        <v>#REF!</v>
      </c>
      <c r="AS194" s="31" t="e">
        <f>IF(Data!#REF!="","",IF(Data!$G194="",1,IF(ISNUMBER(MATCH(Data!#REF!,Data_Val!$D$2:$D$10,0)),0,1)))</f>
        <v>#REF!</v>
      </c>
      <c r="AT194" s="11"/>
      <c r="AU194" s="11" t="e">
        <f ca="1">IF(Data!#REF!="","",IF(ISNUMBER(Data!#REF!),IF(AND(Data!#REF!&gt;(TODAY()-(Data_Val!$I$3*365.25)),Data!#REF!&lt;=(TODAY()-(Data_Val!$I$2*365.25))),0,1),1))</f>
        <v>#REF!</v>
      </c>
      <c r="AV194" s="11" t="e">
        <f>IF(Data!#REF!="","",IF(Data!$G194="",1,IF(ISNUMBER(MATCH(Data!#REF!,Data_Val!$D$2:$D$10,0)),0,1)))</f>
        <v>#REF!</v>
      </c>
      <c r="AW194" s="12"/>
      <c r="AX194" s="26" t="e">
        <f ca="1">IF(Data!#REF!="","",IF(ISNUMBER(Data!#REF!),IF(AND(Data!#REF!&gt;(TODAY()-(Data_Val!$I$3*365.25)),Data!#REF!&lt;=(TODAY()-(Data_Val!$I$2*365.25))),0,1),1))</f>
        <v>#REF!</v>
      </c>
      <c r="AY194" s="12" t="e">
        <f>IF(Data!#REF!="","",IF(Data!$G194="",1,IF(ISNUMBER(MATCH(Data!#REF!,Data_Val!$D$2:$D$10,0)),0,1)))</f>
        <v>#REF!</v>
      </c>
      <c r="AZ194" s="11"/>
      <c r="BA194" s="19" t="e">
        <f ca="1">IF(Data!#REF!="","",IF(ISNUMBER(Data!#REF!),IF(AND(Data!#REF!&gt;(TODAY()-(Data_Val!$M$3*365.25)),Data!#REF!&lt;=(TODAY()-(Data_Val!$M$2*365.25))),0,1),1))</f>
        <v>#REF!</v>
      </c>
      <c r="BB194" s="11" t="e">
        <f>IF(Data!#REF!="","",IF(Data!$G194="",1,IF(ISNUMBER(MATCH(Data!#REF!,Data_Val!$D$2:$D$10,0)),0,1)))</f>
        <v>#REF!</v>
      </c>
      <c r="BC194" s="12"/>
      <c r="BD194" s="20" t="e">
        <f ca="1">IF(Data!#REF!="","",IF(ISNUMBER(Data!#REF!),IF(AND(Data!#REF!&gt;(TODAY()-(Data_Val!$M$3*365.25)),Data!#REF!&lt;=(TODAY()-(Data_Val!$M$2*365.25))),0,1),1))</f>
        <v>#REF!</v>
      </c>
      <c r="BE194" s="12" t="e">
        <f>IF(Data!#REF!="","",IF(Data!$G194="",1,IF(ISNUMBER(MATCH(Data!#REF!,Data_Val!$D$2:$D$10,0)),0,1)))</f>
        <v>#REF!</v>
      </c>
      <c r="BF194" s="17"/>
      <c r="BG194" s="18" t="e">
        <f ca="1">IF(Data!#REF!="","",IF(ISNUMBER(Data!#REF!),IF(AND(Data!#REF!&gt;(TODAY()-(Data_Val!$M$3*365.25)),Data!#REF!&lt;=(TODAY()-(Data_Val!$M$2*365.25))),0,1),1))</f>
        <v>#REF!</v>
      </c>
      <c r="BH194" s="29" t="e">
        <f>IF(Data!#REF!="","",IF(Data!$G194="",1,IF(ISNUMBER(MATCH(Data!#REF!,Data_Val!$D$2:$D$10,0)),0,1)))</f>
        <v>#REF!</v>
      </c>
      <c r="BI194" s="13"/>
      <c r="BJ194" s="21" t="e">
        <f ca="1">IF(Data!#REF!="","",IF(ISNUMBER(Data!#REF!),IF(AND(Data!#REF!&gt;(TODAY()-(Data_Val!$M$3*365.25)),Data!#REF!&lt;=(TODAY()-(Data_Val!$M$2*365.25))),0,1),1))</f>
        <v>#REF!</v>
      </c>
      <c r="BK194" s="13" t="e">
        <f>IF(Data!#REF!="","",IF(Data!$G194="",1,IF(ISNUMBER(MATCH(Data!#REF!,Data_Val!$D$2:$D$10,0)),0,1)))</f>
        <v>#REF!</v>
      </c>
    </row>
    <row r="195" spans="1:63" x14ac:dyDescent="0.25">
      <c r="A195" s="9" t="str">
        <f>IF(Data!B195="","",IF(COUNTIFS(Data!A$1:'Data'!A195,Data!A195)&lt;=1,0,1))</f>
        <v/>
      </c>
      <c r="B195" s="9"/>
      <c r="C195" s="23" t="str">
        <f>IF(Data!C195="","",(IF(ISNUMBER(MATCH("*@*.?*",Data!C195,0)),0,1)+IF(COUNTIFS(Data!C$1:'Data'!C195,Data!C195)&gt;1,1,0)))</f>
        <v/>
      </c>
      <c r="D195" s="9" t="str">
        <f>IF(Data!B195="","",IF(ISNUMBER(Data!D195),IF(AND(Data!D195&gt;999999999,Data!D195&lt;=9999999999),IF(COUNTIFS(Data!D$1:'Data'!D195,Data!D195)&lt;=1,0,1),1),1))</f>
        <v/>
      </c>
      <c r="E195" s="9" t="str">
        <f>IF(Data!B195="","",IF(ISNUMBER(MATCH(Data!E195,Data_Val!$A$2:$A$3,0)),0,1))</f>
        <v/>
      </c>
      <c r="F195" s="9" t="str">
        <f ca="1">IF(Data!B195="","",IF(ISNUMBER(Data!F195),IF(AND(Data!F195&gt;(TODAY()-(Data_Val!$H$3*365.25)),Data!F195&lt;=(TODAY()-(Data_Val!$H$2*365.25))),0,1),1))</f>
        <v/>
      </c>
      <c r="G195" s="15" t="str">
        <f>IF(Data!B195="","",IF(AND(Data!G195="",Data!H195&lt;&gt;""),1,IF(Data!#REF!&lt;&gt;"",0,IF(ISNUMBER(MATCH(Data!G195,Data_Val!$C$2:$C$5,0)),0,1))))</f>
        <v/>
      </c>
      <c r="H195" s="15" t="str">
        <f>IF(Data!B195="","",IF(AND(Data!G195&lt;&gt;"",Data!H195=""),1,IF(Data!#REF!&lt;&gt;"",0,IF(Data!G195="",1,IF(ISNUMBER(MATCH(Data!H195,Data_Val!$D$2:$D$35,0)),0,1)))))</f>
        <v/>
      </c>
      <c r="I195" s="15" t="str">
        <f>IF(Data!B195="","",IF(Data!G195&lt;&gt;"",0,IF(ISNUMBER(MATCH(Data!#REF!,Data_Val!$E$2:$E$12,0)),0,1)))</f>
        <v/>
      </c>
      <c r="J195" s="16" t="e">
        <f>IF(OR(Data!B195="",Data!#REF!=""),"",IF(Data!#REF!="",1,0))</f>
        <v>#REF!</v>
      </c>
      <c r="K195" s="16" t="e">
        <f>IF(OR(Data!B195="",Data!#REF!=""),"",IF(Data!#REF!="",1,0))</f>
        <v>#REF!</v>
      </c>
      <c r="L195" s="16" t="e">
        <f>IF(OR(Data!B195="",Data!#REF!=""),"",IF(ISNUMBER(Data!#REF!),IF(AND(Data!#REF!&gt;Data_Val!$G$2,Data!#REF!&lt;=Data_Val!$G$3),0,1),1))</f>
        <v>#REF!</v>
      </c>
      <c r="M195" s="9" t="e">
        <f>IF(OR(Data!B195="",Data!#REF!=""),"",IF(ISNUMBER(MATCH(Data!#REF!,Data_Val!$F$1:$F$38,0)),0,1))</f>
        <v>#REF!</v>
      </c>
      <c r="N195" s="9" t="e">
        <f>IF(OR(Data!B195="",Data!#REF!=""),"",IF(Data!#REF!="",1,0))</f>
        <v>#REF!</v>
      </c>
      <c r="O195" s="17" t="e">
        <f>IF(Data!#REF!="","",IF(Data!#REF!="",1,0))</f>
        <v>#REF!</v>
      </c>
      <c r="P195" s="17" t="e">
        <f>IF(Data!#REF!="","",IF(ISNUMBER(MATCH(Data!#REF!,Data_Val!$A$2:$A$3,0)),0,1))</f>
        <v>#REF!</v>
      </c>
      <c r="Q195" s="25" t="e">
        <f ca="1">IF(Data!#REF!="","",IF(ISNUMBER(Data!#REF!),IF(AND(Data!#REF!&gt;(TODAY()-(Data_Val!$J$3*365.25)),Data!#REF!&lt;=(TODAY()-(Data_Val!$J$2*365.25))),0,1),1))</f>
        <v>#REF!</v>
      </c>
      <c r="R195" s="17" t="e">
        <f>IF(Data!#REF!="","",IF(ISNUMBER(MATCH(Data!#REF!,Data_Val!$B$2:$B$15,0)),0,1))</f>
        <v>#REF!</v>
      </c>
      <c r="S195" s="11" t="str">
        <f>IF(Data!G195="","",IF(Data!G195=Data_Val!$C$2,IF(Data!M195="",0,1),0))</f>
        <v/>
      </c>
      <c r="T195" s="11" t="str">
        <f>IF(Data!M195="","",IF(ISNUMBER(MATCH(Data!N195,Data_Val!$A$2:$A$3,0)),0,1))</f>
        <v/>
      </c>
      <c r="U195" s="11" t="str">
        <f ca="1">IF(Data!M195="","",IF(ISNUMBER(Data!O195),IF(AND(Data!O195&gt;(TODAY()-(Data_Val!$K$3*365.25)),Data!O195&lt;=(TODAY()-(Data_Val!$K$2*365.25))),0,1),1))</f>
        <v/>
      </c>
      <c r="V195" s="12" t="str">
        <f>IF(Data!G195="","",IF(Data!G195=Data_Val!$C$2,IF(Data!P195="",0,1),0))</f>
        <v/>
      </c>
      <c r="W195" s="12" t="str">
        <f>IF(Data!P195="","",IF(ISNUMBER(MATCH(Data!Q195,Data_Val!$A$2:$A$3,0)),0,1))</f>
        <v/>
      </c>
      <c r="X195" s="26" t="str">
        <f ca="1">IF(Data!P195="","",IF(ISNUMBER(Data!R195),IF(AND(Data!R195&gt;(TODAY()-(Data_Val!$L$3*365.25)),Data!R195&lt;=(TODAY()-(Data_Val!$L$2*365.25))),0,1),1))</f>
        <v/>
      </c>
      <c r="Y195" s="13" t="str">
        <f>IF(Data!$G195="","",IF(Data!$G195=Data_Val!$C$2,IF(Data!S195="",0,1),0))</f>
        <v/>
      </c>
      <c r="Z195" s="13" t="str">
        <f>IF(Data!S195="","",IF(ISNUMBER(MATCH(Data!T195,Data_Val!$A$2:$A$3,0)),0,1))</f>
        <v/>
      </c>
      <c r="AA195" s="28" t="str">
        <f ca="1">IF(Data!S195="","",IF(ISNUMBER(Data!U195),IF(AND(Data!U195&gt;(TODAY()-(Data_Val!$L$3*365.25)),Data!U195&lt;=(TODAY()-(Data_Val!$L$2*365.25))),0,1),1))</f>
        <v/>
      </c>
      <c r="AB195" s="11"/>
      <c r="AC195" s="11" t="e">
        <f>IF(Data!#REF!="","",IF(ISNUMBER(MATCH(Data!#REF!,Data_Val!$A$2:$A$3,0)),0,1))</f>
        <v>#REF!</v>
      </c>
      <c r="AD195" s="11" t="e">
        <f ca="1">IF(Data!#REF!="","",IF(ISNUMBER(Data!#REF!),IF(AND(Data!#REF!&gt;(TODAY()-(Data_Val!$L$3*365.25)),Data!#REF!&lt;=(TODAY()-(Data_Val!$L$2*365.25))),0,1),1))</f>
        <v>#REF!</v>
      </c>
      <c r="AE195" s="11" t="e">
        <f>IF(Data!#REF!="","",IF(Data!$G195="",1,IF(ISNUMBER(MATCH(Data!#REF!,Data_Val!$D$2:$D$10,0)),0,1)))</f>
        <v>#REF!</v>
      </c>
      <c r="AF195" s="12"/>
      <c r="AG195" s="12" t="e">
        <f>IF(Data!#REF!="","",IF(ISNUMBER(MATCH(Data!#REF!,Data_Val!$A$2:$A$3,0)),0,1))</f>
        <v>#REF!</v>
      </c>
      <c r="AH195" s="26" t="e">
        <f ca="1">IF(Data!#REF!="","",IF(ISNUMBER(Data!#REF!),IF(AND(Data!#REF!&gt;(TODAY()-(Data_Val!$L$3*365.25)),Data!#REF!&lt;=(TODAY()-(Data_Val!$L$2*365.25))),0,1),1))</f>
        <v>#REF!</v>
      </c>
      <c r="AI195" s="12" t="e">
        <f>IF(Data!#REF!="","",IF(Data!$G195="",1,IF(ISNUMBER(MATCH(Data!#REF!,Data_Val!$D$2:$D$10,0)),0,1)))</f>
        <v>#REF!</v>
      </c>
      <c r="AJ195" s="17"/>
      <c r="AK195" s="17" t="e">
        <f>IF(Data!#REF!="","",IF(ISNUMBER(MATCH(Data!#REF!,Data_Val!$A$2:$A$3,0)),0,1))</f>
        <v>#REF!</v>
      </c>
      <c r="AL195" s="25" t="e">
        <f ca="1">IF(Data!#REF!="","",IF(ISNUMBER(Data!#REF!),IF(AND(Data!#REF!&gt;(TODAY()-(Data_Val!$L$3*365.25)),Data!#REF!&lt;=(TODAY()-(Data_Val!$L$2*365.25))),0,1),1))</f>
        <v>#REF!</v>
      </c>
      <c r="AM195" s="17" t="e">
        <f>IF(Data!#REF!="","",IF(Data!$G195="",1,IF(ISNUMBER(MATCH(Data!#REF!,Data_Val!$D$2:$D$10,0)),0,1)))</f>
        <v>#REF!</v>
      </c>
      <c r="AN195" s="13"/>
      <c r="AO195" s="28" t="e">
        <f ca="1">IF(Data!#REF!="","",IF(ISNUMBER(Data!#REF!),IF(AND(Data!#REF!&gt;(TODAY()-(Data_Val!$I$3*365.25)),Data!#REF!&lt;=(TODAY()-(Data_Val!$I$2*365.25))),0,1),1))</f>
        <v>#REF!</v>
      </c>
      <c r="AP195" s="13" t="e">
        <f>IF(Data!#REF!="","",IF(Data!$G195="",1,IF(ISNUMBER(MATCH(Data!#REF!,Data_Val!$D$2:$D$10,0)),0,1)))</f>
        <v>#REF!</v>
      </c>
      <c r="AQ195" s="17"/>
      <c r="AR195" s="30" t="e">
        <f ca="1">IF(Data!#REF!="","",IF(ISNUMBER(Data!#REF!),IF(AND(Data!#REF!&gt;(TODAY()-(Data_Val!$I$3*365.25)),Data!#REF!&lt;=(TODAY()-(Data_Val!$I$2*365.25))),0,1),1))</f>
        <v>#REF!</v>
      </c>
      <c r="AS195" s="31" t="e">
        <f>IF(Data!#REF!="","",IF(Data!$G195="",1,IF(ISNUMBER(MATCH(Data!#REF!,Data_Val!$D$2:$D$10,0)),0,1)))</f>
        <v>#REF!</v>
      </c>
      <c r="AT195" s="11"/>
      <c r="AU195" s="11" t="e">
        <f ca="1">IF(Data!#REF!="","",IF(ISNUMBER(Data!#REF!),IF(AND(Data!#REF!&gt;(TODAY()-(Data_Val!$I$3*365.25)),Data!#REF!&lt;=(TODAY()-(Data_Val!$I$2*365.25))),0,1),1))</f>
        <v>#REF!</v>
      </c>
      <c r="AV195" s="11" t="e">
        <f>IF(Data!#REF!="","",IF(Data!$G195="",1,IF(ISNUMBER(MATCH(Data!#REF!,Data_Val!$D$2:$D$10,0)),0,1)))</f>
        <v>#REF!</v>
      </c>
      <c r="AW195" s="12"/>
      <c r="AX195" s="26" t="e">
        <f ca="1">IF(Data!#REF!="","",IF(ISNUMBER(Data!#REF!),IF(AND(Data!#REF!&gt;(TODAY()-(Data_Val!$I$3*365.25)),Data!#REF!&lt;=(TODAY()-(Data_Val!$I$2*365.25))),0,1),1))</f>
        <v>#REF!</v>
      </c>
      <c r="AY195" s="12" t="e">
        <f>IF(Data!#REF!="","",IF(Data!$G195="",1,IF(ISNUMBER(MATCH(Data!#REF!,Data_Val!$D$2:$D$10,0)),0,1)))</f>
        <v>#REF!</v>
      </c>
      <c r="AZ195" s="11"/>
      <c r="BA195" s="19" t="e">
        <f ca="1">IF(Data!#REF!="","",IF(ISNUMBER(Data!#REF!),IF(AND(Data!#REF!&gt;(TODAY()-(Data_Val!$M$3*365.25)),Data!#REF!&lt;=(TODAY()-(Data_Val!$M$2*365.25))),0,1),1))</f>
        <v>#REF!</v>
      </c>
      <c r="BB195" s="11" t="e">
        <f>IF(Data!#REF!="","",IF(Data!$G195="",1,IF(ISNUMBER(MATCH(Data!#REF!,Data_Val!$D$2:$D$10,0)),0,1)))</f>
        <v>#REF!</v>
      </c>
      <c r="BC195" s="12"/>
      <c r="BD195" s="20" t="e">
        <f ca="1">IF(Data!#REF!="","",IF(ISNUMBER(Data!#REF!),IF(AND(Data!#REF!&gt;(TODAY()-(Data_Val!$M$3*365.25)),Data!#REF!&lt;=(TODAY()-(Data_Val!$M$2*365.25))),0,1),1))</f>
        <v>#REF!</v>
      </c>
      <c r="BE195" s="12" t="e">
        <f>IF(Data!#REF!="","",IF(Data!$G195="",1,IF(ISNUMBER(MATCH(Data!#REF!,Data_Val!$D$2:$D$10,0)),0,1)))</f>
        <v>#REF!</v>
      </c>
      <c r="BF195" s="17"/>
      <c r="BG195" s="18" t="e">
        <f ca="1">IF(Data!#REF!="","",IF(ISNUMBER(Data!#REF!),IF(AND(Data!#REF!&gt;(TODAY()-(Data_Val!$M$3*365.25)),Data!#REF!&lt;=(TODAY()-(Data_Val!$M$2*365.25))),0,1),1))</f>
        <v>#REF!</v>
      </c>
      <c r="BH195" s="29" t="e">
        <f>IF(Data!#REF!="","",IF(Data!$G195="",1,IF(ISNUMBER(MATCH(Data!#REF!,Data_Val!$D$2:$D$10,0)),0,1)))</f>
        <v>#REF!</v>
      </c>
      <c r="BI195" s="13"/>
      <c r="BJ195" s="21" t="e">
        <f ca="1">IF(Data!#REF!="","",IF(ISNUMBER(Data!#REF!),IF(AND(Data!#REF!&gt;(TODAY()-(Data_Val!$M$3*365.25)),Data!#REF!&lt;=(TODAY()-(Data_Val!$M$2*365.25))),0,1),1))</f>
        <v>#REF!</v>
      </c>
      <c r="BK195" s="13" t="e">
        <f>IF(Data!#REF!="","",IF(Data!$G195="",1,IF(ISNUMBER(MATCH(Data!#REF!,Data_Val!$D$2:$D$10,0)),0,1)))</f>
        <v>#REF!</v>
      </c>
    </row>
    <row r="196" spans="1:63" x14ac:dyDescent="0.25">
      <c r="A196" s="9" t="str">
        <f>IF(Data!B196="","",IF(COUNTIFS(Data!A$1:'Data'!A196,Data!A196)&lt;=1,0,1))</f>
        <v/>
      </c>
      <c r="B196" s="9"/>
      <c r="C196" s="23" t="str">
        <f>IF(Data!C196="","",(IF(ISNUMBER(MATCH("*@*.?*",Data!C196,0)),0,1)+IF(COUNTIFS(Data!C$1:'Data'!C196,Data!C196)&gt;1,1,0)))</f>
        <v/>
      </c>
      <c r="D196" s="9" t="str">
        <f>IF(Data!B196="","",IF(ISNUMBER(Data!D196),IF(AND(Data!D196&gt;999999999,Data!D196&lt;=9999999999),IF(COUNTIFS(Data!D$1:'Data'!D196,Data!D196)&lt;=1,0,1),1),1))</f>
        <v/>
      </c>
      <c r="E196" s="9" t="str">
        <f>IF(Data!B196="","",IF(ISNUMBER(MATCH(Data!E196,Data_Val!$A$2:$A$3,0)),0,1))</f>
        <v/>
      </c>
      <c r="F196" s="9" t="str">
        <f ca="1">IF(Data!B196="","",IF(ISNUMBER(Data!F196),IF(AND(Data!F196&gt;(TODAY()-(Data_Val!$H$3*365.25)),Data!F196&lt;=(TODAY()-(Data_Val!$H$2*365.25))),0,1),1))</f>
        <v/>
      </c>
      <c r="G196" s="15" t="str">
        <f>IF(Data!B196="","",IF(AND(Data!G196="",Data!H196&lt;&gt;""),1,IF(Data!#REF!&lt;&gt;"",0,IF(ISNUMBER(MATCH(Data!G196,Data_Val!$C$2:$C$5,0)),0,1))))</f>
        <v/>
      </c>
      <c r="H196" s="15" t="str">
        <f>IF(Data!B196="","",IF(AND(Data!G196&lt;&gt;"",Data!H196=""),1,IF(Data!#REF!&lt;&gt;"",0,IF(Data!G196="",1,IF(ISNUMBER(MATCH(Data!H196,Data_Val!$D$2:$D$35,0)),0,1)))))</f>
        <v/>
      </c>
      <c r="I196" s="15" t="str">
        <f>IF(Data!B196="","",IF(Data!G196&lt;&gt;"",0,IF(ISNUMBER(MATCH(Data!#REF!,Data_Val!$E$2:$E$12,0)),0,1)))</f>
        <v/>
      </c>
      <c r="J196" s="16" t="e">
        <f>IF(OR(Data!B196="",Data!#REF!=""),"",IF(Data!#REF!="",1,0))</f>
        <v>#REF!</v>
      </c>
      <c r="K196" s="16" t="e">
        <f>IF(OR(Data!B196="",Data!#REF!=""),"",IF(Data!#REF!="",1,0))</f>
        <v>#REF!</v>
      </c>
      <c r="L196" s="16" t="e">
        <f>IF(OR(Data!B196="",Data!#REF!=""),"",IF(ISNUMBER(Data!#REF!),IF(AND(Data!#REF!&gt;Data_Val!$G$2,Data!#REF!&lt;=Data_Val!$G$3),0,1),1))</f>
        <v>#REF!</v>
      </c>
      <c r="M196" s="9" t="e">
        <f>IF(OR(Data!B196="",Data!#REF!=""),"",IF(ISNUMBER(MATCH(Data!#REF!,Data_Val!$F$1:$F$38,0)),0,1))</f>
        <v>#REF!</v>
      </c>
      <c r="N196" s="9" t="e">
        <f>IF(OR(Data!B196="",Data!#REF!=""),"",IF(Data!#REF!="",1,0))</f>
        <v>#REF!</v>
      </c>
      <c r="O196" s="17" t="e">
        <f>IF(Data!#REF!="","",IF(Data!#REF!="",1,0))</f>
        <v>#REF!</v>
      </c>
      <c r="P196" s="17" t="e">
        <f>IF(Data!#REF!="","",IF(ISNUMBER(MATCH(Data!#REF!,Data_Val!$A$2:$A$3,0)),0,1))</f>
        <v>#REF!</v>
      </c>
      <c r="Q196" s="25" t="e">
        <f ca="1">IF(Data!#REF!="","",IF(ISNUMBER(Data!#REF!),IF(AND(Data!#REF!&gt;(TODAY()-(Data_Val!$J$3*365.25)),Data!#REF!&lt;=(TODAY()-(Data_Val!$J$2*365.25))),0,1),1))</f>
        <v>#REF!</v>
      </c>
      <c r="R196" s="17" t="e">
        <f>IF(Data!#REF!="","",IF(ISNUMBER(MATCH(Data!#REF!,Data_Val!$B$2:$B$15,0)),0,1))</f>
        <v>#REF!</v>
      </c>
      <c r="S196" s="11" t="str">
        <f>IF(Data!G196="","",IF(Data!G196=Data_Val!$C$2,IF(Data!M196="",0,1),0))</f>
        <v/>
      </c>
      <c r="T196" s="11" t="str">
        <f>IF(Data!M196="","",IF(ISNUMBER(MATCH(Data!N196,Data_Val!$A$2:$A$3,0)),0,1))</f>
        <v/>
      </c>
      <c r="U196" s="11" t="str">
        <f ca="1">IF(Data!M196="","",IF(ISNUMBER(Data!O196),IF(AND(Data!O196&gt;(TODAY()-(Data_Val!$K$3*365.25)),Data!O196&lt;=(TODAY()-(Data_Val!$K$2*365.25))),0,1),1))</f>
        <v/>
      </c>
      <c r="V196" s="12" t="str">
        <f>IF(Data!G196="","",IF(Data!G196=Data_Val!$C$2,IF(Data!P196="",0,1),0))</f>
        <v/>
      </c>
      <c r="W196" s="12" t="str">
        <f>IF(Data!P196="","",IF(ISNUMBER(MATCH(Data!Q196,Data_Val!$A$2:$A$3,0)),0,1))</f>
        <v/>
      </c>
      <c r="X196" s="26" t="str">
        <f ca="1">IF(Data!P196="","",IF(ISNUMBER(Data!R196),IF(AND(Data!R196&gt;(TODAY()-(Data_Val!$L$3*365.25)),Data!R196&lt;=(TODAY()-(Data_Val!$L$2*365.25))),0,1),1))</f>
        <v/>
      </c>
      <c r="Y196" s="13" t="str">
        <f>IF(Data!$G196="","",IF(Data!$G196=Data_Val!$C$2,IF(Data!S196="",0,1),0))</f>
        <v/>
      </c>
      <c r="Z196" s="13" t="str">
        <f>IF(Data!S196="","",IF(ISNUMBER(MATCH(Data!T196,Data_Val!$A$2:$A$3,0)),0,1))</f>
        <v/>
      </c>
      <c r="AA196" s="28" t="str">
        <f ca="1">IF(Data!S196="","",IF(ISNUMBER(Data!U196),IF(AND(Data!U196&gt;(TODAY()-(Data_Val!$L$3*365.25)),Data!U196&lt;=(TODAY()-(Data_Val!$L$2*365.25))),0,1),1))</f>
        <v/>
      </c>
      <c r="AB196" s="11"/>
      <c r="AC196" s="11" t="e">
        <f>IF(Data!#REF!="","",IF(ISNUMBER(MATCH(Data!#REF!,Data_Val!$A$2:$A$3,0)),0,1))</f>
        <v>#REF!</v>
      </c>
      <c r="AD196" s="11" t="e">
        <f ca="1">IF(Data!#REF!="","",IF(ISNUMBER(Data!#REF!),IF(AND(Data!#REF!&gt;(TODAY()-(Data_Val!$L$3*365.25)),Data!#REF!&lt;=(TODAY()-(Data_Val!$L$2*365.25))),0,1),1))</f>
        <v>#REF!</v>
      </c>
      <c r="AE196" s="11" t="e">
        <f>IF(Data!#REF!="","",IF(Data!$G196="",1,IF(ISNUMBER(MATCH(Data!#REF!,Data_Val!$D$2:$D$10,0)),0,1)))</f>
        <v>#REF!</v>
      </c>
      <c r="AF196" s="12"/>
      <c r="AG196" s="12" t="e">
        <f>IF(Data!#REF!="","",IF(ISNUMBER(MATCH(Data!#REF!,Data_Val!$A$2:$A$3,0)),0,1))</f>
        <v>#REF!</v>
      </c>
      <c r="AH196" s="26" t="e">
        <f ca="1">IF(Data!#REF!="","",IF(ISNUMBER(Data!#REF!),IF(AND(Data!#REF!&gt;(TODAY()-(Data_Val!$L$3*365.25)),Data!#REF!&lt;=(TODAY()-(Data_Val!$L$2*365.25))),0,1),1))</f>
        <v>#REF!</v>
      </c>
      <c r="AI196" s="12" t="e">
        <f>IF(Data!#REF!="","",IF(Data!$G196="",1,IF(ISNUMBER(MATCH(Data!#REF!,Data_Val!$D$2:$D$10,0)),0,1)))</f>
        <v>#REF!</v>
      </c>
      <c r="AJ196" s="17"/>
      <c r="AK196" s="17" t="e">
        <f>IF(Data!#REF!="","",IF(ISNUMBER(MATCH(Data!#REF!,Data_Val!$A$2:$A$3,0)),0,1))</f>
        <v>#REF!</v>
      </c>
      <c r="AL196" s="25" t="e">
        <f ca="1">IF(Data!#REF!="","",IF(ISNUMBER(Data!#REF!),IF(AND(Data!#REF!&gt;(TODAY()-(Data_Val!$L$3*365.25)),Data!#REF!&lt;=(TODAY()-(Data_Val!$L$2*365.25))),0,1),1))</f>
        <v>#REF!</v>
      </c>
      <c r="AM196" s="17" t="e">
        <f>IF(Data!#REF!="","",IF(Data!$G196="",1,IF(ISNUMBER(MATCH(Data!#REF!,Data_Val!$D$2:$D$10,0)),0,1)))</f>
        <v>#REF!</v>
      </c>
      <c r="AN196" s="13"/>
      <c r="AO196" s="28" t="e">
        <f ca="1">IF(Data!#REF!="","",IF(ISNUMBER(Data!#REF!),IF(AND(Data!#REF!&gt;(TODAY()-(Data_Val!$I$3*365.25)),Data!#REF!&lt;=(TODAY()-(Data_Val!$I$2*365.25))),0,1),1))</f>
        <v>#REF!</v>
      </c>
      <c r="AP196" s="13" t="e">
        <f>IF(Data!#REF!="","",IF(Data!$G196="",1,IF(ISNUMBER(MATCH(Data!#REF!,Data_Val!$D$2:$D$10,0)),0,1)))</f>
        <v>#REF!</v>
      </c>
      <c r="AQ196" s="17"/>
      <c r="AR196" s="30" t="e">
        <f ca="1">IF(Data!#REF!="","",IF(ISNUMBER(Data!#REF!),IF(AND(Data!#REF!&gt;(TODAY()-(Data_Val!$I$3*365.25)),Data!#REF!&lt;=(TODAY()-(Data_Val!$I$2*365.25))),0,1),1))</f>
        <v>#REF!</v>
      </c>
      <c r="AS196" s="31" t="e">
        <f>IF(Data!#REF!="","",IF(Data!$G196="",1,IF(ISNUMBER(MATCH(Data!#REF!,Data_Val!$D$2:$D$10,0)),0,1)))</f>
        <v>#REF!</v>
      </c>
      <c r="AT196" s="11"/>
      <c r="AU196" s="11" t="e">
        <f ca="1">IF(Data!#REF!="","",IF(ISNUMBER(Data!#REF!),IF(AND(Data!#REF!&gt;(TODAY()-(Data_Val!$I$3*365.25)),Data!#REF!&lt;=(TODAY()-(Data_Val!$I$2*365.25))),0,1),1))</f>
        <v>#REF!</v>
      </c>
      <c r="AV196" s="11" t="e">
        <f>IF(Data!#REF!="","",IF(Data!$G196="",1,IF(ISNUMBER(MATCH(Data!#REF!,Data_Val!$D$2:$D$10,0)),0,1)))</f>
        <v>#REF!</v>
      </c>
      <c r="AW196" s="12"/>
      <c r="AX196" s="26" t="e">
        <f ca="1">IF(Data!#REF!="","",IF(ISNUMBER(Data!#REF!),IF(AND(Data!#REF!&gt;(TODAY()-(Data_Val!$I$3*365.25)),Data!#REF!&lt;=(TODAY()-(Data_Val!$I$2*365.25))),0,1),1))</f>
        <v>#REF!</v>
      </c>
      <c r="AY196" s="12" t="e">
        <f>IF(Data!#REF!="","",IF(Data!$G196="",1,IF(ISNUMBER(MATCH(Data!#REF!,Data_Val!$D$2:$D$10,0)),0,1)))</f>
        <v>#REF!</v>
      </c>
      <c r="AZ196" s="11"/>
      <c r="BA196" s="19" t="e">
        <f ca="1">IF(Data!#REF!="","",IF(ISNUMBER(Data!#REF!),IF(AND(Data!#REF!&gt;(TODAY()-(Data_Val!$M$3*365.25)),Data!#REF!&lt;=(TODAY()-(Data_Val!$M$2*365.25))),0,1),1))</f>
        <v>#REF!</v>
      </c>
      <c r="BB196" s="11" t="e">
        <f>IF(Data!#REF!="","",IF(Data!$G196="",1,IF(ISNUMBER(MATCH(Data!#REF!,Data_Val!$D$2:$D$10,0)),0,1)))</f>
        <v>#REF!</v>
      </c>
      <c r="BC196" s="12"/>
      <c r="BD196" s="20" t="e">
        <f ca="1">IF(Data!#REF!="","",IF(ISNUMBER(Data!#REF!),IF(AND(Data!#REF!&gt;(TODAY()-(Data_Val!$M$3*365.25)),Data!#REF!&lt;=(TODAY()-(Data_Val!$M$2*365.25))),0,1),1))</f>
        <v>#REF!</v>
      </c>
      <c r="BE196" s="12" t="e">
        <f>IF(Data!#REF!="","",IF(Data!$G196="",1,IF(ISNUMBER(MATCH(Data!#REF!,Data_Val!$D$2:$D$10,0)),0,1)))</f>
        <v>#REF!</v>
      </c>
      <c r="BF196" s="17"/>
      <c r="BG196" s="18" t="e">
        <f ca="1">IF(Data!#REF!="","",IF(ISNUMBER(Data!#REF!),IF(AND(Data!#REF!&gt;(TODAY()-(Data_Val!$M$3*365.25)),Data!#REF!&lt;=(TODAY()-(Data_Val!$M$2*365.25))),0,1),1))</f>
        <v>#REF!</v>
      </c>
      <c r="BH196" s="29" t="e">
        <f>IF(Data!#REF!="","",IF(Data!$G196="",1,IF(ISNUMBER(MATCH(Data!#REF!,Data_Val!$D$2:$D$10,0)),0,1)))</f>
        <v>#REF!</v>
      </c>
      <c r="BI196" s="13"/>
      <c r="BJ196" s="21" t="e">
        <f ca="1">IF(Data!#REF!="","",IF(ISNUMBER(Data!#REF!),IF(AND(Data!#REF!&gt;(TODAY()-(Data_Val!$M$3*365.25)),Data!#REF!&lt;=(TODAY()-(Data_Val!$M$2*365.25))),0,1),1))</f>
        <v>#REF!</v>
      </c>
      <c r="BK196" s="13" t="e">
        <f>IF(Data!#REF!="","",IF(Data!$G196="",1,IF(ISNUMBER(MATCH(Data!#REF!,Data_Val!$D$2:$D$10,0)),0,1)))</f>
        <v>#REF!</v>
      </c>
    </row>
    <row r="197" spans="1:63" x14ac:dyDescent="0.25">
      <c r="A197" s="9" t="str">
        <f>IF(Data!B197="","",IF(COUNTIFS(Data!A$1:'Data'!A197,Data!A197)&lt;=1,0,1))</f>
        <v/>
      </c>
      <c r="B197" s="9"/>
      <c r="C197" s="23" t="str">
        <f>IF(Data!C197="","",(IF(ISNUMBER(MATCH("*@*.?*",Data!C197,0)),0,1)+IF(COUNTIFS(Data!C$1:'Data'!C197,Data!C197)&gt;1,1,0)))</f>
        <v/>
      </c>
      <c r="D197" s="9" t="str">
        <f>IF(Data!B197="","",IF(ISNUMBER(Data!D197),IF(AND(Data!D197&gt;999999999,Data!D197&lt;=9999999999),IF(COUNTIFS(Data!D$1:'Data'!D197,Data!D197)&lt;=1,0,1),1),1))</f>
        <v/>
      </c>
      <c r="E197" s="9" t="str">
        <f>IF(Data!B197="","",IF(ISNUMBER(MATCH(Data!E197,Data_Val!$A$2:$A$3,0)),0,1))</f>
        <v/>
      </c>
      <c r="F197" s="9" t="str">
        <f ca="1">IF(Data!B197="","",IF(ISNUMBER(Data!F197),IF(AND(Data!F197&gt;(TODAY()-(Data_Val!$H$3*365.25)),Data!F197&lt;=(TODAY()-(Data_Val!$H$2*365.25))),0,1),1))</f>
        <v/>
      </c>
      <c r="G197" s="15" t="str">
        <f>IF(Data!B197="","",IF(AND(Data!G197="",Data!H197&lt;&gt;""),1,IF(Data!#REF!&lt;&gt;"",0,IF(ISNUMBER(MATCH(Data!G197,Data_Val!$C$2:$C$5,0)),0,1))))</f>
        <v/>
      </c>
      <c r="H197" s="15" t="str">
        <f>IF(Data!B197="","",IF(AND(Data!G197&lt;&gt;"",Data!H197=""),1,IF(Data!#REF!&lt;&gt;"",0,IF(Data!G197="",1,IF(ISNUMBER(MATCH(Data!H197,Data_Val!$D$2:$D$35,0)),0,1)))))</f>
        <v/>
      </c>
      <c r="I197" s="15" t="str">
        <f>IF(Data!B197="","",IF(Data!G197&lt;&gt;"",0,IF(ISNUMBER(MATCH(Data!#REF!,Data_Val!$E$2:$E$12,0)),0,1)))</f>
        <v/>
      </c>
      <c r="J197" s="16" t="e">
        <f>IF(OR(Data!B197="",Data!#REF!=""),"",IF(Data!#REF!="",1,0))</f>
        <v>#REF!</v>
      </c>
      <c r="K197" s="16" t="e">
        <f>IF(OR(Data!B197="",Data!#REF!=""),"",IF(Data!#REF!="",1,0))</f>
        <v>#REF!</v>
      </c>
      <c r="L197" s="16" t="e">
        <f>IF(OR(Data!B197="",Data!#REF!=""),"",IF(ISNUMBER(Data!#REF!),IF(AND(Data!#REF!&gt;Data_Val!$G$2,Data!#REF!&lt;=Data_Val!$G$3),0,1),1))</f>
        <v>#REF!</v>
      </c>
      <c r="M197" s="9" t="e">
        <f>IF(OR(Data!B197="",Data!#REF!=""),"",IF(ISNUMBER(MATCH(Data!#REF!,Data_Val!$F$1:$F$38,0)),0,1))</f>
        <v>#REF!</v>
      </c>
      <c r="N197" s="9" t="e">
        <f>IF(OR(Data!B197="",Data!#REF!=""),"",IF(Data!#REF!="",1,0))</f>
        <v>#REF!</v>
      </c>
      <c r="O197" s="17" t="e">
        <f>IF(Data!#REF!="","",IF(Data!#REF!="",1,0))</f>
        <v>#REF!</v>
      </c>
      <c r="P197" s="17" t="e">
        <f>IF(Data!#REF!="","",IF(ISNUMBER(MATCH(Data!#REF!,Data_Val!$A$2:$A$3,0)),0,1))</f>
        <v>#REF!</v>
      </c>
      <c r="Q197" s="25" t="e">
        <f ca="1">IF(Data!#REF!="","",IF(ISNUMBER(Data!#REF!),IF(AND(Data!#REF!&gt;(TODAY()-(Data_Val!$J$3*365.25)),Data!#REF!&lt;=(TODAY()-(Data_Val!$J$2*365.25))),0,1),1))</f>
        <v>#REF!</v>
      </c>
      <c r="R197" s="17" t="e">
        <f>IF(Data!#REF!="","",IF(ISNUMBER(MATCH(Data!#REF!,Data_Val!$B$2:$B$15,0)),0,1))</f>
        <v>#REF!</v>
      </c>
      <c r="S197" s="11" t="str">
        <f>IF(Data!G197="","",IF(Data!G197=Data_Val!$C$2,IF(Data!M197="",0,1),0))</f>
        <v/>
      </c>
      <c r="T197" s="11" t="str">
        <f>IF(Data!M197="","",IF(ISNUMBER(MATCH(Data!N197,Data_Val!$A$2:$A$3,0)),0,1))</f>
        <v/>
      </c>
      <c r="U197" s="11" t="str">
        <f ca="1">IF(Data!M197="","",IF(ISNUMBER(Data!O197),IF(AND(Data!O197&gt;(TODAY()-(Data_Val!$K$3*365.25)),Data!O197&lt;=(TODAY()-(Data_Val!$K$2*365.25))),0,1),1))</f>
        <v/>
      </c>
      <c r="V197" s="12" t="str">
        <f>IF(Data!G197="","",IF(Data!G197=Data_Val!$C$2,IF(Data!P197="",0,1),0))</f>
        <v/>
      </c>
      <c r="W197" s="12" t="str">
        <f>IF(Data!P197="","",IF(ISNUMBER(MATCH(Data!Q197,Data_Val!$A$2:$A$3,0)),0,1))</f>
        <v/>
      </c>
      <c r="X197" s="26" t="str">
        <f ca="1">IF(Data!P197="","",IF(ISNUMBER(Data!R197),IF(AND(Data!R197&gt;(TODAY()-(Data_Val!$L$3*365.25)),Data!R197&lt;=(TODAY()-(Data_Val!$L$2*365.25))),0,1),1))</f>
        <v/>
      </c>
      <c r="Y197" s="13" t="str">
        <f>IF(Data!$G197="","",IF(Data!$G197=Data_Val!$C$2,IF(Data!S197="",0,1),0))</f>
        <v/>
      </c>
      <c r="Z197" s="13" t="str">
        <f>IF(Data!S197="","",IF(ISNUMBER(MATCH(Data!T197,Data_Val!$A$2:$A$3,0)),0,1))</f>
        <v/>
      </c>
      <c r="AA197" s="28" t="str">
        <f ca="1">IF(Data!S197="","",IF(ISNUMBER(Data!U197),IF(AND(Data!U197&gt;(TODAY()-(Data_Val!$L$3*365.25)),Data!U197&lt;=(TODAY()-(Data_Val!$L$2*365.25))),0,1),1))</f>
        <v/>
      </c>
      <c r="AB197" s="11"/>
      <c r="AC197" s="11" t="e">
        <f>IF(Data!#REF!="","",IF(ISNUMBER(MATCH(Data!#REF!,Data_Val!$A$2:$A$3,0)),0,1))</f>
        <v>#REF!</v>
      </c>
      <c r="AD197" s="11" t="e">
        <f ca="1">IF(Data!#REF!="","",IF(ISNUMBER(Data!#REF!),IF(AND(Data!#REF!&gt;(TODAY()-(Data_Val!$L$3*365.25)),Data!#REF!&lt;=(TODAY()-(Data_Val!$L$2*365.25))),0,1),1))</f>
        <v>#REF!</v>
      </c>
      <c r="AE197" s="11" t="e">
        <f>IF(Data!#REF!="","",IF(Data!$G197="",1,IF(ISNUMBER(MATCH(Data!#REF!,Data_Val!$D$2:$D$10,0)),0,1)))</f>
        <v>#REF!</v>
      </c>
      <c r="AF197" s="12"/>
      <c r="AG197" s="12" t="e">
        <f>IF(Data!#REF!="","",IF(ISNUMBER(MATCH(Data!#REF!,Data_Val!$A$2:$A$3,0)),0,1))</f>
        <v>#REF!</v>
      </c>
      <c r="AH197" s="26" t="e">
        <f ca="1">IF(Data!#REF!="","",IF(ISNUMBER(Data!#REF!),IF(AND(Data!#REF!&gt;(TODAY()-(Data_Val!$L$3*365.25)),Data!#REF!&lt;=(TODAY()-(Data_Val!$L$2*365.25))),0,1),1))</f>
        <v>#REF!</v>
      </c>
      <c r="AI197" s="12" t="e">
        <f>IF(Data!#REF!="","",IF(Data!$G197="",1,IF(ISNUMBER(MATCH(Data!#REF!,Data_Val!$D$2:$D$10,0)),0,1)))</f>
        <v>#REF!</v>
      </c>
      <c r="AJ197" s="17"/>
      <c r="AK197" s="17" t="e">
        <f>IF(Data!#REF!="","",IF(ISNUMBER(MATCH(Data!#REF!,Data_Val!$A$2:$A$3,0)),0,1))</f>
        <v>#REF!</v>
      </c>
      <c r="AL197" s="25" t="e">
        <f ca="1">IF(Data!#REF!="","",IF(ISNUMBER(Data!#REF!),IF(AND(Data!#REF!&gt;(TODAY()-(Data_Val!$L$3*365.25)),Data!#REF!&lt;=(TODAY()-(Data_Val!$L$2*365.25))),0,1),1))</f>
        <v>#REF!</v>
      </c>
      <c r="AM197" s="17" t="e">
        <f>IF(Data!#REF!="","",IF(Data!$G197="",1,IF(ISNUMBER(MATCH(Data!#REF!,Data_Val!$D$2:$D$10,0)),0,1)))</f>
        <v>#REF!</v>
      </c>
      <c r="AN197" s="13"/>
      <c r="AO197" s="28" t="e">
        <f ca="1">IF(Data!#REF!="","",IF(ISNUMBER(Data!#REF!),IF(AND(Data!#REF!&gt;(TODAY()-(Data_Val!$I$3*365.25)),Data!#REF!&lt;=(TODAY()-(Data_Val!$I$2*365.25))),0,1),1))</f>
        <v>#REF!</v>
      </c>
      <c r="AP197" s="13" t="e">
        <f>IF(Data!#REF!="","",IF(Data!$G197="",1,IF(ISNUMBER(MATCH(Data!#REF!,Data_Val!$D$2:$D$10,0)),0,1)))</f>
        <v>#REF!</v>
      </c>
      <c r="AQ197" s="17"/>
      <c r="AR197" s="30" t="e">
        <f ca="1">IF(Data!#REF!="","",IF(ISNUMBER(Data!#REF!),IF(AND(Data!#REF!&gt;(TODAY()-(Data_Val!$I$3*365.25)),Data!#REF!&lt;=(TODAY()-(Data_Val!$I$2*365.25))),0,1),1))</f>
        <v>#REF!</v>
      </c>
      <c r="AS197" s="31" t="e">
        <f>IF(Data!#REF!="","",IF(Data!$G197="",1,IF(ISNUMBER(MATCH(Data!#REF!,Data_Val!$D$2:$D$10,0)),0,1)))</f>
        <v>#REF!</v>
      </c>
      <c r="AT197" s="11"/>
      <c r="AU197" s="11" t="e">
        <f ca="1">IF(Data!#REF!="","",IF(ISNUMBER(Data!#REF!),IF(AND(Data!#REF!&gt;(TODAY()-(Data_Val!$I$3*365.25)),Data!#REF!&lt;=(TODAY()-(Data_Val!$I$2*365.25))),0,1),1))</f>
        <v>#REF!</v>
      </c>
      <c r="AV197" s="11" t="e">
        <f>IF(Data!#REF!="","",IF(Data!$G197="",1,IF(ISNUMBER(MATCH(Data!#REF!,Data_Val!$D$2:$D$10,0)),0,1)))</f>
        <v>#REF!</v>
      </c>
      <c r="AW197" s="12"/>
      <c r="AX197" s="26" t="e">
        <f ca="1">IF(Data!#REF!="","",IF(ISNUMBER(Data!#REF!),IF(AND(Data!#REF!&gt;(TODAY()-(Data_Val!$I$3*365.25)),Data!#REF!&lt;=(TODAY()-(Data_Val!$I$2*365.25))),0,1),1))</f>
        <v>#REF!</v>
      </c>
      <c r="AY197" s="12" t="e">
        <f>IF(Data!#REF!="","",IF(Data!$G197="",1,IF(ISNUMBER(MATCH(Data!#REF!,Data_Val!$D$2:$D$10,0)),0,1)))</f>
        <v>#REF!</v>
      </c>
      <c r="AZ197" s="11"/>
      <c r="BA197" s="19" t="e">
        <f ca="1">IF(Data!#REF!="","",IF(ISNUMBER(Data!#REF!),IF(AND(Data!#REF!&gt;(TODAY()-(Data_Val!$M$3*365.25)),Data!#REF!&lt;=(TODAY()-(Data_Val!$M$2*365.25))),0,1),1))</f>
        <v>#REF!</v>
      </c>
      <c r="BB197" s="11" t="e">
        <f>IF(Data!#REF!="","",IF(Data!$G197="",1,IF(ISNUMBER(MATCH(Data!#REF!,Data_Val!$D$2:$D$10,0)),0,1)))</f>
        <v>#REF!</v>
      </c>
      <c r="BC197" s="12"/>
      <c r="BD197" s="20" t="e">
        <f ca="1">IF(Data!#REF!="","",IF(ISNUMBER(Data!#REF!),IF(AND(Data!#REF!&gt;(TODAY()-(Data_Val!$M$3*365.25)),Data!#REF!&lt;=(TODAY()-(Data_Val!$M$2*365.25))),0,1),1))</f>
        <v>#REF!</v>
      </c>
      <c r="BE197" s="12" t="e">
        <f>IF(Data!#REF!="","",IF(Data!$G197="",1,IF(ISNUMBER(MATCH(Data!#REF!,Data_Val!$D$2:$D$10,0)),0,1)))</f>
        <v>#REF!</v>
      </c>
      <c r="BF197" s="17"/>
      <c r="BG197" s="18" t="e">
        <f ca="1">IF(Data!#REF!="","",IF(ISNUMBER(Data!#REF!),IF(AND(Data!#REF!&gt;(TODAY()-(Data_Val!$M$3*365.25)),Data!#REF!&lt;=(TODAY()-(Data_Val!$M$2*365.25))),0,1),1))</f>
        <v>#REF!</v>
      </c>
      <c r="BH197" s="29" t="e">
        <f>IF(Data!#REF!="","",IF(Data!$G197="",1,IF(ISNUMBER(MATCH(Data!#REF!,Data_Val!$D$2:$D$10,0)),0,1)))</f>
        <v>#REF!</v>
      </c>
      <c r="BI197" s="13"/>
      <c r="BJ197" s="21" t="e">
        <f ca="1">IF(Data!#REF!="","",IF(ISNUMBER(Data!#REF!),IF(AND(Data!#REF!&gt;(TODAY()-(Data_Val!$M$3*365.25)),Data!#REF!&lt;=(TODAY()-(Data_Val!$M$2*365.25))),0,1),1))</f>
        <v>#REF!</v>
      </c>
      <c r="BK197" s="13" t="e">
        <f>IF(Data!#REF!="","",IF(Data!$G197="",1,IF(ISNUMBER(MATCH(Data!#REF!,Data_Val!$D$2:$D$10,0)),0,1)))</f>
        <v>#REF!</v>
      </c>
    </row>
    <row r="198" spans="1:63" x14ac:dyDescent="0.25">
      <c r="A198" s="9" t="str">
        <f>IF(Data!B198="","",IF(COUNTIFS(Data!A$1:'Data'!A198,Data!A198)&lt;=1,0,1))</f>
        <v/>
      </c>
      <c r="B198" s="9"/>
      <c r="C198" s="23" t="str">
        <f>IF(Data!C198="","",(IF(ISNUMBER(MATCH("*@*.?*",Data!C198,0)),0,1)+IF(COUNTIFS(Data!C$1:'Data'!C198,Data!C198)&gt;1,1,0)))</f>
        <v/>
      </c>
      <c r="D198" s="9" t="str">
        <f>IF(Data!B198="","",IF(ISNUMBER(Data!D198),IF(AND(Data!D198&gt;999999999,Data!D198&lt;=9999999999),IF(COUNTIFS(Data!D$1:'Data'!D198,Data!D198)&lt;=1,0,1),1),1))</f>
        <v/>
      </c>
      <c r="E198" s="9" t="str">
        <f>IF(Data!B198="","",IF(ISNUMBER(MATCH(Data!E198,Data_Val!$A$2:$A$3,0)),0,1))</f>
        <v/>
      </c>
      <c r="F198" s="9" t="str">
        <f ca="1">IF(Data!B198="","",IF(ISNUMBER(Data!F198),IF(AND(Data!F198&gt;(TODAY()-(Data_Val!$H$3*365.25)),Data!F198&lt;=(TODAY()-(Data_Val!$H$2*365.25))),0,1),1))</f>
        <v/>
      </c>
      <c r="G198" s="15" t="str">
        <f>IF(Data!B198="","",IF(AND(Data!G198="",Data!H198&lt;&gt;""),1,IF(Data!#REF!&lt;&gt;"",0,IF(ISNUMBER(MATCH(Data!G198,Data_Val!$C$2:$C$5,0)),0,1))))</f>
        <v/>
      </c>
      <c r="H198" s="15" t="str">
        <f>IF(Data!B198="","",IF(AND(Data!G198&lt;&gt;"",Data!H198=""),1,IF(Data!#REF!&lt;&gt;"",0,IF(Data!G198="",1,IF(ISNUMBER(MATCH(Data!H198,Data_Val!$D$2:$D$35,0)),0,1)))))</f>
        <v/>
      </c>
      <c r="I198" s="15" t="str">
        <f>IF(Data!B198="","",IF(Data!G198&lt;&gt;"",0,IF(ISNUMBER(MATCH(Data!#REF!,Data_Val!$E$2:$E$12,0)),0,1)))</f>
        <v/>
      </c>
      <c r="J198" s="16" t="e">
        <f>IF(OR(Data!B198="",Data!#REF!=""),"",IF(Data!#REF!="",1,0))</f>
        <v>#REF!</v>
      </c>
      <c r="K198" s="16" t="e">
        <f>IF(OR(Data!B198="",Data!#REF!=""),"",IF(Data!#REF!="",1,0))</f>
        <v>#REF!</v>
      </c>
      <c r="L198" s="16" t="e">
        <f>IF(OR(Data!B198="",Data!#REF!=""),"",IF(ISNUMBER(Data!#REF!),IF(AND(Data!#REF!&gt;Data_Val!$G$2,Data!#REF!&lt;=Data_Val!$G$3),0,1),1))</f>
        <v>#REF!</v>
      </c>
      <c r="M198" s="9" t="e">
        <f>IF(OR(Data!B198="",Data!#REF!=""),"",IF(ISNUMBER(MATCH(Data!#REF!,Data_Val!$F$1:$F$38,0)),0,1))</f>
        <v>#REF!</v>
      </c>
      <c r="N198" s="9" t="e">
        <f>IF(OR(Data!B198="",Data!#REF!=""),"",IF(Data!#REF!="",1,0))</f>
        <v>#REF!</v>
      </c>
      <c r="O198" s="17" t="e">
        <f>IF(Data!#REF!="","",IF(Data!#REF!="",1,0))</f>
        <v>#REF!</v>
      </c>
      <c r="P198" s="17" t="e">
        <f>IF(Data!#REF!="","",IF(ISNUMBER(MATCH(Data!#REF!,Data_Val!$A$2:$A$3,0)),0,1))</f>
        <v>#REF!</v>
      </c>
      <c r="Q198" s="25" t="e">
        <f ca="1">IF(Data!#REF!="","",IF(ISNUMBER(Data!#REF!),IF(AND(Data!#REF!&gt;(TODAY()-(Data_Val!$J$3*365.25)),Data!#REF!&lt;=(TODAY()-(Data_Val!$J$2*365.25))),0,1),1))</f>
        <v>#REF!</v>
      </c>
      <c r="R198" s="17" t="e">
        <f>IF(Data!#REF!="","",IF(ISNUMBER(MATCH(Data!#REF!,Data_Val!$B$2:$B$15,0)),0,1))</f>
        <v>#REF!</v>
      </c>
      <c r="S198" s="11" t="str">
        <f>IF(Data!G198="","",IF(Data!G198=Data_Val!$C$2,IF(Data!M198="",0,1),0))</f>
        <v/>
      </c>
      <c r="T198" s="11" t="str">
        <f>IF(Data!M198="","",IF(ISNUMBER(MATCH(Data!N198,Data_Val!$A$2:$A$3,0)),0,1))</f>
        <v/>
      </c>
      <c r="U198" s="11" t="str">
        <f ca="1">IF(Data!M198="","",IF(ISNUMBER(Data!O198),IF(AND(Data!O198&gt;(TODAY()-(Data_Val!$K$3*365.25)),Data!O198&lt;=(TODAY()-(Data_Val!$K$2*365.25))),0,1),1))</f>
        <v/>
      </c>
      <c r="V198" s="12" t="str">
        <f>IF(Data!G198="","",IF(Data!G198=Data_Val!$C$2,IF(Data!P198="",0,1),0))</f>
        <v/>
      </c>
      <c r="W198" s="12" t="str">
        <f>IF(Data!P198="","",IF(ISNUMBER(MATCH(Data!Q198,Data_Val!$A$2:$A$3,0)),0,1))</f>
        <v/>
      </c>
      <c r="X198" s="26" t="str">
        <f ca="1">IF(Data!P198="","",IF(ISNUMBER(Data!R198),IF(AND(Data!R198&gt;(TODAY()-(Data_Val!$L$3*365.25)),Data!R198&lt;=(TODAY()-(Data_Val!$L$2*365.25))),0,1),1))</f>
        <v/>
      </c>
      <c r="Y198" s="13" t="str">
        <f>IF(Data!$G198="","",IF(Data!$G198=Data_Val!$C$2,IF(Data!S198="",0,1),0))</f>
        <v/>
      </c>
      <c r="Z198" s="13" t="str">
        <f>IF(Data!S198="","",IF(ISNUMBER(MATCH(Data!T198,Data_Val!$A$2:$A$3,0)),0,1))</f>
        <v/>
      </c>
      <c r="AA198" s="28" t="str">
        <f ca="1">IF(Data!S198="","",IF(ISNUMBER(Data!U198),IF(AND(Data!U198&gt;(TODAY()-(Data_Val!$L$3*365.25)),Data!U198&lt;=(TODAY()-(Data_Val!$L$2*365.25))),0,1),1))</f>
        <v/>
      </c>
      <c r="AB198" s="11"/>
      <c r="AC198" s="11" t="e">
        <f>IF(Data!#REF!="","",IF(ISNUMBER(MATCH(Data!#REF!,Data_Val!$A$2:$A$3,0)),0,1))</f>
        <v>#REF!</v>
      </c>
      <c r="AD198" s="11" t="e">
        <f ca="1">IF(Data!#REF!="","",IF(ISNUMBER(Data!#REF!),IF(AND(Data!#REF!&gt;(TODAY()-(Data_Val!$L$3*365.25)),Data!#REF!&lt;=(TODAY()-(Data_Val!$L$2*365.25))),0,1),1))</f>
        <v>#REF!</v>
      </c>
      <c r="AE198" s="11" t="e">
        <f>IF(Data!#REF!="","",IF(Data!$G198="",1,IF(ISNUMBER(MATCH(Data!#REF!,Data_Val!$D$2:$D$10,0)),0,1)))</f>
        <v>#REF!</v>
      </c>
      <c r="AF198" s="12"/>
      <c r="AG198" s="12" t="e">
        <f>IF(Data!#REF!="","",IF(ISNUMBER(MATCH(Data!#REF!,Data_Val!$A$2:$A$3,0)),0,1))</f>
        <v>#REF!</v>
      </c>
      <c r="AH198" s="26" t="e">
        <f ca="1">IF(Data!#REF!="","",IF(ISNUMBER(Data!#REF!),IF(AND(Data!#REF!&gt;(TODAY()-(Data_Val!$L$3*365.25)),Data!#REF!&lt;=(TODAY()-(Data_Val!$L$2*365.25))),0,1),1))</f>
        <v>#REF!</v>
      </c>
      <c r="AI198" s="12" t="e">
        <f>IF(Data!#REF!="","",IF(Data!$G198="",1,IF(ISNUMBER(MATCH(Data!#REF!,Data_Val!$D$2:$D$10,0)),0,1)))</f>
        <v>#REF!</v>
      </c>
      <c r="AJ198" s="17"/>
      <c r="AK198" s="17" t="e">
        <f>IF(Data!#REF!="","",IF(ISNUMBER(MATCH(Data!#REF!,Data_Val!$A$2:$A$3,0)),0,1))</f>
        <v>#REF!</v>
      </c>
      <c r="AL198" s="25" t="e">
        <f ca="1">IF(Data!#REF!="","",IF(ISNUMBER(Data!#REF!),IF(AND(Data!#REF!&gt;(TODAY()-(Data_Val!$L$3*365.25)),Data!#REF!&lt;=(TODAY()-(Data_Val!$L$2*365.25))),0,1),1))</f>
        <v>#REF!</v>
      </c>
      <c r="AM198" s="17" t="e">
        <f>IF(Data!#REF!="","",IF(Data!$G198="",1,IF(ISNUMBER(MATCH(Data!#REF!,Data_Val!$D$2:$D$10,0)),0,1)))</f>
        <v>#REF!</v>
      </c>
      <c r="AN198" s="13"/>
      <c r="AO198" s="28" t="e">
        <f ca="1">IF(Data!#REF!="","",IF(ISNUMBER(Data!#REF!),IF(AND(Data!#REF!&gt;(TODAY()-(Data_Val!$I$3*365.25)),Data!#REF!&lt;=(TODAY()-(Data_Val!$I$2*365.25))),0,1),1))</f>
        <v>#REF!</v>
      </c>
      <c r="AP198" s="13" t="e">
        <f>IF(Data!#REF!="","",IF(Data!$G198="",1,IF(ISNUMBER(MATCH(Data!#REF!,Data_Val!$D$2:$D$10,0)),0,1)))</f>
        <v>#REF!</v>
      </c>
      <c r="AQ198" s="17"/>
      <c r="AR198" s="30" t="e">
        <f ca="1">IF(Data!#REF!="","",IF(ISNUMBER(Data!#REF!),IF(AND(Data!#REF!&gt;(TODAY()-(Data_Val!$I$3*365.25)),Data!#REF!&lt;=(TODAY()-(Data_Val!$I$2*365.25))),0,1),1))</f>
        <v>#REF!</v>
      </c>
      <c r="AS198" s="31" t="e">
        <f>IF(Data!#REF!="","",IF(Data!$G198="",1,IF(ISNUMBER(MATCH(Data!#REF!,Data_Val!$D$2:$D$10,0)),0,1)))</f>
        <v>#REF!</v>
      </c>
      <c r="AT198" s="11"/>
      <c r="AU198" s="11" t="e">
        <f ca="1">IF(Data!#REF!="","",IF(ISNUMBER(Data!#REF!),IF(AND(Data!#REF!&gt;(TODAY()-(Data_Val!$I$3*365.25)),Data!#REF!&lt;=(TODAY()-(Data_Val!$I$2*365.25))),0,1),1))</f>
        <v>#REF!</v>
      </c>
      <c r="AV198" s="11" t="e">
        <f>IF(Data!#REF!="","",IF(Data!$G198="",1,IF(ISNUMBER(MATCH(Data!#REF!,Data_Val!$D$2:$D$10,0)),0,1)))</f>
        <v>#REF!</v>
      </c>
      <c r="AW198" s="12"/>
      <c r="AX198" s="26" t="e">
        <f ca="1">IF(Data!#REF!="","",IF(ISNUMBER(Data!#REF!),IF(AND(Data!#REF!&gt;(TODAY()-(Data_Val!$I$3*365.25)),Data!#REF!&lt;=(TODAY()-(Data_Val!$I$2*365.25))),0,1),1))</f>
        <v>#REF!</v>
      </c>
      <c r="AY198" s="12" t="e">
        <f>IF(Data!#REF!="","",IF(Data!$G198="",1,IF(ISNUMBER(MATCH(Data!#REF!,Data_Val!$D$2:$D$10,0)),0,1)))</f>
        <v>#REF!</v>
      </c>
      <c r="AZ198" s="11"/>
      <c r="BA198" s="19" t="e">
        <f ca="1">IF(Data!#REF!="","",IF(ISNUMBER(Data!#REF!),IF(AND(Data!#REF!&gt;(TODAY()-(Data_Val!$M$3*365.25)),Data!#REF!&lt;=(TODAY()-(Data_Val!$M$2*365.25))),0,1),1))</f>
        <v>#REF!</v>
      </c>
      <c r="BB198" s="11" t="e">
        <f>IF(Data!#REF!="","",IF(Data!$G198="",1,IF(ISNUMBER(MATCH(Data!#REF!,Data_Val!$D$2:$D$10,0)),0,1)))</f>
        <v>#REF!</v>
      </c>
      <c r="BC198" s="12"/>
      <c r="BD198" s="20" t="e">
        <f ca="1">IF(Data!#REF!="","",IF(ISNUMBER(Data!#REF!),IF(AND(Data!#REF!&gt;(TODAY()-(Data_Val!$M$3*365.25)),Data!#REF!&lt;=(TODAY()-(Data_Val!$M$2*365.25))),0,1),1))</f>
        <v>#REF!</v>
      </c>
      <c r="BE198" s="12" t="e">
        <f>IF(Data!#REF!="","",IF(Data!$G198="",1,IF(ISNUMBER(MATCH(Data!#REF!,Data_Val!$D$2:$D$10,0)),0,1)))</f>
        <v>#REF!</v>
      </c>
      <c r="BF198" s="17"/>
      <c r="BG198" s="18" t="e">
        <f ca="1">IF(Data!#REF!="","",IF(ISNUMBER(Data!#REF!),IF(AND(Data!#REF!&gt;(TODAY()-(Data_Val!$M$3*365.25)),Data!#REF!&lt;=(TODAY()-(Data_Val!$M$2*365.25))),0,1),1))</f>
        <v>#REF!</v>
      </c>
      <c r="BH198" s="29" t="e">
        <f>IF(Data!#REF!="","",IF(Data!$G198="",1,IF(ISNUMBER(MATCH(Data!#REF!,Data_Val!$D$2:$D$10,0)),0,1)))</f>
        <v>#REF!</v>
      </c>
      <c r="BI198" s="13"/>
      <c r="BJ198" s="21" t="e">
        <f ca="1">IF(Data!#REF!="","",IF(ISNUMBER(Data!#REF!),IF(AND(Data!#REF!&gt;(TODAY()-(Data_Val!$M$3*365.25)),Data!#REF!&lt;=(TODAY()-(Data_Val!$M$2*365.25))),0,1),1))</f>
        <v>#REF!</v>
      </c>
      <c r="BK198" s="13" t="e">
        <f>IF(Data!#REF!="","",IF(Data!$G198="",1,IF(ISNUMBER(MATCH(Data!#REF!,Data_Val!$D$2:$D$10,0)),0,1)))</f>
        <v>#REF!</v>
      </c>
    </row>
    <row r="199" spans="1:63" x14ac:dyDescent="0.25">
      <c r="A199" s="9" t="str">
        <f>IF(Data!B199="","",IF(COUNTIFS(Data!A$1:'Data'!A199,Data!A199)&lt;=1,0,1))</f>
        <v/>
      </c>
      <c r="B199" s="9"/>
      <c r="C199" s="23" t="str">
        <f>IF(Data!C199="","",(IF(ISNUMBER(MATCH("*@*.?*",Data!C199,0)),0,1)+IF(COUNTIFS(Data!C$1:'Data'!C199,Data!C199)&gt;1,1,0)))</f>
        <v/>
      </c>
      <c r="D199" s="9" t="str">
        <f>IF(Data!B199="","",IF(ISNUMBER(Data!D199),IF(AND(Data!D199&gt;999999999,Data!D199&lt;=9999999999),IF(COUNTIFS(Data!D$1:'Data'!D199,Data!D199)&lt;=1,0,1),1),1))</f>
        <v/>
      </c>
      <c r="E199" s="9" t="str">
        <f>IF(Data!B199="","",IF(ISNUMBER(MATCH(Data!E199,Data_Val!$A$2:$A$3,0)),0,1))</f>
        <v/>
      </c>
      <c r="F199" s="9" t="str">
        <f ca="1">IF(Data!B199="","",IF(ISNUMBER(Data!F199),IF(AND(Data!F199&gt;(TODAY()-(Data_Val!$H$3*365.25)),Data!F199&lt;=(TODAY()-(Data_Val!$H$2*365.25))),0,1),1))</f>
        <v/>
      </c>
      <c r="G199" s="15" t="str">
        <f>IF(Data!B199="","",IF(AND(Data!G199="",Data!H199&lt;&gt;""),1,IF(Data!#REF!&lt;&gt;"",0,IF(ISNUMBER(MATCH(Data!G199,Data_Val!$C$2:$C$5,0)),0,1))))</f>
        <v/>
      </c>
      <c r="H199" s="15" t="str">
        <f>IF(Data!B199="","",IF(AND(Data!G199&lt;&gt;"",Data!H199=""),1,IF(Data!#REF!&lt;&gt;"",0,IF(Data!G199="",1,IF(ISNUMBER(MATCH(Data!H199,Data_Val!$D$2:$D$35,0)),0,1)))))</f>
        <v/>
      </c>
      <c r="I199" s="15" t="str">
        <f>IF(Data!B199="","",IF(Data!G199&lt;&gt;"",0,IF(ISNUMBER(MATCH(Data!#REF!,Data_Val!$E$2:$E$12,0)),0,1)))</f>
        <v/>
      </c>
      <c r="J199" s="16" t="e">
        <f>IF(OR(Data!B199="",Data!#REF!=""),"",IF(Data!#REF!="",1,0))</f>
        <v>#REF!</v>
      </c>
      <c r="K199" s="16" t="e">
        <f>IF(OR(Data!B199="",Data!#REF!=""),"",IF(Data!#REF!="",1,0))</f>
        <v>#REF!</v>
      </c>
      <c r="L199" s="16" t="e">
        <f>IF(OR(Data!B199="",Data!#REF!=""),"",IF(ISNUMBER(Data!#REF!),IF(AND(Data!#REF!&gt;Data_Val!$G$2,Data!#REF!&lt;=Data_Val!$G$3),0,1),1))</f>
        <v>#REF!</v>
      </c>
      <c r="M199" s="9" t="e">
        <f>IF(OR(Data!B199="",Data!#REF!=""),"",IF(ISNUMBER(MATCH(Data!#REF!,Data_Val!$F$1:$F$38,0)),0,1))</f>
        <v>#REF!</v>
      </c>
      <c r="N199" s="9" t="e">
        <f>IF(OR(Data!B199="",Data!#REF!=""),"",IF(Data!#REF!="",1,0))</f>
        <v>#REF!</v>
      </c>
      <c r="O199" s="17" t="e">
        <f>IF(Data!#REF!="","",IF(Data!#REF!="",1,0))</f>
        <v>#REF!</v>
      </c>
      <c r="P199" s="17" t="e">
        <f>IF(Data!#REF!="","",IF(ISNUMBER(MATCH(Data!#REF!,Data_Val!$A$2:$A$3,0)),0,1))</f>
        <v>#REF!</v>
      </c>
      <c r="Q199" s="25" t="e">
        <f ca="1">IF(Data!#REF!="","",IF(ISNUMBER(Data!#REF!),IF(AND(Data!#REF!&gt;(TODAY()-(Data_Val!$J$3*365.25)),Data!#REF!&lt;=(TODAY()-(Data_Val!$J$2*365.25))),0,1),1))</f>
        <v>#REF!</v>
      </c>
      <c r="R199" s="17" t="e">
        <f>IF(Data!#REF!="","",IF(ISNUMBER(MATCH(Data!#REF!,Data_Val!$B$2:$B$15,0)),0,1))</f>
        <v>#REF!</v>
      </c>
      <c r="S199" s="11" t="str">
        <f>IF(Data!G199="","",IF(Data!G199=Data_Val!$C$2,IF(Data!M199="",0,1),0))</f>
        <v/>
      </c>
      <c r="T199" s="11" t="str">
        <f>IF(Data!M199="","",IF(ISNUMBER(MATCH(Data!N199,Data_Val!$A$2:$A$3,0)),0,1))</f>
        <v/>
      </c>
      <c r="U199" s="11" t="str">
        <f ca="1">IF(Data!M199="","",IF(ISNUMBER(Data!O199),IF(AND(Data!O199&gt;(TODAY()-(Data_Val!$K$3*365.25)),Data!O199&lt;=(TODAY()-(Data_Val!$K$2*365.25))),0,1),1))</f>
        <v/>
      </c>
      <c r="V199" s="12" t="str">
        <f>IF(Data!G199="","",IF(Data!G199=Data_Val!$C$2,IF(Data!P199="",0,1),0))</f>
        <v/>
      </c>
      <c r="W199" s="12" t="str">
        <f>IF(Data!P199="","",IF(ISNUMBER(MATCH(Data!Q199,Data_Val!$A$2:$A$3,0)),0,1))</f>
        <v/>
      </c>
      <c r="X199" s="26" t="str">
        <f ca="1">IF(Data!P199="","",IF(ISNUMBER(Data!R199),IF(AND(Data!R199&gt;(TODAY()-(Data_Val!$L$3*365.25)),Data!R199&lt;=(TODAY()-(Data_Val!$L$2*365.25))),0,1),1))</f>
        <v/>
      </c>
      <c r="Y199" s="13" t="str">
        <f>IF(Data!$G199="","",IF(Data!$G199=Data_Val!$C$2,IF(Data!S199="",0,1),0))</f>
        <v/>
      </c>
      <c r="Z199" s="13" t="str">
        <f>IF(Data!S199="","",IF(ISNUMBER(MATCH(Data!T199,Data_Val!$A$2:$A$3,0)),0,1))</f>
        <v/>
      </c>
      <c r="AA199" s="28" t="str">
        <f ca="1">IF(Data!S199="","",IF(ISNUMBER(Data!U199),IF(AND(Data!U199&gt;(TODAY()-(Data_Val!$L$3*365.25)),Data!U199&lt;=(TODAY()-(Data_Val!$L$2*365.25))),0,1),1))</f>
        <v/>
      </c>
      <c r="AB199" s="11"/>
      <c r="AC199" s="11" t="e">
        <f>IF(Data!#REF!="","",IF(ISNUMBER(MATCH(Data!#REF!,Data_Val!$A$2:$A$3,0)),0,1))</f>
        <v>#REF!</v>
      </c>
      <c r="AD199" s="11" t="e">
        <f ca="1">IF(Data!#REF!="","",IF(ISNUMBER(Data!#REF!),IF(AND(Data!#REF!&gt;(TODAY()-(Data_Val!$L$3*365.25)),Data!#REF!&lt;=(TODAY()-(Data_Val!$L$2*365.25))),0,1),1))</f>
        <v>#REF!</v>
      </c>
      <c r="AE199" s="11" t="e">
        <f>IF(Data!#REF!="","",IF(Data!$G199="",1,IF(ISNUMBER(MATCH(Data!#REF!,Data_Val!$D$2:$D$10,0)),0,1)))</f>
        <v>#REF!</v>
      </c>
      <c r="AF199" s="12"/>
      <c r="AG199" s="12" t="e">
        <f>IF(Data!#REF!="","",IF(ISNUMBER(MATCH(Data!#REF!,Data_Val!$A$2:$A$3,0)),0,1))</f>
        <v>#REF!</v>
      </c>
      <c r="AH199" s="26" t="e">
        <f ca="1">IF(Data!#REF!="","",IF(ISNUMBER(Data!#REF!),IF(AND(Data!#REF!&gt;(TODAY()-(Data_Val!$L$3*365.25)),Data!#REF!&lt;=(TODAY()-(Data_Val!$L$2*365.25))),0,1),1))</f>
        <v>#REF!</v>
      </c>
      <c r="AI199" s="12" t="e">
        <f>IF(Data!#REF!="","",IF(Data!$G199="",1,IF(ISNUMBER(MATCH(Data!#REF!,Data_Val!$D$2:$D$10,0)),0,1)))</f>
        <v>#REF!</v>
      </c>
      <c r="AJ199" s="17"/>
      <c r="AK199" s="17" t="e">
        <f>IF(Data!#REF!="","",IF(ISNUMBER(MATCH(Data!#REF!,Data_Val!$A$2:$A$3,0)),0,1))</f>
        <v>#REF!</v>
      </c>
      <c r="AL199" s="25" t="e">
        <f ca="1">IF(Data!#REF!="","",IF(ISNUMBER(Data!#REF!),IF(AND(Data!#REF!&gt;(TODAY()-(Data_Val!$L$3*365.25)),Data!#REF!&lt;=(TODAY()-(Data_Val!$L$2*365.25))),0,1),1))</f>
        <v>#REF!</v>
      </c>
      <c r="AM199" s="17" t="e">
        <f>IF(Data!#REF!="","",IF(Data!$G199="",1,IF(ISNUMBER(MATCH(Data!#REF!,Data_Val!$D$2:$D$10,0)),0,1)))</f>
        <v>#REF!</v>
      </c>
      <c r="AN199" s="13"/>
      <c r="AO199" s="28" t="e">
        <f ca="1">IF(Data!#REF!="","",IF(ISNUMBER(Data!#REF!),IF(AND(Data!#REF!&gt;(TODAY()-(Data_Val!$I$3*365.25)),Data!#REF!&lt;=(TODAY()-(Data_Val!$I$2*365.25))),0,1),1))</f>
        <v>#REF!</v>
      </c>
      <c r="AP199" s="13" t="e">
        <f>IF(Data!#REF!="","",IF(Data!$G199="",1,IF(ISNUMBER(MATCH(Data!#REF!,Data_Val!$D$2:$D$10,0)),0,1)))</f>
        <v>#REF!</v>
      </c>
      <c r="AQ199" s="17"/>
      <c r="AR199" s="30" t="e">
        <f ca="1">IF(Data!#REF!="","",IF(ISNUMBER(Data!#REF!),IF(AND(Data!#REF!&gt;(TODAY()-(Data_Val!$I$3*365.25)),Data!#REF!&lt;=(TODAY()-(Data_Val!$I$2*365.25))),0,1),1))</f>
        <v>#REF!</v>
      </c>
      <c r="AS199" s="31" t="e">
        <f>IF(Data!#REF!="","",IF(Data!$G199="",1,IF(ISNUMBER(MATCH(Data!#REF!,Data_Val!$D$2:$D$10,0)),0,1)))</f>
        <v>#REF!</v>
      </c>
      <c r="AT199" s="11"/>
      <c r="AU199" s="11" t="e">
        <f ca="1">IF(Data!#REF!="","",IF(ISNUMBER(Data!#REF!),IF(AND(Data!#REF!&gt;(TODAY()-(Data_Val!$I$3*365.25)),Data!#REF!&lt;=(TODAY()-(Data_Val!$I$2*365.25))),0,1),1))</f>
        <v>#REF!</v>
      </c>
      <c r="AV199" s="11" t="e">
        <f>IF(Data!#REF!="","",IF(Data!$G199="",1,IF(ISNUMBER(MATCH(Data!#REF!,Data_Val!$D$2:$D$10,0)),0,1)))</f>
        <v>#REF!</v>
      </c>
      <c r="AW199" s="12"/>
      <c r="AX199" s="26" t="e">
        <f ca="1">IF(Data!#REF!="","",IF(ISNUMBER(Data!#REF!),IF(AND(Data!#REF!&gt;(TODAY()-(Data_Val!$I$3*365.25)),Data!#REF!&lt;=(TODAY()-(Data_Val!$I$2*365.25))),0,1),1))</f>
        <v>#REF!</v>
      </c>
      <c r="AY199" s="12" t="e">
        <f>IF(Data!#REF!="","",IF(Data!$G199="",1,IF(ISNUMBER(MATCH(Data!#REF!,Data_Val!$D$2:$D$10,0)),0,1)))</f>
        <v>#REF!</v>
      </c>
      <c r="AZ199" s="11"/>
      <c r="BA199" s="19" t="e">
        <f ca="1">IF(Data!#REF!="","",IF(ISNUMBER(Data!#REF!),IF(AND(Data!#REF!&gt;(TODAY()-(Data_Val!$M$3*365.25)),Data!#REF!&lt;=(TODAY()-(Data_Val!$M$2*365.25))),0,1),1))</f>
        <v>#REF!</v>
      </c>
      <c r="BB199" s="11" t="e">
        <f>IF(Data!#REF!="","",IF(Data!$G199="",1,IF(ISNUMBER(MATCH(Data!#REF!,Data_Val!$D$2:$D$10,0)),0,1)))</f>
        <v>#REF!</v>
      </c>
      <c r="BC199" s="12"/>
      <c r="BD199" s="20" t="e">
        <f ca="1">IF(Data!#REF!="","",IF(ISNUMBER(Data!#REF!),IF(AND(Data!#REF!&gt;(TODAY()-(Data_Val!$M$3*365.25)),Data!#REF!&lt;=(TODAY()-(Data_Val!$M$2*365.25))),0,1),1))</f>
        <v>#REF!</v>
      </c>
      <c r="BE199" s="12" t="e">
        <f>IF(Data!#REF!="","",IF(Data!$G199="",1,IF(ISNUMBER(MATCH(Data!#REF!,Data_Val!$D$2:$D$10,0)),0,1)))</f>
        <v>#REF!</v>
      </c>
      <c r="BF199" s="17"/>
      <c r="BG199" s="18" t="e">
        <f ca="1">IF(Data!#REF!="","",IF(ISNUMBER(Data!#REF!),IF(AND(Data!#REF!&gt;(TODAY()-(Data_Val!$M$3*365.25)),Data!#REF!&lt;=(TODAY()-(Data_Val!$M$2*365.25))),0,1),1))</f>
        <v>#REF!</v>
      </c>
      <c r="BH199" s="29" t="e">
        <f>IF(Data!#REF!="","",IF(Data!$G199="",1,IF(ISNUMBER(MATCH(Data!#REF!,Data_Val!$D$2:$D$10,0)),0,1)))</f>
        <v>#REF!</v>
      </c>
      <c r="BI199" s="13"/>
      <c r="BJ199" s="21" t="e">
        <f ca="1">IF(Data!#REF!="","",IF(ISNUMBER(Data!#REF!),IF(AND(Data!#REF!&gt;(TODAY()-(Data_Val!$M$3*365.25)),Data!#REF!&lt;=(TODAY()-(Data_Val!$M$2*365.25))),0,1),1))</f>
        <v>#REF!</v>
      </c>
      <c r="BK199" s="13" t="e">
        <f>IF(Data!#REF!="","",IF(Data!$G199="",1,IF(ISNUMBER(MATCH(Data!#REF!,Data_Val!$D$2:$D$10,0)),0,1)))</f>
        <v>#REF!</v>
      </c>
    </row>
    <row r="200" spans="1:63" x14ac:dyDescent="0.25">
      <c r="A200" s="9" t="str">
        <f>IF(Data!B200="","",IF(COUNTIFS(Data!A$1:'Data'!A200,Data!A200)&lt;=1,0,1))</f>
        <v/>
      </c>
      <c r="B200" s="9"/>
      <c r="C200" s="23" t="str">
        <f>IF(Data!C200="","",(IF(ISNUMBER(MATCH("*@*.?*",Data!C200,0)),0,1)+IF(COUNTIFS(Data!C$1:'Data'!C200,Data!C200)&gt;1,1,0)))</f>
        <v/>
      </c>
      <c r="D200" s="9" t="str">
        <f>IF(Data!B200="","",IF(ISNUMBER(Data!D200),IF(AND(Data!D200&gt;999999999,Data!D200&lt;=9999999999),IF(COUNTIFS(Data!D$1:'Data'!D200,Data!D200)&lt;=1,0,1),1),1))</f>
        <v/>
      </c>
      <c r="E200" s="9" t="str">
        <f>IF(Data!B200="","",IF(ISNUMBER(MATCH(Data!E200,Data_Val!$A$2:$A$3,0)),0,1))</f>
        <v/>
      </c>
      <c r="F200" s="9" t="str">
        <f ca="1">IF(Data!B200="","",IF(ISNUMBER(Data!F200),IF(AND(Data!F200&gt;(TODAY()-(Data_Val!$H$3*365.25)),Data!F200&lt;=(TODAY()-(Data_Val!$H$2*365.25))),0,1),1))</f>
        <v/>
      </c>
      <c r="G200" s="15" t="str">
        <f>IF(Data!B200="","",IF(AND(Data!G200="",Data!H200&lt;&gt;""),1,IF(Data!#REF!&lt;&gt;"",0,IF(ISNUMBER(MATCH(Data!G200,Data_Val!$C$2:$C$5,0)),0,1))))</f>
        <v/>
      </c>
      <c r="H200" s="15" t="str">
        <f>IF(Data!B200="","",IF(AND(Data!G200&lt;&gt;"",Data!H200=""),1,IF(Data!#REF!&lt;&gt;"",0,IF(Data!G200="",1,IF(ISNUMBER(MATCH(Data!H200,Data_Val!$D$2:$D$35,0)),0,1)))))</f>
        <v/>
      </c>
      <c r="I200" s="15" t="str">
        <f>IF(Data!B200="","",IF(Data!G200&lt;&gt;"",0,IF(ISNUMBER(MATCH(Data!#REF!,Data_Val!$E$2:$E$12,0)),0,1)))</f>
        <v/>
      </c>
      <c r="J200" s="16" t="e">
        <f>IF(OR(Data!B200="",Data!#REF!=""),"",IF(Data!#REF!="",1,0))</f>
        <v>#REF!</v>
      </c>
      <c r="K200" s="16" t="e">
        <f>IF(OR(Data!B200="",Data!#REF!=""),"",IF(Data!#REF!="",1,0))</f>
        <v>#REF!</v>
      </c>
      <c r="L200" s="16" t="e">
        <f>IF(OR(Data!B200="",Data!#REF!=""),"",IF(ISNUMBER(Data!#REF!),IF(AND(Data!#REF!&gt;Data_Val!$G$2,Data!#REF!&lt;=Data_Val!$G$3),0,1),1))</f>
        <v>#REF!</v>
      </c>
      <c r="M200" s="9" t="e">
        <f>IF(OR(Data!B200="",Data!#REF!=""),"",IF(ISNUMBER(MATCH(Data!#REF!,Data_Val!$F$1:$F$38,0)),0,1))</f>
        <v>#REF!</v>
      </c>
      <c r="N200" s="9" t="e">
        <f>IF(OR(Data!B200="",Data!#REF!=""),"",IF(Data!#REF!="",1,0))</f>
        <v>#REF!</v>
      </c>
      <c r="O200" s="17" t="e">
        <f>IF(Data!#REF!="","",IF(Data!#REF!="",1,0))</f>
        <v>#REF!</v>
      </c>
      <c r="P200" s="17" t="e">
        <f>IF(Data!#REF!="","",IF(ISNUMBER(MATCH(Data!#REF!,Data_Val!$A$2:$A$3,0)),0,1))</f>
        <v>#REF!</v>
      </c>
      <c r="Q200" s="25" t="e">
        <f ca="1">IF(Data!#REF!="","",IF(ISNUMBER(Data!#REF!),IF(AND(Data!#REF!&gt;(TODAY()-(Data_Val!$J$3*365.25)),Data!#REF!&lt;=(TODAY()-(Data_Val!$J$2*365.25))),0,1),1))</f>
        <v>#REF!</v>
      </c>
      <c r="R200" s="17" t="e">
        <f>IF(Data!#REF!="","",IF(ISNUMBER(MATCH(Data!#REF!,Data_Val!$B$2:$B$15,0)),0,1))</f>
        <v>#REF!</v>
      </c>
      <c r="S200" s="11" t="str">
        <f>IF(Data!G200="","",IF(Data!G200=Data_Val!$C$2,IF(Data!M200="",0,1),0))</f>
        <v/>
      </c>
      <c r="T200" s="11" t="str">
        <f>IF(Data!M200="","",IF(ISNUMBER(MATCH(Data!N200,Data_Val!$A$2:$A$3,0)),0,1))</f>
        <v/>
      </c>
      <c r="U200" s="11" t="str">
        <f ca="1">IF(Data!M200="","",IF(ISNUMBER(Data!O200),IF(AND(Data!O200&gt;(TODAY()-(Data_Val!$K$3*365.25)),Data!O200&lt;=(TODAY()-(Data_Val!$K$2*365.25))),0,1),1))</f>
        <v/>
      </c>
      <c r="V200" s="12" t="str">
        <f>IF(Data!G200="","",IF(Data!G200=Data_Val!$C$2,IF(Data!P200="",0,1),0))</f>
        <v/>
      </c>
      <c r="W200" s="12" t="str">
        <f>IF(Data!P200="","",IF(ISNUMBER(MATCH(Data!Q200,Data_Val!$A$2:$A$3,0)),0,1))</f>
        <v/>
      </c>
      <c r="X200" s="26" t="str">
        <f ca="1">IF(Data!P200="","",IF(ISNUMBER(Data!R200),IF(AND(Data!R200&gt;(TODAY()-(Data_Val!$L$3*365.25)),Data!R200&lt;=(TODAY()-(Data_Val!$L$2*365.25))),0,1),1))</f>
        <v/>
      </c>
      <c r="Y200" s="13" t="str">
        <f>IF(Data!$G200="","",IF(Data!$G200=Data_Val!$C$2,IF(Data!S200="",0,1),0))</f>
        <v/>
      </c>
      <c r="Z200" s="13" t="str">
        <f>IF(Data!S200="","",IF(ISNUMBER(MATCH(Data!T200,Data_Val!$A$2:$A$3,0)),0,1))</f>
        <v/>
      </c>
      <c r="AA200" s="28" t="str">
        <f ca="1">IF(Data!S200="","",IF(ISNUMBER(Data!U200),IF(AND(Data!U200&gt;(TODAY()-(Data_Val!$L$3*365.25)),Data!U200&lt;=(TODAY()-(Data_Val!$L$2*365.25))),0,1),1))</f>
        <v/>
      </c>
      <c r="AB200" s="11"/>
      <c r="AC200" s="11" t="e">
        <f>IF(Data!#REF!="","",IF(ISNUMBER(MATCH(Data!#REF!,Data_Val!$A$2:$A$3,0)),0,1))</f>
        <v>#REF!</v>
      </c>
      <c r="AD200" s="11" t="e">
        <f ca="1">IF(Data!#REF!="","",IF(ISNUMBER(Data!#REF!),IF(AND(Data!#REF!&gt;(TODAY()-(Data_Val!$L$3*365.25)),Data!#REF!&lt;=(TODAY()-(Data_Val!$L$2*365.25))),0,1),1))</f>
        <v>#REF!</v>
      </c>
      <c r="AE200" s="11" t="e">
        <f>IF(Data!#REF!="","",IF(Data!$G200="",1,IF(ISNUMBER(MATCH(Data!#REF!,Data_Val!$D$2:$D$10,0)),0,1)))</f>
        <v>#REF!</v>
      </c>
      <c r="AF200" s="12"/>
      <c r="AG200" s="12" t="e">
        <f>IF(Data!#REF!="","",IF(ISNUMBER(MATCH(Data!#REF!,Data_Val!$A$2:$A$3,0)),0,1))</f>
        <v>#REF!</v>
      </c>
      <c r="AH200" s="26" t="e">
        <f ca="1">IF(Data!#REF!="","",IF(ISNUMBER(Data!#REF!),IF(AND(Data!#REF!&gt;(TODAY()-(Data_Val!$L$3*365.25)),Data!#REF!&lt;=(TODAY()-(Data_Val!$L$2*365.25))),0,1),1))</f>
        <v>#REF!</v>
      </c>
      <c r="AI200" s="12" t="e">
        <f>IF(Data!#REF!="","",IF(Data!$G200="",1,IF(ISNUMBER(MATCH(Data!#REF!,Data_Val!$D$2:$D$10,0)),0,1)))</f>
        <v>#REF!</v>
      </c>
      <c r="AJ200" s="17"/>
      <c r="AK200" s="17" t="e">
        <f>IF(Data!#REF!="","",IF(ISNUMBER(MATCH(Data!#REF!,Data_Val!$A$2:$A$3,0)),0,1))</f>
        <v>#REF!</v>
      </c>
      <c r="AL200" s="25" t="e">
        <f ca="1">IF(Data!#REF!="","",IF(ISNUMBER(Data!#REF!),IF(AND(Data!#REF!&gt;(TODAY()-(Data_Val!$L$3*365.25)),Data!#REF!&lt;=(TODAY()-(Data_Val!$L$2*365.25))),0,1),1))</f>
        <v>#REF!</v>
      </c>
      <c r="AM200" s="17" t="e">
        <f>IF(Data!#REF!="","",IF(Data!$G200="",1,IF(ISNUMBER(MATCH(Data!#REF!,Data_Val!$D$2:$D$10,0)),0,1)))</f>
        <v>#REF!</v>
      </c>
      <c r="AN200" s="13"/>
      <c r="AO200" s="28" t="e">
        <f ca="1">IF(Data!#REF!="","",IF(ISNUMBER(Data!#REF!),IF(AND(Data!#REF!&gt;(TODAY()-(Data_Val!$I$3*365.25)),Data!#REF!&lt;=(TODAY()-(Data_Val!$I$2*365.25))),0,1),1))</f>
        <v>#REF!</v>
      </c>
      <c r="AP200" s="13" t="e">
        <f>IF(Data!#REF!="","",IF(Data!$G200="",1,IF(ISNUMBER(MATCH(Data!#REF!,Data_Val!$D$2:$D$10,0)),0,1)))</f>
        <v>#REF!</v>
      </c>
      <c r="AQ200" s="17"/>
      <c r="AR200" s="30" t="e">
        <f ca="1">IF(Data!#REF!="","",IF(ISNUMBER(Data!#REF!),IF(AND(Data!#REF!&gt;(TODAY()-(Data_Val!$I$3*365.25)),Data!#REF!&lt;=(TODAY()-(Data_Val!$I$2*365.25))),0,1),1))</f>
        <v>#REF!</v>
      </c>
      <c r="AS200" s="31" t="e">
        <f>IF(Data!#REF!="","",IF(Data!$G200="",1,IF(ISNUMBER(MATCH(Data!#REF!,Data_Val!$D$2:$D$10,0)),0,1)))</f>
        <v>#REF!</v>
      </c>
      <c r="AT200" s="11"/>
      <c r="AU200" s="11" t="e">
        <f ca="1">IF(Data!#REF!="","",IF(ISNUMBER(Data!#REF!),IF(AND(Data!#REF!&gt;(TODAY()-(Data_Val!$I$3*365.25)),Data!#REF!&lt;=(TODAY()-(Data_Val!$I$2*365.25))),0,1),1))</f>
        <v>#REF!</v>
      </c>
      <c r="AV200" s="11" t="e">
        <f>IF(Data!#REF!="","",IF(Data!$G200="",1,IF(ISNUMBER(MATCH(Data!#REF!,Data_Val!$D$2:$D$10,0)),0,1)))</f>
        <v>#REF!</v>
      </c>
      <c r="AW200" s="12"/>
      <c r="AX200" s="26" t="e">
        <f ca="1">IF(Data!#REF!="","",IF(ISNUMBER(Data!#REF!),IF(AND(Data!#REF!&gt;(TODAY()-(Data_Val!$I$3*365.25)),Data!#REF!&lt;=(TODAY()-(Data_Val!$I$2*365.25))),0,1),1))</f>
        <v>#REF!</v>
      </c>
      <c r="AY200" s="12" t="e">
        <f>IF(Data!#REF!="","",IF(Data!$G200="",1,IF(ISNUMBER(MATCH(Data!#REF!,Data_Val!$D$2:$D$10,0)),0,1)))</f>
        <v>#REF!</v>
      </c>
      <c r="AZ200" s="11"/>
      <c r="BA200" s="19" t="e">
        <f ca="1">IF(Data!#REF!="","",IF(ISNUMBER(Data!#REF!),IF(AND(Data!#REF!&gt;(TODAY()-(Data_Val!$M$3*365.25)),Data!#REF!&lt;=(TODAY()-(Data_Val!$M$2*365.25))),0,1),1))</f>
        <v>#REF!</v>
      </c>
      <c r="BB200" s="11" t="e">
        <f>IF(Data!#REF!="","",IF(Data!$G200="",1,IF(ISNUMBER(MATCH(Data!#REF!,Data_Val!$D$2:$D$10,0)),0,1)))</f>
        <v>#REF!</v>
      </c>
      <c r="BC200" s="12"/>
      <c r="BD200" s="20" t="e">
        <f ca="1">IF(Data!#REF!="","",IF(ISNUMBER(Data!#REF!),IF(AND(Data!#REF!&gt;(TODAY()-(Data_Val!$M$3*365.25)),Data!#REF!&lt;=(TODAY()-(Data_Val!$M$2*365.25))),0,1),1))</f>
        <v>#REF!</v>
      </c>
      <c r="BE200" s="12" t="e">
        <f>IF(Data!#REF!="","",IF(Data!$G200="",1,IF(ISNUMBER(MATCH(Data!#REF!,Data_Val!$D$2:$D$10,0)),0,1)))</f>
        <v>#REF!</v>
      </c>
      <c r="BF200" s="17"/>
      <c r="BG200" s="18" t="e">
        <f ca="1">IF(Data!#REF!="","",IF(ISNUMBER(Data!#REF!),IF(AND(Data!#REF!&gt;(TODAY()-(Data_Val!$M$3*365.25)),Data!#REF!&lt;=(TODAY()-(Data_Val!$M$2*365.25))),0,1),1))</f>
        <v>#REF!</v>
      </c>
      <c r="BH200" s="29" t="e">
        <f>IF(Data!#REF!="","",IF(Data!$G200="",1,IF(ISNUMBER(MATCH(Data!#REF!,Data_Val!$D$2:$D$10,0)),0,1)))</f>
        <v>#REF!</v>
      </c>
      <c r="BI200" s="13"/>
      <c r="BJ200" s="21" t="e">
        <f ca="1">IF(Data!#REF!="","",IF(ISNUMBER(Data!#REF!),IF(AND(Data!#REF!&gt;(TODAY()-(Data_Val!$M$3*365.25)),Data!#REF!&lt;=(TODAY()-(Data_Val!$M$2*365.25))),0,1),1))</f>
        <v>#REF!</v>
      </c>
      <c r="BK200" s="13" t="e">
        <f>IF(Data!#REF!="","",IF(Data!$G200="",1,IF(ISNUMBER(MATCH(Data!#REF!,Data_Val!$D$2:$D$10,0)),0,1)))</f>
        <v>#REF!</v>
      </c>
    </row>
    <row r="201" spans="1:63" x14ac:dyDescent="0.25">
      <c r="A201" s="9" t="str">
        <f>IF(Data!B201="","",IF(COUNTIFS(Data!A$1:'Data'!A201,Data!A201)&lt;=1,0,1))</f>
        <v/>
      </c>
      <c r="B201" s="9"/>
      <c r="C201" s="23" t="str">
        <f>IF(Data!C201="","",(IF(ISNUMBER(MATCH("*@*.?*",Data!C201,0)),0,1)+IF(COUNTIFS(Data!C$1:'Data'!C201,Data!C201)&gt;1,1,0)))</f>
        <v/>
      </c>
      <c r="D201" s="9" t="str">
        <f>IF(Data!B201="","",IF(ISNUMBER(Data!D201),IF(AND(Data!D201&gt;999999999,Data!D201&lt;=9999999999),IF(COUNTIFS(Data!D$1:'Data'!D201,Data!D201)&lt;=1,0,1),1),1))</f>
        <v/>
      </c>
      <c r="E201" s="9" t="str">
        <f>IF(Data!B201="","",IF(ISNUMBER(MATCH(Data!E201,Data_Val!$A$2:$A$3,0)),0,1))</f>
        <v/>
      </c>
      <c r="F201" s="9" t="str">
        <f ca="1">IF(Data!B201="","",IF(ISNUMBER(Data!F201),IF(AND(Data!F201&gt;(TODAY()-(Data_Val!$H$3*365.25)),Data!F201&lt;=(TODAY()-(Data_Val!$H$2*365.25))),0,1),1))</f>
        <v/>
      </c>
      <c r="G201" s="15" t="str">
        <f>IF(Data!B201="","",IF(AND(Data!G201="",Data!H201&lt;&gt;""),1,IF(Data!#REF!&lt;&gt;"",0,IF(ISNUMBER(MATCH(Data!G201,Data_Val!$C$2:$C$5,0)),0,1))))</f>
        <v/>
      </c>
      <c r="H201" s="15" t="str">
        <f>IF(Data!B201="","",IF(AND(Data!G201&lt;&gt;"",Data!H201=""),1,IF(Data!#REF!&lt;&gt;"",0,IF(Data!G201="",1,IF(ISNUMBER(MATCH(Data!H201,Data_Val!$D$2:$D$35,0)),0,1)))))</f>
        <v/>
      </c>
      <c r="I201" s="15" t="str">
        <f>IF(Data!B201="","",IF(Data!G201&lt;&gt;"",0,IF(ISNUMBER(MATCH(Data!#REF!,Data_Val!$E$2:$E$12,0)),0,1)))</f>
        <v/>
      </c>
      <c r="J201" s="16" t="e">
        <f>IF(OR(Data!B201="",Data!#REF!=""),"",IF(Data!#REF!="",1,0))</f>
        <v>#REF!</v>
      </c>
      <c r="K201" s="16" t="e">
        <f>IF(OR(Data!B201="",Data!#REF!=""),"",IF(Data!#REF!="",1,0))</f>
        <v>#REF!</v>
      </c>
      <c r="L201" s="16" t="e">
        <f>IF(OR(Data!B201="",Data!#REF!=""),"",IF(ISNUMBER(Data!#REF!),IF(AND(Data!#REF!&gt;Data_Val!$G$2,Data!#REF!&lt;=Data_Val!$G$3),0,1),1))</f>
        <v>#REF!</v>
      </c>
      <c r="M201" s="9" t="e">
        <f>IF(OR(Data!B201="",Data!#REF!=""),"",IF(ISNUMBER(MATCH(Data!#REF!,Data_Val!$F$1:$F$38,0)),0,1))</f>
        <v>#REF!</v>
      </c>
      <c r="N201" s="9" t="e">
        <f>IF(OR(Data!B201="",Data!#REF!=""),"",IF(Data!#REF!="",1,0))</f>
        <v>#REF!</v>
      </c>
      <c r="O201" s="17" t="e">
        <f>IF(Data!#REF!="","",IF(Data!#REF!="",1,0))</f>
        <v>#REF!</v>
      </c>
      <c r="P201" s="17" t="e">
        <f>IF(Data!#REF!="","",IF(ISNUMBER(MATCH(Data!#REF!,Data_Val!$A$2:$A$3,0)),0,1))</f>
        <v>#REF!</v>
      </c>
      <c r="Q201" s="25" t="e">
        <f ca="1">IF(Data!#REF!="","",IF(ISNUMBER(Data!#REF!),IF(AND(Data!#REF!&gt;(TODAY()-(Data_Val!$J$3*365.25)),Data!#REF!&lt;=(TODAY()-(Data_Val!$J$2*365.25))),0,1),1))</f>
        <v>#REF!</v>
      </c>
      <c r="R201" s="17" t="e">
        <f>IF(Data!#REF!="","",IF(ISNUMBER(MATCH(Data!#REF!,Data_Val!$B$2:$B$15,0)),0,1))</f>
        <v>#REF!</v>
      </c>
      <c r="S201" s="11" t="str">
        <f>IF(Data!G201="","",IF(Data!G201=Data_Val!$C$2,IF(Data!M201="",0,1),0))</f>
        <v/>
      </c>
      <c r="T201" s="11" t="str">
        <f>IF(Data!M201="","",IF(ISNUMBER(MATCH(Data!N201,Data_Val!$A$2:$A$3,0)),0,1))</f>
        <v/>
      </c>
      <c r="U201" s="11" t="str">
        <f ca="1">IF(Data!M201="","",IF(ISNUMBER(Data!O201),IF(AND(Data!O201&gt;(TODAY()-(Data_Val!$K$3*365.25)),Data!O201&lt;=(TODAY()-(Data_Val!$K$2*365.25))),0,1),1))</f>
        <v/>
      </c>
      <c r="V201" s="12" t="str">
        <f>IF(Data!G201="","",IF(Data!G201=Data_Val!$C$2,IF(Data!P201="",0,1),0))</f>
        <v/>
      </c>
      <c r="W201" s="12" t="str">
        <f>IF(Data!P201="","",IF(ISNUMBER(MATCH(Data!Q201,Data_Val!$A$2:$A$3,0)),0,1))</f>
        <v/>
      </c>
      <c r="X201" s="26" t="str">
        <f ca="1">IF(Data!P201="","",IF(ISNUMBER(Data!R201),IF(AND(Data!R201&gt;(TODAY()-(Data_Val!$L$3*365.25)),Data!R201&lt;=(TODAY()-(Data_Val!$L$2*365.25))),0,1),1))</f>
        <v/>
      </c>
      <c r="Y201" s="13" t="str">
        <f>IF(Data!$G201="","",IF(Data!$G201=Data_Val!$C$2,IF(Data!S201="",0,1),0))</f>
        <v/>
      </c>
      <c r="Z201" s="13" t="str">
        <f>IF(Data!S201="","",IF(ISNUMBER(MATCH(Data!T201,Data_Val!$A$2:$A$3,0)),0,1))</f>
        <v/>
      </c>
      <c r="AA201" s="28" t="str">
        <f ca="1">IF(Data!S201="","",IF(ISNUMBER(Data!U201),IF(AND(Data!U201&gt;(TODAY()-(Data_Val!$L$3*365.25)),Data!U201&lt;=(TODAY()-(Data_Val!$L$2*365.25))),0,1),1))</f>
        <v/>
      </c>
      <c r="AB201" s="11"/>
      <c r="AC201" s="11" t="e">
        <f>IF(Data!#REF!="","",IF(ISNUMBER(MATCH(Data!#REF!,Data_Val!$A$2:$A$3,0)),0,1))</f>
        <v>#REF!</v>
      </c>
      <c r="AD201" s="11" t="e">
        <f ca="1">IF(Data!#REF!="","",IF(ISNUMBER(Data!#REF!),IF(AND(Data!#REF!&gt;(TODAY()-(Data_Val!$L$3*365.25)),Data!#REF!&lt;=(TODAY()-(Data_Val!$L$2*365.25))),0,1),1))</f>
        <v>#REF!</v>
      </c>
      <c r="AE201" s="11" t="e">
        <f>IF(Data!#REF!="","",IF(Data!$G201="",1,IF(ISNUMBER(MATCH(Data!#REF!,Data_Val!$D$2:$D$10,0)),0,1)))</f>
        <v>#REF!</v>
      </c>
      <c r="AF201" s="12"/>
      <c r="AG201" s="12" t="e">
        <f>IF(Data!#REF!="","",IF(ISNUMBER(MATCH(Data!#REF!,Data_Val!$A$2:$A$3,0)),0,1))</f>
        <v>#REF!</v>
      </c>
      <c r="AH201" s="26" t="e">
        <f ca="1">IF(Data!#REF!="","",IF(ISNUMBER(Data!#REF!),IF(AND(Data!#REF!&gt;(TODAY()-(Data_Val!$L$3*365.25)),Data!#REF!&lt;=(TODAY()-(Data_Val!$L$2*365.25))),0,1),1))</f>
        <v>#REF!</v>
      </c>
      <c r="AI201" s="12" t="e">
        <f>IF(Data!#REF!="","",IF(Data!$G201="",1,IF(ISNUMBER(MATCH(Data!#REF!,Data_Val!$D$2:$D$10,0)),0,1)))</f>
        <v>#REF!</v>
      </c>
      <c r="AJ201" s="17"/>
      <c r="AK201" s="17" t="e">
        <f>IF(Data!#REF!="","",IF(ISNUMBER(MATCH(Data!#REF!,Data_Val!$A$2:$A$3,0)),0,1))</f>
        <v>#REF!</v>
      </c>
      <c r="AL201" s="25" t="e">
        <f ca="1">IF(Data!#REF!="","",IF(ISNUMBER(Data!#REF!),IF(AND(Data!#REF!&gt;(TODAY()-(Data_Val!$L$3*365.25)),Data!#REF!&lt;=(TODAY()-(Data_Val!$L$2*365.25))),0,1),1))</f>
        <v>#REF!</v>
      </c>
      <c r="AM201" s="17" t="e">
        <f>IF(Data!#REF!="","",IF(Data!$G201="",1,IF(ISNUMBER(MATCH(Data!#REF!,Data_Val!$D$2:$D$10,0)),0,1)))</f>
        <v>#REF!</v>
      </c>
      <c r="AN201" s="13"/>
      <c r="AO201" s="28" t="e">
        <f ca="1">IF(Data!#REF!="","",IF(ISNUMBER(Data!#REF!),IF(AND(Data!#REF!&gt;(TODAY()-(Data_Val!$I$3*365.25)),Data!#REF!&lt;=(TODAY()-(Data_Val!$I$2*365.25))),0,1),1))</f>
        <v>#REF!</v>
      </c>
      <c r="AP201" s="13" t="e">
        <f>IF(Data!#REF!="","",IF(Data!$G201="",1,IF(ISNUMBER(MATCH(Data!#REF!,Data_Val!$D$2:$D$10,0)),0,1)))</f>
        <v>#REF!</v>
      </c>
      <c r="AQ201" s="17"/>
      <c r="AR201" s="30" t="e">
        <f ca="1">IF(Data!#REF!="","",IF(ISNUMBER(Data!#REF!),IF(AND(Data!#REF!&gt;(TODAY()-(Data_Val!$I$3*365.25)),Data!#REF!&lt;=(TODAY()-(Data_Val!$I$2*365.25))),0,1),1))</f>
        <v>#REF!</v>
      </c>
      <c r="AS201" s="31" t="e">
        <f>IF(Data!#REF!="","",IF(Data!$G201="",1,IF(ISNUMBER(MATCH(Data!#REF!,Data_Val!$D$2:$D$10,0)),0,1)))</f>
        <v>#REF!</v>
      </c>
      <c r="AT201" s="11"/>
      <c r="AU201" s="11" t="e">
        <f ca="1">IF(Data!#REF!="","",IF(ISNUMBER(Data!#REF!),IF(AND(Data!#REF!&gt;(TODAY()-(Data_Val!$I$3*365.25)),Data!#REF!&lt;=(TODAY()-(Data_Val!$I$2*365.25))),0,1),1))</f>
        <v>#REF!</v>
      </c>
      <c r="AV201" s="11" t="e">
        <f>IF(Data!#REF!="","",IF(Data!$G201="",1,IF(ISNUMBER(MATCH(Data!#REF!,Data_Val!$D$2:$D$10,0)),0,1)))</f>
        <v>#REF!</v>
      </c>
      <c r="AW201" s="12"/>
      <c r="AX201" s="26" t="e">
        <f ca="1">IF(Data!#REF!="","",IF(ISNUMBER(Data!#REF!),IF(AND(Data!#REF!&gt;(TODAY()-(Data_Val!$I$3*365.25)),Data!#REF!&lt;=(TODAY()-(Data_Val!$I$2*365.25))),0,1),1))</f>
        <v>#REF!</v>
      </c>
      <c r="AY201" s="12" t="e">
        <f>IF(Data!#REF!="","",IF(Data!$G201="",1,IF(ISNUMBER(MATCH(Data!#REF!,Data_Val!$D$2:$D$10,0)),0,1)))</f>
        <v>#REF!</v>
      </c>
      <c r="AZ201" s="11"/>
      <c r="BA201" s="19" t="e">
        <f ca="1">IF(Data!#REF!="","",IF(ISNUMBER(Data!#REF!),IF(AND(Data!#REF!&gt;(TODAY()-(Data_Val!$M$3*365.25)),Data!#REF!&lt;=(TODAY()-(Data_Val!$M$2*365.25))),0,1),1))</f>
        <v>#REF!</v>
      </c>
      <c r="BB201" s="11" t="e">
        <f>IF(Data!#REF!="","",IF(Data!$G201="",1,IF(ISNUMBER(MATCH(Data!#REF!,Data_Val!$D$2:$D$10,0)),0,1)))</f>
        <v>#REF!</v>
      </c>
      <c r="BC201" s="12"/>
      <c r="BD201" s="20" t="e">
        <f ca="1">IF(Data!#REF!="","",IF(ISNUMBER(Data!#REF!),IF(AND(Data!#REF!&gt;(TODAY()-(Data_Val!$M$3*365.25)),Data!#REF!&lt;=(TODAY()-(Data_Val!$M$2*365.25))),0,1),1))</f>
        <v>#REF!</v>
      </c>
      <c r="BE201" s="12" t="e">
        <f>IF(Data!#REF!="","",IF(Data!$G201="",1,IF(ISNUMBER(MATCH(Data!#REF!,Data_Val!$D$2:$D$10,0)),0,1)))</f>
        <v>#REF!</v>
      </c>
      <c r="BF201" s="17"/>
      <c r="BG201" s="18" t="e">
        <f ca="1">IF(Data!#REF!="","",IF(ISNUMBER(Data!#REF!),IF(AND(Data!#REF!&gt;(TODAY()-(Data_Val!$M$3*365.25)),Data!#REF!&lt;=(TODAY()-(Data_Val!$M$2*365.25))),0,1),1))</f>
        <v>#REF!</v>
      </c>
      <c r="BH201" s="29" t="e">
        <f>IF(Data!#REF!="","",IF(Data!$G201="",1,IF(ISNUMBER(MATCH(Data!#REF!,Data_Val!$D$2:$D$10,0)),0,1)))</f>
        <v>#REF!</v>
      </c>
      <c r="BI201" s="13"/>
      <c r="BJ201" s="21" t="e">
        <f ca="1">IF(Data!#REF!="","",IF(ISNUMBER(Data!#REF!),IF(AND(Data!#REF!&gt;(TODAY()-(Data_Val!$M$3*365.25)),Data!#REF!&lt;=(TODAY()-(Data_Val!$M$2*365.25))),0,1),1))</f>
        <v>#REF!</v>
      </c>
      <c r="BK201" s="13" t="e">
        <f>IF(Data!#REF!="","",IF(Data!$G201="",1,IF(ISNUMBER(MATCH(Data!#REF!,Data_Val!$D$2:$D$10,0)),0,1)))</f>
        <v>#REF!</v>
      </c>
    </row>
    <row r="202" spans="1:63" x14ac:dyDescent="0.25">
      <c r="A202" s="9" t="str">
        <f>IF(Data!B202="","",IF(COUNTIFS(Data!A$1:'Data'!A202,Data!A202)&lt;=1,0,1))</f>
        <v/>
      </c>
      <c r="B202" s="9"/>
      <c r="C202" s="23" t="str">
        <f>IF(Data!C202="","",(IF(ISNUMBER(MATCH("*@*.?*",Data!C202,0)),0,1)+IF(COUNTIFS(Data!C$1:'Data'!C202,Data!C202)&gt;1,1,0)))</f>
        <v/>
      </c>
      <c r="D202" s="9" t="str">
        <f>IF(Data!B202="","",IF(ISNUMBER(Data!D202),IF(AND(Data!D202&gt;999999999,Data!D202&lt;=9999999999),IF(COUNTIFS(Data!D$1:'Data'!D202,Data!D202)&lt;=1,0,1),1),1))</f>
        <v/>
      </c>
      <c r="E202" s="9" t="str">
        <f>IF(Data!B202="","",IF(ISNUMBER(MATCH(Data!E202,Data_Val!$A$2:$A$3,0)),0,1))</f>
        <v/>
      </c>
      <c r="F202" s="9" t="str">
        <f ca="1">IF(Data!B202="","",IF(ISNUMBER(Data!F202),IF(AND(Data!F202&gt;(TODAY()-(Data_Val!$H$3*365.25)),Data!F202&lt;=(TODAY()-(Data_Val!$H$2*365.25))),0,1),1))</f>
        <v/>
      </c>
      <c r="G202" s="15" t="str">
        <f>IF(Data!B202="","",IF(AND(Data!G202="",Data!H202&lt;&gt;""),1,IF(Data!#REF!&lt;&gt;"",0,IF(ISNUMBER(MATCH(Data!G202,Data_Val!$C$2:$C$5,0)),0,1))))</f>
        <v/>
      </c>
      <c r="H202" s="15" t="str">
        <f>IF(Data!B202="","",IF(AND(Data!G202&lt;&gt;"",Data!H202=""),1,IF(Data!#REF!&lt;&gt;"",0,IF(Data!G202="",1,IF(ISNUMBER(MATCH(Data!H202,Data_Val!$D$2:$D$35,0)),0,1)))))</f>
        <v/>
      </c>
      <c r="I202" s="15" t="str">
        <f>IF(Data!B202="","",IF(Data!G202&lt;&gt;"",0,IF(ISNUMBER(MATCH(Data!#REF!,Data_Val!$E$2:$E$12,0)),0,1)))</f>
        <v/>
      </c>
      <c r="J202" s="16" t="e">
        <f>IF(OR(Data!B202="",Data!#REF!=""),"",IF(Data!#REF!="",1,0))</f>
        <v>#REF!</v>
      </c>
      <c r="K202" s="16" t="e">
        <f>IF(OR(Data!B202="",Data!#REF!=""),"",IF(Data!#REF!="",1,0))</f>
        <v>#REF!</v>
      </c>
      <c r="L202" s="16" t="e">
        <f>IF(OR(Data!B202="",Data!#REF!=""),"",IF(ISNUMBER(Data!#REF!),IF(AND(Data!#REF!&gt;Data_Val!$G$2,Data!#REF!&lt;=Data_Val!$G$3),0,1),1))</f>
        <v>#REF!</v>
      </c>
      <c r="M202" s="9" t="e">
        <f>IF(OR(Data!B202="",Data!#REF!=""),"",IF(ISNUMBER(MATCH(Data!#REF!,Data_Val!$F$1:$F$38,0)),0,1))</f>
        <v>#REF!</v>
      </c>
      <c r="N202" s="9" t="e">
        <f>IF(OR(Data!B202="",Data!#REF!=""),"",IF(Data!#REF!="",1,0))</f>
        <v>#REF!</v>
      </c>
      <c r="O202" s="17" t="e">
        <f>IF(Data!#REF!="","",IF(Data!#REF!="",1,0))</f>
        <v>#REF!</v>
      </c>
      <c r="P202" s="17" t="e">
        <f>IF(Data!#REF!="","",IF(ISNUMBER(MATCH(Data!#REF!,Data_Val!$A$2:$A$3,0)),0,1))</f>
        <v>#REF!</v>
      </c>
      <c r="Q202" s="25" t="e">
        <f ca="1">IF(Data!#REF!="","",IF(ISNUMBER(Data!#REF!),IF(AND(Data!#REF!&gt;(TODAY()-(Data_Val!$J$3*365.25)),Data!#REF!&lt;=(TODAY()-(Data_Val!$J$2*365.25))),0,1),1))</f>
        <v>#REF!</v>
      </c>
      <c r="R202" s="17" t="e">
        <f>IF(Data!#REF!="","",IF(ISNUMBER(MATCH(Data!#REF!,Data_Val!$B$2:$B$15,0)),0,1))</f>
        <v>#REF!</v>
      </c>
      <c r="S202" s="11" t="str">
        <f>IF(Data!G202="","",IF(Data!G202=Data_Val!$C$2,IF(Data!M202="",0,1),0))</f>
        <v/>
      </c>
      <c r="T202" s="11" t="str">
        <f>IF(Data!M202="","",IF(ISNUMBER(MATCH(Data!N202,Data_Val!$A$2:$A$3,0)),0,1))</f>
        <v/>
      </c>
      <c r="U202" s="11" t="str">
        <f ca="1">IF(Data!M202="","",IF(ISNUMBER(Data!O202),IF(AND(Data!O202&gt;(TODAY()-(Data_Val!$K$3*365.25)),Data!O202&lt;=(TODAY()-(Data_Val!$K$2*365.25))),0,1),1))</f>
        <v/>
      </c>
      <c r="V202" s="12" t="str">
        <f>IF(Data!G202="","",IF(Data!G202=Data_Val!$C$2,IF(Data!P202="",0,1),0))</f>
        <v/>
      </c>
      <c r="W202" s="12" t="str">
        <f>IF(Data!P202="","",IF(ISNUMBER(MATCH(Data!Q202,Data_Val!$A$2:$A$3,0)),0,1))</f>
        <v/>
      </c>
      <c r="X202" s="26" t="str">
        <f ca="1">IF(Data!P202="","",IF(ISNUMBER(Data!R202),IF(AND(Data!R202&gt;(TODAY()-(Data_Val!$L$3*365.25)),Data!R202&lt;=(TODAY()-(Data_Val!$L$2*365.25))),0,1),1))</f>
        <v/>
      </c>
      <c r="Y202" s="13" t="str">
        <f>IF(Data!$G202="","",IF(Data!$G202=Data_Val!$C$2,IF(Data!S202="",0,1),0))</f>
        <v/>
      </c>
      <c r="Z202" s="13" t="str">
        <f>IF(Data!S202="","",IF(ISNUMBER(MATCH(Data!T202,Data_Val!$A$2:$A$3,0)),0,1))</f>
        <v/>
      </c>
      <c r="AA202" s="28" t="str">
        <f ca="1">IF(Data!S202="","",IF(ISNUMBER(Data!U202),IF(AND(Data!U202&gt;(TODAY()-(Data_Val!$L$3*365.25)),Data!U202&lt;=(TODAY()-(Data_Val!$L$2*365.25))),0,1),1))</f>
        <v/>
      </c>
      <c r="AB202" s="11"/>
      <c r="AC202" s="11" t="e">
        <f>IF(Data!#REF!="","",IF(ISNUMBER(MATCH(Data!#REF!,Data_Val!$A$2:$A$3,0)),0,1))</f>
        <v>#REF!</v>
      </c>
      <c r="AD202" s="11" t="e">
        <f ca="1">IF(Data!#REF!="","",IF(ISNUMBER(Data!#REF!),IF(AND(Data!#REF!&gt;(TODAY()-(Data_Val!$L$3*365.25)),Data!#REF!&lt;=(TODAY()-(Data_Val!$L$2*365.25))),0,1),1))</f>
        <v>#REF!</v>
      </c>
      <c r="AE202" s="11" t="e">
        <f>IF(Data!#REF!="","",IF(Data!$G202="",1,IF(ISNUMBER(MATCH(Data!#REF!,Data_Val!$D$2:$D$10,0)),0,1)))</f>
        <v>#REF!</v>
      </c>
      <c r="AF202" s="12"/>
      <c r="AG202" s="12" t="e">
        <f>IF(Data!#REF!="","",IF(ISNUMBER(MATCH(Data!#REF!,Data_Val!$A$2:$A$3,0)),0,1))</f>
        <v>#REF!</v>
      </c>
      <c r="AH202" s="26" t="e">
        <f ca="1">IF(Data!#REF!="","",IF(ISNUMBER(Data!#REF!),IF(AND(Data!#REF!&gt;(TODAY()-(Data_Val!$L$3*365.25)),Data!#REF!&lt;=(TODAY()-(Data_Val!$L$2*365.25))),0,1),1))</f>
        <v>#REF!</v>
      </c>
      <c r="AI202" s="12" t="e">
        <f>IF(Data!#REF!="","",IF(Data!$G202="",1,IF(ISNUMBER(MATCH(Data!#REF!,Data_Val!$D$2:$D$10,0)),0,1)))</f>
        <v>#REF!</v>
      </c>
      <c r="AJ202" s="17"/>
      <c r="AK202" s="17" t="e">
        <f>IF(Data!#REF!="","",IF(ISNUMBER(MATCH(Data!#REF!,Data_Val!$A$2:$A$3,0)),0,1))</f>
        <v>#REF!</v>
      </c>
      <c r="AL202" s="25" t="e">
        <f ca="1">IF(Data!#REF!="","",IF(ISNUMBER(Data!#REF!),IF(AND(Data!#REF!&gt;(TODAY()-(Data_Val!$L$3*365.25)),Data!#REF!&lt;=(TODAY()-(Data_Val!$L$2*365.25))),0,1),1))</f>
        <v>#REF!</v>
      </c>
      <c r="AM202" s="17" t="e">
        <f>IF(Data!#REF!="","",IF(Data!$G202="",1,IF(ISNUMBER(MATCH(Data!#REF!,Data_Val!$D$2:$D$10,0)),0,1)))</f>
        <v>#REF!</v>
      </c>
      <c r="AN202" s="13"/>
      <c r="AO202" s="28" t="e">
        <f ca="1">IF(Data!#REF!="","",IF(ISNUMBER(Data!#REF!),IF(AND(Data!#REF!&gt;(TODAY()-(Data_Val!$I$3*365.25)),Data!#REF!&lt;=(TODAY()-(Data_Val!$I$2*365.25))),0,1),1))</f>
        <v>#REF!</v>
      </c>
      <c r="AP202" s="13" t="e">
        <f>IF(Data!#REF!="","",IF(Data!$G202="",1,IF(ISNUMBER(MATCH(Data!#REF!,Data_Val!$D$2:$D$10,0)),0,1)))</f>
        <v>#REF!</v>
      </c>
      <c r="AQ202" s="17"/>
      <c r="AR202" s="30" t="e">
        <f ca="1">IF(Data!#REF!="","",IF(ISNUMBER(Data!#REF!),IF(AND(Data!#REF!&gt;(TODAY()-(Data_Val!$I$3*365.25)),Data!#REF!&lt;=(TODAY()-(Data_Val!$I$2*365.25))),0,1),1))</f>
        <v>#REF!</v>
      </c>
      <c r="AS202" s="31" t="e">
        <f>IF(Data!#REF!="","",IF(Data!$G202="",1,IF(ISNUMBER(MATCH(Data!#REF!,Data_Val!$D$2:$D$10,0)),0,1)))</f>
        <v>#REF!</v>
      </c>
      <c r="AT202" s="11"/>
      <c r="AU202" s="11" t="e">
        <f ca="1">IF(Data!#REF!="","",IF(ISNUMBER(Data!#REF!),IF(AND(Data!#REF!&gt;(TODAY()-(Data_Val!$I$3*365.25)),Data!#REF!&lt;=(TODAY()-(Data_Val!$I$2*365.25))),0,1),1))</f>
        <v>#REF!</v>
      </c>
      <c r="AV202" s="11" t="e">
        <f>IF(Data!#REF!="","",IF(Data!$G202="",1,IF(ISNUMBER(MATCH(Data!#REF!,Data_Val!$D$2:$D$10,0)),0,1)))</f>
        <v>#REF!</v>
      </c>
      <c r="AW202" s="12"/>
      <c r="AX202" s="26" t="e">
        <f ca="1">IF(Data!#REF!="","",IF(ISNUMBER(Data!#REF!),IF(AND(Data!#REF!&gt;(TODAY()-(Data_Val!$I$3*365.25)),Data!#REF!&lt;=(TODAY()-(Data_Val!$I$2*365.25))),0,1),1))</f>
        <v>#REF!</v>
      </c>
      <c r="AY202" s="12" t="e">
        <f>IF(Data!#REF!="","",IF(Data!$G202="",1,IF(ISNUMBER(MATCH(Data!#REF!,Data_Val!$D$2:$D$10,0)),0,1)))</f>
        <v>#REF!</v>
      </c>
      <c r="AZ202" s="11"/>
      <c r="BA202" s="19" t="e">
        <f ca="1">IF(Data!#REF!="","",IF(ISNUMBER(Data!#REF!),IF(AND(Data!#REF!&gt;(TODAY()-(Data_Val!$M$3*365.25)),Data!#REF!&lt;=(TODAY()-(Data_Val!$M$2*365.25))),0,1),1))</f>
        <v>#REF!</v>
      </c>
      <c r="BB202" s="11" t="e">
        <f>IF(Data!#REF!="","",IF(Data!$G202="",1,IF(ISNUMBER(MATCH(Data!#REF!,Data_Val!$D$2:$D$10,0)),0,1)))</f>
        <v>#REF!</v>
      </c>
      <c r="BC202" s="12"/>
      <c r="BD202" s="20" t="e">
        <f ca="1">IF(Data!#REF!="","",IF(ISNUMBER(Data!#REF!),IF(AND(Data!#REF!&gt;(TODAY()-(Data_Val!$M$3*365.25)),Data!#REF!&lt;=(TODAY()-(Data_Val!$M$2*365.25))),0,1),1))</f>
        <v>#REF!</v>
      </c>
      <c r="BE202" s="12" t="e">
        <f>IF(Data!#REF!="","",IF(Data!$G202="",1,IF(ISNUMBER(MATCH(Data!#REF!,Data_Val!$D$2:$D$10,0)),0,1)))</f>
        <v>#REF!</v>
      </c>
      <c r="BF202" s="17"/>
      <c r="BG202" s="18" t="e">
        <f ca="1">IF(Data!#REF!="","",IF(ISNUMBER(Data!#REF!),IF(AND(Data!#REF!&gt;(TODAY()-(Data_Val!$M$3*365.25)),Data!#REF!&lt;=(TODAY()-(Data_Val!$M$2*365.25))),0,1),1))</f>
        <v>#REF!</v>
      </c>
      <c r="BH202" s="29" t="e">
        <f>IF(Data!#REF!="","",IF(Data!$G202="",1,IF(ISNUMBER(MATCH(Data!#REF!,Data_Val!$D$2:$D$10,0)),0,1)))</f>
        <v>#REF!</v>
      </c>
      <c r="BI202" s="13"/>
      <c r="BJ202" s="21" t="e">
        <f ca="1">IF(Data!#REF!="","",IF(ISNUMBER(Data!#REF!),IF(AND(Data!#REF!&gt;(TODAY()-(Data_Val!$M$3*365.25)),Data!#REF!&lt;=(TODAY()-(Data_Val!$M$2*365.25))),0,1),1))</f>
        <v>#REF!</v>
      </c>
      <c r="BK202" s="13" t="e">
        <f>IF(Data!#REF!="","",IF(Data!$G202="",1,IF(ISNUMBER(MATCH(Data!#REF!,Data_Val!$D$2:$D$10,0)),0,1)))</f>
        <v>#REF!</v>
      </c>
    </row>
    <row r="203" spans="1:63" x14ac:dyDescent="0.25">
      <c r="A203" s="9" t="str">
        <f>IF(Data!B203="","",IF(COUNTIFS(Data!A$1:'Data'!A203,Data!A203)&lt;=1,0,1))</f>
        <v/>
      </c>
      <c r="B203" s="9"/>
      <c r="C203" s="23" t="str">
        <f>IF(Data!C203="","",(IF(ISNUMBER(MATCH("*@*.?*",Data!C203,0)),0,1)+IF(COUNTIFS(Data!C$1:'Data'!C203,Data!C203)&gt;1,1,0)))</f>
        <v/>
      </c>
      <c r="D203" s="9" t="str">
        <f>IF(Data!B203="","",IF(ISNUMBER(Data!D203),IF(AND(Data!D203&gt;999999999,Data!D203&lt;=9999999999),IF(COUNTIFS(Data!D$1:'Data'!D203,Data!D203)&lt;=1,0,1),1),1))</f>
        <v/>
      </c>
      <c r="E203" s="9" t="str">
        <f>IF(Data!B203="","",IF(ISNUMBER(MATCH(Data!E203,Data_Val!$A$2:$A$3,0)),0,1))</f>
        <v/>
      </c>
      <c r="F203" s="9" t="str">
        <f ca="1">IF(Data!B203="","",IF(ISNUMBER(Data!F203),IF(AND(Data!F203&gt;(TODAY()-(Data_Val!$H$3*365.25)),Data!F203&lt;=(TODAY()-(Data_Val!$H$2*365.25))),0,1),1))</f>
        <v/>
      </c>
      <c r="G203" s="15" t="str">
        <f>IF(Data!B203="","",IF(AND(Data!G203="",Data!H203&lt;&gt;""),1,IF(Data!#REF!&lt;&gt;"",0,IF(ISNUMBER(MATCH(Data!G203,Data_Val!$C$2:$C$5,0)),0,1))))</f>
        <v/>
      </c>
      <c r="H203" s="15" t="str">
        <f>IF(Data!B203="","",IF(AND(Data!G203&lt;&gt;"",Data!H203=""),1,IF(Data!#REF!&lt;&gt;"",0,IF(Data!G203="",1,IF(ISNUMBER(MATCH(Data!H203,Data_Val!$D$2:$D$35,0)),0,1)))))</f>
        <v/>
      </c>
      <c r="I203" s="15" t="str">
        <f>IF(Data!B203="","",IF(Data!G203&lt;&gt;"",0,IF(ISNUMBER(MATCH(Data!#REF!,Data_Val!$E$2:$E$12,0)),0,1)))</f>
        <v/>
      </c>
      <c r="J203" s="16" t="e">
        <f>IF(OR(Data!B203="",Data!#REF!=""),"",IF(Data!#REF!="",1,0))</f>
        <v>#REF!</v>
      </c>
      <c r="K203" s="16" t="e">
        <f>IF(OR(Data!B203="",Data!#REF!=""),"",IF(Data!#REF!="",1,0))</f>
        <v>#REF!</v>
      </c>
      <c r="L203" s="16" t="e">
        <f>IF(OR(Data!B203="",Data!#REF!=""),"",IF(ISNUMBER(Data!#REF!),IF(AND(Data!#REF!&gt;Data_Val!$G$2,Data!#REF!&lt;=Data_Val!$G$3),0,1),1))</f>
        <v>#REF!</v>
      </c>
      <c r="M203" s="9" t="e">
        <f>IF(OR(Data!B203="",Data!#REF!=""),"",IF(ISNUMBER(MATCH(Data!#REF!,Data_Val!$F$1:$F$38,0)),0,1))</f>
        <v>#REF!</v>
      </c>
      <c r="N203" s="9" t="e">
        <f>IF(OR(Data!B203="",Data!#REF!=""),"",IF(Data!#REF!="",1,0))</f>
        <v>#REF!</v>
      </c>
      <c r="O203" s="17" t="e">
        <f>IF(Data!#REF!="","",IF(Data!#REF!="",1,0))</f>
        <v>#REF!</v>
      </c>
      <c r="P203" s="17" t="e">
        <f>IF(Data!#REF!="","",IF(ISNUMBER(MATCH(Data!#REF!,Data_Val!$A$2:$A$3,0)),0,1))</f>
        <v>#REF!</v>
      </c>
      <c r="Q203" s="25" t="e">
        <f ca="1">IF(Data!#REF!="","",IF(ISNUMBER(Data!#REF!),IF(AND(Data!#REF!&gt;(TODAY()-(Data_Val!$J$3*365.25)),Data!#REF!&lt;=(TODAY()-(Data_Val!$J$2*365.25))),0,1),1))</f>
        <v>#REF!</v>
      </c>
      <c r="R203" s="17" t="e">
        <f>IF(Data!#REF!="","",IF(ISNUMBER(MATCH(Data!#REF!,Data_Val!$B$2:$B$15,0)),0,1))</f>
        <v>#REF!</v>
      </c>
      <c r="S203" s="11" t="str">
        <f>IF(Data!G203="","",IF(Data!G203=Data_Val!$C$2,IF(Data!M203="",0,1),0))</f>
        <v/>
      </c>
      <c r="T203" s="11" t="str">
        <f>IF(Data!M203="","",IF(ISNUMBER(MATCH(Data!N203,Data_Val!$A$2:$A$3,0)),0,1))</f>
        <v/>
      </c>
      <c r="U203" s="11" t="str">
        <f ca="1">IF(Data!M203="","",IF(ISNUMBER(Data!O203),IF(AND(Data!O203&gt;(TODAY()-(Data_Val!$K$3*365.25)),Data!O203&lt;=(TODAY()-(Data_Val!$K$2*365.25))),0,1),1))</f>
        <v/>
      </c>
      <c r="V203" s="12" t="str">
        <f>IF(Data!G203="","",IF(Data!G203=Data_Val!$C$2,IF(Data!P203="",0,1),0))</f>
        <v/>
      </c>
      <c r="W203" s="12" t="str">
        <f>IF(Data!P203="","",IF(ISNUMBER(MATCH(Data!Q203,Data_Val!$A$2:$A$3,0)),0,1))</f>
        <v/>
      </c>
      <c r="X203" s="26" t="str">
        <f ca="1">IF(Data!P203="","",IF(ISNUMBER(Data!R203),IF(AND(Data!R203&gt;(TODAY()-(Data_Val!$L$3*365.25)),Data!R203&lt;=(TODAY()-(Data_Val!$L$2*365.25))),0,1),1))</f>
        <v/>
      </c>
      <c r="Y203" s="13" t="str">
        <f>IF(Data!$G203="","",IF(Data!$G203=Data_Val!$C$2,IF(Data!S203="",0,1),0))</f>
        <v/>
      </c>
      <c r="Z203" s="13" t="str">
        <f>IF(Data!S203="","",IF(ISNUMBER(MATCH(Data!T203,Data_Val!$A$2:$A$3,0)),0,1))</f>
        <v/>
      </c>
      <c r="AA203" s="28" t="str">
        <f ca="1">IF(Data!S203="","",IF(ISNUMBER(Data!U203),IF(AND(Data!U203&gt;(TODAY()-(Data_Val!$L$3*365.25)),Data!U203&lt;=(TODAY()-(Data_Val!$L$2*365.25))),0,1),1))</f>
        <v/>
      </c>
      <c r="AB203" s="11"/>
      <c r="AC203" s="11" t="e">
        <f>IF(Data!#REF!="","",IF(ISNUMBER(MATCH(Data!#REF!,Data_Val!$A$2:$A$3,0)),0,1))</f>
        <v>#REF!</v>
      </c>
      <c r="AD203" s="11" t="e">
        <f ca="1">IF(Data!#REF!="","",IF(ISNUMBER(Data!#REF!),IF(AND(Data!#REF!&gt;(TODAY()-(Data_Val!$L$3*365.25)),Data!#REF!&lt;=(TODAY()-(Data_Val!$L$2*365.25))),0,1),1))</f>
        <v>#REF!</v>
      </c>
      <c r="AE203" s="11" t="e">
        <f>IF(Data!#REF!="","",IF(Data!$G203="",1,IF(ISNUMBER(MATCH(Data!#REF!,Data_Val!$D$2:$D$10,0)),0,1)))</f>
        <v>#REF!</v>
      </c>
      <c r="AF203" s="12"/>
      <c r="AG203" s="12" t="e">
        <f>IF(Data!#REF!="","",IF(ISNUMBER(MATCH(Data!#REF!,Data_Val!$A$2:$A$3,0)),0,1))</f>
        <v>#REF!</v>
      </c>
      <c r="AH203" s="26" t="e">
        <f ca="1">IF(Data!#REF!="","",IF(ISNUMBER(Data!#REF!),IF(AND(Data!#REF!&gt;(TODAY()-(Data_Val!$L$3*365.25)),Data!#REF!&lt;=(TODAY()-(Data_Val!$L$2*365.25))),0,1),1))</f>
        <v>#REF!</v>
      </c>
      <c r="AI203" s="12" t="e">
        <f>IF(Data!#REF!="","",IF(Data!$G203="",1,IF(ISNUMBER(MATCH(Data!#REF!,Data_Val!$D$2:$D$10,0)),0,1)))</f>
        <v>#REF!</v>
      </c>
      <c r="AJ203" s="17"/>
      <c r="AK203" s="17" t="e">
        <f>IF(Data!#REF!="","",IF(ISNUMBER(MATCH(Data!#REF!,Data_Val!$A$2:$A$3,0)),0,1))</f>
        <v>#REF!</v>
      </c>
      <c r="AL203" s="25" t="e">
        <f ca="1">IF(Data!#REF!="","",IF(ISNUMBER(Data!#REF!),IF(AND(Data!#REF!&gt;(TODAY()-(Data_Val!$L$3*365.25)),Data!#REF!&lt;=(TODAY()-(Data_Val!$L$2*365.25))),0,1),1))</f>
        <v>#REF!</v>
      </c>
      <c r="AM203" s="17" t="e">
        <f>IF(Data!#REF!="","",IF(Data!$G203="",1,IF(ISNUMBER(MATCH(Data!#REF!,Data_Val!$D$2:$D$10,0)),0,1)))</f>
        <v>#REF!</v>
      </c>
      <c r="AN203" s="13"/>
      <c r="AO203" s="28" t="e">
        <f ca="1">IF(Data!#REF!="","",IF(ISNUMBER(Data!#REF!),IF(AND(Data!#REF!&gt;(TODAY()-(Data_Val!$I$3*365.25)),Data!#REF!&lt;=(TODAY()-(Data_Val!$I$2*365.25))),0,1),1))</f>
        <v>#REF!</v>
      </c>
      <c r="AP203" s="13" t="e">
        <f>IF(Data!#REF!="","",IF(Data!$G203="",1,IF(ISNUMBER(MATCH(Data!#REF!,Data_Val!$D$2:$D$10,0)),0,1)))</f>
        <v>#REF!</v>
      </c>
      <c r="AQ203" s="17"/>
      <c r="AR203" s="30" t="e">
        <f ca="1">IF(Data!#REF!="","",IF(ISNUMBER(Data!#REF!),IF(AND(Data!#REF!&gt;(TODAY()-(Data_Val!$I$3*365.25)),Data!#REF!&lt;=(TODAY()-(Data_Val!$I$2*365.25))),0,1),1))</f>
        <v>#REF!</v>
      </c>
      <c r="AS203" s="31" t="e">
        <f>IF(Data!#REF!="","",IF(Data!$G203="",1,IF(ISNUMBER(MATCH(Data!#REF!,Data_Val!$D$2:$D$10,0)),0,1)))</f>
        <v>#REF!</v>
      </c>
      <c r="AT203" s="11"/>
      <c r="AU203" s="11" t="e">
        <f ca="1">IF(Data!#REF!="","",IF(ISNUMBER(Data!#REF!),IF(AND(Data!#REF!&gt;(TODAY()-(Data_Val!$I$3*365.25)),Data!#REF!&lt;=(TODAY()-(Data_Val!$I$2*365.25))),0,1),1))</f>
        <v>#REF!</v>
      </c>
      <c r="AV203" s="11" t="e">
        <f>IF(Data!#REF!="","",IF(Data!$G203="",1,IF(ISNUMBER(MATCH(Data!#REF!,Data_Val!$D$2:$D$10,0)),0,1)))</f>
        <v>#REF!</v>
      </c>
      <c r="AW203" s="12"/>
      <c r="AX203" s="26" t="e">
        <f ca="1">IF(Data!#REF!="","",IF(ISNUMBER(Data!#REF!),IF(AND(Data!#REF!&gt;(TODAY()-(Data_Val!$I$3*365.25)),Data!#REF!&lt;=(TODAY()-(Data_Val!$I$2*365.25))),0,1),1))</f>
        <v>#REF!</v>
      </c>
      <c r="AY203" s="12" t="e">
        <f>IF(Data!#REF!="","",IF(Data!$G203="",1,IF(ISNUMBER(MATCH(Data!#REF!,Data_Val!$D$2:$D$10,0)),0,1)))</f>
        <v>#REF!</v>
      </c>
      <c r="AZ203" s="11"/>
      <c r="BA203" s="19" t="e">
        <f ca="1">IF(Data!#REF!="","",IF(ISNUMBER(Data!#REF!),IF(AND(Data!#REF!&gt;(TODAY()-(Data_Val!$M$3*365.25)),Data!#REF!&lt;=(TODAY()-(Data_Val!$M$2*365.25))),0,1),1))</f>
        <v>#REF!</v>
      </c>
      <c r="BB203" s="11" t="e">
        <f>IF(Data!#REF!="","",IF(Data!$G203="",1,IF(ISNUMBER(MATCH(Data!#REF!,Data_Val!$D$2:$D$10,0)),0,1)))</f>
        <v>#REF!</v>
      </c>
      <c r="BC203" s="12"/>
      <c r="BD203" s="20" t="e">
        <f ca="1">IF(Data!#REF!="","",IF(ISNUMBER(Data!#REF!),IF(AND(Data!#REF!&gt;(TODAY()-(Data_Val!$M$3*365.25)),Data!#REF!&lt;=(TODAY()-(Data_Val!$M$2*365.25))),0,1),1))</f>
        <v>#REF!</v>
      </c>
      <c r="BE203" s="12" t="e">
        <f>IF(Data!#REF!="","",IF(Data!$G203="",1,IF(ISNUMBER(MATCH(Data!#REF!,Data_Val!$D$2:$D$10,0)),0,1)))</f>
        <v>#REF!</v>
      </c>
      <c r="BF203" s="17"/>
      <c r="BG203" s="18" t="e">
        <f ca="1">IF(Data!#REF!="","",IF(ISNUMBER(Data!#REF!),IF(AND(Data!#REF!&gt;(TODAY()-(Data_Val!$M$3*365.25)),Data!#REF!&lt;=(TODAY()-(Data_Val!$M$2*365.25))),0,1),1))</f>
        <v>#REF!</v>
      </c>
      <c r="BH203" s="29" t="e">
        <f>IF(Data!#REF!="","",IF(Data!$G203="",1,IF(ISNUMBER(MATCH(Data!#REF!,Data_Val!$D$2:$D$10,0)),0,1)))</f>
        <v>#REF!</v>
      </c>
      <c r="BI203" s="13"/>
      <c r="BJ203" s="21" t="e">
        <f ca="1">IF(Data!#REF!="","",IF(ISNUMBER(Data!#REF!),IF(AND(Data!#REF!&gt;(TODAY()-(Data_Val!$M$3*365.25)),Data!#REF!&lt;=(TODAY()-(Data_Val!$M$2*365.25))),0,1),1))</f>
        <v>#REF!</v>
      </c>
      <c r="BK203" s="13" t="e">
        <f>IF(Data!#REF!="","",IF(Data!$G203="",1,IF(ISNUMBER(MATCH(Data!#REF!,Data_Val!$D$2:$D$10,0)),0,1)))</f>
        <v>#REF!</v>
      </c>
    </row>
    <row r="204" spans="1:63" x14ac:dyDescent="0.25">
      <c r="A204" s="9" t="str">
        <f>IF(Data!B204="","",IF(COUNTIFS(Data!A$1:'Data'!A204,Data!A204)&lt;=1,0,1))</f>
        <v/>
      </c>
      <c r="B204" s="9"/>
      <c r="C204" s="23" t="str">
        <f>IF(Data!C204="","",(IF(ISNUMBER(MATCH("*@*.?*",Data!C204,0)),0,1)+IF(COUNTIFS(Data!C$1:'Data'!C204,Data!C204)&gt;1,1,0)))</f>
        <v/>
      </c>
      <c r="D204" s="9" t="str">
        <f>IF(Data!B204="","",IF(ISNUMBER(Data!D204),IF(AND(Data!D204&gt;999999999,Data!D204&lt;=9999999999),IF(COUNTIFS(Data!D$1:'Data'!D204,Data!D204)&lt;=1,0,1),1),1))</f>
        <v/>
      </c>
      <c r="E204" s="9" t="str">
        <f>IF(Data!B204="","",IF(ISNUMBER(MATCH(Data!E204,Data_Val!$A$2:$A$3,0)),0,1))</f>
        <v/>
      </c>
      <c r="F204" s="9" t="str">
        <f ca="1">IF(Data!B204="","",IF(ISNUMBER(Data!F204),IF(AND(Data!F204&gt;(TODAY()-(Data_Val!$H$3*365.25)),Data!F204&lt;=(TODAY()-(Data_Val!$H$2*365.25))),0,1),1))</f>
        <v/>
      </c>
      <c r="G204" s="15" t="str">
        <f>IF(Data!B204="","",IF(AND(Data!G204="",Data!H204&lt;&gt;""),1,IF(Data!#REF!&lt;&gt;"",0,IF(ISNUMBER(MATCH(Data!G204,Data_Val!$C$2:$C$5,0)),0,1))))</f>
        <v/>
      </c>
      <c r="H204" s="15" t="str">
        <f>IF(Data!B204="","",IF(AND(Data!G204&lt;&gt;"",Data!H204=""),1,IF(Data!#REF!&lt;&gt;"",0,IF(Data!G204="",1,IF(ISNUMBER(MATCH(Data!H204,Data_Val!$D$2:$D$35,0)),0,1)))))</f>
        <v/>
      </c>
      <c r="I204" s="15" t="str">
        <f>IF(Data!B204="","",IF(Data!G204&lt;&gt;"",0,IF(ISNUMBER(MATCH(Data!#REF!,Data_Val!$E$2:$E$12,0)),0,1)))</f>
        <v/>
      </c>
      <c r="J204" s="16" t="e">
        <f>IF(OR(Data!B204="",Data!#REF!=""),"",IF(Data!#REF!="",1,0))</f>
        <v>#REF!</v>
      </c>
      <c r="K204" s="16" t="e">
        <f>IF(OR(Data!B204="",Data!#REF!=""),"",IF(Data!#REF!="",1,0))</f>
        <v>#REF!</v>
      </c>
      <c r="L204" s="16" t="e">
        <f>IF(OR(Data!B204="",Data!#REF!=""),"",IF(ISNUMBER(Data!#REF!),IF(AND(Data!#REF!&gt;Data_Val!$G$2,Data!#REF!&lt;=Data_Val!$G$3),0,1),1))</f>
        <v>#REF!</v>
      </c>
      <c r="M204" s="9" t="e">
        <f>IF(OR(Data!B204="",Data!#REF!=""),"",IF(ISNUMBER(MATCH(Data!#REF!,Data_Val!$F$1:$F$38,0)),0,1))</f>
        <v>#REF!</v>
      </c>
      <c r="N204" s="9" t="e">
        <f>IF(OR(Data!B204="",Data!#REF!=""),"",IF(Data!#REF!="",1,0))</f>
        <v>#REF!</v>
      </c>
      <c r="O204" s="17" t="e">
        <f>IF(Data!#REF!="","",IF(Data!#REF!="",1,0))</f>
        <v>#REF!</v>
      </c>
      <c r="P204" s="17" t="e">
        <f>IF(Data!#REF!="","",IF(ISNUMBER(MATCH(Data!#REF!,Data_Val!$A$2:$A$3,0)),0,1))</f>
        <v>#REF!</v>
      </c>
      <c r="Q204" s="25" t="e">
        <f ca="1">IF(Data!#REF!="","",IF(ISNUMBER(Data!#REF!),IF(AND(Data!#REF!&gt;(TODAY()-(Data_Val!$J$3*365.25)),Data!#REF!&lt;=(TODAY()-(Data_Val!$J$2*365.25))),0,1),1))</f>
        <v>#REF!</v>
      </c>
      <c r="R204" s="17" t="e">
        <f>IF(Data!#REF!="","",IF(ISNUMBER(MATCH(Data!#REF!,Data_Val!$B$2:$B$15,0)),0,1))</f>
        <v>#REF!</v>
      </c>
      <c r="S204" s="11" t="str">
        <f>IF(Data!G204="","",IF(Data!G204=Data_Val!$C$2,IF(Data!M204="",0,1),0))</f>
        <v/>
      </c>
      <c r="T204" s="11" t="str">
        <f>IF(Data!M204="","",IF(ISNUMBER(MATCH(Data!N204,Data_Val!$A$2:$A$3,0)),0,1))</f>
        <v/>
      </c>
      <c r="U204" s="11" t="str">
        <f ca="1">IF(Data!M204="","",IF(ISNUMBER(Data!O204),IF(AND(Data!O204&gt;(TODAY()-(Data_Val!$K$3*365.25)),Data!O204&lt;=(TODAY()-(Data_Val!$K$2*365.25))),0,1),1))</f>
        <v/>
      </c>
      <c r="V204" s="12" t="str">
        <f>IF(Data!G204="","",IF(Data!G204=Data_Val!$C$2,IF(Data!P204="",0,1),0))</f>
        <v/>
      </c>
      <c r="W204" s="12" t="str">
        <f>IF(Data!P204="","",IF(ISNUMBER(MATCH(Data!Q204,Data_Val!$A$2:$A$3,0)),0,1))</f>
        <v/>
      </c>
      <c r="X204" s="26" t="str">
        <f ca="1">IF(Data!P204="","",IF(ISNUMBER(Data!R204),IF(AND(Data!R204&gt;(TODAY()-(Data_Val!$L$3*365.25)),Data!R204&lt;=(TODAY()-(Data_Val!$L$2*365.25))),0,1),1))</f>
        <v/>
      </c>
      <c r="Y204" s="13" t="str">
        <f>IF(Data!$G204="","",IF(Data!$G204=Data_Val!$C$2,IF(Data!S204="",0,1),0))</f>
        <v/>
      </c>
      <c r="Z204" s="13" t="str">
        <f>IF(Data!S204="","",IF(ISNUMBER(MATCH(Data!T204,Data_Val!$A$2:$A$3,0)),0,1))</f>
        <v/>
      </c>
      <c r="AA204" s="28" t="str">
        <f ca="1">IF(Data!S204="","",IF(ISNUMBER(Data!U204),IF(AND(Data!U204&gt;(TODAY()-(Data_Val!$L$3*365.25)),Data!U204&lt;=(TODAY()-(Data_Val!$L$2*365.25))),0,1),1))</f>
        <v/>
      </c>
      <c r="AB204" s="11"/>
      <c r="AC204" s="11" t="e">
        <f>IF(Data!#REF!="","",IF(ISNUMBER(MATCH(Data!#REF!,Data_Val!$A$2:$A$3,0)),0,1))</f>
        <v>#REF!</v>
      </c>
      <c r="AD204" s="11" t="e">
        <f ca="1">IF(Data!#REF!="","",IF(ISNUMBER(Data!#REF!),IF(AND(Data!#REF!&gt;(TODAY()-(Data_Val!$L$3*365.25)),Data!#REF!&lt;=(TODAY()-(Data_Val!$L$2*365.25))),0,1),1))</f>
        <v>#REF!</v>
      </c>
      <c r="AE204" s="11" t="e">
        <f>IF(Data!#REF!="","",IF(Data!$G204="",1,IF(ISNUMBER(MATCH(Data!#REF!,Data_Val!$D$2:$D$10,0)),0,1)))</f>
        <v>#REF!</v>
      </c>
      <c r="AF204" s="12"/>
      <c r="AG204" s="12" t="e">
        <f>IF(Data!#REF!="","",IF(ISNUMBER(MATCH(Data!#REF!,Data_Val!$A$2:$A$3,0)),0,1))</f>
        <v>#REF!</v>
      </c>
      <c r="AH204" s="26" t="e">
        <f ca="1">IF(Data!#REF!="","",IF(ISNUMBER(Data!#REF!),IF(AND(Data!#REF!&gt;(TODAY()-(Data_Val!$L$3*365.25)),Data!#REF!&lt;=(TODAY()-(Data_Val!$L$2*365.25))),0,1),1))</f>
        <v>#REF!</v>
      </c>
      <c r="AI204" s="12" t="e">
        <f>IF(Data!#REF!="","",IF(Data!$G204="",1,IF(ISNUMBER(MATCH(Data!#REF!,Data_Val!$D$2:$D$10,0)),0,1)))</f>
        <v>#REF!</v>
      </c>
      <c r="AJ204" s="17"/>
      <c r="AK204" s="17" t="e">
        <f>IF(Data!#REF!="","",IF(ISNUMBER(MATCH(Data!#REF!,Data_Val!$A$2:$A$3,0)),0,1))</f>
        <v>#REF!</v>
      </c>
      <c r="AL204" s="25" t="e">
        <f ca="1">IF(Data!#REF!="","",IF(ISNUMBER(Data!#REF!),IF(AND(Data!#REF!&gt;(TODAY()-(Data_Val!$L$3*365.25)),Data!#REF!&lt;=(TODAY()-(Data_Val!$L$2*365.25))),0,1),1))</f>
        <v>#REF!</v>
      </c>
      <c r="AM204" s="17" t="e">
        <f>IF(Data!#REF!="","",IF(Data!$G204="",1,IF(ISNUMBER(MATCH(Data!#REF!,Data_Val!$D$2:$D$10,0)),0,1)))</f>
        <v>#REF!</v>
      </c>
      <c r="AN204" s="13"/>
      <c r="AO204" s="28" t="e">
        <f ca="1">IF(Data!#REF!="","",IF(ISNUMBER(Data!#REF!),IF(AND(Data!#REF!&gt;(TODAY()-(Data_Val!$I$3*365.25)),Data!#REF!&lt;=(TODAY()-(Data_Val!$I$2*365.25))),0,1),1))</f>
        <v>#REF!</v>
      </c>
      <c r="AP204" s="13" t="e">
        <f>IF(Data!#REF!="","",IF(Data!$G204="",1,IF(ISNUMBER(MATCH(Data!#REF!,Data_Val!$D$2:$D$10,0)),0,1)))</f>
        <v>#REF!</v>
      </c>
      <c r="AQ204" s="17"/>
      <c r="AR204" s="30" t="e">
        <f ca="1">IF(Data!#REF!="","",IF(ISNUMBER(Data!#REF!),IF(AND(Data!#REF!&gt;(TODAY()-(Data_Val!$I$3*365.25)),Data!#REF!&lt;=(TODAY()-(Data_Val!$I$2*365.25))),0,1),1))</f>
        <v>#REF!</v>
      </c>
      <c r="AS204" s="31" t="e">
        <f>IF(Data!#REF!="","",IF(Data!$G204="",1,IF(ISNUMBER(MATCH(Data!#REF!,Data_Val!$D$2:$D$10,0)),0,1)))</f>
        <v>#REF!</v>
      </c>
      <c r="AT204" s="11"/>
      <c r="AU204" s="11" t="e">
        <f ca="1">IF(Data!#REF!="","",IF(ISNUMBER(Data!#REF!),IF(AND(Data!#REF!&gt;(TODAY()-(Data_Val!$I$3*365.25)),Data!#REF!&lt;=(TODAY()-(Data_Val!$I$2*365.25))),0,1),1))</f>
        <v>#REF!</v>
      </c>
      <c r="AV204" s="11" t="e">
        <f>IF(Data!#REF!="","",IF(Data!$G204="",1,IF(ISNUMBER(MATCH(Data!#REF!,Data_Val!$D$2:$D$10,0)),0,1)))</f>
        <v>#REF!</v>
      </c>
      <c r="AW204" s="12"/>
      <c r="AX204" s="26" t="e">
        <f ca="1">IF(Data!#REF!="","",IF(ISNUMBER(Data!#REF!),IF(AND(Data!#REF!&gt;(TODAY()-(Data_Val!$I$3*365.25)),Data!#REF!&lt;=(TODAY()-(Data_Val!$I$2*365.25))),0,1),1))</f>
        <v>#REF!</v>
      </c>
      <c r="AY204" s="12" t="e">
        <f>IF(Data!#REF!="","",IF(Data!$G204="",1,IF(ISNUMBER(MATCH(Data!#REF!,Data_Val!$D$2:$D$10,0)),0,1)))</f>
        <v>#REF!</v>
      </c>
      <c r="AZ204" s="11"/>
      <c r="BA204" s="19" t="e">
        <f ca="1">IF(Data!#REF!="","",IF(ISNUMBER(Data!#REF!),IF(AND(Data!#REF!&gt;(TODAY()-(Data_Val!$M$3*365.25)),Data!#REF!&lt;=(TODAY()-(Data_Val!$M$2*365.25))),0,1),1))</f>
        <v>#REF!</v>
      </c>
      <c r="BB204" s="11" t="e">
        <f>IF(Data!#REF!="","",IF(Data!$G204="",1,IF(ISNUMBER(MATCH(Data!#REF!,Data_Val!$D$2:$D$10,0)),0,1)))</f>
        <v>#REF!</v>
      </c>
      <c r="BC204" s="12"/>
      <c r="BD204" s="20" t="e">
        <f ca="1">IF(Data!#REF!="","",IF(ISNUMBER(Data!#REF!),IF(AND(Data!#REF!&gt;(TODAY()-(Data_Val!$M$3*365.25)),Data!#REF!&lt;=(TODAY()-(Data_Val!$M$2*365.25))),0,1),1))</f>
        <v>#REF!</v>
      </c>
      <c r="BE204" s="12" t="e">
        <f>IF(Data!#REF!="","",IF(Data!$G204="",1,IF(ISNUMBER(MATCH(Data!#REF!,Data_Val!$D$2:$D$10,0)),0,1)))</f>
        <v>#REF!</v>
      </c>
      <c r="BF204" s="17"/>
      <c r="BG204" s="18" t="e">
        <f ca="1">IF(Data!#REF!="","",IF(ISNUMBER(Data!#REF!),IF(AND(Data!#REF!&gt;(TODAY()-(Data_Val!$M$3*365.25)),Data!#REF!&lt;=(TODAY()-(Data_Val!$M$2*365.25))),0,1),1))</f>
        <v>#REF!</v>
      </c>
      <c r="BH204" s="29" t="e">
        <f>IF(Data!#REF!="","",IF(Data!$G204="",1,IF(ISNUMBER(MATCH(Data!#REF!,Data_Val!$D$2:$D$10,0)),0,1)))</f>
        <v>#REF!</v>
      </c>
      <c r="BI204" s="13"/>
      <c r="BJ204" s="21" t="e">
        <f ca="1">IF(Data!#REF!="","",IF(ISNUMBER(Data!#REF!),IF(AND(Data!#REF!&gt;(TODAY()-(Data_Val!$M$3*365.25)),Data!#REF!&lt;=(TODAY()-(Data_Val!$M$2*365.25))),0,1),1))</f>
        <v>#REF!</v>
      </c>
      <c r="BK204" s="13" t="e">
        <f>IF(Data!#REF!="","",IF(Data!$G204="",1,IF(ISNUMBER(MATCH(Data!#REF!,Data_Val!$D$2:$D$10,0)),0,1)))</f>
        <v>#REF!</v>
      </c>
    </row>
    <row r="205" spans="1:63" x14ac:dyDescent="0.25">
      <c r="A205" s="9" t="str">
        <f>IF(Data!B205="","",IF(COUNTIFS(Data!A$1:'Data'!A205,Data!A205)&lt;=1,0,1))</f>
        <v/>
      </c>
      <c r="B205" s="9"/>
      <c r="C205" s="23" t="str">
        <f>IF(Data!C205="","",(IF(ISNUMBER(MATCH("*@*.?*",Data!C205,0)),0,1)+IF(COUNTIFS(Data!C$1:'Data'!C205,Data!C205)&gt;1,1,0)))</f>
        <v/>
      </c>
      <c r="D205" s="9" t="str">
        <f>IF(Data!B205="","",IF(ISNUMBER(Data!D205),IF(AND(Data!D205&gt;999999999,Data!D205&lt;=9999999999),IF(COUNTIFS(Data!D$1:'Data'!D205,Data!D205)&lt;=1,0,1),1),1))</f>
        <v/>
      </c>
      <c r="E205" s="9" t="str">
        <f>IF(Data!B205="","",IF(ISNUMBER(MATCH(Data!E205,Data_Val!$A$2:$A$3,0)),0,1))</f>
        <v/>
      </c>
      <c r="F205" s="9" t="str">
        <f ca="1">IF(Data!B205="","",IF(ISNUMBER(Data!F205),IF(AND(Data!F205&gt;(TODAY()-(Data_Val!$H$3*365.25)),Data!F205&lt;=(TODAY()-(Data_Val!$H$2*365.25))),0,1),1))</f>
        <v/>
      </c>
      <c r="G205" s="15" t="str">
        <f>IF(Data!B205="","",IF(AND(Data!G205="",Data!H205&lt;&gt;""),1,IF(Data!#REF!&lt;&gt;"",0,IF(ISNUMBER(MATCH(Data!G205,Data_Val!$C$2:$C$5,0)),0,1))))</f>
        <v/>
      </c>
      <c r="H205" s="15" t="str">
        <f>IF(Data!B205="","",IF(AND(Data!G205&lt;&gt;"",Data!H205=""),1,IF(Data!#REF!&lt;&gt;"",0,IF(Data!G205="",1,IF(ISNUMBER(MATCH(Data!H205,Data_Val!$D$2:$D$35,0)),0,1)))))</f>
        <v/>
      </c>
      <c r="I205" s="15" t="str">
        <f>IF(Data!B205="","",IF(Data!G205&lt;&gt;"",0,IF(ISNUMBER(MATCH(Data!#REF!,Data_Val!$E$2:$E$12,0)),0,1)))</f>
        <v/>
      </c>
      <c r="J205" s="16" t="e">
        <f>IF(OR(Data!B205="",Data!#REF!=""),"",IF(Data!#REF!="",1,0))</f>
        <v>#REF!</v>
      </c>
      <c r="K205" s="16" t="e">
        <f>IF(OR(Data!B205="",Data!#REF!=""),"",IF(Data!#REF!="",1,0))</f>
        <v>#REF!</v>
      </c>
      <c r="L205" s="16" t="e">
        <f>IF(OR(Data!B205="",Data!#REF!=""),"",IF(ISNUMBER(Data!#REF!),IF(AND(Data!#REF!&gt;Data_Val!$G$2,Data!#REF!&lt;=Data_Val!$G$3),0,1),1))</f>
        <v>#REF!</v>
      </c>
      <c r="M205" s="9" t="e">
        <f>IF(OR(Data!B205="",Data!#REF!=""),"",IF(ISNUMBER(MATCH(Data!#REF!,Data_Val!$F$1:$F$38,0)),0,1))</f>
        <v>#REF!</v>
      </c>
      <c r="N205" s="9" t="e">
        <f>IF(OR(Data!B205="",Data!#REF!=""),"",IF(Data!#REF!="",1,0))</f>
        <v>#REF!</v>
      </c>
      <c r="O205" s="17" t="e">
        <f>IF(Data!#REF!="","",IF(Data!#REF!="",1,0))</f>
        <v>#REF!</v>
      </c>
      <c r="P205" s="17" t="e">
        <f>IF(Data!#REF!="","",IF(ISNUMBER(MATCH(Data!#REF!,Data_Val!$A$2:$A$3,0)),0,1))</f>
        <v>#REF!</v>
      </c>
      <c r="Q205" s="25" t="e">
        <f ca="1">IF(Data!#REF!="","",IF(ISNUMBER(Data!#REF!),IF(AND(Data!#REF!&gt;(TODAY()-(Data_Val!$J$3*365.25)),Data!#REF!&lt;=(TODAY()-(Data_Val!$J$2*365.25))),0,1),1))</f>
        <v>#REF!</v>
      </c>
      <c r="R205" s="17" t="e">
        <f>IF(Data!#REF!="","",IF(ISNUMBER(MATCH(Data!#REF!,Data_Val!$B$2:$B$15,0)),0,1))</f>
        <v>#REF!</v>
      </c>
      <c r="S205" s="11" t="str">
        <f>IF(Data!G205="","",IF(Data!G205=Data_Val!$C$2,IF(Data!M205="",0,1),0))</f>
        <v/>
      </c>
      <c r="T205" s="11" t="str">
        <f>IF(Data!M205="","",IF(ISNUMBER(MATCH(Data!N205,Data_Val!$A$2:$A$3,0)),0,1))</f>
        <v/>
      </c>
      <c r="U205" s="11" t="str">
        <f ca="1">IF(Data!M205="","",IF(ISNUMBER(Data!O205),IF(AND(Data!O205&gt;(TODAY()-(Data_Val!$K$3*365.25)),Data!O205&lt;=(TODAY()-(Data_Val!$K$2*365.25))),0,1),1))</f>
        <v/>
      </c>
      <c r="V205" s="12" t="str">
        <f>IF(Data!G205="","",IF(Data!G205=Data_Val!$C$2,IF(Data!P205="",0,1),0))</f>
        <v/>
      </c>
      <c r="W205" s="12" t="str">
        <f>IF(Data!P205="","",IF(ISNUMBER(MATCH(Data!Q205,Data_Val!$A$2:$A$3,0)),0,1))</f>
        <v/>
      </c>
      <c r="X205" s="26" t="str">
        <f ca="1">IF(Data!P205="","",IF(ISNUMBER(Data!R205),IF(AND(Data!R205&gt;(TODAY()-(Data_Val!$L$3*365.25)),Data!R205&lt;=(TODAY()-(Data_Val!$L$2*365.25))),0,1),1))</f>
        <v/>
      </c>
      <c r="Y205" s="13" t="str">
        <f>IF(Data!$G205="","",IF(Data!$G205=Data_Val!$C$2,IF(Data!S205="",0,1),0))</f>
        <v/>
      </c>
      <c r="Z205" s="13" t="str">
        <f>IF(Data!S205="","",IF(ISNUMBER(MATCH(Data!T205,Data_Val!$A$2:$A$3,0)),0,1))</f>
        <v/>
      </c>
      <c r="AA205" s="28" t="str">
        <f ca="1">IF(Data!S205="","",IF(ISNUMBER(Data!U205),IF(AND(Data!U205&gt;(TODAY()-(Data_Val!$L$3*365.25)),Data!U205&lt;=(TODAY()-(Data_Val!$L$2*365.25))),0,1),1))</f>
        <v/>
      </c>
      <c r="AB205" s="11"/>
      <c r="AC205" s="11" t="e">
        <f>IF(Data!#REF!="","",IF(ISNUMBER(MATCH(Data!#REF!,Data_Val!$A$2:$A$3,0)),0,1))</f>
        <v>#REF!</v>
      </c>
      <c r="AD205" s="11" t="e">
        <f ca="1">IF(Data!#REF!="","",IF(ISNUMBER(Data!#REF!),IF(AND(Data!#REF!&gt;(TODAY()-(Data_Val!$L$3*365.25)),Data!#REF!&lt;=(TODAY()-(Data_Val!$L$2*365.25))),0,1),1))</f>
        <v>#REF!</v>
      </c>
      <c r="AE205" s="11" t="e">
        <f>IF(Data!#REF!="","",IF(Data!$G205="",1,IF(ISNUMBER(MATCH(Data!#REF!,Data_Val!$D$2:$D$10,0)),0,1)))</f>
        <v>#REF!</v>
      </c>
      <c r="AF205" s="12"/>
      <c r="AG205" s="12" t="e">
        <f>IF(Data!#REF!="","",IF(ISNUMBER(MATCH(Data!#REF!,Data_Val!$A$2:$A$3,0)),0,1))</f>
        <v>#REF!</v>
      </c>
      <c r="AH205" s="26" t="e">
        <f ca="1">IF(Data!#REF!="","",IF(ISNUMBER(Data!#REF!),IF(AND(Data!#REF!&gt;(TODAY()-(Data_Val!$L$3*365.25)),Data!#REF!&lt;=(TODAY()-(Data_Val!$L$2*365.25))),0,1),1))</f>
        <v>#REF!</v>
      </c>
      <c r="AI205" s="12" t="e">
        <f>IF(Data!#REF!="","",IF(Data!$G205="",1,IF(ISNUMBER(MATCH(Data!#REF!,Data_Val!$D$2:$D$10,0)),0,1)))</f>
        <v>#REF!</v>
      </c>
      <c r="AJ205" s="17"/>
      <c r="AK205" s="17" t="e">
        <f>IF(Data!#REF!="","",IF(ISNUMBER(MATCH(Data!#REF!,Data_Val!$A$2:$A$3,0)),0,1))</f>
        <v>#REF!</v>
      </c>
      <c r="AL205" s="25" t="e">
        <f ca="1">IF(Data!#REF!="","",IF(ISNUMBER(Data!#REF!),IF(AND(Data!#REF!&gt;(TODAY()-(Data_Val!$L$3*365.25)),Data!#REF!&lt;=(TODAY()-(Data_Val!$L$2*365.25))),0,1),1))</f>
        <v>#REF!</v>
      </c>
      <c r="AM205" s="17" t="e">
        <f>IF(Data!#REF!="","",IF(Data!$G205="",1,IF(ISNUMBER(MATCH(Data!#REF!,Data_Val!$D$2:$D$10,0)),0,1)))</f>
        <v>#REF!</v>
      </c>
      <c r="AN205" s="13"/>
      <c r="AO205" s="28" t="e">
        <f ca="1">IF(Data!#REF!="","",IF(ISNUMBER(Data!#REF!),IF(AND(Data!#REF!&gt;(TODAY()-(Data_Val!$I$3*365.25)),Data!#REF!&lt;=(TODAY()-(Data_Val!$I$2*365.25))),0,1),1))</f>
        <v>#REF!</v>
      </c>
      <c r="AP205" s="13" t="e">
        <f>IF(Data!#REF!="","",IF(Data!$G205="",1,IF(ISNUMBER(MATCH(Data!#REF!,Data_Val!$D$2:$D$10,0)),0,1)))</f>
        <v>#REF!</v>
      </c>
      <c r="AQ205" s="17"/>
      <c r="AR205" s="30" t="e">
        <f ca="1">IF(Data!#REF!="","",IF(ISNUMBER(Data!#REF!),IF(AND(Data!#REF!&gt;(TODAY()-(Data_Val!$I$3*365.25)),Data!#REF!&lt;=(TODAY()-(Data_Val!$I$2*365.25))),0,1),1))</f>
        <v>#REF!</v>
      </c>
      <c r="AS205" s="31" t="e">
        <f>IF(Data!#REF!="","",IF(Data!$G205="",1,IF(ISNUMBER(MATCH(Data!#REF!,Data_Val!$D$2:$D$10,0)),0,1)))</f>
        <v>#REF!</v>
      </c>
      <c r="AT205" s="11"/>
      <c r="AU205" s="11" t="e">
        <f ca="1">IF(Data!#REF!="","",IF(ISNUMBER(Data!#REF!),IF(AND(Data!#REF!&gt;(TODAY()-(Data_Val!$I$3*365.25)),Data!#REF!&lt;=(TODAY()-(Data_Val!$I$2*365.25))),0,1),1))</f>
        <v>#REF!</v>
      </c>
      <c r="AV205" s="11" t="e">
        <f>IF(Data!#REF!="","",IF(Data!$G205="",1,IF(ISNUMBER(MATCH(Data!#REF!,Data_Val!$D$2:$D$10,0)),0,1)))</f>
        <v>#REF!</v>
      </c>
      <c r="AW205" s="12"/>
      <c r="AX205" s="26" t="e">
        <f ca="1">IF(Data!#REF!="","",IF(ISNUMBER(Data!#REF!),IF(AND(Data!#REF!&gt;(TODAY()-(Data_Val!$I$3*365.25)),Data!#REF!&lt;=(TODAY()-(Data_Val!$I$2*365.25))),0,1),1))</f>
        <v>#REF!</v>
      </c>
      <c r="AY205" s="12" t="e">
        <f>IF(Data!#REF!="","",IF(Data!$G205="",1,IF(ISNUMBER(MATCH(Data!#REF!,Data_Val!$D$2:$D$10,0)),0,1)))</f>
        <v>#REF!</v>
      </c>
      <c r="AZ205" s="11"/>
      <c r="BA205" s="19" t="e">
        <f ca="1">IF(Data!#REF!="","",IF(ISNUMBER(Data!#REF!),IF(AND(Data!#REF!&gt;(TODAY()-(Data_Val!$M$3*365.25)),Data!#REF!&lt;=(TODAY()-(Data_Val!$M$2*365.25))),0,1),1))</f>
        <v>#REF!</v>
      </c>
      <c r="BB205" s="11" t="e">
        <f>IF(Data!#REF!="","",IF(Data!$G205="",1,IF(ISNUMBER(MATCH(Data!#REF!,Data_Val!$D$2:$D$10,0)),0,1)))</f>
        <v>#REF!</v>
      </c>
      <c r="BC205" s="12"/>
      <c r="BD205" s="20" t="e">
        <f ca="1">IF(Data!#REF!="","",IF(ISNUMBER(Data!#REF!),IF(AND(Data!#REF!&gt;(TODAY()-(Data_Val!$M$3*365.25)),Data!#REF!&lt;=(TODAY()-(Data_Val!$M$2*365.25))),0,1),1))</f>
        <v>#REF!</v>
      </c>
      <c r="BE205" s="12" t="e">
        <f>IF(Data!#REF!="","",IF(Data!$G205="",1,IF(ISNUMBER(MATCH(Data!#REF!,Data_Val!$D$2:$D$10,0)),0,1)))</f>
        <v>#REF!</v>
      </c>
      <c r="BF205" s="17"/>
      <c r="BG205" s="18" t="e">
        <f ca="1">IF(Data!#REF!="","",IF(ISNUMBER(Data!#REF!),IF(AND(Data!#REF!&gt;(TODAY()-(Data_Val!$M$3*365.25)),Data!#REF!&lt;=(TODAY()-(Data_Val!$M$2*365.25))),0,1),1))</f>
        <v>#REF!</v>
      </c>
      <c r="BH205" s="29" t="e">
        <f>IF(Data!#REF!="","",IF(Data!$G205="",1,IF(ISNUMBER(MATCH(Data!#REF!,Data_Val!$D$2:$D$10,0)),0,1)))</f>
        <v>#REF!</v>
      </c>
      <c r="BI205" s="13"/>
      <c r="BJ205" s="21" t="e">
        <f ca="1">IF(Data!#REF!="","",IF(ISNUMBER(Data!#REF!),IF(AND(Data!#REF!&gt;(TODAY()-(Data_Val!$M$3*365.25)),Data!#REF!&lt;=(TODAY()-(Data_Val!$M$2*365.25))),0,1),1))</f>
        <v>#REF!</v>
      </c>
      <c r="BK205" s="13" t="e">
        <f>IF(Data!#REF!="","",IF(Data!$G205="",1,IF(ISNUMBER(MATCH(Data!#REF!,Data_Val!$D$2:$D$10,0)),0,1)))</f>
        <v>#REF!</v>
      </c>
    </row>
    <row r="206" spans="1:63" x14ac:dyDescent="0.25">
      <c r="A206" s="9" t="str">
        <f>IF(Data!B206="","",IF(COUNTIFS(Data!A$1:'Data'!A206,Data!A206)&lt;=1,0,1))</f>
        <v/>
      </c>
      <c r="B206" s="9"/>
      <c r="C206" s="23" t="str">
        <f>IF(Data!C206="","",(IF(ISNUMBER(MATCH("*@*.?*",Data!C206,0)),0,1)+IF(COUNTIFS(Data!C$1:'Data'!C206,Data!C206)&gt;1,1,0)))</f>
        <v/>
      </c>
      <c r="D206" s="9" t="str">
        <f>IF(Data!B206="","",IF(ISNUMBER(Data!D206),IF(AND(Data!D206&gt;999999999,Data!D206&lt;=9999999999),IF(COUNTIFS(Data!D$1:'Data'!D206,Data!D206)&lt;=1,0,1),1),1))</f>
        <v/>
      </c>
      <c r="E206" s="9" t="str">
        <f>IF(Data!B206="","",IF(ISNUMBER(MATCH(Data!E206,Data_Val!$A$2:$A$3,0)),0,1))</f>
        <v/>
      </c>
      <c r="F206" s="9" t="str">
        <f ca="1">IF(Data!B206="","",IF(ISNUMBER(Data!F206),IF(AND(Data!F206&gt;(TODAY()-(Data_Val!$H$3*365.25)),Data!F206&lt;=(TODAY()-(Data_Val!$H$2*365.25))),0,1),1))</f>
        <v/>
      </c>
      <c r="G206" s="15" t="str">
        <f>IF(Data!B206="","",IF(AND(Data!G206="",Data!H206&lt;&gt;""),1,IF(Data!#REF!&lt;&gt;"",0,IF(ISNUMBER(MATCH(Data!G206,Data_Val!$C$2:$C$5,0)),0,1))))</f>
        <v/>
      </c>
      <c r="H206" s="15" t="str">
        <f>IF(Data!B206="","",IF(AND(Data!G206&lt;&gt;"",Data!H206=""),1,IF(Data!#REF!&lt;&gt;"",0,IF(Data!G206="",1,IF(ISNUMBER(MATCH(Data!H206,Data_Val!$D$2:$D$35,0)),0,1)))))</f>
        <v/>
      </c>
      <c r="I206" s="15" t="str">
        <f>IF(Data!B206="","",IF(Data!G206&lt;&gt;"",0,IF(ISNUMBER(MATCH(Data!#REF!,Data_Val!$E$2:$E$12,0)),0,1)))</f>
        <v/>
      </c>
      <c r="J206" s="16" t="e">
        <f>IF(OR(Data!B206="",Data!#REF!=""),"",IF(Data!#REF!="",1,0))</f>
        <v>#REF!</v>
      </c>
      <c r="K206" s="16" t="e">
        <f>IF(OR(Data!B206="",Data!#REF!=""),"",IF(Data!#REF!="",1,0))</f>
        <v>#REF!</v>
      </c>
      <c r="L206" s="16" t="e">
        <f>IF(OR(Data!B206="",Data!#REF!=""),"",IF(ISNUMBER(Data!#REF!),IF(AND(Data!#REF!&gt;Data_Val!$G$2,Data!#REF!&lt;=Data_Val!$G$3),0,1),1))</f>
        <v>#REF!</v>
      </c>
      <c r="M206" s="9" t="e">
        <f>IF(OR(Data!B206="",Data!#REF!=""),"",IF(ISNUMBER(MATCH(Data!#REF!,Data_Val!$F$1:$F$38,0)),0,1))</f>
        <v>#REF!</v>
      </c>
      <c r="N206" s="9" t="e">
        <f>IF(OR(Data!B206="",Data!#REF!=""),"",IF(Data!#REF!="",1,0))</f>
        <v>#REF!</v>
      </c>
      <c r="O206" s="17" t="e">
        <f>IF(Data!#REF!="","",IF(Data!#REF!="",1,0))</f>
        <v>#REF!</v>
      </c>
      <c r="P206" s="17" t="e">
        <f>IF(Data!#REF!="","",IF(ISNUMBER(MATCH(Data!#REF!,Data_Val!$A$2:$A$3,0)),0,1))</f>
        <v>#REF!</v>
      </c>
      <c r="Q206" s="25" t="e">
        <f ca="1">IF(Data!#REF!="","",IF(ISNUMBER(Data!#REF!),IF(AND(Data!#REF!&gt;(TODAY()-(Data_Val!$J$3*365.25)),Data!#REF!&lt;=(TODAY()-(Data_Val!$J$2*365.25))),0,1),1))</f>
        <v>#REF!</v>
      </c>
      <c r="R206" s="17" t="e">
        <f>IF(Data!#REF!="","",IF(ISNUMBER(MATCH(Data!#REF!,Data_Val!$B$2:$B$15,0)),0,1))</f>
        <v>#REF!</v>
      </c>
      <c r="S206" s="11" t="str">
        <f>IF(Data!G206="","",IF(Data!G206=Data_Val!$C$2,IF(Data!M206="",0,1),0))</f>
        <v/>
      </c>
      <c r="T206" s="11" t="str">
        <f>IF(Data!M206="","",IF(ISNUMBER(MATCH(Data!N206,Data_Val!$A$2:$A$3,0)),0,1))</f>
        <v/>
      </c>
      <c r="U206" s="11" t="str">
        <f ca="1">IF(Data!M206="","",IF(ISNUMBER(Data!O206),IF(AND(Data!O206&gt;(TODAY()-(Data_Val!$K$3*365.25)),Data!O206&lt;=(TODAY()-(Data_Val!$K$2*365.25))),0,1),1))</f>
        <v/>
      </c>
      <c r="V206" s="12" t="str">
        <f>IF(Data!G206="","",IF(Data!G206=Data_Val!$C$2,IF(Data!P206="",0,1),0))</f>
        <v/>
      </c>
      <c r="W206" s="12" t="str">
        <f>IF(Data!P206="","",IF(ISNUMBER(MATCH(Data!Q206,Data_Val!$A$2:$A$3,0)),0,1))</f>
        <v/>
      </c>
      <c r="X206" s="26" t="str">
        <f ca="1">IF(Data!P206="","",IF(ISNUMBER(Data!R206),IF(AND(Data!R206&gt;(TODAY()-(Data_Val!$L$3*365.25)),Data!R206&lt;=(TODAY()-(Data_Val!$L$2*365.25))),0,1),1))</f>
        <v/>
      </c>
      <c r="Y206" s="13" t="str">
        <f>IF(Data!$G206="","",IF(Data!$G206=Data_Val!$C$2,IF(Data!S206="",0,1),0))</f>
        <v/>
      </c>
      <c r="Z206" s="13" t="str">
        <f>IF(Data!S206="","",IF(ISNUMBER(MATCH(Data!T206,Data_Val!$A$2:$A$3,0)),0,1))</f>
        <v/>
      </c>
      <c r="AA206" s="28" t="str">
        <f ca="1">IF(Data!S206="","",IF(ISNUMBER(Data!U206),IF(AND(Data!U206&gt;(TODAY()-(Data_Val!$L$3*365.25)),Data!U206&lt;=(TODAY()-(Data_Val!$L$2*365.25))),0,1),1))</f>
        <v/>
      </c>
      <c r="AB206" s="11"/>
      <c r="AC206" s="11" t="e">
        <f>IF(Data!#REF!="","",IF(ISNUMBER(MATCH(Data!#REF!,Data_Val!$A$2:$A$3,0)),0,1))</f>
        <v>#REF!</v>
      </c>
      <c r="AD206" s="11" t="e">
        <f ca="1">IF(Data!#REF!="","",IF(ISNUMBER(Data!#REF!),IF(AND(Data!#REF!&gt;(TODAY()-(Data_Val!$L$3*365.25)),Data!#REF!&lt;=(TODAY()-(Data_Val!$L$2*365.25))),0,1),1))</f>
        <v>#REF!</v>
      </c>
      <c r="AE206" s="11" t="e">
        <f>IF(Data!#REF!="","",IF(Data!$G206="",1,IF(ISNUMBER(MATCH(Data!#REF!,Data_Val!$D$2:$D$10,0)),0,1)))</f>
        <v>#REF!</v>
      </c>
      <c r="AF206" s="12"/>
      <c r="AG206" s="12" t="e">
        <f>IF(Data!#REF!="","",IF(ISNUMBER(MATCH(Data!#REF!,Data_Val!$A$2:$A$3,0)),0,1))</f>
        <v>#REF!</v>
      </c>
      <c r="AH206" s="26" t="e">
        <f ca="1">IF(Data!#REF!="","",IF(ISNUMBER(Data!#REF!),IF(AND(Data!#REF!&gt;(TODAY()-(Data_Val!$L$3*365.25)),Data!#REF!&lt;=(TODAY()-(Data_Val!$L$2*365.25))),0,1),1))</f>
        <v>#REF!</v>
      </c>
      <c r="AI206" s="12" t="e">
        <f>IF(Data!#REF!="","",IF(Data!$G206="",1,IF(ISNUMBER(MATCH(Data!#REF!,Data_Val!$D$2:$D$10,0)),0,1)))</f>
        <v>#REF!</v>
      </c>
      <c r="AJ206" s="17"/>
      <c r="AK206" s="17" t="e">
        <f>IF(Data!#REF!="","",IF(ISNUMBER(MATCH(Data!#REF!,Data_Val!$A$2:$A$3,0)),0,1))</f>
        <v>#REF!</v>
      </c>
      <c r="AL206" s="25" t="e">
        <f ca="1">IF(Data!#REF!="","",IF(ISNUMBER(Data!#REF!),IF(AND(Data!#REF!&gt;(TODAY()-(Data_Val!$L$3*365.25)),Data!#REF!&lt;=(TODAY()-(Data_Val!$L$2*365.25))),0,1),1))</f>
        <v>#REF!</v>
      </c>
      <c r="AM206" s="17" t="e">
        <f>IF(Data!#REF!="","",IF(Data!$G206="",1,IF(ISNUMBER(MATCH(Data!#REF!,Data_Val!$D$2:$D$10,0)),0,1)))</f>
        <v>#REF!</v>
      </c>
      <c r="AN206" s="13"/>
      <c r="AO206" s="28" t="e">
        <f ca="1">IF(Data!#REF!="","",IF(ISNUMBER(Data!#REF!),IF(AND(Data!#REF!&gt;(TODAY()-(Data_Val!$I$3*365.25)),Data!#REF!&lt;=(TODAY()-(Data_Val!$I$2*365.25))),0,1),1))</f>
        <v>#REF!</v>
      </c>
      <c r="AP206" s="13" t="e">
        <f>IF(Data!#REF!="","",IF(Data!$G206="",1,IF(ISNUMBER(MATCH(Data!#REF!,Data_Val!$D$2:$D$10,0)),0,1)))</f>
        <v>#REF!</v>
      </c>
      <c r="AQ206" s="17"/>
      <c r="AR206" s="30" t="e">
        <f ca="1">IF(Data!#REF!="","",IF(ISNUMBER(Data!#REF!),IF(AND(Data!#REF!&gt;(TODAY()-(Data_Val!$I$3*365.25)),Data!#REF!&lt;=(TODAY()-(Data_Val!$I$2*365.25))),0,1),1))</f>
        <v>#REF!</v>
      </c>
      <c r="AS206" s="31" t="e">
        <f>IF(Data!#REF!="","",IF(Data!$G206="",1,IF(ISNUMBER(MATCH(Data!#REF!,Data_Val!$D$2:$D$10,0)),0,1)))</f>
        <v>#REF!</v>
      </c>
      <c r="AT206" s="11"/>
      <c r="AU206" s="11" t="e">
        <f ca="1">IF(Data!#REF!="","",IF(ISNUMBER(Data!#REF!),IF(AND(Data!#REF!&gt;(TODAY()-(Data_Val!$I$3*365.25)),Data!#REF!&lt;=(TODAY()-(Data_Val!$I$2*365.25))),0,1),1))</f>
        <v>#REF!</v>
      </c>
      <c r="AV206" s="11" t="e">
        <f>IF(Data!#REF!="","",IF(Data!$G206="",1,IF(ISNUMBER(MATCH(Data!#REF!,Data_Val!$D$2:$D$10,0)),0,1)))</f>
        <v>#REF!</v>
      </c>
      <c r="AW206" s="12"/>
      <c r="AX206" s="26" t="e">
        <f ca="1">IF(Data!#REF!="","",IF(ISNUMBER(Data!#REF!),IF(AND(Data!#REF!&gt;(TODAY()-(Data_Val!$I$3*365.25)),Data!#REF!&lt;=(TODAY()-(Data_Val!$I$2*365.25))),0,1),1))</f>
        <v>#REF!</v>
      </c>
      <c r="AY206" s="12" t="e">
        <f>IF(Data!#REF!="","",IF(Data!$G206="",1,IF(ISNUMBER(MATCH(Data!#REF!,Data_Val!$D$2:$D$10,0)),0,1)))</f>
        <v>#REF!</v>
      </c>
      <c r="AZ206" s="11"/>
      <c r="BA206" s="19" t="e">
        <f ca="1">IF(Data!#REF!="","",IF(ISNUMBER(Data!#REF!),IF(AND(Data!#REF!&gt;(TODAY()-(Data_Val!$M$3*365.25)),Data!#REF!&lt;=(TODAY()-(Data_Val!$M$2*365.25))),0,1),1))</f>
        <v>#REF!</v>
      </c>
      <c r="BB206" s="11" t="e">
        <f>IF(Data!#REF!="","",IF(Data!$G206="",1,IF(ISNUMBER(MATCH(Data!#REF!,Data_Val!$D$2:$D$10,0)),0,1)))</f>
        <v>#REF!</v>
      </c>
      <c r="BC206" s="12"/>
      <c r="BD206" s="20" t="e">
        <f ca="1">IF(Data!#REF!="","",IF(ISNUMBER(Data!#REF!),IF(AND(Data!#REF!&gt;(TODAY()-(Data_Val!$M$3*365.25)),Data!#REF!&lt;=(TODAY()-(Data_Val!$M$2*365.25))),0,1),1))</f>
        <v>#REF!</v>
      </c>
      <c r="BE206" s="12" t="e">
        <f>IF(Data!#REF!="","",IF(Data!$G206="",1,IF(ISNUMBER(MATCH(Data!#REF!,Data_Val!$D$2:$D$10,0)),0,1)))</f>
        <v>#REF!</v>
      </c>
      <c r="BF206" s="17"/>
      <c r="BG206" s="18" t="e">
        <f ca="1">IF(Data!#REF!="","",IF(ISNUMBER(Data!#REF!),IF(AND(Data!#REF!&gt;(TODAY()-(Data_Val!$M$3*365.25)),Data!#REF!&lt;=(TODAY()-(Data_Val!$M$2*365.25))),0,1),1))</f>
        <v>#REF!</v>
      </c>
      <c r="BH206" s="29" t="e">
        <f>IF(Data!#REF!="","",IF(Data!$G206="",1,IF(ISNUMBER(MATCH(Data!#REF!,Data_Val!$D$2:$D$10,0)),0,1)))</f>
        <v>#REF!</v>
      </c>
      <c r="BI206" s="13"/>
      <c r="BJ206" s="21" t="e">
        <f ca="1">IF(Data!#REF!="","",IF(ISNUMBER(Data!#REF!),IF(AND(Data!#REF!&gt;(TODAY()-(Data_Val!$M$3*365.25)),Data!#REF!&lt;=(TODAY()-(Data_Val!$M$2*365.25))),0,1),1))</f>
        <v>#REF!</v>
      </c>
      <c r="BK206" s="13" t="e">
        <f>IF(Data!#REF!="","",IF(Data!$G206="",1,IF(ISNUMBER(MATCH(Data!#REF!,Data_Val!$D$2:$D$10,0)),0,1)))</f>
        <v>#REF!</v>
      </c>
    </row>
    <row r="207" spans="1:63" x14ac:dyDescent="0.25">
      <c r="A207" s="9" t="str">
        <f>IF(Data!B207="","",IF(COUNTIFS(Data!A$1:'Data'!A207,Data!A207)&lt;=1,0,1))</f>
        <v/>
      </c>
      <c r="B207" s="9"/>
      <c r="C207" s="23" t="str">
        <f>IF(Data!C207="","",(IF(ISNUMBER(MATCH("*@*.?*",Data!C207,0)),0,1)+IF(COUNTIFS(Data!C$1:'Data'!C207,Data!C207)&gt;1,1,0)))</f>
        <v/>
      </c>
      <c r="D207" s="9" t="str">
        <f>IF(Data!B207="","",IF(ISNUMBER(Data!D207),IF(AND(Data!D207&gt;999999999,Data!D207&lt;=9999999999),IF(COUNTIFS(Data!D$1:'Data'!D207,Data!D207)&lt;=1,0,1),1),1))</f>
        <v/>
      </c>
      <c r="E207" s="9" t="str">
        <f>IF(Data!B207="","",IF(ISNUMBER(MATCH(Data!E207,Data_Val!$A$2:$A$3,0)),0,1))</f>
        <v/>
      </c>
      <c r="F207" s="9" t="str">
        <f ca="1">IF(Data!B207="","",IF(ISNUMBER(Data!F207),IF(AND(Data!F207&gt;(TODAY()-(Data_Val!$H$3*365.25)),Data!F207&lt;=(TODAY()-(Data_Val!$H$2*365.25))),0,1),1))</f>
        <v/>
      </c>
      <c r="G207" s="15" t="str">
        <f>IF(Data!B207="","",IF(AND(Data!G207="",Data!H207&lt;&gt;""),1,IF(Data!#REF!&lt;&gt;"",0,IF(ISNUMBER(MATCH(Data!G207,Data_Val!$C$2:$C$5,0)),0,1))))</f>
        <v/>
      </c>
      <c r="H207" s="15" t="str">
        <f>IF(Data!B207="","",IF(AND(Data!G207&lt;&gt;"",Data!H207=""),1,IF(Data!#REF!&lt;&gt;"",0,IF(Data!G207="",1,IF(ISNUMBER(MATCH(Data!H207,Data_Val!$D$2:$D$35,0)),0,1)))))</f>
        <v/>
      </c>
      <c r="I207" s="15" t="str">
        <f>IF(Data!B207="","",IF(Data!G207&lt;&gt;"",0,IF(ISNUMBER(MATCH(Data!#REF!,Data_Val!$E$2:$E$12,0)),0,1)))</f>
        <v/>
      </c>
      <c r="J207" s="16" t="e">
        <f>IF(OR(Data!B207="",Data!#REF!=""),"",IF(Data!#REF!="",1,0))</f>
        <v>#REF!</v>
      </c>
      <c r="K207" s="16" t="e">
        <f>IF(OR(Data!B207="",Data!#REF!=""),"",IF(Data!#REF!="",1,0))</f>
        <v>#REF!</v>
      </c>
      <c r="L207" s="16" t="e">
        <f>IF(OR(Data!B207="",Data!#REF!=""),"",IF(ISNUMBER(Data!#REF!),IF(AND(Data!#REF!&gt;Data_Val!$G$2,Data!#REF!&lt;=Data_Val!$G$3),0,1),1))</f>
        <v>#REF!</v>
      </c>
      <c r="M207" s="9" t="e">
        <f>IF(OR(Data!B207="",Data!#REF!=""),"",IF(ISNUMBER(MATCH(Data!#REF!,Data_Val!$F$1:$F$38,0)),0,1))</f>
        <v>#REF!</v>
      </c>
      <c r="N207" s="9" t="e">
        <f>IF(OR(Data!B207="",Data!#REF!=""),"",IF(Data!#REF!="",1,0))</f>
        <v>#REF!</v>
      </c>
      <c r="O207" s="17" t="e">
        <f>IF(Data!#REF!="","",IF(Data!#REF!="",1,0))</f>
        <v>#REF!</v>
      </c>
      <c r="P207" s="17" t="e">
        <f>IF(Data!#REF!="","",IF(ISNUMBER(MATCH(Data!#REF!,Data_Val!$A$2:$A$3,0)),0,1))</f>
        <v>#REF!</v>
      </c>
      <c r="Q207" s="25" t="e">
        <f ca="1">IF(Data!#REF!="","",IF(ISNUMBER(Data!#REF!),IF(AND(Data!#REF!&gt;(TODAY()-(Data_Val!$J$3*365.25)),Data!#REF!&lt;=(TODAY()-(Data_Val!$J$2*365.25))),0,1),1))</f>
        <v>#REF!</v>
      </c>
      <c r="R207" s="17" t="e">
        <f>IF(Data!#REF!="","",IF(ISNUMBER(MATCH(Data!#REF!,Data_Val!$B$2:$B$15,0)),0,1))</f>
        <v>#REF!</v>
      </c>
      <c r="S207" s="11" t="str">
        <f>IF(Data!G207="","",IF(Data!G207=Data_Val!$C$2,IF(Data!M207="",0,1),0))</f>
        <v/>
      </c>
      <c r="T207" s="11" t="str">
        <f>IF(Data!M207="","",IF(ISNUMBER(MATCH(Data!N207,Data_Val!$A$2:$A$3,0)),0,1))</f>
        <v/>
      </c>
      <c r="U207" s="11" t="str">
        <f ca="1">IF(Data!M207="","",IF(ISNUMBER(Data!O207),IF(AND(Data!O207&gt;(TODAY()-(Data_Val!$K$3*365.25)),Data!O207&lt;=(TODAY()-(Data_Val!$K$2*365.25))),0,1),1))</f>
        <v/>
      </c>
      <c r="V207" s="12" t="str">
        <f>IF(Data!G207="","",IF(Data!G207=Data_Val!$C$2,IF(Data!P207="",0,1),0))</f>
        <v/>
      </c>
      <c r="W207" s="12" t="str">
        <f>IF(Data!P207="","",IF(ISNUMBER(MATCH(Data!Q207,Data_Val!$A$2:$A$3,0)),0,1))</f>
        <v/>
      </c>
      <c r="X207" s="26" t="str">
        <f ca="1">IF(Data!P207="","",IF(ISNUMBER(Data!R207),IF(AND(Data!R207&gt;(TODAY()-(Data_Val!$L$3*365.25)),Data!R207&lt;=(TODAY()-(Data_Val!$L$2*365.25))),0,1),1))</f>
        <v/>
      </c>
      <c r="Y207" s="13" t="str">
        <f>IF(Data!$G207="","",IF(Data!$G207=Data_Val!$C$2,IF(Data!S207="",0,1),0))</f>
        <v/>
      </c>
      <c r="Z207" s="13" t="str">
        <f>IF(Data!S207="","",IF(ISNUMBER(MATCH(Data!T207,Data_Val!$A$2:$A$3,0)),0,1))</f>
        <v/>
      </c>
      <c r="AA207" s="28" t="str">
        <f ca="1">IF(Data!S207="","",IF(ISNUMBER(Data!U207),IF(AND(Data!U207&gt;(TODAY()-(Data_Val!$L$3*365.25)),Data!U207&lt;=(TODAY()-(Data_Val!$L$2*365.25))),0,1),1))</f>
        <v/>
      </c>
      <c r="AB207" s="11"/>
      <c r="AC207" s="11" t="e">
        <f>IF(Data!#REF!="","",IF(ISNUMBER(MATCH(Data!#REF!,Data_Val!$A$2:$A$3,0)),0,1))</f>
        <v>#REF!</v>
      </c>
      <c r="AD207" s="11" t="e">
        <f ca="1">IF(Data!#REF!="","",IF(ISNUMBER(Data!#REF!),IF(AND(Data!#REF!&gt;(TODAY()-(Data_Val!$L$3*365.25)),Data!#REF!&lt;=(TODAY()-(Data_Val!$L$2*365.25))),0,1),1))</f>
        <v>#REF!</v>
      </c>
      <c r="AE207" s="11" t="e">
        <f>IF(Data!#REF!="","",IF(Data!$G207="",1,IF(ISNUMBER(MATCH(Data!#REF!,Data_Val!$D$2:$D$10,0)),0,1)))</f>
        <v>#REF!</v>
      </c>
      <c r="AF207" s="12"/>
      <c r="AG207" s="12" t="e">
        <f>IF(Data!#REF!="","",IF(ISNUMBER(MATCH(Data!#REF!,Data_Val!$A$2:$A$3,0)),0,1))</f>
        <v>#REF!</v>
      </c>
      <c r="AH207" s="26" t="e">
        <f ca="1">IF(Data!#REF!="","",IF(ISNUMBER(Data!#REF!),IF(AND(Data!#REF!&gt;(TODAY()-(Data_Val!$L$3*365.25)),Data!#REF!&lt;=(TODAY()-(Data_Val!$L$2*365.25))),0,1),1))</f>
        <v>#REF!</v>
      </c>
      <c r="AI207" s="12" t="e">
        <f>IF(Data!#REF!="","",IF(Data!$G207="",1,IF(ISNUMBER(MATCH(Data!#REF!,Data_Val!$D$2:$D$10,0)),0,1)))</f>
        <v>#REF!</v>
      </c>
      <c r="AJ207" s="17"/>
      <c r="AK207" s="17" t="e">
        <f>IF(Data!#REF!="","",IF(ISNUMBER(MATCH(Data!#REF!,Data_Val!$A$2:$A$3,0)),0,1))</f>
        <v>#REF!</v>
      </c>
      <c r="AL207" s="25" t="e">
        <f ca="1">IF(Data!#REF!="","",IF(ISNUMBER(Data!#REF!),IF(AND(Data!#REF!&gt;(TODAY()-(Data_Val!$L$3*365.25)),Data!#REF!&lt;=(TODAY()-(Data_Val!$L$2*365.25))),0,1),1))</f>
        <v>#REF!</v>
      </c>
      <c r="AM207" s="17" t="e">
        <f>IF(Data!#REF!="","",IF(Data!$G207="",1,IF(ISNUMBER(MATCH(Data!#REF!,Data_Val!$D$2:$D$10,0)),0,1)))</f>
        <v>#REF!</v>
      </c>
      <c r="AN207" s="13"/>
      <c r="AO207" s="28" t="e">
        <f ca="1">IF(Data!#REF!="","",IF(ISNUMBER(Data!#REF!),IF(AND(Data!#REF!&gt;(TODAY()-(Data_Val!$I$3*365.25)),Data!#REF!&lt;=(TODAY()-(Data_Val!$I$2*365.25))),0,1),1))</f>
        <v>#REF!</v>
      </c>
      <c r="AP207" s="13" t="e">
        <f>IF(Data!#REF!="","",IF(Data!$G207="",1,IF(ISNUMBER(MATCH(Data!#REF!,Data_Val!$D$2:$D$10,0)),0,1)))</f>
        <v>#REF!</v>
      </c>
      <c r="AQ207" s="17"/>
      <c r="AR207" s="30" t="e">
        <f ca="1">IF(Data!#REF!="","",IF(ISNUMBER(Data!#REF!),IF(AND(Data!#REF!&gt;(TODAY()-(Data_Val!$I$3*365.25)),Data!#REF!&lt;=(TODAY()-(Data_Val!$I$2*365.25))),0,1),1))</f>
        <v>#REF!</v>
      </c>
      <c r="AS207" s="31" t="e">
        <f>IF(Data!#REF!="","",IF(Data!$G207="",1,IF(ISNUMBER(MATCH(Data!#REF!,Data_Val!$D$2:$D$10,0)),0,1)))</f>
        <v>#REF!</v>
      </c>
      <c r="AT207" s="11"/>
      <c r="AU207" s="11" t="e">
        <f ca="1">IF(Data!#REF!="","",IF(ISNUMBER(Data!#REF!),IF(AND(Data!#REF!&gt;(TODAY()-(Data_Val!$I$3*365.25)),Data!#REF!&lt;=(TODAY()-(Data_Val!$I$2*365.25))),0,1),1))</f>
        <v>#REF!</v>
      </c>
      <c r="AV207" s="11" t="e">
        <f>IF(Data!#REF!="","",IF(Data!$G207="",1,IF(ISNUMBER(MATCH(Data!#REF!,Data_Val!$D$2:$D$10,0)),0,1)))</f>
        <v>#REF!</v>
      </c>
      <c r="AW207" s="12"/>
      <c r="AX207" s="26" t="e">
        <f ca="1">IF(Data!#REF!="","",IF(ISNUMBER(Data!#REF!),IF(AND(Data!#REF!&gt;(TODAY()-(Data_Val!$I$3*365.25)),Data!#REF!&lt;=(TODAY()-(Data_Val!$I$2*365.25))),0,1),1))</f>
        <v>#REF!</v>
      </c>
      <c r="AY207" s="12" t="e">
        <f>IF(Data!#REF!="","",IF(Data!$G207="",1,IF(ISNUMBER(MATCH(Data!#REF!,Data_Val!$D$2:$D$10,0)),0,1)))</f>
        <v>#REF!</v>
      </c>
      <c r="AZ207" s="11"/>
      <c r="BA207" s="19" t="e">
        <f ca="1">IF(Data!#REF!="","",IF(ISNUMBER(Data!#REF!),IF(AND(Data!#REF!&gt;(TODAY()-(Data_Val!$M$3*365.25)),Data!#REF!&lt;=(TODAY()-(Data_Val!$M$2*365.25))),0,1),1))</f>
        <v>#REF!</v>
      </c>
      <c r="BB207" s="11" t="e">
        <f>IF(Data!#REF!="","",IF(Data!$G207="",1,IF(ISNUMBER(MATCH(Data!#REF!,Data_Val!$D$2:$D$10,0)),0,1)))</f>
        <v>#REF!</v>
      </c>
      <c r="BC207" s="12"/>
      <c r="BD207" s="20" t="e">
        <f ca="1">IF(Data!#REF!="","",IF(ISNUMBER(Data!#REF!),IF(AND(Data!#REF!&gt;(TODAY()-(Data_Val!$M$3*365.25)),Data!#REF!&lt;=(TODAY()-(Data_Val!$M$2*365.25))),0,1),1))</f>
        <v>#REF!</v>
      </c>
      <c r="BE207" s="12" t="e">
        <f>IF(Data!#REF!="","",IF(Data!$G207="",1,IF(ISNUMBER(MATCH(Data!#REF!,Data_Val!$D$2:$D$10,0)),0,1)))</f>
        <v>#REF!</v>
      </c>
      <c r="BF207" s="17"/>
      <c r="BG207" s="18" t="e">
        <f ca="1">IF(Data!#REF!="","",IF(ISNUMBER(Data!#REF!),IF(AND(Data!#REF!&gt;(TODAY()-(Data_Val!$M$3*365.25)),Data!#REF!&lt;=(TODAY()-(Data_Val!$M$2*365.25))),0,1),1))</f>
        <v>#REF!</v>
      </c>
      <c r="BH207" s="29" t="e">
        <f>IF(Data!#REF!="","",IF(Data!$G207="",1,IF(ISNUMBER(MATCH(Data!#REF!,Data_Val!$D$2:$D$10,0)),0,1)))</f>
        <v>#REF!</v>
      </c>
      <c r="BI207" s="13"/>
      <c r="BJ207" s="21" t="e">
        <f ca="1">IF(Data!#REF!="","",IF(ISNUMBER(Data!#REF!),IF(AND(Data!#REF!&gt;(TODAY()-(Data_Val!$M$3*365.25)),Data!#REF!&lt;=(TODAY()-(Data_Val!$M$2*365.25))),0,1),1))</f>
        <v>#REF!</v>
      </c>
      <c r="BK207" s="13" t="e">
        <f>IF(Data!#REF!="","",IF(Data!$G207="",1,IF(ISNUMBER(MATCH(Data!#REF!,Data_Val!$D$2:$D$10,0)),0,1)))</f>
        <v>#REF!</v>
      </c>
    </row>
    <row r="208" spans="1:63" x14ac:dyDescent="0.25">
      <c r="A208" s="9" t="str">
        <f>IF(Data!B208="","",IF(COUNTIFS(Data!A$1:'Data'!A208,Data!A208)&lt;=1,0,1))</f>
        <v/>
      </c>
      <c r="B208" s="9"/>
      <c r="C208" s="23" t="str">
        <f>IF(Data!C208="","",(IF(ISNUMBER(MATCH("*@*.?*",Data!C208,0)),0,1)+IF(COUNTIFS(Data!C$1:'Data'!C208,Data!C208)&gt;1,1,0)))</f>
        <v/>
      </c>
      <c r="D208" s="9" t="str">
        <f>IF(Data!B208="","",IF(ISNUMBER(Data!D208),IF(AND(Data!D208&gt;999999999,Data!D208&lt;=9999999999),IF(COUNTIFS(Data!D$1:'Data'!D208,Data!D208)&lt;=1,0,1),1),1))</f>
        <v/>
      </c>
      <c r="E208" s="9" t="str">
        <f>IF(Data!B208="","",IF(ISNUMBER(MATCH(Data!E208,Data_Val!$A$2:$A$3,0)),0,1))</f>
        <v/>
      </c>
      <c r="F208" s="9" t="str">
        <f ca="1">IF(Data!B208="","",IF(ISNUMBER(Data!F208),IF(AND(Data!F208&gt;(TODAY()-(Data_Val!$H$3*365.25)),Data!F208&lt;=(TODAY()-(Data_Val!$H$2*365.25))),0,1),1))</f>
        <v/>
      </c>
      <c r="G208" s="15" t="str">
        <f>IF(Data!B208="","",IF(AND(Data!G208="",Data!H208&lt;&gt;""),1,IF(Data!#REF!&lt;&gt;"",0,IF(ISNUMBER(MATCH(Data!G208,Data_Val!$C$2:$C$5,0)),0,1))))</f>
        <v/>
      </c>
      <c r="H208" s="15" t="str">
        <f>IF(Data!B208="","",IF(AND(Data!G208&lt;&gt;"",Data!H208=""),1,IF(Data!#REF!&lt;&gt;"",0,IF(Data!G208="",1,IF(ISNUMBER(MATCH(Data!H208,Data_Val!$D$2:$D$35,0)),0,1)))))</f>
        <v/>
      </c>
      <c r="I208" s="15" t="str">
        <f>IF(Data!B208="","",IF(Data!G208&lt;&gt;"",0,IF(ISNUMBER(MATCH(Data!#REF!,Data_Val!$E$2:$E$12,0)),0,1)))</f>
        <v/>
      </c>
      <c r="J208" s="16" t="e">
        <f>IF(OR(Data!B208="",Data!#REF!=""),"",IF(Data!#REF!="",1,0))</f>
        <v>#REF!</v>
      </c>
      <c r="K208" s="16" t="e">
        <f>IF(OR(Data!B208="",Data!#REF!=""),"",IF(Data!#REF!="",1,0))</f>
        <v>#REF!</v>
      </c>
      <c r="L208" s="16" t="e">
        <f>IF(OR(Data!B208="",Data!#REF!=""),"",IF(ISNUMBER(Data!#REF!),IF(AND(Data!#REF!&gt;Data_Val!$G$2,Data!#REF!&lt;=Data_Val!$G$3),0,1),1))</f>
        <v>#REF!</v>
      </c>
      <c r="M208" s="9" t="e">
        <f>IF(OR(Data!B208="",Data!#REF!=""),"",IF(ISNUMBER(MATCH(Data!#REF!,Data_Val!$F$1:$F$38,0)),0,1))</f>
        <v>#REF!</v>
      </c>
      <c r="N208" s="9" t="e">
        <f>IF(OR(Data!B208="",Data!#REF!=""),"",IF(Data!#REF!="",1,0))</f>
        <v>#REF!</v>
      </c>
      <c r="O208" s="17" t="e">
        <f>IF(Data!#REF!="","",IF(Data!#REF!="",1,0))</f>
        <v>#REF!</v>
      </c>
      <c r="P208" s="17" t="e">
        <f>IF(Data!#REF!="","",IF(ISNUMBER(MATCH(Data!#REF!,Data_Val!$A$2:$A$3,0)),0,1))</f>
        <v>#REF!</v>
      </c>
      <c r="Q208" s="25" t="e">
        <f ca="1">IF(Data!#REF!="","",IF(ISNUMBER(Data!#REF!),IF(AND(Data!#REF!&gt;(TODAY()-(Data_Val!$J$3*365.25)),Data!#REF!&lt;=(TODAY()-(Data_Val!$J$2*365.25))),0,1),1))</f>
        <v>#REF!</v>
      </c>
      <c r="R208" s="17" t="e">
        <f>IF(Data!#REF!="","",IF(ISNUMBER(MATCH(Data!#REF!,Data_Val!$B$2:$B$15,0)),0,1))</f>
        <v>#REF!</v>
      </c>
      <c r="S208" s="11" t="str">
        <f>IF(Data!G208="","",IF(Data!G208=Data_Val!$C$2,IF(Data!M208="",0,1),0))</f>
        <v/>
      </c>
      <c r="T208" s="11" t="str">
        <f>IF(Data!M208="","",IF(ISNUMBER(MATCH(Data!N208,Data_Val!$A$2:$A$3,0)),0,1))</f>
        <v/>
      </c>
      <c r="U208" s="11" t="str">
        <f ca="1">IF(Data!M208="","",IF(ISNUMBER(Data!O208),IF(AND(Data!O208&gt;(TODAY()-(Data_Val!$K$3*365.25)),Data!O208&lt;=(TODAY()-(Data_Val!$K$2*365.25))),0,1),1))</f>
        <v/>
      </c>
      <c r="V208" s="12" t="str">
        <f>IF(Data!G208="","",IF(Data!G208=Data_Val!$C$2,IF(Data!P208="",0,1),0))</f>
        <v/>
      </c>
      <c r="W208" s="12" t="str">
        <f>IF(Data!P208="","",IF(ISNUMBER(MATCH(Data!Q208,Data_Val!$A$2:$A$3,0)),0,1))</f>
        <v/>
      </c>
      <c r="X208" s="26" t="str">
        <f ca="1">IF(Data!P208="","",IF(ISNUMBER(Data!R208),IF(AND(Data!R208&gt;(TODAY()-(Data_Val!$L$3*365.25)),Data!R208&lt;=(TODAY()-(Data_Val!$L$2*365.25))),0,1),1))</f>
        <v/>
      </c>
      <c r="Y208" s="13" t="str">
        <f>IF(Data!$G208="","",IF(Data!$G208=Data_Val!$C$2,IF(Data!S208="",0,1),0))</f>
        <v/>
      </c>
      <c r="Z208" s="13" t="str">
        <f>IF(Data!S208="","",IF(ISNUMBER(MATCH(Data!T208,Data_Val!$A$2:$A$3,0)),0,1))</f>
        <v/>
      </c>
      <c r="AA208" s="28" t="str">
        <f ca="1">IF(Data!S208="","",IF(ISNUMBER(Data!U208),IF(AND(Data!U208&gt;(TODAY()-(Data_Val!$L$3*365.25)),Data!U208&lt;=(TODAY()-(Data_Val!$L$2*365.25))),0,1),1))</f>
        <v/>
      </c>
      <c r="AB208" s="11"/>
      <c r="AC208" s="11" t="e">
        <f>IF(Data!#REF!="","",IF(ISNUMBER(MATCH(Data!#REF!,Data_Val!$A$2:$A$3,0)),0,1))</f>
        <v>#REF!</v>
      </c>
      <c r="AD208" s="11" t="e">
        <f ca="1">IF(Data!#REF!="","",IF(ISNUMBER(Data!#REF!),IF(AND(Data!#REF!&gt;(TODAY()-(Data_Val!$L$3*365.25)),Data!#REF!&lt;=(TODAY()-(Data_Val!$L$2*365.25))),0,1),1))</f>
        <v>#REF!</v>
      </c>
      <c r="AE208" s="11" t="e">
        <f>IF(Data!#REF!="","",IF(Data!$G208="",1,IF(ISNUMBER(MATCH(Data!#REF!,Data_Val!$D$2:$D$10,0)),0,1)))</f>
        <v>#REF!</v>
      </c>
      <c r="AF208" s="12"/>
      <c r="AG208" s="12" t="e">
        <f>IF(Data!#REF!="","",IF(ISNUMBER(MATCH(Data!#REF!,Data_Val!$A$2:$A$3,0)),0,1))</f>
        <v>#REF!</v>
      </c>
      <c r="AH208" s="26" t="e">
        <f ca="1">IF(Data!#REF!="","",IF(ISNUMBER(Data!#REF!),IF(AND(Data!#REF!&gt;(TODAY()-(Data_Val!$L$3*365.25)),Data!#REF!&lt;=(TODAY()-(Data_Val!$L$2*365.25))),0,1),1))</f>
        <v>#REF!</v>
      </c>
      <c r="AI208" s="12" t="e">
        <f>IF(Data!#REF!="","",IF(Data!$G208="",1,IF(ISNUMBER(MATCH(Data!#REF!,Data_Val!$D$2:$D$10,0)),0,1)))</f>
        <v>#REF!</v>
      </c>
      <c r="AJ208" s="17"/>
      <c r="AK208" s="17" t="e">
        <f>IF(Data!#REF!="","",IF(ISNUMBER(MATCH(Data!#REF!,Data_Val!$A$2:$A$3,0)),0,1))</f>
        <v>#REF!</v>
      </c>
      <c r="AL208" s="25" t="e">
        <f ca="1">IF(Data!#REF!="","",IF(ISNUMBER(Data!#REF!),IF(AND(Data!#REF!&gt;(TODAY()-(Data_Val!$L$3*365.25)),Data!#REF!&lt;=(TODAY()-(Data_Val!$L$2*365.25))),0,1),1))</f>
        <v>#REF!</v>
      </c>
      <c r="AM208" s="17" t="e">
        <f>IF(Data!#REF!="","",IF(Data!$G208="",1,IF(ISNUMBER(MATCH(Data!#REF!,Data_Val!$D$2:$D$10,0)),0,1)))</f>
        <v>#REF!</v>
      </c>
      <c r="AN208" s="13"/>
      <c r="AO208" s="28" t="e">
        <f ca="1">IF(Data!#REF!="","",IF(ISNUMBER(Data!#REF!),IF(AND(Data!#REF!&gt;(TODAY()-(Data_Val!$I$3*365.25)),Data!#REF!&lt;=(TODAY()-(Data_Val!$I$2*365.25))),0,1),1))</f>
        <v>#REF!</v>
      </c>
      <c r="AP208" s="13" t="e">
        <f>IF(Data!#REF!="","",IF(Data!$G208="",1,IF(ISNUMBER(MATCH(Data!#REF!,Data_Val!$D$2:$D$10,0)),0,1)))</f>
        <v>#REF!</v>
      </c>
      <c r="AQ208" s="17"/>
      <c r="AR208" s="30" t="e">
        <f ca="1">IF(Data!#REF!="","",IF(ISNUMBER(Data!#REF!),IF(AND(Data!#REF!&gt;(TODAY()-(Data_Val!$I$3*365.25)),Data!#REF!&lt;=(TODAY()-(Data_Val!$I$2*365.25))),0,1),1))</f>
        <v>#REF!</v>
      </c>
      <c r="AS208" s="31" t="e">
        <f>IF(Data!#REF!="","",IF(Data!$G208="",1,IF(ISNUMBER(MATCH(Data!#REF!,Data_Val!$D$2:$D$10,0)),0,1)))</f>
        <v>#REF!</v>
      </c>
      <c r="AT208" s="11"/>
      <c r="AU208" s="11" t="e">
        <f ca="1">IF(Data!#REF!="","",IF(ISNUMBER(Data!#REF!),IF(AND(Data!#REF!&gt;(TODAY()-(Data_Val!$I$3*365.25)),Data!#REF!&lt;=(TODAY()-(Data_Val!$I$2*365.25))),0,1),1))</f>
        <v>#REF!</v>
      </c>
      <c r="AV208" s="11" t="e">
        <f>IF(Data!#REF!="","",IF(Data!$G208="",1,IF(ISNUMBER(MATCH(Data!#REF!,Data_Val!$D$2:$D$10,0)),0,1)))</f>
        <v>#REF!</v>
      </c>
      <c r="AW208" s="12"/>
      <c r="AX208" s="26" t="e">
        <f ca="1">IF(Data!#REF!="","",IF(ISNUMBER(Data!#REF!),IF(AND(Data!#REF!&gt;(TODAY()-(Data_Val!$I$3*365.25)),Data!#REF!&lt;=(TODAY()-(Data_Val!$I$2*365.25))),0,1),1))</f>
        <v>#REF!</v>
      </c>
      <c r="AY208" s="12" t="e">
        <f>IF(Data!#REF!="","",IF(Data!$G208="",1,IF(ISNUMBER(MATCH(Data!#REF!,Data_Val!$D$2:$D$10,0)),0,1)))</f>
        <v>#REF!</v>
      </c>
      <c r="AZ208" s="11"/>
      <c r="BA208" s="19" t="e">
        <f ca="1">IF(Data!#REF!="","",IF(ISNUMBER(Data!#REF!),IF(AND(Data!#REF!&gt;(TODAY()-(Data_Val!$M$3*365.25)),Data!#REF!&lt;=(TODAY()-(Data_Val!$M$2*365.25))),0,1),1))</f>
        <v>#REF!</v>
      </c>
      <c r="BB208" s="11" t="e">
        <f>IF(Data!#REF!="","",IF(Data!$G208="",1,IF(ISNUMBER(MATCH(Data!#REF!,Data_Val!$D$2:$D$10,0)),0,1)))</f>
        <v>#REF!</v>
      </c>
      <c r="BC208" s="12"/>
      <c r="BD208" s="20" t="e">
        <f ca="1">IF(Data!#REF!="","",IF(ISNUMBER(Data!#REF!),IF(AND(Data!#REF!&gt;(TODAY()-(Data_Val!$M$3*365.25)),Data!#REF!&lt;=(TODAY()-(Data_Val!$M$2*365.25))),0,1),1))</f>
        <v>#REF!</v>
      </c>
      <c r="BE208" s="12" t="e">
        <f>IF(Data!#REF!="","",IF(Data!$G208="",1,IF(ISNUMBER(MATCH(Data!#REF!,Data_Val!$D$2:$D$10,0)),0,1)))</f>
        <v>#REF!</v>
      </c>
      <c r="BF208" s="17"/>
      <c r="BG208" s="18" t="e">
        <f ca="1">IF(Data!#REF!="","",IF(ISNUMBER(Data!#REF!),IF(AND(Data!#REF!&gt;(TODAY()-(Data_Val!$M$3*365.25)),Data!#REF!&lt;=(TODAY()-(Data_Val!$M$2*365.25))),0,1),1))</f>
        <v>#REF!</v>
      </c>
      <c r="BH208" s="29" t="e">
        <f>IF(Data!#REF!="","",IF(Data!$G208="",1,IF(ISNUMBER(MATCH(Data!#REF!,Data_Val!$D$2:$D$10,0)),0,1)))</f>
        <v>#REF!</v>
      </c>
      <c r="BI208" s="13"/>
      <c r="BJ208" s="21" t="e">
        <f ca="1">IF(Data!#REF!="","",IF(ISNUMBER(Data!#REF!),IF(AND(Data!#REF!&gt;(TODAY()-(Data_Val!$M$3*365.25)),Data!#REF!&lt;=(TODAY()-(Data_Val!$M$2*365.25))),0,1),1))</f>
        <v>#REF!</v>
      </c>
      <c r="BK208" s="13" t="e">
        <f>IF(Data!#REF!="","",IF(Data!$G208="",1,IF(ISNUMBER(MATCH(Data!#REF!,Data_Val!$D$2:$D$10,0)),0,1)))</f>
        <v>#REF!</v>
      </c>
    </row>
    <row r="209" spans="1:63" x14ac:dyDescent="0.25">
      <c r="A209" s="9" t="str">
        <f>IF(Data!B209="","",IF(COUNTIFS(Data!A$1:'Data'!A209,Data!A209)&lt;=1,0,1))</f>
        <v/>
      </c>
      <c r="B209" s="9"/>
      <c r="C209" s="23" t="str">
        <f>IF(Data!C209="","",(IF(ISNUMBER(MATCH("*@*.?*",Data!C209,0)),0,1)+IF(COUNTIFS(Data!C$1:'Data'!C209,Data!C209)&gt;1,1,0)))</f>
        <v/>
      </c>
      <c r="D209" s="9" t="str">
        <f>IF(Data!B209="","",IF(ISNUMBER(Data!D209),IF(AND(Data!D209&gt;999999999,Data!D209&lt;=9999999999),IF(COUNTIFS(Data!D$1:'Data'!D209,Data!D209)&lt;=1,0,1),1),1))</f>
        <v/>
      </c>
      <c r="E209" s="9" t="str">
        <f>IF(Data!B209="","",IF(ISNUMBER(MATCH(Data!E209,Data_Val!$A$2:$A$3,0)),0,1))</f>
        <v/>
      </c>
      <c r="F209" s="9" t="str">
        <f ca="1">IF(Data!B209="","",IF(ISNUMBER(Data!F209),IF(AND(Data!F209&gt;(TODAY()-(Data_Val!$H$3*365.25)),Data!F209&lt;=(TODAY()-(Data_Val!$H$2*365.25))),0,1),1))</f>
        <v/>
      </c>
      <c r="G209" s="15" t="str">
        <f>IF(Data!B209="","",IF(AND(Data!G209="",Data!H209&lt;&gt;""),1,IF(Data!#REF!&lt;&gt;"",0,IF(ISNUMBER(MATCH(Data!G209,Data_Val!$C$2:$C$5,0)),0,1))))</f>
        <v/>
      </c>
      <c r="H209" s="15" t="str">
        <f>IF(Data!B209="","",IF(AND(Data!G209&lt;&gt;"",Data!H209=""),1,IF(Data!#REF!&lt;&gt;"",0,IF(Data!G209="",1,IF(ISNUMBER(MATCH(Data!H209,Data_Val!$D$2:$D$35,0)),0,1)))))</f>
        <v/>
      </c>
      <c r="I209" s="15" t="str">
        <f>IF(Data!B209="","",IF(Data!G209&lt;&gt;"",0,IF(ISNUMBER(MATCH(Data!#REF!,Data_Val!$E$2:$E$12,0)),0,1)))</f>
        <v/>
      </c>
      <c r="J209" s="16" t="e">
        <f>IF(OR(Data!B209="",Data!#REF!=""),"",IF(Data!#REF!="",1,0))</f>
        <v>#REF!</v>
      </c>
      <c r="K209" s="16" t="e">
        <f>IF(OR(Data!B209="",Data!#REF!=""),"",IF(Data!#REF!="",1,0))</f>
        <v>#REF!</v>
      </c>
      <c r="L209" s="16" t="e">
        <f>IF(OR(Data!B209="",Data!#REF!=""),"",IF(ISNUMBER(Data!#REF!),IF(AND(Data!#REF!&gt;Data_Val!$G$2,Data!#REF!&lt;=Data_Val!$G$3),0,1),1))</f>
        <v>#REF!</v>
      </c>
      <c r="M209" s="9" t="e">
        <f>IF(OR(Data!B209="",Data!#REF!=""),"",IF(ISNUMBER(MATCH(Data!#REF!,Data_Val!$F$1:$F$38,0)),0,1))</f>
        <v>#REF!</v>
      </c>
      <c r="N209" s="9" t="e">
        <f>IF(OR(Data!B209="",Data!#REF!=""),"",IF(Data!#REF!="",1,0))</f>
        <v>#REF!</v>
      </c>
      <c r="O209" s="17" t="e">
        <f>IF(Data!#REF!="","",IF(Data!#REF!="",1,0))</f>
        <v>#REF!</v>
      </c>
      <c r="P209" s="17" t="e">
        <f>IF(Data!#REF!="","",IF(ISNUMBER(MATCH(Data!#REF!,Data_Val!$A$2:$A$3,0)),0,1))</f>
        <v>#REF!</v>
      </c>
      <c r="Q209" s="25" t="e">
        <f ca="1">IF(Data!#REF!="","",IF(ISNUMBER(Data!#REF!),IF(AND(Data!#REF!&gt;(TODAY()-(Data_Val!$J$3*365.25)),Data!#REF!&lt;=(TODAY()-(Data_Val!$J$2*365.25))),0,1),1))</f>
        <v>#REF!</v>
      </c>
      <c r="R209" s="17" t="e">
        <f>IF(Data!#REF!="","",IF(ISNUMBER(MATCH(Data!#REF!,Data_Val!$B$2:$B$15,0)),0,1))</f>
        <v>#REF!</v>
      </c>
      <c r="S209" s="11" t="str">
        <f>IF(Data!G209="","",IF(Data!G209=Data_Val!$C$2,IF(Data!M209="",0,1),0))</f>
        <v/>
      </c>
      <c r="T209" s="11" t="str">
        <f>IF(Data!M209="","",IF(ISNUMBER(MATCH(Data!N209,Data_Val!$A$2:$A$3,0)),0,1))</f>
        <v/>
      </c>
      <c r="U209" s="11" t="str">
        <f ca="1">IF(Data!M209="","",IF(ISNUMBER(Data!O209),IF(AND(Data!O209&gt;(TODAY()-(Data_Val!$K$3*365.25)),Data!O209&lt;=(TODAY()-(Data_Val!$K$2*365.25))),0,1),1))</f>
        <v/>
      </c>
      <c r="V209" s="12" t="str">
        <f>IF(Data!G209="","",IF(Data!G209=Data_Val!$C$2,IF(Data!P209="",0,1),0))</f>
        <v/>
      </c>
      <c r="W209" s="12" t="str">
        <f>IF(Data!P209="","",IF(ISNUMBER(MATCH(Data!Q209,Data_Val!$A$2:$A$3,0)),0,1))</f>
        <v/>
      </c>
      <c r="X209" s="26" t="str">
        <f ca="1">IF(Data!P209="","",IF(ISNUMBER(Data!R209),IF(AND(Data!R209&gt;(TODAY()-(Data_Val!$L$3*365.25)),Data!R209&lt;=(TODAY()-(Data_Val!$L$2*365.25))),0,1),1))</f>
        <v/>
      </c>
      <c r="Y209" s="13" t="str">
        <f>IF(Data!$G209="","",IF(Data!$G209=Data_Val!$C$2,IF(Data!S209="",0,1),0))</f>
        <v/>
      </c>
      <c r="Z209" s="13" t="str">
        <f>IF(Data!S209="","",IF(ISNUMBER(MATCH(Data!T209,Data_Val!$A$2:$A$3,0)),0,1))</f>
        <v/>
      </c>
      <c r="AA209" s="28" t="str">
        <f ca="1">IF(Data!S209="","",IF(ISNUMBER(Data!U209),IF(AND(Data!U209&gt;(TODAY()-(Data_Val!$L$3*365.25)),Data!U209&lt;=(TODAY()-(Data_Val!$L$2*365.25))),0,1),1))</f>
        <v/>
      </c>
      <c r="AB209" s="11"/>
      <c r="AC209" s="11" t="e">
        <f>IF(Data!#REF!="","",IF(ISNUMBER(MATCH(Data!#REF!,Data_Val!$A$2:$A$3,0)),0,1))</f>
        <v>#REF!</v>
      </c>
      <c r="AD209" s="11" t="e">
        <f ca="1">IF(Data!#REF!="","",IF(ISNUMBER(Data!#REF!),IF(AND(Data!#REF!&gt;(TODAY()-(Data_Val!$L$3*365.25)),Data!#REF!&lt;=(TODAY()-(Data_Val!$L$2*365.25))),0,1),1))</f>
        <v>#REF!</v>
      </c>
      <c r="AE209" s="11" t="e">
        <f>IF(Data!#REF!="","",IF(Data!$G209="",1,IF(ISNUMBER(MATCH(Data!#REF!,Data_Val!$D$2:$D$10,0)),0,1)))</f>
        <v>#REF!</v>
      </c>
      <c r="AF209" s="12"/>
      <c r="AG209" s="12" t="e">
        <f>IF(Data!#REF!="","",IF(ISNUMBER(MATCH(Data!#REF!,Data_Val!$A$2:$A$3,0)),0,1))</f>
        <v>#REF!</v>
      </c>
      <c r="AH209" s="26" t="e">
        <f ca="1">IF(Data!#REF!="","",IF(ISNUMBER(Data!#REF!),IF(AND(Data!#REF!&gt;(TODAY()-(Data_Val!$L$3*365.25)),Data!#REF!&lt;=(TODAY()-(Data_Val!$L$2*365.25))),0,1),1))</f>
        <v>#REF!</v>
      </c>
      <c r="AI209" s="12" t="e">
        <f>IF(Data!#REF!="","",IF(Data!$G209="",1,IF(ISNUMBER(MATCH(Data!#REF!,Data_Val!$D$2:$D$10,0)),0,1)))</f>
        <v>#REF!</v>
      </c>
      <c r="AJ209" s="17"/>
      <c r="AK209" s="17" t="e">
        <f>IF(Data!#REF!="","",IF(ISNUMBER(MATCH(Data!#REF!,Data_Val!$A$2:$A$3,0)),0,1))</f>
        <v>#REF!</v>
      </c>
      <c r="AL209" s="25" t="e">
        <f ca="1">IF(Data!#REF!="","",IF(ISNUMBER(Data!#REF!),IF(AND(Data!#REF!&gt;(TODAY()-(Data_Val!$L$3*365.25)),Data!#REF!&lt;=(TODAY()-(Data_Val!$L$2*365.25))),0,1),1))</f>
        <v>#REF!</v>
      </c>
      <c r="AM209" s="17" t="e">
        <f>IF(Data!#REF!="","",IF(Data!$G209="",1,IF(ISNUMBER(MATCH(Data!#REF!,Data_Val!$D$2:$D$10,0)),0,1)))</f>
        <v>#REF!</v>
      </c>
      <c r="AN209" s="13"/>
      <c r="AO209" s="28" t="e">
        <f ca="1">IF(Data!#REF!="","",IF(ISNUMBER(Data!#REF!),IF(AND(Data!#REF!&gt;(TODAY()-(Data_Val!$I$3*365.25)),Data!#REF!&lt;=(TODAY()-(Data_Val!$I$2*365.25))),0,1),1))</f>
        <v>#REF!</v>
      </c>
      <c r="AP209" s="13" t="e">
        <f>IF(Data!#REF!="","",IF(Data!$G209="",1,IF(ISNUMBER(MATCH(Data!#REF!,Data_Val!$D$2:$D$10,0)),0,1)))</f>
        <v>#REF!</v>
      </c>
      <c r="AQ209" s="17"/>
      <c r="AR209" s="30" t="e">
        <f ca="1">IF(Data!#REF!="","",IF(ISNUMBER(Data!#REF!),IF(AND(Data!#REF!&gt;(TODAY()-(Data_Val!$I$3*365.25)),Data!#REF!&lt;=(TODAY()-(Data_Val!$I$2*365.25))),0,1),1))</f>
        <v>#REF!</v>
      </c>
      <c r="AS209" s="31" t="e">
        <f>IF(Data!#REF!="","",IF(Data!$G209="",1,IF(ISNUMBER(MATCH(Data!#REF!,Data_Val!$D$2:$D$10,0)),0,1)))</f>
        <v>#REF!</v>
      </c>
      <c r="AT209" s="11"/>
      <c r="AU209" s="11" t="e">
        <f ca="1">IF(Data!#REF!="","",IF(ISNUMBER(Data!#REF!),IF(AND(Data!#REF!&gt;(TODAY()-(Data_Val!$I$3*365.25)),Data!#REF!&lt;=(TODAY()-(Data_Val!$I$2*365.25))),0,1),1))</f>
        <v>#REF!</v>
      </c>
      <c r="AV209" s="11" t="e">
        <f>IF(Data!#REF!="","",IF(Data!$G209="",1,IF(ISNUMBER(MATCH(Data!#REF!,Data_Val!$D$2:$D$10,0)),0,1)))</f>
        <v>#REF!</v>
      </c>
      <c r="AW209" s="12"/>
      <c r="AX209" s="26" t="e">
        <f ca="1">IF(Data!#REF!="","",IF(ISNUMBER(Data!#REF!),IF(AND(Data!#REF!&gt;(TODAY()-(Data_Val!$I$3*365.25)),Data!#REF!&lt;=(TODAY()-(Data_Val!$I$2*365.25))),0,1),1))</f>
        <v>#REF!</v>
      </c>
      <c r="AY209" s="12" t="e">
        <f>IF(Data!#REF!="","",IF(Data!$G209="",1,IF(ISNUMBER(MATCH(Data!#REF!,Data_Val!$D$2:$D$10,0)),0,1)))</f>
        <v>#REF!</v>
      </c>
      <c r="AZ209" s="11"/>
      <c r="BA209" s="19" t="e">
        <f ca="1">IF(Data!#REF!="","",IF(ISNUMBER(Data!#REF!),IF(AND(Data!#REF!&gt;(TODAY()-(Data_Val!$M$3*365.25)),Data!#REF!&lt;=(TODAY()-(Data_Val!$M$2*365.25))),0,1),1))</f>
        <v>#REF!</v>
      </c>
      <c r="BB209" s="11" t="e">
        <f>IF(Data!#REF!="","",IF(Data!$G209="",1,IF(ISNUMBER(MATCH(Data!#REF!,Data_Val!$D$2:$D$10,0)),0,1)))</f>
        <v>#REF!</v>
      </c>
      <c r="BC209" s="12"/>
      <c r="BD209" s="20" t="e">
        <f ca="1">IF(Data!#REF!="","",IF(ISNUMBER(Data!#REF!),IF(AND(Data!#REF!&gt;(TODAY()-(Data_Val!$M$3*365.25)),Data!#REF!&lt;=(TODAY()-(Data_Val!$M$2*365.25))),0,1),1))</f>
        <v>#REF!</v>
      </c>
      <c r="BE209" s="12" t="e">
        <f>IF(Data!#REF!="","",IF(Data!$G209="",1,IF(ISNUMBER(MATCH(Data!#REF!,Data_Val!$D$2:$D$10,0)),0,1)))</f>
        <v>#REF!</v>
      </c>
      <c r="BF209" s="17"/>
      <c r="BG209" s="18" t="e">
        <f ca="1">IF(Data!#REF!="","",IF(ISNUMBER(Data!#REF!),IF(AND(Data!#REF!&gt;(TODAY()-(Data_Val!$M$3*365.25)),Data!#REF!&lt;=(TODAY()-(Data_Val!$M$2*365.25))),0,1),1))</f>
        <v>#REF!</v>
      </c>
      <c r="BH209" s="29" t="e">
        <f>IF(Data!#REF!="","",IF(Data!$G209="",1,IF(ISNUMBER(MATCH(Data!#REF!,Data_Val!$D$2:$D$10,0)),0,1)))</f>
        <v>#REF!</v>
      </c>
      <c r="BI209" s="13"/>
      <c r="BJ209" s="21" t="e">
        <f ca="1">IF(Data!#REF!="","",IF(ISNUMBER(Data!#REF!),IF(AND(Data!#REF!&gt;(TODAY()-(Data_Val!$M$3*365.25)),Data!#REF!&lt;=(TODAY()-(Data_Val!$M$2*365.25))),0,1),1))</f>
        <v>#REF!</v>
      </c>
      <c r="BK209" s="13" t="e">
        <f>IF(Data!#REF!="","",IF(Data!$G209="",1,IF(ISNUMBER(MATCH(Data!#REF!,Data_Val!$D$2:$D$10,0)),0,1)))</f>
        <v>#REF!</v>
      </c>
    </row>
    <row r="210" spans="1:63" x14ac:dyDescent="0.25">
      <c r="A210" s="9" t="str">
        <f>IF(Data!B210="","",IF(COUNTIFS(Data!A$1:'Data'!A210,Data!A210)&lt;=1,0,1))</f>
        <v/>
      </c>
      <c r="B210" s="9"/>
      <c r="C210" s="23" t="str">
        <f>IF(Data!C210="","",(IF(ISNUMBER(MATCH("*@*.?*",Data!C210,0)),0,1)+IF(COUNTIFS(Data!C$1:'Data'!C210,Data!C210)&gt;1,1,0)))</f>
        <v/>
      </c>
      <c r="D210" s="9" t="str">
        <f>IF(Data!B210="","",IF(ISNUMBER(Data!D210),IF(AND(Data!D210&gt;999999999,Data!D210&lt;=9999999999),IF(COUNTIFS(Data!D$1:'Data'!D210,Data!D210)&lt;=1,0,1),1),1))</f>
        <v/>
      </c>
      <c r="E210" s="9" t="str">
        <f>IF(Data!B210="","",IF(ISNUMBER(MATCH(Data!E210,Data_Val!$A$2:$A$3,0)),0,1))</f>
        <v/>
      </c>
      <c r="F210" s="9" t="str">
        <f ca="1">IF(Data!B210="","",IF(ISNUMBER(Data!F210),IF(AND(Data!F210&gt;(TODAY()-(Data_Val!$H$3*365.25)),Data!F210&lt;=(TODAY()-(Data_Val!$H$2*365.25))),0,1),1))</f>
        <v/>
      </c>
      <c r="G210" s="15" t="str">
        <f>IF(Data!B210="","",IF(AND(Data!G210="",Data!H210&lt;&gt;""),1,IF(Data!#REF!&lt;&gt;"",0,IF(ISNUMBER(MATCH(Data!G210,Data_Val!$C$2:$C$5,0)),0,1))))</f>
        <v/>
      </c>
      <c r="H210" s="15" t="str">
        <f>IF(Data!B210="","",IF(AND(Data!G210&lt;&gt;"",Data!H210=""),1,IF(Data!#REF!&lt;&gt;"",0,IF(Data!G210="",1,IF(ISNUMBER(MATCH(Data!H210,Data_Val!$D$2:$D$35,0)),0,1)))))</f>
        <v/>
      </c>
      <c r="I210" s="15" t="str">
        <f>IF(Data!B210="","",IF(Data!G210&lt;&gt;"",0,IF(ISNUMBER(MATCH(Data!#REF!,Data_Val!$E$2:$E$12,0)),0,1)))</f>
        <v/>
      </c>
      <c r="J210" s="16" t="e">
        <f>IF(OR(Data!B210="",Data!#REF!=""),"",IF(Data!#REF!="",1,0))</f>
        <v>#REF!</v>
      </c>
      <c r="K210" s="16" t="e">
        <f>IF(OR(Data!B210="",Data!#REF!=""),"",IF(Data!#REF!="",1,0))</f>
        <v>#REF!</v>
      </c>
      <c r="L210" s="16" t="e">
        <f>IF(OR(Data!B210="",Data!#REF!=""),"",IF(ISNUMBER(Data!#REF!),IF(AND(Data!#REF!&gt;Data_Val!$G$2,Data!#REF!&lt;=Data_Val!$G$3),0,1),1))</f>
        <v>#REF!</v>
      </c>
      <c r="M210" s="9" t="e">
        <f>IF(OR(Data!B210="",Data!#REF!=""),"",IF(ISNUMBER(MATCH(Data!#REF!,Data_Val!$F$1:$F$38,0)),0,1))</f>
        <v>#REF!</v>
      </c>
      <c r="N210" s="9" t="e">
        <f>IF(OR(Data!B210="",Data!#REF!=""),"",IF(Data!#REF!="",1,0))</f>
        <v>#REF!</v>
      </c>
      <c r="O210" s="17" t="e">
        <f>IF(Data!#REF!="","",IF(Data!#REF!="",1,0))</f>
        <v>#REF!</v>
      </c>
      <c r="P210" s="17" t="e">
        <f>IF(Data!#REF!="","",IF(ISNUMBER(MATCH(Data!#REF!,Data_Val!$A$2:$A$3,0)),0,1))</f>
        <v>#REF!</v>
      </c>
      <c r="Q210" s="25" t="e">
        <f ca="1">IF(Data!#REF!="","",IF(ISNUMBER(Data!#REF!),IF(AND(Data!#REF!&gt;(TODAY()-(Data_Val!$J$3*365.25)),Data!#REF!&lt;=(TODAY()-(Data_Val!$J$2*365.25))),0,1),1))</f>
        <v>#REF!</v>
      </c>
      <c r="R210" s="17" t="e">
        <f>IF(Data!#REF!="","",IF(ISNUMBER(MATCH(Data!#REF!,Data_Val!$B$2:$B$15,0)),0,1))</f>
        <v>#REF!</v>
      </c>
      <c r="S210" s="11" t="str">
        <f>IF(Data!G210="","",IF(Data!G210=Data_Val!$C$2,IF(Data!M210="",0,1),0))</f>
        <v/>
      </c>
      <c r="T210" s="11" t="str">
        <f>IF(Data!M210="","",IF(ISNUMBER(MATCH(Data!N210,Data_Val!$A$2:$A$3,0)),0,1))</f>
        <v/>
      </c>
      <c r="U210" s="11" t="str">
        <f ca="1">IF(Data!M210="","",IF(ISNUMBER(Data!O210),IF(AND(Data!O210&gt;(TODAY()-(Data_Val!$K$3*365.25)),Data!O210&lt;=(TODAY()-(Data_Val!$K$2*365.25))),0,1),1))</f>
        <v/>
      </c>
      <c r="V210" s="12" t="str">
        <f>IF(Data!G210="","",IF(Data!G210=Data_Val!$C$2,IF(Data!P210="",0,1),0))</f>
        <v/>
      </c>
      <c r="W210" s="12" t="str">
        <f>IF(Data!P210="","",IF(ISNUMBER(MATCH(Data!Q210,Data_Val!$A$2:$A$3,0)),0,1))</f>
        <v/>
      </c>
      <c r="X210" s="26" t="str">
        <f ca="1">IF(Data!P210="","",IF(ISNUMBER(Data!R210),IF(AND(Data!R210&gt;(TODAY()-(Data_Val!$L$3*365.25)),Data!R210&lt;=(TODAY()-(Data_Val!$L$2*365.25))),0,1),1))</f>
        <v/>
      </c>
      <c r="Y210" s="13" t="str">
        <f>IF(Data!$G210="","",IF(Data!$G210=Data_Val!$C$2,IF(Data!S210="",0,1),0))</f>
        <v/>
      </c>
      <c r="Z210" s="13" t="str">
        <f>IF(Data!S210="","",IF(ISNUMBER(MATCH(Data!T210,Data_Val!$A$2:$A$3,0)),0,1))</f>
        <v/>
      </c>
      <c r="AA210" s="28" t="str">
        <f ca="1">IF(Data!S210="","",IF(ISNUMBER(Data!U210),IF(AND(Data!U210&gt;(TODAY()-(Data_Val!$L$3*365.25)),Data!U210&lt;=(TODAY()-(Data_Val!$L$2*365.25))),0,1),1))</f>
        <v/>
      </c>
      <c r="AB210" s="11"/>
      <c r="AC210" s="11" t="e">
        <f>IF(Data!#REF!="","",IF(ISNUMBER(MATCH(Data!#REF!,Data_Val!$A$2:$A$3,0)),0,1))</f>
        <v>#REF!</v>
      </c>
      <c r="AD210" s="11" t="e">
        <f ca="1">IF(Data!#REF!="","",IF(ISNUMBER(Data!#REF!),IF(AND(Data!#REF!&gt;(TODAY()-(Data_Val!$L$3*365.25)),Data!#REF!&lt;=(TODAY()-(Data_Val!$L$2*365.25))),0,1),1))</f>
        <v>#REF!</v>
      </c>
      <c r="AE210" s="11" t="e">
        <f>IF(Data!#REF!="","",IF(Data!$G210="",1,IF(ISNUMBER(MATCH(Data!#REF!,Data_Val!$D$2:$D$10,0)),0,1)))</f>
        <v>#REF!</v>
      </c>
      <c r="AF210" s="12"/>
      <c r="AG210" s="12" t="e">
        <f>IF(Data!#REF!="","",IF(ISNUMBER(MATCH(Data!#REF!,Data_Val!$A$2:$A$3,0)),0,1))</f>
        <v>#REF!</v>
      </c>
      <c r="AH210" s="26" t="e">
        <f ca="1">IF(Data!#REF!="","",IF(ISNUMBER(Data!#REF!),IF(AND(Data!#REF!&gt;(TODAY()-(Data_Val!$L$3*365.25)),Data!#REF!&lt;=(TODAY()-(Data_Val!$L$2*365.25))),0,1),1))</f>
        <v>#REF!</v>
      </c>
      <c r="AI210" s="12" t="e">
        <f>IF(Data!#REF!="","",IF(Data!$G210="",1,IF(ISNUMBER(MATCH(Data!#REF!,Data_Val!$D$2:$D$10,0)),0,1)))</f>
        <v>#REF!</v>
      </c>
      <c r="AJ210" s="17"/>
      <c r="AK210" s="17" t="e">
        <f>IF(Data!#REF!="","",IF(ISNUMBER(MATCH(Data!#REF!,Data_Val!$A$2:$A$3,0)),0,1))</f>
        <v>#REF!</v>
      </c>
      <c r="AL210" s="25" t="e">
        <f ca="1">IF(Data!#REF!="","",IF(ISNUMBER(Data!#REF!),IF(AND(Data!#REF!&gt;(TODAY()-(Data_Val!$L$3*365.25)),Data!#REF!&lt;=(TODAY()-(Data_Val!$L$2*365.25))),0,1),1))</f>
        <v>#REF!</v>
      </c>
      <c r="AM210" s="17" t="e">
        <f>IF(Data!#REF!="","",IF(Data!$G210="",1,IF(ISNUMBER(MATCH(Data!#REF!,Data_Val!$D$2:$D$10,0)),0,1)))</f>
        <v>#REF!</v>
      </c>
      <c r="AN210" s="13"/>
      <c r="AO210" s="28" t="e">
        <f ca="1">IF(Data!#REF!="","",IF(ISNUMBER(Data!#REF!),IF(AND(Data!#REF!&gt;(TODAY()-(Data_Val!$I$3*365.25)),Data!#REF!&lt;=(TODAY()-(Data_Val!$I$2*365.25))),0,1),1))</f>
        <v>#REF!</v>
      </c>
      <c r="AP210" s="13" t="e">
        <f>IF(Data!#REF!="","",IF(Data!$G210="",1,IF(ISNUMBER(MATCH(Data!#REF!,Data_Val!$D$2:$D$10,0)),0,1)))</f>
        <v>#REF!</v>
      </c>
      <c r="AQ210" s="17"/>
      <c r="AR210" s="30" t="e">
        <f ca="1">IF(Data!#REF!="","",IF(ISNUMBER(Data!#REF!),IF(AND(Data!#REF!&gt;(TODAY()-(Data_Val!$I$3*365.25)),Data!#REF!&lt;=(TODAY()-(Data_Val!$I$2*365.25))),0,1),1))</f>
        <v>#REF!</v>
      </c>
      <c r="AS210" s="31" t="e">
        <f>IF(Data!#REF!="","",IF(Data!$G210="",1,IF(ISNUMBER(MATCH(Data!#REF!,Data_Val!$D$2:$D$10,0)),0,1)))</f>
        <v>#REF!</v>
      </c>
      <c r="AT210" s="11"/>
      <c r="AU210" s="11" t="e">
        <f ca="1">IF(Data!#REF!="","",IF(ISNUMBER(Data!#REF!),IF(AND(Data!#REF!&gt;(TODAY()-(Data_Val!$I$3*365.25)),Data!#REF!&lt;=(TODAY()-(Data_Val!$I$2*365.25))),0,1),1))</f>
        <v>#REF!</v>
      </c>
      <c r="AV210" s="11" t="e">
        <f>IF(Data!#REF!="","",IF(Data!$G210="",1,IF(ISNUMBER(MATCH(Data!#REF!,Data_Val!$D$2:$D$10,0)),0,1)))</f>
        <v>#REF!</v>
      </c>
      <c r="AW210" s="12"/>
      <c r="AX210" s="26" t="e">
        <f ca="1">IF(Data!#REF!="","",IF(ISNUMBER(Data!#REF!),IF(AND(Data!#REF!&gt;(TODAY()-(Data_Val!$I$3*365.25)),Data!#REF!&lt;=(TODAY()-(Data_Val!$I$2*365.25))),0,1),1))</f>
        <v>#REF!</v>
      </c>
      <c r="AY210" s="12" t="e">
        <f>IF(Data!#REF!="","",IF(Data!$G210="",1,IF(ISNUMBER(MATCH(Data!#REF!,Data_Val!$D$2:$D$10,0)),0,1)))</f>
        <v>#REF!</v>
      </c>
      <c r="AZ210" s="11"/>
      <c r="BA210" s="19" t="e">
        <f ca="1">IF(Data!#REF!="","",IF(ISNUMBER(Data!#REF!),IF(AND(Data!#REF!&gt;(TODAY()-(Data_Val!$M$3*365.25)),Data!#REF!&lt;=(TODAY()-(Data_Val!$M$2*365.25))),0,1),1))</f>
        <v>#REF!</v>
      </c>
      <c r="BB210" s="11" t="e">
        <f>IF(Data!#REF!="","",IF(Data!$G210="",1,IF(ISNUMBER(MATCH(Data!#REF!,Data_Val!$D$2:$D$10,0)),0,1)))</f>
        <v>#REF!</v>
      </c>
      <c r="BC210" s="12"/>
      <c r="BD210" s="20" t="e">
        <f ca="1">IF(Data!#REF!="","",IF(ISNUMBER(Data!#REF!),IF(AND(Data!#REF!&gt;(TODAY()-(Data_Val!$M$3*365.25)),Data!#REF!&lt;=(TODAY()-(Data_Val!$M$2*365.25))),0,1),1))</f>
        <v>#REF!</v>
      </c>
      <c r="BE210" s="12" t="e">
        <f>IF(Data!#REF!="","",IF(Data!$G210="",1,IF(ISNUMBER(MATCH(Data!#REF!,Data_Val!$D$2:$D$10,0)),0,1)))</f>
        <v>#REF!</v>
      </c>
      <c r="BF210" s="17"/>
      <c r="BG210" s="18" t="e">
        <f ca="1">IF(Data!#REF!="","",IF(ISNUMBER(Data!#REF!),IF(AND(Data!#REF!&gt;(TODAY()-(Data_Val!$M$3*365.25)),Data!#REF!&lt;=(TODAY()-(Data_Val!$M$2*365.25))),0,1),1))</f>
        <v>#REF!</v>
      </c>
      <c r="BH210" s="29" t="e">
        <f>IF(Data!#REF!="","",IF(Data!$G210="",1,IF(ISNUMBER(MATCH(Data!#REF!,Data_Val!$D$2:$D$10,0)),0,1)))</f>
        <v>#REF!</v>
      </c>
      <c r="BI210" s="13"/>
      <c r="BJ210" s="21" t="e">
        <f ca="1">IF(Data!#REF!="","",IF(ISNUMBER(Data!#REF!),IF(AND(Data!#REF!&gt;(TODAY()-(Data_Val!$M$3*365.25)),Data!#REF!&lt;=(TODAY()-(Data_Val!$M$2*365.25))),0,1),1))</f>
        <v>#REF!</v>
      </c>
      <c r="BK210" s="13" t="e">
        <f>IF(Data!#REF!="","",IF(Data!$G210="",1,IF(ISNUMBER(MATCH(Data!#REF!,Data_Val!$D$2:$D$10,0)),0,1)))</f>
        <v>#REF!</v>
      </c>
    </row>
    <row r="211" spans="1:63" x14ac:dyDescent="0.25">
      <c r="A211" s="9" t="str">
        <f>IF(Data!B211="","",IF(COUNTIFS(Data!A$1:'Data'!A211,Data!A211)&lt;=1,0,1))</f>
        <v/>
      </c>
      <c r="B211" s="9"/>
      <c r="C211" s="23" t="str">
        <f>IF(Data!C211="","",(IF(ISNUMBER(MATCH("*@*.?*",Data!C211,0)),0,1)+IF(COUNTIFS(Data!C$1:'Data'!C211,Data!C211)&gt;1,1,0)))</f>
        <v/>
      </c>
      <c r="D211" s="9" t="str">
        <f>IF(Data!B211="","",IF(ISNUMBER(Data!D211),IF(AND(Data!D211&gt;999999999,Data!D211&lt;=9999999999),IF(COUNTIFS(Data!D$1:'Data'!D211,Data!D211)&lt;=1,0,1),1),1))</f>
        <v/>
      </c>
      <c r="E211" s="9" t="str">
        <f>IF(Data!B211="","",IF(ISNUMBER(MATCH(Data!E211,Data_Val!$A$2:$A$3,0)),0,1))</f>
        <v/>
      </c>
      <c r="F211" s="9" t="str">
        <f ca="1">IF(Data!B211="","",IF(ISNUMBER(Data!F211),IF(AND(Data!F211&gt;(TODAY()-(Data_Val!$H$3*365.25)),Data!F211&lt;=(TODAY()-(Data_Val!$H$2*365.25))),0,1),1))</f>
        <v/>
      </c>
      <c r="G211" s="15" t="str">
        <f>IF(Data!B211="","",IF(AND(Data!G211="",Data!H211&lt;&gt;""),1,IF(Data!#REF!&lt;&gt;"",0,IF(ISNUMBER(MATCH(Data!G211,Data_Val!$C$2:$C$5,0)),0,1))))</f>
        <v/>
      </c>
      <c r="H211" s="15" t="str">
        <f>IF(Data!B211="","",IF(AND(Data!G211&lt;&gt;"",Data!H211=""),1,IF(Data!#REF!&lt;&gt;"",0,IF(Data!G211="",1,IF(ISNUMBER(MATCH(Data!H211,Data_Val!$D$2:$D$35,0)),0,1)))))</f>
        <v/>
      </c>
      <c r="I211" s="15" t="str">
        <f>IF(Data!B211="","",IF(Data!G211&lt;&gt;"",0,IF(ISNUMBER(MATCH(Data!#REF!,Data_Val!$E$2:$E$12,0)),0,1)))</f>
        <v/>
      </c>
      <c r="J211" s="16" t="e">
        <f>IF(OR(Data!B211="",Data!#REF!=""),"",IF(Data!#REF!="",1,0))</f>
        <v>#REF!</v>
      </c>
      <c r="K211" s="16" t="e">
        <f>IF(OR(Data!B211="",Data!#REF!=""),"",IF(Data!#REF!="",1,0))</f>
        <v>#REF!</v>
      </c>
      <c r="L211" s="16" t="e">
        <f>IF(OR(Data!B211="",Data!#REF!=""),"",IF(ISNUMBER(Data!#REF!),IF(AND(Data!#REF!&gt;Data_Val!$G$2,Data!#REF!&lt;=Data_Val!$G$3),0,1),1))</f>
        <v>#REF!</v>
      </c>
      <c r="M211" s="9" t="e">
        <f>IF(OR(Data!B211="",Data!#REF!=""),"",IF(ISNUMBER(MATCH(Data!#REF!,Data_Val!$F$1:$F$38,0)),0,1))</f>
        <v>#REF!</v>
      </c>
      <c r="N211" s="9" t="e">
        <f>IF(OR(Data!B211="",Data!#REF!=""),"",IF(Data!#REF!="",1,0))</f>
        <v>#REF!</v>
      </c>
      <c r="O211" s="17" t="e">
        <f>IF(Data!#REF!="","",IF(Data!#REF!="",1,0))</f>
        <v>#REF!</v>
      </c>
      <c r="P211" s="17" t="e">
        <f>IF(Data!#REF!="","",IF(ISNUMBER(MATCH(Data!#REF!,Data_Val!$A$2:$A$3,0)),0,1))</f>
        <v>#REF!</v>
      </c>
      <c r="Q211" s="25" t="e">
        <f ca="1">IF(Data!#REF!="","",IF(ISNUMBER(Data!#REF!),IF(AND(Data!#REF!&gt;(TODAY()-(Data_Val!$J$3*365.25)),Data!#REF!&lt;=(TODAY()-(Data_Val!$J$2*365.25))),0,1),1))</f>
        <v>#REF!</v>
      </c>
      <c r="R211" s="17" t="e">
        <f>IF(Data!#REF!="","",IF(ISNUMBER(MATCH(Data!#REF!,Data_Val!$B$2:$B$15,0)),0,1))</f>
        <v>#REF!</v>
      </c>
      <c r="S211" s="11" t="str">
        <f>IF(Data!G211="","",IF(Data!G211=Data_Val!$C$2,IF(Data!M211="",0,1),0))</f>
        <v/>
      </c>
      <c r="T211" s="11" t="str">
        <f>IF(Data!M211="","",IF(ISNUMBER(MATCH(Data!N211,Data_Val!$A$2:$A$3,0)),0,1))</f>
        <v/>
      </c>
      <c r="U211" s="11" t="str">
        <f ca="1">IF(Data!M211="","",IF(ISNUMBER(Data!O211),IF(AND(Data!O211&gt;(TODAY()-(Data_Val!$K$3*365.25)),Data!O211&lt;=(TODAY()-(Data_Val!$K$2*365.25))),0,1),1))</f>
        <v/>
      </c>
      <c r="V211" s="12" t="str">
        <f>IF(Data!G211="","",IF(Data!G211=Data_Val!$C$2,IF(Data!P211="",0,1),0))</f>
        <v/>
      </c>
      <c r="W211" s="12" t="str">
        <f>IF(Data!P211="","",IF(ISNUMBER(MATCH(Data!Q211,Data_Val!$A$2:$A$3,0)),0,1))</f>
        <v/>
      </c>
      <c r="X211" s="26" t="str">
        <f ca="1">IF(Data!P211="","",IF(ISNUMBER(Data!R211),IF(AND(Data!R211&gt;(TODAY()-(Data_Val!$L$3*365.25)),Data!R211&lt;=(TODAY()-(Data_Val!$L$2*365.25))),0,1),1))</f>
        <v/>
      </c>
      <c r="Y211" s="13" t="str">
        <f>IF(Data!$G211="","",IF(Data!$G211=Data_Val!$C$2,IF(Data!S211="",0,1),0))</f>
        <v/>
      </c>
      <c r="Z211" s="13" t="str">
        <f>IF(Data!S211="","",IF(ISNUMBER(MATCH(Data!T211,Data_Val!$A$2:$A$3,0)),0,1))</f>
        <v/>
      </c>
      <c r="AA211" s="28" t="str">
        <f ca="1">IF(Data!S211="","",IF(ISNUMBER(Data!U211),IF(AND(Data!U211&gt;(TODAY()-(Data_Val!$L$3*365.25)),Data!U211&lt;=(TODAY()-(Data_Val!$L$2*365.25))),0,1),1))</f>
        <v/>
      </c>
      <c r="AB211" s="11"/>
      <c r="AC211" s="11" t="e">
        <f>IF(Data!#REF!="","",IF(ISNUMBER(MATCH(Data!#REF!,Data_Val!$A$2:$A$3,0)),0,1))</f>
        <v>#REF!</v>
      </c>
      <c r="AD211" s="11" t="e">
        <f ca="1">IF(Data!#REF!="","",IF(ISNUMBER(Data!#REF!),IF(AND(Data!#REF!&gt;(TODAY()-(Data_Val!$L$3*365.25)),Data!#REF!&lt;=(TODAY()-(Data_Val!$L$2*365.25))),0,1),1))</f>
        <v>#REF!</v>
      </c>
      <c r="AE211" s="11" t="e">
        <f>IF(Data!#REF!="","",IF(Data!$G211="",1,IF(ISNUMBER(MATCH(Data!#REF!,Data_Val!$D$2:$D$10,0)),0,1)))</f>
        <v>#REF!</v>
      </c>
      <c r="AF211" s="12"/>
      <c r="AG211" s="12" t="e">
        <f>IF(Data!#REF!="","",IF(ISNUMBER(MATCH(Data!#REF!,Data_Val!$A$2:$A$3,0)),0,1))</f>
        <v>#REF!</v>
      </c>
      <c r="AH211" s="26" t="e">
        <f ca="1">IF(Data!#REF!="","",IF(ISNUMBER(Data!#REF!),IF(AND(Data!#REF!&gt;(TODAY()-(Data_Val!$L$3*365.25)),Data!#REF!&lt;=(TODAY()-(Data_Val!$L$2*365.25))),0,1),1))</f>
        <v>#REF!</v>
      </c>
      <c r="AI211" s="12" t="e">
        <f>IF(Data!#REF!="","",IF(Data!$G211="",1,IF(ISNUMBER(MATCH(Data!#REF!,Data_Val!$D$2:$D$10,0)),0,1)))</f>
        <v>#REF!</v>
      </c>
      <c r="AJ211" s="17"/>
      <c r="AK211" s="17" t="e">
        <f>IF(Data!#REF!="","",IF(ISNUMBER(MATCH(Data!#REF!,Data_Val!$A$2:$A$3,0)),0,1))</f>
        <v>#REF!</v>
      </c>
      <c r="AL211" s="25" t="e">
        <f ca="1">IF(Data!#REF!="","",IF(ISNUMBER(Data!#REF!),IF(AND(Data!#REF!&gt;(TODAY()-(Data_Val!$L$3*365.25)),Data!#REF!&lt;=(TODAY()-(Data_Val!$L$2*365.25))),0,1),1))</f>
        <v>#REF!</v>
      </c>
      <c r="AM211" s="17" t="e">
        <f>IF(Data!#REF!="","",IF(Data!$G211="",1,IF(ISNUMBER(MATCH(Data!#REF!,Data_Val!$D$2:$D$10,0)),0,1)))</f>
        <v>#REF!</v>
      </c>
      <c r="AN211" s="13"/>
      <c r="AO211" s="28" t="e">
        <f ca="1">IF(Data!#REF!="","",IF(ISNUMBER(Data!#REF!),IF(AND(Data!#REF!&gt;(TODAY()-(Data_Val!$I$3*365.25)),Data!#REF!&lt;=(TODAY()-(Data_Val!$I$2*365.25))),0,1),1))</f>
        <v>#REF!</v>
      </c>
      <c r="AP211" s="13" t="e">
        <f>IF(Data!#REF!="","",IF(Data!$G211="",1,IF(ISNUMBER(MATCH(Data!#REF!,Data_Val!$D$2:$D$10,0)),0,1)))</f>
        <v>#REF!</v>
      </c>
      <c r="AQ211" s="17"/>
      <c r="AR211" s="30" t="e">
        <f ca="1">IF(Data!#REF!="","",IF(ISNUMBER(Data!#REF!),IF(AND(Data!#REF!&gt;(TODAY()-(Data_Val!$I$3*365.25)),Data!#REF!&lt;=(TODAY()-(Data_Val!$I$2*365.25))),0,1),1))</f>
        <v>#REF!</v>
      </c>
      <c r="AS211" s="31" t="e">
        <f>IF(Data!#REF!="","",IF(Data!$G211="",1,IF(ISNUMBER(MATCH(Data!#REF!,Data_Val!$D$2:$D$10,0)),0,1)))</f>
        <v>#REF!</v>
      </c>
      <c r="AT211" s="11"/>
      <c r="AU211" s="11" t="e">
        <f ca="1">IF(Data!#REF!="","",IF(ISNUMBER(Data!#REF!),IF(AND(Data!#REF!&gt;(TODAY()-(Data_Val!$I$3*365.25)),Data!#REF!&lt;=(TODAY()-(Data_Val!$I$2*365.25))),0,1),1))</f>
        <v>#REF!</v>
      </c>
      <c r="AV211" s="11" t="e">
        <f>IF(Data!#REF!="","",IF(Data!$G211="",1,IF(ISNUMBER(MATCH(Data!#REF!,Data_Val!$D$2:$D$10,0)),0,1)))</f>
        <v>#REF!</v>
      </c>
      <c r="AW211" s="12"/>
      <c r="AX211" s="26" t="e">
        <f ca="1">IF(Data!#REF!="","",IF(ISNUMBER(Data!#REF!),IF(AND(Data!#REF!&gt;(TODAY()-(Data_Val!$I$3*365.25)),Data!#REF!&lt;=(TODAY()-(Data_Val!$I$2*365.25))),0,1),1))</f>
        <v>#REF!</v>
      </c>
      <c r="AY211" s="12" t="e">
        <f>IF(Data!#REF!="","",IF(Data!$G211="",1,IF(ISNUMBER(MATCH(Data!#REF!,Data_Val!$D$2:$D$10,0)),0,1)))</f>
        <v>#REF!</v>
      </c>
      <c r="AZ211" s="11"/>
      <c r="BA211" s="19" t="e">
        <f ca="1">IF(Data!#REF!="","",IF(ISNUMBER(Data!#REF!),IF(AND(Data!#REF!&gt;(TODAY()-(Data_Val!$M$3*365.25)),Data!#REF!&lt;=(TODAY()-(Data_Val!$M$2*365.25))),0,1),1))</f>
        <v>#REF!</v>
      </c>
      <c r="BB211" s="11" t="e">
        <f>IF(Data!#REF!="","",IF(Data!$G211="",1,IF(ISNUMBER(MATCH(Data!#REF!,Data_Val!$D$2:$D$10,0)),0,1)))</f>
        <v>#REF!</v>
      </c>
      <c r="BC211" s="12"/>
      <c r="BD211" s="20" t="e">
        <f ca="1">IF(Data!#REF!="","",IF(ISNUMBER(Data!#REF!),IF(AND(Data!#REF!&gt;(TODAY()-(Data_Val!$M$3*365.25)),Data!#REF!&lt;=(TODAY()-(Data_Val!$M$2*365.25))),0,1),1))</f>
        <v>#REF!</v>
      </c>
      <c r="BE211" s="12" t="e">
        <f>IF(Data!#REF!="","",IF(Data!$G211="",1,IF(ISNUMBER(MATCH(Data!#REF!,Data_Val!$D$2:$D$10,0)),0,1)))</f>
        <v>#REF!</v>
      </c>
      <c r="BF211" s="17"/>
      <c r="BG211" s="18" t="e">
        <f ca="1">IF(Data!#REF!="","",IF(ISNUMBER(Data!#REF!),IF(AND(Data!#REF!&gt;(TODAY()-(Data_Val!$M$3*365.25)),Data!#REF!&lt;=(TODAY()-(Data_Val!$M$2*365.25))),0,1),1))</f>
        <v>#REF!</v>
      </c>
      <c r="BH211" s="29" t="e">
        <f>IF(Data!#REF!="","",IF(Data!$G211="",1,IF(ISNUMBER(MATCH(Data!#REF!,Data_Val!$D$2:$D$10,0)),0,1)))</f>
        <v>#REF!</v>
      </c>
      <c r="BI211" s="13"/>
      <c r="BJ211" s="21" t="e">
        <f ca="1">IF(Data!#REF!="","",IF(ISNUMBER(Data!#REF!),IF(AND(Data!#REF!&gt;(TODAY()-(Data_Val!$M$3*365.25)),Data!#REF!&lt;=(TODAY()-(Data_Val!$M$2*365.25))),0,1),1))</f>
        <v>#REF!</v>
      </c>
      <c r="BK211" s="13" t="e">
        <f>IF(Data!#REF!="","",IF(Data!$G211="",1,IF(ISNUMBER(MATCH(Data!#REF!,Data_Val!$D$2:$D$10,0)),0,1)))</f>
        <v>#REF!</v>
      </c>
    </row>
    <row r="212" spans="1:63" x14ac:dyDescent="0.25">
      <c r="A212" s="9" t="str">
        <f>IF(Data!B212="","",IF(COUNTIFS(Data!A$1:'Data'!A212,Data!A212)&lt;=1,0,1))</f>
        <v/>
      </c>
      <c r="B212" s="9"/>
      <c r="C212" s="23" t="str">
        <f>IF(Data!C212="","",(IF(ISNUMBER(MATCH("*@*.?*",Data!C212,0)),0,1)+IF(COUNTIFS(Data!C$1:'Data'!C212,Data!C212)&gt;1,1,0)))</f>
        <v/>
      </c>
      <c r="D212" s="9" t="str">
        <f>IF(Data!B212="","",IF(ISNUMBER(Data!D212),IF(AND(Data!D212&gt;999999999,Data!D212&lt;=9999999999),IF(COUNTIFS(Data!D$1:'Data'!D212,Data!D212)&lt;=1,0,1),1),1))</f>
        <v/>
      </c>
      <c r="E212" s="9" t="str">
        <f>IF(Data!B212="","",IF(ISNUMBER(MATCH(Data!E212,Data_Val!$A$2:$A$3,0)),0,1))</f>
        <v/>
      </c>
      <c r="F212" s="9" t="str">
        <f ca="1">IF(Data!B212="","",IF(ISNUMBER(Data!F212),IF(AND(Data!F212&gt;(TODAY()-(Data_Val!$H$3*365.25)),Data!F212&lt;=(TODAY()-(Data_Val!$H$2*365.25))),0,1),1))</f>
        <v/>
      </c>
      <c r="G212" s="15" t="str">
        <f>IF(Data!B212="","",IF(AND(Data!G212="",Data!H212&lt;&gt;""),1,IF(Data!#REF!&lt;&gt;"",0,IF(ISNUMBER(MATCH(Data!G212,Data_Val!$C$2:$C$5,0)),0,1))))</f>
        <v/>
      </c>
      <c r="H212" s="15" t="str">
        <f>IF(Data!B212="","",IF(AND(Data!G212&lt;&gt;"",Data!H212=""),1,IF(Data!#REF!&lt;&gt;"",0,IF(Data!G212="",1,IF(ISNUMBER(MATCH(Data!H212,Data_Val!$D$2:$D$35,0)),0,1)))))</f>
        <v/>
      </c>
      <c r="I212" s="15" t="str">
        <f>IF(Data!B212="","",IF(Data!G212&lt;&gt;"",0,IF(ISNUMBER(MATCH(Data!#REF!,Data_Val!$E$2:$E$12,0)),0,1)))</f>
        <v/>
      </c>
      <c r="J212" s="16" t="e">
        <f>IF(OR(Data!B212="",Data!#REF!=""),"",IF(Data!#REF!="",1,0))</f>
        <v>#REF!</v>
      </c>
      <c r="K212" s="16" t="e">
        <f>IF(OR(Data!B212="",Data!#REF!=""),"",IF(Data!#REF!="",1,0))</f>
        <v>#REF!</v>
      </c>
      <c r="L212" s="16" t="e">
        <f>IF(OR(Data!B212="",Data!#REF!=""),"",IF(ISNUMBER(Data!#REF!),IF(AND(Data!#REF!&gt;Data_Val!$G$2,Data!#REF!&lt;=Data_Val!$G$3),0,1),1))</f>
        <v>#REF!</v>
      </c>
      <c r="M212" s="9" t="e">
        <f>IF(OR(Data!B212="",Data!#REF!=""),"",IF(ISNUMBER(MATCH(Data!#REF!,Data_Val!$F$1:$F$38,0)),0,1))</f>
        <v>#REF!</v>
      </c>
      <c r="N212" s="9" t="e">
        <f>IF(OR(Data!B212="",Data!#REF!=""),"",IF(Data!#REF!="",1,0))</f>
        <v>#REF!</v>
      </c>
      <c r="O212" s="17" t="e">
        <f>IF(Data!#REF!="","",IF(Data!#REF!="",1,0))</f>
        <v>#REF!</v>
      </c>
      <c r="P212" s="17" t="e">
        <f>IF(Data!#REF!="","",IF(ISNUMBER(MATCH(Data!#REF!,Data_Val!$A$2:$A$3,0)),0,1))</f>
        <v>#REF!</v>
      </c>
      <c r="Q212" s="25" t="e">
        <f ca="1">IF(Data!#REF!="","",IF(ISNUMBER(Data!#REF!),IF(AND(Data!#REF!&gt;(TODAY()-(Data_Val!$J$3*365.25)),Data!#REF!&lt;=(TODAY()-(Data_Val!$J$2*365.25))),0,1),1))</f>
        <v>#REF!</v>
      </c>
      <c r="R212" s="17" t="e">
        <f>IF(Data!#REF!="","",IF(ISNUMBER(MATCH(Data!#REF!,Data_Val!$B$2:$B$15,0)),0,1))</f>
        <v>#REF!</v>
      </c>
      <c r="S212" s="11" t="str">
        <f>IF(Data!G212="","",IF(Data!G212=Data_Val!$C$2,IF(Data!M212="",0,1),0))</f>
        <v/>
      </c>
      <c r="T212" s="11" t="str">
        <f>IF(Data!M212="","",IF(ISNUMBER(MATCH(Data!N212,Data_Val!$A$2:$A$3,0)),0,1))</f>
        <v/>
      </c>
      <c r="U212" s="11" t="str">
        <f ca="1">IF(Data!M212="","",IF(ISNUMBER(Data!O212),IF(AND(Data!O212&gt;(TODAY()-(Data_Val!$K$3*365.25)),Data!O212&lt;=(TODAY()-(Data_Val!$K$2*365.25))),0,1),1))</f>
        <v/>
      </c>
      <c r="V212" s="12" t="str">
        <f>IF(Data!G212="","",IF(Data!G212=Data_Val!$C$2,IF(Data!P212="",0,1),0))</f>
        <v/>
      </c>
      <c r="W212" s="12" t="str">
        <f>IF(Data!P212="","",IF(ISNUMBER(MATCH(Data!Q212,Data_Val!$A$2:$A$3,0)),0,1))</f>
        <v/>
      </c>
      <c r="X212" s="26" t="str">
        <f ca="1">IF(Data!P212="","",IF(ISNUMBER(Data!R212),IF(AND(Data!R212&gt;(TODAY()-(Data_Val!$L$3*365.25)),Data!R212&lt;=(TODAY()-(Data_Val!$L$2*365.25))),0,1),1))</f>
        <v/>
      </c>
      <c r="Y212" s="13" t="str">
        <f>IF(Data!$G212="","",IF(Data!$G212=Data_Val!$C$2,IF(Data!S212="",0,1),0))</f>
        <v/>
      </c>
      <c r="Z212" s="13" t="str">
        <f>IF(Data!S212="","",IF(ISNUMBER(MATCH(Data!T212,Data_Val!$A$2:$A$3,0)),0,1))</f>
        <v/>
      </c>
      <c r="AA212" s="28" t="str">
        <f ca="1">IF(Data!S212="","",IF(ISNUMBER(Data!U212),IF(AND(Data!U212&gt;(TODAY()-(Data_Val!$L$3*365.25)),Data!U212&lt;=(TODAY()-(Data_Val!$L$2*365.25))),0,1),1))</f>
        <v/>
      </c>
      <c r="AB212" s="11"/>
      <c r="AC212" s="11" t="e">
        <f>IF(Data!#REF!="","",IF(ISNUMBER(MATCH(Data!#REF!,Data_Val!$A$2:$A$3,0)),0,1))</f>
        <v>#REF!</v>
      </c>
      <c r="AD212" s="11" t="e">
        <f ca="1">IF(Data!#REF!="","",IF(ISNUMBER(Data!#REF!),IF(AND(Data!#REF!&gt;(TODAY()-(Data_Val!$L$3*365.25)),Data!#REF!&lt;=(TODAY()-(Data_Val!$L$2*365.25))),0,1),1))</f>
        <v>#REF!</v>
      </c>
      <c r="AE212" s="11" t="e">
        <f>IF(Data!#REF!="","",IF(Data!$G212="",1,IF(ISNUMBER(MATCH(Data!#REF!,Data_Val!$D$2:$D$10,0)),0,1)))</f>
        <v>#REF!</v>
      </c>
      <c r="AF212" s="12"/>
      <c r="AG212" s="12" t="e">
        <f>IF(Data!#REF!="","",IF(ISNUMBER(MATCH(Data!#REF!,Data_Val!$A$2:$A$3,0)),0,1))</f>
        <v>#REF!</v>
      </c>
      <c r="AH212" s="26" t="e">
        <f ca="1">IF(Data!#REF!="","",IF(ISNUMBER(Data!#REF!),IF(AND(Data!#REF!&gt;(TODAY()-(Data_Val!$L$3*365.25)),Data!#REF!&lt;=(TODAY()-(Data_Val!$L$2*365.25))),0,1),1))</f>
        <v>#REF!</v>
      </c>
      <c r="AI212" s="12" t="e">
        <f>IF(Data!#REF!="","",IF(Data!$G212="",1,IF(ISNUMBER(MATCH(Data!#REF!,Data_Val!$D$2:$D$10,0)),0,1)))</f>
        <v>#REF!</v>
      </c>
      <c r="AJ212" s="17"/>
      <c r="AK212" s="17" t="e">
        <f>IF(Data!#REF!="","",IF(ISNUMBER(MATCH(Data!#REF!,Data_Val!$A$2:$A$3,0)),0,1))</f>
        <v>#REF!</v>
      </c>
      <c r="AL212" s="25" t="e">
        <f ca="1">IF(Data!#REF!="","",IF(ISNUMBER(Data!#REF!),IF(AND(Data!#REF!&gt;(TODAY()-(Data_Val!$L$3*365.25)),Data!#REF!&lt;=(TODAY()-(Data_Val!$L$2*365.25))),0,1),1))</f>
        <v>#REF!</v>
      </c>
      <c r="AM212" s="17" t="e">
        <f>IF(Data!#REF!="","",IF(Data!$G212="",1,IF(ISNUMBER(MATCH(Data!#REF!,Data_Val!$D$2:$D$10,0)),0,1)))</f>
        <v>#REF!</v>
      </c>
      <c r="AN212" s="13"/>
      <c r="AO212" s="28" t="e">
        <f ca="1">IF(Data!#REF!="","",IF(ISNUMBER(Data!#REF!),IF(AND(Data!#REF!&gt;(TODAY()-(Data_Val!$I$3*365.25)),Data!#REF!&lt;=(TODAY()-(Data_Val!$I$2*365.25))),0,1),1))</f>
        <v>#REF!</v>
      </c>
      <c r="AP212" s="13" t="e">
        <f>IF(Data!#REF!="","",IF(Data!$G212="",1,IF(ISNUMBER(MATCH(Data!#REF!,Data_Val!$D$2:$D$10,0)),0,1)))</f>
        <v>#REF!</v>
      </c>
      <c r="AQ212" s="17"/>
      <c r="AR212" s="30" t="e">
        <f ca="1">IF(Data!#REF!="","",IF(ISNUMBER(Data!#REF!),IF(AND(Data!#REF!&gt;(TODAY()-(Data_Val!$I$3*365.25)),Data!#REF!&lt;=(TODAY()-(Data_Val!$I$2*365.25))),0,1),1))</f>
        <v>#REF!</v>
      </c>
      <c r="AS212" s="31" t="e">
        <f>IF(Data!#REF!="","",IF(Data!$G212="",1,IF(ISNUMBER(MATCH(Data!#REF!,Data_Val!$D$2:$D$10,0)),0,1)))</f>
        <v>#REF!</v>
      </c>
      <c r="AT212" s="11"/>
      <c r="AU212" s="11" t="e">
        <f ca="1">IF(Data!#REF!="","",IF(ISNUMBER(Data!#REF!),IF(AND(Data!#REF!&gt;(TODAY()-(Data_Val!$I$3*365.25)),Data!#REF!&lt;=(TODAY()-(Data_Val!$I$2*365.25))),0,1),1))</f>
        <v>#REF!</v>
      </c>
      <c r="AV212" s="11" t="e">
        <f>IF(Data!#REF!="","",IF(Data!$G212="",1,IF(ISNUMBER(MATCH(Data!#REF!,Data_Val!$D$2:$D$10,0)),0,1)))</f>
        <v>#REF!</v>
      </c>
      <c r="AW212" s="12"/>
      <c r="AX212" s="26" t="e">
        <f ca="1">IF(Data!#REF!="","",IF(ISNUMBER(Data!#REF!),IF(AND(Data!#REF!&gt;(TODAY()-(Data_Val!$I$3*365.25)),Data!#REF!&lt;=(TODAY()-(Data_Val!$I$2*365.25))),0,1),1))</f>
        <v>#REF!</v>
      </c>
      <c r="AY212" s="12" t="e">
        <f>IF(Data!#REF!="","",IF(Data!$G212="",1,IF(ISNUMBER(MATCH(Data!#REF!,Data_Val!$D$2:$D$10,0)),0,1)))</f>
        <v>#REF!</v>
      </c>
      <c r="AZ212" s="11"/>
      <c r="BA212" s="19" t="e">
        <f ca="1">IF(Data!#REF!="","",IF(ISNUMBER(Data!#REF!),IF(AND(Data!#REF!&gt;(TODAY()-(Data_Val!$M$3*365.25)),Data!#REF!&lt;=(TODAY()-(Data_Val!$M$2*365.25))),0,1),1))</f>
        <v>#REF!</v>
      </c>
      <c r="BB212" s="11" t="e">
        <f>IF(Data!#REF!="","",IF(Data!$G212="",1,IF(ISNUMBER(MATCH(Data!#REF!,Data_Val!$D$2:$D$10,0)),0,1)))</f>
        <v>#REF!</v>
      </c>
      <c r="BC212" s="12"/>
      <c r="BD212" s="20" t="e">
        <f ca="1">IF(Data!#REF!="","",IF(ISNUMBER(Data!#REF!),IF(AND(Data!#REF!&gt;(TODAY()-(Data_Val!$M$3*365.25)),Data!#REF!&lt;=(TODAY()-(Data_Val!$M$2*365.25))),0,1),1))</f>
        <v>#REF!</v>
      </c>
      <c r="BE212" s="12" t="e">
        <f>IF(Data!#REF!="","",IF(Data!$G212="",1,IF(ISNUMBER(MATCH(Data!#REF!,Data_Val!$D$2:$D$10,0)),0,1)))</f>
        <v>#REF!</v>
      </c>
      <c r="BF212" s="17"/>
      <c r="BG212" s="18" t="e">
        <f ca="1">IF(Data!#REF!="","",IF(ISNUMBER(Data!#REF!),IF(AND(Data!#REF!&gt;(TODAY()-(Data_Val!$M$3*365.25)),Data!#REF!&lt;=(TODAY()-(Data_Val!$M$2*365.25))),0,1),1))</f>
        <v>#REF!</v>
      </c>
      <c r="BH212" s="29" t="e">
        <f>IF(Data!#REF!="","",IF(Data!$G212="",1,IF(ISNUMBER(MATCH(Data!#REF!,Data_Val!$D$2:$D$10,0)),0,1)))</f>
        <v>#REF!</v>
      </c>
      <c r="BI212" s="13"/>
      <c r="BJ212" s="21" t="e">
        <f ca="1">IF(Data!#REF!="","",IF(ISNUMBER(Data!#REF!),IF(AND(Data!#REF!&gt;(TODAY()-(Data_Val!$M$3*365.25)),Data!#REF!&lt;=(TODAY()-(Data_Val!$M$2*365.25))),0,1),1))</f>
        <v>#REF!</v>
      </c>
      <c r="BK212" s="13" t="e">
        <f>IF(Data!#REF!="","",IF(Data!$G212="",1,IF(ISNUMBER(MATCH(Data!#REF!,Data_Val!$D$2:$D$10,0)),0,1)))</f>
        <v>#REF!</v>
      </c>
    </row>
    <row r="213" spans="1:63" x14ac:dyDescent="0.25">
      <c r="A213" s="9" t="str">
        <f>IF(Data!B213="","",IF(COUNTIFS(Data!A$1:'Data'!A213,Data!A213)&lt;=1,0,1))</f>
        <v/>
      </c>
      <c r="B213" s="9"/>
      <c r="C213" s="23" t="str">
        <f>IF(Data!C213="","",(IF(ISNUMBER(MATCH("*@*.?*",Data!C213,0)),0,1)+IF(COUNTIFS(Data!C$1:'Data'!C213,Data!C213)&gt;1,1,0)))</f>
        <v/>
      </c>
      <c r="D213" s="9" t="str">
        <f>IF(Data!B213="","",IF(ISNUMBER(Data!D213),IF(AND(Data!D213&gt;999999999,Data!D213&lt;=9999999999),IF(COUNTIFS(Data!D$1:'Data'!D213,Data!D213)&lt;=1,0,1),1),1))</f>
        <v/>
      </c>
      <c r="E213" s="9" t="str">
        <f>IF(Data!B213="","",IF(ISNUMBER(MATCH(Data!E213,Data_Val!$A$2:$A$3,0)),0,1))</f>
        <v/>
      </c>
      <c r="F213" s="9" t="str">
        <f ca="1">IF(Data!B213="","",IF(ISNUMBER(Data!F213),IF(AND(Data!F213&gt;(TODAY()-(Data_Val!$H$3*365.25)),Data!F213&lt;=(TODAY()-(Data_Val!$H$2*365.25))),0,1),1))</f>
        <v/>
      </c>
      <c r="G213" s="15" t="str">
        <f>IF(Data!B213="","",IF(AND(Data!G213="",Data!H213&lt;&gt;""),1,IF(Data!#REF!&lt;&gt;"",0,IF(ISNUMBER(MATCH(Data!G213,Data_Val!$C$2:$C$5,0)),0,1))))</f>
        <v/>
      </c>
      <c r="H213" s="15" t="str">
        <f>IF(Data!B213="","",IF(AND(Data!G213&lt;&gt;"",Data!H213=""),1,IF(Data!#REF!&lt;&gt;"",0,IF(Data!G213="",1,IF(ISNUMBER(MATCH(Data!H213,Data_Val!$D$2:$D$35,0)),0,1)))))</f>
        <v/>
      </c>
      <c r="I213" s="15" t="str">
        <f>IF(Data!B213="","",IF(Data!G213&lt;&gt;"",0,IF(ISNUMBER(MATCH(Data!#REF!,Data_Val!$E$2:$E$12,0)),0,1)))</f>
        <v/>
      </c>
      <c r="J213" s="16" t="e">
        <f>IF(OR(Data!B213="",Data!#REF!=""),"",IF(Data!#REF!="",1,0))</f>
        <v>#REF!</v>
      </c>
      <c r="K213" s="16" t="e">
        <f>IF(OR(Data!B213="",Data!#REF!=""),"",IF(Data!#REF!="",1,0))</f>
        <v>#REF!</v>
      </c>
      <c r="L213" s="16" t="e">
        <f>IF(OR(Data!B213="",Data!#REF!=""),"",IF(ISNUMBER(Data!#REF!),IF(AND(Data!#REF!&gt;Data_Val!$G$2,Data!#REF!&lt;=Data_Val!$G$3),0,1),1))</f>
        <v>#REF!</v>
      </c>
      <c r="M213" s="9" t="e">
        <f>IF(OR(Data!B213="",Data!#REF!=""),"",IF(ISNUMBER(MATCH(Data!#REF!,Data_Val!$F$1:$F$38,0)),0,1))</f>
        <v>#REF!</v>
      </c>
      <c r="N213" s="9" t="e">
        <f>IF(OR(Data!B213="",Data!#REF!=""),"",IF(Data!#REF!="",1,0))</f>
        <v>#REF!</v>
      </c>
      <c r="O213" s="17" t="e">
        <f>IF(Data!#REF!="","",IF(Data!#REF!="",1,0))</f>
        <v>#REF!</v>
      </c>
      <c r="P213" s="17" t="e">
        <f>IF(Data!#REF!="","",IF(ISNUMBER(MATCH(Data!#REF!,Data_Val!$A$2:$A$3,0)),0,1))</f>
        <v>#REF!</v>
      </c>
      <c r="Q213" s="25" t="e">
        <f ca="1">IF(Data!#REF!="","",IF(ISNUMBER(Data!#REF!),IF(AND(Data!#REF!&gt;(TODAY()-(Data_Val!$J$3*365.25)),Data!#REF!&lt;=(TODAY()-(Data_Val!$J$2*365.25))),0,1),1))</f>
        <v>#REF!</v>
      </c>
      <c r="R213" s="17" t="e">
        <f>IF(Data!#REF!="","",IF(ISNUMBER(MATCH(Data!#REF!,Data_Val!$B$2:$B$15,0)),0,1))</f>
        <v>#REF!</v>
      </c>
      <c r="S213" s="11" t="str">
        <f>IF(Data!G213="","",IF(Data!G213=Data_Val!$C$2,IF(Data!M213="",0,1),0))</f>
        <v/>
      </c>
      <c r="T213" s="11" t="str">
        <f>IF(Data!M213="","",IF(ISNUMBER(MATCH(Data!N213,Data_Val!$A$2:$A$3,0)),0,1))</f>
        <v/>
      </c>
      <c r="U213" s="11" t="str">
        <f ca="1">IF(Data!M213="","",IF(ISNUMBER(Data!O213),IF(AND(Data!O213&gt;(TODAY()-(Data_Val!$K$3*365.25)),Data!O213&lt;=(TODAY()-(Data_Val!$K$2*365.25))),0,1),1))</f>
        <v/>
      </c>
      <c r="V213" s="12" t="str">
        <f>IF(Data!G213="","",IF(Data!G213=Data_Val!$C$2,IF(Data!P213="",0,1),0))</f>
        <v/>
      </c>
      <c r="W213" s="12" t="str">
        <f>IF(Data!P213="","",IF(ISNUMBER(MATCH(Data!Q213,Data_Val!$A$2:$A$3,0)),0,1))</f>
        <v/>
      </c>
      <c r="X213" s="26" t="str">
        <f ca="1">IF(Data!P213="","",IF(ISNUMBER(Data!R213),IF(AND(Data!R213&gt;(TODAY()-(Data_Val!$L$3*365.25)),Data!R213&lt;=(TODAY()-(Data_Val!$L$2*365.25))),0,1),1))</f>
        <v/>
      </c>
      <c r="Y213" s="13" t="str">
        <f>IF(Data!$G213="","",IF(Data!$G213=Data_Val!$C$2,IF(Data!S213="",0,1),0))</f>
        <v/>
      </c>
      <c r="Z213" s="13" t="str">
        <f>IF(Data!S213="","",IF(ISNUMBER(MATCH(Data!T213,Data_Val!$A$2:$A$3,0)),0,1))</f>
        <v/>
      </c>
      <c r="AA213" s="28" t="str">
        <f ca="1">IF(Data!S213="","",IF(ISNUMBER(Data!U213),IF(AND(Data!U213&gt;(TODAY()-(Data_Val!$L$3*365.25)),Data!U213&lt;=(TODAY()-(Data_Val!$L$2*365.25))),0,1),1))</f>
        <v/>
      </c>
      <c r="AB213" s="11"/>
      <c r="AC213" s="11" t="e">
        <f>IF(Data!#REF!="","",IF(ISNUMBER(MATCH(Data!#REF!,Data_Val!$A$2:$A$3,0)),0,1))</f>
        <v>#REF!</v>
      </c>
      <c r="AD213" s="11" t="e">
        <f ca="1">IF(Data!#REF!="","",IF(ISNUMBER(Data!#REF!),IF(AND(Data!#REF!&gt;(TODAY()-(Data_Val!$L$3*365.25)),Data!#REF!&lt;=(TODAY()-(Data_Val!$L$2*365.25))),0,1),1))</f>
        <v>#REF!</v>
      </c>
      <c r="AE213" s="11" t="e">
        <f>IF(Data!#REF!="","",IF(Data!$G213="",1,IF(ISNUMBER(MATCH(Data!#REF!,Data_Val!$D$2:$D$10,0)),0,1)))</f>
        <v>#REF!</v>
      </c>
      <c r="AF213" s="12"/>
      <c r="AG213" s="12" t="e">
        <f>IF(Data!#REF!="","",IF(ISNUMBER(MATCH(Data!#REF!,Data_Val!$A$2:$A$3,0)),0,1))</f>
        <v>#REF!</v>
      </c>
      <c r="AH213" s="26" t="e">
        <f ca="1">IF(Data!#REF!="","",IF(ISNUMBER(Data!#REF!),IF(AND(Data!#REF!&gt;(TODAY()-(Data_Val!$L$3*365.25)),Data!#REF!&lt;=(TODAY()-(Data_Val!$L$2*365.25))),0,1),1))</f>
        <v>#REF!</v>
      </c>
      <c r="AI213" s="12" t="e">
        <f>IF(Data!#REF!="","",IF(Data!$G213="",1,IF(ISNUMBER(MATCH(Data!#REF!,Data_Val!$D$2:$D$10,0)),0,1)))</f>
        <v>#REF!</v>
      </c>
      <c r="AJ213" s="17"/>
      <c r="AK213" s="17" t="e">
        <f>IF(Data!#REF!="","",IF(ISNUMBER(MATCH(Data!#REF!,Data_Val!$A$2:$A$3,0)),0,1))</f>
        <v>#REF!</v>
      </c>
      <c r="AL213" s="25" t="e">
        <f ca="1">IF(Data!#REF!="","",IF(ISNUMBER(Data!#REF!),IF(AND(Data!#REF!&gt;(TODAY()-(Data_Val!$L$3*365.25)),Data!#REF!&lt;=(TODAY()-(Data_Val!$L$2*365.25))),0,1),1))</f>
        <v>#REF!</v>
      </c>
      <c r="AM213" s="17" t="e">
        <f>IF(Data!#REF!="","",IF(Data!$G213="",1,IF(ISNUMBER(MATCH(Data!#REF!,Data_Val!$D$2:$D$10,0)),0,1)))</f>
        <v>#REF!</v>
      </c>
      <c r="AN213" s="13"/>
      <c r="AO213" s="28" t="e">
        <f ca="1">IF(Data!#REF!="","",IF(ISNUMBER(Data!#REF!),IF(AND(Data!#REF!&gt;(TODAY()-(Data_Val!$I$3*365.25)),Data!#REF!&lt;=(TODAY()-(Data_Val!$I$2*365.25))),0,1),1))</f>
        <v>#REF!</v>
      </c>
      <c r="AP213" s="13" t="e">
        <f>IF(Data!#REF!="","",IF(Data!$G213="",1,IF(ISNUMBER(MATCH(Data!#REF!,Data_Val!$D$2:$D$10,0)),0,1)))</f>
        <v>#REF!</v>
      </c>
      <c r="AQ213" s="17"/>
      <c r="AR213" s="30" t="e">
        <f ca="1">IF(Data!#REF!="","",IF(ISNUMBER(Data!#REF!),IF(AND(Data!#REF!&gt;(TODAY()-(Data_Val!$I$3*365.25)),Data!#REF!&lt;=(TODAY()-(Data_Val!$I$2*365.25))),0,1),1))</f>
        <v>#REF!</v>
      </c>
      <c r="AS213" s="31" t="e">
        <f>IF(Data!#REF!="","",IF(Data!$G213="",1,IF(ISNUMBER(MATCH(Data!#REF!,Data_Val!$D$2:$D$10,0)),0,1)))</f>
        <v>#REF!</v>
      </c>
      <c r="AT213" s="11"/>
      <c r="AU213" s="11" t="e">
        <f ca="1">IF(Data!#REF!="","",IF(ISNUMBER(Data!#REF!),IF(AND(Data!#REF!&gt;(TODAY()-(Data_Val!$I$3*365.25)),Data!#REF!&lt;=(TODAY()-(Data_Val!$I$2*365.25))),0,1),1))</f>
        <v>#REF!</v>
      </c>
      <c r="AV213" s="11" t="e">
        <f>IF(Data!#REF!="","",IF(Data!$G213="",1,IF(ISNUMBER(MATCH(Data!#REF!,Data_Val!$D$2:$D$10,0)),0,1)))</f>
        <v>#REF!</v>
      </c>
      <c r="AW213" s="12"/>
      <c r="AX213" s="26" t="e">
        <f ca="1">IF(Data!#REF!="","",IF(ISNUMBER(Data!#REF!),IF(AND(Data!#REF!&gt;(TODAY()-(Data_Val!$I$3*365.25)),Data!#REF!&lt;=(TODAY()-(Data_Val!$I$2*365.25))),0,1),1))</f>
        <v>#REF!</v>
      </c>
      <c r="AY213" s="12" t="e">
        <f>IF(Data!#REF!="","",IF(Data!$G213="",1,IF(ISNUMBER(MATCH(Data!#REF!,Data_Val!$D$2:$D$10,0)),0,1)))</f>
        <v>#REF!</v>
      </c>
      <c r="AZ213" s="11"/>
      <c r="BA213" s="19" t="e">
        <f ca="1">IF(Data!#REF!="","",IF(ISNUMBER(Data!#REF!),IF(AND(Data!#REF!&gt;(TODAY()-(Data_Val!$M$3*365.25)),Data!#REF!&lt;=(TODAY()-(Data_Val!$M$2*365.25))),0,1),1))</f>
        <v>#REF!</v>
      </c>
      <c r="BB213" s="11" t="e">
        <f>IF(Data!#REF!="","",IF(Data!$G213="",1,IF(ISNUMBER(MATCH(Data!#REF!,Data_Val!$D$2:$D$10,0)),0,1)))</f>
        <v>#REF!</v>
      </c>
      <c r="BC213" s="12"/>
      <c r="BD213" s="20" t="e">
        <f ca="1">IF(Data!#REF!="","",IF(ISNUMBER(Data!#REF!),IF(AND(Data!#REF!&gt;(TODAY()-(Data_Val!$M$3*365.25)),Data!#REF!&lt;=(TODAY()-(Data_Val!$M$2*365.25))),0,1),1))</f>
        <v>#REF!</v>
      </c>
      <c r="BE213" s="12" t="e">
        <f>IF(Data!#REF!="","",IF(Data!$G213="",1,IF(ISNUMBER(MATCH(Data!#REF!,Data_Val!$D$2:$D$10,0)),0,1)))</f>
        <v>#REF!</v>
      </c>
      <c r="BF213" s="17"/>
      <c r="BG213" s="18" t="e">
        <f ca="1">IF(Data!#REF!="","",IF(ISNUMBER(Data!#REF!),IF(AND(Data!#REF!&gt;(TODAY()-(Data_Val!$M$3*365.25)),Data!#REF!&lt;=(TODAY()-(Data_Val!$M$2*365.25))),0,1),1))</f>
        <v>#REF!</v>
      </c>
      <c r="BH213" s="29" t="e">
        <f>IF(Data!#REF!="","",IF(Data!$G213="",1,IF(ISNUMBER(MATCH(Data!#REF!,Data_Val!$D$2:$D$10,0)),0,1)))</f>
        <v>#REF!</v>
      </c>
      <c r="BI213" s="13"/>
      <c r="BJ213" s="21" t="e">
        <f ca="1">IF(Data!#REF!="","",IF(ISNUMBER(Data!#REF!),IF(AND(Data!#REF!&gt;(TODAY()-(Data_Val!$M$3*365.25)),Data!#REF!&lt;=(TODAY()-(Data_Val!$M$2*365.25))),0,1),1))</f>
        <v>#REF!</v>
      </c>
      <c r="BK213" s="13" t="e">
        <f>IF(Data!#REF!="","",IF(Data!$G213="",1,IF(ISNUMBER(MATCH(Data!#REF!,Data_Val!$D$2:$D$10,0)),0,1)))</f>
        <v>#REF!</v>
      </c>
    </row>
    <row r="214" spans="1:63" x14ac:dyDescent="0.25">
      <c r="A214" s="9" t="str">
        <f>IF(Data!B214="","",IF(COUNTIFS(Data!A$1:'Data'!A214,Data!A214)&lt;=1,0,1))</f>
        <v/>
      </c>
      <c r="B214" s="9"/>
      <c r="C214" s="23" t="str">
        <f>IF(Data!C214="","",(IF(ISNUMBER(MATCH("*@*.?*",Data!C214,0)),0,1)+IF(COUNTIFS(Data!C$1:'Data'!C214,Data!C214)&gt;1,1,0)))</f>
        <v/>
      </c>
      <c r="D214" s="9" t="str">
        <f>IF(Data!B214="","",IF(ISNUMBER(Data!D214),IF(AND(Data!D214&gt;999999999,Data!D214&lt;=9999999999),IF(COUNTIFS(Data!D$1:'Data'!D214,Data!D214)&lt;=1,0,1),1),1))</f>
        <v/>
      </c>
      <c r="E214" s="9" t="str">
        <f>IF(Data!B214="","",IF(ISNUMBER(MATCH(Data!E214,Data_Val!$A$2:$A$3,0)),0,1))</f>
        <v/>
      </c>
      <c r="F214" s="9" t="str">
        <f ca="1">IF(Data!B214="","",IF(ISNUMBER(Data!F214),IF(AND(Data!F214&gt;(TODAY()-(Data_Val!$H$3*365.25)),Data!F214&lt;=(TODAY()-(Data_Val!$H$2*365.25))),0,1),1))</f>
        <v/>
      </c>
      <c r="G214" s="15" t="str">
        <f>IF(Data!B214="","",IF(AND(Data!G214="",Data!H214&lt;&gt;""),1,IF(Data!#REF!&lt;&gt;"",0,IF(ISNUMBER(MATCH(Data!G214,Data_Val!$C$2:$C$5,0)),0,1))))</f>
        <v/>
      </c>
      <c r="H214" s="15" t="str">
        <f>IF(Data!B214="","",IF(AND(Data!G214&lt;&gt;"",Data!H214=""),1,IF(Data!#REF!&lt;&gt;"",0,IF(Data!G214="",1,IF(ISNUMBER(MATCH(Data!H214,Data_Val!$D$2:$D$35,0)),0,1)))))</f>
        <v/>
      </c>
      <c r="I214" s="15" t="str">
        <f>IF(Data!B214="","",IF(Data!G214&lt;&gt;"",0,IF(ISNUMBER(MATCH(Data!#REF!,Data_Val!$E$2:$E$12,0)),0,1)))</f>
        <v/>
      </c>
      <c r="J214" s="16" t="e">
        <f>IF(OR(Data!B214="",Data!#REF!=""),"",IF(Data!#REF!="",1,0))</f>
        <v>#REF!</v>
      </c>
      <c r="K214" s="16" t="e">
        <f>IF(OR(Data!B214="",Data!#REF!=""),"",IF(Data!#REF!="",1,0))</f>
        <v>#REF!</v>
      </c>
      <c r="L214" s="16" t="e">
        <f>IF(OR(Data!B214="",Data!#REF!=""),"",IF(ISNUMBER(Data!#REF!),IF(AND(Data!#REF!&gt;Data_Val!$G$2,Data!#REF!&lt;=Data_Val!$G$3),0,1),1))</f>
        <v>#REF!</v>
      </c>
      <c r="M214" s="9" t="e">
        <f>IF(OR(Data!B214="",Data!#REF!=""),"",IF(ISNUMBER(MATCH(Data!#REF!,Data_Val!$F$1:$F$38,0)),0,1))</f>
        <v>#REF!</v>
      </c>
      <c r="N214" s="9" t="e">
        <f>IF(OR(Data!B214="",Data!#REF!=""),"",IF(Data!#REF!="",1,0))</f>
        <v>#REF!</v>
      </c>
      <c r="O214" s="17" t="e">
        <f>IF(Data!#REF!="","",IF(Data!#REF!="",1,0))</f>
        <v>#REF!</v>
      </c>
      <c r="P214" s="17" t="e">
        <f>IF(Data!#REF!="","",IF(ISNUMBER(MATCH(Data!#REF!,Data_Val!$A$2:$A$3,0)),0,1))</f>
        <v>#REF!</v>
      </c>
      <c r="Q214" s="25" t="e">
        <f ca="1">IF(Data!#REF!="","",IF(ISNUMBER(Data!#REF!),IF(AND(Data!#REF!&gt;(TODAY()-(Data_Val!$J$3*365.25)),Data!#REF!&lt;=(TODAY()-(Data_Val!$J$2*365.25))),0,1),1))</f>
        <v>#REF!</v>
      </c>
      <c r="R214" s="17" t="e">
        <f>IF(Data!#REF!="","",IF(ISNUMBER(MATCH(Data!#REF!,Data_Val!$B$2:$B$15,0)),0,1))</f>
        <v>#REF!</v>
      </c>
      <c r="S214" s="11" t="str">
        <f>IF(Data!G214="","",IF(Data!G214=Data_Val!$C$2,IF(Data!M214="",0,1),0))</f>
        <v/>
      </c>
      <c r="T214" s="11" t="str">
        <f>IF(Data!M214="","",IF(ISNUMBER(MATCH(Data!N214,Data_Val!$A$2:$A$3,0)),0,1))</f>
        <v/>
      </c>
      <c r="U214" s="11" t="str">
        <f ca="1">IF(Data!M214="","",IF(ISNUMBER(Data!O214),IF(AND(Data!O214&gt;(TODAY()-(Data_Val!$K$3*365.25)),Data!O214&lt;=(TODAY()-(Data_Val!$K$2*365.25))),0,1),1))</f>
        <v/>
      </c>
      <c r="V214" s="12" t="str">
        <f>IF(Data!G214="","",IF(Data!G214=Data_Val!$C$2,IF(Data!P214="",0,1),0))</f>
        <v/>
      </c>
      <c r="W214" s="12" t="str">
        <f>IF(Data!P214="","",IF(ISNUMBER(MATCH(Data!Q214,Data_Val!$A$2:$A$3,0)),0,1))</f>
        <v/>
      </c>
      <c r="X214" s="26" t="str">
        <f ca="1">IF(Data!P214="","",IF(ISNUMBER(Data!R214),IF(AND(Data!R214&gt;(TODAY()-(Data_Val!$L$3*365.25)),Data!R214&lt;=(TODAY()-(Data_Val!$L$2*365.25))),0,1),1))</f>
        <v/>
      </c>
      <c r="Y214" s="13" t="str">
        <f>IF(Data!$G214="","",IF(Data!$G214=Data_Val!$C$2,IF(Data!S214="",0,1),0))</f>
        <v/>
      </c>
      <c r="Z214" s="13" t="str">
        <f>IF(Data!S214="","",IF(ISNUMBER(MATCH(Data!T214,Data_Val!$A$2:$A$3,0)),0,1))</f>
        <v/>
      </c>
      <c r="AA214" s="28" t="str">
        <f ca="1">IF(Data!S214="","",IF(ISNUMBER(Data!U214),IF(AND(Data!U214&gt;(TODAY()-(Data_Val!$L$3*365.25)),Data!U214&lt;=(TODAY()-(Data_Val!$L$2*365.25))),0,1),1))</f>
        <v/>
      </c>
      <c r="AB214" s="11"/>
      <c r="AC214" s="11" t="e">
        <f>IF(Data!#REF!="","",IF(ISNUMBER(MATCH(Data!#REF!,Data_Val!$A$2:$A$3,0)),0,1))</f>
        <v>#REF!</v>
      </c>
      <c r="AD214" s="11" t="e">
        <f ca="1">IF(Data!#REF!="","",IF(ISNUMBER(Data!#REF!),IF(AND(Data!#REF!&gt;(TODAY()-(Data_Val!$L$3*365.25)),Data!#REF!&lt;=(TODAY()-(Data_Val!$L$2*365.25))),0,1),1))</f>
        <v>#REF!</v>
      </c>
      <c r="AE214" s="11" t="e">
        <f>IF(Data!#REF!="","",IF(Data!$G214="",1,IF(ISNUMBER(MATCH(Data!#REF!,Data_Val!$D$2:$D$10,0)),0,1)))</f>
        <v>#REF!</v>
      </c>
      <c r="AF214" s="12"/>
      <c r="AG214" s="12" t="e">
        <f>IF(Data!#REF!="","",IF(ISNUMBER(MATCH(Data!#REF!,Data_Val!$A$2:$A$3,0)),0,1))</f>
        <v>#REF!</v>
      </c>
      <c r="AH214" s="26" t="e">
        <f ca="1">IF(Data!#REF!="","",IF(ISNUMBER(Data!#REF!),IF(AND(Data!#REF!&gt;(TODAY()-(Data_Val!$L$3*365.25)),Data!#REF!&lt;=(TODAY()-(Data_Val!$L$2*365.25))),0,1),1))</f>
        <v>#REF!</v>
      </c>
      <c r="AI214" s="12" t="e">
        <f>IF(Data!#REF!="","",IF(Data!$G214="",1,IF(ISNUMBER(MATCH(Data!#REF!,Data_Val!$D$2:$D$10,0)),0,1)))</f>
        <v>#REF!</v>
      </c>
      <c r="AJ214" s="17"/>
      <c r="AK214" s="17" t="e">
        <f>IF(Data!#REF!="","",IF(ISNUMBER(MATCH(Data!#REF!,Data_Val!$A$2:$A$3,0)),0,1))</f>
        <v>#REF!</v>
      </c>
      <c r="AL214" s="25" t="e">
        <f ca="1">IF(Data!#REF!="","",IF(ISNUMBER(Data!#REF!),IF(AND(Data!#REF!&gt;(TODAY()-(Data_Val!$L$3*365.25)),Data!#REF!&lt;=(TODAY()-(Data_Val!$L$2*365.25))),0,1),1))</f>
        <v>#REF!</v>
      </c>
      <c r="AM214" s="17" t="e">
        <f>IF(Data!#REF!="","",IF(Data!$G214="",1,IF(ISNUMBER(MATCH(Data!#REF!,Data_Val!$D$2:$D$10,0)),0,1)))</f>
        <v>#REF!</v>
      </c>
      <c r="AN214" s="13"/>
      <c r="AO214" s="28" t="e">
        <f ca="1">IF(Data!#REF!="","",IF(ISNUMBER(Data!#REF!),IF(AND(Data!#REF!&gt;(TODAY()-(Data_Val!$I$3*365.25)),Data!#REF!&lt;=(TODAY()-(Data_Val!$I$2*365.25))),0,1),1))</f>
        <v>#REF!</v>
      </c>
      <c r="AP214" s="13" t="e">
        <f>IF(Data!#REF!="","",IF(Data!$G214="",1,IF(ISNUMBER(MATCH(Data!#REF!,Data_Val!$D$2:$D$10,0)),0,1)))</f>
        <v>#REF!</v>
      </c>
      <c r="AQ214" s="17"/>
      <c r="AR214" s="30" t="e">
        <f ca="1">IF(Data!#REF!="","",IF(ISNUMBER(Data!#REF!),IF(AND(Data!#REF!&gt;(TODAY()-(Data_Val!$I$3*365.25)),Data!#REF!&lt;=(TODAY()-(Data_Val!$I$2*365.25))),0,1),1))</f>
        <v>#REF!</v>
      </c>
      <c r="AS214" s="31" t="e">
        <f>IF(Data!#REF!="","",IF(Data!$G214="",1,IF(ISNUMBER(MATCH(Data!#REF!,Data_Val!$D$2:$D$10,0)),0,1)))</f>
        <v>#REF!</v>
      </c>
      <c r="AT214" s="11"/>
      <c r="AU214" s="11" t="e">
        <f ca="1">IF(Data!#REF!="","",IF(ISNUMBER(Data!#REF!),IF(AND(Data!#REF!&gt;(TODAY()-(Data_Val!$I$3*365.25)),Data!#REF!&lt;=(TODAY()-(Data_Val!$I$2*365.25))),0,1),1))</f>
        <v>#REF!</v>
      </c>
      <c r="AV214" s="11" t="e">
        <f>IF(Data!#REF!="","",IF(Data!$G214="",1,IF(ISNUMBER(MATCH(Data!#REF!,Data_Val!$D$2:$D$10,0)),0,1)))</f>
        <v>#REF!</v>
      </c>
      <c r="AW214" s="12"/>
      <c r="AX214" s="26" t="e">
        <f ca="1">IF(Data!#REF!="","",IF(ISNUMBER(Data!#REF!),IF(AND(Data!#REF!&gt;(TODAY()-(Data_Val!$I$3*365.25)),Data!#REF!&lt;=(TODAY()-(Data_Val!$I$2*365.25))),0,1),1))</f>
        <v>#REF!</v>
      </c>
      <c r="AY214" s="12" t="e">
        <f>IF(Data!#REF!="","",IF(Data!$G214="",1,IF(ISNUMBER(MATCH(Data!#REF!,Data_Val!$D$2:$D$10,0)),0,1)))</f>
        <v>#REF!</v>
      </c>
      <c r="AZ214" s="11"/>
      <c r="BA214" s="19" t="e">
        <f ca="1">IF(Data!#REF!="","",IF(ISNUMBER(Data!#REF!),IF(AND(Data!#REF!&gt;(TODAY()-(Data_Val!$M$3*365.25)),Data!#REF!&lt;=(TODAY()-(Data_Val!$M$2*365.25))),0,1),1))</f>
        <v>#REF!</v>
      </c>
      <c r="BB214" s="11" t="e">
        <f>IF(Data!#REF!="","",IF(Data!$G214="",1,IF(ISNUMBER(MATCH(Data!#REF!,Data_Val!$D$2:$D$10,0)),0,1)))</f>
        <v>#REF!</v>
      </c>
      <c r="BC214" s="12"/>
      <c r="BD214" s="20" t="e">
        <f ca="1">IF(Data!#REF!="","",IF(ISNUMBER(Data!#REF!),IF(AND(Data!#REF!&gt;(TODAY()-(Data_Val!$M$3*365.25)),Data!#REF!&lt;=(TODAY()-(Data_Val!$M$2*365.25))),0,1),1))</f>
        <v>#REF!</v>
      </c>
      <c r="BE214" s="12" t="e">
        <f>IF(Data!#REF!="","",IF(Data!$G214="",1,IF(ISNUMBER(MATCH(Data!#REF!,Data_Val!$D$2:$D$10,0)),0,1)))</f>
        <v>#REF!</v>
      </c>
      <c r="BF214" s="17"/>
      <c r="BG214" s="18" t="e">
        <f ca="1">IF(Data!#REF!="","",IF(ISNUMBER(Data!#REF!),IF(AND(Data!#REF!&gt;(TODAY()-(Data_Val!$M$3*365.25)),Data!#REF!&lt;=(TODAY()-(Data_Val!$M$2*365.25))),0,1),1))</f>
        <v>#REF!</v>
      </c>
      <c r="BH214" s="29" t="e">
        <f>IF(Data!#REF!="","",IF(Data!$G214="",1,IF(ISNUMBER(MATCH(Data!#REF!,Data_Val!$D$2:$D$10,0)),0,1)))</f>
        <v>#REF!</v>
      </c>
      <c r="BI214" s="13"/>
      <c r="BJ214" s="21" t="e">
        <f ca="1">IF(Data!#REF!="","",IF(ISNUMBER(Data!#REF!),IF(AND(Data!#REF!&gt;(TODAY()-(Data_Val!$M$3*365.25)),Data!#REF!&lt;=(TODAY()-(Data_Val!$M$2*365.25))),0,1),1))</f>
        <v>#REF!</v>
      </c>
      <c r="BK214" s="13" t="e">
        <f>IF(Data!#REF!="","",IF(Data!$G214="",1,IF(ISNUMBER(MATCH(Data!#REF!,Data_Val!$D$2:$D$10,0)),0,1)))</f>
        <v>#REF!</v>
      </c>
    </row>
    <row r="215" spans="1:63" x14ac:dyDescent="0.25">
      <c r="A215" s="9" t="str">
        <f>IF(Data!B215="","",IF(COUNTIFS(Data!A$1:'Data'!A215,Data!A215)&lt;=1,0,1))</f>
        <v/>
      </c>
      <c r="B215" s="9"/>
      <c r="C215" s="23" t="str">
        <f>IF(Data!C215="","",(IF(ISNUMBER(MATCH("*@*.?*",Data!C215,0)),0,1)+IF(COUNTIFS(Data!C$1:'Data'!C215,Data!C215)&gt;1,1,0)))</f>
        <v/>
      </c>
      <c r="D215" s="9" t="str">
        <f>IF(Data!B215="","",IF(ISNUMBER(Data!D215),IF(AND(Data!D215&gt;999999999,Data!D215&lt;=9999999999),IF(COUNTIFS(Data!D$1:'Data'!D215,Data!D215)&lt;=1,0,1),1),1))</f>
        <v/>
      </c>
      <c r="E215" s="9" t="str">
        <f>IF(Data!B215="","",IF(ISNUMBER(MATCH(Data!E215,Data_Val!$A$2:$A$3,0)),0,1))</f>
        <v/>
      </c>
      <c r="F215" s="9" t="str">
        <f ca="1">IF(Data!B215="","",IF(ISNUMBER(Data!F215),IF(AND(Data!F215&gt;(TODAY()-(Data_Val!$H$3*365.25)),Data!F215&lt;=(TODAY()-(Data_Val!$H$2*365.25))),0,1),1))</f>
        <v/>
      </c>
      <c r="G215" s="15" t="str">
        <f>IF(Data!B215="","",IF(AND(Data!G215="",Data!H215&lt;&gt;""),1,IF(Data!#REF!&lt;&gt;"",0,IF(ISNUMBER(MATCH(Data!G215,Data_Val!$C$2:$C$5,0)),0,1))))</f>
        <v/>
      </c>
      <c r="H215" s="15" t="str">
        <f>IF(Data!B215="","",IF(AND(Data!G215&lt;&gt;"",Data!H215=""),1,IF(Data!#REF!&lt;&gt;"",0,IF(Data!G215="",1,IF(ISNUMBER(MATCH(Data!H215,Data_Val!$D$2:$D$35,0)),0,1)))))</f>
        <v/>
      </c>
      <c r="I215" s="15" t="str">
        <f>IF(Data!B215="","",IF(Data!G215&lt;&gt;"",0,IF(ISNUMBER(MATCH(Data!#REF!,Data_Val!$E$2:$E$12,0)),0,1)))</f>
        <v/>
      </c>
      <c r="J215" s="16" t="e">
        <f>IF(OR(Data!B215="",Data!#REF!=""),"",IF(Data!#REF!="",1,0))</f>
        <v>#REF!</v>
      </c>
      <c r="K215" s="16" t="e">
        <f>IF(OR(Data!B215="",Data!#REF!=""),"",IF(Data!#REF!="",1,0))</f>
        <v>#REF!</v>
      </c>
      <c r="L215" s="16" t="e">
        <f>IF(OR(Data!B215="",Data!#REF!=""),"",IF(ISNUMBER(Data!#REF!),IF(AND(Data!#REF!&gt;Data_Val!$G$2,Data!#REF!&lt;=Data_Val!$G$3),0,1),1))</f>
        <v>#REF!</v>
      </c>
      <c r="M215" s="9" t="e">
        <f>IF(OR(Data!B215="",Data!#REF!=""),"",IF(ISNUMBER(MATCH(Data!#REF!,Data_Val!$F$1:$F$38,0)),0,1))</f>
        <v>#REF!</v>
      </c>
      <c r="N215" s="9" t="e">
        <f>IF(OR(Data!B215="",Data!#REF!=""),"",IF(Data!#REF!="",1,0))</f>
        <v>#REF!</v>
      </c>
      <c r="O215" s="17" t="e">
        <f>IF(Data!#REF!="","",IF(Data!#REF!="",1,0))</f>
        <v>#REF!</v>
      </c>
      <c r="P215" s="17" t="e">
        <f>IF(Data!#REF!="","",IF(ISNUMBER(MATCH(Data!#REF!,Data_Val!$A$2:$A$3,0)),0,1))</f>
        <v>#REF!</v>
      </c>
      <c r="Q215" s="25" t="e">
        <f ca="1">IF(Data!#REF!="","",IF(ISNUMBER(Data!#REF!),IF(AND(Data!#REF!&gt;(TODAY()-(Data_Val!$J$3*365.25)),Data!#REF!&lt;=(TODAY()-(Data_Val!$J$2*365.25))),0,1),1))</f>
        <v>#REF!</v>
      </c>
      <c r="R215" s="17" t="e">
        <f>IF(Data!#REF!="","",IF(ISNUMBER(MATCH(Data!#REF!,Data_Val!$B$2:$B$15,0)),0,1))</f>
        <v>#REF!</v>
      </c>
      <c r="S215" s="11" t="str">
        <f>IF(Data!G215="","",IF(Data!G215=Data_Val!$C$2,IF(Data!M215="",0,1),0))</f>
        <v/>
      </c>
      <c r="T215" s="11" t="str">
        <f>IF(Data!M215="","",IF(ISNUMBER(MATCH(Data!N215,Data_Val!$A$2:$A$3,0)),0,1))</f>
        <v/>
      </c>
      <c r="U215" s="11" t="str">
        <f ca="1">IF(Data!M215="","",IF(ISNUMBER(Data!O215),IF(AND(Data!O215&gt;(TODAY()-(Data_Val!$K$3*365.25)),Data!O215&lt;=(TODAY()-(Data_Val!$K$2*365.25))),0,1),1))</f>
        <v/>
      </c>
      <c r="V215" s="12" t="str">
        <f>IF(Data!G215="","",IF(Data!G215=Data_Val!$C$2,IF(Data!P215="",0,1),0))</f>
        <v/>
      </c>
      <c r="W215" s="12" t="str">
        <f>IF(Data!P215="","",IF(ISNUMBER(MATCH(Data!Q215,Data_Val!$A$2:$A$3,0)),0,1))</f>
        <v/>
      </c>
      <c r="X215" s="26" t="str">
        <f ca="1">IF(Data!P215="","",IF(ISNUMBER(Data!R215),IF(AND(Data!R215&gt;(TODAY()-(Data_Val!$L$3*365.25)),Data!R215&lt;=(TODAY()-(Data_Val!$L$2*365.25))),0,1),1))</f>
        <v/>
      </c>
      <c r="Y215" s="13" t="str">
        <f>IF(Data!$G215="","",IF(Data!$G215=Data_Val!$C$2,IF(Data!S215="",0,1),0))</f>
        <v/>
      </c>
      <c r="Z215" s="13" t="str">
        <f>IF(Data!S215="","",IF(ISNUMBER(MATCH(Data!T215,Data_Val!$A$2:$A$3,0)),0,1))</f>
        <v/>
      </c>
      <c r="AA215" s="28" t="str">
        <f ca="1">IF(Data!S215="","",IF(ISNUMBER(Data!U215),IF(AND(Data!U215&gt;(TODAY()-(Data_Val!$L$3*365.25)),Data!U215&lt;=(TODAY()-(Data_Val!$L$2*365.25))),0,1),1))</f>
        <v/>
      </c>
      <c r="AB215" s="11"/>
      <c r="AC215" s="11" t="e">
        <f>IF(Data!#REF!="","",IF(ISNUMBER(MATCH(Data!#REF!,Data_Val!$A$2:$A$3,0)),0,1))</f>
        <v>#REF!</v>
      </c>
      <c r="AD215" s="11" t="e">
        <f ca="1">IF(Data!#REF!="","",IF(ISNUMBER(Data!#REF!),IF(AND(Data!#REF!&gt;(TODAY()-(Data_Val!$L$3*365.25)),Data!#REF!&lt;=(TODAY()-(Data_Val!$L$2*365.25))),0,1),1))</f>
        <v>#REF!</v>
      </c>
      <c r="AE215" s="11" t="e">
        <f>IF(Data!#REF!="","",IF(Data!$G215="",1,IF(ISNUMBER(MATCH(Data!#REF!,Data_Val!$D$2:$D$10,0)),0,1)))</f>
        <v>#REF!</v>
      </c>
      <c r="AF215" s="12"/>
      <c r="AG215" s="12" t="e">
        <f>IF(Data!#REF!="","",IF(ISNUMBER(MATCH(Data!#REF!,Data_Val!$A$2:$A$3,0)),0,1))</f>
        <v>#REF!</v>
      </c>
      <c r="AH215" s="26" t="e">
        <f ca="1">IF(Data!#REF!="","",IF(ISNUMBER(Data!#REF!),IF(AND(Data!#REF!&gt;(TODAY()-(Data_Val!$L$3*365.25)),Data!#REF!&lt;=(TODAY()-(Data_Val!$L$2*365.25))),0,1),1))</f>
        <v>#REF!</v>
      </c>
      <c r="AI215" s="12" t="e">
        <f>IF(Data!#REF!="","",IF(Data!$G215="",1,IF(ISNUMBER(MATCH(Data!#REF!,Data_Val!$D$2:$D$10,0)),0,1)))</f>
        <v>#REF!</v>
      </c>
      <c r="AJ215" s="17"/>
      <c r="AK215" s="17" t="e">
        <f>IF(Data!#REF!="","",IF(ISNUMBER(MATCH(Data!#REF!,Data_Val!$A$2:$A$3,0)),0,1))</f>
        <v>#REF!</v>
      </c>
      <c r="AL215" s="25" t="e">
        <f ca="1">IF(Data!#REF!="","",IF(ISNUMBER(Data!#REF!),IF(AND(Data!#REF!&gt;(TODAY()-(Data_Val!$L$3*365.25)),Data!#REF!&lt;=(TODAY()-(Data_Val!$L$2*365.25))),0,1),1))</f>
        <v>#REF!</v>
      </c>
      <c r="AM215" s="17" t="e">
        <f>IF(Data!#REF!="","",IF(Data!$G215="",1,IF(ISNUMBER(MATCH(Data!#REF!,Data_Val!$D$2:$D$10,0)),0,1)))</f>
        <v>#REF!</v>
      </c>
      <c r="AN215" s="13"/>
      <c r="AO215" s="28" t="e">
        <f ca="1">IF(Data!#REF!="","",IF(ISNUMBER(Data!#REF!),IF(AND(Data!#REF!&gt;(TODAY()-(Data_Val!$I$3*365.25)),Data!#REF!&lt;=(TODAY()-(Data_Val!$I$2*365.25))),0,1),1))</f>
        <v>#REF!</v>
      </c>
      <c r="AP215" s="13" t="e">
        <f>IF(Data!#REF!="","",IF(Data!$G215="",1,IF(ISNUMBER(MATCH(Data!#REF!,Data_Val!$D$2:$D$10,0)),0,1)))</f>
        <v>#REF!</v>
      </c>
      <c r="AQ215" s="17"/>
      <c r="AR215" s="30" t="e">
        <f ca="1">IF(Data!#REF!="","",IF(ISNUMBER(Data!#REF!),IF(AND(Data!#REF!&gt;(TODAY()-(Data_Val!$I$3*365.25)),Data!#REF!&lt;=(TODAY()-(Data_Val!$I$2*365.25))),0,1),1))</f>
        <v>#REF!</v>
      </c>
      <c r="AS215" s="31" t="e">
        <f>IF(Data!#REF!="","",IF(Data!$G215="",1,IF(ISNUMBER(MATCH(Data!#REF!,Data_Val!$D$2:$D$10,0)),0,1)))</f>
        <v>#REF!</v>
      </c>
      <c r="AT215" s="11"/>
      <c r="AU215" s="11" t="e">
        <f ca="1">IF(Data!#REF!="","",IF(ISNUMBER(Data!#REF!),IF(AND(Data!#REF!&gt;(TODAY()-(Data_Val!$I$3*365.25)),Data!#REF!&lt;=(TODAY()-(Data_Val!$I$2*365.25))),0,1),1))</f>
        <v>#REF!</v>
      </c>
      <c r="AV215" s="11" t="e">
        <f>IF(Data!#REF!="","",IF(Data!$G215="",1,IF(ISNUMBER(MATCH(Data!#REF!,Data_Val!$D$2:$D$10,0)),0,1)))</f>
        <v>#REF!</v>
      </c>
      <c r="AW215" s="12"/>
      <c r="AX215" s="26" t="e">
        <f ca="1">IF(Data!#REF!="","",IF(ISNUMBER(Data!#REF!),IF(AND(Data!#REF!&gt;(TODAY()-(Data_Val!$I$3*365.25)),Data!#REF!&lt;=(TODAY()-(Data_Val!$I$2*365.25))),0,1),1))</f>
        <v>#REF!</v>
      </c>
      <c r="AY215" s="12" t="e">
        <f>IF(Data!#REF!="","",IF(Data!$G215="",1,IF(ISNUMBER(MATCH(Data!#REF!,Data_Val!$D$2:$D$10,0)),0,1)))</f>
        <v>#REF!</v>
      </c>
      <c r="AZ215" s="11"/>
      <c r="BA215" s="19" t="e">
        <f ca="1">IF(Data!#REF!="","",IF(ISNUMBER(Data!#REF!),IF(AND(Data!#REF!&gt;(TODAY()-(Data_Val!$M$3*365.25)),Data!#REF!&lt;=(TODAY()-(Data_Val!$M$2*365.25))),0,1),1))</f>
        <v>#REF!</v>
      </c>
      <c r="BB215" s="11" t="e">
        <f>IF(Data!#REF!="","",IF(Data!$G215="",1,IF(ISNUMBER(MATCH(Data!#REF!,Data_Val!$D$2:$D$10,0)),0,1)))</f>
        <v>#REF!</v>
      </c>
      <c r="BC215" s="12"/>
      <c r="BD215" s="20" t="e">
        <f ca="1">IF(Data!#REF!="","",IF(ISNUMBER(Data!#REF!),IF(AND(Data!#REF!&gt;(TODAY()-(Data_Val!$M$3*365.25)),Data!#REF!&lt;=(TODAY()-(Data_Val!$M$2*365.25))),0,1),1))</f>
        <v>#REF!</v>
      </c>
      <c r="BE215" s="12" t="e">
        <f>IF(Data!#REF!="","",IF(Data!$G215="",1,IF(ISNUMBER(MATCH(Data!#REF!,Data_Val!$D$2:$D$10,0)),0,1)))</f>
        <v>#REF!</v>
      </c>
      <c r="BF215" s="17"/>
      <c r="BG215" s="18" t="e">
        <f ca="1">IF(Data!#REF!="","",IF(ISNUMBER(Data!#REF!),IF(AND(Data!#REF!&gt;(TODAY()-(Data_Val!$M$3*365.25)),Data!#REF!&lt;=(TODAY()-(Data_Val!$M$2*365.25))),0,1),1))</f>
        <v>#REF!</v>
      </c>
      <c r="BH215" s="29" t="e">
        <f>IF(Data!#REF!="","",IF(Data!$G215="",1,IF(ISNUMBER(MATCH(Data!#REF!,Data_Val!$D$2:$D$10,0)),0,1)))</f>
        <v>#REF!</v>
      </c>
      <c r="BI215" s="13"/>
      <c r="BJ215" s="21" t="e">
        <f ca="1">IF(Data!#REF!="","",IF(ISNUMBER(Data!#REF!),IF(AND(Data!#REF!&gt;(TODAY()-(Data_Val!$M$3*365.25)),Data!#REF!&lt;=(TODAY()-(Data_Val!$M$2*365.25))),0,1),1))</f>
        <v>#REF!</v>
      </c>
      <c r="BK215" s="13" t="e">
        <f>IF(Data!#REF!="","",IF(Data!$G215="",1,IF(ISNUMBER(MATCH(Data!#REF!,Data_Val!$D$2:$D$10,0)),0,1)))</f>
        <v>#REF!</v>
      </c>
    </row>
    <row r="216" spans="1:63" x14ac:dyDescent="0.25">
      <c r="A216" s="9" t="str">
        <f>IF(Data!B216="","",IF(COUNTIFS(Data!A$1:'Data'!A216,Data!A216)&lt;=1,0,1))</f>
        <v/>
      </c>
      <c r="B216" s="9"/>
      <c r="C216" s="23" t="str">
        <f>IF(Data!C216="","",(IF(ISNUMBER(MATCH("*@*.?*",Data!C216,0)),0,1)+IF(COUNTIFS(Data!C$1:'Data'!C216,Data!C216)&gt;1,1,0)))</f>
        <v/>
      </c>
      <c r="D216" s="9" t="str">
        <f>IF(Data!B216="","",IF(ISNUMBER(Data!D216),IF(AND(Data!D216&gt;999999999,Data!D216&lt;=9999999999),IF(COUNTIFS(Data!D$1:'Data'!D216,Data!D216)&lt;=1,0,1),1),1))</f>
        <v/>
      </c>
      <c r="E216" s="9" t="str">
        <f>IF(Data!B216="","",IF(ISNUMBER(MATCH(Data!E216,Data_Val!$A$2:$A$3,0)),0,1))</f>
        <v/>
      </c>
      <c r="F216" s="9" t="str">
        <f ca="1">IF(Data!B216="","",IF(ISNUMBER(Data!F216),IF(AND(Data!F216&gt;(TODAY()-(Data_Val!$H$3*365.25)),Data!F216&lt;=(TODAY()-(Data_Val!$H$2*365.25))),0,1),1))</f>
        <v/>
      </c>
      <c r="G216" s="15" t="str">
        <f>IF(Data!B216="","",IF(AND(Data!G216="",Data!H216&lt;&gt;""),1,IF(Data!#REF!&lt;&gt;"",0,IF(ISNUMBER(MATCH(Data!G216,Data_Val!$C$2:$C$5,0)),0,1))))</f>
        <v/>
      </c>
      <c r="H216" s="15" t="str">
        <f>IF(Data!B216="","",IF(AND(Data!G216&lt;&gt;"",Data!H216=""),1,IF(Data!#REF!&lt;&gt;"",0,IF(Data!G216="",1,IF(ISNUMBER(MATCH(Data!H216,Data_Val!$D$2:$D$35,0)),0,1)))))</f>
        <v/>
      </c>
      <c r="I216" s="15" t="str">
        <f>IF(Data!B216="","",IF(Data!G216&lt;&gt;"",0,IF(ISNUMBER(MATCH(Data!#REF!,Data_Val!$E$2:$E$12,0)),0,1)))</f>
        <v/>
      </c>
      <c r="J216" s="16" t="e">
        <f>IF(OR(Data!B216="",Data!#REF!=""),"",IF(Data!#REF!="",1,0))</f>
        <v>#REF!</v>
      </c>
      <c r="K216" s="16" t="e">
        <f>IF(OR(Data!B216="",Data!#REF!=""),"",IF(Data!#REF!="",1,0))</f>
        <v>#REF!</v>
      </c>
      <c r="L216" s="16" t="e">
        <f>IF(OR(Data!B216="",Data!#REF!=""),"",IF(ISNUMBER(Data!#REF!),IF(AND(Data!#REF!&gt;Data_Val!$G$2,Data!#REF!&lt;=Data_Val!$G$3),0,1),1))</f>
        <v>#REF!</v>
      </c>
      <c r="M216" s="9" t="e">
        <f>IF(OR(Data!B216="",Data!#REF!=""),"",IF(ISNUMBER(MATCH(Data!#REF!,Data_Val!$F$1:$F$38,0)),0,1))</f>
        <v>#REF!</v>
      </c>
      <c r="N216" s="9" t="e">
        <f>IF(OR(Data!B216="",Data!#REF!=""),"",IF(Data!#REF!="",1,0))</f>
        <v>#REF!</v>
      </c>
      <c r="O216" s="17" t="e">
        <f>IF(Data!#REF!="","",IF(Data!#REF!="",1,0))</f>
        <v>#REF!</v>
      </c>
      <c r="P216" s="17" t="e">
        <f>IF(Data!#REF!="","",IF(ISNUMBER(MATCH(Data!#REF!,Data_Val!$A$2:$A$3,0)),0,1))</f>
        <v>#REF!</v>
      </c>
      <c r="Q216" s="25" t="e">
        <f ca="1">IF(Data!#REF!="","",IF(ISNUMBER(Data!#REF!),IF(AND(Data!#REF!&gt;(TODAY()-(Data_Val!$J$3*365.25)),Data!#REF!&lt;=(TODAY()-(Data_Val!$J$2*365.25))),0,1),1))</f>
        <v>#REF!</v>
      </c>
      <c r="R216" s="17" t="e">
        <f>IF(Data!#REF!="","",IF(ISNUMBER(MATCH(Data!#REF!,Data_Val!$B$2:$B$15,0)),0,1))</f>
        <v>#REF!</v>
      </c>
      <c r="S216" s="11" t="str">
        <f>IF(Data!G216="","",IF(Data!G216=Data_Val!$C$2,IF(Data!M216="",0,1),0))</f>
        <v/>
      </c>
      <c r="T216" s="11" t="str">
        <f>IF(Data!M216="","",IF(ISNUMBER(MATCH(Data!N216,Data_Val!$A$2:$A$3,0)),0,1))</f>
        <v/>
      </c>
      <c r="U216" s="11" t="str">
        <f ca="1">IF(Data!M216="","",IF(ISNUMBER(Data!O216),IF(AND(Data!O216&gt;(TODAY()-(Data_Val!$K$3*365.25)),Data!O216&lt;=(TODAY()-(Data_Val!$K$2*365.25))),0,1),1))</f>
        <v/>
      </c>
      <c r="V216" s="12" t="str">
        <f>IF(Data!G216="","",IF(Data!G216=Data_Val!$C$2,IF(Data!P216="",0,1),0))</f>
        <v/>
      </c>
      <c r="W216" s="12" t="str">
        <f>IF(Data!P216="","",IF(ISNUMBER(MATCH(Data!Q216,Data_Val!$A$2:$A$3,0)),0,1))</f>
        <v/>
      </c>
      <c r="X216" s="26" t="str">
        <f ca="1">IF(Data!P216="","",IF(ISNUMBER(Data!R216),IF(AND(Data!R216&gt;(TODAY()-(Data_Val!$L$3*365.25)),Data!R216&lt;=(TODAY()-(Data_Val!$L$2*365.25))),0,1),1))</f>
        <v/>
      </c>
      <c r="Y216" s="13" t="str">
        <f>IF(Data!$G216="","",IF(Data!$G216=Data_Val!$C$2,IF(Data!S216="",0,1),0))</f>
        <v/>
      </c>
      <c r="Z216" s="13" t="str">
        <f>IF(Data!S216="","",IF(ISNUMBER(MATCH(Data!T216,Data_Val!$A$2:$A$3,0)),0,1))</f>
        <v/>
      </c>
      <c r="AA216" s="28" t="str">
        <f ca="1">IF(Data!S216="","",IF(ISNUMBER(Data!U216),IF(AND(Data!U216&gt;(TODAY()-(Data_Val!$L$3*365.25)),Data!U216&lt;=(TODAY()-(Data_Val!$L$2*365.25))),0,1),1))</f>
        <v/>
      </c>
      <c r="AB216" s="11"/>
      <c r="AC216" s="11" t="e">
        <f>IF(Data!#REF!="","",IF(ISNUMBER(MATCH(Data!#REF!,Data_Val!$A$2:$A$3,0)),0,1))</f>
        <v>#REF!</v>
      </c>
      <c r="AD216" s="11" t="e">
        <f ca="1">IF(Data!#REF!="","",IF(ISNUMBER(Data!#REF!),IF(AND(Data!#REF!&gt;(TODAY()-(Data_Val!$L$3*365.25)),Data!#REF!&lt;=(TODAY()-(Data_Val!$L$2*365.25))),0,1),1))</f>
        <v>#REF!</v>
      </c>
      <c r="AE216" s="11" t="e">
        <f>IF(Data!#REF!="","",IF(Data!$G216="",1,IF(ISNUMBER(MATCH(Data!#REF!,Data_Val!$D$2:$D$10,0)),0,1)))</f>
        <v>#REF!</v>
      </c>
      <c r="AF216" s="12"/>
      <c r="AG216" s="12" t="e">
        <f>IF(Data!#REF!="","",IF(ISNUMBER(MATCH(Data!#REF!,Data_Val!$A$2:$A$3,0)),0,1))</f>
        <v>#REF!</v>
      </c>
      <c r="AH216" s="26" t="e">
        <f ca="1">IF(Data!#REF!="","",IF(ISNUMBER(Data!#REF!),IF(AND(Data!#REF!&gt;(TODAY()-(Data_Val!$L$3*365.25)),Data!#REF!&lt;=(TODAY()-(Data_Val!$L$2*365.25))),0,1),1))</f>
        <v>#REF!</v>
      </c>
      <c r="AI216" s="12" t="e">
        <f>IF(Data!#REF!="","",IF(Data!$G216="",1,IF(ISNUMBER(MATCH(Data!#REF!,Data_Val!$D$2:$D$10,0)),0,1)))</f>
        <v>#REF!</v>
      </c>
      <c r="AJ216" s="17"/>
      <c r="AK216" s="17" t="e">
        <f>IF(Data!#REF!="","",IF(ISNUMBER(MATCH(Data!#REF!,Data_Val!$A$2:$A$3,0)),0,1))</f>
        <v>#REF!</v>
      </c>
      <c r="AL216" s="25" t="e">
        <f ca="1">IF(Data!#REF!="","",IF(ISNUMBER(Data!#REF!),IF(AND(Data!#REF!&gt;(TODAY()-(Data_Val!$L$3*365.25)),Data!#REF!&lt;=(TODAY()-(Data_Val!$L$2*365.25))),0,1),1))</f>
        <v>#REF!</v>
      </c>
      <c r="AM216" s="17" t="e">
        <f>IF(Data!#REF!="","",IF(Data!$G216="",1,IF(ISNUMBER(MATCH(Data!#REF!,Data_Val!$D$2:$D$10,0)),0,1)))</f>
        <v>#REF!</v>
      </c>
      <c r="AN216" s="13"/>
      <c r="AO216" s="28" t="e">
        <f ca="1">IF(Data!#REF!="","",IF(ISNUMBER(Data!#REF!),IF(AND(Data!#REF!&gt;(TODAY()-(Data_Val!$I$3*365.25)),Data!#REF!&lt;=(TODAY()-(Data_Val!$I$2*365.25))),0,1),1))</f>
        <v>#REF!</v>
      </c>
      <c r="AP216" s="13" t="e">
        <f>IF(Data!#REF!="","",IF(Data!$G216="",1,IF(ISNUMBER(MATCH(Data!#REF!,Data_Val!$D$2:$D$10,0)),0,1)))</f>
        <v>#REF!</v>
      </c>
      <c r="AQ216" s="17"/>
      <c r="AR216" s="30" t="e">
        <f ca="1">IF(Data!#REF!="","",IF(ISNUMBER(Data!#REF!),IF(AND(Data!#REF!&gt;(TODAY()-(Data_Val!$I$3*365.25)),Data!#REF!&lt;=(TODAY()-(Data_Val!$I$2*365.25))),0,1),1))</f>
        <v>#REF!</v>
      </c>
      <c r="AS216" s="31" t="e">
        <f>IF(Data!#REF!="","",IF(Data!$G216="",1,IF(ISNUMBER(MATCH(Data!#REF!,Data_Val!$D$2:$D$10,0)),0,1)))</f>
        <v>#REF!</v>
      </c>
      <c r="AT216" s="11"/>
      <c r="AU216" s="11" t="e">
        <f ca="1">IF(Data!#REF!="","",IF(ISNUMBER(Data!#REF!),IF(AND(Data!#REF!&gt;(TODAY()-(Data_Val!$I$3*365.25)),Data!#REF!&lt;=(TODAY()-(Data_Val!$I$2*365.25))),0,1),1))</f>
        <v>#REF!</v>
      </c>
      <c r="AV216" s="11" t="e">
        <f>IF(Data!#REF!="","",IF(Data!$G216="",1,IF(ISNUMBER(MATCH(Data!#REF!,Data_Val!$D$2:$D$10,0)),0,1)))</f>
        <v>#REF!</v>
      </c>
      <c r="AW216" s="12"/>
      <c r="AX216" s="26" t="e">
        <f ca="1">IF(Data!#REF!="","",IF(ISNUMBER(Data!#REF!),IF(AND(Data!#REF!&gt;(TODAY()-(Data_Val!$I$3*365.25)),Data!#REF!&lt;=(TODAY()-(Data_Val!$I$2*365.25))),0,1),1))</f>
        <v>#REF!</v>
      </c>
      <c r="AY216" s="12" t="e">
        <f>IF(Data!#REF!="","",IF(Data!$G216="",1,IF(ISNUMBER(MATCH(Data!#REF!,Data_Val!$D$2:$D$10,0)),0,1)))</f>
        <v>#REF!</v>
      </c>
      <c r="AZ216" s="11"/>
      <c r="BA216" s="19" t="e">
        <f ca="1">IF(Data!#REF!="","",IF(ISNUMBER(Data!#REF!),IF(AND(Data!#REF!&gt;(TODAY()-(Data_Val!$M$3*365.25)),Data!#REF!&lt;=(TODAY()-(Data_Val!$M$2*365.25))),0,1),1))</f>
        <v>#REF!</v>
      </c>
      <c r="BB216" s="11" t="e">
        <f>IF(Data!#REF!="","",IF(Data!$G216="",1,IF(ISNUMBER(MATCH(Data!#REF!,Data_Val!$D$2:$D$10,0)),0,1)))</f>
        <v>#REF!</v>
      </c>
      <c r="BC216" s="12"/>
      <c r="BD216" s="20" t="e">
        <f ca="1">IF(Data!#REF!="","",IF(ISNUMBER(Data!#REF!),IF(AND(Data!#REF!&gt;(TODAY()-(Data_Val!$M$3*365.25)),Data!#REF!&lt;=(TODAY()-(Data_Val!$M$2*365.25))),0,1),1))</f>
        <v>#REF!</v>
      </c>
      <c r="BE216" s="12" t="e">
        <f>IF(Data!#REF!="","",IF(Data!$G216="",1,IF(ISNUMBER(MATCH(Data!#REF!,Data_Val!$D$2:$D$10,0)),0,1)))</f>
        <v>#REF!</v>
      </c>
      <c r="BF216" s="17"/>
      <c r="BG216" s="18" t="e">
        <f ca="1">IF(Data!#REF!="","",IF(ISNUMBER(Data!#REF!),IF(AND(Data!#REF!&gt;(TODAY()-(Data_Val!$M$3*365.25)),Data!#REF!&lt;=(TODAY()-(Data_Val!$M$2*365.25))),0,1),1))</f>
        <v>#REF!</v>
      </c>
      <c r="BH216" s="29" t="e">
        <f>IF(Data!#REF!="","",IF(Data!$G216="",1,IF(ISNUMBER(MATCH(Data!#REF!,Data_Val!$D$2:$D$10,0)),0,1)))</f>
        <v>#REF!</v>
      </c>
      <c r="BI216" s="13"/>
      <c r="BJ216" s="21" t="e">
        <f ca="1">IF(Data!#REF!="","",IF(ISNUMBER(Data!#REF!),IF(AND(Data!#REF!&gt;(TODAY()-(Data_Val!$M$3*365.25)),Data!#REF!&lt;=(TODAY()-(Data_Val!$M$2*365.25))),0,1),1))</f>
        <v>#REF!</v>
      </c>
      <c r="BK216" s="13" t="e">
        <f>IF(Data!#REF!="","",IF(Data!$G216="",1,IF(ISNUMBER(MATCH(Data!#REF!,Data_Val!$D$2:$D$10,0)),0,1)))</f>
        <v>#REF!</v>
      </c>
    </row>
    <row r="217" spans="1:63" x14ac:dyDescent="0.25">
      <c r="A217" s="9" t="str">
        <f>IF(Data!B217="","",IF(COUNTIFS(Data!A$1:'Data'!A217,Data!A217)&lt;=1,0,1))</f>
        <v/>
      </c>
      <c r="B217" s="9"/>
      <c r="C217" s="23" t="str">
        <f>IF(Data!C217="","",(IF(ISNUMBER(MATCH("*@*.?*",Data!C217,0)),0,1)+IF(COUNTIFS(Data!C$1:'Data'!C217,Data!C217)&gt;1,1,0)))</f>
        <v/>
      </c>
      <c r="D217" s="9" t="str">
        <f>IF(Data!B217="","",IF(ISNUMBER(Data!D217),IF(AND(Data!D217&gt;999999999,Data!D217&lt;=9999999999),IF(COUNTIFS(Data!D$1:'Data'!D217,Data!D217)&lt;=1,0,1),1),1))</f>
        <v/>
      </c>
      <c r="E217" s="9" t="str">
        <f>IF(Data!B217="","",IF(ISNUMBER(MATCH(Data!E217,Data_Val!$A$2:$A$3,0)),0,1))</f>
        <v/>
      </c>
      <c r="F217" s="9" t="str">
        <f ca="1">IF(Data!B217="","",IF(ISNUMBER(Data!F217),IF(AND(Data!F217&gt;(TODAY()-(Data_Val!$H$3*365.25)),Data!F217&lt;=(TODAY()-(Data_Val!$H$2*365.25))),0,1),1))</f>
        <v/>
      </c>
      <c r="G217" s="15" t="str">
        <f>IF(Data!B217="","",IF(AND(Data!G217="",Data!H217&lt;&gt;""),1,IF(Data!#REF!&lt;&gt;"",0,IF(ISNUMBER(MATCH(Data!G217,Data_Val!$C$2:$C$5,0)),0,1))))</f>
        <v/>
      </c>
      <c r="H217" s="15" t="str">
        <f>IF(Data!B217="","",IF(AND(Data!G217&lt;&gt;"",Data!H217=""),1,IF(Data!#REF!&lt;&gt;"",0,IF(Data!G217="",1,IF(ISNUMBER(MATCH(Data!H217,Data_Val!$D$2:$D$35,0)),0,1)))))</f>
        <v/>
      </c>
      <c r="I217" s="15" t="str">
        <f>IF(Data!B217="","",IF(Data!G217&lt;&gt;"",0,IF(ISNUMBER(MATCH(Data!#REF!,Data_Val!$E$2:$E$12,0)),0,1)))</f>
        <v/>
      </c>
      <c r="J217" s="16" t="e">
        <f>IF(OR(Data!B217="",Data!#REF!=""),"",IF(Data!#REF!="",1,0))</f>
        <v>#REF!</v>
      </c>
      <c r="K217" s="16" t="e">
        <f>IF(OR(Data!B217="",Data!#REF!=""),"",IF(Data!#REF!="",1,0))</f>
        <v>#REF!</v>
      </c>
      <c r="L217" s="16" t="e">
        <f>IF(OR(Data!B217="",Data!#REF!=""),"",IF(ISNUMBER(Data!#REF!),IF(AND(Data!#REF!&gt;Data_Val!$G$2,Data!#REF!&lt;=Data_Val!$G$3),0,1),1))</f>
        <v>#REF!</v>
      </c>
      <c r="M217" s="9" t="e">
        <f>IF(OR(Data!B217="",Data!#REF!=""),"",IF(ISNUMBER(MATCH(Data!#REF!,Data_Val!$F$1:$F$38,0)),0,1))</f>
        <v>#REF!</v>
      </c>
      <c r="N217" s="9" t="e">
        <f>IF(OR(Data!B217="",Data!#REF!=""),"",IF(Data!#REF!="",1,0))</f>
        <v>#REF!</v>
      </c>
      <c r="O217" s="17" t="e">
        <f>IF(Data!#REF!="","",IF(Data!#REF!="",1,0))</f>
        <v>#REF!</v>
      </c>
      <c r="P217" s="17" t="e">
        <f>IF(Data!#REF!="","",IF(ISNUMBER(MATCH(Data!#REF!,Data_Val!$A$2:$A$3,0)),0,1))</f>
        <v>#REF!</v>
      </c>
      <c r="Q217" s="25" t="e">
        <f ca="1">IF(Data!#REF!="","",IF(ISNUMBER(Data!#REF!),IF(AND(Data!#REF!&gt;(TODAY()-(Data_Val!$J$3*365.25)),Data!#REF!&lt;=(TODAY()-(Data_Val!$J$2*365.25))),0,1),1))</f>
        <v>#REF!</v>
      </c>
      <c r="R217" s="17" t="e">
        <f>IF(Data!#REF!="","",IF(ISNUMBER(MATCH(Data!#REF!,Data_Val!$B$2:$B$15,0)),0,1))</f>
        <v>#REF!</v>
      </c>
      <c r="S217" s="11" t="str">
        <f>IF(Data!G217="","",IF(Data!G217=Data_Val!$C$2,IF(Data!M217="",0,1),0))</f>
        <v/>
      </c>
      <c r="T217" s="11" t="str">
        <f>IF(Data!M217="","",IF(ISNUMBER(MATCH(Data!N217,Data_Val!$A$2:$A$3,0)),0,1))</f>
        <v/>
      </c>
      <c r="U217" s="11" t="str">
        <f ca="1">IF(Data!M217="","",IF(ISNUMBER(Data!O217),IF(AND(Data!O217&gt;(TODAY()-(Data_Val!$K$3*365.25)),Data!O217&lt;=(TODAY()-(Data_Val!$K$2*365.25))),0,1),1))</f>
        <v/>
      </c>
      <c r="V217" s="12" t="str">
        <f>IF(Data!G217="","",IF(Data!G217=Data_Val!$C$2,IF(Data!P217="",0,1),0))</f>
        <v/>
      </c>
      <c r="W217" s="12" t="str">
        <f>IF(Data!P217="","",IF(ISNUMBER(MATCH(Data!Q217,Data_Val!$A$2:$A$3,0)),0,1))</f>
        <v/>
      </c>
      <c r="X217" s="26" t="str">
        <f ca="1">IF(Data!P217="","",IF(ISNUMBER(Data!R217),IF(AND(Data!R217&gt;(TODAY()-(Data_Val!$L$3*365.25)),Data!R217&lt;=(TODAY()-(Data_Val!$L$2*365.25))),0,1),1))</f>
        <v/>
      </c>
      <c r="Y217" s="13" t="str">
        <f>IF(Data!$G217="","",IF(Data!$G217=Data_Val!$C$2,IF(Data!S217="",0,1),0))</f>
        <v/>
      </c>
      <c r="Z217" s="13" t="str">
        <f>IF(Data!S217="","",IF(ISNUMBER(MATCH(Data!T217,Data_Val!$A$2:$A$3,0)),0,1))</f>
        <v/>
      </c>
      <c r="AA217" s="28" t="str">
        <f ca="1">IF(Data!S217="","",IF(ISNUMBER(Data!U217),IF(AND(Data!U217&gt;(TODAY()-(Data_Val!$L$3*365.25)),Data!U217&lt;=(TODAY()-(Data_Val!$L$2*365.25))),0,1),1))</f>
        <v/>
      </c>
      <c r="AB217" s="11"/>
      <c r="AC217" s="11" t="e">
        <f>IF(Data!#REF!="","",IF(ISNUMBER(MATCH(Data!#REF!,Data_Val!$A$2:$A$3,0)),0,1))</f>
        <v>#REF!</v>
      </c>
      <c r="AD217" s="11" t="e">
        <f ca="1">IF(Data!#REF!="","",IF(ISNUMBER(Data!#REF!),IF(AND(Data!#REF!&gt;(TODAY()-(Data_Val!$L$3*365.25)),Data!#REF!&lt;=(TODAY()-(Data_Val!$L$2*365.25))),0,1),1))</f>
        <v>#REF!</v>
      </c>
      <c r="AE217" s="11" t="e">
        <f>IF(Data!#REF!="","",IF(Data!$G217="",1,IF(ISNUMBER(MATCH(Data!#REF!,Data_Val!$D$2:$D$10,0)),0,1)))</f>
        <v>#REF!</v>
      </c>
      <c r="AF217" s="12"/>
      <c r="AG217" s="12" t="e">
        <f>IF(Data!#REF!="","",IF(ISNUMBER(MATCH(Data!#REF!,Data_Val!$A$2:$A$3,0)),0,1))</f>
        <v>#REF!</v>
      </c>
      <c r="AH217" s="26" t="e">
        <f ca="1">IF(Data!#REF!="","",IF(ISNUMBER(Data!#REF!),IF(AND(Data!#REF!&gt;(TODAY()-(Data_Val!$L$3*365.25)),Data!#REF!&lt;=(TODAY()-(Data_Val!$L$2*365.25))),0,1),1))</f>
        <v>#REF!</v>
      </c>
      <c r="AI217" s="12" t="e">
        <f>IF(Data!#REF!="","",IF(Data!$G217="",1,IF(ISNUMBER(MATCH(Data!#REF!,Data_Val!$D$2:$D$10,0)),0,1)))</f>
        <v>#REF!</v>
      </c>
      <c r="AJ217" s="17"/>
      <c r="AK217" s="17" t="e">
        <f>IF(Data!#REF!="","",IF(ISNUMBER(MATCH(Data!#REF!,Data_Val!$A$2:$A$3,0)),0,1))</f>
        <v>#REF!</v>
      </c>
      <c r="AL217" s="25" t="e">
        <f ca="1">IF(Data!#REF!="","",IF(ISNUMBER(Data!#REF!),IF(AND(Data!#REF!&gt;(TODAY()-(Data_Val!$L$3*365.25)),Data!#REF!&lt;=(TODAY()-(Data_Val!$L$2*365.25))),0,1),1))</f>
        <v>#REF!</v>
      </c>
      <c r="AM217" s="17" t="e">
        <f>IF(Data!#REF!="","",IF(Data!$G217="",1,IF(ISNUMBER(MATCH(Data!#REF!,Data_Val!$D$2:$D$10,0)),0,1)))</f>
        <v>#REF!</v>
      </c>
      <c r="AN217" s="13"/>
      <c r="AO217" s="28" t="e">
        <f ca="1">IF(Data!#REF!="","",IF(ISNUMBER(Data!#REF!),IF(AND(Data!#REF!&gt;(TODAY()-(Data_Val!$I$3*365.25)),Data!#REF!&lt;=(TODAY()-(Data_Val!$I$2*365.25))),0,1),1))</f>
        <v>#REF!</v>
      </c>
      <c r="AP217" s="13" t="e">
        <f>IF(Data!#REF!="","",IF(Data!$G217="",1,IF(ISNUMBER(MATCH(Data!#REF!,Data_Val!$D$2:$D$10,0)),0,1)))</f>
        <v>#REF!</v>
      </c>
      <c r="AQ217" s="17"/>
      <c r="AR217" s="30" t="e">
        <f ca="1">IF(Data!#REF!="","",IF(ISNUMBER(Data!#REF!),IF(AND(Data!#REF!&gt;(TODAY()-(Data_Val!$I$3*365.25)),Data!#REF!&lt;=(TODAY()-(Data_Val!$I$2*365.25))),0,1),1))</f>
        <v>#REF!</v>
      </c>
      <c r="AS217" s="31" t="e">
        <f>IF(Data!#REF!="","",IF(Data!$G217="",1,IF(ISNUMBER(MATCH(Data!#REF!,Data_Val!$D$2:$D$10,0)),0,1)))</f>
        <v>#REF!</v>
      </c>
      <c r="AT217" s="11"/>
      <c r="AU217" s="11" t="e">
        <f ca="1">IF(Data!#REF!="","",IF(ISNUMBER(Data!#REF!),IF(AND(Data!#REF!&gt;(TODAY()-(Data_Val!$I$3*365.25)),Data!#REF!&lt;=(TODAY()-(Data_Val!$I$2*365.25))),0,1),1))</f>
        <v>#REF!</v>
      </c>
      <c r="AV217" s="11" t="e">
        <f>IF(Data!#REF!="","",IF(Data!$G217="",1,IF(ISNUMBER(MATCH(Data!#REF!,Data_Val!$D$2:$D$10,0)),0,1)))</f>
        <v>#REF!</v>
      </c>
      <c r="AW217" s="12"/>
      <c r="AX217" s="26" t="e">
        <f ca="1">IF(Data!#REF!="","",IF(ISNUMBER(Data!#REF!),IF(AND(Data!#REF!&gt;(TODAY()-(Data_Val!$I$3*365.25)),Data!#REF!&lt;=(TODAY()-(Data_Val!$I$2*365.25))),0,1),1))</f>
        <v>#REF!</v>
      </c>
      <c r="AY217" s="12" t="e">
        <f>IF(Data!#REF!="","",IF(Data!$G217="",1,IF(ISNUMBER(MATCH(Data!#REF!,Data_Val!$D$2:$D$10,0)),0,1)))</f>
        <v>#REF!</v>
      </c>
      <c r="AZ217" s="11"/>
      <c r="BA217" s="19" t="e">
        <f ca="1">IF(Data!#REF!="","",IF(ISNUMBER(Data!#REF!),IF(AND(Data!#REF!&gt;(TODAY()-(Data_Val!$M$3*365.25)),Data!#REF!&lt;=(TODAY()-(Data_Val!$M$2*365.25))),0,1),1))</f>
        <v>#REF!</v>
      </c>
      <c r="BB217" s="11" t="e">
        <f>IF(Data!#REF!="","",IF(Data!$G217="",1,IF(ISNUMBER(MATCH(Data!#REF!,Data_Val!$D$2:$D$10,0)),0,1)))</f>
        <v>#REF!</v>
      </c>
      <c r="BC217" s="12"/>
      <c r="BD217" s="20" t="e">
        <f ca="1">IF(Data!#REF!="","",IF(ISNUMBER(Data!#REF!),IF(AND(Data!#REF!&gt;(TODAY()-(Data_Val!$M$3*365.25)),Data!#REF!&lt;=(TODAY()-(Data_Val!$M$2*365.25))),0,1),1))</f>
        <v>#REF!</v>
      </c>
      <c r="BE217" s="12" t="e">
        <f>IF(Data!#REF!="","",IF(Data!$G217="",1,IF(ISNUMBER(MATCH(Data!#REF!,Data_Val!$D$2:$D$10,0)),0,1)))</f>
        <v>#REF!</v>
      </c>
      <c r="BF217" s="17"/>
      <c r="BG217" s="18" t="e">
        <f ca="1">IF(Data!#REF!="","",IF(ISNUMBER(Data!#REF!),IF(AND(Data!#REF!&gt;(TODAY()-(Data_Val!$M$3*365.25)),Data!#REF!&lt;=(TODAY()-(Data_Val!$M$2*365.25))),0,1),1))</f>
        <v>#REF!</v>
      </c>
      <c r="BH217" s="29" t="e">
        <f>IF(Data!#REF!="","",IF(Data!$G217="",1,IF(ISNUMBER(MATCH(Data!#REF!,Data_Val!$D$2:$D$10,0)),0,1)))</f>
        <v>#REF!</v>
      </c>
      <c r="BI217" s="13"/>
      <c r="BJ217" s="21" t="e">
        <f ca="1">IF(Data!#REF!="","",IF(ISNUMBER(Data!#REF!),IF(AND(Data!#REF!&gt;(TODAY()-(Data_Val!$M$3*365.25)),Data!#REF!&lt;=(TODAY()-(Data_Val!$M$2*365.25))),0,1),1))</f>
        <v>#REF!</v>
      </c>
      <c r="BK217" s="13" t="e">
        <f>IF(Data!#REF!="","",IF(Data!$G217="",1,IF(ISNUMBER(MATCH(Data!#REF!,Data_Val!$D$2:$D$10,0)),0,1)))</f>
        <v>#REF!</v>
      </c>
    </row>
    <row r="218" spans="1:63" x14ac:dyDescent="0.25">
      <c r="A218" s="9" t="str">
        <f>IF(Data!B218="","",IF(COUNTIFS(Data!A$1:'Data'!A218,Data!A218)&lt;=1,0,1))</f>
        <v/>
      </c>
      <c r="B218" s="9"/>
      <c r="C218" s="23" t="str">
        <f>IF(Data!C218="","",(IF(ISNUMBER(MATCH("*@*.?*",Data!C218,0)),0,1)+IF(COUNTIFS(Data!C$1:'Data'!C218,Data!C218)&gt;1,1,0)))</f>
        <v/>
      </c>
      <c r="D218" s="9" t="str">
        <f>IF(Data!B218="","",IF(ISNUMBER(Data!D218),IF(AND(Data!D218&gt;999999999,Data!D218&lt;=9999999999),IF(COUNTIFS(Data!D$1:'Data'!D218,Data!D218)&lt;=1,0,1),1),1))</f>
        <v/>
      </c>
      <c r="E218" s="9" t="str">
        <f>IF(Data!B218="","",IF(ISNUMBER(MATCH(Data!E218,Data_Val!$A$2:$A$3,0)),0,1))</f>
        <v/>
      </c>
      <c r="F218" s="9" t="str">
        <f ca="1">IF(Data!B218="","",IF(ISNUMBER(Data!F218),IF(AND(Data!F218&gt;(TODAY()-(Data_Val!$H$3*365.25)),Data!F218&lt;=(TODAY()-(Data_Val!$H$2*365.25))),0,1),1))</f>
        <v/>
      </c>
      <c r="G218" s="15" t="str">
        <f>IF(Data!B218="","",IF(AND(Data!G218="",Data!H218&lt;&gt;""),1,IF(Data!#REF!&lt;&gt;"",0,IF(ISNUMBER(MATCH(Data!G218,Data_Val!$C$2:$C$5,0)),0,1))))</f>
        <v/>
      </c>
      <c r="H218" s="15" t="str">
        <f>IF(Data!B218="","",IF(AND(Data!G218&lt;&gt;"",Data!H218=""),1,IF(Data!#REF!&lt;&gt;"",0,IF(Data!G218="",1,IF(ISNUMBER(MATCH(Data!H218,Data_Val!$D$2:$D$35,0)),0,1)))))</f>
        <v/>
      </c>
      <c r="I218" s="15" t="str">
        <f>IF(Data!B218="","",IF(Data!G218&lt;&gt;"",0,IF(ISNUMBER(MATCH(Data!#REF!,Data_Val!$E$2:$E$12,0)),0,1)))</f>
        <v/>
      </c>
      <c r="J218" s="16" t="e">
        <f>IF(OR(Data!B218="",Data!#REF!=""),"",IF(Data!#REF!="",1,0))</f>
        <v>#REF!</v>
      </c>
      <c r="K218" s="16" t="e">
        <f>IF(OR(Data!B218="",Data!#REF!=""),"",IF(Data!#REF!="",1,0))</f>
        <v>#REF!</v>
      </c>
      <c r="L218" s="16" t="e">
        <f>IF(OR(Data!B218="",Data!#REF!=""),"",IF(ISNUMBER(Data!#REF!),IF(AND(Data!#REF!&gt;Data_Val!$G$2,Data!#REF!&lt;=Data_Val!$G$3),0,1),1))</f>
        <v>#REF!</v>
      </c>
      <c r="M218" s="9" t="e">
        <f>IF(OR(Data!B218="",Data!#REF!=""),"",IF(ISNUMBER(MATCH(Data!#REF!,Data_Val!$F$1:$F$38,0)),0,1))</f>
        <v>#REF!</v>
      </c>
      <c r="N218" s="9" t="e">
        <f>IF(OR(Data!B218="",Data!#REF!=""),"",IF(Data!#REF!="",1,0))</f>
        <v>#REF!</v>
      </c>
      <c r="O218" s="17" t="e">
        <f>IF(Data!#REF!="","",IF(Data!#REF!="",1,0))</f>
        <v>#REF!</v>
      </c>
      <c r="P218" s="17" t="e">
        <f>IF(Data!#REF!="","",IF(ISNUMBER(MATCH(Data!#REF!,Data_Val!$A$2:$A$3,0)),0,1))</f>
        <v>#REF!</v>
      </c>
      <c r="Q218" s="25" t="e">
        <f ca="1">IF(Data!#REF!="","",IF(ISNUMBER(Data!#REF!),IF(AND(Data!#REF!&gt;(TODAY()-(Data_Val!$J$3*365.25)),Data!#REF!&lt;=(TODAY()-(Data_Val!$J$2*365.25))),0,1),1))</f>
        <v>#REF!</v>
      </c>
      <c r="R218" s="17" t="e">
        <f>IF(Data!#REF!="","",IF(ISNUMBER(MATCH(Data!#REF!,Data_Val!$B$2:$B$15,0)),0,1))</f>
        <v>#REF!</v>
      </c>
      <c r="S218" s="11" t="str">
        <f>IF(Data!G218="","",IF(Data!G218=Data_Val!$C$2,IF(Data!M218="",0,1),0))</f>
        <v/>
      </c>
      <c r="T218" s="11" t="str">
        <f>IF(Data!M218="","",IF(ISNUMBER(MATCH(Data!N218,Data_Val!$A$2:$A$3,0)),0,1))</f>
        <v/>
      </c>
      <c r="U218" s="11" t="str">
        <f ca="1">IF(Data!M218="","",IF(ISNUMBER(Data!O218),IF(AND(Data!O218&gt;(TODAY()-(Data_Val!$K$3*365.25)),Data!O218&lt;=(TODAY()-(Data_Val!$K$2*365.25))),0,1),1))</f>
        <v/>
      </c>
      <c r="V218" s="12" t="str">
        <f>IF(Data!G218="","",IF(Data!G218=Data_Val!$C$2,IF(Data!P218="",0,1),0))</f>
        <v/>
      </c>
      <c r="W218" s="12" t="str">
        <f>IF(Data!P218="","",IF(ISNUMBER(MATCH(Data!Q218,Data_Val!$A$2:$A$3,0)),0,1))</f>
        <v/>
      </c>
      <c r="X218" s="26" t="str">
        <f ca="1">IF(Data!P218="","",IF(ISNUMBER(Data!R218),IF(AND(Data!R218&gt;(TODAY()-(Data_Val!$L$3*365.25)),Data!R218&lt;=(TODAY()-(Data_Val!$L$2*365.25))),0,1),1))</f>
        <v/>
      </c>
      <c r="Y218" s="13" t="str">
        <f>IF(Data!$G218="","",IF(Data!$G218=Data_Val!$C$2,IF(Data!S218="",0,1),0))</f>
        <v/>
      </c>
      <c r="Z218" s="13" t="str">
        <f>IF(Data!S218="","",IF(ISNUMBER(MATCH(Data!T218,Data_Val!$A$2:$A$3,0)),0,1))</f>
        <v/>
      </c>
      <c r="AA218" s="28" t="str">
        <f ca="1">IF(Data!S218="","",IF(ISNUMBER(Data!U218),IF(AND(Data!U218&gt;(TODAY()-(Data_Val!$L$3*365.25)),Data!U218&lt;=(TODAY()-(Data_Val!$L$2*365.25))),0,1),1))</f>
        <v/>
      </c>
      <c r="AB218" s="11"/>
      <c r="AC218" s="11" t="e">
        <f>IF(Data!#REF!="","",IF(ISNUMBER(MATCH(Data!#REF!,Data_Val!$A$2:$A$3,0)),0,1))</f>
        <v>#REF!</v>
      </c>
      <c r="AD218" s="11" t="e">
        <f ca="1">IF(Data!#REF!="","",IF(ISNUMBER(Data!#REF!),IF(AND(Data!#REF!&gt;(TODAY()-(Data_Val!$L$3*365.25)),Data!#REF!&lt;=(TODAY()-(Data_Val!$L$2*365.25))),0,1),1))</f>
        <v>#REF!</v>
      </c>
      <c r="AE218" s="11" t="e">
        <f>IF(Data!#REF!="","",IF(Data!$G218="",1,IF(ISNUMBER(MATCH(Data!#REF!,Data_Val!$D$2:$D$10,0)),0,1)))</f>
        <v>#REF!</v>
      </c>
      <c r="AF218" s="12"/>
      <c r="AG218" s="12" t="e">
        <f>IF(Data!#REF!="","",IF(ISNUMBER(MATCH(Data!#REF!,Data_Val!$A$2:$A$3,0)),0,1))</f>
        <v>#REF!</v>
      </c>
      <c r="AH218" s="26" t="e">
        <f ca="1">IF(Data!#REF!="","",IF(ISNUMBER(Data!#REF!),IF(AND(Data!#REF!&gt;(TODAY()-(Data_Val!$L$3*365.25)),Data!#REF!&lt;=(TODAY()-(Data_Val!$L$2*365.25))),0,1),1))</f>
        <v>#REF!</v>
      </c>
      <c r="AI218" s="12" t="e">
        <f>IF(Data!#REF!="","",IF(Data!$G218="",1,IF(ISNUMBER(MATCH(Data!#REF!,Data_Val!$D$2:$D$10,0)),0,1)))</f>
        <v>#REF!</v>
      </c>
      <c r="AJ218" s="17"/>
      <c r="AK218" s="17" t="e">
        <f>IF(Data!#REF!="","",IF(ISNUMBER(MATCH(Data!#REF!,Data_Val!$A$2:$A$3,0)),0,1))</f>
        <v>#REF!</v>
      </c>
      <c r="AL218" s="25" t="e">
        <f ca="1">IF(Data!#REF!="","",IF(ISNUMBER(Data!#REF!),IF(AND(Data!#REF!&gt;(TODAY()-(Data_Val!$L$3*365.25)),Data!#REF!&lt;=(TODAY()-(Data_Val!$L$2*365.25))),0,1),1))</f>
        <v>#REF!</v>
      </c>
      <c r="AM218" s="17" t="e">
        <f>IF(Data!#REF!="","",IF(Data!$G218="",1,IF(ISNUMBER(MATCH(Data!#REF!,Data_Val!$D$2:$D$10,0)),0,1)))</f>
        <v>#REF!</v>
      </c>
      <c r="AN218" s="13"/>
      <c r="AO218" s="28" t="e">
        <f ca="1">IF(Data!#REF!="","",IF(ISNUMBER(Data!#REF!),IF(AND(Data!#REF!&gt;(TODAY()-(Data_Val!$I$3*365.25)),Data!#REF!&lt;=(TODAY()-(Data_Val!$I$2*365.25))),0,1),1))</f>
        <v>#REF!</v>
      </c>
      <c r="AP218" s="13" t="e">
        <f>IF(Data!#REF!="","",IF(Data!$G218="",1,IF(ISNUMBER(MATCH(Data!#REF!,Data_Val!$D$2:$D$10,0)),0,1)))</f>
        <v>#REF!</v>
      </c>
      <c r="AQ218" s="17"/>
      <c r="AR218" s="30" t="e">
        <f ca="1">IF(Data!#REF!="","",IF(ISNUMBER(Data!#REF!),IF(AND(Data!#REF!&gt;(TODAY()-(Data_Val!$I$3*365.25)),Data!#REF!&lt;=(TODAY()-(Data_Val!$I$2*365.25))),0,1),1))</f>
        <v>#REF!</v>
      </c>
      <c r="AS218" s="31" t="e">
        <f>IF(Data!#REF!="","",IF(Data!$G218="",1,IF(ISNUMBER(MATCH(Data!#REF!,Data_Val!$D$2:$D$10,0)),0,1)))</f>
        <v>#REF!</v>
      </c>
      <c r="AT218" s="11"/>
      <c r="AU218" s="11" t="e">
        <f ca="1">IF(Data!#REF!="","",IF(ISNUMBER(Data!#REF!),IF(AND(Data!#REF!&gt;(TODAY()-(Data_Val!$I$3*365.25)),Data!#REF!&lt;=(TODAY()-(Data_Val!$I$2*365.25))),0,1),1))</f>
        <v>#REF!</v>
      </c>
      <c r="AV218" s="11" t="e">
        <f>IF(Data!#REF!="","",IF(Data!$G218="",1,IF(ISNUMBER(MATCH(Data!#REF!,Data_Val!$D$2:$D$10,0)),0,1)))</f>
        <v>#REF!</v>
      </c>
      <c r="AW218" s="12"/>
      <c r="AX218" s="26" t="e">
        <f ca="1">IF(Data!#REF!="","",IF(ISNUMBER(Data!#REF!),IF(AND(Data!#REF!&gt;(TODAY()-(Data_Val!$I$3*365.25)),Data!#REF!&lt;=(TODAY()-(Data_Val!$I$2*365.25))),0,1),1))</f>
        <v>#REF!</v>
      </c>
      <c r="AY218" s="12" t="e">
        <f>IF(Data!#REF!="","",IF(Data!$G218="",1,IF(ISNUMBER(MATCH(Data!#REF!,Data_Val!$D$2:$D$10,0)),0,1)))</f>
        <v>#REF!</v>
      </c>
      <c r="AZ218" s="11"/>
      <c r="BA218" s="19" t="e">
        <f ca="1">IF(Data!#REF!="","",IF(ISNUMBER(Data!#REF!),IF(AND(Data!#REF!&gt;(TODAY()-(Data_Val!$M$3*365.25)),Data!#REF!&lt;=(TODAY()-(Data_Val!$M$2*365.25))),0,1),1))</f>
        <v>#REF!</v>
      </c>
      <c r="BB218" s="11" t="e">
        <f>IF(Data!#REF!="","",IF(Data!$G218="",1,IF(ISNUMBER(MATCH(Data!#REF!,Data_Val!$D$2:$D$10,0)),0,1)))</f>
        <v>#REF!</v>
      </c>
      <c r="BC218" s="12"/>
      <c r="BD218" s="20" t="e">
        <f ca="1">IF(Data!#REF!="","",IF(ISNUMBER(Data!#REF!),IF(AND(Data!#REF!&gt;(TODAY()-(Data_Val!$M$3*365.25)),Data!#REF!&lt;=(TODAY()-(Data_Val!$M$2*365.25))),0,1),1))</f>
        <v>#REF!</v>
      </c>
      <c r="BE218" s="12" t="e">
        <f>IF(Data!#REF!="","",IF(Data!$G218="",1,IF(ISNUMBER(MATCH(Data!#REF!,Data_Val!$D$2:$D$10,0)),0,1)))</f>
        <v>#REF!</v>
      </c>
      <c r="BF218" s="17"/>
      <c r="BG218" s="18" t="e">
        <f ca="1">IF(Data!#REF!="","",IF(ISNUMBER(Data!#REF!),IF(AND(Data!#REF!&gt;(TODAY()-(Data_Val!$M$3*365.25)),Data!#REF!&lt;=(TODAY()-(Data_Val!$M$2*365.25))),0,1),1))</f>
        <v>#REF!</v>
      </c>
      <c r="BH218" s="29" t="e">
        <f>IF(Data!#REF!="","",IF(Data!$G218="",1,IF(ISNUMBER(MATCH(Data!#REF!,Data_Val!$D$2:$D$10,0)),0,1)))</f>
        <v>#REF!</v>
      </c>
      <c r="BI218" s="13"/>
      <c r="BJ218" s="21" t="e">
        <f ca="1">IF(Data!#REF!="","",IF(ISNUMBER(Data!#REF!),IF(AND(Data!#REF!&gt;(TODAY()-(Data_Val!$M$3*365.25)),Data!#REF!&lt;=(TODAY()-(Data_Val!$M$2*365.25))),0,1),1))</f>
        <v>#REF!</v>
      </c>
      <c r="BK218" s="13" t="e">
        <f>IF(Data!#REF!="","",IF(Data!$G218="",1,IF(ISNUMBER(MATCH(Data!#REF!,Data_Val!$D$2:$D$10,0)),0,1)))</f>
        <v>#REF!</v>
      </c>
    </row>
    <row r="219" spans="1:63" x14ac:dyDescent="0.25">
      <c r="A219" s="9" t="str">
        <f>IF(Data!B219="","",IF(COUNTIFS(Data!A$1:'Data'!A219,Data!A219)&lt;=1,0,1))</f>
        <v/>
      </c>
      <c r="B219" s="9"/>
      <c r="C219" s="23" t="str">
        <f>IF(Data!C219="","",(IF(ISNUMBER(MATCH("*@*.?*",Data!C219,0)),0,1)+IF(COUNTIFS(Data!C$1:'Data'!C219,Data!C219)&gt;1,1,0)))</f>
        <v/>
      </c>
      <c r="D219" s="9" t="str">
        <f>IF(Data!B219="","",IF(ISNUMBER(Data!D219),IF(AND(Data!D219&gt;999999999,Data!D219&lt;=9999999999),IF(COUNTIFS(Data!D$1:'Data'!D219,Data!D219)&lt;=1,0,1),1),1))</f>
        <v/>
      </c>
      <c r="E219" s="9" t="str">
        <f>IF(Data!B219="","",IF(ISNUMBER(MATCH(Data!E219,Data_Val!$A$2:$A$3,0)),0,1))</f>
        <v/>
      </c>
      <c r="F219" s="9" t="str">
        <f ca="1">IF(Data!B219="","",IF(ISNUMBER(Data!F219),IF(AND(Data!F219&gt;(TODAY()-(Data_Val!$H$3*365.25)),Data!F219&lt;=(TODAY()-(Data_Val!$H$2*365.25))),0,1),1))</f>
        <v/>
      </c>
      <c r="G219" s="15" t="str">
        <f>IF(Data!B219="","",IF(AND(Data!G219="",Data!H219&lt;&gt;""),1,IF(Data!#REF!&lt;&gt;"",0,IF(ISNUMBER(MATCH(Data!G219,Data_Val!$C$2:$C$5,0)),0,1))))</f>
        <v/>
      </c>
      <c r="H219" s="15" t="str">
        <f>IF(Data!B219="","",IF(AND(Data!G219&lt;&gt;"",Data!H219=""),1,IF(Data!#REF!&lt;&gt;"",0,IF(Data!G219="",1,IF(ISNUMBER(MATCH(Data!H219,Data_Val!$D$2:$D$35,0)),0,1)))))</f>
        <v/>
      </c>
      <c r="I219" s="15" t="str">
        <f>IF(Data!B219="","",IF(Data!G219&lt;&gt;"",0,IF(ISNUMBER(MATCH(Data!#REF!,Data_Val!$E$2:$E$12,0)),0,1)))</f>
        <v/>
      </c>
      <c r="J219" s="16" t="e">
        <f>IF(OR(Data!B219="",Data!#REF!=""),"",IF(Data!#REF!="",1,0))</f>
        <v>#REF!</v>
      </c>
      <c r="K219" s="16" t="e">
        <f>IF(OR(Data!B219="",Data!#REF!=""),"",IF(Data!#REF!="",1,0))</f>
        <v>#REF!</v>
      </c>
      <c r="L219" s="16" t="e">
        <f>IF(OR(Data!B219="",Data!#REF!=""),"",IF(ISNUMBER(Data!#REF!),IF(AND(Data!#REF!&gt;Data_Val!$G$2,Data!#REF!&lt;=Data_Val!$G$3),0,1),1))</f>
        <v>#REF!</v>
      </c>
      <c r="M219" s="9" t="e">
        <f>IF(OR(Data!B219="",Data!#REF!=""),"",IF(ISNUMBER(MATCH(Data!#REF!,Data_Val!$F$1:$F$38,0)),0,1))</f>
        <v>#REF!</v>
      </c>
      <c r="N219" s="9" t="e">
        <f>IF(OR(Data!B219="",Data!#REF!=""),"",IF(Data!#REF!="",1,0))</f>
        <v>#REF!</v>
      </c>
      <c r="O219" s="17" t="e">
        <f>IF(Data!#REF!="","",IF(Data!#REF!="",1,0))</f>
        <v>#REF!</v>
      </c>
      <c r="P219" s="17" t="e">
        <f>IF(Data!#REF!="","",IF(ISNUMBER(MATCH(Data!#REF!,Data_Val!$A$2:$A$3,0)),0,1))</f>
        <v>#REF!</v>
      </c>
      <c r="Q219" s="25" t="e">
        <f ca="1">IF(Data!#REF!="","",IF(ISNUMBER(Data!#REF!),IF(AND(Data!#REF!&gt;(TODAY()-(Data_Val!$J$3*365.25)),Data!#REF!&lt;=(TODAY()-(Data_Val!$J$2*365.25))),0,1),1))</f>
        <v>#REF!</v>
      </c>
      <c r="R219" s="17" t="e">
        <f>IF(Data!#REF!="","",IF(ISNUMBER(MATCH(Data!#REF!,Data_Val!$B$2:$B$15,0)),0,1))</f>
        <v>#REF!</v>
      </c>
      <c r="S219" s="11" t="str">
        <f>IF(Data!G219="","",IF(Data!G219=Data_Val!$C$2,IF(Data!M219="",0,1),0))</f>
        <v/>
      </c>
      <c r="T219" s="11" t="str">
        <f>IF(Data!M219="","",IF(ISNUMBER(MATCH(Data!N219,Data_Val!$A$2:$A$3,0)),0,1))</f>
        <v/>
      </c>
      <c r="U219" s="11" t="str">
        <f ca="1">IF(Data!M219="","",IF(ISNUMBER(Data!O219),IF(AND(Data!O219&gt;(TODAY()-(Data_Val!$K$3*365.25)),Data!O219&lt;=(TODAY()-(Data_Val!$K$2*365.25))),0,1),1))</f>
        <v/>
      </c>
      <c r="V219" s="12" t="str">
        <f>IF(Data!G219="","",IF(Data!G219=Data_Val!$C$2,IF(Data!P219="",0,1),0))</f>
        <v/>
      </c>
      <c r="W219" s="12" t="str">
        <f>IF(Data!P219="","",IF(ISNUMBER(MATCH(Data!Q219,Data_Val!$A$2:$A$3,0)),0,1))</f>
        <v/>
      </c>
      <c r="X219" s="26" t="str">
        <f ca="1">IF(Data!P219="","",IF(ISNUMBER(Data!R219),IF(AND(Data!R219&gt;(TODAY()-(Data_Val!$L$3*365.25)),Data!R219&lt;=(TODAY()-(Data_Val!$L$2*365.25))),0,1),1))</f>
        <v/>
      </c>
      <c r="Y219" s="13" t="str">
        <f>IF(Data!$G219="","",IF(Data!$G219=Data_Val!$C$2,IF(Data!S219="",0,1),0))</f>
        <v/>
      </c>
      <c r="Z219" s="13" t="str">
        <f>IF(Data!S219="","",IF(ISNUMBER(MATCH(Data!T219,Data_Val!$A$2:$A$3,0)),0,1))</f>
        <v/>
      </c>
      <c r="AA219" s="28" t="str">
        <f ca="1">IF(Data!S219="","",IF(ISNUMBER(Data!U219),IF(AND(Data!U219&gt;(TODAY()-(Data_Val!$L$3*365.25)),Data!U219&lt;=(TODAY()-(Data_Val!$L$2*365.25))),0,1),1))</f>
        <v/>
      </c>
      <c r="AB219" s="11"/>
      <c r="AC219" s="11" t="e">
        <f>IF(Data!#REF!="","",IF(ISNUMBER(MATCH(Data!#REF!,Data_Val!$A$2:$A$3,0)),0,1))</f>
        <v>#REF!</v>
      </c>
      <c r="AD219" s="11" t="e">
        <f ca="1">IF(Data!#REF!="","",IF(ISNUMBER(Data!#REF!),IF(AND(Data!#REF!&gt;(TODAY()-(Data_Val!$L$3*365.25)),Data!#REF!&lt;=(TODAY()-(Data_Val!$L$2*365.25))),0,1),1))</f>
        <v>#REF!</v>
      </c>
      <c r="AE219" s="11" t="e">
        <f>IF(Data!#REF!="","",IF(Data!$G219="",1,IF(ISNUMBER(MATCH(Data!#REF!,Data_Val!$D$2:$D$10,0)),0,1)))</f>
        <v>#REF!</v>
      </c>
      <c r="AF219" s="12"/>
      <c r="AG219" s="12" t="e">
        <f>IF(Data!#REF!="","",IF(ISNUMBER(MATCH(Data!#REF!,Data_Val!$A$2:$A$3,0)),0,1))</f>
        <v>#REF!</v>
      </c>
      <c r="AH219" s="26" t="e">
        <f ca="1">IF(Data!#REF!="","",IF(ISNUMBER(Data!#REF!),IF(AND(Data!#REF!&gt;(TODAY()-(Data_Val!$L$3*365.25)),Data!#REF!&lt;=(TODAY()-(Data_Val!$L$2*365.25))),0,1),1))</f>
        <v>#REF!</v>
      </c>
      <c r="AI219" s="12" t="e">
        <f>IF(Data!#REF!="","",IF(Data!$G219="",1,IF(ISNUMBER(MATCH(Data!#REF!,Data_Val!$D$2:$D$10,0)),0,1)))</f>
        <v>#REF!</v>
      </c>
      <c r="AJ219" s="17"/>
      <c r="AK219" s="17" t="e">
        <f>IF(Data!#REF!="","",IF(ISNUMBER(MATCH(Data!#REF!,Data_Val!$A$2:$A$3,0)),0,1))</f>
        <v>#REF!</v>
      </c>
      <c r="AL219" s="25" t="e">
        <f ca="1">IF(Data!#REF!="","",IF(ISNUMBER(Data!#REF!),IF(AND(Data!#REF!&gt;(TODAY()-(Data_Val!$L$3*365.25)),Data!#REF!&lt;=(TODAY()-(Data_Val!$L$2*365.25))),0,1),1))</f>
        <v>#REF!</v>
      </c>
      <c r="AM219" s="17" t="e">
        <f>IF(Data!#REF!="","",IF(Data!$G219="",1,IF(ISNUMBER(MATCH(Data!#REF!,Data_Val!$D$2:$D$10,0)),0,1)))</f>
        <v>#REF!</v>
      </c>
      <c r="AN219" s="13"/>
      <c r="AO219" s="28" t="e">
        <f ca="1">IF(Data!#REF!="","",IF(ISNUMBER(Data!#REF!),IF(AND(Data!#REF!&gt;(TODAY()-(Data_Val!$I$3*365.25)),Data!#REF!&lt;=(TODAY()-(Data_Val!$I$2*365.25))),0,1),1))</f>
        <v>#REF!</v>
      </c>
      <c r="AP219" s="13" t="e">
        <f>IF(Data!#REF!="","",IF(Data!$G219="",1,IF(ISNUMBER(MATCH(Data!#REF!,Data_Val!$D$2:$D$10,0)),0,1)))</f>
        <v>#REF!</v>
      </c>
      <c r="AQ219" s="17"/>
      <c r="AR219" s="30" t="e">
        <f ca="1">IF(Data!#REF!="","",IF(ISNUMBER(Data!#REF!),IF(AND(Data!#REF!&gt;(TODAY()-(Data_Val!$I$3*365.25)),Data!#REF!&lt;=(TODAY()-(Data_Val!$I$2*365.25))),0,1),1))</f>
        <v>#REF!</v>
      </c>
      <c r="AS219" s="31" t="e">
        <f>IF(Data!#REF!="","",IF(Data!$G219="",1,IF(ISNUMBER(MATCH(Data!#REF!,Data_Val!$D$2:$D$10,0)),0,1)))</f>
        <v>#REF!</v>
      </c>
      <c r="AT219" s="11"/>
      <c r="AU219" s="11" t="e">
        <f ca="1">IF(Data!#REF!="","",IF(ISNUMBER(Data!#REF!),IF(AND(Data!#REF!&gt;(TODAY()-(Data_Val!$I$3*365.25)),Data!#REF!&lt;=(TODAY()-(Data_Val!$I$2*365.25))),0,1),1))</f>
        <v>#REF!</v>
      </c>
      <c r="AV219" s="11" t="e">
        <f>IF(Data!#REF!="","",IF(Data!$G219="",1,IF(ISNUMBER(MATCH(Data!#REF!,Data_Val!$D$2:$D$10,0)),0,1)))</f>
        <v>#REF!</v>
      </c>
      <c r="AW219" s="12"/>
      <c r="AX219" s="26" t="e">
        <f ca="1">IF(Data!#REF!="","",IF(ISNUMBER(Data!#REF!),IF(AND(Data!#REF!&gt;(TODAY()-(Data_Val!$I$3*365.25)),Data!#REF!&lt;=(TODAY()-(Data_Val!$I$2*365.25))),0,1),1))</f>
        <v>#REF!</v>
      </c>
      <c r="AY219" s="12" t="e">
        <f>IF(Data!#REF!="","",IF(Data!$G219="",1,IF(ISNUMBER(MATCH(Data!#REF!,Data_Val!$D$2:$D$10,0)),0,1)))</f>
        <v>#REF!</v>
      </c>
      <c r="AZ219" s="11"/>
      <c r="BA219" s="19" t="e">
        <f ca="1">IF(Data!#REF!="","",IF(ISNUMBER(Data!#REF!),IF(AND(Data!#REF!&gt;(TODAY()-(Data_Val!$M$3*365.25)),Data!#REF!&lt;=(TODAY()-(Data_Val!$M$2*365.25))),0,1),1))</f>
        <v>#REF!</v>
      </c>
      <c r="BB219" s="11" t="e">
        <f>IF(Data!#REF!="","",IF(Data!$G219="",1,IF(ISNUMBER(MATCH(Data!#REF!,Data_Val!$D$2:$D$10,0)),0,1)))</f>
        <v>#REF!</v>
      </c>
      <c r="BC219" s="12"/>
      <c r="BD219" s="20" t="e">
        <f ca="1">IF(Data!#REF!="","",IF(ISNUMBER(Data!#REF!),IF(AND(Data!#REF!&gt;(TODAY()-(Data_Val!$M$3*365.25)),Data!#REF!&lt;=(TODAY()-(Data_Val!$M$2*365.25))),0,1),1))</f>
        <v>#REF!</v>
      </c>
      <c r="BE219" s="12" t="e">
        <f>IF(Data!#REF!="","",IF(Data!$G219="",1,IF(ISNUMBER(MATCH(Data!#REF!,Data_Val!$D$2:$D$10,0)),0,1)))</f>
        <v>#REF!</v>
      </c>
      <c r="BF219" s="17"/>
      <c r="BG219" s="18" t="e">
        <f ca="1">IF(Data!#REF!="","",IF(ISNUMBER(Data!#REF!),IF(AND(Data!#REF!&gt;(TODAY()-(Data_Val!$M$3*365.25)),Data!#REF!&lt;=(TODAY()-(Data_Val!$M$2*365.25))),0,1),1))</f>
        <v>#REF!</v>
      </c>
      <c r="BH219" s="29" t="e">
        <f>IF(Data!#REF!="","",IF(Data!$G219="",1,IF(ISNUMBER(MATCH(Data!#REF!,Data_Val!$D$2:$D$10,0)),0,1)))</f>
        <v>#REF!</v>
      </c>
      <c r="BI219" s="13"/>
      <c r="BJ219" s="21" t="e">
        <f ca="1">IF(Data!#REF!="","",IF(ISNUMBER(Data!#REF!),IF(AND(Data!#REF!&gt;(TODAY()-(Data_Val!$M$3*365.25)),Data!#REF!&lt;=(TODAY()-(Data_Val!$M$2*365.25))),0,1),1))</f>
        <v>#REF!</v>
      </c>
      <c r="BK219" s="13" t="e">
        <f>IF(Data!#REF!="","",IF(Data!$G219="",1,IF(ISNUMBER(MATCH(Data!#REF!,Data_Val!$D$2:$D$10,0)),0,1)))</f>
        <v>#REF!</v>
      </c>
    </row>
    <row r="220" spans="1:63" x14ac:dyDescent="0.25">
      <c r="A220" s="9" t="str">
        <f>IF(Data!B220="","",IF(COUNTIFS(Data!A$1:'Data'!A220,Data!A220)&lt;=1,0,1))</f>
        <v/>
      </c>
      <c r="B220" s="9"/>
      <c r="C220" s="23" t="str">
        <f>IF(Data!C220="","",(IF(ISNUMBER(MATCH("*@*.?*",Data!C220,0)),0,1)+IF(COUNTIFS(Data!C$1:'Data'!C220,Data!C220)&gt;1,1,0)))</f>
        <v/>
      </c>
      <c r="D220" s="9" t="str">
        <f>IF(Data!B220="","",IF(ISNUMBER(Data!D220),IF(AND(Data!D220&gt;999999999,Data!D220&lt;=9999999999),IF(COUNTIFS(Data!D$1:'Data'!D220,Data!D220)&lt;=1,0,1),1),1))</f>
        <v/>
      </c>
      <c r="E220" s="9" t="str">
        <f>IF(Data!B220="","",IF(ISNUMBER(MATCH(Data!E220,Data_Val!$A$2:$A$3,0)),0,1))</f>
        <v/>
      </c>
      <c r="F220" s="9" t="str">
        <f ca="1">IF(Data!B220="","",IF(ISNUMBER(Data!F220),IF(AND(Data!F220&gt;(TODAY()-(Data_Val!$H$3*365.25)),Data!F220&lt;=(TODAY()-(Data_Val!$H$2*365.25))),0,1),1))</f>
        <v/>
      </c>
      <c r="G220" s="15" t="str">
        <f>IF(Data!B220="","",IF(AND(Data!G220="",Data!H220&lt;&gt;""),1,IF(Data!#REF!&lt;&gt;"",0,IF(ISNUMBER(MATCH(Data!G220,Data_Val!$C$2:$C$5,0)),0,1))))</f>
        <v/>
      </c>
      <c r="H220" s="15" t="str">
        <f>IF(Data!B220="","",IF(AND(Data!G220&lt;&gt;"",Data!H220=""),1,IF(Data!#REF!&lt;&gt;"",0,IF(Data!G220="",1,IF(ISNUMBER(MATCH(Data!H220,Data_Val!$D$2:$D$35,0)),0,1)))))</f>
        <v/>
      </c>
      <c r="I220" s="15" t="str">
        <f>IF(Data!B220="","",IF(Data!G220&lt;&gt;"",0,IF(ISNUMBER(MATCH(Data!#REF!,Data_Val!$E$2:$E$12,0)),0,1)))</f>
        <v/>
      </c>
      <c r="J220" s="16" t="e">
        <f>IF(OR(Data!B220="",Data!#REF!=""),"",IF(Data!#REF!="",1,0))</f>
        <v>#REF!</v>
      </c>
      <c r="K220" s="16" t="e">
        <f>IF(OR(Data!B220="",Data!#REF!=""),"",IF(Data!#REF!="",1,0))</f>
        <v>#REF!</v>
      </c>
      <c r="L220" s="16" t="e">
        <f>IF(OR(Data!B220="",Data!#REF!=""),"",IF(ISNUMBER(Data!#REF!),IF(AND(Data!#REF!&gt;Data_Val!$G$2,Data!#REF!&lt;=Data_Val!$G$3),0,1),1))</f>
        <v>#REF!</v>
      </c>
      <c r="M220" s="9" t="e">
        <f>IF(OR(Data!B220="",Data!#REF!=""),"",IF(ISNUMBER(MATCH(Data!#REF!,Data_Val!$F$1:$F$38,0)),0,1))</f>
        <v>#REF!</v>
      </c>
      <c r="N220" s="9" t="e">
        <f>IF(OR(Data!B220="",Data!#REF!=""),"",IF(Data!#REF!="",1,0))</f>
        <v>#REF!</v>
      </c>
      <c r="O220" s="17" t="e">
        <f>IF(Data!#REF!="","",IF(Data!#REF!="",1,0))</f>
        <v>#REF!</v>
      </c>
      <c r="P220" s="17" t="e">
        <f>IF(Data!#REF!="","",IF(ISNUMBER(MATCH(Data!#REF!,Data_Val!$A$2:$A$3,0)),0,1))</f>
        <v>#REF!</v>
      </c>
      <c r="Q220" s="25" t="e">
        <f ca="1">IF(Data!#REF!="","",IF(ISNUMBER(Data!#REF!),IF(AND(Data!#REF!&gt;(TODAY()-(Data_Val!$J$3*365.25)),Data!#REF!&lt;=(TODAY()-(Data_Val!$J$2*365.25))),0,1),1))</f>
        <v>#REF!</v>
      </c>
      <c r="R220" s="17" t="e">
        <f>IF(Data!#REF!="","",IF(ISNUMBER(MATCH(Data!#REF!,Data_Val!$B$2:$B$15,0)),0,1))</f>
        <v>#REF!</v>
      </c>
      <c r="S220" s="11" t="str">
        <f>IF(Data!G220="","",IF(Data!G220=Data_Val!$C$2,IF(Data!M220="",0,1),0))</f>
        <v/>
      </c>
      <c r="T220" s="11" t="str">
        <f>IF(Data!M220="","",IF(ISNUMBER(MATCH(Data!N220,Data_Val!$A$2:$A$3,0)),0,1))</f>
        <v/>
      </c>
      <c r="U220" s="11" t="str">
        <f ca="1">IF(Data!M220="","",IF(ISNUMBER(Data!O220),IF(AND(Data!O220&gt;(TODAY()-(Data_Val!$K$3*365.25)),Data!O220&lt;=(TODAY()-(Data_Val!$K$2*365.25))),0,1),1))</f>
        <v/>
      </c>
      <c r="V220" s="12" t="str">
        <f>IF(Data!G220="","",IF(Data!G220=Data_Val!$C$2,IF(Data!P220="",0,1),0))</f>
        <v/>
      </c>
      <c r="W220" s="12" t="str">
        <f>IF(Data!P220="","",IF(ISNUMBER(MATCH(Data!Q220,Data_Val!$A$2:$A$3,0)),0,1))</f>
        <v/>
      </c>
      <c r="X220" s="26" t="str">
        <f ca="1">IF(Data!P220="","",IF(ISNUMBER(Data!R220),IF(AND(Data!R220&gt;(TODAY()-(Data_Val!$L$3*365.25)),Data!R220&lt;=(TODAY()-(Data_Val!$L$2*365.25))),0,1),1))</f>
        <v/>
      </c>
      <c r="Y220" s="13" t="str">
        <f>IF(Data!$G220="","",IF(Data!$G220=Data_Val!$C$2,IF(Data!S220="",0,1),0))</f>
        <v/>
      </c>
      <c r="Z220" s="13" t="str">
        <f>IF(Data!S220="","",IF(ISNUMBER(MATCH(Data!T220,Data_Val!$A$2:$A$3,0)),0,1))</f>
        <v/>
      </c>
      <c r="AA220" s="28" t="str">
        <f ca="1">IF(Data!S220="","",IF(ISNUMBER(Data!U220),IF(AND(Data!U220&gt;(TODAY()-(Data_Val!$L$3*365.25)),Data!U220&lt;=(TODAY()-(Data_Val!$L$2*365.25))),0,1),1))</f>
        <v/>
      </c>
      <c r="AB220" s="11"/>
      <c r="AC220" s="11" t="e">
        <f>IF(Data!#REF!="","",IF(ISNUMBER(MATCH(Data!#REF!,Data_Val!$A$2:$A$3,0)),0,1))</f>
        <v>#REF!</v>
      </c>
      <c r="AD220" s="11" t="e">
        <f ca="1">IF(Data!#REF!="","",IF(ISNUMBER(Data!#REF!),IF(AND(Data!#REF!&gt;(TODAY()-(Data_Val!$L$3*365.25)),Data!#REF!&lt;=(TODAY()-(Data_Val!$L$2*365.25))),0,1),1))</f>
        <v>#REF!</v>
      </c>
      <c r="AE220" s="11" t="e">
        <f>IF(Data!#REF!="","",IF(Data!$G220="",1,IF(ISNUMBER(MATCH(Data!#REF!,Data_Val!$D$2:$D$10,0)),0,1)))</f>
        <v>#REF!</v>
      </c>
      <c r="AF220" s="12"/>
      <c r="AG220" s="12" t="e">
        <f>IF(Data!#REF!="","",IF(ISNUMBER(MATCH(Data!#REF!,Data_Val!$A$2:$A$3,0)),0,1))</f>
        <v>#REF!</v>
      </c>
      <c r="AH220" s="26" t="e">
        <f ca="1">IF(Data!#REF!="","",IF(ISNUMBER(Data!#REF!),IF(AND(Data!#REF!&gt;(TODAY()-(Data_Val!$L$3*365.25)),Data!#REF!&lt;=(TODAY()-(Data_Val!$L$2*365.25))),0,1),1))</f>
        <v>#REF!</v>
      </c>
      <c r="AI220" s="12" t="e">
        <f>IF(Data!#REF!="","",IF(Data!$G220="",1,IF(ISNUMBER(MATCH(Data!#REF!,Data_Val!$D$2:$D$10,0)),0,1)))</f>
        <v>#REF!</v>
      </c>
      <c r="AJ220" s="17"/>
      <c r="AK220" s="17" t="e">
        <f>IF(Data!#REF!="","",IF(ISNUMBER(MATCH(Data!#REF!,Data_Val!$A$2:$A$3,0)),0,1))</f>
        <v>#REF!</v>
      </c>
      <c r="AL220" s="25" t="e">
        <f ca="1">IF(Data!#REF!="","",IF(ISNUMBER(Data!#REF!),IF(AND(Data!#REF!&gt;(TODAY()-(Data_Val!$L$3*365.25)),Data!#REF!&lt;=(TODAY()-(Data_Val!$L$2*365.25))),0,1),1))</f>
        <v>#REF!</v>
      </c>
      <c r="AM220" s="17" t="e">
        <f>IF(Data!#REF!="","",IF(Data!$G220="",1,IF(ISNUMBER(MATCH(Data!#REF!,Data_Val!$D$2:$D$10,0)),0,1)))</f>
        <v>#REF!</v>
      </c>
      <c r="AN220" s="13"/>
      <c r="AO220" s="28" t="e">
        <f ca="1">IF(Data!#REF!="","",IF(ISNUMBER(Data!#REF!),IF(AND(Data!#REF!&gt;(TODAY()-(Data_Val!$I$3*365.25)),Data!#REF!&lt;=(TODAY()-(Data_Val!$I$2*365.25))),0,1),1))</f>
        <v>#REF!</v>
      </c>
      <c r="AP220" s="13" t="e">
        <f>IF(Data!#REF!="","",IF(Data!$G220="",1,IF(ISNUMBER(MATCH(Data!#REF!,Data_Val!$D$2:$D$10,0)),0,1)))</f>
        <v>#REF!</v>
      </c>
      <c r="AQ220" s="17"/>
      <c r="AR220" s="30" t="e">
        <f ca="1">IF(Data!#REF!="","",IF(ISNUMBER(Data!#REF!),IF(AND(Data!#REF!&gt;(TODAY()-(Data_Val!$I$3*365.25)),Data!#REF!&lt;=(TODAY()-(Data_Val!$I$2*365.25))),0,1),1))</f>
        <v>#REF!</v>
      </c>
      <c r="AS220" s="31" t="e">
        <f>IF(Data!#REF!="","",IF(Data!$G220="",1,IF(ISNUMBER(MATCH(Data!#REF!,Data_Val!$D$2:$D$10,0)),0,1)))</f>
        <v>#REF!</v>
      </c>
      <c r="AT220" s="11"/>
      <c r="AU220" s="11" t="e">
        <f ca="1">IF(Data!#REF!="","",IF(ISNUMBER(Data!#REF!),IF(AND(Data!#REF!&gt;(TODAY()-(Data_Val!$I$3*365.25)),Data!#REF!&lt;=(TODAY()-(Data_Val!$I$2*365.25))),0,1),1))</f>
        <v>#REF!</v>
      </c>
      <c r="AV220" s="11" t="e">
        <f>IF(Data!#REF!="","",IF(Data!$G220="",1,IF(ISNUMBER(MATCH(Data!#REF!,Data_Val!$D$2:$D$10,0)),0,1)))</f>
        <v>#REF!</v>
      </c>
      <c r="AW220" s="12"/>
      <c r="AX220" s="26" t="e">
        <f ca="1">IF(Data!#REF!="","",IF(ISNUMBER(Data!#REF!),IF(AND(Data!#REF!&gt;(TODAY()-(Data_Val!$I$3*365.25)),Data!#REF!&lt;=(TODAY()-(Data_Val!$I$2*365.25))),0,1),1))</f>
        <v>#REF!</v>
      </c>
      <c r="AY220" s="12" t="e">
        <f>IF(Data!#REF!="","",IF(Data!$G220="",1,IF(ISNUMBER(MATCH(Data!#REF!,Data_Val!$D$2:$D$10,0)),0,1)))</f>
        <v>#REF!</v>
      </c>
      <c r="AZ220" s="11"/>
      <c r="BA220" s="19" t="e">
        <f ca="1">IF(Data!#REF!="","",IF(ISNUMBER(Data!#REF!),IF(AND(Data!#REF!&gt;(TODAY()-(Data_Val!$M$3*365.25)),Data!#REF!&lt;=(TODAY()-(Data_Val!$M$2*365.25))),0,1),1))</f>
        <v>#REF!</v>
      </c>
      <c r="BB220" s="11" t="e">
        <f>IF(Data!#REF!="","",IF(Data!$G220="",1,IF(ISNUMBER(MATCH(Data!#REF!,Data_Val!$D$2:$D$10,0)),0,1)))</f>
        <v>#REF!</v>
      </c>
      <c r="BC220" s="12"/>
      <c r="BD220" s="20" t="e">
        <f ca="1">IF(Data!#REF!="","",IF(ISNUMBER(Data!#REF!),IF(AND(Data!#REF!&gt;(TODAY()-(Data_Val!$M$3*365.25)),Data!#REF!&lt;=(TODAY()-(Data_Val!$M$2*365.25))),0,1),1))</f>
        <v>#REF!</v>
      </c>
      <c r="BE220" s="12" t="e">
        <f>IF(Data!#REF!="","",IF(Data!$G220="",1,IF(ISNUMBER(MATCH(Data!#REF!,Data_Val!$D$2:$D$10,0)),0,1)))</f>
        <v>#REF!</v>
      </c>
      <c r="BF220" s="17"/>
      <c r="BG220" s="18" t="e">
        <f ca="1">IF(Data!#REF!="","",IF(ISNUMBER(Data!#REF!),IF(AND(Data!#REF!&gt;(TODAY()-(Data_Val!$M$3*365.25)),Data!#REF!&lt;=(TODAY()-(Data_Val!$M$2*365.25))),0,1),1))</f>
        <v>#REF!</v>
      </c>
      <c r="BH220" s="29" t="e">
        <f>IF(Data!#REF!="","",IF(Data!$G220="",1,IF(ISNUMBER(MATCH(Data!#REF!,Data_Val!$D$2:$D$10,0)),0,1)))</f>
        <v>#REF!</v>
      </c>
      <c r="BI220" s="13"/>
      <c r="BJ220" s="21" t="e">
        <f ca="1">IF(Data!#REF!="","",IF(ISNUMBER(Data!#REF!),IF(AND(Data!#REF!&gt;(TODAY()-(Data_Val!$M$3*365.25)),Data!#REF!&lt;=(TODAY()-(Data_Val!$M$2*365.25))),0,1),1))</f>
        <v>#REF!</v>
      </c>
      <c r="BK220" s="13" t="e">
        <f>IF(Data!#REF!="","",IF(Data!$G220="",1,IF(ISNUMBER(MATCH(Data!#REF!,Data_Val!$D$2:$D$10,0)),0,1)))</f>
        <v>#REF!</v>
      </c>
    </row>
    <row r="221" spans="1:63" x14ac:dyDescent="0.25">
      <c r="A221" s="9" t="str">
        <f>IF(Data!B221="","",IF(COUNTIFS(Data!A$1:'Data'!A221,Data!A221)&lt;=1,0,1))</f>
        <v/>
      </c>
      <c r="B221" s="9"/>
      <c r="C221" s="23" t="str">
        <f>IF(Data!C221="","",(IF(ISNUMBER(MATCH("*@*.?*",Data!C221,0)),0,1)+IF(COUNTIFS(Data!C$1:'Data'!C221,Data!C221)&gt;1,1,0)))</f>
        <v/>
      </c>
      <c r="D221" s="9" t="str">
        <f>IF(Data!B221="","",IF(ISNUMBER(Data!D221),IF(AND(Data!D221&gt;999999999,Data!D221&lt;=9999999999),IF(COUNTIFS(Data!D$1:'Data'!D221,Data!D221)&lt;=1,0,1),1),1))</f>
        <v/>
      </c>
      <c r="E221" s="9" t="str">
        <f>IF(Data!B221="","",IF(ISNUMBER(MATCH(Data!E221,Data_Val!$A$2:$A$3,0)),0,1))</f>
        <v/>
      </c>
      <c r="F221" s="9" t="str">
        <f ca="1">IF(Data!B221="","",IF(ISNUMBER(Data!F221),IF(AND(Data!F221&gt;(TODAY()-(Data_Val!$H$3*365.25)),Data!F221&lt;=(TODAY()-(Data_Val!$H$2*365.25))),0,1),1))</f>
        <v/>
      </c>
      <c r="G221" s="15" t="str">
        <f>IF(Data!B221="","",IF(AND(Data!G221="",Data!H221&lt;&gt;""),1,IF(Data!#REF!&lt;&gt;"",0,IF(ISNUMBER(MATCH(Data!G221,Data_Val!$C$2:$C$5,0)),0,1))))</f>
        <v/>
      </c>
      <c r="H221" s="15" t="str">
        <f>IF(Data!B221="","",IF(AND(Data!G221&lt;&gt;"",Data!H221=""),1,IF(Data!#REF!&lt;&gt;"",0,IF(Data!G221="",1,IF(ISNUMBER(MATCH(Data!H221,Data_Val!$D$2:$D$35,0)),0,1)))))</f>
        <v/>
      </c>
      <c r="I221" s="15" t="str">
        <f>IF(Data!B221="","",IF(Data!G221&lt;&gt;"",0,IF(ISNUMBER(MATCH(Data!#REF!,Data_Val!$E$2:$E$12,0)),0,1)))</f>
        <v/>
      </c>
      <c r="J221" s="16" t="e">
        <f>IF(OR(Data!B221="",Data!#REF!=""),"",IF(Data!#REF!="",1,0))</f>
        <v>#REF!</v>
      </c>
      <c r="K221" s="16" t="e">
        <f>IF(OR(Data!B221="",Data!#REF!=""),"",IF(Data!#REF!="",1,0))</f>
        <v>#REF!</v>
      </c>
      <c r="L221" s="16" t="e">
        <f>IF(OR(Data!B221="",Data!#REF!=""),"",IF(ISNUMBER(Data!#REF!),IF(AND(Data!#REF!&gt;Data_Val!$G$2,Data!#REF!&lt;=Data_Val!$G$3),0,1),1))</f>
        <v>#REF!</v>
      </c>
      <c r="M221" s="9" t="e">
        <f>IF(OR(Data!B221="",Data!#REF!=""),"",IF(ISNUMBER(MATCH(Data!#REF!,Data_Val!$F$1:$F$38,0)),0,1))</f>
        <v>#REF!</v>
      </c>
      <c r="N221" s="9" t="e">
        <f>IF(OR(Data!B221="",Data!#REF!=""),"",IF(Data!#REF!="",1,0))</f>
        <v>#REF!</v>
      </c>
      <c r="O221" s="17" t="e">
        <f>IF(Data!#REF!="","",IF(Data!#REF!="",1,0))</f>
        <v>#REF!</v>
      </c>
      <c r="P221" s="17" t="e">
        <f>IF(Data!#REF!="","",IF(ISNUMBER(MATCH(Data!#REF!,Data_Val!$A$2:$A$3,0)),0,1))</f>
        <v>#REF!</v>
      </c>
      <c r="Q221" s="25" t="e">
        <f ca="1">IF(Data!#REF!="","",IF(ISNUMBER(Data!#REF!),IF(AND(Data!#REF!&gt;(TODAY()-(Data_Val!$J$3*365.25)),Data!#REF!&lt;=(TODAY()-(Data_Val!$J$2*365.25))),0,1),1))</f>
        <v>#REF!</v>
      </c>
      <c r="R221" s="17" t="e">
        <f>IF(Data!#REF!="","",IF(ISNUMBER(MATCH(Data!#REF!,Data_Val!$B$2:$B$15,0)),0,1))</f>
        <v>#REF!</v>
      </c>
      <c r="S221" s="11" t="str">
        <f>IF(Data!G221="","",IF(Data!G221=Data_Val!$C$2,IF(Data!M221="",0,1),0))</f>
        <v/>
      </c>
      <c r="T221" s="11" t="str">
        <f>IF(Data!M221="","",IF(ISNUMBER(MATCH(Data!N221,Data_Val!$A$2:$A$3,0)),0,1))</f>
        <v/>
      </c>
      <c r="U221" s="11" t="str">
        <f ca="1">IF(Data!M221="","",IF(ISNUMBER(Data!O221),IF(AND(Data!O221&gt;(TODAY()-(Data_Val!$K$3*365.25)),Data!O221&lt;=(TODAY()-(Data_Val!$K$2*365.25))),0,1),1))</f>
        <v/>
      </c>
      <c r="V221" s="12" t="str">
        <f>IF(Data!G221="","",IF(Data!G221=Data_Val!$C$2,IF(Data!P221="",0,1),0))</f>
        <v/>
      </c>
      <c r="W221" s="12" t="str">
        <f>IF(Data!P221="","",IF(ISNUMBER(MATCH(Data!Q221,Data_Val!$A$2:$A$3,0)),0,1))</f>
        <v/>
      </c>
      <c r="X221" s="26" t="str">
        <f ca="1">IF(Data!P221="","",IF(ISNUMBER(Data!R221),IF(AND(Data!R221&gt;(TODAY()-(Data_Val!$L$3*365.25)),Data!R221&lt;=(TODAY()-(Data_Val!$L$2*365.25))),0,1),1))</f>
        <v/>
      </c>
      <c r="Y221" s="13" t="str">
        <f>IF(Data!$G221="","",IF(Data!$G221=Data_Val!$C$2,IF(Data!S221="",0,1),0))</f>
        <v/>
      </c>
      <c r="Z221" s="13" t="str">
        <f>IF(Data!S221="","",IF(ISNUMBER(MATCH(Data!T221,Data_Val!$A$2:$A$3,0)),0,1))</f>
        <v/>
      </c>
      <c r="AA221" s="28" t="str">
        <f ca="1">IF(Data!S221="","",IF(ISNUMBER(Data!U221),IF(AND(Data!U221&gt;(TODAY()-(Data_Val!$L$3*365.25)),Data!U221&lt;=(TODAY()-(Data_Val!$L$2*365.25))),0,1),1))</f>
        <v/>
      </c>
      <c r="AB221" s="11"/>
      <c r="AC221" s="11" t="e">
        <f>IF(Data!#REF!="","",IF(ISNUMBER(MATCH(Data!#REF!,Data_Val!$A$2:$A$3,0)),0,1))</f>
        <v>#REF!</v>
      </c>
      <c r="AD221" s="11" t="e">
        <f ca="1">IF(Data!#REF!="","",IF(ISNUMBER(Data!#REF!),IF(AND(Data!#REF!&gt;(TODAY()-(Data_Val!$L$3*365.25)),Data!#REF!&lt;=(TODAY()-(Data_Val!$L$2*365.25))),0,1),1))</f>
        <v>#REF!</v>
      </c>
      <c r="AE221" s="11" t="e">
        <f>IF(Data!#REF!="","",IF(Data!$G221="",1,IF(ISNUMBER(MATCH(Data!#REF!,Data_Val!$D$2:$D$10,0)),0,1)))</f>
        <v>#REF!</v>
      </c>
      <c r="AF221" s="12"/>
      <c r="AG221" s="12" t="e">
        <f>IF(Data!#REF!="","",IF(ISNUMBER(MATCH(Data!#REF!,Data_Val!$A$2:$A$3,0)),0,1))</f>
        <v>#REF!</v>
      </c>
      <c r="AH221" s="26" t="e">
        <f ca="1">IF(Data!#REF!="","",IF(ISNUMBER(Data!#REF!),IF(AND(Data!#REF!&gt;(TODAY()-(Data_Val!$L$3*365.25)),Data!#REF!&lt;=(TODAY()-(Data_Val!$L$2*365.25))),0,1),1))</f>
        <v>#REF!</v>
      </c>
      <c r="AI221" s="12" t="e">
        <f>IF(Data!#REF!="","",IF(Data!$G221="",1,IF(ISNUMBER(MATCH(Data!#REF!,Data_Val!$D$2:$D$10,0)),0,1)))</f>
        <v>#REF!</v>
      </c>
      <c r="AJ221" s="17"/>
      <c r="AK221" s="17" t="e">
        <f>IF(Data!#REF!="","",IF(ISNUMBER(MATCH(Data!#REF!,Data_Val!$A$2:$A$3,0)),0,1))</f>
        <v>#REF!</v>
      </c>
      <c r="AL221" s="25" t="e">
        <f ca="1">IF(Data!#REF!="","",IF(ISNUMBER(Data!#REF!),IF(AND(Data!#REF!&gt;(TODAY()-(Data_Val!$L$3*365.25)),Data!#REF!&lt;=(TODAY()-(Data_Val!$L$2*365.25))),0,1),1))</f>
        <v>#REF!</v>
      </c>
      <c r="AM221" s="17" t="e">
        <f>IF(Data!#REF!="","",IF(Data!$G221="",1,IF(ISNUMBER(MATCH(Data!#REF!,Data_Val!$D$2:$D$10,0)),0,1)))</f>
        <v>#REF!</v>
      </c>
      <c r="AN221" s="13"/>
      <c r="AO221" s="28" t="e">
        <f ca="1">IF(Data!#REF!="","",IF(ISNUMBER(Data!#REF!),IF(AND(Data!#REF!&gt;(TODAY()-(Data_Val!$I$3*365.25)),Data!#REF!&lt;=(TODAY()-(Data_Val!$I$2*365.25))),0,1),1))</f>
        <v>#REF!</v>
      </c>
      <c r="AP221" s="13" t="e">
        <f>IF(Data!#REF!="","",IF(Data!$G221="",1,IF(ISNUMBER(MATCH(Data!#REF!,Data_Val!$D$2:$D$10,0)),0,1)))</f>
        <v>#REF!</v>
      </c>
      <c r="AQ221" s="17"/>
      <c r="AR221" s="30" t="e">
        <f ca="1">IF(Data!#REF!="","",IF(ISNUMBER(Data!#REF!),IF(AND(Data!#REF!&gt;(TODAY()-(Data_Val!$I$3*365.25)),Data!#REF!&lt;=(TODAY()-(Data_Val!$I$2*365.25))),0,1),1))</f>
        <v>#REF!</v>
      </c>
      <c r="AS221" s="31" t="e">
        <f>IF(Data!#REF!="","",IF(Data!$G221="",1,IF(ISNUMBER(MATCH(Data!#REF!,Data_Val!$D$2:$D$10,0)),0,1)))</f>
        <v>#REF!</v>
      </c>
      <c r="AT221" s="11"/>
      <c r="AU221" s="11" t="e">
        <f ca="1">IF(Data!#REF!="","",IF(ISNUMBER(Data!#REF!),IF(AND(Data!#REF!&gt;(TODAY()-(Data_Val!$I$3*365.25)),Data!#REF!&lt;=(TODAY()-(Data_Val!$I$2*365.25))),0,1),1))</f>
        <v>#REF!</v>
      </c>
      <c r="AV221" s="11" t="e">
        <f>IF(Data!#REF!="","",IF(Data!$G221="",1,IF(ISNUMBER(MATCH(Data!#REF!,Data_Val!$D$2:$D$10,0)),0,1)))</f>
        <v>#REF!</v>
      </c>
      <c r="AW221" s="12"/>
      <c r="AX221" s="26" t="e">
        <f ca="1">IF(Data!#REF!="","",IF(ISNUMBER(Data!#REF!),IF(AND(Data!#REF!&gt;(TODAY()-(Data_Val!$I$3*365.25)),Data!#REF!&lt;=(TODAY()-(Data_Val!$I$2*365.25))),0,1),1))</f>
        <v>#REF!</v>
      </c>
      <c r="AY221" s="12" t="e">
        <f>IF(Data!#REF!="","",IF(Data!$G221="",1,IF(ISNUMBER(MATCH(Data!#REF!,Data_Val!$D$2:$D$10,0)),0,1)))</f>
        <v>#REF!</v>
      </c>
      <c r="AZ221" s="11"/>
      <c r="BA221" s="19" t="e">
        <f ca="1">IF(Data!#REF!="","",IF(ISNUMBER(Data!#REF!),IF(AND(Data!#REF!&gt;(TODAY()-(Data_Val!$M$3*365.25)),Data!#REF!&lt;=(TODAY()-(Data_Val!$M$2*365.25))),0,1),1))</f>
        <v>#REF!</v>
      </c>
      <c r="BB221" s="11" t="e">
        <f>IF(Data!#REF!="","",IF(Data!$G221="",1,IF(ISNUMBER(MATCH(Data!#REF!,Data_Val!$D$2:$D$10,0)),0,1)))</f>
        <v>#REF!</v>
      </c>
      <c r="BC221" s="12"/>
      <c r="BD221" s="20" t="e">
        <f ca="1">IF(Data!#REF!="","",IF(ISNUMBER(Data!#REF!),IF(AND(Data!#REF!&gt;(TODAY()-(Data_Val!$M$3*365.25)),Data!#REF!&lt;=(TODAY()-(Data_Val!$M$2*365.25))),0,1),1))</f>
        <v>#REF!</v>
      </c>
      <c r="BE221" s="12" t="e">
        <f>IF(Data!#REF!="","",IF(Data!$G221="",1,IF(ISNUMBER(MATCH(Data!#REF!,Data_Val!$D$2:$D$10,0)),0,1)))</f>
        <v>#REF!</v>
      </c>
      <c r="BF221" s="17"/>
      <c r="BG221" s="18" t="e">
        <f ca="1">IF(Data!#REF!="","",IF(ISNUMBER(Data!#REF!),IF(AND(Data!#REF!&gt;(TODAY()-(Data_Val!$M$3*365.25)),Data!#REF!&lt;=(TODAY()-(Data_Val!$M$2*365.25))),0,1),1))</f>
        <v>#REF!</v>
      </c>
      <c r="BH221" s="29" t="e">
        <f>IF(Data!#REF!="","",IF(Data!$G221="",1,IF(ISNUMBER(MATCH(Data!#REF!,Data_Val!$D$2:$D$10,0)),0,1)))</f>
        <v>#REF!</v>
      </c>
      <c r="BI221" s="13"/>
      <c r="BJ221" s="21" t="e">
        <f ca="1">IF(Data!#REF!="","",IF(ISNUMBER(Data!#REF!),IF(AND(Data!#REF!&gt;(TODAY()-(Data_Val!$M$3*365.25)),Data!#REF!&lt;=(TODAY()-(Data_Val!$M$2*365.25))),0,1),1))</f>
        <v>#REF!</v>
      </c>
      <c r="BK221" s="13" t="e">
        <f>IF(Data!#REF!="","",IF(Data!$G221="",1,IF(ISNUMBER(MATCH(Data!#REF!,Data_Val!$D$2:$D$10,0)),0,1)))</f>
        <v>#REF!</v>
      </c>
    </row>
    <row r="222" spans="1:63" x14ac:dyDescent="0.25">
      <c r="A222" s="9" t="str">
        <f>IF(Data!B222="","",IF(COUNTIFS(Data!A$1:'Data'!A222,Data!A222)&lt;=1,0,1))</f>
        <v/>
      </c>
      <c r="B222" s="9"/>
      <c r="C222" s="23" t="str">
        <f>IF(Data!C222="","",(IF(ISNUMBER(MATCH("*@*.?*",Data!C222,0)),0,1)+IF(COUNTIFS(Data!C$1:'Data'!C222,Data!C222)&gt;1,1,0)))</f>
        <v/>
      </c>
      <c r="D222" s="9" t="str">
        <f>IF(Data!B222="","",IF(ISNUMBER(Data!D222),IF(AND(Data!D222&gt;999999999,Data!D222&lt;=9999999999),IF(COUNTIFS(Data!D$1:'Data'!D222,Data!D222)&lt;=1,0,1),1),1))</f>
        <v/>
      </c>
      <c r="E222" s="9" t="str">
        <f>IF(Data!B222="","",IF(ISNUMBER(MATCH(Data!E222,Data_Val!$A$2:$A$3,0)),0,1))</f>
        <v/>
      </c>
      <c r="F222" s="9" t="str">
        <f ca="1">IF(Data!B222="","",IF(ISNUMBER(Data!F222),IF(AND(Data!F222&gt;(TODAY()-(Data_Val!$H$3*365.25)),Data!F222&lt;=(TODAY()-(Data_Val!$H$2*365.25))),0,1),1))</f>
        <v/>
      </c>
      <c r="G222" s="15" t="str">
        <f>IF(Data!B222="","",IF(AND(Data!G222="",Data!H222&lt;&gt;""),1,IF(Data!#REF!&lt;&gt;"",0,IF(ISNUMBER(MATCH(Data!G222,Data_Val!$C$2:$C$5,0)),0,1))))</f>
        <v/>
      </c>
      <c r="H222" s="15" t="str">
        <f>IF(Data!B222="","",IF(AND(Data!G222&lt;&gt;"",Data!H222=""),1,IF(Data!#REF!&lt;&gt;"",0,IF(Data!G222="",1,IF(ISNUMBER(MATCH(Data!H222,Data_Val!$D$2:$D$35,0)),0,1)))))</f>
        <v/>
      </c>
      <c r="I222" s="15" t="str">
        <f>IF(Data!B222="","",IF(Data!G222&lt;&gt;"",0,IF(ISNUMBER(MATCH(Data!#REF!,Data_Val!$E$2:$E$12,0)),0,1)))</f>
        <v/>
      </c>
      <c r="J222" s="16" t="e">
        <f>IF(OR(Data!B222="",Data!#REF!=""),"",IF(Data!#REF!="",1,0))</f>
        <v>#REF!</v>
      </c>
      <c r="K222" s="16" t="e">
        <f>IF(OR(Data!B222="",Data!#REF!=""),"",IF(Data!#REF!="",1,0))</f>
        <v>#REF!</v>
      </c>
      <c r="L222" s="16" t="e">
        <f>IF(OR(Data!B222="",Data!#REF!=""),"",IF(ISNUMBER(Data!#REF!),IF(AND(Data!#REF!&gt;Data_Val!$G$2,Data!#REF!&lt;=Data_Val!$G$3),0,1),1))</f>
        <v>#REF!</v>
      </c>
      <c r="M222" s="9" t="e">
        <f>IF(OR(Data!B222="",Data!#REF!=""),"",IF(ISNUMBER(MATCH(Data!#REF!,Data_Val!$F$1:$F$38,0)),0,1))</f>
        <v>#REF!</v>
      </c>
      <c r="N222" s="9" t="e">
        <f>IF(OR(Data!B222="",Data!#REF!=""),"",IF(Data!#REF!="",1,0))</f>
        <v>#REF!</v>
      </c>
      <c r="O222" s="17" t="e">
        <f>IF(Data!#REF!="","",IF(Data!#REF!="",1,0))</f>
        <v>#REF!</v>
      </c>
      <c r="P222" s="17" t="e">
        <f>IF(Data!#REF!="","",IF(ISNUMBER(MATCH(Data!#REF!,Data_Val!$A$2:$A$3,0)),0,1))</f>
        <v>#REF!</v>
      </c>
      <c r="Q222" s="25" t="e">
        <f ca="1">IF(Data!#REF!="","",IF(ISNUMBER(Data!#REF!),IF(AND(Data!#REF!&gt;(TODAY()-(Data_Val!$J$3*365.25)),Data!#REF!&lt;=(TODAY()-(Data_Val!$J$2*365.25))),0,1),1))</f>
        <v>#REF!</v>
      </c>
      <c r="R222" s="17" t="e">
        <f>IF(Data!#REF!="","",IF(ISNUMBER(MATCH(Data!#REF!,Data_Val!$B$2:$B$15,0)),0,1))</f>
        <v>#REF!</v>
      </c>
      <c r="S222" s="11" t="str">
        <f>IF(Data!G222="","",IF(Data!G222=Data_Val!$C$2,IF(Data!M222="",0,1),0))</f>
        <v/>
      </c>
      <c r="T222" s="11" t="str">
        <f>IF(Data!M222="","",IF(ISNUMBER(MATCH(Data!N222,Data_Val!$A$2:$A$3,0)),0,1))</f>
        <v/>
      </c>
      <c r="U222" s="11" t="str">
        <f ca="1">IF(Data!M222="","",IF(ISNUMBER(Data!O222),IF(AND(Data!O222&gt;(TODAY()-(Data_Val!$K$3*365.25)),Data!O222&lt;=(TODAY()-(Data_Val!$K$2*365.25))),0,1),1))</f>
        <v/>
      </c>
      <c r="V222" s="12" t="str">
        <f>IF(Data!G222="","",IF(Data!G222=Data_Val!$C$2,IF(Data!P222="",0,1),0))</f>
        <v/>
      </c>
      <c r="W222" s="12" t="str">
        <f>IF(Data!P222="","",IF(ISNUMBER(MATCH(Data!Q222,Data_Val!$A$2:$A$3,0)),0,1))</f>
        <v/>
      </c>
      <c r="X222" s="26" t="str">
        <f ca="1">IF(Data!P222="","",IF(ISNUMBER(Data!R222),IF(AND(Data!R222&gt;(TODAY()-(Data_Val!$L$3*365.25)),Data!R222&lt;=(TODAY()-(Data_Val!$L$2*365.25))),0,1),1))</f>
        <v/>
      </c>
      <c r="Y222" s="13" t="str">
        <f>IF(Data!$G222="","",IF(Data!$G222=Data_Val!$C$2,IF(Data!S222="",0,1),0))</f>
        <v/>
      </c>
      <c r="Z222" s="13" t="str">
        <f>IF(Data!S222="","",IF(ISNUMBER(MATCH(Data!T222,Data_Val!$A$2:$A$3,0)),0,1))</f>
        <v/>
      </c>
      <c r="AA222" s="28" t="str">
        <f ca="1">IF(Data!S222="","",IF(ISNUMBER(Data!U222),IF(AND(Data!U222&gt;(TODAY()-(Data_Val!$L$3*365.25)),Data!U222&lt;=(TODAY()-(Data_Val!$L$2*365.25))),0,1),1))</f>
        <v/>
      </c>
      <c r="AB222" s="11"/>
      <c r="AC222" s="11" t="e">
        <f>IF(Data!#REF!="","",IF(ISNUMBER(MATCH(Data!#REF!,Data_Val!$A$2:$A$3,0)),0,1))</f>
        <v>#REF!</v>
      </c>
      <c r="AD222" s="11" t="e">
        <f ca="1">IF(Data!#REF!="","",IF(ISNUMBER(Data!#REF!),IF(AND(Data!#REF!&gt;(TODAY()-(Data_Val!$L$3*365.25)),Data!#REF!&lt;=(TODAY()-(Data_Val!$L$2*365.25))),0,1),1))</f>
        <v>#REF!</v>
      </c>
      <c r="AE222" s="11" t="e">
        <f>IF(Data!#REF!="","",IF(Data!$G222="",1,IF(ISNUMBER(MATCH(Data!#REF!,Data_Val!$D$2:$D$10,0)),0,1)))</f>
        <v>#REF!</v>
      </c>
      <c r="AF222" s="12"/>
      <c r="AG222" s="12" t="e">
        <f>IF(Data!#REF!="","",IF(ISNUMBER(MATCH(Data!#REF!,Data_Val!$A$2:$A$3,0)),0,1))</f>
        <v>#REF!</v>
      </c>
      <c r="AH222" s="26" t="e">
        <f ca="1">IF(Data!#REF!="","",IF(ISNUMBER(Data!#REF!),IF(AND(Data!#REF!&gt;(TODAY()-(Data_Val!$L$3*365.25)),Data!#REF!&lt;=(TODAY()-(Data_Val!$L$2*365.25))),0,1),1))</f>
        <v>#REF!</v>
      </c>
      <c r="AI222" s="12" t="e">
        <f>IF(Data!#REF!="","",IF(Data!$G222="",1,IF(ISNUMBER(MATCH(Data!#REF!,Data_Val!$D$2:$D$10,0)),0,1)))</f>
        <v>#REF!</v>
      </c>
      <c r="AJ222" s="17"/>
      <c r="AK222" s="17" t="e">
        <f>IF(Data!#REF!="","",IF(ISNUMBER(MATCH(Data!#REF!,Data_Val!$A$2:$A$3,0)),0,1))</f>
        <v>#REF!</v>
      </c>
      <c r="AL222" s="25" t="e">
        <f ca="1">IF(Data!#REF!="","",IF(ISNUMBER(Data!#REF!),IF(AND(Data!#REF!&gt;(TODAY()-(Data_Val!$L$3*365.25)),Data!#REF!&lt;=(TODAY()-(Data_Val!$L$2*365.25))),0,1),1))</f>
        <v>#REF!</v>
      </c>
      <c r="AM222" s="17" t="e">
        <f>IF(Data!#REF!="","",IF(Data!$G222="",1,IF(ISNUMBER(MATCH(Data!#REF!,Data_Val!$D$2:$D$10,0)),0,1)))</f>
        <v>#REF!</v>
      </c>
      <c r="AN222" s="13"/>
      <c r="AO222" s="28" t="e">
        <f ca="1">IF(Data!#REF!="","",IF(ISNUMBER(Data!#REF!),IF(AND(Data!#REF!&gt;(TODAY()-(Data_Val!$I$3*365.25)),Data!#REF!&lt;=(TODAY()-(Data_Val!$I$2*365.25))),0,1),1))</f>
        <v>#REF!</v>
      </c>
      <c r="AP222" s="13" t="e">
        <f>IF(Data!#REF!="","",IF(Data!$G222="",1,IF(ISNUMBER(MATCH(Data!#REF!,Data_Val!$D$2:$D$10,0)),0,1)))</f>
        <v>#REF!</v>
      </c>
      <c r="AQ222" s="17"/>
      <c r="AR222" s="30" t="e">
        <f ca="1">IF(Data!#REF!="","",IF(ISNUMBER(Data!#REF!),IF(AND(Data!#REF!&gt;(TODAY()-(Data_Val!$I$3*365.25)),Data!#REF!&lt;=(TODAY()-(Data_Val!$I$2*365.25))),0,1),1))</f>
        <v>#REF!</v>
      </c>
      <c r="AS222" s="31" t="e">
        <f>IF(Data!#REF!="","",IF(Data!$G222="",1,IF(ISNUMBER(MATCH(Data!#REF!,Data_Val!$D$2:$D$10,0)),0,1)))</f>
        <v>#REF!</v>
      </c>
      <c r="AT222" s="11"/>
      <c r="AU222" s="11" t="e">
        <f ca="1">IF(Data!#REF!="","",IF(ISNUMBER(Data!#REF!),IF(AND(Data!#REF!&gt;(TODAY()-(Data_Val!$I$3*365.25)),Data!#REF!&lt;=(TODAY()-(Data_Val!$I$2*365.25))),0,1),1))</f>
        <v>#REF!</v>
      </c>
      <c r="AV222" s="11" t="e">
        <f>IF(Data!#REF!="","",IF(Data!$G222="",1,IF(ISNUMBER(MATCH(Data!#REF!,Data_Val!$D$2:$D$10,0)),0,1)))</f>
        <v>#REF!</v>
      </c>
      <c r="AW222" s="12"/>
      <c r="AX222" s="26" t="e">
        <f ca="1">IF(Data!#REF!="","",IF(ISNUMBER(Data!#REF!),IF(AND(Data!#REF!&gt;(TODAY()-(Data_Val!$I$3*365.25)),Data!#REF!&lt;=(TODAY()-(Data_Val!$I$2*365.25))),0,1),1))</f>
        <v>#REF!</v>
      </c>
      <c r="AY222" s="12" t="e">
        <f>IF(Data!#REF!="","",IF(Data!$G222="",1,IF(ISNUMBER(MATCH(Data!#REF!,Data_Val!$D$2:$D$10,0)),0,1)))</f>
        <v>#REF!</v>
      </c>
      <c r="AZ222" s="11"/>
      <c r="BA222" s="19" t="e">
        <f ca="1">IF(Data!#REF!="","",IF(ISNUMBER(Data!#REF!),IF(AND(Data!#REF!&gt;(TODAY()-(Data_Val!$M$3*365.25)),Data!#REF!&lt;=(TODAY()-(Data_Val!$M$2*365.25))),0,1),1))</f>
        <v>#REF!</v>
      </c>
      <c r="BB222" s="11" t="e">
        <f>IF(Data!#REF!="","",IF(Data!$G222="",1,IF(ISNUMBER(MATCH(Data!#REF!,Data_Val!$D$2:$D$10,0)),0,1)))</f>
        <v>#REF!</v>
      </c>
      <c r="BC222" s="12"/>
      <c r="BD222" s="20" t="e">
        <f ca="1">IF(Data!#REF!="","",IF(ISNUMBER(Data!#REF!),IF(AND(Data!#REF!&gt;(TODAY()-(Data_Val!$M$3*365.25)),Data!#REF!&lt;=(TODAY()-(Data_Val!$M$2*365.25))),0,1),1))</f>
        <v>#REF!</v>
      </c>
      <c r="BE222" s="12" t="e">
        <f>IF(Data!#REF!="","",IF(Data!$G222="",1,IF(ISNUMBER(MATCH(Data!#REF!,Data_Val!$D$2:$D$10,0)),0,1)))</f>
        <v>#REF!</v>
      </c>
      <c r="BF222" s="17"/>
      <c r="BG222" s="18" t="e">
        <f ca="1">IF(Data!#REF!="","",IF(ISNUMBER(Data!#REF!),IF(AND(Data!#REF!&gt;(TODAY()-(Data_Val!$M$3*365.25)),Data!#REF!&lt;=(TODAY()-(Data_Val!$M$2*365.25))),0,1),1))</f>
        <v>#REF!</v>
      </c>
      <c r="BH222" s="29" t="e">
        <f>IF(Data!#REF!="","",IF(Data!$G222="",1,IF(ISNUMBER(MATCH(Data!#REF!,Data_Val!$D$2:$D$10,0)),0,1)))</f>
        <v>#REF!</v>
      </c>
      <c r="BI222" s="13"/>
      <c r="BJ222" s="21" t="e">
        <f ca="1">IF(Data!#REF!="","",IF(ISNUMBER(Data!#REF!),IF(AND(Data!#REF!&gt;(TODAY()-(Data_Val!$M$3*365.25)),Data!#REF!&lt;=(TODAY()-(Data_Val!$M$2*365.25))),0,1),1))</f>
        <v>#REF!</v>
      </c>
      <c r="BK222" s="13" t="e">
        <f>IF(Data!#REF!="","",IF(Data!$G222="",1,IF(ISNUMBER(MATCH(Data!#REF!,Data_Val!$D$2:$D$10,0)),0,1)))</f>
        <v>#REF!</v>
      </c>
    </row>
    <row r="223" spans="1:63" x14ac:dyDescent="0.25">
      <c r="A223" s="9" t="str">
        <f>IF(Data!B223="","",IF(COUNTIFS(Data!A$1:'Data'!A223,Data!A223)&lt;=1,0,1))</f>
        <v/>
      </c>
      <c r="B223" s="9"/>
      <c r="C223" s="23" t="str">
        <f>IF(Data!C223="","",(IF(ISNUMBER(MATCH("*@*.?*",Data!C223,0)),0,1)+IF(COUNTIFS(Data!C$1:'Data'!C223,Data!C223)&gt;1,1,0)))</f>
        <v/>
      </c>
      <c r="D223" s="9" t="str">
        <f>IF(Data!B223="","",IF(ISNUMBER(Data!D223),IF(AND(Data!D223&gt;999999999,Data!D223&lt;=9999999999),IF(COUNTIFS(Data!D$1:'Data'!D223,Data!D223)&lt;=1,0,1),1),1))</f>
        <v/>
      </c>
      <c r="E223" s="9" t="str">
        <f>IF(Data!B223="","",IF(ISNUMBER(MATCH(Data!E223,Data_Val!$A$2:$A$3,0)),0,1))</f>
        <v/>
      </c>
      <c r="F223" s="9" t="str">
        <f ca="1">IF(Data!B223="","",IF(ISNUMBER(Data!F223),IF(AND(Data!F223&gt;(TODAY()-(Data_Val!$H$3*365.25)),Data!F223&lt;=(TODAY()-(Data_Val!$H$2*365.25))),0,1),1))</f>
        <v/>
      </c>
      <c r="G223" s="15" t="str">
        <f>IF(Data!B223="","",IF(AND(Data!G223="",Data!H223&lt;&gt;""),1,IF(Data!#REF!&lt;&gt;"",0,IF(ISNUMBER(MATCH(Data!G223,Data_Val!$C$2:$C$5,0)),0,1))))</f>
        <v/>
      </c>
      <c r="H223" s="15" t="str">
        <f>IF(Data!B223="","",IF(AND(Data!G223&lt;&gt;"",Data!H223=""),1,IF(Data!#REF!&lt;&gt;"",0,IF(Data!G223="",1,IF(ISNUMBER(MATCH(Data!H223,Data_Val!$D$2:$D$35,0)),0,1)))))</f>
        <v/>
      </c>
      <c r="I223" s="15" t="str">
        <f>IF(Data!B223="","",IF(Data!G223&lt;&gt;"",0,IF(ISNUMBER(MATCH(Data!#REF!,Data_Val!$E$2:$E$12,0)),0,1)))</f>
        <v/>
      </c>
      <c r="J223" s="16" t="e">
        <f>IF(OR(Data!B223="",Data!#REF!=""),"",IF(Data!#REF!="",1,0))</f>
        <v>#REF!</v>
      </c>
      <c r="K223" s="16" t="e">
        <f>IF(OR(Data!B223="",Data!#REF!=""),"",IF(Data!#REF!="",1,0))</f>
        <v>#REF!</v>
      </c>
      <c r="L223" s="16" t="e">
        <f>IF(OR(Data!B223="",Data!#REF!=""),"",IF(ISNUMBER(Data!#REF!),IF(AND(Data!#REF!&gt;Data_Val!$G$2,Data!#REF!&lt;=Data_Val!$G$3),0,1),1))</f>
        <v>#REF!</v>
      </c>
      <c r="M223" s="9" t="e">
        <f>IF(OR(Data!B223="",Data!#REF!=""),"",IF(ISNUMBER(MATCH(Data!#REF!,Data_Val!$F$1:$F$38,0)),0,1))</f>
        <v>#REF!</v>
      </c>
      <c r="N223" s="9" t="e">
        <f>IF(OR(Data!B223="",Data!#REF!=""),"",IF(Data!#REF!="",1,0))</f>
        <v>#REF!</v>
      </c>
      <c r="O223" s="17" t="e">
        <f>IF(Data!#REF!="","",IF(Data!#REF!="",1,0))</f>
        <v>#REF!</v>
      </c>
      <c r="P223" s="17" t="e">
        <f>IF(Data!#REF!="","",IF(ISNUMBER(MATCH(Data!#REF!,Data_Val!$A$2:$A$3,0)),0,1))</f>
        <v>#REF!</v>
      </c>
      <c r="Q223" s="25" t="e">
        <f ca="1">IF(Data!#REF!="","",IF(ISNUMBER(Data!#REF!),IF(AND(Data!#REF!&gt;(TODAY()-(Data_Val!$J$3*365.25)),Data!#REF!&lt;=(TODAY()-(Data_Val!$J$2*365.25))),0,1),1))</f>
        <v>#REF!</v>
      </c>
      <c r="R223" s="17" t="e">
        <f>IF(Data!#REF!="","",IF(ISNUMBER(MATCH(Data!#REF!,Data_Val!$B$2:$B$15,0)),0,1))</f>
        <v>#REF!</v>
      </c>
      <c r="S223" s="11" t="str">
        <f>IF(Data!G223="","",IF(Data!G223=Data_Val!$C$2,IF(Data!M223="",0,1),0))</f>
        <v/>
      </c>
      <c r="T223" s="11" t="str">
        <f>IF(Data!M223="","",IF(ISNUMBER(MATCH(Data!N223,Data_Val!$A$2:$A$3,0)),0,1))</f>
        <v/>
      </c>
      <c r="U223" s="11" t="str">
        <f ca="1">IF(Data!M223="","",IF(ISNUMBER(Data!O223),IF(AND(Data!O223&gt;(TODAY()-(Data_Val!$K$3*365.25)),Data!O223&lt;=(TODAY()-(Data_Val!$K$2*365.25))),0,1),1))</f>
        <v/>
      </c>
      <c r="V223" s="12" t="str">
        <f>IF(Data!G223="","",IF(Data!G223=Data_Val!$C$2,IF(Data!P223="",0,1),0))</f>
        <v/>
      </c>
      <c r="W223" s="12" t="str">
        <f>IF(Data!P223="","",IF(ISNUMBER(MATCH(Data!Q223,Data_Val!$A$2:$A$3,0)),0,1))</f>
        <v/>
      </c>
      <c r="X223" s="26" t="str">
        <f ca="1">IF(Data!P223="","",IF(ISNUMBER(Data!R223),IF(AND(Data!R223&gt;(TODAY()-(Data_Val!$L$3*365.25)),Data!R223&lt;=(TODAY()-(Data_Val!$L$2*365.25))),0,1),1))</f>
        <v/>
      </c>
      <c r="Y223" s="13" t="str">
        <f>IF(Data!$G223="","",IF(Data!$G223=Data_Val!$C$2,IF(Data!S223="",0,1),0))</f>
        <v/>
      </c>
      <c r="Z223" s="13" t="str">
        <f>IF(Data!S223="","",IF(ISNUMBER(MATCH(Data!T223,Data_Val!$A$2:$A$3,0)),0,1))</f>
        <v/>
      </c>
      <c r="AA223" s="28" t="str">
        <f ca="1">IF(Data!S223="","",IF(ISNUMBER(Data!U223),IF(AND(Data!U223&gt;(TODAY()-(Data_Val!$L$3*365.25)),Data!U223&lt;=(TODAY()-(Data_Val!$L$2*365.25))),0,1),1))</f>
        <v/>
      </c>
      <c r="AB223" s="11"/>
      <c r="AC223" s="11" t="e">
        <f>IF(Data!#REF!="","",IF(ISNUMBER(MATCH(Data!#REF!,Data_Val!$A$2:$A$3,0)),0,1))</f>
        <v>#REF!</v>
      </c>
      <c r="AD223" s="11" t="e">
        <f ca="1">IF(Data!#REF!="","",IF(ISNUMBER(Data!#REF!),IF(AND(Data!#REF!&gt;(TODAY()-(Data_Val!$L$3*365.25)),Data!#REF!&lt;=(TODAY()-(Data_Val!$L$2*365.25))),0,1),1))</f>
        <v>#REF!</v>
      </c>
      <c r="AE223" s="11" t="e">
        <f>IF(Data!#REF!="","",IF(Data!$G223="",1,IF(ISNUMBER(MATCH(Data!#REF!,Data_Val!$D$2:$D$10,0)),0,1)))</f>
        <v>#REF!</v>
      </c>
      <c r="AF223" s="12"/>
      <c r="AG223" s="12" t="e">
        <f>IF(Data!#REF!="","",IF(ISNUMBER(MATCH(Data!#REF!,Data_Val!$A$2:$A$3,0)),0,1))</f>
        <v>#REF!</v>
      </c>
      <c r="AH223" s="26" t="e">
        <f ca="1">IF(Data!#REF!="","",IF(ISNUMBER(Data!#REF!),IF(AND(Data!#REF!&gt;(TODAY()-(Data_Val!$L$3*365.25)),Data!#REF!&lt;=(TODAY()-(Data_Val!$L$2*365.25))),0,1),1))</f>
        <v>#REF!</v>
      </c>
      <c r="AI223" s="12" t="e">
        <f>IF(Data!#REF!="","",IF(Data!$G223="",1,IF(ISNUMBER(MATCH(Data!#REF!,Data_Val!$D$2:$D$10,0)),0,1)))</f>
        <v>#REF!</v>
      </c>
      <c r="AJ223" s="17"/>
      <c r="AK223" s="17" t="e">
        <f>IF(Data!#REF!="","",IF(ISNUMBER(MATCH(Data!#REF!,Data_Val!$A$2:$A$3,0)),0,1))</f>
        <v>#REF!</v>
      </c>
      <c r="AL223" s="25" t="e">
        <f ca="1">IF(Data!#REF!="","",IF(ISNUMBER(Data!#REF!),IF(AND(Data!#REF!&gt;(TODAY()-(Data_Val!$L$3*365.25)),Data!#REF!&lt;=(TODAY()-(Data_Val!$L$2*365.25))),0,1),1))</f>
        <v>#REF!</v>
      </c>
      <c r="AM223" s="17" t="e">
        <f>IF(Data!#REF!="","",IF(Data!$G223="",1,IF(ISNUMBER(MATCH(Data!#REF!,Data_Val!$D$2:$D$10,0)),0,1)))</f>
        <v>#REF!</v>
      </c>
      <c r="AN223" s="13"/>
      <c r="AO223" s="28" t="e">
        <f ca="1">IF(Data!#REF!="","",IF(ISNUMBER(Data!#REF!),IF(AND(Data!#REF!&gt;(TODAY()-(Data_Val!$I$3*365.25)),Data!#REF!&lt;=(TODAY()-(Data_Val!$I$2*365.25))),0,1),1))</f>
        <v>#REF!</v>
      </c>
      <c r="AP223" s="13" t="e">
        <f>IF(Data!#REF!="","",IF(Data!$G223="",1,IF(ISNUMBER(MATCH(Data!#REF!,Data_Val!$D$2:$D$10,0)),0,1)))</f>
        <v>#REF!</v>
      </c>
      <c r="AQ223" s="17"/>
      <c r="AR223" s="30" t="e">
        <f ca="1">IF(Data!#REF!="","",IF(ISNUMBER(Data!#REF!),IF(AND(Data!#REF!&gt;(TODAY()-(Data_Val!$I$3*365.25)),Data!#REF!&lt;=(TODAY()-(Data_Val!$I$2*365.25))),0,1),1))</f>
        <v>#REF!</v>
      </c>
      <c r="AS223" s="31" t="e">
        <f>IF(Data!#REF!="","",IF(Data!$G223="",1,IF(ISNUMBER(MATCH(Data!#REF!,Data_Val!$D$2:$D$10,0)),0,1)))</f>
        <v>#REF!</v>
      </c>
      <c r="AT223" s="11"/>
      <c r="AU223" s="11" t="e">
        <f ca="1">IF(Data!#REF!="","",IF(ISNUMBER(Data!#REF!),IF(AND(Data!#REF!&gt;(TODAY()-(Data_Val!$I$3*365.25)),Data!#REF!&lt;=(TODAY()-(Data_Val!$I$2*365.25))),0,1),1))</f>
        <v>#REF!</v>
      </c>
      <c r="AV223" s="11" t="e">
        <f>IF(Data!#REF!="","",IF(Data!$G223="",1,IF(ISNUMBER(MATCH(Data!#REF!,Data_Val!$D$2:$D$10,0)),0,1)))</f>
        <v>#REF!</v>
      </c>
      <c r="AW223" s="12"/>
      <c r="AX223" s="26" t="e">
        <f ca="1">IF(Data!#REF!="","",IF(ISNUMBER(Data!#REF!),IF(AND(Data!#REF!&gt;(TODAY()-(Data_Val!$I$3*365.25)),Data!#REF!&lt;=(TODAY()-(Data_Val!$I$2*365.25))),0,1),1))</f>
        <v>#REF!</v>
      </c>
      <c r="AY223" s="12" t="e">
        <f>IF(Data!#REF!="","",IF(Data!$G223="",1,IF(ISNUMBER(MATCH(Data!#REF!,Data_Val!$D$2:$D$10,0)),0,1)))</f>
        <v>#REF!</v>
      </c>
      <c r="AZ223" s="11"/>
      <c r="BA223" s="19" t="e">
        <f ca="1">IF(Data!#REF!="","",IF(ISNUMBER(Data!#REF!),IF(AND(Data!#REF!&gt;(TODAY()-(Data_Val!$M$3*365.25)),Data!#REF!&lt;=(TODAY()-(Data_Val!$M$2*365.25))),0,1),1))</f>
        <v>#REF!</v>
      </c>
      <c r="BB223" s="11" t="e">
        <f>IF(Data!#REF!="","",IF(Data!$G223="",1,IF(ISNUMBER(MATCH(Data!#REF!,Data_Val!$D$2:$D$10,0)),0,1)))</f>
        <v>#REF!</v>
      </c>
      <c r="BC223" s="12"/>
      <c r="BD223" s="20" t="e">
        <f ca="1">IF(Data!#REF!="","",IF(ISNUMBER(Data!#REF!),IF(AND(Data!#REF!&gt;(TODAY()-(Data_Val!$M$3*365.25)),Data!#REF!&lt;=(TODAY()-(Data_Val!$M$2*365.25))),0,1),1))</f>
        <v>#REF!</v>
      </c>
      <c r="BE223" s="12" t="e">
        <f>IF(Data!#REF!="","",IF(Data!$G223="",1,IF(ISNUMBER(MATCH(Data!#REF!,Data_Val!$D$2:$D$10,0)),0,1)))</f>
        <v>#REF!</v>
      </c>
      <c r="BF223" s="17"/>
      <c r="BG223" s="18" t="e">
        <f ca="1">IF(Data!#REF!="","",IF(ISNUMBER(Data!#REF!),IF(AND(Data!#REF!&gt;(TODAY()-(Data_Val!$M$3*365.25)),Data!#REF!&lt;=(TODAY()-(Data_Val!$M$2*365.25))),0,1),1))</f>
        <v>#REF!</v>
      </c>
      <c r="BH223" s="29" t="e">
        <f>IF(Data!#REF!="","",IF(Data!$G223="",1,IF(ISNUMBER(MATCH(Data!#REF!,Data_Val!$D$2:$D$10,0)),0,1)))</f>
        <v>#REF!</v>
      </c>
      <c r="BI223" s="13"/>
      <c r="BJ223" s="21" t="e">
        <f ca="1">IF(Data!#REF!="","",IF(ISNUMBER(Data!#REF!),IF(AND(Data!#REF!&gt;(TODAY()-(Data_Val!$M$3*365.25)),Data!#REF!&lt;=(TODAY()-(Data_Val!$M$2*365.25))),0,1),1))</f>
        <v>#REF!</v>
      </c>
      <c r="BK223" s="13" t="e">
        <f>IF(Data!#REF!="","",IF(Data!$G223="",1,IF(ISNUMBER(MATCH(Data!#REF!,Data_Val!$D$2:$D$10,0)),0,1)))</f>
        <v>#REF!</v>
      </c>
    </row>
    <row r="224" spans="1:63" x14ac:dyDescent="0.25">
      <c r="A224" s="9" t="str">
        <f>IF(Data!B224="","",IF(COUNTIFS(Data!A$1:'Data'!A224,Data!A224)&lt;=1,0,1))</f>
        <v/>
      </c>
      <c r="B224" s="9"/>
      <c r="C224" s="23" t="str">
        <f>IF(Data!C224="","",(IF(ISNUMBER(MATCH("*@*.?*",Data!C224,0)),0,1)+IF(COUNTIFS(Data!C$1:'Data'!C224,Data!C224)&gt;1,1,0)))</f>
        <v/>
      </c>
      <c r="D224" s="9" t="str">
        <f>IF(Data!B224="","",IF(ISNUMBER(Data!D224),IF(AND(Data!D224&gt;999999999,Data!D224&lt;=9999999999),IF(COUNTIFS(Data!D$1:'Data'!D224,Data!D224)&lt;=1,0,1),1),1))</f>
        <v/>
      </c>
      <c r="E224" s="9" t="str">
        <f>IF(Data!B224="","",IF(ISNUMBER(MATCH(Data!E224,Data_Val!$A$2:$A$3,0)),0,1))</f>
        <v/>
      </c>
      <c r="F224" s="9" t="str">
        <f ca="1">IF(Data!B224="","",IF(ISNUMBER(Data!F224),IF(AND(Data!F224&gt;(TODAY()-(Data_Val!$H$3*365.25)),Data!F224&lt;=(TODAY()-(Data_Val!$H$2*365.25))),0,1),1))</f>
        <v/>
      </c>
      <c r="G224" s="15" t="str">
        <f>IF(Data!B224="","",IF(AND(Data!G224="",Data!H224&lt;&gt;""),1,IF(Data!#REF!&lt;&gt;"",0,IF(ISNUMBER(MATCH(Data!G224,Data_Val!$C$2:$C$5,0)),0,1))))</f>
        <v/>
      </c>
      <c r="H224" s="15" t="str">
        <f>IF(Data!B224="","",IF(AND(Data!G224&lt;&gt;"",Data!H224=""),1,IF(Data!#REF!&lt;&gt;"",0,IF(Data!G224="",1,IF(ISNUMBER(MATCH(Data!H224,Data_Val!$D$2:$D$35,0)),0,1)))))</f>
        <v/>
      </c>
      <c r="I224" s="15" t="str">
        <f>IF(Data!B224="","",IF(Data!G224&lt;&gt;"",0,IF(ISNUMBER(MATCH(Data!#REF!,Data_Val!$E$2:$E$12,0)),0,1)))</f>
        <v/>
      </c>
      <c r="J224" s="16" t="e">
        <f>IF(OR(Data!B224="",Data!#REF!=""),"",IF(Data!#REF!="",1,0))</f>
        <v>#REF!</v>
      </c>
      <c r="K224" s="16" t="e">
        <f>IF(OR(Data!B224="",Data!#REF!=""),"",IF(Data!#REF!="",1,0))</f>
        <v>#REF!</v>
      </c>
      <c r="L224" s="16" t="e">
        <f>IF(OR(Data!B224="",Data!#REF!=""),"",IF(ISNUMBER(Data!#REF!),IF(AND(Data!#REF!&gt;Data_Val!$G$2,Data!#REF!&lt;=Data_Val!$G$3),0,1),1))</f>
        <v>#REF!</v>
      </c>
      <c r="M224" s="9" t="e">
        <f>IF(OR(Data!B224="",Data!#REF!=""),"",IF(ISNUMBER(MATCH(Data!#REF!,Data_Val!$F$1:$F$38,0)),0,1))</f>
        <v>#REF!</v>
      </c>
      <c r="N224" s="9" t="e">
        <f>IF(OR(Data!B224="",Data!#REF!=""),"",IF(Data!#REF!="",1,0))</f>
        <v>#REF!</v>
      </c>
      <c r="O224" s="17" t="e">
        <f>IF(Data!#REF!="","",IF(Data!#REF!="",1,0))</f>
        <v>#REF!</v>
      </c>
      <c r="P224" s="17" t="e">
        <f>IF(Data!#REF!="","",IF(ISNUMBER(MATCH(Data!#REF!,Data_Val!$A$2:$A$3,0)),0,1))</f>
        <v>#REF!</v>
      </c>
      <c r="Q224" s="25" t="e">
        <f ca="1">IF(Data!#REF!="","",IF(ISNUMBER(Data!#REF!),IF(AND(Data!#REF!&gt;(TODAY()-(Data_Val!$J$3*365.25)),Data!#REF!&lt;=(TODAY()-(Data_Val!$J$2*365.25))),0,1),1))</f>
        <v>#REF!</v>
      </c>
      <c r="R224" s="17" t="e">
        <f>IF(Data!#REF!="","",IF(ISNUMBER(MATCH(Data!#REF!,Data_Val!$B$2:$B$15,0)),0,1))</f>
        <v>#REF!</v>
      </c>
      <c r="S224" s="11" t="str">
        <f>IF(Data!G224="","",IF(Data!G224=Data_Val!$C$2,IF(Data!M224="",0,1),0))</f>
        <v/>
      </c>
      <c r="T224" s="11" t="str">
        <f>IF(Data!M224="","",IF(ISNUMBER(MATCH(Data!N224,Data_Val!$A$2:$A$3,0)),0,1))</f>
        <v/>
      </c>
      <c r="U224" s="11" t="str">
        <f ca="1">IF(Data!M224="","",IF(ISNUMBER(Data!O224),IF(AND(Data!O224&gt;(TODAY()-(Data_Val!$K$3*365.25)),Data!O224&lt;=(TODAY()-(Data_Val!$K$2*365.25))),0,1),1))</f>
        <v/>
      </c>
      <c r="V224" s="12" t="str">
        <f>IF(Data!G224="","",IF(Data!G224=Data_Val!$C$2,IF(Data!P224="",0,1),0))</f>
        <v/>
      </c>
      <c r="W224" s="12" t="str">
        <f>IF(Data!P224="","",IF(ISNUMBER(MATCH(Data!Q224,Data_Val!$A$2:$A$3,0)),0,1))</f>
        <v/>
      </c>
      <c r="X224" s="26" t="str">
        <f ca="1">IF(Data!P224="","",IF(ISNUMBER(Data!R224),IF(AND(Data!R224&gt;(TODAY()-(Data_Val!$L$3*365.25)),Data!R224&lt;=(TODAY()-(Data_Val!$L$2*365.25))),0,1),1))</f>
        <v/>
      </c>
      <c r="Y224" s="13" t="str">
        <f>IF(Data!$G224="","",IF(Data!$G224=Data_Val!$C$2,IF(Data!S224="",0,1),0))</f>
        <v/>
      </c>
      <c r="Z224" s="13" t="str">
        <f>IF(Data!S224="","",IF(ISNUMBER(MATCH(Data!T224,Data_Val!$A$2:$A$3,0)),0,1))</f>
        <v/>
      </c>
      <c r="AA224" s="28" t="str">
        <f ca="1">IF(Data!S224="","",IF(ISNUMBER(Data!U224),IF(AND(Data!U224&gt;(TODAY()-(Data_Val!$L$3*365.25)),Data!U224&lt;=(TODAY()-(Data_Val!$L$2*365.25))),0,1),1))</f>
        <v/>
      </c>
      <c r="AB224" s="11"/>
      <c r="AC224" s="11" t="e">
        <f>IF(Data!#REF!="","",IF(ISNUMBER(MATCH(Data!#REF!,Data_Val!$A$2:$A$3,0)),0,1))</f>
        <v>#REF!</v>
      </c>
      <c r="AD224" s="11" t="e">
        <f ca="1">IF(Data!#REF!="","",IF(ISNUMBER(Data!#REF!),IF(AND(Data!#REF!&gt;(TODAY()-(Data_Val!$L$3*365.25)),Data!#REF!&lt;=(TODAY()-(Data_Val!$L$2*365.25))),0,1),1))</f>
        <v>#REF!</v>
      </c>
      <c r="AE224" s="11" t="e">
        <f>IF(Data!#REF!="","",IF(Data!$G224="",1,IF(ISNUMBER(MATCH(Data!#REF!,Data_Val!$D$2:$D$10,0)),0,1)))</f>
        <v>#REF!</v>
      </c>
      <c r="AF224" s="12"/>
      <c r="AG224" s="12" t="e">
        <f>IF(Data!#REF!="","",IF(ISNUMBER(MATCH(Data!#REF!,Data_Val!$A$2:$A$3,0)),0,1))</f>
        <v>#REF!</v>
      </c>
      <c r="AH224" s="26" t="e">
        <f ca="1">IF(Data!#REF!="","",IF(ISNUMBER(Data!#REF!),IF(AND(Data!#REF!&gt;(TODAY()-(Data_Val!$L$3*365.25)),Data!#REF!&lt;=(TODAY()-(Data_Val!$L$2*365.25))),0,1),1))</f>
        <v>#REF!</v>
      </c>
      <c r="AI224" s="12" t="e">
        <f>IF(Data!#REF!="","",IF(Data!$G224="",1,IF(ISNUMBER(MATCH(Data!#REF!,Data_Val!$D$2:$D$10,0)),0,1)))</f>
        <v>#REF!</v>
      </c>
      <c r="AJ224" s="17"/>
      <c r="AK224" s="17" t="e">
        <f>IF(Data!#REF!="","",IF(ISNUMBER(MATCH(Data!#REF!,Data_Val!$A$2:$A$3,0)),0,1))</f>
        <v>#REF!</v>
      </c>
      <c r="AL224" s="25" t="e">
        <f ca="1">IF(Data!#REF!="","",IF(ISNUMBER(Data!#REF!),IF(AND(Data!#REF!&gt;(TODAY()-(Data_Val!$L$3*365.25)),Data!#REF!&lt;=(TODAY()-(Data_Val!$L$2*365.25))),0,1),1))</f>
        <v>#REF!</v>
      </c>
      <c r="AM224" s="17" t="e">
        <f>IF(Data!#REF!="","",IF(Data!$G224="",1,IF(ISNUMBER(MATCH(Data!#REF!,Data_Val!$D$2:$D$10,0)),0,1)))</f>
        <v>#REF!</v>
      </c>
      <c r="AN224" s="13"/>
      <c r="AO224" s="28" t="e">
        <f ca="1">IF(Data!#REF!="","",IF(ISNUMBER(Data!#REF!),IF(AND(Data!#REF!&gt;(TODAY()-(Data_Val!$I$3*365.25)),Data!#REF!&lt;=(TODAY()-(Data_Val!$I$2*365.25))),0,1),1))</f>
        <v>#REF!</v>
      </c>
      <c r="AP224" s="13" t="e">
        <f>IF(Data!#REF!="","",IF(Data!$G224="",1,IF(ISNUMBER(MATCH(Data!#REF!,Data_Val!$D$2:$D$10,0)),0,1)))</f>
        <v>#REF!</v>
      </c>
      <c r="AQ224" s="17"/>
      <c r="AR224" s="30" t="e">
        <f ca="1">IF(Data!#REF!="","",IF(ISNUMBER(Data!#REF!),IF(AND(Data!#REF!&gt;(TODAY()-(Data_Val!$I$3*365.25)),Data!#REF!&lt;=(TODAY()-(Data_Val!$I$2*365.25))),0,1),1))</f>
        <v>#REF!</v>
      </c>
      <c r="AS224" s="31" t="e">
        <f>IF(Data!#REF!="","",IF(Data!$G224="",1,IF(ISNUMBER(MATCH(Data!#REF!,Data_Val!$D$2:$D$10,0)),0,1)))</f>
        <v>#REF!</v>
      </c>
      <c r="AT224" s="11"/>
      <c r="AU224" s="11" t="e">
        <f ca="1">IF(Data!#REF!="","",IF(ISNUMBER(Data!#REF!),IF(AND(Data!#REF!&gt;(TODAY()-(Data_Val!$I$3*365.25)),Data!#REF!&lt;=(TODAY()-(Data_Val!$I$2*365.25))),0,1),1))</f>
        <v>#REF!</v>
      </c>
      <c r="AV224" s="11" t="e">
        <f>IF(Data!#REF!="","",IF(Data!$G224="",1,IF(ISNUMBER(MATCH(Data!#REF!,Data_Val!$D$2:$D$10,0)),0,1)))</f>
        <v>#REF!</v>
      </c>
      <c r="AW224" s="12"/>
      <c r="AX224" s="26" t="e">
        <f ca="1">IF(Data!#REF!="","",IF(ISNUMBER(Data!#REF!),IF(AND(Data!#REF!&gt;(TODAY()-(Data_Val!$I$3*365.25)),Data!#REF!&lt;=(TODAY()-(Data_Val!$I$2*365.25))),0,1),1))</f>
        <v>#REF!</v>
      </c>
      <c r="AY224" s="12" t="e">
        <f>IF(Data!#REF!="","",IF(Data!$G224="",1,IF(ISNUMBER(MATCH(Data!#REF!,Data_Val!$D$2:$D$10,0)),0,1)))</f>
        <v>#REF!</v>
      </c>
      <c r="AZ224" s="11"/>
      <c r="BA224" s="19" t="e">
        <f ca="1">IF(Data!#REF!="","",IF(ISNUMBER(Data!#REF!),IF(AND(Data!#REF!&gt;(TODAY()-(Data_Val!$M$3*365.25)),Data!#REF!&lt;=(TODAY()-(Data_Val!$M$2*365.25))),0,1),1))</f>
        <v>#REF!</v>
      </c>
      <c r="BB224" s="11" t="e">
        <f>IF(Data!#REF!="","",IF(Data!$G224="",1,IF(ISNUMBER(MATCH(Data!#REF!,Data_Val!$D$2:$D$10,0)),0,1)))</f>
        <v>#REF!</v>
      </c>
      <c r="BC224" s="12"/>
      <c r="BD224" s="20" t="e">
        <f ca="1">IF(Data!#REF!="","",IF(ISNUMBER(Data!#REF!),IF(AND(Data!#REF!&gt;(TODAY()-(Data_Val!$M$3*365.25)),Data!#REF!&lt;=(TODAY()-(Data_Val!$M$2*365.25))),0,1),1))</f>
        <v>#REF!</v>
      </c>
      <c r="BE224" s="12" t="e">
        <f>IF(Data!#REF!="","",IF(Data!$G224="",1,IF(ISNUMBER(MATCH(Data!#REF!,Data_Val!$D$2:$D$10,0)),0,1)))</f>
        <v>#REF!</v>
      </c>
      <c r="BF224" s="17"/>
      <c r="BG224" s="18" t="e">
        <f ca="1">IF(Data!#REF!="","",IF(ISNUMBER(Data!#REF!),IF(AND(Data!#REF!&gt;(TODAY()-(Data_Val!$M$3*365.25)),Data!#REF!&lt;=(TODAY()-(Data_Val!$M$2*365.25))),0,1),1))</f>
        <v>#REF!</v>
      </c>
      <c r="BH224" s="29" t="e">
        <f>IF(Data!#REF!="","",IF(Data!$G224="",1,IF(ISNUMBER(MATCH(Data!#REF!,Data_Val!$D$2:$D$10,0)),0,1)))</f>
        <v>#REF!</v>
      </c>
      <c r="BI224" s="13"/>
      <c r="BJ224" s="21" t="e">
        <f ca="1">IF(Data!#REF!="","",IF(ISNUMBER(Data!#REF!),IF(AND(Data!#REF!&gt;(TODAY()-(Data_Val!$M$3*365.25)),Data!#REF!&lt;=(TODAY()-(Data_Val!$M$2*365.25))),0,1),1))</f>
        <v>#REF!</v>
      </c>
      <c r="BK224" s="13" t="e">
        <f>IF(Data!#REF!="","",IF(Data!$G224="",1,IF(ISNUMBER(MATCH(Data!#REF!,Data_Val!$D$2:$D$10,0)),0,1)))</f>
        <v>#REF!</v>
      </c>
    </row>
    <row r="225" spans="1:63" x14ac:dyDescent="0.25">
      <c r="A225" s="9" t="str">
        <f>IF(Data!B225="","",IF(COUNTIFS(Data!A$1:'Data'!A225,Data!A225)&lt;=1,0,1))</f>
        <v/>
      </c>
      <c r="B225" s="9"/>
      <c r="C225" s="23" t="str">
        <f>IF(Data!C225="","",(IF(ISNUMBER(MATCH("*@*.?*",Data!C225,0)),0,1)+IF(COUNTIFS(Data!C$1:'Data'!C225,Data!C225)&gt;1,1,0)))</f>
        <v/>
      </c>
      <c r="D225" s="9" t="str">
        <f>IF(Data!B225="","",IF(ISNUMBER(Data!D225),IF(AND(Data!D225&gt;999999999,Data!D225&lt;=9999999999),IF(COUNTIFS(Data!D$1:'Data'!D225,Data!D225)&lt;=1,0,1),1),1))</f>
        <v/>
      </c>
      <c r="E225" s="9" t="str">
        <f>IF(Data!B225="","",IF(ISNUMBER(MATCH(Data!E225,Data_Val!$A$2:$A$3,0)),0,1))</f>
        <v/>
      </c>
      <c r="F225" s="9" t="str">
        <f ca="1">IF(Data!B225="","",IF(ISNUMBER(Data!F225),IF(AND(Data!F225&gt;(TODAY()-(Data_Val!$H$3*365.25)),Data!F225&lt;=(TODAY()-(Data_Val!$H$2*365.25))),0,1),1))</f>
        <v/>
      </c>
      <c r="G225" s="15" t="str">
        <f>IF(Data!B225="","",IF(AND(Data!G225="",Data!H225&lt;&gt;""),1,IF(Data!#REF!&lt;&gt;"",0,IF(ISNUMBER(MATCH(Data!G225,Data_Val!$C$2:$C$5,0)),0,1))))</f>
        <v/>
      </c>
      <c r="H225" s="15" t="str">
        <f>IF(Data!B225="","",IF(AND(Data!G225&lt;&gt;"",Data!H225=""),1,IF(Data!#REF!&lt;&gt;"",0,IF(Data!G225="",1,IF(ISNUMBER(MATCH(Data!H225,Data_Val!$D$2:$D$35,0)),0,1)))))</f>
        <v/>
      </c>
      <c r="I225" s="15" t="str">
        <f>IF(Data!B225="","",IF(Data!G225&lt;&gt;"",0,IF(ISNUMBER(MATCH(Data!#REF!,Data_Val!$E$2:$E$12,0)),0,1)))</f>
        <v/>
      </c>
      <c r="J225" s="16" t="e">
        <f>IF(OR(Data!B225="",Data!#REF!=""),"",IF(Data!#REF!="",1,0))</f>
        <v>#REF!</v>
      </c>
      <c r="K225" s="16" t="e">
        <f>IF(OR(Data!B225="",Data!#REF!=""),"",IF(Data!#REF!="",1,0))</f>
        <v>#REF!</v>
      </c>
      <c r="L225" s="16" t="e">
        <f>IF(OR(Data!B225="",Data!#REF!=""),"",IF(ISNUMBER(Data!#REF!),IF(AND(Data!#REF!&gt;Data_Val!$G$2,Data!#REF!&lt;=Data_Val!$G$3),0,1),1))</f>
        <v>#REF!</v>
      </c>
      <c r="M225" s="9" t="e">
        <f>IF(OR(Data!B225="",Data!#REF!=""),"",IF(ISNUMBER(MATCH(Data!#REF!,Data_Val!$F$1:$F$38,0)),0,1))</f>
        <v>#REF!</v>
      </c>
      <c r="N225" s="9" t="e">
        <f>IF(OR(Data!B225="",Data!#REF!=""),"",IF(Data!#REF!="",1,0))</f>
        <v>#REF!</v>
      </c>
      <c r="O225" s="17" t="e">
        <f>IF(Data!#REF!="","",IF(Data!#REF!="",1,0))</f>
        <v>#REF!</v>
      </c>
      <c r="P225" s="17" t="e">
        <f>IF(Data!#REF!="","",IF(ISNUMBER(MATCH(Data!#REF!,Data_Val!$A$2:$A$3,0)),0,1))</f>
        <v>#REF!</v>
      </c>
      <c r="Q225" s="25" t="e">
        <f ca="1">IF(Data!#REF!="","",IF(ISNUMBER(Data!#REF!),IF(AND(Data!#REF!&gt;(TODAY()-(Data_Val!$J$3*365.25)),Data!#REF!&lt;=(TODAY()-(Data_Val!$J$2*365.25))),0,1),1))</f>
        <v>#REF!</v>
      </c>
      <c r="R225" s="17" t="e">
        <f>IF(Data!#REF!="","",IF(ISNUMBER(MATCH(Data!#REF!,Data_Val!$B$2:$B$15,0)),0,1))</f>
        <v>#REF!</v>
      </c>
      <c r="S225" s="11" t="str">
        <f>IF(Data!G225="","",IF(Data!G225=Data_Val!$C$2,IF(Data!M225="",0,1),0))</f>
        <v/>
      </c>
      <c r="T225" s="11" t="str">
        <f>IF(Data!M225="","",IF(ISNUMBER(MATCH(Data!N225,Data_Val!$A$2:$A$3,0)),0,1))</f>
        <v/>
      </c>
      <c r="U225" s="11" t="str">
        <f ca="1">IF(Data!M225="","",IF(ISNUMBER(Data!O225),IF(AND(Data!O225&gt;(TODAY()-(Data_Val!$K$3*365.25)),Data!O225&lt;=(TODAY()-(Data_Val!$K$2*365.25))),0,1),1))</f>
        <v/>
      </c>
      <c r="V225" s="12" t="str">
        <f>IF(Data!G225="","",IF(Data!G225=Data_Val!$C$2,IF(Data!P225="",0,1),0))</f>
        <v/>
      </c>
      <c r="W225" s="12" t="str">
        <f>IF(Data!P225="","",IF(ISNUMBER(MATCH(Data!Q225,Data_Val!$A$2:$A$3,0)),0,1))</f>
        <v/>
      </c>
      <c r="X225" s="26" t="str">
        <f ca="1">IF(Data!P225="","",IF(ISNUMBER(Data!R225),IF(AND(Data!R225&gt;(TODAY()-(Data_Val!$L$3*365.25)),Data!R225&lt;=(TODAY()-(Data_Val!$L$2*365.25))),0,1),1))</f>
        <v/>
      </c>
      <c r="Y225" s="13" t="str">
        <f>IF(Data!$G225="","",IF(Data!$G225=Data_Val!$C$2,IF(Data!S225="",0,1),0))</f>
        <v/>
      </c>
      <c r="Z225" s="13" t="str">
        <f>IF(Data!S225="","",IF(ISNUMBER(MATCH(Data!T225,Data_Val!$A$2:$A$3,0)),0,1))</f>
        <v/>
      </c>
      <c r="AA225" s="28" t="str">
        <f ca="1">IF(Data!S225="","",IF(ISNUMBER(Data!U225),IF(AND(Data!U225&gt;(TODAY()-(Data_Val!$L$3*365.25)),Data!U225&lt;=(TODAY()-(Data_Val!$L$2*365.25))),0,1),1))</f>
        <v/>
      </c>
      <c r="AB225" s="11"/>
      <c r="AC225" s="11" t="e">
        <f>IF(Data!#REF!="","",IF(ISNUMBER(MATCH(Data!#REF!,Data_Val!$A$2:$A$3,0)),0,1))</f>
        <v>#REF!</v>
      </c>
      <c r="AD225" s="11" t="e">
        <f ca="1">IF(Data!#REF!="","",IF(ISNUMBER(Data!#REF!),IF(AND(Data!#REF!&gt;(TODAY()-(Data_Val!$L$3*365.25)),Data!#REF!&lt;=(TODAY()-(Data_Val!$L$2*365.25))),0,1),1))</f>
        <v>#REF!</v>
      </c>
      <c r="AE225" s="11" t="e">
        <f>IF(Data!#REF!="","",IF(Data!$G225="",1,IF(ISNUMBER(MATCH(Data!#REF!,Data_Val!$D$2:$D$10,0)),0,1)))</f>
        <v>#REF!</v>
      </c>
      <c r="AF225" s="12"/>
      <c r="AG225" s="12" t="e">
        <f>IF(Data!#REF!="","",IF(ISNUMBER(MATCH(Data!#REF!,Data_Val!$A$2:$A$3,0)),0,1))</f>
        <v>#REF!</v>
      </c>
      <c r="AH225" s="26" t="e">
        <f ca="1">IF(Data!#REF!="","",IF(ISNUMBER(Data!#REF!),IF(AND(Data!#REF!&gt;(TODAY()-(Data_Val!$L$3*365.25)),Data!#REF!&lt;=(TODAY()-(Data_Val!$L$2*365.25))),0,1),1))</f>
        <v>#REF!</v>
      </c>
      <c r="AI225" s="12" t="e">
        <f>IF(Data!#REF!="","",IF(Data!$G225="",1,IF(ISNUMBER(MATCH(Data!#REF!,Data_Val!$D$2:$D$10,0)),0,1)))</f>
        <v>#REF!</v>
      </c>
      <c r="AJ225" s="17"/>
      <c r="AK225" s="17" t="e">
        <f>IF(Data!#REF!="","",IF(ISNUMBER(MATCH(Data!#REF!,Data_Val!$A$2:$A$3,0)),0,1))</f>
        <v>#REF!</v>
      </c>
      <c r="AL225" s="25" t="e">
        <f ca="1">IF(Data!#REF!="","",IF(ISNUMBER(Data!#REF!),IF(AND(Data!#REF!&gt;(TODAY()-(Data_Val!$L$3*365.25)),Data!#REF!&lt;=(TODAY()-(Data_Val!$L$2*365.25))),0,1),1))</f>
        <v>#REF!</v>
      </c>
      <c r="AM225" s="17" t="e">
        <f>IF(Data!#REF!="","",IF(Data!$G225="",1,IF(ISNUMBER(MATCH(Data!#REF!,Data_Val!$D$2:$D$10,0)),0,1)))</f>
        <v>#REF!</v>
      </c>
      <c r="AN225" s="13"/>
      <c r="AO225" s="28" t="e">
        <f ca="1">IF(Data!#REF!="","",IF(ISNUMBER(Data!#REF!),IF(AND(Data!#REF!&gt;(TODAY()-(Data_Val!$I$3*365.25)),Data!#REF!&lt;=(TODAY()-(Data_Val!$I$2*365.25))),0,1),1))</f>
        <v>#REF!</v>
      </c>
      <c r="AP225" s="13" t="e">
        <f>IF(Data!#REF!="","",IF(Data!$G225="",1,IF(ISNUMBER(MATCH(Data!#REF!,Data_Val!$D$2:$D$10,0)),0,1)))</f>
        <v>#REF!</v>
      </c>
      <c r="AQ225" s="17"/>
      <c r="AR225" s="30" t="e">
        <f ca="1">IF(Data!#REF!="","",IF(ISNUMBER(Data!#REF!),IF(AND(Data!#REF!&gt;(TODAY()-(Data_Val!$I$3*365.25)),Data!#REF!&lt;=(TODAY()-(Data_Val!$I$2*365.25))),0,1),1))</f>
        <v>#REF!</v>
      </c>
      <c r="AS225" s="31" t="e">
        <f>IF(Data!#REF!="","",IF(Data!$G225="",1,IF(ISNUMBER(MATCH(Data!#REF!,Data_Val!$D$2:$D$10,0)),0,1)))</f>
        <v>#REF!</v>
      </c>
      <c r="AT225" s="11"/>
      <c r="AU225" s="11" t="e">
        <f ca="1">IF(Data!#REF!="","",IF(ISNUMBER(Data!#REF!),IF(AND(Data!#REF!&gt;(TODAY()-(Data_Val!$I$3*365.25)),Data!#REF!&lt;=(TODAY()-(Data_Val!$I$2*365.25))),0,1),1))</f>
        <v>#REF!</v>
      </c>
      <c r="AV225" s="11" t="e">
        <f>IF(Data!#REF!="","",IF(Data!$G225="",1,IF(ISNUMBER(MATCH(Data!#REF!,Data_Val!$D$2:$D$10,0)),0,1)))</f>
        <v>#REF!</v>
      </c>
      <c r="AW225" s="12"/>
      <c r="AX225" s="26" t="e">
        <f ca="1">IF(Data!#REF!="","",IF(ISNUMBER(Data!#REF!),IF(AND(Data!#REF!&gt;(TODAY()-(Data_Val!$I$3*365.25)),Data!#REF!&lt;=(TODAY()-(Data_Val!$I$2*365.25))),0,1),1))</f>
        <v>#REF!</v>
      </c>
      <c r="AY225" s="12" t="e">
        <f>IF(Data!#REF!="","",IF(Data!$G225="",1,IF(ISNUMBER(MATCH(Data!#REF!,Data_Val!$D$2:$D$10,0)),0,1)))</f>
        <v>#REF!</v>
      </c>
      <c r="AZ225" s="11"/>
      <c r="BA225" s="19" t="e">
        <f ca="1">IF(Data!#REF!="","",IF(ISNUMBER(Data!#REF!),IF(AND(Data!#REF!&gt;(TODAY()-(Data_Val!$M$3*365.25)),Data!#REF!&lt;=(TODAY()-(Data_Val!$M$2*365.25))),0,1),1))</f>
        <v>#REF!</v>
      </c>
      <c r="BB225" s="11" t="e">
        <f>IF(Data!#REF!="","",IF(Data!$G225="",1,IF(ISNUMBER(MATCH(Data!#REF!,Data_Val!$D$2:$D$10,0)),0,1)))</f>
        <v>#REF!</v>
      </c>
      <c r="BC225" s="12"/>
      <c r="BD225" s="20" t="e">
        <f ca="1">IF(Data!#REF!="","",IF(ISNUMBER(Data!#REF!),IF(AND(Data!#REF!&gt;(TODAY()-(Data_Val!$M$3*365.25)),Data!#REF!&lt;=(TODAY()-(Data_Val!$M$2*365.25))),0,1),1))</f>
        <v>#REF!</v>
      </c>
      <c r="BE225" s="12" t="e">
        <f>IF(Data!#REF!="","",IF(Data!$G225="",1,IF(ISNUMBER(MATCH(Data!#REF!,Data_Val!$D$2:$D$10,0)),0,1)))</f>
        <v>#REF!</v>
      </c>
      <c r="BF225" s="17"/>
      <c r="BG225" s="18" t="e">
        <f ca="1">IF(Data!#REF!="","",IF(ISNUMBER(Data!#REF!),IF(AND(Data!#REF!&gt;(TODAY()-(Data_Val!$M$3*365.25)),Data!#REF!&lt;=(TODAY()-(Data_Val!$M$2*365.25))),0,1),1))</f>
        <v>#REF!</v>
      </c>
      <c r="BH225" s="29" t="e">
        <f>IF(Data!#REF!="","",IF(Data!$G225="",1,IF(ISNUMBER(MATCH(Data!#REF!,Data_Val!$D$2:$D$10,0)),0,1)))</f>
        <v>#REF!</v>
      </c>
      <c r="BI225" s="13"/>
      <c r="BJ225" s="21" t="e">
        <f ca="1">IF(Data!#REF!="","",IF(ISNUMBER(Data!#REF!),IF(AND(Data!#REF!&gt;(TODAY()-(Data_Val!$M$3*365.25)),Data!#REF!&lt;=(TODAY()-(Data_Val!$M$2*365.25))),0,1),1))</f>
        <v>#REF!</v>
      </c>
      <c r="BK225" s="13" t="e">
        <f>IF(Data!#REF!="","",IF(Data!$G225="",1,IF(ISNUMBER(MATCH(Data!#REF!,Data_Val!$D$2:$D$10,0)),0,1)))</f>
        <v>#REF!</v>
      </c>
    </row>
    <row r="226" spans="1:63" x14ac:dyDescent="0.25">
      <c r="A226" s="9" t="str">
        <f>IF(Data!B226="","",IF(COUNTIFS(Data!A$1:'Data'!A226,Data!A226)&lt;=1,0,1))</f>
        <v/>
      </c>
      <c r="B226" s="9"/>
      <c r="C226" s="23" t="str">
        <f>IF(Data!C226="","",(IF(ISNUMBER(MATCH("*@*.?*",Data!C226,0)),0,1)+IF(COUNTIFS(Data!C$1:'Data'!C226,Data!C226)&gt;1,1,0)))</f>
        <v/>
      </c>
      <c r="D226" s="9" t="str">
        <f>IF(Data!B226="","",IF(ISNUMBER(Data!D226),IF(AND(Data!D226&gt;999999999,Data!D226&lt;=9999999999),IF(COUNTIFS(Data!D$1:'Data'!D226,Data!D226)&lt;=1,0,1),1),1))</f>
        <v/>
      </c>
      <c r="E226" s="9" t="str">
        <f>IF(Data!B226="","",IF(ISNUMBER(MATCH(Data!E226,Data_Val!$A$2:$A$3,0)),0,1))</f>
        <v/>
      </c>
      <c r="F226" s="9" t="str">
        <f ca="1">IF(Data!B226="","",IF(ISNUMBER(Data!F226),IF(AND(Data!F226&gt;(TODAY()-(Data_Val!$H$3*365.25)),Data!F226&lt;=(TODAY()-(Data_Val!$H$2*365.25))),0,1),1))</f>
        <v/>
      </c>
      <c r="G226" s="15" t="str">
        <f>IF(Data!B226="","",IF(AND(Data!G226="",Data!H226&lt;&gt;""),1,IF(Data!#REF!&lt;&gt;"",0,IF(ISNUMBER(MATCH(Data!G226,Data_Val!$C$2:$C$5,0)),0,1))))</f>
        <v/>
      </c>
      <c r="H226" s="15" t="str">
        <f>IF(Data!B226="","",IF(AND(Data!G226&lt;&gt;"",Data!H226=""),1,IF(Data!#REF!&lt;&gt;"",0,IF(Data!G226="",1,IF(ISNUMBER(MATCH(Data!H226,Data_Val!$D$2:$D$35,0)),0,1)))))</f>
        <v/>
      </c>
      <c r="I226" s="15" t="str">
        <f>IF(Data!B226="","",IF(Data!G226&lt;&gt;"",0,IF(ISNUMBER(MATCH(Data!#REF!,Data_Val!$E$2:$E$12,0)),0,1)))</f>
        <v/>
      </c>
      <c r="J226" s="16" t="e">
        <f>IF(OR(Data!B226="",Data!#REF!=""),"",IF(Data!#REF!="",1,0))</f>
        <v>#REF!</v>
      </c>
      <c r="K226" s="16" t="e">
        <f>IF(OR(Data!B226="",Data!#REF!=""),"",IF(Data!#REF!="",1,0))</f>
        <v>#REF!</v>
      </c>
      <c r="L226" s="16" t="e">
        <f>IF(OR(Data!B226="",Data!#REF!=""),"",IF(ISNUMBER(Data!#REF!),IF(AND(Data!#REF!&gt;Data_Val!$G$2,Data!#REF!&lt;=Data_Val!$G$3),0,1),1))</f>
        <v>#REF!</v>
      </c>
      <c r="M226" s="9" t="e">
        <f>IF(OR(Data!B226="",Data!#REF!=""),"",IF(ISNUMBER(MATCH(Data!#REF!,Data_Val!$F$1:$F$38,0)),0,1))</f>
        <v>#REF!</v>
      </c>
      <c r="N226" s="9" t="e">
        <f>IF(OR(Data!B226="",Data!#REF!=""),"",IF(Data!#REF!="",1,0))</f>
        <v>#REF!</v>
      </c>
      <c r="O226" s="17" t="e">
        <f>IF(Data!#REF!="","",IF(Data!#REF!="",1,0))</f>
        <v>#REF!</v>
      </c>
      <c r="P226" s="17" t="e">
        <f>IF(Data!#REF!="","",IF(ISNUMBER(MATCH(Data!#REF!,Data_Val!$A$2:$A$3,0)),0,1))</f>
        <v>#REF!</v>
      </c>
      <c r="Q226" s="25" t="e">
        <f ca="1">IF(Data!#REF!="","",IF(ISNUMBER(Data!#REF!),IF(AND(Data!#REF!&gt;(TODAY()-(Data_Val!$J$3*365.25)),Data!#REF!&lt;=(TODAY()-(Data_Val!$J$2*365.25))),0,1),1))</f>
        <v>#REF!</v>
      </c>
      <c r="R226" s="17" t="e">
        <f>IF(Data!#REF!="","",IF(ISNUMBER(MATCH(Data!#REF!,Data_Val!$B$2:$B$15,0)),0,1))</f>
        <v>#REF!</v>
      </c>
      <c r="S226" s="11" t="str">
        <f>IF(Data!G226="","",IF(Data!G226=Data_Val!$C$2,IF(Data!M226="",0,1),0))</f>
        <v/>
      </c>
      <c r="T226" s="11" t="str">
        <f>IF(Data!M226="","",IF(ISNUMBER(MATCH(Data!N226,Data_Val!$A$2:$A$3,0)),0,1))</f>
        <v/>
      </c>
      <c r="U226" s="11" t="str">
        <f ca="1">IF(Data!M226="","",IF(ISNUMBER(Data!O226),IF(AND(Data!O226&gt;(TODAY()-(Data_Val!$K$3*365.25)),Data!O226&lt;=(TODAY()-(Data_Val!$K$2*365.25))),0,1),1))</f>
        <v/>
      </c>
      <c r="V226" s="12" t="str">
        <f>IF(Data!G226="","",IF(Data!G226=Data_Val!$C$2,IF(Data!P226="",0,1),0))</f>
        <v/>
      </c>
      <c r="W226" s="12" t="str">
        <f>IF(Data!P226="","",IF(ISNUMBER(MATCH(Data!Q226,Data_Val!$A$2:$A$3,0)),0,1))</f>
        <v/>
      </c>
      <c r="X226" s="26" t="str">
        <f ca="1">IF(Data!P226="","",IF(ISNUMBER(Data!R226),IF(AND(Data!R226&gt;(TODAY()-(Data_Val!$L$3*365.25)),Data!R226&lt;=(TODAY()-(Data_Val!$L$2*365.25))),0,1),1))</f>
        <v/>
      </c>
      <c r="Y226" s="13" t="str">
        <f>IF(Data!$G226="","",IF(Data!$G226=Data_Val!$C$2,IF(Data!S226="",0,1),0))</f>
        <v/>
      </c>
      <c r="Z226" s="13" t="str">
        <f>IF(Data!S226="","",IF(ISNUMBER(MATCH(Data!T226,Data_Val!$A$2:$A$3,0)),0,1))</f>
        <v/>
      </c>
      <c r="AA226" s="28" t="str">
        <f ca="1">IF(Data!S226="","",IF(ISNUMBER(Data!U226),IF(AND(Data!U226&gt;(TODAY()-(Data_Val!$L$3*365.25)),Data!U226&lt;=(TODAY()-(Data_Val!$L$2*365.25))),0,1),1))</f>
        <v/>
      </c>
      <c r="AB226" s="11"/>
      <c r="AC226" s="11" t="e">
        <f>IF(Data!#REF!="","",IF(ISNUMBER(MATCH(Data!#REF!,Data_Val!$A$2:$A$3,0)),0,1))</f>
        <v>#REF!</v>
      </c>
      <c r="AD226" s="11" t="e">
        <f ca="1">IF(Data!#REF!="","",IF(ISNUMBER(Data!#REF!),IF(AND(Data!#REF!&gt;(TODAY()-(Data_Val!$L$3*365.25)),Data!#REF!&lt;=(TODAY()-(Data_Val!$L$2*365.25))),0,1),1))</f>
        <v>#REF!</v>
      </c>
      <c r="AE226" s="11" t="e">
        <f>IF(Data!#REF!="","",IF(Data!$G226="",1,IF(ISNUMBER(MATCH(Data!#REF!,Data_Val!$D$2:$D$10,0)),0,1)))</f>
        <v>#REF!</v>
      </c>
      <c r="AF226" s="12"/>
      <c r="AG226" s="12" t="e">
        <f>IF(Data!#REF!="","",IF(ISNUMBER(MATCH(Data!#REF!,Data_Val!$A$2:$A$3,0)),0,1))</f>
        <v>#REF!</v>
      </c>
      <c r="AH226" s="26" t="e">
        <f ca="1">IF(Data!#REF!="","",IF(ISNUMBER(Data!#REF!),IF(AND(Data!#REF!&gt;(TODAY()-(Data_Val!$L$3*365.25)),Data!#REF!&lt;=(TODAY()-(Data_Val!$L$2*365.25))),0,1),1))</f>
        <v>#REF!</v>
      </c>
      <c r="AI226" s="12" t="e">
        <f>IF(Data!#REF!="","",IF(Data!$G226="",1,IF(ISNUMBER(MATCH(Data!#REF!,Data_Val!$D$2:$D$10,0)),0,1)))</f>
        <v>#REF!</v>
      </c>
      <c r="AJ226" s="17"/>
      <c r="AK226" s="17" t="e">
        <f>IF(Data!#REF!="","",IF(ISNUMBER(MATCH(Data!#REF!,Data_Val!$A$2:$A$3,0)),0,1))</f>
        <v>#REF!</v>
      </c>
      <c r="AL226" s="25" t="e">
        <f ca="1">IF(Data!#REF!="","",IF(ISNUMBER(Data!#REF!),IF(AND(Data!#REF!&gt;(TODAY()-(Data_Val!$L$3*365.25)),Data!#REF!&lt;=(TODAY()-(Data_Val!$L$2*365.25))),0,1),1))</f>
        <v>#REF!</v>
      </c>
      <c r="AM226" s="17" t="e">
        <f>IF(Data!#REF!="","",IF(Data!$G226="",1,IF(ISNUMBER(MATCH(Data!#REF!,Data_Val!$D$2:$D$10,0)),0,1)))</f>
        <v>#REF!</v>
      </c>
      <c r="AN226" s="13"/>
      <c r="AO226" s="28" t="e">
        <f ca="1">IF(Data!#REF!="","",IF(ISNUMBER(Data!#REF!),IF(AND(Data!#REF!&gt;(TODAY()-(Data_Val!$I$3*365.25)),Data!#REF!&lt;=(TODAY()-(Data_Val!$I$2*365.25))),0,1),1))</f>
        <v>#REF!</v>
      </c>
      <c r="AP226" s="13" t="e">
        <f>IF(Data!#REF!="","",IF(Data!$G226="",1,IF(ISNUMBER(MATCH(Data!#REF!,Data_Val!$D$2:$D$10,0)),0,1)))</f>
        <v>#REF!</v>
      </c>
      <c r="AQ226" s="17"/>
      <c r="AR226" s="30" t="e">
        <f ca="1">IF(Data!#REF!="","",IF(ISNUMBER(Data!#REF!),IF(AND(Data!#REF!&gt;(TODAY()-(Data_Val!$I$3*365.25)),Data!#REF!&lt;=(TODAY()-(Data_Val!$I$2*365.25))),0,1),1))</f>
        <v>#REF!</v>
      </c>
      <c r="AS226" s="31" t="e">
        <f>IF(Data!#REF!="","",IF(Data!$G226="",1,IF(ISNUMBER(MATCH(Data!#REF!,Data_Val!$D$2:$D$10,0)),0,1)))</f>
        <v>#REF!</v>
      </c>
      <c r="AT226" s="11"/>
      <c r="AU226" s="11" t="e">
        <f ca="1">IF(Data!#REF!="","",IF(ISNUMBER(Data!#REF!),IF(AND(Data!#REF!&gt;(TODAY()-(Data_Val!$I$3*365.25)),Data!#REF!&lt;=(TODAY()-(Data_Val!$I$2*365.25))),0,1),1))</f>
        <v>#REF!</v>
      </c>
      <c r="AV226" s="11" t="e">
        <f>IF(Data!#REF!="","",IF(Data!$G226="",1,IF(ISNUMBER(MATCH(Data!#REF!,Data_Val!$D$2:$D$10,0)),0,1)))</f>
        <v>#REF!</v>
      </c>
      <c r="AW226" s="12"/>
      <c r="AX226" s="26" t="e">
        <f ca="1">IF(Data!#REF!="","",IF(ISNUMBER(Data!#REF!),IF(AND(Data!#REF!&gt;(TODAY()-(Data_Val!$I$3*365.25)),Data!#REF!&lt;=(TODAY()-(Data_Val!$I$2*365.25))),0,1),1))</f>
        <v>#REF!</v>
      </c>
      <c r="AY226" s="12" t="e">
        <f>IF(Data!#REF!="","",IF(Data!$G226="",1,IF(ISNUMBER(MATCH(Data!#REF!,Data_Val!$D$2:$D$10,0)),0,1)))</f>
        <v>#REF!</v>
      </c>
      <c r="AZ226" s="11"/>
      <c r="BA226" s="19" t="e">
        <f ca="1">IF(Data!#REF!="","",IF(ISNUMBER(Data!#REF!),IF(AND(Data!#REF!&gt;(TODAY()-(Data_Val!$M$3*365.25)),Data!#REF!&lt;=(TODAY()-(Data_Val!$M$2*365.25))),0,1),1))</f>
        <v>#REF!</v>
      </c>
      <c r="BB226" s="11" t="e">
        <f>IF(Data!#REF!="","",IF(Data!$G226="",1,IF(ISNUMBER(MATCH(Data!#REF!,Data_Val!$D$2:$D$10,0)),0,1)))</f>
        <v>#REF!</v>
      </c>
      <c r="BC226" s="12"/>
      <c r="BD226" s="20" t="e">
        <f ca="1">IF(Data!#REF!="","",IF(ISNUMBER(Data!#REF!),IF(AND(Data!#REF!&gt;(TODAY()-(Data_Val!$M$3*365.25)),Data!#REF!&lt;=(TODAY()-(Data_Val!$M$2*365.25))),0,1),1))</f>
        <v>#REF!</v>
      </c>
      <c r="BE226" s="12" t="e">
        <f>IF(Data!#REF!="","",IF(Data!$G226="",1,IF(ISNUMBER(MATCH(Data!#REF!,Data_Val!$D$2:$D$10,0)),0,1)))</f>
        <v>#REF!</v>
      </c>
      <c r="BF226" s="17"/>
      <c r="BG226" s="18" t="e">
        <f ca="1">IF(Data!#REF!="","",IF(ISNUMBER(Data!#REF!),IF(AND(Data!#REF!&gt;(TODAY()-(Data_Val!$M$3*365.25)),Data!#REF!&lt;=(TODAY()-(Data_Val!$M$2*365.25))),0,1),1))</f>
        <v>#REF!</v>
      </c>
      <c r="BH226" s="29" t="e">
        <f>IF(Data!#REF!="","",IF(Data!$G226="",1,IF(ISNUMBER(MATCH(Data!#REF!,Data_Val!$D$2:$D$10,0)),0,1)))</f>
        <v>#REF!</v>
      </c>
      <c r="BI226" s="13"/>
      <c r="BJ226" s="21" t="e">
        <f ca="1">IF(Data!#REF!="","",IF(ISNUMBER(Data!#REF!),IF(AND(Data!#REF!&gt;(TODAY()-(Data_Val!$M$3*365.25)),Data!#REF!&lt;=(TODAY()-(Data_Val!$M$2*365.25))),0,1),1))</f>
        <v>#REF!</v>
      </c>
      <c r="BK226" s="13" t="e">
        <f>IF(Data!#REF!="","",IF(Data!$G226="",1,IF(ISNUMBER(MATCH(Data!#REF!,Data_Val!$D$2:$D$10,0)),0,1)))</f>
        <v>#REF!</v>
      </c>
    </row>
    <row r="227" spans="1:63" x14ac:dyDescent="0.25">
      <c r="A227" s="9" t="str">
        <f>IF(Data!B227="","",IF(COUNTIFS(Data!A$1:'Data'!A227,Data!A227)&lt;=1,0,1))</f>
        <v/>
      </c>
      <c r="B227" s="9"/>
      <c r="C227" s="23" t="str">
        <f>IF(Data!C227="","",(IF(ISNUMBER(MATCH("*@*.?*",Data!C227,0)),0,1)+IF(COUNTIFS(Data!C$1:'Data'!C227,Data!C227)&gt;1,1,0)))</f>
        <v/>
      </c>
      <c r="D227" s="9" t="str">
        <f>IF(Data!B227="","",IF(ISNUMBER(Data!D227),IF(AND(Data!D227&gt;999999999,Data!D227&lt;=9999999999),IF(COUNTIFS(Data!D$1:'Data'!D227,Data!D227)&lt;=1,0,1),1),1))</f>
        <v/>
      </c>
      <c r="E227" s="9" t="str">
        <f>IF(Data!B227="","",IF(ISNUMBER(MATCH(Data!E227,Data_Val!$A$2:$A$3,0)),0,1))</f>
        <v/>
      </c>
      <c r="F227" s="9" t="str">
        <f ca="1">IF(Data!B227="","",IF(ISNUMBER(Data!F227),IF(AND(Data!F227&gt;(TODAY()-(Data_Val!$H$3*365.25)),Data!F227&lt;=(TODAY()-(Data_Val!$H$2*365.25))),0,1),1))</f>
        <v/>
      </c>
      <c r="G227" s="15" t="str">
        <f>IF(Data!B227="","",IF(AND(Data!G227="",Data!H227&lt;&gt;""),1,IF(Data!#REF!&lt;&gt;"",0,IF(ISNUMBER(MATCH(Data!G227,Data_Val!$C$2:$C$5,0)),0,1))))</f>
        <v/>
      </c>
      <c r="H227" s="15" t="str">
        <f>IF(Data!B227="","",IF(AND(Data!G227&lt;&gt;"",Data!H227=""),1,IF(Data!#REF!&lt;&gt;"",0,IF(Data!G227="",1,IF(ISNUMBER(MATCH(Data!H227,Data_Val!$D$2:$D$35,0)),0,1)))))</f>
        <v/>
      </c>
      <c r="I227" s="15" t="str">
        <f>IF(Data!B227="","",IF(Data!G227&lt;&gt;"",0,IF(ISNUMBER(MATCH(Data!#REF!,Data_Val!$E$2:$E$12,0)),0,1)))</f>
        <v/>
      </c>
      <c r="J227" s="16" t="e">
        <f>IF(OR(Data!B227="",Data!#REF!=""),"",IF(Data!#REF!="",1,0))</f>
        <v>#REF!</v>
      </c>
      <c r="K227" s="16" t="e">
        <f>IF(OR(Data!B227="",Data!#REF!=""),"",IF(Data!#REF!="",1,0))</f>
        <v>#REF!</v>
      </c>
      <c r="L227" s="16" t="e">
        <f>IF(OR(Data!B227="",Data!#REF!=""),"",IF(ISNUMBER(Data!#REF!),IF(AND(Data!#REF!&gt;Data_Val!$G$2,Data!#REF!&lt;=Data_Val!$G$3),0,1),1))</f>
        <v>#REF!</v>
      </c>
      <c r="M227" s="9" t="e">
        <f>IF(OR(Data!B227="",Data!#REF!=""),"",IF(ISNUMBER(MATCH(Data!#REF!,Data_Val!$F$1:$F$38,0)),0,1))</f>
        <v>#REF!</v>
      </c>
      <c r="N227" s="9" t="e">
        <f>IF(OR(Data!B227="",Data!#REF!=""),"",IF(Data!#REF!="",1,0))</f>
        <v>#REF!</v>
      </c>
      <c r="O227" s="17" t="e">
        <f>IF(Data!#REF!="","",IF(Data!#REF!="",1,0))</f>
        <v>#REF!</v>
      </c>
      <c r="P227" s="17" t="e">
        <f>IF(Data!#REF!="","",IF(ISNUMBER(MATCH(Data!#REF!,Data_Val!$A$2:$A$3,0)),0,1))</f>
        <v>#REF!</v>
      </c>
      <c r="Q227" s="25" t="e">
        <f ca="1">IF(Data!#REF!="","",IF(ISNUMBER(Data!#REF!),IF(AND(Data!#REF!&gt;(TODAY()-(Data_Val!$J$3*365.25)),Data!#REF!&lt;=(TODAY()-(Data_Val!$J$2*365.25))),0,1),1))</f>
        <v>#REF!</v>
      </c>
      <c r="R227" s="17" t="e">
        <f>IF(Data!#REF!="","",IF(ISNUMBER(MATCH(Data!#REF!,Data_Val!$B$2:$B$15,0)),0,1))</f>
        <v>#REF!</v>
      </c>
      <c r="S227" s="11" t="str">
        <f>IF(Data!G227="","",IF(Data!G227=Data_Val!$C$2,IF(Data!M227="",0,1),0))</f>
        <v/>
      </c>
      <c r="T227" s="11" t="str">
        <f>IF(Data!M227="","",IF(ISNUMBER(MATCH(Data!N227,Data_Val!$A$2:$A$3,0)),0,1))</f>
        <v/>
      </c>
      <c r="U227" s="11" t="str">
        <f ca="1">IF(Data!M227="","",IF(ISNUMBER(Data!O227),IF(AND(Data!O227&gt;(TODAY()-(Data_Val!$K$3*365.25)),Data!O227&lt;=(TODAY()-(Data_Val!$K$2*365.25))),0,1),1))</f>
        <v/>
      </c>
      <c r="V227" s="12" t="str">
        <f>IF(Data!G227="","",IF(Data!G227=Data_Val!$C$2,IF(Data!P227="",0,1),0))</f>
        <v/>
      </c>
      <c r="W227" s="12" t="str">
        <f>IF(Data!P227="","",IF(ISNUMBER(MATCH(Data!Q227,Data_Val!$A$2:$A$3,0)),0,1))</f>
        <v/>
      </c>
      <c r="X227" s="26" t="str">
        <f ca="1">IF(Data!P227="","",IF(ISNUMBER(Data!R227),IF(AND(Data!R227&gt;(TODAY()-(Data_Val!$L$3*365.25)),Data!R227&lt;=(TODAY()-(Data_Val!$L$2*365.25))),0,1),1))</f>
        <v/>
      </c>
      <c r="Y227" s="13" t="str">
        <f>IF(Data!$G227="","",IF(Data!$G227=Data_Val!$C$2,IF(Data!S227="",0,1),0))</f>
        <v/>
      </c>
      <c r="Z227" s="13" t="str">
        <f>IF(Data!S227="","",IF(ISNUMBER(MATCH(Data!T227,Data_Val!$A$2:$A$3,0)),0,1))</f>
        <v/>
      </c>
      <c r="AA227" s="28" t="str">
        <f ca="1">IF(Data!S227="","",IF(ISNUMBER(Data!U227),IF(AND(Data!U227&gt;(TODAY()-(Data_Val!$L$3*365.25)),Data!U227&lt;=(TODAY()-(Data_Val!$L$2*365.25))),0,1),1))</f>
        <v/>
      </c>
      <c r="AB227" s="11"/>
      <c r="AC227" s="11" t="e">
        <f>IF(Data!#REF!="","",IF(ISNUMBER(MATCH(Data!#REF!,Data_Val!$A$2:$A$3,0)),0,1))</f>
        <v>#REF!</v>
      </c>
      <c r="AD227" s="11" t="e">
        <f ca="1">IF(Data!#REF!="","",IF(ISNUMBER(Data!#REF!),IF(AND(Data!#REF!&gt;(TODAY()-(Data_Val!$L$3*365.25)),Data!#REF!&lt;=(TODAY()-(Data_Val!$L$2*365.25))),0,1),1))</f>
        <v>#REF!</v>
      </c>
      <c r="AE227" s="11" t="e">
        <f>IF(Data!#REF!="","",IF(Data!$G227="",1,IF(ISNUMBER(MATCH(Data!#REF!,Data_Val!$D$2:$D$10,0)),0,1)))</f>
        <v>#REF!</v>
      </c>
      <c r="AF227" s="12"/>
      <c r="AG227" s="12" t="e">
        <f>IF(Data!#REF!="","",IF(ISNUMBER(MATCH(Data!#REF!,Data_Val!$A$2:$A$3,0)),0,1))</f>
        <v>#REF!</v>
      </c>
      <c r="AH227" s="26" t="e">
        <f ca="1">IF(Data!#REF!="","",IF(ISNUMBER(Data!#REF!),IF(AND(Data!#REF!&gt;(TODAY()-(Data_Val!$L$3*365.25)),Data!#REF!&lt;=(TODAY()-(Data_Val!$L$2*365.25))),0,1),1))</f>
        <v>#REF!</v>
      </c>
      <c r="AI227" s="12" t="e">
        <f>IF(Data!#REF!="","",IF(Data!$G227="",1,IF(ISNUMBER(MATCH(Data!#REF!,Data_Val!$D$2:$D$10,0)),0,1)))</f>
        <v>#REF!</v>
      </c>
      <c r="AJ227" s="17"/>
      <c r="AK227" s="17" t="e">
        <f>IF(Data!#REF!="","",IF(ISNUMBER(MATCH(Data!#REF!,Data_Val!$A$2:$A$3,0)),0,1))</f>
        <v>#REF!</v>
      </c>
      <c r="AL227" s="25" t="e">
        <f ca="1">IF(Data!#REF!="","",IF(ISNUMBER(Data!#REF!),IF(AND(Data!#REF!&gt;(TODAY()-(Data_Val!$L$3*365.25)),Data!#REF!&lt;=(TODAY()-(Data_Val!$L$2*365.25))),0,1),1))</f>
        <v>#REF!</v>
      </c>
      <c r="AM227" s="17" t="e">
        <f>IF(Data!#REF!="","",IF(Data!$G227="",1,IF(ISNUMBER(MATCH(Data!#REF!,Data_Val!$D$2:$D$10,0)),0,1)))</f>
        <v>#REF!</v>
      </c>
      <c r="AN227" s="13"/>
      <c r="AO227" s="28" t="e">
        <f ca="1">IF(Data!#REF!="","",IF(ISNUMBER(Data!#REF!),IF(AND(Data!#REF!&gt;(TODAY()-(Data_Val!$I$3*365.25)),Data!#REF!&lt;=(TODAY()-(Data_Val!$I$2*365.25))),0,1),1))</f>
        <v>#REF!</v>
      </c>
      <c r="AP227" s="13" t="e">
        <f>IF(Data!#REF!="","",IF(Data!$G227="",1,IF(ISNUMBER(MATCH(Data!#REF!,Data_Val!$D$2:$D$10,0)),0,1)))</f>
        <v>#REF!</v>
      </c>
      <c r="AQ227" s="17"/>
      <c r="AR227" s="30" t="e">
        <f ca="1">IF(Data!#REF!="","",IF(ISNUMBER(Data!#REF!),IF(AND(Data!#REF!&gt;(TODAY()-(Data_Val!$I$3*365.25)),Data!#REF!&lt;=(TODAY()-(Data_Val!$I$2*365.25))),0,1),1))</f>
        <v>#REF!</v>
      </c>
      <c r="AS227" s="31" t="e">
        <f>IF(Data!#REF!="","",IF(Data!$G227="",1,IF(ISNUMBER(MATCH(Data!#REF!,Data_Val!$D$2:$D$10,0)),0,1)))</f>
        <v>#REF!</v>
      </c>
      <c r="AT227" s="11"/>
      <c r="AU227" s="11" t="e">
        <f ca="1">IF(Data!#REF!="","",IF(ISNUMBER(Data!#REF!),IF(AND(Data!#REF!&gt;(TODAY()-(Data_Val!$I$3*365.25)),Data!#REF!&lt;=(TODAY()-(Data_Val!$I$2*365.25))),0,1),1))</f>
        <v>#REF!</v>
      </c>
      <c r="AV227" s="11" t="e">
        <f>IF(Data!#REF!="","",IF(Data!$G227="",1,IF(ISNUMBER(MATCH(Data!#REF!,Data_Val!$D$2:$D$10,0)),0,1)))</f>
        <v>#REF!</v>
      </c>
      <c r="AW227" s="12"/>
      <c r="AX227" s="26" t="e">
        <f ca="1">IF(Data!#REF!="","",IF(ISNUMBER(Data!#REF!),IF(AND(Data!#REF!&gt;(TODAY()-(Data_Val!$I$3*365.25)),Data!#REF!&lt;=(TODAY()-(Data_Val!$I$2*365.25))),0,1),1))</f>
        <v>#REF!</v>
      </c>
      <c r="AY227" s="12" t="e">
        <f>IF(Data!#REF!="","",IF(Data!$G227="",1,IF(ISNUMBER(MATCH(Data!#REF!,Data_Val!$D$2:$D$10,0)),0,1)))</f>
        <v>#REF!</v>
      </c>
      <c r="AZ227" s="11"/>
      <c r="BA227" s="19" t="e">
        <f ca="1">IF(Data!#REF!="","",IF(ISNUMBER(Data!#REF!),IF(AND(Data!#REF!&gt;(TODAY()-(Data_Val!$M$3*365.25)),Data!#REF!&lt;=(TODAY()-(Data_Val!$M$2*365.25))),0,1),1))</f>
        <v>#REF!</v>
      </c>
      <c r="BB227" s="11" t="e">
        <f>IF(Data!#REF!="","",IF(Data!$G227="",1,IF(ISNUMBER(MATCH(Data!#REF!,Data_Val!$D$2:$D$10,0)),0,1)))</f>
        <v>#REF!</v>
      </c>
      <c r="BC227" s="12"/>
      <c r="BD227" s="20" t="e">
        <f ca="1">IF(Data!#REF!="","",IF(ISNUMBER(Data!#REF!),IF(AND(Data!#REF!&gt;(TODAY()-(Data_Val!$M$3*365.25)),Data!#REF!&lt;=(TODAY()-(Data_Val!$M$2*365.25))),0,1),1))</f>
        <v>#REF!</v>
      </c>
      <c r="BE227" s="12" t="e">
        <f>IF(Data!#REF!="","",IF(Data!$G227="",1,IF(ISNUMBER(MATCH(Data!#REF!,Data_Val!$D$2:$D$10,0)),0,1)))</f>
        <v>#REF!</v>
      </c>
      <c r="BF227" s="17"/>
      <c r="BG227" s="18" t="e">
        <f ca="1">IF(Data!#REF!="","",IF(ISNUMBER(Data!#REF!),IF(AND(Data!#REF!&gt;(TODAY()-(Data_Val!$M$3*365.25)),Data!#REF!&lt;=(TODAY()-(Data_Val!$M$2*365.25))),0,1),1))</f>
        <v>#REF!</v>
      </c>
      <c r="BH227" s="29" t="e">
        <f>IF(Data!#REF!="","",IF(Data!$G227="",1,IF(ISNUMBER(MATCH(Data!#REF!,Data_Val!$D$2:$D$10,0)),0,1)))</f>
        <v>#REF!</v>
      </c>
      <c r="BI227" s="13"/>
      <c r="BJ227" s="21" t="e">
        <f ca="1">IF(Data!#REF!="","",IF(ISNUMBER(Data!#REF!),IF(AND(Data!#REF!&gt;(TODAY()-(Data_Val!$M$3*365.25)),Data!#REF!&lt;=(TODAY()-(Data_Val!$M$2*365.25))),0,1),1))</f>
        <v>#REF!</v>
      </c>
      <c r="BK227" s="13" t="e">
        <f>IF(Data!#REF!="","",IF(Data!$G227="",1,IF(ISNUMBER(MATCH(Data!#REF!,Data_Val!$D$2:$D$10,0)),0,1)))</f>
        <v>#REF!</v>
      </c>
    </row>
    <row r="228" spans="1:63" x14ac:dyDescent="0.25">
      <c r="A228" s="9" t="str">
        <f>IF(Data!B228="","",IF(COUNTIFS(Data!A$1:'Data'!A228,Data!A228)&lt;=1,0,1))</f>
        <v/>
      </c>
      <c r="B228" s="9"/>
      <c r="C228" s="23" t="str">
        <f>IF(Data!C228="","",(IF(ISNUMBER(MATCH("*@*.?*",Data!C228,0)),0,1)+IF(COUNTIFS(Data!C$1:'Data'!C228,Data!C228)&gt;1,1,0)))</f>
        <v/>
      </c>
      <c r="D228" s="9" t="str">
        <f>IF(Data!B228="","",IF(ISNUMBER(Data!D228),IF(AND(Data!D228&gt;999999999,Data!D228&lt;=9999999999),IF(COUNTIFS(Data!D$1:'Data'!D228,Data!D228)&lt;=1,0,1),1),1))</f>
        <v/>
      </c>
      <c r="E228" s="9" t="str">
        <f>IF(Data!B228="","",IF(ISNUMBER(MATCH(Data!E228,Data_Val!$A$2:$A$3,0)),0,1))</f>
        <v/>
      </c>
      <c r="F228" s="9" t="str">
        <f ca="1">IF(Data!B228="","",IF(ISNUMBER(Data!F228),IF(AND(Data!F228&gt;(TODAY()-(Data_Val!$H$3*365.25)),Data!F228&lt;=(TODAY()-(Data_Val!$H$2*365.25))),0,1),1))</f>
        <v/>
      </c>
      <c r="G228" s="15" t="str">
        <f>IF(Data!B228="","",IF(AND(Data!G228="",Data!H228&lt;&gt;""),1,IF(Data!#REF!&lt;&gt;"",0,IF(ISNUMBER(MATCH(Data!G228,Data_Val!$C$2:$C$5,0)),0,1))))</f>
        <v/>
      </c>
      <c r="H228" s="15" t="str">
        <f>IF(Data!B228="","",IF(AND(Data!G228&lt;&gt;"",Data!H228=""),1,IF(Data!#REF!&lt;&gt;"",0,IF(Data!G228="",1,IF(ISNUMBER(MATCH(Data!H228,Data_Val!$D$2:$D$35,0)),0,1)))))</f>
        <v/>
      </c>
      <c r="I228" s="15" t="str">
        <f>IF(Data!B228="","",IF(Data!G228&lt;&gt;"",0,IF(ISNUMBER(MATCH(Data!#REF!,Data_Val!$E$2:$E$12,0)),0,1)))</f>
        <v/>
      </c>
      <c r="J228" s="16" t="e">
        <f>IF(OR(Data!B228="",Data!#REF!=""),"",IF(Data!#REF!="",1,0))</f>
        <v>#REF!</v>
      </c>
      <c r="K228" s="16" t="e">
        <f>IF(OR(Data!B228="",Data!#REF!=""),"",IF(Data!#REF!="",1,0))</f>
        <v>#REF!</v>
      </c>
      <c r="L228" s="16" t="e">
        <f>IF(OR(Data!B228="",Data!#REF!=""),"",IF(ISNUMBER(Data!#REF!),IF(AND(Data!#REF!&gt;Data_Val!$G$2,Data!#REF!&lt;=Data_Val!$G$3),0,1),1))</f>
        <v>#REF!</v>
      </c>
      <c r="M228" s="9" t="e">
        <f>IF(OR(Data!B228="",Data!#REF!=""),"",IF(ISNUMBER(MATCH(Data!#REF!,Data_Val!$F$1:$F$38,0)),0,1))</f>
        <v>#REF!</v>
      </c>
      <c r="N228" s="9" t="e">
        <f>IF(OR(Data!B228="",Data!#REF!=""),"",IF(Data!#REF!="",1,0))</f>
        <v>#REF!</v>
      </c>
      <c r="O228" s="17" t="e">
        <f>IF(Data!#REF!="","",IF(Data!#REF!="",1,0))</f>
        <v>#REF!</v>
      </c>
      <c r="P228" s="17" t="e">
        <f>IF(Data!#REF!="","",IF(ISNUMBER(MATCH(Data!#REF!,Data_Val!$A$2:$A$3,0)),0,1))</f>
        <v>#REF!</v>
      </c>
      <c r="Q228" s="25" t="e">
        <f ca="1">IF(Data!#REF!="","",IF(ISNUMBER(Data!#REF!),IF(AND(Data!#REF!&gt;(TODAY()-(Data_Val!$J$3*365.25)),Data!#REF!&lt;=(TODAY()-(Data_Val!$J$2*365.25))),0,1),1))</f>
        <v>#REF!</v>
      </c>
      <c r="R228" s="17" t="e">
        <f>IF(Data!#REF!="","",IF(ISNUMBER(MATCH(Data!#REF!,Data_Val!$B$2:$B$15,0)),0,1))</f>
        <v>#REF!</v>
      </c>
      <c r="S228" s="11" t="str">
        <f>IF(Data!G228="","",IF(Data!G228=Data_Val!$C$2,IF(Data!M228="",0,1),0))</f>
        <v/>
      </c>
      <c r="T228" s="11" t="str">
        <f>IF(Data!M228="","",IF(ISNUMBER(MATCH(Data!N228,Data_Val!$A$2:$A$3,0)),0,1))</f>
        <v/>
      </c>
      <c r="U228" s="11" t="str">
        <f ca="1">IF(Data!M228="","",IF(ISNUMBER(Data!O228),IF(AND(Data!O228&gt;(TODAY()-(Data_Val!$K$3*365.25)),Data!O228&lt;=(TODAY()-(Data_Val!$K$2*365.25))),0,1),1))</f>
        <v/>
      </c>
      <c r="V228" s="12" t="str">
        <f>IF(Data!G228="","",IF(Data!G228=Data_Val!$C$2,IF(Data!P228="",0,1),0))</f>
        <v/>
      </c>
      <c r="W228" s="12" t="str">
        <f>IF(Data!P228="","",IF(ISNUMBER(MATCH(Data!Q228,Data_Val!$A$2:$A$3,0)),0,1))</f>
        <v/>
      </c>
      <c r="X228" s="26" t="str">
        <f ca="1">IF(Data!P228="","",IF(ISNUMBER(Data!R228),IF(AND(Data!R228&gt;(TODAY()-(Data_Val!$L$3*365.25)),Data!R228&lt;=(TODAY()-(Data_Val!$L$2*365.25))),0,1),1))</f>
        <v/>
      </c>
      <c r="Y228" s="13" t="str">
        <f>IF(Data!$G228="","",IF(Data!$G228=Data_Val!$C$2,IF(Data!S228="",0,1),0))</f>
        <v/>
      </c>
      <c r="Z228" s="13" t="str">
        <f>IF(Data!S228="","",IF(ISNUMBER(MATCH(Data!T228,Data_Val!$A$2:$A$3,0)),0,1))</f>
        <v/>
      </c>
      <c r="AA228" s="28" t="str">
        <f ca="1">IF(Data!S228="","",IF(ISNUMBER(Data!U228),IF(AND(Data!U228&gt;(TODAY()-(Data_Val!$L$3*365.25)),Data!U228&lt;=(TODAY()-(Data_Val!$L$2*365.25))),0,1),1))</f>
        <v/>
      </c>
      <c r="AB228" s="11"/>
      <c r="AC228" s="11" t="e">
        <f>IF(Data!#REF!="","",IF(ISNUMBER(MATCH(Data!#REF!,Data_Val!$A$2:$A$3,0)),0,1))</f>
        <v>#REF!</v>
      </c>
      <c r="AD228" s="11" t="e">
        <f ca="1">IF(Data!#REF!="","",IF(ISNUMBER(Data!#REF!),IF(AND(Data!#REF!&gt;(TODAY()-(Data_Val!$L$3*365.25)),Data!#REF!&lt;=(TODAY()-(Data_Val!$L$2*365.25))),0,1),1))</f>
        <v>#REF!</v>
      </c>
      <c r="AE228" s="11" t="e">
        <f>IF(Data!#REF!="","",IF(Data!$G228="",1,IF(ISNUMBER(MATCH(Data!#REF!,Data_Val!$D$2:$D$10,0)),0,1)))</f>
        <v>#REF!</v>
      </c>
      <c r="AF228" s="12"/>
      <c r="AG228" s="12" t="e">
        <f>IF(Data!#REF!="","",IF(ISNUMBER(MATCH(Data!#REF!,Data_Val!$A$2:$A$3,0)),0,1))</f>
        <v>#REF!</v>
      </c>
      <c r="AH228" s="26" t="e">
        <f ca="1">IF(Data!#REF!="","",IF(ISNUMBER(Data!#REF!),IF(AND(Data!#REF!&gt;(TODAY()-(Data_Val!$L$3*365.25)),Data!#REF!&lt;=(TODAY()-(Data_Val!$L$2*365.25))),0,1),1))</f>
        <v>#REF!</v>
      </c>
      <c r="AI228" s="12" t="e">
        <f>IF(Data!#REF!="","",IF(Data!$G228="",1,IF(ISNUMBER(MATCH(Data!#REF!,Data_Val!$D$2:$D$10,0)),0,1)))</f>
        <v>#REF!</v>
      </c>
      <c r="AJ228" s="17"/>
      <c r="AK228" s="17" t="e">
        <f>IF(Data!#REF!="","",IF(ISNUMBER(MATCH(Data!#REF!,Data_Val!$A$2:$A$3,0)),0,1))</f>
        <v>#REF!</v>
      </c>
      <c r="AL228" s="25" t="e">
        <f ca="1">IF(Data!#REF!="","",IF(ISNUMBER(Data!#REF!),IF(AND(Data!#REF!&gt;(TODAY()-(Data_Val!$L$3*365.25)),Data!#REF!&lt;=(TODAY()-(Data_Val!$L$2*365.25))),0,1),1))</f>
        <v>#REF!</v>
      </c>
      <c r="AM228" s="17" t="e">
        <f>IF(Data!#REF!="","",IF(Data!$G228="",1,IF(ISNUMBER(MATCH(Data!#REF!,Data_Val!$D$2:$D$10,0)),0,1)))</f>
        <v>#REF!</v>
      </c>
      <c r="AN228" s="13"/>
      <c r="AO228" s="28" t="e">
        <f ca="1">IF(Data!#REF!="","",IF(ISNUMBER(Data!#REF!),IF(AND(Data!#REF!&gt;(TODAY()-(Data_Val!$I$3*365.25)),Data!#REF!&lt;=(TODAY()-(Data_Val!$I$2*365.25))),0,1),1))</f>
        <v>#REF!</v>
      </c>
      <c r="AP228" s="13" t="e">
        <f>IF(Data!#REF!="","",IF(Data!$G228="",1,IF(ISNUMBER(MATCH(Data!#REF!,Data_Val!$D$2:$D$10,0)),0,1)))</f>
        <v>#REF!</v>
      </c>
      <c r="AQ228" s="17"/>
      <c r="AR228" s="30" t="e">
        <f ca="1">IF(Data!#REF!="","",IF(ISNUMBER(Data!#REF!),IF(AND(Data!#REF!&gt;(TODAY()-(Data_Val!$I$3*365.25)),Data!#REF!&lt;=(TODAY()-(Data_Val!$I$2*365.25))),0,1),1))</f>
        <v>#REF!</v>
      </c>
      <c r="AS228" s="31" t="e">
        <f>IF(Data!#REF!="","",IF(Data!$G228="",1,IF(ISNUMBER(MATCH(Data!#REF!,Data_Val!$D$2:$D$10,0)),0,1)))</f>
        <v>#REF!</v>
      </c>
      <c r="AT228" s="11"/>
      <c r="AU228" s="11" t="e">
        <f ca="1">IF(Data!#REF!="","",IF(ISNUMBER(Data!#REF!),IF(AND(Data!#REF!&gt;(TODAY()-(Data_Val!$I$3*365.25)),Data!#REF!&lt;=(TODAY()-(Data_Val!$I$2*365.25))),0,1),1))</f>
        <v>#REF!</v>
      </c>
      <c r="AV228" s="11" t="e">
        <f>IF(Data!#REF!="","",IF(Data!$G228="",1,IF(ISNUMBER(MATCH(Data!#REF!,Data_Val!$D$2:$D$10,0)),0,1)))</f>
        <v>#REF!</v>
      </c>
      <c r="AW228" s="12"/>
      <c r="AX228" s="26" t="e">
        <f ca="1">IF(Data!#REF!="","",IF(ISNUMBER(Data!#REF!),IF(AND(Data!#REF!&gt;(TODAY()-(Data_Val!$I$3*365.25)),Data!#REF!&lt;=(TODAY()-(Data_Val!$I$2*365.25))),0,1),1))</f>
        <v>#REF!</v>
      </c>
      <c r="AY228" s="12" t="e">
        <f>IF(Data!#REF!="","",IF(Data!$G228="",1,IF(ISNUMBER(MATCH(Data!#REF!,Data_Val!$D$2:$D$10,0)),0,1)))</f>
        <v>#REF!</v>
      </c>
      <c r="AZ228" s="11"/>
      <c r="BA228" s="19" t="e">
        <f ca="1">IF(Data!#REF!="","",IF(ISNUMBER(Data!#REF!),IF(AND(Data!#REF!&gt;(TODAY()-(Data_Val!$M$3*365.25)),Data!#REF!&lt;=(TODAY()-(Data_Val!$M$2*365.25))),0,1),1))</f>
        <v>#REF!</v>
      </c>
      <c r="BB228" s="11" t="e">
        <f>IF(Data!#REF!="","",IF(Data!$G228="",1,IF(ISNUMBER(MATCH(Data!#REF!,Data_Val!$D$2:$D$10,0)),0,1)))</f>
        <v>#REF!</v>
      </c>
      <c r="BC228" s="12"/>
      <c r="BD228" s="20" t="e">
        <f ca="1">IF(Data!#REF!="","",IF(ISNUMBER(Data!#REF!),IF(AND(Data!#REF!&gt;(TODAY()-(Data_Val!$M$3*365.25)),Data!#REF!&lt;=(TODAY()-(Data_Val!$M$2*365.25))),0,1),1))</f>
        <v>#REF!</v>
      </c>
      <c r="BE228" s="12" t="e">
        <f>IF(Data!#REF!="","",IF(Data!$G228="",1,IF(ISNUMBER(MATCH(Data!#REF!,Data_Val!$D$2:$D$10,0)),0,1)))</f>
        <v>#REF!</v>
      </c>
      <c r="BF228" s="17"/>
      <c r="BG228" s="18" t="e">
        <f ca="1">IF(Data!#REF!="","",IF(ISNUMBER(Data!#REF!),IF(AND(Data!#REF!&gt;(TODAY()-(Data_Val!$M$3*365.25)),Data!#REF!&lt;=(TODAY()-(Data_Val!$M$2*365.25))),0,1),1))</f>
        <v>#REF!</v>
      </c>
      <c r="BH228" s="29" t="e">
        <f>IF(Data!#REF!="","",IF(Data!$G228="",1,IF(ISNUMBER(MATCH(Data!#REF!,Data_Val!$D$2:$D$10,0)),0,1)))</f>
        <v>#REF!</v>
      </c>
      <c r="BI228" s="13"/>
      <c r="BJ228" s="21" t="e">
        <f ca="1">IF(Data!#REF!="","",IF(ISNUMBER(Data!#REF!),IF(AND(Data!#REF!&gt;(TODAY()-(Data_Val!$M$3*365.25)),Data!#REF!&lt;=(TODAY()-(Data_Val!$M$2*365.25))),0,1),1))</f>
        <v>#REF!</v>
      </c>
      <c r="BK228" s="13" t="e">
        <f>IF(Data!#REF!="","",IF(Data!$G228="",1,IF(ISNUMBER(MATCH(Data!#REF!,Data_Val!$D$2:$D$10,0)),0,1)))</f>
        <v>#REF!</v>
      </c>
    </row>
    <row r="229" spans="1:63" x14ac:dyDescent="0.25">
      <c r="A229" s="9" t="str">
        <f>IF(Data!B229="","",IF(COUNTIFS(Data!A$1:'Data'!A229,Data!A229)&lt;=1,0,1))</f>
        <v/>
      </c>
      <c r="B229" s="9"/>
      <c r="C229" s="23" t="str">
        <f>IF(Data!C229="","",(IF(ISNUMBER(MATCH("*@*.?*",Data!C229,0)),0,1)+IF(COUNTIFS(Data!C$1:'Data'!C229,Data!C229)&gt;1,1,0)))</f>
        <v/>
      </c>
      <c r="D229" s="9" t="str">
        <f>IF(Data!B229="","",IF(ISNUMBER(Data!D229),IF(AND(Data!D229&gt;999999999,Data!D229&lt;=9999999999),IF(COUNTIFS(Data!D$1:'Data'!D229,Data!D229)&lt;=1,0,1),1),1))</f>
        <v/>
      </c>
      <c r="E229" s="9" t="str">
        <f>IF(Data!B229="","",IF(ISNUMBER(MATCH(Data!E229,Data_Val!$A$2:$A$3,0)),0,1))</f>
        <v/>
      </c>
      <c r="F229" s="9" t="str">
        <f ca="1">IF(Data!B229="","",IF(ISNUMBER(Data!F229),IF(AND(Data!F229&gt;(TODAY()-(Data_Val!$H$3*365.25)),Data!F229&lt;=(TODAY()-(Data_Val!$H$2*365.25))),0,1),1))</f>
        <v/>
      </c>
      <c r="G229" s="15" t="str">
        <f>IF(Data!B229="","",IF(AND(Data!G229="",Data!H229&lt;&gt;""),1,IF(Data!#REF!&lt;&gt;"",0,IF(ISNUMBER(MATCH(Data!G229,Data_Val!$C$2:$C$5,0)),0,1))))</f>
        <v/>
      </c>
      <c r="H229" s="15" t="str">
        <f>IF(Data!B229="","",IF(AND(Data!G229&lt;&gt;"",Data!H229=""),1,IF(Data!#REF!&lt;&gt;"",0,IF(Data!G229="",1,IF(ISNUMBER(MATCH(Data!H229,Data_Val!$D$2:$D$35,0)),0,1)))))</f>
        <v/>
      </c>
      <c r="I229" s="15" t="str">
        <f>IF(Data!B229="","",IF(Data!G229&lt;&gt;"",0,IF(ISNUMBER(MATCH(Data!#REF!,Data_Val!$E$2:$E$12,0)),0,1)))</f>
        <v/>
      </c>
      <c r="J229" s="16" t="e">
        <f>IF(OR(Data!B229="",Data!#REF!=""),"",IF(Data!#REF!="",1,0))</f>
        <v>#REF!</v>
      </c>
      <c r="K229" s="16" t="e">
        <f>IF(OR(Data!B229="",Data!#REF!=""),"",IF(Data!#REF!="",1,0))</f>
        <v>#REF!</v>
      </c>
      <c r="L229" s="16" t="e">
        <f>IF(OR(Data!B229="",Data!#REF!=""),"",IF(ISNUMBER(Data!#REF!),IF(AND(Data!#REF!&gt;Data_Val!$G$2,Data!#REF!&lt;=Data_Val!$G$3),0,1),1))</f>
        <v>#REF!</v>
      </c>
      <c r="M229" s="9" t="e">
        <f>IF(OR(Data!B229="",Data!#REF!=""),"",IF(ISNUMBER(MATCH(Data!#REF!,Data_Val!$F$1:$F$38,0)),0,1))</f>
        <v>#REF!</v>
      </c>
      <c r="N229" s="9" t="e">
        <f>IF(OR(Data!B229="",Data!#REF!=""),"",IF(Data!#REF!="",1,0))</f>
        <v>#REF!</v>
      </c>
      <c r="O229" s="17" t="e">
        <f>IF(Data!#REF!="","",IF(Data!#REF!="",1,0))</f>
        <v>#REF!</v>
      </c>
      <c r="P229" s="17" t="e">
        <f>IF(Data!#REF!="","",IF(ISNUMBER(MATCH(Data!#REF!,Data_Val!$A$2:$A$3,0)),0,1))</f>
        <v>#REF!</v>
      </c>
      <c r="Q229" s="25" t="e">
        <f ca="1">IF(Data!#REF!="","",IF(ISNUMBER(Data!#REF!),IF(AND(Data!#REF!&gt;(TODAY()-(Data_Val!$J$3*365.25)),Data!#REF!&lt;=(TODAY()-(Data_Val!$J$2*365.25))),0,1),1))</f>
        <v>#REF!</v>
      </c>
      <c r="R229" s="17" t="e">
        <f>IF(Data!#REF!="","",IF(ISNUMBER(MATCH(Data!#REF!,Data_Val!$B$2:$B$15,0)),0,1))</f>
        <v>#REF!</v>
      </c>
      <c r="S229" s="11" t="str">
        <f>IF(Data!G229="","",IF(Data!G229=Data_Val!$C$2,IF(Data!M229="",0,1),0))</f>
        <v/>
      </c>
      <c r="T229" s="11" t="str">
        <f>IF(Data!M229="","",IF(ISNUMBER(MATCH(Data!N229,Data_Val!$A$2:$A$3,0)),0,1))</f>
        <v/>
      </c>
      <c r="U229" s="11" t="str">
        <f ca="1">IF(Data!M229="","",IF(ISNUMBER(Data!O229),IF(AND(Data!O229&gt;(TODAY()-(Data_Val!$K$3*365.25)),Data!O229&lt;=(TODAY()-(Data_Val!$K$2*365.25))),0,1),1))</f>
        <v/>
      </c>
      <c r="V229" s="12" t="str">
        <f>IF(Data!G229="","",IF(Data!G229=Data_Val!$C$2,IF(Data!P229="",0,1),0))</f>
        <v/>
      </c>
      <c r="W229" s="12" t="str">
        <f>IF(Data!P229="","",IF(ISNUMBER(MATCH(Data!Q229,Data_Val!$A$2:$A$3,0)),0,1))</f>
        <v/>
      </c>
      <c r="X229" s="26" t="str">
        <f ca="1">IF(Data!P229="","",IF(ISNUMBER(Data!R229),IF(AND(Data!R229&gt;(TODAY()-(Data_Val!$L$3*365.25)),Data!R229&lt;=(TODAY()-(Data_Val!$L$2*365.25))),0,1),1))</f>
        <v/>
      </c>
      <c r="Y229" s="13" t="str">
        <f>IF(Data!$G229="","",IF(Data!$G229=Data_Val!$C$2,IF(Data!S229="",0,1),0))</f>
        <v/>
      </c>
      <c r="Z229" s="13" t="str">
        <f>IF(Data!S229="","",IF(ISNUMBER(MATCH(Data!T229,Data_Val!$A$2:$A$3,0)),0,1))</f>
        <v/>
      </c>
      <c r="AA229" s="28" t="str">
        <f ca="1">IF(Data!S229="","",IF(ISNUMBER(Data!U229),IF(AND(Data!U229&gt;(TODAY()-(Data_Val!$L$3*365.25)),Data!U229&lt;=(TODAY()-(Data_Val!$L$2*365.25))),0,1),1))</f>
        <v/>
      </c>
      <c r="AB229" s="11"/>
      <c r="AC229" s="11" t="e">
        <f>IF(Data!#REF!="","",IF(ISNUMBER(MATCH(Data!#REF!,Data_Val!$A$2:$A$3,0)),0,1))</f>
        <v>#REF!</v>
      </c>
      <c r="AD229" s="11" t="e">
        <f ca="1">IF(Data!#REF!="","",IF(ISNUMBER(Data!#REF!),IF(AND(Data!#REF!&gt;(TODAY()-(Data_Val!$L$3*365.25)),Data!#REF!&lt;=(TODAY()-(Data_Val!$L$2*365.25))),0,1),1))</f>
        <v>#REF!</v>
      </c>
      <c r="AE229" s="11" t="e">
        <f>IF(Data!#REF!="","",IF(Data!$G229="",1,IF(ISNUMBER(MATCH(Data!#REF!,Data_Val!$D$2:$D$10,0)),0,1)))</f>
        <v>#REF!</v>
      </c>
      <c r="AF229" s="12"/>
      <c r="AG229" s="12" t="e">
        <f>IF(Data!#REF!="","",IF(ISNUMBER(MATCH(Data!#REF!,Data_Val!$A$2:$A$3,0)),0,1))</f>
        <v>#REF!</v>
      </c>
      <c r="AH229" s="26" t="e">
        <f ca="1">IF(Data!#REF!="","",IF(ISNUMBER(Data!#REF!),IF(AND(Data!#REF!&gt;(TODAY()-(Data_Val!$L$3*365.25)),Data!#REF!&lt;=(TODAY()-(Data_Val!$L$2*365.25))),0,1),1))</f>
        <v>#REF!</v>
      </c>
      <c r="AI229" s="12" t="e">
        <f>IF(Data!#REF!="","",IF(Data!$G229="",1,IF(ISNUMBER(MATCH(Data!#REF!,Data_Val!$D$2:$D$10,0)),0,1)))</f>
        <v>#REF!</v>
      </c>
      <c r="AJ229" s="17"/>
      <c r="AK229" s="17" t="e">
        <f>IF(Data!#REF!="","",IF(ISNUMBER(MATCH(Data!#REF!,Data_Val!$A$2:$A$3,0)),0,1))</f>
        <v>#REF!</v>
      </c>
      <c r="AL229" s="25" t="e">
        <f ca="1">IF(Data!#REF!="","",IF(ISNUMBER(Data!#REF!),IF(AND(Data!#REF!&gt;(TODAY()-(Data_Val!$L$3*365.25)),Data!#REF!&lt;=(TODAY()-(Data_Val!$L$2*365.25))),0,1),1))</f>
        <v>#REF!</v>
      </c>
      <c r="AM229" s="17" t="e">
        <f>IF(Data!#REF!="","",IF(Data!$G229="",1,IF(ISNUMBER(MATCH(Data!#REF!,Data_Val!$D$2:$D$10,0)),0,1)))</f>
        <v>#REF!</v>
      </c>
      <c r="AN229" s="13"/>
      <c r="AO229" s="28" t="e">
        <f ca="1">IF(Data!#REF!="","",IF(ISNUMBER(Data!#REF!),IF(AND(Data!#REF!&gt;(TODAY()-(Data_Val!$I$3*365.25)),Data!#REF!&lt;=(TODAY()-(Data_Val!$I$2*365.25))),0,1),1))</f>
        <v>#REF!</v>
      </c>
      <c r="AP229" s="13" t="e">
        <f>IF(Data!#REF!="","",IF(Data!$G229="",1,IF(ISNUMBER(MATCH(Data!#REF!,Data_Val!$D$2:$D$10,0)),0,1)))</f>
        <v>#REF!</v>
      </c>
      <c r="AQ229" s="17"/>
      <c r="AR229" s="30" t="e">
        <f ca="1">IF(Data!#REF!="","",IF(ISNUMBER(Data!#REF!),IF(AND(Data!#REF!&gt;(TODAY()-(Data_Val!$I$3*365.25)),Data!#REF!&lt;=(TODAY()-(Data_Val!$I$2*365.25))),0,1),1))</f>
        <v>#REF!</v>
      </c>
      <c r="AS229" s="31" t="e">
        <f>IF(Data!#REF!="","",IF(Data!$G229="",1,IF(ISNUMBER(MATCH(Data!#REF!,Data_Val!$D$2:$D$10,0)),0,1)))</f>
        <v>#REF!</v>
      </c>
      <c r="AT229" s="11"/>
      <c r="AU229" s="11" t="e">
        <f ca="1">IF(Data!#REF!="","",IF(ISNUMBER(Data!#REF!),IF(AND(Data!#REF!&gt;(TODAY()-(Data_Val!$I$3*365.25)),Data!#REF!&lt;=(TODAY()-(Data_Val!$I$2*365.25))),0,1),1))</f>
        <v>#REF!</v>
      </c>
      <c r="AV229" s="11" t="e">
        <f>IF(Data!#REF!="","",IF(Data!$G229="",1,IF(ISNUMBER(MATCH(Data!#REF!,Data_Val!$D$2:$D$10,0)),0,1)))</f>
        <v>#REF!</v>
      </c>
      <c r="AW229" s="12"/>
      <c r="AX229" s="26" t="e">
        <f ca="1">IF(Data!#REF!="","",IF(ISNUMBER(Data!#REF!),IF(AND(Data!#REF!&gt;(TODAY()-(Data_Val!$I$3*365.25)),Data!#REF!&lt;=(TODAY()-(Data_Val!$I$2*365.25))),0,1),1))</f>
        <v>#REF!</v>
      </c>
      <c r="AY229" s="12" t="e">
        <f>IF(Data!#REF!="","",IF(Data!$G229="",1,IF(ISNUMBER(MATCH(Data!#REF!,Data_Val!$D$2:$D$10,0)),0,1)))</f>
        <v>#REF!</v>
      </c>
      <c r="AZ229" s="11"/>
      <c r="BA229" s="19" t="e">
        <f ca="1">IF(Data!#REF!="","",IF(ISNUMBER(Data!#REF!),IF(AND(Data!#REF!&gt;(TODAY()-(Data_Val!$M$3*365.25)),Data!#REF!&lt;=(TODAY()-(Data_Val!$M$2*365.25))),0,1),1))</f>
        <v>#REF!</v>
      </c>
      <c r="BB229" s="11" t="e">
        <f>IF(Data!#REF!="","",IF(Data!$G229="",1,IF(ISNUMBER(MATCH(Data!#REF!,Data_Val!$D$2:$D$10,0)),0,1)))</f>
        <v>#REF!</v>
      </c>
      <c r="BC229" s="12"/>
      <c r="BD229" s="20" t="e">
        <f ca="1">IF(Data!#REF!="","",IF(ISNUMBER(Data!#REF!),IF(AND(Data!#REF!&gt;(TODAY()-(Data_Val!$M$3*365.25)),Data!#REF!&lt;=(TODAY()-(Data_Val!$M$2*365.25))),0,1),1))</f>
        <v>#REF!</v>
      </c>
      <c r="BE229" s="12" t="e">
        <f>IF(Data!#REF!="","",IF(Data!$G229="",1,IF(ISNUMBER(MATCH(Data!#REF!,Data_Val!$D$2:$D$10,0)),0,1)))</f>
        <v>#REF!</v>
      </c>
      <c r="BF229" s="17"/>
      <c r="BG229" s="18" t="e">
        <f ca="1">IF(Data!#REF!="","",IF(ISNUMBER(Data!#REF!),IF(AND(Data!#REF!&gt;(TODAY()-(Data_Val!$M$3*365.25)),Data!#REF!&lt;=(TODAY()-(Data_Val!$M$2*365.25))),0,1),1))</f>
        <v>#REF!</v>
      </c>
      <c r="BH229" s="29" t="e">
        <f>IF(Data!#REF!="","",IF(Data!$G229="",1,IF(ISNUMBER(MATCH(Data!#REF!,Data_Val!$D$2:$D$10,0)),0,1)))</f>
        <v>#REF!</v>
      </c>
      <c r="BI229" s="13"/>
      <c r="BJ229" s="21" t="e">
        <f ca="1">IF(Data!#REF!="","",IF(ISNUMBER(Data!#REF!),IF(AND(Data!#REF!&gt;(TODAY()-(Data_Val!$M$3*365.25)),Data!#REF!&lt;=(TODAY()-(Data_Val!$M$2*365.25))),0,1),1))</f>
        <v>#REF!</v>
      </c>
      <c r="BK229" s="13" t="e">
        <f>IF(Data!#REF!="","",IF(Data!$G229="",1,IF(ISNUMBER(MATCH(Data!#REF!,Data_Val!$D$2:$D$10,0)),0,1)))</f>
        <v>#REF!</v>
      </c>
    </row>
    <row r="230" spans="1:63" x14ac:dyDescent="0.25">
      <c r="A230" s="9" t="str">
        <f>IF(Data!B230="","",IF(COUNTIFS(Data!A$1:'Data'!A230,Data!A230)&lt;=1,0,1))</f>
        <v/>
      </c>
      <c r="B230" s="9"/>
      <c r="C230" s="23" t="str">
        <f>IF(Data!C230="","",(IF(ISNUMBER(MATCH("*@*.?*",Data!C230,0)),0,1)+IF(COUNTIFS(Data!C$1:'Data'!C230,Data!C230)&gt;1,1,0)))</f>
        <v/>
      </c>
      <c r="D230" s="9" t="str">
        <f>IF(Data!B230="","",IF(ISNUMBER(Data!D230),IF(AND(Data!D230&gt;999999999,Data!D230&lt;=9999999999),IF(COUNTIFS(Data!D$1:'Data'!D230,Data!D230)&lt;=1,0,1),1),1))</f>
        <v/>
      </c>
      <c r="E230" s="9" t="str">
        <f>IF(Data!B230="","",IF(ISNUMBER(MATCH(Data!E230,Data_Val!$A$2:$A$3,0)),0,1))</f>
        <v/>
      </c>
      <c r="F230" s="9" t="str">
        <f ca="1">IF(Data!B230="","",IF(ISNUMBER(Data!F230),IF(AND(Data!F230&gt;(TODAY()-(Data_Val!$H$3*365.25)),Data!F230&lt;=(TODAY()-(Data_Val!$H$2*365.25))),0,1),1))</f>
        <v/>
      </c>
      <c r="G230" s="15" t="str">
        <f>IF(Data!B230="","",IF(AND(Data!G230="",Data!H230&lt;&gt;""),1,IF(Data!#REF!&lt;&gt;"",0,IF(ISNUMBER(MATCH(Data!G230,Data_Val!$C$2:$C$5,0)),0,1))))</f>
        <v/>
      </c>
      <c r="H230" s="15" t="str">
        <f>IF(Data!B230="","",IF(AND(Data!G230&lt;&gt;"",Data!H230=""),1,IF(Data!#REF!&lt;&gt;"",0,IF(Data!G230="",1,IF(ISNUMBER(MATCH(Data!H230,Data_Val!$D$2:$D$35,0)),0,1)))))</f>
        <v/>
      </c>
      <c r="I230" s="15" t="str">
        <f>IF(Data!B230="","",IF(Data!G230&lt;&gt;"",0,IF(ISNUMBER(MATCH(Data!#REF!,Data_Val!$E$2:$E$12,0)),0,1)))</f>
        <v/>
      </c>
      <c r="J230" s="16" t="e">
        <f>IF(OR(Data!B230="",Data!#REF!=""),"",IF(Data!#REF!="",1,0))</f>
        <v>#REF!</v>
      </c>
      <c r="K230" s="16" t="e">
        <f>IF(OR(Data!B230="",Data!#REF!=""),"",IF(Data!#REF!="",1,0))</f>
        <v>#REF!</v>
      </c>
      <c r="L230" s="16" t="e">
        <f>IF(OR(Data!B230="",Data!#REF!=""),"",IF(ISNUMBER(Data!#REF!),IF(AND(Data!#REF!&gt;Data_Val!$G$2,Data!#REF!&lt;=Data_Val!$G$3),0,1),1))</f>
        <v>#REF!</v>
      </c>
      <c r="M230" s="9" t="e">
        <f>IF(OR(Data!B230="",Data!#REF!=""),"",IF(ISNUMBER(MATCH(Data!#REF!,Data_Val!$F$1:$F$38,0)),0,1))</f>
        <v>#REF!</v>
      </c>
      <c r="N230" s="9" t="e">
        <f>IF(OR(Data!B230="",Data!#REF!=""),"",IF(Data!#REF!="",1,0))</f>
        <v>#REF!</v>
      </c>
      <c r="O230" s="17" t="e">
        <f>IF(Data!#REF!="","",IF(Data!#REF!="",1,0))</f>
        <v>#REF!</v>
      </c>
      <c r="P230" s="17" t="e">
        <f>IF(Data!#REF!="","",IF(ISNUMBER(MATCH(Data!#REF!,Data_Val!$A$2:$A$3,0)),0,1))</f>
        <v>#REF!</v>
      </c>
      <c r="Q230" s="25" t="e">
        <f ca="1">IF(Data!#REF!="","",IF(ISNUMBER(Data!#REF!),IF(AND(Data!#REF!&gt;(TODAY()-(Data_Val!$J$3*365.25)),Data!#REF!&lt;=(TODAY()-(Data_Val!$J$2*365.25))),0,1),1))</f>
        <v>#REF!</v>
      </c>
      <c r="R230" s="17" t="e">
        <f>IF(Data!#REF!="","",IF(ISNUMBER(MATCH(Data!#REF!,Data_Val!$B$2:$B$15,0)),0,1))</f>
        <v>#REF!</v>
      </c>
      <c r="S230" s="11" t="str">
        <f>IF(Data!G230="","",IF(Data!G230=Data_Val!$C$2,IF(Data!M230="",0,1),0))</f>
        <v/>
      </c>
      <c r="T230" s="11" t="str">
        <f>IF(Data!M230="","",IF(ISNUMBER(MATCH(Data!N230,Data_Val!$A$2:$A$3,0)),0,1))</f>
        <v/>
      </c>
      <c r="U230" s="11" t="str">
        <f ca="1">IF(Data!M230="","",IF(ISNUMBER(Data!O230),IF(AND(Data!O230&gt;(TODAY()-(Data_Val!$K$3*365.25)),Data!O230&lt;=(TODAY()-(Data_Val!$K$2*365.25))),0,1),1))</f>
        <v/>
      </c>
      <c r="V230" s="12" t="str">
        <f>IF(Data!G230="","",IF(Data!G230=Data_Val!$C$2,IF(Data!P230="",0,1),0))</f>
        <v/>
      </c>
      <c r="W230" s="12" t="str">
        <f>IF(Data!P230="","",IF(ISNUMBER(MATCH(Data!Q230,Data_Val!$A$2:$A$3,0)),0,1))</f>
        <v/>
      </c>
      <c r="X230" s="26" t="str">
        <f ca="1">IF(Data!P230="","",IF(ISNUMBER(Data!R230),IF(AND(Data!R230&gt;(TODAY()-(Data_Val!$L$3*365.25)),Data!R230&lt;=(TODAY()-(Data_Val!$L$2*365.25))),0,1),1))</f>
        <v/>
      </c>
      <c r="Y230" s="13" t="str">
        <f>IF(Data!$G230="","",IF(Data!$G230=Data_Val!$C$2,IF(Data!S230="",0,1),0))</f>
        <v/>
      </c>
      <c r="Z230" s="13" t="str">
        <f>IF(Data!S230="","",IF(ISNUMBER(MATCH(Data!T230,Data_Val!$A$2:$A$3,0)),0,1))</f>
        <v/>
      </c>
      <c r="AA230" s="28" t="str">
        <f ca="1">IF(Data!S230="","",IF(ISNUMBER(Data!U230),IF(AND(Data!U230&gt;(TODAY()-(Data_Val!$L$3*365.25)),Data!U230&lt;=(TODAY()-(Data_Val!$L$2*365.25))),0,1),1))</f>
        <v/>
      </c>
      <c r="AB230" s="11"/>
      <c r="AC230" s="11" t="e">
        <f>IF(Data!#REF!="","",IF(ISNUMBER(MATCH(Data!#REF!,Data_Val!$A$2:$A$3,0)),0,1))</f>
        <v>#REF!</v>
      </c>
      <c r="AD230" s="11" t="e">
        <f ca="1">IF(Data!#REF!="","",IF(ISNUMBER(Data!#REF!),IF(AND(Data!#REF!&gt;(TODAY()-(Data_Val!$L$3*365.25)),Data!#REF!&lt;=(TODAY()-(Data_Val!$L$2*365.25))),0,1),1))</f>
        <v>#REF!</v>
      </c>
      <c r="AE230" s="11" t="e">
        <f>IF(Data!#REF!="","",IF(Data!$G230="",1,IF(ISNUMBER(MATCH(Data!#REF!,Data_Val!$D$2:$D$10,0)),0,1)))</f>
        <v>#REF!</v>
      </c>
      <c r="AF230" s="12"/>
      <c r="AG230" s="12" t="e">
        <f>IF(Data!#REF!="","",IF(ISNUMBER(MATCH(Data!#REF!,Data_Val!$A$2:$A$3,0)),0,1))</f>
        <v>#REF!</v>
      </c>
      <c r="AH230" s="26" t="e">
        <f ca="1">IF(Data!#REF!="","",IF(ISNUMBER(Data!#REF!),IF(AND(Data!#REF!&gt;(TODAY()-(Data_Val!$L$3*365.25)),Data!#REF!&lt;=(TODAY()-(Data_Val!$L$2*365.25))),0,1),1))</f>
        <v>#REF!</v>
      </c>
      <c r="AI230" s="12" t="e">
        <f>IF(Data!#REF!="","",IF(Data!$G230="",1,IF(ISNUMBER(MATCH(Data!#REF!,Data_Val!$D$2:$D$10,0)),0,1)))</f>
        <v>#REF!</v>
      </c>
      <c r="AJ230" s="17"/>
      <c r="AK230" s="17" t="e">
        <f>IF(Data!#REF!="","",IF(ISNUMBER(MATCH(Data!#REF!,Data_Val!$A$2:$A$3,0)),0,1))</f>
        <v>#REF!</v>
      </c>
      <c r="AL230" s="25" t="e">
        <f ca="1">IF(Data!#REF!="","",IF(ISNUMBER(Data!#REF!),IF(AND(Data!#REF!&gt;(TODAY()-(Data_Val!$L$3*365.25)),Data!#REF!&lt;=(TODAY()-(Data_Val!$L$2*365.25))),0,1),1))</f>
        <v>#REF!</v>
      </c>
      <c r="AM230" s="17" t="e">
        <f>IF(Data!#REF!="","",IF(Data!$G230="",1,IF(ISNUMBER(MATCH(Data!#REF!,Data_Val!$D$2:$D$10,0)),0,1)))</f>
        <v>#REF!</v>
      </c>
      <c r="AN230" s="13"/>
      <c r="AO230" s="28" t="e">
        <f ca="1">IF(Data!#REF!="","",IF(ISNUMBER(Data!#REF!),IF(AND(Data!#REF!&gt;(TODAY()-(Data_Val!$I$3*365.25)),Data!#REF!&lt;=(TODAY()-(Data_Val!$I$2*365.25))),0,1),1))</f>
        <v>#REF!</v>
      </c>
      <c r="AP230" s="13" t="e">
        <f>IF(Data!#REF!="","",IF(Data!$G230="",1,IF(ISNUMBER(MATCH(Data!#REF!,Data_Val!$D$2:$D$10,0)),0,1)))</f>
        <v>#REF!</v>
      </c>
      <c r="AQ230" s="17"/>
      <c r="AR230" s="30" t="e">
        <f ca="1">IF(Data!#REF!="","",IF(ISNUMBER(Data!#REF!),IF(AND(Data!#REF!&gt;(TODAY()-(Data_Val!$I$3*365.25)),Data!#REF!&lt;=(TODAY()-(Data_Val!$I$2*365.25))),0,1),1))</f>
        <v>#REF!</v>
      </c>
      <c r="AS230" s="31" t="e">
        <f>IF(Data!#REF!="","",IF(Data!$G230="",1,IF(ISNUMBER(MATCH(Data!#REF!,Data_Val!$D$2:$D$10,0)),0,1)))</f>
        <v>#REF!</v>
      </c>
      <c r="AT230" s="11"/>
      <c r="AU230" s="11" t="e">
        <f ca="1">IF(Data!#REF!="","",IF(ISNUMBER(Data!#REF!),IF(AND(Data!#REF!&gt;(TODAY()-(Data_Val!$I$3*365.25)),Data!#REF!&lt;=(TODAY()-(Data_Val!$I$2*365.25))),0,1),1))</f>
        <v>#REF!</v>
      </c>
      <c r="AV230" s="11" t="e">
        <f>IF(Data!#REF!="","",IF(Data!$G230="",1,IF(ISNUMBER(MATCH(Data!#REF!,Data_Val!$D$2:$D$10,0)),0,1)))</f>
        <v>#REF!</v>
      </c>
      <c r="AW230" s="12"/>
      <c r="AX230" s="26" t="e">
        <f ca="1">IF(Data!#REF!="","",IF(ISNUMBER(Data!#REF!),IF(AND(Data!#REF!&gt;(TODAY()-(Data_Val!$I$3*365.25)),Data!#REF!&lt;=(TODAY()-(Data_Val!$I$2*365.25))),0,1),1))</f>
        <v>#REF!</v>
      </c>
      <c r="AY230" s="12" t="e">
        <f>IF(Data!#REF!="","",IF(Data!$G230="",1,IF(ISNUMBER(MATCH(Data!#REF!,Data_Val!$D$2:$D$10,0)),0,1)))</f>
        <v>#REF!</v>
      </c>
      <c r="AZ230" s="11"/>
      <c r="BA230" s="19" t="e">
        <f ca="1">IF(Data!#REF!="","",IF(ISNUMBER(Data!#REF!),IF(AND(Data!#REF!&gt;(TODAY()-(Data_Val!$M$3*365.25)),Data!#REF!&lt;=(TODAY()-(Data_Val!$M$2*365.25))),0,1),1))</f>
        <v>#REF!</v>
      </c>
      <c r="BB230" s="11" t="e">
        <f>IF(Data!#REF!="","",IF(Data!$G230="",1,IF(ISNUMBER(MATCH(Data!#REF!,Data_Val!$D$2:$D$10,0)),0,1)))</f>
        <v>#REF!</v>
      </c>
      <c r="BC230" s="12"/>
      <c r="BD230" s="20" t="e">
        <f ca="1">IF(Data!#REF!="","",IF(ISNUMBER(Data!#REF!),IF(AND(Data!#REF!&gt;(TODAY()-(Data_Val!$M$3*365.25)),Data!#REF!&lt;=(TODAY()-(Data_Val!$M$2*365.25))),0,1),1))</f>
        <v>#REF!</v>
      </c>
      <c r="BE230" s="12" t="e">
        <f>IF(Data!#REF!="","",IF(Data!$G230="",1,IF(ISNUMBER(MATCH(Data!#REF!,Data_Val!$D$2:$D$10,0)),0,1)))</f>
        <v>#REF!</v>
      </c>
      <c r="BF230" s="17"/>
      <c r="BG230" s="18" t="e">
        <f ca="1">IF(Data!#REF!="","",IF(ISNUMBER(Data!#REF!),IF(AND(Data!#REF!&gt;(TODAY()-(Data_Val!$M$3*365.25)),Data!#REF!&lt;=(TODAY()-(Data_Val!$M$2*365.25))),0,1),1))</f>
        <v>#REF!</v>
      </c>
      <c r="BH230" s="29" t="e">
        <f>IF(Data!#REF!="","",IF(Data!$G230="",1,IF(ISNUMBER(MATCH(Data!#REF!,Data_Val!$D$2:$D$10,0)),0,1)))</f>
        <v>#REF!</v>
      </c>
      <c r="BI230" s="13"/>
      <c r="BJ230" s="21" t="e">
        <f ca="1">IF(Data!#REF!="","",IF(ISNUMBER(Data!#REF!),IF(AND(Data!#REF!&gt;(TODAY()-(Data_Val!$M$3*365.25)),Data!#REF!&lt;=(TODAY()-(Data_Val!$M$2*365.25))),0,1),1))</f>
        <v>#REF!</v>
      </c>
      <c r="BK230" s="13" t="e">
        <f>IF(Data!#REF!="","",IF(Data!$G230="",1,IF(ISNUMBER(MATCH(Data!#REF!,Data_Val!$D$2:$D$10,0)),0,1)))</f>
        <v>#REF!</v>
      </c>
    </row>
    <row r="231" spans="1:63" x14ac:dyDescent="0.25">
      <c r="A231" s="9" t="str">
        <f>IF(Data!B231="","",IF(COUNTIFS(Data!A$1:'Data'!A231,Data!A231)&lt;=1,0,1))</f>
        <v/>
      </c>
      <c r="B231" s="9"/>
      <c r="C231" s="23" t="str">
        <f>IF(Data!C231="","",(IF(ISNUMBER(MATCH("*@*.?*",Data!C231,0)),0,1)+IF(COUNTIFS(Data!C$1:'Data'!C231,Data!C231)&gt;1,1,0)))</f>
        <v/>
      </c>
      <c r="D231" s="9" t="str">
        <f>IF(Data!B231="","",IF(ISNUMBER(Data!D231),IF(AND(Data!D231&gt;999999999,Data!D231&lt;=9999999999),IF(COUNTIFS(Data!D$1:'Data'!D231,Data!D231)&lt;=1,0,1),1),1))</f>
        <v/>
      </c>
      <c r="E231" s="9" t="str">
        <f>IF(Data!B231="","",IF(ISNUMBER(MATCH(Data!E231,Data_Val!$A$2:$A$3,0)),0,1))</f>
        <v/>
      </c>
      <c r="F231" s="9" t="str">
        <f ca="1">IF(Data!B231="","",IF(ISNUMBER(Data!F231),IF(AND(Data!F231&gt;(TODAY()-(Data_Val!$H$3*365.25)),Data!F231&lt;=(TODAY()-(Data_Val!$H$2*365.25))),0,1),1))</f>
        <v/>
      </c>
      <c r="G231" s="15" t="str">
        <f>IF(Data!B231="","",IF(AND(Data!G231="",Data!H231&lt;&gt;""),1,IF(Data!#REF!&lt;&gt;"",0,IF(ISNUMBER(MATCH(Data!G231,Data_Val!$C$2:$C$5,0)),0,1))))</f>
        <v/>
      </c>
      <c r="H231" s="15" t="str">
        <f>IF(Data!B231="","",IF(AND(Data!G231&lt;&gt;"",Data!H231=""),1,IF(Data!#REF!&lt;&gt;"",0,IF(Data!G231="",1,IF(ISNUMBER(MATCH(Data!H231,Data_Val!$D$2:$D$35,0)),0,1)))))</f>
        <v/>
      </c>
      <c r="I231" s="15" t="str">
        <f>IF(Data!B231="","",IF(Data!G231&lt;&gt;"",0,IF(ISNUMBER(MATCH(Data!#REF!,Data_Val!$E$2:$E$12,0)),0,1)))</f>
        <v/>
      </c>
      <c r="J231" s="16" t="e">
        <f>IF(OR(Data!B231="",Data!#REF!=""),"",IF(Data!#REF!="",1,0))</f>
        <v>#REF!</v>
      </c>
      <c r="K231" s="16" t="e">
        <f>IF(OR(Data!B231="",Data!#REF!=""),"",IF(Data!#REF!="",1,0))</f>
        <v>#REF!</v>
      </c>
      <c r="L231" s="16" t="e">
        <f>IF(OR(Data!B231="",Data!#REF!=""),"",IF(ISNUMBER(Data!#REF!),IF(AND(Data!#REF!&gt;Data_Val!$G$2,Data!#REF!&lt;=Data_Val!$G$3),0,1),1))</f>
        <v>#REF!</v>
      </c>
      <c r="M231" s="9" t="e">
        <f>IF(OR(Data!B231="",Data!#REF!=""),"",IF(ISNUMBER(MATCH(Data!#REF!,Data_Val!$F$1:$F$38,0)),0,1))</f>
        <v>#REF!</v>
      </c>
      <c r="N231" s="9" t="e">
        <f>IF(OR(Data!B231="",Data!#REF!=""),"",IF(Data!#REF!="",1,0))</f>
        <v>#REF!</v>
      </c>
      <c r="O231" s="17" t="e">
        <f>IF(Data!#REF!="","",IF(Data!#REF!="",1,0))</f>
        <v>#REF!</v>
      </c>
      <c r="P231" s="17" t="e">
        <f>IF(Data!#REF!="","",IF(ISNUMBER(MATCH(Data!#REF!,Data_Val!$A$2:$A$3,0)),0,1))</f>
        <v>#REF!</v>
      </c>
      <c r="Q231" s="25" t="e">
        <f ca="1">IF(Data!#REF!="","",IF(ISNUMBER(Data!#REF!),IF(AND(Data!#REF!&gt;(TODAY()-(Data_Val!$J$3*365.25)),Data!#REF!&lt;=(TODAY()-(Data_Val!$J$2*365.25))),0,1),1))</f>
        <v>#REF!</v>
      </c>
      <c r="R231" s="17" t="e">
        <f>IF(Data!#REF!="","",IF(ISNUMBER(MATCH(Data!#REF!,Data_Val!$B$2:$B$15,0)),0,1))</f>
        <v>#REF!</v>
      </c>
      <c r="S231" s="11" t="str">
        <f>IF(Data!G231="","",IF(Data!G231=Data_Val!$C$2,IF(Data!M231="",0,1),0))</f>
        <v/>
      </c>
      <c r="T231" s="11" t="str">
        <f>IF(Data!M231="","",IF(ISNUMBER(MATCH(Data!N231,Data_Val!$A$2:$A$3,0)),0,1))</f>
        <v/>
      </c>
      <c r="U231" s="11" t="str">
        <f ca="1">IF(Data!M231="","",IF(ISNUMBER(Data!O231),IF(AND(Data!O231&gt;(TODAY()-(Data_Val!$K$3*365.25)),Data!O231&lt;=(TODAY()-(Data_Val!$K$2*365.25))),0,1),1))</f>
        <v/>
      </c>
      <c r="V231" s="12" t="str">
        <f>IF(Data!G231="","",IF(Data!G231=Data_Val!$C$2,IF(Data!P231="",0,1),0))</f>
        <v/>
      </c>
      <c r="W231" s="12" t="str">
        <f>IF(Data!P231="","",IF(ISNUMBER(MATCH(Data!Q231,Data_Val!$A$2:$A$3,0)),0,1))</f>
        <v/>
      </c>
      <c r="X231" s="26" t="str">
        <f ca="1">IF(Data!P231="","",IF(ISNUMBER(Data!R231),IF(AND(Data!R231&gt;(TODAY()-(Data_Val!$L$3*365.25)),Data!R231&lt;=(TODAY()-(Data_Val!$L$2*365.25))),0,1),1))</f>
        <v/>
      </c>
      <c r="Y231" s="13" t="str">
        <f>IF(Data!$G231="","",IF(Data!$G231=Data_Val!$C$2,IF(Data!S231="",0,1),0))</f>
        <v/>
      </c>
      <c r="Z231" s="13" t="str">
        <f>IF(Data!S231="","",IF(ISNUMBER(MATCH(Data!T231,Data_Val!$A$2:$A$3,0)),0,1))</f>
        <v/>
      </c>
      <c r="AA231" s="28" t="str">
        <f ca="1">IF(Data!S231="","",IF(ISNUMBER(Data!U231),IF(AND(Data!U231&gt;(TODAY()-(Data_Val!$L$3*365.25)),Data!U231&lt;=(TODAY()-(Data_Val!$L$2*365.25))),0,1),1))</f>
        <v/>
      </c>
      <c r="AB231" s="11"/>
      <c r="AC231" s="11" t="e">
        <f>IF(Data!#REF!="","",IF(ISNUMBER(MATCH(Data!#REF!,Data_Val!$A$2:$A$3,0)),0,1))</f>
        <v>#REF!</v>
      </c>
      <c r="AD231" s="11" t="e">
        <f ca="1">IF(Data!#REF!="","",IF(ISNUMBER(Data!#REF!),IF(AND(Data!#REF!&gt;(TODAY()-(Data_Val!$L$3*365.25)),Data!#REF!&lt;=(TODAY()-(Data_Val!$L$2*365.25))),0,1),1))</f>
        <v>#REF!</v>
      </c>
      <c r="AE231" s="11" t="e">
        <f>IF(Data!#REF!="","",IF(Data!$G231="",1,IF(ISNUMBER(MATCH(Data!#REF!,Data_Val!$D$2:$D$10,0)),0,1)))</f>
        <v>#REF!</v>
      </c>
      <c r="AF231" s="12"/>
      <c r="AG231" s="12" t="e">
        <f>IF(Data!#REF!="","",IF(ISNUMBER(MATCH(Data!#REF!,Data_Val!$A$2:$A$3,0)),0,1))</f>
        <v>#REF!</v>
      </c>
      <c r="AH231" s="26" t="e">
        <f ca="1">IF(Data!#REF!="","",IF(ISNUMBER(Data!#REF!),IF(AND(Data!#REF!&gt;(TODAY()-(Data_Val!$L$3*365.25)),Data!#REF!&lt;=(TODAY()-(Data_Val!$L$2*365.25))),0,1),1))</f>
        <v>#REF!</v>
      </c>
      <c r="AI231" s="12" t="e">
        <f>IF(Data!#REF!="","",IF(Data!$G231="",1,IF(ISNUMBER(MATCH(Data!#REF!,Data_Val!$D$2:$D$10,0)),0,1)))</f>
        <v>#REF!</v>
      </c>
      <c r="AJ231" s="17"/>
      <c r="AK231" s="17" t="e">
        <f>IF(Data!#REF!="","",IF(ISNUMBER(MATCH(Data!#REF!,Data_Val!$A$2:$A$3,0)),0,1))</f>
        <v>#REF!</v>
      </c>
      <c r="AL231" s="25" t="e">
        <f ca="1">IF(Data!#REF!="","",IF(ISNUMBER(Data!#REF!),IF(AND(Data!#REF!&gt;(TODAY()-(Data_Val!$L$3*365.25)),Data!#REF!&lt;=(TODAY()-(Data_Val!$L$2*365.25))),0,1),1))</f>
        <v>#REF!</v>
      </c>
      <c r="AM231" s="17" t="e">
        <f>IF(Data!#REF!="","",IF(Data!$G231="",1,IF(ISNUMBER(MATCH(Data!#REF!,Data_Val!$D$2:$D$10,0)),0,1)))</f>
        <v>#REF!</v>
      </c>
      <c r="AN231" s="13"/>
      <c r="AO231" s="28" t="e">
        <f ca="1">IF(Data!#REF!="","",IF(ISNUMBER(Data!#REF!),IF(AND(Data!#REF!&gt;(TODAY()-(Data_Val!$I$3*365.25)),Data!#REF!&lt;=(TODAY()-(Data_Val!$I$2*365.25))),0,1),1))</f>
        <v>#REF!</v>
      </c>
      <c r="AP231" s="13" t="e">
        <f>IF(Data!#REF!="","",IF(Data!$G231="",1,IF(ISNUMBER(MATCH(Data!#REF!,Data_Val!$D$2:$D$10,0)),0,1)))</f>
        <v>#REF!</v>
      </c>
      <c r="AQ231" s="17"/>
      <c r="AR231" s="30" t="e">
        <f ca="1">IF(Data!#REF!="","",IF(ISNUMBER(Data!#REF!),IF(AND(Data!#REF!&gt;(TODAY()-(Data_Val!$I$3*365.25)),Data!#REF!&lt;=(TODAY()-(Data_Val!$I$2*365.25))),0,1),1))</f>
        <v>#REF!</v>
      </c>
      <c r="AS231" s="31" t="e">
        <f>IF(Data!#REF!="","",IF(Data!$G231="",1,IF(ISNUMBER(MATCH(Data!#REF!,Data_Val!$D$2:$D$10,0)),0,1)))</f>
        <v>#REF!</v>
      </c>
      <c r="AT231" s="11"/>
      <c r="AU231" s="11" t="e">
        <f ca="1">IF(Data!#REF!="","",IF(ISNUMBER(Data!#REF!),IF(AND(Data!#REF!&gt;(TODAY()-(Data_Val!$I$3*365.25)),Data!#REF!&lt;=(TODAY()-(Data_Val!$I$2*365.25))),0,1),1))</f>
        <v>#REF!</v>
      </c>
      <c r="AV231" s="11" t="e">
        <f>IF(Data!#REF!="","",IF(Data!$G231="",1,IF(ISNUMBER(MATCH(Data!#REF!,Data_Val!$D$2:$D$10,0)),0,1)))</f>
        <v>#REF!</v>
      </c>
      <c r="AW231" s="12"/>
      <c r="AX231" s="26" t="e">
        <f ca="1">IF(Data!#REF!="","",IF(ISNUMBER(Data!#REF!),IF(AND(Data!#REF!&gt;(TODAY()-(Data_Val!$I$3*365.25)),Data!#REF!&lt;=(TODAY()-(Data_Val!$I$2*365.25))),0,1),1))</f>
        <v>#REF!</v>
      </c>
      <c r="AY231" s="12" t="e">
        <f>IF(Data!#REF!="","",IF(Data!$G231="",1,IF(ISNUMBER(MATCH(Data!#REF!,Data_Val!$D$2:$D$10,0)),0,1)))</f>
        <v>#REF!</v>
      </c>
      <c r="AZ231" s="11"/>
      <c r="BA231" s="19" t="e">
        <f ca="1">IF(Data!#REF!="","",IF(ISNUMBER(Data!#REF!),IF(AND(Data!#REF!&gt;(TODAY()-(Data_Val!$M$3*365.25)),Data!#REF!&lt;=(TODAY()-(Data_Val!$M$2*365.25))),0,1),1))</f>
        <v>#REF!</v>
      </c>
      <c r="BB231" s="11" t="e">
        <f>IF(Data!#REF!="","",IF(Data!$G231="",1,IF(ISNUMBER(MATCH(Data!#REF!,Data_Val!$D$2:$D$10,0)),0,1)))</f>
        <v>#REF!</v>
      </c>
      <c r="BC231" s="12"/>
      <c r="BD231" s="20" t="e">
        <f ca="1">IF(Data!#REF!="","",IF(ISNUMBER(Data!#REF!),IF(AND(Data!#REF!&gt;(TODAY()-(Data_Val!$M$3*365.25)),Data!#REF!&lt;=(TODAY()-(Data_Val!$M$2*365.25))),0,1),1))</f>
        <v>#REF!</v>
      </c>
      <c r="BE231" s="12" t="e">
        <f>IF(Data!#REF!="","",IF(Data!$G231="",1,IF(ISNUMBER(MATCH(Data!#REF!,Data_Val!$D$2:$D$10,0)),0,1)))</f>
        <v>#REF!</v>
      </c>
      <c r="BF231" s="17"/>
      <c r="BG231" s="18" t="e">
        <f ca="1">IF(Data!#REF!="","",IF(ISNUMBER(Data!#REF!),IF(AND(Data!#REF!&gt;(TODAY()-(Data_Val!$M$3*365.25)),Data!#REF!&lt;=(TODAY()-(Data_Val!$M$2*365.25))),0,1),1))</f>
        <v>#REF!</v>
      </c>
      <c r="BH231" s="29" t="e">
        <f>IF(Data!#REF!="","",IF(Data!$G231="",1,IF(ISNUMBER(MATCH(Data!#REF!,Data_Val!$D$2:$D$10,0)),0,1)))</f>
        <v>#REF!</v>
      </c>
      <c r="BI231" s="13"/>
      <c r="BJ231" s="21" t="e">
        <f ca="1">IF(Data!#REF!="","",IF(ISNUMBER(Data!#REF!),IF(AND(Data!#REF!&gt;(TODAY()-(Data_Val!$M$3*365.25)),Data!#REF!&lt;=(TODAY()-(Data_Val!$M$2*365.25))),0,1),1))</f>
        <v>#REF!</v>
      </c>
      <c r="BK231" s="13" t="e">
        <f>IF(Data!#REF!="","",IF(Data!$G231="",1,IF(ISNUMBER(MATCH(Data!#REF!,Data_Val!$D$2:$D$10,0)),0,1)))</f>
        <v>#REF!</v>
      </c>
    </row>
    <row r="232" spans="1:63" x14ac:dyDescent="0.25">
      <c r="A232" s="9" t="str">
        <f>IF(Data!B232="","",IF(COUNTIFS(Data!A$1:'Data'!A232,Data!A232)&lt;=1,0,1))</f>
        <v/>
      </c>
      <c r="B232" s="9"/>
      <c r="C232" s="23" t="str">
        <f>IF(Data!C232="","",(IF(ISNUMBER(MATCH("*@*.?*",Data!C232,0)),0,1)+IF(COUNTIFS(Data!C$1:'Data'!C232,Data!C232)&gt;1,1,0)))</f>
        <v/>
      </c>
      <c r="D232" s="9" t="str">
        <f>IF(Data!B232="","",IF(ISNUMBER(Data!D232),IF(AND(Data!D232&gt;999999999,Data!D232&lt;=9999999999),IF(COUNTIFS(Data!D$1:'Data'!D232,Data!D232)&lt;=1,0,1),1),1))</f>
        <v/>
      </c>
      <c r="E232" s="9" t="str">
        <f>IF(Data!B232="","",IF(ISNUMBER(MATCH(Data!E232,Data_Val!$A$2:$A$3,0)),0,1))</f>
        <v/>
      </c>
      <c r="F232" s="9" t="str">
        <f ca="1">IF(Data!B232="","",IF(ISNUMBER(Data!F232),IF(AND(Data!F232&gt;(TODAY()-(Data_Val!$H$3*365.25)),Data!F232&lt;=(TODAY()-(Data_Val!$H$2*365.25))),0,1),1))</f>
        <v/>
      </c>
      <c r="G232" s="15" t="str">
        <f>IF(Data!B232="","",IF(AND(Data!G232="",Data!H232&lt;&gt;""),1,IF(Data!#REF!&lt;&gt;"",0,IF(ISNUMBER(MATCH(Data!G232,Data_Val!$C$2:$C$5,0)),0,1))))</f>
        <v/>
      </c>
      <c r="H232" s="15" t="str">
        <f>IF(Data!B232="","",IF(AND(Data!G232&lt;&gt;"",Data!H232=""),1,IF(Data!#REF!&lt;&gt;"",0,IF(Data!G232="",1,IF(ISNUMBER(MATCH(Data!H232,Data_Val!$D$2:$D$35,0)),0,1)))))</f>
        <v/>
      </c>
      <c r="I232" s="15" t="str">
        <f>IF(Data!B232="","",IF(Data!G232&lt;&gt;"",0,IF(ISNUMBER(MATCH(Data!#REF!,Data_Val!$E$2:$E$12,0)),0,1)))</f>
        <v/>
      </c>
      <c r="J232" s="16" t="e">
        <f>IF(OR(Data!B232="",Data!#REF!=""),"",IF(Data!#REF!="",1,0))</f>
        <v>#REF!</v>
      </c>
      <c r="K232" s="16" t="e">
        <f>IF(OR(Data!B232="",Data!#REF!=""),"",IF(Data!#REF!="",1,0))</f>
        <v>#REF!</v>
      </c>
      <c r="L232" s="16" t="e">
        <f>IF(OR(Data!B232="",Data!#REF!=""),"",IF(ISNUMBER(Data!#REF!),IF(AND(Data!#REF!&gt;Data_Val!$G$2,Data!#REF!&lt;=Data_Val!$G$3),0,1),1))</f>
        <v>#REF!</v>
      </c>
      <c r="M232" s="9" t="e">
        <f>IF(OR(Data!B232="",Data!#REF!=""),"",IF(ISNUMBER(MATCH(Data!#REF!,Data_Val!$F$1:$F$38,0)),0,1))</f>
        <v>#REF!</v>
      </c>
      <c r="N232" s="9" t="e">
        <f>IF(OR(Data!B232="",Data!#REF!=""),"",IF(Data!#REF!="",1,0))</f>
        <v>#REF!</v>
      </c>
      <c r="O232" s="17" t="e">
        <f>IF(Data!#REF!="","",IF(Data!#REF!="",1,0))</f>
        <v>#REF!</v>
      </c>
      <c r="P232" s="17" t="e">
        <f>IF(Data!#REF!="","",IF(ISNUMBER(MATCH(Data!#REF!,Data_Val!$A$2:$A$3,0)),0,1))</f>
        <v>#REF!</v>
      </c>
      <c r="Q232" s="25" t="e">
        <f ca="1">IF(Data!#REF!="","",IF(ISNUMBER(Data!#REF!),IF(AND(Data!#REF!&gt;(TODAY()-(Data_Val!$J$3*365.25)),Data!#REF!&lt;=(TODAY()-(Data_Val!$J$2*365.25))),0,1),1))</f>
        <v>#REF!</v>
      </c>
      <c r="R232" s="17" t="e">
        <f>IF(Data!#REF!="","",IF(ISNUMBER(MATCH(Data!#REF!,Data_Val!$B$2:$B$15,0)),0,1))</f>
        <v>#REF!</v>
      </c>
      <c r="S232" s="11" t="str">
        <f>IF(Data!G232="","",IF(Data!G232=Data_Val!$C$2,IF(Data!M232="",0,1),0))</f>
        <v/>
      </c>
      <c r="T232" s="11" t="str">
        <f>IF(Data!M232="","",IF(ISNUMBER(MATCH(Data!N232,Data_Val!$A$2:$A$3,0)),0,1))</f>
        <v/>
      </c>
      <c r="U232" s="11" t="str">
        <f ca="1">IF(Data!M232="","",IF(ISNUMBER(Data!O232),IF(AND(Data!O232&gt;(TODAY()-(Data_Val!$K$3*365.25)),Data!O232&lt;=(TODAY()-(Data_Val!$K$2*365.25))),0,1),1))</f>
        <v/>
      </c>
      <c r="V232" s="12" t="str">
        <f>IF(Data!G232="","",IF(Data!G232=Data_Val!$C$2,IF(Data!P232="",0,1),0))</f>
        <v/>
      </c>
      <c r="W232" s="12" t="str">
        <f>IF(Data!P232="","",IF(ISNUMBER(MATCH(Data!Q232,Data_Val!$A$2:$A$3,0)),0,1))</f>
        <v/>
      </c>
      <c r="X232" s="26" t="str">
        <f ca="1">IF(Data!P232="","",IF(ISNUMBER(Data!R232),IF(AND(Data!R232&gt;(TODAY()-(Data_Val!$L$3*365.25)),Data!R232&lt;=(TODAY()-(Data_Val!$L$2*365.25))),0,1),1))</f>
        <v/>
      </c>
      <c r="Y232" s="13" t="str">
        <f>IF(Data!$G232="","",IF(Data!$G232=Data_Val!$C$2,IF(Data!S232="",0,1),0))</f>
        <v/>
      </c>
      <c r="Z232" s="13" t="str">
        <f>IF(Data!S232="","",IF(ISNUMBER(MATCH(Data!T232,Data_Val!$A$2:$A$3,0)),0,1))</f>
        <v/>
      </c>
      <c r="AA232" s="28" t="str">
        <f ca="1">IF(Data!S232="","",IF(ISNUMBER(Data!U232),IF(AND(Data!U232&gt;(TODAY()-(Data_Val!$L$3*365.25)),Data!U232&lt;=(TODAY()-(Data_Val!$L$2*365.25))),0,1),1))</f>
        <v/>
      </c>
      <c r="AB232" s="11"/>
      <c r="AC232" s="11" t="e">
        <f>IF(Data!#REF!="","",IF(ISNUMBER(MATCH(Data!#REF!,Data_Val!$A$2:$A$3,0)),0,1))</f>
        <v>#REF!</v>
      </c>
      <c r="AD232" s="11" t="e">
        <f ca="1">IF(Data!#REF!="","",IF(ISNUMBER(Data!#REF!),IF(AND(Data!#REF!&gt;(TODAY()-(Data_Val!$L$3*365.25)),Data!#REF!&lt;=(TODAY()-(Data_Val!$L$2*365.25))),0,1),1))</f>
        <v>#REF!</v>
      </c>
      <c r="AE232" s="11" t="e">
        <f>IF(Data!#REF!="","",IF(Data!$G232="",1,IF(ISNUMBER(MATCH(Data!#REF!,Data_Val!$D$2:$D$10,0)),0,1)))</f>
        <v>#REF!</v>
      </c>
      <c r="AF232" s="12"/>
      <c r="AG232" s="12" t="e">
        <f>IF(Data!#REF!="","",IF(ISNUMBER(MATCH(Data!#REF!,Data_Val!$A$2:$A$3,0)),0,1))</f>
        <v>#REF!</v>
      </c>
      <c r="AH232" s="26" t="e">
        <f ca="1">IF(Data!#REF!="","",IF(ISNUMBER(Data!#REF!),IF(AND(Data!#REF!&gt;(TODAY()-(Data_Val!$L$3*365.25)),Data!#REF!&lt;=(TODAY()-(Data_Val!$L$2*365.25))),0,1),1))</f>
        <v>#REF!</v>
      </c>
      <c r="AI232" s="12" t="e">
        <f>IF(Data!#REF!="","",IF(Data!$G232="",1,IF(ISNUMBER(MATCH(Data!#REF!,Data_Val!$D$2:$D$10,0)),0,1)))</f>
        <v>#REF!</v>
      </c>
      <c r="AJ232" s="17"/>
      <c r="AK232" s="17" t="e">
        <f>IF(Data!#REF!="","",IF(ISNUMBER(MATCH(Data!#REF!,Data_Val!$A$2:$A$3,0)),0,1))</f>
        <v>#REF!</v>
      </c>
      <c r="AL232" s="25" t="e">
        <f ca="1">IF(Data!#REF!="","",IF(ISNUMBER(Data!#REF!),IF(AND(Data!#REF!&gt;(TODAY()-(Data_Val!$L$3*365.25)),Data!#REF!&lt;=(TODAY()-(Data_Val!$L$2*365.25))),0,1),1))</f>
        <v>#REF!</v>
      </c>
      <c r="AM232" s="17" t="e">
        <f>IF(Data!#REF!="","",IF(Data!$G232="",1,IF(ISNUMBER(MATCH(Data!#REF!,Data_Val!$D$2:$D$10,0)),0,1)))</f>
        <v>#REF!</v>
      </c>
      <c r="AN232" s="13"/>
      <c r="AO232" s="28" t="e">
        <f ca="1">IF(Data!#REF!="","",IF(ISNUMBER(Data!#REF!),IF(AND(Data!#REF!&gt;(TODAY()-(Data_Val!$I$3*365.25)),Data!#REF!&lt;=(TODAY()-(Data_Val!$I$2*365.25))),0,1),1))</f>
        <v>#REF!</v>
      </c>
      <c r="AP232" s="13" t="e">
        <f>IF(Data!#REF!="","",IF(Data!$G232="",1,IF(ISNUMBER(MATCH(Data!#REF!,Data_Val!$D$2:$D$10,0)),0,1)))</f>
        <v>#REF!</v>
      </c>
      <c r="AQ232" s="17"/>
      <c r="AR232" s="30" t="e">
        <f ca="1">IF(Data!#REF!="","",IF(ISNUMBER(Data!#REF!),IF(AND(Data!#REF!&gt;(TODAY()-(Data_Val!$I$3*365.25)),Data!#REF!&lt;=(TODAY()-(Data_Val!$I$2*365.25))),0,1),1))</f>
        <v>#REF!</v>
      </c>
      <c r="AS232" s="31" t="e">
        <f>IF(Data!#REF!="","",IF(Data!$G232="",1,IF(ISNUMBER(MATCH(Data!#REF!,Data_Val!$D$2:$D$10,0)),0,1)))</f>
        <v>#REF!</v>
      </c>
      <c r="AT232" s="11"/>
      <c r="AU232" s="11" t="e">
        <f ca="1">IF(Data!#REF!="","",IF(ISNUMBER(Data!#REF!),IF(AND(Data!#REF!&gt;(TODAY()-(Data_Val!$I$3*365.25)),Data!#REF!&lt;=(TODAY()-(Data_Val!$I$2*365.25))),0,1),1))</f>
        <v>#REF!</v>
      </c>
      <c r="AV232" s="11" t="e">
        <f>IF(Data!#REF!="","",IF(Data!$G232="",1,IF(ISNUMBER(MATCH(Data!#REF!,Data_Val!$D$2:$D$10,0)),0,1)))</f>
        <v>#REF!</v>
      </c>
      <c r="AW232" s="12"/>
      <c r="AX232" s="26" t="e">
        <f ca="1">IF(Data!#REF!="","",IF(ISNUMBER(Data!#REF!),IF(AND(Data!#REF!&gt;(TODAY()-(Data_Val!$I$3*365.25)),Data!#REF!&lt;=(TODAY()-(Data_Val!$I$2*365.25))),0,1),1))</f>
        <v>#REF!</v>
      </c>
      <c r="AY232" s="12" t="e">
        <f>IF(Data!#REF!="","",IF(Data!$G232="",1,IF(ISNUMBER(MATCH(Data!#REF!,Data_Val!$D$2:$D$10,0)),0,1)))</f>
        <v>#REF!</v>
      </c>
      <c r="AZ232" s="11"/>
      <c r="BA232" s="19" t="e">
        <f ca="1">IF(Data!#REF!="","",IF(ISNUMBER(Data!#REF!),IF(AND(Data!#REF!&gt;(TODAY()-(Data_Val!$M$3*365.25)),Data!#REF!&lt;=(TODAY()-(Data_Val!$M$2*365.25))),0,1),1))</f>
        <v>#REF!</v>
      </c>
      <c r="BB232" s="11" t="e">
        <f>IF(Data!#REF!="","",IF(Data!$G232="",1,IF(ISNUMBER(MATCH(Data!#REF!,Data_Val!$D$2:$D$10,0)),0,1)))</f>
        <v>#REF!</v>
      </c>
      <c r="BC232" s="12"/>
      <c r="BD232" s="20" t="e">
        <f ca="1">IF(Data!#REF!="","",IF(ISNUMBER(Data!#REF!),IF(AND(Data!#REF!&gt;(TODAY()-(Data_Val!$M$3*365.25)),Data!#REF!&lt;=(TODAY()-(Data_Val!$M$2*365.25))),0,1),1))</f>
        <v>#REF!</v>
      </c>
      <c r="BE232" s="12" t="e">
        <f>IF(Data!#REF!="","",IF(Data!$G232="",1,IF(ISNUMBER(MATCH(Data!#REF!,Data_Val!$D$2:$D$10,0)),0,1)))</f>
        <v>#REF!</v>
      </c>
      <c r="BF232" s="17"/>
      <c r="BG232" s="18" t="e">
        <f ca="1">IF(Data!#REF!="","",IF(ISNUMBER(Data!#REF!),IF(AND(Data!#REF!&gt;(TODAY()-(Data_Val!$M$3*365.25)),Data!#REF!&lt;=(TODAY()-(Data_Val!$M$2*365.25))),0,1),1))</f>
        <v>#REF!</v>
      </c>
      <c r="BH232" s="29" t="e">
        <f>IF(Data!#REF!="","",IF(Data!$G232="",1,IF(ISNUMBER(MATCH(Data!#REF!,Data_Val!$D$2:$D$10,0)),0,1)))</f>
        <v>#REF!</v>
      </c>
      <c r="BI232" s="13"/>
      <c r="BJ232" s="21" t="e">
        <f ca="1">IF(Data!#REF!="","",IF(ISNUMBER(Data!#REF!),IF(AND(Data!#REF!&gt;(TODAY()-(Data_Val!$M$3*365.25)),Data!#REF!&lt;=(TODAY()-(Data_Val!$M$2*365.25))),0,1),1))</f>
        <v>#REF!</v>
      </c>
      <c r="BK232" s="13" t="e">
        <f>IF(Data!#REF!="","",IF(Data!$G232="",1,IF(ISNUMBER(MATCH(Data!#REF!,Data_Val!$D$2:$D$10,0)),0,1)))</f>
        <v>#REF!</v>
      </c>
    </row>
    <row r="233" spans="1:63" x14ac:dyDescent="0.25">
      <c r="A233" s="9" t="str">
        <f>IF(Data!B233="","",IF(COUNTIFS(Data!A$1:'Data'!A233,Data!A233)&lt;=1,0,1))</f>
        <v/>
      </c>
      <c r="B233" s="9"/>
      <c r="C233" s="23" t="str">
        <f>IF(Data!C233="","",(IF(ISNUMBER(MATCH("*@*.?*",Data!C233,0)),0,1)+IF(COUNTIFS(Data!C$1:'Data'!C233,Data!C233)&gt;1,1,0)))</f>
        <v/>
      </c>
      <c r="D233" s="9" t="str">
        <f>IF(Data!B233="","",IF(ISNUMBER(Data!D233),IF(AND(Data!D233&gt;999999999,Data!D233&lt;=9999999999),IF(COUNTIFS(Data!D$1:'Data'!D233,Data!D233)&lt;=1,0,1),1),1))</f>
        <v/>
      </c>
      <c r="E233" s="9" t="str">
        <f>IF(Data!B233="","",IF(ISNUMBER(MATCH(Data!E233,Data_Val!$A$2:$A$3,0)),0,1))</f>
        <v/>
      </c>
      <c r="F233" s="9" t="str">
        <f ca="1">IF(Data!B233="","",IF(ISNUMBER(Data!F233),IF(AND(Data!F233&gt;(TODAY()-(Data_Val!$H$3*365.25)),Data!F233&lt;=(TODAY()-(Data_Val!$H$2*365.25))),0,1),1))</f>
        <v/>
      </c>
      <c r="G233" s="15" t="str">
        <f>IF(Data!B233="","",IF(AND(Data!G233="",Data!H233&lt;&gt;""),1,IF(Data!#REF!&lt;&gt;"",0,IF(ISNUMBER(MATCH(Data!G233,Data_Val!$C$2:$C$5,0)),0,1))))</f>
        <v/>
      </c>
      <c r="H233" s="15" t="str">
        <f>IF(Data!B233="","",IF(AND(Data!G233&lt;&gt;"",Data!H233=""),1,IF(Data!#REF!&lt;&gt;"",0,IF(Data!G233="",1,IF(ISNUMBER(MATCH(Data!H233,Data_Val!$D$2:$D$35,0)),0,1)))))</f>
        <v/>
      </c>
      <c r="I233" s="15" t="str">
        <f>IF(Data!B233="","",IF(Data!G233&lt;&gt;"",0,IF(ISNUMBER(MATCH(Data!#REF!,Data_Val!$E$2:$E$12,0)),0,1)))</f>
        <v/>
      </c>
      <c r="J233" s="16" t="e">
        <f>IF(OR(Data!B233="",Data!#REF!=""),"",IF(Data!#REF!="",1,0))</f>
        <v>#REF!</v>
      </c>
      <c r="K233" s="16" t="e">
        <f>IF(OR(Data!B233="",Data!#REF!=""),"",IF(Data!#REF!="",1,0))</f>
        <v>#REF!</v>
      </c>
      <c r="L233" s="16" t="e">
        <f>IF(OR(Data!B233="",Data!#REF!=""),"",IF(ISNUMBER(Data!#REF!),IF(AND(Data!#REF!&gt;Data_Val!$G$2,Data!#REF!&lt;=Data_Val!$G$3),0,1),1))</f>
        <v>#REF!</v>
      </c>
      <c r="M233" s="9" t="e">
        <f>IF(OR(Data!B233="",Data!#REF!=""),"",IF(ISNUMBER(MATCH(Data!#REF!,Data_Val!$F$1:$F$38,0)),0,1))</f>
        <v>#REF!</v>
      </c>
      <c r="N233" s="9" t="e">
        <f>IF(OR(Data!B233="",Data!#REF!=""),"",IF(Data!#REF!="",1,0))</f>
        <v>#REF!</v>
      </c>
      <c r="O233" s="17" t="e">
        <f>IF(Data!#REF!="","",IF(Data!#REF!="",1,0))</f>
        <v>#REF!</v>
      </c>
      <c r="P233" s="17" t="e">
        <f>IF(Data!#REF!="","",IF(ISNUMBER(MATCH(Data!#REF!,Data_Val!$A$2:$A$3,0)),0,1))</f>
        <v>#REF!</v>
      </c>
      <c r="Q233" s="25" t="e">
        <f ca="1">IF(Data!#REF!="","",IF(ISNUMBER(Data!#REF!),IF(AND(Data!#REF!&gt;(TODAY()-(Data_Val!$J$3*365.25)),Data!#REF!&lt;=(TODAY()-(Data_Val!$J$2*365.25))),0,1),1))</f>
        <v>#REF!</v>
      </c>
      <c r="R233" s="17" t="e">
        <f>IF(Data!#REF!="","",IF(ISNUMBER(MATCH(Data!#REF!,Data_Val!$B$2:$B$15,0)),0,1))</f>
        <v>#REF!</v>
      </c>
      <c r="S233" s="11" t="str">
        <f>IF(Data!G233="","",IF(Data!G233=Data_Val!$C$2,IF(Data!M233="",0,1),0))</f>
        <v/>
      </c>
      <c r="T233" s="11" t="str">
        <f>IF(Data!M233="","",IF(ISNUMBER(MATCH(Data!N233,Data_Val!$A$2:$A$3,0)),0,1))</f>
        <v/>
      </c>
      <c r="U233" s="11" t="str">
        <f ca="1">IF(Data!M233="","",IF(ISNUMBER(Data!O233),IF(AND(Data!O233&gt;(TODAY()-(Data_Val!$K$3*365.25)),Data!O233&lt;=(TODAY()-(Data_Val!$K$2*365.25))),0,1),1))</f>
        <v/>
      </c>
      <c r="V233" s="12" t="str">
        <f>IF(Data!G233="","",IF(Data!G233=Data_Val!$C$2,IF(Data!P233="",0,1),0))</f>
        <v/>
      </c>
      <c r="W233" s="12" t="str">
        <f>IF(Data!P233="","",IF(ISNUMBER(MATCH(Data!Q233,Data_Val!$A$2:$A$3,0)),0,1))</f>
        <v/>
      </c>
      <c r="X233" s="26" t="str">
        <f ca="1">IF(Data!P233="","",IF(ISNUMBER(Data!R233),IF(AND(Data!R233&gt;(TODAY()-(Data_Val!$L$3*365.25)),Data!R233&lt;=(TODAY()-(Data_Val!$L$2*365.25))),0,1),1))</f>
        <v/>
      </c>
      <c r="Y233" s="13" t="str">
        <f>IF(Data!$G233="","",IF(Data!$G233=Data_Val!$C$2,IF(Data!S233="",0,1),0))</f>
        <v/>
      </c>
      <c r="Z233" s="13" t="str">
        <f>IF(Data!S233="","",IF(ISNUMBER(MATCH(Data!T233,Data_Val!$A$2:$A$3,0)),0,1))</f>
        <v/>
      </c>
      <c r="AA233" s="28" t="str">
        <f ca="1">IF(Data!S233="","",IF(ISNUMBER(Data!U233),IF(AND(Data!U233&gt;(TODAY()-(Data_Val!$L$3*365.25)),Data!U233&lt;=(TODAY()-(Data_Val!$L$2*365.25))),0,1),1))</f>
        <v/>
      </c>
      <c r="AB233" s="11"/>
      <c r="AC233" s="11" t="e">
        <f>IF(Data!#REF!="","",IF(ISNUMBER(MATCH(Data!#REF!,Data_Val!$A$2:$A$3,0)),0,1))</f>
        <v>#REF!</v>
      </c>
      <c r="AD233" s="11" t="e">
        <f ca="1">IF(Data!#REF!="","",IF(ISNUMBER(Data!#REF!),IF(AND(Data!#REF!&gt;(TODAY()-(Data_Val!$L$3*365.25)),Data!#REF!&lt;=(TODAY()-(Data_Val!$L$2*365.25))),0,1),1))</f>
        <v>#REF!</v>
      </c>
      <c r="AE233" s="11" t="e">
        <f>IF(Data!#REF!="","",IF(Data!$G233="",1,IF(ISNUMBER(MATCH(Data!#REF!,Data_Val!$D$2:$D$10,0)),0,1)))</f>
        <v>#REF!</v>
      </c>
      <c r="AF233" s="12"/>
      <c r="AG233" s="12" t="e">
        <f>IF(Data!#REF!="","",IF(ISNUMBER(MATCH(Data!#REF!,Data_Val!$A$2:$A$3,0)),0,1))</f>
        <v>#REF!</v>
      </c>
      <c r="AH233" s="26" t="e">
        <f ca="1">IF(Data!#REF!="","",IF(ISNUMBER(Data!#REF!),IF(AND(Data!#REF!&gt;(TODAY()-(Data_Val!$L$3*365.25)),Data!#REF!&lt;=(TODAY()-(Data_Val!$L$2*365.25))),0,1),1))</f>
        <v>#REF!</v>
      </c>
      <c r="AI233" s="12" t="e">
        <f>IF(Data!#REF!="","",IF(Data!$G233="",1,IF(ISNUMBER(MATCH(Data!#REF!,Data_Val!$D$2:$D$10,0)),0,1)))</f>
        <v>#REF!</v>
      </c>
      <c r="AJ233" s="17"/>
      <c r="AK233" s="17" t="e">
        <f>IF(Data!#REF!="","",IF(ISNUMBER(MATCH(Data!#REF!,Data_Val!$A$2:$A$3,0)),0,1))</f>
        <v>#REF!</v>
      </c>
      <c r="AL233" s="25" t="e">
        <f ca="1">IF(Data!#REF!="","",IF(ISNUMBER(Data!#REF!),IF(AND(Data!#REF!&gt;(TODAY()-(Data_Val!$L$3*365.25)),Data!#REF!&lt;=(TODAY()-(Data_Val!$L$2*365.25))),0,1),1))</f>
        <v>#REF!</v>
      </c>
      <c r="AM233" s="17" t="e">
        <f>IF(Data!#REF!="","",IF(Data!$G233="",1,IF(ISNUMBER(MATCH(Data!#REF!,Data_Val!$D$2:$D$10,0)),0,1)))</f>
        <v>#REF!</v>
      </c>
      <c r="AN233" s="13"/>
      <c r="AO233" s="28" t="e">
        <f ca="1">IF(Data!#REF!="","",IF(ISNUMBER(Data!#REF!),IF(AND(Data!#REF!&gt;(TODAY()-(Data_Val!$I$3*365.25)),Data!#REF!&lt;=(TODAY()-(Data_Val!$I$2*365.25))),0,1),1))</f>
        <v>#REF!</v>
      </c>
      <c r="AP233" s="13" t="e">
        <f>IF(Data!#REF!="","",IF(Data!$G233="",1,IF(ISNUMBER(MATCH(Data!#REF!,Data_Val!$D$2:$D$10,0)),0,1)))</f>
        <v>#REF!</v>
      </c>
      <c r="AQ233" s="17"/>
      <c r="AR233" s="30" t="e">
        <f ca="1">IF(Data!#REF!="","",IF(ISNUMBER(Data!#REF!),IF(AND(Data!#REF!&gt;(TODAY()-(Data_Val!$I$3*365.25)),Data!#REF!&lt;=(TODAY()-(Data_Val!$I$2*365.25))),0,1),1))</f>
        <v>#REF!</v>
      </c>
      <c r="AS233" s="31" t="e">
        <f>IF(Data!#REF!="","",IF(Data!$G233="",1,IF(ISNUMBER(MATCH(Data!#REF!,Data_Val!$D$2:$D$10,0)),0,1)))</f>
        <v>#REF!</v>
      </c>
      <c r="AT233" s="11"/>
      <c r="AU233" s="11" t="e">
        <f ca="1">IF(Data!#REF!="","",IF(ISNUMBER(Data!#REF!),IF(AND(Data!#REF!&gt;(TODAY()-(Data_Val!$I$3*365.25)),Data!#REF!&lt;=(TODAY()-(Data_Val!$I$2*365.25))),0,1),1))</f>
        <v>#REF!</v>
      </c>
      <c r="AV233" s="11" t="e">
        <f>IF(Data!#REF!="","",IF(Data!$G233="",1,IF(ISNUMBER(MATCH(Data!#REF!,Data_Val!$D$2:$D$10,0)),0,1)))</f>
        <v>#REF!</v>
      </c>
      <c r="AW233" s="12"/>
      <c r="AX233" s="26" t="e">
        <f ca="1">IF(Data!#REF!="","",IF(ISNUMBER(Data!#REF!),IF(AND(Data!#REF!&gt;(TODAY()-(Data_Val!$I$3*365.25)),Data!#REF!&lt;=(TODAY()-(Data_Val!$I$2*365.25))),0,1),1))</f>
        <v>#REF!</v>
      </c>
      <c r="AY233" s="12" t="e">
        <f>IF(Data!#REF!="","",IF(Data!$G233="",1,IF(ISNUMBER(MATCH(Data!#REF!,Data_Val!$D$2:$D$10,0)),0,1)))</f>
        <v>#REF!</v>
      </c>
      <c r="AZ233" s="11"/>
      <c r="BA233" s="19" t="e">
        <f ca="1">IF(Data!#REF!="","",IF(ISNUMBER(Data!#REF!),IF(AND(Data!#REF!&gt;(TODAY()-(Data_Val!$M$3*365.25)),Data!#REF!&lt;=(TODAY()-(Data_Val!$M$2*365.25))),0,1),1))</f>
        <v>#REF!</v>
      </c>
      <c r="BB233" s="11" t="e">
        <f>IF(Data!#REF!="","",IF(Data!$G233="",1,IF(ISNUMBER(MATCH(Data!#REF!,Data_Val!$D$2:$D$10,0)),0,1)))</f>
        <v>#REF!</v>
      </c>
      <c r="BC233" s="12"/>
      <c r="BD233" s="20" t="e">
        <f ca="1">IF(Data!#REF!="","",IF(ISNUMBER(Data!#REF!),IF(AND(Data!#REF!&gt;(TODAY()-(Data_Val!$M$3*365.25)),Data!#REF!&lt;=(TODAY()-(Data_Val!$M$2*365.25))),0,1),1))</f>
        <v>#REF!</v>
      </c>
      <c r="BE233" s="12" t="e">
        <f>IF(Data!#REF!="","",IF(Data!$G233="",1,IF(ISNUMBER(MATCH(Data!#REF!,Data_Val!$D$2:$D$10,0)),0,1)))</f>
        <v>#REF!</v>
      </c>
      <c r="BF233" s="17"/>
      <c r="BG233" s="18" t="e">
        <f ca="1">IF(Data!#REF!="","",IF(ISNUMBER(Data!#REF!),IF(AND(Data!#REF!&gt;(TODAY()-(Data_Val!$M$3*365.25)),Data!#REF!&lt;=(TODAY()-(Data_Val!$M$2*365.25))),0,1),1))</f>
        <v>#REF!</v>
      </c>
      <c r="BH233" s="29" t="e">
        <f>IF(Data!#REF!="","",IF(Data!$G233="",1,IF(ISNUMBER(MATCH(Data!#REF!,Data_Val!$D$2:$D$10,0)),0,1)))</f>
        <v>#REF!</v>
      </c>
      <c r="BI233" s="13"/>
      <c r="BJ233" s="21" t="e">
        <f ca="1">IF(Data!#REF!="","",IF(ISNUMBER(Data!#REF!),IF(AND(Data!#REF!&gt;(TODAY()-(Data_Val!$M$3*365.25)),Data!#REF!&lt;=(TODAY()-(Data_Val!$M$2*365.25))),0,1),1))</f>
        <v>#REF!</v>
      </c>
      <c r="BK233" s="13" t="e">
        <f>IF(Data!#REF!="","",IF(Data!$G233="",1,IF(ISNUMBER(MATCH(Data!#REF!,Data_Val!$D$2:$D$10,0)),0,1)))</f>
        <v>#REF!</v>
      </c>
    </row>
    <row r="234" spans="1:63" x14ac:dyDescent="0.25">
      <c r="A234" s="9" t="str">
        <f>IF(Data!B234="","",IF(COUNTIFS(Data!A$1:'Data'!A234,Data!A234)&lt;=1,0,1))</f>
        <v/>
      </c>
      <c r="B234" s="9"/>
      <c r="C234" s="23" t="str">
        <f>IF(Data!C234="","",(IF(ISNUMBER(MATCH("*@*.?*",Data!C234,0)),0,1)+IF(COUNTIFS(Data!C$1:'Data'!C234,Data!C234)&gt;1,1,0)))</f>
        <v/>
      </c>
      <c r="D234" s="9" t="str">
        <f>IF(Data!B234="","",IF(ISNUMBER(Data!D234),IF(AND(Data!D234&gt;999999999,Data!D234&lt;=9999999999),IF(COUNTIFS(Data!D$1:'Data'!D234,Data!D234)&lt;=1,0,1),1),1))</f>
        <v/>
      </c>
      <c r="E234" s="9" t="str">
        <f>IF(Data!B234="","",IF(ISNUMBER(MATCH(Data!E234,Data_Val!$A$2:$A$3,0)),0,1))</f>
        <v/>
      </c>
      <c r="F234" s="9" t="str">
        <f ca="1">IF(Data!B234="","",IF(ISNUMBER(Data!F234),IF(AND(Data!F234&gt;(TODAY()-(Data_Val!$H$3*365.25)),Data!F234&lt;=(TODAY()-(Data_Val!$H$2*365.25))),0,1),1))</f>
        <v/>
      </c>
      <c r="G234" s="15" t="str">
        <f>IF(Data!B234="","",IF(AND(Data!G234="",Data!H234&lt;&gt;""),1,IF(Data!#REF!&lt;&gt;"",0,IF(ISNUMBER(MATCH(Data!G234,Data_Val!$C$2:$C$5,0)),0,1))))</f>
        <v/>
      </c>
      <c r="H234" s="15" t="str">
        <f>IF(Data!B234="","",IF(AND(Data!G234&lt;&gt;"",Data!H234=""),1,IF(Data!#REF!&lt;&gt;"",0,IF(Data!G234="",1,IF(ISNUMBER(MATCH(Data!H234,Data_Val!$D$2:$D$35,0)),0,1)))))</f>
        <v/>
      </c>
      <c r="I234" s="15" t="str">
        <f>IF(Data!B234="","",IF(Data!G234&lt;&gt;"",0,IF(ISNUMBER(MATCH(Data!#REF!,Data_Val!$E$2:$E$12,0)),0,1)))</f>
        <v/>
      </c>
      <c r="J234" s="16" t="e">
        <f>IF(OR(Data!B234="",Data!#REF!=""),"",IF(Data!#REF!="",1,0))</f>
        <v>#REF!</v>
      </c>
      <c r="K234" s="16" t="e">
        <f>IF(OR(Data!B234="",Data!#REF!=""),"",IF(Data!#REF!="",1,0))</f>
        <v>#REF!</v>
      </c>
      <c r="L234" s="16" t="e">
        <f>IF(OR(Data!B234="",Data!#REF!=""),"",IF(ISNUMBER(Data!#REF!),IF(AND(Data!#REF!&gt;Data_Val!$G$2,Data!#REF!&lt;=Data_Val!$G$3),0,1),1))</f>
        <v>#REF!</v>
      </c>
      <c r="M234" s="9" t="e">
        <f>IF(OR(Data!B234="",Data!#REF!=""),"",IF(ISNUMBER(MATCH(Data!#REF!,Data_Val!$F$1:$F$38,0)),0,1))</f>
        <v>#REF!</v>
      </c>
      <c r="N234" s="9" t="e">
        <f>IF(OR(Data!B234="",Data!#REF!=""),"",IF(Data!#REF!="",1,0))</f>
        <v>#REF!</v>
      </c>
      <c r="O234" s="17" t="e">
        <f>IF(Data!#REF!="","",IF(Data!#REF!="",1,0))</f>
        <v>#REF!</v>
      </c>
      <c r="P234" s="17" t="e">
        <f>IF(Data!#REF!="","",IF(ISNUMBER(MATCH(Data!#REF!,Data_Val!$A$2:$A$3,0)),0,1))</f>
        <v>#REF!</v>
      </c>
      <c r="Q234" s="25" t="e">
        <f ca="1">IF(Data!#REF!="","",IF(ISNUMBER(Data!#REF!),IF(AND(Data!#REF!&gt;(TODAY()-(Data_Val!$J$3*365.25)),Data!#REF!&lt;=(TODAY()-(Data_Val!$J$2*365.25))),0,1),1))</f>
        <v>#REF!</v>
      </c>
      <c r="R234" s="17" t="e">
        <f>IF(Data!#REF!="","",IF(ISNUMBER(MATCH(Data!#REF!,Data_Val!$B$2:$B$15,0)),0,1))</f>
        <v>#REF!</v>
      </c>
      <c r="S234" s="11" t="str">
        <f>IF(Data!G234="","",IF(Data!G234=Data_Val!$C$2,IF(Data!M234="",0,1),0))</f>
        <v/>
      </c>
      <c r="T234" s="11" t="str">
        <f>IF(Data!M234="","",IF(ISNUMBER(MATCH(Data!N234,Data_Val!$A$2:$A$3,0)),0,1))</f>
        <v/>
      </c>
      <c r="U234" s="11" t="str">
        <f ca="1">IF(Data!M234="","",IF(ISNUMBER(Data!O234),IF(AND(Data!O234&gt;(TODAY()-(Data_Val!$K$3*365.25)),Data!O234&lt;=(TODAY()-(Data_Val!$K$2*365.25))),0,1),1))</f>
        <v/>
      </c>
      <c r="V234" s="12" t="str">
        <f>IF(Data!G234="","",IF(Data!G234=Data_Val!$C$2,IF(Data!P234="",0,1),0))</f>
        <v/>
      </c>
      <c r="W234" s="12" t="str">
        <f>IF(Data!P234="","",IF(ISNUMBER(MATCH(Data!Q234,Data_Val!$A$2:$A$3,0)),0,1))</f>
        <v/>
      </c>
      <c r="X234" s="26" t="str">
        <f ca="1">IF(Data!P234="","",IF(ISNUMBER(Data!R234),IF(AND(Data!R234&gt;(TODAY()-(Data_Val!$L$3*365.25)),Data!R234&lt;=(TODAY()-(Data_Val!$L$2*365.25))),0,1),1))</f>
        <v/>
      </c>
      <c r="Y234" s="13" t="str">
        <f>IF(Data!$G234="","",IF(Data!$G234=Data_Val!$C$2,IF(Data!S234="",0,1),0))</f>
        <v/>
      </c>
      <c r="Z234" s="13" t="str">
        <f>IF(Data!S234="","",IF(ISNUMBER(MATCH(Data!T234,Data_Val!$A$2:$A$3,0)),0,1))</f>
        <v/>
      </c>
      <c r="AA234" s="28" t="str">
        <f ca="1">IF(Data!S234="","",IF(ISNUMBER(Data!U234),IF(AND(Data!U234&gt;(TODAY()-(Data_Val!$L$3*365.25)),Data!U234&lt;=(TODAY()-(Data_Val!$L$2*365.25))),0,1),1))</f>
        <v/>
      </c>
      <c r="AB234" s="11"/>
      <c r="AC234" s="11" t="e">
        <f>IF(Data!#REF!="","",IF(ISNUMBER(MATCH(Data!#REF!,Data_Val!$A$2:$A$3,0)),0,1))</f>
        <v>#REF!</v>
      </c>
      <c r="AD234" s="11" t="e">
        <f ca="1">IF(Data!#REF!="","",IF(ISNUMBER(Data!#REF!),IF(AND(Data!#REF!&gt;(TODAY()-(Data_Val!$L$3*365.25)),Data!#REF!&lt;=(TODAY()-(Data_Val!$L$2*365.25))),0,1),1))</f>
        <v>#REF!</v>
      </c>
      <c r="AE234" s="11" t="e">
        <f>IF(Data!#REF!="","",IF(Data!$G234="",1,IF(ISNUMBER(MATCH(Data!#REF!,Data_Val!$D$2:$D$10,0)),0,1)))</f>
        <v>#REF!</v>
      </c>
      <c r="AF234" s="12"/>
      <c r="AG234" s="12" t="e">
        <f>IF(Data!#REF!="","",IF(ISNUMBER(MATCH(Data!#REF!,Data_Val!$A$2:$A$3,0)),0,1))</f>
        <v>#REF!</v>
      </c>
      <c r="AH234" s="26" t="e">
        <f ca="1">IF(Data!#REF!="","",IF(ISNUMBER(Data!#REF!),IF(AND(Data!#REF!&gt;(TODAY()-(Data_Val!$L$3*365.25)),Data!#REF!&lt;=(TODAY()-(Data_Val!$L$2*365.25))),0,1),1))</f>
        <v>#REF!</v>
      </c>
      <c r="AI234" s="12" t="e">
        <f>IF(Data!#REF!="","",IF(Data!$G234="",1,IF(ISNUMBER(MATCH(Data!#REF!,Data_Val!$D$2:$D$10,0)),0,1)))</f>
        <v>#REF!</v>
      </c>
      <c r="AJ234" s="17"/>
      <c r="AK234" s="17" t="e">
        <f>IF(Data!#REF!="","",IF(ISNUMBER(MATCH(Data!#REF!,Data_Val!$A$2:$A$3,0)),0,1))</f>
        <v>#REF!</v>
      </c>
      <c r="AL234" s="25" t="e">
        <f ca="1">IF(Data!#REF!="","",IF(ISNUMBER(Data!#REF!),IF(AND(Data!#REF!&gt;(TODAY()-(Data_Val!$L$3*365.25)),Data!#REF!&lt;=(TODAY()-(Data_Val!$L$2*365.25))),0,1),1))</f>
        <v>#REF!</v>
      </c>
      <c r="AM234" s="17" t="e">
        <f>IF(Data!#REF!="","",IF(Data!$G234="",1,IF(ISNUMBER(MATCH(Data!#REF!,Data_Val!$D$2:$D$10,0)),0,1)))</f>
        <v>#REF!</v>
      </c>
      <c r="AN234" s="13"/>
      <c r="AO234" s="28" t="e">
        <f ca="1">IF(Data!#REF!="","",IF(ISNUMBER(Data!#REF!),IF(AND(Data!#REF!&gt;(TODAY()-(Data_Val!$I$3*365.25)),Data!#REF!&lt;=(TODAY()-(Data_Val!$I$2*365.25))),0,1),1))</f>
        <v>#REF!</v>
      </c>
      <c r="AP234" s="13" t="e">
        <f>IF(Data!#REF!="","",IF(Data!$G234="",1,IF(ISNUMBER(MATCH(Data!#REF!,Data_Val!$D$2:$D$10,0)),0,1)))</f>
        <v>#REF!</v>
      </c>
      <c r="AQ234" s="17"/>
      <c r="AR234" s="30" t="e">
        <f ca="1">IF(Data!#REF!="","",IF(ISNUMBER(Data!#REF!),IF(AND(Data!#REF!&gt;(TODAY()-(Data_Val!$I$3*365.25)),Data!#REF!&lt;=(TODAY()-(Data_Val!$I$2*365.25))),0,1),1))</f>
        <v>#REF!</v>
      </c>
      <c r="AS234" s="31" t="e">
        <f>IF(Data!#REF!="","",IF(Data!$G234="",1,IF(ISNUMBER(MATCH(Data!#REF!,Data_Val!$D$2:$D$10,0)),0,1)))</f>
        <v>#REF!</v>
      </c>
      <c r="AT234" s="11"/>
      <c r="AU234" s="11" t="e">
        <f ca="1">IF(Data!#REF!="","",IF(ISNUMBER(Data!#REF!),IF(AND(Data!#REF!&gt;(TODAY()-(Data_Val!$I$3*365.25)),Data!#REF!&lt;=(TODAY()-(Data_Val!$I$2*365.25))),0,1),1))</f>
        <v>#REF!</v>
      </c>
      <c r="AV234" s="11" t="e">
        <f>IF(Data!#REF!="","",IF(Data!$G234="",1,IF(ISNUMBER(MATCH(Data!#REF!,Data_Val!$D$2:$D$10,0)),0,1)))</f>
        <v>#REF!</v>
      </c>
      <c r="AW234" s="12"/>
      <c r="AX234" s="26" t="e">
        <f ca="1">IF(Data!#REF!="","",IF(ISNUMBER(Data!#REF!),IF(AND(Data!#REF!&gt;(TODAY()-(Data_Val!$I$3*365.25)),Data!#REF!&lt;=(TODAY()-(Data_Val!$I$2*365.25))),0,1),1))</f>
        <v>#REF!</v>
      </c>
      <c r="AY234" s="12" t="e">
        <f>IF(Data!#REF!="","",IF(Data!$G234="",1,IF(ISNUMBER(MATCH(Data!#REF!,Data_Val!$D$2:$D$10,0)),0,1)))</f>
        <v>#REF!</v>
      </c>
      <c r="AZ234" s="11"/>
      <c r="BA234" s="19" t="e">
        <f ca="1">IF(Data!#REF!="","",IF(ISNUMBER(Data!#REF!),IF(AND(Data!#REF!&gt;(TODAY()-(Data_Val!$M$3*365.25)),Data!#REF!&lt;=(TODAY()-(Data_Val!$M$2*365.25))),0,1),1))</f>
        <v>#REF!</v>
      </c>
      <c r="BB234" s="11" t="e">
        <f>IF(Data!#REF!="","",IF(Data!$G234="",1,IF(ISNUMBER(MATCH(Data!#REF!,Data_Val!$D$2:$D$10,0)),0,1)))</f>
        <v>#REF!</v>
      </c>
      <c r="BC234" s="12"/>
      <c r="BD234" s="20" t="e">
        <f ca="1">IF(Data!#REF!="","",IF(ISNUMBER(Data!#REF!),IF(AND(Data!#REF!&gt;(TODAY()-(Data_Val!$M$3*365.25)),Data!#REF!&lt;=(TODAY()-(Data_Val!$M$2*365.25))),0,1),1))</f>
        <v>#REF!</v>
      </c>
      <c r="BE234" s="12" t="e">
        <f>IF(Data!#REF!="","",IF(Data!$G234="",1,IF(ISNUMBER(MATCH(Data!#REF!,Data_Val!$D$2:$D$10,0)),0,1)))</f>
        <v>#REF!</v>
      </c>
      <c r="BF234" s="17"/>
      <c r="BG234" s="18" t="e">
        <f ca="1">IF(Data!#REF!="","",IF(ISNUMBER(Data!#REF!),IF(AND(Data!#REF!&gt;(TODAY()-(Data_Val!$M$3*365.25)),Data!#REF!&lt;=(TODAY()-(Data_Val!$M$2*365.25))),0,1),1))</f>
        <v>#REF!</v>
      </c>
      <c r="BH234" s="29" t="e">
        <f>IF(Data!#REF!="","",IF(Data!$G234="",1,IF(ISNUMBER(MATCH(Data!#REF!,Data_Val!$D$2:$D$10,0)),0,1)))</f>
        <v>#REF!</v>
      </c>
      <c r="BI234" s="13"/>
      <c r="BJ234" s="21" t="e">
        <f ca="1">IF(Data!#REF!="","",IF(ISNUMBER(Data!#REF!),IF(AND(Data!#REF!&gt;(TODAY()-(Data_Val!$M$3*365.25)),Data!#REF!&lt;=(TODAY()-(Data_Val!$M$2*365.25))),0,1),1))</f>
        <v>#REF!</v>
      </c>
      <c r="BK234" s="13" t="e">
        <f>IF(Data!#REF!="","",IF(Data!$G234="",1,IF(ISNUMBER(MATCH(Data!#REF!,Data_Val!$D$2:$D$10,0)),0,1)))</f>
        <v>#REF!</v>
      </c>
    </row>
    <row r="235" spans="1:63" x14ac:dyDescent="0.25">
      <c r="A235" s="9" t="str">
        <f>IF(Data!B235="","",IF(COUNTIFS(Data!A$1:'Data'!A235,Data!A235)&lt;=1,0,1))</f>
        <v/>
      </c>
      <c r="B235" s="9"/>
      <c r="C235" s="23" t="str">
        <f>IF(Data!C235="","",(IF(ISNUMBER(MATCH("*@*.?*",Data!C235,0)),0,1)+IF(COUNTIFS(Data!C$1:'Data'!C235,Data!C235)&gt;1,1,0)))</f>
        <v/>
      </c>
      <c r="D235" s="9" t="str">
        <f>IF(Data!B235="","",IF(ISNUMBER(Data!D235),IF(AND(Data!D235&gt;999999999,Data!D235&lt;=9999999999),IF(COUNTIFS(Data!D$1:'Data'!D235,Data!D235)&lt;=1,0,1),1),1))</f>
        <v/>
      </c>
      <c r="E235" s="9" t="str">
        <f>IF(Data!B235="","",IF(ISNUMBER(MATCH(Data!E235,Data_Val!$A$2:$A$3,0)),0,1))</f>
        <v/>
      </c>
      <c r="F235" s="9" t="str">
        <f ca="1">IF(Data!B235="","",IF(ISNUMBER(Data!F235),IF(AND(Data!F235&gt;(TODAY()-(Data_Val!$H$3*365.25)),Data!F235&lt;=(TODAY()-(Data_Val!$H$2*365.25))),0,1),1))</f>
        <v/>
      </c>
      <c r="G235" s="15" t="str">
        <f>IF(Data!B235="","",IF(AND(Data!G235="",Data!H235&lt;&gt;""),1,IF(Data!#REF!&lt;&gt;"",0,IF(ISNUMBER(MATCH(Data!G235,Data_Val!$C$2:$C$5,0)),0,1))))</f>
        <v/>
      </c>
      <c r="H235" s="15" t="str">
        <f>IF(Data!B235="","",IF(AND(Data!G235&lt;&gt;"",Data!H235=""),1,IF(Data!#REF!&lt;&gt;"",0,IF(Data!G235="",1,IF(ISNUMBER(MATCH(Data!H235,Data_Val!$D$2:$D$35,0)),0,1)))))</f>
        <v/>
      </c>
      <c r="I235" s="15" t="str">
        <f>IF(Data!B235="","",IF(Data!G235&lt;&gt;"",0,IF(ISNUMBER(MATCH(Data!#REF!,Data_Val!$E$2:$E$12,0)),0,1)))</f>
        <v/>
      </c>
      <c r="J235" s="16" t="e">
        <f>IF(OR(Data!B235="",Data!#REF!=""),"",IF(Data!#REF!="",1,0))</f>
        <v>#REF!</v>
      </c>
      <c r="K235" s="16" t="e">
        <f>IF(OR(Data!B235="",Data!#REF!=""),"",IF(Data!#REF!="",1,0))</f>
        <v>#REF!</v>
      </c>
      <c r="L235" s="16" t="e">
        <f>IF(OR(Data!B235="",Data!#REF!=""),"",IF(ISNUMBER(Data!#REF!),IF(AND(Data!#REF!&gt;Data_Val!$G$2,Data!#REF!&lt;=Data_Val!$G$3),0,1),1))</f>
        <v>#REF!</v>
      </c>
      <c r="M235" s="9" t="e">
        <f>IF(OR(Data!B235="",Data!#REF!=""),"",IF(ISNUMBER(MATCH(Data!#REF!,Data_Val!$F$1:$F$38,0)),0,1))</f>
        <v>#REF!</v>
      </c>
      <c r="N235" s="9" t="e">
        <f>IF(OR(Data!B235="",Data!#REF!=""),"",IF(Data!#REF!="",1,0))</f>
        <v>#REF!</v>
      </c>
      <c r="O235" s="17" t="e">
        <f>IF(Data!#REF!="","",IF(Data!#REF!="",1,0))</f>
        <v>#REF!</v>
      </c>
      <c r="P235" s="17" t="e">
        <f>IF(Data!#REF!="","",IF(ISNUMBER(MATCH(Data!#REF!,Data_Val!$A$2:$A$3,0)),0,1))</f>
        <v>#REF!</v>
      </c>
      <c r="Q235" s="25" t="e">
        <f ca="1">IF(Data!#REF!="","",IF(ISNUMBER(Data!#REF!),IF(AND(Data!#REF!&gt;(TODAY()-(Data_Val!$J$3*365.25)),Data!#REF!&lt;=(TODAY()-(Data_Val!$J$2*365.25))),0,1),1))</f>
        <v>#REF!</v>
      </c>
      <c r="R235" s="17" t="e">
        <f>IF(Data!#REF!="","",IF(ISNUMBER(MATCH(Data!#REF!,Data_Val!$B$2:$B$15,0)),0,1))</f>
        <v>#REF!</v>
      </c>
      <c r="S235" s="11" t="str">
        <f>IF(Data!G235="","",IF(Data!G235=Data_Val!$C$2,IF(Data!M235="",0,1),0))</f>
        <v/>
      </c>
      <c r="T235" s="11" t="str">
        <f>IF(Data!M235="","",IF(ISNUMBER(MATCH(Data!N235,Data_Val!$A$2:$A$3,0)),0,1))</f>
        <v/>
      </c>
      <c r="U235" s="11" t="str">
        <f ca="1">IF(Data!M235="","",IF(ISNUMBER(Data!O235),IF(AND(Data!O235&gt;(TODAY()-(Data_Val!$K$3*365.25)),Data!O235&lt;=(TODAY()-(Data_Val!$K$2*365.25))),0,1),1))</f>
        <v/>
      </c>
      <c r="V235" s="12" t="str">
        <f>IF(Data!G235="","",IF(Data!G235=Data_Val!$C$2,IF(Data!P235="",0,1),0))</f>
        <v/>
      </c>
      <c r="W235" s="12" t="str">
        <f>IF(Data!P235="","",IF(ISNUMBER(MATCH(Data!Q235,Data_Val!$A$2:$A$3,0)),0,1))</f>
        <v/>
      </c>
      <c r="X235" s="26" t="str">
        <f ca="1">IF(Data!P235="","",IF(ISNUMBER(Data!R235),IF(AND(Data!R235&gt;(TODAY()-(Data_Val!$L$3*365.25)),Data!R235&lt;=(TODAY()-(Data_Val!$L$2*365.25))),0,1),1))</f>
        <v/>
      </c>
      <c r="Y235" s="13" t="str">
        <f>IF(Data!$G235="","",IF(Data!$G235=Data_Val!$C$2,IF(Data!S235="",0,1),0))</f>
        <v/>
      </c>
      <c r="Z235" s="13" t="str">
        <f>IF(Data!S235="","",IF(ISNUMBER(MATCH(Data!T235,Data_Val!$A$2:$A$3,0)),0,1))</f>
        <v/>
      </c>
      <c r="AA235" s="28" t="str">
        <f ca="1">IF(Data!S235="","",IF(ISNUMBER(Data!U235),IF(AND(Data!U235&gt;(TODAY()-(Data_Val!$L$3*365.25)),Data!U235&lt;=(TODAY()-(Data_Val!$L$2*365.25))),0,1),1))</f>
        <v/>
      </c>
      <c r="AB235" s="11"/>
      <c r="AC235" s="11" t="e">
        <f>IF(Data!#REF!="","",IF(ISNUMBER(MATCH(Data!#REF!,Data_Val!$A$2:$A$3,0)),0,1))</f>
        <v>#REF!</v>
      </c>
      <c r="AD235" s="11" t="e">
        <f ca="1">IF(Data!#REF!="","",IF(ISNUMBER(Data!#REF!),IF(AND(Data!#REF!&gt;(TODAY()-(Data_Val!$L$3*365.25)),Data!#REF!&lt;=(TODAY()-(Data_Val!$L$2*365.25))),0,1),1))</f>
        <v>#REF!</v>
      </c>
      <c r="AE235" s="11" t="e">
        <f>IF(Data!#REF!="","",IF(Data!$G235="",1,IF(ISNUMBER(MATCH(Data!#REF!,Data_Val!$D$2:$D$10,0)),0,1)))</f>
        <v>#REF!</v>
      </c>
      <c r="AF235" s="12"/>
      <c r="AG235" s="12" t="e">
        <f>IF(Data!#REF!="","",IF(ISNUMBER(MATCH(Data!#REF!,Data_Val!$A$2:$A$3,0)),0,1))</f>
        <v>#REF!</v>
      </c>
      <c r="AH235" s="26" t="e">
        <f ca="1">IF(Data!#REF!="","",IF(ISNUMBER(Data!#REF!),IF(AND(Data!#REF!&gt;(TODAY()-(Data_Val!$L$3*365.25)),Data!#REF!&lt;=(TODAY()-(Data_Val!$L$2*365.25))),0,1),1))</f>
        <v>#REF!</v>
      </c>
      <c r="AI235" s="12" t="e">
        <f>IF(Data!#REF!="","",IF(Data!$G235="",1,IF(ISNUMBER(MATCH(Data!#REF!,Data_Val!$D$2:$D$10,0)),0,1)))</f>
        <v>#REF!</v>
      </c>
      <c r="AJ235" s="17"/>
      <c r="AK235" s="17" t="e">
        <f>IF(Data!#REF!="","",IF(ISNUMBER(MATCH(Data!#REF!,Data_Val!$A$2:$A$3,0)),0,1))</f>
        <v>#REF!</v>
      </c>
      <c r="AL235" s="25" t="e">
        <f ca="1">IF(Data!#REF!="","",IF(ISNUMBER(Data!#REF!),IF(AND(Data!#REF!&gt;(TODAY()-(Data_Val!$L$3*365.25)),Data!#REF!&lt;=(TODAY()-(Data_Val!$L$2*365.25))),0,1),1))</f>
        <v>#REF!</v>
      </c>
      <c r="AM235" s="17" t="e">
        <f>IF(Data!#REF!="","",IF(Data!$G235="",1,IF(ISNUMBER(MATCH(Data!#REF!,Data_Val!$D$2:$D$10,0)),0,1)))</f>
        <v>#REF!</v>
      </c>
      <c r="AN235" s="13"/>
      <c r="AO235" s="28" t="e">
        <f ca="1">IF(Data!#REF!="","",IF(ISNUMBER(Data!#REF!),IF(AND(Data!#REF!&gt;(TODAY()-(Data_Val!$I$3*365.25)),Data!#REF!&lt;=(TODAY()-(Data_Val!$I$2*365.25))),0,1),1))</f>
        <v>#REF!</v>
      </c>
      <c r="AP235" s="13" t="e">
        <f>IF(Data!#REF!="","",IF(Data!$G235="",1,IF(ISNUMBER(MATCH(Data!#REF!,Data_Val!$D$2:$D$10,0)),0,1)))</f>
        <v>#REF!</v>
      </c>
      <c r="AQ235" s="17"/>
      <c r="AR235" s="30" t="e">
        <f ca="1">IF(Data!#REF!="","",IF(ISNUMBER(Data!#REF!),IF(AND(Data!#REF!&gt;(TODAY()-(Data_Val!$I$3*365.25)),Data!#REF!&lt;=(TODAY()-(Data_Val!$I$2*365.25))),0,1),1))</f>
        <v>#REF!</v>
      </c>
      <c r="AS235" s="31" t="e">
        <f>IF(Data!#REF!="","",IF(Data!$G235="",1,IF(ISNUMBER(MATCH(Data!#REF!,Data_Val!$D$2:$D$10,0)),0,1)))</f>
        <v>#REF!</v>
      </c>
      <c r="AT235" s="11"/>
      <c r="AU235" s="11" t="e">
        <f ca="1">IF(Data!#REF!="","",IF(ISNUMBER(Data!#REF!),IF(AND(Data!#REF!&gt;(TODAY()-(Data_Val!$I$3*365.25)),Data!#REF!&lt;=(TODAY()-(Data_Val!$I$2*365.25))),0,1),1))</f>
        <v>#REF!</v>
      </c>
      <c r="AV235" s="11" t="e">
        <f>IF(Data!#REF!="","",IF(Data!$G235="",1,IF(ISNUMBER(MATCH(Data!#REF!,Data_Val!$D$2:$D$10,0)),0,1)))</f>
        <v>#REF!</v>
      </c>
      <c r="AW235" s="12"/>
      <c r="AX235" s="26" t="e">
        <f ca="1">IF(Data!#REF!="","",IF(ISNUMBER(Data!#REF!),IF(AND(Data!#REF!&gt;(TODAY()-(Data_Val!$I$3*365.25)),Data!#REF!&lt;=(TODAY()-(Data_Val!$I$2*365.25))),0,1),1))</f>
        <v>#REF!</v>
      </c>
      <c r="AY235" s="12" t="e">
        <f>IF(Data!#REF!="","",IF(Data!$G235="",1,IF(ISNUMBER(MATCH(Data!#REF!,Data_Val!$D$2:$D$10,0)),0,1)))</f>
        <v>#REF!</v>
      </c>
      <c r="AZ235" s="11"/>
      <c r="BA235" s="19" t="e">
        <f ca="1">IF(Data!#REF!="","",IF(ISNUMBER(Data!#REF!),IF(AND(Data!#REF!&gt;(TODAY()-(Data_Val!$M$3*365.25)),Data!#REF!&lt;=(TODAY()-(Data_Val!$M$2*365.25))),0,1),1))</f>
        <v>#REF!</v>
      </c>
      <c r="BB235" s="11" t="e">
        <f>IF(Data!#REF!="","",IF(Data!$G235="",1,IF(ISNUMBER(MATCH(Data!#REF!,Data_Val!$D$2:$D$10,0)),0,1)))</f>
        <v>#REF!</v>
      </c>
      <c r="BC235" s="12"/>
      <c r="BD235" s="20" t="e">
        <f ca="1">IF(Data!#REF!="","",IF(ISNUMBER(Data!#REF!),IF(AND(Data!#REF!&gt;(TODAY()-(Data_Val!$M$3*365.25)),Data!#REF!&lt;=(TODAY()-(Data_Val!$M$2*365.25))),0,1),1))</f>
        <v>#REF!</v>
      </c>
      <c r="BE235" s="12" t="e">
        <f>IF(Data!#REF!="","",IF(Data!$G235="",1,IF(ISNUMBER(MATCH(Data!#REF!,Data_Val!$D$2:$D$10,0)),0,1)))</f>
        <v>#REF!</v>
      </c>
      <c r="BF235" s="17"/>
      <c r="BG235" s="18" t="e">
        <f ca="1">IF(Data!#REF!="","",IF(ISNUMBER(Data!#REF!),IF(AND(Data!#REF!&gt;(TODAY()-(Data_Val!$M$3*365.25)),Data!#REF!&lt;=(TODAY()-(Data_Val!$M$2*365.25))),0,1),1))</f>
        <v>#REF!</v>
      </c>
      <c r="BH235" s="29" t="e">
        <f>IF(Data!#REF!="","",IF(Data!$G235="",1,IF(ISNUMBER(MATCH(Data!#REF!,Data_Val!$D$2:$D$10,0)),0,1)))</f>
        <v>#REF!</v>
      </c>
      <c r="BI235" s="13"/>
      <c r="BJ235" s="21" t="e">
        <f ca="1">IF(Data!#REF!="","",IF(ISNUMBER(Data!#REF!),IF(AND(Data!#REF!&gt;(TODAY()-(Data_Val!$M$3*365.25)),Data!#REF!&lt;=(TODAY()-(Data_Val!$M$2*365.25))),0,1),1))</f>
        <v>#REF!</v>
      </c>
      <c r="BK235" s="13" t="e">
        <f>IF(Data!#REF!="","",IF(Data!$G235="",1,IF(ISNUMBER(MATCH(Data!#REF!,Data_Val!$D$2:$D$10,0)),0,1)))</f>
        <v>#REF!</v>
      </c>
    </row>
    <row r="236" spans="1:63" x14ac:dyDescent="0.25">
      <c r="A236" s="9" t="str">
        <f>IF(Data!B236="","",IF(COUNTIFS(Data!A$1:'Data'!A236,Data!A236)&lt;=1,0,1))</f>
        <v/>
      </c>
      <c r="B236" s="9"/>
      <c r="C236" s="23" t="str">
        <f>IF(Data!C236="","",(IF(ISNUMBER(MATCH("*@*.?*",Data!C236,0)),0,1)+IF(COUNTIFS(Data!C$1:'Data'!C236,Data!C236)&gt;1,1,0)))</f>
        <v/>
      </c>
      <c r="D236" s="9" t="str">
        <f>IF(Data!B236="","",IF(ISNUMBER(Data!D236),IF(AND(Data!D236&gt;999999999,Data!D236&lt;=9999999999),IF(COUNTIFS(Data!D$1:'Data'!D236,Data!D236)&lt;=1,0,1),1),1))</f>
        <v/>
      </c>
      <c r="E236" s="9" t="str">
        <f>IF(Data!B236="","",IF(ISNUMBER(MATCH(Data!E236,Data_Val!$A$2:$A$3,0)),0,1))</f>
        <v/>
      </c>
      <c r="F236" s="9" t="str">
        <f ca="1">IF(Data!B236="","",IF(ISNUMBER(Data!F236),IF(AND(Data!F236&gt;(TODAY()-(Data_Val!$H$3*365.25)),Data!F236&lt;=(TODAY()-(Data_Val!$H$2*365.25))),0,1),1))</f>
        <v/>
      </c>
      <c r="G236" s="15" t="str">
        <f>IF(Data!B236="","",IF(AND(Data!G236="",Data!H236&lt;&gt;""),1,IF(Data!#REF!&lt;&gt;"",0,IF(ISNUMBER(MATCH(Data!G236,Data_Val!$C$2:$C$5,0)),0,1))))</f>
        <v/>
      </c>
      <c r="H236" s="15" t="str">
        <f>IF(Data!B236="","",IF(AND(Data!G236&lt;&gt;"",Data!H236=""),1,IF(Data!#REF!&lt;&gt;"",0,IF(Data!G236="",1,IF(ISNUMBER(MATCH(Data!H236,Data_Val!$D$2:$D$35,0)),0,1)))))</f>
        <v/>
      </c>
      <c r="I236" s="15" t="str">
        <f>IF(Data!B236="","",IF(Data!G236&lt;&gt;"",0,IF(ISNUMBER(MATCH(Data!#REF!,Data_Val!$E$2:$E$12,0)),0,1)))</f>
        <v/>
      </c>
      <c r="J236" s="16" t="e">
        <f>IF(OR(Data!B236="",Data!#REF!=""),"",IF(Data!#REF!="",1,0))</f>
        <v>#REF!</v>
      </c>
      <c r="K236" s="16" t="e">
        <f>IF(OR(Data!B236="",Data!#REF!=""),"",IF(Data!#REF!="",1,0))</f>
        <v>#REF!</v>
      </c>
      <c r="L236" s="16" t="e">
        <f>IF(OR(Data!B236="",Data!#REF!=""),"",IF(ISNUMBER(Data!#REF!),IF(AND(Data!#REF!&gt;Data_Val!$G$2,Data!#REF!&lt;=Data_Val!$G$3),0,1),1))</f>
        <v>#REF!</v>
      </c>
      <c r="M236" s="9" t="e">
        <f>IF(OR(Data!B236="",Data!#REF!=""),"",IF(ISNUMBER(MATCH(Data!#REF!,Data_Val!$F$1:$F$38,0)),0,1))</f>
        <v>#REF!</v>
      </c>
      <c r="N236" s="9" t="e">
        <f>IF(OR(Data!B236="",Data!#REF!=""),"",IF(Data!#REF!="",1,0))</f>
        <v>#REF!</v>
      </c>
      <c r="O236" s="17" t="e">
        <f>IF(Data!#REF!="","",IF(Data!#REF!="",1,0))</f>
        <v>#REF!</v>
      </c>
      <c r="P236" s="17" t="e">
        <f>IF(Data!#REF!="","",IF(ISNUMBER(MATCH(Data!#REF!,Data_Val!$A$2:$A$3,0)),0,1))</f>
        <v>#REF!</v>
      </c>
      <c r="Q236" s="25" t="e">
        <f ca="1">IF(Data!#REF!="","",IF(ISNUMBER(Data!#REF!),IF(AND(Data!#REF!&gt;(TODAY()-(Data_Val!$J$3*365.25)),Data!#REF!&lt;=(TODAY()-(Data_Val!$J$2*365.25))),0,1),1))</f>
        <v>#REF!</v>
      </c>
      <c r="R236" s="17" t="e">
        <f>IF(Data!#REF!="","",IF(ISNUMBER(MATCH(Data!#REF!,Data_Val!$B$2:$B$15,0)),0,1))</f>
        <v>#REF!</v>
      </c>
      <c r="S236" s="11" t="str">
        <f>IF(Data!G236="","",IF(Data!G236=Data_Val!$C$2,IF(Data!M236="",0,1),0))</f>
        <v/>
      </c>
      <c r="T236" s="11" t="str">
        <f>IF(Data!M236="","",IF(ISNUMBER(MATCH(Data!N236,Data_Val!$A$2:$A$3,0)),0,1))</f>
        <v/>
      </c>
      <c r="U236" s="11" t="str">
        <f ca="1">IF(Data!M236="","",IF(ISNUMBER(Data!O236),IF(AND(Data!O236&gt;(TODAY()-(Data_Val!$K$3*365.25)),Data!O236&lt;=(TODAY()-(Data_Val!$K$2*365.25))),0,1),1))</f>
        <v/>
      </c>
      <c r="V236" s="12" t="str">
        <f>IF(Data!G236="","",IF(Data!G236=Data_Val!$C$2,IF(Data!P236="",0,1),0))</f>
        <v/>
      </c>
      <c r="W236" s="12" t="str">
        <f>IF(Data!P236="","",IF(ISNUMBER(MATCH(Data!Q236,Data_Val!$A$2:$A$3,0)),0,1))</f>
        <v/>
      </c>
      <c r="X236" s="26" t="str">
        <f ca="1">IF(Data!P236="","",IF(ISNUMBER(Data!R236),IF(AND(Data!R236&gt;(TODAY()-(Data_Val!$L$3*365.25)),Data!R236&lt;=(TODAY()-(Data_Val!$L$2*365.25))),0,1),1))</f>
        <v/>
      </c>
      <c r="Y236" s="13" t="str">
        <f>IF(Data!$G236="","",IF(Data!$G236=Data_Val!$C$2,IF(Data!S236="",0,1),0))</f>
        <v/>
      </c>
      <c r="Z236" s="13" t="str">
        <f>IF(Data!S236="","",IF(ISNUMBER(MATCH(Data!T236,Data_Val!$A$2:$A$3,0)),0,1))</f>
        <v/>
      </c>
      <c r="AA236" s="28" t="str">
        <f ca="1">IF(Data!S236="","",IF(ISNUMBER(Data!U236),IF(AND(Data!U236&gt;(TODAY()-(Data_Val!$L$3*365.25)),Data!U236&lt;=(TODAY()-(Data_Val!$L$2*365.25))),0,1),1))</f>
        <v/>
      </c>
      <c r="AB236" s="11"/>
      <c r="AC236" s="11" t="e">
        <f>IF(Data!#REF!="","",IF(ISNUMBER(MATCH(Data!#REF!,Data_Val!$A$2:$A$3,0)),0,1))</f>
        <v>#REF!</v>
      </c>
      <c r="AD236" s="11" t="e">
        <f ca="1">IF(Data!#REF!="","",IF(ISNUMBER(Data!#REF!),IF(AND(Data!#REF!&gt;(TODAY()-(Data_Val!$L$3*365.25)),Data!#REF!&lt;=(TODAY()-(Data_Val!$L$2*365.25))),0,1),1))</f>
        <v>#REF!</v>
      </c>
      <c r="AE236" s="11" t="e">
        <f>IF(Data!#REF!="","",IF(Data!$G236="",1,IF(ISNUMBER(MATCH(Data!#REF!,Data_Val!$D$2:$D$10,0)),0,1)))</f>
        <v>#REF!</v>
      </c>
      <c r="AF236" s="12"/>
      <c r="AG236" s="12" t="e">
        <f>IF(Data!#REF!="","",IF(ISNUMBER(MATCH(Data!#REF!,Data_Val!$A$2:$A$3,0)),0,1))</f>
        <v>#REF!</v>
      </c>
      <c r="AH236" s="26" t="e">
        <f ca="1">IF(Data!#REF!="","",IF(ISNUMBER(Data!#REF!),IF(AND(Data!#REF!&gt;(TODAY()-(Data_Val!$L$3*365.25)),Data!#REF!&lt;=(TODAY()-(Data_Val!$L$2*365.25))),0,1),1))</f>
        <v>#REF!</v>
      </c>
      <c r="AI236" s="12" t="e">
        <f>IF(Data!#REF!="","",IF(Data!$G236="",1,IF(ISNUMBER(MATCH(Data!#REF!,Data_Val!$D$2:$D$10,0)),0,1)))</f>
        <v>#REF!</v>
      </c>
      <c r="AJ236" s="17"/>
      <c r="AK236" s="17" t="e">
        <f>IF(Data!#REF!="","",IF(ISNUMBER(MATCH(Data!#REF!,Data_Val!$A$2:$A$3,0)),0,1))</f>
        <v>#REF!</v>
      </c>
      <c r="AL236" s="25" t="e">
        <f ca="1">IF(Data!#REF!="","",IF(ISNUMBER(Data!#REF!),IF(AND(Data!#REF!&gt;(TODAY()-(Data_Val!$L$3*365.25)),Data!#REF!&lt;=(TODAY()-(Data_Val!$L$2*365.25))),0,1),1))</f>
        <v>#REF!</v>
      </c>
      <c r="AM236" s="17" t="e">
        <f>IF(Data!#REF!="","",IF(Data!$G236="",1,IF(ISNUMBER(MATCH(Data!#REF!,Data_Val!$D$2:$D$10,0)),0,1)))</f>
        <v>#REF!</v>
      </c>
      <c r="AN236" s="13"/>
      <c r="AO236" s="28" t="e">
        <f ca="1">IF(Data!#REF!="","",IF(ISNUMBER(Data!#REF!),IF(AND(Data!#REF!&gt;(TODAY()-(Data_Val!$I$3*365.25)),Data!#REF!&lt;=(TODAY()-(Data_Val!$I$2*365.25))),0,1),1))</f>
        <v>#REF!</v>
      </c>
      <c r="AP236" s="13" t="e">
        <f>IF(Data!#REF!="","",IF(Data!$G236="",1,IF(ISNUMBER(MATCH(Data!#REF!,Data_Val!$D$2:$D$10,0)),0,1)))</f>
        <v>#REF!</v>
      </c>
      <c r="AQ236" s="17"/>
      <c r="AR236" s="30" t="e">
        <f ca="1">IF(Data!#REF!="","",IF(ISNUMBER(Data!#REF!),IF(AND(Data!#REF!&gt;(TODAY()-(Data_Val!$I$3*365.25)),Data!#REF!&lt;=(TODAY()-(Data_Val!$I$2*365.25))),0,1),1))</f>
        <v>#REF!</v>
      </c>
      <c r="AS236" s="31" t="e">
        <f>IF(Data!#REF!="","",IF(Data!$G236="",1,IF(ISNUMBER(MATCH(Data!#REF!,Data_Val!$D$2:$D$10,0)),0,1)))</f>
        <v>#REF!</v>
      </c>
      <c r="AT236" s="11"/>
      <c r="AU236" s="11" t="e">
        <f ca="1">IF(Data!#REF!="","",IF(ISNUMBER(Data!#REF!),IF(AND(Data!#REF!&gt;(TODAY()-(Data_Val!$I$3*365.25)),Data!#REF!&lt;=(TODAY()-(Data_Val!$I$2*365.25))),0,1),1))</f>
        <v>#REF!</v>
      </c>
      <c r="AV236" s="11" t="e">
        <f>IF(Data!#REF!="","",IF(Data!$G236="",1,IF(ISNUMBER(MATCH(Data!#REF!,Data_Val!$D$2:$D$10,0)),0,1)))</f>
        <v>#REF!</v>
      </c>
      <c r="AW236" s="12"/>
      <c r="AX236" s="26" t="e">
        <f ca="1">IF(Data!#REF!="","",IF(ISNUMBER(Data!#REF!),IF(AND(Data!#REF!&gt;(TODAY()-(Data_Val!$I$3*365.25)),Data!#REF!&lt;=(TODAY()-(Data_Val!$I$2*365.25))),0,1),1))</f>
        <v>#REF!</v>
      </c>
      <c r="AY236" s="12" t="e">
        <f>IF(Data!#REF!="","",IF(Data!$G236="",1,IF(ISNUMBER(MATCH(Data!#REF!,Data_Val!$D$2:$D$10,0)),0,1)))</f>
        <v>#REF!</v>
      </c>
      <c r="AZ236" s="11"/>
      <c r="BA236" s="19" t="e">
        <f ca="1">IF(Data!#REF!="","",IF(ISNUMBER(Data!#REF!),IF(AND(Data!#REF!&gt;(TODAY()-(Data_Val!$M$3*365.25)),Data!#REF!&lt;=(TODAY()-(Data_Val!$M$2*365.25))),0,1),1))</f>
        <v>#REF!</v>
      </c>
      <c r="BB236" s="11" t="e">
        <f>IF(Data!#REF!="","",IF(Data!$G236="",1,IF(ISNUMBER(MATCH(Data!#REF!,Data_Val!$D$2:$D$10,0)),0,1)))</f>
        <v>#REF!</v>
      </c>
      <c r="BC236" s="12"/>
      <c r="BD236" s="20" t="e">
        <f ca="1">IF(Data!#REF!="","",IF(ISNUMBER(Data!#REF!),IF(AND(Data!#REF!&gt;(TODAY()-(Data_Val!$M$3*365.25)),Data!#REF!&lt;=(TODAY()-(Data_Val!$M$2*365.25))),0,1),1))</f>
        <v>#REF!</v>
      </c>
      <c r="BE236" s="12" t="e">
        <f>IF(Data!#REF!="","",IF(Data!$G236="",1,IF(ISNUMBER(MATCH(Data!#REF!,Data_Val!$D$2:$D$10,0)),0,1)))</f>
        <v>#REF!</v>
      </c>
      <c r="BF236" s="17"/>
      <c r="BG236" s="18" t="e">
        <f ca="1">IF(Data!#REF!="","",IF(ISNUMBER(Data!#REF!),IF(AND(Data!#REF!&gt;(TODAY()-(Data_Val!$M$3*365.25)),Data!#REF!&lt;=(TODAY()-(Data_Val!$M$2*365.25))),0,1),1))</f>
        <v>#REF!</v>
      </c>
      <c r="BH236" s="29" t="e">
        <f>IF(Data!#REF!="","",IF(Data!$G236="",1,IF(ISNUMBER(MATCH(Data!#REF!,Data_Val!$D$2:$D$10,0)),0,1)))</f>
        <v>#REF!</v>
      </c>
      <c r="BI236" s="13"/>
      <c r="BJ236" s="21" t="e">
        <f ca="1">IF(Data!#REF!="","",IF(ISNUMBER(Data!#REF!),IF(AND(Data!#REF!&gt;(TODAY()-(Data_Val!$M$3*365.25)),Data!#REF!&lt;=(TODAY()-(Data_Val!$M$2*365.25))),0,1),1))</f>
        <v>#REF!</v>
      </c>
      <c r="BK236" s="13" t="e">
        <f>IF(Data!#REF!="","",IF(Data!$G236="",1,IF(ISNUMBER(MATCH(Data!#REF!,Data_Val!$D$2:$D$10,0)),0,1)))</f>
        <v>#REF!</v>
      </c>
    </row>
    <row r="237" spans="1:63" x14ac:dyDescent="0.25">
      <c r="A237" s="9" t="str">
        <f>IF(Data!B237="","",IF(COUNTIFS(Data!A$1:'Data'!A237,Data!A237)&lt;=1,0,1))</f>
        <v/>
      </c>
      <c r="B237" s="9"/>
      <c r="C237" s="23" t="str">
        <f>IF(Data!C237="","",(IF(ISNUMBER(MATCH("*@*.?*",Data!C237,0)),0,1)+IF(COUNTIFS(Data!C$1:'Data'!C237,Data!C237)&gt;1,1,0)))</f>
        <v/>
      </c>
      <c r="D237" s="9" t="str">
        <f>IF(Data!B237="","",IF(ISNUMBER(Data!D237),IF(AND(Data!D237&gt;999999999,Data!D237&lt;=9999999999),IF(COUNTIFS(Data!D$1:'Data'!D237,Data!D237)&lt;=1,0,1),1),1))</f>
        <v/>
      </c>
      <c r="E237" s="9" t="str">
        <f>IF(Data!B237="","",IF(ISNUMBER(MATCH(Data!E237,Data_Val!$A$2:$A$3,0)),0,1))</f>
        <v/>
      </c>
      <c r="F237" s="9" t="str">
        <f ca="1">IF(Data!B237="","",IF(ISNUMBER(Data!F237),IF(AND(Data!F237&gt;(TODAY()-(Data_Val!$H$3*365.25)),Data!F237&lt;=(TODAY()-(Data_Val!$H$2*365.25))),0,1),1))</f>
        <v/>
      </c>
      <c r="G237" s="15" t="str">
        <f>IF(Data!B237="","",IF(AND(Data!G237="",Data!H237&lt;&gt;""),1,IF(Data!#REF!&lt;&gt;"",0,IF(ISNUMBER(MATCH(Data!G237,Data_Val!$C$2:$C$5,0)),0,1))))</f>
        <v/>
      </c>
      <c r="H237" s="15" t="str">
        <f>IF(Data!B237="","",IF(AND(Data!G237&lt;&gt;"",Data!H237=""),1,IF(Data!#REF!&lt;&gt;"",0,IF(Data!G237="",1,IF(ISNUMBER(MATCH(Data!H237,Data_Val!$D$2:$D$35,0)),0,1)))))</f>
        <v/>
      </c>
      <c r="I237" s="15" t="str">
        <f>IF(Data!B237="","",IF(Data!G237&lt;&gt;"",0,IF(ISNUMBER(MATCH(Data!#REF!,Data_Val!$E$2:$E$12,0)),0,1)))</f>
        <v/>
      </c>
      <c r="J237" s="16" t="e">
        <f>IF(OR(Data!B237="",Data!#REF!=""),"",IF(Data!#REF!="",1,0))</f>
        <v>#REF!</v>
      </c>
      <c r="K237" s="16" t="e">
        <f>IF(OR(Data!B237="",Data!#REF!=""),"",IF(Data!#REF!="",1,0))</f>
        <v>#REF!</v>
      </c>
      <c r="L237" s="16" t="e">
        <f>IF(OR(Data!B237="",Data!#REF!=""),"",IF(ISNUMBER(Data!#REF!),IF(AND(Data!#REF!&gt;Data_Val!$G$2,Data!#REF!&lt;=Data_Val!$G$3),0,1),1))</f>
        <v>#REF!</v>
      </c>
      <c r="M237" s="9" t="e">
        <f>IF(OR(Data!B237="",Data!#REF!=""),"",IF(ISNUMBER(MATCH(Data!#REF!,Data_Val!$F$1:$F$38,0)),0,1))</f>
        <v>#REF!</v>
      </c>
      <c r="N237" s="9" t="e">
        <f>IF(OR(Data!B237="",Data!#REF!=""),"",IF(Data!#REF!="",1,0))</f>
        <v>#REF!</v>
      </c>
      <c r="O237" s="17" t="e">
        <f>IF(Data!#REF!="","",IF(Data!#REF!="",1,0))</f>
        <v>#REF!</v>
      </c>
      <c r="P237" s="17" t="e">
        <f>IF(Data!#REF!="","",IF(ISNUMBER(MATCH(Data!#REF!,Data_Val!$A$2:$A$3,0)),0,1))</f>
        <v>#REF!</v>
      </c>
      <c r="Q237" s="25" t="e">
        <f ca="1">IF(Data!#REF!="","",IF(ISNUMBER(Data!#REF!),IF(AND(Data!#REF!&gt;(TODAY()-(Data_Val!$J$3*365.25)),Data!#REF!&lt;=(TODAY()-(Data_Val!$J$2*365.25))),0,1),1))</f>
        <v>#REF!</v>
      </c>
      <c r="R237" s="17" t="e">
        <f>IF(Data!#REF!="","",IF(ISNUMBER(MATCH(Data!#REF!,Data_Val!$B$2:$B$15,0)),0,1))</f>
        <v>#REF!</v>
      </c>
      <c r="S237" s="11" t="str">
        <f>IF(Data!G237="","",IF(Data!G237=Data_Val!$C$2,IF(Data!M237="",0,1),0))</f>
        <v/>
      </c>
      <c r="T237" s="11" t="str">
        <f>IF(Data!M237="","",IF(ISNUMBER(MATCH(Data!N237,Data_Val!$A$2:$A$3,0)),0,1))</f>
        <v/>
      </c>
      <c r="U237" s="11" t="str">
        <f ca="1">IF(Data!M237="","",IF(ISNUMBER(Data!O237),IF(AND(Data!O237&gt;(TODAY()-(Data_Val!$K$3*365.25)),Data!O237&lt;=(TODAY()-(Data_Val!$K$2*365.25))),0,1),1))</f>
        <v/>
      </c>
      <c r="V237" s="12" t="str">
        <f>IF(Data!G237="","",IF(Data!G237=Data_Val!$C$2,IF(Data!P237="",0,1),0))</f>
        <v/>
      </c>
      <c r="W237" s="12" t="str">
        <f>IF(Data!P237="","",IF(ISNUMBER(MATCH(Data!Q237,Data_Val!$A$2:$A$3,0)),0,1))</f>
        <v/>
      </c>
      <c r="X237" s="26" t="str">
        <f ca="1">IF(Data!P237="","",IF(ISNUMBER(Data!R237),IF(AND(Data!R237&gt;(TODAY()-(Data_Val!$L$3*365.25)),Data!R237&lt;=(TODAY()-(Data_Val!$L$2*365.25))),0,1),1))</f>
        <v/>
      </c>
      <c r="Y237" s="13" t="str">
        <f>IF(Data!$G237="","",IF(Data!$G237=Data_Val!$C$2,IF(Data!S237="",0,1),0))</f>
        <v/>
      </c>
      <c r="Z237" s="13" t="str">
        <f>IF(Data!S237="","",IF(ISNUMBER(MATCH(Data!T237,Data_Val!$A$2:$A$3,0)),0,1))</f>
        <v/>
      </c>
      <c r="AA237" s="28" t="str">
        <f ca="1">IF(Data!S237="","",IF(ISNUMBER(Data!U237),IF(AND(Data!U237&gt;(TODAY()-(Data_Val!$L$3*365.25)),Data!U237&lt;=(TODAY()-(Data_Val!$L$2*365.25))),0,1),1))</f>
        <v/>
      </c>
      <c r="AB237" s="11"/>
      <c r="AC237" s="11" t="e">
        <f>IF(Data!#REF!="","",IF(ISNUMBER(MATCH(Data!#REF!,Data_Val!$A$2:$A$3,0)),0,1))</f>
        <v>#REF!</v>
      </c>
      <c r="AD237" s="11" t="e">
        <f ca="1">IF(Data!#REF!="","",IF(ISNUMBER(Data!#REF!),IF(AND(Data!#REF!&gt;(TODAY()-(Data_Val!$L$3*365.25)),Data!#REF!&lt;=(TODAY()-(Data_Val!$L$2*365.25))),0,1),1))</f>
        <v>#REF!</v>
      </c>
      <c r="AE237" s="11" t="e">
        <f>IF(Data!#REF!="","",IF(Data!$G237="",1,IF(ISNUMBER(MATCH(Data!#REF!,Data_Val!$D$2:$D$10,0)),0,1)))</f>
        <v>#REF!</v>
      </c>
      <c r="AF237" s="12"/>
      <c r="AG237" s="12" t="e">
        <f>IF(Data!#REF!="","",IF(ISNUMBER(MATCH(Data!#REF!,Data_Val!$A$2:$A$3,0)),0,1))</f>
        <v>#REF!</v>
      </c>
      <c r="AH237" s="26" t="e">
        <f ca="1">IF(Data!#REF!="","",IF(ISNUMBER(Data!#REF!),IF(AND(Data!#REF!&gt;(TODAY()-(Data_Val!$L$3*365.25)),Data!#REF!&lt;=(TODAY()-(Data_Val!$L$2*365.25))),0,1),1))</f>
        <v>#REF!</v>
      </c>
      <c r="AI237" s="12" t="e">
        <f>IF(Data!#REF!="","",IF(Data!$G237="",1,IF(ISNUMBER(MATCH(Data!#REF!,Data_Val!$D$2:$D$10,0)),0,1)))</f>
        <v>#REF!</v>
      </c>
      <c r="AJ237" s="17"/>
      <c r="AK237" s="17" t="e">
        <f>IF(Data!#REF!="","",IF(ISNUMBER(MATCH(Data!#REF!,Data_Val!$A$2:$A$3,0)),0,1))</f>
        <v>#REF!</v>
      </c>
      <c r="AL237" s="25" t="e">
        <f ca="1">IF(Data!#REF!="","",IF(ISNUMBER(Data!#REF!),IF(AND(Data!#REF!&gt;(TODAY()-(Data_Val!$L$3*365.25)),Data!#REF!&lt;=(TODAY()-(Data_Val!$L$2*365.25))),0,1),1))</f>
        <v>#REF!</v>
      </c>
      <c r="AM237" s="17" t="e">
        <f>IF(Data!#REF!="","",IF(Data!$G237="",1,IF(ISNUMBER(MATCH(Data!#REF!,Data_Val!$D$2:$D$10,0)),0,1)))</f>
        <v>#REF!</v>
      </c>
      <c r="AN237" s="13"/>
      <c r="AO237" s="28" t="e">
        <f ca="1">IF(Data!#REF!="","",IF(ISNUMBER(Data!#REF!),IF(AND(Data!#REF!&gt;(TODAY()-(Data_Val!$I$3*365.25)),Data!#REF!&lt;=(TODAY()-(Data_Val!$I$2*365.25))),0,1),1))</f>
        <v>#REF!</v>
      </c>
      <c r="AP237" s="13" t="e">
        <f>IF(Data!#REF!="","",IF(Data!$G237="",1,IF(ISNUMBER(MATCH(Data!#REF!,Data_Val!$D$2:$D$10,0)),0,1)))</f>
        <v>#REF!</v>
      </c>
      <c r="AQ237" s="17"/>
      <c r="AR237" s="30" t="e">
        <f ca="1">IF(Data!#REF!="","",IF(ISNUMBER(Data!#REF!),IF(AND(Data!#REF!&gt;(TODAY()-(Data_Val!$I$3*365.25)),Data!#REF!&lt;=(TODAY()-(Data_Val!$I$2*365.25))),0,1),1))</f>
        <v>#REF!</v>
      </c>
      <c r="AS237" s="31" t="e">
        <f>IF(Data!#REF!="","",IF(Data!$G237="",1,IF(ISNUMBER(MATCH(Data!#REF!,Data_Val!$D$2:$D$10,0)),0,1)))</f>
        <v>#REF!</v>
      </c>
      <c r="AT237" s="11"/>
      <c r="AU237" s="11" t="e">
        <f ca="1">IF(Data!#REF!="","",IF(ISNUMBER(Data!#REF!),IF(AND(Data!#REF!&gt;(TODAY()-(Data_Val!$I$3*365.25)),Data!#REF!&lt;=(TODAY()-(Data_Val!$I$2*365.25))),0,1),1))</f>
        <v>#REF!</v>
      </c>
      <c r="AV237" s="11" t="e">
        <f>IF(Data!#REF!="","",IF(Data!$G237="",1,IF(ISNUMBER(MATCH(Data!#REF!,Data_Val!$D$2:$D$10,0)),0,1)))</f>
        <v>#REF!</v>
      </c>
      <c r="AW237" s="12"/>
      <c r="AX237" s="26" t="e">
        <f ca="1">IF(Data!#REF!="","",IF(ISNUMBER(Data!#REF!),IF(AND(Data!#REF!&gt;(TODAY()-(Data_Val!$I$3*365.25)),Data!#REF!&lt;=(TODAY()-(Data_Val!$I$2*365.25))),0,1),1))</f>
        <v>#REF!</v>
      </c>
      <c r="AY237" s="12" t="e">
        <f>IF(Data!#REF!="","",IF(Data!$G237="",1,IF(ISNUMBER(MATCH(Data!#REF!,Data_Val!$D$2:$D$10,0)),0,1)))</f>
        <v>#REF!</v>
      </c>
      <c r="AZ237" s="11"/>
      <c r="BA237" s="19" t="e">
        <f ca="1">IF(Data!#REF!="","",IF(ISNUMBER(Data!#REF!),IF(AND(Data!#REF!&gt;(TODAY()-(Data_Val!$M$3*365.25)),Data!#REF!&lt;=(TODAY()-(Data_Val!$M$2*365.25))),0,1),1))</f>
        <v>#REF!</v>
      </c>
      <c r="BB237" s="11" t="e">
        <f>IF(Data!#REF!="","",IF(Data!$G237="",1,IF(ISNUMBER(MATCH(Data!#REF!,Data_Val!$D$2:$D$10,0)),0,1)))</f>
        <v>#REF!</v>
      </c>
      <c r="BC237" s="12"/>
      <c r="BD237" s="20" t="e">
        <f ca="1">IF(Data!#REF!="","",IF(ISNUMBER(Data!#REF!),IF(AND(Data!#REF!&gt;(TODAY()-(Data_Val!$M$3*365.25)),Data!#REF!&lt;=(TODAY()-(Data_Val!$M$2*365.25))),0,1),1))</f>
        <v>#REF!</v>
      </c>
      <c r="BE237" s="12" t="e">
        <f>IF(Data!#REF!="","",IF(Data!$G237="",1,IF(ISNUMBER(MATCH(Data!#REF!,Data_Val!$D$2:$D$10,0)),0,1)))</f>
        <v>#REF!</v>
      </c>
      <c r="BF237" s="17"/>
      <c r="BG237" s="18" t="e">
        <f ca="1">IF(Data!#REF!="","",IF(ISNUMBER(Data!#REF!),IF(AND(Data!#REF!&gt;(TODAY()-(Data_Val!$M$3*365.25)),Data!#REF!&lt;=(TODAY()-(Data_Val!$M$2*365.25))),0,1),1))</f>
        <v>#REF!</v>
      </c>
      <c r="BH237" s="29" t="e">
        <f>IF(Data!#REF!="","",IF(Data!$G237="",1,IF(ISNUMBER(MATCH(Data!#REF!,Data_Val!$D$2:$D$10,0)),0,1)))</f>
        <v>#REF!</v>
      </c>
      <c r="BI237" s="13"/>
      <c r="BJ237" s="21" t="e">
        <f ca="1">IF(Data!#REF!="","",IF(ISNUMBER(Data!#REF!),IF(AND(Data!#REF!&gt;(TODAY()-(Data_Val!$M$3*365.25)),Data!#REF!&lt;=(TODAY()-(Data_Val!$M$2*365.25))),0,1),1))</f>
        <v>#REF!</v>
      </c>
      <c r="BK237" s="13" t="e">
        <f>IF(Data!#REF!="","",IF(Data!$G237="",1,IF(ISNUMBER(MATCH(Data!#REF!,Data_Val!$D$2:$D$10,0)),0,1)))</f>
        <v>#REF!</v>
      </c>
    </row>
    <row r="238" spans="1:63" x14ac:dyDescent="0.25">
      <c r="A238" s="9" t="str">
        <f>IF(Data!B238="","",IF(COUNTIFS(Data!A$1:'Data'!A238,Data!A238)&lt;=1,0,1))</f>
        <v/>
      </c>
      <c r="B238" s="9"/>
      <c r="C238" s="23" t="str">
        <f>IF(Data!C238="","",(IF(ISNUMBER(MATCH("*@*.?*",Data!C238,0)),0,1)+IF(COUNTIFS(Data!C$1:'Data'!C238,Data!C238)&gt;1,1,0)))</f>
        <v/>
      </c>
      <c r="D238" s="9" t="str">
        <f>IF(Data!B238="","",IF(ISNUMBER(Data!D238),IF(AND(Data!D238&gt;999999999,Data!D238&lt;=9999999999),IF(COUNTIFS(Data!D$1:'Data'!D238,Data!D238)&lt;=1,0,1),1),1))</f>
        <v/>
      </c>
      <c r="E238" s="9" t="str">
        <f>IF(Data!B238="","",IF(ISNUMBER(MATCH(Data!E238,Data_Val!$A$2:$A$3,0)),0,1))</f>
        <v/>
      </c>
      <c r="F238" s="9" t="str">
        <f ca="1">IF(Data!B238="","",IF(ISNUMBER(Data!F238),IF(AND(Data!F238&gt;(TODAY()-(Data_Val!$H$3*365.25)),Data!F238&lt;=(TODAY()-(Data_Val!$H$2*365.25))),0,1),1))</f>
        <v/>
      </c>
      <c r="G238" s="15" t="str">
        <f>IF(Data!B238="","",IF(AND(Data!G238="",Data!H238&lt;&gt;""),1,IF(Data!#REF!&lt;&gt;"",0,IF(ISNUMBER(MATCH(Data!G238,Data_Val!$C$2:$C$5,0)),0,1))))</f>
        <v/>
      </c>
      <c r="H238" s="15" t="str">
        <f>IF(Data!B238="","",IF(AND(Data!G238&lt;&gt;"",Data!H238=""),1,IF(Data!#REF!&lt;&gt;"",0,IF(Data!G238="",1,IF(ISNUMBER(MATCH(Data!H238,Data_Val!$D$2:$D$35,0)),0,1)))))</f>
        <v/>
      </c>
      <c r="I238" s="15" t="str">
        <f>IF(Data!B238="","",IF(Data!G238&lt;&gt;"",0,IF(ISNUMBER(MATCH(Data!#REF!,Data_Val!$E$2:$E$12,0)),0,1)))</f>
        <v/>
      </c>
      <c r="J238" s="16" t="e">
        <f>IF(OR(Data!B238="",Data!#REF!=""),"",IF(Data!#REF!="",1,0))</f>
        <v>#REF!</v>
      </c>
      <c r="K238" s="16" t="e">
        <f>IF(OR(Data!B238="",Data!#REF!=""),"",IF(Data!#REF!="",1,0))</f>
        <v>#REF!</v>
      </c>
      <c r="L238" s="16" t="e">
        <f>IF(OR(Data!B238="",Data!#REF!=""),"",IF(ISNUMBER(Data!#REF!),IF(AND(Data!#REF!&gt;Data_Val!$G$2,Data!#REF!&lt;=Data_Val!$G$3),0,1),1))</f>
        <v>#REF!</v>
      </c>
      <c r="M238" s="9" t="e">
        <f>IF(OR(Data!B238="",Data!#REF!=""),"",IF(ISNUMBER(MATCH(Data!#REF!,Data_Val!$F$1:$F$38,0)),0,1))</f>
        <v>#REF!</v>
      </c>
      <c r="N238" s="9" t="e">
        <f>IF(OR(Data!B238="",Data!#REF!=""),"",IF(Data!#REF!="",1,0))</f>
        <v>#REF!</v>
      </c>
      <c r="O238" s="17" t="e">
        <f>IF(Data!#REF!="","",IF(Data!#REF!="",1,0))</f>
        <v>#REF!</v>
      </c>
      <c r="P238" s="17" t="e">
        <f>IF(Data!#REF!="","",IF(ISNUMBER(MATCH(Data!#REF!,Data_Val!$A$2:$A$3,0)),0,1))</f>
        <v>#REF!</v>
      </c>
      <c r="Q238" s="25" t="e">
        <f ca="1">IF(Data!#REF!="","",IF(ISNUMBER(Data!#REF!),IF(AND(Data!#REF!&gt;(TODAY()-(Data_Val!$J$3*365.25)),Data!#REF!&lt;=(TODAY()-(Data_Val!$J$2*365.25))),0,1),1))</f>
        <v>#REF!</v>
      </c>
      <c r="R238" s="17" t="e">
        <f>IF(Data!#REF!="","",IF(ISNUMBER(MATCH(Data!#REF!,Data_Val!$B$2:$B$15,0)),0,1))</f>
        <v>#REF!</v>
      </c>
      <c r="S238" s="11" t="str">
        <f>IF(Data!G238="","",IF(Data!G238=Data_Val!$C$2,IF(Data!M238="",0,1),0))</f>
        <v/>
      </c>
      <c r="T238" s="11" t="str">
        <f>IF(Data!M238="","",IF(ISNUMBER(MATCH(Data!N238,Data_Val!$A$2:$A$3,0)),0,1))</f>
        <v/>
      </c>
      <c r="U238" s="11" t="str">
        <f ca="1">IF(Data!M238="","",IF(ISNUMBER(Data!O238),IF(AND(Data!O238&gt;(TODAY()-(Data_Val!$K$3*365.25)),Data!O238&lt;=(TODAY()-(Data_Val!$K$2*365.25))),0,1),1))</f>
        <v/>
      </c>
      <c r="V238" s="12" t="str">
        <f>IF(Data!G238="","",IF(Data!G238=Data_Val!$C$2,IF(Data!P238="",0,1),0))</f>
        <v/>
      </c>
      <c r="W238" s="12" t="str">
        <f>IF(Data!P238="","",IF(ISNUMBER(MATCH(Data!Q238,Data_Val!$A$2:$A$3,0)),0,1))</f>
        <v/>
      </c>
      <c r="X238" s="26" t="str">
        <f ca="1">IF(Data!P238="","",IF(ISNUMBER(Data!R238),IF(AND(Data!R238&gt;(TODAY()-(Data_Val!$L$3*365.25)),Data!R238&lt;=(TODAY()-(Data_Val!$L$2*365.25))),0,1),1))</f>
        <v/>
      </c>
      <c r="Y238" s="13" t="str">
        <f>IF(Data!$G238="","",IF(Data!$G238=Data_Val!$C$2,IF(Data!S238="",0,1),0))</f>
        <v/>
      </c>
      <c r="Z238" s="13" t="str">
        <f>IF(Data!S238="","",IF(ISNUMBER(MATCH(Data!T238,Data_Val!$A$2:$A$3,0)),0,1))</f>
        <v/>
      </c>
      <c r="AA238" s="28" t="str">
        <f ca="1">IF(Data!S238="","",IF(ISNUMBER(Data!U238),IF(AND(Data!U238&gt;(TODAY()-(Data_Val!$L$3*365.25)),Data!U238&lt;=(TODAY()-(Data_Val!$L$2*365.25))),0,1),1))</f>
        <v/>
      </c>
      <c r="AB238" s="11"/>
      <c r="AC238" s="11" t="e">
        <f>IF(Data!#REF!="","",IF(ISNUMBER(MATCH(Data!#REF!,Data_Val!$A$2:$A$3,0)),0,1))</f>
        <v>#REF!</v>
      </c>
      <c r="AD238" s="11" t="e">
        <f ca="1">IF(Data!#REF!="","",IF(ISNUMBER(Data!#REF!),IF(AND(Data!#REF!&gt;(TODAY()-(Data_Val!$L$3*365.25)),Data!#REF!&lt;=(TODAY()-(Data_Val!$L$2*365.25))),0,1),1))</f>
        <v>#REF!</v>
      </c>
      <c r="AE238" s="11" t="e">
        <f>IF(Data!#REF!="","",IF(Data!$G238="",1,IF(ISNUMBER(MATCH(Data!#REF!,Data_Val!$D$2:$D$10,0)),0,1)))</f>
        <v>#REF!</v>
      </c>
      <c r="AF238" s="12"/>
      <c r="AG238" s="12" t="e">
        <f>IF(Data!#REF!="","",IF(ISNUMBER(MATCH(Data!#REF!,Data_Val!$A$2:$A$3,0)),0,1))</f>
        <v>#REF!</v>
      </c>
      <c r="AH238" s="26" t="e">
        <f ca="1">IF(Data!#REF!="","",IF(ISNUMBER(Data!#REF!),IF(AND(Data!#REF!&gt;(TODAY()-(Data_Val!$L$3*365.25)),Data!#REF!&lt;=(TODAY()-(Data_Val!$L$2*365.25))),0,1),1))</f>
        <v>#REF!</v>
      </c>
      <c r="AI238" s="12" t="e">
        <f>IF(Data!#REF!="","",IF(Data!$G238="",1,IF(ISNUMBER(MATCH(Data!#REF!,Data_Val!$D$2:$D$10,0)),0,1)))</f>
        <v>#REF!</v>
      </c>
      <c r="AJ238" s="17"/>
      <c r="AK238" s="17" t="e">
        <f>IF(Data!#REF!="","",IF(ISNUMBER(MATCH(Data!#REF!,Data_Val!$A$2:$A$3,0)),0,1))</f>
        <v>#REF!</v>
      </c>
      <c r="AL238" s="25" t="e">
        <f ca="1">IF(Data!#REF!="","",IF(ISNUMBER(Data!#REF!),IF(AND(Data!#REF!&gt;(TODAY()-(Data_Val!$L$3*365.25)),Data!#REF!&lt;=(TODAY()-(Data_Val!$L$2*365.25))),0,1),1))</f>
        <v>#REF!</v>
      </c>
      <c r="AM238" s="17" t="e">
        <f>IF(Data!#REF!="","",IF(Data!$G238="",1,IF(ISNUMBER(MATCH(Data!#REF!,Data_Val!$D$2:$D$10,0)),0,1)))</f>
        <v>#REF!</v>
      </c>
      <c r="AN238" s="13"/>
      <c r="AO238" s="28" t="e">
        <f ca="1">IF(Data!#REF!="","",IF(ISNUMBER(Data!#REF!),IF(AND(Data!#REF!&gt;(TODAY()-(Data_Val!$I$3*365.25)),Data!#REF!&lt;=(TODAY()-(Data_Val!$I$2*365.25))),0,1),1))</f>
        <v>#REF!</v>
      </c>
      <c r="AP238" s="13" t="e">
        <f>IF(Data!#REF!="","",IF(Data!$G238="",1,IF(ISNUMBER(MATCH(Data!#REF!,Data_Val!$D$2:$D$10,0)),0,1)))</f>
        <v>#REF!</v>
      </c>
      <c r="AQ238" s="17"/>
      <c r="AR238" s="30" t="e">
        <f ca="1">IF(Data!#REF!="","",IF(ISNUMBER(Data!#REF!),IF(AND(Data!#REF!&gt;(TODAY()-(Data_Val!$I$3*365.25)),Data!#REF!&lt;=(TODAY()-(Data_Val!$I$2*365.25))),0,1),1))</f>
        <v>#REF!</v>
      </c>
      <c r="AS238" s="31" t="e">
        <f>IF(Data!#REF!="","",IF(Data!$G238="",1,IF(ISNUMBER(MATCH(Data!#REF!,Data_Val!$D$2:$D$10,0)),0,1)))</f>
        <v>#REF!</v>
      </c>
      <c r="AT238" s="11"/>
      <c r="AU238" s="11" t="e">
        <f ca="1">IF(Data!#REF!="","",IF(ISNUMBER(Data!#REF!),IF(AND(Data!#REF!&gt;(TODAY()-(Data_Val!$I$3*365.25)),Data!#REF!&lt;=(TODAY()-(Data_Val!$I$2*365.25))),0,1),1))</f>
        <v>#REF!</v>
      </c>
      <c r="AV238" s="11" t="e">
        <f>IF(Data!#REF!="","",IF(Data!$G238="",1,IF(ISNUMBER(MATCH(Data!#REF!,Data_Val!$D$2:$D$10,0)),0,1)))</f>
        <v>#REF!</v>
      </c>
      <c r="AW238" s="12"/>
      <c r="AX238" s="26" t="e">
        <f ca="1">IF(Data!#REF!="","",IF(ISNUMBER(Data!#REF!),IF(AND(Data!#REF!&gt;(TODAY()-(Data_Val!$I$3*365.25)),Data!#REF!&lt;=(TODAY()-(Data_Val!$I$2*365.25))),0,1),1))</f>
        <v>#REF!</v>
      </c>
      <c r="AY238" s="12" t="e">
        <f>IF(Data!#REF!="","",IF(Data!$G238="",1,IF(ISNUMBER(MATCH(Data!#REF!,Data_Val!$D$2:$D$10,0)),0,1)))</f>
        <v>#REF!</v>
      </c>
      <c r="AZ238" s="11"/>
      <c r="BA238" s="19" t="e">
        <f ca="1">IF(Data!#REF!="","",IF(ISNUMBER(Data!#REF!),IF(AND(Data!#REF!&gt;(TODAY()-(Data_Val!$M$3*365.25)),Data!#REF!&lt;=(TODAY()-(Data_Val!$M$2*365.25))),0,1),1))</f>
        <v>#REF!</v>
      </c>
      <c r="BB238" s="11" t="e">
        <f>IF(Data!#REF!="","",IF(Data!$G238="",1,IF(ISNUMBER(MATCH(Data!#REF!,Data_Val!$D$2:$D$10,0)),0,1)))</f>
        <v>#REF!</v>
      </c>
      <c r="BC238" s="12"/>
      <c r="BD238" s="20" t="e">
        <f ca="1">IF(Data!#REF!="","",IF(ISNUMBER(Data!#REF!),IF(AND(Data!#REF!&gt;(TODAY()-(Data_Val!$M$3*365.25)),Data!#REF!&lt;=(TODAY()-(Data_Val!$M$2*365.25))),0,1),1))</f>
        <v>#REF!</v>
      </c>
      <c r="BE238" s="12" t="e">
        <f>IF(Data!#REF!="","",IF(Data!$G238="",1,IF(ISNUMBER(MATCH(Data!#REF!,Data_Val!$D$2:$D$10,0)),0,1)))</f>
        <v>#REF!</v>
      </c>
      <c r="BF238" s="17"/>
      <c r="BG238" s="18" t="e">
        <f ca="1">IF(Data!#REF!="","",IF(ISNUMBER(Data!#REF!),IF(AND(Data!#REF!&gt;(TODAY()-(Data_Val!$M$3*365.25)),Data!#REF!&lt;=(TODAY()-(Data_Val!$M$2*365.25))),0,1),1))</f>
        <v>#REF!</v>
      </c>
      <c r="BH238" s="29" t="e">
        <f>IF(Data!#REF!="","",IF(Data!$G238="",1,IF(ISNUMBER(MATCH(Data!#REF!,Data_Val!$D$2:$D$10,0)),0,1)))</f>
        <v>#REF!</v>
      </c>
      <c r="BI238" s="13"/>
      <c r="BJ238" s="21" t="e">
        <f ca="1">IF(Data!#REF!="","",IF(ISNUMBER(Data!#REF!),IF(AND(Data!#REF!&gt;(TODAY()-(Data_Val!$M$3*365.25)),Data!#REF!&lt;=(TODAY()-(Data_Val!$M$2*365.25))),0,1),1))</f>
        <v>#REF!</v>
      </c>
      <c r="BK238" s="13" t="e">
        <f>IF(Data!#REF!="","",IF(Data!$G238="",1,IF(ISNUMBER(MATCH(Data!#REF!,Data_Val!$D$2:$D$10,0)),0,1)))</f>
        <v>#REF!</v>
      </c>
    </row>
    <row r="239" spans="1:63" x14ac:dyDescent="0.25">
      <c r="A239" s="9" t="str">
        <f>IF(Data!B239="","",IF(COUNTIFS(Data!A$1:'Data'!A239,Data!A239)&lt;=1,0,1))</f>
        <v/>
      </c>
      <c r="B239" s="9"/>
      <c r="C239" s="23" t="str">
        <f>IF(Data!C239="","",(IF(ISNUMBER(MATCH("*@*.?*",Data!C239,0)),0,1)+IF(COUNTIFS(Data!C$1:'Data'!C239,Data!C239)&gt;1,1,0)))</f>
        <v/>
      </c>
      <c r="D239" s="9" t="str">
        <f>IF(Data!B239="","",IF(ISNUMBER(Data!D239),IF(AND(Data!D239&gt;999999999,Data!D239&lt;=9999999999),IF(COUNTIFS(Data!D$1:'Data'!D239,Data!D239)&lt;=1,0,1),1),1))</f>
        <v/>
      </c>
      <c r="E239" s="9" t="str">
        <f>IF(Data!B239="","",IF(ISNUMBER(MATCH(Data!E239,Data_Val!$A$2:$A$3,0)),0,1))</f>
        <v/>
      </c>
      <c r="F239" s="9" t="str">
        <f ca="1">IF(Data!B239="","",IF(ISNUMBER(Data!F239),IF(AND(Data!F239&gt;(TODAY()-(Data_Val!$H$3*365.25)),Data!F239&lt;=(TODAY()-(Data_Val!$H$2*365.25))),0,1),1))</f>
        <v/>
      </c>
      <c r="G239" s="15" t="str">
        <f>IF(Data!B239="","",IF(AND(Data!G239="",Data!H239&lt;&gt;""),1,IF(Data!#REF!&lt;&gt;"",0,IF(ISNUMBER(MATCH(Data!G239,Data_Val!$C$2:$C$5,0)),0,1))))</f>
        <v/>
      </c>
      <c r="H239" s="15" t="str">
        <f>IF(Data!B239="","",IF(AND(Data!G239&lt;&gt;"",Data!H239=""),1,IF(Data!#REF!&lt;&gt;"",0,IF(Data!G239="",1,IF(ISNUMBER(MATCH(Data!H239,Data_Val!$D$2:$D$35,0)),0,1)))))</f>
        <v/>
      </c>
      <c r="I239" s="15" t="str">
        <f>IF(Data!B239="","",IF(Data!G239&lt;&gt;"",0,IF(ISNUMBER(MATCH(Data!#REF!,Data_Val!$E$2:$E$12,0)),0,1)))</f>
        <v/>
      </c>
      <c r="J239" s="16" t="e">
        <f>IF(OR(Data!B239="",Data!#REF!=""),"",IF(Data!#REF!="",1,0))</f>
        <v>#REF!</v>
      </c>
      <c r="K239" s="16" t="e">
        <f>IF(OR(Data!B239="",Data!#REF!=""),"",IF(Data!#REF!="",1,0))</f>
        <v>#REF!</v>
      </c>
      <c r="L239" s="16" t="e">
        <f>IF(OR(Data!B239="",Data!#REF!=""),"",IF(ISNUMBER(Data!#REF!),IF(AND(Data!#REF!&gt;Data_Val!$G$2,Data!#REF!&lt;=Data_Val!$G$3),0,1),1))</f>
        <v>#REF!</v>
      </c>
      <c r="M239" s="9" t="e">
        <f>IF(OR(Data!B239="",Data!#REF!=""),"",IF(ISNUMBER(MATCH(Data!#REF!,Data_Val!$F$1:$F$38,0)),0,1))</f>
        <v>#REF!</v>
      </c>
      <c r="N239" s="9" t="e">
        <f>IF(OR(Data!B239="",Data!#REF!=""),"",IF(Data!#REF!="",1,0))</f>
        <v>#REF!</v>
      </c>
      <c r="O239" s="17" t="e">
        <f>IF(Data!#REF!="","",IF(Data!#REF!="",1,0))</f>
        <v>#REF!</v>
      </c>
      <c r="P239" s="17" t="e">
        <f>IF(Data!#REF!="","",IF(ISNUMBER(MATCH(Data!#REF!,Data_Val!$A$2:$A$3,0)),0,1))</f>
        <v>#REF!</v>
      </c>
      <c r="Q239" s="25" t="e">
        <f ca="1">IF(Data!#REF!="","",IF(ISNUMBER(Data!#REF!),IF(AND(Data!#REF!&gt;(TODAY()-(Data_Val!$J$3*365.25)),Data!#REF!&lt;=(TODAY()-(Data_Val!$J$2*365.25))),0,1),1))</f>
        <v>#REF!</v>
      </c>
      <c r="R239" s="17" t="e">
        <f>IF(Data!#REF!="","",IF(ISNUMBER(MATCH(Data!#REF!,Data_Val!$B$2:$B$15,0)),0,1))</f>
        <v>#REF!</v>
      </c>
      <c r="S239" s="11" t="str">
        <f>IF(Data!G239="","",IF(Data!G239=Data_Val!$C$2,IF(Data!M239="",0,1),0))</f>
        <v/>
      </c>
      <c r="T239" s="11" t="str">
        <f>IF(Data!M239="","",IF(ISNUMBER(MATCH(Data!N239,Data_Val!$A$2:$A$3,0)),0,1))</f>
        <v/>
      </c>
      <c r="U239" s="11" t="str">
        <f ca="1">IF(Data!M239="","",IF(ISNUMBER(Data!O239),IF(AND(Data!O239&gt;(TODAY()-(Data_Val!$K$3*365.25)),Data!O239&lt;=(TODAY()-(Data_Val!$K$2*365.25))),0,1),1))</f>
        <v/>
      </c>
      <c r="V239" s="12" t="str">
        <f>IF(Data!G239="","",IF(Data!G239=Data_Val!$C$2,IF(Data!P239="",0,1),0))</f>
        <v/>
      </c>
      <c r="W239" s="12" t="str">
        <f>IF(Data!P239="","",IF(ISNUMBER(MATCH(Data!Q239,Data_Val!$A$2:$A$3,0)),0,1))</f>
        <v/>
      </c>
      <c r="X239" s="26" t="str">
        <f ca="1">IF(Data!P239="","",IF(ISNUMBER(Data!R239),IF(AND(Data!R239&gt;(TODAY()-(Data_Val!$L$3*365.25)),Data!R239&lt;=(TODAY()-(Data_Val!$L$2*365.25))),0,1),1))</f>
        <v/>
      </c>
      <c r="Y239" s="13" t="str">
        <f>IF(Data!$G239="","",IF(Data!$G239=Data_Val!$C$2,IF(Data!S239="",0,1),0))</f>
        <v/>
      </c>
      <c r="Z239" s="13" t="str">
        <f>IF(Data!S239="","",IF(ISNUMBER(MATCH(Data!T239,Data_Val!$A$2:$A$3,0)),0,1))</f>
        <v/>
      </c>
      <c r="AA239" s="28" t="str">
        <f ca="1">IF(Data!S239="","",IF(ISNUMBER(Data!U239),IF(AND(Data!U239&gt;(TODAY()-(Data_Val!$L$3*365.25)),Data!U239&lt;=(TODAY()-(Data_Val!$L$2*365.25))),0,1),1))</f>
        <v/>
      </c>
      <c r="AB239" s="11"/>
      <c r="AC239" s="11" t="e">
        <f>IF(Data!#REF!="","",IF(ISNUMBER(MATCH(Data!#REF!,Data_Val!$A$2:$A$3,0)),0,1))</f>
        <v>#REF!</v>
      </c>
      <c r="AD239" s="11" t="e">
        <f ca="1">IF(Data!#REF!="","",IF(ISNUMBER(Data!#REF!),IF(AND(Data!#REF!&gt;(TODAY()-(Data_Val!$L$3*365.25)),Data!#REF!&lt;=(TODAY()-(Data_Val!$L$2*365.25))),0,1),1))</f>
        <v>#REF!</v>
      </c>
      <c r="AE239" s="11" t="e">
        <f>IF(Data!#REF!="","",IF(Data!$G239="",1,IF(ISNUMBER(MATCH(Data!#REF!,Data_Val!$D$2:$D$10,0)),0,1)))</f>
        <v>#REF!</v>
      </c>
      <c r="AF239" s="12"/>
      <c r="AG239" s="12" t="e">
        <f>IF(Data!#REF!="","",IF(ISNUMBER(MATCH(Data!#REF!,Data_Val!$A$2:$A$3,0)),0,1))</f>
        <v>#REF!</v>
      </c>
      <c r="AH239" s="26" t="e">
        <f ca="1">IF(Data!#REF!="","",IF(ISNUMBER(Data!#REF!),IF(AND(Data!#REF!&gt;(TODAY()-(Data_Val!$L$3*365.25)),Data!#REF!&lt;=(TODAY()-(Data_Val!$L$2*365.25))),0,1),1))</f>
        <v>#REF!</v>
      </c>
      <c r="AI239" s="12" t="e">
        <f>IF(Data!#REF!="","",IF(Data!$G239="",1,IF(ISNUMBER(MATCH(Data!#REF!,Data_Val!$D$2:$D$10,0)),0,1)))</f>
        <v>#REF!</v>
      </c>
      <c r="AJ239" s="17"/>
      <c r="AK239" s="17" t="e">
        <f>IF(Data!#REF!="","",IF(ISNUMBER(MATCH(Data!#REF!,Data_Val!$A$2:$A$3,0)),0,1))</f>
        <v>#REF!</v>
      </c>
      <c r="AL239" s="25" t="e">
        <f ca="1">IF(Data!#REF!="","",IF(ISNUMBER(Data!#REF!),IF(AND(Data!#REF!&gt;(TODAY()-(Data_Val!$L$3*365.25)),Data!#REF!&lt;=(TODAY()-(Data_Val!$L$2*365.25))),0,1),1))</f>
        <v>#REF!</v>
      </c>
      <c r="AM239" s="17" t="e">
        <f>IF(Data!#REF!="","",IF(Data!$G239="",1,IF(ISNUMBER(MATCH(Data!#REF!,Data_Val!$D$2:$D$10,0)),0,1)))</f>
        <v>#REF!</v>
      </c>
      <c r="AN239" s="13"/>
      <c r="AO239" s="28" t="e">
        <f ca="1">IF(Data!#REF!="","",IF(ISNUMBER(Data!#REF!),IF(AND(Data!#REF!&gt;(TODAY()-(Data_Val!$I$3*365.25)),Data!#REF!&lt;=(TODAY()-(Data_Val!$I$2*365.25))),0,1),1))</f>
        <v>#REF!</v>
      </c>
      <c r="AP239" s="13" t="e">
        <f>IF(Data!#REF!="","",IF(Data!$G239="",1,IF(ISNUMBER(MATCH(Data!#REF!,Data_Val!$D$2:$D$10,0)),0,1)))</f>
        <v>#REF!</v>
      </c>
      <c r="AQ239" s="17"/>
      <c r="AR239" s="30" t="e">
        <f ca="1">IF(Data!#REF!="","",IF(ISNUMBER(Data!#REF!),IF(AND(Data!#REF!&gt;(TODAY()-(Data_Val!$I$3*365.25)),Data!#REF!&lt;=(TODAY()-(Data_Val!$I$2*365.25))),0,1),1))</f>
        <v>#REF!</v>
      </c>
      <c r="AS239" s="31" t="e">
        <f>IF(Data!#REF!="","",IF(Data!$G239="",1,IF(ISNUMBER(MATCH(Data!#REF!,Data_Val!$D$2:$D$10,0)),0,1)))</f>
        <v>#REF!</v>
      </c>
      <c r="AT239" s="11"/>
      <c r="AU239" s="11" t="e">
        <f ca="1">IF(Data!#REF!="","",IF(ISNUMBER(Data!#REF!),IF(AND(Data!#REF!&gt;(TODAY()-(Data_Val!$I$3*365.25)),Data!#REF!&lt;=(TODAY()-(Data_Val!$I$2*365.25))),0,1),1))</f>
        <v>#REF!</v>
      </c>
      <c r="AV239" s="11" t="e">
        <f>IF(Data!#REF!="","",IF(Data!$G239="",1,IF(ISNUMBER(MATCH(Data!#REF!,Data_Val!$D$2:$D$10,0)),0,1)))</f>
        <v>#REF!</v>
      </c>
      <c r="AW239" s="12"/>
      <c r="AX239" s="26" t="e">
        <f ca="1">IF(Data!#REF!="","",IF(ISNUMBER(Data!#REF!),IF(AND(Data!#REF!&gt;(TODAY()-(Data_Val!$I$3*365.25)),Data!#REF!&lt;=(TODAY()-(Data_Val!$I$2*365.25))),0,1),1))</f>
        <v>#REF!</v>
      </c>
      <c r="AY239" s="12" t="e">
        <f>IF(Data!#REF!="","",IF(Data!$G239="",1,IF(ISNUMBER(MATCH(Data!#REF!,Data_Val!$D$2:$D$10,0)),0,1)))</f>
        <v>#REF!</v>
      </c>
      <c r="AZ239" s="11"/>
      <c r="BA239" s="19" t="e">
        <f ca="1">IF(Data!#REF!="","",IF(ISNUMBER(Data!#REF!),IF(AND(Data!#REF!&gt;(TODAY()-(Data_Val!$M$3*365.25)),Data!#REF!&lt;=(TODAY()-(Data_Val!$M$2*365.25))),0,1),1))</f>
        <v>#REF!</v>
      </c>
      <c r="BB239" s="11" t="e">
        <f>IF(Data!#REF!="","",IF(Data!$G239="",1,IF(ISNUMBER(MATCH(Data!#REF!,Data_Val!$D$2:$D$10,0)),0,1)))</f>
        <v>#REF!</v>
      </c>
      <c r="BC239" s="12"/>
      <c r="BD239" s="20" t="e">
        <f ca="1">IF(Data!#REF!="","",IF(ISNUMBER(Data!#REF!),IF(AND(Data!#REF!&gt;(TODAY()-(Data_Val!$M$3*365.25)),Data!#REF!&lt;=(TODAY()-(Data_Val!$M$2*365.25))),0,1),1))</f>
        <v>#REF!</v>
      </c>
      <c r="BE239" s="12" t="e">
        <f>IF(Data!#REF!="","",IF(Data!$G239="",1,IF(ISNUMBER(MATCH(Data!#REF!,Data_Val!$D$2:$D$10,0)),0,1)))</f>
        <v>#REF!</v>
      </c>
      <c r="BF239" s="17"/>
      <c r="BG239" s="18" t="e">
        <f ca="1">IF(Data!#REF!="","",IF(ISNUMBER(Data!#REF!),IF(AND(Data!#REF!&gt;(TODAY()-(Data_Val!$M$3*365.25)),Data!#REF!&lt;=(TODAY()-(Data_Val!$M$2*365.25))),0,1),1))</f>
        <v>#REF!</v>
      </c>
      <c r="BH239" s="29" t="e">
        <f>IF(Data!#REF!="","",IF(Data!$G239="",1,IF(ISNUMBER(MATCH(Data!#REF!,Data_Val!$D$2:$D$10,0)),0,1)))</f>
        <v>#REF!</v>
      </c>
      <c r="BI239" s="13"/>
      <c r="BJ239" s="21" t="e">
        <f ca="1">IF(Data!#REF!="","",IF(ISNUMBER(Data!#REF!),IF(AND(Data!#REF!&gt;(TODAY()-(Data_Val!$M$3*365.25)),Data!#REF!&lt;=(TODAY()-(Data_Val!$M$2*365.25))),0,1),1))</f>
        <v>#REF!</v>
      </c>
      <c r="BK239" s="13" t="e">
        <f>IF(Data!#REF!="","",IF(Data!$G239="",1,IF(ISNUMBER(MATCH(Data!#REF!,Data_Val!$D$2:$D$10,0)),0,1)))</f>
        <v>#REF!</v>
      </c>
    </row>
    <row r="240" spans="1:63" x14ac:dyDescent="0.25">
      <c r="A240" s="9" t="str">
        <f>IF(Data!B240="","",IF(COUNTIFS(Data!A$1:'Data'!A240,Data!A240)&lt;=1,0,1))</f>
        <v/>
      </c>
      <c r="B240" s="9"/>
      <c r="C240" s="23" t="str">
        <f>IF(Data!C240="","",(IF(ISNUMBER(MATCH("*@*.?*",Data!C240,0)),0,1)+IF(COUNTIFS(Data!C$1:'Data'!C240,Data!C240)&gt;1,1,0)))</f>
        <v/>
      </c>
      <c r="D240" s="9" t="str">
        <f>IF(Data!B240="","",IF(ISNUMBER(Data!D240),IF(AND(Data!D240&gt;999999999,Data!D240&lt;=9999999999),IF(COUNTIFS(Data!D$1:'Data'!D240,Data!D240)&lt;=1,0,1),1),1))</f>
        <v/>
      </c>
      <c r="E240" s="9" t="str">
        <f>IF(Data!B240="","",IF(ISNUMBER(MATCH(Data!E240,Data_Val!$A$2:$A$3,0)),0,1))</f>
        <v/>
      </c>
      <c r="F240" s="9" t="str">
        <f ca="1">IF(Data!B240="","",IF(ISNUMBER(Data!F240),IF(AND(Data!F240&gt;(TODAY()-(Data_Val!$H$3*365.25)),Data!F240&lt;=(TODAY()-(Data_Val!$H$2*365.25))),0,1),1))</f>
        <v/>
      </c>
      <c r="G240" s="15" t="str">
        <f>IF(Data!B240="","",IF(AND(Data!G240="",Data!H240&lt;&gt;""),1,IF(Data!#REF!&lt;&gt;"",0,IF(ISNUMBER(MATCH(Data!G240,Data_Val!$C$2:$C$5,0)),0,1))))</f>
        <v/>
      </c>
      <c r="H240" s="15" t="str">
        <f>IF(Data!B240="","",IF(AND(Data!G240&lt;&gt;"",Data!H240=""),1,IF(Data!#REF!&lt;&gt;"",0,IF(Data!G240="",1,IF(ISNUMBER(MATCH(Data!H240,Data_Val!$D$2:$D$35,0)),0,1)))))</f>
        <v/>
      </c>
      <c r="I240" s="15" t="str">
        <f>IF(Data!B240="","",IF(Data!G240&lt;&gt;"",0,IF(ISNUMBER(MATCH(Data!#REF!,Data_Val!$E$2:$E$12,0)),0,1)))</f>
        <v/>
      </c>
      <c r="J240" s="16" t="e">
        <f>IF(OR(Data!B240="",Data!#REF!=""),"",IF(Data!#REF!="",1,0))</f>
        <v>#REF!</v>
      </c>
      <c r="K240" s="16" t="e">
        <f>IF(OR(Data!B240="",Data!#REF!=""),"",IF(Data!#REF!="",1,0))</f>
        <v>#REF!</v>
      </c>
      <c r="L240" s="16" t="e">
        <f>IF(OR(Data!B240="",Data!#REF!=""),"",IF(ISNUMBER(Data!#REF!),IF(AND(Data!#REF!&gt;Data_Val!$G$2,Data!#REF!&lt;=Data_Val!$G$3),0,1),1))</f>
        <v>#REF!</v>
      </c>
      <c r="M240" s="9" t="e">
        <f>IF(OR(Data!B240="",Data!#REF!=""),"",IF(ISNUMBER(MATCH(Data!#REF!,Data_Val!$F$1:$F$38,0)),0,1))</f>
        <v>#REF!</v>
      </c>
      <c r="N240" s="9" t="e">
        <f>IF(OR(Data!B240="",Data!#REF!=""),"",IF(Data!#REF!="",1,0))</f>
        <v>#REF!</v>
      </c>
      <c r="O240" s="17" t="e">
        <f>IF(Data!#REF!="","",IF(Data!#REF!="",1,0))</f>
        <v>#REF!</v>
      </c>
      <c r="P240" s="17" t="e">
        <f>IF(Data!#REF!="","",IF(ISNUMBER(MATCH(Data!#REF!,Data_Val!$A$2:$A$3,0)),0,1))</f>
        <v>#REF!</v>
      </c>
      <c r="Q240" s="25" t="e">
        <f ca="1">IF(Data!#REF!="","",IF(ISNUMBER(Data!#REF!),IF(AND(Data!#REF!&gt;(TODAY()-(Data_Val!$J$3*365.25)),Data!#REF!&lt;=(TODAY()-(Data_Val!$J$2*365.25))),0,1),1))</f>
        <v>#REF!</v>
      </c>
      <c r="R240" s="17" t="e">
        <f>IF(Data!#REF!="","",IF(ISNUMBER(MATCH(Data!#REF!,Data_Val!$B$2:$B$15,0)),0,1))</f>
        <v>#REF!</v>
      </c>
      <c r="S240" s="11" t="str">
        <f>IF(Data!G240="","",IF(Data!G240=Data_Val!$C$2,IF(Data!M240="",0,1),0))</f>
        <v/>
      </c>
      <c r="T240" s="11" t="str">
        <f>IF(Data!M240="","",IF(ISNUMBER(MATCH(Data!N240,Data_Val!$A$2:$A$3,0)),0,1))</f>
        <v/>
      </c>
      <c r="U240" s="11" t="str">
        <f ca="1">IF(Data!M240="","",IF(ISNUMBER(Data!O240),IF(AND(Data!O240&gt;(TODAY()-(Data_Val!$K$3*365.25)),Data!O240&lt;=(TODAY()-(Data_Val!$K$2*365.25))),0,1),1))</f>
        <v/>
      </c>
      <c r="V240" s="12" t="str">
        <f>IF(Data!G240="","",IF(Data!G240=Data_Val!$C$2,IF(Data!P240="",0,1),0))</f>
        <v/>
      </c>
      <c r="W240" s="12" t="str">
        <f>IF(Data!P240="","",IF(ISNUMBER(MATCH(Data!Q240,Data_Val!$A$2:$A$3,0)),0,1))</f>
        <v/>
      </c>
      <c r="X240" s="26" t="str">
        <f ca="1">IF(Data!P240="","",IF(ISNUMBER(Data!R240),IF(AND(Data!R240&gt;(TODAY()-(Data_Val!$L$3*365.25)),Data!R240&lt;=(TODAY()-(Data_Val!$L$2*365.25))),0,1),1))</f>
        <v/>
      </c>
      <c r="Y240" s="13" t="str">
        <f>IF(Data!$G240="","",IF(Data!$G240=Data_Val!$C$2,IF(Data!S240="",0,1),0))</f>
        <v/>
      </c>
      <c r="Z240" s="13" t="str">
        <f>IF(Data!S240="","",IF(ISNUMBER(MATCH(Data!T240,Data_Val!$A$2:$A$3,0)),0,1))</f>
        <v/>
      </c>
      <c r="AA240" s="28" t="str">
        <f ca="1">IF(Data!S240="","",IF(ISNUMBER(Data!U240),IF(AND(Data!U240&gt;(TODAY()-(Data_Val!$L$3*365.25)),Data!U240&lt;=(TODAY()-(Data_Val!$L$2*365.25))),0,1),1))</f>
        <v/>
      </c>
      <c r="AB240" s="11"/>
      <c r="AC240" s="11" t="e">
        <f>IF(Data!#REF!="","",IF(ISNUMBER(MATCH(Data!#REF!,Data_Val!$A$2:$A$3,0)),0,1))</f>
        <v>#REF!</v>
      </c>
      <c r="AD240" s="11" t="e">
        <f ca="1">IF(Data!#REF!="","",IF(ISNUMBER(Data!#REF!),IF(AND(Data!#REF!&gt;(TODAY()-(Data_Val!$L$3*365.25)),Data!#REF!&lt;=(TODAY()-(Data_Val!$L$2*365.25))),0,1),1))</f>
        <v>#REF!</v>
      </c>
      <c r="AE240" s="11" t="e">
        <f>IF(Data!#REF!="","",IF(Data!$G240="",1,IF(ISNUMBER(MATCH(Data!#REF!,Data_Val!$D$2:$D$10,0)),0,1)))</f>
        <v>#REF!</v>
      </c>
      <c r="AF240" s="12"/>
      <c r="AG240" s="12" t="e">
        <f>IF(Data!#REF!="","",IF(ISNUMBER(MATCH(Data!#REF!,Data_Val!$A$2:$A$3,0)),0,1))</f>
        <v>#REF!</v>
      </c>
      <c r="AH240" s="26" t="e">
        <f ca="1">IF(Data!#REF!="","",IF(ISNUMBER(Data!#REF!),IF(AND(Data!#REF!&gt;(TODAY()-(Data_Val!$L$3*365.25)),Data!#REF!&lt;=(TODAY()-(Data_Val!$L$2*365.25))),0,1),1))</f>
        <v>#REF!</v>
      </c>
      <c r="AI240" s="12" t="e">
        <f>IF(Data!#REF!="","",IF(Data!$G240="",1,IF(ISNUMBER(MATCH(Data!#REF!,Data_Val!$D$2:$D$10,0)),0,1)))</f>
        <v>#REF!</v>
      </c>
      <c r="AJ240" s="17"/>
      <c r="AK240" s="17" t="e">
        <f>IF(Data!#REF!="","",IF(ISNUMBER(MATCH(Data!#REF!,Data_Val!$A$2:$A$3,0)),0,1))</f>
        <v>#REF!</v>
      </c>
      <c r="AL240" s="25" t="e">
        <f ca="1">IF(Data!#REF!="","",IF(ISNUMBER(Data!#REF!),IF(AND(Data!#REF!&gt;(TODAY()-(Data_Val!$L$3*365.25)),Data!#REF!&lt;=(TODAY()-(Data_Val!$L$2*365.25))),0,1),1))</f>
        <v>#REF!</v>
      </c>
      <c r="AM240" s="17" t="e">
        <f>IF(Data!#REF!="","",IF(Data!$G240="",1,IF(ISNUMBER(MATCH(Data!#REF!,Data_Val!$D$2:$D$10,0)),0,1)))</f>
        <v>#REF!</v>
      </c>
      <c r="AN240" s="13"/>
      <c r="AO240" s="28" t="e">
        <f ca="1">IF(Data!#REF!="","",IF(ISNUMBER(Data!#REF!),IF(AND(Data!#REF!&gt;(TODAY()-(Data_Val!$I$3*365.25)),Data!#REF!&lt;=(TODAY()-(Data_Val!$I$2*365.25))),0,1),1))</f>
        <v>#REF!</v>
      </c>
      <c r="AP240" s="13" t="e">
        <f>IF(Data!#REF!="","",IF(Data!$G240="",1,IF(ISNUMBER(MATCH(Data!#REF!,Data_Val!$D$2:$D$10,0)),0,1)))</f>
        <v>#REF!</v>
      </c>
      <c r="AQ240" s="17"/>
      <c r="AR240" s="30" t="e">
        <f ca="1">IF(Data!#REF!="","",IF(ISNUMBER(Data!#REF!),IF(AND(Data!#REF!&gt;(TODAY()-(Data_Val!$I$3*365.25)),Data!#REF!&lt;=(TODAY()-(Data_Val!$I$2*365.25))),0,1),1))</f>
        <v>#REF!</v>
      </c>
      <c r="AS240" s="31" t="e">
        <f>IF(Data!#REF!="","",IF(Data!$G240="",1,IF(ISNUMBER(MATCH(Data!#REF!,Data_Val!$D$2:$D$10,0)),0,1)))</f>
        <v>#REF!</v>
      </c>
      <c r="AT240" s="11"/>
      <c r="AU240" s="11" t="e">
        <f ca="1">IF(Data!#REF!="","",IF(ISNUMBER(Data!#REF!),IF(AND(Data!#REF!&gt;(TODAY()-(Data_Val!$I$3*365.25)),Data!#REF!&lt;=(TODAY()-(Data_Val!$I$2*365.25))),0,1),1))</f>
        <v>#REF!</v>
      </c>
      <c r="AV240" s="11" t="e">
        <f>IF(Data!#REF!="","",IF(Data!$G240="",1,IF(ISNUMBER(MATCH(Data!#REF!,Data_Val!$D$2:$D$10,0)),0,1)))</f>
        <v>#REF!</v>
      </c>
      <c r="AW240" s="12"/>
      <c r="AX240" s="26" t="e">
        <f ca="1">IF(Data!#REF!="","",IF(ISNUMBER(Data!#REF!),IF(AND(Data!#REF!&gt;(TODAY()-(Data_Val!$I$3*365.25)),Data!#REF!&lt;=(TODAY()-(Data_Val!$I$2*365.25))),0,1),1))</f>
        <v>#REF!</v>
      </c>
      <c r="AY240" s="12" t="e">
        <f>IF(Data!#REF!="","",IF(Data!$G240="",1,IF(ISNUMBER(MATCH(Data!#REF!,Data_Val!$D$2:$D$10,0)),0,1)))</f>
        <v>#REF!</v>
      </c>
      <c r="AZ240" s="11"/>
      <c r="BA240" s="19" t="e">
        <f ca="1">IF(Data!#REF!="","",IF(ISNUMBER(Data!#REF!),IF(AND(Data!#REF!&gt;(TODAY()-(Data_Val!$M$3*365.25)),Data!#REF!&lt;=(TODAY()-(Data_Val!$M$2*365.25))),0,1),1))</f>
        <v>#REF!</v>
      </c>
      <c r="BB240" s="11" t="e">
        <f>IF(Data!#REF!="","",IF(Data!$G240="",1,IF(ISNUMBER(MATCH(Data!#REF!,Data_Val!$D$2:$D$10,0)),0,1)))</f>
        <v>#REF!</v>
      </c>
      <c r="BC240" s="12"/>
      <c r="BD240" s="20" t="e">
        <f ca="1">IF(Data!#REF!="","",IF(ISNUMBER(Data!#REF!),IF(AND(Data!#REF!&gt;(TODAY()-(Data_Val!$M$3*365.25)),Data!#REF!&lt;=(TODAY()-(Data_Val!$M$2*365.25))),0,1),1))</f>
        <v>#REF!</v>
      </c>
      <c r="BE240" s="12" t="e">
        <f>IF(Data!#REF!="","",IF(Data!$G240="",1,IF(ISNUMBER(MATCH(Data!#REF!,Data_Val!$D$2:$D$10,0)),0,1)))</f>
        <v>#REF!</v>
      </c>
      <c r="BF240" s="17"/>
      <c r="BG240" s="18" t="e">
        <f ca="1">IF(Data!#REF!="","",IF(ISNUMBER(Data!#REF!),IF(AND(Data!#REF!&gt;(TODAY()-(Data_Val!$M$3*365.25)),Data!#REF!&lt;=(TODAY()-(Data_Val!$M$2*365.25))),0,1),1))</f>
        <v>#REF!</v>
      </c>
      <c r="BH240" s="29" t="e">
        <f>IF(Data!#REF!="","",IF(Data!$G240="",1,IF(ISNUMBER(MATCH(Data!#REF!,Data_Val!$D$2:$D$10,0)),0,1)))</f>
        <v>#REF!</v>
      </c>
      <c r="BI240" s="13"/>
      <c r="BJ240" s="21" t="e">
        <f ca="1">IF(Data!#REF!="","",IF(ISNUMBER(Data!#REF!),IF(AND(Data!#REF!&gt;(TODAY()-(Data_Val!$M$3*365.25)),Data!#REF!&lt;=(TODAY()-(Data_Val!$M$2*365.25))),0,1),1))</f>
        <v>#REF!</v>
      </c>
      <c r="BK240" s="13" t="e">
        <f>IF(Data!#REF!="","",IF(Data!$G240="",1,IF(ISNUMBER(MATCH(Data!#REF!,Data_Val!$D$2:$D$10,0)),0,1)))</f>
        <v>#REF!</v>
      </c>
    </row>
    <row r="241" spans="1:63" x14ac:dyDescent="0.25">
      <c r="A241" s="9" t="str">
        <f>IF(Data!B241="","",IF(COUNTIFS(Data!A$1:'Data'!A241,Data!A241)&lt;=1,0,1))</f>
        <v/>
      </c>
      <c r="B241" s="9"/>
      <c r="C241" s="23" t="str">
        <f>IF(Data!C241="","",(IF(ISNUMBER(MATCH("*@*.?*",Data!C241,0)),0,1)+IF(COUNTIFS(Data!C$1:'Data'!C241,Data!C241)&gt;1,1,0)))</f>
        <v/>
      </c>
      <c r="D241" s="9" t="str">
        <f>IF(Data!B241="","",IF(ISNUMBER(Data!D241),IF(AND(Data!D241&gt;999999999,Data!D241&lt;=9999999999),IF(COUNTIFS(Data!D$1:'Data'!D241,Data!D241)&lt;=1,0,1),1),1))</f>
        <v/>
      </c>
      <c r="E241" s="9" t="str">
        <f>IF(Data!B241="","",IF(ISNUMBER(MATCH(Data!E241,Data_Val!$A$2:$A$3,0)),0,1))</f>
        <v/>
      </c>
      <c r="F241" s="9" t="str">
        <f ca="1">IF(Data!B241="","",IF(ISNUMBER(Data!F241),IF(AND(Data!F241&gt;(TODAY()-(Data_Val!$H$3*365.25)),Data!F241&lt;=(TODAY()-(Data_Val!$H$2*365.25))),0,1),1))</f>
        <v/>
      </c>
      <c r="G241" s="15" t="str">
        <f>IF(Data!B241="","",IF(AND(Data!G241="",Data!H241&lt;&gt;""),1,IF(Data!#REF!&lt;&gt;"",0,IF(ISNUMBER(MATCH(Data!G241,Data_Val!$C$2:$C$5,0)),0,1))))</f>
        <v/>
      </c>
      <c r="H241" s="15" t="str">
        <f>IF(Data!B241="","",IF(AND(Data!G241&lt;&gt;"",Data!H241=""),1,IF(Data!#REF!&lt;&gt;"",0,IF(Data!G241="",1,IF(ISNUMBER(MATCH(Data!H241,Data_Val!$D$2:$D$35,0)),0,1)))))</f>
        <v/>
      </c>
      <c r="I241" s="15" t="str">
        <f>IF(Data!B241="","",IF(Data!G241&lt;&gt;"",0,IF(ISNUMBER(MATCH(Data!#REF!,Data_Val!$E$2:$E$12,0)),0,1)))</f>
        <v/>
      </c>
      <c r="J241" s="16" t="e">
        <f>IF(OR(Data!B241="",Data!#REF!=""),"",IF(Data!#REF!="",1,0))</f>
        <v>#REF!</v>
      </c>
      <c r="K241" s="16" t="e">
        <f>IF(OR(Data!B241="",Data!#REF!=""),"",IF(Data!#REF!="",1,0))</f>
        <v>#REF!</v>
      </c>
      <c r="L241" s="16" t="e">
        <f>IF(OR(Data!B241="",Data!#REF!=""),"",IF(ISNUMBER(Data!#REF!),IF(AND(Data!#REF!&gt;Data_Val!$G$2,Data!#REF!&lt;=Data_Val!$G$3),0,1),1))</f>
        <v>#REF!</v>
      </c>
      <c r="M241" s="9" t="e">
        <f>IF(OR(Data!B241="",Data!#REF!=""),"",IF(ISNUMBER(MATCH(Data!#REF!,Data_Val!$F$1:$F$38,0)),0,1))</f>
        <v>#REF!</v>
      </c>
      <c r="N241" s="9" t="e">
        <f>IF(OR(Data!B241="",Data!#REF!=""),"",IF(Data!#REF!="",1,0))</f>
        <v>#REF!</v>
      </c>
      <c r="O241" s="17" t="e">
        <f>IF(Data!#REF!="","",IF(Data!#REF!="",1,0))</f>
        <v>#REF!</v>
      </c>
      <c r="P241" s="17" t="e">
        <f>IF(Data!#REF!="","",IF(ISNUMBER(MATCH(Data!#REF!,Data_Val!$A$2:$A$3,0)),0,1))</f>
        <v>#REF!</v>
      </c>
      <c r="Q241" s="25" t="e">
        <f ca="1">IF(Data!#REF!="","",IF(ISNUMBER(Data!#REF!),IF(AND(Data!#REF!&gt;(TODAY()-(Data_Val!$J$3*365.25)),Data!#REF!&lt;=(TODAY()-(Data_Val!$J$2*365.25))),0,1),1))</f>
        <v>#REF!</v>
      </c>
      <c r="R241" s="17" t="e">
        <f>IF(Data!#REF!="","",IF(ISNUMBER(MATCH(Data!#REF!,Data_Val!$B$2:$B$15,0)),0,1))</f>
        <v>#REF!</v>
      </c>
      <c r="S241" s="11" t="str">
        <f>IF(Data!G241="","",IF(Data!G241=Data_Val!$C$2,IF(Data!M241="",0,1),0))</f>
        <v/>
      </c>
      <c r="T241" s="11" t="str">
        <f>IF(Data!M241="","",IF(ISNUMBER(MATCH(Data!N241,Data_Val!$A$2:$A$3,0)),0,1))</f>
        <v/>
      </c>
      <c r="U241" s="11" t="str">
        <f ca="1">IF(Data!M241="","",IF(ISNUMBER(Data!O241),IF(AND(Data!O241&gt;(TODAY()-(Data_Val!$K$3*365.25)),Data!O241&lt;=(TODAY()-(Data_Val!$K$2*365.25))),0,1),1))</f>
        <v/>
      </c>
      <c r="V241" s="12" t="str">
        <f>IF(Data!G241="","",IF(Data!G241=Data_Val!$C$2,IF(Data!P241="",0,1),0))</f>
        <v/>
      </c>
      <c r="W241" s="12" t="str">
        <f>IF(Data!P241="","",IF(ISNUMBER(MATCH(Data!Q241,Data_Val!$A$2:$A$3,0)),0,1))</f>
        <v/>
      </c>
      <c r="X241" s="26" t="str">
        <f ca="1">IF(Data!P241="","",IF(ISNUMBER(Data!R241),IF(AND(Data!R241&gt;(TODAY()-(Data_Val!$L$3*365.25)),Data!R241&lt;=(TODAY()-(Data_Val!$L$2*365.25))),0,1),1))</f>
        <v/>
      </c>
      <c r="Y241" s="13" t="str">
        <f>IF(Data!$G241="","",IF(Data!$G241=Data_Val!$C$2,IF(Data!S241="",0,1),0))</f>
        <v/>
      </c>
      <c r="Z241" s="13" t="str">
        <f>IF(Data!S241="","",IF(ISNUMBER(MATCH(Data!T241,Data_Val!$A$2:$A$3,0)),0,1))</f>
        <v/>
      </c>
      <c r="AA241" s="28" t="str">
        <f ca="1">IF(Data!S241="","",IF(ISNUMBER(Data!U241),IF(AND(Data!U241&gt;(TODAY()-(Data_Val!$L$3*365.25)),Data!U241&lt;=(TODAY()-(Data_Val!$L$2*365.25))),0,1),1))</f>
        <v/>
      </c>
      <c r="AB241" s="11"/>
      <c r="AC241" s="11" t="e">
        <f>IF(Data!#REF!="","",IF(ISNUMBER(MATCH(Data!#REF!,Data_Val!$A$2:$A$3,0)),0,1))</f>
        <v>#REF!</v>
      </c>
      <c r="AD241" s="11" t="e">
        <f ca="1">IF(Data!#REF!="","",IF(ISNUMBER(Data!#REF!),IF(AND(Data!#REF!&gt;(TODAY()-(Data_Val!$L$3*365.25)),Data!#REF!&lt;=(TODAY()-(Data_Val!$L$2*365.25))),0,1),1))</f>
        <v>#REF!</v>
      </c>
      <c r="AE241" s="11" t="e">
        <f>IF(Data!#REF!="","",IF(Data!$G241="",1,IF(ISNUMBER(MATCH(Data!#REF!,Data_Val!$D$2:$D$10,0)),0,1)))</f>
        <v>#REF!</v>
      </c>
      <c r="AF241" s="12"/>
      <c r="AG241" s="12" t="e">
        <f>IF(Data!#REF!="","",IF(ISNUMBER(MATCH(Data!#REF!,Data_Val!$A$2:$A$3,0)),0,1))</f>
        <v>#REF!</v>
      </c>
      <c r="AH241" s="26" t="e">
        <f ca="1">IF(Data!#REF!="","",IF(ISNUMBER(Data!#REF!),IF(AND(Data!#REF!&gt;(TODAY()-(Data_Val!$L$3*365.25)),Data!#REF!&lt;=(TODAY()-(Data_Val!$L$2*365.25))),0,1),1))</f>
        <v>#REF!</v>
      </c>
      <c r="AI241" s="12" t="e">
        <f>IF(Data!#REF!="","",IF(Data!$G241="",1,IF(ISNUMBER(MATCH(Data!#REF!,Data_Val!$D$2:$D$10,0)),0,1)))</f>
        <v>#REF!</v>
      </c>
      <c r="AJ241" s="17"/>
      <c r="AK241" s="17" t="e">
        <f>IF(Data!#REF!="","",IF(ISNUMBER(MATCH(Data!#REF!,Data_Val!$A$2:$A$3,0)),0,1))</f>
        <v>#REF!</v>
      </c>
      <c r="AL241" s="25" t="e">
        <f ca="1">IF(Data!#REF!="","",IF(ISNUMBER(Data!#REF!),IF(AND(Data!#REF!&gt;(TODAY()-(Data_Val!$L$3*365.25)),Data!#REF!&lt;=(TODAY()-(Data_Val!$L$2*365.25))),0,1),1))</f>
        <v>#REF!</v>
      </c>
      <c r="AM241" s="17" t="e">
        <f>IF(Data!#REF!="","",IF(Data!$G241="",1,IF(ISNUMBER(MATCH(Data!#REF!,Data_Val!$D$2:$D$10,0)),0,1)))</f>
        <v>#REF!</v>
      </c>
      <c r="AN241" s="13"/>
      <c r="AO241" s="28" t="e">
        <f ca="1">IF(Data!#REF!="","",IF(ISNUMBER(Data!#REF!),IF(AND(Data!#REF!&gt;(TODAY()-(Data_Val!$I$3*365.25)),Data!#REF!&lt;=(TODAY()-(Data_Val!$I$2*365.25))),0,1),1))</f>
        <v>#REF!</v>
      </c>
      <c r="AP241" s="13" t="e">
        <f>IF(Data!#REF!="","",IF(Data!$G241="",1,IF(ISNUMBER(MATCH(Data!#REF!,Data_Val!$D$2:$D$10,0)),0,1)))</f>
        <v>#REF!</v>
      </c>
      <c r="AQ241" s="17"/>
      <c r="AR241" s="30" t="e">
        <f ca="1">IF(Data!#REF!="","",IF(ISNUMBER(Data!#REF!),IF(AND(Data!#REF!&gt;(TODAY()-(Data_Val!$I$3*365.25)),Data!#REF!&lt;=(TODAY()-(Data_Val!$I$2*365.25))),0,1),1))</f>
        <v>#REF!</v>
      </c>
      <c r="AS241" s="31" t="e">
        <f>IF(Data!#REF!="","",IF(Data!$G241="",1,IF(ISNUMBER(MATCH(Data!#REF!,Data_Val!$D$2:$D$10,0)),0,1)))</f>
        <v>#REF!</v>
      </c>
      <c r="AT241" s="11"/>
      <c r="AU241" s="11" t="e">
        <f ca="1">IF(Data!#REF!="","",IF(ISNUMBER(Data!#REF!),IF(AND(Data!#REF!&gt;(TODAY()-(Data_Val!$I$3*365.25)),Data!#REF!&lt;=(TODAY()-(Data_Val!$I$2*365.25))),0,1),1))</f>
        <v>#REF!</v>
      </c>
      <c r="AV241" s="11" t="e">
        <f>IF(Data!#REF!="","",IF(Data!$G241="",1,IF(ISNUMBER(MATCH(Data!#REF!,Data_Val!$D$2:$D$10,0)),0,1)))</f>
        <v>#REF!</v>
      </c>
      <c r="AW241" s="12"/>
      <c r="AX241" s="26" t="e">
        <f ca="1">IF(Data!#REF!="","",IF(ISNUMBER(Data!#REF!),IF(AND(Data!#REF!&gt;(TODAY()-(Data_Val!$I$3*365.25)),Data!#REF!&lt;=(TODAY()-(Data_Val!$I$2*365.25))),0,1),1))</f>
        <v>#REF!</v>
      </c>
      <c r="AY241" s="12" t="e">
        <f>IF(Data!#REF!="","",IF(Data!$G241="",1,IF(ISNUMBER(MATCH(Data!#REF!,Data_Val!$D$2:$D$10,0)),0,1)))</f>
        <v>#REF!</v>
      </c>
      <c r="AZ241" s="11"/>
      <c r="BA241" s="19" t="e">
        <f ca="1">IF(Data!#REF!="","",IF(ISNUMBER(Data!#REF!),IF(AND(Data!#REF!&gt;(TODAY()-(Data_Val!$M$3*365.25)),Data!#REF!&lt;=(TODAY()-(Data_Val!$M$2*365.25))),0,1),1))</f>
        <v>#REF!</v>
      </c>
      <c r="BB241" s="11" t="e">
        <f>IF(Data!#REF!="","",IF(Data!$G241="",1,IF(ISNUMBER(MATCH(Data!#REF!,Data_Val!$D$2:$D$10,0)),0,1)))</f>
        <v>#REF!</v>
      </c>
      <c r="BC241" s="12"/>
      <c r="BD241" s="20" t="e">
        <f ca="1">IF(Data!#REF!="","",IF(ISNUMBER(Data!#REF!),IF(AND(Data!#REF!&gt;(TODAY()-(Data_Val!$M$3*365.25)),Data!#REF!&lt;=(TODAY()-(Data_Val!$M$2*365.25))),0,1),1))</f>
        <v>#REF!</v>
      </c>
      <c r="BE241" s="12" t="e">
        <f>IF(Data!#REF!="","",IF(Data!$G241="",1,IF(ISNUMBER(MATCH(Data!#REF!,Data_Val!$D$2:$D$10,0)),0,1)))</f>
        <v>#REF!</v>
      </c>
      <c r="BF241" s="17"/>
      <c r="BG241" s="18" t="e">
        <f ca="1">IF(Data!#REF!="","",IF(ISNUMBER(Data!#REF!),IF(AND(Data!#REF!&gt;(TODAY()-(Data_Val!$M$3*365.25)),Data!#REF!&lt;=(TODAY()-(Data_Val!$M$2*365.25))),0,1),1))</f>
        <v>#REF!</v>
      </c>
      <c r="BH241" s="29" t="e">
        <f>IF(Data!#REF!="","",IF(Data!$G241="",1,IF(ISNUMBER(MATCH(Data!#REF!,Data_Val!$D$2:$D$10,0)),0,1)))</f>
        <v>#REF!</v>
      </c>
      <c r="BI241" s="13"/>
      <c r="BJ241" s="21" t="e">
        <f ca="1">IF(Data!#REF!="","",IF(ISNUMBER(Data!#REF!),IF(AND(Data!#REF!&gt;(TODAY()-(Data_Val!$M$3*365.25)),Data!#REF!&lt;=(TODAY()-(Data_Val!$M$2*365.25))),0,1),1))</f>
        <v>#REF!</v>
      </c>
      <c r="BK241" s="13" t="e">
        <f>IF(Data!#REF!="","",IF(Data!$G241="",1,IF(ISNUMBER(MATCH(Data!#REF!,Data_Val!$D$2:$D$10,0)),0,1)))</f>
        <v>#REF!</v>
      </c>
    </row>
    <row r="242" spans="1:63" x14ac:dyDescent="0.25">
      <c r="A242" s="9" t="str">
        <f>IF(Data!B242="","",IF(COUNTIFS(Data!A$1:'Data'!A242,Data!A242)&lt;=1,0,1))</f>
        <v/>
      </c>
      <c r="B242" s="9"/>
      <c r="C242" s="23" t="str">
        <f>IF(Data!C242="","",(IF(ISNUMBER(MATCH("*@*.?*",Data!C242,0)),0,1)+IF(COUNTIFS(Data!C$1:'Data'!C242,Data!C242)&gt;1,1,0)))</f>
        <v/>
      </c>
      <c r="D242" s="9" t="str">
        <f>IF(Data!B242="","",IF(ISNUMBER(Data!D242),IF(AND(Data!D242&gt;999999999,Data!D242&lt;=9999999999),IF(COUNTIFS(Data!D$1:'Data'!D242,Data!D242)&lt;=1,0,1),1),1))</f>
        <v/>
      </c>
      <c r="E242" s="9" t="str">
        <f>IF(Data!B242="","",IF(ISNUMBER(MATCH(Data!E242,Data_Val!$A$2:$A$3,0)),0,1))</f>
        <v/>
      </c>
      <c r="F242" s="9" t="str">
        <f ca="1">IF(Data!B242="","",IF(ISNUMBER(Data!F242),IF(AND(Data!F242&gt;(TODAY()-(Data_Val!$H$3*365.25)),Data!F242&lt;=(TODAY()-(Data_Val!$H$2*365.25))),0,1),1))</f>
        <v/>
      </c>
      <c r="G242" s="15" t="str">
        <f>IF(Data!B242="","",IF(AND(Data!G242="",Data!H242&lt;&gt;""),1,IF(Data!#REF!&lt;&gt;"",0,IF(ISNUMBER(MATCH(Data!G242,Data_Val!$C$2:$C$5,0)),0,1))))</f>
        <v/>
      </c>
      <c r="H242" s="15" t="str">
        <f>IF(Data!B242="","",IF(AND(Data!G242&lt;&gt;"",Data!H242=""),1,IF(Data!#REF!&lt;&gt;"",0,IF(Data!G242="",1,IF(ISNUMBER(MATCH(Data!H242,Data_Val!$D$2:$D$35,0)),0,1)))))</f>
        <v/>
      </c>
      <c r="I242" s="15" t="str">
        <f>IF(Data!B242="","",IF(Data!G242&lt;&gt;"",0,IF(ISNUMBER(MATCH(Data!#REF!,Data_Val!$E$2:$E$12,0)),0,1)))</f>
        <v/>
      </c>
      <c r="J242" s="16" t="e">
        <f>IF(OR(Data!B242="",Data!#REF!=""),"",IF(Data!#REF!="",1,0))</f>
        <v>#REF!</v>
      </c>
      <c r="K242" s="16" t="e">
        <f>IF(OR(Data!B242="",Data!#REF!=""),"",IF(Data!#REF!="",1,0))</f>
        <v>#REF!</v>
      </c>
      <c r="L242" s="16" t="e">
        <f>IF(OR(Data!B242="",Data!#REF!=""),"",IF(ISNUMBER(Data!#REF!),IF(AND(Data!#REF!&gt;Data_Val!$G$2,Data!#REF!&lt;=Data_Val!$G$3),0,1),1))</f>
        <v>#REF!</v>
      </c>
      <c r="M242" s="9" t="e">
        <f>IF(OR(Data!B242="",Data!#REF!=""),"",IF(ISNUMBER(MATCH(Data!#REF!,Data_Val!$F$1:$F$38,0)),0,1))</f>
        <v>#REF!</v>
      </c>
      <c r="N242" s="9" t="e">
        <f>IF(OR(Data!B242="",Data!#REF!=""),"",IF(Data!#REF!="",1,0))</f>
        <v>#REF!</v>
      </c>
      <c r="O242" s="17" t="e">
        <f>IF(Data!#REF!="","",IF(Data!#REF!="",1,0))</f>
        <v>#REF!</v>
      </c>
      <c r="P242" s="17" t="e">
        <f>IF(Data!#REF!="","",IF(ISNUMBER(MATCH(Data!#REF!,Data_Val!$A$2:$A$3,0)),0,1))</f>
        <v>#REF!</v>
      </c>
      <c r="Q242" s="25" t="e">
        <f ca="1">IF(Data!#REF!="","",IF(ISNUMBER(Data!#REF!),IF(AND(Data!#REF!&gt;(TODAY()-(Data_Val!$J$3*365.25)),Data!#REF!&lt;=(TODAY()-(Data_Val!$J$2*365.25))),0,1),1))</f>
        <v>#REF!</v>
      </c>
      <c r="R242" s="17" t="e">
        <f>IF(Data!#REF!="","",IF(ISNUMBER(MATCH(Data!#REF!,Data_Val!$B$2:$B$15,0)),0,1))</f>
        <v>#REF!</v>
      </c>
      <c r="S242" s="11" t="str">
        <f>IF(Data!G242="","",IF(Data!G242=Data_Val!$C$2,IF(Data!M242="",0,1),0))</f>
        <v/>
      </c>
      <c r="T242" s="11" t="str">
        <f>IF(Data!M242="","",IF(ISNUMBER(MATCH(Data!N242,Data_Val!$A$2:$A$3,0)),0,1))</f>
        <v/>
      </c>
      <c r="U242" s="11" t="str">
        <f ca="1">IF(Data!M242="","",IF(ISNUMBER(Data!O242),IF(AND(Data!O242&gt;(TODAY()-(Data_Val!$K$3*365.25)),Data!O242&lt;=(TODAY()-(Data_Val!$K$2*365.25))),0,1),1))</f>
        <v/>
      </c>
      <c r="V242" s="12" t="str">
        <f>IF(Data!G242="","",IF(Data!G242=Data_Val!$C$2,IF(Data!P242="",0,1),0))</f>
        <v/>
      </c>
      <c r="W242" s="12" t="str">
        <f>IF(Data!P242="","",IF(ISNUMBER(MATCH(Data!Q242,Data_Val!$A$2:$A$3,0)),0,1))</f>
        <v/>
      </c>
      <c r="X242" s="26" t="str">
        <f ca="1">IF(Data!P242="","",IF(ISNUMBER(Data!R242),IF(AND(Data!R242&gt;(TODAY()-(Data_Val!$L$3*365.25)),Data!R242&lt;=(TODAY()-(Data_Val!$L$2*365.25))),0,1),1))</f>
        <v/>
      </c>
      <c r="Y242" s="13" t="str">
        <f>IF(Data!$G242="","",IF(Data!$G242=Data_Val!$C$2,IF(Data!S242="",0,1),0))</f>
        <v/>
      </c>
      <c r="Z242" s="13" t="str">
        <f>IF(Data!S242="","",IF(ISNUMBER(MATCH(Data!T242,Data_Val!$A$2:$A$3,0)),0,1))</f>
        <v/>
      </c>
      <c r="AA242" s="28" t="str">
        <f ca="1">IF(Data!S242="","",IF(ISNUMBER(Data!U242),IF(AND(Data!U242&gt;(TODAY()-(Data_Val!$L$3*365.25)),Data!U242&lt;=(TODAY()-(Data_Val!$L$2*365.25))),0,1),1))</f>
        <v/>
      </c>
      <c r="AB242" s="11"/>
      <c r="AC242" s="11" t="e">
        <f>IF(Data!#REF!="","",IF(ISNUMBER(MATCH(Data!#REF!,Data_Val!$A$2:$A$3,0)),0,1))</f>
        <v>#REF!</v>
      </c>
      <c r="AD242" s="11" t="e">
        <f ca="1">IF(Data!#REF!="","",IF(ISNUMBER(Data!#REF!),IF(AND(Data!#REF!&gt;(TODAY()-(Data_Val!$L$3*365.25)),Data!#REF!&lt;=(TODAY()-(Data_Val!$L$2*365.25))),0,1),1))</f>
        <v>#REF!</v>
      </c>
      <c r="AE242" s="11" t="e">
        <f>IF(Data!#REF!="","",IF(Data!$G242="",1,IF(ISNUMBER(MATCH(Data!#REF!,Data_Val!$D$2:$D$10,0)),0,1)))</f>
        <v>#REF!</v>
      </c>
      <c r="AF242" s="12"/>
      <c r="AG242" s="12" t="e">
        <f>IF(Data!#REF!="","",IF(ISNUMBER(MATCH(Data!#REF!,Data_Val!$A$2:$A$3,0)),0,1))</f>
        <v>#REF!</v>
      </c>
      <c r="AH242" s="26" t="e">
        <f ca="1">IF(Data!#REF!="","",IF(ISNUMBER(Data!#REF!),IF(AND(Data!#REF!&gt;(TODAY()-(Data_Val!$L$3*365.25)),Data!#REF!&lt;=(TODAY()-(Data_Val!$L$2*365.25))),0,1),1))</f>
        <v>#REF!</v>
      </c>
      <c r="AI242" s="12" t="e">
        <f>IF(Data!#REF!="","",IF(Data!$G242="",1,IF(ISNUMBER(MATCH(Data!#REF!,Data_Val!$D$2:$D$10,0)),0,1)))</f>
        <v>#REF!</v>
      </c>
      <c r="AJ242" s="17"/>
      <c r="AK242" s="17" t="e">
        <f>IF(Data!#REF!="","",IF(ISNUMBER(MATCH(Data!#REF!,Data_Val!$A$2:$A$3,0)),0,1))</f>
        <v>#REF!</v>
      </c>
      <c r="AL242" s="25" t="e">
        <f ca="1">IF(Data!#REF!="","",IF(ISNUMBER(Data!#REF!),IF(AND(Data!#REF!&gt;(TODAY()-(Data_Val!$L$3*365.25)),Data!#REF!&lt;=(TODAY()-(Data_Val!$L$2*365.25))),0,1),1))</f>
        <v>#REF!</v>
      </c>
      <c r="AM242" s="17" t="e">
        <f>IF(Data!#REF!="","",IF(Data!$G242="",1,IF(ISNUMBER(MATCH(Data!#REF!,Data_Val!$D$2:$D$10,0)),0,1)))</f>
        <v>#REF!</v>
      </c>
      <c r="AN242" s="13"/>
      <c r="AO242" s="28" t="e">
        <f ca="1">IF(Data!#REF!="","",IF(ISNUMBER(Data!#REF!),IF(AND(Data!#REF!&gt;(TODAY()-(Data_Val!$I$3*365.25)),Data!#REF!&lt;=(TODAY()-(Data_Val!$I$2*365.25))),0,1),1))</f>
        <v>#REF!</v>
      </c>
      <c r="AP242" s="13" t="e">
        <f>IF(Data!#REF!="","",IF(Data!$G242="",1,IF(ISNUMBER(MATCH(Data!#REF!,Data_Val!$D$2:$D$10,0)),0,1)))</f>
        <v>#REF!</v>
      </c>
      <c r="AQ242" s="17"/>
      <c r="AR242" s="30" t="e">
        <f ca="1">IF(Data!#REF!="","",IF(ISNUMBER(Data!#REF!),IF(AND(Data!#REF!&gt;(TODAY()-(Data_Val!$I$3*365.25)),Data!#REF!&lt;=(TODAY()-(Data_Val!$I$2*365.25))),0,1),1))</f>
        <v>#REF!</v>
      </c>
      <c r="AS242" s="31" t="e">
        <f>IF(Data!#REF!="","",IF(Data!$G242="",1,IF(ISNUMBER(MATCH(Data!#REF!,Data_Val!$D$2:$D$10,0)),0,1)))</f>
        <v>#REF!</v>
      </c>
      <c r="AT242" s="11"/>
      <c r="AU242" s="11" t="e">
        <f ca="1">IF(Data!#REF!="","",IF(ISNUMBER(Data!#REF!),IF(AND(Data!#REF!&gt;(TODAY()-(Data_Val!$I$3*365.25)),Data!#REF!&lt;=(TODAY()-(Data_Val!$I$2*365.25))),0,1),1))</f>
        <v>#REF!</v>
      </c>
      <c r="AV242" s="11" t="e">
        <f>IF(Data!#REF!="","",IF(Data!$G242="",1,IF(ISNUMBER(MATCH(Data!#REF!,Data_Val!$D$2:$D$10,0)),0,1)))</f>
        <v>#REF!</v>
      </c>
      <c r="AW242" s="12"/>
      <c r="AX242" s="26" t="e">
        <f ca="1">IF(Data!#REF!="","",IF(ISNUMBER(Data!#REF!),IF(AND(Data!#REF!&gt;(TODAY()-(Data_Val!$I$3*365.25)),Data!#REF!&lt;=(TODAY()-(Data_Val!$I$2*365.25))),0,1),1))</f>
        <v>#REF!</v>
      </c>
      <c r="AY242" s="12" t="e">
        <f>IF(Data!#REF!="","",IF(Data!$G242="",1,IF(ISNUMBER(MATCH(Data!#REF!,Data_Val!$D$2:$D$10,0)),0,1)))</f>
        <v>#REF!</v>
      </c>
      <c r="AZ242" s="11"/>
      <c r="BA242" s="19" t="e">
        <f ca="1">IF(Data!#REF!="","",IF(ISNUMBER(Data!#REF!),IF(AND(Data!#REF!&gt;(TODAY()-(Data_Val!$M$3*365.25)),Data!#REF!&lt;=(TODAY()-(Data_Val!$M$2*365.25))),0,1),1))</f>
        <v>#REF!</v>
      </c>
      <c r="BB242" s="11" t="e">
        <f>IF(Data!#REF!="","",IF(Data!$G242="",1,IF(ISNUMBER(MATCH(Data!#REF!,Data_Val!$D$2:$D$10,0)),0,1)))</f>
        <v>#REF!</v>
      </c>
      <c r="BC242" s="12"/>
      <c r="BD242" s="20" t="e">
        <f ca="1">IF(Data!#REF!="","",IF(ISNUMBER(Data!#REF!),IF(AND(Data!#REF!&gt;(TODAY()-(Data_Val!$M$3*365.25)),Data!#REF!&lt;=(TODAY()-(Data_Val!$M$2*365.25))),0,1),1))</f>
        <v>#REF!</v>
      </c>
      <c r="BE242" s="12" t="e">
        <f>IF(Data!#REF!="","",IF(Data!$G242="",1,IF(ISNUMBER(MATCH(Data!#REF!,Data_Val!$D$2:$D$10,0)),0,1)))</f>
        <v>#REF!</v>
      </c>
      <c r="BF242" s="17"/>
      <c r="BG242" s="18" t="e">
        <f ca="1">IF(Data!#REF!="","",IF(ISNUMBER(Data!#REF!),IF(AND(Data!#REF!&gt;(TODAY()-(Data_Val!$M$3*365.25)),Data!#REF!&lt;=(TODAY()-(Data_Val!$M$2*365.25))),0,1),1))</f>
        <v>#REF!</v>
      </c>
      <c r="BH242" s="29" t="e">
        <f>IF(Data!#REF!="","",IF(Data!$G242="",1,IF(ISNUMBER(MATCH(Data!#REF!,Data_Val!$D$2:$D$10,0)),0,1)))</f>
        <v>#REF!</v>
      </c>
      <c r="BI242" s="13"/>
      <c r="BJ242" s="21" t="e">
        <f ca="1">IF(Data!#REF!="","",IF(ISNUMBER(Data!#REF!),IF(AND(Data!#REF!&gt;(TODAY()-(Data_Val!$M$3*365.25)),Data!#REF!&lt;=(TODAY()-(Data_Val!$M$2*365.25))),0,1),1))</f>
        <v>#REF!</v>
      </c>
      <c r="BK242" s="13" t="e">
        <f>IF(Data!#REF!="","",IF(Data!$G242="",1,IF(ISNUMBER(MATCH(Data!#REF!,Data_Val!$D$2:$D$10,0)),0,1)))</f>
        <v>#REF!</v>
      </c>
    </row>
    <row r="243" spans="1:63" x14ac:dyDescent="0.25">
      <c r="A243" s="9" t="str">
        <f>IF(Data!B243="","",IF(COUNTIFS(Data!A$1:'Data'!A243,Data!A243)&lt;=1,0,1))</f>
        <v/>
      </c>
      <c r="B243" s="9"/>
      <c r="C243" s="23" t="str">
        <f>IF(Data!C243="","",(IF(ISNUMBER(MATCH("*@*.?*",Data!C243,0)),0,1)+IF(COUNTIFS(Data!C$1:'Data'!C243,Data!C243)&gt;1,1,0)))</f>
        <v/>
      </c>
      <c r="D243" s="9" t="str">
        <f>IF(Data!B243="","",IF(ISNUMBER(Data!D243),IF(AND(Data!D243&gt;999999999,Data!D243&lt;=9999999999),IF(COUNTIFS(Data!D$1:'Data'!D243,Data!D243)&lt;=1,0,1),1),1))</f>
        <v/>
      </c>
      <c r="E243" s="9" t="str">
        <f>IF(Data!B243="","",IF(ISNUMBER(MATCH(Data!E243,Data_Val!$A$2:$A$3,0)),0,1))</f>
        <v/>
      </c>
      <c r="F243" s="9" t="str">
        <f ca="1">IF(Data!B243="","",IF(ISNUMBER(Data!F243),IF(AND(Data!F243&gt;(TODAY()-(Data_Val!$H$3*365.25)),Data!F243&lt;=(TODAY()-(Data_Val!$H$2*365.25))),0,1),1))</f>
        <v/>
      </c>
      <c r="G243" s="15" t="str">
        <f>IF(Data!B243="","",IF(AND(Data!G243="",Data!H243&lt;&gt;""),1,IF(Data!#REF!&lt;&gt;"",0,IF(ISNUMBER(MATCH(Data!G243,Data_Val!$C$2:$C$5,0)),0,1))))</f>
        <v/>
      </c>
      <c r="H243" s="15" t="str">
        <f>IF(Data!B243="","",IF(AND(Data!G243&lt;&gt;"",Data!H243=""),1,IF(Data!#REF!&lt;&gt;"",0,IF(Data!G243="",1,IF(ISNUMBER(MATCH(Data!H243,Data_Val!$D$2:$D$35,0)),0,1)))))</f>
        <v/>
      </c>
      <c r="I243" s="15" t="str">
        <f>IF(Data!B243="","",IF(Data!G243&lt;&gt;"",0,IF(ISNUMBER(MATCH(Data!#REF!,Data_Val!$E$2:$E$12,0)),0,1)))</f>
        <v/>
      </c>
      <c r="J243" s="16" t="e">
        <f>IF(OR(Data!B243="",Data!#REF!=""),"",IF(Data!#REF!="",1,0))</f>
        <v>#REF!</v>
      </c>
      <c r="K243" s="16" t="e">
        <f>IF(OR(Data!B243="",Data!#REF!=""),"",IF(Data!#REF!="",1,0))</f>
        <v>#REF!</v>
      </c>
      <c r="L243" s="16" t="e">
        <f>IF(OR(Data!B243="",Data!#REF!=""),"",IF(ISNUMBER(Data!#REF!),IF(AND(Data!#REF!&gt;Data_Val!$G$2,Data!#REF!&lt;=Data_Val!$G$3),0,1),1))</f>
        <v>#REF!</v>
      </c>
      <c r="M243" s="9" t="e">
        <f>IF(OR(Data!B243="",Data!#REF!=""),"",IF(ISNUMBER(MATCH(Data!#REF!,Data_Val!$F$1:$F$38,0)),0,1))</f>
        <v>#REF!</v>
      </c>
      <c r="N243" s="9" t="e">
        <f>IF(OR(Data!B243="",Data!#REF!=""),"",IF(Data!#REF!="",1,0))</f>
        <v>#REF!</v>
      </c>
      <c r="O243" s="17" t="e">
        <f>IF(Data!#REF!="","",IF(Data!#REF!="",1,0))</f>
        <v>#REF!</v>
      </c>
      <c r="P243" s="17" t="e">
        <f>IF(Data!#REF!="","",IF(ISNUMBER(MATCH(Data!#REF!,Data_Val!$A$2:$A$3,0)),0,1))</f>
        <v>#REF!</v>
      </c>
      <c r="Q243" s="25" t="e">
        <f ca="1">IF(Data!#REF!="","",IF(ISNUMBER(Data!#REF!),IF(AND(Data!#REF!&gt;(TODAY()-(Data_Val!$J$3*365.25)),Data!#REF!&lt;=(TODAY()-(Data_Val!$J$2*365.25))),0,1),1))</f>
        <v>#REF!</v>
      </c>
      <c r="R243" s="17" t="e">
        <f>IF(Data!#REF!="","",IF(ISNUMBER(MATCH(Data!#REF!,Data_Val!$B$2:$B$15,0)),0,1))</f>
        <v>#REF!</v>
      </c>
      <c r="S243" s="11" t="str">
        <f>IF(Data!G243="","",IF(Data!G243=Data_Val!$C$2,IF(Data!M243="",0,1),0))</f>
        <v/>
      </c>
      <c r="T243" s="11" t="str">
        <f>IF(Data!M243="","",IF(ISNUMBER(MATCH(Data!N243,Data_Val!$A$2:$A$3,0)),0,1))</f>
        <v/>
      </c>
      <c r="U243" s="11" t="str">
        <f ca="1">IF(Data!M243="","",IF(ISNUMBER(Data!O243),IF(AND(Data!O243&gt;(TODAY()-(Data_Val!$K$3*365.25)),Data!O243&lt;=(TODAY()-(Data_Val!$K$2*365.25))),0,1),1))</f>
        <v/>
      </c>
      <c r="V243" s="12" t="str">
        <f>IF(Data!G243="","",IF(Data!G243=Data_Val!$C$2,IF(Data!P243="",0,1),0))</f>
        <v/>
      </c>
      <c r="W243" s="12" t="str">
        <f>IF(Data!P243="","",IF(ISNUMBER(MATCH(Data!Q243,Data_Val!$A$2:$A$3,0)),0,1))</f>
        <v/>
      </c>
      <c r="X243" s="26" t="str">
        <f ca="1">IF(Data!P243="","",IF(ISNUMBER(Data!R243),IF(AND(Data!R243&gt;(TODAY()-(Data_Val!$L$3*365.25)),Data!R243&lt;=(TODAY()-(Data_Val!$L$2*365.25))),0,1),1))</f>
        <v/>
      </c>
      <c r="Y243" s="13" t="str">
        <f>IF(Data!$G243="","",IF(Data!$G243=Data_Val!$C$2,IF(Data!S243="",0,1),0))</f>
        <v/>
      </c>
      <c r="Z243" s="13" t="str">
        <f>IF(Data!S243="","",IF(ISNUMBER(MATCH(Data!T243,Data_Val!$A$2:$A$3,0)),0,1))</f>
        <v/>
      </c>
      <c r="AA243" s="28" t="str">
        <f ca="1">IF(Data!S243="","",IF(ISNUMBER(Data!U243),IF(AND(Data!U243&gt;(TODAY()-(Data_Val!$L$3*365.25)),Data!U243&lt;=(TODAY()-(Data_Val!$L$2*365.25))),0,1),1))</f>
        <v/>
      </c>
      <c r="AB243" s="11"/>
      <c r="AC243" s="11" t="e">
        <f>IF(Data!#REF!="","",IF(ISNUMBER(MATCH(Data!#REF!,Data_Val!$A$2:$A$3,0)),0,1))</f>
        <v>#REF!</v>
      </c>
      <c r="AD243" s="11" t="e">
        <f ca="1">IF(Data!#REF!="","",IF(ISNUMBER(Data!#REF!),IF(AND(Data!#REF!&gt;(TODAY()-(Data_Val!$L$3*365.25)),Data!#REF!&lt;=(TODAY()-(Data_Val!$L$2*365.25))),0,1),1))</f>
        <v>#REF!</v>
      </c>
      <c r="AE243" s="11" t="e">
        <f>IF(Data!#REF!="","",IF(Data!$G243="",1,IF(ISNUMBER(MATCH(Data!#REF!,Data_Val!$D$2:$D$10,0)),0,1)))</f>
        <v>#REF!</v>
      </c>
      <c r="AF243" s="12"/>
      <c r="AG243" s="12" t="e">
        <f>IF(Data!#REF!="","",IF(ISNUMBER(MATCH(Data!#REF!,Data_Val!$A$2:$A$3,0)),0,1))</f>
        <v>#REF!</v>
      </c>
      <c r="AH243" s="26" t="e">
        <f ca="1">IF(Data!#REF!="","",IF(ISNUMBER(Data!#REF!),IF(AND(Data!#REF!&gt;(TODAY()-(Data_Val!$L$3*365.25)),Data!#REF!&lt;=(TODAY()-(Data_Val!$L$2*365.25))),0,1),1))</f>
        <v>#REF!</v>
      </c>
      <c r="AI243" s="12" t="e">
        <f>IF(Data!#REF!="","",IF(Data!$G243="",1,IF(ISNUMBER(MATCH(Data!#REF!,Data_Val!$D$2:$D$10,0)),0,1)))</f>
        <v>#REF!</v>
      </c>
      <c r="AJ243" s="17"/>
      <c r="AK243" s="17" t="e">
        <f>IF(Data!#REF!="","",IF(ISNUMBER(MATCH(Data!#REF!,Data_Val!$A$2:$A$3,0)),0,1))</f>
        <v>#REF!</v>
      </c>
      <c r="AL243" s="25" t="e">
        <f ca="1">IF(Data!#REF!="","",IF(ISNUMBER(Data!#REF!),IF(AND(Data!#REF!&gt;(TODAY()-(Data_Val!$L$3*365.25)),Data!#REF!&lt;=(TODAY()-(Data_Val!$L$2*365.25))),0,1),1))</f>
        <v>#REF!</v>
      </c>
      <c r="AM243" s="17" t="e">
        <f>IF(Data!#REF!="","",IF(Data!$G243="",1,IF(ISNUMBER(MATCH(Data!#REF!,Data_Val!$D$2:$D$10,0)),0,1)))</f>
        <v>#REF!</v>
      </c>
      <c r="AN243" s="13"/>
      <c r="AO243" s="28" t="e">
        <f ca="1">IF(Data!#REF!="","",IF(ISNUMBER(Data!#REF!),IF(AND(Data!#REF!&gt;(TODAY()-(Data_Val!$I$3*365.25)),Data!#REF!&lt;=(TODAY()-(Data_Val!$I$2*365.25))),0,1),1))</f>
        <v>#REF!</v>
      </c>
      <c r="AP243" s="13" t="e">
        <f>IF(Data!#REF!="","",IF(Data!$G243="",1,IF(ISNUMBER(MATCH(Data!#REF!,Data_Val!$D$2:$D$10,0)),0,1)))</f>
        <v>#REF!</v>
      </c>
      <c r="AQ243" s="17"/>
      <c r="AR243" s="30" t="e">
        <f ca="1">IF(Data!#REF!="","",IF(ISNUMBER(Data!#REF!),IF(AND(Data!#REF!&gt;(TODAY()-(Data_Val!$I$3*365.25)),Data!#REF!&lt;=(TODAY()-(Data_Val!$I$2*365.25))),0,1),1))</f>
        <v>#REF!</v>
      </c>
      <c r="AS243" s="31" t="e">
        <f>IF(Data!#REF!="","",IF(Data!$G243="",1,IF(ISNUMBER(MATCH(Data!#REF!,Data_Val!$D$2:$D$10,0)),0,1)))</f>
        <v>#REF!</v>
      </c>
      <c r="AT243" s="11"/>
      <c r="AU243" s="11" t="e">
        <f ca="1">IF(Data!#REF!="","",IF(ISNUMBER(Data!#REF!),IF(AND(Data!#REF!&gt;(TODAY()-(Data_Val!$I$3*365.25)),Data!#REF!&lt;=(TODAY()-(Data_Val!$I$2*365.25))),0,1),1))</f>
        <v>#REF!</v>
      </c>
      <c r="AV243" s="11" t="e">
        <f>IF(Data!#REF!="","",IF(Data!$G243="",1,IF(ISNUMBER(MATCH(Data!#REF!,Data_Val!$D$2:$D$10,0)),0,1)))</f>
        <v>#REF!</v>
      </c>
      <c r="AW243" s="12"/>
      <c r="AX243" s="26" t="e">
        <f ca="1">IF(Data!#REF!="","",IF(ISNUMBER(Data!#REF!),IF(AND(Data!#REF!&gt;(TODAY()-(Data_Val!$I$3*365.25)),Data!#REF!&lt;=(TODAY()-(Data_Val!$I$2*365.25))),0,1),1))</f>
        <v>#REF!</v>
      </c>
      <c r="AY243" s="12" t="e">
        <f>IF(Data!#REF!="","",IF(Data!$G243="",1,IF(ISNUMBER(MATCH(Data!#REF!,Data_Val!$D$2:$D$10,0)),0,1)))</f>
        <v>#REF!</v>
      </c>
      <c r="AZ243" s="11"/>
      <c r="BA243" s="19" t="e">
        <f ca="1">IF(Data!#REF!="","",IF(ISNUMBER(Data!#REF!),IF(AND(Data!#REF!&gt;(TODAY()-(Data_Val!$M$3*365.25)),Data!#REF!&lt;=(TODAY()-(Data_Val!$M$2*365.25))),0,1),1))</f>
        <v>#REF!</v>
      </c>
      <c r="BB243" s="11" t="e">
        <f>IF(Data!#REF!="","",IF(Data!$G243="",1,IF(ISNUMBER(MATCH(Data!#REF!,Data_Val!$D$2:$D$10,0)),0,1)))</f>
        <v>#REF!</v>
      </c>
      <c r="BC243" s="12"/>
      <c r="BD243" s="20" t="e">
        <f ca="1">IF(Data!#REF!="","",IF(ISNUMBER(Data!#REF!),IF(AND(Data!#REF!&gt;(TODAY()-(Data_Val!$M$3*365.25)),Data!#REF!&lt;=(TODAY()-(Data_Val!$M$2*365.25))),0,1),1))</f>
        <v>#REF!</v>
      </c>
      <c r="BE243" s="12" t="e">
        <f>IF(Data!#REF!="","",IF(Data!$G243="",1,IF(ISNUMBER(MATCH(Data!#REF!,Data_Val!$D$2:$D$10,0)),0,1)))</f>
        <v>#REF!</v>
      </c>
      <c r="BF243" s="17"/>
      <c r="BG243" s="18" t="e">
        <f ca="1">IF(Data!#REF!="","",IF(ISNUMBER(Data!#REF!),IF(AND(Data!#REF!&gt;(TODAY()-(Data_Val!$M$3*365.25)),Data!#REF!&lt;=(TODAY()-(Data_Val!$M$2*365.25))),0,1),1))</f>
        <v>#REF!</v>
      </c>
      <c r="BH243" s="29" t="e">
        <f>IF(Data!#REF!="","",IF(Data!$G243="",1,IF(ISNUMBER(MATCH(Data!#REF!,Data_Val!$D$2:$D$10,0)),0,1)))</f>
        <v>#REF!</v>
      </c>
      <c r="BI243" s="13"/>
      <c r="BJ243" s="21" t="e">
        <f ca="1">IF(Data!#REF!="","",IF(ISNUMBER(Data!#REF!),IF(AND(Data!#REF!&gt;(TODAY()-(Data_Val!$M$3*365.25)),Data!#REF!&lt;=(TODAY()-(Data_Val!$M$2*365.25))),0,1),1))</f>
        <v>#REF!</v>
      </c>
      <c r="BK243" s="13" t="e">
        <f>IF(Data!#REF!="","",IF(Data!$G243="",1,IF(ISNUMBER(MATCH(Data!#REF!,Data_Val!$D$2:$D$10,0)),0,1)))</f>
        <v>#REF!</v>
      </c>
    </row>
    <row r="244" spans="1:63" x14ac:dyDescent="0.25">
      <c r="A244" s="9" t="str">
        <f>IF(Data!B244="","",IF(COUNTIFS(Data!A$1:'Data'!A244,Data!A244)&lt;=1,0,1))</f>
        <v/>
      </c>
      <c r="B244" s="9"/>
      <c r="C244" s="23" t="str">
        <f>IF(Data!C244="","",(IF(ISNUMBER(MATCH("*@*.?*",Data!C244,0)),0,1)+IF(COUNTIFS(Data!C$1:'Data'!C244,Data!C244)&gt;1,1,0)))</f>
        <v/>
      </c>
      <c r="D244" s="9" t="str">
        <f>IF(Data!B244="","",IF(ISNUMBER(Data!D244),IF(AND(Data!D244&gt;999999999,Data!D244&lt;=9999999999),IF(COUNTIFS(Data!D$1:'Data'!D244,Data!D244)&lt;=1,0,1),1),1))</f>
        <v/>
      </c>
      <c r="E244" s="9" t="str">
        <f>IF(Data!B244="","",IF(ISNUMBER(MATCH(Data!E244,Data_Val!$A$2:$A$3,0)),0,1))</f>
        <v/>
      </c>
      <c r="F244" s="9" t="str">
        <f ca="1">IF(Data!B244="","",IF(ISNUMBER(Data!F244),IF(AND(Data!F244&gt;(TODAY()-(Data_Val!$H$3*365.25)),Data!F244&lt;=(TODAY()-(Data_Val!$H$2*365.25))),0,1),1))</f>
        <v/>
      </c>
      <c r="G244" s="15" t="str">
        <f>IF(Data!B244="","",IF(AND(Data!G244="",Data!H244&lt;&gt;""),1,IF(Data!#REF!&lt;&gt;"",0,IF(ISNUMBER(MATCH(Data!G244,Data_Val!$C$2:$C$5,0)),0,1))))</f>
        <v/>
      </c>
      <c r="H244" s="15" t="str">
        <f>IF(Data!B244="","",IF(AND(Data!G244&lt;&gt;"",Data!H244=""),1,IF(Data!#REF!&lt;&gt;"",0,IF(Data!G244="",1,IF(ISNUMBER(MATCH(Data!H244,Data_Val!$D$2:$D$35,0)),0,1)))))</f>
        <v/>
      </c>
      <c r="I244" s="15" t="str">
        <f>IF(Data!B244="","",IF(Data!G244&lt;&gt;"",0,IF(ISNUMBER(MATCH(Data!#REF!,Data_Val!$E$2:$E$12,0)),0,1)))</f>
        <v/>
      </c>
      <c r="J244" s="16" t="e">
        <f>IF(OR(Data!B244="",Data!#REF!=""),"",IF(Data!#REF!="",1,0))</f>
        <v>#REF!</v>
      </c>
      <c r="K244" s="16" t="e">
        <f>IF(OR(Data!B244="",Data!#REF!=""),"",IF(Data!#REF!="",1,0))</f>
        <v>#REF!</v>
      </c>
      <c r="L244" s="16" t="e">
        <f>IF(OR(Data!B244="",Data!#REF!=""),"",IF(ISNUMBER(Data!#REF!),IF(AND(Data!#REF!&gt;Data_Val!$G$2,Data!#REF!&lt;=Data_Val!$G$3),0,1),1))</f>
        <v>#REF!</v>
      </c>
      <c r="M244" s="9" t="e">
        <f>IF(OR(Data!B244="",Data!#REF!=""),"",IF(ISNUMBER(MATCH(Data!#REF!,Data_Val!$F$1:$F$38,0)),0,1))</f>
        <v>#REF!</v>
      </c>
      <c r="N244" s="9" t="e">
        <f>IF(OR(Data!B244="",Data!#REF!=""),"",IF(Data!#REF!="",1,0))</f>
        <v>#REF!</v>
      </c>
      <c r="O244" s="17" t="e">
        <f>IF(Data!#REF!="","",IF(Data!#REF!="",1,0))</f>
        <v>#REF!</v>
      </c>
      <c r="P244" s="17" t="e">
        <f>IF(Data!#REF!="","",IF(ISNUMBER(MATCH(Data!#REF!,Data_Val!$A$2:$A$3,0)),0,1))</f>
        <v>#REF!</v>
      </c>
      <c r="Q244" s="25" t="e">
        <f ca="1">IF(Data!#REF!="","",IF(ISNUMBER(Data!#REF!),IF(AND(Data!#REF!&gt;(TODAY()-(Data_Val!$J$3*365.25)),Data!#REF!&lt;=(TODAY()-(Data_Val!$J$2*365.25))),0,1),1))</f>
        <v>#REF!</v>
      </c>
      <c r="R244" s="17" t="e">
        <f>IF(Data!#REF!="","",IF(ISNUMBER(MATCH(Data!#REF!,Data_Val!$B$2:$B$15,0)),0,1))</f>
        <v>#REF!</v>
      </c>
      <c r="S244" s="11" t="str">
        <f>IF(Data!G244="","",IF(Data!G244=Data_Val!$C$2,IF(Data!M244="",0,1),0))</f>
        <v/>
      </c>
      <c r="T244" s="11" t="str">
        <f>IF(Data!M244="","",IF(ISNUMBER(MATCH(Data!N244,Data_Val!$A$2:$A$3,0)),0,1))</f>
        <v/>
      </c>
      <c r="U244" s="11" t="str">
        <f ca="1">IF(Data!M244="","",IF(ISNUMBER(Data!O244),IF(AND(Data!O244&gt;(TODAY()-(Data_Val!$K$3*365.25)),Data!O244&lt;=(TODAY()-(Data_Val!$K$2*365.25))),0,1),1))</f>
        <v/>
      </c>
      <c r="V244" s="12" t="str">
        <f>IF(Data!G244="","",IF(Data!G244=Data_Val!$C$2,IF(Data!P244="",0,1),0))</f>
        <v/>
      </c>
      <c r="W244" s="12" t="str">
        <f>IF(Data!P244="","",IF(ISNUMBER(MATCH(Data!Q244,Data_Val!$A$2:$A$3,0)),0,1))</f>
        <v/>
      </c>
      <c r="X244" s="26" t="str">
        <f ca="1">IF(Data!P244="","",IF(ISNUMBER(Data!R244),IF(AND(Data!R244&gt;(TODAY()-(Data_Val!$L$3*365.25)),Data!R244&lt;=(TODAY()-(Data_Val!$L$2*365.25))),0,1),1))</f>
        <v/>
      </c>
      <c r="Y244" s="13" t="str">
        <f>IF(Data!$G244="","",IF(Data!$G244=Data_Val!$C$2,IF(Data!S244="",0,1),0))</f>
        <v/>
      </c>
      <c r="Z244" s="13" t="str">
        <f>IF(Data!S244="","",IF(ISNUMBER(MATCH(Data!T244,Data_Val!$A$2:$A$3,0)),0,1))</f>
        <v/>
      </c>
      <c r="AA244" s="28" t="str">
        <f ca="1">IF(Data!S244="","",IF(ISNUMBER(Data!U244),IF(AND(Data!U244&gt;(TODAY()-(Data_Val!$L$3*365.25)),Data!U244&lt;=(TODAY()-(Data_Val!$L$2*365.25))),0,1),1))</f>
        <v/>
      </c>
      <c r="AB244" s="11"/>
      <c r="AC244" s="11" t="e">
        <f>IF(Data!#REF!="","",IF(ISNUMBER(MATCH(Data!#REF!,Data_Val!$A$2:$A$3,0)),0,1))</f>
        <v>#REF!</v>
      </c>
      <c r="AD244" s="11" t="e">
        <f ca="1">IF(Data!#REF!="","",IF(ISNUMBER(Data!#REF!),IF(AND(Data!#REF!&gt;(TODAY()-(Data_Val!$L$3*365.25)),Data!#REF!&lt;=(TODAY()-(Data_Val!$L$2*365.25))),0,1),1))</f>
        <v>#REF!</v>
      </c>
      <c r="AE244" s="11" t="e">
        <f>IF(Data!#REF!="","",IF(Data!$G244="",1,IF(ISNUMBER(MATCH(Data!#REF!,Data_Val!$D$2:$D$10,0)),0,1)))</f>
        <v>#REF!</v>
      </c>
      <c r="AF244" s="12"/>
      <c r="AG244" s="12" t="e">
        <f>IF(Data!#REF!="","",IF(ISNUMBER(MATCH(Data!#REF!,Data_Val!$A$2:$A$3,0)),0,1))</f>
        <v>#REF!</v>
      </c>
      <c r="AH244" s="26" t="e">
        <f ca="1">IF(Data!#REF!="","",IF(ISNUMBER(Data!#REF!),IF(AND(Data!#REF!&gt;(TODAY()-(Data_Val!$L$3*365.25)),Data!#REF!&lt;=(TODAY()-(Data_Val!$L$2*365.25))),0,1),1))</f>
        <v>#REF!</v>
      </c>
      <c r="AI244" s="12" t="e">
        <f>IF(Data!#REF!="","",IF(Data!$G244="",1,IF(ISNUMBER(MATCH(Data!#REF!,Data_Val!$D$2:$D$10,0)),0,1)))</f>
        <v>#REF!</v>
      </c>
      <c r="AJ244" s="17"/>
      <c r="AK244" s="17" t="e">
        <f>IF(Data!#REF!="","",IF(ISNUMBER(MATCH(Data!#REF!,Data_Val!$A$2:$A$3,0)),0,1))</f>
        <v>#REF!</v>
      </c>
      <c r="AL244" s="25" t="e">
        <f ca="1">IF(Data!#REF!="","",IF(ISNUMBER(Data!#REF!),IF(AND(Data!#REF!&gt;(TODAY()-(Data_Val!$L$3*365.25)),Data!#REF!&lt;=(TODAY()-(Data_Val!$L$2*365.25))),0,1),1))</f>
        <v>#REF!</v>
      </c>
      <c r="AM244" s="17" t="e">
        <f>IF(Data!#REF!="","",IF(Data!$G244="",1,IF(ISNUMBER(MATCH(Data!#REF!,Data_Val!$D$2:$D$10,0)),0,1)))</f>
        <v>#REF!</v>
      </c>
      <c r="AN244" s="13"/>
      <c r="AO244" s="28" t="e">
        <f ca="1">IF(Data!#REF!="","",IF(ISNUMBER(Data!#REF!),IF(AND(Data!#REF!&gt;(TODAY()-(Data_Val!$I$3*365.25)),Data!#REF!&lt;=(TODAY()-(Data_Val!$I$2*365.25))),0,1),1))</f>
        <v>#REF!</v>
      </c>
      <c r="AP244" s="13" t="e">
        <f>IF(Data!#REF!="","",IF(Data!$G244="",1,IF(ISNUMBER(MATCH(Data!#REF!,Data_Val!$D$2:$D$10,0)),0,1)))</f>
        <v>#REF!</v>
      </c>
      <c r="AQ244" s="17"/>
      <c r="AR244" s="30" t="e">
        <f ca="1">IF(Data!#REF!="","",IF(ISNUMBER(Data!#REF!),IF(AND(Data!#REF!&gt;(TODAY()-(Data_Val!$I$3*365.25)),Data!#REF!&lt;=(TODAY()-(Data_Val!$I$2*365.25))),0,1),1))</f>
        <v>#REF!</v>
      </c>
      <c r="AS244" s="31" t="e">
        <f>IF(Data!#REF!="","",IF(Data!$G244="",1,IF(ISNUMBER(MATCH(Data!#REF!,Data_Val!$D$2:$D$10,0)),0,1)))</f>
        <v>#REF!</v>
      </c>
      <c r="AT244" s="11"/>
      <c r="AU244" s="11" t="e">
        <f ca="1">IF(Data!#REF!="","",IF(ISNUMBER(Data!#REF!),IF(AND(Data!#REF!&gt;(TODAY()-(Data_Val!$I$3*365.25)),Data!#REF!&lt;=(TODAY()-(Data_Val!$I$2*365.25))),0,1),1))</f>
        <v>#REF!</v>
      </c>
      <c r="AV244" s="11" t="e">
        <f>IF(Data!#REF!="","",IF(Data!$G244="",1,IF(ISNUMBER(MATCH(Data!#REF!,Data_Val!$D$2:$D$10,0)),0,1)))</f>
        <v>#REF!</v>
      </c>
      <c r="AW244" s="12"/>
      <c r="AX244" s="26" t="e">
        <f ca="1">IF(Data!#REF!="","",IF(ISNUMBER(Data!#REF!),IF(AND(Data!#REF!&gt;(TODAY()-(Data_Val!$I$3*365.25)),Data!#REF!&lt;=(TODAY()-(Data_Val!$I$2*365.25))),0,1),1))</f>
        <v>#REF!</v>
      </c>
      <c r="AY244" s="12" t="e">
        <f>IF(Data!#REF!="","",IF(Data!$G244="",1,IF(ISNUMBER(MATCH(Data!#REF!,Data_Val!$D$2:$D$10,0)),0,1)))</f>
        <v>#REF!</v>
      </c>
      <c r="AZ244" s="11"/>
      <c r="BA244" s="19" t="e">
        <f ca="1">IF(Data!#REF!="","",IF(ISNUMBER(Data!#REF!),IF(AND(Data!#REF!&gt;(TODAY()-(Data_Val!$M$3*365.25)),Data!#REF!&lt;=(TODAY()-(Data_Val!$M$2*365.25))),0,1),1))</f>
        <v>#REF!</v>
      </c>
      <c r="BB244" s="11" t="e">
        <f>IF(Data!#REF!="","",IF(Data!$G244="",1,IF(ISNUMBER(MATCH(Data!#REF!,Data_Val!$D$2:$D$10,0)),0,1)))</f>
        <v>#REF!</v>
      </c>
      <c r="BC244" s="12"/>
      <c r="BD244" s="20" t="e">
        <f ca="1">IF(Data!#REF!="","",IF(ISNUMBER(Data!#REF!),IF(AND(Data!#REF!&gt;(TODAY()-(Data_Val!$M$3*365.25)),Data!#REF!&lt;=(TODAY()-(Data_Val!$M$2*365.25))),0,1),1))</f>
        <v>#REF!</v>
      </c>
      <c r="BE244" s="12" t="e">
        <f>IF(Data!#REF!="","",IF(Data!$G244="",1,IF(ISNUMBER(MATCH(Data!#REF!,Data_Val!$D$2:$D$10,0)),0,1)))</f>
        <v>#REF!</v>
      </c>
      <c r="BF244" s="17"/>
      <c r="BG244" s="18" t="e">
        <f ca="1">IF(Data!#REF!="","",IF(ISNUMBER(Data!#REF!),IF(AND(Data!#REF!&gt;(TODAY()-(Data_Val!$M$3*365.25)),Data!#REF!&lt;=(TODAY()-(Data_Val!$M$2*365.25))),0,1),1))</f>
        <v>#REF!</v>
      </c>
      <c r="BH244" s="29" t="e">
        <f>IF(Data!#REF!="","",IF(Data!$G244="",1,IF(ISNUMBER(MATCH(Data!#REF!,Data_Val!$D$2:$D$10,0)),0,1)))</f>
        <v>#REF!</v>
      </c>
      <c r="BI244" s="13"/>
      <c r="BJ244" s="21" t="e">
        <f ca="1">IF(Data!#REF!="","",IF(ISNUMBER(Data!#REF!),IF(AND(Data!#REF!&gt;(TODAY()-(Data_Val!$M$3*365.25)),Data!#REF!&lt;=(TODAY()-(Data_Val!$M$2*365.25))),0,1),1))</f>
        <v>#REF!</v>
      </c>
      <c r="BK244" s="13" t="e">
        <f>IF(Data!#REF!="","",IF(Data!$G244="",1,IF(ISNUMBER(MATCH(Data!#REF!,Data_Val!$D$2:$D$10,0)),0,1)))</f>
        <v>#REF!</v>
      </c>
    </row>
    <row r="245" spans="1:63" x14ac:dyDescent="0.25">
      <c r="A245" s="9" t="str">
        <f>IF(Data!B245="","",IF(COUNTIFS(Data!A$1:'Data'!A245,Data!A245)&lt;=1,0,1))</f>
        <v/>
      </c>
      <c r="B245" s="9"/>
      <c r="C245" s="23" t="str">
        <f>IF(Data!C245="","",(IF(ISNUMBER(MATCH("*@*.?*",Data!C245,0)),0,1)+IF(COUNTIFS(Data!C$1:'Data'!C245,Data!C245)&gt;1,1,0)))</f>
        <v/>
      </c>
      <c r="D245" s="9" t="str">
        <f>IF(Data!B245="","",IF(ISNUMBER(Data!D245),IF(AND(Data!D245&gt;999999999,Data!D245&lt;=9999999999),IF(COUNTIFS(Data!D$1:'Data'!D245,Data!D245)&lt;=1,0,1),1),1))</f>
        <v/>
      </c>
      <c r="E245" s="9" t="str">
        <f>IF(Data!B245="","",IF(ISNUMBER(MATCH(Data!E245,Data_Val!$A$2:$A$3,0)),0,1))</f>
        <v/>
      </c>
      <c r="F245" s="9" t="str">
        <f ca="1">IF(Data!B245="","",IF(ISNUMBER(Data!F245),IF(AND(Data!F245&gt;(TODAY()-(Data_Val!$H$3*365.25)),Data!F245&lt;=(TODAY()-(Data_Val!$H$2*365.25))),0,1),1))</f>
        <v/>
      </c>
      <c r="G245" s="15" t="str">
        <f>IF(Data!B245="","",IF(AND(Data!G245="",Data!H245&lt;&gt;""),1,IF(Data!#REF!&lt;&gt;"",0,IF(ISNUMBER(MATCH(Data!G245,Data_Val!$C$2:$C$5,0)),0,1))))</f>
        <v/>
      </c>
      <c r="H245" s="15" t="str">
        <f>IF(Data!B245="","",IF(AND(Data!G245&lt;&gt;"",Data!H245=""),1,IF(Data!#REF!&lt;&gt;"",0,IF(Data!G245="",1,IF(ISNUMBER(MATCH(Data!H245,Data_Val!$D$2:$D$35,0)),0,1)))))</f>
        <v/>
      </c>
      <c r="I245" s="15" t="str">
        <f>IF(Data!B245="","",IF(Data!G245&lt;&gt;"",0,IF(ISNUMBER(MATCH(Data!#REF!,Data_Val!$E$2:$E$12,0)),0,1)))</f>
        <v/>
      </c>
      <c r="J245" s="16" t="e">
        <f>IF(OR(Data!B245="",Data!#REF!=""),"",IF(Data!#REF!="",1,0))</f>
        <v>#REF!</v>
      </c>
      <c r="K245" s="16" t="e">
        <f>IF(OR(Data!B245="",Data!#REF!=""),"",IF(Data!#REF!="",1,0))</f>
        <v>#REF!</v>
      </c>
      <c r="L245" s="16" t="e">
        <f>IF(OR(Data!B245="",Data!#REF!=""),"",IF(ISNUMBER(Data!#REF!),IF(AND(Data!#REF!&gt;Data_Val!$G$2,Data!#REF!&lt;=Data_Val!$G$3),0,1),1))</f>
        <v>#REF!</v>
      </c>
      <c r="M245" s="9" t="e">
        <f>IF(OR(Data!B245="",Data!#REF!=""),"",IF(ISNUMBER(MATCH(Data!#REF!,Data_Val!$F$1:$F$38,0)),0,1))</f>
        <v>#REF!</v>
      </c>
      <c r="N245" s="9" t="e">
        <f>IF(OR(Data!B245="",Data!#REF!=""),"",IF(Data!#REF!="",1,0))</f>
        <v>#REF!</v>
      </c>
      <c r="O245" s="17" t="e">
        <f>IF(Data!#REF!="","",IF(Data!#REF!="",1,0))</f>
        <v>#REF!</v>
      </c>
      <c r="P245" s="17" t="e">
        <f>IF(Data!#REF!="","",IF(ISNUMBER(MATCH(Data!#REF!,Data_Val!$A$2:$A$3,0)),0,1))</f>
        <v>#REF!</v>
      </c>
      <c r="Q245" s="25" t="e">
        <f ca="1">IF(Data!#REF!="","",IF(ISNUMBER(Data!#REF!),IF(AND(Data!#REF!&gt;(TODAY()-(Data_Val!$J$3*365.25)),Data!#REF!&lt;=(TODAY()-(Data_Val!$J$2*365.25))),0,1),1))</f>
        <v>#REF!</v>
      </c>
      <c r="R245" s="17" t="e">
        <f>IF(Data!#REF!="","",IF(ISNUMBER(MATCH(Data!#REF!,Data_Val!$B$2:$B$15,0)),0,1))</f>
        <v>#REF!</v>
      </c>
      <c r="S245" s="11" t="str">
        <f>IF(Data!G245="","",IF(Data!G245=Data_Val!$C$2,IF(Data!M245="",0,1),0))</f>
        <v/>
      </c>
      <c r="T245" s="11" t="str">
        <f>IF(Data!M245="","",IF(ISNUMBER(MATCH(Data!N245,Data_Val!$A$2:$A$3,0)),0,1))</f>
        <v/>
      </c>
      <c r="U245" s="11" t="str">
        <f ca="1">IF(Data!M245="","",IF(ISNUMBER(Data!O245),IF(AND(Data!O245&gt;(TODAY()-(Data_Val!$K$3*365.25)),Data!O245&lt;=(TODAY()-(Data_Val!$K$2*365.25))),0,1),1))</f>
        <v/>
      </c>
      <c r="V245" s="12" t="str">
        <f>IF(Data!G245="","",IF(Data!G245=Data_Val!$C$2,IF(Data!P245="",0,1),0))</f>
        <v/>
      </c>
      <c r="W245" s="12" t="str">
        <f>IF(Data!P245="","",IF(ISNUMBER(MATCH(Data!Q245,Data_Val!$A$2:$A$3,0)),0,1))</f>
        <v/>
      </c>
      <c r="X245" s="26" t="str">
        <f ca="1">IF(Data!P245="","",IF(ISNUMBER(Data!R245),IF(AND(Data!R245&gt;(TODAY()-(Data_Val!$L$3*365.25)),Data!R245&lt;=(TODAY()-(Data_Val!$L$2*365.25))),0,1),1))</f>
        <v/>
      </c>
      <c r="Y245" s="13" t="str">
        <f>IF(Data!$G245="","",IF(Data!$G245=Data_Val!$C$2,IF(Data!S245="",0,1),0))</f>
        <v/>
      </c>
      <c r="Z245" s="13" t="str">
        <f>IF(Data!S245="","",IF(ISNUMBER(MATCH(Data!T245,Data_Val!$A$2:$A$3,0)),0,1))</f>
        <v/>
      </c>
      <c r="AA245" s="28" t="str">
        <f ca="1">IF(Data!S245="","",IF(ISNUMBER(Data!U245),IF(AND(Data!U245&gt;(TODAY()-(Data_Val!$L$3*365.25)),Data!U245&lt;=(TODAY()-(Data_Val!$L$2*365.25))),0,1),1))</f>
        <v/>
      </c>
      <c r="AB245" s="11"/>
      <c r="AC245" s="11" t="e">
        <f>IF(Data!#REF!="","",IF(ISNUMBER(MATCH(Data!#REF!,Data_Val!$A$2:$A$3,0)),0,1))</f>
        <v>#REF!</v>
      </c>
      <c r="AD245" s="11" t="e">
        <f ca="1">IF(Data!#REF!="","",IF(ISNUMBER(Data!#REF!),IF(AND(Data!#REF!&gt;(TODAY()-(Data_Val!$L$3*365.25)),Data!#REF!&lt;=(TODAY()-(Data_Val!$L$2*365.25))),0,1),1))</f>
        <v>#REF!</v>
      </c>
      <c r="AE245" s="11" t="e">
        <f>IF(Data!#REF!="","",IF(Data!$G245="",1,IF(ISNUMBER(MATCH(Data!#REF!,Data_Val!$D$2:$D$10,0)),0,1)))</f>
        <v>#REF!</v>
      </c>
      <c r="AF245" s="12"/>
      <c r="AG245" s="12" t="e">
        <f>IF(Data!#REF!="","",IF(ISNUMBER(MATCH(Data!#REF!,Data_Val!$A$2:$A$3,0)),0,1))</f>
        <v>#REF!</v>
      </c>
      <c r="AH245" s="26" t="e">
        <f ca="1">IF(Data!#REF!="","",IF(ISNUMBER(Data!#REF!),IF(AND(Data!#REF!&gt;(TODAY()-(Data_Val!$L$3*365.25)),Data!#REF!&lt;=(TODAY()-(Data_Val!$L$2*365.25))),0,1),1))</f>
        <v>#REF!</v>
      </c>
      <c r="AI245" s="12" t="e">
        <f>IF(Data!#REF!="","",IF(Data!$G245="",1,IF(ISNUMBER(MATCH(Data!#REF!,Data_Val!$D$2:$D$10,0)),0,1)))</f>
        <v>#REF!</v>
      </c>
      <c r="AJ245" s="17"/>
      <c r="AK245" s="17" t="e">
        <f>IF(Data!#REF!="","",IF(ISNUMBER(MATCH(Data!#REF!,Data_Val!$A$2:$A$3,0)),0,1))</f>
        <v>#REF!</v>
      </c>
      <c r="AL245" s="25" t="e">
        <f ca="1">IF(Data!#REF!="","",IF(ISNUMBER(Data!#REF!),IF(AND(Data!#REF!&gt;(TODAY()-(Data_Val!$L$3*365.25)),Data!#REF!&lt;=(TODAY()-(Data_Val!$L$2*365.25))),0,1),1))</f>
        <v>#REF!</v>
      </c>
      <c r="AM245" s="17" t="e">
        <f>IF(Data!#REF!="","",IF(Data!$G245="",1,IF(ISNUMBER(MATCH(Data!#REF!,Data_Val!$D$2:$D$10,0)),0,1)))</f>
        <v>#REF!</v>
      </c>
      <c r="AN245" s="13"/>
      <c r="AO245" s="28" t="e">
        <f ca="1">IF(Data!#REF!="","",IF(ISNUMBER(Data!#REF!),IF(AND(Data!#REF!&gt;(TODAY()-(Data_Val!$I$3*365.25)),Data!#REF!&lt;=(TODAY()-(Data_Val!$I$2*365.25))),0,1),1))</f>
        <v>#REF!</v>
      </c>
      <c r="AP245" s="13" t="e">
        <f>IF(Data!#REF!="","",IF(Data!$G245="",1,IF(ISNUMBER(MATCH(Data!#REF!,Data_Val!$D$2:$D$10,0)),0,1)))</f>
        <v>#REF!</v>
      </c>
      <c r="AQ245" s="17"/>
      <c r="AR245" s="30" t="e">
        <f ca="1">IF(Data!#REF!="","",IF(ISNUMBER(Data!#REF!),IF(AND(Data!#REF!&gt;(TODAY()-(Data_Val!$I$3*365.25)),Data!#REF!&lt;=(TODAY()-(Data_Val!$I$2*365.25))),0,1),1))</f>
        <v>#REF!</v>
      </c>
      <c r="AS245" s="31" t="e">
        <f>IF(Data!#REF!="","",IF(Data!$G245="",1,IF(ISNUMBER(MATCH(Data!#REF!,Data_Val!$D$2:$D$10,0)),0,1)))</f>
        <v>#REF!</v>
      </c>
      <c r="AT245" s="11"/>
      <c r="AU245" s="11" t="e">
        <f ca="1">IF(Data!#REF!="","",IF(ISNUMBER(Data!#REF!),IF(AND(Data!#REF!&gt;(TODAY()-(Data_Val!$I$3*365.25)),Data!#REF!&lt;=(TODAY()-(Data_Val!$I$2*365.25))),0,1),1))</f>
        <v>#REF!</v>
      </c>
      <c r="AV245" s="11" t="e">
        <f>IF(Data!#REF!="","",IF(Data!$G245="",1,IF(ISNUMBER(MATCH(Data!#REF!,Data_Val!$D$2:$D$10,0)),0,1)))</f>
        <v>#REF!</v>
      </c>
      <c r="AW245" s="12"/>
      <c r="AX245" s="26" t="e">
        <f ca="1">IF(Data!#REF!="","",IF(ISNUMBER(Data!#REF!),IF(AND(Data!#REF!&gt;(TODAY()-(Data_Val!$I$3*365.25)),Data!#REF!&lt;=(TODAY()-(Data_Val!$I$2*365.25))),0,1),1))</f>
        <v>#REF!</v>
      </c>
      <c r="AY245" s="12" t="e">
        <f>IF(Data!#REF!="","",IF(Data!$G245="",1,IF(ISNUMBER(MATCH(Data!#REF!,Data_Val!$D$2:$D$10,0)),0,1)))</f>
        <v>#REF!</v>
      </c>
      <c r="AZ245" s="11"/>
      <c r="BA245" s="19" t="e">
        <f ca="1">IF(Data!#REF!="","",IF(ISNUMBER(Data!#REF!),IF(AND(Data!#REF!&gt;(TODAY()-(Data_Val!$M$3*365.25)),Data!#REF!&lt;=(TODAY()-(Data_Val!$M$2*365.25))),0,1),1))</f>
        <v>#REF!</v>
      </c>
      <c r="BB245" s="11" t="e">
        <f>IF(Data!#REF!="","",IF(Data!$G245="",1,IF(ISNUMBER(MATCH(Data!#REF!,Data_Val!$D$2:$D$10,0)),0,1)))</f>
        <v>#REF!</v>
      </c>
      <c r="BC245" s="12"/>
      <c r="BD245" s="20" t="e">
        <f ca="1">IF(Data!#REF!="","",IF(ISNUMBER(Data!#REF!),IF(AND(Data!#REF!&gt;(TODAY()-(Data_Val!$M$3*365.25)),Data!#REF!&lt;=(TODAY()-(Data_Val!$M$2*365.25))),0,1),1))</f>
        <v>#REF!</v>
      </c>
      <c r="BE245" s="12" t="e">
        <f>IF(Data!#REF!="","",IF(Data!$G245="",1,IF(ISNUMBER(MATCH(Data!#REF!,Data_Val!$D$2:$D$10,0)),0,1)))</f>
        <v>#REF!</v>
      </c>
      <c r="BF245" s="17"/>
      <c r="BG245" s="18" t="e">
        <f ca="1">IF(Data!#REF!="","",IF(ISNUMBER(Data!#REF!),IF(AND(Data!#REF!&gt;(TODAY()-(Data_Val!$M$3*365.25)),Data!#REF!&lt;=(TODAY()-(Data_Val!$M$2*365.25))),0,1),1))</f>
        <v>#REF!</v>
      </c>
      <c r="BH245" s="29" t="e">
        <f>IF(Data!#REF!="","",IF(Data!$G245="",1,IF(ISNUMBER(MATCH(Data!#REF!,Data_Val!$D$2:$D$10,0)),0,1)))</f>
        <v>#REF!</v>
      </c>
      <c r="BI245" s="13"/>
      <c r="BJ245" s="21" t="e">
        <f ca="1">IF(Data!#REF!="","",IF(ISNUMBER(Data!#REF!),IF(AND(Data!#REF!&gt;(TODAY()-(Data_Val!$M$3*365.25)),Data!#REF!&lt;=(TODAY()-(Data_Val!$M$2*365.25))),0,1),1))</f>
        <v>#REF!</v>
      </c>
      <c r="BK245" s="13" t="e">
        <f>IF(Data!#REF!="","",IF(Data!$G245="",1,IF(ISNUMBER(MATCH(Data!#REF!,Data_Val!$D$2:$D$10,0)),0,1)))</f>
        <v>#REF!</v>
      </c>
    </row>
    <row r="246" spans="1:63" x14ac:dyDescent="0.25">
      <c r="A246" s="9" t="str">
        <f>IF(Data!B246="","",IF(COUNTIFS(Data!A$1:'Data'!A246,Data!A246)&lt;=1,0,1))</f>
        <v/>
      </c>
      <c r="B246" s="9"/>
      <c r="C246" s="23" t="str">
        <f>IF(Data!C246="","",(IF(ISNUMBER(MATCH("*@*.?*",Data!C246,0)),0,1)+IF(COUNTIFS(Data!C$1:'Data'!C246,Data!C246)&gt;1,1,0)))</f>
        <v/>
      </c>
      <c r="D246" s="9" t="str">
        <f>IF(Data!B246="","",IF(ISNUMBER(Data!D246),IF(AND(Data!D246&gt;999999999,Data!D246&lt;=9999999999),IF(COUNTIFS(Data!D$1:'Data'!D246,Data!D246)&lt;=1,0,1),1),1))</f>
        <v/>
      </c>
      <c r="E246" s="9" t="str">
        <f>IF(Data!B246="","",IF(ISNUMBER(MATCH(Data!E246,Data_Val!$A$2:$A$3,0)),0,1))</f>
        <v/>
      </c>
      <c r="F246" s="9" t="str">
        <f ca="1">IF(Data!B246="","",IF(ISNUMBER(Data!F246),IF(AND(Data!F246&gt;(TODAY()-(Data_Val!$H$3*365.25)),Data!F246&lt;=(TODAY()-(Data_Val!$H$2*365.25))),0,1),1))</f>
        <v/>
      </c>
      <c r="G246" s="15" t="str">
        <f>IF(Data!B246="","",IF(AND(Data!G246="",Data!H246&lt;&gt;""),1,IF(Data!#REF!&lt;&gt;"",0,IF(ISNUMBER(MATCH(Data!G246,Data_Val!$C$2:$C$5,0)),0,1))))</f>
        <v/>
      </c>
      <c r="H246" s="15" t="str">
        <f>IF(Data!B246="","",IF(AND(Data!G246&lt;&gt;"",Data!H246=""),1,IF(Data!#REF!&lt;&gt;"",0,IF(Data!G246="",1,IF(ISNUMBER(MATCH(Data!H246,Data_Val!$D$2:$D$35,0)),0,1)))))</f>
        <v/>
      </c>
      <c r="I246" s="15" t="str">
        <f>IF(Data!B246="","",IF(Data!G246&lt;&gt;"",0,IF(ISNUMBER(MATCH(Data!#REF!,Data_Val!$E$2:$E$12,0)),0,1)))</f>
        <v/>
      </c>
      <c r="J246" s="16" t="e">
        <f>IF(OR(Data!B246="",Data!#REF!=""),"",IF(Data!#REF!="",1,0))</f>
        <v>#REF!</v>
      </c>
      <c r="K246" s="16" t="e">
        <f>IF(OR(Data!B246="",Data!#REF!=""),"",IF(Data!#REF!="",1,0))</f>
        <v>#REF!</v>
      </c>
      <c r="L246" s="16" t="e">
        <f>IF(OR(Data!B246="",Data!#REF!=""),"",IF(ISNUMBER(Data!#REF!),IF(AND(Data!#REF!&gt;Data_Val!$G$2,Data!#REF!&lt;=Data_Val!$G$3),0,1),1))</f>
        <v>#REF!</v>
      </c>
      <c r="M246" s="9" t="e">
        <f>IF(OR(Data!B246="",Data!#REF!=""),"",IF(ISNUMBER(MATCH(Data!#REF!,Data_Val!$F$1:$F$38,0)),0,1))</f>
        <v>#REF!</v>
      </c>
      <c r="N246" s="9" t="e">
        <f>IF(OR(Data!B246="",Data!#REF!=""),"",IF(Data!#REF!="",1,0))</f>
        <v>#REF!</v>
      </c>
      <c r="O246" s="17" t="e">
        <f>IF(Data!#REF!="","",IF(Data!#REF!="",1,0))</f>
        <v>#REF!</v>
      </c>
      <c r="P246" s="17" t="e">
        <f>IF(Data!#REF!="","",IF(ISNUMBER(MATCH(Data!#REF!,Data_Val!$A$2:$A$3,0)),0,1))</f>
        <v>#REF!</v>
      </c>
      <c r="Q246" s="25" t="e">
        <f ca="1">IF(Data!#REF!="","",IF(ISNUMBER(Data!#REF!),IF(AND(Data!#REF!&gt;(TODAY()-(Data_Val!$J$3*365.25)),Data!#REF!&lt;=(TODAY()-(Data_Val!$J$2*365.25))),0,1),1))</f>
        <v>#REF!</v>
      </c>
      <c r="R246" s="17" t="e">
        <f>IF(Data!#REF!="","",IF(ISNUMBER(MATCH(Data!#REF!,Data_Val!$B$2:$B$15,0)),0,1))</f>
        <v>#REF!</v>
      </c>
      <c r="S246" s="11" t="str">
        <f>IF(Data!G246="","",IF(Data!G246=Data_Val!$C$2,IF(Data!M246="",0,1),0))</f>
        <v/>
      </c>
      <c r="T246" s="11" t="str">
        <f>IF(Data!M246="","",IF(ISNUMBER(MATCH(Data!N246,Data_Val!$A$2:$A$3,0)),0,1))</f>
        <v/>
      </c>
      <c r="U246" s="11" t="str">
        <f ca="1">IF(Data!M246="","",IF(ISNUMBER(Data!O246),IF(AND(Data!O246&gt;(TODAY()-(Data_Val!$K$3*365.25)),Data!O246&lt;=(TODAY()-(Data_Val!$K$2*365.25))),0,1),1))</f>
        <v/>
      </c>
      <c r="V246" s="12" t="str">
        <f>IF(Data!G246="","",IF(Data!G246=Data_Val!$C$2,IF(Data!P246="",0,1),0))</f>
        <v/>
      </c>
      <c r="W246" s="12" t="str">
        <f>IF(Data!P246="","",IF(ISNUMBER(MATCH(Data!Q246,Data_Val!$A$2:$A$3,0)),0,1))</f>
        <v/>
      </c>
      <c r="X246" s="26" t="str">
        <f ca="1">IF(Data!P246="","",IF(ISNUMBER(Data!R246),IF(AND(Data!R246&gt;(TODAY()-(Data_Val!$L$3*365.25)),Data!R246&lt;=(TODAY()-(Data_Val!$L$2*365.25))),0,1),1))</f>
        <v/>
      </c>
      <c r="Y246" s="13" t="str">
        <f>IF(Data!$G246="","",IF(Data!$G246=Data_Val!$C$2,IF(Data!S246="",0,1),0))</f>
        <v/>
      </c>
      <c r="Z246" s="13" t="str">
        <f>IF(Data!S246="","",IF(ISNUMBER(MATCH(Data!T246,Data_Val!$A$2:$A$3,0)),0,1))</f>
        <v/>
      </c>
      <c r="AA246" s="28" t="str">
        <f ca="1">IF(Data!S246="","",IF(ISNUMBER(Data!U246),IF(AND(Data!U246&gt;(TODAY()-(Data_Val!$L$3*365.25)),Data!U246&lt;=(TODAY()-(Data_Val!$L$2*365.25))),0,1),1))</f>
        <v/>
      </c>
      <c r="AB246" s="11"/>
      <c r="AC246" s="11" t="e">
        <f>IF(Data!#REF!="","",IF(ISNUMBER(MATCH(Data!#REF!,Data_Val!$A$2:$A$3,0)),0,1))</f>
        <v>#REF!</v>
      </c>
      <c r="AD246" s="11" t="e">
        <f ca="1">IF(Data!#REF!="","",IF(ISNUMBER(Data!#REF!),IF(AND(Data!#REF!&gt;(TODAY()-(Data_Val!$L$3*365.25)),Data!#REF!&lt;=(TODAY()-(Data_Val!$L$2*365.25))),0,1),1))</f>
        <v>#REF!</v>
      </c>
      <c r="AE246" s="11" t="e">
        <f>IF(Data!#REF!="","",IF(Data!$G246="",1,IF(ISNUMBER(MATCH(Data!#REF!,Data_Val!$D$2:$D$10,0)),0,1)))</f>
        <v>#REF!</v>
      </c>
      <c r="AF246" s="12"/>
      <c r="AG246" s="12" t="e">
        <f>IF(Data!#REF!="","",IF(ISNUMBER(MATCH(Data!#REF!,Data_Val!$A$2:$A$3,0)),0,1))</f>
        <v>#REF!</v>
      </c>
      <c r="AH246" s="26" t="e">
        <f ca="1">IF(Data!#REF!="","",IF(ISNUMBER(Data!#REF!),IF(AND(Data!#REF!&gt;(TODAY()-(Data_Val!$L$3*365.25)),Data!#REF!&lt;=(TODAY()-(Data_Val!$L$2*365.25))),0,1),1))</f>
        <v>#REF!</v>
      </c>
      <c r="AI246" s="12" t="e">
        <f>IF(Data!#REF!="","",IF(Data!$G246="",1,IF(ISNUMBER(MATCH(Data!#REF!,Data_Val!$D$2:$D$10,0)),0,1)))</f>
        <v>#REF!</v>
      </c>
      <c r="AJ246" s="17"/>
      <c r="AK246" s="17" t="e">
        <f>IF(Data!#REF!="","",IF(ISNUMBER(MATCH(Data!#REF!,Data_Val!$A$2:$A$3,0)),0,1))</f>
        <v>#REF!</v>
      </c>
      <c r="AL246" s="25" t="e">
        <f ca="1">IF(Data!#REF!="","",IF(ISNUMBER(Data!#REF!),IF(AND(Data!#REF!&gt;(TODAY()-(Data_Val!$L$3*365.25)),Data!#REF!&lt;=(TODAY()-(Data_Val!$L$2*365.25))),0,1),1))</f>
        <v>#REF!</v>
      </c>
      <c r="AM246" s="17" t="e">
        <f>IF(Data!#REF!="","",IF(Data!$G246="",1,IF(ISNUMBER(MATCH(Data!#REF!,Data_Val!$D$2:$D$10,0)),0,1)))</f>
        <v>#REF!</v>
      </c>
      <c r="AN246" s="13"/>
      <c r="AO246" s="28" t="e">
        <f ca="1">IF(Data!#REF!="","",IF(ISNUMBER(Data!#REF!),IF(AND(Data!#REF!&gt;(TODAY()-(Data_Val!$I$3*365.25)),Data!#REF!&lt;=(TODAY()-(Data_Val!$I$2*365.25))),0,1),1))</f>
        <v>#REF!</v>
      </c>
      <c r="AP246" s="13" t="e">
        <f>IF(Data!#REF!="","",IF(Data!$G246="",1,IF(ISNUMBER(MATCH(Data!#REF!,Data_Val!$D$2:$D$10,0)),0,1)))</f>
        <v>#REF!</v>
      </c>
      <c r="AQ246" s="17"/>
      <c r="AR246" s="30" t="e">
        <f ca="1">IF(Data!#REF!="","",IF(ISNUMBER(Data!#REF!),IF(AND(Data!#REF!&gt;(TODAY()-(Data_Val!$I$3*365.25)),Data!#REF!&lt;=(TODAY()-(Data_Val!$I$2*365.25))),0,1),1))</f>
        <v>#REF!</v>
      </c>
      <c r="AS246" s="31" t="e">
        <f>IF(Data!#REF!="","",IF(Data!$G246="",1,IF(ISNUMBER(MATCH(Data!#REF!,Data_Val!$D$2:$D$10,0)),0,1)))</f>
        <v>#REF!</v>
      </c>
      <c r="AT246" s="11"/>
      <c r="AU246" s="11" t="e">
        <f ca="1">IF(Data!#REF!="","",IF(ISNUMBER(Data!#REF!),IF(AND(Data!#REF!&gt;(TODAY()-(Data_Val!$I$3*365.25)),Data!#REF!&lt;=(TODAY()-(Data_Val!$I$2*365.25))),0,1),1))</f>
        <v>#REF!</v>
      </c>
      <c r="AV246" s="11" t="e">
        <f>IF(Data!#REF!="","",IF(Data!$G246="",1,IF(ISNUMBER(MATCH(Data!#REF!,Data_Val!$D$2:$D$10,0)),0,1)))</f>
        <v>#REF!</v>
      </c>
      <c r="AW246" s="12"/>
      <c r="AX246" s="26" t="e">
        <f ca="1">IF(Data!#REF!="","",IF(ISNUMBER(Data!#REF!),IF(AND(Data!#REF!&gt;(TODAY()-(Data_Val!$I$3*365.25)),Data!#REF!&lt;=(TODAY()-(Data_Val!$I$2*365.25))),0,1),1))</f>
        <v>#REF!</v>
      </c>
      <c r="AY246" s="12" t="e">
        <f>IF(Data!#REF!="","",IF(Data!$G246="",1,IF(ISNUMBER(MATCH(Data!#REF!,Data_Val!$D$2:$D$10,0)),0,1)))</f>
        <v>#REF!</v>
      </c>
      <c r="AZ246" s="11"/>
      <c r="BA246" s="19" t="e">
        <f ca="1">IF(Data!#REF!="","",IF(ISNUMBER(Data!#REF!),IF(AND(Data!#REF!&gt;(TODAY()-(Data_Val!$M$3*365.25)),Data!#REF!&lt;=(TODAY()-(Data_Val!$M$2*365.25))),0,1),1))</f>
        <v>#REF!</v>
      </c>
      <c r="BB246" s="11" t="e">
        <f>IF(Data!#REF!="","",IF(Data!$G246="",1,IF(ISNUMBER(MATCH(Data!#REF!,Data_Val!$D$2:$D$10,0)),0,1)))</f>
        <v>#REF!</v>
      </c>
      <c r="BC246" s="12"/>
      <c r="BD246" s="20" t="e">
        <f ca="1">IF(Data!#REF!="","",IF(ISNUMBER(Data!#REF!),IF(AND(Data!#REF!&gt;(TODAY()-(Data_Val!$M$3*365.25)),Data!#REF!&lt;=(TODAY()-(Data_Val!$M$2*365.25))),0,1),1))</f>
        <v>#REF!</v>
      </c>
      <c r="BE246" s="12" t="e">
        <f>IF(Data!#REF!="","",IF(Data!$G246="",1,IF(ISNUMBER(MATCH(Data!#REF!,Data_Val!$D$2:$D$10,0)),0,1)))</f>
        <v>#REF!</v>
      </c>
      <c r="BF246" s="17"/>
      <c r="BG246" s="18" t="e">
        <f ca="1">IF(Data!#REF!="","",IF(ISNUMBER(Data!#REF!),IF(AND(Data!#REF!&gt;(TODAY()-(Data_Val!$M$3*365.25)),Data!#REF!&lt;=(TODAY()-(Data_Val!$M$2*365.25))),0,1),1))</f>
        <v>#REF!</v>
      </c>
      <c r="BH246" s="29" t="e">
        <f>IF(Data!#REF!="","",IF(Data!$G246="",1,IF(ISNUMBER(MATCH(Data!#REF!,Data_Val!$D$2:$D$10,0)),0,1)))</f>
        <v>#REF!</v>
      </c>
      <c r="BI246" s="13"/>
      <c r="BJ246" s="21" t="e">
        <f ca="1">IF(Data!#REF!="","",IF(ISNUMBER(Data!#REF!),IF(AND(Data!#REF!&gt;(TODAY()-(Data_Val!$M$3*365.25)),Data!#REF!&lt;=(TODAY()-(Data_Val!$M$2*365.25))),0,1),1))</f>
        <v>#REF!</v>
      </c>
      <c r="BK246" s="13" t="e">
        <f>IF(Data!#REF!="","",IF(Data!$G246="",1,IF(ISNUMBER(MATCH(Data!#REF!,Data_Val!$D$2:$D$10,0)),0,1)))</f>
        <v>#REF!</v>
      </c>
    </row>
    <row r="247" spans="1:63" x14ac:dyDescent="0.25">
      <c r="A247" s="9" t="str">
        <f>IF(Data!B247="","",IF(COUNTIFS(Data!A$1:'Data'!A247,Data!A247)&lt;=1,0,1))</f>
        <v/>
      </c>
      <c r="B247" s="9"/>
      <c r="C247" s="23" t="str">
        <f>IF(Data!C247="","",(IF(ISNUMBER(MATCH("*@*.?*",Data!C247,0)),0,1)+IF(COUNTIFS(Data!C$1:'Data'!C247,Data!C247)&gt;1,1,0)))</f>
        <v/>
      </c>
      <c r="D247" s="9" t="str">
        <f>IF(Data!B247="","",IF(ISNUMBER(Data!D247),IF(AND(Data!D247&gt;999999999,Data!D247&lt;=9999999999),IF(COUNTIFS(Data!D$1:'Data'!D247,Data!D247)&lt;=1,0,1),1),1))</f>
        <v/>
      </c>
      <c r="E247" s="9" t="str">
        <f>IF(Data!B247="","",IF(ISNUMBER(MATCH(Data!E247,Data_Val!$A$2:$A$3,0)),0,1))</f>
        <v/>
      </c>
      <c r="F247" s="9" t="str">
        <f ca="1">IF(Data!B247="","",IF(ISNUMBER(Data!F247),IF(AND(Data!F247&gt;(TODAY()-(Data_Val!$H$3*365.25)),Data!F247&lt;=(TODAY()-(Data_Val!$H$2*365.25))),0,1),1))</f>
        <v/>
      </c>
      <c r="G247" s="15" t="str">
        <f>IF(Data!B247="","",IF(AND(Data!G247="",Data!H247&lt;&gt;""),1,IF(Data!#REF!&lt;&gt;"",0,IF(ISNUMBER(MATCH(Data!G247,Data_Val!$C$2:$C$5,0)),0,1))))</f>
        <v/>
      </c>
      <c r="H247" s="15" t="str">
        <f>IF(Data!B247="","",IF(AND(Data!G247&lt;&gt;"",Data!H247=""),1,IF(Data!#REF!&lt;&gt;"",0,IF(Data!G247="",1,IF(ISNUMBER(MATCH(Data!H247,Data_Val!$D$2:$D$35,0)),0,1)))))</f>
        <v/>
      </c>
      <c r="I247" s="15" t="str">
        <f>IF(Data!B247="","",IF(Data!G247&lt;&gt;"",0,IF(ISNUMBER(MATCH(Data!#REF!,Data_Val!$E$2:$E$12,0)),0,1)))</f>
        <v/>
      </c>
      <c r="J247" s="16" t="e">
        <f>IF(OR(Data!B247="",Data!#REF!=""),"",IF(Data!#REF!="",1,0))</f>
        <v>#REF!</v>
      </c>
      <c r="K247" s="16" t="e">
        <f>IF(OR(Data!B247="",Data!#REF!=""),"",IF(Data!#REF!="",1,0))</f>
        <v>#REF!</v>
      </c>
      <c r="L247" s="16" t="e">
        <f>IF(OR(Data!B247="",Data!#REF!=""),"",IF(ISNUMBER(Data!#REF!),IF(AND(Data!#REF!&gt;Data_Val!$G$2,Data!#REF!&lt;=Data_Val!$G$3),0,1),1))</f>
        <v>#REF!</v>
      </c>
      <c r="M247" s="9" t="e">
        <f>IF(OR(Data!B247="",Data!#REF!=""),"",IF(ISNUMBER(MATCH(Data!#REF!,Data_Val!$F$1:$F$38,0)),0,1))</f>
        <v>#REF!</v>
      </c>
      <c r="N247" s="9" t="e">
        <f>IF(OR(Data!B247="",Data!#REF!=""),"",IF(Data!#REF!="",1,0))</f>
        <v>#REF!</v>
      </c>
      <c r="O247" s="17" t="e">
        <f>IF(Data!#REF!="","",IF(Data!#REF!="",1,0))</f>
        <v>#REF!</v>
      </c>
      <c r="P247" s="17" t="e">
        <f>IF(Data!#REF!="","",IF(ISNUMBER(MATCH(Data!#REF!,Data_Val!$A$2:$A$3,0)),0,1))</f>
        <v>#REF!</v>
      </c>
      <c r="Q247" s="25" t="e">
        <f ca="1">IF(Data!#REF!="","",IF(ISNUMBER(Data!#REF!),IF(AND(Data!#REF!&gt;(TODAY()-(Data_Val!$J$3*365.25)),Data!#REF!&lt;=(TODAY()-(Data_Val!$J$2*365.25))),0,1),1))</f>
        <v>#REF!</v>
      </c>
      <c r="R247" s="17" t="e">
        <f>IF(Data!#REF!="","",IF(ISNUMBER(MATCH(Data!#REF!,Data_Val!$B$2:$B$15,0)),0,1))</f>
        <v>#REF!</v>
      </c>
      <c r="S247" s="11" t="str">
        <f>IF(Data!G247="","",IF(Data!G247=Data_Val!$C$2,IF(Data!M247="",0,1),0))</f>
        <v/>
      </c>
      <c r="T247" s="11" t="str">
        <f>IF(Data!M247="","",IF(ISNUMBER(MATCH(Data!N247,Data_Val!$A$2:$A$3,0)),0,1))</f>
        <v/>
      </c>
      <c r="U247" s="11" t="str">
        <f ca="1">IF(Data!M247="","",IF(ISNUMBER(Data!O247),IF(AND(Data!O247&gt;(TODAY()-(Data_Val!$K$3*365.25)),Data!O247&lt;=(TODAY()-(Data_Val!$K$2*365.25))),0,1),1))</f>
        <v/>
      </c>
      <c r="V247" s="12" t="str">
        <f>IF(Data!G247="","",IF(Data!G247=Data_Val!$C$2,IF(Data!P247="",0,1),0))</f>
        <v/>
      </c>
      <c r="W247" s="12" t="str">
        <f>IF(Data!P247="","",IF(ISNUMBER(MATCH(Data!Q247,Data_Val!$A$2:$A$3,0)),0,1))</f>
        <v/>
      </c>
      <c r="X247" s="26" t="str">
        <f ca="1">IF(Data!P247="","",IF(ISNUMBER(Data!R247),IF(AND(Data!R247&gt;(TODAY()-(Data_Val!$L$3*365.25)),Data!R247&lt;=(TODAY()-(Data_Val!$L$2*365.25))),0,1),1))</f>
        <v/>
      </c>
      <c r="Y247" s="13" t="str">
        <f>IF(Data!$G247="","",IF(Data!$G247=Data_Val!$C$2,IF(Data!S247="",0,1),0))</f>
        <v/>
      </c>
      <c r="Z247" s="13" t="str">
        <f>IF(Data!S247="","",IF(ISNUMBER(MATCH(Data!T247,Data_Val!$A$2:$A$3,0)),0,1))</f>
        <v/>
      </c>
      <c r="AA247" s="28" t="str">
        <f ca="1">IF(Data!S247="","",IF(ISNUMBER(Data!U247),IF(AND(Data!U247&gt;(TODAY()-(Data_Val!$L$3*365.25)),Data!U247&lt;=(TODAY()-(Data_Val!$L$2*365.25))),0,1),1))</f>
        <v/>
      </c>
      <c r="AB247" s="11"/>
      <c r="AC247" s="11" t="e">
        <f>IF(Data!#REF!="","",IF(ISNUMBER(MATCH(Data!#REF!,Data_Val!$A$2:$A$3,0)),0,1))</f>
        <v>#REF!</v>
      </c>
      <c r="AD247" s="11" t="e">
        <f ca="1">IF(Data!#REF!="","",IF(ISNUMBER(Data!#REF!),IF(AND(Data!#REF!&gt;(TODAY()-(Data_Val!$L$3*365.25)),Data!#REF!&lt;=(TODAY()-(Data_Val!$L$2*365.25))),0,1),1))</f>
        <v>#REF!</v>
      </c>
      <c r="AE247" s="11" t="e">
        <f>IF(Data!#REF!="","",IF(Data!$G247="",1,IF(ISNUMBER(MATCH(Data!#REF!,Data_Val!$D$2:$D$10,0)),0,1)))</f>
        <v>#REF!</v>
      </c>
      <c r="AF247" s="12"/>
      <c r="AG247" s="12" t="e">
        <f>IF(Data!#REF!="","",IF(ISNUMBER(MATCH(Data!#REF!,Data_Val!$A$2:$A$3,0)),0,1))</f>
        <v>#REF!</v>
      </c>
      <c r="AH247" s="26" t="e">
        <f ca="1">IF(Data!#REF!="","",IF(ISNUMBER(Data!#REF!),IF(AND(Data!#REF!&gt;(TODAY()-(Data_Val!$L$3*365.25)),Data!#REF!&lt;=(TODAY()-(Data_Val!$L$2*365.25))),0,1),1))</f>
        <v>#REF!</v>
      </c>
      <c r="AI247" s="12" t="e">
        <f>IF(Data!#REF!="","",IF(Data!$G247="",1,IF(ISNUMBER(MATCH(Data!#REF!,Data_Val!$D$2:$D$10,0)),0,1)))</f>
        <v>#REF!</v>
      </c>
      <c r="AJ247" s="17"/>
      <c r="AK247" s="17" t="e">
        <f>IF(Data!#REF!="","",IF(ISNUMBER(MATCH(Data!#REF!,Data_Val!$A$2:$A$3,0)),0,1))</f>
        <v>#REF!</v>
      </c>
      <c r="AL247" s="25" t="e">
        <f ca="1">IF(Data!#REF!="","",IF(ISNUMBER(Data!#REF!),IF(AND(Data!#REF!&gt;(TODAY()-(Data_Val!$L$3*365.25)),Data!#REF!&lt;=(TODAY()-(Data_Val!$L$2*365.25))),0,1),1))</f>
        <v>#REF!</v>
      </c>
      <c r="AM247" s="17" t="e">
        <f>IF(Data!#REF!="","",IF(Data!$G247="",1,IF(ISNUMBER(MATCH(Data!#REF!,Data_Val!$D$2:$D$10,0)),0,1)))</f>
        <v>#REF!</v>
      </c>
      <c r="AN247" s="13"/>
      <c r="AO247" s="28" t="e">
        <f ca="1">IF(Data!#REF!="","",IF(ISNUMBER(Data!#REF!),IF(AND(Data!#REF!&gt;(TODAY()-(Data_Val!$I$3*365.25)),Data!#REF!&lt;=(TODAY()-(Data_Val!$I$2*365.25))),0,1),1))</f>
        <v>#REF!</v>
      </c>
      <c r="AP247" s="13" t="e">
        <f>IF(Data!#REF!="","",IF(Data!$G247="",1,IF(ISNUMBER(MATCH(Data!#REF!,Data_Val!$D$2:$D$10,0)),0,1)))</f>
        <v>#REF!</v>
      </c>
      <c r="AQ247" s="17"/>
      <c r="AR247" s="30" t="e">
        <f ca="1">IF(Data!#REF!="","",IF(ISNUMBER(Data!#REF!),IF(AND(Data!#REF!&gt;(TODAY()-(Data_Val!$I$3*365.25)),Data!#REF!&lt;=(TODAY()-(Data_Val!$I$2*365.25))),0,1),1))</f>
        <v>#REF!</v>
      </c>
      <c r="AS247" s="31" t="e">
        <f>IF(Data!#REF!="","",IF(Data!$G247="",1,IF(ISNUMBER(MATCH(Data!#REF!,Data_Val!$D$2:$D$10,0)),0,1)))</f>
        <v>#REF!</v>
      </c>
      <c r="AT247" s="11"/>
      <c r="AU247" s="11" t="e">
        <f ca="1">IF(Data!#REF!="","",IF(ISNUMBER(Data!#REF!),IF(AND(Data!#REF!&gt;(TODAY()-(Data_Val!$I$3*365.25)),Data!#REF!&lt;=(TODAY()-(Data_Val!$I$2*365.25))),0,1),1))</f>
        <v>#REF!</v>
      </c>
      <c r="AV247" s="11" t="e">
        <f>IF(Data!#REF!="","",IF(Data!$G247="",1,IF(ISNUMBER(MATCH(Data!#REF!,Data_Val!$D$2:$D$10,0)),0,1)))</f>
        <v>#REF!</v>
      </c>
      <c r="AW247" s="12"/>
      <c r="AX247" s="26" t="e">
        <f ca="1">IF(Data!#REF!="","",IF(ISNUMBER(Data!#REF!),IF(AND(Data!#REF!&gt;(TODAY()-(Data_Val!$I$3*365.25)),Data!#REF!&lt;=(TODAY()-(Data_Val!$I$2*365.25))),0,1),1))</f>
        <v>#REF!</v>
      </c>
      <c r="AY247" s="12" t="e">
        <f>IF(Data!#REF!="","",IF(Data!$G247="",1,IF(ISNUMBER(MATCH(Data!#REF!,Data_Val!$D$2:$D$10,0)),0,1)))</f>
        <v>#REF!</v>
      </c>
      <c r="AZ247" s="11"/>
      <c r="BA247" s="19" t="e">
        <f ca="1">IF(Data!#REF!="","",IF(ISNUMBER(Data!#REF!),IF(AND(Data!#REF!&gt;(TODAY()-(Data_Val!$M$3*365.25)),Data!#REF!&lt;=(TODAY()-(Data_Val!$M$2*365.25))),0,1),1))</f>
        <v>#REF!</v>
      </c>
      <c r="BB247" s="11" t="e">
        <f>IF(Data!#REF!="","",IF(Data!$G247="",1,IF(ISNUMBER(MATCH(Data!#REF!,Data_Val!$D$2:$D$10,0)),0,1)))</f>
        <v>#REF!</v>
      </c>
      <c r="BC247" s="12"/>
      <c r="BD247" s="20" t="e">
        <f ca="1">IF(Data!#REF!="","",IF(ISNUMBER(Data!#REF!),IF(AND(Data!#REF!&gt;(TODAY()-(Data_Val!$M$3*365.25)),Data!#REF!&lt;=(TODAY()-(Data_Val!$M$2*365.25))),0,1),1))</f>
        <v>#REF!</v>
      </c>
      <c r="BE247" s="12" t="e">
        <f>IF(Data!#REF!="","",IF(Data!$G247="",1,IF(ISNUMBER(MATCH(Data!#REF!,Data_Val!$D$2:$D$10,0)),0,1)))</f>
        <v>#REF!</v>
      </c>
      <c r="BF247" s="17"/>
      <c r="BG247" s="18" t="e">
        <f ca="1">IF(Data!#REF!="","",IF(ISNUMBER(Data!#REF!),IF(AND(Data!#REF!&gt;(TODAY()-(Data_Val!$M$3*365.25)),Data!#REF!&lt;=(TODAY()-(Data_Val!$M$2*365.25))),0,1),1))</f>
        <v>#REF!</v>
      </c>
      <c r="BH247" s="29" t="e">
        <f>IF(Data!#REF!="","",IF(Data!$G247="",1,IF(ISNUMBER(MATCH(Data!#REF!,Data_Val!$D$2:$D$10,0)),0,1)))</f>
        <v>#REF!</v>
      </c>
      <c r="BI247" s="13"/>
      <c r="BJ247" s="21" t="e">
        <f ca="1">IF(Data!#REF!="","",IF(ISNUMBER(Data!#REF!),IF(AND(Data!#REF!&gt;(TODAY()-(Data_Val!$M$3*365.25)),Data!#REF!&lt;=(TODAY()-(Data_Val!$M$2*365.25))),0,1),1))</f>
        <v>#REF!</v>
      </c>
      <c r="BK247" s="13" t="e">
        <f>IF(Data!#REF!="","",IF(Data!$G247="",1,IF(ISNUMBER(MATCH(Data!#REF!,Data_Val!$D$2:$D$10,0)),0,1)))</f>
        <v>#REF!</v>
      </c>
    </row>
    <row r="248" spans="1:63" x14ac:dyDescent="0.25">
      <c r="A248" s="9" t="str">
        <f>IF(Data!B248="","",IF(COUNTIFS(Data!A$1:'Data'!A248,Data!A248)&lt;=1,0,1))</f>
        <v/>
      </c>
      <c r="B248" s="9"/>
      <c r="C248" s="23" t="str">
        <f>IF(Data!C248="","",(IF(ISNUMBER(MATCH("*@*.?*",Data!C248,0)),0,1)+IF(COUNTIFS(Data!C$1:'Data'!C248,Data!C248)&gt;1,1,0)))</f>
        <v/>
      </c>
      <c r="D248" s="9" t="str">
        <f>IF(Data!B248="","",IF(ISNUMBER(Data!D248),IF(AND(Data!D248&gt;999999999,Data!D248&lt;=9999999999),IF(COUNTIFS(Data!D$1:'Data'!D248,Data!D248)&lt;=1,0,1),1),1))</f>
        <v/>
      </c>
      <c r="E248" s="9" t="str">
        <f>IF(Data!B248="","",IF(ISNUMBER(MATCH(Data!E248,Data_Val!$A$2:$A$3,0)),0,1))</f>
        <v/>
      </c>
      <c r="F248" s="9" t="str">
        <f ca="1">IF(Data!B248="","",IF(ISNUMBER(Data!F248),IF(AND(Data!F248&gt;(TODAY()-(Data_Val!$H$3*365.25)),Data!F248&lt;=(TODAY()-(Data_Val!$H$2*365.25))),0,1),1))</f>
        <v/>
      </c>
      <c r="G248" s="15" t="str">
        <f>IF(Data!B248="","",IF(AND(Data!G248="",Data!H248&lt;&gt;""),1,IF(Data!#REF!&lt;&gt;"",0,IF(ISNUMBER(MATCH(Data!G248,Data_Val!$C$2:$C$5,0)),0,1))))</f>
        <v/>
      </c>
      <c r="H248" s="15" t="str">
        <f>IF(Data!B248="","",IF(AND(Data!G248&lt;&gt;"",Data!H248=""),1,IF(Data!#REF!&lt;&gt;"",0,IF(Data!G248="",1,IF(ISNUMBER(MATCH(Data!H248,Data_Val!$D$2:$D$35,0)),0,1)))))</f>
        <v/>
      </c>
      <c r="I248" s="15" t="str">
        <f>IF(Data!B248="","",IF(Data!G248&lt;&gt;"",0,IF(ISNUMBER(MATCH(Data!#REF!,Data_Val!$E$2:$E$12,0)),0,1)))</f>
        <v/>
      </c>
      <c r="J248" s="16" t="e">
        <f>IF(OR(Data!B248="",Data!#REF!=""),"",IF(Data!#REF!="",1,0))</f>
        <v>#REF!</v>
      </c>
      <c r="K248" s="16" t="e">
        <f>IF(OR(Data!B248="",Data!#REF!=""),"",IF(Data!#REF!="",1,0))</f>
        <v>#REF!</v>
      </c>
      <c r="L248" s="16" t="e">
        <f>IF(OR(Data!B248="",Data!#REF!=""),"",IF(ISNUMBER(Data!#REF!),IF(AND(Data!#REF!&gt;Data_Val!$G$2,Data!#REF!&lt;=Data_Val!$G$3),0,1),1))</f>
        <v>#REF!</v>
      </c>
      <c r="M248" s="9" t="e">
        <f>IF(OR(Data!B248="",Data!#REF!=""),"",IF(ISNUMBER(MATCH(Data!#REF!,Data_Val!$F$1:$F$38,0)),0,1))</f>
        <v>#REF!</v>
      </c>
      <c r="N248" s="9" t="e">
        <f>IF(OR(Data!B248="",Data!#REF!=""),"",IF(Data!#REF!="",1,0))</f>
        <v>#REF!</v>
      </c>
      <c r="O248" s="17" t="e">
        <f>IF(Data!#REF!="","",IF(Data!#REF!="",1,0))</f>
        <v>#REF!</v>
      </c>
      <c r="P248" s="17" t="e">
        <f>IF(Data!#REF!="","",IF(ISNUMBER(MATCH(Data!#REF!,Data_Val!$A$2:$A$3,0)),0,1))</f>
        <v>#REF!</v>
      </c>
      <c r="Q248" s="25" t="e">
        <f ca="1">IF(Data!#REF!="","",IF(ISNUMBER(Data!#REF!),IF(AND(Data!#REF!&gt;(TODAY()-(Data_Val!$J$3*365.25)),Data!#REF!&lt;=(TODAY()-(Data_Val!$J$2*365.25))),0,1),1))</f>
        <v>#REF!</v>
      </c>
      <c r="R248" s="17" t="e">
        <f>IF(Data!#REF!="","",IF(ISNUMBER(MATCH(Data!#REF!,Data_Val!$B$2:$B$15,0)),0,1))</f>
        <v>#REF!</v>
      </c>
      <c r="S248" s="11" t="str">
        <f>IF(Data!G248="","",IF(Data!G248=Data_Val!$C$2,IF(Data!M248="",0,1),0))</f>
        <v/>
      </c>
      <c r="T248" s="11" t="str">
        <f>IF(Data!M248="","",IF(ISNUMBER(MATCH(Data!N248,Data_Val!$A$2:$A$3,0)),0,1))</f>
        <v/>
      </c>
      <c r="U248" s="11" t="str">
        <f ca="1">IF(Data!M248="","",IF(ISNUMBER(Data!O248),IF(AND(Data!O248&gt;(TODAY()-(Data_Val!$K$3*365.25)),Data!O248&lt;=(TODAY()-(Data_Val!$K$2*365.25))),0,1),1))</f>
        <v/>
      </c>
      <c r="V248" s="12" t="str">
        <f>IF(Data!G248="","",IF(Data!G248=Data_Val!$C$2,IF(Data!P248="",0,1),0))</f>
        <v/>
      </c>
      <c r="W248" s="12" t="str">
        <f>IF(Data!P248="","",IF(ISNUMBER(MATCH(Data!Q248,Data_Val!$A$2:$A$3,0)),0,1))</f>
        <v/>
      </c>
      <c r="X248" s="26" t="str">
        <f ca="1">IF(Data!P248="","",IF(ISNUMBER(Data!R248),IF(AND(Data!R248&gt;(TODAY()-(Data_Val!$L$3*365.25)),Data!R248&lt;=(TODAY()-(Data_Val!$L$2*365.25))),0,1),1))</f>
        <v/>
      </c>
      <c r="Y248" s="13" t="str">
        <f>IF(Data!$G248="","",IF(Data!$G248=Data_Val!$C$2,IF(Data!S248="",0,1),0))</f>
        <v/>
      </c>
      <c r="Z248" s="13" t="str">
        <f>IF(Data!S248="","",IF(ISNUMBER(MATCH(Data!T248,Data_Val!$A$2:$A$3,0)),0,1))</f>
        <v/>
      </c>
      <c r="AA248" s="28" t="str">
        <f ca="1">IF(Data!S248="","",IF(ISNUMBER(Data!U248),IF(AND(Data!U248&gt;(TODAY()-(Data_Val!$L$3*365.25)),Data!U248&lt;=(TODAY()-(Data_Val!$L$2*365.25))),0,1),1))</f>
        <v/>
      </c>
      <c r="AB248" s="11"/>
      <c r="AC248" s="11" t="e">
        <f>IF(Data!#REF!="","",IF(ISNUMBER(MATCH(Data!#REF!,Data_Val!$A$2:$A$3,0)),0,1))</f>
        <v>#REF!</v>
      </c>
      <c r="AD248" s="11" t="e">
        <f ca="1">IF(Data!#REF!="","",IF(ISNUMBER(Data!#REF!),IF(AND(Data!#REF!&gt;(TODAY()-(Data_Val!$L$3*365.25)),Data!#REF!&lt;=(TODAY()-(Data_Val!$L$2*365.25))),0,1),1))</f>
        <v>#REF!</v>
      </c>
      <c r="AE248" s="11" t="e">
        <f>IF(Data!#REF!="","",IF(Data!$G248="",1,IF(ISNUMBER(MATCH(Data!#REF!,Data_Val!$D$2:$D$10,0)),0,1)))</f>
        <v>#REF!</v>
      </c>
      <c r="AF248" s="12"/>
      <c r="AG248" s="12" t="e">
        <f>IF(Data!#REF!="","",IF(ISNUMBER(MATCH(Data!#REF!,Data_Val!$A$2:$A$3,0)),0,1))</f>
        <v>#REF!</v>
      </c>
      <c r="AH248" s="26" t="e">
        <f ca="1">IF(Data!#REF!="","",IF(ISNUMBER(Data!#REF!),IF(AND(Data!#REF!&gt;(TODAY()-(Data_Val!$L$3*365.25)),Data!#REF!&lt;=(TODAY()-(Data_Val!$L$2*365.25))),0,1),1))</f>
        <v>#REF!</v>
      </c>
      <c r="AI248" s="12" t="e">
        <f>IF(Data!#REF!="","",IF(Data!$G248="",1,IF(ISNUMBER(MATCH(Data!#REF!,Data_Val!$D$2:$D$10,0)),0,1)))</f>
        <v>#REF!</v>
      </c>
      <c r="AJ248" s="17"/>
      <c r="AK248" s="17" t="e">
        <f>IF(Data!#REF!="","",IF(ISNUMBER(MATCH(Data!#REF!,Data_Val!$A$2:$A$3,0)),0,1))</f>
        <v>#REF!</v>
      </c>
      <c r="AL248" s="25" t="e">
        <f ca="1">IF(Data!#REF!="","",IF(ISNUMBER(Data!#REF!),IF(AND(Data!#REF!&gt;(TODAY()-(Data_Val!$L$3*365.25)),Data!#REF!&lt;=(TODAY()-(Data_Val!$L$2*365.25))),0,1),1))</f>
        <v>#REF!</v>
      </c>
      <c r="AM248" s="17" t="e">
        <f>IF(Data!#REF!="","",IF(Data!$G248="",1,IF(ISNUMBER(MATCH(Data!#REF!,Data_Val!$D$2:$D$10,0)),0,1)))</f>
        <v>#REF!</v>
      </c>
      <c r="AN248" s="13"/>
      <c r="AO248" s="28" t="e">
        <f ca="1">IF(Data!#REF!="","",IF(ISNUMBER(Data!#REF!),IF(AND(Data!#REF!&gt;(TODAY()-(Data_Val!$I$3*365.25)),Data!#REF!&lt;=(TODAY()-(Data_Val!$I$2*365.25))),0,1),1))</f>
        <v>#REF!</v>
      </c>
      <c r="AP248" s="13" t="e">
        <f>IF(Data!#REF!="","",IF(Data!$G248="",1,IF(ISNUMBER(MATCH(Data!#REF!,Data_Val!$D$2:$D$10,0)),0,1)))</f>
        <v>#REF!</v>
      </c>
      <c r="AQ248" s="17"/>
      <c r="AR248" s="30" t="e">
        <f ca="1">IF(Data!#REF!="","",IF(ISNUMBER(Data!#REF!),IF(AND(Data!#REF!&gt;(TODAY()-(Data_Val!$I$3*365.25)),Data!#REF!&lt;=(TODAY()-(Data_Val!$I$2*365.25))),0,1),1))</f>
        <v>#REF!</v>
      </c>
      <c r="AS248" s="31" t="e">
        <f>IF(Data!#REF!="","",IF(Data!$G248="",1,IF(ISNUMBER(MATCH(Data!#REF!,Data_Val!$D$2:$D$10,0)),0,1)))</f>
        <v>#REF!</v>
      </c>
      <c r="AT248" s="11"/>
      <c r="AU248" s="11" t="e">
        <f ca="1">IF(Data!#REF!="","",IF(ISNUMBER(Data!#REF!),IF(AND(Data!#REF!&gt;(TODAY()-(Data_Val!$I$3*365.25)),Data!#REF!&lt;=(TODAY()-(Data_Val!$I$2*365.25))),0,1),1))</f>
        <v>#REF!</v>
      </c>
      <c r="AV248" s="11" t="e">
        <f>IF(Data!#REF!="","",IF(Data!$G248="",1,IF(ISNUMBER(MATCH(Data!#REF!,Data_Val!$D$2:$D$10,0)),0,1)))</f>
        <v>#REF!</v>
      </c>
      <c r="AW248" s="12"/>
      <c r="AX248" s="26" t="e">
        <f ca="1">IF(Data!#REF!="","",IF(ISNUMBER(Data!#REF!),IF(AND(Data!#REF!&gt;(TODAY()-(Data_Val!$I$3*365.25)),Data!#REF!&lt;=(TODAY()-(Data_Val!$I$2*365.25))),0,1),1))</f>
        <v>#REF!</v>
      </c>
      <c r="AY248" s="12" t="e">
        <f>IF(Data!#REF!="","",IF(Data!$G248="",1,IF(ISNUMBER(MATCH(Data!#REF!,Data_Val!$D$2:$D$10,0)),0,1)))</f>
        <v>#REF!</v>
      </c>
      <c r="AZ248" s="11"/>
      <c r="BA248" s="19" t="e">
        <f ca="1">IF(Data!#REF!="","",IF(ISNUMBER(Data!#REF!),IF(AND(Data!#REF!&gt;(TODAY()-(Data_Val!$M$3*365.25)),Data!#REF!&lt;=(TODAY()-(Data_Val!$M$2*365.25))),0,1),1))</f>
        <v>#REF!</v>
      </c>
      <c r="BB248" s="11" t="e">
        <f>IF(Data!#REF!="","",IF(Data!$G248="",1,IF(ISNUMBER(MATCH(Data!#REF!,Data_Val!$D$2:$D$10,0)),0,1)))</f>
        <v>#REF!</v>
      </c>
      <c r="BC248" s="12"/>
      <c r="BD248" s="20" t="e">
        <f ca="1">IF(Data!#REF!="","",IF(ISNUMBER(Data!#REF!),IF(AND(Data!#REF!&gt;(TODAY()-(Data_Val!$M$3*365.25)),Data!#REF!&lt;=(TODAY()-(Data_Val!$M$2*365.25))),0,1),1))</f>
        <v>#REF!</v>
      </c>
      <c r="BE248" s="12" t="e">
        <f>IF(Data!#REF!="","",IF(Data!$G248="",1,IF(ISNUMBER(MATCH(Data!#REF!,Data_Val!$D$2:$D$10,0)),0,1)))</f>
        <v>#REF!</v>
      </c>
      <c r="BF248" s="17"/>
      <c r="BG248" s="18" t="e">
        <f ca="1">IF(Data!#REF!="","",IF(ISNUMBER(Data!#REF!),IF(AND(Data!#REF!&gt;(TODAY()-(Data_Val!$M$3*365.25)),Data!#REF!&lt;=(TODAY()-(Data_Val!$M$2*365.25))),0,1),1))</f>
        <v>#REF!</v>
      </c>
      <c r="BH248" s="29" t="e">
        <f>IF(Data!#REF!="","",IF(Data!$G248="",1,IF(ISNUMBER(MATCH(Data!#REF!,Data_Val!$D$2:$D$10,0)),0,1)))</f>
        <v>#REF!</v>
      </c>
      <c r="BI248" s="13"/>
      <c r="BJ248" s="21" t="e">
        <f ca="1">IF(Data!#REF!="","",IF(ISNUMBER(Data!#REF!),IF(AND(Data!#REF!&gt;(TODAY()-(Data_Val!$M$3*365.25)),Data!#REF!&lt;=(TODAY()-(Data_Val!$M$2*365.25))),0,1),1))</f>
        <v>#REF!</v>
      </c>
      <c r="BK248" s="13" t="e">
        <f>IF(Data!#REF!="","",IF(Data!$G248="",1,IF(ISNUMBER(MATCH(Data!#REF!,Data_Val!$D$2:$D$10,0)),0,1)))</f>
        <v>#REF!</v>
      </c>
    </row>
    <row r="249" spans="1:63" x14ac:dyDescent="0.25">
      <c r="A249" s="9" t="str">
        <f>IF(Data!B249="","",IF(COUNTIFS(Data!A$1:'Data'!A249,Data!A249)&lt;=1,0,1))</f>
        <v/>
      </c>
      <c r="B249" s="9"/>
      <c r="C249" s="23" t="str">
        <f>IF(Data!C249="","",(IF(ISNUMBER(MATCH("*@*.?*",Data!C249,0)),0,1)+IF(COUNTIFS(Data!C$1:'Data'!C249,Data!C249)&gt;1,1,0)))</f>
        <v/>
      </c>
      <c r="D249" s="9" t="str">
        <f>IF(Data!B249="","",IF(ISNUMBER(Data!D249),IF(AND(Data!D249&gt;999999999,Data!D249&lt;=9999999999),IF(COUNTIFS(Data!D$1:'Data'!D249,Data!D249)&lt;=1,0,1),1),1))</f>
        <v/>
      </c>
      <c r="E249" s="9" t="str">
        <f>IF(Data!B249="","",IF(ISNUMBER(MATCH(Data!E249,Data_Val!$A$2:$A$3,0)),0,1))</f>
        <v/>
      </c>
      <c r="F249" s="9" t="str">
        <f ca="1">IF(Data!B249="","",IF(ISNUMBER(Data!F249),IF(AND(Data!F249&gt;(TODAY()-(Data_Val!$H$3*365.25)),Data!F249&lt;=(TODAY()-(Data_Val!$H$2*365.25))),0,1),1))</f>
        <v/>
      </c>
      <c r="G249" s="15" t="str">
        <f>IF(Data!B249="","",IF(AND(Data!G249="",Data!H249&lt;&gt;""),1,IF(Data!#REF!&lt;&gt;"",0,IF(ISNUMBER(MATCH(Data!G249,Data_Val!$C$2:$C$5,0)),0,1))))</f>
        <v/>
      </c>
      <c r="H249" s="15" t="str">
        <f>IF(Data!B249="","",IF(AND(Data!G249&lt;&gt;"",Data!H249=""),1,IF(Data!#REF!&lt;&gt;"",0,IF(Data!G249="",1,IF(ISNUMBER(MATCH(Data!H249,Data_Val!$D$2:$D$35,0)),0,1)))))</f>
        <v/>
      </c>
      <c r="I249" s="15" t="str">
        <f>IF(Data!B249="","",IF(Data!G249&lt;&gt;"",0,IF(ISNUMBER(MATCH(Data!#REF!,Data_Val!$E$2:$E$12,0)),0,1)))</f>
        <v/>
      </c>
      <c r="J249" s="16" t="e">
        <f>IF(OR(Data!B249="",Data!#REF!=""),"",IF(Data!#REF!="",1,0))</f>
        <v>#REF!</v>
      </c>
      <c r="K249" s="16" t="e">
        <f>IF(OR(Data!B249="",Data!#REF!=""),"",IF(Data!#REF!="",1,0))</f>
        <v>#REF!</v>
      </c>
      <c r="L249" s="16" t="e">
        <f>IF(OR(Data!B249="",Data!#REF!=""),"",IF(ISNUMBER(Data!#REF!),IF(AND(Data!#REF!&gt;Data_Val!$G$2,Data!#REF!&lt;=Data_Val!$G$3),0,1),1))</f>
        <v>#REF!</v>
      </c>
      <c r="M249" s="9" t="e">
        <f>IF(OR(Data!B249="",Data!#REF!=""),"",IF(ISNUMBER(MATCH(Data!#REF!,Data_Val!$F$1:$F$38,0)),0,1))</f>
        <v>#REF!</v>
      </c>
      <c r="N249" s="9" t="e">
        <f>IF(OR(Data!B249="",Data!#REF!=""),"",IF(Data!#REF!="",1,0))</f>
        <v>#REF!</v>
      </c>
      <c r="O249" s="17" t="e">
        <f>IF(Data!#REF!="","",IF(Data!#REF!="",1,0))</f>
        <v>#REF!</v>
      </c>
      <c r="P249" s="17" t="e">
        <f>IF(Data!#REF!="","",IF(ISNUMBER(MATCH(Data!#REF!,Data_Val!$A$2:$A$3,0)),0,1))</f>
        <v>#REF!</v>
      </c>
      <c r="Q249" s="25" t="e">
        <f ca="1">IF(Data!#REF!="","",IF(ISNUMBER(Data!#REF!),IF(AND(Data!#REF!&gt;(TODAY()-(Data_Val!$J$3*365.25)),Data!#REF!&lt;=(TODAY()-(Data_Val!$J$2*365.25))),0,1),1))</f>
        <v>#REF!</v>
      </c>
      <c r="R249" s="17" t="e">
        <f>IF(Data!#REF!="","",IF(ISNUMBER(MATCH(Data!#REF!,Data_Val!$B$2:$B$15,0)),0,1))</f>
        <v>#REF!</v>
      </c>
      <c r="S249" s="11" t="str">
        <f>IF(Data!G249="","",IF(Data!G249=Data_Val!$C$2,IF(Data!M249="",0,1),0))</f>
        <v/>
      </c>
      <c r="T249" s="11" t="str">
        <f>IF(Data!M249="","",IF(ISNUMBER(MATCH(Data!N249,Data_Val!$A$2:$A$3,0)),0,1))</f>
        <v/>
      </c>
      <c r="U249" s="11" t="str">
        <f ca="1">IF(Data!M249="","",IF(ISNUMBER(Data!O249),IF(AND(Data!O249&gt;(TODAY()-(Data_Val!$K$3*365.25)),Data!O249&lt;=(TODAY()-(Data_Val!$K$2*365.25))),0,1),1))</f>
        <v/>
      </c>
      <c r="V249" s="12" t="str">
        <f>IF(Data!G249="","",IF(Data!G249=Data_Val!$C$2,IF(Data!P249="",0,1),0))</f>
        <v/>
      </c>
      <c r="W249" s="12" t="str">
        <f>IF(Data!P249="","",IF(ISNUMBER(MATCH(Data!Q249,Data_Val!$A$2:$A$3,0)),0,1))</f>
        <v/>
      </c>
      <c r="X249" s="26" t="str">
        <f ca="1">IF(Data!P249="","",IF(ISNUMBER(Data!R249),IF(AND(Data!R249&gt;(TODAY()-(Data_Val!$L$3*365.25)),Data!R249&lt;=(TODAY()-(Data_Val!$L$2*365.25))),0,1),1))</f>
        <v/>
      </c>
      <c r="Y249" s="13" t="str">
        <f>IF(Data!$G249="","",IF(Data!$G249=Data_Val!$C$2,IF(Data!S249="",0,1),0))</f>
        <v/>
      </c>
      <c r="Z249" s="13" t="str">
        <f>IF(Data!S249="","",IF(ISNUMBER(MATCH(Data!T249,Data_Val!$A$2:$A$3,0)),0,1))</f>
        <v/>
      </c>
      <c r="AA249" s="28" t="str">
        <f ca="1">IF(Data!S249="","",IF(ISNUMBER(Data!U249),IF(AND(Data!U249&gt;(TODAY()-(Data_Val!$L$3*365.25)),Data!U249&lt;=(TODAY()-(Data_Val!$L$2*365.25))),0,1),1))</f>
        <v/>
      </c>
      <c r="AB249" s="11"/>
      <c r="AC249" s="11" t="e">
        <f>IF(Data!#REF!="","",IF(ISNUMBER(MATCH(Data!#REF!,Data_Val!$A$2:$A$3,0)),0,1))</f>
        <v>#REF!</v>
      </c>
      <c r="AD249" s="11" t="e">
        <f ca="1">IF(Data!#REF!="","",IF(ISNUMBER(Data!#REF!),IF(AND(Data!#REF!&gt;(TODAY()-(Data_Val!$L$3*365.25)),Data!#REF!&lt;=(TODAY()-(Data_Val!$L$2*365.25))),0,1),1))</f>
        <v>#REF!</v>
      </c>
      <c r="AE249" s="11" t="e">
        <f>IF(Data!#REF!="","",IF(Data!$G249="",1,IF(ISNUMBER(MATCH(Data!#REF!,Data_Val!$D$2:$D$10,0)),0,1)))</f>
        <v>#REF!</v>
      </c>
      <c r="AF249" s="12"/>
      <c r="AG249" s="12" t="e">
        <f>IF(Data!#REF!="","",IF(ISNUMBER(MATCH(Data!#REF!,Data_Val!$A$2:$A$3,0)),0,1))</f>
        <v>#REF!</v>
      </c>
      <c r="AH249" s="26" t="e">
        <f ca="1">IF(Data!#REF!="","",IF(ISNUMBER(Data!#REF!),IF(AND(Data!#REF!&gt;(TODAY()-(Data_Val!$L$3*365.25)),Data!#REF!&lt;=(TODAY()-(Data_Val!$L$2*365.25))),0,1),1))</f>
        <v>#REF!</v>
      </c>
      <c r="AI249" s="12" t="e">
        <f>IF(Data!#REF!="","",IF(Data!$G249="",1,IF(ISNUMBER(MATCH(Data!#REF!,Data_Val!$D$2:$D$10,0)),0,1)))</f>
        <v>#REF!</v>
      </c>
      <c r="AJ249" s="17"/>
      <c r="AK249" s="17" t="e">
        <f>IF(Data!#REF!="","",IF(ISNUMBER(MATCH(Data!#REF!,Data_Val!$A$2:$A$3,0)),0,1))</f>
        <v>#REF!</v>
      </c>
      <c r="AL249" s="25" t="e">
        <f ca="1">IF(Data!#REF!="","",IF(ISNUMBER(Data!#REF!),IF(AND(Data!#REF!&gt;(TODAY()-(Data_Val!$L$3*365.25)),Data!#REF!&lt;=(TODAY()-(Data_Val!$L$2*365.25))),0,1),1))</f>
        <v>#REF!</v>
      </c>
      <c r="AM249" s="17" t="e">
        <f>IF(Data!#REF!="","",IF(Data!$G249="",1,IF(ISNUMBER(MATCH(Data!#REF!,Data_Val!$D$2:$D$10,0)),0,1)))</f>
        <v>#REF!</v>
      </c>
      <c r="AN249" s="13"/>
      <c r="AO249" s="28" t="e">
        <f ca="1">IF(Data!#REF!="","",IF(ISNUMBER(Data!#REF!),IF(AND(Data!#REF!&gt;(TODAY()-(Data_Val!$I$3*365.25)),Data!#REF!&lt;=(TODAY()-(Data_Val!$I$2*365.25))),0,1),1))</f>
        <v>#REF!</v>
      </c>
      <c r="AP249" s="13" t="e">
        <f>IF(Data!#REF!="","",IF(Data!$G249="",1,IF(ISNUMBER(MATCH(Data!#REF!,Data_Val!$D$2:$D$10,0)),0,1)))</f>
        <v>#REF!</v>
      </c>
      <c r="AQ249" s="17"/>
      <c r="AR249" s="30" t="e">
        <f ca="1">IF(Data!#REF!="","",IF(ISNUMBER(Data!#REF!),IF(AND(Data!#REF!&gt;(TODAY()-(Data_Val!$I$3*365.25)),Data!#REF!&lt;=(TODAY()-(Data_Val!$I$2*365.25))),0,1),1))</f>
        <v>#REF!</v>
      </c>
      <c r="AS249" s="31" t="e">
        <f>IF(Data!#REF!="","",IF(Data!$G249="",1,IF(ISNUMBER(MATCH(Data!#REF!,Data_Val!$D$2:$D$10,0)),0,1)))</f>
        <v>#REF!</v>
      </c>
      <c r="AT249" s="11"/>
      <c r="AU249" s="11" t="e">
        <f ca="1">IF(Data!#REF!="","",IF(ISNUMBER(Data!#REF!),IF(AND(Data!#REF!&gt;(TODAY()-(Data_Val!$I$3*365.25)),Data!#REF!&lt;=(TODAY()-(Data_Val!$I$2*365.25))),0,1),1))</f>
        <v>#REF!</v>
      </c>
      <c r="AV249" s="11" t="e">
        <f>IF(Data!#REF!="","",IF(Data!$G249="",1,IF(ISNUMBER(MATCH(Data!#REF!,Data_Val!$D$2:$D$10,0)),0,1)))</f>
        <v>#REF!</v>
      </c>
      <c r="AW249" s="12"/>
      <c r="AX249" s="26" t="e">
        <f ca="1">IF(Data!#REF!="","",IF(ISNUMBER(Data!#REF!),IF(AND(Data!#REF!&gt;(TODAY()-(Data_Val!$I$3*365.25)),Data!#REF!&lt;=(TODAY()-(Data_Val!$I$2*365.25))),0,1),1))</f>
        <v>#REF!</v>
      </c>
      <c r="AY249" s="12" t="e">
        <f>IF(Data!#REF!="","",IF(Data!$G249="",1,IF(ISNUMBER(MATCH(Data!#REF!,Data_Val!$D$2:$D$10,0)),0,1)))</f>
        <v>#REF!</v>
      </c>
      <c r="AZ249" s="11"/>
      <c r="BA249" s="19" t="e">
        <f ca="1">IF(Data!#REF!="","",IF(ISNUMBER(Data!#REF!),IF(AND(Data!#REF!&gt;(TODAY()-(Data_Val!$M$3*365.25)),Data!#REF!&lt;=(TODAY()-(Data_Val!$M$2*365.25))),0,1),1))</f>
        <v>#REF!</v>
      </c>
      <c r="BB249" s="11" t="e">
        <f>IF(Data!#REF!="","",IF(Data!$G249="",1,IF(ISNUMBER(MATCH(Data!#REF!,Data_Val!$D$2:$D$10,0)),0,1)))</f>
        <v>#REF!</v>
      </c>
      <c r="BC249" s="12"/>
      <c r="BD249" s="20" t="e">
        <f ca="1">IF(Data!#REF!="","",IF(ISNUMBER(Data!#REF!),IF(AND(Data!#REF!&gt;(TODAY()-(Data_Val!$M$3*365.25)),Data!#REF!&lt;=(TODAY()-(Data_Val!$M$2*365.25))),0,1),1))</f>
        <v>#REF!</v>
      </c>
      <c r="BE249" s="12" t="e">
        <f>IF(Data!#REF!="","",IF(Data!$G249="",1,IF(ISNUMBER(MATCH(Data!#REF!,Data_Val!$D$2:$D$10,0)),0,1)))</f>
        <v>#REF!</v>
      </c>
      <c r="BF249" s="17"/>
      <c r="BG249" s="18" t="e">
        <f ca="1">IF(Data!#REF!="","",IF(ISNUMBER(Data!#REF!),IF(AND(Data!#REF!&gt;(TODAY()-(Data_Val!$M$3*365.25)),Data!#REF!&lt;=(TODAY()-(Data_Val!$M$2*365.25))),0,1),1))</f>
        <v>#REF!</v>
      </c>
      <c r="BH249" s="29" t="e">
        <f>IF(Data!#REF!="","",IF(Data!$G249="",1,IF(ISNUMBER(MATCH(Data!#REF!,Data_Val!$D$2:$D$10,0)),0,1)))</f>
        <v>#REF!</v>
      </c>
      <c r="BI249" s="13"/>
      <c r="BJ249" s="21" t="e">
        <f ca="1">IF(Data!#REF!="","",IF(ISNUMBER(Data!#REF!),IF(AND(Data!#REF!&gt;(TODAY()-(Data_Val!$M$3*365.25)),Data!#REF!&lt;=(TODAY()-(Data_Val!$M$2*365.25))),0,1),1))</f>
        <v>#REF!</v>
      </c>
      <c r="BK249" s="13" t="e">
        <f>IF(Data!#REF!="","",IF(Data!$G249="",1,IF(ISNUMBER(MATCH(Data!#REF!,Data_Val!$D$2:$D$10,0)),0,1)))</f>
        <v>#REF!</v>
      </c>
    </row>
    <row r="250" spans="1:63" x14ac:dyDescent="0.25">
      <c r="A250" s="9" t="str">
        <f>IF(Data!B250="","",IF(COUNTIFS(Data!A$1:'Data'!A250,Data!A250)&lt;=1,0,1))</f>
        <v/>
      </c>
      <c r="B250" s="9"/>
      <c r="C250" s="23" t="str">
        <f>IF(Data!C250="","",(IF(ISNUMBER(MATCH("*@*.?*",Data!C250,0)),0,1)+IF(COUNTIFS(Data!C$1:'Data'!C250,Data!C250)&gt;1,1,0)))</f>
        <v/>
      </c>
      <c r="D250" s="9" t="str">
        <f>IF(Data!B250="","",IF(ISNUMBER(Data!D250),IF(AND(Data!D250&gt;999999999,Data!D250&lt;=9999999999),IF(COUNTIFS(Data!D$1:'Data'!D250,Data!D250)&lt;=1,0,1),1),1))</f>
        <v/>
      </c>
      <c r="E250" s="9" t="str">
        <f>IF(Data!B250="","",IF(ISNUMBER(MATCH(Data!E250,Data_Val!$A$2:$A$3,0)),0,1))</f>
        <v/>
      </c>
      <c r="F250" s="9" t="str">
        <f ca="1">IF(Data!B250="","",IF(ISNUMBER(Data!F250),IF(AND(Data!F250&gt;(TODAY()-(Data_Val!$H$3*365.25)),Data!F250&lt;=(TODAY()-(Data_Val!$H$2*365.25))),0,1),1))</f>
        <v/>
      </c>
      <c r="G250" s="15" t="str">
        <f>IF(Data!B250="","",IF(AND(Data!G250="",Data!H250&lt;&gt;""),1,IF(Data!#REF!&lt;&gt;"",0,IF(ISNUMBER(MATCH(Data!G250,Data_Val!$C$2:$C$5,0)),0,1))))</f>
        <v/>
      </c>
      <c r="H250" s="15" t="str">
        <f>IF(Data!B250="","",IF(AND(Data!G250&lt;&gt;"",Data!H250=""),1,IF(Data!#REF!&lt;&gt;"",0,IF(Data!G250="",1,IF(ISNUMBER(MATCH(Data!H250,Data_Val!$D$2:$D$35,0)),0,1)))))</f>
        <v/>
      </c>
      <c r="I250" s="15" t="str">
        <f>IF(Data!B250="","",IF(Data!G250&lt;&gt;"",0,IF(ISNUMBER(MATCH(Data!#REF!,Data_Val!$E$2:$E$12,0)),0,1)))</f>
        <v/>
      </c>
      <c r="J250" s="16" t="e">
        <f>IF(OR(Data!B250="",Data!#REF!=""),"",IF(Data!#REF!="",1,0))</f>
        <v>#REF!</v>
      </c>
      <c r="K250" s="16" t="e">
        <f>IF(OR(Data!B250="",Data!#REF!=""),"",IF(Data!#REF!="",1,0))</f>
        <v>#REF!</v>
      </c>
      <c r="L250" s="16" t="e">
        <f>IF(OR(Data!B250="",Data!#REF!=""),"",IF(ISNUMBER(Data!#REF!),IF(AND(Data!#REF!&gt;Data_Val!$G$2,Data!#REF!&lt;=Data_Val!$G$3),0,1),1))</f>
        <v>#REF!</v>
      </c>
      <c r="M250" s="9" t="e">
        <f>IF(OR(Data!B250="",Data!#REF!=""),"",IF(ISNUMBER(MATCH(Data!#REF!,Data_Val!$F$1:$F$38,0)),0,1))</f>
        <v>#REF!</v>
      </c>
      <c r="N250" s="9" t="e">
        <f>IF(OR(Data!B250="",Data!#REF!=""),"",IF(Data!#REF!="",1,0))</f>
        <v>#REF!</v>
      </c>
      <c r="O250" s="17" t="e">
        <f>IF(Data!#REF!="","",IF(Data!#REF!="",1,0))</f>
        <v>#REF!</v>
      </c>
      <c r="P250" s="17" t="e">
        <f>IF(Data!#REF!="","",IF(ISNUMBER(MATCH(Data!#REF!,Data_Val!$A$2:$A$3,0)),0,1))</f>
        <v>#REF!</v>
      </c>
      <c r="Q250" s="25" t="e">
        <f ca="1">IF(Data!#REF!="","",IF(ISNUMBER(Data!#REF!),IF(AND(Data!#REF!&gt;(TODAY()-(Data_Val!$J$3*365.25)),Data!#REF!&lt;=(TODAY()-(Data_Val!$J$2*365.25))),0,1),1))</f>
        <v>#REF!</v>
      </c>
      <c r="R250" s="17" t="e">
        <f>IF(Data!#REF!="","",IF(ISNUMBER(MATCH(Data!#REF!,Data_Val!$B$2:$B$15,0)),0,1))</f>
        <v>#REF!</v>
      </c>
      <c r="S250" s="11" t="str">
        <f>IF(Data!G250="","",IF(Data!G250=Data_Val!$C$2,IF(Data!M250="",0,1),0))</f>
        <v/>
      </c>
      <c r="T250" s="11" t="str">
        <f>IF(Data!M250="","",IF(ISNUMBER(MATCH(Data!N250,Data_Val!$A$2:$A$3,0)),0,1))</f>
        <v/>
      </c>
      <c r="U250" s="11" t="str">
        <f ca="1">IF(Data!M250="","",IF(ISNUMBER(Data!O250),IF(AND(Data!O250&gt;(TODAY()-(Data_Val!$K$3*365.25)),Data!O250&lt;=(TODAY()-(Data_Val!$K$2*365.25))),0,1),1))</f>
        <v/>
      </c>
      <c r="V250" s="12" t="str">
        <f>IF(Data!G250="","",IF(Data!G250=Data_Val!$C$2,IF(Data!P250="",0,1),0))</f>
        <v/>
      </c>
      <c r="W250" s="12" t="str">
        <f>IF(Data!P250="","",IF(ISNUMBER(MATCH(Data!Q250,Data_Val!$A$2:$A$3,0)),0,1))</f>
        <v/>
      </c>
      <c r="X250" s="26" t="str">
        <f ca="1">IF(Data!P250="","",IF(ISNUMBER(Data!R250),IF(AND(Data!R250&gt;(TODAY()-(Data_Val!$L$3*365.25)),Data!R250&lt;=(TODAY()-(Data_Val!$L$2*365.25))),0,1),1))</f>
        <v/>
      </c>
      <c r="Y250" s="13" t="str">
        <f>IF(Data!$G250="","",IF(Data!$G250=Data_Val!$C$2,IF(Data!S250="",0,1),0))</f>
        <v/>
      </c>
      <c r="Z250" s="13" t="str">
        <f>IF(Data!S250="","",IF(ISNUMBER(MATCH(Data!T250,Data_Val!$A$2:$A$3,0)),0,1))</f>
        <v/>
      </c>
      <c r="AA250" s="28" t="str">
        <f ca="1">IF(Data!S250="","",IF(ISNUMBER(Data!U250),IF(AND(Data!U250&gt;(TODAY()-(Data_Val!$L$3*365.25)),Data!U250&lt;=(TODAY()-(Data_Val!$L$2*365.25))),0,1),1))</f>
        <v/>
      </c>
      <c r="AB250" s="11"/>
      <c r="AC250" s="11" t="e">
        <f>IF(Data!#REF!="","",IF(ISNUMBER(MATCH(Data!#REF!,Data_Val!$A$2:$A$3,0)),0,1))</f>
        <v>#REF!</v>
      </c>
      <c r="AD250" s="11" t="e">
        <f ca="1">IF(Data!#REF!="","",IF(ISNUMBER(Data!#REF!),IF(AND(Data!#REF!&gt;(TODAY()-(Data_Val!$L$3*365.25)),Data!#REF!&lt;=(TODAY()-(Data_Val!$L$2*365.25))),0,1),1))</f>
        <v>#REF!</v>
      </c>
      <c r="AE250" s="11" t="e">
        <f>IF(Data!#REF!="","",IF(Data!$G250="",1,IF(ISNUMBER(MATCH(Data!#REF!,Data_Val!$D$2:$D$10,0)),0,1)))</f>
        <v>#REF!</v>
      </c>
      <c r="AF250" s="12"/>
      <c r="AG250" s="12" t="e">
        <f>IF(Data!#REF!="","",IF(ISNUMBER(MATCH(Data!#REF!,Data_Val!$A$2:$A$3,0)),0,1))</f>
        <v>#REF!</v>
      </c>
      <c r="AH250" s="26" t="e">
        <f ca="1">IF(Data!#REF!="","",IF(ISNUMBER(Data!#REF!),IF(AND(Data!#REF!&gt;(TODAY()-(Data_Val!$L$3*365.25)),Data!#REF!&lt;=(TODAY()-(Data_Val!$L$2*365.25))),0,1),1))</f>
        <v>#REF!</v>
      </c>
      <c r="AI250" s="12" t="e">
        <f>IF(Data!#REF!="","",IF(Data!$G250="",1,IF(ISNUMBER(MATCH(Data!#REF!,Data_Val!$D$2:$D$10,0)),0,1)))</f>
        <v>#REF!</v>
      </c>
      <c r="AJ250" s="17"/>
      <c r="AK250" s="17" t="e">
        <f>IF(Data!#REF!="","",IF(ISNUMBER(MATCH(Data!#REF!,Data_Val!$A$2:$A$3,0)),0,1))</f>
        <v>#REF!</v>
      </c>
      <c r="AL250" s="25" t="e">
        <f ca="1">IF(Data!#REF!="","",IF(ISNUMBER(Data!#REF!),IF(AND(Data!#REF!&gt;(TODAY()-(Data_Val!$L$3*365.25)),Data!#REF!&lt;=(TODAY()-(Data_Val!$L$2*365.25))),0,1),1))</f>
        <v>#REF!</v>
      </c>
      <c r="AM250" s="17" t="e">
        <f>IF(Data!#REF!="","",IF(Data!$G250="",1,IF(ISNUMBER(MATCH(Data!#REF!,Data_Val!$D$2:$D$10,0)),0,1)))</f>
        <v>#REF!</v>
      </c>
      <c r="AN250" s="13"/>
      <c r="AO250" s="28" t="e">
        <f ca="1">IF(Data!#REF!="","",IF(ISNUMBER(Data!#REF!),IF(AND(Data!#REF!&gt;(TODAY()-(Data_Val!$I$3*365.25)),Data!#REF!&lt;=(TODAY()-(Data_Val!$I$2*365.25))),0,1),1))</f>
        <v>#REF!</v>
      </c>
      <c r="AP250" s="13" t="e">
        <f>IF(Data!#REF!="","",IF(Data!$G250="",1,IF(ISNUMBER(MATCH(Data!#REF!,Data_Val!$D$2:$D$10,0)),0,1)))</f>
        <v>#REF!</v>
      </c>
      <c r="AQ250" s="17"/>
      <c r="AR250" s="30" t="e">
        <f ca="1">IF(Data!#REF!="","",IF(ISNUMBER(Data!#REF!),IF(AND(Data!#REF!&gt;(TODAY()-(Data_Val!$I$3*365.25)),Data!#REF!&lt;=(TODAY()-(Data_Val!$I$2*365.25))),0,1),1))</f>
        <v>#REF!</v>
      </c>
      <c r="AS250" s="31" t="e">
        <f>IF(Data!#REF!="","",IF(Data!$G250="",1,IF(ISNUMBER(MATCH(Data!#REF!,Data_Val!$D$2:$D$10,0)),0,1)))</f>
        <v>#REF!</v>
      </c>
      <c r="AT250" s="11"/>
      <c r="AU250" s="11" t="e">
        <f ca="1">IF(Data!#REF!="","",IF(ISNUMBER(Data!#REF!),IF(AND(Data!#REF!&gt;(TODAY()-(Data_Val!$I$3*365.25)),Data!#REF!&lt;=(TODAY()-(Data_Val!$I$2*365.25))),0,1),1))</f>
        <v>#REF!</v>
      </c>
      <c r="AV250" s="11" t="e">
        <f>IF(Data!#REF!="","",IF(Data!$G250="",1,IF(ISNUMBER(MATCH(Data!#REF!,Data_Val!$D$2:$D$10,0)),0,1)))</f>
        <v>#REF!</v>
      </c>
      <c r="AW250" s="12"/>
      <c r="AX250" s="26" t="e">
        <f ca="1">IF(Data!#REF!="","",IF(ISNUMBER(Data!#REF!),IF(AND(Data!#REF!&gt;(TODAY()-(Data_Val!$I$3*365.25)),Data!#REF!&lt;=(TODAY()-(Data_Val!$I$2*365.25))),0,1),1))</f>
        <v>#REF!</v>
      </c>
      <c r="AY250" s="12" t="e">
        <f>IF(Data!#REF!="","",IF(Data!$G250="",1,IF(ISNUMBER(MATCH(Data!#REF!,Data_Val!$D$2:$D$10,0)),0,1)))</f>
        <v>#REF!</v>
      </c>
      <c r="AZ250" s="11"/>
      <c r="BA250" s="19" t="e">
        <f ca="1">IF(Data!#REF!="","",IF(ISNUMBER(Data!#REF!),IF(AND(Data!#REF!&gt;(TODAY()-(Data_Val!$M$3*365.25)),Data!#REF!&lt;=(TODAY()-(Data_Val!$M$2*365.25))),0,1),1))</f>
        <v>#REF!</v>
      </c>
      <c r="BB250" s="11" t="e">
        <f>IF(Data!#REF!="","",IF(Data!$G250="",1,IF(ISNUMBER(MATCH(Data!#REF!,Data_Val!$D$2:$D$10,0)),0,1)))</f>
        <v>#REF!</v>
      </c>
      <c r="BC250" s="12"/>
      <c r="BD250" s="20" t="e">
        <f ca="1">IF(Data!#REF!="","",IF(ISNUMBER(Data!#REF!),IF(AND(Data!#REF!&gt;(TODAY()-(Data_Val!$M$3*365.25)),Data!#REF!&lt;=(TODAY()-(Data_Val!$M$2*365.25))),0,1),1))</f>
        <v>#REF!</v>
      </c>
      <c r="BE250" s="12" t="e">
        <f>IF(Data!#REF!="","",IF(Data!$G250="",1,IF(ISNUMBER(MATCH(Data!#REF!,Data_Val!$D$2:$D$10,0)),0,1)))</f>
        <v>#REF!</v>
      </c>
      <c r="BF250" s="17"/>
      <c r="BG250" s="18" t="e">
        <f ca="1">IF(Data!#REF!="","",IF(ISNUMBER(Data!#REF!),IF(AND(Data!#REF!&gt;(TODAY()-(Data_Val!$M$3*365.25)),Data!#REF!&lt;=(TODAY()-(Data_Val!$M$2*365.25))),0,1),1))</f>
        <v>#REF!</v>
      </c>
      <c r="BH250" s="29" t="e">
        <f>IF(Data!#REF!="","",IF(Data!$G250="",1,IF(ISNUMBER(MATCH(Data!#REF!,Data_Val!$D$2:$D$10,0)),0,1)))</f>
        <v>#REF!</v>
      </c>
      <c r="BI250" s="13"/>
      <c r="BJ250" s="21" t="e">
        <f ca="1">IF(Data!#REF!="","",IF(ISNUMBER(Data!#REF!),IF(AND(Data!#REF!&gt;(TODAY()-(Data_Val!$M$3*365.25)),Data!#REF!&lt;=(TODAY()-(Data_Val!$M$2*365.25))),0,1),1))</f>
        <v>#REF!</v>
      </c>
      <c r="BK250" s="13" t="e">
        <f>IF(Data!#REF!="","",IF(Data!$G250="",1,IF(ISNUMBER(MATCH(Data!#REF!,Data_Val!$D$2:$D$10,0)),0,1)))</f>
        <v>#REF!</v>
      </c>
    </row>
    <row r="251" spans="1:63" x14ac:dyDescent="0.25">
      <c r="A251" s="9" t="str">
        <f>IF(Data!B251="","",IF(COUNTIFS(Data!A$1:'Data'!A251,Data!A251)&lt;=1,0,1))</f>
        <v/>
      </c>
      <c r="B251" s="9"/>
      <c r="C251" s="23" t="str">
        <f>IF(Data!C251="","",(IF(ISNUMBER(MATCH("*@*.?*",Data!C251,0)),0,1)+IF(COUNTIFS(Data!C$1:'Data'!C251,Data!C251)&gt;1,1,0)))</f>
        <v/>
      </c>
      <c r="D251" s="9" t="str">
        <f>IF(Data!B251="","",IF(ISNUMBER(Data!D251),IF(AND(Data!D251&gt;999999999,Data!D251&lt;=9999999999),IF(COUNTIFS(Data!D$1:'Data'!D251,Data!D251)&lt;=1,0,1),1),1))</f>
        <v/>
      </c>
      <c r="E251" s="9" t="str">
        <f>IF(Data!B251="","",IF(ISNUMBER(MATCH(Data!E251,Data_Val!$A$2:$A$3,0)),0,1))</f>
        <v/>
      </c>
      <c r="F251" s="9" t="str">
        <f ca="1">IF(Data!B251="","",IF(ISNUMBER(Data!F251),IF(AND(Data!F251&gt;(TODAY()-(Data_Val!$H$3*365.25)),Data!F251&lt;=(TODAY()-(Data_Val!$H$2*365.25))),0,1),1))</f>
        <v/>
      </c>
      <c r="G251" s="15" t="str">
        <f>IF(Data!B251="","",IF(AND(Data!G251="",Data!H251&lt;&gt;""),1,IF(Data!#REF!&lt;&gt;"",0,IF(ISNUMBER(MATCH(Data!G251,Data_Val!$C$2:$C$5,0)),0,1))))</f>
        <v/>
      </c>
      <c r="H251" s="15" t="str">
        <f>IF(Data!B251="","",IF(AND(Data!G251&lt;&gt;"",Data!H251=""),1,IF(Data!#REF!&lt;&gt;"",0,IF(Data!G251="",1,IF(ISNUMBER(MATCH(Data!H251,Data_Val!$D$2:$D$35,0)),0,1)))))</f>
        <v/>
      </c>
      <c r="I251" s="15" t="str">
        <f>IF(Data!B251="","",IF(Data!G251&lt;&gt;"",0,IF(ISNUMBER(MATCH(Data!#REF!,Data_Val!$E$2:$E$12,0)),0,1)))</f>
        <v/>
      </c>
      <c r="J251" s="16" t="e">
        <f>IF(OR(Data!B251="",Data!#REF!=""),"",IF(Data!#REF!="",1,0))</f>
        <v>#REF!</v>
      </c>
      <c r="K251" s="16" t="e">
        <f>IF(OR(Data!B251="",Data!#REF!=""),"",IF(Data!#REF!="",1,0))</f>
        <v>#REF!</v>
      </c>
      <c r="L251" s="16" t="e">
        <f>IF(OR(Data!B251="",Data!#REF!=""),"",IF(ISNUMBER(Data!#REF!),IF(AND(Data!#REF!&gt;Data_Val!$G$2,Data!#REF!&lt;=Data_Val!$G$3),0,1),1))</f>
        <v>#REF!</v>
      </c>
      <c r="M251" s="9" t="e">
        <f>IF(OR(Data!B251="",Data!#REF!=""),"",IF(ISNUMBER(MATCH(Data!#REF!,Data_Val!$F$1:$F$38,0)),0,1))</f>
        <v>#REF!</v>
      </c>
      <c r="N251" s="9" t="e">
        <f>IF(OR(Data!B251="",Data!#REF!=""),"",IF(Data!#REF!="",1,0))</f>
        <v>#REF!</v>
      </c>
      <c r="O251" s="17" t="e">
        <f>IF(Data!#REF!="","",IF(Data!#REF!="",1,0))</f>
        <v>#REF!</v>
      </c>
      <c r="P251" s="17" t="e">
        <f>IF(Data!#REF!="","",IF(ISNUMBER(MATCH(Data!#REF!,Data_Val!$A$2:$A$3,0)),0,1))</f>
        <v>#REF!</v>
      </c>
      <c r="Q251" s="25" t="e">
        <f ca="1">IF(Data!#REF!="","",IF(ISNUMBER(Data!#REF!),IF(AND(Data!#REF!&gt;(TODAY()-(Data_Val!$J$3*365.25)),Data!#REF!&lt;=(TODAY()-(Data_Val!$J$2*365.25))),0,1),1))</f>
        <v>#REF!</v>
      </c>
      <c r="R251" s="17" t="e">
        <f>IF(Data!#REF!="","",IF(ISNUMBER(MATCH(Data!#REF!,Data_Val!$B$2:$B$15,0)),0,1))</f>
        <v>#REF!</v>
      </c>
      <c r="S251" s="11" t="str">
        <f>IF(Data!G251="","",IF(Data!G251=Data_Val!$C$2,IF(Data!M251="",0,1),0))</f>
        <v/>
      </c>
      <c r="T251" s="11" t="str">
        <f>IF(Data!M251="","",IF(ISNUMBER(MATCH(Data!N251,Data_Val!$A$2:$A$3,0)),0,1))</f>
        <v/>
      </c>
      <c r="U251" s="11" t="str">
        <f ca="1">IF(Data!M251="","",IF(ISNUMBER(Data!O251),IF(AND(Data!O251&gt;(TODAY()-(Data_Val!$K$3*365.25)),Data!O251&lt;=(TODAY()-(Data_Val!$K$2*365.25))),0,1),1))</f>
        <v/>
      </c>
      <c r="V251" s="12" t="str">
        <f>IF(Data!G251="","",IF(Data!G251=Data_Val!$C$2,IF(Data!P251="",0,1),0))</f>
        <v/>
      </c>
      <c r="W251" s="12" t="str">
        <f>IF(Data!P251="","",IF(ISNUMBER(MATCH(Data!Q251,Data_Val!$A$2:$A$3,0)),0,1))</f>
        <v/>
      </c>
      <c r="X251" s="26" t="str">
        <f ca="1">IF(Data!P251="","",IF(ISNUMBER(Data!R251),IF(AND(Data!R251&gt;(TODAY()-(Data_Val!$L$3*365.25)),Data!R251&lt;=(TODAY()-(Data_Val!$L$2*365.25))),0,1),1))</f>
        <v/>
      </c>
      <c r="Y251" s="13" t="str">
        <f>IF(Data!$G251="","",IF(Data!$G251=Data_Val!$C$2,IF(Data!S251="",0,1),0))</f>
        <v/>
      </c>
      <c r="Z251" s="13" t="str">
        <f>IF(Data!S251="","",IF(ISNUMBER(MATCH(Data!T251,Data_Val!$A$2:$A$3,0)),0,1))</f>
        <v/>
      </c>
      <c r="AA251" s="28" t="str">
        <f ca="1">IF(Data!S251="","",IF(ISNUMBER(Data!U251),IF(AND(Data!U251&gt;(TODAY()-(Data_Val!$L$3*365.25)),Data!U251&lt;=(TODAY()-(Data_Val!$L$2*365.25))),0,1),1))</f>
        <v/>
      </c>
      <c r="AB251" s="11"/>
      <c r="AC251" s="11" t="e">
        <f>IF(Data!#REF!="","",IF(ISNUMBER(MATCH(Data!#REF!,Data_Val!$A$2:$A$3,0)),0,1))</f>
        <v>#REF!</v>
      </c>
      <c r="AD251" s="11" t="e">
        <f ca="1">IF(Data!#REF!="","",IF(ISNUMBER(Data!#REF!),IF(AND(Data!#REF!&gt;(TODAY()-(Data_Val!$L$3*365.25)),Data!#REF!&lt;=(TODAY()-(Data_Val!$L$2*365.25))),0,1),1))</f>
        <v>#REF!</v>
      </c>
      <c r="AE251" s="11" t="e">
        <f>IF(Data!#REF!="","",IF(Data!$G251="",1,IF(ISNUMBER(MATCH(Data!#REF!,Data_Val!$D$2:$D$10,0)),0,1)))</f>
        <v>#REF!</v>
      </c>
      <c r="AF251" s="12"/>
      <c r="AG251" s="12" t="e">
        <f>IF(Data!#REF!="","",IF(ISNUMBER(MATCH(Data!#REF!,Data_Val!$A$2:$A$3,0)),0,1))</f>
        <v>#REF!</v>
      </c>
      <c r="AH251" s="26" t="e">
        <f ca="1">IF(Data!#REF!="","",IF(ISNUMBER(Data!#REF!),IF(AND(Data!#REF!&gt;(TODAY()-(Data_Val!$L$3*365.25)),Data!#REF!&lt;=(TODAY()-(Data_Val!$L$2*365.25))),0,1),1))</f>
        <v>#REF!</v>
      </c>
      <c r="AI251" s="12" t="e">
        <f>IF(Data!#REF!="","",IF(Data!$G251="",1,IF(ISNUMBER(MATCH(Data!#REF!,Data_Val!$D$2:$D$10,0)),0,1)))</f>
        <v>#REF!</v>
      </c>
      <c r="AJ251" s="17"/>
      <c r="AK251" s="17" t="e">
        <f>IF(Data!#REF!="","",IF(ISNUMBER(MATCH(Data!#REF!,Data_Val!$A$2:$A$3,0)),0,1))</f>
        <v>#REF!</v>
      </c>
      <c r="AL251" s="25" t="e">
        <f ca="1">IF(Data!#REF!="","",IF(ISNUMBER(Data!#REF!),IF(AND(Data!#REF!&gt;(TODAY()-(Data_Val!$L$3*365.25)),Data!#REF!&lt;=(TODAY()-(Data_Val!$L$2*365.25))),0,1),1))</f>
        <v>#REF!</v>
      </c>
      <c r="AM251" s="17" t="e">
        <f>IF(Data!#REF!="","",IF(Data!$G251="",1,IF(ISNUMBER(MATCH(Data!#REF!,Data_Val!$D$2:$D$10,0)),0,1)))</f>
        <v>#REF!</v>
      </c>
      <c r="AN251" s="13"/>
      <c r="AO251" s="28" t="e">
        <f ca="1">IF(Data!#REF!="","",IF(ISNUMBER(Data!#REF!),IF(AND(Data!#REF!&gt;(TODAY()-(Data_Val!$I$3*365.25)),Data!#REF!&lt;=(TODAY()-(Data_Val!$I$2*365.25))),0,1),1))</f>
        <v>#REF!</v>
      </c>
      <c r="AP251" s="13" t="e">
        <f>IF(Data!#REF!="","",IF(Data!$G251="",1,IF(ISNUMBER(MATCH(Data!#REF!,Data_Val!$D$2:$D$10,0)),0,1)))</f>
        <v>#REF!</v>
      </c>
      <c r="AQ251" s="17"/>
      <c r="AR251" s="30" t="e">
        <f ca="1">IF(Data!#REF!="","",IF(ISNUMBER(Data!#REF!),IF(AND(Data!#REF!&gt;(TODAY()-(Data_Val!$I$3*365.25)),Data!#REF!&lt;=(TODAY()-(Data_Val!$I$2*365.25))),0,1),1))</f>
        <v>#REF!</v>
      </c>
      <c r="AS251" s="31" t="e">
        <f>IF(Data!#REF!="","",IF(Data!$G251="",1,IF(ISNUMBER(MATCH(Data!#REF!,Data_Val!$D$2:$D$10,0)),0,1)))</f>
        <v>#REF!</v>
      </c>
      <c r="AT251" s="11"/>
      <c r="AU251" s="11" t="e">
        <f ca="1">IF(Data!#REF!="","",IF(ISNUMBER(Data!#REF!),IF(AND(Data!#REF!&gt;(TODAY()-(Data_Val!$I$3*365.25)),Data!#REF!&lt;=(TODAY()-(Data_Val!$I$2*365.25))),0,1),1))</f>
        <v>#REF!</v>
      </c>
      <c r="AV251" s="11" t="e">
        <f>IF(Data!#REF!="","",IF(Data!$G251="",1,IF(ISNUMBER(MATCH(Data!#REF!,Data_Val!$D$2:$D$10,0)),0,1)))</f>
        <v>#REF!</v>
      </c>
      <c r="AW251" s="12"/>
      <c r="AX251" s="26" t="e">
        <f ca="1">IF(Data!#REF!="","",IF(ISNUMBER(Data!#REF!),IF(AND(Data!#REF!&gt;(TODAY()-(Data_Val!$I$3*365.25)),Data!#REF!&lt;=(TODAY()-(Data_Val!$I$2*365.25))),0,1),1))</f>
        <v>#REF!</v>
      </c>
      <c r="AY251" s="12" t="e">
        <f>IF(Data!#REF!="","",IF(Data!$G251="",1,IF(ISNUMBER(MATCH(Data!#REF!,Data_Val!$D$2:$D$10,0)),0,1)))</f>
        <v>#REF!</v>
      </c>
      <c r="AZ251" s="11"/>
      <c r="BA251" s="19" t="e">
        <f ca="1">IF(Data!#REF!="","",IF(ISNUMBER(Data!#REF!),IF(AND(Data!#REF!&gt;(TODAY()-(Data_Val!$M$3*365.25)),Data!#REF!&lt;=(TODAY()-(Data_Val!$M$2*365.25))),0,1),1))</f>
        <v>#REF!</v>
      </c>
      <c r="BB251" s="11" t="e">
        <f>IF(Data!#REF!="","",IF(Data!$G251="",1,IF(ISNUMBER(MATCH(Data!#REF!,Data_Val!$D$2:$D$10,0)),0,1)))</f>
        <v>#REF!</v>
      </c>
      <c r="BC251" s="12"/>
      <c r="BD251" s="20" t="e">
        <f ca="1">IF(Data!#REF!="","",IF(ISNUMBER(Data!#REF!),IF(AND(Data!#REF!&gt;(TODAY()-(Data_Val!$M$3*365.25)),Data!#REF!&lt;=(TODAY()-(Data_Val!$M$2*365.25))),0,1),1))</f>
        <v>#REF!</v>
      </c>
      <c r="BE251" s="12" t="e">
        <f>IF(Data!#REF!="","",IF(Data!$G251="",1,IF(ISNUMBER(MATCH(Data!#REF!,Data_Val!$D$2:$D$10,0)),0,1)))</f>
        <v>#REF!</v>
      </c>
      <c r="BF251" s="17"/>
      <c r="BG251" s="18" t="e">
        <f ca="1">IF(Data!#REF!="","",IF(ISNUMBER(Data!#REF!),IF(AND(Data!#REF!&gt;(TODAY()-(Data_Val!$M$3*365.25)),Data!#REF!&lt;=(TODAY()-(Data_Val!$M$2*365.25))),0,1),1))</f>
        <v>#REF!</v>
      </c>
      <c r="BH251" s="29" t="e">
        <f>IF(Data!#REF!="","",IF(Data!$G251="",1,IF(ISNUMBER(MATCH(Data!#REF!,Data_Val!$D$2:$D$10,0)),0,1)))</f>
        <v>#REF!</v>
      </c>
      <c r="BI251" s="13"/>
      <c r="BJ251" s="21" t="e">
        <f ca="1">IF(Data!#REF!="","",IF(ISNUMBER(Data!#REF!),IF(AND(Data!#REF!&gt;(TODAY()-(Data_Val!$M$3*365.25)),Data!#REF!&lt;=(TODAY()-(Data_Val!$M$2*365.25))),0,1),1))</f>
        <v>#REF!</v>
      </c>
      <c r="BK251" s="13" t="e">
        <f>IF(Data!#REF!="","",IF(Data!$G251="",1,IF(ISNUMBER(MATCH(Data!#REF!,Data_Val!$D$2:$D$10,0)),0,1)))</f>
        <v>#REF!</v>
      </c>
    </row>
    <row r="252" spans="1:63" x14ac:dyDescent="0.25">
      <c r="A252" s="9" t="str">
        <f>IF(Data!B252="","",IF(COUNTIFS(Data!A$1:'Data'!A252,Data!A252)&lt;=1,0,1))</f>
        <v/>
      </c>
      <c r="B252" s="9"/>
      <c r="C252" s="23" t="str">
        <f>IF(Data!C252="","",(IF(ISNUMBER(MATCH("*@*.?*",Data!C252,0)),0,1)+IF(COUNTIFS(Data!C$1:'Data'!C252,Data!C252)&gt;1,1,0)))</f>
        <v/>
      </c>
      <c r="D252" s="9" t="str">
        <f>IF(Data!B252="","",IF(ISNUMBER(Data!D252),IF(AND(Data!D252&gt;999999999,Data!D252&lt;=9999999999),IF(COUNTIFS(Data!D$1:'Data'!D252,Data!D252)&lt;=1,0,1),1),1))</f>
        <v/>
      </c>
      <c r="E252" s="9" t="str">
        <f>IF(Data!B252="","",IF(ISNUMBER(MATCH(Data!E252,Data_Val!$A$2:$A$3,0)),0,1))</f>
        <v/>
      </c>
      <c r="F252" s="9" t="str">
        <f ca="1">IF(Data!B252="","",IF(ISNUMBER(Data!F252),IF(AND(Data!F252&gt;(TODAY()-(Data_Val!$H$3*365.25)),Data!F252&lt;=(TODAY()-(Data_Val!$H$2*365.25))),0,1),1))</f>
        <v/>
      </c>
      <c r="G252" s="15" t="str">
        <f>IF(Data!B252="","",IF(AND(Data!G252="",Data!H252&lt;&gt;""),1,IF(Data!#REF!&lt;&gt;"",0,IF(ISNUMBER(MATCH(Data!G252,Data_Val!$C$2:$C$5,0)),0,1))))</f>
        <v/>
      </c>
      <c r="H252" s="15" t="str">
        <f>IF(Data!B252="","",IF(AND(Data!G252&lt;&gt;"",Data!H252=""),1,IF(Data!#REF!&lt;&gt;"",0,IF(Data!G252="",1,IF(ISNUMBER(MATCH(Data!H252,Data_Val!$D$2:$D$35,0)),0,1)))))</f>
        <v/>
      </c>
      <c r="I252" s="15" t="str">
        <f>IF(Data!B252="","",IF(Data!G252&lt;&gt;"",0,IF(ISNUMBER(MATCH(Data!#REF!,Data_Val!$E$2:$E$12,0)),0,1)))</f>
        <v/>
      </c>
      <c r="J252" s="16" t="e">
        <f>IF(OR(Data!B252="",Data!#REF!=""),"",IF(Data!#REF!="",1,0))</f>
        <v>#REF!</v>
      </c>
      <c r="K252" s="16" t="e">
        <f>IF(OR(Data!B252="",Data!#REF!=""),"",IF(Data!#REF!="",1,0))</f>
        <v>#REF!</v>
      </c>
      <c r="L252" s="16" t="e">
        <f>IF(OR(Data!B252="",Data!#REF!=""),"",IF(ISNUMBER(Data!#REF!),IF(AND(Data!#REF!&gt;Data_Val!$G$2,Data!#REF!&lt;=Data_Val!$G$3),0,1),1))</f>
        <v>#REF!</v>
      </c>
      <c r="M252" s="9" t="e">
        <f>IF(OR(Data!B252="",Data!#REF!=""),"",IF(ISNUMBER(MATCH(Data!#REF!,Data_Val!$F$1:$F$38,0)),0,1))</f>
        <v>#REF!</v>
      </c>
      <c r="N252" s="9" t="e">
        <f>IF(OR(Data!B252="",Data!#REF!=""),"",IF(Data!#REF!="",1,0))</f>
        <v>#REF!</v>
      </c>
      <c r="O252" s="17" t="e">
        <f>IF(Data!#REF!="","",IF(Data!#REF!="",1,0))</f>
        <v>#REF!</v>
      </c>
      <c r="P252" s="17" t="e">
        <f>IF(Data!#REF!="","",IF(ISNUMBER(MATCH(Data!#REF!,Data_Val!$A$2:$A$3,0)),0,1))</f>
        <v>#REF!</v>
      </c>
      <c r="Q252" s="25" t="e">
        <f ca="1">IF(Data!#REF!="","",IF(ISNUMBER(Data!#REF!),IF(AND(Data!#REF!&gt;(TODAY()-(Data_Val!$J$3*365.25)),Data!#REF!&lt;=(TODAY()-(Data_Val!$J$2*365.25))),0,1),1))</f>
        <v>#REF!</v>
      </c>
      <c r="R252" s="17" t="e">
        <f>IF(Data!#REF!="","",IF(ISNUMBER(MATCH(Data!#REF!,Data_Val!$B$2:$B$15,0)),0,1))</f>
        <v>#REF!</v>
      </c>
      <c r="S252" s="11" t="str">
        <f>IF(Data!G252="","",IF(Data!G252=Data_Val!$C$2,IF(Data!M252="",0,1),0))</f>
        <v/>
      </c>
      <c r="T252" s="11" t="str">
        <f>IF(Data!M252="","",IF(ISNUMBER(MATCH(Data!N252,Data_Val!$A$2:$A$3,0)),0,1))</f>
        <v/>
      </c>
      <c r="U252" s="11" t="str">
        <f ca="1">IF(Data!M252="","",IF(ISNUMBER(Data!O252),IF(AND(Data!O252&gt;(TODAY()-(Data_Val!$K$3*365.25)),Data!O252&lt;=(TODAY()-(Data_Val!$K$2*365.25))),0,1),1))</f>
        <v/>
      </c>
      <c r="V252" s="12" t="str">
        <f>IF(Data!G252="","",IF(Data!G252=Data_Val!$C$2,IF(Data!P252="",0,1),0))</f>
        <v/>
      </c>
      <c r="W252" s="12" t="str">
        <f>IF(Data!P252="","",IF(ISNUMBER(MATCH(Data!Q252,Data_Val!$A$2:$A$3,0)),0,1))</f>
        <v/>
      </c>
      <c r="X252" s="26" t="str">
        <f ca="1">IF(Data!P252="","",IF(ISNUMBER(Data!R252),IF(AND(Data!R252&gt;(TODAY()-(Data_Val!$L$3*365.25)),Data!R252&lt;=(TODAY()-(Data_Val!$L$2*365.25))),0,1),1))</f>
        <v/>
      </c>
      <c r="Y252" s="13" t="str">
        <f>IF(Data!$G252="","",IF(Data!$G252=Data_Val!$C$2,IF(Data!S252="",0,1),0))</f>
        <v/>
      </c>
      <c r="Z252" s="13" t="str">
        <f>IF(Data!S252="","",IF(ISNUMBER(MATCH(Data!T252,Data_Val!$A$2:$A$3,0)),0,1))</f>
        <v/>
      </c>
      <c r="AA252" s="28" t="str">
        <f ca="1">IF(Data!S252="","",IF(ISNUMBER(Data!U252),IF(AND(Data!U252&gt;(TODAY()-(Data_Val!$L$3*365.25)),Data!U252&lt;=(TODAY()-(Data_Val!$L$2*365.25))),0,1),1))</f>
        <v/>
      </c>
      <c r="AB252" s="11"/>
      <c r="AC252" s="11" t="e">
        <f>IF(Data!#REF!="","",IF(ISNUMBER(MATCH(Data!#REF!,Data_Val!$A$2:$A$3,0)),0,1))</f>
        <v>#REF!</v>
      </c>
      <c r="AD252" s="11" t="e">
        <f ca="1">IF(Data!#REF!="","",IF(ISNUMBER(Data!#REF!),IF(AND(Data!#REF!&gt;(TODAY()-(Data_Val!$L$3*365.25)),Data!#REF!&lt;=(TODAY()-(Data_Val!$L$2*365.25))),0,1),1))</f>
        <v>#REF!</v>
      </c>
      <c r="AE252" s="11" t="e">
        <f>IF(Data!#REF!="","",IF(Data!$G252="",1,IF(ISNUMBER(MATCH(Data!#REF!,Data_Val!$D$2:$D$10,0)),0,1)))</f>
        <v>#REF!</v>
      </c>
      <c r="AF252" s="12"/>
      <c r="AG252" s="12" t="e">
        <f>IF(Data!#REF!="","",IF(ISNUMBER(MATCH(Data!#REF!,Data_Val!$A$2:$A$3,0)),0,1))</f>
        <v>#REF!</v>
      </c>
      <c r="AH252" s="26" t="e">
        <f ca="1">IF(Data!#REF!="","",IF(ISNUMBER(Data!#REF!),IF(AND(Data!#REF!&gt;(TODAY()-(Data_Val!$L$3*365.25)),Data!#REF!&lt;=(TODAY()-(Data_Val!$L$2*365.25))),0,1),1))</f>
        <v>#REF!</v>
      </c>
      <c r="AI252" s="12" t="e">
        <f>IF(Data!#REF!="","",IF(Data!$G252="",1,IF(ISNUMBER(MATCH(Data!#REF!,Data_Val!$D$2:$D$10,0)),0,1)))</f>
        <v>#REF!</v>
      </c>
      <c r="AJ252" s="17"/>
      <c r="AK252" s="17" t="e">
        <f>IF(Data!#REF!="","",IF(ISNUMBER(MATCH(Data!#REF!,Data_Val!$A$2:$A$3,0)),0,1))</f>
        <v>#REF!</v>
      </c>
      <c r="AL252" s="25" t="e">
        <f ca="1">IF(Data!#REF!="","",IF(ISNUMBER(Data!#REF!),IF(AND(Data!#REF!&gt;(TODAY()-(Data_Val!$L$3*365.25)),Data!#REF!&lt;=(TODAY()-(Data_Val!$L$2*365.25))),0,1),1))</f>
        <v>#REF!</v>
      </c>
      <c r="AM252" s="17" t="e">
        <f>IF(Data!#REF!="","",IF(Data!$G252="",1,IF(ISNUMBER(MATCH(Data!#REF!,Data_Val!$D$2:$D$10,0)),0,1)))</f>
        <v>#REF!</v>
      </c>
      <c r="AN252" s="13"/>
      <c r="AO252" s="28" t="e">
        <f ca="1">IF(Data!#REF!="","",IF(ISNUMBER(Data!#REF!),IF(AND(Data!#REF!&gt;(TODAY()-(Data_Val!$I$3*365.25)),Data!#REF!&lt;=(TODAY()-(Data_Val!$I$2*365.25))),0,1),1))</f>
        <v>#REF!</v>
      </c>
      <c r="AP252" s="13" t="e">
        <f>IF(Data!#REF!="","",IF(Data!$G252="",1,IF(ISNUMBER(MATCH(Data!#REF!,Data_Val!$D$2:$D$10,0)),0,1)))</f>
        <v>#REF!</v>
      </c>
      <c r="AQ252" s="17"/>
      <c r="AR252" s="30" t="e">
        <f ca="1">IF(Data!#REF!="","",IF(ISNUMBER(Data!#REF!),IF(AND(Data!#REF!&gt;(TODAY()-(Data_Val!$I$3*365.25)),Data!#REF!&lt;=(TODAY()-(Data_Val!$I$2*365.25))),0,1),1))</f>
        <v>#REF!</v>
      </c>
      <c r="AS252" s="31" t="e">
        <f>IF(Data!#REF!="","",IF(Data!$G252="",1,IF(ISNUMBER(MATCH(Data!#REF!,Data_Val!$D$2:$D$10,0)),0,1)))</f>
        <v>#REF!</v>
      </c>
      <c r="AT252" s="11"/>
      <c r="AU252" s="11" t="e">
        <f ca="1">IF(Data!#REF!="","",IF(ISNUMBER(Data!#REF!),IF(AND(Data!#REF!&gt;(TODAY()-(Data_Val!$I$3*365.25)),Data!#REF!&lt;=(TODAY()-(Data_Val!$I$2*365.25))),0,1),1))</f>
        <v>#REF!</v>
      </c>
      <c r="AV252" s="11" t="e">
        <f>IF(Data!#REF!="","",IF(Data!$G252="",1,IF(ISNUMBER(MATCH(Data!#REF!,Data_Val!$D$2:$D$10,0)),0,1)))</f>
        <v>#REF!</v>
      </c>
      <c r="AW252" s="12"/>
      <c r="AX252" s="26" t="e">
        <f ca="1">IF(Data!#REF!="","",IF(ISNUMBER(Data!#REF!),IF(AND(Data!#REF!&gt;(TODAY()-(Data_Val!$I$3*365.25)),Data!#REF!&lt;=(TODAY()-(Data_Val!$I$2*365.25))),0,1),1))</f>
        <v>#REF!</v>
      </c>
      <c r="AY252" s="12" t="e">
        <f>IF(Data!#REF!="","",IF(Data!$G252="",1,IF(ISNUMBER(MATCH(Data!#REF!,Data_Val!$D$2:$D$10,0)),0,1)))</f>
        <v>#REF!</v>
      </c>
      <c r="AZ252" s="11"/>
      <c r="BA252" s="19" t="e">
        <f ca="1">IF(Data!#REF!="","",IF(ISNUMBER(Data!#REF!),IF(AND(Data!#REF!&gt;(TODAY()-(Data_Val!$M$3*365.25)),Data!#REF!&lt;=(TODAY()-(Data_Val!$M$2*365.25))),0,1),1))</f>
        <v>#REF!</v>
      </c>
      <c r="BB252" s="11" t="e">
        <f>IF(Data!#REF!="","",IF(Data!$G252="",1,IF(ISNUMBER(MATCH(Data!#REF!,Data_Val!$D$2:$D$10,0)),0,1)))</f>
        <v>#REF!</v>
      </c>
      <c r="BC252" s="12"/>
      <c r="BD252" s="20" t="e">
        <f ca="1">IF(Data!#REF!="","",IF(ISNUMBER(Data!#REF!),IF(AND(Data!#REF!&gt;(TODAY()-(Data_Val!$M$3*365.25)),Data!#REF!&lt;=(TODAY()-(Data_Val!$M$2*365.25))),0,1),1))</f>
        <v>#REF!</v>
      </c>
      <c r="BE252" s="12" t="e">
        <f>IF(Data!#REF!="","",IF(Data!$G252="",1,IF(ISNUMBER(MATCH(Data!#REF!,Data_Val!$D$2:$D$10,0)),0,1)))</f>
        <v>#REF!</v>
      </c>
      <c r="BF252" s="17"/>
      <c r="BG252" s="18" t="e">
        <f ca="1">IF(Data!#REF!="","",IF(ISNUMBER(Data!#REF!),IF(AND(Data!#REF!&gt;(TODAY()-(Data_Val!$M$3*365.25)),Data!#REF!&lt;=(TODAY()-(Data_Val!$M$2*365.25))),0,1),1))</f>
        <v>#REF!</v>
      </c>
      <c r="BH252" s="29" t="e">
        <f>IF(Data!#REF!="","",IF(Data!$G252="",1,IF(ISNUMBER(MATCH(Data!#REF!,Data_Val!$D$2:$D$10,0)),0,1)))</f>
        <v>#REF!</v>
      </c>
      <c r="BI252" s="13"/>
      <c r="BJ252" s="21" t="e">
        <f ca="1">IF(Data!#REF!="","",IF(ISNUMBER(Data!#REF!),IF(AND(Data!#REF!&gt;(TODAY()-(Data_Val!$M$3*365.25)),Data!#REF!&lt;=(TODAY()-(Data_Val!$M$2*365.25))),0,1),1))</f>
        <v>#REF!</v>
      </c>
      <c r="BK252" s="13" t="e">
        <f>IF(Data!#REF!="","",IF(Data!$G252="",1,IF(ISNUMBER(MATCH(Data!#REF!,Data_Val!$D$2:$D$10,0)),0,1)))</f>
        <v>#REF!</v>
      </c>
    </row>
    <row r="253" spans="1:63" x14ac:dyDescent="0.25">
      <c r="A253" s="9" t="str">
        <f>IF(Data!B253="","",IF(COUNTIFS(Data!A$1:'Data'!A253,Data!A253)&lt;=1,0,1))</f>
        <v/>
      </c>
      <c r="B253" s="9"/>
      <c r="C253" s="23" t="str">
        <f>IF(Data!C253="","",(IF(ISNUMBER(MATCH("*@*.?*",Data!C253,0)),0,1)+IF(COUNTIFS(Data!C$1:'Data'!C253,Data!C253)&gt;1,1,0)))</f>
        <v/>
      </c>
      <c r="D253" s="9" t="str">
        <f>IF(Data!B253="","",IF(ISNUMBER(Data!D253),IF(AND(Data!D253&gt;999999999,Data!D253&lt;=9999999999),IF(COUNTIFS(Data!D$1:'Data'!D253,Data!D253)&lt;=1,0,1),1),1))</f>
        <v/>
      </c>
      <c r="E253" s="9" t="str">
        <f>IF(Data!B253="","",IF(ISNUMBER(MATCH(Data!E253,Data_Val!$A$2:$A$3,0)),0,1))</f>
        <v/>
      </c>
      <c r="F253" s="9" t="str">
        <f ca="1">IF(Data!B253="","",IF(ISNUMBER(Data!F253),IF(AND(Data!F253&gt;(TODAY()-(Data_Val!$H$3*365.25)),Data!F253&lt;=(TODAY()-(Data_Val!$H$2*365.25))),0,1),1))</f>
        <v/>
      </c>
      <c r="G253" s="15" t="str">
        <f>IF(Data!B253="","",IF(AND(Data!G253="",Data!H253&lt;&gt;""),1,IF(Data!#REF!&lt;&gt;"",0,IF(ISNUMBER(MATCH(Data!G253,Data_Val!$C$2:$C$5,0)),0,1))))</f>
        <v/>
      </c>
      <c r="H253" s="15" t="str">
        <f>IF(Data!B253="","",IF(AND(Data!G253&lt;&gt;"",Data!H253=""),1,IF(Data!#REF!&lt;&gt;"",0,IF(Data!G253="",1,IF(ISNUMBER(MATCH(Data!H253,Data_Val!$D$2:$D$35,0)),0,1)))))</f>
        <v/>
      </c>
      <c r="I253" s="15" t="str">
        <f>IF(Data!B253="","",IF(Data!G253&lt;&gt;"",0,IF(ISNUMBER(MATCH(Data!#REF!,Data_Val!$E$2:$E$12,0)),0,1)))</f>
        <v/>
      </c>
      <c r="J253" s="16" t="e">
        <f>IF(OR(Data!B253="",Data!#REF!=""),"",IF(Data!#REF!="",1,0))</f>
        <v>#REF!</v>
      </c>
      <c r="K253" s="16" t="e">
        <f>IF(OR(Data!B253="",Data!#REF!=""),"",IF(Data!#REF!="",1,0))</f>
        <v>#REF!</v>
      </c>
      <c r="L253" s="16" t="e">
        <f>IF(OR(Data!B253="",Data!#REF!=""),"",IF(ISNUMBER(Data!#REF!),IF(AND(Data!#REF!&gt;Data_Val!$G$2,Data!#REF!&lt;=Data_Val!$G$3),0,1),1))</f>
        <v>#REF!</v>
      </c>
      <c r="M253" s="9" t="e">
        <f>IF(OR(Data!B253="",Data!#REF!=""),"",IF(ISNUMBER(MATCH(Data!#REF!,Data_Val!$F$1:$F$38,0)),0,1))</f>
        <v>#REF!</v>
      </c>
      <c r="N253" s="9" t="e">
        <f>IF(OR(Data!B253="",Data!#REF!=""),"",IF(Data!#REF!="",1,0))</f>
        <v>#REF!</v>
      </c>
      <c r="O253" s="17" t="e">
        <f>IF(Data!#REF!="","",IF(Data!#REF!="",1,0))</f>
        <v>#REF!</v>
      </c>
      <c r="P253" s="17" t="e">
        <f>IF(Data!#REF!="","",IF(ISNUMBER(MATCH(Data!#REF!,Data_Val!$A$2:$A$3,0)),0,1))</f>
        <v>#REF!</v>
      </c>
      <c r="Q253" s="25" t="e">
        <f ca="1">IF(Data!#REF!="","",IF(ISNUMBER(Data!#REF!),IF(AND(Data!#REF!&gt;(TODAY()-(Data_Val!$J$3*365.25)),Data!#REF!&lt;=(TODAY()-(Data_Val!$J$2*365.25))),0,1),1))</f>
        <v>#REF!</v>
      </c>
      <c r="R253" s="17" t="e">
        <f>IF(Data!#REF!="","",IF(ISNUMBER(MATCH(Data!#REF!,Data_Val!$B$2:$B$15,0)),0,1))</f>
        <v>#REF!</v>
      </c>
      <c r="S253" s="11" t="str">
        <f>IF(Data!G253="","",IF(Data!G253=Data_Val!$C$2,IF(Data!M253="",0,1),0))</f>
        <v/>
      </c>
      <c r="T253" s="11" t="str">
        <f>IF(Data!M253="","",IF(ISNUMBER(MATCH(Data!N253,Data_Val!$A$2:$A$3,0)),0,1))</f>
        <v/>
      </c>
      <c r="U253" s="11" t="str">
        <f ca="1">IF(Data!M253="","",IF(ISNUMBER(Data!O253),IF(AND(Data!O253&gt;(TODAY()-(Data_Val!$K$3*365.25)),Data!O253&lt;=(TODAY()-(Data_Val!$K$2*365.25))),0,1),1))</f>
        <v/>
      </c>
      <c r="V253" s="12" t="str">
        <f>IF(Data!G253="","",IF(Data!G253=Data_Val!$C$2,IF(Data!P253="",0,1),0))</f>
        <v/>
      </c>
      <c r="W253" s="12" t="str">
        <f>IF(Data!P253="","",IF(ISNUMBER(MATCH(Data!Q253,Data_Val!$A$2:$A$3,0)),0,1))</f>
        <v/>
      </c>
      <c r="X253" s="26" t="str">
        <f ca="1">IF(Data!P253="","",IF(ISNUMBER(Data!R253),IF(AND(Data!R253&gt;(TODAY()-(Data_Val!$L$3*365.25)),Data!R253&lt;=(TODAY()-(Data_Val!$L$2*365.25))),0,1),1))</f>
        <v/>
      </c>
      <c r="Y253" s="13" t="str">
        <f>IF(Data!$G253="","",IF(Data!$G253=Data_Val!$C$2,IF(Data!S253="",0,1),0))</f>
        <v/>
      </c>
      <c r="Z253" s="13" t="str">
        <f>IF(Data!S253="","",IF(ISNUMBER(MATCH(Data!T253,Data_Val!$A$2:$A$3,0)),0,1))</f>
        <v/>
      </c>
      <c r="AA253" s="28" t="str">
        <f ca="1">IF(Data!S253="","",IF(ISNUMBER(Data!U253),IF(AND(Data!U253&gt;(TODAY()-(Data_Val!$L$3*365.25)),Data!U253&lt;=(TODAY()-(Data_Val!$L$2*365.25))),0,1),1))</f>
        <v/>
      </c>
      <c r="AB253" s="11"/>
      <c r="AC253" s="11" t="e">
        <f>IF(Data!#REF!="","",IF(ISNUMBER(MATCH(Data!#REF!,Data_Val!$A$2:$A$3,0)),0,1))</f>
        <v>#REF!</v>
      </c>
      <c r="AD253" s="11" t="e">
        <f ca="1">IF(Data!#REF!="","",IF(ISNUMBER(Data!#REF!),IF(AND(Data!#REF!&gt;(TODAY()-(Data_Val!$L$3*365.25)),Data!#REF!&lt;=(TODAY()-(Data_Val!$L$2*365.25))),0,1),1))</f>
        <v>#REF!</v>
      </c>
      <c r="AE253" s="11" t="e">
        <f>IF(Data!#REF!="","",IF(Data!$G253="",1,IF(ISNUMBER(MATCH(Data!#REF!,Data_Val!$D$2:$D$10,0)),0,1)))</f>
        <v>#REF!</v>
      </c>
      <c r="AF253" s="12"/>
      <c r="AG253" s="12" t="e">
        <f>IF(Data!#REF!="","",IF(ISNUMBER(MATCH(Data!#REF!,Data_Val!$A$2:$A$3,0)),0,1))</f>
        <v>#REF!</v>
      </c>
      <c r="AH253" s="26" t="e">
        <f ca="1">IF(Data!#REF!="","",IF(ISNUMBER(Data!#REF!),IF(AND(Data!#REF!&gt;(TODAY()-(Data_Val!$L$3*365.25)),Data!#REF!&lt;=(TODAY()-(Data_Val!$L$2*365.25))),0,1),1))</f>
        <v>#REF!</v>
      </c>
      <c r="AI253" s="12" t="e">
        <f>IF(Data!#REF!="","",IF(Data!$G253="",1,IF(ISNUMBER(MATCH(Data!#REF!,Data_Val!$D$2:$D$10,0)),0,1)))</f>
        <v>#REF!</v>
      </c>
      <c r="AJ253" s="17"/>
      <c r="AK253" s="17" t="e">
        <f>IF(Data!#REF!="","",IF(ISNUMBER(MATCH(Data!#REF!,Data_Val!$A$2:$A$3,0)),0,1))</f>
        <v>#REF!</v>
      </c>
      <c r="AL253" s="25" t="e">
        <f ca="1">IF(Data!#REF!="","",IF(ISNUMBER(Data!#REF!),IF(AND(Data!#REF!&gt;(TODAY()-(Data_Val!$L$3*365.25)),Data!#REF!&lt;=(TODAY()-(Data_Val!$L$2*365.25))),0,1),1))</f>
        <v>#REF!</v>
      </c>
      <c r="AM253" s="17" t="e">
        <f>IF(Data!#REF!="","",IF(Data!$G253="",1,IF(ISNUMBER(MATCH(Data!#REF!,Data_Val!$D$2:$D$10,0)),0,1)))</f>
        <v>#REF!</v>
      </c>
      <c r="AN253" s="13"/>
      <c r="AO253" s="28" t="e">
        <f ca="1">IF(Data!#REF!="","",IF(ISNUMBER(Data!#REF!),IF(AND(Data!#REF!&gt;(TODAY()-(Data_Val!$I$3*365.25)),Data!#REF!&lt;=(TODAY()-(Data_Val!$I$2*365.25))),0,1),1))</f>
        <v>#REF!</v>
      </c>
      <c r="AP253" s="13" t="e">
        <f>IF(Data!#REF!="","",IF(Data!$G253="",1,IF(ISNUMBER(MATCH(Data!#REF!,Data_Val!$D$2:$D$10,0)),0,1)))</f>
        <v>#REF!</v>
      </c>
      <c r="AQ253" s="17"/>
      <c r="AR253" s="30" t="e">
        <f ca="1">IF(Data!#REF!="","",IF(ISNUMBER(Data!#REF!),IF(AND(Data!#REF!&gt;(TODAY()-(Data_Val!$I$3*365.25)),Data!#REF!&lt;=(TODAY()-(Data_Val!$I$2*365.25))),0,1),1))</f>
        <v>#REF!</v>
      </c>
      <c r="AS253" s="31" t="e">
        <f>IF(Data!#REF!="","",IF(Data!$G253="",1,IF(ISNUMBER(MATCH(Data!#REF!,Data_Val!$D$2:$D$10,0)),0,1)))</f>
        <v>#REF!</v>
      </c>
      <c r="AT253" s="11"/>
      <c r="AU253" s="11" t="e">
        <f ca="1">IF(Data!#REF!="","",IF(ISNUMBER(Data!#REF!),IF(AND(Data!#REF!&gt;(TODAY()-(Data_Val!$I$3*365.25)),Data!#REF!&lt;=(TODAY()-(Data_Val!$I$2*365.25))),0,1),1))</f>
        <v>#REF!</v>
      </c>
      <c r="AV253" s="11" t="e">
        <f>IF(Data!#REF!="","",IF(Data!$G253="",1,IF(ISNUMBER(MATCH(Data!#REF!,Data_Val!$D$2:$D$10,0)),0,1)))</f>
        <v>#REF!</v>
      </c>
      <c r="AW253" s="12"/>
      <c r="AX253" s="26" t="e">
        <f ca="1">IF(Data!#REF!="","",IF(ISNUMBER(Data!#REF!),IF(AND(Data!#REF!&gt;(TODAY()-(Data_Val!$I$3*365.25)),Data!#REF!&lt;=(TODAY()-(Data_Val!$I$2*365.25))),0,1),1))</f>
        <v>#REF!</v>
      </c>
      <c r="AY253" s="12" t="e">
        <f>IF(Data!#REF!="","",IF(Data!$G253="",1,IF(ISNUMBER(MATCH(Data!#REF!,Data_Val!$D$2:$D$10,0)),0,1)))</f>
        <v>#REF!</v>
      </c>
      <c r="AZ253" s="11"/>
      <c r="BA253" s="19" t="e">
        <f ca="1">IF(Data!#REF!="","",IF(ISNUMBER(Data!#REF!),IF(AND(Data!#REF!&gt;(TODAY()-(Data_Val!$M$3*365.25)),Data!#REF!&lt;=(TODAY()-(Data_Val!$M$2*365.25))),0,1),1))</f>
        <v>#REF!</v>
      </c>
      <c r="BB253" s="11" t="e">
        <f>IF(Data!#REF!="","",IF(Data!$G253="",1,IF(ISNUMBER(MATCH(Data!#REF!,Data_Val!$D$2:$D$10,0)),0,1)))</f>
        <v>#REF!</v>
      </c>
      <c r="BC253" s="12"/>
      <c r="BD253" s="20" t="e">
        <f ca="1">IF(Data!#REF!="","",IF(ISNUMBER(Data!#REF!),IF(AND(Data!#REF!&gt;(TODAY()-(Data_Val!$M$3*365.25)),Data!#REF!&lt;=(TODAY()-(Data_Val!$M$2*365.25))),0,1),1))</f>
        <v>#REF!</v>
      </c>
      <c r="BE253" s="12" t="e">
        <f>IF(Data!#REF!="","",IF(Data!$G253="",1,IF(ISNUMBER(MATCH(Data!#REF!,Data_Val!$D$2:$D$10,0)),0,1)))</f>
        <v>#REF!</v>
      </c>
      <c r="BF253" s="17"/>
      <c r="BG253" s="18" t="e">
        <f ca="1">IF(Data!#REF!="","",IF(ISNUMBER(Data!#REF!),IF(AND(Data!#REF!&gt;(TODAY()-(Data_Val!$M$3*365.25)),Data!#REF!&lt;=(TODAY()-(Data_Val!$M$2*365.25))),0,1),1))</f>
        <v>#REF!</v>
      </c>
      <c r="BH253" s="29" t="e">
        <f>IF(Data!#REF!="","",IF(Data!$G253="",1,IF(ISNUMBER(MATCH(Data!#REF!,Data_Val!$D$2:$D$10,0)),0,1)))</f>
        <v>#REF!</v>
      </c>
      <c r="BI253" s="13"/>
      <c r="BJ253" s="21" t="e">
        <f ca="1">IF(Data!#REF!="","",IF(ISNUMBER(Data!#REF!),IF(AND(Data!#REF!&gt;(TODAY()-(Data_Val!$M$3*365.25)),Data!#REF!&lt;=(TODAY()-(Data_Val!$M$2*365.25))),0,1),1))</f>
        <v>#REF!</v>
      </c>
      <c r="BK253" s="13" t="e">
        <f>IF(Data!#REF!="","",IF(Data!$G253="",1,IF(ISNUMBER(MATCH(Data!#REF!,Data_Val!$D$2:$D$10,0)),0,1)))</f>
        <v>#REF!</v>
      </c>
    </row>
    <row r="254" spans="1:63" x14ac:dyDescent="0.25">
      <c r="A254" s="9" t="str">
        <f>IF(Data!B254="","",IF(COUNTIFS(Data!A$1:'Data'!A254,Data!A254)&lt;=1,0,1))</f>
        <v/>
      </c>
      <c r="B254" s="9"/>
      <c r="C254" s="23" t="str">
        <f>IF(Data!C254="","",(IF(ISNUMBER(MATCH("*@*.?*",Data!C254,0)),0,1)+IF(COUNTIFS(Data!C$1:'Data'!C254,Data!C254)&gt;1,1,0)))</f>
        <v/>
      </c>
      <c r="D254" s="9" t="str">
        <f>IF(Data!B254="","",IF(ISNUMBER(Data!D254),IF(AND(Data!D254&gt;999999999,Data!D254&lt;=9999999999),IF(COUNTIFS(Data!D$1:'Data'!D254,Data!D254)&lt;=1,0,1),1),1))</f>
        <v/>
      </c>
      <c r="E254" s="9" t="str">
        <f>IF(Data!B254="","",IF(ISNUMBER(MATCH(Data!E254,Data_Val!$A$2:$A$3,0)),0,1))</f>
        <v/>
      </c>
      <c r="F254" s="9" t="str">
        <f ca="1">IF(Data!B254="","",IF(ISNUMBER(Data!F254),IF(AND(Data!F254&gt;(TODAY()-(Data_Val!$H$3*365.25)),Data!F254&lt;=(TODAY()-(Data_Val!$H$2*365.25))),0,1),1))</f>
        <v/>
      </c>
      <c r="G254" s="15" t="str">
        <f>IF(Data!B254="","",IF(AND(Data!G254="",Data!H254&lt;&gt;""),1,IF(Data!#REF!&lt;&gt;"",0,IF(ISNUMBER(MATCH(Data!G254,Data_Val!$C$2:$C$5,0)),0,1))))</f>
        <v/>
      </c>
      <c r="H254" s="15" t="str">
        <f>IF(Data!B254="","",IF(AND(Data!G254&lt;&gt;"",Data!H254=""),1,IF(Data!#REF!&lt;&gt;"",0,IF(Data!G254="",1,IF(ISNUMBER(MATCH(Data!H254,Data_Val!$D$2:$D$35,0)),0,1)))))</f>
        <v/>
      </c>
      <c r="I254" s="15" t="str">
        <f>IF(Data!B254="","",IF(Data!G254&lt;&gt;"",0,IF(ISNUMBER(MATCH(Data!#REF!,Data_Val!$E$2:$E$12,0)),0,1)))</f>
        <v/>
      </c>
      <c r="J254" s="16" t="e">
        <f>IF(OR(Data!B254="",Data!#REF!=""),"",IF(Data!#REF!="",1,0))</f>
        <v>#REF!</v>
      </c>
      <c r="K254" s="16" t="e">
        <f>IF(OR(Data!B254="",Data!#REF!=""),"",IF(Data!#REF!="",1,0))</f>
        <v>#REF!</v>
      </c>
      <c r="L254" s="16" t="e">
        <f>IF(OR(Data!B254="",Data!#REF!=""),"",IF(ISNUMBER(Data!#REF!),IF(AND(Data!#REF!&gt;Data_Val!$G$2,Data!#REF!&lt;=Data_Val!$G$3),0,1),1))</f>
        <v>#REF!</v>
      </c>
      <c r="M254" s="9" t="e">
        <f>IF(OR(Data!B254="",Data!#REF!=""),"",IF(ISNUMBER(MATCH(Data!#REF!,Data_Val!$F$1:$F$38,0)),0,1))</f>
        <v>#REF!</v>
      </c>
      <c r="N254" s="9" t="e">
        <f>IF(OR(Data!B254="",Data!#REF!=""),"",IF(Data!#REF!="",1,0))</f>
        <v>#REF!</v>
      </c>
      <c r="O254" s="17" t="e">
        <f>IF(Data!#REF!="","",IF(Data!#REF!="",1,0))</f>
        <v>#REF!</v>
      </c>
      <c r="P254" s="17" t="e">
        <f>IF(Data!#REF!="","",IF(ISNUMBER(MATCH(Data!#REF!,Data_Val!$A$2:$A$3,0)),0,1))</f>
        <v>#REF!</v>
      </c>
      <c r="Q254" s="25" t="e">
        <f ca="1">IF(Data!#REF!="","",IF(ISNUMBER(Data!#REF!),IF(AND(Data!#REF!&gt;(TODAY()-(Data_Val!$J$3*365.25)),Data!#REF!&lt;=(TODAY()-(Data_Val!$J$2*365.25))),0,1),1))</f>
        <v>#REF!</v>
      </c>
      <c r="R254" s="17" t="e">
        <f>IF(Data!#REF!="","",IF(ISNUMBER(MATCH(Data!#REF!,Data_Val!$B$2:$B$15,0)),0,1))</f>
        <v>#REF!</v>
      </c>
      <c r="S254" s="11" t="str">
        <f>IF(Data!G254="","",IF(Data!G254=Data_Val!$C$2,IF(Data!M254="",0,1),0))</f>
        <v/>
      </c>
      <c r="T254" s="11" t="str">
        <f>IF(Data!M254="","",IF(ISNUMBER(MATCH(Data!N254,Data_Val!$A$2:$A$3,0)),0,1))</f>
        <v/>
      </c>
      <c r="U254" s="11" t="str">
        <f ca="1">IF(Data!M254="","",IF(ISNUMBER(Data!O254),IF(AND(Data!O254&gt;(TODAY()-(Data_Val!$K$3*365.25)),Data!O254&lt;=(TODAY()-(Data_Val!$K$2*365.25))),0,1),1))</f>
        <v/>
      </c>
      <c r="V254" s="12" t="str">
        <f>IF(Data!G254="","",IF(Data!G254=Data_Val!$C$2,IF(Data!P254="",0,1),0))</f>
        <v/>
      </c>
      <c r="W254" s="12" t="str">
        <f>IF(Data!P254="","",IF(ISNUMBER(MATCH(Data!Q254,Data_Val!$A$2:$A$3,0)),0,1))</f>
        <v/>
      </c>
      <c r="X254" s="26" t="str">
        <f ca="1">IF(Data!P254="","",IF(ISNUMBER(Data!R254),IF(AND(Data!R254&gt;(TODAY()-(Data_Val!$L$3*365.25)),Data!R254&lt;=(TODAY()-(Data_Val!$L$2*365.25))),0,1),1))</f>
        <v/>
      </c>
      <c r="Y254" s="13" t="str">
        <f>IF(Data!$G254="","",IF(Data!$G254=Data_Val!$C$2,IF(Data!S254="",0,1),0))</f>
        <v/>
      </c>
      <c r="Z254" s="13" t="str">
        <f>IF(Data!S254="","",IF(ISNUMBER(MATCH(Data!T254,Data_Val!$A$2:$A$3,0)),0,1))</f>
        <v/>
      </c>
      <c r="AA254" s="28" t="str">
        <f ca="1">IF(Data!S254="","",IF(ISNUMBER(Data!U254),IF(AND(Data!U254&gt;(TODAY()-(Data_Val!$L$3*365.25)),Data!U254&lt;=(TODAY()-(Data_Val!$L$2*365.25))),0,1),1))</f>
        <v/>
      </c>
      <c r="AB254" s="11"/>
      <c r="AC254" s="11" t="e">
        <f>IF(Data!#REF!="","",IF(ISNUMBER(MATCH(Data!#REF!,Data_Val!$A$2:$A$3,0)),0,1))</f>
        <v>#REF!</v>
      </c>
      <c r="AD254" s="11" t="e">
        <f ca="1">IF(Data!#REF!="","",IF(ISNUMBER(Data!#REF!),IF(AND(Data!#REF!&gt;(TODAY()-(Data_Val!$L$3*365.25)),Data!#REF!&lt;=(TODAY()-(Data_Val!$L$2*365.25))),0,1),1))</f>
        <v>#REF!</v>
      </c>
      <c r="AE254" s="11" t="e">
        <f>IF(Data!#REF!="","",IF(Data!$G254="",1,IF(ISNUMBER(MATCH(Data!#REF!,Data_Val!$D$2:$D$10,0)),0,1)))</f>
        <v>#REF!</v>
      </c>
      <c r="AF254" s="12"/>
      <c r="AG254" s="12" t="e">
        <f>IF(Data!#REF!="","",IF(ISNUMBER(MATCH(Data!#REF!,Data_Val!$A$2:$A$3,0)),0,1))</f>
        <v>#REF!</v>
      </c>
      <c r="AH254" s="26" t="e">
        <f ca="1">IF(Data!#REF!="","",IF(ISNUMBER(Data!#REF!),IF(AND(Data!#REF!&gt;(TODAY()-(Data_Val!$L$3*365.25)),Data!#REF!&lt;=(TODAY()-(Data_Val!$L$2*365.25))),0,1),1))</f>
        <v>#REF!</v>
      </c>
      <c r="AI254" s="12" t="e">
        <f>IF(Data!#REF!="","",IF(Data!$G254="",1,IF(ISNUMBER(MATCH(Data!#REF!,Data_Val!$D$2:$D$10,0)),0,1)))</f>
        <v>#REF!</v>
      </c>
      <c r="AJ254" s="17"/>
      <c r="AK254" s="17" t="e">
        <f>IF(Data!#REF!="","",IF(ISNUMBER(MATCH(Data!#REF!,Data_Val!$A$2:$A$3,0)),0,1))</f>
        <v>#REF!</v>
      </c>
      <c r="AL254" s="25" t="e">
        <f ca="1">IF(Data!#REF!="","",IF(ISNUMBER(Data!#REF!),IF(AND(Data!#REF!&gt;(TODAY()-(Data_Val!$L$3*365.25)),Data!#REF!&lt;=(TODAY()-(Data_Val!$L$2*365.25))),0,1),1))</f>
        <v>#REF!</v>
      </c>
      <c r="AM254" s="17" t="e">
        <f>IF(Data!#REF!="","",IF(Data!$G254="",1,IF(ISNUMBER(MATCH(Data!#REF!,Data_Val!$D$2:$D$10,0)),0,1)))</f>
        <v>#REF!</v>
      </c>
      <c r="AN254" s="13"/>
      <c r="AO254" s="28" t="e">
        <f ca="1">IF(Data!#REF!="","",IF(ISNUMBER(Data!#REF!),IF(AND(Data!#REF!&gt;(TODAY()-(Data_Val!$I$3*365.25)),Data!#REF!&lt;=(TODAY()-(Data_Val!$I$2*365.25))),0,1),1))</f>
        <v>#REF!</v>
      </c>
      <c r="AP254" s="13" t="e">
        <f>IF(Data!#REF!="","",IF(Data!$G254="",1,IF(ISNUMBER(MATCH(Data!#REF!,Data_Val!$D$2:$D$10,0)),0,1)))</f>
        <v>#REF!</v>
      </c>
      <c r="AQ254" s="17"/>
      <c r="AR254" s="30" t="e">
        <f ca="1">IF(Data!#REF!="","",IF(ISNUMBER(Data!#REF!),IF(AND(Data!#REF!&gt;(TODAY()-(Data_Val!$I$3*365.25)),Data!#REF!&lt;=(TODAY()-(Data_Val!$I$2*365.25))),0,1),1))</f>
        <v>#REF!</v>
      </c>
      <c r="AS254" s="31" t="e">
        <f>IF(Data!#REF!="","",IF(Data!$G254="",1,IF(ISNUMBER(MATCH(Data!#REF!,Data_Val!$D$2:$D$10,0)),0,1)))</f>
        <v>#REF!</v>
      </c>
      <c r="AT254" s="11"/>
      <c r="AU254" s="11" t="e">
        <f ca="1">IF(Data!#REF!="","",IF(ISNUMBER(Data!#REF!),IF(AND(Data!#REF!&gt;(TODAY()-(Data_Val!$I$3*365.25)),Data!#REF!&lt;=(TODAY()-(Data_Val!$I$2*365.25))),0,1),1))</f>
        <v>#REF!</v>
      </c>
      <c r="AV254" s="11" t="e">
        <f>IF(Data!#REF!="","",IF(Data!$G254="",1,IF(ISNUMBER(MATCH(Data!#REF!,Data_Val!$D$2:$D$10,0)),0,1)))</f>
        <v>#REF!</v>
      </c>
      <c r="AW254" s="12"/>
      <c r="AX254" s="26" t="e">
        <f ca="1">IF(Data!#REF!="","",IF(ISNUMBER(Data!#REF!),IF(AND(Data!#REF!&gt;(TODAY()-(Data_Val!$I$3*365.25)),Data!#REF!&lt;=(TODAY()-(Data_Val!$I$2*365.25))),0,1),1))</f>
        <v>#REF!</v>
      </c>
      <c r="AY254" s="12" t="e">
        <f>IF(Data!#REF!="","",IF(Data!$G254="",1,IF(ISNUMBER(MATCH(Data!#REF!,Data_Val!$D$2:$D$10,0)),0,1)))</f>
        <v>#REF!</v>
      </c>
      <c r="AZ254" s="11"/>
      <c r="BA254" s="19" t="e">
        <f ca="1">IF(Data!#REF!="","",IF(ISNUMBER(Data!#REF!),IF(AND(Data!#REF!&gt;(TODAY()-(Data_Val!$M$3*365.25)),Data!#REF!&lt;=(TODAY()-(Data_Val!$M$2*365.25))),0,1),1))</f>
        <v>#REF!</v>
      </c>
      <c r="BB254" s="11" t="e">
        <f>IF(Data!#REF!="","",IF(Data!$G254="",1,IF(ISNUMBER(MATCH(Data!#REF!,Data_Val!$D$2:$D$10,0)),0,1)))</f>
        <v>#REF!</v>
      </c>
      <c r="BC254" s="12"/>
      <c r="BD254" s="20" t="e">
        <f ca="1">IF(Data!#REF!="","",IF(ISNUMBER(Data!#REF!),IF(AND(Data!#REF!&gt;(TODAY()-(Data_Val!$M$3*365.25)),Data!#REF!&lt;=(TODAY()-(Data_Val!$M$2*365.25))),0,1),1))</f>
        <v>#REF!</v>
      </c>
      <c r="BE254" s="12" t="e">
        <f>IF(Data!#REF!="","",IF(Data!$G254="",1,IF(ISNUMBER(MATCH(Data!#REF!,Data_Val!$D$2:$D$10,0)),0,1)))</f>
        <v>#REF!</v>
      </c>
      <c r="BF254" s="17"/>
      <c r="BG254" s="18" t="e">
        <f ca="1">IF(Data!#REF!="","",IF(ISNUMBER(Data!#REF!),IF(AND(Data!#REF!&gt;(TODAY()-(Data_Val!$M$3*365.25)),Data!#REF!&lt;=(TODAY()-(Data_Val!$M$2*365.25))),0,1),1))</f>
        <v>#REF!</v>
      </c>
      <c r="BH254" s="29" t="e">
        <f>IF(Data!#REF!="","",IF(Data!$G254="",1,IF(ISNUMBER(MATCH(Data!#REF!,Data_Val!$D$2:$D$10,0)),0,1)))</f>
        <v>#REF!</v>
      </c>
      <c r="BI254" s="13"/>
      <c r="BJ254" s="21" t="e">
        <f ca="1">IF(Data!#REF!="","",IF(ISNUMBER(Data!#REF!),IF(AND(Data!#REF!&gt;(TODAY()-(Data_Val!$M$3*365.25)),Data!#REF!&lt;=(TODAY()-(Data_Val!$M$2*365.25))),0,1),1))</f>
        <v>#REF!</v>
      </c>
      <c r="BK254" s="13" t="e">
        <f>IF(Data!#REF!="","",IF(Data!$G254="",1,IF(ISNUMBER(MATCH(Data!#REF!,Data_Val!$D$2:$D$10,0)),0,1)))</f>
        <v>#REF!</v>
      </c>
    </row>
    <row r="255" spans="1:63" x14ac:dyDescent="0.25">
      <c r="A255" s="9" t="str">
        <f>IF(Data!B255="","",IF(COUNTIFS(Data!A$1:'Data'!A255,Data!A255)&lt;=1,0,1))</f>
        <v/>
      </c>
      <c r="B255" s="9"/>
      <c r="C255" s="23" t="str">
        <f>IF(Data!C255="","",(IF(ISNUMBER(MATCH("*@*.?*",Data!C255,0)),0,1)+IF(COUNTIFS(Data!C$1:'Data'!C255,Data!C255)&gt;1,1,0)))</f>
        <v/>
      </c>
      <c r="D255" s="9" t="str">
        <f>IF(Data!B255="","",IF(ISNUMBER(Data!D255),IF(AND(Data!D255&gt;999999999,Data!D255&lt;=9999999999),IF(COUNTIFS(Data!D$1:'Data'!D255,Data!D255)&lt;=1,0,1),1),1))</f>
        <v/>
      </c>
      <c r="E255" s="9" t="str">
        <f>IF(Data!B255="","",IF(ISNUMBER(MATCH(Data!E255,Data_Val!$A$2:$A$3,0)),0,1))</f>
        <v/>
      </c>
      <c r="F255" s="9" t="str">
        <f ca="1">IF(Data!B255="","",IF(ISNUMBER(Data!F255),IF(AND(Data!F255&gt;(TODAY()-(Data_Val!$H$3*365.25)),Data!F255&lt;=(TODAY()-(Data_Val!$H$2*365.25))),0,1),1))</f>
        <v/>
      </c>
      <c r="G255" s="15" t="str">
        <f>IF(Data!B255="","",IF(AND(Data!G255="",Data!H255&lt;&gt;""),1,IF(Data!#REF!&lt;&gt;"",0,IF(ISNUMBER(MATCH(Data!G255,Data_Val!$C$2:$C$5,0)),0,1))))</f>
        <v/>
      </c>
      <c r="H255" s="15" t="str">
        <f>IF(Data!B255="","",IF(AND(Data!G255&lt;&gt;"",Data!H255=""),1,IF(Data!#REF!&lt;&gt;"",0,IF(Data!G255="",1,IF(ISNUMBER(MATCH(Data!H255,Data_Val!$D$2:$D$35,0)),0,1)))))</f>
        <v/>
      </c>
      <c r="I255" s="15" t="str">
        <f>IF(Data!B255="","",IF(Data!G255&lt;&gt;"",0,IF(ISNUMBER(MATCH(Data!#REF!,Data_Val!$E$2:$E$12,0)),0,1)))</f>
        <v/>
      </c>
      <c r="J255" s="16" t="e">
        <f>IF(OR(Data!B255="",Data!#REF!=""),"",IF(Data!#REF!="",1,0))</f>
        <v>#REF!</v>
      </c>
      <c r="K255" s="16" t="e">
        <f>IF(OR(Data!B255="",Data!#REF!=""),"",IF(Data!#REF!="",1,0))</f>
        <v>#REF!</v>
      </c>
      <c r="L255" s="16" t="e">
        <f>IF(OR(Data!B255="",Data!#REF!=""),"",IF(ISNUMBER(Data!#REF!),IF(AND(Data!#REF!&gt;Data_Val!$G$2,Data!#REF!&lt;=Data_Val!$G$3),0,1),1))</f>
        <v>#REF!</v>
      </c>
      <c r="M255" s="9" t="e">
        <f>IF(OR(Data!B255="",Data!#REF!=""),"",IF(ISNUMBER(MATCH(Data!#REF!,Data_Val!$F$1:$F$38,0)),0,1))</f>
        <v>#REF!</v>
      </c>
      <c r="N255" s="9" t="e">
        <f>IF(OR(Data!B255="",Data!#REF!=""),"",IF(Data!#REF!="",1,0))</f>
        <v>#REF!</v>
      </c>
      <c r="O255" s="17" t="e">
        <f>IF(Data!#REF!="","",IF(Data!#REF!="",1,0))</f>
        <v>#REF!</v>
      </c>
      <c r="P255" s="17" t="e">
        <f>IF(Data!#REF!="","",IF(ISNUMBER(MATCH(Data!#REF!,Data_Val!$A$2:$A$3,0)),0,1))</f>
        <v>#REF!</v>
      </c>
      <c r="Q255" s="25" t="e">
        <f ca="1">IF(Data!#REF!="","",IF(ISNUMBER(Data!#REF!),IF(AND(Data!#REF!&gt;(TODAY()-(Data_Val!$J$3*365.25)),Data!#REF!&lt;=(TODAY()-(Data_Val!$J$2*365.25))),0,1),1))</f>
        <v>#REF!</v>
      </c>
      <c r="R255" s="17" t="e">
        <f>IF(Data!#REF!="","",IF(ISNUMBER(MATCH(Data!#REF!,Data_Val!$B$2:$B$15,0)),0,1))</f>
        <v>#REF!</v>
      </c>
      <c r="S255" s="11" t="str">
        <f>IF(Data!G255="","",IF(Data!G255=Data_Val!$C$2,IF(Data!M255="",0,1),0))</f>
        <v/>
      </c>
      <c r="T255" s="11" t="str">
        <f>IF(Data!M255="","",IF(ISNUMBER(MATCH(Data!N255,Data_Val!$A$2:$A$3,0)),0,1))</f>
        <v/>
      </c>
      <c r="U255" s="11" t="str">
        <f ca="1">IF(Data!M255="","",IF(ISNUMBER(Data!O255),IF(AND(Data!O255&gt;(TODAY()-(Data_Val!$K$3*365.25)),Data!O255&lt;=(TODAY()-(Data_Val!$K$2*365.25))),0,1),1))</f>
        <v/>
      </c>
      <c r="V255" s="12" t="str">
        <f>IF(Data!G255="","",IF(Data!G255=Data_Val!$C$2,IF(Data!P255="",0,1),0))</f>
        <v/>
      </c>
      <c r="W255" s="12" t="str">
        <f>IF(Data!P255="","",IF(ISNUMBER(MATCH(Data!Q255,Data_Val!$A$2:$A$3,0)),0,1))</f>
        <v/>
      </c>
      <c r="X255" s="26" t="str">
        <f ca="1">IF(Data!P255="","",IF(ISNUMBER(Data!R255),IF(AND(Data!R255&gt;(TODAY()-(Data_Val!$L$3*365.25)),Data!R255&lt;=(TODAY()-(Data_Val!$L$2*365.25))),0,1),1))</f>
        <v/>
      </c>
      <c r="Y255" s="13" t="str">
        <f>IF(Data!$G255="","",IF(Data!$G255=Data_Val!$C$2,IF(Data!S255="",0,1),0))</f>
        <v/>
      </c>
      <c r="Z255" s="13" t="str">
        <f>IF(Data!S255="","",IF(ISNUMBER(MATCH(Data!T255,Data_Val!$A$2:$A$3,0)),0,1))</f>
        <v/>
      </c>
      <c r="AA255" s="28" t="str">
        <f ca="1">IF(Data!S255="","",IF(ISNUMBER(Data!U255),IF(AND(Data!U255&gt;(TODAY()-(Data_Val!$L$3*365.25)),Data!U255&lt;=(TODAY()-(Data_Val!$L$2*365.25))),0,1),1))</f>
        <v/>
      </c>
      <c r="AB255" s="11"/>
      <c r="AC255" s="11" t="e">
        <f>IF(Data!#REF!="","",IF(ISNUMBER(MATCH(Data!#REF!,Data_Val!$A$2:$A$3,0)),0,1))</f>
        <v>#REF!</v>
      </c>
      <c r="AD255" s="11" t="e">
        <f ca="1">IF(Data!#REF!="","",IF(ISNUMBER(Data!#REF!),IF(AND(Data!#REF!&gt;(TODAY()-(Data_Val!$L$3*365.25)),Data!#REF!&lt;=(TODAY()-(Data_Val!$L$2*365.25))),0,1),1))</f>
        <v>#REF!</v>
      </c>
      <c r="AE255" s="11" t="e">
        <f>IF(Data!#REF!="","",IF(Data!$G255="",1,IF(ISNUMBER(MATCH(Data!#REF!,Data_Val!$D$2:$D$10,0)),0,1)))</f>
        <v>#REF!</v>
      </c>
      <c r="AF255" s="12"/>
      <c r="AG255" s="12" t="e">
        <f>IF(Data!#REF!="","",IF(ISNUMBER(MATCH(Data!#REF!,Data_Val!$A$2:$A$3,0)),0,1))</f>
        <v>#REF!</v>
      </c>
      <c r="AH255" s="26" t="e">
        <f ca="1">IF(Data!#REF!="","",IF(ISNUMBER(Data!#REF!),IF(AND(Data!#REF!&gt;(TODAY()-(Data_Val!$L$3*365.25)),Data!#REF!&lt;=(TODAY()-(Data_Val!$L$2*365.25))),0,1),1))</f>
        <v>#REF!</v>
      </c>
      <c r="AI255" s="12" t="e">
        <f>IF(Data!#REF!="","",IF(Data!$G255="",1,IF(ISNUMBER(MATCH(Data!#REF!,Data_Val!$D$2:$D$10,0)),0,1)))</f>
        <v>#REF!</v>
      </c>
      <c r="AJ255" s="17"/>
      <c r="AK255" s="17" t="e">
        <f>IF(Data!#REF!="","",IF(ISNUMBER(MATCH(Data!#REF!,Data_Val!$A$2:$A$3,0)),0,1))</f>
        <v>#REF!</v>
      </c>
      <c r="AL255" s="25" t="e">
        <f ca="1">IF(Data!#REF!="","",IF(ISNUMBER(Data!#REF!),IF(AND(Data!#REF!&gt;(TODAY()-(Data_Val!$L$3*365.25)),Data!#REF!&lt;=(TODAY()-(Data_Val!$L$2*365.25))),0,1),1))</f>
        <v>#REF!</v>
      </c>
      <c r="AM255" s="17" t="e">
        <f>IF(Data!#REF!="","",IF(Data!$G255="",1,IF(ISNUMBER(MATCH(Data!#REF!,Data_Val!$D$2:$D$10,0)),0,1)))</f>
        <v>#REF!</v>
      </c>
      <c r="AN255" s="13"/>
      <c r="AO255" s="28" t="e">
        <f ca="1">IF(Data!#REF!="","",IF(ISNUMBER(Data!#REF!),IF(AND(Data!#REF!&gt;(TODAY()-(Data_Val!$I$3*365.25)),Data!#REF!&lt;=(TODAY()-(Data_Val!$I$2*365.25))),0,1),1))</f>
        <v>#REF!</v>
      </c>
      <c r="AP255" s="13" t="e">
        <f>IF(Data!#REF!="","",IF(Data!$G255="",1,IF(ISNUMBER(MATCH(Data!#REF!,Data_Val!$D$2:$D$10,0)),0,1)))</f>
        <v>#REF!</v>
      </c>
      <c r="AQ255" s="17"/>
      <c r="AR255" s="30" t="e">
        <f ca="1">IF(Data!#REF!="","",IF(ISNUMBER(Data!#REF!),IF(AND(Data!#REF!&gt;(TODAY()-(Data_Val!$I$3*365.25)),Data!#REF!&lt;=(TODAY()-(Data_Val!$I$2*365.25))),0,1),1))</f>
        <v>#REF!</v>
      </c>
      <c r="AS255" s="31" t="e">
        <f>IF(Data!#REF!="","",IF(Data!$G255="",1,IF(ISNUMBER(MATCH(Data!#REF!,Data_Val!$D$2:$D$10,0)),0,1)))</f>
        <v>#REF!</v>
      </c>
      <c r="AT255" s="11"/>
      <c r="AU255" s="11" t="e">
        <f ca="1">IF(Data!#REF!="","",IF(ISNUMBER(Data!#REF!),IF(AND(Data!#REF!&gt;(TODAY()-(Data_Val!$I$3*365.25)),Data!#REF!&lt;=(TODAY()-(Data_Val!$I$2*365.25))),0,1),1))</f>
        <v>#REF!</v>
      </c>
      <c r="AV255" s="11" t="e">
        <f>IF(Data!#REF!="","",IF(Data!$G255="",1,IF(ISNUMBER(MATCH(Data!#REF!,Data_Val!$D$2:$D$10,0)),0,1)))</f>
        <v>#REF!</v>
      </c>
      <c r="AW255" s="12"/>
      <c r="AX255" s="26" t="e">
        <f ca="1">IF(Data!#REF!="","",IF(ISNUMBER(Data!#REF!),IF(AND(Data!#REF!&gt;(TODAY()-(Data_Val!$I$3*365.25)),Data!#REF!&lt;=(TODAY()-(Data_Val!$I$2*365.25))),0,1),1))</f>
        <v>#REF!</v>
      </c>
      <c r="AY255" s="12" t="e">
        <f>IF(Data!#REF!="","",IF(Data!$G255="",1,IF(ISNUMBER(MATCH(Data!#REF!,Data_Val!$D$2:$D$10,0)),0,1)))</f>
        <v>#REF!</v>
      </c>
      <c r="AZ255" s="11"/>
      <c r="BA255" s="19" t="e">
        <f ca="1">IF(Data!#REF!="","",IF(ISNUMBER(Data!#REF!),IF(AND(Data!#REF!&gt;(TODAY()-(Data_Val!$M$3*365.25)),Data!#REF!&lt;=(TODAY()-(Data_Val!$M$2*365.25))),0,1),1))</f>
        <v>#REF!</v>
      </c>
      <c r="BB255" s="11" t="e">
        <f>IF(Data!#REF!="","",IF(Data!$G255="",1,IF(ISNUMBER(MATCH(Data!#REF!,Data_Val!$D$2:$D$10,0)),0,1)))</f>
        <v>#REF!</v>
      </c>
      <c r="BC255" s="12"/>
      <c r="BD255" s="20" t="e">
        <f ca="1">IF(Data!#REF!="","",IF(ISNUMBER(Data!#REF!),IF(AND(Data!#REF!&gt;(TODAY()-(Data_Val!$M$3*365.25)),Data!#REF!&lt;=(TODAY()-(Data_Val!$M$2*365.25))),0,1),1))</f>
        <v>#REF!</v>
      </c>
      <c r="BE255" s="12" t="e">
        <f>IF(Data!#REF!="","",IF(Data!$G255="",1,IF(ISNUMBER(MATCH(Data!#REF!,Data_Val!$D$2:$D$10,0)),0,1)))</f>
        <v>#REF!</v>
      </c>
      <c r="BF255" s="17"/>
      <c r="BG255" s="18" t="e">
        <f ca="1">IF(Data!#REF!="","",IF(ISNUMBER(Data!#REF!),IF(AND(Data!#REF!&gt;(TODAY()-(Data_Val!$M$3*365.25)),Data!#REF!&lt;=(TODAY()-(Data_Val!$M$2*365.25))),0,1),1))</f>
        <v>#REF!</v>
      </c>
      <c r="BH255" s="29" t="e">
        <f>IF(Data!#REF!="","",IF(Data!$G255="",1,IF(ISNUMBER(MATCH(Data!#REF!,Data_Val!$D$2:$D$10,0)),0,1)))</f>
        <v>#REF!</v>
      </c>
      <c r="BI255" s="13"/>
      <c r="BJ255" s="21" t="e">
        <f ca="1">IF(Data!#REF!="","",IF(ISNUMBER(Data!#REF!),IF(AND(Data!#REF!&gt;(TODAY()-(Data_Val!$M$3*365.25)),Data!#REF!&lt;=(TODAY()-(Data_Val!$M$2*365.25))),0,1),1))</f>
        <v>#REF!</v>
      </c>
      <c r="BK255" s="13" t="e">
        <f>IF(Data!#REF!="","",IF(Data!$G255="",1,IF(ISNUMBER(MATCH(Data!#REF!,Data_Val!$D$2:$D$10,0)),0,1)))</f>
        <v>#REF!</v>
      </c>
    </row>
    <row r="256" spans="1:63" x14ac:dyDescent="0.25">
      <c r="A256" s="9" t="str">
        <f>IF(Data!B256="","",IF(COUNTIFS(Data!A$1:'Data'!A256,Data!A256)&lt;=1,0,1))</f>
        <v/>
      </c>
      <c r="B256" s="9"/>
      <c r="C256" s="23" t="str">
        <f>IF(Data!C256="","",(IF(ISNUMBER(MATCH("*@*.?*",Data!C256,0)),0,1)+IF(COUNTIFS(Data!C$1:'Data'!C256,Data!C256)&gt;1,1,0)))</f>
        <v/>
      </c>
      <c r="D256" s="9" t="str">
        <f>IF(Data!B256="","",IF(ISNUMBER(Data!D256),IF(AND(Data!D256&gt;999999999,Data!D256&lt;=9999999999),IF(COUNTIFS(Data!D$1:'Data'!D256,Data!D256)&lt;=1,0,1),1),1))</f>
        <v/>
      </c>
      <c r="E256" s="9" t="str">
        <f>IF(Data!B256="","",IF(ISNUMBER(MATCH(Data!E256,Data_Val!$A$2:$A$3,0)),0,1))</f>
        <v/>
      </c>
      <c r="F256" s="9" t="str">
        <f ca="1">IF(Data!B256="","",IF(ISNUMBER(Data!F256),IF(AND(Data!F256&gt;(TODAY()-(Data_Val!$H$3*365.25)),Data!F256&lt;=(TODAY()-(Data_Val!$H$2*365.25))),0,1),1))</f>
        <v/>
      </c>
      <c r="G256" s="15" t="str">
        <f>IF(Data!B256="","",IF(AND(Data!G256="",Data!H256&lt;&gt;""),1,IF(Data!#REF!&lt;&gt;"",0,IF(ISNUMBER(MATCH(Data!G256,Data_Val!$C$2:$C$5,0)),0,1))))</f>
        <v/>
      </c>
      <c r="H256" s="15" t="str">
        <f>IF(Data!B256="","",IF(AND(Data!G256&lt;&gt;"",Data!H256=""),1,IF(Data!#REF!&lt;&gt;"",0,IF(Data!G256="",1,IF(ISNUMBER(MATCH(Data!H256,Data_Val!$D$2:$D$35,0)),0,1)))))</f>
        <v/>
      </c>
      <c r="I256" s="15" t="str">
        <f>IF(Data!B256="","",IF(Data!G256&lt;&gt;"",0,IF(ISNUMBER(MATCH(Data!#REF!,Data_Val!$E$2:$E$12,0)),0,1)))</f>
        <v/>
      </c>
      <c r="J256" s="16" t="e">
        <f>IF(OR(Data!B256="",Data!#REF!=""),"",IF(Data!#REF!="",1,0))</f>
        <v>#REF!</v>
      </c>
      <c r="K256" s="16" t="e">
        <f>IF(OR(Data!B256="",Data!#REF!=""),"",IF(Data!#REF!="",1,0))</f>
        <v>#REF!</v>
      </c>
      <c r="L256" s="16" t="e">
        <f>IF(OR(Data!B256="",Data!#REF!=""),"",IF(ISNUMBER(Data!#REF!),IF(AND(Data!#REF!&gt;Data_Val!$G$2,Data!#REF!&lt;=Data_Val!$G$3),0,1),1))</f>
        <v>#REF!</v>
      </c>
      <c r="M256" s="9" t="e">
        <f>IF(OR(Data!B256="",Data!#REF!=""),"",IF(ISNUMBER(MATCH(Data!#REF!,Data_Val!$F$1:$F$38,0)),0,1))</f>
        <v>#REF!</v>
      </c>
      <c r="N256" s="9" t="e">
        <f>IF(OR(Data!B256="",Data!#REF!=""),"",IF(Data!#REF!="",1,0))</f>
        <v>#REF!</v>
      </c>
      <c r="O256" s="17" t="e">
        <f>IF(Data!#REF!="","",IF(Data!#REF!="",1,0))</f>
        <v>#REF!</v>
      </c>
      <c r="P256" s="17" t="e">
        <f>IF(Data!#REF!="","",IF(ISNUMBER(MATCH(Data!#REF!,Data_Val!$A$2:$A$3,0)),0,1))</f>
        <v>#REF!</v>
      </c>
      <c r="Q256" s="25" t="e">
        <f ca="1">IF(Data!#REF!="","",IF(ISNUMBER(Data!#REF!),IF(AND(Data!#REF!&gt;(TODAY()-(Data_Val!$J$3*365.25)),Data!#REF!&lt;=(TODAY()-(Data_Val!$J$2*365.25))),0,1),1))</f>
        <v>#REF!</v>
      </c>
      <c r="R256" s="17" t="e">
        <f>IF(Data!#REF!="","",IF(ISNUMBER(MATCH(Data!#REF!,Data_Val!$B$2:$B$15,0)),0,1))</f>
        <v>#REF!</v>
      </c>
      <c r="S256" s="11" t="str">
        <f>IF(Data!G256="","",IF(Data!G256=Data_Val!$C$2,IF(Data!M256="",0,1),0))</f>
        <v/>
      </c>
      <c r="T256" s="11" t="str">
        <f>IF(Data!M256="","",IF(ISNUMBER(MATCH(Data!N256,Data_Val!$A$2:$A$3,0)),0,1))</f>
        <v/>
      </c>
      <c r="U256" s="11" t="str">
        <f ca="1">IF(Data!M256="","",IF(ISNUMBER(Data!O256),IF(AND(Data!O256&gt;(TODAY()-(Data_Val!$K$3*365.25)),Data!O256&lt;=(TODAY()-(Data_Val!$K$2*365.25))),0,1),1))</f>
        <v/>
      </c>
      <c r="V256" s="12" t="str">
        <f>IF(Data!G256="","",IF(Data!G256=Data_Val!$C$2,IF(Data!P256="",0,1),0))</f>
        <v/>
      </c>
      <c r="W256" s="12" t="str">
        <f>IF(Data!P256="","",IF(ISNUMBER(MATCH(Data!Q256,Data_Val!$A$2:$A$3,0)),0,1))</f>
        <v/>
      </c>
      <c r="X256" s="26" t="str">
        <f ca="1">IF(Data!P256="","",IF(ISNUMBER(Data!R256),IF(AND(Data!R256&gt;(TODAY()-(Data_Val!$L$3*365.25)),Data!R256&lt;=(TODAY()-(Data_Val!$L$2*365.25))),0,1),1))</f>
        <v/>
      </c>
      <c r="Y256" s="13" t="str">
        <f>IF(Data!$G256="","",IF(Data!$G256=Data_Val!$C$2,IF(Data!S256="",0,1),0))</f>
        <v/>
      </c>
      <c r="Z256" s="13" t="str">
        <f>IF(Data!S256="","",IF(ISNUMBER(MATCH(Data!T256,Data_Val!$A$2:$A$3,0)),0,1))</f>
        <v/>
      </c>
      <c r="AA256" s="28" t="str">
        <f ca="1">IF(Data!S256="","",IF(ISNUMBER(Data!U256),IF(AND(Data!U256&gt;(TODAY()-(Data_Val!$L$3*365.25)),Data!U256&lt;=(TODAY()-(Data_Val!$L$2*365.25))),0,1),1))</f>
        <v/>
      </c>
      <c r="AB256" s="11"/>
      <c r="AC256" s="11" t="e">
        <f>IF(Data!#REF!="","",IF(ISNUMBER(MATCH(Data!#REF!,Data_Val!$A$2:$A$3,0)),0,1))</f>
        <v>#REF!</v>
      </c>
      <c r="AD256" s="11" t="e">
        <f ca="1">IF(Data!#REF!="","",IF(ISNUMBER(Data!#REF!),IF(AND(Data!#REF!&gt;(TODAY()-(Data_Val!$L$3*365.25)),Data!#REF!&lt;=(TODAY()-(Data_Val!$L$2*365.25))),0,1),1))</f>
        <v>#REF!</v>
      </c>
      <c r="AE256" s="11" t="e">
        <f>IF(Data!#REF!="","",IF(Data!$G256="",1,IF(ISNUMBER(MATCH(Data!#REF!,Data_Val!$D$2:$D$10,0)),0,1)))</f>
        <v>#REF!</v>
      </c>
      <c r="AF256" s="12"/>
      <c r="AG256" s="12" t="e">
        <f>IF(Data!#REF!="","",IF(ISNUMBER(MATCH(Data!#REF!,Data_Val!$A$2:$A$3,0)),0,1))</f>
        <v>#REF!</v>
      </c>
      <c r="AH256" s="26" t="e">
        <f ca="1">IF(Data!#REF!="","",IF(ISNUMBER(Data!#REF!),IF(AND(Data!#REF!&gt;(TODAY()-(Data_Val!$L$3*365.25)),Data!#REF!&lt;=(TODAY()-(Data_Val!$L$2*365.25))),0,1),1))</f>
        <v>#REF!</v>
      </c>
      <c r="AI256" s="12" t="e">
        <f>IF(Data!#REF!="","",IF(Data!$G256="",1,IF(ISNUMBER(MATCH(Data!#REF!,Data_Val!$D$2:$D$10,0)),0,1)))</f>
        <v>#REF!</v>
      </c>
      <c r="AJ256" s="17"/>
      <c r="AK256" s="17" t="e">
        <f>IF(Data!#REF!="","",IF(ISNUMBER(MATCH(Data!#REF!,Data_Val!$A$2:$A$3,0)),0,1))</f>
        <v>#REF!</v>
      </c>
      <c r="AL256" s="25" t="e">
        <f ca="1">IF(Data!#REF!="","",IF(ISNUMBER(Data!#REF!),IF(AND(Data!#REF!&gt;(TODAY()-(Data_Val!$L$3*365.25)),Data!#REF!&lt;=(TODAY()-(Data_Val!$L$2*365.25))),0,1),1))</f>
        <v>#REF!</v>
      </c>
      <c r="AM256" s="17" t="e">
        <f>IF(Data!#REF!="","",IF(Data!$G256="",1,IF(ISNUMBER(MATCH(Data!#REF!,Data_Val!$D$2:$D$10,0)),0,1)))</f>
        <v>#REF!</v>
      </c>
      <c r="AN256" s="13"/>
      <c r="AO256" s="28" t="e">
        <f ca="1">IF(Data!#REF!="","",IF(ISNUMBER(Data!#REF!),IF(AND(Data!#REF!&gt;(TODAY()-(Data_Val!$I$3*365.25)),Data!#REF!&lt;=(TODAY()-(Data_Val!$I$2*365.25))),0,1),1))</f>
        <v>#REF!</v>
      </c>
      <c r="AP256" s="13" t="e">
        <f>IF(Data!#REF!="","",IF(Data!$G256="",1,IF(ISNUMBER(MATCH(Data!#REF!,Data_Val!$D$2:$D$10,0)),0,1)))</f>
        <v>#REF!</v>
      </c>
      <c r="AQ256" s="17"/>
      <c r="AR256" s="30" t="e">
        <f ca="1">IF(Data!#REF!="","",IF(ISNUMBER(Data!#REF!),IF(AND(Data!#REF!&gt;(TODAY()-(Data_Val!$I$3*365.25)),Data!#REF!&lt;=(TODAY()-(Data_Val!$I$2*365.25))),0,1),1))</f>
        <v>#REF!</v>
      </c>
      <c r="AS256" s="31" t="e">
        <f>IF(Data!#REF!="","",IF(Data!$G256="",1,IF(ISNUMBER(MATCH(Data!#REF!,Data_Val!$D$2:$D$10,0)),0,1)))</f>
        <v>#REF!</v>
      </c>
      <c r="AT256" s="11"/>
      <c r="AU256" s="11" t="e">
        <f ca="1">IF(Data!#REF!="","",IF(ISNUMBER(Data!#REF!),IF(AND(Data!#REF!&gt;(TODAY()-(Data_Val!$I$3*365.25)),Data!#REF!&lt;=(TODAY()-(Data_Val!$I$2*365.25))),0,1),1))</f>
        <v>#REF!</v>
      </c>
      <c r="AV256" s="11" t="e">
        <f>IF(Data!#REF!="","",IF(Data!$G256="",1,IF(ISNUMBER(MATCH(Data!#REF!,Data_Val!$D$2:$D$10,0)),0,1)))</f>
        <v>#REF!</v>
      </c>
      <c r="AW256" s="12"/>
      <c r="AX256" s="26" t="e">
        <f ca="1">IF(Data!#REF!="","",IF(ISNUMBER(Data!#REF!),IF(AND(Data!#REF!&gt;(TODAY()-(Data_Val!$I$3*365.25)),Data!#REF!&lt;=(TODAY()-(Data_Val!$I$2*365.25))),0,1),1))</f>
        <v>#REF!</v>
      </c>
      <c r="AY256" s="12" t="e">
        <f>IF(Data!#REF!="","",IF(Data!$G256="",1,IF(ISNUMBER(MATCH(Data!#REF!,Data_Val!$D$2:$D$10,0)),0,1)))</f>
        <v>#REF!</v>
      </c>
      <c r="AZ256" s="11"/>
      <c r="BA256" s="19" t="e">
        <f ca="1">IF(Data!#REF!="","",IF(ISNUMBER(Data!#REF!),IF(AND(Data!#REF!&gt;(TODAY()-(Data_Val!$M$3*365.25)),Data!#REF!&lt;=(TODAY()-(Data_Val!$M$2*365.25))),0,1),1))</f>
        <v>#REF!</v>
      </c>
      <c r="BB256" s="11" t="e">
        <f>IF(Data!#REF!="","",IF(Data!$G256="",1,IF(ISNUMBER(MATCH(Data!#REF!,Data_Val!$D$2:$D$10,0)),0,1)))</f>
        <v>#REF!</v>
      </c>
      <c r="BC256" s="12"/>
      <c r="BD256" s="20" t="e">
        <f ca="1">IF(Data!#REF!="","",IF(ISNUMBER(Data!#REF!),IF(AND(Data!#REF!&gt;(TODAY()-(Data_Val!$M$3*365.25)),Data!#REF!&lt;=(TODAY()-(Data_Val!$M$2*365.25))),0,1),1))</f>
        <v>#REF!</v>
      </c>
      <c r="BE256" s="12" t="e">
        <f>IF(Data!#REF!="","",IF(Data!$G256="",1,IF(ISNUMBER(MATCH(Data!#REF!,Data_Val!$D$2:$D$10,0)),0,1)))</f>
        <v>#REF!</v>
      </c>
      <c r="BF256" s="17"/>
      <c r="BG256" s="18" t="e">
        <f ca="1">IF(Data!#REF!="","",IF(ISNUMBER(Data!#REF!),IF(AND(Data!#REF!&gt;(TODAY()-(Data_Val!$M$3*365.25)),Data!#REF!&lt;=(TODAY()-(Data_Val!$M$2*365.25))),0,1),1))</f>
        <v>#REF!</v>
      </c>
      <c r="BH256" s="29" t="e">
        <f>IF(Data!#REF!="","",IF(Data!$G256="",1,IF(ISNUMBER(MATCH(Data!#REF!,Data_Val!$D$2:$D$10,0)),0,1)))</f>
        <v>#REF!</v>
      </c>
      <c r="BI256" s="13"/>
      <c r="BJ256" s="21" t="e">
        <f ca="1">IF(Data!#REF!="","",IF(ISNUMBER(Data!#REF!),IF(AND(Data!#REF!&gt;(TODAY()-(Data_Val!$M$3*365.25)),Data!#REF!&lt;=(TODAY()-(Data_Val!$M$2*365.25))),0,1),1))</f>
        <v>#REF!</v>
      </c>
      <c r="BK256" s="13" t="e">
        <f>IF(Data!#REF!="","",IF(Data!$G256="",1,IF(ISNUMBER(MATCH(Data!#REF!,Data_Val!$D$2:$D$10,0)),0,1)))</f>
        <v>#REF!</v>
      </c>
    </row>
    <row r="257" spans="1:63" x14ac:dyDescent="0.25">
      <c r="A257" s="9" t="str">
        <f>IF(Data!B257="","",IF(COUNTIFS(Data!A$1:'Data'!A257,Data!A257)&lt;=1,0,1))</f>
        <v/>
      </c>
      <c r="B257" s="9"/>
      <c r="C257" s="23" t="str">
        <f>IF(Data!C257="","",(IF(ISNUMBER(MATCH("*@*.?*",Data!C257,0)),0,1)+IF(COUNTIFS(Data!C$1:'Data'!C257,Data!C257)&gt;1,1,0)))</f>
        <v/>
      </c>
      <c r="D257" s="9" t="str">
        <f>IF(Data!B257="","",IF(ISNUMBER(Data!D257),IF(AND(Data!D257&gt;999999999,Data!D257&lt;=9999999999),IF(COUNTIFS(Data!D$1:'Data'!D257,Data!D257)&lt;=1,0,1),1),1))</f>
        <v/>
      </c>
      <c r="E257" s="9" t="str">
        <f>IF(Data!B257="","",IF(ISNUMBER(MATCH(Data!E257,Data_Val!$A$2:$A$3,0)),0,1))</f>
        <v/>
      </c>
      <c r="F257" s="9" t="str">
        <f ca="1">IF(Data!B257="","",IF(ISNUMBER(Data!F257),IF(AND(Data!F257&gt;(TODAY()-(Data_Val!$H$3*365.25)),Data!F257&lt;=(TODAY()-(Data_Val!$H$2*365.25))),0,1),1))</f>
        <v/>
      </c>
      <c r="G257" s="15" t="str">
        <f>IF(Data!B257="","",IF(AND(Data!G257="",Data!H257&lt;&gt;""),1,IF(Data!#REF!&lt;&gt;"",0,IF(ISNUMBER(MATCH(Data!G257,Data_Val!$C$2:$C$5,0)),0,1))))</f>
        <v/>
      </c>
      <c r="H257" s="15" t="str">
        <f>IF(Data!B257="","",IF(AND(Data!G257&lt;&gt;"",Data!H257=""),1,IF(Data!#REF!&lt;&gt;"",0,IF(Data!G257="",1,IF(ISNUMBER(MATCH(Data!H257,Data_Val!$D$2:$D$35,0)),0,1)))))</f>
        <v/>
      </c>
      <c r="I257" s="15" t="str">
        <f>IF(Data!B257="","",IF(Data!G257&lt;&gt;"",0,IF(ISNUMBER(MATCH(Data!#REF!,Data_Val!$E$2:$E$12,0)),0,1)))</f>
        <v/>
      </c>
      <c r="J257" s="16" t="e">
        <f>IF(OR(Data!B257="",Data!#REF!=""),"",IF(Data!#REF!="",1,0))</f>
        <v>#REF!</v>
      </c>
      <c r="K257" s="16" t="e">
        <f>IF(OR(Data!B257="",Data!#REF!=""),"",IF(Data!#REF!="",1,0))</f>
        <v>#REF!</v>
      </c>
      <c r="L257" s="16" t="e">
        <f>IF(OR(Data!B257="",Data!#REF!=""),"",IF(ISNUMBER(Data!#REF!),IF(AND(Data!#REF!&gt;Data_Val!$G$2,Data!#REF!&lt;=Data_Val!$G$3),0,1),1))</f>
        <v>#REF!</v>
      </c>
      <c r="M257" s="9" t="e">
        <f>IF(OR(Data!B257="",Data!#REF!=""),"",IF(ISNUMBER(MATCH(Data!#REF!,Data_Val!$F$1:$F$38,0)),0,1))</f>
        <v>#REF!</v>
      </c>
      <c r="N257" s="9" t="e">
        <f>IF(OR(Data!B257="",Data!#REF!=""),"",IF(Data!#REF!="",1,0))</f>
        <v>#REF!</v>
      </c>
      <c r="O257" s="17" t="e">
        <f>IF(Data!#REF!="","",IF(Data!#REF!="",1,0))</f>
        <v>#REF!</v>
      </c>
      <c r="P257" s="17" t="e">
        <f>IF(Data!#REF!="","",IF(ISNUMBER(MATCH(Data!#REF!,Data_Val!$A$2:$A$3,0)),0,1))</f>
        <v>#REF!</v>
      </c>
      <c r="Q257" s="25" t="e">
        <f ca="1">IF(Data!#REF!="","",IF(ISNUMBER(Data!#REF!),IF(AND(Data!#REF!&gt;(TODAY()-(Data_Val!$J$3*365.25)),Data!#REF!&lt;=(TODAY()-(Data_Val!$J$2*365.25))),0,1),1))</f>
        <v>#REF!</v>
      </c>
      <c r="R257" s="17" t="e">
        <f>IF(Data!#REF!="","",IF(ISNUMBER(MATCH(Data!#REF!,Data_Val!$B$2:$B$15,0)),0,1))</f>
        <v>#REF!</v>
      </c>
      <c r="S257" s="11" t="str">
        <f>IF(Data!G257="","",IF(Data!G257=Data_Val!$C$2,IF(Data!M257="",0,1),0))</f>
        <v/>
      </c>
      <c r="T257" s="11" t="str">
        <f>IF(Data!M257="","",IF(ISNUMBER(MATCH(Data!N257,Data_Val!$A$2:$A$3,0)),0,1))</f>
        <v/>
      </c>
      <c r="U257" s="11" t="str">
        <f ca="1">IF(Data!M257="","",IF(ISNUMBER(Data!O257),IF(AND(Data!O257&gt;(TODAY()-(Data_Val!$K$3*365.25)),Data!O257&lt;=(TODAY()-(Data_Val!$K$2*365.25))),0,1),1))</f>
        <v/>
      </c>
      <c r="V257" s="12" t="str">
        <f>IF(Data!G257="","",IF(Data!G257=Data_Val!$C$2,IF(Data!P257="",0,1),0))</f>
        <v/>
      </c>
      <c r="W257" s="12" t="str">
        <f>IF(Data!P257="","",IF(ISNUMBER(MATCH(Data!Q257,Data_Val!$A$2:$A$3,0)),0,1))</f>
        <v/>
      </c>
      <c r="X257" s="26" t="str">
        <f ca="1">IF(Data!P257="","",IF(ISNUMBER(Data!R257),IF(AND(Data!R257&gt;(TODAY()-(Data_Val!$L$3*365.25)),Data!R257&lt;=(TODAY()-(Data_Val!$L$2*365.25))),0,1),1))</f>
        <v/>
      </c>
      <c r="Y257" s="13" t="str">
        <f>IF(Data!$G257="","",IF(Data!$G257=Data_Val!$C$2,IF(Data!S257="",0,1),0))</f>
        <v/>
      </c>
      <c r="Z257" s="13" t="str">
        <f>IF(Data!S257="","",IF(ISNUMBER(MATCH(Data!T257,Data_Val!$A$2:$A$3,0)),0,1))</f>
        <v/>
      </c>
      <c r="AA257" s="28" t="str">
        <f ca="1">IF(Data!S257="","",IF(ISNUMBER(Data!U257),IF(AND(Data!U257&gt;(TODAY()-(Data_Val!$L$3*365.25)),Data!U257&lt;=(TODAY()-(Data_Val!$L$2*365.25))),0,1),1))</f>
        <v/>
      </c>
      <c r="AB257" s="11"/>
      <c r="AC257" s="11" t="e">
        <f>IF(Data!#REF!="","",IF(ISNUMBER(MATCH(Data!#REF!,Data_Val!$A$2:$A$3,0)),0,1))</f>
        <v>#REF!</v>
      </c>
      <c r="AD257" s="11" t="e">
        <f ca="1">IF(Data!#REF!="","",IF(ISNUMBER(Data!#REF!),IF(AND(Data!#REF!&gt;(TODAY()-(Data_Val!$L$3*365.25)),Data!#REF!&lt;=(TODAY()-(Data_Val!$L$2*365.25))),0,1),1))</f>
        <v>#REF!</v>
      </c>
      <c r="AE257" s="11" t="e">
        <f>IF(Data!#REF!="","",IF(Data!$G257="",1,IF(ISNUMBER(MATCH(Data!#REF!,Data_Val!$D$2:$D$10,0)),0,1)))</f>
        <v>#REF!</v>
      </c>
      <c r="AF257" s="12"/>
      <c r="AG257" s="12" t="e">
        <f>IF(Data!#REF!="","",IF(ISNUMBER(MATCH(Data!#REF!,Data_Val!$A$2:$A$3,0)),0,1))</f>
        <v>#REF!</v>
      </c>
      <c r="AH257" s="26" t="e">
        <f ca="1">IF(Data!#REF!="","",IF(ISNUMBER(Data!#REF!),IF(AND(Data!#REF!&gt;(TODAY()-(Data_Val!$L$3*365.25)),Data!#REF!&lt;=(TODAY()-(Data_Val!$L$2*365.25))),0,1),1))</f>
        <v>#REF!</v>
      </c>
      <c r="AI257" s="12" t="e">
        <f>IF(Data!#REF!="","",IF(Data!$G257="",1,IF(ISNUMBER(MATCH(Data!#REF!,Data_Val!$D$2:$D$10,0)),0,1)))</f>
        <v>#REF!</v>
      </c>
      <c r="AJ257" s="17"/>
      <c r="AK257" s="17" t="e">
        <f>IF(Data!#REF!="","",IF(ISNUMBER(MATCH(Data!#REF!,Data_Val!$A$2:$A$3,0)),0,1))</f>
        <v>#REF!</v>
      </c>
      <c r="AL257" s="25" t="e">
        <f ca="1">IF(Data!#REF!="","",IF(ISNUMBER(Data!#REF!),IF(AND(Data!#REF!&gt;(TODAY()-(Data_Val!$L$3*365.25)),Data!#REF!&lt;=(TODAY()-(Data_Val!$L$2*365.25))),0,1),1))</f>
        <v>#REF!</v>
      </c>
      <c r="AM257" s="17" t="e">
        <f>IF(Data!#REF!="","",IF(Data!$G257="",1,IF(ISNUMBER(MATCH(Data!#REF!,Data_Val!$D$2:$D$10,0)),0,1)))</f>
        <v>#REF!</v>
      </c>
      <c r="AN257" s="13"/>
      <c r="AO257" s="28" t="e">
        <f ca="1">IF(Data!#REF!="","",IF(ISNUMBER(Data!#REF!),IF(AND(Data!#REF!&gt;(TODAY()-(Data_Val!$I$3*365.25)),Data!#REF!&lt;=(TODAY()-(Data_Val!$I$2*365.25))),0,1),1))</f>
        <v>#REF!</v>
      </c>
      <c r="AP257" s="13" t="e">
        <f>IF(Data!#REF!="","",IF(Data!$G257="",1,IF(ISNUMBER(MATCH(Data!#REF!,Data_Val!$D$2:$D$10,0)),0,1)))</f>
        <v>#REF!</v>
      </c>
      <c r="AQ257" s="17"/>
      <c r="AR257" s="30" t="e">
        <f ca="1">IF(Data!#REF!="","",IF(ISNUMBER(Data!#REF!),IF(AND(Data!#REF!&gt;(TODAY()-(Data_Val!$I$3*365.25)),Data!#REF!&lt;=(TODAY()-(Data_Val!$I$2*365.25))),0,1),1))</f>
        <v>#REF!</v>
      </c>
      <c r="AS257" s="31" t="e">
        <f>IF(Data!#REF!="","",IF(Data!$G257="",1,IF(ISNUMBER(MATCH(Data!#REF!,Data_Val!$D$2:$D$10,0)),0,1)))</f>
        <v>#REF!</v>
      </c>
      <c r="AT257" s="11"/>
      <c r="AU257" s="11" t="e">
        <f ca="1">IF(Data!#REF!="","",IF(ISNUMBER(Data!#REF!),IF(AND(Data!#REF!&gt;(TODAY()-(Data_Val!$I$3*365.25)),Data!#REF!&lt;=(TODAY()-(Data_Val!$I$2*365.25))),0,1),1))</f>
        <v>#REF!</v>
      </c>
      <c r="AV257" s="11" t="e">
        <f>IF(Data!#REF!="","",IF(Data!$G257="",1,IF(ISNUMBER(MATCH(Data!#REF!,Data_Val!$D$2:$D$10,0)),0,1)))</f>
        <v>#REF!</v>
      </c>
      <c r="AW257" s="12"/>
      <c r="AX257" s="26" t="e">
        <f ca="1">IF(Data!#REF!="","",IF(ISNUMBER(Data!#REF!),IF(AND(Data!#REF!&gt;(TODAY()-(Data_Val!$I$3*365.25)),Data!#REF!&lt;=(TODAY()-(Data_Val!$I$2*365.25))),0,1),1))</f>
        <v>#REF!</v>
      </c>
      <c r="AY257" s="12" t="e">
        <f>IF(Data!#REF!="","",IF(Data!$G257="",1,IF(ISNUMBER(MATCH(Data!#REF!,Data_Val!$D$2:$D$10,0)),0,1)))</f>
        <v>#REF!</v>
      </c>
      <c r="AZ257" s="11"/>
      <c r="BA257" s="19" t="e">
        <f ca="1">IF(Data!#REF!="","",IF(ISNUMBER(Data!#REF!),IF(AND(Data!#REF!&gt;(TODAY()-(Data_Val!$M$3*365.25)),Data!#REF!&lt;=(TODAY()-(Data_Val!$M$2*365.25))),0,1),1))</f>
        <v>#REF!</v>
      </c>
      <c r="BB257" s="11" t="e">
        <f>IF(Data!#REF!="","",IF(Data!$G257="",1,IF(ISNUMBER(MATCH(Data!#REF!,Data_Val!$D$2:$D$10,0)),0,1)))</f>
        <v>#REF!</v>
      </c>
      <c r="BC257" s="12"/>
      <c r="BD257" s="20" t="e">
        <f ca="1">IF(Data!#REF!="","",IF(ISNUMBER(Data!#REF!),IF(AND(Data!#REF!&gt;(TODAY()-(Data_Val!$M$3*365.25)),Data!#REF!&lt;=(TODAY()-(Data_Val!$M$2*365.25))),0,1),1))</f>
        <v>#REF!</v>
      </c>
      <c r="BE257" s="12" t="e">
        <f>IF(Data!#REF!="","",IF(Data!$G257="",1,IF(ISNUMBER(MATCH(Data!#REF!,Data_Val!$D$2:$D$10,0)),0,1)))</f>
        <v>#REF!</v>
      </c>
      <c r="BF257" s="17"/>
      <c r="BG257" s="18" t="e">
        <f ca="1">IF(Data!#REF!="","",IF(ISNUMBER(Data!#REF!),IF(AND(Data!#REF!&gt;(TODAY()-(Data_Val!$M$3*365.25)),Data!#REF!&lt;=(TODAY()-(Data_Val!$M$2*365.25))),0,1),1))</f>
        <v>#REF!</v>
      </c>
      <c r="BH257" s="29" t="e">
        <f>IF(Data!#REF!="","",IF(Data!$G257="",1,IF(ISNUMBER(MATCH(Data!#REF!,Data_Val!$D$2:$D$10,0)),0,1)))</f>
        <v>#REF!</v>
      </c>
      <c r="BI257" s="13"/>
      <c r="BJ257" s="21" t="e">
        <f ca="1">IF(Data!#REF!="","",IF(ISNUMBER(Data!#REF!),IF(AND(Data!#REF!&gt;(TODAY()-(Data_Val!$M$3*365.25)),Data!#REF!&lt;=(TODAY()-(Data_Val!$M$2*365.25))),0,1),1))</f>
        <v>#REF!</v>
      </c>
      <c r="BK257" s="13" t="e">
        <f>IF(Data!#REF!="","",IF(Data!$G257="",1,IF(ISNUMBER(MATCH(Data!#REF!,Data_Val!$D$2:$D$10,0)),0,1)))</f>
        <v>#REF!</v>
      </c>
    </row>
    <row r="258" spans="1:63" x14ac:dyDescent="0.25">
      <c r="A258" s="9" t="str">
        <f>IF(Data!B258="","",IF(COUNTIFS(Data!A$1:'Data'!A258,Data!A258)&lt;=1,0,1))</f>
        <v/>
      </c>
      <c r="B258" s="9"/>
      <c r="C258" s="23" t="str">
        <f>IF(Data!C258="","",(IF(ISNUMBER(MATCH("*@*.?*",Data!C258,0)),0,1)+IF(COUNTIFS(Data!C$1:'Data'!C258,Data!C258)&gt;1,1,0)))</f>
        <v/>
      </c>
      <c r="D258" s="9" t="str">
        <f>IF(Data!B258="","",IF(ISNUMBER(Data!D258),IF(AND(Data!D258&gt;999999999,Data!D258&lt;=9999999999),IF(COUNTIFS(Data!D$1:'Data'!D258,Data!D258)&lt;=1,0,1),1),1))</f>
        <v/>
      </c>
      <c r="E258" s="9" t="str">
        <f>IF(Data!B258="","",IF(ISNUMBER(MATCH(Data!E258,Data_Val!$A$2:$A$3,0)),0,1))</f>
        <v/>
      </c>
      <c r="F258" s="9" t="str">
        <f ca="1">IF(Data!B258="","",IF(ISNUMBER(Data!F258),IF(AND(Data!F258&gt;(TODAY()-(Data_Val!$H$3*365.25)),Data!F258&lt;=(TODAY()-(Data_Val!$H$2*365.25))),0,1),1))</f>
        <v/>
      </c>
      <c r="G258" s="15" t="str">
        <f>IF(Data!B258="","",IF(AND(Data!G258="",Data!H258&lt;&gt;""),1,IF(Data!#REF!&lt;&gt;"",0,IF(ISNUMBER(MATCH(Data!G258,Data_Val!$C$2:$C$5,0)),0,1))))</f>
        <v/>
      </c>
      <c r="H258" s="15" t="str">
        <f>IF(Data!B258="","",IF(AND(Data!G258&lt;&gt;"",Data!H258=""),1,IF(Data!#REF!&lt;&gt;"",0,IF(Data!G258="",1,IF(ISNUMBER(MATCH(Data!H258,Data_Val!$D$2:$D$35,0)),0,1)))))</f>
        <v/>
      </c>
      <c r="I258" s="15" t="str">
        <f>IF(Data!B258="","",IF(Data!G258&lt;&gt;"",0,IF(ISNUMBER(MATCH(Data!#REF!,Data_Val!$E$2:$E$12,0)),0,1)))</f>
        <v/>
      </c>
      <c r="J258" s="16" t="e">
        <f>IF(OR(Data!B258="",Data!#REF!=""),"",IF(Data!#REF!="",1,0))</f>
        <v>#REF!</v>
      </c>
      <c r="K258" s="16" t="e">
        <f>IF(OR(Data!B258="",Data!#REF!=""),"",IF(Data!#REF!="",1,0))</f>
        <v>#REF!</v>
      </c>
      <c r="L258" s="16" t="e">
        <f>IF(OR(Data!B258="",Data!#REF!=""),"",IF(ISNUMBER(Data!#REF!),IF(AND(Data!#REF!&gt;Data_Val!$G$2,Data!#REF!&lt;=Data_Val!$G$3),0,1),1))</f>
        <v>#REF!</v>
      </c>
      <c r="M258" s="9" t="e">
        <f>IF(OR(Data!B258="",Data!#REF!=""),"",IF(ISNUMBER(MATCH(Data!#REF!,Data_Val!$F$1:$F$38,0)),0,1))</f>
        <v>#REF!</v>
      </c>
      <c r="N258" s="9" t="e">
        <f>IF(OR(Data!B258="",Data!#REF!=""),"",IF(Data!#REF!="",1,0))</f>
        <v>#REF!</v>
      </c>
      <c r="O258" s="17" t="e">
        <f>IF(Data!#REF!="","",IF(Data!#REF!="",1,0))</f>
        <v>#REF!</v>
      </c>
      <c r="P258" s="17" t="e">
        <f>IF(Data!#REF!="","",IF(ISNUMBER(MATCH(Data!#REF!,Data_Val!$A$2:$A$3,0)),0,1))</f>
        <v>#REF!</v>
      </c>
      <c r="Q258" s="25" t="e">
        <f ca="1">IF(Data!#REF!="","",IF(ISNUMBER(Data!#REF!),IF(AND(Data!#REF!&gt;(TODAY()-(Data_Val!$J$3*365.25)),Data!#REF!&lt;=(TODAY()-(Data_Val!$J$2*365.25))),0,1),1))</f>
        <v>#REF!</v>
      </c>
      <c r="R258" s="17" t="e">
        <f>IF(Data!#REF!="","",IF(ISNUMBER(MATCH(Data!#REF!,Data_Val!$B$2:$B$15,0)),0,1))</f>
        <v>#REF!</v>
      </c>
      <c r="S258" s="11" t="str">
        <f>IF(Data!G258="","",IF(Data!G258=Data_Val!$C$2,IF(Data!M258="",0,1),0))</f>
        <v/>
      </c>
      <c r="T258" s="11" t="str">
        <f>IF(Data!M258="","",IF(ISNUMBER(MATCH(Data!N258,Data_Val!$A$2:$A$3,0)),0,1))</f>
        <v/>
      </c>
      <c r="U258" s="11" t="str">
        <f ca="1">IF(Data!M258="","",IF(ISNUMBER(Data!O258),IF(AND(Data!O258&gt;(TODAY()-(Data_Val!$K$3*365.25)),Data!O258&lt;=(TODAY()-(Data_Val!$K$2*365.25))),0,1),1))</f>
        <v/>
      </c>
      <c r="V258" s="12" t="str">
        <f>IF(Data!G258="","",IF(Data!G258=Data_Val!$C$2,IF(Data!P258="",0,1),0))</f>
        <v/>
      </c>
      <c r="W258" s="12" t="str">
        <f>IF(Data!P258="","",IF(ISNUMBER(MATCH(Data!Q258,Data_Val!$A$2:$A$3,0)),0,1))</f>
        <v/>
      </c>
      <c r="X258" s="26" t="str">
        <f ca="1">IF(Data!P258="","",IF(ISNUMBER(Data!R258),IF(AND(Data!R258&gt;(TODAY()-(Data_Val!$L$3*365.25)),Data!R258&lt;=(TODAY()-(Data_Val!$L$2*365.25))),0,1),1))</f>
        <v/>
      </c>
      <c r="Y258" s="13" t="str">
        <f>IF(Data!$G258="","",IF(Data!$G258=Data_Val!$C$2,IF(Data!S258="",0,1),0))</f>
        <v/>
      </c>
      <c r="Z258" s="13" t="str">
        <f>IF(Data!S258="","",IF(ISNUMBER(MATCH(Data!T258,Data_Val!$A$2:$A$3,0)),0,1))</f>
        <v/>
      </c>
      <c r="AA258" s="28" t="str">
        <f ca="1">IF(Data!S258="","",IF(ISNUMBER(Data!U258),IF(AND(Data!U258&gt;(TODAY()-(Data_Val!$L$3*365.25)),Data!U258&lt;=(TODAY()-(Data_Val!$L$2*365.25))),0,1),1))</f>
        <v/>
      </c>
      <c r="AB258" s="11"/>
      <c r="AC258" s="11" t="e">
        <f>IF(Data!#REF!="","",IF(ISNUMBER(MATCH(Data!#REF!,Data_Val!$A$2:$A$3,0)),0,1))</f>
        <v>#REF!</v>
      </c>
      <c r="AD258" s="11" t="e">
        <f ca="1">IF(Data!#REF!="","",IF(ISNUMBER(Data!#REF!),IF(AND(Data!#REF!&gt;(TODAY()-(Data_Val!$L$3*365.25)),Data!#REF!&lt;=(TODAY()-(Data_Val!$L$2*365.25))),0,1),1))</f>
        <v>#REF!</v>
      </c>
      <c r="AE258" s="11" t="e">
        <f>IF(Data!#REF!="","",IF(Data!$G258="",1,IF(ISNUMBER(MATCH(Data!#REF!,Data_Val!$D$2:$D$10,0)),0,1)))</f>
        <v>#REF!</v>
      </c>
      <c r="AF258" s="12"/>
      <c r="AG258" s="12" t="e">
        <f>IF(Data!#REF!="","",IF(ISNUMBER(MATCH(Data!#REF!,Data_Val!$A$2:$A$3,0)),0,1))</f>
        <v>#REF!</v>
      </c>
      <c r="AH258" s="26" t="e">
        <f ca="1">IF(Data!#REF!="","",IF(ISNUMBER(Data!#REF!),IF(AND(Data!#REF!&gt;(TODAY()-(Data_Val!$L$3*365.25)),Data!#REF!&lt;=(TODAY()-(Data_Val!$L$2*365.25))),0,1),1))</f>
        <v>#REF!</v>
      </c>
      <c r="AI258" s="12" t="e">
        <f>IF(Data!#REF!="","",IF(Data!$G258="",1,IF(ISNUMBER(MATCH(Data!#REF!,Data_Val!$D$2:$D$10,0)),0,1)))</f>
        <v>#REF!</v>
      </c>
      <c r="AJ258" s="17"/>
      <c r="AK258" s="17" t="e">
        <f>IF(Data!#REF!="","",IF(ISNUMBER(MATCH(Data!#REF!,Data_Val!$A$2:$A$3,0)),0,1))</f>
        <v>#REF!</v>
      </c>
      <c r="AL258" s="25" t="e">
        <f ca="1">IF(Data!#REF!="","",IF(ISNUMBER(Data!#REF!),IF(AND(Data!#REF!&gt;(TODAY()-(Data_Val!$L$3*365.25)),Data!#REF!&lt;=(TODAY()-(Data_Val!$L$2*365.25))),0,1),1))</f>
        <v>#REF!</v>
      </c>
      <c r="AM258" s="17" t="e">
        <f>IF(Data!#REF!="","",IF(Data!$G258="",1,IF(ISNUMBER(MATCH(Data!#REF!,Data_Val!$D$2:$D$10,0)),0,1)))</f>
        <v>#REF!</v>
      </c>
      <c r="AN258" s="13"/>
      <c r="AO258" s="28" t="e">
        <f ca="1">IF(Data!#REF!="","",IF(ISNUMBER(Data!#REF!),IF(AND(Data!#REF!&gt;(TODAY()-(Data_Val!$I$3*365.25)),Data!#REF!&lt;=(TODAY()-(Data_Val!$I$2*365.25))),0,1),1))</f>
        <v>#REF!</v>
      </c>
      <c r="AP258" s="13" t="e">
        <f>IF(Data!#REF!="","",IF(Data!$G258="",1,IF(ISNUMBER(MATCH(Data!#REF!,Data_Val!$D$2:$D$10,0)),0,1)))</f>
        <v>#REF!</v>
      </c>
      <c r="AQ258" s="17"/>
      <c r="AR258" s="30" t="e">
        <f ca="1">IF(Data!#REF!="","",IF(ISNUMBER(Data!#REF!),IF(AND(Data!#REF!&gt;(TODAY()-(Data_Val!$I$3*365.25)),Data!#REF!&lt;=(TODAY()-(Data_Val!$I$2*365.25))),0,1),1))</f>
        <v>#REF!</v>
      </c>
      <c r="AS258" s="31" t="e">
        <f>IF(Data!#REF!="","",IF(Data!$G258="",1,IF(ISNUMBER(MATCH(Data!#REF!,Data_Val!$D$2:$D$10,0)),0,1)))</f>
        <v>#REF!</v>
      </c>
      <c r="AT258" s="11"/>
      <c r="AU258" s="11" t="e">
        <f ca="1">IF(Data!#REF!="","",IF(ISNUMBER(Data!#REF!),IF(AND(Data!#REF!&gt;(TODAY()-(Data_Val!$I$3*365.25)),Data!#REF!&lt;=(TODAY()-(Data_Val!$I$2*365.25))),0,1),1))</f>
        <v>#REF!</v>
      </c>
      <c r="AV258" s="11" t="e">
        <f>IF(Data!#REF!="","",IF(Data!$G258="",1,IF(ISNUMBER(MATCH(Data!#REF!,Data_Val!$D$2:$D$10,0)),0,1)))</f>
        <v>#REF!</v>
      </c>
      <c r="AW258" s="12"/>
      <c r="AX258" s="26" t="e">
        <f ca="1">IF(Data!#REF!="","",IF(ISNUMBER(Data!#REF!),IF(AND(Data!#REF!&gt;(TODAY()-(Data_Val!$I$3*365.25)),Data!#REF!&lt;=(TODAY()-(Data_Val!$I$2*365.25))),0,1),1))</f>
        <v>#REF!</v>
      </c>
      <c r="AY258" s="12" t="e">
        <f>IF(Data!#REF!="","",IF(Data!$G258="",1,IF(ISNUMBER(MATCH(Data!#REF!,Data_Val!$D$2:$D$10,0)),0,1)))</f>
        <v>#REF!</v>
      </c>
      <c r="AZ258" s="11"/>
      <c r="BA258" s="19" t="e">
        <f ca="1">IF(Data!#REF!="","",IF(ISNUMBER(Data!#REF!),IF(AND(Data!#REF!&gt;(TODAY()-(Data_Val!$M$3*365.25)),Data!#REF!&lt;=(TODAY()-(Data_Val!$M$2*365.25))),0,1),1))</f>
        <v>#REF!</v>
      </c>
      <c r="BB258" s="11" t="e">
        <f>IF(Data!#REF!="","",IF(Data!$G258="",1,IF(ISNUMBER(MATCH(Data!#REF!,Data_Val!$D$2:$D$10,0)),0,1)))</f>
        <v>#REF!</v>
      </c>
      <c r="BC258" s="12"/>
      <c r="BD258" s="20" t="e">
        <f ca="1">IF(Data!#REF!="","",IF(ISNUMBER(Data!#REF!),IF(AND(Data!#REF!&gt;(TODAY()-(Data_Val!$M$3*365.25)),Data!#REF!&lt;=(TODAY()-(Data_Val!$M$2*365.25))),0,1),1))</f>
        <v>#REF!</v>
      </c>
      <c r="BE258" s="12" t="e">
        <f>IF(Data!#REF!="","",IF(Data!$G258="",1,IF(ISNUMBER(MATCH(Data!#REF!,Data_Val!$D$2:$D$10,0)),0,1)))</f>
        <v>#REF!</v>
      </c>
      <c r="BF258" s="17"/>
      <c r="BG258" s="18" t="e">
        <f ca="1">IF(Data!#REF!="","",IF(ISNUMBER(Data!#REF!),IF(AND(Data!#REF!&gt;(TODAY()-(Data_Val!$M$3*365.25)),Data!#REF!&lt;=(TODAY()-(Data_Val!$M$2*365.25))),0,1),1))</f>
        <v>#REF!</v>
      </c>
      <c r="BH258" s="29" t="e">
        <f>IF(Data!#REF!="","",IF(Data!$G258="",1,IF(ISNUMBER(MATCH(Data!#REF!,Data_Val!$D$2:$D$10,0)),0,1)))</f>
        <v>#REF!</v>
      </c>
      <c r="BI258" s="13"/>
      <c r="BJ258" s="21" t="e">
        <f ca="1">IF(Data!#REF!="","",IF(ISNUMBER(Data!#REF!),IF(AND(Data!#REF!&gt;(TODAY()-(Data_Val!$M$3*365.25)),Data!#REF!&lt;=(TODAY()-(Data_Val!$M$2*365.25))),0,1),1))</f>
        <v>#REF!</v>
      </c>
      <c r="BK258" s="13" t="e">
        <f>IF(Data!#REF!="","",IF(Data!$G258="",1,IF(ISNUMBER(MATCH(Data!#REF!,Data_Val!$D$2:$D$10,0)),0,1)))</f>
        <v>#REF!</v>
      </c>
    </row>
    <row r="259" spans="1:63" x14ac:dyDescent="0.25">
      <c r="A259" s="9" t="str">
        <f>IF(Data!B259="","",IF(COUNTIFS(Data!A$1:'Data'!A259,Data!A259)&lt;=1,0,1))</f>
        <v/>
      </c>
      <c r="B259" s="9"/>
      <c r="C259" s="23" t="str">
        <f>IF(Data!C259="","",(IF(ISNUMBER(MATCH("*@*.?*",Data!C259,0)),0,1)+IF(COUNTIFS(Data!C$1:'Data'!C259,Data!C259)&gt;1,1,0)))</f>
        <v/>
      </c>
      <c r="D259" s="9" t="str">
        <f>IF(Data!B259="","",IF(ISNUMBER(Data!D259),IF(AND(Data!D259&gt;999999999,Data!D259&lt;=9999999999),IF(COUNTIFS(Data!D$1:'Data'!D259,Data!D259)&lt;=1,0,1),1),1))</f>
        <v/>
      </c>
      <c r="E259" s="9" t="str">
        <f>IF(Data!B259="","",IF(ISNUMBER(MATCH(Data!E259,Data_Val!$A$2:$A$3,0)),0,1))</f>
        <v/>
      </c>
      <c r="F259" s="9" t="str">
        <f ca="1">IF(Data!B259="","",IF(ISNUMBER(Data!F259),IF(AND(Data!F259&gt;(TODAY()-(Data_Val!$H$3*365.25)),Data!F259&lt;=(TODAY()-(Data_Val!$H$2*365.25))),0,1),1))</f>
        <v/>
      </c>
      <c r="G259" s="15" t="str">
        <f>IF(Data!B259="","",IF(AND(Data!G259="",Data!H259&lt;&gt;""),1,IF(Data!#REF!&lt;&gt;"",0,IF(ISNUMBER(MATCH(Data!G259,Data_Val!$C$2:$C$5,0)),0,1))))</f>
        <v/>
      </c>
      <c r="H259" s="15" t="str">
        <f>IF(Data!B259="","",IF(AND(Data!G259&lt;&gt;"",Data!H259=""),1,IF(Data!#REF!&lt;&gt;"",0,IF(Data!G259="",1,IF(ISNUMBER(MATCH(Data!H259,Data_Val!$D$2:$D$35,0)),0,1)))))</f>
        <v/>
      </c>
      <c r="I259" s="15" t="str">
        <f>IF(Data!B259="","",IF(Data!G259&lt;&gt;"",0,IF(ISNUMBER(MATCH(Data!#REF!,Data_Val!$E$2:$E$12,0)),0,1)))</f>
        <v/>
      </c>
      <c r="J259" s="16" t="e">
        <f>IF(OR(Data!B259="",Data!#REF!=""),"",IF(Data!#REF!="",1,0))</f>
        <v>#REF!</v>
      </c>
      <c r="K259" s="16" t="e">
        <f>IF(OR(Data!B259="",Data!#REF!=""),"",IF(Data!#REF!="",1,0))</f>
        <v>#REF!</v>
      </c>
      <c r="L259" s="16" t="e">
        <f>IF(OR(Data!B259="",Data!#REF!=""),"",IF(ISNUMBER(Data!#REF!),IF(AND(Data!#REF!&gt;Data_Val!$G$2,Data!#REF!&lt;=Data_Val!$G$3),0,1),1))</f>
        <v>#REF!</v>
      </c>
      <c r="M259" s="9" t="e">
        <f>IF(OR(Data!B259="",Data!#REF!=""),"",IF(ISNUMBER(MATCH(Data!#REF!,Data_Val!$F$1:$F$38,0)),0,1))</f>
        <v>#REF!</v>
      </c>
      <c r="N259" s="9" t="e">
        <f>IF(OR(Data!B259="",Data!#REF!=""),"",IF(Data!#REF!="",1,0))</f>
        <v>#REF!</v>
      </c>
      <c r="O259" s="17" t="e">
        <f>IF(Data!#REF!="","",IF(Data!#REF!="",1,0))</f>
        <v>#REF!</v>
      </c>
      <c r="P259" s="17" t="e">
        <f>IF(Data!#REF!="","",IF(ISNUMBER(MATCH(Data!#REF!,Data_Val!$A$2:$A$3,0)),0,1))</f>
        <v>#REF!</v>
      </c>
      <c r="Q259" s="25" t="e">
        <f ca="1">IF(Data!#REF!="","",IF(ISNUMBER(Data!#REF!),IF(AND(Data!#REF!&gt;(TODAY()-(Data_Val!$J$3*365.25)),Data!#REF!&lt;=(TODAY()-(Data_Val!$J$2*365.25))),0,1),1))</f>
        <v>#REF!</v>
      </c>
      <c r="R259" s="17" t="e">
        <f>IF(Data!#REF!="","",IF(ISNUMBER(MATCH(Data!#REF!,Data_Val!$B$2:$B$15,0)),0,1))</f>
        <v>#REF!</v>
      </c>
      <c r="S259" s="11" t="str">
        <f>IF(Data!G259="","",IF(Data!G259=Data_Val!$C$2,IF(Data!M259="",0,1),0))</f>
        <v/>
      </c>
      <c r="T259" s="11" t="str">
        <f>IF(Data!M259="","",IF(ISNUMBER(MATCH(Data!N259,Data_Val!$A$2:$A$3,0)),0,1))</f>
        <v/>
      </c>
      <c r="U259" s="11" t="str">
        <f ca="1">IF(Data!M259="","",IF(ISNUMBER(Data!O259),IF(AND(Data!O259&gt;(TODAY()-(Data_Val!$K$3*365.25)),Data!O259&lt;=(TODAY()-(Data_Val!$K$2*365.25))),0,1),1))</f>
        <v/>
      </c>
      <c r="V259" s="12" t="str">
        <f>IF(Data!G259="","",IF(Data!G259=Data_Val!$C$2,IF(Data!P259="",0,1),0))</f>
        <v/>
      </c>
      <c r="W259" s="12" t="str">
        <f>IF(Data!P259="","",IF(ISNUMBER(MATCH(Data!Q259,Data_Val!$A$2:$A$3,0)),0,1))</f>
        <v/>
      </c>
      <c r="X259" s="26" t="str">
        <f ca="1">IF(Data!P259="","",IF(ISNUMBER(Data!R259),IF(AND(Data!R259&gt;(TODAY()-(Data_Val!$L$3*365.25)),Data!R259&lt;=(TODAY()-(Data_Val!$L$2*365.25))),0,1),1))</f>
        <v/>
      </c>
      <c r="Y259" s="13" t="str">
        <f>IF(Data!$G259="","",IF(Data!$G259=Data_Val!$C$2,IF(Data!S259="",0,1),0))</f>
        <v/>
      </c>
      <c r="Z259" s="13" t="str">
        <f>IF(Data!S259="","",IF(ISNUMBER(MATCH(Data!T259,Data_Val!$A$2:$A$3,0)),0,1))</f>
        <v/>
      </c>
      <c r="AA259" s="28" t="str">
        <f ca="1">IF(Data!S259="","",IF(ISNUMBER(Data!U259),IF(AND(Data!U259&gt;(TODAY()-(Data_Val!$L$3*365.25)),Data!U259&lt;=(TODAY()-(Data_Val!$L$2*365.25))),0,1),1))</f>
        <v/>
      </c>
      <c r="AB259" s="11"/>
      <c r="AC259" s="11" t="e">
        <f>IF(Data!#REF!="","",IF(ISNUMBER(MATCH(Data!#REF!,Data_Val!$A$2:$A$3,0)),0,1))</f>
        <v>#REF!</v>
      </c>
      <c r="AD259" s="11" t="e">
        <f ca="1">IF(Data!#REF!="","",IF(ISNUMBER(Data!#REF!),IF(AND(Data!#REF!&gt;(TODAY()-(Data_Val!$L$3*365.25)),Data!#REF!&lt;=(TODAY()-(Data_Val!$L$2*365.25))),0,1),1))</f>
        <v>#REF!</v>
      </c>
      <c r="AE259" s="11" t="e">
        <f>IF(Data!#REF!="","",IF(Data!$G259="",1,IF(ISNUMBER(MATCH(Data!#REF!,Data_Val!$D$2:$D$10,0)),0,1)))</f>
        <v>#REF!</v>
      </c>
      <c r="AF259" s="12"/>
      <c r="AG259" s="12" t="e">
        <f>IF(Data!#REF!="","",IF(ISNUMBER(MATCH(Data!#REF!,Data_Val!$A$2:$A$3,0)),0,1))</f>
        <v>#REF!</v>
      </c>
      <c r="AH259" s="26" t="e">
        <f ca="1">IF(Data!#REF!="","",IF(ISNUMBER(Data!#REF!),IF(AND(Data!#REF!&gt;(TODAY()-(Data_Val!$L$3*365.25)),Data!#REF!&lt;=(TODAY()-(Data_Val!$L$2*365.25))),0,1),1))</f>
        <v>#REF!</v>
      </c>
      <c r="AI259" s="12" t="e">
        <f>IF(Data!#REF!="","",IF(Data!$G259="",1,IF(ISNUMBER(MATCH(Data!#REF!,Data_Val!$D$2:$D$10,0)),0,1)))</f>
        <v>#REF!</v>
      </c>
      <c r="AJ259" s="17"/>
      <c r="AK259" s="17" t="e">
        <f>IF(Data!#REF!="","",IF(ISNUMBER(MATCH(Data!#REF!,Data_Val!$A$2:$A$3,0)),0,1))</f>
        <v>#REF!</v>
      </c>
      <c r="AL259" s="25" t="e">
        <f ca="1">IF(Data!#REF!="","",IF(ISNUMBER(Data!#REF!),IF(AND(Data!#REF!&gt;(TODAY()-(Data_Val!$L$3*365.25)),Data!#REF!&lt;=(TODAY()-(Data_Val!$L$2*365.25))),0,1),1))</f>
        <v>#REF!</v>
      </c>
      <c r="AM259" s="17" t="e">
        <f>IF(Data!#REF!="","",IF(Data!$G259="",1,IF(ISNUMBER(MATCH(Data!#REF!,Data_Val!$D$2:$D$10,0)),0,1)))</f>
        <v>#REF!</v>
      </c>
      <c r="AN259" s="13"/>
      <c r="AO259" s="28" t="e">
        <f ca="1">IF(Data!#REF!="","",IF(ISNUMBER(Data!#REF!),IF(AND(Data!#REF!&gt;(TODAY()-(Data_Val!$I$3*365.25)),Data!#REF!&lt;=(TODAY()-(Data_Val!$I$2*365.25))),0,1),1))</f>
        <v>#REF!</v>
      </c>
      <c r="AP259" s="13" t="e">
        <f>IF(Data!#REF!="","",IF(Data!$G259="",1,IF(ISNUMBER(MATCH(Data!#REF!,Data_Val!$D$2:$D$10,0)),0,1)))</f>
        <v>#REF!</v>
      </c>
      <c r="AQ259" s="17"/>
      <c r="AR259" s="30" t="e">
        <f ca="1">IF(Data!#REF!="","",IF(ISNUMBER(Data!#REF!),IF(AND(Data!#REF!&gt;(TODAY()-(Data_Val!$I$3*365.25)),Data!#REF!&lt;=(TODAY()-(Data_Val!$I$2*365.25))),0,1),1))</f>
        <v>#REF!</v>
      </c>
      <c r="AS259" s="31" t="e">
        <f>IF(Data!#REF!="","",IF(Data!$G259="",1,IF(ISNUMBER(MATCH(Data!#REF!,Data_Val!$D$2:$D$10,0)),0,1)))</f>
        <v>#REF!</v>
      </c>
      <c r="AT259" s="11"/>
      <c r="AU259" s="11" t="e">
        <f ca="1">IF(Data!#REF!="","",IF(ISNUMBER(Data!#REF!),IF(AND(Data!#REF!&gt;(TODAY()-(Data_Val!$I$3*365.25)),Data!#REF!&lt;=(TODAY()-(Data_Val!$I$2*365.25))),0,1),1))</f>
        <v>#REF!</v>
      </c>
      <c r="AV259" s="11" t="e">
        <f>IF(Data!#REF!="","",IF(Data!$G259="",1,IF(ISNUMBER(MATCH(Data!#REF!,Data_Val!$D$2:$D$10,0)),0,1)))</f>
        <v>#REF!</v>
      </c>
      <c r="AW259" s="12"/>
      <c r="AX259" s="26" t="e">
        <f ca="1">IF(Data!#REF!="","",IF(ISNUMBER(Data!#REF!),IF(AND(Data!#REF!&gt;(TODAY()-(Data_Val!$I$3*365.25)),Data!#REF!&lt;=(TODAY()-(Data_Val!$I$2*365.25))),0,1),1))</f>
        <v>#REF!</v>
      </c>
      <c r="AY259" s="12" t="e">
        <f>IF(Data!#REF!="","",IF(Data!$G259="",1,IF(ISNUMBER(MATCH(Data!#REF!,Data_Val!$D$2:$D$10,0)),0,1)))</f>
        <v>#REF!</v>
      </c>
      <c r="AZ259" s="11"/>
      <c r="BA259" s="19" t="e">
        <f ca="1">IF(Data!#REF!="","",IF(ISNUMBER(Data!#REF!),IF(AND(Data!#REF!&gt;(TODAY()-(Data_Val!$M$3*365.25)),Data!#REF!&lt;=(TODAY()-(Data_Val!$M$2*365.25))),0,1),1))</f>
        <v>#REF!</v>
      </c>
      <c r="BB259" s="11" t="e">
        <f>IF(Data!#REF!="","",IF(Data!$G259="",1,IF(ISNUMBER(MATCH(Data!#REF!,Data_Val!$D$2:$D$10,0)),0,1)))</f>
        <v>#REF!</v>
      </c>
      <c r="BC259" s="12"/>
      <c r="BD259" s="20" t="e">
        <f ca="1">IF(Data!#REF!="","",IF(ISNUMBER(Data!#REF!),IF(AND(Data!#REF!&gt;(TODAY()-(Data_Val!$M$3*365.25)),Data!#REF!&lt;=(TODAY()-(Data_Val!$M$2*365.25))),0,1),1))</f>
        <v>#REF!</v>
      </c>
      <c r="BE259" s="12" t="e">
        <f>IF(Data!#REF!="","",IF(Data!$G259="",1,IF(ISNUMBER(MATCH(Data!#REF!,Data_Val!$D$2:$D$10,0)),0,1)))</f>
        <v>#REF!</v>
      </c>
      <c r="BF259" s="17"/>
      <c r="BG259" s="18" t="e">
        <f ca="1">IF(Data!#REF!="","",IF(ISNUMBER(Data!#REF!),IF(AND(Data!#REF!&gt;(TODAY()-(Data_Val!$M$3*365.25)),Data!#REF!&lt;=(TODAY()-(Data_Val!$M$2*365.25))),0,1),1))</f>
        <v>#REF!</v>
      </c>
      <c r="BH259" s="29" t="e">
        <f>IF(Data!#REF!="","",IF(Data!$G259="",1,IF(ISNUMBER(MATCH(Data!#REF!,Data_Val!$D$2:$D$10,0)),0,1)))</f>
        <v>#REF!</v>
      </c>
      <c r="BI259" s="13"/>
      <c r="BJ259" s="21" t="e">
        <f ca="1">IF(Data!#REF!="","",IF(ISNUMBER(Data!#REF!),IF(AND(Data!#REF!&gt;(TODAY()-(Data_Val!$M$3*365.25)),Data!#REF!&lt;=(TODAY()-(Data_Val!$M$2*365.25))),0,1),1))</f>
        <v>#REF!</v>
      </c>
      <c r="BK259" s="13" t="e">
        <f>IF(Data!#REF!="","",IF(Data!$G259="",1,IF(ISNUMBER(MATCH(Data!#REF!,Data_Val!$D$2:$D$10,0)),0,1)))</f>
        <v>#REF!</v>
      </c>
    </row>
    <row r="260" spans="1:63" x14ac:dyDescent="0.25">
      <c r="A260" s="9" t="str">
        <f>IF(Data!B260="","",IF(COUNTIFS(Data!A$1:'Data'!A260,Data!A260)&lt;=1,0,1))</f>
        <v/>
      </c>
      <c r="B260" s="9"/>
      <c r="C260" s="23" t="str">
        <f>IF(Data!C260="","",(IF(ISNUMBER(MATCH("*@*.?*",Data!C260,0)),0,1)+IF(COUNTIFS(Data!C$1:'Data'!C260,Data!C260)&gt;1,1,0)))</f>
        <v/>
      </c>
      <c r="D260" s="9" t="str">
        <f>IF(Data!B260="","",IF(ISNUMBER(Data!D260),IF(AND(Data!D260&gt;999999999,Data!D260&lt;=9999999999),IF(COUNTIFS(Data!D$1:'Data'!D260,Data!D260)&lt;=1,0,1),1),1))</f>
        <v/>
      </c>
      <c r="E260" s="9" t="str">
        <f>IF(Data!B260="","",IF(ISNUMBER(MATCH(Data!E260,Data_Val!$A$2:$A$3,0)),0,1))</f>
        <v/>
      </c>
      <c r="F260" s="9" t="str">
        <f ca="1">IF(Data!B260="","",IF(ISNUMBER(Data!F260),IF(AND(Data!F260&gt;(TODAY()-(Data_Val!$H$3*365.25)),Data!F260&lt;=(TODAY()-(Data_Val!$H$2*365.25))),0,1),1))</f>
        <v/>
      </c>
      <c r="G260" s="15" t="str">
        <f>IF(Data!B260="","",IF(AND(Data!G260="",Data!H260&lt;&gt;""),1,IF(Data!#REF!&lt;&gt;"",0,IF(ISNUMBER(MATCH(Data!G260,Data_Val!$C$2:$C$5,0)),0,1))))</f>
        <v/>
      </c>
      <c r="H260" s="15" t="str">
        <f>IF(Data!B260="","",IF(AND(Data!G260&lt;&gt;"",Data!H260=""),1,IF(Data!#REF!&lt;&gt;"",0,IF(Data!G260="",1,IF(ISNUMBER(MATCH(Data!H260,Data_Val!$D$2:$D$35,0)),0,1)))))</f>
        <v/>
      </c>
      <c r="I260" s="15" t="str">
        <f>IF(Data!B260="","",IF(Data!G260&lt;&gt;"",0,IF(ISNUMBER(MATCH(Data!#REF!,Data_Val!$E$2:$E$12,0)),0,1)))</f>
        <v/>
      </c>
      <c r="J260" s="16" t="e">
        <f>IF(OR(Data!B260="",Data!#REF!=""),"",IF(Data!#REF!="",1,0))</f>
        <v>#REF!</v>
      </c>
      <c r="K260" s="16" t="e">
        <f>IF(OR(Data!B260="",Data!#REF!=""),"",IF(Data!#REF!="",1,0))</f>
        <v>#REF!</v>
      </c>
      <c r="L260" s="16" t="e">
        <f>IF(OR(Data!B260="",Data!#REF!=""),"",IF(ISNUMBER(Data!#REF!),IF(AND(Data!#REF!&gt;Data_Val!$G$2,Data!#REF!&lt;=Data_Val!$G$3),0,1),1))</f>
        <v>#REF!</v>
      </c>
      <c r="M260" s="9" t="e">
        <f>IF(OR(Data!B260="",Data!#REF!=""),"",IF(ISNUMBER(MATCH(Data!#REF!,Data_Val!$F$1:$F$38,0)),0,1))</f>
        <v>#REF!</v>
      </c>
      <c r="N260" s="9" t="e">
        <f>IF(OR(Data!B260="",Data!#REF!=""),"",IF(Data!#REF!="",1,0))</f>
        <v>#REF!</v>
      </c>
      <c r="O260" s="17" t="e">
        <f>IF(Data!#REF!="","",IF(Data!#REF!="",1,0))</f>
        <v>#REF!</v>
      </c>
      <c r="P260" s="17" t="e">
        <f>IF(Data!#REF!="","",IF(ISNUMBER(MATCH(Data!#REF!,Data_Val!$A$2:$A$3,0)),0,1))</f>
        <v>#REF!</v>
      </c>
      <c r="Q260" s="25" t="e">
        <f ca="1">IF(Data!#REF!="","",IF(ISNUMBER(Data!#REF!),IF(AND(Data!#REF!&gt;(TODAY()-(Data_Val!$J$3*365.25)),Data!#REF!&lt;=(TODAY()-(Data_Val!$J$2*365.25))),0,1),1))</f>
        <v>#REF!</v>
      </c>
      <c r="R260" s="17" t="e">
        <f>IF(Data!#REF!="","",IF(ISNUMBER(MATCH(Data!#REF!,Data_Val!$B$2:$B$15,0)),0,1))</f>
        <v>#REF!</v>
      </c>
      <c r="S260" s="11" t="str">
        <f>IF(Data!G260="","",IF(Data!G260=Data_Val!$C$2,IF(Data!M260="",0,1),0))</f>
        <v/>
      </c>
      <c r="T260" s="11" t="str">
        <f>IF(Data!M260="","",IF(ISNUMBER(MATCH(Data!N260,Data_Val!$A$2:$A$3,0)),0,1))</f>
        <v/>
      </c>
      <c r="U260" s="11" t="str">
        <f ca="1">IF(Data!M260="","",IF(ISNUMBER(Data!O260),IF(AND(Data!O260&gt;(TODAY()-(Data_Val!$K$3*365.25)),Data!O260&lt;=(TODAY()-(Data_Val!$K$2*365.25))),0,1),1))</f>
        <v/>
      </c>
      <c r="V260" s="12" t="str">
        <f>IF(Data!G260="","",IF(Data!G260=Data_Val!$C$2,IF(Data!P260="",0,1),0))</f>
        <v/>
      </c>
      <c r="W260" s="12" t="str">
        <f>IF(Data!P260="","",IF(ISNUMBER(MATCH(Data!Q260,Data_Val!$A$2:$A$3,0)),0,1))</f>
        <v/>
      </c>
      <c r="X260" s="26" t="str">
        <f ca="1">IF(Data!P260="","",IF(ISNUMBER(Data!R260),IF(AND(Data!R260&gt;(TODAY()-(Data_Val!$L$3*365.25)),Data!R260&lt;=(TODAY()-(Data_Val!$L$2*365.25))),0,1),1))</f>
        <v/>
      </c>
      <c r="Y260" s="13" t="str">
        <f>IF(Data!$G260="","",IF(Data!$G260=Data_Val!$C$2,IF(Data!S260="",0,1),0))</f>
        <v/>
      </c>
      <c r="Z260" s="13" t="str">
        <f>IF(Data!S260="","",IF(ISNUMBER(MATCH(Data!T260,Data_Val!$A$2:$A$3,0)),0,1))</f>
        <v/>
      </c>
      <c r="AA260" s="28" t="str">
        <f ca="1">IF(Data!S260="","",IF(ISNUMBER(Data!U260),IF(AND(Data!U260&gt;(TODAY()-(Data_Val!$L$3*365.25)),Data!U260&lt;=(TODAY()-(Data_Val!$L$2*365.25))),0,1),1))</f>
        <v/>
      </c>
      <c r="AB260" s="11"/>
      <c r="AC260" s="11" t="e">
        <f>IF(Data!#REF!="","",IF(ISNUMBER(MATCH(Data!#REF!,Data_Val!$A$2:$A$3,0)),0,1))</f>
        <v>#REF!</v>
      </c>
      <c r="AD260" s="11" t="e">
        <f ca="1">IF(Data!#REF!="","",IF(ISNUMBER(Data!#REF!),IF(AND(Data!#REF!&gt;(TODAY()-(Data_Val!$L$3*365.25)),Data!#REF!&lt;=(TODAY()-(Data_Val!$L$2*365.25))),0,1),1))</f>
        <v>#REF!</v>
      </c>
      <c r="AE260" s="11" t="e">
        <f>IF(Data!#REF!="","",IF(Data!$G260="",1,IF(ISNUMBER(MATCH(Data!#REF!,Data_Val!$D$2:$D$10,0)),0,1)))</f>
        <v>#REF!</v>
      </c>
      <c r="AF260" s="12"/>
      <c r="AG260" s="12" t="e">
        <f>IF(Data!#REF!="","",IF(ISNUMBER(MATCH(Data!#REF!,Data_Val!$A$2:$A$3,0)),0,1))</f>
        <v>#REF!</v>
      </c>
      <c r="AH260" s="26" t="e">
        <f ca="1">IF(Data!#REF!="","",IF(ISNUMBER(Data!#REF!),IF(AND(Data!#REF!&gt;(TODAY()-(Data_Val!$L$3*365.25)),Data!#REF!&lt;=(TODAY()-(Data_Val!$L$2*365.25))),0,1),1))</f>
        <v>#REF!</v>
      </c>
      <c r="AI260" s="12" t="e">
        <f>IF(Data!#REF!="","",IF(Data!$G260="",1,IF(ISNUMBER(MATCH(Data!#REF!,Data_Val!$D$2:$D$10,0)),0,1)))</f>
        <v>#REF!</v>
      </c>
      <c r="AJ260" s="17"/>
      <c r="AK260" s="17" t="e">
        <f>IF(Data!#REF!="","",IF(ISNUMBER(MATCH(Data!#REF!,Data_Val!$A$2:$A$3,0)),0,1))</f>
        <v>#REF!</v>
      </c>
      <c r="AL260" s="25" t="e">
        <f ca="1">IF(Data!#REF!="","",IF(ISNUMBER(Data!#REF!),IF(AND(Data!#REF!&gt;(TODAY()-(Data_Val!$L$3*365.25)),Data!#REF!&lt;=(TODAY()-(Data_Val!$L$2*365.25))),0,1),1))</f>
        <v>#REF!</v>
      </c>
      <c r="AM260" s="17" t="e">
        <f>IF(Data!#REF!="","",IF(Data!$G260="",1,IF(ISNUMBER(MATCH(Data!#REF!,Data_Val!$D$2:$D$10,0)),0,1)))</f>
        <v>#REF!</v>
      </c>
      <c r="AN260" s="13"/>
      <c r="AO260" s="28" t="e">
        <f ca="1">IF(Data!#REF!="","",IF(ISNUMBER(Data!#REF!),IF(AND(Data!#REF!&gt;(TODAY()-(Data_Val!$I$3*365.25)),Data!#REF!&lt;=(TODAY()-(Data_Val!$I$2*365.25))),0,1),1))</f>
        <v>#REF!</v>
      </c>
      <c r="AP260" s="13" t="e">
        <f>IF(Data!#REF!="","",IF(Data!$G260="",1,IF(ISNUMBER(MATCH(Data!#REF!,Data_Val!$D$2:$D$10,0)),0,1)))</f>
        <v>#REF!</v>
      </c>
      <c r="AQ260" s="17"/>
      <c r="AR260" s="30" t="e">
        <f ca="1">IF(Data!#REF!="","",IF(ISNUMBER(Data!#REF!),IF(AND(Data!#REF!&gt;(TODAY()-(Data_Val!$I$3*365.25)),Data!#REF!&lt;=(TODAY()-(Data_Val!$I$2*365.25))),0,1),1))</f>
        <v>#REF!</v>
      </c>
      <c r="AS260" s="31" t="e">
        <f>IF(Data!#REF!="","",IF(Data!$G260="",1,IF(ISNUMBER(MATCH(Data!#REF!,Data_Val!$D$2:$D$10,0)),0,1)))</f>
        <v>#REF!</v>
      </c>
      <c r="AT260" s="11"/>
      <c r="AU260" s="11" t="e">
        <f ca="1">IF(Data!#REF!="","",IF(ISNUMBER(Data!#REF!),IF(AND(Data!#REF!&gt;(TODAY()-(Data_Val!$I$3*365.25)),Data!#REF!&lt;=(TODAY()-(Data_Val!$I$2*365.25))),0,1),1))</f>
        <v>#REF!</v>
      </c>
      <c r="AV260" s="11" t="e">
        <f>IF(Data!#REF!="","",IF(Data!$G260="",1,IF(ISNUMBER(MATCH(Data!#REF!,Data_Val!$D$2:$D$10,0)),0,1)))</f>
        <v>#REF!</v>
      </c>
      <c r="AW260" s="12"/>
      <c r="AX260" s="26" t="e">
        <f ca="1">IF(Data!#REF!="","",IF(ISNUMBER(Data!#REF!),IF(AND(Data!#REF!&gt;(TODAY()-(Data_Val!$I$3*365.25)),Data!#REF!&lt;=(TODAY()-(Data_Val!$I$2*365.25))),0,1),1))</f>
        <v>#REF!</v>
      </c>
      <c r="AY260" s="12" t="e">
        <f>IF(Data!#REF!="","",IF(Data!$G260="",1,IF(ISNUMBER(MATCH(Data!#REF!,Data_Val!$D$2:$D$10,0)),0,1)))</f>
        <v>#REF!</v>
      </c>
      <c r="AZ260" s="11"/>
      <c r="BA260" s="19" t="e">
        <f ca="1">IF(Data!#REF!="","",IF(ISNUMBER(Data!#REF!),IF(AND(Data!#REF!&gt;(TODAY()-(Data_Val!$M$3*365.25)),Data!#REF!&lt;=(TODAY()-(Data_Val!$M$2*365.25))),0,1),1))</f>
        <v>#REF!</v>
      </c>
      <c r="BB260" s="11" t="e">
        <f>IF(Data!#REF!="","",IF(Data!$G260="",1,IF(ISNUMBER(MATCH(Data!#REF!,Data_Val!$D$2:$D$10,0)),0,1)))</f>
        <v>#REF!</v>
      </c>
      <c r="BC260" s="12"/>
      <c r="BD260" s="20" t="e">
        <f ca="1">IF(Data!#REF!="","",IF(ISNUMBER(Data!#REF!),IF(AND(Data!#REF!&gt;(TODAY()-(Data_Val!$M$3*365.25)),Data!#REF!&lt;=(TODAY()-(Data_Val!$M$2*365.25))),0,1),1))</f>
        <v>#REF!</v>
      </c>
      <c r="BE260" s="12" t="e">
        <f>IF(Data!#REF!="","",IF(Data!$G260="",1,IF(ISNUMBER(MATCH(Data!#REF!,Data_Val!$D$2:$D$10,0)),0,1)))</f>
        <v>#REF!</v>
      </c>
      <c r="BF260" s="17"/>
      <c r="BG260" s="18" t="e">
        <f ca="1">IF(Data!#REF!="","",IF(ISNUMBER(Data!#REF!),IF(AND(Data!#REF!&gt;(TODAY()-(Data_Val!$M$3*365.25)),Data!#REF!&lt;=(TODAY()-(Data_Val!$M$2*365.25))),0,1),1))</f>
        <v>#REF!</v>
      </c>
      <c r="BH260" s="29" t="e">
        <f>IF(Data!#REF!="","",IF(Data!$G260="",1,IF(ISNUMBER(MATCH(Data!#REF!,Data_Val!$D$2:$D$10,0)),0,1)))</f>
        <v>#REF!</v>
      </c>
      <c r="BI260" s="13"/>
      <c r="BJ260" s="21" t="e">
        <f ca="1">IF(Data!#REF!="","",IF(ISNUMBER(Data!#REF!),IF(AND(Data!#REF!&gt;(TODAY()-(Data_Val!$M$3*365.25)),Data!#REF!&lt;=(TODAY()-(Data_Val!$M$2*365.25))),0,1),1))</f>
        <v>#REF!</v>
      </c>
      <c r="BK260" s="13" t="e">
        <f>IF(Data!#REF!="","",IF(Data!$G260="",1,IF(ISNUMBER(MATCH(Data!#REF!,Data_Val!$D$2:$D$10,0)),0,1)))</f>
        <v>#REF!</v>
      </c>
    </row>
    <row r="261" spans="1:63" x14ac:dyDescent="0.25">
      <c r="A261" s="9" t="str">
        <f>IF(Data!B261="","",IF(COUNTIFS(Data!A$1:'Data'!A261,Data!A261)&lt;=1,0,1))</f>
        <v/>
      </c>
      <c r="B261" s="9"/>
      <c r="C261" s="23" t="str">
        <f>IF(Data!C261="","",(IF(ISNUMBER(MATCH("*@*.?*",Data!C261,0)),0,1)+IF(COUNTIFS(Data!C$1:'Data'!C261,Data!C261)&gt;1,1,0)))</f>
        <v/>
      </c>
      <c r="D261" s="9" t="str">
        <f>IF(Data!B261="","",IF(ISNUMBER(Data!D261),IF(AND(Data!D261&gt;999999999,Data!D261&lt;=9999999999),IF(COUNTIFS(Data!D$1:'Data'!D261,Data!D261)&lt;=1,0,1),1),1))</f>
        <v/>
      </c>
      <c r="E261" s="9" t="str">
        <f>IF(Data!B261="","",IF(ISNUMBER(MATCH(Data!E261,Data_Val!$A$2:$A$3,0)),0,1))</f>
        <v/>
      </c>
      <c r="F261" s="9" t="str">
        <f ca="1">IF(Data!B261="","",IF(ISNUMBER(Data!F261),IF(AND(Data!F261&gt;(TODAY()-(Data_Val!$H$3*365.25)),Data!F261&lt;=(TODAY()-(Data_Val!$H$2*365.25))),0,1),1))</f>
        <v/>
      </c>
      <c r="G261" s="15" t="str">
        <f>IF(Data!B261="","",IF(AND(Data!G261="",Data!H261&lt;&gt;""),1,IF(Data!#REF!&lt;&gt;"",0,IF(ISNUMBER(MATCH(Data!G261,Data_Val!$C$2:$C$5,0)),0,1))))</f>
        <v/>
      </c>
      <c r="H261" s="15" t="str">
        <f>IF(Data!B261="","",IF(AND(Data!G261&lt;&gt;"",Data!H261=""),1,IF(Data!#REF!&lt;&gt;"",0,IF(Data!G261="",1,IF(ISNUMBER(MATCH(Data!H261,Data_Val!$D$2:$D$35,0)),0,1)))))</f>
        <v/>
      </c>
      <c r="I261" s="15" t="str">
        <f>IF(Data!B261="","",IF(Data!G261&lt;&gt;"",0,IF(ISNUMBER(MATCH(Data!#REF!,Data_Val!$E$2:$E$12,0)),0,1)))</f>
        <v/>
      </c>
      <c r="J261" s="16" t="e">
        <f>IF(OR(Data!B261="",Data!#REF!=""),"",IF(Data!#REF!="",1,0))</f>
        <v>#REF!</v>
      </c>
      <c r="K261" s="16" t="e">
        <f>IF(OR(Data!B261="",Data!#REF!=""),"",IF(Data!#REF!="",1,0))</f>
        <v>#REF!</v>
      </c>
      <c r="L261" s="16" t="e">
        <f>IF(OR(Data!B261="",Data!#REF!=""),"",IF(ISNUMBER(Data!#REF!),IF(AND(Data!#REF!&gt;Data_Val!$G$2,Data!#REF!&lt;=Data_Val!$G$3),0,1),1))</f>
        <v>#REF!</v>
      </c>
      <c r="M261" s="9" t="e">
        <f>IF(OR(Data!B261="",Data!#REF!=""),"",IF(ISNUMBER(MATCH(Data!#REF!,Data_Val!$F$1:$F$38,0)),0,1))</f>
        <v>#REF!</v>
      </c>
      <c r="N261" s="9" t="e">
        <f>IF(OR(Data!B261="",Data!#REF!=""),"",IF(Data!#REF!="",1,0))</f>
        <v>#REF!</v>
      </c>
      <c r="O261" s="17" t="e">
        <f>IF(Data!#REF!="","",IF(Data!#REF!="",1,0))</f>
        <v>#REF!</v>
      </c>
      <c r="P261" s="17" t="e">
        <f>IF(Data!#REF!="","",IF(ISNUMBER(MATCH(Data!#REF!,Data_Val!$A$2:$A$3,0)),0,1))</f>
        <v>#REF!</v>
      </c>
      <c r="Q261" s="25" t="e">
        <f ca="1">IF(Data!#REF!="","",IF(ISNUMBER(Data!#REF!),IF(AND(Data!#REF!&gt;(TODAY()-(Data_Val!$J$3*365.25)),Data!#REF!&lt;=(TODAY()-(Data_Val!$J$2*365.25))),0,1),1))</f>
        <v>#REF!</v>
      </c>
      <c r="R261" s="17" t="e">
        <f>IF(Data!#REF!="","",IF(ISNUMBER(MATCH(Data!#REF!,Data_Val!$B$2:$B$15,0)),0,1))</f>
        <v>#REF!</v>
      </c>
      <c r="S261" s="11" t="str">
        <f>IF(Data!G261="","",IF(Data!G261=Data_Val!$C$2,IF(Data!M261="",0,1),0))</f>
        <v/>
      </c>
      <c r="T261" s="11" t="str">
        <f>IF(Data!M261="","",IF(ISNUMBER(MATCH(Data!N261,Data_Val!$A$2:$A$3,0)),0,1))</f>
        <v/>
      </c>
      <c r="U261" s="11" t="str">
        <f ca="1">IF(Data!M261="","",IF(ISNUMBER(Data!O261),IF(AND(Data!O261&gt;(TODAY()-(Data_Val!$K$3*365.25)),Data!O261&lt;=(TODAY()-(Data_Val!$K$2*365.25))),0,1),1))</f>
        <v/>
      </c>
      <c r="V261" s="12" t="str">
        <f>IF(Data!G261="","",IF(Data!G261=Data_Val!$C$2,IF(Data!P261="",0,1),0))</f>
        <v/>
      </c>
      <c r="W261" s="12" t="str">
        <f>IF(Data!P261="","",IF(ISNUMBER(MATCH(Data!Q261,Data_Val!$A$2:$A$3,0)),0,1))</f>
        <v/>
      </c>
      <c r="X261" s="26" t="str">
        <f ca="1">IF(Data!P261="","",IF(ISNUMBER(Data!R261),IF(AND(Data!R261&gt;(TODAY()-(Data_Val!$L$3*365.25)),Data!R261&lt;=(TODAY()-(Data_Val!$L$2*365.25))),0,1),1))</f>
        <v/>
      </c>
      <c r="Y261" s="13" t="str">
        <f>IF(Data!$G261="","",IF(Data!$G261=Data_Val!$C$2,IF(Data!S261="",0,1),0))</f>
        <v/>
      </c>
      <c r="Z261" s="13" t="str">
        <f>IF(Data!S261="","",IF(ISNUMBER(MATCH(Data!T261,Data_Val!$A$2:$A$3,0)),0,1))</f>
        <v/>
      </c>
      <c r="AA261" s="28" t="str">
        <f ca="1">IF(Data!S261="","",IF(ISNUMBER(Data!U261),IF(AND(Data!U261&gt;(TODAY()-(Data_Val!$L$3*365.25)),Data!U261&lt;=(TODAY()-(Data_Val!$L$2*365.25))),0,1),1))</f>
        <v/>
      </c>
      <c r="AB261" s="11"/>
      <c r="AC261" s="11" t="e">
        <f>IF(Data!#REF!="","",IF(ISNUMBER(MATCH(Data!#REF!,Data_Val!$A$2:$A$3,0)),0,1))</f>
        <v>#REF!</v>
      </c>
      <c r="AD261" s="11" t="e">
        <f ca="1">IF(Data!#REF!="","",IF(ISNUMBER(Data!#REF!),IF(AND(Data!#REF!&gt;(TODAY()-(Data_Val!$L$3*365.25)),Data!#REF!&lt;=(TODAY()-(Data_Val!$L$2*365.25))),0,1),1))</f>
        <v>#REF!</v>
      </c>
      <c r="AE261" s="11" t="e">
        <f>IF(Data!#REF!="","",IF(Data!$G261="",1,IF(ISNUMBER(MATCH(Data!#REF!,Data_Val!$D$2:$D$10,0)),0,1)))</f>
        <v>#REF!</v>
      </c>
      <c r="AF261" s="12"/>
      <c r="AG261" s="12" t="e">
        <f>IF(Data!#REF!="","",IF(ISNUMBER(MATCH(Data!#REF!,Data_Val!$A$2:$A$3,0)),0,1))</f>
        <v>#REF!</v>
      </c>
      <c r="AH261" s="26" t="e">
        <f ca="1">IF(Data!#REF!="","",IF(ISNUMBER(Data!#REF!),IF(AND(Data!#REF!&gt;(TODAY()-(Data_Val!$L$3*365.25)),Data!#REF!&lt;=(TODAY()-(Data_Val!$L$2*365.25))),0,1),1))</f>
        <v>#REF!</v>
      </c>
      <c r="AI261" s="12" t="e">
        <f>IF(Data!#REF!="","",IF(Data!$G261="",1,IF(ISNUMBER(MATCH(Data!#REF!,Data_Val!$D$2:$D$10,0)),0,1)))</f>
        <v>#REF!</v>
      </c>
      <c r="AJ261" s="17"/>
      <c r="AK261" s="17" t="e">
        <f>IF(Data!#REF!="","",IF(ISNUMBER(MATCH(Data!#REF!,Data_Val!$A$2:$A$3,0)),0,1))</f>
        <v>#REF!</v>
      </c>
      <c r="AL261" s="25" t="e">
        <f ca="1">IF(Data!#REF!="","",IF(ISNUMBER(Data!#REF!),IF(AND(Data!#REF!&gt;(TODAY()-(Data_Val!$L$3*365.25)),Data!#REF!&lt;=(TODAY()-(Data_Val!$L$2*365.25))),0,1),1))</f>
        <v>#REF!</v>
      </c>
      <c r="AM261" s="17" t="e">
        <f>IF(Data!#REF!="","",IF(Data!$G261="",1,IF(ISNUMBER(MATCH(Data!#REF!,Data_Val!$D$2:$D$10,0)),0,1)))</f>
        <v>#REF!</v>
      </c>
      <c r="AN261" s="13"/>
      <c r="AO261" s="28" t="e">
        <f ca="1">IF(Data!#REF!="","",IF(ISNUMBER(Data!#REF!),IF(AND(Data!#REF!&gt;(TODAY()-(Data_Val!$I$3*365.25)),Data!#REF!&lt;=(TODAY()-(Data_Val!$I$2*365.25))),0,1),1))</f>
        <v>#REF!</v>
      </c>
      <c r="AP261" s="13" t="e">
        <f>IF(Data!#REF!="","",IF(Data!$G261="",1,IF(ISNUMBER(MATCH(Data!#REF!,Data_Val!$D$2:$D$10,0)),0,1)))</f>
        <v>#REF!</v>
      </c>
      <c r="AQ261" s="17"/>
      <c r="AR261" s="30" t="e">
        <f ca="1">IF(Data!#REF!="","",IF(ISNUMBER(Data!#REF!),IF(AND(Data!#REF!&gt;(TODAY()-(Data_Val!$I$3*365.25)),Data!#REF!&lt;=(TODAY()-(Data_Val!$I$2*365.25))),0,1),1))</f>
        <v>#REF!</v>
      </c>
      <c r="AS261" s="31" t="e">
        <f>IF(Data!#REF!="","",IF(Data!$G261="",1,IF(ISNUMBER(MATCH(Data!#REF!,Data_Val!$D$2:$D$10,0)),0,1)))</f>
        <v>#REF!</v>
      </c>
      <c r="AT261" s="11"/>
      <c r="AU261" s="11" t="e">
        <f ca="1">IF(Data!#REF!="","",IF(ISNUMBER(Data!#REF!),IF(AND(Data!#REF!&gt;(TODAY()-(Data_Val!$I$3*365.25)),Data!#REF!&lt;=(TODAY()-(Data_Val!$I$2*365.25))),0,1),1))</f>
        <v>#REF!</v>
      </c>
      <c r="AV261" s="11" t="e">
        <f>IF(Data!#REF!="","",IF(Data!$G261="",1,IF(ISNUMBER(MATCH(Data!#REF!,Data_Val!$D$2:$D$10,0)),0,1)))</f>
        <v>#REF!</v>
      </c>
      <c r="AW261" s="12"/>
      <c r="AX261" s="26" t="e">
        <f ca="1">IF(Data!#REF!="","",IF(ISNUMBER(Data!#REF!),IF(AND(Data!#REF!&gt;(TODAY()-(Data_Val!$I$3*365.25)),Data!#REF!&lt;=(TODAY()-(Data_Val!$I$2*365.25))),0,1),1))</f>
        <v>#REF!</v>
      </c>
      <c r="AY261" s="12" t="e">
        <f>IF(Data!#REF!="","",IF(Data!$G261="",1,IF(ISNUMBER(MATCH(Data!#REF!,Data_Val!$D$2:$D$10,0)),0,1)))</f>
        <v>#REF!</v>
      </c>
      <c r="AZ261" s="11"/>
      <c r="BA261" s="19" t="e">
        <f ca="1">IF(Data!#REF!="","",IF(ISNUMBER(Data!#REF!),IF(AND(Data!#REF!&gt;(TODAY()-(Data_Val!$M$3*365.25)),Data!#REF!&lt;=(TODAY()-(Data_Val!$M$2*365.25))),0,1),1))</f>
        <v>#REF!</v>
      </c>
      <c r="BB261" s="11" t="e">
        <f>IF(Data!#REF!="","",IF(Data!$G261="",1,IF(ISNUMBER(MATCH(Data!#REF!,Data_Val!$D$2:$D$10,0)),0,1)))</f>
        <v>#REF!</v>
      </c>
      <c r="BC261" s="12"/>
      <c r="BD261" s="20" t="e">
        <f ca="1">IF(Data!#REF!="","",IF(ISNUMBER(Data!#REF!),IF(AND(Data!#REF!&gt;(TODAY()-(Data_Val!$M$3*365.25)),Data!#REF!&lt;=(TODAY()-(Data_Val!$M$2*365.25))),0,1),1))</f>
        <v>#REF!</v>
      </c>
      <c r="BE261" s="12" t="e">
        <f>IF(Data!#REF!="","",IF(Data!$G261="",1,IF(ISNUMBER(MATCH(Data!#REF!,Data_Val!$D$2:$D$10,0)),0,1)))</f>
        <v>#REF!</v>
      </c>
      <c r="BF261" s="17"/>
      <c r="BG261" s="18" t="e">
        <f ca="1">IF(Data!#REF!="","",IF(ISNUMBER(Data!#REF!),IF(AND(Data!#REF!&gt;(TODAY()-(Data_Val!$M$3*365.25)),Data!#REF!&lt;=(TODAY()-(Data_Val!$M$2*365.25))),0,1),1))</f>
        <v>#REF!</v>
      </c>
      <c r="BH261" s="29" t="e">
        <f>IF(Data!#REF!="","",IF(Data!$G261="",1,IF(ISNUMBER(MATCH(Data!#REF!,Data_Val!$D$2:$D$10,0)),0,1)))</f>
        <v>#REF!</v>
      </c>
      <c r="BI261" s="13"/>
      <c r="BJ261" s="21" t="e">
        <f ca="1">IF(Data!#REF!="","",IF(ISNUMBER(Data!#REF!),IF(AND(Data!#REF!&gt;(TODAY()-(Data_Val!$M$3*365.25)),Data!#REF!&lt;=(TODAY()-(Data_Val!$M$2*365.25))),0,1),1))</f>
        <v>#REF!</v>
      </c>
      <c r="BK261" s="13" t="e">
        <f>IF(Data!#REF!="","",IF(Data!$G261="",1,IF(ISNUMBER(MATCH(Data!#REF!,Data_Val!$D$2:$D$10,0)),0,1)))</f>
        <v>#REF!</v>
      </c>
    </row>
    <row r="262" spans="1:63" x14ac:dyDescent="0.25">
      <c r="A262" s="9" t="str">
        <f>IF(Data!B262="","",IF(COUNTIFS(Data!A$1:'Data'!A262,Data!A262)&lt;=1,0,1))</f>
        <v/>
      </c>
      <c r="B262" s="9"/>
      <c r="C262" s="23" t="str">
        <f>IF(Data!C262="","",(IF(ISNUMBER(MATCH("*@*.?*",Data!C262,0)),0,1)+IF(COUNTIFS(Data!C$1:'Data'!C262,Data!C262)&gt;1,1,0)))</f>
        <v/>
      </c>
      <c r="D262" s="9" t="str">
        <f>IF(Data!B262="","",IF(ISNUMBER(Data!D262),IF(AND(Data!D262&gt;999999999,Data!D262&lt;=9999999999),IF(COUNTIFS(Data!D$1:'Data'!D262,Data!D262)&lt;=1,0,1),1),1))</f>
        <v/>
      </c>
      <c r="E262" s="9" t="str">
        <f>IF(Data!B262="","",IF(ISNUMBER(MATCH(Data!E262,Data_Val!$A$2:$A$3,0)),0,1))</f>
        <v/>
      </c>
      <c r="F262" s="9" t="str">
        <f ca="1">IF(Data!B262="","",IF(ISNUMBER(Data!F262),IF(AND(Data!F262&gt;(TODAY()-(Data_Val!$H$3*365.25)),Data!F262&lt;=(TODAY()-(Data_Val!$H$2*365.25))),0,1),1))</f>
        <v/>
      </c>
      <c r="G262" s="15" t="str">
        <f>IF(Data!B262="","",IF(AND(Data!G262="",Data!H262&lt;&gt;""),1,IF(Data!#REF!&lt;&gt;"",0,IF(ISNUMBER(MATCH(Data!G262,Data_Val!$C$2:$C$5,0)),0,1))))</f>
        <v/>
      </c>
      <c r="H262" s="15" t="str">
        <f>IF(Data!B262="","",IF(AND(Data!G262&lt;&gt;"",Data!H262=""),1,IF(Data!#REF!&lt;&gt;"",0,IF(Data!G262="",1,IF(ISNUMBER(MATCH(Data!H262,Data_Val!$D$2:$D$35,0)),0,1)))))</f>
        <v/>
      </c>
      <c r="I262" s="15" t="str">
        <f>IF(Data!B262="","",IF(Data!G262&lt;&gt;"",0,IF(ISNUMBER(MATCH(Data!#REF!,Data_Val!$E$2:$E$12,0)),0,1)))</f>
        <v/>
      </c>
      <c r="J262" s="16" t="e">
        <f>IF(OR(Data!B262="",Data!#REF!=""),"",IF(Data!#REF!="",1,0))</f>
        <v>#REF!</v>
      </c>
      <c r="K262" s="16" t="e">
        <f>IF(OR(Data!B262="",Data!#REF!=""),"",IF(Data!#REF!="",1,0))</f>
        <v>#REF!</v>
      </c>
      <c r="L262" s="16" t="e">
        <f>IF(OR(Data!B262="",Data!#REF!=""),"",IF(ISNUMBER(Data!#REF!),IF(AND(Data!#REF!&gt;Data_Val!$G$2,Data!#REF!&lt;=Data_Val!$G$3),0,1),1))</f>
        <v>#REF!</v>
      </c>
      <c r="M262" s="9" t="e">
        <f>IF(OR(Data!B262="",Data!#REF!=""),"",IF(ISNUMBER(MATCH(Data!#REF!,Data_Val!$F$1:$F$38,0)),0,1))</f>
        <v>#REF!</v>
      </c>
      <c r="N262" s="9" t="e">
        <f>IF(OR(Data!B262="",Data!#REF!=""),"",IF(Data!#REF!="",1,0))</f>
        <v>#REF!</v>
      </c>
      <c r="O262" s="17" t="e">
        <f>IF(Data!#REF!="","",IF(Data!#REF!="",1,0))</f>
        <v>#REF!</v>
      </c>
      <c r="P262" s="17" t="e">
        <f>IF(Data!#REF!="","",IF(ISNUMBER(MATCH(Data!#REF!,Data_Val!$A$2:$A$3,0)),0,1))</f>
        <v>#REF!</v>
      </c>
      <c r="Q262" s="25" t="e">
        <f ca="1">IF(Data!#REF!="","",IF(ISNUMBER(Data!#REF!),IF(AND(Data!#REF!&gt;(TODAY()-(Data_Val!$J$3*365.25)),Data!#REF!&lt;=(TODAY()-(Data_Val!$J$2*365.25))),0,1),1))</f>
        <v>#REF!</v>
      </c>
      <c r="R262" s="17" t="e">
        <f>IF(Data!#REF!="","",IF(ISNUMBER(MATCH(Data!#REF!,Data_Val!$B$2:$B$15,0)),0,1))</f>
        <v>#REF!</v>
      </c>
      <c r="S262" s="11" t="str">
        <f>IF(Data!G262="","",IF(Data!G262=Data_Val!$C$2,IF(Data!M262="",0,1),0))</f>
        <v/>
      </c>
      <c r="T262" s="11" t="str">
        <f>IF(Data!M262="","",IF(ISNUMBER(MATCH(Data!N262,Data_Val!$A$2:$A$3,0)),0,1))</f>
        <v/>
      </c>
      <c r="U262" s="11" t="str">
        <f ca="1">IF(Data!M262="","",IF(ISNUMBER(Data!O262),IF(AND(Data!O262&gt;(TODAY()-(Data_Val!$K$3*365.25)),Data!O262&lt;=(TODAY()-(Data_Val!$K$2*365.25))),0,1),1))</f>
        <v/>
      </c>
      <c r="V262" s="12" t="str">
        <f>IF(Data!G262="","",IF(Data!G262=Data_Val!$C$2,IF(Data!P262="",0,1),0))</f>
        <v/>
      </c>
      <c r="W262" s="12" t="str">
        <f>IF(Data!P262="","",IF(ISNUMBER(MATCH(Data!Q262,Data_Val!$A$2:$A$3,0)),0,1))</f>
        <v/>
      </c>
      <c r="X262" s="26" t="str">
        <f ca="1">IF(Data!P262="","",IF(ISNUMBER(Data!R262),IF(AND(Data!R262&gt;(TODAY()-(Data_Val!$L$3*365.25)),Data!R262&lt;=(TODAY()-(Data_Val!$L$2*365.25))),0,1),1))</f>
        <v/>
      </c>
      <c r="Y262" s="13" t="str">
        <f>IF(Data!$G262="","",IF(Data!$G262=Data_Val!$C$2,IF(Data!S262="",0,1),0))</f>
        <v/>
      </c>
      <c r="Z262" s="13" t="str">
        <f>IF(Data!S262="","",IF(ISNUMBER(MATCH(Data!T262,Data_Val!$A$2:$A$3,0)),0,1))</f>
        <v/>
      </c>
      <c r="AA262" s="28" t="str">
        <f ca="1">IF(Data!S262="","",IF(ISNUMBER(Data!U262),IF(AND(Data!U262&gt;(TODAY()-(Data_Val!$L$3*365.25)),Data!U262&lt;=(TODAY()-(Data_Val!$L$2*365.25))),0,1),1))</f>
        <v/>
      </c>
      <c r="AB262" s="11"/>
      <c r="AC262" s="11" t="e">
        <f>IF(Data!#REF!="","",IF(ISNUMBER(MATCH(Data!#REF!,Data_Val!$A$2:$A$3,0)),0,1))</f>
        <v>#REF!</v>
      </c>
      <c r="AD262" s="11" t="e">
        <f ca="1">IF(Data!#REF!="","",IF(ISNUMBER(Data!#REF!),IF(AND(Data!#REF!&gt;(TODAY()-(Data_Val!$L$3*365.25)),Data!#REF!&lt;=(TODAY()-(Data_Val!$L$2*365.25))),0,1),1))</f>
        <v>#REF!</v>
      </c>
      <c r="AE262" s="11" t="e">
        <f>IF(Data!#REF!="","",IF(Data!$G262="",1,IF(ISNUMBER(MATCH(Data!#REF!,Data_Val!$D$2:$D$10,0)),0,1)))</f>
        <v>#REF!</v>
      </c>
      <c r="AF262" s="12"/>
      <c r="AG262" s="12" t="e">
        <f>IF(Data!#REF!="","",IF(ISNUMBER(MATCH(Data!#REF!,Data_Val!$A$2:$A$3,0)),0,1))</f>
        <v>#REF!</v>
      </c>
      <c r="AH262" s="26" t="e">
        <f ca="1">IF(Data!#REF!="","",IF(ISNUMBER(Data!#REF!),IF(AND(Data!#REF!&gt;(TODAY()-(Data_Val!$L$3*365.25)),Data!#REF!&lt;=(TODAY()-(Data_Val!$L$2*365.25))),0,1),1))</f>
        <v>#REF!</v>
      </c>
      <c r="AI262" s="12" t="e">
        <f>IF(Data!#REF!="","",IF(Data!$G262="",1,IF(ISNUMBER(MATCH(Data!#REF!,Data_Val!$D$2:$D$10,0)),0,1)))</f>
        <v>#REF!</v>
      </c>
      <c r="AJ262" s="17"/>
      <c r="AK262" s="17" t="e">
        <f>IF(Data!#REF!="","",IF(ISNUMBER(MATCH(Data!#REF!,Data_Val!$A$2:$A$3,0)),0,1))</f>
        <v>#REF!</v>
      </c>
      <c r="AL262" s="25" t="e">
        <f ca="1">IF(Data!#REF!="","",IF(ISNUMBER(Data!#REF!),IF(AND(Data!#REF!&gt;(TODAY()-(Data_Val!$L$3*365.25)),Data!#REF!&lt;=(TODAY()-(Data_Val!$L$2*365.25))),0,1),1))</f>
        <v>#REF!</v>
      </c>
      <c r="AM262" s="17" t="e">
        <f>IF(Data!#REF!="","",IF(Data!$G262="",1,IF(ISNUMBER(MATCH(Data!#REF!,Data_Val!$D$2:$D$10,0)),0,1)))</f>
        <v>#REF!</v>
      </c>
      <c r="AN262" s="13"/>
      <c r="AO262" s="28" t="e">
        <f ca="1">IF(Data!#REF!="","",IF(ISNUMBER(Data!#REF!),IF(AND(Data!#REF!&gt;(TODAY()-(Data_Val!$I$3*365.25)),Data!#REF!&lt;=(TODAY()-(Data_Val!$I$2*365.25))),0,1),1))</f>
        <v>#REF!</v>
      </c>
      <c r="AP262" s="13" t="e">
        <f>IF(Data!#REF!="","",IF(Data!$G262="",1,IF(ISNUMBER(MATCH(Data!#REF!,Data_Val!$D$2:$D$10,0)),0,1)))</f>
        <v>#REF!</v>
      </c>
      <c r="AQ262" s="17"/>
      <c r="AR262" s="30" t="e">
        <f ca="1">IF(Data!#REF!="","",IF(ISNUMBER(Data!#REF!),IF(AND(Data!#REF!&gt;(TODAY()-(Data_Val!$I$3*365.25)),Data!#REF!&lt;=(TODAY()-(Data_Val!$I$2*365.25))),0,1),1))</f>
        <v>#REF!</v>
      </c>
      <c r="AS262" s="31" t="e">
        <f>IF(Data!#REF!="","",IF(Data!$G262="",1,IF(ISNUMBER(MATCH(Data!#REF!,Data_Val!$D$2:$D$10,0)),0,1)))</f>
        <v>#REF!</v>
      </c>
      <c r="AT262" s="11"/>
      <c r="AU262" s="11" t="e">
        <f ca="1">IF(Data!#REF!="","",IF(ISNUMBER(Data!#REF!),IF(AND(Data!#REF!&gt;(TODAY()-(Data_Val!$I$3*365.25)),Data!#REF!&lt;=(TODAY()-(Data_Val!$I$2*365.25))),0,1),1))</f>
        <v>#REF!</v>
      </c>
      <c r="AV262" s="11" t="e">
        <f>IF(Data!#REF!="","",IF(Data!$G262="",1,IF(ISNUMBER(MATCH(Data!#REF!,Data_Val!$D$2:$D$10,0)),0,1)))</f>
        <v>#REF!</v>
      </c>
      <c r="AW262" s="12"/>
      <c r="AX262" s="26" t="e">
        <f ca="1">IF(Data!#REF!="","",IF(ISNUMBER(Data!#REF!),IF(AND(Data!#REF!&gt;(TODAY()-(Data_Val!$I$3*365.25)),Data!#REF!&lt;=(TODAY()-(Data_Val!$I$2*365.25))),0,1),1))</f>
        <v>#REF!</v>
      </c>
      <c r="AY262" s="12" t="e">
        <f>IF(Data!#REF!="","",IF(Data!$G262="",1,IF(ISNUMBER(MATCH(Data!#REF!,Data_Val!$D$2:$D$10,0)),0,1)))</f>
        <v>#REF!</v>
      </c>
      <c r="AZ262" s="11"/>
      <c r="BA262" s="19" t="e">
        <f ca="1">IF(Data!#REF!="","",IF(ISNUMBER(Data!#REF!),IF(AND(Data!#REF!&gt;(TODAY()-(Data_Val!$M$3*365.25)),Data!#REF!&lt;=(TODAY()-(Data_Val!$M$2*365.25))),0,1),1))</f>
        <v>#REF!</v>
      </c>
      <c r="BB262" s="11" t="e">
        <f>IF(Data!#REF!="","",IF(Data!$G262="",1,IF(ISNUMBER(MATCH(Data!#REF!,Data_Val!$D$2:$D$10,0)),0,1)))</f>
        <v>#REF!</v>
      </c>
      <c r="BC262" s="12"/>
      <c r="BD262" s="20" t="e">
        <f ca="1">IF(Data!#REF!="","",IF(ISNUMBER(Data!#REF!),IF(AND(Data!#REF!&gt;(TODAY()-(Data_Val!$M$3*365.25)),Data!#REF!&lt;=(TODAY()-(Data_Val!$M$2*365.25))),0,1),1))</f>
        <v>#REF!</v>
      </c>
      <c r="BE262" s="12" t="e">
        <f>IF(Data!#REF!="","",IF(Data!$G262="",1,IF(ISNUMBER(MATCH(Data!#REF!,Data_Val!$D$2:$D$10,0)),0,1)))</f>
        <v>#REF!</v>
      </c>
      <c r="BF262" s="17"/>
      <c r="BG262" s="18" t="e">
        <f ca="1">IF(Data!#REF!="","",IF(ISNUMBER(Data!#REF!),IF(AND(Data!#REF!&gt;(TODAY()-(Data_Val!$M$3*365.25)),Data!#REF!&lt;=(TODAY()-(Data_Val!$M$2*365.25))),0,1),1))</f>
        <v>#REF!</v>
      </c>
      <c r="BH262" s="29" t="e">
        <f>IF(Data!#REF!="","",IF(Data!$G262="",1,IF(ISNUMBER(MATCH(Data!#REF!,Data_Val!$D$2:$D$10,0)),0,1)))</f>
        <v>#REF!</v>
      </c>
      <c r="BI262" s="13"/>
      <c r="BJ262" s="21" t="e">
        <f ca="1">IF(Data!#REF!="","",IF(ISNUMBER(Data!#REF!),IF(AND(Data!#REF!&gt;(TODAY()-(Data_Val!$M$3*365.25)),Data!#REF!&lt;=(TODAY()-(Data_Val!$M$2*365.25))),0,1),1))</f>
        <v>#REF!</v>
      </c>
      <c r="BK262" s="13" t="e">
        <f>IF(Data!#REF!="","",IF(Data!$G262="",1,IF(ISNUMBER(MATCH(Data!#REF!,Data_Val!$D$2:$D$10,0)),0,1)))</f>
        <v>#REF!</v>
      </c>
    </row>
    <row r="263" spans="1:63" x14ac:dyDescent="0.25">
      <c r="A263" s="9" t="str">
        <f>IF(Data!B263="","",IF(COUNTIFS(Data!A$1:'Data'!A263,Data!A263)&lt;=1,0,1))</f>
        <v/>
      </c>
      <c r="B263" s="9"/>
      <c r="C263" s="23" t="str">
        <f>IF(Data!C263="","",(IF(ISNUMBER(MATCH("*@*.?*",Data!C263,0)),0,1)+IF(COUNTIFS(Data!C$1:'Data'!C263,Data!C263)&gt;1,1,0)))</f>
        <v/>
      </c>
      <c r="D263" s="9" t="str">
        <f>IF(Data!B263="","",IF(ISNUMBER(Data!D263),IF(AND(Data!D263&gt;999999999,Data!D263&lt;=9999999999),IF(COUNTIFS(Data!D$1:'Data'!D263,Data!D263)&lt;=1,0,1),1),1))</f>
        <v/>
      </c>
      <c r="E263" s="9" t="str">
        <f>IF(Data!B263="","",IF(ISNUMBER(MATCH(Data!E263,Data_Val!$A$2:$A$3,0)),0,1))</f>
        <v/>
      </c>
      <c r="F263" s="9" t="str">
        <f ca="1">IF(Data!B263="","",IF(ISNUMBER(Data!F263),IF(AND(Data!F263&gt;(TODAY()-(Data_Val!$H$3*365.25)),Data!F263&lt;=(TODAY()-(Data_Val!$H$2*365.25))),0,1),1))</f>
        <v/>
      </c>
      <c r="G263" s="15" t="str">
        <f>IF(Data!B263="","",IF(AND(Data!G263="",Data!H263&lt;&gt;""),1,IF(Data!#REF!&lt;&gt;"",0,IF(ISNUMBER(MATCH(Data!G263,Data_Val!$C$2:$C$5,0)),0,1))))</f>
        <v/>
      </c>
      <c r="H263" s="15" t="str">
        <f>IF(Data!B263="","",IF(AND(Data!G263&lt;&gt;"",Data!H263=""),1,IF(Data!#REF!&lt;&gt;"",0,IF(Data!G263="",1,IF(ISNUMBER(MATCH(Data!H263,Data_Val!$D$2:$D$35,0)),0,1)))))</f>
        <v/>
      </c>
      <c r="I263" s="15" t="str">
        <f>IF(Data!B263="","",IF(Data!G263&lt;&gt;"",0,IF(ISNUMBER(MATCH(Data!#REF!,Data_Val!$E$2:$E$12,0)),0,1)))</f>
        <v/>
      </c>
      <c r="J263" s="16" t="e">
        <f>IF(OR(Data!B263="",Data!#REF!=""),"",IF(Data!#REF!="",1,0))</f>
        <v>#REF!</v>
      </c>
      <c r="K263" s="16" t="e">
        <f>IF(OR(Data!B263="",Data!#REF!=""),"",IF(Data!#REF!="",1,0))</f>
        <v>#REF!</v>
      </c>
      <c r="L263" s="16" t="e">
        <f>IF(OR(Data!B263="",Data!#REF!=""),"",IF(ISNUMBER(Data!#REF!),IF(AND(Data!#REF!&gt;Data_Val!$G$2,Data!#REF!&lt;=Data_Val!$G$3),0,1),1))</f>
        <v>#REF!</v>
      </c>
      <c r="M263" s="9" t="e">
        <f>IF(OR(Data!B263="",Data!#REF!=""),"",IF(ISNUMBER(MATCH(Data!#REF!,Data_Val!$F$1:$F$38,0)),0,1))</f>
        <v>#REF!</v>
      </c>
      <c r="N263" s="9" t="e">
        <f>IF(OR(Data!B263="",Data!#REF!=""),"",IF(Data!#REF!="",1,0))</f>
        <v>#REF!</v>
      </c>
      <c r="O263" s="17" t="e">
        <f>IF(Data!#REF!="","",IF(Data!#REF!="",1,0))</f>
        <v>#REF!</v>
      </c>
      <c r="P263" s="17" t="e">
        <f>IF(Data!#REF!="","",IF(ISNUMBER(MATCH(Data!#REF!,Data_Val!$A$2:$A$3,0)),0,1))</f>
        <v>#REF!</v>
      </c>
      <c r="Q263" s="25" t="e">
        <f ca="1">IF(Data!#REF!="","",IF(ISNUMBER(Data!#REF!),IF(AND(Data!#REF!&gt;(TODAY()-(Data_Val!$J$3*365.25)),Data!#REF!&lt;=(TODAY()-(Data_Val!$J$2*365.25))),0,1),1))</f>
        <v>#REF!</v>
      </c>
      <c r="R263" s="17" t="e">
        <f>IF(Data!#REF!="","",IF(ISNUMBER(MATCH(Data!#REF!,Data_Val!$B$2:$B$15,0)),0,1))</f>
        <v>#REF!</v>
      </c>
      <c r="S263" s="11" t="str">
        <f>IF(Data!G263="","",IF(Data!G263=Data_Val!$C$2,IF(Data!M263="",0,1),0))</f>
        <v/>
      </c>
      <c r="T263" s="11" t="str">
        <f>IF(Data!M263="","",IF(ISNUMBER(MATCH(Data!N263,Data_Val!$A$2:$A$3,0)),0,1))</f>
        <v/>
      </c>
      <c r="U263" s="11" t="str">
        <f ca="1">IF(Data!M263="","",IF(ISNUMBER(Data!O263),IF(AND(Data!O263&gt;(TODAY()-(Data_Val!$K$3*365.25)),Data!O263&lt;=(TODAY()-(Data_Val!$K$2*365.25))),0,1),1))</f>
        <v/>
      </c>
      <c r="V263" s="12" t="str">
        <f>IF(Data!G263="","",IF(Data!G263=Data_Val!$C$2,IF(Data!P263="",0,1),0))</f>
        <v/>
      </c>
      <c r="W263" s="12" t="str">
        <f>IF(Data!P263="","",IF(ISNUMBER(MATCH(Data!Q263,Data_Val!$A$2:$A$3,0)),0,1))</f>
        <v/>
      </c>
      <c r="X263" s="26" t="str">
        <f ca="1">IF(Data!P263="","",IF(ISNUMBER(Data!R263),IF(AND(Data!R263&gt;(TODAY()-(Data_Val!$L$3*365.25)),Data!R263&lt;=(TODAY()-(Data_Val!$L$2*365.25))),0,1),1))</f>
        <v/>
      </c>
      <c r="Y263" s="13" t="str">
        <f>IF(Data!$G263="","",IF(Data!$G263=Data_Val!$C$2,IF(Data!S263="",0,1),0))</f>
        <v/>
      </c>
      <c r="Z263" s="13" t="str">
        <f>IF(Data!S263="","",IF(ISNUMBER(MATCH(Data!T263,Data_Val!$A$2:$A$3,0)),0,1))</f>
        <v/>
      </c>
      <c r="AA263" s="28" t="str">
        <f ca="1">IF(Data!S263="","",IF(ISNUMBER(Data!U263),IF(AND(Data!U263&gt;(TODAY()-(Data_Val!$L$3*365.25)),Data!U263&lt;=(TODAY()-(Data_Val!$L$2*365.25))),0,1),1))</f>
        <v/>
      </c>
      <c r="AB263" s="11"/>
      <c r="AC263" s="11" t="e">
        <f>IF(Data!#REF!="","",IF(ISNUMBER(MATCH(Data!#REF!,Data_Val!$A$2:$A$3,0)),0,1))</f>
        <v>#REF!</v>
      </c>
      <c r="AD263" s="11" t="e">
        <f ca="1">IF(Data!#REF!="","",IF(ISNUMBER(Data!#REF!),IF(AND(Data!#REF!&gt;(TODAY()-(Data_Val!$L$3*365.25)),Data!#REF!&lt;=(TODAY()-(Data_Val!$L$2*365.25))),0,1),1))</f>
        <v>#REF!</v>
      </c>
      <c r="AE263" s="11" t="e">
        <f>IF(Data!#REF!="","",IF(Data!$G263="",1,IF(ISNUMBER(MATCH(Data!#REF!,Data_Val!$D$2:$D$10,0)),0,1)))</f>
        <v>#REF!</v>
      </c>
      <c r="AF263" s="12"/>
      <c r="AG263" s="12" t="e">
        <f>IF(Data!#REF!="","",IF(ISNUMBER(MATCH(Data!#REF!,Data_Val!$A$2:$A$3,0)),0,1))</f>
        <v>#REF!</v>
      </c>
      <c r="AH263" s="26" t="e">
        <f ca="1">IF(Data!#REF!="","",IF(ISNUMBER(Data!#REF!),IF(AND(Data!#REF!&gt;(TODAY()-(Data_Val!$L$3*365.25)),Data!#REF!&lt;=(TODAY()-(Data_Val!$L$2*365.25))),0,1),1))</f>
        <v>#REF!</v>
      </c>
      <c r="AI263" s="12" t="e">
        <f>IF(Data!#REF!="","",IF(Data!$G263="",1,IF(ISNUMBER(MATCH(Data!#REF!,Data_Val!$D$2:$D$10,0)),0,1)))</f>
        <v>#REF!</v>
      </c>
      <c r="AJ263" s="17"/>
      <c r="AK263" s="17" t="e">
        <f>IF(Data!#REF!="","",IF(ISNUMBER(MATCH(Data!#REF!,Data_Val!$A$2:$A$3,0)),0,1))</f>
        <v>#REF!</v>
      </c>
      <c r="AL263" s="25" t="e">
        <f ca="1">IF(Data!#REF!="","",IF(ISNUMBER(Data!#REF!),IF(AND(Data!#REF!&gt;(TODAY()-(Data_Val!$L$3*365.25)),Data!#REF!&lt;=(TODAY()-(Data_Val!$L$2*365.25))),0,1),1))</f>
        <v>#REF!</v>
      </c>
      <c r="AM263" s="17" t="e">
        <f>IF(Data!#REF!="","",IF(Data!$G263="",1,IF(ISNUMBER(MATCH(Data!#REF!,Data_Val!$D$2:$D$10,0)),0,1)))</f>
        <v>#REF!</v>
      </c>
      <c r="AN263" s="13"/>
      <c r="AO263" s="28" t="e">
        <f ca="1">IF(Data!#REF!="","",IF(ISNUMBER(Data!#REF!),IF(AND(Data!#REF!&gt;(TODAY()-(Data_Val!$I$3*365.25)),Data!#REF!&lt;=(TODAY()-(Data_Val!$I$2*365.25))),0,1),1))</f>
        <v>#REF!</v>
      </c>
      <c r="AP263" s="13" t="e">
        <f>IF(Data!#REF!="","",IF(Data!$G263="",1,IF(ISNUMBER(MATCH(Data!#REF!,Data_Val!$D$2:$D$10,0)),0,1)))</f>
        <v>#REF!</v>
      </c>
      <c r="AQ263" s="17"/>
      <c r="AR263" s="30" t="e">
        <f ca="1">IF(Data!#REF!="","",IF(ISNUMBER(Data!#REF!),IF(AND(Data!#REF!&gt;(TODAY()-(Data_Val!$I$3*365.25)),Data!#REF!&lt;=(TODAY()-(Data_Val!$I$2*365.25))),0,1),1))</f>
        <v>#REF!</v>
      </c>
      <c r="AS263" s="31" t="e">
        <f>IF(Data!#REF!="","",IF(Data!$G263="",1,IF(ISNUMBER(MATCH(Data!#REF!,Data_Val!$D$2:$D$10,0)),0,1)))</f>
        <v>#REF!</v>
      </c>
      <c r="AT263" s="11"/>
      <c r="AU263" s="11" t="e">
        <f ca="1">IF(Data!#REF!="","",IF(ISNUMBER(Data!#REF!),IF(AND(Data!#REF!&gt;(TODAY()-(Data_Val!$I$3*365.25)),Data!#REF!&lt;=(TODAY()-(Data_Val!$I$2*365.25))),0,1),1))</f>
        <v>#REF!</v>
      </c>
      <c r="AV263" s="11" t="e">
        <f>IF(Data!#REF!="","",IF(Data!$G263="",1,IF(ISNUMBER(MATCH(Data!#REF!,Data_Val!$D$2:$D$10,0)),0,1)))</f>
        <v>#REF!</v>
      </c>
      <c r="AW263" s="12"/>
      <c r="AX263" s="26" t="e">
        <f ca="1">IF(Data!#REF!="","",IF(ISNUMBER(Data!#REF!),IF(AND(Data!#REF!&gt;(TODAY()-(Data_Val!$I$3*365.25)),Data!#REF!&lt;=(TODAY()-(Data_Val!$I$2*365.25))),0,1),1))</f>
        <v>#REF!</v>
      </c>
      <c r="AY263" s="12" t="e">
        <f>IF(Data!#REF!="","",IF(Data!$G263="",1,IF(ISNUMBER(MATCH(Data!#REF!,Data_Val!$D$2:$D$10,0)),0,1)))</f>
        <v>#REF!</v>
      </c>
      <c r="AZ263" s="11"/>
      <c r="BA263" s="19" t="e">
        <f ca="1">IF(Data!#REF!="","",IF(ISNUMBER(Data!#REF!),IF(AND(Data!#REF!&gt;(TODAY()-(Data_Val!$M$3*365.25)),Data!#REF!&lt;=(TODAY()-(Data_Val!$M$2*365.25))),0,1),1))</f>
        <v>#REF!</v>
      </c>
      <c r="BB263" s="11" t="e">
        <f>IF(Data!#REF!="","",IF(Data!$G263="",1,IF(ISNUMBER(MATCH(Data!#REF!,Data_Val!$D$2:$D$10,0)),0,1)))</f>
        <v>#REF!</v>
      </c>
      <c r="BC263" s="12"/>
      <c r="BD263" s="20" t="e">
        <f ca="1">IF(Data!#REF!="","",IF(ISNUMBER(Data!#REF!),IF(AND(Data!#REF!&gt;(TODAY()-(Data_Val!$M$3*365.25)),Data!#REF!&lt;=(TODAY()-(Data_Val!$M$2*365.25))),0,1),1))</f>
        <v>#REF!</v>
      </c>
      <c r="BE263" s="12" t="e">
        <f>IF(Data!#REF!="","",IF(Data!$G263="",1,IF(ISNUMBER(MATCH(Data!#REF!,Data_Val!$D$2:$D$10,0)),0,1)))</f>
        <v>#REF!</v>
      </c>
      <c r="BF263" s="17"/>
      <c r="BG263" s="18" t="e">
        <f ca="1">IF(Data!#REF!="","",IF(ISNUMBER(Data!#REF!),IF(AND(Data!#REF!&gt;(TODAY()-(Data_Val!$M$3*365.25)),Data!#REF!&lt;=(TODAY()-(Data_Val!$M$2*365.25))),0,1),1))</f>
        <v>#REF!</v>
      </c>
      <c r="BH263" s="29" t="e">
        <f>IF(Data!#REF!="","",IF(Data!$G263="",1,IF(ISNUMBER(MATCH(Data!#REF!,Data_Val!$D$2:$D$10,0)),0,1)))</f>
        <v>#REF!</v>
      </c>
      <c r="BI263" s="13"/>
      <c r="BJ263" s="21" t="e">
        <f ca="1">IF(Data!#REF!="","",IF(ISNUMBER(Data!#REF!),IF(AND(Data!#REF!&gt;(TODAY()-(Data_Val!$M$3*365.25)),Data!#REF!&lt;=(TODAY()-(Data_Val!$M$2*365.25))),0,1),1))</f>
        <v>#REF!</v>
      </c>
      <c r="BK263" s="13" t="e">
        <f>IF(Data!#REF!="","",IF(Data!$G263="",1,IF(ISNUMBER(MATCH(Data!#REF!,Data_Val!$D$2:$D$10,0)),0,1)))</f>
        <v>#REF!</v>
      </c>
    </row>
    <row r="264" spans="1:63" x14ac:dyDescent="0.25">
      <c r="A264" s="9" t="str">
        <f>IF(Data!B264="","",IF(COUNTIFS(Data!A$1:'Data'!A264,Data!A264)&lt;=1,0,1))</f>
        <v/>
      </c>
      <c r="B264" s="9"/>
      <c r="C264" s="23" t="str">
        <f>IF(Data!C264="","",(IF(ISNUMBER(MATCH("*@*.?*",Data!C264,0)),0,1)+IF(COUNTIFS(Data!C$1:'Data'!C264,Data!C264)&gt;1,1,0)))</f>
        <v/>
      </c>
      <c r="D264" s="9" t="str">
        <f>IF(Data!B264="","",IF(ISNUMBER(Data!D264),IF(AND(Data!D264&gt;999999999,Data!D264&lt;=9999999999),IF(COUNTIFS(Data!D$1:'Data'!D264,Data!D264)&lt;=1,0,1),1),1))</f>
        <v/>
      </c>
      <c r="E264" s="9" t="str">
        <f>IF(Data!B264="","",IF(ISNUMBER(MATCH(Data!E264,Data_Val!$A$2:$A$3,0)),0,1))</f>
        <v/>
      </c>
      <c r="F264" s="9" t="str">
        <f ca="1">IF(Data!B264="","",IF(ISNUMBER(Data!F264),IF(AND(Data!F264&gt;(TODAY()-(Data_Val!$H$3*365.25)),Data!F264&lt;=(TODAY()-(Data_Val!$H$2*365.25))),0,1),1))</f>
        <v/>
      </c>
      <c r="G264" s="15" t="str">
        <f>IF(Data!B264="","",IF(AND(Data!G264="",Data!H264&lt;&gt;""),1,IF(Data!#REF!&lt;&gt;"",0,IF(ISNUMBER(MATCH(Data!G264,Data_Val!$C$2:$C$5,0)),0,1))))</f>
        <v/>
      </c>
      <c r="H264" s="15" t="str">
        <f>IF(Data!B264="","",IF(AND(Data!G264&lt;&gt;"",Data!H264=""),1,IF(Data!#REF!&lt;&gt;"",0,IF(Data!G264="",1,IF(ISNUMBER(MATCH(Data!H264,Data_Val!$D$2:$D$35,0)),0,1)))))</f>
        <v/>
      </c>
      <c r="I264" s="15" t="str">
        <f>IF(Data!B264="","",IF(Data!G264&lt;&gt;"",0,IF(ISNUMBER(MATCH(Data!#REF!,Data_Val!$E$2:$E$12,0)),0,1)))</f>
        <v/>
      </c>
      <c r="J264" s="16" t="e">
        <f>IF(OR(Data!B264="",Data!#REF!=""),"",IF(Data!#REF!="",1,0))</f>
        <v>#REF!</v>
      </c>
      <c r="K264" s="16" t="e">
        <f>IF(OR(Data!B264="",Data!#REF!=""),"",IF(Data!#REF!="",1,0))</f>
        <v>#REF!</v>
      </c>
      <c r="L264" s="16" t="e">
        <f>IF(OR(Data!B264="",Data!#REF!=""),"",IF(ISNUMBER(Data!#REF!),IF(AND(Data!#REF!&gt;Data_Val!$G$2,Data!#REF!&lt;=Data_Val!$G$3),0,1),1))</f>
        <v>#REF!</v>
      </c>
      <c r="M264" s="9" t="e">
        <f>IF(OR(Data!B264="",Data!#REF!=""),"",IF(ISNUMBER(MATCH(Data!#REF!,Data_Val!$F$1:$F$38,0)),0,1))</f>
        <v>#REF!</v>
      </c>
      <c r="N264" s="9" t="e">
        <f>IF(OR(Data!B264="",Data!#REF!=""),"",IF(Data!#REF!="",1,0))</f>
        <v>#REF!</v>
      </c>
      <c r="O264" s="17" t="e">
        <f>IF(Data!#REF!="","",IF(Data!#REF!="",1,0))</f>
        <v>#REF!</v>
      </c>
      <c r="P264" s="17" t="e">
        <f>IF(Data!#REF!="","",IF(ISNUMBER(MATCH(Data!#REF!,Data_Val!$A$2:$A$3,0)),0,1))</f>
        <v>#REF!</v>
      </c>
      <c r="Q264" s="25" t="e">
        <f ca="1">IF(Data!#REF!="","",IF(ISNUMBER(Data!#REF!),IF(AND(Data!#REF!&gt;(TODAY()-(Data_Val!$J$3*365.25)),Data!#REF!&lt;=(TODAY()-(Data_Val!$J$2*365.25))),0,1),1))</f>
        <v>#REF!</v>
      </c>
      <c r="R264" s="17" t="e">
        <f>IF(Data!#REF!="","",IF(ISNUMBER(MATCH(Data!#REF!,Data_Val!$B$2:$B$15,0)),0,1))</f>
        <v>#REF!</v>
      </c>
      <c r="S264" s="11" t="str">
        <f>IF(Data!G264="","",IF(Data!G264=Data_Val!$C$2,IF(Data!M264="",0,1),0))</f>
        <v/>
      </c>
      <c r="T264" s="11" t="str">
        <f>IF(Data!M264="","",IF(ISNUMBER(MATCH(Data!N264,Data_Val!$A$2:$A$3,0)),0,1))</f>
        <v/>
      </c>
      <c r="U264" s="11" t="str">
        <f ca="1">IF(Data!M264="","",IF(ISNUMBER(Data!O264),IF(AND(Data!O264&gt;(TODAY()-(Data_Val!$K$3*365.25)),Data!O264&lt;=(TODAY()-(Data_Val!$K$2*365.25))),0,1),1))</f>
        <v/>
      </c>
      <c r="V264" s="12" t="str">
        <f>IF(Data!G264="","",IF(Data!G264=Data_Val!$C$2,IF(Data!P264="",0,1),0))</f>
        <v/>
      </c>
      <c r="W264" s="12" t="str">
        <f>IF(Data!P264="","",IF(ISNUMBER(MATCH(Data!Q264,Data_Val!$A$2:$A$3,0)),0,1))</f>
        <v/>
      </c>
      <c r="X264" s="26" t="str">
        <f ca="1">IF(Data!P264="","",IF(ISNUMBER(Data!R264),IF(AND(Data!R264&gt;(TODAY()-(Data_Val!$L$3*365.25)),Data!R264&lt;=(TODAY()-(Data_Val!$L$2*365.25))),0,1),1))</f>
        <v/>
      </c>
      <c r="Y264" s="13" t="str">
        <f>IF(Data!$G264="","",IF(Data!$G264=Data_Val!$C$2,IF(Data!S264="",0,1),0))</f>
        <v/>
      </c>
      <c r="Z264" s="13" t="str">
        <f>IF(Data!S264="","",IF(ISNUMBER(MATCH(Data!T264,Data_Val!$A$2:$A$3,0)),0,1))</f>
        <v/>
      </c>
      <c r="AA264" s="28" t="str">
        <f ca="1">IF(Data!S264="","",IF(ISNUMBER(Data!U264),IF(AND(Data!U264&gt;(TODAY()-(Data_Val!$L$3*365.25)),Data!U264&lt;=(TODAY()-(Data_Val!$L$2*365.25))),0,1),1))</f>
        <v/>
      </c>
      <c r="AB264" s="11"/>
      <c r="AC264" s="11" t="e">
        <f>IF(Data!#REF!="","",IF(ISNUMBER(MATCH(Data!#REF!,Data_Val!$A$2:$A$3,0)),0,1))</f>
        <v>#REF!</v>
      </c>
      <c r="AD264" s="11" t="e">
        <f ca="1">IF(Data!#REF!="","",IF(ISNUMBER(Data!#REF!),IF(AND(Data!#REF!&gt;(TODAY()-(Data_Val!$L$3*365.25)),Data!#REF!&lt;=(TODAY()-(Data_Val!$L$2*365.25))),0,1),1))</f>
        <v>#REF!</v>
      </c>
      <c r="AE264" s="11" t="e">
        <f>IF(Data!#REF!="","",IF(Data!$G264="",1,IF(ISNUMBER(MATCH(Data!#REF!,Data_Val!$D$2:$D$10,0)),0,1)))</f>
        <v>#REF!</v>
      </c>
      <c r="AF264" s="12"/>
      <c r="AG264" s="12" t="e">
        <f>IF(Data!#REF!="","",IF(ISNUMBER(MATCH(Data!#REF!,Data_Val!$A$2:$A$3,0)),0,1))</f>
        <v>#REF!</v>
      </c>
      <c r="AH264" s="26" t="e">
        <f ca="1">IF(Data!#REF!="","",IF(ISNUMBER(Data!#REF!),IF(AND(Data!#REF!&gt;(TODAY()-(Data_Val!$L$3*365.25)),Data!#REF!&lt;=(TODAY()-(Data_Val!$L$2*365.25))),0,1),1))</f>
        <v>#REF!</v>
      </c>
      <c r="AI264" s="12" t="e">
        <f>IF(Data!#REF!="","",IF(Data!$G264="",1,IF(ISNUMBER(MATCH(Data!#REF!,Data_Val!$D$2:$D$10,0)),0,1)))</f>
        <v>#REF!</v>
      </c>
      <c r="AJ264" s="17"/>
      <c r="AK264" s="17" t="e">
        <f>IF(Data!#REF!="","",IF(ISNUMBER(MATCH(Data!#REF!,Data_Val!$A$2:$A$3,0)),0,1))</f>
        <v>#REF!</v>
      </c>
      <c r="AL264" s="25" t="e">
        <f ca="1">IF(Data!#REF!="","",IF(ISNUMBER(Data!#REF!),IF(AND(Data!#REF!&gt;(TODAY()-(Data_Val!$L$3*365.25)),Data!#REF!&lt;=(TODAY()-(Data_Val!$L$2*365.25))),0,1),1))</f>
        <v>#REF!</v>
      </c>
      <c r="AM264" s="17" t="e">
        <f>IF(Data!#REF!="","",IF(Data!$G264="",1,IF(ISNUMBER(MATCH(Data!#REF!,Data_Val!$D$2:$D$10,0)),0,1)))</f>
        <v>#REF!</v>
      </c>
      <c r="AN264" s="13"/>
      <c r="AO264" s="28" t="e">
        <f ca="1">IF(Data!#REF!="","",IF(ISNUMBER(Data!#REF!),IF(AND(Data!#REF!&gt;(TODAY()-(Data_Val!$I$3*365.25)),Data!#REF!&lt;=(TODAY()-(Data_Val!$I$2*365.25))),0,1),1))</f>
        <v>#REF!</v>
      </c>
      <c r="AP264" s="13" t="e">
        <f>IF(Data!#REF!="","",IF(Data!$G264="",1,IF(ISNUMBER(MATCH(Data!#REF!,Data_Val!$D$2:$D$10,0)),0,1)))</f>
        <v>#REF!</v>
      </c>
      <c r="AQ264" s="17"/>
      <c r="AR264" s="30" t="e">
        <f ca="1">IF(Data!#REF!="","",IF(ISNUMBER(Data!#REF!),IF(AND(Data!#REF!&gt;(TODAY()-(Data_Val!$I$3*365.25)),Data!#REF!&lt;=(TODAY()-(Data_Val!$I$2*365.25))),0,1),1))</f>
        <v>#REF!</v>
      </c>
      <c r="AS264" s="31" t="e">
        <f>IF(Data!#REF!="","",IF(Data!$G264="",1,IF(ISNUMBER(MATCH(Data!#REF!,Data_Val!$D$2:$D$10,0)),0,1)))</f>
        <v>#REF!</v>
      </c>
      <c r="AT264" s="11"/>
      <c r="AU264" s="11" t="e">
        <f ca="1">IF(Data!#REF!="","",IF(ISNUMBER(Data!#REF!),IF(AND(Data!#REF!&gt;(TODAY()-(Data_Val!$I$3*365.25)),Data!#REF!&lt;=(TODAY()-(Data_Val!$I$2*365.25))),0,1),1))</f>
        <v>#REF!</v>
      </c>
      <c r="AV264" s="11" t="e">
        <f>IF(Data!#REF!="","",IF(Data!$G264="",1,IF(ISNUMBER(MATCH(Data!#REF!,Data_Val!$D$2:$D$10,0)),0,1)))</f>
        <v>#REF!</v>
      </c>
      <c r="AW264" s="12"/>
      <c r="AX264" s="26" t="e">
        <f ca="1">IF(Data!#REF!="","",IF(ISNUMBER(Data!#REF!),IF(AND(Data!#REF!&gt;(TODAY()-(Data_Val!$I$3*365.25)),Data!#REF!&lt;=(TODAY()-(Data_Val!$I$2*365.25))),0,1),1))</f>
        <v>#REF!</v>
      </c>
      <c r="AY264" s="12" t="e">
        <f>IF(Data!#REF!="","",IF(Data!$G264="",1,IF(ISNUMBER(MATCH(Data!#REF!,Data_Val!$D$2:$D$10,0)),0,1)))</f>
        <v>#REF!</v>
      </c>
      <c r="AZ264" s="11"/>
      <c r="BA264" s="19" t="e">
        <f ca="1">IF(Data!#REF!="","",IF(ISNUMBER(Data!#REF!),IF(AND(Data!#REF!&gt;(TODAY()-(Data_Val!$M$3*365.25)),Data!#REF!&lt;=(TODAY()-(Data_Val!$M$2*365.25))),0,1),1))</f>
        <v>#REF!</v>
      </c>
      <c r="BB264" s="11" t="e">
        <f>IF(Data!#REF!="","",IF(Data!$G264="",1,IF(ISNUMBER(MATCH(Data!#REF!,Data_Val!$D$2:$D$10,0)),0,1)))</f>
        <v>#REF!</v>
      </c>
      <c r="BC264" s="12"/>
      <c r="BD264" s="20" t="e">
        <f ca="1">IF(Data!#REF!="","",IF(ISNUMBER(Data!#REF!),IF(AND(Data!#REF!&gt;(TODAY()-(Data_Val!$M$3*365.25)),Data!#REF!&lt;=(TODAY()-(Data_Val!$M$2*365.25))),0,1),1))</f>
        <v>#REF!</v>
      </c>
      <c r="BE264" s="12" t="e">
        <f>IF(Data!#REF!="","",IF(Data!$G264="",1,IF(ISNUMBER(MATCH(Data!#REF!,Data_Val!$D$2:$D$10,0)),0,1)))</f>
        <v>#REF!</v>
      </c>
      <c r="BF264" s="17"/>
      <c r="BG264" s="18" t="e">
        <f ca="1">IF(Data!#REF!="","",IF(ISNUMBER(Data!#REF!),IF(AND(Data!#REF!&gt;(TODAY()-(Data_Val!$M$3*365.25)),Data!#REF!&lt;=(TODAY()-(Data_Val!$M$2*365.25))),0,1),1))</f>
        <v>#REF!</v>
      </c>
      <c r="BH264" s="29" t="e">
        <f>IF(Data!#REF!="","",IF(Data!$G264="",1,IF(ISNUMBER(MATCH(Data!#REF!,Data_Val!$D$2:$D$10,0)),0,1)))</f>
        <v>#REF!</v>
      </c>
      <c r="BI264" s="13"/>
      <c r="BJ264" s="21" t="e">
        <f ca="1">IF(Data!#REF!="","",IF(ISNUMBER(Data!#REF!),IF(AND(Data!#REF!&gt;(TODAY()-(Data_Val!$M$3*365.25)),Data!#REF!&lt;=(TODAY()-(Data_Val!$M$2*365.25))),0,1),1))</f>
        <v>#REF!</v>
      </c>
      <c r="BK264" s="13" t="e">
        <f>IF(Data!#REF!="","",IF(Data!$G264="",1,IF(ISNUMBER(MATCH(Data!#REF!,Data_Val!$D$2:$D$10,0)),0,1)))</f>
        <v>#REF!</v>
      </c>
    </row>
    <row r="265" spans="1:63" x14ac:dyDescent="0.25">
      <c r="A265" s="9" t="str">
        <f>IF(Data!B265="","",IF(COUNTIFS(Data!A$1:'Data'!A265,Data!A265)&lt;=1,0,1))</f>
        <v/>
      </c>
      <c r="B265" s="9"/>
      <c r="C265" s="23" t="str">
        <f>IF(Data!C265="","",(IF(ISNUMBER(MATCH("*@*.?*",Data!C265,0)),0,1)+IF(COUNTIFS(Data!C$1:'Data'!C265,Data!C265)&gt;1,1,0)))</f>
        <v/>
      </c>
      <c r="D265" s="9" t="str">
        <f>IF(Data!B265="","",IF(ISNUMBER(Data!D265),IF(AND(Data!D265&gt;999999999,Data!D265&lt;=9999999999),IF(COUNTIFS(Data!D$1:'Data'!D265,Data!D265)&lt;=1,0,1),1),1))</f>
        <v/>
      </c>
      <c r="E265" s="9" t="str">
        <f>IF(Data!B265="","",IF(ISNUMBER(MATCH(Data!E265,Data_Val!$A$2:$A$3,0)),0,1))</f>
        <v/>
      </c>
      <c r="F265" s="9" t="str">
        <f ca="1">IF(Data!B265="","",IF(ISNUMBER(Data!F265),IF(AND(Data!F265&gt;(TODAY()-(Data_Val!$H$3*365.25)),Data!F265&lt;=(TODAY()-(Data_Val!$H$2*365.25))),0,1),1))</f>
        <v/>
      </c>
      <c r="G265" s="15" t="str">
        <f>IF(Data!B265="","",IF(AND(Data!G265="",Data!H265&lt;&gt;""),1,IF(Data!#REF!&lt;&gt;"",0,IF(ISNUMBER(MATCH(Data!G265,Data_Val!$C$2:$C$5,0)),0,1))))</f>
        <v/>
      </c>
      <c r="H265" s="15" t="str">
        <f>IF(Data!B265="","",IF(AND(Data!G265&lt;&gt;"",Data!H265=""),1,IF(Data!#REF!&lt;&gt;"",0,IF(Data!G265="",1,IF(ISNUMBER(MATCH(Data!H265,Data_Val!$D$2:$D$35,0)),0,1)))))</f>
        <v/>
      </c>
      <c r="I265" s="15" t="str">
        <f>IF(Data!B265="","",IF(Data!G265&lt;&gt;"",0,IF(ISNUMBER(MATCH(Data!#REF!,Data_Val!$E$2:$E$12,0)),0,1)))</f>
        <v/>
      </c>
      <c r="J265" s="16" t="e">
        <f>IF(OR(Data!B265="",Data!#REF!=""),"",IF(Data!#REF!="",1,0))</f>
        <v>#REF!</v>
      </c>
      <c r="K265" s="16" t="e">
        <f>IF(OR(Data!B265="",Data!#REF!=""),"",IF(Data!#REF!="",1,0))</f>
        <v>#REF!</v>
      </c>
      <c r="L265" s="16" t="e">
        <f>IF(OR(Data!B265="",Data!#REF!=""),"",IF(ISNUMBER(Data!#REF!),IF(AND(Data!#REF!&gt;Data_Val!$G$2,Data!#REF!&lt;=Data_Val!$G$3),0,1),1))</f>
        <v>#REF!</v>
      </c>
      <c r="M265" s="9" t="e">
        <f>IF(OR(Data!B265="",Data!#REF!=""),"",IF(ISNUMBER(MATCH(Data!#REF!,Data_Val!$F$1:$F$38,0)),0,1))</f>
        <v>#REF!</v>
      </c>
      <c r="N265" s="9" t="e">
        <f>IF(OR(Data!B265="",Data!#REF!=""),"",IF(Data!#REF!="",1,0))</f>
        <v>#REF!</v>
      </c>
      <c r="O265" s="17" t="e">
        <f>IF(Data!#REF!="","",IF(Data!#REF!="",1,0))</f>
        <v>#REF!</v>
      </c>
      <c r="P265" s="17" t="e">
        <f>IF(Data!#REF!="","",IF(ISNUMBER(MATCH(Data!#REF!,Data_Val!$A$2:$A$3,0)),0,1))</f>
        <v>#REF!</v>
      </c>
      <c r="Q265" s="25" t="e">
        <f ca="1">IF(Data!#REF!="","",IF(ISNUMBER(Data!#REF!),IF(AND(Data!#REF!&gt;(TODAY()-(Data_Val!$J$3*365.25)),Data!#REF!&lt;=(TODAY()-(Data_Val!$J$2*365.25))),0,1),1))</f>
        <v>#REF!</v>
      </c>
      <c r="R265" s="17" t="e">
        <f>IF(Data!#REF!="","",IF(ISNUMBER(MATCH(Data!#REF!,Data_Val!$B$2:$B$15,0)),0,1))</f>
        <v>#REF!</v>
      </c>
      <c r="S265" s="11" t="str">
        <f>IF(Data!G265="","",IF(Data!G265=Data_Val!$C$2,IF(Data!M265="",0,1),0))</f>
        <v/>
      </c>
      <c r="T265" s="11" t="str">
        <f>IF(Data!M265="","",IF(ISNUMBER(MATCH(Data!N265,Data_Val!$A$2:$A$3,0)),0,1))</f>
        <v/>
      </c>
      <c r="U265" s="11" t="str">
        <f ca="1">IF(Data!M265="","",IF(ISNUMBER(Data!O265),IF(AND(Data!O265&gt;(TODAY()-(Data_Val!$K$3*365.25)),Data!O265&lt;=(TODAY()-(Data_Val!$K$2*365.25))),0,1),1))</f>
        <v/>
      </c>
      <c r="V265" s="12" t="str">
        <f>IF(Data!G265="","",IF(Data!G265=Data_Val!$C$2,IF(Data!P265="",0,1),0))</f>
        <v/>
      </c>
      <c r="W265" s="12" t="str">
        <f>IF(Data!P265="","",IF(ISNUMBER(MATCH(Data!Q265,Data_Val!$A$2:$A$3,0)),0,1))</f>
        <v/>
      </c>
      <c r="X265" s="26" t="str">
        <f ca="1">IF(Data!P265="","",IF(ISNUMBER(Data!R265),IF(AND(Data!R265&gt;(TODAY()-(Data_Val!$L$3*365.25)),Data!R265&lt;=(TODAY()-(Data_Val!$L$2*365.25))),0,1),1))</f>
        <v/>
      </c>
      <c r="Y265" s="13" t="str">
        <f>IF(Data!$G265="","",IF(Data!$G265=Data_Val!$C$2,IF(Data!S265="",0,1),0))</f>
        <v/>
      </c>
      <c r="Z265" s="13" t="str">
        <f>IF(Data!S265="","",IF(ISNUMBER(MATCH(Data!T265,Data_Val!$A$2:$A$3,0)),0,1))</f>
        <v/>
      </c>
      <c r="AA265" s="28" t="str">
        <f ca="1">IF(Data!S265="","",IF(ISNUMBER(Data!U265),IF(AND(Data!U265&gt;(TODAY()-(Data_Val!$L$3*365.25)),Data!U265&lt;=(TODAY()-(Data_Val!$L$2*365.25))),0,1),1))</f>
        <v/>
      </c>
      <c r="AB265" s="11"/>
      <c r="AC265" s="11" t="e">
        <f>IF(Data!#REF!="","",IF(ISNUMBER(MATCH(Data!#REF!,Data_Val!$A$2:$A$3,0)),0,1))</f>
        <v>#REF!</v>
      </c>
      <c r="AD265" s="11" t="e">
        <f ca="1">IF(Data!#REF!="","",IF(ISNUMBER(Data!#REF!),IF(AND(Data!#REF!&gt;(TODAY()-(Data_Val!$L$3*365.25)),Data!#REF!&lt;=(TODAY()-(Data_Val!$L$2*365.25))),0,1),1))</f>
        <v>#REF!</v>
      </c>
      <c r="AE265" s="11" t="e">
        <f>IF(Data!#REF!="","",IF(Data!$G265="",1,IF(ISNUMBER(MATCH(Data!#REF!,Data_Val!$D$2:$D$10,0)),0,1)))</f>
        <v>#REF!</v>
      </c>
      <c r="AF265" s="12"/>
      <c r="AG265" s="12" t="e">
        <f>IF(Data!#REF!="","",IF(ISNUMBER(MATCH(Data!#REF!,Data_Val!$A$2:$A$3,0)),0,1))</f>
        <v>#REF!</v>
      </c>
      <c r="AH265" s="26" t="e">
        <f ca="1">IF(Data!#REF!="","",IF(ISNUMBER(Data!#REF!),IF(AND(Data!#REF!&gt;(TODAY()-(Data_Val!$L$3*365.25)),Data!#REF!&lt;=(TODAY()-(Data_Val!$L$2*365.25))),0,1),1))</f>
        <v>#REF!</v>
      </c>
      <c r="AI265" s="12" t="e">
        <f>IF(Data!#REF!="","",IF(Data!$G265="",1,IF(ISNUMBER(MATCH(Data!#REF!,Data_Val!$D$2:$D$10,0)),0,1)))</f>
        <v>#REF!</v>
      </c>
      <c r="AJ265" s="17"/>
      <c r="AK265" s="17" t="e">
        <f>IF(Data!#REF!="","",IF(ISNUMBER(MATCH(Data!#REF!,Data_Val!$A$2:$A$3,0)),0,1))</f>
        <v>#REF!</v>
      </c>
      <c r="AL265" s="25" t="e">
        <f ca="1">IF(Data!#REF!="","",IF(ISNUMBER(Data!#REF!),IF(AND(Data!#REF!&gt;(TODAY()-(Data_Val!$L$3*365.25)),Data!#REF!&lt;=(TODAY()-(Data_Val!$L$2*365.25))),0,1),1))</f>
        <v>#REF!</v>
      </c>
      <c r="AM265" s="17" t="e">
        <f>IF(Data!#REF!="","",IF(Data!$G265="",1,IF(ISNUMBER(MATCH(Data!#REF!,Data_Val!$D$2:$D$10,0)),0,1)))</f>
        <v>#REF!</v>
      </c>
      <c r="AN265" s="13"/>
      <c r="AO265" s="28" t="e">
        <f ca="1">IF(Data!#REF!="","",IF(ISNUMBER(Data!#REF!),IF(AND(Data!#REF!&gt;(TODAY()-(Data_Val!$I$3*365.25)),Data!#REF!&lt;=(TODAY()-(Data_Val!$I$2*365.25))),0,1),1))</f>
        <v>#REF!</v>
      </c>
      <c r="AP265" s="13" t="e">
        <f>IF(Data!#REF!="","",IF(Data!$G265="",1,IF(ISNUMBER(MATCH(Data!#REF!,Data_Val!$D$2:$D$10,0)),0,1)))</f>
        <v>#REF!</v>
      </c>
      <c r="AQ265" s="17"/>
      <c r="AR265" s="30" t="e">
        <f ca="1">IF(Data!#REF!="","",IF(ISNUMBER(Data!#REF!),IF(AND(Data!#REF!&gt;(TODAY()-(Data_Val!$I$3*365.25)),Data!#REF!&lt;=(TODAY()-(Data_Val!$I$2*365.25))),0,1),1))</f>
        <v>#REF!</v>
      </c>
      <c r="AS265" s="31" t="e">
        <f>IF(Data!#REF!="","",IF(Data!$G265="",1,IF(ISNUMBER(MATCH(Data!#REF!,Data_Val!$D$2:$D$10,0)),0,1)))</f>
        <v>#REF!</v>
      </c>
      <c r="AT265" s="11"/>
      <c r="AU265" s="11" t="e">
        <f ca="1">IF(Data!#REF!="","",IF(ISNUMBER(Data!#REF!),IF(AND(Data!#REF!&gt;(TODAY()-(Data_Val!$I$3*365.25)),Data!#REF!&lt;=(TODAY()-(Data_Val!$I$2*365.25))),0,1),1))</f>
        <v>#REF!</v>
      </c>
      <c r="AV265" s="11" t="e">
        <f>IF(Data!#REF!="","",IF(Data!$G265="",1,IF(ISNUMBER(MATCH(Data!#REF!,Data_Val!$D$2:$D$10,0)),0,1)))</f>
        <v>#REF!</v>
      </c>
      <c r="AW265" s="12"/>
      <c r="AX265" s="26" t="e">
        <f ca="1">IF(Data!#REF!="","",IF(ISNUMBER(Data!#REF!),IF(AND(Data!#REF!&gt;(TODAY()-(Data_Val!$I$3*365.25)),Data!#REF!&lt;=(TODAY()-(Data_Val!$I$2*365.25))),0,1),1))</f>
        <v>#REF!</v>
      </c>
      <c r="AY265" s="12" t="e">
        <f>IF(Data!#REF!="","",IF(Data!$G265="",1,IF(ISNUMBER(MATCH(Data!#REF!,Data_Val!$D$2:$D$10,0)),0,1)))</f>
        <v>#REF!</v>
      </c>
      <c r="AZ265" s="11"/>
      <c r="BA265" s="19" t="e">
        <f ca="1">IF(Data!#REF!="","",IF(ISNUMBER(Data!#REF!),IF(AND(Data!#REF!&gt;(TODAY()-(Data_Val!$M$3*365.25)),Data!#REF!&lt;=(TODAY()-(Data_Val!$M$2*365.25))),0,1),1))</f>
        <v>#REF!</v>
      </c>
      <c r="BB265" s="11" t="e">
        <f>IF(Data!#REF!="","",IF(Data!$G265="",1,IF(ISNUMBER(MATCH(Data!#REF!,Data_Val!$D$2:$D$10,0)),0,1)))</f>
        <v>#REF!</v>
      </c>
      <c r="BC265" s="12"/>
      <c r="BD265" s="20" t="e">
        <f ca="1">IF(Data!#REF!="","",IF(ISNUMBER(Data!#REF!),IF(AND(Data!#REF!&gt;(TODAY()-(Data_Val!$M$3*365.25)),Data!#REF!&lt;=(TODAY()-(Data_Val!$M$2*365.25))),0,1),1))</f>
        <v>#REF!</v>
      </c>
      <c r="BE265" s="12" t="e">
        <f>IF(Data!#REF!="","",IF(Data!$G265="",1,IF(ISNUMBER(MATCH(Data!#REF!,Data_Val!$D$2:$D$10,0)),0,1)))</f>
        <v>#REF!</v>
      </c>
      <c r="BF265" s="17"/>
      <c r="BG265" s="18" t="e">
        <f ca="1">IF(Data!#REF!="","",IF(ISNUMBER(Data!#REF!),IF(AND(Data!#REF!&gt;(TODAY()-(Data_Val!$M$3*365.25)),Data!#REF!&lt;=(TODAY()-(Data_Val!$M$2*365.25))),0,1),1))</f>
        <v>#REF!</v>
      </c>
      <c r="BH265" s="29" t="e">
        <f>IF(Data!#REF!="","",IF(Data!$G265="",1,IF(ISNUMBER(MATCH(Data!#REF!,Data_Val!$D$2:$D$10,0)),0,1)))</f>
        <v>#REF!</v>
      </c>
      <c r="BI265" s="13"/>
      <c r="BJ265" s="21" t="e">
        <f ca="1">IF(Data!#REF!="","",IF(ISNUMBER(Data!#REF!),IF(AND(Data!#REF!&gt;(TODAY()-(Data_Val!$M$3*365.25)),Data!#REF!&lt;=(TODAY()-(Data_Val!$M$2*365.25))),0,1),1))</f>
        <v>#REF!</v>
      </c>
      <c r="BK265" s="13" t="e">
        <f>IF(Data!#REF!="","",IF(Data!$G265="",1,IF(ISNUMBER(MATCH(Data!#REF!,Data_Val!$D$2:$D$10,0)),0,1)))</f>
        <v>#REF!</v>
      </c>
    </row>
    <row r="266" spans="1:63" x14ac:dyDescent="0.25">
      <c r="A266" s="9" t="str">
        <f>IF(Data!B266="","",IF(COUNTIFS(Data!A$1:'Data'!A266,Data!A266)&lt;=1,0,1))</f>
        <v/>
      </c>
      <c r="B266" s="9"/>
      <c r="C266" s="23" t="str">
        <f>IF(Data!C266="","",(IF(ISNUMBER(MATCH("*@*.?*",Data!C266,0)),0,1)+IF(COUNTIFS(Data!C$1:'Data'!C266,Data!C266)&gt;1,1,0)))</f>
        <v/>
      </c>
      <c r="D266" s="9" t="str">
        <f>IF(Data!B266="","",IF(ISNUMBER(Data!D266),IF(AND(Data!D266&gt;999999999,Data!D266&lt;=9999999999),IF(COUNTIFS(Data!D$1:'Data'!D266,Data!D266)&lt;=1,0,1),1),1))</f>
        <v/>
      </c>
      <c r="E266" s="9" t="str">
        <f>IF(Data!B266="","",IF(ISNUMBER(MATCH(Data!E266,Data_Val!$A$2:$A$3,0)),0,1))</f>
        <v/>
      </c>
      <c r="F266" s="9" t="str">
        <f ca="1">IF(Data!B266="","",IF(ISNUMBER(Data!F266),IF(AND(Data!F266&gt;(TODAY()-(Data_Val!$H$3*365.25)),Data!F266&lt;=(TODAY()-(Data_Val!$H$2*365.25))),0,1),1))</f>
        <v/>
      </c>
      <c r="G266" s="15" t="str">
        <f>IF(Data!B266="","",IF(AND(Data!G266="",Data!H266&lt;&gt;""),1,IF(Data!#REF!&lt;&gt;"",0,IF(ISNUMBER(MATCH(Data!G266,Data_Val!$C$2:$C$5,0)),0,1))))</f>
        <v/>
      </c>
      <c r="H266" s="15" t="str">
        <f>IF(Data!B266="","",IF(AND(Data!G266&lt;&gt;"",Data!H266=""),1,IF(Data!#REF!&lt;&gt;"",0,IF(Data!G266="",1,IF(ISNUMBER(MATCH(Data!H266,Data_Val!$D$2:$D$35,0)),0,1)))))</f>
        <v/>
      </c>
      <c r="I266" s="15" t="str">
        <f>IF(Data!B266="","",IF(Data!G266&lt;&gt;"",0,IF(ISNUMBER(MATCH(Data!#REF!,Data_Val!$E$2:$E$12,0)),0,1)))</f>
        <v/>
      </c>
      <c r="J266" s="16" t="e">
        <f>IF(OR(Data!B266="",Data!#REF!=""),"",IF(Data!#REF!="",1,0))</f>
        <v>#REF!</v>
      </c>
      <c r="K266" s="16" t="e">
        <f>IF(OR(Data!B266="",Data!#REF!=""),"",IF(Data!#REF!="",1,0))</f>
        <v>#REF!</v>
      </c>
      <c r="L266" s="16" t="e">
        <f>IF(OR(Data!B266="",Data!#REF!=""),"",IF(ISNUMBER(Data!#REF!),IF(AND(Data!#REF!&gt;Data_Val!$G$2,Data!#REF!&lt;=Data_Val!$G$3),0,1),1))</f>
        <v>#REF!</v>
      </c>
      <c r="M266" s="9" t="e">
        <f>IF(OR(Data!B266="",Data!#REF!=""),"",IF(ISNUMBER(MATCH(Data!#REF!,Data_Val!$F$1:$F$38,0)),0,1))</f>
        <v>#REF!</v>
      </c>
      <c r="N266" s="9" t="e">
        <f>IF(OR(Data!B266="",Data!#REF!=""),"",IF(Data!#REF!="",1,0))</f>
        <v>#REF!</v>
      </c>
      <c r="O266" s="17" t="e">
        <f>IF(Data!#REF!="","",IF(Data!#REF!="",1,0))</f>
        <v>#REF!</v>
      </c>
      <c r="P266" s="17" t="e">
        <f>IF(Data!#REF!="","",IF(ISNUMBER(MATCH(Data!#REF!,Data_Val!$A$2:$A$3,0)),0,1))</f>
        <v>#REF!</v>
      </c>
      <c r="Q266" s="25" t="e">
        <f ca="1">IF(Data!#REF!="","",IF(ISNUMBER(Data!#REF!),IF(AND(Data!#REF!&gt;(TODAY()-(Data_Val!$J$3*365.25)),Data!#REF!&lt;=(TODAY()-(Data_Val!$J$2*365.25))),0,1),1))</f>
        <v>#REF!</v>
      </c>
      <c r="R266" s="17" t="e">
        <f>IF(Data!#REF!="","",IF(ISNUMBER(MATCH(Data!#REF!,Data_Val!$B$2:$B$15,0)),0,1))</f>
        <v>#REF!</v>
      </c>
      <c r="S266" s="11" t="str">
        <f>IF(Data!G266="","",IF(Data!G266=Data_Val!$C$2,IF(Data!M266="",0,1),0))</f>
        <v/>
      </c>
      <c r="T266" s="11" t="str">
        <f>IF(Data!M266="","",IF(ISNUMBER(MATCH(Data!N266,Data_Val!$A$2:$A$3,0)),0,1))</f>
        <v/>
      </c>
      <c r="U266" s="11" t="str">
        <f ca="1">IF(Data!M266="","",IF(ISNUMBER(Data!O266),IF(AND(Data!O266&gt;(TODAY()-(Data_Val!$K$3*365.25)),Data!O266&lt;=(TODAY()-(Data_Val!$K$2*365.25))),0,1),1))</f>
        <v/>
      </c>
      <c r="V266" s="12" t="str">
        <f>IF(Data!G266="","",IF(Data!G266=Data_Val!$C$2,IF(Data!P266="",0,1),0))</f>
        <v/>
      </c>
      <c r="W266" s="12" t="str">
        <f>IF(Data!P266="","",IF(ISNUMBER(MATCH(Data!Q266,Data_Val!$A$2:$A$3,0)),0,1))</f>
        <v/>
      </c>
      <c r="X266" s="26" t="str">
        <f ca="1">IF(Data!P266="","",IF(ISNUMBER(Data!R266),IF(AND(Data!R266&gt;(TODAY()-(Data_Val!$L$3*365.25)),Data!R266&lt;=(TODAY()-(Data_Val!$L$2*365.25))),0,1),1))</f>
        <v/>
      </c>
      <c r="Y266" s="13" t="str">
        <f>IF(Data!$G266="","",IF(Data!$G266=Data_Val!$C$2,IF(Data!S266="",0,1),0))</f>
        <v/>
      </c>
      <c r="Z266" s="13" t="str">
        <f>IF(Data!S266="","",IF(ISNUMBER(MATCH(Data!T266,Data_Val!$A$2:$A$3,0)),0,1))</f>
        <v/>
      </c>
      <c r="AA266" s="28" t="str">
        <f ca="1">IF(Data!S266="","",IF(ISNUMBER(Data!U266),IF(AND(Data!U266&gt;(TODAY()-(Data_Val!$L$3*365.25)),Data!U266&lt;=(TODAY()-(Data_Val!$L$2*365.25))),0,1),1))</f>
        <v/>
      </c>
      <c r="AB266" s="11"/>
      <c r="AC266" s="11" t="e">
        <f>IF(Data!#REF!="","",IF(ISNUMBER(MATCH(Data!#REF!,Data_Val!$A$2:$A$3,0)),0,1))</f>
        <v>#REF!</v>
      </c>
      <c r="AD266" s="11" t="e">
        <f ca="1">IF(Data!#REF!="","",IF(ISNUMBER(Data!#REF!),IF(AND(Data!#REF!&gt;(TODAY()-(Data_Val!$L$3*365.25)),Data!#REF!&lt;=(TODAY()-(Data_Val!$L$2*365.25))),0,1),1))</f>
        <v>#REF!</v>
      </c>
      <c r="AE266" s="11" t="e">
        <f>IF(Data!#REF!="","",IF(Data!$G266="",1,IF(ISNUMBER(MATCH(Data!#REF!,Data_Val!$D$2:$D$10,0)),0,1)))</f>
        <v>#REF!</v>
      </c>
      <c r="AF266" s="12"/>
      <c r="AG266" s="12" t="e">
        <f>IF(Data!#REF!="","",IF(ISNUMBER(MATCH(Data!#REF!,Data_Val!$A$2:$A$3,0)),0,1))</f>
        <v>#REF!</v>
      </c>
      <c r="AH266" s="26" t="e">
        <f ca="1">IF(Data!#REF!="","",IF(ISNUMBER(Data!#REF!),IF(AND(Data!#REF!&gt;(TODAY()-(Data_Val!$L$3*365.25)),Data!#REF!&lt;=(TODAY()-(Data_Val!$L$2*365.25))),0,1),1))</f>
        <v>#REF!</v>
      </c>
      <c r="AI266" s="12" t="e">
        <f>IF(Data!#REF!="","",IF(Data!$G266="",1,IF(ISNUMBER(MATCH(Data!#REF!,Data_Val!$D$2:$D$10,0)),0,1)))</f>
        <v>#REF!</v>
      </c>
      <c r="AJ266" s="17"/>
      <c r="AK266" s="17" t="e">
        <f>IF(Data!#REF!="","",IF(ISNUMBER(MATCH(Data!#REF!,Data_Val!$A$2:$A$3,0)),0,1))</f>
        <v>#REF!</v>
      </c>
      <c r="AL266" s="25" t="e">
        <f ca="1">IF(Data!#REF!="","",IF(ISNUMBER(Data!#REF!),IF(AND(Data!#REF!&gt;(TODAY()-(Data_Val!$L$3*365.25)),Data!#REF!&lt;=(TODAY()-(Data_Val!$L$2*365.25))),0,1),1))</f>
        <v>#REF!</v>
      </c>
      <c r="AM266" s="17" t="e">
        <f>IF(Data!#REF!="","",IF(Data!$G266="",1,IF(ISNUMBER(MATCH(Data!#REF!,Data_Val!$D$2:$D$10,0)),0,1)))</f>
        <v>#REF!</v>
      </c>
      <c r="AN266" s="13"/>
      <c r="AO266" s="28" t="e">
        <f ca="1">IF(Data!#REF!="","",IF(ISNUMBER(Data!#REF!),IF(AND(Data!#REF!&gt;(TODAY()-(Data_Val!$I$3*365.25)),Data!#REF!&lt;=(TODAY()-(Data_Val!$I$2*365.25))),0,1),1))</f>
        <v>#REF!</v>
      </c>
      <c r="AP266" s="13" t="e">
        <f>IF(Data!#REF!="","",IF(Data!$G266="",1,IF(ISNUMBER(MATCH(Data!#REF!,Data_Val!$D$2:$D$10,0)),0,1)))</f>
        <v>#REF!</v>
      </c>
      <c r="AQ266" s="17"/>
      <c r="AR266" s="30" t="e">
        <f ca="1">IF(Data!#REF!="","",IF(ISNUMBER(Data!#REF!),IF(AND(Data!#REF!&gt;(TODAY()-(Data_Val!$I$3*365.25)),Data!#REF!&lt;=(TODAY()-(Data_Val!$I$2*365.25))),0,1),1))</f>
        <v>#REF!</v>
      </c>
      <c r="AS266" s="31" t="e">
        <f>IF(Data!#REF!="","",IF(Data!$G266="",1,IF(ISNUMBER(MATCH(Data!#REF!,Data_Val!$D$2:$D$10,0)),0,1)))</f>
        <v>#REF!</v>
      </c>
      <c r="AT266" s="11"/>
      <c r="AU266" s="11" t="e">
        <f ca="1">IF(Data!#REF!="","",IF(ISNUMBER(Data!#REF!),IF(AND(Data!#REF!&gt;(TODAY()-(Data_Val!$I$3*365.25)),Data!#REF!&lt;=(TODAY()-(Data_Val!$I$2*365.25))),0,1),1))</f>
        <v>#REF!</v>
      </c>
      <c r="AV266" s="11" t="e">
        <f>IF(Data!#REF!="","",IF(Data!$G266="",1,IF(ISNUMBER(MATCH(Data!#REF!,Data_Val!$D$2:$D$10,0)),0,1)))</f>
        <v>#REF!</v>
      </c>
      <c r="AW266" s="12"/>
      <c r="AX266" s="26" t="e">
        <f ca="1">IF(Data!#REF!="","",IF(ISNUMBER(Data!#REF!),IF(AND(Data!#REF!&gt;(TODAY()-(Data_Val!$I$3*365.25)),Data!#REF!&lt;=(TODAY()-(Data_Val!$I$2*365.25))),0,1),1))</f>
        <v>#REF!</v>
      </c>
      <c r="AY266" s="12" t="e">
        <f>IF(Data!#REF!="","",IF(Data!$G266="",1,IF(ISNUMBER(MATCH(Data!#REF!,Data_Val!$D$2:$D$10,0)),0,1)))</f>
        <v>#REF!</v>
      </c>
      <c r="AZ266" s="11"/>
      <c r="BA266" s="19" t="e">
        <f ca="1">IF(Data!#REF!="","",IF(ISNUMBER(Data!#REF!),IF(AND(Data!#REF!&gt;(TODAY()-(Data_Val!$M$3*365.25)),Data!#REF!&lt;=(TODAY()-(Data_Val!$M$2*365.25))),0,1),1))</f>
        <v>#REF!</v>
      </c>
      <c r="BB266" s="11" t="e">
        <f>IF(Data!#REF!="","",IF(Data!$G266="",1,IF(ISNUMBER(MATCH(Data!#REF!,Data_Val!$D$2:$D$10,0)),0,1)))</f>
        <v>#REF!</v>
      </c>
      <c r="BC266" s="12"/>
      <c r="BD266" s="20" t="e">
        <f ca="1">IF(Data!#REF!="","",IF(ISNUMBER(Data!#REF!),IF(AND(Data!#REF!&gt;(TODAY()-(Data_Val!$M$3*365.25)),Data!#REF!&lt;=(TODAY()-(Data_Val!$M$2*365.25))),0,1),1))</f>
        <v>#REF!</v>
      </c>
      <c r="BE266" s="12" t="e">
        <f>IF(Data!#REF!="","",IF(Data!$G266="",1,IF(ISNUMBER(MATCH(Data!#REF!,Data_Val!$D$2:$D$10,0)),0,1)))</f>
        <v>#REF!</v>
      </c>
      <c r="BF266" s="17"/>
      <c r="BG266" s="18" t="e">
        <f ca="1">IF(Data!#REF!="","",IF(ISNUMBER(Data!#REF!),IF(AND(Data!#REF!&gt;(TODAY()-(Data_Val!$M$3*365.25)),Data!#REF!&lt;=(TODAY()-(Data_Val!$M$2*365.25))),0,1),1))</f>
        <v>#REF!</v>
      </c>
      <c r="BH266" s="29" t="e">
        <f>IF(Data!#REF!="","",IF(Data!$G266="",1,IF(ISNUMBER(MATCH(Data!#REF!,Data_Val!$D$2:$D$10,0)),0,1)))</f>
        <v>#REF!</v>
      </c>
      <c r="BI266" s="13"/>
      <c r="BJ266" s="21" t="e">
        <f ca="1">IF(Data!#REF!="","",IF(ISNUMBER(Data!#REF!),IF(AND(Data!#REF!&gt;(TODAY()-(Data_Val!$M$3*365.25)),Data!#REF!&lt;=(TODAY()-(Data_Val!$M$2*365.25))),0,1),1))</f>
        <v>#REF!</v>
      </c>
      <c r="BK266" s="13" t="e">
        <f>IF(Data!#REF!="","",IF(Data!$G266="",1,IF(ISNUMBER(MATCH(Data!#REF!,Data_Val!$D$2:$D$10,0)),0,1)))</f>
        <v>#REF!</v>
      </c>
    </row>
    <row r="267" spans="1:63" x14ac:dyDescent="0.25">
      <c r="A267" s="9" t="str">
        <f>IF(Data!B267="","",IF(COUNTIFS(Data!A$1:'Data'!A267,Data!A267)&lt;=1,0,1))</f>
        <v/>
      </c>
      <c r="B267" s="9"/>
      <c r="C267" s="23" t="str">
        <f>IF(Data!C267="","",(IF(ISNUMBER(MATCH("*@*.?*",Data!C267,0)),0,1)+IF(COUNTIFS(Data!C$1:'Data'!C267,Data!C267)&gt;1,1,0)))</f>
        <v/>
      </c>
      <c r="D267" s="9" t="str">
        <f>IF(Data!B267="","",IF(ISNUMBER(Data!D267),IF(AND(Data!D267&gt;999999999,Data!D267&lt;=9999999999),IF(COUNTIFS(Data!D$1:'Data'!D267,Data!D267)&lt;=1,0,1),1),1))</f>
        <v/>
      </c>
      <c r="E267" s="9" t="str">
        <f>IF(Data!B267="","",IF(ISNUMBER(MATCH(Data!E267,Data_Val!$A$2:$A$3,0)),0,1))</f>
        <v/>
      </c>
      <c r="F267" s="9" t="str">
        <f ca="1">IF(Data!B267="","",IF(ISNUMBER(Data!F267),IF(AND(Data!F267&gt;(TODAY()-(Data_Val!$H$3*365.25)),Data!F267&lt;=(TODAY()-(Data_Val!$H$2*365.25))),0,1),1))</f>
        <v/>
      </c>
      <c r="G267" s="15" t="str">
        <f>IF(Data!B267="","",IF(AND(Data!G267="",Data!H267&lt;&gt;""),1,IF(Data!#REF!&lt;&gt;"",0,IF(ISNUMBER(MATCH(Data!G267,Data_Val!$C$2:$C$5,0)),0,1))))</f>
        <v/>
      </c>
      <c r="H267" s="15" t="str">
        <f>IF(Data!B267="","",IF(AND(Data!G267&lt;&gt;"",Data!H267=""),1,IF(Data!#REF!&lt;&gt;"",0,IF(Data!G267="",1,IF(ISNUMBER(MATCH(Data!H267,Data_Val!$D$2:$D$35,0)),0,1)))))</f>
        <v/>
      </c>
      <c r="I267" s="15" t="str">
        <f>IF(Data!B267="","",IF(Data!G267&lt;&gt;"",0,IF(ISNUMBER(MATCH(Data!#REF!,Data_Val!$E$2:$E$12,0)),0,1)))</f>
        <v/>
      </c>
      <c r="J267" s="16" t="e">
        <f>IF(OR(Data!B267="",Data!#REF!=""),"",IF(Data!#REF!="",1,0))</f>
        <v>#REF!</v>
      </c>
      <c r="K267" s="16" t="e">
        <f>IF(OR(Data!B267="",Data!#REF!=""),"",IF(Data!#REF!="",1,0))</f>
        <v>#REF!</v>
      </c>
      <c r="L267" s="16" t="e">
        <f>IF(OR(Data!B267="",Data!#REF!=""),"",IF(ISNUMBER(Data!#REF!),IF(AND(Data!#REF!&gt;Data_Val!$G$2,Data!#REF!&lt;=Data_Val!$G$3),0,1),1))</f>
        <v>#REF!</v>
      </c>
      <c r="M267" s="9" t="e">
        <f>IF(OR(Data!B267="",Data!#REF!=""),"",IF(ISNUMBER(MATCH(Data!#REF!,Data_Val!$F$1:$F$38,0)),0,1))</f>
        <v>#REF!</v>
      </c>
      <c r="N267" s="9" t="e">
        <f>IF(OR(Data!B267="",Data!#REF!=""),"",IF(Data!#REF!="",1,0))</f>
        <v>#REF!</v>
      </c>
      <c r="O267" s="17" t="e">
        <f>IF(Data!#REF!="","",IF(Data!#REF!="",1,0))</f>
        <v>#REF!</v>
      </c>
      <c r="P267" s="17" t="e">
        <f>IF(Data!#REF!="","",IF(ISNUMBER(MATCH(Data!#REF!,Data_Val!$A$2:$A$3,0)),0,1))</f>
        <v>#REF!</v>
      </c>
      <c r="Q267" s="25" t="e">
        <f ca="1">IF(Data!#REF!="","",IF(ISNUMBER(Data!#REF!),IF(AND(Data!#REF!&gt;(TODAY()-(Data_Val!$J$3*365.25)),Data!#REF!&lt;=(TODAY()-(Data_Val!$J$2*365.25))),0,1),1))</f>
        <v>#REF!</v>
      </c>
      <c r="R267" s="17" t="e">
        <f>IF(Data!#REF!="","",IF(ISNUMBER(MATCH(Data!#REF!,Data_Val!$B$2:$B$15,0)),0,1))</f>
        <v>#REF!</v>
      </c>
      <c r="S267" s="11" t="str">
        <f>IF(Data!G267="","",IF(Data!G267=Data_Val!$C$2,IF(Data!M267="",0,1),0))</f>
        <v/>
      </c>
      <c r="T267" s="11" t="str">
        <f>IF(Data!M267="","",IF(ISNUMBER(MATCH(Data!N267,Data_Val!$A$2:$A$3,0)),0,1))</f>
        <v/>
      </c>
      <c r="U267" s="11" t="str">
        <f ca="1">IF(Data!M267="","",IF(ISNUMBER(Data!O267),IF(AND(Data!O267&gt;(TODAY()-(Data_Val!$K$3*365.25)),Data!O267&lt;=(TODAY()-(Data_Val!$K$2*365.25))),0,1),1))</f>
        <v/>
      </c>
      <c r="V267" s="12" t="str">
        <f>IF(Data!G267="","",IF(Data!G267=Data_Val!$C$2,IF(Data!P267="",0,1),0))</f>
        <v/>
      </c>
      <c r="W267" s="12" t="str">
        <f>IF(Data!P267="","",IF(ISNUMBER(MATCH(Data!Q267,Data_Val!$A$2:$A$3,0)),0,1))</f>
        <v/>
      </c>
      <c r="X267" s="26" t="str">
        <f ca="1">IF(Data!P267="","",IF(ISNUMBER(Data!R267),IF(AND(Data!R267&gt;(TODAY()-(Data_Val!$L$3*365.25)),Data!R267&lt;=(TODAY()-(Data_Val!$L$2*365.25))),0,1),1))</f>
        <v/>
      </c>
      <c r="Y267" s="13" t="str">
        <f>IF(Data!$G267="","",IF(Data!$G267=Data_Val!$C$2,IF(Data!S267="",0,1),0))</f>
        <v/>
      </c>
      <c r="Z267" s="13" t="str">
        <f>IF(Data!S267="","",IF(ISNUMBER(MATCH(Data!T267,Data_Val!$A$2:$A$3,0)),0,1))</f>
        <v/>
      </c>
      <c r="AA267" s="28" t="str">
        <f ca="1">IF(Data!S267="","",IF(ISNUMBER(Data!U267),IF(AND(Data!U267&gt;(TODAY()-(Data_Val!$L$3*365.25)),Data!U267&lt;=(TODAY()-(Data_Val!$L$2*365.25))),0,1),1))</f>
        <v/>
      </c>
      <c r="AB267" s="11"/>
      <c r="AC267" s="11" t="e">
        <f>IF(Data!#REF!="","",IF(ISNUMBER(MATCH(Data!#REF!,Data_Val!$A$2:$A$3,0)),0,1))</f>
        <v>#REF!</v>
      </c>
      <c r="AD267" s="11" t="e">
        <f ca="1">IF(Data!#REF!="","",IF(ISNUMBER(Data!#REF!),IF(AND(Data!#REF!&gt;(TODAY()-(Data_Val!$L$3*365.25)),Data!#REF!&lt;=(TODAY()-(Data_Val!$L$2*365.25))),0,1),1))</f>
        <v>#REF!</v>
      </c>
      <c r="AE267" s="11" t="e">
        <f>IF(Data!#REF!="","",IF(Data!$G267="",1,IF(ISNUMBER(MATCH(Data!#REF!,Data_Val!$D$2:$D$10,0)),0,1)))</f>
        <v>#REF!</v>
      </c>
      <c r="AF267" s="12"/>
      <c r="AG267" s="12" t="e">
        <f>IF(Data!#REF!="","",IF(ISNUMBER(MATCH(Data!#REF!,Data_Val!$A$2:$A$3,0)),0,1))</f>
        <v>#REF!</v>
      </c>
      <c r="AH267" s="26" t="e">
        <f ca="1">IF(Data!#REF!="","",IF(ISNUMBER(Data!#REF!),IF(AND(Data!#REF!&gt;(TODAY()-(Data_Val!$L$3*365.25)),Data!#REF!&lt;=(TODAY()-(Data_Val!$L$2*365.25))),0,1),1))</f>
        <v>#REF!</v>
      </c>
      <c r="AI267" s="12" t="e">
        <f>IF(Data!#REF!="","",IF(Data!$G267="",1,IF(ISNUMBER(MATCH(Data!#REF!,Data_Val!$D$2:$D$10,0)),0,1)))</f>
        <v>#REF!</v>
      </c>
      <c r="AJ267" s="17"/>
      <c r="AK267" s="17" t="e">
        <f>IF(Data!#REF!="","",IF(ISNUMBER(MATCH(Data!#REF!,Data_Val!$A$2:$A$3,0)),0,1))</f>
        <v>#REF!</v>
      </c>
      <c r="AL267" s="25" t="e">
        <f ca="1">IF(Data!#REF!="","",IF(ISNUMBER(Data!#REF!),IF(AND(Data!#REF!&gt;(TODAY()-(Data_Val!$L$3*365.25)),Data!#REF!&lt;=(TODAY()-(Data_Val!$L$2*365.25))),0,1),1))</f>
        <v>#REF!</v>
      </c>
      <c r="AM267" s="17" t="e">
        <f>IF(Data!#REF!="","",IF(Data!$G267="",1,IF(ISNUMBER(MATCH(Data!#REF!,Data_Val!$D$2:$D$10,0)),0,1)))</f>
        <v>#REF!</v>
      </c>
      <c r="AN267" s="13"/>
      <c r="AO267" s="28" t="e">
        <f ca="1">IF(Data!#REF!="","",IF(ISNUMBER(Data!#REF!),IF(AND(Data!#REF!&gt;(TODAY()-(Data_Val!$I$3*365.25)),Data!#REF!&lt;=(TODAY()-(Data_Val!$I$2*365.25))),0,1),1))</f>
        <v>#REF!</v>
      </c>
      <c r="AP267" s="13" t="e">
        <f>IF(Data!#REF!="","",IF(Data!$G267="",1,IF(ISNUMBER(MATCH(Data!#REF!,Data_Val!$D$2:$D$10,0)),0,1)))</f>
        <v>#REF!</v>
      </c>
      <c r="AQ267" s="17"/>
      <c r="AR267" s="30" t="e">
        <f ca="1">IF(Data!#REF!="","",IF(ISNUMBER(Data!#REF!),IF(AND(Data!#REF!&gt;(TODAY()-(Data_Val!$I$3*365.25)),Data!#REF!&lt;=(TODAY()-(Data_Val!$I$2*365.25))),0,1),1))</f>
        <v>#REF!</v>
      </c>
      <c r="AS267" s="31" t="e">
        <f>IF(Data!#REF!="","",IF(Data!$G267="",1,IF(ISNUMBER(MATCH(Data!#REF!,Data_Val!$D$2:$D$10,0)),0,1)))</f>
        <v>#REF!</v>
      </c>
      <c r="AT267" s="11"/>
      <c r="AU267" s="11" t="e">
        <f ca="1">IF(Data!#REF!="","",IF(ISNUMBER(Data!#REF!),IF(AND(Data!#REF!&gt;(TODAY()-(Data_Val!$I$3*365.25)),Data!#REF!&lt;=(TODAY()-(Data_Val!$I$2*365.25))),0,1),1))</f>
        <v>#REF!</v>
      </c>
      <c r="AV267" s="11" t="e">
        <f>IF(Data!#REF!="","",IF(Data!$G267="",1,IF(ISNUMBER(MATCH(Data!#REF!,Data_Val!$D$2:$D$10,0)),0,1)))</f>
        <v>#REF!</v>
      </c>
      <c r="AW267" s="12"/>
      <c r="AX267" s="26" t="e">
        <f ca="1">IF(Data!#REF!="","",IF(ISNUMBER(Data!#REF!),IF(AND(Data!#REF!&gt;(TODAY()-(Data_Val!$I$3*365.25)),Data!#REF!&lt;=(TODAY()-(Data_Val!$I$2*365.25))),0,1),1))</f>
        <v>#REF!</v>
      </c>
      <c r="AY267" s="12" t="e">
        <f>IF(Data!#REF!="","",IF(Data!$G267="",1,IF(ISNUMBER(MATCH(Data!#REF!,Data_Val!$D$2:$D$10,0)),0,1)))</f>
        <v>#REF!</v>
      </c>
      <c r="AZ267" s="11"/>
      <c r="BA267" s="19" t="e">
        <f ca="1">IF(Data!#REF!="","",IF(ISNUMBER(Data!#REF!),IF(AND(Data!#REF!&gt;(TODAY()-(Data_Val!$M$3*365.25)),Data!#REF!&lt;=(TODAY()-(Data_Val!$M$2*365.25))),0,1),1))</f>
        <v>#REF!</v>
      </c>
      <c r="BB267" s="11" t="e">
        <f>IF(Data!#REF!="","",IF(Data!$G267="",1,IF(ISNUMBER(MATCH(Data!#REF!,Data_Val!$D$2:$D$10,0)),0,1)))</f>
        <v>#REF!</v>
      </c>
      <c r="BC267" s="12"/>
      <c r="BD267" s="20" t="e">
        <f ca="1">IF(Data!#REF!="","",IF(ISNUMBER(Data!#REF!),IF(AND(Data!#REF!&gt;(TODAY()-(Data_Val!$M$3*365.25)),Data!#REF!&lt;=(TODAY()-(Data_Val!$M$2*365.25))),0,1),1))</f>
        <v>#REF!</v>
      </c>
      <c r="BE267" s="12" t="e">
        <f>IF(Data!#REF!="","",IF(Data!$G267="",1,IF(ISNUMBER(MATCH(Data!#REF!,Data_Val!$D$2:$D$10,0)),0,1)))</f>
        <v>#REF!</v>
      </c>
      <c r="BF267" s="17"/>
      <c r="BG267" s="18" t="e">
        <f ca="1">IF(Data!#REF!="","",IF(ISNUMBER(Data!#REF!),IF(AND(Data!#REF!&gt;(TODAY()-(Data_Val!$M$3*365.25)),Data!#REF!&lt;=(TODAY()-(Data_Val!$M$2*365.25))),0,1),1))</f>
        <v>#REF!</v>
      </c>
      <c r="BH267" s="29" t="e">
        <f>IF(Data!#REF!="","",IF(Data!$G267="",1,IF(ISNUMBER(MATCH(Data!#REF!,Data_Val!$D$2:$D$10,0)),0,1)))</f>
        <v>#REF!</v>
      </c>
      <c r="BI267" s="13"/>
      <c r="BJ267" s="21" t="e">
        <f ca="1">IF(Data!#REF!="","",IF(ISNUMBER(Data!#REF!),IF(AND(Data!#REF!&gt;(TODAY()-(Data_Val!$M$3*365.25)),Data!#REF!&lt;=(TODAY()-(Data_Val!$M$2*365.25))),0,1),1))</f>
        <v>#REF!</v>
      </c>
      <c r="BK267" s="13" t="e">
        <f>IF(Data!#REF!="","",IF(Data!$G267="",1,IF(ISNUMBER(MATCH(Data!#REF!,Data_Val!$D$2:$D$10,0)),0,1)))</f>
        <v>#REF!</v>
      </c>
    </row>
    <row r="268" spans="1:63" x14ac:dyDescent="0.25">
      <c r="A268" s="9" t="str">
        <f>IF(Data!B268="","",IF(COUNTIFS(Data!A$1:'Data'!A268,Data!A268)&lt;=1,0,1))</f>
        <v/>
      </c>
      <c r="B268" s="9"/>
      <c r="C268" s="23" t="str">
        <f>IF(Data!C268="","",(IF(ISNUMBER(MATCH("*@*.?*",Data!C268,0)),0,1)+IF(COUNTIFS(Data!C$1:'Data'!C268,Data!C268)&gt;1,1,0)))</f>
        <v/>
      </c>
      <c r="D268" s="9" t="str">
        <f>IF(Data!B268="","",IF(ISNUMBER(Data!D268),IF(AND(Data!D268&gt;999999999,Data!D268&lt;=9999999999),IF(COUNTIFS(Data!D$1:'Data'!D268,Data!D268)&lt;=1,0,1),1),1))</f>
        <v/>
      </c>
      <c r="E268" s="9" t="str">
        <f>IF(Data!B268="","",IF(ISNUMBER(MATCH(Data!E268,Data_Val!$A$2:$A$3,0)),0,1))</f>
        <v/>
      </c>
      <c r="F268" s="9" t="str">
        <f ca="1">IF(Data!B268="","",IF(ISNUMBER(Data!F268),IF(AND(Data!F268&gt;(TODAY()-(Data_Val!$H$3*365.25)),Data!F268&lt;=(TODAY()-(Data_Val!$H$2*365.25))),0,1),1))</f>
        <v/>
      </c>
      <c r="G268" s="15" t="str">
        <f>IF(Data!B268="","",IF(AND(Data!G268="",Data!H268&lt;&gt;""),1,IF(Data!#REF!&lt;&gt;"",0,IF(ISNUMBER(MATCH(Data!G268,Data_Val!$C$2:$C$5,0)),0,1))))</f>
        <v/>
      </c>
      <c r="H268" s="15" t="str">
        <f>IF(Data!B268="","",IF(AND(Data!G268&lt;&gt;"",Data!H268=""),1,IF(Data!#REF!&lt;&gt;"",0,IF(Data!G268="",1,IF(ISNUMBER(MATCH(Data!H268,Data_Val!$D$2:$D$35,0)),0,1)))))</f>
        <v/>
      </c>
      <c r="I268" s="15" t="str">
        <f>IF(Data!B268="","",IF(Data!G268&lt;&gt;"",0,IF(ISNUMBER(MATCH(Data!#REF!,Data_Val!$E$2:$E$12,0)),0,1)))</f>
        <v/>
      </c>
      <c r="J268" s="16" t="e">
        <f>IF(OR(Data!B268="",Data!#REF!=""),"",IF(Data!#REF!="",1,0))</f>
        <v>#REF!</v>
      </c>
      <c r="K268" s="16" t="e">
        <f>IF(OR(Data!B268="",Data!#REF!=""),"",IF(Data!#REF!="",1,0))</f>
        <v>#REF!</v>
      </c>
      <c r="L268" s="16" t="e">
        <f>IF(OR(Data!B268="",Data!#REF!=""),"",IF(ISNUMBER(Data!#REF!),IF(AND(Data!#REF!&gt;Data_Val!$G$2,Data!#REF!&lt;=Data_Val!$G$3),0,1),1))</f>
        <v>#REF!</v>
      </c>
      <c r="M268" s="9" t="e">
        <f>IF(OR(Data!B268="",Data!#REF!=""),"",IF(ISNUMBER(MATCH(Data!#REF!,Data_Val!$F$1:$F$38,0)),0,1))</f>
        <v>#REF!</v>
      </c>
      <c r="N268" s="9" t="e">
        <f>IF(OR(Data!B268="",Data!#REF!=""),"",IF(Data!#REF!="",1,0))</f>
        <v>#REF!</v>
      </c>
      <c r="O268" s="17" t="e">
        <f>IF(Data!#REF!="","",IF(Data!#REF!="",1,0))</f>
        <v>#REF!</v>
      </c>
      <c r="P268" s="17" t="e">
        <f>IF(Data!#REF!="","",IF(ISNUMBER(MATCH(Data!#REF!,Data_Val!$A$2:$A$3,0)),0,1))</f>
        <v>#REF!</v>
      </c>
      <c r="Q268" s="25" t="e">
        <f ca="1">IF(Data!#REF!="","",IF(ISNUMBER(Data!#REF!),IF(AND(Data!#REF!&gt;(TODAY()-(Data_Val!$J$3*365.25)),Data!#REF!&lt;=(TODAY()-(Data_Val!$J$2*365.25))),0,1),1))</f>
        <v>#REF!</v>
      </c>
      <c r="R268" s="17" t="e">
        <f>IF(Data!#REF!="","",IF(ISNUMBER(MATCH(Data!#REF!,Data_Val!$B$2:$B$15,0)),0,1))</f>
        <v>#REF!</v>
      </c>
      <c r="S268" s="11" t="str">
        <f>IF(Data!G268="","",IF(Data!G268=Data_Val!$C$2,IF(Data!M268="",0,1),0))</f>
        <v/>
      </c>
      <c r="T268" s="11" t="str">
        <f>IF(Data!M268="","",IF(ISNUMBER(MATCH(Data!N268,Data_Val!$A$2:$A$3,0)),0,1))</f>
        <v/>
      </c>
      <c r="U268" s="11" t="str">
        <f ca="1">IF(Data!M268="","",IF(ISNUMBER(Data!O268),IF(AND(Data!O268&gt;(TODAY()-(Data_Val!$K$3*365.25)),Data!O268&lt;=(TODAY()-(Data_Val!$K$2*365.25))),0,1),1))</f>
        <v/>
      </c>
      <c r="V268" s="12" t="str">
        <f>IF(Data!G268="","",IF(Data!G268=Data_Val!$C$2,IF(Data!P268="",0,1),0))</f>
        <v/>
      </c>
      <c r="W268" s="12" t="str">
        <f>IF(Data!P268="","",IF(ISNUMBER(MATCH(Data!Q268,Data_Val!$A$2:$A$3,0)),0,1))</f>
        <v/>
      </c>
      <c r="X268" s="26" t="str">
        <f ca="1">IF(Data!P268="","",IF(ISNUMBER(Data!R268),IF(AND(Data!R268&gt;(TODAY()-(Data_Val!$L$3*365.25)),Data!R268&lt;=(TODAY()-(Data_Val!$L$2*365.25))),0,1),1))</f>
        <v/>
      </c>
      <c r="Y268" s="13" t="str">
        <f>IF(Data!$G268="","",IF(Data!$G268=Data_Val!$C$2,IF(Data!S268="",0,1),0))</f>
        <v/>
      </c>
      <c r="Z268" s="13" t="str">
        <f>IF(Data!S268="","",IF(ISNUMBER(MATCH(Data!T268,Data_Val!$A$2:$A$3,0)),0,1))</f>
        <v/>
      </c>
      <c r="AA268" s="28" t="str">
        <f ca="1">IF(Data!S268="","",IF(ISNUMBER(Data!U268),IF(AND(Data!U268&gt;(TODAY()-(Data_Val!$L$3*365.25)),Data!U268&lt;=(TODAY()-(Data_Val!$L$2*365.25))),0,1),1))</f>
        <v/>
      </c>
      <c r="AB268" s="11"/>
      <c r="AC268" s="11" t="e">
        <f>IF(Data!#REF!="","",IF(ISNUMBER(MATCH(Data!#REF!,Data_Val!$A$2:$A$3,0)),0,1))</f>
        <v>#REF!</v>
      </c>
      <c r="AD268" s="11" t="e">
        <f ca="1">IF(Data!#REF!="","",IF(ISNUMBER(Data!#REF!),IF(AND(Data!#REF!&gt;(TODAY()-(Data_Val!$L$3*365.25)),Data!#REF!&lt;=(TODAY()-(Data_Val!$L$2*365.25))),0,1),1))</f>
        <v>#REF!</v>
      </c>
      <c r="AE268" s="11" t="e">
        <f>IF(Data!#REF!="","",IF(Data!$G268="",1,IF(ISNUMBER(MATCH(Data!#REF!,Data_Val!$D$2:$D$10,0)),0,1)))</f>
        <v>#REF!</v>
      </c>
      <c r="AF268" s="12"/>
      <c r="AG268" s="12" t="e">
        <f>IF(Data!#REF!="","",IF(ISNUMBER(MATCH(Data!#REF!,Data_Val!$A$2:$A$3,0)),0,1))</f>
        <v>#REF!</v>
      </c>
      <c r="AH268" s="26" t="e">
        <f ca="1">IF(Data!#REF!="","",IF(ISNUMBER(Data!#REF!),IF(AND(Data!#REF!&gt;(TODAY()-(Data_Val!$L$3*365.25)),Data!#REF!&lt;=(TODAY()-(Data_Val!$L$2*365.25))),0,1),1))</f>
        <v>#REF!</v>
      </c>
      <c r="AI268" s="12" t="e">
        <f>IF(Data!#REF!="","",IF(Data!$G268="",1,IF(ISNUMBER(MATCH(Data!#REF!,Data_Val!$D$2:$D$10,0)),0,1)))</f>
        <v>#REF!</v>
      </c>
      <c r="AJ268" s="17"/>
      <c r="AK268" s="17" t="e">
        <f>IF(Data!#REF!="","",IF(ISNUMBER(MATCH(Data!#REF!,Data_Val!$A$2:$A$3,0)),0,1))</f>
        <v>#REF!</v>
      </c>
      <c r="AL268" s="25" t="e">
        <f ca="1">IF(Data!#REF!="","",IF(ISNUMBER(Data!#REF!),IF(AND(Data!#REF!&gt;(TODAY()-(Data_Val!$L$3*365.25)),Data!#REF!&lt;=(TODAY()-(Data_Val!$L$2*365.25))),0,1),1))</f>
        <v>#REF!</v>
      </c>
      <c r="AM268" s="17" t="e">
        <f>IF(Data!#REF!="","",IF(Data!$G268="",1,IF(ISNUMBER(MATCH(Data!#REF!,Data_Val!$D$2:$D$10,0)),0,1)))</f>
        <v>#REF!</v>
      </c>
      <c r="AN268" s="13"/>
      <c r="AO268" s="28" t="e">
        <f ca="1">IF(Data!#REF!="","",IF(ISNUMBER(Data!#REF!),IF(AND(Data!#REF!&gt;(TODAY()-(Data_Val!$I$3*365.25)),Data!#REF!&lt;=(TODAY()-(Data_Val!$I$2*365.25))),0,1),1))</f>
        <v>#REF!</v>
      </c>
      <c r="AP268" s="13" t="e">
        <f>IF(Data!#REF!="","",IF(Data!$G268="",1,IF(ISNUMBER(MATCH(Data!#REF!,Data_Val!$D$2:$D$10,0)),0,1)))</f>
        <v>#REF!</v>
      </c>
      <c r="AQ268" s="17"/>
      <c r="AR268" s="30" t="e">
        <f ca="1">IF(Data!#REF!="","",IF(ISNUMBER(Data!#REF!),IF(AND(Data!#REF!&gt;(TODAY()-(Data_Val!$I$3*365.25)),Data!#REF!&lt;=(TODAY()-(Data_Val!$I$2*365.25))),0,1),1))</f>
        <v>#REF!</v>
      </c>
      <c r="AS268" s="31" t="e">
        <f>IF(Data!#REF!="","",IF(Data!$G268="",1,IF(ISNUMBER(MATCH(Data!#REF!,Data_Val!$D$2:$D$10,0)),0,1)))</f>
        <v>#REF!</v>
      </c>
      <c r="AT268" s="11"/>
      <c r="AU268" s="11" t="e">
        <f ca="1">IF(Data!#REF!="","",IF(ISNUMBER(Data!#REF!),IF(AND(Data!#REF!&gt;(TODAY()-(Data_Val!$I$3*365.25)),Data!#REF!&lt;=(TODAY()-(Data_Val!$I$2*365.25))),0,1),1))</f>
        <v>#REF!</v>
      </c>
      <c r="AV268" s="11" t="e">
        <f>IF(Data!#REF!="","",IF(Data!$G268="",1,IF(ISNUMBER(MATCH(Data!#REF!,Data_Val!$D$2:$D$10,0)),0,1)))</f>
        <v>#REF!</v>
      </c>
      <c r="AW268" s="12"/>
      <c r="AX268" s="26" t="e">
        <f ca="1">IF(Data!#REF!="","",IF(ISNUMBER(Data!#REF!),IF(AND(Data!#REF!&gt;(TODAY()-(Data_Val!$I$3*365.25)),Data!#REF!&lt;=(TODAY()-(Data_Val!$I$2*365.25))),0,1),1))</f>
        <v>#REF!</v>
      </c>
      <c r="AY268" s="12" t="e">
        <f>IF(Data!#REF!="","",IF(Data!$G268="",1,IF(ISNUMBER(MATCH(Data!#REF!,Data_Val!$D$2:$D$10,0)),0,1)))</f>
        <v>#REF!</v>
      </c>
      <c r="AZ268" s="11"/>
      <c r="BA268" s="19" t="e">
        <f ca="1">IF(Data!#REF!="","",IF(ISNUMBER(Data!#REF!),IF(AND(Data!#REF!&gt;(TODAY()-(Data_Val!$M$3*365.25)),Data!#REF!&lt;=(TODAY()-(Data_Val!$M$2*365.25))),0,1),1))</f>
        <v>#REF!</v>
      </c>
      <c r="BB268" s="11" t="e">
        <f>IF(Data!#REF!="","",IF(Data!$G268="",1,IF(ISNUMBER(MATCH(Data!#REF!,Data_Val!$D$2:$D$10,0)),0,1)))</f>
        <v>#REF!</v>
      </c>
      <c r="BC268" s="12"/>
      <c r="BD268" s="20" t="e">
        <f ca="1">IF(Data!#REF!="","",IF(ISNUMBER(Data!#REF!),IF(AND(Data!#REF!&gt;(TODAY()-(Data_Val!$M$3*365.25)),Data!#REF!&lt;=(TODAY()-(Data_Val!$M$2*365.25))),0,1),1))</f>
        <v>#REF!</v>
      </c>
      <c r="BE268" s="12" t="e">
        <f>IF(Data!#REF!="","",IF(Data!$G268="",1,IF(ISNUMBER(MATCH(Data!#REF!,Data_Val!$D$2:$D$10,0)),0,1)))</f>
        <v>#REF!</v>
      </c>
      <c r="BF268" s="17"/>
      <c r="BG268" s="18" t="e">
        <f ca="1">IF(Data!#REF!="","",IF(ISNUMBER(Data!#REF!),IF(AND(Data!#REF!&gt;(TODAY()-(Data_Val!$M$3*365.25)),Data!#REF!&lt;=(TODAY()-(Data_Val!$M$2*365.25))),0,1),1))</f>
        <v>#REF!</v>
      </c>
      <c r="BH268" s="29" t="e">
        <f>IF(Data!#REF!="","",IF(Data!$G268="",1,IF(ISNUMBER(MATCH(Data!#REF!,Data_Val!$D$2:$D$10,0)),0,1)))</f>
        <v>#REF!</v>
      </c>
      <c r="BI268" s="13"/>
      <c r="BJ268" s="21" t="e">
        <f ca="1">IF(Data!#REF!="","",IF(ISNUMBER(Data!#REF!),IF(AND(Data!#REF!&gt;(TODAY()-(Data_Val!$M$3*365.25)),Data!#REF!&lt;=(TODAY()-(Data_Val!$M$2*365.25))),0,1),1))</f>
        <v>#REF!</v>
      </c>
      <c r="BK268" s="13" t="e">
        <f>IF(Data!#REF!="","",IF(Data!$G268="",1,IF(ISNUMBER(MATCH(Data!#REF!,Data_Val!$D$2:$D$10,0)),0,1)))</f>
        <v>#REF!</v>
      </c>
    </row>
    <row r="269" spans="1:63" x14ac:dyDescent="0.25">
      <c r="A269" s="9" t="str">
        <f>IF(Data!B269="","",IF(COUNTIFS(Data!A$1:'Data'!A269,Data!A269)&lt;=1,0,1))</f>
        <v/>
      </c>
      <c r="B269" s="9"/>
      <c r="C269" s="23" t="str">
        <f>IF(Data!C269="","",(IF(ISNUMBER(MATCH("*@*.?*",Data!C269,0)),0,1)+IF(COUNTIFS(Data!C$1:'Data'!C269,Data!C269)&gt;1,1,0)))</f>
        <v/>
      </c>
      <c r="D269" s="9" t="str">
        <f>IF(Data!B269="","",IF(ISNUMBER(Data!D269),IF(AND(Data!D269&gt;999999999,Data!D269&lt;=9999999999),IF(COUNTIFS(Data!D$1:'Data'!D269,Data!D269)&lt;=1,0,1),1),1))</f>
        <v/>
      </c>
      <c r="E269" s="9" t="str">
        <f>IF(Data!B269="","",IF(ISNUMBER(MATCH(Data!E269,Data_Val!$A$2:$A$3,0)),0,1))</f>
        <v/>
      </c>
      <c r="F269" s="9" t="str">
        <f ca="1">IF(Data!B269="","",IF(ISNUMBER(Data!F269),IF(AND(Data!F269&gt;(TODAY()-(Data_Val!$H$3*365.25)),Data!F269&lt;=(TODAY()-(Data_Val!$H$2*365.25))),0,1),1))</f>
        <v/>
      </c>
      <c r="G269" s="15" t="str">
        <f>IF(Data!B269="","",IF(AND(Data!G269="",Data!H269&lt;&gt;""),1,IF(Data!#REF!&lt;&gt;"",0,IF(ISNUMBER(MATCH(Data!G269,Data_Val!$C$2:$C$5,0)),0,1))))</f>
        <v/>
      </c>
      <c r="H269" s="15" t="str">
        <f>IF(Data!B269="","",IF(AND(Data!G269&lt;&gt;"",Data!H269=""),1,IF(Data!#REF!&lt;&gt;"",0,IF(Data!G269="",1,IF(ISNUMBER(MATCH(Data!H269,Data_Val!$D$2:$D$35,0)),0,1)))))</f>
        <v/>
      </c>
      <c r="I269" s="15" t="str">
        <f>IF(Data!B269="","",IF(Data!G269&lt;&gt;"",0,IF(ISNUMBER(MATCH(Data!#REF!,Data_Val!$E$2:$E$12,0)),0,1)))</f>
        <v/>
      </c>
      <c r="J269" s="16" t="e">
        <f>IF(OR(Data!B269="",Data!#REF!=""),"",IF(Data!#REF!="",1,0))</f>
        <v>#REF!</v>
      </c>
      <c r="K269" s="16" t="e">
        <f>IF(OR(Data!B269="",Data!#REF!=""),"",IF(Data!#REF!="",1,0))</f>
        <v>#REF!</v>
      </c>
      <c r="L269" s="16" t="e">
        <f>IF(OR(Data!B269="",Data!#REF!=""),"",IF(ISNUMBER(Data!#REF!),IF(AND(Data!#REF!&gt;Data_Val!$G$2,Data!#REF!&lt;=Data_Val!$G$3),0,1),1))</f>
        <v>#REF!</v>
      </c>
      <c r="M269" s="9" t="e">
        <f>IF(OR(Data!B269="",Data!#REF!=""),"",IF(ISNUMBER(MATCH(Data!#REF!,Data_Val!$F$1:$F$38,0)),0,1))</f>
        <v>#REF!</v>
      </c>
      <c r="N269" s="9" t="e">
        <f>IF(OR(Data!B269="",Data!#REF!=""),"",IF(Data!#REF!="",1,0))</f>
        <v>#REF!</v>
      </c>
      <c r="O269" s="17" t="e">
        <f>IF(Data!#REF!="","",IF(Data!#REF!="",1,0))</f>
        <v>#REF!</v>
      </c>
      <c r="P269" s="17" t="e">
        <f>IF(Data!#REF!="","",IF(ISNUMBER(MATCH(Data!#REF!,Data_Val!$A$2:$A$3,0)),0,1))</f>
        <v>#REF!</v>
      </c>
      <c r="Q269" s="25" t="e">
        <f ca="1">IF(Data!#REF!="","",IF(ISNUMBER(Data!#REF!),IF(AND(Data!#REF!&gt;(TODAY()-(Data_Val!$J$3*365.25)),Data!#REF!&lt;=(TODAY()-(Data_Val!$J$2*365.25))),0,1),1))</f>
        <v>#REF!</v>
      </c>
      <c r="R269" s="17" t="e">
        <f>IF(Data!#REF!="","",IF(ISNUMBER(MATCH(Data!#REF!,Data_Val!$B$2:$B$15,0)),0,1))</f>
        <v>#REF!</v>
      </c>
      <c r="S269" s="11" t="str">
        <f>IF(Data!G269="","",IF(Data!G269=Data_Val!$C$2,IF(Data!M269="",0,1),0))</f>
        <v/>
      </c>
      <c r="T269" s="11" t="str">
        <f>IF(Data!M269="","",IF(ISNUMBER(MATCH(Data!N269,Data_Val!$A$2:$A$3,0)),0,1))</f>
        <v/>
      </c>
      <c r="U269" s="11" t="str">
        <f ca="1">IF(Data!M269="","",IF(ISNUMBER(Data!O269),IF(AND(Data!O269&gt;(TODAY()-(Data_Val!$K$3*365.25)),Data!O269&lt;=(TODAY()-(Data_Val!$K$2*365.25))),0,1),1))</f>
        <v/>
      </c>
      <c r="V269" s="12" t="str">
        <f>IF(Data!G269="","",IF(Data!G269=Data_Val!$C$2,IF(Data!P269="",0,1),0))</f>
        <v/>
      </c>
      <c r="W269" s="12" t="str">
        <f>IF(Data!P269="","",IF(ISNUMBER(MATCH(Data!Q269,Data_Val!$A$2:$A$3,0)),0,1))</f>
        <v/>
      </c>
      <c r="X269" s="26" t="str">
        <f ca="1">IF(Data!P269="","",IF(ISNUMBER(Data!R269),IF(AND(Data!R269&gt;(TODAY()-(Data_Val!$L$3*365.25)),Data!R269&lt;=(TODAY()-(Data_Val!$L$2*365.25))),0,1),1))</f>
        <v/>
      </c>
      <c r="Y269" s="13" t="str">
        <f>IF(Data!$G269="","",IF(Data!$G269=Data_Val!$C$2,IF(Data!S269="",0,1),0))</f>
        <v/>
      </c>
      <c r="Z269" s="13" t="str">
        <f>IF(Data!S269="","",IF(ISNUMBER(MATCH(Data!T269,Data_Val!$A$2:$A$3,0)),0,1))</f>
        <v/>
      </c>
      <c r="AA269" s="28" t="str">
        <f ca="1">IF(Data!S269="","",IF(ISNUMBER(Data!U269),IF(AND(Data!U269&gt;(TODAY()-(Data_Val!$L$3*365.25)),Data!U269&lt;=(TODAY()-(Data_Val!$L$2*365.25))),0,1),1))</f>
        <v/>
      </c>
      <c r="AB269" s="11"/>
      <c r="AC269" s="11" t="e">
        <f>IF(Data!#REF!="","",IF(ISNUMBER(MATCH(Data!#REF!,Data_Val!$A$2:$A$3,0)),0,1))</f>
        <v>#REF!</v>
      </c>
      <c r="AD269" s="11" t="e">
        <f ca="1">IF(Data!#REF!="","",IF(ISNUMBER(Data!#REF!),IF(AND(Data!#REF!&gt;(TODAY()-(Data_Val!$L$3*365.25)),Data!#REF!&lt;=(TODAY()-(Data_Val!$L$2*365.25))),0,1),1))</f>
        <v>#REF!</v>
      </c>
      <c r="AE269" s="11" t="e">
        <f>IF(Data!#REF!="","",IF(Data!$G269="",1,IF(ISNUMBER(MATCH(Data!#REF!,Data_Val!$D$2:$D$10,0)),0,1)))</f>
        <v>#REF!</v>
      </c>
      <c r="AF269" s="12"/>
      <c r="AG269" s="12" t="e">
        <f>IF(Data!#REF!="","",IF(ISNUMBER(MATCH(Data!#REF!,Data_Val!$A$2:$A$3,0)),0,1))</f>
        <v>#REF!</v>
      </c>
      <c r="AH269" s="26" t="e">
        <f ca="1">IF(Data!#REF!="","",IF(ISNUMBER(Data!#REF!),IF(AND(Data!#REF!&gt;(TODAY()-(Data_Val!$L$3*365.25)),Data!#REF!&lt;=(TODAY()-(Data_Val!$L$2*365.25))),0,1),1))</f>
        <v>#REF!</v>
      </c>
      <c r="AI269" s="12" t="e">
        <f>IF(Data!#REF!="","",IF(Data!$G269="",1,IF(ISNUMBER(MATCH(Data!#REF!,Data_Val!$D$2:$D$10,0)),0,1)))</f>
        <v>#REF!</v>
      </c>
      <c r="AJ269" s="17"/>
      <c r="AK269" s="17" t="e">
        <f>IF(Data!#REF!="","",IF(ISNUMBER(MATCH(Data!#REF!,Data_Val!$A$2:$A$3,0)),0,1))</f>
        <v>#REF!</v>
      </c>
      <c r="AL269" s="25" t="e">
        <f ca="1">IF(Data!#REF!="","",IF(ISNUMBER(Data!#REF!),IF(AND(Data!#REF!&gt;(TODAY()-(Data_Val!$L$3*365.25)),Data!#REF!&lt;=(TODAY()-(Data_Val!$L$2*365.25))),0,1),1))</f>
        <v>#REF!</v>
      </c>
      <c r="AM269" s="17" t="e">
        <f>IF(Data!#REF!="","",IF(Data!$G269="",1,IF(ISNUMBER(MATCH(Data!#REF!,Data_Val!$D$2:$D$10,0)),0,1)))</f>
        <v>#REF!</v>
      </c>
      <c r="AN269" s="13"/>
      <c r="AO269" s="28" t="e">
        <f ca="1">IF(Data!#REF!="","",IF(ISNUMBER(Data!#REF!),IF(AND(Data!#REF!&gt;(TODAY()-(Data_Val!$I$3*365.25)),Data!#REF!&lt;=(TODAY()-(Data_Val!$I$2*365.25))),0,1),1))</f>
        <v>#REF!</v>
      </c>
      <c r="AP269" s="13" t="e">
        <f>IF(Data!#REF!="","",IF(Data!$G269="",1,IF(ISNUMBER(MATCH(Data!#REF!,Data_Val!$D$2:$D$10,0)),0,1)))</f>
        <v>#REF!</v>
      </c>
      <c r="AQ269" s="17"/>
      <c r="AR269" s="30" t="e">
        <f ca="1">IF(Data!#REF!="","",IF(ISNUMBER(Data!#REF!),IF(AND(Data!#REF!&gt;(TODAY()-(Data_Val!$I$3*365.25)),Data!#REF!&lt;=(TODAY()-(Data_Val!$I$2*365.25))),0,1),1))</f>
        <v>#REF!</v>
      </c>
      <c r="AS269" s="31" t="e">
        <f>IF(Data!#REF!="","",IF(Data!$G269="",1,IF(ISNUMBER(MATCH(Data!#REF!,Data_Val!$D$2:$D$10,0)),0,1)))</f>
        <v>#REF!</v>
      </c>
      <c r="AT269" s="11"/>
      <c r="AU269" s="11" t="e">
        <f ca="1">IF(Data!#REF!="","",IF(ISNUMBER(Data!#REF!),IF(AND(Data!#REF!&gt;(TODAY()-(Data_Val!$I$3*365.25)),Data!#REF!&lt;=(TODAY()-(Data_Val!$I$2*365.25))),0,1),1))</f>
        <v>#REF!</v>
      </c>
      <c r="AV269" s="11" t="e">
        <f>IF(Data!#REF!="","",IF(Data!$G269="",1,IF(ISNUMBER(MATCH(Data!#REF!,Data_Val!$D$2:$D$10,0)),0,1)))</f>
        <v>#REF!</v>
      </c>
      <c r="AW269" s="12"/>
      <c r="AX269" s="26" t="e">
        <f ca="1">IF(Data!#REF!="","",IF(ISNUMBER(Data!#REF!),IF(AND(Data!#REF!&gt;(TODAY()-(Data_Val!$I$3*365.25)),Data!#REF!&lt;=(TODAY()-(Data_Val!$I$2*365.25))),0,1),1))</f>
        <v>#REF!</v>
      </c>
      <c r="AY269" s="12" t="e">
        <f>IF(Data!#REF!="","",IF(Data!$G269="",1,IF(ISNUMBER(MATCH(Data!#REF!,Data_Val!$D$2:$D$10,0)),0,1)))</f>
        <v>#REF!</v>
      </c>
      <c r="AZ269" s="11"/>
      <c r="BA269" s="19" t="e">
        <f ca="1">IF(Data!#REF!="","",IF(ISNUMBER(Data!#REF!),IF(AND(Data!#REF!&gt;(TODAY()-(Data_Val!$M$3*365.25)),Data!#REF!&lt;=(TODAY()-(Data_Val!$M$2*365.25))),0,1),1))</f>
        <v>#REF!</v>
      </c>
      <c r="BB269" s="11" t="e">
        <f>IF(Data!#REF!="","",IF(Data!$G269="",1,IF(ISNUMBER(MATCH(Data!#REF!,Data_Val!$D$2:$D$10,0)),0,1)))</f>
        <v>#REF!</v>
      </c>
      <c r="BC269" s="12"/>
      <c r="BD269" s="20" t="e">
        <f ca="1">IF(Data!#REF!="","",IF(ISNUMBER(Data!#REF!),IF(AND(Data!#REF!&gt;(TODAY()-(Data_Val!$M$3*365.25)),Data!#REF!&lt;=(TODAY()-(Data_Val!$M$2*365.25))),0,1),1))</f>
        <v>#REF!</v>
      </c>
      <c r="BE269" s="12" t="e">
        <f>IF(Data!#REF!="","",IF(Data!$G269="",1,IF(ISNUMBER(MATCH(Data!#REF!,Data_Val!$D$2:$D$10,0)),0,1)))</f>
        <v>#REF!</v>
      </c>
      <c r="BF269" s="17"/>
      <c r="BG269" s="18" t="e">
        <f ca="1">IF(Data!#REF!="","",IF(ISNUMBER(Data!#REF!),IF(AND(Data!#REF!&gt;(TODAY()-(Data_Val!$M$3*365.25)),Data!#REF!&lt;=(TODAY()-(Data_Val!$M$2*365.25))),0,1),1))</f>
        <v>#REF!</v>
      </c>
      <c r="BH269" s="29" t="e">
        <f>IF(Data!#REF!="","",IF(Data!$G269="",1,IF(ISNUMBER(MATCH(Data!#REF!,Data_Val!$D$2:$D$10,0)),0,1)))</f>
        <v>#REF!</v>
      </c>
      <c r="BI269" s="13"/>
      <c r="BJ269" s="21" t="e">
        <f ca="1">IF(Data!#REF!="","",IF(ISNUMBER(Data!#REF!),IF(AND(Data!#REF!&gt;(TODAY()-(Data_Val!$M$3*365.25)),Data!#REF!&lt;=(TODAY()-(Data_Val!$M$2*365.25))),0,1),1))</f>
        <v>#REF!</v>
      </c>
      <c r="BK269" s="13" t="e">
        <f>IF(Data!#REF!="","",IF(Data!$G269="",1,IF(ISNUMBER(MATCH(Data!#REF!,Data_Val!$D$2:$D$10,0)),0,1)))</f>
        <v>#REF!</v>
      </c>
    </row>
    <row r="270" spans="1:63" x14ac:dyDescent="0.25">
      <c r="A270" s="9" t="str">
        <f>IF(Data!B270="","",IF(COUNTIFS(Data!A$1:'Data'!A270,Data!A270)&lt;=1,0,1))</f>
        <v/>
      </c>
      <c r="B270" s="9"/>
      <c r="C270" s="23" t="str">
        <f>IF(Data!C270="","",(IF(ISNUMBER(MATCH("*@*.?*",Data!C270,0)),0,1)+IF(COUNTIFS(Data!C$1:'Data'!C270,Data!C270)&gt;1,1,0)))</f>
        <v/>
      </c>
      <c r="D270" s="9" t="str">
        <f>IF(Data!B270="","",IF(ISNUMBER(Data!D270),IF(AND(Data!D270&gt;999999999,Data!D270&lt;=9999999999),IF(COUNTIFS(Data!D$1:'Data'!D270,Data!D270)&lt;=1,0,1),1),1))</f>
        <v/>
      </c>
      <c r="E270" s="9" t="str">
        <f>IF(Data!B270="","",IF(ISNUMBER(MATCH(Data!E270,Data_Val!$A$2:$A$3,0)),0,1))</f>
        <v/>
      </c>
      <c r="F270" s="9" t="str">
        <f ca="1">IF(Data!B270="","",IF(ISNUMBER(Data!F270),IF(AND(Data!F270&gt;(TODAY()-(Data_Val!$H$3*365.25)),Data!F270&lt;=(TODAY()-(Data_Val!$H$2*365.25))),0,1),1))</f>
        <v/>
      </c>
      <c r="G270" s="15" t="str">
        <f>IF(Data!B270="","",IF(AND(Data!G270="",Data!H270&lt;&gt;""),1,IF(Data!#REF!&lt;&gt;"",0,IF(ISNUMBER(MATCH(Data!G270,Data_Val!$C$2:$C$5,0)),0,1))))</f>
        <v/>
      </c>
      <c r="H270" s="15" t="str">
        <f>IF(Data!B270="","",IF(AND(Data!G270&lt;&gt;"",Data!H270=""),1,IF(Data!#REF!&lt;&gt;"",0,IF(Data!G270="",1,IF(ISNUMBER(MATCH(Data!H270,Data_Val!$D$2:$D$35,0)),0,1)))))</f>
        <v/>
      </c>
      <c r="I270" s="15" t="str">
        <f>IF(Data!B270="","",IF(Data!G270&lt;&gt;"",0,IF(ISNUMBER(MATCH(Data!#REF!,Data_Val!$E$2:$E$12,0)),0,1)))</f>
        <v/>
      </c>
      <c r="J270" s="16" t="e">
        <f>IF(OR(Data!B270="",Data!#REF!=""),"",IF(Data!#REF!="",1,0))</f>
        <v>#REF!</v>
      </c>
      <c r="K270" s="16" t="e">
        <f>IF(OR(Data!B270="",Data!#REF!=""),"",IF(Data!#REF!="",1,0))</f>
        <v>#REF!</v>
      </c>
      <c r="L270" s="16" t="e">
        <f>IF(OR(Data!B270="",Data!#REF!=""),"",IF(ISNUMBER(Data!#REF!),IF(AND(Data!#REF!&gt;Data_Val!$G$2,Data!#REF!&lt;=Data_Val!$G$3),0,1),1))</f>
        <v>#REF!</v>
      </c>
      <c r="M270" s="9" t="e">
        <f>IF(OR(Data!B270="",Data!#REF!=""),"",IF(ISNUMBER(MATCH(Data!#REF!,Data_Val!$F$1:$F$38,0)),0,1))</f>
        <v>#REF!</v>
      </c>
      <c r="N270" s="9" t="e">
        <f>IF(OR(Data!B270="",Data!#REF!=""),"",IF(Data!#REF!="",1,0))</f>
        <v>#REF!</v>
      </c>
      <c r="O270" s="17" t="e">
        <f>IF(Data!#REF!="","",IF(Data!#REF!="",1,0))</f>
        <v>#REF!</v>
      </c>
      <c r="P270" s="17" t="e">
        <f>IF(Data!#REF!="","",IF(ISNUMBER(MATCH(Data!#REF!,Data_Val!$A$2:$A$3,0)),0,1))</f>
        <v>#REF!</v>
      </c>
      <c r="Q270" s="25" t="e">
        <f ca="1">IF(Data!#REF!="","",IF(ISNUMBER(Data!#REF!),IF(AND(Data!#REF!&gt;(TODAY()-(Data_Val!$J$3*365.25)),Data!#REF!&lt;=(TODAY()-(Data_Val!$J$2*365.25))),0,1),1))</f>
        <v>#REF!</v>
      </c>
      <c r="R270" s="17" t="e">
        <f>IF(Data!#REF!="","",IF(ISNUMBER(MATCH(Data!#REF!,Data_Val!$B$2:$B$15,0)),0,1))</f>
        <v>#REF!</v>
      </c>
      <c r="S270" s="11" t="str">
        <f>IF(Data!G270="","",IF(Data!G270=Data_Val!$C$2,IF(Data!M270="",0,1),0))</f>
        <v/>
      </c>
      <c r="T270" s="11" t="str">
        <f>IF(Data!M270="","",IF(ISNUMBER(MATCH(Data!N270,Data_Val!$A$2:$A$3,0)),0,1))</f>
        <v/>
      </c>
      <c r="U270" s="11" t="str">
        <f ca="1">IF(Data!M270="","",IF(ISNUMBER(Data!O270),IF(AND(Data!O270&gt;(TODAY()-(Data_Val!$K$3*365.25)),Data!O270&lt;=(TODAY()-(Data_Val!$K$2*365.25))),0,1),1))</f>
        <v/>
      </c>
      <c r="V270" s="12" t="str">
        <f>IF(Data!G270="","",IF(Data!G270=Data_Val!$C$2,IF(Data!P270="",0,1),0))</f>
        <v/>
      </c>
      <c r="W270" s="12" t="str">
        <f>IF(Data!P270="","",IF(ISNUMBER(MATCH(Data!Q270,Data_Val!$A$2:$A$3,0)),0,1))</f>
        <v/>
      </c>
      <c r="X270" s="26" t="str">
        <f ca="1">IF(Data!P270="","",IF(ISNUMBER(Data!R270),IF(AND(Data!R270&gt;(TODAY()-(Data_Val!$L$3*365.25)),Data!R270&lt;=(TODAY()-(Data_Val!$L$2*365.25))),0,1),1))</f>
        <v/>
      </c>
      <c r="Y270" s="13" t="str">
        <f>IF(Data!$G270="","",IF(Data!$G270=Data_Val!$C$2,IF(Data!S270="",0,1),0))</f>
        <v/>
      </c>
      <c r="Z270" s="13" t="str">
        <f>IF(Data!S270="","",IF(ISNUMBER(MATCH(Data!T270,Data_Val!$A$2:$A$3,0)),0,1))</f>
        <v/>
      </c>
      <c r="AA270" s="28" t="str">
        <f ca="1">IF(Data!S270="","",IF(ISNUMBER(Data!U270),IF(AND(Data!U270&gt;(TODAY()-(Data_Val!$L$3*365.25)),Data!U270&lt;=(TODAY()-(Data_Val!$L$2*365.25))),0,1),1))</f>
        <v/>
      </c>
      <c r="AB270" s="11"/>
      <c r="AC270" s="11" t="e">
        <f>IF(Data!#REF!="","",IF(ISNUMBER(MATCH(Data!#REF!,Data_Val!$A$2:$A$3,0)),0,1))</f>
        <v>#REF!</v>
      </c>
      <c r="AD270" s="11" t="e">
        <f ca="1">IF(Data!#REF!="","",IF(ISNUMBER(Data!#REF!),IF(AND(Data!#REF!&gt;(TODAY()-(Data_Val!$L$3*365.25)),Data!#REF!&lt;=(TODAY()-(Data_Val!$L$2*365.25))),0,1),1))</f>
        <v>#REF!</v>
      </c>
      <c r="AE270" s="11" t="e">
        <f>IF(Data!#REF!="","",IF(Data!$G270="",1,IF(ISNUMBER(MATCH(Data!#REF!,Data_Val!$D$2:$D$10,0)),0,1)))</f>
        <v>#REF!</v>
      </c>
      <c r="AF270" s="12"/>
      <c r="AG270" s="12" t="e">
        <f>IF(Data!#REF!="","",IF(ISNUMBER(MATCH(Data!#REF!,Data_Val!$A$2:$A$3,0)),0,1))</f>
        <v>#REF!</v>
      </c>
      <c r="AH270" s="26" t="e">
        <f ca="1">IF(Data!#REF!="","",IF(ISNUMBER(Data!#REF!),IF(AND(Data!#REF!&gt;(TODAY()-(Data_Val!$L$3*365.25)),Data!#REF!&lt;=(TODAY()-(Data_Val!$L$2*365.25))),0,1),1))</f>
        <v>#REF!</v>
      </c>
      <c r="AI270" s="12" t="e">
        <f>IF(Data!#REF!="","",IF(Data!$G270="",1,IF(ISNUMBER(MATCH(Data!#REF!,Data_Val!$D$2:$D$10,0)),0,1)))</f>
        <v>#REF!</v>
      </c>
      <c r="AJ270" s="17"/>
      <c r="AK270" s="17" t="e">
        <f>IF(Data!#REF!="","",IF(ISNUMBER(MATCH(Data!#REF!,Data_Val!$A$2:$A$3,0)),0,1))</f>
        <v>#REF!</v>
      </c>
      <c r="AL270" s="25" t="e">
        <f ca="1">IF(Data!#REF!="","",IF(ISNUMBER(Data!#REF!),IF(AND(Data!#REF!&gt;(TODAY()-(Data_Val!$L$3*365.25)),Data!#REF!&lt;=(TODAY()-(Data_Val!$L$2*365.25))),0,1),1))</f>
        <v>#REF!</v>
      </c>
      <c r="AM270" s="17" t="e">
        <f>IF(Data!#REF!="","",IF(Data!$G270="",1,IF(ISNUMBER(MATCH(Data!#REF!,Data_Val!$D$2:$D$10,0)),0,1)))</f>
        <v>#REF!</v>
      </c>
      <c r="AN270" s="13"/>
      <c r="AO270" s="28" t="e">
        <f ca="1">IF(Data!#REF!="","",IF(ISNUMBER(Data!#REF!),IF(AND(Data!#REF!&gt;(TODAY()-(Data_Val!$I$3*365.25)),Data!#REF!&lt;=(TODAY()-(Data_Val!$I$2*365.25))),0,1),1))</f>
        <v>#REF!</v>
      </c>
      <c r="AP270" s="13" t="e">
        <f>IF(Data!#REF!="","",IF(Data!$G270="",1,IF(ISNUMBER(MATCH(Data!#REF!,Data_Val!$D$2:$D$10,0)),0,1)))</f>
        <v>#REF!</v>
      </c>
      <c r="AQ270" s="17"/>
      <c r="AR270" s="30" t="e">
        <f ca="1">IF(Data!#REF!="","",IF(ISNUMBER(Data!#REF!),IF(AND(Data!#REF!&gt;(TODAY()-(Data_Val!$I$3*365.25)),Data!#REF!&lt;=(TODAY()-(Data_Val!$I$2*365.25))),0,1),1))</f>
        <v>#REF!</v>
      </c>
      <c r="AS270" s="31" t="e">
        <f>IF(Data!#REF!="","",IF(Data!$G270="",1,IF(ISNUMBER(MATCH(Data!#REF!,Data_Val!$D$2:$D$10,0)),0,1)))</f>
        <v>#REF!</v>
      </c>
      <c r="AT270" s="11"/>
      <c r="AU270" s="11" t="e">
        <f ca="1">IF(Data!#REF!="","",IF(ISNUMBER(Data!#REF!),IF(AND(Data!#REF!&gt;(TODAY()-(Data_Val!$I$3*365.25)),Data!#REF!&lt;=(TODAY()-(Data_Val!$I$2*365.25))),0,1),1))</f>
        <v>#REF!</v>
      </c>
      <c r="AV270" s="11" t="e">
        <f>IF(Data!#REF!="","",IF(Data!$G270="",1,IF(ISNUMBER(MATCH(Data!#REF!,Data_Val!$D$2:$D$10,0)),0,1)))</f>
        <v>#REF!</v>
      </c>
      <c r="AW270" s="12"/>
      <c r="AX270" s="26" t="e">
        <f ca="1">IF(Data!#REF!="","",IF(ISNUMBER(Data!#REF!),IF(AND(Data!#REF!&gt;(TODAY()-(Data_Val!$I$3*365.25)),Data!#REF!&lt;=(TODAY()-(Data_Val!$I$2*365.25))),0,1),1))</f>
        <v>#REF!</v>
      </c>
      <c r="AY270" s="12" t="e">
        <f>IF(Data!#REF!="","",IF(Data!$G270="",1,IF(ISNUMBER(MATCH(Data!#REF!,Data_Val!$D$2:$D$10,0)),0,1)))</f>
        <v>#REF!</v>
      </c>
      <c r="AZ270" s="11"/>
      <c r="BA270" s="19" t="e">
        <f ca="1">IF(Data!#REF!="","",IF(ISNUMBER(Data!#REF!),IF(AND(Data!#REF!&gt;(TODAY()-(Data_Val!$M$3*365.25)),Data!#REF!&lt;=(TODAY()-(Data_Val!$M$2*365.25))),0,1),1))</f>
        <v>#REF!</v>
      </c>
      <c r="BB270" s="11" t="e">
        <f>IF(Data!#REF!="","",IF(Data!$G270="",1,IF(ISNUMBER(MATCH(Data!#REF!,Data_Val!$D$2:$D$10,0)),0,1)))</f>
        <v>#REF!</v>
      </c>
      <c r="BC270" s="12"/>
      <c r="BD270" s="20" t="e">
        <f ca="1">IF(Data!#REF!="","",IF(ISNUMBER(Data!#REF!),IF(AND(Data!#REF!&gt;(TODAY()-(Data_Val!$M$3*365.25)),Data!#REF!&lt;=(TODAY()-(Data_Val!$M$2*365.25))),0,1),1))</f>
        <v>#REF!</v>
      </c>
      <c r="BE270" s="12" t="e">
        <f>IF(Data!#REF!="","",IF(Data!$G270="",1,IF(ISNUMBER(MATCH(Data!#REF!,Data_Val!$D$2:$D$10,0)),0,1)))</f>
        <v>#REF!</v>
      </c>
      <c r="BF270" s="17"/>
      <c r="BG270" s="18" t="e">
        <f ca="1">IF(Data!#REF!="","",IF(ISNUMBER(Data!#REF!),IF(AND(Data!#REF!&gt;(TODAY()-(Data_Val!$M$3*365.25)),Data!#REF!&lt;=(TODAY()-(Data_Val!$M$2*365.25))),0,1),1))</f>
        <v>#REF!</v>
      </c>
      <c r="BH270" s="29" t="e">
        <f>IF(Data!#REF!="","",IF(Data!$G270="",1,IF(ISNUMBER(MATCH(Data!#REF!,Data_Val!$D$2:$D$10,0)),0,1)))</f>
        <v>#REF!</v>
      </c>
      <c r="BI270" s="13"/>
      <c r="BJ270" s="21" t="e">
        <f ca="1">IF(Data!#REF!="","",IF(ISNUMBER(Data!#REF!),IF(AND(Data!#REF!&gt;(TODAY()-(Data_Val!$M$3*365.25)),Data!#REF!&lt;=(TODAY()-(Data_Val!$M$2*365.25))),0,1),1))</f>
        <v>#REF!</v>
      </c>
      <c r="BK270" s="13" t="e">
        <f>IF(Data!#REF!="","",IF(Data!$G270="",1,IF(ISNUMBER(MATCH(Data!#REF!,Data_Val!$D$2:$D$10,0)),0,1)))</f>
        <v>#REF!</v>
      </c>
    </row>
    <row r="271" spans="1:63" x14ac:dyDescent="0.25">
      <c r="A271" s="9" t="str">
        <f>IF(Data!B271="","",IF(COUNTIFS(Data!A$1:'Data'!A271,Data!A271)&lt;=1,0,1))</f>
        <v/>
      </c>
      <c r="B271" s="9"/>
      <c r="C271" s="23" t="str">
        <f>IF(Data!C271="","",(IF(ISNUMBER(MATCH("*@*.?*",Data!C271,0)),0,1)+IF(COUNTIFS(Data!C$1:'Data'!C271,Data!C271)&gt;1,1,0)))</f>
        <v/>
      </c>
      <c r="D271" s="9" t="str">
        <f>IF(Data!B271="","",IF(ISNUMBER(Data!D271),IF(AND(Data!D271&gt;999999999,Data!D271&lt;=9999999999),IF(COUNTIFS(Data!D$1:'Data'!D271,Data!D271)&lt;=1,0,1),1),1))</f>
        <v/>
      </c>
      <c r="E271" s="9" t="str">
        <f>IF(Data!B271="","",IF(ISNUMBER(MATCH(Data!E271,Data_Val!$A$2:$A$3,0)),0,1))</f>
        <v/>
      </c>
      <c r="F271" s="9" t="str">
        <f ca="1">IF(Data!B271="","",IF(ISNUMBER(Data!F271),IF(AND(Data!F271&gt;(TODAY()-(Data_Val!$H$3*365.25)),Data!F271&lt;=(TODAY()-(Data_Val!$H$2*365.25))),0,1),1))</f>
        <v/>
      </c>
      <c r="G271" s="15" t="str">
        <f>IF(Data!B271="","",IF(AND(Data!G271="",Data!H271&lt;&gt;""),1,IF(Data!#REF!&lt;&gt;"",0,IF(ISNUMBER(MATCH(Data!G271,Data_Val!$C$2:$C$5,0)),0,1))))</f>
        <v/>
      </c>
      <c r="H271" s="15" t="str">
        <f>IF(Data!B271="","",IF(AND(Data!G271&lt;&gt;"",Data!H271=""),1,IF(Data!#REF!&lt;&gt;"",0,IF(Data!G271="",1,IF(ISNUMBER(MATCH(Data!H271,Data_Val!$D$2:$D$35,0)),0,1)))))</f>
        <v/>
      </c>
      <c r="I271" s="15" t="str">
        <f>IF(Data!B271="","",IF(Data!G271&lt;&gt;"",0,IF(ISNUMBER(MATCH(Data!#REF!,Data_Val!$E$2:$E$12,0)),0,1)))</f>
        <v/>
      </c>
      <c r="J271" s="16" t="e">
        <f>IF(OR(Data!B271="",Data!#REF!=""),"",IF(Data!#REF!="",1,0))</f>
        <v>#REF!</v>
      </c>
      <c r="K271" s="16" t="e">
        <f>IF(OR(Data!B271="",Data!#REF!=""),"",IF(Data!#REF!="",1,0))</f>
        <v>#REF!</v>
      </c>
      <c r="L271" s="16" t="e">
        <f>IF(OR(Data!B271="",Data!#REF!=""),"",IF(ISNUMBER(Data!#REF!),IF(AND(Data!#REF!&gt;Data_Val!$G$2,Data!#REF!&lt;=Data_Val!$G$3),0,1),1))</f>
        <v>#REF!</v>
      </c>
      <c r="M271" s="9" t="e">
        <f>IF(OR(Data!B271="",Data!#REF!=""),"",IF(ISNUMBER(MATCH(Data!#REF!,Data_Val!$F$1:$F$38,0)),0,1))</f>
        <v>#REF!</v>
      </c>
      <c r="N271" s="9" t="e">
        <f>IF(OR(Data!B271="",Data!#REF!=""),"",IF(Data!#REF!="",1,0))</f>
        <v>#REF!</v>
      </c>
      <c r="O271" s="17" t="e">
        <f>IF(Data!#REF!="","",IF(Data!#REF!="",1,0))</f>
        <v>#REF!</v>
      </c>
      <c r="P271" s="17" t="e">
        <f>IF(Data!#REF!="","",IF(ISNUMBER(MATCH(Data!#REF!,Data_Val!$A$2:$A$3,0)),0,1))</f>
        <v>#REF!</v>
      </c>
      <c r="Q271" s="25" t="e">
        <f ca="1">IF(Data!#REF!="","",IF(ISNUMBER(Data!#REF!),IF(AND(Data!#REF!&gt;(TODAY()-(Data_Val!$J$3*365.25)),Data!#REF!&lt;=(TODAY()-(Data_Val!$J$2*365.25))),0,1),1))</f>
        <v>#REF!</v>
      </c>
      <c r="R271" s="17" t="e">
        <f>IF(Data!#REF!="","",IF(ISNUMBER(MATCH(Data!#REF!,Data_Val!$B$2:$B$15,0)),0,1))</f>
        <v>#REF!</v>
      </c>
      <c r="S271" s="11" t="str">
        <f>IF(Data!G271="","",IF(Data!G271=Data_Val!$C$2,IF(Data!M271="",0,1),0))</f>
        <v/>
      </c>
      <c r="T271" s="11" t="str">
        <f>IF(Data!M271="","",IF(ISNUMBER(MATCH(Data!N271,Data_Val!$A$2:$A$3,0)),0,1))</f>
        <v/>
      </c>
      <c r="U271" s="11" t="str">
        <f ca="1">IF(Data!M271="","",IF(ISNUMBER(Data!O271),IF(AND(Data!O271&gt;(TODAY()-(Data_Val!$K$3*365.25)),Data!O271&lt;=(TODAY()-(Data_Val!$K$2*365.25))),0,1),1))</f>
        <v/>
      </c>
      <c r="V271" s="12" t="str">
        <f>IF(Data!G271="","",IF(Data!G271=Data_Val!$C$2,IF(Data!P271="",0,1),0))</f>
        <v/>
      </c>
      <c r="W271" s="12" t="str">
        <f>IF(Data!P271="","",IF(ISNUMBER(MATCH(Data!Q271,Data_Val!$A$2:$A$3,0)),0,1))</f>
        <v/>
      </c>
      <c r="X271" s="26" t="str">
        <f ca="1">IF(Data!P271="","",IF(ISNUMBER(Data!R271),IF(AND(Data!R271&gt;(TODAY()-(Data_Val!$L$3*365.25)),Data!R271&lt;=(TODAY()-(Data_Val!$L$2*365.25))),0,1),1))</f>
        <v/>
      </c>
      <c r="Y271" s="13" t="str">
        <f>IF(Data!$G271="","",IF(Data!$G271=Data_Val!$C$2,IF(Data!S271="",0,1),0))</f>
        <v/>
      </c>
      <c r="Z271" s="13" t="str">
        <f>IF(Data!S271="","",IF(ISNUMBER(MATCH(Data!T271,Data_Val!$A$2:$A$3,0)),0,1))</f>
        <v/>
      </c>
      <c r="AA271" s="28" t="str">
        <f ca="1">IF(Data!S271="","",IF(ISNUMBER(Data!U271),IF(AND(Data!U271&gt;(TODAY()-(Data_Val!$L$3*365.25)),Data!U271&lt;=(TODAY()-(Data_Val!$L$2*365.25))),0,1),1))</f>
        <v/>
      </c>
      <c r="AB271" s="11"/>
      <c r="AC271" s="11" t="e">
        <f>IF(Data!#REF!="","",IF(ISNUMBER(MATCH(Data!#REF!,Data_Val!$A$2:$A$3,0)),0,1))</f>
        <v>#REF!</v>
      </c>
      <c r="AD271" s="11" t="e">
        <f ca="1">IF(Data!#REF!="","",IF(ISNUMBER(Data!#REF!),IF(AND(Data!#REF!&gt;(TODAY()-(Data_Val!$L$3*365.25)),Data!#REF!&lt;=(TODAY()-(Data_Val!$L$2*365.25))),0,1),1))</f>
        <v>#REF!</v>
      </c>
      <c r="AE271" s="11" t="e">
        <f>IF(Data!#REF!="","",IF(Data!$G271="",1,IF(ISNUMBER(MATCH(Data!#REF!,Data_Val!$D$2:$D$10,0)),0,1)))</f>
        <v>#REF!</v>
      </c>
      <c r="AF271" s="12"/>
      <c r="AG271" s="12" t="e">
        <f>IF(Data!#REF!="","",IF(ISNUMBER(MATCH(Data!#REF!,Data_Val!$A$2:$A$3,0)),0,1))</f>
        <v>#REF!</v>
      </c>
      <c r="AH271" s="26" t="e">
        <f ca="1">IF(Data!#REF!="","",IF(ISNUMBER(Data!#REF!),IF(AND(Data!#REF!&gt;(TODAY()-(Data_Val!$L$3*365.25)),Data!#REF!&lt;=(TODAY()-(Data_Val!$L$2*365.25))),0,1),1))</f>
        <v>#REF!</v>
      </c>
      <c r="AI271" s="12" t="e">
        <f>IF(Data!#REF!="","",IF(Data!$G271="",1,IF(ISNUMBER(MATCH(Data!#REF!,Data_Val!$D$2:$D$10,0)),0,1)))</f>
        <v>#REF!</v>
      </c>
      <c r="AJ271" s="17"/>
      <c r="AK271" s="17" t="e">
        <f>IF(Data!#REF!="","",IF(ISNUMBER(MATCH(Data!#REF!,Data_Val!$A$2:$A$3,0)),0,1))</f>
        <v>#REF!</v>
      </c>
      <c r="AL271" s="25" t="e">
        <f ca="1">IF(Data!#REF!="","",IF(ISNUMBER(Data!#REF!),IF(AND(Data!#REF!&gt;(TODAY()-(Data_Val!$L$3*365.25)),Data!#REF!&lt;=(TODAY()-(Data_Val!$L$2*365.25))),0,1),1))</f>
        <v>#REF!</v>
      </c>
      <c r="AM271" s="17" t="e">
        <f>IF(Data!#REF!="","",IF(Data!$G271="",1,IF(ISNUMBER(MATCH(Data!#REF!,Data_Val!$D$2:$D$10,0)),0,1)))</f>
        <v>#REF!</v>
      </c>
      <c r="AN271" s="13"/>
      <c r="AO271" s="28" t="e">
        <f ca="1">IF(Data!#REF!="","",IF(ISNUMBER(Data!#REF!),IF(AND(Data!#REF!&gt;(TODAY()-(Data_Val!$I$3*365.25)),Data!#REF!&lt;=(TODAY()-(Data_Val!$I$2*365.25))),0,1),1))</f>
        <v>#REF!</v>
      </c>
      <c r="AP271" s="13" t="e">
        <f>IF(Data!#REF!="","",IF(Data!$G271="",1,IF(ISNUMBER(MATCH(Data!#REF!,Data_Val!$D$2:$D$10,0)),0,1)))</f>
        <v>#REF!</v>
      </c>
      <c r="AQ271" s="17"/>
      <c r="AR271" s="30" t="e">
        <f ca="1">IF(Data!#REF!="","",IF(ISNUMBER(Data!#REF!),IF(AND(Data!#REF!&gt;(TODAY()-(Data_Val!$I$3*365.25)),Data!#REF!&lt;=(TODAY()-(Data_Val!$I$2*365.25))),0,1),1))</f>
        <v>#REF!</v>
      </c>
      <c r="AS271" s="31" t="e">
        <f>IF(Data!#REF!="","",IF(Data!$G271="",1,IF(ISNUMBER(MATCH(Data!#REF!,Data_Val!$D$2:$D$10,0)),0,1)))</f>
        <v>#REF!</v>
      </c>
      <c r="AT271" s="11"/>
      <c r="AU271" s="11" t="e">
        <f ca="1">IF(Data!#REF!="","",IF(ISNUMBER(Data!#REF!),IF(AND(Data!#REF!&gt;(TODAY()-(Data_Val!$I$3*365.25)),Data!#REF!&lt;=(TODAY()-(Data_Val!$I$2*365.25))),0,1),1))</f>
        <v>#REF!</v>
      </c>
      <c r="AV271" s="11" t="e">
        <f>IF(Data!#REF!="","",IF(Data!$G271="",1,IF(ISNUMBER(MATCH(Data!#REF!,Data_Val!$D$2:$D$10,0)),0,1)))</f>
        <v>#REF!</v>
      </c>
      <c r="AW271" s="12"/>
      <c r="AX271" s="26" t="e">
        <f ca="1">IF(Data!#REF!="","",IF(ISNUMBER(Data!#REF!),IF(AND(Data!#REF!&gt;(TODAY()-(Data_Val!$I$3*365.25)),Data!#REF!&lt;=(TODAY()-(Data_Val!$I$2*365.25))),0,1),1))</f>
        <v>#REF!</v>
      </c>
      <c r="AY271" s="12" t="e">
        <f>IF(Data!#REF!="","",IF(Data!$G271="",1,IF(ISNUMBER(MATCH(Data!#REF!,Data_Val!$D$2:$D$10,0)),0,1)))</f>
        <v>#REF!</v>
      </c>
      <c r="AZ271" s="11"/>
      <c r="BA271" s="19" t="e">
        <f ca="1">IF(Data!#REF!="","",IF(ISNUMBER(Data!#REF!),IF(AND(Data!#REF!&gt;(TODAY()-(Data_Val!$M$3*365.25)),Data!#REF!&lt;=(TODAY()-(Data_Val!$M$2*365.25))),0,1),1))</f>
        <v>#REF!</v>
      </c>
      <c r="BB271" s="11" t="e">
        <f>IF(Data!#REF!="","",IF(Data!$G271="",1,IF(ISNUMBER(MATCH(Data!#REF!,Data_Val!$D$2:$D$10,0)),0,1)))</f>
        <v>#REF!</v>
      </c>
      <c r="BC271" s="12"/>
      <c r="BD271" s="20" t="e">
        <f ca="1">IF(Data!#REF!="","",IF(ISNUMBER(Data!#REF!),IF(AND(Data!#REF!&gt;(TODAY()-(Data_Val!$M$3*365.25)),Data!#REF!&lt;=(TODAY()-(Data_Val!$M$2*365.25))),0,1),1))</f>
        <v>#REF!</v>
      </c>
      <c r="BE271" s="12" t="e">
        <f>IF(Data!#REF!="","",IF(Data!$G271="",1,IF(ISNUMBER(MATCH(Data!#REF!,Data_Val!$D$2:$D$10,0)),0,1)))</f>
        <v>#REF!</v>
      </c>
      <c r="BF271" s="17"/>
      <c r="BG271" s="18" t="e">
        <f ca="1">IF(Data!#REF!="","",IF(ISNUMBER(Data!#REF!),IF(AND(Data!#REF!&gt;(TODAY()-(Data_Val!$M$3*365.25)),Data!#REF!&lt;=(TODAY()-(Data_Val!$M$2*365.25))),0,1),1))</f>
        <v>#REF!</v>
      </c>
      <c r="BH271" s="29" t="e">
        <f>IF(Data!#REF!="","",IF(Data!$G271="",1,IF(ISNUMBER(MATCH(Data!#REF!,Data_Val!$D$2:$D$10,0)),0,1)))</f>
        <v>#REF!</v>
      </c>
      <c r="BI271" s="13"/>
      <c r="BJ271" s="21" t="e">
        <f ca="1">IF(Data!#REF!="","",IF(ISNUMBER(Data!#REF!),IF(AND(Data!#REF!&gt;(TODAY()-(Data_Val!$M$3*365.25)),Data!#REF!&lt;=(TODAY()-(Data_Val!$M$2*365.25))),0,1),1))</f>
        <v>#REF!</v>
      </c>
      <c r="BK271" s="13" t="e">
        <f>IF(Data!#REF!="","",IF(Data!$G271="",1,IF(ISNUMBER(MATCH(Data!#REF!,Data_Val!$D$2:$D$10,0)),0,1)))</f>
        <v>#REF!</v>
      </c>
    </row>
    <row r="272" spans="1:63" x14ac:dyDescent="0.25">
      <c r="A272" s="9" t="str">
        <f>IF(Data!B272="","",IF(COUNTIFS(Data!A$1:'Data'!A272,Data!A272)&lt;=1,0,1))</f>
        <v/>
      </c>
      <c r="B272" s="9"/>
      <c r="C272" s="23" t="str">
        <f>IF(Data!C272="","",(IF(ISNUMBER(MATCH("*@*.?*",Data!C272,0)),0,1)+IF(COUNTIFS(Data!C$1:'Data'!C272,Data!C272)&gt;1,1,0)))</f>
        <v/>
      </c>
      <c r="D272" s="9" t="str">
        <f>IF(Data!B272="","",IF(ISNUMBER(Data!D272),IF(AND(Data!D272&gt;999999999,Data!D272&lt;=9999999999),IF(COUNTIFS(Data!D$1:'Data'!D272,Data!D272)&lt;=1,0,1),1),1))</f>
        <v/>
      </c>
      <c r="E272" s="9" t="str">
        <f>IF(Data!B272="","",IF(ISNUMBER(MATCH(Data!E272,Data_Val!$A$2:$A$3,0)),0,1))</f>
        <v/>
      </c>
      <c r="F272" s="9" t="str">
        <f ca="1">IF(Data!B272="","",IF(ISNUMBER(Data!F272),IF(AND(Data!F272&gt;(TODAY()-(Data_Val!$H$3*365.25)),Data!F272&lt;=(TODAY()-(Data_Val!$H$2*365.25))),0,1),1))</f>
        <v/>
      </c>
      <c r="G272" s="15" t="str">
        <f>IF(Data!B272="","",IF(AND(Data!G272="",Data!H272&lt;&gt;""),1,IF(Data!#REF!&lt;&gt;"",0,IF(ISNUMBER(MATCH(Data!G272,Data_Val!$C$2:$C$5,0)),0,1))))</f>
        <v/>
      </c>
      <c r="H272" s="15" t="str">
        <f>IF(Data!B272="","",IF(AND(Data!G272&lt;&gt;"",Data!H272=""),1,IF(Data!#REF!&lt;&gt;"",0,IF(Data!G272="",1,IF(ISNUMBER(MATCH(Data!H272,Data_Val!$D$2:$D$35,0)),0,1)))))</f>
        <v/>
      </c>
      <c r="I272" s="15" t="str">
        <f>IF(Data!B272="","",IF(Data!G272&lt;&gt;"",0,IF(ISNUMBER(MATCH(Data!#REF!,Data_Val!$E$2:$E$12,0)),0,1)))</f>
        <v/>
      </c>
      <c r="J272" s="16" t="e">
        <f>IF(OR(Data!B272="",Data!#REF!=""),"",IF(Data!#REF!="",1,0))</f>
        <v>#REF!</v>
      </c>
      <c r="K272" s="16" t="e">
        <f>IF(OR(Data!B272="",Data!#REF!=""),"",IF(Data!#REF!="",1,0))</f>
        <v>#REF!</v>
      </c>
      <c r="L272" s="16" t="e">
        <f>IF(OR(Data!B272="",Data!#REF!=""),"",IF(ISNUMBER(Data!#REF!),IF(AND(Data!#REF!&gt;Data_Val!$G$2,Data!#REF!&lt;=Data_Val!$G$3),0,1),1))</f>
        <v>#REF!</v>
      </c>
      <c r="M272" s="9" t="e">
        <f>IF(OR(Data!B272="",Data!#REF!=""),"",IF(ISNUMBER(MATCH(Data!#REF!,Data_Val!$F$1:$F$38,0)),0,1))</f>
        <v>#REF!</v>
      </c>
      <c r="N272" s="9" t="e">
        <f>IF(OR(Data!B272="",Data!#REF!=""),"",IF(Data!#REF!="",1,0))</f>
        <v>#REF!</v>
      </c>
      <c r="O272" s="17" t="e">
        <f>IF(Data!#REF!="","",IF(Data!#REF!="",1,0))</f>
        <v>#REF!</v>
      </c>
      <c r="P272" s="17" t="e">
        <f>IF(Data!#REF!="","",IF(ISNUMBER(MATCH(Data!#REF!,Data_Val!$A$2:$A$3,0)),0,1))</f>
        <v>#REF!</v>
      </c>
      <c r="Q272" s="25" t="e">
        <f ca="1">IF(Data!#REF!="","",IF(ISNUMBER(Data!#REF!),IF(AND(Data!#REF!&gt;(TODAY()-(Data_Val!$J$3*365.25)),Data!#REF!&lt;=(TODAY()-(Data_Val!$J$2*365.25))),0,1),1))</f>
        <v>#REF!</v>
      </c>
      <c r="R272" s="17" t="e">
        <f>IF(Data!#REF!="","",IF(ISNUMBER(MATCH(Data!#REF!,Data_Val!$B$2:$B$15,0)),0,1))</f>
        <v>#REF!</v>
      </c>
      <c r="S272" s="11" t="str">
        <f>IF(Data!G272="","",IF(Data!G272=Data_Val!$C$2,IF(Data!M272="",0,1),0))</f>
        <v/>
      </c>
      <c r="T272" s="11" t="str">
        <f>IF(Data!M272="","",IF(ISNUMBER(MATCH(Data!N272,Data_Val!$A$2:$A$3,0)),0,1))</f>
        <v/>
      </c>
      <c r="U272" s="11" t="str">
        <f ca="1">IF(Data!M272="","",IF(ISNUMBER(Data!O272),IF(AND(Data!O272&gt;(TODAY()-(Data_Val!$K$3*365.25)),Data!O272&lt;=(TODAY()-(Data_Val!$K$2*365.25))),0,1),1))</f>
        <v/>
      </c>
      <c r="V272" s="12" t="str">
        <f>IF(Data!G272="","",IF(Data!G272=Data_Val!$C$2,IF(Data!P272="",0,1),0))</f>
        <v/>
      </c>
      <c r="W272" s="12" t="str">
        <f>IF(Data!P272="","",IF(ISNUMBER(MATCH(Data!Q272,Data_Val!$A$2:$A$3,0)),0,1))</f>
        <v/>
      </c>
      <c r="X272" s="26" t="str">
        <f ca="1">IF(Data!P272="","",IF(ISNUMBER(Data!R272),IF(AND(Data!R272&gt;(TODAY()-(Data_Val!$L$3*365.25)),Data!R272&lt;=(TODAY()-(Data_Val!$L$2*365.25))),0,1),1))</f>
        <v/>
      </c>
      <c r="Y272" s="13" t="str">
        <f>IF(Data!$G272="","",IF(Data!$G272=Data_Val!$C$2,IF(Data!S272="",0,1),0))</f>
        <v/>
      </c>
      <c r="Z272" s="13" t="str">
        <f>IF(Data!S272="","",IF(ISNUMBER(MATCH(Data!T272,Data_Val!$A$2:$A$3,0)),0,1))</f>
        <v/>
      </c>
      <c r="AA272" s="28" t="str">
        <f ca="1">IF(Data!S272="","",IF(ISNUMBER(Data!U272),IF(AND(Data!U272&gt;(TODAY()-(Data_Val!$L$3*365.25)),Data!U272&lt;=(TODAY()-(Data_Val!$L$2*365.25))),0,1),1))</f>
        <v/>
      </c>
      <c r="AB272" s="11"/>
      <c r="AC272" s="11" t="e">
        <f>IF(Data!#REF!="","",IF(ISNUMBER(MATCH(Data!#REF!,Data_Val!$A$2:$A$3,0)),0,1))</f>
        <v>#REF!</v>
      </c>
      <c r="AD272" s="11" t="e">
        <f ca="1">IF(Data!#REF!="","",IF(ISNUMBER(Data!#REF!),IF(AND(Data!#REF!&gt;(TODAY()-(Data_Val!$L$3*365.25)),Data!#REF!&lt;=(TODAY()-(Data_Val!$L$2*365.25))),0,1),1))</f>
        <v>#REF!</v>
      </c>
      <c r="AE272" s="11" t="e">
        <f>IF(Data!#REF!="","",IF(Data!$G272="",1,IF(ISNUMBER(MATCH(Data!#REF!,Data_Val!$D$2:$D$10,0)),0,1)))</f>
        <v>#REF!</v>
      </c>
      <c r="AF272" s="12"/>
      <c r="AG272" s="12" t="e">
        <f>IF(Data!#REF!="","",IF(ISNUMBER(MATCH(Data!#REF!,Data_Val!$A$2:$A$3,0)),0,1))</f>
        <v>#REF!</v>
      </c>
      <c r="AH272" s="26" t="e">
        <f ca="1">IF(Data!#REF!="","",IF(ISNUMBER(Data!#REF!),IF(AND(Data!#REF!&gt;(TODAY()-(Data_Val!$L$3*365.25)),Data!#REF!&lt;=(TODAY()-(Data_Val!$L$2*365.25))),0,1),1))</f>
        <v>#REF!</v>
      </c>
      <c r="AI272" s="12" t="e">
        <f>IF(Data!#REF!="","",IF(Data!$G272="",1,IF(ISNUMBER(MATCH(Data!#REF!,Data_Val!$D$2:$D$10,0)),0,1)))</f>
        <v>#REF!</v>
      </c>
      <c r="AJ272" s="17"/>
      <c r="AK272" s="17" t="e">
        <f>IF(Data!#REF!="","",IF(ISNUMBER(MATCH(Data!#REF!,Data_Val!$A$2:$A$3,0)),0,1))</f>
        <v>#REF!</v>
      </c>
      <c r="AL272" s="25" t="e">
        <f ca="1">IF(Data!#REF!="","",IF(ISNUMBER(Data!#REF!),IF(AND(Data!#REF!&gt;(TODAY()-(Data_Val!$L$3*365.25)),Data!#REF!&lt;=(TODAY()-(Data_Val!$L$2*365.25))),0,1),1))</f>
        <v>#REF!</v>
      </c>
      <c r="AM272" s="17" t="e">
        <f>IF(Data!#REF!="","",IF(Data!$G272="",1,IF(ISNUMBER(MATCH(Data!#REF!,Data_Val!$D$2:$D$10,0)),0,1)))</f>
        <v>#REF!</v>
      </c>
      <c r="AN272" s="13"/>
      <c r="AO272" s="28" t="e">
        <f ca="1">IF(Data!#REF!="","",IF(ISNUMBER(Data!#REF!),IF(AND(Data!#REF!&gt;(TODAY()-(Data_Val!$I$3*365.25)),Data!#REF!&lt;=(TODAY()-(Data_Val!$I$2*365.25))),0,1),1))</f>
        <v>#REF!</v>
      </c>
      <c r="AP272" s="13" t="e">
        <f>IF(Data!#REF!="","",IF(Data!$G272="",1,IF(ISNUMBER(MATCH(Data!#REF!,Data_Val!$D$2:$D$10,0)),0,1)))</f>
        <v>#REF!</v>
      </c>
      <c r="AQ272" s="17"/>
      <c r="AR272" s="30" t="e">
        <f ca="1">IF(Data!#REF!="","",IF(ISNUMBER(Data!#REF!),IF(AND(Data!#REF!&gt;(TODAY()-(Data_Val!$I$3*365.25)),Data!#REF!&lt;=(TODAY()-(Data_Val!$I$2*365.25))),0,1),1))</f>
        <v>#REF!</v>
      </c>
      <c r="AS272" s="31" t="e">
        <f>IF(Data!#REF!="","",IF(Data!$G272="",1,IF(ISNUMBER(MATCH(Data!#REF!,Data_Val!$D$2:$D$10,0)),0,1)))</f>
        <v>#REF!</v>
      </c>
      <c r="AT272" s="11"/>
      <c r="AU272" s="11" t="e">
        <f ca="1">IF(Data!#REF!="","",IF(ISNUMBER(Data!#REF!),IF(AND(Data!#REF!&gt;(TODAY()-(Data_Val!$I$3*365.25)),Data!#REF!&lt;=(TODAY()-(Data_Val!$I$2*365.25))),0,1),1))</f>
        <v>#REF!</v>
      </c>
      <c r="AV272" s="11" t="e">
        <f>IF(Data!#REF!="","",IF(Data!$G272="",1,IF(ISNUMBER(MATCH(Data!#REF!,Data_Val!$D$2:$D$10,0)),0,1)))</f>
        <v>#REF!</v>
      </c>
      <c r="AW272" s="12"/>
      <c r="AX272" s="26" t="e">
        <f ca="1">IF(Data!#REF!="","",IF(ISNUMBER(Data!#REF!),IF(AND(Data!#REF!&gt;(TODAY()-(Data_Val!$I$3*365.25)),Data!#REF!&lt;=(TODAY()-(Data_Val!$I$2*365.25))),0,1),1))</f>
        <v>#REF!</v>
      </c>
      <c r="AY272" s="12" t="e">
        <f>IF(Data!#REF!="","",IF(Data!$G272="",1,IF(ISNUMBER(MATCH(Data!#REF!,Data_Val!$D$2:$D$10,0)),0,1)))</f>
        <v>#REF!</v>
      </c>
      <c r="AZ272" s="11"/>
      <c r="BA272" s="19" t="e">
        <f ca="1">IF(Data!#REF!="","",IF(ISNUMBER(Data!#REF!),IF(AND(Data!#REF!&gt;(TODAY()-(Data_Val!$M$3*365.25)),Data!#REF!&lt;=(TODAY()-(Data_Val!$M$2*365.25))),0,1),1))</f>
        <v>#REF!</v>
      </c>
      <c r="BB272" s="11" t="e">
        <f>IF(Data!#REF!="","",IF(Data!$G272="",1,IF(ISNUMBER(MATCH(Data!#REF!,Data_Val!$D$2:$D$10,0)),0,1)))</f>
        <v>#REF!</v>
      </c>
      <c r="BC272" s="12"/>
      <c r="BD272" s="20" t="e">
        <f ca="1">IF(Data!#REF!="","",IF(ISNUMBER(Data!#REF!),IF(AND(Data!#REF!&gt;(TODAY()-(Data_Val!$M$3*365.25)),Data!#REF!&lt;=(TODAY()-(Data_Val!$M$2*365.25))),0,1),1))</f>
        <v>#REF!</v>
      </c>
      <c r="BE272" s="12" t="e">
        <f>IF(Data!#REF!="","",IF(Data!$G272="",1,IF(ISNUMBER(MATCH(Data!#REF!,Data_Val!$D$2:$D$10,0)),0,1)))</f>
        <v>#REF!</v>
      </c>
      <c r="BF272" s="17"/>
      <c r="BG272" s="18" t="e">
        <f ca="1">IF(Data!#REF!="","",IF(ISNUMBER(Data!#REF!),IF(AND(Data!#REF!&gt;(TODAY()-(Data_Val!$M$3*365.25)),Data!#REF!&lt;=(TODAY()-(Data_Val!$M$2*365.25))),0,1),1))</f>
        <v>#REF!</v>
      </c>
      <c r="BH272" s="29" t="e">
        <f>IF(Data!#REF!="","",IF(Data!$G272="",1,IF(ISNUMBER(MATCH(Data!#REF!,Data_Val!$D$2:$D$10,0)),0,1)))</f>
        <v>#REF!</v>
      </c>
      <c r="BI272" s="13"/>
      <c r="BJ272" s="21" t="e">
        <f ca="1">IF(Data!#REF!="","",IF(ISNUMBER(Data!#REF!),IF(AND(Data!#REF!&gt;(TODAY()-(Data_Val!$M$3*365.25)),Data!#REF!&lt;=(TODAY()-(Data_Val!$M$2*365.25))),0,1),1))</f>
        <v>#REF!</v>
      </c>
      <c r="BK272" s="13" t="e">
        <f>IF(Data!#REF!="","",IF(Data!$G272="",1,IF(ISNUMBER(MATCH(Data!#REF!,Data_Val!$D$2:$D$10,0)),0,1)))</f>
        <v>#REF!</v>
      </c>
    </row>
    <row r="273" spans="1:63" x14ac:dyDescent="0.25">
      <c r="A273" s="9" t="str">
        <f>IF(Data!B273="","",IF(COUNTIFS(Data!A$1:'Data'!A273,Data!A273)&lt;=1,0,1))</f>
        <v/>
      </c>
      <c r="B273" s="9"/>
      <c r="C273" s="23" t="str">
        <f>IF(Data!C273="","",(IF(ISNUMBER(MATCH("*@*.?*",Data!C273,0)),0,1)+IF(COUNTIFS(Data!C$1:'Data'!C273,Data!C273)&gt;1,1,0)))</f>
        <v/>
      </c>
      <c r="D273" s="9" t="str">
        <f>IF(Data!B273="","",IF(ISNUMBER(Data!D273),IF(AND(Data!D273&gt;999999999,Data!D273&lt;=9999999999),IF(COUNTIFS(Data!D$1:'Data'!D273,Data!D273)&lt;=1,0,1),1),1))</f>
        <v/>
      </c>
      <c r="E273" s="9" t="str">
        <f>IF(Data!B273="","",IF(ISNUMBER(MATCH(Data!E273,Data_Val!$A$2:$A$3,0)),0,1))</f>
        <v/>
      </c>
      <c r="F273" s="9" t="str">
        <f ca="1">IF(Data!B273="","",IF(ISNUMBER(Data!F273),IF(AND(Data!F273&gt;(TODAY()-(Data_Val!$H$3*365.25)),Data!F273&lt;=(TODAY()-(Data_Val!$H$2*365.25))),0,1),1))</f>
        <v/>
      </c>
      <c r="G273" s="15" t="str">
        <f>IF(Data!B273="","",IF(AND(Data!G273="",Data!H273&lt;&gt;""),1,IF(Data!#REF!&lt;&gt;"",0,IF(ISNUMBER(MATCH(Data!G273,Data_Val!$C$2:$C$5,0)),0,1))))</f>
        <v/>
      </c>
      <c r="H273" s="15" t="str">
        <f>IF(Data!B273="","",IF(AND(Data!G273&lt;&gt;"",Data!H273=""),1,IF(Data!#REF!&lt;&gt;"",0,IF(Data!G273="",1,IF(ISNUMBER(MATCH(Data!H273,Data_Val!$D$2:$D$35,0)),0,1)))))</f>
        <v/>
      </c>
      <c r="I273" s="15" t="str">
        <f>IF(Data!B273="","",IF(Data!G273&lt;&gt;"",0,IF(ISNUMBER(MATCH(Data!#REF!,Data_Val!$E$2:$E$12,0)),0,1)))</f>
        <v/>
      </c>
      <c r="J273" s="16" t="e">
        <f>IF(OR(Data!B273="",Data!#REF!=""),"",IF(Data!#REF!="",1,0))</f>
        <v>#REF!</v>
      </c>
      <c r="K273" s="16" t="e">
        <f>IF(OR(Data!B273="",Data!#REF!=""),"",IF(Data!#REF!="",1,0))</f>
        <v>#REF!</v>
      </c>
      <c r="L273" s="16" t="e">
        <f>IF(OR(Data!B273="",Data!#REF!=""),"",IF(ISNUMBER(Data!#REF!),IF(AND(Data!#REF!&gt;Data_Val!$G$2,Data!#REF!&lt;=Data_Val!$G$3),0,1),1))</f>
        <v>#REF!</v>
      </c>
      <c r="M273" s="9" t="e">
        <f>IF(OR(Data!B273="",Data!#REF!=""),"",IF(ISNUMBER(MATCH(Data!#REF!,Data_Val!$F$1:$F$38,0)),0,1))</f>
        <v>#REF!</v>
      </c>
      <c r="N273" s="9" t="e">
        <f>IF(OR(Data!B273="",Data!#REF!=""),"",IF(Data!#REF!="",1,0))</f>
        <v>#REF!</v>
      </c>
      <c r="O273" s="17" t="e">
        <f>IF(Data!#REF!="","",IF(Data!#REF!="",1,0))</f>
        <v>#REF!</v>
      </c>
      <c r="P273" s="17" t="e">
        <f>IF(Data!#REF!="","",IF(ISNUMBER(MATCH(Data!#REF!,Data_Val!$A$2:$A$3,0)),0,1))</f>
        <v>#REF!</v>
      </c>
      <c r="Q273" s="25" t="e">
        <f ca="1">IF(Data!#REF!="","",IF(ISNUMBER(Data!#REF!),IF(AND(Data!#REF!&gt;(TODAY()-(Data_Val!$J$3*365.25)),Data!#REF!&lt;=(TODAY()-(Data_Val!$J$2*365.25))),0,1),1))</f>
        <v>#REF!</v>
      </c>
      <c r="R273" s="17" t="e">
        <f>IF(Data!#REF!="","",IF(ISNUMBER(MATCH(Data!#REF!,Data_Val!$B$2:$B$15,0)),0,1))</f>
        <v>#REF!</v>
      </c>
      <c r="S273" s="11" t="str">
        <f>IF(Data!G273="","",IF(Data!G273=Data_Val!$C$2,IF(Data!M273="",0,1),0))</f>
        <v/>
      </c>
      <c r="T273" s="11" t="str">
        <f>IF(Data!M273="","",IF(ISNUMBER(MATCH(Data!N273,Data_Val!$A$2:$A$3,0)),0,1))</f>
        <v/>
      </c>
      <c r="U273" s="11" t="str">
        <f ca="1">IF(Data!M273="","",IF(ISNUMBER(Data!O273),IF(AND(Data!O273&gt;(TODAY()-(Data_Val!$K$3*365.25)),Data!O273&lt;=(TODAY()-(Data_Val!$K$2*365.25))),0,1),1))</f>
        <v/>
      </c>
      <c r="V273" s="12" t="str">
        <f>IF(Data!G273="","",IF(Data!G273=Data_Val!$C$2,IF(Data!P273="",0,1),0))</f>
        <v/>
      </c>
      <c r="W273" s="12" t="str">
        <f>IF(Data!P273="","",IF(ISNUMBER(MATCH(Data!Q273,Data_Val!$A$2:$A$3,0)),0,1))</f>
        <v/>
      </c>
      <c r="X273" s="26" t="str">
        <f ca="1">IF(Data!P273="","",IF(ISNUMBER(Data!R273),IF(AND(Data!R273&gt;(TODAY()-(Data_Val!$L$3*365.25)),Data!R273&lt;=(TODAY()-(Data_Val!$L$2*365.25))),0,1),1))</f>
        <v/>
      </c>
      <c r="Y273" s="13" t="str">
        <f>IF(Data!$G273="","",IF(Data!$G273=Data_Val!$C$2,IF(Data!S273="",0,1),0))</f>
        <v/>
      </c>
      <c r="Z273" s="13" t="str">
        <f>IF(Data!S273="","",IF(ISNUMBER(MATCH(Data!T273,Data_Val!$A$2:$A$3,0)),0,1))</f>
        <v/>
      </c>
      <c r="AA273" s="28" t="str">
        <f ca="1">IF(Data!S273="","",IF(ISNUMBER(Data!U273),IF(AND(Data!U273&gt;(TODAY()-(Data_Val!$L$3*365.25)),Data!U273&lt;=(TODAY()-(Data_Val!$L$2*365.25))),0,1),1))</f>
        <v/>
      </c>
      <c r="AB273" s="11"/>
      <c r="AC273" s="11" t="e">
        <f>IF(Data!#REF!="","",IF(ISNUMBER(MATCH(Data!#REF!,Data_Val!$A$2:$A$3,0)),0,1))</f>
        <v>#REF!</v>
      </c>
      <c r="AD273" s="11" t="e">
        <f ca="1">IF(Data!#REF!="","",IF(ISNUMBER(Data!#REF!),IF(AND(Data!#REF!&gt;(TODAY()-(Data_Val!$L$3*365.25)),Data!#REF!&lt;=(TODAY()-(Data_Val!$L$2*365.25))),0,1),1))</f>
        <v>#REF!</v>
      </c>
      <c r="AE273" s="11" t="e">
        <f>IF(Data!#REF!="","",IF(Data!$G273="",1,IF(ISNUMBER(MATCH(Data!#REF!,Data_Val!$D$2:$D$10,0)),0,1)))</f>
        <v>#REF!</v>
      </c>
      <c r="AF273" s="12"/>
      <c r="AG273" s="12" t="e">
        <f>IF(Data!#REF!="","",IF(ISNUMBER(MATCH(Data!#REF!,Data_Val!$A$2:$A$3,0)),0,1))</f>
        <v>#REF!</v>
      </c>
      <c r="AH273" s="26" t="e">
        <f ca="1">IF(Data!#REF!="","",IF(ISNUMBER(Data!#REF!),IF(AND(Data!#REF!&gt;(TODAY()-(Data_Val!$L$3*365.25)),Data!#REF!&lt;=(TODAY()-(Data_Val!$L$2*365.25))),0,1),1))</f>
        <v>#REF!</v>
      </c>
      <c r="AI273" s="12" t="e">
        <f>IF(Data!#REF!="","",IF(Data!$G273="",1,IF(ISNUMBER(MATCH(Data!#REF!,Data_Val!$D$2:$D$10,0)),0,1)))</f>
        <v>#REF!</v>
      </c>
      <c r="AJ273" s="17"/>
      <c r="AK273" s="17" t="e">
        <f>IF(Data!#REF!="","",IF(ISNUMBER(MATCH(Data!#REF!,Data_Val!$A$2:$A$3,0)),0,1))</f>
        <v>#REF!</v>
      </c>
      <c r="AL273" s="25" t="e">
        <f ca="1">IF(Data!#REF!="","",IF(ISNUMBER(Data!#REF!),IF(AND(Data!#REF!&gt;(TODAY()-(Data_Val!$L$3*365.25)),Data!#REF!&lt;=(TODAY()-(Data_Val!$L$2*365.25))),0,1),1))</f>
        <v>#REF!</v>
      </c>
      <c r="AM273" s="17" t="e">
        <f>IF(Data!#REF!="","",IF(Data!$G273="",1,IF(ISNUMBER(MATCH(Data!#REF!,Data_Val!$D$2:$D$10,0)),0,1)))</f>
        <v>#REF!</v>
      </c>
      <c r="AN273" s="13"/>
      <c r="AO273" s="28" t="e">
        <f ca="1">IF(Data!#REF!="","",IF(ISNUMBER(Data!#REF!),IF(AND(Data!#REF!&gt;(TODAY()-(Data_Val!$I$3*365.25)),Data!#REF!&lt;=(TODAY()-(Data_Val!$I$2*365.25))),0,1),1))</f>
        <v>#REF!</v>
      </c>
      <c r="AP273" s="13" t="e">
        <f>IF(Data!#REF!="","",IF(Data!$G273="",1,IF(ISNUMBER(MATCH(Data!#REF!,Data_Val!$D$2:$D$10,0)),0,1)))</f>
        <v>#REF!</v>
      </c>
      <c r="AQ273" s="17"/>
      <c r="AR273" s="30" t="e">
        <f ca="1">IF(Data!#REF!="","",IF(ISNUMBER(Data!#REF!),IF(AND(Data!#REF!&gt;(TODAY()-(Data_Val!$I$3*365.25)),Data!#REF!&lt;=(TODAY()-(Data_Val!$I$2*365.25))),0,1),1))</f>
        <v>#REF!</v>
      </c>
      <c r="AS273" s="31" t="e">
        <f>IF(Data!#REF!="","",IF(Data!$G273="",1,IF(ISNUMBER(MATCH(Data!#REF!,Data_Val!$D$2:$D$10,0)),0,1)))</f>
        <v>#REF!</v>
      </c>
      <c r="AT273" s="11"/>
      <c r="AU273" s="11" t="e">
        <f ca="1">IF(Data!#REF!="","",IF(ISNUMBER(Data!#REF!),IF(AND(Data!#REF!&gt;(TODAY()-(Data_Val!$I$3*365.25)),Data!#REF!&lt;=(TODAY()-(Data_Val!$I$2*365.25))),0,1),1))</f>
        <v>#REF!</v>
      </c>
      <c r="AV273" s="11" t="e">
        <f>IF(Data!#REF!="","",IF(Data!$G273="",1,IF(ISNUMBER(MATCH(Data!#REF!,Data_Val!$D$2:$D$10,0)),0,1)))</f>
        <v>#REF!</v>
      </c>
      <c r="AW273" s="12"/>
      <c r="AX273" s="26" t="e">
        <f ca="1">IF(Data!#REF!="","",IF(ISNUMBER(Data!#REF!),IF(AND(Data!#REF!&gt;(TODAY()-(Data_Val!$I$3*365.25)),Data!#REF!&lt;=(TODAY()-(Data_Val!$I$2*365.25))),0,1),1))</f>
        <v>#REF!</v>
      </c>
      <c r="AY273" s="12" t="e">
        <f>IF(Data!#REF!="","",IF(Data!$G273="",1,IF(ISNUMBER(MATCH(Data!#REF!,Data_Val!$D$2:$D$10,0)),0,1)))</f>
        <v>#REF!</v>
      </c>
      <c r="AZ273" s="11"/>
      <c r="BA273" s="19" t="e">
        <f ca="1">IF(Data!#REF!="","",IF(ISNUMBER(Data!#REF!),IF(AND(Data!#REF!&gt;(TODAY()-(Data_Val!$M$3*365.25)),Data!#REF!&lt;=(TODAY()-(Data_Val!$M$2*365.25))),0,1),1))</f>
        <v>#REF!</v>
      </c>
      <c r="BB273" s="11" t="e">
        <f>IF(Data!#REF!="","",IF(Data!$G273="",1,IF(ISNUMBER(MATCH(Data!#REF!,Data_Val!$D$2:$D$10,0)),0,1)))</f>
        <v>#REF!</v>
      </c>
      <c r="BC273" s="12"/>
      <c r="BD273" s="20" t="e">
        <f ca="1">IF(Data!#REF!="","",IF(ISNUMBER(Data!#REF!),IF(AND(Data!#REF!&gt;(TODAY()-(Data_Val!$M$3*365.25)),Data!#REF!&lt;=(TODAY()-(Data_Val!$M$2*365.25))),0,1),1))</f>
        <v>#REF!</v>
      </c>
      <c r="BE273" s="12" t="e">
        <f>IF(Data!#REF!="","",IF(Data!$G273="",1,IF(ISNUMBER(MATCH(Data!#REF!,Data_Val!$D$2:$D$10,0)),0,1)))</f>
        <v>#REF!</v>
      </c>
      <c r="BF273" s="17"/>
      <c r="BG273" s="18" t="e">
        <f ca="1">IF(Data!#REF!="","",IF(ISNUMBER(Data!#REF!),IF(AND(Data!#REF!&gt;(TODAY()-(Data_Val!$M$3*365.25)),Data!#REF!&lt;=(TODAY()-(Data_Val!$M$2*365.25))),0,1),1))</f>
        <v>#REF!</v>
      </c>
      <c r="BH273" s="29" t="e">
        <f>IF(Data!#REF!="","",IF(Data!$G273="",1,IF(ISNUMBER(MATCH(Data!#REF!,Data_Val!$D$2:$D$10,0)),0,1)))</f>
        <v>#REF!</v>
      </c>
      <c r="BI273" s="13"/>
      <c r="BJ273" s="21" t="e">
        <f ca="1">IF(Data!#REF!="","",IF(ISNUMBER(Data!#REF!),IF(AND(Data!#REF!&gt;(TODAY()-(Data_Val!$M$3*365.25)),Data!#REF!&lt;=(TODAY()-(Data_Val!$M$2*365.25))),0,1),1))</f>
        <v>#REF!</v>
      </c>
      <c r="BK273" s="13" t="e">
        <f>IF(Data!#REF!="","",IF(Data!$G273="",1,IF(ISNUMBER(MATCH(Data!#REF!,Data_Val!$D$2:$D$10,0)),0,1)))</f>
        <v>#REF!</v>
      </c>
    </row>
    <row r="274" spans="1:63" x14ac:dyDescent="0.25">
      <c r="A274" s="9" t="str">
        <f>IF(Data!B274="","",IF(COUNTIFS(Data!A$1:'Data'!A274,Data!A274)&lt;=1,0,1))</f>
        <v/>
      </c>
      <c r="B274" s="9"/>
      <c r="C274" s="23" t="str">
        <f>IF(Data!C274="","",(IF(ISNUMBER(MATCH("*@*.?*",Data!C274,0)),0,1)+IF(COUNTIFS(Data!C$1:'Data'!C274,Data!C274)&gt;1,1,0)))</f>
        <v/>
      </c>
      <c r="D274" s="9" t="str">
        <f>IF(Data!B274="","",IF(ISNUMBER(Data!D274),IF(AND(Data!D274&gt;999999999,Data!D274&lt;=9999999999),IF(COUNTIFS(Data!D$1:'Data'!D274,Data!D274)&lt;=1,0,1),1),1))</f>
        <v/>
      </c>
      <c r="E274" s="9" t="str">
        <f>IF(Data!B274="","",IF(ISNUMBER(MATCH(Data!E274,Data_Val!$A$2:$A$3,0)),0,1))</f>
        <v/>
      </c>
      <c r="F274" s="9" t="str">
        <f ca="1">IF(Data!B274="","",IF(ISNUMBER(Data!F274),IF(AND(Data!F274&gt;(TODAY()-(Data_Val!$H$3*365.25)),Data!F274&lt;=(TODAY()-(Data_Val!$H$2*365.25))),0,1),1))</f>
        <v/>
      </c>
      <c r="G274" s="15" t="str">
        <f>IF(Data!B274="","",IF(AND(Data!G274="",Data!H274&lt;&gt;""),1,IF(Data!#REF!&lt;&gt;"",0,IF(ISNUMBER(MATCH(Data!G274,Data_Val!$C$2:$C$5,0)),0,1))))</f>
        <v/>
      </c>
      <c r="H274" s="15" t="str">
        <f>IF(Data!B274="","",IF(AND(Data!G274&lt;&gt;"",Data!H274=""),1,IF(Data!#REF!&lt;&gt;"",0,IF(Data!G274="",1,IF(ISNUMBER(MATCH(Data!H274,Data_Val!$D$2:$D$35,0)),0,1)))))</f>
        <v/>
      </c>
      <c r="I274" s="15" t="str">
        <f>IF(Data!B274="","",IF(Data!G274&lt;&gt;"",0,IF(ISNUMBER(MATCH(Data!#REF!,Data_Val!$E$2:$E$12,0)),0,1)))</f>
        <v/>
      </c>
      <c r="J274" s="16" t="e">
        <f>IF(OR(Data!B274="",Data!#REF!=""),"",IF(Data!#REF!="",1,0))</f>
        <v>#REF!</v>
      </c>
      <c r="K274" s="16" t="e">
        <f>IF(OR(Data!B274="",Data!#REF!=""),"",IF(Data!#REF!="",1,0))</f>
        <v>#REF!</v>
      </c>
      <c r="L274" s="16" t="e">
        <f>IF(OR(Data!B274="",Data!#REF!=""),"",IF(ISNUMBER(Data!#REF!),IF(AND(Data!#REF!&gt;Data_Val!$G$2,Data!#REF!&lt;=Data_Val!$G$3),0,1),1))</f>
        <v>#REF!</v>
      </c>
      <c r="M274" s="9" t="e">
        <f>IF(OR(Data!B274="",Data!#REF!=""),"",IF(ISNUMBER(MATCH(Data!#REF!,Data_Val!$F$1:$F$38,0)),0,1))</f>
        <v>#REF!</v>
      </c>
      <c r="N274" s="9" t="e">
        <f>IF(OR(Data!B274="",Data!#REF!=""),"",IF(Data!#REF!="",1,0))</f>
        <v>#REF!</v>
      </c>
      <c r="O274" s="17" t="e">
        <f>IF(Data!#REF!="","",IF(Data!#REF!="",1,0))</f>
        <v>#REF!</v>
      </c>
      <c r="P274" s="17" t="e">
        <f>IF(Data!#REF!="","",IF(ISNUMBER(MATCH(Data!#REF!,Data_Val!$A$2:$A$3,0)),0,1))</f>
        <v>#REF!</v>
      </c>
      <c r="Q274" s="25" t="e">
        <f ca="1">IF(Data!#REF!="","",IF(ISNUMBER(Data!#REF!),IF(AND(Data!#REF!&gt;(TODAY()-(Data_Val!$J$3*365.25)),Data!#REF!&lt;=(TODAY()-(Data_Val!$J$2*365.25))),0,1),1))</f>
        <v>#REF!</v>
      </c>
      <c r="R274" s="17" t="e">
        <f>IF(Data!#REF!="","",IF(ISNUMBER(MATCH(Data!#REF!,Data_Val!$B$2:$B$15,0)),0,1))</f>
        <v>#REF!</v>
      </c>
      <c r="S274" s="11" t="str">
        <f>IF(Data!G274="","",IF(Data!G274=Data_Val!$C$2,IF(Data!M274="",0,1),0))</f>
        <v/>
      </c>
      <c r="T274" s="11" t="str">
        <f>IF(Data!M274="","",IF(ISNUMBER(MATCH(Data!N274,Data_Val!$A$2:$A$3,0)),0,1))</f>
        <v/>
      </c>
      <c r="U274" s="11" t="str">
        <f ca="1">IF(Data!M274="","",IF(ISNUMBER(Data!O274),IF(AND(Data!O274&gt;(TODAY()-(Data_Val!$K$3*365.25)),Data!O274&lt;=(TODAY()-(Data_Val!$K$2*365.25))),0,1),1))</f>
        <v/>
      </c>
      <c r="V274" s="12" t="str">
        <f>IF(Data!G274="","",IF(Data!G274=Data_Val!$C$2,IF(Data!P274="",0,1),0))</f>
        <v/>
      </c>
      <c r="W274" s="12" t="str">
        <f>IF(Data!P274="","",IF(ISNUMBER(MATCH(Data!Q274,Data_Val!$A$2:$A$3,0)),0,1))</f>
        <v/>
      </c>
      <c r="X274" s="26" t="str">
        <f ca="1">IF(Data!P274="","",IF(ISNUMBER(Data!R274),IF(AND(Data!R274&gt;(TODAY()-(Data_Val!$L$3*365.25)),Data!R274&lt;=(TODAY()-(Data_Val!$L$2*365.25))),0,1),1))</f>
        <v/>
      </c>
      <c r="Y274" s="13" t="str">
        <f>IF(Data!$G274="","",IF(Data!$G274=Data_Val!$C$2,IF(Data!S274="",0,1),0))</f>
        <v/>
      </c>
      <c r="Z274" s="13" t="str">
        <f>IF(Data!S274="","",IF(ISNUMBER(MATCH(Data!T274,Data_Val!$A$2:$A$3,0)),0,1))</f>
        <v/>
      </c>
      <c r="AA274" s="28" t="str">
        <f ca="1">IF(Data!S274="","",IF(ISNUMBER(Data!U274),IF(AND(Data!U274&gt;(TODAY()-(Data_Val!$L$3*365.25)),Data!U274&lt;=(TODAY()-(Data_Val!$L$2*365.25))),0,1),1))</f>
        <v/>
      </c>
      <c r="AB274" s="11"/>
      <c r="AC274" s="11" t="e">
        <f>IF(Data!#REF!="","",IF(ISNUMBER(MATCH(Data!#REF!,Data_Val!$A$2:$A$3,0)),0,1))</f>
        <v>#REF!</v>
      </c>
      <c r="AD274" s="11" t="e">
        <f ca="1">IF(Data!#REF!="","",IF(ISNUMBER(Data!#REF!),IF(AND(Data!#REF!&gt;(TODAY()-(Data_Val!$L$3*365.25)),Data!#REF!&lt;=(TODAY()-(Data_Val!$L$2*365.25))),0,1),1))</f>
        <v>#REF!</v>
      </c>
      <c r="AE274" s="11" t="e">
        <f>IF(Data!#REF!="","",IF(Data!$G274="",1,IF(ISNUMBER(MATCH(Data!#REF!,Data_Val!$D$2:$D$10,0)),0,1)))</f>
        <v>#REF!</v>
      </c>
      <c r="AF274" s="12"/>
      <c r="AG274" s="12" t="e">
        <f>IF(Data!#REF!="","",IF(ISNUMBER(MATCH(Data!#REF!,Data_Val!$A$2:$A$3,0)),0,1))</f>
        <v>#REF!</v>
      </c>
      <c r="AH274" s="26" t="e">
        <f ca="1">IF(Data!#REF!="","",IF(ISNUMBER(Data!#REF!),IF(AND(Data!#REF!&gt;(TODAY()-(Data_Val!$L$3*365.25)),Data!#REF!&lt;=(TODAY()-(Data_Val!$L$2*365.25))),0,1),1))</f>
        <v>#REF!</v>
      </c>
      <c r="AI274" s="12" t="e">
        <f>IF(Data!#REF!="","",IF(Data!$G274="",1,IF(ISNUMBER(MATCH(Data!#REF!,Data_Val!$D$2:$D$10,0)),0,1)))</f>
        <v>#REF!</v>
      </c>
      <c r="AJ274" s="17"/>
      <c r="AK274" s="17" t="e">
        <f>IF(Data!#REF!="","",IF(ISNUMBER(MATCH(Data!#REF!,Data_Val!$A$2:$A$3,0)),0,1))</f>
        <v>#REF!</v>
      </c>
      <c r="AL274" s="25" t="e">
        <f ca="1">IF(Data!#REF!="","",IF(ISNUMBER(Data!#REF!),IF(AND(Data!#REF!&gt;(TODAY()-(Data_Val!$L$3*365.25)),Data!#REF!&lt;=(TODAY()-(Data_Val!$L$2*365.25))),0,1),1))</f>
        <v>#REF!</v>
      </c>
      <c r="AM274" s="17" t="e">
        <f>IF(Data!#REF!="","",IF(Data!$G274="",1,IF(ISNUMBER(MATCH(Data!#REF!,Data_Val!$D$2:$D$10,0)),0,1)))</f>
        <v>#REF!</v>
      </c>
      <c r="AN274" s="13"/>
      <c r="AO274" s="28" t="e">
        <f ca="1">IF(Data!#REF!="","",IF(ISNUMBER(Data!#REF!),IF(AND(Data!#REF!&gt;(TODAY()-(Data_Val!$I$3*365.25)),Data!#REF!&lt;=(TODAY()-(Data_Val!$I$2*365.25))),0,1),1))</f>
        <v>#REF!</v>
      </c>
      <c r="AP274" s="13" t="e">
        <f>IF(Data!#REF!="","",IF(Data!$G274="",1,IF(ISNUMBER(MATCH(Data!#REF!,Data_Val!$D$2:$D$10,0)),0,1)))</f>
        <v>#REF!</v>
      </c>
      <c r="AQ274" s="17"/>
      <c r="AR274" s="30" t="e">
        <f ca="1">IF(Data!#REF!="","",IF(ISNUMBER(Data!#REF!),IF(AND(Data!#REF!&gt;(TODAY()-(Data_Val!$I$3*365.25)),Data!#REF!&lt;=(TODAY()-(Data_Val!$I$2*365.25))),0,1),1))</f>
        <v>#REF!</v>
      </c>
      <c r="AS274" s="31" t="e">
        <f>IF(Data!#REF!="","",IF(Data!$G274="",1,IF(ISNUMBER(MATCH(Data!#REF!,Data_Val!$D$2:$D$10,0)),0,1)))</f>
        <v>#REF!</v>
      </c>
      <c r="AT274" s="11"/>
      <c r="AU274" s="11" t="e">
        <f ca="1">IF(Data!#REF!="","",IF(ISNUMBER(Data!#REF!),IF(AND(Data!#REF!&gt;(TODAY()-(Data_Val!$I$3*365.25)),Data!#REF!&lt;=(TODAY()-(Data_Val!$I$2*365.25))),0,1),1))</f>
        <v>#REF!</v>
      </c>
      <c r="AV274" s="11" t="e">
        <f>IF(Data!#REF!="","",IF(Data!$G274="",1,IF(ISNUMBER(MATCH(Data!#REF!,Data_Val!$D$2:$D$10,0)),0,1)))</f>
        <v>#REF!</v>
      </c>
      <c r="AW274" s="12"/>
      <c r="AX274" s="26" t="e">
        <f ca="1">IF(Data!#REF!="","",IF(ISNUMBER(Data!#REF!),IF(AND(Data!#REF!&gt;(TODAY()-(Data_Val!$I$3*365.25)),Data!#REF!&lt;=(TODAY()-(Data_Val!$I$2*365.25))),0,1),1))</f>
        <v>#REF!</v>
      </c>
      <c r="AY274" s="12" t="e">
        <f>IF(Data!#REF!="","",IF(Data!$G274="",1,IF(ISNUMBER(MATCH(Data!#REF!,Data_Val!$D$2:$D$10,0)),0,1)))</f>
        <v>#REF!</v>
      </c>
      <c r="AZ274" s="11"/>
      <c r="BA274" s="19" t="e">
        <f ca="1">IF(Data!#REF!="","",IF(ISNUMBER(Data!#REF!),IF(AND(Data!#REF!&gt;(TODAY()-(Data_Val!$M$3*365.25)),Data!#REF!&lt;=(TODAY()-(Data_Val!$M$2*365.25))),0,1),1))</f>
        <v>#REF!</v>
      </c>
      <c r="BB274" s="11" t="e">
        <f>IF(Data!#REF!="","",IF(Data!$G274="",1,IF(ISNUMBER(MATCH(Data!#REF!,Data_Val!$D$2:$D$10,0)),0,1)))</f>
        <v>#REF!</v>
      </c>
      <c r="BC274" s="12"/>
      <c r="BD274" s="20" t="e">
        <f ca="1">IF(Data!#REF!="","",IF(ISNUMBER(Data!#REF!),IF(AND(Data!#REF!&gt;(TODAY()-(Data_Val!$M$3*365.25)),Data!#REF!&lt;=(TODAY()-(Data_Val!$M$2*365.25))),0,1),1))</f>
        <v>#REF!</v>
      </c>
      <c r="BE274" s="12" t="e">
        <f>IF(Data!#REF!="","",IF(Data!$G274="",1,IF(ISNUMBER(MATCH(Data!#REF!,Data_Val!$D$2:$D$10,0)),0,1)))</f>
        <v>#REF!</v>
      </c>
      <c r="BF274" s="17"/>
      <c r="BG274" s="18" t="e">
        <f ca="1">IF(Data!#REF!="","",IF(ISNUMBER(Data!#REF!),IF(AND(Data!#REF!&gt;(TODAY()-(Data_Val!$M$3*365.25)),Data!#REF!&lt;=(TODAY()-(Data_Val!$M$2*365.25))),0,1),1))</f>
        <v>#REF!</v>
      </c>
      <c r="BH274" s="29" t="e">
        <f>IF(Data!#REF!="","",IF(Data!$G274="",1,IF(ISNUMBER(MATCH(Data!#REF!,Data_Val!$D$2:$D$10,0)),0,1)))</f>
        <v>#REF!</v>
      </c>
      <c r="BI274" s="13"/>
      <c r="BJ274" s="21" t="e">
        <f ca="1">IF(Data!#REF!="","",IF(ISNUMBER(Data!#REF!),IF(AND(Data!#REF!&gt;(TODAY()-(Data_Val!$M$3*365.25)),Data!#REF!&lt;=(TODAY()-(Data_Val!$M$2*365.25))),0,1),1))</f>
        <v>#REF!</v>
      </c>
      <c r="BK274" s="13" t="e">
        <f>IF(Data!#REF!="","",IF(Data!$G274="",1,IF(ISNUMBER(MATCH(Data!#REF!,Data_Val!$D$2:$D$10,0)),0,1)))</f>
        <v>#REF!</v>
      </c>
    </row>
    <row r="275" spans="1:63" x14ac:dyDescent="0.25">
      <c r="A275" s="9" t="str">
        <f>IF(Data!B275="","",IF(COUNTIFS(Data!A$1:'Data'!A275,Data!A275)&lt;=1,0,1))</f>
        <v/>
      </c>
      <c r="B275" s="9"/>
      <c r="C275" s="23" t="str">
        <f>IF(Data!C275="","",(IF(ISNUMBER(MATCH("*@*.?*",Data!C275,0)),0,1)+IF(COUNTIFS(Data!C$1:'Data'!C275,Data!C275)&gt;1,1,0)))</f>
        <v/>
      </c>
      <c r="D275" s="9" t="str">
        <f>IF(Data!B275="","",IF(ISNUMBER(Data!D275),IF(AND(Data!D275&gt;999999999,Data!D275&lt;=9999999999),IF(COUNTIFS(Data!D$1:'Data'!D275,Data!D275)&lt;=1,0,1),1),1))</f>
        <v/>
      </c>
      <c r="E275" s="9" t="str">
        <f>IF(Data!B275="","",IF(ISNUMBER(MATCH(Data!E275,Data_Val!$A$2:$A$3,0)),0,1))</f>
        <v/>
      </c>
      <c r="F275" s="9" t="str">
        <f ca="1">IF(Data!B275="","",IF(ISNUMBER(Data!F275),IF(AND(Data!F275&gt;(TODAY()-(Data_Val!$H$3*365.25)),Data!F275&lt;=(TODAY()-(Data_Val!$H$2*365.25))),0,1),1))</f>
        <v/>
      </c>
      <c r="G275" s="15" t="str">
        <f>IF(Data!B275="","",IF(AND(Data!G275="",Data!H275&lt;&gt;""),1,IF(Data!#REF!&lt;&gt;"",0,IF(ISNUMBER(MATCH(Data!G275,Data_Val!$C$2:$C$5,0)),0,1))))</f>
        <v/>
      </c>
      <c r="H275" s="15" t="str">
        <f>IF(Data!B275="","",IF(AND(Data!G275&lt;&gt;"",Data!H275=""),1,IF(Data!#REF!&lt;&gt;"",0,IF(Data!G275="",1,IF(ISNUMBER(MATCH(Data!H275,Data_Val!$D$2:$D$35,0)),0,1)))))</f>
        <v/>
      </c>
      <c r="I275" s="15" t="str">
        <f>IF(Data!B275="","",IF(Data!G275&lt;&gt;"",0,IF(ISNUMBER(MATCH(Data!#REF!,Data_Val!$E$2:$E$12,0)),0,1)))</f>
        <v/>
      </c>
      <c r="J275" s="16" t="e">
        <f>IF(OR(Data!B275="",Data!#REF!=""),"",IF(Data!#REF!="",1,0))</f>
        <v>#REF!</v>
      </c>
      <c r="K275" s="16" t="e">
        <f>IF(OR(Data!B275="",Data!#REF!=""),"",IF(Data!#REF!="",1,0))</f>
        <v>#REF!</v>
      </c>
      <c r="L275" s="16" t="e">
        <f>IF(OR(Data!B275="",Data!#REF!=""),"",IF(ISNUMBER(Data!#REF!),IF(AND(Data!#REF!&gt;Data_Val!$G$2,Data!#REF!&lt;=Data_Val!$G$3),0,1),1))</f>
        <v>#REF!</v>
      </c>
      <c r="M275" s="9" t="e">
        <f>IF(OR(Data!B275="",Data!#REF!=""),"",IF(ISNUMBER(MATCH(Data!#REF!,Data_Val!$F$1:$F$38,0)),0,1))</f>
        <v>#REF!</v>
      </c>
      <c r="N275" s="9" t="e">
        <f>IF(OR(Data!B275="",Data!#REF!=""),"",IF(Data!#REF!="",1,0))</f>
        <v>#REF!</v>
      </c>
      <c r="O275" s="17" t="e">
        <f>IF(Data!#REF!="","",IF(Data!#REF!="",1,0))</f>
        <v>#REF!</v>
      </c>
      <c r="P275" s="17" t="e">
        <f>IF(Data!#REF!="","",IF(ISNUMBER(MATCH(Data!#REF!,Data_Val!$A$2:$A$3,0)),0,1))</f>
        <v>#REF!</v>
      </c>
      <c r="Q275" s="25" t="e">
        <f ca="1">IF(Data!#REF!="","",IF(ISNUMBER(Data!#REF!),IF(AND(Data!#REF!&gt;(TODAY()-(Data_Val!$J$3*365.25)),Data!#REF!&lt;=(TODAY()-(Data_Val!$J$2*365.25))),0,1),1))</f>
        <v>#REF!</v>
      </c>
      <c r="R275" s="17" t="e">
        <f>IF(Data!#REF!="","",IF(ISNUMBER(MATCH(Data!#REF!,Data_Val!$B$2:$B$15,0)),0,1))</f>
        <v>#REF!</v>
      </c>
      <c r="S275" s="11" t="str">
        <f>IF(Data!G275="","",IF(Data!G275=Data_Val!$C$2,IF(Data!M275="",0,1),0))</f>
        <v/>
      </c>
      <c r="T275" s="11" t="str">
        <f>IF(Data!M275="","",IF(ISNUMBER(MATCH(Data!N275,Data_Val!$A$2:$A$3,0)),0,1))</f>
        <v/>
      </c>
      <c r="U275" s="11" t="str">
        <f ca="1">IF(Data!M275="","",IF(ISNUMBER(Data!O275),IF(AND(Data!O275&gt;(TODAY()-(Data_Val!$K$3*365.25)),Data!O275&lt;=(TODAY()-(Data_Val!$K$2*365.25))),0,1),1))</f>
        <v/>
      </c>
      <c r="V275" s="12" t="str">
        <f>IF(Data!G275="","",IF(Data!G275=Data_Val!$C$2,IF(Data!P275="",0,1),0))</f>
        <v/>
      </c>
      <c r="W275" s="12" t="str">
        <f>IF(Data!P275="","",IF(ISNUMBER(MATCH(Data!Q275,Data_Val!$A$2:$A$3,0)),0,1))</f>
        <v/>
      </c>
      <c r="X275" s="26" t="str">
        <f ca="1">IF(Data!P275="","",IF(ISNUMBER(Data!R275),IF(AND(Data!R275&gt;(TODAY()-(Data_Val!$L$3*365.25)),Data!R275&lt;=(TODAY()-(Data_Val!$L$2*365.25))),0,1),1))</f>
        <v/>
      </c>
      <c r="Y275" s="13" t="str">
        <f>IF(Data!$G275="","",IF(Data!$G275=Data_Val!$C$2,IF(Data!S275="",0,1),0))</f>
        <v/>
      </c>
      <c r="Z275" s="13" t="str">
        <f>IF(Data!S275="","",IF(ISNUMBER(MATCH(Data!T275,Data_Val!$A$2:$A$3,0)),0,1))</f>
        <v/>
      </c>
      <c r="AA275" s="28" t="str">
        <f ca="1">IF(Data!S275="","",IF(ISNUMBER(Data!U275),IF(AND(Data!U275&gt;(TODAY()-(Data_Val!$L$3*365.25)),Data!U275&lt;=(TODAY()-(Data_Val!$L$2*365.25))),0,1),1))</f>
        <v/>
      </c>
      <c r="AB275" s="11"/>
      <c r="AC275" s="11" t="e">
        <f>IF(Data!#REF!="","",IF(ISNUMBER(MATCH(Data!#REF!,Data_Val!$A$2:$A$3,0)),0,1))</f>
        <v>#REF!</v>
      </c>
      <c r="AD275" s="11" t="e">
        <f ca="1">IF(Data!#REF!="","",IF(ISNUMBER(Data!#REF!),IF(AND(Data!#REF!&gt;(TODAY()-(Data_Val!$L$3*365.25)),Data!#REF!&lt;=(TODAY()-(Data_Val!$L$2*365.25))),0,1),1))</f>
        <v>#REF!</v>
      </c>
      <c r="AE275" s="11" t="e">
        <f>IF(Data!#REF!="","",IF(Data!$G275="",1,IF(ISNUMBER(MATCH(Data!#REF!,Data_Val!$D$2:$D$10,0)),0,1)))</f>
        <v>#REF!</v>
      </c>
      <c r="AF275" s="12"/>
      <c r="AG275" s="12" t="e">
        <f>IF(Data!#REF!="","",IF(ISNUMBER(MATCH(Data!#REF!,Data_Val!$A$2:$A$3,0)),0,1))</f>
        <v>#REF!</v>
      </c>
      <c r="AH275" s="26" t="e">
        <f ca="1">IF(Data!#REF!="","",IF(ISNUMBER(Data!#REF!),IF(AND(Data!#REF!&gt;(TODAY()-(Data_Val!$L$3*365.25)),Data!#REF!&lt;=(TODAY()-(Data_Val!$L$2*365.25))),0,1),1))</f>
        <v>#REF!</v>
      </c>
      <c r="AI275" s="12" t="e">
        <f>IF(Data!#REF!="","",IF(Data!$G275="",1,IF(ISNUMBER(MATCH(Data!#REF!,Data_Val!$D$2:$D$10,0)),0,1)))</f>
        <v>#REF!</v>
      </c>
      <c r="AJ275" s="17"/>
      <c r="AK275" s="17" t="e">
        <f>IF(Data!#REF!="","",IF(ISNUMBER(MATCH(Data!#REF!,Data_Val!$A$2:$A$3,0)),0,1))</f>
        <v>#REF!</v>
      </c>
      <c r="AL275" s="25" t="e">
        <f ca="1">IF(Data!#REF!="","",IF(ISNUMBER(Data!#REF!),IF(AND(Data!#REF!&gt;(TODAY()-(Data_Val!$L$3*365.25)),Data!#REF!&lt;=(TODAY()-(Data_Val!$L$2*365.25))),0,1),1))</f>
        <v>#REF!</v>
      </c>
      <c r="AM275" s="17" t="e">
        <f>IF(Data!#REF!="","",IF(Data!$G275="",1,IF(ISNUMBER(MATCH(Data!#REF!,Data_Val!$D$2:$D$10,0)),0,1)))</f>
        <v>#REF!</v>
      </c>
      <c r="AN275" s="13"/>
      <c r="AO275" s="28" t="e">
        <f ca="1">IF(Data!#REF!="","",IF(ISNUMBER(Data!#REF!),IF(AND(Data!#REF!&gt;(TODAY()-(Data_Val!$I$3*365.25)),Data!#REF!&lt;=(TODAY()-(Data_Val!$I$2*365.25))),0,1),1))</f>
        <v>#REF!</v>
      </c>
      <c r="AP275" s="13" t="e">
        <f>IF(Data!#REF!="","",IF(Data!$G275="",1,IF(ISNUMBER(MATCH(Data!#REF!,Data_Val!$D$2:$D$10,0)),0,1)))</f>
        <v>#REF!</v>
      </c>
      <c r="AQ275" s="17"/>
      <c r="AR275" s="30" t="e">
        <f ca="1">IF(Data!#REF!="","",IF(ISNUMBER(Data!#REF!),IF(AND(Data!#REF!&gt;(TODAY()-(Data_Val!$I$3*365.25)),Data!#REF!&lt;=(TODAY()-(Data_Val!$I$2*365.25))),0,1),1))</f>
        <v>#REF!</v>
      </c>
      <c r="AS275" s="31" t="e">
        <f>IF(Data!#REF!="","",IF(Data!$G275="",1,IF(ISNUMBER(MATCH(Data!#REF!,Data_Val!$D$2:$D$10,0)),0,1)))</f>
        <v>#REF!</v>
      </c>
      <c r="AT275" s="11"/>
      <c r="AU275" s="11" t="e">
        <f ca="1">IF(Data!#REF!="","",IF(ISNUMBER(Data!#REF!),IF(AND(Data!#REF!&gt;(TODAY()-(Data_Val!$I$3*365.25)),Data!#REF!&lt;=(TODAY()-(Data_Val!$I$2*365.25))),0,1),1))</f>
        <v>#REF!</v>
      </c>
      <c r="AV275" s="11" t="e">
        <f>IF(Data!#REF!="","",IF(Data!$G275="",1,IF(ISNUMBER(MATCH(Data!#REF!,Data_Val!$D$2:$D$10,0)),0,1)))</f>
        <v>#REF!</v>
      </c>
      <c r="AW275" s="12"/>
      <c r="AX275" s="26" t="e">
        <f ca="1">IF(Data!#REF!="","",IF(ISNUMBER(Data!#REF!),IF(AND(Data!#REF!&gt;(TODAY()-(Data_Val!$I$3*365.25)),Data!#REF!&lt;=(TODAY()-(Data_Val!$I$2*365.25))),0,1),1))</f>
        <v>#REF!</v>
      </c>
      <c r="AY275" s="12" t="e">
        <f>IF(Data!#REF!="","",IF(Data!$G275="",1,IF(ISNUMBER(MATCH(Data!#REF!,Data_Val!$D$2:$D$10,0)),0,1)))</f>
        <v>#REF!</v>
      </c>
      <c r="AZ275" s="11"/>
      <c r="BA275" s="19" t="e">
        <f ca="1">IF(Data!#REF!="","",IF(ISNUMBER(Data!#REF!),IF(AND(Data!#REF!&gt;(TODAY()-(Data_Val!$M$3*365.25)),Data!#REF!&lt;=(TODAY()-(Data_Val!$M$2*365.25))),0,1),1))</f>
        <v>#REF!</v>
      </c>
      <c r="BB275" s="11" t="e">
        <f>IF(Data!#REF!="","",IF(Data!$G275="",1,IF(ISNUMBER(MATCH(Data!#REF!,Data_Val!$D$2:$D$10,0)),0,1)))</f>
        <v>#REF!</v>
      </c>
      <c r="BC275" s="12"/>
      <c r="BD275" s="20" t="e">
        <f ca="1">IF(Data!#REF!="","",IF(ISNUMBER(Data!#REF!),IF(AND(Data!#REF!&gt;(TODAY()-(Data_Val!$M$3*365.25)),Data!#REF!&lt;=(TODAY()-(Data_Val!$M$2*365.25))),0,1),1))</f>
        <v>#REF!</v>
      </c>
      <c r="BE275" s="12" t="e">
        <f>IF(Data!#REF!="","",IF(Data!$G275="",1,IF(ISNUMBER(MATCH(Data!#REF!,Data_Val!$D$2:$D$10,0)),0,1)))</f>
        <v>#REF!</v>
      </c>
      <c r="BF275" s="17"/>
      <c r="BG275" s="18" t="e">
        <f ca="1">IF(Data!#REF!="","",IF(ISNUMBER(Data!#REF!),IF(AND(Data!#REF!&gt;(TODAY()-(Data_Val!$M$3*365.25)),Data!#REF!&lt;=(TODAY()-(Data_Val!$M$2*365.25))),0,1),1))</f>
        <v>#REF!</v>
      </c>
      <c r="BH275" s="29" t="e">
        <f>IF(Data!#REF!="","",IF(Data!$G275="",1,IF(ISNUMBER(MATCH(Data!#REF!,Data_Val!$D$2:$D$10,0)),0,1)))</f>
        <v>#REF!</v>
      </c>
      <c r="BI275" s="13"/>
      <c r="BJ275" s="21" t="e">
        <f ca="1">IF(Data!#REF!="","",IF(ISNUMBER(Data!#REF!),IF(AND(Data!#REF!&gt;(TODAY()-(Data_Val!$M$3*365.25)),Data!#REF!&lt;=(TODAY()-(Data_Val!$M$2*365.25))),0,1),1))</f>
        <v>#REF!</v>
      </c>
      <c r="BK275" s="13" t="e">
        <f>IF(Data!#REF!="","",IF(Data!$G275="",1,IF(ISNUMBER(MATCH(Data!#REF!,Data_Val!$D$2:$D$10,0)),0,1)))</f>
        <v>#REF!</v>
      </c>
    </row>
    <row r="276" spans="1:63" x14ac:dyDescent="0.25">
      <c r="A276" s="9" t="str">
        <f>IF(Data!B276="","",IF(COUNTIFS(Data!A$1:'Data'!A276,Data!A276)&lt;=1,0,1))</f>
        <v/>
      </c>
      <c r="B276" s="9"/>
      <c r="C276" s="23" t="str">
        <f>IF(Data!C276="","",(IF(ISNUMBER(MATCH("*@*.?*",Data!C276,0)),0,1)+IF(COUNTIFS(Data!C$1:'Data'!C276,Data!C276)&gt;1,1,0)))</f>
        <v/>
      </c>
      <c r="D276" s="9" t="str">
        <f>IF(Data!B276="","",IF(ISNUMBER(Data!D276),IF(AND(Data!D276&gt;999999999,Data!D276&lt;=9999999999),IF(COUNTIFS(Data!D$1:'Data'!D276,Data!D276)&lt;=1,0,1),1),1))</f>
        <v/>
      </c>
      <c r="E276" s="9" t="str">
        <f>IF(Data!B276="","",IF(ISNUMBER(MATCH(Data!E276,Data_Val!$A$2:$A$3,0)),0,1))</f>
        <v/>
      </c>
      <c r="F276" s="9" t="str">
        <f ca="1">IF(Data!B276="","",IF(ISNUMBER(Data!F276),IF(AND(Data!F276&gt;(TODAY()-(Data_Val!$H$3*365.25)),Data!F276&lt;=(TODAY()-(Data_Val!$H$2*365.25))),0,1),1))</f>
        <v/>
      </c>
      <c r="G276" s="15" t="str">
        <f>IF(Data!B276="","",IF(AND(Data!G276="",Data!H276&lt;&gt;""),1,IF(Data!#REF!&lt;&gt;"",0,IF(ISNUMBER(MATCH(Data!G276,Data_Val!$C$2:$C$5,0)),0,1))))</f>
        <v/>
      </c>
      <c r="H276" s="15" t="str">
        <f>IF(Data!B276="","",IF(AND(Data!G276&lt;&gt;"",Data!H276=""),1,IF(Data!#REF!&lt;&gt;"",0,IF(Data!G276="",1,IF(ISNUMBER(MATCH(Data!H276,Data_Val!$D$2:$D$35,0)),0,1)))))</f>
        <v/>
      </c>
      <c r="I276" s="15" t="str">
        <f>IF(Data!B276="","",IF(Data!G276&lt;&gt;"",0,IF(ISNUMBER(MATCH(Data!#REF!,Data_Val!$E$2:$E$12,0)),0,1)))</f>
        <v/>
      </c>
      <c r="J276" s="16" t="e">
        <f>IF(OR(Data!B276="",Data!#REF!=""),"",IF(Data!#REF!="",1,0))</f>
        <v>#REF!</v>
      </c>
      <c r="K276" s="16" t="e">
        <f>IF(OR(Data!B276="",Data!#REF!=""),"",IF(Data!#REF!="",1,0))</f>
        <v>#REF!</v>
      </c>
      <c r="L276" s="16" t="e">
        <f>IF(OR(Data!B276="",Data!#REF!=""),"",IF(ISNUMBER(Data!#REF!),IF(AND(Data!#REF!&gt;Data_Val!$G$2,Data!#REF!&lt;=Data_Val!$G$3),0,1),1))</f>
        <v>#REF!</v>
      </c>
      <c r="M276" s="9" t="e">
        <f>IF(OR(Data!B276="",Data!#REF!=""),"",IF(ISNUMBER(MATCH(Data!#REF!,Data_Val!$F$1:$F$38,0)),0,1))</f>
        <v>#REF!</v>
      </c>
      <c r="N276" s="9" t="e">
        <f>IF(OR(Data!B276="",Data!#REF!=""),"",IF(Data!#REF!="",1,0))</f>
        <v>#REF!</v>
      </c>
      <c r="O276" s="17" t="e">
        <f>IF(Data!#REF!="","",IF(Data!#REF!="",1,0))</f>
        <v>#REF!</v>
      </c>
      <c r="P276" s="17" t="e">
        <f>IF(Data!#REF!="","",IF(ISNUMBER(MATCH(Data!#REF!,Data_Val!$A$2:$A$3,0)),0,1))</f>
        <v>#REF!</v>
      </c>
      <c r="Q276" s="25" t="e">
        <f ca="1">IF(Data!#REF!="","",IF(ISNUMBER(Data!#REF!),IF(AND(Data!#REF!&gt;(TODAY()-(Data_Val!$J$3*365.25)),Data!#REF!&lt;=(TODAY()-(Data_Val!$J$2*365.25))),0,1),1))</f>
        <v>#REF!</v>
      </c>
      <c r="R276" s="17" t="e">
        <f>IF(Data!#REF!="","",IF(ISNUMBER(MATCH(Data!#REF!,Data_Val!$B$2:$B$15,0)),0,1))</f>
        <v>#REF!</v>
      </c>
      <c r="S276" s="11" t="str">
        <f>IF(Data!G276="","",IF(Data!G276=Data_Val!$C$2,IF(Data!M276="",0,1),0))</f>
        <v/>
      </c>
      <c r="T276" s="11" t="str">
        <f>IF(Data!M276="","",IF(ISNUMBER(MATCH(Data!N276,Data_Val!$A$2:$A$3,0)),0,1))</f>
        <v/>
      </c>
      <c r="U276" s="11" t="str">
        <f ca="1">IF(Data!M276="","",IF(ISNUMBER(Data!O276),IF(AND(Data!O276&gt;(TODAY()-(Data_Val!$K$3*365.25)),Data!O276&lt;=(TODAY()-(Data_Val!$K$2*365.25))),0,1),1))</f>
        <v/>
      </c>
      <c r="V276" s="12" t="str">
        <f>IF(Data!G276="","",IF(Data!G276=Data_Val!$C$2,IF(Data!P276="",0,1),0))</f>
        <v/>
      </c>
      <c r="W276" s="12" t="str">
        <f>IF(Data!P276="","",IF(ISNUMBER(MATCH(Data!Q276,Data_Val!$A$2:$A$3,0)),0,1))</f>
        <v/>
      </c>
      <c r="X276" s="26" t="str">
        <f ca="1">IF(Data!P276="","",IF(ISNUMBER(Data!R276),IF(AND(Data!R276&gt;(TODAY()-(Data_Val!$L$3*365.25)),Data!R276&lt;=(TODAY()-(Data_Val!$L$2*365.25))),0,1),1))</f>
        <v/>
      </c>
      <c r="Y276" s="13" t="str">
        <f>IF(Data!$G276="","",IF(Data!$G276=Data_Val!$C$2,IF(Data!S276="",0,1),0))</f>
        <v/>
      </c>
      <c r="Z276" s="13" t="str">
        <f>IF(Data!S276="","",IF(ISNUMBER(MATCH(Data!T276,Data_Val!$A$2:$A$3,0)),0,1))</f>
        <v/>
      </c>
      <c r="AA276" s="28" t="str">
        <f ca="1">IF(Data!S276="","",IF(ISNUMBER(Data!U276),IF(AND(Data!U276&gt;(TODAY()-(Data_Val!$L$3*365.25)),Data!U276&lt;=(TODAY()-(Data_Val!$L$2*365.25))),0,1),1))</f>
        <v/>
      </c>
      <c r="AB276" s="11"/>
      <c r="AC276" s="11" t="e">
        <f>IF(Data!#REF!="","",IF(ISNUMBER(MATCH(Data!#REF!,Data_Val!$A$2:$A$3,0)),0,1))</f>
        <v>#REF!</v>
      </c>
      <c r="AD276" s="11" t="e">
        <f ca="1">IF(Data!#REF!="","",IF(ISNUMBER(Data!#REF!),IF(AND(Data!#REF!&gt;(TODAY()-(Data_Val!$L$3*365.25)),Data!#REF!&lt;=(TODAY()-(Data_Val!$L$2*365.25))),0,1),1))</f>
        <v>#REF!</v>
      </c>
      <c r="AE276" s="11" t="e">
        <f>IF(Data!#REF!="","",IF(Data!$G276="",1,IF(ISNUMBER(MATCH(Data!#REF!,Data_Val!$D$2:$D$10,0)),0,1)))</f>
        <v>#REF!</v>
      </c>
      <c r="AF276" s="12"/>
      <c r="AG276" s="12" t="e">
        <f>IF(Data!#REF!="","",IF(ISNUMBER(MATCH(Data!#REF!,Data_Val!$A$2:$A$3,0)),0,1))</f>
        <v>#REF!</v>
      </c>
      <c r="AH276" s="26" t="e">
        <f ca="1">IF(Data!#REF!="","",IF(ISNUMBER(Data!#REF!),IF(AND(Data!#REF!&gt;(TODAY()-(Data_Val!$L$3*365.25)),Data!#REF!&lt;=(TODAY()-(Data_Val!$L$2*365.25))),0,1),1))</f>
        <v>#REF!</v>
      </c>
      <c r="AI276" s="12" t="e">
        <f>IF(Data!#REF!="","",IF(Data!$G276="",1,IF(ISNUMBER(MATCH(Data!#REF!,Data_Val!$D$2:$D$10,0)),0,1)))</f>
        <v>#REF!</v>
      </c>
      <c r="AJ276" s="17"/>
      <c r="AK276" s="17" t="e">
        <f>IF(Data!#REF!="","",IF(ISNUMBER(MATCH(Data!#REF!,Data_Val!$A$2:$A$3,0)),0,1))</f>
        <v>#REF!</v>
      </c>
      <c r="AL276" s="25" t="e">
        <f ca="1">IF(Data!#REF!="","",IF(ISNUMBER(Data!#REF!),IF(AND(Data!#REF!&gt;(TODAY()-(Data_Val!$L$3*365.25)),Data!#REF!&lt;=(TODAY()-(Data_Val!$L$2*365.25))),0,1),1))</f>
        <v>#REF!</v>
      </c>
      <c r="AM276" s="17" t="e">
        <f>IF(Data!#REF!="","",IF(Data!$G276="",1,IF(ISNUMBER(MATCH(Data!#REF!,Data_Val!$D$2:$D$10,0)),0,1)))</f>
        <v>#REF!</v>
      </c>
      <c r="AN276" s="13"/>
      <c r="AO276" s="28" t="e">
        <f ca="1">IF(Data!#REF!="","",IF(ISNUMBER(Data!#REF!),IF(AND(Data!#REF!&gt;(TODAY()-(Data_Val!$I$3*365.25)),Data!#REF!&lt;=(TODAY()-(Data_Val!$I$2*365.25))),0,1),1))</f>
        <v>#REF!</v>
      </c>
      <c r="AP276" s="13" t="e">
        <f>IF(Data!#REF!="","",IF(Data!$G276="",1,IF(ISNUMBER(MATCH(Data!#REF!,Data_Val!$D$2:$D$10,0)),0,1)))</f>
        <v>#REF!</v>
      </c>
      <c r="AQ276" s="17"/>
      <c r="AR276" s="30" t="e">
        <f ca="1">IF(Data!#REF!="","",IF(ISNUMBER(Data!#REF!),IF(AND(Data!#REF!&gt;(TODAY()-(Data_Val!$I$3*365.25)),Data!#REF!&lt;=(TODAY()-(Data_Val!$I$2*365.25))),0,1),1))</f>
        <v>#REF!</v>
      </c>
      <c r="AS276" s="31" t="e">
        <f>IF(Data!#REF!="","",IF(Data!$G276="",1,IF(ISNUMBER(MATCH(Data!#REF!,Data_Val!$D$2:$D$10,0)),0,1)))</f>
        <v>#REF!</v>
      </c>
      <c r="AT276" s="11"/>
      <c r="AU276" s="11" t="e">
        <f ca="1">IF(Data!#REF!="","",IF(ISNUMBER(Data!#REF!),IF(AND(Data!#REF!&gt;(TODAY()-(Data_Val!$I$3*365.25)),Data!#REF!&lt;=(TODAY()-(Data_Val!$I$2*365.25))),0,1),1))</f>
        <v>#REF!</v>
      </c>
      <c r="AV276" s="11" t="e">
        <f>IF(Data!#REF!="","",IF(Data!$G276="",1,IF(ISNUMBER(MATCH(Data!#REF!,Data_Val!$D$2:$D$10,0)),0,1)))</f>
        <v>#REF!</v>
      </c>
      <c r="AW276" s="12"/>
      <c r="AX276" s="26" t="e">
        <f ca="1">IF(Data!#REF!="","",IF(ISNUMBER(Data!#REF!),IF(AND(Data!#REF!&gt;(TODAY()-(Data_Val!$I$3*365.25)),Data!#REF!&lt;=(TODAY()-(Data_Val!$I$2*365.25))),0,1),1))</f>
        <v>#REF!</v>
      </c>
      <c r="AY276" s="12" t="e">
        <f>IF(Data!#REF!="","",IF(Data!$G276="",1,IF(ISNUMBER(MATCH(Data!#REF!,Data_Val!$D$2:$D$10,0)),0,1)))</f>
        <v>#REF!</v>
      </c>
      <c r="AZ276" s="11"/>
      <c r="BA276" s="19" t="e">
        <f ca="1">IF(Data!#REF!="","",IF(ISNUMBER(Data!#REF!),IF(AND(Data!#REF!&gt;(TODAY()-(Data_Val!$M$3*365.25)),Data!#REF!&lt;=(TODAY()-(Data_Val!$M$2*365.25))),0,1),1))</f>
        <v>#REF!</v>
      </c>
      <c r="BB276" s="11" t="e">
        <f>IF(Data!#REF!="","",IF(Data!$G276="",1,IF(ISNUMBER(MATCH(Data!#REF!,Data_Val!$D$2:$D$10,0)),0,1)))</f>
        <v>#REF!</v>
      </c>
      <c r="BC276" s="12"/>
      <c r="BD276" s="20" t="e">
        <f ca="1">IF(Data!#REF!="","",IF(ISNUMBER(Data!#REF!),IF(AND(Data!#REF!&gt;(TODAY()-(Data_Val!$M$3*365.25)),Data!#REF!&lt;=(TODAY()-(Data_Val!$M$2*365.25))),0,1),1))</f>
        <v>#REF!</v>
      </c>
      <c r="BE276" s="12" t="e">
        <f>IF(Data!#REF!="","",IF(Data!$G276="",1,IF(ISNUMBER(MATCH(Data!#REF!,Data_Val!$D$2:$D$10,0)),0,1)))</f>
        <v>#REF!</v>
      </c>
      <c r="BF276" s="17"/>
      <c r="BG276" s="18" t="e">
        <f ca="1">IF(Data!#REF!="","",IF(ISNUMBER(Data!#REF!),IF(AND(Data!#REF!&gt;(TODAY()-(Data_Val!$M$3*365.25)),Data!#REF!&lt;=(TODAY()-(Data_Val!$M$2*365.25))),0,1),1))</f>
        <v>#REF!</v>
      </c>
      <c r="BH276" s="29" t="e">
        <f>IF(Data!#REF!="","",IF(Data!$G276="",1,IF(ISNUMBER(MATCH(Data!#REF!,Data_Val!$D$2:$D$10,0)),0,1)))</f>
        <v>#REF!</v>
      </c>
      <c r="BI276" s="13"/>
      <c r="BJ276" s="21" t="e">
        <f ca="1">IF(Data!#REF!="","",IF(ISNUMBER(Data!#REF!),IF(AND(Data!#REF!&gt;(TODAY()-(Data_Val!$M$3*365.25)),Data!#REF!&lt;=(TODAY()-(Data_Val!$M$2*365.25))),0,1),1))</f>
        <v>#REF!</v>
      </c>
      <c r="BK276" s="13" t="e">
        <f>IF(Data!#REF!="","",IF(Data!$G276="",1,IF(ISNUMBER(MATCH(Data!#REF!,Data_Val!$D$2:$D$10,0)),0,1)))</f>
        <v>#REF!</v>
      </c>
    </row>
    <row r="277" spans="1:63" x14ac:dyDescent="0.25">
      <c r="A277" s="9" t="str">
        <f>IF(Data!B277="","",IF(COUNTIFS(Data!A$1:'Data'!A277,Data!A277)&lt;=1,0,1))</f>
        <v/>
      </c>
      <c r="B277" s="9"/>
      <c r="C277" s="23" t="str">
        <f>IF(Data!C277="","",(IF(ISNUMBER(MATCH("*@*.?*",Data!C277,0)),0,1)+IF(COUNTIFS(Data!C$1:'Data'!C277,Data!C277)&gt;1,1,0)))</f>
        <v/>
      </c>
      <c r="D277" s="9" t="str">
        <f>IF(Data!B277="","",IF(ISNUMBER(Data!D277),IF(AND(Data!D277&gt;999999999,Data!D277&lt;=9999999999),IF(COUNTIFS(Data!D$1:'Data'!D277,Data!D277)&lt;=1,0,1),1),1))</f>
        <v/>
      </c>
      <c r="E277" s="9" t="str">
        <f>IF(Data!B277="","",IF(ISNUMBER(MATCH(Data!E277,Data_Val!$A$2:$A$3,0)),0,1))</f>
        <v/>
      </c>
      <c r="F277" s="9" t="str">
        <f ca="1">IF(Data!B277="","",IF(ISNUMBER(Data!F277),IF(AND(Data!F277&gt;(TODAY()-(Data_Val!$H$3*365.25)),Data!F277&lt;=(TODAY()-(Data_Val!$H$2*365.25))),0,1),1))</f>
        <v/>
      </c>
      <c r="G277" s="15" t="str">
        <f>IF(Data!B277="","",IF(AND(Data!G277="",Data!H277&lt;&gt;""),1,IF(Data!#REF!&lt;&gt;"",0,IF(ISNUMBER(MATCH(Data!G277,Data_Val!$C$2:$C$5,0)),0,1))))</f>
        <v/>
      </c>
      <c r="H277" s="15" t="str">
        <f>IF(Data!B277="","",IF(AND(Data!G277&lt;&gt;"",Data!H277=""),1,IF(Data!#REF!&lt;&gt;"",0,IF(Data!G277="",1,IF(ISNUMBER(MATCH(Data!H277,Data_Val!$D$2:$D$35,0)),0,1)))))</f>
        <v/>
      </c>
      <c r="I277" s="15" t="str">
        <f>IF(Data!B277="","",IF(Data!G277&lt;&gt;"",0,IF(ISNUMBER(MATCH(Data!#REF!,Data_Val!$E$2:$E$12,0)),0,1)))</f>
        <v/>
      </c>
      <c r="J277" s="16" t="e">
        <f>IF(OR(Data!B277="",Data!#REF!=""),"",IF(Data!#REF!="",1,0))</f>
        <v>#REF!</v>
      </c>
      <c r="K277" s="16" t="e">
        <f>IF(OR(Data!B277="",Data!#REF!=""),"",IF(Data!#REF!="",1,0))</f>
        <v>#REF!</v>
      </c>
      <c r="L277" s="16" t="e">
        <f>IF(OR(Data!B277="",Data!#REF!=""),"",IF(ISNUMBER(Data!#REF!),IF(AND(Data!#REF!&gt;Data_Val!$G$2,Data!#REF!&lt;=Data_Val!$G$3),0,1),1))</f>
        <v>#REF!</v>
      </c>
      <c r="M277" s="9" t="e">
        <f>IF(OR(Data!B277="",Data!#REF!=""),"",IF(ISNUMBER(MATCH(Data!#REF!,Data_Val!$F$1:$F$38,0)),0,1))</f>
        <v>#REF!</v>
      </c>
      <c r="N277" s="9" t="e">
        <f>IF(OR(Data!B277="",Data!#REF!=""),"",IF(Data!#REF!="",1,0))</f>
        <v>#REF!</v>
      </c>
      <c r="O277" s="17" t="e">
        <f>IF(Data!#REF!="","",IF(Data!#REF!="",1,0))</f>
        <v>#REF!</v>
      </c>
      <c r="P277" s="17" t="e">
        <f>IF(Data!#REF!="","",IF(ISNUMBER(MATCH(Data!#REF!,Data_Val!$A$2:$A$3,0)),0,1))</f>
        <v>#REF!</v>
      </c>
      <c r="Q277" s="25" t="e">
        <f ca="1">IF(Data!#REF!="","",IF(ISNUMBER(Data!#REF!),IF(AND(Data!#REF!&gt;(TODAY()-(Data_Val!$J$3*365.25)),Data!#REF!&lt;=(TODAY()-(Data_Val!$J$2*365.25))),0,1),1))</f>
        <v>#REF!</v>
      </c>
      <c r="R277" s="17" t="e">
        <f>IF(Data!#REF!="","",IF(ISNUMBER(MATCH(Data!#REF!,Data_Val!$B$2:$B$15,0)),0,1))</f>
        <v>#REF!</v>
      </c>
      <c r="S277" s="11" t="str">
        <f>IF(Data!G277="","",IF(Data!G277=Data_Val!$C$2,IF(Data!M277="",0,1),0))</f>
        <v/>
      </c>
      <c r="T277" s="11" t="str">
        <f>IF(Data!M277="","",IF(ISNUMBER(MATCH(Data!N277,Data_Val!$A$2:$A$3,0)),0,1))</f>
        <v/>
      </c>
      <c r="U277" s="11" t="str">
        <f ca="1">IF(Data!M277="","",IF(ISNUMBER(Data!O277),IF(AND(Data!O277&gt;(TODAY()-(Data_Val!$K$3*365.25)),Data!O277&lt;=(TODAY()-(Data_Val!$K$2*365.25))),0,1),1))</f>
        <v/>
      </c>
      <c r="V277" s="12" t="str">
        <f>IF(Data!G277="","",IF(Data!G277=Data_Val!$C$2,IF(Data!P277="",0,1),0))</f>
        <v/>
      </c>
      <c r="W277" s="12" t="str">
        <f>IF(Data!P277="","",IF(ISNUMBER(MATCH(Data!Q277,Data_Val!$A$2:$A$3,0)),0,1))</f>
        <v/>
      </c>
      <c r="X277" s="26" t="str">
        <f ca="1">IF(Data!P277="","",IF(ISNUMBER(Data!R277),IF(AND(Data!R277&gt;(TODAY()-(Data_Val!$L$3*365.25)),Data!R277&lt;=(TODAY()-(Data_Val!$L$2*365.25))),0,1),1))</f>
        <v/>
      </c>
      <c r="Y277" s="13" t="str">
        <f>IF(Data!$G277="","",IF(Data!$G277=Data_Val!$C$2,IF(Data!S277="",0,1),0))</f>
        <v/>
      </c>
      <c r="Z277" s="13" t="str">
        <f>IF(Data!S277="","",IF(ISNUMBER(MATCH(Data!T277,Data_Val!$A$2:$A$3,0)),0,1))</f>
        <v/>
      </c>
      <c r="AA277" s="28" t="str">
        <f ca="1">IF(Data!S277="","",IF(ISNUMBER(Data!U277),IF(AND(Data!U277&gt;(TODAY()-(Data_Val!$L$3*365.25)),Data!U277&lt;=(TODAY()-(Data_Val!$L$2*365.25))),0,1),1))</f>
        <v/>
      </c>
      <c r="AB277" s="11"/>
      <c r="AC277" s="11" t="e">
        <f>IF(Data!#REF!="","",IF(ISNUMBER(MATCH(Data!#REF!,Data_Val!$A$2:$A$3,0)),0,1))</f>
        <v>#REF!</v>
      </c>
      <c r="AD277" s="11" t="e">
        <f ca="1">IF(Data!#REF!="","",IF(ISNUMBER(Data!#REF!),IF(AND(Data!#REF!&gt;(TODAY()-(Data_Val!$L$3*365.25)),Data!#REF!&lt;=(TODAY()-(Data_Val!$L$2*365.25))),0,1),1))</f>
        <v>#REF!</v>
      </c>
      <c r="AE277" s="11" t="e">
        <f>IF(Data!#REF!="","",IF(Data!$G277="",1,IF(ISNUMBER(MATCH(Data!#REF!,Data_Val!$D$2:$D$10,0)),0,1)))</f>
        <v>#REF!</v>
      </c>
      <c r="AF277" s="12"/>
      <c r="AG277" s="12" t="e">
        <f>IF(Data!#REF!="","",IF(ISNUMBER(MATCH(Data!#REF!,Data_Val!$A$2:$A$3,0)),0,1))</f>
        <v>#REF!</v>
      </c>
      <c r="AH277" s="26" t="e">
        <f ca="1">IF(Data!#REF!="","",IF(ISNUMBER(Data!#REF!),IF(AND(Data!#REF!&gt;(TODAY()-(Data_Val!$L$3*365.25)),Data!#REF!&lt;=(TODAY()-(Data_Val!$L$2*365.25))),0,1),1))</f>
        <v>#REF!</v>
      </c>
      <c r="AI277" s="12" t="e">
        <f>IF(Data!#REF!="","",IF(Data!$G277="",1,IF(ISNUMBER(MATCH(Data!#REF!,Data_Val!$D$2:$D$10,0)),0,1)))</f>
        <v>#REF!</v>
      </c>
      <c r="AJ277" s="17"/>
      <c r="AK277" s="17" t="e">
        <f>IF(Data!#REF!="","",IF(ISNUMBER(MATCH(Data!#REF!,Data_Val!$A$2:$A$3,0)),0,1))</f>
        <v>#REF!</v>
      </c>
      <c r="AL277" s="25" t="e">
        <f ca="1">IF(Data!#REF!="","",IF(ISNUMBER(Data!#REF!),IF(AND(Data!#REF!&gt;(TODAY()-(Data_Val!$L$3*365.25)),Data!#REF!&lt;=(TODAY()-(Data_Val!$L$2*365.25))),0,1),1))</f>
        <v>#REF!</v>
      </c>
      <c r="AM277" s="17" t="e">
        <f>IF(Data!#REF!="","",IF(Data!$G277="",1,IF(ISNUMBER(MATCH(Data!#REF!,Data_Val!$D$2:$D$10,0)),0,1)))</f>
        <v>#REF!</v>
      </c>
      <c r="AN277" s="13"/>
      <c r="AO277" s="28" t="e">
        <f ca="1">IF(Data!#REF!="","",IF(ISNUMBER(Data!#REF!),IF(AND(Data!#REF!&gt;(TODAY()-(Data_Val!$I$3*365.25)),Data!#REF!&lt;=(TODAY()-(Data_Val!$I$2*365.25))),0,1),1))</f>
        <v>#REF!</v>
      </c>
      <c r="AP277" s="13" t="e">
        <f>IF(Data!#REF!="","",IF(Data!$G277="",1,IF(ISNUMBER(MATCH(Data!#REF!,Data_Val!$D$2:$D$10,0)),0,1)))</f>
        <v>#REF!</v>
      </c>
      <c r="AQ277" s="17"/>
      <c r="AR277" s="30" t="e">
        <f ca="1">IF(Data!#REF!="","",IF(ISNUMBER(Data!#REF!),IF(AND(Data!#REF!&gt;(TODAY()-(Data_Val!$I$3*365.25)),Data!#REF!&lt;=(TODAY()-(Data_Val!$I$2*365.25))),0,1),1))</f>
        <v>#REF!</v>
      </c>
      <c r="AS277" s="31" t="e">
        <f>IF(Data!#REF!="","",IF(Data!$G277="",1,IF(ISNUMBER(MATCH(Data!#REF!,Data_Val!$D$2:$D$10,0)),0,1)))</f>
        <v>#REF!</v>
      </c>
      <c r="AT277" s="11"/>
      <c r="AU277" s="11" t="e">
        <f ca="1">IF(Data!#REF!="","",IF(ISNUMBER(Data!#REF!),IF(AND(Data!#REF!&gt;(TODAY()-(Data_Val!$I$3*365.25)),Data!#REF!&lt;=(TODAY()-(Data_Val!$I$2*365.25))),0,1),1))</f>
        <v>#REF!</v>
      </c>
      <c r="AV277" s="11" t="e">
        <f>IF(Data!#REF!="","",IF(Data!$G277="",1,IF(ISNUMBER(MATCH(Data!#REF!,Data_Val!$D$2:$D$10,0)),0,1)))</f>
        <v>#REF!</v>
      </c>
      <c r="AW277" s="12"/>
      <c r="AX277" s="26" t="e">
        <f ca="1">IF(Data!#REF!="","",IF(ISNUMBER(Data!#REF!),IF(AND(Data!#REF!&gt;(TODAY()-(Data_Val!$I$3*365.25)),Data!#REF!&lt;=(TODAY()-(Data_Val!$I$2*365.25))),0,1),1))</f>
        <v>#REF!</v>
      </c>
      <c r="AY277" s="12" t="e">
        <f>IF(Data!#REF!="","",IF(Data!$G277="",1,IF(ISNUMBER(MATCH(Data!#REF!,Data_Val!$D$2:$D$10,0)),0,1)))</f>
        <v>#REF!</v>
      </c>
      <c r="AZ277" s="11"/>
      <c r="BA277" s="19" t="e">
        <f ca="1">IF(Data!#REF!="","",IF(ISNUMBER(Data!#REF!),IF(AND(Data!#REF!&gt;(TODAY()-(Data_Val!$M$3*365.25)),Data!#REF!&lt;=(TODAY()-(Data_Val!$M$2*365.25))),0,1),1))</f>
        <v>#REF!</v>
      </c>
      <c r="BB277" s="11" t="e">
        <f>IF(Data!#REF!="","",IF(Data!$G277="",1,IF(ISNUMBER(MATCH(Data!#REF!,Data_Val!$D$2:$D$10,0)),0,1)))</f>
        <v>#REF!</v>
      </c>
      <c r="BC277" s="12"/>
      <c r="BD277" s="20" t="e">
        <f ca="1">IF(Data!#REF!="","",IF(ISNUMBER(Data!#REF!),IF(AND(Data!#REF!&gt;(TODAY()-(Data_Val!$M$3*365.25)),Data!#REF!&lt;=(TODAY()-(Data_Val!$M$2*365.25))),0,1),1))</f>
        <v>#REF!</v>
      </c>
      <c r="BE277" s="12" t="e">
        <f>IF(Data!#REF!="","",IF(Data!$G277="",1,IF(ISNUMBER(MATCH(Data!#REF!,Data_Val!$D$2:$D$10,0)),0,1)))</f>
        <v>#REF!</v>
      </c>
      <c r="BF277" s="17"/>
      <c r="BG277" s="18" t="e">
        <f ca="1">IF(Data!#REF!="","",IF(ISNUMBER(Data!#REF!),IF(AND(Data!#REF!&gt;(TODAY()-(Data_Val!$M$3*365.25)),Data!#REF!&lt;=(TODAY()-(Data_Val!$M$2*365.25))),0,1),1))</f>
        <v>#REF!</v>
      </c>
      <c r="BH277" s="29" t="e">
        <f>IF(Data!#REF!="","",IF(Data!$G277="",1,IF(ISNUMBER(MATCH(Data!#REF!,Data_Val!$D$2:$D$10,0)),0,1)))</f>
        <v>#REF!</v>
      </c>
      <c r="BI277" s="13"/>
      <c r="BJ277" s="21" t="e">
        <f ca="1">IF(Data!#REF!="","",IF(ISNUMBER(Data!#REF!),IF(AND(Data!#REF!&gt;(TODAY()-(Data_Val!$M$3*365.25)),Data!#REF!&lt;=(TODAY()-(Data_Val!$M$2*365.25))),0,1),1))</f>
        <v>#REF!</v>
      </c>
      <c r="BK277" s="13" t="e">
        <f>IF(Data!#REF!="","",IF(Data!$G277="",1,IF(ISNUMBER(MATCH(Data!#REF!,Data_Val!$D$2:$D$10,0)),0,1)))</f>
        <v>#REF!</v>
      </c>
    </row>
    <row r="278" spans="1:63" x14ac:dyDescent="0.25">
      <c r="A278" s="9" t="str">
        <f>IF(Data!B278="","",IF(COUNTIFS(Data!A$1:'Data'!A278,Data!A278)&lt;=1,0,1))</f>
        <v/>
      </c>
      <c r="B278" s="9"/>
      <c r="C278" s="23" t="str">
        <f>IF(Data!C278="","",(IF(ISNUMBER(MATCH("*@*.?*",Data!C278,0)),0,1)+IF(COUNTIFS(Data!C$1:'Data'!C278,Data!C278)&gt;1,1,0)))</f>
        <v/>
      </c>
      <c r="D278" s="9" t="str">
        <f>IF(Data!B278="","",IF(ISNUMBER(Data!D278),IF(AND(Data!D278&gt;999999999,Data!D278&lt;=9999999999),IF(COUNTIFS(Data!D$1:'Data'!D278,Data!D278)&lt;=1,0,1),1),1))</f>
        <v/>
      </c>
      <c r="E278" s="9" t="str">
        <f>IF(Data!B278="","",IF(ISNUMBER(MATCH(Data!E278,Data_Val!$A$2:$A$3,0)),0,1))</f>
        <v/>
      </c>
      <c r="F278" s="9" t="str">
        <f ca="1">IF(Data!B278="","",IF(ISNUMBER(Data!F278),IF(AND(Data!F278&gt;(TODAY()-(Data_Val!$H$3*365.25)),Data!F278&lt;=(TODAY()-(Data_Val!$H$2*365.25))),0,1),1))</f>
        <v/>
      </c>
      <c r="G278" s="15" t="str">
        <f>IF(Data!B278="","",IF(AND(Data!G278="",Data!H278&lt;&gt;""),1,IF(Data!#REF!&lt;&gt;"",0,IF(ISNUMBER(MATCH(Data!G278,Data_Val!$C$2:$C$5,0)),0,1))))</f>
        <v/>
      </c>
      <c r="H278" s="15" t="str">
        <f>IF(Data!B278="","",IF(AND(Data!G278&lt;&gt;"",Data!H278=""),1,IF(Data!#REF!&lt;&gt;"",0,IF(Data!G278="",1,IF(ISNUMBER(MATCH(Data!H278,Data_Val!$D$2:$D$35,0)),0,1)))))</f>
        <v/>
      </c>
      <c r="I278" s="15" t="str">
        <f>IF(Data!B278="","",IF(Data!G278&lt;&gt;"",0,IF(ISNUMBER(MATCH(Data!#REF!,Data_Val!$E$2:$E$12,0)),0,1)))</f>
        <v/>
      </c>
      <c r="J278" s="16" t="e">
        <f>IF(OR(Data!B278="",Data!#REF!=""),"",IF(Data!#REF!="",1,0))</f>
        <v>#REF!</v>
      </c>
      <c r="K278" s="16" t="e">
        <f>IF(OR(Data!B278="",Data!#REF!=""),"",IF(Data!#REF!="",1,0))</f>
        <v>#REF!</v>
      </c>
      <c r="L278" s="16" t="e">
        <f>IF(OR(Data!B278="",Data!#REF!=""),"",IF(ISNUMBER(Data!#REF!),IF(AND(Data!#REF!&gt;Data_Val!$G$2,Data!#REF!&lt;=Data_Val!$G$3),0,1),1))</f>
        <v>#REF!</v>
      </c>
      <c r="M278" s="9" t="e">
        <f>IF(OR(Data!B278="",Data!#REF!=""),"",IF(ISNUMBER(MATCH(Data!#REF!,Data_Val!$F$1:$F$38,0)),0,1))</f>
        <v>#REF!</v>
      </c>
      <c r="N278" s="9" t="e">
        <f>IF(OR(Data!B278="",Data!#REF!=""),"",IF(Data!#REF!="",1,0))</f>
        <v>#REF!</v>
      </c>
      <c r="O278" s="17" t="e">
        <f>IF(Data!#REF!="","",IF(Data!#REF!="",1,0))</f>
        <v>#REF!</v>
      </c>
      <c r="P278" s="17" t="e">
        <f>IF(Data!#REF!="","",IF(ISNUMBER(MATCH(Data!#REF!,Data_Val!$A$2:$A$3,0)),0,1))</f>
        <v>#REF!</v>
      </c>
      <c r="Q278" s="25" t="e">
        <f ca="1">IF(Data!#REF!="","",IF(ISNUMBER(Data!#REF!),IF(AND(Data!#REF!&gt;(TODAY()-(Data_Val!$J$3*365.25)),Data!#REF!&lt;=(TODAY()-(Data_Val!$J$2*365.25))),0,1),1))</f>
        <v>#REF!</v>
      </c>
      <c r="R278" s="17" t="e">
        <f>IF(Data!#REF!="","",IF(ISNUMBER(MATCH(Data!#REF!,Data_Val!$B$2:$B$15,0)),0,1))</f>
        <v>#REF!</v>
      </c>
      <c r="S278" s="11" t="str">
        <f>IF(Data!G278="","",IF(Data!G278=Data_Val!$C$2,IF(Data!M278="",0,1),0))</f>
        <v/>
      </c>
      <c r="T278" s="11" t="str">
        <f>IF(Data!M278="","",IF(ISNUMBER(MATCH(Data!N278,Data_Val!$A$2:$A$3,0)),0,1))</f>
        <v/>
      </c>
      <c r="U278" s="11" t="str">
        <f ca="1">IF(Data!M278="","",IF(ISNUMBER(Data!O278),IF(AND(Data!O278&gt;(TODAY()-(Data_Val!$K$3*365.25)),Data!O278&lt;=(TODAY()-(Data_Val!$K$2*365.25))),0,1),1))</f>
        <v/>
      </c>
      <c r="V278" s="12" t="str">
        <f>IF(Data!G278="","",IF(Data!G278=Data_Val!$C$2,IF(Data!P278="",0,1),0))</f>
        <v/>
      </c>
      <c r="W278" s="12" t="str">
        <f>IF(Data!P278="","",IF(ISNUMBER(MATCH(Data!Q278,Data_Val!$A$2:$A$3,0)),0,1))</f>
        <v/>
      </c>
      <c r="X278" s="26" t="str">
        <f ca="1">IF(Data!P278="","",IF(ISNUMBER(Data!R278),IF(AND(Data!R278&gt;(TODAY()-(Data_Val!$L$3*365.25)),Data!R278&lt;=(TODAY()-(Data_Val!$L$2*365.25))),0,1),1))</f>
        <v/>
      </c>
      <c r="Y278" s="13" t="str">
        <f>IF(Data!$G278="","",IF(Data!$G278=Data_Val!$C$2,IF(Data!S278="",0,1),0))</f>
        <v/>
      </c>
      <c r="Z278" s="13" t="str">
        <f>IF(Data!S278="","",IF(ISNUMBER(MATCH(Data!T278,Data_Val!$A$2:$A$3,0)),0,1))</f>
        <v/>
      </c>
      <c r="AA278" s="28" t="str">
        <f ca="1">IF(Data!S278="","",IF(ISNUMBER(Data!U278),IF(AND(Data!U278&gt;(TODAY()-(Data_Val!$L$3*365.25)),Data!U278&lt;=(TODAY()-(Data_Val!$L$2*365.25))),0,1),1))</f>
        <v/>
      </c>
      <c r="AB278" s="11"/>
      <c r="AC278" s="11" t="e">
        <f>IF(Data!#REF!="","",IF(ISNUMBER(MATCH(Data!#REF!,Data_Val!$A$2:$A$3,0)),0,1))</f>
        <v>#REF!</v>
      </c>
      <c r="AD278" s="11" t="e">
        <f ca="1">IF(Data!#REF!="","",IF(ISNUMBER(Data!#REF!),IF(AND(Data!#REF!&gt;(TODAY()-(Data_Val!$L$3*365.25)),Data!#REF!&lt;=(TODAY()-(Data_Val!$L$2*365.25))),0,1),1))</f>
        <v>#REF!</v>
      </c>
      <c r="AE278" s="11" t="e">
        <f>IF(Data!#REF!="","",IF(Data!$G278="",1,IF(ISNUMBER(MATCH(Data!#REF!,Data_Val!$D$2:$D$10,0)),0,1)))</f>
        <v>#REF!</v>
      </c>
      <c r="AF278" s="12"/>
      <c r="AG278" s="12" t="e">
        <f>IF(Data!#REF!="","",IF(ISNUMBER(MATCH(Data!#REF!,Data_Val!$A$2:$A$3,0)),0,1))</f>
        <v>#REF!</v>
      </c>
      <c r="AH278" s="26" t="e">
        <f ca="1">IF(Data!#REF!="","",IF(ISNUMBER(Data!#REF!),IF(AND(Data!#REF!&gt;(TODAY()-(Data_Val!$L$3*365.25)),Data!#REF!&lt;=(TODAY()-(Data_Val!$L$2*365.25))),0,1),1))</f>
        <v>#REF!</v>
      </c>
      <c r="AI278" s="12" t="e">
        <f>IF(Data!#REF!="","",IF(Data!$G278="",1,IF(ISNUMBER(MATCH(Data!#REF!,Data_Val!$D$2:$D$10,0)),0,1)))</f>
        <v>#REF!</v>
      </c>
      <c r="AJ278" s="17"/>
      <c r="AK278" s="17" t="e">
        <f>IF(Data!#REF!="","",IF(ISNUMBER(MATCH(Data!#REF!,Data_Val!$A$2:$A$3,0)),0,1))</f>
        <v>#REF!</v>
      </c>
      <c r="AL278" s="25" t="e">
        <f ca="1">IF(Data!#REF!="","",IF(ISNUMBER(Data!#REF!),IF(AND(Data!#REF!&gt;(TODAY()-(Data_Val!$L$3*365.25)),Data!#REF!&lt;=(TODAY()-(Data_Val!$L$2*365.25))),0,1),1))</f>
        <v>#REF!</v>
      </c>
      <c r="AM278" s="17" t="e">
        <f>IF(Data!#REF!="","",IF(Data!$G278="",1,IF(ISNUMBER(MATCH(Data!#REF!,Data_Val!$D$2:$D$10,0)),0,1)))</f>
        <v>#REF!</v>
      </c>
      <c r="AN278" s="13"/>
      <c r="AO278" s="28" t="e">
        <f ca="1">IF(Data!#REF!="","",IF(ISNUMBER(Data!#REF!),IF(AND(Data!#REF!&gt;(TODAY()-(Data_Val!$I$3*365.25)),Data!#REF!&lt;=(TODAY()-(Data_Val!$I$2*365.25))),0,1),1))</f>
        <v>#REF!</v>
      </c>
      <c r="AP278" s="13" t="e">
        <f>IF(Data!#REF!="","",IF(Data!$G278="",1,IF(ISNUMBER(MATCH(Data!#REF!,Data_Val!$D$2:$D$10,0)),0,1)))</f>
        <v>#REF!</v>
      </c>
      <c r="AQ278" s="17"/>
      <c r="AR278" s="30" t="e">
        <f ca="1">IF(Data!#REF!="","",IF(ISNUMBER(Data!#REF!),IF(AND(Data!#REF!&gt;(TODAY()-(Data_Val!$I$3*365.25)),Data!#REF!&lt;=(TODAY()-(Data_Val!$I$2*365.25))),0,1),1))</f>
        <v>#REF!</v>
      </c>
      <c r="AS278" s="31" t="e">
        <f>IF(Data!#REF!="","",IF(Data!$G278="",1,IF(ISNUMBER(MATCH(Data!#REF!,Data_Val!$D$2:$D$10,0)),0,1)))</f>
        <v>#REF!</v>
      </c>
      <c r="AT278" s="11"/>
      <c r="AU278" s="11" t="e">
        <f ca="1">IF(Data!#REF!="","",IF(ISNUMBER(Data!#REF!),IF(AND(Data!#REF!&gt;(TODAY()-(Data_Val!$I$3*365.25)),Data!#REF!&lt;=(TODAY()-(Data_Val!$I$2*365.25))),0,1),1))</f>
        <v>#REF!</v>
      </c>
      <c r="AV278" s="11" t="e">
        <f>IF(Data!#REF!="","",IF(Data!$G278="",1,IF(ISNUMBER(MATCH(Data!#REF!,Data_Val!$D$2:$D$10,0)),0,1)))</f>
        <v>#REF!</v>
      </c>
      <c r="AW278" s="12"/>
      <c r="AX278" s="26" t="e">
        <f ca="1">IF(Data!#REF!="","",IF(ISNUMBER(Data!#REF!),IF(AND(Data!#REF!&gt;(TODAY()-(Data_Val!$I$3*365.25)),Data!#REF!&lt;=(TODAY()-(Data_Val!$I$2*365.25))),0,1),1))</f>
        <v>#REF!</v>
      </c>
      <c r="AY278" s="12" t="e">
        <f>IF(Data!#REF!="","",IF(Data!$G278="",1,IF(ISNUMBER(MATCH(Data!#REF!,Data_Val!$D$2:$D$10,0)),0,1)))</f>
        <v>#REF!</v>
      </c>
      <c r="AZ278" s="11"/>
      <c r="BA278" s="19" t="e">
        <f ca="1">IF(Data!#REF!="","",IF(ISNUMBER(Data!#REF!),IF(AND(Data!#REF!&gt;(TODAY()-(Data_Val!$M$3*365.25)),Data!#REF!&lt;=(TODAY()-(Data_Val!$M$2*365.25))),0,1),1))</f>
        <v>#REF!</v>
      </c>
      <c r="BB278" s="11" t="e">
        <f>IF(Data!#REF!="","",IF(Data!$G278="",1,IF(ISNUMBER(MATCH(Data!#REF!,Data_Val!$D$2:$D$10,0)),0,1)))</f>
        <v>#REF!</v>
      </c>
      <c r="BC278" s="12"/>
      <c r="BD278" s="20" t="e">
        <f ca="1">IF(Data!#REF!="","",IF(ISNUMBER(Data!#REF!),IF(AND(Data!#REF!&gt;(TODAY()-(Data_Val!$M$3*365.25)),Data!#REF!&lt;=(TODAY()-(Data_Val!$M$2*365.25))),0,1),1))</f>
        <v>#REF!</v>
      </c>
      <c r="BE278" s="12" t="e">
        <f>IF(Data!#REF!="","",IF(Data!$G278="",1,IF(ISNUMBER(MATCH(Data!#REF!,Data_Val!$D$2:$D$10,0)),0,1)))</f>
        <v>#REF!</v>
      </c>
      <c r="BF278" s="17"/>
      <c r="BG278" s="18" t="e">
        <f ca="1">IF(Data!#REF!="","",IF(ISNUMBER(Data!#REF!),IF(AND(Data!#REF!&gt;(TODAY()-(Data_Val!$M$3*365.25)),Data!#REF!&lt;=(TODAY()-(Data_Val!$M$2*365.25))),0,1),1))</f>
        <v>#REF!</v>
      </c>
      <c r="BH278" s="29" t="e">
        <f>IF(Data!#REF!="","",IF(Data!$G278="",1,IF(ISNUMBER(MATCH(Data!#REF!,Data_Val!$D$2:$D$10,0)),0,1)))</f>
        <v>#REF!</v>
      </c>
      <c r="BI278" s="13"/>
      <c r="BJ278" s="21" t="e">
        <f ca="1">IF(Data!#REF!="","",IF(ISNUMBER(Data!#REF!),IF(AND(Data!#REF!&gt;(TODAY()-(Data_Val!$M$3*365.25)),Data!#REF!&lt;=(TODAY()-(Data_Val!$M$2*365.25))),0,1),1))</f>
        <v>#REF!</v>
      </c>
      <c r="BK278" s="13" t="e">
        <f>IF(Data!#REF!="","",IF(Data!$G278="",1,IF(ISNUMBER(MATCH(Data!#REF!,Data_Val!$D$2:$D$10,0)),0,1)))</f>
        <v>#REF!</v>
      </c>
    </row>
    <row r="279" spans="1:63" x14ac:dyDescent="0.25">
      <c r="A279" s="9" t="str">
        <f>IF(Data!B279="","",IF(COUNTIFS(Data!A$1:'Data'!A279,Data!A279)&lt;=1,0,1))</f>
        <v/>
      </c>
      <c r="B279" s="9"/>
      <c r="C279" s="23" t="str">
        <f>IF(Data!C279="","",(IF(ISNUMBER(MATCH("*@*.?*",Data!C279,0)),0,1)+IF(COUNTIFS(Data!C$1:'Data'!C279,Data!C279)&gt;1,1,0)))</f>
        <v/>
      </c>
      <c r="D279" s="9" t="str">
        <f>IF(Data!B279="","",IF(ISNUMBER(Data!D279),IF(AND(Data!D279&gt;999999999,Data!D279&lt;=9999999999),IF(COUNTIFS(Data!D$1:'Data'!D279,Data!D279)&lt;=1,0,1),1),1))</f>
        <v/>
      </c>
      <c r="E279" s="9" t="str">
        <f>IF(Data!B279="","",IF(ISNUMBER(MATCH(Data!E279,Data_Val!$A$2:$A$3,0)),0,1))</f>
        <v/>
      </c>
      <c r="F279" s="9" t="str">
        <f ca="1">IF(Data!B279="","",IF(ISNUMBER(Data!F279),IF(AND(Data!F279&gt;(TODAY()-(Data_Val!$H$3*365.25)),Data!F279&lt;=(TODAY()-(Data_Val!$H$2*365.25))),0,1),1))</f>
        <v/>
      </c>
      <c r="G279" s="15" t="str">
        <f>IF(Data!B279="","",IF(AND(Data!G279="",Data!H279&lt;&gt;""),1,IF(Data!#REF!&lt;&gt;"",0,IF(ISNUMBER(MATCH(Data!G279,Data_Val!$C$2:$C$5,0)),0,1))))</f>
        <v/>
      </c>
      <c r="H279" s="15" t="str">
        <f>IF(Data!B279="","",IF(AND(Data!G279&lt;&gt;"",Data!H279=""),1,IF(Data!#REF!&lt;&gt;"",0,IF(Data!G279="",1,IF(ISNUMBER(MATCH(Data!H279,Data_Val!$D$2:$D$35,0)),0,1)))))</f>
        <v/>
      </c>
      <c r="I279" s="15" t="str">
        <f>IF(Data!B279="","",IF(Data!G279&lt;&gt;"",0,IF(ISNUMBER(MATCH(Data!#REF!,Data_Val!$E$2:$E$12,0)),0,1)))</f>
        <v/>
      </c>
      <c r="J279" s="16" t="e">
        <f>IF(OR(Data!B279="",Data!#REF!=""),"",IF(Data!#REF!="",1,0))</f>
        <v>#REF!</v>
      </c>
      <c r="K279" s="16" t="e">
        <f>IF(OR(Data!B279="",Data!#REF!=""),"",IF(Data!#REF!="",1,0))</f>
        <v>#REF!</v>
      </c>
      <c r="L279" s="16" t="e">
        <f>IF(OR(Data!B279="",Data!#REF!=""),"",IF(ISNUMBER(Data!#REF!),IF(AND(Data!#REF!&gt;Data_Val!$G$2,Data!#REF!&lt;=Data_Val!$G$3),0,1),1))</f>
        <v>#REF!</v>
      </c>
      <c r="M279" s="9" t="e">
        <f>IF(OR(Data!B279="",Data!#REF!=""),"",IF(ISNUMBER(MATCH(Data!#REF!,Data_Val!$F$1:$F$38,0)),0,1))</f>
        <v>#REF!</v>
      </c>
      <c r="N279" s="9" t="e">
        <f>IF(OR(Data!B279="",Data!#REF!=""),"",IF(Data!#REF!="",1,0))</f>
        <v>#REF!</v>
      </c>
      <c r="O279" s="17" t="e">
        <f>IF(Data!#REF!="","",IF(Data!#REF!="",1,0))</f>
        <v>#REF!</v>
      </c>
      <c r="P279" s="17" t="e">
        <f>IF(Data!#REF!="","",IF(ISNUMBER(MATCH(Data!#REF!,Data_Val!$A$2:$A$3,0)),0,1))</f>
        <v>#REF!</v>
      </c>
      <c r="Q279" s="25" t="e">
        <f ca="1">IF(Data!#REF!="","",IF(ISNUMBER(Data!#REF!),IF(AND(Data!#REF!&gt;(TODAY()-(Data_Val!$J$3*365.25)),Data!#REF!&lt;=(TODAY()-(Data_Val!$J$2*365.25))),0,1),1))</f>
        <v>#REF!</v>
      </c>
      <c r="R279" s="17" t="e">
        <f>IF(Data!#REF!="","",IF(ISNUMBER(MATCH(Data!#REF!,Data_Val!$B$2:$B$15,0)),0,1))</f>
        <v>#REF!</v>
      </c>
      <c r="S279" s="11" t="str">
        <f>IF(Data!G279="","",IF(Data!G279=Data_Val!$C$2,IF(Data!M279="",0,1),0))</f>
        <v/>
      </c>
      <c r="T279" s="11" t="str">
        <f>IF(Data!M279="","",IF(ISNUMBER(MATCH(Data!N279,Data_Val!$A$2:$A$3,0)),0,1))</f>
        <v/>
      </c>
      <c r="U279" s="11" t="str">
        <f ca="1">IF(Data!M279="","",IF(ISNUMBER(Data!O279),IF(AND(Data!O279&gt;(TODAY()-(Data_Val!$K$3*365.25)),Data!O279&lt;=(TODAY()-(Data_Val!$K$2*365.25))),0,1),1))</f>
        <v/>
      </c>
      <c r="V279" s="12" t="str">
        <f>IF(Data!G279="","",IF(Data!G279=Data_Val!$C$2,IF(Data!P279="",0,1),0))</f>
        <v/>
      </c>
      <c r="W279" s="12" t="str">
        <f>IF(Data!P279="","",IF(ISNUMBER(MATCH(Data!Q279,Data_Val!$A$2:$A$3,0)),0,1))</f>
        <v/>
      </c>
      <c r="X279" s="26" t="str">
        <f ca="1">IF(Data!P279="","",IF(ISNUMBER(Data!R279),IF(AND(Data!R279&gt;(TODAY()-(Data_Val!$L$3*365.25)),Data!R279&lt;=(TODAY()-(Data_Val!$L$2*365.25))),0,1),1))</f>
        <v/>
      </c>
      <c r="Y279" s="13" t="str">
        <f>IF(Data!$G279="","",IF(Data!$G279=Data_Val!$C$2,IF(Data!S279="",0,1),0))</f>
        <v/>
      </c>
      <c r="Z279" s="13" t="str">
        <f>IF(Data!S279="","",IF(ISNUMBER(MATCH(Data!T279,Data_Val!$A$2:$A$3,0)),0,1))</f>
        <v/>
      </c>
      <c r="AA279" s="28" t="str">
        <f ca="1">IF(Data!S279="","",IF(ISNUMBER(Data!U279),IF(AND(Data!U279&gt;(TODAY()-(Data_Val!$L$3*365.25)),Data!U279&lt;=(TODAY()-(Data_Val!$L$2*365.25))),0,1),1))</f>
        <v/>
      </c>
      <c r="AB279" s="11"/>
      <c r="AC279" s="11" t="e">
        <f>IF(Data!#REF!="","",IF(ISNUMBER(MATCH(Data!#REF!,Data_Val!$A$2:$A$3,0)),0,1))</f>
        <v>#REF!</v>
      </c>
      <c r="AD279" s="11" t="e">
        <f ca="1">IF(Data!#REF!="","",IF(ISNUMBER(Data!#REF!),IF(AND(Data!#REF!&gt;(TODAY()-(Data_Val!$L$3*365.25)),Data!#REF!&lt;=(TODAY()-(Data_Val!$L$2*365.25))),0,1),1))</f>
        <v>#REF!</v>
      </c>
      <c r="AE279" s="11" t="e">
        <f>IF(Data!#REF!="","",IF(Data!$G279="",1,IF(ISNUMBER(MATCH(Data!#REF!,Data_Val!$D$2:$D$10,0)),0,1)))</f>
        <v>#REF!</v>
      </c>
      <c r="AF279" s="12"/>
      <c r="AG279" s="12" t="e">
        <f>IF(Data!#REF!="","",IF(ISNUMBER(MATCH(Data!#REF!,Data_Val!$A$2:$A$3,0)),0,1))</f>
        <v>#REF!</v>
      </c>
      <c r="AH279" s="26" t="e">
        <f ca="1">IF(Data!#REF!="","",IF(ISNUMBER(Data!#REF!),IF(AND(Data!#REF!&gt;(TODAY()-(Data_Val!$L$3*365.25)),Data!#REF!&lt;=(TODAY()-(Data_Val!$L$2*365.25))),0,1),1))</f>
        <v>#REF!</v>
      </c>
      <c r="AI279" s="12" t="e">
        <f>IF(Data!#REF!="","",IF(Data!$G279="",1,IF(ISNUMBER(MATCH(Data!#REF!,Data_Val!$D$2:$D$10,0)),0,1)))</f>
        <v>#REF!</v>
      </c>
      <c r="AJ279" s="17"/>
      <c r="AK279" s="17" t="e">
        <f>IF(Data!#REF!="","",IF(ISNUMBER(MATCH(Data!#REF!,Data_Val!$A$2:$A$3,0)),0,1))</f>
        <v>#REF!</v>
      </c>
      <c r="AL279" s="25" t="e">
        <f ca="1">IF(Data!#REF!="","",IF(ISNUMBER(Data!#REF!),IF(AND(Data!#REF!&gt;(TODAY()-(Data_Val!$L$3*365.25)),Data!#REF!&lt;=(TODAY()-(Data_Val!$L$2*365.25))),0,1),1))</f>
        <v>#REF!</v>
      </c>
      <c r="AM279" s="17" t="e">
        <f>IF(Data!#REF!="","",IF(Data!$G279="",1,IF(ISNUMBER(MATCH(Data!#REF!,Data_Val!$D$2:$D$10,0)),0,1)))</f>
        <v>#REF!</v>
      </c>
      <c r="AN279" s="13"/>
      <c r="AO279" s="28" t="e">
        <f ca="1">IF(Data!#REF!="","",IF(ISNUMBER(Data!#REF!),IF(AND(Data!#REF!&gt;(TODAY()-(Data_Val!$I$3*365.25)),Data!#REF!&lt;=(TODAY()-(Data_Val!$I$2*365.25))),0,1),1))</f>
        <v>#REF!</v>
      </c>
      <c r="AP279" s="13" t="e">
        <f>IF(Data!#REF!="","",IF(Data!$G279="",1,IF(ISNUMBER(MATCH(Data!#REF!,Data_Val!$D$2:$D$10,0)),0,1)))</f>
        <v>#REF!</v>
      </c>
      <c r="AQ279" s="17"/>
      <c r="AR279" s="30" t="e">
        <f ca="1">IF(Data!#REF!="","",IF(ISNUMBER(Data!#REF!),IF(AND(Data!#REF!&gt;(TODAY()-(Data_Val!$I$3*365.25)),Data!#REF!&lt;=(TODAY()-(Data_Val!$I$2*365.25))),0,1),1))</f>
        <v>#REF!</v>
      </c>
      <c r="AS279" s="31" t="e">
        <f>IF(Data!#REF!="","",IF(Data!$G279="",1,IF(ISNUMBER(MATCH(Data!#REF!,Data_Val!$D$2:$D$10,0)),0,1)))</f>
        <v>#REF!</v>
      </c>
      <c r="AT279" s="11"/>
      <c r="AU279" s="11" t="e">
        <f ca="1">IF(Data!#REF!="","",IF(ISNUMBER(Data!#REF!),IF(AND(Data!#REF!&gt;(TODAY()-(Data_Val!$I$3*365.25)),Data!#REF!&lt;=(TODAY()-(Data_Val!$I$2*365.25))),0,1),1))</f>
        <v>#REF!</v>
      </c>
      <c r="AV279" s="11" t="e">
        <f>IF(Data!#REF!="","",IF(Data!$G279="",1,IF(ISNUMBER(MATCH(Data!#REF!,Data_Val!$D$2:$D$10,0)),0,1)))</f>
        <v>#REF!</v>
      </c>
      <c r="AW279" s="12"/>
      <c r="AX279" s="26" t="e">
        <f ca="1">IF(Data!#REF!="","",IF(ISNUMBER(Data!#REF!),IF(AND(Data!#REF!&gt;(TODAY()-(Data_Val!$I$3*365.25)),Data!#REF!&lt;=(TODAY()-(Data_Val!$I$2*365.25))),0,1),1))</f>
        <v>#REF!</v>
      </c>
      <c r="AY279" s="12" t="e">
        <f>IF(Data!#REF!="","",IF(Data!$G279="",1,IF(ISNUMBER(MATCH(Data!#REF!,Data_Val!$D$2:$D$10,0)),0,1)))</f>
        <v>#REF!</v>
      </c>
      <c r="AZ279" s="11"/>
      <c r="BA279" s="19" t="e">
        <f ca="1">IF(Data!#REF!="","",IF(ISNUMBER(Data!#REF!),IF(AND(Data!#REF!&gt;(TODAY()-(Data_Val!$M$3*365.25)),Data!#REF!&lt;=(TODAY()-(Data_Val!$M$2*365.25))),0,1),1))</f>
        <v>#REF!</v>
      </c>
      <c r="BB279" s="11" t="e">
        <f>IF(Data!#REF!="","",IF(Data!$G279="",1,IF(ISNUMBER(MATCH(Data!#REF!,Data_Val!$D$2:$D$10,0)),0,1)))</f>
        <v>#REF!</v>
      </c>
      <c r="BC279" s="12"/>
      <c r="BD279" s="20" t="e">
        <f ca="1">IF(Data!#REF!="","",IF(ISNUMBER(Data!#REF!),IF(AND(Data!#REF!&gt;(TODAY()-(Data_Val!$M$3*365.25)),Data!#REF!&lt;=(TODAY()-(Data_Val!$M$2*365.25))),0,1),1))</f>
        <v>#REF!</v>
      </c>
      <c r="BE279" s="12" t="e">
        <f>IF(Data!#REF!="","",IF(Data!$G279="",1,IF(ISNUMBER(MATCH(Data!#REF!,Data_Val!$D$2:$D$10,0)),0,1)))</f>
        <v>#REF!</v>
      </c>
      <c r="BF279" s="17"/>
      <c r="BG279" s="18" t="e">
        <f ca="1">IF(Data!#REF!="","",IF(ISNUMBER(Data!#REF!),IF(AND(Data!#REF!&gt;(TODAY()-(Data_Val!$M$3*365.25)),Data!#REF!&lt;=(TODAY()-(Data_Val!$M$2*365.25))),0,1),1))</f>
        <v>#REF!</v>
      </c>
      <c r="BH279" s="29" t="e">
        <f>IF(Data!#REF!="","",IF(Data!$G279="",1,IF(ISNUMBER(MATCH(Data!#REF!,Data_Val!$D$2:$D$10,0)),0,1)))</f>
        <v>#REF!</v>
      </c>
      <c r="BI279" s="13"/>
      <c r="BJ279" s="21" t="e">
        <f ca="1">IF(Data!#REF!="","",IF(ISNUMBER(Data!#REF!),IF(AND(Data!#REF!&gt;(TODAY()-(Data_Val!$M$3*365.25)),Data!#REF!&lt;=(TODAY()-(Data_Val!$M$2*365.25))),0,1),1))</f>
        <v>#REF!</v>
      </c>
      <c r="BK279" s="13" t="e">
        <f>IF(Data!#REF!="","",IF(Data!$G279="",1,IF(ISNUMBER(MATCH(Data!#REF!,Data_Val!$D$2:$D$10,0)),0,1)))</f>
        <v>#REF!</v>
      </c>
    </row>
    <row r="280" spans="1:63" x14ac:dyDescent="0.25">
      <c r="A280" s="9" t="str">
        <f>IF(Data!B280="","",IF(COUNTIFS(Data!A$1:'Data'!A280,Data!A280)&lt;=1,0,1))</f>
        <v/>
      </c>
      <c r="B280" s="9"/>
      <c r="C280" s="23" t="str">
        <f>IF(Data!C280="","",(IF(ISNUMBER(MATCH("*@*.?*",Data!C280,0)),0,1)+IF(COUNTIFS(Data!C$1:'Data'!C280,Data!C280)&gt;1,1,0)))</f>
        <v/>
      </c>
      <c r="D280" s="9" t="str">
        <f>IF(Data!B280="","",IF(ISNUMBER(Data!D280),IF(AND(Data!D280&gt;999999999,Data!D280&lt;=9999999999),IF(COUNTIFS(Data!D$1:'Data'!D280,Data!D280)&lt;=1,0,1),1),1))</f>
        <v/>
      </c>
      <c r="E280" s="9" t="str">
        <f>IF(Data!B280="","",IF(ISNUMBER(MATCH(Data!E280,Data_Val!$A$2:$A$3,0)),0,1))</f>
        <v/>
      </c>
      <c r="F280" s="9" t="str">
        <f ca="1">IF(Data!B280="","",IF(ISNUMBER(Data!F280),IF(AND(Data!F280&gt;(TODAY()-(Data_Val!$H$3*365.25)),Data!F280&lt;=(TODAY()-(Data_Val!$H$2*365.25))),0,1),1))</f>
        <v/>
      </c>
      <c r="G280" s="15" t="str">
        <f>IF(Data!B280="","",IF(AND(Data!G280="",Data!H280&lt;&gt;""),1,IF(Data!#REF!&lt;&gt;"",0,IF(ISNUMBER(MATCH(Data!G280,Data_Val!$C$2:$C$5,0)),0,1))))</f>
        <v/>
      </c>
      <c r="H280" s="15" t="str">
        <f>IF(Data!B280="","",IF(AND(Data!G280&lt;&gt;"",Data!H280=""),1,IF(Data!#REF!&lt;&gt;"",0,IF(Data!G280="",1,IF(ISNUMBER(MATCH(Data!H280,Data_Val!$D$2:$D$35,0)),0,1)))))</f>
        <v/>
      </c>
      <c r="I280" s="15" t="str">
        <f>IF(Data!B280="","",IF(Data!G280&lt;&gt;"",0,IF(ISNUMBER(MATCH(Data!#REF!,Data_Val!$E$2:$E$12,0)),0,1)))</f>
        <v/>
      </c>
      <c r="J280" s="16" t="e">
        <f>IF(OR(Data!B280="",Data!#REF!=""),"",IF(Data!#REF!="",1,0))</f>
        <v>#REF!</v>
      </c>
      <c r="K280" s="16" t="e">
        <f>IF(OR(Data!B280="",Data!#REF!=""),"",IF(Data!#REF!="",1,0))</f>
        <v>#REF!</v>
      </c>
      <c r="L280" s="16" t="e">
        <f>IF(OR(Data!B280="",Data!#REF!=""),"",IF(ISNUMBER(Data!#REF!),IF(AND(Data!#REF!&gt;Data_Val!$G$2,Data!#REF!&lt;=Data_Val!$G$3),0,1),1))</f>
        <v>#REF!</v>
      </c>
      <c r="M280" s="9" t="e">
        <f>IF(OR(Data!B280="",Data!#REF!=""),"",IF(ISNUMBER(MATCH(Data!#REF!,Data_Val!$F$1:$F$38,0)),0,1))</f>
        <v>#REF!</v>
      </c>
      <c r="N280" s="9" t="e">
        <f>IF(OR(Data!B280="",Data!#REF!=""),"",IF(Data!#REF!="",1,0))</f>
        <v>#REF!</v>
      </c>
      <c r="O280" s="17" t="e">
        <f>IF(Data!#REF!="","",IF(Data!#REF!="",1,0))</f>
        <v>#REF!</v>
      </c>
      <c r="P280" s="17" t="e">
        <f>IF(Data!#REF!="","",IF(ISNUMBER(MATCH(Data!#REF!,Data_Val!$A$2:$A$3,0)),0,1))</f>
        <v>#REF!</v>
      </c>
      <c r="Q280" s="25" t="e">
        <f ca="1">IF(Data!#REF!="","",IF(ISNUMBER(Data!#REF!),IF(AND(Data!#REF!&gt;(TODAY()-(Data_Val!$J$3*365.25)),Data!#REF!&lt;=(TODAY()-(Data_Val!$J$2*365.25))),0,1),1))</f>
        <v>#REF!</v>
      </c>
      <c r="R280" s="17" t="e">
        <f>IF(Data!#REF!="","",IF(ISNUMBER(MATCH(Data!#REF!,Data_Val!$B$2:$B$15,0)),0,1))</f>
        <v>#REF!</v>
      </c>
      <c r="S280" s="11" t="str">
        <f>IF(Data!G280="","",IF(Data!G280=Data_Val!$C$2,IF(Data!M280="",0,1),0))</f>
        <v/>
      </c>
      <c r="T280" s="11" t="str">
        <f>IF(Data!M280="","",IF(ISNUMBER(MATCH(Data!N280,Data_Val!$A$2:$A$3,0)),0,1))</f>
        <v/>
      </c>
      <c r="U280" s="11" t="str">
        <f ca="1">IF(Data!M280="","",IF(ISNUMBER(Data!O280),IF(AND(Data!O280&gt;(TODAY()-(Data_Val!$K$3*365.25)),Data!O280&lt;=(TODAY()-(Data_Val!$K$2*365.25))),0,1),1))</f>
        <v/>
      </c>
      <c r="V280" s="12" t="str">
        <f>IF(Data!G280="","",IF(Data!G280=Data_Val!$C$2,IF(Data!P280="",0,1),0))</f>
        <v/>
      </c>
      <c r="W280" s="12" t="str">
        <f>IF(Data!P280="","",IF(ISNUMBER(MATCH(Data!Q280,Data_Val!$A$2:$A$3,0)),0,1))</f>
        <v/>
      </c>
      <c r="X280" s="26" t="str">
        <f ca="1">IF(Data!P280="","",IF(ISNUMBER(Data!R280),IF(AND(Data!R280&gt;(TODAY()-(Data_Val!$L$3*365.25)),Data!R280&lt;=(TODAY()-(Data_Val!$L$2*365.25))),0,1),1))</f>
        <v/>
      </c>
      <c r="Y280" s="13" t="str">
        <f>IF(Data!$G280="","",IF(Data!$G280=Data_Val!$C$2,IF(Data!S280="",0,1),0))</f>
        <v/>
      </c>
      <c r="Z280" s="13" t="str">
        <f>IF(Data!S280="","",IF(ISNUMBER(MATCH(Data!T280,Data_Val!$A$2:$A$3,0)),0,1))</f>
        <v/>
      </c>
      <c r="AA280" s="28" t="str">
        <f ca="1">IF(Data!S280="","",IF(ISNUMBER(Data!U280),IF(AND(Data!U280&gt;(TODAY()-(Data_Val!$L$3*365.25)),Data!U280&lt;=(TODAY()-(Data_Val!$L$2*365.25))),0,1),1))</f>
        <v/>
      </c>
      <c r="AB280" s="11"/>
      <c r="AC280" s="11" t="e">
        <f>IF(Data!#REF!="","",IF(ISNUMBER(MATCH(Data!#REF!,Data_Val!$A$2:$A$3,0)),0,1))</f>
        <v>#REF!</v>
      </c>
      <c r="AD280" s="11" t="e">
        <f ca="1">IF(Data!#REF!="","",IF(ISNUMBER(Data!#REF!),IF(AND(Data!#REF!&gt;(TODAY()-(Data_Val!$L$3*365.25)),Data!#REF!&lt;=(TODAY()-(Data_Val!$L$2*365.25))),0,1),1))</f>
        <v>#REF!</v>
      </c>
      <c r="AE280" s="11" t="e">
        <f>IF(Data!#REF!="","",IF(Data!$G280="",1,IF(ISNUMBER(MATCH(Data!#REF!,Data_Val!$D$2:$D$10,0)),0,1)))</f>
        <v>#REF!</v>
      </c>
      <c r="AF280" s="12"/>
      <c r="AG280" s="12" t="e">
        <f>IF(Data!#REF!="","",IF(ISNUMBER(MATCH(Data!#REF!,Data_Val!$A$2:$A$3,0)),0,1))</f>
        <v>#REF!</v>
      </c>
      <c r="AH280" s="26" t="e">
        <f ca="1">IF(Data!#REF!="","",IF(ISNUMBER(Data!#REF!),IF(AND(Data!#REF!&gt;(TODAY()-(Data_Val!$L$3*365.25)),Data!#REF!&lt;=(TODAY()-(Data_Val!$L$2*365.25))),0,1),1))</f>
        <v>#REF!</v>
      </c>
      <c r="AI280" s="12" t="e">
        <f>IF(Data!#REF!="","",IF(Data!$G280="",1,IF(ISNUMBER(MATCH(Data!#REF!,Data_Val!$D$2:$D$10,0)),0,1)))</f>
        <v>#REF!</v>
      </c>
      <c r="AJ280" s="17"/>
      <c r="AK280" s="17" t="e">
        <f>IF(Data!#REF!="","",IF(ISNUMBER(MATCH(Data!#REF!,Data_Val!$A$2:$A$3,0)),0,1))</f>
        <v>#REF!</v>
      </c>
      <c r="AL280" s="25" t="e">
        <f ca="1">IF(Data!#REF!="","",IF(ISNUMBER(Data!#REF!),IF(AND(Data!#REF!&gt;(TODAY()-(Data_Val!$L$3*365.25)),Data!#REF!&lt;=(TODAY()-(Data_Val!$L$2*365.25))),0,1),1))</f>
        <v>#REF!</v>
      </c>
      <c r="AM280" s="17" t="e">
        <f>IF(Data!#REF!="","",IF(Data!$G280="",1,IF(ISNUMBER(MATCH(Data!#REF!,Data_Val!$D$2:$D$10,0)),0,1)))</f>
        <v>#REF!</v>
      </c>
      <c r="AN280" s="13"/>
      <c r="AO280" s="28" t="e">
        <f ca="1">IF(Data!#REF!="","",IF(ISNUMBER(Data!#REF!),IF(AND(Data!#REF!&gt;(TODAY()-(Data_Val!$I$3*365.25)),Data!#REF!&lt;=(TODAY()-(Data_Val!$I$2*365.25))),0,1),1))</f>
        <v>#REF!</v>
      </c>
      <c r="AP280" s="13" t="e">
        <f>IF(Data!#REF!="","",IF(Data!$G280="",1,IF(ISNUMBER(MATCH(Data!#REF!,Data_Val!$D$2:$D$10,0)),0,1)))</f>
        <v>#REF!</v>
      </c>
      <c r="AQ280" s="17"/>
      <c r="AR280" s="30" t="e">
        <f ca="1">IF(Data!#REF!="","",IF(ISNUMBER(Data!#REF!),IF(AND(Data!#REF!&gt;(TODAY()-(Data_Val!$I$3*365.25)),Data!#REF!&lt;=(TODAY()-(Data_Val!$I$2*365.25))),0,1),1))</f>
        <v>#REF!</v>
      </c>
      <c r="AS280" s="31" t="e">
        <f>IF(Data!#REF!="","",IF(Data!$G280="",1,IF(ISNUMBER(MATCH(Data!#REF!,Data_Val!$D$2:$D$10,0)),0,1)))</f>
        <v>#REF!</v>
      </c>
      <c r="AT280" s="11"/>
      <c r="AU280" s="11" t="e">
        <f ca="1">IF(Data!#REF!="","",IF(ISNUMBER(Data!#REF!),IF(AND(Data!#REF!&gt;(TODAY()-(Data_Val!$I$3*365.25)),Data!#REF!&lt;=(TODAY()-(Data_Val!$I$2*365.25))),0,1),1))</f>
        <v>#REF!</v>
      </c>
      <c r="AV280" s="11" t="e">
        <f>IF(Data!#REF!="","",IF(Data!$G280="",1,IF(ISNUMBER(MATCH(Data!#REF!,Data_Val!$D$2:$D$10,0)),0,1)))</f>
        <v>#REF!</v>
      </c>
      <c r="AW280" s="12"/>
      <c r="AX280" s="26" t="e">
        <f ca="1">IF(Data!#REF!="","",IF(ISNUMBER(Data!#REF!),IF(AND(Data!#REF!&gt;(TODAY()-(Data_Val!$I$3*365.25)),Data!#REF!&lt;=(TODAY()-(Data_Val!$I$2*365.25))),0,1),1))</f>
        <v>#REF!</v>
      </c>
      <c r="AY280" s="12" t="e">
        <f>IF(Data!#REF!="","",IF(Data!$G280="",1,IF(ISNUMBER(MATCH(Data!#REF!,Data_Val!$D$2:$D$10,0)),0,1)))</f>
        <v>#REF!</v>
      </c>
      <c r="AZ280" s="11"/>
      <c r="BA280" s="19" t="e">
        <f ca="1">IF(Data!#REF!="","",IF(ISNUMBER(Data!#REF!),IF(AND(Data!#REF!&gt;(TODAY()-(Data_Val!$M$3*365.25)),Data!#REF!&lt;=(TODAY()-(Data_Val!$M$2*365.25))),0,1),1))</f>
        <v>#REF!</v>
      </c>
      <c r="BB280" s="11" t="e">
        <f>IF(Data!#REF!="","",IF(Data!$G280="",1,IF(ISNUMBER(MATCH(Data!#REF!,Data_Val!$D$2:$D$10,0)),0,1)))</f>
        <v>#REF!</v>
      </c>
      <c r="BC280" s="12"/>
      <c r="BD280" s="20" t="e">
        <f ca="1">IF(Data!#REF!="","",IF(ISNUMBER(Data!#REF!),IF(AND(Data!#REF!&gt;(TODAY()-(Data_Val!$M$3*365.25)),Data!#REF!&lt;=(TODAY()-(Data_Val!$M$2*365.25))),0,1),1))</f>
        <v>#REF!</v>
      </c>
      <c r="BE280" s="12" t="e">
        <f>IF(Data!#REF!="","",IF(Data!$G280="",1,IF(ISNUMBER(MATCH(Data!#REF!,Data_Val!$D$2:$D$10,0)),0,1)))</f>
        <v>#REF!</v>
      </c>
      <c r="BF280" s="17"/>
      <c r="BG280" s="18" t="e">
        <f ca="1">IF(Data!#REF!="","",IF(ISNUMBER(Data!#REF!),IF(AND(Data!#REF!&gt;(TODAY()-(Data_Val!$M$3*365.25)),Data!#REF!&lt;=(TODAY()-(Data_Val!$M$2*365.25))),0,1),1))</f>
        <v>#REF!</v>
      </c>
      <c r="BH280" s="29" t="e">
        <f>IF(Data!#REF!="","",IF(Data!$G280="",1,IF(ISNUMBER(MATCH(Data!#REF!,Data_Val!$D$2:$D$10,0)),0,1)))</f>
        <v>#REF!</v>
      </c>
      <c r="BI280" s="13"/>
      <c r="BJ280" s="21" t="e">
        <f ca="1">IF(Data!#REF!="","",IF(ISNUMBER(Data!#REF!),IF(AND(Data!#REF!&gt;(TODAY()-(Data_Val!$M$3*365.25)),Data!#REF!&lt;=(TODAY()-(Data_Val!$M$2*365.25))),0,1),1))</f>
        <v>#REF!</v>
      </c>
      <c r="BK280" s="13" t="e">
        <f>IF(Data!#REF!="","",IF(Data!$G280="",1,IF(ISNUMBER(MATCH(Data!#REF!,Data_Val!$D$2:$D$10,0)),0,1)))</f>
        <v>#REF!</v>
      </c>
    </row>
    <row r="281" spans="1:63" x14ac:dyDescent="0.25">
      <c r="A281" s="9" t="str">
        <f>IF(Data!B281="","",IF(COUNTIFS(Data!A$1:'Data'!A281,Data!A281)&lt;=1,0,1))</f>
        <v/>
      </c>
      <c r="B281" s="9"/>
      <c r="C281" s="23" t="str">
        <f>IF(Data!C281="","",(IF(ISNUMBER(MATCH("*@*.?*",Data!C281,0)),0,1)+IF(COUNTIFS(Data!C$1:'Data'!C281,Data!C281)&gt;1,1,0)))</f>
        <v/>
      </c>
      <c r="D281" s="9" t="str">
        <f>IF(Data!B281="","",IF(ISNUMBER(Data!D281),IF(AND(Data!D281&gt;999999999,Data!D281&lt;=9999999999),IF(COUNTIFS(Data!D$1:'Data'!D281,Data!D281)&lt;=1,0,1),1),1))</f>
        <v/>
      </c>
      <c r="E281" s="9" t="str">
        <f>IF(Data!B281="","",IF(ISNUMBER(MATCH(Data!E281,Data_Val!$A$2:$A$3,0)),0,1))</f>
        <v/>
      </c>
      <c r="F281" s="9" t="str">
        <f ca="1">IF(Data!B281="","",IF(ISNUMBER(Data!F281),IF(AND(Data!F281&gt;(TODAY()-(Data_Val!$H$3*365.25)),Data!F281&lt;=(TODAY()-(Data_Val!$H$2*365.25))),0,1),1))</f>
        <v/>
      </c>
      <c r="G281" s="15" t="str">
        <f>IF(Data!B281="","",IF(AND(Data!G281="",Data!H281&lt;&gt;""),1,IF(Data!#REF!&lt;&gt;"",0,IF(ISNUMBER(MATCH(Data!G281,Data_Val!$C$2:$C$5,0)),0,1))))</f>
        <v/>
      </c>
      <c r="H281" s="15" t="str">
        <f>IF(Data!B281="","",IF(AND(Data!G281&lt;&gt;"",Data!H281=""),1,IF(Data!#REF!&lt;&gt;"",0,IF(Data!G281="",1,IF(ISNUMBER(MATCH(Data!H281,Data_Val!$D$2:$D$35,0)),0,1)))))</f>
        <v/>
      </c>
      <c r="I281" s="15" t="str">
        <f>IF(Data!B281="","",IF(Data!G281&lt;&gt;"",0,IF(ISNUMBER(MATCH(Data!#REF!,Data_Val!$E$2:$E$12,0)),0,1)))</f>
        <v/>
      </c>
      <c r="J281" s="16" t="e">
        <f>IF(OR(Data!B281="",Data!#REF!=""),"",IF(Data!#REF!="",1,0))</f>
        <v>#REF!</v>
      </c>
      <c r="K281" s="16" t="e">
        <f>IF(OR(Data!B281="",Data!#REF!=""),"",IF(Data!#REF!="",1,0))</f>
        <v>#REF!</v>
      </c>
      <c r="L281" s="16" t="e">
        <f>IF(OR(Data!B281="",Data!#REF!=""),"",IF(ISNUMBER(Data!#REF!),IF(AND(Data!#REF!&gt;Data_Val!$G$2,Data!#REF!&lt;=Data_Val!$G$3),0,1),1))</f>
        <v>#REF!</v>
      </c>
      <c r="M281" s="9" t="e">
        <f>IF(OR(Data!B281="",Data!#REF!=""),"",IF(ISNUMBER(MATCH(Data!#REF!,Data_Val!$F$1:$F$38,0)),0,1))</f>
        <v>#REF!</v>
      </c>
      <c r="N281" s="9" t="e">
        <f>IF(OR(Data!B281="",Data!#REF!=""),"",IF(Data!#REF!="",1,0))</f>
        <v>#REF!</v>
      </c>
      <c r="O281" s="17" t="e">
        <f>IF(Data!#REF!="","",IF(Data!#REF!="",1,0))</f>
        <v>#REF!</v>
      </c>
      <c r="P281" s="17" t="e">
        <f>IF(Data!#REF!="","",IF(ISNUMBER(MATCH(Data!#REF!,Data_Val!$A$2:$A$3,0)),0,1))</f>
        <v>#REF!</v>
      </c>
      <c r="Q281" s="25" t="e">
        <f ca="1">IF(Data!#REF!="","",IF(ISNUMBER(Data!#REF!),IF(AND(Data!#REF!&gt;(TODAY()-(Data_Val!$J$3*365.25)),Data!#REF!&lt;=(TODAY()-(Data_Val!$J$2*365.25))),0,1),1))</f>
        <v>#REF!</v>
      </c>
      <c r="R281" s="17" t="e">
        <f>IF(Data!#REF!="","",IF(ISNUMBER(MATCH(Data!#REF!,Data_Val!$B$2:$B$15,0)),0,1))</f>
        <v>#REF!</v>
      </c>
      <c r="S281" s="11" t="str">
        <f>IF(Data!G281="","",IF(Data!G281=Data_Val!$C$2,IF(Data!M281="",0,1),0))</f>
        <v/>
      </c>
      <c r="T281" s="11" t="str">
        <f>IF(Data!M281="","",IF(ISNUMBER(MATCH(Data!N281,Data_Val!$A$2:$A$3,0)),0,1))</f>
        <v/>
      </c>
      <c r="U281" s="11" t="str">
        <f ca="1">IF(Data!M281="","",IF(ISNUMBER(Data!O281),IF(AND(Data!O281&gt;(TODAY()-(Data_Val!$K$3*365.25)),Data!O281&lt;=(TODAY()-(Data_Val!$K$2*365.25))),0,1),1))</f>
        <v/>
      </c>
      <c r="V281" s="12" t="str">
        <f>IF(Data!G281="","",IF(Data!G281=Data_Val!$C$2,IF(Data!P281="",0,1),0))</f>
        <v/>
      </c>
      <c r="W281" s="12" t="str">
        <f>IF(Data!P281="","",IF(ISNUMBER(MATCH(Data!Q281,Data_Val!$A$2:$A$3,0)),0,1))</f>
        <v/>
      </c>
      <c r="X281" s="26" t="str">
        <f ca="1">IF(Data!P281="","",IF(ISNUMBER(Data!R281),IF(AND(Data!R281&gt;(TODAY()-(Data_Val!$L$3*365.25)),Data!R281&lt;=(TODAY()-(Data_Val!$L$2*365.25))),0,1),1))</f>
        <v/>
      </c>
      <c r="Y281" s="13" t="str">
        <f>IF(Data!$G281="","",IF(Data!$G281=Data_Val!$C$2,IF(Data!S281="",0,1),0))</f>
        <v/>
      </c>
      <c r="Z281" s="13" t="str">
        <f>IF(Data!S281="","",IF(ISNUMBER(MATCH(Data!T281,Data_Val!$A$2:$A$3,0)),0,1))</f>
        <v/>
      </c>
      <c r="AA281" s="28" t="str">
        <f ca="1">IF(Data!S281="","",IF(ISNUMBER(Data!U281),IF(AND(Data!U281&gt;(TODAY()-(Data_Val!$L$3*365.25)),Data!U281&lt;=(TODAY()-(Data_Val!$L$2*365.25))),0,1),1))</f>
        <v/>
      </c>
      <c r="AB281" s="11"/>
      <c r="AC281" s="11" t="e">
        <f>IF(Data!#REF!="","",IF(ISNUMBER(MATCH(Data!#REF!,Data_Val!$A$2:$A$3,0)),0,1))</f>
        <v>#REF!</v>
      </c>
      <c r="AD281" s="11" t="e">
        <f ca="1">IF(Data!#REF!="","",IF(ISNUMBER(Data!#REF!),IF(AND(Data!#REF!&gt;(TODAY()-(Data_Val!$L$3*365.25)),Data!#REF!&lt;=(TODAY()-(Data_Val!$L$2*365.25))),0,1),1))</f>
        <v>#REF!</v>
      </c>
      <c r="AE281" s="11" t="e">
        <f>IF(Data!#REF!="","",IF(Data!$G281="",1,IF(ISNUMBER(MATCH(Data!#REF!,Data_Val!$D$2:$D$10,0)),0,1)))</f>
        <v>#REF!</v>
      </c>
      <c r="AF281" s="12"/>
      <c r="AG281" s="12" t="e">
        <f>IF(Data!#REF!="","",IF(ISNUMBER(MATCH(Data!#REF!,Data_Val!$A$2:$A$3,0)),0,1))</f>
        <v>#REF!</v>
      </c>
      <c r="AH281" s="26" t="e">
        <f ca="1">IF(Data!#REF!="","",IF(ISNUMBER(Data!#REF!),IF(AND(Data!#REF!&gt;(TODAY()-(Data_Val!$L$3*365.25)),Data!#REF!&lt;=(TODAY()-(Data_Val!$L$2*365.25))),0,1),1))</f>
        <v>#REF!</v>
      </c>
      <c r="AI281" s="12" t="e">
        <f>IF(Data!#REF!="","",IF(Data!$G281="",1,IF(ISNUMBER(MATCH(Data!#REF!,Data_Val!$D$2:$D$10,0)),0,1)))</f>
        <v>#REF!</v>
      </c>
      <c r="AJ281" s="17"/>
      <c r="AK281" s="17" t="e">
        <f>IF(Data!#REF!="","",IF(ISNUMBER(MATCH(Data!#REF!,Data_Val!$A$2:$A$3,0)),0,1))</f>
        <v>#REF!</v>
      </c>
      <c r="AL281" s="25" t="e">
        <f ca="1">IF(Data!#REF!="","",IF(ISNUMBER(Data!#REF!),IF(AND(Data!#REF!&gt;(TODAY()-(Data_Val!$L$3*365.25)),Data!#REF!&lt;=(TODAY()-(Data_Val!$L$2*365.25))),0,1),1))</f>
        <v>#REF!</v>
      </c>
      <c r="AM281" s="17" t="e">
        <f>IF(Data!#REF!="","",IF(Data!$G281="",1,IF(ISNUMBER(MATCH(Data!#REF!,Data_Val!$D$2:$D$10,0)),0,1)))</f>
        <v>#REF!</v>
      </c>
      <c r="AN281" s="13"/>
      <c r="AO281" s="28" t="e">
        <f ca="1">IF(Data!#REF!="","",IF(ISNUMBER(Data!#REF!),IF(AND(Data!#REF!&gt;(TODAY()-(Data_Val!$I$3*365.25)),Data!#REF!&lt;=(TODAY()-(Data_Val!$I$2*365.25))),0,1),1))</f>
        <v>#REF!</v>
      </c>
      <c r="AP281" s="13" t="e">
        <f>IF(Data!#REF!="","",IF(Data!$G281="",1,IF(ISNUMBER(MATCH(Data!#REF!,Data_Val!$D$2:$D$10,0)),0,1)))</f>
        <v>#REF!</v>
      </c>
      <c r="AQ281" s="17"/>
      <c r="AR281" s="30" t="e">
        <f ca="1">IF(Data!#REF!="","",IF(ISNUMBER(Data!#REF!),IF(AND(Data!#REF!&gt;(TODAY()-(Data_Val!$I$3*365.25)),Data!#REF!&lt;=(TODAY()-(Data_Val!$I$2*365.25))),0,1),1))</f>
        <v>#REF!</v>
      </c>
      <c r="AS281" s="31" t="e">
        <f>IF(Data!#REF!="","",IF(Data!$G281="",1,IF(ISNUMBER(MATCH(Data!#REF!,Data_Val!$D$2:$D$10,0)),0,1)))</f>
        <v>#REF!</v>
      </c>
      <c r="AT281" s="11"/>
      <c r="AU281" s="11" t="e">
        <f ca="1">IF(Data!#REF!="","",IF(ISNUMBER(Data!#REF!),IF(AND(Data!#REF!&gt;(TODAY()-(Data_Val!$I$3*365.25)),Data!#REF!&lt;=(TODAY()-(Data_Val!$I$2*365.25))),0,1),1))</f>
        <v>#REF!</v>
      </c>
      <c r="AV281" s="11" t="e">
        <f>IF(Data!#REF!="","",IF(Data!$G281="",1,IF(ISNUMBER(MATCH(Data!#REF!,Data_Val!$D$2:$D$10,0)),0,1)))</f>
        <v>#REF!</v>
      </c>
      <c r="AW281" s="12"/>
      <c r="AX281" s="26" t="e">
        <f ca="1">IF(Data!#REF!="","",IF(ISNUMBER(Data!#REF!),IF(AND(Data!#REF!&gt;(TODAY()-(Data_Val!$I$3*365.25)),Data!#REF!&lt;=(TODAY()-(Data_Val!$I$2*365.25))),0,1),1))</f>
        <v>#REF!</v>
      </c>
      <c r="AY281" s="12" t="e">
        <f>IF(Data!#REF!="","",IF(Data!$G281="",1,IF(ISNUMBER(MATCH(Data!#REF!,Data_Val!$D$2:$D$10,0)),0,1)))</f>
        <v>#REF!</v>
      </c>
      <c r="AZ281" s="11"/>
      <c r="BA281" s="19" t="e">
        <f ca="1">IF(Data!#REF!="","",IF(ISNUMBER(Data!#REF!),IF(AND(Data!#REF!&gt;(TODAY()-(Data_Val!$M$3*365.25)),Data!#REF!&lt;=(TODAY()-(Data_Val!$M$2*365.25))),0,1),1))</f>
        <v>#REF!</v>
      </c>
      <c r="BB281" s="11" t="e">
        <f>IF(Data!#REF!="","",IF(Data!$G281="",1,IF(ISNUMBER(MATCH(Data!#REF!,Data_Val!$D$2:$D$10,0)),0,1)))</f>
        <v>#REF!</v>
      </c>
      <c r="BC281" s="12"/>
      <c r="BD281" s="20" t="e">
        <f ca="1">IF(Data!#REF!="","",IF(ISNUMBER(Data!#REF!),IF(AND(Data!#REF!&gt;(TODAY()-(Data_Val!$M$3*365.25)),Data!#REF!&lt;=(TODAY()-(Data_Val!$M$2*365.25))),0,1),1))</f>
        <v>#REF!</v>
      </c>
      <c r="BE281" s="12" t="e">
        <f>IF(Data!#REF!="","",IF(Data!$G281="",1,IF(ISNUMBER(MATCH(Data!#REF!,Data_Val!$D$2:$D$10,0)),0,1)))</f>
        <v>#REF!</v>
      </c>
      <c r="BF281" s="17"/>
      <c r="BG281" s="18" t="e">
        <f ca="1">IF(Data!#REF!="","",IF(ISNUMBER(Data!#REF!),IF(AND(Data!#REF!&gt;(TODAY()-(Data_Val!$M$3*365.25)),Data!#REF!&lt;=(TODAY()-(Data_Val!$M$2*365.25))),0,1),1))</f>
        <v>#REF!</v>
      </c>
      <c r="BH281" s="29" t="e">
        <f>IF(Data!#REF!="","",IF(Data!$G281="",1,IF(ISNUMBER(MATCH(Data!#REF!,Data_Val!$D$2:$D$10,0)),0,1)))</f>
        <v>#REF!</v>
      </c>
      <c r="BI281" s="13"/>
      <c r="BJ281" s="21" t="e">
        <f ca="1">IF(Data!#REF!="","",IF(ISNUMBER(Data!#REF!),IF(AND(Data!#REF!&gt;(TODAY()-(Data_Val!$M$3*365.25)),Data!#REF!&lt;=(TODAY()-(Data_Val!$M$2*365.25))),0,1),1))</f>
        <v>#REF!</v>
      </c>
      <c r="BK281" s="13" t="e">
        <f>IF(Data!#REF!="","",IF(Data!$G281="",1,IF(ISNUMBER(MATCH(Data!#REF!,Data_Val!$D$2:$D$10,0)),0,1)))</f>
        <v>#REF!</v>
      </c>
    </row>
    <row r="282" spans="1:63" x14ac:dyDescent="0.25">
      <c r="A282" s="9" t="str">
        <f>IF(Data!B282="","",IF(COUNTIFS(Data!A$1:'Data'!A282,Data!A282)&lt;=1,0,1))</f>
        <v/>
      </c>
      <c r="B282" s="9"/>
      <c r="C282" s="23" t="str">
        <f>IF(Data!C282="","",(IF(ISNUMBER(MATCH("*@*.?*",Data!C282,0)),0,1)+IF(COUNTIFS(Data!C$1:'Data'!C282,Data!C282)&gt;1,1,0)))</f>
        <v/>
      </c>
      <c r="D282" s="9" t="str">
        <f>IF(Data!B282="","",IF(ISNUMBER(Data!D282),IF(AND(Data!D282&gt;999999999,Data!D282&lt;=9999999999),IF(COUNTIFS(Data!D$1:'Data'!D282,Data!D282)&lt;=1,0,1),1),1))</f>
        <v/>
      </c>
      <c r="E282" s="9" t="str">
        <f>IF(Data!B282="","",IF(ISNUMBER(MATCH(Data!E282,Data_Val!$A$2:$A$3,0)),0,1))</f>
        <v/>
      </c>
      <c r="F282" s="9" t="str">
        <f ca="1">IF(Data!B282="","",IF(ISNUMBER(Data!F282),IF(AND(Data!F282&gt;(TODAY()-(Data_Val!$H$3*365.25)),Data!F282&lt;=(TODAY()-(Data_Val!$H$2*365.25))),0,1),1))</f>
        <v/>
      </c>
      <c r="G282" s="15" t="str">
        <f>IF(Data!B282="","",IF(AND(Data!G282="",Data!H282&lt;&gt;""),1,IF(Data!#REF!&lt;&gt;"",0,IF(ISNUMBER(MATCH(Data!G282,Data_Val!$C$2:$C$5,0)),0,1))))</f>
        <v/>
      </c>
      <c r="H282" s="15" t="str">
        <f>IF(Data!B282="","",IF(AND(Data!G282&lt;&gt;"",Data!H282=""),1,IF(Data!#REF!&lt;&gt;"",0,IF(Data!G282="",1,IF(ISNUMBER(MATCH(Data!H282,Data_Val!$D$2:$D$35,0)),0,1)))))</f>
        <v/>
      </c>
      <c r="I282" s="15" t="str">
        <f>IF(Data!B282="","",IF(Data!G282&lt;&gt;"",0,IF(ISNUMBER(MATCH(Data!#REF!,Data_Val!$E$2:$E$12,0)),0,1)))</f>
        <v/>
      </c>
      <c r="J282" s="16" t="e">
        <f>IF(OR(Data!B282="",Data!#REF!=""),"",IF(Data!#REF!="",1,0))</f>
        <v>#REF!</v>
      </c>
      <c r="K282" s="16" t="e">
        <f>IF(OR(Data!B282="",Data!#REF!=""),"",IF(Data!#REF!="",1,0))</f>
        <v>#REF!</v>
      </c>
      <c r="L282" s="16" t="e">
        <f>IF(OR(Data!B282="",Data!#REF!=""),"",IF(ISNUMBER(Data!#REF!),IF(AND(Data!#REF!&gt;Data_Val!$G$2,Data!#REF!&lt;=Data_Val!$G$3),0,1),1))</f>
        <v>#REF!</v>
      </c>
      <c r="M282" s="9" t="e">
        <f>IF(OR(Data!B282="",Data!#REF!=""),"",IF(ISNUMBER(MATCH(Data!#REF!,Data_Val!$F$1:$F$38,0)),0,1))</f>
        <v>#REF!</v>
      </c>
      <c r="N282" s="9" t="e">
        <f>IF(OR(Data!B282="",Data!#REF!=""),"",IF(Data!#REF!="",1,0))</f>
        <v>#REF!</v>
      </c>
      <c r="O282" s="17" t="e">
        <f>IF(Data!#REF!="","",IF(Data!#REF!="",1,0))</f>
        <v>#REF!</v>
      </c>
      <c r="P282" s="17" t="e">
        <f>IF(Data!#REF!="","",IF(ISNUMBER(MATCH(Data!#REF!,Data_Val!$A$2:$A$3,0)),0,1))</f>
        <v>#REF!</v>
      </c>
      <c r="Q282" s="25" t="e">
        <f ca="1">IF(Data!#REF!="","",IF(ISNUMBER(Data!#REF!),IF(AND(Data!#REF!&gt;(TODAY()-(Data_Val!$J$3*365.25)),Data!#REF!&lt;=(TODAY()-(Data_Val!$J$2*365.25))),0,1),1))</f>
        <v>#REF!</v>
      </c>
      <c r="R282" s="17" t="e">
        <f>IF(Data!#REF!="","",IF(ISNUMBER(MATCH(Data!#REF!,Data_Val!$B$2:$B$15,0)),0,1))</f>
        <v>#REF!</v>
      </c>
      <c r="S282" s="11" t="str">
        <f>IF(Data!G282="","",IF(Data!G282=Data_Val!$C$2,IF(Data!M282="",0,1),0))</f>
        <v/>
      </c>
      <c r="T282" s="11" t="str">
        <f>IF(Data!M282="","",IF(ISNUMBER(MATCH(Data!N282,Data_Val!$A$2:$A$3,0)),0,1))</f>
        <v/>
      </c>
      <c r="U282" s="11" t="str">
        <f ca="1">IF(Data!M282="","",IF(ISNUMBER(Data!O282),IF(AND(Data!O282&gt;(TODAY()-(Data_Val!$K$3*365.25)),Data!O282&lt;=(TODAY()-(Data_Val!$K$2*365.25))),0,1),1))</f>
        <v/>
      </c>
      <c r="V282" s="12" t="str">
        <f>IF(Data!G282="","",IF(Data!G282=Data_Val!$C$2,IF(Data!P282="",0,1),0))</f>
        <v/>
      </c>
      <c r="W282" s="12" t="str">
        <f>IF(Data!P282="","",IF(ISNUMBER(MATCH(Data!Q282,Data_Val!$A$2:$A$3,0)),0,1))</f>
        <v/>
      </c>
      <c r="X282" s="26" t="str">
        <f ca="1">IF(Data!P282="","",IF(ISNUMBER(Data!R282),IF(AND(Data!R282&gt;(TODAY()-(Data_Val!$L$3*365.25)),Data!R282&lt;=(TODAY()-(Data_Val!$L$2*365.25))),0,1),1))</f>
        <v/>
      </c>
      <c r="Y282" s="13" t="str">
        <f>IF(Data!$G282="","",IF(Data!$G282=Data_Val!$C$2,IF(Data!S282="",0,1),0))</f>
        <v/>
      </c>
      <c r="Z282" s="13" t="str">
        <f>IF(Data!S282="","",IF(ISNUMBER(MATCH(Data!T282,Data_Val!$A$2:$A$3,0)),0,1))</f>
        <v/>
      </c>
      <c r="AA282" s="28" t="str">
        <f ca="1">IF(Data!S282="","",IF(ISNUMBER(Data!U282),IF(AND(Data!U282&gt;(TODAY()-(Data_Val!$L$3*365.25)),Data!U282&lt;=(TODAY()-(Data_Val!$L$2*365.25))),0,1),1))</f>
        <v/>
      </c>
      <c r="AB282" s="11"/>
      <c r="AC282" s="11" t="e">
        <f>IF(Data!#REF!="","",IF(ISNUMBER(MATCH(Data!#REF!,Data_Val!$A$2:$A$3,0)),0,1))</f>
        <v>#REF!</v>
      </c>
      <c r="AD282" s="11" t="e">
        <f ca="1">IF(Data!#REF!="","",IF(ISNUMBER(Data!#REF!),IF(AND(Data!#REF!&gt;(TODAY()-(Data_Val!$L$3*365.25)),Data!#REF!&lt;=(TODAY()-(Data_Val!$L$2*365.25))),0,1),1))</f>
        <v>#REF!</v>
      </c>
      <c r="AE282" s="11" t="e">
        <f>IF(Data!#REF!="","",IF(Data!$G282="",1,IF(ISNUMBER(MATCH(Data!#REF!,Data_Val!$D$2:$D$10,0)),0,1)))</f>
        <v>#REF!</v>
      </c>
      <c r="AF282" s="12"/>
      <c r="AG282" s="12" t="e">
        <f>IF(Data!#REF!="","",IF(ISNUMBER(MATCH(Data!#REF!,Data_Val!$A$2:$A$3,0)),0,1))</f>
        <v>#REF!</v>
      </c>
      <c r="AH282" s="26" t="e">
        <f ca="1">IF(Data!#REF!="","",IF(ISNUMBER(Data!#REF!),IF(AND(Data!#REF!&gt;(TODAY()-(Data_Val!$L$3*365.25)),Data!#REF!&lt;=(TODAY()-(Data_Val!$L$2*365.25))),0,1),1))</f>
        <v>#REF!</v>
      </c>
      <c r="AI282" s="12" t="e">
        <f>IF(Data!#REF!="","",IF(Data!$G282="",1,IF(ISNUMBER(MATCH(Data!#REF!,Data_Val!$D$2:$D$10,0)),0,1)))</f>
        <v>#REF!</v>
      </c>
      <c r="AJ282" s="17"/>
      <c r="AK282" s="17" t="e">
        <f>IF(Data!#REF!="","",IF(ISNUMBER(MATCH(Data!#REF!,Data_Val!$A$2:$A$3,0)),0,1))</f>
        <v>#REF!</v>
      </c>
      <c r="AL282" s="25" t="e">
        <f ca="1">IF(Data!#REF!="","",IF(ISNUMBER(Data!#REF!),IF(AND(Data!#REF!&gt;(TODAY()-(Data_Val!$L$3*365.25)),Data!#REF!&lt;=(TODAY()-(Data_Val!$L$2*365.25))),0,1),1))</f>
        <v>#REF!</v>
      </c>
      <c r="AM282" s="17" t="e">
        <f>IF(Data!#REF!="","",IF(Data!$G282="",1,IF(ISNUMBER(MATCH(Data!#REF!,Data_Val!$D$2:$D$10,0)),0,1)))</f>
        <v>#REF!</v>
      </c>
      <c r="AN282" s="13"/>
      <c r="AO282" s="28" t="e">
        <f ca="1">IF(Data!#REF!="","",IF(ISNUMBER(Data!#REF!),IF(AND(Data!#REF!&gt;(TODAY()-(Data_Val!$I$3*365.25)),Data!#REF!&lt;=(TODAY()-(Data_Val!$I$2*365.25))),0,1),1))</f>
        <v>#REF!</v>
      </c>
      <c r="AP282" s="13" t="e">
        <f>IF(Data!#REF!="","",IF(Data!$G282="",1,IF(ISNUMBER(MATCH(Data!#REF!,Data_Val!$D$2:$D$10,0)),0,1)))</f>
        <v>#REF!</v>
      </c>
      <c r="AQ282" s="17"/>
      <c r="AR282" s="30" t="e">
        <f ca="1">IF(Data!#REF!="","",IF(ISNUMBER(Data!#REF!),IF(AND(Data!#REF!&gt;(TODAY()-(Data_Val!$I$3*365.25)),Data!#REF!&lt;=(TODAY()-(Data_Val!$I$2*365.25))),0,1),1))</f>
        <v>#REF!</v>
      </c>
      <c r="AS282" s="31" t="e">
        <f>IF(Data!#REF!="","",IF(Data!$G282="",1,IF(ISNUMBER(MATCH(Data!#REF!,Data_Val!$D$2:$D$10,0)),0,1)))</f>
        <v>#REF!</v>
      </c>
      <c r="AT282" s="11"/>
      <c r="AU282" s="11" t="e">
        <f ca="1">IF(Data!#REF!="","",IF(ISNUMBER(Data!#REF!),IF(AND(Data!#REF!&gt;(TODAY()-(Data_Val!$I$3*365.25)),Data!#REF!&lt;=(TODAY()-(Data_Val!$I$2*365.25))),0,1),1))</f>
        <v>#REF!</v>
      </c>
      <c r="AV282" s="11" t="e">
        <f>IF(Data!#REF!="","",IF(Data!$G282="",1,IF(ISNUMBER(MATCH(Data!#REF!,Data_Val!$D$2:$D$10,0)),0,1)))</f>
        <v>#REF!</v>
      </c>
      <c r="AW282" s="12"/>
      <c r="AX282" s="26" t="e">
        <f ca="1">IF(Data!#REF!="","",IF(ISNUMBER(Data!#REF!),IF(AND(Data!#REF!&gt;(TODAY()-(Data_Val!$I$3*365.25)),Data!#REF!&lt;=(TODAY()-(Data_Val!$I$2*365.25))),0,1),1))</f>
        <v>#REF!</v>
      </c>
      <c r="AY282" s="12" t="e">
        <f>IF(Data!#REF!="","",IF(Data!$G282="",1,IF(ISNUMBER(MATCH(Data!#REF!,Data_Val!$D$2:$D$10,0)),0,1)))</f>
        <v>#REF!</v>
      </c>
      <c r="AZ282" s="11"/>
      <c r="BA282" s="19" t="e">
        <f ca="1">IF(Data!#REF!="","",IF(ISNUMBER(Data!#REF!),IF(AND(Data!#REF!&gt;(TODAY()-(Data_Val!$M$3*365.25)),Data!#REF!&lt;=(TODAY()-(Data_Val!$M$2*365.25))),0,1),1))</f>
        <v>#REF!</v>
      </c>
      <c r="BB282" s="11" t="e">
        <f>IF(Data!#REF!="","",IF(Data!$G282="",1,IF(ISNUMBER(MATCH(Data!#REF!,Data_Val!$D$2:$D$10,0)),0,1)))</f>
        <v>#REF!</v>
      </c>
      <c r="BC282" s="12"/>
      <c r="BD282" s="20" t="e">
        <f ca="1">IF(Data!#REF!="","",IF(ISNUMBER(Data!#REF!),IF(AND(Data!#REF!&gt;(TODAY()-(Data_Val!$M$3*365.25)),Data!#REF!&lt;=(TODAY()-(Data_Val!$M$2*365.25))),0,1),1))</f>
        <v>#REF!</v>
      </c>
      <c r="BE282" s="12" t="e">
        <f>IF(Data!#REF!="","",IF(Data!$G282="",1,IF(ISNUMBER(MATCH(Data!#REF!,Data_Val!$D$2:$D$10,0)),0,1)))</f>
        <v>#REF!</v>
      </c>
      <c r="BF282" s="17"/>
      <c r="BG282" s="18" t="e">
        <f ca="1">IF(Data!#REF!="","",IF(ISNUMBER(Data!#REF!),IF(AND(Data!#REF!&gt;(TODAY()-(Data_Val!$M$3*365.25)),Data!#REF!&lt;=(TODAY()-(Data_Val!$M$2*365.25))),0,1),1))</f>
        <v>#REF!</v>
      </c>
      <c r="BH282" s="29" t="e">
        <f>IF(Data!#REF!="","",IF(Data!$G282="",1,IF(ISNUMBER(MATCH(Data!#REF!,Data_Val!$D$2:$D$10,0)),0,1)))</f>
        <v>#REF!</v>
      </c>
      <c r="BI282" s="13"/>
      <c r="BJ282" s="21" t="e">
        <f ca="1">IF(Data!#REF!="","",IF(ISNUMBER(Data!#REF!),IF(AND(Data!#REF!&gt;(TODAY()-(Data_Val!$M$3*365.25)),Data!#REF!&lt;=(TODAY()-(Data_Val!$M$2*365.25))),0,1),1))</f>
        <v>#REF!</v>
      </c>
      <c r="BK282" s="13" t="e">
        <f>IF(Data!#REF!="","",IF(Data!$G282="",1,IF(ISNUMBER(MATCH(Data!#REF!,Data_Val!$D$2:$D$10,0)),0,1)))</f>
        <v>#REF!</v>
      </c>
    </row>
    <row r="283" spans="1:63" x14ac:dyDescent="0.25">
      <c r="A283" s="9" t="str">
        <f>IF(Data!B283="","",IF(COUNTIFS(Data!A$1:'Data'!A283,Data!A283)&lt;=1,0,1))</f>
        <v/>
      </c>
      <c r="B283" s="9"/>
      <c r="C283" s="23" t="str">
        <f>IF(Data!C283="","",(IF(ISNUMBER(MATCH("*@*.?*",Data!C283,0)),0,1)+IF(COUNTIFS(Data!C$1:'Data'!C283,Data!C283)&gt;1,1,0)))</f>
        <v/>
      </c>
      <c r="D283" s="9" t="str">
        <f>IF(Data!B283="","",IF(ISNUMBER(Data!D283),IF(AND(Data!D283&gt;999999999,Data!D283&lt;=9999999999),IF(COUNTIFS(Data!D$1:'Data'!D283,Data!D283)&lt;=1,0,1),1),1))</f>
        <v/>
      </c>
      <c r="E283" s="9" t="str">
        <f>IF(Data!B283="","",IF(ISNUMBER(MATCH(Data!E283,Data_Val!$A$2:$A$3,0)),0,1))</f>
        <v/>
      </c>
      <c r="F283" s="9" t="str">
        <f ca="1">IF(Data!B283="","",IF(ISNUMBER(Data!F283),IF(AND(Data!F283&gt;(TODAY()-(Data_Val!$H$3*365.25)),Data!F283&lt;=(TODAY()-(Data_Val!$H$2*365.25))),0,1),1))</f>
        <v/>
      </c>
      <c r="G283" s="15" t="str">
        <f>IF(Data!B283="","",IF(AND(Data!G283="",Data!H283&lt;&gt;""),1,IF(Data!#REF!&lt;&gt;"",0,IF(ISNUMBER(MATCH(Data!G283,Data_Val!$C$2:$C$5,0)),0,1))))</f>
        <v/>
      </c>
      <c r="H283" s="15" t="str">
        <f>IF(Data!B283="","",IF(AND(Data!G283&lt;&gt;"",Data!H283=""),1,IF(Data!#REF!&lt;&gt;"",0,IF(Data!G283="",1,IF(ISNUMBER(MATCH(Data!H283,Data_Val!$D$2:$D$35,0)),0,1)))))</f>
        <v/>
      </c>
      <c r="I283" s="15" t="str">
        <f>IF(Data!B283="","",IF(Data!G283&lt;&gt;"",0,IF(ISNUMBER(MATCH(Data!#REF!,Data_Val!$E$2:$E$12,0)),0,1)))</f>
        <v/>
      </c>
      <c r="J283" s="16" t="e">
        <f>IF(OR(Data!B283="",Data!#REF!=""),"",IF(Data!#REF!="",1,0))</f>
        <v>#REF!</v>
      </c>
      <c r="K283" s="16" t="e">
        <f>IF(OR(Data!B283="",Data!#REF!=""),"",IF(Data!#REF!="",1,0))</f>
        <v>#REF!</v>
      </c>
      <c r="L283" s="16" t="e">
        <f>IF(OR(Data!B283="",Data!#REF!=""),"",IF(ISNUMBER(Data!#REF!),IF(AND(Data!#REF!&gt;Data_Val!$G$2,Data!#REF!&lt;=Data_Val!$G$3),0,1),1))</f>
        <v>#REF!</v>
      </c>
      <c r="M283" s="9" t="e">
        <f>IF(OR(Data!B283="",Data!#REF!=""),"",IF(ISNUMBER(MATCH(Data!#REF!,Data_Val!$F$1:$F$38,0)),0,1))</f>
        <v>#REF!</v>
      </c>
      <c r="N283" s="9" t="e">
        <f>IF(OR(Data!B283="",Data!#REF!=""),"",IF(Data!#REF!="",1,0))</f>
        <v>#REF!</v>
      </c>
      <c r="O283" s="17" t="e">
        <f>IF(Data!#REF!="","",IF(Data!#REF!="",1,0))</f>
        <v>#REF!</v>
      </c>
      <c r="P283" s="17" t="e">
        <f>IF(Data!#REF!="","",IF(ISNUMBER(MATCH(Data!#REF!,Data_Val!$A$2:$A$3,0)),0,1))</f>
        <v>#REF!</v>
      </c>
      <c r="Q283" s="25" t="e">
        <f ca="1">IF(Data!#REF!="","",IF(ISNUMBER(Data!#REF!),IF(AND(Data!#REF!&gt;(TODAY()-(Data_Val!$J$3*365.25)),Data!#REF!&lt;=(TODAY()-(Data_Val!$J$2*365.25))),0,1),1))</f>
        <v>#REF!</v>
      </c>
      <c r="R283" s="17" t="e">
        <f>IF(Data!#REF!="","",IF(ISNUMBER(MATCH(Data!#REF!,Data_Val!$B$2:$B$15,0)),0,1))</f>
        <v>#REF!</v>
      </c>
      <c r="S283" s="11" t="str">
        <f>IF(Data!G283="","",IF(Data!G283=Data_Val!$C$2,IF(Data!M283="",0,1),0))</f>
        <v/>
      </c>
      <c r="T283" s="11" t="str">
        <f>IF(Data!M283="","",IF(ISNUMBER(MATCH(Data!N283,Data_Val!$A$2:$A$3,0)),0,1))</f>
        <v/>
      </c>
      <c r="U283" s="11" t="str">
        <f ca="1">IF(Data!M283="","",IF(ISNUMBER(Data!O283),IF(AND(Data!O283&gt;(TODAY()-(Data_Val!$K$3*365.25)),Data!O283&lt;=(TODAY()-(Data_Val!$K$2*365.25))),0,1),1))</f>
        <v/>
      </c>
      <c r="V283" s="12" t="str">
        <f>IF(Data!G283="","",IF(Data!G283=Data_Val!$C$2,IF(Data!P283="",0,1),0))</f>
        <v/>
      </c>
      <c r="W283" s="12" t="str">
        <f>IF(Data!P283="","",IF(ISNUMBER(MATCH(Data!Q283,Data_Val!$A$2:$A$3,0)),0,1))</f>
        <v/>
      </c>
      <c r="X283" s="26" t="str">
        <f ca="1">IF(Data!P283="","",IF(ISNUMBER(Data!R283),IF(AND(Data!R283&gt;(TODAY()-(Data_Val!$L$3*365.25)),Data!R283&lt;=(TODAY()-(Data_Val!$L$2*365.25))),0,1),1))</f>
        <v/>
      </c>
      <c r="Y283" s="13" t="str">
        <f>IF(Data!$G283="","",IF(Data!$G283=Data_Val!$C$2,IF(Data!S283="",0,1),0))</f>
        <v/>
      </c>
      <c r="Z283" s="13" t="str">
        <f>IF(Data!S283="","",IF(ISNUMBER(MATCH(Data!T283,Data_Val!$A$2:$A$3,0)),0,1))</f>
        <v/>
      </c>
      <c r="AA283" s="28" t="str">
        <f ca="1">IF(Data!S283="","",IF(ISNUMBER(Data!U283),IF(AND(Data!U283&gt;(TODAY()-(Data_Val!$L$3*365.25)),Data!U283&lt;=(TODAY()-(Data_Val!$L$2*365.25))),0,1),1))</f>
        <v/>
      </c>
      <c r="AB283" s="11"/>
      <c r="AC283" s="11" t="e">
        <f>IF(Data!#REF!="","",IF(ISNUMBER(MATCH(Data!#REF!,Data_Val!$A$2:$A$3,0)),0,1))</f>
        <v>#REF!</v>
      </c>
      <c r="AD283" s="11" t="e">
        <f ca="1">IF(Data!#REF!="","",IF(ISNUMBER(Data!#REF!),IF(AND(Data!#REF!&gt;(TODAY()-(Data_Val!$L$3*365.25)),Data!#REF!&lt;=(TODAY()-(Data_Val!$L$2*365.25))),0,1),1))</f>
        <v>#REF!</v>
      </c>
      <c r="AE283" s="11" t="e">
        <f>IF(Data!#REF!="","",IF(Data!$G283="",1,IF(ISNUMBER(MATCH(Data!#REF!,Data_Val!$D$2:$D$10,0)),0,1)))</f>
        <v>#REF!</v>
      </c>
      <c r="AF283" s="12"/>
      <c r="AG283" s="12" t="e">
        <f>IF(Data!#REF!="","",IF(ISNUMBER(MATCH(Data!#REF!,Data_Val!$A$2:$A$3,0)),0,1))</f>
        <v>#REF!</v>
      </c>
      <c r="AH283" s="26" t="e">
        <f ca="1">IF(Data!#REF!="","",IF(ISNUMBER(Data!#REF!),IF(AND(Data!#REF!&gt;(TODAY()-(Data_Val!$L$3*365.25)),Data!#REF!&lt;=(TODAY()-(Data_Val!$L$2*365.25))),0,1),1))</f>
        <v>#REF!</v>
      </c>
      <c r="AI283" s="12" t="e">
        <f>IF(Data!#REF!="","",IF(Data!$G283="",1,IF(ISNUMBER(MATCH(Data!#REF!,Data_Val!$D$2:$D$10,0)),0,1)))</f>
        <v>#REF!</v>
      </c>
      <c r="AJ283" s="17"/>
      <c r="AK283" s="17" t="e">
        <f>IF(Data!#REF!="","",IF(ISNUMBER(MATCH(Data!#REF!,Data_Val!$A$2:$A$3,0)),0,1))</f>
        <v>#REF!</v>
      </c>
      <c r="AL283" s="25" t="e">
        <f ca="1">IF(Data!#REF!="","",IF(ISNUMBER(Data!#REF!),IF(AND(Data!#REF!&gt;(TODAY()-(Data_Val!$L$3*365.25)),Data!#REF!&lt;=(TODAY()-(Data_Val!$L$2*365.25))),0,1),1))</f>
        <v>#REF!</v>
      </c>
      <c r="AM283" s="17" t="e">
        <f>IF(Data!#REF!="","",IF(Data!$G283="",1,IF(ISNUMBER(MATCH(Data!#REF!,Data_Val!$D$2:$D$10,0)),0,1)))</f>
        <v>#REF!</v>
      </c>
      <c r="AN283" s="13"/>
      <c r="AO283" s="28" t="e">
        <f ca="1">IF(Data!#REF!="","",IF(ISNUMBER(Data!#REF!),IF(AND(Data!#REF!&gt;(TODAY()-(Data_Val!$I$3*365.25)),Data!#REF!&lt;=(TODAY()-(Data_Val!$I$2*365.25))),0,1),1))</f>
        <v>#REF!</v>
      </c>
      <c r="AP283" s="13" t="e">
        <f>IF(Data!#REF!="","",IF(Data!$G283="",1,IF(ISNUMBER(MATCH(Data!#REF!,Data_Val!$D$2:$D$10,0)),0,1)))</f>
        <v>#REF!</v>
      </c>
      <c r="AQ283" s="17"/>
      <c r="AR283" s="30" t="e">
        <f ca="1">IF(Data!#REF!="","",IF(ISNUMBER(Data!#REF!),IF(AND(Data!#REF!&gt;(TODAY()-(Data_Val!$I$3*365.25)),Data!#REF!&lt;=(TODAY()-(Data_Val!$I$2*365.25))),0,1),1))</f>
        <v>#REF!</v>
      </c>
      <c r="AS283" s="31" t="e">
        <f>IF(Data!#REF!="","",IF(Data!$G283="",1,IF(ISNUMBER(MATCH(Data!#REF!,Data_Val!$D$2:$D$10,0)),0,1)))</f>
        <v>#REF!</v>
      </c>
      <c r="AT283" s="11"/>
      <c r="AU283" s="11" t="e">
        <f ca="1">IF(Data!#REF!="","",IF(ISNUMBER(Data!#REF!),IF(AND(Data!#REF!&gt;(TODAY()-(Data_Val!$I$3*365.25)),Data!#REF!&lt;=(TODAY()-(Data_Val!$I$2*365.25))),0,1),1))</f>
        <v>#REF!</v>
      </c>
      <c r="AV283" s="11" t="e">
        <f>IF(Data!#REF!="","",IF(Data!$G283="",1,IF(ISNUMBER(MATCH(Data!#REF!,Data_Val!$D$2:$D$10,0)),0,1)))</f>
        <v>#REF!</v>
      </c>
      <c r="AW283" s="12"/>
      <c r="AX283" s="26" t="e">
        <f ca="1">IF(Data!#REF!="","",IF(ISNUMBER(Data!#REF!),IF(AND(Data!#REF!&gt;(TODAY()-(Data_Val!$I$3*365.25)),Data!#REF!&lt;=(TODAY()-(Data_Val!$I$2*365.25))),0,1),1))</f>
        <v>#REF!</v>
      </c>
      <c r="AY283" s="12" t="e">
        <f>IF(Data!#REF!="","",IF(Data!$G283="",1,IF(ISNUMBER(MATCH(Data!#REF!,Data_Val!$D$2:$D$10,0)),0,1)))</f>
        <v>#REF!</v>
      </c>
      <c r="AZ283" s="11"/>
      <c r="BA283" s="19" t="e">
        <f ca="1">IF(Data!#REF!="","",IF(ISNUMBER(Data!#REF!),IF(AND(Data!#REF!&gt;(TODAY()-(Data_Val!$M$3*365.25)),Data!#REF!&lt;=(TODAY()-(Data_Val!$M$2*365.25))),0,1),1))</f>
        <v>#REF!</v>
      </c>
      <c r="BB283" s="11" t="e">
        <f>IF(Data!#REF!="","",IF(Data!$G283="",1,IF(ISNUMBER(MATCH(Data!#REF!,Data_Val!$D$2:$D$10,0)),0,1)))</f>
        <v>#REF!</v>
      </c>
      <c r="BC283" s="12"/>
      <c r="BD283" s="20" t="e">
        <f ca="1">IF(Data!#REF!="","",IF(ISNUMBER(Data!#REF!),IF(AND(Data!#REF!&gt;(TODAY()-(Data_Val!$M$3*365.25)),Data!#REF!&lt;=(TODAY()-(Data_Val!$M$2*365.25))),0,1),1))</f>
        <v>#REF!</v>
      </c>
      <c r="BE283" s="12" t="e">
        <f>IF(Data!#REF!="","",IF(Data!$G283="",1,IF(ISNUMBER(MATCH(Data!#REF!,Data_Val!$D$2:$D$10,0)),0,1)))</f>
        <v>#REF!</v>
      </c>
      <c r="BF283" s="17"/>
      <c r="BG283" s="18" t="e">
        <f ca="1">IF(Data!#REF!="","",IF(ISNUMBER(Data!#REF!),IF(AND(Data!#REF!&gt;(TODAY()-(Data_Val!$M$3*365.25)),Data!#REF!&lt;=(TODAY()-(Data_Val!$M$2*365.25))),0,1),1))</f>
        <v>#REF!</v>
      </c>
      <c r="BH283" s="29" t="e">
        <f>IF(Data!#REF!="","",IF(Data!$G283="",1,IF(ISNUMBER(MATCH(Data!#REF!,Data_Val!$D$2:$D$10,0)),0,1)))</f>
        <v>#REF!</v>
      </c>
      <c r="BI283" s="13"/>
      <c r="BJ283" s="21" t="e">
        <f ca="1">IF(Data!#REF!="","",IF(ISNUMBER(Data!#REF!),IF(AND(Data!#REF!&gt;(TODAY()-(Data_Val!$M$3*365.25)),Data!#REF!&lt;=(TODAY()-(Data_Val!$M$2*365.25))),0,1),1))</f>
        <v>#REF!</v>
      </c>
      <c r="BK283" s="13" t="e">
        <f>IF(Data!#REF!="","",IF(Data!$G283="",1,IF(ISNUMBER(MATCH(Data!#REF!,Data_Val!$D$2:$D$10,0)),0,1)))</f>
        <v>#REF!</v>
      </c>
    </row>
    <row r="284" spans="1:63" x14ac:dyDescent="0.25">
      <c r="A284" s="9" t="str">
        <f>IF(Data!B284="","",IF(COUNTIFS(Data!A$1:'Data'!A284,Data!A284)&lt;=1,0,1))</f>
        <v/>
      </c>
      <c r="B284" s="9"/>
      <c r="C284" s="23" t="str">
        <f>IF(Data!C284="","",(IF(ISNUMBER(MATCH("*@*.?*",Data!C284,0)),0,1)+IF(COUNTIFS(Data!C$1:'Data'!C284,Data!C284)&gt;1,1,0)))</f>
        <v/>
      </c>
      <c r="D284" s="9" t="str">
        <f>IF(Data!B284="","",IF(ISNUMBER(Data!D284),IF(AND(Data!D284&gt;999999999,Data!D284&lt;=9999999999),IF(COUNTIFS(Data!D$1:'Data'!D284,Data!D284)&lt;=1,0,1),1),1))</f>
        <v/>
      </c>
      <c r="E284" s="9" t="str">
        <f>IF(Data!B284="","",IF(ISNUMBER(MATCH(Data!E284,Data_Val!$A$2:$A$3,0)),0,1))</f>
        <v/>
      </c>
      <c r="F284" s="9" t="str">
        <f ca="1">IF(Data!B284="","",IF(ISNUMBER(Data!F284),IF(AND(Data!F284&gt;(TODAY()-(Data_Val!$H$3*365.25)),Data!F284&lt;=(TODAY()-(Data_Val!$H$2*365.25))),0,1),1))</f>
        <v/>
      </c>
      <c r="G284" s="15" t="str">
        <f>IF(Data!B284="","",IF(AND(Data!G284="",Data!H284&lt;&gt;""),1,IF(Data!#REF!&lt;&gt;"",0,IF(ISNUMBER(MATCH(Data!G284,Data_Val!$C$2:$C$5,0)),0,1))))</f>
        <v/>
      </c>
      <c r="H284" s="15" t="str">
        <f>IF(Data!B284="","",IF(AND(Data!G284&lt;&gt;"",Data!H284=""),1,IF(Data!#REF!&lt;&gt;"",0,IF(Data!G284="",1,IF(ISNUMBER(MATCH(Data!H284,Data_Val!$D$2:$D$35,0)),0,1)))))</f>
        <v/>
      </c>
      <c r="I284" s="15" t="str">
        <f>IF(Data!B284="","",IF(Data!G284&lt;&gt;"",0,IF(ISNUMBER(MATCH(Data!#REF!,Data_Val!$E$2:$E$12,0)),0,1)))</f>
        <v/>
      </c>
      <c r="J284" s="16" t="e">
        <f>IF(OR(Data!B284="",Data!#REF!=""),"",IF(Data!#REF!="",1,0))</f>
        <v>#REF!</v>
      </c>
      <c r="K284" s="16" t="e">
        <f>IF(OR(Data!B284="",Data!#REF!=""),"",IF(Data!#REF!="",1,0))</f>
        <v>#REF!</v>
      </c>
      <c r="L284" s="16" t="e">
        <f>IF(OR(Data!B284="",Data!#REF!=""),"",IF(ISNUMBER(Data!#REF!),IF(AND(Data!#REF!&gt;Data_Val!$G$2,Data!#REF!&lt;=Data_Val!$G$3),0,1),1))</f>
        <v>#REF!</v>
      </c>
      <c r="M284" s="9" t="e">
        <f>IF(OR(Data!B284="",Data!#REF!=""),"",IF(ISNUMBER(MATCH(Data!#REF!,Data_Val!$F$1:$F$38,0)),0,1))</f>
        <v>#REF!</v>
      </c>
      <c r="N284" s="9" t="e">
        <f>IF(OR(Data!B284="",Data!#REF!=""),"",IF(Data!#REF!="",1,0))</f>
        <v>#REF!</v>
      </c>
      <c r="O284" s="17" t="e">
        <f>IF(Data!#REF!="","",IF(Data!#REF!="",1,0))</f>
        <v>#REF!</v>
      </c>
      <c r="P284" s="17" t="e">
        <f>IF(Data!#REF!="","",IF(ISNUMBER(MATCH(Data!#REF!,Data_Val!$A$2:$A$3,0)),0,1))</f>
        <v>#REF!</v>
      </c>
      <c r="Q284" s="25" t="e">
        <f ca="1">IF(Data!#REF!="","",IF(ISNUMBER(Data!#REF!),IF(AND(Data!#REF!&gt;(TODAY()-(Data_Val!$J$3*365.25)),Data!#REF!&lt;=(TODAY()-(Data_Val!$J$2*365.25))),0,1),1))</f>
        <v>#REF!</v>
      </c>
      <c r="R284" s="17" t="e">
        <f>IF(Data!#REF!="","",IF(ISNUMBER(MATCH(Data!#REF!,Data_Val!$B$2:$B$15,0)),0,1))</f>
        <v>#REF!</v>
      </c>
      <c r="S284" s="11" t="str">
        <f>IF(Data!G284="","",IF(Data!G284=Data_Val!$C$2,IF(Data!M284="",0,1),0))</f>
        <v/>
      </c>
      <c r="T284" s="11" t="str">
        <f>IF(Data!M284="","",IF(ISNUMBER(MATCH(Data!N284,Data_Val!$A$2:$A$3,0)),0,1))</f>
        <v/>
      </c>
      <c r="U284" s="11" t="str">
        <f ca="1">IF(Data!M284="","",IF(ISNUMBER(Data!O284),IF(AND(Data!O284&gt;(TODAY()-(Data_Val!$K$3*365.25)),Data!O284&lt;=(TODAY()-(Data_Val!$K$2*365.25))),0,1),1))</f>
        <v/>
      </c>
      <c r="V284" s="12" t="str">
        <f>IF(Data!G284="","",IF(Data!G284=Data_Val!$C$2,IF(Data!P284="",0,1),0))</f>
        <v/>
      </c>
      <c r="W284" s="12" t="str">
        <f>IF(Data!P284="","",IF(ISNUMBER(MATCH(Data!Q284,Data_Val!$A$2:$A$3,0)),0,1))</f>
        <v/>
      </c>
      <c r="X284" s="26" t="str">
        <f ca="1">IF(Data!P284="","",IF(ISNUMBER(Data!R284),IF(AND(Data!R284&gt;(TODAY()-(Data_Val!$L$3*365.25)),Data!R284&lt;=(TODAY()-(Data_Val!$L$2*365.25))),0,1),1))</f>
        <v/>
      </c>
      <c r="Y284" s="13" t="str">
        <f>IF(Data!$G284="","",IF(Data!$G284=Data_Val!$C$2,IF(Data!S284="",0,1),0))</f>
        <v/>
      </c>
      <c r="Z284" s="13" t="str">
        <f>IF(Data!S284="","",IF(ISNUMBER(MATCH(Data!T284,Data_Val!$A$2:$A$3,0)),0,1))</f>
        <v/>
      </c>
      <c r="AA284" s="28" t="str">
        <f ca="1">IF(Data!S284="","",IF(ISNUMBER(Data!U284),IF(AND(Data!U284&gt;(TODAY()-(Data_Val!$L$3*365.25)),Data!U284&lt;=(TODAY()-(Data_Val!$L$2*365.25))),0,1),1))</f>
        <v/>
      </c>
      <c r="AB284" s="11"/>
      <c r="AC284" s="11" t="e">
        <f>IF(Data!#REF!="","",IF(ISNUMBER(MATCH(Data!#REF!,Data_Val!$A$2:$A$3,0)),0,1))</f>
        <v>#REF!</v>
      </c>
      <c r="AD284" s="11" t="e">
        <f ca="1">IF(Data!#REF!="","",IF(ISNUMBER(Data!#REF!),IF(AND(Data!#REF!&gt;(TODAY()-(Data_Val!$L$3*365.25)),Data!#REF!&lt;=(TODAY()-(Data_Val!$L$2*365.25))),0,1),1))</f>
        <v>#REF!</v>
      </c>
      <c r="AE284" s="11" t="e">
        <f>IF(Data!#REF!="","",IF(Data!$G284="",1,IF(ISNUMBER(MATCH(Data!#REF!,Data_Val!$D$2:$D$10,0)),0,1)))</f>
        <v>#REF!</v>
      </c>
      <c r="AF284" s="12"/>
      <c r="AG284" s="12" t="e">
        <f>IF(Data!#REF!="","",IF(ISNUMBER(MATCH(Data!#REF!,Data_Val!$A$2:$A$3,0)),0,1))</f>
        <v>#REF!</v>
      </c>
      <c r="AH284" s="26" t="e">
        <f ca="1">IF(Data!#REF!="","",IF(ISNUMBER(Data!#REF!),IF(AND(Data!#REF!&gt;(TODAY()-(Data_Val!$L$3*365.25)),Data!#REF!&lt;=(TODAY()-(Data_Val!$L$2*365.25))),0,1),1))</f>
        <v>#REF!</v>
      </c>
      <c r="AI284" s="12" t="e">
        <f>IF(Data!#REF!="","",IF(Data!$G284="",1,IF(ISNUMBER(MATCH(Data!#REF!,Data_Val!$D$2:$D$10,0)),0,1)))</f>
        <v>#REF!</v>
      </c>
      <c r="AJ284" s="17"/>
      <c r="AK284" s="17" t="e">
        <f>IF(Data!#REF!="","",IF(ISNUMBER(MATCH(Data!#REF!,Data_Val!$A$2:$A$3,0)),0,1))</f>
        <v>#REF!</v>
      </c>
      <c r="AL284" s="25" t="e">
        <f ca="1">IF(Data!#REF!="","",IF(ISNUMBER(Data!#REF!),IF(AND(Data!#REF!&gt;(TODAY()-(Data_Val!$L$3*365.25)),Data!#REF!&lt;=(TODAY()-(Data_Val!$L$2*365.25))),0,1),1))</f>
        <v>#REF!</v>
      </c>
      <c r="AM284" s="17" t="e">
        <f>IF(Data!#REF!="","",IF(Data!$G284="",1,IF(ISNUMBER(MATCH(Data!#REF!,Data_Val!$D$2:$D$10,0)),0,1)))</f>
        <v>#REF!</v>
      </c>
      <c r="AN284" s="13"/>
      <c r="AO284" s="28" t="e">
        <f ca="1">IF(Data!#REF!="","",IF(ISNUMBER(Data!#REF!),IF(AND(Data!#REF!&gt;(TODAY()-(Data_Val!$I$3*365.25)),Data!#REF!&lt;=(TODAY()-(Data_Val!$I$2*365.25))),0,1),1))</f>
        <v>#REF!</v>
      </c>
      <c r="AP284" s="13" t="e">
        <f>IF(Data!#REF!="","",IF(Data!$G284="",1,IF(ISNUMBER(MATCH(Data!#REF!,Data_Val!$D$2:$D$10,0)),0,1)))</f>
        <v>#REF!</v>
      </c>
      <c r="AQ284" s="17"/>
      <c r="AR284" s="30" t="e">
        <f ca="1">IF(Data!#REF!="","",IF(ISNUMBER(Data!#REF!),IF(AND(Data!#REF!&gt;(TODAY()-(Data_Val!$I$3*365.25)),Data!#REF!&lt;=(TODAY()-(Data_Val!$I$2*365.25))),0,1),1))</f>
        <v>#REF!</v>
      </c>
      <c r="AS284" s="31" t="e">
        <f>IF(Data!#REF!="","",IF(Data!$G284="",1,IF(ISNUMBER(MATCH(Data!#REF!,Data_Val!$D$2:$D$10,0)),0,1)))</f>
        <v>#REF!</v>
      </c>
      <c r="AT284" s="11"/>
      <c r="AU284" s="11" t="e">
        <f ca="1">IF(Data!#REF!="","",IF(ISNUMBER(Data!#REF!),IF(AND(Data!#REF!&gt;(TODAY()-(Data_Val!$I$3*365.25)),Data!#REF!&lt;=(TODAY()-(Data_Val!$I$2*365.25))),0,1),1))</f>
        <v>#REF!</v>
      </c>
      <c r="AV284" s="11" t="e">
        <f>IF(Data!#REF!="","",IF(Data!$G284="",1,IF(ISNUMBER(MATCH(Data!#REF!,Data_Val!$D$2:$D$10,0)),0,1)))</f>
        <v>#REF!</v>
      </c>
      <c r="AW284" s="12"/>
      <c r="AX284" s="26" t="e">
        <f ca="1">IF(Data!#REF!="","",IF(ISNUMBER(Data!#REF!),IF(AND(Data!#REF!&gt;(TODAY()-(Data_Val!$I$3*365.25)),Data!#REF!&lt;=(TODAY()-(Data_Val!$I$2*365.25))),0,1),1))</f>
        <v>#REF!</v>
      </c>
      <c r="AY284" s="12" t="e">
        <f>IF(Data!#REF!="","",IF(Data!$G284="",1,IF(ISNUMBER(MATCH(Data!#REF!,Data_Val!$D$2:$D$10,0)),0,1)))</f>
        <v>#REF!</v>
      </c>
      <c r="AZ284" s="11"/>
      <c r="BA284" s="19" t="e">
        <f ca="1">IF(Data!#REF!="","",IF(ISNUMBER(Data!#REF!),IF(AND(Data!#REF!&gt;(TODAY()-(Data_Val!$M$3*365.25)),Data!#REF!&lt;=(TODAY()-(Data_Val!$M$2*365.25))),0,1),1))</f>
        <v>#REF!</v>
      </c>
      <c r="BB284" s="11" t="e">
        <f>IF(Data!#REF!="","",IF(Data!$G284="",1,IF(ISNUMBER(MATCH(Data!#REF!,Data_Val!$D$2:$D$10,0)),0,1)))</f>
        <v>#REF!</v>
      </c>
      <c r="BC284" s="12"/>
      <c r="BD284" s="20" t="e">
        <f ca="1">IF(Data!#REF!="","",IF(ISNUMBER(Data!#REF!),IF(AND(Data!#REF!&gt;(TODAY()-(Data_Val!$M$3*365.25)),Data!#REF!&lt;=(TODAY()-(Data_Val!$M$2*365.25))),0,1),1))</f>
        <v>#REF!</v>
      </c>
      <c r="BE284" s="12" t="e">
        <f>IF(Data!#REF!="","",IF(Data!$G284="",1,IF(ISNUMBER(MATCH(Data!#REF!,Data_Val!$D$2:$D$10,0)),0,1)))</f>
        <v>#REF!</v>
      </c>
      <c r="BF284" s="17"/>
      <c r="BG284" s="18" t="e">
        <f ca="1">IF(Data!#REF!="","",IF(ISNUMBER(Data!#REF!),IF(AND(Data!#REF!&gt;(TODAY()-(Data_Val!$M$3*365.25)),Data!#REF!&lt;=(TODAY()-(Data_Val!$M$2*365.25))),0,1),1))</f>
        <v>#REF!</v>
      </c>
      <c r="BH284" s="29" t="e">
        <f>IF(Data!#REF!="","",IF(Data!$G284="",1,IF(ISNUMBER(MATCH(Data!#REF!,Data_Val!$D$2:$D$10,0)),0,1)))</f>
        <v>#REF!</v>
      </c>
      <c r="BI284" s="13"/>
      <c r="BJ284" s="21" t="e">
        <f ca="1">IF(Data!#REF!="","",IF(ISNUMBER(Data!#REF!),IF(AND(Data!#REF!&gt;(TODAY()-(Data_Val!$M$3*365.25)),Data!#REF!&lt;=(TODAY()-(Data_Val!$M$2*365.25))),0,1),1))</f>
        <v>#REF!</v>
      </c>
      <c r="BK284" s="13" t="e">
        <f>IF(Data!#REF!="","",IF(Data!$G284="",1,IF(ISNUMBER(MATCH(Data!#REF!,Data_Val!$D$2:$D$10,0)),0,1)))</f>
        <v>#REF!</v>
      </c>
    </row>
    <row r="285" spans="1:63" x14ac:dyDescent="0.25">
      <c r="A285" s="9" t="str">
        <f>IF(Data!B285="","",IF(COUNTIFS(Data!A$1:'Data'!A285,Data!A285)&lt;=1,0,1))</f>
        <v/>
      </c>
      <c r="B285" s="9"/>
      <c r="C285" s="23" t="str">
        <f>IF(Data!C285="","",(IF(ISNUMBER(MATCH("*@*.?*",Data!C285,0)),0,1)+IF(COUNTIFS(Data!C$1:'Data'!C285,Data!C285)&gt;1,1,0)))</f>
        <v/>
      </c>
      <c r="D285" s="9" t="str">
        <f>IF(Data!B285="","",IF(ISNUMBER(Data!D285),IF(AND(Data!D285&gt;999999999,Data!D285&lt;=9999999999),IF(COUNTIFS(Data!D$1:'Data'!D285,Data!D285)&lt;=1,0,1),1),1))</f>
        <v/>
      </c>
      <c r="E285" s="9" t="str">
        <f>IF(Data!B285="","",IF(ISNUMBER(MATCH(Data!E285,Data_Val!$A$2:$A$3,0)),0,1))</f>
        <v/>
      </c>
      <c r="F285" s="9" t="str">
        <f ca="1">IF(Data!B285="","",IF(ISNUMBER(Data!F285),IF(AND(Data!F285&gt;(TODAY()-(Data_Val!$H$3*365.25)),Data!F285&lt;=(TODAY()-(Data_Val!$H$2*365.25))),0,1),1))</f>
        <v/>
      </c>
      <c r="G285" s="15" t="str">
        <f>IF(Data!B285="","",IF(AND(Data!G285="",Data!H285&lt;&gt;""),1,IF(Data!#REF!&lt;&gt;"",0,IF(ISNUMBER(MATCH(Data!G285,Data_Val!$C$2:$C$5,0)),0,1))))</f>
        <v/>
      </c>
      <c r="H285" s="15" t="str">
        <f>IF(Data!B285="","",IF(AND(Data!G285&lt;&gt;"",Data!H285=""),1,IF(Data!#REF!&lt;&gt;"",0,IF(Data!G285="",1,IF(ISNUMBER(MATCH(Data!H285,Data_Val!$D$2:$D$35,0)),0,1)))))</f>
        <v/>
      </c>
      <c r="I285" s="15" t="str">
        <f>IF(Data!B285="","",IF(Data!G285&lt;&gt;"",0,IF(ISNUMBER(MATCH(Data!#REF!,Data_Val!$E$2:$E$12,0)),0,1)))</f>
        <v/>
      </c>
      <c r="J285" s="16" t="e">
        <f>IF(OR(Data!B285="",Data!#REF!=""),"",IF(Data!#REF!="",1,0))</f>
        <v>#REF!</v>
      </c>
      <c r="K285" s="16" t="e">
        <f>IF(OR(Data!B285="",Data!#REF!=""),"",IF(Data!#REF!="",1,0))</f>
        <v>#REF!</v>
      </c>
      <c r="L285" s="16" t="e">
        <f>IF(OR(Data!B285="",Data!#REF!=""),"",IF(ISNUMBER(Data!#REF!),IF(AND(Data!#REF!&gt;Data_Val!$G$2,Data!#REF!&lt;=Data_Val!$G$3),0,1),1))</f>
        <v>#REF!</v>
      </c>
      <c r="M285" s="9" t="e">
        <f>IF(OR(Data!B285="",Data!#REF!=""),"",IF(ISNUMBER(MATCH(Data!#REF!,Data_Val!$F$1:$F$38,0)),0,1))</f>
        <v>#REF!</v>
      </c>
      <c r="N285" s="9" t="e">
        <f>IF(OR(Data!B285="",Data!#REF!=""),"",IF(Data!#REF!="",1,0))</f>
        <v>#REF!</v>
      </c>
      <c r="O285" s="17" t="e">
        <f>IF(Data!#REF!="","",IF(Data!#REF!="",1,0))</f>
        <v>#REF!</v>
      </c>
      <c r="P285" s="17" t="e">
        <f>IF(Data!#REF!="","",IF(ISNUMBER(MATCH(Data!#REF!,Data_Val!$A$2:$A$3,0)),0,1))</f>
        <v>#REF!</v>
      </c>
      <c r="Q285" s="25" t="e">
        <f ca="1">IF(Data!#REF!="","",IF(ISNUMBER(Data!#REF!),IF(AND(Data!#REF!&gt;(TODAY()-(Data_Val!$J$3*365.25)),Data!#REF!&lt;=(TODAY()-(Data_Val!$J$2*365.25))),0,1),1))</f>
        <v>#REF!</v>
      </c>
      <c r="R285" s="17" t="e">
        <f>IF(Data!#REF!="","",IF(ISNUMBER(MATCH(Data!#REF!,Data_Val!$B$2:$B$15,0)),0,1))</f>
        <v>#REF!</v>
      </c>
      <c r="S285" s="11" t="str">
        <f>IF(Data!G285="","",IF(Data!G285=Data_Val!$C$2,IF(Data!M285="",0,1),0))</f>
        <v/>
      </c>
      <c r="T285" s="11" t="str">
        <f>IF(Data!M285="","",IF(ISNUMBER(MATCH(Data!N285,Data_Val!$A$2:$A$3,0)),0,1))</f>
        <v/>
      </c>
      <c r="U285" s="11" t="str">
        <f ca="1">IF(Data!M285="","",IF(ISNUMBER(Data!O285),IF(AND(Data!O285&gt;(TODAY()-(Data_Val!$K$3*365.25)),Data!O285&lt;=(TODAY()-(Data_Val!$K$2*365.25))),0,1),1))</f>
        <v/>
      </c>
      <c r="V285" s="12" t="str">
        <f>IF(Data!G285="","",IF(Data!G285=Data_Val!$C$2,IF(Data!P285="",0,1),0))</f>
        <v/>
      </c>
      <c r="W285" s="12" t="str">
        <f>IF(Data!P285="","",IF(ISNUMBER(MATCH(Data!Q285,Data_Val!$A$2:$A$3,0)),0,1))</f>
        <v/>
      </c>
      <c r="X285" s="26" t="str">
        <f ca="1">IF(Data!P285="","",IF(ISNUMBER(Data!R285),IF(AND(Data!R285&gt;(TODAY()-(Data_Val!$L$3*365.25)),Data!R285&lt;=(TODAY()-(Data_Val!$L$2*365.25))),0,1),1))</f>
        <v/>
      </c>
      <c r="Y285" s="13" t="str">
        <f>IF(Data!$G285="","",IF(Data!$G285=Data_Val!$C$2,IF(Data!S285="",0,1),0))</f>
        <v/>
      </c>
      <c r="Z285" s="13" t="str">
        <f>IF(Data!S285="","",IF(ISNUMBER(MATCH(Data!T285,Data_Val!$A$2:$A$3,0)),0,1))</f>
        <v/>
      </c>
      <c r="AA285" s="28" t="str">
        <f ca="1">IF(Data!S285="","",IF(ISNUMBER(Data!U285),IF(AND(Data!U285&gt;(TODAY()-(Data_Val!$L$3*365.25)),Data!U285&lt;=(TODAY()-(Data_Val!$L$2*365.25))),0,1),1))</f>
        <v/>
      </c>
      <c r="AB285" s="11"/>
      <c r="AC285" s="11" t="e">
        <f>IF(Data!#REF!="","",IF(ISNUMBER(MATCH(Data!#REF!,Data_Val!$A$2:$A$3,0)),0,1))</f>
        <v>#REF!</v>
      </c>
      <c r="AD285" s="11" t="e">
        <f ca="1">IF(Data!#REF!="","",IF(ISNUMBER(Data!#REF!),IF(AND(Data!#REF!&gt;(TODAY()-(Data_Val!$L$3*365.25)),Data!#REF!&lt;=(TODAY()-(Data_Val!$L$2*365.25))),0,1),1))</f>
        <v>#REF!</v>
      </c>
      <c r="AE285" s="11" t="e">
        <f>IF(Data!#REF!="","",IF(Data!$G285="",1,IF(ISNUMBER(MATCH(Data!#REF!,Data_Val!$D$2:$D$10,0)),0,1)))</f>
        <v>#REF!</v>
      </c>
      <c r="AF285" s="12"/>
      <c r="AG285" s="12" t="e">
        <f>IF(Data!#REF!="","",IF(ISNUMBER(MATCH(Data!#REF!,Data_Val!$A$2:$A$3,0)),0,1))</f>
        <v>#REF!</v>
      </c>
      <c r="AH285" s="26" t="e">
        <f ca="1">IF(Data!#REF!="","",IF(ISNUMBER(Data!#REF!),IF(AND(Data!#REF!&gt;(TODAY()-(Data_Val!$L$3*365.25)),Data!#REF!&lt;=(TODAY()-(Data_Val!$L$2*365.25))),0,1),1))</f>
        <v>#REF!</v>
      </c>
      <c r="AI285" s="12" t="e">
        <f>IF(Data!#REF!="","",IF(Data!$G285="",1,IF(ISNUMBER(MATCH(Data!#REF!,Data_Val!$D$2:$D$10,0)),0,1)))</f>
        <v>#REF!</v>
      </c>
      <c r="AJ285" s="17"/>
      <c r="AK285" s="17" t="e">
        <f>IF(Data!#REF!="","",IF(ISNUMBER(MATCH(Data!#REF!,Data_Val!$A$2:$A$3,0)),0,1))</f>
        <v>#REF!</v>
      </c>
      <c r="AL285" s="25" t="e">
        <f ca="1">IF(Data!#REF!="","",IF(ISNUMBER(Data!#REF!),IF(AND(Data!#REF!&gt;(TODAY()-(Data_Val!$L$3*365.25)),Data!#REF!&lt;=(TODAY()-(Data_Val!$L$2*365.25))),0,1),1))</f>
        <v>#REF!</v>
      </c>
      <c r="AM285" s="17" t="e">
        <f>IF(Data!#REF!="","",IF(Data!$G285="",1,IF(ISNUMBER(MATCH(Data!#REF!,Data_Val!$D$2:$D$10,0)),0,1)))</f>
        <v>#REF!</v>
      </c>
      <c r="AN285" s="13"/>
      <c r="AO285" s="28" t="e">
        <f ca="1">IF(Data!#REF!="","",IF(ISNUMBER(Data!#REF!),IF(AND(Data!#REF!&gt;(TODAY()-(Data_Val!$I$3*365.25)),Data!#REF!&lt;=(TODAY()-(Data_Val!$I$2*365.25))),0,1),1))</f>
        <v>#REF!</v>
      </c>
      <c r="AP285" s="13" t="e">
        <f>IF(Data!#REF!="","",IF(Data!$G285="",1,IF(ISNUMBER(MATCH(Data!#REF!,Data_Val!$D$2:$D$10,0)),0,1)))</f>
        <v>#REF!</v>
      </c>
      <c r="AQ285" s="17"/>
      <c r="AR285" s="30" t="e">
        <f ca="1">IF(Data!#REF!="","",IF(ISNUMBER(Data!#REF!),IF(AND(Data!#REF!&gt;(TODAY()-(Data_Val!$I$3*365.25)),Data!#REF!&lt;=(TODAY()-(Data_Val!$I$2*365.25))),0,1),1))</f>
        <v>#REF!</v>
      </c>
      <c r="AS285" s="31" t="e">
        <f>IF(Data!#REF!="","",IF(Data!$G285="",1,IF(ISNUMBER(MATCH(Data!#REF!,Data_Val!$D$2:$D$10,0)),0,1)))</f>
        <v>#REF!</v>
      </c>
      <c r="AT285" s="11"/>
      <c r="AU285" s="11" t="e">
        <f ca="1">IF(Data!#REF!="","",IF(ISNUMBER(Data!#REF!),IF(AND(Data!#REF!&gt;(TODAY()-(Data_Val!$I$3*365.25)),Data!#REF!&lt;=(TODAY()-(Data_Val!$I$2*365.25))),0,1),1))</f>
        <v>#REF!</v>
      </c>
      <c r="AV285" s="11" t="e">
        <f>IF(Data!#REF!="","",IF(Data!$G285="",1,IF(ISNUMBER(MATCH(Data!#REF!,Data_Val!$D$2:$D$10,0)),0,1)))</f>
        <v>#REF!</v>
      </c>
      <c r="AW285" s="12"/>
      <c r="AX285" s="26" t="e">
        <f ca="1">IF(Data!#REF!="","",IF(ISNUMBER(Data!#REF!),IF(AND(Data!#REF!&gt;(TODAY()-(Data_Val!$I$3*365.25)),Data!#REF!&lt;=(TODAY()-(Data_Val!$I$2*365.25))),0,1),1))</f>
        <v>#REF!</v>
      </c>
      <c r="AY285" s="12" t="e">
        <f>IF(Data!#REF!="","",IF(Data!$G285="",1,IF(ISNUMBER(MATCH(Data!#REF!,Data_Val!$D$2:$D$10,0)),0,1)))</f>
        <v>#REF!</v>
      </c>
      <c r="AZ285" s="11"/>
      <c r="BA285" s="19" t="e">
        <f ca="1">IF(Data!#REF!="","",IF(ISNUMBER(Data!#REF!),IF(AND(Data!#REF!&gt;(TODAY()-(Data_Val!$M$3*365.25)),Data!#REF!&lt;=(TODAY()-(Data_Val!$M$2*365.25))),0,1),1))</f>
        <v>#REF!</v>
      </c>
      <c r="BB285" s="11" t="e">
        <f>IF(Data!#REF!="","",IF(Data!$G285="",1,IF(ISNUMBER(MATCH(Data!#REF!,Data_Val!$D$2:$D$10,0)),0,1)))</f>
        <v>#REF!</v>
      </c>
      <c r="BC285" s="12"/>
      <c r="BD285" s="20" t="e">
        <f ca="1">IF(Data!#REF!="","",IF(ISNUMBER(Data!#REF!),IF(AND(Data!#REF!&gt;(TODAY()-(Data_Val!$M$3*365.25)),Data!#REF!&lt;=(TODAY()-(Data_Val!$M$2*365.25))),0,1),1))</f>
        <v>#REF!</v>
      </c>
      <c r="BE285" s="12" t="e">
        <f>IF(Data!#REF!="","",IF(Data!$G285="",1,IF(ISNUMBER(MATCH(Data!#REF!,Data_Val!$D$2:$D$10,0)),0,1)))</f>
        <v>#REF!</v>
      </c>
      <c r="BF285" s="17"/>
      <c r="BG285" s="18" t="e">
        <f ca="1">IF(Data!#REF!="","",IF(ISNUMBER(Data!#REF!),IF(AND(Data!#REF!&gt;(TODAY()-(Data_Val!$M$3*365.25)),Data!#REF!&lt;=(TODAY()-(Data_Val!$M$2*365.25))),0,1),1))</f>
        <v>#REF!</v>
      </c>
      <c r="BH285" s="29" t="e">
        <f>IF(Data!#REF!="","",IF(Data!$G285="",1,IF(ISNUMBER(MATCH(Data!#REF!,Data_Val!$D$2:$D$10,0)),0,1)))</f>
        <v>#REF!</v>
      </c>
      <c r="BI285" s="13"/>
      <c r="BJ285" s="21" t="e">
        <f ca="1">IF(Data!#REF!="","",IF(ISNUMBER(Data!#REF!),IF(AND(Data!#REF!&gt;(TODAY()-(Data_Val!$M$3*365.25)),Data!#REF!&lt;=(TODAY()-(Data_Val!$M$2*365.25))),0,1),1))</f>
        <v>#REF!</v>
      </c>
      <c r="BK285" s="13" t="e">
        <f>IF(Data!#REF!="","",IF(Data!$G285="",1,IF(ISNUMBER(MATCH(Data!#REF!,Data_Val!$D$2:$D$10,0)),0,1)))</f>
        <v>#REF!</v>
      </c>
    </row>
    <row r="286" spans="1:63" x14ac:dyDescent="0.25">
      <c r="A286" s="9" t="str">
        <f>IF(Data!B286="","",IF(COUNTIFS(Data!A$1:'Data'!A286,Data!A286)&lt;=1,0,1))</f>
        <v/>
      </c>
      <c r="B286" s="9"/>
      <c r="C286" s="23" t="str">
        <f>IF(Data!C286="","",(IF(ISNUMBER(MATCH("*@*.?*",Data!C286,0)),0,1)+IF(COUNTIFS(Data!C$1:'Data'!C286,Data!C286)&gt;1,1,0)))</f>
        <v/>
      </c>
      <c r="D286" s="9" t="str">
        <f>IF(Data!B286="","",IF(ISNUMBER(Data!D286),IF(AND(Data!D286&gt;999999999,Data!D286&lt;=9999999999),IF(COUNTIFS(Data!D$1:'Data'!D286,Data!D286)&lt;=1,0,1),1),1))</f>
        <v/>
      </c>
      <c r="E286" s="9" t="str">
        <f>IF(Data!B286="","",IF(ISNUMBER(MATCH(Data!E286,Data_Val!$A$2:$A$3,0)),0,1))</f>
        <v/>
      </c>
      <c r="F286" s="9" t="str">
        <f ca="1">IF(Data!B286="","",IF(ISNUMBER(Data!F286),IF(AND(Data!F286&gt;(TODAY()-(Data_Val!$H$3*365.25)),Data!F286&lt;=(TODAY()-(Data_Val!$H$2*365.25))),0,1),1))</f>
        <v/>
      </c>
      <c r="G286" s="15" t="str">
        <f>IF(Data!B286="","",IF(AND(Data!G286="",Data!H286&lt;&gt;""),1,IF(Data!#REF!&lt;&gt;"",0,IF(ISNUMBER(MATCH(Data!G286,Data_Val!$C$2:$C$5,0)),0,1))))</f>
        <v/>
      </c>
      <c r="H286" s="15" t="str">
        <f>IF(Data!B286="","",IF(AND(Data!G286&lt;&gt;"",Data!H286=""),1,IF(Data!#REF!&lt;&gt;"",0,IF(Data!G286="",1,IF(ISNUMBER(MATCH(Data!H286,Data_Val!$D$2:$D$35,0)),0,1)))))</f>
        <v/>
      </c>
      <c r="I286" s="15" t="str">
        <f>IF(Data!B286="","",IF(Data!G286&lt;&gt;"",0,IF(ISNUMBER(MATCH(Data!#REF!,Data_Val!$E$2:$E$12,0)),0,1)))</f>
        <v/>
      </c>
      <c r="J286" s="16" t="e">
        <f>IF(OR(Data!B286="",Data!#REF!=""),"",IF(Data!#REF!="",1,0))</f>
        <v>#REF!</v>
      </c>
      <c r="K286" s="16" t="e">
        <f>IF(OR(Data!B286="",Data!#REF!=""),"",IF(Data!#REF!="",1,0))</f>
        <v>#REF!</v>
      </c>
      <c r="L286" s="16" t="e">
        <f>IF(OR(Data!B286="",Data!#REF!=""),"",IF(ISNUMBER(Data!#REF!),IF(AND(Data!#REF!&gt;Data_Val!$G$2,Data!#REF!&lt;=Data_Val!$G$3),0,1),1))</f>
        <v>#REF!</v>
      </c>
      <c r="M286" s="9" t="e">
        <f>IF(OR(Data!B286="",Data!#REF!=""),"",IF(ISNUMBER(MATCH(Data!#REF!,Data_Val!$F$1:$F$38,0)),0,1))</f>
        <v>#REF!</v>
      </c>
      <c r="N286" s="9" t="e">
        <f>IF(OR(Data!B286="",Data!#REF!=""),"",IF(Data!#REF!="",1,0))</f>
        <v>#REF!</v>
      </c>
      <c r="O286" s="17" t="e">
        <f>IF(Data!#REF!="","",IF(Data!#REF!="",1,0))</f>
        <v>#REF!</v>
      </c>
      <c r="P286" s="17" t="e">
        <f>IF(Data!#REF!="","",IF(ISNUMBER(MATCH(Data!#REF!,Data_Val!$A$2:$A$3,0)),0,1))</f>
        <v>#REF!</v>
      </c>
      <c r="Q286" s="25" t="e">
        <f ca="1">IF(Data!#REF!="","",IF(ISNUMBER(Data!#REF!),IF(AND(Data!#REF!&gt;(TODAY()-(Data_Val!$J$3*365.25)),Data!#REF!&lt;=(TODAY()-(Data_Val!$J$2*365.25))),0,1),1))</f>
        <v>#REF!</v>
      </c>
      <c r="R286" s="17" t="e">
        <f>IF(Data!#REF!="","",IF(ISNUMBER(MATCH(Data!#REF!,Data_Val!$B$2:$B$15,0)),0,1))</f>
        <v>#REF!</v>
      </c>
      <c r="S286" s="11" t="str">
        <f>IF(Data!G286="","",IF(Data!G286=Data_Val!$C$2,IF(Data!M286="",0,1),0))</f>
        <v/>
      </c>
      <c r="T286" s="11" t="str">
        <f>IF(Data!M286="","",IF(ISNUMBER(MATCH(Data!N286,Data_Val!$A$2:$A$3,0)),0,1))</f>
        <v/>
      </c>
      <c r="U286" s="11" t="str">
        <f ca="1">IF(Data!M286="","",IF(ISNUMBER(Data!O286),IF(AND(Data!O286&gt;(TODAY()-(Data_Val!$K$3*365.25)),Data!O286&lt;=(TODAY()-(Data_Val!$K$2*365.25))),0,1),1))</f>
        <v/>
      </c>
      <c r="V286" s="12" t="str">
        <f>IF(Data!G286="","",IF(Data!G286=Data_Val!$C$2,IF(Data!P286="",0,1),0))</f>
        <v/>
      </c>
      <c r="W286" s="12" t="str">
        <f>IF(Data!P286="","",IF(ISNUMBER(MATCH(Data!Q286,Data_Val!$A$2:$A$3,0)),0,1))</f>
        <v/>
      </c>
      <c r="X286" s="26" t="str">
        <f ca="1">IF(Data!P286="","",IF(ISNUMBER(Data!R286),IF(AND(Data!R286&gt;(TODAY()-(Data_Val!$L$3*365.25)),Data!R286&lt;=(TODAY()-(Data_Val!$L$2*365.25))),0,1),1))</f>
        <v/>
      </c>
      <c r="Y286" s="13" t="str">
        <f>IF(Data!$G286="","",IF(Data!$G286=Data_Val!$C$2,IF(Data!S286="",0,1),0))</f>
        <v/>
      </c>
      <c r="Z286" s="13" t="str">
        <f>IF(Data!S286="","",IF(ISNUMBER(MATCH(Data!T286,Data_Val!$A$2:$A$3,0)),0,1))</f>
        <v/>
      </c>
      <c r="AA286" s="28" t="str">
        <f ca="1">IF(Data!S286="","",IF(ISNUMBER(Data!U286),IF(AND(Data!U286&gt;(TODAY()-(Data_Val!$L$3*365.25)),Data!U286&lt;=(TODAY()-(Data_Val!$L$2*365.25))),0,1),1))</f>
        <v/>
      </c>
      <c r="AB286" s="11"/>
      <c r="AC286" s="11" t="e">
        <f>IF(Data!#REF!="","",IF(ISNUMBER(MATCH(Data!#REF!,Data_Val!$A$2:$A$3,0)),0,1))</f>
        <v>#REF!</v>
      </c>
      <c r="AD286" s="11" t="e">
        <f ca="1">IF(Data!#REF!="","",IF(ISNUMBER(Data!#REF!),IF(AND(Data!#REF!&gt;(TODAY()-(Data_Val!$L$3*365.25)),Data!#REF!&lt;=(TODAY()-(Data_Val!$L$2*365.25))),0,1),1))</f>
        <v>#REF!</v>
      </c>
      <c r="AE286" s="11" t="e">
        <f>IF(Data!#REF!="","",IF(Data!$G286="",1,IF(ISNUMBER(MATCH(Data!#REF!,Data_Val!$D$2:$D$10,0)),0,1)))</f>
        <v>#REF!</v>
      </c>
      <c r="AF286" s="12"/>
      <c r="AG286" s="12" t="e">
        <f>IF(Data!#REF!="","",IF(ISNUMBER(MATCH(Data!#REF!,Data_Val!$A$2:$A$3,0)),0,1))</f>
        <v>#REF!</v>
      </c>
      <c r="AH286" s="26" t="e">
        <f ca="1">IF(Data!#REF!="","",IF(ISNUMBER(Data!#REF!),IF(AND(Data!#REF!&gt;(TODAY()-(Data_Val!$L$3*365.25)),Data!#REF!&lt;=(TODAY()-(Data_Val!$L$2*365.25))),0,1),1))</f>
        <v>#REF!</v>
      </c>
      <c r="AI286" s="12" t="e">
        <f>IF(Data!#REF!="","",IF(Data!$G286="",1,IF(ISNUMBER(MATCH(Data!#REF!,Data_Val!$D$2:$D$10,0)),0,1)))</f>
        <v>#REF!</v>
      </c>
      <c r="AJ286" s="17"/>
      <c r="AK286" s="17" t="e">
        <f>IF(Data!#REF!="","",IF(ISNUMBER(MATCH(Data!#REF!,Data_Val!$A$2:$A$3,0)),0,1))</f>
        <v>#REF!</v>
      </c>
      <c r="AL286" s="25" t="e">
        <f ca="1">IF(Data!#REF!="","",IF(ISNUMBER(Data!#REF!),IF(AND(Data!#REF!&gt;(TODAY()-(Data_Val!$L$3*365.25)),Data!#REF!&lt;=(TODAY()-(Data_Val!$L$2*365.25))),0,1),1))</f>
        <v>#REF!</v>
      </c>
      <c r="AM286" s="17" t="e">
        <f>IF(Data!#REF!="","",IF(Data!$G286="",1,IF(ISNUMBER(MATCH(Data!#REF!,Data_Val!$D$2:$D$10,0)),0,1)))</f>
        <v>#REF!</v>
      </c>
      <c r="AN286" s="13"/>
      <c r="AO286" s="28" t="e">
        <f ca="1">IF(Data!#REF!="","",IF(ISNUMBER(Data!#REF!),IF(AND(Data!#REF!&gt;(TODAY()-(Data_Val!$I$3*365.25)),Data!#REF!&lt;=(TODAY()-(Data_Val!$I$2*365.25))),0,1),1))</f>
        <v>#REF!</v>
      </c>
      <c r="AP286" s="13" t="e">
        <f>IF(Data!#REF!="","",IF(Data!$G286="",1,IF(ISNUMBER(MATCH(Data!#REF!,Data_Val!$D$2:$D$10,0)),0,1)))</f>
        <v>#REF!</v>
      </c>
      <c r="AQ286" s="17"/>
      <c r="AR286" s="30" t="e">
        <f ca="1">IF(Data!#REF!="","",IF(ISNUMBER(Data!#REF!),IF(AND(Data!#REF!&gt;(TODAY()-(Data_Val!$I$3*365.25)),Data!#REF!&lt;=(TODAY()-(Data_Val!$I$2*365.25))),0,1),1))</f>
        <v>#REF!</v>
      </c>
      <c r="AS286" s="31" t="e">
        <f>IF(Data!#REF!="","",IF(Data!$G286="",1,IF(ISNUMBER(MATCH(Data!#REF!,Data_Val!$D$2:$D$10,0)),0,1)))</f>
        <v>#REF!</v>
      </c>
      <c r="AT286" s="11"/>
      <c r="AU286" s="11" t="e">
        <f ca="1">IF(Data!#REF!="","",IF(ISNUMBER(Data!#REF!),IF(AND(Data!#REF!&gt;(TODAY()-(Data_Val!$I$3*365.25)),Data!#REF!&lt;=(TODAY()-(Data_Val!$I$2*365.25))),0,1),1))</f>
        <v>#REF!</v>
      </c>
      <c r="AV286" s="11" t="e">
        <f>IF(Data!#REF!="","",IF(Data!$G286="",1,IF(ISNUMBER(MATCH(Data!#REF!,Data_Val!$D$2:$D$10,0)),0,1)))</f>
        <v>#REF!</v>
      </c>
      <c r="AW286" s="12"/>
      <c r="AX286" s="26" t="e">
        <f ca="1">IF(Data!#REF!="","",IF(ISNUMBER(Data!#REF!),IF(AND(Data!#REF!&gt;(TODAY()-(Data_Val!$I$3*365.25)),Data!#REF!&lt;=(TODAY()-(Data_Val!$I$2*365.25))),0,1),1))</f>
        <v>#REF!</v>
      </c>
      <c r="AY286" s="12" t="e">
        <f>IF(Data!#REF!="","",IF(Data!$G286="",1,IF(ISNUMBER(MATCH(Data!#REF!,Data_Val!$D$2:$D$10,0)),0,1)))</f>
        <v>#REF!</v>
      </c>
      <c r="AZ286" s="11"/>
      <c r="BA286" s="19" t="e">
        <f ca="1">IF(Data!#REF!="","",IF(ISNUMBER(Data!#REF!),IF(AND(Data!#REF!&gt;(TODAY()-(Data_Val!$M$3*365.25)),Data!#REF!&lt;=(TODAY()-(Data_Val!$M$2*365.25))),0,1),1))</f>
        <v>#REF!</v>
      </c>
      <c r="BB286" s="11" t="e">
        <f>IF(Data!#REF!="","",IF(Data!$G286="",1,IF(ISNUMBER(MATCH(Data!#REF!,Data_Val!$D$2:$D$10,0)),0,1)))</f>
        <v>#REF!</v>
      </c>
      <c r="BC286" s="12"/>
      <c r="BD286" s="20" t="e">
        <f ca="1">IF(Data!#REF!="","",IF(ISNUMBER(Data!#REF!),IF(AND(Data!#REF!&gt;(TODAY()-(Data_Val!$M$3*365.25)),Data!#REF!&lt;=(TODAY()-(Data_Val!$M$2*365.25))),0,1),1))</f>
        <v>#REF!</v>
      </c>
      <c r="BE286" s="12" t="e">
        <f>IF(Data!#REF!="","",IF(Data!$G286="",1,IF(ISNUMBER(MATCH(Data!#REF!,Data_Val!$D$2:$D$10,0)),0,1)))</f>
        <v>#REF!</v>
      </c>
      <c r="BF286" s="17"/>
      <c r="BG286" s="18" t="e">
        <f ca="1">IF(Data!#REF!="","",IF(ISNUMBER(Data!#REF!),IF(AND(Data!#REF!&gt;(TODAY()-(Data_Val!$M$3*365.25)),Data!#REF!&lt;=(TODAY()-(Data_Val!$M$2*365.25))),0,1),1))</f>
        <v>#REF!</v>
      </c>
      <c r="BH286" s="29" t="e">
        <f>IF(Data!#REF!="","",IF(Data!$G286="",1,IF(ISNUMBER(MATCH(Data!#REF!,Data_Val!$D$2:$D$10,0)),0,1)))</f>
        <v>#REF!</v>
      </c>
      <c r="BI286" s="13"/>
      <c r="BJ286" s="21" t="e">
        <f ca="1">IF(Data!#REF!="","",IF(ISNUMBER(Data!#REF!),IF(AND(Data!#REF!&gt;(TODAY()-(Data_Val!$M$3*365.25)),Data!#REF!&lt;=(TODAY()-(Data_Val!$M$2*365.25))),0,1),1))</f>
        <v>#REF!</v>
      </c>
      <c r="BK286" s="13" t="e">
        <f>IF(Data!#REF!="","",IF(Data!$G286="",1,IF(ISNUMBER(MATCH(Data!#REF!,Data_Val!$D$2:$D$10,0)),0,1)))</f>
        <v>#REF!</v>
      </c>
    </row>
    <row r="287" spans="1:63" x14ac:dyDescent="0.25">
      <c r="A287" s="9" t="str">
        <f>IF(Data!B287="","",IF(COUNTIFS(Data!A$1:'Data'!A287,Data!A287)&lt;=1,0,1))</f>
        <v/>
      </c>
      <c r="B287" s="9"/>
      <c r="C287" s="23" t="str">
        <f>IF(Data!C287="","",(IF(ISNUMBER(MATCH("*@*.?*",Data!C287,0)),0,1)+IF(COUNTIFS(Data!C$1:'Data'!C287,Data!C287)&gt;1,1,0)))</f>
        <v/>
      </c>
      <c r="D287" s="9" t="str">
        <f>IF(Data!B287="","",IF(ISNUMBER(Data!D287),IF(AND(Data!D287&gt;999999999,Data!D287&lt;=9999999999),IF(COUNTIFS(Data!D$1:'Data'!D287,Data!D287)&lt;=1,0,1),1),1))</f>
        <v/>
      </c>
      <c r="E287" s="9" t="str">
        <f>IF(Data!B287="","",IF(ISNUMBER(MATCH(Data!E287,Data_Val!$A$2:$A$3,0)),0,1))</f>
        <v/>
      </c>
      <c r="F287" s="9" t="str">
        <f ca="1">IF(Data!B287="","",IF(ISNUMBER(Data!F287),IF(AND(Data!F287&gt;(TODAY()-(Data_Val!$H$3*365.25)),Data!F287&lt;=(TODAY()-(Data_Val!$H$2*365.25))),0,1),1))</f>
        <v/>
      </c>
      <c r="G287" s="15" t="str">
        <f>IF(Data!B287="","",IF(AND(Data!G287="",Data!H287&lt;&gt;""),1,IF(Data!#REF!&lt;&gt;"",0,IF(ISNUMBER(MATCH(Data!G287,Data_Val!$C$2:$C$5,0)),0,1))))</f>
        <v/>
      </c>
      <c r="H287" s="15" t="str">
        <f>IF(Data!B287="","",IF(AND(Data!G287&lt;&gt;"",Data!H287=""),1,IF(Data!#REF!&lt;&gt;"",0,IF(Data!G287="",1,IF(ISNUMBER(MATCH(Data!H287,Data_Val!$D$2:$D$35,0)),0,1)))))</f>
        <v/>
      </c>
      <c r="I287" s="15" t="str">
        <f>IF(Data!B287="","",IF(Data!G287&lt;&gt;"",0,IF(ISNUMBER(MATCH(Data!#REF!,Data_Val!$E$2:$E$12,0)),0,1)))</f>
        <v/>
      </c>
      <c r="J287" s="16" t="e">
        <f>IF(OR(Data!B287="",Data!#REF!=""),"",IF(Data!#REF!="",1,0))</f>
        <v>#REF!</v>
      </c>
      <c r="K287" s="16" t="e">
        <f>IF(OR(Data!B287="",Data!#REF!=""),"",IF(Data!#REF!="",1,0))</f>
        <v>#REF!</v>
      </c>
      <c r="L287" s="16" t="e">
        <f>IF(OR(Data!B287="",Data!#REF!=""),"",IF(ISNUMBER(Data!#REF!),IF(AND(Data!#REF!&gt;Data_Val!$G$2,Data!#REF!&lt;=Data_Val!$G$3),0,1),1))</f>
        <v>#REF!</v>
      </c>
      <c r="M287" s="9" t="e">
        <f>IF(OR(Data!B287="",Data!#REF!=""),"",IF(ISNUMBER(MATCH(Data!#REF!,Data_Val!$F$1:$F$38,0)),0,1))</f>
        <v>#REF!</v>
      </c>
      <c r="N287" s="9" t="e">
        <f>IF(OR(Data!B287="",Data!#REF!=""),"",IF(Data!#REF!="",1,0))</f>
        <v>#REF!</v>
      </c>
      <c r="O287" s="17" t="e">
        <f>IF(Data!#REF!="","",IF(Data!#REF!="",1,0))</f>
        <v>#REF!</v>
      </c>
      <c r="P287" s="17" t="e">
        <f>IF(Data!#REF!="","",IF(ISNUMBER(MATCH(Data!#REF!,Data_Val!$A$2:$A$3,0)),0,1))</f>
        <v>#REF!</v>
      </c>
      <c r="Q287" s="25" t="e">
        <f ca="1">IF(Data!#REF!="","",IF(ISNUMBER(Data!#REF!),IF(AND(Data!#REF!&gt;(TODAY()-(Data_Val!$J$3*365.25)),Data!#REF!&lt;=(TODAY()-(Data_Val!$J$2*365.25))),0,1),1))</f>
        <v>#REF!</v>
      </c>
      <c r="R287" s="17" t="e">
        <f>IF(Data!#REF!="","",IF(ISNUMBER(MATCH(Data!#REF!,Data_Val!$B$2:$B$15,0)),0,1))</f>
        <v>#REF!</v>
      </c>
      <c r="S287" s="11" t="str">
        <f>IF(Data!G287="","",IF(Data!G287=Data_Val!$C$2,IF(Data!M287="",0,1),0))</f>
        <v/>
      </c>
      <c r="T287" s="11" t="str">
        <f>IF(Data!M287="","",IF(ISNUMBER(MATCH(Data!N287,Data_Val!$A$2:$A$3,0)),0,1))</f>
        <v/>
      </c>
      <c r="U287" s="11" t="str">
        <f ca="1">IF(Data!M287="","",IF(ISNUMBER(Data!O287),IF(AND(Data!O287&gt;(TODAY()-(Data_Val!$K$3*365.25)),Data!O287&lt;=(TODAY()-(Data_Val!$K$2*365.25))),0,1),1))</f>
        <v/>
      </c>
      <c r="V287" s="12" t="str">
        <f>IF(Data!G287="","",IF(Data!G287=Data_Val!$C$2,IF(Data!P287="",0,1),0))</f>
        <v/>
      </c>
      <c r="W287" s="12" t="str">
        <f>IF(Data!P287="","",IF(ISNUMBER(MATCH(Data!Q287,Data_Val!$A$2:$A$3,0)),0,1))</f>
        <v/>
      </c>
      <c r="X287" s="26" t="str">
        <f ca="1">IF(Data!P287="","",IF(ISNUMBER(Data!R287),IF(AND(Data!R287&gt;(TODAY()-(Data_Val!$L$3*365.25)),Data!R287&lt;=(TODAY()-(Data_Val!$L$2*365.25))),0,1),1))</f>
        <v/>
      </c>
      <c r="Y287" s="13" t="str">
        <f>IF(Data!$G287="","",IF(Data!$G287=Data_Val!$C$2,IF(Data!S287="",0,1),0))</f>
        <v/>
      </c>
      <c r="Z287" s="13" t="str">
        <f>IF(Data!S287="","",IF(ISNUMBER(MATCH(Data!T287,Data_Val!$A$2:$A$3,0)),0,1))</f>
        <v/>
      </c>
      <c r="AA287" s="28" t="str">
        <f ca="1">IF(Data!S287="","",IF(ISNUMBER(Data!U287),IF(AND(Data!U287&gt;(TODAY()-(Data_Val!$L$3*365.25)),Data!U287&lt;=(TODAY()-(Data_Val!$L$2*365.25))),0,1),1))</f>
        <v/>
      </c>
      <c r="AB287" s="11"/>
      <c r="AC287" s="11" t="e">
        <f>IF(Data!#REF!="","",IF(ISNUMBER(MATCH(Data!#REF!,Data_Val!$A$2:$A$3,0)),0,1))</f>
        <v>#REF!</v>
      </c>
      <c r="AD287" s="11" t="e">
        <f ca="1">IF(Data!#REF!="","",IF(ISNUMBER(Data!#REF!),IF(AND(Data!#REF!&gt;(TODAY()-(Data_Val!$L$3*365.25)),Data!#REF!&lt;=(TODAY()-(Data_Val!$L$2*365.25))),0,1),1))</f>
        <v>#REF!</v>
      </c>
      <c r="AE287" s="11" t="e">
        <f>IF(Data!#REF!="","",IF(Data!$G287="",1,IF(ISNUMBER(MATCH(Data!#REF!,Data_Val!$D$2:$D$10,0)),0,1)))</f>
        <v>#REF!</v>
      </c>
      <c r="AF287" s="12"/>
      <c r="AG287" s="12" t="e">
        <f>IF(Data!#REF!="","",IF(ISNUMBER(MATCH(Data!#REF!,Data_Val!$A$2:$A$3,0)),0,1))</f>
        <v>#REF!</v>
      </c>
      <c r="AH287" s="26" t="e">
        <f ca="1">IF(Data!#REF!="","",IF(ISNUMBER(Data!#REF!),IF(AND(Data!#REF!&gt;(TODAY()-(Data_Val!$L$3*365.25)),Data!#REF!&lt;=(TODAY()-(Data_Val!$L$2*365.25))),0,1),1))</f>
        <v>#REF!</v>
      </c>
      <c r="AI287" s="12" t="e">
        <f>IF(Data!#REF!="","",IF(Data!$G287="",1,IF(ISNUMBER(MATCH(Data!#REF!,Data_Val!$D$2:$D$10,0)),0,1)))</f>
        <v>#REF!</v>
      </c>
      <c r="AJ287" s="17"/>
      <c r="AK287" s="17" t="e">
        <f>IF(Data!#REF!="","",IF(ISNUMBER(MATCH(Data!#REF!,Data_Val!$A$2:$A$3,0)),0,1))</f>
        <v>#REF!</v>
      </c>
      <c r="AL287" s="25" t="e">
        <f ca="1">IF(Data!#REF!="","",IF(ISNUMBER(Data!#REF!),IF(AND(Data!#REF!&gt;(TODAY()-(Data_Val!$L$3*365.25)),Data!#REF!&lt;=(TODAY()-(Data_Val!$L$2*365.25))),0,1),1))</f>
        <v>#REF!</v>
      </c>
      <c r="AM287" s="17" t="e">
        <f>IF(Data!#REF!="","",IF(Data!$G287="",1,IF(ISNUMBER(MATCH(Data!#REF!,Data_Val!$D$2:$D$10,0)),0,1)))</f>
        <v>#REF!</v>
      </c>
      <c r="AN287" s="13"/>
      <c r="AO287" s="28" t="e">
        <f ca="1">IF(Data!#REF!="","",IF(ISNUMBER(Data!#REF!),IF(AND(Data!#REF!&gt;(TODAY()-(Data_Val!$I$3*365.25)),Data!#REF!&lt;=(TODAY()-(Data_Val!$I$2*365.25))),0,1),1))</f>
        <v>#REF!</v>
      </c>
      <c r="AP287" s="13" t="e">
        <f>IF(Data!#REF!="","",IF(Data!$G287="",1,IF(ISNUMBER(MATCH(Data!#REF!,Data_Val!$D$2:$D$10,0)),0,1)))</f>
        <v>#REF!</v>
      </c>
      <c r="AQ287" s="17"/>
      <c r="AR287" s="30" t="e">
        <f ca="1">IF(Data!#REF!="","",IF(ISNUMBER(Data!#REF!),IF(AND(Data!#REF!&gt;(TODAY()-(Data_Val!$I$3*365.25)),Data!#REF!&lt;=(TODAY()-(Data_Val!$I$2*365.25))),0,1),1))</f>
        <v>#REF!</v>
      </c>
      <c r="AS287" s="31" t="e">
        <f>IF(Data!#REF!="","",IF(Data!$G287="",1,IF(ISNUMBER(MATCH(Data!#REF!,Data_Val!$D$2:$D$10,0)),0,1)))</f>
        <v>#REF!</v>
      </c>
      <c r="AT287" s="11"/>
      <c r="AU287" s="11" t="e">
        <f ca="1">IF(Data!#REF!="","",IF(ISNUMBER(Data!#REF!),IF(AND(Data!#REF!&gt;(TODAY()-(Data_Val!$I$3*365.25)),Data!#REF!&lt;=(TODAY()-(Data_Val!$I$2*365.25))),0,1),1))</f>
        <v>#REF!</v>
      </c>
      <c r="AV287" s="11" t="e">
        <f>IF(Data!#REF!="","",IF(Data!$G287="",1,IF(ISNUMBER(MATCH(Data!#REF!,Data_Val!$D$2:$D$10,0)),0,1)))</f>
        <v>#REF!</v>
      </c>
      <c r="AW287" s="12"/>
      <c r="AX287" s="26" t="e">
        <f ca="1">IF(Data!#REF!="","",IF(ISNUMBER(Data!#REF!),IF(AND(Data!#REF!&gt;(TODAY()-(Data_Val!$I$3*365.25)),Data!#REF!&lt;=(TODAY()-(Data_Val!$I$2*365.25))),0,1),1))</f>
        <v>#REF!</v>
      </c>
      <c r="AY287" s="12" t="e">
        <f>IF(Data!#REF!="","",IF(Data!$G287="",1,IF(ISNUMBER(MATCH(Data!#REF!,Data_Val!$D$2:$D$10,0)),0,1)))</f>
        <v>#REF!</v>
      </c>
      <c r="AZ287" s="11"/>
      <c r="BA287" s="19" t="e">
        <f ca="1">IF(Data!#REF!="","",IF(ISNUMBER(Data!#REF!),IF(AND(Data!#REF!&gt;(TODAY()-(Data_Val!$M$3*365.25)),Data!#REF!&lt;=(TODAY()-(Data_Val!$M$2*365.25))),0,1),1))</f>
        <v>#REF!</v>
      </c>
      <c r="BB287" s="11" t="e">
        <f>IF(Data!#REF!="","",IF(Data!$G287="",1,IF(ISNUMBER(MATCH(Data!#REF!,Data_Val!$D$2:$D$10,0)),0,1)))</f>
        <v>#REF!</v>
      </c>
      <c r="BC287" s="12"/>
      <c r="BD287" s="20" t="e">
        <f ca="1">IF(Data!#REF!="","",IF(ISNUMBER(Data!#REF!),IF(AND(Data!#REF!&gt;(TODAY()-(Data_Val!$M$3*365.25)),Data!#REF!&lt;=(TODAY()-(Data_Val!$M$2*365.25))),0,1),1))</f>
        <v>#REF!</v>
      </c>
      <c r="BE287" s="12" t="e">
        <f>IF(Data!#REF!="","",IF(Data!$G287="",1,IF(ISNUMBER(MATCH(Data!#REF!,Data_Val!$D$2:$D$10,0)),0,1)))</f>
        <v>#REF!</v>
      </c>
      <c r="BF287" s="17"/>
      <c r="BG287" s="18" t="e">
        <f ca="1">IF(Data!#REF!="","",IF(ISNUMBER(Data!#REF!),IF(AND(Data!#REF!&gt;(TODAY()-(Data_Val!$M$3*365.25)),Data!#REF!&lt;=(TODAY()-(Data_Val!$M$2*365.25))),0,1),1))</f>
        <v>#REF!</v>
      </c>
      <c r="BH287" s="29" t="e">
        <f>IF(Data!#REF!="","",IF(Data!$G287="",1,IF(ISNUMBER(MATCH(Data!#REF!,Data_Val!$D$2:$D$10,0)),0,1)))</f>
        <v>#REF!</v>
      </c>
      <c r="BI287" s="13"/>
      <c r="BJ287" s="21" t="e">
        <f ca="1">IF(Data!#REF!="","",IF(ISNUMBER(Data!#REF!),IF(AND(Data!#REF!&gt;(TODAY()-(Data_Val!$M$3*365.25)),Data!#REF!&lt;=(TODAY()-(Data_Val!$M$2*365.25))),0,1),1))</f>
        <v>#REF!</v>
      </c>
      <c r="BK287" s="13" t="e">
        <f>IF(Data!#REF!="","",IF(Data!$G287="",1,IF(ISNUMBER(MATCH(Data!#REF!,Data_Val!$D$2:$D$10,0)),0,1)))</f>
        <v>#REF!</v>
      </c>
    </row>
    <row r="288" spans="1:63" x14ac:dyDescent="0.25">
      <c r="A288" s="9" t="str">
        <f>IF(Data!B288="","",IF(COUNTIFS(Data!A$1:'Data'!A288,Data!A288)&lt;=1,0,1))</f>
        <v/>
      </c>
      <c r="B288" s="9"/>
      <c r="C288" s="23" t="str">
        <f>IF(Data!C288="","",(IF(ISNUMBER(MATCH("*@*.?*",Data!C288,0)),0,1)+IF(COUNTIFS(Data!C$1:'Data'!C288,Data!C288)&gt;1,1,0)))</f>
        <v/>
      </c>
      <c r="D288" s="9" t="str">
        <f>IF(Data!B288="","",IF(ISNUMBER(Data!D288),IF(AND(Data!D288&gt;999999999,Data!D288&lt;=9999999999),IF(COUNTIFS(Data!D$1:'Data'!D288,Data!D288)&lt;=1,0,1),1),1))</f>
        <v/>
      </c>
      <c r="E288" s="9" t="str">
        <f>IF(Data!B288="","",IF(ISNUMBER(MATCH(Data!E288,Data_Val!$A$2:$A$3,0)),0,1))</f>
        <v/>
      </c>
      <c r="F288" s="9" t="str">
        <f ca="1">IF(Data!B288="","",IF(ISNUMBER(Data!F288),IF(AND(Data!F288&gt;(TODAY()-(Data_Val!$H$3*365.25)),Data!F288&lt;=(TODAY()-(Data_Val!$H$2*365.25))),0,1),1))</f>
        <v/>
      </c>
      <c r="G288" s="15" t="str">
        <f>IF(Data!B288="","",IF(AND(Data!G288="",Data!H288&lt;&gt;""),1,IF(Data!#REF!&lt;&gt;"",0,IF(ISNUMBER(MATCH(Data!G288,Data_Val!$C$2:$C$5,0)),0,1))))</f>
        <v/>
      </c>
      <c r="H288" s="15" t="str">
        <f>IF(Data!B288="","",IF(AND(Data!G288&lt;&gt;"",Data!H288=""),1,IF(Data!#REF!&lt;&gt;"",0,IF(Data!G288="",1,IF(ISNUMBER(MATCH(Data!H288,Data_Val!$D$2:$D$35,0)),0,1)))))</f>
        <v/>
      </c>
      <c r="I288" s="15" t="str">
        <f>IF(Data!B288="","",IF(Data!G288&lt;&gt;"",0,IF(ISNUMBER(MATCH(Data!#REF!,Data_Val!$E$2:$E$12,0)),0,1)))</f>
        <v/>
      </c>
      <c r="J288" s="16" t="e">
        <f>IF(OR(Data!B288="",Data!#REF!=""),"",IF(Data!#REF!="",1,0))</f>
        <v>#REF!</v>
      </c>
      <c r="K288" s="16" t="e">
        <f>IF(OR(Data!B288="",Data!#REF!=""),"",IF(Data!#REF!="",1,0))</f>
        <v>#REF!</v>
      </c>
      <c r="L288" s="16" t="e">
        <f>IF(OR(Data!B288="",Data!#REF!=""),"",IF(ISNUMBER(Data!#REF!),IF(AND(Data!#REF!&gt;Data_Val!$G$2,Data!#REF!&lt;=Data_Val!$G$3),0,1),1))</f>
        <v>#REF!</v>
      </c>
      <c r="M288" s="9" t="e">
        <f>IF(OR(Data!B288="",Data!#REF!=""),"",IF(ISNUMBER(MATCH(Data!#REF!,Data_Val!$F$1:$F$38,0)),0,1))</f>
        <v>#REF!</v>
      </c>
      <c r="N288" s="9" t="e">
        <f>IF(OR(Data!B288="",Data!#REF!=""),"",IF(Data!#REF!="",1,0))</f>
        <v>#REF!</v>
      </c>
      <c r="O288" s="17" t="e">
        <f>IF(Data!#REF!="","",IF(Data!#REF!="",1,0))</f>
        <v>#REF!</v>
      </c>
      <c r="P288" s="17" t="e">
        <f>IF(Data!#REF!="","",IF(ISNUMBER(MATCH(Data!#REF!,Data_Val!$A$2:$A$3,0)),0,1))</f>
        <v>#REF!</v>
      </c>
      <c r="Q288" s="25" t="e">
        <f ca="1">IF(Data!#REF!="","",IF(ISNUMBER(Data!#REF!),IF(AND(Data!#REF!&gt;(TODAY()-(Data_Val!$J$3*365.25)),Data!#REF!&lt;=(TODAY()-(Data_Val!$J$2*365.25))),0,1),1))</f>
        <v>#REF!</v>
      </c>
      <c r="R288" s="17" t="e">
        <f>IF(Data!#REF!="","",IF(ISNUMBER(MATCH(Data!#REF!,Data_Val!$B$2:$B$15,0)),0,1))</f>
        <v>#REF!</v>
      </c>
      <c r="S288" s="11" t="str">
        <f>IF(Data!G288="","",IF(Data!G288=Data_Val!$C$2,IF(Data!M288="",0,1),0))</f>
        <v/>
      </c>
      <c r="T288" s="11" t="str">
        <f>IF(Data!M288="","",IF(ISNUMBER(MATCH(Data!N288,Data_Val!$A$2:$A$3,0)),0,1))</f>
        <v/>
      </c>
      <c r="U288" s="11" t="str">
        <f ca="1">IF(Data!M288="","",IF(ISNUMBER(Data!O288),IF(AND(Data!O288&gt;(TODAY()-(Data_Val!$K$3*365.25)),Data!O288&lt;=(TODAY()-(Data_Val!$K$2*365.25))),0,1),1))</f>
        <v/>
      </c>
      <c r="V288" s="12" t="str">
        <f>IF(Data!G288="","",IF(Data!G288=Data_Val!$C$2,IF(Data!P288="",0,1),0))</f>
        <v/>
      </c>
      <c r="W288" s="12" t="str">
        <f>IF(Data!P288="","",IF(ISNUMBER(MATCH(Data!Q288,Data_Val!$A$2:$A$3,0)),0,1))</f>
        <v/>
      </c>
      <c r="X288" s="26" t="str">
        <f ca="1">IF(Data!P288="","",IF(ISNUMBER(Data!R288),IF(AND(Data!R288&gt;(TODAY()-(Data_Val!$L$3*365.25)),Data!R288&lt;=(TODAY()-(Data_Val!$L$2*365.25))),0,1),1))</f>
        <v/>
      </c>
      <c r="Y288" s="13" t="str">
        <f>IF(Data!$G288="","",IF(Data!$G288=Data_Val!$C$2,IF(Data!S288="",0,1),0))</f>
        <v/>
      </c>
      <c r="Z288" s="13" t="str">
        <f>IF(Data!S288="","",IF(ISNUMBER(MATCH(Data!T288,Data_Val!$A$2:$A$3,0)),0,1))</f>
        <v/>
      </c>
      <c r="AA288" s="28" t="str">
        <f ca="1">IF(Data!S288="","",IF(ISNUMBER(Data!U288),IF(AND(Data!U288&gt;(TODAY()-(Data_Val!$L$3*365.25)),Data!U288&lt;=(TODAY()-(Data_Val!$L$2*365.25))),0,1),1))</f>
        <v/>
      </c>
      <c r="AB288" s="11"/>
      <c r="AC288" s="11" t="e">
        <f>IF(Data!#REF!="","",IF(ISNUMBER(MATCH(Data!#REF!,Data_Val!$A$2:$A$3,0)),0,1))</f>
        <v>#REF!</v>
      </c>
      <c r="AD288" s="11" t="e">
        <f ca="1">IF(Data!#REF!="","",IF(ISNUMBER(Data!#REF!),IF(AND(Data!#REF!&gt;(TODAY()-(Data_Val!$L$3*365.25)),Data!#REF!&lt;=(TODAY()-(Data_Val!$L$2*365.25))),0,1),1))</f>
        <v>#REF!</v>
      </c>
      <c r="AE288" s="11" t="e">
        <f>IF(Data!#REF!="","",IF(Data!$G288="",1,IF(ISNUMBER(MATCH(Data!#REF!,Data_Val!$D$2:$D$10,0)),0,1)))</f>
        <v>#REF!</v>
      </c>
      <c r="AF288" s="12"/>
      <c r="AG288" s="12" t="e">
        <f>IF(Data!#REF!="","",IF(ISNUMBER(MATCH(Data!#REF!,Data_Val!$A$2:$A$3,0)),0,1))</f>
        <v>#REF!</v>
      </c>
      <c r="AH288" s="26" t="e">
        <f ca="1">IF(Data!#REF!="","",IF(ISNUMBER(Data!#REF!),IF(AND(Data!#REF!&gt;(TODAY()-(Data_Val!$L$3*365.25)),Data!#REF!&lt;=(TODAY()-(Data_Val!$L$2*365.25))),0,1),1))</f>
        <v>#REF!</v>
      </c>
      <c r="AI288" s="12" t="e">
        <f>IF(Data!#REF!="","",IF(Data!$G288="",1,IF(ISNUMBER(MATCH(Data!#REF!,Data_Val!$D$2:$D$10,0)),0,1)))</f>
        <v>#REF!</v>
      </c>
      <c r="AJ288" s="17"/>
      <c r="AK288" s="17" t="e">
        <f>IF(Data!#REF!="","",IF(ISNUMBER(MATCH(Data!#REF!,Data_Val!$A$2:$A$3,0)),0,1))</f>
        <v>#REF!</v>
      </c>
      <c r="AL288" s="25" t="e">
        <f ca="1">IF(Data!#REF!="","",IF(ISNUMBER(Data!#REF!),IF(AND(Data!#REF!&gt;(TODAY()-(Data_Val!$L$3*365.25)),Data!#REF!&lt;=(TODAY()-(Data_Val!$L$2*365.25))),0,1),1))</f>
        <v>#REF!</v>
      </c>
      <c r="AM288" s="17" t="e">
        <f>IF(Data!#REF!="","",IF(Data!$G288="",1,IF(ISNUMBER(MATCH(Data!#REF!,Data_Val!$D$2:$D$10,0)),0,1)))</f>
        <v>#REF!</v>
      </c>
      <c r="AN288" s="13"/>
      <c r="AO288" s="28" t="e">
        <f ca="1">IF(Data!#REF!="","",IF(ISNUMBER(Data!#REF!),IF(AND(Data!#REF!&gt;(TODAY()-(Data_Val!$I$3*365.25)),Data!#REF!&lt;=(TODAY()-(Data_Val!$I$2*365.25))),0,1),1))</f>
        <v>#REF!</v>
      </c>
      <c r="AP288" s="13" t="e">
        <f>IF(Data!#REF!="","",IF(Data!$G288="",1,IF(ISNUMBER(MATCH(Data!#REF!,Data_Val!$D$2:$D$10,0)),0,1)))</f>
        <v>#REF!</v>
      </c>
      <c r="AQ288" s="17"/>
      <c r="AR288" s="30" t="e">
        <f ca="1">IF(Data!#REF!="","",IF(ISNUMBER(Data!#REF!),IF(AND(Data!#REF!&gt;(TODAY()-(Data_Val!$I$3*365.25)),Data!#REF!&lt;=(TODAY()-(Data_Val!$I$2*365.25))),0,1),1))</f>
        <v>#REF!</v>
      </c>
      <c r="AS288" s="31" t="e">
        <f>IF(Data!#REF!="","",IF(Data!$G288="",1,IF(ISNUMBER(MATCH(Data!#REF!,Data_Val!$D$2:$D$10,0)),0,1)))</f>
        <v>#REF!</v>
      </c>
      <c r="AT288" s="11"/>
      <c r="AU288" s="11" t="e">
        <f ca="1">IF(Data!#REF!="","",IF(ISNUMBER(Data!#REF!),IF(AND(Data!#REF!&gt;(TODAY()-(Data_Val!$I$3*365.25)),Data!#REF!&lt;=(TODAY()-(Data_Val!$I$2*365.25))),0,1),1))</f>
        <v>#REF!</v>
      </c>
      <c r="AV288" s="11" t="e">
        <f>IF(Data!#REF!="","",IF(Data!$G288="",1,IF(ISNUMBER(MATCH(Data!#REF!,Data_Val!$D$2:$D$10,0)),0,1)))</f>
        <v>#REF!</v>
      </c>
      <c r="AW288" s="12"/>
      <c r="AX288" s="26" t="e">
        <f ca="1">IF(Data!#REF!="","",IF(ISNUMBER(Data!#REF!),IF(AND(Data!#REF!&gt;(TODAY()-(Data_Val!$I$3*365.25)),Data!#REF!&lt;=(TODAY()-(Data_Val!$I$2*365.25))),0,1),1))</f>
        <v>#REF!</v>
      </c>
      <c r="AY288" s="12" t="e">
        <f>IF(Data!#REF!="","",IF(Data!$G288="",1,IF(ISNUMBER(MATCH(Data!#REF!,Data_Val!$D$2:$D$10,0)),0,1)))</f>
        <v>#REF!</v>
      </c>
      <c r="AZ288" s="11"/>
      <c r="BA288" s="19" t="e">
        <f ca="1">IF(Data!#REF!="","",IF(ISNUMBER(Data!#REF!),IF(AND(Data!#REF!&gt;(TODAY()-(Data_Val!$M$3*365.25)),Data!#REF!&lt;=(TODAY()-(Data_Val!$M$2*365.25))),0,1),1))</f>
        <v>#REF!</v>
      </c>
      <c r="BB288" s="11" t="e">
        <f>IF(Data!#REF!="","",IF(Data!$G288="",1,IF(ISNUMBER(MATCH(Data!#REF!,Data_Val!$D$2:$D$10,0)),0,1)))</f>
        <v>#REF!</v>
      </c>
      <c r="BC288" s="12"/>
      <c r="BD288" s="20" t="e">
        <f ca="1">IF(Data!#REF!="","",IF(ISNUMBER(Data!#REF!),IF(AND(Data!#REF!&gt;(TODAY()-(Data_Val!$M$3*365.25)),Data!#REF!&lt;=(TODAY()-(Data_Val!$M$2*365.25))),0,1),1))</f>
        <v>#REF!</v>
      </c>
      <c r="BE288" s="12" t="e">
        <f>IF(Data!#REF!="","",IF(Data!$G288="",1,IF(ISNUMBER(MATCH(Data!#REF!,Data_Val!$D$2:$D$10,0)),0,1)))</f>
        <v>#REF!</v>
      </c>
      <c r="BF288" s="17"/>
      <c r="BG288" s="18" t="e">
        <f ca="1">IF(Data!#REF!="","",IF(ISNUMBER(Data!#REF!),IF(AND(Data!#REF!&gt;(TODAY()-(Data_Val!$M$3*365.25)),Data!#REF!&lt;=(TODAY()-(Data_Val!$M$2*365.25))),0,1),1))</f>
        <v>#REF!</v>
      </c>
      <c r="BH288" s="29" t="e">
        <f>IF(Data!#REF!="","",IF(Data!$G288="",1,IF(ISNUMBER(MATCH(Data!#REF!,Data_Val!$D$2:$D$10,0)),0,1)))</f>
        <v>#REF!</v>
      </c>
      <c r="BI288" s="13"/>
      <c r="BJ288" s="21" t="e">
        <f ca="1">IF(Data!#REF!="","",IF(ISNUMBER(Data!#REF!),IF(AND(Data!#REF!&gt;(TODAY()-(Data_Val!$M$3*365.25)),Data!#REF!&lt;=(TODAY()-(Data_Val!$M$2*365.25))),0,1),1))</f>
        <v>#REF!</v>
      </c>
      <c r="BK288" s="13" t="e">
        <f>IF(Data!#REF!="","",IF(Data!$G288="",1,IF(ISNUMBER(MATCH(Data!#REF!,Data_Val!$D$2:$D$10,0)),0,1)))</f>
        <v>#REF!</v>
      </c>
    </row>
    <row r="289" spans="1:63" x14ac:dyDescent="0.25">
      <c r="A289" s="9" t="str">
        <f>IF(Data!B289="","",IF(COUNTIFS(Data!A$1:'Data'!A289,Data!A289)&lt;=1,0,1))</f>
        <v/>
      </c>
      <c r="B289" s="9"/>
      <c r="C289" s="23" t="str">
        <f>IF(Data!C289="","",(IF(ISNUMBER(MATCH("*@*.?*",Data!C289,0)),0,1)+IF(COUNTIFS(Data!C$1:'Data'!C289,Data!C289)&gt;1,1,0)))</f>
        <v/>
      </c>
      <c r="D289" s="9" t="str">
        <f>IF(Data!B289="","",IF(ISNUMBER(Data!D289),IF(AND(Data!D289&gt;999999999,Data!D289&lt;=9999999999),IF(COUNTIFS(Data!D$1:'Data'!D289,Data!D289)&lt;=1,0,1),1),1))</f>
        <v/>
      </c>
      <c r="E289" s="9" t="str">
        <f>IF(Data!B289="","",IF(ISNUMBER(MATCH(Data!E289,Data_Val!$A$2:$A$3,0)),0,1))</f>
        <v/>
      </c>
      <c r="F289" s="9" t="str">
        <f ca="1">IF(Data!B289="","",IF(ISNUMBER(Data!F289),IF(AND(Data!F289&gt;(TODAY()-(Data_Val!$H$3*365.25)),Data!F289&lt;=(TODAY()-(Data_Val!$H$2*365.25))),0,1),1))</f>
        <v/>
      </c>
      <c r="G289" s="15" t="str">
        <f>IF(Data!B289="","",IF(AND(Data!G289="",Data!H289&lt;&gt;""),1,IF(Data!#REF!&lt;&gt;"",0,IF(ISNUMBER(MATCH(Data!G289,Data_Val!$C$2:$C$5,0)),0,1))))</f>
        <v/>
      </c>
      <c r="H289" s="15" t="str">
        <f>IF(Data!B289="","",IF(AND(Data!G289&lt;&gt;"",Data!H289=""),1,IF(Data!#REF!&lt;&gt;"",0,IF(Data!G289="",1,IF(ISNUMBER(MATCH(Data!H289,Data_Val!$D$2:$D$35,0)),0,1)))))</f>
        <v/>
      </c>
      <c r="I289" s="15" t="str">
        <f>IF(Data!B289="","",IF(Data!G289&lt;&gt;"",0,IF(ISNUMBER(MATCH(Data!#REF!,Data_Val!$E$2:$E$12,0)),0,1)))</f>
        <v/>
      </c>
      <c r="J289" s="16" t="e">
        <f>IF(OR(Data!B289="",Data!#REF!=""),"",IF(Data!#REF!="",1,0))</f>
        <v>#REF!</v>
      </c>
      <c r="K289" s="16" t="e">
        <f>IF(OR(Data!B289="",Data!#REF!=""),"",IF(Data!#REF!="",1,0))</f>
        <v>#REF!</v>
      </c>
      <c r="L289" s="16" t="e">
        <f>IF(OR(Data!B289="",Data!#REF!=""),"",IF(ISNUMBER(Data!#REF!),IF(AND(Data!#REF!&gt;Data_Val!$G$2,Data!#REF!&lt;=Data_Val!$G$3),0,1),1))</f>
        <v>#REF!</v>
      </c>
      <c r="M289" s="9" t="e">
        <f>IF(OR(Data!B289="",Data!#REF!=""),"",IF(ISNUMBER(MATCH(Data!#REF!,Data_Val!$F$1:$F$38,0)),0,1))</f>
        <v>#REF!</v>
      </c>
      <c r="N289" s="9" t="e">
        <f>IF(OR(Data!B289="",Data!#REF!=""),"",IF(Data!#REF!="",1,0))</f>
        <v>#REF!</v>
      </c>
      <c r="O289" s="17" t="e">
        <f>IF(Data!#REF!="","",IF(Data!#REF!="",1,0))</f>
        <v>#REF!</v>
      </c>
      <c r="P289" s="17" t="e">
        <f>IF(Data!#REF!="","",IF(ISNUMBER(MATCH(Data!#REF!,Data_Val!$A$2:$A$3,0)),0,1))</f>
        <v>#REF!</v>
      </c>
      <c r="Q289" s="25" t="e">
        <f ca="1">IF(Data!#REF!="","",IF(ISNUMBER(Data!#REF!),IF(AND(Data!#REF!&gt;(TODAY()-(Data_Val!$J$3*365.25)),Data!#REF!&lt;=(TODAY()-(Data_Val!$J$2*365.25))),0,1),1))</f>
        <v>#REF!</v>
      </c>
      <c r="R289" s="17" t="e">
        <f>IF(Data!#REF!="","",IF(ISNUMBER(MATCH(Data!#REF!,Data_Val!$B$2:$B$15,0)),0,1))</f>
        <v>#REF!</v>
      </c>
      <c r="S289" s="11" t="str">
        <f>IF(Data!G289="","",IF(Data!G289=Data_Val!$C$2,IF(Data!M289="",0,1),0))</f>
        <v/>
      </c>
      <c r="T289" s="11" t="str">
        <f>IF(Data!M289="","",IF(ISNUMBER(MATCH(Data!N289,Data_Val!$A$2:$A$3,0)),0,1))</f>
        <v/>
      </c>
      <c r="U289" s="11" t="str">
        <f ca="1">IF(Data!M289="","",IF(ISNUMBER(Data!O289),IF(AND(Data!O289&gt;(TODAY()-(Data_Val!$K$3*365.25)),Data!O289&lt;=(TODAY()-(Data_Val!$K$2*365.25))),0,1),1))</f>
        <v/>
      </c>
      <c r="V289" s="12" t="str">
        <f>IF(Data!G289="","",IF(Data!G289=Data_Val!$C$2,IF(Data!P289="",0,1),0))</f>
        <v/>
      </c>
      <c r="W289" s="12" t="str">
        <f>IF(Data!P289="","",IF(ISNUMBER(MATCH(Data!Q289,Data_Val!$A$2:$A$3,0)),0,1))</f>
        <v/>
      </c>
      <c r="X289" s="26" t="str">
        <f ca="1">IF(Data!P289="","",IF(ISNUMBER(Data!R289),IF(AND(Data!R289&gt;(TODAY()-(Data_Val!$L$3*365.25)),Data!R289&lt;=(TODAY()-(Data_Val!$L$2*365.25))),0,1),1))</f>
        <v/>
      </c>
      <c r="Y289" s="13" t="str">
        <f>IF(Data!$G289="","",IF(Data!$G289=Data_Val!$C$2,IF(Data!S289="",0,1),0))</f>
        <v/>
      </c>
      <c r="Z289" s="13" t="str">
        <f>IF(Data!S289="","",IF(ISNUMBER(MATCH(Data!T289,Data_Val!$A$2:$A$3,0)),0,1))</f>
        <v/>
      </c>
      <c r="AA289" s="28" t="str">
        <f ca="1">IF(Data!S289="","",IF(ISNUMBER(Data!U289),IF(AND(Data!U289&gt;(TODAY()-(Data_Val!$L$3*365.25)),Data!U289&lt;=(TODAY()-(Data_Val!$L$2*365.25))),0,1),1))</f>
        <v/>
      </c>
      <c r="AB289" s="11"/>
      <c r="AC289" s="11" t="e">
        <f>IF(Data!#REF!="","",IF(ISNUMBER(MATCH(Data!#REF!,Data_Val!$A$2:$A$3,0)),0,1))</f>
        <v>#REF!</v>
      </c>
      <c r="AD289" s="11" t="e">
        <f ca="1">IF(Data!#REF!="","",IF(ISNUMBER(Data!#REF!),IF(AND(Data!#REF!&gt;(TODAY()-(Data_Val!$L$3*365.25)),Data!#REF!&lt;=(TODAY()-(Data_Val!$L$2*365.25))),0,1),1))</f>
        <v>#REF!</v>
      </c>
      <c r="AE289" s="11" t="e">
        <f>IF(Data!#REF!="","",IF(Data!$G289="",1,IF(ISNUMBER(MATCH(Data!#REF!,Data_Val!$D$2:$D$10,0)),0,1)))</f>
        <v>#REF!</v>
      </c>
      <c r="AF289" s="12"/>
      <c r="AG289" s="12" t="e">
        <f>IF(Data!#REF!="","",IF(ISNUMBER(MATCH(Data!#REF!,Data_Val!$A$2:$A$3,0)),0,1))</f>
        <v>#REF!</v>
      </c>
      <c r="AH289" s="26" t="e">
        <f ca="1">IF(Data!#REF!="","",IF(ISNUMBER(Data!#REF!),IF(AND(Data!#REF!&gt;(TODAY()-(Data_Val!$L$3*365.25)),Data!#REF!&lt;=(TODAY()-(Data_Val!$L$2*365.25))),0,1),1))</f>
        <v>#REF!</v>
      </c>
      <c r="AI289" s="12" t="e">
        <f>IF(Data!#REF!="","",IF(Data!$G289="",1,IF(ISNUMBER(MATCH(Data!#REF!,Data_Val!$D$2:$D$10,0)),0,1)))</f>
        <v>#REF!</v>
      </c>
      <c r="AJ289" s="17"/>
      <c r="AK289" s="17" t="e">
        <f>IF(Data!#REF!="","",IF(ISNUMBER(MATCH(Data!#REF!,Data_Val!$A$2:$A$3,0)),0,1))</f>
        <v>#REF!</v>
      </c>
      <c r="AL289" s="25" t="e">
        <f ca="1">IF(Data!#REF!="","",IF(ISNUMBER(Data!#REF!),IF(AND(Data!#REF!&gt;(TODAY()-(Data_Val!$L$3*365.25)),Data!#REF!&lt;=(TODAY()-(Data_Val!$L$2*365.25))),0,1),1))</f>
        <v>#REF!</v>
      </c>
      <c r="AM289" s="17" t="e">
        <f>IF(Data!#REF!="","",IF(Data!$G289="",1,IF(ISNUMBER(MATCH(Data!#REF!,Data_Val!$D$2:$D$10,0)),0,1)))</f>
        <v>#REF!</v>
      </c>
      <c r="AN289" s="13"/>
      <c r="AO289" s="28" t="e">
        <f ca="1">IF(Data!#REF!="","",IF(ISNUMBER(Data!#REF!),IF(AND(Data!#REF!&gt;(TODAY()-(Data_Val!$I$3*365.25)),Data!#REF!&lt;=(TODAY()-(Data_Val!$I$2*365.25))),0,1),1))</f>
        <v>#REF!</v>
      </c>
      <c r="AP289" s="13" t="e">
        <f>IF(Data!#REF!="","",IF(Data!$G289="",1,IF(ISNUMBER(MATCH(Data!#REF!,Data_Val!$D$2:$D$10,0)),0,1)))</f>
        <v>#REF!</v>
      </c>
      <c r="AQ289" s="17"/>
      <c r="AR289" s="30" t="e">
        <f ca="1">IF(Data!#REF!="","",IF(ISNUMBER(Data!#REF!),IF(AND(Data!#REF!&gt;(TODAY()-(Data_Val!$I$3*365.25)),Data!#REF!&lt;=(TODAY()-(Data_Val!$I$2*365.25))),0,1),1))</f>
        <v>#REF!</v>
      </c>
      <c r="AS289" s="31" t="e">
        <f>IF(Data!#REF!="","",IF(Data!$G289="",1,IF(ISNUMBER(MATCH(Data!#REF!,Data_Val!$D$2:$D$10,0)),0,1)))</f>
        <v>#REF!</v>
      </c>
      <c r="AT289" s="11"/>
      <c r="AU289" s="11" t="e">
        <f ca="1">IF(Data!#REF!="","",IF(ISNUMBER(Data!#REF!),IF(AND(Data!#REF!&gt;(TODAY()-(Data_Val!$I$3*365.25)),Data!#REF!&lt;=(TODAY()-(Data_Val!$I$2*365.25))),0,1),1))</f>
        <v>#REF!</v>
      </c>
      <c r="AV289" s="11" t="e">
        <f>IF(Data!#REF!="","",IF(Data!$G289="",1,IF(ISNUMBER(MATCH(Data!#REF!,Data_Val!$D$2:$D$10,0)),0,1)))</f>
        <v>#REF!</v>
      </c>
      <c r="AW289" s="12"/>
      <c r="AX289" s="26" t="e">
        <f ca="1">IF(Data!#REF!="","",IF(ISNUMBER(Data!#REF!),IF(AND(Data!#REF!&gt;(TODAY()-(Data_Val!$I$3*365.25)),Data!#REF!&lt;=(TODAY()-(Data_Val!$I$2*365.25))),0,1),1))</f>
        <v>#REF!</v>
      </c>
      <c r="AY289" s="12" t="e">
        <f>IF(Data!#REF!="","",IF(Data!$G289="",1,IF(ISNUMBER(MATCH(Data!#REF!,Data_Val!$D$2:$D$10,0)),0,1)))</f>
        <v>#REF!</v>
      </c>
      <c r="AZ289" s="11"/>
      <c r="BA289" s="19" t="e">
        <f ca="1">IF(Data!#REF!="","",IF(ISNUMBER(Data!#REF!),IF(AND(Data!#REF!&gt;(TODAY()-(Data_Val!$M$3*365.25)),Data!#REF!&lt;=(TODAY()-(Data_Val!$M$2*365.25))),0,1),1))</f>
        <v>#REF!</v>
      </c>
      <c r="BB289" s="11" t="e">
        <f>IF(Data!#REF!="","",IF(Data!$G289="",1,IF(ISNUMBER(MATCH(Data!#REF!,Data_Val!$D$2:$D$10,0)),0,1)))</f>
        <v>#REF!</v>
      </c>
      <c r="BC289" s="12"/>
      <c r="BD289" s="20" t="e">
        <f ca="1">IF(Data!#REF!="","",IF(ISNUMBER(Data!#REF!),IF(AND(Data!#REF!&gt;(TODAY()-(Data_Val!$M$3*365.25)),Data!#REF!&lt;=(TODAY()-(Data_Val!$M$2*365.25))),0,1),1))</f>
        <v>#REF!</v>
      </c>
      <c r="BE289" s="12" t="e">
        <f>IF(Data!#REF!="","",IF(Data!$G289="",1,IF(ISNUMBER(MATCH(Data!#REF!,Data_Val!$D$2:$D$10,0)),0,1)))</f>
        <v>#REF!</v>
      </c>
      <c r="BF289" s="17"/>
      <c r="BG289" s="18" t="e">
        <f ca="1">IF(Data!#REF!="","",IF(ISNUMBER(Data!#REF!),IF(AND(Data!#REF!&gt;(TODAY()-(Data_Val!$M$3*365.25)),Data!#REF!&lt;=(TODAY()-(Data_Val!$M$2*365.25))),0,1),1))</f>
        <v>#REF!</v>
      </c>
      <c r="BH289" s="29" t="e">
        <f>IF(Data!#REF!="","",IF(Data!$G289="",1,IF(ISNUMBER(MATCH(Data!#REF!,Data_Val!$D$2:$D$10,0)),0,1)))</f>
        <v>#REF!</v>
      </c>
      <c r="BI289" s="13"/>
      <c r="BJ289" s="21" t="e">
        <f ca="1">IF(Data!#REF!="","",IF(ISNUMBER(Data!#REF!),IF(AND(Data!#REF!&gt;(TODAY()-(Data_Val!$M$3*365.25)),Data!#REF!&lt;=(TODAY()-(Data_Val!$M$2*365.25))),0,1),1))</f>
        <v>#REF!</v>
      </c>
      <c r="BK289" s="13" t="e">
        <f>IF(Data!#REF!="","",IF(Data!$G289="",1,IF(ISNUMBER(MATCH(Data!#REF!,Data_Val!$D$2:$D$10,0)),0,1)))</f>
        <v>#REF!</v>
      </c>
    </row>
    <row r="290" spans="1:63" x14ac:dyDescent="0.25">
      <c r="A290" s="9" t="str">
        <f>IF(Data!B290="","",IF(COUNTIFS(Data!A$1:'Data'!A290,Data!A290)&lt;=1,0,1))</f>
        <v/>
      </c>
      <c r="B290" s="9"/>
      <c r="C290" s="23" t="str">
        <f>IF(Data!C290="","",(IF(ISNUMBER(MATCH("*@*.?*",Data!C290,0)),0,1)+IF(COUNTIFS(Data!C$1:'Data'!C290,Data!C290)&gt;1,1,0)))</f>
        <v/>
      </c>
      <c r="D290" s="9" t="str">
        <f>IF(Data!B290="","",IF(ISNUMBER(Data!D290),IF(AND(Data!D290&gt;999999999,Data!D290&lt;=9999999999),IF(COUNTIFS(Data!D$1:'Data'!D290,Data!D290)&lt;=1,0,1),1),1))</f>
        <v/>
      </c>
      <c r="E290" s="9" t="str">
        <f>IF(Data!B290="","",IF(ISNUMBER(MATCH(Data!E290,Data_Val!$A$2:$A$3,0)),0,1))</f>
        <v/>
      </c>
      <c r="F290" s="9" t="str">
        <f ca="1">IF(Data!B290="","",IF(ISNUMBER(Data!F290),IF(AND(Data!F290&gt;(TODAY()-(Data_Val!$H$3*365.25)),Data!F290&lt;=(TODAY()-(Data_Val!$H$2*365.25))),0,1),1))</f>
        <v/>
      </c>
      <c r="G290" s="15" t="str">
        <f>IF(Data!B290="","",IF(AND(Data!G290="",Data!H290&lt;&gt;""),1,IF(Data!#REF!&lt;&gt;"",0,IF(ISNUMBER(MATCH(Data!G290,Data_Val!$C$2:$C$5,0)),0,1))))</f>
        <v/>
      </c>
      <c r="H290" s="15" t="str">
        <f>IF(Data!B290="","",IF(AND(Data!G290&lt;&gt;"",Data!H290=""),1,IF(Data!#REF!&lt;&gt;"",0,IF(Data!G290="",1,IF(ISNUMBER(MATCH(Data!H290,Data_Val!$D$2:$D$35,0)),0,1)))))</f>
        <v/>
      </c>
      <c r="I290" s="15" t="str">
        <f>IF(Data!B290="","",IF(Data!G290&lt;&gt;"",0,IF(ISNUMBER(MATCH(Data!#REF!,Data_Val!$E$2:$E$12,0)),0,1)))</f>
        <v/>
      </c>
      <c r="J290" s="16" t="e">
        <f>IF(OR(Data!B290="",Data!#REF!=""),"",IF(Data!#REF!="",1,0))</f>
        <v>#REF!</v>
      </c>
      <c r="K290" s="16" t="e">
        <f>IF(OR(Data!B290="",Data!#REF!=""),"",IF(Data!#REF!="",1,0))</f>
        <v>#REF!</v>
      </c>
      <c r="L290" s="16" t="e">
        <f>IF(OR(Data!B290="",Data!#REF!=""),"",IF(ISNUMBER(Data!#REF!),IF(AND(Data!#REF!&gt;Data_Val!$G$2,Data!#REF!&lt;=Data_Val!$G$3),0,1),1))</f>
        <v>#REF!</v>
      </c>
      <c r="M290" s="9" t="e">
        <f>IF(OR(Data!B290="",Data!#REF!=""),"",IF(ISNUMBER(MATCH(Data!#REF!,Data_Val!$F$1:$F$38,0)),0,1))</f>
        <v>#REF!</v>
      </c>
      <c r="N290" s="9" t="e">
        <f>IF(OR(Data!B290="",Data!#REF!=""),"",IF(Data!#REF!="",1,0))</f>
        <v>#REF!</v>
      </c>
      <c r="O290" s="17" t="e">
        <f>IF(Data!#REF!="","",IF(Data!#REF!="",1,0))</f>
        <v>#REF!</v>
      </c>
      <c r="P290" s="17" t="e">
        <f>IF(Data!#REF!="","",IF(ISNUMBER(MATCH(Data!#REF!,Data_Val!$A$2:$A$3,0)),0,1))</f>
        <v>#REF!</v>
      </c>
      <c r="Q290" s="25" t="e">
        <f ca="1">IF(Data!#REF!="","",IF(ISNUMBER(Data!#REF!),IF(AND(Data!#REF!&gt;(TODAY()-(Data_Val!$J$3*365.25)),Data!#REF!&lt;=(TODAY()-(Data_Val!$J$2*365.25))),0,1),1))</f>
        <v>#REF!</v>
      </c>
      <c r="R290" s="17" t="e">
        <f>IF(Data!#REF!="","",IF(ISNUMBER(MATCH(Data!#REF!,Data_Val!$B$2:$B$15,0)),0,1))</f>
        <v>#REF!</v>
      </c>
      <c r="S290" s="11" t="str">
        <f>IF(Data!G290="","",IF(Data!G290=Data_Val!$C$2,IF(Data!M290="",0,1),0))</f>
        <v/>
      </c>
      <c r="T290" s="11" t="str">
        <f>IF(Data!M290="","",IF(ISNUMBER(MATCH(Data!N290,Data_Val!$A$2:$A$3,0)),0,1))</f>
        <v/>
      </c>
      <c r="U290" s="11" t="str">
        <f ca="1">IF(Data!M290="","",IF(ISNUMBER(Data!O290),IF(AND(Data!O290&gt;(TODAY()-(Data_Val!$K$3*365.25)),Data!O290&lt;=(TODAY()-(Data_Val!$K$2*365.25))),0,1),1))</f>
        <v/>
      </c>
      <c r="V290" s="12" t="str">
        <f>IF(Data!G290="","",IF(Data!G290=Data_Val!$C$2,IF(Data!P290="",0,1),0))</f>
        <v/>
      </c>
      <c r="W290" s="12" t="str">
        <f>IF(Data!P290="","",IF(ISNUMBER(MATCH(Data!Q290,Data_Val!$A$2:$A$3,0)),0,1))</f>
        <v/>
      </c>
      <c r="X290" s="26" t="str">
        <f ca="1">IF(Data!P290="","",IF(ISNUMBER(Data!R290),IF(AND(Data!R290&gt;(TODAY()-(Data_Val!$L$3*365.25)),Data!R290&lt;=(TODAY()-(Data_Val!$L$2*365.25))),0,1),1))</f>
        <v/>
      </c>
      <c r="Y290" s="13" t="str">
        <f>IF(Data!$G290="","",IF(Data!$G290=Data_Val!$C$2,IF(Data!S290="",0,1),0))</f>
        <v/>
      </c>
      <c r="Z290" s="13" t="str">
        <f>IF(Data!S290="","",IF(ISNUMBER(MATCH(Data!T290,Data_Val!$A$2:$A$3,0)),0,1))</f>
        <v/>
      </c>
      <c r="AA290" s="28" t="str">
        <f ca="1">IF(Data!S290="","",IF(ISNUMBER(Data!U290),IF(AND(Data!U290&gt;(TODAY()-(Data_Val!$L$3*365.25)),Data!U290&lt;=(TODAY()-(Data_Val!$L$2*365.25))),0,1),1))</f>
        <v/>
      </c>
      <c r="AB290" s="11"/>
      <c r="AC290" s="11" t="e">
        <f>IF(Data!#REF!="","",IF(ISNUMBER(MATCH(Data!#REF!,Data_Val!$A$2:$A$3,0)),0,1))</f>
        <v>#REF!</v>
      </c>
      <c r="AD290" s="11" t="e">
        <f ca="1">IF(Data!#REF!="","",IF(ISNUMBER(Data!#REF!),IF(AND(Data!#REF!&gt;(TODAY()-(Data_Val!$L$3*365.25)),Data!#REF!&lt;=(TODAY()-(Data_Val!$L$2*365.25))),0,1),1))</f>
        <v>#REF!</v>
      </c>
      <c r="AE290" s="11" t="e">
        <f>IF(Data!#REF!="","",IF(Data!$G290="",1,IF(ISNUMBER(MATCH(Data!#REF!,Data_Val!$D$2:$D$10,0)),0,1)))</f>
        <v>#REF!</v>
      </c>
      <c r="AF290" s="12"/>
      <c r="AG290" s="12" t="e">
        <f>IF(Data!#REF!="","",IF(ISNUMBER(MATCH(Data!#REF!,Data_Val!$A$2:$A$3,0)),0,1))</f>
        <v>#REF!</v>
      </c>
      <c r="AH290" s="26" t="e">
        <f ca="1">IF(Data!#REF!="","",IF(ISNUMBER(Data!#REF!),IF(AND(Data!#REF!&gt;(TODAY()-(Data_Val!$L$3*365.25)),Data!#REF!&lt;=(TODAY()-(Data_Val!$L$2*365.25))),0,1),1))</f>
        <v>#REF!</v>
      </c>
      <c r="AI290" s="12" t="e">
        <f>IF(Data!#REF!="","",IF(Data!$G290="",1,IF(ISNUMBER(MATCH(Data!#REF!,Data_Val!$D$2:$D$10,0)),0,1)))</f>
        <v>#REF!</v>
      </c>
      <c r="AJ290" s="17"/>
      <c r="AK290" s="17" t="e">
        <f>IF(Data!#REF!="","",IF(ISNUMBER(MATCH(Data!#REF!,Data_Val!$A$2:$A$3,0)),0,1))</f>
        <v>#REF!</v>
      </c>
      <c r="AL290" s="25" t="e">
        <f ca="1">IF(Data!#REF!="","",IF(ISNUMBER(Data!#REF!),IF(AND(Data!#REF!&gt;(TODAY()-(Data_Val!$L$3*365.25)),Data!#REF!&lt;=(TODAY()-(Data_Val!$L$2*365.25))),0,1),1))</f>
        <v>#REF!</v>
      </c>
      <c r="AM290" s="17" t="e">
        <f>IF(Data!#REF!="","",IF(Data!$G290="",1,IF(ISNUMBER(MATCH(Data!#REF!,Data_Val!$D$2:$D$10,0)),0,1)))</f>
        <v>#REF!</v>
      </c>
      <c r="AN290" s="13"/>
      <c r="AO290" s="28" t="e">
        <f ca="1">IF(Data!#REF!="","",IF(ISNUMBER(Data!#REF!),IF(AND(Data!#REF!&gt;(TODAY()-(Data_Val!$I$3*365.25)),Data!#REF!&lt;=(TODAY()-(Data_Val!$I$2*365.25))),0,1),1))</f>
        <v>#REF!</v>
      </c>
      <c r="AP290" s="13" t="e">
        <f>IF(Data!#REF!="","",IF(Data!$G290="",1,IF(ISNUMBER(MATCH(Data!#REF!,Data_Val!$D$2:$D$10,0)),0,1)))</f>
        <v>#REF!</v>
      </c>
      <c r="AQ290" s="17"/>
      <c r="AR290" s="30" t="e">
        <f ca="1">IF(Data!#REF!="","",IF(ISNUMBER(Data!#REF!),IF(AND(Data!#REF!&gt;(TODAY()-(Data_Val!$I$3*365.25)),Data!#REF!&lt;=(TODAY()-(Data_Val!$I$2*365.25))),0,1),1))</f>
        <v>#REF!</v>
      </c>
      <c r="AS290" s="31" t="e">
        <f>IF(Data!#REF!="","",IF(Data!$G290="",1,IF(ISNUMBER(MATCH(Data!#REF!,Data_Val!$D$2:$D$10,0)),0,1)))</f>
        <v>#REF!</v>
      </c>
      <c r="AT290" s="11"/>
      <c r="AU290" s="11" t="e">
        <f ca="1">IF(Data!#REF!="","",IF(ISNUMBER(Data!#REF!),IF(AND(Data!#REF!&gt;(TODAY()-(Data_Val!$I$3*365.25)),Data!#REF!&lt;=(TODAY()-(Data_Val!$I$2*365.25))),0,1),1))</f>
        <v>#REF!</v>
      </c>
      <c r="AV290" s="11" t="e">
        <f>IF(Data!#REF!="","",IF(Data!$G290="",1,IF(ISNUMBER(MATCH(Data!#REF!,Data_Val!$D$2:$D$10,0)),0,1)))</f>
        <v>#REF!</v>
      </c>
      <c r="AW290" s="12"/>
      <c r="AX290" s="26" t="e">
        <f ca="1">IF(Data!#REF!="","",IF(ISNUMBER(Data!#REF!),IF(AND(Data!#REF!&gt;(TODAY()-(Data_Val!$I$3*365.25)),Data!#REF!&lt;=(TODAY()-(Data_Val!$I$2*365.25))),0,1),1))</f>
        <v>#REF!</v>
      </c>
      <c r="AY290" s="12" t="e">
        <f>IF(Data!#REF!="","",IF(Data!$G290="",1,IF(ISNUMBER(MATCH(Data!#REF!,Data_Val!$D$2:$D$10,0)),0,1)))</f>
        <v>#REF!</v>
      </c>
      <c r="AZ290" s="11"/>
      <c r="BA290" s="19" t="e">
        <f ca="1">IF(Data!#REF!="","",IF(ISNUMBER(Data!#REF!),IF(AND(Data!#REF!&gt;(TODAY()-(Data_Val!$M$3*365.25)),Data!#REF!&lt;=(TODAY()-(Data_Val!$M$2*365.25))),0,1),1))</f>
        <v>#REF!</v>
      </c>
      <c r="BB290" s="11" t="e">
        <f>IF(Data!#REF!="","",IF(Data!$G290="",1,IF(ISNUMBER(MATCH(Data!#REF!,Data_Val!$D$2:$D$10,0)),0,1)))</f>
        <v>#REF!</v>
      </c>
      <c r="BC290" s="12"/>
      <c r="BD290" s="20" t="e">
        <f ca="1">IF(Data!#REF!="","",IF(ISNUMBER(Data!#REF!),IF(AND(Data!#REF!&gt;(TODAY()-(Data_Val!$M$3*365.25)),Data!#REF!&lt;=(TODAY()-(Data_Val!$M$2*365.25))),0,1),1))</f>
        <v>#REF!</v>
      </c>
      <c r="BE290" s="12" t="e">
        <f>IF(Data!#REF!="","",IF(Data!$G290="",1,IF(ISNUMBER(MATCH(Data!#REF!,Data_Val!$D$2:$D$10,0)),0,1)))</f>
        <v>#REF!</v>
      </c>
      <c r="BF290" s="17"/>
      <c r="BG290" s="18" t="e">
        <f ca="1">IF(Data!#REF!="","",IF(ISNUMBER(Data!#REF!),IF(AND(Data!#REF!&gt;(TODAY()-(Data_Val!$M$3*365.25)),Data!#REF!&lt;=(TODAY()-(Data_Val!$M$2*365.25))),0,1),1))</f>
        <v>#REF!</v>
      </c>
      <c r="BH290" s="29" t="e">
        <f>IF(Data!#REF!="","",IF(Data!$G290="",1,IF(ISNUMBER(MATCH(Data!#REF!,Data_Val!$D$2:$D$10,0)),0,1)))</f>
        <v>#REF!</v>
      </c>
      <c r="BI290" s="13"/>
      <c r="BJ290" s="21" t="e">
        <f ca="1">IF(Data!#REF!="","",IF(ISNUMBER(Data!#REF!),IF(AND(Data!#REF!&gt;(TODAY()-(Data_Val!$M$3*365.25)),Data!#REF!&lt;=(TODAY()-(Data_Val!$M$2*365.25))),0,1),1))</f>
        <v>#REF!</v>
      </c>
      <c r="BK290" s="13" t="e">
        <f>IF(Data!#REF!="","",IF(Data!$G290="",1,IF(ISNUMBER(MATCH(Data!#REF!,Data_Val!$D$2:$D$10,0)),0,1)))</f>
        <v>#REF!</v>
      </c>
    </row>
    <row r="291" spans="1:63" x14ac:dyDescent="0.25">
      <c r="A291" s="9" t="str">
        <f>IF(Data!B291="","",IF(COUNTIFS(Data!A$1:'Data'!A291,Data!A291)&lt;=1,0,1))</f>
        <v/>
      </c>
      <c r="B291" s="9"/>
      <c r="C291" s="23" t="str">
        <f>IF(Data!C291="","",(IF(ISNUMBER(MATCH("*@*.?*",Data!C291,0)),0,1)+IF(COUNTIFS(Data!C$1:'Data'!C291,Data!C291)&gt;1,1,0)))</f>
        <v/>
      </c>
      <c r="D291" s="9" t="str">
        <f>IF(Data!B291="","",IF(ISNUMBER(Data!D291),IF(AND(Data!D291&gt;999999999,Data!D291&lt;=9999999999),IF(COUNTIFS(Data!D$1:'Data'!D291,Data!D291)&lt;=1,0,1),1),1))</f>
        <v/>
      </c>
      <c r="E291" s="9" t="str">
        <f>IF(Data!B291="","",IF(ISNUMBER(MATCH(Data!E291,Data_Val!$A$2:$A$3,0)),0,1))</f>
        <v/>
      </c>
      <c r="F291" s="9" t="str">
        <f ca="1">IF(Data!B291="","",IF(ISNUMBER(Data!F291),IF(AND(Data!F291&gt;(TODAY()-(Data_Val!$H$3*365.25)),Data!F291&lt;=(TODAY()-(Data_Val!$H$2*365.25))),0,1),1))</f>
        <v/>
      </c>
      <c r="G291" s="15" t="str">
        <f>IF(Data!B291="","",IF(AND(Data!G291="",Data!H291&lt;&gt;""),1,IF(Data!#REF!&lt;&gt;"",0,IF(ISNUMBER(MATCH(Data!G291,Data_Val!$C$2:$C$5,0)),0,1))))</f>
        <v/>
      </c>
      <c r="H291" s="15" t="str">
        <f>IF(Data!B291="","",IF(AND(Data!G291&lt;&gt;"",Data!H291=""),1,IF(Data!#REF!&lt;&gt;"",0,IF(Data!G291="",1,IF(ISNUMBER(MATCH(Data!H291,Data_Val!$D$2:$D$35,0)),0,1)))))</f>
        <v/>
      </c>
      <c r="I291" s="15" t="str">
        <f>IF(Data!B291="","",IF(Data!G291&lt;&gt;"",0,IF(ISNUMBER(MATCH(Data!#REF!,Data_Val!$E$2:$E$12,0)),0,1)))</f>
        <v/>
      </c>
      <c r="J291" s="16" t="e">
        <f>IF(OR(Data!B291="",Data!#REF!=""),"",IF(Data!#REF!="",1,0))</f>
        <v>#REF!</v>
      </c>
      <c r="K291" s="16" t="e">
        <f>IF(OR(Data!B291="",Data!#REF!=""),"",IF(Data!#REF!="",1,0))</f>
        <v>#REF!</v>
      </c>
      <c r="L291" s="16" t="e">
        <f>IF(OR(Data!B291="",Data!#REF!=""),"",IF(ISNUMBER(Data!#REF!),IF(AND(Data!#REF!&gt;Data_Val!$G$2,Data!#REF!&lt;=Data_Val!$G$3),0,1),1))</f>
        <v>#REF!</v>
      </c>
      <c r="M291" s="9" t="e">
        <f>IF(OR(Data!B291="",Data!#REF!=""),"",IF(ISNUMBER(MATCH(Data!#REF!,Data_Val!$F$1:$F$38,0)),0,1))</f>
        <v>#REF!</v>
      </c>
      <c r="N291" s="9" t="e">
        <f>IF(OR(Data!B291="",Data!#REF!=""),"",IF(Data!#REF!="",1,0))</f>
        <v>#REF!</v>
      </c>
      <c r="O291" s="17" t="e">
        <f>IF(Data!#REF!="","",IF(Data!#REF!="",1,0))</f>
        <v>#REF!</v>
      </c>
      <c r="P291" s="17" t="e">
        <f>IF(Data!#REF!="","",IF(ISNUMBER(MATCH(Data!#REF!,Data_Val!$A$2:$A$3,0)),0,1))</f>
        <v>#REF!</v>
      </c>
      <c r="Q291" s="25" t="e">
        <f ca="1">IF(Data!#REF!="","",IF(ISNUMBER(Data!#REF!),IF(AND(Data!#REF!&gt;(TODAY()-(Data_Val!$J$3*365.25)),Data!#REF!&lt;=(TODAY()-(Data_Val!$J$2*365.25))),0,1),1))</f>
        <v>#REF!</v>
      </c>
      <c r="R291" s="17" t="e">
        <f>IF(Data!#REF!="","",IF(ISNUMBER(MATCH(Data!#REF!,Data_Val!$B$2:$B$15,0)),0,1))</f>
        <v>#REF!</v>
      </c>
      <c r="S291" s="11" t="str">
        <f>IF(Data!G291="","",IF(Data!G291=Data_Val!$C$2,IF(Data!M291="",0,1),0))</f>
        <v/>
      </c>
      <c r="T291" s="11" t="str">
        <f>IF(Data!M291="","",IF(ISNUMBER(MATCH(Data!N291,Data_Val!$A$2:$A$3,0)),0,1))</f>
        <v/>
      </c>
      <c r="U291" s="11" t="str">
        <f ca="1">IF(Data!M291="","",IF(ISNUMBER(Data!O291),IF(AND(Data!O291&gt;(TODAY()-(Data_Val!$K$3*365.25)),Data!O291&lt;=(TODAY()-(Data_Val!$K$2*365.25))),0,1),1))</f>
        <v/>
      </c>
      <c r="V291" s="12" t="str">
        <f>IF(Data!G291="","",IF(Data!G291=Data_Val!$C$2,IF(Data!P291="",0,1),0))</f>
        <v/>
      </c>
      <c r="W291" s="12" t="str">
        <f>IF(Data!P291="","",IF(ISNUMBER(MATCH(Data!Q291,Data_Val!$A$2:$A$3,0)),0,1))</f>
        <v/>
      </c>
      <c r="X291" s="26" t="str">
        <f ca="1">IF(Data!P291="","",IF(ISNUMBER(Data!R291),IF(AND(Data!R291&gt;(TODAY()-(Data_Val!$L$3*365.25)),Data!R291&lt;=(TODAY()-(Data_Val!$L$2*365.25))),0,1),1))</f>
        <v/>
      </c>
      <c r="Y291" s="13" t="str">
        <f>IF(Data!$G291="","",IF(Data!$G291=Data_Val!$C$2,IF(Data!S291="",0,1),0))</f>
        <v/>
      </c>
      <c r="Z291" s="13" t="str">
        <f>IF(Data!S291="","",IF(ISNUMBER(MATCH(Data!T291,Data_Val!$A$2:$A$3,0)),0,1))</f>
        <v/>
      </c>
      <c r="AA291" s="28" t="str">
        <f ca="1">IF(Data!S291="","",IF(ISNUMBER(Data!U291),IF(AND(Data!U291&gt;(TODAY()-(Data_Val!$L$3*365.25)),Data!U291&lt;=(TODAY()-(Data_Val!$L$2*365.25))),0,1),1))</f>
        <v/>
      </c>
      <c r="AB291" s="11"/>
      <c r="AC291" s="11" t="e">
        <f>IF(Data!#REF!="","",IF(ISNUMBER(MATCH(Data!#REF!,Data_Val!$A$2:$A$3,0)),0,1))</f>
        <v>#REF!</v>
      </c>
      <c r="AD291" s="11" t="e">
        <f ca="1">IF(Data!#REF!="","",IF(ISNUMBER(Data!#REF!),IF(AND(Data!#REF!&gt;(TODAY()-(Data_Val!$L$3*365.25)),Data!#REF!&lt;=(TODAY()-(Data_Val!$L$2*365.25))),0,1),1))</f>
        <v>#REF!</v>
      </c>
      <c r="AE291" s="11" t="e">
        <f>IF(Data!#REF!="","",IF(Data!$G291="",1,IF(ISNUMBER(MATCH(Data!#REF!,Data_Val!$D$2:$D$10,0)),0,1)))</f>
        <v>#REF!</v>
      </c>
      <c r="AF291" s="12"/>
      <c r="AG291" s="12" t="e">
        <f>IF(Data!#REF!="","",IF(ISNUMBER(MATCH(Data!#REF!,Data_Val!$A$2:$A$3,0)),0,1))</f>
        <v>#REF!</v>
      </c>
      <c r="AH291" s="26" t="e">
        <f ca="1">IF(Data!#REF!="","",IF(ISNUMBER(Data!#REF!),IF(AND(Data!#REF!&gt;(TODAY()-(Data_Val!$L$3*365.25)),Data!#REF!&lt;=(TODAY()-(Data_Val!$L$2*365.25))),0,1),1))</f>
        <v>#REF!</v>
      </c>
      <c r="AI291" s="12" t="e">
        <f>IF(Data!#REF!="","",IF(Data!$G291="",1,IF(ISNUMBER(MATCH(Data!#REF!,Data_Val!$D$2:$D$10,0)),0,1)))</f>
        <v>#REF!</v>
      </c>
      <c r="AJ291" s="17"/>
      <c r="AK291" s="17" t="e">
        <f>IF(Data!#REF!="","",IF(ISNUMBER(MATCH(Data!#REF!,Data_Val!$A$2:$A$3,0)),0,1))</f>
        <v>#REF!</v>
      </c>
      <c r="AL291" s="25" t="e">
        <f ca="1">IF(Data!#REF!="","",IF(ISNUMBER(Data!#REF!),IF(AND(Data!#REF!&gt;(TODAY()-(Data_Val!$L$3*365.25)),Data!#REF!&lt;=(TODAY()-(Data_Val!$L$2*365.25))),0,1),1))</f>
        <v>#REF!</v>
      </c>
      <c r="AM291" s="17" t="e">
        <f>IF(Data!#REF!="","",IF(Data!$G291="",1,IF(ISNUMBER(MATCH(Data!#REF!,Data_Val!$D$2:$D$10,0)),0,1)))</f>
        <v>#REF!</v>
      </c>
      <c r="AN291" s="13"/>
      <c r="AO291" s="28" t="e">
        <f ca="1">IF(Data!#REF!="","",IF(ISNUMBER(Data!#REF!),IF(AND(Data!#REF!&gt;(TODAY()-(Data_Val!$I$3*365.25)),Data!#REF!&lt;=(TODAY()-(Data_Val!$I$2*365.25))),0,1),1))</f>
        <v>#REF!</v>
      </c>
      <c r="AP291" s="13" t="e">
        <f>IF(Data!#REF!="","",IF(Data!$G291="",1,IF(ISNUMBER(MATCH(Data!#REF!,Data_Val!$D$2:$D$10,0)),0,1)))</f>
        <v>#REF!</v>
      </c>
      <c r="AQ291" s="17"/>
      <c r="AR291" s="30" t="e">
        <f ca="1">IF(Data!#REF!="","",IF(ISNUMBER(Data!#REF!),IF(AND(Data!#REF!&gt;(TODAY()-(Data_Val!$I$3*365.25)),Data!#REF!&lt;=(TODAY()-(Data_Val!$I$2*365.25))),0,1),1))</f>
        <v>#REF!</v>
      </c>
      <c r="AS291" s="31" t="e">
        <f>IF(Data!#REF!="","",IF(Data!$G291="",1,IF(ISNUMBER(MATCH(Data!#REF!,Data_Val!$D$2:$D$10,0)),0,1)))</f>
        <v>#REF!</v>
      </c>
      <c r="AT291" s="11"/>
      <c r="AU291" s="11" t="e">
        <f ca="1">IF(Data!#REF!="","",IF(ISNUMBER(Data!#REF!),IF(AND(Data!#REF!&gt;(TODAY()-(Data_Val!$I$3*365.25)),Data!#REF!&lt;=(TODAY()-(Data_Val!$I$2*365.25))),0,1),1))</f>
        <v>#REF!</v>
      </c>
      <c r="AV291" s="11" t="e">
        <f>IF(Data!#REF!="","",IF(Data!$G291="",1,IF(ISNUMBER(MATCH(Data!#REF!,Data_Val!$D$2:$D$10,0)),0,1)))</f>
        <v>#REF!</v>
      </c>
      <c r="AW291" s="12"/>
      <c r="AX291" s="26" t="e">
        <f ca="1">IF(Data!#REF!="","",IF(ISNUMBER(Data!#REF!),IF(AND(Data!#REF!&gt;(TODAY()-(Data_Val!$I$3*365.25)),Data!#REF!&lt;=(TODAY()-(Data_Val!$I$2*365.25))),0,1),1))</f>
        <v>#REF!</v>
      </c>
      <c r="AY291" s="12" t="e">
        <f>IF(Data!#REF!="","",IF(Data!$G291="",1,IF(ISNUMBER(MATCH(Data!#REF!,Data_Val!$D$2:$D$10,0)),0,1)))</f>
        <v>#REF!</v>
      </c>
      <c r="AZ291" s="11"/>
      <c r="BA291" s="19" t="e">
        <f ca="1">IF(Data!#REF!="","",IF(ISNUMBER(Data!#REF!),IF(AND(Data!#REF!&gt;(TODAY()-(Data_Val!$M$3*365.25)),Data!#REF!&lt;=(TODAY()-(Data_Val!$M$2*365.25))),0,1),1))</f>
        <v>#REF!</v>
      </c>
      <c r="BB291" s="11" t="e">
        <f>IF(Data!#REF!="","",IF(Data!$G291="",1,IF(ISNUMBER(MATCH(Data!#REF!,Data_Val!$D$2:$D$10,0)),0,1)))</f>
        <v>#REF!</v>
      </c>
      <c r="BC291" s="12"/>
      <c r="BD291" s="20" t="e">
        <f ca="1">IF(Data!#REF!="","",IF(ISNUMBER(Data!#REF!),IF(AND(Data!#REF!&gt;(TODAY()-(Data_Val!$M$3*365.25)),Data!#REF!&lt;=(TODAY()-(Data_Val!$M$2*365.25))),0,1),1))</f>
        <v>#REF!</v>
      </c>
      <c r="BE291" s="12" t="e">
        <f>IF(Data!#REF!="","",IF(Data!$G291="",1,IF(ISNUMBER(MATCH(Data!#REF!,Data_Val!$D$2:$D$10,0)),0,1)))</f>
        <v>#REF!</v>
      </c>
      <c r="BF291" s="17"/>
      <c r="BG291" s="18" t="e">
        <f ca="1">IF(Data!#REF!="","",IF(ISNUMBER(Data!#REF!),IF(AND(Data!#REF!&gt;(TODAY()-(Data_Val!$M$3*365.25)),Data!#REF!&lt;=(TODAY()-(Data_Val!$M$2*365.25))),0,1),1))</f>
        <v>#REF!</v>
      </c>
      <c r="BH291" s="29" t="e">
        <f>IF(Data!#REF!="","",IF(Data!$G291="",1,IF(ISNUMBER(MATCH(Data!#REF!,Data_Val!$D$2:$D$10,0)),0,1)))</f>
        <v>#REF!</v>
      </c>
      <c r="BI291" s="13"/>
      <c r="BJ291" s="21" t="e">
        <f ca="1">IF(Data!#REF!="","",IF(ISNUMBER(Data!#REF!),IF(AND(Data!#REF!&gt;(TODAY()-(Data_Val!$M$3*365.25)),Data!#REF!&lt;=(TODAY()-(Data_Val!$M$2*365.25))),0,1),1))</f>
        <v>#REF!</v>
      </c>
      <c r="BK291" s="13" t="e">
        <f>IF(Data!#REF!="","",IF(Data!$G291="",1,IF(ISNUMBER(MATCH(Data!#REF!,Data_Val!$D$2:$D$10,0)),0,1)))</f>
        <v>#REF!</v>
      </c>
    </row>
    <row r="292" spans="1:63" x14ac:dyDescent="0.25">
      <c r="A292" s="9" t="str">
        <f>IF(Data!B292="","",IF(COUNTIFS(Data!A$1:'Data'!A292,Data!A292)&lt;=1,0,1))</f>
        <v/>
      </c>
      <c r="B292" s="9"/>
      <c r="C292" s="23" t="str">
        <f>IF(Data!C292="","",(IF(ISNUMBER(MATCH("*@*.?*",Data!C292,0)),0,1)+IF(COUNTIFS(Data!C$1:'Data'!C292,Data!C292)&gt;1,1,0)))</f>
        <v/>
      </c>
      <c r="D292" s="9" t="str">
        <f>IF(Data!B292="","",IF(ISNUMBER(Data!D292),IF(AND(Data!D292&gt;999999999,Data!D292&lt;=9999999999),IF(COUNTIFS(Data!D$1:'Data'!D292,Data!D292)&lt;=1,0,1),1),1))</f>
        <v/>
      </c>
      <c r="E292" s="9" t="str">
        <f>IF(Data!B292="","",IF(ISNUMBER(MATCH(Data!E292,Data_Val!$A$2:$A$3,0)),0,1))</f>
        <v/>
      </c>
      <c r="F292" s="9" t="str">
        <f ca="1">IF(Data!B292="","",IF(ISNUMBER(Data!F292),IF(AND(Data!F292&gt;(TODAY()-(Data_Val!$H$3*365.25)),Data!F292&lt;=(TODAY()-(Data_Val!$H$2*365.25))),0,1),1))</f>
        <v/>
      </c>
      <c r="G292" s="15" t="str">
        <f>IF(Data!B292="","",IF(AND(Data!G292="",Data!H292&lt;&gt;""),1,IF(Data!#REF!&lt;&gt;"",0,IF(ISNUMBER(MATCH(Data!G292,Data_Val!$C$2:$C$5,0)),0,1))))</f>
        <v/>
      </c>
      <c r="H292" s="15" t="str">
        <f>IF(Data!B292="","",IF(AND(Data!G292&lt;&gt;"",Data!H292=""),1,IF(Data!#REF!&lt;&gt;"",0,IF(Data!G292="",1,IF(ISNUMBER(MATCH(Data!H292,Data_Val!$D$2:$D$35,0)),0,1)))))</f>
        <v/>
      </c>
      <c r="I292" s="15" t="str">
        <f>IF(Data!B292="","",IF(Data!G292&lt;&gt;"",0,IF(ISNUMBER(MATCH(Data!#REF!,Data_Val!$E$2:$E$12,0)),0,1)))</f>
        <v/>
      </c>
      <c r="J292" s="16" t="e">
        <f>IF(OR(Data!B292="",Data!#REF!=""),"",IF(Data!#REF!="",1,0))</f>
        <v>#REF!</v>
      </c>
      <c r="K292" s="16" t="e">
        <f>IF(OR(Data!B292="",Data!#REF!=""),"",IF(Data!#REF!="",1,0))</f>
        <v>#REF!</v>
      </c>
      <c r="L292" s="16" t="e">
        <f>IF(OR(Data!B292="",Data!#REF!=""),"",IF(ISNUMBER(Data!#REF!),IF(AND(Data!#REF!&gt;Data_Val!$G$2,Data!#REF!&lt;=Data_Val!$G$3),0,1),1))</f>
        <v>#REF!</v>
      </c>
      <c r="M292" s="9" t="e">
        <f>IF(OR(Data!B292="",Data!#REF!=""),"",IF(ISNUMBER(MATCH(Data!#REF!,Data_Val!$F$1:$F$38,0)),0,1))</f>
        <v>#REF!</v>
      </c>
      <c r="N292" s="9" t="e">
        <f>IF(OR(Data!B292="",Data!#REF!=""),"",IF(Data!#REF!="",1,0))</f>
        <v>#REF!</v>
      </c>
      <c r="O292" s="17" t="e">
        <f>IF(Data!#REF!="","",IF(Data!#REF!="",1,0))</f>
        <v>#REF!</v>
      </c>
      <c r="P292" s="17" t="e">
        <f>IF(Data!#REF!="","",IF(ISNUMBER(MATCH(Data!#REF!,Data_Val!$A$2:$A$3,0)),0,1))</f>
        <v>#REF!</v>
      </c>
      <c r="Q292" s="25" t="e">
        <f ca="1">IF(Data!#REF!="","",IF(ISNUMBER(Data!#REF!),IF(AND(Data!#REF!&gt;(TODAY()-(Data_Val!$J$3*365.25)),Data!#REF!&lt;=(TODAY()-(Data_Val!$J$2*365.25))),0,1),1))</f>
        <v>#REF!</v>
      </c>
      <c r="R292" s="17" t="e">
        <f>IF(Data!#REF!="","",IF(ISNUMBER(MATCH(Data!#REF!,Data_Val!$B$2:$B$15,0)),0,1))</f>
        <v>#REF!</v>
      </c>
      <c r="S292" s="11" t="str">
        <f>IF(Data!G292="","",IF(Data!G292=Data_Val!$C$2,IF(Data!M292="",0,1),0))</f>
        <v/>
      </c>
      <c r="T292" s="11" t="str">
        <f>IF(Data!M292="","",IF(ISNUMBER(MATCH(Data!N292,Data_Val!$A$2:$A$3,0)),0,1))</f>
        <v/>
      </c>
      <c r="U292" s="11" t="str">
        <f ca="1">IF(Data!M292="","",IF(ISNUMBER(Data!O292),IF(AND(Data!O292&gt;(TODAY()-(Data_Val!$K$3*365.25)),Data!O292&lt;=(TODAY()-(Data_Val!$K$2*365.25))),0,1),1))</f>
        <v/>
      </c>
      <c r="V292" s="12" t="str">
        <f>IF(Data!G292="","",IF(Data!G292=Data_Val!$C$2,IF(Data!P292="",0,1),0))</f>
        <v/>
      </c>
      <c r="W292" s="12" t="str">
        <f>IF(Data!P292="","",IF(ISNUMBER(MATCH(Data!Q292,Data_Val!$A$2:$A$3,0)),0,1))</f>
        <v/>
      </c>
      <c r="X292" s="26" t="str">
        <f ca="1">IF(Data!P292="","",IF(ISNUMBER(Data!R292),IF(AND(Data!R292&gt;(TODAY()-(Data_Val!$L$3*365.25)),Data!R292&lt;=(TODAY()-(Data_Val!$L$2*365.25))),0,1),1))</f>
        <v/>
      </c>
      <c r="Y292" s="13" t="str">
        <f>IF(Data!$G292="","",IF(Data!$G292=Data_Val!$C$2,IF(Data!S292="",0,1),0))</f>
        <v/>
      </c>
      <c r="Z292" s="13" t="str">
        <f>IF(Data!S292="","",IF(ISNUMBER(MATCH(Data!T292,Data_Val!$A$2:$A$3,0)),0,1))</f>
        <v/>
      </c>
      <c r="AA292" s="28" t="str">
        <f ca="1">IF(Data!S292="","",IF(ISNUMBER(Data!U292),IF(AND(Data!U292&gt;(TODAY()-(Data_Val!$L$3*365.25)),Data!U292&lt;=(TODAY()-(Data_Val!$L$2*365.25))),0,1),1))</f>
        <v/>
      </c>
      <c r="AB292" s="11"/>
      <c r="AC292" s="11" t="e">
        <f>IF(Data!#REF!="","",IF(ISNUMBER(MATCH(Data!#REF!,Data_Val!$A$2:$A$3,0)),0,1))</f>
        <v>#REF!</v>
      </c>
      <c r="AD292" s="11" t="e">
        <f ca="1">IF(Data!#REF!="","",IF(ISNUMBER(Data!#REF!),IF(AND(Data!#REF!&gt;(TODAY()-(Data_Val!$L$3*365.25)),Data!#REF!&lt;=(TODAY()-(Data_Val!$L$2*365.25))),0,1),1))</f>
        <v>#REF!</v>
      </c>
      <c r="AE292" s="11" t="e">
        <f>IF(Data!#REF!="","",IF(Data!$G292="",1,IF(ISNUMBER(MATCH(Data!#REF!,Data_Val!$D$2:$D$10,0)),0,1)))</f>
        <v>#REF!</v>
      </c>
      <c r="AF292" s="12"/>
      <c r="AG292" s="12" t="e">
        <f>IF(Data!#REF!="","",IF(ISNUMBER(MATCH(Data!#REF!,Data_Val!$A$2:$A$3,0)),0,1))</f>
        <v>#REF!</v>
      </c>
      <c r="AH292" s="26" t="e">
        <f ca="1">IF(Data!#REF!="","",IF(ISNUMBER(Data!#REF!),IF(AND(Data!#REF!&gt;(TODAY()-(Data_Val!$L$3*365.25)),Data!#REF!&lt;=(TODAY()-(Data_Val!$L$2*365.25))),0,1),1))</f>
        <v>#REF!</v>
      </c>
      <c r="AI292" s="12" t="e">
        <f>IF(Data!#REF!="","",IF(Data!$G292="",1,IF(ISNUMBER(MATCH(Data!#REF!,Data_Val!$D$2:$D$10,0)),0,1)))</f>
        <v>#REF!</v>
      </c>
      <c r="AJ292" s="17"/>
      <c r="AK292" s="17" t="e">
        <f>IF(Data!#REF!="","",IF(ISNUMBER(MATCH(Data!#REF!,Data_Val!$A$2:$A$3,0)),0,1))</f>
        <v>#REF!</v>
      </c>
      <c r="AL292" s="25" t="e">
        <f ca="1">IF(Data!#REF!="","",IF(ISNUMBER(Data!#REF!),IF(AND(Data!#REF!&gt;(TODAY()-(Data_Val!$L$3*365.25)),Data!#REF!&lt;=(TODAY()-(Data_Val!$L$2*365.25))),0,1),1))</f>
        <v>#REF!</v>
      </c>
      <c r="AM292" s="17" t="e">
        <f>IF(Data!#REF!="","",IF(Data!$G292="",1,IF(ISNUMBER(MATCH(Data!#REF!,Data_Val!$D$2:$D$10,0)),0,1)))</f>
        <v>#REF!</v>
      </c>
      <c r="AN292" s="13"/>
      <c r="AO292" s="28" t="e">
        <f ca="1">IF(Data!#REF!="","",IF(ISNUMBER(Data!#REF!),IF(AND(Data!#REF!&gt;(TODAY()-(Data_Val!$I$3*365.25)),Data!#REF!&lt;=(TODAY()-(Data_Val!$I$2*365.25))),0,1),1))</f>
        <v>#REF!</v>
      </c>
      <c r="AP292" s="13" t="e">
        <f>IF(Data!#REF!="","",IF(Data!$G292="",1,IF(ISNUMBER(MATCH(Data!#REF!,Data_Val!$D$2:$D$10,0)),0,1)))</f>
        <v>#REF!</v>
      </c>
      <c r="AQ292" s="17"/>
      <c r="AR292" s="30" t="e">
        <f ca="1">IF(Data!#REF!="","",IF(ISNUMBER(Data!#REF!),IF(AND(Data!#REF!&gt;(TODAY()-(Data_Val!$I$3*365.25)),Data!#REF!&lt;=(TODAY()-(Data_Val!$I$2*365.25))),0,1),1))</f>
        <v>#REF!</v>
      </c>
      <c r="AS292" s="31" t="e">
        <f>IF(Data!#REF!="","",IF(Data!$G292="",1,IF(ISNUMBER(MATCH(Data!#REF!,Data_Val!$D$2:$D$10,0)),0,1)))</f>
        <v>#REF!</v>
      </c>
      <c r="AT292" s="11"/>
      <c r="AU292" s="11" t="e">
        <f ca="1">IF(Data!#REF!="","",IF(ISNUMBER(Data!#REF!),IF(AND(Data!#REF!&gt;(TODAY()-(Data_Val!$I$3*365.25)),Data!#REF!&lt;=(TODAY()-(Data_Val!$I$2*365.25))),0,1),1))</f>
        <v>#REF!</v>
      </c>
      <c r="AV292" s="11" t="e">
        <f>IF(Data!#REF!="","",IF(Data!$G292="",1,IF(ISNUMBER(MATCH(Data!#REF!,Data_Val!$D$2:$D$10,0)),0,1)))</f>
        <v>#REF!</v>
      </c>
      <c r="AW292" s="12"/>
      <c r="AX292" s="26" t="e">
        <f ca="1">IF(Data!#REF!="","",IF(ISNUMBER(Data!#REF!),IF(AND(Data!#REF!&gt;(TODAY()-(Data_Val!$I$3*365.25)),Data!#REF!&lt;=(TODAY()-(Data_Val!$I$2*365.25))),0,1),1))</f>
        <v>#REF!</v>
      </c>
      <c r="AY292" s="12" t="e">
        <f>IF(Data!#REF!="","",IF(Data!$G292="",1,IF(ISNUMBER(MATCH(Data!#REF!,Data_Val!$D$2:$D$10,0)),0,1)))</f>
        <v>#REF!</v>
      </c>
      <c r="AZ292" s="11"/>
      <c r="BA292" s="19" t="e">
        <f ca="1">IF(Data!#REF!="","",IF(ISNUMBER(Data!#REF!),IF(AND(Data!#REF!&gt;(TODAY()-(Data_Val!$M$3*365.25)),Data!#REF!&lt;=(TODAY()-(Data_Val!$M$2*365.25))),0,1),1))</f>
        <v>#REF!</v>
      </c>
      <c r="BB292" s="11" t="e">
        <f>IF(Data!#REF!="","",IF(Data!$G292="",1,IF(ISNUMBER(MATCH(Data!#REF!,Data_Val!$D$2:$D$10,0)),0,1)))</f>
        <v>#REF!</v>
      </c>
      <c r="BC292" s="12"/>
      <c r="BD292" s="20" t="e">
        <f ca="1">IF(Data!#REF!="","",IF(ISNUMBER(Data!#REF!),IF(AND(Data!#REF!&gt;(TODAY()-(Data_Val!$M$3*365.25)),Data!#REF!&lt;=(TODAY()-(Data_Val!$M$2*365.25))),0,1),1))</f>
        <v>#REF!</v>
      </c>
      <c r="BE292" s="12" t="e">
        <f>IF(Data!#REF!="","",IF(Data!$G292="",1,IF(ISNUMBER(MATCH(Data!#REF!,Data_Val!$D$2:$D$10,0)),0,1)))</f>
        <v>#REF!</v>
      </c>
      <c r="BF292" s="17"/>
      <c r="BG292" s="18" t="e">
        <f ca="1">IF(Data!#REF!="","",IF(ISNUMBER(Data!#REF!),IF(AND(Data!#REF!&gt;(TODAY()-(Data_Val!$M$3*365.25)),Data!#REF!&lt;=(TODAY()-(Data_Val!$M$2*365.25))),0,1),1))</f>
        <v>#REF!</v>
      </c>
      <c r="BH292" s="29" t="e">
        <f>IF(Data!#REF!="","",IF(Data!$G292="",1,IF(ISNUMBER(MATCH(Data!#REF!,Data_Val!$D$2:$D$10,0)),0,1)))</f>
        <v>#REF!</v>
      </c>
      <c r="BI292" s="13"/>
      <c r="BJ292" s="21" t="e">
        <f ca="1">IF(Data!#REF!="","",IF(ISNUMBER(Data!#REF!),IF(AND(Data!#REF!&gt;(TODAY()-(Data_Val!$M$3*365.25)),Data!#REF!&lt;=(TODAY()-(Data_Val!$M$2*365.25))),0,1),1))</f>
        <v>#REF!</v>
      </c>
      <c r="BK292" s="13" t="e">
        <f>IF(Data!#REF!="","",IF(Data!$G292="",1,IF(ISNUMBER(MATCH(Data!#REF!,Data_Val!$D$2:$D$10,0)),0,1)))</f>
        <v>#REF!</v>
      </c>
    </row>
    <row r="293" spans="1:63" x14ac:dyDescent="0.25">
      <c r="A293" s="9" t="str">
        <f>IF(Data!B293="","",IF(COUNTIFS(Data!A$1:'Data'!A293,Data!A293)&lt;=1,0,1))</f>
        <v/>
      </c>
      <c r="B293" s="9"/>
      <c r="C293" s="23" t="str">
        <f>IF(Data!C293="","",(IF(ISNUMBER(MATCH("*@*.?*",Data!C293,0)),0,1)+IF(COUNTIFS(Data!C$1:'Data'!C293,Data!C293)&gt;1,1,0)))</f>
        <v/>
      </c>
      <c r="D293" s="9" t="str">
        <f>IF(Data!B293="","",IF(ISNUMBER(Data!D293),IF(AND(Data!D293&gt;999999999,Data!D293&lt;=9999999999),IF(COUNTIFS(Data!D$1:'Data'!D293,Data!D293)&lt;=1,0,1),1),1))</f>
        <v/>
      </c>
      <c r="E293" s="9" t="str">
        <f>IF(Data!B293="","",IF(ISNUMBER(MATCH(Data!E293,Data_Val!$A$2:$A$3,0)),0,1))</f>
        <v/>
      </c>
      <c r="F293" s="9" t="str">
        <f ca="1">IF(Data!B293="","",IF(ISNUMBER(Data!F293),IF(AND(Data!F293&gt;(TODAY()-(Data_Val!$H$3*365.25)),Data!F293&lt;=(TODAY()-(Data_Val!$H$2*365.25))),0,1),1))</f>
        <v/>
      </c>
      <c r="G293" s="15" t="str">
        <f>IF(Data!B293="","",IF(AND(Data!G293="",Data!H293&lt;&gt;""),1,IF(Data!#REF!&lt;&gt;"",0,IF(ISNUMBER(MATCH(Data!G293,Data_Val!$C$2:$C$5,0)),0,1))))</f>
        <v/>
      </c>
      <c r="H293" s="15" t="str">
        <f>IF(Data!B293="","",IF(AND(Data!G293&lt;&gt;"",Data!H293=""),1,IF(Data!#REF!&lt;&gt;"",0,IF(Data!G293="",1,IF(ISNUMBER(MATCH(Data!H293,Data_Val!$D$2:$D$35,0)),0,1)))))</f>
        <v/>
      </c>
      <c r="I293" s="15" t="str">
        <f>IF(Data!B293="","",IF(Data!G293&lt;&gt;"",0,IF(ISNUMBER(MATCH(Data!#REF!,Data_Val!$E$2:$E$12,0)),0,1)))</f>
        <v/>
      </c>
      <c r="J293" s="16" t="e">
        <f>IF(OR(Data!B293="",Data!#REF!=""),"",IF(Data!#REF!="",1,0))</f>
        <v>#REF!</v>
      </c>
      <c r="K293" s="16" t="e">
        <f>IF(OR(Data!B293="",Data!#REF!=""),"",IF(Data!#REF!="",1,0))</f>
        <v>#REF!</v>
      </c>
      <c r="L293" s="16" t="e">
        <f>IF(OR(Data!B293="",Data!#REF!=""),"",IF(ISNUMBER(Data!#REF!),IF(AND(Data!#REF!&gt;Data_Val!$G$2,Data!#REF!&lt;=Data_Val!$G$3),0,1),1))</f>
        <v>#REF!</v>
      </c>
      <c r="M293" s="9" t="e">
        <f>IF(OR(Data!B293="",Data!#REF!=""),"",IF(ISNUMBER(MATCH(Data!#REF!,Data_Val!$F$1:$F$38,0)),0,1))</f>
        <v>#REF!</v>
      </c>
      <c r="N293" s="9" t="e">
        <f>IF(OR(Data!B293="",Data!#REF!=""),"",IF(Data!#REF!="",1,0))</f>
        <v>#REF!</v>
      </c>
      <c r="O293" s="17" t="e">
        <f>IF(Data!#REF!="","",IF(Data!#REF!="",1,0))</f>
        <v>#REF!</v>
      </c>
      <c r="P293" s="17" t="e">
        <f>IF(Data!#REF!="","",IF(ISNUMBER(MATCH(Data!#REF!,Data_Val!$A$2:$A$3,0)),0,1))</f>
        <v>#REF!</v>
      </c>
      <c r="Q293" s="25" t="e">
        <f ca="1">IF(Data!#REF!="","",IF(ISNUMBER(Data!#REF!),IF(AND(Data!#REF!&gt;(TODAY()-(Data_Val!$J$3*365.25)),Data!#REF!&lt;=(TODAY()-(Data_Val!$J$2*365.25))),0,1),1))</f>
        <v>#REF!</v>
      </c>
      <c r="R293" s="17" t="e">
        <f>IF(Data!#REF!="","",IF(ISNUMBER(MATCH(Data!#REF!,Data_Val!$B$2:$B$15,0)),0,1))</f>
        <v>#REF!</v>
      </c>
      <c r="S293" s="11" t="str">
        <f>IF(Data!G293="","",IF(Data!G293=Data_Val!$C$2,IF(Data!M293="",0,1),0))</f>
        <v/>
      </c>
      <c r="T293" s="11" t="str">
        <f>IF(Data!M293="","",IF(ISNUMBER(MATCH(Data!N293,Data_Val!$A$2:$A$3,0)),0,1))</f>
        <v/>
      </c>
      <c r="U293" s="11" t="str">
        <f ca="1">IF(Data!M293="","",IF(ISNUMBER(Data!O293),IF(AND(Data!O293&gt;(TODAY()-(Data_Val!$K$3*365.25)),Data!O293&lt;=(TODAY()-(Data_Val!$K$2*365.25))),0,1),1))</f>
        <v/>
      </c>
      <c r="V293" s="12" t="str">
        <f>IF(Data!G293="","",IF(Data!G293=Data_Val!$C$2,IF(Data!P293="",0,1),0))</f>
        <v/>
      </c>
      <c r="W293" s="12" t="str">
        <f>IF(Data!P293="","",IF(ISNUMBER(MATCH(Data!Q293,Data_Val!$A$2:$A$3,0)),0,1))</f>
        <v/>
      </c>
      <c r="X293" s="26" t="str">
        <f ca="1">IF(Data!P293="","",IF(ISNUMBER(Data!R293),IF(AND(Data!R293&gt;(TODAY()-(Data_Val!$L$3*365.25)),Data!R293&lt;=(TODAY()-(Data_Val!$L$2*365.25))),0,1),1))</f>
        <v/>
      </c>
      <c r="Y293" s="13" t="str">
        <f>IF(Data!$G293="","",IF(Data!$G293=Data_Val!$C$2,IF(Data!S293="",0,1),0))</f>
        <v/>
      </c>
      <c r="Z293" s="13" t="str">
        <f>IF(Data!S293="","",IF(ISNUMBER(MATCH(Data!T293,Data_Val!$A$2:$A$3,0)),0,1))</f>
        <v/>
      </c>
      <c r="AA293" s="28" t="str">
        <f ca="1">IF(Data!S293="","",IF(ISNUMBER(Data!U293),IF(AND(Data!U293&gt;(TODAY()-(Data_Val!$L$3*365.25)),Data!U293&lt;=(TODAY()-(Data_Val!$L$2*365.25))),0,1),1))</f>
        <v/>
      </c>
      <c r="AB293" s="11"/>
      <c r="AC293" s="11" t="e">
        <f>IF(Data!#REF!="","",IF(ISNUMBER(MATCH(Data!#REF!,Data_Val!$A$2:$A$3,0)),0,1))</f>
        <v>#REF!</v>
      </c>
      <c r="AD293" s="11" t="e">
        <f ca="1">IF(Data!#REF!="","",IF(ISNUMBER(Data!#REF!),IF(AND(Data!#REF!&gt;(TODAY()-(Data_Val!$L$3*365.25)),Data!#REF!&lt;=(TODAY()-(Data_Val!$L$2*365.25))),0,1),1))</f>
        <v>#REF!</v>
      </c>
      <c r="AE293" s="11" t="e">
        <f>IF(Data!#REF!="","",IF(Data!$G293="",1,IF(ISNUMBER(MATCH(Data!#REF!,Data_Val!$D$2:$D$10,0)),0,1)))</f>
        <v>#REF!</v>
      </c>
      <c r="AF293" s="12"/>
      <c r="AG293" s="12" t="e">
        <f>IF(Data!#REF!="","",IF(ISNUMBER(MATCH(Data!#REF!,Data_Val!$A$2:$A$3,0)),0,1))</f>
        <v>#REF!</v>
      </c>
      <c r="AH293" s="26" t="e">
        <f ca="1">IF(Data!#REF!="","",IF(ISNUMBER(Data!#REF!),IF(AND(Data!#REF!&gt;(TODAY()-(Data_Val!$L$3*365.25)),Data!#REF!&lt;=(TODAY()-(Data_Val!$L$2*365.25))),0,1),1))</f>
        <v>#REF!</v>
      </c>
      <c r="AI293" s="12" t="e">
        <f>IF(Data!#REF!="","",IF(Data!$G293="",1,IF(ISNUMBER(MATCH(Data!#REF!,Data_Val!$D$2:$D$10,0)),0,1)))</f>
        <v>#REF!</v>
      </c>
      <c r="AJ293" s="17"/>
      <c r="AK293" s="17" t="e">
        <f>IF(Data!#REF!="","",IF(ISNUMBER(MATCH(Data!#REF!,Data_Val!$A$2:$A$3,0)),0,1))</f>
        <v>#REF!</v>
      </c>
      <c r="AL293" s="25" t="e">
        <f ca="1">IF(Data!#REF!="","",IF(ISNUMBER(Data!#REF!),IF(AND(Data!#REF!&gt;(TODAY()-(Data_Val!$L$3*365.25)),Data!#REF!&lt;=(TODAY()-(Data_Val!$L$2*365.25))),0,1),1))</f>
        <v>#REF!</v>
      </c>
      <c r="AM293" s="17" t="e">
        <f>IF(Data!#REF!="","",IF(Data!$G293="",1,IF(ISNUMBER(MATCH(Data!#REF!,Data_Val!$D$2:$D$10,0)),0,1)))</f>
        <v>#REF!</v>
      </c>
      <c r="AN293" s="13"/>
      <c r="AO293" s="28" t="e">
        <f ca="1">IF(Data!#REF!="","",IF(ISNUMBER(Data!#REF!),IF(AND(Data!#REF!&gt;(TODAY()-(Data_Val!$I$3*365.25)),Data!#REF!&lt;=(TODAY()-(Data_Val!$I$2*365.25))),0,1),1))</f>
        <v>#REF!</v>
      </c>
      <c r="AP293" s="13" t="e">
        <f>IF(Data!#REF!="","",IF(Data!$G293="",1,IF(ISNUMBER(MATCH(Data!#REF!,Data_Val!$D$2:$D$10,0)),0,1)))</f>
        <v>#REF!</v>
      </c>
      <c r="AQ293" s="17"/>
      <c r="AR293" s="30" t="e">
        <f ca="1">IF(Data!#REF!="","",IF(ISNUMBER(Data!#REF!),IF(AND(Data!#REF!&gt;(TODAY()-(Data_Val!$I$3*365.25)),Data!#REF!&lt;=(TODAY()-(Data_Val!$I$2*365.25))),0,1),1))</f>
        <v>#REF!</v>
      </c>
      <c r="AS293" s="31" t="e">
        <f>IF(Data!#REF!="","",IF(Data!$G293="",1,IF(ISNUMBER(MATCH(Data!#REF!,Data_Val!$D$2:$D$10,0)),0,1)))</f>
        <v>#REF!</v>
      </c>
      <c r="AT293" s="11"/>
      <c r="AU293" s="11" t="e">
        <f ca="1">IF(Data!#REF!="","",IF(ISNUMBER(Data!#REF!),IF(AND(Data!#REF!&gt;(TODAY()-(Data_Val!$I$3*365.25)),Data!#REF!&lt;=(TODAY()-(Data_Val!$I$2*365.25))),0,1),1))</f>
        <v>#REF!</v>
      </c>
      <c r="AV293" s="11" t="e">
        <f>IF(Data!#REF!="","",IF(Data!$G293="",1,IF(ISNUMBER(MATCH(Data!#REF!,Data_Val!$D$2:$D$10,0)),0,1)))</f>
        <v>#REF!</v>
      </c>
      <c r="AW293" s="12"/>
      <c r="AX293" s="26" t="e">
        <f ca="1">IF(Data!#REF!="","",IF(ISNUMBER(Data!#REF!),IF(AND(Data!#REF!&gt;(TODAY()-(Data_Val!$I$3*365.25)),Data!#REF!&lt;=(TODAY()-(Data_Val!$I$2*365.25))),0,1),1))</f>
        <v>#REF!</v>
      </c>
      <c r="AY293" s="12" t="e">
        <f>IF(Data!#REF!="","",IF(Data!$G293="",1,IF(ISNUMBER(MATCH(Data!#REF!,Data_Val!$D$2:$D$10,0)),0,1)))</f>
        <v>#REF!</v>
      </c>
      <c r="AZ293" s="11"/>
      <c r="BA293" s="19" t="e">
        <f ca="1">IF(Data!#REF!="","",IF(ISNUMBER(Data!#REF!),IF(AND(Data!#REF!&gt;(TODAY()-(Data_Val!$M$3*365.25)),Data!#REF!&lt;=(TODAY()-(Data_Val!$M$2*365.25))),0,1),1))</f>
        <v>#REF!</v>
      </c>
      <c r="BB293" s="11" t="e">
        <f>IF(Data!#REF!="","",IF(Data!$G293="",1,IF(ISNUMBER(MATCH(Data!#REF!,Data_Val!$D$2:$D$10,0)),0,1)))</f>
        <v>#REF!</v>
      </c>
      <c r="BC293" s="12"/>
      <c r="BD293" s="20" t="e">
        <f ca="1">IF(Data!#REF!="","",IF(ISNUMBER(Data!#REF!),IF(AND(Data!#REF!&gt;(TODAY()-(Data_Val!$M$3*365.25)),Data!#REF!&lt;=(TODAY()-(Data_Val!$M$2*365.25))),0,1),1))</f>
        <v>#REF!</v>
      </c>
      <c r="BE293" s="12" t="e">
        <f>IF(Data!#REF!="","",IF(Data!$G293="",1,IF(ISNUMBER(MATCH(Data!#REF!,Data_Val!$D$2:$D$10,0)),0,1)))</f>
        <v>#REF!</v>
      </c>
      <c r="BF293" s="17"/>
      <c r="BG293" s="18" t="e">
        <f ca="1">IF(Data!#REF!="","",IF(ISNUMBER(Data!#REF!),IF(AND(Data!#REF!&gt;(TODAY()-(Data_Val!$M$3*365.25)),Data!#REF!&lt;=(TODAY()-(Data_Val!$M$2*365.25))),0,1),1))</f>
        <v>#REF!</v>
      </c>
      <c r="BH293" s="29" t="e">
        <f>IF(Data!#REF!="","",IF(Data!$G293="",1,IF(ISNUMBER(MATCH(Data!#REF!,Data_Val!$D$2:$D$10,0)),0,1)))</f>
        <v>#REF!</v>
      </c>
      <c r="BI293" s="13"/>
      <c r="BJ293" s="21" t="e">
        <f ca="1">IF(Data!#REF!="","",IF(ISNUMBER(Data!#REF!),IF(AND(Data!#REF!&gt;(TODAY()-(Data_Val!$M$3*365.25)),Data!#REF!&lt;=(TODAY()-(Data_Val!$M$2*365.25))),0,1),1))</f>
        <v>#REF!</v>
      </c>
      <c r="BK293" s="13" t="e">
        <f>IF(Data!#REF!="","",IF(Data!$G293="",1,IF(ISNUMBER(MATCH(Data!#REF!,Data_Val!$D$2:$D$10,0)),0,1)))</f>
        <v>#REF!</v>
      </c>
    </row>
    <row r="294" spans="1:63" x14ac:dyDescent="0.25">
      <c r="A294" s="9" t="str">
        <f>IF(Data!B294="","",IF(COUNTIFS(Data!A$1:'Data'!A294,Data!A294)&lt;=1,0,1))</f>
        <v/>
      </c>
      <c r="B294" s="9"/>
      <c r="C294" s="23" t="str">
        <f>IF(Data!C294="","",(IF(ISNUMBER(MATCH("*@*.?*",Data!C294,0)),0,1)+IF(COUNTIFS(Data!C$1:'Data'!C294,Data!C294)&gt;1,1,0)))</f>
        <v/>
      </c>
      <c r="D294" s="9" t="str">
        <f>IF(Data!B294="","",IF(ISNUMBER(Data!D294),IF(AND(Data!D294&gt;999999999,Data!D294&lt;=9999999999),IF(COUNTIFS(Data!D$1:'Data'!D294,Data!D294)&lt;=1,0,1),1),1))</f>
        <v/>
      </c>
      <c r="E294" s="9" t="str">
        <f>IF(Data!B294="","",IF(ISNUMBER(MATCH(Data!E294,Data_Val!$A$2:$A$3,0)),0,1))</f>
        <v/>
      </c>
      <c r="F294" s="9" t="str">
        <f ca="1">IF(Data!B294="","",IF(ISNUMBER(Data!F294),IF(AND(Data!F294&gt;(TODAY()-(Data_Val!$H$3*365.25)),Data!F294&lt;=(TODAY()-(Data_Val!$H$2*365.25))),0,1),1))</f>
        <v/>
      </c>
      <c r="G294" s="15" t="str">
        <f>IF(Data!B294="","",IF(AND(Data!G294="",Data!H294&lt;&gt;""),1,IF(Data!#REF!&lt;&gt;"",0,IF(ISNUMBER(MATCH(Data!G294,Data_Val!$C$2:$C$5,0)),0,1))))</f>
        <v/>
      </c>
      <c r="H294" s="15" t="str">
        <f>IF(Data!B294="","",IF(AND(Data!G294&lt;&gt;"",Data!H294=""),1,IF(Data!#REF!&lt;&gt;"",0,IF(Data!G294="",1,IF(ISNUMBER(MATCH(Data!H294,Data_Val!$D$2:$D$35,0)),0,1)))))</f>
        <v/>
      </c>
      <c r="I294" s="15" t="str">
        <f>IF(Data!B294="","",IF(Data!G294&lt;&gt;"",0,IF(ISNUMBER(MATCH(Data!#REF!,Data_Val!$E$2:$E$12,0)),0,1)))</f>
        <v/>
      </c>
      <c r="J294" s="16" t="e">
        <f>IF(OR(Data!B294="",Data!#REF!=""),"",IF(Data!#REF!="",1,0))</f>
        <v>#REF!</v>
      </c>
      <c r="K294" s="16" t="e">
        <f>IF(OR(Data!B294="",Data!#REF!=""),"",IF(Data!#REF!="",1,0))</f>
        <v>#REF!</v>
      </c>
      <c r="L294" s="16" t="e">
        <f>IF(OR(Data!B294="",Data!#REF!=""),"",IF(ISNUMBER(Data!#REF!),IF(AND(Data!#REF!&gt;Data_Val!$G$2,Data!#REF!&lt;=Data_Val!$G$3),0,1),1))</f>
        <v>#REF!</v>
      </c>
      <c r="M294" s="9" t="e">
        <f>IF(OR(Data!B294="",Data!#REF!=""),"",IF(ISNUMBER(MATCH(Data!#REF!,Data_Val!$F$1:$F$38,0)),0,1))</f>
        <v>#REF!</v>
      </c>
      <c r="N294" s="9" t="e">
        <f>IF(OR(Data!B294="",Data!#REF!=""),"",IF(Data!#REF!="",1,0))</f>
        <v>#REF!</v>
      </c>
      <c r="O294" s="17" t="e">
        <f>IF(Data!#REF!="","",IF(Data!#REF!="",1,0))</f>
        <v>#REF!</v>
      </c>
      <c r="P294" s="17" t="e">
        <f>IF(Data!#REF!="","",IF(ISNUMBER(MATCH(Data!#REF!,Data_Val!$A$2:$A$3,0)),0,1))</f>
        <v>#REF!</v>
      </c>
      <c r="Q294" s="25" t="e">
        <f ca="1">IF(Data!#REF!="","",IF(ISNUMBER(Data!#REF!),IF(AND(Data!#REF!&gt;(TODAY()-(Data_Val!$J$3*365.25)),Data!#REF!&lt;=(TODAY()-(Data_Val!$J$2*365.25))),0,1),1))</f>
        <v>#REF!</v>
      </c>
      <c r="R294" s="17" t="e">
        <f>IF(Data!#REF!="","",IF(ISNUMBER(MATCH(Data!#REF!,Data_Val!$B$2:$B$15,0)),0,1))</f>
        <v>#REF!</v>
      </c>
      <c r="S294" s="11" t="str">
        <f>IF(Data!G294="","",IF(Data!G294=Data_Val!$C$2,IF(Data!M294="",0,1),0))</f>
        <v/>
      </c>
      <c r="T294" s="11" t="str">
        <f>IF(Data!M294="","",IF(ISNUMBER(MATCH(Data!N294,Data_Val!$A$2:$A$3,0)),0,1))</f>
        <v/>
      </c>
      <c r="U294" s="11" t="str">
        <f ca="1">IF(Data!M294="","",IF(ISNUMBER(Data!O294),IF(AND(Data!O294&gt;(TODAY()-(Data_Val!$K$3*365.25)),Data!O294&lt;=(TODAY()-(Data_Val!$K$2*365.25))),0,1),1))</f>
        <v/>
      </c>
      <c r="V294" s="12" t="str">
        <f>IF(Data!G294="","",IF(Data!G294=Data_Val!$C$2,IF(Data!P294="",0,1),0))</f>
        <v/>
      </c>
      <c r="W294" s="12" t="str">
        <f>IF(Data!P294="","",IF(ISNUMBER(MATCH(Data!Q294,Data_Val!$A$2:$A$3,0)),0,1))</f>
        <v/>
      </c>
      <c r="X294" s="26" t="str">
        <f ca="1">IF(Data!P294="","",IF(ISNUMBER(Data!R294),IF(AND(Data!R294&gt;(TODAY()-(Data_Val!$L$3*365.25)),Data!R294&lt;=(TODAY()-(Data_Val!$L$2*365.25))),0,1),1))</f>
        <v/>
      </c>
      <c r="Y294" s="13" t="str">
        <f>IF(Data!$G294="","",IF(Data!$G294=Data_Val!$C$2,IF(Data!S294="",0,1),0))</f>
        <v/>
      </c>
      <c r="Z294" s="13" t="str">
        <f>IF(Data!S294="","",IF(ISNUMBER(MATCH(Data!T294,Data_Val!$A$2:$A$3,0)),0,1))</f>
        <v/>
      </c>
      <c r="AA294" s="28" t="str">
        <f ca="1">IF(Data!S294="","",IF(ISNUMBER(Data!U294),IF(AND(Data!U294&gt;(TODAY()-(Data_Val!$L$3*365.25)),Data!U294&lt;=(TODAY()-(Data_Val!$L$2*365.25))),0,1),1))</f>
        <v/>
      </c>
      <c r="AB294" s="11"/>
      <c r="AC294" s="11" t="e">
        <f>IF(Data!#REF!="","",IF(ISNUMBER(MATCH(Data!#REF!,Data_Val!$A$2:$A$3,0)),0,1))</f>
        <v>#REF!</v>
      </c>
      <c r="AD294" s="11" t="e">
        <f ca="1">IF(Data!#REF!="","",IF(ISNUMBER(Data!#REF!),IF(AND(Data!#REF!&gt;(TODAY()-(Data_Val!$L$3*365.25)),Data!#REF!&lt;=(TODAY()-(Data_Val!$L$2*365.25))),0,1),1))</f>
        <v>#REF!</v>
      </c>
      <c r="AE294" s="11" t="e">
        <f>IF(Data!#REF!="","",IF(Data!$G294="",1,IF(ISNUMBER(MATCH(Data!#REF!,Data_Val!$D$2:$D$10,0)),0,1)))</f>
        <v>#REF!</v>
      </c>
      <c r="AF294" s="12"/>
      <c r="AG294" s="12" t="e">
        <f>IF(Data!#REF!="","",IF(ISNUMBER(MATCH(Data!#REF!,Data_Val!$A$2:$A$3,0)),0,1))</f>
        <v>#REF!</v>
      </c>
      <c r="AH294" s="26" t="e">
        <f ca="1">IF(Data!#REF!="","",IF(ISNUMBER(Data!#REF!),IF(AND(Data!#REF!&gt;(TODAY()-(Data_Val!$L$3*365.25)),Data!#REF!&lt;=(TODAY()-(Data_Val!$L$2*365.25))),0,1),1))</f>
        <v>#REF!</v>
      </c>
      <c r="AI294" s="12" t="e">
        <f>IF(Data!#REF!="","",IF(Data!$G294="",1,IF(ISNUMBER(MATCH(Data!#REF!,Data_Val!$D$2:$D$10,0)),0,1)))</f>
        <v>#REF!</v>
      </c>
      <c r="AJ294" s="17"/>
      <c r="AK294" s="17" t="e">
        <f>IF(Data!#REF!="","",IF(ISNUMBER(MATCH(Data!#REF!,Data_Val!$A$2:$A$3,0)),0,1))</f>
        <v>#REF!</v>
      </c>
      <c r="AL294" s="25" t="e">
        <f ca="1">IF(Data!#REF!="","",IF(ISNUMBER(Data!#REF!),IF(AND(Data!#REF!&gt;(TODAY()-(Data_Val!$L$3*365.25)),Data!#REF!&lt;=(TODAY()-(Data_Val!$L$2*365.25))),0,1),1))</f>
        <v>#REF!</v>
      </c>
      <c r="AM294" s="17" t="e">
        <f>IF(Data!#REF!="","",IF(Data!$G294="",1,IF(ISNUMBER(MATCH(Data!#REF!,Data_Val!$D$2:$D$10,0)),0,1)))</f>
        <v>#REF!</v>
      </c>
      <c r="AN294" s="13"/>
      <c r="AO294" s="28" t="e">
        <f ca="1">IF(Data!#REF!="","",IF(ISNUMBER(Data!#REF!),IF(AND(Data!#REF!&gt;(TODAY()-(Data_Val!$I$3*365.25)),Data!#REF!&lt;=(TODAY()-(Data_Val!$I$2*365.25))),0,1),1))</f>
        <v>#REF!</v>
      </c>
      <c r="AP294" s="13" t="e">
        <f>IF(Data!#REF!="","",IF(Data!$G294="",1,IF(ISNUMBER(MATCH(Data!#REF!,Data_Val!$D$2:$D$10,0)),0,1)))</f>
        <v>#REF!</v>
      </c>
      <c r="AQ294" s="17"/>
      <c r="AR294" s="30" t="e">
        <f ca="1">IF(Data!#REF!="","",IF(ISNUMBER(Data!#REF!),IF(AND(Data!#REF!&gt;(TODAY()-(Data_Val!$I$3*365.25)),Data!#REF!&lt;=(TODAY()-(Data_Val!$I$2*365.25))),0,1),1))</f>
        <v>#REF!</v>
      </c>
      <c r="AS294" s="31" t="e">
        <f>IF(Data!#REF!="","",IF(Data!$G294="",1,IF(ISNUMBER(MATCH(Data!#REF!,Data_Val!$D$2:$D$10,0)),0,1)))</f>
        <v>#REF!</v>
      </c>
      <c r="AT294" s="11"/>
      <c r="AU294" s="11" t="e">
        <f ca="1">IF(Data!#REF!="","",IF(ISNUMBER(Data!#REF!),IF(AND(Data!#REF!&gt;(TODAY()-(Data_Val!$I$3*365.25)),Data!#REF!&lt;=(TODAY()-(Data_Val!$I$2*365.25))),0,1),1))</f>
        <v>#REF!</v>
      </c>
      <c r="AV294" s="11" t="e">
        <f>IF(Data!#REF!="","",IF(Data!$G294="",1,IF(ISNUMBER(MATCH(Data!#REF!,Data_Val!$D$2:$D$10,0)),0,1)))</f>
        <v>#REF!</v>
      </c>
      <c r="AW294" s="12"/>
      <c r="AX294" s="26" t="e">
        <f ca="1">IF(Data!#REF!="","",IF(ISNUMBER(Data!#REF!),IF(AND(Data!#REF!&gt;(TODAY()-(Data_Val!$I$3*365.25)),Data!#REF!&lt;=(TODAY()-(Data_Val!$I$2*365.25))),0,1),1))</f>
        <v>#REF!</v>
      </c>
      <c r="AY294" s="12" t="e">
        <f>IF(Data!#REF!="","",IF(Data!$G294="",1,IF(ISNUMBER(MATCH(Data!#REF!,Data_Val!$D$2:$D$10,0)),0,1)))</f>
        <v>#REF!</v>
      </c>
      <c r="AZ294" s="11"/>
      <c r="BA294" s="19" t="e">
        <f ca="1">IF(Data!#REF!="","",IF(ISNUMBER(Data!#REF!),IF(AND(Data!#REF!&gt;(TODAY()-(Data_Val!$M$3*365.25)),Data!#REF!&lt;=(TODAY()-(Data_Val!$M$2*365.25))),0,1),1))</f>
        <v>#REF!</v>
      </c>
      <c r="BB294" s="11" t="e">
        <f>IF(Data!#REF!="","",IF(Data!$G294="",1,IF(ISNUMBER(MATCH(Data!#REF!,Data_Val!$D$2:$D$10,0)),0,1)))</f>
        <v>#REF!</v>
      </c>
      <c r="BC294" s="12"/>
      <c r="BD294" s="20" t="e">
        <f ca="1">IF(Data!#REF!="","",IF(ISNUMBER(Data!#REF!),IF(AND(Data!#REF!&gt;(TODAY()-(Data_Val!$M$3*365.25)),Data!#REF!&lt;=(TODAY()-(Data_Val!$M$2*365.25))),0,1),1))</f>
        <v>#REF!</v>
      </c>
      <c r="BE294" s="12" t="e">
        <f>IF(Data!#REF!="","",IF(Data!$G294="",1,IF(ISNUMBER(MATCH(Data!#REF!,Data_Val!$D$2:$D$10,0)),0,1)))</f>
        <v>#REF!</v>
      </c>
      <c r="BF294" s="17"/>
      <c r="BG294" s="18" t="e">
        <f ca="1">IF(Data!#REF!="","",IF(ISNUMBER(Data!#REF!),IF(AND(Data!#REF!&gt;(TODAY()-(Data_Val!$M$3*365.25)),Data!#REF!&lt;=(TODAY()-(Data_Val!$M$2*365.25))),0,1),1))</f>
        <v>#REF!</v>
      </c>
      <c r="BH294" s="29" t="e">
        <f>IF(Data!#REF!="","",IF(Data!$G294="",1,IF(ISNUMBER(MATCH(Data!#REF!,Data_Val!$D$2:$D$10,0)),0,1)))</f>
        <v>#REF!</v>
      </c>
      <c r="BI294" s="13"/>
      <c r="BJ294" s="21" t="e">
        <f ca="1">IF(Data!#REF!="","",IF(ISNUMBER(Data!#REF!),IF(AND(Data!#REF!&gt;(TODAY()-(Data_Val!$M$3*365.25)),Data!#REF!&lt;=(TODAY()-(Data_Val!$M$2*365.25))),0,1),1))</f>
        <v>#REF!</v>
      </c>
      <c r="BK294" s="13" t="e">
        <f>IF(Data!#REF!="","",IF(Data!$G294="",1,IF(ISNUMBER(MATCH(Data!#REF!,Data_Val!$D$2:$D$10,0)),0,1)))</f>
        <v>#REF!</v>
      </c>
    </row>
    <row r="295" spans="1:63" x14ac:dyDescent="0.25">
      <c r="A295" s="9" t="str">
        <f>IF(Data!B295="","",IF(COUNTIFS(Data!A$1:'Data'!A295,Data!A295)&lt;=1,0,1))</f>
        <v/>
      </c>
      <c r="B295" s="9"/>
      <c r="C295" s="23" t="str">
        <f>IF(Data!C295="","",(IF(ISNUMBER(MATCH("*@*.?*",Data!C295,0)),0,1)+IF(COUNTIFS(Data!C$1:'Data'!C295,Data!C295)&gt;1,1,0)))</f>
        <v/>
      </c>
      <c r="D295" s="9" t="str">
        <f>IF(Data!B295="","",IF(ISNUMBER(Data!D295),IF(AND(Data!D295&gt;999999999,Data!D295&lt;=9999999999),IF(COUNTIFS(Data!D$1:'Data'!D295,Data!D295)&lt;=1,0,1),1),1))</f>
        <v/>
      </c>
      <c r="E295" s="9" t="str">
        <f>IF(Data!B295="","",IF(ISNUMBER(MATCH(Data!E295,Data_Val!$A$2:$A$3,0)),0,1))</f>
        <v/>
      </c>
      <c r="F295" s="9" t="str">
        <f ca="1">IF(Data!B295="","",IF(ISNUMBER(Data!F295),IF(AND(Data!F295&gt;(TODAY()-(Data_Val!$H$3*365.25)),Data!F295&lt;=(TODAY()-(Data_Val!$H$2*365.25))),0,1),1))</f>
        <v/>
      </c>
      <c r="G295" s="15" t="str">
        <f>IF(Data!B295="","",IF(AND(Data!G295="",Data!H295&lt;&gt;""),1,IF(Data!#REF!&lt;&gt;"",0,IF(ISNUMBER(MATCH(Data!G295,Data_Val!$C$2:$C$5,0)),0,1))))</f>
        <v/>
      </c>
      <c r="H295" s="15" t="str">
        <f>IF(Data!B295="","",IF(AND(Data!G295&lt;&gt;"",Data!H295=""),1,IF(Data!#REF!&lt;&gt;"",0,IF(Data!G295="",1,IF(ISNUMBER(MATCH(Data!H295,Data_Val!$D$2:$D$35,0)),0,1)))))</f>
        <v/>
      </c>
      <c r="I295" s="15" t="str">
        <f>IF(Data!B295="","",IF(Data!G295&lt;&gt;"",0,IF(ISNUMBER(MATCH(Data!#REF!,Data_Val!$E$2:$E$12,0)),0,1)))</f>
        <v/>
      </c>
      <c r="J295" s="16" t="e">
        <f>IF(OR(Data!B295="",Data!#REF!=""),"",IF(Data!#REF!="",1,0))</f>
        <v>#REF!</v>
      </c>
      <c r="K295" s="16" t="e">
        <f>IF(OR(Data!B295="",Data!#REF!=""),"",IF(Data!#REF!="",1,0))</f>
        <v>#REF!</v>
      </c>
      <c r="L295" s="16" t="e">
        <f>IF(OR(Data!B295="",Data!#REF!=""),"",IF(ISNUMBER(Data!#REF!),IF(AND(Data!#REF!&gt;Data_Val!$G$2,Data!#REF!&lt;=Data_Val!$G$3),0,1),1))</f>
        <v>#REF!</v>
      </c>
      <c r="M295" s="9" t="e">
        <f>IF(OR(Data!B295="",Data!#REF!=""),"",IF(ISNUMBER(MATCH(Data!#REF!,Data_Val!$F$1:$F$38,0)),0,1))</f>
        <v>#REF!</v>
      </c>
      <c r="N295" s="9" t="e">
        <f>IF(OR(Data!B295="",Data!#REF!=""),"",IF(Data!#REF!="",1,0))</f>
        <v>#REF!</v>
      </c>
      <c r="O295" s="17" t="e">
        <f>IF(Data!#REF!="","",IF(Data!#REF!="",1,0))</f>
        <v>#REF!</v>
      </c>
      <c r="P295" s="17" t="e">
        <f>IF(Data!#REF!="","",IF(ISNUMBER(MATCH(Data!#REF!,Data_Val!$A$2:$A$3,0)),0,1))</f>
        <v>#REF!</v>
      </c>
      <c r="Q295" s="25" t="e">
        <f ca="1">IF(Data!#REF!="","",IF(ISNUMBER(Data!#REF!),IF(AND(Data!#REF!&gt;(TODAY()-(Data_Val!$J$3*365.25)),Data!#REF!&lt;=(TODAY()-(Data_Val!$J$2*365.25))),0,1),1))</f>
        <v>#REF!</v>
      </c>
      <c r="R295" s="17" t="e">
        <f>IF(Data!#REF!="","",IF(ISNUMBER(MATCH(Data!#REF!,Data_Val!$B$2:$B$15,0)),0,1))</f>
        <v>#REF!</v>
      </c>
      <c r="S295" s="11" t="str">
        <f>IF(Data!G295="","",IF(Data!G295=Data_Val!$C$2,IF(Data!M295="",0,1),0))</f>
        <v/>
      </c>
      <c r="T295" s="11" t="str">
        <f>IF(Data!M295="","",IF(ISNUMBER(MATCH(Data!N295,Data_Val!$A$2:$A$3,0)),0,1))</f>
        <v/>
      </c>
      <c r="U295" s="11" t="str">
        <f ca="1">IF(Data!M295="","",IF(ISNUMBER(Data!O295),IF(AND(Data!O295&gt;(TODAY()-(Data_Val!$K$3*365.25)),Data!O295&lt;=(TODAY()-(Data_Val!$K$2*365.25))),0,1),1))</f>
        <v/>
      </c>
      <c r="V295" s="12" t="str">
        <f>IF(Data!G295="","",IF(Data!G295=Data_Val!$C$2,IF(Data!P295="",0,1),0))</f>
        <v/>
      </c>
      <c r="W295" s="12" t="str">
        <f>IF(Data!P295="","",IF(ISNUMBER(MATCH(Data!Q295,Data_Val!$A$2:$A$3,0)),0,1))</f>
        <v/>
      </c>
      <c r="X295" s="26" t="str">
        <f ca="1">IF(Data!P295="","",IF(ISNUMBER(Data!R295),IF(AND(Data!R295&gt;(TODAY()-(Data_Val!$L$3*365.25)),Data!R295&lt;=(TODAY()-(Data_Val!$L$2*365.25))),0,1),1))</f>
        <v/>
      </c>
      <c r="Y295" s="13" t="str">
        <f>IF(Data!$G295="","",IF(Data!$G295=Data_Val!$C$2,IF(Data!S295="",0,1),0))</f>
        <v/>
      </c>
      <c r="Z295" s="13" t="str">
        <f>IF(Data!S295="","",IF(ISNUMBER(MATCH(Data!T295,Data_Val!$A$2:$A$3,0)),0,1))</f>
        <v/>
      </c>
      <c r="AA295" s="28" t="str">
        <f ca="1">IF(Data!S295="","",IF(ISNUMBER(Data!U295),IF(AND(Data!U295&gt;(TODAY()-(Data_Val!$L$3*365.25)),Data!U295&lt;=(TODAY()-(Data_Val!$L$2*365.25))),0,1),1))</f>
        <v/>
      </c>
      <c r="AB295" s="11"/>
      <c r="AC295" s="11" t="e">
        <f>IF(Data!#REF!="","",IF(ISNUMBER(MATCH(Data!#REF!,Data_Val!$A$2:$A$3,0)),0,1))</f>
        <v>#REF!</v>
      </c>
      <c r="AD295" s="11" t="e">
        <f ca="1">IF(Data!#REF!="","",IF(ISNUMBER(Data!#REF!),IF(AND(Data!#REF!&gt;(TODAY()-(Data_Val!$L$3*365.25)),Data!#REF!&lt;=(TODAY()-(Data_Val!$L$2*365.25))),0,1),1))</f>
        <v>#REF!</v>
      </c>
      <c r="AE295" s="11" t="e">
        <f>IF(Data!#REF!="","",IF(Data!$G295="",1,IF(ISNUMBER(MATCH(Data!#REF!,Data_Val!$D$2:$D$10,0)),0,1)))</f>
        <v>#REF!</v>
      </c>
      <c r="AF295" s="12"/>
      <c r="AG295" s="12" t="e">
        <f>IF(Data!#REF!="","",IF(ISNUMBER(MATCH(Data!#REF!,Data_Val!$A$2:$A$3,0)),0,1))</f>
        <v>#REF!</v>
      </c>
      <c r="AH295" s="26" t="e">
        <f ca="1">IF(Data!#REF!="","",IF(ISNUMBER(Data!#REF!),IF(AND(Data!#REF!&gt;(TODAY()-(Data_Val!$L$3*365.25)),Data!#REF!&lt;=(TODAY()-(Data_Val!$L$2*365.25))),0,1),1))</f>
        <v>#REF!</v>
      </c>
      <c r="AI295" s="12" t="e">
        <f>IF(Data!#REF!="","",IF(Data!$G295="",1,IF(ISNUMBER(MATCH(Data!#REF!,Data_Val!$D$2:$D$10,0)),0,1)))</f>
        <v>#REF!</v>
      </c>
      <c r="AJ295" s="17"/>
      <c r="AK295" s="17" t="e">
        <f>IF(Data!#REF!="","",IF(ISNUMBER(MATCH(Data!#REF!,Data_Val!$A$2:$A$3,0)),0,1))</f>
        <v>#REF!</v>
      </c>
      <c r="AL295" s="25" t="e">
        <f ca="1">IF(Data!#REF!="","",IF(ISNUMBER(Data!#REF!),IF(AND(Data!#REF!&gt;(TODAY()-(Data_Val!$L$3*365.25)),Data!#REF!&lt;=(TODAY()-(Data_Val!$L$2*365.25))),0,1),1))</f>
        <v>#REF!</v>
      </c>
      <c r="AM295" s="17" t="e">
        <f>IF(Data!#REF!="","",IF(Data!$G295="",1,IF(ISNUMBER(MATCH(Data!#REF!,Data_Val!$D$2:$D$10,0)),0,1)))</f>
        <v>#REF!</v>
      </c>
      <c r="AN295" s="13"/>
      <c r="AO295" s="28" t="e">
        <f ca="1">IF(Data!#REF!="","",IF(ISNUMBER(Data!#REF!),IF(AND(Data!#REF!&gt;(TODAY()-(Data_Val!$I$3*365.25)),Data!#REF!&lt;=(TODAY()-(Data_Val!$I$2*365.25))),0,1),1))</f>
        <v>#REF!</v>
      </c>
      <c r="AP295" s="13" t="e">
        <f>IF(Data!#REF!="","",IF(Data!$G295="",1,IF(ISNUMBER(MATCH(Data!#REF!,Data_Val!$D$2:$D$10,0)),0,1)))</f>
        <v>#REF!</v>
      </c>
      <c r="AQ295" s="17"/>
      <c r="AR295" s="30" t="e">
        <f ca="1">IF(Data!#REF!="","",IF(ISNUMBER(Data!#REF!),IF(AND(Data!#REF!&gt;(TODAY()-(Data_Val!$I$3*365.25)),Data!#REF!&lt;=(TODAY()-(Data_Val!$I$2*365.25))),0,1),1))</f>
        <v>#REF!</v>
      </c>
      <c r="AS295" s="31" t="e">
        <f>IF(Data!#REF!="","",IF(Data!$G295="",1,IF(ISNUMBER(MATCH(Data!#REF!,Data_Val!$D$2:$D$10,0)),0,1)))</f>
        <v>#REF!</v>
      </c>
      <c r="AT295" s="11"/>
      <c r="AU295" s="11" t="e">
        <f ca="1">IF(Data!#REF!="","",IF(ISNUMBER(Data!#REF!),IF(AND(Data!#REF!&gt;(TODAY()-(Data_Val!$I$3*365.25)),Data!#REF!&lt;=(TODAY()-(Data_Val!$I$2*365.25))),0,1),1))</f>
        <v>#REF!</v>
      </c>
      <c r="AV295" s="11" t="e">
        <f>IF(Data!#REF!="","",IF(Data!$G295="",1,IF(ISNUMBER(MATCH(Data!#REF!,Data_Val!$D$2:$D$10,0)),0,1)))</f>
        <v>#REF!</v>
      </c>
      <c r="AW295" s="12"/>
      <c r="AX295" s="26" t="e">
        <f ca="1">IF(Data!#REF!="","",IF(ISNUMBER(Data!#REF!),IF(AND(Data!#REF!&gt;(TODAY()-(Data_Val!$I$3*365.25)),Data!#REF!&lt;=(TODAY()-(Data_Val!$I$2*365.25))),0,1),1))</f>
        <v>#REF!</v>
      </c>
      <c r="AY295" s="12" t="e">
        <f>IF(Data!#REF!="","",IF(Data!$G295="",1,IF(ISNUMBER(MATCH(Data!#REF!,Data_Val!$D$2:$D$10,0)),0,1)))</f>
        <v>#REF!</v>
      </c>
      <c r="AZ295" s="11"/>
      <c r="BA295" s="19" t="e">
        <f ca="1">IF(Data!#REF!="","",IF(ISNUMBER(Data!#REF!),IF(AND(Data!#REF!&gt;(TODAY()-(Data_Val!$M$3*365.25)),Data!#REF!&lt;=(TODAY()-(Data_Val!$M$2*365.25))),0,1),1))</f>
        <v>#REF!</v>
      </c>
      <c r="BB295" s="11" t="e">
        <f>IF(Data!#REF!="","",IF(Data!$G295="",1,IF(ISNUMBER(MATCH(Data!#REF!,Data_Val!$D$2:$D$10,0)),0,1)))</f>
        <v>#REF!</v>
      </c>
      <c r="BC295" s="12"/>
      <c r="BD295" s="20" t="e">
        <f ca="1">IF(Data!#REF!="","",IF(ISNUMBER(Data!#REF!),IF(AND(Data!#REF!&gt;(TODAY()-(Data_Val!$M$3*365.25)),Data!#REF!&lt;=(TODAY()-(Data_Val!$M$2*365.25))),0,1),1))</f>
        <v>#REF!</v>
      </c>
      <c r="BE295" s="12" t="e">
        <f>IF(Data!#REF!="","",IF(Data!$G295="",1,IF(ISNUMBER(MATCH(Data!#REF!,Data_Val!$D$2:$D$10,0)),0,1)))</f>
        <v>#REF!</v>
      </c>
      <c r="BF295" s="17"/>
      <c r="BG295" s="18" t="e">
        <f ca="1">IF(Data!#REF!="","",IF(ISNUMBER(Data!#REF!),IF(AND(Data!#REF!&gt;(TODAY()-(Data_Val!$M$3*365.25)),Data!#REF!&lt;=(TODAY()-(Data_Val!$M$2*365.25))),0,1),1))</f>
        <v>#REF!</v>
      </c>
      <c r="BH295" s="29" t="e">
        <f>IF(Data!#REF!="","",IF(Data!$G295="",1,IF(ISNUMBER(MATCH(Data!#REF!,Data_Val!$D$2:$D$10,0)),0,1)))</f>
        <v>#REF!</v>
      </c>
      <c r="BI295" s="13"/>
      <c r="BJ295" s="21" t="e">
        <f ca="1">IF(Data!#REF!="","",IF(ISNUMBER(Data!#REF!),IF(AND(Data!#REF!&gt;(TODAY()-(Data_Val!$M$3*365.25)),Data!#REF!&lt;=(TODAY()-(Data_Val!$M$2*365.25))),0,1),1))</f>
        <v>#REF!</v>
      </c>
      <c r="BK295" s="13" t="e">
        <f>IF(Data!#REF!="","",IF(Data!$G295="",1,IF(ISNUMBER(MATCH(Data!#REF!,Data_Val!$D$2:$D$10,0)),0,1)))</f>
        <v>#REF!</v>
      </c>
    </row>
    <row r="296" spans="1:63" x14ac:dyDescent="0.25">
      <c r="A296" s="9" t="str">
        <f>IF(Data!B296="","",IF(COUNTIFS(Data!A$1:'Data'!A296,Data!A296)&lt;=1,0,1))</f>
        <v/>
      </c>
      <c r="B296" s="9"/>
      <c r="C296" s="23" t="str">
        <f>IF(Data!C296="","",(IF(ISNUMBER(MATCH("*@*.?*",Data!C296,0)),0,1)+IF(COUNTIFS(Data!C$1:'Data'!C296,Data!C296)&gt;1,1,0)))</f>
        <v/>
      </c>
      <c r="D296" s="9" t="str">
        <f>IF(Data!B296="","",IF(ISNUMBER(Data!D296),IF(AND(Data!D296&gt;999999999,Data!D296&lt;=9999999999),IF(COUNTIFS(Data!D$1:'Data'!D296,Data!D296)&lt;=1,0,1),1),1))</f>
        <v/>
      </c>
      <c r="E296" s="9" t="str">
        <f>IF(Data!B296="","",IF(ISNUMBER(MATCH(Data!E296,Data_Val!$A$2:$A$3,0)),0,1))</f>
        <v/>
      </c>
      <c r="F296" s="9" t="str">
        <f ca="1">IF(Data!B296="","",IF(ISNUMBER(Data!F296),IF(AND(Data!F296&gt;(TODAY()-(Data_Val!$H$3*365.25)),Data!F296&lt;=(TODAY()-(Data_Val!$H$2*365.25))),0,1),1))</f>
        <v/>
      </c>
      <c r="G296" s="15" t="str">
        <f>IF(Data!B296="","",IF(AND(Data!G296="",Data!H296&lt;&gt;""),1,IF(Data!#REF!&lt;&gt;"",0,IF(ISNUMBER(MATCH(Data!G296,Data_Val!$C$2:$C$5,0)),0,1))))</f>
        <v/>
      </c>
      <c r="H296" s="15" t="str">
        <f>IF(Data!B296="","",IF(AND(Data!G296&lt;&gt;"",Data!H296=""),1,IF(Data!#REF!&lt;&gt;"",0,IF(Data!G296="",1,IF(ISNUMBER(MATCH(Data!H296,Data_Val!$D$2:$D$35,0)),0,1)))))</f>
        <v/>
      </c>
      <c r="I296" s="15" t="str">
        <f>IF(Data!B296="","",IF(Data!G296&lt;&gt;"",0,IF(ISNUMBER(MATCH(Data!#REF!,Data_Val!$E$2:$E$12,0)),0,1)))</f>
        <v/>
      </c>
      <c r="J296" s="16" t="e">
        <f>IF(OR(Data!B296="",Data!#REF!=""),"",IF(Data!#REF!="",1,0))</f>
        <v>#REF!</v>
      </c>
      <c r="K296" s="16" t="e">
        <f>IF(OR(Data!B296="",Data!#REF!=""),"",IF(Data!#REF!="",1,0))</f>
        <v>#REF!</v>
      </c>
      <c r="L296" s="16" t="e">
        <f>IF(OR(Data!B296="",Data!#REF!=""),"",IF(ISNUMBER(Data!#REF!),IF(AND(Data!#REF!&gt;Data_Val!$G$2,Data!#REF!&lt;=Data_Val!$G$3),0,1),1))</f>
        <v>#REF!</v>
      </c>
      <c r="M296" s="9" t="e">
        <f>IF(OR(Data!B296="",Data!#REF!=""),"",IF(ISNUMBER(MATCH(Data!#REF!,Data_Val!$F$1:$F$38,0)),0,1))</f>
        <v>#REF!</v>
      </c>
      <c r="N296" s="9" t="e">
        <f>IF(OR(Data!B296="",Data!#REF!=""),"",IF(Data!#REF!="",1,0))</f>
        <v>#REF!</v>
      </c>
      <c r="O296" s="17" t="e">
        <f>IF(Data!#REF!="","",IF(Data!#REF!="",1,0))</f>
        <v>#REF!</v>
      </c>
      <c r="P296" s="17" t="e">
        <f>IF(Data!#REF!="","",IF(ISNUMBER(MATCH(Data!#REF!,Data_Val!$A$2:$A$3,0)),0,1))</f>
        <v>#REF!</v>
      </c>
      <c r="Q296" s="25" t="e">
        <f ca="1">IF(Data!#REF!="","",IF(ISNUMBER(Data!#REF!),IF(AND(Data!#REF!&gt;(TODAY()-(Data_Val!$J$3*365.25)),Data!#REF!&lt;=(TODAY()-(Data_Val!$J$2*365.25))),0,1),1))</f>
        <v>#REF!</v>
      </c>
      <c r="R296" s="17" t="e">
        <f>IF(Data!#REF!="","",IF(ISNUMBER(MATCH(Data!#REF!,Data_Val!$B$2:$B$15,0)),0,1))</f>
        <v>#REF!</v>
      </c>
      <c r="S296" s="11" t="str">
        <f>IF(Data!G296="","",IF(Data!G296=Data_Val!$C$2,IF(Data!M296="",0,1),0))</f>
        <v/>
      </c>
      <c r="T296" s="11" t="str">
        <f>IF(Data!M296="","",IF(ISNUMBER(MATCH(Data!N296,Data_Val!$A$2:$A$3,0)),0,1))</f>
        <v/>
      </c>
      <c r="U296" s="11" t="str">
        <f ca="1">IF(Data!M296="","",IF(ISNUMBER(Data!O296),IF(AND(Data!O296&gt;(TODAY()-(Data_Val!$K$3*365.25)),Data!O296&lt;=(TODAY()-(Data_Val!$K$2*365.25))),0,1),1))</f>
        <v/>
      </c>
      <c r="V296" s="12" t="str">
        <f>IF(Data!G296="","",IF(Data!G296=Data_Val!$C$2,IF(Data!P296="",0,1),0))</f>
        <v/>
      </c>
      <c r="W296" s="12" t="str">
        <f>IF(Data!P296="","",IF(ISNUMBER(MATCH(Data!Q296,Data_Val!$A$2:$A$3,0)),0,1))</f>
        <v/>
      </c>
      <c r="X296" s="26" t="str">
        <f ca="1">IF(Data!P296="","",IF(ISNUMBER(Data!R296),IF(AND(Data!R296&gt;(TODAY()-(Data_Val!$L$3*365.25)),Data!R296&lt;=(TODAY()-(Data_Val!$L$2*365.25))),0,1),1))</f>
        <v/>
      </c>
      <c r="Y296" s="13" t="str">
        <f>IF(Data!$G296="","",IF(Data!$G296=Data_Val!$C$2,IF(Data!S296="",0,1),0))</f>
        <v/>
      </c>
      <c r="Z296" s="13" t="str">
        <f>IF(Data!S296="","",IF(ISNUMBER(MATCH(Data!T296,Data_Val!$A$2:$A$3,0)),0,1))</f>
        <v/>
      </c>
      <c r="AA296" s="28" t="str">
        <f ca="1">IF(Data!S296="","",IF(ISNUMBER(Data!U296),IF(AND(Data!U296&gt;(TODAY()-(Data_Val!$L$3*365.25)),Data!U296&lt;=(TODAY()-(Data_Val!$L$2*365.25))),0,1),1))</f>
        <v/>
      </c>
      <c r="AB296" s="11"/>
      <c r="AC296" s="11" t="e">
        <f>IF(Data!#REF!="","",IF(ISNUMBER(MATCH(Data!#REF!,Data_Val!$A$2:$A$3,0)),0,1))</f>
        <v>#REF!</v>
      </c>
      <c r="AD296" s="11" t="e">
        <f ca="1">IF(Data!#REF!="","",IF(ISNUMBER(Data!#REF!),IF(AND(Data!#REF!&gt;(TODAY()-(Data_Val!$L$3*365.25)),Data!#REF!&lt;=(TODAY()-(Data_Val!$L$2*365.25))),0,1),1))</f>
        <v>#REF!</v>
      </c>
      <c r="AE296" s="11" t="e">
        <f>IF(Data!#REF!="","",IF(Data!$G296="",1,IF(ISNUMBER(MATCH(Data!#REF!,Data_Val!$D$2:$D$10,0)),0,1)))</f>
        <v>#REF!</v>
      </c>
      <c r="AF296" s="12"/>
      <c r="AG296" s="12" t="e">
        <f>IF(Data!#REF!="","",IF(ISNUMBER(MATCH(Data!#REF!,Data_Val!$A$2:$A$3,0)),0,1))</f>
        <v>#REF!</v>
      </c>
      <c r="AH296" s="26" t="e">
        <f ca="1">IF(Data!#REF!="","",IF(ISNUMBER(Data!#REF!),IF(AND(Data!#REF!&gt;(TODAY()-(Data_Val!$L$3*365.25)),Data!#REF!&lt;=(TODAY()-(Data_Val!$L$2*365.25))),0,1),1))</f>
        <v>#REF!</v>
      </c>
      <c r="AI296" s="12" t="e">
        <f>IF(Data!#REF!="","",IF(Data!$G296="",1,IF(ISNUMBER(MATCH(Data!#REF!,Data_Val!$D$2:$D$10,0)),0,1)))</f>
        <v>#REF!</v>
      </c>
      <c r="AJ296" s="17"/>
      <c r="AK296" s="17" t="e">
        <f>IF(Data!#REF!="","",IF(ISNUMBER(MATCH(Data!#REF!,Data_Val!$A$2:$A$3,0)),0,1))</f>
        <v>#REF!</v>
      </c>
      <c r="AL296" s="25" t="e">
        <f ca="1">IF(Data!#REF!="","",IF(ISNUMBER(Data!#REF!),IF(AND(Data!#REF!&gt;(TODAY()-(Data_Val!$L$3*365.25)),Data!#REF!&lt;=(TODAY()-(Data_Val!$L$2*365.25))),0,1),1))</f>
        <v>#REF!</v>
      </c>
      <c r="AM296" s="17" t="e">
        <f>IF(Data!#REF!="","",IF(Data!$G296="",1,IF(ISNUMBER(MATCH(Data!#REF!,Data_Val!$D$2:$D$10,0)),0,1)))</f>
        <v>#REF!</v>
      </c>
      <c r="AN296" s="13"/>
      <c r="AO296" s="28" t="e">
        <f ca="1">IF(Data!#REF!="","",IF(ISNUMBER(Data!#REF!),IF(AND(Data!#REF!&gt;(TODAY()-(Data_Val!$I$3*365.25)),Data!#REF!&lt;=(TODAY()-(Data_Val!$I$2*365.25))),0,1),1))</f>
        <v>#REF!</v>
      </c>
      <c r="AP296" s="13" t="e">
        <f>IF(Data!#REF!="","",IF(Data!$G296="",1,IF(ISNUMBER(MATCH(Data!#REF!,Data_Val!$D$2:$D$10,0)),0,1)))</f>
        <v>#REF!</v>
      </c>
      <c r="AQ296" s="17"/>
      <c r="AR296" s="30" t="e">
        <f ca="1">IF(Data!#REF!="","",IF(ISNUMBER(Data!#REF!),IF(AND(Data!#REF!&gt;(TODAY()-(Data_Val!$I$3*365.25)),Data!#REF!&lt;=(TODAY()-(Data_Val!$I$2*365.25))),0,1),1))</f>
        <v>#REF!</v>
      </c>
      <c r="AS296" s="31" t="e">
        <f>IF(Data!#REF!="","",IF(Data!$G296="",1,IF(ISNUMBER(MATCH(Data!#REF!,Data_Val!$D$2:$D$10,0)),0,1)))</f>
        <v>#REF!</v>
      </c>
      <c r="AT296" s="11"/>
      <c r="AU296" s="11" t="e">
        <f ca="1">IF(Data!#REF!="","",IF(ISNUMBER(Data!#REF!),IF(AND(Data!#REF!&gt;(TODAY()-(Data_Val!$I$3*365.25)),Data!#REF!&lt;=(TODAY()-(Data_Val!$I$2*365.25))),0,1),1))</f>
        <v>#REF!</v>
      </c>
      <c r="AV296" s="11" t="e">
        <f>IF(Data!#REF!="","",IF(Data!$G296="",1,IF(ISNUMBER(MATCH(Data!#REF!,Data_Val!$D$2:$D$10,0)),0,1)))</f>
        <v>#REF!</v>
      </c>
      <c r="AW296" s="12"/>
      <c r="AX296" s="26" t="e">
        <f ca="1">IF(Data!#REF!="","",IF(ISNUMBER(Data!#REF!),IF(AND(Data!#REF!&gt;(TODAY()-(Data_Val!$I$3*365.25)),Data!#REF!&lt;=(TODAY()-(Data_Val!$I$2*365.25))),0,1),1))</f>
        <v>#REF!</v>
      </c>
      <c r="AY296" s="12" t="e">
        <f>IF(Data!#REF!="","",IF(Data!$G296="",1,IF(ISNUMBER(MATCH(Data!#REF!,Data_Val!$D$2:$D$10,0)),0,1)))</f>
        <v>#REF!</v>
      </c>
      <c r="AZ296" s="11"/>
      <c r="BA296" s="19" t="e">
        <f ca="1">IF(Data!#REF!="","",IF(ISNUMBER(Data!#REF!),IF(AND(Data!#REF!&gt;(TODAY()-(Data_Val!$M$3*365.25)),Data!#REF!&lt;=(TODAY()-(Data_Val!$M$2*365.25))),0,1),1))</f>
        <v>#REF!</v>
      </c>
      <c r="BB296" s="11" t="e">
        <f>IF(Data!#REF!="","",IF(Data!$G296="",1,IF(ISNUMBER(MATCH(Data!#REF!,Data_Val!$D$2:$D$10,0)),0,1)))</f>
        <v>#REF!</v>
      </c>
      <c r="BC296" s="12"/>
      <c r="BD296" s="20" t="e">
        <f ca="1">IF(Data!#REF!="","",IF(ISNUMBER(Data!#REF!),IF(AND(Data!#REF!&gt;(TODAY()-(Data_Val!$M$3*365.25)),Data!#REF!&lt;=(TODAY()-(Data_Val!$M$2*365.25))),0,1),1))</f>
        <v>#REF!</v>
      </c>
      <c r="BE296" s="12" t="e">
        <f>IF(Data!#REF!="","",IF(Data!$G296="",1,IF(ISNUMBER(MATCH(Data!#REF!,Data_Val!$D$2:$D$10,0)),0,1)))</f>
        <v>#REF!</v>
      </c>
      <c r="BF296" s="17"/>
      <c r="BG296" s="18" t="e">
        <f ca="1">IF(Data!#REF!="","",IF(ISNUMBER(Data!#REF!),IF(AND(Data!#REF!&gt;(TODAY()-(Data_Val!$M$3*365.25)),Data!#REF!&lt;=(TODAY()-(Data_Val!$M$2*365.25))),0,1),1))</f>
        <v>#REF!</v>
      </c>
      <c r="BH296" s="29" t="e">
        <f>IF(Data!#REF!="","",IF(Data!$G296="",1,IF(ISNUMBER(MATCH(Data!#REF!,Data_Val!$D$2:$D$10,0)),0,1)))</f>
        <v>#REF!</v>
      </c>
      <c r="BI296" s="13"/>
      <c r="BJ296" s="21" t="e">
        <f ca="1">IF(Data!#REF!="","",IF(ISNUMBER(Data!#REF!),IF(AND(Data!#REF!&gt;(TODAY()-(Data_Val!$M$3*365.25)),Data!#REF!&lt;=(TODAY()-(Data_Val!$M$2*365.25))),0,1),1))</f>
        <v>#REF!</v>
      </c>
      <c r="BK296" s="13" t="e">
        <f>IF(Data!#REF!="","",IF(Data!$G296="",1,IF(ISNUMBER(MATCH(Data!#REF!,Data_Val!$D$2:$D$10,0)),0,1)))</f>
        <v>#REF!</v>
      </c>
    </row>
    <row r="297" spans="1:63" x14ac:dyDescent="0.25">
      <c r="A297" s="9" t="str">
        <f>IF(Data!B297="","",IF(COUNTIFS(Data!A$1:'Data'!A297,Data!A297)&lt;=1,0,1))</f>
        <v/>
      </c>
      <c r="B297" s="9"/>
      <c r="C297" s="23" t="str">
        <f>IF(Data!C297="","",(IF(ISNUMBER(MATCH("*@*.?*",Data!C297,0)),0,1)+IF(COUNTIFS(Data!C$1:'Data'!C297,Data!C297)&gt;1,1,0)))</f>
        <v/>
      </c>
      <c r="D297" s="9" t="str">
        <f>IF(Data!B297="","",IF(ISNUMBER(Data!D297),IF(AND(Data!D297&gt;999999999,Data!D297&lt;=9999999999),IF(COUNTIFS(Data!D$1:'Data'!D297,Data!D297)&lt;=1,0,1),1),1))</f>
        <v/>
      </c>
      <c r="E297" s="9" t="str">
        <f>IF(Data!B297="","",IF(ISNUMBER(MATCH(Data!E297,Data_Val!$A$2:$A$3,0)),0,1))</f>
        <v/>
      </c>
      <c r="F297" s="9" t="str">
        <f ca="1">IF(Data!B297="","",IF(ISNUMBER(Data!F297),IF(AND(Data!F297&gt;(TODAY()-(Data_Val!$H$3*365.25)),Data!F297&lt;=(TODAY()-(Data_Val!$H$2*365.25))),0,1),1))</f>
        <v/>
      </c>
      <c r="G297" s="15" t="str">
        <f>IF(Data!B297="","",IF(AND(Data!G297="",Data!H297&lt;&gt;""),1,IF(Data!#REF!&lt;&gt;"",0,IF(ISNUMBER(MATCH(Data!G297,Data_Val!$C$2:$C$5,0)),0,1))))</f>
        <v/>
      </c>
      <c r="H297" s="15" t="str">
        <f>IF(Data!B297="","",IF(AND(Data!G297&lt;&gt;"",Data!H297=""),1,IF(Data!#REF!&lt;&gt;"",0,IF(Data!G297="",1,IF(ISNUMBER(MATCH(Data!H297,Data_Val!$D$2:$D$35,0)),0,1)))))</f>
        <v/>
      </c>
      <c r="I297" s="15" t="str">
        <f>IF(Data!B297="","",IF(Data!G297&lt;&gt;"",0,IF(ISNUMBER(MATCH(Data!#REF!,Data_Val!$E$2:$E$12,0)),0,1)))</f>
        <v/>
      </c>
      <c r="J297" s="16" t="e">
        <f>IF(OR(Data!B297="",Data!#REF!=""),"",IF(Data!#REF!="",1,0))</f>
        <v>#REF!</v>
      </c>
      <c r="K297" s="16" t="e">
        <f>IF(OR(Data!B297="",Data!#REF!=""),"",IF(Data!#REF!="",1,0))</f>
        <v>#REF!</v>
      </c>
      <c r="L297" s="16" t="e">
        <f>IF(OR(Data!B297="",Data!#REF!=""),"",IF(ISNUMBER(Data!#REF!),IF(AND(Data!#REF!&gt;Data_Val!$G$2,Data!#REF!&lt;=Data_Val!$G$3),0,1),1))</f>
        <v>#REF!</v>
      </c>
      <c r="M297" s="9" t="e">
        <f>IF(OR(Data!B297="",Data!#REF!=""),"",IF(ISNUMBER(MATCH(Data!#REF!,Data_Val!$F$1:$F$38,0)),0,1))</f>
        <v>#REF!</v>
      </c>
      <c r="N297" s="9" t="e">
        <f>IF(OR(Data!B297="",Data!#REF!=""),"",IF(Data!#REF!="",1,0))</f>
        <v>#REF!</v>
      </c>
      <c r="O297" s="17" t="e">
        <f>IF(Data!#REF!="","",IF(Data!#REF!="",1,0))</f>
        <v>#REF!</v>
      </c>
      <c r="P297" s="17" t="e">
        <f>IF(Data!#REF!="","",IF(ISNUMBER(MATCH(Data!#REF!,Data_Val!$A$2:$A$3,0)),0,1))</f>
        <v>#REF!</v>
      </c>
      <c r="Q297" s="25" t="e">
        <f ca="1">IF(Data!#REF!="","",IF(ISNUMBER(Data!#REF!),IF(AND(Data!#REF!&gt;(TODAY()-(Data_Val!$J$3*365.25)),Data!#REF!&lt;=(TODAY()-(Data_Val!$J$2*365.25))),0,1),1))</f>
        <v>#REF!</v>
      </c>
      <c r="R297" s="17" t="e">
        <f>IF(Data!#REF!="","",IF(ISNUMBER(MATCH(Data!#REF!,Data_Val!$B$2:$B$15,0)),0,1))</f>
        <v>#REF!</v>
      </c>
      <c r="S297" s="11" t="str">
        <f>IF(Data!G297="","",IF(Data!G297=Data_Val!$C$2,IF(Data!M297="",0,1),0))</f>
        <v/>
      </c>
      <c r="T297" s="11" t="str">
        <f>IF(Data!M297="","",IF(ISNUMBER(MATCH(Data!N297,Data_Val!$A$2:$A$3,0)),0,1))</f>
        <v/>
      </c>
      <c r="U297" s="11" t="str">
        <f ca="1">IF(Data!M297="","",IF(ISNUMBER(Data!O297),IF(AND(Data!O297&gt;(TODAY()-(Data_Val!$K$3*365.25)),Data!O297&lt;=(TODAY()-(Data_Val!$K$2*365.25))),0,1),1))</f>
        <v/>
      </c>
      <c r="V297" s="12" t="str">
        <f>IF(Data!G297="","",IF(Data!G297=Data_Val!$C$2,IF(Data!P297="",0,1),0))</f>
        <v/>
      </c>
      <c r="W297" s="12" t="str">
        <f>IF(Data!P297="","",IF(ISNUMBER(MATCH(Data!Q297,Data_Val!$A$2:$A$3,0)),0,1))</f>
        <v/>
      </c>
      <c r="X297" s="26" t="str">
        <f ca="1">IF(Data!P297="","",IF(ISNUMBER(Data!R297),IF(AND(Data!R297&gt;(TODAY()-(Data_Val!$L$3*365.25)),Data!R297&lt;=(TODAY()-(Data_Val!$L$2*365.25))),0,1),1))</f>
        <v/>
      </c>
      <c r="Y297" s="13" t="str">
        <f>IF(Data!$G297="","",IF(Data!$G297=Data_Val!$C$2,IF(Data!S297="",0,1),0))</f>
        <v/>
      </c>
      <c r="Z297" s="13" t="str">
        <f>IF(Data!S297="","",IF(ISNUMBER(MATCH(Data!T297,Data_Val!$A$2:$A$3,0)),0,1))</f>
        <v/>
      </c>
      <c r="AA297" s="28" t="str">
        <f ca="1">IF(Data!S297="","",IF(ISNUMBER(Data!U297),IF(AND(Data!U297&gt;(TODAY()-(Data_Val!$L$3*365.25)),Data!U297&lt;=(TODAY()-(Data_Val!$L$2*365.25))),0,1),1))</f>
        <v/>
      </c>
      <c r="AB297" s="11"/>
      <c r="AC297" s="11" t="e">
        <f>IF(Data!#REF!="","",IF(ISNUMBER(MATCH(Data!#REF!,Data_Val!$A$2:$A$3,0)),0,1))</f>
        <v>#REF!</v>
      </c>
      <c r="AD297" s="11" t="e">
        <f ca="1">IF(Data!#REF!="","",IF(ISNUMBER(Data!#REF!),IF(AND(Data!#REF!&gt;(TODAY()-(Data_Val!$L$3*365.25)),Data!#REF!&lt;=(TODAY()-(Data_Val!$L$2*365.25))),0,1),1))</f>
        <v>#REF!</v>
      </c>
      <c r="AE297" s="11" t="e">
        <f>IF(Data!#REF!="","",IF(Data!$G297="",1,IF(ISNUMBER(MATCH(Data!#REF!,Data_Val!$D$2:$D$10,0)),0,1)))</f>
        <v>#REF!</v>
      </c>
      <c r="AF297" s="12"/>
      <c r="AG297" s="12" t="e">
        <f>IF(Data!#REF!="","",IF(ISNUMBER(MATCH(Data!#REF!,Data_Val!$A$2:$A$3,0)),0,1))</f>
        <v>#REF!</v>
      </c>
      <c r="AH297" s="26" t="e">
        <f ca="1">IF(Data!#REF!="","",IF(ISNUMBER(Data!#REF!),IF(AND(Data!#REF!&gt;(TODAY()-(Data_Val!$L$3*365.25)),Data!#REF!&lt;=(TODAY()-(Data_Val!$L$2*365.25))),0,1),1))</f>
        <v>#REF!</v>
      </c>
      <c r="AI297" s="12" t="e">
        <f>IF(Data!#REF!="","",IF(Data!$G297="",1,IF(ISNUMBER(MATCH(Data!#REF!,Data_Val!$D$2:$D$10,0)),0,1)))</f>
        <v>#REF!</v>
      </c>
      <c r="AJ297" s="17"/>
      <c r="AK297" s="17" t="e">
        <f>IF(Data!#REF!="","",IF(ISNUMBER(MATCH(Data!#REF!,Data_Val!$A$2:$A$3,0)),0,1))</f>
        <v>#REF!</v>
      </c>
      <c r="AL297" s="25" t="e">
        <f ca="1">IF(Data!#REF!="","",IF(ISNUMBER(Data!#REF!),IF(AND(Data!#REF!&gt;(TODAY()-(Data_Val!$L$3*365.25)),Data!#REF!&lt;=(TODAY()-(Data_Val!$L$2*365.25))),0,1),1))</f>
        <v>#REF!</v>
      </c>
      <c r="AM297" s="17" t="e">
        <f>IF(Data!#REF!="","",IF(Data!$G297="",1,IF(ISNUMBER(MATCH(Data!#REF!,Data_Val!$D$2:$D$10,0)),0,1)))</f>
        <v>#REF!</v>
      </c>
      <c r="AN297" s="13"/>
      <c r="AO297" s="28" t="e">
        <f ca="1">IF(Data!#REF!="","",IF(ISNUMBER(Data!#REF!),IF(AND(Data!#REF!&gt;(TODAY()-(Data_Val!$I$3*365.25)),Data!#REF!&lt;=(TODAY()-(Data_Val!$I$2*365.25))),0,1),1))</f>
        <v>#REF!</v>
      </c>
      <c r="AP297" s="13" t="e">
        <f>IF(Data!#REF!="","",IF(Data!$G297="",1,IF(ISNUMBER(MATCH(Data!#REF!,Data_Val!$D$2:$D$10,0)),0,1)))</f>
        <v>#REF!</v>
      </c>
      <c r="AQ297" s="17"/>
      <c r="AR297" s="30" t="e">
        <f ca="1">IF(Data!#REF!="","",IF(ISNUMBER(Data!#REF!),IF(AND(Data!#REF!&gt;(TODAY()-(Data_Val!$I$3*365.25)),Data!#REF!&lt;=(TODAY()-(Data_Val!$I$2*365.25))),0,1),1))</f>
        <v>#REF!</v>
      </c>
      <c r="AS297" s="31" t="e">
        <f>IF(Data!#REF!="","",IF(Data!$G297="",1,IF(ISNUMBER(MATCH(Data!#REF!,Data_Val!$D$2:$D$10,0)),0,1)))</f>
        <v>#REF!</v>
      </c>
      <c r="AT297" s="11"/>
      <c r="AU297" s="11" t="e">
        <f ca="1">IF(Data!#REF!="","",IF(ISNUMBER(Data!#REF!),IF(AND(Data!#REF!&gt;(TODAY()-(Data_Val!$I$3*365.25)),Data!#REF!&lt;=(TODAY()-(Data_Val!$I$2*365.25))),0,1),1))</f>
        <v>#REF!</v>
      </c>
      <c r="AV297" s="11" t="e">
        <f>IF(Data!#REF!="","",IF(Data!$G297="",1,IF(ISNUMBER(MATCH(Data!#REF!,Data_Val!$D$2:$D$10,0)),0,1)))</f>
        <v>#REF!</v>
      </c>
      <c r="AW297" s="12"/>
      <c r="AX297" s="26" t="e">
        <f ca="1">IF(Data!#REF!="","",IF(ISNUMBER(Data!#REF!),IF(AND(Data!#REF!&gt;(TODAY()-(Data_Val!$I$3*365.25)),Data!#REF!&lt;=(TODAY()-(Data_Val!$I$2*365.25))),0,1),1))</f>
        <v>#REF!</v>
      </c>
      <c r="AY297" s="12" t="e">
        <f>IF(Data!#REF!="","",IF(Data!$G297="",1,IF(ISNUMBER(MATCH(Data!#REF!,Data_Val!$D$2:$D$10,0)),0,1)))</f>
        <v>#REF!</v>
      </c>
      <c r="AZ297" s="11"/>
      <c r="BA297" s="19" t="e">
        <f ca="1">IF(Data!#REF!="","",IF(ISNUMBER(Data!#REF!),IF(AND(Data!#REF!&gt;(TODAY()-(Data_Val!$M$3*365.25)),Data!#REF!&lt;=(TODAY()-(Data_Val!$M$2*365.25))),0,1),1))</f>
        <v>#REF!</v>
      </c>
      <c r="BB297" s="11" t="e">
        <f>IF(Data!#REF!="","",IF(Data!$G297="",1,IF(ISNUMBER(MATCH(Data!#REF!,Data_Val!$D$2:$D$10,0)),0,1)))</f>
        <v>#REF!</v>
      </c>
      <c r="BC297" s="12"/>
      <c r="BD297" s="20" t="e">
        <f ca="1">IF(Data!#REF!="","",IF(ISNUMBER(Data!#REF!),IF(AND(Data!#REF!&gt;(TODAY()-(Data_Val!$M$3*365.25)),Data!#REF!&lt;=(TODAY()-(Data_Val!$M$2*365.25))),0,1),1))</f>
        <v>#REF!</v>
      </c>
      <c r="BE297" s="12" t="e">
        <f>IF(Data!#REF!="","",IF(Data!$G297="",1,IF(ISNUMBER(MATCH(Data!#REF!,Data_Val!$D$2:$D$10,0)),0,1)))</f>
        <v>#REF!</v>
      </c>
      <c r="BF297" s="17"/>
      <c r="BG297" s="18" t="e">
        <f ca="1">IF(Data!#REF!="","",IF(ISNUMBER(Data!#REF!),IF(AND(Data!#REF!&gt;(TODAY()-(Data_Val!$M$3*365.25)),Data!#REF!&lt;=(TODAY()-(Data_Val!$M$2*365.25))),0,1),1))</f>
        <v>#REF!</v>
      </c>
      <c r="BH297" s="29" t="e">
        <f>IF(Data!#REF!="","",IF(Data!$G297="",1,IF(ISNUMBER(MATCH(Data!#REF!,Data_Val!$D$2:$D$10,0)),0,1)))</f>
        <v>#REF!</v>
      </c>
      <c r="BI297" s="13"/>
      <c r="BJ297" s="21" t="e">
        <f ca="1">IF(Data!#REF!="","",IF(ISNUMBER(Data!#REF!),IF(AND(Data!#REF!&gt;(TODAY()-(Data_Val!$M$3*365.25)),Data!#REF!&lt;=(TODAY()-(Data_Val!$M$2*365.25))),0,1),1))</f>
        <v>#REF!</v>
      </c>
      <c r="BK297" s="13" t="e">
        <f>IF(Data!#REF!="","",IF(Data!$G297="",1,IF(ISNUMBER(MATCH(Data!#REF!,Data_Val!$D$2:$D$10,0)),0,1)))</f>
        <v>#REF!</v>
      </c>
    </row>
    <row r="298" spans="1:63" x14ac:dyDescent="0.25">
      <c r="A298" s="9" t="str">
        <f>IF(Data!B298="","",IF(COUNTIFS(Data!A$1:'Data'!A298,Data!A298)&lt;=1,0,1))</f>
        <v/>
      </c>
      <c r="B298" s="9"/>
      <c r="C298" s="23" t="str">
        <f>IF(Data!C298="","",(IF(ISNUMBER(MATCH("*@*.?*",Data!C298,0)),0,1)+IF(COUNTIFS(Data!C$1:'Data'!C298,Data!C298)&gt;1,1,0)))</f>
        <v/>
      </c>
      <c r="D298" s="9" t="str">
        <f>IF(Data!B298="","",IF(ISNUMBER(Data!D298),IF(AND(Data!D298&gt;999999999,Data!D298&lt;=9999999999),IF(COUNTIFS(Data!D$1:'Data'!D298,Data!D298)&lt;=1,0,1),1),1))</f>
        <v/>
      </c>
      <c r="E298" s="9" t="str">
        <f>IF(Data!B298="","",IF(ISNUMBER(MATCH(Data!E298,Data_Val!$A$2:$A$3,0)),0,1))</f>
        <v/>
      </c>
      <c r="F298" s="9" t="str">
        <f ca="1">IF(Data!B298="","",IF(ISNUMBER(Data!F298),IF(AND(Data!F298&gt;(TODAY()-(Data_Val!$H$3*365.25)),Data!F298&lt;=(TODAY()-(Data_Val!$H$2*365.25))),0,1),1))</f>
        <v/>
      </c>
      <c r="G298" s="15" t="str">
        <f>IF(Data!B298="","",IF(AND(Data!G298="",Data!H298&lt;&gt;""),1,IF(Data!#REF!&lt;&gt;"",0,IF(ISNUMBER(MATCH(Data!G298,Data_Val!$C$2:$C$5,0)),0,1))))</f>
        <v/>
      </c>
      <c r="H298" s="15" t="str">
        <f>IF(Data!B298="","",IF(AND(Data!G298&lt;&gt;"",Data!H298=""),1,IF(Data!#REF!&lt;&gt;"",0,IF(Data!G298="",1,IF(ISNUMBER(MATCH(Data!H298,Data_Val!$D$2:$D$35,0)),0,1)))))</f>
        <v/>
      </c>
      <c r="I298" s="15" t="str">
        <f>IF(Data!B298="","",IF(Data!G298&lt;&gt;"",0,IF(ISNUMBER(MATCH(Data!#REF!,Data_Val!$E$2:$E$12,0)),0,1)))</f>
        <v/>
      </c>
      <c r="J298" s="16" t="e">
        <f>IF(OR(Data!B298="",Data!#REF!=""),"",IF(Data!#REF!="",1,0))</f>
        <v>#REF!</v>
      </c>
      <c r="K298" s="16" t="e">
        <f>IF(OR(Data!B298="",Data!#REF!=""),"",IF(Data!#REF!="",1,0))</f>
        <v>#REF!</v>
      </c>
      <c r="L298" s="16" t="e">
        <f>IF(OR(Data!B298="",Data!#REF!=""),"",IF(ISNUMBER(Data!#REF!),IF(AND(Data!#REF!&gt;Data_Val!$G$2,Data!#REF!&lt;=Data_Val!$G$3),0,1),1))</f>
        <v>#REF!</v>
      </c>
      <c r="M298" s="9" t="e">
        <f>IF(OR(Data!B298="",Data!#REF!=""),"",IF(ISNUMBER(MATCH(Data!#REF!,Data_Val!$F$1:$F$38,0)),0,1))</f>
        <v>#REF!</v>
      </c>
      <c r="N298" s="9" t="e">
        <f>IF(OR(Data!B298="",Data!#REF!=""),"",IF(Data!#REF!="",1,0))</f>
        <v>#REF!</v>
      </c>
      <c r="O298" s="17" t="e">
        <f>IF(Data!#REF!="","",IF(Data!#REF!="",1,0))</f>
        <v>#REF!</v>
      </c>
      <c r="P298" s="17" t="e">
        <f>IF(Data!#REF!="","",IF(ISNUMBER(MATCH(Data!#REF!,Data_Val!$A$2:$A$3,0)),0,1))</f>
        <v>#REF!</v>
      </c>
      <c r="Q298" s="25" t="e">
        <f ca="1">IF(Data!#REF!="","",IF(ISNUMBER(Data!#REF!),IF(AND(Data!#REF!&gt;(TODAY()-(Data_Val!$J$3*365.25)),Data!#REF!&lt;=(TODAY()-(Data_Val!$J$2*365.25))),0,1),1))</f>
        <v>#REF!</v>
      </c>
      <c r="R298" s="17" t="e">
        <f>IF(Data!#REF!="","",IF(ISNUMBER(MATCH(Data!#REF!,Data_Val!$B$2:$B$15,0)),0,1))</f>
        <v>#REF!</v>
      </c>
      <c r="S298" s="11" t="str">
        <f>IF(Data!G298="","",IF(Data!G298=Data_Val!$C$2,IF(Data!M298="",0,1),0))</f>
        <v/>
      </c>
      <c r="T298" s="11" t="str">
        <f>IF(Data!M298="","",IF(ISNUMBER(MATCH(Data!N298,Data_Val!$A$2:$A$3,0)),0,1))</f>
        <v/>
      </c>
      <c r="U298" s="11" t="str">
        <f ca="1">IF(Data!M298="","",IF(ISNUMBER(Data!O298),IF(AND(Data!O298&gt;(TODAY()-(Data_Val!$K$3*365.25)),Data!O298&lt;=(TODAY()-(Data_Val!$K$2*365.25))),0,1),1))</f>
        <v/>
      </c>
      <c r="V298" s="12" t="str">
        <f>IF(Data!G298="","",IF(Data!G298=Data_Val!$C$2,IF(Data!P298="",0,1),0))</f>
        <v/>
      </c>
      <c r="W298" s="12" t="str">
        <f>IF(Data!P298="","",IF(ISNUMBER(MATCH(Data!Q298,Data_Val!$A$2:$A$3,0)),0,1))</f>
        <v/>
      </c>
      <c r="X298" s="26" t="str">
        <f ca="1">IF(Data!P298="","",IF(ISNUMBER(Data!R298),IF(AND(Data!R298&gt;(TODAY()-(Data_Val!$L$3*365.25)),Data!R298&lt;=(TODAY()-(Data_Val!$L$2*365.25))),0,1),1))</f>
        <v/>
      </c>
      <c r="Y298" s="13" t="str">
        <f>IF(Data!$G298="","",IF(Data!$G298=Data_Val!$C$2,IF(Data!S298="",0,1),0))</f>
        <v/>
      </c>
      <c r="Z298" s="13" t="str">
        <f>IF(Data!S298="","",IF(ISNUMBER(MATCH(Data!T298,Data_Val!$A$2:$A$3,0)),0,1))</f>
        <v/>
      </c>
      <c r="AA298" s="28" t="str">
        <f ca="1">IF(Data!S298="","",IF(ISNUMBER(Data!U298),IF(AND(Data!U298&gt;(TODAY()-(Data_Val!$L$3*365.25)),Data!U298&lt;=(TODAY()-(Data_Val!$L$2*365.25))),0,1),1))</f>
        <v/>
      </c>
      <c r="AB298" s="11"/>
      <c r="AC298" s="11" t="e">
        <f>IF(Data!#REF!="","",IF(ISNUMBER(MATCH(Data!#REF!,Data_Val!$A$2:$A$3,0)),0,1))</f>
        <v>#REF!</v>
      </c>
      <c r="AD298" s="11" t="e">
        <f ca="1">IF(Data!#REF!="","",IF(ISNUMBER(Data!#REF!),IF(AND(Data!#REF!&gt;(TODAY()-(Data_Val!$L$3*365.25)),Data!#REF!&lt;=(TODAY()-(Data_Val!$L$2*365.25))),0,1),1))</f>
        <v>#REF!</v>
      </c>
      <c r="AE298" s="11" t="e">
        <f>IF(Data!#REF!="","",IF(Data!$G298="",1,IF(ISNUMBER(MATCH(Data!#REF!,Data_Val!$D$2:$D$10,0)),0,1)))</f>
        <v>#REF!</v>
      </c>
      <c r="AF298" s="12"/>
      <c r="AG298" s="12" t="e">
        <f>IF(Data!#REF!="","",IF(ISNUMBER(MATCH(Data!#REF!,Data_Val!$A$2:$A$3,0)),0,1))</f>
        <v>#REF!</v>
      </c>
      <c r="AH298" s="26" t="e">
        <f ca="1">IF(Data!#REF!="","",IF(ISNUMBER(Data!#REF!),IF(AND(Data!#REF!&gt;(TODAY()-(Data_Val!$L$3*365.25)),Data!#REF!&lt;=(TODAY()-(Data_Val!$L$2*365.25))),0,1),1))</f>
        <v>#REF!</v>
      </c>
      <c r="AI298" s="12" t="e">
        <f>IF(Data!#REF!="","",IF(Data!$G298="",1,IF(ISNUMBER(MATCH(Data!#REF!,Data_Val!$D$2:$D$10,0)),0,1)))</f>
        <v>#REF!</v>
      </c>
      <c r="AJ298" s="17"/>
      <c r="AK298" s="17" t="e">
        <f>IF(Data!#REF!="","",IF(ISNUMBER(MATCH(Data!#REF!,Data_Val!$A$2:$A$3,0)),0,1))</f>
        <v>#REF!</v>
      </c>
      <c r="AL298" s="25" t="e">
        <f ca="1">IF(Data!#REF!="","",IF(ISNUMBER(Data!#REF!),IF(AND(Data!#REF!&gt;(TODAY()-(Data_Val!$L$3*365.25)),Data!#REF!&lt;=(TODAY()-(Data_Val!$L$2*365.25))),0,1),1))</f>
        <v>#REF!</v>
      </c>
      <c r="AM298" s="17" t="e">
        <f>IF(Data!#REF!="","",IF(Data!$G298="",1,IF(ISNUMBER(MATCH(Data!#REF!,Data_Val!$D$2:$D$10,0)),0,1)))</f>
        <v>#REF!</v>
      </c>
      <c r="AN298" s="13"/>
      <c r="AO298" s="28" t="e">
        <f ca="1">IF(Data!#REF!="","",IF(ISNUMBER(Data!#REF!),IF(AND(Data!#REF!&gt;(TODAY()-(Data_Val!$I$3*365.25)),Data!#REF!&lt;=(TODAY()-(Data_Val!$I$2*365.25))),0,1),1))</f>
        <v>#REF!</v>
      </c>
      <c r="AP298" s="13" t="e">
        <f>IF(Data!#REF!="","",IF(Data!$G298="",1,IF(ISNUMBER(MATCH(Data!#REF!,Data_Val!$D$2:$D$10,0)),0,1)))</f>
        <v>#REF!</v>
      </c>
      <c r="AQ298" s="17"/>
      <c r="AR298" s="30" t="e">
        <f ca="1">IF(Data!#REF!="","",IF(ISNUMBER(Data!#REF!),IF(AND(Data!#REF!&gt;(TODAY()-(Data_Val!$I$3*365.25)),Data!#REF!&lt;=(TODAY()-(Data_Val!$I$2*365.25))),0,1),1))</f>
        <v>#REF!</v>
      </c>
      <c r="AS298" s="31" t="e">
        <f>IF(Data!#REF!="","",IF(Data!$G298="",1,IF(ISNUMBER(MATCH(Data!#REF!,Data_Val!$D$2:$D$10,0)),0,1)))</f>
        <v>#REF!</v>
      </c>
      <c r="AT298" s="11"/>
      <c r="AU298" s="11" t="e">
        <f ca="1">IF(Data!#REF!="","",IF(ISNUMBER(Data!#REF!),IF(AND(Data!#REF!&gt;(TODAY()-(Data_Val!$I$3*365.25)),Data!#REF!&lt;=(TODAY()-(Data_Val!$I$2*365.25))),0,1),1))</f>
        <v>#REF!</v>
      </c>
      <c r="AV298" s="11" t="e">
        <f>IF(Data!#REF!="","",IF(Data!$G298="",1,IF(ISNUMBER(MATCH(Data!#REF!,Data_Val!$D$2:$D$10,0)),0,1)))</f>
        <v>#REF!</v>
      </c>
      <c r="AW298" s="12"/>
      <c r="AX298" s="26" t="e">
        <f ca="1">IF(Data!#REF!="","",IF(ISNUMBER(Data!#REF!),IF(AND(Data!#REF!&gt;(TODAY()-(Data_Val!$I$3*365.25)),Data!#REF!&lt;=(TODAY()-(Data_Val!$I$2*365.25))),0,1),1))</f>
        <v>#REF!</v>
      </c>
      <c r="AY298" s="12" t="e">
        <f>IF(Data!#REF!="","",IF(Data!$G298="",1,IF(ISNUMBER(MATCH(Data!#REF!,Data_Val!$D$2:$D$10,0)),0,1)))</f>
        <v>#REF!</v>
      </c>
      <c r="AZ298" s="11"/>
      <c r="BA298" s="19" t="e">
        <f ca="1">IF(Data!#REF!="","",IF(ISNUMBER(Data!#REF!),IF(AND(Data!#REF!&gt;(TODAY()-(Data_Val!$M$3*365.25)),Data!#REF!&lt;=(TODAY()-(Data_Val!$M$2*365.25))),0,1),1))</f>
        <v>#REF!</v>
      </c>
      <c r="BB298" s="11" t="e">
        <f>IF(Data!#REF!="","",IF(Data!$G298="",1,IF(ISNUMBER(MATCH(Data!#REF!,Data_Val!$D$2:$D$10,0)),0,1)))</f>
        <v>#REF!</v>
      </c>
      <c r="BC298" s="12"/>
      <c r="BD298" s="20" t="e">
        <f ca="1">IF(Data!#REF!="","",IF(ISNUMBER(Data!#REF!),IF(AND(Data!#REF!&gt;(TODAY()-(Data_Val!$M$3*365.25)),Data!#REF!&lt;=(TODAY()-(Data_Val!$M$2*365.25))),0,1),1))</f>
        <v>#REF!</v>
      </c>
      <c r="BE298" s="12" t="e">
        <f>IF(Data!#REF!="","",IF(Data!$G298="",1,IF(ISNUMBER(MATCH(Data!#REF!,Data_Val!$D$2:$D$10,0)),0,1)))</f>
        <v>#REF!</v>
      </c>
      <c r="BF298" s="17"/>
      <c r="BG298" s="18" t="e">
        <f ca="1">IF(Data!#REF!="","",IF(ISNUMBER(Data!#REF!),IF(AND(Data!#REF!&gt;(TODAY()-(Data_Val!$M$3*365.25)),Data!#REF!&lt;=(TODAY()-(Data_Val!$M$2*365.25))),0,1),1))</f>
        <v>#REF!</v>
      </c>
      <c r="BH298" s="29" t="e">
        <f>IF(Data!#REF!="","",IF(Data!$G298="",1,IF(ISNUMBER(MATCH(Data!#REF!,Data_Val!$D$2:$D$10,0)),0,1)))</f>
        <v>#REF!</v>
      </c>
      <c r="BI298" s="13"/>
      <c r="BJ298" s="21" t="e">
        <f ca="1">IF(Data!#REF!="","",IF(ISNUMBER(Data!#REF!),IF(AND(Data!#REF!&gt;(TODAY()-(Data_Val!$M$3*365.25)),Data!#REF!&lt;=(TODAY()-(Data_Val!$M$2*365.25))),0,1),1))</f>
        <v>#REF!</v>
      </c>
      <c r="BK298" s="13" t="e">
        <f>IF(Data!#REF!="","",IF(Data!$G298="",1,IF(ISNUMBER(MATCH(Data!#REF!,Data_Val!$D$2:$D$10,0)),0,1)))</f>
        <v>#REF!</v>
      </c>
    </row>
    <row r="299" spans="1:63" x14ac:dyDescent="0.25">
      <c r="A299" s="9" t="str">
        <f>IF(Data!B299="","",IF(COUNTIFS(Data!A$1:'Data'!A299,Data!A299)&lt;=1,0,1))</f>
        <v/>
      </c>
      <c r="B299" s="9"/>
      <c r="C299" s="23" t="str">
        <f>IF(Data!C299="","",(IF(ISNUMBER(MATCH("*@*.?*",Data!C299,0)),0,1)+IF(COUNTIFS(Data!C$1:'Data'!C299,Data!C299)&gt;1,1,0)))</f>
        <v/>
      </c>
      <c r="D299" s="9" t="str">
        <f>IF(Data!B299="","",IF(ISNUMBER(Data!D299),IF(AND(Data!D299&gt;999999999,Data!D299&lt;=9999999999),IF(COUNTIFS(Data!D$1:'Data'!D299,Data!D299)&lt;=1,0,1),1),1))</f>
        <v/>
      </c>
      <c r="E299" s="9" t="str">
        <f>IF(Data!B299="","",IF(ISNUMBER(MATCH(Data!E299,Data_Val!$A$2:$A$3,0)),0,1))</f>
        <v/>
      </c>
      <c r="F299" s="9" t="str">
        <f ca="1">IF(Data!B299="","",IF(ISNUMBER(Data!F299),IF(AND(Data!F299&gt;(TODAY()-(Data_Val!$H$3*365.25)),Data!F299&lt;=(TODAY()-(Data_Val!$H$2*365.25))),0,1),1))</f>
        <v/>
      </c>
      <c r="G299" s="15" t="str">
        <f>IF(Data!B299="","",IF(AND(Data!G299="",Data!H299&lt;&gt;""),1,IF(Data!#REF!&lt;&gt;"",0,IF(ISNUMBER(MATCH(Data!G299,Data_Val!$C$2:$C$5,0)),0,1))))</f>
        <v/>
      </c>
      <c r="H299" s="15" t="str">
        <f>IF(Data!B299="","",IF(AND(Data!G299&lt;&gt;"",Data!H299=""),1,IF(Data!#REF!&lt;&gt;"",0,IF(Data!G299="",1,IF(ISNUMBER(MATCH(Data!H299,Data_Val!$D$2:$D$35,0)),0,1)))))</f>
        <v/>
      </c>
      <c r="I299" s="15" t="str">
        <f>IF(Data!B299="","",IF(Data!G299&lt;&gt;"",0,IF(ISNUMBER(MATCH(Data!#REF!,Data_Val!$E$2:$E$12,0)),0,1)))</f>
        <v/>
      </c>
      <c r="J299" s="16" t="e">
        <f>IF(OR(Data!B299="",Data!#REF!=""),"",IF(Data!#REF!="",1,0))</f>
        <v>#REF!</v>
      </c>
      <c r="K299" s="16" t="e">
        <f>IF(OR(Data!B299="",Data!#REF!=""),"",IF(Data!#REF!="",1,0))</f>
        <v>#REF!</v>
      </c>
      <c r="L299" s="16" t="e">
        <f>IF(OR(Data!B299="",Data!#REF!=""),"",IF(ISNUMBER(Data!#REF!),IF(AND(Data!#REF!&gt;Data_Val!$G$2,Data!#REF!&lt;=Data_Val!$G$3),0,1),1))</f>
        <v>#REF!</v>
      </c>
      <c r="M299" s="9" t="e">
        <f>IF(OR(Data!B299="",Data!#REF!=""),"",IF(ISNUMBER(MATCH(Data!#REF!,Data_Val!$F$1:$F$38,0)),0,1))</f>
        <v>#REF!</v>
      </c>
      <c r="N299" s="9" t="e">
        <f>IF(OR(Data!B299="",Data!#REF!=""),"",IF(Data!#REF!="",1,0))</f>
        <v>#REF!</v>
      </c>
      <c r="O299" s="17" t="e">
        <f>IF(Data!#REF!="","",IF(Data!#REF!="",1,0))</f>
        <v>#REF!</v>
      </c>
      <c r="P299" s="17" t="e">
        <f>IF(Data!#REF!="","",IF(ISNUMBER(MATCH(Data!#REF!,Data_Val!$A$2:$A$3,0)),0,1))</f>
        <v>#REF!</v>
      </c>
      <c r="Q299" s="25" t="e">
        <f ca="1">IF(Data!#REF!="","",IF(ISNUMBER(Data!#REF!),IF(AND(Data!#REF!&gt;(TODAY()-(Data_Val!$J$3*365.25)),Data!#REF!&lt;=(TODAY()-(Data_Val!$J$2*365.25))),0,1),1))</f>
        <v>#REF!</v>
      </c>
      <c r="R299" s="17" t="e">
        <f>IF(Data!#REF!="","",IF(ISNUMBER(MATCH(Data!#REF!,Data_Val!$B$2:$B$15,0)),0,1))</f>
        <v>#REF!</v>
      </c>
      <c r="S299" s="11" t="str">
        <f>IF(Data!G299="","",IF(Data!G299=Data_Val!$C$2,IF(Data!M299="",0,1),0))</f>
        <v/>
      </c>
      <c r="T299" s="11" t="str">
        <f>IF(Data!M299="","",IF(ISNUMBER(MATCH(Data!N299,Data_Val!$A$2:$A$3,0)),0,1))</f>
        <v/>
      </c>
      <c r="U299" s="11" t="str">
        <f ca="1">IF(Data!M299="","",IF(ISNUMBER(Data!O299),IF(AND(Data!O299&gt;(TODAY()-(Data_Val!$K$3*365.25)),Data!O299&lt;=(TODAY()-(Data_Val!$K$2*365.25))),0,1),1))</f>
        <v/>
      </c>
      <c r="V299" s="12" t="str">
        <f>IF(Data!G299="","",IF(Data!G299=Data_Val!$C$2,IF(Data!P299="",0,1),0))</f>
        <v/>
      </c>
      <c r="W299" s="12" t="str">
        <f>IF(Data!P299="","",IF(ISNUMBER(MATCH(Data!Q299,Data_Val!$A$2:$A$3,0)),0,1))</f>
        <v/>
      </c>
      <c r="X299" s="26" t="str">
        <f ca="1">IF(Data!P299="","",IF(ISNUMBER(Data!R299),IF(AND(Data!R299&gt;(TODAY()-(Data_Val!$L$3*365.25)),Data!R299&lt;=(TODAY()-(Data_Val!$L$2*365.25))),0,1),1))</f>
        <v/>
      </c>
      <c r="Y299" s="13" t="str">
        <f>IF(Data!$G299="","",IF(Data!$G299=Data_Val!$C$2,IF(Data!S299="",0,1),0))</f>
        <v/>
      </c>
      <c r="Z299" s="13" t="str">
        <f>IF(Data!S299="","",IF(ISNUMBER(MATCH(Data!T299,Data_Val!$A$2:$A$3,0)),0,1))</f>
        <v/>
      </c>
      <c r="AA299" s="28" t="str">
        <f ca="1">IF(Data!S299="","",IF(ISNUMBER(Data!U299),IF(AND(Data!U299&gt;(TODAY()-(Data_Val!$L$3*365.25)),Data!U299&lt;=(TODAY()-(Data_Val!$L$2*365.25))),0,1),1))</f>
        <v/>
      </c>
      <c r="AB299" s="11"/>
      <c r="AC299" s="11" t="e">
        <f>IF(Data!#REF!="","",IF(ISNUMBER(MATCH(Data!#REF!,Data_Val!$A$2:$A$3,0)),0,1))</f>
        <v>#REF!</v>
      </c>
      <c r="AD299" s="11" t="e">
        <f ca="1">IF(Data!#REF!="","",IF(ISNUMBER(Data!#REF!),IF(AND(Data!#REF!&gt;(TODAY()-(Data_Val!$L$3*365.25)),Data!#REF!&lt;=(TODAY()-(Data_Val!$L$2*365.25))),0,1),1))</f>
        <v>#REF!</v>
      </c>
      <c r="AE299" s="11" t="e">
        <f>IF(Data!#REF!="","",IF(Data!$G299="",1,IF(ISNUMBER(MATCH(Data!#REF!,Data_Val!$D$2:$D$10,0)),0,1)))</f>
        <v>#REF!</v>
      </c>
      <c r="AF299" s="12"/>
      <c r="AG299" s="12" t="e">
        <f>IF(Data!#REF!="","",IF(ISNUMBER(MATCH(Data!#REF!,Data_Val!$A$2:$A$3,0)),0,1))</f>
        <v>#REF!</v>
      </c>
      <c r="AH299" s="26" t="e">
        <f ca="1">IF(Data!#REF!="","",IF(ISNUMBER(Data!#REF!),IF(AND(Data!#REF!&gt;(TODAY()-(Data_Val!$L$3*365.25)),Data!#REF!&lt;=(TODAY()-(Data_Val!$L$2*365.25))),0,1),1))</f>
        <v>#REF!</v>
      </c>
      <c r="AI299" s="12" t="e">
        <f>IF(Data!#REF!="","",IF(Data!$G299="",1,IF(ISNUMBER(MATCH(Data!#REF!,Data_Val!$D$2:$D$10,0)),0,1)))</f>
        <v>#REF!</v>
      </c>
      <c r="AJ299" s="17"/>
      <c r="AK299" s="17" t="e">
        <f>IF(Data!#REF!="","",IF(ISNUMBER(MATCH(Data!#REF!,Data_Val!$A$2:$A$3,0)),0,1))</f>
        <v>#REF!</v>
      </c>
      <c r="AL299" s="25" t="e">
        <f ca="1">IF(Data!#REF!="","",IF(ISNUMBER(Data!#REF!),IF(AND(Data!#REF!&gt;(TODAY()-(Data_Val!$L$3*365.25)),Data!#REF!&lt;=(TODAY()-(Data_Val!$L$2*365.25))),0,1),1))</f>
        <v>#REF!</v>
      </c>
      <c r="AM299" s="17" t="e">
        <f>IF(Data!#REF!="","",IF(Data!$G299="",1,IF(ISNUMBER(MATCH(Data!#REF!,Data_Val!$D$2:$D$10,0)),0,1)))</f>
        <v>#REF!</v>
      </c>
      <c r="AN299" s="13"/>
      <c r="AO299" s="28" t="e">
        <f ca="1">IF(Data!#REF!="","",IF(ISNUMBER(Data!#REF!),IF(AND(Data!#REF!&gt;(TODAY()-(Data_Val!$I$3*365.25)),Data!#REF!&lt;=(TODAY()-(Data_Val!$I$2*365.25))),0,1),1))</f>
        <v>#REF!</v>
      </c>
      <c r="AP299" s="13" t="e">
        <f>IF(Data!#REF!="","",IF(Data!$G299="",1,IF(ISNUMBER(MATCH(Data!#REF!,Data_Val!$D$2:$D$10,0)),0,1)))</f>
        <v>#REF!</v>
      </c>
      <c r="AQ299" s="17"/>
      <c r="AR299" s="30" t="e">
        <f ca="1">IF(Data!#REF!="","",IF(ISNUMBER(Data!#REF!),IF(AND(Data!#REF!&gt;(TODAY()-(Data_Val!$I$3*365.25)),Data!#REF!&lt;=(TODAY()-(Data_Val!$I$2*365.25))),0,1),1))</f>
        <v>#REF!</v>
      </c>
      <c r="AS299" s="31" t="e">
        <f>IF(Data!#REF!="","",IF(Data!$G299="",1,IF(ISNUMBER(MATCH(Data!#REF!,Data_Val!$D$2:$D$10,0)),0,1)))</f>
        <v>#REF!</v>
      </c>
      <c r="AT299" s="11"/>
      <c r="AU299" s="11" t="e">
        <f ca="1">IF(Data!#REF!="","",IF(ISNUMBER(Data!#REF!),IF(AND(Data!#REF!&gt;(TODAY()-(Data_Val!$I$3*365.25)),Data!#REF!&lt;=(TODAY()-(Data_Val!$I$2*365.25))),0,1),1))</f>
        <v>#REF!</v>
      </c>
      <c r="AV299" s="11" t="e">
        <f>IF(Data!#REF!="","",IF(Data!$G299="",1,IF(ISNUMBER(MATCH(Data!#REF!,Data_Val!$D$2:$D$10,0)),0,1)))</f>
        <v>#REF!</v>
      </c>
      <c r="AW299" s="12"/>
      <c r="AX299" s="26" t="e">
        <f ca="1">IF(Data!#REF!="","",IF(ISNUMBER(Data!#REF!),IF(AND(Data!#REF!&gt;(TODAY()-(Data_Val!$I$3*365.25)),Data!#REF!&lt;=(TODAY()-(Data_Val!$I$2*365.25))),0,1),1))</f>
        <v>#REF!</v>
      </c>
      <c r="AY299" s="12" t="e">
        <f>IF(Data!#REF!="","",IF(Data!$G299="",1,IF(ISNUMBER(MATCH(Data!#REF!,Data_Val!$D$2:$D$10,0)),0,1)))</f>
        <v>#REF!</v>
      </c>
      <c r="AZ299" s="11"/>
      <c r="BA299" s="19" t="e">
        <f ca="1">IF(Data!#REF!="","",IF(ISNUMBER(Data!#REF!),IF(AND(Data!#REF!&gt;(TODAY()-(Data_Val!$M$3*365.25)),Data!#REF!&lt;=(TODAY()-(Data_Val!$M$2*365.25))),0,1),1))</f>
        <v>#REF!</v>
      </c>
      <c r="BB299" s="11" t="e">
        <f>IF(Data!#REF!="","",IF(Data!$G299="",1,IF(ISNUMBER(MATCH(Data!#REF!,Data_Val!$D$2:$D$10,0)),0,1)))</f>
        <v>#REF!</v>
      </c>
      <c r="BC299" s="12"/>
      <c r="BD299" s="20" t="e">
        <f ca="1">IF(Data!#REF!="","",IF(ISNUMBER(Data!#REF!),IF(AND(Data!#REF!&gt;(TODAY()-(Data_Val!$M$3*365.25)),Data!#REF!&lt;=(TODAY()-(Data_Val!$M$2*365.25))),0,1),1))</f>
        <v>#REF!</v>
      </c>
      <c r="BE299" s="12" t="e">
        <f>IF(Data!#REF!="","",IF(Data!$G299="",1,IF(ISNUMBER(MATCH(Data!#REF!,Data_Val!$D$2:$D$10,0)),0,1)))</f>
        <v>#REF!</v>
      </c>
      <c r="BF299" s="17"/>
      <c r="BG299" s="18" t="e">
        <f ca="1">IF(Data!#REF!="","",IF(ISNUMBER(Data!#REF!),IF(AND(Data!#REF!&gt;(TODAY()-(Data_Val!$M$3*365.25)),Data!#REF!&lt;=(TODAY()-(Data_Val!$M$2*365.25))),0,1),1))</f>
        <v>#REF!</v>
      </c>
      <c r="BH299" s="29" t="e">
        <f>IF(Data!#REF!="","",IF(Data!$G299="",1,IF(ISNUMBER(MATCH(Data!#REF!,Data_Val!$D$2:$D$10,0)),0,1)))</f>
        <v>#REF!</v>
      </c>
      <c r="BI299" s="13"/>
      <c r="BJ299" s="21" t="e">
        <f ca="1">IF(Data!#REF!="","",IF(ISNUMBER(Data!#REF!),IF(AND(Data!#REF!&gt;(TODAY()-(Data_Val!$M$3*365.25)),Data!#REF!&lt;=(TODAY()-(Data_Val!$M$2*365.25))),0,1),1))</f>
        <v>#REF!</v>
      </c>
      <c r="BK299" s="13" t="e">
        <f>IF(Data!#REF!="","",IF(Data!$G299="",1,IF(ISNUMBER(MATCH(Data!#REF!,Data_Val!$D$2:$D$10,0)),0,1)))</f>
        <v>#REF!</v>
      </c>
    </row>
    <row r="300" spans="1:63" x14ac:dyDescent="0.25">
      <c r="A300" s="9" t="str">
        <f>IF(Data!B300="","",IF(COUNTIFS(Data!A$1:'Data'!A300,Data!A300)&lt;=1,0,1))</f>
        <v/>
      </c>
      <c r="B300" s="9"/>
      <c r="C300" s="23" t="str">
        <f>IF(Data!C300="","",(IF(ISNUMBER(MATCH("*@*.?*",Data!C300,0)),0,1)+IF(COUNTIFS(Data!C$1:'Data'!C300,Data!C300)&gt;1,1,0)))</f>
        <v/>
      </c>
      <c r="D300" s="9" t="str">
        <f>IF(Data!B300="","",IF(ISNUMBER(Data!D300),IF(AND(Data!D300&gt;999999999,Data!D300&lt;=9999999999),IF(COUNTIFS(Data!D$1:'Data'!D300,Data!D300)&lt;=1,0,1),1),1))</f>
        <v/>
      </c>
      <c r="E300" s="9" t="str">
        <f>IF(Data!B300="","",IF(ISNUMBER(MATCH(Data!E300,Data_Val!$A$2:$A$3,0)),0,1))</f>
        <v/>
      </c>
      <c r="F300" s="9" t="str">
        <f ca="1">IF(Data!B300="","",IF(ISNUMBER(Data!F300),IF(AND(Data!F300&gt;(TODAY()-(Data_Val!$H$3*365.25)),Data!F300&lt;=(TODAY()-(Data_Val!$H$2*365.25))),0,1),1))</f>
        <v/>
      </c>
      <c r="G300" s="15" t="str">
        <f>IF(Data!B300="","",IF(AND(Data!G300="",Data!H300&lt;&gt;""),1,IF(Data!#REF!&lt;&gt;"",0,IF(ISNUMBER(MATCH(Data!G300,Data_Val!$C$2:$C$5,0)),0,1))))</f>
        <v/>
      </c>
      <c r="H300" s="15" t="str">
        <f>IF(Data!B300="","",IF(AND(Data!G300&lt;&gt;"",Data!H300=""),1,IF(Data!#REF!&lt;&gt;"",0,IF(Data!G300="",1,IF(ISNUMBER(MATCH(Data!H300,Data_Val!$D$2:$D$35,0)),0,1)))))</f>
        <v/>
      </c>
      <c r="I300" s="15" t="str">
        <f>IF(Data!B300="","",IF(Data!G300&lt;&gt;"",0,IF(ISNUMBER(MATCH(Data!#REF!,Data_Val!$E$2:$E$12,0)),0,1)))</f>
        <v/>
      </c>
      <c r="J300" s="16" t="e">
        <f>IF(OR(Data!B300="",Data!#REF!=""),"",IF(Data!#REF!="",1,0))</f>
        <v>#REF!</v>
      </c>
      <c r="K300" s="16" t="e">
        <f>IF(OR(Data!B300="",Data!#REF!=""),"",IF(Data!#REF!="",1,0))</f>
        <v>#REF!</v>
      </c>
      <c r="L300" s="16" t="e">
        <f>IF(OR(Data!B300="",Data!#REF!=""),"",IF(ISNUMBER(Data!#REF!),IF(AND(Data!#REF!&gt;Data_Val!$G$2,Data!#REF!&lt;=Data_Val!$G$3),0,1),1))</f>
        <v>#REF!</v>
      </c>
      <c r="M300" s="9" t="e">
        <f>IF(OR(Data!B300="",Data!#REF!=""),"",IF(ISNUMBER(MATCH(Data!#REF!,Data_Val!$F$1:$F$38,0)),0,1))</f>
        <v>#REF!</v>
      </c>
      <c r="N300" s="9" t="e">
        <f>IF(OR(Data!B300="",Data!#REF!=""),"",IF(Data!#REF!="",1,0))</f>
        <v>#REF!</v>
      </c>
      <c r="O300" s="17" t="e">
        <f>IF(Data!#REF!="","",IF(Data!#REF!="",1,0))</f>
        <v>#REF!</v>
      </c>
      <c r="P300" s="17" t="e">
        <f>IF(Data!#REF!="","",IF(ISNUMBER(MATCH(Data!#REF!,Data_Val!$A$2:$A$3,0)),0,1))</f>
        <v>#REF!</v>
      </c>
      <c r="Q300" s="25" t="e">
        <f ca="1">IF(Data!#REF!="","",IF(ISNUMBER(Data!#REF!),IF(AND(Data!#REF!&gt;(TODAY()-(Data_Val!$J$3*365.25)),Data!#REF!&lt;=(TODAY()-(Data_Val!$J$2*365.25))),0,1),1))</f>
        <v>#REF!</v>
      </c>
      <c r="R300" s="17" t="e">
        <f>IF(Data!#REF!="","",IF(ISNUMBER(MATCH(Data!#REF!,Data_Val!$B$2:$B$15,0)),0,1))</f>
        <v>#REF!</v>
      </c>
      <c r="S300" s="11" t="str">
        <f>IF(Data!G300="","",IF(Data!G300=Data_Val!$C$2,IF(Data!M300="",0,1),0))</f>
        <v/>
      </c>
      <c r="T300" s="11" t="str">
        <f>IF(Data!M300="","",IF(ISNUMBER(MATCH(Data!N300,Data_Val!$A$2:$A$3,0)),0,1))</f>
        <v/>
      </c>
      <c r="U300" s="11" t="str">
        <f ca="1">IF(Data!M300="","",IF(ISNUMBER(Data!O300),IF(AND(Data!O300&gt;(TODAY()-(Data_Val!$K$3*365.25)),Data!O300&lt;=(TODAY()-(Data_Val!$K$2*365.25))),0,1),1))</f>
        <v/>
      </c>
      <c r="V300" s="12" t="str">
        <f>IF(Data!G300="","",IF(Data!G300=Data_Val!$C$2,IF(Data!P300="",0,1),0))</f>
        <v/>
      </c>
      <c r="W300" s="12" t="str">
        <f>IF(Data!P300="","",IF(ISNUMBER(MATCH(Data!Q300,Data_Val!$A$2:$A$3,0)),0,1))</f>
        <v/>
      </c>
      <c r="X300" s="26" t="str">
        <f ca="1">IF(Data!P300="","",IF(ISNUMBER(Data!R300),IF(AND(Data!R300&gt;(TODAY()-(Data_Val!$L$3*365.25)),Data!R300&lt;=(TODAY()-(Data_Val!$L$2*365.25))),0,1),1))</f>
        <v/>
      </c>
      <c r="Y300" s="13" t="str">
        <f>IF(Data!$G300="","",IF(Data!$G300=Data_Val!$C$2,IF(Data!S300="",0,1),0))</f>
        <v/>
      </c>
      <c r="Z300" s="13" t="str">
        <f>IF(Data!S300="","",IF(ISNUMBER(MATCH(Data!T300,Data_Val!$A$2:$A$3,0)),0,1))</f>
        <v/>
      </c>
      <c r="AA300" s="28" t="str">
        <f ca="1">IF(Data!S300="","",IF(ISNUMBER(Data!U300),IF(AND(Data!U300&gt;(TODAY()-(Data_Val!$L$3*365.25)),Data!U300&lt;=(TODAY()-(Data_Val!$L$2*365.25))),0,1),1))</f>
        <v/>
      </c>
      <c r="AB300" s="11"/>
      <c r="AC300" s="11" t="e">
        <f>IF(Data!#REF!="","",IF(ISNUMBER(MATCH(Data!#REF!,Data_Val!$A$2:$A$3,0)),0,1))</f>
        <v>#REF!</v>
      </c>
      <c r="AD300" s="11" t="e">
        <f ca="1">IF(Data!#REF!="","",IF(ISNUMBER(Data!#REF!),IF(AND(Data!#REF!&gt;(TODAY()-(Data_Val!$L$3*365.25)),Data!#REF!&lt;=(TODAY()-(Data_Val!$L$2*365.25))),0,1),1))</f>
        <v>#REF!</v>
      </c>
      <c r="AE300" s="11" t="e">
        <f>IF(Data!#REF!="","",IF(Data!$G300="",1,IF(ISNUMBER(MATCH(Data!#REF!,Data_Val!$D$2:$D$10,0)),0,1)))</f>
        <v>#REF!</v>
      </c>
      <c r="AF300" s="12"/>
      <c r="AG300" s="12" t="e">
        <f>IF(Data!#REF!="","",IF(ISNUMBER(MATCH(Data!#REF!,Data_Val!$A$2:$A$3,0)),0,1))</f>
        <v>#REF!</v>
      </c>
      <c r="AH300" s="26" t="e">
        <f ca="1">IF(Data!#REF!="","",IF(ISNUMBER(Data!#REF!),IF(AND(Data!#REF!&gt;(TODAY()-(Data_Val!$L$3*365.25)),Data!#REF!&lt;=(TODAY()-(Data_Val!$L$2*365.25))),0,1),1))</f>
        <v>#REF!</v>
      </c>
      <c r="AI300" s="12" t="e">
        <f>IF(Data!#REF!="","",IF(Data!$G300="",1,IF(ISNUMBER(MATCH(Data!#REF!,Data_Val!$D$2:$D$10,0)),0,1)))</f>
        <v>#REF!</v>
      </c>
      <c r="AJ300" s="17"/>
      <c r="AK300" s="17" t="e">
        <f>IF(Data!#REF!="","",IF(ISNUMBER(MATCH(Data!#REF!,Data_Val!$A$2:$A$3,0)),0,1))</f>
        <v>#REF!</v>
      </c>
      <c r="AL300" s="25" t="e">
        <f ca="1">IF(Data!#REF!="","",IF(ISNUMBER(Data!#REF!),IF(AND(Data!#REF!&gt;(TODAY()-(Data_Val!$L$3*365.25)),Data!#REF!&lt;=(TODAY()-(Data_Val!$L$2*365.25))),0,1),1))</f>
        <v>#REF!</v>
      </c>
      <c r="AM300" s="17" t="e">
        <f>IF(Data!#REF!="","",IF(Data!$G300="",1,IF(ISNUMBER(MATCH(Data!#REF!,Data_Val!$D$2:$D$10,0)),0,1)))</f>
        <v>#REF!</v>
      </c>
      <c r="AN300" s="13"/>
      <c r="AO300" s="28" t="e">
        <f ca="1">IF(Data!#REF!="","",IF(ISNUMBER(Data!#REF!),IF(AND(Data!#REF!&gt;(TODAY()-(Data_Val!$I$3*365.25)),Data!#REF!&lt;=(TODAY()-(Data_Val!$I$2*365.25))),0,1),1))</f>
        <v>#REF!</v>
      </c>
      <c r="AP300" s="13" t="e">
        <f>IF(Data!#REF!="","",IF(Data!$G300="",1,IF(ISNUMBER(MATCH(Data!#REF!,Data_Val!$D$2:$D$10,0)),0,1)))</f>
        <v>#REF!</v>
      </c>
      <c r="AQ300" s="17"/>
      <c r="AR300" s="30" t="e">
        <f ca="1">IF(Data!#REF!="","",IF(ISNUMBER(Data!#REF!),IF(AND(Data!#REF!&gt;(TODAY()-(Data_Val!$I$3*365.25)),Data!#REF!&lt;=(TODAY()-(Data_Val!$I$2*365.25))),0,1),1))</f>
        <v>#REF!</v>
      </c>
      <c r="AS300" s="31" t="e">
        <f>IF(Data!#REF!="","",IF(Data!$G300="",1,IF(ISNUMBER(MATCH(Data!#REF!,Data_Val!$D$2:$D$10,0)),0,1)))</f>
        <v>#REF!</v>
      </c>
      <c r="AT300" s="11"/>
      <c r="AU300" s="11" t="e">
        <f ca="1">IF(Data!#REF!="","",IF(ISNUMBER(Data!#REF!),IF(AND(Data!#REF!&gt;(TODAY()-(Data_Val!$I$3*365.25)),Data!#REF!&lt;=(TODAY()-(Data_Val!$I$2*365.25))),0,1),1))</f>
        <v>#REF!</v>
      </c>
      <c r="AV300" s="11" t="e">
        <f>IF(Data!#REF!="","",IF(Data!$G300="",1,IF(ISNUMBER(MATCH(Data!#REF!,Data_Val!$D$2:$D$10,0)),0,1)))</f>
        <v>#REF!</v>
      </c>
      <c r="AW300" s="12"/>
      <c r="AX300" s="26" t="e">
        <f ca="1">IF(Data!#REF!="","",IF(ISNUMBER(Data!#REF!),IF(AND(Data!#REF!&gt;(TODAY()-(Data_Val!$I$3*365.25)),Data!#REF!&lt;=(TODAY()-(Data_Val!$I$2*365.25))),0,1),1))</f>
        <v>#REF!</v>
      </c>
      <c r="AY300" s="12" t="e">
        <f>IF(Data!#REF!="","",IF(Data!$G300="",1,IF(ISNUMBER(MATCH(Data!#REF!,Data_Val!$D$2:$D$10,0)),0,1)))</f>
        <v>#REF!</v>
      </c>
      <c r="AZ300" s="11"/>
      <c r="BA300" s="19" t="e">
        <f ca="1">IF(Data!#REF!="","",IF(ISNUMBER(Data!#REF!),IF(AND(Data!#REF!&gt;(TODAY()-(Data_Val!$M$3*365.25)),Data!#REF!&lt;=(TODAY()-(Data_Val!$M$2*365.25))),0,1),1))</f>
        <v>#REF!</v>
      </c>
      <c r="BB300" s="11" t="e">
        <f>IF(Data!#REF!="","",IF(Data!$G300="",1,IF(ISNUMBER(MATCH(Data!#REF!,Data_Val!$D$2:$D$10,0)),0,1)))</f>
        <v>#REF!</v>
      </c>
      <c r="BC300" s="12"/>
      <c r="BD300" s="20" t="e">
        <f ca="1">IF(Data!#REF!="","",IF(ISNUMBER(Data!#REF!),IF(AND(Data!#REF!&gt;(TODAY()-(Data_Val!$M$3*365.25)),Data!#REF!&lt;=(TODAY()-(Data_Val!$M$2*365.25))),0,1),1))</f>
        <v>#REF!</v>
      </c>
      <c r="BE300" s="12" t="e">
        <f>IF(Data!#REF!="","",IF(Data!$G300="",1,IF(ISNUMBER(MATCH(Data!#REF!,Data_Val!$D$2:$D$10,0)),0,1)))</f>
        <v>#REF!</v>
      </c>
      <c r="BF300" s="17"/>
      <c r="BG300" s="18" t="e">
        <f ca="1">IF(Data!#REF!="","",IF(ISNUMBER(Data!#REF!),IF(AND(Data!#REF!&gt;(TODAY()-(Data_Val!$M$3*365.25)),Data!#REF!&lt;=(TODAY()-(Data_Val!$M$2*365.25))),0,1),1))</f>
        <v>#REF!</v>
      </c>
      <c r="BH300" s="29" t="e">
        <f>IF(Data!#REF!="","",IF(Data!$G300="",1,IF(ISNUMBER(MATCH(Data!#REF!,Data_Val!$D$2:$D$10,0)),0,1)))</f>
        <v>#REF!</v>
      </c>
      <c r="BI300" s="13"/>
      <c r="BJ300" s="21" t="e">
        <f ca="1">IF(Data!#REF!="","",IF(ISNUMBER(Data!#REF!),IF(AND(Data!#REF!&gt;(TODAY()-(Data_Val!$M$3*365.25)),Data!#REF!&lt;=(TODAY()-(Data_Val!$M$2*365.25))),0,1),1))</f>
        <v>#REF!</v>
      </c>
      <c r="BK300" s="13" t="e">
        <f>IF(Data!#REF!="","",IF(Data!$G300="",1,IF(ISNUMBER(MATCH(Data!#REF!,Data_Val!$D$2:$D$10,0)),0,1)))</f>
        <v>#REF!</v>
      </c>
    </row>
    <row r="301" spans="1:63" x14ac:dyDescent="0.25">
      <c r="A301" s="9" t="str">
        <f>IF(Data!B301="","",IF(COUNTIFS(Data!A$1:'Data'!A301,Data!A301)&lt;=1,0,1))</f>
        <v/>
      </c>
      <c r="B301" s="9"/>
      <c r="C301" s="23" t="str">
        <f>IF(Data!C301="","",(IF(ISNUMBER(MATCH("*@*.?*",Data!C301,0)),0,1)+IF(COUNTIFS(Data!C$1:'Data'!C301,Data!C301)&gt;1,1,0)))</f>
        <v/>
      </c>
      <c r="D301" s="9" t="str">
        <f>IF(Data!B301="","",IF(ISNUMBER(Data!D301),IF(AND(Data!D301&gt;999999999,Data!D301&lt;=9999999999),IF(COUNTIFS(Data!D$1:'Data'!D301,Data!D301)&lt;=1,0,1),1),1))</f>
        <v/>
      </c>
      <c r="E301" s="9" t="str">
        <f>IF(Data!B301="","",IF(ISNUMBER(MATCH(Data!E301,Data_Val!$A$2:$A$3,0)),0,1))</f>
        <v/>
      </c>
      <c r="F301" s="9" t="str">
        <f ca="1">IF(Data!B301="","",IF(ISNUMBER(Data!F301),IF(AND(Data!F301&gt;(TODAY()-(Data_Val!$H$3*365.25)),Data!F301&lt;=(TODAY()-(Data_Val!$H$2*365.25))),0,1),1))</f>
        <v/>
      </c>
      <c r="G301" s="15" t="str">
        <f>IF(Data!B301="","",IF(AND(Data!G301="",Data!H301&lt;&gt;""),1,IF(Data!#REF!&lt;&gt;"",0,IF(ISNUMBER(MATCH(Data!G301,Data_Val!$C$2:$C$5,0)),0,1))))</f>
        <v/>
      </c>
      <c r="H301" s="15" t="str">
        <f>IF(Data!B301="","",IF(AND(Data!G301&lt;&gt;"",Data!H301=""),1,IF(Data!#REF!&lt;&gt;"",0,IF(Data!G301="",1,IF(ISNUMBER(MATCH(Data!H301,Data_Val!$D$2:$D$35,0)),0,1)))))</f>
        <v/>
      </c>
      <c r="I301" s="15" t="str">
        <f>IF(Data!B301="","",IF(Data!G301&lt;&gt;"",0,IF(ISNUMBER(MATCH(Data!#REF!,Data_Val!$E$2:$E$12,0)),0,1)))</f>
        <v/>
      </c>
      <c r="J301" s="16" t="e">
        <f>IF(OR(Data!B301="",Data!#REF!=""),"",IF(Data!#REF!="",1,0))</f>
        <v>#REF!</v>
      </c>
      <c r="K301" s="16" t="e">
        <f>IF(OR(Data!B301="",Data!#REF!=""),"",IF(Data!#REF!="",1,0))</f>
        <v>#REF!</v>
      </c>
      <c r="L301" s="16" t="e">
        <f>IF(OR(Data!B301="",Data!#REF!=""),"",IF(ISNUMBER(Data!#REF!),IF(AND(Data!#REF!&gt;Data_Val!$G$2,Data!#REF!&lt;=Data_Val!$G$3),0,1),1))</f>
        <v>#REF!</v>
      </c>
      <c r="M301" s="9" t="e">
        <f>IF(OR(Data!B301="",Data!#REF!=""),"",IF(ISNUMBER(MATCH(Data!#REF!,Data_Val!$F$1:$F$38,0)),0,1))</f>
        <v>#REF!</v>
      </c>
      <c r="N301" s="9" t="e">
        <f>IF(OR(Data!B301="",Data!#REF!=""),"",IF(Data!#REF!="",1,0))</f>
        <v>#REF!</v>
      </c>
      <c r="O301" s="17" t="e">
        <f>IF(Data!#REF!="","",IF(Data!#REF!="",1,0))</f>
        <v>#REF!</v>
      </c>
      <c r="P301" s="17" t="e">
        <f>IF(Data!#REF!="","",IF(ISNUMBER(MATCH(Data!#REF!,Data_Val!$A$2:$A$3,0)),0,1))</f>
        <v>#REF!</v>
      </c>
      <c r="Q301" s="25" t="e">
        <f ca="1">IF(Data!#REF!="","",IF(ISNUMBER(Data!#REF!),IF(AND(Data!#REF!&gt;(TODAY()-(Data_Val!$J$3*365.25)),Data!#REF!&lt;=(TODAY()-(Data_Val!$J$2*365.25))),0,1),1))</f>
        <v>#REF!</v>
      </c>
      <c r="R301" s="17" t="e">
        <f>IF(Data!#REF!="","",IF(ISNUMBER(MATCH(Data!#REF!,Data_Val!$B$2:$B$15,0)),0,1))</f>
        <v>#REF!</v>
      </c>
      <c r="S301" s="11" t="str">
        <f>IF(Data!G301="","",IF(Data!G301=Data_Val!$C$2,IF(Data!M301="",0,1),0))</f>
        <v/>
      </c>
      <c r="T301" s="11" t="str">
        <f>IF(Data!M301="","",IF(ISNUMBER(MATCH(Data!N301,Data_Val!$A$2:$A$3,0)),0,1))</f>
        <v/>
      </c>
      <c r="U301" s="11" t="str">
        <f ca="1">IF(Data!M301="","",IF(ISNUMBER(Data!O301),IF(AND(Data!O301&gt;(TODAY()-(Data_Val!$K$3*365.25)),Data!O301&lt;=(TODAY()-(Data_Val!$K$2*365.25))),0,1),1))</f>
        <v/>
      </c>
      <c r="V301" s="12" t="str">
        <f>IF(Data!G301="","",IF(Data!G301=Data_Val!$C$2,IF(Data!P301="",0,1),0))</f>
        <v/>
      </c>
      <c r="W301" s="12" t="str">
        <f>IF(Data!P301="","",IF(ISNUMBER(MATCH(Data!Q301,Data_Val!$A$2:$A$3,0)),0,1))</f>
        <v/>
      </c>
      <c r="X301" s="26" t="str">
        <f ca="1">IF(Data!P301="","",IF(ISNUMBER(Data!R301),IF(AND(Data!R301&gt;(TODAY()-(Data_Val!$L$3*365.25)),Data!R301&lt;=(TODAY()-(Data_Val!$L$2*365.25))),0,1),1))</f>
        <v/>
      </c>
      <c r="Y301" s="13" t="str">
        <f>IF(Data!$G301="","",IF(Data!$G301=Data_Val!$C$2,IF(Data!S301="",0,1),0))</f>
        <v/>
      </c>
      <c r="Z301" s="13" t="str">
        <f>IF(Data!S301="","",IF(ISNUMBER(MATCH(Data!T301,Data_Val!$A$2:$A$3,0)),0,1))</f>
        <v/>
      </c>
      <c r="AA301" s="28" t="str">
        <f ca="1">IF(Data!S301="","",IF(ISNUMBER(Data!U301),IF(AND(Data!U301&gt;(TODAY()-(Data_Val!$L$3*365.25)),Data!U301&lt;=(TODAY()-(Data_Val!$L$2*365.25))),0,1),1))</f>
        <v/>
      </c>
      <c r="AB301" s="11"/>
      <c r="AC301" s="11" t="e">
        <f>IF(Data!#REF!="","",IF(ISNUMBER(MATCH(Data!#REF!,Data_Val!$A$2:$A$3,0)),0,1))</f>
        <v>#REF!</v>
      </c>
      <c r="AD301" s="11" t="e">
        <f ca="1">IF(Data!#REF!="","",IF(ISNUMBER(Data!#REF!),IF(AND(Data!#REF!&gt;(TODAY()-(Data_Val!$L$3*365.25)),Data!#REF!&lt;=(TODAY()-(Data_Val!$L$2*365.25))),0,1),1))</f>
        <v>#REF!</v>
      </c>
      <c r="AE301" s="11" t="e">
        <f>IF(Data!#REF!="","",IF(Data!$G301="",1,IF(ISNUMBER(MATCH(Data!#REF!,Data_Val!$D$2:$D$10,0)),0,1)))</f>
        <v>#REF!</v>
      </c>
      <c r="AF301" s="12"/>
      <c r="AG301" s="12" t="e">
        <f>IF(Data!#REF!="","",IF(ISNUMBER(MATCH(Data!#REF!,Data_Val!$A$2:$A$3,0)),0,1))</f>
        <v>#REF!</v>
      </c>
      <c r="AH301" s="26" t="e">
        <f ca="1">IF(Data!#REF!="","",IF(ISNUMBER(Data!#REF!),IF(AND(Data!#REF!&gt;(TODAY()-(Data_Val!$L$3*365.25)),Data!#REF!&lt;=(TODAY()-(Data_Val!$L$2*365.25))),0,1),1))</f>
        <v>#REF!</v>
      </c>
      <c r="AI301" s="12" t="e">
        <f>IF(Data!#REF!="","",IF(Data!$G301="",1,IF(ISNUMBER(MATCH(Data!#REF!,Data_Val!$D$2:$D$10,0)),0,1)))</f>
        <v>#REF!</v>
      </c>
      <c r="AJ301" s="17"/>
      <c r="AK301" s="17" t="e">
        <f>IF(Data!#REF!="","",IF(ISNUMBER(MATCH(Data!#REF!,Data_Val!$A$2:$A$3,0)),0,1))</f>
        <v>#REF!</v>
      </c>
      <c r="AL301" s="25" t="e">
        <f ca="1">IF(Data!#REF!="","",IF(ISNUMBER(Data!#REF!),IF(AND(Data!#REF!&gt;(TODAY()-(Data_Val!$L$3*365.25)),Data!#REF!&lt;=(TODAY()-(Data_Val!$L$2*365.25))),0,1),1))</f>
        <v>#REF!</v>
      </c>
      <c r="AM301" s="17" t="e">
        <f>IF(Data!#REF!="","",IF(Data!$G301="",1,IF(ISNUMBER(MATCH(Data!#REF!,Data_Val!$D$2:$D$10,0)),0,1)))</f>
        <v>#REF!</v>
      </c>
      <c r="AN301" s="13"/>
      <c r="AO301" s="28" t="e">
        <f ca="1">IF(Data!#REF!="","",IF(ISNUMBER(Data!#REF!),IF(AND(Data!#REF!&gt;(TODAY()-(Data_Val!$I$3*365.25)),Data!#REF!&lt;=(TODAY()-(Data_Val!$I$2*365.25))),0,1),1))</f>
        <v>#REF!</v>
      </c>
      <c r="AP301" s="13" t="e">
        <f>IF(Data!#REF!="","",IF(Data!$G301="",1,IF(ISNUMBER(MATCH(Data!#REF!,Data_Val!$D$2:$D$10,0)),0,1)))</f>
        <v>#REF!</v>
      </c>
      <c r="AQ301" s="17"/>
      <c r="AR301" s="30" t="e">
        <f ca="1">IF(Data!#REF!="","",IF(ISNUMBER(Data!#REF!),IF(AND(Data!#REF!&gt;(TODAY()-(Data_Val!$I$3*365.25)),Data!#REF!&lt;=(TODAY()-(Data_Val!$I$2*365.25))),0,1),1))</f>
        <v>#REF!</v>
      </c>
      <c r="AS301" s="31" t="e">
        <f>IF(Data!#REF!="","",IF(Data!$G301="",1,IF(ISNUMBER(MATCH(Data!#REF!,Data_Val!$D$2:$D$10,0)),0,1)))</f>
        <v>#REF!</v>
      </c>
      <c r="AT301" s="11"/>
      <c r="AU301" s="11" t="e">
        <f ca="1">IF(Data!#REF!="","",IF(ISNUMBER(Data!#REF!),IF(AND(Data!#REF!&gt;(TODAY()-(Data_Val!$I$3*365.25)),Data!#REF!&lt;=(TODAY()-(Data_Val!$I$2*365.25))),0,1),1))</f>
        <v>#REF!</v>
      </c>
      <c r="AV301" s="11" t="e">
        <f>IF(Data!#REF!="","",IF(Data!$G301="",1,IF(ISNUMBER(MATCH(Data!#REF!,Data_Val!$D$2:$D$10,0)),0,1)))</f>
        <v>#REF!</v>
      </c>
      <c r="AW301" s="12"/>
      <c r="AX301" s="26" t="e">
        <f ca="1">IF(Data!#REF!="","",IF(ISNUMBER(Data!#REF!),IF(AND(Data!#REF!&gt;(TODAY()-(Data_Val!$I$3*365.25)),Data!#REF!&lt;=(TODAY()-(Data_Val!$I$2*365.25))),0,1),1))</f>
        <v>#REF!</v>
      </c>
      <c r="AY301" s="12" t="e">
        <f>IF(Data!#REF!="","",IF(Data!$G301="",1,IF(ISNUMBER(MATCH(Data!#REF!,Data_Val!$D$2:$D$10,0)),0,1)))</f>
        <v>#REF!</v>
      </c>
      <c r="AZ301" s="11"/>
      <c r="BA301" s="19" t="e">
        <f ca="1">IF(Data!#REF!="","",IF(ISNUMBER(Data!#REF!),IF(AND(Data!#REF!&gt;(TODAY()-(Data_Val!$M$3*365.25)),Data!#REF!&lt;=(TODAY()-(Data_Val!$M$2*365.25))),0,1),1))</f>
        <v>#REF!</v>
      </c>
      <c r="BB301" s="11" t="e">
        <f>IF(Data!#REF!="","",IF(Data!$G301="",1,IF(ISNUMBER(MATCH(Data!#REF!,Data_Val!$D$2:$D$10,0)),0,1)))</f>
        <v>#REF!</v>
      </c>
      <c r="BC301" s="12"/>
      <c r="BD301" s="20" t="e">
        <f ca="1">IF(Data!#REF!="","",IF(ISNUMBER(Data!#REF!),IF(AND(Data!#REF!&gt;(TODAY()-(Data_Val!$M$3*365.25)),Data!#REF!&lt;=(TODAY()-(Data_Val!$M$2*365.25))),0,1),1))</f>
        <v>#REF!</v>
      </c>
      <c r="BE301" s="12" t="e">
        <f>IF(Data!#REF!="","",IF(Data!$G301="",1,IF(ISNUMBER(MATCH(Data!#REF!,Data_Val!$D$2:$D$10,0)),0,1)))</f>
        <v>#REF!</v>
      </c>
      <c r="BF301" s="17"/>
      <c r="BG301" s="18" t="e">
        <f ca="1">IF(Data!#REF!="","",IF(ISNUMBER(Data!#REF!),IF(AND(Data!#REF!&gt;(TODAY()-(Data_Val!$M$3*365.25)),Data!#REF!&lt;=(TODAY()-(Data_Val!$M$2*365.25))),0,1),1))</f>
        <v>#REF!</v>
      </c>
      <c r="BH301" s="29" t="e">
        <f>IF(Data!#REF!="","",IF(Data!$G301="",1,IF(ISNUMBER(MATCH(Data!#REF!,Data_Val!$D$2:$D$10,0)),0,1)))</f>
        <v>#REF!</v>
      </c>
      <c r="BI301" s="13"/>
      <c r="BJ301" s="21" t="e">
        <f ca="1">IF(Data!#REF!="","",IF(ISNUMBER(Data!#REF!),IF(AND(Data!#REF!&gt;(TODAY()-(Data_Val!$M$3*365.25)),Data!#REF!&lt;=(TODAY()-(Data_Val!$M$2*365.25))),0,1),1))</f>
        <v>#REF!</v>
      </c>
      <c r="BK301" s="13" t="e">
        <f>IF(Data!#REF!="","",IF(Data!$G301="",1,IF(ISNUMBER(MATCH(Data!#REF!,Data_Val!$D$2:$D$10,0)),0,1)))</f>
        <v>#REF!</v>
      </c>
    </row>
    <row r="302" spans="1:63" x14ac:dyDescent="0.25">
      <c r="A302" s="9" t="str">
        <f>IF(Data!B302="","",IF(COUNTIFS(Data!A$1:'Data'!A302,Data!A302)&lt;=1,0,1))</f>
        <v/>
      </c>
      <c r="B302" s="9"/>
      <c r="C302" s="23" t="str">
        <f>IF(Data!C302="","",(IF(ISNUMBER(MATCH("*@*.?*",Data!C302,0)),0,1)+IF(COUNTIFS(Data!C$1:'Data'!C302,Data!C302)&gt;1,1,0)))</f>
        <v/>
      </c>
      <c r="D302" s="9" t="str">
        <f>IF(Data!B302="","",IF(ISNUMBER(Data!D302),IF(AND(Data!D302&gt;999999999,Data!D302&lt;=9999999999),IF(COUNTIFS(Data!D$1:'Data'!D302,Data!D302)&lt;=1,0,1),1),1))</f>
        <v/>
      </c>
      <c r="E302" s="9" t="str">
        <f>IF(Data!B302="","",IF(ISNUMBER(MATCH(Data!E302,Data_Val!$A$2:$A$3,0)),0,1))</f>
        <v/>
      </c>
      <c r="F302" s="9" t="str">
        <f ca="1">IF(Data!B302="","",IF(ISNUMBER(Data!F302),IF(AND(Data!F302&gt;(TODAY()-(Data_Val!$H$3*365.25)),Data!F302&lt;=(TODAY()-(Data_Val!$H$2*365.25))),0,1),1))</f>
        <v/>
      </c>
      <c r="G302" s="15" t="str">
        <f>IF(Data!B302="","",IF(AND(Data!G302="",Data!H302&lt;&gt;""),1,IF(Data!#REF!&lt;&gt;"",0,IF(ISNUMBER(MATCH(Data!G302,Data_Val!$C$2:$C$5,0)),0,1))))</f>
        <v/>
      </c>
      <c r="H302" s="15" t="str">
        <f>IF(Data!B302="","",IF(AND(Data!G302&lt;&gt;"",Data!H302=""),1,IF(Data!#REF!&lt;&gt;"",0,IF(Data!G302="",1,IF(ISNUMBER(MATCH(Data!H302,Data_Val!$D$2:$D$35,0)),0,1)))))</f>
        <v/>
      </c>
      <c r="I302" s="15" t="str">
        <f>IF(Data!B302="","",IF(Data!G302&lt;&gt;"",0,IF(ISNUMBER(MATCH(Data!#REF!,Data_Val!$E$2:$E$12,0)),0,1)))</f>
        <v/>
      </c>
      <c r="J302" s="16" t="e">
        <f>IF(OR(Data!B302="",Data!#REF!=""),"",IF(Data!#REF!="",1,0))</f>
        <v>#REF!</v>
      </c>
      <c r="K302" s="16" t="e">
        <f>IF(OR(Data!B302="",Data!#REF!=""),"",IF(Data!#REF!="",1,0))</f>
        <v>#REF!</v>
      </c>
      <c r="L302" s="16" t="e">
        <f>IF(OR(Data!B302="",Data!#REF!=""),"",IF(ISNUMBER(Data!#REF!),IF(AND(Data!#REF!&gt;Data_Val!$G$2,Data!#REF!&lt;=Data_Val!$G$3),0,1),1))</f>
        <v>#REF!</v>
      </c>
      <c r="M302" s="9" t="e">
        <f>IF(OR(Data!B302="",Data!#REF!=""),"",IF(ISNUMBER(MATCH(Data!#REF!,Data_Val!$F$1:$F$38,0)),0,1))</f>
        <v>#REF!</v>
      </c>
      <c r="N302" s="9" t="e">
        <f>IF(OR(Data!B302="",Data!#REF!=""),"",IF(Data!#REF!="",1,0))</f>
        <v>#REF!</v>
      </c>
      <c r="O302" s="17" t="e">
        <f>IF(Data!#REF!="","",IF(Data!#REF!="",1,0))</f>
        <v>#REF!</v>
      </c>
      <c r="P302" s="17" t="e">
        <f>IF(Data!#REF!="","",IF(ISNUMBER(MATCH(Data!#REF!,Data_Val!$A$2:$A$3,0)),0,1))</f>
        <v>#REF!</v>
      </c>
      <c r="Q302" s="25" t="e">
        <f ca="1">IF(Data!#REF!="","",IF(ISNUMBER(Data!#REF!),IF(AND(Data!#REF!&gt;(TODAY()-(Data_Val!$J$3*365.25)),Data!#REF!&lt;=(TODAY()-(Data_Val!$J$2*365.25))),0,1),1))</f>
        <v>#REF!</v>
      </c>
      <c r="R302" s="17" t="e">
        <f>IF(Data!#REF!="","",IF(ISNUMBER(MATCH(Data!#REF!,Data_Val!$B$2:$B$15,0)),0,1))</f>
        <v>#REF!</v>
      </c>
      <c r="S302" s="11" t="str">
        <f>IF(Data!G302="","",IF(Data!G302=Data_Val!$C$2,IF(Data!M302="",0,1),0))</f>
        <v/>
      </c>
      <c r="T302" s="11" t="str">
        <f>IF(Data!M302="","",IF(ISNUMBER(MATCH(Data!N302,Data_Val!$A$2:$A$3,0)),0,1))</f>
        <v/>
      </c>
      <c r="U302" s="11" t="str">
        <f ca="1">IF(Data!M302="","",IF(ISNUMBER(Data!O302),IF(AND(Data!O302&gt;(TODAY()-(Data_Val!$K$3*365.25)),Data!O302&lt;=(TODAY()-(Data_Val!$K$2*365.25))),0,1),1))</f>
        <v/>
      </c>
      <c r="V302" s="12" t="str">
        <f>IF(Data!G302="","",IF(Data!G302=Data_Val!$C$2,IF(Data!P302="",0,1),0))</f>
        <v/>
      </c>
      <c r="W302" s="12" t="str">
        <f>IF(Data!P302="","",IF(ISNUMBER(MATCH(Data!Q302,Data_Val!$A$2:$A$3,0)),0,1))</f>
        <v/>
      </c>
      <c r="X302" s="26" t="str">
        <f ca="1">IF(Data!P302="","",IF(ISNUMBER(Data!R302),IF(AND(Data!R302&gt;(TODAY()-(Data_Val!$L$3*365.25)),Data!R302&lt;=(TODAY()-(Data_Val!$L$2*365.25))),0,1),1))</f>
        <v/>
      </c>
      <c r="Y302" s="13" t="str">
        <f>IF(Data!$G302="","",IF(Data!$G302=Data_Val!$C$2,IF(Data!S302="",0,1),0))</f>
        <v/>
      </c>
      <c r="Z302" s="13" t="str">
        <f>IF(Data!S302="","",IF(ISNUMBER(MATCH(Data!T302,Data_Val!$A$2:$A$3,0)),0,1))</f>
        <v/>
      </c>
      <c r="AA302" s="28" t="str">
        <f ca="1">IF(Data!S302="","",IF(ISNUMBER(Data!U302),IF(AND(Data!U302&gt;(TODAY()-(Data_Val!$L$3*365.25)),Data!U302&lt;=(TODAY()-(Data_Val!$L$2*365.25))),0,1),1))</f>
        <v/>
      </c>
      <c r="AB302" s="11"/>
      <c r="AC302" s="11" t="e">
        <f>IF(Data!#REF!="","",IF(ISNUMBER(MATCH(Data!#REF!,Data_Val!$A$2:$A$3,0)),0,1))</f>
        <v>#REF!</v>
      </c>
      <c r="AD302" s="11" t="e">
        <f ca="1">IF(Data!#REF!="","",IF(ISNUMBER(Data!#REF!),IF(AND(Data!#REF!&gt;(TODAY()-(Data_Val!$L$3*365.25)),Data!#REF!&lt;=(TODAY()-(Data_Val!$L$2*365.25))),0,1),1))</f>
        <v>#REF!</v>
      </c>
      <c r="AE302" s="11" t="e">
        <f>IF(Data!#REF!="","",IF(Data!$G302="",1,IF(ISNUMBER(MATCH(Data!#REF!,Data_Val!$D$2:$D$10,0)),0,1)))</f>
        <v>#REF!</v>
      </c>
      <c r="AF302" s="12"/>
      <c r="AG302" s="12" t="e">
        <f>IF(Data!#REF!="","",IF(ISNUMBER(MATCH(Data!#REF!,Data_Val!$A$2:$A$3,0)),0,1))</f>
        <v>#REF!</v>
      </c>
      <c r="AH302" s="26" t="e">
        <f ca="1">IF(Data!#REF!="","",IF(ISNUMBER(Data!#REF!),IF(AND(Data!#REF!&gt;(TODAY()-(Data_Val!$L$3*365.25)),Data!#REF!&lt;=(TODAY()-(Data_Val!$L$2*365.25))),0,1),1))</f>
        <v>#REF!</v>
      </c>
      <c r="AI302" s="12" t="e">
        <f>IF(Data!#REF!="","",IF(Data!$G302="",1,IF(ISNUMBER(MATCH(Data!#REF!,Data_Val!$D$2:$D$10,0)),0,1)))</f>
        <v>#REF!</v>
      </c>
      <c r="AJ302" s="17"/>
      <c r="AK302" s="17" t="e">
        <f>IF(Data!#REF!="","",IF(ISNUMBER(MATCH(Data!#REF!,Data_Val!$A$2:$A$3,0)),0,1))</f>
        <v>#REF!</v>
      </c>
      <c r="AL302" s="25" t="e">
        <f ca="1">IF(Data!#REF!="","",IF(ISNUMBER(Data!#REF!),IF(AND(Data!#REF!&gt;(TODAY()-(Data_Val!$L$3*365.25)),Data!#REF!&lt;=(TODAY()-(Data_Val!$L$2*365.25))),0,1),1))</f>
        <v>#REF!</v>
      </c>
      <c r="AM302" s="17" t="e">
        <f>IF(Data!#REF!="","",IF(Data!$G302="",1,IF(ISNUMBER(MATCH(Data!#REF!,Data_Val!$D$2:$D$10,0)),0,1)))</f>
        <v>#REF!</v>
      </c>
      <c r="AN302" s="13"/>
      <c r="AO302" s="28" t="e">
        <f ca="1">IF(Data!#REF!="","",IF(ISNUMBER(Data!#REF!),IF(AND(Data!#REF!&gt;(TODAY()-(Data_Val!$I$3*365.25)),Data!#REF!&lt;=(TODAY()-(Data_Val!$I$2*365.25))),0,1),1))</f>
        <v>#REF!</v>
      </c>
      <c r="AP302" s="13" t="e">
        <f>IF(Data!#REF!="","",IF(Data!$G302="",1,IF(ISNUMBER(MATCH(Data!#REF!,Data_Val!$D$2:$D$10,0)),0,1)))</f>
        <v>#REF!</v>
      </c>
      <c r="AQ302" s="17"/>
      <c r="AR302" s="30" t="e">
        <f ca="1">IF(Data!#REF!="","",IF(ISNUMBER(Data!#REF!),IF(AND(Data!#REF!&gt;(TODAY()-(Data_Val!$I$3*365.25)),Data!#REF!&lt;=(TODAY()-(Data_Val!$I$2*365.25))),0,1),1))</f>
        <v>#REF!</v>
      </c>
      <c r="AS302" s="31" t="e">
        <f>IF(Data!#REF!="","",IF(Data!$G302="",1,IF(ISNUMBER(MATCH(Data!#REF!,Data_Val!$D$2:$D$10,0)),0,1)))</f>
        <v>#REF!</v>
      </c>
      <c r="AT302" s="11"/>
      <c r="AU302" s="11" t="e">
        <f ca="1">IF(Data!#REF!="","",IF(ISNUMBER(Data!#REF!),IF(AND(Data!#REF!&gt;(TODAY()-(Data_Val!$I$3*365.25)),Data!#REF!&lt;=(TODAY()-(Data_Val!$I$2*365.25))),0,1),1))</f>
        <v>#REF!</v>
      </c>
      <c r="AV302" s="11" t="e">
        <f>IF(Data!#REF!="","",IF(Data!$G302="",1,IF(ISNUMBER(MATCH(Data!#REF!,Data_Val!$D$2:$D$10,0)),0,1)))</f>
        <v>#REF!</v>
      </c>
      <c r="AW302" s="12"/>
      <c r="AX302" s="26" t="e">
        <f ca="1">IF(Data!#REF!="","",IF(ISNUMBER(Data!#REF!),IF(AND(Data!#REF!&gt;(TODAY()-(Data_Val!$I$3*365.25)),Data!#REF!&lt;=(TODAY()-(Data_Val!$I$2*365.25))),0,1),1))</f>
        <v>#REF!</v>
      </c>
      <c r="AY302" s="12" t="e">
        <f>IF(Data!#REF!="","",IF(Data!$G302="",1,IF(ISNUMBER(MATCH(Data!#REF!,Data_Val!$D$2:$D$10,0)),0,1)))</f>
        <v>#REF!</v>
      </c>
      <c r="AZ302" s="11"/>
      <c r="BA302" s="19" t="e">
        <f ca="1">IF(Data!#REF!="","",IF(ISNUMBER(Data!#REF!),IF(AND(Data!#REF!&gt;(TODAY()-(Data_Val!$M$3*365.25)),Data!#REF!&lt;=(TODAY()-(Data_Val!$M$2*365.25))),0,1),1))</f>
        <v>#REF!</v>
      </c>
      <c r="BB302" s="11" t="e">
        <f>IF(Data!#REF!="","",IF(Data!$G302="",1,IF(ISNUMBER(MATCH(Data!#REF!,Data_Val!$D$2:$D$10,0)),0,1)))</f>
        <v>#REF!</v>
      </c>
      <c r="BC302" s="12"/>
      <c r="BD302" s="20" t="e">
        <f ca="1">IF(Data!#REF!="","",IF(ISNUMBER(Data!#REF!),IF(AND(Data!#REF!&gt;(TODAY()-(Data_Val!$M$3*365.25)),Data!#REF!&lt;=(TODAY()-(Data_Val!$M$2*365.25))),0,1),1))</f>
        <v>#REF!</v>
      </c>
      <c r="BE302" s="12" t="e">
        <f>IF(Data!#REF!="","",IF(Data!$G302="",1,IF(ISNUMBER(MATCH(Data!#REF!,Data_Val!$D$2:$D$10,0)),0,1)))</f>
        <v>#REF!</v>
      </c>
      <c r="BF302" s="17"/>
      <c r="BG302" s="18" t="e">
        <f ca="1">IF(Data!#REF!="","",IF(ISNUMBER(Data!#REF!),IF(AND(Data!#REF!&gt;(TODAY()-(Data_Val!$M$3*365.25)),Data!#REF!&lt;=(TODAY()-(Data_Val!$M$2*365.25))),0,1),1))</f>
        <v>#REF!</v>
      </c>
      <c r="BH302" s="29" t="e">
        <f>IF(Data!#REF!="","",IF(Data!$G302="",1,IF(ISNUMBER(MATCH(Data!#REF!,Data_Val!$D$2:$D$10,0)),0,1)))</f>
        <v>#REF!</v>
      </c>
      <c r="BI302" s="13"/>
      <c r="BJ302" s="21" t="e">
        <f ca="1">IF(Data!#REF!="","",IF(ISNUMBER(Data!#REF!),IF(AND(Data!#REF!&gt;(TODAY()-(Data_Val!$M$3*365.25)),Data!#REF!&lt;=(TODAY()-(Data_Val!$M$2*365.25))),0,1),1))</f>
        <v>#REF!</v>
      </c>
      <c r="BK302" s="13" t="e">
        <f>IF(Data!#REF!="","",IF(Data!$G302="",1,IF(ISNUMBER(MATCH(Data!#REF!,Data_Val!$D$2:$D$10,0)),0,1)))</f>
        <v>#REF!</v>
      </c>
    </row>
    <row r="303" spans="1:63" x14ac:dyDescent="0.25">
      <c r="A303" s="9" t="str">
        <f>IF(Data!B303="","",IF(COUNTIFS(Data!A$1:'Data'!A303,Data!A303)&lt;=1,0,1))</f>
        <v/>
      </c>
      <c r="B303" s="9"/>
      <c r="C303" s="23" t="str">
        <f>IF(Data!C303="","",(IF(ISNUMBER(MATCH("*@*.?*",Data!C303,0)),0,1)+IF(COUNTIFS(Data!C$1:'Data'!C303,Data!C303)&gt;1,1,0)))</f>
        <v/>
      </c>
      <c r="D303" s="9" t="str">
        <f>IF(Data!B303="","",IF(ISNUMBER(Data!D303),IF(AND(Data!D303&gt;999999999,Data!D303&lt;=9999999999),IF(COUNTIFS(Data!D$1:'Data'!D303,Data!D303)&lt;=1,0,1),1),1))</f>
        <v/>
      </c>
      <c r="E303" s="9" t="str">
        <f>IF(Data!B303="","",IF(ISNUMBER(MATCH(Data!E303,Data_Val!$A$2:$A$3,0)),0,1))</f>
        <v/>
      </c>
      <c r="F303" s="9" t="str">
        <f ca="1">IF(Data!B303="","",IF(ISNUMBER(Data!F303),IF(AND(Data!F303&gt;(TODAY()-(Data_Val!$H$3*365.25)),Data!F303&lt;=(TODAY()-(Data_Val!$H$2*365.25))),0,1),1))</f>
        <v/>
      </c>
      <c r="G303" s="15" t="str">
        <f>IF(Data!B303="","",IF(AND(Data!G303="",Data!H303&lt;&gt;""),1,IF(Data!#REF!&lt;&gt;"",0,IF(ISNUMBER(MATCH(Data!G303,Data_Val!$C$2:$C$5,0)),0,1))))</f>
        <v/>
      </c>
      <c r="H303" s="15" t="str">
        <f>IF(Data!B303="","",IF(AND(Data!G303&lt;&gt;"",Data!H303=""),1,IF(Data!#REF!&lt;&gt;"",0,IF(Data!G303="",1,IF(ISNUMBER(MATCH(Data!H303,Data_Val!$D$2:$D$35,0)),0,1)))))</f>
        <v/>
      </c>
      <c r="I303" s="15" t="str">
        <f>IF(Data!B303="","",IF(Data!G303&lt;&gt;"",0,IF(ISNUMBER(MATCH(Data!#REF!,Data_Val!$E$2:$E$12,0)),0,1)))</f>
        <v/>
      </c>
      <c r="J303" s="16" t="e">
        <f>IF(OR(Data!B303="",Data!#REF!=""),"",IF(Data!#REF!="",1,0))</f>
        <v>#REF!</v>
      </c>
      <c r="K303" s="16" t="e">
        <f>IF(OR(Data!B303="",Data!#REF!=""),"",IF(Data!#REF!="",1,0))</f>
        <v>#REF!</v>
      </c>
      <c r="L303" s="16" t="e">
        <f>IF(OR(Data!B303="",Data!#REF!=""),"",IF(ISNUMBER(Data!#REF!),IF(AND(Data!#REF!&gt;Data_Val!$G$2,Data!#REF!&lt;=Data_Val!$G$3),0,1),1))</f>
        <v>#REF!</v>
      </c>
      <c r="M303" s="9" t="e">
        <f>IF(OR(Data!B303="",Data!#REF!=""),"",IF(ISNUMBER(MATCH(Data!#REF!,Data_Val!$F$1:$F$38,0)),0,1))</f>
        <v>#REF!</v>
      </c>
      <c r="N303" s="9" t="e">
        <f>IF(OR(Data!B303="",Data!#REF!=""),"",IF(Data!#REF!="",1,0))</f>
        <v>#REF!</v>
      </c>
      <c r="O303" s="17" t="e">
        <f>IF(Data!#REF!="","",IF(Data!#REF!="",1,0))</f>
        <v>#REF!</v>
      </c>
      <c r="P303" s="17" t="e">
        <f>IF(Data!#REF!="","",IF(ISNUMBER(MATCH(Data!#REF!,Data_Val!$A$2:$A$3,0)),0,1))</f>
        <v>#REF!</v>
      </c>
      <c r="Q303" s="25" t="e">
        <f ca="1">IF(Data!#REF!="","",IF(ISNUMBER(Data!#REF!),IF(AND(Data!#REF!&gt;(TODAY()-(Data_Val!$J$3*365.25)),Data!#REF!&lt;=(TODAY()-(Data_Val!$J$2*365.25))),0,1),1))</f>
        <v>#REF!</v>
      </c>
      <c r="R303" s="17" t="e">
        <f>IF(Data!#REF!="","",IF(ISNUMBER(MATCH(Data!#REF!,Data_Val!$B$2:$B$15,0)),0,1))</f>
        <v>#REF!</v>
      </c>
      <c r="S303" s="11" t="str">
        <f>IF(Data!G303="","",IF(Data!G303=Data_Val!$C$2,IF(Data!M303="",0,1),0))</f>
        <v/>
      </c>
      <c r="T303" s="11" t="str">
        <f>IF(Data!M303="","",IF(ISNUMBER(MATCH(Data!N303,Data_Val!$A$2:$A$3,0)),0,1))</f>
        <v/>
      </c>
      <c r="U303" s="11" t="str">
        <f ca="1">IF(Data!M303="","",IF(ISNUMBER(Data!O303),IF(AND(Data!O303&gt;(TODAY()-(Data_Val!$K$3*365.25)),Data!O303&lt;=(TODAY()-(Data_Val!$K$2*365.25))),0,1),1))</f>
        <v/>
      </c>
      <c r="V303" s="12" t="str">
        <f>IF(Data!G303="","",IF(Data!G303=Data_Val!$C$2,IF(Data!P303="",0,1),0))</f>
        <v/>
      </c>
      <c r="W303" s="12" t="str">
        <f>IF(Data!P303="","",IF(ISNUMBER(MATCH(Data!Q303,Data_Val!$A$2:$A$3,0)),0,1))</f>
        <v/>
      </c>
      <c r="X303" s="26" t="str">
        <f ca="1">IF(Data!P303="","",IF(ISNUMBER(Data!R303),IF(AND(Data!R303&gt;(TODAY()-(Data_Val!$L$3*365.25)),Data!R303&lt;=(TODAY()-(Data_Val!$L$2*365.25))),0,1),1))</f>
        <v/>
      </c>
      <c r="Y303" s="13" t="str">
        <f>IF(Data!$G303="","",IF(Data!$G303=Data_Val!$C$2,IF(Data!S303="",0,1),0))</f>
        <v/>
      </c>
      <c r="Z303" s="13" t="str">
        <f>IF(Data!S303="","",IF(ISNUMBER(MATCH(Data!T303,Data_Val!$A$2:$A$3,0)),0,1))</f>
        <v/>
      </c>
      <c r="AA303" s="28" t="str">
        <f ca="1">IF(Data!S303="","",IF(ISNUMBER(Data!U303),IF(AND(Data!U303&gt;(TODAY()-(Data_Val!$L$3*365.25)),Data!U303&lt;=(TODAY()-(Data_Val!$L$2*365.25))),0,1),1))</f>
        <v/>
      </c>
      <c r="AB303" s="11"/>
      <c r="AC303" s="11" t="e">
        <f>IF(Data!#REF!="","",IF(ISNUMBER(MATCH(Data!#REF!,Data_Val!$A$2:$A$3,0)),0,1))</f>
        <v>#REF!</v>
      </c>
      <c r="AD303" s="11" t="e">
        <f ca="1">IF(Data!#REF!="","",IF(ISNUMBER(Data!#REF!),IF(AND(Data!#REF!&gt;(TODAY()-(Data_Val!$L$3*365.25)),Data!#REF!&lt;=(TODAY()-(Data_Val!$L$2*365.25))),0,1),1))</f>
        <v>#REF!</v>
      </c>
      <c r="AE303" s="11" t="e">
        <f>IF(Data!#REF!="","",IF(Data!$G303="",1,IF(ISNUMBER(MATCH(Data!#REF!,Data_Val!$D$2:$D$10,0)),0,1)))</f>
        <v>#REF!</v>
      </c>
      <c r="AF303" s="12"/>
      <c r="AG303" s="12" t="e">
        <f>IF(Data!#REF!="","",IF(ISNUMBER(MATCH(Data!#REF!,Data_Val!$A$2:$A$3,0)),0,1))</f>
        <v>#REF!</v>
      </c>
      <c r="AH303" s="26" t="e">
        <f ca="1">IF(Data!#REF!="","",IF(ISNUMBER(Data!#REF!),IF(AND(Data!#REF!&gt;(TODAY()-(Data_Val!$L$3*365.25)),Data!#REF!&lt;=(TODAY()-(Data_Val!$L$2*365.25))),0,1),1))</f>
        <v>#REF!</v>
      </c>
      <c r="AI303" s="12" t="e">
        <f>IF(Data!#REF!="","",IF(Data!$G303="",1,IF(ISNUMBER(MATCH(Data!#REF!,Data_Val!$D$2:$D$10,0)),0,1)))</f>
        <v>#REF!</v>
      </c>
      <c r="AJ303" s="17"/>
      <c r="AK303" s="17" t="e">
        <f>IF(Data!#REF!="","",IF(ISNUMBER(MATCH(Data!#REF!,Data_Val!$A$2:$A$3,0)),0,1))</f>
        <v>#REF!</v>
      </c>
      <c r="AL303" s="25" t="e">
        <f ca="1">IF(Data!#REF!="","",IF(ISNUMBER(Data!#REF!),IF(AND(Data!#REF!&gt;(TODAY()-(Data_Val!$L$3*365.25)),Data!#REF!&lt;=(TODAY()-(Data_Val!$L$2*365.25))),0,1),1))</f>
        <v>#REF!</v>
      </c>
      <c r="AM303" s="17" t="e">
        <f>IF(Data!#REF!="","",IF(Data!$G303="",1,IF(ISNUMBER(MATCH(Data!#REF!,Data_Val!$D$2:$D$10,0)),0,1)))</f>
        <v>#REF!</v>
      </c>
      <c r="AN303" s="13"/>
      <c r="AO303" s="28" t="e">
        <f ca="1">IF(Data!#REF!="","",IF(ISNUMBER(Data!#REF!),IF(AND(Data!#REF!&gt;(TODAY()-(Data_Val!$I$3*365.25)),Data!#REF!&lt;=(TODAY()-(Data_Val!$I$2*365.25))),0,1),1))</f>
        <v>#REF!</v>
      </c>
      <c r="AP303" s="13" t="e">
        <f>IF(Data!#REF!="","",IF(Data!$G303="",1,IF(ISNUMBER(MATCH(Data!#REF!,Data_Val!$D$2:$D$10,0)),0,1)))</f>
        <v>#REF!</v>
      </c>
      <c r="AQ303" s="17"/>
      <c r="AR303" s="30" t="e">
        <f ca="1">IF(Data!#REF!="","",IF(ISNUMBER(Data!#REF!),IF(AND(Data!#REF!&gt;(TODAY()-(Data_Val!$I$3*365.25)),Data!#REF!&lt;=(TODAY()-(Data_Val!$I$2*365.25))),0,1),1))</f>
        <v>#REF!</v>
      </c>
      <c r="AS303" s="31" t="e">
        <f>IF(Data!#REF!="","",IF(Data!$G303="",1,IF(ISNUMBER(MATCH(Data!#REF!,Data_Val!$D$2:$D$10,0)),0,1)))</f>
        <v>#REF!</v>
      </c>
      <c r="AT303" s="11"/>
      <c r="AU303" s="11" t="e">
        <f ca="1">IF(Data!#REF!="","",IF(ISNUMBER(Data!#REF!),IF(AND(Data!#REF!&gt;(TODAY()-(Data_Val!$I$3*365.25)),Data!#REF!&lt;=(TODAY()-(Data_Val!$I$2*365.25))),0,1),1))</f>
        <v>#REF!</v>
      </c>
      <c r="AV303" s="11" t="e">
        <f>IF(Data!#REF!="","",IF(Data!$G303="",1,IF(ISNUMBER(MATCH(Data!#REF!,Data_Val!$D$2:$D$10,0)),0,1)))</f>
        <v>#REF!</v>
      </c>
      <c r="AW303" s="12"/>
      <c r="AX303" s="26" t="e">
        <f ca="1">IF(Data!#REF!="","",IF(ISNUMBER(Data!#REF!),IF(AND(Data!#REF!&gt;(TODAY()-(Data_Val!$I$3*365.25)),Data!#REF!&lt;=(TODAY()-(Data_Val!$I$2*365.25))),0,1),1))</f>
        <v>#REF!</v>
      </c>
      <c r="AY303" s="12" t="e">
        <f>IF(Data!#REF!="","",IF(Data!$G303="",1,IF(ISNUMBER(MATCH(Data!#REF!,Data_Val!$D$2:$D$10,0)),0,1)))</f>
        <v>#REF!</v>
      </c>
      <c r="AZ303" s="11"/>
      <c r="BA303" s="19" t="e">
        <f ca="1">IF(Data!#REF!="","",IF(ISNUMBER(Data!#REF!),IF(AND(Data!#REF!&gt;(TODAY()-(Data_Val!$M$3*365.25)),Data!#REF!&lt;=(TODAY()-(Data_Val!$M$2*365.25))),0,1),1))</f>
        <v>#REF!</v>
      </c>
      <c r="BB303" s="11" t="e">
        <f>IF(Data!#REF!="","",IF(Data!$G303="",1,IF(ISNUMBER(MATCH(Data!#REF!,Data_Val!$D$2:$D$10,0)),0,1)))</f>
        <v>#REF!</v>
      </c>
      <c r="BC303" s="12"/>
      <c r="BD303" s="20" t="e">
        <f ca="1">IF(Data!#REF!="","",IF(ISNUMBER(Data!#REF!),IF(AND(Data!#REF!&gt;(TODAY()-(Data_Val!$M$3*365.25)),Data!#REF!&lt;=(TODAY()-(Data_Val!$M$2*365.25))),0,1),1))</f>
        <v>#REF!</v>
      </c>
      <c r="BE303" s="12" t="e">
        <f>IF(Data!#REF!="","",IF(Data!$G303="",1,IF(ISNUMBER(MATCH(Data!#REF!,Data_Val!$D$2:$D$10,0)),0,1)))</f>
        <v>#REF!</v>
      </c>
      <c r="BF303" s="17"/>
      <c r="BG303" s="18" t="e">
        <f ca="1">IF(Data!#REF!="","",IF(ISNUMBER(Data!#REF!),IF(AND(Data!#REF!&gt;(TODAY()-(Data_Val!$M$3*365.25)),Data!#REF!&lt;=(TODAY()-(Data_Val!$M$2*365.25))),0,1),1))</f>
        <v>#REF!</v>
      </c>
      <c r="BH303" s="29" t="e">
        <f>IF(Data!#REF!="","",IF(Data!$G303="",1,IF(ISNUMBER(MATCH(Data!#REF!,Data_Val!$D$2:$D$10,0)),0,1)))</f>
        <v>#REF!</v>
      </c>
      <c r="BI303" s="13"/>
      <c r="BJ303" s="21" t="e">
        <f ca="1">IF(Data!#REF!="","",IF(ISNUMBER(Data!#REF!),IF(AND(Data!#REF!&gt;(TODAY()-(Data_Val!$M$3*365.25)),Data!#REF!&lt;=(TODAY()-(Data_Val!$M$2*365.25))),0,1),1))</f>
        <v>#REF!</v>
      </c>
      <c r="BK303" s="13" t="e">
        <f>IF(Data!#REF!="","",IF(Data!$G303="",1,IF(ISNUMBER(MATCH(Data!#REF!,Data_Val!$D$2:$D$10,0)),0,1)))</f>
        <v>#REF!</v>
      </c>
    </row>
    <row r="304" spans="1:63" x14ac:dyDescent="0.25">
      <c r="A304" s="9" t="str">
        <f>IF(Data!B304="","",IF(COUNTIFS(Data!A$1:'Data'!A304,Data!A304)&lt;=1,0,1))</f>
        <v/>
      </c>
      <c r="B304" s="9"/>
      <c r="C304" s="23" t="str">
        <f>IF(Data!C304="","",(IF(ISNUMBER(MATCH("*@*.?*",Data!C304,0)),0,1)+IF(COUNTIFS(Data!C$1:'Data'!C304,Data!C304)&gt;1,1,0)))</f>
        <v/>
      </c>
      <c r="D304" s="9" t="str">
        <f>IF(Data!B304="","",IF(ISNUMBER(Data!D304),IF(AND(Data!D304&gt;999999999,Data!D304&lt;=9999999999),IF(COUNTIFS(Data!D$1:'Data'!D304,Data!D304)&lt;=1,0,1),1),1))</f>
        <v/>
      </c>
      <c r="E304" s="9" t="str">
        <f>IF(Data!B304="","",IF(ISNUMBER(MATCH(Data!E304,Data_Val!$A$2:$A$3,0)),0,1))</f>
        <v/>
      </c>
      <c r="F304" s="9" t="str">
        <f ca="1">IF(Data!B304="","",IF(ISNUMBER(Data!F304),IF(AND(Data!F304&gt;(TODAY()-(Data_Val!$H$3*365.25)),Data!F304&lt;=(TODAY()-(Data_Val!$H$2*365.25))),0,1),1))</f>
        <v/>
      </c>
      <c r="G304" s="15" t="str">
        <f>IF(Data!B304="","",IF(AND(Data!G304="",Data!H304&lt;&gt;""),1,IF(Data!#REF!&lt;&gt;"",0,IF(ISNUMBER(MATCH(Data!G304,Data_Val!$C$2:$C$5,0)),0,1))))</f>
        <v/>
      </c>
      <c r="H304" s="15" t="str">
        <f>IF(Data!B304="","",IF(AND(Data!G304&lt;&gt;"",Data!H304=""),1,IF(Data!#REF!&lt;&gt;"",0,IF(Data!G304="",1,IF(ISNUMBER(MATCH(Data!H304,Data_Val!$D$2:$D$35,0)),0,1)))))</f>
        <v/>
      </c>
      <c r="I304" s="15" t="str">
        <f>IF(Data!B304="","",IF(Data!G304&lt;&gt;"",0,IF(ISNUMBER(MATCH(Data!#REF!,Data_Val!$E$2:$E$12,0)),0,1)))</f>
        <v/>
      </c>
      <c r="J304" s="16" t="e">
        <f>IF(OR(Data!B304="",Data!#REF!=""),"",IF(Data!#REF!="",1,0))</f>
        <v>#REF!</v>
      </c>
      <c r="K304" s="16" t="e">
        <f>IF(OR(Data!B304="",Data!#REF!=""),"",IF(Data!#REF!="",1,0))</f>
        <v>#REF!</v>
      </c>
      <c r="L304" s="16" t="e">
        <f>IF(OR(Data!B304="",Data!#REF!=""),"",IF(ISNUMBER(Data!#REF!),IF(AND(Data!#REF!&gt;Data_Val!$G$2,Data!#REF!&lt;=Data_Val!$G$3),0,1),1))</f>
        <v>#REF!</v>
      </c>
      <c r="M304" s="9" t="e">
        <f>IF(OR(Data!B304="",Data!#REF!=""),"",IF(ISNUMBER(MATCH(Data!#REF!,Data_Val!$F$1:$F$38,0)),0,1))</f>
        <v>#REF!</v>
      </c>
      <c r="N304" s="9" t="e">
        <f>IF(OR(Data!B304="",Data!#REF!=""),"",IF(Data!#REF!="",1,0))</f>
        <v>#REF!</v>
      </c>
      <c r="O304" s="17" t="e">
        <f>IF(Data!#REF!="","",IF(Data!#REF!="",1,0))</f>
        <v>#REF!</v>
      </c>
      <c r="P304" s="17" t="e">
        <f>IF(Data!#REF!="","",IF(ISNUMBER(MATCH(Data!#REF!,Data_Val!$A$2:$A$3,0)),0,1))</f>
        <v>#REF!</v>
      </c>
      <c r="Q304" s="25" t="e">
        <f ca="1">IF(Data!#REF!="","",IF(ISNUMBER(Data!#REF!),IF(AND(Data!#REF!&gt;(TODAY()-(Data_Val!$J$3*365.25)),Data!#REF!&lt;=(TODAY()-(Data_Val!$J$2*365.25))),0,1),1))</f>
        <v>#REF!</v>
      </c>
      <c r="R304" s="17" t="e">
        <f>IF(Data!#REF!="","",IF(ISNUMBER(MATCH(Data!#REF!,Data_Val!$B$2:$B$15,0)),0,1))</f>
        <v>#REF!</v>
      </c>
      <c r="S304" s="11" t="str">
        <f>IF(Data!G304="","",IF(Data!G304=Data_Val!$C$2,IF(Data!M304="",0,1),0))</f>
        <v/>
      </c>
      <c r="T304" s="11" t="str">
        <f>IF(Data!M304="","",IF(ISNUMBER(MATCH(Data!N304,Data_Val!$A$2:$A$3,0)),0,1))</f>
        <v/>
      </c>
      <c r="U304" s="11" t="str">
        <f ca="1">IF(Data!M304="","",IF(ISNUMBER(Data!O304),IF(AND(Data!O304&gt;(TODAY()-(Data_Val!$K$3*365.25)),Data!O304&lt;=(TODAY()-(Data_Val!$K$2*365.25))),0,1),1))</f>
        <v/>
      </c>
      <c r="V304" s="12" t="str">
        <f>IF(Data!G304="","",IF(Data!G304=Data_Val!$C$2,IF(Data!P304="",0,1),0))</f>
        <v/>
      </c>
      <c r="W304" s="12" t="str">
        <f>IF(Data!P304="","",IF(ISNUMBER(MATCH(Data!Q304,Data_Val!$A$2:$A$3,0)),0,1))</f>
        <v/>
      </c>
      <c r="X304" s="26" t="str">
        <f ca="1">IF(Data!P304="","",IF(ISNUMBER(Data!R304),IF(AND(Data!R304&gt;(TODAY()-(Data_Val!$L$3*365.25)),Data!R304&lt;=(TODAY()-(Data_Val!$L$2*365.25))),0,1),1))</f>
        <v/>
      </c>
      <c r="Y304" s="13" t="str">
        <f>IF(Data!$G304="","",IF(Data!$G304=Data_Val!$C$2,IF(Data!S304="",0,1),0))</f>
        <v/>
      </c>
      <c r="Z304" s="13" t="str">
        <f>IF(Data!S304="","",IF(ISNUMBER(MATCH(Data!T304,Data_Val!$A$2:$A$3,0)),0,1))</f>
        <v/>
      </c>
      <c r="AA304" s="28" t="str">
        <f ca="1">IF(Data!S304="","",IF(ISNUMBER(Data!U304),IF(AND(Data!U304&gt;(TODAY()-(Data_Val!$L$3*365.25)),Data!U304&lt;=(TODAY()-(Data_Val!$L$2*365.25))),0,1),1))</f>
        <v/>
      </c>
      <c r="AB304" s="11"/>
      <c r="AC304" s="11" t="e">
        <f>IF(Data!#REF!="","",IF(ISNUMBER(MATCH(Data!#REF!,Data_Val!$A$2:$A$3,0)),0,1))</f>
        <v>#REF!</v>
      </c>
      <c r="AD304" s="11" t="e">
        <f ca="1">IF(Data!#REF!="","",IF(ISNUMBER(Data!#REF!),IF(AND(Data!#REF!&gt;(TODAY()-(Data_Val!$L$3*365.25)),Data!#REF!&lt;=(TODAY()-(Data_Val!$L$2*365.25))),0,1),1))</f>
        <v>#REF!</v>
      </c>
      <c r="AE304" s="11" t="e">
        <f>IF(Data!#REF!="","",IF(Data!$G304="",1,IF(ISNUMBER(MATCH(Data!#REF!,Data_Val!$D$2:$D$10,0)),0,1)))</f>
        <v>#REF!</v>
      </c>
      <c r="AF304" s="12"/>
      <c r="AG304" s="12" t="e">
        <f>IF(Data!#REF!="","",IF(ISNUMBER(MATCH(Data!#REF!,Data_Val!$A$2:$A$3,0)),0,1))</f>
        <v>#REF!</v>
      </c>
      <c r="AH304" s="26" t="e">
        <f ca="1">IF(Data!#REF!="","",IF(ISNUMBER(Data!#REF!),IF(AND(Data!#REF!&gt;(TODAY()-(Data_Val!$L$3*365.25)),Data!#REF!&lt;=(TODAY()-(Data_Val!$L$2*365.25))),0,1),1))</f>
        <v>#REF!</v>
      </c>
      <c r="AI304" s="12" t="e">
        <f>IF(Data!#REF!="","",IF(Data!$G304="",1,IF(ISNUMBER(MATCH(Data!#REF!,Data_Val!$D$2:$D$10,0)),0,1)))</f>
        <v>#REF!</v>
      </c>
      <c r="AJ304" s="17"/>
      <c r="AK304" s="17" t="e">
        <f>IF(Data!#REF!="","",IF(ISNUMBER(MATCH(Data!#REF!,Data_Val!$A$2:$A$3,0)),0,1))</f>
        <v>#REF!</v>
      </c>
      <c r="AL304" s="25" t="e">
        <f ca="1">IF(Data!#REF!="","",IF(ISNUMBER(Data!#REF!),IF(AND(Data!#REF!&gt;(TODAY()-(Data_Val!$L$3*365.25)),Data!#REF!&lt;=(TODAY()-(Data_Val!$L$2*365.25))),0,1),1))</f>
        <v>#REF!</v>
      </c>
      <c r="AM304" s="17" t="e">
        <f>IF(Data!#REF!="","",IF(Data!$G304="",1,IF(ISNUMBER(MATCH(Data!#REF!,Data_Val!$D$2:$D$10,0)),0,1)))</f>
        <v>#REF!</v>
      </c>
      <c r="AN304" s="13"/>
      <c r="AO304" s="28" t="e">
        <f ca="1">IF(Data!#REF!="","",IF(ISNUMBER(Data!#REF!),IF(AND(Data!#REF!&gt;(TODAY()-(Data_Val!$I$3*365.25)),Data!#REF!&lt;=(TODAY()-(Data_Val!$I$2*365.25))),0,1),1))</f>
        <v>#REF!</v>
      </c>
      <c r="AP304" s="13" t="e">
        <f>IF(Data!#REF!="","",IF(Data!$G304="",1,IF(ISNUMBER(MATCH(Data!#REF!,Data_Val!$D$2:$D$10,0)),0,1)))</f>
        <v>#REF!</v>
      </c>
      <c r="AQ304" s="17"/>
      <c r="AR304" s="30" t="e">
        <f ca="1">IF(Data!#REF!="","",IF(ISNUMBER(Data!#REF!),IF(AND(Data!#REF!&gt;(TODAY()-(Data_Val!$I$3*365.25)),Data!#REF!&lt;=(TODAY()-(Data_Val!$I$2*365.25))),0,1),1))</f>
        <v>#REF!</v>
      </c>
      <c r="AS304" s="31" t="e">
        <f>IF(Data!#REF!="","",IF(Data!$G304="",1,IF(ISNUMBER(MATCH(Data!#REF!,Data_Val!$D$2:$D$10,0)),0,1)))</f>
        <v>#REF!</v>
      </c>
      <c r="AT304" s="11"/>
      <c r="AU304" s="11" t="e">
        <f ca="1">IF(Data!#REF!="","",IF(ISNUMBER(Data!#REF!),IF(AND(Data!#REF!&gt;(TODAY()-(Data_Val!$I$3*365.25)),Data!#REF!&lt;=(TODAY()-(Data_Val!$I$2*365.25))),0,1),1))</f>
        <v>#REF!</v>
      </c>
      <c r="AV304" s="11" t="e">
        <f>IF(Data!#REF!="","",IF(Data!$G304="",1,IF(ISNUMBER(MATCH(Data!#REF!,Data_Val!$D$2:$D$10,0)),0,1)))</f>
        <v>#REF!</v>
      </c>
      <c r="AW304" s="12"/>
      <c r="AX304" s="26" t="e">
        <f ca="1">IF(Data!#REF!="","",IF(ISNUMBER(Data!#REF!),IF(AND(Data!#REF!&gt;(TODAY()-(Data_Val!$I$3*365.25)),Data!#REF!&lt;=(TODAY()-(Data_Val!$I$2*365.25))),0,1),1))</f>
        <v>#REF!</v>
      </c>
      <c r="AY304" s="12" t="e">
        <f>IF(Data!#REF!="","",IF(Data!$G304="",1,IF(ISNUMBER(MATCH(Data!#REF!,Data_Val!$D$2:$D$10,0)),0,1)))</f>
        <v>#REF!</v>
      </c>
      <c r="AZ304" s="11"/>
      <c r="BA304" s="19" t="e">
        <f ca="1">IF(Data!#REF!="","",IF(ISNUMBER(Data!#REF!),IF(AND(Data!#REF!&gt;(TODAY()-(Data_Val!$M$3*365.25)),Data!#REF!&lt;=(TODAY()-(Data_Val!$M$2*365.25))),0,1),1))</f>
        <v>#REF!</v>
      </c>
      <c r="BB304" s="11" t="e">
        <f>IF(Data!#REF!="","",IF(Data!$G304="",1,IF(ISNUMBER(MATCH(Data!#REF!,Data_Val!$D$2:$D$10,0)),0,1)))</f>
        <v>#REF!</v>
      </c>
      <c r="BC304" s="12"/>
      <c r="BD304" s="20" t="e">
        <f ca="1">IF(Data!#REF!="","",IF(ISNUMBER(Data!#REF!),IF(AND(Data!#REF!&gt;(TODAY()-(Data_Val!$M$3*365.25)),Data!#REF!&lt;=(TODAY()-(Data_Val!$M$2*365.25))),0,1),1))</f>
        <v>#REF!</v>
      </c>
      <c r="BE304" s="12" t="e">
        <f>IF(Data!#REF!="","",IF(Data!$G304="",1,IF(ISNUMBER(MATCH(Data!#REF!,Data_Val!$D$2:$D$10,0)),0,1)))</f>
        <v>#REF!</v>
      </c>
      <c r="BF304" s="17"/>
      <c r="BG304" s="18" t="e">
        <f ca="1">IF(Data!#REF!="","",IF(ISNUMBER(Data!#REF!),IF(AND(Data!#REF!&gt;(TODAY()-(Data_Val!$M$3*365.25)),Data!#REF!&lt;=(TODAY()-(Data_Val!$M$2*365.25))),0,1),1))</f>
        <v>#REF!</v>
      </c>
      <c r="BH304" s="29" t="e">
        <f>IF(Data!#REF!="","",IF(Data!$G304="",1,IF(ISNUMBER(MATCH(Data!#REF!,Data_Val!$D$2:$D$10,0)),0,1)))</f>
        <v>#REF!</v>
      </c>
      <c r="BI304" s="13"/>
      <c r="BJ304" s="21" t="e">
        <f ca="1">IF(Data!#REF!="","",IF(ISNUMBER(Data!#REF!),IF(AND(Data!#REF!&gt;(TODAY()-(Data_Val!$M$3*365.25)),Data!#REF!&lt;=(TODAY()-(Data_Val!$M$2*365.25))),0,1),1))</f>
        <v>#REF!</v>
      </c>
      <c r="BK304" s="13" t="e">
        <f>IF(Data!#REF!="","",IF(Data!$G304="",1,IF(ISNUMBER(MATCH(Data!#REF!,Data_Val!$D$2:$D$10,0)),0,1)))</f>
        <v>#REF!</v>
      </c>
    </row>
    <row r="305" spans="1:63" x14ac:dyDescent="0.25">
      <c r="A305" s="9" t="str">
        <f>IF(Data!B305="","",IF(COUNTIFS(Data!A$1:'Data'!A305,Data!A305)&lt;=1,0,1))</f>
        <v/>
      </c>
      <c r="B305" s="9"/>
      <c r="C305" s="23" t="str">
        <f>IF(Data!C305="","",(IF(ISNUMBER(MATCH("*@*.?*",Data!C305,0)),0,1)+IF(COUNTIFS(Data!C$1:'Data'!C305,Data!C305)&gt;1,1,0)))</f>
        <v/>
      </c>
      <c r="D305" s="9" t="str">
        <f>IF(Data!B305="","",IF(ISNUMBER(Data!D305),IF(AND(Data!D305&gt;999999999,Data!D305&lt;=9999999999),IF(COUNTIFS(Data!D$1:'Data'!D305,Data!D305)&lt;=1,0,1),1),1))</f>
        <v/>
      </c>
      <c r="E305" s="9" t="str">
        <f>IF(Data!B305="","",IF(ISNUMBER(MATCH(Data!E305,Data_Val!$A$2:$A$3,0)),0,1))</f>
        <v/>
      </c>
      <c r="F305" s="9" t="str">
        <f ca="1">IF(Data!B305="","",IF(ISNUMBER(Data!F305),IF(AND(Data!F305&gt;(TODAY()-(Data_Val!$H$3*365.25)),Data!F305&lt;=(TODAY()-(Data_Val!$H$2*365.25))),0,1),1))</f>
        <v/>
      </c>
      <c r="G305" s="15" t="str">
        <f>IF(Data!B305="","",IF(AND(Data!G305="",Data!H305&lt;&gt;""),1,IF(Data!#REF!&lt;&gt;"",0,IF(ISNUMBER(MATCH(Data!G305,Data_Val!$C$2:$C$5,0)),0,1))))</f>
        <v/>
      </c>
      <c r="H305" s="15" t="str">
        <f>IF(Data!B305="","",IF(AND(Data!G305&lt;&gt;"",Data!H305=""),1,IF(Data!#REF!&lt;&gt;"",0,IF(Data!G305="",1,IF(ISNUMBER(MATCH(Data!H305,Data_Val!$D$2:$D$35,0)),0,1)))))</f>
        <v/>
      </c>
      <c r="I305" s="15" t="str">
        <f>IF(Data!B305="","",IF(Data!G305&lt;&gt;"",0,IF(ISNUMBER(MATCH(Data!#REF!,Data_Val!$E$2:$E$12,0)),0,1)))</f>
        <v/>
      </c>
      <c r="J305" s="16" t="e">
        <f>IF(OR(Data!B305="",Data!#REF!=""),"",IF(Data!#REF!="",1,0))</f>
        <v>#REF!</v>
      </c>
      <c r="K305" s="16" t="e">
        <f>IF(OR(Data!B305="",Data!#REF!=""),"",IF(Data!#REF!="",1,0))</f>
        <v>#REF!</v>
      </c>
      <c r="L305" s="16" t="e">
        <f>IF(OR(Data!B305="",Data!#REF!=""),"",IF(ISNUMBER(Data!#REF!),IF(AND(Data!#REF!&gt;Data_Val!$G$2,Data!#REF!&lt;=Data_Val!$G$3),0,1),1))</f>
        <v>#REF!</v>
      </c>
      <c r="M305" s="9" t="e">
        <f>IF(OR(Data!B305="",Data!#REF!=""),"",IF(ISNUMBER(MATCH(Data!#REF!,Data_Val!$F$1:$F$38,0)),0,1))</f>
        <v>#REF!</v>
      </c>
      <c r="N305" s="9" t="e">
        <f>IF(OR(Data!B305="",Data!#REF!=""),"",IF(Data!#REF!="",1,0))</f>
        <v>#REF!</v>
      </c>
      <c r="O305" s="17" t="e">
        <f>IF(Data!#REF!="","",IF(Data!#REF!="",1,0))</f>
        <v>#REF!</v>
      </c>
      <c r="P305" s="17" t="e">
        <f>IF(Data!#REF!="","",IF(ISNUMBER(MATCH(Data!#REF!,Data_Val!$A$2:$A$3,0)),0,1))</f>
        <v>#REF!</v>
      </c>
      <c r="Q305" s="25" t="e">
        <f ca="1">IF(Data!#REF!="","",IF(ISNUMBER(Data!#REF!),IF(AND(Data!#REF!&gt;(TODAY()-(Data_Val!$J$3*365.25)),Data!#REF!&lt;=(TODAY()-(Data_Val!$J$2*365.25))),0,1),1))</f>
        <v>#REF!</v>
      </c>
      <c r="R305" s="17" t="e">
        <f>IF(Data!#REF!="","",IF(ISNUMBER(MATCH(Data!#REF!,Data_Val!$B$2:$B$15,0)),0,1))</f>
        <v>#REF!</v>
      </c>
      <c r="S305" s="11" t="str">
        <f>IF(Data!G305="","",IF(Data!G305=Data_Val!$C$2,IF(Data!M305="",0,1),0))</f>
        <v/>
      </c>
      <c r="T305" s="11" t="str">
        <f>IF(Data!M305="","",IF(ISNUMBER(MATCH(Data!N305,Data_Val!$A$2:$A$3,0)),0,1))</f>
        <v/>
      </c>
      <c r="U305" s="11" t="str">
        <f ca="1">IF(Data!M305="","",IF(ISNUMBER(Data!O305),IF(AND(Data!O305&gt;(TODAY()-(Data_Val!$K$3*365.25)),Data!O305&lt;=(TODAY()-(Data_Val!$K$2*365.25))),0,1),1))</f>
        <v/>
      </c>
      <c r="V305" s="12" t="str">
        <f>IF(Data!G305="","",IF(Data!G305=Data_Val!$C$2,IF(Data!P305="",0,1),0))</f>
        <v/>
      </c>
      <c r="W305" s="12" t="str">
        <f>IF(Data!P305="","",IF(ISNUMBER(MATCH(Data!Q305,Data_Val!$A$2:$A$3,0)),0,1))</f>
        <v/>
      </c>
      <c r="X305" s="26" t="str">
        <f ca="1">IF(Data!P305="","",IF(ISNUMBER(Data!R305),IF(AND(Data!R305&gt;(TODAY()-(Data_Val!$L$3*365.25)),Data!R305&lt;=(TODAY()-(Data_Val!$L$2*365.25))),0,1),1))</f>
        <v/>
      </c>
      <c r="Y305" s="13" t="str">
        <f>IF(Data!$G305="","",IF(Data!$G305=Data_Val!$C$2,IF(Data!S305="",0,1),0))</f>
        <v/>
      </c>
      <c r="Z305" s="13" t="str">
        <f>IF(Data!S305="","",IF(ISNUMBER(MATCH(Data!T305,Data_Val!$A$2:$A$3,0)),0,1))</f>
        <v/>
      </c>
      <c r="AA305" s="28" t="str">
        <f ca="1">IF(Data!S305="","",IF(ISNUMBER(Data!U305),IF(AND(Data!U305&gt;(TODAY()-(Data_Val!$L$3*365.25)),Data!U305&lt;=(TODAY()-(Data_Val!$L$2*365.25))),0,1),1))</f>
        <v/>
      </c>
      <c r="AB305" s="11"/>
      <c r="AC305" s="11" t="e">
        <f>IF(Data!#REF!="","",IF(ISNUMBER(MATCH(Data!#REF!,Data_Val!$A$2:$A$3,0)),0,1))</f>
        <v>#REF!</v>
      </c>
      <c r="AD305" s="11" t="e">
        <f ca="1">IF(Data!#REF!="","",IF(ISNUMBER(Data!#REF!),IF(AND(Data!#REF!&gt;(TODAY()-(Data_Val!$L$3*365.25)),Data!#REF!&lt;=(TODAY()-(Data_Val!$L$2*365.25))),0,1),1))</f>
        <v>#REF!</v>
      </c>
      <c r="AE305" s="11" t="e">
        <f>IF(Data!#REF!="","",IF(Data!$G305="",1,IF(ISNUMBER(MATCH(Data!#REF!,Data_Val!$D$2:$D$10,0)),0,1)))</f>
        <v>#REF!</v>
      </c>
      <c r="AF305" s="12"/>
      <c r="AG305" s="12" t="e">
        <f>IF(Data!#REF!="","",IF(ISNUMBER(MATCH(Data!#REF!,Data_Val!$A$2:$A$3,0)),0,1))</f>
        <v>#REF!</v>
      </c>
      <c r="AH305" s="26" t="e">
        <f ca="1">IF(Data!#REF!="","",IF(ISNUMBER(Data!#REF!),IF(AND(Data!#REF!&gt;(TODAY()-(Data_Val!$L$3*365.25)),Data!#REF!&lt;=(TODAY()-(Data_Val!$L$2*365.25))),0,1),1))</f>
        <v>#REF!</v>
      </c>
      <c r="AI305" s="12" t="e">
        <f>IF(Data!#REF!="","",IF(Data!$G305="",1,IF(ISNUMBER(MATCH(Data!#REF!,Data_Val!$D$2:$D$10,0)),0,1)))</f>
        <v>#REF!</v>
      </c>
      <c r="AJ305" s="17"/>
      <c r="AK305" s="17" t="e">
        <f>IF(Data!#REF!="","",IF(ISNUMBER(MATCH(Data!#REF!,Data_Val!$A$2:$A$3,0)),0,1))</f>
        <v>#REF!</v>
      </c>
      <c r="AL305" s="25" t="e">
        <f ca="1">IF(Data!#REF!="","",IF(ISNUMBER(Data!#REF!),IF(AND(Data!#REF!&gt;(TODAY()-(Data_Val!$L$3*365.25)),Data!#REF!&lt;=(TODAY()-(Data_Val!$L$2*365.25))),0,1),1))</f>
        <v>#REF!</v>
      </c>
      <c r="AM305" s="17" t="e">
        <f>IF(Data!#REF!="","",IF(Data!$G305="",1,IF(ISNUMBER(MATCH(Data!#REF!,Data_Val!$D$2:$D$10,0)),0,1)))</f>
        <v>#REF!</v>
      </c>
      <c r="AN305" s="13"/>
      <c r="AO305" s="28" t="e">
        <f ca="1">IF(Data!#REF!="","",IF(ISNUMBER(Data!#REF!),IF(AND(Data!#REF!&gt;(TODAY()-(Data_Val!$I$3*365.25)),Data!#REF!&lt;=(TODAY()-(Data_Val!$I$2*365.25))),0,1),1))</f>
        <v>#REF!</v>
      </c>
      <c r="AP305" s="13" t="e">
        <f>IF(Data!#REF!="","",IF(Data!$G305="",1,IF(ISNUMBER(MATCH(Data!#REF!,Data_Val!$D$2:$D$10,0)),0,1)))</f>
        <v>#REF!</v>
      </c>
      <c r="AQ305" s="17"/>
      <c r="AR305" s="30" t="e">
        <f ca="1">IF(Data!#REF!="","",IF(ISNUMBER(Data!#REF!),IF(AND(Data!#REF!&gt;(TODAY()-(Data_Val!$I$3*365.25)),Data!#REF!&lt;=(TODAY()-(Data_Val!$I$2*365.25))),0,1),1))</f>
        <v>#REF!</v>
      </c>
      <c r="AS305" s="31" t="e">
        <f>IF(Data!#REF!="","",IF(Data!$G305="",1,IF(ISNUMBER(MATCH(Data!#REF!,Data_Val!$D$2:$D$10,0)),0,1)))</f>
        <v>#REF!</v>
      </c>
      <c r="AT305" s="11"/>
      <c r="AU305" s="11" t="e">
        <f ca="1">IF(Data!#REF!="","",IF(ISNUMBER(Data!#REF!),IF(AND(Data!#REF!&gt;(TODAY()-(Data_Val!$I$3*365.25)),Data!#REF!&lt;=(TODAY()-(Data_Val!$I$2*365.25))),0,1),1))</f>
        <v>#REF!</v>
      </c>
      <c r="AV305" s="11" t="e">
        <f>IF(Data!#REF!="","",IF(Data!$G305="",1,IF(ISNUMBER(MATCH(Data!#REF!,Data_Val!$D$2:$D$10,0)),0,1)))</f>
        <v>#REF!</v>
      </c>
      <c r="AW305" s="12"/>
      <c r="AX305" s="26" t="e">
        <f ca="1">IF(Data!#REF!="","",IF(ISNUMBER(Data!#REF!),IF(AND(Data!#REF!&gt;(TODAY()-(Data_Val!$I$3*365.25)),Data!#REF!&lt;=(TODAY()-(Data_Val!$I$2*365.25))),0,1),1))</f>
        <v>#REF!</v>
      </c>
      <c r="AY305" s="12" t="e">
        <f>IF(Data!#REF!="","",IF(Data!$G305="",1,IF(ISNUMBER(MATCH(Data!#REF!,Data_Val!$D$2:$D$10,0)),0,1)))</f>
        <v>#REF!</v>
      </c>
      <c r="AZ305" s="11"/>
      <c r="BA305" s="19" t="e">
        <f ca="1">IF(Data!#REF!="","",IF(ISNUMBER(Data!#REF!),IF(AND(Data!#REF!&gt;(TODAY()-(Data_Val!$M$3*365.25)),Data!#REF!&lt;=(TODAY()-(Data_Val!$M$2*365.25))),0,1),1))</f>
        <v>#REF!</v>
      </c>
      <c r="BB305" s="11" t="e">
        <f>IF(Data!#REF!="","",IF(Data!$G305="",1,IF(ISNUMBER(MATCH(Data!#REF!,Data_Val!$D$2:$D$10,0)),0,1)))</f>
        <v>#REF!</v>
      </c>
      <c r="BC305" s="12"/>
      <c r="BD305" s="20" t="e">
        <f ca="1">IF(Data!#REF!="","",IF(ISNUMBER(Data!#REF!),IF(AND(Data!#REF!&gt;(TODAY()-(Data_Val!$M$3*365.25)),Data!#REF!&lt;=(TODAY()-(Data_Val!$M$2*365.25))),0,1),1))</f>
        <v>#REF!</v>
      </c>
      <c r="BE305" s="12" t="e">
        <f>IF(Data!#REF!="","",IF(Data!$G305="",1,IF(ISNUMBER(MATCH(Data!#REF!,Data_Val!$D$2:$D$10,0)),0,1)))</f>
        <v>#REF!</v>
      </c>
      <c r="BF305" s="17"/>
      <c r="BG305" s="18" t="e">
        <f ca="1">IF(Data!#REF!="","",IF(ISNUMBER(Data!#REF!),IF(AND(Data!#REF!&gt;(TODAY()-(Data_Val!$M$3*365.25)),Data!#REF!&lt;=(TODAY()-(Data_Val!$M$2*365.25))),0,1),1))</f>
        <v>#REF!</v>
      </c>
      <c r="BH305" s="29" t="e">
        <f>IF(Data!#REF!="","",IF(Data!$G305="",1,IF(ISNUMBER(MATCH(Data!#REF!,Data_Val!$D$2:$D$10,0)),0,1)))</f>
        <v>#REF!</v>
      </c>
      <c r="BI305" s="13"/>
      <c r="BJ305" s="21" t="e">
        <f ca="1">IF(Data!#REF!="","",IF(ISNUMBER(Data!#REF!),IF(AND(Data!#REF!&gt;(TODAY()-(Data_Val!$M$3*365.25)),Data!#REF!&lt;=(TODAY()-(Data_Val!$M$2*365.25))),0,1),1))</f>
        <v>#REF!</v>
      </c>
      <c r="BK305" s="13" t="e">
        <f>IF(Data!#REF!="","",IF(Data!$G305="",1,IF(ISNUMBER(MATCH(Data!#REF!,Data_Val!$D$2:$D$10,0)),0,1)))</f>
        <v>#REF!</v>
      </c>
    </row>
    <row r="306" spans="1:63" x14ac:dyDescent="0.25">
      <c r="A306" s="9" t="str">
        <f>IF(Data!B306="","",IF(COUNTIFS(Data!A$1:'Data'!A306,Data!A306)&lt;=1,0,1))</f>
        <v/>
      </c>
      <c r="B306" s="9"/>
      <c r="C306" s="23" t="str">
        <f>IF(Data!C306="","",(IF(ISNUMBER(MATCH("*@*.?*",Data!C306,0)),0,1)+IF(COUNTIFS(Data!C$1:'Data'!C306,Data!C306)&gt;1,1,0)))</f>
        <v/>
      </c>
      <c r="D306" s="9" t="str">
        <f>IF(Data!B306="","",IF(ISNUMBER(Data!D306),IF(AND(Data!D306&gt;999999999,Data!D306&lt;=9999999999),IF(COUNTIFS(Data!D$1:'Data'!D306,Data!D306)&lt;=1,0,1),1),1))</f>
        <v/>
      </c>
      <c r="E306" s="9" t="str">
        <f>IF(Data!B306="","",IF(ISNUMBER(MATCH(Data!E306,Data_Val!$A$2:$A$3,0)),0,1))</f>
        <v/>
      </c>
      <c r="F306" s="9" t="str">
        <f ca="1">IF(Data!B306="","",IF(ISNUMBER(Data!F306),IF(AND(Data!F306&gt;(TODAY()-(Data_Val!$H$3*365.25)),Data!F306&lt;=(TODAY()-(Data_Val!$H$2*365.25))),0,1),1))</f>
        <v/>
      </c>
      <c r="G306" s="15" t="str">
        <f>IF(Data!B306="","",IF(AND(Data!G306="",Data!H306&lt;&gt;""),1,IF(Data!#REF!&lt;&gt;"",0,IF(ISNUMBER(MATCH(Data!G306,Data_Val!$C$2:$C$5,0)),0,1))))</f>
        <v/>
      </c>
      <c r="H306" s="15" t="str">
        <f>IF(Data!B306="","",IF(AND(Data!G306&lt;&gt;"",Data!H306=""),1,IF(Data!#REF!&lt;&gt;"",0,IF(Data!G306="",1,IF(ISNUMBER(MATCH(Data!H306,Data_Val!$D$2:$D$35,0)),0,1)))))</f>
        <v/>
      </c>
      <c r="I306" s="15" t="str">
        <f>IF(Data!B306="","",IF(Data!G306&lt;&gt;"",0,IF(ISNUMBER(MATCH(Data!#REF!,Data_Val!$E$2:$E$12,0)),0,1)))</f>
        <v/>
      </c>
      <c r="J306" s="16" t="e">
        <f>IF(OR(Data!B306="",Data!#REF!=""),"",IF(Data!#REF!="",1,0))</f>
        <v>#REF!</v>
      </c>
      <c r="K306" s="16" t="e">
        <f>IF(OR(Data!B306="",Data!#REF!=""),"",IF(Data!#REF!="",1,0))</f>
        <v>#REF!</v>
      </c>
      <c r="L306" s="16" t="e">
        <f>IF(OR(Data!B306="",Data!#REF!=""),"",IF(ISNUMBER(Data!#REF!),IF(AND(Data!#REF!&gt;Data_Val!$G$2,Data!#REF!&lt;=Data_Val!$G$3),0,1),1))</f>
        <v>#REF!</v>
      </c>
      <c r="M306" s="9" t="e">
        <f>IF(OR(Data!B306="",Data!#REF!=""),"",IF(ISNUMBER(MATCH(Data!#REF!,Data_Val!$F$1:$F$38,0)),0,1))</f>
        <v>#REF!</v>
      </c>
      <c r="N306" s="9" t="e">
        <f>IF(OR(Data!B306="",Data!#REF!=""),"",IF(Data!#REF!="",1,0))</f>
        <v>#REF!</v>
      </c>
      <c r="O306" s="17" t="e">
        <f>IF(Data!#REF!="","",IF(Data!#REF!="",1,0))</f>
        <v>#REF!</v>
      </c>
      <c r="P306" s="17" t="e">
        <f>IF(Data!#REF!="","",IF(ISNUMBER(MATCH(Data!#REF!,Data_Val!$A$2:$A$3,0)),0,1))</f>
        <v>#REF!</v>
      </c>
      <c r="Q306" s="25" t="e">
        <f ca="1">IF(Data!#REF!="","",IF(ISNUMBER(Data!#REF!),IF(AND(Data!#REF!&gt;(TODAY()-(Data_Val!$J$3*365.25)),Data!#REF!&lt;=(TODAY()-(Data_Val!$J$2*365.25))),0,1),1))</f>
        <v>#REF!</v>
      </c>
      <c r="R306" s="17" t="e">
        <f>IF(Data!#REF!="","",IF(ISNUMBER(MATCH(Data!#REF!,Data_Val!$B$2:$B$15,0)),0,1))</f>
        <v>#REF!</v>
      </c>
      <c r="S306" s="11" t="str">
        <f>IF(Data!G306="","",IF(Data!G306=Data_Val!$C$2,IF(Data!M306="",0,1),0))</f>
        <v/>
      </c>
      <c r="T306" s="11" t="str">
        <f>IF(Data!M306="","",IF(ISNUMBER(MATCH(Data!N306,Data_Val!$A$2:$A$3,0)),0,1))</f>
        <v/>
      </c>
      <c r="U306" s="11" t="str">
        <f ca="1">IF(Data!M306="","",IF(ISNUMBER(Data!O306),IF(AND(Data!O306&gt;(TODAY()-(Data_Val!$K$3*365.25)),Data!O306&lt;=(TODAY()-(Data_Val!$K$2*365.25))),0,1),1))</f>
        <v/>
      </c>
      <c r="V306" s="12" t="str">
        <f>IF(Data!G306="","",IF(Data!G306=Data_Val!$C$2,IF(Data!P306="",0,1),0))</f>
        <v/>
      </c>
      <c r="W306" s="12" t="str">
        <f>IF(Data!P306="","",IF(ISNUMBER(MATCH(Data!Q306,Data_Val!$A$2:$A$3,0)),0,1))</f>
        <v/>
      </c>
      <c r="X306" s="26" t="str">
        <f ca="1">IF(Data!P306="","",IF(ISNUMBER(Data!R306),IF(AND(Data!R306&gt;(TODAY()-(Data_Val!$L$3*365.25)),Data!R306&lt;=(TODAY()-(Data_Val!$L$2*365.25))),0,1),1))</f>
        <v/>
      </c>
      <c r="Y306" s="13" t="str">
        <f>IF(Data!$G306="","",IF(Data!$G306=Data_Val!$C$2,IF(Data!S306="",0,1),0))</f>
        <v/>
      </c>
      <c r="Z306" s="13" t="str">
        <f>IF(Data!S306="","",IF(ISNUMBER(MATCH(Data!T306,Data_Val!$A$2:$A$3,0)),0,1))</f>
        <v/>
      </c>
      <c r="AA306" s="28" t="str">
        <f ca="1">IF(Data!S306="","",IF(ISNUMBER(Data!U306),IF(AND(Data!U306&gt;(TODAY()-(Data_Val!$L$3*365.25)),Data!U306&lt;=(TODAY()-(Data_Val!$L$2*365.25))),0,1),1))</f>
        <v/>
      </c>
      <c r="AB306" s="11"/>
      <c r="AC306" s="11" t="e">
        <f>IF(Data!#REF!="","",IF(ISNUMBER(MATCH(Data!#REF!,Data_Val!$A$2:$A$3,0)),0,1))</f>
        <v>#REF!</v>
      </c>
      <c r="AD306" s="11" t="e">
        <f ca="1">IF(Data!#REF!="","",IF(ISNUMBER(Data!#REF!),IF(AND(Data!#REF!&gt;(TODAY()-(Data_Val!$L$3*365.25)),Data!#REF!&lt;=(TODAY()-(Data_Val!$L$2*365.25))),0,1),1))</f>
        <v>#REF!</v>
      </c>
      <c r="AE306" s="11" t="e">
        <f>IF(Data!#REF!="","",IF(Data!$G306="",1,IF(ISNUMBER(MATCH(Data!#REF!,Data_Val!$D$2:$D$10,0)),0,1)))</f>
        <v>#REF!</v>
      </c>
      <c r="AF306" s="12"/>
      <c r="AG306" s="12" t="e">
        <f>IF(Data!#REF!="","",IF(ISNUMBER(MATCH(Data!#REF!,Data_Val!$A$2:$A$3,0)),0,1))</f>
        <v>#REF!</v>
      </c>
      <c r="AH306" s="26" t="e">
        <f ca="1">IF(Data!#REF!="","",IF(ISNUMBER(Data!#REF!),IF(AND(Data!#REF!&gt;(TODAY()-(Data_Val!$L$3*365.25)),Data!#REF!&lt;=(TODAY()-(Data_Val!$L$2*365.25))),0,1),1))</f>
        <v>#REF!</v>
      </c>
      <c r="AI306" s="12" t="e">
        <f>IF(Data!#REF!="","",IF(Data!$G306="",1,IF(ISNUMBER(MATCH(Data!#REF!,Data_Val!$D$2:$D$10,0)),0,1)))</f>
        <v>#REF!</v>
      </c>
      <c r="AJ306" s="17"/>
      <c r="AK306" s="17" t="e">
        <f>IF(Data!#REF!="","",IF(ISNUMBER(MATCH(Data!#REF!,Data_Val!$A$2:$A$3,0)),0,1))</f>
        <v>#REF!</v>
      </c>
      <c r="AL306" s="25" t="e">
        <f ca="1">IF(Data!#REF!="","",IF(ISNUMBER(Data!#REF!),IF(AND(Data!#REF!&gt;(TODAY()-(Data_Val!$L$3*365.25)),Data!#REF!&lt;=(TODAY()-(Data_Val!$L$2*365.25))),0,1),1))</f>
        <v>#REF!</v>
      </c>
      <c r="AM306" s="17" t="e">
        <f>IF(Data!#REF!="","",IF(Data!$G306="",1,IF(ISNUMBER(MATCH(Data!#REF!,Data_Val!$D$2:$D$10,0)),0,1)))</f>
        <v>#REF!</v>
      </c>
      <c r="AN306" s="13"/>
      <c r="AO306" s="28" t="e">
        <f ca="1">IF(Data!#REF!="","",IF(ISNUMBER(Data!#REF!),IF(AND(Data!#REF!&gt;(TODAY()-(Data_Val!$I$3*365.25)),Data!#REF!&lt;=(TODAY()-(Data_Val!$I$2*365.25))),0,1),1))</f>
        <v>#REF!</v>
      </c>
      <c r="AP306" s="13" t="e">
        <f>IF(Data!#REF!="","",IF(Data!$G306="",1,IF(ISNUMBER(MATCH(Data!#REF!,Data_Val!$D$2:$D$10,0)),0,1)))</f>
        <v>#REF!</v>
      </c>
      <c r="AQ306" s="17"/>
      <c r="AR306" s="30" t="e">
        <f ca="1">IF(Data!#REF!="","",IF(ISNUMBER(Data!#REF!),IF(AND(Data!#REF!&gt;(TODAY()-(Data_Val!$I$3*365.25)),Data!#REF!&lt;=(TODAY()-(Data_Val!$I$2*365.25))),0,1),1))</f>
        <v>#REF!</v>
      </c>
      <c r="AS306" s="31" t="e">
        <f>IF(Data!#REF!="","",IF(Data!$G306="",1,IF(ISNUMBER(MATCH(Data!#REF!,Data_Val!$D$2:$D$10,0)),0,1)))</f>
        <v>#REF!</v>
      </c>
      <c r="AT306" s="11"/>
      <c r="AU306" s="11" t="e">
        <f ca="1">IF(Data!#REF!="","",IF(ISNUMBER(Data!#REF!),IF(AND(Data!#REF!&gt;(TODAY()-(Data_Val!$I$3*365.25)),Data!#REF!&lt;=(TODAY()-(Data_Val!$I$2*365.25))),0,1),1))</f>
        <v>#REF!</v>
      </c>
      <c r="AV306" s="11" t="e">
        <f>IF(Data!#REF!="","",IF(Data!$G306="",1,IF(ISNUMBER(MATCH(Data!#REF!,Data_Val!$D$2:$D$10,0)),0,1)))</f>
        <v>#REF!</v>
      </c>
      <c r="AW306" s="12"/>
      <c r="AX306" s="26" t="e">
        <f ca="1">IF(Data!#REF!="","",IF(ISNUMBER(Data!#REF!),IF(AND(Data!#REF!&gt;(TODAY()-(Data_Val!$I$3*365.25)),Data!#REF!&lt;=(TODAY()-(Data_Val!$I$2*365.25))),0,1),1))</f>
        <v>#REF!</v>
      </c>
      <c r="AY306" s="12" t="e">
        <f>IF(Data!#REF!="","",IF(Data!$G306="",1,IF(ISNUMBER(MATCH(Data!#REF!,Data_Val!$D$2:$D$10,0)),0,1)))</f>
        <v>#REF!</v>
      </c>
      <c r="AZ306" s="11"/>
      <c r="BA306" s="19" t="e">
        <f ca="1">IF(Data!#REF!="","",IF(ISNUMBER(Data!#REF!),IF(AND(Data!#REF!&gt;(TODAY()-(Data_Val!$M$3*365.25)),Data!#REF!&lt;=(TODAY()-(Data_Val!$M$2*365.25))),0,1),1))</f>
        <v>#REF!</v>
      </c>
      <c r="BB306" s="11" t="e">
        <f>IF(Data!#REF!="","",IF(Data!$G306="",1,IF(ISNUMBER(MATCH(Data!#REF!,Data_Val!$D$2:$D$10,0)),0,1)))</f>
        <v>#REF!</v>
      </c>
      <c r="BC306" s="12"/>
      <c r="BD306" s="20" t="e">
        <f ca="1">IF(Data!#REF!="","",IF(ISNUMBER(Data!#REF!),IF(AND(Data!#REF!&gt;(TODAY()-(Data_Val!$M$3*365.25)),Data!#REF!&lt;=(TODAY()-(Data_Val!$M$2*365.25))),0,1),1))</f>
        <v>#REF!</v>
      </c>
      <c r="BE306" s="12" t="e">
        <f>IF(Data!#REF!="","",IF(Data!$G306="",1,IF(ISNUMBER(MATCH(Data!#REF!,Data_Val!$D$2:$D$10,0)),0,1)))</f>
        <v>#REF!</v>
      </c>
      <c r="BF306" s="17"/>
      <c r="BG306" s="18" t="e">
        <f ca="1">IF(Data!#REF!="","",IF(ISNUMBER(Data!#REF!),IF(AND(Data!#REF!&gt;(TODAY()-(Data_Val!$M$3*365.25)),Data!#REF!&lt;=(TODAY()-(Data_Val!$M$2*365.25))),0,1),1))</f>
        <v>#REF!</v>
      </c>
      <c r="BH306" s="29" t="e">
        <f>IF(Data!#REF!="","",IF(Data!$G306="",1,IF(ISNUMBER(MATCH(Data!#REF!,Data_Val!$D$2:$D$10,0)),0,1)))</f>
        <v>#REF!</v>
      </c>
      <c r="BI306" s="13"/>
      <c r="BJ306" s="21" t="e">
        <f ca="1">IF(Data!#REF!="","",IF(ISNUMBER(Data!#REF!),IF(AND(Data!#REF!&gt;(TODAY()-(Data_Val!$M$3*365.25)),Data!#REF!&lt;=(TODAY()-(Data_Val!$M$2*365.25))),0,1),1))</f>
        <v>#REF!</v>
      </c>
      <c r="BK306" s="13" t="e">
        <f>IF(Data!#REF!="","",IF(Data!$G306="",1,IF(ISNUMBER(MATCH(Data!#REF!,Data_Val!$D$2:$D$10,0)),0,1)))</f>
        <v>#REF!</v>
      </c>
    </row>
    <row r="307" spans="1:63" x14ac:dyDescent="0.25">
      <c r="A307" s="9" t="str">
        <f>IF(Data!B307="","",IF(COUNTIFS(Data!A$1:'Data'!A307,Data!A307)&lt;=1,0,1))</f>
        <v/>
      </c>
      <c r="B307" s="9"/>
      <c r="C307" s="23" t="str">
        <f>IF(Data!C307="","",(IF(ISNUMBER(MATCH("*@*.?*",Data!C307,0)),0,1)+IF(COUNTIFS(Data!C$1:'Data'!C307,Data!C307)&gt;1,1,0)))</f>
        <v/>
      </c>
      <c r="D307" s="9" t="str">
        <f>IF(Data!B307="","",IF(ISNUMBER(Data!D307),IF(AND(Data!D307&gt;999999999,Data!D307&lt;=9999999999),IF(COUNTIFS(Data!D$1:'Data'!D307,Data!D307)&lt;=1,0,1),1),1))</f>
        <v/>
      </c>
      <c r="E307" s="9" t="str">
        <f>IF(Data!B307="","",IF(ISNUMBER(MATCH(Data!E307,Data_Val!$A$2:$A$3,0)),0,1))</f>
        <v/>
      </c>
      <c r="F307" s="9" t="str">
        <f ca="1">IF(Data!B307="","",IF(ISNUMBER(Data!F307),IF(AND(Data!F307&gt;(TODAY()-(Data_Val!$H$3*365.25)),Data!F307&lt;=(TODAY()-(Data_Val!$H$2*365.25))),0,1),1))</f>
        <v/>
      </c>
      <c r="G307" s="15" t="str">
        <f>IF(Data!B307="","",IF(AND(Data!G307="",Data!H307&lt;&gt;""),1,IF(Data!#REF!&lt;&gt;"",0,IF(ISNUMBER(MATCH(Data!G307,Data_Val!$C$2:$C$5,0)),0,1))))</f>
        <v/>
      </c>
      <c r="H307" s="15" t="str">
        <f>IF(Data!B307="","",IF(AND(Data!G307&lt;&gt;"",Data!H307=""),1,IF(Data!#REF!&lt;&gt;"",0,IF(Data!G307="",1,IF(ISNUMBER(MATCH(Data!H307,Data_Val!$D$2:$D$35,0)),0,1)))))</f>
        <v/>
      </c>
      <c r="I307" s="15" t="str">
        <f>IF(Data!B307="","",IF(Data!G307&lt;&gt;"",0,IF(ISNUMBER(MATCH(Data!#REF!,Data_Val!$E$2:$E$12,0)),0,1)))</f>
        <v/>
      </c>
      <c r="J307" s="16" t="e">
        <f>IF(OR(Data!B307="",Data!#REF!=""),"",IF(Data!#REF!="",1,0))</f>
        <v>#REF!</v>
      </c>
      <c r="K307" s="16" t="e">
        <f>IF(OR(Data!B307="",Data!#REF!=""),"",IF(Data!#REF!="",1,0))</f>
        <v>#REF!</v>
      </c>
      <c r="L307" s="16" t="e">
        <f>IF(OR(Data!B307="",Data!#REF!=""),"",IF(ISNUMBER(Data!#REF!),IF(AND(Data!#REF!&gt;Data_Val!$G$2,Data!#REF!&lt;=Data_Val!$G$3),0,1),1))</f>
        <v>#REF!</v>
      </c>
      <c r="M307" s="9" t="e">
        <f>IF(OR(Data!B307="",Data!#REF!=""),"",IF(ISNUMBER(MATCH(Data!#REF!,Data_Val!$F$1:$F$38,0)),0,1))</f>
        <v>#REF!</v>
      </c>
      <c r="N307" s="9" t="e">
        <f>IF(OR(Data!B307="",Data!#REF!=""),"",IF(Data!#REF!="",1,0))</f>
        <v>#REF!</v>
      </c>
      <c r="O307" s="17" t="e">
        <f>IF(Data!#REF!="","",IF(Data!#REF!="",1,0))</f>
        <v>#REF!</v>
      </c>
      <c r="P307" s="17" t="e">
        <f>IF(Data!#REF!="","",IF(ISNUMBER(MATCH(Data!#REF!,Data_Val!$A$2:$A$3,0)),0,1))</f>
        <v>#REF!</v>
      </c>
      <c r="Q307" s="25" t="e">
        <f ca="1">IF(Data!#REF!="","",IF(ISNUMBER(Data!#REF!),IF(AND(Data!#REF!&gt;(TODAY()-(Data_Val!$J$3*365.25)),Data!#REF!&lt;=(TODAY()-(Data_Val!$J$2*365.25))),0,1),1))</f>
        <v>#REF!</v>
      </c>
      <c r="R307" s="17" t="e">
        <f>IF(Data!#REF!="","",IF(ISNUMBER(MATCH(Data!#REF!,Data_Val!$B$2:$B$15,0)),0,1))</f>
        <v>#REF!</v>
      </c>
      <c r="S307" s="11" t="str">
        <f>IF(Data!G307="","",IF(Data!G307=Data_Val!$C$2,IF(Data!M307="",0,1),0))</f>
        <v/>
      </c>
      <c r="T307" s="11" t="str">
        <f>IF(Data!M307="","",IF(ISNUMBER(MATCH(Data!N307,Data_Val!$A$2:$A$3,0)),0,1))</f>
        <v/>
      </c>
      <c r="U307" s="11" t="str">
        <f ca="1">IF(Data!M307="","",IF(ISNUMBER(Data!O307),IF(AND(Data!O307&gt;(TODAY()-(Data_Val!$K$3*365.25)),Data!O307&lt;=(TODAY()-(Data_Val!$K$2*365.25))),0,1),1))</f>
        <v/>
      </c>
      <c r="V307" s="12" t="str">
        <f>IF(Data!G307="","",IF(Data!G307=Data_Val!$C$2,IF(Data!P307="",0,1),0))</f>
        <v/>
      </c>
      <c r="W307" s="12" t="str">
        <f>IF(Data!P307="","",IF(ISNUMBER(MATCH(Data!Q307,Data_Val!$A$2:$A$3,0)),0,1))</f>
        <v/>
      </c>
      <c r="X307" s="26" t="str">
        <f ca="1">IF(Data!P307="","",IF(ISNUMBER(Data!R307),IF(AND(Data!R307&gt;(TODAY()-(Data_Val!$L$3*365.25)),Data!R307&lt;=(TODAY()-(Data_Val!$L$2*365.25))),0,1),1))</f>
        <v/>
      </c>
      <c r="Y307" s="13" t="str">
        <f>IF(Data!$G307="","",IF(Data!$G307=Data_Val!$C$2,IF(Data!S307="",0,1),0))</f>
        <v/>
      </c>
      <c r="Z307" s="13" t="str">
        <f>IF(Data!S307="","",IF(ISNUMBER(MATCH(Data!T307,Data_Val!$A$2:$A$3,0)),0,1))</f>
        <v/>
      </c>
      <c r="AA307" s="28" t="str">
        <f ca="1">IF(Data!S307="","",IF(ISNUMBER(Data!U307),IF(AND(Data!U307&gt;(TODAY()-(Data_Val!$L$3*365.25)),Data!U307&lt;=(TODAY()-(Data_Val!$L$2*365.25))),0,1),1))</f>
        <v/>
      </c>
      <c r="AB307" s="11"/>
      <c r="AC307" s="11" t="e">
        <f>IF(Data!#REF!="","",IF(ISNUMBER(MATCH(Data!#REF!,Data_Val!$A$2:$A$3,0)),0,1))</f>
        <v>#REF!</v>
      </c>
      <c r="AD307" s="11" t="e">
        <f ca="1">IF(Data!#REF!="","",IF(ISNUMBER(Data!#REF!),IF(AND(Data!#REF!&gt;(TODAY()-(Data_Val!$L$3*365.25)),Data!#REF!&lt;=(TODAY()-(Data_Val!$L$2*365.25))),0,1),1))</f>
        <v>#REF!</v>
      </c>
      <c r="AE307" s="11" t="e">
        <f>IF(Data!#REF!="","",IF(Data!$G307="",1,IF(ISNUMBER(MATCH(Data!#REF!,Data_Val!$D$2:$D$10,0)),0,1)))</f>
        <v>#REF!</v>
      </c>
      <c r="AF307" s="12"/>
      <c r="AG307" s="12" t="e">
        <f>IF(Data!#REF!="","",IF(ISNUMBER(MATCH(Data!#REF!,Data_Val!$A$2:$A$3,0)),0,1))</f>
        <v>#REF!</v>
      </c>
      <c r="AH307" s="26" t="e">
        <f ca="1">IF(Data!#REF!="","",IF(ISNUMBER(Data!#REF!),IF(AND(Data!#REF!&gt;(TODAY()-(Data_Val!$L$3*365.25)),Data!#REF!&lt;=(TODAY()-(Data_Val!$L$2*365.25))),0,1),1))</f>
        <v>#REF!</v>
      </c>
      <c r="AI307" s="12" t="e">
        <f>IF(Data!#REF!="","",IF(Data!$G307="",1,IF(ISNUMBER(MATCH(Data!#REF!,Data_Val!$D$2:$D$10,0)),0,1)))</f>
        <v>#REF!</v>
      </c>
      <c r="AJ307" s="17"/>
      <c r="AK307" s="17" t="e">
        <f>IF(Data!#REF!="","",IF(ISNUMBER(MATCH(Data!#REF!,Data_Val!$A$2:$A$3,0)),0,1))</f>
        <v>#REF!</v>
      </c>
      <c r="AL307" s="25" t="e">
        <f ca="1">IF(Data!#REF!="","",IF(ISNUMBER(Data!#REF!),IF(AND(Data!#REF!&gt;(TODAY()-(Data_Val!$L$3*365.25)),Data!#REF!&lt;=(TODAY()-(Data_Val!$L$2*365.25))),0,1),1))</f>
        <v>#REF!</v>
      </c>
      <c r="AM307" s="17" t="e">
        <f>IF(Data!#REF!="","",IF(Data!$G307="",1,IF(ISNUMBER(MATCH(Data!#REF!,Data_Val!$D$2:$D$10,0)),0,1)))</f>
        <v>#REF!</v>
      </c>
      <c r="AN307" s="13"/>
      <c r="AO307" s="28" t="e">
        <f ca="1">IF(Data!#REF!="","",IF(ISNUMBER(Data!#REF!),IF(AND(Data!#REF!&gt;(TODAY()-(Data_Val!$I$3*365.25)),Data!#REF!&lt;=(TODAY()-(Data_Val!$I$2*365.25))),0,1),1))</f>
        <v>#REF!</v>
      </c>
      <c r="AP307" s="13" t="e">
        <f>IF(Data!#REF!="","",IF(Data!$G307="",1,IF(ISNUMBER(MATCH(Data!#REF!,Data_Val!$D$2:$D$10,0)),0,1)))</f>
        <v>#REF!</v>
      </c>
      <c r="AQ307" s="17"/>
      <c r="AR307" s="30" t="e">
        <f ca="1">IF(Data!#REF!="","",IF(ISNUMBER(Data!#REF!),IF(AND(Data!#REF!&gt;(TODAY()-(Data_Val!$I$3*365.25)),Data!#REF!&lt;=(TODAY()-(Data_Val!$I$2*365.25))),0,1),1))</f>
        <v>#REF!</v>
      </c>
      <c r="AS307" s="31" t="e">
        <f>IF(Data!#REF!="","",IF(Data!$G307="",1,IF(ISNUMBER(MATCH(Data!#REF!,Data_Val!$D$2:$D$10,0)),0,1)))</f>
        <v>#REF!</v>
      </c>
      <c r="AT307" s="11"/>
      <c r="AU307" s="11" t="e">
        <f ca="1">IF(Data!#REF!="","",IF(ISNUMBER(Data!#REF!),IF(AND(Data!#REF!&gt;(TODAY()-(Data_Val!$I$3*365.25)),Data!#REF!&lt;=(TODAY()-(Data_Val!$I$2*365.25))),0,1),1))</f>
        <v>#REF!</v>
      </c>
      <c r="AV307" s="11" t="e">
        <f>IF(Data!#REF!="","",IF(Data!$G307="",1,IF(ISNUMBER(MATCH(Data!#REF!,Data_Val!$D$2:$D$10,0)),0,1)))</f>
        <v>#REF!</v>
      </c>
      <c r="AW307" s="12"/>
      <c r="AX307" s="26" t="e">
        <f ca="1">IF(Data!#REF!="","",IF(ISNUMBER(Data!#REF!),IF(AND(Data!#REF!&gt;(TODAY()-(Data_Val!$I$3*365.25)),Data!#REF!&lt;=(TODAY()-(Data_Val!$I$2*365.25))),0,1),1))</f>
        <v>#REF!</v>
      </c>
      <c r="AY307" s="12" t="e">
        <f>IF(Data!#REF!="","",IF(Data!$G307="",1,IF(ISNUMBER(MATCH(Data!#REF!,Data_Val!$D$2:$D$10,0)),0,1)))</f>
        <v>#REF!</v>
      </c>
      <c r="AZ307" s="11"/>
      <c r="BA307" s="19" t="e">
        <f ca="1">IF(Data!#REF!="","",IF(ISNUMBER(Data!#REF!),IF(AND(Data!#REF!&gt;(TODAY()-(Data_Val!$M$3*365.25)),Data!#REF!&lt;=(TODAY()-(Data_Val!$M$2*365.25))),0,1),1))</f>
        <v>#REF!</v>
      </c>
      <c r="BB307" s="11" t="e">
        <f>IF(Data!#REF!="","",IF(Data!$G307="",1,IF(ISNUMBER(MATCH(Data!#REF!,Data_Val!$D$2:$D$10,0)),0,1)))</f>
        <v>#REF!</v>
      </c>
      <c r="BC307" s="12"/>
      <c r="BD307" s="20" t="e">
        <f ca="1">IF(Data!#REF!="","",IF(ISNUMBER(Data!#REF!),IF(AND(Data!#REF!&gt;(TODAY()-(Data_Val!$M$3*365.25)),Data!#REF!&lt;=(TODAY()-(Data_Val!$M$2*365.25))),0,1),1))</f>
        <v>#REF!</v>
      </c>
      <c r="BE307" s="12" t="e">
        <f>IF(Data!#REF!="","",IF(Data!$G307="",1,IF(ISNUMBER(MATCH(Data!#REF!,Data_Val!$D$2:$D$10,0)),0,1)))</f>
        <v>#REF!</v>
      </c>
      <c r="BF307" s="17"/>
      <c r="BG307" s="18" t="e">
        <f ca="1">IF(Data!#REF!="","",IF(ISNUMBER(Data!#REF!),IF(AND(Data!#REF!&gt;(TODAY()-(Data_Val!$M$3*365.25)),Data!#REF!&lt;=(TODAY()-(Data_Val!$M$2*365.25))),0,1),1))</f>
        <v>#REF!</v>
      </c>
      <c r="BH307" s="29" t="e">
        <f>IF(Data!#REF!="","",IF(Data!$G307="",1,IF(ISNUMBER(MATCH(Data!#REF!,Data_Val!$D$2:$D$10,0)),0,1)))</f>
        <v>#REF!</v>
      </c>
      <c r="BI307" s="13"/>
      <c r="BJ307" s="21" t="e">
        <f ca="1">IF(Data!#REF!="","",IF(ISNUMBER(Data!#REF!),IF(AND(Data!#REF!&gt;(TODAY()-(Data_Val!$M$3*365.25)),Data!#REF!&lt;=(TODAY()-(Data_Val!$M$2*365.25))),0,1),1))</f>
        <v>#REF!</v>
      </c>
      <c r="BK307" s="13" t="e">
        <f>IF(Data!#REF!="","",IF(Data!$G307="",1,IF(ISNUMBER(MATCH(Data!#REF!,Data_Val!$D$2:$D$10,0)),0,1)))</f>
        <v>#REF!</v>
      </c>
    </row>
    <row r="308" spans="1:63" x14ac:dyDescent="0.25">
      <c r="A308" s="9" t="str">
        <f>IF(Data!B308="","",IF(COUNTIFS(Data!A$1:'Data'!A308,Data!A308)&lt;=1,0,1))</f>
        <v/>
      </c>
      <c r="B308" s="9"/>
      <c r="C308" s="23" t="str">
        <f>IF(Data!C308="","",(IF(ISNUMBER(MATCH("*@*.?*",Data!C308,0)),0,1)+IF(COUNTIFS(Data!C$1:'Data'!C308,Data!C308)&gt;1,1,0)))</f>
        <v/>
      </c>
      <c r="D308" s="9" t="str">
        <f>IF(Data!B308="","",IF(ISNUMBER(Data!D308),IF(AND(Data!D308&gt;999999999,Data!D308&lt;=9999999999),IF(COUNTIFS(Data!D$1:'Data'!D308,Data!D308)&lt;=1,0,1),1),1))</f>
        <v/>
      </c>
      <c r="E308" s="9" t="str">
        <f>IF(Data!B308="","",IF(ISNUMBER(MATCH(Data!E308,Data_Val!$A$2:$A$3,0)),0,1))</f>
        <v/>
      </c>
      <c r="F308" s="9" t="str">
        <f ca="1">IF(Data!B308="","",IF(ISNUMBER(Data!F308),IF(AND(Data!F308&gt;(TODAY()-(Data_Val!$H$3*365.25)),Data!F308&lt;=(TODAY()-(Data_Val!$H$2*365.25))),0,1),1))</f>
        <v/>
      </c>
      <c r="G308" s="15" t="str">
        <f>IF(Data!B308="","",IF(AND(Data!G308="",Data!H308&lt;&gt;""),1,IF(Data!#REF!&lt;&gt;"",0,IF(ISNUMBER(MATCH(Data!G308,Data_Val!$C$2:$C$5,0)),0,1))))</f>
        <v/>
      </c>
      <c r="H308" s="15" t="str">
        <f>IF(Data!B308="","",IF(AND(Data!G308&lt;&gt;"",Data!H308=""),1,IF(Data!#REF!&lt;&gt;"",0,IF(Data!G308="",1,IF(ISNUMBER(MATCH(Data!H308,Data_Val!$D$2:$D$35,0)),0,1)))))</f>
        <v/>
      </c>
      <c r="I308" s="15" t="str">
        <f>IF(Data!B308="","",IF(Data!G308&lt;&gt;"",0,IF(ISNUMBER(MATCH(Data!#REF!,Data_Val!$E$2:$E$12,0)),0,1)))</f>
        <v/>
      </c>
      <c r="J308" s="16" t="e">
        <f>IF(OR(Data!B308="",Data!#REF!=""),"",IF(Data!#REF!="",1,0))</f>
        <v>#REF!</v>
      </c>
      <c r="K308" s="16" t="e">
        <f>IF(OR(Data!B308="",Data!#REF!=""),"",IF(Data!#REF!="",1,0))</f>
        <v>#REF!</v>
      </c>
      <c r="L308" s="16" t="e">
        <f>IF(OR(Data!B308="",Data!#REF!=""),"",IF(ISNUMBER(Data!#REF!),IF(AND(Data!#REF!&gt;Data_Val!$G$2,Data!#REF!&lt;=Data_Val!$G$3),0,1),1))</f>
        <v>#REF!</v>
      </c>
      <c r="M308" s="9" t="e">
        <f>IF(OR(Data!B308="",Data!#REF!=""),"",IF(ISNUMBER(MATCH(Data!#REF!,Data_Val!$F$1:$F$38,0)),0,1))</f>
        <v>#REF!</v>
      </c>
      <c r="N308" s="9" t="e">
        <f>IF(OR(Data!B308="",Data!#REF!=""),"",IF(Data!#REF!="",1,0))</f>
        <v>#REF!</v>
      </c>
      <c r="O308" s="17" t="e">
        <f>IF(Data!#REF!="","",IF(Data!#REF!="",1,0))</f>
        <v>#REF!</v>
      </c>
      <c r="P308" s="17" t="e">
        <f>IF(Data!#REF!="","",IF(ISNUMBER(MATCH(Data!#REF!,Data_Val!$A$2:$A$3,0)),0,1))</f>
        <v>#REF!</v>
      </c>
      <c r="Q308" s="25" t="e">
        <f ca="1">IF(Data!#REF!="","",IF(ISNUMBER(Data!#REF!),IF(AND(Data!#REF!&gt;(TODAY()-(Data_Val!$J$3*365.25)),Data!#REF!&lt;=(TODAY()-(Data_Val!$J$2*365.25))),0,1),1))</f>
        <v>#REF!</v>
      </c>
      <c r="R308" s="17" t="e">
        <f>IF(Data!#REF!="","",IF(ISNUMBER(MATCH(Data!#REF!,Data_Val!$B$2:$B$15,0)),0,1))</f>
        <v>#REF!</v>
      </c>
      <c r="S308" s="11" t="str">
        <f>IF(Data!G308="","",IF(Data!G308=Data_Val!$C$2,IF(Data!M308="",0,1),0))</f>
        <v/>
      </c>
      <c r="T308" s="11" t="str">
        <f>IF(Data!M308="","",IF(ISNUMBER(MATCH(Data!N308,Data_Val!$A$2:$A$3,0)),0,1))</f>
        <v/>
      </c>
      <c r="U308" s="11" t="str">
        <f ca="1">IF(Data!M308="","",IF(ISNUMBER(Data!O308),IF(AND(Data!O308&gt;(TODAY()-(Data_Val!$K$3*365.25)),Data!O308&lt;=(TODAY()-(Data_Val!$K$2*365.25))),0,1),1))</f>
        <v/>
      </c>
      <c r="V308" s="12" t="str">
        <f>IF(Data!G308="","",IF(Data!G308=Data_Val!$C$2,IF(Data!P308="",0,1),0))</f>
        <v/>
      </c>
      <c r="W308" s="12" t="str">
        <f>IF(Data!P308="","",IF(ISNUMBER(MATCH(Data!Q308,Data_Val!$A$2:$A$3,0)),0,1))</f>
        <v/>
      </c>
      <c r="X308" s="26" t="str">
        <f ca="1">IF(Data!P308="","",IF(ISNUMBER(Data!R308),IF(AND(Data!R308&gt;(TODAY()-(Data_Val!$L$3*365.25)),Data!R308&lt;=(TODAY()-(Data_Val!$L$2*365.25))),0,1),1))</f>
        <v/>
      </c>
      <c r="Y308" s="13" t="str">
        <f>IF(Data!$G308="","",IF(Data!$G308=Data_Val!$C$2,IF(Data!S308="",0,1),0))</f>
        <v/>
      </c>
      <c r="Z308" s="13" t="str">
        <f>IF(Data!S308="","",IF(ISNUMBER(MATCH(Data!T308,Data_Val!$A$2:$A$3,0)),0,1))</f>
        <v/>
      </c>
      <c r="AA308" s="28" t="str">
        <f ca="1">IF(Data!S308="","",IF(ISNUMBER(Data!U308),IF(AND(Data!U308&gt;(TODAY()-(Data_Val!$L$3*365.25)),Data!U308&lt;=(TODAY()-(Data_Val!$L$2*365.25))),0,1),1))</f>
        <v/>
      </c>
      <c r="AB308" s="11"/>
      <c r="AC308" s="11" t="e">
        <f>IF(Data!#REF!="","",IF(ISNUMBER(MATCH(Data!#REF!,Data_Val!$A$2:$A$3,0)),0,1))</f>
        <v>#REF!</v>
      </c>
      <c r="AD308" s="11" t="e">
        <f ca="1">IF(Data!#REF!="","",IF(ISNUMBER(Data!#REF!),IF(AND(Data!#REF!&gt;(TODAY()-(Data_Val!$L$3*365.25)),Data!#REF!&lt;=(TODAY()-(Data_Val!$L$2*365.25))),0,1),1))</f>
        <v>#REF!</v>
      </c>
      <c r="AE308" s="11" t="e">
        <f>IF(Data!#REF!="","",IF(Data!$G308="",1,IF(ISNUMBER(MATCH(Data!#REF!,Data_Val!$D$2:$D$10,0)),0,1)))</f>
        <v>#REF!</v>
      </c>
      <c r="AF308" s="12"/>
      <c r="AG308" s="12" t="e">
        <f>IF(Data!#REF!="","",IF(ISNUMBER(MATCH(Data!#REF!,Data_Val!$A$2:$A$3,0)),0,1))</f>
        <v>#REF!</v>
      </c>
      <c r="AH308" s="26" t="e">
        <f ca="1">IF(Data!#REF!="","",IF(ISNUMBER(Data!#REF!),IF(AND(Data!#REF!&gt;(TODAY()-(Data_Val!$L$3*365.25)),Data!#REF!&lt;=(TODAY()-(Data_Val!$L$2*365.25))),0,1),1))</f>
        <v>#REF!</v>
      </c>
      <c r="AI308" s="12" t="e">
        <f>IF(Data!#REF!="","",IF(Data!$G308="",1,IF(ISNUMBER(MATCH(Data!#REF!,Data_Val!$D$2:$D$10,0)),0,1)))</f>
        <v>#REF!</v>
      </c>
      <c r="AJ308" s="17"/>
      <c r="AK308" s="17" t="e">
        <f>IF(Data!#REF!="","",IF(ISNUMBER(MATCH(Data!#REF!,Data_Val!$A$2:$A$3,0)),0,1))</f>
        <v>#REF!</v>
      </c>
      <c r="AL308" s="25" t="e">
        <f ca="1">IF(Data!#REF!="","",IF(ISNUMBER(Data!#REF!),IF(AND(Data!#REF!&gt;(TODAY()-(Data_Val!$L$3*365.25)),Data!#REF!&lt;=(TODAY()-(Data_Val!$L$2*365.25))),0,1),1))</f>
        <v>#REF!</v>
      </c>
      <c r="AM308" s="17" t="e">
        <f>IF(Data!#REF!="","",IF(Data!$G308="",1,IF(ISNUMBER(MATCH(Data!#REF!,Data_Val!$D$2:$D$10,0)),0,1)))</f>
        <v>#REF!</v>
      </c>
      <c r="AN308" s="13"/>
      <c r="AO308" s="28" t="e">
        <f ca="1">IF(Data!#REF!="","",IF(ISNUMBER(Data!#REF!),IF(AND(Data!#REF!&gt;(TODAY()-(Data_Val!$I$3*365.25)),Data!#REF!&lt;=(TODAY()-(Data_Val!$I$2*365.25))),0,1),1))</f>
        <v>#REF!</v>
      </c>
      <c r="AP308" s="13" t="e">
        <f>IF(Data!#REF!="","",IF(Data!$G308="",1,IF(ISNUMBER(MATCH(Data!#REF!,Data_Val!$D$2:$D$10,0)),0,1)))</f>
        <v>#REF!</v>
      </c>
      <c r="AQ308" s="17"/>
      <c r="AR308" s="30" t="e">
        <f ca="1">IF(Data!#REF!="","",IF(ISNUMBER(Data!#REF!),IF(AND(Data!#REF!&gt;(TODAY()-(Data_Val!$I$3*365.25)),Data!#REF!&lt;=(TODAY()-(Data_Val!$I$2*365.25))),0,1),1))</f>
        <v>#REF!</v>
      </c>
      <c r="AS308" s="31" t="e">
        <f>IF(Data!#REF!="","",IF(Data!$G308="",1,IF(ISNUMBER(MATCH(Data!#REF!,Data_Val!$D$2:$D$10,0)),0,1)))</f>
        <v>#REF!</v>
      </c>
      <c r="AT308" s="11"/>
      <c r="AU308" s="11" t="e">
        <f ca="1">IF(Data!#REF!="","",IF(ISNUMBER(Data!#REF!),IF(AND(Data!#REF!&gt;(TODAY()-(Data_Val!$I$3*365.25)),Data!#REF!&lt;=(TODAY()-(Data_Val!$I$2*365.25))),0,1),1))</f>
        <v>#REF!</v>
      </c>
      <c r="AV308" s="11" t="e">
        <f>IF(Data!#REF!="","",IF(Data!$G308="",1,IF(ISNUMBER(MATCH(Data!#REF!,Data_Val!$D$2:$D$10,0)),0,1)))</f>
        <v>#REF!</v>
      </c>
      <c r="AW308" s="12"/>
      <c r="AX308" s="26" t="e">
        <f ca="1">IF(Data!#REF!="","",IF(ISNUMBER(Data!#REF!),IF(AND(Data!#REF!&gt;(TODAY()-(Data_Val!$I$3*365.25)),Data!#REF!&lt;=(TODAY()-(Data_Val!$I$2*365.25))),0,1),1))</f>
        <v>#REF!</v>
      </c>
      <c r="AY308" s="12" t="e">
        <f>IF(Data!#REF!="","",IF(Data!$G308="",1,IF(ISNUMBER(MATCH(Data!#REF!,Data_Val!$D$2:$D$10,0)),0,1)))</f>
        <v>#REF!</v>
      </c>
      <c r="AZ308" s="11"/>
      <c r="BA308" s="19" t="e">
        <f ca="1">IF(Data!#REF!="","",IF(ISNUMBER(Data!#REF!),IF(AND(Data!#REF!&gt;(TODAY()-(Data_Val!$M$3*365.25)),Data!#REF!&lt;=(TODAY()-(Data_Val!$M$2*365.25))),0,1),1))</f>
        <v>#REF!</v>
      </c>
      <c r="BB308" s="11" t="e">
        <f>IF(Data!#REF!="","",IF(Data!$G308="",1,IF(ISNUMBER(MATCH(Data!#REF!,Data_Val!$D$2:$D$10,0)),0,1)))</f>
        <v>#REF!</v>
      </c>
      <c r="BC308" s="12"/>
      <c r="BD308" s="20" t="e">
        <f ca="1">IF(Data!#REF!="","",IF(ISNUMBER(Data!#REF!),IF(AND(Data!#REF!&gt;(TODAY()-(Data_Val!$M$3*365.25)),Data!#REF!&lt;=(TODAY()-(Data_Val!$M$2*365.25))),0,1),1))</f>
        <v>#REF!</v>
      </c>
      <c r="BE308" s="12" t="e">
        <f>IF(Data!#REF!="","",IF(Data!$G308="",1,IF(ISNUMBER(MATCH(Data!#REF!,Data_Val!$D$2:$D$10,0)),0,1)))</f>
        <v>#REF!</v>
      </c>
      <c r="BF308" s="17"/>
      <c r="BG308" s="18" t="e">
        <f ca="1">IF(Data!#REF!="","",IF(ISNUMBER(Data!#REF!),IF(AND(Data!#REF!&gt;(TODAY()-(Data_Val!$M$3*365.25)),Data!#REF!&lt;=(TODAY()-(Data_Val!$M$2*365.25))),0,1),1))</f>
        <v>#REF!</v>
      </c>
      <c r="BH308" s="29" t="e">
        <f>IF(Data!#REF!="","",IF(Data!$G308="",1,IF(ISNUMBER(MATCH(Data!#REF!,Data_Val!$D$2:$D$10,0)),0,1)))</f>
        <v>#REF!</v>
      </c>
      <c r="BI308" s="13"/>
      <c r="BJ308" s="21" t="e">
        <f ca="1">IF(Data!#REF!="","",IF(ISNUMBER(Data!#REF!),IF(AND(Data!#REF!&gt;(TODAY()-(Data_Val!$M$3*365.25)),Data!#REF!&lt;=(TODAY()-(Data_Val!$M$2*365.25))),0,1),1))</f>
        <v>#REF!</v>
      </c>
      <c r="BK308" s="13" t="e">
        <f>IF(Data!#REF!="","",IF(Data!$G308="",1,IF(ISNUMBER(MATCH(Data!#REF!,Data_Val!$D$2:$D$10,0)),0,1)))</f>
        <v>#REF!</v>
      </c>
    </row>
    <row r="309" spans="1:63" x14ac:dyDescent="0.25">
      <c r="A309" s="9" t="str">
        <f>IF(Data!B309="","",IF(COUNTIFS(Data!A$1:'Data'!A309,Data!A309)&lt;=1,0,1))</f>
        <v/>
      </c>
      <c r="B309" s="9"/>
      <c r="C309" s="23" t="str">
        <f>IF(Data!C309="","",(IF(ISNUMBER(MATCH("*@*.?*",Data!C309,0)),0,1)+IF(COUNTIFS(Data!C$1:'Data'!C309,Data!C309)&gt;1,1,0)))</f>
        <v/>
      </c>
      <c r="D309" s="9" t="str">
        <f>IF(Data!B309="","",IF(ISNUMBER(Data!D309),IF(AND(Data!D309&gt;999999999,Data!D309&lt;=9999999999),IF(COUNTIFS(Data!D$1:'Data'!D309,Data!D309)&lt;=1,0,1),1),1))</f>
        <v/>
      </c>
      <c r="E309" s="9" t="str">
        <f>IF(Data!B309="","",IF(ISNUMBER(MATCH(Data!E309,Data_Val!$A$2:$A$3,0)),0,1))</f>
        <v/>
      </c>
      <c r="F309" s="9" t="str">
        <f ca="1">IF(Data!B309="","",IF(ISNUMBER(Data!F309),IF(AND(Data!F309&gt;(TODAY()-(Data_Val!$H$3*365.25)),Data!F309&lt;=(TODAY()-(Data_Val!$H$2*365.25))),0,1),1))</f>
        <v/>
      </c>
      <c r="G309" s="15" t="str">
        <f>IF(Data!B309="","",IF(AND(Data!G309="",Data!H309&lt;&gt;""),1,IF(Data!#REF!&lt;&gt;"",0,IF(ISNUMBER(MATCH(Data!G309,Data_Val!$C$2:$C$5,0)),0,1))))</f>
        <v/>
      </c>
      <c r="H309" s="15" t="str">
        <f>IF(Data!B309="","",IF(AND(Data!G309&lt;&gt;"",Data!H309=""),1,IF(Data!#REF!&lt;&gt;"",0,IF(Data!G309="",1,IF(ISNUMBER(MATCH(Data!H309,Data_Val!$D$2:$D$35,0)),0,1)))))</f>
        <v/>
      </c>
      <c r="I309" s="15" t="str">
        <f>IF(Data!B309="","",IF(Data!G309&lt;&gt;"",0,IF(ISNUMBER(MATCH(Data!#REF!,Data_Val!$E$2:$E$12,0)),0,1)))</f>
        <v/>
      </c>
      <c r="J309" s="16" t="e">
        <f>IF(OR(Data!B309="",Data!#REF!=""),"",IF(Data!#REF!="",1,0))</f>
        <v>#REF!</v>
      </c>
      <c r="K309" s="16" t="e">
        <f>IF(OR(Data!B309="",Data!#REF!=""),"",IF(Data!#REF!="",1,0))</f>
        <v>#REF!</v>
      </c>
      <c r="L309" s="16" t="e">
        <f>IF(OR(Data!B309="",Data!#REF!=""),"",IF(ISNUMBER(Data!#REF!),IF(AND(Data!#REF!&gt;Data_Val!$G$2,Data!#REF!&lt;=Data_Val!$G$3),0,1),1))</f>
        <v>#REF!</v>
      </c>
      <c r="M309" s="9" t="e">
        <f>IF(OR(Data!B309="",Data!#REF!=""),"",IF(ISNUMBER(MATCH(Data!#REF!,Data_Val!$F$1:$F$38,0)),0,1))</f>
        <v>#REF!</v>
      </c>
      <c r="N309" s="9" t="e">
        <f>IF(OR(Data!B309="",Data!#REF!=""),"",IF(Data!#REF!="",1,0))</f>
        <v>#REF!</v>
      </c>
      <c r="O309" s="17" t="e">
        <f>IF(Data!#REF!="","",IF(Data!#REF!="",1,0))</f>
        <v>#REF!</v>
      </c>
      <c r="P309" s="17" t="e">
        <f>IF(Data!#REF!="","",IF(ISNUMBER(MATCH(Data!#REF!,Data_Val!$A$2:$A$3,0)),0,1))</f>
        <v>#REF!</v>
      </c>
      <c r="Q309" s="25" t="e">
        <f ca="1">IF(Data!#REF!="","",IF(ISNUMBER(Data!#REF!),IF(AND(Data!#REF!&gt;(TODAY()-(Data_Val!$J$3*365.25)),Data!#REF!&lt;=(TODAY()-(Data_Val!$J$2*365.25))),0,1),1))</f>
        <v>#REF!</v>
      </c>
      <c r="R309" s="17" t="e">
        <f>IF(Data!#REF!="","",IF(ISNUMBER(MATCH(Data!#REF!,Data_Val!$B$2:$B$15,0)),0,1))</f>
        <v>#REF!</v>
      </c>
      <c r="S309" s="11" t="str">
        <f>IF(Data!G309="","",IF(Data!G309=Data_Val!$C$2,IF(Data!M309="",0,1),0))</f>
        <v/>
      </c>
      <c r="T309" s="11" t="str">
        <f>IF(Data!M309="","",IF(ISNUMBER(MATCH(Data!N309,Data_Val!$A$2:$A$3,0)),0,1))</f>
        <v/>
      </c>
      <c r="U309" s="11" t="str">
        <f ca="1">IF(Data!M309="","",IF(ISNUMBER(Data!O309),IF(AND(Data!O309&gt;(TODAY()-(Data_Val!$K$3*365.25)),Data!O309&lt;=(TODAY()-(Data_Val!$K$2*365.25))),0,1),1))</f>
        <v/>
      </c>
      <c r="V309" s="12" t="str">
        <f>IF(Data!G309="","",IF(Data!G309=Data_Val!$C$2,IF(Data!P309="",0,1),0))</f>
        <v/>
      </c>
      <c r="W309" s="12" t="str">
        <f>IF(Data!P309="","",IF(ISNUMBER(MATCH(Data!Q309,Data_Val!$A$2:$A$3,0)),0,1))</f>
        <v/>
      </c>
      <c r="X309" s="26" t="str">
        <f ca="1">IF(Data!P309="","",IF(ISNUMBER(Data!R309),IF(AND(Data!R309&gt;(TODAY()-(Data_Val!$L$3*365.25)),Data!R309&lt;=(TODAY()-(Data_Val!$L$2*365.25))),0,1),1))</f>
        <v/>
      </c>
      <c r="Y309" s="13" t="str">
        <f>IF(Data!$G309="","",IF(Data!$G309=Data_Val!$C$2,IF(Data!S309="",0,1),0))</f>
        <v/>
      </c>
      <c r="Z309" s="13" t="str">
        <f>IF(Data!S309="","",IF(ISNUMBER(MATCH(Data!T309,Data_Val!$A$2:$A$3,0)),0,1))</f>
        <v/>
      </c>
      <c r="AA309" s="28" t="str">
        <f ca="1">IF(Data!S309="","",IF(ISNUMBER(Data!U309),IF(AND(Data!U309&gt;(TODAY()-(Data_Val!$L$3*365.25)),Data!U309&lt;=(TODAY()-(Data_Val!$L$2*365.25))),0,1),1))</f>
        <v/>
      </c>
      <c r="AB309" s="11"/>
      <c r="AC309" s="11" t="e">
        <f>IF(Data!#REF!="","",IF(ISNUMBER(MATCH(Data!#REF!,Data_Val!$A$2:$A$3,0)),0,1))</f>
        <v>#REF!</v>
      </c>
      <c r="AD309" s="11" t="e">
        <f ca="1">IF(Data!#REF!="","",IF(ISNUMBER(Data!#REF!),IF(AND(Data!#REF!&gt;(TODAY()-(Data_Val!$L$3*365.25)),Data!#REF!&lt;=(TODAY()-(Data_Val!$L$2*365.25))),0,1),1))</f>
        <v>#REF!</v>
      </c>
      <c r="AE309" s="11" t="e">
        <f>IF(Data!#REF!="","",IF(Data!$G309="",1,IF(ISNUMBER(MATCH(Data!#REF!,Data_Val!$D$2:$D$10,0)),0,1)))</f>
        <v>#REF!</v>
      </c>
      <c r="AF309" s="12"/>
      <c r="AG309" s="12" t="e">
        <f>IF(Data!#REF!="","",IF(ISNUMBER(MATCH(Data!#REF!,Data_Val!$A$2:$A$3,0)),0,1))</f>
        <v>#REF!</v>
      </c>
      <c r="AH309" s="26" t="e">
        <f ca="1">IF(Data!#REF!="","",IF(ISNUMBER(Data!#REF!),IF(AND(Data!#REF!&gt;(TODAY()-(Data_Val!$L$3*365.25)),Data!#REF!&lt;=(TODAY()-(Data_Val!$L$2*365.25))),0,1),1))</f>
        <v>#REF!</v>
      </c>
      <c r="AI309" s="12" t="e">
        <f>IF(Data!#REF!="","",IF(Data!$G309="",1,IF(ISNUMBER(MATCH(Data!#REF!,Data_Val!$D$2:$D$10,0)),0,1)))</f>
        <v>#REF!</v>
      </c>
      <c r="AJ309" s="17"/>
      <c r="AK309" s="17" t="e">
        <f>IF(Data!#REF!="","",IF(ISNUMBER(MATCH(Data!#REF!,Data_Val!$A$2:$A$3,0)),0,1))</f>
        <v>#REF!</v>
      </c>
      <c r="AL309" s="25" t="e">
        <f ca="1">IF(Data!#REF!="","",IF(ISNUMBER(Data!#REF!),IF(AND(Data!#REF!&gt;(TODAY()-(Data_Val!$L$3*365.25)),Data!#REF!&lt;=(TODAY()-(Data_Val!$L$2*365.25))),0,1),1))</f>
        <v>#REF!</v>
      </c>
      <c r="AM309" s="17" t="e">
        <f>IF(Data!#REF!="","",IF(Data!$G309="",1,IF(ISNUMBER(MATCH(Data!#REF!,Data_Val!$D$2:$D$10,0)),0,1)))</f>
        <v>#REF!</v>
      </c>
      <c r="AN309" s="13"/>
      <c r="AO309" s="28" t="e">
        <f ca="1">IF(Data!#REF!="","",IF(ISNUMBER(Data!#REF!),IF(AND(Data!#REF!&gt;(TODAY()-(Data_Val!$I$3*365.25)),Data!#REF!&lt;=(TODAY()-(Data_Val!$I$2*365.25))),0,1),1))</f>
        <v>#REF!</v>
      </c>
      <c r="AP309" s="13" t="e">
        <f>IF(Data!#REF!="","",IF(Data!$G309="",1,IF(ISNUMBER(MATCH(Data!#REF!,Data_Val!$D$2:$D$10,0)),0,1)))</f>
        <v>#REF!</v>
      </c>
      <c r="AQ309" s="17"/>
      <c r="AR309" s="30" t="e">
        <f ca="1">IF(Data!#REF!="","",IF(ISNUMBER(Data!#REF!),IF(AND(Data!#REF!&gt;(TODAY()-(Data_Val!$I$3*365.25)),Data!#REF!&lt;=(TODAY()-(Data_Val!$I$2*365.25))),0,1),1))</f>
        <v>#REF!</v>
      </c>
      <c r="AS309" s="31" t="e">
        <f>IF(Data!#REF!="","",IF(Data!$G309="",1,IF(ISNUMBER(MATCH(Data!#REF!,Data_Val!$D$2:$D$10,0)),0,1)))</f>
        <v>#REF!</v>
      </c>
      <c r="AT309" s="11"/>
      <c r="AU309" s="11" t="e">
        <f ca="1">IF(Data!#REF!="","",IF(ISNUMBER(Data!#REF!),IF(AND(Data!#REF!&gt;(TODAY()-(Data_Val!$I$3*365.25)),Data!#REF!&lt;=(TODAY()-(Data_Val!$I$2*365.25))),0,1),1))</f>
        <v>#REF!</v>
      </c>
      <c r="AV309" s="11" t="e">
        <f>IF(Data!#REF!="","",IF(Data!$G309="",1,IF(ISNUMBER(MATCH(Data!#REF!,Data_Val!$D$2:$D$10,0)),0,1)))</f>
        <v>#REF!</v>
      </c>
      <c r="AW309" s="12"/>
      <c r="AX309" s="26" t="e">
        <f ca="1">IF(Data!#REF!="","",IF(ISNUMBER(Data!#REF!),IF(AND(Data!#REF!&gt;(TODAY()-(Data_Val!$I$3*365.25)),Data!#REF!&lt;=(TODAY()-(Data_Val!$I$2*365.25))),0,1),1))</f>
        <v>#REF!</v>
      </c>
      <c r="AY309" s="12" t="e">
        <f>IF(Data!#REF!="","",IF(Data!$G309="",1,IF(ISNUMBER(MATCH(Data!#REF!,Data_Val!$D$2:$D$10,0)),0,1)))</f>
        <v>#REF!</v>
      </c>
      <c r="AZ309" s="11"/>
      <c r="BA309" s="19" t="e">
        <f ca="1">IF(Data!#REF!="","",IF(ISNUMBER(Data!#REF!),IF(AND(Data!#REF!&gt;(TODAY()-(Data_Val!$M$3*365.25)),Data!#REF!&lt;=(TODAY()-(Data_Val!$M$2*365.25))),0,1),1))</f>
        <v>#REF!</v>
      </c>
      <c r="BB309" s="11" t="e">
        <f>IF(Data!#REF!="","",IF(Data!$G309="",1,IF(ISNUMBER(MATCH(Data!#REF!,Data_Val!$D$2:$D$10,0)),0,1)))</f>
        <v>#REF!</v>
      </c>
      <c r="BC309" s="12"/>
      <c r="BD309" s="20" t="e">
        <f ca="1">IF(Data!#REF!="","",IF(ISNUMBER(Data!#REF!),IF(AND(Data!#REF!&gt;(TODAY()-(Data_Val!$M$3*365.25)),Data!#REF!&lt;=(TODAY()-(Data_Val!$M$2*365.25))),0,1),1))</f>
        <v>#REF!</v>
      </c>
      <c r="BE309" s="12" t="e">
        <f>IF(Data!#REF!="","",IF(Data!$G309="",1,IF(ISNUMBER(MATCH(Data!#REF!,Data_Val!$D$2:$D$10,0)),0,1)))</f>
        <v>#REF!</v>
      </c>
      <c r="BF309" s="17"/>
      <c r="BG309" s="18" t="e">
        <f ca="1">IF(Data!#REF!="","",IF(ISNUMBER(Data!#REF!),IF(AND(Data!#REF!&gt;(TODAY()-(Data_Val!$M$3*365.25)),Data!#REF!&lt;=(TODAY()-(Data_Val!$M$2*365.25))),0,1),1))</f>
        <v>#REF!</v>
      </c>
      <c r="BH309" s="29" t="e">
        <f>IF(Data!#REF!="","",IF(Data!$G309="",1,IF(ISNUMBER(MATCH(Data!#REF!,Data_Val!$D$2:$D$10,0)),0,1)))</f>
        <v>#REF!</v>
      </c>
      <c r="BI309" s="13"/>
      <c r="BJ309" s="21" t="e">
        <f ca="1">IF(Data!#REF!="","",IF(ISNUMBER(Data!#REF!),IF(AND(Data!#REF!&gt;(TODAY()-(Data_Val!$M$3*365.25)),Data!#REF!&lt;=(TODAY()-(Data_Val!$M$2*365.25))),0,1),1))</f>
        <v>#REF!</v>
      </c>
      <c r="BK309" s="13" t="e">
        <f>IF(Data!#REF!="","",IF(Data!$G309="",1,IF(ISNUMBER(MATCH(Data!#REF!,Data_Val!$D$2:$D$10,0)),0,1)))</f>
        <v>#REF!</v>
      </c>
    </row>
    <row r="310" spans="1:63" x14ac:dyDescent="0.25">
      <c r="A310" s="9" t="str">
        <f>IF(Data!B310="","",IF(COUNTIFS(Data!A$1:'Data'!A310,Data!A310)&lt;=1,0,1))</f>
        <v/>
      </c>
      <c r="B310" s="9"/>
      <c r="C310" s="23" t="str">
        <f>IF(Data!C310="","",(IF(ISNUMBER(MATCH("*@*.?*",Data!C310,0)),0,1)+IF(COUNTIFS(Data!C$1:'Data'!C310,Data!C310)&gt;1,1,0)))</f>
        <v/>
      </c>
      <c r="D310" s="9" t="str">
        <f>IF(Data!B310="","",IF(ISNUMBER(Data!D310),IF(AND(Data!D310&gt;999999999,Data!D310&lt;=9999999999),IF(COUNTIFS(Data!D$1:'Data'!D310,Data!D310)&lt;=1,0,1),1),1))</f>
        <v/>
      </c>
      <c r="E310" s="9" t="str">
        <f>IF(Data!B310="","",IF(ISNUMBER(MATCH(Data!E310,Data_Val!$A$2:$A$3,0)),0,1))</f>
        <v/>
      </c>
      <c r="F310" s="9" t="str">
        <f ca="1">IF(Data!B310="","",IF(ISNUMBER(Data!F310),IF(AND(Data!F310&gt;(TODAY()-(Data_Val!$H$3*365.25)),Data!F310&lt;=(TODAY()-(Data_Val!$H$2*365.25))),0,1),1))</f>
        <v/>
      </c>
      <c r="G310" s="15" t="str">
        <f>IF(Data!B310="","",IF(AND(Data!G310="",Data!H310&lt;&gt;""),1,IF(Data!#REF!&lt;&gt;"",0,IF(ISNUMBER(MATCH(Data!G310,Data_Val!$C$2:$C$5,0)),0,1))))</f>
        <v/>
      </c>
      <c r="H310" s="15" t="str">
        <f>IF(Data!B310="","",IF(AND(Data!G310&lt;&gt;"",Data!H310=""),1,IF(Data!#REF!&lt;&gt;"",0,IF(Data!G310="",1,IF(ISNUMBER(MATCH(Data!H310,Data_Val!$D$2:$D$35,0)),0,1)))))</f>
        <v/>
      </c>
      <c r="I310" s="15" t="str">
        <f>IF(Data!B310="","",IF(Data!G310&lt;&gt;"",0,IF(ISNUMBER(MATCH(Data!#REF!,Data_Val!$E$2:$E$12,0)),0,1)))</f>
        <v/>
      </c>
      <c r="J310" s="16" t="e">
        <f>IF(OR(Data!B310="",Data!#REF!=""),"",IF(Data!#REF!="",1,0))</f>
        <v>#REF!</v>
      </c>
      <c r="K310" s="16" t="e">
        <f>IF(OR(Data!B310="",Data!#REF!=""),"",IF(Data!#REF!="",1,0))</f>
        <v>#REF!</v>
      </c>
      <c r="L310" s="16" t="e">
        <f>IF(OR(Data!B310="",Data!#REF!=""),"",IF(ISNUMBER(Data!#REF!),IF(AND(Data!#REF!&gt;Data_Val!$G$2,Data!#REF!&lt;=Data_Val!$G$3),0,1),1))</f>
        <v>#REF!</v>
      </c>
      <c r="M310" s="9" t="e">
        <f>IF(OR(Data!B310="",Data!#REF!=""),"",IF(ISNUMBER(MATCH(Data!#REF!,Data_Val!$F$1:$F$38,0)),0,1))</f>
        <v>#REF!</v>
      </c>
      <c r="N310" s="9" t="e">
        <f>IF(OR(Data!B310="",Data!#REF!=""),"",IF(Data!#REF!="",1,0))</f>
        <v>#REF!</v>
      </c>
      <c r="O310" s="17" t="e">
        <f>IF(Data!#REF!="","",IF(Data!#REF!="",1,0))</f>
        <v>#REF!</v>
      </c>
      <c r="P310" s="17" t="e">
        <f>IF(Data!#REF!="","",IF(ISNUMBER(MATCH(Data!#REF!,Data_Val!$A$2:$A$3,0)),0,1))</f>
        <v>#REF!</v>
      </c>
      <c r="Q310" s="25" t="e">
        <f ca="1">IF(Data!#REF!="","",IF(ISNUMBER(Data!#REF!),IF(AND(Data!#REF!&gt;(TODAY()-(Data_Val!$J$3*365.25)),Data!#REF!&lt;=(TODAY()-(Data_Val!$J$2*365.25))),0,1),1))</f>
        <v>#REF!</v>
      </c>
      <c r="R310" s="17" t="e">
        <f>IF(Data!#REF!="","",IF(ISNUMBER(MATCH(Data!#REF!,Data_Val!$B$2:$B$15,0)),0,1))</f>
        <v>#REF!</v>
      </c>
      <c r="S310" s="11" t="str">
        <f>IF(Data!G310="","",IF(Data!G310=Data_Val!$C$2,IF(Data!M310="",0,1),0))</f>
        <v/>
      </c>
      <c r="T310" s="11" t="str">
        <f>IF(Data!M310="","",IF(ISNUMBER(MATCH(Data!N310,Data_Val!$A$2:$A$3,0)),0,1))</f>
        <v/>
      </c>
      <c r="U310" s="11" t="str">
        <f ca="1">IF(Data!M310="","",IF(ISNUMBER(Data!O310),IF(AND(Data!O310&gt;(TODAY()-(Data_Val!$K$3*365.25)),Data!O310&lt;=(TODAY()-(Data_Val!$K$2*365.25))),0,1),1))</f>
        <v/>
      </c>
      <c r="V310" s="12" t="str">
        <f>IF(Data!G310="","",IF(Data!G310=Data_Val!$C$2,IF(Data!P310="",0,1),0))</f>
        <v/>
      </c>
      <c r="W310" s="12" t="str">
        <f>IF(Data!P310="","",IF(ISNUMBER(MATCH(Data!Q310,Data_Val!$A$2:$A$3,0)),0,1))</f>
        <v/>
      </c>
      <c r="X310" s="26" t="str">
        <f ca="1">IF(Data!P310="","",IF(ISNUMBER(Data!R310),IF(AND(Data!R310&gt;(TODAY()-(Data_Val!$L$3*365.25)),Data!R310&lt;=(TODAY()-(Data_Val!$L$2*365.25))),0,1),1))</f>
        <v/>
      </c>
      <c r="Y310" s="13" t="str">
        <f>IF(Data!$G310="","",IF(Data!$G310=Data_Val!$C$2,IF(Data!S310="",0,1),0))</f>
        <v/>
      </c>
      <c r="Z310" s="13" t="str">
        <f>IF(Data!S310="","",IF(ISNUMBER(MATCH(Data!T310,Data_Val!$A$2:$A$3,0)),0,1))</f>
        <v/>
      </c>
      <c r="AA310" s="28" t="str">
        <f ca="1">IF(Data!S310="","",IF(ISNUMBER(Data!U310),IF(AND(Data!U310&gt;(TODAY()-(Data_Val!$L$3*365.25)),Data!U310&lt;=(TODAY()-(Data_Val!$L$2*365.25))),0,1),1))</f>
        <v/>
      </c>
      <c r="AB310" s="11"/>
      <c r="AC310" s="11" t="e">
        <f>IF(Data!#REF!="","",IF(ISNUMBER(MATCH(Data!#REF!,Data_Val!$A$2:$A$3,0)),0,1))</f>
        <v>#REF!</v>
      </c>
      <c r="AD310" s="11" t="e">
        <f ca="1">IF(Data!#REF!="","",IF(ISNUMBER(Data!#REF!),IF(AND(Data!#REF!&gt;(TODAY()-(Data_Val!$L$3*365.25)),Data!#REF!&lt;=(TODAY()-(Data_Val!$L$2*365.25))),0,1),1))</f>
        <v>#REF!</v>
      </c>
      <c r="AE310" s="11" t="e">
        <f>IF(Data!#REF!="","",IF(Data!$G310="",1,IF(ISNUMBER(MATCH(Data!#REF!,Data_Val!$D$2:$D$10,0)),0,1)))</f>
        <v>#REF!</v>
      </c>
      <c r="AF310" s="12"/>
      <c r="AG310" s="12" t="e">
        <f>IF(Data!#REF!="","",IF(ISNUMBER(MATCH(Data!#REF!,Data_Val!$A$2:$A$3,0)),0,1))</f>
        <v>#REF!</v>
      </c>
      <c r="AH310" s="26" t="e">
        <f ca="1">IF(Data!#REF!="","",IF(ISNUMBER(Data!#REF!),IF(AND(Data!#REF!&gt;(TODAY()-(Data_Val!$L$3*365.25)),Data!#REF!&lt;=(TODAY()-(Data_Val!$L$2*365.25))),0,1),1))</f>
        <v>#REF!</v>
      </c>
      <c r="AI310" s="12" t="e">
        <f>IF(Data!#REF!="","",IF(Data!$G310="",1,IF(ISNUMBER(MATCH(Data!#REF!,Data_Val!$D$2:$D$10,0)),0,1)))</f>
        <v>#REF!</v>
      </c>
      <c r="AJ310" s="17"/>
      <c r="AK310" s="17" t="e">
        <f>IF(Data!#REF!="","",IF(ISNUMBER(MATCH(Data!#REF!,Data_Val!$A$2:$A$3,0)),0,1))</f>
        <v>#REF!</v>
      </c>
      <c r="AL310" s="25" t="e">
        <f ca="1">IF(Data!#REF!="","",IF(ISNUMBER(Data!#REF!),IF(AND(Data!#REF!&gt;(TODAY()-(Data_Val!$L$3*365.25)),Data!#REF!&lt;=(TODAY()-(Data_Val!$L$2*365.25))),0,1),1))</f>
        <v>#REF!</v>
      </c>
      <c r="AM310" s="17" t="e">
        <f>IF(Data!#REF!="","",IF(Data!$G310="",1,IF(ISNUMBER(MATCH(Data!#REF!,Data_Val!$D$2:$D$10,0)),0,1)))</f>
        <v>#REF!</v>
      </c>
      <c r="AN310" s="13"/>
      <c r="AO310" s="28" t="e">
        <f ca="1">IF(Data!#REF!="","",IF(ISNUMBER(Data!#REF!),IF(AND(Data!#REF!&gt;(TODAY()-(Data_Val!$I$3*365.25)),Data!#REF!&lt;=(TODAY()-(Data_Val!$I$2*365.25))),0,1),1))</f>
        <v>#REF!</v>
      </c>
      <c r="AP310" s="13" t="e">
        <f>IF(Data!#REF!="","",IF(Data!$G310="",1,IF(ISNUMBER(MATCH(Data!#REF!,Data_Val!$D$2:$D$10,0)),0,1)))</f>
        <v>#REF!</v>
      </c>
      <c r="AQ310" s="17"/>
      <c r="AR310" s="30" t="e">
        <f ca="1">IF(Data!#REF!="","",IF(ISNUMBER(Data!#REF!),IF(AND(Data!#REF!&gt;(TODAY()-(Data_Val!$I$3*365.25)),Data!#REF!&lt;=(TODAY()-(Data_Val!$I$2*365.25))),0,1),1))</f>
        <v>#REF!</v>
      </c>
      <c r="AS310" s="31" t="e">
        <f>IF(Data!#REF!="","",IF(Data!$G310="",1,IF(ISNUMBER(MATCH(Data!#REF!,Data_Val!$D$2:$D$10,0)),0,1)))</f>
        <v>#REF!</v>
      </c>
      <c r="AT310" s="11"/>
      <c r="AU310" s="11" t="e">
        <f ca="1">IF(Data!#REF!="","",IF(ISNUMBER(Data!#REF!),IF(AND(Data!#REF!&gt;(TODAY()-(Data_Val!$I$3*365.25)),Data!#REF!&lt;=(TODAY()-(Data_Val!$I$2*365.25))),0,1),1))</f>
        <v>#REF!</v>
      </c>
      <c r="AV310" s="11" t="e">
        <f>IF(Data!#REF!="","",IF(Data!$G310="",1,IF(ISNUMBER(MATCH(Data!#REF!,Data_Val!$D$2:$D$10,0)),0,1)))</f>
        <v>#REF!</v>
      </c>
      <c r="AW310" s="12"/>
      <c r="AX310" s="26" t="e">
        <f ca="1">IF(Data!#REF!="","",IF(ISNUMBER(Data!#REF!),IF(AND(Data!#REF!&gt;(TODAY()-(Data_Val!$I$3*365.25)),Data!#REF!&lt;=(TODAY()-(Data_Val!$I$2*365.25))),0,1),1))</f>
        <v>#REF!</v>
      </c>
      <c r="AY310" s="12" t="e">
        <f>IF(Data!#REF!="","",IF(Data!$G310="",1,IF(ISNUMBER(MATCH(Data!#REF!,Data_Val!$D$2:$D$10,0)),0,1)))</f>
        <v>#REF!</v>
      </c>
      <c r="AZ310" s="11"/>
      <c r="BA310" s="19" t="e">
        <f ca="1">IF(Data!#REF!="","",IF(ISNUMBER(Data!#REF!),IF(AND(Data!#REF!&gt;(TODAY()-(Data_Val!$M$3*365.25)),Data!#REF!&lt;=(TODAY()-(Data_Val!$M$2*365.25))),0,1),1))</f>
        <v>#REF!</v>
      </c>
      <c r="BB310" s="11" t="e">
        <f>IF(Data!#REF!="","",IF(Data!$G310="",1,IF(ISNUMBER(MATCH(Data!#REF!,Data_Val!$D$2:$D$10,0)),0,1)))</f>
        <v>#REF!</v>
      </c>
      <c r="BC310" s="12"/>
      <c r="BD310" s="20" t="e">
        <f ca="1">IF(Data!#REF!="","",IF(ISNUMBER(Data!#REF!),IF(AND(Data!#REF!&gt;(TODAY()-(Data_Val!$M$3*365.25)),Data!#REF!&lt;=(TODAY()-(Data_Val!$M$2*365.25))),0,1),1))</f>
        <v>#REF!</v>
      </c>
      <c r="BE310" s="12" t="e">
        <f>IF(Data!#REF!="","",IF(Data!$G310="",1,IF(ISNUMBER(MATCH(Data!#REF!,Data_Val!$D$2:$D$10,0)),0,1)))</f>
        <v>#REF!</v>
      </c>
      <c r="BF310" s="17"/>
      <c r="BG310" s="18" t="e">
        <f ca="1">IF(Data!#REF!="","",IF(ISNUMBER(Data!#REF!),IF(AND(Data!#REF!&gt;(TODAY()-(Data_Val!$M$3*365.25)),Data!#REF!&lt;=(TODAY()-(Data_Val!$M$2*365.25))),0,1),1))</f>
        <v>#REF!</v>
      </c>
      <c r="BH310" s="29" t="e">
        <f>IF(Data!#REF!="","",IF(Data!$G310="",1,IF(ISNUMBER(MATCH(Data!#REF!,Data_Val!$D$2:$D$10,0)),0,1)))</f>
        <v>#REF!</v>
      </c>
      <c r="BI310" s="13"/>
      <c r="BJ310" s="21" t="e">
        <f ca="1">IF(Data!#REF!="","",IF(ISNUMBER(Data!#REF!),IF(AND(Data!#REF!&gt;(TODAY()-(Data_Val!$M$3*365.25)),Data!#REF!&lt;=(TODAY()-(Data_Val!$M$2*365.25))),0,1),1))</f>
        <v>#REF!</v>
      </c>
      <c r="BK310" s="13" t="e">
        <f>IF(Data!#REF!="","",IF(Data!$G310="",1,IF(ISNUMBER(MATCH(Data!#REF!,Data_Val!$D$2:$D$10,0)),0,1)))</f>
        <v>#REF!</v>
      </c>
    </row>
    <row r="311" spans="1:63" x14ac:dyDescent="0.25">
      <c r="A311" s="9" t="str">
        <f>IF(Data!B311="","",IF(COUNTIFS(Data!A$1:'Data'!A311,Data!A311)&lt;=1,0,1))</f>
        <v/>
      </c>
      <c r="B311" s="9"/>
      <c r="C311" s="23" t="str">
        <f>IF(Data!C311="","",(IF(ISNUMBER(MATCH("*@*.?*",Data!C311,0)),0,1)+IF(COUNTIFS(Data!C$1:'Data'!C311,Data!C311)&gt;1,1,0)))</f>
        <v/>
      </c>
      <c r="D311" s="9" t="str">
        <f>IF(Data!B311="","",IF(ISNUMBER(Data!D311),IF(AND(Data!D311&gt;999999999,Data!D311&lt;=9999999999),IF(COUNTIFS(Data!D$1:'Data'!D311,Data!D311)&lt;=1,0,1),1),1))</f>
        <v/>
      </c>
      <c r="E311" s="9" t="str">
        <f>IF(Data!B311="","",IF(ISNUMBER(MATCH(Data!E311,Data_Val!$A$2:$A$3,0)),0,1))</f>
        <v/>
      </c>
      <c r="F311" s="9" t="str">
        <f ca="1">IF(Data!B311="","",IF(ISNUMBER(Data!F311),IF(AND(Data!F311&gt;(TODAY()-(Data_Val!$H$3*365.25)),Data!F311&lt;=(TODAY()-(Data_Val!$H$2*365.25))),0,1),1))</f>
        <v/>
      </c>
      <c r="G311" s="15" t="str">
        <f>IF(Data!B311="","",IF(AND(Data!G311="",Data!H311&lt;&gt;""),1,IF(Data!#REF!&lt;&gt;"",0,IF(ISNUMBER(MATCH(Data!G311,Data_Val!$C$2:$C$5,0)),0,1))))</f>
        <v/>
      </c>
      <c r="H311" s="15" t="str">
        <f>IF(Data!B311="","",IF(AND(Data!G311&lt;&gt;"",Data!H311=""),1,IF(Data!#REF!&lt;&gt;"",0,IF(Data!G311="",1,IF(ISNUMBER(MATCH(Data!H311,Data_Val!$D$2:$D$35,0)),0,1)))))</f>
        <v/>
      </c>
      <c r="I311" s="15" t="str">
        <f>IF(Data!B311="","",IF(Data!G311&lt;&gt;"",0,IF(ISNUMBER(MATCH(Data!#REF!,Data_Val!$E$2:$E$12,0)),0,1)))</f>
        <v/>
      </c>
      <c r="J311" s="16" t="e">
        <f>IF(OR(Data!B311="",Data!#REF!=""),"",IF(Data!#REF!="",1,0))</f>
        <v>#REF!</v>
      </c>
      <c r="K311" s="16" t="e">
        <f>IF(OR(Data!B311="",Data!#REF!=""),"",IF(Data!#REF!="",1,0))</f>
        <v>#REF!</v>
      </c>
      <c r="L311" s="16" t="e">
        <f>IF(OR(Data!B311="",Data!#REF!=""),"",IF(ISNUMBER(Data!#REF!),IF(AND(Data!#REF!&gt;Data_Val!$G$2,Data!#REF!&lt;=Data_Val!$G$3),0,1),1))</f>
        <v>#REF!</v>
      </c>
      <c r="M311" s="9" t="e">
        <f>IF(OR(Data!B311="",Data!#REF!=""),"",IF(ISNUMBER(MATCH(Data!#REF!,Data_Val!$F$1:$F$38,0)),0,1))</f>
        <v>#REF!</v>
      </c>
      <c r="N311" s="9" t="e">
        <f>IF(OR(Data!B311="",Data!#REF!=""),"",IF(Data!#REF!="",1,0))</f>
        <v>#REF!</v>
      </c>
      <c r="O311" s="17" t="e">
        <f>IF(Data!#REF!="","",IF(Data!#REF!="",1,0))</f>
        <v>#REF!</v>
      </c>
      <c r="P311" s="17" t="e">
        <f>IF(Data!#REF!="","",IF(ISNUMBER(MATCH(Data!#REF!,Data_Val!$A$2:$A$3,0)),0,1))</f>
        <v>#REF!</v>
      </c>
      <c r="Q311" s="25" t="e">
        <f ca="1">IF(Data!#REF!="","",IF(ISNUMBER(Data!#REF!),IF(AND(Data!#REF!&gt;(TODAY()-(Data_Val!$J$3*365.25)),Data!#REF!&lt;=(TODAY()-(Data_Val!$J$2*365.25))),0,1),1))</f>
        <v>#REF!</v>
      </c>
      <c r="R311" s="17" t="e">
        <f>IF(Data!#REF!="","",IF(ISNUMBER(MATCH(Data!#REF!,Data_Val!$B$2:$B$15,0)),0,1))</f>
        <v>#REF!</v>
      </c>
      <c r="S311" s="11" t="str">
        <f>IF(Data!G311="","",IF(Data!G311=Data_Val!$C$2,IF(Data!M311="",0,1),0))</f>
        <v/>
      </c>
      <c r="T311" s="11" t="str">
        <f>IF(Data!M311="","",IF(ISNUMBER(MATCH(Data!N311,Data_Val!$A$2:$A$3,0)),0,1))</f>
        <v/>
      </c>
      <c r="U311" s="11" t="str">
        <f ca="1">IF(Data!M311="","",IF(ISNUMBER(Data!O311),IF(AND(Data!O311&gt;(TODAY()-(Data_Val!$K$3*365.25)),Data!O311&lt;=(TODAY()-(Data_Val!$K$2*365.25))),0,1),1))</f>
        <v/>
      </c>
      <c r="V311" s="12" t="str">
        <f>IF(Data!G311="","",IF(Data!G311=Data_Val!$C$2,IF(Data!P311="",0,1),0))</f>
        <v/>
      </c>
      <c r="W311" s="12" t="str">
        <f>IF(Data!P311="","",IF(ISNUMBER(MATCH(Data!Q311,Data_Val!$A$2:$A$3,0)),0,1))</f>
        <v/>
      </c>
      <c r="X311" s="26" t="str">
        <f ca="1">IF(Data!P311="","",IF(ISNUMBER(Data!R311),IF(AND(Data!R311&gt;(TODAY()-(Data_Val!$L$3*365.25)),Data!R311&lt;=(TODAY()-(Data_Val!$L$2*365.25))),0,1),1))</f>
        <v/>
      </c>
      <c r="Y311" s="13" t="str">
        <f>IF(Data!$G311="","",IF(Data!$G311=Data_Val!$C$2,IF(Data!S311="",0,1),0))</f>
        <v/>
      </c>
      <c r="Z311" s="13" t="str">
        <f>IF(Data!S311="","",IF(ISNUMBER(MATCH(Data!T311,Data_Val!$A$2:$A$3,0)),0,1))</f>
        <v/>
      </c>
      <c r="AA311" s="28" t="str">
        <f ca="1">IF(Data!S311="","",IF(ISNUMBER(Data!U311),IF(AND(Data!U311&gt;(TODAY()-(Data_Val!$L$3*365.25)),Data!U311&lt;=(TODAY()-(Data_Val!$L$2*365.25))),0,1),1))</f>
        <v/>
      </c>
      <c r="AB311" s="11"/>
      <c r="AC311" s="11" t="e">
        <f>IF(Data!#REF!="","",IF(ISNUMBER(MATCH(Data!#REF!,Data_Val!$A$2:$A$3,0)),0,1))</f>
        <v>#REF!</v>
      </c>
      <c r="AD311" s="11" t="e">
        <f ca="1">IF(Data!#REF!="","",IF(ISNUMBER(Data!#REF!),IF(AND(Data!#REF!&gt;(TODAY()-(Data_Val!$L$3*365.25)),Data!#REF!&lt;=(TODAY()-(Data_Val!$L$2*365.25))),0,1),1))</f>
        <v>#REF!</v>
      </c>
      <c r="AE311" s="11" t="e">
        <f>IF(Data!#REF!="","",IF(Data!$G311="",1,IF(ISNUMBER(MATCH(Data!#REF!,Data_Val!$D$2:$D$10,0)),0,1)))</f>
        <v>#REF!</v>
      </c>
      <c r="AF311" s="12"/>
      <c r="AG311" s="12" t="e">
        <f>IF(Data!#REF!="","",IF(ISNUMBER(MATCH(Data!#REF!,Data_Val!$A$2:$A$3,0)),0,1))</f>
        <v>#REF!</v>
      </c>
      <c r="AH311" s="26" t="e">
        <f ca="1">IF(Data!#REF!="","",IF(ISNUMBER(Data!#REF!),IF(AND(Data!#REF!&gt;(TODAY()-(Data_Val!$L$3*365.25)),Data!#REF!&lt;=(TODAY()-(Data_Val!$L$2*365.25))),0,1),1))</f>
        <v>#REF!</v>
      </c>
      <c r="AI311" s="12" t="e">
        <f>IF(Data!#REF!="","",IF(Data!$G311="",1,IF(ISNUMBER(MATCH(Data!#REF!,Data_Val!$D$2:$D$10,0)),0,1)))</f>
        <v>#REF!</v>
      </c>
      <c r="AJ311" s="17"/>
      <c r="AK311" s="17" t="e">
        <f>IF(Data!#REF!="","",IF(ISNUMBER(MATCH(Data!#REF!,Data_Val!$A$2:$A$3,0)),0,1))</f>
        <v>#REF!</v>
      </c>
      <c r="AL311" s="25" t="e">
        <f ca="1">IF(Data!#REF!="","",IF(ISNUMBER(Data!#REF!),IF(AND(Data!#REF!&gt;(TODAY()-(Data_Val!$L$3*365.25)),Data!#REF!&lt;=(TODAY()-(Data_Val!$L$2*365.25))),0,1),1))</f>
        <v>#REF!</v>
      </c>
      <c r="AM311" s="17" t="e">
        <f>IF(Data!#REF!="","",IF(Data!$G311="",1,IF(ISNUMBER(MATCH(Data!#REF!,Data_Val!$D$2:$D$10,0)),0,1)))</f>
        <v>#REF!</v>
      </c>
      <c r="AN311" s="13"/>
      <c r="AO311" s="28" t="e">
        <f ca="1">IF(Data!#REF!="","",IF(ISNUMBER(Data!#REF!),IF(AND(Data!#REF!&gt;(TODAY()-(Data_Val!$I$3*365.25)),Data!#REF!&lt;=(TODAY()-(Data_Val!$I$2*365.25))),0,1),1))</f>
        <v>#REF!</v>
      </c>
      <c r="AP311" s="13" t="e">
        <f>IF(Data!#REF!="","",IF(Data!$G311="",1,IF(ISNUMBER(MATCH(Data!#REF!,Data_Val!$D$2:$D$10,0)),0,1)))</f>
        <v>#REF!</v>
      </c>
      <c r="AQ311" s="17"/>
      <c r="AR311" s="30" t="e">
        <f ca="1">IF(Data!#REF!="","",IF(ISNUMBER(Data!#REF!),IF(AND(Data!#REF!&gt;(TODAY()-(Data_Val!$I$3*365.25)),Data!#REF!&lt;=(TODAY()-(Data_Val!$I$2*365.25))),0,1),1))</f>
        <v>#REF!</v>
      </c>
      <c r="AS311" s="31" t="e">
        <f>IF(Data!#REF!="","",IF(Data!$G311="",1,IF(ISNUMBER(MATCH(Data!#REF!,Data_Val!$D$2:$D$10,0)),0,1)))</f>
        <v>#REF!</v>
      </c>
      <c r="AT311" s="11"/>
      <c r="AU311" s="11" t="e">
        <f ca="1">IF(Data!#REF!="","",IF(ISNUMBER(Data!#REF!),IF(AND(Data!#REF!&gt;(TODAY()-(Data_Val!$I$3*365.25)),Data!#REF!&lt;=(TODAY()-(Data_Val!$I$2*365.25))),0,1),1))</f>
        <v>#REF!</v>
      </c>
      <c r="AV311" s="11" t="e">
        <f>IF(Data!#REF!="","",IF(Data!$G311="",1,IF(ISNUMBER(MATCH(Data!#REF!,Data_Val!$D$2:$D$10,0)),0,1)))</f>
        <v>#REF!</v>
      </c>
      <c r="AW311" s="12"/>
      <c r="AX311" s="26" t="e">
        <f ca="1">IF(Data!#REF!="","",IF(ISNUMBER(Data!#REF!),IF(AND(Data!#REF!&gt;(TODAY()-(Data_Val!$I$3*365.25)),Data!#REF!&lt;=(TODAY()-(Data_Val!$I$2*365.25))),0,1),1))</f>
        <v>#REF!</v>
      </c>
      <c r="AY311" s="12" t="e">
        <f>IF(Data!#REF!="","",IF(Data!$G311="",1,IF(ISNUMBER(MATCH(Data!#REF!,Data_Val!$D$2:$D$10,0)),0,1)))</f>
        <v>#REF!</v>
      </c>
      <c r="AZ311" s="11"/>
      <c r="BA311" s="19" t="e">
        <f ca="1">IF(Data!#REF!="","",IF(ISNUMBER(Data!#REF!),IF(AND(Data!#REF!&gt;(TODAY()-(Data_Val!$M$3*365.25)),Data!#REF!&lt;=(TODAY()-(Data_Val!$M$2*365.25))),0,1),1))</f>
        <v>#REF!</v>
      </c>
      <c r="BB311" s="11" t="e">
        <f>IF(Data!#REF!="","",IF(Data!$G311="",1,IF(ISNUMBER(MATCH(Data!#REF!,Data_Val!$D$2:$D$10,0)),0,1)))</f>
        <v>#REF!</v>
      </c>
      <c r="BC311" s="12"/>
      <c r="BD311" s="20" t="e">
        <f ca="1">IF(Data!#REF!="","",IF(ISNUMBER(Data!#REF!),IF(AND(Data!#REF!&gt;(TODAY()-(Data_Val!$M$3*365.25)),Data!#REF!&lt;=(TODAY()-(Data_Val!$M$2*365.25))),0,1),1))</f>
        <v>#REF!</v>
      </c>
      <c r="BE311" s="12" t="e">
        <f>IF(Data!#REF!="","",IF(Data!$G311="",1,IF(ISNUMBER(MATCH(Data!#REF!,Data_Val!$D$2:$D$10,0)),0,1)))</f>
        <v>#REF!</v>
      </c>
      <c r="BF311" s="17"/>
      <c r="BG311" s="18" t="e">
        <f ca="1">IF(Data!#REF!="","",IF(ISNUMBER(Data!#REF!),IF(AND(Data!#REF!&gt;(TODAY()-(Data_Val!$M$3*365.25)),Data!#REF!&lt;=(TODAY()-(Data_Val!$M$2*365.25))),0,1),1))</f>
        <v>#REF!</v>
      </c>
      <c r="BH311" s="29" t="e">
        <f>IF(Data!#REF!="","",IF(Data!$G311="",1,IF(ISNUMBER(MATCH(Data!#REF!,Data_Val!$D$2:$D$10,0)),0,1)))</f>
        <v>#REF!</v>
      </c>
      <c r="BI311" s="13"/>
      <c r="BJ311" s="21" t="e">
        <f ca="1">IF(Data!#REF!="","",IF(ISNUMBER(Data!#REF!),IF(AND(Data!#REF!&gt;(TODAY()-(Data_Val!$M$3*365.25)),Data!#REF!&lt;=(TODAY()-(Data_Val!$M$2*365.25))),0,1),1))</f>
        <v>#REF!</v>
      </c>
      <c r="BK311" s="13" t="e">
        <f>IF(Data!#REF!="","",IF(Data!$G311="",1,IF(ISNUMBER(MATCH(Data!#REF!,Data_Val!$D$2:$D$10,0)),0,1)))</f>
        <v>#REF!</v>
      </c>
    </row>
    <row r="312" spans="1:63" x14ac:dyDescent="0.25">
      <c r="A312" s="9" t="str">
        <f>IF(Data!B312="","",IF(COUNTIFS(Data!A$1:'Data'!A312,Data!A312)&lt;=1,0,1))</f>
        <v/>
      </c>
      <c r="B312" s="9"/>
      <c r="C312" s="23" t="str">
        <f>IF(Data!C312="","",(IF(ISNUMBER(MATCH("*@*.?*",Data!C312,0)),0,1)+IF(COUNTIFS(Data!C$1:'Data'!C312,Data!C312)&gt;1,1,0)))</f>
        <v/>
      </c>
      <c r="D312" s="9" t="str">
        <f>IF(Data!B312="","",IF(ISNUMBER(Data!D312),IF(AND(Data!D312&gt;999999999,Data!D312&lt;=9999999999),IF(COUNTIFS(Data!D$1:'Data'!D312,Data!D312)&lt;=1,0,1),1),1))</f>
        <v/>
      </c>
      <c r="E312" s="9" t="str">
        <f>IF(Data!B312="","",IF(ISNUMBER(MATCH(Data!E312,Data_Val!$A$2:$A$3,0)),0,1))</f>
        <v/>
      </c>
      <c r="F312" s="9" t="str">
        <f ca="1">IF(Data!B312="","",IF(ISNUMBER(Data!F312),IF(AND(Data!F312&gt;(TODAY()-(Data_Val!$H$3*365.25)),Data!F312&lt;=(TODAY()-(Data_Val!$H$2*365.25))),0,1),1))</f>
        <v/>
      </c>
      <c r="G312" s="15" t="str">
        <f>IF(Data!B312="","",IF(AND(Data!G312="",Data!H312&lt;&gt;""),1,IF(Data!#REF!&lt;&gt;"",0,IF(ISNUMBER(MATCH(Data!G312,Data_Val!$C$2:$C$5,0)),0,1))))</f>
        <v/>
      </c>
      <c r="H312" s="15" t="str">
        <f>IF(Data!B312="","",IF(AND(Data!G312&lt;&gt;"",Data!H312=""),1,IF(Data!#REF!&lt;&gt;"",0,IF(Data!G312="",1,IF(ISNUMBER(MATCH(Data!H312,Data_Val!$D$2:$D$35,0)),0,1)))))</f>
        <v/>
      </c>
      <c r="I312" s="15" t="str">
        <f>IF(Data!B312="","",IF(Data!G312&lt;&gt;"",0,IF(ISNUMBER(MATCH(Data!#REF!,Data_Val!$E$2:$E$12,0)),0,1)))</f>
        <v/>
      </c>
      <c r="J312" s="16" t="e">
        <f>IF(OR(Data!B312="",Data!#REF!=""),"",IF(Data!#REF!="",1,0))</f>
        <v>#REF!</v>
      </c>
      <c r="K312" s="16" t="e">
        <f>IF(OR(Data!B312="",Data!#REF!=""),"",IF(Data!#REF!="",1,0))</f>
        <v>#REF!</v>
      </c>
      <c r="L312" s="16" t="e">
        <f>IF(OR(Data!B312="",Data!#REF!=""),"",IF(ISNUMBER(Data!#REF!),IF(AND(Data!#REF!&gt;Data_Val!$G$2,Data!#REF!&lt;=Data_Val!$G$3),0,1),1))</f>
        <v>#REF!</v>
      </c>
      <c r="M312" s="9" t="e">
        <f>IF(OR(Data!B312="",Data!#REF!=""),"",IF(ISNUMBER(MATCH(Data!#REF!,Data_Val!$F$1:$F$38,0)),0,1))</f>
        <v>#REF!</v>
      </c>
      <c r="N312" s="9" t="e">
        <f>IF(OR(Data!B312="",Data!#REF!=""),"",IF(Data!#REF!="",1,0))</f>
        <v>#REF!</v>
      </c>
      <c r="O312" s="17" t="e">
        <f>IF(Data!#REF!="","",IF(Data!#REF!="",1,0))</f>
        <v>#REF!</v>
      </c>
      <c r="P312" s="17" t="e">
        <f>IF(Data!#REF!="","",IF(ISNUMBER(MATCH(Data!#REF!,Data_Val!$A$2:$A$3,0)),0,1))</f>
        <v>#REF!</v>
      </c>
      <c r="Q312" s="25" t="e">
        <f ca="1">IF(Data!#REF!="","",IF(ISNUMBER(Data!#REF!),IF(AND(Data!#REF!&gt;(TODAY()-(Data_Val!$J$3*365.25)),Data!#REF!&lt;=(TODAY()-(Data_Val!$J$2*365.25))),0,1),1))</f>
        <v>#REF!</v>
      </c>
      <c r="R312" s="17" t="e">
        <f>IF(Data!#REF!="","",IF(ISNUMBER(MATCH(Data!#REF!,Data_Val!$B$2:$B$15,0)),0,1))</f>
        <v>#REF!</v>
      </c>
      <c r="S312" s="11" t="str">
        <f>IF(Data!G312="","",IF(Data!G312=Data_Val!$C$2,IF(Data!M312="",0,1),0))</f>
        <v/>
      </c>
      <c r="T312" s="11" t="str">
        <f>IF(Data!M312="","",IF(ISNUMBER(MATCH(Data!N312,Data_Val!$A$2:$A$3,0)),0,1))</f>
        <v/>
      </c>
      <c r="U312" s="11" t="str">
        <f ca="1">IF(Data!M312="","",IF(ISNUMBER(Data!O312),IF(AND(Data!O312&gt;(TODAY()-(Data_Val!$K$3*365.25)),Data!O312&lt;=(TODAY()-(Data_Val!$K$2*365.25))),0,1),1))</f>
        <v/>
      </c>
      <c r="V312" s="12" t="str">
        <f>IF(Data!G312="","",IF(Data!G312=Data_Val!$C$2,IF(Data!P312="",0,1),0))</f>
        <v/>
      </c>
      <c r="W312" s="12" t="str">
        <f>IF(Data!P312="","",IF(ISNUMBER(MATCH(Data!Q312,Data_Val!$A$2:$A$3,0)),0,1))</f>
        <v/>
      </c>
      <c r="X312" s="26" t="str">
        <f ca="1">IF(Data!P312="","",IF(ISNUMBER(Data!R312),IF(AND(Data!R312&gt;(TODAY()-(Data_Val!$L$3*365.25)),Data!R312&lt;=(TODAY()-(Data_Val!$L$2*365.25))),0,1),1))</f>
        <v/>
      </c>
      <c r="Y312" s="13" t="str">
        <f>IF(Data!$G312="","",IF(Data!$G312=Data_Val!$C$2,IF(Data!S312="",0,1),0))</f>
        <v/>
      </c>
      <c r="Z312" s="13" t="str">
        <f>IF(Data!S312="","",IF(ISNUMBER(MATCH(Data!T312,Data_Val!$A$2:$A$3,0)),0,1))</f>
        <v/>
      </c>
      <c r="AA312" s="28" t="str">
        <f ca="1">IF(Data!S312="","",IF(ISNUMBER(Data!U312),IF(AND(Data!U312&gt;(TODAY()-(Data_Val!$L$3*365.25)),Data!U312&lt;=(TODAY()-(Data_Val!$L$2*365.25))),0,1),1))</f>
        <v/>
      </c>
      <c r="AB312" s="11"/>
      <c r="AC312" s="11" t="e">
        <f>IF(Data!#REF!="","",IF(ISNUMBER(MATCH(Data!#REF!,Data_Val!$A$2:$A$3,0)),0,1))</f>
        <v>#REF!</v>
      </c>
      <c r="AD312" s="11" t="e">
        <f ca="1">IF(Data!#REF!="","",IF(ISNUMBER(Data!#REF!),IF(AND(Data!#REF!&gt;(TODAY()-(Data_Val!$L$3*365.25)),Data!#REF!&lt;=(TODAY()-(Data_Val!$L$2*365.25))),0,1),1))</f>
        <v>#REF!</v>
      </c>
      <c r="AE312" s="11" t="e">
        <f>IF(Data!#REF!="","",IF(Data!$G312="",1,IF(ISNUMBER(MATCH(Data!#REF!,Data_Val!$D$2:$D$10,0)),0,1)))</f>
        <v>#REF!</v>
      </c>
      <c r="AF312" s="12"/>
      <c r="AG312" s="12" t="e">
        <f>IF(Data!#REF!="","",IF(ISNUMBER(MATCH(Data!#REF!,Data_Val!$A$2:$A$3,0)),0,1))</f>
        <v>#REF!</v>
      </c>
      <c r="AH312" s="26" t="e">
        <f ca="1">IF(Data!#REF!="","",IF(ISNUMBER(Data!#REF!),IF(AND(Data!#REF!&gt;(TODAY()-(Data_Val!$L$3*365.25)),Data!#REF!&lt;=(TODAY()-(Data_Val!$L$2*365.25))),0,1),1))</f>
        <v>#REF!</v>
      </c>
      <c r="AI312" s="12" t="e">
        <f>IF(Data!#REF!="","",IF(Data!$G312="",1,IF(ISNUMBER(MATCH(Data!#REF!,Data_Val!$D$2:$D$10,0)),0,1)))</f>
        <v>#REF!</v>
      </c>
      <c r="AJ312" s="17"/>
      <c r="AK312" s="17" t="e">
        <f>IF(Data!#REF!="","",IF(ISNUMBER(MATCH(Data!#REF!,Data_Val!$A$2:$A$3,0)),0,1))</f>
        <v>#REF!</v>
      </c>
      <c r="AL312" s="25" t="e">
        <f ca="1">IF(Data!#REF!="","",IF(ISNUMBER(Data!#REF!),IF(AND(Data!#REF!&gt;(TODAY()-(Data_Val!$L$3*365.25)),Data!#REF!&lt;=(TODAY()-(Data_Val!$L$2*365.25))),0,1),1))</f>
        <v>#REF!</v>
      </c>
      <c r="AM312" s="17" t="e">
        <f>IF(Data!#REF!="","",IF(Data!$G312="",1,IF(ISNUMBER(MATCH(Data!#REF!,Data_Val!$D$2:$D$10,0)),0,1)))</f>
        <v>#REF!</v>
      </c>
      <c r="AN312" s="13"/>
      <c r="AO312" s="28" t="e">
        <f ca="1">IF(Data!#REF!="","",IF(ISNUMBER(Data!#REF!),IF(AND(Data!#REF!&gt;(TODAY()-(Data_Val!$I$3*365.25)),Data!#REF!&lt;=(TODAY()-(Data_Val!$I$2*365.25))),0,1),1))</f>
        <v>#REF!</v>
      </c>
      <c r="AP312" s="13" t="e">
        <f>IF(Data!#REF!="","",IF(Data!$G312="",1,IF(ISNUMBER(MATCH(Data!#REF!,Data_Val!$D$2:$D$10,0)),0,1)))</f>
        <v>#REF!</v>
      </c>
      <c r="AQ312" s="17"/>
      <c r="AR312" s="30" t="e">
        <f ca="1">IF(Data!#REF!="","",IF(ISNUMBER(Data!#REF!),IF(AND(Data!#REF!&gt;(TODAY()-(Data_Val!$I$3*365.25)),Data!#REF!&lt;=(TODAY()-(Data_Val!$I$2*365.25))),0,1),1))</f>
        <v>#REF!</v>
      </c>
      <c r="AS312" s="31" t="e">
        <f>IF(Data!#REF!="","",IF(Data!$G312="",1,IF(ISNUMBER(MATCH(Data!#REF!,Data_Val!$D$2:$D$10,0)),0,1)))</f>
        <v>#REF!</v>
      </c>
      <c r="AT312" s="11"/>
      <c r="AU312" s="11" t="e">
        <f ca="1">IF(Data!#REF!="","",IF(ISNUMBER(Data!#REF!),IF(AND(Data!#REF!&gt;(TODAY()-(Data_Val!$I$3*365.25)),Data!#REF!&lt;=(TODAY()-(Data_Val!$I$2*365.25))),0,1),1))</f>
        <v>#REF!</v>
      </c>
      <c r="AV312" s="11" t="e">
        <f>IF(Data!#REF!="","",IF(Data!$G312="",1,IF(ISNUMBER(MATCH(Data!#REF!,Data_Val!$D$2:$D$10,0)),0,1)))</f>
        <v>#REF!</v>
      </c>
      <c r="AW312" s="12"/>
      <c r="AX312" s="26" t="e">
        <f ca="1">IF(Data!#REF!="","",IF(ISNUMBER(Data!#REF!),IF(AND(Data!#REF!&gt;(TODAY()-(Data_Val!$I$3*365.25)),Data!#REF!&lt;=(TODAY()-(Data_Val!$I$2*365.25))),0,1),1))</f>
        <v>#REF!</v>
      </c>
      <c r="AY312" s="12" t="e">
        <f>IF(Data!#REF!="","",IF(Data!$G312="",1,IF(ISNUMBER(MATCH(Data!#REF!,Data_Val!$D$2:$D$10,0)),0,1)))</f>
        <v>#REF!</v>
      </c>
      <c r="AZ312" s="11"/>
      <c r="BA312" s="19" t="e">
        <f ca="1">IF(Data!#REF!="","",IF(ISNUMBER(Data!#REF!),IF(AND(Data!#REF!&gt;(TODAY()-(Data_Val!$M$3*365.25)),Data!#REF!&lt;=(TODAY()-(Data_Val!$M$2*365.25))),0,1),1))</f>
        <v>#REF!</v>
      </c>
      <c r="BB312" s="11" t="e">
        <f>IF(Data!#REF!="","",IF(Data!$G312="",1,IF(ISNUMBER(MATCH(Data!#REF!,Data_Val!$D$2:$D$10,0)),0,1)))</f>
        <v>#REF!</v>
      </c>
      <c r="BC312" s="12"/>
      <c r="BD312" s="20" t="e">
        <f ca="1">IF(Data!#REF!="","",IF(ISNUMBER(Data!#REF!),IF(AND(Data!#REF!&gt;(TODAY()-(Data_Val!$M$3*365.25)),Data!#REF!&lt;=(TODAY()-(Data_Val!$M$2*365.25))),0,1),1))</f>
        <v>#REF!</v>
      </c>
      <c r="BE312" s="12" t="e">
        <f>IF(Data!#REF!="","",IF(Data!$G312="",1,IF(ISNUMBER(MATCH(Data!#REF!,Data_Val!$D$2:$D$10,0)),0,1)))</f>
        <v>#REF!</v>
      </c>
      <c r="BF312" s="17"/>
      <c r="BG312" s="18" t="e">
        <f ca="1">IF(Data!#REF!="","",IF(ISNUMBER(Data!#REF!),IF(AND(Data!#REF!&gt;(TODAY()-(Data_Val!$M$3*365.25)),Data!#REF!&lt;=(TODAY()-(Data_Val!$M$2*365.25))),0,1),1))</f>
        <v>#REF!</v>
      </c>
      <c r="BH312" s="29" t="e">
        <f>IF(Data!#REF!="","",IF(Data!$G312="",1,IF(ISNUMBER(MATCH(Data!#REF!,Data_Val!$D$2:$D$10,0)),0,1)))</f>
        <v>#REF!</v>
      </c>
      <c r="BI312" s="13"/>
      <c r="BJ312" s="21" t="e">
        <f ca="1">IF(Data!#REF!="","",IF(ISNUMBER(Data!#REF!),IF(AND(Data!#REF!&gt;(TODAY()-(Data_Val!$M$3*365.25)),Data!#REF!&lt;=(TODAY()-(Data_Val!$M$2*365.25))),0,1),1))</f>
        <v>#REF!</v>
      </c>
      <c r="BK312" s="13" t="e">
        <f>IF(Data!#REF!="","",IF(Data!$G312="",1,IF(ISNUMBER(MATCH(Data!#REF!,Data_Val!$D$2:$D$10,0)),0,1)))</f>
        <v>#REF!</v>
      </c>
    </row>
    <row r="313" spans="1:63" x14ac:dyDescent="0.25">
      <c r="A313" s="9" t="str">
        <f>IF(Data!B313="","",IF(COUNTIFS(Data!A$1:'Data'!A313,Data!A313)&lt;=1,0,1))</f>
        <v/>
      </c>
      <c r="B313" s="9"/>
      <c r="C313" s="23" t="str">
        <f>IF(Data!C313="","",(IF(ISNUMBER(MATCH("*@*.?*",Data!C313,0)),0,1)+IF(COUNTIFS(Data!C$1:'Data'!C313,Data!C313)&gt;1,1,0)))</f>
        <v/>
      </c>
      <c r="D313" s="9" t="str">
        <f>IF(Data!B313="","",IF(ISNUMBER(Data!D313),IF(AND(Data!D313&gt;999999999,Data!D313&lt;=9999999999),IF(COUNTIFS(Data!D$1:'Data'!D313,Data!D313)&lt;=1,0,1),1),1))</f>
        <v/>
      </c>
      <c r="E313" s="9" t="str">
        <f>IF(Data!B313="","",IF(ISNUMBER(MATCH(Data!E313,Data_Val!$A$2:$A$3,0)),0,1))</f>
        <v/>
      </c>
      <c r="F313" s="9" t="str">
        <f ca="1">IF(Data!B313="","",IF(ISNUMBER(Data!F313),IF(AND(Data!F313&gt;(TODAY()-(Data_Val!$H$3*365.25)),Data!F313&lt;=(TODAY()-(Data_Val!$H$2*365.25))),0,1),1))</f>
        <v/>
      </c>
      <c r="G313" s="15" t="str">
        <f>IF(Data!B313="","",IF(AND(Data!G313="",Data!H313&lt;&gt;""),1,IF(Data!#REF!&lt;&gt;"",0,IF(ISNUMBER(MATCH(Data!G313,Data_Val!$C$2:$C$5,0)),0,1))))</f>
        <v/>
      </c>
      <c r="H313" s="15" t="str">
        <f>IF(Data!B313="","",IF(AND(Data!G313&lt;&gt;"",Data!H313=""),1,IF(Data!#REF!&lt;&gt;"",0,IF(Data!G313="",1,IF(ISNUMBER(MATCH(Data!H313,Data_Val!$D$2:$D$35,0)),0,1)))))</f>
        <v/>
      </c>
      <c r="I313" s="15" t="str">
        <f>IF(Data!B313="","",IF(Data!G313&lt;&gt;"",0,IF(ISNUMBER(MATCH(Data!#REF!,Data_Val!$E$2:$E$12,0)),0,1)))</f>
        <v/>
      </c>
      <c r="J313" s="16" t="e">
        <f>IF(OR(Data!B313="",Data!#REF!=""),"",IF(Data!#REF!="",1,0))</f>
        <v>#REF!</v>
      </c>
      <c r="K313" s="16" t="e">
        <f>IF(OR(Data!B313="",Data!#REF!=""),"",IF(Data!#REF!="",1,0))</f>
        <v>#REF!</v>
      </c>
      <c r="L313" s="16" t="e">
        <f>IF(OR(Data!B313="",Data!#REF!=""),"",IF(ISNUMBER(Data!#REF!),IF(AND(Data!#REF!&gt;Data_Val!$G$2,Data!#REF!&lt;=Data_Val!$G$3),0,1),1))</f>
        <v>#REF!</v>
      </c>
      <c r="M313" s="9" t="e">
        <f>IF(OR(Data!B313="",Data!#REF!=""),"",IF(ISNUMBER(MATCH(Data!#REF!,Data_Val!$F$1:$F$38,0)),0,1))</f>
        <v>#REF!</v>
      </c>
      <c r="N313" s="9" t="e">
        <f>IF(OR(Data!B313="",Data!#REF!=""),"",IF(Data!#REF!="",1,0))</f>
        <v>#REF!</v>
      </c>
      <c r="O313" s="17" t="e">
        <f>IF(Data!#REF!="","",IF(Data!#REF!="",1,0))</f>
        <v>#REF!</v>
      </c>
      <c r="P313" s="17" t="e">
        <f>IF(Data!#REF!="","",IF(ISNUMBER(MATCH(Data!#REF!,Data_Val!$A$2:$A$3,0)),0,1))</f>
        <v>#REF!</v>
      </c>
      <c r="Q313" s="25" t="e">
        <f ca="1">IF(Data!#REF!="","",IF(ISNUMBER(Data!#REF!),IF(AND(Data!#REF!&gt;(TODAY()-(Data_Val!$J$3*365.25)),Data!#REF!&lt;=(TODAY()-(Data_Val!$J$2*365.25))),0,1),1))</f>
        <v>#REF!</v>
      </c>
      <c r="R313" s="17" t="e">
        <f>IF(Data!#REF!="","",IF(ISNUMBER(MATCH(Data!#REF!,Data_Val!$B$2:$B$15,0)),0,1))</f>
        <v>#REF!</v>
      </c>
      <c r="S313" s="11" t="str">
        <f>IF(Data!G313="","",IF(Data!G313=Data_Val!$C$2,IF(Data!M313="",0,1),0))</f>
        <v/>
      </c>
      <c r="T313" s="11" t="str">
        <f>IF(Data!M313="","",IF(ISNUMBER(MATCH(Data!N313,Data_Val!$A$2:$A$3,0)),0,1))</f>
        <v/>
      </c>
      <c r="U313" s="11" t="str">
        <f ca="1">IF(Data!M313="","",IF(ISNUMBER(Data!O313),IF(AND(Data!O313&gt;(TODAY()-(Data_Val!$K$3*365.25)),Data!O313&lt;=(TODAY()-(Data_Val!$K$2*365.25))),0,1),1))</f>
        <v/>
      </c>
      <c r="V313" s="12" t="str">
        <f>IF(Data!G313="","",IF(Data!G313=Data_Val!$C$2,IF(Data!P313="",0,1),0))</f>
        <v/>
      </c>
      <c r="W313" s="12" t="str">
        <f>IF(Data!P313="","",IF(ISNUMBER(MATCH(Data!Q313,Data_Val!$A$2:$A$3,0)),0,1))</f>
        <v/>
      </c>
      <c r="X313" s="26" t="str">
        <f ca="1">IF(Data!P313="","",IF(ISNUMBER(Data!R313),IF(AND(Data!R313&gt;(TODAY()-(Data_Val!$L$3*365.25)),Data!R313&lt;=(TODAY()-(Data_Val!$L$2*365.25))),0,1),1))</f>
        <v/>
      </c>
      <c r="Y313" s="13" t="str">
        <f>IF(Data!$G313="","",IF(Data!$G313=Data_Val!$C$2,IF(Data!S313="",0,1),0))</f>
        <v/>
      </c>
      <c r="Z313" s="13" t="str">
        <f>IF(Data!S313="","",IF(ISNUMBER(MATCH(Data!T313,Data_Val!$A$2:$A$3,0)),0,1))</f>
        <v/>
      </c>
      <c r="AA313" s="28" t="str">
        <f ca="1">IF(Data!S313="","",IF(ISNUMBER(Data!U313),IF(AND(Data!U313&gt;(TODAY()-(Data_Val!$L$3*365.25)),Data!U313&lt;=(TODAY()-(Data_Val!$L$2*365.25))),0,1),1))</f>
        <v/>
      </c>
      <c r="AB313" s="11"/>
      <c r="AC313" s="11" t="e">
        <f>IF(Data!#REF!="","",IF(ISNUMBER(MATCH(Data!#REF!,Data_Val!$A$2:$A$3,0)),0,1))</f>
        <v>#REF!</v>
      </c>
      <c r="AD313" s="11" t="e">
        <f ca="1">IF(Data!#REF!="","",IF(ISNUMBER(Data!#REF!),IF(AND(Data!#REF!&gt;(TODAY()-(Data_Val!$L$3*365.25)),Data!#REF!&lt;=(TODAY()-(Data_Val!$L$2*365.25))),0,1),1))</f>
        <v>#REF!</v>
      </c>
      <c r="AE313" s="11" t="e">
        <f>IF(Data!#REF!="","",IF(Data!$G313="",1,IF(ISNUMBER(MATCH(Data!#REF!,Data_Val!$D$2:$D$10,0)),0,1)))</f>
        <v>#REF!</v>
      </c>
      <c r="AF313" s="12"/>
      <c r="AG313" s="12" t="e">
        <f>IF(Data!#REF!="","",IF(ISNUMBER(MATCH(Data!#REF!,Data_Val!$A$2:$A$3,0)),0,1))</f>
        <v>#REF!</v>
      </c>
      <c r="AH313" s="26" t="e">
        <f ca="1">IF(Data!#REF!="","",IF(ISNUMBER(Data!#REF!),IF(AND(Data!#REF!&gt;(TODAY()-(Data_Val!$L$3*365.25)),Data!#REF!&lt;=(TODAY()-(Data_Val!$L$2*365.25))),0,1),1))</f>
        <v>#REF!</v>
      </c>
      <c r="AI313" s="12" t="e">
        <f>IF(Data!#REF!="","",IF(Data!$G313="",1,IF(ISNUMBER(MATCH(Data!#REF!,Data_Val!$D$2:$D$10,0)),0,1)))</f>
        <v>#REF!</v>
      </c>
      <c r="AJ313" s="17"/>
      <c r="AK313" s="17" t="e">
        <f>IF(Data!#REF!="","",IF(ISNUMBER(MATCH(Data!#REF!,Data_Val!$A$2:$A$3,0)),0,1))</f>
        <v>#REF!</v>
      </c>
      <c r="AL313" s="25" t="e">
        <f ca="1">IF(Data!#REF!="","",IF(ISNUMBER(Data!#REF!),IF(AND(Data!#REF!&gt;(TODAY()-(Data_Val!$L$3*365.25)),Data!#REF!&lt;=(TODAY()-(Data_Val!$L$2*365.25))),0,1),1))</f>
        <v>#REF!</v>
      </c>
      <c r="AM313" s="17" t="e">
        <f>IF(Data!#REF!="","",IF(Data!$G313="",1,IF(ISNUMBER(MATCH(Data!#REF!,Data_Val!$D$2:$D$10,0)),0,1)))</f>
        <v>#REF!</v>
      </c>
      <c r="AN313" s="13"/>
      <c r="AO313" s="28" t="e">
        <f ca="1">IF(Data!#REF!="","",IF(ISNUMBER(Data!#REF!),IF(AND(Data!#REF!&gt;(TODAY()-(Data_Val!$I$3*365.25)),Data!#REF!&lt;=(TODAY()-(Data_Val!$I$2*365.25))),0,1),1))</f>
        <v>#REF!</v>
      </c>
      <c r="AP313" s="13" t="e">
        <f>IF(Data!#REF!="","",IF(Data!$G313="",1,IF(ISNUMBER(MATCH(Data!#REF!,Data_Val!$D$2:$D$10,0)),0,1)))</f>
        <v>#REF!</v>
      </c>
      <c r="AQ313" s="17"/>
      <c r="AR313" s="30" t="e">
        <f ca="1">IF(Data!#REF!="","",IF(ISNUMBER(Data!#REF!),IF(AND(Data!#REF!&gt;(TODAY()-(Data_Val!$I$3*365.25)),Data!#REF!&lt;=(TODAY()-(Data_Val!$I$2*365.25))),0,1),1))</f>
        <v>#REF!</v>
      </c>
      <c r="AS313" s="31" t="e">
        <f>IF(Data!#REF!="","",IF(Data!$G313="",1,IF(ISNUMBER(MATCH(Data!#REF!,Data_Val!$D$2:$D$10,0)),0,1)))</f>
        <v>#REF!</v>
      </c>
      <c r="AT313" s="11"/>
      <c r="AU313" s="11" t="e">
        <f ca="1">IF(Data!#REF!="","",IF(ISNUMBER(Data!#REF!),IF(AND(Data!#REF!&gt;(TODAY()-(Data_Val!$I$3*365.25)),Data!#REF!&lt;=(TODAY()-(Data_Val!$I$2*365.25))),0,1),1))</f>
        <v>#REF!</v>
      </c>
      <c r="AV313" s="11" t="e">
        <f>IF(Data!#REF!="","",IF(Data!$G313="",1,IF(ISNUMBER(MATCH(Data!#REF!,Data_Val!$D$2:$D$10,0)),0,1)))</f>
        <v>#REF!</v>
      </c>
      <c r="AW313" s="12"/>
      <c r="AX313" s="26" t="e">
        <f ca="1">IF(Data!#REF!="","",IF(ISNUMBER(Data!#REF!),IF(AND(Data!#REF!&gt;(TODAY()-(Data_Val!$I$3*365.25)),Data!#REF!&lt;=(TODAY()-(Data_Val!$I$2*365.25))),0,1),1))</f>
        <v>#REF!</v>
      </c>
      <c r="AY313" s="12" t="e">
        <f>IF(Data!#REF!="","",IF(Data!$G313="",1,IF(ISNUMBER(MATCH(Data!#REF!,Data_Val!$D$2:$D$10,0)),0,1)))</f>
        <v>#REF!</v>
      </c>
      <c r="AZ313" s="11"/>
      <c r="BA313" s="19" t="e">
        <f ca="1">IF(Data!#REF!="","",IF(ISNUMBER(Data!#REF!),IF(AND(Data!#REF!&gt;(TODAY()-(Data_Val!$M$3*365.25)),Data!#REF!&lt;=(TODAY()-(Data_Val!$M$2*365.25))),0,1),1))</f>
        <v>#REF!</v>
      </c>
      <c r="BB313" s="11" t="e">
        <f>IF(Data!#REF!="","",IF(Data!$G313="",1,IF(ISNUMBER(MATCH(Data!#REF!,Data_Val!$D$2:$D$10,0)),0,1)))</f>
        <v>#REF!</v>
      </c>
      <c r="BC313" s="12"/>
      <c r="BD313" s="20" t="e">
        <f ca="1">IF(Data!#REF!="","",IF(ISNUMBER(Data!#REF!),IF(AND(Data!#REF!&gt;(TODAY()-(Data_Val!$M$3*365.25)),Data!#REF!&lt;=(TODAY()-(Data_Val!$M$2*365.25))),0,1),1))</f>
        <v>#REF!</v>
      </c>
      <c r="BE313" s="12" t="e">
        <f>IF(Data!#REF!="","",IF(Data!$G313="",1,IF(ISNUMBER(MATCH(Data!#REF!,Data_Val!$D$2:$D$10,0)),0,1)))</f>
        <v>#REF!</v>
      </c>
      <c r="BF313" s="17"/>
      <c r="BG313" s="18" t="e">
        <f ca="1">IF(Data!#REF!="","",IF(ISNUMBER(Data!#REF!),IF(AND(Data!#REF!&gt;(TODAY()-(Data_Val!$M$3*365.25)),Data!#REF!&lt;=(TODAY()-(Data_Val!$M$2*365.25))),0,1),1))</f>
        <v>#REF!</v>
      </c>
      <c r="BH313" s="29" t="e">
        <f>IF(Data!#REF!="","",IF(Data!$G313="",1,IF(ISNUMBER(MATCH(Data!#REF!,Data_Val!$D$2:$D$10,0)),0,1)))</f>
        <v>#REF!</v>
      </c>
      <c r="BI313" s="13"/>
      <c r="BJ313" s="21" t="e">
        <f ca="1">IF(Data!#REF!="","",IF(ISNUMBER(Data!#REF!),IF(AND(Data!#REF!&gt;(TODAY()-(Data_Val!$M$3*365.25)),Data!#REF!&lt;=(TODAY()-(Data_Val!$M$2*365.25))),0,1),1))</f>
        <v>#REF!</v>
      </c>
      <c r="BK313" s="13" t="e">
        <f>IF(Data!#REF!="","",IF(Data!$G313="",1,IF(ISNUMBER(MATCH(Data!#REF!,Data_Val!$D$2:$D$10,0)),0,1)))</f>
        <v>#REF!</v>
      </c>
    </row>
    <row r="314" spans="1:63" x14ac:dyDescent="0.25">
      <c r="A314" s="9" t="str">
        <f>IF(Data!B314="","",IF(COUNTIFS(Data!A$1:'Data'!A314,Data!A314)&lt;=1,0,1))</f>
        <v/>
      </c>
      <c r="B314" s="9"/>
      <c r="C314" s="23" t="str">
        <f>IF(Data!C314="","",(IF(ISNUMBER(MATCH("*@*.?*",Data!C314,0)),0,1)+IF(COUNTIFS(Data!C$1:'Data'!C314,Data!C314)&gt;1,1,0)))</f>
        <v/>
      </c>
      <c r="D314" s="9" t="str">
        <f>IF(Data!B314="","",IF(ISNUMBER(Data!D314),IF(AND(Data!D314&gt;999999999,Data!D314&lt;=9999999999),IF(COUNTIFS(Data!D$1:'Data'!D314,Data!D314)&lt;=1,0,1),1),1))</f>
        <v/>
      </c>
      <c r="E314" s="9" t="str">
        <f>IF(Data!B314="","",IF(ISNUMBER(MATCH(Data!E314,Data_Val!$A$2:$A$3,0)),0,1))</f>
        <v/>
      </c>
      <c r="F314" s="9" t="str">
        <f ca="1">IF(Data!B314="","",IF(ISNUMBER(Data!F314),IF(AND(Data!F314&gt;(TODAY()-(Data_Val!$H$3*365.25)),Data!F314&lt;=(TODAY()-(Data_Val!$H$2*365.25))),0,1),1))</f>
        <v/>
      </c>
      <c r="G314" s="15" t="str">
        <f>IF(Data!B314="","",IF(AND(Data!G314="",Data!H314&lt;&gt;""),1,IF(Data!#REF!&lt;&gt;"",0,IF(ISNUMBER(MATCH(Data!G314,Data_Val!$C$2:$C$5,0)),0,1))))</f>
        <v/>
      </c>
      <c r="H314" s="15" t="str">
        <f>IF(Data!B314="","",IF(AND(Data!G314&lt;&gt;"",Data!H314=""),1,IF(Data!#REF!&lt;&gt;"",0,IF(Data!G314="",1,IF(ISNUMBER(MATCH(Data!H314,Data_Val!$D$2:$D$35,0)),0,1)))))</f>
        <v/>
      </c>
      <c r="I314" s="15" t="str">
        <f>IF(Data!B314="","",IF(Data!G314&lt;&gt;"",0,IF(ISNUMBER(MATCH(Data!#REF!,Data_Val!$E$2:$E$12,0)),0,1)))</f>
        <v/>
      </c>
      <c r="J314" s="16" t="e">
        <f>IF(OR(Data!B314="",Data!#REF!=""),"",IF(Data!#REF!="",1,0))</f>
        <v>#REF!</v>
      </c>
      <c r="K314" s="16" t="e">
        <f>IF(OR(Data!B314="",Data!#REF!=""),"",IF(Data!#REF!="",1,0))</f>
        <v>#REF!</v>
      </c>
      <c r="L314" s="16" t="e">
        <f>IF(OR(Data!B314="",Data!#REF!=""),"",IF(ISNUMBER(Data!#REF!),IF(AND(Data!#REF!&gt;Data_Val!$G$2,Data!#REF!&lt;=Data_Val!$G$3),0,1),1))</f>
        <v>#REF!</v>
      </c>
      <c r="M314" s="9" t="e">
        <f>IF(OR(Data!B314="",Data!#REF!=""),"",IF(ISNUMBER(MATCH(Data!#REF!,Data_Val!$F$1:$F$38,0)),0,1))</f>
        <v>#REF!</v>
      </c>
      <c r="N314" s="9" t="e">
        <f>IF(OR(Data!B314="",Data!#REF!=""),"",IF(Data!#REF!="",1,0))</f>
        <v>#REF!</v>
      </c>
      <c r="O314" s="17" t="e">
        <f>IF(Data!#REF!="","",IF(Data!#REF!="",1,0))</f>
        <v>#REF!</v>
      </c>
      <c r="P314" s="17" t="e">
        <f>IF(Data!#REF!="","",IF(ISNUMBER(MATCH(Data!#REF!,Data_Val!$A$2:$A$3,0)),0,1))</f>
        <v>#REF!</v>
      </c>
      <c r="Q314" s="25" t="e">
        <f ca="1">IF(Data!#REF!="","",IF(ISNUMBER(Data!#REF!),IF(AND(Data!#REF!&gt;(TODAY()-(Data_Val!$J$3*365.25)),Data!#REF!&lt;=(TODAY()-(Data_Val!$J$2*365.25))),0,1),1))</f>
        <v>#REF!</v>
      </c>
      <c r="R314" s="17" t="e">
        <f>IF(Data!#REF!="","",IF(ISNUMBER(MATCH(Data!#REF!,Data_Val!$B$2:$B$15,0)),0,1))</f>
        <v>#REF!</v>
      </c>
      <c r="S314" s="11" t="str">
        <f>IF(Data!G314="","",IF(Data!G314=Data_Val!$C$2,IF(Data!M314="",0,1),0))</f>
        <v/>
      </c>
      <c r="T314" s="11" t="str">
        <f>IF(Data!M314="","",IF(ISNUMBER(MATCH(Data!N314,Data_Val!$A$2:$A$3,0)),0,1))</f>
        <v/>
      </c>
      <c r="U314" s="11" t="str">
        <f ca="1">IF(Data!M314="","",IF(ISNUMBER(Data!O314),IF(AND(Data!O314&gt;(TODAY()-(Data_Val!$K$3*365.25)),Data!O314&lt;=(TODAY()-(Data_Val!$K$2*365.25))),0,1),1))</f>
        <v/>
      </c>
      <c r="V314" s="12" t="str">
        <f>IF(Data!G314="","",IF(Data!G314=Data_Val!$C$2,IF(Data!P314="",0,1),0))</f>
        <v/>
      </c>
      <c r="W314" s="12" t="str">
        <f>IF(Data!P314="","",IF(ISNUMBER(MATCH(Data!Q314,Data_Val!$A$2:$A$3,0)),0,1))</f>
        <v/>
      </c>
      <c r="X314" s="26" t="str">
        <f ca="1">IF(Data!P314="","",IF(ISNUMBER(Data!R314),IF(AND(Data!R314&gt;(TODAY()-(Data_Val!$L$3*365.25)),Data!R314&lt;=(TODAY()-(Data_Val!$L$2*365.25))),0,1),1))</f>
        <v/>
      </c>
      <c r="Y314" s="13" t="str">
        <f>IF(Data!$G314="","",IF(Data!$G314=Data_Val!$C$2,IF(Data!S314="",0,1),0))</f>
        <v/>
      </c>
      <c r="Z314" s="13" t="str">
        <f>IF(Data!S314="","",IF(ISNUMBER(MATCH(Data!T314,Data_Val!$A$2:$A$3,0)),0,1))</f>
        <v/>
      </c>
      <c r="AA314" s="28" t="str">
        <f ca="1">IF(Data!S314="","",IF(ISNUMBER(Data!U314),IF(AND(Data!U314&gt;(TODAY()-(Data_Val!$L$3*365.25)),Data!U314&lt;=(TODAY()-(Data_Val!$L$2*365.25))),0,1),1))</f>
        <v/>
      </c>
      <c r="AB314" s="11"/>
      <c r="AC314" s="11" t="e">
        <f>IF(Data!#REF!="","",IF(ISNUMBER(MATCH(Data!#REF!,Data_Val!$A$2:$A$3,0)),0,1))</f>
        <v>#REF!</v>
      </c>
      <c r="AD314" s="11" t="e">
        <f ca="1">IF(Data!#REF!="","",IF(ISNUMBER(Data!#REF!),IF(AND(Data!#REF!&gt;(TODAY()-(Data_Val!$L$3*365.25)),Data!#REF!&lt;=(TODAY()-(Data_Val!$L$2*365.25))),0,1),1))</f>
        <v>#REF!</v>
      </c>
      <c r="AE314" s="11" t="e">
        <f>IF(Data!#REF!="","",IF(Data!$G314="",1,IF(ISNUMBER(MATCH(Data!#REF!,Data_Val!$D$2:$D$10,0)),0,1)))</f>
        <v>#REF!</v>
      </c>
      <c r="AF314" s="12"/>
      <c r="AG314" s="12" t="e">
        <f>IF(Data!#REF!="","",IF(ISNUMBER(MATCH(Data!#REF!,Data_Val!$A$2:$A$3,0)),0,1))</f>
        <v>#REF!</v>
      </c>
      <c r="AH314" s="26" t="e">
        <f ca="1">IF(Data!#REF!="","",IF(ISNUMBER(Data!#REF!),IF(AND(Data!#REF!&gt;(TODAY()-(Data_Val!$L$3*365.25)),Data!#REF!&lt;=(TODAY()-(Data_Val!$L$2*365.25))),0,1),1))</f>
        <v>#REF!</v>
      </c>
      <c r="AI314" s="12" t="e">
        <f>IF(Data!#REF!="","",IF(Data!$G314="",1,IF(ISNUMBER(MATCH(Data!#REF!,Data_Val!$D$2:$D$10,0)),0,1)))</f>
        <v>#REF!</v>
      </c>
      <c r="AJ314" s="17"/>
      <c r="AK314" s="17" t="e">
        <f>IF(Data!#REF!="","",IF(ISNUMBER(MATCH(Data!#REF!,Data_Val!$A$2:$A$3,0)),0,1))</f>
        <v>#REF!</v>
      </c>
      <c r="AL314" s="25" t="e">
        <f ca="1">IF(Data!#REF!="","",IF(ISNUMBER(Data!#REF!),IF(AND(Data!#REF!&gt;(TODAY()-(Data_Val!$L$3*365.25)),Data!#REF!&lt;=(TODAY()-(Data_Val!$L$2*365.25))),0,1),1))</f>
        <v>#REF!</v>
      </c>
      <c r="AM314" s="17" t="e">
        <f>IF(Data!#REF!="","",IF(Data!$G314="",1,IF(ISNUMBER(MATCH(Data!#REF!,Data_Val!$D$2:$D$10,0)),0,1)))</f>
        <v>#REF!</v>
      </c>
      <c r="AN314" s="13"/>
      <c r="AO314" s="28" t="e">
        <f ca="1">IF(Data!#REF!="","",IF(ISNUMBER(Data!#REF!),IF(AND(Data!#REF!&gt;(TODAY()-(Data_Val!$I$3*365.25)),Data!#REF!&lt;=(TODAY()-(Data_Val!$I$2*365.25))),0,1),1))</f>
        <v>#REF!</v>
      </c>
      <c r="AP314" s="13" t="e">
        <f>IF(Data!#REF!="","",IF(Data!$G314="",1,IF(ISNUMBER(MATCH(Data!#REF!,Data_Val!$D$2:$D$10,0)),0,1)))</f>
        <v>#REF!</v>
      </c>
      <c r="AQ314" s="17"/>
      <c r="AR314" s="30" t="e">
        <f ca="1">IF(Data!#REF!="","",IF(ISNUMBER(Data!#REF!),IF(AND(Data!#REF!&gt;(TODAY()-(Data_Val!$I$3*365.25)),Data!#REF!&lt;=(TODAY()-(Data_Val!$I$2*365.25))),0,1),1))</f>
        <v>#REF!</v>
      </c>
      <c r="AS314" s="31" t="e">
        <f>IF(Data!#REF!="","",IF(Data!$G314="",1,IF(ISNUMBER(MATCH(Data!#REF!,Data_Val!$D$2:$D$10,0)),0,1)))</f>
        <v>#REF!</v>
      </c>
      <c r="AT314" s="11"/>
      <c r="AU314" s="11" t="e">
        <f ca="1">IF(Data!#REF!="","",IF(ISNUMBER(Data!#REF!),IF(AND(Data!#REF!&gt;(TODAY()-(Data_Val!$I$3*365.25)),Data!#REF!&lt;=(TODAY()-(Data_Val!$I$2*365.25))),0,1),1))</f>
        <v>#REF!</v>
      </c>
      <c r="AV314" s="11" t="e">
        <f>IF(Data!#REF!="","",IF(Data!$G314="",1,IF(ISNUMBER(MATCH(Data!#REF!,Data_Val!$D$2:$D$10,0)),0,1)))</f>
        <v>#REF!</v>
      </c>
      <c r="AW314" s="12"/>
      <c r="AX314" s="26" t="e">
        <f ca="1">IF(Data!#REF!="","",IF(ISNUMBER(Data!#REF!),IF(AND(Data!#REF!&gt;(TODAY()-(Data_Val!$I$3*365.25)),Data!#REF!&lt;=(TODAY()-(Data_Val!$I$2*365.25))),0,1),1))</f>
        <v>#REF!</v>
      </c>
      <c r="AY314" s="12" t="e">
        <f>IF(Data!#REF!="","",IF(Data!$G314="",1,IF(ISNUMBER(MATCH(Data!#REF!,Data_Val!$D$2:$D$10,0)),0,1)))</f>
        <v>#REF!</v>
      </c>
      <c r="AZ314" s="11"/>
      <c r="BA314" s="19" t="e">
        <f ca="1">IF(Data!#REF!="","",IF(ISNUMBER(Data!#REF!),IF(AND(Data!#REF!&gt;(TODAY()-(Data_Val!$M$3*365.25)),Data!#REF!&lt;=(TODAY()-(Data_Val!$M$2*365.25))),0,1),1))</f>
        <v>#REF!</v>
      </c>
      <c r="BB314" s="11" t="e">
        <f>IF(Data!#REF!="","",IF(Data!$G314="",1,IF(ISNUMBER(MATCH(Data!#REF!,Data_Val!$D$2:$D$10,0)),0,1)))</f>
        <v>#REF!</v>
      </c>
      <c r="BC314" s="12"/>
      <c r="BD314" s="20" t="e">
        <f ca="1">IF(Data!#REF!="","",IF(ISNUMBER(Data!#REF!),IF(AND(Data!#REF!&gt;(TODAY()-(Data_Val!$M$3*365.25)),Data!#REF!&lt;=(TODAY()-(Data_Val!$M$2*365.25))),0,1),1))</f>
        <v>#REF!</v>
      </c>
      <c r="BE314" s="12" t="e">
        <f>IF(Data!#REF!="","",IF(Data!$G314="",1,IF(ISNUMBER(MATCH(Data!#REF!,Data_Val!$D$2:$D$10,0)),0,1)))</f>
        <v>#REF!</v>
      </c>
      <c r="BF314" s="17"/>
      <c r="BG314" s="18" t="e">
        <f ca="1">IF(Data!#REF!="","",IF(ISNUMBER(Data!#REF!),IF(AND(Data!#REF!&gt;(TODAY()-(Data_Val!$M$3*365.25)),Data!#REF!&lt;=(TODAY()-(Data_Val!$M$2*365.25))),0,1),1))</f>
        <v>#REF!</v>
      </c>
      <c r="BH314" s="29" t="e">
        <f>IF(Data!#REF!="","",IF(Data!$G314="",1,IF(ISNUMBER(MATCH(Data!#REF!,Data_Val!$D$2:$D$10,0)),0,1)))</f>
        <v>#REF!</v>
      </c>
      <c r="BI314" s="13"/>
      <c r="BJ314" s="21" t="e">
        <f ca="1">IF(Data!#REF!="","",IF(ISNUMBER(Data!#REF!),IF(AND(Data!#REF!&gt;(TODAY()-(Data_Val!$M$3*365.25)),Data!#REF!&lt;=(TODAY()-(Data_Val!$M$2*365.25))),0,1),1))</f>
        <v>#REF!</v>
      </c>
      <c r="BK314" s="13" t="e">
        <f>IF(Data!#REF!="","",IF(Data!$G314="",1,IF(ISNUMBER(MATCH(Data!#REF!,Data_Val!$D$2:$D$10,0)),0,1)))</f>
        <v>#REF!</v>
      </c>
    </row>
    <row r="315" spans="1:63" x14ac:dyDescent="0.25">
      <c r="A315" s="9" t="str">
        <f>IF(Data!B315="","",IF(COUNTIFS(Data!A$1:'Data'!A315,Data!A315)&lt;=1,0,1))</f>
        <v/>
      </c>
      <c r="B315" s="9"/>
      <c r="C315" s="23" t="str">
        <f>IF(Data!C315="","",(IF(ISNUMBER(MATCH("*@*.?*",Data!C315,0)),0,1)+IF(COUNTIFS(Data!C$1:'Data'!C315,Data!C315)&gt;1,1,0)))</f>
        <v/>
      </c>
      <c r="D315" s="9" t="str">
        <f>IF(Data!B315="","",IF(ISNUMBER(Data!D315),IF(AND(Data!D315&gt;999999999,Data!D315&lt;=9999999999),IF(COUNTIFS(Data!D$1:'Data'!D315,Data!D315)&lt;=1,0,1),1),1))</f>
        <v/>
      </c>
      <c r="E315" s="9" t="str">
        <f>IF(Data!B315="","",IF(ISNUMBER(MATCH(Data!E315,Data_Val!$A$2:$A$3,0)),0,1))</f>
        <v/>
      </c>
      <c r="F315" s="9" t="str">
        <f ca="1">IF(Data!B315="","",IF(ISNUMBER(Data!F315),IF(AND(Data!F315&gt;(TODAY()-(Data_Val!$H$3*365.25)),Data!F315&lt;=(TODAY()-(Data_Val!$H$2*365.25))),0,1),1))</f>
        <v/>
      </c>
      <c r="G315" s="15" t="str">
        <f>IF(Data!B315="","",IF(AND(Data!G315="",Data!H315&lt;&gt;""),1,IF(Data!#REF!&lt;&gt;"",0,IF(ISNUMBER(MATCH(Data!G315,Data_Val!$C$2:$C$5,0)),0,1))))</f>
        <v/>
      </c>
      <c r="H315" s="15" t="str">
        <f>IF(Data!B315="","",IF(AND(Data!G315&lt;&gt;"",Data!H315=""),1,IF(Data!#REF!&lt;&gt;"",0,IF(Data!G315="",1,IF(ISNUMBER(MATCH(Data!H315,Data_Val!$D$2:$D$35,0)),0,1)))))</f>
        <v/>
      </c>
      <c r="I315" s="15" t="str">
        <f>IF(Data!B315="","",IF(Data!G315&lt;&gt;"",0,IF(ISNUMBER(MATCH(Data!#REF!,Data_Val!$E$2:$E$12,0)),0,1)))</f>
        <v/>
      </c>
      <c r="J315" s="16" t="e">
        <f>IF(OR(Data!B315="",Data!#REF!=""),"",IF(Data!#REF!="",1,0))</f>
        <v>#REF!</v>
      </c>
      <c r="K315" s="16" t="e">
        <f>IF(OR(Data!B315="",Data!#REF!=""),"",IF(Data!#REF!="",1,0))</f>
        <v>#REF!</v>
      </c>
      <c r="L315" s="16" t="e">
        <f>IF(OR(Data!B315="",Data!#REF!=""),"",IF(ISNUMBER(Data!#REF!),IF(AND(Data!#REF!&gt;Data_Val!$G$2,Data!#REF!&lt;=Data_Val!$G$3),0,1),1))</f>
        <v>#REF!</v>
      </c>
      <c r="M315" s="9" t="e">
        <f>IF(OR(Data!B315="",Data!#REF!=""),"",IF(ISNUMBER(MATCH(Data!#REF!,Data_Val!$F$1:$F$38,0)),0,1))</f>
        <v>#REF!</v>
      </c>
      <c r="N315" s="9" t="e">
        <f>IF(OR(Data!B315="",Data!#REF!=""),"",IF(Data!#REF!="",1,0))</f>
        <v>#REF!</v>
      </c>
      <c r="O315" s="17" t="e">
        <f>IF(Data!#REF!="","",IF(Data!#REF!="",1,0))</f>
        <v>#REF!</v>
      </c>
      <c r="P315" s="17" t="e">
        <f>IF(Data!#REF!="","",IF(ISNUMBER(MATCH(Data!#REF!,Data_Val!$A$2:$A$3,0)),0,1))</f>
        <v>#REF!</v>
      </c>
      <c r="Q315" s="25" t="e">
        <f ca="1">IF(Data!#REF!="","",IF(ISNUMBER(Data!#REF!),IF(AND(Data!#REF!&gt;(TODAY()-(Data_Val!$J$3*365.25)),Data!#REF!&lt;=(TODAY()-(Data_Val!$J$2*365.25))),0,1),1))</f>
        <v>#REF!</v>
      </c>
      <c r="R315" s="17" t="e">
        <f>IF(Data!#REF!="","",IF(ISNUMBER(MATCH(Data!#REF!,Data_Val!$B$2:$B$15,0)),0,1))</f>
        <v>#REF!</v>
      </c>
      <c r="S315" s="11" t="str">
        <f>IF(Data!G315="","",IF(Data!G315=Data_Val!$C$2,IF(Data!M315="",0,1),0))</f>
        <v/>
      </c>
      <c r="T315" s="11" t="str">
        <f>IF(Data!M315="","",IF(ISNUMBER(MATCH(Data!N315,Data_Val!$A$2:$A$3,0)),0,1))</f>
        <v/>
      </c>
      <c r="U315" s="11" t="str">
        <f ca="1">IF(Data!M315="","",IF(ISNUMBER(Data!O315),IF(AND(Data!O315&gt;(TODAY()-(Data_Val!$K$3*365.25)),Data!O315&lt;=(TODAY()-(Data_Val!$K$2*365.25))),0,1),1))</f>
        <v/>
      </c>
      <c r="V315" s="12" t="str">
        <f>IF(Data!G315="","",IF(Data!G315=Data_Val!$C$2,IF(Data!P315="",0,1),0))</f>
        <v/>
      </c>
      <c r="W315" s="12" t="str">
        <f>IF(Data!P315="","",IF(ISNUMBER(MATCH(Data!Q315,Data_Val!$A$2:$A$3,0)),0,1))</f>
        <v/>
      </c>
      <c r="X315" s="26" t="str">
        <f ca="1">IF(Data!P315="","",IF(ISNUMBER(Data!R315),IF(AND(Data!R315&gt;(TODAY()-(Data_Val!$L$3*365.25)),Data!R315&lt;=(TODAY()-(Data_Val!$L$2*365.25))),0,1),1))</f>
        <v/>
      </c>
      <c r="Y315" s="13" t="str">
        <f>IF(Data!$G315="","",IF(Data!$G315=Data_Val!$C$2,IF(Data!S315="",0,1),0))</f>
        <v/>
      </c>
      <c r="Z315" s="13" t="str">
        <f>IF(Data!S315="","",IF(ISNUMBER(MATCH(Data!T315,Data_Val!$A$2:$A$3,0)),0,1))</f>
        <v/>
      </c>
      <c r="AA315" s="28" t="str">
        <f ca="1">IF(Data!S315="","",IF(ISNUMBER(Data!U315),IF(AND(Data!U315&gt;(TODAY()-(Data_Val!$L$3*365.25)),Data!U315&lt;=(TODAY()-(Data_Val!$L$2*365.25))),0,1),1))</f>
        <v/>
      </c>
      <c r="AB315" s="11"/>
      <c r="AC315" s="11" t="e">
        <f>IF(Data!#REF!="","",IF(ISNUMBER(MATCH(Data!#REF!,Data_Val!$A$2:$A$3,0)),0,1))</f>
        <v>#REF!</v>
      </c>
      <c r="AD315" s="11" t="e">
        <f ca="1">IF(Data!#REF!="","",IF(ISNUMBER(Data!#REF!),IF(AND(Data!#REF!&gt;(TODAY()-(Data_Val!$L$3*365.25)),Data!#REF!&lt;=(TODAY()-(Data_Val!$L$2*365.25))),0,1),1))</f>
        <v>#REF!</v>
      </c>
      <c r="AE315" s="11" t="e">
        <f>IF(Data!#REF!="","",IF(Data!$G315="",1,IF(ISNUMBER(MATCH(Data!#REF!,Data_Val!$D$2:$D$10,0)),0,1)))</f>
        <v>#REF!</v>
      </c>
      <c r="AF315" s="12"/>
      <c r="AG315" s="12" t="e">
        <f>IF(Data!#REF!="","",IF(ISNUMBER(MATCH(Data!#REF!,Data_Val!$A$2:$A$3,0)),0,1))</f>
        <v>#REF!</v>
      </c>
      <c r="AH315" s="26" t="e">
        <f ca="1">IF(Data!#REF!="","",IF(ISNUMBER(Data!#REF!),IF(AND(Data!#REF!&gt;(TODAY()-(Data_Val!$L$3*365.25)),Data!#REF!&lt;=(TODAY()-(Data_Val!$L$2*365.25))),0,1),1))</f>
        <v>#REF!</v>
      </c>
      <c r="AI315" s="12" t="e">
        <f>IF(Data!#REF!="","",IF(Data!$G315="",1,IF(ISNUMBER(MATCH(Data!#REF!,Data_Val!$D$2:$D$10,0)),0,1)))</f>
        <v>#REF!</v>
      </c>
      <c r="AJ315" s="17"/>
      <c r="AK315" s="17" t="e">
        <f>IF(Data!#REF!="","",IF(ISNUMBER(MATCH(Data!#REF!,Data_Val!$A$2:$A$3,0)),0,1))</f>
        <v>#REF!</v>
      </c>
      <c r="AL315" s="25" t="e">
        <f ca="1">IF(Data!#REF!="","",IF(ISNUMBER(Data!#REF!),IF(AND(Data!#REF!&gt;(TODAY()-(Data_Val!$L$3*365.25)),Data!#REF!&lt;=(TODAY()-(Data_Val!$L$2*365.25))),0,1),1))</f>
        <v>#REF!</v>
      </c>
      <c r="AM315" s="17" t="e">
        <f>IF(Data!#REF!="","",IF(Data!$G315="",1,IF(ISNUMBER(MATCH(Data!#REF!,Data_Val!$D$2:$D$10,0)),0,1)))</f>
        <v>#REF!</v>
      </c>
      <c r="AN315" s="13"/>
      <c r="AO315" s="28" t="e">
        <f ca="1">IF(Data!#REF!="","",IF(ISNUMBER(Data!#REF!),IF(AND(Data!#REF!&gt;(TODAY()-(Data_Val!$I$3*365.25)),Data!#REF!&lt;=(TODAY()-(Data_Val!$I$2*365.25))),0,1),1))</f>
        <v>#REF!</v>
      </c>
      <c r="AP315" s="13" t="e">
        <f>IF(Data!#REF!="","",IF(Data!$G315="",1,IF(ISNUMBER(MATCH(Data!#REF!,Data_Val!$D$2:$D$10,0)),0,1)))</f>
        <v>#REF!</v>
      </c>
      <c r="AQ315" s="17"/>
      <c r="AR315" s="30" t="e">
        <f ca="1">IF(Data!#REF!="","",IF(ISNUMBER(Data!#REF!),IF(AND(Data!#REF!&gt;(TODAY()-(Data_Val!$I$3*365.25)),Data!#REF!&lt;=(TODAY()-(Data_Val!$I$2*365.25))),0,1),1))</f>
        <v>#REF!</v>
      </c>
      <c r="AS315" s="31" t="e">
        <f>IF(Data!#REF!="","",IF(Data!$G315="",1,IF(ISNUMBER(MATCH(Data!#REF!,Data_Val!$D$2:$D$10,0)),0,1)))</f>
        <v>#REF!</v>
      </c>
      <c r="AT315" s="11"/>
      <c r="AU315" s="11" t="e">
        <f ca="1">IF(Data!#REF!="","",IF(ISNUMBER(Data!#REF!),IF(AND(Data!#REF!&gt;(TODAY()-(Data_Val!$I$3*365.25)),Data!#REF!&lt;=(TODAY()-(Data_Val!$I$2*365.25))),0,1),1))</f>
        <v>#REF!</v>
      </c>
      <c r="AV315" s="11" t="e">
        <f>IF(Data!#REF!="","",IF(Data!$G315="",1,IF(ISNUMBER(MATCH(Data!#REF!,Data_Val!$D$2:$D$10,0)),0,1)))</f>
        <v>#REF!</v>
      </c>
      <c r="AW315" s="12"/>
      <c r="AX315" s="26" t="e">
        <f ca="1">IF(Data!#REF!="","",IF(ISNUMBER(Data!#REF!),IF(AND(Data!#REF!&gt;(TODAY()-(Data_Val!$I$3*365.25)),Data!#REF!&lt;=(TODAY()-(Data_Val!$I$2*365.25))),0,1),1))</f>
        <v>#REF!</v>
      </c>
      <c r="AY315" s="12" t="e">
        <f>IF(Data!#REF!="","",IF(Data!$G315="",1,IF(ISNUMBER(MATCH(Data!#REF!,Data_Val!$D$2:$D$10,0)),0,1)))</f>
        <v>#REF!</v>
      </c>
      <c r="AZ315" s="11"/>
      <c r="BA315" s="19" t="e">
        <f ca="1">IF(Data!#REF!="","",IF(ISNUMBER(Data!#REF!),IF(AND(Data!#REF!&gt;(TODAY()-(Data_Val!$M$3*365.25)),Data!#REF!&lt;=(TODAY()-(Data_Val!$M$2*365.25))),0,1),1))</f>
        <v>#REF!</v>
      </c>
      <c r="BB315" s="11" t="e">
        <f>IF(Data!#REF!="","",IF(Data!$G315="",1,IF(ISNUMBER(MATCH(Data!#REF!,Data_Val!$D$2:$D$10,0)),0,1)))</f>
        <v>#REF!</v>
      </c>
      <c r="BC315" s="12"/>
      <c r="BD315" s="20" t="e">
        <f ca="1">IF(Data!#REF!="","",IF(ISNUMBER(Data!#REF!),IF(AND(Data!#REF!&gt;(TODAY()-(Data_Val!$M$3*365.25)),Data!#REF!&lt;=(TODAY()-(Data_Val!$M$2*365.25))),0,1),1))</f>
        <v>#REF!</v>
      </c>
      <c r="BE315" s="12" t="e">
        <f>IF(Data!#REF!="","",IF(Data!$G315="",1,IF(ISNUMBER(MATCH(Data!#REF!,Data_Val!$D$2:$D$10,0)),0,1)))</f>
        <v>#REF!</v>
      </c>
      <c r="BF315" s="17"/>
      <c r="BG315" s="18" t="e">
        <f ca="1">IF(Data!#REF!="","",IF(ISNUMBER(Data!#REF!),IF(AND(Data!#REF!&gt;(TODAY()-(Data_Val!$M$3*365.25)),Data!#REF!&lt;=(TODAY()-(Data_Val!$M$2*365.25))),0,1),1))</f>
        <v>#REF!</v>
      </c>
      <c r="BH315" s="29" t="e">
        <f>IF(Data!#REF!="","",IF(Data!$G315="",1,IF(ISNUMBER(MATCH(Data!#REF!,Data_Val!$D$2:$D$10,0)),0,1)))</f>
        <v>#REF!</v>
      </c>
      <c r="BI315" s="13"/>
      <c r="BJ315" s="21" t="e">
        <f ca="1">IF(Data!#REF!="","",IF(ISNUMBER(Data!#REF!),IF(AND(Data!#REF!&gt;(TODAY()-(Data_Val!$M$3*365.25)),Data!#REF!&lt;=(TODAY()-(Data_Val!$M$2*365.25))),0,1),1))</f>
        <v>#REF!</v>
      </c>
      <c r="BK315" s="13" t="e">
        <f>IF(Data!#REF!="","",IF(Data!$G315="",1,IF(ISNUMBER(MATCH(Data!#REF!,Data_Val!$D$2:$D$10,0)),0,1)))</f>
        <v>#REF!</v>
      </c>
    </row>
    <row r="316" spans="1:63" x14ac:dyDescent="0.25">
      <c r="A316" s="9" t="str">
        <f>IF(Data!B316="","",IF(COUNTIFS(Data!A$1:'Data'!A316,Data!A316)&lt;=1,0,1))</f>
        <v/>
      </c>
      <c r="B316" s="9"/>
      <c r="C316" s="23" t="str">
        <f>IF(Data!C316="","",(IF(ISNUMBER(MATCH("*@*.?*",Data!C316,0)),0,1)+IF(COUNTIFS(Data!C$1:'Data'!C316,Data!C316)&gt;1,1,0)))</f>
        <v/>
      </c>
      <c r="D316" s="9" t="str">
        <f>IF(Data!B316="","",IF(ISNUMBER(Data!D316),IF(AND(Data!D316&gt;999999999,Data!D316&lt;=9999999999),IF(COUNTIFS(Data!D$1:'Data'!D316,Data!D316)&lt;=1,0,1),1),1))</f>
        <v/>
      </c>
      <c r="E316" s="9" t="str">
        <f>IF(Data!B316="","",IF(ISNUMBER(MATCH(Data!E316,Data_Val!$A$2:$A$3,0)),0,1))</f>
        <v/>
      </c>
      <c r="F316" s="9" t="str">
        <f ca="1">IF(Data!B316="","",IF(ISNUMBER(Data!F316),IF(AND(Data!F316&gt;(TODAY()-(Data_Val!$H$3*365.25)),Data!F316&lt;=(TODAY()-(Data_Val!$H$2*365.25))),0,1),1))</f>
        <v/>
      </c>
      <c r="G316" s="15" t="str">
        <f>IF(Data!B316="","",IF(AND(Data!G316="",Data!H316&lt;&gt;""),1,IF(Data!#REF!&lt;&gt;"",0,IF(ISNUMBER(MATCH(Data!G316,Data_Val!$C$2:$C$5,0)),0,1))))</f>
        <v/>
      </c>
      <c r="H316" s="15" t="str">
        <f>IF(Data!B316="","",IF(AND(Data!G316&lt;&gt;"",Data!H316=""),1,IF(Data!#REF!&lt;&gt;"",0,IF(Data!G316="",1,IF(ISNUMBER(MATCH(Data!H316,Data_Val!$D$2:$D$35,0)),0,1)))))</f>
        <v/>
      </c>
      <c r="I316" s="15" t="str">
        <f>IF(Data!B316="","",IF(Data!G316&lt;&gt;"",0,IF(ISNUMBER(MATCH(Data!#REF!,Data_Val!$E$2:$E$12,0)),0,1)))</f>
        <v/>
      </c>
      <c r="J316" s="16" t="e">
        <f>IF(OR(Data!B316="",Data!#REF!=""),"",IF(Data!#REF!="",1,0))</f>
        <v>#REF!</v>
      </c>
      <c r="K316" s="16" t="e">
        <f>IF(OR(Data!B316="",Data!#REF!=""),"",IF(Data!#REF!="",1,0))</f>
        <v>#REF!</v>
      </c>
      <c r="L316" s="16" t="e">
        <f>IF(OR(Data!B316="",Data!#REF!=""),"",IF(ISNUMBER(Data!#REF!),IF(AND(Data!#REF!&gt;Data_Val!$G$2,Data!#REF!&lt;=Data_Val!$G$3),0,1),1))</f>
        <v>#REF!</v>
      </c>
      <c r="M316" s="9" t="e">
        <f>IF(OR(Data!B316="",Data!#REF!=""),"",IF(ISNUMBER(MATCH(Data!#REF!,Data_Val!$F$1:$F$38,0)),0,1))</f>
        <v>#REF!</v>
      </c>
      <c r="N316" s="9" t="e">
        <f>IF(OR(Data!B316="",Data!#REF!=""),"",IF(Data!#REF!="",1,0))</f>
        <v>#REF!</v>
      </c>
      <c r="O316" s="17" t="e">
        <f>IF(Data!#REF!="","",IF(Data!#REF!="",1,0))</f>
        <v>#REF!</v>
      </c>
      <c r="P316" s="17" t="e">
        <f>IF(Data!#REF!="","",IF(ISNUMBER(MATCH(Data!#REF!,Data_Val!$A$2:$A$3,0)),0,1))</f>
        <v>#REF!</v>
      </c>
      <c r="Q316" s="25" t="e">
        <f ca="1">IF(Data!#REF!="","",IF(ISNUMBER(Data!#REF!),IF(AND(Data!#REF!&gt;(TODAY()-(Data_Val!$J$3*365.25)),Data!#REF!&lt;=(TODAY()-(Data_Val!$J$2*365.25))),0,1),1))</f>
        <v>#REF!</v>
      </c>
      <c r="R316" s="17" t="e">
        <f>IF(Data!#REF!="","",IF(ISNUMBER(MATCH(Data!#REF!,Data_Val!$B$2:$B$15,0)),0,1))</f>
        <v>#REF!</v>
      </c>
      <c r="S316" s="11" t="str">
        <f>IF(Data!G316="","",IF(Data!G316=Data_Val!$C$2,IF(Data!M316="",0,1),0))</f>
        <v/>
      </c>
      <c r="T316" s="11" t="str">
        <f>IF(Data!M316="","",IF(ISNUMBER(MATCH(Data!N316,Data_Val!$A$2:$A$3,0)),0,1))</f>
        <v/>
      </c>
      <c r="U316" s="11" t="str">
        <f ca="1">IF(Data!M316="","",IF(ISNUMBER(Data!O316),IF(AND(Data!O316&gt;(TODAY()-(Data_Val!$K$3*365.25)),Data!O316&lt;=(TODAY()-(Data_Val!$K$2*365.25))),0,1),1))</f>
        <v/>
      </c>
      <c r="V316" s="12" t="str">
        <f>IF(Data!G316="","",IF(Data!G316=Data_Val!$C$2,IF(Data!P316="",0,1),0))</f>
        <v/>
      </c>
      <c r="W316" s="12" t="str">
        <f>IF(Data!P316="","",IF(ISNUMBER(MATCH(Data!Q316,Data_Val!$A$2:$A$3,0)),0,1))</f>
        <v/>
      </c>
      <c r="X316" s="26" t="str">
        <f ca="1">IF(Data!P316="","",IF(ISNUMBER(Data!R316),IF(AND(Data!R316&gt;(TODAY()-(Data_Val!$L$3*365.25)),Data!R316&lt;=(TODAY()-(Data_Val!$L$2*365.25))),0,1),1))</f>
        <v/>
      </c>
      <c r="Y316" s="13" t="str">
        <f>IF(Data!$G316="","",IF(Data!$G316=Data_Val!$C$2,IF(Data!S316="",0,1),0))</f>
        <v/>
      </c>
      <c r="Z316" s="13" t="str">
        <f>IF(Data!S316="","",IF(ISNUMBER(MATCH(Data!T316,Data_Val!$A$2:$A$3,0)),0,1))</f>
        <v/>
      </c>
      <c r="AA316" s="28" t="str">
        <f ca="1">IF(Data!S316="","",IF(ISNUMBER(Data!U316),IF(AND(Data!U316&gt;(TODAY()-(Data_Val!$L$3*365.25)),Data!U316&lt;=(TODAY()-(Data_Val!$L$2*365.25))),0,1),1))</f>
        <v/>
      </c>
      <c r="AB316" s="11"/>
      <c r="AC316" s="11" t="e">
        <f>IF(Data!#REF!="","",IF(ISNUMBER(MATCH(Data!#REF!,Data_Val!$A$2:$A$3,0)),0,1))</f>
        <v>#REF!</v>
      </c>
      <c r="AD316" s="11" t="e">
        <f ca="1">IF(Data!#REF!="","",IF(ISNUMBER(Data!#REF!),IF(AND(Data!#REF!&gt;(TODAY()-(Data_Val!$L$3*365.25)),Data!#REF!&lt;=(TODAY()-(Data_Val!$L$2*365.25))),0,1),1))</f>
        <v>#REF!</v>
      </c>
      <c r="AE316" s="11" t="e">
        <f>IF(Data!#REF!="","",IF(Data!$G316="",1,IF(ISNUMBER(MATCH(Data!#REF!,Data_Val!$D$2:$D$10,0)),0,1)))</f>
        <v>#REF!</v>
      </c>
      <c r="AF316" s="12"/>
      <c r="AG316" s="12" t="e">
        <f>IF(Data!#REF!="","",IF(ISNUMBER(MATCH(Data!#REF!,Data_Val!$A$2:$A$3,0)),0,1))</f>
        <v>#REF!</v>
      </c>
      <c r="AH316" s="26" t="e">
        <f ca="1">IF(Data!#REF!="","",IF(ISNUMBER(Data!#REF!),IF(AND(Data!#REF!&gt;(TODAY()-(Data_Val!$L$3*365.25)),Data!#REF!&lt;=(TODAY()-(Data_Val!$L$2*365.25))),0,1),1))</f>
        <v>#REF!</v>
      </c>
      <c r="AI316" s="12" t="e">
        <f>IF(Data!#REF!="","",IF(Data!$G316="",1,IF(ISNUMBER(MATCH(Data!#REF!,Data_Val!$D$2:$D$10,0)),0,1)))</f>
        <v>#REF!</v>
      </c>
      <c r="AJ316" s="17"/>
      <c r="AK316" s="17" t="e">
        <f>IF(Data!#REF!="","",IF(ISNUMBER(MATCH(Data!#REF!,Data_Val!$A$2:$A$3,0)),0,1))</f>
        <v>#REF!</v>
      </c>
      <c r="AL316" s="25" t="e">
        <f ca="1">IF(Data!#REF!="","",IF(ISNUMBER(Data!#REF!),IF(AND(Data!#REF!&gt;(TODAY()-(Data_Val!$L$3*365.25)),Data!#REF!&lt;=(TODAY()-(Data_Val!$L$2*365.25))),0,1),1))</f>
        <v>#REF!</v>
      </c>
      <c r="AM316" s="17" t="e">
        <f>IF(Data!#REF!="","",IF(Data!$G316="",1,IF(ISNUMBER(MATCH(Data!#REF!,Data_Val!$D$2:$D$10,0)),0,1)))</f>
        <v>#REF!</v>
      </c>
      <c r="AN316" s="13"/>
      <c r="AO316" s="28" t="e">
        <f ca="1">IF(Data!#REF!="","",IF(ISNUMBER(Data!#REF!),IF(AND(Data!#REF!&gt;(TODAY()-(Data_Val!$I$3*365.25)),Data!#REF!&lt;=(TODAY()-(Data_Val!$I$2*365.25))),0,1),1))</f>
        <v>#REF!</v>
      </c>
      <c r="AP316" s="13" t="e">
        <f>IF(Data!#REF!="","",IF(Data!$G316="",1,IF(ISNUMBER(MATCH(Data!#REF!,Data_Val!$D$2:$D$10,0)),0,1)))</f>
        <v>#REF!</v>
      </c>
      <c r="AQ316" s="17"/>
      <c r="AR316" s="30" t="e">
        <f ca="1">IF(Data!#REF!="","",IF(ISNUMBER(Data!#REF!),IF(AND(Data!#REF!&gt;(TODAY()-(Data_Val!$I$3*365.25)),Data!#REF!&lt;=(TODAY()-(Data_Val!$I$2*365.25))),0,1),1))</f>
        <v>#REF!</v>
      </c>
      <c r="AS316" s="31" t="e">
        <f>IF(Data!#REF!="","",IF(Data!$G316="",1,IF(ISNUMBER(MATCH(Data!#REF!,Data_Val!$D$2:$D$10,0)),0,1)))</f>
        <v>#REF!</v>
      </c>
      <c r="AT316" s="11"/>
      <c r="AU316" s="11" t="e">
        <f ca="1">IF(Data!#REF!="","",IF(ISNUMBER(Data!#REF!),IF(AND(Data!#REF!&gt;(TODAY()-(Data_Val!$I$3*365.25)),Data!#REF!&lt;=(TODAY()-(Data_Val!$I$2*365.25))),0,1),1))</f>
        <v>#REF!</v>
      </c>
      <c r="AV316" s="11" t="e">
        <f>IF(Data!#REF!="","",IF(Data!$G316="",1,IF(ISNUMBER(MATCH(Data!#REF!,Data_Val!$D$2:$D$10,0)),0,1)))</f>
        <v>#REF!</v>
      </c>
      <c r="AW316" s="12"/>
      <c r="AX316" s="26" t="e">
        <f ca="1">IF(Data!#REF!="","",IF(ISNUMBER(Data!#REF!),IF(AND(Data!#REF!&gt;(TODAY()-(Data_Val!$I$3*365.25)),Data!#REF!&lt;=(TODAY()-(Data_Val!$I$2*365.25))),0,1),1))</f>
        <v>#REF!</v>
      </c>
      <c r="AY316" s="12" t="e">
        <f>IF(Data!#REF!="","",IF(Data!$G316="",1,IF(ISNUMBER(MATCH(Data!#REF!,Data_Val!$D$2:$D$10,0)),0,1)))</f>
        <v>#REF!</v>
      </c>
      <c r="AZ316" s="11"/>
      <c r="BA316" s="19" t="e">
        <f ca="1">IF(Data!#REF!="","",IF(ISNUMBER(Data!#REF!),IF(AND(Data!#REF!&gt;(TODAY()-(Data_Val!$M$3*365.25)),Data!#REF!&lt;=(TODAY()-(Data_Val!$M$2*365.25))),0,1),1))</f>
        <v>#REF!</v>
      </c>
      <c r="BB316" s="11" t="e">
        <f>IF(Data!#REF!="","",IF(Data!$G316="",1,IF(ISNUMBER(MATCH(Data!#REF!,Data_Val!$D$2:$D$10,0)),0,1)))</f>
        <v>#REF!</v>
      </c>
      <c r="BC316" s="12"/>
      <c r="BD316" s="20" t="e">
        <f ca="1">IF(Data!#REF!="","",IF(ISNUMBER(Data!#REF!),IF(AND(Data!#REF!&gt;(TODAY()-(Data_Val!$M$3*365.25)),Data!#REF!&lt;=(TODAY()-(Data_Val!$M$2*365.25))),0,1),1))</f>
        <v>#REF!</v>
      </c>
      <c r="BE316" s="12" t="e">
        <f>IF(Data!#REF!="","",IF(Data!$G316="",1,IF(ISNUMBER(MATCH(Data!#REF!,Data_Val!$D$2:$D$10,0)),0,1)))</f>
        <v>#REF!</v>
      </c>
      <c r="BF316" s="17"/>
      <c r="BG316" s="18" t="e">
        <f ca="1">IF(Data!#REF!="","",IF(ISNUMBER(Data!#REF!),IF(AND(Data!#REF!&gt;(TODAY()-(Data_Val!$M$3*365.25)),Data!#REF!&lt;=(TODAY()-(Data_Val!$M$2*365.25))),0,1),1))</f>
        <v>#REF!</v>
      </c>
      <c r="BH316" s="29" t="e">
        <f>IF(Data!#REF!="","",IF(Data!$G316="",1,IF(ISNUMBER(MATCH(Data!#REF!,Data_Val!$D$2:$D$10,0)),0,1)))</f>
        <v>#REF!</v>
      </c>
      <c r="BI316" s="13"/>
      <c r="BJ316" s="21" t="e">
        <f ca="1">IF(Data!#REF!="","",IF(ISNUMBER(Data!#REF!),IF(AND(Data!#REF!&gt;(TODAY()-(Data_Val!$M$3*365.25)),Data!#REF!&lt;=(TODAY()-(Data_Val!$M$2*365.25))),0,1),1))</f>
        <v>#REF!</v>
      </c>
      <c r="BK316" s="13" t="e">
        <f>IF(Data!#REF!="","",IF(Data!$G316="",1,IF(ISNUMBER(MATCH(Data!#REF!,Data_Val!$D$2:$D$10,0)),0,1)))</f>
        <v>#REF!</v>
      </c>
    </row>
    <row r="317" spans="1:63" x14ac:dyDescent="0.25">
      <c r="A317" s="9" t="str">
        <f>IF(Data!B317="","",IF(COUNTIFS(Data!A$1:'Data'!A317,Data!A317)&lt;=1,0,1))</f>
        <v/>
      </c>
      <c r="B317" s="9"/>
      <c r="C317" s="23" t="str">
        <f>IF(Data!C317="","",(IF(ISNUMBER(MATCH("*@*.?*",Data!C317,0)),0,1)+IF(COUNTIFS(Data!C$1:'Data'!C317,Data!C317)&gt;1,1,0)))</f>
        <v/>
      </c>
      <c r="D317" s="9" t="str">
        <f>IF(Data!B317="","",IF(ISNUMBER(Data!D317),IF(AND(Data!D317&gt;999999999,Data!D317&lt;=9999999999),IF(COUNTIFS(Data!D$1:'Data'!D317,Data!D317)&lt;=1,0,1),1),1))</f>
        <v/>
      </c>
      <c r="E317" s="9" t="str">
        <f>IF(Data!B317="","",IF(ISNUMBER(MATCH(Data!E317,Data_Val!$A$2:$A$3,0)),0,1))</f>
        <v/>
      </c>
      <c r="F317" s="9" t="str">
        <f ca="1">IF(Data!B317="","",IF(ISNUMBER(Data!F317),IF(AND(Data!F317&gt;(TODAY()-(Data_Val!$H$3*365.25)),Data!F317&lt;=(TODAY()-(Data_Val!$H$2*365.25))),0,1),1))</f>
        <v/>
      </c>
      <c r="G317" s="15" t="str">
        <f>IF(Data!B317="","",IF(AND(Data!G317="",Data!H317&lt;&gt;""),1,IF(Data!#REF!&lt;&gt;"",0,IF(ISNUMBER(MATCH(Data!G317,Data_Val!$C$2:$C$5,0)),0,1))))</f>
        <v/>
      </c>
      <c r="H317" s="15" t="str">
        <f>IF(Data!B317="","",IF(AND(Data!G317&lt;&gt;"",Data!H317=""),1,IF(Data!#REF!&lt;&gt;"",0,IF(Data!G317="",1,IF(ISNUMBER(MATCH(Data!H317,Data_Val!$D$2:$D$35,0)),0,1)))))</f>
        <v/>
      </c>
      <c r="I317" s="15" t="str">
        <f>IF(Data!B317="","",IF(Data!G317&lt;&gt;"",0,IF(ISNUMBER(MATCH(Data!#REF!,Data_Val!$E$2:$E$12,0)),0,1)))</f>
        <v/>
      </c>
      <c r="J317" s="16" t="e">
        <f>IF(OR(Data!B317="",Data!#REF!=""),"",IF(Data!#REF!="",1,0))</f>
        <v>#REF!</v>
      </c>
      <c r="K317" s="16" t="e">
        <f>IF(OR(Data!B317="",Data!#REF!=""),"",IF(Data!#REF!="",1,0))</f>
        <v>#REF!</v>
      </c>
      <c r="L317" s="16" t="e">
        <f>IF(OR(Data!B317="",Data!#REF!=""),"",IF(ISNUMBER(Data!#REF!),IF(AND(Data!#REF!&gt;Data_Val!$G$2,Data!#REF!&lt;=Data_Val!$G$3),0,1),1))</f>
        <v>#REF!</v>
      </c>
      <c r="M317" s="9" t="e">
        <f>IF(OR(Data!B317="",Data!#REF!=""),"",IF(ISNUMBER(MATCH(Data!#REF!,Data_Val!$F$1:$F$38,0)),0,1))</f>
        <v>#REF!</v>
      </c>
      <c r="N317" s="9" t="e">
        <f>IF(OR(Data!B317="",Data!#REF!=""),"",IF(Data!#REF!="",1,0))</f>
        <v>#REF!</v>
      </c>
      <c r="O317" s="17" t="e">
        <f>IF(Data!#REF!="","",IF(Data!#REF!="",1,0))</f>
        <v>#REF!</v>
      </c>
      <c r="P317" s="17" t="e">
        <f>IF(Data!#REF!="","",IF(ISNUMBER(MATCH(Data!#REF!,Data_Val!$A$2:$A$3,0)),0,1))</f>
        <v>#REF!</v>
      </c>
      <c r="Q317" s="25" t="e">
        <f ca="1">IF(Data!#REF!="","",IF(ISNUMBER(Data!#REF!),IF(AND(Data!#REF!&gt;(TODAY()-(Data_Val!$J$3*365.25)),Data!#REF!&lt;=(TODAY()-(Data_Val!$J$2*365.25))),0,1),1))</f>
        <v>#REF!</v>
      </c>
      <c r="R317" s="17" t="e">
        <f>IF(Data!#REF!="","",IF(ISNUMBER(MATCH(Data!#REF!,Data_Val!$B$2:$B$15,0)),0,1))</f>
        <v>#REF!</v>
      </c>
      <c r="S317" s="11" t="str">
        <f>IF(Data!G317="","",IF(Data!G317=Data_Val!$C$2,IF(Data!M317="",0,1),0))</f>
        <v/>
      </c>
      <c r="T317" s="11" t="str">
        <f>IF(Data!M317="","",IF(ISNUMBER(MATCH(Data!N317,Data_Val!$A$2:$A$3,0)),0,1))</f>
        <v/>
      </c>
      <c r="U317" s="11" t="str">
        <f ca="1">IF(Data!M317="","",IF(ISNUMBER(Data!O317),IF(AND(Data!O317&gt;(TODAY()-(Data_Val!$K$3*365.25)),Data!O317&lt;=(TODAY()-(Data_Val!$K$2*365.25))),0,1),1))</f>
        <v/>
      </c>
      <c r="V317" s="12" t="str">
        <f>IF(Data!G317="","",IF(Data!G317=Data_Val!$C$2,IF(Data!P317="",0,1),0))</f>
        <v/>
      </c>
      <c r="W317" s="12" t="str">
        <f>IF(Data!P317="","",IF(ISNUMBER(MATCH(Data!Q317,Data_Val!$A$2:$A$3,0)),0,1))</f>
        <v/>
      </c>
      <c r="X317" s="26" t="str">
        <f ca="1">IF(Data!P317="","",IF(ISNUMBER(Data!R317),IF(AND(Data!R317&gt;(TODAY()-(Data_Val!$L$3*365.25)),Data!R317&lt;=(TODAY()-(Data_Val!$L$2*365.25))),0,1),1))</f>
        <v/>
      </c>
      <c r="Y317" s="13" t="str">
        <f>IF(Data!$G317="","",IF(Data!$G317=Data_Val!$C$2,IF(Data!S317="",0,1),0))</f>
        <v/>
      </c>
      <c r="Z317" s="13" t="str">
        <f>IF(Data!S317="","",IF(ISNUMBER(MATCH(Data!T317,Data_Val!$A$2:$A$3,0)),0,1))</f>
        <v/>
      </c>
      <c r="AA317" s="28" t="str">
        <f ca="1">IF(Data!S317="","",IF(ISNUMBER(Data!U317),IF(AND(Data!U317&gt;(TODAY()-(Data_Val!$L$3*365.25)),Data!U317&lt;=(TODAY()-(Data_Val!$L$2*365.25))),0,1),1))</f>
        <v/>
      </c>
      <c r="AB317" s="11"/>
      <c r="AC317" s="11" t="e">
        <f>IF(Data!#REF!="","",IF(ISNUMBER(MATCH(Data!#REF!,Data_Val!$A$2:$A$3,0)),0,1))</f>
        <v>#REF!</v>
      </c>
      <c r="AD317" s="11" t="e">
        <f ca="1">IF(Data!#REF!="","",IF(ISNUMBER(Data!#REF!),IF(AND(Data!#REF!&gt;(TODAY()-(Data_Val!$L$3*365.25)),Data!#REF!&lt;=(TODAY()-(Data_Val!$L$2*365.25))),0,1),1))</f>
        <v>#REF!</v>
      </c>
      <c r="AE317" s="11" t="e">
        <f>IF(Data!#REF!="","",IF(Data!$G317="",1,IF(ISNUMBER(MATCH(Data!#REF!,Data_Val!$D$2:$D$10,0)),0,1)))</f>
        <v>#REF!</v>
      </c>
      <c r="AF317" s="12"/>
      <c r="AG317" s="12" t="e">
        <f>IF(Data!#REF!="","",IF(ISNUMBER(MATCH(Data!#REF!,Data_Val!$A$2:$A$3,0)),0,1))</f>
        <v>#REF!</v>
      </c>
      <c r="AH317" s="26" t="e">
        <f ca="1">IF(Data!#REF!="","",IF(ISNUMBER(Data!#REF!),IF(AND(Data!#REF!&gt;(TODAY()-(Data_Val!$L$3*365.25)),Data!#REF!&lt;=(TODAY()-(Data_Val!$L$2*365.25))),0,1),1))</f>
        <v>#REF!</v>
      </c>
      <c r="AI317" s="12" t="e">
        <f>IF(Data!#REF!="","",IF(Data!$G317="",1,IF(ISNUMBER(MATCH(Data!#REF!,Data_Val!$D$2:$D$10,0)),0,1)))</f>
        <v>#REF!</v>
      </c>
      <c r="AJ317" s="17"/>
      <c r="AK317" s="17" t="e">
        <f>IF(Data!#REF!="","",IF(ISNUMBER(MATCH(Data!#REF!,Data_Val!$A$2:$A$3,0)),0,1))</f>
        <v>#REF!</v>
      </c>
      <c r="AL317" s="25" t="e">
        <f ca="1">IF(Data!#REF!="","",IF(ISNUMBER(Data!#REF!),IF(AND(Data!#REF!&gt;(TODAY()-(Data_Val!$L$3*365.25)),Data!#REF!&lt;=(TODAY()-(Data_Val!$L$2*365.25))),0,1),1))</f>
        <v>#REF!</v>
      </c>
      <c r="AM317" s="17" t="e">
        <f>IF(Data!#REF!="","",IF(Data!$G317="",1,IF(ISNUMBER(MATCH(Data!#REF!,Data_Val!$D$2:$D$10,0)),0,1)))</f>
        <v>#REF!</v>
      </c>
      <c r="AN317" s="13"/>
      <c r="AO317" s="28" t="e">
        <f ca="1">IF(Data!#REF!="","",IF(ISNUMBER(Data!#REF!),IF(AND(Data!#REF!&gt;(TODAY()-(Data_Val!$I$3*365.25)),Data!#REF!&lt;=(TODAY()-(Data_Val!$I$2*365.25))),0,1),1))</f>
        <v>#REF!</v>
      </c>
      <c r="AP317" s="13" t="e">
        <f>IF(Data!#REF!="","",IF(Data!$G317="",1,IF(ISNUMBER(MATCH(Data!#REF!,Data_Val!$D$2:$D$10,0)),0,1)))</f>
        <v>#REF!</v>
      </c>
      <c r="AQ317" s="17"/>
      <c r="AR317" s="30" t="e">
        <f ca="1">IF(Data!#REF!="","",IF(ISNUMBER(Data!#REF!),IF(AND(Data!#REF!&gt;(TODAY()-(Data_Val!$I$3*365.25)),Data!#REF!&lt;=(TODAY()-(Data_Val!$I$2*365.25))),0,1),1))</f>
        <v>#REF!</v>
      </c>
      <c r="AS317" s="31" t="e">
        <f>IF(Data!#REF!="","",IF(Data!$G317="",1,IF(ISNUMBER(MATCH(Data!#REF!,Data_Val!$D$2:$D$10,0)),0,1)))</f>
        <v>#REF!</v>
      </c>
      <c r="AT317" s="11"/>
      <c r="AU317" s="11" t="e">
        <f ca="1">IF(Data!#REF!="","",IF(ISNUMBER(Data!#REF!),IF(AND(Data!#REF!&gt;(TODAY()-(Data_Val!$I$3*365.25)),Data!#REF!&lt;=(TODAY()-(Data_Val!$I$2*365.25))),0,1),1))</f>
        <v>#REF!</v>
      </c>
      <c r="AV317" s="11" t="e">
        <f>IF(Data!#REF!="","",IF(Data!$G317="",1,IF(ISNUMBER(MATCH(Data!#REF!,Data_Val!$D$2:$D$10,0)),0,1)))</f>
        <v>#REF!</v>
      </c>
      <c r="AW317" s="12"/>
      <c r="AX317" s="26" t="e">
        <f ca="1">IF(Data!#REF!="","",IF(ISNUMBER(Data!#REF!),IF(AND(Data!#REF!&gt;(TODAY()-(Data_Val!$I$3*365.25)),Data!#REF!&lt;=(TODAY()-(Data_Val!$I$2*365.25))),0,1),1))</f>
        <v>#REF!</v>
      </c>
      <c r="AY317" s="12" t="e">
        <f>IF(Data!#REF!="","",IF(Data!$G317="",1,IF(ISNUMBER(MATCH(Data!#REF!,Data_Val!$D$2:$D$10,0)),0,1)))</f>
        <v>#REF!</v>
      </c>
      <c r="AZ317" s="11"/>
      <c r="BA317" s="19" t="e">
        <f ca="1">IF(Data!#REF!="","",IF(ISNUMBER(Data!#REF!),IF(AND(Data!#REF!&gt;(TODAY()-(Data_Val!$M$3*365.25)),Data!#REF!&lt;=(TODAY()-(Data_Val!$M$2*365.25))),0,1),1))</f>
        <v>#REF!</v>
      </c>
      <c r="BB317" s="11" t="e">
        <f>IF(Data!#REF!="","",IF(Data!$G317="",1,IF(ISNUMBER(MATCH(Data!#REF!,Data_Val!$D$2:$D$10,0)),0,1)))</f>
        <v>#REF!</v>
      </c>
      <c r="BC317" s="12"/>
      <c r="BD317" s="20" t="e">
        <f ca="1">IF(Data!#REF!="","",IF(ISNUMBER(Data!#REF!),IF(AND(Data!#REF!&gt;(TODAY()-(Data_Val!$M$3*365.25)),Data!#REF!&lt;=(TODAY()-(Data_Val!$M$2*365.25))),0,1),1))</f>
        <v>#REF!</v>
      </c>
      <c r="BE317" s="12" t="e">
        <f>IF(Data!#REF!="","",IF(Data!$G317="",1,IF(ISNUMBER(MATCH(Data!#REF!,Data_Val!$D$2:$D$10,0)),0,1)))</f>
        <v>#REF!</v>
      </c>
      <c r="BF317" s="17"/>
      <c r="BG317" s="18" t="e">
        <f ca="1">IF(Data!#REF!="","",IF(ISNUMBER(Data!#REF!),IF(AND(Data!#REF!&gt;(TODAY()-(Data_Val!$M$3*365.25)),Data!#REF!&lt;=(TODAY()-(Data_Val!$M$2*365.25))),0,1),1))</f>
        <v>#REF!</v>
      </c>
      <c r="BH317" s="29" t="e">
        <f>IF(Data!#REF!="","",IF(Data!$G317="",1,IF(ISNUMBER(MATCH(Data!#REF!,Data_Val!$D$2:$D$10,0)),0,1)))</f>
        <v>#REF!</v>
      </c>
      <c r="BI317" s="13"/>
      <c r="BJ317" s="21" t="e">
        <f ca="1">IF(Data!#REF!="","",IF(ISNUMBER(Data!#REF!),IF(AND(Data!#REF!&gt;(TODAY()-(Data_Val!$M$3*365.25)),Data!#REF!&lt;=(TODAY()-(Data_Val!$M$2*365.25))),0,1),1))</f>
        <v>#REF!</v>
      </c>
      <c r="BK317" s="13" t="e">
        <f>IF(Data!#REF!="","",IF(Data!$G317="",1,IF(ISNUMBER(MATCH(Data!#REF!,Data_Val!$D$2:$D$10,0)),0,1)))</f>
        <v>#REF!</v>
      </c>
    </row>
    <row r="318" spans="1:63" x14ac:dyDescent="0.25">
      <c r="A318" s="9" t="str">
        <f>IF(Data!B318="","",IF(COUNTIFS(Data!A$1:'Data'!A318,Data!A318)&lt;=1,0,1))</f>
        <v/>
      </c>
      <c r="B318" s="9"/>
      <c r="C318" s="23" t="str">
        <f>IF(Data!C318="","",(IF(ISNUMBER(MATCH("*@*.?*",Data!C318,0)),0,1)+IF(COUNTIFS(Data!C$1:'Data'!C318,Data!C318)&gt;1,1,0)))</f>
        <v/>
      </c>
      <c r="D318" s="9" t="str">
        <f>IF(Data!B318="","",IF(ISNUMBER(Data!D318),IF(AND(Data!D318&gt;999999999,Data!D318&lt;=9999999999),IF(COUNTIFS(Data!D$1:'Data'!D318,Data!D318)&lt;=1,0,1),1),1))</f>
        <v/>
      </c>
      <c r="E318" s="9" t="str">
        <f>IF(Data!B318="","",IF(ISNUMBER(MATCH(Data!E318,Data_Val!$A$2:$A$3,0)),0,1))</f>
        <v/>
      </c>
      <c r="F318" s="9" t="str">
        <f ca="1">IF(Data!B318="","",IF(ISNUMBER(Data!F318),IF(AND(Data!F318&gt;(TODAY()-(Data_Val!$H$3*365.25)),Data!F318&lt;=(TODAY()-(Data_Val!$H$2*365.25))),0,1),1))</f>
        <v/>
      </c>
      <c r="G318" s="15" t="str">
        <f>IF(Data!B318="","",IF(AND(Data!G318="",Data!H318&lt;&gt;""),1,IF(Data!#REF!&lt;&gt;"",0,IF(ISNUMBER(MATCH(Data!G318,Data_Val!$C$2:$C$5,0)),0,1))))</f>
        <v/>
      </c>
      <c r="H318" s="15" t="str">
        <f>IF(Data!B318="","",IF(AND(Data!G318&lt;&gt;"",Data!H318=""),1,IF(Data!#REF!&lt;&gt;"",0,IF(Data!G318="",1,IF(ISNUMBER(MATCH(Data!H318,Data_Val!$D$2:$D$35,0)),0,1)))))</f>
        <v/>
      </c>
      <c r="I318" s="15" t="str">
        <f>IF(Data!B318="","",IF(Data!G318&lt;&gt;"",0,IF(ISNUMBER(MATCH(Data!#REF!,Data_Val!$E$2:$E$12,0)),0,1)))</f>
        <v/>
      </c>
      <c r="J318" s="16" t="e">
        <f>IF(OR(Data!B318="",Data!#REF!=""),"",IF(Data!#REF!="",1,0))</f>
        <v>#REF!</v>
      </c>
      <c r="K318" s="16" t="e">
        <f>IF(OR(Data!B318="",Data!#REF!=""),"",IF(Data!#REF!="",1,0))</f>
        <v>#REF!</v>
      </c>
      <c r="L318" s="16" t="e">
        <f>IF(OR(Data!B318="",Data!#REF!=""),"",IF(ISNUMBER(Data!#REF!),IF(AND(Data!#REF!&gt;Data_Val!$G$2,Data!#REF!&lt;=Data_Val!$G$3),0,1),1))</f>
        <v>#REF!</v>
      </c>
      <c r="M318" s="9" t="e">
        <f>IF(OR(Data!B318="",Data!#REF!=""),"",IF(ISNUMBER(MATCH(Data!#REF!,Data_Val!$F$1:$F$38,0)),0,1))</f>
        <v>#REF!</v>
      </c>
      <c r="N318" s="9" t="e">
        <f>IF(OR(Data!B318="",Data!#REF!=""),"",IF(Data!#REF!="",1,0))</f>
        <v>#REF!</v>
      </c>
      <c r="O318" s="17" t="e">
        <f>IF(Data!#REF!="","",IF(Data!#REF!="",1,0))</f>
        <v>#REF!</v>
      </c>
      <c r="P318" s="17" t="e">
        <f>IF(Data!#REF!="","",IF(ISNUMBER(MATCH(Data!#REF!,Data_Val!$A$2:$A$3,0)),0,1))</f>
        <v>#REF!</v>
      </c>
      <c r="Q318" s="25" t="e">
        <f ca="1">IF(Data!#REF!="","",IF(ISNUMBER(Data!#REF!),IF(AND(Data!#REF!&gt;(TODAY()-(Data_Val!$J$3*365.25)),Data!#REF!&lt;=(TODAY()-(Data_Val!$J$2*365.25))),0,1),1))</f>
        <v>#REF!</v>
      </c>
      <c r="R318" s="17" t="e">
        <f>IF(Data!#REF!="","",IF(ISNUMBER(MATCH(Data!#REF!,Data_Val!$B$2:$B$15,0)),0,1))</f>
        <v>#REF!</v>
      </c>
      <c r="S318" s="11" t="str">
        <f>IF(Data!G318="","",IF(Data!G318=Data_Val!$C$2,IF(Data!M318="",0,1),0))</f>
        <v/>
      </c>
      <c r="T318" s="11" t="str">
        <f>IF(Data!M318="","",IF(ISNUMBER(MATCH(Data!N318,Data_Val!$A$2:$A$3,0)),0,1))</f>
        <v/>
      </c>
      <c r="U318" s="11" t="str">
        <f ca="1">IF(Data!M318="","",IF(ISNUMBER(Data!O318),IF(AND(Data!O318&gt;(TODAY()-(Data_Val!$K$3*365.25)),Data!O318&lt;=(TODAY()-(Data_Val!$K$2*365.25))),0,1),1))</f>
        <v/>
      </c>
      <c r="V318" s="12" t="str">
        <f>IF(Data!G318="","",IF(Data!G318=Data_Val!$C$2,IF(Data!P318="",0,1),0))</f>
        <v/>
      </c>
      <c r="W318" s="12" t="str">
        <f>IF(Data!P318="","",IF(ISNUMBER(MATCH(Data!Q318,Data_Val!$A$2:$A$3,0)),0,1))</f>
        <v/>
      </c>
      <c r="X318" s="26" t="str">
        <f ca="1">IF(Data!P318="","",IF(ISNUMBER(Data!R318),IF(AND(Data!R318&gt;(TODAY()-(Data_Val!$L$3*365.25)),Data!R318&lt;=(TODAY()-(Data_Val!$L$2*365.25))),0,1),1))</f>
        <v/>
      </c>
      <c r="Y318" s="13" t="str">
        <f>IF(Data!$G318="","",IF(Data!$G318=Data_Val!$C$2,IF(Data!S318="",0,1),0))</f>
        <v/>
      </c>
      <c r="Z318" s="13" t="str">
        <f>IF(Data!S318="","",IF(ISNUMBER(MATCH(Data!T318,Data_Val!$A$2:$A$3,0)),0,1))</f>
        <v/>
      </c>
      <c r="AA318" s="28" t="str">
        <f ca="1">IF(Data!S318="","",IF(ISNUMBER(Data!U318),IF(AND(Data!U318&gt;(TODAY()-(Data_Val!$L$3*365.25)),Data!U318&lt;=(TODAY()-(Data_Val!$L$2*365.25))),0,1),1))</f>
        <v/>
      </c>
      <c r="AB318" s="11"/>
      <c r="AC318" s="11" t="e">
        <f>IF(Data!#REF!="","",IF(ISNUMBER(MATCH(Data!#REF!,Data_Val!$A$2:$A$3,0)),0,1))</f>
        <v>#REF!</v>
      </c>
      <c r="AD318" s="11" t="e">
        <f ca="1">IF(Data!#REF!="","",IF(ISNUMBER(Data!#REF!),IF(AND(Data!#REF!&gt;(TODAY()-(Data_Val!$L$3*365.25)),Data!#REF!&lt;=(TODAY()-(Data_Val!$L$2*365.25))),0,1),1))</f>
        <v>#REF!</v>
      </c>
      <c r="AE318" s="11" t="e">
        <f>IF(Data!#REF!="","",IF(Data!$G318="",1,IF(ISNUMBER(MATCH(Data!#REF!,Data_Val!$D$2:$D$10,0)),0,1)))</f>
        <v>#REF!</v>
      </c>
      <c r="AF318" s="12"/>
      <c r="AG318" s="12" t="e">
        <f>IF(Data!#REF!="","",IF(ISNUMBER(MATCH(Data!#REF!,Data_Val!$A$2:$A$3,0)),0,1))</f>
        <v>#REF!</v>
      </c>
      <c r="AH318" s="26" t="e">
        <f ca="1">IF(Data!#REF!="","",IF(ISNUMBER(Data!#REF!),IF(AND(Data!#REF!&gt;(TODAY()-(Data_Val!$L$3*365.25)),Data!#REF!&lt;=(TODAY()-(Data_Val!$L$2*365.25))),0,1),1))</f>
        <v>#REF!</v>
      </c>
      <c r="AI318" s="12" t="e">
        <f>IF(Data!#REF!="","",IF(Data!$G318="",1,IF(ISNUMBER(MATCH(Data!#REF!,Data_Val!$D$2:$D$10,0)),0,1)))</f>
        <v>#REF!</v>
      </c>
      <c r="AJ318" s="17"/>
      <c r="AK318" s="17" t="e">
        <f>IF(Data!#REF!="","",IF(ISNUMBER(MATCH(Data!#REF!,Data_Val!$A$2:$A$3,0)),0,1))</f>
        <v>#REF!</v>
      </c>
      <c r="AL318" s="25" t="e">
        <f ca="1">IF(Data!#REF!="","",IF(ISNUMBER(Data!#REF!),IF(AND(Data!#REF!&gt;(TODAY()-(Data_Val!$L$3*365.25)),Data!#REF!&lt;=(TODAY()-(Data_Val!$L$2*365.25))),0,1),1))</f>
        <v>#REF!</v>
      </c>
      <c r="AM318" s="17" t="e">
        <f>IF(Data!#REF!="","",IF(Data!$G318="",1,IF(ISNUMBER(MATCH(Data!#REF!,Data_Val!$D$2:$D$10,0)),0,1)))</f>
        <v>#REF!</v>
      </c>
      <c r="AN318" s="13"/>
      <c r="AO318" s="28" t="e">
        <f ca="1">IF(Data!#REF!="","",IF(ISNUMBER(Data!#REF!),IF(AND(Data!#REF!&gt;(TODAY()-(Data_Val!$I$3*365.25)),Data!#REF!&lt;=(TODAY()-(Data_Val!$I$2*365.25))),0,1),1))</f>
        <v>#REF!</v>
      </c>
      <c r="AP318" s="13" t="e">
        <f>IF(Data!#REF!="","",IF(Data!$G318="",1,IF(ISNUMBER(MATCH(Data!#REF!,Data_Val!$D$2:$D$10,0)),0,1)))</f>
        <v>#REF!</v>
      </c>
      <c r="AQ318" s="17"/>
      <c r="AR318" s="30" t="e">
        <f ca="1">IF(Data!#REF!="","",IF(ISNUMBER(Data!#REF!),IF(AND(Data!#REF!&gt;(TODAY()-(Data_Val!$I$3*365.25)),Data!#REF!&lt;=(TODAY()-(Data_Val!$I$2*365.25))),0,1),1))</f>
        <v>#REF!</v>
      </c>
      <c r="AS318" s="31" t="e">
        <f>IF(Data!#REF!="","",IF(Data!$G318="",1,IF(ISNUMBER(MATCH(Data!#REF!,Data_Val!$D$2:$D$10,0)),0,1)))</f>
        <v>#REF!</v>
      </c>
      <c r="AT318" s="11"/>
      <c r="AU318" s="11" t="e">
        <f ca="1">IF(Data!#REF!="","",IF(ISNUMBER(Data!#REF!),IF(AND(Data!#REF!&gt;(TODAY()-(Data_Val!$I$3*365.25)),Data!#REF!&lt;=(TODAY()-(Data_Val!$I$2*365.25))),0,1),1))</f>
        <v>#REF!</v>
      </c>
      <c r="AV318" s="11" t="e">
        <f>IF(Data!#REF!="","",IF(Data!$G318="",1,IF(ISNUMBER(MATCH(Data!#REF!,Data_Val!$D$2:$D$10,0)),0,1)))</f>
        <v>#REF!</v>
      </c>
      <c r="AW318" s="12"/>
      <c r="AX318" s="26" t="e">
        <f ca="1">IF(Data!#REF!="","",IF(ISNUMBER(Data!#REF!),IF(AND(Data!#REF!&gt;(TODAY()-(Data_Val!$I$3*365.25)),Data!#REF!&lt;=(TODAY()-(Data_Val!$I$2*365.25))),0,1),1))</f>
        <v>#REF!</v>
      </c>
      <c r="AY318" s="12" t="e">
        <f>IF(Data!#REF!="","",IF(Data!$G318="",1,IF(ISNUMBER(MATCH(Data!#REF!,Data_Val!$D$2:$D$10,0)),0,1)))</f>
        <v>#REF!</v>
      </c>
      <c r="AZ318" s="11"/>
      <c r="BA318" s="19" t="e">
        <f ca="1">IF(Data!#REF!="","",IF(ISNUMBER(Data!#REF!),IF(AND(Data!#REF!&gt;(TODAY()-(Data_Val!$M$3*365.25)),Data!#REF!&lt;=(TODAY()-(Data_Val!$M$2*365.25))),0,1),1))</f>
        <v>#REF!</v>
      </c>
      <c r="BB318" s="11" t="e">
        <f>IF(Data!#REF!="","",IF(Data!$G318="",1,IF(ISNUMBER(MATCH(Data!#REF!,Data_Val!$D$2:$D$10,0)),0,1)))</f>
        <v>#REF!</v>
      </c>
      <c r="BC318" s="12"/>
      <c r="BD318" s="20" t="e">
        <f ca="1">IF(Data!#REF!="","",IF(ISNUMBER(Data!#REF!),IF(AND(Data!#REF!&gt;(TODAY()-(Data_Val!$M$3*365.25)),Data!#REF!&lt;=(TODAY()-(Data_Val!$M$2*365.25))),0,1),1))</f>
        <v>#REF!</v>
      </c>
      <c r="BE318" s="12" t="e">
        <f>IF(Data!#REF!="","",IF(Data!$G318="",1,IF(ISNUMBER(MATCH(Data!#REF!,Data_Val!$D$2:$D$10,0)),0,1)))</f>
        <v>#REF!</v>
      </c>
      <c r="BF318" s="17"/>
      <c r="BG318" s="18" t="e">
        <f ca="1">IF(Data!#REF!="","",IF(ISNUMBER(Data!#REF!),IF(AND(Data!#REF!&gt;(TODAY()-(Data_Val!$M$3*365.25)),Data!#REF!&lt;=(TODAY()-(Data_Val!$M$2*365.25))),0,1),1))</f>
        <v>#REF!</v>
      </c>
      <c r="BH318" s="29" t="e">
        <f>IF(Data!#REF!="","",IF(Data!$G318="",1,IF(ISNUMBER(MATCH(Data!#REF!,Data_Val!$D$2:$D$10,0)),0,1)))</f>
        <v>#REF!</v>
      </c>
      <c r="BI318" s="13"/>
      <c r="BJ318" s="21" t="e">
        <f ca="1">IF(Data!#REF!="","",IF(ISNUMBER(Data!#REF!),IF(AND(Data!#REF!&gt;(TODAY()-(Data_Val!$M$3*365.25)),Data!#REF!&lt;=(TODAY()-(Data_Val!$M$2*365.25))),0,1),1))</f>
        <v>#REF!</v>
      </c>
      <c r="BK318" s="13" t="e">
        <f>IF(Data!#REF!="","",IF(Data!$G318="",1,IF(ISNUMBER(MATCH(Data!#REF!,Data_Val!$D$2:$D$10,0)),0,1)))</f>
        <v>#REF!</v>
      </c>
    </row>
    <row r="319" spans="1:63" x14ac:dyDescent="0.25">
      <c r="A319" s="9" t="str">
        <f>IF(Data!B319="","",IF(COUNTIFS(Data!A$1:'Data'!A319,Data!A319)&lt;=1,0,1))</f>
        <v/>
      </c>
      <c r="B319" s="9"/>
      <c r="C319" s="23" t="str">
        <f>IF(Data!C319="","",(IF(ISNUMBER(MATCH("*@*.?*",Data!C319,0)),0,1)+IF(COUNTIFS(Data!C$1:'Data'!C319,Data!C319)&gt;1,1,0)))</f>
        <v/>
      </c>
      <c r="D319" s="9" t="str">
        <f>IF(Data!B319="","",IF(ISNUMBER(Data!D319),IF(AND(Data!D319&gt;999999999,Data!D319&lt;=9999999999),IF(COUNTIFS(Data!D$1:'Data'!D319,Data!D319)&lt;=1,0,1),1),1))</f>
        <v/>
      </c>
      <c r="E319" s="9" t="str">
        <f>IF(Data!B319="","",IF(ISNUMBER(MATCH(Data!E319,Data_Val!$A$2:$A$3,0)),0,1))</f>
        <v/>
      </c>
      <c r="F319" s="9" t="str">
        <f ca="1">IF(Data!B319="","",IF(ISNUMBER(Data!F319),IF(AND(Data!F319&gt;(TODAY()-(Data_Val!$H$3*365.25)),Data!F319&lt;=(TODAY()-(Data_Val!$H$2*365.25))),0,1),1))</f>
        <v/>
      </c>
      <c r="G319" s="15" t="str">
        <f>IF(Data!B319="","",IF(AND(Data!G319="",Data!H319&lt;&gt;""),1,IF(Data!#REF!&lt;&gt;"",0,IF(ISNUMBER(MATCH(Data!G319,Data_Val!$C$2:$C$5,0)),0,1))))</f>
        <v/>
      </c>
      <c r="H319" s="15" t="str">
        <f>IF(Data!B319="","",IF(AND(Data!G319&lt;&gt;"",Data!H319=""),1,IF(Data!#REF!&lt;&gt;"",0,IF(Data!G319="",1,IF(ISNUMBER(MATCH(Data!H319,Data_Val!$D$2:$D$35,0)),0,1)))))</f>
        <v/>
      </c>
      <c r="I319" s="15" t="str">
        <f>IF(Data!B319="","",IF(Data!G319&lt;&gt;"",0,IF(ISNUMBER(MATCH(Data!#REF!,Data_Val!$E$2:$E$12,0)),0,1)))</f>
        <v/>
      </c>
      <c r="J319" s="16" t="e">
        <f>IF(OR(Data!B319="",Data!#REF!=""),"",IF(Data!#REF!="",1,0))</f>
        <v>#REF!</v>
      </c>
      <c r="K319" s="16" t="e">
        <f>IF(OR(Data!B319="",Data!#REF!=""),"",IF(Data!#REF!="",1,0))</f>
        <v>#REF!</v>
      </c>
      <c r="L319" s="16" t="e">
        <f>IF(OR(Data!B319="",Data!#REF!=""),"",IF(ISNUMBER(Data!#REF!),IF(AND(Data!#REF!&gt;Data_Val!$G$2,Data!#REF!&lt;=Data_Val!$G$3),0,1),1))</f>
        <v>#REF!</v>
      </c>
      <c r="M319" s="9" t="e">
        <f>IF(OR(Data!B319="",Data!#REF!=""),"",IF(ISNUMBER(MATCH(Data!#REF!,Data_Val!$F$1:$F$38,0)),0,1))</f>
        <v>#REF!</v>
      </c>
      <c r="N319" s="9" t="e">
        <f>IF(OR(Data!B319="",Data!#REF!=""),"",IF(Data!#REF!="",1,0))</f>
        <v>#REF!</v>
      </c>
      <c r="O319" s="17" t="e">
        <f>IF(Data!#REF!="","",IF(Data!#REF!="",1,0))</f>
        <v>#REF!</v>
      </c>
      <c r="P319" s="17" t="e">
        <f>IF(Data!#REF!="","",IF(ISNUMBER(MATCH(Data!#REF!,Data_Val!$A$2:$A$3,0)),0,1))</f>
        <v>#REF!</v>
      </c>
      <c r="Q319" s="25" t="e">
        <f ca="1">IF(Data!#REF!="","",IF(ISNUMBER(Data!#REF!),IF(AND(Data!#REF!&gt;(TODAY()-(Data_Val!$J$3*365.25)),Data!#REF!&lt;=(TODAY()-(Data_Val!$J$2*365.25))),0,1),1))</f>
        <v>#REF!</v>
      </c>
      <c r="R319" s="17" t="e">
        <f>IF(Data!#REF!="","",IF(ISNUMBER(MATCH(Data!#REF!,Data_Val!$B$2:$B$15,0)),0,1))</f>
        <v>#REF!</v>
      </c>
      <c r="S319" s="11" t="str">
        <f>IF(Data!G319="","",IF(Data!G319=Data_Val!$C$2,IF(Data!M319="",0,1),0))</f>
        <v/>
      </c>
      <c r="T319" s="11" t="str">
        <f>IF(Data!M319="","",IF(ISNUMBER(MATCH(Data!N319,Data_Val!$A$2:$A$3,0)),0,1))</f>
        <v/>
      </c>
      <c r="U319" s="11" t="str">
        <f ca="1">IF(Data!M319="","",IF(ISNUMBER(Data!O319),IF(AND(Data!O319&gt;(TODAY()-(Data_Val!$K$3*365.25)),Data!O319&lt;=(TODAY()-(Data_Val!$K$2*365.25))),0,1),1))</f>
        <v/>
      </c>
      <c r="V319" s="12" t="str">
        <f>IF(Data!G319="","",IF(Data!G319=Data_Val!$C$2,IF(Data!P319="",0,1),0))</f>
        <v/>
      </c>
      <c r="W319" s="12" t="str">
        <f>IF(Data!P319="","",IF(ISNUMBER(MATCH(Data!Q319,Data_Val!$A$2:$A$3,0)),0,1))</f>
        <v/>
      </c>
      <c r="X319" s="26" t="str">
        <f ca="1">IF(Data!P319="","",IF(ISNUMBER(Data!R319),IF(AND(Data!R319&gt;(TODAY()-(Data_Val!$L$3*365.25)),Data!R319&lt;=(TODAY()-(Data_Val!$L$2*365.25))),0,1),1))</f>
        <v/>
      </c>
      <c r="Y319" s="13" t="str">
        <f>IF(Data!$G319="","",IF(Data!$G319=Data_Val!$C$2,IF(Data!S319="",0,1),0))</f>
        <v/>
      </c>
      <c r="Z319" s="13" t="str">
        <f>IF(Data!S319="","",IF(ISNUMBER(MATCH(Data!T319,Data_Val!$A$2:$A$3,0)),0,1))</f>
        <v/>
      </c>
      <c r="AA319" s="28" t="str">
        <f ca="1">IF(Data!S319="","",IF(ISNUMBER(Data!U319),IF(AND(Data!U319&gt;(TODAY()-(Data_Val!$L$3*365.25)),Data!U319&lt;=(TODAY()-(Data_Val!$L$2*365.25))),0,1),1))</f>
        <v/>
      </c>
      <c r="AB319" s="11"/>
      <c r="AC319" s="11" t="e">
        <f>IF(Data!#REF!="","",IF(ISNUMBER(MATCH(Data!#REF!,Data_Val!$A$2:$A$3,0)),0,1))</f>
        <v>#REF!</v>
      </c>
      <c r="AD319" s="11" t="e">
        <f ca="1">IF(Data!#REF!="","",IF(ISNUMBER(Data!#REF!),IF(AND(Data!#REF!&gt;(TODAY()-(Data_Val!$L$3*365.25)),Data!#REF!&lt;=(TODAY()-(Data_Val!$L$2*365.25))),0,1),1))</f>
        <v>#REF!</v>
      </c>
      <c r="AE319" s="11" t="e">
        <f>IF(Data!#REF!="","",IF(Data!$G319="",1,IF(ISNUMBER(MATCH(Data!#REF!,Data_Val!$D$2:$D$10,0)),0,1)))</f>
        <v>#REF!</v>
      </c>
      <c r="AF319" s="12"/>
      <c r="AG319" s="12" t="e">
        <f>IF(Data!#REF!="","",IF(ISNUMBER(MATCH(Data!#REF!,Data_Val!$A$2:$A$3,0)),0,1))</f>
        <v>#REF!</v>
      </c>
      <c r="AH319" s="26" t="e">
        <f ca="1">IF(Data!#REF!="","",IF(ISNUMBER(Data!#REF!),IF(AND(Data!#REF!&gt;(TODAY()-(Data_Val!$L$3*365.25)),Data!#REF!&lt;=(TODAY()-(Data_Val!$L$2*365.25))),0,1),1))</f>
        <v>#REF!</v>
      </c>
      <c r="AI319" s="12" t="e">
        <f>IF(Data!#REF!="","",IF(Data!$G319="",1,IF(ISNUMBER(MATCH(Data!#REF!,Data_Val!$D$2:$D$10,0)),0,1)))</f>
        <v>#REF!</v>
      </c>
      <c r="AJ319" s="17"/>
      <c r="AK319" s="17" t="e">
        <f>IF(Data!#REF!="","",IF(ISNUMBER(MATCH(Data!#REF!,Data_Val!$A$2:$A$3,0)),0,1))</f>
        <v>#REF!</v>
      </c>
      <c r="AL319" s="25" t="e">
        <f ca="1">IF(Data!#REF!="","",IF(ISNUMBER(Data!#REF!),IF(AND(Data!#REF!&gt;(TODAY()-(Data_Val!$L$3*365.25)),Data!#REF!&lt;=(TODAY()-(Data_Val!$L$2*365.25))),0,1),1))</f>
        <v>#REF!</v>
      </c>
      <c r="AM319" s="17" t="e">
        <f>IF(Data!#REF!="","",IF(Data!$G319="",1,IF(ISNUMBER(MATCH(Data!#REF!,Data_Val!$D$2:$D$10,0)),0,1)))</f>
        <v>#REF!</v>
      </c>
      <c r="AN319" s="13"/>
      <c r="AO319" s="28" t="e">
        <f ca="1">IF(Data!#REF!="","",IF(ISNUMBER(Data!#REF!),IF(AND(Data!#REF!&gt;(TODAY()-(Data_Val!$I$3*365.25)),Data!#REF!&lt;=(TODAY()-(Data_Val!$I$2*365.25))),0,1),1))</f>
        <v>#REF!</v>
      </c>
      <c r="AP319" s="13" t="e">
        <f>IF(Data!#REF!="","",IF(Data!$G319="",1,IF(ISNUMBER(MATCH(Data!#REF!,Data_Val!$D$2:$D$10,0)),0,1)))</f>
        <v>#REF!</v>
      </c>
      <c r="AQ319" s="17"/>
      <c r="AR319" s="30" t="e">
        <f ca="1">IF(Data!#REF!="","",IF(ISNUMBER(Data!#REF!),IF(AND(Data!#REF!&gt;(TODAY()-(Data_Val!$I$3*365.25)),Data!#REF!&lt;=(TODAY()-(Data_Val!$I$2*365.25))),0,1),1))</f>
        <v>#REF!</v>
      </c>
      <c r="AS319" s="31" t="e">
        <f>IF(Data!#REF!="","",IF(Data!$G319="",1,IF(ISNUMBER(MATCH(Data!#REF!,Data_Val!$D$2:$D$10,0)),0,1)))</f>
        <v>#REF!</v>
      </c>
      <c r="AT319" s="11"/>
      <c r="AU319" s="11" t="e">
        <f ca="1">IF(Data!#REF!="","",IF(ISNUMBER(Data!#REF!),IF(AND(Data!#REF!&gt;(TODAY()-(Data_Val!$I$3*365.25)),Data!#REF!&lt;=(TODAY()-(Data_Val!$I$2*365.25))),0,1),1))</f>
        <v>#REF!</v>
      </c>
      <c r="AV319" s="11" t="e">
        <f>IF(Data!#REF!="","",IF(Data!$G319="",1,IF(ISNUMBER(MATCH(Data!#REF!,Data_Val!$D$2:$D$10,0)),0,1)))</f>
        <v>#REF!</v>
      </c>
      <c r="AW319" s="12"/>
      <c r="AX319" s="26" t="e">
        <f ca="1">IF(Data!#REF!="","",IF(ISNUMBER(Data!#REF!),IF(AND(Data!#REF!&gt;(TODAY()-(Data_Val!$I$3*365.25)),Data!#REF!&lt;=(TODAY()-(Data_Val!$I$2*365.25))),0,1),1))</f>
        <v>#REF!</v>
      </c>
      <c r="AY319" s="12" t="e">
        <f>IF(Data!#REF!="","",IF(Data!$G319="",1,IF(ISNUMBER(MATCH(Data!#REF!,Data_Val!$D$2:$D$10,0)),0,1)))</f>
        <v>#REF!</v>
      </c>
      <c r="AZ319" s="11"/>
      <c r="BA319" s="19" t="e">
        <f ca="1">IF(Data!#REF!="","",IF(ISNUMBER(Data!#REF!),IF(AND(Data!#REF!&gt;(TODAY()-(Data_Val!$M$3*365.25)),Data!#REF!&lt;=(TODAY()-(Data_Val!$M$2*365.25))),0,1),1))</f>
        <v>#REF!</v>
      </c>
      <c r="BB319" s="11" t="e">
        <f>IF(Data!#REF!="","",IF(Data!$G319="",1,IF(ISNUMBER(MATCH(Data!#REF!,Data_Val!$D$2:$D$10,0)),0,1)))</f>
        <v>#REF!</v>
      </c>
      <c r="BC319" s="12"/>
      <c r="BD319" s="20" t="e">
        <f ca="1">IF(Data!#REF!="","",IF(ISNUMBER(Data!#REF!),IF(AND(Data!#REF!&gt;(TODAY()-(Data_Val!$M$3*365.25)),Data!#REF!&lt;=(TODAY()-(Data_Val!$M$2*365.25))),0,1),1))</f>
        <v>#REF!</v>
      </c>
      <c r="BE319" s="12" t="e">
        <f>IF(Data!#REF!="","",IF(Data!$G319="",1,IF(ISNUMBER(MATCH(Data!#REF!,Data_Val!$D$2:$D$10,0)),0,1)))</f>
        <v>#REF!</v>
      </c>
      <c r="BF319" s="17"/>
      <c r="BG319" s="18" t="e">
        <f ca="1">IF(Data!#REF!="","",IF(ISNUMBER(Data!#REF!),IF(AND(Data!#REF!&gt;(TODAY()-(Data_Val!$M$3*365.25)),Data!#REF!&lt;=(TODAY()-(Data_Val!$M$2*365.25))),0,1),1))</f>
        <v>#REF!</v>
      </c>
      <c r="BH319" s="29" t="e">
        <f>IF(Data!#REF!="","",IF(Data!$G319="",1,IF(ISNUMBER(MATCH(Data!#REF!,Data_Val!$D$2:$D$10,0)),0,1)))</f>
        <v>#REF!</v>
      </c>
      <c r="BI319" s="13"/>
      <c r="BJ319" s="21" t="e">
        <f ca="1">IF(Data!#REF!="","",IF(ISNUMBER(Data!#REF!),IF(AND(Data!#REF!&gt;(TODAY()-(Data_Val!$M$3*365.25)),Data!#REF!&lt;=(TODAY()-(Data_Val!$M$2*365.25))),0,1),1))</f>
        <v>#REF!</v>
      </c>
      <c r="BK319" s="13" t="e">
        <f>IF(Data!#REF!="","",IF(Data!$G319="",1,IF(ISNUMBER(MATCH(Data!#REF!,Data_Val!$D$2:$D$10,0)),0,1)))</f>
        <v>#REF!</v>
      </c>
    </row>
    <row r="320" spans="1:63" x14ac:dyDescent="0.25">
      <c r="A320" s="9" t="str">
        <f>IF(Data!B320="","",IF(COUNTIFS(Data!A$1:'Data'!A320,Data!A320)&lt;=1,0,1))</f>
        <v/>
      </c>
      <c r="B320" s="9"/>
      <c r="C320" s="23" t="str">
        <f>IF(Data!C320="","",(IF(ISNUMBER(MATCH("*@*.?*",Data!C320,0)),0,1)+IF(COUNTIFS(Data!C$1:'Data'!C320,Data!C320)&gt;1,1,0)))</f>
        <v/>
      </c>
      <c r="D320" s="9" t="str">
        <f>IF(Data!B320="","",IF(ISNUMBER(Data!D320),IF(AND(Data!D320&gt;999999999,Data!D320&lt;=9999999999),IF(COUNTIFS(Data!D$1:'Data'!D320,Data!D320)&lt;=1,0,1),1),1))</f>
        <v/>
      </c>
      <c r="E320" s="9" t="str">
        <f>IF(Data!B320="","",IF(ISNUMBER(MATCH(Data!E320,Data_Val!$A$2:$A$3,0)),0,1))</f>
        <v/>
      </c>
      <c r="F320" s="9" t="str">
        <f ca="1">IF(Data!B320="","",IF(ISNUMBER(Data!F320),IF(AND(Data!F320&gt;(TODAY()-(Data_Val!$H$3*365.25)),Data!F320&lt;=(TODAY()-(Data_Val!$H$2*365.25))),0,1),1))</f>
        <v/>
      </c>
      <c r="G320" s="15" t="str">
        <f>IF(Data!B320="","",IF(AND(Data!G320="",Data!H320&lt;&gt;""),1,IF(Data!#REF!&lt;&gt;"",0,IF(ISNUMBER(MATCH(Data!G320,Data_Val!$C$2:$C$5,0)),0,1))))</f>
        <v/>
      </c>
      <c r="H320" s="15" t="str">
        <f>IF(Data!B320="","",IF(AND(Data!G320&lt;&gt;"",Data!H320=""),1,IF(Data!#REF!&lt;&gt;"",0,IF(Data!G320="",1,IF(ISNUMBER(MATCH(Data!H320,Data_Val!$D$2:$D$35,0)),0,1)))))</f>
        <v/>
      </c>
      <c r="I320" s="15" t="str">
        <f>IF(Data!B320="","",IF(Data!G320&lt;&gt;"",0,IF(ISNUMBER(MATCH(Data!#REF!,Data_Val!$E$2:$E$12,0)),0,1)))</f>
        <v/>
      </c>
      <c r="J320" s="16" t="e">
        <f>IF(OR(Data!B320="",Data!#REF!=""),"",IF(Data!#REF!="",1,0))</f>
        <v>#REF!</v>
      </c>
      <c r="K320" s="16" t="e">
        <f>IF(OR(Data!B320="",Data!#REF!=""),"",IF(Data!#REF!="",1,0))</f>
        <v>#REF!</v>
      </c>
      <c r="L320" s="16" t="e">
        <f>IF(OR(Data!B320="",Data!#REF!=""),"",IF(ISNUMBER(Data!#REF!),IF(AND(Data!#REF!&gt;Data_Val!$G$2,Data!#REF!&lt;=Data_Val!$G$3),0,1),1))</f>
        <v>#REF!</v>
      </c>
      <c r="M320" s="9" t="e">
        <f>IF(OR(Data!B320="",Data!#REF!=""),"",IF(ISNUMBER(MATCH(Data!#REF!,Data_Val!$F$1:$F$38,0)),0,1))</f>
        <v>#REF!</v>
      </c>
      <c r="N320" s="9" t="e">
        <f>IF(OR(Data!B320="",Data!#REF!=""),"",IF(Data!#REF!="",1,0))</f>
        <v>#REF!</v>
      </c>
      <c r="O320" s="17" t="e">
        <f>IF(Data!#REF!="","",IF(Data!#REF!="",1,0))</f>
        <v>#REF!</v>
      </c>
      <c r="P320" s="17" t="e">
        <f>IF(Data!#REF!="","",IF(ISNUMBER(MATCH(Data!#REF!,Data_Val!$A$2:$A$3,0)),0,1))</f>
        <v>#REF!</v>
      </c>
      <c r="Q320" s="25" t="e">
        <f ca="1">IF(Data!#REF!="","",IF(ISNUMBER(Data!#REF!),IF(AND(Data!#REF!&gt;(TODAY()-(Data_Val!$J$3*365.25)),Data!#REF!&lt;=(TODAY()-(Data_Val!$J$2*365.25))),0,1),1))</f>
        <v>#REF!</v>
      </c>
      <c r="R320" s="17" t="e">
        <f>IF(Data!#REF!="","",IF(ISNUMBER(MATCH(Data!#REF!,Data_Val!$B$2:$B$15,0)),0,1))</f>
        <v>#REF!</v>
      </c>
      <c r="S320" s="11" t="str">
        <f>IF(Data!G320="","",IF(Data!G320=Data_Val!$C$2,IF(Data!M320="",0,1),0))</f>
        <v/>
      </c>
      <c r="T320" s="11" t="str">
        <f>IF(Data!M320="","",IF(ISNUMBER(MATCH(Data!N320,Data_Val!$A$2:$A$3,0)),0,1))</f>
        <v/>
      </c>
      <c r="U320" s="11" t="str">
        <f ca="1">IF(Data!M320="","",IF(ISNUMBER(Data!O320),IF(AND(Data!O320&gt;(TODAY()-(Data_Val!$K$3*365.25)),Data!O320&lt;=(TODAY()-(Data_Val!$K$2*365.25))),0,1),1))</f>
        <v/>
      </c>
      <c r="V320" s="12" t="str">
        <f>IF(Data!G320="","",IF(Data!G320=Data_Val!$C$2,IF(Data!P320="",0,1),0))</f>
        <v/>
      </c>
      <c r="W320" s="12" t="str">
        <f>IF(Data!P320="","",IF(ISNUMBER(MATCH(Data!Q320,Data_Val!$A$2:$A$3,0)),0,1))</f>
        <v/>
      </c>
      <c r="X320" s="26" t="str">
        <f ca="1">IF(Data!P320="","",IF(ISNUMBER(Data!R320),IF(AND(Data!R320&gt;(TODAY()-(Data_Val!$L$3*365.25)),Data!R320&lt;=(TODAY()-(Data_Val!$L$2*365.25))),0,1),1))</f>
        <v/>
      </c>
      <c r="Y320" s="13" t="str">
        <f>IF(Data!$G320="","",IF(Data!$G320=Data_Val!$C$2,IF(Data!S320="",0,1),0))</f>
        <v/>
      </c>
      <c r="Z320" s="13" t="str">
        <f>IF(Data!S320="","",IF(ISNUMBER(MATCH(Data!T320,Data_Val!$A$2:$A$3,0)),0,1))</f>
        <v/>
      </c>
      <c r="AA320" s="28" t="str">
        <f ca="1">IF(Data!S320="","",IF(ISNUMBER(Data!U320),IF(AND(Data!U320&gt;(TODAY()-(Data_Val!$L$3*365.25)),Data!U320&lt;=(TODAY()-(Data_Val!$L$2*365.25))),0,1),1))</f>
        <v/>
      </c>
      <c r="AB320" s="11"/>
      <c r="AC320" s="11" t="e">
        <f>IF(Data!#REF!="","",IF(ISNUMBER(MATCH(Data!#REF!,Data_Val!$A$2:$A$3,0)),0,1))</f>
        <v>#REF!</v>
      </c>
      <c r="AD320" s="11" t="e">
        <f ca="1">IF(Data!#REF!="","",IF(ISNUMBER(Data!#REF!),IF(AND(Data!#REF!&gt;(TODAY()-(Data_Val!$L$3*365.25)),Data!#REF!&lt;=(TODAY()-(Data_Val!$L$2*365.25))),0,1),1))</f>
        <v>#REF!</v>
      </c>
      <c r="AE320" s="11" t="e">
        <f>IF(Data!#REF!="","",IF(Data!$G320="",1,IF(ISNUMBER(MATCH(Data!#REF!,Data_Val!$D$2:$D$10,0)),0,1)))</f>
        <v>#REF!</v>
      </c>
      <c r="AF320" s="12"/>
      <c r="AG320" s="12" t="e">
        <f>IF(Data!#REF!="","",IF(ISNUMBER(MATCH(Data!#REF!,Data_Val!$A$2:$A$3,0)),0,1))</f>
        <v>#REF!</v>
      </c>
      <c r="AH320" s="26" t="e">
        <f ca="1">IF(Data!#REF!="","",IF(ISNUMBER(Data!#REF!),IF(AND(Data!#REF!&gt;(TODAY()-(Data_Val!$L$3*365.25)),Data!#REF!&lt;=(TODAY()-(Data_Val!$L$2*365.25))),0,1),1))</f>
        <v>#REF!</v>
      </c>
      <c r="AI320" s="12" t="e">
        <f>IF(Data!#REF!="","",IF(Data!$G320="",1,IF(ISNUMBER(MATCH(Data!#REF!,Data_Val!$D$2:$D$10,0)),0,1)))</f>
        <v>#REF!</v>
      </c>
      <c r="AJ320" s="17"/>
      <c r="AK320" s="17" t="e">
        <f>IF(Data!#REF!="","",IF(ISNUMBER(MATCH(Data!#REF!,Data_Val!$A$2:$A$3,0)),0,1))</f>
        <v>#REF!</v>
      </c>
      <c r="AL320" s="25" t="e">
        <f ca="1">IF(Data!#REF!="","",IF(ISNUMBER(Data!#REF!),IF(AND(Data!#REF!&gt;(TODAY()-(Data_Val!$L$3*365.25)),Data!#REF!&lt;=(TODAY()-(Data_Val!$L$2*365.25))),0,1),1))</f>
        <v>#REF!</v>
      </c>
      <c r="AM320" s="17" t="e">
        <f>IF(Data!#REF!="","",IF(Data!$G320="",1,IF(ISNUMBER(MATCH(Data!#REF!,Data_Val!$D$2:$D$10,0)),0,1)))</f>
        <v>#REF!</v>
      </c>
      <c r="AN320" s="13"/>
      <c r="AO320" s="28" t="e">
        <f ca="1">IF(Data!#REF!="","",IF(ISNUMBER(Data!#REF!),IF(AND(Data!#REF!&gt;(TODAY()-(Data_Val!$I$3*365.25)),Data!#REF!&lt;=(TODAY()-(Data_Val!$I$2*365.25))),0,1),1))</f>
        <v>#REF!</v>
      </c>
      <c r="AP320" s="13" t="e">
        <f>IF(Data!#REF!="","",IF(Data!$G320="",1,IF(ISNUMBER(MATCH(Data!#REF!,Data_Val!$D$2:$D$10,0)),0,1)))</f>
        <v>#REF!</v>
      </c>
      <c r="AQ320" s="17"/>
      <c r="AR320" s="30" t="e">
        <f ca="1">IF(Data!#REF!="","",IF(ISNUMBER(Data!#REF!),IF(AND(Data!#REF!&gt;(TODAY()-(Data_Val!$I$3*365.25)),Data!#REF!&lt;=(TODAY()-(Data_Val!$I$2*365.25))),0,1),1))</f>
        <v>#REF!</v>
      </c>
      <c r="AS320" s="31" t="e">
        <f>IF(Data!#REF!="","",IF(Data!$G320="",1,IF(ISNUMBER(MATCH(Data!#REF!,Data_Val!$D$2:$D$10,0)),0,1)))</f>
        <v>#REF!</v>
      </c>
      <c r="AT320" s="11"/>
      <c r="AU320" s="11" t="e">
        <f ca="1">IF(Data!#REF!="","",IF(ISNUMBER(Data!#REF!),IF(AND(Data!#REF!&gt;(TODAY()-(Data_Val!$I$3*365.25)),Data!#REF!&lt;=(TODAY()-(Data_Val!$I$2*365.25))),0,1),1))</f>
        <v>#REF!</v>
      </c>
      <c r="AV320" s="11" t="e">
        <f>IF(Data!#REF!="","",IF(Data!$G320="",1,IF(ISNUMBER(MATCH(Data!#REF!,Data_Val!$D$2:$D$10,0)),0,1)))</f>
        <v>#REF!</v>
      </c>
      <c r="AW320" s="12"/>
      <c r="AX320" s="26" t="e">
        <f ca="1">IF(Data!#REF!="","",IF(ISNUMBER(Data!#REF!),IF(AND(Data!#REF!&gt;(TODAY()-(Data_Val!$I$3*365.25)),Data!#REF!&lt;=(TODAY()-(Data_Val!$I$2*365.25))),0,1),1))</f>
        <v>#REF!</v>
      </c>
      <c r="AY320" s="12" t="e">
        <f>IF(Data!#REF!="","",IF(Data!$G320="",1,IF(ISNUMBER(MATCH(Data!#REF!,Data_Val!$D$2:$D$10,0)),0,1)))</f>
        <v>#REF!</v>
      </c>
      <c r="AZ320" s="11"/>
      <c r="BA320" s="19" t="e">
        <f ca="1">IF(Data!#REF!="","",IF(ISNUMBER(Data!#REF!),IF(AND(Data!#REF!&gt;(TODAY()-(Data_Val!$M$3*365.25)),Data!#REF!&lt;=(TODAY()-(Data_Val!$M$2*365.25))),0,1),1))</f>
        <v>#REF!</v>
      </c>
      <c r="BB320" s="11" t="e">
        <f>IF(Data!#REF!="","",IF(Data!$G320="",1,IF(ISNUMBER(MATCH(Data!#REF!,Data_Val!$D$2:$D$10,0)),0,1)))</f>
        <v>#REF!</v>
      </c>
      <c r="BC320" s="12"/>
      <c r="BD320" s="20" t="e">
        <f ca="1">IF(Data!#REF!="","",IF(ISNUMBER(Data!#REF!),IF(AND(Data!#REF!&gt;(TODAY()-(Data_Val!$M$3*365.25)),Data!#REF!&lt;=(TODAY()-(Data_Val!$M$2*365.25))),0,1),1))</f>
        <v>#REF!</v>
      </c>
      <c r="BE320" s="12" t="e">
        <f>IF(Data!#REF!="","",IF(Data!$G320="",1,IF(ISNUMBER(MATCH(Data!#REF!,Data_Val!$D$2:$D$10,0)),0,1)))</f>
        <v>#REF!</v>
      </c>
      <c r="BF320" s="17"/>
      <c r="BG320" s="18" t="e">
        <f ca="1">IF(Data!#REF!="","",IF(ISNUMBER(Data!#REF!),IF(AND(Data!#REF!&gt;(TODAY()-(Data_Val!$M$3*365.25)),Data!#REF!&lt;=(TODAY()-(Data_Val!$M$2*365.25))),0,1),1))</f>
        <v>#REF!</v>
      </c>
      <c r="BH320" s="29" t="e">
        <f>IF(Data!#REF!="","",IF(Data!$G320="",1,IF(ISNUMBER(MATCH(Data!#REF!,Data_Val!$D$2:$D$10,0)),0,1)))</f>
        <v>#REF!</v>
      </c>
      <c r="BI320" s="13"/>
      <c r="BJ320" s="21" t="e">
        <f ca="1">IF(Data!#REF!="","",IF(ISNUMBER(Data!#REF!),IF(AND(Data!#REF!&gt;(TODAY()-(Data_Val!$M$3*365.25)),Data!#REF!&lt;=(TODAY()-(Data_Val!$M$2*365.25))),0,1),1))</f>
        <v>#REF!</v>
      </c>
      <c r="BK320" s="13" t="e">
        <f>IF(Data!#REF!="","",IF(Data!$G320="",1,IF(ISNUMBER(MATCH(Data!#REF!,Data_Val!$D$2:$D$10,0)),0,1)))</f>
        <v>#REF!</v>
      </c>
    </row>
    <row r="321" spans="1:63" x14ac:dyDescent="0.25">
      <c r="A321" s="9" t="str">
        <f>IF(Data!B321="","",IF(COUNTIFS(Data!A$1:'Data'!A321,Data!A321)&lt;=1,0,1))</f>
        <v/>
      </c>
      <c r="B321" s="9"/>
      <c r="C321" s="23" t="str">
        <f>IF(Data!C321="","",(IF(ISNUMBER(MATCH("*@*.?*",Data!C321,0)),0,1)+IF(COUNTIFS(Data!C$1:'Data'!C321,Data!C321)&gt;1,1,0)))</f>
        <v/>
      </c>
      <c r="D321" s="9" t="str">
        <f>IF(Data!B321="","",IF(ISNUMBER(Data!D321),IF(AND(Data!D321&gt;999999999,Data!D321&lt;=9999999999),IF(COUNTIFS(Data!D$1:'Data'!D321,Data!D321)&lt;=1,0,1),1),1))</f>
        <v/>
      </c>
      <c r="E321" s="9" t="str">
        <f>IF(Data!B321="","",IF(ISNUMBER(MATCH(Data!E321,Data_Val!$A$2:$A$3,0)),0,1))</f>
        <v/>
      </c>
      <c r="F321" s="9" t="str">
        <f ca="1">IF(Data!B321="","",IF(ISNUMBER(Data!F321),IF(AND(Data!F321&gt;(TODAY()-(Data_Val!$H$3*365.25)),Data!F321&lt;=(TODAY()-(Data_Val!$H$2*365.25))),0,1),1))</f>
        <v/>
      </c>
      <c r="G321" s="15" t="str">
        <f>IF(Data!B321="","",IF(AND(Data!G321="",Data!H321&lt;&gt;""),1,IF(Data!#REF!&lt;&gt;"",0,IF(ISNUMBER(MATCH(Data!G321,Data_Val!$C$2:$C$5,0)),0,1))))</f>
        <v/>
      </c>
      <c r="H321" s="15" t="str">
        <f>IF(Data!B321="","",IF(AND(Data!G321&lt;&gt;"",Data!H321=""),1,IF(Data!#REF!&lt;&gt;"",0,IF(Data!G321="",1,IF(ISNUMBER(MATCH(Data!H321,Data_Val!$D$2:$D$35,0)),0,1)))))</f>
        <v/>
      </c>
      <c r="I321" s="15" t="str">
        <f>IF(Data!B321="","",IF(Data!G321&lt;&gt;"",0,IF(ISNUMBER(MATCH(Data!#REF!,Data_Val!$E$2:$E$12,0)),0,1)))</f>
        <v/>
      </c>
      <c r="J321" s="16" t="e">
        <f>IF(OR(Data!B321="",Data!#REF!=""),"",IF(Data!#REF!="",1,0))</f>
        <v>#REF!</v>
      </c>
      <c r="K321" s="16" t="e">
        <f>IF(OR(Data!B321="",Data!#REF!=""),"",IF(Data!#REF!="",1,0))</f>
        <v>#REF!</v>
      </c>
      <c r="L321" s="16" t="e">
        <f>IF(OR(Data!B321="",Data!#REF!=""),"",IF(ISNUMBER(Data!#REF!),IF(AND(Data!#REF!&gt;Data_Val!$G$2,Data!#REF!&lt;=Data_Val!$G$3),0,1),1))</f>
        <v>#REF!</v>
      </c>
      <c r="M321" s="9" t="e">
        <f>IF(OR(Data!B321="",Data!#REF!=""),"",IF(ISNUMBER(MATCH(Data!#REF!,Data_Val!$F$1:$F$38,0)),0,1))</f>
        <v>#REF!</v>
      </c>
      <c r="N321" s="9" t="e">
        <f>IF(OR(Data!B321="",Data!#REF!=""),"",IF(Data!#REF!="",1,0))</f>
        <v>#REF!</v>
      </c>
      <c r="O321" s="17" t="e">
        <f>IF(Data!#REF!="","",IF(Data!#REF!="",1,0))</f>
        <v>#REF!</v>
      </c>
      <c r="P321" s="17" t="e">
        <f>IF(Data!#REF!="","",IF(ISNUMBER(MATCH(Data!#REF!,Data_Val!$A$2:$A$3,0)),0,1))</f>
        <v>#REF!</v>
      </c>
      <c r="Q321" s="25" t="e">
        <f ca="1">IF(Data!#REF!="","",IF(ISNUMBER(Data!#REF!),IF(AND(Data!#REF!&gt;(TODAY()-(Data_Val!$J$3*365.25)),Data!#REF!&lt;=(TODAY()-(Data_Val!$J$2*365.25))),0,1),1))</f>
        <v>#REF!</v>
      </c>
      <c r="R321" s="17" t="e">
        <f>IF(Data!#REF!="","",IF(ISNUMBER(MATCH(Data!#REF!,Data_Val!$B$2:$B$15,0)),0,1))</f>
        <v>#REF!</v>
      </c>
      <c r="S321" s="11" t="str">
        <f>IF(Data!G321="","",IF(Data!G321=Data_Val!$C$2,IF(Data!M321="",0,1),0))</f>
        <v/>
      </c>
      <c r="T321" s="11" t="str">
        <f>IF(Data!M321="","",IF(ISNUMBER(MATCH(Data!N321,Data_Val!$A$2:$A$3,0)),0,1))</f>
        <v/>
      </c>
      <c r="U321" s="11" t="str">
        <f ca="1">IF(Data!M321="","",IF(ISNUMBER(Data!O321),IF(AND(Data!O321&gt;(TODAY()-(Data_Val!$K$3*365.25)),Data!O321&lt;=(TODAY()-(Data_Val!$K$2*365.25))),0,1),1))</f>
        <v/>
      </c>
      <c r="V321" s="12" t="str">
        <f>IF(Data!G321="","",IF(Data!G321=Data_Val!$C$2,IF(Data!P321="",0,1),0))</f>
        <v/>
      </c>
      <c r="W321" s="12" t="str">
        <f>IF(Data!P321="","",IF(ISNUMBER(MATCH(Data!Q321,Data_Val!$A$2:$A$3,0)),0,1))</f>
        <v/>
      </c>
      <c r="X321" s="26" t="str">
        <f ca="1">IF(Data!P321="","",IF(ISNUMBER(Data!R321),IF(AND(Data!R321&gt;(TODAY()-(Data_Val!$L$3*365.25)),Data!R321&lt;=(TODAY()-(Data_Val!$L$2*365.25))),0,1),1))</f>
        <v/>
      </c>
      <c r="Y321" s="13" t="str">
        <f>IF(Data!$G321="","",IF(Data!$G321=Data_Val!$C$2,IF(Data!S321="",0,1),0))</f>
        <v/>
      </c>
      <c r="Z321" s="13" t="str">
        <f>IF(Data!S321="","",IF(ISNUMBER(MATCH(Data!T321,Data_Val!$A$2:$A$3,0)),0,1))</f>
        <v/>
      </c>
      <c r="AA321" s="28" t="str">
        <f ca="1">IF(Data!S321="","",IF(ISNUMBER(Data!U321),IF(AND(Data!U321&gt;(TODAY()-(Data_Val!$L$3*365.25)),Data!U321&lt;=(TODAY()-(Data_Val!$L$2*365.25))),0,1),1))</f>
        <v/>
      </c>
      <c r="AB321" s="11"/>
      <c r="AC321" s="11" t="e">
        <f>IF(Data!#REF!="","",IF(ISNUMBER(MATCH(Data!#REF!,Data_Val!$A$2:$A$3,0)),0,1))</f>
        <v>#REF!</v>
      </c>
      <c r="AD321" s="11" t="e">
        <f ca="1">IF(Data!#REF!="","",IF(ISNUMBER(Data!#REF!),IF(AND(Data!#REF!&gt;(TODAY()-(Data_Val!$L$3*365.25)),Data!#REF!&lt;=(TODAY()-(Data_Val!$L$2*365.25))),0,1),1))</f>
        <v>#REF!</v>
      </c>
      <c r="AE321" s="11" t="e">
        <f>IF(Data!#REF!="","",IF(Data!$G321="",1,IF(ISNUMBER(MATCH(Data!#REF!,Data_Val!$D$2:$D$10,0)),0,1)))</f>
        <v>#REF!</v>
      </c>
      <c r="AF321" s="12"/>
      <c r="AG321" s="12" t="e">
        <f>IF(Data!#REF!="","",IF(ISNUMBER(MATCH(Data!#REF!,Data_Val!$A$2:$A$3,0)),0,1))</f>
        <v>#REF!</v>
      </c>
      <c r="AH321" s="26" t="e">
        <f ca="1">IF(Data!#REF!="","",IF(ISNUMBER(Data!#REF!),IF(AND(Data!#REF!&gt;(TODAY()-(Data_Val!$L$3*365.25)),Data!#REF!&lt;=(TODAY()-(Data_Val!$L$2*365.25))),0,1),1))</f>
        <v>#REF!</v>
      </c>
      <c r="AI321" s="12" t="e">
        <f>IF(Data!#REF!="","",IF(Data!$G321="",1,IF(ISNUMBER(MATCH(Data!#REF!,Data_Val!$D$2:$D$10,0)),0,1)))</f>
        <v>#REF!</v>
      </c>
      <c r="AJ321" s="17"/>
      <c r="AK321" s="17" t="e">
        <f>IF(Data!#REF!="","",IF(ISNUMBER(MATCH(Data!#REF!,Data_Val!$A$2:$A$3,0)),0,1))</f>
        <v>#REF!</v>
      </c>
      <c r="AL321" s="25" t="e">
        <f ca="1">IF(Data!#REF!="","",IF(ISNUMBER(Data!#REF!),IF(AND(Data!#REF!&gt;(TODAY()-(Data_Val!$L$3*365.25)),Data!#REF!&lt;=(TODAY()-(Data_Val!$L$2*365.25))),0,1),1))</f>
        <v>#REF!</v>
      </c>
      <c r="AM321" s="17" t="e">
        <f>IF(Data!#REF!="","",IF(Data!$G321="",1,IF(ISNUMBER(MATCH(Data!#REF!,Data_Val!$D$2:$D$10,0)),0,1)))</f>
        <v>#REF!</v>
      </c>
      <c r="AN321" s="13"/>
      <c r="AO321" s="28" t="e">
        <f ca="1">IF(Data!#REF!="","",IF(ISNUMBER(Data!#REF!),IF(AND(Data!#REF!&gt;(TODAY()-(Data_Val!$I$3*365.25)),Data!#REF!&lt;=(TODAY()-(Data_Val!$I$2*365.25))),0,1),1))</f>
        <v>#REF!</v>
      </c>
      <c r="AP321" s="13" t="e">
        <f>IF(Data!#REF!="","",IF(Data!$G321="",1,IF(ISNUMBER(MATCH(Data!#REF!,Data_Val!$D$2:$D$10,0)),0,1)))</f>
        <v>#REF!</v>
      </c>
      <c r="AQ321" s="17"/>
      <c r="AR321" s="30" t="e">
        <f ca="1">IF(Data!#REF!="","",IF(ISNUMBER(Data!#REF!),IF(AND(Data!#REF!&gt;(TODAY()-(Data_Val!$I$3*365.25)),Data!#REF!&lt;=(TODAY()-(Data_Val!$I$2*365.25))),0,1),1))</f>
        <v>#REF!</v>
      </c>
      <c r="AS321" s="31" t="e">
        <f>IF(Data!#REF!="","",IF(Data!$G321="",1,IF(ISNUMBER(MATCH(Data!#REF!,Data_Val!$D$2:$D$10,0)),0,1)))</f>
        <v>#REF!</v>
      </c>
      <c r="AT321" s="11"/>
      <c r="AU321" s="11" t="e">
        <f ca="1">IF(Data!#REF!="","",IF(ISNUMBER(Data!#REF!),IF(AND(Data!#REF!&gt;(TODAY()-(Data_Val!$I$3*365.25)),Data!#REF!&lt;=(TODAY()-(Data_Val!$I$2*365.25))),0,1),1))</f>
        <v>#REF!</v>
      </c>
      <c r="AV321" s="11" t="e">
        <f>IF(Data!#REF!="","",IF(Data!$G321="",1,IF(ISNUMBER(MATCH(Data!#REF!,Data_Val!$D$2:$D$10,0)),0,1)))</f>
        <v>#REF!</v>
      </c>
      <c r="AW321" s="12"/>
      <c r="AX321" s="26" t="e">
        <f ca="1">IF(Data!#REF!="","",IF(ISNUMBER(Data!#REF!),IF(AND(Data!#REF!&gt;(TODAY()-(Data_Val!$I$3*365.25)),Data!#REF!&lt;=(TODAY()-(Data_Val!$I$2*365.25))),0,1),1))</f>
        <v>#REF!</v>
      </c>
      <c r="AY321" s="12" t="e">
        <f>IF(Data!#REF!="","",IF(Data!$G321="",1,IF(ISNUMBER(MATCH(Data!#REF!,Data_Val!$D$2:$D$10,0)),0,1)))</f>
        <v>#REF!</v>
      </c>
      <c r="AZ321" s="11"/>
      <c r="BA321" s="19" t="e">
        <f ca="1">IF(Data!#REF!="","",IF(ISNUMBER(Data!#REF!),IF(AND(Data!#REF!&gt;(TODAY()-(Data_Val!$M$3*365.25)),Data!#REF!&lt;=(TODAY()-(Data_Val!$M$2*365.25))),0,1),1))</f>
        <v>#REF!</v>
      </c>
      <c r="BB321" s="11" t="e">
        <f>IF(Data!#REF!="","",IF(Data!$G321="",1,IF(ISNUMBER(MATCH(Data!#REF!,Data_Val!$D$2:$D$10,0)),0,1)))</f>
        <v>#REF!</v>
      </c>
      <c r="BC321" s="12"/>
      <c r="BD321" s="20" t="e">
        <f ca="1">IF(Data!#REF!="","",IF(ISNUMBER(Data!#REF!),IF(AND(Data!#REF!&gt;(TODAY()-(Data_Val!$M$3*365.25)),Data!#REF!&lt;=(TODAY()-(Data_Val!$M$2*365.25))),0,1),1))</f>
        <v>#REF!</v>
      </c>
      <c r="BE321" s="12" t="e">
        <f>IF(Data!#REF!="","",IF(Data!$G321="",1,IF(ISNUMBER(MATCH(Data!#REF!,Data_Val!$D$2:$D$10,0)),0,1)))</f>
        <v>#REF!</v>
      </c>
      <c r="BF321" s="17"/>
      <c r="BG321" s="18" t="e">
        <f ca="1">IF(Data!#REF!="","",IF(ISNUMBER(Data!#REF!),IF(AND(Data!#REF!&gt;(TODAY()-(Data_Val!$M$3*365.25)),Data!#REF!&lt;=(TODAY()-(Data_Val!$M$2*365.25))),0,1),1))</f>
        <v>#REF!</v>
      </c>
      <c r="BH321" s="29" t="e">
        <f>IF(Data!#REF!="","",IF(Data!$G321="",1,IF(ISNUMBER(MATCH(Data!#REF!,Data_Val!$D$2:$D$10,0)),0,1)))</f>
        <v>#REF!</v>
      </c>
      <c r="BI321" s="13"/>
      <c r="BJ321" s="21" t="e">
        <f ca="1">IF(Data!#REF!="","",IF(ISNUMBER(Data!#REF!),IF(AND(Data!#REF!&gt;(TODAY()-(Data_Val!$M$3*365.25)),Data!#REF!&lt;=(TODAY()-(Data_Val!$M$2*365.25))),0,1),1))</f>
        <v>#REF!</v>
      </c>
      <c r="BK321" s="13" t="e">
        <f>IF(Data!#REF!="","",IF(Data!$G321="",1,IF(ISNUMBER(MATCH(Data!#REF!,Data_Val!$D$2:$D$10,0)),0,1)))</f>
        <v>#REF!</v>
      </c>
    </row>
    <row r="322" spans="1:63" x14ac:dyDescent="0.25">
      <c r="A322" s="9" t="str">
        <f>IF(Data!B322="","",IF(COUNTIFS(Data!A$1:'Data'!A322,Data!A322)&lt;=1,0,1))</f>
        <v/>
      </c>
      <c r="B322" s="9"/>
      <c r="C322" s="23" t="str">
        <f>IF(Data!C322="","",(IF(ISNUMBER(MATCH("*@*.?*",Data!C322,0)),0,1)+IF(COUNTIFS(Data!C$1:'Data'!C322,Data!C322)&gt;1,1,0)))</f>
        <v/>
      </c>
      <c r="D322" s="9" t="str">
        <f>IF(Data!B322="","",IF(ISNUMBER(Data!D322),IF(AND(Data!D322&gt;999999999,Data!D322&lt;=9999999999),IF(COUNTIFS(Data!D$1:'Data'!D322,Data!D322)&lt;=1,0,1),1),1))</f>
        <v/>
      </c>
      <c r="E322" s="9" t="str">
        <f>IF(Data!B322="","",IF(ISNUMBER(MATCH(Data!E322,Data_Val!$A$2:$A$3,0)),0,1))</f>
        <v/>
      </c>
      <c r="F322" s="9" t="str">
        <f ca="1">IF(Data!B322="","",IF(ISNUMBER(Data!F322),IF(AND(Data!F322&gt;(TODAY()-(Data_Val!$H$3*365.25)),Data!F322&lt;=(TODAY()-(Data_Val!$H$2*365.25))),0,1),1))</f>
        <v/>
      </c>
      <c r="G322" s="15" t="str">
        <f>IF(Data!B322="","",IF(AND(Data!G322="",Data!H322&lt;&gt;""),1,IF(Data!#REF!&lt;&gt;"",0,IF(ISNUMBER(MATCH(Data!G322,Data_Val!$C$2:$C$5,0)),0,1))))</f>
        <v/>
      </c>
      <c r="H322" s="15" t="str">
        <f>IF(Data!B322="","",IF(AND(Data!G322&lt;&gt;"",Data!H322=""),1,IF(Data!#REF!&lt;&gt;"",0,IF(Data!G322="",1,IF(ISNUMBER(MATCH(Data!H322,Data_Val!$D$2:$D$35,0)),0,1)))))</f>
        <v/>
      </c>
      <c r="I322" s="15" t="str">
        <f>IF(Data!B322="","",IF(Data!G322&lt;&gt;"",0,IF(ISNUMBER(MATCH(Data!#REF!,Data_Val!$E$2:$E$12,0)),0,1)))</f>
        <v/>
      </c>
      <c r="J322" s="16" t="e">
        <f>IF(OR(Data!B322="",Data!#REF!=""),"",IF(Data!#REF!="",1,0))</f>
        <v>#REF!</v>
      </c>
      <c r="K322" s="16" t="e">
        <f>IF(OR(Data!B322="",Data!#REF!=""),"",IF(Data!#REF!="",1,0))</f>
        <v>#REF!</v>
      </c>
      <c r="L322" s="16" t="e">
        <f>IF(OR(Data!B322="",Data!#REF!=""),"",IF(ISNUMBER(Data!#REF!),IF(AND(Data!#REF!&gt;Data_Val!$G$2,Data!#REF!&lt;=Data_Val!$G$3),0,1),1))</f>
        <v>#REF!</v>
      </c>
      <c r="M322" s="9" t="e">
        <f>IF(OR(Data!B322="",Data!#REF!=""),"",IF(ISNUMBER(MATCH(Data!#REF!,Data_Val!$F$1:$F$38,0)),0,1))</f>
        <v>#REF!</v>
      </c>
      <c r="N322" s="9" t="e">
        <f>IF(OR(Data!B322="",Data!#REF!=""),"",IF(Data!#REF!="",1,0))</f>
        <v>#REF!</v>
      </c>
      <c r="O322" s="17" t="e">
        <f>IF(Data!#REF!="","",IF(Data!#REF!="",1,0))</f>
        <v>#REF!</v>
      </c>
      <c r="P322" s="17" t="e">
        <f>IF(Data!#REF!="","",IF(ISNUMBER(MATCH(Data!#REF!,Data_Val!$A$2:$A$3,0)),0,1))</f>
        <v>#REF!</v>
      </c>
      <c r="Q322" s="25" t="e">
        <f ca="1">IF(Data!#REF!="","",IF(ISNUMBER(Data!#REF!),IF(AND(Data!#REF!&gt;(TODAY()-(Data_Val!$J$3*365.25)),Data!#REF!&lt;=(TODAY()-(Data_Val!$J$2*365.25))),0,1),1))</f>
        <v>#REF!</v>
      </c>
      <c r="R322" s="17" t="e">
        <f>IF(Data!#REF!="","",IF(ISNUMBER(MATCH(Data!#REF!,Data_Val!$B$2:$B$15,0)),0,1))</f>
        <v>#REF!</v>
      </c>
      <c r="S322" s="11" t="str">
        <f>IF(Data!G322="","",IF(Data!G322=Data_Val!$C$2,IF(Data!M322="",0,1),0))</f>
        <v/>
      </c>
      <c r="T322" s="11" t="str">
        <f>IF(Data!M322="","",IF(ISNUMBER(MATCH(Data!N322,Data_Val!$A$2:$A$3,0)),0,1))</f>
        <v/>
      </c>
      <c r="U322" s="11" t="str">
        <f ca="1">IF(Data!M322="","",IF(ISNUMBER(Data!O322),IF(AND(Data!O322&gt;(TODAY()-(Data_Val!$K$3*365.25)),Data!O322&lt;=(TODAY()-(Data_Val!$K$2*365.25))),0,1),1))</f>
        <v/>
      </c>
      <c r="V322" s="12" t="str">
        <f>IF(Data!G322="","",IF(Data!G322=Data_Val!$C$2,IF(Data!P322="",0,1),0))</f>
        <v/>
      </c>
      <c r="W322" s="12" t="str">
        <f>IF(Data!P322="","",IF(ISNUMBER(MATCH(Data!Q322,Data_Val!$A$2:$A$3,0)),0,1))</f>
        <v/>
      </c>
      <c r="X322" s="26" t="str">
        <f ca="1">IF(Data!P322="","",IF(ISNUMBER(Data!R322),IF(AND(Data!R322&gt;(TODAY()-(Data_Val!$L$3*365.25)),Data!R322&lt;=(TODAY()-(Data_Val!$L$2*365.25))),0,1),1))</f>
        <v/>
      </c>
      <c r="Y322" s="13" t="str">
        <f>IF(Data!$G322="","",IF(Data!$G322=Data_Val!$C$2,IF(Data!S322="",0,1),0))</f>
        <v/>
      </c>
      <c r="Z322" s="13" t="str">
        <f>IF(Data!S322="","",IF(ISNUMBER(MATCH(Data!T322,Data_Val!$A$2:$A$3,0)),0,1))</f>
        <v/>
      </c>
      <c r="AA322" s="28" t="str">
        <f ca="1">IF(Data!S322="","",IF(ISNUMBER(Data!U322),IF(AND(Data!U322&gt;(TODAY()-(Data_Val!$L$3*365.25)),Data!U322&lt;=(TODAY()-(Data_Val!$L$2*365.25))),0,1),1))</f>
        <v/>
      </c>
      <c r="AB322" s="11"/>
      <c r="AC322" s="11" t="e">
        <f>IF(Data!#REF!="","",IF(ISNUMBER(MATCH(Data!#REF!,Data_Val!$A$2:$A$3,0)),0,1))</f>
        <v>#REF!</v>
      </c>
      <c r="AD322" s="11" t="e">
        <f ca="1">IF(Data!#REF!="","",IF(ISNUMBER(Data!#REF!),IF(AND(Data!#REF!&gt;(TODAY()-(Data_Val!$L$3*365.25)),Data!#REF!&lt;=(TODAY()-(Data_Val!$L$2*365.25))),0,1),1))</f>
        <v>#REF!</v>
      </c>
      <c r="AE322" s="11" t="e">
        <f>IF(Data!#REF!="","",IF(Data!$G322="",1,IF(ISNUMBER(MATCH(Data!#REF!,Data_Val!$D$2:$D$10,0)),0,1)))</f>
        <v>#REF!</v>
      </c>
      <c r="AF322" s="12"/>
      <c r="AG322" s="12" t="e">
        <f>IF(Data!#REF!="","",IF(ISNUMBER(MATCH(Data!#REF!,Data_Val!$A$2:$A$3,0)),0,1))</f>
        <v>#REF!</v>
      </c>
      <c r="AH322" s="26" t="e">
        <f ca="1">IF(Data!#REF!="","",IF(ISNUMBER(Data!#REF!),IF(AND(Data!#REF!&gt;(TODAY()-(Data_Val!$L$3*365.25)),Data!#REF!&lt;=(TODAY()-(Data_Val!$L$2*365.25))),0,1),1))</f>
        <v>#REF!</v>
      </c>
      <c r="AI322" s="12" t="e">
        <f>IF(Data!#REF!="","",IF(Data!$G322="",1,IF(ISNUMBER(MATCH(Data!#REF!,Data_Val!$D$2:$D$10,0)),0,1)))</f>
        <v>#REF!</v>
      </c>
      <c r="AJ322" s="17"/>
      <c r="AK322" s="17" t="e">
        <f>IF(Data!#REF!="","",IF(ISNUMBER(MATCH(Data!#REF!,Data_Val!$A$2:$A$3,0)),0,1))</f>
        <v>#REF!</v>
      </c>
      <c r="AL322" s="25" t="e">
        <f ca="1">IF(Data!#REF!="","",IF(ISNUMBER(Data!#REF!),IF(AND(Data!#REF!&gt;(TODAY()-(Data_Val!$L$3*365.25)),Data!#REF!&lt;=(TODAY()-(Data_Val!$L$2*365.25))),0,1),1))</f>
        <v>#REF!</v>
      </c>
      <c r="AM322" s="17" t="e">
        <f>IF(Data!#REF!="","",IF(Data!$G322="",1,IF(ISNUMBER(MATCH(Data!#REF!,Data_Val!$D$2:$D$10,0)),0,1)))</f>
        <v>#REF!</v>
      </c>
      <c r="AN322" s="13"/>
      <c r="AO322" s="28" t="e">
        <f ca="1">IF(Data!#REF!="","",IF(ISNUMBER(Data!#REF!),IF(AND(Data!#REF!&gt;(TODAY()-(Data_Val!$I$3*365.25)),Data!#REF!&lt;=(TODAY()-(Data_Val!$I$2*365.25))),0,1),1))</f>
        <v>#REF!</v>
      </c>
      <c r="AP322" s="13" t="e">
        <f>IF(Data!#REF!="","",IF(Data!$G322="",1,IF(ISNUMBER(MATCH(Data!#REF!,Data_Val!$D$2:$D$10,0)),0,1)))</f>
        <v>#REF!</v>
      </c>
      <c r="AQ322" s="17"/>
      <c r="AR322" s="30" t="e">
        <f ca="1">IF(Data!#REF!="","",IF(ISNUMBER(Data!#REF!),IF(AND(Data!#REF!&gt;(TODAY()-(Data_Val!$I$3*365.25)),Data!#REF!&lt;=(TODAY()-(Data_Val!$I$2*365.25))),0,1),1))</f>
        <v>#REF!</v>
      </c>
      <c r="AS322" s="31" t="e">
        <f>IF(Data!#REF!="","",IF(Data!$G322="",1,IF(ISNUMBER(MATCH(Data!#REF!,Data_Val!$D$2:$D$10,0)),0,1)))</f>
        <v>#REF!</v>
      </c>
      <c r="AT322" s="11"/>
      <c r="AU322" s="11" t="e">
        <f ca="1">IF(Data!#REF!="","",IF(ISNUMBER(Data!#REF!),IF(AND(Data!#REF!&gt;(TODAY()-(Data_Val!$I$3*365.25)),Data!#REF!&lt;=(TODAY()-(Data_Val!$I$2*365.25))),0,1),1))</f>
        <v>#REF!</v>
      </c>
      <c r="AV322" s="11" t="e">
        <f>IF(Data!#REF!="","",IF(Data!$G322="",1,IF(ISNUMBER(MATCH(Data!#REF!,Data_Val!$D$2:$D$10,0)),0,1)))</f>
        <v>#REF!</v>
      </c>
      <c r="AW322" s="12"/>
      <c r="AX322" s="26" t="e">
        <f ca="1">IF(Data!#REF!="","",IF(ISNUMBER(Data!#REF!),IF(AND(Data!#REF!&gt;(TODAY()-(Data_Val!$I$3*365.25)),Data!#REF!&lt;=(TODAY()-(Data_Val!$I$2*365.25))),0,1),1))</f>
        <v>#REF!</v>
      </c>
      <c r="AY322" s="12" t="e">
        <f>IF(Data!#REF!="","",IF(Data!$G322="",1,IF(ISNUMBER(MATCH(Data!#REF!,Data_Val!$D$2:$D$10,0)),0,1)))</f>
        <v>#REF!</v>
      </c>
      <c r="AZ322" s="11"/>
      <c r="BA322" s="19" t="e">
        <f ca="1">IF(Data!#REF!="","",IF(ISNUMBER(Data!#REF!),IF(AND(Data!#REF!&gt;(TODAY()-(Data_Val!$M$3*365.25)),Data!#REF!&lt;=(TODAY()-(Data_Val!$M$2*365.25))),0,1),1))</f>
        <v>#REF!</v>
      </c>
      <c r="BB322" s="11" t="e">
        <f>IF(Data!#REF!="","",IF(Data!$G322="",1,IF(ISNUMBER(MATCH(Data!#REF!,Data_Val!$D$2:$D$10,0)),0,1)))</f>
        <v>#REF!</v>
      </c>
      <c r="BC322" s="12"/>
      <c r="BD322" s="20" t="e">
        <f ca="1">IF(Data!#REF!="","",IF(ISNUMBER(Data!#REF!),IF(AND(Data!#REF!&gt;(TODAY()-(Data_Val!$M$3*365.25)),Data!#REF!&lt;=(TODAY()-(Data_Val!$M$2*365.25))),0,1),1))</f>
        <v>#REF!</v>
      </c>
      <c r="BE322" s="12" t="e">
        <f>IF(Data!#REF!="","",IF(Data!$G322="",1,IF(ISNUMBER(MATCH(Data!#REF!,Data_Val!$D$2:$D$10,0)),0,1)))</f>
        <v>#REF!</v>
      </c>
      <c r="BF322" s="17"/>
      <c r="BG322" s="18" t="e">
        <f ca="1">IF(Data!#REF!="","",IF(ISNUMBER(Data!#REF!),IF(AND(Data!#REF!&gt;(TODAY()-(Data_Val!$M$3*365.25)),Data!#REF!&lt;=(TODAY()-(Data_Val!$M$2*365.25))),0,1),1))</f>
        <v>#REF!</v>
      </c>
      <c r="BH322" s="29" t="e">
        <f>IF(Data!#REF!="","",IF(Data!$G322="",1,IF(ISNUMBER(MATCH(Data!#REF!,Data_Val!$D$2:$D$10,0)),0,1)))</f>
        <v>#REF!</v>
      </c>
      <c r="BI322" s="13"/>
      <c r="BJ322" s="21" t="e">
        <f ca="1">IF(Data!#REF!="","",IF(ISNUMBER(Data!#REF!),IF(AND(Data!#REF!&gt;(TODAY()-(Data_Val!$M$3*365.25)),Data!#REF!&lt;=(TODAY()-(Data_Val!$M$2*365.25))),0,1),1))</f>
        <v>#REF!</v>
      </c>
      <c r="BK322" s="13" t="e">
        <f>IF(Data!#REF!="","",IF(Data!$G322="",1,IF(ISNUMBER(MATCH(Data!#REF!,Data_Val!$D$2:$D$10,0)),0,1)))</f>
        <v>#REF!</v>
      </c>
    </row>
    <row r="323" spans="1:63" x14ac:dyDescent="0.25">
      <c r="A323" s="9" t="str">
        <f>IF(Data!B323="","",IF(COUNTIFS(Data!A$1:'Data'!A323,Data!A323)&lt;=1,0,1))</f>
        <v/>
      </c>
      <c r="B323" s="9"/>
      <c r="C323" s="23" t="str">
        <f>IF(Data!C323="","",(IF(ISNUMBER(MATCH("*@*.?*",Data!C323,0)),0,1)+IF(COUNTIFS(Data!C$1:'Data'!C323,Data!C323)&gt;1,1,0)))</f>
        <v/>
      </c>
      <c r="D323" s="9" t="str">
        <f>IF(Data!B323="","",IF(ISNUMBER(Data!D323),IF(AND(Data!D323&gt;999999999,Data!D323&lt;=9999999999),IF(COUNTIFS(Data!D$1:'Data'!D323,Data!D323)&lt;=1,0,1),1),1))</f>
        <v/>
      </c>
      <c r="E323" s="9" t="str">
        <f>IF(Data!B323="","",IF(ISNUMBER(MATCH(Data!E323,Data_Val!$A$2:$A$3,0)),0,1))</f>
        <v/>
      </c>
      <c r="F323" s="9" t="str">
        <f ca="1">IF(Data!B323="","",IF(ISNUMBER(Data!F323),IF(AND(Data!F323&gt;(TODAY()-(Data_Val!$H$3*365.25)),Data!F323&lt;=(TODAY()-(Data_Val!$H$2*365.25))),0,1),1))</f>
        <v/>
      </c>
      <c r="G323" s="15" t="str">
        <f>IF(Data!B323="","",IF(AND(Data!G323="",Data!H323&lt;&gt;""),1,IF(Data!#REF!&lt;&gt;"",0,IF(ISNUMBER(MATCH(Data!G323,Data_Val!$C$2:$C$5,0)),0,1))))</f>
        <v/>
      </c>
      <c r="H323" s="15" t="str">
        <f>IF(Data!B323="","",IF(AND(Data!G323&lt;&gt;"",Data!H323=""),1,IF(Data!#REF!&lt;&gt;"",0,IF(Data!G323="",1,IF(ISNUMBER(MATCH(Data!H323,Data_Val!$D$2:$D$35,0)),0,1)))))</f>
        <v/>
      </c>
      <c r="I323" s="15" t="str">
        <f>IF(Data!B323="","",IF(Data!G323&lt;&gt;"",0,IF(ISNUMBER(MATCH(Data!#REF!,Data_Val!$E$2:$E$12,0)),0,1)))</f>
        <v/>
      </c>
      <c r="J323" s="16" t="e">
        <f>IF(OR(Data!B323="",Data!#REF!=""),"",IF(Data!#REF!="",1,0))</f>
        <v>#REF!</v>
      </c>
      <c r="K323" s="16" t="e">
        <f>IF(OR(Data!B323="",Data!#REF!=""),"",IF(Data!#REF!="",1,0))</f>
        <v>#REF!</v>
      </c>
      <c r="L323" s="16" t="e">
        <f>IF(OR(Data!B323="",Data!#REF!=""),"",IF(ISNUMBER(Data!#REF!),IF(AND(Data!#REF!&gt;Data_Val!$G$2,Data!#REF!&lt;=Data_Val!$G$3),0,1),1))</f>
        <v>#REF!</v>
      </c>
      <c r="M323" s="9" t="e">
        <f>IF(OR(Data!B323="",Data!#REF!=""),"",IF(ISNUMBER(MATCH(Data!#REF!,Data_Val!$F$1:$F$38,0)),0,1))</f>
        <v>#REF!</v>
      </c>
      <c r="N323" s="9" t="e">
        <f>IF(OR(Data!B323="",Data!#REF!=""),"",IF(Data!#REF!="",1,0))</f>
        <v>#REF!</v>
      </c>
      <c r="O323" s="17" t="e">
        <f>IF(Data!#REF!="","",IF(Data!#REF!="",1,0))</f>
        <v>#REF!</v>
      </c>
      <c r="P323" s="17" t="e">
        <f>IF(Data!#REF!="","",IF(ISNUMBER(MATCH(Data!#REF!,Data_Val!$A$2:$A$3,0)),0,1))</f>
        <v>#REF!</v>
      </c>
      <c r="Q323" s="25" t="e">
        <f ca="1">IF(Data!#REF!="","",IF(ISNUMBER(Data!#REF!),IF(AND(Data!#REF!&gt;(TODAY()-(Data_Val!$J$3*365.25)),Data!#REF!&lt;=(TODAY()-(Data_Val!$J$2*365.25))),0,1),1))</f>
        <v>#REF!</v>
      </c>
      <c r="R323" s="17" t="e">
        <f>IF(Data!#REF!="","",IF(ISNUMBER(MATCH(Data!#REF!,Data_Val!$B$2:$B$15,0)),0,1))</f>
        <v>#REF!</v>
      </c>
      <c r="S323" s="11" t="str">
        <f>IF(Data!G323="","",IF(Data!G323=Data_Val!$C$2,IF(Data!M323="",0,1),0))</f>
        <v/>
      </c>
      <c r="T323" s="11" t="str">
        <f>IF(Data!M323="","",IF(ISNUMBER(MATCH(Data!N323,Data_Val!$A$2:$A$3,0)),0,1))</f>
        <v/>
      </c>
      <c r="U323" s="11" t="str">
        <f ca="1">IF(Data!M323="","",IF(ISNUMBER(Data!O323),IF(AND(Data!O323&gt;(TODAY()-(Data_Val!$K$3*365.25)),Data!O323&lt;=(TODAY()-(Data_Val!$K$2*365.25))),0,1),1))</f>
        <v/>
      </c>
      <c r="V323" s="12" t="str">
        <f>IF(Data!G323="","",IF(Data!G323=Data_Val!$C$2,IF(Data!P323="",0,1),0))</f>
        <v/>
      </c>
      <c r="W323" s="12" t="str">
        <f>IF(Data!P323="","",IF(ISNUMBER(MATCH(Data!Q323,Data_Val!$A$2:$A$3,0)),0,1))</f>
        <v/>
      </c>
      <c r="X323" s="26" t="str">
        <f ca="1">IF(Data!P323="","",IF(ISNUMBER(Data!R323),IF(AND(Data!R323&gt;(TODAY()-(Data_Val!$L$3*365.25)),Data!R323&lt;=(TODAY()-(Data_Val!$L$2*365.25))),0,1),1))</f>
        <v/>
      </c>
      <c r="Y323" s="13" t="str">
        <f>IF(Data!$G323="","",IF(Data!$G323=Data_Val!$C$2,IF(Data!S323="",0,1),0))</f>
        <v/>
      </c>
      <c r="Z323" s="13" t="str">
        <f>IF(Data!S323="","",IF(ISNUMBER(MATCH(Data!T323,Data_Val!$A$2:$A$3,0)),0,1))</f>
        <v/>
      </c>
      <c r="AA323" s="28" t="str">
        <f ca="1">IF(Data!S323="","",IF(ISNUMBER(Data!U323),IF(AND(Data!U323&gt;(TODAY()-(Data_Val!$L$3*365.25)),Data!U323&lt;=(TODAY()-(Data_Val!$L$2*365.25))),0,1),1))</f>
        <v/>
      </c>
      <c r="AB323" s="11"/>
      <c r="AC323" s="11" t="e">
        <f>IF(Data!#REF!="","",IF(ISNUMBER(MATCH(Data!#REF!,Data_Val!$A$2:$A$3,0)),0,1))</f>
        <v>#REF!</v>
      </c>
      <c r="AD323" s="11" t="e">
        <f ca="1">IF(Data!#REF!="","",IF(ISNUMBER(Data!#REF!),IF(AND(Data!#REF!&gt;(TODAY()-(Data_Val!$L$3*365.25)),Data!#REF!&lt;=(TODAY()-(Data_Val!$L$2*365.25))),0,1),1))</f>
        <v>#REF!</v>
      </c>
      <c r="AE323" s="11" t="e">
        <f>IF(Data!#REF!="","",IF(Data!$G323="",1,IF(ISNUMBER(MATCH(Data!#REF!,Data_Val!$D$2:$D$10,0)),0,1)))</f>
        <v>#REF!</v>
      </c>
      <c r="AF323" s="12"/>
      <c r="AG323" s="12" t="e">
        <f>IF(Data!#REF!="","",IF(ISNUMBER(MATCH(Data!#REF!,Data_Val!$A$2:$A$3,0)),0,1))</f>
        <v>#REF!</v>
      </c>
      <c r="AH323" s="26" t="e">
        <f ca="1">IF(Data!#REF!="","",IF(ISNUMBER(Data!#REF!),IF(AND(Data!#REF!&gt;(TODAY()-(Data_Val!$L$3*365.25)),Data!#REF!&lt;=(TODAY()-(Data_Val!$L$2*365.25))),0,1),1))</f>
        <v>#REF!</v>
      </c>
      <c r="AI323" s="12" t="e">
        <f>IF(Data!#REF!="","",IF(Data!$G323="",1,IF(ISNUMBER(MATCH(Data!#REF!,Data_Val!$D$2:$D$10,0)),0,1)))</f>
        <v>#REF!</v>
      </c>
      <c r="AJ323" s="17"/>
      <c r="AK323" s="17" t="e">
        <f>IF(Data!#REF!="","",IF(ISNUMBER(MATCH(Data!#REF!,Data_Val!$A$2:$A$3,0)),0,1))</f>
        <v>#REF!</v>
      </c>
      <c r="AL323" s="25" t="e">
        <f ca="1">IF(Data!#REF!="","",IF(ISNUMBER(Data!#REF!),IF(AND(Data!#REF!&gt;(TODAY()-(Data_Val!$L$3*365.25)),Data!#REF!&lt;=(TODAY()-(Data_Val!$L$2*365.25))),0,1),1))</f>
        <v>#REF!</v>
      </c>
      <c r="AM323" s="17" t="e">
        <f>IF(Data!#REF!="","",IF(Data!$G323="",1,IF(ISNUMBER(MATCH(Data!#REF!,Data_Val!$D$2:$D$10,0)),0,1)))</f>
        <v>#REF!</v>
      </c>
      <c r="AN323" s="13"/>
      <c r="AO323" s="28" t="e">
        <f ca="1">IF(Data!#REF!="","",IF(ISNUMBER(Data!#REF!),IF(AND(Data!#REF!&gt;(TODAY()-(Data_Val!$I$3*365.25)),Data!#REF!&lt;=(TODAY()-(Data_Val!$I$2*365.25))),0,1),1))</f>
        <v>#REF!</v>
      </c>
      <c r="AP323" s="13" t="e">
        <f>IF(Data!#REF!="","",IF(Data!$G323="",1,IF(ISNUMBER(MATCH(Data!#REF!,Data_Val!$D$2:$D$10,0)),0,1)))</f>
        <v>#REF!</v>
      </c>
      <c r="AQ323" s="17"/>
      <c r="AR323" s="30" t="e">
        <f ca="1">IF(Data!#REF!="","",IF(ISNUMBER(Data!#REF!),IF(AND(Data!#REF!&gt;(TODAY()-(Data_Val!$I$3*365.25)),Data!#REF!&lt;=(TODAY()-(Data_Val!$I$2*365.25))),0,1),1))</f>
        <v>#REF!</v>
      </c>
      <c r="AS323" s="31" t="e">
        <f>IF(Data!#REF!="","",IF(Data!$G323="",1,IF(ISNUMBER(MATCH(Data!#REF!,Data_Val!$D$2:$D$10,0)),0,1)))</f>
        <v>#REF!</v>
      </c>
      <c r="AT323" s="11"/>
      <c r="AU323" s="11" t="e">
        <f ca="1">IF(Data!#REF!="","",IF(ISNUMBER(Data!#REF!),IF(AND(Data!#REF!&gt;(TODAY()-(Data_Val!$I$3*365.25)),Data!#REF!&lt;=(TODAY()-(Data_Val!$I$2*365.25))),0,1),1))</f>
        <v>#REF!</v>
      </c>
      <c r="AV323" s="11" t="e">
        <f>IF(Data!#REF!="","",IF(Data!$G323="",1,IF(ISNUMBER(MATCH(Data!#REF!,Data_Val!$D$2:$D$10,0)),0,1)))</f>
        <v>#REF!</v>
      </c>
      <c r="AW323" s="12"/>
      <c r="AX323" s="26" t="e">
        <f ca="1">IF(Data!#REF!="","",IF(ISNUMBER(Data!#REF!),IF(AND(Data!#REF!&gt;(TODAY()-(Data_Val!$I$3*365.25)),Data!#REF!&lt;=(TODAY()-(Data_Val!$I$2*365.25))),0,1),1))</f>
        <v>#REF!</v>
      </c>
      <c r="AY323" s="12" t="e">
        <f>IF(Data!#REF!="","",IF(Data!$G323="",1,IF(ISNUMBER(MATCH(Data!#REF!,Data_Val!$D$2:$D$10,0)),0,1)))</f>
        <v>#REF!</v>
      </c>
      <c r="AZ323" s="11"/>
      <c r="BA323" s="19" t="e">
        <f ca="1">IF(Data!#REF!="","",IF(ISNUMBER(Data!#REF!),IF(AND(Data!#REF!&gt;(TODAY()-(Data_Val!$M$3*365.25)),Data!#REF!&lt;=(TODAY()-(Data_Val!$M$2*365.25))),0,1),1))</f>
        <v>#REF!</v>
      </c>
      <c r="BB323" s="11" t="e">
        <f>IF(Data!#REF!="","",IF(Data!$G323="",1,IF(ISNUMBER(MATCH(Data!#REF!,Data_Val!$D$2:$D$10,0)),0,1)))</f>
        <v>#REF!</v>
      </c>
      <c r="BC323" s="12"/>
      <c r="BD323" s="20" t="e">
        <f ca="1">IF(Data!#REF!="","",IF(ISNUMBER(Data!#REF!),IF(AND(Data!#REF!&gt;(TODAY()-(Data_Val!$M$3*365.25)),Data!#REF!&lt;=(TODAY()-(Data_Val!$M$2*365.25))),0,1),1))</f>
        <v>#REF!</v>
      </c>
      <c r="BE323" s="12" t="e">
        <f>IF(Data!#REF!="","",IF(Data!$G323="",1,IF(ISNUMBER(MATCH(Data!#REF!,Data_Val!$D$2:$D$10,0)),0,1)))</f>
        <v>#REF!</v>
      </c>
      <c r="BF323" s="17"/>
      <c r="BG323" s="18" t="e">
        <f ca="1">IF(Data!#REF!="","",IF(ISNUMBER(Data!#REF!),IF(AND(Data!#REF!&gt;(TODAY()-(Data_Val!$M$3*365.25)),Data!#REF!&lt;=(TODAY()-(Data_Val!$M$2*365.25))),0,1),1))</f>
        <v>#REF!</v>
      </c>
      <c r="BH323" s="29" t="e">
        <f>IF(Data!#REF!="","",IF(Data!$G323="",1,IF(ISNUMBER(MATCH(Data!#REF!,Data_Val!$D$2:$D$10,0)),0,1)))</f>
        <v>#REF!</v>
      </c>
      <c r="BI323" s="13"/>
      <c r="BJ323" s="21" t="e">
        <f ca="1">IF(Data!#REF!="","",IF(ISNUMBER(Data!#REF!),IF(AND(Data!#REF!&gt;(TODAY()-(Data_Val!$M$3*365.25)),Data!#REF!&lt;=(TODAY()-(Data_Val!$M$2*365.25))),0,1),1))</f>
        <v>#REF!</v>
      </c>
      <c r="BK323" s="13" t="e">
        <f>IF(Data!#REF!="","",IF(Data!$G323="",1,IF(ISNUMBER(MATCH(Data!#REF!,Data_Val!$D$2:$D$10,0)),0,1)))</f>
        <v>#REF!</v>
      </c>
    </row>
    <row r="324" spans="1:63" x14ac:dyDescent="0.25">
      <c r="A324" s="9" t="str">
        <f>IF(Data!B324="","",IF(COUNTIFS(Data!A$1:'Data'!A324,Data!A324)&lt;=1,0,1))</f>
        <v/>
      </c>
      <c r="B324" s="9"/>
      <c r="C324" s="23" t="str">
        <f>IF(Data!C324="","",(IF(ISNUMBER(MATCH("*@*.?*",Data!C324,0)),0,1)+IF(COUNTIFS(Data!C$1:'Data'!C324,Data!C324)&gt;1,1,0)))</f>
        <v/>
      </c>
      <c r="D324" s="9" t="str">
        <f>IF(Data!B324="","",IF(ISNUMBER(Data!D324),IF(AND(Data!D324&gt;999999999,Data!D324&lt;=9999999999),IF(COUNTIFS(Data!D$1:'Data'!D324,Data!D324)&lt;=1,0,1),1),1))</f>
        <v/>
      </c>
      <c r="E324" s="9" t="str">
        <f>IF(Data!B324="","",IF(ISNUMBER(MATCH(Data!E324,Data_Val!$A$2:$A$3,0)),0,1))</f>
        <v/>
      </c>
      <c r="F324" s="9" t="str">
        <f ca="1">IF(Data!B324="","",IF(ISNUMBER(Data!F324),IF(AND(Data!F324&gt;(TODAY()-(Data_Val!$H$3*365.25)),Data!F324&lt;=(TODAY()-(Data_Val!$H$2*365.25))),0,1),1))</f>
        <v/>
      </c>
      <c r="G324" s="15" t="str">
        <f>IF(Data!B324="","",IF(AND(Data!G324="",Data!H324&lt;&gt;""),1,IF(Data!#REF!&lt;&gt;"",0,IF(ISNUMBER(MATCH(Data!G324,Data_Val!$C$2:$C$5,0)),0,1))))</f>
        <v/>
      </c>
      <c r="H324" s="15" t="str">
        <f>IF(Data!B324="","",IF(AND(Data!G324&lt;&gt;"",Data!H324=""),1,IF(Data!#REF!&lt;&gt;"",0,IF(Data!G324="",1,IF(ISNUMBER(MATCH(Data!H324,Data_Val!$D$2:$D$35,0)),0,1)))))</f>
        <v/>
      </c>
      <c r="I324" s="15" t="str">
        <f>IF(Data!B324="","",IF(Data!G324&lt;&gt;"",0,IF(ISNUMBER(MATCH(Data!#REF!,Data_Val!$E$2:$E$12,0)),0,1)))</f>
        <v/>
      </c>
      <c r="J324" s="16" t="e">
        <f>IF(OR(Data!B324="",Data!#REF!=""),"",IF(Data!#REF!="",1,0))</f>
        <v>#REF!</v>
      </c>
      <c r="K324" s="16" t="e">
        <f>IF(OR(Data!B324="",Data!#REF!=""),"",IF(Data!#REF!="",1,0))</f>
        <v>#REF!</v>
      </c>
      <c r="L324" s="16" t="e">
        <f>IF(OR(Data!B324="",Data!#REF!=""),"",IF(ISNUMBER(Data!#REF!),IF(AND(Data!#REF!&gt;Data_Val!$G$2,Data!#REF!&lt;=Data_Val!$G$3),0,1),1))</f>
        <v>#REF!</v>
      </c>
      <c r="M324" s="9" t="e">
        <f>IF(OR(Data!B324="",Data!#REF!=""),"",IF(ISNUMBER(MATCH(Data!#REF!,Data_Val!$F$1:$F$38,0)),0,1))</f>
        <v>#REF!</v>
      </c>
      <c r="N324" s="9" t="e">
        <f>IF(OR(Data!B324="",Data!#REF!=""),"",IF(Data!#REF!="",1,0))</f>
        <v>#REF!</v>
      </c>
      <c r="O324" s="17" t="e">
        <f>IF(Data!#REF!="","",IF(Data!#REF!="",1,0))</f>
        <v>#REF!</v>
      </c>
      <c r="P324" s="17" t="e">
        <f>IF(Data!#REF!="","",IF(ISNUMBER(MATCH(Data!#REF!,Data_Val!$A$2:$A$3,0)),0,1))</f>
        <v>#REF!</v>
      </c>
      <c r="Q324" s="25" t="e">
        <f ca="1">IF(Data!#REF!="","",IF(ISNUMBER(Data!#REF!),IF(AND(Data!#REF!&gt;(TODAY()-(Data_Val!$J$3*365.25)),Data!#REF!&lt;=(TODAY()-(Data_Val!$J$2*365.25))),0,1),1))</f>
        <v>#REF!</v>
      </c>
      <c r="R324" s="17" t="e">
        <f>IF(Data!#REF!="","",IF(ISNUMBER(MATCH(Data!#REF!,Data_Val!$B$2:$B$15,0)),0,1))</f>
        <v>#REF!</v>
      </c>
      <c r="S324" s="11" t="str">
        <f>IF(Data!G324="","",IF(Data!G324=Data_Val!$C$2,IF(Data!M324="",0,1),0))</f>
        <v/>
      </c>
      <c r="T324" s="11" t="str">
        <f>IF(Data!M324="","",IF(ISNUMBER(MATCH(Data!N324,Data_Val!$A$2:$A$3,0)),0,1))</f>
        <v/>
      </c>
      <c r="U324" s="11" t="str">
        <f ca="1">IF(Data!M324="","",IF(ISNUMBER(Data!O324),IF(AND(Data!O324&gt;(TODAY()-(Data_Val!$K$3*365.25)),Data!O324&lt;=(TODAY()-(Data_Val!$K$2*365.25))),0,1),1))</f>
        <v/>
      </c>
      <c r="V324" s="12" t="str">
        <f>IF(Data!G324="","",IF(Data!G324=Data_Val!$C$2,IF(Data!P324="",0,1),0))</f>
        <v/>
      </c>
      <c r="W324" s="12" t="str">
        <f>IF(Data!P324="","",IF(ISNUMBER(MATCH(Data!Q324,Data_Val!$A$2:$A$3,0)),0,1))</f>
        <v/>
      </c>
      <c r="X324" s="26" t="str">
        <f ca="1">IF(Data!P324="","",IF(ISNUMBER(Data!R324),IF(AND(Data!R324&gt;(TODAY()-(Data_Val!$L$3*365.25)),Data!R324&lt;=(TODAY()-(Data_Val!$L$2*365.25))),0,1),1))</f>
        <v/>
      </c>
      <c r="Y324" s="13" t="str">
        <f>IF(Data!$G324="","",IF(Data!$G324=Data_Val!$C$2,IF(Data!S324="",0,1),0))</f>
        <v/>
      </c>
      <c r="Z324" s="13" t="str">
        <f>IF(Data!S324="","",IF(ISNUMBER(MATCH(Data!T324,Data_Val!$A$2:$A$3,0)),0,1))</f>
        <v/>
      </c>
      <c r="AA324" s="28" t="str">
        <f ca="1">IF(Data!S324="","",IF(ISNUMBER(Data!U324),IF(AND(Data!U324&gt;(TODAY()-(Data_Val!$L$3*365.25)),Data!U324&lt;=(TODAY()-(Data_Val!$L$2*365.25))),0,1),1))</f>
        <v/>
      </c>
      <c r="AB324" s="11"/>
      <c r="AC324" s="11" t="e">
        <f>IF(Data!#REF!="","",IF(ISNUMBER(MATCH(Data!#REF!,Data_Val!$A$2:$A$3,0)),0,1))</f>
        <v>#REF!</v>
      </c>
      <c r="AD324" s="11" t="e">
        <f ca="1">IF(Data!#REF!="","",IF(ISNUMBER(Data!#REF!),IF(AND(Data!#REF!&gt;(TODAY()-(Data_Val!$L$3*365.25)),Data!#REF!&lt;=(TODAY()-(Data_Val!$L$2*365.25))),0,1),1))</f>
        <v>#REF!</v>
      </c>
      <c r="AE324" s="11" t="e">
        <f>IF(Data!#REF!="","",IF(Data!$G324="",1,IF(ISNUMBER(MATCH(Data!#REF!,Data_Val!$D$2:$D$10,0)),0,1)))</f>
        <v>#REF!</v>
      </c>
      <c r="AF324" s="12"/>
      <c r="AG324" s="12" t="e">
        <f>IF(Data!#REF!="","",IF(ISNUMBER(MATCH(Data!#REF!,Data_Val!$A$2:$A$3,0)),0,1))</f>
        <v>#REF!</v>
      </c>
      <c r="AH324" s="26" t="e">
        <f ca="1">IF(Data!#REF!="","",IF(ISNUMBER(Data!#REF!),IF(AND(Data!#REF!&gt;(TODAY()-(Data_Val!$L$3*365.25)),Data!#REF!&lt;=(TODAY()-(Data_Val!$L$2*365.25))),0,1),1))</f>
        <v>#REF!</v>
      </c>
      <c r="AI324" s="12" t="e">
        <f>IF(Data!#REF!="","",IF(Data!$G324="",1,IF(ISNUMBER(MATCH(Data!#REF!,Data_Val!$D$2:$D$10,0)),0,1)))</f>
        <v>#REF!</v>
      </c>
      <c r="AJ324" s="17"/>
      <c r="AK324" s="17" t="e">
        <f>IF(Data!#REF!="","",IF(ISNUMBER(MATCH(Data!#REF!,Data_Val!$A$2:$A$3,0)),0,1))</f>
        <v>#REF!</v>
      </c>
      <c r="AL324" s="25" t="e">
        <f ca="1">IF(Data!#REF!="","",IF(ISNUMBER(Data!#REF!),IF(AND(Data!#REF!&gt;(TODAY()-(Data_Val!$L$3*365.25)),Data!#REF!&lt;=(TODAY()-(Data_Val!$L$2*365.25))),0,1),1))</f>
        <v>#REF!</v>
      </c>
      <c r="AM324" s="17" t="e">
        <f>IF(Data!#REF!="","",IF(Data!$G324="",1,IF(ISNUMBER(MATCH(Data!#REF!,Data_Val!$D$2:$D$10,0)),0,1)))</f>
        <v>#REF!</v>
      </c>
      <c r="AN324" s="13"/>
      <c r="AO324" s="28" t="e">
        <f ca="1">IF(Data!#REF!="","",IF(ISNUMBER(Data!#REF!),IF(AND(Data!#REF!&gt;(TODAY()-(Data_Val!$I$3*365.25)),Data!#REF!&lt;=(TODAY()-(Data_Val!$I$2*365.25))),0,1),1))</f>
        <v>#REF!</v>
      </c>
      <c r="AP324" s="13" t="e">
        <f>IF(Data!#REF!="","",IF(Data!$G324="",1,IF(ISNUMBER(MATCH(Data!#REF!,Data_Val!$D$2:$D$10,0)),0,1)))</f>
        <v>#REF!</v>
      </c>
      <c r="AQ324" s="17"/>
      <c r="AR324" s="30" t="e">
        <f ca="1">IF(Data!#REF!="","",IF(ISNUMBER(Data!#REF!),IF(AND(Data!#REF!&gt;(TODAY()-(Data_Val!$I$3*365.25)),Data!#REF!&lt;=(TODAY()-(Data_Val!$I$2*365.25))),0,1),1))</f>
        <v>#REF!</v>
      </c>
      <c r="AS324" s="31" t="e">
        <f>IF(Data!#REF!="","",IF(Data!$G324="",1,IF(ISNUMBER(MATCH(Data!#REF!,Data_Val!$D$2:$D$10,0)),0,1)))</f>
        <v>#REF!</v>
      </c>
      <c r="AT324" s="11"/>
      <c r="AU324" s="11" t="e">
        <f ca="1">IF(Data!#REF!="","",IF(ISNUMBER(Data!#REF!),IF(AND(Data!#REF!&gt;(TODAY()-(Data_Val!$I$3*365.25)),Data!#REF!&lt;=(TODAY()-(Data_Val!$I$2*365.25))),0,1),1))</f>
        <v>#REF!</v>
      </c>
      <c r="AV324" s="11" t="e">
        <f>IF(Data!#REF!="","",IF(Data!$G324="",1,IF(ISNUMBER(MATCH(Data!#REF!,Data_Val!$D$2:$D$10,0)),0,1)))</f>
        <v>#REF!</v>
      </c>
      <c r="AW324" s="12"/>
      <c r="AX324" s="26" t="e">
        <f ca="1">IF(Data!#REF!="","",IF(ISNUMBER(Data!#REF!),IF(AND(Data!#REF!&gt;(TODAY()-(Data_Val!$I$3*365.25)),Data!#REF!&lt;=(TODAY()-(Data_Val!$I$2*365.25))),0,1),1))</f>
        <v>#REF!</v>
      </c>
      <c r="AY324" s="12" t="e">
        <f>IF(Data!#REF!="","",IF(Data!$G324="",1,IF(ISNUMBER(MATCH(Data!#REF!,Data_Val!$D$2:$D$10,0)),0,1)))</f>
        <v>#REF!</v>
      </c>
      <c r="AZ324" s="11"/>
      <c r="BA324" s="19" t="e">
        <f ca="1">IF(Data!#REF!="","",IF(ISNUMBER(Data!#REF!),IF(AND(Data!#REF!&gt;(TODAY()-(Data_Val!$M$3*365.25)),Data!#REF!&lt;=(TODAY()-(Data_Val!$M$2*365.25))),0,1),1))</f>
        <v>#REF!</v>
      </c>
      <c r="BB324" s="11" t="e">
        <f>IF(Data!#REF!="","",IF(Data!$G324="",1,IF(ISNUMBER(MATCH(Data!#REF!,Data_Val!$D$2:$D$10,0)),0,1)))</f>
        <v>#REF!</v>
      </c>
      <c r="BC324" s="12"/>
      <c r="BD324" s="20" t="e">
        <f ca="1">IF(Data!#REF!="","",IF(ISNUMBER(Data!#REF!),IF(AND(Data!#REF!&gt;(TODAY()-(Data_Val!$M$3*365.25)),Data!#REF!&lt;=(TODAY()-(Data_Val!$M$2*365.25))),0,1),1))</f>
        <v>#REF!</v>
      </c>
      <c r="BE324" s="12" t="e">
        <f>IF(Data!#REF!="","",IF(Data!$G324="",1,IF(ISNUMBER(MATCH(Data!#REF!,Data_Val!$D$2:$D$10,0)),0,1)))</f>
        <v>#REF!</v>
      </c>
      <c r="BF324" s="17"/>
      <c r="BG324" s="18" t="e">
        <f ca="1">IF(Data!#REF!="","",IF(ISNUMBER(Data!#REF!),IF(AND(Data!#REF!&gt;(TODAY()-(Data_Val!$M$3*365.25)),Data!#REF!&lt;=(TODAY()-(Data_Val!$M$2*365.25))),0,1),1))</f>
        <v>#REF!</v>
      </c>
      <c r="BH324" s="29" t="e">
        <f>IF(Data!#REF!="","",IF(Data!$G324="",1,IF(ISNUMBER(MATCH(Data!#REF!,Data_Val!$D$2:$D$10,0)),0,1)))</f>
        <v>#REF!</v>
      </c>
      <c r="BI324" s="13"/>
      <c r="BJ324" s="21" t="e">
        <f ca="1">IF(Data!#REF!="","",IF(ISNUMBER(Data!#REF!),IF(AND(Data!#REF!&gt;(TODAY()-(Data_Val!$M$3*365.25)),Data!#REF!&lt;=(TODAY()-(Data_Val!$M$2*365.25))),0,1),1))</f>
        <v>#REF!</v>
      </c>
      <c r="BK324" s="13" t="e">
        <f>IF(Data!#REF!="","",IF(Data!$G324="",1,IF(ISNUMBER(MATCH(Data!#REF!,Data_Val!$D$2:$D$10,0)),0,1)))</f>
        <v>#REF!</v>
      </c>
    </row>
    <row r="325" spans="1:63" x14ac:dyDescent="0.25">
      <c r="A325" s="9" t="str">
        <f>IF(Data!B325="","",IF(COUNTIFS(Data!A$1:'Data'!A325,Data!A325)&lt;=1,0,1))</f>
        <v/>
      </c>
      <c r="B325" s="9"/>
      <c r="C325" s="23" t="str">
        <f>IF(Data!C325="","",(IF(ISNUMBER(MATCH("*@*.?*",Data!C325,0)),0,1)+IF(COUNTIFS(Data!C$1:'Data'!C325,Data!C325)&gt;1,1,0)))</f>
        <v/>
      </c>
      <c r="D325" s="9" t="str">
        <f>IF(Data!B325="","",IF(ISNUMBER(Data!D325),IF(AND(Data!D325&gt;999999999,Data!D325&lt;=9999999999),IF(COUNTIFS(Data!D$1:'Data'!D325,Data!D325)&lt;=1,0,1),1),1))</f>
        <v/>
      </c>
      <c r="E325" s="9" t="str">
        <f>IF(Data!B325="","",IF(ISNUMBER(MATCH(Data!E325,Data_Val!$A$2:$A$3,0)),0,1))</f>
        <v/>
      </c>
      <c r="F325" s="9" t="str">
        <f ca="1">IF(Data!B325="","",IF(ISNUMBER(Data!F325),IF(AND(Data!F325&gt;(TODAY()-(Data_Val!$H$3*365.25)),Data!F325&lt;=(TODAY()-(Data_Val!$H$2*365.25))),0,1),1))</f>
        <v/>
      </c>
      <c r="G325" s="15" t="str">
        <f>IF(Data!B325="","",IF(AND(Data!G325="",Data!H325&lt;&gt;""),1,IF(Data!#REF!&lt;&gt;"",0,IF(ISNUMBER(MATCH(Data!G325,Data_Val!$C$2:$C$5,0)),0,1))))</f>
        <v/>
      </c>
      <c r="H325" s="15" t="str">
        <f>IF(Data!B325="","",IF(AND(Data!G325&lt;&gt;"",Data!H325=""),1,IF(Data!#REF!&lt;&gt;"",0,IF(Data!G325="",1,IF(ISNUMBER(MATCH(Data!H325,Data_Val!$D$2:$D$35,0)),0,1)))))</f>
        <v/>
      </c>
      <c r="I325" s="15" t="str">
        <f>IF(Data!B325="","",IF(Data!G325&lt;&gt;"",0,IF(ISNUMBER(MATCH(Data!#REF!,Data_Val!$E$2:$E$12,0)),0,1)))</f>
        <v/>
      </c>
      <c r="J325" s="16" t="e">
        <f>IF(OR(Data!B325="",Data!#REF!=""),"",IF(Data!#REF!="",1,0))</f>
        <v>#REF!</v>
      </c>
      <c r="K325" s="16" t="e">
        <f>IF(OR(Data!B325="",Data!#REF!=""),"",IF(Data!#REF!="",1,0))</f>
        <v>#REF!</v>
      </c>
      <c r="L325" s="16" t="e">
        <f>IF(OR(Data!B325="",Data!#REF!=""),"",IF(ISNUMBER(Data!#REF!),IF(AND(Data!#REF!&gt;Data_Val!$G$2,Data!#REF!&lt;=Data_Val!$G$3),0,1),1))</f>
        <v>#REF!</v>
      </c>
      <c r="M325" s="9" t="e">
        <f>IF(OR(Data!B325="",Data!#REF!=""),"",IF(ISNUMBER(MATCH(Data!#REF!,Data_Val!$F$1:$F$38,0)),0,1))</f>
        <v>#REF!</v>
      </c>
      <c r="N325" s="9" t="e">
        <f>IF(OR(Data!B325="",Data!#REF!=""),"",IF(Data!#REF!="",1,0))</f>
        <v>#REF!</v>
      </c>
      <c r="O325" s="17" t="e">
        <f>IF(Data!#REF!="","",IF(Data!#REF!="",1,0))</f>
        <v>#REF!</v>
      </c>
      <c r="P325" s="17" t="e">
        <f>IF(Data!#REF!="","",IF(ISNUMBER(MATCH(Data!#REF!,Data_Val!$A$2:$A$3,0)),0,1))</f>
        <v>#REF!</v>
      </c>
      <c r="Q325" s="25" t="e">
        <f ca="1">IF(Data!#REF!="","",IF(ISNUMBER(Data!#REF!),IF(AND(Data!#REF!&gt;(TODAY()-(Data_Val!$J$3*365.25)),Data!#REF!&lt;=(TODAY()-(Data_Val!$J$2*365.25))),0,1),1))</f>
        <v>#REF!</v>
      </c>
      <c r="R325" s="17" t="e">
        <f>IF(Data!#REF!="","",IF(ISNUMBER(MATCH(Data!#REF!,Data_Val!$B$2:$B$15,0)),0,1))</f>
        <v>#REF!</v>
      </c>
      <c r="S325" s="11" t="str">
        <f>IF(Data!G325="","",IF(Data!G325=Data_Val!$C$2,IF(Data!M325="",0,1),0))</f>
        <v/>
      </c>
      <c r="T325" s="11" t="str">
        <f>IF(Data!M325="","",IF(ISNUMBER(MATCH(Data!N325,Data_Val!$A$2:$A$3,0)),0,1))</f>
        <v/>
      </c>
      <c r="U325" s="11" t="str">
        <f ca="1">IF(Data!M325="","",IF(ISNUMBER(Data!O325),IF(AND(Data!O325&gt;(TODAY()-(Data_Val!$K$3*365.25)),Data!O325&lt;=(TODAY()-(Data_Val!$K$2*365.25))),0,1),1))</f>
        <v/>
      </c>
      <c r="V325" s="12" t="str">
        <f>IF(Data!G325="","",IF(Data!G325=Data_Val!$C$2,IF(Data!P325="",0,1),0))</f>
        <v/>
      </c>
      <c r="W325" s="12" t="str">
        <f>IF(Data!P325="","",IF(ISNUMBER(MATCH(Data!Q325,Data_Val!$A$2:$A$3,0)),0,1))</f>
        <v/>
      </c>
      <c r="X325" s="26" t="str">
        <f ca="1">IF(Data!P325="","",IF(ISNUMBER(Data!R325),IF(AND(Data!R325&gt;(TODAY()-(Data_Val!$L$3*365.25)),Data!R325&lt;=(TODAY()-(Data_Val!$L$2*365.25))),0,1),1))</f>
        <v/>
      </c>
      <c r="Y325" s="13" t="str">
        <f>IF(Data!$G325="","",IF(Data!$G325=Data_Val!$C$2,IF(Data!S325="",0,1),0))</f>
        <v/>
      </c>
      <c r="Z325" s="13" t="str">
        <f>IF(Data!S325="","",IF(ISNUMBER(MATCH(Data!T325,Data_Val!$A$2:$A$3,0)),0,1))</f>
        <v/>
      </c>
      <c r="AA325" s="28" t="str">
        <f ca="1">IF(Data!S325="","",IF(ISNUMBER(Data!U325),IF(AND(Data!U325&gt;(TODAY()-(Data_Val!$L$3*365.25)),Data!U325&lt;=(TODAY()-(Data_Val!$L$2*365.25))),0,1),1))</f>
        <v/>
      </c>
      <c r="AB325" s="11"/>
      <c r="AC325" s="11" t="e">
        <f>IF(Data!#REF!="","",IF(ISNUMBER(MATCH(Data!#REF!,Data_Val!$A$2:$A$3,0)),0,1))</f>
        <v>#REF!</v>
      </c>
      <c r="AD325" s="11" t="e">
        <f ca="1">IF(Data!#REF!="","",IF(ISNUMBER(Data!#REF!),IF(AND(Data!#REF!&gt;(TODAY()-(Data_Val!$L$3*365.25)),Data!#REF!&lt;=(TODAY()-(Data_Val!$L$2*365.25))),0,1),1))</f>
        <v>#REF!</v>
      </c>
      <c r="AE325" s="11" t="e">
        <f>IF(Data!#REF!="","",IF(Data!$G325="",1,IF(ISNUMBER(MATCH(Data!#REF!,Data_Val!$D$2:$D$10,0)),0,1)))</f>
        <v>#REF!</v>
      </c>
      <c r="AF325" s="12"/>
      <c r="AG325" s="12" t="e">
        <f>IF(Data!#REF!="","",IF(ISNUMBER(MATCH(Data!#REF!,Data_Val!$A$2:$A$3,0)),0,1))</f>
        <v>#REF!</v>
      </c>
      <c r="AH325" s="26" t="e">
        <f ca="1">IF(Data!#REF!="","",IF(ISNUMBER(Data!#REF!),IF(AND(Data!#REF!&gt;(TODAY()-(Data_Val!$L$3*365.25)),Data!#REF!&lt;=(TODAY()-(Data_Val!$L$2*365.25))),0,1),1))</f>
        <v>#REF!</v>
      </c>
      <c r="AI325" s="12" t="e">
        <f>IF(Data!#REF!="","",IF(Data!$G325="",1,IF(ISNUMBER(MATCH(Data!#REF!,Data_Val!$D$2:$D$10,0)),0,1)))</f>
        <v>#REF!</v>
      </c>
      <c r="AJ325" s="17"/>
      <c r="AK325" s="17" t="e">
        <f>IF(Data!#REF!="","",IF(ISNUMBER(MATCH(Data!#REF!,Data_Val!$A$2:$A$3,0)),0,1))</f>
        <v>#REF!</v>
      </c>
      <c r="AL325" s="25" t="e">
        <f ca="1">IF(Data!#REF!="","",IF(ISNUMBER(Data!#REF!),IF(AND(Data!#REF!&gt;(TODAY()-(Data_Val!$L$3*365.25)),Data!#REF!&lt;=(TODAY()-(Data_Val!$L$2*365.25))),0,1),1))</f>
        <v>#REF!</v>
      </c>
      <c r="AM325" s="17" t="e">
        <f>IF(Data!#REF!="","",IF(Data!$G325="",1,IF(ISNUMBER(MATCH(Data!#REF!,Data_Val!$D$2:$D$10,0)),0,1)))</f>
        <v>#REF!</v>
      </c>
      <c r="AN325" s="13"/>
      <c r="AO325" s="28" t="e">
        <f ca="1">IF(Data!#REF!="","",IF(ISNUMBER(Data!#REF!),IF(AND(Data!#REF!&gt;(TODAY()-(Data_Val!$I$3*365.25)),Data!#REF!&lt;=(TODAY()-(Data_Val!$I$2*365.25))),0,1),1))</f>
        <v>#REF!</v>
      </c>
      <c r="AP325" s="13" t="e">
        <f>IF(Data!#REF!="","",IF(Data!$G325="",1,IF(ISNUMBER(MATCH(Data!#REF!,Data_Val!$D$2:$D$10,0)),0,1)))</f>
        <v>#REF!</v>
      </c>
      <c r="AQ325" s="17"/>
      <c r="AR325" s="30" t="e">
        <f ca="1">IF(Data!#REF!="","",IF(ISNUMBER(Data!#REF!),IF(AND(Data!#REF!&gt;(TODAY()-(Data_Val!$I$3*365.25)),Data!#REF!&lt;=(TODAY()-(Data_Val!$I$2*365.25))),0,1),1))</f>
        <v>#REF!</v>
      </c>
      <c r="AS325" s="31" t="e">
        <f>IF(Data!#REF!="","",IF(Data!$G325="",1,IF(ISNUMBER(MATCH(Data!#REF!,Data_Val!$D$2:$D$10,0)),0,1)))</f>
        <v>#REF!</v>
      </c>
      <c r="AT325" s="11"/>
      <c r="AU325" s="11" t="e">
        <f ca="1">IF(Data!#REF!="","",IF(ISNUMBER(Data!#REF!),IF(AND(Data!#REF!&gt;(TODAY()-(Data_Val!$I$3*365.25)),Data!#REF!&lt;=(TODAY()-(Data_Val!$I$2*365.25))),0,1),1))</f>
        <v>#REF!</v>
      </c>
      <c r="AV325" s="11" t="e">
        <f>IF(Data!#REF!="","",IF(Data!$G325="",1,IF(ISNUMBER(MATCH(Data!#REF!,Data_Val!$D$2:$D$10,0)),0,1)))</f>
        <v>#REF!</v>
      </c>
      <c r="AW325" s="12"/>
      <c r="AX325" s="26" t="e">
        <f ca="1">IF(Data!#REF!="","",IF(ISNUMBER(Data!#REF!),IF(AND(Data!#REF!&gt;(TODAY()-(Data_Val!$I$3*365.25)),Data!#REF!&lt;=(TODAY()-(Data_Val!$I$2*365.25))),0,1),1))</f>
        <v>#REF!</v>
      </c>
      <c r="AY325" s="12" t="e">
        <f>IF(Data!#REF!="","",IF(Data!$G325="",1,IF(ISNUMBER(MATCH(Data!#REF!,Data_Val!$D$2:$D$10,0)),0,1)))</f>
        <v>#REF!</v>
      </c>
      <c r="AZ325" s="11"/>
      <c r="BA325" s="19" t="e">
        <f ca="1">IF(Data!#REF!="","",IF(ISNUMBER(Data!#REF!),IF(AND(Data!#REF!&gt;(TODAY()-(Data_Val!$M$3*365.25)),Data!#REF!&lt;=(TODAY()-(Data_Val!$M$2*365.25))),0,1),1))</f>
        <v>#REF!</v>
      </c>
      <c r="BB325" s="11" t="e">
        <f>IF(Data!#REF!="","",IF(Data!$G325="",1,IF(ISNUMBER(MATCH(Data!#REF!,Data_Val!$D$2:$D$10,0)),0,1)))</f>
        <v>#REF!</v>
      </c>
      <c r="BC325" s="12"/>
      <c r="BD325" s="20" t="e">
        <f ca="1">IF(Data!#REF!="","",IF(ISNUMBER(Data!#REF!),IF(AND(Data!#REF!&gt;(TODAY()-(Data_Val!$M$3*365.25)),Data!#REF!&lt;=(TODAY()-(Data_Val!$M$2*365.25))),0,1),1))</f>
        <v>#REF!</v>
      </c>
      <c r="BE325" s="12" t="e">
        <f>IF(Data!#REF!="","",IF(Data!$G325="",1,IF(ISNUMBER(MATCH(Data!#REF!,Data_Val!$D$2:$D$10,0)),0,1)))</f>
        <v>#REF!</v>
      </c>
      <c r="BF325" s="17"/>
      <c r="BG325" s="18" t="e">
        <f ca="1">IF(Data!#REF!="","",IF(ISNUMBER(Data!#REF!),IF(AND(Data!#REF!&gt;(TODAY()-(Data_Val!$M$3*365.25)),Data!#REF!&lt;=(TODAY()-(Data_Val!$M$2*365.25))),0,1),1))</f>
        <v>#REF!</v>
      </c>
      <c r="BH325" s="29" t="e">
        <f>IF(Data!#REF!="","",IF(Data!$G325="",1,IF(ISNUMBER(MATCH(Data!#REF!,Data_Val!$D$2:$D$10,0)),0,1)))</f>
        <v>#REF!</v>
      </c>
      <c r="BI325" s="13"/>
      <c r="BJ325" s="21" t="e">
        <f ca="1">IF(Data!#REF!="","",IF(ISNUMBER(Data!#REF!),IF(AND(Data!#REF!&gt;(TODAY()-(Data_Val!$M$3*365.25)),Data!#REF!&lt;=(TODAY()-(Data_Val!$M$2*365.25))),0,1),1))</f>
        <v>#REF!</v>
      </c>
      <c r="BK325" s="13" t="e">
        <f>IF(Data!#REF!="","",IF(Data!$G325="",1,IF(ISNUMBER(MATCH(Data!#REF!,Data_Val!$D$2:$D$10,0)),0,1)))</f>
        <v>#REF!</v>
      </c>
    </row>
    <row r="326" spans="1:63" x14ac:dyDescent="0.25">
      <c r="A326" s="9" t="str">
        <f>IF(Data!B326="","",IF(COUNTIFS(Data!A$1:'Data'!A326,Data!A326)&lt;=1,0,1))</f>
        <v/>
      </c>
      <c r="B326" s="9"/>
      <c r="C326" s="23" t="str">
        <f>IF(Data!C326="","",(IF(ISNUMBER(MATCH("*@*.?*",Data!C326,0)),0,1)+IF(COUNTIFS(Data!C$1:'Data'!C326,Data!C326)&gt;1,1,0)))</f>
        <v/>
      </c>
      <c r="D326" s="9" t="str">
        <f>IF(Data!B326="","",IF(ISNUMBER(Data!D326),IF(AND(Data!D326&gt;999999999,Data!D326&lt;=9999999999),IF(COUNTIFS(Data!D$1:'Data'!D326,Data!D326)&lt;=1,0,1),1),1))</f>
        <v/>
      </c>
      <c r="E326" s="9" t="str">
        <f>IF(Data!B326="","",IF(ISNUMBER(MATCH(Data!E326,Data_Val!$A$2:$A$3,0)),0,1))</f>
        <v/>
      </c>
      <c r="F326" s="9" t="str">
        <f ca="1">IF(Data!B326="","",IF(ISNUMBER(Data!F326),IF(AND(Data!F326&gt;(TODAY()-(Data_Val!$H$3*365.25)),Data!F326&lt;=(TODAY()-(Data_Val!$H$2*365.25))),0,1),1))</f>
        <v/>
      </c>
      <c r="G326" s="15" t="str">
        <f>IF(Data!B326="","",IF(AND(Data!G326="",Data!H326&lt;&gt;""),1,IF(Data!#REF!&lt;&gt;"",0,IF(ISNUMBER(MATCH(Data!G326,Data_Val!$C$2:$C$5,0)),0,1))))</f>
        <v/>
      </c>
      <c r="H326" s="15" t="str">
        <f>IF(Data!B326="","",IF(AND(Data!G326&lt;&gt;"",Data!H326=""),1,IF(Data!#REF!&lt;&gt;"",0,IF(Data!G326="",1,IF(ISNUMBER(MATCH(Data!H326,Data_Val!$D$2:$D$35,0)),0,1)))))</f>
        <v/>
      </c>
      <c r="I326" s="15" t="str">
        <f>IF(Data!B326="","",IF(Data!G326&lt;&gt;"",0,IF(ISNUMBER(MATCH(Data!#REF!,Data_Val!$E$2:$E$12,0)),0,1)))</f>
        <v/>
      </c>
      <c r="J326" s="16" t="e">
        <f>IF(OR(Data!B326="",Data!#REF!=""),"",IF(Data!#REF!="",1,0))</f>
        <v>#REF!</v>
      </c>
      <c r="K326" s="16" t="e">
        <f>IF(OR(Data!B326="",Data!#REF!=""),"",IF(Data!#REF!="",1,0))</f>
        <v>#REF!</v>
      </c>
      <c r="L326" s="16" t="e">
        <f>IF(OR(Data!B326="",Data!#REF!=""),"",IF(ISNUMBER(Data!#REF!),IF(AND(Data!#REF!&gt;Data_Val!$G$2,Data!#REF!&lt;=Data_Val!$G$3),0,1),1))</f>
        <v>#REF!</v>
      </c>
      <c r="M326" s="9" t="e">
        <f>IF(OR(Data!B326="",Data!#REF!=""),"",IF(ISNUMBER(MATCH(Data!#REF!,Data_Val!$F$1:$F$38,0)),0,1))</f>
        <v>#REF!</v>
      </c>
      <c r="N326" s="9" t="e">
        <f>IF(OR(Data!B326="",Data!#REF!=""),"",IF(Data!#REF!="",1,0))</f>
        <v>#REF!</v>
      </c>
      <c r="O326" s="17" t="e">
        <f>IF(Data!#REF!="","",IF(Data!#REF!="",1,0))</f>
        <v>#REF!</v>
      </c>
      <c r="P326" s="17" t="e">
        <f>IF(Data!#REF!="","",IF(ISNUMBER(MATCH(Data!#REF!,Data_Val!$A$2:$A$3,0)),0,1))</f>
        <v>#REF!</v>
      </c>
      <c r="Q326" s="25" t="e">
        <f ca="1">IF(Data!#REF!="","",IF(ISNUMBER(Data!#REF!),IF(AND(Data!#REF!&gt;(TODAY()-(Data_Val!$J$3*365.25)),Data!#REF!&lt;=(TODAY()-(Data_Val!$J$2*365.25))),0,1),1))</f>
        <v>#REF!</v>
      </c>
      <c r="R326" s="17" t="e">
        <f>IF(Data!#REF!="","",IF(ISNUMBER(MATCH(Data!#REF!,Data_Val!$B$2:$B$15,0)),0,1))</f>
        <v>#REF!</v>
      </c>
      <c r="S326" s="11" t="str">
        <f>IF(Data!G326="","",IF(Data!G326=Data_Val!$C$2,IF(Data!M326="",0,1),0))</f>
        <v/>
      </c>
      <c r="T326" s="11" t="str">
        <f>IF(Data!M326="","",IF(ISNUMBER(MATCH(Data!N326,Data_Val!$A$2:$A$3,0)),0,1))</f>
        <v/>
      </c>
      <c r="U326" s="11" t="str">
        <f ca="1">IF(Data!M326="","",IF(ISNUMBER(Data!O326),IF(AND(Data!O326&gt;(TODAY()-(Data_Val!$K$3*365.25)),Data!O326&lt;=(TODAY()-(Data_Val!$K$2*365.25))),0,1),1))</f>
        <v/>
      </c>
      <c r="V326" s="12" t="str">
        <f>IF(Data!G326="","",IF(Data!G326=Data_Val!$C$2,IF(Data!P326="",0,1),0))</f>
        <v/>
      </c>
      <c r="W326" s="12" t="str">
        <f>IF(Data!P326="","",IF(ISNUMBER(MATCH(Data!Q326,Data_Val!$A$2:$A$3,0)),0,1))</f>
        <v/>
      </c>
      <c r="X326" s="26" t="str">
        <f ca="1">IF(Data!P326="","",IF(ISNUMBER(Data!R326),IF(AND(Data!R326&gt;(TODAY()-(Data_Val!$L$3*365.25)),Data!R326&lt;=(TODAY()-(Data_Val!$L$2*365.25))),0,1),1))</f>
        <v/>
      </c>
      <c r="Y326" s="13" t="str">
        <f>IF(Data!$G326="","",IF(Data!$G326=Data_Val!$C$2,IF(Data!S326="",0,1),0))</f>
        <v/>
      </c>
      <c r="Z326" s="13" t="str">
        <f>IF(Data!S326="","",IF(ISNUMBER(MATCH(Data!T326,Data_Val!$A$2:$A$3,0)),0,1))</f>
        <v/>
      </c>
      <c r="AA326" s="28" t="str">
        <f ca="1">IF(Data!S326="","",IF(ISNUMBER(Data!U326),IF(AND(Data!U326&gt;(TODAY()-(Data_Val!$L$3*365.25)),Data!U326&lt;=(TODAY()-(Data_Val!$L$2*365.25))),0,1),1))</f>
        <v/>
      </c>
      <c r="AB326" s="11"/>
      <c r="AC326" s="11" t="e">
        <f>IF(Data!#REF!="","",IF(ISNUMBER(MATCH(Data!#REF!,Data_Val!$A$2:$A$3,0)),0,1))</f>
        <v>#REF!</v>
      </c>
      <c r="AD326" s="11" t="e">
        <f ca="1">IF(Data!#REF!="","",IF(ISNUMBER(Data!#REF!),IF(AND(Data!#REF!&gt;(TODAY()-(Data_Val!$L$3*365.25)),Data!#REF!&lt;=(TODAY()-(Data_Val!$L$2*365.25))),0,1),1))</f>
        <v>#REF!</v>
      </c>
      <c r="AE326" s="11" t="e">
        <f>IF(Data!#REF!="","",IF(Data!$G326="",1,IF(ISNUMBER(MATCH(Data!#REF!,Data_Val!$D$2:$D$10,0)),0,1)))</f>
        <v>#REF!</v>
      </c>
      <c r="AF326" s="12"/>
      <c r="AG326" s="12" t="e">
        <f>IF(Data!#REF!="","",IF(ISNUMBER(MATCH(Data!#REF!,Data_Val!$A$2:$A$3,0)),0,1))</f>
        <v>#REF!</v>
      </c>
      <c r="AH326" s="26" t="e">
        <f ca="1">IF(Data!#REF!="","",IF(ISNUMBER(Data!#REF!),IF(AND(Data!#REF!&gt;(TODAY()-(Data_Val!$L$3*365.25)),Data!#REF!&lt;=(TODAY()-(Data_Val!$L$2*365.25))),0,1),1))</f>
        <v>#REF!</v>
      </c>
      <c r="AI326" s="12" t="e">
        <f>IF(Data!#REF!="","",IF(Data!$G326="",1,IF(ISNUMBER(MATCH(Data!#REF!,Data_Val!$D$2:$D$10,0)),0,1)))</f>
        <v>#REF!</v>
      </c>
      <c r="AJ326" s="17"/>
      <c r="AK326" s="17" t="e">
        <f>IF(Data!#REF!="","",IF(ISNUMBER(MATCH(Data!#REF!,Data_Val!$A$2:$A$3,0)),0,1))</f>
        <v>#REF!</v>
      </c>
      <c r="AL326" s="25" t="e">
        <f ca="1">IF(Data!#REF!="","",IF(ISNUMBER(Data!#REF!),IF(AND(Data!#REF!&gt;(TODAY()-(Data_Val!$L$3*365.25)),Data!#REF!&lt;=(TODAY()-(Data_Val!$L$2*365.25))),0,1),1))</f>
        <v>#REF!</v>
      </c>
      <c r="AM326" s="17" t="e">
        <f>IF(Data!#REF!="","",IF(Data!$G326="",1,IF(ISNUMBER(MATCH(Data!#REF!,Data_Val!$D$2:$D$10,0)),0,1)))</f>
        <v>#REF!</v>
      </c>
      <c r="AN326" s="13"/>
      <c r="AO326" s="28" t="e">
        <f ca="1">IF(Data!#REF!="","",IF(ISNUMBER(Data!#REF!),IF(AND(Data!#REF!&gt;(TODAY()-(Data_Val!$I$3*365.25)),Data!#REF!&lt;=(TODAY()-(Data_Val!$I$2*365.25))),0,1),1))</f>
        <v>#REF!</v>
      </c>
      <c r="AP326" s="13" t="e">
        <f>IF(Data!#REF!="","",IF(Data!$G326="",1,IF(ISNUMBER(MATCH(Data!#REF!,Data_Val!$D$2:$D$10,0)),0,1)))</f>
        <v>#REF!</v>
      </c>
      <c r="AQ326" s="17"/>
      <c r="AR326" s="30" t="e">
        <f ca="1">IF(Data!#REF!="","",IF(ISNUMBER(Data!#REF!),IF(AND(Data!#REF!&gt;(TODAY()-(Data_Val!$I$3*365.25)),Data!#REF!&lt;=(TODAY()-(Data_Val!$I$2*365.25))),0,1),1))</f>
        <v>#REF!</v>
      </c>
      <c r="AS326" s="31" t="e">
        <f>IF(Data!#REF!="","",IF(Data!$G326="",1,IF(ISNUMBER(MATCH(Data!#REF!,Data_Val!$D$2:$D$10,0)),0,1)))</f>
        <v>#REF!</v>
      </c>
      <c r="AT326" s="11"/>
      <c r="AU326" s="11" t="e">
        <f ca="1">IF(Data!#REF!="","",IF(ISNUMBER(Data!#REF!),IF(AND(Data!#REF!&gt;(TODAY()-(Data_Val!$I$3*365.25)),Data!#REF!&lt;=(TODAY()-(Data_Val!$I$2*365.25))),0,1),1))</f>
        <v>#REF!</v>
      </c>
      <c r="AV326" s="11" t="e">
        <f>IF(Data!#REF!="","",IF(Data!$G326="",1,IF(ISNUMBER(MATCH(Data!#REF!,Data_Val!$D$2:$D$10,0)),0,1)))</f>
        <v>#REF!</v>
      </c>
      <c r="AW326" s="12"/>
      <c r="AX326" s="26" t="e">
        <f ca="1">IF(Data!#REF!="","",IF(ISNUMBER(Data!#REF!),IF(AND(Data!#REF!&gt;(TODAY()-(Data_Val!$I$3*365.25)),Data!#REF!&lt;=(TODAY()-(Data_Val!$I$2*365.25))),0,1),1))</f>
        <v>#REF!</v>
      </c>
      <c r="AY326" s="12" t="e">
        <f>IF(Data!#REF!="","",IF(Data!$G326="",1,IF(ISNUMBER(MATCH(Data!#REF!,Data_Val!$D$2:$D$10,0)),0,1)))</f>
        <v>#REF!</v>
      </c>
      <c r="AZ326" s="11"/>
      <c r="BA326" s="19" t="e">
        <f ca="1">IF(Data!#REF!="","",IF(ISNUMBER(Data!#REF!),IF(AND(Data!#REF!&gt;(TODAY()-(Data_Val!$M$3*365.25)),Data!#REF!&lt;=(TODAY()-(Data_Val!$M$2*365.25))),0,1),1))</f>
        <v>#REF!</v>
      </c>
      <c r="BB326" s="11" t="e">
        <f>IF(Data!#REF!="","",IF(Data!$G326="",1,IF(ISNUMBER(MATCH(Data!#REF!,Data_Val!$D$2:$D$10,0)),0,1)))</f>
        <v>#REF!</v>
      </c>
      <c r="BC326" s="12"/>
      <c r="BD326" s="20" t="e">
        <f ca="1">IF(Data!#REF!="","",IF(ISNUMBER(Data!#REF!),IF(AND(Data!#REF!&gt;(TODAY()-(Data_Val!$M$3*365.25)),Data!#REF!&lt;=(TODAY()-(Data_Val!$M$2*365.25))),0,1),1))</f>
        <v>#REF!</v>
      </c>
      <c r="BE326" s="12" t="e">
        <f>IF(Data!#REF!="","",IF(Data!$G326="",1,IF(ISNUMBER(MATCH(Data!#REF!,Data_Val!$D$2:$D$10,0)),0,1)))</f>
        <v>#REF!</v>
      </c>
      <c r="BF326" s="17"/>
      <c r="BG326" s="18" t="e">
        <f ca="1">IF(Data!#REF!="","",IF(ISNUMBER(Data!#REF!),IF(AND(Data!#REF!&gt;(TODAY()-(Data_Val!$M$3*365.25)),Data!#REF!&lt;=(TODAY()-(Data_Val!$M$2*365.25))),0,1),1))</f>
        <v>#REF!</v>
      </c>
      <c r="BH326" s="29" t="e">
        <f>IF(Data!#REF!="","",IF(Data!$G326="",1,IF(ISNUMBER(MATCH(Data!#REF!,Data_Val!$D$2:$D$10,0)),0,1)))</f>
        <v>#REF!</v>
      </c>
      <c r="BI326" s="13"/>
      <c r="BJ326" s="21" t="e">
        <f ca="1">IF(Data!#REF!="","",IF(ISNUMBER(Data!#REF!),IF(AND(Data!#REF!&gt;(TODAY()-(Data_Val!$M$3*365.25)),Data!#REF!&lt;=(TODAY()-(Data_Val!$M$2*365.25))),0,1),1))</f>
        <v>#REF!</v>
      </c>
      <c r="BK326" s="13" t="e">
        <f>IF(Data!#REF!="","",IF(Data!$G326="",1,IF(ISNUMBER(MATCH(Data!#REF!,Data_Val!$D$2:$D$10,0)),0,1)))</f>
        <v>#REF!</v>
      </c>
    </row>
    <row r="327" spans="1:63" x14ac:dyDescent="0.25">
      <c r="A327" s="9" t="str">
        <f>IF(Data!B327="","",IF(COUNTIFS(Data!A$1:'Data'!A327,Data!A327)&lt;=1,0,1))</f>
        <v/>
      </c>
      <c r="B327" s="9"/>
      <c r="C327" s="23" t="str">
        <f>IF(Data!C327="","",(IF(ISNUMBER(MATCH("*@*.?*",Data!C327,0)),0,1)+IF(COUNTIFS(Data!C$1:'Data'!C327,Data!C327)&gt;1,1,0)))</f>
        <v/>
      </c>
      <c r="D327" s="9" t="str">
        <f>IF(Data!B327="","",IF(ISNUMBER(Data!D327),IF(AND(Data!D327&gt;999999999,Data!D327&lt;=9999999999),IF(COUNTIFS(Data!D$1:'Data'!D327,Data!D327)&lt;=1,0,1),1),1))</f>
        <v/>
      </c>
      <c r="E327" s="9" t="str">
        <f>IF(Data!B327="","",IF(ISNUMBER(MATCH(Data!E327,Data_Val!$A$2:$A$3,0)),0,1))</f>
        <v/>
      </c>
      <c r="F327" s="9" t="str">
        <f ca="1">IF(Data!B327="","",IF(ISNUMBER(Data!F327),IF(AND(Data!F327&gt;(TODAY()-(Data_Val!$H$3*365.25)),Data!F327&lt;=(TODAY()-(Data_Val!$H$2*365.25))),0,1),1))</f>
        <v/>
      </c>
      <c r="G327" s="15" t="str">
        <f>IF(Data!B327="","",IF(AND(Data!G327="",Data!H327&lt;&gt;""),1,IF(Data!#REF!&lt;&gt;"",0,IF(ISNUMBER(MATCH(Data!G327,Data_Val!$C$2:$C$5,0)),0,1))))</f>
        <v/>
      </c>
      <c r="H327" s="15" t="str">
        <f>IF(Data!B327="","",IF(AND(Data!G327&lt;&gt;"",Data!H327=""),1,IF(Data!#REF!&lt;&gt;"",0,IF(Data!G327="",1,IF(ISNUMBER(MATCH(Data!H327,Data_Val!$D$2:$D$35,0)),0,1)))))</f>
        <v/>
      </c>
      <c r="I327" s="15" t="str">
        <f>IF(Data!B327="","",IF(Data!G327&lt;&gt;"",0,IF(ISNUMBER(MATCH(Data!#REF!,Data_Val!$E$2:$E$12,0)),0,1)))</f>
        <v/>
      </c>
      <c r="J327" s="16" t="e">
        <f>IF(OR(Data!B327="",Data!#REF!=""),"",IF(Data!#REF!="",1,0))</f>
        <v>#REF!</v>
      </c>
      <c r="K327" s="16" t="e">
        <f>IF(OR(Data!B327="",Data!#REF!=""),"",IF(Data!#REF!="",1,0))</f>
        <v>#REF!</v>
      </c>
      <c r="L327" s="16" t="e">
        <f>IF(OR(Data!B327="",Data!#REF!=""),"",IF(ISNUMBER(Data!#REF!),IF(AND(Data!#REF!&gt;Data_Val!$G$2,Data!#REF!&lt;=Data_Val!$G$3),0,1),1))</f>
        <v>#REF!</v>
      </c>
      <c r="M327" s="9" t="e">
        <f>IF(OR(Data!B327="",Data!#REF!=""),"",IF(ISNUMBER(MATCH(Data!#REF!,Data_Val!$F$1:$F$38,0)),0,1))</f>
        <v>#REF!</v>
      </c>
      <c r="N327" s="9" t="e">
        <f>IF(OR(Data!B327="",Data!#REF!=""),"",IF(Data!#REF!="",1,0))</f>
        <v>#REF!</v>
      </c>
      <c r="O327" s="17" t="e">
        <f>IF(Data!#REF!="","",IF(Data!#REF!="",1,0))</f>
        <v>#REF!</v>
      </c>
      <c r="P327" s="17" t="e">
        <f>IF(Data!#REF!="","",IF(ISNUMBER(MATCH(Data!#REF!,Data_Val!$A$2:$A$3,0)),0,1))</f>
        <v>#REF!</v>
      </c>
      <c r="Q327" s="25" t="e">
        <f ca="1">IF(Data!#REF!="","",IF(ISNUMBER(Data!#REF!),IF(AND(Data!#REF!&gt;(TODAY()-(Data_Val!$J$3*365.25)),Data!#REF!&lt;=(TODAY()-(Data_Val!$J$2*365.25))),0,1),1))</f>
        <v>#REF!</v>
      </c>
      <c r="R327" s="17" t="e">
        <f>IF(Data!#REF!="","",IF(ISNUMBER(MATCH(Data!#REF!,Data_Val!$B$2:$B$15,0)),0,1))</f>
        <v>#REF!</v>
      </c>
      <c r="S327" s="11" t="str">
        <f>IF(Data!G327="","",IF(Data!G327=Data_Val!$C$2,IF(Data!M327="",0,1),0))</f>
        <v/>
      </c>
      <c r="T327" s="11" t="str">
        <f>IF(Data!M327="","",IF(ISNUMBER(MATCH(Data!N327,Data_Val!$A$2:$A$3,0)),0,1))</f>
        <v/>
      </c>
      <c r="U327" s="11" t="str">
        <f ca="1">IF(Data!M327="","",IF(ISNUMBER(Data!O327),IF(AND(Data!O327&gt;(TODAY()-(Data_Val!$K$3*365.25)),Data!O327&lt;=(TODAY()-(Data_Val!$K$2*365.25))),0,1),1))</f>
        <v/>
      </c>
      <c r="V327" s="12" t="str">
        <f>IF(Data!G327="","",IF(Data!G327=Data_Val!$C$2,IF(Data!P327="",0,1),0))</f>
        <v/>
      </c>
      <c r="W327" s="12" t="str">
        <f>IF(Data!P327="","",IF(ISNUMBER(MATCH(Data!Q327,Data_Val!$A$2:$A$3,0)),0,1))</f>
        <v/>
      </c>
      <c r="X327" s="26" t="str">
        <f ca="1">IF(Data!P327="","",IF(ISNUMBER(Data!R327),IF(AND(Data!R327&gt;(TODAY()-(Data_Val!$L$3*365.25)),Data!R327&lt;=(TODAY()-(Data_Val!$L$2*365.25))),0,1),1))</f>
        <v/>
      </c>
      <c r="Y327" s="13" t="str">
        <f>IF(Data!$G327="","",IF(Data!$G327=Data_Val!$C$2,IF(Data!S327="",0,1),0))</f>
        <v/>
      </c>
      <c r="Z327" s="13" t="str">
        <f>IF(Data!S327="","",IF(ISNUMBER(MATCH(Data!T327,Data_Val!$A$2:$A$3,0)),0,1))</f>
        <v/>
      </c>
      <c r="AA327" s="28" t="str">
        <f ca="1">IF(Data!S327="","",IF(ISNUMBER(Data!U327),IF(AND(Data!U327&gt;(TODAY()-(Data_Val!$L$3*365.25)),Data!U327&lt;=(TODAY()-(Data_Val!$L$2*365.25))),0,1),1))</f>
        <v/>
      </c>
      <c r="AB327" s="11"/>
      <c r="AC327" s="11" t="e">
        <f>IF(Data!#REF!="","",IF(ISNUMBER(MATCH(Data!#REF!,Data_Val!$A$2:$A$3,0)),0,1))</f>
        <v>#REF!</v>
      </c>
      <c r="AD327" s="11" t="e">
        <f ca="1">IF(Data!#REF!="","",IF(ISNUMBER(Data!#REF!),IF(AND(Data!#REF!&gt;(TODAY()-(Data_Val!$L$3*365.25)),Data!#REF!&lt;=(TODAY()-(Data_Val!$L$2*365.25))),0,1),1))</f>
        <v>#REF!</v>
      </c>
      <c r="AE327" s="11" t="e">
        <f>IF(Data!#REF!="","",IF(Data!$G327="",1,IF(ISNUMBER(MATCH(Data!#REF!,Data_Val!$D$2:$D$10,0)),0,1)))</f>
        <v>#REF!</v>
      </c>
      <c r="AF327" s="12"/>
      <c r="AG327" s="12" t="e">
        <f>IF(Data!#REF!="","",IF(ISNUMBER(MATCH(Data!#REF!,Data_Val!$A$2:$A$3,0)),0,1))</f>
        <v>#REF!</v>
      </c>
      <c r="AH327" s="26" t="e">
        <f ca="1">IF(Data!#REF!="","",IF(ISNUMBER(Data!#REF!),IF(AND(Data!#REF!&gt;(TODAY()-(Data_Val!$L$3*365.25)),Data!#REF!&lt;=(TODAY()-(Data_Val!$L$2*365.25))),0,1),1))</f>
        <v>#REF!</v>
      </c>
      <c r="AI327" s="12" t="e">
        <f>IF(Data!#REF!="","",IF(Data!$G327="",1,IF(ISNUMBER(MATCH(Data!#REF!,Data_Val!$D$2:$D$10,0)),0,1)))</f>
        <v>#REF!</v>
      </c>
      <c r="AJ327" s="17"/>
      <c r="AK327" s="17" t="e">
        <f>IF(Data!#REF!="","",IF(ISNUMBER(MATCH(Data!#REF!,Data_Val!$A$2:$A$3,0)),0,1))</f>
        <v>#REF!</v>
      </c>
      <c r="AL327" s="25" t="e">
        <f ca="1">IF(Data!#REF!="","",IF(ISNUMBER(Data!#REF!),IF(AND(Data!#REF!&gt;(TODAY()-(Data_Val!$L$3*365.25)),Data!#REF!&lt;=(TODAY()-(Data_Val!$L$2*365.25))),0,1),1))</f>
        <v>#REF!</v>
      </c>
      <c r="AM327" s="17" t="e">
        <f>IF(Data!#REF!="","",IF(Data!$G327="",1,IF(ISNUMBER(MATCH(Data!#REF!,Data_Val!$D$2:$D$10,0)),0,1)))</f>
        <v>#REF!</v>
      </c>
      <c r="AN327" s="13"/>
      <c r="AO327" s="28" t="e">
        <f ca="1">IF(Data!#REF!="","",IF(ISNUMBER(Data!#REF!),IF(AND(Data!#REF!&gt;(TODAY()-(Data_Val!$I$3*365.25)),Data!#REF!&lt;=(TODAY()-(Data_Val!$I$2*365.25))),0,1),1))</f>
        <v>#REF!</v>
      </c>
      <c r="AP327" s="13" t="e">
        <f>IF(Data!#REF!="","",IF(Data!$G327="",1,IF(ISNUMBER(MATCH(Data!#REF!,Data_Val!$D$2:$D$10,0)),0,1)))</f>
        <v>#REF!</v>
      </c>
      <c r="AQ327" s="17"/>
      <c r="AR327" s="30" t="e">
        <f ca="1">IF(Data!#REF!="","",IF(ISNUMBER(Data!#REF!),IF(AND(Data!#REF!&gt;(TODAY()-(Data_Val!$I$3*365.25)),Data!#REF!&lt;=(TODAY()-(Data_Val!$I$2*365.25))),0,1),1))</f>
        <v>#REF!</v>
      </c>
      <c r="AS327" s="31" t="e">
        <f>IF(Data!#REF!="","",IF(Data!$G327="",1,IF(ISNUMBER(MATCH(Data!#REF!,Data_Val!$D$2:$D$10,0)),0,1)))</f>
        <v>#REF!</v>
      </c>
      <c r="AT327" s="11"/>
      <c r="AU327" s="11" t="e">
        <f ca="1">IF(Data!#REF!="","",IF(ISNUMBER(Data!#REF!),IF(AND(Data!#REF!&gt;(TODAY()-(Data_Val!$I$3*365.25)),Data!#REF!&lt;=(TODAY()-(Data_Val!$I$2*365.25))),0,1),1))</f>
        <v>#REF!</v>
      </c>
      <c r="AV327" s="11" t="e">
        <f>IF(Data!#REF!="","",IF(Data!$G327="",1,IF(ISNUMBER(MATCH(Data!#REF!,Data_Val!$D$2:$D$10,0)),0,1)))</f>
        <v>#REF!</v>
      </c>
      <c r="AW327" s="12"/>
      <c r="AX327" s="26" t="e">
        <f ca="1">IF(Data!#REF!="","",IF(ISNUMBER(Data!#REF!),IF(AND(Data!#REF!&gt;(TODAY()-(Data_Val!$I$3*365.25)),Data!#REF!&lt;=(TODAY()-(Data_Val!$I$2*365.25))),0,1),1))</f>
        <v>#REF!</v>
      </c>
      <c r="AY327" s="12" t="e">
        <f>IF(Data!#REF!="","",IF(Data!$G327="",1,IF(ISNUMBER(MATCH(Data!#REF!,Data_Val!$D$2:$D$10,0)),0,1)))</f>
        <v>#REF!</v>
      </c>
      <c r="AZ327" s="11"/>
      <c r="BA327" s="19" t="e">
        <f ca="1">IF(Data!#REF!="","",IF(ISNUMBER(Data!#REF!),IF(AND(Data!#REF!&gt;(TODAY()-(Data_Val!$M$3*365.25)),Data!#REF!&lt;=(TODAY()-(Data_Val!$M$2*365.25))),0,1),1))</f>
        <v>#REF!</v>
      </c>
      <c r="BB327" s="11" t="e">
        <f>IF(Data!#REF!="","",IF(Data!$G327="",1,IF(ISNUMBER(MATCH(Data!#REF!,Data_Val!$D$2:$D$10,0)),0,1)))</f>
        <v>#REF!</v>
      </c>
      <c r="BC327" s="12"/>
      <c r="BD327" s="20" t="e">
        <f ca="1">IF(Data!#REF!="","",IF(ISNUMBER(Data!#REF!),IF(AND(Data!#REF!&gt;(TODAY()-(Data_Val!$M$3*365.25)),Data!#REF!&lt;=(TODAY()-(Data_Val!$M$2*365.25))),0,1),1))</f>
        <v>#REF!</v>
      </c>
      <c r="BE327" s="12" t="e">
        <f>IF(Data!#REF!="","",IF(Data!$G327="",1,IF(ISNUMBER(MATCH(Data!#REF!,Data_Val!$D$2:$D$10,0)),0,1)))</f>
        <v>#REF!</v>
      </c>
      <c r="BF327" s="17"/>
      <c r="BG327" s="18" t="e">
        <f ca="1">IF(Data!#REF!="","",IF(ISNUMBER(Data!#REF!),IF(AND(Data!#REF!&gt;(TODAY()-(Data_Val!$M$3*365.25)),Data!#REF!&lt;=(TODAY()-(Data_Val!$M$2*365.25))),0,1),1))</f>
        <v>#REF!</v>
      </c>
      <c r="BH327" s="29" t="e">
        <f>IF(Data!#REF!="","",IF(Data!$G327="",1,IF(ISNUMBER(MATCH(Data!#REF!,Data_Val!$D$2:$D$10,0)),0,1)))</f>
        <v>#REF!</v>
      </c>
      <c r="BI327" s="13"/>
      <c r="BJ327" s="21" t="e">
        <f ca="1">IF(Data!#REF!="","",IF(ISNUMBER(Data!#REF!),IF(AND(Data!#REF!&gt;(TODAY()-(Data_Val!$M$3*365.25)),Data!#REF!&lt;=(TODAY()-(Data_Val!$M$2*365.25))),0,1),1))</f>
        <v>#REF!</v>
      </c>
      <c r="BK327" s="13" t="e">
        <f>IF(Data!#REF!="","",IF(Data!$G327="",1,IF(ISNUMBER(MATCH(Data!#REF!,Data_Val!$D$2:$D$10,0)),0,1)))</f>
        <v>#REF!</v>
      </c>
    </row>
    <row r="328" spans="1:63" x14ac:dyDescent="0.25">
      <c r="A328" s="9" t="str">
        <f>IF(Data!B328="","",IF(COUNTIFS(Data!A$1:'Data'!A328,Data!A328)&lt;=1,0,1))</f>
        <v/>
      </c>
      <c r="B328" s="9"/>
      <c r="C328" s="23" t="str">
        <f>IF(Data!C328="","",(IF(ISNUMBER(MATCH("*@*.?*",Data!C328,0)),0,1)+IF(COUNTIFS(Data!C$1:'Data'!C328,Data!C328)&gt;1,1,0)))</f>
        <v/>
      </c>
      <c r="D328" s="9" t="str">
        <f>IF(Data!B328="","",IF(ISNUMBER(Data!D328),IF(AND(Data!D328&gt;999999999,Data!D328&lt;=9999999999),IF(COUNTIFS(Data!D$1:'Data'!D328,Data!D328)&lt;=1,0,1),1),1))</f>
        <v/>
      </c>
      <c r="E328" s="9" t="str">
        <f>IF(Data!B328="","",IF(ISNUMBER(MATCH(Data!E328,Data_Val!$A$2:$A$3,0)),0,1))</f>
        <v/>
      </c>
      <c r="F328" s="9" t="str">
        <f ca="1">IF(Data!B328="","",IF(ISNUMBER(Data!F328),IF(AND(Data!F328&gt;(TODAY()-(Data_Val!$H$3*365.25)),Data!F328&lt;=(TODAY()-(Data_Val!$H$2*365.25))),0,1),1))</f>
        <v/>
      </c>
      <c r="G328" s="15" t="str">
        <f>IF(Data!B328="","",IF(AND(Data!G328="",Data!H328&lt;&gt;""),1,IF(Data!#REF!&lt;&gt;"",0,IF(ISNUMBER(MATCH(Data!G328,Data_Val!$C$2:$C$5,0)),0,1))))</f>
        <v/>
      </c>
      <c r="H328" s="15" t="str">
        <f>IF(Data!B328="","",IF(AND(Data!G328&lt;&gt;"",Data!H328=""),1,IF(Data!#REF!&lt;&gt;"",0,IF(Data!G328="",1,IF(ISNUMBER(MATCH(Data!H328,Data_Val!$D$2:$D$35,0)),0,1)))))</f>
        <v/>
      </c>
      <c r="I328" s="15" t="str">
        <f>IF(Data!B328="","",IF(Data!G328&lt;&gt;"",0,IF(ISNUMBER(MATCH(Data!#REF!,Data_Val!$E$2:$E$12,0)),0,1)))</f>
        <v/>
      </c>
      <c r="J328" s="16" t="e">
        <f>IF(OR(Data!B328="",Data!#REF!=""),"",IF(Data!#REF!="",1,0))</f>
        <v>#REF!</v>
      </c>
      <c r="K328" s="16" t="e">
        <f>IF(OR(Data!B328="",Data!#REF!=""),"",IF(Data!#REF!="",1,0))</f>
        <v>#REF!</v>
      </c>
      <c r="L328" s="16" t="e">
        <f>IF(OR(Data!B328="",Data!#REF!=""),"",IF(ISNUMBER(Data!#REF!),IF(AND(Data!#REF!&gt;Data_Val!$G$2,Data!#REF!&lt;=Data_Val!$G$3),0,1),1))</f>
        <v>#REF!</v>
      </c>
      <c r="M328" s="9" t="e">
        <f>IF(OR(Data!B328="",Data!#REF!=""),"",IF(ISNUMBER(MATCH(Data!#REF!,Data_Val!$F$1:$F$38,0)),0,1))</f>
        <v>#REF!</v>
      </c>
      <c r="N328" s="9" t="e">
        <f>IF(OR(Data!B328="",Data!#REF!=""),"",IF(Data!#REF!="",1,0))</f>
        <v>#REF!</v>
      </c>
      <c r="O328" s="17" t="e">
        <f>IF(Data!#REF!="","",IF(Data!#REF!="",1,0))</f>
        <v>#REF!</v>
      </c>
      <c r="P328" s="17" t="e">
        <f>IF(Data!#REF!="","",IF(ISNUMBER(MATCH(Data!#REF!,Data_Val!$A$2:$A$3,0)),0,1))</f>
        <v>#REF!</v>
      </c>
      <c r="Q328" s="25" t="e">
        <f ca="1">IF(Data!#REF!="","",IF(ISNUMBER(Data!#REF!),IF(AND(Data!#REF!&gt;(TODAY()-(Data_Val!$J$3*365.25)),Data!#REF!&lt;=(TODAY()-(Data_Val!$J$2*365.25))),0,1),1))</f>
        <v>#REF!</v>
      </c>
      <c r="R328" s="17" t="e">
        <f>IF(Data!#REF!="","",IF(ISNUMBER(MATCH(Data!#REF!,Data_Val!$B$2:$B$15,0)),0,1))</f>
        <v>#REF!</v>
      </c>
      <c r="S328" s="11" t="str">
        <f>IF(Data!G328="","",IF(Data!G328=Data_Val!$C$2,IF(Data!M328="",0,1),0))</f>
        <v/>
      </c>
      <c r="T328" s="11" t="str">
        <f>IF(Data!M328="","",IF(ISNUMBER(MATCH(Data!N328,Data_Val!$A$2:$A$3,0)),0,1))</f>
        <v/>
      </c>
      <c r="U328" s="11" t="str">
        <f ca="1">IF(Data!M328="","",IF(ISNUMBER(Data!O328),IF(AND(Data!O328&gt;(TODAY()-(Data_Val!$K$3*365.25)),Data!O328&lt;=(TODAY()-(Data_Val!$K$2*365.25))),0,1),1))</f>
        <v/>
      </c>
      <c r="V328" s="12" t="str">
        <f>IF(Data!G328="","",IF(Data!G328=Data_Val!$C$2,IF(Data!P328="",0,1),0))</f>
        <v/>
      </c>
      <c r="W328" s="12" t="str">
        <f>IF(Data!P328="","",IF(ISNUMBER(MATCH(Data!Q328,Data_Val!$A$2:$A$3,0)),0,1))</f>
        <v/>
      </c>
      <c r="X328" s="26" t="str">
        <f ca="1">IF(Data!P328="","",IF(ISNUMBER(Data!R328),IF(AND(Data!R328&gt;(TODAY()-(Data_Val!$L$3*365.25)),Data!R328&lt;=(TODAY()-(Data_Val!$L$2*365.25))),0,1),1))</f>
        <v/>
      </c>
      <c r="Y328" s="13" t="str">
        <f>IF(Data!$G328="","",IF(Data!$G328=Data_Val!$C$2,IF(Data!S328="",0,1),0))</f>
        <v/>
      </c>
      <c r="Z328" s="13" t="str">
        <f>IF(Data!S328="","",IF(ISNUMBER(MATCH(Data!T328,Data_Val!$A$2:$A$3,0)),0,1))</f>
        <v/>
      </c>
      <c r="AA328" s="28" t="str">
        <f ca="1">IF(Data!S328="","",IF(ISNUMBER(Data!U328),IF(AND(Data!U328&gt;(TODAY()-(Data_Val!$L$3*365.25)),Data!U328&lt;=(TODAY()-(Data_Val!$L$2*365.25))),0,1),1))</f>
        <v/>
      </c>
      <c r="AB328" s="11"/>
      <c r="AC328" s="11" t="e">
        <f>IF(Data!#REF!="","",IF(ISNUMBER(MATCH(Data!#REF!,Data_Val!$A$2:$A$3,0)),0,1))</f>
        <v>#REF!</v>
      </c>
      <c r="AD328" s="11" t="e">
        <f ca="1">IF(Data!#REF!="","",IF(ISNUMBER(Data!#REF!),IF(AND(Data!#REF!&gt;(TODAY()-(Data_Val!$L$3*365.25)),Data!#REF!&lt;=(TODAY()-(Data_Val!$L$2*365.25))),0,1),1))</f>
        <v>#REF!</v>
      </c>
      <c r="AE328" s="11" t="e">
        <f>IF(Data!#REF!="","",IF(Data!$G328="",1,IF(ISNUMBER(MATCH(Data!#REF!,Data_Val!$D$2:$D$10,0)),0,1)))</f>
        <v>#REF!</v>
      </c>
      <c r="AF328" s="12"/>
      <c r="AG328" s="12" t="e">
        <f>IF(Data!#REF!="","",IF(ISNUMBER(MATCH(Data!#REF!,Data_Val!$A$2:$A$3,0)),0,1))</f>
        <v>#REF!</v>
      </c>
      <c r="AH328" s="26" t="e">
        <f ca="1">IF(Data!#REF!="","",IF(ISNUMBER(Data!#REF!),IF(AND(Data!#REF!&gt;(TODAY()-(Data_Val!$L$3*365.25)),Data!#REF!&lt;=(TODAY()-(Data_Val!$L$2*365.25))),0,1),1))</f>
        <v>#REF!</v>
      </c>
      <c r="AI328" s="12" t="e">
        <f>IF(Data!#REF!="","",IF(Data!$G328="",1,IF(ISNUMBER(MATCH(Data!#REF!,Data_Val!$D$2:$D$10,0)),0,1)))</f>
        <v>#REF!</v>
      </c>
      <c r="AJ328" s="17"/>
      <c r="AK328" s="17" t="e">
        <f>IF(Data!#REF!="","",IF(ISNUMBER(MATCH(Data!#REF!,Data_Val!$A$2:$A$3,0)),0,1))</f>
        <v>#REF!</v>
      </c>
      <c r="AL328" s="25" t="e">
        <f ca="1">IF(Data!#REF!="","",IF(ISNUMBER(Data!#REF!),IF(AND(Data!#REF!&gt;(TODAY()-(Data_Val!$L$3*365.25)),Data!#REF!&lt;=(TODAY()-(Data_Val!$L$2*365.25))),0,1),1))</f>
        <v>#REF!</v>
      </c>
      <c r="AM328" s="17" t="e">
        <f>IF(Data!#REF!="","",IF(Data!$G328="",1,IF(ISNUMBER(MATCH(Data!#REF!,Data_Val!$D$2:$D$10,0)),0,1)))</f>
        <v>#REF!</v>
      </c>
      <c r="AN328" s="13"/>
      <c r="AO328" s="28" t="e">
        <f ca="1">IF(Data!#REF!="","",IF(ISNUMBER(Data!#REF!),IF(AND(Data!#REF!&gt;(TODAY()-(Data_Val!$I$3*365.25)),Data!#REF!&lt;=(TODAY()-(Data_Val!$I$2*365.25))),0,1),1))</f>
        <v>#REF!</v>
      </c>
      <c r="AP328" s="13" t="e">
        <f>IF(Data!#REF!="","",IF(Data!$G328="",1,IF(ISNUMBER(MATCH(Data!#REF!,Data_Val!$D$2:$D$10,0)),0,1)))</f>
        <v>#REF!</v>
      </c>
      <c r="AQ328" s="17"/>
      <c r="AR328" s="30" t="e">
        <f ca="1">IF(Data!#REF!="","",IF(ISNUMBER(Data!#REF!),IF(AND(Data!#REF!&gt;(TODAY()-(Data_Val!$I$3*365.25)),Data!#REF!&lt;=(TODAY()-(Data_Val!$I$2*365.25))),0,1),1))</f>
        <v>#REF!</v>
      </c>
      <c r="AS328" s="31" t="e">
        <f>IF(Data!#REF!="","",IF(Data!$G328="",1,IF(ISNUMBER(MATCH(Data!#REF!,Data_Val!$D$2:$D$10,0)),0,1)))</f>
        <v>#REF!</v>
      </c>
      <c r="AT328" s="11"/>
      <c r="AU328" s="11" t="e">
        <f ca="1">IF(Data!#REF!="","",IF(ISNUMBER(Data!#REF!),IF(AND(Data!#REF!&gt;(TODAY()-(Data_Val!$I$3*365.25)),Data!#REF!&lt;=(TODAY()-(Data_Val!$I$2*365.25))),0,1),1))</f>
        <v>#REF!</v>
      </c>
      <c r="AV328" s="11" t="e">
        <f>IF(Data!#REF!="","",IF(Data!$G328="",1,IF(ISNUMBER(MATCH(Data!#REF!,Data_Val!$D$2:$D$10,0)),0,1)))</f>
        <v>#REF!</v>
      </c>
      <c r="AW328" s="12"/>
      <c r="AX328" s="26" t="e">
        <f ca="1">IF(Data!#REF!="","",IF(ISNUMBER(Data!#REF!),IF(AND(Data!#REF!&gt;(TODAY()-(Data_Val!$I$3*365.25)),Data!#REF!&lt;=(TODAY()-(Data_Val!$I$2*365.25))),0,1),1))</f>
        <v>#REF!</v>
      </c>
      <c r="AY328" s="12" t="e">
        <f>IF(Data!#REF!="","",IF(Data!$G328="",1,IF(ISNUMBER(MATCH(Data!#REF!,Data_Val!$D$2:$D$10,0)),0,1)))</f>
        <v>#REF!</v>
      </c>
      <c r="AZ328" s="11"/>
      <c r="BA328" s="19" t="e">
        <f ca="1">IF(Data!#REF!="","",IF(ISNUMBER(Data!#REF!),IF(AND(Data!#REF!&gt;(TODAY()-(Data_Val!$M$3*365.25)),Data!#REF!&lt;=(TODAY()-(Data_Val!$M$2*365.25))),0,1),1))</f>
        <v>#REF!</v>
      </c>
      <c r="BB328" s="11" t="e">
        <f>IF(Data!#REF!="","",IF(Data!$G328="",1,IF(ISNUMBER(MATCH(Data!#REF!,Data_Val!$D$2:$D$10,0)),0,1)))</f>
        <v>#REF!</v>
      </c>
      <c r="BC328" s="12"/>
      <c r="BD328" s="20" t="e">
        <f ca="1">IF(Data!#REF!="","",IF(ISNUMBER(Data!#REF!),IF(AND(Data!#REF!&gt;(TODAY()-(Data_Val!$M$3*365.25)),Data!#REF!&lt;=(TODAY()-(Data_Val!$M$2*365.25))),0,1),1))</f>
        <v>#REF!</v>
      </c>
      <c r="BE328" s="12" t="e">
        <f>IF(Data!#REF!="","",IF(Data!$G328="",1,IF(ISNUMBER(MATCH(Data!#REF!,Data_Val!$D$2:$D$10,0)),0,1)))</f>
        <v>#REF!</v>
      </c>
      <c r="BF328" s="17"/>
      <c r="BG328" s="18" t="e">
        <f ca="1">IF(Data!#REF!="","",IF(ISNUMBER(Data!#REF!),IF(AND(Data!#REF!&gt;(TODAY()-(Data_Val!$M$3*365.25)),Data!#REF!&lt;=(TODAY()-(Data_Val!$M$2*365.25))),0,1),1))</f>
        <v>#REF!</v>
      </c>
      <c r="BH328" s="29" t="e">
        <f>IF(Data!#REF!="","",IF(Data!$G328="",1,IF(ISNUMBER(MATCH(Data!#REF!,Data_Val!$D$2:$D$10,0)),0,1)))</f>
        <v>#REF!</v>
      </c>
      <c r="BI328" s="13"/>
      <c r="BJ328" s="21" t="e">
        <f ca="1">IF(Data!#REF!="","",IF(ISNUMBER(Data!#REF!),IF(AND(Data!#REF!&gt;(TODAY()-(Data_Val!$M$3*365.25)),Data!#REF!&lt;=(TODAY()-(Data_Val!$M$2*365.25))),0,1),1))</f>
        <v>#REF!</v>
      </c>
      <c r="BK328" s="13" t="e">
        <f>IF(Data!#REF!="","",IF(Data!$G328="",1,IF(ISNUMBER(MATCH(Data!#REF!,Data_Val!$D$2:$D$10,0)),0,1)))</f>
        <v>#REF!</v>
      </c>
    </row>
    <row r="329" spans="1:63" x14ac:dyDescent="0.25">
      <c r="A329" s="9" t="str">
        <f>IF(Data!B329="","",IF(COUNTIFS(Data!A$1:'Data'!A329,Data!A329)&lt;=1,0,1))</f>
        <v/>
      </c>
      <c r="B329" s="9"/>
      <c r="C329" s="23" t="str">
        <f>IF(Data!C329="","",(IF(ISNUMBER(MATCH("*@*.?*",Data!C329,0)),0,1)+IF(COUNTIFS(Data!C$1:'Data'!C329,Data!C329)&gt;1,1,0)))</f>
        <v/>
      </c>
      <c r="D329" s="9" t="str">
        <f>IF(Data!B329="","",IF(ISNUMBER(Data!D329),IF(AND(Data!D329&gt;999999999,Data!D329&lt;=9999999999),IF(COUNTIFS(Data!D$1:'Data'!D329,Data!D329)&lt;=1,0,1),1),1))</f>
        <v/>
      </c>
      <c r="E329" s="9" t="str">
        <f>IF(Data!B329="","",IF(ISNUMBER(MATCH(Data!E329,Data_Val!$A$2:$A$3,0)),0,1))</f>
        <v/>
      </c>
      <c r="F329" s="9" t="str">
        <f ca="1">IF(Data!B329="","",IF(ISNUMBER(Data!F329),IF(AND(Data!F329&gt;(TODAY()-(Data_Val!$H$3*365.25)),Data!F329&lt;=(TODAY()-(Data_Val!$H$2*365.25))),0,1),1))</f>
        <v/>
      </c>
      <c r="G329" s="15" t="str">
        <f>IF(Data!B329="","",IF(AND(Data!G329="",Data!H329&lt;&gt;""),1,IF(Data!#REF!&lt;&gt;"",0,IF(ISNUMBER(MATCH(Data!G329,Data_Val!$C$2:$C$5,0)),0,1))))</f>
        <v/>
      </c>
      <c r="H329" s="15" t="str">
        <f>IF(Data!B329="","",IF(AND(Data!G329&lt;&gt;"",Data!H329=""),1,IF(Data!#REF!&lt;&gt;"",0,IF(Data!G329="",1,IF(ISNUMBER(MATCH(Data!H329,Data_Val!$D$2:$D$35,0)),0,1)))))</f>
        <v/>
      </c>
      <c r="I329" s="15" t="str">
        <f>IF(Data!B329="","",IF(Data!G329&lt;&gt;"",0,IF(ISNUMBER(MATCH(Data!#REF!,Data_Val!$E$2:$E$12,0)),0,1)))</f>
        <v/>
      </c>
      <c r="J329" s="16" t="e">
        <f>IF(OR(Data!B329="",Data!#REF!=""),"",IF(Data!#REF!="",1,0))</f>
        <v>#REF!</v>
      </c>
      <c r="K329" s="16" t="e">
        <f>IF(OR(Data!B329="",Data!#REF!=""),"",IF(Data!#REF!="",1,0))</f>
        <v>#REF!</v>
      </c>
      <c r="L329" s="16" t="e">
        <f>IF(OR(Data!B329="",Data!#REF!=""),"",IF(ISNUMBER(Data!#REF!),IF(AND(Data!#REF!&gt;Data_Val!$G$2,Data!#REF!&lt;=Data_Val!$G$3),0,1),1))</f>
        <v>#REF!</v>
      </c>
      <c r="M329" s="9" t="e">
        <f>IF(OR(Data!B329="",Data!#REF!=""),"",IF(ISNUMBER(MATCH(Data!#REF!,Data_Val!$F$1:$F$38,0)),0,1))</f>
        <v>#REF!</v>
      </c>
      <c r="N329" s="9" t="e">
        <f>IF(OR(Data!B329="",Data!#REF!=""),"",IF(Data!#REF!="",1,0))</f>
        <v>#REF!</v>
      </c>
      <c r="O329" s="17" t="e">
        <f>IF(Data!#REF!="","",IF(Data!#REF!="",1,0))</f>
        <v>#REF!</v>
      </c>
      <c r="P329" s="17" t="e">
        <f>IF(Data!#REF!="","",IF(ISNUMBER(MATCH(Data!#REF!,Data_Val!$A$2:$A$3,0)),0,1))</f>
        <v>#REF!</v>
      </c>
      <c r="Q329" s="25" t="e">
        <f ca="1">IF(Data!#REF!="","",IF(ISNUMBER(Data!#REF!),IF(AND(Data!#REF!&gt;(TODAY()-(Data_Val!$J$3*365.25)),Data!#REF!&lt;=(TODAY()-(Data_Val!$J$2*365.25))),0,1),1))</f>
        <v>#REF!</v>
      </c>
      <c r="R329" s="17" t="e">
        <f>IF(Data!#REF!="","",IF(ISNUMBER(MATCH(Data!#REF!,Data_Val!$B$2:$B$15,0)),0,1))</f>
        <v>#REF!</v>
      </c>
      <c r="S329" s="11" t="str">
        <f>IF(Data!G329="","",IF(Data!G329=Data_Val!$C$2,IF(Data!M329="",0,1),0))</f>
        <v/>
      </c>
      <c r="T329" s="11" t="str">
        <f>IF(Data!M329="","",IF(ISNUMBER(MATCH(Data!N329,Data_Val!$A$2:$A$3,0)),0,1))</f>
        <v/>
      </c>
      <c r="U329" s="11" t="str">
        <f ca="1">IF(Data!M329="","",IF(ISNUMBER(Data!O329),IF(AND(Data!O329&gt;(TODAY()-(Data_Val!$K$3*365.25)),Data!O329&lt;=(TODAY()-(Data_Val!$K$2*365.25))),0,1),1))</f>
        <v/>
      </c>
      <c r="V329" s="12" t="str">
        <f>IF(Data!G329="","",IF(Data!G329=Data_Val!$C$2,IF(Data!P329="",0,1),0))</f>
        <v/>
      </c>
      <c r="W329" s="12" t="str">
        <f>IF(Data!P329="","",IF(ISNUMBER(MATCH(Data!Q329,Data_Val!$A$2:$A$3,0)),0,1))</f>
        <v/>
      </c>
      <c r="X329" s="26" t="str">
        <f ca="1">IF(Data!P329="","",IF(ISNUMBER(Data!R329),IF(AND(Data!R329&gt;(TODAY()-(Data_Val!$L$3*365.25)),Data!R329&lt;=(TODAY()-(Data_Val!$L$2*365.25))),0,1),1))</f>
        <v/>
      </c>
      <c r="Y329" s="13" t="str">
        <f>IF(Data!$G329="","",IF(Data!$G329=Data_Val!$C$2,IF(Data!S329="",0,1),0))</f>
        <v/>
      </c>
      <c r="Z329" s="13" t="str">
        <f>IF(Data!S329="","",IF(ISNUMBER(MATCH(Data!T329,Data_Val!$A$2:$A$3,0)),0,1))</f>
        <v/>
      </c>
      <c r="AA329" s="28" t="str">
        <f ca="1">IF(Data!S329="","",IF(ISNUMBER(Data!U329),IF(AND(Data!U329&gt;(TODAY()-(Data_Val!$L$3*365.25)),Data!U329&lt;=(TODAY()-(Data_Val!$L$2*365.25))),0,1),1))</f>
        <v/>
      </c>
      <c r="AB329" s="11"/>
      <c r="AC329" s="11" t="e">
        <f>IF(Data!#REF!="","",IF(ISNUMBER(MATCH(Data!#REF!,Data_Val!$A$2:$A$3,0)),0,1))</f>
        <v>#REF!</v>
      </c>
      <c r="AD329" s="11" t="e">
        <f ca="1">IF(Data!#REF!="","",IF(ISNUMBER(Data!#REF!),IF(AND(Data!#REF!&gt;(TODAY()-(Data_Val!$L$3*365.25)),Data!#REF!&lt;=(TODAY()-(Data_Val!$L$2*365.25))),0,1),1))</f>
        <v>#REF!</v>
      </c>
      <c r="AE329" s="11" t="e">
        <f>IF(Data!#REF!="","",IF(Data!$G329="",1,IF(ISNUMBER(MATCH(Data!#REF!,Data_Val!$D$2:$D$10,0)),0,1)))</f>
        <v>#REF!</v>
      </c>
      <c r="AF329" s="12"/>
      <c r="AG329" s="12" t="e">
        <f>IF(Data!#REF!="","",IF(ISNUMBER(MATCH(Data!#REF!,Data_Val!$A$2:$A$3,0)),0,1))</f>
        <v>#REF!</v>
      </c>
      <c r="AH329" s="26" t="e">
        <f ca="1">IF(Data!#REF!="","",IF(ISNUMBER(Data!#REF!),IF(AND(Data!#REF!&gt;(TODAY()-(Data_Val!$L$3*365.25)),Data!#REF!&lt;=(TODAY()-(Data_Val!$L$2*365.25))),0,1),1))</f>
        <v>#REF!</v>
      </c>
      <c r="AI329" s="12" t="e">
        <f>IF(Data!#REF!="","",IF(Data!$G329="",1,IF(ISNUMBER(MATCH(Data!#REF!,Data_Val!$D$2:$D$10,0)),0,1)))</f>
        <v>#REF!</v>
      </c>
      <c r="AJ329" s="17"/>
      <c r="AK329" s="17" t="e">
        <f>IF(Data!#REF!="","",IF(ISNUMBER(MATCH(Data!#REF!,Data_Val!$A$2:$A$3,0)),0,1))</f>
        <v>#REF!</v>
      </c>
      <c r="AL329" s="25" t="e">
        <f ca="1">IF(Data!#REF!="","",IF(ISNUMBER(Data!#REF!),IF(AND(Data!#REF!&gt;(TODAY()-(Data_Val!$L$3*365.25)),Data!#REF!&lt;=(TODAY()-(Data_Val!$L$2*365.25))),0,1),1))</f>
        <v>#REF!</v>
      </c>
      <c r="AM329" s="17" t="e">
        <f>IF(Data!#REF!="","",IF(Data!$G329="",1,IF(ISNUMBER(MATCH(Data!#REF!,Data_Val!$D$2:$D$10,0)),0,1)))</f>
        <v>#REF!</v>
      </c>
      <c r="AN329" s="13"/>
      <c r="AO329" s="28" t="e">
        <f ca="1">IF(Data!#REF!="","",IF(ISNUMBER(Data!#REF!),IF(AND(Data!#REF!&gt;(TODAY()-(Data_Val!$I$3*365.25)),Data!#REF!&lt;=(TODAY()-(Data_Val!$I$2*365.25))),0,1),1))</f>
        <v>#REF!</v>
      </c>
      <c r="AP329" s="13" t="e">
        <f>IF(Data!#REF!="","",IF(Data!$G329="",1,IF(ISNUMBER(MATCH(Data!#REF!,Data_Val!$D$2:$D$10,0)),0,1)))</f>
        <v>#REF!</v>
      </c>
      <c r="AQ329" s="17"/>
      <c r="AR329" s="30" t="e">
        <f ca="1">IF(Data!#REF!="","",IF(ISNUMBER(Data!#REF!),IF(AND(Data!#REF!&gt;(TODAY()-(Data_Val!$I$3*365.25)),Data!#REF!&lt;=(TODAY()-(Data_Val!$I$2*365.25))),0,1),1))</f>
        <v>#REF!</v>
      </c>
      <c r="AS329" s="31" t="e">
        <f>IF(Data!#REF!="","",IF(Data!$G329="",1,IF(ISNUMBER(MATCH(Data!#REF!,Data_Val!$D$2:$D$10,0)),0,1)))</f>
        <v>#REF!</v>
      </c>
      <c r="AT329" s="11"/>
      <c r="AU329" s="11" t="e">
        <f ca="1">IF(Data!#REF!="","",IF(ISNUMBER(Data!#REF!),IF(AND(Data!#REF!&gt;(TODAY()-(Data_Val!$I$3*365.25)),Data!#REF!&lt;=(TODAY()-(Data_Val!$I$2*365.25))),0,1),1))</f>
        <v>#REF!</v>
      </c>
      <c r="AV329" s="11" t="e">
        <f>IF(Data!#REF!="","",IF(Data!$G329="",1,IF(ISNUMBER(MATCH(Data!#REF!,Data_Val!$D$2:$D$10,0)),0,1)))</f>
        <v>#REF!</v>
      </c>
      <c r="AW329" s="12"/>
      <c r="AX329" s="26" t="e">
        <f ca="1">IF(Data!#REF!="","",IF(ISNUMBER(Data!#REF!),IF(AND(Data!#REF!&gt;(TODAY()-(Data_Val!$I$3*365.25)),Data!#REF!&lt;=(TODAY()-(Data_Val!$I$2*365.25))),0,1),1))</f>
        <v>#REF!</v>
      </c>
      <c r="AY329" s="12" t="e">
        <f>IF(Data!#REF!="","",IF(Data!$G329="",1,IF(ISNUMBER(MATCH(Data!#REF!,Data_Val!$D$2:$D$10,0)),0,1)))</f>
        <v>#REF!</v>
      </c>
      <c r="AZ329" s="11"/>
      <c r="BA329" s="19" t="e">
        <f ca="1">IF(Data!#REF!="","",IF(ISNUMBER(Data!#REF!),IF(AND(Data!#REF!&gt;(TODAY()-(Data_Val!$M$3*365.25)),Data!#REF!&lt;=(TODAY()-(Data_Val!$M$2*365.25))),0,1),1))</f>
        <v>#REF!</v>
      </c>
      <c r="BB329" s="11" t="e">
        <f>IF(Data!#REF!="","",IF(Data!$G329="",1,IF(ISNUMBER(MATCH(Data!#REF!,Data_Val!$D$2:$D$10,0)),0,1)))</f>
        <v>#REF!</v>
      </c>
      <c r="BC329" s="12"/>
      <c r="BD329" s="20" t="e">
        <f ca="1">IF(Data!#REF!="","",IF(ISNUMBER(Data!#REF!),IF(AND(Data!#REF!&gt;(TODAY()-(Data_Val!$M$3*365.25)),Data!#REF!&lt;=(TODAY()-(Data_Val!$M$2*365.25))),0,1),1))</f>
        <v>#REF!</v>
      </c>
      <c r="BE329" s="12" t="e">
        <f>IF(Data!#REF!="","",IF(Data!$G329="",1,IF(ISNUMBER(MATCH(Data!#REF!,Data_Val!$D$2:$D$10,0)),0,1)))</f>
        <v>#REF!</v>
      </c>
      <c r="BF329" s="17"/>
      <c r="BG329" s="18" t="e">
        <f ca="1">IF(Data!#REF!="","",IF(ISNUMBER(Data!#REF!),IF(AND(Data!#REF!&gt;(TODAY()-(Data_Val!$M$3*365.25)),Data!#REF!&lt;=(TODAY()-(Data_Val!$M$2*365.25))),0,1),1))</f>
        <v>#REF!</v>
      </c>
      <c r="BH329" s="29" t="e">
        <f>IF(Data!#REF!="","",IF(Data!$G329="",1,IF(ISNUMBER(MATCH(Data!#REF!,Data_Val!$D$2:$D$10,0)),0,1)))</f>
        <v>#REF!</v>
      </c>
      <c r="BI329" s="13"/>
      <c r="BJ329" s="21" t="e">
        <f ca="1">IF(Data!#REF!="","",IF(ISNUMBER(Data!#REF!),IF(AND(Data!#REF!&gt;(TODAY()-(Data_Val!$M$3*365.25)),Data!#REF!&lt;=(TODAY()-(Data_Val!$M$2*365.25))),0,1),1))</f>
        <v>#REF!</v>
      </c>
      <c r="BK329" s="13" t="e">
        <f>IF(Data!#REF!="","",IF(Data!$G329="",1,IF(ISNUMBER(MATCH(Data!#REF!,Data_Val!$D$2:$D$10,0)),0,1)))</f>
        <v>#REF!</v>
      </c>
    </row>
    <row r="330" spans="1:63" x14ac:dyDescent="0.25">
      <c r="A330" s="9" t="str">
        <f>IF(Data!B330="","",IF(COUNTIFS(Data!A$1:'Data'!A330,Data!A330)&lt;=1,0,1))</f>
        <v/>
      </c>
      <c r="B330" s="9"/>
      <c r="C330" s="23" t="str">
        <f>IF(Data!C330="","",(IF(ISNUMBER(MATCH("*@*.?*",Data!C330,0)),0,1)+IF(COUNTIFS(Data!C$1:'Data'!C330,Data!C330)&gt;1,1,0)))</f>
        <v/>
      </c>
      <c r="D330" s="9" t="str">
        <f>IF(Data!B330="","",IF(ISNUMBER(Data!D330),IF(AND(Data!D330&gt;999999999,Data!D330&lt;=9999999999),IF(COUNTIFS(Data!D$1:'Data'!D330,Data!D330)&lt;=1,0,1),1),1))</f>
        <v/>
      </c>
      <c r="E330" s="9" t="str">
        <f>IF(Data!B330="","",IF(ISNUMBER(MATCH(Data!E330,Data_Val!$A$2:$A$3,0)),0,1))</f>
        <v/>
      </c>
      <c r="F330" s="9" t="str">
        <f ca="1">IF(Data!B330="","",IF(ISNUMBER(Data!F330),IF(AND(Data!F330&gt;(TODAY()-(Data_Val!$H$3*365.25)),Data!F330&lt;=(TODAY()-(Data_Val!$H$2*365.25))),0,1),1))</f>
        <v/>
      </c>
      <c r="G330" s="15" t="str">
        <f>IF(Data!B330="","",IF(AND(Data!G330="",Data!H330&lt;&gt;""),1,IF(Data!#REF!&lt;&gt;"",0,IF(ISNUMBER(MATCH(Data!G330,Data_Val!$C$2:$C$5,0)),0,1))))</f>
        <v/>
      </c>
      <c r="H330" s="15" t="str">
        <f>IF(Data!B330="","",IF(AND(Data!G330&lt;&gt;"",Data!H330=""),1,IF(Data!#REF!&lt;&gt;"",0,IF(Data!G330="",1,IF(ISNUMBER(MATCH(Data!H330,Data_Val!$D$2:$D$35,0)),0,1)))))</f>
        <v/>
      </c>
      <c r="I330" s="15" t="str">
        <f>IF(Data!B330="","",IF(Data!G330&lt;&gt;"",0,IF(ISNUMBER(MATCH(Data!#REF!,Data_Val!$E$2:$E$12,0)),0,1)))</f>
        <v/>
      </c>
      <c r="J330" s="16" t="e">
        <f>IF(OR(Data!B330="",Data!#REF!=""),"",IF(Data!#REF!="",1,0))</f>
        <v>#REF!</v>
      </c>
      <c r="K330" s="16" t="e">
        <f>IF(OR(Data!B330="",Data!#REF!=""),"",IF(Data!#REF!="",1,0))</f>
        <v>#REF!</v>
      </c>
      <c r="L330" s="16" t="e">
        <f>IF(OR(Data!B330="",Data!#REF!=""),"",IF(ISNUMBER(Data!#REF!),IF(AND(Data!#REF!&gt;Data_Val!$G$2,Data!#REF!&lt;=Data_Val!$G$3),0,1),1))</f>
        <v>#REF!</v>
      </c>
      <c r="M330" s="9" t="e">
        <f>IF(OR(Data!B330="",Data!#REF!=""),"",IF(ISNUMBER(MATCH(Data!#REF!,Data_Val!$F$1:$F$38,0)),0,1))</f>
        <v>#REF!</v>
      </c>
      <c r="N330" s="9" t="e">
        <f>IF(OR(Data!B330="",Data!#REF!=""),"",IF(Data!#REF!="",1,0))</f>
        <v>#REF!</v>
      </c>
      <c r="O330" s="17" t="e">
        <f>IF(Data!#REF!="","",IF(Data!#REF!="",1,0))</f>
        <v>#REF!</v>
      </c>
      <c r="P330" s="17" t="e">
        <f>IF(Data!#REF!="","",IF(ISNUMBER(MATCH(Data!#REF!,Data_Val!$A$2:$A$3,0)),0,1))</f>
        <v>#REF!</v>
      </c>
      <c r="Q330" s="25" t="e">
        <f ca="1">IF(Data!#REF!="","",IF(ISNUMBER(Data!#REF!),IF(AND(Data!#REF!&gt;(TODAY()-(Data_Val!$J$3*365.25)),Data!#REF!&lt;=(TODAY()-(Data_Val!$J$2*365.25))),0,1),1))</f>
        <v>#REF!</v>
      </c>
      <c r="R330" s="17" t="e">
        <f>IF(Data!#REF!="","",IF(ISNUMBER(MATCH(Data!#REF!,Data_Val!$B$2:$B$15,0)),0,1))</f>
        <v>#REF!</v>
      </c>
      <c r="S330" s="11" t="str">
        <f>IF(Data!G330="","",IF(Data!G330=Data_Val!$C$2,IF(Data!M330="",0,1),0))</f>
        <v/>
      </c>
      <c r="T330" s="11" t="str">
        <f>IF(Data!M330="","",IF(ISNUMBER(MATCH(Data!N330,Data_Val!$A$2:$A$3,0)),0,1))</f>
        <v/>
      </c>
      <c r="U330" s="11" t="str">
        <f ca="1">IF(Data!M330="","",IF(ISNUMBER(Data!O330),IF(AND(Data!O330&gt;(TODAY()-(Data_Val!$K$3*365.25)),Data!O330&lt;=(TODAY()-(Data_Val!$K$2*365.25))),0,1),1))</f>
        <v/>
      </c>
      <c r="V330" s="12" t="str">
        <f>IF(Data!G330="","",IF(Data!G330=Data_Val!$C$2,IF(Data!P330="",0,1),0))</f>
        <v/>
      </c>
      <c r="W330" s="12" t="str">
        <f>IF(Data!P330="","",IF(ISNUMBER(MATCH(Data!Q330,Data_Val!$A$2:$A$3,0)),0,1))</f>
        <v/>
      </c>
      <c r="X330" s="26" t="str">
        <f ca="1">IF(Data!P330="","",IF(ISNUMBER(Data!R330),IF(AND(Data!R330&gt;(TODAY()-(Data_Val!$L$3*365.25)),Data!R330&lt;=(TODAY()-(Data_Val!$L$2*365.25))),0,1),1))</f>
        <v/>
      </c>
      <c r="Y330" s="13" t="str">
        <f>IF(Data!$G330="","",IF(Data!$G330=Data_Val!$C$2,IF(Data!S330="",0,1),0))</f>
        <v/>
      </c>
      <c r="Z330" s="13" t="str">
        <f>IF(Data!S330="","",IF(ISNUMBER(MATCH(Data!T330,Data_Val!$A$2:$A$3,0)),0,1))</f>
        <v/>
      </c>
      <c r="AA330" s="28" t="str">
        <f ca="1">IF(Data!S330="","",IF(ISNUMBER(Data!U330),IF(AND(Data!U330&gt;(TODAY()-(Data_Val!$L$3*365.25)),Data!U330&lt;=(TODAY()-(Data_Val!$L$2*365.25))),0,1),1))</f>
        <v/>
      </c>
      <c r="AB330" s="11"/>
      <c r="AC330" s="11" t="e">
        <f>IF(Data!#REF!="","",IF(ISNUMBER(MATCH(Data!#REF!,Data_Val!$A$2:$A$3,0)),0,1))</f>
        <v>#REF!</v>
      </c>
      <c r="AD330" s="11" t="e">
        <f ca="1">IF(Data!#REF!="","",IF(ISNUMBER(Data!#REF!),IF(AND(Data!#REF!&gt;(TODAY()-(Data_Val!$L$3*365.25)),Data!#REF!&lt;=(TODAY()-(Data_Val!$L$2*365.25))),0,1),1))</f>
        <v>#REF!</v>
      </c>
      <c r="AE330" s="11" t="e">
        <f>IF(Data!#REF!="","",IF(Data!$G330="",1,IF(ISNUMBER(MATCH(Data!#REF!,Data_Val!$D$2:$D$10,0)),0,1)))</f>
        <v>#REF!</v>
      </c>
      <c r="AF330" s="12"/>
      <c r="AG330" s="12" t="e">
        <f>IF(Data!#REF!="","",IF(ISNUMBER(MATCH(Data!#REF!,Data_Val!$A$2:$A$3,0)),0,1))</f>
        <v>#REF!</v>
      </c>
      <c r="AH330" s="26" t="e">
        <f ca="1">IF(Data!#REF!="","",IF(ISNUMBER(Data!#REF!),IF(AND(Data!#REF!&gt;(TODAY()-(Data_Val!$L$3*365.25)),Data!#REF!&lt;=(TODAY()-(Data_Val!$L$2*365.25))),0,1),1))</f>
        <v>#REF!</v>
      </c>
      <c r="AI330" s="12" t="e">
        <f>IF(Data!#REF!="","",IF(Data!$G330="",1,IF(ISNUMBER(MATCH(Data!#REF!,Data_Val!$D$2:$D$10,0)),0,1)))</f>
        <v>#REF!</v>
      </c>
      <c r="AJ330" s="17"/>
      <c r="AK330" s="17" t="e">
        <f>IF(Data!#REF!="","",IF(ISNUMBER(MATCH(Data!#REF!,Data_Val!$A$2:$A$3,0)),0,1))</f>
        <v>#REF!</v>
      </c>
      <c r="AL330" s="25" t="e">
        <f ca="1">IF(Data!#REF!="","",IF(ISNUMBER(Data!#REF!),IF(AND(Data!#REF!&gt;(TODAY()-(Data_Val!$L$3*365.25)),Data!#REF!&lt;=(TODAY()-(Data_Val!$L$2*365.25))),0,1),1))</f>
        <v>#REF!</v>
      </c>
      <c r="AM330" s="17" t="e">
        <f>IF(Data!#REF!="","",IF(Data!$G330="",1,IF(ISNUMBER(MATCH(Data!#REF!,Data_Val!$D$2:$D$10,0)),0,1)))</f>
        <v>#REF!</v>
      </c>
      <c r="AN330" s="13"/>
      <c r="AO330" s="28" t="e">
        <f ca="1">IF(Data!#REF!="","",IF(ISNUMBER(Data!#REF!),IF(AND(Data!#REF!&gt;(TODAY()-(Data_Val!$I$3*365.25)),Data!#REF!&lt;=(TODAY()-(Data_Val!$I$2*365.25))),0,1),1))</f>
        <v>#REF!</v>
      </c>
      <c r="AP330" s="13" t="e">
        <f>IF(Data!#REF!="","",IF(Data!$G330="",1,IF(ISNUMBER(MATCH(Data!#REF!,Data_Val!$D$2:$D$10,0)),0,1)))</f>
        <v>#REF!</v>
      </c>
      <c r="AQ330" s="17"/>
      <c r="AR330" s="30" t="e">
        <f ca="1">IF(Data!#REF!="","",IF(ISNUMBER(Data!#REF!),IF(AND(Data!#REF!&gt;(TODAY()-(Data_Val!$I$3*365.25)),Data!#REF!&lt;=(TODAY()-(Data_Val!$I$2*365.25))),0,1),1))</f>
        <v>#REF!</v>
      </c>
      <c r="AS330" s="31" t="e">
        <f>IF(Data!#REF!="","",IF(Data!$G330="",1,IF(ISNUMBER(MATCH(Data!#REF!,Data_Val!$D$2:$D$10,0)),0,1)))</f>
        <v>#REF!</v>
      </c>
      <c r="AT330" s="11"/>
      <c r="AU330" s="11" t="e">
        <f ca="1">IF(Data!#REF!="","",IF(ISNUMBER(Data!#REF!),IF(AND(Data!#REF!&gt;(TODAY()-(Data_Val!$I$3*365.25)),Data!#REF!&lt;=(TODAY()-(Data_Val!$I$2*365.25))),0,1),1))</f>
        <v>#REF!</v>
      </c>
      <c r="AV330" s="11" t="e">
        <f>IF(Data!#REF!="","",IF(Data!$G330="",1,IF(ISNUMBER(MATCH(Data!#REF!,Data_Val!$D$2:$D$10,0)),0,1)))</f>
        <v>#REF!</v>
      </c>
      <c r="AW330" s="12"/>
      <c r="AX330" s="26" t="e">
        <f ca="1">IF(Data!#REF!="","",IF(ISNUMBER(Data!#REF!),IF(AND(Data!#REF!&gt;(TODAY()-(Data_Val!$I$3*365.25)),Data!#REF!&lt;=(TODAY()-(Data_Val!$I$2*365.25))),0,1),1))</f>
        <v>#REF!</v>
      </c>
      <c r="AY330" s="12" t="e">
        <f>IF(Data!#REF!="","",IF(Data!$G330="",1,IF(ISNUMBER(MATCH(Data!#REF!,Data_Val!$D$2:$D$10,0)),0,1)))</f>
        <v>#REF!</v>
      </c>
      <c r="AZ330" s="11"/>
      <c r="BA330" s="19" t="e">
        <f ca="1">IF(Data!#REF!="","",IF(ISNUMBER(Data!#REF!),IF(AND(Data!#REF!&gt;(TODAY()-(Data_Val!$M$3*365.25)),Data!#REF!&lt;=(TODAY()-(Data_Val!$M$2*365.25))),0,1),1))</f>
        <v>#REF!</v>
      </c>
      <c r="BB330" s="11" t="e">
        <f>IF(Data!#REF!="","",IF(Data!$G330="",1,IF(ISNUMBER(MATCH(Data!#REF!,Data_Val!$D$2:$D$10,0)),0,1)))</f>
        <v>#REF!</v>
      </c>
      <c r="BC330" s="12"/>
      <c r="BD330" s="20" t="e">
        <f ca="1">IF(Data!#REF!="","",IF(ISNUMBER(Data!#REF!),IF(AND(Data!#REF!&gt;(TODAY()-(Data_Val!$M$3*365.25)),Data!#REF!&lt;=(TODAY()-(Data_Val!$M$2*365.25))),0,1),1))</f>
        <v>#REF!</v>
      </c>
      <c r="BE330" s="12" t="e">
        <f>IF(Data!#REF!="","",IF(Data!$G330="",1,IF(ISNUMBER(MATCH(Data!#REF!,Data_Val!$D$2:$D$10,0)),0,1)))</f>
        <v>#REF!</v>
      </c>
      <c r="BF330" s="17"/>
      <c r="BG330" s="18" t="e">
        <f ca="1">IF(Data!#REF!="","",IF(ISNUMBER(Data!#REF!),IF(AND(Data!#REF!&gt;(TODAY()-(Data_Val!$M$3*365.25)),Data!#REF!&lt;=(TODAY()-(Data_Val!$M$2*365.25))),0,1),1))</f>
        <v>#REF!</v>
      </c>
      <c r="BH330" s="29" t="e">
        <f>IF(Data!#REF!="","",IF(Data!$G330="",1,IF(ISNUMBER(MATCH(Data!#REF!,Data_Val!$D$2:$D$10,0)),0,1)))</f>
        <v>#REF!</v>
      </c>
      <c r="BI330" s="13"/>
      <c r="BJ330" s="21" t="e">
        <f ca="1">IF(Data!#REF!="","",IF(ISNUMBER(Data!#REF!),IF(AND(Data!#REF!&gt;(TODAY()-(Data_Val!$M$3*365.25)),Data!#REF!&lt;=(TODAY()-(Data_Val!$M$2*365.25))),0,1),1))</f>
        <v>#REF!</v>
      </c>
      <c r="BK330" s="13" t="e">
        <f>IF(Data!#REF!="","",IF(Data!$G330="",1,IF(ISNUMBER(MATCH(Data!#REF!,Data_Val!$D$2:$D$10,0)),0,1)))</f>
        <v>#REF!</v>
      </c>
    </row>
    <row r="331" spans="1:63" x14ac:dyDescent="0.25">
      <c r="A331" s="9" t="str">
        <f>IF(Data!B331="","",IF(COUNTIFS(Data!A$1:'Data'!A331,Data!A331)&lt;=1,0,1))</f>
        <v/>
      </c>
      <c r="B331" s="9"/>
      <c r="C331" s="23" t="str">
        <f>IF(Data!C331="","",(IF(ISNUMBER(MATCH("*@*.?*",Data!C331,0)),0,1)+IF(COUNTIFS(Data!C$1:'Data'!C331,Data!C331)&gt;1,1,0)))</f>
        <v/>
      </c>
      <c r="D331" s="9" t="str">
        <f>IF(Data!B331="","",IF(ISNUMBER(Data!D331),IF(AND(Data!D331&gt;999999999,Data!D331&lt;=9999999999),IF(COUNTIFS(Data!D$1:'Data'!D331,Data!D331)&lt;=1,0,1),1),1))</f>
        <v/>
      </c>
      <c r="E331" s="9" t="str">
        <f>IF(Data!B331="","",IF(ISNUMBER(MATCH(Data!E331,Data_Val!$A$2:$A$3,0)),0,1))</f>
        <v/>
      </c>
      <c r="F331" s="9" t="str">
        <f ca="1">IF(Data!B331="","",IF(ISNUMBER(Data!F331),IF(AND(Data!F331&gt;(TODAY()-(Data_Val!$H$3*365.25)),Data!F331&lt;=(TODAY()-(Data_Val!$H$2*365.25))),0,1),1))</f>
        <v/>
      </c>
      <c r="G331" s="15" t="str">
        <f>IF(Data!B331="","",IF(AND(Data!G331="",Data!H331&lt;&gt;""),1,IF(Data!#REF!&lt;&gt;"",0,IF(ISNUMBER(MATCH(Data!G331,Data_Val!$C$2:$C$5,0)),0,1))))</f>
        <v/>
      </c>
      <c r="H331" s="15" t="str">
        <f>IF(Data!B331="","",IF(AND(Data!G331&lt;&gt;"",Data!H331=""),1,IF(Data!#REF!&lt;&gt;"",0,IF(Data!G331="",1,IF(ISNUMBER(MATCH(Data!H331,Data_Val!$D$2:$D$35,0)),0,1)))))</f>
        <v/>
      </c>
      <c r="I331" s="15" t="str">
        <f>IF(Data!B331="","",IF(Data!G331&lt;&gt;"",0,IF(ISNUMBER(MATCH(Data!#REF!,Data_Val!$E$2:$E$12,0)),0,1)))</f>
        <v/>
      </c>
      <c r="J331" s="16" t="e">
        <f>IF(OR(Data!B331="",Data!#REF!=""),"",IF(Data!#REF!="",1,0))</f>
        <v>#REF!</v>
      </c>
      <c r="K331" s="16" t="e">
        <f>IF(OR(Data!B331="",Data!#REF!=""),"",IF(Data!#REF!="",1,0))</f>
        <v>#REF!</v>
      </c>
      <c r="L331" s="16" t="e">
        <f>IF(OR(Data!B331="",Data!#REF!=""),"",IF(ISNUMBER(Data!#REF!),IF(AND(Data!#REF!&gt;Data_Val!$G$2,Data!#REF!&lt;=Data_Val!$G$3),0,1),1))</f>
        <v>#REF!</v>
      </c>
      <c r="M331" s="9" t="e">
        <f>IF(OR(Data!B331="",Data!#REF!=""),"",IF(ISNUMBER(MATCH(Data!#REF!,Data_Val!$F$1:$F$38,0)),0,1))</f>
        <v>#REF!</v>
      </c>
      <c r="N331" s="9" t="e">
        <f>IF(OR(Data!B331="",Data!#REF!=""),"",IF(Data!#REF!="",1,0))</f>
        <v>#REF!</v>
      </c>
      <c r="O331" s="17" t="e">
        <f>IF(Data!#REF!="","",IF(Data!#REF!="",1,0))</f>
        <v>#REF!</v>
      </c>
      <c r="P331" s="17" t="e">
        <f>IF(Data!#REF!="","",IF(ISNUMBER(MATCH(Data!#REF!,Data_Val!$A$2:$A$3,0)),0,1))</f>
        <v>#REF!</v>
      </c>
      <c r="Q331" s="25" t="e">
        <f ca="1">IF(Data!#REF!="","",IF(ISNUMBER(Data!#REF!),IF(AND(Data!#REF!&gt;(TODAY()-(Data_Val!$J$3*365.25)),Data!#REF!&lt;=(TODAY()-(Data_Val!$J$2*365.25))),0,1),1))</f>
        <v>#REF!</v>
      </c>
      <c r="R331" s="17" t="e">
        <f>IF(Data!#REF!="","",IF(ISNUMBER(MATCH(Data!#REF!,Data_Val!$B$2:$B$15,0)),0,1))</f>
        <v>#REF!</v>
      </c>
      <c r="S331" s="11" t="str">
        <f>IF(Data!G331="","",IF(Data!G331=Data_Val!$C$2,IF(Data!M331="",0,1),0))</f>
        <v/>
      </c>
      <c r="T331" s="11" t="str">
        <f>IF(Data!M331="","",IF(ISNUMBER(MATCH(Data!N331,Data_Val!$A$2:$A$3,0)),0,1))</f>
        <v/>
      </c>
      <c r="U331" s="11" t="str">
        <f ca="1">IF(Data!M331="","",IF(ISNUMBER(Data!O331),IF(AND(Data!O331&gt;(TODAY()-(Data_Val!$K$3*365.25)),Data!O331&lt;=(TODAY()-(Data_Val!$K$2*365.25))),0,1),1))</f>
        <v/>
      </c>
      <c r="V331" s="12" t="str">
        <f>IF(Data!G331="","",IF(Data!G331=Data_Val!$C$2,IF(Data!P331="",0,1),0))</f>
        <v/>
      </c>
      <c r="W331" s="12" t="str">
        <f>IF(Data!P331="","",IF(ISNUMBER(MATCH(Data!Q331,Data_Val!$A$2:$A$3,0)),0,1))</f>
        <v/>
      </c>
      <c r="X331" s="26" t="str">
        <f ca="1">IF(Data!P331="","",IF(ISNUMBER(Data!R331),IF(AND(Data!R331&gt;(TODAY()-(Data_Val!$L$3*365.25)),Data!R331&lt;=(TODAY()-(Data_Val!$L$2*365.25))),0,1),1))</f>
        <v/>
      </c>
      <c r="Y331" s="13" t="str">
        <f>IF(Data!$G331="","",IF(Data!$G331=Data_Val!$C$2,IF(Data!S331="",0,1),0))</f>
        <v/>
      </c>
      <c r="Z331" s="13" t="str">
        <f>IF(Data!S331="","",IF(ISNUMBER(MATCH(Data!T331,Data_Val!$A$2:$A$3,0)),0,1))</f>
        <v/>
      </c>
      <c r="AA331" s="28" t="str">
        <f ca="1">IF(Data!S331="","",IF(ISNUMBER(Data!U331),IF(AND(Data!U331&gt;(TODAY()-(Data_Val!$L$3*365.25)),Data!U331&lt;=(TODAY()-(Data_Val!$L$2*365.25))),0,1),1))</f>
        <v/>
      </c>
      <c r="AB331" s="11"/>
      <c r="AC331" s="11" t="e">
        <f>IF(Data!#REF!="","",IF(ISNUMBER(MATCH(Data!#REF!,Data_Val!$A$2:$A$3,0)),0,1))</f>
        <v>#REF!</v>
      </c>
      <c r="AD331" s="11" t="e">
        <f ca="1">IF(Data!#REF!="","",IF(ISNUMBER(Data!#REF!),IF(AND(Data!#REF!&gt;(TODAY()-(Data_Val!$L$3*365.25)),Data!#REF!&lt;=(TODAY()-(Data_Val!$L$2*365.25))),0,1),1))</f>
        <v>#REF!</v>
      </c>
      <c r="AE331" s="11" t="e">
        <f>IF(Data!#REF!="","",IF(Data!$G331="",1,IF(ISNUMBER(MATCH(Data!#REF!,Data_Val!$D$2:$D$10,0)),0,1)))</f>
        <v>#REF!</v>
      </c>
      <c r="AF331" s="12"/>
      <c r="AG331" s="12" t="e">
        <f>IF(Data!#REF!="","",IF(ISNUMBER(MATCH(Data!#REF!,Data_Val!$A$2:$A$3,0)),0,1))</f>
        <v>#REF!</v>
      </c>
      <c r="AH331" s="26" t="e">
        <f ca="1">IF(Data!#REF!="","",IF(ISNUMBER(Data!#REF!),IF(AND(Data!#REF!&gt;(TODAY()-(Data_Val!$L$3*365.25)),Data!#REF!&lt;=(TODAY()-(Data_Val!$L$2*365.25))),0,1),1))</f>
        <v>#REF!</v>
      </c>
      <c r="AI331" s="12" t="e">
        <f>IF(Data!#REF!="","",IF(Data!$G331="",1,IF(ISNUMBER(MATCH(Data!#REF!,Data_Val!$D$2:$D$10,0)),0,1)))</f>
        <v>#REF!</v>
      </c>
      <c r="AJ331" s="17"/>
      <c r="AK331" s="17" t="e">
        <f>IF(Data!#REF!="","",IF(ISNUMBER(MATCH(Data!#REF!,Data_Val!$A$2:$A$3,0)),0,1))</f>
        <v>#REF!</v>
      </c>
      <c r="AL331" s="25" t="e">
        <f ca="1">IF(Data!#REF!="","",IF(ISNUMBER(Data!#REF!),IF(AND(Data!#REF!&gt;(TODAY()-(Data_Val!$L$3*365.25)),Data!#REF!&lt;=(TODAY()-(Data_Val!$L$2*365.25))),0,1),1))</f>
        <v>#REF!</v>
      </c>
      <c r="AM331" s="17" t="e">
        <f>IF(Data!#REF!="","",IF(Data!$G331="",1,IF(ISNUMBER(MATCH(Data!#REF!,Data_Val!$D$2:$D$10,0)),0,1)))</f>
        <v>#REF!</v>
      </c>
      <c r="AN331" s="13"/>
      <c r="AO331" s="28" t="e">
        <f ca="1">IF(Data!#REF!="","",IF(ISNUMBER(Data!#REF!),IF(AND(Data!#REF!&gt;(TODAY()-(Data_Val!$I$3*365.25)),Data!#REF!&lt;=(TODAY()-(Data_Val!$I$2*365.25))),0,1),1))</f>
        <v>#REF!</v>
      </c>
      <c r="AP331" s="13" t="e">
        <f>IF(Data!#REF!="","",IF(Data!$G331="",1,IF(ISNUMBER(MATCH(Data!#REF!,Data_Val!$D$2:$D$10,0)),0,1)))</f>
        <v>#REF!</v>
      </c>
      <c r="AQ331" s="17"/>
      <c r="AR331" s="30" t="e">
        <f ca="1">IF(Data!#REF!="","",IF(ISNUMBER(Data!#REF!),IF(AND(Data!#REF!&gt;(TODAY()-(Data_Val!$I$3*365.25)),Data!#REF!&lt;=(TODAY()-(Data_Val!$I$2*365.25))),0,1),1))</f>
        <v>#REF!</v>
      </c>
      <c r="AS331" s="31" t="e">
        <f>IF(Data!#REF!="","",IF(Data!$G331="",1,IF(ISNUMBER(MATCH(Data!#REF!,Data_Val!$D$2:$D$10,0)),0,1)))</f>
        <v>#REF!</v>
      </c>
      <c r="AT331" s="11"/>
      <c r="AU331" s="11" t="e">
        <f ca="1">IF(Data!#REF!="","",IF(ISNUMBER(Data!#REF!),IF(AND(Data!#REF!&gt;(TODAY()-(Data_Val!$I$3*365.25)),Data!#REF!&lt;=(TODAY()-(Data_Val!$I$2*365.25))),0,1),1))</f>
        <v>#REF!</v>
      </c>
      <c r="AV331" s="11" t="e">
        <f>IF(Data!#REF!="","",IF(Data!$G331="",1,IF(ISNUMBER(MATCH(Data!#REF!,Data_Val!$D$2:$D$10,0)),0,1)))</f>
        <v>#REF!</v>
      </c>
      <c r="AW331" s="12"/>
      <c r="AX331" s="26" t="e">
        <f ca="1">IF(Data!#REF!="","",IF(ISNUMBER(Data!#REF!),IF(AND(Data!#REF!&gt;(TODAY()-(Data_Val!$I$3*365.25)),Data!#REF!&lt;=(TODAY()-(Data_Val!$I$2*365.25))),0,1),1))</f>
        <v>#REF!</v>
      </c>
      <c r="AY331" s="12" t="e">
        <f>IF(Data!#REF!="","",IF(Data!$G331="",1,IF(ISNUMBER(MATCH(Data!#REF!,Data_Val!$D$2:$D$10,0)),0,1)))</f>
        <v>#REF!</v>
      </c>
      <c r="AZ331" s="11"/>
      <c r="BA331" s="19" t="e">
        <f ca="1">IF(Data!#REF!="","",IF(ISNUMBER(Data!#REF!),IF(AND(Data!#REF!&gt;(TODAY()-(Data_Val!$M$3*365.25)),Data!#REF!&lt;=(TODAY()-(Data_Val!$M$2*365.25))),0,1),1))</f>
        <v>#REF!</v>
      </c>
      <c r="BB331" s="11" t="e">
        <f>IF(Data!#REF!="","",IF(Data!$G331="",1,IF(ISNUMBER(MATCH(Data!#REF!,Data_Val!$D$2:$D$10,0)),0,1)))</f>
        <v>#REF!</v>
      </c>
      <c r="BC331" s="12"/>
      <c r="BD331" s="20" t="e">
        <f ca="1">IF(Data!#REF!="","",IF(ISNUMBER(Data!#REF!),IF(AND(Data!#REF!&gt;(TODAY()-(Data_Val!$M$3*365.25)),Data!#REF!&lt;=(TODAY()-(Data_Val!$M$2*365.25))),0,1),1))</f>
        <v>#REF!</v>
      </c>
      <c r="BE331" s="12" t="e">
        <f>IF(Data!#REF!="","",IF(Data!$G331="",1,IF(ISNUMBER(MATCH(Data!#REF!,Data_Val!$D$2:$D$10,0)),0,1)))</f>
        <v>#REF!</v>
      </c>
      <c r="BF331" s="17"/>
      <c r="BG331" s="18" t="e">
        <f ca="1">IF(Data!#REF!="","",IF(ISNUMBER(Data!#REF!),IF(AND(Data!#REF!&gt;(TODAY()-(Data_Val!$M$3*365.25)),Data!#REF!&lt;=(TODAY()-(Data_Val!$M$2*365.25))),0,1),1))</f>
        <v>#REF!</v>
      </c>
      <c r="BH331" s="29" t="e">
        <f>IF(Data!#REF!="","",IF(Data!$G331="",1,IF(ISNUMBER(MATCH(Data!#REF!,Data_Val!$D$2:$D$10,0)),0,1)))</f>
        <v>#REF!</v>
      </c>
      <c r="BI331" s="13"/>
      <c r="BJ331" s="21" t="e">
        <f ca="1">IF(Data!#REF!="","",IF(ISNUMBER(Data!#REF!),IF(AND(Data!#REF!&gt;(TODAY()-(Data_Val!$M$3*365.25)),Data!#REF!&lt;=(TODAY()-(Data_Val!$M$2*365.25))),0,1),1))</f>
        <v>#REF!</v>
      </c>
      <c r="BK331" s="13" t="e">
        <f>IF(Data!#REF!="","",IF(Data!$G331="",1,IF(ISNUMBER(MATCH(Data!#REF!,Data_Val!$D$2:$D$10,0)),0,1)))</f>
        <v>#REF!</v>
      </c>
    </row>
    <row r="332" spans="1:63" x14ac:dyDescent="0.25">
      <c r="A332" s="9" t="str">
        <f>IF(Data!B332="","",IF(COUNTIFS(Data!A$1:'Data'!A332,Data!A332)&lt;=1,0,1))</f>
        <v/>
      </c>
      <c r="B332" s="9"/>
      <c r="C332" s="23" t="str">
        <f>IF(Data!C332="","",(IF(ISNUMBER(MATCH("*@*.?*",Data!C332,0)),0,1)+IF(COUNTIFS(Data!C$1:'Data'!C332,Data!C332)&gt;1,1,0)))</f>
        <v/>
      </c>
      <c r="D332" s="9" t="str">
        <f>IF(Data!B332="","",IF(ISNUMBER(Data!D332),IF(AND(Data!D332&gt;999999999,Data!D332&lt;=9999999999),IF(COUNTIFS(Data!D$1:'Data'!D332,Data!D332)&lt;=1,0,1),1),1))</f>
        <v/>
      </c>
      <c r="E332" s="9" t="str">
        <f>IF(Data!B332="","",IF(ISNUMBER(MATCH(Data!E332,Data_Val!$A$2:$A$3,0)),0,1))</f>
        <v/>
      </c>
      <c r="F332" s="9" t="str">
        <f ca="1">IF(Data!B332="","",IF(ISNUMBER(Data!F332),IF(AND(Data!F332&gt;(TODAY()-(Data_Val!$H$3*365.25)),Data!F332&lt;=(TODAY()-(Data_Val!$H$2*365.25))),0,1),1))</f>
        <v/>
      </c>
      <c r="G332" s="15" t="str">
        <f>IF(Data!B332="","",IF(AND(Data!G332="",Data!H332&lt;&gt;""),1,IF(Data!#REF!&lt;&gt;"",0,IF(ISNUMBER(MATCH(Data!G332,Data_Val!$C$2:$C$5,0)),0,1))))</f>
        <v/>
      </c>
      <c r="H332" s="15" t="str">
        <f>IF(Data!B332="","",IF(AND(Data!G332&lt;&gt;"",Data!H332=""),1,IF(Data!#REF!&lt;&gt;"",0,IF(Data!G332="",1,IF(ISNUMBER(MATCH(Data!H332,Data_Val!$D$2:$D$35,0)),0,1)))))</f>
        <v/>
      </c>
      <c r="I332" s="15" t="str">
        <f>IF(Data!B332="","",IF(Data!G332&lt;&gt;"",0,IF(ISNUMBER(MATCH(Data!#REF!,Data_Val!$E$2:$E$12,0)),0,1)))</f>
        <v/>
      </c>
      <c r="J332" s="16" t="e">
        <f>IF(OR(Data!B332="",Data!#REF!=""),"",IF(Data!#REF!="",1,0))</f>
        <v>#REF!</v>
      </c>
      <c r="K332" s="16" t="e">
        <f>IF(OR(Data!B332="",Data!#REF!=""),"",IF(Data!#REF!="",1,0))</f>
        <v>#REF!</v>
      </c>
      <c r="L332" s="16" t="e">
        <f>IF(OR(Data!B332="",Data!#REF!=""),"",IF(ISNUMBER(Data!#REF!),IF(AND(Data!#REF!&gt;Data_Val!$G$2,Data!#REF!&lt;=Data_Val!$G$3),0,1),1))</f>
        <v>#REF!</v>
      </c>
      <c r="M332" s="9" t="e">
        <f>IF(OR(Data!B332="",Data!#REF!=""),"",IF(ISNUMBER(MATCH(Data!#REF!,Data_Val!$F$1:$F$38,0)),0,1))</f>
        <v>#REF!</v>
      </c>
      <c r="N332" s="9" t="e">
        <f>IF(OR(Data!B332="",Data!#REF!=""),"",IF(Data!#REF!="",1,0))</f>
        <v>#REF!</v>
      </c>
      <c r="O332" s="17" t="e">
        <f>IF(Data!#REF!="","",IF(Data!#REF!="",1,0))</f>
        <v>#REF!</v>
      </c>
      <c r="P332" s="17" t="e">
        <f>IF(Data!#REF!="","",IF(ISNUMBER(MATCH(Data!#REF!,Data_Val!$A$2:$A$3,0)),0,1))</f>
        <v>#REF!</v>
      </c>
      <c r="Q332" s="25" t="e">
        <f ca="1">IF(Data!#REF!="","",IF(ISNUMBER(Data!#REF!),IF(AND(Data!#REF!&gt;(TODAY()-(Data_Val!$J$3*365.25)),Data!#REF!&lt;=(TODAY()-(Data_Val!$J$2*365.25))),0,1),1))</f>
        <v>#REF!</v>
      </c>
      <c r="R332" s="17" t="e">
        <f>IF(Data!#REF!="","",IF(ISNUMBER(MATCH(Data!#REF!,Data_Val!$B$2:$B$15,0)),0,1))</f>
        <v>#REF!</v>
      </c>
      <c r="S332" s="11" t="str">
        <f>IF(Data!G332="","",IF(Data!G332=Data_Val!$C$2,IF(Data!M332="",0,1),0))</f>
        <v/>
      </c>
      <c r="T332" s="11" t="str">
        <f>IF(Data!M332="","",IF(ISNUMBER(MATCH(Data!N332,Data_Val!$A$2:$A$3,0)),0,1))</f>
        <v/>
      </c>
      <c r="U332" s="11" t="str">
        <f ca="1">IF(Data!M332="","",IF(ISNUMBER(Data!O332),IF(AND(Data!O332&gt;(TODAY()-(Data_Val!$K$3*365.25)),Data!O332&lt;=(TODAY()-(Data_Val!$K$2*365.25))),0,1),1))</f>
        <v/>
      </c>
      <c r="V332" s="12" t="str">
        <f>IF(Data!G332="","",IF(Data!G332=Data_Val!$C$2,IF(Data!P332="",0,1),0))</f>
        <v/>
      </c>
      <c r="W332" s="12" t="str">
        <f>IF(Data!P332="","",IF(ISNUMBER(MATCH(Data!Q332,Data_Val!$A$2:$A$3,0)),0,1))</f>
        <v/>
      </c>
      <c r="X332" s="26" t="str">
        <f ca="1">IF(Data!P332="","",IF(ISNUMBER(Data!R332),IF(AND(Data!R332&gt;(TODAY()-(Data_Val!$L$3*365.25)),Data!R332&lt;=(TODAY()-(Data_Val!$L$2*365.25))),0,1),1))</f>
        <v/>
      </c>
      <c r="Y332" s="13" t="str">
        <f>IF(Data!$G332="","",IF(Data!$G332=Data_Val!$C$2,IF(Data!S332="",0,1),0))</f>
        <v/>
      </c>
      <c r="Z332" s="13" t="str">
        <f>IF(Data!S332="","",IF(ISNUMBER(MATCH(Data!T332,Data_Val!$A$2:$A$3,0)),0,1))</f>
        <v/>
      </c>
      <c r="AA332" s="28" t="str">
        <f ca="1">IF(Data!S332="","",IF(ISNUMBER(Data!U332),IF(AND(Data!U332&gt;(TODAY()-(Data_Val!$L$3*365.25)),Data!U332&lt;=(TODAY()-(Data_Val!$L$2*365.25))),0,1),1))</f>
        <v/>
      </c>
      <c r="AB332" s="11"/>
      <c r="AC332" s="11" t="e">
        <f>IF(Data!#REF!="","",IF(ISNUMBER(MATCH(Data!#REF!,Data_Val!$A$2:$A$3,0)),0,1))</f>
        <v>#REF!</v>
      </c>
      <c r="AD332" s="11" t="e">
        <f ca="1">IF(Data!#REF!="","",IF(ISNUMBER(Data!#REF!),IF(AND(Data!#REF!&gt;(TODAY()-(Data_Val!$L$3*365.25)),Data!#REF!&lt;=(TODAY()-(Data_Val!$L$2*365.25))),0,1),1))</f>
        <v>#REF!</v>
      </c>
      <c r="AE332" s="11" t="e">
        <f>IF(Data!#REF!="","",IF(Data!$G332="",1,IF(ISNUMBER(MATCH(Data!#REF!,Data_Val!$D$2:$D$10,0)),0,1)))</f>
        <v>#REF!</v>
      </c>
      <c r="AF332" s="12"/>
      <c r="AG332" s="12" t="e">
        <f>IF(Data!#REF!="","",IF(ISNUMBER(MATCH(Data!#REF!,Data_Val!$A$2:$A$3,0)),0,1))</f>
        <v>#REF!</v>
      </c>
      <c r="AH332" s="26" t="e">
        <f ca="1">IF(Data!#REF!="","",IF(ISNUMBER(Data!#REF!),IF(AND(Data!#REF!&gt;(TODAY()-(Data_Val!$L$3*365.25)),Data!#REF!&lt;=(TODAY()-(Data_Val!$L$2*365.25))),0,1),1))</f>
        <v>#REF!</v>
      </c>
      <c r="AI332" s="12" t="e">
        <f>IF(Data!#REF!="","",IF(Data!$G332="",1,IF(ISNUMBER(MATCH(Data!#REF!,Data_Val!$D$2:$D$10,0)),0,1)))</f>
        <v>#REF!</v>
      </c>
      <c r="AJ332" s="17"/>
      <c r="AK332" s="17" t="e">
        <f>IF(Data!#REF!="","",IF(ISNUMBER(MATCH(Data!#REF!,Data_Val!$A$2:$A$3,0)),0,1))</f>
        <v>#REF!</v>
      </c>
      <c r="AL332" s="25" t="e">
        <f ca="1">IF(Data!#REF!="","",IF(ISNUMBER(Data!#REF!),IF(AND(Data!#REF!&gt;(TODAY()-(Data_Val!$L$3*365.25)),Data!#REF!&lt;=(TODAY()-(Data_Val!$L$2*365.25))),0,1),1))</f>
        <v>#REF!</v>
      </c>
      <c r="AM332" s="17" t="e">
        <f>IF(Data!#REF!="","",IF(Data!$G332="",1,IF(ISNUMBER(MATCH(Data!#REF!,Data_Val!$D$2:$D$10,0)),0,1)))</f>
        <v>#REF!</v>
      </c>
      <c r="AN332" s="13"/>
      <c r="AO332" s="28" t="e">
        <f ca="1">IF(Data!#REF!="","",IF(ISNUMBER(Data!#REF!),IF(AND(Data!#REF!&gt;(TODAY()-(Data_Val!$I$3*365.25)),Data!#REF!&lt;=(TODAY()-(Data_Val!$I$2*365.25))),0,1),1))</f>
        <v>#REF!</v>
      </c>
      <c r="AP332" s="13" t="e">
        <f>IF(Data!#REF!="","",IF(Data!$G332="",1,IF(ISNUMBER(MATCH(Data!#REF!,Data_Val!$D$2:$D$10,0)),0,1)))</f>
        <v>#REF!</v>
      </c>
      <c r="AQ332" s="17"/>
      <c r="AR332" s="30" t="e">
        <f ca="1">IF(Data!#REF!="","",IF(ISNUMBER(Data!#REF!),IF(AND(Data!#REF!&gt;(TODAY()-(Data_Val!$I$3*365.25)),Data!#REF!&lt;=(TODAY()-(Data_Val!$I$2*365.25))),0,1),1))</f>
        <v>#REF!</v>
      </c>
      <c r="AS332" s="31" t="e">
        <f>IF(Data!#REF!="","",IF(Data!$G332="",1,IF(ISNUMBER(MATCH(Data!#REF!,Data_Val!$D$2:$D$10,0)),0,1)))</f>
        <v>#REF!</v>
      </c>
      <c r="AT332" s="11"/>
      <c r="AU332" s="11" t="e">
        <f ca="1">IF(Data!#REF!="","",IF(ISNUMBER(Data!#REF!),IF(AND(Data!#REF!&gt;(TODAY()-(Data_Val!$I$3*365.25)),Data!#REF!&lt;=(TODAY()-(Data_Val!$I$2*365.25))),0,1),1))</f>
        <v>#REF!</v>
      </c>
      <c r="AV332" s="11" t="e">
        <f>IF(Data!#REF!="","",IF(Data!$G332="",1,IF(ISNUMBER(MATCH(Data!#REF!,Data_Val!$D$2:$D$10,0)),0,1)))</f>
        <v>#REF!</v>
      </c>
      <c r="AW332" s="12"/>
      <c r="AX332" s="26" t="e">
        <f ca="1">IF(Data!#REF!="","",IF(ISNUMBER(Data!#REF!),IF(AND(Data!#REF!&gt;(TODAY()-(Data_Val!$I$3*365.25)),Data!#REF!&lt;=(TODAY()-(Data_Val!$I$2*365.25))),0,1),1))</f>
        <v>#REF!</v>
      </c>
      <c r="AY332" s="12" t="e">
        <f>IF(Data!#REF!="","",IF(Data!$G332="",1,IF(ISNUMBER(MATCH(Data!#REF!,Data_Val!$D$2:$D$10,0)),0,1)))</f>
        <v>#REF!</v>
      </c>
      <c r="AZ332" s="11"/>
      <c r="BA332" s="19" t="e">
        <f ca="1">IF(Data!#REF!="","",IF(ISNUMBER(Data!#REF!),IF(AND(Data!#REF!&gt;(TODAY()-(Data_Val!$M$3*365.25)),Data!#REF!&lt;=(TODAY()-(Data_Val!$M$2*365.25))),0,1),1))</f>
        <v>#REF!</v>
      </c>
      <c r="BB332" s="11" t="e">
        <f>IF(Data!#REF!="","",IF(Data!$G332="",1,IF(ISNUMBER(MATCH(Data!#REF!,Data_Val!$D$2:$D$10,0)),0,1)))</f>
        <v>#REF!</v>
      </c>
      <c r="BC332" s="12"/>
      <c r="BD332" s="20" t="e">
        <f ca="1">IF(Data!#REF!="","",IF(ISNUMBER(Data!#REF!),IF(AND(Data!#REF!&gt;(TODAY()-(Data_Val!$M$3*365.25)),Data!#REF!&lt;=(TODAY()-(Data_Val!$M$2*365.25))),0,1),1))</f>
        <v>#REF!</v>
      </c>
      <c r="BE332" s="12" t="e">
        <f>IF(Data!#REF!="","",IF(Data!$G332="",1,IF(ISNUMBER(MATCH(Data!#REF!,Data_Val!$D$2:$D$10,0)),0,1)))</f>
        <v>#REF!</v>
      </c>
      <c r="BF332" s="17"/>
      <c r="BG332" s="18" t="e">
        <f ca="1">IF(Data!#REF!="","",IF(ISNUMBER(Data!#REF!),IF(AND(Data!#REF!&gt;(TODAY()-(Data_Val!$M$3*365.25)),Data!#REF!&lt;=(TODAY()-(Data_Val!$M$2*365.25))),0,1),1))</f>
        <v>#REF!</v>
      </c>
      <c r="BH332" s="29" t="e">
        <f>IF(Data!#REF!="","",IF(Data!$G332="",1,IF(ISNUMBER(MATCH(Data!#REF!,Data_Val!$D$2:$D$10,0)),0,1)))</f>
        <v>#REF!</v>
      </c>
      <c r="BI332" s="13"/>
      <c r="BJ332" s="21" t="e">
        <f ca="1">IF(Data!#REF!="","",IF(ISNUMBER(Data!#REF!),IF(AND(Data!#REF!&gt;(TODAY()-(Data_Val!$M$3*365.25)),Data!#REF!&lt;=(TODAY()-(Data_Val!$M$2*365.25))),0,1),1))</f>
        <v>#REF!</v>
      </c>
      <c r="BK332" s="13" t="e">
        <f>IF(Data!#REF!="","",IF(Data!$G332="",1,IF(ISNUMBER(MATCH(Data!#REF!,Data_Val!$D$2:$D$10,0)),0,1)))</f>
        <v>#REF!</v>
      </c>
    </row>
    <row r="333" spans="1:63" x14ac:dyDescent="0.25">
      <c r="A333" s="9" t="str">
        <f>IF(Data!B333="","",IF(COUNTIFS(Data!A$1:'Data'!A333,Data!A333)&lt;=1,0,1))</f>
        <v/>
      </c>
      <c r="B333" s="9"/>
      <c r="C333" s="23" t="str">
        <f>IF(Data!C333="","",(IF(ISNUMBER(MATCH("*@*.?*",Data!C333,0)),0,1)+IF(COUNTIFS(Data!C$1:'Data'!C333,Data!C333)&gt;1,1,0)))</f>
        <v/>
      </c>
      <c r="D333" s="9" t="str">
        <f>IF(Data!B333="","",IF(ISNUMBER(Data!D333),IF(AND(Data!D333&gt;999999999,Data!D333&lt;=9999999999),IF(COUNTIFS(Data!D$1:'Data'!D333,Data!D333)&lt;=1,0,1),1),1))</f>
        <v/>
      </c>
      <c r="E333" s="9" t="str">
        <f>IF(Data!B333="","",IF(ISNUMBER(MATCH(Data!E333,Data_Val!$A$2:$A$3,0)),0,1))</f>
        <v/>
      </c>
      <c r="F333" s="9" t="str">
        <f ca="1">IF(Data!B333="","",IF(ISNUMBER(Data!F333),IF(AND(Data!F333&gt;(TODAY()-(Data_Val!$H$3*365.25)),Data!F333&lt;=(TODAY()-(Data_Val!$H$2*365.25))),0,1),1))</f>
        <v/>
      </c>
      <c r="G333" s="15" t="str">
        <f>IF(Data!B333="","",IF(AND(Data!G333="",Data!H333&lt;&gt;""),1,IF(Data!#REF!&lt;&gt;"",0,IF(ISNUMBER(MATCH(Data!G333,Data_Val!$C$2:$C$5,0)),0,1))))</f>
        <v/>
      </c>
      <c r="H333" s="15" t="str">
        <f>IF(Data!B333="","",IF(AND(Data!G333&lt;&gt;"",Data!H333=""),1,IF(Data!#REF!&lt;&gt;"",0,IF(Data!G333="",1,IF(ISNUMBER(MATCH(Data!H333,Data_Val!$D$2:$D$35,0)),0,1)))))</f>
        <v/>
      </c>
      <c r="I333" s="15" t="str">
        <f>IF(Data!B333="","",IF(Data!G333&lt;&gt;"",0,IF(ISNUMBER(MATCH(Data!#REF!,Data_Val!$E$2:$E$12,0)),0,1)))</f>
        <v/>
      </c>
      <c r="J333" s="16" t="e">
        <f>IF(OR(Data!B333="",Data!#REF!=""),"",IF(Data!#REF!="",1,0))</f>
        <v>#REF!</v>
      </c>
      <c r="K333" s="16" t="e">
        <f>IF(OR(Data!B333="",Data!#REF!=""),"",IF(Data!#REF!="",1,0))</f>
        <v>#REF!</v>
      </c>
      <c r="L333" s="16" t="e">
        <f>IF(OR(Data!B333="",Data!#REF!=""),"",IF(ISNUMBER(Data!#REF!),IF(AND(Data!#REF!&gt;Data_Val!$G$2,Data!#REF!&lt;=Data_Val!$G$3),0,1),1))</f>
        <v>#REF!</v>
      </c>
      <c r="M333" s="9" t="e">
        <f>IF(OR(Data!B333="",Data!#REF!=""),"",IF(ISNUMBER(MATCH(Data!#REF!,Data_Val!$F$1:$F$38,0)),0,1))</f>
        <v>#REF!</v>
      </c>
      <c r="N333" s="9" t="e">
        <f>IF(OR(Data!B333="",Data!#REF!=""),"",IF(Data!#REF!="",1,0))</f>
        <v>#REF!</v>
      </c>
      <c r="O333" s="17" t="e">
        <f>IF(Data!#REF!="","",IF(Data!#REF!="",1,0))</f>
        <v>#REF!</v>
      </c>
      <c r="P333" s="17" t="e">
        <f>IF(Data!#REF!="","",IF(ISNUMBER(MATCH(Data!#REF!,Data_Val!$A$2:$A$3,0)),0,1))</f>
        <v>#REF!</v>
      </c>
      <c r="Q333" s="25" t="e">
        <f ca="1">IF(Data!#REF!="","",IF(ISNUMBER(Data!#REF!),IF(AND(Data!#REF!&gt;(TODAY()-(Data_Val!$J$3*365.25)),Data!#REF!&lt;=(TODAY()-(Data_Val!$J$2*365.25))),0,1),1))</f>
        <v>#REF!</v>
      </c>
      <c r="R333" s="17" t="e">
        <f>IF(Data!#REF!="","",IF(ISNUMBER(MATCH(Data!#REF!,Data_Val!$B$2:$B$15,0)),0,1))</f>
        <v>#REF!</v>
      </c>
      <c r="S333" s="11" t="str">
        <f>IF(Data!G333="","",IF(Data!G333=Data_Val!$C$2,IF(Data!M333="",0,1),0))</f>
        <v/>
      </c>
      <c r="T333" s="11" t="str">
        <f>IF(Data!M333="","",IF(ISNUMBER(MATCH(Data!N333,Data_Val!$A$2:$A$3,0)),0,1))</f>
        <v/>
      </c>
      <c r="U333" s="11" t="str">
        <f ca="1">IF(Data!M333="","",IF(ISNUMBER(Data!O333),IF(AND(Data!O333&gt;(TODAY()-(Data_Val!$K$3*365.25)),Data!O333&lt;=(TODAY()-(Data_Val!$K$2*365.25))),0,1),1))</f>
        <v/>
      </c>
      <c r="V333" s="12" t="str">
        <f>IF(Data!G333="","",IF(Data!G333=Data_Val!$C$2,IF(Data!P333="",0,1),0))</f>
        <v/>
      </c>
      <c r="W333" s="12" t="str">
        <f>IF(Data!P333="","",IF(ISNUMBER(MATCH(Data!Q333,Data_Val!$A$2:$A$3,0)),0,1))</f>
        <v/>
      </c>
      <c r="X333" s="26" t="str">
        <f ca="1">IF(Data!P333="","",IF(ISNUMBER(Data!R333),IF(AND(Data!R333&gt;(TODAY()-(Data_Val!$L$3*365.25)),Data!R333&lt;=(TODAY()-(Data_Val!$L$2*365.25))),0,1),1))</f>
        <v/>
      </c>
      <c r="Y333" s="13" t="str">
        <f>IF(Data!$G333="","",IF(Data!$G333=Data_Val!$C$2,IF(Data!S333="",0,1),0))</f>
        <v/>
      </c>
      <c r="Z333" s="13" t="str">
        <f>IF(Data!S333="","",IF(ISNUMBER(MATCH(Data!T333,Data_Val!$A$2:$A$3,0)),0,1))</f>
        <v/>
      </c>
      <c r="AA333" s="28" t="str">
        <f ca="1">IF(Data!S333="","",IF(ISNUMBER(Data!U333),IF(AND(Data!U333&gt;(TODAY()-(Data_Val!$L$3*365.25)),Data!U333&lt;=(TODAY()-(Data_Val!$L$2*365.25))),0,1),1))</f>
        <v/>
      </c>
      <c r="AB333" s="11"/>
      <c r="AC333" s="11" t="e">
        <f>IF(Data!#REF!="","",IF(ISNUMBER(MATCH(Data!#REF!,Data_Val!$A$2:$A$3,0)),0,1))</f>
        <v>#REF!</v>
      </c>
      <c r="AD333" s="11" t="e">
        <f ca="1">IF(Data!#REF!="","",IF(ISNUMBER(Data!#REF!),IF(AND(Data!#REF!&gt;(TODAY()-(Data_Val!$L$3*365.25)),Data!#REF!&lt;=(TODAY()-(Data_Val!$L$2*365.25))),0,1),1))</f>
        <v>#REF!</v>
      </c>
      <c r="AE333" s="11" t="e">
        <f>IF(Data!#REF!="","",IF(Data!$G333="",1,IF(ISNUMBER(MATCH(Data!#REF!,Data_Val!$D$2:$D$10,0)),0,1)))</f>
        <v>#REF!</v>
      </c>
      <c r="AF333" s="12"/>
      <c r="AG333" s="12" t="e">
        <f>IF(Data!#REF!="","",IF(ISNUMBER(MATCH(Data!#REF!,Data_Val!$A$2:$A$3,0)),0,1))</f>
        <v>#REF!</v>
      </c>
      <c r="AH333" s="26" t="e">
        <f ca="1">IF(Data!#REF!="","",IF(ISNUMBER(Data!#REF!),IF(AND(Data!#REF!&gt;(TODAY()-(Data_Val!$L$3*365.25)),Data!#REF!&lt;=(TODAY()-(Data_Val!$L$2*365.25))),0,1),1))</f>
        <v>#REF!</v>
      </c>
      <c r="AI333" s="12" t="e">
        <f>IF(Data!#REF!="","",IF(Data!$G333="",1,IF(ISNUMBER(MATCH(Data!#REF!,Data_Val!$D$2:$D$10,0)),0,1)))</f>
        <v>#REF!</v>
      </c>
      <c r="AJ333" s="17"/>
      <c r="AK333" s="17" t="e">
        <f>IF(Data!#REF!="","",IF(ISNUMBER(MATCH(Data!#REF!,Data_Val!$A$2:$A$3,0)),0,1))</f>
        <v>#REF!</v>
      </c>
      <c r="AL333" s="25" t="e">
        <f ca="1">IF(Data!#REF!="","",IF(ISNUMBER(Data!#REF!),IF(AND(Data!#REF!&gt;(TODAY()-(Data_Val!$L$3*365.25)),Data!#REF!&lt;=(TODAY()-(Data_Val!$L$2*365.25))),0,1),1))</f>
        <v>#REF!</v>
      </c>
      <c r="AM333" s="17" t="e">
        <f>IF(Data!#REF!="","",IF(Data!$G333="",1,IF(ISNUMBER(MATCH(Data!#REF!,Data_Val!$D$2:$D$10,0)),0,1)))</f>
        <v>#REF!</v>
      </c>
      <c r="AN333" s="13"/>
      <c r="AO333" s="28" t="e">
        <f ca="1">IF(Data!#REF!="","",IF(ISNUMBER(Data!#REF!),IF(AND(Data!#REF!&gt;(TODAY()-(Data_Val!$I$3*365.25)),Data!#REF!&lt;=(TODAY()-(Data_Val!$I$2*365.25))),0,1),1))</f>
        <v>#REF!</v>
      </c>
      <c r="AP333" s="13" t="e">
        <f>IF(Data!#REF!="","",IF(Data!$G333="",1,IF(ISNUMBER(MATCH(Data!#REF!,Data_Val!$D$2:$D$10,0)),0,1)))</f>
        <v>#REF!</v>
      </c>
      <c r="AQ333" s="17"/>
      <c r="AR333" s="30" t="e">
        <f ca="1">IF(Data!#REF!="","",IF(ISNUMBER(Data!#REF!),IF(AND(Data!#REF!&gt;(TODAY()-(Data_Val!$I$3*365.25)),Data!#REF!&lt;=(TODAY()-(Data_Val!$I$2*365.25))),0,1),1))</f>
        <v>#REF!</v>
      </c>
      <c r="AS333" s="31" t="e">
        <f>IF(Data!#REF!="","",IF(Data!$G333="",1,IF(ISNUMBER(MATCH(Data!#REF!,Data_Val!$D$2:$D$10,0)),0,1)))</f>
        <v>#REF!</v>
      </c>
      <c r="AT333" s="11"/>
      <c r="AU333" s="11" t="e">
        <f ca="1">IF(Data!#REF!="","",IF(ISNUMBER(Data!#REF!),IF(AND(Data!#REF!&gt;(TODAY()-(Data_Val!$I$3*365.25)),Data!#REF!&lt;=(TODAY()-(Data_Val!$I$2*365.25))),0,1),1))</f>
        <v>#REF!</v>
      </c>
      <c r="AV333" s="11" t="e">
        <f>IF(Data!#REF!="","",IF(Data!$G333="",1,IF(ISNUMBER(MATCH(Data!#REF!,Data_Val!$D$2:$D$10,0)),0,1)))</f>
        <v>#REF!</v>
      </c>
      <c r="AW333" s="12"/>
      <c r="AX333" s="26" t="e">
        <f ca="1">IF(Data!#REF!="","",IF(ISNUMBER(Data!#REF!),IF(AND(Data!#REF!&gt;(TODAY()-(Data_Val!$I$3*365.25)),Data!#REF!&lt;=(TODAY()-(Data_Val!$I$2*365.25))),0,1),1))</f>
        <v>#REF!</v>
      </c>
      <c r="AY333" s="12" t="e">
        <f>IF(Data!#REF!="","",IF(Data!$G333="",1,IF(ISNUMBER(MATCH(Data!#REF!,Data_Val!$D$2:$D$10,0)),0,1)))</f>
        <v>#REF!</v>
      </c>
      <c r="AZ333" s="11"/>
      <c r="BA333" s="19" t="e">
        <f ca="1">IF(Data!#REF!="","",IF(ISNUMBER(Data!#REF!),IF(AND(Data!#REF!&gt;(TODAY()-(Data_Val!$M$3*365.25)),Data!#REF!&lt;=(TODAY()-(Data_Val!$M$2*365.25))),0,1),1))</f>
        <v>#REF!</v>
      </c>
      <c r="BB333" s="11" t="e">
        <f>IF(Data!#REF!="","",IF(Data!$G333="",1,IF(ISNUMBER(MATCH(Data!#REF!,Data_Val!$D$2:$D$10,0)),0,1)))</f>
        <v>#REF!</v>
      </c>
      <c r="BC333" s="12"/>
      <c r="BD333" s="20" t="e">
        <f ca="1">IF(Data!#REF!="","",IF(ISNUMBER(Data!#REF!),IF(AND(Data!#REF!&gt;(TODAY()-(Data_Val!$M$3*365.25)),Data!#REF!&lt;=(TODAY()-(Data_Val!$M$2*365.25))),0,1),1))</f>
        <v>#REF!</v>
      </c>
      <c r="BE333" s="12" t="e">
        <f>IF(Data!#REF!="","",IF(Data!$G333="",1,IF(ISNUMBER(MATCH(Data!#REF!,Data_Val!$D$2:$D$10,0)),0,1)))</f>
        <v>#REF!</v>
      </c>
      <c r="BF333" s="17"/>
      <c r="BG333" s="18" t="e">
        <f ca="1">IF(Data!#REF!="","",IF(ISNUMBER(Data!#REF!),IF(AND(Data!#REF!&gt;(TODAY()-(Data_Val!$M$3*365.25)),Data!#REF!&lt;=(TODAY()-(Data_Val!$M$2*365.25))),0,1),1))</f>
        <v>#REF!</v>
      </c>
      <c r="BH333" s="29" t="e">
        <f>IF(Data!#REF!="","",IF(Data!$G333="",1,IF(ISNUMBER(MATCH(Data!#REF!,Data_Val!$D$2:$D$10,0)),0,1)))</f>
        <v>#REF!</v>
      </c>
      <c r="BI333" s="13"/>
      <c r="BJ333" s="21" t="e">
        <f ca="1">IF(Data!#REF!="","",IF(ISNUMBER(Data!#REF!),IF(AND(Data!#REF!&gt;(TODAY()-(Data_Val!$M$3*365.25)),Data!#REF!&lt;=(TODAY()-(Data_Val!$M$2*365.25))),0,1),1))</f>
        <v>#REF!</v>
      </c>
      <c r="BK333" s="13" t="e">
        <f>IF(Data!#REF!="","",IF(Data!$G333="",1,IF(ISNUMBER(MATCH(Data!#REF!,Data_Val!$D$2:$D$10,0)),0,1)))</f>
        <v>#REF!</v>
      </c>
    </row>
    <row r="334" spans="1:63" x14ac:dyDescent="0.25">
      <c r="A334" s="9" t="str">
        <f>IF(Data!B334="","",IF(COUNTIFS(Data!A$1:'Data'!A334,Data!A334)&lt;=1,0,1))</f>
        <v/>
      </c>
      <c r="B334" s="9"/>
      <c r="C334" s="23" t="str">
        <f>IF(Data!C334="","",(IF(ISNUMBER(MATCH("*@*.?*",Data!C334,0)),0,1)+IF(COUNTIFS(Data!C$1:'Data'!C334,Data!C334)&gt;1,1,0)))</f>
        <v/>
      </c>
      <c r="D334" s="9" t="str">
        <f>IF(Data!B334="","",IF(ISNUMBER(Data!D334),IF(AND(Data!D334&gt;999999999,Data!D334&lt;=9999999999),IF(COUNTIFS(Data!D$1:'Data'!D334,Data!D334)&lt;=1,0,1),1),1))</f>
        <v/>
      </c>
      <c r="E334" s="9" t="str">
        <f>IF(Data!B334="","",IF(ISNUMBER(MATCH(Data!E334,Data_Val!$A$2:$A$3,0)),0,1))</f>
        <v/>
      </c>
      <c r="F334" s="9" t="str">
        <f ca="1">IF(Data!B334="","",IF(ISNUMBER(Data!F334),IF(AND(Data!F334&gt;(TODAY()-(Data_Val!$H$3*365.25)),Data!F334&lt;=(TODAY()-(Data_Val!$H$2*365.25))),0,1),1))</f>
        <v/>
      </c>
      <c r="G334" s="15" t="str">
        <f>IF(Data!B334="","",IF(AND(Data!G334="",Data!H334&lt;&gt;""),1,IF(Data!#REF!&lt;&gt;"",0,IF(ISNUMBER(MATCH(Data!G334,Data_Val!$C$2:$C$5,0)),0,1))))</f>
        <v/>
      </c>
      <c r="H334" s="15" t="str">
        <f>IF(Data!B334="","",IF(AND(Data!G334&lt;&gt;"",Data!H334=""),1,IF(Data!#REF!&lt;&gt;"",0,IF(Data!G334="",1,IF(ISNUMBER(MATCH(Data!H334,Data_Val!$D$2:$D$35,0)),0,1)))))</f>
        <v/>
      </c>
      <c r="I334" s="15" t="str">
        <f>IF(Data!B334="","",IF(Data!G334&lt;&gt;"",0,IF(ISNUMBER(MATCH(Data!#REF!,Data_Val!$E$2:$E$12,0)),0,1)))</f>
        <v/>
      </c>
      <c r="J334" s="16" t="e">
        <f>IF(OR(Data!B334="",Data!#REF!=""),"",IF(Data!#REF!="",1,0))</f>
        <v>#REF!</v>
      </c>
      <c r="K334" s="16" t="e">
        <f>IF(OR(Data!B334="",Data!#REF!=""),"",IF(Data!#REF!="",1,0))</f>
        <v>#REF!</v>
      </c>
      <c r="L334" s="16" t="e">
        <f>IF(OR(Data!B334="",Data!#REF!=""),"",IF(ISNUMBER(Data!#REF!),IF(AND(Data!#REF!&gt;Data_Val!$G$2,Data!#REF!&lt;=Data_Val!$G$3),0,1),1))</f>
        <v>#REF!</v>
      </c>
      <c r="M334" s="9" t="e">
        <f>IF(OR(Data!B334="",Data!#REF!=""),"",IF(ISNUMBER(MATCH(Data!#REF!,Data_Val!$F$1:$F$38,0)),0,1))</f>
        <v>#REF!</v>
      </c>
      <c r="N334" s="9" t="e">
        <f>IF(OR(Data!B334="",Data!#REF!=""),"",IF(Data!#REF!="",1,0))</f>
        <v>#REF!</v>
      </c>
      <c r="O334" s="17" t="e">
        <f>IF(Data!#REF!="","",IF(Data!#REF!="",1,0))</f>
        <v>#REF!</v>
      </c>
      <c r="P334" s="17" t="e">
        <f>IF(Data!#REF!="","",IF(ISNUMBER(MATCH(Data!#REF!,Data_Val!$A$2:$A$3,0)),0,1))</f>
        <v>#REF!</v>
      </c>
      <c r="Q334" s="25" t="e">
        <f ca="1">IF(Data!#REF!="","",IF(ISNUMBER(Data!#REF!),IF(AND(Data!#REF!&gt;(TODAY()-(Data_Val!$J$3*365.25)),Data!#REF!&lt;=(TODAY()-(Data_Val!$J$2*365.25))),0,1),1))</f>
        <v>#REF!</v>
      </c>
      <c r="R334" s="17" t="e">
        <f>IF(Data!#REF!="","",IF(ISNUMBER(MATCH(Data!#REF!,Data_Val!$B$2:$B$15,0)),0,1))</f>
        <v>#REF!</v>
      </c>
      <c r="S334" s="11" t="str">
        <f>IF(Data!G334="","",IF(Data!G334=Data_Val!$C$2,IF(Data!M334="",0,1),0))</f>
        <v/>
      </c>
      <c r="T334" s="11" t="str">
        <f>IF(Data!M334="","",IF(ISNUMBER(MATCH(Data!N334,Data_Val!$A$2:$A$3,0)),0,1))</f>
        <v/>
      </c>
      <c r="U334" s="11" t="str">
        <f ca="1">IF(Data!M334="","",IF(ISNUMBER(Data!O334),IF(AND(Data!O334&gt;(TODAY()-(Data_Val!$K$3*365.25)),Data!O334&lt;=(TODAY()-(Data_Val!$K$2*365.25))),0,1),1))</f>
        <v/>
      </c>
      <c r="V334" s="12" t="str">
        <f>IF(Data!G334="","",IF(Data!G334=Data_Val!$C$2,IF(Data!P334="",0,1),0))</f>
        <v/>
      </c>
      <c r="W334" s="12" t="str">
        <f>IF(Data!P334="","",IF(ISNUMBER(MATCH(Data!Q334,Data_Val!$A$2:$A$3,0)),0,1))</f>
        <v/>
      </c>
      <c r="X334" s="26" t="str">
        <f ca="1">IF(Data!P334="","",IF(ISNUMBER(Data!R334),IF(AND(Data!R334&gt;(TODAY()-(Data_Val!$L$3*365.25)),Data!R334&lt;=(TODAY()-(Data_Val!$L$2*365.25))),0,1),1))</f>
        <v/>
      </c>
      <c r="Y334" s="13" t="str">
        <f>IF(Data!$G334="","",IF(Data!$G334=Data_Val!$C$2,IF(Data!S334="",0,1),0))</f>
        <v/>
      </c>
      <c r="Z334" s="13" t="str">
        <f>IF(Data!S334="","",IF(ISNUMBER(MATCH(Data!T334,Data_Val!$A$2:$A$3,0)),0,1))</f>
        <v/>
      </c>
      <c r="AA334" s="28" t="str">
        <f ca="1">IF(Data!S334="","",IF(ISNUMBER(Data!U334),IF(AND(Data!U334&gt;(TODAY()-(Data_Val!$L$3*365.25)),Data!U334&lt;=(TODAY()-(Data_Val!$L$2*365.25))),0,1),1))</f>
        <v/>
      </c>
      <c r="AB334" s="11"/>
      <c r="AC334" s="11" t="e">
        <f>IF(Data!#REF!="","",IF(ISNUMBER(MATCH(Data!#REF!,Data_Val!$A$2:$A$3,0)),0,1))</f>
        <v>#REF!</v>
      </c>
      <c r="AD334" s="11" t="e">
        <f ca="1">IF(Data!#REF!="","",IF(ISNUMBER(Data!#REF!),IF(AND(Data!#REF!&gt;(TODAY()-(Data_Val!$L$3*365.25)),Data!#REF!&lt;=(TODAY()-(Data_Val!$L$2*365.25))),0,1),1))</f>
        <v>#REF!</v>
      </c>
      <c r="AE334" s="11" t="e">
        <f>IF(Data!#REF!="","",IF(Data!$G334="",1,IF(ISNUMBER(MATCH(Data!#REF!,Data_Val!$D$2:$D$10,0)),0,1)))</f>
        <v>#REF!</v>
      </c>
      <c r="AF334" s="12"/>
      <c r="AG334" s="12" t="e">
        <f>IF(Data!#REF!="","",IF(ISNUMBER(MATCH(Data!#REF!,Data_Val!$A$2:$A$3,0)),0,1))</f>
        <v>#REF!</v>
      </c>
      <c r="AH334" s="26" t="e">
        <f ca="1">IF(Data!#REF!="","",IF(ISNUMBER(Data!#REF!),IF(AND(Data!#REF!&gt;(TODAY()-(Data_Val!$L$3*365.25)),Data!#REF!&lt;=(TODAY()-(Data_Val!$L$2*365.25))),0,1),1))</f>
        <v>#REF!</v>
      </c>
      <c r="AI334" s="12" t="e">
        <f>IF(Data!#REF!="","",IF(Data!$G334="",1,IF(ISNUMBER(MATCH(Data!#REF!,Data_Val!$D$2:$D$10,0)),0,1)))</f>
        <v>#REF!</v>
      </c>
      <c r="AJ334" s="17"/>
      <c r="AK334" s="17" t="e">
        <f>IF(Data!#REF!="","",IF(ISNUMBER(MATCH(Data!#REF!,Data_Val!$A$2:$A$3,0)),0,1))</f>
        <v>#REF!</v>
      </c>
      <c r="AL334" s="25" t="e">
        <f ca="1">IF(Data!#REF!="","",IF(ISNUMBER(Data!#REF!),IF(AND(Data!#REF!&gt;(TODAY()-(Data_Val!$L$3*365.25)),Data!#REF!&lt;=(TODAY()-(Data_Val!$L$2*365.25))),0,1),1))</f>
        <v>#REF!</v>
      </c>
      <c r="AM334" s="17" t="e">
        <f>IF(Data!#REF!="","",IF(Data!$G334="",1,IF(ISNUMBER(MATCH(Data!#REF!,Data_Val!$D$2:$D$10,0)),0,1)))</f>
        <v>#REF!</v>
      </c>
      <c r="AN334" s="13"/>
      <c r="AO334" s="28" t="e">
        <f ca="1">IF(Data!#REF!="","",IF(ISNUMBER(Data!#REF!),IF(AND(Data!#REF!&gt;(TODAY()-(Data_Val!$I$3*365.25)),Data!#REF!&lt;=(TODAY()-(Data_Val!$I$2*365.25))),0,1),1))</f>
        <v>#REF!</v>
      </c>
      <c r="AP334" s="13" t="e">
        <f>IF(Data!#REF!="","",IF(Data!$G334="",1,IF(ISNUMBER(MATCH(Data!#REF!,Data_Val!$D$2:$D$10,0)),0,1)))</f>
        <v>#REF!</v>
      </c>
      <c r="AQ334" s="17"/>
      <c r="AR334" s="30" t="e">
        <f ca="1">IF(Data!#REF!="","",IF(ISNUMBER(Data!#REF!),IF(AND(Data!#REF!&gt;(TODAY()-(Data_Val!$I$3*365.25)),Data!#REF!&lt;=(TODAY()-(Data_Val!$I$2*365.25))),0,1),1))</f>
        <v>#REF!</v>
      </c>
      <c r="AS334" s="31" t="e">
        <f>IF(Data!#REF!="","",IF(Data!$G334="",1,IF(ISNUMBER(MATCH(Data!#REF!,Data_Val!$D$2:$D$10,0)),0,1)))</f>
        <v>#REF!</v>
      </c>
      <c r="AT334" s="11"/>
      <c r="AU334" s="11" t="e">
        <f ca="1">IF(Data!#REF!="","",IF(ISNUMBER(Data!#REF!),IF(AND(Data!#REF!&gt;(TODAY()-(Data_Val!$I$3*365.25)),Data!#REF!&lt;=(TODAY()-(Data_Val!$I$2*365.25))),0,1),1))</f>
        <v>#REF!</v>
      </c>
      <c r="AV334" s="11" t="e">
        <f>IF(Data!#REF!="","",IF(Data!$G334="",1,IF(ISNUMBER(MATCH(Data!#REF!,Data_Val!$D$2:$D$10,0)),0,1)))</f>
        <v>#REF!</v>
      </c>
      <c r="AW334" s="12"/>
      <c r="AX334" s="26" t="e">
        <f ca="1">IF(Data!#REF!="","",IF(ISNUMBER(Data!#REF!),IF(AND(Data!#REF!&gt;(TODAY()-(Data_Val!$I$3*365.25)),Data!#REF!&lt;=(TODAY()-(Data_Val!$I$2*365.25))),0,1),1))</f>
        <v>#REF!</v>
      </c>
      <c r="AY334" s="12" t="e">
        <f>IF(Data!#REF!="","",IF(Data!$G334="",1,IF(ISNUMBER(MATCH(Data!#REF!,Data_Val!$D$2:$D$10,0)),0,1)))</f>
        <v>#REF!</v>
      </c>
      <c r="AZ334" s="11"/>
      <c r="BA334" s="19" t="e">
        <f ca="1">IF(Data!#REF!="","",IF(ISNUMBER(Data!#REF!),IF(AND(Data!#REF!&gt;(TODAY()-(Data_Val!$M$3*365.25)),Data!#REF!&lt;=(TODAY()-(Data_Val!$M$2*365.25))),0,1),1))</f>
        <v>#REF!</v>
      </c>
      <c r="BB334" s="11" t="e">
        <f>IF(Data!#REF!="","",IF(Data!$G334="",1,IF(ISNUMBER(MATCH(Data!#REF!,Data_Val!$D$2:$D$10,0)),0,1)))</f>
        <v>#REF!</v>
      </c>
      <c r="BC334" s="12"/>
      <c r="BD334" s="20" t="e">
        <f ca="1">IF(Data!#REF!="","",IF(ISNUMBER(Data!#REF!),IF(AND(Data!#REF!&gt;(TODAY()-(Data_Val!$M$3*365.25)),Data!#REF!&lt;=(TODAY()-(Data_Val!$M$2*365.25))),0,1),1))</f>
        <v>#REF!</v>
      </c>
      <c r="BE334" s="12" t="e">
        <f>IF(Data!#REF!="","",IF(Data!$G334="",1,IF(ISNUMBER(MATCH(Data!#REF!,Data_Val!$D$2:$D$10,0)),0,1)))</f>
        <v>#REF!</v>
      </c>
      <c r="BF334" s="17"/>
      <c r="BG334" s="18" t="e">
        <f ca="1">IF(Data!#REF!="","",IF(ISNUMBER(Data!#REF!),IF(AND(Data!#REF!&gt;(TODAY()-(Data_Val!$M$3*365.25)),Data!#REF!&lt;=(TODAY()-(Data_Val!$M$2*365.25))),0,1),1))</f>
        <v>#REF!</v>
      </c>
      <c r="BH334" s="29" t="e">
        <f>IF(Data!#REF!="","",IF(Data!$G334="",1,IF(ISNUMBER(MATCH(Data!#REF!,Data_Val!$D$2:$D$10,0)),0,1)))</f>
        <v>#REF!</v>
      </c>
      <c r="BI334" s="13"/>
      <c r="BJ334" s="21" t="e">
        <f ca="1">IF(Data!#REF!="","",IF(ISNUMBER(Data!#REF!),IF(AND(Data!#REF!&gt;(TODAY()-(Data_Val!$M$3*365.25)),Data!#REF!&lt;=(TODAY()-(Data_Val!$M$2*365.25))),0,1),1))</f>
        <v>#REF!</v>
      </c>
      <c r="BK334" s="13" t="e">
        <f>IF(Data!#REF!="","",IF(Data!$G334="",1,IF(ISNUMBER(MATCH(Data!#REF!,Data_Val!$D$2:$D$10,0)),0,1)))</f>
        <v>#REF!</v>
      </c>
    </row>
    <row r="335" spans="1:63" x14ac:dyDescent="0.25">
      <c r="A335" s="9" t="str">
        <f>IF(Data!B335="","",IF(COUNTIFS(Data!A$1:'Data'!A335,Data!A335)&lt;=1,0,1))</f>
        <v/>
      </c>
      <c r="B335" s="9"/>
      <c r="C335" s="23" t="str">
        <f>IF(Data!C335="","",(IF(ISNUMBER(MATCH("*@*.?*",Data!C335,0)),0,1)+IF(COUNTIFS(Data!C$1:'Data'!C335,Data!C335)&gt;1,1,0)))</f>
        <v/>
      </c>
      <c r="D335" s="9" t="str">
        <f>IF(Data!B335="","",IF(ISNUMBER(Data!D335),IF(AND(Data!D335&gt;999999999,Data!D335&lt;=9999999999),IF(COUNTIFS(Data!D$1:'Data'!D335,Data!D335)&lt;=1,0,1),1),1))</f>
        <v/>
      </c>
      <c r="E335" s="9" t="str">
        <f>IF(Data!B335="","",IF(ISNUMBER(MATCH(Data!E335,Data_Val!$A$2:$A$3,0)),0,1))</f>
        <v/>
      </c>
      <c r="F335" s="9" t="str">
        <f ca="1">IF(Data!B335="","",IF(ISNUMBER(Data!F335),IF(AND(Data!F335&gt;(TODAY()-(Data_Val!$H$3*365.25)),Data!F335&lt;=(TODAY()-(Data_Val!$H$2*365.25))),0,1),1))</f>
        <v/>
      </c>
      <c r="G335" s="15" t="str">
        <f>IF(Data!B335="","",IF(AND(Data!G335="",Data!H335&lt;&gt;""),1,IF(Data!#REF!&lt;&gt;"",0,IF(ISNUMBER(MATCH(Data!G335,Data_Val!$C$2:$C$5,0)),0,1))))</f>
        <v/>
      </c>
      <c r="H335" s="15" t="str">
        <f>IF(Data!B335="","",IF(AND(Data!G335&lt;&gt;"",Data!H335=""),1,IF(Data!#REF!&lt;&gt;"",0,IF(Data!G335="",1,IF(ISNUMBER(MATCH(Data!H335,Data_Val!$D$2:$D$35,0)),0,1)))))</f>
        <v/>
      </c>
      <c r="I335" s="15" t="str">
        <f>IF(Data!B335="","",IF(Data!G335&lt;&gt;"",0,IF(ISNUMBER(MATCH(Data!#REF!,Data_Val!$E$2:$E$12,0)),0,1)))</f>
        <v/>
      </c>
      <c r="J335" s="16" t="e">
        <f>IF(OR(Data!B335="",Data!#REF!=""),"",IF(Data!#REF!="",1,0))</f>
        <v>#REF!</v>
      </c>
      <c r="K335" s="16" t="e">
        <f>IF(OR(Data!B335="",Data!#REF!=""),"",IF(Data!#REF!="",1,0))</f>
        <v>#REF!</v>
      </c>
      <c r="L335" s="16" t="e">
        <f>IF(OR(Data!B335="",Data!#REF!=""),"",IF(ISNUMBER(Data!#REF!),IF(AND(Data!#REF!&gt;Data_Val!$G$2,Data!#REF!&lt;=Data_Val!$G$3),0,1),1))</f>
        <v>#REF!</v>
      </c>
      <c r="M335" s="9" t="e">
        <f>IF(OR(Data!B335="",Data!#REF!=""),"",IF(ISNUMBER(MATCH(Data!#REF!,Data_Val!$F$1:$F$38,0)),0,1))</f>
        <v>#REF!</v>
      </c>
      <c r="N335" s="9" t="e">
        <f>IF(OR(Data!B335="",Data!#REF!=""),"",IF(Data!#REF!="",1,0))</f>
        <v>#REF!</v>
      </c>
      <c r="O335" s="17" t="e">
        <f>IF(Data!#REF!="","",IF(Data!#REF!="",1,0))</f>
        <v>#REF!</v>
      </c>
      <c r="P335" s="17" t="e">
        <f>IF(Data!#REF!="","",IF(ISNUMBER(MATCH(Data!#REF!,Data_Val!$A$2:$A$3,0)),0,1))</f>
        <v>#REF!</v>
      </c>
      <c r="Q335" s="25" t="e">
        <f ca="1">IF(Data!#REF!="","",IF(ISNUMBER(Data!#REF!),IF(AND(Data!#REF!&gt;(TODAY()-(Data_Val!$J$3*365.25)),Data!#REF!&lt;=(TODAY()-(Data_Val!$J$2*365.25))),0,1),1))</f>
        <v>#REF!</v>
      </c>
      <c r="R335" s="17" t="e">
        <f>IF(Data!#REF!="","",IF(ISNUMBER(MATCH(Data!#REF!,Data_Val!$B$2:$B$15,0)),0,1))</f>
        <v>#REF!</v>
      </c>
      <c r="S335" s="11" t="str">
        <f>IF(Data!G335="","",IF(Data!G335=Data_Val!$C$2,IF(Data!M335="",0,1),0))</f>
        <v/>
      </c>
      <c r="T335" s="11" t="str">
        <f>IF(Data!M335="","",IF(ISNUMBER(MATCH(Data!N335,Data_Val!$A$2:$A$3,0)),0,1))</f>
        <v/>
      </c>
      <c r="U335" s="11" t="str">
        <f ca="1">IF(Data!M335="","",IF(ISNUMBER(Data!O335),IF(AND(Data!O335&gt;(TODAY()-(Data_Val!$K$3*365.25)),Data!O335&lt;=(TODAY()-(Data_Val!$K$2*365.25))),0,1),1))</f>
        <v/>
      </c>
      <c r="V335" s="12" t="str">
        <f>IF(Data!G335="","",IF(Data!G335=Data_Val!$C$2,IF(Data!P335="",0,1),0))</f>
        <v/>
      </c>
      <c r="W335" s="12" t="str">
        <f>IF(Data!P335="","",IF(ISNUMBER(MATCH(Data!Q335,Data_Val!$A$2:$A$3,0)),0,1))</f>
        <v/>
      </c>
      <c r="X335" s="26" t="str">
        <f ca="1">IF(Data!P335="","",IF(ISNUMBER(Data!R335),IF(AND(Data!R335&gt;(TODAY()-(Data_Val!$L$3*365.25)),Data!R335&lt;=(TODAY()-(Data_Val!$L$2*365.25))),0,1),1))</f>
        <v/>
      </c>
      <c r="Y335" s="13" t="str">
        <f>IF(Data!$G335="","",IF(Data!$G335=Data_Val!$C$2,IF(Data!S335="",0,1),0))</f>
        <v/>
      </c>
      <c r="Z335" s="13" t="str">
        <f>IF(Data!S335="","",IF(ISNUMBER(MATCH(Data!T335,Data_Val!$A$2:$A$3,0)),0,1))</f>
        <v/>
      </c>
      <c r="AA335" s="28" t="str">
        <f ca="1">IF(Data!S335="","",IF(ISNUMBER(Data!U335),IF(AND(Data!U335&gt;(TODAY()-(Data_Val!$L$3*365.25)),Data!U335&lt;=(TODAY()-(Data_Val!$L$2*365.25))),0,1),1))</f>
        <v/>
      </c>
      <c r="AB335" s="11"/>
      <c r="AC335" s="11" t="e">
        <f>IF(Data!#REF!="","",IF(ISNUMBER(MATCH(Data!#REF!,Data_Val!$A$2:$A$3,0)),0,1))</f>
        <v>#REF!</v>
      </c>
      <c r="AD335" s="11" t="e">
        <f ca="1">IF(Data!#REF!="","",IF(ISNUMBER(Data!#REF!),IF(AND(Data!#REF!&gt;(TODAY()-(Data_Val!$L$3*365.25)),Data!#REF!&lt;=(TODAY()-(Data_Val!$L$2*365.25))),0,1),1))</f>
        <v>#REF!</v>
      </c>
      <c r="AE335" s="11" t="e">
        <f>IF(Data!#REF!="","",IF(Data!$G335="",1,IF(ISNUMBER(MATCH(Data!#REF!,Data_Val!$D$2:$D$10,0)),0,1)))</f>
        <v>#REF!</v>
      </c>
      <c r="AF335" s="12"/>
      <c r="AG335" s="12" t="e">
        <f>IF(Data!#REF!="","",IF(ISNUMBER(MATCH(Data!#REF!,Data_Val!$A$2:$A$3,0)),0,1))</f>
        <v>#REF!</v>
      </c>
      <c r="AH335" s="26" t="e">
        <f ca="1">IF(Data!#REF!="","",IF(ISNUMBER(Data!#REF!),IF(AND(Data!#REF!&gt;(TODAY()-(Data_Val!$L$3*365.25)),Data!#REF!&lt;=(TODAY()-(Data_Val!$L$2*365.25))),0,1),1))</f>
        <v>#REF!</v>
      </c>
      <c r="AI335" s="12" t="e">
        <f>IF(Data!#REF!="","",IF(Data!$G335="",1,IF(ISNUMBER(MATCH(Data!#REF!,Data_Val!$D$2:$D$10,0)),0,1)))</f>
        <v>#REF!</v>
      </c>
      <c r="AJ335" s="17"/>
      <c r="AK335" s="17" t="e">
        <f>IF(Data!#REF!="","",IF(ISNUMBER(MATCH(Data!#REF!,Data_Val!$A$2:$A$3,0)),0,1))</f>
        <v>#REF!</v>
      </c>
      <c r="AL335" s="25" t="e">
        <f ca="1">IF(Data!#REF!="","",IF(ISNUMBER(Data!#REF!),IF(AND(Data!#REF!&gt;(TODAY()-(Data_Val!$L$3*365.25)),Data!#REF!&lt;=(TODAY()-(Data_Val!$L$2*365.25))),0,1),1))</f>
        <v>#REF!</v>
      </c>
      <c r="AM335" s="17" t="e">
        <f>IF(Data!#REF!="","",IF(Data!$G335="",1,IF(ISNUMBER(MATCH(Data!#REF!,Data_Val!$D$2:$D$10,0)),0,1)))</f>
        <v>#REF!</v>
      </c>
      <c r="AN335" s="13"/>
      <c r="AO335" s="28" t="e">
        <f ca="1">IF(Data!#REF!="","",IF(ISNUMBER(Data!#REF!),IF(AND(Data!#REF!&gt;(TODAY()-(Data_Val!$I$3*365.25)),Data!#REF!&lt;=(TODAY()-(Data_Val!$I$2*365.25))),0,1),1))</f>
        <v>#REF!</v>
      </c>
      <c r="AP335" s="13" t="e">
        <f>IF(Data!#REF!="","",IF(Data!$G335="",1,IF(ISNUMBER(MATCH(Data!#REF!,Data_Val!$D$2:$D$10,0)),0,1)))</f>
        <v>#REF!</v>
      </c>
      <c r="AQ335" s="17"/>
      <c r="AR335" s="30" t="e">
        <f ca="1">IF(Data!#REF!="","",IF(ISNUMBER(Data!#REF!),IF(AND(Data!#REF!&gt;(TODAY()-(Data_Val!$I$3*365.25)),Data!#REF!&lt;=(TODAY()-(Data_Val!$I$2*365.25))),0,1),1))</f>
        <v>#REF!</v>
      </c>
      <c r="AS335" s="31" t="e">
        <f>IF(Data!#REF!="","",IF(Data!$G335="",1,IF(ISNUMBER(MATCH(Data!#REF!,Data_Val!$D$2:$D$10,0)),0,1)))</f>
        <v>#REF!</v>
      </c>
      <c r="AT335" s="11"/>
      <c r="AU335" s="11" t="e">
        <f ca="1">IF(Data!#REF!="","",IF(ISNUMBER(Data!#REF!),IF(AND(Data!#REF!&gt;(TODAY()-(Data_Val!$I$3*365.25)),Data!#REF!&lt;=(TODAY()-(Data_Val!$I$2*365.25))),0,1),1))</f>
        <v>#REF!</v>
      </c>
      <c r="AV335" s="11" t="e">
        <f>IF(Data!#REF!="","",IF(Data!$G335="",1,IF(ISNUMBER(MATCH(Data!#REF!,Data_Val!$D$2:$D$10,0)),0,1)))</f>
        <v>#REF!</v>
      </c>
      <c r="AW335" s="12"/>
      <c r="AX335" s="26" t="e">
        <f ca="1">IF(Data!#REF!="","",IF(ISNUMBER(Data!#REF!),IF(AND(Data!#REF!&gt;(TODAY()-(Data_Val!$I$3*365.25)),Data!#REF!&lt;=(TODAY()-(Data_Val!$I$2*365.25))),0,1),1))</f>
        <v>#REF!</v>
      </c>
      <c r="AY335" s="12" t="e">
        <f>IF(Data!#REF!="","",IF(Data!$G335="",1,IF(ISNUMBER(MATCH(Data!#REF!,Data_Val!$D$2:$D$10,0)),0,1)))</f>
        <v>#REF!</v>
      </c>
      <c r="AZ335" s="11"/>
      <c r="BA335" s="19" t="e">
        <f ca="1">IF(Data!#REF!="","",IF(ISNUMBER(Data!#REF!),IF(AND(Data!#REF!&gt;(TODAY()-(Data_Val!$M$3*365.25)),Data!#REF!&lt;=(TODAY()-(Data_Val!$M$2*365.25))),0,1),1))</f>
        <v>#REF!</v>
      </c>
      <c r="BB335" s="11" t="e">
        <f>IF(Data!#REF!="","",IF(Data!$G335="",1,IF(ISNUMBER(MATCH(Data!#REF!,Data_Val!$D$2:$D$10,0)),0,1)))</f>
        <v>#REF!</v>
      </c>
      <c r="BC335" s="12"/>
      <c r="BD335" s="20" t="e">
        <f ca="1">IF(Data!#REF!="","",IF(ISNUMBER(Data!#REF!),IF(AND(Data!#REF!&gt;(TODAY()-(Data_Val!$M$3*365.25)),Data!#REF!&lt;=(TODAY()-(Data_Val!$M$2*365.25))),0,1),1))</f>
        <v>#REF!</v>
      </c>
      <c r="BE335" s="12" t="e">
        <f>IF(Data!#REF!="","",IF(Data!$G335="",1,IF(ISNUMBER(MATCH(Data!#REF!,Data_Val!$D$2:$D$10,0)),0,1)))</f>
        <v>#REF!</v>
      </c>
      <c r="BF335" s="17"/>
      <c r="BG335" s="18" t="e">
        <f ca="1">IF(Data!#REF!="","",IF(ISNUMBER(Data!#REF!),IF(AND(Data!#REF!&gt;(TODAY()-(Data_Val!$M$3*365.25)),Data!#REF!&lt;=(TODAY()-(Data_Val!$M$2*365.25))),0,1),1))</f>
        <v>#REF!</v>
      </c>
      <c r="BH335" s="29" t="e">
        <f>IF(Data!#REF!="","",IF(Data!$G335="",1,IF(ISNUMBER(MATCH(Data!#REF!,Data_Val!$D$2:$D$10,0)),0,1)))</f>
        <v>#REF!</v>
      </c>
      <c r="BI335" s="13"/>
      <c r="BJ335" s="21" t="e">
        <f ca="1">IF(Data!#REF!="","",IF(ISNUMBER(Data!#REF!),IF(AND(Data!#REF!&gt;(TODAY()-(Data_Val!$M$3*365.25)),Data!#REF!&lt;=(TODAY()-(Data_Val!$M$2*365.25))),0,1),1))</f>
        <v>#REF!</v>
      </c>
      <c r="BK335" s="13" t="e">
        <f>IF(Data!#REF!="","",IF(Data!$G335="",1,IF(ISNUMBER(MATCH(Data!#REF!,Data_Val!$D$2:$D$10,0)),0,1)))</f>
        <v>#REF!</v>
      </c>
    </row>
    <row r="336" spans="1:63" x14ac:dyDescent="0.25">
      <c r="A336" s="9" t="str">
        <f>IF(Data!B336="","",IF(COUNTIFS(Data!A$1:'Data'!A336,Data!A336)&lt;=1,0,1))</f>
        <v/>
      </c>
      <c r="B336" s="9"/>
      <c r="C336" s="23" t="str">
        <f>IF(Data!C336="","",(IF(ISNUMBER(MATCH("*@*.?*",Data!C336,0)),0,1)+IF(COUNTIFS(Data!C$1:'Data'!C336,Data!C336)&gt;1,1,0)))</f>
        <v/>
      </c>
      <c r="D336" s="9" t="str">
        <f>IF(Data!B336="","",IF(ISNUMBER(Data!D336),IF(AND(Data!D336&gt;999999999,Data!D336&lt;=9999999999),IF(COUNTIFS(Data!D$1:'Data'!D336,Data!D336)&lt;=1,0,1),1),1))</f>
        <v/>
      </c>
      <c r="E336" s="9" t="str">
        <f>IF(Data!B336="","",IF(ISNUMBER(MATCH(Data!E336,Data_Val!$A$2:$A$3,0)),0,1))</f>
        <v/>
      </c>
      <c r="F336" s="9" t="str">
        <f ca="1">IF(Data!B336="","",IF(ISNUMBER(Data!F336),IF(AND(Data!F336&gt;(TODAY()-(Data_Val!$H$3*365.25)),Data!F336&lt;=(TODAY()-(Data_Val!$H$2*365.25))),0,1),1))</f>
        <v/>
      </c>
      <c r="G336" s="15" t="str">
        <f>IF(Data!B336="","",IF(AND(Data!G336="",Data!H336&lt;&gt;""),1,IF(Data!#REF!&lt;&gt;"",0,IF(ISNUMBER(MATCH(Data!G336,Data_Val!$C$2:$C$5,0)),0,1))))</f>
        <v/>
      </c>
      <c r="H336" s="15" t="str">
        <f>IF(Data!B336="","",IF(AND(Data!G336&lt;&gt;"",Data!H336=""),1,IF(Data!#REF!&lt;&gt;"",0,IF(Data!G336="",1,IF(ISNUMBER(MATCH(Data!H336,Data_Val!$D$2:$D$35,0)),0,1)))))</f>
        <v/>
      </c>
      <c r="I336" s="15" t="str">
        <f>IF(Data!B336="","",IF(Data!G336&lt;&gt;"",0,IF(ISNUMBER(MATCH(Data!#REF!,Data_Val!$E$2:$E$12,0)),0,1)))</f>
        <v/>
      </c>
      <c r="J336" s="16" t="e">
        <f>IF(OR(Data!B336="",Data!#REF!=""),"",IF(Data!#REF!="",1,0))</f>
        <v>#REF!</v>
      </c>
      <c r="K336" s="16" t="e">
        <f>IF(OR(Data!B336="",Data!#REF!=""),"",IF(Data!#REF!="",1,0))</f>
        <v>#REF!</v>
      </c>
      <c r="L336" s="16" t="e">
        <f>IF(OR(Data!B336="",Data!#REF!=""),"",IF(ISNUMBER(Data!#REF!),IF(AND(Data!#REF!&gt;Data_Val!$G$2,Data!#REF!&lt;=Data_Val!$G$3),0,1),1))</f>
        <v>#REF!</v>
      </c>
      <c r="M336" s="9" t="e">
        <f>IF(OR(Data!B336="",Data!#REF!=""),"",IF(ISNUMBER(MATCH(Data!#REF!,Data_Val!$F$1:$F$38,0)),0,1))</f>
        <v>#REF!</v>
      </c>
      <c r="N336" s="9" t="e">
        <f>IF(OR(Data!B336="",Data!#REF!=""),"",IF(Data!#REF!="",1,0))</f>
        <v>#REF!</v>
      </c>
      <c r="O336" s="17" t="e">
        <f>IF(Data!#REF!="","",IF(Data!#REF!="",1,0))</f>
        <v>#REF!</v>
      </c>
      <c r="P336" s="17" t="e">
        <f>IF(Data!#REF!="","",IF(ISNUMBER(MATCH(Data!#REF!,Data_Val!$A$2:$A$3,0)),0,1))</f>
        <v>#REF!</v>
      </c>
      <c r="Q336" s="25" t="e">
        <f ca="1">IF(Data!#REF!="","",IF(ISNUMBER(Data!#REF!),IF(AND(Data!#REF!&gt;(TODAY()-(Data_Val!$J$3*365.25)),Data!#REF!&lt;=(TODAY()-(Data_Val!$J$2*365.25))),0,1),1))</f>
        <v>#REF!</v>
      </c>
      <c r="R336" s="17" t="e">
        <f>IF(Data!#REF!="","",IF(ISNUMBER(MATCH(Data!#REF!,Data_Val!$B$2:$B$15,0)),0,1))</f>
        <v>#REF!</v>
      </c>
      <c r="S336" s="11" t="str">
        <f>IF(Data!G336="","",IF(Data!G336=Data_Val!$C$2,IF(Data!M336="",0,1),0))</f>
        <v/>
      </c>
      <c r="T336" s="11" t="str">
        <f>IF(Data!M336="","",IF(ISNUMBER(MATCH(Data!N336,Data_Val!$A$2:$A$3,0)),0,1))</f>
        <v/>
      </c>
      <c r="U336" s="11" t="str">
        <f ca="1">IF(Data!M336="","",IF(ISNUMBER(Data!O336),IF(AND(Data!O336&gt;(TODAY()-(Data_Val!$K$3*365.25)),Data!O336&lt;=(TODAY()-(Data_Val!$K$2*365.25))),0,1),1))</f>
        <v/>
      </c>
      <c r="V336" s="12" t="str">
        <f>IF(Data!G336="","",IF(Data!G336=Data_Val!$C$2,IF(Data!P336="",0,1),0))</f>
        <v/>
      </c>
      <c r="W336" s="12" t="str">
        <f>IF(Data!P336="","",IF(ISNUMBER(MATCH(Data!Q336,Data_Val!$A$2:$A$3,0)),0,1))</f>
        <v/>
      </c>
      <c r="X336" s="26" t="str">
        <f ca="1">IF(Data!P336="","",IF(ISNUMBER(Data!R336),IF(AND(Data!R336&gt;(TODAY()-(Data_Val!$L$3*365.25)),Data!R336&lt;=(TODAY()-(Data_Val!$L$2*365.25))),0,1),1))</f>
        <v/>
      </c>
      <c r="Y336" s="13" t="str">
        <f>IF(Data!$G336="","",IF(Data!$G336=Data_Val!$C$2,IF(Data!S336="",0,1),0))</f>
        <v/>
      </c>
      <c r="Z336" s="13" t="str">
        <f>IF(Data!S336="","",IF(ISNUMBER(MATCH(Data!T336,Data_Val!$A$2:$A$3,0)),0,1))</f>
        <v/>
      </c>
      <c r="AA336" s="28" t="str">
        <f ca="1">IF(Data!S336="","",IF(ISNUMBER(Data!U336),IF(AND(Data!U336&gt;(TODAY()-(Data_Val!$L$3*365.25)),Data!U336&lt;=(TODAY()-(Data_Val!$L$2*365.25))),0,1),1))</f>
        <v/>
      </c>
      <c r="AB336" s="11"/>
      <c r="AC336" s="11" t="e">
        <f>IF(Data!#REF!="","",IF(ISNUMBER(MATCH(Data!#REF!,Data_Val!$A$2:$A$3,0)),0,1))</f>
        <v>#REF!</v>
      </c>
      <c r="AD336" s="11" t="e">
        <f ca="1">IF(Data!#REF!="","",IF(ISNUMBER(Data!#REF!),IF(AND(Data!#REF!&gt;(TODAY()-(Data_Val!$L$3*365.25)),Data!#REF!&lt;=(TODAY()-(Data_Val!$L$2*365.25))),0,1),1))</f>
        <v>#REF!</v>
      </c>
      <c r="AE336" s="11" t="e">
        <f>IF(Data!#REF!="","",IF(Data!$G336="",1,IF(ISNUMBER(MATCH(Data!#REF!,Data_Val!$D$2:$D$10,0)),0,1)))</f>
        <v>#REF!</v>
      </c>
      <c r="AF336" s="12"/>
      <c r="AG336" s="12" t="e">
        <f>IF(Data!#REF!="","",IF(ISNUMBER(MATCH(Data!#REF!,Data_Val!$A$2:$A$3,0)),0,1))</f>
        <v>#REF!</v>
      </c>
      <c r="AH336" s="26" t="e">
        <f ca="1">IF(Data!#REF!="","",IF(ISNUMBER(Data!#REF!),IF(AND(Data!#REF!&gt;(TODAY()-(Data_Val!$L$3*365.25)),Data!#REF!&lt;=(TODAY()-(Data_Val!$L$2*365.25))),0,1),1))</f>
        <v>#REF!</v>
      </c>
      <c r="AI336" s="12" t="e">
        <f>IF(Data!#REF!="","",IF(Data!$G336="",1,IF(ISNUMBER(MATCH(Data!#REF!,Data_Val!$D$2:$D$10,0)),0,1)))</f>
        <v>#REF!</v>
      </c>
      <c r="AJ336" s="17"/>
      <c r="AK336" s="17" t="e">
        <f>IF(Data!#REF!="","",IF(ISNUMBER(MATCH(Data!#REF!,Data_Val!$A$2:$A$3,0)),0,1))</f>
        <v>#REF!</v>
      </c>
      <c r="AL336" s="25" t="e">
        <f ca="1">IF(Data!#REF!="","",IF(ISNUMBER(Data!#REF!),IF(AND(Data!#REF!&gt;(TODAY()-(Data_Val!$L$3*365.25)),Data!#REF!&lt;=(TODAY()-(Data_Val!$L$2*365.25))),0,1),1))</f>
        <v>#REF!</v>
      </c>
      <c r="AM336" s="17" t="e">
        <f>IF(Data!#REF!="","",IF(Data!$G336="",1,IF(ISNUMBER(MATCH(Data!#REF!,Data_Val!$D$2:$D$10,0)),0,1)))</f>
        <v>#REF!</v>
      </c>
      <c r="AN336" s="13"/>
      <c r="AO336" s="28" t="e">
        <f ca="1">IF(Data!#REF!="","",IF(ISNUMBER(Data!#REF!),IF(AND(Data!#REF!&gt;(TODAY()-(Data_Val!$I$3*365.25)),Data!#REF!&lt;=(TODAY()-(Data_Val!$I$2*365.25))),0,1),1))</f>
        <v>#REF!</v>
      </c>
      <c r="AP336" s="13" t="e">
        <f>IF(Data!#REF!="","",IF(Data!$G336="",1,IF(ISNUMBER(MATCH(Data!#REF!,Data_Val!$D$2:$D$10,0)),0,1)))</f>
        <v>#REF!</v>
      </c>
      <c r="AQ336" s="17"/>
      <c r="AR336" s="30" t="e">
        <f ca="1">IF(Data!#REF!="","",IF(ISNUMBER(Data!#REF!),IF(AND(Data!#REF!&gt;(TODAY()-(Data_Val!$I$3*365.25)),Data!#REF!&lt;=(TODAY()-(Data_Val!$I$2*365.25))),0,1),1))</f>
        <v>#REF!</v>
      </c>
      <c r="AS336" s="31" t="e">
        <f>IF(Data!#REF!="","",IF(Data!$G336="",1,IF(ISNUMBER(MATCH(Data!#REF!,Data_Val!$D$2:$D$10,0)),0,1)))</f>
        <v>#REF!</v>
      </c>
      <c r="AT336" s="11"/>
      <c r="AU336" s="11" t="e">
        <f ca="1">IF(Data!#REF!="","",IF(ISNUMBER(Data!#REF!),IF(AND(Data!#REF!&gt;(TODAY()-(Data_Val!$I$3*365.25)),Data!#REF!&lt;=(TODAY()-(Data_Val!$I$2*365.25))),0,1),1))</f>
        <v>#REF!</v>
      </c>
      <c r="AV336" s="11" t="e">
        <f>IF(Data!#REF!="","",IF(Data!$G336="",1,IF(ISNUMBER(MATCH(Data!#REF!,Data_Val!$D$2:$D$10,0)),0,1)))</f>
        <v>#REF!</v>
      </c>
      <c r="AW336" s="12"/>
      <c r="AX336" s="26" t="e">
        <f ca="1">IF(Data!#REF!="","",IF(ISNUMBER(Data!#REF!),IF(AND(Data!#REF!&gt;(TODAY()-(Data_Val!$I$3*365.25)),Data!#REF!&lt;=(TODAY()-(Data_Val!$I$2*365.25))),0,1),1))</f>
        <v>#REF!</v>
      </c>
      <c r="AY336" s="12" t="e">
        <f>IF(Data!#REF!="","",IF(Data!$G336="",1,IF(ISNUMBER(MATCH(Data!#REF!,Data_Val!$D$2:$D$10,0)),0,1)))</f>
        <v>#REF!</v>
      </c>
      <c r="AZ336" s="11"/>
      <c r="BA336" s="19" t="e">
        <f ca="1">IF(Data!#REF!="","",IF(ISNUMBER(Data!#REF!),IF(AND(Data!#REF!&gt;(TODAY()-(Data_Val!$M$3*365.25)),Data!#REF!&lt;=(TODAY()-(Data_Val!$M$2*365.25))),0,1),1))</f>
        <v>#REF!</v>
      </c>
      <c r="BB336" s="11" t="e">
        <f>IF(Data!#REF!="","",IF(Data!$G336="",1,IF(ISNUMBER(MATCH(Data!#REF!,Data_Val!$D$2:$D$10,0)),0,1)))</f>
        <v>#REF!</v>
      </c>
      <c r="BC336" s="12"/>
      <c r="BD336" s="20" t="e">
        <f ca="1">IF(Data!#REF!="","",IF(ISNUMBER(Data!#REF!),IF(AND(Data!#REF!&gt;(TODAY()-(Data_Val!$M$3*365.25)),Data!#REF!&lt;=(TODAY()-(Data_Val!$M$2*365.25))),0,1),1))</f>
        <v>#REF!</v>
      </c>
      <c r="BE336" s="12" t="e">
        <f>IF(Data!#REF!="","",IF(Data!$G336="",1,IF(ISNUMBER(MATCH(Data!#REF!,Data_Val!$D$2:$D$10,0)),0,1)))</f>
        <v>#REF!</v>
      </c>
      <c r="BF336" s="17"/>
      <c r="BG336" s="18" t="e">
        <f ca="1">IF(Data!#REF!="","",IF(ISNUMBER(Data!#REF!),IF(AND(Data!#REF!&gt;(TODAY()-(Data_Val!$M$3*365.25)),Data!#REF!&lt;=(TODAY()-(Data_Val!$M$2*365.25))),0,1),1))</f>
        <v>#REF!</v>
      </c>
      <c r="BH336" s="29" t="e">
        <f>IF(Data!#REF!="","",IF(Data!$G336="",1,IF(ISNUMBER(MATCH(Data!#REF!,Data_Val!$D$2:$D$10,0)),0,1)))</f>
        <v>#REF!</v>
      </c>
      <c r="BI336" s="13"/>
      <c r="BJ336" s="21" t="e">
        <f ca="1">IF(Data!#REF!="","",IF(ISNUMBER(Data!#REF!),IF(AND(Data!#REF!&gt;(TODAY()-(Data_Val!$M$3*365.25)),Data!#REF!&lt;=(TODAY()-(Data_Val!$M$2*365.25))),0,1),1))</f>
        <v>#REF!</v>
      </c>
      <c r="BK336" s="13" t="e">
        <f>IF(Data!#REF!="","",IF(Data!$G336="",1,IF(ISNUMBER(MATCH(Data!#REF!,Data_Val!$D$2:$D$10,0)),0,1)))</f>
        <v>#REF!</v>
      </c>
    </row>
    <row r="337" spans="1:63" x14ac:dyDescent="0.25">
      <c r="A337" s="9" t="str">
        <f>IF(Data!B337="","",IF(COUNTIFS(Data!A$1:'Data'!A337,Data!A337)&lt;=1,0,1))</f>
        <v/>
      </c>
      <c r="B337" s="9"/>
      <c r="C337" s="23" t="str">
        <f>IF(Data!C337="","",(IF(ISNUMBER(MATCH("*@*.?*",Data!C337,0)),0,1)+IF(COUNTIFS(Data!C$1:'Data'!C337,Data!C337)&gt;1,1,0)))</f>
        <v/>
      </c>
      <c r="D337" s="9" t="str">
        <f>IF(Data!B337="","",IF(ISNUMBER(Data!D337),IF(AND(Data!D337&gt;999999999,Data!D337&lt;=9999999999),IF(COUNTIFS(Data!D$1:'Data'!D337,Data!D337)&lt;=1,0,1),1),1))</f>
        <v/>
      </c>
      <c r="E337" s="9" t="str">
        <f>IF(Data!B337="","",IF(ISNUMBER(MATCH(Data!E337,Data_Val!$A$2:$A$3,0)),0,1))</f>
        <v/>
      </c>
      <c r="F337" s="9" t="str">
        <f ca="1">IF(Data!B337="","",IF(ISNUMBER(Data!F337),IF(AND(Data!F337&gt;(TODAY()-(Data_Val!$H$3*365.25)),Data!F337&lt;=(TODAY()-(Data_Val!$H$2*365.25))),0,1),1))</f>
        <v/>
      </c>
      <c r="G337" s="15" t="str">
        <f>IF(Data!B337="","",IF(AND(Data!G337="",Data!H337&lt;&gt;""),1,IF(Data!#REF!&lt;&gt;"",0,IF(ISNUMBER(MATCH(Data!G337,Data_Val!$C$2:$C$5,0)),0,1))))</f>
        <v/>
      </c>
      <c r="H337" s="15" t="str">
        <f>IF(Data!B337="","",IF(AND(Data!G337&lt;&gt;"",Data!H337=""),1,IF(Data!#REF!&lt;&gt;"",0,IF(Data!G337="",1,IF(ISNUMBER(MATCH(Data!H337,Data_Val!$D$2:$D$35,0)),0,1)))))</f>
        <v/>
      </c>
      <c r="I337" s="15" t="str">
        <f>IF(Data!B337="","",IF(Data!G337&lt;&gt;"",0,IF(ISNUMBER(MATCH(Data!#REF!,Data_Val!$E$2:$E$12,0)),0,1)))</f>
        <v/>
      </c>
      <c r="J337" s="16" t="e">
        <f>IF(OR(Data!B337="",Data!#REF!=""),"",IF(Data!#REF!="",1,0))</f>
        <v>#REF!</v>
      </c>
      <c r="K337" s="16" t="e">
        <f>IF(OR(Data!B337="",Data!#REF!=""),"",IF(Data!#REF!="",1,0))</f>
        <v>#REF!</v>
      </c>
      <c r="L337" s="16" t="e">
        <f>IF(OR(Data!B337="",Data!#REF!=""),"",IF(ISNUMBER(Data!#REF!),IF(AND(Data!#REF!&gt;Data_Val!$G$2,Data!#REF!&lt;=Data_Val!$G$3),0,1),1))</f>
        <v>#REF!</v>
      </c>
      <c r="M337" s="9" t="e">
        <f>IF(OR(Data!B337="",Data!#REF!=""),"",IF(ISNUMBER(MATCH(Data!#REF!,Data_Val!$F$1:$F$38,0)),0,1))</f>
        <v>#REF!</v>
      </c>
      <c r="N337" s="9" t="e">
        <f>IF(OR(Data!B337="",Data!#REF!=""),"",IF(Data!#REF!="",1,0))</f>
        <v>#REF!</v>
      </c>
      <c r="O337" s="17" t="e">
        <f>IF(Data!#REF!="","",IF(Data!#REF!="",1,0))</f>
        <v>#REF!</v>
      </c>
      <c r="P337" s="17" t="e">
        <f>IF(Data!#REF!="","",IF(ISNUMBER(MATCH(Data!#REF!,Data_Val!$A$2:$A$3,0)),0,1))</f>
        <v>#REF!</v>
      </c>
      <c r="Q337" s="25" t="e">
        <f ca="1">IF(Data!#REF!="","",IF(ISNUMBER(Data!#REF!),IF(AND(Data!#REF!&gt;(TODAY()-(Data_Val!$J$3*365.25)),Data!#REF!&lt;=(TODAY()-(Data_Val!$J$2*365.25))),0,1),1))</f>
        <v>#REF!</v>
      </c>
      <c r="R337" s="17" t="e">
        <f>IF(Data!#REF!="","",IF(ISNUMBER(MATCH(Data!#REF!,Data_Val!$B$2:$B$15,0)),0,1))</f>
        <v>#REF!</v>
      </c>
      <c r="S337" s="11" t="str">
        <f>IF(Data!G337="","",IF(Data!G337=Data_Val!$C$2,IF(Data!M337="",0,1),0))</f>
        <v/>
      </c>
      <c r="T337" s="11" t="str">
        <f>IF(Data!M337="","",IF(ISNUMBER(MATCH(Data!N337,Data_Val!$A$2:$A$3,0)),0,1))</f>
        <v/>
      </c>
      <c r="U337" s="11" t="str">
        <f ca="1">IF(Data!M337="","",IF(ISNUMBER(Data!O337),IF(AND(Data!O337&gt;(TODAY()-(Data_Val!$K$3*365.25)),Data!O337&lt;=(TODAY()-(Data_Val!$K$2*365.25))),0,1),1))</f>
        <v/>
      </c>
      <c r="V337" s="12" t="str">
        <f>IF(Data!G337="","",IF(Data!G337=Data_Val!$C$2,IF(Data!P337="",0,1),0))</f>
        <v/>
      </c>
      <c r="W337" s="12" t="str">
        <f>IF(Data!P337="","",IF(ISNUMBER(MATCH(Data!Q337,Data_Val!$A$2:$A$3,0)),0,1))</f>
        <v/>
      </c>
      <c r="X337" s="26" t="str">
        <f ca="1">IF(Data!P337="","",IF(ISNUMBER(Data!R337),IF(AND(Data!R337&gt;(TODAY()-(Data_Val!$L$3*365.25)),Data!R337&lt;=(TODAY()-(Data_Val!$L$2*365.25))),0,1),1))</f>
        <v/>
      </c>
      <c r="Y337" s="13" t="str">
        <f>IF(Data!$G337="","",IF(Data!$G337=Data_Val!$C$2,IF(Data!S337="",0,1),0))</f>
        <v/>
      </c>
      <c r="Z337" s="13" t="str">
        <f>IF(Data!S337="","",IF(ISNUMBER(MATCH(Data!T337,Data_Val!$A$2:$A$3,0)),0,1))</f>
        <v/>
      </c>
      <c r="AA337" s="28" t="str">
        <f ca="1">IF(Data!S337="","",IF(ISNUMBER(Data!U337),IF(AND(Data!U337&gt;(TODAY()-(Data_Val!$L$3*365.25)),Data!U337&lt;=(TODAY()-(Data_Val!$L$2*365.25))),0,1),1))</f>
        <v/>
      </c>
      <c r="AB337" s="11"/>
      <c r="AC337" s="11" t="e">
        <f>IF(Data!#REF!="","",IF(ISNUMBER(MATCH(Data!#REF!,Data_Val!$A$2:$A$3,0)),0,1))</f>
        <v>#REF!</v>
      </c>
      <c r="AD337" s="11" t="e">
        <f ca="1">IF(Data!#REF!="","",IF(ISNUMBER(Data!#REF!),IF(AND(Data!#REF!&gt;(TODAY()-(Data_Val!$L$3*365.25)),Data!#REF!&lt;=(TODAY()-(Data_Val!$L$2*365.25))),0,1),1))</f>
        <v>#REF!</v>
      </c>
      <c r="AE337" s="11" t="e">
        <f>IF(Data!#REF!="","",IF(Data!$G337="",1,IF(ISNUMBER(MATCH(Data!#REF!,Data_Val!$D$2:$D$10,0)),0,1)))</f>
        <v>#REF!</v>
      </c>
      <c r="AF337" s="12"/>
      <c r="AG337" s="12" t="e">
        <f>IF(Data!#REF!="","",IF(ISNUMBER(MATCH(Data!#REF!,Data_Val!$A$2:$A$3,0)),0,1))</f>
        <v>#REF!</v>
      </c>
      <c r="AH337" s="26" t="e">
        <f ca="1">IF(Data!#REF!="","",IF(ISNUMBER(Data!#REF!),IF(AND(Data!#REF!&gt;(TODAY()-(Data_Val!$L$3*365.25)),Data!#REF!&lt;=(TODAY()-(Data_Val!$L$2*365.25))),0,1),1))</f>
        <v>#REF!</v>
      </c>
      <c r="AI337" s="12" t="e">
        <f>IF(Data!#REF!="","",IF(Data!$G337="",1,IF(ISNUMBER(MATCH(Data!#REF!,Data_Val!$D$2:$D$10,0)),0,1)))</f>
        <v>#REF!</v>
      </c>
      <c r="AJ337" s="17"/>
      <c r="AK337" s="17" t="e">
        <f>IF(Data!#REF!="","",IF(ISNUMBER(MATCH(Data!#REF!,Data_Val!$A$2:$A$3,0)),0,1))</f>
        <v>#REF!</v>
      </c>
      <c r="AL337" s="25" t="e">
        <f ca="1">IF(Data!#REF!="","",IF(ISNUMBER(Data!#REF!),IF(AND(Data!#REF!&gt;(TODAY()-(Data_Val!$L$3*365.25)),Data!#REF!&lt;=(TODAY()-(Data_Val!$L$2*365.25))),0,1),1))</f>
        <v>#REF!</v>
      </c>
      <c r="AM337" s="17" t="e">
        <f>IF(Data!#REF!="","",IF(Data!$G337="",1,IF(ISNUMBER(MATCH(Data!#REF!,Data_Val!$D$2:$D$10,0)),0,1)))</f>
        <v>#REF!</v>
      </c>
      <c r="AN337" s="13"/>
      <c r="AO337" s="28" t="e">
        <f ca="1">IF(Data!#REF!="","",IF(ISNUMBER(Data!#REF!),IF(AND(Data!#REF!&gt;(TODAY()-(Data_Val!$I$3*365.25)),Data!#REF!&lt;=(TODAY()-(Data_Val!$I$2*365.25))),0,1),1))</f>
        <v>#REF!</v>
      </c>
      <c r="AP337" s="13" t="e">
        <f>IF(Data!#REF!="","",IF(Data!$G337="",1,IF(ISNUMBER(MATCH(Data!#REF!,Data_Val!$D$2:$D$10,0)),0,1)))</f>
        <v>#REF!</v>
      </c>
      <c r="AQ337" s="17"/>
      <c r="AR337" s="30" t="e">
        <f ca="1">IF(Data!#REF!="","",IF(ISNUMBER(Data!#REF!),IF(AND(Data!#REF!&gt;(TODAY()-(Data_Val!$I$3*365.25)),Data!#REF!&lt;=(TODAY()-(Data_Val!$I$2*365.25))),0,1),1))</f>
        <v>#REF!</v>
      </c>
      <c r="AS337" s="31" t="e">
        <f>IF(Data!#REF!="","",IF(Data!$G337="",1,IF(ISNUMBER(MATCH(Data!#REF!,Data_Val!$D$2:$D$10,0)),0,1)))</f>
        <v>#REF!</v>
      </c>
      <c r="AT337" s="11"/>
      <c r="AU337" s="11" t="e">
        <f ca="1">IF(Data!#REF!="","",IF(ISNUMBER(Data!#REF!),IF(AND(Data!#REF!&gt;(TODAY()-(Data_Val!$I$3*365.25)),Data!#REF!&lt;=(TODAY()-(Data_Val!$I$2*365.25))),0,1),1))</f>
        <v>#REF!</v>
      </c>
      <c r="AV337" s="11" t="e">
        <f>IF(Data!#REF!="","",IF(Data!$G337="",1,IF(ISNUMBER(MATCH(Data!#REF!,Data_Val!$D$2:$D$10,0)),0,1)))</f>
        <v>#REF!</v>
      </c>
      <c r="AW337" s="12"/>
      <c r="AX337" s="26" t="e">
        <f ca="1">IF(Data!#REF!="","",IF(ISNUMBER(Data!#REF!),IF(AND(Data!#REF!&gt;(TODAY()-(Data_Val!$I$3*365.25)),Data!#REF!&lt;=(TODAY()-(Data_Val!$I$2*365.25))),0,1),1))</f>
        <v>#REF!</v>
      </c>
      <c r="AY337" s="12" t="e">
        <f>IF(Data!#REF!="","",IF(Data!$G337="",1,IF(ISNUMBER(MATCH(Data!#REF!,Data_Val!$D$2:$D$10,0)),0,1)))</f>
        <v>#REF!</v>
      </c>
      <c r="AZ337" s="11"/>
      <c r="BA337" s="19" t="e">
        <f ca="1">IF(Data!#REF!="","",IF(ISNUMBER(Data!#REF!),IF(AND(Data!#REF!&gt;(TODAY()-(Data_Val!$M$3*365.25)),Data!#REF!&lt;=(TODAY()-(Data_Val!$M$2*365.25))),0,1),1))</f>
        <v>#REF!</v>
      </c>
      <c r="BB337" s="11" t="e">
        <f>IF(Data!#REF!="","",IF(Data!$G337="",1,IF(ISNUMBER(MATCH(Data!#REF!,Data_Val!$D$2:$D$10,0)),0,1)))</f>
        <v>#REF!</v>
      </c>
      <c r="BC337" s="12"/>
      <c r="BD337" s="20" t="e">
        <f ca="1">IF(Data!#REF!="","",IF(ISNUMBER(Data!#REF!),IF(AND(Data!#REF!&gt;(TODAY()-(Data_Val!$M$3*365.25)),Data!#REF!&lt;=(TODAY()-(Data_Val!$M$2*365.25))),0,1),1))</f>
        <v>#REF!</v>
      </c>
      <c r="BE337" s="12" t="e">
        <f>IF(Data!#REF!="","",IF(Data!$G337="",1,IF(ISNUMBER(MATCH(Data!#REF!,Data_Val!$D$2:$D$10,0)),0,1)))</f>
        <v>#REF!</v>
      </c>
      <c r="BF337" s="17"/>
      <c r="BG337" s="18" t="e">
        <f ca="1">IF(Data!#REF!="","",IF(ISNUMBER(Data!#REF!),IF(AND(Data!#REF!&gt;(TODAY()-(Data_Val!$M$3*365.25)),Data!#REF!&lt;=(TODAY()-(Data_Val!$M$2*365.25))),0,1),1))</f>
        <v>#REF!</v>
      </c>
      <c r="BH337" s="29" t="e">
        <f>IF(Data!#REF!="","",IF(Data!$G337="",1,IF(ISNUMBER(MATCH(Data!#REF!,Data_Val!$D$2:$D$10,0)),0,1)))</f>
        <v>#REF!</v>
      </c>
      <c r="BI337" s="13"/>
      <c r="BJ337" s="21" t="e">
        <f ca="1">IF(Data!#REF!="","",IF(ISNUMBER(Data!#REF!),IF(AND(Data!#REF!&gt;(TODAY()-(Data_Val!$M$3*365.25)),Data!#REF!&lt;=(TODAY()-(Data_Val!$M$2*365.25))),0,1),1))</f>
        <v>#REF!</v>
      </c>
      <c r="BK337" s="13" t="e">
        <f>IF(Data!#REF!="","",IF(Data!$G337="",1,IF(ISNUMBER(MATCH(Data!#REF!,Data_Val!$D$2:$D$10,0)),0,1)))</f>
        <v>#REF!</v>
      </c>
    </row>
    <row r="338" spans="1:63" x14ac:dyDescent="0.25">
      <c r="A338" s="9" t="str">
        <f>IF(Data!B338="","",IF(COUNTIFS(Data!A$1:'Data'!A338,Data!A338)&lt;=1,0,1))</f>
        <v/>
      </c>
      <c r="B338" s="9"/>
      <c r="C338" s="23" t="str">
        <f>IF(Data!C338="","",(IF(ISNUMBER(MATCH("*@*.?*",Data!C338,0)),0,1)+IF(COUNTIFS(Data!C$1:'Data'!C338,Data!C338)&gt;1,1,0)))</f>
        <v/>
      </c>
      <c r="D338" s="9" t="str">
        <f>IF(Data!B338="","",IF(ISNUMBER(Data!D338),IF(AND(Data!D338&gt;999999999,Data!D338&lt;=9999999999),IF(COUNTIFS(Data!D$1:'Data'!D338,Data!D338)&lt;=1,0,1),1),1))</f>
        <v/>
      </c>
      <c r="E338" s="9" t="str">
        <f>IF(Data!B338="","",IF(ISNUMBER(MATCH(Data!E338,Data_Val!$A$2:$A$3,0)),0,1))</f>
        <v/>
      </c>
      <c r="F338" s="9" t="str">
        <f ca="1">IF(Data!B338="","",IF(ISNUMBER(Data!F338),IF(AND(Data!F338&gt;(TODAY()-(Data_Val!$H$3*365.25)),Data!F338&lt;=(TODAY()-(Data_Val!$H$2*365.25))),0,1),1))</f>
        <v/>
      </c>
      <c r="G338" s="15" t="str">
        <f>IF(Data!B338="","",IF(AND(Data!G338="",Data!H338&lt;&gt;""),1,IF(Data!#REF!&lt;&gt;"",0,IF(ISNUMBER(MATCH(Data!G338,Data_Val!$C$2:$C$5,0)),0,1))))</f>
        <v/>
      </c>
      <c r="H338" s="15" t="str">
        <f>IF(Data!B338="","",IF(AND(Data!G338&lt;&gt;"",Data!H338=""),1,IF(Data!#REF!&lt;&gt;"",0,IF(Data!G338="",1,IF(ISNUMBER(MATCH(Data!H338,Data_Val!$D$2:$D$35,0)),0,1)))))</f>
        <v/>
      </c>
      <c r="I338" s="15" t="str">
        <f>IF(Data!B338="","",IF(Data!G338&lt;&gt;"",0,IF(ISNUMBER(MATCH(Data!#REF!,Data_Val!$E$2:$E$12,0)),0,1)))</f>
        <v/>
      </c>
      <c r="J338" s="16" t="e">
        <f>IF(OR(Data!B338="",Data!#REF!=""),"",IF(Data!#REF!="",1,0))</f>
        <v>#REF!</v>
      </c>
      <c r="K338" s="16" t="e">
        <f>IF(OR(Data!B338="",Data!#REF!=""),"",IF(Data!#REF!="",1,0))</f>
        <v>#REF!</v>
      </c>
      <c r="L338" s="16" t="e">
        <f>IF(OR(Data!B338="",Data!#REF!=""),"",IF(ISNUMBER(Data!#REF!),IF(AND(Data!#REF!&gt;Data_Val!$G$2,Data!#REF!&lt;=Data_Val!$G$3),0,1),1))</f>
        <v>#REF!</v>
      </c>
      <c r="M338" s="9" t="e">
        <f>IF(OR(Data!B338="",Data!#REF!=""),"",IF(ISNUMBER(MATCH(Data!#REF!,Data_Val!$F$1:$F$38,0)),0,1))</f>
        <v>#REF!</v>
      </c>
      <c r="N338" s="9" t="e">
        <f>IF(OR(Data!B338="",Data!#REF!=""),"",IF(Data!#REF!="",1,0))</f>
        <v>#REF!</v>
      </c>
      <c r="O338" s="17" t="e">
        <f>IF(Data!#REF!="","",IF(Data!#REF!="",1,0))</f>
        <v>#REF!</v>
      </c>
      <c r="P338" s="17" t="e">
        <f>IF(Data!#REF!="","",IF(ISNUMBER(MATCH(Data!#REF!,Data_Val!$A$2:$A$3,0)),0,1))</f>
        <v>#REF!</v>
      </c>
      <c r="Q338" s="25" t="e">
        <f ca="1">IF(Data!#REF!="","",IF(ISNUMBER(Data!#REF!),IF(AND(Data!#REF!&gt;(TODAY()-(Data_Val!$J$3*365.25)),Data!#REF!&lt;=(TODAY()-(Data_Val!$J$2*365.25))),0,1),1))</f>
        <v>#REF!</v>
      </c>
      <c r="R338" s="17" t="e">
        <f>IF(Data!#REF!="","",IF(ISNUMBER(MATCH(Data!#REF!,Data_Val!$B$2:$B$15,0)),0,1))</f>
        <v>#REF!</v>
      </c>
      <c r="S338" s="11" t="str">
        <f>IF(Data!G338="","",IF(Data!G338=Data_Val!$C$2,IF(Data!M338="",0,1),0))</f>
        <v/>
      </c>
      <c r="T338" s="11" t="str">
        <f>IF(Data!M338="","",IF(ISNUMBER(MATCH(Data!N338,Data_Val!$A$2:$A$3,0)),0,1))</f>
        <v/>
      </c>
      <c r="U338" s="11" t="str">
        <f ca="1">IF(Data!M338="","",IF(ISNUMBER(Data!O338),IF(AND(Data!O338&gt;(TODAY()-(Data_Val!$K$3*365.25)),Data!O338&lt;=(TODAY()-(Data_Val!$K$2*365.25))),0,1),1))</f>
        <v/>
      </c>
      <c r="V338" s="12" t="str">
        <f>IF(Data!G338="","",IF(Data!G338=Data_Val!$C$2,IF(Data!P338="",0,1),0))</f>
        <v/>
      </c>
      <c r="W338" s="12" t="str">
        <f>IF(Data!P338="","",IF(ISNUMBER(MATCH(Data!Q338,Data_Val!$A$2:$A$3,0)),0,1))</f>
        <v/>
      </c>
      <c r="X338" s="26" t="str">
        <f ca="1">IF(Data!P338="","",IF(ISNUMBER(Data!R338),IF(AND(Data!R338&gt;(TODAY()-(Data_Val!$L$3*365.25)),Data!R338&lt;=(TODAY()-(Data_Val!$L$2*365.25))),0,1),1))</f>
        <v/>
      </c>
      <c r="Y338" s="13" t="str">
        <f>IF(Data!$G338="","",IF(Data!$G338=Data_Val!$C$2,IF(Data!S338="",0,1),0))</f>
        <v/>
      </c>
      <c r="Z338" s="13" t="str">
        <f>IF(Data!S338="","",IF(ISNUMBER(MATCH(Data!T338,Data_Val!$A$2:$A$3,0)),0,1))</f>
        <v/>
      </c>
      <c r="AA338" s="28" t="str">
        <f ca="1">IF(Data!S338="","",IF(ISNUMBER(Data!U338),IF(AND(Data!U338&gt;(TODAY()-(Data_Val!$L$3*365.25)),Data!U338&lt;=(TODAY()-(Data_Val!$L$2*365.25))),0,1),1))</f>
        <v/>
      </c>
      <c r="AB338" s="11"/>
      <c r="AC338" s="11" t="e">
        <f>IF(Data!#REF!="","",IF(ISNUMBER(MATCH(Data!#REF!,Data_Val!$A$2:$A$3,0)),0,1))</f>
        <v>#REF!</v>
      </c>
      <c r="AD338" s="11" t="e">
        <f ca="1">IF(Data!#REF!="","",IF(ISNUMBER(Data!#REF!),IF(AND(Data!#REF!&gt;(TODAY()-(Data_Val!$L$3*365.25)),Data!#REF!&lt;=(TODAY()-(Data_Val!$L$2*365.25))),0,1),1))</f>
        <v>#REF!</v>
      </c>
      <c r="AE338" s="11" t="e">
        <f>IF(Data!#REF!="","",IF(Data!$G338="",1,IF(ISNUMBER(MATCH(Data!#REF!,Data_Val!$D$2:$D$10,0)),0,1)))</f>
        <v>#REF!</v>
      </c>
      <c r="AF338" s="12"/>
      <c r="AG338" s="12" t="e">
        <f>IF(Data!#REF!="","",IF(ISNUMBER(MATCH(Data!#REF!,Data_Val!$A$2:$A$3,0)),0,1))</f>
        <v>#REF!</v>
      </c>
      <c r="AH338" s="26" t="e">
        <f ca="1">IF(Data!#REF!="","",IF(ISNUMBER(Data!#REF!),IF(AND(Data!#REF!&gt;(TODAY()-(Data_Val!$L$3*365.25)),Data!#REF!&lt;=(TODAY()-(Data_Val!$L$2*365.25))),0,1),1))</f>
        <v>#REF!</v>
      </c>
      <c r="AI338" s="12" t="e">
        <f>IF(Data!#REF!="","",IF(Data!$G338="",1,IF(ISNUMBER(MATCH(Data!#REF!,Data_Val!$D$2:$D$10,0)),0,1)))</f>
        <v>#REF!</v>
      </c>
      <c r="AJ338" s="17"/>
      <c r="AK338" s="17" t="e">
        <f>IF(Data!#REF!="","",IF(ISNUMBER(MATCH(Data!#REF!,Data_Val!$A$2:$A$3,0)),0,1))</f>
        <v>#REF!</v>
      </c>
      <c r="AL338" s="25" t="e">
        <f ca="1">IF(Data!#REF!="","",IF(ISNUMBER(Data!#REF!),IF(AND(Data!#REF!&gt;(TODAY()-(Data_Val!$L$3*365.25)),Data!#REF!&lt;=(TODAY()-(Data_Val!$L$2*365.25))),0,1),1))</f>
        <v>#REF!</v>
      </c>
      <c r="AM338" s="17" t="e">
        <f>IF(Data!#REF!="","",IF(Data!$G338="",1,IF(ISNUMBER(MATCH(Data!#REF!,Data_Val!$D$2:$D$10,0)),0,1)))</f>
        <v>#REF!</v>
      </c>
      <c r="AN338" s="13"/>
      <c r="AO338" s="28" t="e">
        <f ca="1">IF(Data!#REF!="","",IF(ISNUMBER(Data!#REF!),IF(AND(Data!#REF!&gt;(TODAY()-(Data_Val!$I$3*365.25)),Data!#REF!&lt;=(TODAY()-(Data_Val!$I$2*365.25))),0,1),1))</f>
        <v>#REF!</v>
      </c>
      <c r="AP338" s="13" t="e">
        <f>IF(Data!#REF!="","",IF(Data!$G338="",1,IF(ISNUMBER(MATCH(Data!#REF!,Data_Val!$D$2:$D$10,0)),0,1)))</f>
        <v>#REF!</v>
      </c>
      <c r="AQ338" s="17"/>
      <c r="AR338" s="30" t="e">
        <f ca="1">IF(Data!#REF!="","",IF(ISNUMBER(Data!#REF!),IF(AND(Data!#REF!&gt;(TODAY()-(Data_Val!$I$3*365.25)),Data!#REF!&lt;=(TODAY()-(Data_Val!$I$2*365.25))),0,1),1))</f>
        <v>#REF!</v>
      </c>
      <c r="AS338" s="31" t="e">
        <f>IF(Data!#REF!="","",IF(Data!$G338="",1,IF(ISNUMBER(MATCH(Data!#REF!,Data_Val!$D$2:$D$10,0)),0,1)))</f>
        <v>#REF!</v>
      </c>
      <c r="AT338" s="11"/>
      <c r="AU338" s="11" t="e">
        <f ca="1">IF(Data!#REF!="","",IF(ISNUMBER(Data!#REF!),IF(AND(Data!#REF!&gt;(TODAY()-(Data_Val!$I$3*365.25)),Data!#REF!&lt;=(TODAY()-(Data_Val!$I$2*365.25))),0,1),1))</f>
        <v>#REF!</v>
      </c>
      <c r="AV338" s="11" t="e">
        <f>IF(Data!#REF!="","",IF(Data!$G338="",1,IF(ISNUMBER(MATCH(Data!#REF!,Data_Val!$D$2:$D$10,0)),0,1)))</f>
        <v>#REF!</v>
      </c>
      <c r="AW338" s="12"/>
      <c r="AX338" s="26" t="e">
        <f ca="1">IF(Data!#REF!="","",IF(ISNUMBER(Data!#REF!),IF(AND(Data!#REF!&gt;(TODAY()-(Data_Val!$I$3*365.25)),Data!#REF!&lt;=(TODAY()-(Data_Val!$I$2*365.25))),0,1),1))</f>
        <v>#REF!</v>
      </c>
      <c r="AY338" s="12" t="e">
        <f>IF(Data!#REF!="","",IF(Data!$G338="",1,IF(ISNUMBER(MATCH(Data!#REF!,Data_Val!$D$2:$D$10,0)),0,1)))</f>
        <v>#REF!</v>
      </c>
      <c r="AZ338" s="11"/>
      <c r="BA338" s="19" t="e">
        <f ca="1">IF(Data!#REF!="","",IF(ISNUMBER(Data!#REF!),IF(AND(Data!#REF!&gt;(TODAY()-(Data_Val!$M$3*365.25)),Data!#REF!&lt;=(TODAY()-(Data_Val!$M$2*365.25))),0,1),1))</f>
        <v>#REF!</v>
      </c>
      <c r="BB338" s="11" t="e">
        <f>IF(Data!#REF!="","",IF(Data!$G338="",1,IF(ISNUMBER(MATCH(Data!#REF!,Data_Val!$D$2:$D$10,0)),0,1)))</f>
        <v>#REF!</v>
      </c>
      <c r="BC338" s="12"/>
      <c r="BD338" s="20" t="e">
        <f ca="1">IF(Data!#REF!="","",IF(ISNUMBER(Data!#REF!),IF(AND(Data!#REF!&gt;(TODAY()-(Data_Val!$M$3*365.25)),Data!#REF!&lt;=(TODAY()-(Data_Val!$M$2*365.25))),0,1),1))</f>
        <v>#REF!</v>
      </c>
      <c r="BE338" s="12" t="e">
        <f>IF(Data!#REF!="","",IF(Data!$G338="",1,IF(ISNUMBER(MATCH(Data!#REF!,Data_Val!$D$2:$D$10,0)),0,1)))</f>
        <v>#REF!</v>
      </c>
      <c r="BF338" s="17"/>
      <c r="BG338" s="18" t="e">
        <f ca="1">IF(Data!#REF!="","",IF(ISNUMBER(Data!#REF!),IF(AND(Data!#REF!&gt;(TODAY()-(Data_Val!$M$3*365.25)),Data!#REF!&lt;=(TODAY()-(Data_Val!$M$2*365.25))),0,1),1))</f>
        <v>#REF!</v>
      </c>
      <c r="BH338" s="29" t="e">
        <f>IF(Data!#REF!="","",IF(Data!$G338="",1,IF(ISNUMBER(MATCH(Data!#REF!,Data_Val!$D$2:$D$10,0)),0,1)))</f>
        <v>#REF!</v>
      </c>
      <c r="BI338" s="13"/>
      <c r="BJ338" s="21" t="e">
        <f ca="1">IF(Data!#REF!="","",IF(ISNUMBER(Data!#REF!),IF(AND(Data!#REF!&gt;(TODAY()-(Data_Val!$M$3*365.25)),Data!#REF!&lt;=(TODAY()-(Data_Val!$M$2*365.25))),0,1),1))</f>
        <v>#REF!</v>
      </c>
      <c r="BK338" s="13" t="e">
        <f>IF(Data!#REF!="","",IF(Data!$G338="",1,IF(ISNUMBER(MATCH(Data!#REF!,Data_Val!$D$2:$D$10,0)),0,1)))</f>
        <v>#REF!</v>
      </c>
    </row>
    <row r="339" spans="1:63" x14ac:dyDescent="0.25">
      <c r="A339" s="9" t="str">
        <f>IF(Data!B339="","",IF(COUNTIFS(Data!A$1:'Data'!A339,Data!A339)&lt;=1,0,1))</f>
        <v/>
      </c>
      <c r="B339" s="9"/>
      <c r="C339" s="23" t="str">
        <f>IF(Data!C339="","",(IF(ISNUMBER(MATCH("*@*.?*",Data!C339,0)),0,1)+IF(COUNTIFS(Data!C$1:'Data'!C339,Data!C339)&gt;1,1,0)))</f>
        <v/>
      </c>
      <c r="D339" s="9" t="str">
        <f>IF(Data!B339="","",IF(ISNUMBER(Data!D339),IF(AND(Data!D339&gt;999999999,Data!D339&lt;=9999999999),IF(COUNTIFS(Data!D$1:'Data'!D339,Data!D339)&lt;=1,0,1),1),1))</f>
        <v/>
      </c>
      <c r="E339" s="9" t="str">
        <f>IF(Data!B339="","",IF(ISNUMBER(MATCH(Data!E339,Data_Val!$A$2:$A$3,0)),0,1))</f>
        <v/>
      </c>
      <c r="F339" s="9" t="str">
        <f ca="1">IF(Data!B339="","",IF(ISNUMBER(Data!F339),IF(AND(Data!F339&gt;(TODAY()-(Data_Val!$H$3*365.25)),Data!F339&lt;=(TODAY()-(Data_Val!$H$2*365.25))),0,1),1))</f>
        <v/>
      </c>
      <c r="G339" s="15" t="str">
        <f>IF(Data!B339="","",IF(AND(Data!G339="",Data!H339&lt;&gt;""),1,IF(Data!#REF!&lt;&gt;"",0,IF(ISNUMBER(MATCH(Data!G339,Data_Val!$C$2:$C$5,0)),0,1))))</f>
        <v/>
      </c>
      <c r="H339" s="15" t="str">
        <f>IF(Data!B339="","",IF(AND(Data!G339&lt;&gt;"",Data!H339=""),1,IF(Data!#REF!&lt;&gt;"",0,IF(Data!G339="",1,IF(ISNUMBER(MATCH(Data!H339,Data_Val!$D$2:$D$35,0)),0,1)))))</f>
        <v/>
      </c>
      <c r="I339" s="15" t="str">
        <f>IF(Data!B339="","",IF(Data!G339&lt;&gt;"",0,IF(ISNUMBER(MATCH(Data!#REF!,Data_Val!$E$2:$E$12,0)),0,1)))</f>
        <v/>
      </c>
      <c r="J339" s="16" t="e">
        <f>IF(OR(Data!B339="",Data!#REF!=""),"",IF(Data!#REF!="",1,0))</f>
        <v>#REF!</v>
      </c>
      <c r="K339" s="16" t="e">
        <f>IF(OR(Data!B339="",Data!#REF!=""),"",IF(Data!#REF!="",1,0))</f>
        <v>#REF!</v>
      </c>
      <c r="L339" s="16" t="e">
        <f>IF(OR(Data!B339="",Data!#REF!=""),"",IF(ISNUMBER(Data!#REF!),IF(AND(Data!#REF!&gt;Data_Val!$G$2,Data!#REF!&lt;=Data_Val!$G$3),0,1),1))</f>
        <v>#REF!</v>
      </c>
      <c r="M339" s="9" t="e">
        <f>IF(OR(Data!B339="",Data!#REF!=""),"",IF(ISNUMBER(MATCH(Data!#REF!,Data_Val!$F$1:$F$38,0)),0,1))</f>
        <v>#REF!</v>
      </c>
      <c r="N339" s="9" t="e">
        <f>IF(OR(Data!B339="",Data!#REF!=""),"",IF(Data!#REF!="",1,0))</f>
        <v>#REF!</v>
      </c>
      <c r="O339" s="17" t="e">
        <f>IF(Data!#REF!="","",IF(Data!#REF!="",1,0))</f>
        <v>#REF!</v>
      </c>
      <c r="P339" s="17" t="e">
        <f>IF(Data!#REF!="","",IF(ISNUMBER(MATCH(Data!#REF!,Data_Val!$A$2:$A$3,0)),0,1))</f>
        <v>#REF!</v>
      </c>
      <c r="Q339" s="25" t="e">
        <f ca="1">IF(Data!#REF!="","",IF(ISNUMBER(Data!#REF!),IF(AND(Data!#REF!&gt;(TODAY()-(Data_Val!$J$3*365.25)),Data!#REF!&lt;=(TODAY()-(Data_Val!$J$2*365.25))),0,1),1))</f>
        <v>#REF!</v>
      </c>
      <c r="R339" s="17" t="e">
        <f>IF(Data!#REF!="","",IF(ISNUMBER(MATCH(Data!#REF!,Data_Val!$B$2:$B$15,0)),0,1))</f>
        <v>#REF!</v>
      </c>
      <c r="S339" s="11" t="str">
        <f>IF(Data!G339="","",IF(Data!G339=Data_Val!$C$2,IF(Data!M339="",0,1),0))</f>
        <v/>
      </c>
      <c r="T339" s="11" t="str">
        <f>IF(Data!M339="","",IF(ISNUMBER(MATCH(Data!N339,Data_Val!$A$2:$A$3,0)),0,1))</f>
        <v/>
      </c>
      <c r="U339" s="11" t="str">
        <f ca="1">IF(Data!M339="","",IF(ISNUMBER(Data!O339),IF(AND(Data!O339&gt;(TODAY()-(Data_Val!$K$3*365.25)),Data!O339&lt;=(TODAY()-(Data_Val!$K$2*365.25))),0,1),1))</f>
        <v/>
      </c>
      <c r="V339" s="12" t="str">
        <f>IF(Data!G339="","",IF(Data!G339=Data_Val!$C$2,IF(Data!P339="",0,1),0))</f>
        <v/>
      </c>
      <c r="W339" s="12" t="str">
        <f>IF(Data!P339="","",IF(ISNUMBER(MATCH(Data!Q339,Data_Val!$A$2:$A$3,0)),0,1))</f>
        <v/>
      </c>
      <c r="X339" s="26" t="str">
        <f ca="1">IF(Data!P339="","",IF(ISNUMBER(Data!R339),IF(AND(Data!R339&gt;(TODAY()-(Data_Val!$L$3*365.25)),Data!R339&lt;=(TODAY()-(Data_Val!$L$2*365.25))),0,1),1))</f>
        <v/>
      </c>
      <c r="Y339" s="13" t="str">
        <f>IF(Data!$G339="","",IF(Data!$G339=Data_Val!$C$2,IF(Data!S339="",0,1),0))</f>
        <v/>
      </c>
      <c r="Z339" s="13" t="str">
        <f>IF(Data!S339="","",IF(ISNUMBER(MATCH(Data!T339,Data_Val!$A$2:$A$3,0)),0,1))</f>
        <v/>
      </c>
      <c r="AA339" s="28" t="str">
        <f ca="1">IF(Data!S339="","",IF(ISNUMBER(Data!U339),IF(AND(Data!U339&gt;(TODAY()-(Data_Val!$L$3*365.25)),Data!U339&lt;=(TODAY()-(Data_Val!$L$2*365.25))),0,1),1))</f>
        <v/>
      </c>
      <c r="AB339" s="11"/>
      <c r="AC339" s="11" t="e">
        <f>IF(Data!#REF!="","",IF(ISNUMBER(MATCH(Data!#REF!,Data_Val!$A$2:$A$3,0)),0,1))</f>
        <v>#REF!</v>
      </c>
      <c r="AD339" s="11" t="e">
        <f ca="1">IF(Data!#REF!="","",IF(ISNUMBER(Data!#REF!),IF(AND(Data!#REF!&gt;(TODAY()-(Data_Val!$L$3*365.25)),Data!#REF!&lt;=(TODAY()-(Data_Val!$L$2*365.25))),0,1),1))</f>
        <v>#REF!</v>
      </c>
      <c r="AE339" s="11" t="e">
        <f>IF(Data!#REF!="","",IF(Data!$G339="",1,IF(ISNUMBER(MATCH(Data!#REF!,Data_Val!$D$2:$D$10,0)),0,1)))</f>
        <v>#REF!</v>
      </c>
      <c r="AF339" s="12"/>
      <c r="AG339" s="12" t="e">
        <f>IF(Data!#REF!="","",IF(ISNUMBER(MATCH(Data!#REF!,Data_Val!$A$2:$A$3,0)),0,1))</f>
        <v>#REF!</v>
      </c>
      <c r="AH339" s="26" t="e">
        <f ca="1">IF(Data!#REF!="","",IF(ISNUMBER(Data!#REF!),IF(AND(Data!#REF!&gt;(TODAY()-(Data_Val!$L$3*365.25)),Data!#REF!&lt;=(TODAY()-(Data_Val!$L$2*365.25))),0,1),1))</f>
        <v>#REF!</v>
      </c>
      <c r="AI339" s="12" t="e">
        <f>IF(Data!#REF!="","",IF(Data!$G339="",1,IF(ISNUMBER(MATCH(Data!#REF!,Data_Val!$D$2:$D$10,0)),0,1)))</f>
        <v>#REF!</v>
      </c>
      <c r="AJ339" s="17"/>
      <c r="AK339" s="17" t="e">
        <f>IF(Data!#REF!="","",IF(ISNUMBER(MATCH(Data!#REF!,Data_Val!$A$2:$A$3,0)),0,1))</f>
        <v>#REF!</v>
      </c>
      <c r="AL339" s="25" t="e">
        <f ca="1">IF(Data!#REF!="","",IF(ISNUMBER(Data!#REF!),IF(AND(Data!#REF!&gt;(TODAY()-(Data_Val!$L$3*365.25)),Data!#REF!&lt;=(TODAY()-(Data_Val!$L$2*365.25))),0,1),1))</f>
        <v>#REF!</v>
      </c>
      <c r="AM339" s="17" t="e">
        <f>IF(Data!#REF!="","",IF(Data!$G339="",1,IF(ISNUMBER(MATCH(Data!#REF!,Data_Val!$D$2:$D$10,0)),0,1)))</f>
        <v>#REF!</v>
      </c>
      <c r="AN339" s="13"/>
      <c r="AO339" s="28" t="e">
        <f ca="1">IF(Data!#REF!="","",IF(ISNUMBER(Data!#REF!),IF(AND(Data!#REF!&gt;(TODAY()-(Data_Val!$I$3*365.25)),Data!#REF!&lt;=(TODAY()-(Data_Val!$I$2*365.25))),0,1),1))</f>
        <v>#REF!</v>
      </c>
      <c r="AP339" s="13" t="e">
        <f>IF(Data!#REF!="","",IF(Data!$G339="",1,IF(ISNUMBER(MATCH(Data!#REF!,Data_Val!$D$2:$D$10,0)),0,1)))</f>
        <v>#REF!</v>
      </c>
      <c r="AQ339" s="17"/>
      <c r="AR339" s="30" t="e">
        <f ca="1">IF(Data!#REF!="","",IF(ISNUMBER(Data!#REF!),IF(AND(Data!#REF!&gt;(TODAY()-(Data_Val!$I$3*365.25)),Data!#REF!&lt;=(TODAY()-(Data_Val!$I$2*365.25))),0,1),1))</f>
        <v>#REF!</v>
      </c>
      <c r="AS339" s="31" t="e">
        <f>IF(Data!#REF!="","",IF(Data!$G339="",1,IF(ISNUMBER(MATCH(Data!#REF!,Data_Val!$D$2:$D$10,0)),0,1)))</f>
        <v>#REF!</v>
      </c>
      <c r="AT339" s="11"/>
      <c r="AU339" s="11" t="e">
        <f ca="1">IF(Data!#REF!="","",IF(ISNUMBER(Data!#REF!),IF(AND(Data!#REF!&gt;(TODAY()-(Data_Val!$I$3*365.25)),Data!#REF!&lt;=(TODAY()-(Data_Val!$I$2*365.25))),0,1),1))</f>
        <v>#REF!</v>
      </c>
      <c r="AV339" s="11" t="e">
        <f>IF(Data!#REF!="","",IF(Data!$G339="",1,IF(ISNUMBER(MATCH(Data!#REF!,Data_Val!$D$2:$D$10,0)),0,1)))</f>
        <v>#REF!</v>
      </c>
      <c r="AW339" s="12"/>
      <c r="AX339" s="26" t="e">
        <f ca="1">IF(Data!#REF!="","",IF(ISNUMBER(Data!#REF!),IF(AND(Data!#REF!&gt;(TODAY()-(Data_Val!$I$3*365.25)),Data!#REF!&lt;=(TODAY()-(Data_Val!$I$2*365.25))),0,1),1))</f>
        <v>#REF!</v>
      </c>
      <c r="AY339" s="12" t="e">
        <f>IF(Data!#REF!="","",IF(Data!$G339="",1,IF(ISNUMBER(MATCH(Data!#REF!,Data_Val!$D$2:$D$10,0)),0,1)))</f>
        <v>#REF!</v>
      </c>
      <c r="AZ339" s="11"/>
      <c r="BA339" s="19" t="e">
        <f ca="1">IF(Data!#REF!="","",IF(ISNUMBER(Data!#REF!),IF(AND(Data!#REF!&gt;(TODAY()-(Data_Val!$M$3*365.25)),Data!#REF!&lt;=(TODAY()-(Data_Val!$M$2*365.25))),0,1),1))</f>
        <v>#REF!</v>
      </c>
      <c r="BB339" s="11" t="e">
        <f>IF(Data!#REF!="","",IF(Data!$G339="",1,IF(ISNUMBER(MATCH(Data!#REF!,Data_Val!$D$2:$D$10,0)),0,1)))</f>
        <v>#REF!</v>
      </c>
      <c r="BC339" s="12"/>
      <c r="BD339" s="20" t="e">
        <f ca="1">IF(Data!#REF!="","",IF(ISNUMBER(Data!#REF!),IF(AND(Data!#REF!&gt;(TODAY()-(Data_Val!$M$3*365.25)),Data!#REF!&lt;=(TODAY()-(Data_Val!$M$2*365.25))),0,1),1))</f>
        <v>#REF!</v>
      </c>
      <c r="BE339" s="12" t="e">
        <f>IF(Data!#REF!="","",IF(Data!$G339="",1,IF(ISNUMBER(MATCH(Data!#REF!,Data_Val!$D$2:$D$10,0)),0,1)))</f>
        <v>#REF!</v>
      </c>
      <c r="BF339" s="17"/>
      <c r="BG339" s="18" t="e">
        <f ca="1">IF(Data!#REF!="","",IF(ISNUMBER(Data!#REF!),IF(AND(Data!#REF!&gt;(TODAY()-(Data_Val!$M$3*365.25)),Data!#REF!&lt;=(TODAY()-(Data_Val!$M$2*365.25))),0,1),1))</f>
        <v>#REF!</v>
      </c>
      <c r="BH339" s="29" t="e">
        <f>IF(Data!#REF!="","",IF(Data!$G339="",1,IF(ISNUMBER(MATCH(Data!#REF!,Data_Val!$D$2:$D$10,0)),0,1)))</f>
        <v>#REF!</v>
      </c>
      <c r="BI339" s="13"/>
      <c r="BJ339" s="21" t="e">
        <f ca="1">IF(Data!#REF!="","",IF(ISNUMBER(Data!#REF!),IF(AND(Data!#REF!&gt;(TODAY()-(Data_Val!$M$3*365.25)),Data!#REF!&lt;=(TODAY()-(Data_Val!$M$2*365.25))),0,1),1))</f>
        <v>#REF!</v>
      </c>
      <c r="BK339" s="13" t="e">
        <f>IF(Data!#REF!="","",IF(Data!$G339="",1,IF(ISNUMBER(MATCH(Data!#REF!,Data_Val!$D$2:$D$10,0)),0,1)))</f>
        <v>#REF!</v>
      </c>
    </row>
    <row r="340" spans="1:63" x14ac:dyDescent="0.25">
      <c r="A340" s="9" t="str">
        <f>IF(Data!B340="","",IF(COUNTIFS(Data!A$1:'Data'!A340,Data!A340)&lt;=1,0,1))</f>
        <v/>
      </c>
      <c r="B340" s="9"/>
      <c r="C340" s="23" t="str">
        <f>IF(Data!C340="","",(IF(ISNUMBER(MATCH("*@*.?*",Data!C340,0)),0,1)+IF(COUNTIFS(Data!C$1:'Data'!C340,Data!C340)&gt;1,1,0)))</f>
        <v/>
      </c>
      <c r="D340" s="9" t="str">
        <f>IF(Data!B340="","",IF(ISNUMBER(Data!D340),IF(AND(Data!D340&gt;999999999,Data!D340&lt;=9999999999),IF(COUNTIFS(Data!D$1:'Data'!D340,Data!D340)&lt;=1,0,1),1),1))</f>
        <v/>
      </c>
      <c r="E340" s="9" t="str">
        <f>IF(Data!B340="","",IF(ISNUMBER(MATCH(Data!E340,Data_Val!$A$2:$A$3,0)),0,1))</f>
        <v/>
      </c>
      <c r="F340" s="9" t="str">
        <f ca="1">IF(Data!B340="","",IF(ISNUMBER(Data!F340),IF(AND(Data!F340&gt;(TODAY()-(Data_Val!$H$3*365.25)),Data!F340&lt;=(TODAY()-(Data_Val!$H$2*365.25))),0,1),1))</f>
        <v/>
      </c>
      <c r="G340" s="15" t="str">
        <f>IF(Data!B340="","",IF(AND(Data!G340="",Data!H340&lt;&gt;""),1,IF(Data!#REF!&lt;&gt;"",0,IF(ISNUMBER(MATCH(Data!G340,Data_Val!$C$2:$C$5,0)),0,1))))</f>
        <v/>
      </c>
      <c r="H340" s="15" t="str">
        <f>IF(Data!B340="","",IF(AND(Data!G340&lt;&gt;"",Data!H340=""),1,IF(Data!#REF!&lt;&gt;"",0,IF(Data!G340="",1,IF(ISNUMBER(MATCH(Data!H340,Data_Val!$D$2:$D$35,0)),0,1)))))</f>
        <v/>
      </c>
      <c r="I340" s="15" t="str">
        <f>IF(Data!B340="","",IF(Data!G340&lt;&gt;"",0,IF(ISNUMBER(MATCH(Data!#REF!,Data_Val!$E$2:$E$12,0)),0,1)))</f>
        <v/>
      </c>
      <c r="J340" s="16" t="e">
        <f>IF(OR(Data!B340="",Data!#REF!=""),"",IF(Data!#REF!="",1,0))</f>
        <v>#REF!</v>
      </c>
      <c r="K340" s="16" t="e">
        <f>IF(OR(Data!B340="",Data!#REF!=""),"",IF(Data!#REF!="",1,0))</f>
        <v>#REF!</v>
      </c>
      <c r="L340" s="16" t="e">
        <f>IF(OR(Data!B340="",Data!#REF!=""),"",IF(ISNUMBER(Data!#REF!),IF(AND(Data!#REF!&gt;Data_Val!$G$2,Data!#REF!&lt;=Data_Val!$G$3),0,1),1))</f>
        <v>#REF!</v>
      </c>
      <c r="M340" s="9" t="e">
        <f>IF(OR(Data!B340="",Data!#REF!=""),"",IF(ISNUMBER(MATCH(Data!#REF!,Data_Val!$F$1:$F$38,0)),0,1))</f>
        <v>#REF!</v>
      </c>
      <c r="N340" s="9" t="e">
        <f>IF(OR(Data!B340="",Data!#REF!=""),"",IF(Data!#REF!="",1,0))</f>
        <v>#REF!</v>
      </c>
      <c r="O340" s="17" t="e">
        <f>IF(Data!#REF!="","",IF(Data!#REF!="",1,0))</f>
        <v>#REF!</v>
      </c>
      <c r="P340" s="17" t="e">
        <f>IF(Data!#REF!="","",IF(ISNUMBER(MATCH(Data!#REF!,Data_Val!$A$2:$A$3,0)),0,1))</f>
        <v>#REF!</v>
      </c>
      <c r="Q340" s="25" t="e">
        <f ca="1">IF(Data!#REF!="","",IF(ISNUMBER(Data!#REF!),IF(AND(Data!#REF!&gt;(TODAY()-(Data_Val!$J$3*365.25)),Data!#REF!&lt;=(TODAY()-(Data_Val!$J$2*365.25))),0,1),1))</f>
        <v>#REF!</v>
      </c>
      <c r="R340" s="17" t="e">
        <f>IF(Data!#REF!="","",IF(ISNUMBER(MATCH(Data!#REF!,Data_Val!$B$2:$B$15,0)),0,1))</f>
        <v>#REF!</v>
      </c>
      <c r="S340" s="11" t="str">
        <f>IF(Data!G340="","",IF(Data!G340=Data_Val!$C$2,IF(Data!M340="",0,1),0))</f>
        <v/>
      </c>
      <c r="T340" s="11" t="str">
        <f>IF(Data!M340="","",IF(ISNUMBER(MATCH(Data!N340,Data_Val!$A$2:$A$3,0)),0,1))</f>
        <v/>
      </c>
      <c r="U340" s="11" t="str">
        <f ca="1">IF(Data!M340="","",IF(ISNUMBER(Data!O340),IF(AND(Data!O340&gt;(TODAY()-(Data_Val!$K$3*365.25)),Data!O340&lt;=(TODAY()-(Data_Val!$K$2*365.25))),0,1),1))</f>
        <v/>
      </c>
      <c r="V340" s="12" t="str">
        <f>IF(Data!G340="","",IF(Data!G340=Data_Val!$C$2,IF(Data!P340="",0,1),0))</f>
        <v/>
      </c>
      <c r="W340" s="12" t="str">
        <f>IF(Data!P340="","",IF(ISNUMBER(MATCH(Data!Q340,Data_Val!$A$2:$A$3,0)),0,1))</f>
        <v/>
      </c>
      <c r="X340" s="26" t="str">
        <f ca="1">IF(Data!P340="","",IF(ISNUMBER(Data!R340),IF(AND(Data!R340&gt;(TODAY()-(Data_Val!$L$3*365.25)),Data!R340&lt;=(TODAY()-(Data_Val!$L$2*365.25))),0,1),1))</f>
        <v/>
      </c>
      <c r="Y340" s="13" t="str">
        <f>IF(Data!$G340="","",IF(Data!$G340=Data_Val!$C$2,IF(Data!S340="",0,1),0))</f>
        <v/>
      </c>
      <c r="Z340" s="13" t="str">
        <f>IF(Data!S340="","",IF(ISNUMBER(MATCH(Data!T340,Data_Val!$A$2:$A$3,0)),0,1))</f>
        <v/>
      </c>
      <c r="AA340" s="28" t="str">
        <f ca="1">IF(Data!S340="","",IF(ISNUMBER(Data!U340),IF(AND(Data!U340&gt;(TODAY()-(Data_Val!$L$3*365.25)),Data!U340&lt;=(TODAY()-(Data_Val!$L$2*365.25))),0,1),1))</f>
        <v/>
      </c>
      <c r="AB340" s="11"/>
      <c r="AC340" s="11" t="e">
        <f>IF(Data!#REF!="","",IF(ISNUMBER(MATCH(Data!#REF!,Data_Val!$A$2:$A$3,0)),0,1))</f>
        <v>#REF!</v>
      </c>
      <c r="AD340" s="11" t="e">
        <f ca="1">IF(Data!#REF!="","",IF(ISNUMBER(Data!#REF!),IF(AND(Data!#REF!&gt;(TODAY()-(Data_Val!$L$3*365.25)),Data!#REF!&lt;=(TODAY()-(Data_Val!$L$2*365.25))),0,1),1))</f>
        <v>#REF!</v>
      </c>
      <c r="AE340" s="11" t="e">
        <f>IF(Data!#REF!="","",IF(Data!$G340="",1,IF(ISNUMBER(MATCH(Data!#REF!,Data_Val!$D$2:$D$10,0)),0,1)))</f>
        <v>#REF!</v>
      </c>
      <c r="AF340" s="12"/>
      <c r="AG340" s="12" t="e">
        <f>IF(Data!#REF!="","",IF(ISNUMBER(MATCH(Data!#REF!,Data_Val!$A$2:$A$3,0)),0,1))</f>
        <v>#REF!</v>
      </c>
      <c r="AH340" s="26" t="e">
        <f ca="1">IF(Data!#REF!="","",IF(ISNUMBER(Data!#REF!),IF(AND(Data!#REF!&gt;(TODAY()-(Data_Val!$L$3*365.25)),Data!#REF!&lt;=(TODAY()-(Data_Val!$L$2*365.25))),0,1),1))</f>
        <v>#REF!</v>
      </c>
      <c r="AI340" s="12" t="e">
        <f>IF(Data!#REF!="","",IF(Data!$G340="",1,IF(ISNUMBER(MATCH(Data!#REF!,Data_Val!$D$2:$D$10,0)),0,1)))</f>
        <v>#REF!</v>
      </c>
      <c r="AJ340" s="17"/>
      <c r="AK340" s="17" t="e">
        <f>IF(Data!#REF!="","",IF(ISNUMBER(MATCH(Data!#REF!,Data_Val!$A$2:$A$3,0)),0,1))</f>
        <v>#REF!</v>
      </c>
      <c r="AL340" s="25" t="e">
        <f ca="1">IF(Data!#REF!="","",IF(ISNUMBER(Data!#REF!),IF(AND(Data!#REF!&gt;(TODAY()-(Data_Val!$L$3*365.25)),Data!#REF!&lt;=(TODAY()-(Data_Val!$L$2*365.25))),0,1),1))</f>
        <v>#REF!</v>
      </c>
      <c r="AM340" s="17" t="e">
        <f>IF(Data!#REF!="","",IF(Data!$G340="",1,IF(ISNUMBER(MATCH(Data!#REF!,Data_Val!$D$2:$D$10,0)),0,1)))</f>
        <v>#REF!</v>
      </c>
      <c r="AN340" s="13"/>
      <c r="AO340" s="28" t="e">
        <f ca="1">IF(Data!#REF!="","",IF(ISNUMBER(Data!#REF!),IF(AND(Data!#REF!&gt;(TODAY()-(Data_Val!$I$3*365.25)),Data!#REF!&lt;=(TODAY()-(Data_Val!$I$2*365.25))),0,1),1))</f>
        <v>#REF!</v>
      </c>
      <c r="AP340" s="13" t="e">
        <f>IF(Data!#REF!="","",IF(Data!$G340="",1,IF(ISNUMBER(MATCH(Data!#REF!,Data_Val!$D$2:$D$10,0)),0,1)))</f>
        <v>#REF!</v>
      </c>
      <c r="AQ340" s="17"/>
      <c r="AR340" s="30" t="e">
        <f ca="1">IF(Data!#REF!="","",IF(ISNUMBER(Data!#REF!),IF(AND(Data!#REF!&gt;(TODAY()-(Data_Val!$I$3*365.25)),Data!#REF!&lt;=(TODAY()-(Data_Val!$I$2*365.25))),0,1),1))</f>
        <v>#REF!</v>
      </c>
      <c r="AS340" s="31" t="e">
        <f>IF(Data!#REF!="","",IF(Data!$G340="",1,IF(ISNUMBER(MATCH(Data!#REF!,Data_Val!$D$2:$D$10,0)),0,1)))</f>
        <v>#REF!</v>
      </c>
      <c r="AT340" s="11"/>
      <c r="AU340" s="11" t="e">
        <f ca="1">IF(Data!#REF!="","",IF(ISNUMBER(Data!#REF!),IF(AND(Data!#REF!&gt;(TODAY()-(Data_Val!$I$3*365.25)),Data!#REF!&lt;=(TODAY()-(Data_Val!$I$2*365.25))),0,1),1))</f>
        <v>#REF!</v>
      </c>
      <c r="AV340" s="11" t="e">
        <f>IF(Data!#REF!="","",IF(Data!$G340="",1,IF(ISNUMBER(MATCH(Data!#REF!,Data_Val!$D$2:$D$10,0)),0,1)))</f>
        <v>#REF!</v>
      </c>
      <c r="AW340" s="12"/>
      <c r="AX340" s="26" t="e">
        <f ca="1">IF(Data!#REF!="","",IF(ISNUMBER(Data!#REF!),IF(AND(Data!#REF!&gt;(TODAY()-(Data_Val!$I$3*365.25)),Data!#REF!&lt;=(TODAY()-(Data_Val!$I$2*365.25))),0,1),1))</f>
        <v>#REF!</v>
      </c>
      <c r="AY340" s="12" t="e">
        <f>IF(Data!#REF!="","",IF(Data!$G340="",1,IF(ISNUMBER(MATCH(Data!#REF!,Data_Val!$D$2:$D$10,0)),0,1)))</f>
        <v>#REF!</v>
      </c>
      <c r="AZ340" s="11"/>
      <c r="BA340" s="19" t="e">
        <f ca="1">IF(Data!#REF!="","",IF(ISNUMBER(Data!#REF!),IF(AND(Data!#REF!&gt;(TODAY()-(Data_Val!$M$3*365.25)),Data!#REF!&lt;=(TODAY()-(Data_Val!$M$2*365.25))),0,1),1))</f>
        <v>#REF!</v>
      </c>
      <c r="BB340" s="11" t="e">
        <f>IF(Data!#REF!="","",IF(Data!$G340="",1,IF(ISNUMBER(MATCH(Data!#REF!,Data_Val!$D$2:$D$10,0)),0,1)))</f>
        <v>#REF!</v>
      </c>
      <c r="BC340" s="12"/>
      <c r="BD340" s="20" t="e">
        <f ca="1">IF(Data!#REF!="","",IF(ISNUMBER(Data!#REF!),IF(AND(Data!#REF!&gt;(TODAY()-(Data_Val!$M$3*365.25)),Data!#REF!&lt;=(TODAY()-(Data_Val!$M$2*365.25))),0,1),1))</f>
        <v>#REF!</v>
      </c>
      <c r="BE340" s="12" t="e">
        <f>IF(Data!#REF!="","",IF(Data!$G340="",1,IF(ISNUMBER(MATCH(Data!#REF!,Data_Val!$D$2:$D$10,0)),0,1)))</f>
        <v>#REF!</v>
      </c>
      <c r="BF340" s="17"/>
      <c r="BG340" s="18" t="e">
        <f ca="1">IF(Data!#REF!="","",IF(ISNUMBER(Data!#REF!),IF(AND(Data!#REF!&gt;(TODAY()-(Data_Val!$M$3*365.25)),Data!#REF!&lt;=(TODAY()-(Data_Val!$M$2*365.25))),0,1),1))</f>
        <v>#REF!</v>
      </c>
      <c r="BH340" s="29" t="e">
        <f>IF(Data!#REF!="","",IF(Data!$G340="",1,IF(ISNUMBER(MATCH(Data!#REF!,Data_Val!$D$2:$D$10,0)),0,1)))</f>
        <v>#REF!</v>
      </c>
      <c r="BI340" s="13"/>
      <c r="BJ340" s="21" t="e">
        <f ca="1">IF(Data!#REF!="","",IF(ISNUMBER(Data!#REF!),IF(AND(Data!#REF!&gt;(TODAY()-(Data_Val!$M$3*365.25)),Data!#REF!&lt;=(TODAY()-(Data_Val!$M$2*365.25))),0,1),1))</f>
        <v>#REF!</v>
      </c>
      <c r="BK340" s="13" t="e">
        <f>IF(Data!#REF!="","",IF(Data!$G340="",1,IF(ISNUMBER(MATCH(Data!#REF!,Data_Val!$D$2:$D$10,0)),0,1)))</f>
        <v>#REF!</v>
      </c>
    </row>
    <row r="341" spans="1:63" x14ac:dyDescent="0.25">
      <c r="A341" s="9" t="str">
        <f>IF(Data!B341="","",IF(COUNTIFS(Data!A$1:'Data'!A341,Data!A341)&lt;=1,0,1))</f>
        <v/>
      </c>
      <c r="B341" s="9"/>
      <c r="C341" s="23" t="str">
        <f>IF(Data!C341="","",(IF(ISNUMBER(MATCH("*@*.?*",Data!C341,0)),0,1)+IF(COUNTIFS(Data!C$1:'Data'!C341,Data!C341)&gt;1,1,0)))</f>
        <v/>
      </c>
      <c r="D341" s="9" t="str">
        <f>IF(Data!B341="","",IF(ISNUMBER(Data!D341),IF(AND(Data!D341&gt;999999999,Data!D341&lt;=9999999999),IF(COUNTIFS(Data!D$1:'Data'!D341,Data!D341)&lt;=1,0,1),1),1))</f>
        <v/>
      </c>
      <c r="E341" s="9" t="str">
        <f>IF(Data!B341="","",IF(ISNUMBER(MATCH(Data!E341,Data_Val!$A$2:$A$3,0)),0,1))</f>
        <v/>
      </c>
      <c r="F341" s="9" t="str">
        <f ca="1">IF(Data!B341="","",IF(ISNUMBER(Data!F341),IF(AND(Data!F341&gt;(TODAY()-(Data_Val!$H$3*365.25)),Data!F341&lt;=(TODAY()-(Data_Val!$H$2*365.25))),0,1),1))</f>
        <v/>
      </c>
      <c r="G341" s="15" t="str">
        <f>IF(Data!B341="","",IF(AND(Data!G341="",Data!H341&lt;&gt;""),1,IF(Data!#REF!&lt;&gt;"",0,IF(ISNUMBER(MATCH(Data!G341,Data_Val!$C$2:$C$5,0)),0,1))))</f>
        <v/>
      </c>
      <c r="H341" s="15" t="str">
        <f>IF(Data!B341="","",IF(AND(Data!G341&lt;&gt;"",Data!H341=""),1,IF(Data!#REF!&lt;&gt;"",0,IF(Data!G341="",1,IF(ISNUMBER(MATCH(Data!H341,Data_Val!$D$2:$D$35,0)),0,1)))))</f>
        <v/>
      </c>
      <c r="I341" s="15" t="str">
        <f>IF(Data!B341="","",IF(Data!G341&lt;&gt;"",0,IF(ISNUMBER(MATCH(Data!#REF!,Data_Val!$E$2:$E$12,0)),0,1)))</f>
        <v/>
      </c>
      <c r="J341" s="16" t="e">
        <f>IF(OR(Data!B341="",Data!#REF!=""),"",IF(Data!#REF!="",1,0))</f>
        <v>#REF!</v>
      </c>
      <c r="K341" s="16" t="e">
        <f>IF(OR(Data!B341="",Data!#REF!=""),"",IF(Data!#REF!="",1,0))</f>
        <v>#REF!</v>
      </c>
      <c r="L341" s="16" t="e">
        <f>IF(OR(Data!B341="",Data!#REF!=""),"",IF(ISNUMBER(Data!#REF!),IF(AND(Data!#REF!&gt;Data_Val!$G$2,Data!#REF!&lt;=Data_Val!$G$3),0,1),1))</f>
        <v>#REF!</v>
      </c>
      <c r="M341" s="9" t="e">
        <f>IF(OR(Data!B341="",Data!#REF!=""),"",IF(ISNUMBER(MATCH(Data!#REF!,Data_Val!$F$1:$F$38,0)),0,1))</f>
        <v>#REF!</v>
      </c>
      <c r="N341" s="9" t="e">
        <f>IF(OR(Data!B341="",Data!#REF!=""),"",IF(Data!#REF!="",1,0))</f>
        <v>#REF!</v>
      </c>
      <c r="O341" s="17" t="e">
        <f>IF(Data!#REF!="","",IF(Data!#REF!="",1,0))</f>
        <v>#REF!</v>
      </c>
      <c r="P341" s="17" t="e">
        <f>IF(Data!#REF!="","",IF(ISNUMBER(MATCH(Data!#REF!,Data_Val!$A$2:$A$3,0)),0,1))</f>
        <v>#REF!</v>
      </c>
      <c r="Q341" s="25" t="e">
        <f ca="1">IF(Data!#REF!="","",IF(ISNUMBER(Data!#REF!),IF(AND(Data!#REF!&gt;(TODAY()-(Data_Val!$J$3*365.25)),Data!#REF!&lt;=(TODAY()-(Data_Val!$J$2*365.25))),0,1),1))</f>
        <v>#REF!</v>
      </c>
      <c r="R341" s="17" t="e">
        <f>IF(Data!#REF!="","",IF(ISNUMBER(MATCH(Data!#REF!,Data_Val!$B$2:$B$15,0)),0,1))</f>
        <v>#REF!</v>
      </c>
      <c r="S341" s="11" t="str">
        <f>IF(Data!G341="","",IF(Data!G341=Data_Val!$C$2,IF(Data!M341="",0,1),0))</f>
        <v/>
      </c>
      <c r="T341" s="11" t="str">
        <f>IF(Data!M341="","",IF(ISNUMBER(MATCH(Data!N341,Data_Val!$A$2:$A$3,0)),0,1))</f>
        <v/>
      </c>
      <c r="U341" s="11" t="str">
        <f ca="1">IF(Data!M341="","",IF(ISNUMBER(Data!O341),IF(AND(Data!O341&gt;(TODAY()-(Data_Val!$K$3*365.25)),Data!O341&lt;=(TODAY()-(Data_Val!$K$2*365.25))),0,1),1))</f>
        <v/>
      </c>
      <c r="V341" s="12" t="str">
        <f>IF(Data!G341="","",IF(Data!G341=Data_Val!$C$2,IF(Data!P341="",0,1),0))</f>
        <v/>
      </c>
      <c r="W341" s="12" t="str">
        <f>IF(Data!P341="","",IF(ISNUMBER(MATCH(Data!Q341,Data_Val!$A$2:$A$3,0)),0,1))</f>
        <v/>
      </c>
      <c r="X341" s="26" t="str">
        <f ca="1">IF(Data!P341="","",IF(ISNUMBER(Data!R341),IF(AND(Data!R341&gt;(TODAY()-(Data_Val!$L$3*365.25)),Data!R341&lt;=(TODAY()-(Data_Val!$L$2*365.25))),0,1),1))</f>
        <v/>
      </c>
      <c r="Y341" s="13" t="str">
        <f>IF(Data!$G341="","",IF(Data!$G341=Data_Val!$C$2,IF(Data!S341="",0,1),0))</f>
        <v/>
      </c>
      <c r="Z341" s="13" t="str">
        <f>IF(Data!S341="","",IF(ISNUMBER(MATCH(Data!T341,Data_Val!$A$2:$A$3,0)),0,1))</f>
        <v/>
      </c>
      <c r="AA341" s="28" t="str">
        <f ca="1">IF(Data!S341="","",IF(ISNUMBER(Data!U341),IF(AND(Data!U341&gt;(TODAY()-(Data_Val!$L$3*365.25)),Data!U341&lt;=(TODAY()-(Data_Val!$L$2*365.25))),0,1),1))</f>
        <v/>
      </c>
      <c r="AB341" s="11"/>
      <c r="AC341" s="11" t="e">
        <f>IF(Data!#REF!="","",IF(ISNUMBER(MATCH(Data!#REF!,Data_Val!$A$2:$A$3,0)),0,1))</f>
        <v>#REF!</v>
      </c>
      <c r="AD341" s="11" t="e">
        <f ca="1">IF(Data!#REF!="","",IF(ISNUMBER(Data!#REF!),IF(AND(Data!#REF!&gt;(TODAY()-(Data_Val!$L$3*365.25)),Data!#REF!&lt;=(TODAY()-(Data_Val!$L$2*365.25))),0,1),1))</f>
        <v>#REF!</v>
      </c>
      <c r="AE341" s="11" t="e">
        <f>IF(Data!#REF!="","",IF(Data!$G341="",1,IF(ISNUMBER(MATCH(Data!#REF!,Data_Val!$D$2:$D$10,0)),0,1)))</f>
        <v>#REF!</v>
      </c>
      <c r="AF341" s="12"/>
      <c r="AG341" s="12" t="e">
        <f>IF(Data!#REF!="","",IF(ISNUMBER(MATCH(Data!#REF!,Data_Val!$A$2:$A$3,0)),0,1))</f>
        <v>#REF!</v>
      </c>
      <c r="AH341" s="26" t="e">
        <f ca="1">IF(Data!#REF!="","",IF(ISNUMBER(Data!#REF!),IF(AND(Data!#REF!&gt;(TODAY()-(Data_Val!$L$3*365.25)),Data!#REF!&lt;=(TODAY()-(Data_Val!$L$2*365.25))),0,1),1))</f>
        <v>#REF!</v>
      </c>
      <c r="AI341" s="12" t="e">
        <f>IF(Data!#REF!="","",IF(Data!$G341="",1,IF(ISNUMBER(MATCH(Data!#REF!,Data_Val!$D$2:$D$10,0)),0,1)))</f>
        <v>#REF!</v>
      </c>
      <c r="AJ341" s="17"/>
      <c r="AK341" s="17" t="e">
        <f>IF(Data!#REF!="","",IF(ISNUMBER(MATCH(Data!#REF!,Data_Val!$A$2:$A$3,0)),0,1))</f>
        <v>#REF!</v>
      </c>
      <c r="AL341" s="25" t="e">
        <f ca="1">IF(Data!#REF!="","",IF(ISNUMBER(Data!#REF!),IF(AND(Data!#REF!&gt;(TODAY()-(Data_Val!$L$3*365.25)),Data!#REF!&lt;=(TODAY()-(Data_Val!$L$2*365.25))),0,1),1))</f>
        <v>#REF!</v>
      </c>
      <c r="AM341" s="17" t="e">
        <f>IF(Data!#REF!="","",IF(Data!$G341="",1,IF(ISNUMBER(MATCH(Data!#REF!,Data_Val!$D$2:$D$10,0)),0,1)))</f>
        <v>#REF!</v>
      </c>
      <c r="AN341" s="13"/>
      <c r="AO341" s="28" t="e">
        <f ca="1">IF(Data!#REF!="","",IF(ISNUMBER(Data!#REF!),IF(AND(Data!#REF!&gt;(TODAY()-(Data_Val!$I$3*365.25)),Data!#REF!&lt;=(TODAY()-(Data_Val!$I$2*365.25))),0,1),1))</f>
        <v>#REF!</v>
      </c>
      <c r="AP341" s="13" t="e">
        <f>IF(Data!#REF!="","",IF(Data!$G341="",1,IF(ISNUMBER(MATCH(Data!#REF!,Data_Val!$D$2:$D$10,0)),0,1)))</f>
        <v>#REF!</v>
      </c>
      <c r="AQ341" s="17"/>
      <c r="AR341" s="30" t="e">
        <f ca="1">IF(Data!#REF!="","",IF(ISNUMBER(Data!#REF!),IF(AND(Data!#REF!&gt;(TODAY()-(Data_Val!$I$3*365.25)),Data!#REF!&lt;=(TODAY()-(Data_Val!$I$2*365.25))),0,1),1))</f>
        <v>#REF!</v>
      </c>
      <c r="AS341" s="31" t="e">
        <f>IF(Data!#REF!="","",IF(Data!$G341="",1,IF(ISNUMBER(MATCH(Data!#REF!,Data_Val!$D$2:$D$10,0)),0,1)))</f>
        <v>#REF!</v>
      </c>
      <c r="AT341" s="11"/>
      <c r="AU341" s="11" t="e">
        <f ca="1">IF(Data!#REF!="","",IF(ISNUMBER(Data!#REF!),IF(AND(Data!#REF!&gt;(TODAY()-(Data_Val!$I$3*365.25)),Data!#REF!&lt;=(TODAY()-(Data_Val!$I$2*365.25))),0,1),1))</f>
        <v>#REF!</v>
      </c>
      <c r="AV341" s="11" t="e">
        <f>IF(Data!#REF!="","",IF(Data!$G341="",1,IF(ISNUMBER(MATCH(Data!#REF!,Data_Val!$D$2:$D$10,0)),0,1)))</f>
        <v>#REF!</v>
      </c>
      <c r="AW341" s="12"/>
      <c r="AX341" s="26" t="e">
        <f ca="1">IF(Data!#REF!="","",IF(ISNUMBER(Data!#REF!),IF(AND(Data!#REF!&gt;(TODAY()-(Data_Val!$I$3*365.25)),Data!#REF!&lt;=(TODAY()-(Data_Val!$I$2*365.25))),0,1),1))</f>
        <v>#REF!</v>
      </c>
      <c r="AY341" s="12" t="e">
        <f>IF(Data!#REF!="","",IF(Data!$G341="",1,IF(ISNUMBER(MATCH(Data!#REF!,Data_Val!$D$2:$D$10,0)),0,1)))</f>
        <v>#REF!</v>
      </c>
      <c r="AZ341" s="11"/>
      <c r="BA341" s="19" t="e">
        <f ca="1">IF(Data!#REF!="","",IF(ISNUMBER(Data!#REF!),IF(AND(Data!#REF!&gt;(TODAY()-(Data_Val!$M$3*365.25)),Data!#REF!&lt;=(TODAY()-(Data_Val!$M$2*365.25))),0,1),1))</f>
        <v>#REF!</v>
      </c>
      <c r="BB341" s="11" t="e">
        <f>IF(Data!#REF!="","",IF(Data!$G341="",1,IF(ISNUMBER(MATCH(Data!#REF!,Data_Val!$D$2:$D$10,0)),0,1)))</f>
        <v>#REF!</v>
      </c>
      <c r="BC341" s="12"/>
      <c r="BD341" s="20" t="e">
        <f ca="1">IF(Data!#REF!="","",IF(ISNUMBER(Data!#REF!),IF(AND(Data!#REF!&gt;(TODAY()-(Data_Val!$M$3*365.25)),Data!#REF!&lt;=(TODAY()-(Data_Val!$M$2*365.25))),0,1),1))</f>
        <v>#REF!</v>
      </c>
      <c r="BE341" s="12" t="e">
        <f>IF(Data!#REF!="","",IF(Data!$G341="",1,IF(ISNUMBER(MATCH(Data!#REF!,Data_Val!$D$2:$D$10,0)),0,1)))</f>
        <v>#REF!</v>
      </c>
      <c r="BF341" s="17"/>
      <c r="BG341" s="18" t="e">
        <f ca="1">IF(Data!#REF!="","",IF(ISNUMBER(Data!#REF!),IF(AND(Data!#REF!&gt;(TODAY()-(Data_Val!$M$3*365.25)),Data!#REF!&lt;=(TODAY()-(Data_Val!$M$2*365.25))),0,1),1))</f>
        <v>#REF!</v>
      </c>
      <c r="BH341" s="29" t="e">
        <f>IF(Data!#REF!="","",IF(Data!$G341="",1,IF(ISNUMBER(MATCH(Data!#REF!,Data_Val!$D$2:$D$10,0)),0,1)))</f>
        <v>#REF!</v>
      </c>
      <c r="BI341" s="13"/>
      <c r="BJ341" s="21" t="e">
        <f ca="1">IF(Data!#REF!="","",IF(ISNUMBER(Data!#REF!),IF(AND(Data!#REF!&gt;(TODAY()-(Data_Val!$M$3*365.25)),Data!#REF!&lt;=(TODAY()-(Data_Val!$M$2*365.25))),0,1),1))</f>
        <v>#REF!</v>
      </c>
      <c r="BK341" s="13" t="e">
        <f>IF(Data!#REF!="","",IF(Data!$G341="",1,IF(ISNUMBER(MATCH(Data!#REF!,Data_Val!$D$2:$D$10,0)),0,1)))</f>
        <v>#REF!</v>
      </c>
    </row>
    <row r="342" spans="1:63" x14ac:dyDescent="0.25">
      <c r="A342" s="9" t="str">
        <f>IF(Data!B342="","",IF(COUNTIFS(Data!A$1:'Data'!A342,Data!A342)&lt;=1,0,1))</f>
        <v/>
      </c>
      <c r="B342" s="9"/>
      <c r="C342" s="23" t="str">
        <f>IF(Data!C342="","",(IF(ISNUMBER(MATCH("*@*.?*",Data!C342,0)),0,1)+IF(COUNTIFS(Data!C$1:'Data'!C342,Data!C342)&gt;1,1,0)))</f>
        <v/>
      </c>
      <c r="D342" s="9" t="str">
        <f>IF(Data!B342="","",IF(ISNUMBER(Data!D342),IF(AND(Data!D342&gt;999999999,Data!D342&lt;=9999999999),IF(COUNTIFS(Data!D$1:'Data'!D342,Data!D342)&lt;=1,0,1),1),1))</f>
        <v/>
      </c>
      <c r="E342" s="9" t="str">
        <f>IF(Data!B342="","",IF(ISNUMBER(MATCH(Data!E342,Data_Val!$A$2:$A$3,0)),0,1))</f>
        <v/>
      </c>
      <c r="F342" s="9" t="str">
        <f ca="1">IF(Data!B342="","",IF(ISNUMBER(Data!F342),IF(AND(Data!F342&gt;(TODAY()-(Data_Val!$H$3*365.25)),Data!F342&lt;=(TODAY()-(Data_Val!$H$2*365.25))),0,1),1))</f>
        <v/>
      </c>
      <c r="G342" s="15" t="str">
        <f>IF(Data!B342="","",IF(AND(Data!G342="",Data!H342&lt;&gt;""),1,IF(Data!#REF!&lt;&gt;"",0,IF(ISNUMBER(MATCH(Data!G342,Data_Val!$C$2:$C$5,0)),0,1))))</f>
        <v/>
      </c>
      <c r="H342" s="15" t="str">
        <f>IF(Data!B342="","",IF(AND(Data!G342&lt;&gt;"",Data!H342=""),1,IF(Data!#REF!&lt;&gt;"",0,IF(Data!G342="",1,IF(ISNUMBER(MATCH(Data!H342,Data_Val!$D$2:$D$35,0)),0,1)))))</f>
        <v/>
      </c>
      <c r="I342" s="15" t="str">
        <f>IF(Data!B342="","",IF(Data!G342&lt;&gt;"",0,IF(ISNUMBER(MATCH(Data!#REF!,Data_Val!$E$2:$E$12,0)),0,1)))</f>
        <v/>
      </c>
      <c r="J342" s="16" t="e">
        <f>IF(OR(Data!B342="",Data!#REF!=""),"",IF(Data!#REF!="",1,0))</f>
        <v>#REF!</v>
      </c>
      <c r="K342" s="16" t="e">
        <f>IF(OR(Data!B342="",Data!#REF!=""),"",IF(Data!#REF!="",1,0))</f>
        <v>#REF!</v>
      </c>
      <c r="L342" s="16" t="e">
        <f>IF(OR(Data!B342="",Data!#REF!=""),"",IF(ISNUMBER(Data!#REF!),IF(AND(Data!#REF!&gt;Data_Val!$G$2,Data!#REF!&lt;=Data_Val!$G$3),0,1),1))</f>
        <v>#REF!</v>
      </c>
      <c r="M342" s="9" t="e">
        <f>IF(OR(Data!B342="",Data!#REF!=""),"",IF(ISNUMBER(MATCH(Data!#REF!,Data_Val!$F$1:$F$38,0)),0,1))</f>
        <v>#REF!</v>
      </c>
      <c r="N342" s="9" t="e">
        <f>IF(OR(Data!B342="",Data!#REF!=""),"",IF(Data!#REF!="",1,0))</f>
        <v>#REF!</v>
      </c>
      <c r="O342" s="17" t="e">
        <f>IF(Data!#REF!="","",IF(Data!#REF!="",1,0))</f>
        <v>#REF!</v>
      </c>
      <c r="P342" s="17" t="e">
        <f>IF(Data!#REF!="","",IF(ISNUMBER(MATCH(Data!#REF!,Data_Val!$A$2:$A$3,0)),0,1))</f>
        <v>#REF!</v>
      </c>
      <c r="Q342" s="25" t="e">
        <f ca="1">IF(Data!#REF!="","",IF(ISNUMBER(Data!#REF!),IF(AND(Data!#REF!&gt;(TODAY()-(Data_Val!$J$3*365.25)),Data!#REF!&lt;=(TODAY()-(Data_Val!$J$2*365.25))),0,1),1))</f>
        <v>#REF!</v>
      </c>
      <c r="R342" s="17" t="e">
        <f>IF(Data!#REF!="","",IF(ISNUMBER(MATCH(Data!#REF!,Data_Val!$B$2:$B$15,0)),0,1))</f>
        <v>#REF!</v>
      </c>
      <c r="S342" s="11" t="str">
        <f>IF(Data!G342="","",IF(Data!G342=Data_Val!$C$2,IF(Data!M342="",0,1),0))</f>
        <v/>
      </c>
      <c r="T342" s="11" t="str">
        <f>IF(Data!M342="","",IF(ISNUMBER(MATCH(Data!N342,Data_Val!$A$2:$A$3,0)),0,1))</f>
        <v/>
      </c>
      <c r="U342" s="11" t="str">
        <f ca="1">IF(Data!M342="","",IF(ISNUMBER(Data!O342),IF(AND(Data!O342&gt;(TODAY()-(Data_Val!$K$3*365.25)),Data!O342&lt;=(TODAY()-(Data_Val!$K$2*365.25))),0,1),1))</f>
        <v/>
      </c>
      <c r="V342" s="12" t="str">
        <f>IF(Data!G342="","",IF(Data!G342=Data_Val!$C$2,IF(Data!P342="",0,1),0))</f>
        <v/>
      </c>
      <c r="W342" s="12" t="str">
        <f>IF(Data!P342="","",IF(ISNUMBER(MATCH(Data!Q342,Data_Val!$A$2:$A$3,0)),0,1))</f>
        <v/>
      </c>
      <c r="X342" s="26" t="str">
        <f ca="1">IF(Data!P342="","",IF(ISNUMBER(Data!R342),IF(AND(Data!R342&gt;(TODAY()-(Data_Val!$L$3*365.25)),Data!R342&lt;=(TODAY()-(Data_Val!$L$2*365.25))),0,1),1))</f>
        <v/>
      </c>
      <c r="Y342" s="13" t="str">
        <f>IF(Data!$G342="","",IF(Data!$G342=Data_Val!$C$2,IF(Data!S342="",0,1),0))</f>
        <v/>
      </c>
      <c r="Z342" s="13" t="str">
        <f>IF(Data!S342="","",IF(ISNUMBER(MATCH(Data!T342,Data_Val!$A$2:$A$3,0)),0,1))</f>
        <v/>
      </c>
      <c r="AA342" s="28" t="str">
        <f ca="1">IF(Data!S342="","",IF(ISNUMBER(Data!U342),IF(AND(Data!U342&gt;(TODAY()-(Data_Val!$L$3*365.25)),Data!U342&lt;=(TODAY()-(Data_Val!$L$2*365.25))),0,1),1))</f>
        <v/>
      </c>
      <c r="AB342" s="11"/>
      <c r="AC342" s="11" t="e">
        <f>IF(Data!#REF!="","",IF(ISNUMBER(MATCH(Data!#REF!,Data_Val!$A$2:$A$3,0)),0,1))</f>
        <v>#REF!</v>
      </c>
      <c r="AD342" s="11" t="e">
        <f ca="1">IF(Data!#REF!="","",IF(ISNUMBER(Data!#REF!),IF(AND(Data!#REF!&gt;(TODAY()-(Data_Val!$L$3*365.25)),Data!#REF!&lt;=(TODAY()-(Data_Val!$L$2*365.25))),0,1),1))</f>
        <v>#REF!</v>
      </c>
      <c r="AE342" s="11" t="e">
        <f>IF(Data!#REF!="","",IF(Data!$G342="",1,IF(ISNUMBER(MATCH(Data!#REF!,Data_Val!$D$2:$D$10,0)),0,1)))</f>
        <v>#REF!</v>
      </c>
      <c r="AF342" s="12"/>
      <c r="AG342" s="12" t="e">
        <f>IF(Data!#REF!="","",IF(ISNUMBER(MATCH(Data!#REF!,Data_Val!$A$2:$A$3,0)),0,1))</f>
        <v>#REF!</v>
      </c>
      <c r="AH342" s="26" t="e">
        <f ca="1">IF(Data!#REF!="","",IF(ISNUMBER(Data!#REF!),IF(AND(Data!#REF!&gt;(TODAY()-(Data_Val!$L$3*365.25)),Data!#REF!&lt;=(TODAY()-(Data_Val!$L$2*365.25))),0,1),1))</f>
        <v>#REF!</v>
      </c>
      <c r="AI342" s="12" t="e">
        <f>IF(Data!#REF!="","",IF(Data!$G342="",1,IF(ISNUMBER(MATCH(Data!#REF!,Data_Val!$D$2:$D$10,0)),0,1)))</f>
        <v>#REF!</v>
      </c>
      <c r="AJ342" s="17"/>
      <c r="AK342" s="17" t="e">
        <f>IF(Data!#REF!="","",IF(ISNUMBER(MATCH(Data!#REF!,Data_Val!$A$2:$A$3,0)),0,1))</f>
        <v>#REF!</v>
      </c>
      <c r="AL342" s="25" t="e">
        <f ca="1">IF(Data!#REF!="","",IF(ISNUMBER(Data!#REF!),IF(AND(Data!#REF!&gt;(TODAY()-(Data_Val!$L$3*365.25)),Data!#REF!&lt;=(TODAY()-(Data_Val!$L$2*365.25))),0,1),1))</f>
        <v>#REF!</v>
      </c>
      <c r="AM342" s="17" t="e">
        <f>IF(Data!#REF!="","",IF(Data!$G342="",1,IF(ISNUMBER(MATCH(Data!#REF!,Data_Val!$D$2:$D$10,0)),0,1)))</f>
        <v>#REF!</v>
      </c>
      <c r="AN342" s="13"/>
      <c r="AO342" s="28" t="e">
        <f ca="1">IF(Data!#REF!="","",IF(ISNUMBER(Data!#REF!),IF(AND(Data!#REF!&gt;(TODAY()-(Data_Val!$I$3*365.25)),Data!#REF!&lt;=(TODAY()-(Data_Val!$I$2*365.25))),0,1),1))</f>
        <v>#REF!</v>
      </c>
      <c r="AP342" s="13" t="e">
        <f>IF(Data!#REF!="","",IF(Data!$G342="",1,IF(ISNUMBER(MATCH(Data!#REF!,Data_Val!$D$2:$D$10,0)),0,1)))</f>
        <v>#REF!</v>
      </c>
      <c r="AQ342" s="17"/>
      <c r="AR342" s="30" t="e">
        <f ca="1">IF(Data!#REF!="","",IF(ISNUMBER(Data!#REF!),IF(AND(Data!#REF!&gt;(TODAY()-(Data_Val!$I$3*365.25)),Data!#REF!&lt;=(TODAY()-(Data_Val!$I$2*365.25))),0,1),1))</f>
        <v>#REF!</v>
      </c>
      <c r="AS342" s="31" t="e">
        <f>IF(Data!#REF!="","",IF(Data!$G342="",1,IF(ISNUMBER(MATCH(Data!#REF!,Data_Val!$D$2:$D$10,0)),0,1)))</f>
        <v>#REF!</v>
      </c>
      <c r="AT342" s="11"/>
      <c r="AU342" s="11" t="e">
        <f ca="1">IF(Data!#REF!="","",IF(ISNUMBER(Data!#REF!),IF(AND(Data!#REF!&gt;(TODAY()-(Data_Val!$I$3*365.25)),Data!#REF!&lt;=(TODAY()-(Data_Val!$I$2*365.25))),0,1),1))</f>
        <v>#REF!</v>
      </c>
      <c r="AV342" s="11" t="e">
        <f>IF(Data!#REF!="","",IF(Data!$G342="",1,IF(ISNUMBER(MATCH(Data!#REF!,Data_Val!$D$2:$D$10,0)),0,1)))</f>
        <v>#REF!</v>
      </c>
      <c r="AW342" s="12"/>
      <c r="AX342" s="26" t="e">
        <f ca="1">IF(Data!#REF!="","",IF(ISNUMBER(Data!#REF!),IF(AND(Data!#REF!&gt;(TODAY()-(Data_Val!$I$3*365.25)),Data!#REF!&lt;=(TODAY()-(Data_Val!$I$2*365.25))),0,1),1))</f>
        <v>#REF!</v>
      </c>
      <c r="AY342" s="12" t="e">
        <f>IF(Data!#REF!="","",IF(Data!$G342="",1,IF(ISNUMBER(MATCH(Data!#REF!,Data_Val!$D$2:$D$10,0)),0,1)))</f>
        <v>#REF!</v>
      </c>
      <c r="AZ342" s="11"/>
      <c r="BA342" s="19" t="e">
        <f ca="1">IF(Data!#REF!="","",IF(ISNUMBER(Data!#REF!),IF(AND(Data!#REF!&gt;(TODAY()-(Data_Val!$M$3*365.25)),Data!#REF!&lt;=(TODAY()-(Data_Val!$M$2*365.25))),0,1),1))</f>
        <v>#REF!</v>
      </c>
      <c r="BB342" s="11" t="e">
        <f>IF(Data!#REF!="","",IF(Data!$G342="",1,IF(ISNUMBER(MATCH(Data!#REF!,Data_Val!$D$2:$D$10,0)),0,1)))</f>
        <v>#REF!</v>
      </c>
      <c r="BC342" s="12"/>
      <c r="BD342" s="20" t="e">
        <f ca="1">IF(Data!#REF!="","",IF(ISNUMBER(Data!#REF!),IF(AND(Data!#REF!&gt;(TODAY()-(Data_Val!$M$3*365.25)),Data!#REF!&lt;=(TODAY()-(Data_Val!$M$2*365.25))),0,1),1))</f>
        <v>#REF!</v>
      </c>
      <c r="BE342" s="12" t="e">
        <f>IF(Data!#REF!="","",IF(Data!$G342="",1,IF(ISNUMBER(MATCH(Data!#REF!,Data_Val!$D$2:$D$10,0)),0,1)))</f>
        <v>#REF!</v>
      </c>
      <c r="BF342" s="17"/>
      <c r="BG342" s="18" t="e">
        <f ca="1">IF(Data!#REF!="","",IF(ISNUMBER(Data!#REF!),IF(AND(Data!#REF!&gt;(TODAY()-(Data_Val!$M$3*365.25)),Data!#REF!&lt;=(TODAY()-(Data_Val!$M$2*365.25))),0,1),1))</f>
        <v>#REF!</v>
      </c>
      <c r="BH342" s="29" t="e">
        <f>IF(Data!#REF!="","",IF(Data!$G342="",1,IF(ISNUMBER(MATCH(Data!#REF!,Data_Val!$D$2:$D$10,0)),0,1)))</f>
        <v>#REF!</v>
      </c>
      <c r="BI342" s="13"/>
      <c r="BJ342" s="21" t="e">
        <f ca="1">IF(Data!#REF!="","",IF(ISNUMBER(Data!#REF!),IF(AND(Data!#REF!&gt;(TODAY()-(Data_Val!$M$3*365.25)),Data!#REF!&lt;=(TODAY()-(Data_Val!$M$2*365.25))),0,1),1))</f>
        <v>#REF!</v>
      </c>
      <c r="BK342" s="13" t="e">
        <f>IF(Data!#REF!="","",IF(Data!$G342="",1,IF(ISNUMBER(MATCH(Data!#REF!,Data_Val!$D$2:$D$10,0)),0,1)))</f>
        <v>#REF!</v>
      </c>
    </row>
    <row r="343" spans="1:63" x14ac:dyDescent="0.25">
      <c r="A343" s="9" t="str">
        <f>IF(Data!B343="","",IF(COUNTIFS(Data!A$1:'Data'!A343,Data!A343)&lt;=1,0,1))</f>
        <v/>
      </c>
      <c r="B343" s="9"/>
      <c r="C343" s="23" t="str">
        <f>IF(Data!C343="","",(IF(ISNUMBER(MATCH("*@*.?*",Data!C343,0)),0,1)+IF(COUNTIFS(Data!C$1:'Data'!C343,Data!C343)&gt;1,1,0)))</f>
        <v/>
      </c>
      <c r="D343" s="9" t="str">
        <f>IF(Data!B343="","",IF(ISNUMBER(Data!D343),IF(AND(Data!D343&gt;999999999,Data!D343&lt;=9999999999),IF(COUNTIFS(Data!D$1:'Data'!D343,Data!D343)&lt;=1,0,1),1),1))</f>
        <v/>
      </c>
      <c r="E343" s="9" t="str">
        <f>IF(Data!B343="","",IF(ISNUMBER(MATCH(Data!E343,Data_Val!$A$2:$A$3,0)),0,1))</f>
        <v/>
      </c>
      <c r="F343" s="9" t="str">
        <f ca="1">IF(Data!B343="","",IF(ISNUMBER(Data!F343),IF(AND(Data!F343&gt;(TODAY()-(Data_Val!$H$3*365.25)),Data!F343&lt;=(TODAY()-(Data_Val!$H$2*365.25))),0,1),1))</f>
        <v/>
      </c>
      <c r="G343" s="15" t="str">
        <f>IF(Data!B343="","",IF(AND(Data!G343="",Data!H343&lt;&gt;""),1,IF(Data!#REF!&lt;&gt;"",0,IF(ISNUMBER(MATCH(Data!G343,Data_Val!$C$2:$C$5,0)),0,1))))</f>
        <v/>
      </c>
      <c r="H343" s="15" t="str">
        <f>IF(Data!B343="","",IF(AND(Data!G343&lt;&gt;"",Data!H343=""),1,IF(Data!#REF!&lt;&gt;"",0,IF(Data!G343="",1,IF(ISNUMBER(MATCH(Data!H343,Data_Val!$D$2:$D$35,0)),0,1)))))</f>
        <v/>
      </c>
      <c r="I343" s="15" t="str">
        <f>IF(Data!B343="","",IF(Data!G343&lt;&gt;"",0,IF(ISNUMBER(MATCH(Data!#REF!,Data_Val!$E$2:$E$12,0)),0,1)))</f>
        <v/>
      </c>
      <c r="J343" s="16" t="e">
        <f>IF(OR(Data!B343="",Data!#REF!=""),"",IF(Data!#REF!="",1,0))</f>
        <v>#REF!</v>
      </c>
      <c r="K343" s="16" t="e">
        <f>IF(OR(Data!B343="",Data!#REF!=""),"",IF(Data!#REF!="",1,0))</f>
        <v>#REF!</v>
      </c>
      <c r="L343" s="16" t="e">
        <f>IF(OR(Data!B343="",Data!#REF!=""),"",IF(ISNUMBER(Data!#REF!),IF(AND(Data!#REF!&gt;Data_Val!$G$2,Data!#REF!&lt;=Data_Val!$G$3),0,1),1))</f>
        <v>#REF!</v>
      </c>
      <c r="M343" s="9" t="e">
        <f>IF(OR(Data!B343="",Data!#REF!=""),"",IF(ISNUMBER(MATCH(Data!#REF!,Data_Val!$F$1:$F$38,0)),0,1))</f>
        <v>#REF!</v>
      </c>
      <c r="N343" s="9" t="e">
        <f>IF(OR(Data!B343="",Data!#REF!=""),"",IF(Data!#REF!="",1,0))</f>
        <v>#REF!</v>
      </c>
      <c r="O343" s="17" t="e">
        <f>IF(Data!#REF!="","",IF(Data!#REF!="",1,0))</f>
        <v>#REF!</v>
      </c>
      <c r="P343" s="17" t="e">
        <f>IF(Data!#REF!="","",IF(ISNUMBER(MATCH(Data!#REF!,Data_Val!$A$2:$A$3,0)),0,1))</f>
        <v>#REF!</v>
      </c>
      <c r="Q343" s="25" t="e">
        <f ca="1">IF(Data!#REF!="","",IF(ISNUMBER(Data!#REF!),IF(AND(Data!#REF!&gt;(TODAY()-(Data_Val!$J$3*365.25)),Data!#REF!&lt;=(TODAY()-(Data_Val!$J$2*365.25))),0,1),1))</f>
        <v>#REF!</v>
      </c>
      <c r="R343" s="17" t="e">
        <f>IF(Data!#REF!="","",IF(ISNUMBER(MATCH(Data!#REF!,Data_Val!$B$2:$B$15,0)),0,1))</f>
        <v>#REF!</v>
      </c>
      <c r="S343" s="11" t="str">
        <f>IF(Data!G343="","",IF(Data!G343=Data_Val!$C$2,IF(Data!M343="",0,1),0))</f>
        <v/>
      </c>
      <c r="T343" s="11" t="str">
        <f>IF(Data!M343="","",IF(ISNUMBER(MATCH(Data!N343,Data_Val!$A$2:$A$3,0)),0,1))</f>
        <v/>
      </c>
      <c r="U343" s="11" t="str">
        <f ca="1">IF(Data!M343="","",IF(ISNUMBER(Data!O343),IF(AND(Data!O343&gt;(TODAY()-(Data_Val!$K$3*365.25)),Data!O343&lt;=(TODAY()-(Data_Val!$K$2*365.25))),0,1),1))</f>
        <v/>
      </c>
      <c r="V343" s="12" t="str">
        <f>IF(Data!G343="","",IF(Data!G343=Data_Val!$C$2,IF(Data!P343="",0,1),0))</f>
        <v/>
      </c>
      <c r="W343" s="12" t="str">
        <f>IF(Data!P343="","",IF(ISNUMBER(MATCH(Data!Q343,Data_Val!$A$2:$A$3,0)),0,1))</f>
        <v/>
      </c>
      <c r="X343" s="26" t="str">
        <f ca="1">IF(Data!P343="","",IF(ISNUMBER(Data!R343),IF(AND(Data!R343&gt;(TODAY()-(Data_Val!$L$3*365.25)),Data!R343&lt;=(TODAY()-(Data_Val!$L$2*365.25))),0,1),1))</f>
        <v/>
      </c>
      <c r="Y343" s="13" t="str">
        <f>IF(Data!$G343="","",IF(Data!$G343=Data_Val!$C$2,IF(Data!S343="",0,1),0))</f>
        <v/>
      </c>
      <c r="Z343" s="13" t="str">
        <f>IF(Data!S343="","",IF(ISNUMBER(MATCH(Data!T343,Data_Val!$A$2:$A$3,0)),0,1))</f>
        <v/>
      </c>
      <c r="AA343" s="28" t="str">
        <f ca="1">IF(Data!S343="","",IF(ISNUMBER(Data!U343),IF(AND(Data!U343&gt;(TODAY()-(Data_Val!$L$3*365.25)),Data!U343&lt;=(TODAY()-(Data_Val!$L$2*365.25))),0,1),1))</f>
        <v/>
      </c>
      <c r="AB343" s="11"/>
      <c r="AC343" s="11" t="e">
        <f>IF(Data!#REF!="","",IF(ISNUMBER(MATCH(Data!#REF!,Data_Val!$A$2:$A$3,0)),0,1))</f>
        <v>#REF!</v>
      </c>
      <c r="AD343" s="11" t="e">
        <f ca="1">IF(Data!#REF!="","",IF(ISNUMBER(Data!#REF!),IF(AND(Data!#REF!&gt;(TODAY()-(Data_Val!$L$3*365.25)),Data!#REF!&lt;=(TODAY()-(Data_Val!$L$2*365.25))),0,1),1))</f>
        <v>#REF!</v>
      </c>
      <c r="AE343" s="11" t="e">
        <f>IF(Data!#REF!="","",IF(Data!$G343="",1,IF(ISNUMBER(MATCH(Data!#REF!,Data_Val!$D$2:$D$10,0)),0,1)))</f>
        <v>#REF!</v>
      </c>
      <c r="AF343" s="12"/>
      <c r="AG343" s="12" t="e">
        <f>IF(Data!#REF!="","",IF(ISNUMBER(MATCH(Data!#REF!,Data_Val!$A$2:$A$3,0)),0,1))</f>
        <v>#REF!</v>
      </c>
      <c r="AH343" s="26" t="e">
        <f ca="1">IF(Data!#REF!="","",IF(ISNUMBER(Data!#REF!),IF(AND(Data!#REF!&gt;(TODAY()-(Data_Val!$L$3*365.25)),Data!#REF!&lt;=(TODAY()-(Data_Val!$L$2*365.25))),0,1),1))</f>
        <v>#REF!</v>
      </c>
      <c r="AI343" s="12" t="e">
        <f>IF(Data!#REF!="","",IF(Data!$G343="",1,IF(ISNUMBER(MATCH(Data!#REF!,Data_Val!$D$2:$D$10,0)),0,1)))</f>
        <v>#REF!</v>
      </c>
      <c r="AJ343" s="17"/>
      <c r="AK343" s="17" t="e">
        <f>IF(Data!#REF!="","",IF(ISNUMBER(MATCH(Data!#REF!,Data_Val!$A$2:$A$3,0)),0,1))</f>
        <v>#REF!</v>
      </c>
      <c r="AL343" s="25" t="e">
        <f ca="1">IF(Data!#REF!="","",IF(ISNUMBER(Data!#REF!),IF(AND(Data!#REF!&gt;(TODAY()-(Data_Val!$L$3*365.25)),Data!#REF!&lt;=(TODAY()-(Data_Val!$L$2*365.25))),0,1),1))</f>
        <v>#REF!</v>
      </c>
      <c r="AM343" s="17" t="e">
        <f>IF(Data!#REF!="","",IF(Data!$G343="",1,IF(ISNUMBER(MATCH(Data!#REF!,Data_Val!$D$2:$D$10,0)),0,1)))</f>
        <v>#REF!</v>
      </c>
      <c r="AN343" s="13"/>
      <c r="AO343" s="28" t="e">
        <f ca="1">IF(Data!#REF!="","",IF(ISNUMBER(Data!#REF!),IF(AND(Data!#REF!&gt;(TODAY()-(Data_Val!$I$3*365.25)),Data!#REF!&lt;=(TODAY()-(Data_Val!$I$2*365.25))),0,1),1))</f>
        <v>#REF!</v>
      </c>
      <c r="AP343" s="13" t="e">
        <f>IF(Data!#REF!="","",IF(Data!$G343="",1,IF(ISNUMBER(MATCH(Data!#REF!,Data_Val!$D$2:$D$10,0)),0,1)))</f>
        <v>#REF!</v>
      </c>
      <c r="AQ343" s="17"/>
      <c r="AR343" s="30" t="e">
        <f ca="1">IF(Data!#REF!="","",IF(ISNUMBER(Data!#REF!),IF(AND(Data!#REF!&gt;(TODAY()-(Data_Val!$I$3*365.25)),Data!#REF!&lt;=(TODAY()-(Data_Val!$I$2*365.25))),0,1),1))</f>
        <v>#REF!</v>
      </c>
      <c r="AS343" s="31" t="e">
        <f>IF(Data!#REF!="","",IF(Data!$G343="",1,IF(ISNUMBER(MATCH(Data!#REF!,Data_Val!$D$2:$D$10,0)),0,1)))</f>
        <v>#REF!</v>
      </c>
      <c r="AT343" s="11"/>
      <c r="AU343" s="11" t="e">
        <f ca="1">IF(Data!#REF!="","",IF(ISNUMBER(Data!#REF!),IF(AND(Data!#REF!&gt;(TODAY()-(Data_Val!$I$3*365.25)),Data!#REF!&lt;=(TODAY()-(Data_Val!$I$2*365.25))),0,1),1))</f>
        <v>#REF!</v>
      </c>
      <c r="AV343" s="11" t="e">
        <f>IF(Data!#REF!="","",IF(Data!$G343="",1,IF(ISNUMBER(MATCH(Data!#REF!,Data_Val!$D$2:$D$10,0)),0,1)))</f>
        <v>#REF!</v>
      </c>
      <c r="AW343" s="12"/>
      <c r="AX343" s="26" t="e">
        <f ca="1">IF(Data!#REF!="","",IF(ISNUMBER(Data!#REF!),IF(AND(Data!#REF!&gt;(TODAY()-(Data_Val!$I$3*365.25)),Data!#REF!&lt;=(TODAY()-(Data_Val!$I$2*365.25))),0,1),1))</f>
        <v>#REF!</v>
      </c>
      <c r="AY343" s="12" t="e">
        <f>IF(Data!#REF!="","",IF(Data!$G343="",1,IF(ISNUMBER(MATCH(Data!#REF!,Data_Val!$D$2:$D$10,0)),0,1)))</f>
        <v>#REF!</v>
      </c>
      <c r="AZ343" s="11"/>
      <c r="BA343" s="19" t="e">
        <f ca="1">IF(Data!#REF!="","",IF(ISNUMBER(Data!#REF!),IF(AND(Data!#REF!&gt;(TODAY()-(Data_Val!$M$3*365.25)),Data!#REF!&lt;=(TODAY()-(Data_Val!$M$2*365.25))),0,1),1))</f>
        <v>#REF!</v>
      </c>
      <c r="BB343" s="11" t="e">
        <f>IF(Data!#REF!="","",IF(Data!$G343="",1,IF(ISNUMBER(MATCH(Data!#REF!,Data_Val!$D$2:$D$10,0)),0,1)))</f>
        <v>#REF!</v>
      </c>
      <c r="BC343" s="12"/>
      <c r="BD343" s="20" t="e">
        <f ca="1">IF(Data!#REF!="","",IF(ISNUMBER(Data!#REF!),IF(AND(Data!#REF!&gt;(TODAY()-(Data_Val!$M$3*365.25)),Data!#REF!&lt;=(TODAY()-(Data_Val!$M$2*365.25))),0,1),1))</f>
        <v>#REF!</v>
      </c>
      <c r="BE343" s="12" t="e">
        <f>IF(Data!#REF!="","",IF(Data!$G343="",1,IF(ISNUMBER(MATCH(Data!#REF!,Data_Val!$D$2:$D$10,0)),0,1)))</f>
        <v>#REF!</v>
      </c>
      <c r="BF343" s="17"/>
      <c r="BG343" s="18" t="e">
        <f ca="1">IF(Data!#REF!="","",IF(ISNUMBER(Data!#REF!),IF(AND(Data!#REF!&gt;(TODAY()-(Data_Val!$M$3*365.25)),Data!#REF!&lt;=(TODAY()-(Data_Val!$M$2*365.25))),0,1),1))</f>
        <v>#REF!</v>
      </c>
      <c r="BH343" s="29" t="e">
        <f>IF(Data!#REF!="","",IF(Data!$G343="",1,IF(ISNUMBER(MATCH(Data!#REF!,Data_Val!$D$2:$D$10,0)),0,1)))</f>
        <v>#REF!</v>
      </c>
      <c r="BI343" s="13"/>
      <c r="BJ343" s="21" t="e">
        <f ca="1">IF(Data!#REF!="","",IF(ISNUMBER(Data!#REF!),IF(AND(Data!#REF!&gt;(TODAY()-(Data_Val!$M$3*365.25)),Data!#REF!&lt;=(TODAY()-(Data_Val!$M$2*365.25))),0,1),1))</f>
        <v>#REF!</v>
      </c>
      <c r="BK343" s="13" t="e">
        <f>IF(Data!#REF!="","",IF(Data!$G343="",1,IF(ISNUMBER(MATCH(Data!#REF!,Data_Val!$D$2:$D$10,0)),0,1)))</f>
        <v>#REF!</v>
      </c>
    </row>
    <row r="344" spans="1:63" x14ac:dyDescent="0.25">
      <c r="A344" s="9" t="str">
        <f>IF(Data!B344="","",IF(COUNTIFS(Data!A$1:'Data'!A344,Data!A344)&lt;=1,0,1))</f>
        <v/>
      </c>
      <c r="B344" s="9"/>
      <c r="C344" s="23" t="str">
        <f>IF(Data!C344="","",(IF(ISNUMBER(MATCH("*@*.?*",Data!C344,0)),0,1)+IF(COUNTIFS(Data!C$1:'Data'!C344,Data!C344)&gt;1,1,0)))</f>
        <v/>
      </c>
      <c r="D344" s="9" t="str">
        <f>IF(Data!B344="","",IF(ISNUMBER(Data!D344),IF(AND(Data!D344&gt;999999999,Data!D344&lt;=9999999999),IF(COUNTIFS(Data!D$1:'Data'!D344,Data!D344)&lt;=1,0,1),1),1))</f>
        <v/>
      </c>
      <c r="E344" s="9" t="str">
        <f>IF(Data!B344="","",IF(ISNUMBER(MATCH(Data!E344,Data_Val!$A$2:$A$3,0)),0,1))</f>
        <v/>
      </c>
      <c r="F344" s="9" t="str">
        <f ca="1">IF(Data!B344="","",IF(ISNUMBER(Data!F344),IF(AND(Data!F344&gt;(TODAY()-(Data_Val!$H$3*365.25)),Data!F344&lt;=(TODAY()-(Data_Val!$H$2*365.25))),0,1),1))</f>
        <v/>
      </c>
      <c r="G344" s="15" t="str">
        <f>IF(Data!B344="","",IF(AND(Data!G344="",Data!H344&lt;&gt;""),1,IF(Data!#REF!&lt;&gt;"",0,IF(ISNUMBER(MATCH(Data!G344,Data_Val!$C$2:$C$5,0)),0,1))))</f>
        <v/>
      </c>
      <c r="H344" s="15" t="str">
        <f>IF(Data!B344="","",IF(AND(Data!G344&lt;&gt;"",Data!H344=""),1,IF(Data!#REF!&lt;&gt;"",0,IF(Data!G344="",1,IF(ISNUMBER(MATCH(Data!H344,Data_Val!$D$2:$D$35,0)),0,1)))))</f>
        <v/>
      </c>
      <c r="I344" s="15" t="str">
        <f>IF(Data!B344="","",IF(Data!G344&lt;&gt;"",0,IF(ISNUMBER(MATCH(Data!#REF!,Data_Val!$E$2:$E$12,0)),0,1)))</f>
        <v/>
      </c>
      <c r="J344" s="16" t="e">
        <f>IF(OR(Data!B344="",Data!#REF!=""),"",IF(Data!#REF!="",1,0))</f>
        <v>#REF!</v>
      </c>
      <c r="K344" s="16" t="e">
        <f>IF(OR(Data!B344="",Data!#REF!=""),"",IF(Data!#REF!="",1,0))</f>
        <v>#REF!</v>
      </c>
      <c r="L344" s="16" t="e">
        <f>IF(OR(Data!B344="",Data!#REF!=""),"",IF(ISNUMBER(Data!#REF!),IF(AND(Data!#REF!&gt;Data_Val!$G$2,Data!#REF!&lt;=Data_Val!$G$3),0,1),1))</f>
        <v>#REF!</v>
      </c>
      <c r="M344" s="9" t="e">
        <f>IF(OR(Data!B344="",Data!#REF!=""),"",IF(ISNUMBER(MATCH(Data!#REF!,Data_Val!$F$1:$F$38,0)),0,1))</f>
        <v>#REF!</v>
      </c>
      <c r="N344" s="9" t="e">
        <f>IF(OR(Data!B344="",Data!#REF!=""),"",IF(Data!#REF!="",1,0))</f>
        <v>#REF!</v>
      </c>
      <c r="O344" s="17" t="e">
        <f>IF(Data!#REF!="","",IF(Data!#REF!="",1,0))</f>
        <v>#REF!</v>
      </c>
      <c r="P344" s="17" t="e">
        <f>IF(Data!#REF!="","",IF(ISNUMBER(MATCH(Data!#REF!,Data_Val!$A$2:$A$3,0)),0,1))</f>
        <v>#REF!</v>
      </c>
      <c r="Q344" s="25" t="e">
        <f ca="1">IF(Data!#REF!="","",IF(ISNUMBER(Data!#REF!),IF(AND(Data!#REF!&gt;(TODAY()-(Data_Val!$J$3*365.25)),Data!#REF!&lt;=(TODAY()-(Data_Val!$J$2*365.25))),0,1),1))</f>
        <v>#REF!</v>
      </c>
      <c r="R344" s="17" t="e">
        <f>IF(Data!#REF!="","",IF(ISNUMBER(MATCH(Data!#REF!,Data_Val!$B$2:$B$15,0)),0,1))</f>
        <v>#REF!</v>
      </c>
      <c r="S344" s="11" t="str">
        <f>IF(Data!G344="","",IF(Data!G344=Data_Val!$C$2,IF(Data!M344="",0,1),0))</f>
        <v/>
      </c>
      <c r="T344" s="11" t="str">
        <f>IF(Data!M344="","",IF(ISNUMBER(MATCH(Data!N344,Data_Val!$A$2:$A$3,0)),0,1))</f>
        <v/>
      </c>
      <c r="U344" s="11" t="str">
        <f ca="1">IF(Data!M344="","",IF(ISNUMBER(Data!O344),IF(AND(Data!O344&gt;(TODAY()-(Data_Val!$K$3*365.25)),Data!O344&lt;=(TODAY()-(Data_Val!$K$2*365.25))),0,1),1))</f>
        <v/>
      </c>
      <c r="V344" s="12" t="str">
        <f>IF(Data!G344="","",IF(Data!G344=Data_Val!$C$2,IF(Data!P344="",0,1),0))</f>
        <v/>
      </c>
      <c r="W344" s="12" t="str">
        <f>IF(Data!P344="","",IF(ISNUMBER(MATCH(Data!Q344,Data_Val!$A$2:$A$3,0)),0,1))</f>
        <v/>
      </c>
      <c r="X344" s="26" t="str">
        <f ca="1">IF(Data!P344="","",IF(ISNUMBER(Data!R344),IF(AND(Data!R344&gt;(TODAY()-(Data_Val!$L$3*365.25)),Data!R344&lt;=(TODAY()-(Data_Val!$L$2*365.25))),0,1),1))</f>
        <v/>
      </c>
      <c r="Y344" s="13" t="str">
        <f>IF(Data!$G344="","",IF(Data!$G344=Data_Val!$C$2,IF(Data!S344="",0,1),0))</f>
        <v/>
      </c>
      <c r="Z344" s="13" t="str">
        <f>IF(Data!S344="","",IF(ISNUMBER(MATCH(Data!T344,Data_Val!$A$2:$A$3,0)),0,1))</f>
        <v/>
      </c>
      <c r="AA344" s="28" t="str">
        <f ca="1">IF(Data!S344="","",IF(ISNUMBER(Data!U344),IF(AND(Data!U344&gt;(TODAY()-(Data_Val!$L$3*365.25)),Data!U344&lt;=(TODAY()-(Data_Val!$L$2*365.25))),0,1),1))</f>
        <v/>
      </c>
      <c r="AB344" s="11"/>
      <c r="AC344" s="11" t="e">
        <f>IF(Data!#REF!="","",IF(ISNUMBER(MATCH(Data!#REF!,Data_Val!$A$2:$A$3,0)),0,1))</f>
        <v>#REF!</v>
      </c>
      <c r="AD344" s="11" t="e">
        <f ca="1">IF(Data!#REF!="","",IF(ISNUMBER(Data!#REF!),IF(AND(Data!#REF!&gt;(TODAY()-(Data_Val!$L$3*365.25)),Data!#REF!&lt;=(TODAY()-(Data_Val!$L$2*365.25))),0,1),1))</f>
        <v>#REF!</v>
      </c>
      <c r="AE344" s="11" t="e">
        <f>IF(Data!#REF!="","",IF(Data!$G344="",1,IF(ISNUMBER(MATCH(Data!#REF!,Data_Val!$D$2:$D$10,0)),0,1)))</f>
        <v>#REF!</v>
      </c>
      <c r="AF344" s="12"/>
      <c r="AG344" s="12" t="e">
        <f>IF(Data!#REF!="","",IF(ISNUMBER(MATCH(Data!#REF!,Data_Val!$A$2:$A$3,0)),0,1))</f>
        <v>#REF!</v>
      </c>
      <c r="AH344" s="26" t="e">
        <f ca="1">IF(Data!#REF!="","",IF(ISNUMBER(Data!#REF!),IF(AND(Data!#REF!&gt;(TODAY()-(Data_Val!$L$3*365.25)),Data!#REF!&lt;=(TODAY()-(Data_Val!$L$2*365.25))),0,1),1))</f>
        <v>#REF!</v>
      </c>
      <c r="AI344" s="12" t="e">
        <f>IF(Data!#REF!="","",IF(Data!$G344="",1,IF(ISNUMBER(MATCH(Data!#REF!,Data_Val!$D$2:$D$10,0)),0,1)))</f>
        <v>#REF!</v>
      </c>
      <c r="AJ344" s="17"/>
      <c r="AK344" s="17" t="e">
        <f>IF(Data!#REF!="","",IF(ISNUMBER(MATCH(Data!#REF!,Data_Val!$A$2:$A$3,0)),0,1))</f>
        <v>#REF!</v>
      </c>
      <c r="AL344" s="25" t="e">
        <f ca="1">IF(Data!#REF!="","",IF(ISNUMBER(Data!#REF!),IF(AND(Data!#REF!&gt;(TODAY()-(Data_Val!$L$3*365.25)),Data!#REF!&lt;=(TODAY()-(Data_Val!$L$2*365.25))),0,1),1))</f>
        <v>#REF!</v>
      </c>
      <c r="AM344" s="17" t="e">
        <f>IF(Data!#REF!="","",IF(Data!$G344="",1,IF(ISNUMBER(MATCH(Data!#REF!,Data_Val!$D$2:$D$10,0)),0,1)))</f>
        <v>#REF!</v>
      </c>
      <c r="AN344" s="13"/>
      <c r="AO344" s="28" t="e">
        <f ca="1">IF(Data!#REF!="","",IF(ISNUMBER(Data!#REF!),IF(AND(Data!#REF!&gt;(TODAY()-(Data_Val!$I$3*365.25)),Data!#REF!&lt;=(TODAY()-(Data_Val!$I$2*365.25))),0,1),1))</f>
        <v>#REF!</v>
      </c>
      <c r="AP344" s="13" t="e">
        <f>IF(Data!#REF!="","",IF(Data!$G344="",1,IF(ISNUMBER(MATCH(Data!#REF!,Data_Val!$D$2:$D$10,0)),0,1)))</f>
        <v>#REF!</v>
      </c>
      <c r="AQ344" s="17"/>
      <c r="AR344" s="30" t="e">
        <f ca="1">IF(Data!#REF!="","",IF(ISNUMBER(Data!#REF!),IF(AND(Data!#REF!&gt;(TODAY()-(Data_Val!$I$3*365.25)),Data!#REF!&lt;=(TODAY()-(Data_Val!$I$2*365.25))),0,1),1))</f>
        <v>#REF!</v>
      </c>
      <c r="AS344" s="31" t="e">
        <f>IF(Data!#REF!="","",IF(Data!$G344="",1,IF(ISNUMBER(MATCH(Data!#REF!,Data_Val!$D$2:$D$10,0)),0,1)))</f>
        <v>#REF!</v>
      </c>
      <c r="AT344" s="11"/>
      <c r="AU344" s="11" t="e">
        <f ca="1">IF(Data!#REF!="","",IF(ISNUMBER(Data!#REF!),IF(AND(Data!#REF!&gt;(TODAY()-(Data_Val!$I$3*365.25)),Data!#REF!&lt;=(TODAY()-(Data_Val!$I$2*365.25))),0,1),1))</f>
        <v>#REF!</v>
      </c>
      <c r="AV344" s="11" t="e">
        <f>IF(Data!#REF!="","",IF(Data!$G344="",1,IF(ISNUMBER(MATCH(Data!#REF!,Data_Val!$D$2:$D$10,0)),0,1)))</f>
        <v>#REF!</v>
      </c>
      <c r="AW344" s="12"/>
      <c r="AX344" s="26" t="e">
        <f ca="1">IF(Data!#REF!="","",IF(ISNUMBER(Data!#REF!),IF(AND(Data!#REF!&gt;(TODAY()-(Data_Val!$I$3*365.25)),Data!#REF!&lt;=(TODAY()-(Data_Val!$I$2*365.25))),0,1),1))</f>
        <v>#REF!</v>
      </c>
      <c r="AY344" s="12" t="e">
        <f>IF(Data!#REF!="","",IF(Data!$G344="",1,IF(ISNUMBER(MATCH(Data!#REF!,Data_Val!$D$2:$D$10,0)),0,1)))</f>
        <v>#REF!</v>
      </c>
      <c r="AZ344" s="11"/>
      <c r="BA344" s="19" t="e">
        <f ca="1">IF(Data!#REF!="","",IF(ISNUMBER(Data!#REF!),IF(AND(Data!#REF!&gt;(TODAY()-(Data_Val!$M$3*365.25)),Data!#REF!&lt;=(TODAY()-(Data_Val!$M$2*365.25))),0,1),1))</f>
        <v>#REF!</v>
      </c>
      <c r="BB344" s="11" t="e">
        <f>IF(Data!#REF!="","",IF(Data!$G344="",1,IF(ISNUMBER(MATCH(Data!#REF!,Data_Val!$D$2:$D$10,0)),0,1)))</f>
        <v>#REF!</v>
      </c>
      <c r="BC344" s="12"/>
      <c r="BD344" s="20" t="e">
        <f ca="1">IF(Data!#REF!="","",IF(ISNUMBER(Data!#REF!),IF(AND(Data!#REF!&gt;(TODAY()-(Data_Val!$M$3*365.25)),Data!#REF!&lt;=(TODAY()-(Data_Val!$M$2*365.25))),0,1),1))</f>
        <v>#REF!</v>
      </c>
      <c r="BE344" s="12" t="e">
        <f>IF(Data!#REF!="","",IF(Data!$G344="",1,IF(ISNUMBER(MATCH(Data!#REF!,Data_Val!$D$2:$D$10,0)),0,1)))</f>
        <v>#REF!</v>
      </c>
      <c r="BF344" s="17"/>
      <c r="BG344" s="18" t="e">
        <f ca="1">IF(Data!#REF!="","",IF(ISNUMBER(Data!#REF!),IF(AND(Data!#REF!&gt;(TODAY()-(Data_Val!$M$3*365.25)),Data!#REF!&lt;=(TODAY()-(Data_Val!$M$2*365.25))),0,1),1))</f>
        <v>#REF!</v>
      </c>
      <c r="BH344" s="29" t="e">
        <f>IF(Data!#REF!="","",IF(Data!$G344="",1,IF(ISNUMBER(MATCH(Data!#REF!,Data_Val!$D$2:$D$10,0)),0,1)))</f>
        <v>#REF!</v>
      </c>
      <c r="BI344" s="13"/>
      <c r="BJ344" s="21" t="e">
        <f ca="1">IF(Data!#REF!="","",IF(ISNUMBER(Data!#REF!),IF(AND(Data!#REF!&gt;(TODAY()-(Data_Val!$M$3*365.25)),Data!#REF!&lt;=(TODAY()-(Data_Val!$M$2*365.25))),0,1),1))</f>
        <v>#REF!</v>
      </c>
      <c r="BK344" s="13" t="e">
        <f>IF(Data!#REF!="","",IF(Data!$G344="",1,IF(ISNUMBER(MATCH(Data!#REF!,Data_Val!$D$2:$D$10,0)),0,1)))</f>
        <v>#REF!</v>
      </c>
    </row>
    <row r="345" spans="1:63" x14ac:dyDescent="0.25">
      <c r="A345" s="9" t="str">
        <f>IF(Data!B345="","",IF(COUNTIFS(Data!A$1:'Data'!A345,Data!A345)&lt;=1,0,1))</f>
        <v/>
      </c>
      <c r="B345" s="9"/>
      <c r="C345" s="23" t="str">
        <f>IF(Data!C345="","",(IF(ISNUMBER(MATCH("*@*.?*",Data!C345,0)),0,1)+IF(COUNTIFS(Data!C$1:'Data'!C345,Data!C345)&gt;1,1,0)))</f>
        <v/>
      </c>
      <c r="D345" s="9" t="str">
        <f>IF(Data!B345="","",IF(ISNUMBER(Data!D345),IF(AND(Data!D345&gt;999999999,Data!D345&lt;=9999999999),IF(COUNTIFS(Data!D$1:'Data'!D345,Data!D345)&lt;=1,0,1),1),1))</f>
        <v/>
      </c>
      <c r="E345" s="9" t="str">
        <f>IF(Data!B345="","",IF(ISNUMBER(MATCH(Data!E345,Data_Val!$A$2:$A$3,0)),0,1))</f>
        <v/>
      </c>
      <c r="F345" s="9" t="str">
        <f ca="1">IF(Data!B345="","",IF(ISNUMBER(Data!F345),IF(AND(Data!F345&gt;(TODAY()-(Data_Val!$H$3*365.25)),Data!F345&lt;=(TODAY()-(Data_Val!$H$2*365.25))),0,1),1))</f>
        <v/>
      </c>
      <c r="G345" s="15" t="str">
        <f>IF(Data!B345="","",IF(AND(Data!G345="",Data!H345&lt;&gt;""),1,IF(Data!#REF!&lt;&gt;"",0,IF(ISNUMBER(MATCH(Data!G345,Data_Val!$C$2:$C$5,0)),0,1))))</f>
        <v/>
      </c>
      <c r="H345" s="15" t="str">
        <f>IF(Data!B345="","",IF(AND(Data!G345&lt;&gt;"",Data!H345=""),1,IF(Data!#REF!&lt;&gt;"",0,IF(Data!G345="",1,IF(ISNUMBER(MATCH(Data!H345,Data_Val!$D$2:$D$35,0)),0,1)))))</f>
        <v/>
      </c>
      <c r="I345" s="15" t="str">
        <f>IF(Data!B345="","",IF(Data!G345&lt;&gt;"",0,IF(ISNUMBER(MATCH(Data!#REF!,Data_Val!$E$2:$E$12,0)),0,1)))</f>
        <v/>
      </c>
      <c r="J345" s="16" t="e">
        <f>IF(OR(Data!B345="",Data!#REF!=""),"",IF(Data!#REF!="",1,0))</f>
        <v>#REF!</v>
      </c>
      <c r="K345" s="16" t="e">
        <f>IF(OR(Data!B345="",Data!#REF!=""),"",IF(Data!#REF!="",1,0))</f>
        <v>#REF!</v>
      </c>
      <c r="L345" s="16" t="e">
        <f>IF(OR(Data!B345="",Data!#REF!=""),"",IF(ISNUMBER(Data!#REF!),IF(AND(Data!#REF!&gt;Data_Val!$G$2,Data!#REF!&lt;=Data_Val!$G$3),0,1),1))</f>
        <v>#REF!</v>
      </c>
      <c r="M345" s="9" t="e">
        <f>IF(OR(Data!B345="",Data!#REF!=""),"",IF(ISNUMBER(MATCH(Data!#REF!,Data_Val!$F$1:$F$38,0)),0,1))</f>
        <v>#REF!</v>
      </c>
      <c r="N345" s="9" t="e">
        <f>IF(OR(Data!B345="",Data!#REF!=""),"",IF(Data!#REF!="",1,0))</f>
        <v>#REF!</v>
      </c>
      <c r="O345" s="17" t="e">
        <f>IF(Data!#REF!="","",IF(Data!#REF!="",1,0))</f>
        <v>#REF!</v>
      </c>
      <c r="P345" s="17" t="e">
        <f>IF(Data!#REF!="","",IF(ISNUMBER(MATCH(Data!#REF!,Data_Val!$A$2:$A$3,0)),0,1))</f>
        <v>#REF!</v>
      </c>
      <c r="Q345" s="25" t="e">
        <f ca="1">IF(Data!#REF!="","",IF(ISNUMBER(Data!#REF!),IF(AND(Data!#REF!&gt;(TODAY()-(Data_Val!$J$3*365.25)),Data!#REF!&lt;=(TODAY()-(Data_Val!$J$2*365.25))),0,1),1))</f>
        <v>#REF!</v>
      </c>
      <c r="R345" s="17" t="e">
        <f>IF(Data!#REF!="","",IF(ISNUMBER(MATCH(Data!#REF!,Data_Val!$B$2:$B$15,0)),0,1))</f>
        <v>#REF!</v>
      </c>
      <c r="S345" s="11" t="str">
        <f>IF(Data!G345="","",IF(Data!G345=Data_Val!$C$2,IF(Data!M345="",0,1),0))</f>
        <v/>
      </c>
      <c r="T345" s="11" t="str">
        <f>IF(Data!M345="","",IF(ISNUMBER(MATCH(Data!N345,Data_Val!$A$2:$A$3,0)),0,1))</f>
        <v/>
      </c>
      <c r="U345" s="11" t="str">
        <f ca="1">IF(Data!M345="","",IF(ISNUMBER(Data!O345),IF(AND(Data!O345&gt;(TODAY()-(Data_Val!$K$3*365.25)),Data!O345&lt;=(TODAY()-(Data_Val!$K$2*365.25))),0,1),1))</f>
        <v/>
      </c>
      <c r="V345" s="12" t="str">
        <f>IF(Data!G345="","",IF(Data!G345=Data_Val!$C$2,IF(Data!P345="",0,1),0))</f>
        <v/>
      </c>
      <c r="W345" s="12" t="str">
        <f>IF(Data!P345="","",IF(ISNUMBER(MATCH(Data!Q345,Data_Val!$A$2:$A$3,0)),0,1))</f>
        <v/>
      </c>
      <c r="X345" s="26" t="str">
        <f ca="1">IF(Data!P345="","",IF(ISNUMBER(Data!R345),IF(AND(Data!R345&gt;(TODAY()-(Data_Val!$L$3*365.25)),Data!R345&lt;=(TODAY()-(Data_Val!$L$2*365.25))),0,1),1))</f>
        <v/>
      </c>
      <c r="Y345" s="13" t="str">
        <f>IF(Data!$G345="","",IF(Data!$G345=Data_Val!$C$2,IF(Data!S345="",0,1),0))</f>
        <v/>
      </c>
      <c r="Z345" s="13" t="str">
        <f>IF(Data!S345="","",IF(ISNUMBER(MATCH(Data!T345,Data_Val!$A$2:$A$3,0)),0,1))</f>
        <v/>
      </c>
      <c r="AA345" s="28" t="str">
        <f ca="1">IF(Data!S345="","",IF(ISNUMBER(Data!U345),IF(AND(Data!U345&gt;(TODAY()-(Data_Val!$L$3*365.25)),Data!U345&lt;=(TODAY()-(Data_Val!$L$2*365.25))),0,1),1))</f>
        <v/>
      </c>
      <c r="AB345" s="11"/>
      <c r="AC345" s="11" t="e">
        <f>IF(Data!#REF!="","",IF(ISNUMBER(MATCH(Data!#REF!,Data_Val!$A$2:$A$3,0)),0,1))</f>
        <v>#REF!</v>
      </c>
      <c r="AD345" s="11" t="e">
        <f ca="1">IF(Data!#REF!="","",IF(ISNUMBER(Data!#REF!),IF(AND(Data!#REF!&gt;(TODAY()-(Data_Val!$L$3*365.25)),Data!#REF!&lt;=(TODAY()-(Data_Val!$L$2*365.25))),0,1),1))</f>
        <v>#REF!</v>
      </c>
      <c r="AE345" s="11" t="e">
        <f>IF(Data!#REF!="","",IF(Data!$G345="",1,IF(ISNUMBER(MATCH(Data!#REF!,Data_Val!$D$2:$D$10,0)),0,1)))</f>
        <v>#REF!</v>
      </c>
      <c r="AF345" s="12"/>
      <c r="AG345" s="12" t="e">
        <f>IF(Data!#REF!="","",IF(ISNUMBER(MATCH(Data!#REF!,Data_Val!$A$2:$A$3,0)),0,1))</f>
        <v>#REF!</v>
      </c>
      <c r="AH345" s="26" t="e">
        <f ca="1">IF(Data!#REF!="","",IF(ISNUMBER(Data!#REF!),IF(AND(Data!#REF!&gt;(TODAY()-(Data_Val!$L$3*365.25)),Data!#REF!&lt;=(TODAY()-(Data_Val!$L$2*365.25))),0,1),1))</f>
        <v>#REF!</v>
      </c>
      <c r="AI345" s="12" t="e">
        <f>IF(Data!#REF!="","",IF(Data!$G345="",1,IF(ISNUMBER(MATCH(Data!#REF!,Data_Val!$D$2:$D$10,0)),0,1)))</f>
        <v>#REF!</v>
      </c>
      <c r="AJ345" s="17"/>
      <c r="AK345" s="17" t="e">
        <f>IF(Data!#REF!="","",IF(ISNUMBER(MATCH(Data!#REF!,Data_Val!$A$2:$A$3,0)),0,1))</f>
        <v>#REF!</v>
      </c>
      <c r="AL345" s="25" t="e">
        <f ca="1">IF(Data!#REF!="","",IF(ISNUMBER(Data!#REF!),IF(AND(Data!#REF!&gt;(TODAY()-(Data_Val!$L$3*365.25)),Data!#REF!&lt;=(TODAY()-(Data_Val!$L$2*365.25))),0,1),1))</f>
        <v>#REF!</v>
      </c>
      <c r="AM345" s="17" t="e">
        <f>IF(Data!#REF!="","",IF(Data!$G345="",1,IF(ISNUMBER(MATCH(Data!#REF!,Data_Val!$D$2:$D$10,0)),0,1)))</f>
        <v>#REF!</v>
      </c>
      <c r="AN345" s="13"/>
      <c r="AO345" s="28" t="e">
        <f ca="1">IF(Data!#REF!="","",IF(ISNUMBER(Data!#REF!),IF(AND(Data!#REF!&gt;(TODAY()-(Data_Val!$I$3*365.25)),Data!#REF!&lt;=(TODAY()-(Data_Val!$I$2*365.25))),0,1),1))</f>
        <v>#REF!</v>
      </c>
      <c r="AP345" s="13" t="e">
        <f>IF(Data!#REF!="","",IF(Data!$G345="",1,IF(ISNUMBER(MATCH(Data!#REF!,Data_Val!$D$2:$D$10,0)),0,1)))</f>
        <v>#REF!</v>
      </c>
      <c r="AQ345" s="17"/>
      <c r="AR345" s="30" t="e">
        <f ca="1">IF(Data!#REF!="","",IF(ISNUMBER(Data!#REF!),IF(AND(Data!#REF!&gt;(TODAY()-(Data_Val!$I$3*365.25)),Data!#REF!&lt;=(TODAY()-(Data_Val!$I$2*365.25))),0,1),1))</f>
        <v>#REF!</v>
      </c>
      <c r="AS345" s="31" t="e">
        <f>IF(Data!#REF!="","",IF(Data!$G345="",1,IF(ISNUMBER(MATCH(Data!#REF!,Data_Val!$D$2:$D$10,0)),0,1)))</f>
        <v>#REF!</v>
      </c>
      <c r="AT345" s="11"/>
      <c r="AU345" s="11" t="e">
        <f ca="1">IF(Data!#REF!="","",IF(ISNUMBER(Data!#REF!),IF(AND(Data!#REF!&gt;(TODAY()-(Data_Val!$I$3*365.25)),Data!#REF!&lt;=(TODAY()-(Data_Val!$I$2*365.25))),0,1),1))</f>
        <v>#REF!</v>
      </c>
      <c r="AV345" s="11" t="e">
        <f>IF(Data!#REF!="","",IF(Data!$G345="",1,IF(ISNUMBER(MATCH(Data!#REF!,Data_Val!$D$2:$D$10,0)),0,1)))</f>
        <v>#REF!</v>
      </c>
      <c r="AW345" s="12"/>
      <c r="AX345" s="26" t="e">
        <f ca="1">IF(Data!#REF!="","",IF(ISNUMBER(Data!#REF!),IF(AND(Data!#REF!&gt;(TODAY()-(Data_Val!$I$3*365.25)),Data!#REF!&lt;=(TODAY()-(Data_Val!$I$2*365.25))),0,1),1))</f>
        <v>#REF!</v>
      </c>
      <c r="AY345" s="12" t="e">
        <f>IF(Data!#REF!="","",IF(Data!$G345="",1,IF(ISNUMBER(MATCH(Data!#REF!,Data_Val!$D$2:$D$10,0)),0,1)))</f>
        <v>#REF!</v>
      </c>
      <c r="AZ345" s="11"/>
      <c r="BA345" s="19" t="e">
        <f ca="1">IF(Data!#REF!="","",IF(ISNUMBER(Data!#REF!),IF(AND(Data!#REF!&gt;(TODAY()-(Data_Val!$M$3*365.25)),Data!#REF!&lt;=(TODAY()-(Data_Val!$M$2*365.25))),0,1),1))</f>
        <v>#REF!</v>
      </c>
      <c r="BB345" s="11" t="e">
        <f>IF(Data!#REF!="","",IF(Data!$G345="",1,IF(ISNUMBER(MATCH(Data!#REF!,Data_Val!$D$2:$D$10,0)),0,1)))</f>
        <v>#REF!</v>
      </c>
      <c r="BC345" s="12"/>
      <c r="BD345" s="20" t="e">
        <f ca="1">IF(Data!#REF!="","",IF(ISNUMBER(Data!#REF!),IF(AND(Data!#REF!&gt;(TODAY()-(Data_Val!$M$3*365.25)),Data!#REF!&lt;=(TODAY()-(Data_Val!$M$2*365.25))),0,1),1))</f>
        <v>#REF!</v>
      </c>
      <c r="BE345" s="12" t="e">
        <f>IF(Data!#REF!="","",IF(Data!$G345="",1,IF(ISNUMBER(MATCH(Data!#REF!,Data_Val!$D$2:$D$10,0)),0,1)))</f>
        <v>#REF!</v>
      </c>
      <c r="BF345" s="17"/>
      <c r="BG345" s="18" t="e">
        <f ca="1">IF(Data!#REF!="","",IF(ISNUMBER(Data!#REF!),IF(AND(Data!#REF!&gt;(TODAY()-(Data_Val!$M$3*365.25)),Data!#REF!&lt;=(TODAY()-(Data_Val!$M$2*365.25))),0,1),1))</f>
        <v>#REF!</v>
      </c>
      <c r="BH345" s="29" t="e">
        <f>IF(Data!#REF!="","",IF(Data!$G345="",1,IF(ISNUMBER(MATCH(Data!#REF!,Data_Val!$D$2:$D$10,0)),0,1)))</f>
        <v>#REF!</v>
      </c>
      <c r="BI345" s="13"/>
      <c r="BJ345" s="21" t="e">
        <f ca="1">IF(Data!#REF!="","",IF(ISNUMBER(Data!#REF!),IF(AND(Data!#REF!&gt;(TODAY()-(Data_Val!$M$3*365.25)),Data!#REF!&lt;=(TODAY()-(Data_Val!$M$2*365.25))),0,1),1))</f>
        <v>#REF!</v>
      </c>
      <c r="BK345" s="13" t="e">
        <f>IF(Data!#REF!="","",IF(Data!$G345="",1,IF(ISNUMBER(MATCH(Data!#REF!,Data_Val!$D$2:$D$10,0)),0,1)))</f>
        <v>#REF!</v>
      </c>
    </row>
    <row r="346" spans="1:63" x14ac:dyDescent="0.25">
      <c r="A346" s="9" t="str">
        <f>IF(Data!B346="","",IF(COUNTIFS(Data!A$1:'Data'!A346,Data!A346)&lt;=1,0,1))</f>
        <v/>
      </c>
      <c r="B346" s="9"/>
      <c r="C346" s="23" t="str">
        <f>IF(Data!C346="","",(IF(ISNUMBER(MATCH("*@*.?*",Data!C346,0)),0,1)+IF(COUNTIFS(Data!C$1:'Data'!C346,Data!C346)&gt;1,1,0)))</f>
        <v/>
      </c>
      <c r="D346" s="9" t="str">
        <f>IF(Data!B346="","",IF(ISNUMBER(Data!D346),IF(AND(Data!D346&gt;999999999,Data!D346&lt;=9999999999),IF(COUNTIFS(Data!D$1:'Data'!D346,Data!D346)&lt;=1,0,1),1),1))</f>
        <v/>
      </c>
      <c r="E346" s="9" t="str">
        <f>IF(Data!B346="","",IF(ISNUMBER(MATCH(Data!E346,Data_Val!$A$2:$A$3,0)),0,1))</f>
        <v/>
      </c>
      <c r="F346" s="9" t="str">
        <f ca="1">IF(Data!B346="","",IF(ISNUMBER(Data!F346),IF(AND(Data!F346&gt;(TODAY()-(Data_Val!$H$3*365.25)),Data!F346&lt;=(TODAY()-(Data_Val!$H$2*365.25))),0,1),1))</f>
        <v/>
      </c>
      <c r="G346" s="15" t="str">
        <f>IF(Data!B346="","",IF(AND(Data!G346="",Data!H346&lt;&gt;""),1,IF(Data!#REF!&lt;&gt;"",0,IF(ISNUMBER(MATCH(Data!G346,Data_Val!$C$2:$C$5,0)),0,1))))</f>
        <v/>
      </c>
      <c r="H346" s="15" t="str">
        <f>IF(Data!B346="","",IF(AND(Data!G346&lt;&gt;"",Data!H346=""),1,IF(Data!#REF!&lt;&gt;"",0,IF(Data!G346="",1,IF(ISNUMBER(MATCH(Data!H346,Data_Val!$D$2:$D$35,0)),0,1)))))</f>
        <v/>
      </c>
      <c r="I346" s="15" t="str">
        <f>IF(Data!B346="","",IF(Data!G346&lt;&gt;"",0,IF(ISNUMBER(MATCH(Data!#REF!,Data_Val!$E$2:$E$12,0)),0,1)))</f>
        <v/>
      </c>
      <c r="J346" s="16" t="e">
        <f>IF(OR(Data!B346="",Data!#REF!=""),"",IF(Data!#REF!="",1,0))</f>
        <v>#REF!</v>
      </c>
      <c r="K346" s="16" t="e">
        <f>IF(OR(Data!B346="",Data!#REF!=""),"",IF(Data!#REF!="",1,0))</f>
        <v>#REF!</v>
      </c>
      <c r="L346" s="16" t="e">
        <f>IF(OR(Data!B346="",Data!#REF!=""),"",IF(ISNUMBER(Data!#REF!),IF(AND(Data!#REF!&gt;Data_Val!$G$2,Data!#REF!&lt;=Data_Val!$G$3),0,1),1))</f>
        <v>#REF!</v>
      </c>
      <c r="M346" s="9" t="e">
        <f>IF(OR(Data!B346="",Data!#REF!=""),"",IF(ISNUMBER(MATCH(Data!#REF!,Data_Val!$F$1:$F$38,0)),0,1))</f>
        <v>#REF!</v>
      </c>
      <c r="N346" s="9" t="e">
        <f>IF(OR(Data!B346="",Data!#REF!=""),"",IF(Data!#REF!="",1,0))</f>
        <v>#REF!</v>
      </c>
      <c r="O346" s="17" t="e">
        <f>IF(Data!#REF!="","",IF(Data!#REF!="",1,0))</f>
        <v>#REF!</v>
      </c>
      <c r="P346" s="17" t="e">
        <f>IF(Data!#REF!="","",IF(ISNUMBER(MATCH(Data!#REF!,Data_Val!$A$2:$A$3,0)),0,1))</f>
        <v>#REF!</v>
      </c>
      <c r="Q346" s="25" t="e">
        <f ca="1">IF(Data!#REF!="","",IF(ISNUMBER(Data!#REF!),IF(AND(Data!#REF!&gt;(TODAY()-(Data_Val!$J$3*365.25)),Data!#REF!&lt;=(TODAY()-(Data_Val!$J$2*365.25))),0,1),1))</f>
        <v>#REF!</v>
      </c>
      <c r="R346" s="17" t="e">
        <f>IF(Data!#REF!="","",IF(ISNUMBER(MATCH(Data!#REF!,Data_Val!$B$2:$B$15,0)),0,1))</f>
        <v>#REF!</v>
      </c>
      <c r="S346" s="11" t="str">
        <f>IF(Data!G346="","",IF(Data!G346=Data_Val!$C$2,IF(Data!M346="",0,1),0))</f>
        <v/>
      </c>
      <c r="T346" s="11" t="str">
        <f>IF(Data!M346="","",IF(ISNUMBER(MATCH(Data!N346,Data_Val!$A$2:$A$3,0)),0,1))</f>
        <v/>
      </c>
      <c r="U346" s="11" t="str">
        <f ca="1">IF(Data!M346="","",IF(ISNUMBER(Data!O346),IF(AND(Data!O346&gt;(TODAY()-(Data_Val!$K$3*365.25)),Data!O346&lt;=(TODAY()-(Data_Val!$K$2*365.25))),0,1),1))</f>
        <v/>
      </c>
      <c r="V346" s="12" t="str">
        <f>IF(Data!G346="","",IF(Data!G346=Data_Val!$C$2,IF(Data!P346="",0,1),0))</f>
        <v/>
      </c>
      <c r="W346" s="12" t="str">
        <f>IF(Data!P346="","",IF(ISNUMBER(MATCH(Data!Q346,Data_Val!$A$2:$A$3,0)),0,1))</f>
        <v/>
      </c>
      <c r="X346" s="26" t="str">
        <f ca="1">IF(Data!P346="","",IF(ISNUMBER(Data!R346),IF(AND(Data!R346&gt;(TODAY()-(Data_Val!$L$3*365.25)),Data!R346&lt;=(TODAY()-(Data_Val!$L$2*365.25))),0,1),1))</f>
        <v/>
      </c>
      <c r="Y346" s="13" t="str">
        <f>IF(Data!$G346="","",IF(Data!$G346=Data_Val!$C$2,IF(Data!S346="",0,1),0))</f>
        <v/>
      </c>
      <c r="Z346" s="13" t="str">
        <f>IF(Data!S346="","",IF(ISNUMBER(MATCH(Data!T346,Data_Val!$A$2:$A$3,0)),0,1))</f>
        <v/>
      </c>
      <c r="AA346" s="28" t="str">
        <f ca="1">IF(Data!S346="","",IF(ISNUMBER(Data!U346),IF(AND(Data!U346&gt;(TODAY()-(Data_Val!$L$3*365.25)),Data!U346&lt;=(TODAY()-(Data_Val!$L$2*365.25))),0,1),1))</f>
        <v/>
      </c>
      <c r="AB346" s="11"/>
      <c r="AC346" s="11" t="e">
        <f>IF(Data!#REF!="","",IF(ISNUMBER(MATCH(Data!#REF!,Data_Val!$A$2:$A$3,0)),0,1))</f>
        <v>#REF!</v>
      </c>
      <c r="AD346" s="11" t="e">
        <f ca="1">IF(Data!#REF!="","",IF(ISNUMBER(Data!#REF!),IF(AND(Data!#REF!&gt;(TODAY()-(Data_Val!$L$3*365.25)),Data!#REF!&lt;=(TODAY()-(Data_Val!$L$2*365.25))),0,1),1))</f>
        <v>#REF!</v>
      </c>
      <c r="AE346" s="11" t="e">
        <f>IF(Data!#REF!="","",IF(Data!$G346="",1,IF(ISNUMBER(MATCH(Data!#REF!,Data_Val!$D$2:$D$10,0)),0,1)))</f>
        <v>#REF!</v>
      </c>
      <c r="AF346" s="12"/>
      <c r="AG346" s="12" t="e">
        <f>IF(Data!#REF!="","",IF(ISNUMBER(MATCH(Data!#REF!,Data_Val!$A$2:$A$3,0)),0,1))</f>
        <v>#REF!</v>
      </c>
      <c r="AH346" s="26" t="e">
        <f ca="1">IF(Data!#REF!="","",IF(ISNUMBER(Data!#REF!),IF(AND(Data!#REF!&gt;(TODAY()-(Data_Val!$L$3*365.25)),Data!#REF!&lt;=(TODAY()-(Data_Val!$L$2*365.25))),0,1),1))</f>
        <v>#REF!</v>
      </c>
      <c r="AI346" s="12" t="e">
        <f>IF(Data!#REF!="","",IF(Data!$G346="",1,IF(ISNUMBER(MATCH(Data!#REF!,Data_Val!$D$2:$D$10,0)),0,1)))</f>
        <v>#REF!</v>
      </c>
      <c r="AJ346" s="17"/>
      <c r="AK346" s="17" t="e">
        <f>IF(Data!#REF!="","",IF(ISNUMBER(MATCH(Data!#REF!,Data_Val!$A$2:$A$3,0)),0,1))</f>
        <v>#REF!</v>
      </c>
      <c r="AL346" s="25" t="e">
        <f ca="1">IF(Data!#REF!="","",IF(ISNUMBER(Data!#REF!),IF(AND(Data!#REF!&gt;(TODAY()-(Data_Val!$L$3*365.25)),Data!#REF!&lt;=(TODAY()-(Data_Val!$L$2*365.25))),0,1),1))</f>
        <v>#REF!</v>
      </c>
      <c r="AM346" s="17" t="e">
        <f>IF(Data!#REF!="","",IF(Data!$G346="",1,IF(ISNUMBER(MATCH(Data!#REF!,Data_Val!$D$2:$D$10,0)),0,1)))</f>
        <v>#REF!</v>
      </c>
      <c r="AN346" s="13"/>
      <c r="AO346" s="28" t="e">
        <f ca="1">IF(Data!#REF!="","",IF(ISNUMBER(Data!#REF!),IF(AND(Data!#REF!&gt;(TODAY()-(Data_Val!$I$3*365.25)),Data!#REF!&lt;=(TODAY()-(Data_Val!$I$2*365.25))),0,1),1))</f>
        <v>#REF!</v>
      </c>
      <c r="AP346" s="13" t="e">
        <f>IF(Data!#REF!="","",IF(Data!$G346="",1,IF(ISNUMBER(MATCH(Data!#REF!,Data_Val!$D$2:$D$10,0)),0,1)))</f>
        <v>#REF!</v>
      </c>
      <c r="AQ346" s="17"/>
      <c r="AR346" s="30" t="e">
        <f ca="1">IF(Data!#REF!="","",IF(ISNUMBER(Data!#REF!),IF(AND(Data!#REF!&gt;(TODAY()-(Data_Val!$I$3*365.25)),Data!#REF!&lt;=(TODAY()-(Data_Val!$I$2*365.25))),0,1),1))</f>
        <v>#REF!</v>
      </c>
      <c r="AS346" s="31" t="e">
        <f>IF(Data!#REF!="","",IF(Data!$G346="",1,IF(ISNUMBER(MATCH(Data!#REF!,Data_Val!$D$2:$D$10,0)),0,1)))</f>
        <v>#REF!</v>
      </c>
      <c r="AT346" s="11"/>
      <c r="AU346" s="11" t="e">
        <f ca="1">IF(Data!#REF!="","",IF(ISNUMBER(Data!#REF!),IF(AND(Data!#REF!&gt;(TODAY()-(Data_Val!$I$3*365.25)),Data!#REF!&lt;=(TODAY()-(Data_Val!$I$2*365.25))),0,1),1))</f>
        <v>#REF!</v>
      </c>
      <c r="AV346" s="11" t="e">
        <f>IF(Data!#REF!="","",IF(Data!$G346="",1,IF(ISNUMBER(MATCH(Data!#REF!,Data_Val!$D$2:$D$10,0)),0,1)))</f>
        <v>#REF!</v>
      </c>
      <c r="AW346" s="12"/>
      <c r="AX346" s="26" t="e">
        <f ca="1">IF(Data!#REF!="","",IF(ISNUMBER(Data!#REF!),IF(AND(Data!#REF!&gt;(TODAY()-(Data_Val!$I$3*365.25)),Data!#REF!&lt;=(TODAY()-(Data_Val!$I$2*365.25))),0,1),1))</f>
        <v>#REF!</v>
      </c>
      <c r="AY346" s="12" t="e">
        <f>IF(Data!#REF!="","",IF(Data!$G346="",1,IF(ISNUMBER(MATCH(Data!#REF!,Data_Val!$D$2:$D$10,0)),0,1)))</f>
        <v>#REF!</v>
      </c>
      <c r="AZ346" s="11"/>
      <c r="BA346" s="19" t="e">
        <f ca="1">IF(Data!#REF!="","",IF(ISNUMBER(Data!#REF!),IF(AND(Data!#REF!&gt;(TODAY()-(Data_Val!$M$3*365.25)),Data!#REF!&lt;=(TODAY()-(Data_Val!$M$2*365.25))),0,1),1))</f>
        <v>#REF!</v>
      </c>
      <c r="BB346" s="11" t="e">
        <f>IF(Data!#REF!="","",IF(Data!$G346="",1,IF(ISNUMBER(MATCH(Data!#REF!,Data_Val!$D$2:$D$10,0)),0,1)))</f>
        <v>#REF!</v>
      </c>
      <c r="BC346" s="12"/>
      <c r="BD346" s="20" t="e">
        <f ca="1">IF(Data!#REF!="","",IF(ISNUMBER(Data!#REF!),IF(AND(Data!#REF!&gt;(TODAY()-(Data_Val!$M$3*365.25)),Data!#REF!&lt;=(TODAY()-(Data_Val!$M$2*365.25))),0,1),1))</f>
        <v>#REF!</v>
      </c>
      <c r="BE346" s="12" t="e">
        <f>IF(Data!#REF!="","",IF(Data!$G346="",1,IF(ISNUMBER(MATCH(Data!#REF!,Data_Val!$D$2:$D$10,0)),0,1)))</f>
        <v>#REF!</v>
      </c>
      <c r="BF346" s="17"/>
      <c r="BG346" s="18" t="e">
        <f ca="1">IF(Data!#REF!="","",IF(ISNUMBER(Data!#REF!),IF(AND(Data!#REF!&gt;(TODAY()-(Data_Val!$M$3*365.25)),Data!#REF!&lt;=(TODAY()-(Data_Val!$M$2*365.25))),0,1),1))</f>
        <v>#REF!</v>
      </c>
      <c r="BH346" s="29" t="e">
        <f>IF(Data!#REF!="","",IF(Data!$G346="",1,IF(ISNUMBER(MATCH(Data!#REF!,Data_Val!$D$2:$D$10,0)),0,1)))</f>
        <v>#REF!</v>
      </c>
      <c r="BI346" s="13"/>
      <c r="BJ346" s="21" t="e">
        <f ca="1">IF(Data!#REF!="","",IF(ISNUMBER(Data!#REF!),IF(AND(Data!#REF!&gt;(TODAY()-(Data_Val!$M$3*365.25)),Data!#REF!&lt;=(TODAY()-(Data_Val!$M$2*365.25))),0,1),1))</f>
        <v>#REF!</v>
      </c>
      <c r="BK346" s="13" t="e">
        <f>IF(Data!#REF!="","",IF(Data!$G346="",1,IF(ISNUMBER(MATCH(Data!#REF!,Data_Val!$D$2:$D$10,0)),0,1)))</f>
        <v>#REF!</v>
      </c>
    </row>
    <row r="347" spans="1:63" x14ac:dyDescent="0.25">
      <c r="A347" s="9" t="str">
        <f>IF(Data!B347="","",IF(COUNTIFS(Data!A$1:'Data'!A347,Data!A347)&lt;=1,0,1))</f>
        <v/>
      </c>
      <c r="B347" s="9"/>
      <c r="C347" s="23" t="str">
        <f>IF(Data!C347="","",(IF(ISNUMBER(MATCH("*@*.?*",Data!C347,0)),0,1)+IF(COUNTIFS(Data!C$1:'Data'!C347,Data!C347)&gt;1,1,0)))</f>
        <v/>
      </c>
      <c r="D347" s="9" t="str">
        <f>IF(Data!B347="","",IF(ISNUMBER(Data!D347),IF(AND(Data!D347&gt;999999999,Data!D347&lt;=9999999999),IF(COUNTIFS(Data!D$1:'Data'!D347,Data!D347)&lt;=1,0,1),1),1))</f>
        <v/>
      </c>
      <c r="E347" s="9" t="str">
        <f>IF(Data!B347="","",IF(ISNUMBER(MATCH(Data!E347,Data_Val!$A$2:$A$3,0)),0,1))</f>
        <v/>
      </c>
      <c r="F347" s="9" t="str">
        <f ca="1">IF(Data!B347="","",IF(ISNUMBER(Data!F347),IF(AND(Data!F347&gt;(TODAY()-(Data_Val!$H$3*365.25)),Data!F347&lt;=(TODAY()-(Data_Val!$H$2*365.25))),0,1),1))</f>
        <v/>
      </c>
      <c r="G347" s="15" t="str">
        <f>IF(Data!B347="","",IF(AND(Data!G347="",Data!H347&lt;&gt;""),1,IF(Data!#REF!&lt;&gt;"",0,IF(ISNUMBER(MATCH(Data!G347,Data_Val!$C$2:$C$5,0)),0,1))))</f>
        <v/>
      </c>
      <c r="H347" s="15" t="str">
        <f>IF(Data!B347="","",IF(AND(Data!G347&lt;&gt;"",Data!H347=""),1,IF(Data!#REF!&lt;&gt;"",0,IF(Data!G347="",1,IF(ISNUMBER(MATCH(Data!H347,Data_Val!$D$2:$D$35,0)),0,1)))))</f>
        <v/>
      </c>
      <c r="I347" s="15" t="str">
        <f>IF(Data!B347="","",IF(Data!G347&lt;&gt;"",0,IF(ISNUMBER(MATCH(Data!#REF!,Data_Val!$E$2:$E$12,0)),0,1)))</f>
        <v/>
      </c>
      <c r="J347" s="16" t="e">
        <f>IF(OR(Data!B347="",Data!#REF!=""),"",IF(Data!#REF!="",1,0))</f>
        <v>#REF!</v>
      </c>
      <c r="K347" s="16" t="e">
        <f>IF(OR(Data!B347="",Data!#REF!=""),"",IF(Data!#REF!="",1,0))</f>
        <v>#REF!</v>
      </c>
      <c r="L347" s="16" t="e">
        <f>IF(OR(Data!B347="",Data!#REF!=""),"",IF(ISNUMBER(Data!#REF!),IF(AND(Data!#REF!&gt;Data_Val!$G$2,Data!#REF!&lt;=Data_Val!$G$3),0,1),1))</f>
        <v>#REF!</v>
      </c>
      <c r="M347" s="9" t="e">
        <f>IF(OR(Data!B347="",Data!#REF!=""),"",IF(ISNUMBER(MATCH(Data!#REF!,Data_Val!$F$1:$F$38,0)),0,1))</f>
        <v>#REF!</v>
      </c>
      <c r="N347" s="9" t="e">
        <f>IF(OR(Data!B347="",Data!#REF!=""),"",IF(Data!#REF!="",1,0))</f>
        <v>#REF!</v>
      </c>
      <c r="O347" s="17" t="e">
        <f>IF(Data!#REF!="","",IF(Data!#REF!="",1,0))</f>
        <v>#REF!</v>
      </c>
      <c r="P347" s="17" t="e">
        <f>IF(Data!#REF!="","",IF(ISNUMBER(MATCH(Data!#REF!,Data_Val!$A$2:$A$3,0)),0,1))</f>
        <v>#REF!</v>
      </c>
      <c r="Q347" s="25" t="e">
        <f ca="1">IF(Data!#REF!="","",IF(ISNUMBER(Data!#REF!),IF(AND(Data!#REF!&gt;(TODAY()-(Data_Val!$J$3*365.25)),Data!#REF!&lt;=(TODAY()-(Data_Val!$J$2*365.25))),0,1),1))</f>
        <v>#REF!</v>
      </c>
      <c r="R347" s="17" t="e">
        <f>IF(Data!#REF!="","",IF(ISNUMBER(MATCH(Data!#REF!,Data_Val!$B$2:$B$15,0)),0,1))</f>
        <v>#REF!</v>
      </c>
      <c r="S347" s="11" t="str">
        <f>IF(Data!G347="","",IF(Data!G347=Data_Val!$C$2,IF(Data!M347="",0,1),0))</f>
        <v/>
      </c>
      <c r="T347" s="11" t="str">
        <f>IF(Data!M347="","",IF(ISNUMBER(MATCH(Data!N347,Data_Val!$A$2:$A$3,0)),0,1))</f>
        <v/>
      </c>
      <c r="U347" s="11" t="str">
        <f ca="1">IF(Data!M347="","",IF(ISNUMBER(Data!O347),IF(AND(Data!O347&gt;(TODAY()-(Data_Val!$K$3*365.25)),Data!O347&lt;=(TODAY()-(Data_Val!$K$2*365.25))),0,1),1))</f>
        <v/>
      </c>
      <c r="V347" s="12" t="str">
        <f>IF(Data!G347="","",IF(Data!G347=Data_Val!$C$2,IF(Data!P347="",0,1),0))</f>
        <v/>
      </c>
      <c r="W347" s="12" t="str">
        <f>IF(Data!P347="","",IF(ISNUMBER(MATCH(Data!Q347,Data_Val!$A$2:$A$3,0)),0,1))</f>
        <v/>
      </c>
      <c r="X347" s="26" t="str">
        <f ca="1">IF(Data!P347="","",IF(ISNUMBER(Data!R347),IF(AND(Data!R347&gt;(TODAY()-(Data_Val!$L$3*365.25)),Data!R347&lt;=(TODAY()-(Data_Val!$L$2*365.25))),0,1),1))</f>
        <v/>
      </c>
      <c r="Y347" s="13" t="str">
        <f>IF(Data!$G347="","",IF(Data!$G347=Data_Val!$C$2,IF(Data!S347="",0,1),0))</f>
        <v/>
      </c>
      <c r="Z347" s="13" t="str">
        <f>IF(Data!S347="","",IF(ISNUMBER(MATCH(Data!T347,Data_Val!$A$2:$A$3,0)),0,1))</f>
        <v/>
      </c>
      <c r="AA347" s="28" t="str">
        <f ca="1">IF(Data!S347="","",IF(ISNUMBER(Data!U347),IF(AND(Data!U347&gt;(TODAY()-(Data_Val!$L$3*365.25)),Data!U347&lt;=(TODAY()-(Data_Val!$L$2*365.25))),0,1),1))</f>
        <v/>
      </c>
      <c r="AB347" s="11"/>
      <c r="AC347" s="11" t="e">
        <f>IF(Data!#REF!="","",IF(ISNUMBER(MATCH(Data!#REF!,Data_Val!$A$2:$A$3,0)),0,1))</f>
        <v>#REF!</v>
      </c>
      <c r="AD347" s="11" t="e">
        <f ca="1">IF(Data!#REF!="","",IF(ISNUMBER(Data!#REF!),IF(AND(Data!#REF!&gt;(TODAY()-(Data_Val!$L$3*365.25)),Data!#REF!&lt;=(TODAY()-(Data_Val!$L$2*365.25))),0,1),1))</f>
        <v>#REF!</v>
      </c>
      <c r="AE347" s="11" t="e">
        <f>IF(Data!#REF!="","",IF(Data!$G347="",1,IF(ISNUMBER(MATCH(Data!#REF!,Data_Val!$D$2:$D$10,0)),0,1)))</f>
        <v>#REF!</v>
      </c>
      <c r="AF347" s="12"/>
      <c r="AG347" s="12" t="e">
        <f>IF(Data!#REF!="","",IF(ISNUMBER(MATCH(Data!#REF!,Data_Val!$A$2:$A$3,0)),0,1))</f>
        <v>#REF!</v>
      </c>
      <c r="AH347" s="26" t="e">
        <f ca="1">IF(Data!#REF!="","",IF(ISNUMBER(Data!#REF!),IF(AND(Data!#REF!&gt;(TODAY()-(Data_Val!$L$3*365.25)),Data!#REF!&lt;=(TODAY()-(Data_Val!$L$2*365.25))),0,1),1))</f>
        <v>#REF!</v>
      </c>
      <c r="AI347" s="12" t="e">
        <f>IF(Data!#REF!="","",IF(Data!$G347="",1,IF(ISNUMBER(MATCH(Data!#REF!,Data_Val!$D$2:$D$10,0)),0,1)))</f>
        <v>#REF!</v>
      </c>
      <c r="AJ347" s="17"/>
      <c r="AK347" s="17" t="e">
        <f>IF(Data!#REF!="","",IF(ISNUMBER(MATCH(Data!#REF!,Data_Val!$A$2:$A$3,0)),0,1))</f>
        <v>#REF!</v>
      </c>
      <c r="AL347" s="25" t="e">
        <f ca="1">IF(Data!#REF!="","",IF(ISNUMBER(Data!#REF!),IF(AND(Data!#REF!&gt;(TODAY()-(Data_Val!$L$3*365.25)),Data!#REF!&lt;=(TODAY()-(Data_Val!$L$2*365.25))),0,1),1))</f>
        <v>#REF!</v>
      </c>
      <c r="AM347" s="17" t="e">
        <f>IF(Data!#REF!="","",IF(Data!$G347="",1,IF(ISNUMBER(MATCH(Data!#REF!,Data_Val!$D$2:$D$10,0)),0,1)))</f>
        <v>#REF!</v>
      </c>
      <c r="AN347" s="13"/>
      <c r="AO347" s="28" t="e">
        <f ca="1">IF(Data!#REF!="","",IF(ISNUMBER(Data!#REF!),IF(AND(Data!#REF!&gt;(TODAY()-(Data_Val!$I$3*365.25)),Data!#REF!&lt;=(TODAY()-(Data_Val!$I$2*365.25))),0,1),1))</f>
        <v>#REF!</v>
      </c>
      <c r="AP347" s="13" t="e">
        <f>IF(Data!#REF!="","",IF(Data!$G347="",1,IF(ISNUMBER(MATCH(Data!#REF!,Data_Val!$D$2:$D$10,0)),0,1)))</f>
        <v>#REF!</v>
      </c>
      <c r="AQ347" s="17"/>
      <c r="AR347" s="30" t="e">
        <f ca="1">IF(Data!#REF!="","",IF(ISNUMBER(Data!#REF!),IF(AND(Data!#REF!&gt;(TODAY()-(Data_Val!$I$3*365.25)),Data!#REF!&lt;=(TODAY()-(Data_Val!$I$2*365.25))),0,1),1))</f>
        <v>#REF!</v>
      </c>
      <c r="AS347" s="31" t="e">
        <f>IF(Data!#REF!="","",IF(Data!$G347="",1,IF(ISNUMBER(MATCH(Data!#REF!,Data_Val!$D$2:$D$10,0)),0,1)))</f>
        <v>#REF!</v>
      </c>
      <c r="AT347" s="11"/>
      <c r="AU347" s="11" t="e">
        <f ca="1">IF(Data!#REF!="","",IF(ISNUMBER(Data!#REF!),IF(AND(Data!#REF!&gt;(TODAY()-(Data_Val!$I$3*365.25)),Data!#REF!&lt;=(TODAY()-(Data_Val!$I$2*365.25))),0,1),1))</f>
        <v>#REF!</v>
      </c>
      <c r="AV347" s="11" t="e">
        <f>IF(Data!#REF!="","",IF(Data!$G347="",1,IF(ISNUMBER(MATCH(Data!#REF!,Data_Val!$D$2:$D$10,0)),0,1)))</f>
        <v>#REF!</v>
      </c>
      <c r="AW347" s="12"/>
      <c r="AX347" s="26" t="e">
        <f ca="1">IF(Data!#REF!="","",IF(ISNUMBER(Data!#REF!),IF(AND(Data!#REF!&gt;(TODAY()-(Data_Val!$I$3*365.25)),Data!#REF!&lt;=(TODAY()-(Data_Val!$I$2*365.25))),0,1),1))</f>
        <v>#REF!</v>
      </c>
      <c r="AY347" s="12" t="e">
        <f>IF(Data!#REF!="","",IF(Data!$G347="",1,IF(ISNUMBER(MATCH(Data!#REF!,Data_Val!$D$2:$D$10,0)),0,1)))</f>
        <v>#REF!</v>
      </c>
      <c r="AZ347" s="11"/>
      <c r="BA347" s="19" t="e">
        <f ca="1">IF(Data!#REF!="","",IF(ISNUMBER(Data!#REF!),IF(AND(Data!#REF!&gt;(TODAY()-(Data_Val!$M$3*365.25)),Data!#REF!&lt;=(TODAY()-(Data_Val!$M$2*365.25))),0,1),1))</f>
        <v>#REF!</v>
      </c>
      <c r="BB347" s="11" t="e">
        <f>IF(Data!#REF!="","",IF(Data!$G347="",1,IF(ISNUMBER(MATCH(Data!#REF!,Data_Val!$D$2:$D$10,0)),0,1)))</f>
        <v>#REF!</v>
      </c>
      <c r="BC347" s="12"/>
      <c r="BD347" s="20" t="e">
        <f ca="1">IF(Data!#REF!="","",IF(ISNUMBER(Data!#REF!),IF(AND(Data!#REF!&gt;(TODAY()-(Data_Val!$M$3*365.25)),Data!#REF!&lt;=(TODAY()-(Data_Val!$M$2*365.25))),0,1),1))</f>
        <v>#REF!</v>
      </c>
      <c r="BE347" s="12" t="e">
        <f>IF(Data!#REF!="","",IF(Data!$G347="",1,IF(ISNUMBER(MATCH(Data!#REF!,Data_Val!$D$2:$D$10,0)),0,1)))</f>
        <v>#REF!</v>
      </c>
      <c r="BF347" s="17"/>
      <c r="BG347" s="18" t="e">
        <f ca="1">IF(Data!#REF!="","",IF(ISNUMBER(Data!#REF!),IF(AND(Data!#REF!&gt;(TODAY()-(Data_Val!$M$3*365.25)),Data!#REF!&lt;=(TODAY()-(Data_Val!$M$2*365.25))),0,1),1))</f>
        <v>#REF!</v>
      </c>
      <c r="BH347" s="29" t="e">
        <f>IF(Data!#REF!="","",IF(Data!$G347="",1,IF(ISNUMBER(MATCH(Data!#REF!,Data_Val!$D$2:$D$10,0)),0,1)))</f>
        <v>#REF!</v>
      </c>
      <c r="BI347" s="13"/>
      <c r="BJ347" s="21" t="e">
        <f ca="1">IF(Data!#REF!="","",IF(ISNUMBER(Data!#REF!),IF(AND(Data!#REF!&gt;(TODAY()-(Data_Val!$M$3*365.25)),Data!#REF!&lt;=(TODAY()-(Data_Val!$M$2*365.25))),0,1),1))</f>
        <v>#REF!</v>
      </c>
      <c r="BK347" s="13" t="e">
        <f>IF(Data!#REF!="","",IF(Data!$G347="",1,IF(ISNUMBER(MATCH(Data!#REF!,Data_Val!$D$2:$D$10,0)),0,1)))</f>
        <v>#REF!</v>
      </c>
    </row>
    <row r="348" spans="1:63" x14ac:dyDescent="0.25">
      <c r="A348" s="9" t="str">
        <f>IF(Data!B348="","",IF(COUNTIFS(Data!A$1:'Data'!A348,Data!A348)&lt;=1,0,1))</f>
        <v/>
      </c>
      <c r="B348" s="9"/>
      <c r="C348" s="23" t="str">
        <f>IF(Data!C348="","",(IF(ISNUMBER(MATCH("*@*.?*",Data!C348,0)),0,1)+IF(COUNTIFS(Data!C$1:'Data'!C348,Data!C348)&gt;1,1,0)))</f>
        <v/>
      </c>
      <c r="D348" s="9" t="str">
        <f>IF(Data!B348="","",IF(ISNUMBER(Data!D348),IF(AND(Data!D348&gt;999999999,Data!D348&lt;=9999999999),IF(COUNTIFS(Data!D$1:'Data'!D348,Data!D348)&lt;=1,0,1),1),1))</f>
        <v/>
      </c>
      <c r="E348" s="9" t="str">
        <f>IF(Data!B348="","",IF(ISNUMBER(MATCH(Data!E348,Data_Val!$A$2:$A$3,0)),0,1))</f>
        <v/>
      </c>
      <c r="F348" s="9" t="str">
        <f ca="1">IF(Data!B348="","",IF(ISNUMBER(Data!F348),IF(AND(Data!F348&gt;(TODAY()-(Data_Val!$H$3*365.25)),Data!F348&lt;=(TODAY()-(Data_Val!$H$2*365.25))),0,1),1))</f>
        <v/>
      </c>
      <c r="G348" s="15" t="str">
        <f>IF(Data!B348="","",IF(AND(Data!G348="",Data!H348&lt;&gt;""),1,IF(Data!#REF!&lt;&gt;"",0,IF(ISNUMBER(MATCH(Data!G348,Data_Val!$C$2:$C$5,0)),0,1))))</f>
        <v/>
      </c>
      <c r="H348" s="15" t="str">
        <f>IF(Data!B348="","",IF(AND(Data!G348&lt;&gt;"",Data!H348=""),1,IF(Data!#REF!&lt;&gt;"",0,IF(Data!G348="",1,IF(ISNUMBER(MATCH(Data!H348,Data_Val!$D$2:$D$35,0)),0,1)))))</f>
        <v/>
      </c>
      <c r="I348" s="15" t="str">
        <f>IF(Data!B348="","",IF(Data!G348&lt;&gt;"",0,IF(ISNUMBER(MATCH(Data!#REF!,Data_Val!$E$2:$E$12,0)),0,1)))</f>
        <v/>
      </c>
      <c r="J348" s="16" t="e">
        <f>IF(OR(Data!B348="",Data!#REF!=""),"",IF(Data!#REF!="",1,0))</f>
        <v>#REF!</v>
      </c>
      <c r="K348" s="16" t="e">
        <f>IF(OR(Data!B348="",Data!#REF!=""),"",IF(Data!#REF!="",1,0))</f>
        <v>#REF!</v>
      </c>
      <c r="L348" s="16" t="e">
        <f>IF(OR(Data!B348="",Data!#REF!=""),"",IF(ISNUMBER(Data!#REF!),IF(AND(Data!#REF!&gt;Data_Val!$G$2,Data!#REF!&lt;=Data_Val!$G$3),0,1),1))</f>
        <v>#REF!</v>
      </c>
      <c r="M348" s="9" t="e">
        <f>IF(OR(Data!B348="",Data!#REF!=""),"",IF(ISNUMBER(MATCH(Data!#REF!,Data_Val!$F$1:$F$38,0)),0,1))</f>
        <v>#REF!</v>
      </c>
      <c r="N348" s="9" t="e">
        <f>IF(OR(Data!B348="",Data!#REF!=""),"",IF(Data!#REF!="",1,0))</f>
        <v>#REF!</v>
      </c>
      <c r="O348" s="17" t="e">
        <f>IF(Data!#REF!="","",IF(Data!#REF!="",1,0))</f>
        <v>#REF!</v>
      </c>
      <c r="P348" s="17" t="e">
        <f>IF(Data!#REF!="","",IF(ISNUMBER(MATCH(Data!#REF!,Data_Val!$A$2:$A$3,0)),0,1))</f>
        <v>#REF!</v>
      </c>
      <c r="Q348" s="25" t="e">
        <f ca="1">IF(Data!#REF!="","",IF(ISNUMBER(Data!#REF!),IF(AND(Data!#REF!&gt;(TODAY()-(Data_Val!$J$3*365.25)),Data!#REF!&lt;=(TODAY()-(Data_Val!$J$2*365.25))),0,1),1))</f>
        <v>#REF!</v>
      </c>
      <c r="R348" s="17" t="e">
        <f>IF(Data!#REF!="","",IF(ISNUMBER(MATCH(Data!#REF!,Data_Val!$B$2:$B$15,0)),0,1))</f>
        <v>#REF!</v>
      </c>
      <c r="S348" s="11" t="str">
        <f>IF(Data!G348="","",IF(Data!G348=Data_Val!$C$2,IF(Data!M348="",0,1),0))</f>
        <v/>
      </c>
      <c r="T348" s="11" t="str">
        <f>IF(Data!M348="","",IF(ISNUMBER(MATCH(Data!N348,Data_Val!$A$2:$A$3,0)),0,1))</f>
        <v/>
      </c>
      <c r="U348" s="11" t="str">
        <f ca="1">IF(Data!M348="","",IF(ISNUMBER(Data!O348),IF(AND(Data!O348&gt;(TODAY()-(Data_Val!$K$3*365.25)),Data!O348&lt;=(TODAY()-(Data_Val!$K$2*365.25))),0,1),1))</f>
        <v/>
      </c>
      <c r="V348" s="12" t="str">
        <f>IF(Data!G348="","",IF(Data!G348=Data_Val!$C$2,IF(Data!P348="",0,1),0))</f>
        <v/>
      </c>
      <c r="W348" s="12" t="str">
        <f>IF(Data!P348="","",IF(ISNUMBER(MATCH(Data!Q348,Data_Val!$A$2:$A$3,0)),0,1))</f>
        <v/>
      </c>
      <c r="X348" s="26" t="str">
        <f ca="1">IF(Data!P348="","",IF(ISNUMBER(Data!R348),IF(AND(Data!R348&gt;(TODAY()-(Data_Val!$L$3*365.25)),Data!R348&lt;=(TODAY()-(Data_Val!$L$2*365.25))),0,1),1))</f>
        <v/>
      </c>
      <c r="Y348" s="13" t="str">
        <f>IF(Data!$G348="","",IF(Data!$G348=Data_Val!$C$2,IF(Data!S348="",0,1),0))</f>
        <v/>
      </c>
      <c r="Z348" s="13" t="str">
        <f>IF(Data!S348="","",IF(ISNUMBER(MATCH(Data!T348,Data_Val!$A$2:$A$3,0)),0,1))</f>
        <v/>
      </c>
      <c r="AA348" s="28" t="str">
        <f ca="1">IF(Data!S348="","",IF(ISNUMBER(Data!U348),IF(AND(Data!U348&gt;(TODAY()-(Data_Val!$L$3*365.25)),Data!U348&lt;=(TODAY()-(Data_Val!$L$2*365.25))),0,1),1))</f>
        <v/>
      </c>
      <c r="AB348" s="11"/>
      <c r="AC348" s="11" t="e">
        <f>IF(Data!#REF!="","",IF(ISNUMBER(MATCH(Data!#REF!,Data_Val!$A$2:$A$3,0)),0,1))</f>
        <v>#REF!</v>
      </c>
      <c r="AD348" s="11" t="e">
        <f ca="1">IF(Data!#REF!="","",IF(ISNUMBER(Data!#REF!),IF(AND(Data!#REF!&gt;(TODAY()-(Data_Val!$L$3*365.25)),Data!#REF!&lt;=(TODAY()-(Data_Val!$L$2*365.25))),0,1),1))</f>
        <v>#REF!</v>
      </c>
      <c r="AE348" s="11" t="e">
        <f>IF(Data!#REF!="","",IF(Data!$G348="",1,IF(ISNUMBER(MATCH(Data!#REF!,Data_Val!$D$2:$D$10,0)),0,1)))</f>
        <v>#REF!</v>
      </c>
      <c r="AF348" s="12"/>
      <c r="AG348" s="12" t="e">
        <f>IF(Data!#REF!="","",IF(ISNUMBER(MATCH(Data!#REF!,Data_Val!$A$2:$A$3,0)),0,1))</f>
        <v>#REF!</v>
      </c>
      <c r="AH348" s="26" t="e">
        <f ca="1">IF(Data!#REF!="","",IF(ISNUMBER(Data!#REF!),IF(AND(Data!#REF!&gt;(TODAY()-(Data_Val!$L$3*365.25)),Data!#REF!&lt;=(TODAY()-(Data_Val!$L$2*365.25))),0,1),1))</f>
        <v>#REF!</v>
      </c>
      <c r="AI348" s="12" t="e">
        <f>IF(Data!#REF!="","",IF(Data!$G348="",1,IF(ISNUMBER(MATCH(Data!#REF!,Data_Val!$D$2:$D$10,0)),0,1)))</f>
        <v>#REF!</v>
      </c>
      <c r="AJ348" s="17"/>
      <c r="AK348" s="17" t="e">
        <f>IF(Data!#REF!="","",IF(ISNUMBER(MATCH(Data!#REF!,Data_Val!$A$2:$A$3,0)),0,1))</f>
        <v>#REF!</v>
      </c>
      <c r="AL348" s="25" t="e">
        <f ca="1">IF(Data!#REF!="","",IF(ISNUMBER(Data!#REF!),IF(AND(Data!#REF!&gt;(TODAY()-(Data_Val!$L$3*365.25)),Data!#REF!&lt;=(TODAY()-(Data_Val!$L$2*365.25))),0,1),1))</f>
        <v>#REF!</v>
      </c>
      <c r="AM348" s="17" t="e">
        <f>IF(Data!#REF!="","",IF(Data!$G348="",1,IF(ISNUMBER(MATCH(Data!#REF!,Data_Val!$D$2:$D$10,0)),0,1)))</f>
        <v>#REF!</v>
      </c>
      <c r="AN348" s="13"/>
      <c r="AO348" s="28" t="e">
        <f ca="1">IF(Data!#REF!="","",IF(ISNUMBER(Data!#REF!),IF(AND(Data!#REF!&gt;(TODAY()-(Data_Val!$I$3*365.25)),Data!#REF!&lt;=(TODAY()-(Data_Val!$I$2*365.25))),0,1),1))</f>
        <v>#REF!</v>
      </c>
      <c r="AP348" s="13" t="e">
        <f>IF(Data!#REF!="","",IF(Data!$G348="",1,IF(ISNUMBER(MATCH(Data!#REF!,Data_Val!$D$2:$D$10,0)),0,1)))</f>
        <v>#REF!</v>
      </c>
      <c r="AQ348" s="17"/>
      <c r="AR348" s="30" t="e">
        <f ca="1">IF(Data!#REF!="","",IF(ISNUMBER(Data!#REF!),IF(AND(Data!#REF!&gt;(TODAY()-(Data_Val!$I$3*365.25)),Data!#REF!&lt;=(TODAY()-(Data_Val!$I$2*365.25))),0,1),1))</f>
        <v>#REF!</v>
      </c>
      <c r="AS348" s="31" t="e">
        <f>IF(Data!#REF!="","",IF(Data!$G348="",1,IF(ISNUMBER(MATCH(Data!#REF!,Data_Val!$D$2:$D$10,0)),0,1)))</f>
        <v>#REF!</v>
      </c>
      <c r="AT348" s="11"/>
      <c r="AU348" s="11" t="e">
        <f ca="1">IF(Data!#REF!="","",IF(ISNUMBER(Data!#REF!),IF(AND(Data!#REF!&gt;(TODAY()-(Data_Val!$I$3*365.25)),Data!#REF!&lt;=(TODAY()-(Data_Val!$I$2*365.25))),0,1),1))</f>
        <v>#REF!</v>
      </c>
      <c r="AV348" s="11" t="e">
        <f>IF(Data!#REF!="","",IF(Data!$G348="",1,IF(ISNUMBER(MATCH(Data!#REF!,Data_Val!$D$2:$D$10,0)),0,1)))</f>
        <v>#REF!</v>
      </c>
      <c r="AW348" s="12"/>
      <c r="AX348" s="26" t="e">
        <f ca="1">IF(Data!#REF!="","",IF(ISNUMBER(Data!#REF!),IF(AND(Data!#REF!&gt;(TODAY()-(Data_Val!$I$3*365.25)),Data!#REF!&lt;=(TODAY()-(Data_Val!$I$2*365.25))),0,1),1))</f>
        <v>#REF!</v>
      </c>
      <c r="AY348" s="12" t="e">
        <f>IF(Data!#REF!="","",IF(Data!$G348="",1,IF(ISNUMBER(MATCH(Data!#REF!,Data_Val!$D$2:$D$10,0)),0,1)))</f>
        <v>#REF!</v>
      </c>
      <c r="AZ348" s="11"/>
      <c r="BA348" s="19" t="e">
        <f ca="1">IF(Data!#REF!="","",IF(ISNUMBER(Data!#REF!),IF(AND(Data!#REF!&gt;(TODAY()-(Data_Val!$M$3*365.25)),Data!#REF!&lt;=(TODAY()-(Data_Val!$M$2*365.25))),0,1),1))</f>
        <v>#REF!</v>
      </c>
      <c r="BB348" s="11" t="e">
        <f>IF(Data!#REF!="","",IF(Data!$G348="",1,IF(ISNUMBER(MATCH(Data!#REF!,Data_Val!$D$2:$D$10,0)),0,1)))</f>
        <v>#REF!</v>
      </c>
      <c r="BC348" s="12"/>
      <c r="BD348" s="20" t="e">
        <f ca="1">IF(Data!#REF!="","",IF(ISNUMBER(Data!#REF!),IF(AND(Data!#REF!&gt;(TODAY()-(Data_Val!$M$3*365.25)),Data!#REF!&lt;=(TODAY()-(Data_Val!$M$2*365.25))),0,1),1))</f>
        <v>#REF!</v>
      </c>
      <c r="BE348" s="12" t="e">
        <f>IF(Data!#REF!="","",IF(Data!$G348="",1,IF(ISNUMBER(MATCH(Data!#REF!,Data_Val!$D$2:$D$10,0)),0,1)))</f>
        <v>#REF!</v>
      </c>
      <c r="BF348" s="17"/>
      <c r="BG348" s="18" t="e">
        <f ca="1">IF(Data!#REF!="","",IF(ISNUMBER(Data!#REF!),IF(AND(Data!#REF!&gt;(TODAY()-(Data_Val!$M$3*365.25)),Data!#REF!&lt;=(TODAY()-(Data_Val!$M$2*365.25))),0,1),1))</f>
        <v>#REF!</v>
      </c>
      <c r="BH348" s="29" t="e">
        <f>IF(Data!#REF!="","",IF(Data!$G348="",1,IF(ISNUMBER(MATCH(Data!#REF!,Data_Val!$D$2:$D$10,0)),0,1)))</f>
        <v>#REF!</v>
      </c>
      <c r="BI348" s="13"/>
      <c r="BJ348" s="21" t="e">
        <f ca="1">IF(Data!#REF!="","",IF(ISNUMBER(Data!#REF!),IF(AND(Data!#REF!&gt;(TODAY()-(Data_Val!$M$3*365.25)),Data!#REF!&lt;=(TODAY()-(Data_Val!$M$2*365.25))),0,1),1))</f>
        <v>#REF!</v>
      </c>
      <c r="BK348" s="13" t="e">
        <f>IF(Data!#REF!="","",IF(Data!$G348="",1,IF(ISNUMBER(MATCH(Data!#REF!,Data_Val!$D$2:$D$10,0)),0,1)))</f>
        <v>#REF!</v>
      </c>
    </row>
    <row r="349" spans="1:63" x14ac:dyDescent="0.25">
      <c r="A349" s="9" t="str">
        <f>IF(Data!B349="","",IF(COUNTIFS(Data!A$1:'Data'!A349,Data!A349)&lt;=1,0,1))</f>
        <v/>
      </c>
      <c r="B349" s="9"/>
      <c r="C349" s="23" t="str">
        <f>IF(Data!C349="","",(IF(ISNUMBER(MATCH("*@*.?*",Data!C349,0)),0,1)+IF(COUNTIFS(Data!C$1:'Data'!C349,Data!C349)&gt;1,1,0)))</f>
        <v/>
      </c>
      <c r="D349" s="9" t="str">
        <f>IF(Data!B349="","",IF(ISNUMBER(Data!D349),IF(AND(Data!D349&gt;999999999,Data!D349&lt;=9999999999),IF(COUNTIFS(Data!D$1:'Data'!D349,Data!D349)&lt;=1,0,1),1),1))</f>
        <v/>
      </c>
      <c r="E349" s="9" t="str">
        <f>IF(Data!B349="","",IF(ISNUMBER(MATCH(Data!E349,Data_Val!$A$2:$A$3,0)),0,1))</f>
        <v/>
      </c>
      <c r="F349" s="9" t="str">
        <f ca="1">IF(Data!B349="","",IF(ISNUMBER(Data!F349),IF(AND(Data!F349&gt;(TODAY()-(Data_Val!$H$3*365.25)),Data!F349&lt;=(TODAY()-(Data_Val!$H$2*365.25))),0,1),1))</f>
        <v/>
      </c>
      <c r="G349" s="15" t="str">
        <f>IF(Data!B349="","",IF(AND(Data!G349="",Data!H349&lt;&gt;""),1,IF(Data!#REF!&lt;&gt;"",0,IF(ISNUMBER(MATCH(Data!G349,Data_Val!$C$2:$C$5,0)),0,1))))</f>
        <v/>
      </c>
      <c r="H349" s="15" t="str">
        <f>IF(Data!B349="","",IF(AND(Data!G349&lt;&gt;"",Data!H349=""),1,IF(Data!#REF!&lt;&gt;"",0,IF(Data!G349="",1,IF(ISNUMBER(MATCH(Data!H349,Data_Val!$D$2:$D$35,0)),0,1)))))</f>
        <v/>
      </c>
      <c r="I349" s="15" t="str">
        <f>IF(Data!B349="","",IF(Data!G349&lt;&gt;"",0,IF(ISNUMBER(MATCH(Data!#REF!,Data_Val!$E$2:$E$12,0)),0,1)))</f>
        <v/>
      </c>
      <c r="J349" s="16" t="e">
        <f>IF(OR(Data!B349="",Data!#REF!=""),"",IF(Data!#REF!="",1,0))</f>
        <v>#REF!</v>
      </c>
      <c r="K349" s="16" t="e">
        <f>IF(OR(Data!B349="",Data!#REF!=""),"",IF(Data!#REF!="",1,0))</f>
        <v>#REF!</v>
      </c>
      <c r="L349" s="16" t="e">
        <f>IF(OR(Data!B349="",Data!#REF!=""),"",IF(ISNUMBER(Data!#REF!),IF(AND(Data!#REF!&gt;Data_Val!$G$2,Data!#REF!&lt;=Data_Val!$G$3),0,1),1))</f>
        <v>#REF!</v>
      </c>
      <c r="M349" s="9" t="e">
        <f>IF(OR(Data!B349="",Data!#REF!=""),"",IF(ISNUMBER(MATCH(Data!#REF!,Data_Val!$F$1:$F$38,0)),0,1))</f>
        <v>#REF!</v>
      </c>
      <c r="N349" s="9" t="e">
        <f>IF(OR(Data!B349="",Data!#REF!=""),"",IF(Data!#REF!="",1,0))</f>
        <v>#REF!</v>
      </c>
      <c r="O349" s="17" t="e">
        <f>IF(Data!#REF!="","",IF(Data!#REF!="",1,0))</f>
        <v>#REF!</v>
      </c>
      <c r="P349" s="17" t="e">
        <f>IF(Data!#REF!="","",IF(ISNUMBER(MATCH(Data!#REF!,Data_Val!$A$2:$A$3,0)),0,1))</f>
        <v>#REF!</v>
      </c>
      <c r="Q349" s="25" t="e">
        <f ca="1">IF(Data!#REF!="","",IF(ISNUMBER(Data!#REF!),IF(AND(Data!#REF!&gt;(TODAY()-(Data_Val!$J$3*365.25)),Data!#REF!&lt;=(TODAY()-(Data_Val!$J$2*365.25))),0,1),1))</f>
        <v>#REF!</v>
      </c>
      <c r="R349" s="17" t="e">
        <f>IF(Data!#REF!="","",IF(ISNUMBER(MATCH(Data!#REF!,Data_Val!$B$2:$B$15,0)),0,1))</f>
        <v>#REF!</v>
      </c>
      <c r="S349" s="11" t="str">
        <f>IF(Data!G349="","",IF(Data!G349=Data_Val!$C$2,IF(Data!M349="",0,1),0))</f>
        <v/>
      </c>
      <c r="T349" s="11" t="str">
        <f>IF(Data!M349="","",IF(ISNUMBER(MATCH(Data!N349,Data_Val!$A$2:$A$3,0)),0,1))</f>
        <v/>
      </c>
      <c r="U349" s="11" t="str">
        <f ca="1">IF(Data!M349="","",IF(ISNUMBER(Data!O349),IF(AND(Data!O349&gt;(TODAY()-(Data_Val!$K$3*365.25)),Data!O349&lt;=(TODAY()-(Data_Val!$K$2*365.25))),0,1),1))</f>
        <v/>
      </c>
      <c r="V349" s="12" t="str">
        <f>IF(Data!G349="","",IF(Data!G349=Data_Val!$C$2,IF(Data!P349="",0,1),0))</f>
        <v/>
      </c>
      <c r="W349" s="12" t="str">
        <f>IF(Data!P349="","",IF(ISNUMBER(MATCH(Data!Q349,Data_Val!$A$2:$A$3,0)),0,1))</f>
        <v/>
      </c>
      <c r="X349" s="26" t="str">
        <f ca="1">IF(Data!P349="","",IF(ISNUMBER(Data!R349),IF(AND(Data!R349&gt;(TODAY()-(Data_Val!$L$3*365.25)),Data!R349&lt;=(TODAY()-(Data_Val!$L$2*365.25))),0,1),1))</f>
        <v/>
      </c>
      <c r="Y349" s="13" t="str">
        <f>IF(Data!$G349="","",IF(Data!$G349=Data_Val!$C$2,IF(Data!S349="",0,1),0))</f>
        <v/>
      </c>
      <c r="Z349" s="13" t="str">
        <f>IF(Data!S349="","",IF(ISNUMBER(MATCH(Data!T349,Data_Val!$A$2:$A$3,0)),0,1))</f>
        <v/>
      </c>
      <c r="AA349" s="28" t="str">
        <f ca="1">IF(Data!S349="","",IF(ISNUMBER(Data!U349),IF(AND(Data!U349&gt;(TODAY()-(Data_Val!$L$3*365.25)),Data!U349&lt;=(TODAY()-(Data_Val!$L$2*365.25))),0,1),1))</f>
        <v/>
      </c>
      <c r="AB349" s="11"/>
      <c r="AC349" s="11" t="e">
        <f>IF(Data!#REF!="","",IF(ISNUMBER(MATCH(Data!#REF!,Data_Val!$A$2:$A$3,0)),0,1))</f>
        <v>#REF!</v>
      </c>
      <c r="AD349" s="11" t="e">
        <f ca="1">IF(Data!#REF!="","",IF(ISNUMBER(Data!#REF!),IF(AND(Data!#REF!&gt;(TODAY()-(Data_Val!$L$3*365.25)),Data!#REF!&lt;=(TODAY()-(Data_Val!$L$2*365.25))),0,1),1))</f>
        <v>#REF!</v>
      </c>
      <c r="AE349" s="11" t="e">
        <f>IF(Data!#REF!="","",IF(Data!$G349="",1,IF(ISNUMBER(MATCH(Data!#REF!,Data_Val!$D$2:$D$10,0)),0,1)))</f>
        <v>#REF!</v>
      </c>
      <c r="AF349" s="12"/>
      <c r="AG349" s="12" t="e">
        <f>IF(Data!#REF!="","",IF(ISNUMBER(MATCH(Data!#REF!,Data_Val!$A$2:$A$3,0)),0,1))</f>
        <v>#REF!</v>
      </c>
      <c r="AH349" s="26" t="e">
        <f ca="1">IF(Data!#REF!="","",IF(ISNUMBER(Data!#REF!),IF(AND(Data!#REF!&gt;(TODAY()-(Data_Val!$L$3*365.25)),Data!#REF!&lt;=(TODAY()-(Data_Val!$L$2*365.25))),0,1),1))</f>
        <v>#REF!</v>
      </c>
      <c r="AI349" s="12" t="e">
        <f>IF(Data!#REF!="","",IF(Data!$G349="",1,IF(ISNUMBER(MATCH(Data!#REF!,Data_Val!$D$2:$D$10,0)),0,1)))</f>
        <v>#REF!</v>
      </c>
      <c r="AJ349" s="17"/>
      <c r="AK349" s="17" t="e">
        <f>IF(Data!#REF!="","",IF(ISNUMBER(MATCH(Data!#REF!,Data_Val!$A$2:$A$3,0)),0,1))</f>
        <v>#REF!</v>
      </c>
      <c r="AL349" s="25" t="e">
        <f ca="1">IF(Data!#REF!="","",IF(ISNUMBER(Data!#REF!),IF(AND(Data!#REF!&gt;(TODAY()-(Data_Val!$L$3*365.25)),Data!#REF!&lt;=(TODAY()-(Data_Val!$L$2*365.25))),0,1),1))</f>
        <v>#REF!</v>
      </c>
      <c r="AM349" s="17" t="e">
        <f>IF(Data!#REF!="","",IF(Data!$G349="",1,IF(ISNUMBER(MATCH(Data!#REF!,Data_Val!$D$2:$D$10,0)),0,1)))</f>
        <v>#REF!</v>
      </c>
      <c r="AN349" s="13"/>
      <c r="AO349" s="28" t="e">
        <f ca="1">IF(Data!#REF!="","",IF(ISNUMBER(Data!#REF!),IF(AND(Data!#REF!&gt;(TODAY()-(Data_Val!$I$3*365.25)),Data!#REF!&lt;=(TODAY()-(Data_Val!$I$2*365.25))),0,1),1))</f>
        <v>#REF!</v>
      </c>
      <c r="AP349" s="13" t="e">
        <f>IF(Data!#REF!="","",IF(Data!$G349="",1,IF(ISNUMBER(MATCH(Data!#REF!,Data_Val!$D$2:$D$10,0)),0,1)))</f>
        <v>#REF!</v>
      </c>
      <c r="AQ349" s="17"/>
      <c r="AR349" s="30" t="e">
        <f ca="1">IF(Data!#REF!="","",IF(ISNUMBER(Data!#REF!),IF(AND(Data!#REF!&gt;(TODAY()-(Data_Val!$I$3*365.25)),Data!#REF!&lt;=(TODAY()-(Data_Val!$I$2*365.25))),0,1),1))</f>
        <v>#REF!</v>
      </c>
      <c r="AS349" s="31" t="e">
        <f>IF(Data!#REF!="","",IF(Data!$G349="",1,IF(ISNUMBER(MATCH(Data!#REF!,Data_Val!$D$2:$D$10,0)),0,1)))</f>
        <v>#REF!</v>
      </c>
      <c r="AT349" s="11"/>
      <c r="AU349" s="11" t="e">
        <f ca="1">IF(Data!#REF!="","",IF(ISNUMBER(Data!#REF!),IF(AND(Data!#REF!&gt;(TODAY()-(Data_Val!$I$3*365.25)),Data!#REF!&lt;=(TODAY()-(Data_Val!$I$2*365.25))),0,1),1))</f>
        <v>#REF!</v>
      </c>
      <c r="AV349" s="11" t="e">
        <f>IF(Data!#REF!="","",IF(Data!$G349="",1,IF(ISNUMBER(MATCH(Data!#REF!,Data_Val!$D$2:$D$10,0)),0,1)))</f>
        <v>#REF!</v>
      </c>
      <c r="AW349" s="12"/>
      <c r="AX349" s="26" t="e">
        <f ca="1">IF(Data!#REF!="","",IF(ISNUMBER(Data!#REF!),IF(AND(Data!#REF!&gt;(TODAY()-(Data_Val!$I$3*365.25)),Data!#REF!&lt;=(TODAY()-(Data_Val!$I$2*365.25))),0,1),1))</f>
        <v>#REF!</v>
      </c>
      <c r="AY349" s="12" t="e">
        <f>IF(Data!#REF!="","",IF(Data!$G349="",1,IF(ISNUMBER(MATCH(Data!#REF!,Data_Val!$D$2:$D$10,0)),0,1)))</f>
        <v>#REF!</v>
      </c>
      <c r="AZ349" s="11"/>
      <c r="BA349" s="19" t="e">
        <f ca="1">IF(Data!#REF!="","",IF(ISNUMBER(Data!#REF!),IF(AND(Data!#REF!&gt;(TODAY()-(Data_Val!$M$3*365.25)),Data!#REF!&lt;=(TODAY()-(Data_Val!$M$2*365.25))),0,1),1))</f>
        <v>#REF!</v>
      </c>
      <c r="BB349" s="11" t="e">
        <f>IF(Data!#REF!="","",IF(Data!$G349="",1,IF(ISNUMBER(MATCH(Data!#REF!,Data_Val!$D$2:$D$10,0)),0,1)))</f>
        <v>#REF!</v>
      </c>
      <c r="BC349" s="12"/>
      <c r="BD349" s="20" t="e">
        <f ca="1">IF(Data!#REF!="","",IF(ISNUMBER(Data!#REF!),IF(AND(Data!#REF!&gt;(TODAY()-(Data_Val!$M$3*365.25)),Data!#REF!&lt;=(TODAY()-(Data_Val!$M$2*365.25))),0,1),1))</f>
        <v>#REF!</v>
      </c>
      <c r="BE349" s="12" t="e">
        <f>IF(Data!#REF!="","",IF(Data!$G349="",1,IF(ISNUMBER(MATCH(Data!#REF!,Data_Val!$D$2:$D$10,0)),0,1)))</f>
        <v>#REF!</v>
      </c>
      <c r="BF349" s="17"/>
      <c r="BG349" s="18" t="e">
        <f ca="1">IF(Data!#REF!="","",IF(ISNUMBER(Data!#REF!),IF(AND(Data!#REF!&gt;(TODAY()-(Data_Val!$M$3*365.25)),Data!#REF!&lt;=(TODAY()-(Data_Val!$M$2*365.25))),0,1),1))</f>
        <v>#REF!</v>
      </c>
      <c r="BH349" s="29" t="e">
        <f>IF(Data!#REF!="","",IF(Data!$G349="",1,IF(ISNUMBER(MATCH(Data!#REF!,Data_Val!$D$2:$D$10,0)),0,1)))</f>
        <v>#REF!</v>
      </c>
      <c r="BI349" s="13"/>
      <c r="BJ349" s="21" t="e">
        <f ca="1">IF(Data!#REF!="","",IF(ISNUMBER(Data!#REF!),IF(AND(Data!#REF!&gt;(TODAY()-(Data_Val!$M$3*365.25)),Data!#REF!&lt;=(TODAY()-(Data_Val!$M$2*365.25))),0,1),1))</f>
        <v>#REF!</v>
      </c>
      <c r="BK349" s="13" t="e">
        <f>IF(Data!#REF!="","",IF(Data!$G349="",1,IF(ISNUMBER(MATCH(Data!#REF!,Data_Val!$D$2:$D$10,0)),0,1)))</f>
        <v>#REF!</v>
      </c>
    </row>
    <row r="350" spans="1:63" x14ac:dyDescent="0.25">
      <c r="A350" s="9" t="str">
        <f>IF(Data!B350="","",IF(COUNTIFS(Data!A$1:'Data'!A350,Data!A350)&lt;=1,0,1))</f>
        <v/>
      </c>
      <c r="B350" s="9"/>
      <c r="C350" s="23" t="str">
        <f>IF(Data!C350="","",(IF(ISNUMBER(MATCH("*@*.?*",Data!C350,0)),0,1)+IF(COUNTIFS(Data!C$1:'Data'!C350,Data!C350)&gt;1,1,0)))</f>
        <v/>
      </c>
      <c r="D350" s="9" t="str">
        <f>IF(Data!B350="","",IF(ISNUMBER(Data!D350),IF(AND(Data!D350&gt;999999999,Data!D350&lt;=9999999999),IF(COUNTIFS(Data!D$1:'Data'!D350,Data!D350)&lt;=1,0,1),1),1))</f>
        <v/>
      </c>
      <c r="E350" s="9" t="str">
        <f>IF(Data!B350="","",IF(ISNUMBER(MATCH(Data!E350,Data_Val!$A$2:$A$3,0)),0,1))</f>
        <v/>
      </c>
      <c r="F350" s="9" t="str">
        <f ca="1">IF(Data!B350="","",IF(ISNUMBER(Data!F350),IF(AND(Data!F350&gt;(TODAY()-(Data_Val!$H$3*365.25)),Data!F350&lt;=(TODAY()-(Data_Val!$H$2*365.25))),0,1),1))</f>
        <v/>
      </c>
      <c r="G350" s="15" t="str">
        <f>IF(Data!B350="","",IF(AND(Data!G350="",Data!H350&lt;&gt;""),1,IF(Data!#REF!&lt;&gt;"",0,IF(ISNUMBER(MATCH(Data!G350,Data_Val!$C$2:$C$5,0)),0,1))))</f>
        <v/>
      </c>
      <c r="H350" s="15" t="str">
        <f>IF(Data!B350="","",IF(AND(Data!G350&lt;&gt;"",Data!H350=""),1,IF(Data!#REF!&lt;&gt;"",0,IF(Data!G350="",1,IF(ISNUMBER(MATCH(Data!H350,Data_Val!$D$2:$D$35,0)),0,1)))))</f>
        <v/>
      </c>
      <c r="I350" s="15" t="str">
        <f>IF(Data!B350="","",IF(Data!G350&lt;&gt;"",0,IF(ISNUMBER(MATCH(Data!#REF!,Data_Val!$E$2:$E$12,0)),0,1)))</f>
        <v/>
      </c>
      <c r="J350" s="16" t="e">
        <f>IF(OR(Data!B350="",Data!#REF!=""),"",IF(Data!#REF!="",1,0))</f>
        <v>#REF!</v>
      </c>
      <c r="K350" s="16" t="e">
        <f>IF(OR(Data!B350="",Data!#REF!=""),"",IF(Data!#REF!="",1,0))</f>
        <v>#REF!</v>
      </c>
      <c r="L350" s="16" t="e">
        <f>IF(OR(Data!B350="",Data!#REF!=""),"",IF(ISNUMBER(Data!#REF!),IF(AND(Data!#REF!&gt;Data_Val!$G$2,Data!#REF!&lt;=Data_Val!$G$3),0,1),1))</f>
        <v>#REF!</v>
      </c>
      <c r="M350" s="9" t="e">
        <f>IF(OR(Data!B350="",Data!#REF!=""),"",IF(ISNUMBER(MATCH(Data!#REF!,Data_Val!$F$1:$F$38,0)),0,1))</f>
        <v>#REF!</v>
      </c>
      <c r="N350" s="9" t="e">
        <f>IF(OR(Data!B350="",Data!#REF!=""),"",IF(Data!#REF!="",1,0))</f>
        <v>#REF!</v>
      </c>
      <c r="O350" s="17" t="e">
        <f>IF(Data!#REF!="","",IF(Data!#REF!="",1,0))</f>
        <v>#REF!</v>
      </c>
      <c r="P350" s="17" t="e">
        <f>IF(Data!#REF!="","",IF(ISNUMBER(MATCH(Data!#REF!,Data_Val!$A$2:$A$3,0)),0,1))</f>
        <v>#REF!</v>
      </c>
      <c r="Q350" s="25" t="e">
        <f ca="1">IF(Data!#REF!="","",IF(ISNUMBER(Data!#REF!),IF(AND(Data!#REF!&gt;(TODAY()-(Data_Val!$J$3*365.25)),Data!#REF!&lt;=(TODAY()-(Data_Val!$J$2*365.25))),0,1),1))</f>
        <v>#REF!</v>
      </c>
      <c r="R350" s="17" t="e">
        <f>IF(Data!#REF!="","",IF(ISNUMBER(MATCH(Data!#REF!,Data_Val!$B$2:$B$15,0)),0,1))</f>
        <v>#REF!</v>
      </c>
      <c r="S350" s="11" t="str">
        <f>IF(Data!G350="","",IF(Data!G350=Data_Val!$C$2,IF(Data!M350="",0,1),0))</f>
        <v/>
      </c>
      <c r="T350" s="11" t="str">
        <f>IF(Data!M350="","",IF(ISNUMBER(MATCH(Data!N350,Data_Val!$A$2:$A$3,0)),0,1))</f>
        <v/>
      </c>
      <c r="U350" s="11" t="str">
        <f ca="1">IF(Data!M350="","",IF(ISNUMBER(Data!O350),IF(AND(Data!O350&gt;(TODAY()-(Data_Val!$K$3*365.25)),Data!O350&lt;=(TODAY()-(Data_Val!$K$2*365.25))),0,1),1))</f>
        <v/>
      </c>
      <c r="V350" s="12" t="str">
        <f>IF(Data!G350="","",IF(Data!G350=Data_Val!$C$2,IF(Data!P350="",0,1),0))</f>
        <v/>
      </c>
      <c r="W350" s="12" t="str">
        <f>IF(Data!P350="","",IF(ISNUMBER(MATCH(Data!Q350,Data_Val!$A$2:$A$3,0)),0,1))</f>
        <v/>
      </c>
      <c r="X350" s="26" t="str">
        <f ca="1">IF(Data!P350="","",IF(ISNUMBER(Data!R350),IF(AND(Data!R350&gt;(TODAY()-(Data_Val!$L$3*365.25)),Data!R350&lt;=(TODAY()-(Data_Val!$L$2*365.25))),0,1),1))</f>
        <v/>
      </c>
      <c r="Y350" s="13" t="str">
        <f>IF(Data!$G350="","",IF(Data!$G350=Data_Val!$C$2,IF(Data!S350="",0,1),0))</f>
        <v/>
      </c>
      <c r="Z350" s="13" t="str">
        <f>IF(Data!S350="","",IF(ISNUMBER(MATCH(Data!T350,Data_Val!$A$2:$A$3,0)),0,1))</f>
        <v/>
      </c>
      <c r="AA350" s="28" t="str">
        <f ca="1">IF(Data!S350="","",IF(ISNUMBER(Data!U350),IF(AND(Data!U350&gt;(TODAY()-(Data_Val!$L$3*365.25)),Data!U350&lt;=(TODAY()-(Data_Val!$L$2*365.25))),0,1),1))</f>
        <v/>
      </c>
      <c r="AB350" s="11"/>
      <c r="AC350" s="11" t="e">
        <f>IF(Data!#REF!="","",IF(ISNUMBER(MATCH(Data!#REF!,Data_Val!$A$2:$A$3,0)),0,1))</f>
        <v>#REF!</v>
      </c>
      <c r="AD350" s="11" t="e">
        <f ca="1">IF(Data!#REF!="","",IF(ISNUMBER(Data!#REF!),IF(AND(Data!#REF!&gt;(TODAY()-(Data_Val!$L$3*365.25)),Data!#REF!&lt;=(TODAY()-(Data_Val!$L$2*365.25))),0,1),1))</f>
        <v>#REF!</v>
      </c>
      <c r="AE350" s="11" t="e">
        <f>IF(Data!#REF!="","",IF(Data!$G350="",1,IF(ISNUMBER(MATCH(Data!#REF!,Data_Val!$D$2:$D$10,0)),0,1)))</f>
        <v>#REF!</v>
      </c>
      <c r="AF350" s="12"/>
      <c r="AG350" s="12" t="e">
        <f>IF(Data!#REF!="","",IF(ISNUMBER(MATCH(Data!#REF!,Data_Val!$A$2:$A$3,0)),0,1))</f>
        <v>#REF!</v>
      </c>
      <c r="AH350" s="26" t="e">
        <f ca="1">IF(Data!#REF!="","",IF(ISNUMBER(Data!#REF!),IF(AND(Data!#REF!&gt;(TODAY()-(Data_Val!$L$3*365.25)),Data!#REF!&lt;=(TODAY()-(Data_Val!$L$2*365.25))),0,1),1))</f>
        <v>#REF!</v>
      </c>
      <c r="AI350" s="12" t="e">
        <f>IF(Data!#REF!="","",IF(Data!$G350="",1,IF(ISNUMBER(MATCH(Data!#REF!,Data_Val!$D$2:$D$10,0)),0,1)))</f>
        <v>#REF!</v>
      </c>
      <c r="AJ350" s="17"/>
      <c r="AK350" s="17" t="e">
        <f>IF(Data!#REF!="","",IF(ISNUMBER(MATCH(Data!#REF!,Data_Val!$A$2:$A$3,0)),0,1))</f>
        <v>#REF!</v>
      </c>
      <c r="AL350" s="25" t="e">
        <f ca="1">IF(Data!#REF!="","",IF(ISNUMBER(Data!#REF!),IF(AND(Data!#REF!&gt;(TODAY()-(Data_Val!$L$3*365.25)),Data!#REF!&lt;=(TODAY()-(Data_Val!$L$2*365.25))),0,1),1))</f>
        <v>#REF!</v>
      </c>
      <c r="AM350" s="17" t="e">
        <f>IF(Data!#REF!="","",IF(Data!$G350="",1,IF(ISNUMBER(MATCH(Data!#REF!,Data_Val!$D$2:$D$10,0)),0,1)))</f>
        <v>#REF!</v>
      </c>
      <c r="AN350" s="13"/>
      <c r="AO350" s="28" t="e">
        <f ca="1">IF(Data!#REF!="","",IF(ISNUMBER(Data!#REF!),IF(AND(Data!#REF!&gt;(TODAY()-(Data_Val!$I$3*365.25)),Data!#REF!&lt;=(TODAY()-(Data_Val!$I$2*365.25))),0,1),1))</f>
        <v>#REF!</v>
      </c>
      <c r="AP350" s="13" t="e">
        <f>IF(Data!#REF!="","",IF(Data!$G350="",1,IF(ISNUMBER(MATCH(Data!#REF!,Data_Val!$D$2:$D$10,0)),0,1)))</f>
        <v>#REF!</v>
      </c>
      <c r="AQ350" s="17"/>
      <c r="AR350" s="30" t="e">
        <f ca="1">IF(Data!#REF!="","",IF(ISNUMBER(Data!#REF!),IF(AND(Data!#REF!&gt;(TODAY()-(Data_Val!$I$3*365.25)),Data!#REF!&lt;=(TODAY()-(Data_Val!$I$2*365.25))),0,1),1))</f>
        <v>#REF!</v>
      </c>
      <c r="AS350" s="31" t="e">
        <f>IF(Data!#REF!="","",IF(Data!$G350="",1,IF(ISNUMBER(MATCH(Data!#REF!,Data_Val!$D$2:$D$10,0)),0,1)))</f>
        <v>#REF!</v>
      </c>
      <c r="AT350" s="11"/>
      <c r="AU350" s="11" t="e">
        <f ca="1">IF(Data!#REF!="","",IF(ISNUMBER(Data!#REF!),IF(AND(Data!#REF!&gt;(TODAY()-(Data_Val!$I$3*365.25)),Data!#REF!&lt;=(TODAY()-(Data_Val!$I$2*365.25))),0,1),1))</f>
        <v>#REF!</v>
      </c>
      <c r="AV350" s="11" t="e">
        <f>IF(Data!#REF!="","",IF(Data!$G350="",1,IF(ISNUMBER(MATCH(Data!#REF!,Data_Val!$D$2:$D$10,0)),0,1)))</f>
        <v>#REF!</v>
      </c>
      <c r="AW350" s="12"/>
      <c r="AX350" s="26" t="e">
        <f ca="1">IF(Data!#REF!="","",IF(ISNUMBER(Data!#REF!),IF(AND(Data!#REF!&gt;(TODAY()-(Data_Val!$I$3*365.25)),Data!#REF!&lt;=(TODAY()-(Data_Val!$I$2*365.25))),0,1),1))</f>
        <v>#REF!</v>
      </c>
      <c r="AY350" s="12" t="e">
        <f>IF(Data!#REF!="","",IF(Data!$G350="",1,IF(ISNUMBER(MATCH(Data!#REF!,Data_Val!$D$2:$D$10,0)),0,1)))</f>
        <v>#REF!</v>
      </c>
      <c r="AZ350" s="11"/>
      <c r="BA350" s="19" t="e">
        <f ca="1">IF(Data!#REF!="","",IF(ISNUMBER(Data!#REF!),IF(AND(Data!#REF!&gt;(TODAY()-(Data_Val!$M$3*365.25)),Data!#REF!&lt;=(TODAY()-(Data_Val!$M$2*365.25))),0,1),1))</f>
        <v>#REF!</v>
      </c>
      <c r="BB350" s="11" t="e">
        <f>IF(Data!#REF!="","",IF(Data!$G350="",1,IF(ISNUMBER(MATCH(Data!#REF!,Data_Val!$D$2:$D$10,0)),0,1)))</f>
        <v>#REF!</v>
      </c>
      <c r="BC350" s="12"/>
      <c r="BD350" s="20" t="e">
        <f ca="1">IF(Data!#REF!="","",IF(ISNUMBER(Data!#REF!),IF(AND(Data!#REF!&gt;(TODAY()-(Data_Val!$M$3*365.25)),Data!#REF!&lt;=(TODAY()-(Data_Val!$M$2*365.25))),0,1),1))</f>
        <v>#REF!</v>
      </c>
      <c r="BE350" s="12" t="e">
        <f>IF(Data!#REF!="","",IF(Data!$G350="",1,IF(ISNUMBER(MATCH(Data!#REF!,Data_Val!$D$2:$D$10,0)),0,1)))</f>
        <v>#REF!</v>
      </c>
      <c r="BF350" s="17"/>
      <c r="BG350" s="18" t="e">
        <f ca="1">IF(Data!#REF!="","",IF(ISNUMBER(Data!#REF!),IF(AND(Data!#REF!&gt;(TODAY()-(Data_Val!$M$3*365.25)),Data!#REF!&lt;=(TODAY()-(Data_Val!$M$2*365.25))),0,1),1))</f>
        <v>#REF!</v>
      </c>
      <c r="BH350" s="29" t="e">
        <f>IF(Data!#REF!="","",IF(Data!$G350="",1,IF(ISNUMBER(MATCH(Data!#REF!,Data_Val!$D$2:$D$10,0)),0,1)))</f>
        <v>#REF!</v>
      </c>
      <c r="BI350" s="13"/>
      <c r="BJ350" s="21" t="e">
        <f ca="1">IF(Data!#REF!="","",IF(ISNUMBER(Data!#REF!),IF(AND(Data!#REF!&gt;(TODAY()-(Data_Val!$M$3*365.25)),Data!#REF!&lt;=(TODAY()-(Data_Val!$M$2*365.25))),0,1),1))</f>
        <v>#REF!</v>
      </c>
      <c r="BK350" s="13" t="e">
        <f>IF(Data!#REF!="","",IF(Data!$G350="",1,IF(ISNUMBER(MATCH(Data!#REF!,Data_Val!$D$2:$D$10,0)),0,1)))</f>
        <v>#REF!</v>
      </c>
    </row>
    <row r="351" spans="1:63" x14ac:dyDescent="0.25">
      <c r="A351" s="9" t="str">
        <f>IF(Data!B351="","",IF(COUNTIFS(Data!A$1:'Data'!A351,Data!A351)&lt;=1,0,1))</f>
        <v/>
      </c>
      <c r="B351" s="9"/>
      <c r="C351" s="23" t="str">
        <f>IF(Data!C351="","",(IF(ISNUMBER(MATCH("*@*.?*",Data!C351,0)),0,1)+IF(COUNTIFS(Data!C$1:'Data'!C351,Data!C351)&gt;1,1,0)))</f>
        <v/>
      </c>
      <c r="D351" s="9" t="str">
        <f>IF(Data!B351="","",IF(ISNUMBER(Data!D351),IF(AND(Data!D351&gt;999999999,Data!D351&lt;=9999999999),IF(COUNTIFS(Data!D$1:'Data'!D351,Data!D351)&lt;=1,0,1),1),1))</f>
        <v/>
      </c>
      <c r="E351" s="9" t="str">
        <f>IF(Data!B351="","",IF(ISNUMBER(MATCH(Data!E351,Data_Val!$A$2:$A$3,0)),0,1))</f>
        <v/>
      </c>
      <c r="F351" s="9" t="str">
        <f ca="1">IF(Data!B351="","",IF(ISNUMBER(Data!F351),IF(AND(Data!F351&gt;(TODAY()-(Data_Val!$H$3*365.25)),Data!F351&lt;=(TODAY()-(Data_Val!$H$2*365.25))),0,1),1))</f>
        <v/>
      </c>
      <c r="G351" s="15" t="str">
        <f>IF(Data!B351="","",IF(AND(Data!G351="",Data!H351&lt;&gt;""),1,IF(Data!#REF!&lt;&gt;"",0,IF(ISNUMBER(MATCH(Data!G351,Data_Val!$C$2:$C$5,0)),0,1))))</f>
        <v/>
      </c>
      <c r="H351" s="15" t="str">
        <f>IF(Data!B351="","",IF(AND(Data!G351&lt;&gt;"",Data!H351=""),1,IF(Data!#REF!&lt;&gt;"",0,IF(Data!G351="",1,IF(ISNUMBER(MATCH(Data!H351,Data_Val!$D$2:$D$35,0)),0,1)))))</f>
        <v/>
      </c>
      <c r="I351" s="15" t="str">
        <f>IF(Data!B351="","",IF(Data!G351&lt;&gt;"",0,IF(ISNUMBER(MATCH(Data!#REF!,Data_Val!$E$2:$E$12,0)),0,1)))</f>
        <v/>
      </c>
      <c r="J351" s="16" t="e">
        <f>IF(OR(Data!B351="",Data!#REF!=""),"",IF(Data!#REF!="",1,0))</f>
        <v>#REF!</v>
      </c>
      <c r="K351" s="16" t="e">
        <f>IF(OR(Data!B351="",Data!#REF!=""),"",IF(Data!#REF!="",1,0))</f>
        <v>#REF!</v>
      </c>
      <c r="L351" s="16" t="e">
        <f>IF(OR(Data!B351="",Data!#REF!=""),"",IF(ISNUMBER(Data!#REF!),IF(AND(Data!#REF!&gt;Data_Val!$G$2,Data!#REF!&lt;=Data_Val!$G$3),0,1),1))</f>
        <v>#REF!</v>
      </c>
      <c r="M351" s="9" t="e">
        <f>IF(OR(Data!B351="",Data!#REF!=""),"",IF(ISNUMBER(MATCH(Data!#REF!,Data_Val!$F$1:$F$38,0)),0,1))</f>
        <v>#REF!</v>
      </c>
      <c r="N351" s="9" t="e">
        <f>IF(OR(Data!B351="",Data!#REF!=""),"",IF(Data!#REF!="",1,0))</f>
        <v>#REF!</v>
      </c>
      <c r="O351" s="17" t="e">
        <f>IF(Data!#REF!="","",IF(Data!#REF!="",1,0))</f>
        <v>#REF!</v>
      </c>
      <c r="P351" s="17" t="e">
        <f>IF(Data!#REF!="","",IF(ISNUMBER(MATCH(Data!#REF!,Data_Val!$A$2:$A$3,0)),0,1))</f>
        <v>#REF!</v>
      </c>
      <c r="Q351" s="25" t="e">
        <f ca="1">IF(Data!#REF!="","",IF(ISNUMBER(Data!#REF!),IF(AND(Data!#REF!&gt;(TODAY()-(Data_Val!$J$3*365.25)),Data!#REF!&lt;=(TODAY()-(Data_Val!$J$2*365.25))),0,1),1))</f>
        <v>#REF!</v>
      </c>
      <c r="R351" s="17" t="e">
        <f>IF(Data!#REF!="","",IF(ISNUMBER(MATCH(Data!#REF!,Data_Val!$B$2:$B$15,0)),0,1))</f>
        <v>#REF!</v>
      </c>
      <c r="S351" s="11" t="str">
        <f>IF(Data!G351="","",IF(Data!G351=Data_Val!$C$2,IF(Data!M351="",0,1),0))</f>
        <v/>
      </c>
      <c r="T351" s="11" t="str">
        <f>IF(Data!M351="","",IF(ISNUMBER(MATCH(Data!N351,Data_Val!$A$2:$A$3,0)),0,1))</f>
        <v/>
      </c>
      <c r="U351" s="11" t="str">
        <f ca="1">IF(Data!M351="","",IF(ISNUMBER(Data!O351),IF(AND(Data!O351&gt;(TODAY()-(Data_Val!$K$3*365.25)),Data!O351&lt;=(TODAY()-(Data_Val!$K$2*365.25))),0,1),1))</f>
        <v/>
      </c>
      <c r="V351" s="12" t="str">
        <f>IF(Data!G351="","",IF(Data!G351=Data_Val!$C$2,IF(Data!P351="",0,1),0))</f>
        <v/>
      </c>
      <c r="W351" s="12" t="str">
        <f>IF(Data!P351="","",IF(ISNUMBER(MATCH(Data!Q351,Data_Val!$A$2:$A$3,0)),0,1))</f>
        <v/>
      </c>
      <c r="X351" s="26" t="str">
        <f ca="1">IF(Data!P351="","",IF(ISNUMBER(Data!R351),IF(AND(Data!R351&gt;(TODAY()-(Data_Val!$L$3*365.25)),Data!R351&lt;=(TODAY()-(Data_Val!$L$2*365.25))),0,1),1))</f>
        <v/>
      </c>
      <c r="Y351" s="13" t="str">
        <f>IF(Data!$G351="","",IF(Data!$G351=Data_Val!$C$2,IF(Data!S351="",0,1),0))</f>
        <v/>
      </c>
      <c r="Z351" s="13" t="str">
        <f>IF(Data!S351="","",IF(ISNUMBER(MATCH(Data!T351,Data_Val!$A$2:$A$3,0)),0,1))</f>
        <v/>
      </c>
      <c r="AA351" s="28" t="str">
        <f ca="1">IF(Data!S351="","",IF(ISNUMBER(Data!U351),IF(AND(Data!U351&gt;(TODAY()-(Data_Val!$L$3*365.25)),Data!U351&lt;=(TODAY()-(Data_Val!$L$2*365.25))),0,1),1))</f>
        <v/>
      </c>
      <c r="AB351" s="11"/>
      <c r="AC351" s="11" t="e">
        <f>IF(Data!#REF!="","",IF(ISNUMBER(MATCH(Data!#REF!,Data_Val!$A$2:$A$3,0)),0,1))</f>
        <v>#REF!</v>
      </c>
      <c r="AD351" s="11" t="e">
        <f ca="1">IF(Data!#REF!="","",IF(ISNUMBER(Data!#REF!),IF(AND(Data!#REF!&gt;(TODAY()-(Data_Val!$L$3*365.25)),Data!#REF!&lt;=(TODAY()-(Data_Val!$L$2*365.25))),0,1),1))</f>
        <v>#REF!</v>
      </c>
      <c r="AE351" s="11" t="e">
        <f>IF(Data!#REF!="","",IF(Data!$G351="",1,IF(ISNUMBER(MATCH(Data!#REF!,Data_Val!$D$2:$D$10,0)),0,1)))</f>
        <v>#REF!</v>
      </c>
      <c r="AF351" s="12"/>
      <c r="AG351" s="12" t="e">
        <f>IF(Data!#REF!="","",IF(ISNUMBER(MATCH(Data!#REF!,Data_Val!$A$2:$A$3,0)),0,1))</f>
        <v>#REF!</v>
      </c>
      <c r="AH351" s="26" t="e">
        <f ca="1">IF(Data!#REF!="","",IF(ISNUMBER(Data!#REF!),IF(AND(Data!#REF!&gt;(TODAY()-(Data_Val!$L$3*365.25)),Data!#REF!&lt;=(TODAY()-(Data_Val!$L$2*365.25))),0,1),1))</f>
        <v>#REF!</v>
      </c>
      <c r="AI351" s="12" t="e">
        <f>IF(Data!#REF!="","",IF(Data!$G351="",1,IF(ISNUMBER(MATCH(Data!#REF!,Data_Val!$D$2:$D$10,0)),0,1)))</f>
        <v>#REF!</v>
      </c>
      <c r="AJ351" s="17"/>
      <c r="AK351" s="17" t="e">
        <f>IF(Data!#REF!="","",IF(ISNUMBER(MATCH(Data!#REF!,Data_Val!$A$2:$A$3,0)),0,1))</f>
        <v>#REF!</v>
      </c>
      <c r="AL351" s="25" t="e">
        <f ca="1">IF(Data!#REF!="","",IF(ISNUMBER(Data!#REF!),IF(AND(Data!#REF!&gt;(TODAY()-(Data_Val!$L$3*365.25)),Data!#REF!&lt;=(TODAY()-(Data_Val!$L$2*365.25))),0,1),1))</f>
        <v>#REF!</v>
      </c>
      <c r="AM351" s="17" t="e">
        <f>IF(Data!#REF!="","",IF(Data!$G351="",1,IF(ISNUMBER(MATCH(Data!#REF!,Data_Val!$D$2:$D$10,0)),0,1)))</f>
        <v>#REF!</v>
      </c>
      <c r="AN351" s="13"/>
      <c r="AO351" s="28" t="e">
        <f ca="1">IF(Data!#REF!="","",IF(ISNUMBER(Data!#REF!),IF(AND(Data!#REF!&gt;(TODAY()-(Data_Val!$I$3*365.25)),Data!#REF!&lt;=(TODAY()-(Data_Val!$I$2*365.25))),0,1),1))</f>
        <v>#REF!</v>
      </c>
      <c r="AP351" s="13" t="e">
        <f>IF(Data!#REF!="","",IF(Data!$G351="",1,IF(ISNUMBER(MATCH(Data!#REF!,Data_Val!$D$2:$D$10,0)),0,1)))</f>
        <v>#REF!</v>
      </c>
      <c r="AQ351" s="17"/>
      <c r="AR351" s="30" t="e">
        <f ca="1">IF(Data!#REF!="","",IF(ISNUMBER(Data!#REF!),IF(AND(Data!#REF!&gt;(TODAY()-(Data_Val!$I$3*365.25)),Data!#REF!&lt;=(TODAY()-(Data_Val!$I$2*365.25))),0,1),1))</f>
        <v>#REF!</v>
      </c>
      <c r="AS351" s="31" t="e">
        <f>IF(Data!#REF!="","",IF(Data!$G351="",1,IF(ISNUMBER(MATCH(Data!#REF!,Data_Val!$D$2:$D$10,0)),0,1)))</f>
        <v>#REF!</v>
      </c>
      <c r="AT351" s="11"/>
      <c r="AU351" s="11" t="e">
        <f ca="1">IF(Data!#REF!="","",IF(ISNUMBER(Data!#REF!),IF(AND(Data!#REF!&gt;(TODAY()-(Data_Val!$I$3*365.25)),Data!#REF!&lt;=(TODAY()-(Data_Val!$I$2*365.25))),0,1),1))</f>
        <v>#REF!</v>
      </c>
      <c r="AV351" s="11" t="e">
        <f>IF(Data!#REF!="","",IF(Data!$G351="",1,IF(ISNUMBER(MATCH(Data!#REF!,Data_Val!$D$2:$D$10,0)),0,1)))</f>
        <v>#REF!</v>
      </c>
      <c r="AW351" s="12"/>
      <c r="AX351" s="26" t="e">
        <f ca="1">IF(Data!#REF!="","",IF(ISNUMBER(Data!#REF!),IF(AND(Data!#REF!&gt;(TODAY()-(Data_Val!$I$3*365.25)),Data!#REF!&lt;=(TODAY()-(Data_Val!$I$2*365.25))),0,1),1))</f>
        <v>#REF!</v>
      </c>
      <c r="AY351" s="12" t="e">
        <f>IF(Data!#REF!="","",IF(Data!$G351="",1,IF(ISNUMBER(MATCH(Data!#REF!,Data_Val!$D$2:$D$10,0)),0,1)))</f>
        <v>#REF!</v>
      </c>
      <c r="AZ351" s="11"/>
      <c r="BA351" s="19" t="e">
        <f ca="1">IF(Data!#REF!="","",IF(ISNUMBER(Data!#REF!),IF(AND(Data!#REF!&gt;(TODAY()-(Data_Val!$M$3*365.25)),Data!#REF!&lt;=(TODAY()-(Data_Val!$M$2*365.25))),0,1),1))</f>
        <v>#REF!</v>
      </c>
      <c r="BB351" s="11" t="e">
        <f>IF(Data!#REF!="","",IF(Data!$G351="",1,IF(ISNUMBER(MATCH(Data!#REF!,Data_Val!$D$2:$D$10,0)),0,1)))</f>
        <v>#REF!</v>
      </c>
      <c r="BC351" s="12"/>
      <c r="BD351" s="20" t="e">
        <f ca="1">IF(Data!#REF!="","",IF(ISNUMBER(Data!#REF!),IF(AND(Data!#REF!&gt;(TODAY()-(Data_Val!$M$3*365.25)),Data!#REF!&lt;=(TODAY()-(Data_Val!$M$2*365.25))),0,1),1))</f>
        <v>#REF!</v>
      </c>
      <c r="BE351" s="12" t="e">
        <f>IF(Data!#REF!="","",IF(Data!$G351="",1,IF(ISNUMBER(MATCH(Data!#REF!,Data_Val!$D$2:$D$10,0)),0,1)))</f>
        <v>#REF!</v>
      </c>
      <c r="BF351" s="17"/>
      <c r="BG351" s="18" t="e">
        <f ca="1">IF(Data!#REF!="","",IF(ISNUMBER(Data!#REF!),IF(AND(Data!#REF!&gt;(TODAY()-(Data_Val!$M$3*365.25)),Data!#REF!&lt;=(TODAY()-(Data_Val!$M$2*365.25))),0,1),1))</f>
        <v>#REF!</v>
      </c>
      <c r="BH351" s="29" t="e">
        <f>IF(Data!#REF!="","",IF(Data!$G351="",1,IF(ISNUMBER(MATCH(Data!#REF!,Data_Val!$D$2:$D$10,0)),0,1)))</f>
        <v>#REF!</v>
      </c>
      <c r="BI351" s="13"/>
      <c r="BJ351" s="21" t="e">
        <f ca="1">IF(Data!#REF!="","",IF(ISNUMBER(Data!#REF!),IF(AND(Data!#REF!&gt;(TODAY()-(Data_Val!$M$3*365.25)),Data!#REF!&lt;=(TODAY()-(Data_Val!$M$2*365.25))),0,1),1))</f>
        <v>#REF!</v>
      </c>
      <c r="BK351" s="13" t="e">
        <f>IF(Data!#REF!="","",IF(Data!$G351="",1,IF(ISNUMBER(MATCH(Data!#REF!,Data_Val!$D$2:$D$10,0)),0,1)))</f>
        <v>#REF!</v>
      </c>
    </row>
    <row r="352" spans="1:63" x14ac:dyDescent="0.25">
      <c r="A352" s="9" t="str">
        <f>IF(Data!B352="","",IF(COUNTIFS(Data!A$1:'Data'!A352,Data!A352)&lt;=1,0,1))</f>
        <v/>
      </c>
      <c r="B352" s="9"/>
      <c r="C352" s="23" t="str">
        <f>IF(Data!C352="","",(IF(ISNUMBER(MATCH("*@*.?*",Data!C352,0)),0,1)+IF(COUNTIFS(Data!C$1:'Data'!C352,Data!C352)&gt;1,1,0)))</f>
        <v/>
      </c>
      <c r="D352" s="9" t="str">
        <f>IF(Data!B352="","",IF(ISNUMBER(Data!D352),IF(AND(Data!D352&gt;999999999,Data!D352&lt;=9999999999),IF(COUNTIFS(Data!D$1:'Data'!D352,Data!D352)&lt;=1,0,1),1),1))</f>
        <v/>
      </c>
      <c r="E352" s="9" t="str">
        <f>IF(Data!B352="","",IF(ISNUMBER(MATCH(Data!E352,Data_Val!$A$2:$A$3,0)),0,1))</f>
        <v/>
      </c>
      <c r="F352" s="9" t="str">
        <f ca="1">IF(Data!B352="","",IF(ISNUMBER(Data!F352),IF(AND(Data!F352&gt;(TODAY()-(Data_Val!$H$3*365.25)),Data!F352&lt;=(TODAY()-(Data_Val!$H$2*365.25))),0,1),1))</f>
        <v/>
      </c>
      <c r="G352" s="15" t="str">
        <f>IF(Data!B352="","",IF(AND(Data!G352="",Data!H352&lt;&gt;""),1,IF(Data!#REF!&lt;&gt;"",0,IF(ISNUMBER(MATCH(Data!G352,Data_Val!$C$2:$C$5,0)),0,1))))</f>
        <v/>
      </c>
      <c r="H352" s="15" t="str">
        <f>IF(Data!B352="","",IF(AND(Data!G352&lt;&gt;"",Data!H352=""),1,IF(Data!#REF!&lt;&gt;"",0,IF(Data!G352="",1,IF(ISNUMBER(MATCH(Data!H352,Data_Val!$D$2:$D$35,0)),0,1)))))</f>
        <v/>
      </c>
      <c r="I352" s="15" t="str">
        <f>IF(Data!B352="","",IF(Data!G352&lt;&gt;"",0,IF(ISNUMBER(MATCH(Data!#REF!,Data_Val!$E$2:$E$12,0)),0,1)))</f>
        <v/>
      </c>
      <c r="J352" s="16" t="e">
        <f>IF(OR(Data!B352="",Data!#REF!=""),"",IF(Data!#REF!="",1,0))</f>
        <v>#REF!</v>
      </c>
      <c r="K352" s="16" t="e">
        <f>IF(OR(Data!B352="",Data!#REF!=""),"",IF(Data!#REF!="",1,0))</f>
        <v>#REF!</v>
      </c>
      <c r="L352" s="16" t="e">
        <f>IF(OR(Data!B352="",Data!#REF!=""),"",IF(ISNUMBER(Data!#REF!),IF(AND(Data!#REF!&gt;Data_Val!$G$2,Data!#REF!&lt;=Data_Val!$G$3),0,1),1))</f>
        <v>#REF!</v>
      </c>
      <c r="M352" s="9" t="e">
        <f>IF(OR(Data!B352="",Data!#REF!=""),"",IF(ISNUMBER(MATCH(Data!#REF!,Data_Val!$F$1:$F$38,0)),0,1))</f>
        <v>#REF!</v>
      </c>
      <c r="N352" s="9" t="e">
        <f>IF(OR(Data!B352="",Data!#REF!=""),"",IF(Data!#REF!="",1,0))</f>
        <v>#REF!</v>
      </c>
      <c r="O352" s="17" t="e">
        <f>IF(Data!#REF!="","",IF(Data!#REF!="",1,0))</f>
        <v>#REF!</v>
      </c>
      <c r="P352" s="17" t="e">
        <f>IF(Data!#REF!="","",IF(ISNUMBER(MATCH(Data!#REF!,Data_Val!$A$2:$A$3,0)),0,1))</f>
        <v>#REF!</v>
      </c>
      <c r="Q352" s="25" t="e">
        <f ca="1">IF(Data!#REF!="","",IF(ISNUMBER(Data!#REF!),IF(AND(Data!#REF!&gt;(TODAY()-(Data_Val!$J$3*365.25)),Data!#REF!&lt;=(TODAY()-(Data_Val!$J$2*365.25))),0,1),1))</f>
        <v>#REF!</v>
      </c>
      <c r="R352" s="17" t="e">
        <f>IF(Data!#REF!="","",IF(ISNUMBER(MATCH(Data!#REF!,Data_Val!$B$2:$B$15,0)),0,1))</f>
        <v>#REF!</v>
      </c>
      <c r="S352" s="11" t="str">
        <f>IF(Data!G352="","",IF(Data!G352=Data_Val!$C$2,IF(Data!M352="",0,1),0))</f>
        <v/>
      </c>
      <c r="T352" s="11" t="str">
        <f>IF(Data!M352="","",IF(ISNUMBER(MATCH(Data!N352,Data_Val!$A$2:$A$3,0)),0,1))</f>
        <v/>
      </c>
      <c r="U352" s="11" t="str">
        <f ca="1">IF(Data!M352="","",IF(ISNUMBER(Data!O352),IF(AND(Data!O352&gt;(TODAY()-(Data_Val!$K$3*365.25)),Data!O352&lt;=(TODAY()-(Data_Val!$K$2*365.25))),0,1),1))</f>
        <v/>
      </c>
      <c r="V352" s="12" t="str">
        <f>IF(Data!G352="","",IF(Data!G352=Data_Val!$C$2,IF(Data!P352="",0,1),0))</f>
        <v/>
      </c>
      <c r="W352" s="12" t="str">
        <f>IF(Data!P352="","",IF(ISNUMBER(MATCH(Data!Q352,Data_Val!$A$2:$A$3,0)),0,1))</f>
        <v/>
      </c>
      <c r="X352" s="26" t="str">
        <f ca="1">IF(Data!P352="","",IF(ISNUMBER(Data!R352),IF(AND(Data!R352&gt;(TODAY()-(Data_Val!$L$3*365.25)),Data!R352&lt;=(TODAY()-(Data_Val!$L$2*365.25))),0,1),1))</f>
        <v/>
      </c>
      <c r="Y352" s="13" t="str">
        <f>IF(Data!$G352="","",IF(Data!$G352=Data_Val!$C$2,IF(Data!S352="",0,1),0))</f>
        <v/>
      </c>
      <c r="Z352" s="13" t="str">
        <f>IF(Data!S352="","",IF(ISNUMBER(MATCH(Data!T352,Data_Val!$A$2:$A$3,0)),0,1))</f>
        <v/>
      </c>
      <c r="AA352" s="28" t="str">
        <f ca="1">IF(Data!S352="","",IF(ISNUMBER(Data!U352),IF(AND(Data!U352&gt;(TODAY()-(Data_Val!$L$3*365.25)),Data!U352&lt;=(TODAY()-(Data_Val!$L$2*365.25))),0,1),1))</f>
        <v/>
      </c>
      <c r="AB352" s="11"/>
      <c r="AC352" s="11" t="e">
        <f>IF(Data!#REF!="","",IF(ISNUMBER(MATCH(Data!#REF!,Data_Val!$A$2:$A$3,0)),0,1))</f>
        <v>#REF!</v>
      </c>
      <c r="AD352" s="11" t="e">
        <f ca="1">IF(Data!#REF!="","",IF(ISNUMBER(Data!#REF!),IF(AND(Data!#REF!&gt;(TODAY()-(Data_Val!$L$3*365.25)),Data!#REF!&lt;=(TODAY()-(Data_Val!$L$2*365.25))),0,1),1))</f>
        <v>#REF!</v>
      </c>
      <c r="AE352" s="11" t="e">
        <f>IF(Data!#REF!="","",IF(Data!$G352="",1,IF(ISNUMBER(MATCH(Data!#REF!,Data_Val!$D$2:$D$10,0)),0,1)))</f>
        <v>#REF!</v>
      </c>
      <c r="AF352" s="12"/>
      <c r="AG352" s="12" t="e">
        <f>IF(Data!#REF!="","",IF(ISNUMBER(MATCH(Data!#REF!,Data_Val!$A$2:$A$3,0)),0,1))</f>
        <v>#REF!</v>
      </c>
      <c r="AH352" s="26" t="e">
        <f ca="1">IF(Data!#REF!="","",IF(ISNUMBER(Data!#REF!),IF(AND(Data!#REF!&gt;(TODAY()-(Data_Val!$L$3*365.25)),Data!#REF!&lt;=(TODAY()-(Data_Val!$L$2*365.25))),0,1),1))</f>
        <v>#REF!</v>
      </c>
      <c r="AI352" s="12" t="e">
        <f>IF(Data!#REF!="","",IF(Data!$G352="",1,IF(ISNUMBER(MATCH(Data!#REF!,Data_Val!$D$2:$D$10,0)),0,1)))</f>
        <v>#REF!</v>
      </c>
      <c r="AJ352" s="17"/>
      <c r="AK352" s="17" t="e">
        <f>IF(Data!#REF!="","",IF(ISNUMBER(MATCH(Data!#REF!,Data_Val!$A$2:$A$3,0)),0,1))</f>
        <v>#REF!</v>
      </c>
      <c r="AL352" s="25" t="e">
        <f ca="1">IF(Data!#REF!="","",IF(ISNUMBER(Data!#REF!),IF(AND(Data!#REF!&gt;(TODAY()-(Data_Val!$L$3*365.25)),Data!#REF!&lt;=(TODAY()-(Data_Val!$L$2*365.25))),0,1),1))</f>
        <v>#REF!</v>
      </c>
      <c r="AM352" s="17" t="e">
        <f>IF(Data!#REF!="","",IF(Data!$G352="",1,IF(ISNUMBER(MATCH(Data!#REF!,Data_Val!$D$2:$D$10,0)),0,1)))</f>
        <v>#REF!</v>
      </c>
      <c r="AN352" s="13"/>
      <c r="AO352" s="28" t="e">
        <f ca="1">IF(Data!#REF!="","",IF(ISNUMBER(Data!#REF!),IF(AND(Data!#REF!&gt;(TODAY()-(Data_Val!$I$3*365.25)),Data!#REF!&lt;=(TODAY()-(Data_Val!$I$2*365.25))),0,1),1))</f>
        <v>#REF!</v>
      </c>
      <c r="AP352" s="13" t="e">
        <f>IF(Data!#REF!="","",IF(Data!$G352="",1,IF(ISNUMBER(MATCH(Data!#REF!,Data_Val!$D$2:$D$10,0)),0,1)))</f>
        <v>#REF!</v>
      </c>
      <c r="AQ352" s="17"/>
      <c r="AR352" s="30" t="e">
        <f ca="1">IF(Data!#REF!="","",IF(ISNUMBER(Data!#REF!),IF(AND(Data!#REF!&gt;(TODAY()-(Data_Val!$I$3*365.25)),Data!#REF!&lt;=(TODAY()-(Data_Val!$I$2*365.25))),0,1),1))</f>
        <v>#REF!</v>
      </c>
      <c r="AS352" s="31" t="e">
        <f>IF(Data!#REF!="","",IF(Data!$G352="",1,IF(ISNUMBER(MATCH(Data!#REF!,Data_Val!$D$2:$D$10,0)),0,1)))</f>
        <v>#REF!</v>
      </c>
      <c r="AT352" s="11"/>
      <c r="AU352" s="11" t="e">
        <f ca="1">IF(Data!#REF!="","",IF(ISNUMBER(Data!#REF!),IF(AND(Data!#REF!&gt;(TODAY()-(Data_Val!$I$3*365.25)),Data!#REF!&lt;=(TODAY()-(Data_Val!$I$2*365.25))),0,1),1))</f>
        <v>#REF!</v>
      </c>
      <c r="AV352" s="11" t="e">
        <f>IF(Data!#REF!="","",IF(Data!$G352="",1,IF(ISNUMBER(MATCH(Data!#REF!,Data_Val!$D$2:$D$10,0)),0,1)))</f>
        <v>#REF!</v>
      </c>
      <c r="AW352" s="12"/>
      <c r="AX352" s="26" t="e">
        <f ca="1">IF(Data!#REF!="","",IF(ISNUMBER(Data!#REF!),IF(AND(Data!#REF!&gt;(TODAY()-(Data_Val!$I$3*365.25)),Data!#REF!&lt;=(TODAY()-(Data_Val!$I$2*365.25))),0,1),1))</f>
        <v>#REF!</v>
      </c>
      <c r="AY352" s="12" t="e">
        <f>IF(Data!#REF!="","",IF(Data!$G352="",1,IF(ISNUMBER(MATCH(Data!#REF!,Data_Val!$D$2:$D$10,0)),0,1)))</f>
        <v>#REF!</v>
      </c>
      <c r="AZ352" s="11"/>
      <c r="BA352" s="19" t="e">
        <f ca="1">IF(Data!#REF!="","",IF(ISNUMBER(Data!#REF!),IF(AND(Data!#REF!&gt;(TODAY()-(Data_Val!$M$3*365.25)),Data!#REF!&lt;=(TODAY()-(Data_Val!$M$2*365.25))),0,1),1))</f>
        <v>#REF!</v>
      </c>
      <c r="BB352" s="11" t="e">
        <f>IF(Data!#REF!="","",IF(Data!$G352="",1,IF(ISNUMBER(MATCH(Data!#REF!,Data_Val!$D$2:$D$10,0)),0,1)))</f>
        <v>#REF!</v>
      </c>
      <c r="BC352" s="12"/>
      <c r="BD352" s="20" t="e">
        <f ca="1">IF(Data!#REF!="","",IF(ISNUMBER(Data!#REF!),IF(AND(Data!#REF!&gt;(TODAY()-(Data_Val!$M$3*365.25)),Data!#REF!&lt;=(TODAY()-(Data_Val!$M$2*365.25))),0,1),1))</f>
        <v>#REF!</v>
      </c>
      <c r="BE352" s="12" t="e">
        <f>IF(Data!#REF!="","",IF(Data!$G352="",1,IF(ISNUMBER(MATCH(Data!#REF!,Data_Val!$D$2:$D$10,0)),0,1)))</f>
        <v>#REF!</v>
      </c>
      <c r="BF352" s="17"/>
      <c r="BG352" s="18" t="e">
        <f ca="1">IF(Data!#REF!="","",IF(ISNUMBER(Data!#REF!),IF(AND(Data!#REF!&gt;(TODAY()-(Data_Val!$M$3*365.25)),Data!#REF!&lt;=(TODAY()-(Data_Val!$M$2*365.25))),0,1),1))</f>
        <v>#REF!</v>
      </c>
      <c r="BH352" s="29" t="e">
        <f>IF(Data!#REF!="","",IF(Data!$G352="",1,IF(ISNUMBER(MATCH(Data!#REF!,Data_Val!$D$2:$D$10,0)),0,1)))</f>
        <v>#REF!</v>
      </c>
      <c r="BI352" s="13"/>
      <c r="BJ352" s="21" t="e">
        <f ca="1">IF(Data!#REF!="","",IF(ISNUMBER(Data!#REF!),IF(AND(Data!#REF!&gt;(TODAY()-(Data_Val!$M$3*365.25)),Data!#REF!&lt;=(TODAY()-(Data_Val!$M$2*365.25))),0,1),1))</f>
        <v>#REF!</v>
      </c>
      <c r="BK352" s="13" t="e">
        <f>IF(Data!#REF!="","",IF(Data!$G352="",1,IF(ISNUMBER(MATCH(Data!#REF!,Data_Val!$D$2:$D$10,0)),0,1)))</f>
        <v>#REF!</v>
      </c>
    </row>
    <row r="353" spans="1:63" x14ac:dyDescent="0.25">
      <c r="A353" s="9" t="str">
        <f>IF(Data!B353="","",IF(COUNTIFS(Data!A$1:'Data'!A353,Data!A353)&lt;=1,0,1))</f>
        <v/>
      </c>
      <c r="B353" s="9"/>
      <c r="C353" s="23" t="str">
        <f>IF(Data!C353="","",(IF(ISNUMBER(MATCH("*@*.?*",Data!C353,0)),0,1)+IF(COUNTIFS(Data!C$1:'Data'!C353,Data!C353)&gt;1,1,0)))</f>
        <v/>
      </c>
      <c r="D353" s="9" t="str">
        <f>IF(Data!B353="","",IF(ISNUMBER(Data!D353),IF(AND(Data!D353&gt;999999999,Data!D353&lt;=9999999999),IF(COUNTIFS(Data!D$1:'Data'!D353,Data!D353)&lt;=1,0,1),1),1))</f>
        <v/>
      </c>
      <c r="E353" s="9" t="str">
        <f>IF(Data!B353="","",IF(ISNUMBER(MATCH(Data!E353,Data_Val!$A$2:$A$3,0)),0,1))</f>
        <v/>
      </c>
      <c r="F353" s="9" t="str">
        <f ca="1">IF(Data!B353="","",IF(ISNUMBER(Data!F353),IF(AND(Data!F353&gt;(TODAY()-(Data_Val!$H$3*365.25)),Data!F353&lt;=(TODAY()-(Data_Val!$H$2*365.25))),0,1),1))</f>
        <v/>
      </c>
      <c r="G353" s="15" t="str">
        <f>IF(Data!B353="","",IF(AND(Data!G353="",Data!H353&lt;&gt;""),1,IF(Data!#REF!&lt;&gt;"",0,IF(ISNUMBER(MATCH(Data!G353,Data_Val!$C$2:$C$5,0)),0,1))))</f>
        <v/>
      </c>
      <c r="H353" s="15" t="str">
        <f>IF(Data!B353="","",IF(AND(Data!G353&lt;&gt;"",Data!H353=""),1,IF(Data!#REF!&lt;&gt;"",0,IF(Data!G353="",1,IF(ISNUMBER(MATCH(Data!H353,Data_Val!$D$2:$D$35,0)),0,1)))))</f>
        <v/>
      </c>
      <c r="I353" s="15" t="str">
        <f>IF(Data!B353="","",IF(Data!G353&lt;&gt;"",0,IF(ISNUMBER(MATCH(Data!#REF!,Data_Val!$E$2:$E$12,0)),0,1)))</f>
        <v/>
      </c>
      <c r="J353" s="16" t="e">
        <f>IF(OR(Data!B353="",Data!#REF!=""),"",IF(Data!#REF!="",1,0))</f>
        <v>#REF!</v>
      </c>
      <c r="K353" s="16" t="e">
        <f>IF(OR(Data!B353="",Data!#REF!=""),"",IF(Data!#REF!="",1,0))</f>
        <v>#REF!</v>
      </c>
      <c r="L353" s="16" t="e">
        <f>IF(OR(Data!B353="",Data!#REF!=""),"",IF(ISNUMBER(Data!#REF!),IF(AND(Data!#REF!&gt;Data_Val!$G$2,Data!#REF!&lt;=Data_Val!$G$3),0,1),1))</f>
        <v>#REF!</v>
      </c>
      <c r="M353" s="9" t="e">
        <f>IF(OR(Data!B353="",Data!#REF!=""),"",IF(ISNUMBER(MATCH(Data!#REF!,Data_Val!$F$1:$F$38,0)),0,1))</f>
        <v>#REF!</v>
      </c>
      <c r="N353" s="9" t="e">
        <f>IF(OR(Data!B353="",Data!#REF!=""),"",IF(Data!#REF!="",1,0))</f>
        <v>#REF!</v>
      </c>
      <c r="O353" s="17" t="e">
        <f>IF(Data!#REF!="","",IF(Data!#REF!="",1,0))</f>
        <v>#REF!</v>
      </c>
      <c r="P353" s="17" t="e">
        <f>IF(Data!#REF!="","",IF(ISNUMBER(MATCH(Data!#REF!,Data_Val!$A$2:$A$3,0)),0,1))</f>
        <v>#REF!</v>
      </c>
      <c r="Q353" s="25" t="e">
        <f ca="1">IF(Data!#REF!="","",IF(ISNUMBER(Data!#REF!),IF(AND(Data!#REF!&gt;(TODAY()-(Data_Val!$J$3*365.25)),Data!#REF!&lt;=(TODAY()-(Data_Val!$J$2*365.25))),0,1),1))</f>
        <v>#REF!</v>
      </c>
      <c r="R353" s="17" t="e">
        <f>IF(Data!#REF!="","",IF(ISNUMBER(MATCH(Data!#REF!,Data_Val!$B$2:$B$15,0)),0,1))</f>
        <v>#REF!</v>
      </c>
      <c r="S353" s="11" t="str">
        <f>IF(Data!G353="","",IF(Data!G353=Data_Val!$C$2,IF(Data!M353="",0,1),0))</f>
        <v/>
      </c>
      <c r="T353" s="11" t="str">
        <f>IF(Data!M353="","",IF(ISNUMBER(MATCH(Data!N353,Data_Val!$A$2:$A$3,0)),0,1))</f>
        <v/>
      </c>
      <c r="U353" s="11" t="str">
        <f ca="1">IF(Data!M353="","",IF(ISNUMBER(Data!O353),IF(AND(Data!O353&gt;(TODAY()-(Data_Val!$K$3*365.25)),Data!O353&lt;=(TODAY()-(Data_Val!$K$2*365.25))),0,1),1))</f>
        <v/>
      </c>
      <c r="V353" s="12" t="str">
        <f>IF(Data!G353="","",IF(Data!G353=Data_Val!$C$2,IF(Data!P353="",0,1),0))</f>
        <v/>
      </c>
      <c r="W353" s="12" t="str">
        <f>IF(Data!P353="","",IF(ISNUMBER(MATCH(Data!Q353,Data_Val!$A$2:$A$3,0)),0,1))</f>
        <v/>
      </c>
      <c r="X353" s="26" t="str">
        <f ca="1">IF(Data!P353="","",IF(ISNUMBER(Data!R353),IF(AND(Data!R353&gt;(TODAY()-(Data_Val!$L$3*365.25)),Data!R353&lt;=(TODAY()-(Data_Val!$L$2*365.25))),0,1),1))</f>
        <v/>
      </c>
      <c r="Y353" s="13" t="str">
        <f>IF(Data!$G353="","",IF(Data!$G353=Data_Val!$C$2,IF(Data!S353="",0,1),0))</f>
        <v/>
      </c>
      <c r="Z353" s="13" t="str">
        <f>IF(Data!S353="","",IF(ISNUMBER(MATCH(Data!T353,Data_Val!$A$2:$A$3,0)),0,1))</f>
        <v/>
      </c>
      <c r="AA353" s="28" t="str">
        <f ca="1">IF(Data!S353="","",IF(ISNUMBER(Data!U353),IF(AND(Data!U353&gt;(TODAY()-(Data_Val!$L$3*365.25)),Data!U353&lt;=(TODAY()-(Data_Val!$L$2*365.25))),0,1),1))</f>
        <v/>
      </c>
      <c r="AB353" s="11"/>
      <c r="AC353" s="11" t="e">
        <f>IF(Data!#REF!="","",IF(ISNUMBER(MATCH(Data!#REF!,Data_Val!$A$2:$A$3,0)),0,1))</f>
        <v>#REF!</v>
      </c>
      <c r="AD353" s="11" t="e">
        <f ca="1">IF(Data!#REF!="","",IF(ISNUMBER(Data!#REF!),IF(AND(Data!#REF!&gt;(TODAY()-(Data_Val!$L$3*365.25)),Data!#REF!&lt;=(TODAY()-(Data_Val!$L$2*365.25))),0,1),1))</f>
        <v>#REF!</v>
      </c>
      <c r="AE353" s="11" t="e">
        <f>IF(Data!#REF!="","",IF(Data!$G353="",1,IF(ISNUMBER(MATCH(Data!#REF!,Data_Val!$D$2:$D$10,0)),0,1)))</f>
        <v>#REF!</v>
      </c>
      <c r="AF353" s="12"/>
      <c r="AG353" s="12" t="e">
        <f>IF(Data!#REF!="","",IF(ISNUMBER(MATCH(Data!#REF!,Data_Val!$A$2:$A$3,0)),0,1))</f>
        <v>#REF!</v>
      </c>
      <c r="AH353" s="26" t="e">
        <f ca="1">IF(Data!#REF!="","",IF(ISNUMBER(Data!#REF!),IF(AND(Data!#REF!&gt;(TODAY()-(Data_Val!$L$3*365.25)),Data!#REF!&lt;=(TODAY()-(Data_Val!$L$2*365.25))),0,1),1))</f>
        <v>#REF!</v>
      </c>
      <c r="AI353" s="12" t="e">
        <f>IF(Data!#REF!="","",IF(Data!$G353="",1,IF(ISNUMBER(MATCH(Data!#REF!,Data_Val!$D$2:$D$10,0)),0,1)))</f>
        <v>#REF!</v>
      </c>
      <c r="AJ353" s="17"/>
      <c r="AK353" s="17" t="e">
        <f>IF(Data!#REF!="","",IF(ISNUMBER(MATCH(Data!#REF!,Data_Val!$A$2:$A$3,0)),0,1))</f>
        <v>#REF!</v>
      </c>
      <c r="AL353" s="25" t="e">
        <f ca="1">IF(Data!#REF!="","",IF(ISNUMBER(Data!#REF!),IF(AND(Data!#REF!&gt;(TODAY()-(Data_Val!$L$3*365.25)),Data!#REF!&lt;=(TODAY()-(Data_Val!$L$2*365.25))),0,1),1))</f>
        <v>#REF!</v>
      </c>
      <c r="AM353" s="17" t="e">
        <f>IF(Data!#REF!="","",IF(Data!$G353="",1,IF(ISNUMBER(MATCH(Data!#REF!,Data_Val!$D$2:$D$10,0)),0,1)))</f>
        <v>#REF!</v>
      </c>
      <c r="AN353" s="13"/>
      <c r="AO353" s="28" t="e">
        <f ca="1">IF(Data!#REF!="","",IF(ISNUMBER(Data!#REF!),IF(AND(Data!#REF!&gt;(TODAY()-(Data_Val!$I$3*365.25)),Data!#REF!&lt;=(TODAY()-(Data_Val!$I$2*365.25))),0,1),1))</f>
        <v>#REF!</v>
      </c>
      <c r="AP353" s="13" t="e">
        <f>IF(Data!#REF!="","",IF(Data!$G353="",1,IF(ISNUMBER(MATCH(Data!#REF!,Data_Val!$D$2:$D$10,0)),0,1)))</f>
        <v>#REF!</v>
      </c>
      <c r="AQ353" s="17"/>
      <c r="AR353" s="30" t="e">
        <f ca="1">IF(Data!#REF!="","",IF(ISNUMBER(Data!#REF!),IF(AND(Data!#REF!&gt;(TODAY()-(Data_Val!$I$3*365.25)),Data!#REF!&lt;=(TODAY()-(Data_Val!$I$2*365.25))),0,1),1))</f>
        <v>#REF!</v>
      </c>
      <c r="AS353" s="31" t="e">
        <f>IF(Data!#REF!="","",IF(Data!$G353="",1,IF(ISNUMBER(MATCH(Data!#REF!,Data_Val!$D$2:$D$10,0)),0,1)))</f>
        <v>#REF!</v>
      </c>
      <c r="AT353" s="11"/>
      <c r="AU353" s="11" t="e">
        <f ca="1">IF(Data!#REF!="","",IF(ISNUMBER(Data!#REF!),IF(AND(Data!#REF!&gt;(TODAY()-(Data_Val!$I$3*365.25)),Data!#REF!&lt;=(TODAY()-(Data_Val!$I$2*365.25))),0,1),1))</f>
        <v>#REF!</v>
      </c>
      <c r="AV353" s="11" t="e">
        <f>IF(Data!#REF!="","",IF(Data!$G353="",1,IF(ISNUMBER(MATCH(Data!#REF!,Data_Val!$D$2:$D$10,0)),0,1)))</f>
        <v>#REF!</v>
      </c>
      <c r="AW353" s="12"/>
      <c r="AX353" s="26" t="e">
        <f ca="1">IF(Data!#REF!="","",IF(ISNUMBER(Data!#REF!),IF(AND(Data!#REF!&gt;(TODAY()-(Data_Val!$I$3*365.25)),Data!#REF!&lt;=(TODAY()-(Data_Val!$I$2*365.25))),0,1),1))</f>
        <v>#REF!</v>
      </c>
      <c r="AY353" s="12" t="e">
        <f>IF(Data!#REF!="","",IF(Data!$G353="",1,IF(ISNUMBER(MATCH(Data!#REF!,Data_Val!$D$2:$D$10,0)),0,1)))</f>
        <v>#REF!</v>
      </c>
      <c r="AZ353" s="11"/>
      <c r="BA353" s="19" t="e">
        <f ca="1">IF(Data!#REF!="","",IF(ISNUMBER(Data!#REF!),IF(AND(Data!#REF!&gt;(TODAY()-(Data_Val!$M$3*365.25)),Data!#REF!&lt;=(TODAY()-(Data_Val!$M$2*365.25))),0,1),1))</f>
        <v>#REF!</v>
      </c>
      <c r="BB353" s="11" t="e">
        <f>IF(Data!#REF!="","",IF(Data!$G353="",1,IF(ISNUMBER(MATCH(Data!#REF!,Data_Val!$D$2:$D$10,0)),0,1)))</f>
        <v>#REF!</v>
      </c>
      <c r="BC353" s="12"/>
      <c r="BD353" s="20" t="e">
        <f ca="1">IF(Data!#REF!="","",IF(ISNUMBER(Data!#REF!),IF(AND(Data!#REF!&gt;(TODAY()-(Data_Val!$M$3*365.25)),Data!#REF!&lt;=(TODAY()-(Data_Val!$M$2*365.25))),0,1),1))</f>
        <v>#REF!</v>
      </c>
      <c r="BE353" s="12" t="e">
        <f>IF(Data!#REF!="","",IF(Data!$G353="",1,IF(ISNUMBER(MATCH(Data!#REF!,Data_Val!$D$2:$D$10,0)),0,1)))</f>
        <v>#REF!</v>
      </c>
      <c r="BF353" s="17"/>
      <c r="BG353" s="18" t="e">
        <f ca="1">IF(Data!#REF!="","",IF(ISNUMBER(Data!#REF!),IF(AND(Data!#REF!&gt;(TODAY()-(Data_Val!$M$3*365.25)),Data!#REF!&lt;=(TODAY()-(Data_Val!$M$2*365.25))),0,1),1))</f>
        <v>#REF!</v>
      </c>
      <c r="BH353" s="29" t="e">
        <f>IF(Data!#REF!="","",IF(Data!$G353="",1,IF(ISNUMBER(MATCH(Data!#REF!,Data_Val!$D$2:$D$10,0)),0,1)))</f>
        <v>#REF!</v>
      </c>
      <c r="BI353" s="13"/>
      <c r="BJ353" s="21" t="e">
        <f ca="1">IF(Data!#REF!="","",IF(ISNUMBER(Data!#REF!),IF(AND(Data!#REF!&gt;(TODAY()-(Data_Val!$M$3*365.25)),Data!#REF!&lt;=(TODAY()-(Data_Val!$M$2*365.25))),0,1),1))</f>
        <v>#REF!</v>
      </c>
      <c r="BK353" s="13" t="e">
        <f>IF(Data!#REF!="","",IF(Data!$G353="",1,IF(ISNUMBER(MATCH(Data!#REF!,Data_Val!$D$2:$D$10,0)),0,1)))</f>
        <v>#REF!</v>
      </c>
    </row>
    <row r="354" spans="1:63" x14ac:dyDescent="0.25">
      <c r="A354" s="9" t="str">
        <f>IF(Data!B354="","",IF(COUNTIFS(Data!A$1:'Data'!A354,Data!A354)&lt;=1,0,1))</f>
        <v/>
      </c>
      <c r="B354" s="9"/>
      <c r="C354" s="23" t="str">
        <f>IF(Data!C354="","",(IF(ISNUMBER(MATCH("*@*.?*",Data!C354,0)),0,1)+IF(COUNTIFS(Data!C$1:'Data'!C354,Data!C354)&gt;1,1,0)))</f>
        <v/>
      </c>
      <c r="D354" s="9" t="str">
        <f>IF(Data!B354="","",IF(ISNUMBER(Data!D354),IF(AND(Data!D354&gt;999999999,Data!D354&lt;=9999999999),IF(COUNTIFS(Data!D$1:'Data'!D354,Data!D354)&lt;=1,0,1),1),1))</f>
        <v/>
      </c>
      <c r="E354" s="9" t="str">
        <f>IF(Data!B354="","",IF(ISNUMBER(MATCH(Data!E354,Data_Val!$A$2:$A$3,0)),0,1))</f>
        <v/>
      </c>
      <c r="F354" s="9" t="str">
        <f ca="1">IF(Data!B354="","",IF(ISNUMBER(Data!F354),IF(AND(Data!F354&gt;(TODAY()-(Data_Val!$H$3*365.25)),Data!F354&lt;=(TODAY()-(Data_Val!$H$2*365.25))),0,1),1))</f>
        <v/>
      </c>
      <c r="G354" s="15" t="str">
        <f>IF(Data!B354="","",IF(AND(Data!G354="",Data!H354&lt;&gt;""),1,IF(Data!#REF!&lt;&gt;"",0,IF(ISNUMBER(MATCH(Data!G354,Data_Val!$C$2:$C$5,0)),0,1))))</f>
        <v/>
      </c>
      <c r="H354" s="15" t="str">
        <f>IF(Data!B354="","",IF(AND(Data!G354&lt;&gt;"",Data!H354=""),1,IF(Data!#REF!&lt;&gt;"",0,IF(Data!G354="",1,IF(ISNUMBER(MATCH(Data!H354,Data_Val!$D$2:$D$35,0)),0,1)))))</f>
        <v/>
      </c>
      <c r="I354" s="15" t="str">
        <f>IF(Data!B354="","",IF(Data!G354&lt;&gt;"",0,IF(ISNUMBER(MATCH(Data!#REF!,Data_Val!$E$2:$E$12,0)),0,1)))</f>
        <v/>
      </c>
      <c r="J354" s="16" t="e">
        <f>IF(OR(Data!B354="",Data!#REF!=""),"",IF(Data!#REF!="",1,0))</f>
        <v>#REF!</v>
      </c>
      <c r="K354" s="16" t="e">
        <f>IF(OR(Data!B354="",Data!#REF!=""),"",IF(Data!#REF!="",1,0))</f>
        <v>#REF!</v>
      </c>
      <c r="L354" s="16" t="e">
        <f>IF(OR(Data!B354="",Data!#REF!=""),"",IF(ISNUMBER(Data!#REF!),IF(AND(Data!#REF!&gt;Data_Val!$G$2,Data!#REF!&lt;=Data_Val!$G$3),0,1),1))</f>
        <v>#REF!</v>
      </c>
      <c r="M354" s="9" t="e">
        <f>IF(OR(Data!B354="",Data!#REF!=""),"",IF(ISNUMBER(MATCH(Data!#REF!,Data_Val!$F$1:$F$38,0)),0,1))</f>
        <v>#REF!</v>
      </c>
      <c r="N354" s="9" t="e">
        <f>IF(OR(Data!B354="",Data!#REF!=""),"",IF(Data!#REF!="",1,0))</f>
        <v>#REF!</v>
      </c>
      <c r="O354" s="17" t="e">
        <f>IF(Data!#REF!="","",IF(Data!#REF!="",1,0))</f>
        <v>#REF!</v>
      </c>
      <c r="P354" s="17" t="e">
        <f>IF(Data!#REF!="","",IF(ISNUMBER(MATCH(Data!#REF!,Data_Val!$A$2:$A$3,0)),0,1))</f>
        <v>#REF!</v>
      </c>
      <c r="Q354" s="25" t="e">
        <f ca="1">IF(Data!#REF!="","",IF(ISNUMBER(Data!#REF!),IF(AND(Data!#REF!&gt;(TODAY()-(Data_Val!$J$3*365.25)),Data!#REF!&lt;=(TODAY()-(Data_Val!$J$2*365.25))),0,1),1))</f>
        <v>#REF!</v>
      </c>
      <c r="R354" s="17" t="e">
        <f>IF(Data!#REF!="","",IF(ISNUMBER(MATCH(Data!#REF!,Data_Val!$B$2:$B$15,0)),0,1))</f>
        <v>#REF!</v>
      </c>
      <c r="S354" s="11" t="str">
        <f>IF(Data!G354="","",IF(Data!G354=Data_Val!$C$2,IF(Data!M354="",0,1),0))</f>
        <v/>
      </c>
      <c r="T354" s="11" t="str">
        <f>IF(Data!M354="","",IF(ISNUMBER(MATCH(Data!N354,Data_Val!$A$2:$A$3,0)),0,1))</f>
        <v/>
      </c>
      <c r="U354" s="11" t="str">
        <f ca="1">IF(Data!M354="","",IF(ISNUMBER(Data!O354),IF(AND(Data!O354&gt;(TODAY()-(Data_Val!$K$3*365.25)),Data!O354&lt;=(TODAY()-(Data_Val!$K$2*365.25))),0,1),1))</f>
        <v/>
      </c>
      <c r="V354" s="12" t="str">
        <f>IF(Data!G354="","",IF(Data!G354=Data_Val!$C$2,IF(Data!P354="",0,1),0))</f>
        <v/>
      </c>
      <c r="W354" s="12" t="str">
        <f>IF(Data!P354="","",IF(ISNUMBER(MATCH(Data!Q354,Data_Val!$A$2:$A$3,0)),0,1))</f>
        <v/>
      </c>
      <c r="X354" s="26" t="str">
        <f ca="1">IF(Data!P354="","",IF(ISNUMBER(Data!R354),IF(AND(Data!R354&gt;(TODAY()-(Data_Val!$L$3*365.25)),Data!R354&lt;=(TODAY()-(Data_Val!$L$2*365.25))),0,1),1))</f>
        <v/>
      </c>
      <c r="Y354" s="13" t="str">
        <f>IF(Data!$G354="","",IF(Data!$G354=Data_Val!$C$2,IF(Data!S354="",0,1),0))</f>
        <v/>
      </c>
      <c r="Z354" s="13" t="str">
        <f>IF(Data!S354="","",IF(ISNUMBER(MATCH(Data!T354,Data_Val!$A$2:$A$3,0)),0,1))</f>
        <v/>
      </c>
      <c r="AA354" s="28" t="str">
        <f ca="1">IF(Data!S354="","",IF(ISNUMBER(Data!U354),IF(AND(Data!U354&gt;(TODAY()-(Data_Val!$L$3*365.25)),Data!U354&lt;=(TODAY()-(Data_Val!$L$2*365.25))),0,1),1))</f>
        <v/>
      </c>
      <c r="AB354" s="11"/>
      <c r="AC354" s="11" t="e">
        <f>IF(Data!#REF!="","",IF(ISNUMBER(MATCH(Data!#REF!,Data_Val!$A$2:$A$3,0)),0,1))</f>
        <v>#REF!</v>
      </c>
      <c r="AD354" s="11" t="e">
        <f ca="1">IF(Data!#REF!="","",IF(ISNUMBER(Data!#REF!),IF(AND(Data!#REF!&gt;(TODAY()-(Data_Val!$L$3*365.25)),Data!#REF!&lt;=(TODAY()-(Data_Val!$L$2*365.25))),0,1),1))</f>
        <v>#REF!</v>
      </c>
      <c r="AE354" s="11" t="e">
        <f>IF(Data!#REF!="","",IF(Data!$G354="",1,IF(ISNUMBER(MATCH(Data!#REF!,Data_Val!$D$2:$D$10,0)),0,1)))</f>
        <v>#REF!</v>
      </c>
      <c r="AF354" s="12"/>
      <c r="AG354" s="12" t="e">
        <f>IF(Data!#REF!="","",IF(ISNUMBER(MATCH(Data!#REF!,Data_Val!$A$2:$A$3,0)),0,1))</f>
        <v>#REF!</v>
      </c>
      <c r="AH354" s="26" t="e">
        <f ca="1">IF(Data!#REF!="","",IF(ISNUMBER(Data!#REF!),IF(AND(Data!#REF!&gt;(TODAY()-(Data_Val!$L$3*365.25)),Data!#REF!&lt;=(TODAY()-(Data_Val!$L$2*365.25))),0,1),1))</f>
        <v>#REF!</v>
      </c>
      <c r="AI354" s="12" t="e">
        <f>IF(Data!#REF!="","",IF(Data!$G354="",1,IF(ISNUMBER(MATCH(Data!#REF!,Data_Val!$D$2:$D$10,0)),0,1)))</f>
        <v>#REF!</v>
      </c>
      <c r="AJ354" s="17"/>
      <c r="AK354" s="17" t="e">
        <f>IF(Data!#REF!="","",IF(ISNUMBER(MATCH(Data!#REF!,Data_Val!$A$2:$A$3,0)),0,1))</f>
        <v>#REF!</v>
      </c>
      <c r="AL354" s="25" t="e">
        <f ca="1">IF(Data!#REF!="","",IF(ISNUMBER(Data!#REF!),IF(AND(Data!#REF!&gt;(TODAY()-(Data_Val!$L$3*365.25)),Data!#REF!&lt;=(TODAY()-(Data_Val!$L$2*365.25))),0,1),1))</f>
        <v>#REF!</v>
      </c>
      <c r="AM354" s="17" t="e">
        <f>IF(Data!#REF!="","",IF(Data!$G354="",1,IF(ISNUMBER(MATCH(Data!#REF!,Data_Val!$D$2:$D$10,0)),0,1)))</f>
        <v>#REF!</v>
      </c>
      <c r="AN354" s="13"/>
      <c r="AO354" s="28" t="e">
        <f ca="1">IF(Data!#REF!="","",IF(ISNUMBER(Data!#REF!),IF(AND(Data!#REF!&gt;(TODAY()-(Data_Val!$I$3*365.25)),Data!#REF!&lt;=(TODAY()-(Data_Val!$I$2*365.25))),0,1),1))</f>
        <v>#REF!</v>
      </c>
      <c r="AP354" s="13" t="e">
        <f>IF(Data!#REF!="","",IF(Data!$G354="",1,IF(ISNUMBER(MATCH(Data!#REF!,Data_Val!$D$2:$D$10,0)),0,1)))</f>
        <v>#REF!</v>
      </c>
      <c r="AQ354" s="17"/>
      <c r="AR354" s="30" t="e">
        <f ca="1">IF(Data!#REF!="","",IF(ISNUMBER(Data!#REF!),IF(AND(Data!#REF!&gt;(TODAY()-(Data_Val!$I$3*365.25)),Data!#REF!&lt;=(TODAY()-(Data_Val!$I$2*365.25))),0,1),1))</f>
        <v>#REF!</v>
      </c>
      <c r="AS354" s="31" t="e">
        <f>IF(Data!#REF!="","",IF(Data!$G354="",1,IF(ISNUMBER(MATCH(Data!#REF!,Data_Val!$D$2:$D$10,0)),0,1)))</f>
        <v>#REF!</v>
      </c>
      <c r="AT354" s="11"/>
      <c r="AU354" s="11" t="e">
        <f ca="1">IF(Data!#REF!="","",IF(ISNUMBER(Data!#REF!),IF(AND(Data!#REF!&gt;(TODAY()-(Data_Val!$I$3*365.25)),Data!#REF!&lt;=(TODAY()-(Data_Val!$I$2*365.25))),0,1),1))</f>
        <v>#REF!</v>
      </c>
      <c r="AV354" s="11" t="e">
        <f>IF(Data!#REF!="","",IF(Data!$G354="",1,IF(ISNUMBER(MATCH(Data!#REF!,Data_Val!$D$2:$D$10,0)),0,1)))</f>
        <v>#REF!</v>
      </c>
      <c r="AW354" s="12"/>
      <c r="AX354" s="26" t="e">
        <f ca="1">IF(Data!#REF!="","",IF(ISNUMBER(Data!#REF!),IF(AND(Data!#REF!&gt;(TODAY()-(Data_Val!$I$3*365.25)),Data!#REF!&lt;=(TODAY()-(Data_Val!$I$2*365.25))),0,1),1))</f>
        <v>#REF!</v>
      </c>
      <c r="AY354" s="12" t="e">
        <f>IF(Data!#REF!="","",IF(Data!$G354="",1,IF(ISNUMBER(MATCH(Data!#REF!,Data_Val!$D$2:$D$10,0)),0,1)))</f>
        <v>#REF!</v>
      </c>
      <c r="AZ354" s="11"/>
      <c r="BA354" s="19" t="e">
        <f ca="1">IF(Data!#REF!="","",IF(ISNUMBER(Data!#REF!),IF(AND(Data!#REF!&gt;(TODAY()-(Data_Val!$M$3*365.25)),Data!#REF!&lt;=(TODAY()-(Data_Val!$M$2*365.25))),0,1),1))</f>
        <v>#REF!</v>
      </c>
      <c r="BB354" s="11" t="e">
        <f>IF(Data!#REF!="","",IF(Data!$G354="",1,IF(ISNUMBER(MATCH(Data!#REF!,Data_Val!$D$2:$D$10,0)),0,1)))</f>
        <v>#REF!</v>
      </c>
      <c r="BC354" s="12"/>
      <c r="BD354" s="20" t="e">
        <f ca="1">IF(Data!#REF!="","",IF(ISNUMBER(Data!#REF!),IF(AND(Data!#REF!&gt;(TODAY()-(Data_Val!$M$3*365.25)),Data!#REF!&lt;=(TODAY()-(Data_Val!$M$2*365.25))),0,1),1))</f>
        <v>#REF!</v>
      </c>
      <c r="BE354" s="12" t="e">
        <f>IF(Data!#REF!="","",IF(Data!$G354="",1,IF(ISNUMBER(MATCH(Data!#REF!,Data_Val!$D$2:$D$10,0)),0,1)))</f>
        <v>#REF!</v>
      </c>
      <c r="BF354" s="17"/>
      <c r="BG354" s="18" t="e">
        <f ca="1">IF(Data!#REF!="","",IF(ISNUMBER(Data!#REF!),IF(AND(Data!#REF!&gt;(TODAY()-(Data_Val!$M$3*365.25)),Data!#REF!&lt;=(TODAY()-(Data_Val!$M$2*365.25))),0,1),1))</f>
        <v>#REF!</v>
      </c>
      <c r="BH354" s="29" t="e">
        <f>IF(Data!#REF!="","",IF(Data!$G354="",1,IF(ISNUMBER(MATCH(Data!#REF!,Data_Val!$D$2:$D$10,0)),0,1)))</f>
        <v>#REF!</v>
      </c>
      <c r="BI354" s="13"/>
      <c r="BJ354" s="21" t="e">
        <f ca="1">IF(Data!#REF!="","",IF(ISNUMBER(Data!#REF!),IF(AND(Data!#REF!&gt;(TODAY()-(Data_Val!$M$3*365.25)),Data!#REF!&lt;=(TODAY()-(Data_Val!$M$2*365.25))),0,1),1))</f>
        <v>#REF!</v>
      </c>
      <c r="BK354" s="13" t="e">
        <f>IF(Data!#REF!="","",IF(Data!$G354="",1,IF(ISNUMBER(MATCH(Data!#REF!,Data_Val!$D$2:$D$10,0)),0,1)))</f>
        <v>#REF!</v>
      </c>
    </row>
    <row r="355" spans="1:63" x14ac:dyDescent="0.25">
      <c r="A355" s="9" t="str">
        <f>IF(Data!B355="","",IF(COUNTIFS(Data!A$1:'Data'!A355,Data!A355)&lt;=1,0,1))</f>
        <v/>
      </c>
      <c r="B355" s="9"/>
      <c r="C355" s="23" t="str">
        <f>IF(Data!C355="","",(IF(ISNUMBER(MATCH("*@*.?*",Data!C355,0)),0,1)+IF(COUNTIFS(Data!C$1:'Data'!C355,Data!C355)&gt;1,1,0)))</f>
        <v/>
      </c>
      <c r="D355" s="9" t="str">
        <f>IF(Data!B355="","",IF(ISNUMBER(Data!D355),IF(AND(Data!D355&gt;999999999,Data!D355&lt;=9999999999),IF(COUNTIFS(Data!D$1:'Data'!D355,Data!D355)&lt;=1,0,1),1),1))</f>
        <v/>
      </c>
      <c r="E355" s="9" t="str">
        <f>IF(Data!B355="","",IF(ISNUMBER(MATCH(Data!E355,Data_Val!$A$2:$A$3,0)),0,1))</f>
        <v/>
      </c>
      <c r="F355" s="9" t="str">
        <f ca="1">IF(Data!B355="","",IF(ISNUMBER(Data!F355),IF(AND(Data!F355&gt;(TODAY()-(Data_Val!$H$3*365.25)),Data!F355&lt;=(TODAY()-(Data_Val!$H$2*365.25))),0,1),1))</f>
        <v/>
      </c>
      <c r="G355" s="15" t="str">
        <f>IF(Data!B355="","",IF(AND(Data!G355="",Data!H355&lt;&gt;""),1,IF(Data!#REF!&lt;&gt;"",0,IF(ISNUMBER(MATCH(Data!G355,Data_Val!$C$2:$C$5,0)),0,1))))</f>
        <v/>
      </c>
      <c r="H355" s="15" t="str">
        <f>IF(Data!B355="","",IF(AND(Data!G355&lt;&gt;"",Data!H355=""),1,IF(Data!#REF!&lt;&gt;"",0,IF(Data!G355="",1,IF(ISNUMBER(MATCH(Data!H355,Data_Val!$D$2:$D$35,0)),0,1)))))</f>
        <v/>
      </c>
      <c r="I355" s="15" t="str">
        <f>IF(Data!B355="","",IF(Data!G355&lt;&gt;"",0,IF(ISNUMBER(MATCH(Data!#REF!,Data_Val!$E$2:$E$12,0)),0,1)))</f>
        <v/>
      </c>
      <c r="J355" s="16" t="e">
        <f>IF(OR(Data!B355="",Data!#REF!=""),"",IF(Data!#REF!="",1,0))</f>
        <v>#REF!</v>
      </c>
      <c r="K355" s="16" t="e">
        <f>IF(OR(Data!B355="",Data!#REF!=""),"",IF(Data!#REF!="",1,0))</f>
        <v>#REF!</v>
      </c>
      <c r="L355" s="16" t="e">
        <f>IF(OR(Data!B355="",Data!#REF!=""),"",IF(ISNUMBER(Data!#REF!),IF(AND(Data!#REF!&gt;Data_Val!$G$2,Data!#REF!&lt;=Data_Val!$G$3),0,1),1))</f>
        <v>#REF!</v>
      </c>
      <c r="M355" s="9" t="e">
        <f>IF(OR(Data!B355="",Data!#REF!=""),"",IF(ISNUMBER(MATCH(Data!#REF!,Data_Val!$F$1:$F$38,0)),0,1))</f>
        <v>#REF!</v>
      </c>
      <c r="N355" s="9" t="e">
        <f>IF(OR(Data!B355="",Data!#REF!=""),"",IF(Data!#REF!="",1,0))</f>
        <v>#REF!</v>
      </c>
      <c r="O355" s="17" t="e">
        <f>IF(Data!#REF!="","",IF(Data!#REF!="",1,0))</f>
        <v>#REF!</v>
      </c>
      <c r="P355" s="17" t="e">
        <f>IF(Data!#REF!="","",IF(ISNUMBER(MATCH(Data!#REF!,Data_Val!$A$2:$A$3,0)),0,1))</f>
        <v>#REF!</v>
      </c>
      <c r="Q355" s="25" t="e">
        <f ca="1">IF(Data!#REF!="","",IF(ISNUMBER(Data!#REF!),IF(AND(Data!#REF!&gt;(TODAY()-(Data_Val!$J$3*365.25)),Data!#REF!&lt;=(TODAY()-(Data_Val!$J$2*365.25))),0,1),1))</f>
        <v>#REF!</v>
      </c>
      <c r="R355" s="17" t="e">
        <f>IF(Data!#REF!="","",IF(ISNUMBER(MATCH(Data!#REF!,Data_Val!$B$2:$B$15,0)),0,1))</f>
        <v>#REF!</v>
      </c>
      <c r="S355" s="11" t="str">
        <f>IF(Data!G355="","",IF(Data!G355=Data_Val!$C$2,IF(Data!M355="",0,1),0))</f>
        <v/>
      </c>
      <c r="T355" s="11" t="str">
        <f>IF(Data!M355="","",IF(ISNUMBER(MATCH(Data!N355,Data_Val!$A$2:$A$3,0)),0,1))</f>
        <v/>
      </c>
      <c r="U355" s="11" t="str">
        <f ca="1">IF(Data!M355="","",IF(ISNUMBER(Data!O355),IF(AND(Data!O355&gt;(TODAY()-(Data_Val!$K$3*365.25)),Data!O355&lt;=(TODAY()-(Data_Val!$K$2*365.25))),0,1),1))</f>
        <v/>
      </c>
      <c r="V355" s="12" t="str">
        <f>IF(Data!G355="","",IF(Data!G355=Data_Val!$C$2,IF(Data!P355="",0,1),0))</f>
        <v/>
      </c>
      <c r="W355" s="12" t="str">
        <f>IF(Data!P355="","",IF(ISNUMBER(MATCH(Data!Q355,Data_Val!$A$2:$A$3,0)),0,1))</f>
        <v/>
      </c>
      <c r="X355" s="26" t="str">
        <f ca="1">IF(Data!P355="","",IF(ISNUMBER(Data!R355),IF(AND(Data!R355&gt;(TODAY()-(Data_Val!$L$3*365.25)),Data!R355&lt;=(TODAY()-(Data_Val!$L$2*365.25))),0,1),1))</f>
        <v/>
      </c>
      <c r="Y355" s="13" t="str">
        <f>IF(Data!$G355="","",IF(Data!$G355=Data_Val!$C$2,IF(Data!S355="",0,1),0))</f>
        <v/>
      </c>
      <c r="Z355" s="13" t="str">
        <f>IF(Data!S355="","",IF(ISNUMBER(MATCH(Data!T355,Data_Val!$A$2:$A$3,0)),0,1))</f>
        <v/>
      </c>
      <c r="AA355" s="28" t="str">
        <f ca="1">IF(Data!S355="","",IF(ISNUMBER(Data!U355),IF(AND(Data!U355&gt;(TODAY()-(Data_Val!$L$3*365.25)),Data!U355&lt;=(TODAY()-(Data_Val!$L$2*365.25))),0,1),1))</f>
        <v/>
      </c>
      <c r="AB355" s="11"/>
      <c r="AC355" s="11" t="e">
        <f>IF(Data!#REF!="","",IF(ISNUMBER(MATCH(Data!#REF!,Data_Val!$A$2:$A$3,0)),0,1))</f>
        <v>#REF!</v>
      </c>
      <c r="AD355" s="11" t="e">
        <f ca="1">IF(Data!#REF!="","",IF(ISNUMBER(Data!#REF!),IF(AND(Data!#REF!&gt;(TODAY()-(Data_Val!$L$3*365.25)),Data!#REF!&lt;=(TODAY()-(Data_Val!$L$2*365.25))),0,1),1))</f>
        <v>#REF!</v>
      </c>
      <c r="AE355" s="11" t="e">
        <f>IF(Data!#REF!="","",IF(Data!$G355="",1,IF(ISNUMBER(MATCH(Data!#REF!,Data_Val!$D$2:$D$10,0)),0,1)))</f>
        <v>#REF!</v>
      </c>
      <c r="AF355" s="12"/>
      <c r="AG355" s="12" t="e">
        <f>IF(Data!#REF!="","",IF(ISNUMBER(MATCH(Data!#REF!,Data_Val!$A$2:$A$3,0)),0,1))</f>
        <v>#REF!</v>
      </c>
      <c r="AH355" s="26" t="e">
        <f ca="1">IF(Data!#REF!="","",IF(ISNUMBER(Data!#REF!),IF(AND(Data!#REF!&gt;(TODAY()-(Data_Val!$L$3*365.25)),Data!#REF!&lt;=(TODAY()-(Data_Val!$L$2*365.25))),0,1),1))</f>
        <v>#REF!</v>
      </c>
      <c r="AI355" s="12" t="e">
        <f>IF(Data!#REF!="","",IF(Data!$G355="",1,IF(ISNUMBER(MATCH(Data!#REF!,Data_Val!$D$2:$D$10,0)),0,1)))</f>
        <v>#REF!</v>
      </c>
      <c r="AJ355" s="17"/>
      <c r="AK355" s="17" t="e">
        <f>IF(Data!#REF!="","",IF(ISNUMBER(MATCH(Data!#REF!,Data_Val!$A$2:$A$3,0)),0,1))</f>
        <v>#REF!</v>
      </c>
      <c r="AL355" s="25" t="e">
        <f ca="1">IF(Data!#REF!="","",IF(ISNUMBER(Data!#REF!),IF(AND(Data!#REF!&gt;(TODAY()-(Data_Val!$L$3*365.25)),Data!#REF!&lt;=(TODAY()-(Data_Val!$L$2*365.25))),0,1),1))</f>
        <v>#REF!</v>
      </c>
      <c r="AM355" s="17" t="e">
        <f>IF(Data!#REF!="","",IF(Data!$G355="",1,IF(ISNUMBER(MATCH(Data!#REF!,Data_Val!$D$2:$D$10,0)),0,1)))</f>
        <v>#REF!</v>
      </c>
      <c r="AN355" s="13"/>
      <c r="AO355" s="28" t="e">
        <f ca="1">IF(Data!#REF!="","",IF(ISNUMBER(Data!#REF!),IF(AND(Data!#REF!&gt;(TODAY()-(Data_Val!$I$3*365.25)),Data!#REF!&lt;=(TODAY()-(Data_Val!$I$2*365.25))),0,1),1))</f>
        <v>#REF!</v>
      </c>
      <c r="AP355" s="13" t="e">
        <f>IF(Data!#REF!="","",IF(Data!$G355="",1,IF(ISNUMBER(MATCH(Data!#REF!,Data_Val!$D$2:$D$10,0)),0,1)))</f>
        <v>#REF!</v>
      </c>
      <c r="AQ355" s="17"/>
      <c r="AR355" s="30" t="e">
        <f ca="1">IF(Data!#REF!="","",IF(ISNUMBER(Data!#REF!),IF(AND(Data!#REF!&gt;(TODAY()-(Data_Val!$I$3*365.25)),Data!#REF!&lt;=(TODAY()-(Data_Val!$I$2*365.25))),0,1),1))</f>
        <v>#REF!</v>
      </c>
      <c r="AS355" s="31" t="e">
        <f>IF(Data!#REF!="","",IF(Data!$G355="",1,IF(ISNUMBER(MATCH(Data!#REF!,Data_Val!$D$2:$D$10,0)),0,1)))</f>
        <v>#REF!</v>
      </c>
      <c r="AT355" s="11"/>
      <c r="AU355" s="11" t="e">
        <f ca="1">IF(Data!#REF!="","",IF(ISNUMBER(Data!#REF!),IF(AND(Data!#REF!&gt;(TODAY()-(Data_Val!$I$3*365.25)),Data!#REF!&lt;=(TODAY()-(Data_Val!$I$2*365.25))),0,1),1))</f>
        <v>#REF!</v>
      </c>
      <c r="AV355" s="11" t="e">
        <f>IF(Data!#REF!="","",IF(Data!$G355="",1,IF(ISNUMBER(MATCH(Data!#REF!,Data_Val!$D$2:$D$10,0)),0,1)))</f>
        <v>#REF!</v>
      </c>
      <c r="AW355" s="12"/>
      <c r="AX355" s="26" t="e">
        <f ca="1">IF(Data!#REF!="","",IF(ISNUMBER(Data!#REF!),IF(AND(Data!#REF!&gt;(TODAY()-(Data_Val!$I$3*365.25)),Data!#REF!&lt;=(TODAY()-(Data_Val!$I$2*365.25))),0,1),1))</f>
        <v>#REF!</v>
      </c>
      <c r="AY355" s="12" t="e">
        <f>IF(Data!#REF!="","",IF(Data!$G355="",1,IF(ISNUMBER(MATCH(Data!#REF!,Data_Val!$D$2:$D$10,0)),0,1)))</f>
        <v>#REF!</v>
      </c>
      <c r="AZ355" s="11"/>
      <c r="BA355" s="19" t="e">
        <f ca="1">IF(Data!#REF!="","",IF(ISNUMBER(Data!#REF!),IF(AND(Data!#REF!&gt;(TODAY()-(Data_Val!$M$3*365.25)),Data!#REF!&lt;=(TODAY()-(Data_Val!$M$2*365.25))),0,1),1))</f>
        <v>#REF!</v>
      </c>
      <c r="BB355" s="11" t="e">
        <f>IF(Data!#REF!="","",IF(Data!$G355="",1,IF(ISNUMBER(MATCH(Data!#REF!,Data_Val!$D$2:$D$10,0)),0,1)))</f>
        <v>#REF!</v>
      </c>
      <c r="BC355" s="12"/>
      <c r="BD355" s="20" t="e">
        <f ca="1">IF(Data!#REF!="","",IF(ISNUMBER(Data!#REF!),IF(AND(Data!#REF!&gt;(TODAY()-(Data_Val!$M$3*365.25)),Data!#REF!&lt;=(TODAY()-(Data_Val!$M$2*365.25))),0,1),1))</f>
        <v>#REF!</v>
      </c>
      <c r="BE355" s="12" t="e">
        <f>IF(Data!#REF!="","",IF(Data!$G355="",1,IF(ISNUMBER(MATCH(Data!#REF!,Data_Val!$D$2:$D$10,0)),0,1)))</f>
        <v>#REF!</v>
      </c>
      <c r="BF355" s="17"/>
      <c r="BG355" s="18" t="e">
        <f ca="1">IF(Data!#REF!="","",IF(ISNUMBER(Data!#REF!),IF(AND(Data!#REF!&gt;(TODAY()-(Data_Val!$M$3*365.25)),Data!#REF!&lt;=(TODAY()-(Data_Val!$M$2*365.25))),0,1),1))</f>
        <v>#REF!</v>
      </c>
      <c r="BH355" s="29" t="e">
        <f>IF(Data!#REF!="","",IF(Data!$G355="",1,IF(ISNUMBER(MATCH(Data!#REF!,Data_Val!$D$2:$D$10,0)),0,1)))</f>
        <v>#REF!</v>
      </c>
      <c r="BI355" s="13"/>
      <c r="BJ355" s="21" t="e">
        <f ca="1">IF(Data!#REF!="","",IF(ISNUMBER(Data!#REF!),IF(AND(Data!#REF!&gt;(TODAY()-(Data_Val!$M$3*365.25)),Data!#REF!&lt;=(TODAY()-(Data_Val!$M$2*365.25))),0,1),1))</f>
        <v>#REF!</v>
      </c>
      <c r="BK355" s="13" t="e">
        <f>IF(Data!#REF!="","",IF(Data!$G355="",1,IF(ISNUMBER(MATCH(Data!#REF!,Data_Val!$D$2:$D$10,0)),0,1)))</f>
        <v>#REF!</v>
      </c>
    </row>
    <row r="356" spans="1:63" x14ac:dyDescent="0.25">
      <c r="A356" s="9" t="str">
        <f>IF(Data!B356="","",IF(COUNTIFS(Data!A$1:'Data'!A356,Data!A356)&lt;=1,0,1))</f>
        <v/>
      </c>
      <c r="B356" s="9"/>
      <c r="C356" s="23" t="str">
        <f>IF(Data!C356="","",(IF(ISNUMBER(MATCH("*@*.?*",Data!C356,0)),0,1)+IF(COUNTIFS(Data!C$1:'Data'!C356,Data!C356)&gt;1,1,0)))</f>
        <v/>
      </c>
      <c r="D356" s="9" t="str">
        <f>IF(Data!B356="","",IF(ISNUMBER(Data!D356),IF(AND(Data!D356&gt;999999999,Data!D356&lt;=9999999999),IF(COUNTIFS(Data!D$1:'Data'!D356,Data!D356)&lt;=1,0,1),1),1))</f>
        <v/>
      </c>
      <c r="E356" s="9" t="str">
        <f>IF(Data!B356="","",IF(ISNUMBER(MATCH(Data!E356,Data_Val!$A$2:$A$3,0)),0,1))</f>
        <v/>
      </c>
      <c r="F356" s="9" t="str">
        <f ca="1">IF(Data!B356="","",IF(ISNUMBER(Data!F356),IF(AND(Data!F356&gt;(TODAY()-(Data_Val!$H$3*365.25)),Data!F356&lt;=(TODAY()-(Data_Val!$H$2*365.25))),0,1),1))</f>
        <v/>
      </c>
      <c r="G356" s="15" t="str">
        <f>IF(Data!B356="","",IF(AND(Data!G356="",Data!H356&lt;&gt;""),1,IF(Data!#REF!&lt;&gt;"",0,IF(ISNUMBER(MATCH(Data!G356,Data_Val!$C$2:$C$5,0)),0,1))))</f>
        <v/>
      </c>
      <c r="H356" s="15" t="str">
        <f>IF(Data!B356="","",IF(AND(Data!G356&lt;&gt;"",Data!H356=""),1,IF(Data!#REF!&lt;&gt;"",0,IF(Data!G356="",1,IF(ISNUMBER(MATCH(Data!H356,Data_Val!$D$2:$D$35,0)),0,1)))))</f>
        <v/>
      </c>
      <c r="I356" s="15" t="str">
        <f>IF(Data!B356="","",IF(Data!G356&lt;&gt;"",0,IF(ISNUMBER(MATCH(Data!#REF!,Data_Val!$E$2:$E$12,0)),0,1)))</f>
        <v/>
      </c>
      <c r="J356" s="16" t="e">
        <f>IF(OR(Data!B356="",Data!#REF!=""),"",IF(Data!#REF!="",1,0))</f>
        <v>#REF!</v>
      </c>
      <c r="K356" s="16" t="e">
        <f>IF(OR(Data!B356="",Data!#REF!=""),"",IF(Data!#REF!="",1,0))</f>
        <v>#REF!</v>
      </c>
      <c r="L356" s="16" t="e">
        <f>IF(OR(Data!B356="",Data!#REF!=""),"",IF(ISNUMBER(Data!#REF!),IF(AND(Data!#REF!&gt;Data_Val!$G$2,Data!#REF!&lt;=Data_Val!$G$3),0,1),1))</f>
        <v>#REF!</v>
      </c>
      <c r="M356" s="9" t="e">
        <f>IF(OR(Data!B356="",Data!#REF!=""),"",IF(ISNUMBER(MATCH(Data!#REF!,Data_Val!$F$1:$F$38,0)),0,1))</f>
        <v>#REF!</v>
      </c>
      <c r="N356" s="9" t="e">
        <f>IF(OR(Data!B356="",Data!#REF!=""),"",IF(Data!#REF!="",1,0))</f>
        <v>#REF!</v>
      </c>
      <c r="O356" s="17" t="e">
        <f>IF(Data!#REF!="","",IF(Data!#REF!="",1,0))</f>
        <v>#REF!</v>
      </c>
      <c r="P356" s="17" t="e">
        <f>IF(Data!#REF!="","",IF(ISNUMBER(MATCH(Data!#REF!,Data_Val!$A$2:$A$3,0)),0,1))</f>
        <v>#REF!</v>
      </c>
      <c r="Q356" s="25" t="e">
        <f ca="1">IF(Data!#REF!="","",IF(ISNUMBER(Data!#REF!),IF(AND(Data!#REF!&gt;(TODAY()-(Data_Val!$J$3*365.25)),Data!#REF!&lt;=(TODAY()-(Data_Val!$J$2*365.25))),0,1),1))</f>
        <v>#REF!</v>
      </c>
      <c r="R356" s="17" t="e">
        <f>IF(Data!#REF!="","",IF(ISNUMBER(MATCH(Data!#REF!,Data_Val!$B$2:$B$15,0)),0,1))</f>
        <v>#REF!</v>
      </c>
      <c r="S356" s="11" t="str">
        <f>IF(Data!G356="","",IF(Data!G356=Data_Val!$C$2,IF(Data!M356="",0,1),0))</f>
        <v/>
      </c>
      <c r="T356" s="11" t="str">
        <f>IF(Data!M356="","",IF(ISNUMBER(MATCH(Data!N356,Data_Val!$A$2:$A$3,0)),0,1))</f>
        <v/>
      </c>
      <c r="U356" s="11" t="str">
        <f ca="1">IF(Data!M356="","",IF(ISNUMBER(Data!O356),IF(AND(Data!O356&gt;(TODAY()-(Data_Val!$K$3*365.25)),Data!O356&lt;=(TODAY()-(Data_Val!$K$2*365.25))),0,1),1))</f>
        <v/>
      </c>
      <c r="V356" s="12" t="str">
        <f>IF(Data!G356="","",IF(Data!G356=Data_Val!$C$2,IF(Data!P356="",0,1),0))</f>
        <v/>
      </c>
      <c r="W356" s="12" t="str">
        <f>IF(Data!P356="","",IF(ISNUMBER(MATCH(Data!Q356,Data_Val!$A$2:$A$3,0)),0,1))</f>
        <v/>
      </c>
      <c r="X356" s="26" t="str">
        <f ca="1">IF(Data!P356="","",IF(ISNUMBER(Data!R356),IF(AND(Data!R356&gt;(TODAY()-(Data_Val!$L$3*365.25)),Data!R356&lt;=(TODAY()-(Data_Val!$L$2*365.25))),0,1),1))</f>
        <v/>
      </c>
      <c r="Y356" s="13" t="str">
        <f>IF(Data!$G356="","",IF(Data!$G356=Data_Val!$C$2,IF(Data!S356="",0,1),0))</f>
        <v/>
      </c>
      <c r="Z356" s="13" t="str">
        <f>IF(Data!S356="","",IF(ISNUMBER(MATCH(Data!T356,Data_Val!$A$2:$A$3,0)),0,1))</f>
        <v/>
      </c>
      <c r="AA356" s="28" t="str">
        <f ca="1">IF(Data!S356="","",IF(ISNUMBER(Data!U356),IF(AND(Data!U356&gt;(TODAY()-(Data_Val!$L$3*365.25)),Data!U356&lt;=(TODAY()-(Data_Val!$L$2*365.25))),0,1),1))</f>
        <v/>
      </c>
      <c r="AB356" s="11"/>
      <c r="AC356" s="11" t="e">
        <f>IF(Data!#REF!="","",IF(ISNUMBER(MATCH(Data!#REF!,Data_Val!$A$2:$A$3,0)),0,1))</f>
        <v>#REF!</v>
      </c>
      <c r="AD356" s="11" t="e">
        <f ca="1">IF(Data!#REF!="","",IF(ISNUMBER(Data!#REF!),IF(AND(Data!#REF!&gt;(TODAY()-(Data_Val!$L$3*365.25)),Data!#REF!&lt;=(TODAY()-(Data_Val!$L$2*365.25))),0,1),1))</f>
        <v>#REF!</v>
      </c>
      <c r="AE356" s="11" t="e">
        <f>IF(Data!#REF!="","",IF(Data!$G356="",1,IF(ISNUMBER(MATCH(Data!#REF!,Data_Val!$D$2:$D$10,0)),0,1)))</f>
        <v>#REF!</v>
      </c>
      <c r="AF356" s="12"/>
      <c r="AG356" s="12" t="e">
        <f>IF(Data!#REF!="","",IF(ISNUMBER(MATCH(Data!#REF!,Data_Val!$A$2:$A$3,0)),0,1))</f>
        <v>#REF!</v>
      </c>
      <c r="AH356" s="26" t="e">
        <f ca="1">IF(Data!#REF!="","",IF(ISNUMBER(Data!#REF!),IF(AND(Data!#REF!&gt;(TODAY()-(Data_Val!$L$3*365.25)),Data!#REF!&lt;=(TODAY()-(Data_Val!$L$2*365.25))),0,1),1))</f>
        <v>#REF!</v>
      </c>
      <c r="AI356" s="12" t="e">
        <f>IF(Data!#REF!="","",IF(Data!$G356="",1,IF(ISNUMBER(MATCH(Data!#REF!,Data_Val!$D$2:$D$10,0)),0,1)))</f>
        <v>#REF!</v>
      </c>
      <c r="AJ356" s="17"/>
      <c r="AK356" s="17" t="e">
        <f>IF(Data!#REF!="","",IF(ISNUMBER(MATCH(Data!#REF!,Data_Val!$A$2:$A$3,0)),0,1))</f>
        <v>#REF!</v>
      </c>
      <c r="AL356" s="25" t="e">
        <f ca="1">IF(Data!#REF!="","",IF(ISNUMBER(Data!#REF!),IF(AND(Data!#REF!&gt;(TODAY()-(Data_Val!$L$3*365.25)),Data!#REF!&lt;=(TODAY()-(Data_Val!$L$2*365.25))),0,1),1))</f>
        <v>#REF!</v>
      </c>
      <c r="AM356" s="17" t="e">
        <f>IF(Data!#REF!="","",IF(Data!$G356="",1,IF(ISNUMBER(MATCH(Data!#REF!,Data_Val!$D$2:$D$10,0)),0,1)))</f>
        <v>#REF!</v>
      </c>
      <c r="AN356" s="13"/>
      <c r="AO356" s="28" t="e">
        <f ca="1">IF(Data!#REF!="","",IF(ISNUMBER(Data!#REF!),IF(AND(Data!#REF!&gt;(TODAY()-(Data_Val!$I$3*365.25)),Data!#REF!&lt;=(TODAY()-(Data_Val!$I$2*365.25))),0,1),1))</f>
        <v>#REF!</v>
      </c>
      <c r="AP356" s="13" t="e">
        <f>IF(Data!#REF!="","",IF(Data!$G356="",1,IF(ISNUMBER(MATCH(Data!#REF!,Data_Val!$D$2:$D$10,0)),0,1)))</f>
        <v>#REF!</v>
      </c>
      <c r="AQ356" s="17"/>
      <c r="AR356" s="30" t="e">
        <f ca="1">IF(Data!#REF!="","",IF(ISNUMBER(Data!#REF!),IF(AND(Data!#REF!&gt;(TODAY()-(Data_Val!$I$3*365.25)),Data!#REF!&lt;=(TODAY()-(Data_Val!$I$2*365.25))),0,1),1))</f>
        <v>#REF!</v>
      </c>
      <c r="AS356" s="31" t="e">
        <f>IF(Data!#REF!="","",IF(Data!$G356="",1,IF(ISNUMBER(MATCH(Data!#REF!,Data_Val!$D$2:$D$10,0)),0,1)))</f>
        <v>#REF!</v>
      </c>
      <c r="AT356" s="11"/>
      <c r="AU356" s="11" t="e">
        <f ca="1">IF(Data!#REF!="","",IF(ISNUMBER(Data!#REF!),IF(AND(Data!#REF!&gt;(TODAY()-(Data_Val!$I$3*365.25)),Data!#REF!&lt;=(TODAY()-(Data_Val!$I$2*365.25))),0,1),1))</f>
        <v>#REF!</v>
      </c>
      <c r="AV356" s="11" t="e">
        <f>IF(Data!#REF!="","",IF(Data!$G356="",1,IF(ISNUMBER(MATCH(Data!#REF!,Data_Val!$D$2:$D$10,0)),0,1)))</f>
        <v>#REF!</v>
      </c>
      <c r="AW356" s="12"/>
      <c r="AX356" s="26" t="e">
        <f ca="1">IF(Data!#REF!="","",IF(ISNUMBER(Data!#REF!),IF(AND(Data!#REF!&gt;(TODAY()-(Data_Val!$I$3*365.25)),Data!#REF!&lt;=(TODAY()-(Data_Val!$I$2*365.25))),0,1),1))</f>
        <v>#REF!</v>
      </c>
      <c r="AY356" s="12" t="e">
        <f>IF(Data!#REF!="","",IF(Data!$G356="",1,IF(ISNUMBER(MATCH(Data!#REF!,Data_Val!$D$2:$D$10,0)),0,1)))</f>
        <v>#REF!</v>
      </c>
      <c r="AZ356" s="11"/>
      <c r="BA356" s="19" t="e">
        <f ca="1">IF(Data!#REF!="","",IF(ISNUMBER(Data!#REF!),IF(AND(Data!#REF!&gt;(TODAY()-(Data_Val!$M$3*365.25)),Data!#REF!&lt;=(TODAY()-(Data_Val!$M$2*365.25))),0,1),1))</f>
        <v>#REF!</v>
      </c>
      <c r="BB356" s="11" t="e">
        <f>IF(Data!#REF!="","",IF(Data!$G356="",1,IF(ISNUMBER(MATCH(Data!#REF!,Data_Val!$D$2:$D$10,0)),0,1)))</f>
        <v>#REF!</v>
      </c>
      <c r="BC356" s="12"/>
      <c r="BD356" s="20" t="e">
        <f ca="1">IF(Data!#REF!="","",IF(ISNUMBER(Data!#REF!),IF(AND(Data!#REF!&gt;(TODAY()-(Data_Val!$M$3*365.25)),Data!#REF!&lt;=(TODAY()-(Data_Val!$M$2*365.25))),0,1),1))</f>
        <v>#REF!</v>
      </c>
      <c r="BE356" s="12" t="e">
        <f>IF(Data!#REF!="","",IF(Data!$G356="",1,IF(ISNUMBER(MATCH(Data!#REF!,Data_Val!$D$2:$D$10,0)),0,1)))</f>
        <v>#REF!</v>
      </c>
      <c r="BF356" s="17"/>
      <c r="BG356" s="18" t="e">
        <f ca="1">IF(Data!#REF!="","",IF(ISNUMBER(Data!#REF!),IF(AND(Data!#REF!&gt;(TODAY()-(Data_Val!$M$3*365.25)),Data!#REF!&lt;=(TODAY()-(Data_Val!$M$2*365.25))),0,1),1))</f>
        <v>#REF!</v>
      </c>
      <c r="BH356" s="29" t="e">
        <f>IF(Data!#REF!="","",IF(Data!$G356="",1,IF(ISNUMBER(MATCH(Data!#REF!,Data_Val!$D$2:$D$10,0)),0,1)))</f>
        <v>#REF!</v>
      </c>
      <c r="BI356" s="13"/>
      <c r="BJ356" s="21" t="e">
        <f ca="1">IF(Data!#REF!="","",IF(ISNUMBER(Data!#REF!),IF(AND(Data!#REF!&gt;(TODAY()-(Data_Val!$M$3*365.25)),Data!#REF!&lt;=(TODAY()-(Data_Val!$M$2*365.25))),0,1),1))</f>
        <v>#REF!</v>
      </c>
      <c r="BK356" s="13" t="e">
        <f>IF(Data!#REF!="","",IF(Data!$G356="",1,IF(ISNUMBER(MATCH(Data!#REF!,Data_Val!$D$2:$D$10,0)),0,1)))</f>
        <v>#REF!</v>
      </c>
    </row>
    <row r="357" spans="1:63" x14ac:dyDescent="0.25">
      <c r="A357" s="9" t="str">
        <f>IF(Data!B357="","",IF(COUNTIFS(Data!A$1:'Data'!A357,Data!A357)&lt;=1,0,1))</f>
        <v/>
      </c>
      <c r="B357" s="9"/>
      <c r="C357" s="23" t="str">
        <f>IF(Data!C357="","",(IF(ISNUMBER(MATCH("*@*.?*",Data!C357,0)),0,1)+IF(COUNTIFS(Data!C$1:'Data'!C357,Data!C357)&gt;1,1,0)))</f>
        <v/>
      </c>
      <c r="D357" s="9" t="str">
        <f>IF(Data!B357="","",IF(ISNUMBER(Data!D357),IF(AND(Data!D357&gt;999999999,Data!D357&lt;=9999999999),IF(COUNTIFS(Data!D$1:'Data'!D357,Data!D357)&lt;=1,0,1),1),1))</f>
        <v/>
      </c>
      <c r="E357" s="9" t="str">
        <f>IF(Data!B357="","",IF(ISNUMBER(MATCH(Data!E357,Data_Val!$A$2:$A$3,0)),0,1))</f>
        <v/>
      </c>
      <c r="F357" s="9" t="str">
        <f ca="1">IF(Data!B357="","",IF(ISNUMBER(Data!F357),IF(AND(Data!F357&gt;(TODAY()-(Data_Val!$H$3*365.25)),Data!F357&lt;=(TODAY()-(Data_Val!$H$2*365.25))),0,1),1))</f>
        <v/>
      </c>
      <c r="G357" s="15" t="str">
        <f>IF(Data!B357="","",IF(AND(Data!G357="",Data!H357&lt;&gt;""),1,IF(Data!#REF!&lt;&gt;"",0,IF(ISNUMBER(MATCH(Data!G357,Data_Val!$C$2:$C$5,0)),0,1))))</f>
        <v/>
      </c>
      <c r="H357" s="15" t="str">
        <f>IF(Data!B357="","",IF(AND(Data!G357&lt;&gt;"",Data!H357=""),1,IF(Data!#REF!&lt;&gt;"",0,IF(Data!G357="",1,IF(ISNUMBER(MATCH(Data!H357,Data_Val!$D$2:$D$35,0)),0,1)))))</f>
        <v/>
      </c>
      <c r="I357" s="15" t="str">
        <f>IF(Data!B357="","",IF(Data!G357&lt;&gt;"",0,IF(ISNUMBER(MATCH(Data!#REF!,Data_Val!$E$2:$E$12,0)),0,1)))</f>
        <v/>
      </c>
      <c r="J357" s="16" t="e">
        <f>IF(OR(Data!B357="",Data!#REF!=""),"",IF(Data!#REF!="",1,0))</f>
        <v>#REF!</v>
      </c>
      <c r="K357" s="16" t="e">
        <f>IF(OR(Data!B357="",Data!#REF!=""),"",IF(Data!#REF!="",1,0))</f>
        <v>#REF!</v>
      </c>
      <c r="L357" s="16" t="e">
        <f>IF(OR(Data!B357="",Data!#REF!=""),"",IF(ISNUMBER(Data!#REF!),IF(AND(Data!#REF!&gt;Data_Val!$G$2,Data!#REF!&lt;=Data_Val!$G$3),0,1),1))</f>
        <v>#REF!</v>
      </c>
      <c r="M357" s="9" t="e">
        <f>IF(OR(Data!B357="",Data!#REF!=""),"",IF(ISNUMBER(MATCH(Data!#REF!,Data_Val!$F$1:$F$38,0)),0,1))</f>
        <v>#REF!</v>
      </c>
      <c r="N357" s="9" t="e">
        <f>IF(OR(Data!B357="",Data!#REF!=""),"",IF(Data!#REF!="",1,0))</f>
        <v>#REF!</v>
      </c>
      <c r="O357" s="17" t="e">
        <f>IF(Data!#REF!="","",IF(Data!#REF!="",1,0))</f>
        <v>#REF!</v>
      </c>
      <c r="P357" s="17" t="e">
        <f>IF(Data!#REF!="","",IF(ISNUMBER(MATCH(Data!#REF!,Data_Val!$A$2:$A$3,0)),0,1))</f>
        <v>#REF!</v>
      </c>
      <c r="Q357" s="25" t="e">
        <f ca="1">IF(Data!#REF!="","",IF(ISNUMBER(Data!#REF!),IF(AND(Data!#REF!&gt;(TODAY()-(Data_Val!$J$3*365.25)),Data!#REF!&lt;=(TODAY()-(Data_Val!$J$2*365.25))),0,1),1))</f>
        <v>#REF!</v>
      </c>
      <c r="R357" s="17" t="e">
        <f>IF(Data!#REF!="","",IF(ISNUMBER(MATCH(Data!#REF!,Data_Val!$B$2:$B$15,0)),0,1))</f>
        <v>#REF!</v>
      </c>
      <c r="S357" s="11" t="str">
        <f>IF(Data!G357="","",IF(Data!G357=Data_Val!$C$2,IF(Data!M357="",0,1),0))</f>
        <v/>
      </c>
      <c r="T357" s="11" t="str">
        <f>IF(Data!M357="","",IF(ISNUMBER(MATCH(Data!N357,Data_Val!$A$2:$A$3,0)),0,1))</f>
        <v/>
      </c>
      <c r="U357" s="11" t="str">
        <f ca="1">IF(Data!M357="","",IF(ISNUMBER(Data!O357),IF(AND(Data!O357&gt;(TODAY()-(Data_Val!$K$3*365.25)),Data!O357&lt;=(TODAY()-(Data_Val!$K$2*365.25))),0,1),1))</f>
        <v/>
      </c>
      <c r="V357" s="12" t="str">
        <f>IF(Data!G357="","",IF(Data!G357=Data_Val!$C$2,IF(Data!P357="",0,1),0))</f>
        <v/>
      </c>
      <c r="W357" s="12" t="str">
        <f>IF(Data!P357="","",IF(ISNUMBER(MATCH(Data!Q357,Data_Val!$A$2:$A$3,0)),0,1))</f>
        <v/>
      </c>
      <c r="X357" s="26" t="str">
        <f ca="1">IF(Data!P357="","",IF(ISNUMBER(Data!R357),IF(AND(Data!R357&gt;(TODAY()-(Data_Val!$L$3*365.25)),Data!R357&lt;=(TODAY()-(Data_Val!$L$2*365.25))),0,1),1))</f>
        <v/>
      </c>
      <c r="Y357" s="13" t="str">
        <f>IF(Data!$G357="","",IF(Data!$G357=Data_Val!$C$2,IF(Data!S357="",0,1),0))</f>
        <v/>
      </c>
      <c r="Z357" s="13" t="str">
        <f>IF(Data!S357="","",IF(ISNUMBER(MATCH(Data!T357,Data_Val!$A$2:$A$3,0)),0,1))</f>
        <v/>
      </c>
      <c r="AA357" s="28" t="str">
        <f ca="1">IF(Data!S357="","",IF(ISNUMBER(Data!U357),IF(AND(Data!U357&gt;(TODAY()-(Data_Val!$L$3*365.25)),Data!U357&lt;=(TODAY()-(Data_Val!$L$2*365.25))),0,1),1))</f>
        <v/>
      </c>
      <c r="AB357" s="11"/>
      <c r="AC357" s="11" t="e">
        <f>IF(Data!#REF!="","",IF(ISNUMBER(MATCH(Data!#REF!,Data_Val!$A$2:$A$3,0)),0,1))</f>
        <v>#REF!</v>
      </c>
      <c r="AD357" s="11" t="e">
        <f ca="1">IF(Data!#REF!="","",IF(ISNUMBER(Data!#REF!),IF(AND(Data!#REF!&gt;(TODAY()-(Data_Val!$L$3*365.25)),Data!#REF!&lt;=(TODAY()-(Data_Val!$L$2*365.25))),0,1),1))</f>
        <v>#REF!</v>
      </c>
      <c r="AE357" s="11" t="e">
        <f>IF(Data!#REF!="","",IF(Data!$G357="",1,IF(ISNUMBER(MATCH(Data!#REF!,Data_Val!$D$2:$D$10,0)),0,1)))</f>
        <v>#REF!</v>
      </c>
      <c r="AF357" s="12"/>
      <c r="AG357" s="12" t="e">
        <f>IF(Data!#REF!="","",IF(ISNUMBER(MATCH(Data!#REF!,Data_Val!$A$2:$A$3,0)),0,1))</f>
        <v>#REF!</v>
      </c>
      <c r="AH357" s="26" t="e">
        <f ca="1">IF(Data!#REF!="","",IF(ISNUMBER(Data!#REF!),IF(AND(Data!#REF!&gt;(TODAY()-(Data_Val!$L$3*365.25)),Data!#REF!&lt;=(TODAY()-(Data_Val!$L$2*365.25))),0,1),1))</f>
        <v>#REF!</v>
      </c>
      <c r="AI357" s="12" t="e">
        <f>IF(Data!#REF!="","",IF(Data!$G357="",1,IF(ISNUMBER(MATCH(Data!#REF!,Data_Val!$D$2:$D$10,0)),0,1)))</f>
        <v>#REF!</v>
      </c>
      <c r="AJ357" s="17"/>
      <c r="AK357" s="17" t="e">
        <f>IF(Data!#REF!="","",IF(ISNUMBER(MATCH(Data!#REF!,Data_Val!$A$2:$A$3,0)),0,1))</f>
        <v>#REF!</v>
      </c>
      <c r="AL357" s="25" t="e">
        <f ca="1">IF(Data!#REF!="","",IF(ISNUMBER(Data!#REF!),IF(AND(Data!#REF!&gt;(TODAY()-(Data_Val!$L$3*365.25)),Data!#REF!&lt;=(TODAY()-(Data_Val!$L$2*365.25))),0,1),1))</f>
        <v>#REF!</v>
      </c>
      <c r="AM357" s="17" t="e">
        <f>IF(Data!#REF!="","",IF(Data!$G357="",1,IF(ISNUMBER(MATCH(Data!#REF!,Data_Val!$D$2:$D$10,0)),0,1)))</f>
        <v>#REF!</v>
      </c>
      <c r="AN357" s="13"/>
      <c r="AO357" s="28" t="e">
        <f ca="1">IF(Data!#REF!="","",IF(ISNUMBER(Data!#REF!),IF(AND(Data!#REF!&gt;(TODAY()-(Data_Val!$I$3*365.25)),Data!#REF!&lt;=(TODAY()-(Data_Val!$I$2*365.25))),0,1),1))</f>
        <v>#REF!</v>
      </c>
      <c r="AP357" s="13" t="e">
        <f>IF(Data!#REF!="","",IF(Data!$G357="",1,IF(ISNUMBER(MATCH(Data!#REF!,Data_Val!$D$2:$D$10,0)),0,1)))</f>
        <v>#REF!</v>
      </c>
      <c r="AQ357" s="17"/>
      <c r="AR357" s="30" t="e">
        <f ca="1">IF(Data!#REF!="","",IF(ISNUMBER(Data!#REF!),IF(AND(Data!#REF!&gt;(TODAY()-(Data_Val!$I$3*365.25)),Data!#REF!&lt;=(TODAY()-(Data_Val!$I$2*365.25))),0,1),1))</f>
        <v>#REF!</v>
      </c>
      <c r="AS357" s="31" t="e">
        <f>IF(Data!#REF!="","",IF(Data!$G357="",1,IF(ISNUMBER(MATCH(Data!#REF!,Data_Val!$D$2:$D$10,0)),0,1)))</f>
        <v>#REF!</v>
      </c>
      <c r="AT357" s="11"/>
      <c r="AU357" s="11" t="e">
        <f ca="1">IF(Data!#REF!="","",IF(ISNUMBER(Data!#REF!),IF(AND(Data!#REF!&gt;(TODAY()-(Data_Val!$I$3*365.25)),Data!#REF!&lt;=(TODAY()-(Data_Val!$I$2*365.25))),0,1),1))</f>
        <v>#REF!</v>
      </c>
      <c r="AV357" s="11" t="e">
        <f>IF(Data!#REF!="","",IF(Data!$G357="",1,IF(ISNUMBER(MATCH(Data!#REF!,Data_Val!$D$2:$D$10,0)),0,1)))</f>
        <v>#REF!</v>
      </c>
      <c r="AW357" s="12"/>
      <c r="AX357" s="26" t="e">
        <f ca="1">IF(Data!#REF!="","",IF(ISNUMBER(Data!#REF!),IF(AND(Data!#REF!&gt;(TODAY()-(Data_Val!$I$3*365.25)),Data!#REF!&lt;=(TODAY()-(Data_Val!$I$2*365.25))),0,1),1))</f>
        <v>#REF!</v>
      </c>
      <c r="AY357" s="12" t="e">
        <f>IF(Data!#REF!="","",IF(Data!$G357="",1,IF(ISNUMBER(MATCH(Data!#REF!,Data_Val!$D$2:$D$10,0)),0,1)))</f>
        <v>#REF!</v>
      </c>
      <c r="AZ357" s="11"/>
      <c r="BA357" s="19" t="e">
        <f ca="1">IF(Data!#REF!="","",IF(ISNUMBER(Data!#REF!),IF(AND(Data!#REF!&gt;(TODAY()-(Data_Val!$M$3*365.25)),Data!#REF!&lt;=(TODAY()-(Data_Val!$M$2*365.25))),0,1),1))</f>
        <v>#REF!</v>
      </c>
      <c r="BB357" s="11" t="e">
        <f>IF(Data!#REF!="","",IF(Data!$G357="",1,IF(ISNUMBER(MATCH(Data!#REF!,Data_Val!$D$2:$D$10,0)),0,1)))</f>
        <v>#REF!</v>
      </c>
      <c r="BC357" s="12"/>
      <c r="BD357" s="20" t="e">
        <f ca="1">IF(Data!#REF!="","",IF(ISNUMBER(Data!#REF!),IF(AND(Data!#REF!&gt;(TODAY()-(Data_Val!$M$3*365.25)),Data!#REF!&lt;=(TODAY()-(Data_Val!$M$2*365.25))),0,1),1))</f>
        <v>#REF!</v>
      </c>
      <c r="BE357" s="12" t="e">
        <f>IF(Data!#REF!="","",IF(Data!$G357="",1,IF(ISNUMBER(MATCH(Data!#REF!,Data_Val!$D$2:$D$10,0)),0,1)))</f>
        <v>#REF!</v>
      </c>
      <c r="BF357" s="17"/>
      <c r="BG357" s="18" t="e">
        <f ca="1">IF(Data!#REF!="","",IF(ISNUMBER(Data!#REF!),IF(AND(Data!#REF!&gt;(TODAY()-(Data_Val!$M$3*365.25)),Data!#REF!&lt;=(TODAY()-(Data_Val!$M$2*365.25))),0,1),1))</f>
        <v>#REF!</v>
      </c>
      <c r="BH357" s="29" t="e">
        <f>IF(Data!#REF!="","",IF(Data!$G357="",1,IF(ISNUMBER(MATCH(Data!#REF!,Data_Val!$D$2:$D$10,0)),0,1)))</f>
        <v>#REF!</v>
      </c>
      <c r="BI357" s="13"/>
      <c r="BJ357" s="21" t="e">
        <f ca="1">IF(Data!#REF!="","",IF(ISNUMBER(Data!#REF!),IF(AND(Data!#REF!&gt;(TODAY()-(Data_Val!$M$3*365.25)),Data!#REF!&lt;=(TODAY()-(Data_Val!$M$2*365.25))),0,1),1))</f>
        <v>#REF!</v>
      </c>
      <c r="BK357" s="13" t="e">
        <f>IF(Data!#REF!="","",IF(Data!$G357="",1,IF(ISNUMBER(MATCH(Data!#REF!,Data_Val!$D$2:$D$10,0)),0,1)))</f>
        <v>#REF!</v>
      </c>
    </row>
    <row r="358" spans="1:63" x14ac:dyDescent="0.25">
      <c r="A358" s="9" t="str">
        <f>IF(Data!B358="","",IF(COUNTIFS(Data!A$1:'Data'!A358,Data!A358)&lt;=1,0,1))</f>
        <v/>
      </c>
      <c r="B358" s="9"/>
      <c r="C358" s="23" t="str">
        <f>IF(Data!C358="","",(IF(ISNUMBER(MATCH("*@*.?*",Data!C358,0)),0,1)+IF(COUNTIFS(Data!C$1:'Data'!C358,Data!C358)&gt;1,1,0)))</f>
        <v/>
      </c>
      <c r="D358" s="9" t="str">
        <f>IF(Data!B358="","",IF(ISNUMBER(Data!D358),IF(AND(Data!D358&gt;999999999,Data!D358&lt;=9999999999),IF(COUNTIFS(Data!D$1:'Data'!D358,Data!D358)&lt;=1,0,1),1),1))</f>
        <v/>
      </c>
      <c r="E358" s="9" t="str">
        <f>IF(Data!B358="","",IF(ISNUMBER(MATCH(Data!E358,Data_Val!$A$2:$A$3,0)),0,1))</f>
        <v/>
      </c>
      <c r="F358" s="9" t="str">
        <f ca="1">IF(Data!B358="","",IF(ISNUMBER(Data!F358),IF(AND(Data!F358&gt;(TODAY()-(Data_Val!$H$3*365.25)),Data!F358&lt;=(TODAY()-(Data_Val!$H$2*365.25))),0,1),1))</f>
        <v/>
      </c>
      <c r="G358" s="15" t="str">
        <f>IF(Data!B358="","",IF(AND(Data!G358="",Data!H358&lt;&gt;""),1,IF(Data!#REF!&lt;&gt;"",0,IF(ISNUMBER(MATCH(Data!G358,Data_Val!$C$2:$C$5,0)),0,1))))</f>
        <v/>
      </c>
      <c r="H358" s="15" t="str">
        <f>IF(Data!B358="","",IF(AND(Data!G358&lt;&gt;"",Data!H358=""),1,IF(Data!#REF!&lt;&gt;"",0,IF(Data!G358="",1,IF(ISNUMBER(MATCH(Data!H358,Data_Val!$D$2:$D$35,0)),0,1)))))</f>
        <v/>
      </c>
      <c r="I358" s="15" t="str">
        <f>IF(Data!B358="","",IF(Data!G358&lt;&gt;"",0,IF(ISNUMBER(MATCH(Data!#REF!,Data_Val!$E$2:$E$12,0)),0,1)))</f>
        <v/>
      </c>
      <c r="J358" s="16" t="e">
        <f>IF(OR(Data!B358="",Data!#REF!=""),"",IF(Data!#REF!="",1,0))</f>
        <v>#REF!</v>
      </c>
      <c r="K358" s="16" t="e">
        <f>IF(OR(Data!B358="",Data!#REF!=""),"",IF(Data!#REF!="",1,0))</f>
        <v>#REF!</v>
      </c>
      <c r="L358" s="16" t="e">
        <f>IF(OR(Data!B358="",Data!#REF!=""),"",IF(ISNUMBER(Data!#REF!),IF(AND(Data!#REF!&gt;Data_Val!$G$2,Data!#REF!&lt;=Data_Val!$G$3),0,1),1))</f>
        <v>#REF!</v>
      </c>
      <c r="M358" s="9" t="e">
        <f>IF(OR(Data!B358="",Data!#REF!=""),"",IF(ISNUMBER(MATCH(Data!#REF!,Data_Val!$F$1:$F$38,0)),0,1))</f>
        <v>#REF!</v>
      </c>
      <c r="N358" s="9" t="e">
        <f>IF(OR(Data!B358="",Data!#REF!=""),"",IF(Data!#REF!="",1,0))</f>
        <v>#REF!</v>
      </c>
      <c r="O358" s="17" t="e">
        <f>IF(Data!#REF!="","",IF(Data!#REF!="",1,0))</f>
        <v>#REF!</v>
      </c>
      <c r="P358" s="17" t="e">
        <f>IF(Data!#REF!="","",IF(ISNUMBER(MATCH(Data!#REF!,Data_Val!$A$2:$A$3,0)),0,1))</f>
        <v>#REF!</v>
      </c>
      <c r="Q358" s="25" t="e">
        <f ca="1">IF(Data!#REF!="","",IF(ISNUMBER(Data!#REF!),IF(AND(Data!#REF!&gt;(TODAY()-(Data_Val!$J$3*365.25)),Data!#REF!&lt;=(TODAY()-(Data_Val!$J$2*365.25))),0,1),1))</f>
        <v>#REF!</v>
      </c>
      <c r="R358" s="17" t="e">
        <f>IF(Data!#REF!="","",IF(ISNUMBER(MATCH(Data!#REF!,Data_Val!$B$2:$B$15,0)),0,1))</f>
        <v>#REF!</v>
      </c>
      <c r="S358" s="11" t="str">
        <f>IF(Data!G358="","",IF(Data!G358=Data_Val!$C$2,IF(Data!M358="",0,1),0))</f>
        <v/>
      </c>
      <c r="T358" s="11" t="str">
        <f>IF(Data!M358="","",IF(ISNUMBER(MATCH(Data!N358,Data_Val!$A$2:$A$3,0)),0,1))</f>
        <v/>
      </c>
      <c r="U358" s="11" t="str">
        <f ca="1">IF(Data!M358="","",IF(ISNUMBER(Data!O358),IF(AND(Data!O358&gt;(TODAY()-(Data_Val!$K$3*365.25)),Data!O358&lt;=(TODAY()-(Data_Val!$K$2*365.25))),0,1),1))</f>
        <v/>
      </c>
      <c r="V358" s="12" t="str">
        <f>IF(Data!G358="","",IF(Data!G358=Data_Val!$C$2,IF(Data!P358="",0,1),0))</f>
        <v/>
      </c>
      <c r="W358" s="12" t="str">
        <f>IF(Data!P358="","",IF(ISNUMBER(MATCH(Data!Q358,Data_Val!$A$2:$A$3,0)),0,1))</f>
        <v/>
      </c>
      <c r="X358" s="26" t="str">
        <f ca="1">IF(Data!P358="","",IF(ISNUMBER(Data!R358),IF(AND(Data!R358&gt;(TODAY()-(Data_Val!$L$3*365.25)),Data!R358&lt;=(TODAY()-(Data_Val!$L$2*365.25))),0,1),1))</f>
        <v/>
      </c>
      <c r="Y358" s="13" t="str">
        <f>IF(Data!$G358="","",IF(Data!$G358=Data_Val!$C$2,IF(Data!S358="",0,1),0))</f>
        <v/>
      </c>
      <c r="Z358" s="13" t="str">
        <f>IF(Data!S358="","",IF(ISNUMBER(MATCH(Data!T358,Data_Val!$A$2:$A$3,0)),0,1))</f>
        <v/>
      </c>
      <c r="AA358" s="28" t="str">
        <f ca="1">IF(Data!S358="","",IF(ISNUMBER(Data!U358),IF(AND(Data!U358&gt;(TODAY()-(Data_Val!$L$3*365.25)),Data!U358&lt;=(TODAY()-(Data_Val!$L$2*365.25))),0,1),1))</f>
        <v/>
      </c>
      <c r="AB358" s="11"/>
      <c r="AC358" s="11" t="e">
        <f>IF(Data!#REF!="","",IF(ISNUMBER(MATCH(Data!#REF!,Data_Val!$A$2:$A$3,0)),0,1))</f>
        <v>#REF!</v>
      </c>
      <c r="AD358" s="11" t="e">
        <f ca="1">IF(Data!#REF!="","",IF(ISNUMBER(Data!#REF!),IF(AND(Data!#REF!&gt;(TODAY()-(Data_Val!$L$3*365.25)),Data!#REF!&lt;=(TODAY()-(Data_Val!$L$2*365.25))),0,1),1))</f>
        <v>#REF!</v>
      </c>
      <c r="AE358" s="11" t="e">
        <f>IF(Data!#REF!="","",IF(Data!$G358="",1,IF(ISNUMBER(MATCH(Data!#REF!,Data_Val!$D$2:$D$10,0)),0,1)))</f>
        <v>#REF!</v>
      </c>
      <c r="AF358" s="12"/>
      <c r="AG358" s="12" t="e">
        <f>IF(Data!#REF!="","",IF(ISNUMBER(MATCH(Data!#REF!,Data_Val!$A$2:$A$3,0)),0,1))</f>
        <v>#REF!</v>
      </c>
      <c r="AH358" s="26" t="e">
        <f ca="1">IF(Data!#REF!="","",IF(ISNUMBER(Data!#REF!),IF(AND(Data!#REF!&gt;(TODAY()-(Data_Val!$L$3*365.25)),Data!#REF!&lt;=(TODAY()-(Data_Val!$L$2*365.25))),0,1),1))</f>
        <v>#REF!</v>
      </c>
      <c r="AI358" s="12" t="e">
        <f>IF(Data!#REF!="","",IF(Data!$G358="",1,IF(ISNUMBER(MATCH(Data!#REF!,Data_Val!$D$2:$D$10,0)),0,1)))</f>
        <v>#REF!</v>
      </c>
      <c r="AJ358" s="17"/>
      <c r="AK358" s="17" t="e">
        <f>IF(Data!#REF!="","",IF(ISNUMBER(MATCH(Data!#REF!,Data_Val!$A$2:$A$3,0)),0,1))</f>
        <v>#REF!</v>
      </c>
      <c r="AL358" s="25" t="e">
        <f ca="1">IF(Data!#REF!="","",IF(ISNUMBER(Data!#REF!),IF(AND(Data!#REF!&gt;(TODAY()-(Data_Val!$L$3*365.25)),Data!#REF!&lt;=(TODAY()-(Data_Val!$L$2*365.25))),0,1),1))</f>
        <v>#REF!</v>
      </c>
      <c r="AM358" s="17" t="e">
        <f>IF(Data!#REF!="","",IF(Data!$G358="",1,IF(ISNUMBER(MATCH(Data!#REF!,Data_Val!$D$2:$D$10,0)),0,1)))</f>
        <v>#REF!</v>
      </c>
      <c r="AN358" s="13"/>
      <c r="AO358" s="28" t="e">
        <f ca="1">IF(Data!#REF!="","",IF(ISNUMBER(Data!#REF!),IF(AND(Data!#REF!&gt;(TODAY()-(Data_Val!$I$3*365.25)),Data!#REF!&lt;=(TODAY()-(Data_Val!$I$2*365.25))),0,1),1))</f>
        <v>#REF!</v>
      </c>
      <c r="AP358" s="13" t="e">
        <f>IF(Data!#REF!="","",IF(Data!$G358="",1,IF(ISNUMBER(MATCH(Data!#REF!,Data_Val!$D$2:$D$10,0)),0,1)))</f>
        <v>#REF!</v>
      </c>
      <c r="AQ358" s="17"/>
      <c r="AR358" s="30" t="e">
        <f ca="1">IF(Data!#REF!="","",IF(ISNUMBER(Data!#REF!),IF(AND(Data!#REF!&gt;(TODAY()-(Data_Val!$I$3*365.25)),Data!#REF!&lt;=(TODAY()-(Data_Val!$I$2*365.25))),0,1),1))</f>
        <v>#REF!</v>
      </c>
      <c r="AS358" s="31" t="e">
        <f>IF(Data!#REF!="","",IF(Data!$G358="",1,IF(ISNUMBER(MATCH(Data!#REF!,Data_Val!$D$2:$D$10,0)),0,1)))</f>
        <v>#REF!</v>
      </c>
      <c r="AT358" s="11"/>
      <c r="AU358" s="11" t="e">
        <f ca="1">IF(Data!#REF!="","",IF(ISNUMBER(Data!#REF!),IF(AND(Data!#REF!&gt;(TODAY()-(Data_Val!$I$3*365.25)),Data!#REF!&lt;=(TODAY()-(Data_Val!$I$2*365.25))),0,1),1))</f>
        <v>#REF!</v>
      </c>
      <c r="AV358" s="11" t="e">
        <f>IF(Data!#REF!="","",IF(Data!$G358="",1,IF(ISNUMBER(MATCH(Data!#REF!,Data_Val!$D$2:$D$10,0)),0,1)))</f>
        <v>#REF!</v>
      </c>
      <c r="AW358" s="12"/>
      <c r="AX358" s="26" t="e">
        <f ca="1">IF(Data!#REF!="","",IF(ISNUMBER(Data!#REF!),IF(AND(Data!#REF!&gt;(TODAY()-(Data_Val!$I$3*365.25)),Data!#REF!&lt;=(TODAY()-(Data_Val!$I$2*365.25))),0,1),1))</f>
        <v>#REF!</v>
      </c>
      <c r="AY358" s="12" t="e">
        <f>IF(Data!#REF!="","",IF(Data!$G358="",1,IF(ISNUMBER(MATCH(Data!#REF!,Data_Val!$D$2:$D$10,0)),0,1)))</f>
        <v>#REF!</v>
      </c>
      <c r="AZ358" s="11"/>
      <c r="BA358" s="19" t="e">
        <f ca="1">IF(Data!#REF!="","",IF(ISNUMBER(Data!#REF!),IF(AND(Data!#REF!&gt;(TODAY()-(Data_Val!$M$3*365.25)),Data!#REF!&lt;=(TODAY()-(Data_Val!$M$2*365.25))),0,1),1))</f>
        <v>#REF!</v>
      </c>
      <c r="BB358" s="11" t="e">
        <f>IF(Data!#REF!="","",IF(Data!$G358="",1,IF(ISNUMBER(MATCH(Data!#REF!,Data_Val!$D$2:$D$10,0)),0,1)))</f>
        <v>#REF!</v>
      </c>
      <c r="BC358" s="12"/>
      <c r="BD358" s="20" t="e">
        <f ca="1">IF(Data!#REF!="","",IF(ISNUMBER(Data!#REF!),IF(AND(Data!#REF!&gt;(TODAY()-(Data_Val!$M$3*365.25)),Data!#REF!&lt;=(TODAY()-(Data_Val!$M$2*365.25))),0,1),1))</f>
        <v>#REF!</v>
      </c>
      <c r="BE358" s="12" t="e">
        <f>IF(Data!#REF!="","",IF(Data!$G358="",1,IF(ISNUMBER(MATCH(Data!#REF!,Data_Val!$D$2:$D$10,0)),0,1)))</f>
        <v>#REF!</v>
      </c>
      <c r="BF358" s="17"/>
      <c r="BG358" s="18" t="e">
        <f ca="1">IF(Data!#REF!="","",IF(ISNUMBER(Data!#REF!),IF(AND(Data!#REF!&gt;(TODAY()-(Data_Val!$M$3*365.25)),Data!#REF!&lt;=(TODAY()-(Data_Val!$M$2*365.25))),0,1),1))</f>
        <v>#REF!</v>
      </c>
      <c r="BH358" s="29" t="e">
        <f>IF(Data!#REF!="","",IF(Data!$G358="",1,IF(ISNUMBER(MATCH(Data!#REF!,Data_Val!$D$2:$D$10,0)),0,1)))</f>
        <v>#REF!</v>
      </c>
      <c r="BI358" s="13"/>
      <c r="BJ358" s="21" t="e">
        <f ca="1">IF(Data!#REF!="","",IF(ISNUMBER(Data!#REF!),IF(AND(Data!#REF!&gt;(TODAY()-(Data_Val!$M$3*365.25)),Data!#REF!&lt;=(TODAY()-(Data_Val!$M$2*365.25))),0,1),1))</f>
        <v>#REF!</v>
      </c>
      <c r="BK358" s="13" t="e">
        <f>IF(Data!#REF!="","",IF(Data!$G358="",1,IF(ISNUMBER(MATCH(Data!#REF!,Data_Val!$D$2:$D$10,0)),0,1)))</f>
        <v>#REF!</v>
      </c>
    </row>
    <row r="359" spans="1:63" x14ac:dyDescent="0.25">
      <c r="A359" s="9" t="str">
        <f>IF(Data!B359="","",IF(COUNTIFS(Data!A$1:'Data'!A359,Data!A359)&lt;=1,0,1))</f>
        <v/>
      </c>
      <c r="B359" s="9"/>
      <c r="C359" s="23" t="str">
        <f>IF(Data!C359="","",(IF(ISNUMBER(MATCH("*@*.?*",Data!C359,0)),0,1)+IF(COUNTIFS(Data!C$1:'Data'!C359,Data!C359)&gt;1,1,0)))</f>
        <v/>
      </c>
      <c r="D359" s="9" t="str">
        <f>IF(Data!B359="","",IF(ISNUMBER(Data!D359),IF(AND(Data!D359&gt;999999999,Data!D359&lt;=9999999999),IF(COUNTIFS(Data!D$1:'Data'!D359,Data!D359)&lt;=1,0,1),1),1))</f>
        <v/>
      </c>
      <c r="E359" s="9" t="str">
        <f>IF(Data!B359="","",IF(ISNUMBER(MATCH(Data!E359,Data_Val!$A$2:$A$3,0)),0,1))</f>
        <v/>
      </c>
      <c r="F359" s="9" t="str">
        <f ca="1">IF(Data!B359="","",IF(ISNUMBER(Data!F359),IF(AND(Data!F359&gt;(TODAY()-(Data_Val!$H$3*365.25)),Data!F359&lt;=(TODAY()-(Data_Val!$H$2*365.25))),0,1),1))</f>
        <v/>
      </c>
      <c r="G359" s="15" t="str">
        <f>IF(Data!B359="","",IF(AND(Data!G359="",Data!H359&lt;&gt;""),1,IF(Data!#REF!&lt;&gt;"",0,IF(ISNUMBER(MATCH(Data!G359,Data_Val!$C$2:$C$5,0)),0,1))))</f>
        <v/>
      </c>
      <c r="H359" s="15" t="str">
        <f>IF(Data!B359="","",IF(AND(Data!G359&lt;&gt;"",Data!H359=""),1,IF(Data!#REF!&lt;&gt;"",0,IF(Data!G359="",1,IF(ISNUMBER(MATCH(Data!H359,Data_Val!$D$2:$D$35,0)),0,1)))))</f>
        <v/>
      </c>
      <c r="I359" s="15" t="str">
        <f>IF(Data!B359="","",IF(Data!G359&lt;&gt;"",0,IF(ISNUMBER(MATCH(Data!#REF!,Data_Val!$E$2:$E$12,0)),0,1)))</f>
        <v/>
      </c>
      <c r="J359" s="16" t="e">
        <f>IF(OR(Data!B359="",Data!#REF!=""),"",IF(Data!#REF!="",1,0))</f>
        <v>#REF!</v>
      </c>
      <c r="K359" s="16" t="e">
        <f>IF(OR(Data!B359="",Data!#REF!=""),"",IF(Data!#REF!="",1,0))</f>
        <v>#REF!</v>
      </c>
      <c r="L359" s="16" t="e">
        <f>IF(OR(Data!B359="",Data!#REF!=""),"",IF(ISNUMBER(Data!#REF!),IF(AND(Data!#REF!&gt;Data_Val!$G$2,Data!#REF!&lt;=Data_Val!$G$3),0,1),1))</f>
        <v>#REF!</v>
      </c>
      <c r="M359" s="9" t="e">
        <f>IF(OR(Data!B359="",Data!#REF!=""),"",IF(ISNUMBER(MATCH(Data!#REF!,Data_Val!$F$1:$F$38,0)),0,1))</f>
        <v>#REF!</v>
      </c>
      <c r="N359" s="9" t="e">
        <f>IF(OR(Data!B359="",Data!#REF!=""),"",IF(Data!#REF!="",1,0))</f>
        <v>#REF!</v>
      </c>
      <c r="O359" s="17" t="e">
        <f>IF(Data!#REF!="","",IF(Data!#REF!="",1,0))</f>
        <v>#REF!</v>
      </c>
      <c r="P359" s="17" t="e">
        <f>IF(Data!#REF!="","",IF(ISNUMBER(MATCH(Data!#REF!,Data_Val!$A$2:$A$3,0)),0,1))</f>
        <v>#REF!</v>
      </c>
      <c r="Q359" s="25" t="e">
        <f ca="1">IF(Data!#REF!="","",IF(ISNUMBER(Data!#REF!),IF(AND(Data!#REF!&gt;(TODAY()-(Data_Val!$J$3*365.25)),Data!#REF!&lt;=(TODAY()-(Data_Val!$J$2*365.25))),0,1),1))</f>
        <v>#REF!</v>
      </c>
      <c r="R359" s="17" t="e">
        <f>IF(Data!#REF!="","",IF(ISNUMBER(MATCH(Data!#REF!,Data_Val!$B$2:$B$15,0)),0,1))</f>
        <v>#REF!</v>
      </c>
      <c r="S359" s="11" t="str">
        <f>IF(Data!G359="","",IF(Data!G359=Data_Val!$C$2,IF(Data!M359="",0,1),0))</f>
        <v/>
      </c>
      <c r="T359" s="11" t="str">
        <f>IF(Data!M359="","",IF(ISNUMBER(MATCH(Data!N359,Data_Val!$A$2:$A$3,0)),0,1))</f>
        <v/>
      </c>
      <c r="U359" s="11" t="str">
        <f ca="1">IF(Data!M359="","",IF(ISNUMBER(Data!O359),IF(AND(Data!O359&gt;(TODAY()-(Data_Val!$K$3*365.25)),Data!O359&lt;=(TODAY()-(Data_Val!$K$2*365.25))),0,1),1))</f>
        <v/>
      </c>
      <c r="V359" s="12" t="str">
        <f>IF(Data!G359="","",IF(Data!G359=Data_Val!$C$2,IF(Data!P359="",0,1),0))</f>
        <v/>
      </c>
      <c r="W359" s="12" t="str">
        <f>IF(Data!P359="","",IF(ISNUMBER(MATCH(Data!Q359,Data_Val!$A$2:$A$3,0)),0,1))</f>
        <v/>
      </c>
      <c r="X359" s="26" t="str">
        <f ca="1">IF(Data!P359="","",IF(ISNUMBER(Data!R359),IF(AND(Data!R359&gt;(TODAY()-(Data_Val!$L$3*365.25)),Data!R359&lt;=(TODAY()-(Data_Val!$L$2*365.25))),0,1),1))</f>
        <v/>
      </c>
      <c r="Y359" s="13" t="str">
        <f>IF(Data!$G359="","",IF(Data!$G359=Data_Val!$C$2,IF(Data!S359="",0,1),0))</f>
        <v/>
      </c>
      <c r="Z359" s="13" t="str">
        <f>IF(Data!S359="","",IF(ISNUMBER(MATCH(Data!T359,Data_Val!$A$2:$A$3,0)),0,1))</f>
        <v/>
      </c>
      <c r="AA359" s="28" t="str">
        <f ca="1">IF(Data!S359="","",IF(ISNUMBER(Data!U359),IF(AND(Data!U359&gt;(TODAY()-(Data_Val!$L$3*365.25)),Data!U359&lt;=(TODAY()-(Data_Val!$L$2*365.25))),0,1),1))</f>
        <v/>
      </c>
      <c r="AB359" s="11"/>
      <c r="AC359" s="11" t="e">
        <f>IF(Data!#REF!="","",IF(ISNUMBER(MATCH(Data!#REF!,Data_Val!$A$2:$A$3,0)),0,1))</f>
        <v>#REF!</v>
      </c>
      <c r="AD359" s="11" t="e">
        <f ca="1">IF(Data!#REF!="","",IF(ISNUMBER(Data!#REF!),IF(AND(Data!#REF!&gt;(TODAY()-(Data_Val!$L$3*365.25)),Data!#REF!&lt;=(TODAY()-(Data_Val!$L$2*365.25))),0,1),1))</f>
        <v>#REF!</v>
      </c>
      <c r="AE359" s="11" t="e">
        <f>IF(Data!#REF!="","",IF(Data!$G359="",1,IF(ISNUMBER(MATCH(Data!#REF!,Data_Val!$D$2:$D$10,0)),0,1)))</f>
        <v>#REF!</v>
      </c>
      <c r="AF359" s="12"/>
      <c r="AG359" s="12" t="e">
        <f>IF(Data!#REF!="","",IF(ISNUMBER(MATCH(Data!#REF!,Data_Val!$A$2:$A$3,0)),0,1))</f>
        <v>#REF!</v>
      </c>
      <c r="AH359" s="26" t="e">
        <f ca="1">IF(Data!#REF!="","",IF(ISNUMBER(Data!#REF!),IF(AND(Data!#REF!&gt;(TODAY()-(Data_Val!$L$3*365.25)),Data!#REF!&lt;=(TODAY()-(Data_Val!$L$2*365.25))),0,1),1))</f>
        <v>#REF!</v>
      </c>
      <c r="AI359" s="12" t="e">
        <f>IF(Data!#REF!="","",IF(Data!$G359="",1,IF(ISNUMBER(MATCH(Data!#REF!,Data_Val!$D$2:$D$10,0)),0,1)))</f>
        <v>#REF!</v>
      </c>
      <c r="AJ359" s="17"/>
      <c r="AK359" s="17" t="e">
        <f>IF(Data!#REF!="","",IF(ISNUMBER(MATCH(Data!#REF!,Data_Val!$A$2:$A$3,0)),0,1))</f>
        <v>#REF!</v>
      </c>
      <c r="AL359" s="25" t="e">
        <f ca="1">IF(Data!#REF!="","",IF(ISNUMBER(Data!#REF!),IF(AND(Data!#REF!&gt;(TODAY()-(Data_Val!$L$3*365.25)),Data!#REF!&lt;=(TODAY()-(Data_Val!$L$2*365.25))),0,1),1))</f>
        <v>#REF!</v>
      </c>
      <c r="AM359" s="17" t="e">
        <f>IF(Data!#REF!="","",IF(Data!$G359="",1,IF(ISNUMBER(MATCH(Data!#REF!,Data_Val!$D$2:$D$10,0)),0,1)))</f>
        <v>#REF!</v>
      </c>
      <c r="AN359" s="13"/>
      <c r="AO359" s="28" t="e">
        <f ca="1">IF(Data!#REF!="","",IF(ISNUMBER(Data!#REF!),IF(AND(Data!#REF!&gt;(TODAY()-(Data_Val!$I$3*365.25)),Data!#REF!&lt;=(TODAY()-(Data_Val!$I$2*365.25))),0,1),1))</f>
        <v>#REF!</v>
      </c>
      <c r="AP359" s="13" t="e">
        <f>IF(Data!#REF!="","",IF(Data!$G359="",1,IF(ISNUMBER(MATCH(Data!#REF!,Data_Val!$D$2:$D$10,0)),0,1)))</f>
        <v>#REF!</v>
      </c>
      <c r="AQ359" s="17"/>
      <c r="AR359" s="30" t="e">
        <f ca="1">IF(Data!#REF!="","",IF(ISNUMBER(Data!#REF!),IF(AND(Data!#REF!&gt;(TODAY()-(Data_Val!$I$3*365.25)),Data!#REF!&lt;=(TODAY()-(Data_Val!$I$2*365.25))),0,1),1))</f>
        <v>#REF!</v>
      </c>
      <c r="AS359" s="31" t="e">
        <f>IF(Data!#REF!="","",IF(Data!$G359="",1,IF(ISNUMBER(MATCH(Data!#REF!,Data_Val!$D$2:$D$10,0)),0,1)))</f>
        <v>#REF!</v>
      </c>
      <c r="AT359" s="11"/>
      <c r="AU359" s="11" t="e">
        <f ca="1">IF(Data!#REF!="","",IF(ISNUMBER(Data!#REF!),IF(AND(Data!#REF!&gt;(TODAY()-(Data_Val!$I$3*365.25)),Data!#REF!&lt;=(TODAY()-(Data_Val!$I$2*365.25))),0,1),1))</f>
        <v>#REF!</v>
      </c>
      <c r="AV359" s="11" t="e">
        <f>IF(Data!#REF!="","",IF(Data!$G359="",1,IF(ISNUMBER(MATCH(Data!#REF!,Data_Val!$D$2:$D$10,0)),0,1)))</f>
        <v>#REF!</v>
      </c>
      <c r="AW359" s="12"/>
      <c r="AX359" s="26" t="e">
        <f ca="1">IF(Data!#REF!="","",IF(ISNUMBER(Data!#REF!),IF(AND(Data!#REF!&gt;(TODAY()-(Data_Val!$I$3*365.25)),Data!#REF!&lt;=(TODAY()-(Data_Val!$I$2*365.25))),0,1),1))</f>
        <v>#REF!</v>
      </c>
      <c r="AY359" s="12" t="e">
        <f>IF(Data!#REF!="","",IF(Data!$G359="",1,IF(ISNUMBER(MATCH(Data!#REF!,Data_Val!$D$2:$D$10,0)),0,1)))</f>
        <v>#REF!</v>
      </c>
      <c r="AZ359" s="11"/>
      <c r="BA359" s="19" t="e">
        <f ca="1">IF(Data!#REF!="","",IF(ISNUMBER(Data!#REF!),IF(AND(Data!#REF!&gt;(TODAY()-(Data_Val!$M$3*365.25)),Data!#REF!&lt;=(TODAY()-(Data_Val!$M$2*365.25))),0,1),1))</f>
        <v>#REF!</v>
      </c>
      <c r="BB359" s="11" t="e">
        <f>IF(Data!#REF!="","",IF(Data!$G359="",1,IF(ISNUMBER(MATCH(Data!#REF!,Data_Val!$D$2:$D$10,0)),0,1)))</f>
        <v>#REF!</v>
      </c>
      <c r="BC359" s="12"/>
      <c r="BD359" s="20" t="e">
        <f ca="1">IF(Data!#REF!="","",IF(ISNUMBER(Data!#REF!),IF(AND(Data!#REF!&gt;(TODAY()-(Data_Val!$M$3*365.25)),Data!#REF!&lt;=(TODAY()-(Data_Val!$M$2*365.25))),0,1),1))</f>
        <v>#REF!</v>
      </c>
      <c r="BE359" s="12" t="e">
        <f>IF(Data!#REF!="","",IF(Data!$G359="",1,IF(ISNUMBER(MATCH(Data!#REF!,Data_Val!$D$2:$D$10,0)),0,1)))</f>
        <v>#REF!</v>
      </c>
      <c r="BF359" s="17"/>
      <c r="BG359" s="18" t="e">
        <f ca="1">IF(Data!#REF!="","",IF(ISNUMBER(Data!#REF!),IF(AND(Data!#REF!&gt;(TODAY()-(Data_Val!$M$3*365.25)),Data!#REF!&lt;=(TODAY()-(Data_Val!$M$2*365.25))),0,1),1))</f>
        <v>#REF!</v>
      </c>
      <c r="BH359" s="29" t="e">
        <f>IF(Data!#REF!="","",IF(Data!$G359="",1,IF(ISNUMBER(MATCH(Data!#REF!,Data_Val!$D$2:$D$10,0)),0,1)))</f>
        <v>#REF!</v>
      </c>
      <c r="BI359" s="13"/>
      <c r="BJ359" s="21" t="e">
        <f ca="1">IF(Data!#REF!="","",IF(ISNUMBER(Data!#REF!),IF(AND(Data!#REF!&gt;(TODAY()-(Data_Val!$M$3*365.25)),Data!#REF!&lt;=(TODAY()-(Data_Val!$M$2*365.25))),0,1),1))</f>
        <v>#REF!</v>
      </c>
      <c r="BK359" s="13" t="e">
        <f>IF(Data!#REF!="","",IF(Data!$G359="",1,IF(ISNUMBER(MATCH(Data!#REF!,Data_Val!$D$2:$D$10,0)),0,1)))</f>
        <v>#REF!</v>
      </c>
    </row>
    <row r="360" spans="1:63" x14ac:dyDescent="0.25">
      <c r="A360" s="9" t="str">
        <f>IF(Data!B360="","",IF(COUNTIFS(Data!A$1:'Data'!A360,Data!A360)&lt;=1,0,1))</f>
        <v/>
      </c>
      <c r="B360" s="9"/>
      <c r="C360" s="23" t="str">
        <f>IF(Data!C360="","",(IF(ISNUMBER(MATCH("*@*.?*",Data!C360,0)),0,1)+IF(COUNTIFS(Data!C$1:'Data'!C360,Data!C360)&gt;1,1,0)))</f>
        <v/>
      </c>
      <c r="D360" s="9" t="str">
        <f>IF(Data!B360="","",IF(ISNUMBER(Data!D360),IF(AND(Data!D360&gt;999999999,Data!D360&lt;=9999999999),IF(COUNTIFS(Data!D$1:'Data'!D360,Data!D360)&lt;=1,0,1),1),1))</f>
        <v/>
      </c>
      <c r="E360" s="9" t="str">
        <f>IF(Data!B360="","",IF(ISNUMBER(MATCH(Data!E360,Data_Val!$A$2:$A$3,0)),0,1))</f>
        <v/>
      </c>
      <c r="F360" s="9" t="str">
        <f ca="1">IF(Data!B360="","",IF(ISNUMBER(Data!F360),IF(AND(Data!F360&gt;(TODAY()-(Data_Val!$H$3*365.25)),Data!F360&lt;=(TODAY()-(Data_Val!$H$2*365.25))),0,1),1))</f>
        <v/>
      </c>
      <c r="G360" s="15" t="str">
        <f>IF(Data!B360="","",IF(AND(Data!G360="",Data!H360&lt;&gt;""),1,IF(Data!#REF!&lt;&gt;"",0,IF(ISNUMBER(MATCH(Data!G360,Data_Val!$C$2:$C$5,0)),0,1))))</f>
        <v/>
      </c>
      <c r="H360" s="15" t="str">
        <f>IF(Data!B360="","",IF(AND(Data!G360&lt;&gt;"",Data!H360=""),1,IF(Data!#REF!&lt;&gt;"",0,IF(Data!G360="",1,IF(ISNUMBER(MATCH(Data!H360,Data_Val!$D$2:$D$35,0)),0,1)))))</f>
        <v/>
      </c>
      <c r="I360" s="15" t="str">
        <f>IF(Data!B360="","",IF(Data!G360&lt;&gt;"",0,IF(ISNUMBER(MATCH(Data!#REF!,Data_Val!$E$2:$E$12,0)),0,1)))</f>
        <v/>
      </c>
      <c r="J360" s="16" t="e">
        <f>IF(OR(Data!B360="",Data!#REF!=""),"",IF(Data!#REF!="",1,0))</f>
        <v>#REF!</v>
      </c>
      <c r="K360" s="16" t="e">
        <f>IF(OR(Data!B360="",Data!#REF!=""),"",IF(Data!#REF!="",1,0))</f>
        <v>#REF!</v>
      </c>
      <c r="L360" s="16" t="e">
        <f>IF(OR(Data!B360="",Data!#REF!=""),"",IF(ISNUMBER(Data!#REF!),IF(AND(Data!#REF!&gt;Data_Val!$G$2,Data!#REF!&lt;=Data_Val!$G$3),0,1),1))</f>
        <v>#REF!</v>
      </c>
      <c r="M360" s="9" t="e">
        <f>IF(OR(Data!B360="",Data!#REF!=""),"",IF(ISNUMBER(MATCH(Data!#REF!,Data_Val!$F$1:$F$38,0)),0,1))</f>
        <v>#REF!</v>
      </c>
      <c r="N360" s="9" t="e">
        <f>IF(OR(Data!B360="",Data!#REF!=""),"",IF(Data!#REF!="",1,0))</f>
        <v>#REF!</v>
      </c>
      <c r="O360" s="17" t="e">
        <f>IF(Data!#REF!="","",IF(Data!#REF!="",1,0))</f>
        <v>#REF!</v>
      </c>
      <c r="P360" s="17" t="e">
        <f>IF(Data!#REF!="","",IF(ISNUMBER(MATCH(Data!#REF!,Data_Val!$A$2:$A$3,0)),0,1))</f>
        <v>#REF!</v>
      </c>
      <c r="Q360" s="25" t="e">
        <f ca="1">IF(Data!#REF!="","",IF(ISNUMBER(Data!#REF!),IF(AND(Data!#REF!&gt;(TODAY()-(Data_Val!$J$3*365.25)),Data!#REF!&lt;=(TODAY()-(Data_Val!$J$2*365.25))),0,1),1))</f>
        <v>#REF!</v>
      </c>
      <c r="R360" s="17" t="e">
        <f>IF(Data!#REF!="","",IF(ISNUMBER(MATCH(Data!#REF!,Data_Val!$B$2:$B$15,0)),0,1))</f>
        <v>#REF!</v>
      </c>
      <c r="S360" s="11" t="str">
        <f>IF(Data!G360="","",IF(Data!G360=Data_Val!$C$2,IF(Data!M360="",0,1),0))</f>
        <v/>
      </c>
      <c r="T360" s="11" t="str">
        <f>IF(Data!M360="","",IF(ISNUMBER(MATCH(Data!N360,Data_Val!$A$2:$A$3,0)),0,1))</f>
        <v/>
      </c>
      <c r="U360" s="11" t="str">
        <f ca="1">IF(Data!M360="","",IF(ISNUMBER(Data!O360),IF(AND(Data!O360&gt;(TODAY()-(Data_Val!$K$3*365.25)),Data!O360&lt;=(TODAY()-(Data_Val!$K$2*365.25))),0,1),1))</f>
        <v/>
      </c>
      <c r="V360" s="12" t="str">
        <f>IF(Data!G360="","",IF(Data!G360=Data_Val!$C$2,IF(Data!P360="",0,1),0))</f>
        <v/>
      </c>
      <c r="W360" s="12" t="str">
        <f>IF(Data!P360="","",IF(ISNUMBER(MATCH(Data!Q360,Data_Val!$A$2:$A$3,0)),0,1))</f>
        <v/>
      </c>
      <c r="X360" s="26" t="str">
        <f ca="1">IF(Data!P360="","",IF(ISNUMBER(Data!R360),IF(AND(Data!R360&gt;(TODAY()-(Data_Val!$L$3*365.25)),Data!R360&lt;=(TODAY()-(Data_Val!$L$2*365.25))),0,1),1))</f>
        <v/>
      </c>
      <c r="Y360" s="13" t="str">
        <f>IF(Data!$G360="","",IF(Data!$G360=Data_Val!$C$2,IF(Data!S360="",0,1),0))</f>
        <v/>
      </c>
      <c r="Z360" s="13" t="str">
        <f>IF(Data!S360="","",IF(ISNUMBER(MATCH(Data!T360,Data_Val!$A$2:$A$3,0)),0,1))</f>
        <v/>
      </c>
      <c r="AA360" s="28" t="str">
        <f ca="1">IF(Data!S360="","",IF(ISNUMBER(Data!U360),IF(AND(Data!U360&gt;(TODAY()-(Data_Val!$L$3*365.25)),Data!U360&lt;=(TODAY()-(Data_Val!$L$2*365.25))),0,1),1))</f>
        <v/>
      </c>
      <c r="AB360" s="11"/>
      <c r="AC360" s="11" t="e">
        <f>IF(Data!#REF!="","",IF(ISNUMBER(MATCH(Data!#REF!,Data_Val!$A$2:$A$3,0)),0,1))</f>
        <v>#REF!</v>
      </c>
      <c r="AD360" s="11" t="e">
        <f ca="1">IF(Data!#REF!="","",IF(ISNUMBER(Data!#REF!),IF(AND(Data!#REF!&gt;(TODAY()-(Data_Val!$L$3*365.25)),Data!#REF!&lt;=(TODAY()-(Data_Val!$L$2*365.25))),0,1),1))</f>
        <v>#REF!</v>
      </c>
      <c r="AE360" s="11" t="e">
        <f>IF(Data!#REF!="","",IF(Data!$G360="",1,IF(ISNUMBER(MATCH(Data!#REF!,Data_Val!$D$2:$D$10,0)),0,1)))</f>
        <v>#REF!</v>
      </c>
      <c r="AF360" s="12"/>
      <c r="AG360" s="12" t="e">
        <f>IF(Data!#REF!="","",IF(ISNUMBER(MATCH(Data!#REF!,Data_Val!$A$2:$A$3,0)),0,1))</f>
        <v>#REF!</v>
      </c>
      <c r="AH360" s="26" t="e">
        <f ca="1">IF(Data!#REF!="","",IF(ISNUMBER(Data!#REF!),IF(AND(Data!#REF!&gt;(TODAY()-(Data_Val!$L$3*365.25)),Data!#REF!&lt;=(TODAY()-(Data_Val!$L$2*365.25))),0,1),1))</f>
        <v>#REF!</v>
      </c>
      <c r="AI360" s="12" t="e">
        <f>IF(Data!#REF!="","",IF(Data!$G360="",1,IF(ISNUMBER(MATCH(Data!#REF!,Data_Val!$D$2:$D$10,0)),0,1)))</f>
        <v>#REF!</v>
      </c>
      <c r="AJ360" s="17"/>
      <c r="AK360" s="17" t="e">
        <f>IF(Data!#REF!="","",IF(ISNUMBER(MATCH(Data!#REF!,Data_Val!$A$2:$A$3,0)),0,1))</f>
        <v>#REF!</v>
      </c>
      <c r="AL360" s="25" t="e">
        <f ca="1">IF(Data!#REF!="","",IF(ISNUMBER(Data!#REF!),IF(AND(Data!#REF!&gt;(TODAY()-(Data_Val!$L$3*365.25)),Data!#REF!&lt;=(TODAY()-(Data_Val!$L$2*365.25))),0,1),1))</f>
        <v>#REF!</v>
      </c>
      <c r="AM360" s="17" t="e">
        <f>IF(Data!#REF!="","",IF(Data!$G360="",1,IF(ISNUMBER(MATCH(Data!#REF!,Data_Val!$D$2:$D$10,0)),0,1)))</f>
        <v>#REF!</v>
      </c>
      <c r="AN360" s="13"/>
      <c r="AO360" s="28" t="e">
        <f ca="1">IF(Data!#REF!="","",IF(ISNUMBER(Data!#REF!),IF(AND(Data!#REF!&gt;(TODAY()-(Data_Val!$I$3*365.25)),Data!#REF!&lt;=(TODAY()-(Data_Val!$I$2*365.25))),0,1),1))</f>
        <v>#REF!</v>
      </c>
      <c r="AP360" s="13" t="e">
        <f>IF(Data!#REF!="","",IF(Data!$G360="",1,IF(ISNUMBER(MATCH(Data!#REF!,Data_Val!$D$2:$D$10,0)),0,1)))</f>
        <v>#REF!</v>
      </c>
      <c r="AQ360" s="17"/>
      <c r="AR360" s="30" t="e">
        <f ca="1">IF(Data!#REF!="","",IF(ISNUMBER(Data!#REF!),IF(AND(Data!#REF!&gt;(TODAY()-(Data_Val!$I$3*365.25)),Data!#REF!&lt;=(TODAY()-(Data_Val!$I$2*365.25))),0,1),1))</f>
        <v>#REF!</v>
      </c>
      <c r="AS360" s="31" t="e">
        <f>IF(Data!#REF!="","",IF(Data!$G360="",1,IF(ISNUMBER(MATCH(Data!#REF!,Data_Val!$D$2:$D$10,0)),0,1)))</f>
        <v>#REF!</v>
      </c>
      <c r="AT360" s="11"/>
      <c r="AU360" s="11" t="e">
        <f ca="1">IF(Data!#REF!="","",IF(ISNUMBER(Data!#REF!),IF(AND(Data!#REF!&gt;(TODAY()-(Data_Val!$I$3*365.25)),Data!#REF!&lt;=(TODAY()-(Data_Val!$I$2*365.25))),0,1),1))</f>
        <v>#REF!</v>
      </c>
      <c r="AV360" s="11" t="e">
        <f>IF(Data!#REF!="","",IF(Data!$G360="",1,IF(ISNUMBER(MATCH(Data!#REF!,Data_Val!$D$2:$D$10,0)),0,1)))</f>
        <v>#REF!</v>
      </c>
      <c r="AW360" s="12"/>
      <c r="AX360" s="26" t="e">
        <f ca="1">IF(Data!#REF!="","",IF(ISNUMBER(Data!#REF!),IF(AND(Data!#REF!&gt;(TODAY()-(Data_Val!$I$3*365.25)),Data!#REF!&lt;=(TODAY()-(Data_Val!$I$2*365.25))),0,1),1))</f>
        <v>#REF!</v>
      </c>
      <c r="AY360" s="12" t="e">
        <f>IF(Data!#REF!="","",IF(Data!$G360="",1,IF(ISNUMBER(MATCH(Data!#REF!,Data_Val!$D$2:$D$10,0)),0,1)))</f>
        <v>#REF!</v>
      </c>
      <c r="AZ360" s="11"/>
      <c r="BA360" s="19" t="e">
        <f ca="1">IF(Data!#REF!="","",IF(ISNUMBER(Data!#REF!),IF(AND(Data!#REF!&gt;(TODAY()-(Data_Val!$M$3*365.25)),Data!#REF!&lt;=(TODAY()-(Data_Val!$M$2*365.25))),0,1),1))</f>
        <v>#REF!</v>
      </c>
      <c r="BB360" s="11" t="e">
        <f>IF(Data!#REF!="","",IF(Data!$G360="",1,IF(ISNUMBER(MATCH(Data!#REF!,Data_Val!$D$2:$D$10,0)),0,1)))</f>
        <v>#REF!</v>
      </c>
      <c r="BC360" s="12"/>
      <c r="BD360" s="20" t="e">
        <f ca="1">IF(Data!#REF!="","",IF(ISNUMBER(Data!#REF!),IF(AND(Data!#REF!&gt;(TODAY()-(Data_Val!$M$3*365.25)),Data!#REF!&lt;=(TODAY()-(Data_Val!$M$2*365.25))),0,1),1))</f>
        <v>#REF!</v>
      </c>
      <c r="BE360" s="12" t="e">
        <f>IF(Data!#REF!="","",IF(Data!$G360="",1,IF(ISNUMBER(MATCH(Data!#REF!,Data_Val!$D$2:$D$10,0)),0,1)))</f>
        <v>#REF!</v>
      </c>
      <c r="BF360" s="17"/>
      <c r="BG360" s="18" t="e">
        <f ca="1">IF(Data!#REF!="","",IF(ISNUMBER(Data!#REF!),IF(AND(Data!#REF!&gt;(TODAY()-(Data_Val!$M$3*365.25)),Data!#REF!&lt;=(TODAY()-(Data_Val!$M$2*365.25))),0,1),1))</f>
        <v>#REF!</v>
      </c>
      <c r="BH360" s="29" t="e">
        <f>IF(Data!#REF!="","",IF(Data!$G360="",1,IF(ISNUMBER(MATCH(Data!#REF!,Data_Val!$D$2:$D$10,0)),0,1)))</f>
        <v>#REF!</v>
      </c>
      <c r="BI360" s="13"/>
      <c r="BJ360" s="21" t="e">
        <f ca="1">IF(Data!#REF!="","",IF(ISNUMBER(Data!#REF!),IF(AND(Data!#REF!&gt;(TODAY()-(Data_Val!$M$3*365.25)),Data!#REF!&lt;=(TODAY()-(Data_Val!$M$2*365.25))),0,1),1))</f>
        <v>#REF!</v>
      </c>
      <c r="BK360" s="13" t="e">
        <f>IF(Data!#REF!="","",IF(Data!$G360="",1,IF(ISNUMBER(MATCH(Data!#REF!,Data_Val!$D$2:$D$10,0)),0,1)))</f>
        <v>#REF!</v>
      </c>
    </row>
    <row r="361" spans="1:63" x14ac:dyDescent="0.25">
      <c r="A361" s="9" t="str">
        <f>IF(Data!B361="","",IF(COUNTIFS(Data!A$1:'Data'!A361,Data!A361)&lt;=1,0,1))</f>
        <v/>
      </c>
      <c r="B361" s="9"/>
      <c r="C361" s="23" t="str">
        <f>IF(Data!C361="","",(IF(ISNUMBER(MATCH("*@*.?*",Data!C361,0)),0,1)+IF(COUNTIFS(Data!C$1:'Data'!C361,Data!C361)&gt;1,1,0)))</f>
        <v/>
      </c>
      <c r="D361" s="9" t="str">
        <f>IF(Data!B361="","",IF(ISNUMBER(Data!D361),IF(AND(Data!D361&gt;999999999,Data!D361&lt;=9999999999),IF(COUNTIFS(Data!D$1:'Data'!D361,Data!D361)&lt;=1,0,1),1),1))</f>
        <v/>
      </c>
      <c r="E361" s="9" t="str">
        <f>IF(Data!B361="","",IF(ISNUMBER(MATCH(Data!E361,Data_Val!$A$2:$A$3,0)),0,1))</f>
        <v/>
      </c>
      <c r="F361" s="9" t="str">
        <f ca="1">IF(Data!B361="","",IF(ISNUMBER(Data!F361),IF(AND(Data!F361&gt;(TODAY()-(Data_Val!$H$3*365.25)),Data!F361&lt;=(TODAY()-(Data_Val!$H$2*365.25))),0,1),1))</f>
        <v/>
      </c>
      <c r="G361" s="15" t="str">
        <f>IF(Data!B361="","",IF(AND(Data!G361="",Data!H361&lt;&gt;""),1,IF(Data!#REF!&lt;&gt;"",0,IF(ISNUMBER(MATCH(Data!G361,Data_Val!$C$2:$C$5,0)),0,1))))</f>
        <v/>
      </c>
      <c r="H361" s="15" t="str">
        <f>IF(Data!B361="","",IF(AND(Data!G361&lt;&gt;"",Data!H361=""),1,IF(Data!#REF!&lt;&gt;"",0,IF(Data!G361="",1,IF(ISNUMBER(MATCH(Data!H361,Data_Val!$D$2:$D$35,0)),0,1)))))</f>
        <v/>
      </c>
      <c r="I361" s="15" t="str">
        <f>IF(Data!B361="","",IF(Data!G361&lt;&gt;"",0,IF(ISNUMBER(MATCH(Data!#REF!,Data_Val!$E$2:$E$12,0)),0,1)))</f>
        <v/>
      </c>
      <c r="J361" s="16" t="e">
        <f>IF(OR(Data!B361="",Data!#REF!=""),"",IF(Data!#REF!="",1,0))</f>
        <v>#REF!</v>
      </c>
      <c r="K361" s="16" t="e">
        <f>IF(OR(Data!B361="",Data!#REF!=""),"",IF(Data!#REF!="",1,0))</f>
        <v>#REF!</v>
      </c>
      <c r="L361" s="16" t="e">
        <f>IF(OR(Data!B361="",Data!#REF!=""),"",IF(ISNUMBER(Data!#REF!),IF(AND(Data!#REF!&gt;Data_Val!$G$2,Data!#REF!&lt;=Data_Val!$G$3),0,1),1))</f>
        <v>#REF!</v>
      </c>
      <c r="M361" s="9" t="e">
        <f>IF(OR(Data!B361="",Data!#REF!=""),"",IF(ISNUMBER(MATCH(Data!#REF!,Data_Val!$F$1:$F$38,0)),0,1))</f>
        <v>#REF!</v>
      </c>
      <c r="N361" s="9" t="e">
        <f>IF(OR(Data!B361="",Data!#REF!=""),"",IF(Data!#REF!="",1,0))</f>
        <v>#REF!</v>
      </c>
      <c r="O361" s="17" t="e">
        <f>IF(Data!#REF!="","",IF(Data!#REF!="",1,0))</f>
        <v>#REF!</v>
      </c>
      <c r="P361" s="17" t="e">
        <f>IF(Data!#REF!="","",IF(ISNUMBER(MATCH(Data!#REF!,Data_Val!$A$2:$A$3,0)),0,1))</f>
        <v>#REF!</v>
      </c>
      <c r="Q361" s="25" t="e">
        <f ca="1">IF(Data!#REF!="","",IF(ISNUMBER(Data!#REF!),IF(AND(Data!#REF!&gt;(TODAY()-(Data_Val!$J$3*365.25)),Data!#REF!&lt;=(TODAY()-(Data_Val!$J$2*365.25))),0,1),1))</f>
        <v>#REF!</v>
      </c>
      <c r="R361" s="17" t="e">
        <f>IF(Data!#REF!="","",IF(ISNUMBER(MATCH(Data!#REF!,Data_Val!$B$2:$B$15,0)),0,1))</f>
        <v>#REF!</v>
      </c>
      <c r="S361" s="11" t="str">
        <f>IF(Data!G361="","",IF(Data!G361=Data_Val!$C$2,IF(Data!M361="",0,1),0))</f>
        <v/>
      </c>
      <c r="T361" s="11" t="str">
        <f>IF(Data!M361="","",IF(ISNUMBER(MATCH(Data!N361,Data_Val!$A$2:$A$3,0)),0,1))</f>
        <v/>
      </c>
      <c r="U361" s="11" t="str">
        <f ca="1">IF(Data!M361="","",IF(ISNUMBER(Data!O361),IF(AND(Data!O361&gt;(TODAY()-(Data_Val!$K$3*365.25)),Data!O361&lt;=(TODAY()-(Data_Val!$K$2*365.25))),0,1),1))</f>
        <v/>
      </c>
      <c r="V361" s="12" t="str">
        <f>IF(Data!G361="","",IF(Data!G361=Data_Val!$C$2,IF(Data!P361="",0,1),0))</f>
        <v/>
      </c>
      <c r="W361" s="12" t="str">
        <f>IF(Data!P361="","",IF(ISNUMBER(MATCH(Data!Q361,Data_Val!$A$2:$A$3,0)),0,1))</f>
        <v/>
      </c>
      <c r="X361" s="26" t="str">
        <f ca="1">IF(Data!P361="","",IF(ISNUMBER(Data!R361),IF(AND(Data!R361&gt;(TODAY()-(Data_Val!$L$3*365.25)),Data!R361&lt;=(TODAY()-(Data_Val!$L$2*365.25))),0,1),1))</f>
        <v/>
      </c>
      <c r="Y361" s="13" t="str">
        <f>IF(Data!$G361="","",IF(Data!$G361=Data_Val!$C$2,IF(Data!S361="",0,1),0))</f>
        <v/>
      </c>
      <c r="Z361" s="13" t="str">
        <f>IF(Data!S361="","",IF(ISNUMBER(MATCH(Data!T361,Data_Val!$A$2:$A$3,0)),0,1))</f>
        <v/>
      </c>
      <c r="AA361" s="28" t="str">
        <f ca="1">IF(Data!S361="","",IF(ISNUMBER(Data!U361),IF(AND(Data!U361&gt;(TODAY()-(Data_Val!$L$3*365.25)),Data!U361&lt;=(TODAY()-(Data_Val!$L$2*365.25))),0,1),1))</f>
        <v/>
      </c>
      <c r="AB361" s="11"/>
      <c r="AC361" s="11" t="e">
        <f>IF(Data!#REF!="","",IF(ISNUMBER(MATCH(Data!#REF!,Data_Val!$A$2:$A$3,0)),0,1))</f>
        <v>#REF!</v>
      </c>
      <c r="AD361" s="11" t="e">
        <f ca="1">IF(Data!#REF!="","",IF(ISNUMBER(Data!#REF!),IF(AND(Data!#REF!&gt;(TODAY()-(Data_Val!$L$3*365.25)),Data!#REF!&lt;=(TODAY()-(Data_Val!$L$2*365.25))),0,1),1))</f>
        <v>#REF!</v>
      </c>
      <c r="AE361" s="11" t="e">
        <f>IF(Data!#REF!="","",IF(Data!$G361="",1,IF(ISNUMBER(MATCH(Data!#REF!,Data_Val!$D$2:$D$10,0)),0,1)))</f>
        <v>#REF!</v>
      </c>
      <c r="AF361" s="12"/>
      <c r="AG361" s="12" t="e">
        <f>IF(Data!#REF!="","",IF(ISNUMBER(MATCH(Data!#REF!,Data_Val!$A$2:$A$3,0)),0,1))</f>
        <v>#REF!</v>
      </c>
      <c r="AH361" s="26" t="e">
        <f ca="1">IF(Data!#REF!="","",IF(ISNUMBER(Data!#REF!),IF(AND(Data!#REF!&gt;(TODAY()-(Data_Val!$L$3*365.25)),Data!#REF!&lt;=(TODAY()-(Data_Val!$L$2*365.25))),0,1),1))</f>
        <v>#REF!</v>
      </c>
      <c r="AI361" s="12" t="e">
        <f>IF(Data!#REF!="","",IF(Data!$G361="",1,IF(ISNUMBER(MATCH(Data!#REF!,Data_Val!$D$2:$D$10,0)),0,1)))</f>
        <v>#REF!</v>
      </c>
      <c r="AJ361" s="17"/>
      <c r="AK361" s="17" t="e">
        <f>IF(Data!#REF!="","",IF(ISNUMBER(MATCH(Data!#REF!,Data_Val!$A$2:$A$3,0)),0,1))</f>
        <v>#REF!</v>
      </c>
      <c r="AL361" s="25" t="e">
        <f ca="1">IF(Data!#REF!="","",IF(ISNUMBER(Data!#REF!),IF(AND(Data!#REF!&gt;(TODAY()-(Data_Val!$L$3*365.25)),Data!#REF!&lt;=(TODAY()-(Data_Val!$L$2*365.25))),0,1),1))</f>
        <v>#REF!</v>
      </c>
      <c r="AM361" s="17" t="e">
        <f>IF(Data!#REF!="","",IF(Data!$G361="",1,IF(ISNUMBER(MATCH(Data!#REF!,Data_Val!$D$2:$D$10,0)),0,1)))</f>
        <v>#REF!</v>
      </c>
      <c r="AN361" s="13"/>
      <c r="AO361" s="28" t="e">
        <f ca="1">IF(Data!#REF!="","",IF(ISNUMBER(Data!#REF!),IF(AND(Data!#REF!&gt;(TODAY()-(Data_Val!$I$3*365.25)),Data!#REF!&lt;=(TODAY()-(Data_Val!$I$2*365.25))),0,1),1))</f>
        <v>#REF!</v>
      </c>
      <c r="AP361" s="13" t="e">
        <f>IF(Data!#REF!="","",IF(Data!$G361="",1,IF(ISNUMBER(MATCH(Data!#REF!,Data_Val!$D$2:$D$10,0)),0,1)))</f>
        <v>#REF!</v>
      </c>
      <c r="AQ361" s="17"/>
      <c r="AR361" s="30" t="e">
        <f ca="1">IF(Data!#REF!="","",IF(ISNUMBER(Data!#REF!),IF(AND(Data!#REF!&gt;(TODAY()-(Data_Val!$I$3*365.25)),Data!#REF!&lt;=(TODAY()-(Data_Val!$I$2*365.25))),0,1),1))</f>
        <v>#REF!</v>
      </c>
      <c r="AS361" s="31" t="e">
        <f>IF(Data!#REF!="","",IF(Data!$G361="",1,IF(ISNUMBER(MATCH(Data!#REF!,Data_Val!$D$2:$D$10,0)),0,1)))</f>
        <v>#REF!</v>
      </c>
      <c r="AT361" s="11"/>
      <c r="AU361" s="11" t="e">
        <f ca="1">IF(Data!#REF!="","",IF(ISNUMBER(Data!#REF!),IF(AND(Data!#REF!&gt;(TODAY()-(Data_Val!$I$3*365.25)),Data!#REF!&lt;=(TODAY()-(Data_Val!$I$2*365.25))),0,1),1))</f>
        <v>#REF!</v>
      </c>
      <c r="AV361" s="11" t="e">
        <f>IF(Data!#REF!="","",IF(Data!$G361="",1,IF(ISNUMBER(MATCH(Data!#REF!,Data_Val!$D$2:$D$10,0)),0,1)))</f>
        <v>#REF!</v>
      </c>
      <c r="AW361" s="12"/>
      <c r="AX361" s="26" t="e">
        <f ca="1">IF(Data!#REF!="","",IF(ISNUMBER(Data!#REF!),IF(AND(Data!#REF!&gt;(TODAY()-(Data_Val!$I$3*365.25)),Data!#REF!&lt;=(TODAY()-(Data_Val!$I$2*365.25))),0,1),1))</f>
        <v>#REF!</v>
      </c>
      <c r="AY361" s="12" t="e">
        <f>IF(Data!#REF!="","",IF(Data!$G361="",1,IF(ISNUMBER(MATCH(Data!#REF!,Data_Val!$D$2:$D$10,0)),0,1)))</f>
        <v>#REF!</v>
      </c>
      <c r="AZ361" s="11"/>
      <c r="BA361" s="19" t="e">
        <f ca="1">IF(Data!#REF!="","",IF(ISNUMBER(Data!#REF!),IF(AND(Data!#REF!&gt;(TODAY()-(Data_Val!$M$3*365.25)),Data!#REF!&lt;=(TODAY()-(Data_Val!$M$2*365.25))),0,1),1))</f>
        <v>#REF!</v>
      </c>
      <c r="BB361" s="11" t="e">
        <f>IF(Data!#REF!="","",IF(Data!$G361="",1,IF(ISNUMBER(MATCH(Data!#REF!,Data_Val!$D$2:$D$10,0)),0,1)))</f>
        <v>#REF!</v>
      </c>
      <c r="BC361" s="12"/>
      <c r="BD361" s="20" t="e">
        <f ca="1">IF(Data!#REF!="","",IF(ISNUMBER(Data!#REF!),IF(AND(Data!#REF!&gt;(TODAY()-(Data_Val!$M$3*365.25)),Data!#REF!&lt;=(TODAY()-(Data_Val!$M$2*365.25))),0,1),1))</f>
        <v>#REF!</v>
      </c>
      <c r="BE361" s="12" t="e">
        <f>IF(Data!#REF!="","",IF(Data!$G361="",1,IF(ISNUMBER(MATCH(Data!#REF!,Data_Val!$D$2:$D$10,0)),0,1)))</f>
        <v>#REF!</v>
      </c>
      <c r="BF361" s="17"/>
      <c r="BG361" s="18" t="e">
        <f ca="1">IF(Data!#REF!="","",IF(ISNUMBER(Data!#REF!),IF(AND(Data!#REF!&gt;(TODAY()-(Data_Val!$M$3*365.25)),Data!#REF!&lt;=(TODAY()-(Data_Val!$M$2*365.25))),0,1),1))</f>
        <v>#REF!</v>
      </c>
      <c r="BH361" s="29" t="e">
        <f>IF(Data!#REF!="","",IF(Data!$G361="",1,IF(ISNUMBER(MATCH(Data!#REF!,Data_Val!$D$2:$D$10,0)),0,1)))</f>
        <v>#REF!</v>
      </c>
      <c r="BI361" s="13"/>
      <c r="BJ361" s="21" t="e">
        <f ca="1">IF(Data!#REF!="","",IF(ISNUMBER(Data!#REF!),IF(AND(Data!#REF!&gt;(TODAY()-(Data_Val!$M$3*365.25)),Data!#REF!&lt;=(TODAY()-(Data_Val!$M$2*365.25))),0,1),1))</f>
        <v>#REF!</v>
      </c>
      <c r="BK361" s="13" t="e">
        <f>IF(Data!#REF!="","",IF(Data!$G361="",1,IF(ISNUMBER(MATCH(Data!#REF!,Data_Val!$D$2:$D$10,0)),0,1)))</f>
        <v>#REF!</v>
      </c>
    </row>
    <row r="362" spans="1:63" x14ac:dyDescent="0.25">
      <c r="A362" s="9" t="str">
        <f>IF(Data!B362="","",IF(COUNTIFS(Data!A$1:'Data'!A362,Data!A362)&lt;=1,0,1))</f>
        <v/>
      </c>
      <c r="B362" s="9"/>
      <c r="C362" s="23" t="str">
        <f>IF(Data!C362="","",(IF(ISNUMBER(MATCH("*@*.?*",Data!C362,0)),0,1)+IF(COUNTIFS(Data!C$1:'Data'!C362,Data!C362)&gt;1,1,0)))</f>
        <v/>
      </c>
      <c r="D362" s="9" t="str">
        <f>IF(Data!B362="","",IF(ISNUMBER(Data!D362),IF(AND(Data!D362&gt;999999999,Data!D362&lt;=9999999999),IF(COUNTIFS(Data!D$1:'Data'!D362,Data!D362)&lt;=1,0,1),1),1))</f>
        <v/>
      </c>
      <c r="E362" s="9" t="str">
        <f>IF(Data!B362="","",IF(ISNUMBER(MATCH(Data!E362,Data_Val!$A$2:$A$3,0)),0,1))</f>
        <v/>
      </c>
      <c r="F362" s="9" t="str">
        <f ca="1">IF(Data!B362="","",IF(ISNUMBER(Data!F362),IF(AND(Data!F362&gt;(TODAY()-(Data_Val!$H$3*365.25)),Data!F362&lt;=(TODAY()-(Data_Val!$H$2*365.25))),0,1),1))</f>
        <v/>
      </c>
      <c r="G362" s="15" t="str">
        <f>IF(Data!B362="","",IF(AND(Data!G362="",Data!H362&lt;&gt;""),1,IF(Data!#REF!&lt;&gt;"",0,IF(ISNUMBER(MATCH(Data!G362,Data_Val!$C$2:$C$5,0)),0,1))))</f>
        <v/>
      </c>
      <c r="H362" s="15" t="str">
        <f>IF(Data!B362="","",IF(AND(Data!G362&lt;&gt;"",Data!H362=""),1,IF(Data!#REF!&lt;&gt;"",0,IF(Data!G362="",1,IF(ISNUMBER(MATCH(Data!H362,Data_Val!$D$2:$D$35,0)),0,1)))))</f>
        <v/>
      </c>
      <c r="I362" s="15" t="str">
        <f>IF(Data!B362="","",IF(Data!G362&lt;&gt;"",0,IF(ISNUMBER(MATCH(Data!#REF!,Data_Val!$E$2:$E$12,0)),0,1)))</f>
        <v/>
      </c>
      <c r="J362" s="16" t="e">
        <f>IF(OR(Data!B362="",Data!#REF!=""),"",IF(Data!#REF!="",1,0))</f>
        <v>#REF!</v>
      </c>
      <c r="K362" s="16" t="e">
        <f>IF(OR(Data!B362="",Data!#REF!=""),"",IF(Data!#REF!="",1,0))</f>
        <v>#REF!</v>
      </c>
      <c r="L362" s="16" t="e">
        <f>IF(OR(Data!B362="",Data!#REF!=""),"",IF(ISNUMBER(Data!#REF!),IF(AND(Data!#REF!&gt;Data_Val!$G$2,Data!#REF!&lt;=Data_Val!$G$3),0,1),1))</f>
        <v>#REF!</v>
      </c>
      <c r="M362" s="9" t="e">
        <f>IF(OR(Data!B362="",Data!#REF!=""),"",IF(ISNUMBER(MATCH(Data!#REF!,Data_Val!$F$1:$F$38,0)),0,1))</f>
        <v>#REF!</v>
      </c>
      <c r="N362" s="9" t="e">
        <f>IF(OR(Data!B362="",Data!#REF!=""),"",IF(Data!#REF!="",1,0))</f>
        <v>#REF!</v>
      </c>
      <c r="O362" s="17" t="e">
        <f>IF(Data!#REF!="","",IF(Data!#REF!="",1,0))</f>
        <v>#REF!</v>
      </c>
      <c r="P362" s="17" t="e">
        <f>IF(Data!#REF!="","",IF(ISNUMBER(MATCH(Data!#REF!,Data_Val!$A$2:$A$3,0)),0,1))</f>
        <v>#REF!</v>
      </c>
      <c r="Q362" s="25" t="e">
        <f ca="1">IF(Data!#REF!="","",IF(ISNUMBER(Data!#REF!),IF(AND(Data!#REF!&gt;(TODAY()-(Data_Val!$J$3*365.25)),Data!#REF!&lt;=(TODAY()-(Data_Val!$J$2*365.25))),0,1),1))</f>
        <v>#REF!</v>
      </c>
      <c r="R362" s="17" t="e">
        <f>IF(Data!#REF!="","",IF(ISNUMBER(MATCH(Data!#REF!,Data_Val!$B$2:$B$15,0)),0,1))</f>
        <v>#REF!</v>
      </c>
      <c r="S362" s="11" t="str">
        <f>IF(Data!G362="","",IF(Data!G362=Data_Val!$C$2,IF(Data!M362="",0,1),0))</f>
        <v/>
      </c>
      <c r="T362" s="11" t="str">
        <f>IF(Data!M362="","",IF(ISNUMBER(MATCH(Data!N362,Data_Val!$A$2:$A$3,0)),0,1))</f>
        <v/>
      </c>
      <c r="U362" s="11" t="str">
        <f ca="1">IF(Data!M362="","",IF(ISNUMBER(Data!O362),IF(AND(Data!O362&gt;(TODAY()-(Data_Val!$K$3*365.25)),Data!O362&lt;=(TODAY()-(Data_Val!$K$2*365.25))),0,1),1))</f>
        <v/>
      </c>
      <c r="V362" s="12" t="str">
        <f>IF(Data!G362="","",IF(Data!G362=Data_Val!$C$2,IF(Data!P362="",0,1),0))</f>
        <v/>
      </c>
      <c r="W362" s="12" t="str">
        <f>IF(Data!P362="","",IF(ISNUMBER(MATCH(Data!Q362,Data_Val!$A$2:$A$3,0)),0,1))</f>
        <v/>
      </c>
      <c r="X362" s="26" t="str">
        <f ca="1">IF(Data!P362="","",IF(ISNUMBER(Data!R362),IF(AND(Data!R362&gt;(TODAY()-(Data_Val!$L$3*365.25)),Data!R362&lt;=(TODAY()-(Data_Val!$L$2*365.25))),0,1),1))</f>
        <v/>
      </c>
      <c r="Y362" s="13" t="str">
        <f>IF(Data!$G362="","",IF(Data!$G362=Data_Val!$C$2,IF(Data!S362="",0,1),0))</f>
        <v/>
      </c>
      <c r="Z362" s="13" t="str">
        <f>IF(Data!S362="","",IF(ISNUMBER(MATCH(Data!T362,Data_Val!$A$2:$A$3,0)),0,1))</f>
        <v/>
      </c>
      <c r="AA362" s="28" t="str">
        <f ca="1">IF(Data!S362="","",IF(ISNUMBER(Data!U362),IF(AND(Data!U362&gt;(TODAY()-(Data_Val!$L$3*365.25)),Data!U362&lt;=(TODAY()-(Data_Val!$L$2*365.25))),0,1),1))</f>
        <v/>
      </c>
      <c r="AB362" s="11"/>
      <c r="AC362" s="11" t="e">
        <f>IF(Data!#REF!="","",IF(ISNUMBER(MATCH(Data!#REF!,Data_Val!$A$2:$A$3,0)),0,1))</f>
        <v>#REF!</v>
      </c>
      <c r="AD362" s="11" t="e">
        <f ca="1">IF(Data!#REF!="","",IF(ISNUMBER(Data!#REF!),IF(AND(Data!#REF!&gt;(TODAY()-(Data_Val!$L$3*365.25)),Data!#REF!&lt;=(TODAY()-(Data_Val!$L$2*365.25))),0,1),1))</f>
        <v>#REF!</v>
      </c>
      <c r="AE362" s="11" t="e">
        <f>IF(Data!#REF!="","",IF(Data!$G362="",1,IF(ISNUMBER(MATCH(Data!#REF!,Data_Val!$D$2:$D$10,0)),0,1)))</f>
        <v>#REF!</v>
      </c>
      <c r="AF362" s="12"/>
      <c r="AG362" s="12" t="e">
        <f>IF(Data!#REF!="","",IF(ISNUMBER(MATCH(Data!#REF!,Data_Val!$A$2:$A$3,0)),0,1))</f>
        <v>#REF!</v>
      </c>
      <c r="AH362" s="26" t="e">
        <f ca="1">IF(Data!#REF!="","",IF(ISNUMBER(Data!#REF!),IF(AND(Data!#REF!&gt;(TODAY()-(Data_Val!$L$3*365.25)),Data!#REF!&lt;=(TODAY()-(Data_Val!$L$2*365.25))),0,1),1))</f>
        <v>#REF!</v>
      </c>
      <c r="AI362" s="12" t="e">
        <f>IF(Data!#REF!="","",IF(Data!$G362="",1,IF(ISNUMBER(MATCH(Data!#REF!,Data_Val!$D$2:$D$10,0)),0,1)))</f>
        <v>#REF!</v>
      </c>
      <c r="AJ362" s="17"/>
      <c r="AK362" s="17" t="e">
        <f>IF(Data!#REF!="","",IF(ISNUMBER(MATCH(Data!#REF!,Data_Val!$A$2:$A$3,0)),0,1))</f>
        <v>#REF!</v>
      </c>
      <c r="AL362" s="25" t="e">
        <f ca="1">IF(Data!#REF!="","",IF(ISNUMBER(Data!#REF!),IF(AND(Data!#REF!&gt;(TODAY()-(Data_Val!$L$3*365.25)),Data!#REF!&lt;=(TODAY()-(Data_Val!$L$2*365.25))),0,1),1))</f>
        <v>#REF!</v>
      </c>
      <c r="AM362" s="17" t="e">
        <f>IF(Data!#REF!="","",IF(Data!$G362="",1,IF(ISNUMBER(MATCH(Data!#REF!,Data_Val!$D$2:$D$10,0)),0,1)))</f>
        <v>#REF!</v>
      </c>
      <c r="AN362" s="13"/>
      <c r="AO362" s="28" t="e">
        <f ca="1">IF(Data!#REF!="","",IF(ISNUMBER(Data!#REF!),IF(AND(Data!#REF!&gt;(TODAY()-(Data_Val!$I$3*365.25)),Data!#REF!&lt;=(TODAY()-(Data_Val!$I$2*365.25))),0,1),1))</f>
        <v>#REF!</v>
      </c>
      <c r="AP362" s="13" t="e">
        <f>IF(Data!#REF!="","",IF(Data!$G362="",1,IF(ISNUMBER(MATCH(Data!#REF!,Data_Val!$D$2:$D$10,0)),0,1)))</f>
        <v>#REF!</v>
      </c>
      <c r="AQ362" s="17"/>
      <c r="AR362" s="30" t="e">
        <f ca="1">IF(Data!#REF!="","",IF(ISNUMBER(Data!#REF!),IF(AND(Data!#REF!&gt;(TODAY()-(Data_Val!$I$3*365.25)),Data!#REF!&lt;=(TODAY()-(Data_Val!$I$2*365.25))),0,1),1))</f>
        <v>#REF!</v>
      </c>
      <c r="AS362" s="31" t="e">
        <f>IF(Data!#REF!="","",IF(Data!$G362="",1,IF(ISNUMBER(MATCH(Data!#REF!,Data_Val!$D$2:$D$10,0)),0,1)))</f>
        <v>#REF!</v>
      </c>
      <c r="AT362" s="11"/>
      <c r="AU362" s="11" t="e">
        <f ca="1">IF(Data!#REF!="","",IF(ISNUMBER(Data!#REF!),IF(AND(Data!#REF!&gt;(TODAY()-(Data_Val!$I$3*365.25)),Data!#REF!&lt;=(TODAY()-(Data_Val!$I$2*365.25))),0,1),1))</f>
        <v>#REF!</v>
      </c>
      <c r="AV362" s="11" t="e">
        <f>IF(Data!#REF!="","",IF(Data!$G362="",1,IF(ISNUMBER(MATCH(Data!#REF!,Data_Val!$D$2:$D$10,0)),0,1)))</f>
        <v>#REF!</v>
      </c>
      <c r="AW362" s="12"/>
      <c r="AX362" s="26" t="e">
        <f ca="1">IF(Data!#REF!="","",IF(ISNUMBER(Data!#REF!),IF(AND(Data!#REF!&gt;(TODAY()-(Data_Val!$I$3*365.25)),Data!#REF!&lt;=(TODAY()-(Data_Val!$I$2*365.25))),0,1),1))</f>
        <v>#REF!</v>
      </c>
      <c r="AY362" s="12" t="e">
        <f>IF(Data!#REF!="","",IF(Data!$G362="",1,IF(ISNUMBER(MATCH(Data!#REF!,Data_Val!$D$2:$D$10,0)),0,1)))</f>
        <v>#REF!</v>
      </c>
      <c r="AZ362" s="11"/>
      <c r="BA362" s="19" t="e">
        <f ca="1">IF(Data!#REF!="","",IF(ISNUMBER(Data!#REF!),IF(AND(Data!#REF!&gt;(TODAY()-(Data_Val!$M$3*365.25)),Data!#REF!&lt;=(TODAY()-(Data_Val!$M$2*365.25))),0,1),1))</f>
        <v>#REF!</v>
      </c>
      <c r="BB362" s="11" t="e">
        <f>IF(Data!#REF!="","",IF(Data!$G362="",1,IF(ISNUMBER(MATCH(Data!#REF!,Data_Val!$D$2:$D$10,0)),0,1)))</f>
        <v>#REF!</v>
      </c>
      <c r="BC362" s="12"/>
      <c r="BD362" s="20" t="e">
        <f ca="1">IF(Data!#REF!="","",IF(ISNUMBER(Data!#REF!),IF(AND(Data!#REF!&gt;(TODAY()-(Data_Val!$M$3*365.25)),Data!#REF!&lt;=(TODAY()-(Data_Val!$M$2*365.25))),0,1),1))</f>
        <v>#REF!</v>
      </c>
      <c r="BE362" s="12" t="e">
        <f>IF(Data!#REF!="","",IF(Data!$G362="",1,IF(ISNUMBER(MATCH(Data!#REF!,Data_Val!$D$2:$D$10,0)),0,1)))</f>
        <v>#REF!</v>
      </c>
      <c r="BF362" s="17"/>
      <c r="BG362" s="18" t="e">
        <f ca="1">IF(Data!#REF!="","",IF(ISNUMBER(Data!#REF!),IF(AND(Data!#REF!&gt;(TODAY()-(Data_Val!$M$3*365.25)),Data!#REF!&lt;=(TODAY()-(Data_Val!$M$2*365.25))),0,1),1))</f>
        <v>#REF!</v>
      </c>
      <c r="BH362" s="29" t="e">
        <f>IF(Data!#REF!="","",IF(Data!$G362="",1,IF(ISNUMBER(MATCH(Data!#REF!,Data_Val!$D$2:$D$10,0)),0,1)))</f>
        <v>#REF!</v>
      </c>
      <c r="BI362" s="13"/>
      <c r="BJ362" s="21" t="e">
        <f ca="1">IF(Data!#REF!="","",IF(ISNUMBER(Data!#REF!),IF(AND(Data!#REF!&gt;(TODAY()-(Data_Val!$M$3*365.25)),Data!#REF!&lt;=(TODAY()-(Data_Val!$M$2*365.25))),0,1),1))</f>
        <v>#REF!</v>
      </c>
      <c r="BK362" s="13" t="e">
        <f>IF(Data!#REF!="","",IF(Data!$G362="",1,IF(ISNUMBER(MATCH(Data!#REF!,Data_Val!$D$2:$D$10,0)),0,1)))</f>
        <v>#REF!</v>
      </c>
    </row>
    <row r="363" spans="1:63" x14ac:dyDescent="0.25">
      <c r="A363" s="9" t="str">
        <f>IF(Data!B363="","",IF(COUNTIFS(Data!A$1:'Data'!A363,Data!A363)&lt;=1,0,1))</f>
        <v/>
      </c>
      <c r="B363" s="9"/>
      <c r="C363" s="23" t="str">
        <f>IF(Data!C363="","",(IF(ISNUMBER(MATCH("*@*.?*",Data!C363,0)),0,1)+IF(COUNTIFS(Data!C$1:'Data'!C363,Data!C363)&gt;1,1,0)))</f>
        <v/>
      </c>
      <c r="D363" s="9" t="str">
        <f>IF(Data!B363="","",IF(ISNUMBER(Data!D363),IF(AND(Data!D363&gt;999999999,Data!D363&lt;=9999999999),IF(COUNTIFS(Data!D$1:'Data'!D363,Data!D363)&lt;=1,0,1),1),1))</f>
        <v/>
      </c>
      <c r="E363" s="9" t="str">
        <f>IF(Data!B363="","",IF(ISNUMBER(MATCH(Data!E363,Data_Val!$A$2:$A$3,0)),0,1))</f>
        <v/>
      </c>
      <c r="F363" s="9" t="str">
        <f ca="1">IF(Data!B363="","",IF(ISNUMBER(Data!F363),IF(AND(Data!F363&gt;(TODAY()-(Data_Val!$H$3*365.25)),Data!F363&lt;=(TODAY()-(Data_Val!$H$2*365.25))),0,1),1))</f>
        <v/>
      </c>
      <c r="G363" s="15" t="str">
        <f>IF(Data!B363="","",IF(AND(Data!G363="",Data!H363&lt;&gt;""),1,IF(Data!#REF!&lt;&gt;"",0,IF(ISNUMBER(MATCH(Data!G363,Data_Val!$C$2:$C$5,0)),0,1))))</f>
        <v/>
      </c>
      <c r="H363" s="15" t="str">
        <f>IF(Data!B363="","",IF(AND(Data!G363&lt;&gt;"",Data!H363=""),1,IF(Data!#REF!&lt;&gt;"",0,IF(Data!G363="",1,IF(ISNUMBER(MATCH(Data!H363,Data_Val!$D$2:$D$35,0)),0,1)))))</f>
        <v/>
      </c>
      <c r="I363" s="15" t="str">
        <f>IF(Data!B363="","",IF(Data!G363&lt;&gt;"",0,IF(ISNUMBER(MATCH(Data!#REF!,Data_Val!$E$2:$E$12,0)),0,1)))</f>
        <v/>
      </c>
      <c r="J363" s="16" t="e">
        <f>IF(OR(Data!B363="",Data!#REF!=""),"",IF(Data!#REF!="",1,0))</f>
        <v>#REF!</v>
      </c>
      <c r="K363" s="16" t="e">
        <f>IF(OR(Data!B363="",Data!#REF!=""),"",IF(Data!#REF!="",1,0))</f>
        <v>#REF!</v>
      </c>
      <c r="L363" s="16" t="e">
        <f>IF(OR(Data!B363="",Data!#REF!=""),"",IF(ISNUMBER(Data!#REF!),IF(AND(Data!#REF!&gt;Data_Val!$G$2,Data!#REF!&lt;=Data_Val!$G$3),0,1),1))</f>
        <v>#REF!</v>
      </c>
      <c r="M363" s="9" t="e">
        <f>IF(OR(Data!B363="",Data!#REF!=""),"",IF(ISNUMBER(MATCH(Data!#REF!,Data_Val!$F$1:$F$38,0)),0,1))</f>
        <v>#REF!</v>
      </c>
      <c r="N363" s="9" t="e">
        <f>IF(OR(Data!B363="",Data!#REF!=""),"",IF(Data!#REF!="",1,0))</f>
        <v>#REF!</v>
      </c>
      <c r="O363" s="17" t="e">
        <f>IF(Data!#REF!="","",IF(Data!#REF!="",1,0))</f>
        <v>#REF!</v>
      </c>
      <c r="P363" s="17" t="e">
        <f>IF(Data!#REF!="","",IF(ISNUMBER(MATCH(Data!#REF!,Data_Val!$A$2:$A$3,0)),0,1))</f>
        <v>#REF!</v>
      </c>
      <c r="Q363" s="25" t="e">
        <f ca="1">IF(Data!#REF!="","",IF(ISNUMBER(Data!#REF!),IF(AND(Data!#REF!&gt;(TODAY()-(Data_Val!$J$3*365.25)),Data!#REF!&lt;=(TODAY()-(Data_Val!$J$2*365.25))),0,1),1))</f>
        <v>#REF!</v>
      </c>
      <c r="R363" s="17" t="e">
        <f>IF(Data!#REF!="","",IF(ISNUMBER(MATCH(Data!#REF!,Data_Val!$B$2:$B$15,0)),0,1))</f>
        <v>#REF!</v>
      </c>
      <c r="S363" s="11" t="str">
        <f>IF(Data!G363="","",IF(Data!G363=Data_Val!$C$2,IF(Data!M363="",0,1),0))</f>
        <v/>
      </c>
      <c r="T363" s="11" t="str">
        <f>IF(Data!M363="","",IF(ISNUMBER(MATCH(Data!N363,Data_Val!$A$2:$A$3,0)),0,1))</f>
        <v/>
      </c>
      <c r="U363" s="11" t="str">
        <f ca="1">IF(Data!M363="","",IF(ISNUMBER(Data!O363),IF(AND(Data!O363&gt;(TODAY()-(Data_Val!$K$3*365.25)),Data!O363&lt;=(TODAY()-(Data_Val!$K$2*365.25))),0,1),1))</f>
        <v/>
      </c>
      <c r="V363" s="12" t="str">
        <f>IF(Data!G363="","",IF(Data!G363=Data_Val!$C$2,IF(Data!P363="",0,1),0))</f>
        <v/>
      </c>
      <c r="W363" s="12" t="str">
        <f>IF(Data!P363="","",IF(ISNUMBER(MATCH(Data!Q363,Data_Val!$A$2:$A$3,0)),0,1))</f>
        <v/>
      </c>
      <c r="X363" s="26" t="str">
        <f ca="1">IF(Data!P363="","",IF(ISNUMBER(Data!R363),IF(AND(Data!R363&gt;(TODAY()-(Data_Val!$L$3*365.25)),Data!R363&lt;=(TODAY()-(Data_Val!$L$2*365.25))),0,1),1))</f>
        <v/>
      </c>
      <c r="Y363" s="13" t="str">
        <f>IF(Data!$G363="","",IF(Data!$G363=Data_Val!$C$2,IF(Data!S363="",0,1),0))</f>
        <v/>
      </c>
      <c r="Z363" s="13" t="str">
        <f>IF(Data!S363="","",IF(ISNUMBER(MATCH(Data!T363,Data_Val!$A$2:$A$3,0)),0,1))</f>
        <v/>
      </c>
      <c r="AA363" s="28" t="str">
        <f ca="1">IF(Data!S363="","",IF(ISNUMBER(Data!U363),IF(AND(Data!U363&gt;(TODAY()-(Data_Val!$L$3*365.25)),Data!U363&lt;=(TODAY()-(Data_Val!$L$2*365.25))),0,1),1))</f>
        <v/>
      </c>
      <c r="AB363" s="11"/>
      <c r="AC363" s="11" t="e">
        <f>IF(Data!#REF!="","",IF(ISNUMBER(MATCH(Data!#REF!,Data_Val!$A$2:$A$3,0)),0,1))</f>
        <v>#REF!</v>
      </c>
      <c r="AD363" s="11" t="e">
        <f ca="1">IF(Data!#REF!="","",IF(ISNUMBER(Data!#REF!),IF(AND(Data!#REF!&gt;(TODAY()-(Data_Val!$L$3*365.25)),Data!#REF!&lt;=(TODAY()-(Data_Val!$L$2*365.25))),0,1),1))</f>
        <v>#REF!</v>
      </c>
      <c r="AE363" s="11" t="e">
        <f>IF(Data!#REF!="","",IF(Data!$G363="",1,IF(ISNUMBER(MATCH(Data!#REF!,Data_Val!$D$2:$D$10,0)),0,1)))</f>
        <v>#REF!</v>
      </c>
      <c r="AF363" s="12"/>
      <c r="AG363" s="12" t="e">
        <f>IF(Data!#REF!="","",IF(ISNUMBER(MATCH(Data!#REF!,Data_Val!$A$2:$A$3,0)),0,1))</f>
        <v>#REF!</v>
      </c>
      <c r="AH363" s="26" t="e">
        <f ca="1">IF(Data!#REF!="","",IF(ISNUMBER(Data!#REF!),IF(AND(Data!#REF!&gt;(TODAY()-(Data_Val!$L$3*365.25)),Data!#REF!&lt;=(TODAY()-(Data_Val!$L$2*365.25))),0,1),1))</f>
        <v>#REF!</v>
      </c>
      <c r="AI363" s="12" t="e">
        <f>IF(Data!#REF!="","",IF(Data!$G363="",1,IF(ISNUMBER(MATCH(Data!#REF!,Data_Val!$D$2:$D$10,0)),0,1)))</f>
        <v>#REF!</v>
      </c>
      <c r="AJ363" s="17"/>
      <c r="AK363" s="17" t="e">
        <f>IF(Data!#REF!="","",IF(ISNUMBER(MATCH(Data!#REF!,Data_Val!$A$2:$A$3,0)),0,1))</f>
        <v>#REF!</v>
      </c>
      <c r="AL363" s="25" t="e">
        <f ca="1">IF(Data!#REF!="","",IF(ISNUMBER(Data!#REF!),IF(AND(Data!#REF!&gt;(TODAY()-(Data_Val!$L$3*365.25)),Data!#REF!&lt;=(TODAY()-(Data_Val!$L$2*365.25))),0,1),1))</f>
        <v>#REF!</v>
      </c>
      <c r="AM363" s="17" t="e">
        <f>IF(Data!#REF!="","",IF(Data!$G363="",1,IF(ISNUMBER(MATCH(Data!#REF!,Data_Val!$D$2:$D$10,0)),0,1)))</f>
        <v>#REF!</v>
      </c>
      <c r="AN363" s="13"/>
      <c r="AO363" s="28" t="e">
        <f ca="1">IF(Data!#REF!="","",IF(ISNUMBER(Data!#REF!),IF(AND(Data!#REF!&gt;(TODAY()-(Data_Val!$I$3*365.25)),Data!#REF!&lt;=(TODAY()-(Data_Val!$I$2*365.25))),0,1),1))</f>
        <v>#REF!</v>
      </c>
      <c r="AP363" s="13" t="e">
        <f>IF(Data!#REF!="","",IF(Data!$G363="",1,IF(ISNUMBER(MATCH(Data!#REF!,Data_Val!$D$2:$D$10,0)),0,1)))</f>
        <v>#REF!</v>
      </c>
      <c r="AQ363" s="17"/>
      <c r="AR363" s="30" t="e">
        <f ca="1">IF(Data!#REF!="","",IF(ISNUMBER(Data!#REF!),IF(AND(Data!#REF!&gt;(TODAY()-(Data_Val!$I$3*365.25)),Data!#REF!&lt;=(TODAY()-(Data_Val!$I$2*365.25))),0,1),1))</f>
        <v>#REF!</v>
      </c>
      <c r="AS363" s="31" t="e">
        <f>IF(Data!#REF!="","",IF(Data!$G363="",1,IF(ISNUMBER(MATCH(Data!#REF!,Data_Val!$D$2:$D$10,0)),0,1)))</f>
        <v>#REF!</v>
      </c>
      <c r="AT363" s="11"/>
      <c r="AU363" s="11" t="e">
        <f ca="1">IF(Data!#REF!="","",IF(ISNUMBER(Data!#REF!),IF(AND(Data!#REF!&gt;(TODAY()-(Data_Val!$I$3*365.25)),Data!#REF!&lt;=(TODAY()-(Data_Val!$I$2*365.25))),0,1),1))</f>
        <v>#REF!</v>
      </c>
      <c r="AV363" s="11" t="e">
        <f>IF(Data!#REF!="","",IF(Data!$G363="",1,IF(ISNUMBER(MATCH(Data!#REF!,Data_Val!$D$2:$D$10,0)),0,1)))</f>
        <v>#REF!</v>
      </c>
      <c r="AW363" s="12"/>
      <c r="AX363" s="26" t="e">
        <f ca="1">IF(Data!#REF!="","",IF(ISNUMBER(Data!#REF!),IF(AND(Data!#REF!&gt;(TODAY()-(Data_Val!$I$3*365.25)),Data!#REF!&lt;=(TODAY()-(Data_Val!$I$2*365.25))),0,1),1))</f>
        <v>#REF!</v>
      </c>
      <c r="AY363" s="12" t="e">
        <f>IF(Data!#REF!="","",IF(Data!$G363="",1,IF(ISNUMBER(MATCH(Data!#REF!,Data_Val!$D$2:$D$10,0)),0,1)))</f>
        <v>#REF!</v>
      </c>
      <c r="AZ363" s="11"/>
      <c r="BA363" s="19" t="e">
        <f ca="1">IF(Data!#REF!="","",IF(ISNUMBER(Data!#REF!),IF(AND(Data!#REF!&gt;(TODAY()-(Data_Val!$M$3*365.25)),Data!#REF!&lt;=(TODAY()-(Data_Val!$M$2*365.25))),0,1),1))</f>
        <v>#REF!</v>
      </c>
      <c r="BB363" s="11" t="e">
        <f>IF(Data!#REF!="","",IF(Data!$G363="",1,IF(ISNUMBER(MATCH(Data!#REF!,Data_Val!$D$2:$D$10,0)),0,1)))</f>
        <v>#REF!</v>
      </c>
      <c r="BC363" s="12"/>
      <c r="BD363" s="20" t="e">
        <f ca="1">IF(Data!#REF!="","",IF(ISNUMBER(Data!#REF!),IF(AND(Data!#REF!&gt;(TODAY()-(Data_Val!$M$3*365.25)),Data!#REF!&lt;=(TODAY()-(Data_Val!$M$2*365.25))),0,1),1))</f>
        <v>#REF!</v>
      </c>
      <c r="BE363" s="12" t="e">
        <f>IF(Data!#REF!="","",IF(Data!$G363="",1,IF(ISNUMBER(MATCH(Data!#REF!,Data_Val!$D$2:$D$10,0)),0,1)))</f>
        <v>#REF!</v>
      </c>
      <c r="BF363" s="17"/>
      <c r="BG363" s="18" t="e">
        <f ca="1">IF(Data!#REF!="","",IF(ISNUMBER(Data!#REF!),IF(AND(Data!#REF!&gt;(TODAY()-(Data_Val!$M$3*365.25)),Data!#REF!&lt;=(TODAY()-(Data_Val!$M$2*365.25))),0,1),1))</f>
        <v>#REF!</v>
      </c>
      <c r="BH363" s="29" t="e">
        <f>IF(Data!#REF!="","",IF(Data!$G363="",1,IF(ISNUMBER(MATCH(Data!#REF!,Data_Val!$D$2:$D$10,0)),0,1)))</f>
        <v>#REF!</v>
      </c>
      <c r="BI363" s="13"/>
      <c r="BJ363" s="21" t="e">
        <f ca="1">IF(Data!#REF!="","",IF(ISNUMBER(Data!#REF!),IF(AND(Data!#REF!&gt;(TODAY()-(Data_Val!$M$3*365.25)),Data!#REF!&lt;=(TODAY()-(Data_Val!$M$2*365.25))),0,1),1))</f>
        <v>#REF!</v>
      </c>
      <c r="BK363" s="13" t="e">
        <f>IF(Data!#REF!="","",IF(Data!$G363="",1,IF(ISNUMBER(MATCH(Data!#REF!,Data_Val!$D$2:$D$10,0)),0,1)))</f>
        <v>#REF!</v>
      </c>
    </row>
    <row r="364" spans="1:63" x14ac:dyDescent="0.25">
      <c r="A364" s="9" t="str">
        <f>IF(Data!B364="","",IF(COUNTIFS(Data!A$1:'Data'!A364,Data!A364)&lt;=1,0,1))</f>
        <v/>
      </c>
      <c r="B364" s="9"/>
      <c r="C364" s="23" t="str">
        <f>IF(Data!C364="","",(IF(ISNUMBER(MATCH("*@*.?*",Data!C364,0)),0,1)+IF(COUNTIFS(Data!C$1:'Data'!C364,Data!C364)&gt;1,1,0)))</f>
        <v/>
      </c>
      <c r="D364" s="9" t="str">
        <f>IF(Data!B364="","",IF(ISNUMBER(Data!D364),IF(AND(Data!D364&gt;999999999,Data!D364&lt;=9999999999),IF(COUNTIFS(Data!D$1:'Data'!D364,Data!D364)&lt;=1,0,1),1),1))</f>
        <v/>
      </c>
      <c r="E364" s="9" t="str">
        <f>IF(Data!B364="","",IF(ISNUMBER(MATCH(Data!E364,Data_Val!$A$2:$A$3,0)),0,1))</f>
        <v/>
      </c>
      <c r="F364" s="9" t="str">
        <f ca="1">IF(Data!B364="","",IF(ISNUMBER(Data!F364),IF(AND(Data!F364&gt;(TODAY()-(Data_Val!$H$3*365.25)),Data!F364&lt;=(TODAY()-(Data_Val!$H$2*365.25))),0,1),1))</f>
        <v/>
      </c>
      <c r="G364" s="15" t="str">
        <f>IF(Data!B364="","",IF(AND(Data!G364="",Data!H364&lt;&gt;""),1,IF(Data!#REF!&lt;&gt;"",0,IF(ISNUMBER(MATCH(Data!G364,Data_Val!$C$2:$C$5,0)),0,1))))</f>
        <v/>
      </c>
      <c r="H364" s="15" t="str">
        <f>IF(Data!B364="","",IF(AND(Data!G364&lt;&gt;"",Data!H364=""),1,IF(Data!#REF!&lt;&gt;"",0,IF(Data!G364="",1,IF(ISNUMBER(MATCH(Data!H364,Data_Val!$D$2:$D$35,0)),0,1)))))</f>
        <v/>
      </c>
      <c r="I364" s="15" t="str">
        <f>IF(Data!B364="","",IF(Data!G364&lt;&gt;"",0,IF(ISNUMBER(MATCH(Data!#REF!,Data_Val!$E$2:$E$12,0)),0,1)))</f>
        <v/>
      </c>
      <c r="J364" s="16" t="e">
        <f>IF(OR(Data!B364="",Data!#REF!=""),"",IF(Data!#REF!="",1,0))</f>
        <v>#REF!</v>
      </c>
      <c r="K364" s="16" t="e">
        <f>IF(OR(Data!B364="",Data!#REF!=""),"",IF(Data!#REF!="",1,0))</f>
        <v>#REF!</v>
      </c>
      <c r="L364" s="16" t="e">
        <f>IF(OR(Data!B364="",Data!#REF!=""),"",IF(ISNUMBER(Data!#REF!),IF(AND(Data!#REF!&gt;Data_Val!$G$2,Data!#REF!&lt;=Data_Val!$G$3),0,1),1))</f>
        <v>#REF!</v>
      </c>
      <c r="M364" s="9" t="e">
        <f>IF(OR(Data!B364="",Data!#REF!=""),"",IF(ISNUMBER(MATCH(Data!#REF!,Data_Val!$F$1:$F$38,0)),0,1))</f>
        <v>#REF!</v>
      </c>
      <c r="N364" s="9" t="e">
        <f>IF(OR(Data!B364="",Data!#REF!=""),"",IF(Data!#REF!="",1,0))</f>
        <v>#REF!</v>
      </c>
      <c r="O364" s="17" t="e">
        <f>IF(Data!#REF!="","",IF(Data!#REF!="",1,0))</f>
        <v>#REF!</v>
      </c>
      <c r="P364" s="17" t="e">
        <f>IF(Data!#REF!="","",IF(ISNUMBER(MATCH(Data!#REF!,Data_Val!$A$2:$A$3,0)),0,1))</f>
        <v>#REF!</v>
      </c>
      <c r="Q364" s="25" t="e">
        <f ca="1">IF(Data!#REF!="","",IF(ISNUMBER(Data!#REF!),IF(AND(Data!#REF!&gt;(TODAY()-(Data_Val!$J$3*365.25)),Data!#REF!&lt;=(TODAY()-(Data_Val!$J$2*365.25))),0,1),1))</f>
        <v>#REF!</v>
      </c>
      <c r="R364" s="17" t="e">
        <f>IF(Data!#REF!="","",IF(ISNUMBER(MATCH(Data!#REF!,Data_Val!$B$2:$B$15,0)),0,1))</f>
        <v>#REF!</v>
      </c>
      <c r="S364" s="11" t="str">
        <f>IF(Data!G364="","",IF(Data!G364=Data_Val!$C$2,IF(Data!M364="",0,1),0))</f>
        <v/>
      </c>
      <c r="T364" s="11" t="str">
        <f>IF(Data!M364="","",IF(ISNUMBER(MATCH(Data!N364,Data_Val!$A$2:$A$3,0)),0,1))</f>
        <v/>
      </c>
      <c r="U364" s="11" t="str">
        <f ca="1">IF(Data!M364="","",IF(ISNUMBER(Data!O364),IF(AND(Data!O364&gt;(TODAY()-(Data_Val!$K$3*365.25)),Data!O364&lt;=(TODAY()-(Data_Val!$K$2*365.25))),0,1),1))</f>
        <v/>
      </c>
      <c r="V364" s="12" t="str">
        <f>IF(Data!G364="","",IF(Data!G364=Data_Val!$C$2,IF(Data!P364="",0,1),0))</f>
        <v/>
      </c>
      <c r="W364" s="12" t="str">
        <f>IF(Data!P364="","",IF(ISNUMBER(MATCH(Data!Q364,Data_Val!$A$2:$A$3,0)),0,1))</f>
        <v/>
      </c>
      <c r="X364" s="26" t="str">
        <f ca="1">IF(Data!P364="","",IF(ISNUMBER(Data!R364),IF(AND(Data!R364&gt;(TODAY()-(Data_Val!$L$3*365.25)),Data!R364&lt;=(TODAY()-(Data_Val!$L$2*365.25))),0,1),1))</f>
        <v/>
      </c>
      <c r="Y364" s="13" t="str">
        <f>IF(Data!$G364="","",IF(Data!$G364=Data_Val!$C$2,IF(Data!S364="",0,1),0))</f>
        <v/>
      </c>
      <c r="Z364" s="13" t="str">
        <f>IF(Data!S364="","",IF(ISNUMBER(MATCH(Data!T364,Data_Val!$A$2:$A$3,0)),0,1))</f>
        <v/>
      </c>
      <c r="AA364" s="28" t="str">
        <f ca="1">IF(Data!S364="","",IF(ISNUMBER(Data!U364),IF(AND(Data!U364&gt;(TODAY()-(Data_Val!$L$3*365.25)),Data!U364&lt;=(TODAY()-(Data_Val!$L$2*365.25))),0,1),1))</f>
        <v/>
      </c>
      <c r="AB364" s="11"/>
      <c r="AC364" s="11" t="e">
        <f>IF(Data!#REF!="","",IF(ISNUMBER(MATCH(Data!#REF!,Data_Val!$A$2:$A$3,0)),0,1))</f>
        <v>#REF!</v>
      </c>
      <c r="AD364" s="11" t="e">
        <f ca="1">IF(Data!#REF!="","",IF(ISNUMBER(Data!#REF!),IF(AND(Data!#REF!&gt;(TODAY()-(Data_Val!$L$3*365.25)),Data!#REF!&lt;=(TODAY()-(Data_Val!$L$2*365.25))),0,1),1))</f>
        <v>#REF!</v>
      </c>
      <c r="AE364" s="11" t="e">
        <f>IF(Data!#REF!="","",IF(Data!$G364="",1,IF(ISNUMBER(MATCH(Data!#REF!,Data_Val!$D$2:$D$10,0)),0,1)))</f>
        <v>#REF!</v>
      </c>
      <c r="AF364" s="12"/>
      <c r="AG364" s="12" t="e">
        <f>IF(Data!#REF!="","",IF(ISNUMBER(MATCH(Data!#REF!,Data_Val!$A$2:$A$3,0)),0,1))</f>
        <v>#REF!</v>
      </c>
      <c r="AH364" s="26" t="e">
        <f ca="1">IF(Data!#REF!="","",IF(ISNUMBER(Data!#REF!),IF(AND(Data!#REF!&gt;(TODAY()-(Data_Val!$L$3*365.25)),Data!#REF!&lt;=(TODAY()-(Data_Val!$L$2*365.25))),0,1),1))</f>
        <v>#REF!</v>
      </c>
      <c r="AI364" s="12" t="e">
        <f>IF(Data!#REF!="","",IF(Data!$G364="",1,IF(ISNUMBER(MATCH(Data!#REF!,Data_Val!$D$2:$D$10,0)),0,1)))</f>
        <v>#REF!</v>
      </c>
      <c r="AJ364" s="17"/>
      <c r="AK364" s="17" t="e">
        <f>IF(Data!#REF!="","",IF(ISNUMBER(MATCH(Data!#REF!,Data_Val!$A$2:$A$3,0)),0,1))</f>
        <v>#REF!</v>
      </c>
      <c r="AL364" s="25" t="e">
        <f ca="1">IF(Data!#REF!="","",IF(ISNUMBER(Data!#REF!),IF(AND(Data!#REF!&gt;(TODAY()-(Data_Val!$L$3*365.25)),Data!#REF!&lt;=(TODAY()-(Data_Val!$L$2*365.25))),0,1),1))</f>
        <v>#REF!</v>
      </c>
      <c r="AM364" s="17" t="e">
        <f>IF(Data!#REF!="","",IF(Data!$G364="",1,IF(ISNUMBER(MATCH(Data!#REF!,Data_Val!$D$2:$D$10,0)),0,1)))</f>
        <v>#REF!</v>
      </c>
      <c r="AN364" s="13"/>
      <c r="AO364" s="28" t="e">
        <f ca="1">IF(Data!#REF!="","",IF(ISNUMBER(Data!#REF!),IF(AND(Data!#REF!&gt;(TODAY()-(Data_Val!$I$3*365.25)),Data!#REF!&lt;=(TODAY()-(Data_Val!$I$2*365.25))),0,1),1))</f>
        <v>#REF!</v>
      </c>
      <c r="AP364" s="13" t="e">
        <f>IF(Data!#REF!="","",IF(Data!$G364="",1,IF(ISNUMBER(MATCH(Data!#REF!,Data_Val!$D$2:$D$10,0)),0,1)))</f>
        <v>#REF!</v>
      </c>
      <c r="AQ364" s="17"/>
      <c r="AR364" s="30" t="e">
        <f ca="1">IF(Data!#REF!="","",IF(ISNUMBER(Data!#REF!),IF(AND(Data!#REF!&gt;(TODAY()-(Data_Val!$I$3*365.25)),Data!#REF!&lt;=(TODAY()-(Data_Val!$I$2*365.25))),0,1),1))</f>
        <v>#REF!</v>
      </c>
      <c r="AS364" s="31" t="e">
        <f>IF(Data!#REF!="","",IF(Data!$G364="",1,IF(ISNUMBER(MATCH(Data!#REF!,Data_Val!$D$2:$D$10,0)),0,1)))</f>
        <v>#REF!</v>
      </c>
      <c r="AT364" s="11"/>
      <c r="AU364" s="11" t="e">
        <f ca="1">IF(Data!#REF!="","",IF(ISNUMBER(Data!#REF!),IF(AND(Data!#REF!&gt;(TODAY()-(Data_Val!$I$3*365.25)),Data!#REF!&lt;=(TODAY()-(Data_Val!$I$2*365.25))),0,1),1))</f>
        <v>#REF!</v>
      </c>
      <c r="AV364" s="11" t="e">
        <f>IF(Data!#REF!="","",IF(Data!$G364="",1,IF(ISNUMBER(MATCH(Data!#REF!,Data_Val!$D$2:$D$10,0)),0,1)))</f>
        <v>#REF!</v>
      </c>
      <c r="AW364" s="12"/>
      <c r="AX364" s="26" t="e">
        <f ca="1">IF(Data!#REF!="","",IF(ISNUMBER(Data!#REF!),IF(AND(Data!#REF!&gt;(TODAY()-(Data_Val!$I$3*365.25)),Data!#REF!&lt;=(TODAY()-(Data_Val!$I$2*365.25))),0,1),1))</f>
        <v>#REF!</v>
      </c>
      <c r="AY364" s="12" t="e">
        <f>IF(Data!#REF!="","",IF(Data!$G364="",1,IF(ISNUMBER(MATCH(Data!#REF!,Data_Val!$D$2:$D$10,0)),0,1)))</f>
        <v>#REF!</v>
      </c>
      <c r="AZ364" s="11"/>
      <c r="BA364" s="19" t="e">
        <f ca="1">IF(Data!#REF!="","",IF(ISNUMBER(Data!#REF!),IF(AND(Data!#REF!&gt;(TODAY()-(Data_Val!$M$3*365.25)),Data!#REF!&lt;=(TODAY()-(Data_Val!$M$2*365.25))),0,1),1))</f>
        <v>#REF!</v>
      </c>
      <c r="BB364" s="11" t="e">
        <f>IF(Data!#REF!="","",IF(Data!$G364="",1,IF(ISNUMBER(MATCH(Data!#REF!,Data_Val!$D$2:$D$10,0)),0,1)))</f>
        <v>#REF!</v>
      </c>
      <c r="BC364" s="12"/>
      <c r="BD364" s="20" t="e">
        <f ca="1">IF(Data!#REF!="","",IF(ISNUMBER(Data!#REF!),IF(AND(Data!#REF!&gt;(TODAY()-(Data_Val!$M$3*365.25)),Data!#REF!&lt;=(TODAY()-(Data_Val!$M$2*365.25))),0,1),1))</f>
        <v>#REF!</v>
      </c>
      <c r="BE364" s="12" t="e">
        <f>IF(Data!#REF!="","",IF(Data!$G364="",1,IF(ISNUMBER(MATCH(Data!#REF!,Data_Val!$D$2:$D$10,0)),0,1)))</f>
        <v>#REF!</v>
      </c>
      <c r="BF364" s="17"/>
      <c r="BG364" s="18" t="e">
        <f ca="1">IF(Data!#REF!="","",IF(ISNUMBER(Data!#REF!),IF(AND(Data!#REF!&gt;(TODAY()-(Data_Val!$M$3*365.25)),Data!#REF!&lt;=(TODAY()-(Data_Val!$M$2*365.25))),0,1),1))</f>
        <v>#REF!</v>
      </c>
      <c r="BH364" s="29" t="e">
        <f>IF(Data!#REF!="","",IF(Data!$G364="",1,IF(ISNUMBER(MATCH(Data!#REF!,Data_Val!$D$2:$D$10,0)),0,1)))</f>
        <v>#REF!</v>
      </c>
      <c r="BI364" s="13"/>
      <c r="BJ364" s="21" t="e">
        <f ca="1">IF(Data!#REF!="","",IF(ISNUMBER(Data!#REF!),IF(AND(Data!#REF!&gt;(TODAY()-(Data_Val!$M$3*365.25)),Data!#REF!&lt;=(TODAY()-(Data_Val!$M$2*365.25))),0,1),1))</f>
        <v>#REF!</v>
      </c>
      <c r="BK364" s="13" t="e">
        <f>IF(Data!#REF!="","",IF(Data!$G364="",1,IF(ISNUMBER(MATCH(Data!#REF!,Data_Val!$D$2:$D$10,0)),0,1)))</f>
        <v>#REF!</v>
      </c>
    </row>
    <row r="365" spans="1:63" x14ac:dyDescent="0.25">
      <c r="A365" s="9" t="str">
        <f>IF(Data!B365="","",IF(COUNTIFS(Data!A$1:'Data'!A365,Data!A365)&lt;=1,0,1))</f>
        <v/>
      </c>
      <c r="B365" s="9"/>
      <c r="C365" s="23" t="str">
        <f>IF(Data!C365="","",(IF(ISNUMBER(MATCH("*@*.?*",Data!C365,0)),0,1)+IF(COUNTIFS(Data!C$1:'Data'!C365,Data!C365)&gt;1,1,0)))</f>
        <v/>
      </c>
      <c r="D365" s="9" t="str">
        <f>IF(Data!B365="","",IF(ISNUMBER(Data!D365),IF(AND(Data!D365&gt;999999999,Data!D365&lt;=9999999999),IF(COUNTIFS(Data!D$1:'Data'!D365,Data!D365)&lt;=1,0,1),1),1))</f>
        <v/>
      </c>
      <c r="E365" s="9" t="str">
        <f>IF(Data!B365="","",IF(ISNUMBER(MATCH(Data!E365,Data_Val!$A$2:$A$3,0)),0,1))</f>
        <v/>
      </c>
      <c r="F365" s="9" t="str">
        <f ca="1">IF(Data!B365="","",IF(ISNUMBER(Data!F365),IF(AND(Data!F365&gt;(TODAY()-(Data_Val!$H$3*365.25)),Data!F365&lt;=(TODAY()-(Data_Val!$H$2*365.25))),0,1),1))</f>
        <v/>
      </c>
      <c r="G365" s="15" t="str">
        <f>IF(Data!B365="","",IF(AND(Data!G365="",Data!H365&lt;&gt;""),1,IF(Data!#REF!&lt;&gt;"",0,IF(ISNUMBER(MATCH(Data!G365,Data_Val!$C$2:$C$5,0)),0,1))))</f>
        <v/>
      </c>
      <c r="H365" s="15" t="str">
        <f>IF(Data!B365="","",IF(AND(Data!G365&lt;&gt;"",Data!H365=""),1,IF(Data!#REF!&lt;&gt;"",0,IF(Data!G365="",1,IF(ISNUMBER(MATCH(Data!H365,Data_Val!$D$2:$D$35,0)),0,1)))))</f>
        <v/>
      </c>
      <c r="I365" s="15" t="str">
        <f>IF(Data!B365="","",IF(Data!G365&lt;&gt;"",0,IF(ISNUMBER(MATCH(Data!#REF!,Data_Val!$E$2:$E$12,0)),0,1)))</f>
        <v/>
      </c>
      <c r="J365" s="16" t="e">
        <f>IF(OR(Data!B365="",Data!#REF!=""),"",IF(Data!#REF!="",1,0))</f>
        <v>#REF!</v>
      </c>
      <c r="K365" s="16" t="e">
        <f>IF(OR(Data!B365="",Data!#REF!=""),"",IF(Data!#REF!="",1,0))</f>
        <v>#REF!</v>
      </c>
      <c r="L365" s="16" t="e">
        <f>IF(OR(Data!B365="",Data!#REF!=""),"",IF(ISNUMBER(Data!#REF!),IF(AND(Data!#REF!&gt;Data_Val!$G$2,Data!#REF!&lt;=Data_Val!$G$3),0,1),1))</f>
        <v>#REF!</v>
      </c>
      <c r="M365" s="9" t="e">
        <f>IF(OR(Data!B365="",Data!#REF!=""),"",IF(ISNUMBER(MATCH(Data!#REF!,Data_Val!$F$1:$F$38,0)),0,1))</f>
        <v>#REF!</v>
      </c>
      <c r="N365" s="9" t="e">
        <f>IF(OR(Data!B365="",Data!#REF!=""),"",IF(Data!#REF!="",1,0))</f>
        <v>#REF!</v>
      </c>
      <c r="O365" s="17" t="e">
        <f>IF(Data!#REF!="","",IF(Data!#REF!="",1,0))</f>
        <v>#REF!</v>
      </c>
      <c r="P365" s="17" t="e">
        <f>IF(Data!#REF!="","",IF(ISNUMBER(MATCH(Data!#REF!,Data_Val!$A$2:$A$3,0)),0,1))</f>
        <v>#REF!</v>
      </c>
      <c r="Q365" s="25" t="e">
        <f ca="1">IF(Data!#REF!="","",IF(ISNUMBER(Data!#REF!),IF(AND(Data!#REF!&gt;(TODAY()-(Data_Val!$J$3*365.25)),Data!#REF!&lt;=(TODAY()-(Data_Val!$J$2*365.25))),0,1),1))</f>
        <v>#REF!</v>
      </c>
      <c r="R365" s="17" t="e">
        <f>IF(Data!#REF!="","",IF(ISNUMBER(MATCH(Data!#REF!,Data_Val!$B$2:$B$15,0)),0,1))</f>
        <v>#REF!</v>
      </c>
      <c r="S365" s="11" t="str">
        <f>IF(Data!G365="","",IF(Data!G365=Data_Val!$C$2,IF(Data!M365="",0,1),0))</f>
        <v/>
      </c>
      <c r="T365" s="11" t="str">
        <f>IF(Data!M365="","",IF(ISNUMBER(MATCH(Data!N365,Data_Val!$A$2:$A$3,0)),0,1))</f>
        <v/>
      </c>
      <c r="U365" s="11" t="str">
        <f ca="1">IF(Data!M365="","",IF(ISNUMBER(Data!O365),IF(AND(Data!O365&gt;(TODAY()-(Data_Val!$K$3*365.25)),Data!O365&lt;=(TODAY()-(Data_Val!$K$2*365.25))),0,1),1))</f>
        <v/>
      </c>
      <c r="V365" s="12" t="str">
        <f>IF(Data!G365="","",IF(Data!G365=Data_Val!$C$2,IF(Data!P365="",0,1),0))</f>
        <v/>
      </c>
      <c r="W365" s="12" t="str">
        <f>IF(Data!P365="","",IF(ISNUMBER(MATCH(Data!Q365,Data_Val!$A$2:$A$3,0)),0,1))</f>
        <v/>
      </c>
      <c r="X365" s="26" t="str">
        <f ca="1">IF(Data!P365="","",IF(ISNUMBER(Data!R365),IF(AND(Data!R365&gt;(TODAY()-(Data_Val!$L$3*365.25)),Data!R365&lt;=(TODAY()-(Data_Val!$L$2*365.25))),0,1),1))</f>
        <v/>
      </c>
      <c r="Y365" s="13" t="str">
        <f>IF(Data!$G365="","",IF(Data!$G365=Data_Val!$C$2,IF(Data!S365="",0,1),0))</f>
        <v/>
      </c>
      <c r="Z365" s="13" t="str">
        <f>IF(Data!S365="","",IF(ISNUMBER(MATCH(Data!T365,Data_Val!$A$2:$A$3,0)),0,1))</f>
        <v/>
      </c>
      <c r="AA365" s="28" t="str">
        <f ca="1">IF(Data!S365="","",IF(ISNUMBER(Data!U365),IF(AND(Data!U365&gt;(TODAY()-(Data_Val!$L$3*365.25)),Data!U365&lt;=(TODAY()-(Data_Val!$L$2*365.25))),0,1),1))</f>
        <v/>
      </c>
      <c r="AB365" s="11"/>
      <c r="AC365" s="11" t="e">
        <f>IF(Data!#REF!="","",IF(ISNUMBER(MATCH(Data!#REF!,Data_Val!$A$2:$A$3,0)),0,1))</f>
        <v>#REF!</v>
      </c>
      <c r="AD365" s="11" t="e">
        <f ca="1">IF(Data!#REF!="","",IF(ISNUMBER(Data!#REF!),IF(AND(Data!#REF!&gt;(TODAY()-(Data_Val!$L$3*365.25)),Data!#REF!&lt;=(TODAY()-(Data_Val!$L$2*365.25))),0,1),1))</f>
        <v>#REF!</v>
      </c>
      <c r="AE365" s="11" t="e">
        <f>IF(Data!#REF!="","",IF(Data!$G365="",1,IF(ISNUMBER(MATCH(Data!#REF!,Data_Val!$D$2:$D$10,0)),0,1)))</f>
        <v>#REF!</v>
      </c>
      <c r="AF365" s="12"/>
      <c r="AG365" s="12" t="e">
        <f>IF(Data!#REF!="","",IF(ISNUMBER(MATCH(Data!#REF!,Data_Val!$A$2:$A$3,0)),0,1))</f>
        <v>#REF!</v>
      </c>
      <c r="AH365" s="26" t="e">
        <f ca="1">IF(Data!#REF!="","",IF(ISNUMBER(Data!#REF!),IF(AND(Data!#REF!&gt;(TODAY()-(Data_Val!$L$3*365.25)),Data!#REF!&lt;=(TODAY()-(Data_Val!$L$2*365.25))),0,1),1))</f>
        <v>#REF!</v>
      </c>
      <c r="AI365" s="12" t="e">
        <f>IF(Data!#REF!="","",IF(Data!$G365="",1,IF(ISNUMBER(MATCH(Data!#REF!,Data_Val!$D$2:$D$10,0)),0,1)))</f>
        <v>#REF!</v>
      </c>
      <c r="AJ365" s="17"/>
      <c r="AK365" s="17" t="e">
        <f>IF(Data!#REF!="","",IF(ISNUMBER(MATCH(Data!#REF!,Data_Val!$A$2:$A$3,0)),0,1))</f>
        <v>#REF!</v>
      </c>
      <c r="AL365" s="25" t="e">
        <f ca="1">IF(Data!#REF!="","",IF(ISNUMBER(Data!#REF!),IF(AND(Data!#REF!&gt;(TODAY()-(Data_Val!$L$3*365.25)),Data!#REF!&lt;=(TODAY()-(Data_Val!$L$2*365.25))),0,1),1))</f>
        <v>#REF!</v>
      </c>
      <c r="AM365" s="17" t="e">
        <f>IF(Data!#REF!="","",IF(Data!$G365="",1,IF(ISNUMBER(MATCH(Data!#REF!,Data_Val!$D$2:$D$10,0)),0,1)))</f>
        <v>#REF!</v>
      </c>
      <c r="AN365" s="13"/>
      <c r="AO365" s="28" t="e">
        <f ca="1">IF(Data!#REF!="","",IF(ISNUMBER(Data!#REF!),IF(AND(Data!#REF!&gt;(TODAY()-(Data_Val!$I$3*365.25)),Data!#REF!&lt;=(TODAY()-(Data_Val!$I$2*365.25))),0,1),1))</f>
        <v>#REF!</v>
      </c>
      <c r="AP365" s="13" t="e">
        <f>IF(Data!#REF!="","",IF(Data!$G365="",1,IF(ISNUMBER(MATCH(Data!#REF!,Data_Val!$D$2:$D$10,0)),0,1)))</f>
        <v>#REF!</v>
      </c>
      <c r="AQ365" s="17"/>
      <c r="AR365" s="30" t="e">
        <f ca="1">IF(Data!#REF!="","",IF(ISNUMBER(Data!#REF!),IF(AND(Data!#REF!&gt;(TODAY()-(Data_Val!$I$3*365.25)),Data!#REF!&lt;=(TODAY()-(Data_Val!$I$2*365.25))),0,1),1))</f>
        <v>#REF!</v>
      </c>
      <c r="AS365" s="31" t="e">
        <f>IF(Data!#REF!="","",IF(Data!$G365="",1,IF(ISNUMBER(MATCH(Data!#REF!,Data_Val!$D$2:$D$10,0)),0,1)))</f>
        <v>#REF!</v>
      </c>
      <c r="AT365" s="11"/>
      <c r="AU365" s="11" t="e">
        <f ca="1">IF(Data!#REF!="","",IF(ISNUMBER(Data!#REF!),IF(AND(Data!#REF!&gt;(TODAY()-(Data_Val!$I$3*365.25)),Data!#REF!&lt;=(TODAY()-(Data_Val!$I$2*365.25))),0,1),1))</f>
        <v>#REF!</v>
      </c>
      <c r="AV365" s="11" t="e">
        <f>IF(Data!#REF!="","",IF(Data!$G365="",1,IF(ISNUMBER(MATCH(Data!#REF!,Data_Val!$D$2:$D$10,0)),0,1)))</f>
        <v>#REF!</v>
      </c>
      <c r="AW365" s="12"/>
      <c r="AX365" s="26" t="e">
        <f ca="1">IF(Data!#REF!="","",IF(ISNUMBER(Data!#REF!),IF(AND(Data!#REF!&gt;(TODAY()-(Data_Val!$I$3*365.25)),Data!#REF!&lt;=(TODAY()-(Data_Val!$I$2*365.25))),0,1),1))</f>
        <v>#REF!</v>
      </c>
      <c r="AY365" s="12" t="e">
        <f>IF(Data!#REF!="","",IF(Data!$G365="",1,IF(ISNUMBER(MATCH(Data!#REF!,Data_Val!$D$2:$D$10,0)),0,1)))</f>
        <v>#REF!</v>
      </c>
      <c r="AZ365" s="11"/>
      <c r="BA365" s="19" t="e">
        <f ca="1">IF(Data!#REF!="","",IF(ISNUMBER(Data!#REF!),IF(AND(Data!#REF!&gt;(TODAY()-(Data_Val!$M$3*365.25)),Data!#REF!&lt;=(TODAY()-(Data_Val!$M$2*365.25))),0,1),1))</f>
        <v>#REF!</v>
      </c>
      <c r="BB365" s="11" t="e">
        <f>IF(Data!#REF!="","",IF(Data!$G365="",1,IF(ISNUMBER(MATCH(Data!#REF!,Data_Val!$D$2:$D$10,0)),0,1)))</f>
        <v>#REF!</v>
      </c>
      <c r="BC365" s="12"/>
      <c r="BD365" s="20" t="e">
        <f ca="1">IF(Data!#REF!="","",IF(ISNUMBER(Data!#REF!),IF(AND(Data!#REF!&gt;(TODAY()-(Data_Val!$M$3*365.25)),Data!#REF!&lt;=(TODAY()-(Data_Val!$M$2*365.25))),0,1),1))</f>
        <v>#REF!</v>
      </c>
      <c r="BE365" s="12" t="e">
        <f>IF(Data!#REF!="","",IF(Data!$G365="",1,IF(ISNUMBER(MATCH(Data!#REF!,Data_Val!$D$2:$D$10,0)),0,1)))</f>
        <v>#REF!</v>
      </c>
      <c r="BF365" s="17"/>
      <c r="BG365" s="18" t="e">
        <f ca="1">IF(Data!#REF!="","",IF(ISNUMBER(Data!#REF!),IF(AND(Data!#REF!&gt;(TODAY()-(Data_Val!$M$3*365.25)),Data!#REF!&lt;=(TODAY()-(Data_Val!$M$2*365.25))),0,1),1))</f>
        <v>#REF!</v>
      </c>
      <c r="BH365" s="29" t="e">
        <f>IF(Data!#REF!="","",IF(Data!$G365="",1,IF(ISNUMBER(MATCH(Data!#REF!,Data_Val!$D$2:$D$10,0)),0,1)))</f>
        <v>#REF!</v>
      </c>
      <c r="BI365" s="13"/>
      <c r="BJ365" s="21" t="e">
        <f ca="1">IF(Data!#REF!="","",IF(ISNUMBER(Data!#REF!),IF(AND(Data!#REF!&gt;(TODAY()-(Data_Val!$M$3*365.25)),Data!#REF!&lt;=(TODAY()-(Data_Val!$M$2*365.25))),0,1),1))</f>
        <v>#REF!</v>
      </c>
      <c r="BK365" s="13" t="e">
        <f>IF(Data!#REF!="","",IF(Data!$G365="",1,IF(ISNUMBER(MATCH(Data!#REF!,Data_Val!$D$2:$D$10,0)),0,1)))</f>
        <v>#REF!</v>
      </c>
    </row>
    <row r="366" spans="1:63" x14ac:dyDescent="0.25">
      <c r="A366" s="9" t="str">
        <f>IF(Data!B366="","",IF(COUNTIFS(Data!A$1:'Data'!A366,Data!A366)&lt;=1,0,1))</f>
        <v/>
      </c>
      <c r="B366" s="9"/>
      <c r="C366" s="23" t="str">
        <f>IF(Data!C366="","",(IF(ISNUMBER(MATCH("*@*.?*",Data!C366,0)),0,1)+IF(COUNTIFS(Data!C$1:'Data'!C366,Data!C366)&gt;1,1,0)))</f>
        <v/>
      </c>
      <c r="D366" s="9" t="str">
        <f>IF(Data!B366="","",IF(ISNUMBER(Data!D366),IF(AND(Data!D366&gt;999999999,Data!D366&lt;=9999999999),IF(COUNTIFS(Data!D$1:'Data'!D366,Data!D366)&lt;=1,0,1),1),1))</f>
        <v/>
      </c>
      <c r="E366" s="9" t="str">
        <f>IF(Data!B366="","",IF(ISNUMBER(MATCH(Data!E366,Data_Val!$A$2:$A$3,0)),0,1))</f>
        <v/>
      </c>
      <c r="F366" s="9" t="str">
        <f ca="1">IF(Data!B366="","",IF(ISNUMBER(Data!F366),IF(AND(Data!F366&gt;(TODAY()-(Data_Val!$H$3*365.25)),Data!F366&lt;=(TODAY()-(Data_Val!$H$2*365.25))),0,1),1))</f>
        <v/>
      </c>
      <c r="G366" s="15" t="str">
        <f>IF(Data!B366="","",IF(AND(Data!G366="",Data!H366&lt;&gt;""),1,IF(Data!#REF!&lt;&gt;"",0,IF(ISNUMBER(MATCH(Data!G366,Data_Val!$C$2:$C$5,0)),0,1))))</f>
        <v/>
      </c>
      <c r="H366" s="15" t="str">
        <f>IF(Data!B366="","",IF(AND(Data!G366&lt;&gt;"",Data!H366=""),1,IF(Data!#REF!&lt;&gt;"",0,IF(Data!G366="",1,IF(ISNUMBER(MATCH(Data!H366,Data_Val!$D$2:$D$35,0)),0,1)))))</f>
        <v/>
      </c>
      <c r="I366" s="15" t="str">
        <f>IF(Data!B366="","",IF(Data!G366&lt;&gt;"",0,IF(ISNUMBER(MATCH(Data!#REF!,Data_Val!$E$2:$E$12,0)),0,1)))</f>
        <v/>
      </c>
      <c r="J366" s="16" t="e">
        <f>IF(OR(Data!B366="",Data!#REF!=""),"",IF(Data!#REF!="",1,0))</f>
        <v>#REF!</v>
      </c>
      <c r="K366" s="16" t="e">
        <f>IF(OR(Data!B366="",Data!#REF!=""),"",IF(Data!#REF!="",1,0))</f>
        <v>#REF!</v>
      </c>
      <c r="L366" s="16" t="e">
        <f>IF(OR(Data!B366="",Data!#REF!=""),"",IF(ISNUMBER(Data!#REF!),IF(AND(Data!#REF!&gt;Data_Val!$G$2,Data!#REF!&lt;=Data_Val!$G$3),0,1),1))</f>
        <v>#REF!</v>
      </c>
      <c r="M366" s="9" t="e">
        <f>IF(OR(Data!B366="",Data!#REF!=""),"",IF(ISNUMBER(MATCH(Data!#REF!,Data_Val!$F$1:$F$38,0)),0,1))</f>
        <v>#REF!</v>
      </c>
      <c r="N366" s="9" t="e">
        <f>IF(OR(Data!B366="",Data!#REF!=""),"",IF(Data!#REF!="",1,0))</f>
        <v>#REF!</v>
      </c>
      <c r="O366" s="17" t="e">
        <f>IF(Data!#REF!="","",IF(Data!#REF!="",1,0))</f>
        <v>#REF!</v>
      </c>
      <c r="P366" s="17" t="e">
        <f>IF(Data!#REF!="","",IF(ISNUMBER(MATCH(Data!#REF!,Data_Val!$A$2:$A$3,0)),0,1))</f>
        <v>#REF!</v>
      </c>
      <c r="Q366" s="25" t="e">
        <f ca="1">IF(Data!#REF!="","",IF(ISNUMBER(Data!#REF!),IF(AND(Data!#REF!&gt;(TODAY()-(Data_Val!$J$3*365.25)),Data!#REF!&lt;=(TODAY()-(Data_Val!$J$2*365.25))),0,1),1))</f>
        <v>#REF!</v>
      </c>
      <c r="R366" s="17" t="e">
        <f>IF(Data!#REF!="","",IF(ISNUMBER(MATCH(Data!#REF!,Data_Val!$B$2:$B$15,0)),0,1))</f>
        <v>#REF!</v>
      </c>
      <c r="S366" s="11" t="str">
        <f>IF(Data!G366="","",IF(Data!G366=Data_Val!$C$2,IF(Data!M366="",0,1),0))</f>
        <v/>
      </c>
      <c r="T366" s="11" t="str">
        <f>IF(Data!M366="","",IF(ISNUMBER(MATCH(Data!N366,Data_Val!$A$2:$A$3,0)),0,1))</f>
        <v/>
      </c>
      <c r="U366" s="11" t="str">
        <f ca="1">IF(Data!M366="","",IF(ISNUMBER(Data!O366),IF(AND(Data!O366&gt;(TODAY()-(Data_Val!$K$3*365.25)),Data!O366&lt;=(TODAY()-(Data_Val!$K$2*365.25))),0,1),1))</f>
        <v/>
      </c>
      <c r="V366" s="12" t="str">
        <f>IF(Data!G366="","",IF(Data!G366=Data_Val!$C$2,IF(Data!P366="",0,1),0))</f>
        <v/>
      </c>
      <c r="W366" s="12" t="str">
        <f>IF(Data!P366="","",IF(ISNUMBER(MATCH(Data!Q366,Data_Val!$A$2:$A$3,0)),0,1))</f>
        <v/>
      </c>
      <c r="X366" s="26" t="str">
        <f ca="1">IF(Data!P366="","",IF(ISNUMBER(Data!R366),IF(AND(Data!R366&gt;(TODAY()-(Data_Val!$L$3*365.25)),Data!R366&lt;=(TODAY()-(Data_Val!$L$2*365.25))),0,1),1))</f>
        <v/>
      </c>
      <c r="Y366" s="13" t="str">
        <f>IF(Data!$G366="","",IF(Data!$G366=Data_Val!$C$2,IF(Data!S366="",0,1),0))</f>
        <v/>
      </c>
      <c r="Z366" s="13" t="str">
        <f>IF(Data!S366="","",IF(ISNUMBER(MATCH(Data!T366,Data_Val!$A$2:$A$3,0)),0,1))</f>
        <v/>
      </c>
      <c r="AA366" s="28" t="str">
        <f ca="1">IF(Data!S366="","",IF(ISNUMBER(Data!U366),IF(AND(Data!U366&gt;(TODAY()-(Data_Val!$L$3*365.25)),Data!U366&lt;=(TODAY()-(Data_Val!$L$2*365.25))),0,1),1))</f>
        <v/>
      </c>
      <c r="AB366" s="11"/>
      <c r="AC366" s="11" t="e">
        <f>IF(Data!#REF!="","",IF(ISNUMBER(MATCH(Data!#REF!,Data_Val!$A$2:$A$3,0)),0,1))</f>
        <v>#REF!</v>
      </c>
      <c r="AD366" s="11" t="e">
        <f ca="1">IF(Data!#REF!="","",IF(ISNUMBER(Data!#REF!),IF(AND(Data!#REF!&gt;(TODAY()-(Data_Val!$L$3*365.25)),Data!#REF!&lt;=(TODAY()-(Data_Val!$L$2*365.25))),0,1),1))</f>
        <v>#REF!</v>
      </c>
      <c r="AE366" s="11" t="e">
        <f>IF(Data!#REF!="","",IF(Data!$G366="",1,IF(ISNUMBER(MATCH(Data!#REF!,Data_Val!$D$2:$D$10,0)),0,1)))</f>
        <v>#REF!</v>
      </c>
      <c r="AF366" s="12"/>
      <c r="AG366" s="12" t="e">
        <f>IF(Data!#REF!="","",IF(ISNUMBER(MATCH(Data!#REF!,Data_Val!$A$2:$A$3,0)),0,1))</f>
        <v>#REF!</v>
      </c>
      <c r="AH366" s="26" t="e">
        <f ca="1">IF(Data!#REF!="","",IF(ISNUMBER(Data!#REF!),IF(AND(Data!#REF!&gt;(TODAY()-(Data_Val!$L$3*365.25)),Data!#REF!&lt;=(TODAY()-(Data_Val!$L$2*365.25))),0,1),1))</f>
        <v>#REF!</v>
      </c>
      <c r="AI366" s="12" t="e">
        <f>IF(Data!#REF!="","",IF(Data!$G366="",1,IF(ISNUMBER(MATCH(Data!#REF!,Data_Val!$D$2:$D$10,0)),0,1)))</f>
        <v>#REF!</v>
      </c>
      <c r="AJ366" s="17"/>
      <c r="AK366" s="17" t="e">
        <f>IF(Data!#REF!="","",IF(ISNUMBER(MATCH(Data!#REF!,Data_Val!$A$2:$A$3,0)),0,1))</f>
        <v>#REF!</v>
      </c>
      <c r="AL366" s="25" t="e">
        <f ca="1">IF(Data!#REF!="","",IF(ISNUMBER(Data!#REF!),IF(AND(Data!#REF!&gt;(TODAY()-(Data_Val!$L$3*365.25)),Data!#REF!&lt;=(TODAY()-(Data_Val!$L$2*365.25))),0,1),1))</f>
        <v>#REF!</v>
      </c>
      <c r="AM366" s="17" t="e">
        <f>IF(Data!#REF!="","",IF(Data!$G366="",1,IF(ISNUMBER(MATCH(Data!#REF!,Data_Val!$D$2:$D$10,0)),0,1)))</f>
        <v>#REF!</v>
      </c>
      <c r="AN366" s="13"/>
      <c r="AO366" s="28" t="e">
        <f ca="1">IF(Data!#REF!="","",IF(ISNUMBER(Data!#REF!),IF(AND(Data!#REF!&gt;(TODAY()-(Data_Val!$I$3*365.25)),Data!#REF!&lt;=(TODAY()-(Data_Val!$I$2*365.25))),0,1),1))</f>
        <v>#REF!</v>
      </c>
      <c r="AP366" s="13" t="e">
        <f>IF(Data!#REF!="","",IF(Data!$G366="",1,IF(ISNUMBER(MATCH(Data!#REF!,Data_Val!$D$2:$D$10,0)),0,1)))</f>
        <v>#REF!</v>
      </c>
      <c r="AQ366" s="17"/>
      <c r="AR366" s="30" t="e">
        <f ca="1">IF(Data!#REF!="","",IF(ISNUMBER(Data!#REF!),IF(AND(Data!#REF!&gt;(TODAY()-(Data_Val!$I$3*365.25)),Data!#REF!&lt;=(TODAY()-(Data_Val!$I$2*365.25))),0,1),1))</f>
        <v>#REF!</v>
      </c>
      <c r="AS366" s="31" t="e">
        <f>IF(Data!#REF!="","",IF(Data!$G366="",1,IF(ISNUMBER(MATCH(Data!#REF!,Data_Val!$D$2:$D$10,0)),0,1)))</f>
        <v>#REF!</v>
      </c>
      <c r="AT366" s="11"/>
      <c r="AU366" s="11" t="e">
        <f ca="1">IF(Data!#REF!="","",IF(ISNUMBER(Data!#REF!),IF(AND(Data!#REF!&gt;(TODAY()-(Data_Val!$I$3*365.25)),Data!#REF!&lt;=(TODAY()-(Data_Val!$I$2*365.25))),0,1),1))</f>
        <v>#REF!</v>
      </c>
      <c r="AV366" s="11" t="e">
        <f>IF(Data!#REF!="","",IF(Data!$G366="",1,IF(ISNUMBER(MATCH(Data!#REF!,Data_Val!$D$2:$D$10,0)),0,1)))</f>
        <v>#REF!</v>
      </c>
      <c r="AW366" s="12"/>
      <c r="AX366" s="26" t="e">
        <f ca="1">IF(Data!#REF!="","",IF(ISNUMBER(Data!#REF!),IF(AND(Data!#REF!&gt;(TODAY()-(Data_Val!$I$3*365.25)),Data!#REF!&lt;=(TODAY()-(Data_Val!$I$2*365.25))),0,1),1))</f>
        <v>#REF!</v>
      </c>
      <c r="AY366" s="12" t="e">
        <f>IF(Data!#REF!="","",IF(Data!$G366="",1,IF(ISNUMBER(MATCH(Data!#REF!,Data_Val!$D$2:$D$10,0)),0,1)))</f>
        <v>#REF!</v>
      </c>
      <c r="AZ366" s="11"/>
      <c r="BA366" s="19" t="e">
        <f ca="1">IF(Data!#REF!="","",IF(ISNUMBER(Data!#REF!),IF(AND(Data!#REF!&gt;(TODAY()-(Data_Val!$M$3*365.25)),Data!#REF!&lt;=(TODAY()-(Data_Val!$M$2*365.25))),0,1),1))</f>
        <v>#REF!</v>
      </c>
      <c r="BB366" s="11" t="e">
        <f>IF(Data!#REF!="","",IF(Data!$G366="",1,IF(ISNUMBER(MATCH(Data!#REF!,Data_Val!$D$2:$D$10,0)),0,1)))</f>
        <v>#REF!</v>
      </c>
      <c r="BC366" s="12"/>
      <c r="BD366" s="20" t="e">
        <f ca="1">IF(Data!#REF!="","",IF(ISNUMBER(Data!#REF!),IF(AND(Data!#REF!&gt;(TODAY()-(Data_Val!$M$3*365.25)),Data!#REF!&lt;=(TODAY()-(Data_Val!$M$2*365.25))),0,1),1))</f>
        <v>#REF!</v>
      </c>
      <c r="BE366" s="12" t="e">
        <f>IF(Data!#REF!="","",IF(Data!$G366="",1,IF(ISNUMBER(MATCH(Data!#REF!,Data_Val!$D$2:$D$10,0)),0,1)))</f>
        <v>#REF!</v>
      </c>
      <c r="BF366" s="17"/>
      <c r="BG366" s="18" t="e">
        <f ca="1">IF(Data!#REF!="","",IF(ISNUMBER(Data!#REF!),IF(AND(Data!#REF!&gt;(TODAY()-(Data_Val!$M$3*365.25)),Data!#REF!&lt;=(TODAY()-(Data_Val!$M$2*365.25))),0,1),1))</f>
        <v>#REF!</v>
      </c>
      <c r="BH366" s="29" t="e">
        <f>IF(Data!#REF!="","",IF(Data!$G366="",1,IF(ISNUMBER(MATCH(Data!#REF!,Data_Val!$D$2:$D$10,0)),0,1)))</f>
        <v>#REF!</v>
      </c>
      <c r="BI366" s="13"/>
      <c r="BJ366" s="21" t="e">
        <f ca="1">IF(Data!#REF!="","",IF(ISNUMBER(Data!#REF!),IF(AND(Data!#REF!&gt;(TODAY()-(Data_Val!$M$3*365.25)),Data!#REF!&lt;=(TODAY()-(Data_Val!$M$2*365.25))),0,1),1))</f>
        <v>#REF!</v>
      </c>
      <c r="BK366" s="13" t="e">
        <f>IF(Data!#REF!="","",IF(Data!$G366="",1,IF(ISNUMBER(MATCH(Data!#REF!,Data_Val!$D$2:$D$10,0)),0,1)))</f>
        <v>#REF!</v>
      </c>
    </row>
    <row r="367" spans="1:63" x14ac:dyDescent="0.25">
      <c r="A367" s="9" t="str">
        <f>IF(Data!B367="","",IF(COUNTIFS(Data!A$1:'Data'!A367,Data!A367)&lt;=1,0,1))</f>
        <v/>
      </c>
      <c r="B367" s="9"/>
      <c r="C367" s="23" t="str">
        <f>IF(Data!C367="","",(IF(ISNUMBER(MATCH("*@*.?*",Data!C367,0)),0,1)+IF(COUNTIFS(Data!C$1:'Data'!C367,Data!C367)&gt;1,1,0)))</f>
        <v/>
      </c>
      <c r="D367" s="9" t="str">
        <f>IF(Data!B367="","",IF(ISNUMBER(Data!D367),IF(AND(Data!D367&gt;999999999,Data!D367&lt;=9999999999),IF(COUNTIFS(Data!D$1:'Data'!D367,Data!D367)&lt;=1,0,1),1),1))</f>
        <v/>
      </c>
      <c r="E367" s="9" t="str">
        <f>IF(Data!B367="","",IF(ISNUMBER(MATCH(Data!E367,Data_Val!$A$2:$A$3,0)),0,1))</f>
        <v/>
      </c>
      <c r="F367" s="9" t="str">
        <f ca="1">IF(Data!B367="","",IF(ISNUMBER(Data!F367),IF(AND(Data!F367&gt;(TODAY()-(Data_Val!$H$3*365.25)),Data!F367&lt;=(TODAY()-(Data_Val!$H$2*365.25))),0,1),1))</f>
        <v/>
      </c>
      <c r="G367" s="15" t="str">
        <f>IF(Data!B367="","",IF(AND(Data!G367="",Data!H367&lt;&gt;""),1,IF(Data!#REF!&lt;&gt;"",0,IF(ISNUMBER(MATCH(Data!G367,Data_Val!$C$2:$C$5,0)),0,1))))</f>
        <v/>
      </c>
      <c r="H367" s="15" t="str">
        <f>IF(Data!B367="","",IF(AND(Data!G367&lt;&gt;"",Data!H367=""),1,IF(Data!#REF!&lt;&gt;"",0,IF(Data!G367="",1,IF(ISNUMBER(MATCH(Data!H367,Data_Val!$D$2:$D$35,0)),0,1)))))</f>
        <v/>
      </c>
      <c r="I367" s="15" t="str">
        <f>IF(Data!B367="","",IF(Data!G367&lt;&gt;"",0,IF(ISNUMBER(MATCH(Data!#REF!,Data_Val!$E$2:$E$12,0)),0,1)))</f>
        <v/>
      </c>
      <c r="J367" s="16" t="e">
        <f>IF(OR(Data!B367="",Data!#REF!=""),"",IF(Data!#REF!="",1,0))</f>
        <v>#REF!</v>
      </c>
      <c r="K367" s="16" t="e">
        <f>IF(OR(Data!B367="",Data!#REF!=""),"",IF(Data!#REF!="",1,0))</f>
        <v>#REF!</v>
      </c>
      <c r="L367" s="16" t="e">
        <f>IF(OR(Data!B367="",Data!#REF!=""),"",IF(ISNUMBER(Data!#REF!),IF(AND(Data!#REF!&gt;Data_Val!$G$2,Data!#REF!&lt;=Data_Val!$G$3),0,1),1))</f>
        <v>#REF!</v>
      </c>
      <c r="M367" s="9" t="e">
        <f>IF(OR(Data!B367="",Data!#REF!=""),"",IF(ISNUMBER(MATCH(Data!#REF!,Data_Val!$F$1:$F$38,0)),0,1))</f>
        <v>#REF!</v>
      </c>
      <c r="N367" s="9" t="e">
        <f>IF(OR(Data!B367="",Data!#REF!=""),"",IF(Data!#REF!="",1,0))</f>
        <v>#REF!</v>
      </c>
      <c r="O367" s="17" t="e">
        <f>IF(Data!#REF!="","",IF(Data!#REF!="",1,0))</f>
        <v>#REF!</v>
      </c>
      <c r="P367" s="17" t="e">
        <f>IF(Data!#REF!="","",IF(ISNUMBER(MATCH(Data!#REF!,Data_Val!$A$2:$A$3,0)),0,1))</f>
        <v>#REF!</v>
      </c>
      <c r="Q367" s="25" t="e">
        <f ca="1">IF(Data!#REF!="","",IF(ISNUMBER(Data!#REF!),IF(AND(Data!#REF!&gt;(TODAY()-(Data_Val!$J$3*365.25)),Data!#REF!&lt;=(TODAY()-(Data_Val!$J$2*365.25))),0,1),1))</f>
        <v>#REF!</v>
      </c>
      <c r="R367" s="17" t="e">
        <f>IF(Data!#REF!="","",IF(ISNUMBER(MATCH(Data!#REF!,Data_Val!$B$2:$B$15,0)),0,1))</f>
        <v>#REF!</v>
      </c>
      <c r="S367" s="11" t="str">
        <f>IF(Data!G367="","",IF(Data!G367=Data_Val!$C$2,IF(Data!M367="",0,1),0))</f>
        <v/>
      </c>
      <c r="T367" s="11" t="str">
        <f>IF(Data!M367="","",IF(ISNUMBER(MATCH(Data!N367,Data_Val!$A$2:$A$3,0)),0,1))</f>
        <v/>
      </c>
      <c r="U367" s="11" t="str">
        <f ca="1">IF(Data!M367="","",IF(ISNUMBER(Data!O367),IF(AND(Data!O367&gt;(TODAY()-(Data_Val!$K$3*365.25)),Data!O367&lt;=(TODAY()-(Data_Val!$K$2*365.25))),0,1),1))</f>
        <v/>
      </c>
      <c r="V367" s="12" t="str">
        <f>IF(Data!G367="","",IF(Data!G367=Data_Val!$C$2,IF(Data!P367="",0,1),0))</f>
        <v/>
      </c>
      <c r="W367" s="12" t="str">
        <f>IF(Data!P367="","",IF(ISNUMBER(MATCH(Data!Q367,Data_Val!$A$2:$A$3,0)),0,1))</f>
        <v/>
      </c>
      <c r="X367" s="26" t="str">
        <f ca="1">IF(Data!P367="","",IF(ISNUMBER(Data!R367),IF(AND(Data!R367&gt;(TODAY()-(Data_Val!$L$3*365.25)),Data!R367&lt;=(TODAY()-(Data_Val!$L$2*365.25))),0,1),1))</f>
        <v/>
      </c>
      <c r="Y367" s="13" t="str">
        <f>IF(Data!$G367="","",IF(Data!$G367=Data_Val!$C$2,IF(Data!S367="",0,1),0))</f>
        <v/>
      </c>
      <c r="Z367" s="13" t="str">
        <f>IF(Data!S367="","",IF(ISNUMBER(MATCH(Data!T367,Data_Val!$A$2:$A$3,0)),0,1))</f>
        <v/>
      </c>
      <c r="AA367" s="28" t="str">
        <f ca="1">IF(Data!S367="","",IF(ISNUMBER(Data!U367),IF(AND(Data!U367&gt;(TODAY()-(Data_Val!$L$3*365.25)),Data!U367&lt;=(TODAY()-(Data_Val!$L$2*365.25))),0,1),1))</f>
        <v/>
      </c>
      <c r="AB367" s="11"/>
      <c r="AC367" s="11" t="e">
        <f>IF(Data!#REF!="","",IF(ISNUMBER(MATCH(Data!#REF!,Data_Val!$A$2:$A$3,0)),0,1))</f>
        <v>#REF!</v>
      </c>
      <c r="AD367" s="11" t="e">
        <f ca="1">IF(Data!#REF!="","",IF(ISNUMBER(Data!#REF!),IF(AND(Data!#REF!&gt;(TODAY()-(Data_Val!$L$3*365.25)),Data!#REF!&lt;=(TODAY()-(Data_Val!$L$2*365.25))),0,1),1))</f>
        <v>#REF!</v>
      </c>
      <c r="AE367" s="11" t="e">
        <f>IF(Data!#REF!="","",IF(Data!$G367="",1,IF(ISNUMBER(MATCH(Data!#REF!,Data_Val!$D$2:$D$10,0)),0,1)))</f>
        <v>#REF!</v>
      </c>
      <c r="AF367" s="12"/>
      <c r="AG367" s="12" t="e">
        <f>IF(Data!#REF!="","",IF(ISNUMBER(MATCH(Data!#REF!,Data_Val!$A$2:$A$3,0)),0,1))</f>
        <v>#REF!</v>
      </c>
      <c r="AH367" s="26" t="e">
        <f ca="1">IF(Data!#REF!="","",IF(ISNUMBER(Data!#REF!),IF(AND(Data!#REF!&gt;(TODAY()-(Data_Val!$L$3*365.25)),Data!#REF!&lt;=(TODAY()-(Data_Val!$L$2*365.25))),0,1),1))</f>
        <v>#REF!</v>
      </c>
      <c r="AI367" s="12" t="e">
        <f>IF(Data!#REF!="","",IF(Data!$G367="",1,IF(ISNUMBER(MATCH(Data!#REF!,Data_Val!$D$2:$D$10,0)),0,1)))</f>
        <v>#REF!</v>
      </c>
      <c r="AJ367" s="17"/>
      <c r="AK367" s="17" t="e">
        <f>IF(Data!#REF!="","",IF(ISNUMBER(MATCH(Data!#REF!,Data_Val!$A$2:$A$3,0)),0,1))</f>
        <v>#REF!</v>
      </c>
      <c r="AL367" s="25" t="e">
        <f ca="1">IF(Data!#REF!="","",IF(ISNUMBER(Data!#REF!),IF(AND(Data!#REF!&gt;(TODAY()-(Data_Val!$L$3*365.25)),Data!#REF!&lt;=(TODAY()-(Data_Val!$L$2*365.25))),0,1),1))</f>
        <v>#REF!</v>
      </c>
      <c r="AM367" s="17" t="e">
        <f>IF(Data!#REF!="","",IF(Data!$G367="",1,IF(ISNUMBER(MATCH(Data!#REF!,Data_Val!$D$2:$D$10,0)),0,1)))</f>
        <v>#REF!</v>
      </c>
      <c r="AN367" s="13"/>
      <c r="AO367" s="28" t="e">
        <f ca="1">IF(Data!#REF!="","",IF(ISNUMBER(Data!#REF!),IF(AND(Data!#REF!&gt;(TODAY()-(Data_Val!$I$3*365.25)),Data!#REF!&lt;=(TODAY()-(Data_Val!$I$2*365.25))),0,1),1))</f>
        <v>#REF!</v>
      </c>
      <c r="AP367" s="13" t="e">
        <f>IF(Data!#REF!="","",IF(Data!$G367="",1,IF(ISNUMBER(MATCH(Data!#REF!,Data_Val!$D$2:$D$10,0)),0,1)))</f>
        <v>#REF!</v>
      </c>
      <c r="AQ367" s="17"/>
      <c r="AR367" s="30" t="e">
        <f ca="1">IF(Data!#REF!="","",IF(ISNUMBER(Data!#REF!),IF(AND(Data!#REF!&gt;(TODAY()-(Data_Val!$I$3*365.25)),Data!#REF!&lt;=(TODAY()-(Data_Val!$I$2*365.25))),0,1),1))</f>
        <v>#REF!</v>
      </c>
      <c r="AS367" s="31" t="e">
        <f>IF(Data!#REF!="","",IF(Data!$G367="",1,IF(ISNUMBER(MATCH(Data!#REF!,Data_Val!$D$2:$D$10,0)),0,1)))</f>
        <v>#REF!</v>
      </c>
      <c r="AT367" s="11"/>
      <c r="AU367" s="11" t="e">
        <f ca="1">IF(Data!#REF!="","",IF(ISNUMBER(Data!#REF!),IF(AND(Data!#REF!&gt;(TODAY()-(Data_Val!$I$3*365.25)),Data!#REF!&lt;=(TODAY()-(Data_Val!$I$2*365.25))),0,1),1))</f>
        <v>#REF!</v>
      </c>
      <c r="AV367" s="11" t="e">
        <f>IF(Data!#REF!="","",IF(Data!$G367="",1,IF(ISNUMBER(MATCH(Data!#REF!,Data_Val!$D$2:$D$10,0)),0,1)))</f>
        <v>#REF!</v>
      </c>
      <c r="AW367" s="12"/>
      <c r="AX367" s="26" t="e">
        <f ca="1">IF(Data!#REF!="","",IF(ISNUMBER(Data!#REF!),IF(AND(Data!#REF!&gt;(TODAY()-(Data_Val!$I$3*365.25)),Data!#REF!&lt;=(TODAY()-(Data_Val!$I$2*365.25))),0,1),1))</f>
        <v>#REF!</v>
      </c>
      <c r="AY367" s="12" t="e">
        <f>IF(Data!#REF!="","",IF(Data!$G367="",1,IF(ISNUMBER(MATCH(Data!#REF!,Data_Val!$D$2:$D$10,0)),0,1)))</f>
        <v>#REF!</v>
      </c>
      <c r="AZ367" s="11"/>
      <c r="BA367" s="19" t="e">
        <f ca="1">IF(Data!#REF!="","",IF(ISNUMBER(Data!#REF!),IF(AND(Data!#REF!&gt;(TODAY()-(Data_Val!$M$3*365.25)),Data!#REF!&lt;=(TODAY()-(Data_Val!$M$2*365.25))),0,1),1))</f>
        <v>#REF!</v>
      </c>
      <c r="BB367" s="11" t="e">
        <f>IF(Data!#REF!="","",IF(Data!$G367="",1,IF(ISNUMBER(MATCH(Data!#REF!,Data_Val!$D$2:$D$10,0)),0,1)))</f>
        <v>#REF!</v>
      </c>
      <c r="BC367" s="12"/>
      <c r="BD367" s="20" t="e">
        <f ca="1">IF(Data!#REF!="","",IF(ISNUMBER(Data!#REF!),IF(AND(Data!#REF!&gt;(TODAY()-(Data_Val!$M$3*365.25)),Data!#REF!&lt;=(TODAY()-(Data_Val!$M$2*365.25))),0,1),1))</f>
        <v>#REF!</v>
      </c>
      <c r="BE367" s="12" t="e">
        <f>IF(Data!#REF!="","",IF(Data!$G367="",1,IF(ISNUMBER(MATCH(Data!#REF!,Data_Val!$D$2:$D$10,0)),0,1)))</f>
        <v>#REF!</v>
      </c>
      <c r="BF367" s="17"/>
      <c r="BG367" s="18" t="e">
        <f ca="1">IF(Data!#REF!="","",IF(ISNUMBER(Data!#REF!),IF(AND(Data!#REF!&gt;(TODAY()-(Data_Val!$M$3*365.25)),Data!#REF!&lt;=(TODAY()-(Data_Val!$M$2*365.25))),0,1),1))</f>
        <v>#REF!</v>
      </c>
      <c r="BH367" s="29" t="e">
        <f>IF(Data!#REF!="","",IF(Data!$G367="",1,IF(ISNUMBER(MATCH(Data!#REF!,Data_Val!$D$2:$D$10,0)),0,1)))</f>
        <v>#REF!</v>
      </c>
      <c r="BI367" s="13"/>
      <c r="BJ367" s="21" t="e">
        <f ca="1">IF(Data!#REF!="","",IF(ISNUMBER(Data!#REF!),IF(AND(Data!#REF!&gt;(TODAY()-(Data_Val!$M$3*365.25)),Data!#REF!&lt;=(TODAY()-(Data_Val!$M$2*365.25))),0,1),1))</f>
        <v>#REF!</v>
      </c>
      <c r="BK367" s="13" t="e">
        <f>IF(Data!#REF!="","",IF(Data!$G367="",1,IF(ISNUMBER(MATCH(Data!#REF!,Data_Val!$D$2:$D$10,0)),0,1)))</f>
        <v>#REF!</v>
      </c>
    </row>
    <row r="368" spans="1:63" x14ac:dyDescent="0.25">
      <c r="A368" s="9" t="str">
        <f>IF(Data!B368="","",IF(COUNTIFS(Data!A$1:'Data'!A368,Data!A368)&lt;=1,0,1))</f>
        <v/>
      </c>
      <c r="B368" s="9"/>
      <c r="C368" s="23" t="str">
        <f>IF(Data!C368="","",(IF(ISNUMBER(MATCH("*@*.?*",Data!C368,0)),0,1)+IF(COUNTIFS(Data!C$1:'Data'!C368,Data!C368)&gt;1,1,0)))</f>
        <v/>
      </c>
      <c r="D368" s="9" t="str">
        <f>IF(Data!B368="","",IF(ISNUMBER(Data!D368),IF(AND(Data!D368&gt;999999999,Data!D368&lt;=9999999999),IF(COUNTIFS(Data!D$1:'Data'!D368,Data!D368)&lt;=1,0,1),1),1))</f>
        <v/>
      </c>
      <c r="E368" s="9" t="str">
        <f>IF(Data!B368="","",IF(ISNUMBER(MATCH(Data!E368,Data_Val!$A$2:$A$3,0)),0,1))</f>
        <v/>
      </c>
      <c r="F368" s="9" t="str">
        <f ca="1">IF(Data!B368="","",IF(ISNUMBER(Data!F368),IF(AND(Data!F368&gt;(TODAY()-(Data_Val!$H$3*365.25)),Data!F368&lt;=(TODAY()-(Data_Val!$H$2*365.25))),0,1),1))</f>
        <v/>
      </c>
      <c r="G368" s="15" t="str">
        <f>IF(Data!B368="","",IF(AND(Data!G368="",Data!H368&lt;&gt;""),1,IF(Data!#REF!&lt;&gt;"",0,IF(ISNUMBER(MATCH(Data!G368,Data_Val!$C$2:$C$5,0)),0,1))))</f>
        <v/>
      </c>
      <c r="H368" s="15" t="str">
        <f>IF(Data!B368="","",IF(AND(Data!G368&lt;&gt;"",Data!H368=""),1,IF(Data!#REF!&lt;&gt;"",0,IF(Data!G368="",1,IF(ISNUMBER(MATCH(Data!H368,Data_Val!$D$2:$D$35,0)),0,1)))))</f>
        <v/>
      </c>
      <c r="I368" s="15" t="str">
        <f>IF(Data!B368="","",IF(Data!G368&lt;&gt;"",0,IF(ISNUMBER(MATCH(Data!#REF!,Data_Val!$E$2:$E$12,0)),0,1)))</f>
        <v/>
      </c>
      <c r="J368" s="16" t="e">
        <f>IF(OR(Data!B368="",Data!#REF!=""),"",IF(Data!#REF!="",1,0))</f>
        <v>#REF!</v>
      </c>
      <c r="K368" s="16" t="e">
        <f>IF(OR(Data!B368="",Data!#REF!=""),"",IF(Data!#REF!="",1,0))</f>
        <v>#REF!</v>
      </c>
      <c r="L368" s="16" t="e">
        <f>IF(OR(Data!B368="",Data!#REF!=""),"",IF(ISNUMBER(Data!#REF!),IF(AND(Data!#REF!&gt;Data_Val!$G$2,Data!#REF!&lt;=Data_Val!$G$3),0,1),1))</f>
        <v>#REF!</v>
      </c>
      <c r="M368" s="9" t="e">
        <f>IF(OR(Data!B368="",Data!#REF!=""),"",IF(ISNUMBER(MATCH(Data!#REF!,Data_Val!$F$1:$F$38,0)),0,1))</f>
        <v>#REF!</v>
      </c>
      <c r="N368" s="9" t="e">
        <f>IF(OR(Data!B368="",Data!#REF!=""),"",IF(Data!#REF!="",1,0))</f>
        <v>#REF!</v>
      </c>
      <c r="O368" s="17" t="e">
        <f>IF(Data!#REF!="","",IF(Data!#REF!="",1,0))</f>
        <v>#REF!</v>
      </c>
      <c r="P368" s="17" t="e">
        <f>IF(Data!#REF!="","",IF(ISNUMBER(MATCH(Data!#REF!,Data_Val!$A$2:$A$3,0)),0,1))</f>
        <v>#REF!</v>
      </c>
      <c r="Q368" s="25" t="e">
        <f ca="1">IF(Data!#REF!="","",IF(ISNUMBER(Data!#REF!),IF(AND(Data!#REF!&gt;(TODAY()-(Data_Val!$J$3*365.25)),Data!#REF!&lt;=(TODAY()-(Data_Val!$J$2*365.25))),0,1),1))</f>
        <v>#REF!</v>
      </c>
      <c r="R368" s="17" t="e">
        <f>IF(Data!#REF!="","",IF(ISNUMBER(MATCH(Data!#REF!,Data_Val!$B$2:$B$15,0)),0,1))</f>
        <v>#REF!</v>
      </c>
      <c r="S368" s="11" t="str">
        <f>IF(Data!G368="","",IF(Data!G368=Data_Val!$C$2,IF(Data!M368="",0,1),0))</f>
        <v/>
      </c>
      <c r="T368" s="11" t="str">
        <f>IF(Data!M368="","",IF(ISNUMBER(MATCH(Data!N368,Data_Val!$A$2:$A$3,0)),0,1))</f>
        <v/>
      </c>
      <c r="U368" s="11" t="str">
        <f ca="1">IF(Data!M368="","",IF(ISNUMBER(Data!O368),IF(AND(Data!O368&gt;(TODAY()-(Data_Val!$K$3*365.25)),Data!O368&lt;=(TODAY()-(Data_Val!$K$2*365.25))),0,1),1))</f>
        <v/>
      </c>
      <c r="V368" s="12" t="str">
        <f>IF(Data!G368="","",IF(Data!G368=Data_Val!$C$2,IF(Data!P368="",0,1),0))</f>
        <v/>
      </c>
      <c r="W368" s="12" t="str">
        <f>IF(Data!P368="","",IF(ISNUMBER(MATCH(Data!Q368,Data_Val!$A$2:$A$3,0)),0,1))</f>
        <v/>
      </c>
      <c r="X368" s="26" t="str">
        <f ca="1">IF(Data!P368="","",IF(ISNUMBER(Data!R368),IF(AND(Data!R368&gt;(TODAY()-(Data_Val!$L$3*365.25)),Data!R368&lt;=(TODAY()-(Data_Val!$L$2*365.25))),0,1),1))</f>
        <v/>
      </c>
      <c r="Y368" s="13" t="str">
        <f>IF(Data!$G368="","",IF(Data!$G368=Data_Val!$C$2,IF(Data!S368="",0,1),0))</f>
        <v/>
      </c>
      <c r="Z368" s="13" t="str">
        <f>IF(Data!S368="","",IF(ISNUMBER(MATCH(Data!T368,Data_Val!$A$2:$A$3,0)),0,1))</f>
        <v/>
      </c>
      <c r="AA368" s="28" t="str">
        <f ca="1">IF(Data!S368="","",IF(ISNUMBER(Data!U368),IF(AND(Data!U368&gt;(TODAY()-(Data_Val!$L$3*365.25)),Data!U368&lt;=(TODAY()-(Data_Val!$L$2*365.25))),0,1),1))</f>
        <v/>
      </c>
      <c r="AB368" s="11"/>
      <c r="AC368" s="11" t="e">
        <f>IF(Data!#REF!="","",IF(ISNUMBER(MATCH(Data!#REF!,Data_Val!$A$2:$A$3,0)),0,1))</f>
        <v>#REF!</v>
      </c>
      <c r="AD368" s="11" t="e">
        <f ca="1">IF(Data!#REF!="","",IF(ISNUMBER(Data!#REF!),IF(AND(Data!#REF!&gt;(TODAY()-(Data_Val!$L$3*365.25)),Data!#REF!&lt;=(TODAY()-(Data_Val!$L$2*365.25))),0,1),1))</f>
        <v>#REF!</v>
      </c>
      <c r="AE368" s="11" t="e">
        <f>IF(Data!#REF!="","",IF(Data!$G368="",1,IF(ISNUMBER(MATCH(Data!#REF!,Data_Val!$D$2:$D$10,0)),0,1)))</f>
        <v>#REF!</v>
      </c>
      <c r="AF368" s="12"/>
      <c r="AG368" s="12" t="e">
        <f>IF(Data!#REF!="","",IF(ISNUMBER(MATCH(Data!#REF!,Data_Val!$A$2:$A$3,0)),0,1))</f>
        <v>#REF!</v>
      </c>
      <c r="AH368" s="26" t="e">
        <f ca="1">IF(Data!#REF!="","",IF(ISNUMBER(Data!#REF!),IF(AND(Data!#REF!&gt;(TODAY()-(Data_Val!$L$3*365.25)),Data!#REF!&lt;=(TODAY()-(Data_Val!$L$2*365.25))),0,1),1))</f>
        <v>#REF!</v>
      </c>
      <c r="AI368" s="12" t="e">
        <f>IF(Data!#REF!="","",IF(Data!$G368="",1,IF(ISNUMBER(MATCH(Data!#REF!,Data_Val!$D$2:$D$10,0)),0,1)))</f>
        <v>#REF!</v>
      </c>
      <c r="AJ368" s="17"/>
      <c r="AK368" s="17" t="e">
        <f>IF(Data!#REF!="","",IF(ISNUMBER(MATCH(Data!#REF!,Data_Val!$A$2:$A$3,0)),0,1))</f>
        <v>#REF!</v>
      </c>
      <c r="AL368" s="25" t="e">
        <f ca="1">IF(Data!#REF!="","",IF(ISNUMBER(Data!#REF!),IF(AND(Data!#REF!&gt;(TODAY()-(Data_Val!$L$3*365.25)),Data!#REF!&lt;=(TODAY()-(Data_Val!$L$2*365.25))),0,1),1))</f>
        <v>#REF!</v>
      </c>
      <c r="AM368" s="17" t="e">
        <f>IF(Data!#REF!="","",IF(Data!$G368="",1,IF(ISNUMBER(MATCH(Data!#REF!,Data_Val!$D$2:$D$10,0)),0,1)))</f>
        <v>#REF!</v>
      </c>
      <c r="AN368" s="13"/>
      <c r="AO368" s="28" t="e">
        <f ca="1">IF(Data!#REF!="","",IF(ISNUMBER(Data!#REF!),IF(AND(Data!#REF!&gt;(TODAY()-(Data_Val!$I$3*365.25)),Data!#REF!&lt;=(TODAY()-(Data_Val!$I$2*365.25))),0,1),1))</f>
        <v>#REF!</v>
      </c>
      <c r="AP368" s="13" t="e">
        <f>IF(Data!#REF!="","",IF(Data!$G368="",1,IF(ISNUMBER(MATCH(Data!#REF!,Data_Val!$D$2:$D$10,0)),0,1)))</f>
        <v>#REF!</v>
      </c>
      <c r="AQ368" s="17"/>
      <c r="AR368" s="30" t="e">
        <f ca="1">IF(Data!#REF!="","",IF(ISNUMBER(Data!#REF!),IF(AND(Data!#REF!&gt;(TODAY()-(Data_Val!$I$3*365.25)),Data!#REF!&lt;=(TODAY()-(Data_Val!$I$2*365.25))),0,1),1))</f>
        <v>#REF!</v>
      </c>
      <c r="AS368" s="31" t="e">
        <f>IF(Data!#REF!="","",IF(Data!$G368="",1,IF(ISNUMBER(MATCH(Data!#REF!,Data_Val!$D$2:$D$10,0)),0,1)))</f>
        <v>#REF!</v>
      </c>
      <c r="AT368" s="11"/>
      <c r="AU368" s="11" t="e">
        <f ca="1">IF(Data!#REF!="","",IF(ISNUMBER(Data!#REF!),IF(AND(Data!#REF!&gt;(TODAY()-(Data_Val!$I$3*365.25)),Data!#REF!&lt;=(TODAY()-(Data_Val!$I$2*365.25))),0,1),1))</f>
        <v>#REF!</v>
      </c>
      <c r="AV368" s="11" t="e">
        <f>IF(Data!#REF!="","",IF(Data!$G368="",1,IF(ISNUMBER(MATCH(Data!#REF!,Data_Val!$D$2:$D$10,0)),0,1)))</f>
        <v>#REF!</v>
      </c>
      <c r="AW368" s="12"/>
      <c r="AX368" s="26" t="e">
        <f ca="1">IF(Data!#REF!="","",IF(ISNUMBER(Data!#REF!),IF(AND(Data!#REF!&gt;(TODAY()-(Data_Val!$I$3*365.25)),Data!#REF!&lt;=(TODAY()-(Data_Val!$I$2*365.25))),0,1),1))</f>
        <v>#REF!</v>
      </c>
      <c r="AY368" s="12" t="e">
        <f>IF(Data!#REF!="","",IF(Data!$G368="",1,IF(ISNUMBER(MATCH(Data!#REF!,Data_Val!$D$2:$D$10,0)),0,1)))</f>
        <v>#REF!</v>
      </c>
      <c r="AZ368" s="11"/>
      <c r="BA368" s="19" t="e">
        <f ca="1">IF(Data!#REF!="","",IF(ISNUMBER(Data!#REF!),IF(AND(Data!#REF!&gt;(TODAY()-(Data_Val!$M$3*365.25)),Data!#REF!&lt;=(TODAY()-(Data_Val!$M$2*365.25))),0,1),1))</f>
        <v>#REF!</v>
      </c>
      <c r="BB368" s="11" t="e">
        <f>IF(Data!#REF!="","",IF(Data!$G368="",1,IF(ISNUMBER(MATCH(Data!#REF!,Data_Val!$D$2:$D$10,0)),0,1)))</f>
        <v>#REF!</v>
      </c>
      <c r="BC368" s="12"/>
      <c r="BD368" s="20" t="e">
        <f ca="1">IF(Data!#REF!="","",IF(ISNUMBER(Data!#REF!),IF(AND(Data!#REF!&gt;(TODAY()-(Data_Val!$M$3*365.25)),Data!#REF!&lt;=(TODAY()-(Data_Val!$M$2*365.25))),0,1),1))</f>
        <v>#REF!</v>
      </c>
      <c r="BE368" s="12" t="e">
        <f>IF(Data!#REF!="","",IF(Data!$G368="",1,IF(ISNUMBER(MATCH(Data!#REF!,Data_Val!$D$2:$D$10,0)),0,1)))</f>
        <v>#REF!</v>
      </c>
      <c r="BF368" s="17"/>
      <c r="BG368" s="18" t="e">
        <f ca="1">IF(Data!#REF!="","",IF(ISNUMBER(Data!#REF!),IF(AND(Data!#REF!&gt;(TODAY()-(Data_Val!$M$3*365.25)),Data!#REF!&lt;=(TODAY()-(Data_Val!$M$2*365.25))),0,1),1))</f>
        <v>#REF!</v>
      </c>
      <c r="BH368" s="29" t="e">
        <f>IF(Data!#REF!="","",IF(Data!$G368="",1,IF(ISNUMBER(MATCH(Data!#REF!,Data_Val!$D$2:$D$10,0)),0,1)))</f>
        <v>#REF!</v>
      </c>
      <c r="BI368" s="13"/>
      <c r="BJ368" s="21" t="e">
        <f ca="1">IF(Data!#REF!="","",IF(ISNUMBER(Data!#REF!),IF(AND(Data!#REF!&gt;(TODAY()-(Data_Val!$M$3*365.25)),Data!#REF!&lt;=(TODAY()-(Data_Val!$M$2*365.25))),0,1),1))</f>
        <v>#REF!</v>
      </c>
      <c r="BK368" s="13" t="e">
        <f>IF(Data!#REF!="","",IF(Data!$G368="",1,IF(ISNUMBER(MATCH(Data!#REF!,Data_Val!$D$2:$D$10,0)),0,1)))</f>
        <v>#REF!</v>
      </c>
    </row>
    <row r="369" spans="1:63" x14ac:dyDescent="0.25">
      <c r="A369" s="9" t="str">
        <f>IF(Data!B369="","",IF(COUNTIFS(Data!A$1:'Data'!A369,Data!A369)&lt;=1,0,1))</f>
        <v/>
      </c>
      <c r="B369" s="9"/>
      <c r="C369" s="23" t="str">
        <f>IF(Data!C369="","",(IF(ISNUMBER(MATCH("*@*.?*",Data!C369,0)),0,1)+IF(COUNTIFS(Data!C$1:'Data'!C369,Data!C369)&gt;1,1,0)))</f>
        <v/>
      </c>
      <c r="D369" s="9" t="str">
        <f>IF(Data!B369="","",IF(ISNUMBER(Data!D369),IF(AND(Data!D369&gt;999999999,Data!D369&lt;=9999999999),IF(COUNTIFS(Data!D$1:'Data'!D369,Data!D369)&lt;=1,0,1),1),1))</f>
        <v/>
      </c>
      <c r="E369" s="9" t="str">
        <f>IF(Data!B369="","",IF(ISNUMBER(MATCH(Data!E369,Data_Val!$A$2:$A$3,0)),0,1))</f>
        <v/>
      </c>
      <c r="F369" s="9" t="str">
        <f ca="1">IF(Data!B369="","",IF(ISNUMBER(Data!F369),IF(AND(Data!F369&gt;(TODAY()-(Data_Val!$H$3*365.25)),Data!F369&lt;=(TODAY()-(Data_Val!$H$2*365.25))),0,1),1))</f>
        <v/>
      </c>
      <c r="G369" s="15" t="str">
        <f>IF(Data!B369="","",IF(AND(Data!G369="",Data!H369&lt;&gt;""),1,IF(Data!#REF!&lt;&gt;"",0,IF(ISNUMBER(MATCH(Data!G369,Data_Val!$C$2:$C$5,0)),0,1))))</f>
        <v/>
      </c>
      <c r="H369" s="15" t="str">
        <f>IF(Data!B369="","",IF(AND(Data!G369&lt;&gt;"",Data!H369=""),1,IF(Data!#REF!&lt;&gt;"",0,IF(Data!G369="",1,IF(ISNUMBER(MATCH(Data!H369,Data_Val!$D$2:$D$35,0)),0,1)))))</f>
        <v/>
      </c>
      <c r="I369" s="15" t="str">
        <f>IF(Data!B369="","",IF(Data!G369&lt;&gt;"",0,IF(ISNUMBER(MATCH(Data!#REF!,Data_Val!$E$2:$E$12,0)),0,1)))</f>
        <v/>
      </c>
      <c r="J369" s="16" t="e">
        <f>IF(OR(Data!B369="",Data!#REF!=""),"",IF(Data!#REF!="",1,0))</f>
        <v>#REF!</v>
      </c>
      <c r="K369" s="16" t="e">
        <f>IF(OR(Data!B369="",Data!#REF!=""),"",IF(Data!#REF!="",1,0))</f>
        <v>#REF!</v>
      </c>
      <c r="L369" s="16" t="e">
        <f>IF(OR(Data!B369="",Data!#REF!=""),"",IF(ISNUMBER(Data!#REF!),IF(AND(Data!#REF!&gt;Data_Val!$G$2,Data!#REF!&lt;=Data_Val!$G$3),0,1),1))</f>
        <v>#REF!</v>
      </c>
      <c r="M369" s="9" t="e">
        <f>IF(OR(Data!B369="",Data!#REF!=""),"",IF(ISNUMBER(MATCH(Data!#REF!,Data_Val!$F$1:$F$38,0)),0,1))</f>
        <v>#REF!</v>
      </c>
      <c r="N369" s="9" t="e">
        <f>IF(OR(Data!B369="",Data!#REF!=""),"",IF(Data!#REF!="",1,0))</f>
        <v>#REF!</v>
      </c>
      <c r="O369" s="17" t="e">
        <f>IF(Data!#REF!="","",IF(Data!#REF!="",1,0))</f>
        <v>#REF!</v>
      </c>
      <c r="P369" s="17" t="e">
        <f>IF(Data!#REF!="","",IF(ISNUMBER(MATCH(Data!#REF!,Data_Val!$A$2:$A$3,0)),0,1))</f>
        <v>#REF!</v>
      </c>
      <c r="Q369" s="25" t="e">
        <f ca="1">IF(Data!#REF!="","",IF(ISNUMBER(Data!#REF!),IF(AND(Data!#REF!&gt;(TODAY()-(Data_Val!$J$3*365.25)),Data!#REF!&lt;=(TODAY()-(Data_Val!$J$2*365.25))),0,1),1))</f>
        <v>#REF!</v>
      </c>
      <c r="R369" s="17" t="e">
        <f>IF(Data!#REF!="","",IF(ISNUMBER(MATCH(Data!#REF!,Data_Val!$B$2:$B$15,0)),0,1))</f>
        <v>#REF!</v>
      </c>
      <c r="S369" s="11" t="str">
        <f>IF(Data!G369="","",IF(Data!G369=Data_Val!$C$2,IF(Data!M369="",0,1),0))</f>
        <v/>
      </c>
      <c r="T369" s="11" t="str">
        <f>IF(Data!M369="","",IF(ISNUMBER(MATCH(Data!N369,Data_Val!$A$2:$A$3,0)),0,1))</f>
        <v/>
      </c>
      <c r="U369" s="11" t="str">
        <f ca="1">IF(Data!M369="","",IF(ISNUMBER(Data!O369),IF(AND(Data!O369&gt;(TODAY()-(Data_Val!$K$3*365.25)),Data!O369&lt;=(TODAY()-(Data_Val!$K$2*365.25))),0,1),1))</f>
        <v/>
      </c>
      <c r="V369" s="12" t="str">
        <f>IF(Data!G369="","",IF(Data!G369=Data_Val!$C$2,IF(Data!P369="",0,1),0))</f>
        <v/>
      </c>
      <c r="W369" s="12" t="str">
        <f>IF(Data!P369="","",IF(ISNUMBER(MATCH(Data!Q369,Data_Val!$A$2:$A$3,0)),0,1))</f>
        <v/>
      </c>
      <c r="X369" s="26" t="str">
        <f ca="1">IF(Data!P369="","",IF(ISNUMBER(Data!R369),IF(AND(Data!R369&gt;(TODAY()-(Data_Val!$L$3*365.25)),Data!R369&lt;=(TODAY()-(Data_Val!$L$2*365.25))),0,1),1))</f>
        <v/>
      </c>
      <c r="Y369" s="13" t="str">
        <f>IF(Data!$G369="","",IF(Data!$G369=Data_Val!$C$2,IF(Data!S369="",0,1),0))</f>
        <v/>
      </c>
      <c r="Z369" s="13" t="str">
        <f>IF(Data!S369="","",IF(ISNUMBER(MATCH(Data!T369,Data_Val!$A$2:$A$3,0)),0,1))</f>
        <v/>
      </c>
      <c r="AA369" s="28" t="str">
        <f ca="1">IF(Data!S369="","",IF(ISNUMBER(Data!U369),IF(AND(Data!U369&gt;(TODAY()-(Data_Val!$L$3*365.25)),Data!U369&lt;=(TODAY()-(Data_Val!$L$2*365.25))),0,1),1))</f>
        <v/>
      </c>
      <c r="AB369" s="11"/>
      <c r="AC369" s="11" t="e">
        <f>IF(Data!#REF!="","",IF(ISNUMBER(MATCH(Data!#REF!,Data_Val!$A$2:$A$3,0)),0,1))</f>
        <v>#REF!</v>
      </c>
      <c r="AD369" s="11" t="e">
        <f ca="1">IF(Data!#REF!="","",IF(ISNUMBER(Data!#REF!),IF(AND(Data!#REF!&gt;(TODAY()-(Data_Val!$L$3*365.25)),Data!#REF!&lt;=(TODAY()-(Data_Val!$L$2*365.25))),0,1),1))</f>
        <v>#REF!</v>
      </c>
      <c r="AE369" s="11" t="e">
        <f>IF(Data!#REF!="","",IF(Data!$G369="",1,IF(ISNUMBER(MATCH(Data!#REF!,Data_Val!$D$2:$D$10,0)),0,1)))</f>
        <v>#REF!</v>
      </c>
      <c r="AF369" s="12"/>
      <c r="AG369" s="12" t="e">
        <f>IF(Data!#REF!="","",IF(ISNUMBER(MATCH(Data!#REF!,Data_Val!$A$2:$A$3,0)),0,1))</f>
        <v>#REF!</v>
      </c>
      <c r="AH369" s="26" t="e">
        <f ca="1">IF(Data!#REF!="","",IF(ISNUMBER(Data!#REF!),IF(AND(Data!#REF!&gt;(TODAY()-(Data_Val!$L$3*365.25)),Data!#REF!&lt;=(TODAY()-(Data_Val!$L$2*365.25))),0,1),1))</f>
        <v>#REF!</v>
      </c>
      <c r="AI369" s="12" t="e">
        <f>IF(Data!#REF!="","",IF(Data!$G369="",1,IF(ISNUMBER(MATCH(Data!#REF!,Data_Val!$D$2:$D$10,0)),0,1)))</f>
        <v>#REF!</v>
      </c>
      <c r="AJ369" s="17"/>
      <c r="AK369" s="17" t="e">
        <f>IF(Data!#REF!="","",IF(ISNUMBER(MATCH(Data!#REF!,Data_Val!$A$2:$A$3,0)),0,1))</f>
        <v>#REF!</v>
      </c>
      <c r="AL369" s="25" t="e">
        <f ca="1">IF(Data!#REF!="","",IF(ISNUMBER(Data!#REF!),IF(AND(Data!#REF!&gt;(TODAY()-(Data_Val!$L$3*365.25)),Data!#REF!&lt;=(TODAY()-(Data_Val!$L$2*365.25))),0,1),1))</f>
        <v>#REF!</v>
      </c>
      <c r="AM369" s="17" t="e">
        <f>IF(Data!#REF!="","",IF(Data!$G369="",1,IF(ISNUMBER(MATCH(Data!#REF!,Data_Val!$D$2:$D$10,0)),0,1)))</f>
        <v>#REF!</v>
      </c>
      <c r="AN369" s="13"/>
      <c r="AO369" s="28" t="e">
        <f ca="1">IF(Data!#REF!="","",IF(ISNUMBER(Data!#REF!),IF(AND(Data!#REF!&gt;(TODAY()-(Data_Val!$I$3*365.25)),Data!#REF!&lt;=(TODAY()-(Data_Val!$I$2*365.25))),0,1),1))</f>
        <v>#REF!</v>
      </c>
      <c r="AP369" s="13" t="e">
        <f>IF(Data!#REF!="","",IF(Data!$G369="",1,IF(ISNUMBER(MATCH(Data!#REF!,Data_Val!$D$2:$D$10,0)),0,1)))</f>
        <v>#REF!</v>
      </c>
      <c r="AQ369" s="17"/>
      <c r="AR369" s="30" t="e">
        <f ca="1">IF(Data!#REF!="","",IF(ISNUMBER(Data!#REF!),IF(AND(Data!#REF!&gt;(TODAY()-(Data_Val!$I$3*365.25)),Data!#REF!&lt;=(TODAY()-(Data_Val!$I$2*365.25))),0,1),1))</f>
        <v>#REF!</v>
      </c>
      <c r="AS369" s="31" t="e">
        <f>IF(Data!#REF!="","",IF(Data!$G369="",1,IF(ISNUMBER(MATCH(Data!#REF!,Data_Val!$D$2:$D$10,0)),0,1)))</f>
        <v>#REF!</v>
      </c>
      <c r="AT369" s="11"/>
      <c r="AU369" s="11" t="e">
        <f ca="1">IF(Data!#REF!="","",IF(ISNUMBER(Data!#REF!),IF(AND(Data!#REF!&gt;(TODAY()-(Data_Val!$I$3*365.25)),Data!#REF!&lt;=(TODAY()-(Data_Val!$I$2*365.25))),0,1),1))</f>
        <v>#REF!</v>
      </c>
      <c r="AV369" s="11" t="e">
        <f>IF(Data!#REF!="","",IF(Data!$G369="",1,IF(ISNUMBER(MATCH(Data!#REF!,Data_Val!$D$2:$D$10,0)),0,1)))</f>
        <v>#REF!</v>
      </c>
      <c r="AW369" s="12"/>
      <c r="AX369" s="26" t="e">
        <f ca="1">IF(Data!#REF!="","",IF(ISNUMBER(Data!#REF!),IF(AND(Data!#REF!&gt;(TODAY()-(Data_Val!$I$3*365.25)),Data!#REF!&lt;=(TODAY()-(Data_Val!$I$2*365.25))),0,1),1))</f>
        <v>#REF!</v>
      </c>
      <c r="AY369" s="12" t="e">
        <f>IF(Data!#REF!="","",IF(Data!$G369="",1,IF(ISNUMBER(MATCH(Data!#REF!,Data_Val!$D$2:$D$10,0)),0,1)))</f>
        <v>#REF!</v>
      </c>
      <c r="AZ369" s="11"/>
      <c r="BA369" s="19" t="e">
        <f ca="1">IF(Data!#REF!="","",IF(ISNUMBER(Data!#REF!),IF(AND(Data!#REF!&gt;(TODAY()-(Data_Val!$M$3*365.25)),Data!#REF!&lt;=(TODAY()-(Data_Val!$M$2*365.25))),0,1),1))</f>
        <v>#REF!</v>
      </c>
      <c r="BB369" s="11" t="e">
        <f>IF(Data!#REF!="","",IF(Data!$G369="",1,IF(ISNUMBER(MATCH(Data!#REF!,Data_Val!$D$2:$D$10,0)),0,1)))</f>
        <v>#REF!</v>
      </c>
      <c r="BC369" s="12"/>
      <c r="BD369" s="20" t="e">
        <f ca="1">IF(Data!#REF!="","",IF(ISNUMBER(Data!#REF!),IF(AND(Data!#REF!&gt;(TODAY()-(Data_Val!$M$3*365.25)),Data!#REF!&lt;=(TODAY()-(Data_Val!$M$2*365.25))),0,1),1))</f>
        <v>#REF!</v>
      </c>
      <c r="BE369" s="12" t="e">
        <f>IF(Data!#REF!="","",IF(Data!$G369="",1,IF(ISNUMBER(MATCH(Data!#REF!,Data_Val!$D$2:$D$10,0)),0,1)))</f>
        <v>#REF!</v>
      </c>
      <c r="BF369" s="17"/>
      <c r="BG369" s="18" t="e">
        <f ca="1">IF(Data!#REF!="","",IF(ISNUMBER(Data!#REF!),IF(AND(Data!#REF!&gt;(TODAY()-(Data_Val!$M$3*365.25)),Data!#REF!&lt;=(TODAY()-(Data_Val!$M$2*365.25))),0,1),1))</f>
        <v>#REF!</v>
      </c>
      <c r="BH369" s="29" t="e">
        <f>IF(Data!#REF!="","",IF(Data!$G369="",1,IF(ISNUMBER(MATCH(Data!#REF!,Data_Val!$D$2:$D$10,0)),0,1)))</f>
        <v>#REF!</v>
      </c>
      <c r="BI369" s="13"/>
      <c r="BJ369" s="21" t="e">
        <f ca="1">IF(Data!#REF!="","",IF(ISNUMBER(Data!#REF!),IF(AND(Data!#REF!&gt;(TODAY()-(Data_Val!$M$3*365.25)),Data!#REF!&lt;=(TODAY()-(Data_Val!$M$2*365.25))),0,1),1))</f>
        <v>#REF!</v>
      </c>
      <c r="BK369" s="13" t="e">
        <f>IF(Data!#REF!="","",IF(Data!$G369="",1,IF(ISNUMBER(MATCH(Data!#REF!,Data_Val!$D$2:$D$10,0)),0,1)))</f>
        <v>#REF!</v>
      </c>
    </row>
    <row r="370" spans="1:63" x14ac:dyDescent="0.25">
      <c r="A370" s="9" t="str">
        <f>IF(Data!B370="","",IF(COUNTIFS(Data!A$1:'Data'!A370,Data!A370)&lt;=1,0,1))</f>
        <v/>
      </c>
      <c r="B370" s="9"/>
      <c r="C370" s="23" t="str">
        <f>IF(Data!C370="","",(IF(ISNUMBER(MATCH("*@*.?*",Data!C370,0)),0,1)+IF(COUNTIFS(Data!C$1:'Data'!C370,Data!C370)&gt;1,1,0)))</f>
        <v/>
      </c>
      <c r="D370" s="9" t="str">
        <f>IF(Data!B370="","",IF(ISNUMBER(Data!D370),IF(AND(Data!D370&gt;999999999,Data!D370&lt;=9999999999),IF(COUNTIFS(Data!D$1:'Data'!D370,Data!D370)&lt;=1,0,1),1),1))</f>
        <v/>
      </c>
      <c r="E370" s="9" t="str">
        <f>IF(Data!B370="","",IF(ISNUMBER(MATCH(Data!E370,Data_Val!$A$2:$A$3,0)),0,1))</f>
        <v/>
      </c>
      <c r="F370" s="9" t="str">
        <f ca="1">IF(Data!B370="","",IF(ISNUMBER(Data!F370),IF(AND(Data!F370&gt;(TODAY()-(Data_Val!$H$3*365.25)),Data!F370&lt;=(TODAY()-(Data_Val!$H$2*365.25))),0,1),1))</f>
        <v/>
      </c>
      <c r="G370" s="15" t="str">
        <f>IF(Data!B370="","",IF(AND(Data!G370="",Data!H370&lt;&gt;""),1,IF(Data!#REF!&lt;&gt;"",0,IF(ISNUMBER(MATCH(Data!G370,Data_Val!$C$2:$C$5,0)),0,1))))</f>
        <v/>
      </c>
      <c r="H370" s="15" t="str">
        <f>IF(Data!B370="","",IF(AND(Data!G370&lt;&gt;"",Data!H370=""),1,IF(Data!#REF!&lt;&gt;"",0,IF(Data!G370="",1,IF(ISNUMBER(MATCH(Data!H370,Data_Val!$D$2:$D$35,0)),0,1)))))</f>
        <v/>
      </c>
      <c r="I370" s="15" t="str">
        <f>IF(Data!B370="","",IF(Data!G370&lt;&gt;"",0,IF(ISNUMBER(MATCH(Data!#REF!,Data_Val!$E$2:$E$12,0)),0,1)))</f>
        <v/>
      </c>
      <c r="J370" s="16" t="e">
        <f>IF(OR(Data!B370="",Data!#REF!=""),"",IF(Data!#REF!="",1,0))</f>
        <v>#REF!</v>
      </c>
      <c r="K370" s="16" t="e">
        <f>IF(OR(Data!B370="",Data!#REF!=""),"",IF(Data!#REF!="",1,0))</f>
        <v>#REF!</v>
      </c>
      <c r="L370" s="16" t="e">
        <f>IF(OR(Data!B370="",Data!#REF!=""),"",IF(ISNUMBER(Data!#REF!),IF(AND(Data!#REF!&gt;Data_Val!$G$2,Data!#REF!&lt;=Data_Val!$G$3),0,1),1))</f>
        <v>#REF!</v>
      </c>
      <c r="M370" s="9" t="e">
        <f>IF(OR(Data!B370="",Data!#REF!=""),"",IF(ISNUMBER(MATCH(Data!#REF!,Data_Val!$F$1:$F$38,0)),0,1))</f>
        <v>#REF!</v>
      </c>
      <c r="N370" s="9" t="e">
        <f>IF(OR(Data!B370="",Data!#REF!=""),"",IF(Data!#REF!="",1,0))</f>
        <v>#REF!</v>
      </c>
      <c r="O370" s="17" t="e">
        <f>IF(Data!#REF!="","",IF(Data!#REF!="",1,0))</f>
        <v>#REF!</v>
      </c>
      <c r="P370" s="17" t="e">
        <f>IF(Data!#REF!="","",IF(ISNUMBER(MATCH(Data!#REF!,Data_Val!$A$2:$A$3,0)),0,1))</f>
        <v>#REF!</v>
      </c>
      <c r="Q370" s="25" t="e">
        <f ca="1">IF(Data!#REF!="","",IF(ISNUMBER(Data!#REF!),IF(AND(Data!#REF!&gt;(TODAY()-(Data_Val!$J$3*365.25)),Data!#REF!&lt;=(TODAY()-(Data_Val!$J$2*365.25))),0,1),1))</f>
        <v>#REF!</v>
      </c>
      <c r="R370" s="17" t="e">
        <f>IF(Data!#REF!="","",IF(ISNUMBER(MATCH(Data!#REF!,Data_Val!$B$2:$B$15,0)),0,1))</f>
        <v>#REF!</v>
      </c>
      <c r="S370" s="11" t="str">
        <f>IF(Data!G370="","",IF(Data!G370=Data_Val!$C$2,IF(Data!M370="",0,1),0))</f>
        <v/>
      </c>
      <c r="T370" s="11" t="str">
        <f>IF(Data!M370="","",IF(ISNUMBER(MATCH(Data!N370,Data_Val!$A$2:$A$3,0)),0,1))</f>
        <v/>
      </c>
      <c r="U370" s="11" t="str">
        <f ca="1">IF(Data!M370="","",IF(ISNUMBER(Data!O370),IF(AND(Data!O370&gt;(TODAY()-(Data_Val!$K$3*365.25)),Data!O370&lt;=(TODAY()-(Data_Val!$K$2*365.25))),0,1),1))</f>
        <v/>
      </c>
      <c r="V370" s="12" t="str">
        <f>IF(Data!G370="","",IF(Data!G370=Data_Val!$C$2,IF(Data!P370="",0,1),0))</f>
        <v/>
      </c>
      <c r="W370" s="12" t="str">
        <f>IF(Data!P370="","",IF(ISNUMBER(MATCH(Data!Q370,Data_Val!$A$2:$A$3,0)),0,1))</f>
        <v/>
      </c>
      <c r="X370" s="26" t="str">
        <f ca="1">IF(Data!P370="","",IF(ISNUMBER(Data!R370),IF(AND(Data!R370&gt;(TODAY()-(Data_Val!$L$3*365.25)),Data!R370&lt;=(TODAY()-(Data_Val!$L$2*365.25))),0,1),1))</f>
        <v/>
      </c>
      <c r="Y370" s="13" t="str">
        <f>IF(Data!$G370="","",IF(Data!$G370=Data_Val!$C$2,IF(Data!S370="",0,1),0))</f>
        <v/>
      </c>
      <c r="Z370" s="13" t="str">
        <f>IF(Data!S370="","",IF(ISNUMBER(MATCH(Data!T370,Data_Val!$A$2:$A$3,0)),0,1))</f>
        <v/>
      </c>
      <c r="AA370" s="28" t="str">
        <f ca="1">IF(Data!S370="","",IF(ISNUMBER(Data!U370),IF(AND(Data!U370&gt;(TODAY()-(Data_Val!$L$3*365.25)),Data!U370&lt;=(TODAY()-(Data_Val!$L$2*365.25))),0,1),1))</f>
        <v/>
      </c>
      <c r="AB370" s="11"/>
      <c r="AC370" s="11" t="e">
        <f>IF(Data!#REF!="","",IF(ISNUMBER(MATCH(Data!#REF!,Data_Val!$A$2:$A$3,0)),0,1))</f>
        <v>#REF!</v>
      </c>
      <c r="AD370" s="11" t="e">
        <f ca="1">IF(Data!#REF!="","",IF(ISNUMBER(Data!#REF!),IF(AND(Data!#REF!&gt;(TODAY()-(Data_Val!$L$3*365.25)),Data!#REF!&lt;=(TODAY()-(Data_Val!$L$2*365.25))),0,1),1))</f>
        <v>#REF!</v>
      </c>
      <c r="AE370" s="11" t="e">
        <f>IF(Data!#REF!="","",IF(Data!$G370="",1,IF(ISNUMBER(MATCH(Data!#REF!,Data_Val!$D$2:$D$10,0)),0,1)))</f>
        <v>#REF!</v>
      </c>
      <c r="AF370" s="12"/>
      <c r="AG370" s="12" t="e">
        <f>IF(Data!#REF!="","",IF(ISNUMBER(MATCH(Data!#REF!,Data_Val!$A$2:$A$3,0)),0,1))</f>
        <v>#REF!</v>
      </c>
      <c r="AH370" s="26" t="e">
        <f ca="1">IF(Data!#REF!="","",IF(ISNUMBER(Data!#REF!),IF(AND(Data!#REF!&gt;(TODAY()-(Data_Val!$L$3*365.25)),Data!#REF!&lt;=(TODAY()-(Data_Val!$L$2*365.25))),0,1),1))</f>
        <v>#REF!</v>
      </c>
      <c r="AI370" s="12" t="e">
        <f>IF(Data!#REF!="","",IF(Data!$G370="",1,IF(ISNUMBER(MATCH(Data!#REF!,Data_Val!$D$2:$D$10,0)),0,1)))</f>
        <v>#REF!</v>
      </c>
      <c r="AJ370" s="17"/>
      <c r="AK370" s="17" t="e">
        <f>IF(Data!#REF!="","",IF(ISNUMBER(MATCH(Data!#REF!,Data_Val!$A$2:$A$3,0)),0,1))</f>
        <v>#REF!</v>
      </c>
      <c r="AL370" s="25" t="e">
        <f ca="1">IF(Data!#REF!="","",IF(ISNUMBER(Data!#REF!),IF(AND(Data!#REF!&gt;(TODAY()-(Data_Val!$L$3*365.25)),Data!#REF!&lt;=(TODAY()-(Data_Val!$L$2*365.25))),0,1),1))</f>
        <v>#REF!</v>
      </c>
      <c r="AM370" s="17" t="e">
        <f>IF(Data!#REF!="","",IF(Data!$G370="",1,IF(ISNUMBER(MATCH(Data!#REF!,Data_Val!$D$2:$D$10,0)),0,1)))</f>
        <v>#REF!</v>
      </c>
      <c r="AN370" s="13"/>
      <c r="AO370" s="28" t="e">
        <f ca="1">IF(Data!#REF!="","",IF(ISNUMBER(Data!#REF!),IF(AND(Data!#REF!&gt;(TODAY()-(Data_Val!$I$3*365.25)),Data!#REF!&lt;=(TODAY()-(Data_Val!$I$2*365.25))),0,1),1))</f>
        <v>#REF!</v>
      </c>
      <c r="AP370" s="13" t="e">
        <f>IF(Data!#REF!="","",IF(Data!$G370="",1,IF(ISNUMBER(MATCH(Data!#REF!,Data_Val!$D$2:$D$10,0)),0,1)))</f>
        <v>#REF!</v>
      </c>
      <c r="AQ370" s="17"/>
      <c r="AR370" s="30" t="e">
        <f ca="1">IF(Data!#REF!="","",IF(ISNUMBER(Data!#REF!),IF(AND(Data!#REF!&gt;(TODAY()-(Data_Val!$I$3*365.25)),Data!#REF!&lt;=(TODAY()-(Data_Val!$I$2*365.25))),0,1),1))</f>
        <v>#REF!</v>
      </c>
      <c r="AS370" s="31" t="e">
        <f>IF(Data!#REF!="","",IF(Data!$G370="",1,IF(ISNUMBER(MATCH(Data!#REF!,Data_Val!$D$2:$D$10,0)),0,1)))</f>
        <v>#REF!</v>
      </c>
      <c r="AT370" s="11"/>
      <c r="AU370" s="11" t="e">
        <f ca="1">IF(Data!#REF!="","",IF(ISNUMBER(Data!#REF!),IF(AND(Data!#REF!&gt;(TODAY()-(Data_Val!$I$3*365.25)),Data!#REF!&lt;=(TODAY()-(Data_Val!$I$2*365.25))),0,1),1))</f>
        <v>#REF!</v>
      </c>
      <c r="AV370" s="11" t="e">
        <f>IF(Data!#REF!="","",IF(Data!$G370="",1,IF(ISNUMBER(MATCH(Data!#REF!,Data_Val!$D$2:$D$10,0)),0,1)))</f>
        <v>#REF!</v>
      </c>
      <c r="AW370" s="12"/>
      <c r="AX370" s="26" t="e">
        <f ca="1">IF(Data!#REF!="","",IF(ISNUMBER(Data!#REF!),IF(AND(Data!#REF!&gt;(TODAY()-(Data_Val!$I$3*365.25)),Data!#REF!&lt;=(TODAY()-(Data_Val!$I$2*365.25))),0,1),1))</f>
        <v>#REF!</v>
      </c>
      <c r="AY370" s="12" t="e">
        <f>IF(Data!#REF!="","",IF(Data!$G370="",1,IF(ISNUMBER(MATCH(Data!#REF!,Data_Val!$D$2:$D$10,0)),0,1)))</f>
        <v>#REF!</v>
      </c>
      <c r="AZ370" s="11"/>
      <c r="BA370" s="19" t="e">
        <f ca="1">IF(Data!#REF!="","",IF(ISNUMBER(Data!#REF!),IF(AND(Data!#REF!&gt;(TODAY()-(Data_Val!$M$3*365.25)),Data!#REF!&lt;=(TODAY()-(Data_Val!$M$2*365.25))),0,1),1))</f>
        <v>#REF!</v>
      </c>
      <c r="BB370" s="11" t="e">
        <f>IF(Data!#REF!="","",IF(Data!$G370="",1,IF(ISNUMBER(MATCH(Data!#REF!,Data_Val!$D$2:$D$10,0)),0,1)))</f>
        <v>#REF!</v>
      </c>
      <c r="BC370" s="12"/>
      <c r="BD370" s="20" t="e">
        <f ca="1">IF(Data!#REF!="","",IF(ISNUMBER(Data!#REF!),IF(AND(Data!#REF!&gt;(TODAY()-(Data_Val!$M$3*365.25)),Data!#REF!&lt;=(TODAY()-(Data_Val!$M$2*365.25))),0,1),1))</f>
        <v>#REF!</v>
      </c>
      <c r="BE370" s="12" t="e">
        <f>IF(Data!#REF!="","",IF(Data!$G370="",1,IF(ISNUMBER(MATCH(Data!#REF!,Data_Val!$D$2:$D$10,0)),0,1)))</f>
        <v>#REF!</v>
      </c>
      <c r="BF370" s="17"/>
      <c r="BG370" s="18" t="e">
        <f ca="1">IF(Data!#REF!="","",IF(ISNUMBER(Data!#REF!),IF(AND(Data!#REF!&gt;(TODAY()-(Data_Val!$M$3*365.25)),Data!#REF!&lt;=(TODAY()-(Data_Val!$M$2*365.25))),0,1),1))</f>
        <v>#REF!</v>
      </c>
      <c r="BH370" s="29" t="e">
        <f>IF(Data!#REF!="","",IF(Data!$G370="",1,IF(ISNUMBER(MATCH(Data!#REF!,Data_Val!$D$2:$D$10,0)),0,1)))</f>
        <v>#REF!</v>
      </c>
      <c r="BI370" s="13"/>
      <c r="BJ370" s="21" t="e">
        <f ca="1">IF(Data!#REF!="","",IF(ISNUMBER(Data!#REF!),IF(AND(Data!#REF!&gt;(TODAY()-(Data_Val!$M$3*365.25)),Data!#REF!&lt;=(TODAY()-(Data_Val!$M$2*365.25))),0,1),1))</f>
        <v>#REF!</v>
      </c>
      <c r="BK370" s="13" t="e">
        <f>IF(Data!#REF!="","",IF(Data!$G370="",1,IF(ISNUMBER(MATCH(Data!#REF!,Data_Val!$D$2:$D$10,0)),0,1)))</f>
        <v>#REF!</v>
      </c>
    </row>
    <row r="371" spans="1:63" x14ac:dyDescent="0.25">
      <c r="A371" s="9" t="str">
        <f>IF(Data!B371="","",IF(COUNTIFS(Data!A$1:'Data'!A371,Data!A371)&lt;=1,0,1))</f>
        <v/>
      </c>
      <c r="B371" s="9"/>
      <c r="C371" s="23" t="str">
        <f>IF(Data!C371="","",(IF(ISNUMBER(MATCH("*@*.?*",Data!C371,0)),0,1)+IF(COUNTIFS(Data!C$1:'Data'!C371,Data!C371)&gt;1,1,0)))</f>
        <v/>
      </c>
      <c r="D371" s="9" t="str">
        <f>IF(Data!B371="","",IF(ISNUMBER(Data!D371),IF(AND(Data!D371&gt;999999999,Data!D371&lt;=9999999999),IF(COUNTIFS(Data!D$1:'Data'!D371,Data!D371)&lt;=1,0,1),1),1))</f>
        <v/>
      </c>
      <c r="E371" s="9" t="str">
        <f>IF(Data!B371="","",IF(ISNUMBER(MATCH(Data!E371,Data_Val!$A$2:$A$3,0)),0,1))</f>
        <v/>
      </c>
      <c r="F371" s="9" t="str">
        <f ca="1">IF(Data!B371="","",IF(ISNUMBER(Data!F371),IF(AND(Data!F371&gt;(TODAY()-(Data_Val!$H$3*365.25)),Data!F371&lt;=(TODAY()-(Data_Val!$H$2*365.25))),0,1),1))</f>
        <v/>
      </c>
      <c r="G371" s="15" t="str">
        <f>IF(Data!B371="","",IF(AND(Data!G371="",Data!H371&lt;&gt;""),1,IF(Data!#REF!&lt;&gt;"",0,IF(ISNUMBER(MATCH(Data!G371,Data_Val!$C$2:$C$5,0)),0,1))))</f>
        <v/>
      </c>
      <c r="H371" s="15" t="str">
        <f>IF(Data!B371="","",IF(AND(Data!G371&lt;&gt;"",Data!H371=""),1,IF(Data!#REF!&lt;&gt;"",0,IF(Data!G371="",1,IF(ISNUMBER(MATCH(Data!H371,Data_Val!$D$2:$D$35,0)),0,1)))))</f>
        <v/>
      </c>
      <c r="I371" s="15" t="str">
        <f>IF(Data!B371="","",IF(Data!G371&lt;&gt;"",0,IF(ISNUMBER(MATCH(Data!#REF!,Data_Val!$E$2:$E$12,0)),0,1)))</f>
        <v/>
      </c>
      <c r="J371" s="16" t="e">
        <f>IF(OR(Data!B371="",Data!#REF!=""),"",IF(Data!#REF!="",1,0))</f>
        <v>#REF!</v>
      </c>
      <c r="K371" s="16" t="e">
        <f>IF(OR(Data!B371="",Data!#REF!=""),"",IF(Data!#REF!="",1,0))</f>
        <v>#REF!</v>
      </c>
      <c r="L371" s="16" t="e">
        <f>IF(OR(Data!B371="",Data!#REF!=""),"",IF(ISNUMBER(Data!#REF!),IF(AND(Data!#REF!&gt;Data_Val!$G$2,Data!#REF!&lt;=Data_Val!$G$3),0,1),1))</f>
        <v>#REF!</v>
      </c>
      <c r="M371" s="9" t="e">
        <f>IF(OR(Data!B371="",Data!#REF!=""),"",IF(ISNUMBER(MATCH(Data!#REF!,Data_Val!$F$1:$F$38,0)),0,1))</f>
        <v>#REF!</v>
      </c>
      <c r="N371" s="9" t="e">
        <f>IF(OR(Data!B371="",Data!#REF!=""),"",IF(Data!#REF!="",1,0))</f>
        <v>#REF!</v>
      </c>
      <c r="O371" s="17" t="e">
        <f>IF(Data!#REF!="","",IF(Data!#REF!="",1,0))</f>
        <v>#REF!</v>
      </c>
      <c r="P371" s="17" t="e">
        <f>IF(Data!#REF!="","",IF(ISNUMBER(MATCH(Data!#REF!,Data_Val!$A$2:$A$3,0)),0,1))</f>
        <v>#REF!</v>
      </c>
      <c r="Q371" s="25" t="e">
        <f ca="1">IF(Data!#REF!="","",IF(ISNUMBER(Data!#REF!),IF(AND(Data!#REF!&gt;(TODAY()-(Data_Val!$J$3*365.25)),Data!#REF!&lt;=(TODAY()-(Data_Val!$J$2*365.25))),0,1),1))</f>
        <v>#REF!</v>
      </c>
      <c r="R371" s="17" t="e">
        <f>IF(Data!#REF!="","",IF(ISNUMBER(MATCH(Data!#REF!,Data_Val!$B$2:$B$15,0)),0,1))</f>
        <v>#REF!</v>
      </c>
      <c r="S371" s="11" t="str">
        <f>IF(Data!G371="","",IF(Data!G371=Data_Val!$C$2,IF(Data!M371="",0,1),0))</f>
        <v/>
      </c>
      <c r="T371" s="11" t="str">
        <f>IF(Data!M371="","",IF(ISNUMBER(MATCH(Data!N371,Data_Val!$A$2:$A$3,0)),0,1))</f>
        <v/>
      </c>
      <c r="U371" s="11" t="str">
        <f ca="1">IF(Data!M371="","",IF(ISNUMBER(Data!O371),IF(AND(Data!O371&gt;(TODAY()-(Data_Val!$K$3*365.25)),Data!O371&lt;=(TODAY()-(Data_Val!$K$2*365.25))),0,1),1))</f>
        <v/>
      </c>
      <c r="V371" s="12" t="str">
        <f>IF(Data!G371="","",IF(Data!G371=Data_Val!$C$2,IF(Data!P371="",0,1),0))</f>
        <v/>
      </c>
      <c r="W371" s="12" t="str">
        <f>IF(Data!P371="","",IF(ISNUMBER(MATCH(Data!Q371,Data_Val!$A$2:$A$3,0)),0,1))</f>
        <v/>
      </c>
      <c r="X371" s="26" t="str">
        <f ca="1">IF(Data!P371="","",IF(ISNUMBER(Data!R371),IF(AND(Data!R371&gt;(TODAY()-(Data_Val!$L$3*365.25)),Data!R371&lt;=(TODAY()-(Data_Val!$L$2*365.25))),0,1),1))</f>
        <v/>
      </c>
      <c r="Y371" s="13" t="str">
        <f>IF(Data!$G371="","",IF(Data!$G371=Data_Val!$C$2,IF(Data!S371="",0,1),0))</f>
        <v/>
      </c>
      <c r="Z371" s="13" t="str">
        <f>IF(Data!S371="","",IF(ISNUMBER(MATCH(Data!T371,Data_Val!$A$2:$A$3,0)),0,1))</f>
        <v/>
      </c>
      <c r="AA371" s="28" t="str">
        <f ca="1">IF(Data!S371="","",IF(ISNUMBER(Data!U371),IF(AND(Data!U371&gt;(TODAY()-(Data_Val!$L$3*365.25)),Data!U371&lt;=(TODAY()-(Data_Val!$L$2*365.25))),0,1),1))</f>
        <v/>
      </c>
      <c r="AB371" s="11"/>
      <c r="AC371" s="11" t="e">
        <f>IF(Data!#REF!="","",IF(ISNUMBER(MATCH(Data!#REF!,Data_Val!$A$2:$A$3,0)),0,1))</f>
        <v>#REF!</v>
      </c>
      <c r="AD371" s="11" t="e">
        <f ca="1">IF(Data!#REF!="","",IF(ISNUMBER(Data!#REF!),IF(AND(Data!#REF!&gt;(TODAY()-(Data_Val!$L$3*365.25)),Data!#REF!&lt;=(TODAY()-(Data_Val!$L$2*365.25))),0,1),1))</f>
        <v>#REF!</v>
      </c>
      <c r="AE371" s="11" t="e">
        <f>IF(Data!#REF!="","",IF(Data!$G371="",1,IF(ISNUMBER(MATCH(Data!#REF!,Data_Val!$D$2:$D$10,0)),0,1)))</f>
        <v>#REF!</v>
      </c>
      <c r="AF371" s="12"/>
      <c r="AG371" s="12" t="e">
        <f>IF(Data!#REF!="","",IF(ISNUMBER(MATCH(Data!#REF!,Data_Val!$A$2:$A$3,0)),0,1))</f>
        <v>#REF!</v>
      </c>
      <c r="AH371" s="26" t="e">
        <f ca="1">IF(Data!#REF!="","",IF(ISNUMBER(Data!#REF!),IF(AND(Data!#REF!&gt;(TODAY()-(Data_Val!$L$3*365.25)),Data!#REF!&lt;=(TODAY()-(Data_Val!$L$2*365.25))),0,1),1))</f>
        <v>#REF!</v>
      </c>
      <c r="AI371" s="12" t="e">
        <f>IF(Data!#REF!="","",IF(Data!$G371="",1,IF(ISNUMBER(MATCH(Data!#REF!,Data_Val!$D$2:$D$10,0)),0,1)))</f>
        <v>#REF!</v>
      </c>
      <c r="AJ371" s="17"/>
      <c r="AK371" s="17" t="e">
        <f>IF(Data!#REF!="","",IF(ISNUMBER(MATCH(Data!#REF!,Data_Val!$A$2:$A$3,0)),0,1))</f>
        <v>#REF!</v>
      </c>
      <c r="AL371" s="25" t="e">
        <f ca="1">IF(Data!#REF!="","",IF(ISNUMBER(Data!#REF!),IF(AND(Data!#REF!&gt;(TODAY()-(Data_Val!$L$3*365.25)),Data!#REF!&lt;=(TODAY()-(Data_Val!$L$2*365.25))),0,1),1))</f>
        <v>#REF!</v>
      </c>
      <c r="AM371" s="17" t="e">
        <f>IF(Data!#REF!="","",IF(Data!$G371="",1,IF(ISNUMBER(MATCH(Data!#REF!,Data_Val!$D$2:$D$10,0)),0,1)))</f>
        <v>#REF!</v>
      </c>
      <c r="AN371" s="13"/>
      <c r="AO371" s="28" t="e">
        <f ca="1">IF(Data!#REF!="","",IF(ISNUMBER(Data!#REF!),IF(AND(Data!#REF!&gt;(TODAY()-(Data_Val!$I$3*365.25)),Data!#REF!&lt;=(TODAY()-(Data_Val!$I$2*365.25))),0,1),1))</f>
        <v>#REF!</v>
      </c>
      <c r="AP371" s="13" t="e">
        <f>IF(Data!#REF!="","",IF(Data!$G371="",1,IF(ISNUMBER(MATCH(Data!#REF!,Data_Val!$D$2:$D$10,0)),0,1)))</f>
        <v>#REF!</v>
      </c>
      <c r="AQ371" s="17"/>
      <c r="AR371" s="30" t="e">
        <f ca="1">IF(Data!#REF!="","",IF(ISNUMBER(Data!#REF!),IF(AND(Data!#REF!&gt;(TODAY()-(Data_Val!$I$3*365.25)),Data!#REF!&lt;=(TODAY()-(Data_Val!$I$2*365.25))),0,1),1))</f>
        <v>#REF!</v>
      </c>
      <c r="AS371" s="31" t="e">
        <f>IF(Data!#REF!="","",IF(Data!$G371="",1,IF(ISNUMBER(MATCH(Data!#REF!,Data_Val!$D$2:$D$10,0)),0,1)))</f>
        <v>#REF!</v>
      </c>
      <c r="AT371" s="11"/>
      <c r="AU371" s="11" t="e">
        <f ca="1">IF(Data!#REF!="","",IF(ISNUMBER(Data!#REF!),IF(AND(Data!#REF!&gt;(TODAY()-(Data_Val!$I$3*365.25)),Data!#REF!&lt;=(TODAY()-(Data_Val!$I$2*365.25))),0,1),1))</f>
        <v>#REF!</v>
      </c>
      <c r="AV371" s="11" t="e">
        <f>IF(Data!#REF!="","",IF(Data!$G371="",1,IF(ISNUMBER(MATCH(Data!#REF!,Data_Val!$D$2:$D$10,0)),0,1)))</f>
        <v>#REF!</v>
      </c>
      <c r="AW371" s="12"/>
      <c r="AX371" s="26" t="e">
        <f ca="1">IF(Data!#REF!="","",IF(ISNUMBER(Data!#REF!),IF(AND(Data!#REF!&gt;(TODAY()-(Data_Val!$I$3*365.25)),Data!#REF!&lt;=(TODAY()-(Data_Val!$I$2*365.25))),0,1),1))</f>
        <v>#REF!</v>
      </c>
      <c r="AY371" s="12" t="e">
        <f>IF(Data!#REF!="","",IF(Data!$G371="",1,IF(ISNUMBER(MATCH(Data!#REF!,Data_Val!$D$2:$D$10,0)),0,1)))</f>
        <v>#REF!</v>
      </c>
      <c r="AZ371" s="11"/>
      <c r="BA371" s="19" t="e">
        <f ca="1">IF(Data!#REF!="","",IF(ISNUMBER(Data!#REF!),IF(AND(Data!#REF!&gt;(TODAY()-(Data_Val!$M$3*365.25)),Data!#REF!&lt;=(TODAY()-(Data_Val!$M$2*365.25))),0,1),1))</f>
        <v>#REF!</v>
      </c>
      <c r="BB371" s="11" t="e">
        <f>IF(Data!#REF!="","",IF(Data!$G371="",1,IF(ISNUMBER(MATCH(Data!#REF!,Data_Val!$D$2:$D$10,0)),0,1)))</f>
        <v>#REF!</v>
      </c>
      <c r="BC371" s="12"/>
      <c r="BD371" s="20" t="e">
        <f ca="1">IF(Data!#REF!="","",IF(ISNUMBER(Data!#REF!),IF(AND(Data!#REF!&gt;(TODAY()-(Data_Val!$M$3*365.25)),Data!#REF!&lt;=(TODAY()-(Data_Val!$M$2*365.25))),0,1),1))</f>
        <v>#REF!</v>
      </c>
      <c r="BE371" s="12" t="e">
        <f>IF(Data!#REF!="","",IF(Data!$G371="",1,IF(ISNUMBER(MATCH(Data!#REF!,Data_Val!$D$2:$D$10,0)),0,1)))</f>
        <v>#REF!</v>
      </c>
      <c r="BF371" s="17"/>
      <c r="BG371" s="18" t="e">
        <f ca="1">IF(Data!#REF!="","",IF(ISNUMBER(Data!#REF!),IF(AND(Data!#REF!&gt;(TODAY()-(Data_Val!$M$3*365.25)),Data!#REF!&lt;=(TODAY()-(Data_Val!$M$2*365.25))),0,1),1))</f>
        <v>#REF!</v>
      </c>
      <c r="BH371" s="29" t="e">
        <f>IF(Data!#REF!="","",IF(Data!$G371="",1,IF(ISNUMBER(MATCH(Data!#REF!,Data_Val!$D$2:$D$10,0)),0,1)))</f>
        <v>#REF!</v>
      </c>
      <c r="BI371" s="13"/>
      <c r="BJ371" s="21" t="e">
        <f ca="1">IF(Data!#REF!="","",IF(ISNUMBER(Data!#REF!),IF(AND(Data!#REF!&gt;(TODAY()-(Data_Val!$M$3*365.25)),Data!#REF!&lt;=(TODAY()-(Data_Val!$M$2*365.25))),0,1),1))</f>
        <v>#REF!</v>
      </c>
      <c r="BK371" s="13" t="e">
        <f>IF(Data!#REF!="","",IF(Data!$G371="",1,IF(ISNUMBER(MATCH(Data!#REF!,Data_Val!$D$2:$D$10,0)),0,1)))</f>
        <v>#REF!</v>
      </c>
    </row>
    <row r="372" spans="1:63" x14ac:dyDescent="0.25">
      <c r="A372" s="9" t="str">
        <f>IF(Data!B372="","",IF(COUNTIFS(Data!A$1:'Data'!A372,Data!A372)&lt;=1,0,1))</f>
        <v/>
      </c>
      <c r="B372" s="9"/>
      <c r="C372" s="23" t="str">
        <f>IF(Data!C372="","",(IF(ISNUMBER(MATCH("*@*.?*",Data!C372,0)),0,1)+IF(COUNTIFS(Data!C$1:'Data'!C372,Data!C372)&gt;1,1,0)))</f>
        <v/>
      </c>
      <c r="D372" s="9" t="str">
        <f>IF(Data!B372="","",IF(ISNUMBER(Data!D372),IF(AND(Data!D372&gt;999999999,Data!D372&lt;=9999999999),IF(COUNTIFS(Data!D$1:'Data'!D372,Data!D372)&lt;=1,0,1),1),1))</f>
        <v/>
      </c>
      <c r="E372" s="9" t="str">
        <f>IF(Data!B372="","",IF(ISNUMBER(MATCH(Data!E372,Data_Val!$A$2:$A$3,0)),0,1))</f>
        <v/>
      </c>
      <c r="F372" s="9" t="str">
        <f ca="1">IF(Data!B372="","",IF(ISNUMBER(Data!F372),IF(AND(Data!F372&gt;(TODAY()-(Data_Val!$H$3*365.25)),Data!F372&lt;=(TODAY()-(Data_Val!$H$2*365.25))),0,1),1))</f>
        <v/>
      </c>
      <c r="G372" s="15" t="str">
        <f>IF(Data!B372="","",IF(AND(Data!G372="",Data!H372&lt;&gt;""),1,IF(Data!#REF!&lt;&gt;"",0,IF(ISNUMBER(MATCH(Data!G372,Data_Val!$C$2:$C$5,0)),0,1))))</f>
        <v/>
      </c>
      <c r="H372" s="15" t="str">
        <f>IF(Data!B372="","",IF(AND(Data!G372&lt;&gt;"",Data!H372=""),1,IF(Data!#REF!&lt;&gt;"",0,IF(Data!G372="",1,IF(ISNUMBER(MATCH(Data!H372,Data_Val!$D$2:$D$35,0)),0,1)))))</f>
        <v/>
      </c>
      <c r="I372" s="15" t="str">
        <f>IF(Data!B372="","",IF(Data!G372&lt;&gt;"",0,IF(ISNUMBER(MATCH(Data!#REF!,Data_Val!$E$2:$E$12,0)),0,1)))</f>
        <v/>
      </c>
      <c r="J372" s="16" t="e">
        <f>IF(OR(Data!B372="",Data!#REF!=""),"",IF(Data!#REF!="",1,0))</f>
        <v>#REF!</v>
      </c>
      <c r="K372" s="16" t="e">
        <f>IF(OR(Data!B372="",Data!#REF!=""),"",IF(Data!#REF!="",1,0))</f>
        <v>#REF!</v>
      </c>
      <c r="L372" s="16" t="e">
        <f>IF(OR(Data!B372="",Data!#REF!=""),"",IF(ISNUMBER(Data!#REF!),IF(AND(Data!#REF!&gt;Data_Val!$G$2,Data!#REF!&lt;=Data_Val!$G$3),0,1),1))</f>
        <v>#REF!</v>
      </c>
      <c r="M372" s="9" t="e">
        <f>IF(OR(Data!B372="",Data!#REF!=""),"",IF(ISNUMBER(MATCH(Data!#REF!,Data_Val!$F$1:$F$38,0)),0,1))</f>
        <v>#REF!</v>
      </c>
      <c r="N372" s="9" t="e">
        <f>IF(OR(Data!B372="",Data!#REF!=""),"",IF(Data!#REF!="",1,0))</f>
        <v>#REF!</v>
      </c>
      <c r="O372" s="17" t="e">
        <f>IF(Data!#REF!="","",IF(Data!#REF!="",1,0))</f>
        <v>#REF!</v>
      </c>
      <c r="P372" s="17" t="e">
        <f>IF(Data!#REF!="","",IF(ISNUMBER(MATCH(Data!#REF!,Data_Val!$A$2:$A$3,0)),0,1))</f>
        <v>#REF!</v>
      </c>
      <c r="Q372" s="25" t="e">
        <f ca="1">IF(Data!#REF!="","",IF(ISNUMBER(Data!#REF!),IF(AND(Data!#REF!&gt;(TODAY()-(Data_Val!$J$3*365.25)),Data!#REF!&lt;=(TODAY()-(Data_Val!$J$2*365.25))),0,1),1))</f>
        <v>#REF!</v>
      </c>
      <c r="R372" s="17" t="e">
        <f>IF(Data!#REF!="","",IF(ISNUMBER(MATCH(Data!#REF!,Data_Val!$B$2:$B$15,0)),0,1))</f>
        <v>#REF!</v>
      </c>
      <c r="S372" s="11" t="str">
        <f>IF(Data!G372="","",IF(Data!G372=Data_Val!$C$2,IF(Data!M372="",0,1),0))</f>
        <v/>
      </c>
      <c r="T372" s="11" t="str">
        <f>IF(Data!M372="","",IF(ISNUMBER(MATCH(Data!N372,Data_Val!$A$2:$A$3,0)),0,1))</f>
        <v/>
      </c>
      <c r="U372" s="11" t="str">
        <f ca="1">IF(Data!M372="","",IF(ISNUMBER(Data!O372),IF(AND(Data!O372&gt;(TODAY()-(Data_Val!$K$3*365.25)),Data!O372&lt;=(TODAY()-(Data_Val!$K$2*365.25))),0,1),1))</f>
        <v/>
      </c>
      <c r="V372" s="12" t="str">
        <f>IF(Data!G372="","",IF(Data!G372=Data_Val!$C$2,IF(Data!P372="",0,1),0))</f>
        <v/>
      </c>
      <c r="W372" s="12" t="str">
        <f>IF(Data!P372="","",IF(ISNUMBER(MATCH(Data!Q372,Data_Val!$A$2:$A$3,0)),0,1))</f>
        <v/>
      </c>
      <c r="X372" s="26" t="str">
        <f ca="1">IF(Data!P372="","",IF(ISNUMBER(Data!R372),IF(AND(Data!R372&gt;(TODAY()-(Data_Val!$L$3*365.25)),Data!R372&lt;=(TODAY()-(Data_Val!$L$2*365.25))),0,1),1))</f>
        <v/>
      </c>
      <c r="Y372" s="13" t="str">
        <f>IF(Data!$G372="","",IF(Data!$G372=Data_Val!$C$2,IF(Data!S372="",0,1),0))</f>
        <v/>
      </c>
      <c r="Z372" s="13" t="str">
        <f>IF(Data!S372="","",IF(ISNUMBER(MATCH(Data!T372,Data_Val!$A$2:$A$3,0)),0,1))</f>
        <v/>
      </c>
      <c r="AA372" s="28" t="str">
        <f ca="1">IF(Data!S372="","",IF(ISNUMBER(Data!U372),IF(AND(Data!U372&gt;(TODAY()-(Data_Val!$L$3*365.25)),Data!U372&lt;=(TODAY()-(Data_Val!$L$2*365.25))),0,1),1))</f>
        <v/>
      </c>
      <c r="AB372" s="11"/>
      <c r="AC372" s="11" t="e">
        <f>IF(Data!#REF!="","",IF(ISNUMBER(MATCH(Data!#REF!,Data_Val!$A$2:$A$3,0)),0,1))</f>
        <v>#REF!</v>
      </c>
      <c r="AD372" s="11" t="e">
        <f ca="1">IF(Data!#REF!="","",IF(ISNUMBER(Data!#REF!),IF(AND(Data!#REF!&gt;(TODAY()-(Data_Val!$L$3*365.25)),Data!#REF!&lt;=(TODAY()-(Data_Val!$L$2*365.25))),0,1),1))</f>
        <v>#REF!</v>
      </c>
      <c r="AE372" s="11" t="e">
        <f>IF(Data!#REF!="","",IF(Data!$G372="",1,IF(ISNUMBER(MATCH(Data!#REF!,Data_Val!$D$2:$D$10,0)),0,1)))</f>
        <v>#REF!</v>
      </c>
      <c r="AF372" s="12"/>
      <c r="AG372" s="12" t="e">
        <f>IF(Data!#REF!="","",IF(ISNUMBER(MATCH(Data!#REF!,Data_Val!$A$2:$A$3,0)),0,1))</f>
        <v>#REF!</v>
      </c>
      <c r="AH372" s="26" t="e">
        <f ca="1">IF(Data!#REF!="","",IF(ISNUMBER(Data!#REF!),IF(AND(Data!#REF!&gt;(TODAY()-(Data_Val!$L$3*365.25)),Data!#REF!&lt;=(TODAY()-(Data_Val!$L$2*365.25))),0,1),1))</f>
        <v>#REF!</v>
      </c>
      <c r="AI372" s="12" t="e">
        <f>IF(Data!#REF!="","",IF(Data!$G372="",1,IF(ISNUMBER(MATCH(Data!#REF!,Data_Val!$D$2:$D$10,0)),0,1)))</f>
        <v>#REF!</v>
      </c>
      <c r="AJ372" s="17"/>
      <c r="AK372" s="17" t="e">
        <f>IF(Data!#REF!="","",IF(ISNUMBER(MATCH(Data!#REF!,Data_Val!$A$2:$A$3,0)),0,1))</f>
        <v>#REF!</v>
      </c>
      <c r="AL372" s="25" t="e">
        <f ca="1">IF(Data!#REF!="","",IF(ISNUMBER(Data!#REF!),IF(AND(Data!#REF!&gt;(TODAY()-(Data_Val!$L$3*365.25)),Data!#REF!&lt;=(TODAY()-(Data_Val!$L$2*365.25))),0,1),1))</f>
        <v>#REF!</v>
      </c>
      <c r="AM372" s="17" t="e">
        <f>IF(Data!#REF!="","",IF(Data!$G372="",1,IF(ISNUMBER(MATCH(Data!#REF!,Data_Val!$D$2:$D$10,0)),0,1)))</f>
        <v>#REF!</v>
      </c>
      <c r="AN372" s="13"/>
      <c r="AO372" s="28" t="e">
        <f ca="1">IF(Data!#REF!="","",IF(ISNUMBER(Data!#REF!),IF(AND(Data!#REF!&gt;(TODAY()-(Data_Val!$I$3*365.25)),Data!#REF!&lt;=(TODAY()-(Data_Val!$I$2*365.25))),0,1),1))</f>
        <v>#REF!</v>
      </c>
      <c r="AP372" s="13" t="e">
        <f>IF(Data!#REF!="","",IF(Data!$G372="",1,IF(ISNUMBER(MATCH(Data!#REF!,Data_Val!$D$2:$D$10,0)),0,1)))</f>
        <v>#REF!</v>
      </c>
      <c r="AQ372" s="17"/>
      <c r="AR372" s="30" t="e">
        <f ca="1">IF(Data!#REF!="","",IF(ISNUMBER(Data!#REF!),IF(AND(Data!#REF!&gt;(TODAY()-(Data_Val!$I$3*365.25)),Data!#REF!&lt;=(TODAY()-(Data_Val!$I$2*365.25))),0,1),1))</f>
        <v>#REF!</v>
      </c>
      <c r="AS372" s="31" t="e">
        <f>IF(Data!#REF!="","",IF(Data!$G372="",1,IF(ISNUMBER(MATCH(Data!#REF!,Data_Val!$D$2:$D$10,0)),0,1)))</f>
        <v>#REF!</v>
      </c>
      <c r="AT372" s="11"/>
      <c r="AU372" s="11" t="e">
        <f ca="1">IF(Data!#REF!="","",IF(ISNUMBER(Data!#REF!),IF(AND(Data!#REF!&gt;(TODAY()-(Data_Val!$I$3*365.25)),Data!#REF!&lt;=(TODAY()-(Data_Val!$I$2*365.25))),0,1),1))</f>
        <v>#REF!</v>
      </c>
      <c r="AV372" s="11" t="e">
        <f>IF(Data!#REF!="","",IF(Data!$G372="",1,IF(ISNUMBER(MATCH(Data!#REF!,Data_Val!$D$2:$D$10,0)),0,1)))</f>
        <v>#REF!</v>
      </c>
      <c r="AW372" s="12"/>
      <c r="AX372" s="26" t="e">
        <f ca="1">IF(Data!#REF!="","",IF(ISNUMBER(Data!#REF!),IF(AND(Data!#REF!&gt;(TODAY()-(Data_Val!$I$3*365.25)),Data!#REF!&lt;=(TODAY()-(Data_Val!$I$2*365.25))),0,1),1))</f>
        <v>#REF!</v>
      </c>
      <c r="AY372" s="12" t="e">
        <f>IF(Data!#REF!="","",IF(Data!$G372="",1,IF(ISNUMBER(MATCH(Data!#REF!,Data_Val!$D$2:$D$10,0)),0,1)))</f>
        <v>#REF!</v>
      </c>
      <c r="AZ372" s="11"/>
      <c r="BA372" s="19" t="e">
        <f ca="1">IF(Data!#REF!="","",IF(ISNUMBER(Data!#REF!),IF(AND(Data!#REF!&gt;(TODAY()-(Data_Val!$M$3*365.25)),Data!#REF!&lt;=(TODAY()-(Data_Val!$M$2*365.25))),0,1),1))</f>
        <v>#REF!</v>
      </c>
      <c r="BB372" s="11" t="e">
        <f>IF(Data!#REF!="","",IF(Data!$G372="",1,IF(ISNUMBER(MATCH(Data!#REF!,Data_Val!$D$2:$D$10,0)),0,1)))</f>
        <v>#REF!</v>
      </c>
      <c r="BC372" s="12"/>
      <c r="BD372" s="20" t="e">
        <f ca="1">IF(Data!#REF!="","",IF(ISNUMBER(Data!#REF!),IF(AND(Data!#REF!&gt;(TODAY()-(Data_Val!$M$3*365.25)),Data!#REF!&lt;=(TODAY()-(Data_Val!$M$2*365.25))),0,1),1))</f>
        <v>#REF!</v>
      </c>
      <c r="BE372" s="12" t="e">
        <f>IF(Data!#REF!="","",IF(Data!$G372="",1,IF(ISNUMBER(MATCH(Data!#REF!,Data_Val!$D$2:$D$10,0)),0,1)))</f>
        <v>#REF!</v>
      </c>
      <c r="BF372" s="17"/>
      <c r="BG372" s="18" t="e">
        <f ca="1">IF(Data!#REF!="","",IF(ISNUMBER(Data!#REF!),IF(AND(Data!#REF!&gt;(TODAY()-(Data_Val!$M$3*365.25)),Data!#REF!&lt;=(TODAY()-(Data_Val!$M$2*365.25))),0,1),1))</f>
        <v>#REF!</v>
      </c>
      <c r="BH372" s="29" t="e">
        <f>IF(Data!#REF!="","",IF(Data!$G372="",1,IF(ISNUMBER(MATCH(Data!#REF!,Data_Val!$D$2:$D$10,0)),0,1)))</f>
        <v>#REF!</v>
      </c>
      <c r="BI372" s="13"/>
      <c r="BJ372" s="21" t="e">
        <f ca="1">IF(Data!#REF!="","",IF(ISNUMBER(Data!#REF!),IF(AND(Data!#REF!&gt;(TODAY()-(Data_Val!$M$3*365.25)),Data!#REF!&lt;=(TODAY()-(Data_Val!$M$2*365.25))),0,1),1))</f>
        <v>#REF!</v>
      </c>
      <c r="BK372" s="13" t="e">
        <f>IF(Data!#REF!="","",IF(Data!$G372="",1,IF(ISNUMBER(MATCH(Data!#REF!,Data_Val!$D$2:$D$10,0)),0,1)))</f>
        <v>#REF!</v>
      </c>
    </row>
    <row r="373" spans="1:63" x14ac:dyDescent="0.25">
      <c r="A373" s="9" t="str">
        <f>IF(Data!B373="","",IF(COUNTIFS(Data!A$1:'Data'!A373,Data!A373)&lt;=1,0,1))</f>
        <v/>
      </c>
      <c r="B373" s="9"/>
      <c r="C373" s="23" t="str">
        <f>IF(Data!C373="","",(IF(ISNUMBER(MATCH("*@*.?*",Data!C373,0)),0,1)+IF(COUNTIFS(Data!C$1:'Data'!C373,Data!C373)&gt;1,1,0)))</f>
        <v/>
      </c>
      <c r="D373" s="9" t="str">
        <f>IF(Data!B373="","",IF(ISNUMBER(Data!D373),IF(AND(Data!D373&gt;999999999,Data!D373&lt;=9999999999),IF(COUNTIFS(Data!D$1:'Data'!D373,Data!D373)&lt;=1,0,1),1),1))</f>
        <v/>
      </c>
      <c r="E373" s="9" t="str">
        <f>IF(Data!B373="","",IF(ISNUMBER(MATCH(Data!E373,Data_Val!$A$2:$A$3,0)),0,1))</f>
        <v/>
      </c>
      <c r="F373" s="9" t="str">
        <f ca="1">IF(Data!B373="","",IF(ISNUMBER(Data!F373),IF(AND(Data!F373&gt;(TODAY()-(Data_Val!$H$3*365.25)),Data!F373&lt;=(TODAY()-(Data_Val!$H$2*365.25))),0,1),1))</f>
        <v/>
      </c>
      <c r="G373" s="15" t="str">
        <f>IF(Data!B373="","",IF(AND(Data!G373="",Data!H373&lt;&gt;""),1,IF(Data!#REF!&lt;&gt;"",0,IF(ISNUMBER(MATCH(Data!G373,Data_Val!$C$2:$C$5,0)),0,1))))</f>
        <v/>
      </c>
      <c r="H373" s="15" t="str">
        <f>IF(Data!B373="","",IF(AND(Data!G373&lt;&gt;"",Data!H373=""),1,IF(Data!#REF!&lt;&gt;"",0,IF(Data!G373="",1,IF(ISNUMBER(MATCH(Data!H373,Data_Val!$D$2:$D$35,0)),0,1)))))</f>
        <v/>
      </c>
      <c r="I373" s="15" t="str">
        <f>IF(Data!B373="","",IF(Data!G373&lt;&gt;"",0,IF(ISNUMBER(MATCH(Data!#REF!,Data_Val!$E$2:$E$12,0)),0,1)))</f>
        <v/>
      </c>
      <c r="J373" s="16" t="e">
        <f>IF(OR(Data!B373="",Data!#REF!=""),"",IF(Data!#REF!="",1,0))</f>
        <v>#REF!</v>
      </c>
      <c r="K373" s="16" t="e">
        <f>IF(OR(Data!B373="",Data!#REF!=""),"",IF(Data!#REF!="",1,0))</f>
        <v>#REF!</v>
      </c>
      <c r="L373" s="16" t="e">
        <f>IF(OR(Data!B373="",Data!#REF!=""),"",IF(ISNUMBER(Data!#REF!),IF(AND(Data!#REF!&gt;Data_Val!$G$2,Data!#REF!&lt;=Data_Val!$G$3),0,1),1))</f>
        <v>#REF!</v>
      </c>
      <c r="M373" s="9" t="e">
        <f>IF(OR(Data!B373="",Data!#REF!=""),"",IF(ISNUMBER(MATCH(Data!#REF!,Data_Val!$F$1:$F$38,0)),0,1))</f>
        <v>#REF!</v>
      </c>
      <c r="N373" s="9" t="e">
        <f>IF(OR(Data!B373="",Data!#REF!=""),"",IF(Data!#REF!="",1,0))</f>
        <v>#REF!</v>
      </c>
      <c r="O373" s="17" t="e">
        <f>IF(Data!#REF!="","",IF(Data!#REF!="",1,0))</f>
        <v>#REF!</v>
      </c>
      <c r="P373" s="17" t="e">
        <f>IF(Data!#REF!="","",IF(ISNUMBER(MATCH(Data!#REF!,Data_Val!$A$2:$A$3,0)),0,1))</f>
        <v>#REF!</v>
      </c>
      <c r="Q373" s="25" t="e">
        <f ca="1">IF(Data!#REF!="","",IF(ISNUMBER(Data!#REF!),IF(AND(Data!#REF!&gt;(TODAY()-(Data_Val!$J$3*365.25)),Data!#REF!&lt;=(TODAY()-(Data_Val!$J$2*365.25))),0,1),1))</f>
        <v>#REF!</v>
      </c>
      <c r="R373" s="17" t="e">
        <f>IF(Data!#REF!="","",IF(ISNUMBER(MATCH(Data!#REF!,Data_Val!$B$2:$B$15,0)),0,1))</f>
        <v>#REF!</v>
      </c>
      <c r="S373" s="11" t="str">
        <f>IF(Data!G373="","",IF(Data!G373=Data_Val!$C$2,IF(Data!M373="",0,1),0))</f>
        <v/>
      </c>
      <c r="T373" s="11" t="str">
        <f>IF(Data!M373="","",IF(ISNUMBER(MATCH(Data!N373,Data_Val!$A$2:$A$3,0)),0,1))</f>
        <v/>
      </c>
      <c r="U373" s="11" t="str">
        <f ca="1">IF(Data!M373="","",IF(ISNUMBER(Data!O373),IF(AND(Data!O373&gt;(TODAY()-(Data_Val!$K$3*365.25)),Data!O373&lt;=(TODAY()-(Data_Val!$K$2*365.25))),0,1),1))</f>
        <v/>
      </c>
      <c r="V373" s="12" t="str">
        <f>IF(Data!G373="","",IF(Data!G373=Data_Val!$C$2,IF(Data!P373="",0,1),0))</f>
        <v/>
      </c>
      <c r="W373" s="12" t="str">
        <f>IF(Data!P373="","",IF(ISNUMBER(MATCH(Data!Q373,Data_Val!$A$2:$A$3,0)),0,1))</f>
        <v/>
      </c>
      <c r="X373" s="26" t="str">
        <f ca="1">IF(Data!P373="","",IF(ISNUMBER(Data!R373),IF(AND(Data!R373&gt;(TODAY()-(Data_Val!$L$3*365.25)),Data!R373&lt;=(TODAY()-(Data_Val!$L$2*365.25))),0,1),1))</f>
        <v/>
      </c>
      <c r="Y373" s="13" t="str">
        <f>IF(Data!$G373="","",IF(Data!$G373=Data_Val!$C$2,IF(Data!S373="",0,1),0))</f>
        <v/>
      </c>
      <c r="Z373" s="13" t="str">
        <f>IF(Data!S373="","",IF(ISNUMBER(MATCH(Data!T373,Data_Val!$A$2:$A$3,0)),0,1))</f>
        <v/>
      </c>
      <c r="AA373" s="28" t="str">
        <f ca="1">IF(Data!S373="","",IF(ISNUMBER(Data!U373),IF(AND(Data!U373&gt;(TODAY()-(Data_Val!$L$3*365.25)),Data!U373&lt;=(TODAY()-(Data_Val!$L$2*365.25))),0,1),1))</f>
        <v/>
      </c>
      <c r="AB373" s="11"/>
      <c r="AC373" s="11" t="e">
        <f>IF(Data!#REF!="","",IF(ISNUMBER(MATCH(Data!#REF!,Data_Val!$A$2:$A$3,0)),0,1))</f>
        <v>#REF!</v>
      </c>
      <c r="AD373" s="11" t="e">
        <f ca="1">IF(Data!#REF!="","",IF(ISNUMBER(Data!#REF!),IF(AND(Data!#REF!&gt;(TODAY()-(Data_Val!$L$3*365.25)),Data!#REF!&lt;=(TODAY()-(Data_Val!$L$2*365.25))),0,1),1))</f>
        <v>#REF!</v>
      </c>
      <c r="AE373" s="11" t="e">
        <f>IF(Data!#REF!="","",IF(Data!$G373="",1,IF(ISNUMBER(MATCH(Data!#REF!,Data_Val!$D$2:$D$10,0)),0,1)))</f>
        <v>#REF!</v>
      </c>
      <c r="AF373" s="12"/>
      <c r="AG373" s="12" t="e">
        <f>IF(Data!#REF!="","",IF(ISNUMBER(MATCH(Data!#REF!,Data_Val!$A$2:$A$3,0)),0,1))</f>
        <v>#REF!</v>
      </c>
      <c r="AH373" s="26" t="e">
        <f ca="1">IF(Data!#REF!="","",IF(ISNUMBER(Data!#REF!),IF(AND(Data!#REF!&gt;(TODAY()-(Data_Val!$L$3*365.25)),Data!#REF!&lt;=(TODAY()-(Data_Val!$L$2*365.25))),0,1),1))</f>
        <v>#REF!</v>
      </c>
      <c r="AI373" s="12" t="e">
        <f>IF(Data!#REF!="","",IF(Data!$G373="",1,IF(ISNUMBER(MATCH(Data!#REF!,Data_Val!$D$2:$D$10,0)),0,1)))</f>
        <v>#REF!</v>
      </c>
      <c r="AJ373" s="17"/>
      <c r="AK373" s="17" t="e">
        <f>IF(Data!#REF!="","",IF(ISNUMBER(MATCH(Data!#REF!,Data_Val!$A$2:$A$3,0)),0,1))</f>
        <v>#REF!</v>
      </c>
      <c r="AL373" s="25" t="e">
        <f ca="1">IF(Data!#REF!="","",IF(ISNUMBER(Data!#REF!),IF(AND(Data!#REF!&gt;(TODAY()-(Data_Val!$L$3*365.25)),Data!#REF!&lt;=(TODAY()-(Data_Val!$L$2*365.25))),0,1),1))</f>
        <v>#REF!</v>
      </c>
      <c r="AM373" s="17" t="e">
        <f>IF(Data!#REF!="","",IF(Data!$G373="",1,IF(ISNUMBER(MATCH(Data!#REF!,Data_Val!$D$2:$D$10,0)),0,1)))</f>
        <v>#REF!</v>
      </c>
      <c r="AN373" s="13"/>
      <c r="AO373" s="28" t="e">
        <f ca="1">IF(Data!#REF!="","",IF(ISNUMBER(Data!#REF!),IF(AND(Data!#REF!&gt;(TODAY()-(Data_Val!$I$3*365.25)),Data!#REF!&lt;=(TODAY()-(Data_Val!$I$2*365.25))),0,1),1))</f>
        <v>#REF!</v>
      </c>
      <c r="AP373" s="13" t="e">
        <f>IF(Data!#REF!="","",IF(Data!$G373="",1,IF(ISNUMBER(MATCH(Data!#REF!,Data_Val!$D$2:$D$10,0)),0,1)))</f>
        <v>#REF!</v>
      </c>
      <c r="AQ373" s="17"/>
      <c r="AR373" s="30" t="e">
        <f ca="1">IF(Data!#REF!="","",IF(ISNUMBER(Data!#REF!),IF(AND(Data!#REF!&gt;(TODAY()-(Data_Val!$I$3*365.25)),Data!#REF!&lt;=(TODAY()-(Data_Val!$I$2*365.25))),0,1),1))</f>
        <v>#REF!</v>
      </c>
      <c r="AS373" s="31" t="e">
        <f>IF(Data!#REF!="","",IF(Data!$G373="",1,IF(ISNUMBER(MATCH(Data!#REF!,Data_Val!$D$2:$D$10,0)),0,1)))</f>
        <v>#REF!</v>
      </c>
      <c r="AT373" s="11"/>
      <c r="AU373" s="11" t="e">
        <f ca="1">IF(Data!#REF!="","",IF(ISNUMBER(Data!#REF!),IF(AND(Data!#REF!&gt;(TODAY()-(Data_Val!$I$3*365.25)),Data!#REF!&lt;=(TODAY()-(Data_Val!$I$2*365.25))),0,1),1))</f>
        <v>#REF!</v>
      </c>
      <c r="AV373" s="11" t="e">
        <f>IF(Data!#REF!="","",IF(Data!$G373="",1,IF(ISNUMBER(MATCH(Data!#REF!,Data_Val!$D$2:$D$10,0)),0,1)))</f>
        <v>#REF!</v>
      </c>
      <c r="AW373" s="12"/>
      <c r="AX373" s="26" t="e">
        <f ca="1">IF(Data!#REF!="","",IF(ISNUMBER(Data!#REF!),IF(AND(Data!#REF!&gt;(TODAY()-(Data_Val!$I$3*365.25)),Data!#REF!&lt;=(TODAY()-(Data_Val!$I$2*365.25))),0,1),1))</f>
        <v>#REF!</v>
      </c>
      <c r="AY373" s="12" t="e">
        <f>IF(Data!#REF!="","",IF(Data!$G373="",1,IF(ISNUMBER(MATCH(Data!#REF!,Data_Val!$D$2:$D$10,0)),0,1)))</f>
        <v>#REF!</v>
      </c>
      <c r="AZ373" s="11"/>
      <c r="BA373" s="19" t="e">
        <f ca="1">IF(Data!#REF!="","",IF(ISNUMBER(Data!#REF!),IF(AND(Data!#REF!&gt;(TODAY()-(Data_Val!$M$3*365.25)),Data!#REF!&lt;=(TODAY()-(Data_Val!$M$2*365.25))),0,1),1))</f>
        <v>#REF!</v>
      </c>
      <c r="BB373" s="11" t="e">
        <f>IF(Data!#REF!="","",IF(Data!$G373="",1,IF(ISNUMBER(MATCH(Data!#REF!,Data_Val!$D$2:$D$10,0)),0,1)))</f>
        <v>#REF!</v>
      </c>
      <c r="BC373" s="12"/>
      <c r="BD373" s="20" t="e">
        <f ca="1">IF(Data!#REF!="","",IF(ISNUMBER(Data!#REF!),IF(AND(Data!#REF!&gt;(TODAY()-(Data_Val!$M$3*365.25)),Data!#REF!&lt;=(TODAY()-(Data_Val!$M$2*365.25))),0,1),1))</f>
        <v>#REF!</v>
      </c>
      <c r="BE373" s="12" t="e">
        <f>IF(Data!#REF!="","",IF(Data!$G373="",1,IF(ISNUMBER(MATCH(Data!#REF!,Data_Val!$D$2:$D$10,0)),0,1)))</f>
        <v>#REF!</v>
      </c>
      <c r="BF373" s="17"/>
      <c r="BG373" s="18" t="e">
        <f ca="1">IF(Data!#REF!="","",IF(ISNUMBER(Data!#REF!),IF(AND(Data!#REF!&gt;(TODAY()-(Data_Val!$M$3*365.25)),Data!#REF!&lt;=(TODAY()-(Data_Val!$M$2*365.25))),0,1),1))</f>
        <v>#REF!</v>
      </c>
      <c r="BH373" s="29" t="e">
        <f>IF(Data!#REF!="","",IF(Data!$G373="",1,IF(ISNUMBER(MATCH(Data!#REF!,Data_Val!$D$2:$D$10,0)),0,1)))</f>
        <v>#REF!</v>
      </c>
      <c r="BI373" s="13"/>
      <c r="BJ373" s="21" t="e">
        <f ca="1">IF(Data!#REF!="","",IF(ISNUMBER(Data!#REF!),IF(AND(Data!#REF!&gt;(TODAY()-(Data_Val!$M$3*365.25)),Data!#REF!&lt;=(TODAY()-(Data_Val!$M$2*365.25))),0,1),1))</f>
        <v>#REF!</v>
      </c>
      <c r="BK373" s="13" t="e">
        <f>IF(Data!#REF!="","",IF(Data!$G373="",1,IF(ISNUMBER(MATCH(Data!#REF!,Data_Val!$D$2:$D$10,0)),0,1)))</f>
        <v>#REF!</v>
      </c>
    </row>
    <row r="374" spans="1:63" x14ac:dyDescent="0.25">
      <c r="A374" s="9" t="str">
        <f>IF(Data!B374="","",IF(COUNTIFS(Data!A$1:'Data'!A374,Data!A374)&lt;=1,0,1))</f>
        <v/>
      </c>
      <c r="B374" s="9"/>
      <c r="C374" s="23" t="str">
        <f>IF(Data!C374="","",(IF(ISNUMBER(MATCH("*@*.?*",Data!C374,0)),0,1)+IF(COUNTIFS(Data!C$1:'Data'!C374,Data!C374)&gt;1,1,0)))</f>
        <v/>
      </c>
      <c r="D374" s="9" t="str">
        <f>IF(Data!B374="","",IF(ISNUMBER(Data!D374),IF(AND(Data!D374&gt;999999999,Data!D374&lt;=9999999999),IF(COUNTIFS(Data!D$1:'Data'!D374,Data!D374)&lt;=1,0,1),1),1))</f>
        <v/>
      </c>
      <c r="E374" s="9" t="str">
        <f>IF(Data!B374="","",IF(ISNUMBER(MATCH(Data!E374,Data_Val!$A$2:$A$3,0)),0,1))</f>
        <v/>
      </c>
      <c r="F374" s="9" t="str">
        <f ca="1">IF(Data!B374="","",IF(ISNUMBER(Data!F374),IF(AND(Data!F374&gt;(TODAY()-(Data_Val!$H$3*365.25)),Data!F374&lt;=(TODAY()-(Data_Val!$H$2*365.25))),0,1),1))</f>
        <v/>
      </c>
      <c r="G374" s="15" t="str">
        <f>IF(Data!B374="","",IF(AND(Data!G374="",Data!H374&lt;&gt;""),1,IF(Data!#REF!&lt;&gt;"",0,IF(ISNUMBER(MATCH(Data!G374,Data_Val!$C$2:$C$5,0)),0,1))))</f>
        <v/>
      </c>
      <c r="H374" s="15" t="str">
        <f>IF(Data!B374="","",IF(AND(Data!G374&lt;&gt;"",Data!H374=""),1,IF(Data!#REF!&lt;&gt;"",0,IF(Data!G374="",1,IF(ISNUMBER(MATCH(Data!H374,Data_Val!$D$2:$D$35,0)),0,1)))))</f>
        <v/>
      </c>
      <c r="I374" s="15" t="str">
        <f>IF(Data!B374="","",IF(Data!G374&lt;&gt;"",0,IF(ISNUMBER(MATCH(Data!#REF!,Data_Val!$E$2:$E$12,0)),0,1)))</f>
        <v/>
      </c>
      <c r="J374" s="16" t="e">
        <f>IF(OR(Data!B374="",Data!#REF!=""),"",IF(Data!#REF!="",1,0))</f>
        <v>#REF!</v>
      </c>
      <c r="K374" s="16" t="e">
        <f>IF(OR(Data!B374="",Data!#REF!=""),"",IF(Data!#REF!="",1,0))</f>
        <v>#REF!</v>
      </c>
      <c r="L374" s="16" t="e">
        <f>IF(OR(Data!B374="",Data!#REF!=""),"",IF(ISNUMBER(Data!#REF!),IF(AND(Data!#REF!&gt;Data_Val!$G$2,Data!#REF!&lt;=Data_Val!$G$3),0,1),1))</f>
        <v>#REF!</v>
      </c>
      <c r="M374" s="9" t="e">
        <f>IF(OR(Data!B374="",Data!#REF!=""),"",IF(ISNUMBER(MATCH(Data!#REF!,Data_Val!$F$1:$F$38,0)),0,1))</f>
        <v>#REF!</v>
      </c>
      <c r="N374" s="9" t="e">
        <f>IF(OR(Data!B374="",Data!#REF!=""),"",IF(Data!#REF!="",1,0))</f>
        <v>#REF!</v>
      </c>
      <c r="O374" s="17" t="e">
        <f>IF(Data!#REF!="","",IF(Data!#REF!="",1,0))</f>
        <v>#REF!</v>
      </c>
      <c r="P374" s="17" t="e">
        <f>IF(Data!#REF!="","",IF(ISNUMBER(MATCH(Data!#REF!,Data_Val!$A$2:$A$3,0)),0,1))</f>
        <v>#REF!</v>
      </c>
      <c r="Q374" s="25" t="e">
        <f ca="1">IF(Data!#REF!="","",IF(ISNUMBER(Data!#REF!),IF(AND(Data!#REF!&gt;(TODAY()-(Data_Val!$J$3*365.25)),Data!#REF!&lt;=(TODAY()-(Data_Val!$J$2*365.25))),0,1),1))</f>
        <v>#REF!</v>
      </c>
      <c r="R374" s="17" t="e">
        <f>IF(Data!#REF!="","",IF(ISNUMBER(MATCH(Data!#REF!,Data_Val!$B$2:$B$15,0)),0,1))</f>
        <v>#REF!</v>
      </c>
      <c r="S374" s="11" t="str">
        <f>IF(Data!G374="","",IF(Data!G374=Data_Val!$C$2,IF(Data!M374="",0,1),0))</f>
        <v/>
      </c>
      <c r="T374" s="11" t="str">
        <f>IF(Data!M374="","",IF(ISNUMBER(MATCH(Data!N374,Data_Val!$A$2:$A$3,0)),0,1))</f>
        <v/>
      </c>
      <c r="U374" s="11" t="str">
        <f ca="1">IF(Data!M374="","",IF(ISNUMBER(Data!O374),IF(AND(Data!O374&gt;(TODAY()-(Data_Val!$K$3*365.25)),Data!O374&lt;=(TODAY()-(Data_Val!$K$2*365.25))),0,1),1))</f>
        <v/>
      </c>
      <c r="V374" s="12" t="str">
        <f>IF(Data!G374="","",IF(Data!G374=Data_Val!$C$2,IF(Data!P374="",0,1),0))</f>
        <v/>
      </c>
      <c r="W374" s="12" t="str">
        <f>IF(Data!P374="","",IF(ISNUMBER(MATCH(Data!Q374,Data_Val!$A$2:$A$3,0)),0,1))</f>
        <v/>
      </c>
      <c r="X374" s="26" t="str">
        <f ca="1">IF(Data!P374="","",IF(ISNUMBER(Data!R374),IF(AND(Data!R374&gt;(TODAY()-(Data_Val!$L$3*365.25)),Data!R374&lt;=(TODAY()-(Data_Val!$L$2*365.25))),0,1),1))</f>
        <v/>
      </c>
      <c r="Y374" s="13" t="str">
        <f>IF(Data!$G374="","",IF(Data!$G374=Data_Val!$C$2,IF(Data!S374="",0,1),0))</f>
        <v/>
      </c>
      <c r="Z374" s="13" t="str">
        <f>IF(Data!S374="","",IF(ISNUMBER(MATCH(Data!T374,Data_Val!$A$2:$A$3,0)),0,1))</f>
        <v/>
      </c>
      <c r="AA374" s="28" t="str">
        <f ca="1">IF(Data!S374="","",IF(ISNUMBER(Data!U374),IF(AND(Data!U374&gt;(TODAY()-(Data_Val!$L$3*365.25)),Data!U374&lt;=(TODAY()-(Data_Val!$L$2*365.25))),0,1),1))</f>
        <v/>
      </c>
      <c r="AB374" s="11"/>
      <c r="AC374" s="11" t="e">
        <f>IF(Data!#REF!="","",IF(ISNUMBER(MATCH(Data!#REF!,Data_Val!$A$2:$A$3,0)),0,1))</f>
        <v>#REF!</v>
      </c>
      <c r="AD374" s="11" t="e">
        <f ca="1">IF(Data!#REF!="","",IF(ISNUMBER(Data!#REF!),IF(AND(Data!#REF!&gt;(TODAY()-(Data_Val!$L$3*365.25)),Data!#REF!&lt;=(TODAY()-(Data_Val!$L$2*365.25))),0,1),1))</f>
        <v>#REF!</v>
      </c>
      <c r="AE374" s="11" t="e">
        <f>IF(Data!#REF!="","",IF(Data!$G374="",1,IF(ISNUMBER(MATCH(Data!#REF!,Data_Val!$D$2:$D$10,0)),0,1)))</f>
        <v>#REF!</v>
      </c>
      <c r="AF374" s="12"/>
      <c r="AG374" s="12" t="e">
        <f>IF(Data!#REF!="","",IF(ISNUMBER(MATCH(Data!#REF!,Data_Val!$A$2:$A$3,0)),0,1))</f>
        <v>#REF!</v>
      </c>
      <c r="AH374" s="26" t="e">
        <f ca="1">IF(Data!#REF!="","",IF(ISNUMBER(Data!#REF!),IF(AND(Data!#REF!&gt;(TODAY()-(Data_Val!$L$3*365.25)),Data!#REF!&lt;=(TODAY()-(Data_Val!$L$2*365.25))),0,1),1))</f>
        <v>#REF!</v>
      </c>
      <c r="AI374" s="12" t="e">
        <f>IF(Data!#REF!="","",IF(Data!$G374="",1,IF(ISNUMBER(MATCH(Data!#REF!,Data_Val!$D$2:$D$10,0)),0,1)))</f>
        <v>#REF!</v>
      </c>
      <c r="AJ374" s="17"/>
      <c r="AK374" s="17" t="e">
        <f>IF(Data!#REF!="","",IF(ISNUMBER(MATCH(Data!#REF!,Data_Val!$A$2:$A$3,0)),0,1))</f>
        <v>#REF!</v>
      </c>
      <c r="AL374" s="25" t="e">
        <f ca="1">IF(Data!#REF!="","",IF(ISNUMBER(Data!#REF!),IF(AND(Data!#REF!&gt;(TODAY()-(Data_Val!$L$3*365.25)),Data!#REF!&lt;=(TODAY()-(Data_Val!$L$2*365.25))),0,1),1))</f>
        <v>#REF!</v>
      </c>
      <c r="AM374" s="17" t="e">
        <f>IF(Data!#REF!="","",IF(Data!$G374="",1,IF(ISNUMBER(MATCH(Data!#REF!,Data_Val!$D$2:$D$10,0)),0,1)))</f>
        <v>#REF!</v>
      </c>
      <c r="AN374" s="13"/>
      <c r="AO374" s="28" t="e">
        <f ca="1">IF(Data!#REF!="","",IF(ISNUMBER(Data!#REF!),IF(AND(Data!#REF!&gt;(TODAY()-(Data_Val!$I$3*365.25)),Data!#REF!&lt;=(TODAY()-(Data_Val!$I$2*365.25))),0,1),1))</f>
        <v>#REF!</v>
      </c>
      <c r="AP374" s="13" t="e">
        <f>IF(Data!#REF!="","",IF(Data!$G374="",1,IF(ISNUMBER(MATCH(Data!#REF!,Data_Val!$D$2:$D$10,0)),0,1)))</f>
        <v>#REF!</v>
      </c>
      <c r="AQ374" s="17"/>
      <c r="AR374" s="30" t="e">
        <f ca="1">IF(Data!#REF!="","",IF(ISNUMBER(Data!#REF!),IF(AND(Data!#REF!&gt;(TODAY()-(Data_Val!$I$3*365.25)),Data!#REF!&lt;=(TODAY()-(Data_Val!$I$2*365.25))),0,1),1))</f>
        <v>#REF!</v>
      </c>
      <c r="AS374" s="31" t="e">
        <f>IF(Data!#REF!="","",IF(Data!$G374="",1,IF(ISNUMBER(MATCH(Data!#REF!,Data_Val!$D$2:$D$10,0)),0,1)))</f>
        <v>#REF!</v>
      </c>
      <c r="AT374" s="11"/>
      <c r="AU374" s="11" t="e">
        <f ca="1">IF(Data!#REF!="","",IF(ISNUMBER(Data!#REF!),IF(AND(Data!#REF!&gt;(TODAY()-(Data_Val!$I$3*365.25)),Data!#REF!&lt;=(TODAY()-(Data_Val!$I$2*365.25))),0,1),1))</f>
        <v>#REF!</v>
      </c>
      <c r="AV374" s="11" t="e">
        <f>IF(Data!#REF!="","",IF(Data!$G374="",1,IF(ISNUMBER(MATCH(Data!#REF!,Data_Val!$D$2:$D$10,0)),0,1)))</f>
        <v>#REF!</v>
      </c>
      <c r="AW374" s="12"/>
      <c r="AX374" s="26" t="e">
        <f ca="1">IF(Data!#REF!="","",IF(ISNUMBER(Data!#REF!),IF(AND(Data!#REF!&gt;(TODAY()-(Data_Val!$I$3*365.25)),Data!#REF!&lt;=(TODAY()-(Data_Val!$I$2*365.25))),0,1),1))</f>
        <v>#REF!</v>
      </c>
      <c r="AY374" s="12" t="e">
        <f>IF(Data!#REF!="","",IF(Data!$G374="",1,IF(ISNUMBER(MATCH(Data!#REF!,Data_Val!$D$2:$D$10,0)),0,1)))</f>
        <v>#REF!</v>
      </c>
      <c r="AZ374" s="11"/>
      <c r="BA374" s="19" t="e">
        <f ca="1">IF(Data!#REF!="","",IF(ISNUMBER(Data!#REF!),IF(AND(Data!#REF!&gt;(TODAY()-(Data_Val!$M$3*365.25)),Data!#REF!&lt;=(TODAY()-(Data_Val!$M$2*365.25))),0,1),1))</f>
        <v>#REF!</v>
      </c>
      <c r="BB374" s="11" t="e">
        <f>IF(Data!#REF!="","",IF(Data!$G374="",1,IF(ISNUMBER(MATCH(Data!#REF!,Data_Val!$D$2:$D$10,0)),0,1)))</f>
        <v>#REF!</v>
      </c>
      <c r="BC374" s="12"/>
      <c r="BD374" s="20" t="e">
        <f ca="1">IF(Data!#REF!="","",IF(ISNUMBER(Data!#REF!),IF(AND(Data!#REF!&gt;(TODAY()-(Data_Val!$M$3*365.25)),Data!#REF!&lt;=(TODAY()-(Data_Val!$M$2*365.25))),0,1),1))</f>
        <v>#REF!</v>
      </c>
      <c r="BE374" s="12" t="e">
        <f>IF(Data!#REF!="","",IF(Data!$G374="",1,IF(ISNUMBER(MATCH(Data!#REF!,Data_Val!$D$2:$D$10,0)),0,1)))</f>
        <v>#REF!</v>
      </c>
      <c r="BF374" s="17"/>
      <c r="BG374" s="18" t="e">
        <f ca="1">IF(Data!#REF!="","",IF(ISNUMBER(Data!#REF!),IF(AND(Data!#REF!&gt;(TODAY()-(Data_Val!$M$3*365.25)),Data!#REF!&lt;=(TODAY()-(Data_Val!$M$2*365.25))),0,1),1))</f>
        <v>#REF!</v>
      </c>
      <c r="BH374" s="29" t="e">
        <f>IF(Data!#REF!="","",IF(Data!$G374="",1,IF(ISNUMBER(MATCH(Data!#REF!,Data_Val!$D$2:$D$10,0)),0,1)))</f>
        <v>#REF!</v>
      </c>
      <c r="BI374" s="13"/>
      <c r="BJ374" s="21" t="e">
        <f ca="1">IF(Data!#REF!="","",IF(ISNUMBER(Data!#REF!),IF(AND(Data!#REF!&gt;(TODAY()-(Data_Val!$M$3*365.25)),Data!#REF!&lt;=(TODAY()-(Data_Val!$M$2*365.25))),0,1),1))</f>
        <v>#REF!</v>
      </c>
      <c r="BK374" s="13" t="e">
        <f>IF(Data!#REF!="","",IF(Data!$G374="",1,IF(ISNUMBER(MATCH(Data!#REF!,Data_Val!$D$2:$D$10,0)),0,1)))</f>
        <v>#REF!</v>
      </c>
    </row>
    <row r="375" spans="1:63" x14ac:dyDescent="0.25">
      <c r="A375" s="9" t="str">
        <f>IF(Data!B375="","",IF(COUNTIFS(Data!A$1:'Data'!A375,Data!A375)&lt;=1,0,1))</f>
        <v/>
      </c>
      <c r="B375" s="9"/>
      <c r="C375" s="23" t="str">
        <f>IF(Data!C375="","",(IF(ISNUMBER(MATCH("*@*.?*",Data!C375,0)),0,1)+IF(COUNTIFS(Data!C$1:'Data'!C375,Data!C375)&gt;1,1,0)))</f>
        <v/>
      </c>
      <c r="D375" s="9" t="str">
        <f>IF(Data!B375="","",IF(ISNUMBER(Data!D375),IF(AND(Data!D375&gt;999999999,Data!D375&lt;=9999999999),IF(COUNTIFS(Data!D$1:'Data'!D375,Data!D375)&lt;=1,0,1),1),1))</f>
        <v/>
      </c>
      <c r="E375" s="9" t="str">
        <f>IF(Data!B375="","",IF(ISNUMBER(MATCH(Data!E375,Data_Val!$A$2:$A$3,0)),0,1))</f>
        <v/>
      </c>
      <c r="F375" s="9" t="str">
        <f ca="1">IF(Data!B375="","",IF(ISNUMBER(Data!F375),IF(AND(Data!F375&gt;(TODAY()-(Data_Val!$H$3*365.25)),Data!F375&lt;=(TODAY()-(Data_Val!$H$2*365.25))),0,1),1))</f>
        <v/>
      </c>
      <c r="G375" s="15" t="str">
        <f>IF(Data!B375="","",IF(AND(Data!G375="",Data!H375&lt;&gt;""),1,IF(Data!#REF!&lt;&gt;"",0,IF(ISNUMBER(MATCH(Data!G375,Data_Val!$C$2:$C$5,0)),0,1))))</f>
        <v/>
      </c>
      <c r="H375" s="15" t="str">
        <f>IF(Data!B375="","",IF(AND(Data!G375&lt;&gt;"",Data!H375=""),1,IF(Data!#REF!&lt;&gt;"",0,IF(Data!G375="",1,IF(ISNUMBER(MATCH(Data!H375,Data_Val!$D$2:$D$35,0)),0,1)))))</f>
        <v/>
      </c>
      <c r="I375" s="15" t="str">
        <f>IF(Data!B375="","",IF(Data!G375&lt;&gt;"",0,IF(ISNUMBER(MATCH(Data!#REF!,Data_Val!$E$2:$E$12,0)),0,1)))</f>
        <v/>
      </c>
      <c r="J375" s="16" t="e">
        <f>IF(OR(Data!B375="",Data!#REF!=""),"",IF(Data!#REF!="",1,0))</f>
        <v>#REF!</v>
      </c>
      <c r="K375" s="16" t="e">
        <f>IF(OR(Data!B375="",Data!#REF!=""),"",IF(Data!#REF!="",1,0))</f>
        <v>#REF!</v>
      </c>
      <c r="L375" s="16" t="e">
        <f>IF(OR(Data!B375="",Data!#REF!=""),"",IF(ISNUMBER(Data!#REF!),IF(AND(Data!#REF!&gt;Data_Val!$G$2,Data!#REF!&lt;=Data_Val!$G$3),0,1),1))</f>
        <v>#REF!</v>
      </c>
      <c r="M375" s="9" t="e">
        <f>IF(OR(Data!B375="",Data!#REF!=""),"",IF(ISNUMBER(MATCH(Data!#REF!,Data_Val!$F$1:$F$38,0)),0,1))</f>
        <v>#REF!</v>
      </c>
      <c r="N375" s="9" t="e">
        <f>IF(OR(Data!B375="",Data!#REF!=""),"",IF(Data!#REF!="",1,0))</f>
        <v>#REF!</v>
      </c>
      <c r="O375" s="17" t="e">
        <f>IF(Data!#REF!="","",IF(Data!#REF!="",1,0))</f>
        <v>#REF!</v>
      </c>
      <c r="P375" s="17" t="e">
        <f>IF(Data!#REF!="","",IF(ISNUMBER(MATCH(Data!#REF!,Data_Val!$A$2:$A$3,0)),0,1))</f>
        <v>#REF!</v>
      </c>
      <c r="Q375" s="25" t="e">
        <f ca="1">IF(Data!#REF!="","",IF(ISNUMBER(Data!#REF!),IF(AND(Data!#REF!&gt;(TODAY()-(Data_Val!$J$3*365.25)),Data!#REF!&lt;=(TODAY()-(Data_Val!$J$2*365.25))),0,1),1))</f>
        <v>#REF!</v>
      </c>
      <c r="R375" s="17" t="e">
        <f>IF(Data!#REF!="","",IF(ISNUMBER(MATCH(Data!#REF!,Data_Val!$B$2:$B$15,0)),0,1))</f>
        <v>#REF!</v>
      </c>
      <c r="S375" s="11" t="str">
        <f>IF(Data!G375="","",IF(Data!G375=Data_Val!$C$2,IF(Data!M375="",0,1),0))</f>
        <v/>
      </c>
      <c r="T375" s="11" t="str">
        <f>IF(Data!M375="","",IF(ISNUMBER(MATCH(Data!N375,Data_Val!$A$2:$A$3,0)),0,1))</f>
        <v/>
      </c>
      <c r="U375" s="11" t="str">
        <f ca="1">IF(Data!M375="","",IF(ISNUMBER(Data!O375),IF(AND(Data!O375&gt;(TODAY()-(Data_Val!$K$3*365.25)),Data!O375&lt;=(TODAY()-(Data_Val!$K$2*365.25))),0,1),1))</f>
        <v/>
      </c>
      <c r="V375" s="12" t="str">
        <f>IF(Data!G375="","",IF(Data!G375=Data_Val!$C$2,IF(Data!P375="",0,1),0))</f>
        <v/>
      </c>
      <c r="W375" s="12" t="str">
        <f>IF(Data!P375="","",IF(ISNUMBER(MATCH(Data!Q375,Data_Val!$A$2:$A$3,0)),0,1))</f>
        <v/>
      </c>
      <c r="X375" s="26" t="str">
        <f ca="1">IF(Data!P375="","",IF(ISNUMBER(Data!R375),IF(AND(Data!R375&gt;(TODAY()-(Data_Val!$L$3*365.25)),Data!R375&lt;=(TODAY()-(Data_Val!$L$2*365.25))),0,1),1))</f>
        <v/>
      </c>
      <c r="Y375" s="13" t="str">
        <f>IF(Data!$G375="","",IF(Data!$G375=Data_Val!$C$2,IF(Data!S375="",0,1),0))</f>
        <v/>
      </c>
      <c r="Z375" s="13" t="str">
        <f>IF(Data!S375="","",IF(ISNUMBER(MATCH(Data!T375,Data_Val!$A$2:$A$3,0)),0,1))</f>
        <v/>
      </c>
      <c r="AA375" s="28" t="str">
        <f ca="1">IF(Data!S375="","",IF(ISNUMBER(Data!U375),IF(AND(Data!U375&gt;(TODAY()-(Data_Val!$L$3*365.25)),Data!U375&lt;=(TODAY()-(Data_Val!$L$2*365.25))),0,1),1))</f>
        <v/>
      </c>
      <c r="AB375" s="11"/>
      <c r="AC375" s="11" t="e">
        <f>IF(Data!#REF!="","",IF(ISNUMBER(MATCH(Data!#REF!,Data_Val!$A$2:$A$3,0)),0,1))</f>
        <v>#REF!</v>
      </c>
      <c r="AD375" s="11" t="e">
        <f ca="1">IF(Data!#REF!="","",IF(ISNUMBER(Data!#REF!),IF(AND(Data!#REF!&gt;(TODAY()-(Data_Val!$L$3*365.25)),Data!#REF!&lt;=(TODAY()-(Data_Val!$L$2*365.25))),0,1),1))</f>
        <v>#REF!</v>
      </c>
      <c r="AE375" s="11" t="e">
        <f>IF(Data!#REF!="","",IF(Data!$G375="",1,IF(ISNUMBER(MATCH(Data!#REF!,Data_Val!$D$2:$D$10,0)),0,1)))</f>
        <v>#REF!</v>
      </c>
      <c r="AF375" s="12"/>
      <c r="AG375" s="12" t="e">
        <f>IF(Data!#REF!="","",IF(ISNUMBER(MATCH(Data!#REF!,Data_Val!$A$2:$A$3,0)),0,1))</f>
        <v>#REF!</v>
      </c>
      <c r="AH375" s="26" t="e">
        <f ca="1">IF(Data!#REF!="","",IF(ISNUMBER(Data!#REF!),IF(AND(Data!#REF!&gt;(TODAY()-(Data_Val!$L$3*365.25)),Data!#REF!&lt;=(TODAY()-(Data_Val!$L$2*365.25))),0,1),1))</f>
        <v>#REF!</v>
      </c>
      <c r="AI375" s="12" t="e">
        <f>IF(Data!#REF!="","",IF(Data!$G375="",1,IF(ISNUMBER(MATCH(Data!#REF!,Data_Val!$D$2:$D$10,0)),0,1)))</f>
        <v>#REF!</v>
      </c>
      <c r="AJ375" s="17"/>
      <c r="AK375" s="17" t="e">
        <f>IF(Data!#REF!="","",IF(ISNUMBER(MATCH(Data!#REF!,Data_Val!$A$2:$A$3,0)),0,1))</f>
        <v>#REF!</v>
      </c>
      <c r="AL375" s="25" t="e">
        <f ca="1">IF(Data!#REF!="","",IF(ISNUMBER(Data!#REF!),IF(AND(Data!#REF!&gt;(TODAY()-(Data_Val!$L$3*365.25)),Data!#REF!&lt;=(TODAY()-(Data_Val!$L$2*365.25))),0,1),1))</f>
        <v>#REF!</v>
      </c>
      <c r="AM375" s="17" t="e">
        <f>IF(Data!#REF!="","",IF(Data!$G375="",1,IF(ISNUMBER(MATCH(Data!#REF!,Data_Val!$D$2:$D$10,0)),0,1)))</f>
        <v>#REF!</v>
      </c>
      <c r="AN375" s="13"/>
      <c r="AO375" s="28" t="e">
        <f ca="1">IF(Data!#REF!="","",IF(ISNUMBER(Data!#REF!),IF(AND(Data!#REF!&gt;(TODAY()-(Data_Val!$I$3*365.25)),Data!#REF!&lt;=(TODAY()-(Data_Val!$I$2*365.25))),0,1),1))</f>
        <v>#REF!</v>
      </c>
      <c r="AP375" s="13" t="e">
        <f>IF(Data!#REF!="","",IF(Data!$G375="",1,IF(ISNUMBER(MATCH(Data!#REF!,Data_Val!$D$2:$D$10,0)),0,1)))</f>
        <v>#REF!</v>
      </c>
      <c r="AQ375" s="17"/>
      <c r="AR375" s="30" t="e">
        <f ca="1">IF(Data!#REF!="","",IF(ISNUMBER(Data!#REF!),IF(AND(Data!#REF!&gt;(TODAY()-(Data_Val!$I$3*365.25)),Data!#REF!&lt;=(TODAY()-(Data_Val!$I$2*365.25))),0,1),1))</f>
        <v>#REF!</v>
      </c>
      <c r="AS375" s="31" t="e">
        <f>IF(Data!#REF!="","",IF(Data!$G375="",1,IF(ISNUMBER(MATCH(Data!#REF!,Data_Val!$D$2:$D$10,0)),0,1)))</f>
        <v>#REF!</v>
      </c>
      <c r="AT375" s="11"/>
      <c r="AU375" s="11" t="e">
        <f ca="1">IF(Data!#REF!="","",IF(ISNUMBER(Data!#REF!),IF(AND(Data!#REF!&gt;(TODAY()-(Data_Val!$I$3*365.25)),Data!#REF!&lt;=(TODAY()-(Data_Val!$I$2*365.25))),0,1),1))</f>
        <v>#REF!</v>
      </c>
      <c r="AV375" s="11" t="e">
        <f>IF(Data!#REF!="","",IF(Data!$G375="",1,IF(ISNUMBER(MATCH(Data!#REF!,Data_Val!$D$2:$D$10,0)),0,1)))</f>
        <v>#REF!</v>
      </c>
      <c r="AW375" s="12"/>
      <c r="AX375" s="26" t="e">
        <f ca="1">IF(Data!#REF!="","",IF(ISNUMBER(Data!#REF!),IF(AND(Data!#REF!&gt;(TODAY()-(Data_Val!$I$3*365.25)),Data!#REF!&lt;=(TODAY()-(Data_Val!$I$2*365.25))),0,1),1))</f>
        <v>#REF!</v>
      </c>
      <c r="AY375" s="12" t="e">
        <f>IF(Data!#REF!="","",IF(Data!$G375="",1,IF(ISNUMBER(MATCH(Data!#REF!,Data_Val!$D$2:$D$10,0)),0,1)))</f>
        <v>#REF!</v>
      </c>
      <c r="AZ375" s="11"/>
      <c r="BA375" s="19" t="e">
        <f ca="1">IF(Data!#REF!="","",IF(ISNUMBER(Data!#REF!),IF(AND(Data!#REF!&gt;(TODAY()-(Data_Val!$M$3*365.25)),Data!#REF!&lt;=(TODAY()-(Data_Val!$M$2*365.25))),0,1),1))</f>
        <v>#REF!</v>
      </c>
      <c r="BB375" s="11" t="e">
        <f>IF(Data!#REF!="","",IF(Data!$G375="",1,IF(ISNUMBER(MATCH(Data!#REF!,Data_Val!$D$2:$D$10,0)),0,1)))</f>
        <v>#REF!</v>
      </c>
      <c r="BC375" s="12"/>
      <c r="BD375" s="20" t="e">
        <f ca="1">IF(Data!#REF!="","",IF(ISNUMBER(Data!#REF!),IF(AND(Data!#REF!&gt;(TODAY()-(Data_Val!$M$3*365.25)),Data!#REF!&lt;=(TODAY()-(Data_Val!$M$2*365.25))),0,1),1))</f>
        <v>#REF!</v>
      </c>
      <c r="BE375" s="12" t="e">
        <f>IF(Data!#REF!="","",IF(Data!$G375="",1,IF(ISNUMBER(MATCH(Data!#REF!,Data_Val!$D$2:$D$10,0)),0,1)))</f>
        <v>#REF!</v>
      </c>
      <c r="BF375" s="17"/>
      <c r="BG375" s="18" t="e">
        <f ca="1">IF(Data!#REF!="","",IF(ISNUMBER(Data!#REF!),IF(AND(Data!#REF!&gt;(TODAY()-(Data_Val!$M$3*365.25)),Data!#REF!&lt;=(TODAY()-(Data_Val!$M$2*365.25))),0,1),1))</f>
        <v>#REF!</v>
      </c>
      <c r="BH375" s="29" t="e">
        <f>IF(Data!#REF!="","",IF(Data!$G375="",1,IF(ISNUMBER(MATCH(Data!#REF!,Data_Val!$D$2:$D$10,0)),0,1)))</f>
        <v>#REF!</v>
      </c>
      <c r="BI375" s="13"/>
      <c r="BJ375" s="21" t="e">
        <f ca="1">IF(Data!#REF!="","",IF(ISNUMBER(Data!#REF!),IF(AND(Data!#REF!&gt;(TODAY()-(Data_Val!$M$3*365.25)),Data!#REF!&lt;=(TODAY()-(Data_Val!$M$2*365.25))),0,1),1))</f>
        <v>#REF!</v>
      </c>
      <c r="BK375" s="13" t="e">
        <f>IF(Data!#REF!="","",IF(Data!$G375="",1,IF(ISNUMBER(MATCH(Data!#REF!,Data_Val!$D$2:$D$10,0)),0,1)))</f>
        <v>#REF!</v>
      </c>
    </row>
    <row r="376" spans="1:63" x14ac:dyDescent="0.25">
      <c r="A376" s="9" t="str">
        <f>IF(Data!B376="","",IF(COUNTIFS(Data!A$1:'Data'!A376,Data!A376)&lt;=1,0,1))</f>
        <v/>
      </c>
      <c r="B376" s="9"/>
      <c r="C376" s="23" t="str">
        <f>IF(Data!C376="","",(IF(ISNUMBER(MATCH("*@*.?*",Data!C376,0)),0,1)+IF(COUNTIFS(Data!C$1:'Data'!C376,Data!C376)&gt;1,1,0)))</f>
        <v/>
      </c>
      <c r="D376" s="9" t="str">
        <f>IF(Data!B376="","",IF(ISNUMBER(Data!D376),IF(AND(Data!D376&gt;999999999,Data!D376&lt;=9999999999),IF(COUNTIFS(Data!D$1:'Data'!D376,Data!D376)&lt;=1,0,1),1),1))</f>
        <v/>
      </c>
      <c r="E376" s="9" t="str">
        <f>IF(Data!B376="","",IF(ISNUMBER(MATCH(Data!E376,Data_Val!$A$2:$A$3,0)),0,1))</f>
        <v/>
      </c>
      <c r="F376" s="9" t="str">
        <f ca="1">IF(Data!B376="","",IF(ISNUMBER(Data!F376),IF(AND(Data!F376&gt;(TODAY()-(Data_Val!$H$3*365.25)),Data!F376&lt;=(TODAY()-(Data_Val!$H$2*365.25))),0,1),1))</f>
        <v/>
      </c>
      <c r="G376" s="15" t="str">
        <f>IF(Data!B376="","",IF(AND(Data!G376="",Data!H376&lt;&gt;""),1,IF(Data!#REF!&lt;&gt;"",0,IF(ISNUMBER(MATCH(Data!G376,Data_Val!$C$2:$C$5,0)),0,1))))</f>
        <v/>
      </c>
      <c r="H376" s="15" t="str">
        <f>IF(Data!B376="","",IF(AND(Data!G376&lt;&gt;"",Data!H376=""),1,IF(Data!#REF!&lt;&gt;"",0,IF(Data!G376="",1,IF(ISNUMBER(MATCH(Data!H376,Data_Val!$D$2:$D$35,0)),0,1)))))</f>
        <v/>
      </c>
      <c r="I376" s="15" t="str">
        <f>IF(Data!B376="","",IF(Data!G376&lt;&gt;"",0,IF(ISNUMBER(MATCH(Data!#REF!,Data_Val!$E$2:$E$12,0)),0,1)))</f>
        <v/>
      </c>
      <c r="J376" s="16" t="e">
        <f>IF(OR(Data!B376="",Data!#REF!=""),"",IF(Data!#REF!="",1,0))</f>
        <v>#REF!</v>
      </c>
      <c r="K376" s="16" t="e">
        <f>IF(OR(Data!B376="",Data!#REF!=""),"",IF(Data!#REF!="",1,0))</f>
        <v>#REF!</v>
      </c>
      <c r="L376" s="16" t="e">
        <f>IF(OR(Data!B376="",Data!#REF!=""),"",IF(ISNUMBER(Data!#REF!),IF(AND(Data!#REF!&gt;Data_Val!$G$2,Data!#REF!&lt;=Data_Val!$G$3),0,1),1))</f>
        <v>#REF!</v>
      </c>
      <c r="M376" s="9" t="e">
        <f>IF(OR(Data!B376="",Data!#REF!=""),"",IF(ISNUMBER(MATCH(Data!#REF!,Data_Val!$F$1:$F$38,0)),0,1))</f>
        <v>#REF!</v>
      </c>
      <c r="N376" s="9" t="e">
        <f>IF(OR(Data!B376="",Data!#REF!=""),"",IF(Data!#REF!="",1,0))</f>
        <v>#REF!</v>
      </c>
      <c r="O376" s="17" t="e">
        <f>IF(Data!#REF!="","",IF(Data!#REF!="",1,0))</f>
        <v>#REF!</v>
      </c>
      <c r="P376" s="17" t="e">
        <f>IF(Data!#REF!="","",IF(ISNUMBER(MATCH(Data!#REF!,Data_Val!$A$2:$A$3,0)),0,1))</f>
        <v>#REF!</v>
      </c>
      <c r="Q376" s="25" t="e">
        <f ca="1">IF(Data!#REF!="","",IF(ISNUMBER(Data!#REF!),IF(AND(Data!#REF!&gt;(TODAY()-(Data_Val!$J$3*365.25)),Data!#REF!&lt;=(TODAY()-(Data_Val!$J$2*365.25))),0,1),1))</f>
        <v>#REF!</v>
      </c>
      <c r="R376" s="17" t="e">
        <f>IF(Data!#REF!="","",IF(ISNUMBER(MATCH(Data!#REF!,Data_Val!$B$2:$B$15,0)),0,1))</f>
        <v>#REF!</v>
      </c>
      <c r="S376" s="11" t="str">
        <f>IF(Data!G376="","",IF(Data!G376=Data_Val!$C$2,IF(Data!M376="",0,1),0))</f>
        <v/>
      </c>
      <c r="T376" s="11" t="str">
        <f>IF(Data!M376="","",IF(ISNUMBER(MATCH(Data!N376,Data_Val!$A$2:$A$3,0)),0,1))</f>
        <v/>
      </c>
      <c r="U376" s="11" t="str">
        <f ca="1">IF(Data!M376="","",IF(ISNUMBER(Data!O376),IF(AND(Data!O376&gt;(TODAY()-(Data_Val!$K$3*365.25)),Data!O376&lt;=(TODAY()-(Data_Val!$K$2*365.25))),0,1),1))</f>
        <v/>
      </c>
      <c r="V376" s="12" t="str">
        <f>IF(Data!G376="","",IF(Data!G376=Data_Val!$C$2,IF(Data!P376="",0,1),0))</f>
        <v/>
      </c>
      <c r="W376" s="12" t="str">
        <f>IF(Data!P376="","",IF(ISNUMBER(MATCH(Data!Q376,Data_Val!$A$2:$A$3,0)),0,1))</f>
        <v/>
      </c>
      <c r="X376" s="26" t="str">
        <f ca="1">IF(Data!P376="","",IF(ISNUMBER(Data!R376),IF(AND(Data!R376&gt;(TODAY()-(Data_Val!$L$3*365.25)),Data!R376&lt;=(TODAY()-(Data_Val!$L$2*365.25))),0,1),1))</f>
        <v/>
      </c>
      <c r="Y376" s="13" t="str">
        <f>IF(Data!$G376="","",IF(Data!$G376=Data_Val!$C$2,IF(Data!S376="",0,1),0))</f>
        <v/>
      </c>
      <c r="Z376" s="13" t="str">
        <f>IF(Data!S376="","",IF(ISNUMBER(MATCH(Data!T376,Data_Val!$A$2:$A$3,0)),0,1))</f>
        <v/>
      </c>
      <c r="AA376" s="28" t="str">
        <f ca="1">IF(Data!S376="","",IF(ISNUMBER(Data!U376),IF(AND(Data!U376&gt;(TODAY()-(Data_Val!$L$3*365.25)),Data!U376&lt;=(TODAY()-(Data_Val!$L$2*365.25))),0,1),1))</f>
        <v/>
      </c>
      <c r="AB376" s="11"/>
      <c r="AC376" s="11" t="e">
        <f>IF(Data!#REF!="","",IF(ISNUMBER(MATCH(Data!#REF!,Data_Val!$A$2:$A$3,0)),0,1))</f>
        <v>#REF!</v>
      </c>
      <c r="AD376" s="11" t="e">
        <f ca="1">IF(Data!#REF!="","",IF(ISNUMBER(Data!#REF!),IF(AND(Data!#REF!&gt;(TODAY()-(Data_Val!$L$3*365.25)),Data!#REF!&lt;=(TODAY()-(Data_Val!$L$2*365.25))),0,1),1))</f>
        <v>#REF!</v>
      </c>
      <c r="AE376" s="11" t="e">
        <f>IF(Data!#REF!="","",IF(Data!$G376="",1,IF(ISNUMBER(MATCH(Data!#REF!,Data_Val!$D$2:$D$10,0)),0,1)))</f>
        <v>#REF!</v>
      </c>
      <c r="AF376" s="12"/>
      <c r="AG376" s="12" t="e">
        <f>IF(Data!#REF!="","",IF(ISNUMBER(MATCH(Data!#REF!,Data_Val!$A$2:$A$3,0)),0,1))</f>
        <v>#REF!</v>
      </c>
      <c r="AH376" s="26" t="e">
        <f ca="1">IF(Data!#REF!="","",IF(ISNUMBER(Data!#REF!),IF(AND(Data!#REF!&gt;(TODAY()-(Data_Val!$L$3*365.25)),Data!#REF!&lt;=(TODAY()-(Data_Val!$L$2*365.25))),0,1),1))</f>
        <v>#REF!</v>
      </c>
      <c r="AI376" s="12" t="e">
        <f>IF(Data!#REF!="","",IF(Data!$G376="",1,IF(ISNUMBER(MATCH(Data!#REF!,Data_Val!$D$2:$D$10,0)),0,1)))</f>
        <v>#REF!</v>
      </c>
      <c r="AJ376" s="17"/>
      <c r="AK376" s="17" t="e">
        <f>IF(Data!#REF!="","",IF(ISNUMBER(MATCH(Data!#REF!,Data_Val!$A$2:$A$3,0)),0,1))</f>
        <v>#REF!</v>
      </c>
      <c r="AL376" s="25" t="e">
        <f ca="1">IF(Data!#REF!="","",IF(ISNUMBER(Data!#REF!),IF(AND(Data!#REF!&gt;(TODAY()-(Data_Val!$L$3*365.25)),Data!#REF!&lt;=(TODAY()-(Data_Val!$L$2*365.25))),0,1),1))</f>
        <v>#REF!</v>
      </c>
      <c r="AM376" s="17" t="e">
        <f>IF(Data!#REF!="","",IF(Data!$G376="",1,IF(ISNUMBER(MATCH(Data!#REF!,Data_Val!$D$2:$D$10,0)),0,1)))</f>
        <v>#REF!</v>
      </c>
      <c r="AN376" s="13"/>
      <c r="AO376" s="28" t="e">
        <f ca="1">IF(Data!#REF!="","",IF(ISNUMBER(Data!#REF!),IF(AND(Data!#REF!&gt;(TODAY()-(Data_Val!$I$3*365.25)),Data!#REF!&lt;=(TODAY()-(Data_Val!$I$2*365.25))),0,1),1))</f>
        <v>#REF!</v>
      </c>
      <c r="AP376" s="13" t="e">
        <f>IF(Data!#REF!="","",IF(Data!$G376="",1,IF(ISNUMBER(MATCH(Data!#REF!,Data_Val!$D$2:$D$10,0)),0,1)))</f>
        <v>#REF!</v>
      </c>
      <c r="AQ376" s="17"/>
      <c r="AR376" s="30" t="e">
        <f ca="1">IF(Data!#REF!="","",IF(ISNUMBER(Data!#REF!),IF(AND(Data!#REF!&gt;(TODAY()-(Data_Val!$I$3*365.25)),Data!#REF!&lt;=(TODAY()-(Data_Val!$I$2*365.25))),0,1),1))</f>
        <v>#REF!</v>
      </c>
      <c r="AS376" s="31" t="e">
        <f>IF(Data!#REF!="","",IF(Data!$G376="",1,IF(ISNUMBER(MATCH(Data!#REF!,Data_Val!$D$2:$D$10,0)),0,1)))</f>
        <v>#REF!</v>
      </c>
      <c r="AT376" s="11"/>
      <c r="AU376" s="11" t="e">
        <f ca="1">IF(Data!#REF!="","",IF(ISNUMBER(Data!#REF!),IF(AND(Data!#REF!&gt;(TODAY()-(Data_Val!$I$3*365.25)),Data!#REF!&lt;=(TODAY()-(Data_Val!$I$2*365.25))),0,1),1))</f>
        <v>#REF!</v>
      </c>
      <c r="AV376" s="11" t="e">
        <f>IF(Data!#REF!="","",IF(Data!$G376="",1,IF(ISNUMBER(MATCH(Data!#REF!,Data_Val!$D$2:$D$10,0)),0,1)))</f>
        <v>#REF!</v>
      </c>
      <c r="AW376" s="12"/>
      <c r="AX376" s="26" t="e">
        <f ca="1">IF(Data!#REF!="","",IF(ISNUMBER(Data!#REF!),IF(AND(Data!#REF!&gt;(TODAY()-(Data_Val!$I$3*365.25)),Data!#REF!&lt;=(TODAY()-(Data_Val!$I$2*365.25))),0,1),1))</f>
        <v>#REF!</v>
      </c>
      <c r="AY376" s="12" t="e">
        <f>IF(Data!#REF!="","",IF(Data!$G376="",1,IF(ISNUMBER(MATCH(Data!#REF!,Data_Val!$D$2:$D$10,0)),0,1)))</f>
        <v>#REF!</v>
      </c>
      <c r="AZ376" s="11"/>
      <c r="BA376" s="19" t="e">
        <f ca="1">IF(Data!#REF!="","",IF(ISNUMBER(Data!#REF!),IF(AND(Data!#REF!&gt;(TODAY()-(Data_Val!$M$3*365.25)),Data!#REF!&lt;=(TODAY()-(Data_Val!$M$2*365.25))),0,1),1))</f>
        <v>#REF!</v>
      </c>
      <c r="BB376" s="11" t="e">
        <f>IF(Data!#REF!="","",IF(Data!$G376="",1,IF(ISNUMBER(MATCH(Data!#REF!,Data_Val!$D$2:$D$10,0)),0,1)))</f>
        <v>#REF!</v>
      </c>
      <c r="BC376" s="12"/>
      <c r="BD376" s="20" t="e">
        <f ca="1">IF(Data!#REF!="","",IF(ISNUMBER(Data!#REF!),IF(AND(Data!#REF!&gt;(TODAY()-(Data_Val!$M$3*365.25)),Data!#REF!&lt;=(TODAY()-(Data_Val!$M$2*365.25))),0,1),1))</f>
        <v>#REF!</v>
      </c>
      <c r="BE376" s="12" t="e">
        <f>IF(Data!#REF!="","",IF(Data!$G376="",1,IF(ISNUMBER(MATCH(Data!#REF!,Data_Val!$D$2:$D$10,0)),0,1)))</f>
        <v>#REF!</v>
      </c>
      <c r="BF376" s="17"/>
      <c r="BG376" s="18" t="e">
        <f ca="1">IF(Data!#REF!="","",IF(ISNUMBER(Data!#REF!),IF(AND(Data!#REF!&gt;(TODAY()-(Data_Val!$M$3*365.25)),Data!#REF!&lt;=(TODAY()-(Data_Val!$M$2*365.25))),0,1),1))</f>
        <v>#REF!</v>
      </c>
      <c r="BH376" s="29" t="e">
        <f>IF(Data!#REF!="","",IF(Data!$G376="",1,IF(ISNUMBER(MATCH(Data!#REF!,Data_Val!$D$2:$D$10,0)),0,1)))</f>
        <v>#REF!</v>
      </c>
      <c r="BI376" s="13"/>
      <c r="BJ376" s="21" t="e">
        <f ca="1">IF(Data!#REF!="","",IF(ISNUMBER(Data!#REF!),IF(AND(Data!#REF!&gt;(TODAY()-(Data_Val!$M$3*365.25)),Data!#REF!&lt;=(TODAY()-(Data_Val!$M$2*365.25))),0,1),1))</f>
        <v>#REF!</v>
      </c>
      <c r="BK376" s="13" t="e">
        <f>IF(Data!#REF!="","",IF(Data!$G376="",1,IF(ISNUMBER(MATCH(Data!#REF!,Data_Val!$D$2:$D$10,0)),0,1)))</f>
        <v>#REF!</v>
      </c>
    </row>
    <row r="377" spans="1:63" x14ac:dyDescent="0.25">
      <c r="A377" s="9" t="str">
        <f>IF(Data!B377="","",IF(COUNTIFS(Data!A$1:'Data'!A377,Data!A377)&lt;=1,0,1))</f>
        <v/>
      </c>
      <c r="B377" s="9"/>
      <c r="C377" s="23" t="str">
        <f>IF(Data!C377="","",(IF(ISNUMBER(MATCH("*@*.?*",Data!C377,0)),0,1)+IF(COUNTIFS(Data!C$1:'Data'!C377,Data!C377)&gt;1,1,0)))</f>
        <v/>
      </c>
      <c r="D377" s="9" t="str">
        <f>IF(Data!B377="","",IF(ISNUMBER(Data!D377),IF(AND(Data!D377&gt;999999999,Data!D377&lt;=9999999999),IF(COUNTIFS(Data!D$1:'Data'!D377,Data!D377)&lt;=1,0,1),1),1))</f>
        <v/>
      </c>
      <c r="E377" s="9" t="str">
        <f>IF(Data!B377="","",IF(ISNUMBER(MATCH(Data!E377,Data_Val!$A$2:$A$3,0)),0,1))</f>
        <v/>
      </c>
      <c r="F377" s="9" t="str">
        <f ca="1">IF(Data!B377="","",IF(ISNUMBER(Data!F377),IF(AND(Data!F377&gt;(TODAY()-(Data_Val!$H$3*365.25)),Data!F377&lt;=(TODAY()-(Data_Val!$H$2*365.25))),0,1),1))</f>
        <v/>
      </c>
      <c r="G377" s="15" t="str">
        <f>IF(Data!B377="","",IF(AND(Data!G377="",Data!H377&lt;&gt;""),1,IF(Data!#REF!&lt;&gt;"",0,IF(ISNUMBER(MATCH(Data!G377,Data_Val!$C$2:$C$5,0)),0,1))))</f>
        <v/>
      </c>
      <c r="H377" s="15" t="str">
        <f>IF(Data!B377="","",IF(AND(Data!G377&lt;&gt;"",Data!H377=""),1,IF(Data!#REF!&lt;&gt;"",0,IF(Data!G377="",1,IF(ISNUMBER(MATCH(Data!H377,Data_Val!$D$2:$D$35,0)),0,1)))))</f>
        <v/>
      </c>
      <c r="I377" s="15" t="str">
        <f>IF(Data!B377="","",IF(Data!G377&lt;&gt;"",0,IF(ISNUMBER(MATCH(Data!#REF!,Data_Val!$E$2:$E$12,0)),0,1)))</f>
        <v/>
      </c>
      <c r="J377" s="16" t="e">
        <f>IF(OR(Data!B377="",Data!#REF!=""),"",IF(Data!#REF!="",1,0))</f>
        <v>#REF!</v>
      </c>
      <c r="K377" s="16" t="e">
        <f>IF(OR(Data!B377="",Data!#REF!=""),"",IF(Data!#REF!="",1,0))</f>
        <v>#REF!</v>
      </c>
      <c r="L377" s="16" t="e">
        <f>IF(OR(Data!B377="",Data!#REF!=""),"",IF(ISNUMBER(Data!#REF!),IF(AND(Data!#REF!&gt;Data_Val!$G$2,Data!#REF!&lt;=Data_Val!$G$3),0,1),1))</f>
        <v>#REF!</v>
      </c>
      <c r="M377" s="9" t="e">
        <f>IF(OR(Data!B377="",Data!#REF!=""),"",IF(ISNUMBER(MATCH(Data!#REF!,Data_Val!$F$1:$F$38,0)),0,1))</f>
        <v>#REF!</v>
      </c>
      <c r="N377" s="9" t="e">
        <f>IF(OR(Data!B377="",Data!#REF!=""),"",IF(Data!#REF!="",1,0))</f>
        <v>#REF!</v>
      </c>
      <c r="O377" s="17" t="e">
        <f>IF(Data!#REF!="","",IF(Data!#REF!="",1,0))</f>
        <v>#REF!</v>
      </c>
      <c r="P377" s="17" t="e">
        <f>IF(Data!#REF!="","",IF(ISNUMBER(MATCH(Data!#REF!,Data_Val!$A$2:$A$3,0)),0,1))</f>
        <v>#REF!</v>
      </c>
      <c r="Q377" s="25" t="e">
        <f ca="1">IF(Data!#REF!="","",IF(ISNUMBER(Data!#REF!),IF(AND(Data!#REF!&gt;(TODAY()-(Data_Val!$J$3*365.25)),Data!#REF!&lt;=(TODAY()-(Data_Val!$J$2*365.25))),0,1),1))</f>
        <v>#REF!</v>
      </c>
      <c r="R377" s="17" t="e">
        <f>IF(Data!#REF!="","",IF(ISNUMBER(MATCH(Data!#REF!,Data_Val!$B$2:$B$15,0)),0,1))</f>
        <v>#REF!</v>
      </c>
      <c r="S377" s="11" t="str">
        <f>IF(Data!G377="","",IF(Data!G377=Data_Val!$C$2,IF(Data!M377="",0,1),0))</f>
        <v/>
      </c>
      <c r="T377" s="11" t="str">
        <f>IF(Data!M377="","",IF(ISNUMBER(MATCH(Data!N377,Data_Val!$A$2:$A$3,0)),0,1))</f>
        <v/>
      </c>
      <c r="U377" s="11" t="str">
        <f ca="1">IF(Data!M377="","",IF(ISNUMBER(Data!O377),IF(AND(Data!O377&gt;(TODAY()-(Data_Val!$K$3*365.25)),Data!O377&lt;=(TODAY()-(Data_Val!$K$2*365.25))),0,1),1))</f>
        <v/>
      </c>
      <c r="V377" s="12" t="str">
        <f>IF(Data!G377="","",IF(Data!G377=Data_Val!$C$2,IF(Data!P377="",0,1),0))</f>
        <v/>
      </c>
      <c r="W377" s="12" t="str">
        <f>IF(Data!P377="","",IF(ISNUMBER(MATCH(Data!Q377,Data_Val!$A$2:$A$3,0)),0,1))</f>
        <v/>
      </c>
      <c r="X377" s="26" t="str">
        <f ca="1">IF(Data!P377="","",IF(ISNUMBER(Data!R377),IF(AND(Data!R377&gt;(TODAY()-(Data_Val!$L$3*365.25)),Data!R377&lt;=(TODAY()-(Data_Val!$L$2*365.25))),0,1),1))</f>
        <v/>
      </c>
      <c r="Y377" s="13" t="str">
        <f>IF(Data!$G377="","",IF(Data!$G377=Data_Val!$C$2,IF(Data!S377="",0,1),0))</f>
        <v/>
      </c>
      <c r="Z377" s="13" t="str">
        <f>IF(Data!S377="","",IF(ISNUMBER(MATCH(Data!T377,Data_Val!$A$2:$A$3,0)),0,1))</f>
        <v/>
      </c>
      <c r="AA377" s="28" t="str">
        <f ca="1">IF(Data!S377="","",IF(ISNUMBER(Data!U377),IF(AND(Data!U377&gt;(TODAY()-(Data_Val!$L$3*365.25)),Data!U377&lt;=(TODAY()-(Data_Val!$L$2*365.25))),0,1),1))</f>
        <v/>
      </c>
      <c r="AB377" s="11"/>
      <c r="AC377" s="11" t="e">
        <f>IF(Data!#REF!="","",IF(ISNUMBER(MATCH(Data!#REF!,Data_Val!$A$2:$A$3,0)),0,1))</f>
        <v>#REF!</v>
      </c>
      <c r="AD377" s="11" t="e">
        <f ca="1">IF(Data!#REF!="","",IF(ISNUMBER(Data!#REF!),IF(AND(Data!#REF!&gt;(TODAY()-(Data_Val!$L$3*365.25)),Data!#REF!&lt;=(TODAY()-(Data_Val!$L$2*365.25))),0,1),1))</f>
        <v>#REF!</v>
      </c>
      <c r="AE377" s="11" t="e">
        <f>IF(Data!#REF!="","",IF(Data!$G377="",1,IF(ISNUMBER(MATCH(Data!#REF!,Data_Val!$D$2:$D$10,0)),0,1)))</f>
        <v>#REF!</v>
      </c>
      <c r="AF377" s="12"/>
      <c r="AG377" s="12" t="e">
        <f>IF(Data!#REF!="","",IF(ISNUMBER(MATCH(Data!#REF!,Data_Val!$A$2:$A$3,0)),0,1))</f>
        <v>#REF!</v>
      </c>
      <c r="AH377" s="26" t="e">
        <f ca="1">IF(Data!#REF!="","",IF(ISNUMBER(Data!#REF!),IF(AND(Data!#REF!&gt;(TODAY()-(Data_Val!$L$3*365.25)),Data!#REF!&lt;=(TODAY()-(Data_Val!$L$2*365.25))),0,1),1))</f>
        <v>#REF!</v>
      </c>
      <c r="AI377" s="12" t="e">
        <f>IF(Data!#REF!="","",IF(Data!$G377="",1,IF(ISNUMBER(MATCH(Data!#REF!,Data_Val!$D$2:$D$10,0)),0,1)))</f>
        <v>#REF!</v>
      </c>
      <c r="AJ377" s="17"/>
      <c r="AK377" s="17" t="e">
        <f>IF(Data!#REF!="","",IF(ISNUMBER(MATCH(Data!#REF!,Data_Val!$A$2:$A$3,0)),0,1))</f>
        <v>#REF!</v>
      </c>
      <c r="AL377" s="25" t="e">
        <f ca="1">IF(Data!#REF!="","",IF(ISNUMBER(Data!#REF!),IF(AND(Data!#REF!&gt;(TODAY()-(Data_Val!$L$3*365.25)),Data!#REF!&lt;=(TODAY()-(Data_Val!$L$2*365.25))),0,1),1))</f>
        <v>#REF!</v>
      </c>
      <c r="AM377" s="17" t="e">
        <f>IF(Data!#REF!="","",IF(Data!$G377="",1,IF(ISNUMBER(MATCH(Data!#REF!,Data_Val!$D$2:$D$10,0)),0,1)))</f>
        <v>#REF!</v>
      </c>
      <c r="AN377" s="13"/>
      <c r="AO377" s="28" t="e">
        <f ca="1">IF(Data!#REF!="","",IF(ISNUMBER(Data!#REF!),IF(AND(Data!#REF!&gt;(TODAY()-(Data_Val!$I$3*365.25)),Data!#REF!&lt;=(TODAY()-(Data_Val!$I$2*365.25))),0,1),1))</f>
        <v>#REF!</v>
      </c>
      <c r="AP377" s="13" t="e">
        <f>IF(Data!#REF!="","",IF(Data!$G377="",1,IF(ISNUMBER(MATCH(Data!#REF!,Data_Val!$D$2:$D$10,0)),0,1)))</f>
        <v>#REF!</v>
      </c>
      <c r="AQ377" s="17"/>
      <c r="AR377" s="30" t="e">
        <f ca="1">IF(Data!#REF!="","",IF(ISNUMBER(Data!#REF!),IF(AND(Data!#REF!&gt;(TODAY()-(Data_Val!$I$3*365.25)),Data!#REF!&lt;=(TODAY()-(Data_Val!$I$2*365.25))),0,1),1))</f>
        <v>#REF!</v>
      </c>
      <c r="AS377" s="31" t="e">
        <f>IF(Data!#REF!="","",IF(Data!$G377="",1,IF(ISNUMBER(MATCH(Data!#REF!,Data_Val!$D$2:$D$10,0)),0,1)))</f>
        <v>#REF!</v>
      </c>
      <c r="AT377" s="11"/>
      <c r="AU377" s="11" t="e">
        <f ca="1">IF(Data!#REF!="","",IF(ISNUMBER(Data!#REF!),IF(AND(Data!#REF!&gt;(TODAY()-(Data_Val!$I$3*365.25)),Data!#REF!&lt;=(TODAY()-(Data_Val!$I$2*365.25))),0,1),1))</f>
        <v>#REF!</v>
      </c>
      <c r="AV377" s="11" t="e">
        <f>IF(Data!#REF!="","",IF(Data!$G377="",1,IF(ISNUMBER(MATCH(Data!#REF!,Data_Val!$D$2:$D$10,0)),0,1)))</f>
        <v>#REF!</v>
      </c>
      <c r="AW377" s="12"/>
      <c r="AX377" s="26" t="e">
        <f ca="1">IF(Data!#REF!="","",IF(ISNUMBER(Data!#REF!),IF(AND(Data!#REF!&gt;(TODAY()-(Data_Val!$I$3*365.25)),Data!#REF!&lt;=(TODAY()-(Data_Val!$I$2*365.25))),0,1),1))</f>
        <v>#REF!</v>
      </c>
      <c r="AY377" s="12" t="e">
        <f>IF(Data!#REF!="","",IF(Data!$G377="",1,IF(ISNUMBER(MATCH(Data!#REF!,Data_Val!$D$2:$D$10,0)),0,1)))</f>
        <v>#REF!</v>
      </c>
      <c r="AZ377" s="11"/>
      <c r="BA377" s="19" t="e">
        <f ca="1">IF(Data!#REF!="","",IF(ISNUMBER(Data!#REF!),IF(AND(Data!#REF!&gt;(TODAY()-(Data_Val!$M$3*365.25)),Data!#REF!&lt;=(TODAY()-(Data_Val!$M$2*365.25))),0,1),1))</f>
        <v>#REF!</v>
      </c>
      <c r="BB377" s="11" t="e">
        <f>IF(Data!#REF!="","",IF(Data!$G377="",1,IF(ISNUMBER(MATCH(Data!#REF!,Data_Val!$D$2:$D$10,0)),0,1)))</f>
        <v>#REF!</v>
      </c>
      <c r="BC377" s="12"/>
      <c r="BD377" s="20" t="e">
        <f ca="1">IF(Data!#REF!="","",IF(ISNUMBER(Data!#REF!),IF(AND(Data!#REF!&gt;(TODAY()-(Data_Val!$M$3*365.25)),Data!#REF!&lt;=(TODAY()-(Data_Val!$M$2*365.25))),0,1),1))</f>
        <v>#REF!</v>
      </c>
      <c r="BE377" s="12" t="e">
        <f>IF(Data!#REF!="","",IF(Data!$G377="",1,IF(ISNUMBER(MATCH(Data!#REF!,Data_Val!$D$2:$D$10,0)),0,1)))</f>
        <v>#REF!</v>
      </c>
      <c r="BF377" s="17"/>
      <c r="BG377" s="18" t="e">
        <f ca="1">IF(Data!#REF!="","",IF(ISNUMBER(Data!#REF!),IF(AND(Data!#REF!&gt;(TODAY()-(Data_Val!$M$3*365.25)),Data!#REF!&lt;=(TODAY()-(Data_Val!$M$2*365.25))),0,1),1))</f>
        <v>#REF!</v>
      </c>
      <c r="BH377" s="29" t="e">
        <f>IF(Data!#REF!="","",IF(Data!$G377="",1,IF(ISNUMBER(MATCH(Data!#REF!,Data_Val!$D$2:$D$10,0)),0,1)))</f>
        <v>#REF!</v>
      </c>
      <c r="BI377" s="13"/>
      <c r="BJ377" s="21" t="e">
        <f ca="1">IF(Data!#REF!="","",IF(ISNUMBER(Data!#REF!),IF(AND(Data!#REF!&gt;(TODAY()-(Data_Val!$M$3*365.25)),Data!#REF!&lt;=(TODAY()-(Data_Val!$M$2*365.25))),0,1),1))</f>
        <v>#REF!</v>
      </c>
      <c r="BK377" s="13" t="e">
        <f>IF(Data!#REF!="","",IF(Data!$G377="",1,IF(ISNUMBER(MATCH(Data!#REF!,Data_Val!$D$2:$D$10,0)),0,1)))</f>
        <v>#REF!</v>
      </c>
    </row>
    <row r="378" spans="1:63" x14ac:dyDescent="0.25">
      <c r="A378" s="9" t="str">
        <f>IF(Data!B378="","",IF(COUNTIFS(Data!A$1:'Data'!A378,Data!A378)&lt;=1,0,1))</f>
        <v/>
      </c>
      <c r="B378" s="9"/>
      <c r="C378" s="23" t="str">
        <f>IF(Data!C378="","",(IF(ISNUMBER(MATCH("*@*.?*",Data!C378,0)),0,1)+IF(COUNTIFS(Data!C$1:'Data'!C378,Data!C378)&gt;1,1,0)))</f>
        <v/>
      </c>
      <c r="D378" s="9" t="str">
        <f>IF(Data!B378="","",IF(ISNUMBER(Data!D378),IF(AND(Data!D378&gt;999999999,Data!D378&lt;=9999999999),IF(COUNTIFS(Data!D$1:'Data'!D378,Data!D378)&lt;=1,0,1),1),1))</f>
        <v/>
      </c>
      <c r="E378" s="9" t="str">
        <f>IF(Data!B378="","",IF(ISNUMBER(MATCH(Data!E378,Data_Val!$A$2:$A$3,0)),0,1))</f>
        <v/>
      </c>
      <c r="F378" s="9" t="str">
        <f ca="1">IF(Data!B378="","",IF(ISNUMBER(Data!F378),IF(AND(Data!F378&gt;(TODAY()-(Data_Val!$H$3*365.25)),Data!F378&lt;=(TODAY()-(Data_Val!$H$2*365.25))),0,1),1))</f>
        <v/>
      </c>
      <c r="G378" s="15" t="str">
        <f>IF(Data!B378="","",IF(AND(Data!G378="",Data!H378&lt;&gt;""),1,IF(Data!#REF!&lt;&gt;"",0,IF(ISNUMBER(MATCH(Data!G378,Data_Val!$C$2:$C$5,0)),0,1))))</f>
        <v/>
      </c>
      <c r="H378" s="15" t="str">
        <f>IF(Data!B378="","",IF(AND(Data!G378&lt;&gt;"",Data!H378=""),1,IF(Data!#REF!&lt;&gt;"",0,IF(Data!G378="",1,IF(ISNUMBER(MATCH(Data!H378,Data_Val!$D$2:$D$35,0)),0,1)))))</f>
        <v/>
      </c>
      <c r="I378" s="15" t="str">
        <f>IF(Data!B378="","",IF(Data!G378&lt;&gt;"",0,IF(ISNUMBER(MATCH(Data!#REF!,Data_Val!$E$2:$E$12,0)),0,1)))</f>
        <v/>
      </c>
      <c r="J378" s="16" t="e">
        <f>IF(OR(Data!B378="",Data!#REF!=""),"",IF(Data!#REF!="",1,0))</f>
        <v>#REF!</v>
      </c>
      <c r="K378" s="16" t="e">
        <f>IF(OR(Data!B378="",Data!#REF!=""),"",IF(Data!#REF!="",1,0))</f>
        <v>#REF!</v>
      </c>
      <c r="L378" s="16" t="e">
        <f>IF(OR(Data!B378="",Data!#REF!=""),"",IF(ISNUMBER(Data!#REF!),IF(AND(Data!#REF!&gt;Data_Val!$G$2,Data!#REF!&lt;=Data_Val!$G$3),0,1),1))</f>
        <v>#REF!</v>
      </c>
      <c r="M378" s="9" t="e">
        <f>IF(OR(Data!B378="",Data!#REF!=""),"",IF(ISNUMBER(MATCH(Data!#REF!,Data_Val!$F$1:$F$38,0)),0,1))</f>
        <v>#REF!</v>
      </c>
      <c r="N378" s="9" t="e">
        <f>IF(OR(Data!B378="",Data!#REF!=""),"",IF(Data!#REF!="",1,0))</f>
        <v>#REF!</v>
      </c>
      <c r="O378" s="17" t="e">
        <f>IF(Data!#REF!="","",IF(Data!#REF!="",1,0))</f>
        <v>#REF!</v>
      </c>
      <c r="P378" s="17" t="e">
        <f>IF(Data!#REF!="","",IF(ISNUMBER(MATCH(Data!#REF!,Data_Val!$A$2:$A$3,0)),0,1))</f>
        <v>#REF!</v>
      </c>
      <c r="Q378" s="25" t="e">
        <f ca="1">IF(Data!#REF!="","",IF(ISNUMBER(Data!#REF!),IF(AND(Data!#REF!&gt;(TODAY()-(Data_Val!$J$3*365.25)),Data!#REF!&lt;=(TODAY()-(Data_Val!$J$2*365.25))),0,1),1))</f>
        <v>#REF!</v>
      </c>
      <c r="R378" s="17" t="e">
        <f>IF(Data!#REF!="","",IF(ISNUMBER(MATCH(Data!#REF!,Data_Val!$B$2:$B$15,0)),0,1))</f>
        <v>#REF!</v>
      </c>
      <c r="S378" s="11" t="str">
        <f>IF(Data!G378="","",IF(Data!G378=Data_Val!$C$2,IF(Data!M378="",0,1),0))</f>
        <v/>
      </c>
      <c r="T378" s="11" t="str">
        <f>IF(Data!M378="","",IF(ISNUMBER(MATCH(Data!N378,Data_Val!$A$2:$A$3,0)),0,1))</f>
        <v/>
      </c>
      <c r="U378" s="11" t="str">
        <f ca="1">IF(Data!M378="","",IF(ISNUMBER(Data!O378),IF(AND(Data!O378&gt;(TODAY()-(Data_Val!$K$3*365.25)),Data!O378&lt;=(TODAY()-(Data_Val!$K$2*365.25))),0,1),1))</f>
        <v/>
      </c>
      <c r="V378" s="12" t="str">
        <f>IF(Data!G378="","",IF(Data!G378=Data_Val!$C$2,IF(Data!P378="",0,1),0))</f>
        <v/>
      </c>
      <c r="W378" s="12" t="str">
        <f>IF(Data!P378="","",IF(ISNUMBER(MATCH(Data!Q378,Data_Val!$A$2:$A$3,0)),0,1))</f>
        <v/>
      </c>
      <c r="X378" s="26" t="str">
        <f ca="1">IF(Data!P378="","",IF(ISNUMBER(Data!R378),IF(AND(Data!R378&gt;(TODAY()-(Data_Val!$L$3*365.25)),Data!R378&lt;=(TODAY()-(Data_Val!$L$2*365.25))),0,1),1))</f>
        <v/>
      </c>
      <c r="Y378" s="13" t="str">
        <f>IF(Data!$G378="","",IF(Data!$G378=Data_Val!$C$2,IF(Data!S378="",0,1),0))</f>
        <v/>
      </c>
      <c r="Z378" s="13" t="str">
        <f>IF(Data!S378="","",IF(ISNUMBER(MATCH(Data!T378,Data_Val!$A$2:$A$3,0)),0,1))</f>
        <v/>
      </c>
      <c r="AA378" s="28" t="str">
        <f ca="1">IF(Data!S378="","",IF(ISNUMBER(Data!U378),IF(AND(Data!U378&gt;(TODAY()-(Data_Val!$L$3*365.25)),Data!U378&lt;=(TODAY()-(Data_Val!$L$2*365.25))),0,1),1))</f>
        <v/>
      </c>
      <c r="AB378" s="11"/>
      <c r="AC378" s="11" t="e">
        <f>IF(Data!#REF!="","",IF(ISNUMBER(MATCH(Data!#REF!,Data_Val!$A$2:$A$3,0)),0,1))</f>
        <v>#REF!</v>
      </c>
      <c r="AD378" s="11" t="e">
        <f ca="1">IF(Data!#REF!="","",IF(ISNUMBER(Data!#REF!),IF(AND(Data!#REF!&gt;(TODAY()-(Data_Val!$L$3*365.25)),Data!#REF!&lt;=(TODAY()-(Data_Val!$L$2*365.25))),0,1),1))</f>
        <v>#REF!</v>
      </c>
      <c r="AE378" s="11" t="e">
        <f>IF(Data!#REF!="","",IF(Data!$G378="",1,IF(ISNUMBER(MATCH(Data!#REF!,Data_Val!$D$2:$D$10,0)),0,1)))</f>
        <v>#REF!</v>
      </c>
      <c r="AF378" s="12"/>
      <c r="AG378" s="12" t="e">
        <f>IF(Data!#REF!="","",IF(ISNUMBER(MATCH(Data!#REF!,Data_Val!$A$2:$A$3,0)),0,1))</f>
        <v>#REF!</v>
      </c>
      <c r="AH378" s="26" t="e">
        <f ca="1">IF(Data!#REF!="","",IF(ISNUMBER(Data!#REF!),IF(AND(Data!#REF!&gt;(TODAY()-(Data_Val!$L$3*365.25)),Data!#REF!&lt;=(TODAY()-(Data_Val!$L$2*365.25))),0,1),1))</f>
        <v>#REF!</v>
      </c>
      <c r="AI378" s="12" t="e">
        <f>IF(Data!#REF!="","",IF(Data!$G378="",1,IF(ISNUMBER(MATCH(Data!#REF!,Data_Val!$D$2:$D$10,0)),0,1)))</f>
        <v>#REF!</v>
      </c>
      <c r="AJ378" s="17"/>
      <c r="AK378" s="17" t="e">
        <f>IF(Data!#REF!="","",IF(ISNUMBER(MATCH(Data!#REF!,Data_Val!$A$2:$A$3,0)),0,1))</f>
        <v>#REF!</v>
      </c>
      <c r="AL378" s="25" t="e">
        <f ca="1">IF(Data!#REF!="","",IF(ISNUMBER(Data!#REF!),IF(AND(Data!#REF!&gt;(TODAY()-(Data_Val!$L$3*365.25)),Data!#REF!&lt;=(TODAY()-(Data_Val!$L$2*365.25))),0,1),1))</f>
        <v>#REF!</v>
      </c>
      <c r="AM378" s="17" t="e">
        <f>IF(Data!#REF!="","",IF(Data!$G378="",1,IF(ISNUMBER(MATCH(Data!#REF!,Data_Val!$D$2:$D$10,0)),0,1)))</f>
        <v>#REF!</v>
      </c>
      <c r="AN378" s="13"/>
      <c r="AO378" s="28" t="e">
        <f ca="1">IF(Data!#REF!="","",IF(ISNUMBER(Data!#REF!),IF(AND(Data!#REF!&gt;(TODAY()-(Data_Val!$I$3*365.25)),Data!#REF!&lt;=(TODAY()-(Data_Val!$I$2*365.25))),0,1),1))</f>
        <v>#REF!</v>
      </c>
      <c r="AP378" s="13" t="e">
        <f>IF(Data!#REF!="","",IF(Data!$G378="",1,IF(ISNUMBER(MATCH(Data!#REF!,Data_Val!$D$2:$D$10,0)),0,1)))</f>
        <v>#REF!</v>
      </c>
      <c r="AQ378" s="17"/>
      <c r="AR378" s="30" t="e">
        <f ca="1">IF(Data!#REF!="","",IF(ISNUMBER(Data!#REF!),IF(AND(Data!#REF!&gt;(TODAY()-(Data_Val!$I$3*365.25)),Data!#REF!&lt;=(TODAY()-(Data_Val!$I$2*365.25))),0,1),1))</f>
        <v>#REF!</v>
      </c>
      <c r="AS378" s="31" t="e">
        <f>IF(Data!#REF!="","",IF(Data!$G378="",1,IF(ISNUMBER(MATCH(Data!#REF!,Data_Val!$D$2:$D$10,0)),0,1)))</f>
        <v>#REF!</v>
      </c>
      <c r="AT378" s="11"/>
      <c r="AU378" s="11" t="e">
        <f ca="1">IF(Data!#REF!="","",IF(ISNUMBER(Data!#REF!),IF(AND(Data!#REF!&gt;(TODAY()-(Data_Val!$I$3*365.25)),Data!#REF!&lt;=(TODAY()-(Data_Val!$I$2*365.25))),0,1),1))</f>
        <v>#REF!</v>
      </c>
      <c r="AV378" s="11" t="e">
        <f>IF(Data!#REF!="","",IF(Data!$G378="",1,IF(ISNUMBER(MATCH(Data!#REF!,Data_Val!$D$2:$D$10,0)),0,1)))</f>
        <v>#REF!</v>
      </c>
      <c r="AW378" s="12"/>
      <c r="AX378" s="26" t="e">
        <f ca="1">IF(Data!#REF!="","",IF(ISNUMBER(Data!#REF!),IF(AND(Data!#REF!&gt;(TODAY()-(Data_Val!$I$3*365.25)),Data!#REF!&lt;=(TODAY()-(Data_Val!$I$2*365.25))),0,1),1))</f>
        <v>#REF!</v>
      </c>
      <c r="AY378" s="12" t="e">
        <f>IF(Data!#REF!="","",IF(Data!$G378="",1,IF(ISNUMBER(MATCH(Data!#REF!,Data_Val!$D$2:$D$10,0)),0,1)))</f>
        <v>#REF!</v>
      </c>
      <c r="AZ378" s="11"/>
      <c r="BA378" s="19" t="e">
        <f ca="1">IF(Data!#REF!="","",IF(ISNUMBER(Data!#REF!),IF(AND(Data!#REF!&gt;(TODAY()-(Data_Val!$M$3*365.25)),Data!#REF!&lt;=(TODAY()-(Data_Val!$M$2*365.25))),0,1),1))</f>
        <v>#REF!</v>
      </c>
      <c r="BB378" s="11" t="e">
        <f>IF(Data!#REF!="","",IF(Data!$G378="",1,IF(ISNUMBER(MATCH(Data!#REF!,Data_Val!$D$2:$D$10,0)),0,1)))</f>
        <v>#REF!</v>
      </c>
      <c r="BC378" s="12"/>
      <c r="BD378" s="20" t="e">
        <f ca="1">IF(Data!#REF!="","",IF(ISNUMBER(Data!#REF!),IF(AND(Data!#REF!&gt;(TODAY()-(Data_Val!$M$3*365.25)),Data!#REF!&lt;=(TODAY()-(Data_Val!$M$2*365.25))),0,1),1))</f>
        <v>#REF!</v>
      </c>
      <c r="BE378" s="12" t="e">
        <f>IF(Data!#REF!="","",IF(Data!$G378="",1,IF(ISNUMBER(MATCH(Data!#REF!,Data_Val!$D$2:$D$10,0)),0,1)))</f>
        <v>#REF!</v>
      </c>
      <c r="BF378" s="17"/>
      <c r="BG378" s="18" t="e">
        <f ca="1">IF(Data!#REF!="","",IF(ISNUMBER(Data!#REF!),IF(AND(Data!#REF!&gt;(TODAY()-(Data_Val!$M$3*365.25)),Data!#REF!&lt;=(TODAY()-(Data_Val!$M$2*365.25))),0,1),1))</f>
        <v>#REF!</v>
      </c>
      <c r="BH378" s="29" t="e">
        <f>IF(Data!#REF!="","",IF(Data!$G378="",1,IF(ISNUMBER(MATCH(Data!#REF!,Data_Val!$D$2:$D$10,0)),0,1)))</f>
        <v>#REF!</v>
      </c>
      <c r="BI378" s="13"/>
      <c r="BJ378" s="21" t="e">
        <f ca="1">IF(Data!#REF!="","",IF(ISNUMBER(Data!#REF!),IF(AND(Data!#REF!&gt;(TODAY()-(Data_Val!$M$3*365.25)),Data!#REF!&lt;=(TODAY()-(Data_Val!$M$2*365.25))),0,1),1))</f>
        <v>#REF!</v>
      </c>
      <c r="BK378" s="13" t="e">
        <f>IF(Data!#REF!="","",IF(Data!$G378="",1,IF(ISNUMBER(MATCH(Data!#REF!,Data_Val!$D$2:$D$10,0)),0,1)))</f>
        <v>#REF!</v>
      </c>
    </row>
    <row r="379" spans="1:63" x14ac:dyDescent="0.25">
      <c r="A379" s="9" t="str">
        <f>IF(Data!B379="","",IF(COUNTIFS(Data!A$1:'Data'!A379,Data!A379)&lt;=1,0,1))</f>
        <v/>
      </c>
      <c r="B379" s="9"/>
      <c r="C379" s="23" t="str">
        <f>IF(Data!C379="","",(IF(ISNUMBER(MATCH("*@*.?*",Data!C379,0)),0,1)+IF(COUNTIFS(Data!C$1:'Data'!C379,Data!C379)&gt;1,1,0)))</f>
        <v/>
      </c>
      <c r="D379" s="9" t="str">
        <f>IF(Data!B379="","",IF(ISNUMBER(Data!D379),IF(AND(Data!D379&gt;999999999,Data!D379&lt;=9999999999),IF(COUNTIFS(Data!D$1:'Data'!D379,Data!D379)&lt;=1,0,1),1),1))</f>
        <v/>
      </c>
      <c r="E379" s="9" t="str">
        <f>IF(Data!B379="","",IF(ISNUMBER(MATCH(Data!E379,Data_Val!$A$2:$A$3,0)),0,1))</f>
        <v/>
      </c>
      <c r="F379" s="9" t="str">
        <f ca="1">IF(Data!B379="","",IF(ISNUMBER(Data!F379),IF(AND(Data!F379&gt;(TODAY()-(Data_Val!$H$3*365.25)),Data!F379&lt;=(TODAY()-(Data_Val!$H$2*365.25))),0,1),1))</f>
        <v/>
      </c>
      <c r="G379" s="15" t="str">
        <f>IF(Data!B379="","",IF(AND(Data!G379="",Data!H379&lt;&gt;""),1,IF(Data!#REF!&lt;&gt;"",0,IF(ISNUMBER(MATCH(Data!G379,Data_Val!$C$2:$C$5,0)),0,1))))</f>
        <v/>
      </c>
      <c r="H379" s="15" t="str">
        <f>IF(Data!B379="","",IF(AND(Data!G379&lt;&gt;"",Data!H379=""),1,IF(Data!#REF!&lt;&gt;"",0,IF(Data!G379="",1,IF(ISNUMBER(MATCH(Data!H379,Data_Val!$D$2:$D$35,0)),0,1)))))</f>
        <v/>
      </c>
      <c r="I379" s="15" t="str">
        <f>IF(Data!B379="","",IF(Data!G379&lt;&gt;"",0,IF(ISNUMBER(MATCH(Data!#REF!,Data_Val!$E$2:$E$12,0)),0,1)))</f>
        <v/>
      </c>
      <c r="J379" s="16" t="e">
        <f>IF(OR(Data!B379="",Data!#REF!=""),"",IF(Data!#REF!="",1,0))</f>
        <v>#REF!</v>
      </c>
      <c r="K379" s="16" t="e">
        <f>IF(OR(Data!B379="",Data!#REF!=""),"",IF(Data!#REF!="",1,0))</f>
        <v>#REF!</v>
      </c>
      <c r="L379" s="16" t="e">
        <f>IF(OR(Data!B379="",Data!#REF!=""),"",IF(ISNUMBER(Data!#REF!),IF(AND(Data!#REF!&gt;Data_Val!$G$2,Data!#REF!&lt;=Data_Val!$G$3),0,1),1))</f>
        <v>#REF!</v>
      </c>
      <c r="M379" s="9" t="e">
        <f>IF(OR(Data!B379="",Data!#REF!=""),"",IF(ISNUMBER(MATCH(Data!#REF!,Data_Val!$F$1:$F$38,0)),0,1))</f>
        <v>#REF!</v>
      </c>
      <c r="N379" s="9" t="e">
        <f>IF(OR(Data!B379="",Data!#REF!=""),"",IF(Data!#REF!="",1,0))</f>
        <v>#REF!</v>
      </c>
      <c r="O379" s="17" t="e">
        <f>IF(Data!#REF!="","",IF(Data!#REF!="",1,0))</f>
        <v>#REF!</v>
      </c>
      <c r="P379" s="17" t="e">
        <f>IF(Data!#REF!="","",IF(ISNUMBER(MATCH(Data!#REF!,Data_Val!$A$2:$A$3,0)),0,1))</f>
        <v>#REF!</v>
      </c>
      <c r="Q379" s="25" t="e">
        <f ca="1">IF(Data!#REF!="","",IF(ISNUMBER(Data!#REF!),IF(AND(Data!#REF!&gt;(TODAY()-(Data_Val!$J$3*365.25)),Data!#REF!&lt;=(TODAY()-(Data_Val!$J$2*365.25))),0,1),1))</f>
        <v>#REF!</v>
      </c>
      <c r="R379" s="17" t="e">
        <f>IF(Data!#REF!="","",IF(ISNUMBER(MATCH(Data!#REF!,Data_Val!$B$2:$B$15,0)),0,1))</f>
        <v>#REF!</v>
      </c>
      <c r="S379" s="11" t="str">
        <f>IF(Data!G379="","",IF(Data!G379=Data_Val!$C$2,IF(Data!M379="",0,1),0))</f>
        <v/>
      </c>
      <c r="T379" s="11" t="str">
        <f>IF(Data!M379="","",IF(ISNUMBER(MATCH(Data!N379,Data_Val!$A$2:$A$3,0)),0,1))</f>
        <v/>
      </c>
      <c r="U379" s="11" t="str">
        <f ca="1">IF(Data!M379="","",IF(ISNUMBER(Data!O379),IF(AND(Data!O379&gt;(TODAY()-(Data_Val!$K$3*365.25)),Data!O379&lt;=(TODAY()-(Data_Val!$K$2*365.25))),0,1),1))</f>
        <v/>
      </c>
      <c r="V379" s="12" t="str">
        <f>IF(Data!G379="","",IF(Data!G379=Data_Val!$C$2,IF(Data!P379="",0,1),0))</f>
        <v/>
      </c>
      <c r="W379" s="12" t="str">
        <f>IF(Data!P379="","",IF(ISNUMBER(MATCH(Data!Q379,Data_Val!$A$2:$A$3,0)),0,1))</f>
        <v/>
      </c>
      <c r="X379" s="26" t="str">
        <f ca="1">IF(Data!P379="","",IF(ISNUMBER(Data!R379),IF(AND(Data!R379&gt;(TODAY()-(Data_Val!$L$3*365.25)),Data!R379&lt;=(TODAY()-(Data_Val!$L$2*365.25))),0,1),1))</f>
        <v/>
      </c>
      <c r="Y379" s="13" t="str">
        <f>IF(Data!$G379="","",IF(Data!$G379=Data_Val!$C$2,IF(Data!S379="",0,1),0))</f>
        <v/>
      </c>
      <c r="Z379" s="13" t="str">
        <f>IF(Data!S379="","",IF(ISNUMBER(MATCH(Data!T379,Data_Val!$A$2:$A$3,0)),0,1))</f>
        <v/>
      </c>
      <c r="AA379" s="28" t="str">
        <f ca="1">IF(Data!S379="","",IF(ISNUMBER(Data!U379),IF(AND(Data!U379&gt;(TODAY()-(Data_Val!$L$3*365.25)),Data!U379&lt;=(TODAY()-(Data_Val!$L$2*365.25))),0,1),1))</f>
        <v/>
      </c>
      <c r="AB379" s="11"/>
      <c r="AC379" s="11" t="e">
        <f>IF(Data!#REF!="","",IF(ISNUMBER(MATCH(Data!#REF!,Data_Val!$A$2:$A$3,0)),0,1))</f>
        <v>#REF!</v>
      </c>
      <c r="AD379" s="11" t="e">
        <f ca="1">IF(Data!#REF!="","",IF(ISNUMBER(Data!#REF!),IF(AND(Data!#REF!&gt;(TODAY()-(Data_Val!$L$3*365.25)),Data!#REF!&lt;=(TODAY()-(Data_Val!$L$2*365.25))),0,1),1))</f>
        <v>#REF!</v>
      </c>
      <c r="AE379" s="11" t="e">
        <f>IF(Data!#REF!="","",IF(Data!$G379="",1,IF(ISNUMBER(MATCH(Data!#REF!,Data_Val!$D$2:$D$10,0)),0,1)))</f>
        <v>#REF!</v>
      </c>
      <c r="AF379" s="12"/>
      <c r="AG379" s="12" t="e">
        <f>IF(Data!#REF!="","",IF(ISNUMBER(MATCH(Data!#REF!,Data_Val!$A$2:$A$3,0)),0,1))</f>
        <v>#REF!</v>
      </c>
      <c r="AH379" s="26" t="e">
        <f ca="1">IF(Data!#REF!="","",IF(ISNUMBER(Data!#REF!),IF(AND(Data!#REF!&gt;(TODAY()-(Data_Val!$L$3*365.25)),Data!#REF!&lt;=(TODAY()-(Data_Val!$L$2*365.25))),0,1),1))</f>
        <v>#REF!</v>
      </c>
      <c r="AI379" s="12" t="e">
        <f>IF(Data!#REF!="","",IF(Data!$G379="",1,IF(ISNUMBER(MATCH(Data!#REF!,Data_Val!$D$2:$D$10,0)),0,1)))</f>
        <v>#REF!</v>
      </c>
      <c r="AJ379" s="17"/>
      <c r="AK379" s="17" t="e">
        <f>IF(Data!#REF!="","",IF(ISNUMBER(MATCH(Data!#REF!,Data_Val!$A$2:$A$3,0)),0,1))</f>
        <v>#REF!</v>
      </c>
      <c r="AL379" s="25" t="e">
        <f ca="1">IF(Data!#REF!="","",IF(ISNUMBER(Data!#REF!),IF(AND(Data!#REF!&gt;(TODAY()-(Data_Val!$L$3*365.25)),Data!#REF!&lt;=(TODAY()-(Data_Val!$L$2*365.25))),0,1),1))</f>
        <v>#REF!</v>
      </c>
      <c r="AM379" s="17" t="e">
        <f>IF(Data!#REF!="","",IF(Data!$G379="",1,IF(ISNUMBER(MATCH(Data!#REF!,Data_Val!$D$2:$D$10,0)),0,1)))</f>
        <v>#REF!</v>
      </c>
      <c r="AN379" s="13"/>
      <c r="AO379" s="28" t="e">
        <f ca="1">IF(Data!#REF!="","",IF(ISNUMBER(Data!#REF!),IF(AND(Data!#REF!&gt;(TODAY()-(Data_Val!$I$3*365.25)),Data!#REF!&lt;=(TODAY()-(Data_Val!$I$2*365.25))),0,1),1))</f>
        <v>#REF!</v>
      </c>
      <c r="AP379" s="13" t="e">
        <f>IF(Data!#REF!="","",IF(Data!$G379="",1,IF(ISNUMBER(MATCH(Data!#REF!,Data_Val!$D$2:$D$10,0)),0,1)))</f>
        <v>#REF!</v>
      </c>
      <c r="AQ379" s="17"/>
      <c r="AR379" s="30" t="e">
        <f ca="1">IF(Data!#REF!="","",IF(ISNUMBER(Data!#REF!),IF(AND(Data!#REF!&gt;(TODAY()-(Data_Val!$I$3*365.25)),Data!#REF!&lt;=(TODAY()-(Data_Val!$I$2*365.25))),0,1),1))</f>
        <v>#REF!</v>
      </c>
      <c r="AS379" s="31" t="e">
        <f>IF(Data!#REF!="","",IF(Data!$G379="",1,IF(ISNUMBER(MATCH(Data!#REF!,Data_Val!$D$2:$D$10,0)),0,1)))</f>
        <v>#REF!</v>
      </c>
      <c r="AT379" s="11"/>
      <c r="AU379" s="11" t="e">
        <f ca="1">IF(Data!#REF!="","",IF(ISNUMBER(Data!#REF!),IF(AND(Data!#REF!&gt;(TODAY()-(Data_Val!$I$3*365.25)),Data!#REF!&lt;=(TODAY()-(Data_Val!$I$2*365.25))),0,1),1))</f>
        <v>#REF!</v>
      </c>
      <c r="AV379" s="11" t="e">
        <f>IF(Data!#REF!="","",IF(Data!$G379="",1,IF(ISNUMBER(MATCH(Data!#REF!,Data_Val!$D$2:$D$10,0)),0,1)))</f>
        <v>#REF!</v>
      </c>
      <c r="AW379" s="12"/>
      <c r="AX379" s="26" t="e">
        <f ca="1">IF(Data!#REF!="","",IF(ISNUMBER(Data!#REF!),IF(AND(Data!#REF!&gt;(TODAY()-(Data_Val!$I$3*365.25)),Data!#REF!&lt;=(TODAY()-(Data_Val!$I$2*365.25))),0,1),1))</f>
        <v>#REF!</v>
      </c>
      <c r="AY379" s="12" t="e">
        <f>IF(Data!#REF!="","",IF(Data!$G379="",1,IF(ISNUMBER(MATCH(Data!#REF!,Data_Val!$D$2:$D$10,0)),0,1)))</f>
        <v>#REF!</v>
      </c>
      <c r="AZ379" s="11"/>
      <c r="BA379" s="19" t="e">
        <f ca="1">IF(Data!#REF!="","",IF(ISNUMBER(Data!#REF!),IF(AND(Data!#REF!&gt;(TODAY()-(Data_Val!$M$3*365.25)),Data!#REF!&lt;=(TODAY()-(Data_Val!$M$2*365.25))),0,1),1))</f>
        <v>#REF!</v>
      </c>
      <c r="BB379" s="11" t="e">
        <f>IF(Data!#REF!="","",IF(Data!$G379="",1,IF(ISNUMBER(MATCH(Data!#REF!,Data_Val!$D$2:$D$10,0)),0,1)))</f>
        <v>#REF!</v>
      </c>
      <c r="BC379" s="12"/>
      <c r="BD379" s="20" t="e">
        <f ca="1">IF(Data!#REF!="","",IF(ISNUMBER(Data!#REF!),IF(AND(Data!#REF!&gt;(TODAY()-(Data_Val!$M$3*365.25)),Data!#REF!&lt;=(TODAY()-(Data_Val!$M$2*365.25))),0,1),1))</f>
        <v>#REF!</v>
      </c>
      <c r="BE379" s="12" t="e">
        <f>IF(Data!#REF!="","",IF(Data!$G379="",1,IF(ISNUMBER(MATCH(Data!#REF!,Data_Val!$D$2:$D$10,0)),0,1)))</f>
        <v>#REF!</v>
      </c>
      <c r="BF379" s="17"/>
      <c r="BG379" s="18" t="e">
        <f ca="1">IF(Data!#REF!="","",IF(ISNUMBER(Data!#REF!),IF(AND(Data!#REF!&gt;(TODAY()-(Data_Val!$M$3*365.25)),Data!#REF!&lt;=(TODAY()-(Data_Val!$M$2*365.25))),0,1),1))</f>
        <v>#REF!</v>
      </c>
      <c r="BH379" s="29" t="e">
        <f>IF(Data!#REF!="","",IF(Data!$G379="",1,IF(ISNUMBER(MATCH(Data!#REF!,Data_Val!$D$2:$D$10,0)),0,1)))</f>
        <v>#REF!</v>
      </c>
      <c r="BI379" s="13"/>
      <c r="BJ379" s="21" t="e">
        <f ca="1">IF(Data!#REF!="","",IF(ISNUMBER(Data!#REF!),IF(AND(Data!#REF!&gt;(TODAY()-(Data_Val!$M$3*365.25)),Data!#REF!&lt;=(TODAY()-(Data_Val!$M$2*365.25))),0,1),1))</f>
        <v>#REF!</v>
      </c>
      <c r="BK379" s="13" t="e">
        <f>IF(Data!#REF!="","",IF(Data!$G379="",1,IF(ISNUMBER(MATCH(Data!#REF!,Data_Val!$D$2:$D$10,0)),0,1)))</f>
        <v>#REF!</v>
      </c>
    </row>
    <row r="380" spans="1:63" x14ac:dyDescent="0.25">
      <c r="A380" s="9" t="str">
        <f>IF(Data!B380="","",IF(COUNTIFS(Data!A$1:'Data'!A380,Data!A380)&lt;=1,0,1))</f>
        <v/>
      </c>
      <c r="B380" s="9"/>
      <c r="C380" s="23" t="str">
        <f>IF(Data!C380="","",(IF(ISNUMBER(MATCH("*@*.?*",Data!C380,0)),0,1)+IF(COUNTIFS(Data!C$1:'Data'!C380,Data!C380)&gt;1,1,0)))</f>
        <v/>
      </c>
      <c r="D380" s="9" t="str">
        <f>IF(Data!B380="","",IF(ISNUMBER(Data!D380),IF(AND(Data!D380&gt;999999999,Data!D380&lt;=9999999999),IF(COUNTIFS(Data!D$1:'Data'!D380,Data!D380)&lt;=1,0,1),1),1))</f>
        <v/>
      </c>
      <c r="E380" s="9" t="str">
        <f>IF(Data!B380="","",IF(ISNUMBER(MATCH(Data!E380,Data_Val!$A$2:$A$3,0)),0,1))</f>
        <v/>
      </c>
      <c r="F380" s="9" t="str">
        <f ca="1">IF(Data!B380="","",IF(ISNUMBER(Data!F380),IF(AND(Data!F380&gt;(TODAY()-(Data_Val!$H$3*365.25)),Data!F380&lt;=(TODAY()-(Data_Val!$H$2*365.25))),0,1),1))</f>
        <v/>
      </c>
      <c r="G380" s="15" t="str">
        <f>IF(Data!B380="","",IF(AND(Data!G380="",Data!H380&lt;&gt;""),1,IF(Data!#REF!&lt;&gt;"",0,IF(ISNUMBER(MATCH(Data!G380,Data_Val!$C$2:$C$5,0)),0,1))))</f>
        <v/>
      </c>
      <c r="H380" s="15" t="str">
        <f>IF(Data!B380="","",IF(AND(Data!G380&lt;&gt;"",Data!H380=""),1,IF(Data!#REF!&lt;&gt;"",0,IF(Data!G380="",1,IF(ISNUMBER(MATCH(Data!H380,Data_Val!$D$2:$D$35,0)),0,1)))))</f>
        <v/>
      </c>
      <c r="I380" s="15" t="str">
        <f>IF(Data!B380="","",IF(Data!G380&lt;&gt;"",0,IF(ISNUMBER(MATCH(Data!#REF!,Data_Val!$E$2:$E$12,0)),0,1)))</f>
        <v/>
      </c>
      <c r="J380" s="16" t="e">
        <f>IF(OR(Data!B380="",Data!#REF!=""),"",IF(Data!#REF!="",1,0))</f>
        <v>#REF!</v>
      </c>
      <c r="K380" s="16" t="e">
        <f>IF(OR(Data!B380="",Data!#REF!=""),"",IF(Data!#REF!="",1,0))</f>
        <v>#REF!</v>
      </c>
      <c r="L380" s="16" t="e">
        <f>IF(OR(Data!B380="",Data!#REF!=""),"",IF(ISNUMBER(Data!#REF!),IF(AND(Data!#REF!&gt;Data_Val!$G$2,Data!#REF!&lt;=Data_Val!$G$3),0,1),1))</f>
        <v>#REF!</v>
      </c>
      <c r="M380" s="9" t="e">
        <f>IF(OR(Data!B380="",Data!#REF!=""),"",IF(ISNUMBER(MATCH(Data!#REF!,Data_Val!$F$1:$F$38,0)),0,1))</f>
        <v>#REF!</v>
      </c>
      <c r="N380" s="9" t="e">
        <f>IF(OR(Data!B380="",Data!#REF!=""),"",IF(Data!#REF!="",1,0))</f>
        <v>#REF!</v>
      </c>
      <c r="O380" s="17" t="e">
        <f>IF(Data!#REF!="","",IF(Data!#REF!="",1,0))</f>
        <v>#REF!</v>
      </c>
      <c r="P380" s="17" t="e">
        <f>IF(Data!#REF!="","",IF(ISNUMBER(MATCH(Data!#REF!,Data_Val!$A$2:$A$3,0)),0,1))</f>
        <v>#REF!</v>
      </c>
      <c r="Q380" s="25" t="e">
        <f ca="1">IF(Data!#REF!="","",IF(ISNUMBER(Data!#REF!),IF(AND(Data!#REF!&gt;(TODAY()-(Data_Val!$J$3*365.25)),Data!#REF!&lt;=(TODAY()-(Data_Val!$J$2*365.25))),0,1),1))</f>
        <v>#REF!</v>
      </c>
      <c r="R380" s="17" t="e">
        <f>IF(Data!#REF!="","",IF(ISNUMBER(MATCH(Data!#REF!,Data_Val!$B$2:$B$15,0)),0,1))</f>
        <v>#REF!</v>
      </c>
      <c r="S380" s="11" t="str">
        <f>IF(Data!G380="","",IF(Data!G380=Data_Val!$C$2,IF(Data!M380="",0,1),0))</f>
        <v/>
      </c>
      <c r="T380" s="11" t="str">
        <f>IF(Data!M380="","",IF(ISNUMBER(MATCH(Data!N380,Data_Val!$A$2:$A$3,0)),0,1))</f>
        <v/>
      </c>
      <c r="U380" s="11" t="str">
        <f ca="1">IF(Data!M380="","",IF(ISNUMBER(Data!O380),IF(AND(Data!O380&gt;(TODAY()-(Data_Val!$K$3*365.25)),Data!O380&lt;=(TODAY()-(Data_Val!$K$2*365.25))),0,1),1))</f>
        <v/>
      </c>
      <c r="V380" s="12" t="str">
        <f>IF(Data!G380="","",IF(Data!G380=Data_Val!$C$2,IF(Data!P380="",0,1),0))</f>
        <v/>
      </c>
      <c r="W380" s="12" t="str">
        <f>IF(Data!P380="","",IF(ISNUMBER(MATCH(Data!Q380,Data_Val!$A$2:$A$3,0)),0,1))</f>
        <v/>
      </c>
      <c r="X380" s="26" t="str">
        <f ca="1">IF(Data!P380="","",IF(ISNUMBER(Data!R380),IF(AND(Data!R380&gt;(TODAY()-(Data_Val!$L$3*365.25)),Data!R380&lt;=(TODAY()-(Data_Val!$L$2*365.25))),0,1),1))</f>
        <v/>
      </c>
      <c r="Y380" s="13" t="str">
        <f>IF(Data!$G380="","",IF(Data!$G380=Data_Val!$C$2,IF(Data!S380="",0,1),0))</f>
        <v/>
      </c>
      <c r="Z380" s="13" t="str">
        <f>IF(Data!S380="","",IF(ISNUMBER(MATCH(Data!T380,Data_Val!$A$2:$A$3,0)),0,1))</f>
        <v/>
      </c>
      <c r="AA380" s="28" t="str">
        <f ca="1">IF(Data!S380="","",IF(ISNUMBER(Data!U380),IF(AND(Data!U380&gt;(TODAY()-(Data_Val!$L$3*365.25)),Data!U380&lt;=(TODAY()-(Data_Val!$L$2*365.25))),0,1),1))</f>
        <v/>
      </c>
      <c r="AB380" s="11"/>
      <c r="AC380" s="11" t="e">
        <f>IF(Data!#REF!="","",IF(ISNUMBER(MATCH(Data!#REF!,Data_Val!$A$2:$A$3,0)),0,1))</f>
        <v>#REF!</v>
      </c>
      <c r="AD380" s="11" t="e">
        <f ca="1">IF(Data!#REF!="","",IF(ISNUMBER(Data!#REF!),IF(AND(Data!#REF!&gt;(TODAY()-(Data_Val!$L$3*365.25)),Data!#REF!&lt;=(TODAY()-(Data_Val!$L$2*365.25))),0,1),1))</f>
        <v>#REF!</v>
      </c>
      <c r="AE380" s="11" t="e">
        <f>IF(Data!#REF!="","",IF(Data!$G380="",1,IF(ISNUMBER(MATCH(Data!#REF!,Data_Val!$D$2:$D$10,0)),0,1)))</f>
        <v>#REF!</v>
      </c>
      <c r="AF380" s="12"/>
      <c r="AG380" s="12" t="e">
        <f>IF(Data!#REF!="","",IF(ISNUMBER(MATCH(Data!#REF!,Data_Val!$A$2:$A$3,0)),0,1))</f>
        <v>#REF!</v>
      </c>
      <c r="AH380" s="26" t="e">
        <f ca="1">IF(Data!#REF!="","",IF(ISNUMBER(Data!#REF!),IF(AND(Data!#REF!&gt;(TODAY()-(Data_Val!$L$3*365.25)),Data!#REF!&lt;=(TODAY()-(Data_Val!$L$2*365.25))),0,1),1))</f>
        <v>#REF!</v>
      </c>
      <c r="AI380" s="12" t="e">
        <f>IF(Data!#REF!="","",IF(Data!$G380="",1,IF(ISNUMBER(MATCH(Data!#REF!,Data_Val!$D$2:$D$10,0)),0,1)))</f>
        <v>#REF!</v>
      </c>
      <c r="AJ380" s="17"/>
      <c r="AK380" s="17" t="e">
        <f>IF(Data!#REF!="","",IF(ISNUMBER(MATCH(Data!#REF!,Data_Val!$A$2:$A$3,0)),0,1))</f>
        <v>#REF!</v>
      </c>
      <c r="AL380" s="25" t="e">
        <f ca="1">IF(Data!#REF!="","",IF(ISNUMBER(Data!#REF!),IF(AND(Data!#REF!&gt;(TODAY()-(Data_Val!$L$3*365.25)),Data!#REF!&lt;=(TODAY()-(Data_Val!$L$2*365.25))),0,1),1))</f>
        <v>#REF!</v>
      </c>
      <c r="AM380" s="17" t="e">
        <f>IF(Data!#REF!="","",IF(Data!$G380="",1,IF(ISNUMBER(MATCH(Data!#REF!,Data_Val!$D$2:$D$10,0)),0,1)))</f>
        <v>#REF!</v>
      </c>
      <c r="AN380" s="13"/>
      <c r="AO380" s="28" t="e">
        <f ca="1">IF(Data!#REF!="","",IF(ISNUMBER(Data!#REF!),IF(AND(Data!#REF!&gt;(TODAY()-(Data_Val!$I$3*365.25)),Data!#REF!&lt;=(TODAY()-(Data_Val!$I$2*365.25))),0,1),1))</f>
        <v>#REF!</v>
      </c>
      <c r="AP380" s="13" t="e">
        <f>IF(Data!#REF!="","",IF(Data!$G380="",1,IF(ISNUMBER(MATCH(Data!#REF!,Data_Val!$D$2:$D$10,0)),0,1)))</f>
        <v>#REF!</v>
      </c>
      <c r="AQ380" s="17"/>
      <c r="AR380" s="30" t="e">
        <f ca="1">IF(Data!#REF!="","",IF(ISNUMBER(Data!#REF!),IF(AND(Data!#REF!&gt;(TODAY()-(Data_Val!$I$3*365.25)),Data!#REF!&lt;=(TODAY()-(Data_Val!$I$2*365.25))),0,1),1))</f>
        <v>#REF!</v>
      </c>
      <c r="AS380" s="31" t="e">
        <f>IF(Data!#REF!="","",IF(Data!$G380="",1,IF(ISNUMBER(MATCH(Data!#REF!,Data_Val!$D$2:$D$10,0)),0,1)))</f>
        <v>#REF!</v>
      </c>
      <c r="AT380" s="11"/>
      <c r="AU380" s="11" t="e">
        <f ca="1">IF(Data!#REF!="","",IF(ISNUMBER(Data!#REF!),IF(AND(Data!#REF!&gt;(TODAY()-(Data_Val!$I$3*365.25)),Data!#REF!&lt;=(TODAY()-(Data_Val!$I$2*365.25))),0,1),1))</f>
        <v>#REF!</v>
      </c>
      <c r="AV380" s="11" t="e">
        <f>IF(Data!#REF!="","",IF(Data!$G380="",1,IF(ISNUMBER(MATCH(Data!#REF!,Data_Val!$D$2:$D$10,0)),0,1)))</f>
        <v>#REF!</v>
      </c>
      <c r="AW380" s="12"/>
      <c r="AX380" s="26" t="e">
        <f ca="1">IF(Data!#REF!="","",IF(ISNUMBER(Data!#REF!),IF(AND(Data!#REF!&gt;(TODAY()-(Data_Val!$I$3*365.25)),Data!#REF!&lt;=(TODAY()-(Data_Val!$I$2*365.25))),0,1),1))</f>
        <v>#REF!</v>
      </c>
      <c r="AY380" s="12" t="e">
        <f>IF(Data!#REF!="","",IF(Data!$G380="",1,IF(ISNUMBER(MATCH(Data!#REF!,Data_Val!$D$2:$D$10,0)),0,1)))</f>
        <v>#REF!</v>
      </c>
      <c r="AZ380" s="11"/>
      <c r="BA380" s="19" t="e">
        <f ca="1">IF(Data!#REF!="","",IF(ISNUMBER(Data!#REF!),IF(AND(Data!#REF!&gt;(TODAY()-(Data_Val!$M$3*365.25)),Data!#REF!&lt;=(TODAY()-(Data_Val!$M$2*365.25))),0,1),1))</f>
        <v>#REF!</v>
      </c>
      <c r="BB380" s="11" t="e">
        <f>IF(Data!#REF!="","",IF(Data!$G380="",1,IF(ISNUMBER(MATCH(Data!#REF!,Data_Val!$D$2:$D$10,0)),0,1)))</f>
        <v>#REF!</v>
      </c>
      <c r="BC380" s="12"/>
      <c r="BD380" s="20" t="e">
        <f ca="1">IF(Data!#REF!="","",IF(ISNUMBER(Data!#REF!),IF(AND(Data!#REF!&gt;(TODAY()-(Data_Val!$M$3*365.25)),Data!#REF!&lt;=(TODAY()-(Data_Val!$M$2*365.25))),0,1),1))</f>
        <v>#REF!</v>
      </c>
      <c r="BE380" s="12" t="e">
        <f>IF(Data!#REF!="","",IF(Data!$G380="",1,IF(ISNUMBER(MATCH(Data!#REF!,Data_Val!$D$2:$D$10,0)),0,1)))</f>
        <v>#REF!</v>
      </c>
      <c r="BF380" s="17"/>
      <c r="BG380" s="18" t="e">
        <f ca="1">IF(Data!#REF!="","",IF(ISNUMBER(Data!#REF!),IF(AND(Data!#REF!&gt;(TODAY()-(Data_Val!$M$3*365.25)),Data!#REF!&lt;=(TODAY()-(Data_Val!$M$2*365.25))),0,1),1))</f>
        <v>#REF!</v>
      </c>
      <c r="BH380" s="29" t="e">
        <f>IF(Data!#REF!="","",IF(Data!$G380="",1,IF(ISNUMBER(MATCH(Data!#REF!,Data_Val!$D$2:$D$10,0)),0,1)))</f>
        <v>#REF!</v>
      </c>
      <c r="BI380" s="13"/>
      <c r="BJ380" s="21" t="e">
        <f ca="1">IF(Data!#REF!="","",IF(ISNUMBER(Data!#REF!),IF(AND(Data!#REF!&gt;(TODAY()-(Data_Val!$M$3*365.25)),Data!#REF!&lt;=(TODAY()-(Data_Val!$M$2*365.25))),0,1),1))</f>
        <v>#REF!</v>
      </c>
      <c r="BK380" s="13" t="e">
        <f>IF(Data!#REF!="","",IF(Data!$G380="",1,IF(ISNUMBER(MATCH(Data!#REF!,Data_Val!$D$2:$D$10,0)),0,1)))</f>
        <v>#REF!</v>
      </c>
    </row>
    <row r="381" spans="1:63" x14ac:dyDescent="0.25">
      <c r="A381" s="9" t="str">
        <f>IF(Data!B381="","",IF(COUNTIFS(Data!A$1:'Data'!A381,Data!A381)&lt;=1,0,1))</f>
        <v/>
      </c>
      <c r="B381" s="9"/>
      <c r="C381" s="23" t="str">
        <f>IF(Data!C381="","",(IF(ISNUMBER(MATCH("*@*.?*",Data!C381,0)),0,1)+IF(COUNTIFS(Data!C$1:'Data'!C381,Data!C381)&gt;1,1,0)))</f>
        <v/>
      </c>
      <c r="D381" s="9" t="str">
        <f>IF(Data!B381="","",IF(ISNUMBER(Data!D381),IF(AND(Data!D381&gt;999999999,Data!D381&lt;=9999999999),IF(COUNTIFS(Data!D$1:'Data'!D381,Data!D381)&lt;=1,0,1),1),1))</f>
        <v/>
      </c>
      <c r="E381" s="9" t="str">
        <f>IF(Data!B381="","",IF(ISNUMBER(MATCH(Data!E381,Data_Val!$A$2:$A$3,0)),0,1))</f>
        <v/>
      </c>
      <c r="F381" s="9" t="str">
        <f ca="1">IF(Data!B381="","",IF(ISNUMBER(Data!F381),IF(AND(Data!F381&gt;(TODAY()-(Data_Val!$H$3*365.25)),Data!F381&lt;=(TODAY()-(Data_Val!$H$2*365.25))),0,1),1))</f>
        <v/>
      </c>
      <c r="G381" s="15" t="str">
        <f>IF(Data!B381="","",IF(AND(Data!G381="",Data!H381&lt;&gt;""),1,IF(Data!#REF!&lt;&gt;"",0,IF(ISNUMBER(MATCH(Data!G381,Data_Val!$C$2:$C$5,0)),0,1))))</f>
        <v/>
      </c>
      <c r="H381" s="15" t="str">
        <f>IF(Data!B381="","",IF(AND(Data!G381&lt;&gt;"",Data!H381=""),1,IF(Data!#REF!&lt;&gt;"",0,IF(Data!G381="",1,IF(ISNUMBER(MATCH(Data!H381,Data_Val!$D$2:$D$35,0)),0,1)))))</f>
        <v/>
      </c>
      <c r="I381" s="15" t="str">
        <f>IF(Data!B381="","",IF(Data!G381&lt;&gt;"",0,IF(ISNUMBER(MATCH(Data!#REF!,Data_Val!$E$2:$E$12,0)),0,1)))</f>
        <v/>
      </c>
      <c r="J381" s="16" t="e">
        <f>IF(OR(Data!B381="",Data!#REF!=""),"",IF(Data!#REF!="",1,0))</f>
        <v>#REF!</v>
      </c>
      <c r="K381" s="16" t="e">
        <f>IF(OR(Data!B381="",Data!#REF!=""),"",IF(Data!#REF!="",1,0))</f>
        <v>#REF!</v>
      </c>
      <c r="L381" s="16" t="e">
        <f>IF(OR(Data!B381="",Data!#REF!=""),"",IF(ISNUMBER(Data!#REF!),IF(AND(Data!#REF!&gt;Data_Val!$G$2,Data!#REF!&lt;=Data_Val!$G$3),0,1),1))</f>
        <v>#REF!</v>
      </c>
      <c r="M381" s="9" t="e">
        <f>IF(OR(Data!B381="",Data!#REF!=""),"",IF(ISNUMBER(MATCH(Data!#REF!,Data_Val!$F$1:$F$38,0)),0,1))</f>
        <v>#REF!</v>
      </c>
      <c r="N381" s="9" t="e">
        <f>IF(OR(Data!B381="",Data!#REF!=""),"",IF(Data!#REF!="",1,0))</f>
        <v>#REF!</v>
      </c>
      <c r="O381" s="17" t="e">
        <f>IF(Data!#REF!="","",IF(Data!#REF!="",1,0))</f>
        <v>#REF!</v>
      </c>
      <c r="P381" s="17" t="e">
        <f>IF(Data!#REF!="","",IF(ISNUMBER(MATCH(Data!#REF!,Data_Val!$A$2:$A$3,0)),0,1))</f>
        <v>#REF!</v>
      </c>
      <c r="Q381" s="25" t="e">
        <f ca="1">IF(Data!#REF!="","",IF(ISNUMBER(Data!#REF!),IF(AND(Data!#REF!&gt;(TODAY()-(Data_Val!$J$3*365.25)),Data!#REF!&lt;=(TODAY()-(Data_Val!$J$2*365.25))),0,1),1))</f>
        <v>#REF!</v>
      </c>
      <c r="R381" s="17" t="e">
        <f>IF(Data!#REF!="","",IF(ISNUMBER(MATCH(Data!#REF!,Data_Val!$B$2:$B$15,0)),0,1))</f>
        <v>#REF!</v>
      </c>
      <c r="S381" s="11" t="str">
        <f>IF(Data!G381="","",IF(Data!G381=Data_Val!$C$2,IF(Data!M381="",0,1),0))</f>
        <v/>
      </c>
      <c r="T381" s="11" t="str">
        <f>IF(Data!M381="","",IF(ISNUMBER(MATCH(Data!N381,Data_Val!$A$2:$A$3,0)),0,1))</f>
        <v/>
      </c>
      <c r="U381" s="11" t="str">
        <f ca="1">IF(Data!M381="","",IF(ISNUMBER(Data!O381),IF(AND(Data!O381&gt;(TODAY()-(Data_Val!$K$3*365.25)),Data!O381&lt;=(TODAY()-(Data_Val!$K$2*365.25))),0,1),1))</f>
        <v/>
      </c>
      <c r="V381" s="12" t="str">
        <f>IF(Data!G381="","",IF(Data!G381=Data_Val!$C$2,IF(Data!P381="",0,1),0))</f>
        <v/>
      </c>
      <c r="W381" s="12" t="str">
        <f>IF(Data!P381="","",IF(ISNUMBER(MATCH(Data!Q381,Data_Val!$A$2:$A$3,0)),0,1))</f>
        <v/>
      </c>
      <c r="X381" s="26" t="str">
        <f ca="1">IF(Data!P381="","",IF(ISNUMBER(Data!R381),IF(AND(Data!R381&gt;(TODAY()-(Data_Val!$L$3*365.25)),Data!R381&lt;=(TODAY()-(Data_Val!$L$2*365.25))),0,1),1))</f>
        <v/>
      </c>
      <c r="Y381" s="13" t="str">
        <f>IF(Data!$G381="","",IF(Data!$G381=Data_Val!$C$2,IF(Data!S381="",0,1),0))</f>
        <v/>
      </c>
      <c r="Z381" s="13" t="str">
        <f>IF(Data!S381="","",IF(ISNUMBER(MATCH(Data!T381,Data_Val!$A$2:$A$3,0)),0,1))</f>
        <v/>
      </c>
      <c r="AA381" s="28" t="str">
        <f ca="1">IF(Data!S381="","",IF(ISNUMBER(Data!U381),IF(AND(Data!U381&gt;(TODAY()-(Data_Val!$L$3*365.25)),Data!U381&lt;=(TODAY()-(Data_Val!$L$2*365.25))),0,1),1))</f>
        <v/>
      </c>
      <c r="AB381" s="11"/>
      <c r="AC381" s="11" t="e">
        <f>IF(Data!#REF!="","",IF(ISNUMBER(MATCH(Data!#REF!,Data_Val!$A$2:$A$3,0)),0,1))</f>
        <v>#REF!</v>
      </c>
      <c r="AD381" s="11" t="e">
        <f ca="1">IF(Data!#REF!="","",IF(ISNUMBER(Data!#REF!),IF(AND(Data!#REF!&gt;(TODAY()-(Data_Val!$L$3*365.25)),Data!#REF!&lt;=(TODAY()-(Data_Val!$L$2*365.25))),0,1),1))</f>
        <v>#REF!</v>
      </c>
      <c r="AE381" s="11" t="e">
        <f>IF(Data!#REF!="","",IF(Data!$G381="",1,IF(ISNUMBER(MATCH(Data!#REF!,Data_Val!$D$2:$D$10,0)),0,1)))</f>
        <v>#REF!</v>
      </c>
      <c r="AF381" s="12"/>
      <c r="AG381" s="12" t="e">
        <f>IF(Data!#REF!="","",IF(ISNUMBER(MATCH(Data!#REF!,Data_Val!$A$2:$A$3,0)),0,1))</f>
        <v>#REF!</v>
      </c>
      <c r="AH381" s="26" t="e">
        <f ca="1">IF(Data!#REF!="","",IF(ISNUMBER(Data!#REF!),IF(AND(Data!#REF!&gt;(TODAY()-(Data_Val!$L$3*365.25)),Data!#REF!&lt;=(TODAY()-(Data_Val!$L$2*365.25))),0,1),1))</f>
        <v>#REF!</v>
      </c>
      <c r="AI381" s="12" t="e">
        <f>IF(Data!#REF!="","",IF(Data!$G381="",1,IF(ISNUMBER(MATCH(Data!#REF!,Data_Val!$D$2:$D$10,0)),0,1)))</f>
        <v>#REF!</v>
      </c>
      <c r="AJ381" s="17"/>
      <c r="AK381" s="17" t="e">
        <f>IF(Data!#REF!="","",IF(ISNUMBER(MATCH(Data!#REF!,Data_Val!$A$2:$A$3,0)),0,1))</f>
        <v>#REF!</v>
      </c>
      <c r="AL381" s="25" t="e">
        <f ca="1">IF(Data!#REF!="","",IF(ISNUMBER(Data!#REF!),IF(AND(Data!#REF!&gt;(TODAY()-(Data_Val!$L$3*365.25)),Data!#REF!&lt;=(TODAY()-(Data_Val!$L$2*365.25))),0,1),1))</f>
        <v>#REF!</v>
      </c>
      <c r="AM381" s="17" t="e">
        <f>IF(Data!#REF!="","",IF(Data!$G381="",1,IF(ISNUMBER(MATCH(Data!#REF!,Data_Val!$D$2:$D$10,0)),0,1)))</f>
        <v>#REF!</v>
      </c>
      <c r="AN381" s="13"/>
      <c r="AO381" s="28" t="e">
        <f ca="1">IF(Data!#REF!="","",IF(ISNUMBER(Data!#REF!),IF(AND(Data!#REF!&gt;(TODAY()-(Data_Val!$I$3*365.25)),Data!#REF!&lt;=(TODAY()-(Data_Val!$I$2*365.25))),0,1),1))</f>
        <v>#REF!</v>
      </c>
      <c r="AP381" s="13" t="e">
        <f>IF(Data!#REF!="","",IF(Data!$G381="",1,IF(ISNUMBER(MATCH(Data!#REF!,Data_Val!$D$2:$D$10,0)),0,1)))</f>
        <v>#REF!</v>
      </c>
      <c r="AQ381" s="17"/>
      <c r="AR381" s="30" t="e">
        <f ca="1">IF(Data!#REF!="","",IF(ISNUMBER(Data!#REF!),IF(AND(Data!#REF!&gt;(TODAY()-(Data_Val!$I$3*365.25)),Data!#REF!&lt;=(TODAY()-(Data_Val!$I$2*365.25))),0,1),1))</f>
        <v>#REF!</v>
      </c>
      <c r="AS381" s="31" t="e">
        <f>IF(Data!#REF!="","",IF(Data!$G381="",1,IF(ISNUMBER(MATCH(Data!#REF!,Data_Val!$D$2:$D$10,0)),0,1)))</f>
        <v>#REF!</v>
      </c>
      <c r="AT381" s="11"/>
      <c r="AU381" s="11" t="e">
        <f ca="1">IF(Data!#REF!="","",IF(ISNUMBER(Data!#REF!),IF(AND(Data!#REF!&gt;(TODAY()-(Data_Val!$I$3*365.25)),Data!#REF!&lt;=(TODAY()-(Data_Val!$I$2*365.25))),0,1),1))</f>
        <v>#REF!</v>
      </c>
      <c r="AV381" s="11" t="e">
        <f>IF(Data!#REF!="","",IF(Data!$G381="",1,IF(ISNUMBER(MATCH(Data!#REF!,Data_Val!$D$2:$D$10,0)),0,1)))</f>
        <v>#REF!</v>
      </c>
      <c r="AW381" s="12"/>
      <c r="AX381" s="26" t="e">
        <f ca="1">IF(Data!#REF!="","",IF(ISNUMBER(Data!#REF!),IF(AND(Data!#REF!&gt;(TODAY()-(Data_Val!$I$3*365.25)),Data!#REF!&lt;=(TODAY()-(Data_Val!$I$2*365.25))),0,1),1))</f>
        <v>#REF!</v>
      </c>
      <c r="AY381" s="12" t="e">
        <f>IF(Data!#REF!="","",IF(Data!$G381="",1,IF(ISNUMBER(MATCH(Data!#REF!,Data_Val!$D$2:$D$10,0)),0,1)))</f>
        <v>#REF!</v>
      </c>
      <c r="AZ381" s="11"/>
      <c r="BA381" s="19" t="e">
        <f ca="1">IF(Data!#REF!="","",IF(ISNUMBER(Data!#REF!),IF(AND(Data!#REF!&gt;(TODAY()-(Data_Val!$M$3*365.25)),Data!#REF!&lt;=(TODAY()-(Data_Val!$M$2*365.25))),0,1),1))</f>
        <v>#REF!</v>
      </c>
      <c r="BB381" s="11" t="e">
        <f>IF(Data!#REF!="","",IF(Data!$G381="",1,IF(ISNUMBER(MATCH(Data!#REF!,Data_Val!$D$2:$D$10,0)),0,1)))</f>
        <v>#REF!</v>
      </c>
      <c r="BC381" s="12"/>
      <c r="BD381" s="20" t="e">
        <f ca="1">IF(Data!#REF!="","",IF(ISNUMBER(Data!#REF!),IF(AND(Data!#REF!&gt;(TODAY()-(Data_Val!$M$3*365.25)),Data!#REF!&lt;=(TODAY()-(Data_Val!$M$2*365.25))),0,1),1))</f>
        <v>#REF!</v>
      </c>
      <c r="BE381" s="12" t="e">
        <f>IF(Data!#REF!="","",IF(Data!$G381="",1,IF(ISNUMBER(MATCH(Data!#REF!,Data_Val!$D$2:$D$10,0)),0,1)))</f>
        <v>#REF!</v>
      </c>
      <c r="BF381" s="17"/>
      <c r="BG381" s="18" t="e">
        <f ca="1">IF(Data!#REF!="","",IF(ISNUMBER(Data!#REF!),IF(AND(Data!#REF!&gt;(TODAY()-(Data_Val!$M$3*365.25)),Data!#REF!&lt;=(TODAY()-(Data_Val!$M$2*365.25))),0,1),1))</f>
        <v>#REF!</v>
      </c>
      <c r="BH381" s="29" t="e">
        <f>IF(Data!#REF!="","",IF(Data!$G381="",1,IF(ISNUMBER(MATCH(Data!#REF!,Data_Val!$D$2:$D$10,0)),0,1)))</f>
        <v>#REF!</v>
      </c>
      <c r="BI381" s="13"/>
      <c r="BJ381" s="21" t="e">
        <f ca="1">IF(Data!#REF!="","",IF(ISNUMBER(Data!#REF!),IF(AND(Data!#REF!&gt;(TODAY()-(Data_Val!$M$3*365.25)),Data!#REF!&lt;=(TODAY()-(Data_Val!$M$2*365.25))),0,1),1))</f>
        <v>#REF!</v>
      </c>
      <c r="BK381" s="13" t="e">
        <f>IF(Data!#REF!="","",IF(Data!$G381="",1,IF(ISNUMBER(MATCH(Data!#REF!,Data_Val!$D$2:$D$10,0)),0,1)))</f>
        <v>#REF!</v>
      </c>
    </row>
    <row r="382" spans="1:63" x14ac:dyDescent="0.25">
      <c r="A382" s="9" t="str">
        <f>IF(Data!B382="","",IF(COUNTIFS(Data!A$1:'Data'!A382,Data!A382)&lt;=1,0,1))</f>
        <v/>
      </c>
      <c r="B382" s="9"/>
      <c r="C382" s="23" t="str">
        <f>IF(Data!C382="","",(IF(ISNUMBER(MATCH("*@*.?*",Data!C382,0)),0,1)+IF(COUNTIFS(Data!C$1:'Data'!C382,Data!C382)&gt;1,1,0)))</f>
        <v/>
      </c>
      <c r="D382" s="9" t="str">
        <f>IF(Data!B382="","",IF(ISNUMBER(Data!D382),IF(AND(Data!D382&gt;999999999,Data!D382&lt;=9999999999),IF(COUNTIFS(Data!D$1:'Data'!D382,Data!D382)&lt;=1,0,1),1),1))</f>
        <v/>
      </c>
      <c r="E382" s="9" t="str">
        <f>IF(Data!B382="","",IF(ISNUMBER(MATCH(Data!E382,Data_Val!$A$2:$A$3,0)),0,1))</f>
        <v/>
      </c>
      <c r="F382" s="9" t="str">
        <f ca="1">IF(Data!B382="","",IF(ISNUMBER(Data!F382),IF(AND(Data!F382&gt;(TODAY()-(Data_Val!$H$3*365.25)),Data!F382&lt;=(TODAY()-(Data_Val!$H$2*365.25))),0,1),1))</f>
        <v/>
      </c>
      <c r="G382" s="15" t="str">
        <f>IF(Data!B382="","",IF(AND(Data!G382="",Data!H382&lt;&gt;""),1,IF(Data!#REF!&lt;&gt;"",0,IF(ISNUMBER(MATCH(Data!G382,Data_Val!$C$2:$C$5,0)),0,1))))</f>
        <v/>
      </c>
      <c r="H382" s="15" t="str">
        <f>IF(Data!B382="","",IF(AND(Data!G382&lt;&gt;"",Data!H382=""),1,IF(Data!#REF!&lt;&gt;"",0,IF(Data!G382="",1,IF(ISNUMBER(MATCH(Data!H382,Data_Val!$D$2:$D$35,0)),0,1)))))</f>
        <v/>
      </c>
      <c r="I382" s="15" t="str">
        <f>IF(Data!B382="","",IF(Data!G382&lt;&gt;"",0,IF(ISNUMBER(MATCH(Data!#REF!,Data_Val!$E$2:$E$12,0)),0,1)))</f>
        <v/>
      </c>
      <c r="J382" s="16" t="e">
        <f>IF(OR(Data!B382="",Data!#REF!=""),"",IF(Data!#REF!="",1,0))</f>
        <v>#REF!</v>
      </c>
      <c r="K382" s="16" t="e">
        <f>IF(OR(Data!B382="",Data!#REF!=""),"",IF(Data!#REF!="",1,0))</f>
        <v>#REF!</v>
      </c>
      <c r="L382" s="16" t="e">
        <f>IF(OR(Data!B382="",Data!#REF!=""),"",IF(ISNUMBER(Data!#REF!),IF(AND(Data!#REF!&gt;Data_Val!$G$2,Data!#REF!&lt;=Data_Val!$G$3),0,1),1))</f>
        <v>#REF!</v>
      </c>
      <c r="M382" s="9" t="e">
        <f>IF(OR(Data!B382="",Data!#REF!=""),"",IF(ISNUMBER(MATCH(Data!#REF!,Data_Val!$F$1:$F$38,0)),0,1))</f>
        <v>#REF!</v>
      </c>
      <c r="N382" s="9" t="e">
        <f>IF(OR(Data!B382="",Data!#REF!=""),"",IF(Data!#REF!="",1,0))</f>
        <v>#REF!</v>
      </c>
      <c r="O382" s="17" t="e">
        <f>IF(Data!#REF!="","",IF(Data!#REF!="",1,0))</f>
        <v>#REF!</v>
      </c>
      <c r="P382" s="17" t="e">
        <f>IF(Data!#REF!="","",IF(ISNUMBER(MATCH(Data!#REF!,Data_Val!$A$2:$A$3,0)),0,1))</f>
        <v>#REF!</v>
      </c>
      <c r="Q382" s="25" t="e">
        <f ca="1">IF(Data!#REF!="","",IF(ISNUMBER(Data!#REF!),IF(AND(Data!#REF!&gt;(TODAY()-(Data_Val!$J$3*365.25)),Data!#REF!&lt;=(TODAY()-(Data_Val!$J$2*365.25))),0,1),1))</f>
        <v>#REF!</v>
      </c>
      <c r="R382" s="17" t="e">
        <f>IF(Data!#REF!="","",IF(ISNUMBER(MATCH(Data!#REF!,Data_Val!$B$2:$B$15,0)),0,1))</f>
        <v>#REF!</v>
      </c>
      <c r="S382" s="11" t="str">
        <f>IF(Data!G382="","",IF(Data!G382=Data_Val!$C$2,IF(Data!M382="",0,1),0))</f>
        <v/>
      </c>
      <c r="T382" s="11" t="str">
        <f>IF(Data!M382="","",IF(ISNUMBER(MATCH(Data!N382,Data_Val!$A$2:$A$3,0)),0,1))</f>
        <v/>
      </c>
      <c r="U382" s="11" t="str">
        <f ca="1">IF(Data!M382="","",IF(ISNUMBER(Data!O382),IF(AND(Data!O382&gt;(TODAY()-(Data_Val!$K$3*365.25)),Data!O382&lt;=(TODAY()-(Data_Val!$K$2*365.25))),0,1),1))</f>
        <v/>
      </c>
      <c r="V382" s="12" t="str">
        <f>IF(Data!G382="","",IF(Data!G382=Data_Val!$C$2,IF(Data!P382="",0,1),0))</f>
        <v/>
      </c>
      <c r="W382" s="12" t="str">
        <f>IF(Data!P382="","",IF(ISNUMBER(MATCH(Data!Q382,Data_Val!$A$2:$A$3,0)),0,1))</f>
        <v/>
      </c>
      <c r="X382" s="26" t="str">
        <f ca="1">IF(Data!P382="","",IF(ISNUMBER(Data!R382),IF(AND(Data!R382&gt;(TODAY()-(Data_Val!$L$3*365.25)),Data!R382&lt;=(TODAY()-(Data_Val!$L$2*365.25))),0,1),1))</f>
        <v/>
      </c>
      <c r="Y382" s="13" t="str">
        <f>IF(Data!$G382="","",IF(Data!$G382=Data_Val!$C$2,IF(Data!S382="",0,1),0))</f>
        <v/>
      </c>
      <c r="Z382" s="13" t="str">
        <f>IF(Data!S382="","",IF(ISNUMBER(MATCH(Data!T382,Data_Val!$A$2:$A$3,0)),0,1))</f>
        <v/>
      </c>
      <c r="AA382" s="28" t="str">
        <f ca="1">IF(Data!S382="","",IF(ISNUMBER(Data!U382),IF(AND(Data!U382&gt;(TODAY()-(Data_Val!$L$3*365.25)),Data!U382&lt;=(TODAY()-(Data_Val!$L$2*365.25))),0,1),1))</f>
        <v/>
      </c>
      <c r="AB382" s="11"/>
      <c r="AC382" s="11" t="e">
        <f>IF(Data!#REF!="","",IF(ISNUMBER(MATCH(Data!#REF!,Data_Val!$A$2:$A$3,0)),0,1))</f>
        <v>#REF!</v>
      </c>
      <c r="AD382" s="11" t="e">
        <f ca="1">IF(Data!#REF!="","",IF(ISNUMBER(Data!#REF!),IF(AND(Data!#REF!&gt;(TODAY()-(Data_Val!$L$3*365.25)),Data!#REF!&lt;=(TODAY()-(Data_Val!$L$2*365.25))),0,1),1))</f>
        <v>#REF!</v>
      </c>
      <c r="AE382" s="11" t="e">
        <f>IF(Data!#REF!="","",IF(Data!$G382="",1,IF(ISNUMBER(MATCH(Data!#REF!,Data_Val!$D$2:$D$10,0)),0,1)))</f>
        <v>#REF!</v>
      </c>
      <c r="AF382" s="12"/>
      <c r="AG382" s="12" t="e">
        <f>IF(Data!#REF!="","",IF(ISNUMBER(MATCH(Data!#REF!,Data_Val!$A$2:$A$3,0)),0,1))</f>
        <v>#REF!</v>
      </c>
      <c r="AH382" s="26" t="e">
        <f ca="1">IF(Data!#REF!="","",IF(ISNUMBER(Data!#REF!),IF(AND(Data!#REF!&gt;(TODAY()-(Data_Val!$L$3*365.25)),Data!#REF!&lt;=(TODAY()-(Data_Val!$L$2*365.25))),0,1),1))</f>
        <v>#REF!</v>
      </c>
      <c r="AI382" s="12" t="e">
        <f>IF(Data!#REF!="","",IF(Data!$G382="",1,IF(ISNUMBER(MATCH(Data!#REF!,Data_Val!$D$2:$D$10,0)),0,1)))</f>
        <v>#REF!</v>
      </c>
      <c r="AJ382" s="17"/>
      <c r="AK382" s="17" t="e">
        <f>IF(Data!#REF!="","",IF(ISNUMBER(MATCH(Data!#REF!,Data_Val!$A$2:$A$3,0)),0,1))</f>
        <v>#REF!</v>
      </c>
      <c r="AL382" s="25" t="e">
        <f ca="1">IF(Data!#REF!="","",IF(ISNUMBER(Data!#REF!),IF(AND(Data!#REF!&gt;(TODAY()-(Data_Val!$L$3*365.25)),Data!#REF!&lt;=(TODAY()-(Data_Val!$L$2*365.25))),0,1),1))</f>
        <v>#REF!</v>
      </c>
      <c r="AM382" s="17" t="e">
        <f>IF(Data!#REF!="","",IF(Data!$G382="",1,IF(ISNUMBER(MATCH(Data!#REF!,Data_Val!$D$2:$D$10,0)),0,1)))</f>
        <v>#REF!</v>
      </c>
      <c r="AN382" s="13"/>
      <c r="AO382" s="28" t="e">
        <f ca="1">IF(Data!#REF!="","",IF(ISNUMBER(Data!#REF!),IF(AND(Data!#REF!&gt;(TODAY()-(Data_Val!$I$3*365.25)),Data!#REF!&lt;=(TODAY()-(Data_Val!$I$2*365.25))),0,1),1))</f>
        <v>#REF!</v>
      </c>
      <c r="AP382" s="13" t="e">
        <f>IF(Data!#REF!="","",IF(Data!$G382="",1,IF(ISNUMBER(MATCH(Data!#REF!,Data_Val!$D$2:$D$10,0)),0,1)))</f>
        <v>#REF!</v>
      </c>
      <c r="AQ382" s="17"/>
      <c r="AR382" s="30" t="e">
        <f ca="1">IF(Data!#REF!="","",IF(ISNUMBER(Data!#REF!),IF(AND(Data!#REF!&gt;(TODAY()-(Data_Val!$I$3*365.25)),Data!#REF!&lt;=(TODAY()-(Data_Val!$I$2*365.25))),0,1),1))</f>
        <v>#REF!</v>
      </c>
      <c r="AS382" s="31" t="e">
        <f>IF(Data!#REF!="","",IF(Data!$G382="",1,IF(ISNUMBER(MATCH(Data!#REF!,Data_Val!$D$2:$D$10,0)),0,1)))</f>
        <v>#REF!</v>
      </c>
      <c r="AT382" s="11"/>
      <c r="AU382" s="11" t="e">
        <f ca="1">IF(Data!#REF!="","",IF(ISNUMBER(Data!#REF!),IF(AND(Data!#REF!&gt;(TODAY()-(Data_Val!$I$3*365.25)),Data!#REF!&lt;=(TODAY()-(Data_Val!$I$2*365.25))),0,1),1))</f>
        <v>#REF!</v>
      </c>
      <c r="AV382" s="11" t="e">
        <f>IF(Data!#REF!="","",IF(Data!$G382="",1,IF(ISNUMBER(MATCH(Data!#REF!,Data_Val!$D$2:$D$10,0)),0,1)))</f>
        <v>#REF!</v>
      </c>
      <c r="AW382" s="12"/>
      <c r="AX382" s="26" t="e">
        <f ca="1">IF(Data!#REF!="","",IF(ISNUMBER(Data!#REF!),IF(AND(Data!#REF!&gt;(TODAY()-(Data_Val!$I$3*365.25)),Data!#REF!&lt;=(TODAY()-(Data_Val!$I$2*365.25))),0,1),1))</f>
        <v>#REF!</v>
      </c>
      <c r="AY382" s="12" t="e">
        <f>IF(Data!#REF!="","",IF(Data!$G382="",1,IF(ISNUMBER(MATCH(Data!#REF!,Data_Val!$D$2:$D$10,0)),0,1)))</f>
        <v>#REF!</v>
      </c>
      <c r="AZ382" s="11"/>
      <c r="BA382" s="19" t="e">
        <f ca="1">IF(Data!#REF!="","",IF(ISNUMBER(Data!#REF!),IF(AND(Data!#REF!&gt;(TODAY()-(Data_Val!$M$3*365.25)),Data!#REF!&lt;=(TODAY()-(Data_Val!$M$2*365.25))),0,1),1))</f>
        <v>#REF!</v>
      </c>
      <c r="BB382" s="11" t="e">
        <f>IF(Data!#REF!="","",IF(Data!$G382="",1,IF(ISNUMBER(MATCH(Data!#REF!,Data_Val!$D$2:$D$10,0)),0,1)))</f>
        <v>#REF!</v>
      </c>
      <c r="BC382" s="12"/>
      <c r="BD382" s="20" t="e">
        <f ca="1">IF(Data!#REF!="","",IF(ISNUMBER(Data!#REF!),IF(AND(Data!#REF!&gt;(TODAY()-(Data_Val!$M$3*365.25)),Data!#REF!&lt;=(TODAY()-(Data_Val!$M$2*365.25))),0,1),1))</f>
        <v>#REF!</v>
      </c>
      <c r="BE382" s="12" t="e">
        <f>IF(Data!#REF!="","",IF(Data!$G382="",1,IF(ISNUMBER(MATCH(Data!#REF!,Data_Val!$D$2:$D$10,0)),0,1)))</f>
        <v>#REF!</v>
      </c>
      <c r="BF382" s="17"/>
      <c r="BG382" s="18" t="e">
        <f ca="1">IF(Data!#REF!="","",IF(ISNUMBER(Data!#REF!),IF(AND(Data!#REF!&gt;(TODAY()-(Data_Val!$M$3*365.25)),Data!#REF!&lt;=(TODAY()-(Data_Val!$M$2*365.25))),0,1),1))</f>
        <v>#REF!</v>
      </c>
      <c r="BH382" s="29" t="e">
        <f>IF(Data!#REF!="","",IF(Data!$G382="",1,IF(ISNUMBER(MATCH(Data!#REF!,Data_Val!$D$2:$D$10,0)),0,1)))</f>
        <v>#REF!</v>
      </c>
      <c r="BI382" s="13"/>
      <c r="BJ382" s="21" t="e">
        <f ca="1">IF(Data!#REF!="","",IF(ISNUMBER(Data!#REF!),IF(AND(Data!#REF!&gt;(TODAY()-(Data_Val!$M$3*365.25)),Data!#REF!&lt;=(TODAY()-(Data_Val!$M$2*365.25))),0,1),1))</f>
        <v>#REF!</v>
      </c>
      <c r="BK382" s="13" t="e">
        <f>IF(Data!#REF!="","",IF(Data!$G382="",1,IF(ISNUMBER(MATCH(Data!#REF!,Data_Val!$D$2:$D$10,0)),0,1)))</f>
        <v>#REF!</v>
      </c>
    </row>
    <row r="383" spans="1:63" x14ac:dyDescent="0.25">
      <c r="A383" s="9" t="str">
        <f>IF(Data!B383="","",IF(COUNTIFS(Data!A$1:'Data'!A383,Data!A383)&lt;=1,0,1))</f>
        <v/>
      </c>
      <c r="B383" s="9"/>
      <c r="C383" s="23" t="str">
        <f>IF(Data!C383="","",(IF(ISNUMBER(MATCH("*@*.?*",Data!C383,0)),0,1)+IF(COUNTIFS(Data!C$1:'Data'!C383,Data!C383)&gt;1,1,0)))</f>
        <v/>
      </c>
      <c r="D383" s="9" t="str">
        <f>IF(Data!B383="","",IF(ISNUMBER(Data!D383),IF(AND(Data!D383&gt;999999999,Data!D383&lt;=9999999999),IF(COUNTIFS(Data!D$1:'Data'!D383,Data!D383)&lt;=1,0,1),1),1))</f>
        <v/>
      </c>
      <c r="E383" s="9" t="str">
        <f>IF(Data!B383="","",IF(ISNUMBER(MATCH(Data!E383,Data_Val!$A$2:$A$3,0)),0,1))</f>
        <v/>
      </c>
      <c r="F383" s="9" t="str">
        <f ca="1">IF(Data!B383="","",IF(ISNUMBER(Data!F383),IF(AND(Data!F383&gt;(TODAY()-(Data_Val!$H$3*365.25)),Data!F383&lt;=(TODAY()-(Data_Val!$H$2*365.25))),0,1),1))</f>
        <v/>
      </c>
      <c r="G383" s="15" t="str">
        <f>IF(Data!B383="","",IF(AND(Data!G383="",Data!H383&lt;&gt;""),1,IF(Data!#REF!&lt;&gt;"",0,IF(ISNUMBER(MATCH(Data!G383,Data_Val!$C$2:$C$5,0)),0,1))))</f>
        <v/>
      </c>
      <c r="H383" s="15" t="str">
        <f>IF(Data!B383="","",IF(AND(Data!G383&lt;&gt;"",Data!H383=""),1,IF(Data!#REF!&lt;&gt;"",0,IF(Data!G383="",1,IF(ISNUMBER(MATCH(Data!H383,Data_Val!$D$2:$D$35,0)),0,1)))))</f>
        <v/>
      </c>
      <c r="I383" s="15" t="str">
        <f>IF(Data!B383="","",IF(Data!G383&lt;&gt;"",0,IF(ISNUMBER(MATCH(Data!#REF!,Data_Val!$E$2:$E$12,0)),0,1)))</f>
        <v/>
      </c>
      <c r="J383" s="16" t="e">
        <f>IF(OR(Data!B383="",Data!#REF!=""),"",IF(Data!#REF!="",1,0))</f>
        <v>#REF!</v>
      </c>
      <c r="K383" s="16" t="e">
        <f>IF(OR(Data!B383="",Data!#REF!=""),"",IF(Data!#REF!="",1,0))</f>
        <v>#REF!</v>
      </c>
      <c r="L383" s="16" t="e">
        <f>IF(OR(Data!B383="",Data!#REF!=""),"",IF(ISNUMBER(Data!#REF!),IF(AND(Data!#REF!&gt;Data_Val!$G$2,Data!#REF!&lt;=Data_Val!$G$3),0,1),1))</f>
        <v>#REF!</v>
      </c>
      <c r="M383" s="9" t="e">
        <f>IF(OR(Data!B383="",Data!#REF!=""),"",IF(ISNUMBER(MATCH(Data!#REF!,Data_Val!$F$1:$F$38,0)),0,1))</f>
        <v>#REF!</v>
      </c>
      <c r="N383" s="9" t="e">
        <f>IF(OR(Data!B383="",Data!#REF!=""),"",IF(Data!#REF!="",1,0))</f>
        <v>#REF!</v>
      </c>
      <c r="O383" s="17" t="e">
        <f>IF(Data!#REF!="","",IF(Data!#REF!="",1,0))</f>
        <v>#REF!</v>
      </c>
      <c r="P383" s="17" t="e">
        <f>IF(Data!#REF!="","",IF(ISNUMBER(MATCH(Data!#REF!,Data_Val!$A$2:$A$3,0)),0,1))</f>
        <v>#REF!</v>
      </c>
      <c r="Q383" s="25" t="e">
        <f ca="1">IF(Data!#REF!="","",IF(ISNUMBER(Data!#REF!),IF(AND(Data!#REF!&gt;(TODAY()-(Data_Val!$J$3*365.25)),Data!#REF!&lt;=(TODAY()-(Data_Val!$J$2*365.25))),0,1),1))</f>
        <v>#REF!</v>
      </c>
      <c r="R383" s="17" t="e">
        <f>IF(Data!#REF!="","",IF(ISNUMBER(MATCH(Data!#REF!,Data_Val!$B$2:$B$15,0)),0,1))</f>
        <v>#REF!</v>
      </c>
      <c r="S383" s="11" t="str">
        <f>IF(Data!G383="","",IF(Data!G383=Data_Val!$C$2,IF(Data!M383="",0,1),0))</f>
        <v/>
      </c>
      <c r="T383" s="11" t="str">
        <f>IF(Data!M383="","",IF(ISNUMBER(MATCH(Data!N383,Data_Val!$A$2:$A$3,0)),0,1))</f>
        <v/>
      </c>
      <c r="U383" s="11" t="str">
        <f ca="1">IF(Data!M383="","",IF(ISNUMBER(Data!O383),IF(AND(Data!O383&gt;(TODAY()-(Data_Val!$K$3*365.25)),Data!O383&lt;=(TODAY()-(Data_Val!$K$2*365.25))),0,1),1))</f>
        <v/>
      </c>
      <c r="V383" s="12" t="str">
        <f>IF(Data!G383="","",IF(Data!G383=Data_Val!$C$2,IF(Data!P383="",0,1),0))</f>
        <v/>
      </c>
      <c r="W383" s="12" t="str">
        <f>IF(Data!P383="","",IF(ISNUMBER(MATCH(Data!Q383,Data_Val!$A$2:$A$3,0)),0,1))</f>
        <v/>
      </c>
      <c r="X383" s="26" t="str">
        <f ca="1">IF(Data!P383="","",IF(ISNUMBER(Data!R383),IF(AND(Data!R383&gt;(TODAY()-(Data_Val!$L$3*365.25)),Data!R383&lt;=(TODAY()-(Data_Val!$L$2*365.25))),0,1),1))</f>
        <v/>
      </c>
      <c r="Y383" s="13" t="str">
        <f>IF(Data!$G383="","",IF(Data!$G383=Data_Val!$C$2,IF(Data!S383="",0,1),0))</f>
        <v/>
      </c>
      <c r="Z383" s="13" t="str">
        <f>IF(Data!S383="","",IF(ISNUMBER(MATCH(Data!T383,Data_Val!$A$2:$A$3,0)),0,1))</f>
        <v/>
      </c>
      <c r="AA383" s="28" t="str">
        <f ca="1">IF(Data!S383="","",IF(ISNUMBER(Data!U383),IF(AND(Data!U383&gt;(TODAY()-(Data_Val!$L$3*365.25)),Data!U383&lt;=(TODAY()-(Data_Val!$L$2*365.25))),0,1),1))</f>
        <v/>
      </c>
      <c r="AB383" s="11"/>
      <c r="AC383" s="11" t="e">
        <f>IF(Data!#REF!="","",IF(ISNUMBER(MATCH(Data!#REF!,Data_Val!$A$2:$A$3,0)),0,1))</f>
        <v>#REF!</v>
      </c>
      <c r="AD383" s="11" t="e">
        <f ca="1">IF(Data!#REF!="","",IF(ISNUMBER(Data!#REF!),IF(AND(Data!#REF!&gt;(TODAY()-(Data_Val!$L$3*365.25)),Data!#REF!&lt;=(TODAY()-(Data_Val!$L$2*365.25))),0,1),1))</f>
        <v>#REF!</v>
      </c>
      <c r="AE383" s="11" t="e">
        <f>IF(Data!#REF!="","",IF(Data!$G383="",1,IF(ISNUMBER(MATCH(Data!#REF!,Data_Val!$D$2:$D$10,0)),0,1)))</f>
        <v>#REF!</v>
      </c>
      <c r="AF383" s="12"/>
      <c r="AG383" s="12" t="e">
        <f>IF(Data!#REF!="","",IF(ISNUMBER(MATCH(Data!#REF!,Data_Val!$A$2:$A$3,0)),0,1))</f>
        <v>#REF!</v>
      </c>
      <c r="AH383" s="26" t="e">
        <f ca="1">IF(Data!#REF!="","",IF(ISNUMBER(Data!#REF!),IF(AND(Data!#REF!&gt;(TODAY()-(Data_Val!$L$3*365.25)),Data!#REF!&lt;=(TODAY()-(Data_Val!$L$2*365.25))),0,1),1))</f>
        <v>#REF!</v>
      </c>
      <c r="AI383" s="12" t="e">
        <f>IF(Data!#REF!="","",IF(Data!$G383="",1,IF(ISNUMBER(MATCH(Data!#REF!,Data_Val!$D$2:$D$10,0)),0,1)))</f>
        <v>#REF!</v>
      </c>
      <c r="AJ383" s="17"/>
      <c r="AK383" s="17" t="e">
        <f>IF(Data!#REF!="","",IF(ISNUMBER(MATCH(Data!#REF!,Data_Val!$A$2:$A$3,0)),0,1))</f>
        <v>#REF!</v>
      </c>
      <c r="AL383" s="25" t="e">
        <f ca="1">IF(Data!#REF!="","",IF(ISNUMBER(Data!#REF!),IF(AND(Data!#REF!&gt;(TODAY()-(Data_Val!$L$3*365.25)),Data!#REF!&lt;=(TODAY()-(Data_Val!$L$2*365.25))),0,1),1))</f>
        <v>#REF!</v>
      </c>
      <c r="AM383" s="17" t="e">
        <f>IF(Data!#REF!="","",IF(Data!$G383="",1,IF(ISNUMBER(MATCH(Data!#REF!,Data_Val!$D$2:$D$10,0)),0,1)))</f>
        <v>#REF!</v>
      </c>
      <c r="AN383" s="13"/>
      <c r="AO383" s="28" t="e">
        <f ca="1">IF(Data!#REF!="","",IF(ISNUMBER(Data!#REF!),IF(AND(Data!#REF!&gt;(TODAY()-(Data_Val!$I$3*365.25)),Data!#REF!&lt;=(TODAY()-(Data_Val!$I$2*365.25))),0,1),1))</f>
        <v>#REF!</v>
      </c>
      <c r="AP383" s="13" t="e">
        <f>IF(Data!#REF!="","",IF(Data!$G383="",1,IF(ISNUMBER(MATCH(Data!#REF!,Data_Val!$D$2:$D$10,0)),0,1)))</f>
        <v>#REF!</v>
      </c>
      <c r="AQ383" s="17"/>
      <c r="AR383" s="30" t="e">
        <f ca="1">IF(Data!#REF!="","",IF(ISNUMBER(Data!#REF!),IF(AND(Data!#REF!&gt;(TODAY()-(Data_Val!$I$3*365.25)),Data!#REF!&lt;=(TODAY()-(Data_Val!$I$2*365.25))),0,1),1))</f>
        <v>#REF!</v>
      </c>
      <c r="AS383" s="31" t="e">
        <f>IF(Data!#REF!="","",IF(Data!$G383="",1,IF(ISNUMBER(MATCH(Data!#REF!,Data_Val!$D$2:$D$10,0)),0,1)))</f>
        <v>#REF!</v>
      </c>
      <c r="AT383" s="11"/>
      <c r="AU383" s="11" t="e">
        <f ca="1">IF(Data!#REF!="","",IF(ISNUMBER(Data!#REF!),IF(AND(Data!#REF!&gt;(TODAY()-(Data_Val!$I$3*365.25)),Data!#REF!&lt;=(TODAY()-(Data_Val!$I$2*365.25))),0,1),1))</f>
        <v>#REF!</v>
      </c>
      <c r="AV383" s="11" t="e">
        <f>IF(Data!#REF!="","",IF(Data!$G383="",1,IF(ISNUMBER(MATCH(Data!#REF!,Data_Val!$D$2:$D$10,0)),0,1)))</f>
        <v>#REF!</v>
      </c>
      <c r="AW383" s="12"/>
      <c r="AX383" s="26" t="e">
        <f ca="1">IF(Data!#REF!="","",IF(ISNUMBER(Data!#REF!),IF(AND(Data!#REF!&gt;(TODAY()-(Data_Val!$I$3*365.25)),Data!#REF!&lt;=(TODAY()-(Data_Val!$I$2*365.25))),0,1),1))</f>
        <v>#REF!</v>
      </c>
      <c r="AY383" s="12" t="e">
        <f>IF(Data!#REF!="","",IF(Data!$G383="",1,IF(ISNUMBER(MATCH(Data!#REF!,Data_Val!$D$2:$D$10,0)),0,1)))</f>
        <v>#REF!</v>
      </c>
      <c r="AZ383" s="11"/>
      <c r="BA383" s="19" t="e">
        <f ca="1">IF(Data!#REF!="","",IF(ISNUMBER(Data!#REF!),IF(AND(Data!#REF!&gt;(TODAY()-(Data_Val!$M$3*365.25)),Data!#REF!&lt;=(TODAY()-(Data_Val!$M$2*365.25))),0,1),1))</f>
        <v>#REF!</v>
      </c>
      <c r="BB383" s="11" t="e">
        <f>IF(Data!#REF!="","",IF(Data!$G383="",1,IF(ISNUMBER(MATCH(Data!#REF!,Data_Val!$D$2:$D$10,0)),0,1)))</f>
        <v>#REF!</v>
      </c>
      <c r="BC383" s="12"/>
      <c r="BD383" s="20" t="e">
        <f ca="1">IF(Data!#REF!="","",IF(ISNUMBER(Data!#REF!),IF(AND(Data!#REF!&gt;(TODAY()-(Data_Val!$M$3*365.25)),Data!#REF!&lt;=(TODAY()-(Data_Val!$M$2*365.25))),0,1),1))</f>
        <v>#REF!</v>
      </c>
      <c r="BE383" s="12" t="e">
        <f>IF(Data!#REF!="","",IF(Data!$G383="",1,IF(ISNUMBER(MATCH(Data!#REF!,Data_Val!$D$2:$D$10,0)),0,1)))</f>
        <v>#REF!</v>
      </c>
      <c r="BF383" s="17"/>
      <c r="BG383" s="18" t="e">
        <f ca="1">IF(Data!#REF!="","",IF(ISNUMBER(Data!#REF!),IF(AND(Data!#REF!&gt;(TODAY()-(Data_Val!$M$3*365.25)),Data!#REF!&lt;=(TODAY()-(Data_Val!$M$2*365.25))),0,1),1))</f>
        <v>#REF!</v>
      </c>
      <c r="BH383" s="29" t="e">
        <f>IF(Data!#REF!="","",IF(Data!$G383="",1,IF(ISNUMBER(MATCH(Data!#REF!,Data_Val!$D$2:$D$10,0)),0,1)))</f>
        <v>#REF!</v>
      </c>
      <c r="BI383" s="13"/>
      <c r="BJ383" s="21" t="e">
        <f ca="1">IF(Data!#REF!="","",IF(ISNUMBER(Data!#REF!),IF(AND(Data!#REF!&gt;(TODAY()-(Data_Val!$M$3*365.25)),Data!#REF!&lt;=(TODAY()-(Data_Val!$M$2*365.25))),0,1),1))</f>
        <v>#REF!</v>
      </c>
      <c r="BK383" s="13" t="e">
        <f>IF(Data!#REF!="","",IF(Data!$G383="",1,IF(ISNUMBER(MATCH(Data!#REF!,Data_Val!$D$2:$D$10,0)),0,1)))</f>
        <v>#REF!</v>
      </c>
    </row>
    <row r="384" spans="1:63" x14ac:dyDescent="0.25">
      <c r="A384" s="9" t="str">
        <f>IF(Data!B384="","",IF(COUNTIFS(Data!A$1:'Data'!A384,Data!A384)&lt;=1,0,1))</f>
        <v/>
      </c>
      <c r="B384" s="9"/>
      <c r="C384" s="23" t="str">
        <f>IF(Data!C384="","",(IF(ISNUMBER(MATCH("*@*.?*",Data!C384,0)),0,1)+IF(COUNTIFS(Data!C$1:'Data'!C384,Data!C384)&gt;1,1,0)))</f>
        <v/>
      </c>
      <c r="D384" s="9" t="str">
        <f>IF(Data!B384="","",IF(ISNUMBER(Data!D384),IF(AND(Data!D384&gt;999999999,Data!D384&lt;=9999999999),IF(COUNTIFS(Data!D$1:'Data'!D384,Data!D384)&lt;=1,0,1),1),1))</f>
        <v/>
      </c>
      <c r="E384" s="9" t="str">
        <f>IF(Data!B384="","",IF(ISNUMBER(MATCH(Data!E384,Data_Val!$A$2:$A$3,0)),0,1))</f>
        <v/>
      </c>
      <c r="F384" s="9" t="str">
        <f ca="1">IF(Data!B384="","",IF(ISNUMBER(Data!F384),IF(AND(Data!F384&gt;(TODAY()-(Data_Val!$H$3*365.25)),Data!F384&lt;=(TODAY()-(Data_Val!$H$2*365.25))),0,1),1))</f>
        <v/>
      </c>
      <c r="G384" s="15" t="str">
        <f>IF(Data!B384="","",IF(AND(Data!G384="",Data!H384&lt;&gt;""),1,IF(Data!#REF!&lt;&gt;"",0,IF(ISNUMBER(MATCH(Data!G384,Data_Val!$C$2:$C$5,0)),0,1))))</f>
        <v/>
      </c>
      <c r="H384" s="15" t="str">
        <f>IF(Data!B384="","",IF(AND(Data!G384&lt;&gt;"",Data!H384=""),1,IF(Data!#REF!&lt;&gt;"",0,IF(Data!G384="",1,IF(ISNUMBER(MATCH(Data!H384,Data_Val!$D$2:$D$35,0)),0,1)))))</f>
        <v/>
      </c>
      <c r="I384" s="15" t="str">
        <f>IF(Data!B384="","",IF(Data!G384&lt;&gt;"",0,IF(ISNUMBER(MATCH(Data!#REF!,Data_Val!$E$2:$E$12,0)),0,1)))</f>
        <v/>
      </c>
      <c r="J384" s="16" t="e">
        <f>IF(OR(Data!B384="",Data!#REF!=""),"",IF(Data!#REF!="",1,0))</f>
        <v>#REF!</v>
      </c>
      <c r="K384" s="16" t="e">
        <f>IF(OR(Data!B384="",Data!#REF!=""),"",IF(Data!#REF!="",1,0))</f>
        <v>#REF!</v>
      </c>
      <c r="L384" s="16" t="e">
        <f>IF(OR(Data!B384="",Data!#REF!=""),"",IF(ISNUMBER(Data!#REF!),IF(AND(Data!#REF!&gt;Data_Val!$G$2,Data!#REF!&lt;=Data_Val!$G$3),0,1),1))</f>
        <v>#REF!</v>
      </c>
      <c r="M384" s="9" t="e">
        <f>IF(OR(Data!B384="",Data!#REF!=""),"",IF(ISNUMBER(MATCH(Data!#REF!,Data_Val!$F$1:$F$38,0)),0,1))</f>
        <v>#REF!</v>
      </c>
      <c r="N384" s="9" t="e">
        <f>IF(OR(Data!B384="",Data!#REF!=""),"",IF(Data!#REF!="",1,0))</f>
        <v>#REF!</v>
      </c>
      <c r="O384" s="17" t="e">
        <f>IF(Data!#REF!="","",IF(Data!#REF!="",1,0))</f>
        <v>#REF!</v>
      </c>
      <c r="P384" s="17" t="e">
        <f>IF(Data!#REF!="","",IF(ISNUMBER(MATCH(Data!#REF!,Data_Val!$A$2:$A$3,0)),0,1))</f>
        <v>#REF!</v>
      </c>
      <c r="Q384" s="25" t="e">
        <f ca="1">IF(Data!#REF!="","",IF(ISNUMBER(Data!#REF!),IF(AND(Data!#REF!&gt;(TODAY()-(Data_Val!$J$3*365.25)),Data!#REF!&lt;=(TODAY()-(Data_Val!$J$2*365.25))),0,1),1))</f>
        <v>#REF!</v>
      </c>
      <c r="R384" s="17" t="e">
        <f>IF(Data!#REF!="","",IF(ISNUMBER(MATCH(Data!#REF!,Data_Val!$B$2:$B$15,0)),0,1))</f>
        <v>#REF!</v>
      </c>
      <c r="S384" s="11" t="str">
        <f>IF(Data!G384="","",IF(Data!G384=Data_Val!$C$2,IF(Data!M384="",0,1),0))</f>
        <v/>
      </c>
      <c r="T384" s="11" t="str">
        <f>IF(Data!M384="","",IF(ISNUMBER(MATCH(Data!N384,Data_Val!$A$2:$A$3,0)),0,1))</f>
        <v/>
      </c>
      <c r="U384" s="11" t="str">
        <f ca="1">IF(Data!M384="","",IF(ISNUMBER(Data!O384),IF(AND(Data!O384&gt;(TODAY()-(Data_Val!$K$3*365.25)),Data!O384&lt;=(TODAY()-(Data_Val!$K$2*365.25))),0,1),1))</f>
        <v/>
      </c>
      <c r="V384" s="12" t="str">
        <f>IF(Data!G384="","",IF(Data!G384=Data_Val!$C$2,IF(Data!P384="",0,1),0))</f>
        <v/>
      </c>
      <c r="W384" s="12" t="str">
        <f>IF(Data!P384="","",IF(ISNUMBER(MATCH(Data!Q384,Data_Val!$A$2:$A$3,0)),0,1))</f>
        <v/>
      </c>
      <c r="X384" s="26" t="str">
        <f ca="1">IF(Data!P384="","",IF(ISNUMBER(Data!R384),IF(AND(Data!R384&gt;(TODAY()-(Data_Val!$L$3*365.25)),Data!R384&lt;=(TODAY()-(Data_Val!$L$2*365.25))),0,1),1))</f>
        <v/>
      </c>
      <c r="Y384" s="13" t="str">
        <f>IF(Data!$G384="","",IF(Data!$G384=Data_Val!$C$2,IF(Data!S384="",0,1),0))</f>
        <v/>
      </c>
      <c r="Z384" s="13" t="str">
        <f>IF(Data!S384="","",IF(ISNUMBER(MATCH(Data!T384,Data_Val!$A$2:$A$3,0)),0,1))</f>
        <v/>
      </c>
      <c r="AA384" s="28" t="str">
        <f ca="1">IF(Data!S384="","",IF(ISNUMBER(Data!U384),IF(AND(Data!U384&gt;(TODAY()-(Data_Val!$L$3*365.25)),Data!U384&lt;=(TODAY()-(Data_Val!$L$2*365.25))),0,1),1))</f>
        <v/>
      </c>
      <c r="AB384" s="11"/>
      <c r="AC384" s="11" t="e">
        <f>IF(Data!#REF!="","",IF(ISNUMBER(MATCH(Data!#REF!,Data_Val!$A$2:$A$3,0)),0,1))</f>
        <v>#REF!</v>
      </c>
      <c r="AD384" s="11" t="e">
        <f ca="1">IF(Data!#REF!="","",IF(ISNUMBER(Data!#REF!),IF(AND(Data!#REF!&gt;(TODAY()-(Data_Val!$L$3*365.25)),Data!#REF!&lt;=(TODAY()-(Data_Val!$L$2*365.25))),0,1),1))</f>
        <v>#REF!</v>
      </c>
      <c r="AE384" s="11" t="e">
        <f>IF(Data!#REF!="","",IF(Data!$G384="",1,IF(ISNUMBER(MATCH(Data!#REF!,Data_Val!$D$2:$D$10,0)),0,1)))</f>
        <v>#REF!</v>
      </c>
      <c r="AF384" s="12"/>
      <c r="AG384" s="12" t="e">
        <f>IF(Data!#REF!="","",IF(ISNUMBER(MATCH(Data!#REF!,Data_Val!$A$2:$A$3,0)),0,1))</f>
        <v>#REF!</v>
      </c>
      <c r="AH384" s="26" t="e">
        <f ca="1">IF(Data!#REF!="","",IF(ISNUMBER(Data!#REF!),IF(AND(Data!#REF!&gt;(TODAY()-(Data_Val!$L$3*365.25)),Data!#REF!&lt;=(TODAY()-(Data_Val!$L$2*365.25))),0,1),1))</f>
        <v>#REF!</v>
      </c>
      <c r="AI384" s="12" t="e">
        <f>IF(Data!#REF!="","",IF(Data!$G384="",1,IF(ISNUMBER(MATCH(Data!#REF!,Data_Val!$D$2:$D$10,0)),0,1)))</f>
        <v>#REF!</v>
      </c>
      <c r="AJ384" s="17"/>
      <c r="AK384" s="17" t="e">
        <f>IF(Data!#REF!="","",IF(ISNUMBER(MATCH(Data!#REF!,Data_Val!$A$2:$A$3,0)),0,1))</f>
        <v>#REF!</v>
      </c>
      <c r="AL384" s="25" t="e">
        <f ca="1">IF(Data!#REF!="","",IF(ISNUMBER(Data!#REF!),IF(AND(Data!#REF!&gt;(TODAY()-(Data_Val!$L$3*365.25)),Data!#REF!&lt;=(TODAY()-(Data_Val!$L$2*365.25))),0,1),1))</f>
        <v>#REF!</v>
      </c>
      <c r="AM384" s="17" t="e">
        <f>IF(Data!#REF!="","",IF(Data!$G384="",1,IF(ISNUMBER(MATCH(Data!#REF!,Data_Val!$D$2:$D$10,0)),0,1)))</f>
        <v>#REF!</v>
      </c>
      <c r="AN384" s="13"/>
      <c r="AO384" s="28" t="e">
        <f ca="1">IF(Data!#REF!="","",IF(ISNUMBER(Data!#REF!),IF(AND(Data!#REF!&gt;(TODAY()-(Data_Val!$I$3*365.25)),Data!#REF!&lt;=(TODAY()-(Data_Val!$I$2*365.25))),0,1),1))</f>
        <v>#REF!</v>
      </c>
      <c r="AP384" s="13" t="e">
        <f>IF(Data!#REF!="","",IF(Data!$G384="",1,IF(ISNUMBER(MATCH(Data!#REF!,Data_Val!$D$2:$D$10,0)),0,1)))</f>
        <v>#REF!</v>
      </c>
      <c r="AQ384" s="17"/>
      <c r="AR384" s="30" t="e">
        <f ca="1">IF(Data!#REF!="","",IF(ISNUMBER(Data!#REF!),IF(AND(Data!#REF!&gt;(TODAY()-(Data_Val!$I$3*365.25)),Data!#REF!&lt;=(TODAY()-(Data_Val!$I$2*365.25))),0,1),1))</f>
        <v>#REF!</v>
      </c>
      <c r="AS384" s="31" t="e">
        <f>IF(Data!#REF!="","",IF(Data!$G384="",1,IF(ISNUMBER(MATCH(Data!#REF!,Data_Val!$D$2:$D$10,0)),0,1)))</f>
        <v>#REF!</v>
      </c>
      <c r="AT384" s="11"/>
      <c r="AU384" s="11" t="e">
        <f ca="1">IF(Data!#REF!="","",IF(ISNUMBER(Data!#REF!),IF(AND(Data!#REF!&gt;(TODAY()-(Data_Val!$I$3*365.25)),Data!#REF!&lt;=(TODAY()-(Data_Val!$I$2*365.25))),0,1),1))</f>
        <v>#REF!</v>
      </c>
      <c r="AV384" s="11" t="e">
        <f>IF(Data!#REF!="","",IF(Data!$G384="",1,IF(ISNUMBER(MATCH(Data!#REF!,Data_Val!$D$2:$D$10,0)),0,1)))</f>
        <v>#REF!</v>
      </c>
      <c r="AW384" s="12"/>
      <c r="AX384" s="26" t="e">
        <f ca="1">IF(Data!#REF!="","",IF(ISNUMBER(Data!#REF!),IF(AND(Data!#REF!&gt;(TODAY()-(Data_Val!$I$3*365.25)),Data!#REF!&lt;=(TODAY()-(Data_Val!$I$2*365.25))),0,1),1))</f>
        <v>#REF!</v>
      </c>
      <c r="AY384" s="12" t="e">
        <f>IF(Data!#REF!="","",IF(Data!$G384="",1,IF(ISNUMBER(MATCH(Data!#REF!,Data_Val!$D$2:$D$10,0)),0,1)))</f>
        <v>#REF!</v>
      </c>
      <c r="AZ384" s="11"/>
      <c r="BA384" s="19" t="e">
        <f ca="1">IF(Data!#REF!="","",IF(ISNUMBER(Data!#REF!),IF(AND(Data!#REF!&gt;(TODAY()-(Data_Val!$M$3*365.25)),Data!#REF!&lt;=(TODAY()-(Data_Val!$M$2*365.25))),0,1),1))</f>
        <v>#REF!</v>
      </c>
      <c r="BB384" s="11" t="e">
        <f>IF(Data!#REF!="","",IF(Data!$G384="",1,IF(ISNUMBER(MATCH(Data!#REF!,Data_Val!$D$2:$D$10,0)),0,1)))</f>
        <v>#REF!</v>
      </c>
      <c r="BC384" s="12"/>
      <c r="BD384" s="20" t="e">
        <f ca="1">IF(Data!#REF!="","",IF(ISNUMBER(Data!#REF!),IF(AND(Data!#REF!&gt;(TODAY()-(Data_Val!$M$3*365.25)),Data!#REF!&lt;=(TODAY()-(Data_Val!$M$2*365.25))),0,1),1))</f>
        <v>#REF!</v>
      </c>
      <c r="BE384" s="12" t="e">
        <f>IF(Data!#REF!="","",IF(Data!$G384="",1,IF(ISNUMBER(MATCH(Data!#REF!,Data_Val!$D$2:$D$10,0)),0,1)))</f>
        <v>#REF!</v>
      </c>
      <c r="BF384" s="17"/>
      <c r="BG384" s="18" t="e">
        <f ca="1">IF(Data!#REF!="","",IF(ISNUMBER(Data!#REF!),IF(AND(Data!#REF!&gt;(TODAY()-(Data_Val!$M$3*365.25)),Data!#REF!&lt;=(TODAY()-(Data_Val!$M$2*365.25))),0,1),1))</f>
        <v>#REF!</v>
      </c>
      <c r="BH384" s="29" t="e">
        <f>IF(Data!#REF!="","",IF(Data!$G384="",1,IF(ISNUMBER(MATCH(Data!#REF!,Data_Val!$D$2:$D$10,0)),0,1)))</f>
        <v>#REF!</v>
      </c>
      <c r="BI384" s="13"/>
      <c r="BJ384" s="21" t="e">
        <f ca="1">IF(Data!#REF!="","",IF(ISNUMBER(Data!#REF!),IF(AND(Data!#REF!&gt;(TODAY()-(Data_Val!$M$3*365.25)),Data!#REF!&lt;=(TODAY()-(Data_Val!$M$2*365.25))),0,1),1))</f>
        <v>#REF!</v>
      </c>
      <c r="BK384" s="13" t="e">
        <f>IF(Data!#REF!="","",IF(Data!$G384="",1,IF(ISNUMBER(MATCH(Data!#REF!,Data_Val!$D$2:$D$10,0)),0,1)))</f>
        <v>#REF!</v>
      </c>
    </row>
    <row r="385" spans="1:63" x14ac:dyDescent="0.25">
      <c r="A385" s="9" t="str">
        <f>IF(Data!B385="","",IF(COUNTIFS(Data!A$1:'Data'!A385,Data!A385)&lt;=1,0,1))</f>
        <v/>
      </c>
      <c r="B385" s="9"/>
      <c r="C385" s="23" t="str">
        <f>IF(Data!C385="","",(IF(ISNUMBER(MATCH("*@*.?*",Data!C385,0)),0,1)+IF(COUNTIFS(Data!C$1:'Data'!C385,Data!C385)&gt;1,1,0)))</f>
        <v/>
      </c>
      <c r="D385" s="9" t="str">
        <f>IF(Data!B385="","",IF(ISNUMBER(Data!D385),IF(AND(Data!D385&gt;999999999,Data!D385&lt;=9999999999),IF(COUNTIFS(Data!D$1:'Data'!D385,Data!D385)&lt;=1,0,1),1),1))</f>
        <v/>
      </c>
      <c r="E385" s="9" t="str">
        <f>IF(Data!B385="","",IF(ISNUMBER(MATCH(Data!E385,Data_Val!$A$2:$A$3,0)),0,1))</f>
        <v/>
      </c>
      <c r="F385" s="9" t="str">
        <f ca="1">IF(Data!B385="","",IF(ISNUMBER(Data!F385),IF(AND(Data!F385&gt;(TODAY()-(Data_Val!$H$3*365.25)),Data!F385&lt;=(TODAY()-(Data_Val!$H$2*365.25))),0,1),1))</f>
        <v/>
      </c>
      <c r="G385" s="15" t="str">
        <f>IF(Data!B385="","",IF(AND(Data!G385="",Data!H385&lt;&gt;""),1,IF(Data!#REF!&lt;&gt;"",0,IF(ISNUMBER(MATCH(Data!G385,Data_Val!$C$2:$C$5,0)),0,1))))</f>
        <v/>
      </c>
      <c r="H385" s="15" t="str">
        <f>IF(Data!B385="","",IF(AND(Data!G385&lt;&gt;"",Data!H385=""),1,IF(Data!#REF!&lt;&gt;"",0,IF(Data!G385="",1,IF(ISNUMBER(MATCH(Data!H385,Data_Val!$D$2:$D$35,0)),0,1)))))</f>
        <v/>
      </c>
      <c r="I385" s="15" t="str">
        <f>IF(Data!B385="","",IF(Data!G385&lt;&gt;"",0,IF(ISNUMBER(MATCH(Data!#REF!,Data_Val!$E$2:$E$12,0)),0,1)))</f>
        <v/>
      </c>
      <c r="J385" s="16" t="e">
        <f>IF(OR(Data!B385="",Data!#REF!=""),"",IF(Data!#REF!="",1,0))</f>
        <v>#REF!</v>
      </c>
      <c r="K385" s="16" t="e">
        <f>IF(OR(Data!B385="",Data!#REF!=""),"",IF(Data!#REF!="",1,0))</f>
        <v>#REF!</v>
      </c>
      <c r="L385" s="16" t="e">
        <f>IF(OR(Data!B385="",Data!#REF!=""),"",IF(ISNUMBER(Data!#REF!),IF(AND(Data!#REF!&gt;Data_Val!$G$2,Data!#REF!&lt;=Data_Val!$G$3),0,1),1))</f>
        <v>#REF!</v>
      </c>
      <c r="M385" s="9" t="e">
        <f>IF(OR(Data!B385="",Data!#REF!=""),"",IF(ISNUMBER(MATCH(Data!#REF!,Data_Val!$F$1:$F$38,0)),0,1))</f>
        <v>#REF!</v>
      </c>
      <c r="N385" s="9" t="e">
        <f>IF(OR(Data!B385="",Data!#REF!=""),"",IF(Data!#REF!="",1,0))</f>
        <v>#REF!</v>
      </c>
      <c r="O385" s="17" t="e">
        <f>IF(Data!#REF!="","",IF(Data!#REF!="",1,0))</f>
        <v>#REF!</v>
      </c>
      <c r="P385" s="17" t="e">
        <f>IF(Data!#REF!="","",IF(ISNUMBER(MATCH(Data!#REF!,Data_Val!$A$2:$A$3,0)),0,1))</f>
        <v>#REF!</v>
      </c>
      <c r="Q385" s="25" t="e">
        <f ca="1">IF(Data!#REF!="","",IF(ISNUMBER(Data!#REF!),IF(AND(Data!#REF!&gt;(TODAY()-(Data_Val!$J$3*365.25)),Data!#REF!&lt;=(TODAY()-(Data_Val!$J$2*365.25))),0,1),1))</f>
        <v>#REF!</v>
      </c>
      <c r="R385" s="17" t="e">
        <f>IF(Data!#REF!="","",IF(ISNUMBER(MATCH(Data!#REF!,Data_Val!$B$2:$B$15,0)),0,1))</f>
        <v>#REF!</v>
      </c>
      <c r="S385" s="11" t="str">
        <f>IF(Data!G385="","",IF(Data!G385=Data_Val!$C$2,IF(Data!M385="",0,1),0))</f>
        <v/>
      </c>
      <c r="T385" s="11" t="str">
        <f>IF(Data!M385="","",IF(ISNUMBER(MATCH(Data!N385,Data_Val!$A$2:$A$3,0)),0,1))</f>
        <v/>
      </c>
      <c r="U385" s="11" t="str">
        <f ca="1">IF(Data!M385="","",IF(ISNUMBER(Data!O385),IF(AND(Data!O385&gt;(TODAY()-(Data_Val!$K$3*365.25)),Data!O385&lt;=(TODAY()-(Data_Val!$K$2*365.25))),0,1),1))</f>
        <v/>
      </c>
      <c r="V385" s="12" t="str">
        <f>IF(Data!G385="","",IF(Data!G385=Data_Val!$C$2,IF(Data!P385="",0,1),0))</f>
        <v/>
      </c>
      <c r="W385" s="12" t="str">
        <f>IF(Data!P385="","",IF(ISNUMBER(MATCH(Data!Q385,Data_Val!$A$2:$A$3,0)),0,1))</f>
        <v/>
      </c>
      <c r="X385" s="26" t="str">
        <f ca="1">IF(Data!P385="","",IF(ISNUMBER(Data!R385),IF(AND(Data!R385&gt;(TODAY()-(Data_Val!$L$3*365.25)),Data!R385&lt;=(TODAY()-(Data_Val!$L$2*365.25))),0,1),1))</f>
        <v/>
      </c>
      <c r="Y385" s="13" t="str">
        <f>IF(Data!$G385="","",IF(Data!$G385=Data_Val!$C$2,IF(Data!S385="",0,1),0))</f>
        <v/>
      </c>
      <c r="Z385" s="13" t="str">
        <f>IF(Data!S385="","",IF(ISNUMBER(MATCH(Data!T385,Data_Val!$A$2:$A$3,0)),0,1))</f>
        <v/>
      </c>
      <c r="AA385" s="28" t="str">
        <f ca="1">IF(Data!S385="","",IF(ISNUMBER(Data!U385),IF(AND(Data!U385&gt;(TODAY()-(Data_Val!$L$3*365.25)),Data!U385&lt;=(TODAY()-(Data_Val!$L$2*365.25))),0,1),1))</f>
        <v/>
      </c>
      <c r="AB385" s="11"/>
      <c r="AC385" s="11" t="e">
        <f>IF(Data!#REF!="","",IF(ISNUMBER(MATCH(Data!#REF!,Data_Val!$A$2:$A$3,0)),0,1))</f>
        <v>#REF!</v>
      </c>
      <c r="AD385" s="11" t="e">
        <f ca="1">IF(Data!#REF!="","",IF(ISNUMBER(Data!#REF!),IF(AND(Data!#REF!&gt;(TODAY()-(Data_Val!$L$3*365.25)),Data!#REF!&lt;=(TODAY()-(Data_Val!$L$2*365.25))),0,1),1))</f>
        <v>#REF!</v>
      </c>
      <c r="AE385" s="11" t="e">
        <f>IF(Data!#REF!="","",IF(Data!$G385="",1,IF(ISNUMBER(MATCH(Data!#REF!,Data_Val!$D$2:$D$10,0)),0,1)))</f>
        <v>#REF!</v>
      </c>
      <c r="AF385" s="12"/>
      <c r="AG385" s="12" t="e">
        <f>IF(Data!#REF!="","",IF(ISNUMBER(MATCH(Data!#REF!,Data_Val!$A$2:$A$3,0)),0,1))</f>
        <v>#REF!</v>
      </c>
      <c r="AH385" s="26" t="e">
        <f ca="1">IF(Data!#REF!="","",IF(ISNUMBER(Data!#REF!),IF(AND(Data!#REF!&gt;(TODAY()-(Data_Val!$L$3*365.25)),Data!#REF!&lt;=(TODAY()-(Data_Val!$L$2*365.25))),0,1),1))</f>
        <v>#REF!</v>
      </c>
      <c r="AI385" s="12" t="e">
        <f>IF(Data!#REF!="","",IF(Data!$G385="",1,IF(ISNUMBER(MATCH(Data!#REF!,Data_Val!$D$2:$D$10,0)),0,1)))</f>
        <v>#REF!</v>
      </c>
      <c r="AJ385" s="17"/>
      <c r="AK385" s="17" t="e">
        <f>IF(Data!#REF!="","",IF(ISNUMBER(MATCH(Data!#REF!,Data_Val!$A$2:$A$3,0)),0,1))</f>
        <v>#REF!</v>
      </c>
      <c r="AL385" s="25" t="e">
        <f ca="1">IF(Data!#REF!="","",IF(ISNUMBER(Data!#REF!),IF(AND(Data!#REF!&gt;(TODAY()-(Data_Val!$L$3*365.25)),Data!#REF!&lt;=(TODAY()-(Data_Val!$L$2*365.25))),0,1),1))</f>
        <v>#REF!</v>
      </c>
      <c r="AM385" s="17" t="e">
        <f>IF(Data!#REF!="","",IF(Data!$G385="",1,IF(ISNUMBER(MATCH(Data!#REF!,Data_Val!$D$2:$D$10,0)),0,1)))</f>
        <v>#REF!</v>
      </c>
      <c r="AN385" s="13"/>
      <c r="AO385" s="28" t="e">
        <f ca="1">IF(Data!#REF!="","",IF(ISNUMBER(Data!#REF!),IF(AND(Data!#REF!&gt;(TODAY()-(Data_Val!$I$3*365.25)),Data!#REF!&lt;=(TODAY()-(Data_Val!$I$2*365.25))),0,1),1))</f>
        <v>#REF!</v>
      </c>
      <c r="AP385" s="13" t="e">
        <f>IF(Data!#REF!="","",IF(Data!$G385="",1,IF(ISNUMBER(MATCH(Data!#REF!,Data_Val!$D$2:$D$10,0)),0,1)))</f>
        <v>#REF!</v>
      </c>
      <c r="AQ385" s="17"/>
      <c r="AR385" s="30" t="e">
        <f ca="1">IF(Data!#REF!="","",IF(ISNUMBER(Data!#REF!),IF(AND(Data!#REF!&gt;(TODAY()-(Data_Val!$I$3*365.25)),Data!#REF!&lt;=(TODAY()-(Data_Val!$I$2*365.25))),0,1),1))</f>
        <v>#REF!</v>
      </c>
      <c r="AS385" s="31" t="e">
        <f>IF(Data!#REF!="","",IF(Data!$G385="",1,IF(ISNUMBER(MATCH(Data!#REF!,Data_Val!$D$2:$D$10,0)),0,1)))</f>
        <v>#REF!</v>
      </c>
      <c r="AT385" s="11"/>
      <c r="AU385" s="11" t="e">
        <f ca="1">IF(Data!#REF!="","",IF(ISNUMBER(Data!#REF!),IF(AND(Data!#REF!&gt;(TODAY()-(Data_Val!$I$3*365.25)),Data!#REF!&lt;=(TODAY()-(Data_Val!$I$2*365.25))),0,1),1))</f>
        <v>#REF!</v>
      </c>
      <c r="AV385" s="11" t="e">
        <f>IF(Data!#REF!="","",IF(Data!$G385="",1,IF(ISNUMBER(MATCH(Data!#REF!,Data_Val!$D$2:$D$10,0)),0,1)))</f>
        <v>#REF!</v>
      </c>
      <c r="AW385" s="12"/>
      <c r="AX385" s="26" t="e">
        <f ca="1">IF(Data!#REF!="","",IF(ISNUMBER(Data!#REF!),IF(AND(Data!#REF!&gt;(TODAY()-(Data_Val!$I$3*365.25)),Data!#REF!&lt;=(TODAY()-(Data_Val!$I$2*365.25))),0,1),1))</f>
        <v>#REF!</v>
      </c>
      <c r="AY385" s="12" t="e">
        <f>IF(Data!#REF!="","",IF(Data!$G385="",1,IF(ISNUMBER(MATCH(Data!#REF!,Data_Val!$D$2:$D$10,0)),0,1)))</f>
        <v>#REF!</v>
      </c>
      <c r="AZ385" s="11"/>
      <c r="BA385" s="19" t="e">
        <f ca="1">IF(Data!#REF!="","",IF(ISNUMBER(Data!#REF!),IF(AND(Data!#REF!&gt;(TODAY()-(Data_Val!$M$3*365.25)),Data!#REF!&lt;=(TODAY()-(Data_Val!$M$2*365.25))),0,1),1))</f>
        <v>#REF!</v>
      </c>
      <c r="BB385" s="11" t="e">
        <f>IF(Data!#REF!="","",IF(Data!$G385="",1,IF(ISNUMBER(MATCH(Data!#REF!,Data_Val!$D$2:$D$10,0)),0,1)))</f>
        <v>#REF!</v>
      </c>
      <c r="BC385" s="12"/>
      <c r="BD385" s="20" t="e">
        <f ca="1">IF(Data!#REF!="","",IF(ISNUMBER(Data!#REF!),IF(AND(Data!#REF!&gt;(TODAY()-(Data_Val!$M$3*365.25)),Data!#REF!&lt;=(TODAY()-(Data_Val!$M$2*365.25))),0,1),1))</f>
        <v>#REF!</v>
      </c>
      <c r="BE385" s="12" t="e">
        <f>IF(Data!#REF!="","",IF(Data!$G385="",1,IF(ISNUMBER(MATCH(Data!#REF!,Data_Val!$D$2:$D$10,0)),0,1)))</f>
        <v>#REF!</v>
      </c>
      <c r="BF385" s="17"/>
      <c r="BG385" s="18" t="e">
        <f ca="1">IF(Data!#REF!="","",IF(ISNUMBER(Data!#REF!),IF(AND(Data!#REF!&gt;(TODAY()-(Data_Val!$M$3*365.25)),Data!#REF!&lt;=(TODAY()-(Data_Val!$M$2*365.25))),0,1),1))</f>
        <v>#REF!</v>
      </c>
      <c r="BH385" s="29" t="e">
        <f>IF(Data!#REF!="","",IF(Data!$G385="",1,IF(ISNUMBER(MATCH(Data!#REF!,Data_Val!$D$2:$D$10,0)),0,1)))</f>
        <v>#REF!</v>
      </c>
      <c r="BI385" s="13"/>
      <c r="BJ385" s="21" t="e">
        <f ca="1">IF(Data!#REF!="","",IF(ISNUMBER(Data!#REF!),IF(AND(Data!#REF!&gt;(TODAY()-(Data_Val!$M$3*365.25)),Data!#REF!&lt;=(TODAY()-(Data_Val!$M$2*365.25))),0,1),1))</f>
        <v>#REF!</v>
      </c>
      <c r="BK385" s="13" t="e">
        <f>IF(Data!#REF!="","",IF(Data!$G385="",1,IF(ISNUMBER(MATCH(Data!#REF!,Data_Val!$D$2:$D$10,0)),0,1)))</f>
        <v>#REF!</v>
      </c>
    </row>
    <row r="386" spans="1:63" x14ac:dyDescent="0.25">
      <c r="A386" s="9" t="str">
        <f>IF(Data!B386="","",IF(COUNTIFS(Data!A$1:'Data'!A386,Data!A386)&lt;=1,0,1))</f>
        <v/>
      </c>
      <c r="B386" s="9"/>
      <c r="C386" s="23" t="str">
        <f>IF(Data!C386="","",(IF(ISNUMBER(MATCH("*@*.?*",Data!C386,0)),0,1)+IF(COUNTIFS(Data!C$1:'Data'!C386,Data!C386)&gt;1,1,0)))</f>
        <v/>
      </c>
      <c r="D386" s="9" t="str">
        <f>IF(Data!B386="","",IF(ISNUMBER(Data!D386),IF(AND(Data!D386&gt;999999999,Data!D386&lt;=9999999999),IF(COUNTIFS(Data!D$1:'Data'!D386,Data!D386)&lt;=1,0,1),1),1))</f>
        <v/>
      </c>
      <c r="E386" s="9" t="str">
        <f>IF(Data!B386="","",IF(ISNUMBER(MATCH(Data!E386,Data_Val!$A$2:$A$3,0)),0,1))</f>
        <v/>
      </c>
      <c r="F386" s="9" t="str">
        <f ca="1">IF(Data!B386="","",IF(ISNUMBER(Data!F386),IF(AND(Data!F386&gt;(TODAY()-(Data_Val!$H$3*365.25)),Data!F386&lt;=(TODAY()-(Data_Val!$H$2*365.25))),0,1),1))</f>
        <v/>
      </c>
      <c r="G386" s="15" t="str">
        <f>IF(Data!B386="","",IF(AND(Data!G386="",Data!H386&lt;&gt;""),1,IF(Data!#REF!&lt;&gt;"",0,IF(ISNUMBER(MATCH(Data!G386,Data_Val!$C$2:$C$5,0)),0,1))))</f>
        <v/>
      </c>
      <c r="H386" s="15" t="str">
        <f>IF(Data!B386="","",IF(AND(Data!G386&lt;&gt;"",Data!H386=""),1,IF(Data!#REF!&lt;&gt;"",0,IF(Data!G386="",1,IF(ISNUMBER(MATCH(Data!H386,Data_Val!$D$2:$D$35,0)),0,1)))))</f>
        <v/>
      </c>
      <c r="I386" s="15" t="str">
        <f>IF(Data!B386="","",IF(Data!G386&lt;&gt;"",0,IF(ISNUMBER(MATCH(Data!#REF!,Data_Val!$E$2:$E$12,0)),0,1)))</f>
        <v/>
      </c>
      <c r="J386" s="16" t="e">
        <f>IF(OR(Data!B386="",Data!#REF!=""),"",IF(Data!#REF!="",1,0))</f>
        <v>#REF!</v>
      </c>
      <c r="K386" s="16" t="e">
        <f>IF(OR(Data!B386="",Data!#REF!=""),"",IF(Data!#REF!="",1,0))</f>
        <v>#REF!</v>
      </c>
      <c r="L386" s="16" t="e">
        <f>IF(OR(Data!B386="",Data!#REF!=""),"",IF(ISNUMBER(Data!#REF!),IF(AND(Data!#REF!&gt;Data_Val!$G$2,Data!#REF!&lt;=Data_Val!$G$3),0,1),1))</f>
        <v>#REF!</v>
      </c>
      <c r="M386" s="9" t="e">
        <f>IF(OR(Data!B386="",Data!#REF!=""),"",IF(ISNUMBER(MATCH(Data!#REF!,Data_Val!$F$1:$F$38,0)),0,1))</f>
        <v>#REF!</v>
      </c>
      <c r="N386" s="9" t="e">
        <f>IF(OR(Data!B386="",Data!#REF!=""),"",IF(Data!#REF!="",1,0))</f>
        <v>#REF!</v>
      </c>
      <c r="O386" s="17" t="e">
        <f>IF(Data!#REF!="","",IF(Data!#REF!="",1,0))</f>
        <v>#REF!</v>
      </c>
      <c r="P386" s="17" t="e">
        <f>IF(Data!#REF!="","",IF(ISNUMBER(MATCH(Data!#REF!,Data_Val!$A$2:$A$3,0)),0,1))</f>
        <v>#REF!</v>
      </c>
      <c r="Q386" s="25" t="e">
        <f ca="1">IF(Data!#REF!="","",IF(ISNUMBER(Data!#REF!),IF(AND(Data!#REF!&gt;(TODAY()-(Data_Val!$J$3*365.25)),Data!#REF!&lt;=(TODAY()-(Data_Val!$J$2*365.25))),0,1),1))</f>
        <v>#REF!</v>
      </c>
      <c r="R386" s="17" t="e">
        <f>IF(Data!#REF!="","",IF(ISNUMBER(MATCH(Data!#REF!,Data_Val!$B$2:$B$15,0)),0,1))</f>
        <v>#REF!</v>
      </c>
      <c r="S386" s="11" t="str">
        <f>IF(Data!G386="","",IF(Data!G386=Data_Val!$C$2,IF(Data!M386="",0,1),0))</f>
        <v/>
      </c>
      <c r="T386" s="11" t="str">
        <f>IF(Data!M386="","",IF(ISNUMBER(MATCH(Data!N386,Data_Val!$A$2:$A$3,0)),0,1))</f>
        <v/>
      </c>
      <c r="U386" s="11" t="str">
        <f ca="1">IF(Data!M386="","",IF(ISNUMBER(Data!O386),IF(AND(Data!O386&gt;(TODAY()-(Data_Val!$K$3*365.25)),Data!O386&lt;=(TODAY()-(Data_Val!$K$2*365.25))),0,1),1))</f>
        <v/>
      </c>
      <c r="V386" s="12" t="str">
        <f>IF(Data!G386="","",IF(Data!G386=Data_Val!$C$2,IF(Data!P386="",0,1),0))</f>
        <v/>
      </c>
      <c r="W386" s="12" t="str">
        <f>IF(Data!P386="","",IF(ISNUMBER(MATCH(Data!Q386,Data_Val!$A$2:$A$3,0)),0,1))</f>
        <v/>
      </c>
      <c r="X386" s="26" t="str">
        <f ca="1">IF(Data!P386="","",IF(ISNUMBER(Data!R386),IF(AND(Data!R386&gt;(TODAY()-(Data_Val!$L$3*365.25)),Data!R386&lt;=(TODAY()-(Data_Val!$L$2*365.25))),0,1),1))</f>
        <v/>
      </c>
      <c r="Y386" s="13" t="str">
        <f>IF(Data!$G386="","",IF(Data!$G386=Data_Val!$C$2,IF(Data!S386="",0,1),0))</f>
        <v/>
      </c>
      <c r="Z386" s="13" t="str">
        <f>IF(Data!S386="","",IF(ISNUMBER(MATCH(Data!T386,Data_Val!$A$2:$A$3,0)),0,1))</f>
        <v/>
      </c>
      <c r="AA386" s="28" t="str">
        <f ca="1">IF(Data!S386="","",IF(ISNUMBER(Data!U386),IF(AND(Data!U386&gt;(TODAY()-(Data_Val!$L$3*365.25)),Data!U386&lt;=(TODAY()-(Data_Val!$L$2*365.25))),0,1),1))</f>
        <v/>
      </c>
      <c r="AB386" s="11"/>
      <c r="AC386" s="11" t="e">
        <f>IF(Data!#REF!="","",IF(ISNUMBER(MATCH(Data!#REF!,Data_Val!$A$2:$A$3,0)),0,1))</f>
        <v>#REF!</v>
      </c>
      <c r="AD386" s="11" t="e">
        <f ca="1">IF(Data!#REF!="","",IF(ISNUMBER(Data!#REF!),IF(AND(Data!#REF!&gt;(TODAY()-(Data_Val!$L$3*365.25)),Data!#REF!&lt;=(TODAY()-(Data_Val!$L$2*365.25))),0,1),1))</f>
        <v>#REF!</v>
      </c>
      <c r="AE386" s="11" t="e">
        <f>IF(Data!#REF!="","",IF(Data!$G386="",1,IF(ISNUMBER(MATCH(Data!#REF!,Data_Val!$D$2:$D$10,0)),0,1)))</f>
        <v>#REF!</v>
      </c>
      <c r="AF386" s="12"/>
      <c r="AG386" s="12" t="e">
        <f>IF(Data!#REF!="","",IF(ISNUMBER(MATCH(Data!#REF!,Data_Val!$A$2:$A$3,0)),0,1))</f>
        <v>#REF!</v>
      </c>
      <c r="AH386" s="26" t="e">
        <f ca="1">IF(Data!#REF!="","",IF(ISNUMBER(Data!#REF!),IF(AND(Data!#REF!&gt;(TODAY()-(Data_Val!$L$3*365.25)),Data!#REF!&lt;=(TODAY()-(Data_Val!$L$2*365.25))),0,1),1))</f>
        <v>#REF!</v>
      </c>
      <c r="AI386" s="12" t="e">
        <f>IF(Data!#REF!="","",IF(Data!$G386="",1,IF(ISNUMBER(MATCH(Data!#REF!,Data_Val!$D$2:$D$10,0)),0,1)))</f>
        <v>#REF!</v>
      </c>
      <c r="AJ386" s="17"/>
      <c r="AK386" s="17" t="e">
        <f>IF(Data!#REF!="","",IF(ISNUMBER(MATCH(Data!#REF!,Data_Val!$A$2:$A$3,0)),0,1))</f>
        <v>#REF!</v>
      </c>
      <c r="AL386" s="25" t="e">
        <f ca="1">IF(Data!#REF!="","",IF(ISNUMBER(Data!#REF!),IF(AND(Data!#REF!&gt;(TODAY()-(Data_Val!$L$3*365.25)),Data!#REF!&lt;=(TODAY()-(Data_Val!$L$2*365.25))),0,1),1))</f>
        <v>#REF!</v>
      </c>
      <c r="AM386" s="17" t="e">
        <f>IF(Data!#REF!="","",IF(Data!$G386="",1,IF(ISNUMBER(MATCH(Data!#REF!,Data_Val!$D$2:$D$10,0)),0,1)))</f>
        <v>#REF!</v>
      </c>
      <c r="AN386" s="13"/>
      <c r="AO386" s="28" t="e">
        <f ca="1">IF(Data!#REF!="","",IF(ISNUMBER(Data!#REF!),IF(AND(Data!#REF!&gt;(TODAY()-(Data_Val!$I$3*365.25)),Data!#REF!&lt;=(TODAY()-(Data_Val!$I$2*365.25))),0,1),1))</f>
        <v>#REF!</v>
      </c>
      <c r="AP386" s="13" t="e">
        <f>IF(Data!#REF!="","",IF(Data!$G386="",1,IF(ISNUMBER(MATCH(Data!#REF!,Data_Val!$D$2:$D$10,0)),0,1)))</f>
        <v>#REF!</v>
      </c>
      <c r="AQ386" s="17"/>
      <c r="AR386" s="30" t="e">
        <f ca="1">IF(Data!#REF!="","",IF(ISNUMBER(Data!#REF!),IF(AND(Data!#REF!&gt;(TODAY()-(Data_Val!$I$3*365.25)),Data!#REF!&lt;=(TODAY()-(Data_Val!$I$2*365.25))),0,1),1))</f>
        <v>#REF!</v>
      </c>
      <c r="AS386" s="31" t="e">
        <f>IF(Data!#REF!="","",IF(Data!$G386="",1,IF(ISNUMBER(MATCH(Data!#REF!,Data_Val!$D$2:$D$10,0)),0,1)))</f>
        <v>#REF!</v>
      </c>
      <c r="AT386" s="11"/>
      <c r="AU386" s="11" t="e">
        <f ca="1">IF(Data!#REF!="","",IF(ISNUMBER(Data!#REF!),IF(AND(Data!#REF!&gt;(TODAY()-(Data_Val!$I$3*365.25)),Data!#REF!&lt;=(TODAY()-(Data_Val!$I$2*365.25))),0,1),1))</f>
        <v>#REF!</v>
      </c>
      <c r="AV386" s="11" t="e">
        <f>IF(Data!#REF!="","",IF(Data!$G386="",1,IF(ISNUMBER(MATCH(Data!#REF!,Data_Val!$D$2:$D$10,0)),0,1)))</f>
        <v>#REF!</v>
      </c>
      <c r="AW386" s="12"/>
      <c r="AX386" s="26" t="e">
        <f ca="1">IF(Data!#REF!="","",IF(ISNUMBER(Data!#REF!),IF(AND(Data!#REF!&gt;(TODAY()-(Data_Val!$I$3*365.25)),Data!#REF!&lt;=(TODAY()-(Data_Val!$I$2*365.25))),0,1),1))</f>
        <v>#REF!</v>
      </c>
      <c r="AY386" s="12" t="e">
        <f>IF(Data!#REF!="","",IF(Data!$G386="",1,IF(ISNUMBER(MATCH(Data!#REF!,Data_Val!$D$2:$D$10,0)),0,1)))</f>
        <v>#REF!</v>
      </c>
      <c r="AZ386" s="11"/>
      <c r="BA386" s="19" t="e">
        <f ca="1">IF(Data!#REF!="","",IF(ISNUMBER(Data!#REF!),IF(AND(Data!#REF!&gt;(TODAY()-(Data_Val!$M$3*365.25)),Data!#REF!&lt;=(TODAY()-(Data_Val!$M$2*365.25))),0,1),1))</f>
        <v>#REF!</v>
      </c>
      <c r="BB386" s="11" t="e">
        <f>IF(Data!#REF!="","",IF(Data!$G386="",1,IF(ISNUMBER(MATCH(Data!#REF!,Data_Val!$D$2:$D$10,0)),0,1)))</f>
        <v>#REF!</v>
      </c>
      <c r="BC386" s="12"/>
      <c r="BD386" s="20" t="e">
        <f ca="1">IF(Data!#REF!="","",IF(ISNUMBER(Data!#REF!),IF(AND(Data!#REF!&gt;(TODAY()-(Data_Val!$M$3*365.25)),Data!#REF!&lt;=(TODAY()-(Data_Val!$M$2*365.25))),0,1),1))</f>
        <v>#REF!</v>
      </c>
      <c r="BE386" s="12" t="e">
        <f>IF(Data!#REF!="","",IF(Data!$G386="",1,IF(ISNUMBER(MATCH(Data!#REF!,Data_Val!$D$2:$D$10,0)),0,1)))</f>
        <v>#REF!</v>
      </c>
      <c r="BF386" s="17"/>
      <c r="BG386" s="18" t="e">
        <f ca="1">IF(Data!#REF!="","",IF(ISNUMBER(Data!#REF!),IF(AND(Data!#REF!&gt;(TODAY()-(Data_Val!$M$3*365.25)),Data!#REF!&lt;=(TODAY()-(Data_Val!$M$2*365.25))),0,1),1))</f>
        <v>#REF!</v>
      </c>
      <c r="BH386" s="29" t="e">
        <f>IF(Data!#REF!="","",IF(Data!$G386="",1,IF(ISNUMBER(MATCH(Data!#REF!,Data_Val!$D$2:$D$10,0)),0,1)))</f>
        <v>#REF!</v>
      </c>
      <c r="BI386" s="13"/>
      <c r="BJ386" s="21" t="e">
        <f ca="1">IF(Data!#REF!="","",IF(ISNUMBER(Data!#REF!),IF(AND(Data!#REF!&gt;(TODAY()-(Data_Val!$M$3*365.25)),Data!#REF!&lt;=(TODAY()-(Data_Val!$M$2*365.25))),0,1),1))</f>
        <v>#REF!</v>
      </c>
      <c r="BK386" s="13" t="e">
        <f>IF(Data!#REF!="","",IF(Data!$G386="",1,IF(ISNUMBER(MATCH(Data!#REF!,Data_Val!$D$2:$D$10,0)),0,1)))</f>
        <v>#REF!</v>
      </c>
    </row>
    <row r="387" spans="1:63" x14ac:dyDescent="0.25">
      <c r="A387" s="9" t="str">
        <f>IF(Data!B387="","",IF(COUNTIFS(Data!A$1:'Data'!A387,Data!A387)&lt;=1,0,1))</f>
        <v/>
      </c>
      <c r="B387" s="9"/>
      <c r="C387" s="23" t="str">
        <f>IF(Data!C387="","",(IF(ISNUMBER(MATCH("*@*.?*",Data!C387,0)),0,1)+IF(COUNTIFS(Data!C$1:'Data'!C387,Data!C387)&gt;1,1,0)))</f>
        <v/>
      </c>
      <c r="D387" s="9" t="str">
        <f>IF(Data!B387="","",IF(ISNUMBER(Data!D387),IF(AND(Data!D387&gt;999999999,Data!D387&lt;=9999999999),IF(COUNTIFS(Data!D$1:'Data'!D387,Data!D387)&lt;=1,0,1),1),1))</f>
        <v/>
      </c>
      <c r="E387" s="9" t="str">
        <f>IF(Data!B387="","",IF(ISNUMBER(MATCH(Data!E387,Data_Val!$A$2:$A$3,0)),0,1))</f>
        <v/>
      </c>
      <c r="F387" s="9" t="str">
        <f ca="1">IF(Data!B387="","",IF(ISNUMBER(Data!F387),IF(AND(Data!F387&gt;(TODAY()-(Data_Val!$H$3*365.25)),Data!F387&lt;=(TODAY()-(Data_Val!$H$2*365.25))),0,1),1))</f>
        <v/>
      </c>
      <c r="G387" s="15" t="str">
        <f>IF(Data!B387="","",IF(AND(Data!G387="",Data!H387&lt;&gt;""),1,IF(Data!#REF!&lt;&gt;"",0,IF(ISNUMBER(MATCH(Data!G387,Data_Val!$C$2:$C$5,0)),0,1))))</f>
        <v/>
      </c>
      <c r="H387" s="15" t="str">
        <f>IF(Data!B387="","",IF(AND(Data!G387&lt;&gt;"",Data!H387=""),1,IF(Data!#REF!&lt;&gt;"",0,IF(Data!G387="",1,IF(ISNUMBER(MATCH(Data!H387,Data_Val!$D$2:$D$35,0)),0,1)))))</f>
        <v/>
      </c>
      <c r="I387" s="15" t="str">
        <f>IF(Data!B387="","",IF(Data!G387&lt;&gt;"",0,IF(ISNUMBER(MATCH(Data!#REF!,Data_Val!$E$2:$E$12,0)),0,1)))</f>
        <v/>
      </c>
      <c r="J387" s="16" t="e">
        <f>IF(OR(Data!B387="",Data!#REF!=""),"",IF(Data!#REF!="",1,0))</f>
        <v>#REF!</v>
      </c>
      <c r="K387" s="16" t="e">
        <f>IF(OR(Data!B387="",Data!#REF!=""),"",IF(Data!#REF!="",1,0))</f>
        <v>#REF!</v>
      </c>
      <c r="L387" s="16" t="e">
        <f>IF(OR(Data!B387="",Data!#REF!=""),"",IF(ISNUMBER(Data!#REF!),IF(AND(Data!#REF!&gt;Data_Val!$G$2,Data!#REF!&lt;=Data_Val!$G$3),0,1),1))</f>
        <v>#REF!</v>
      </c>
      <c r="M387" s="9" t="e">
        <f>IF(OR(Data!B387="",Data!#REF!=""),"",IF(ISNUMBER(MATCH(Data!#REF!,Data_Val!$F$1:$F$38,0)),0,1))</f>
        <v>#REF!</v>
      </c>
      <c r="N387" s="9" t="e">
        <f>IF(OR(Data!B387="",Data!#REF!=""),"",IF(Data!#REF!="",1,0))</f>
        <v>#REF!</v>
      </c>
      <c r="O387" s="17" t="e">
        <f>IF(Data!#REF!="","",IF(Data!#REF!="",1,0))</f>
        <v>#REF!</v>
      </c>
      <c r="P387" s="17" t="e">
        <f>IF(Data!#REF!="","",IF(ISNUMBER(MATCH(Data!#REF!,Data_Val!$A$2:$A$3,0)),0,1))</f>
        <v>#REF!</v>
      </c>
      <c r="Q387" s="25" t="e">
        <f ca="1">IF(Data!#REF!="","",IF(ISNUMBER(Data!#REF!),IF(AND(Data!#REF!&gt;(TODAY()-(Data_Val!$J$3*365.25)),Data!#REF!&lt;=(TODAY()-(Data_Val!$J$2*365.25))),0,1),1))</f>
        <v>#REF!</v>
      </c>
      <c r="R387" s="17" t="e">
        <f>IF(Data!#REF!="","",IF(ISNUMBER(MATCH(Data!#REF!,Data_Val!$B$2:$B$15,0)),0,1))</f>
        <v>#REF!</v>
      </c>
      <c r="S387" s="11" t="str">
        <f>IF(Data!G387="","",IF(Data!G387=Data_Val!$C$2,IF(Data!M387="",0,1),0))</f>
        <v/>
      </c>
      <c r="T387" s="11" t="str">
        <f>IF(Data!M387="","",IF(ISNUMBER(MATCH(Data!N387,Data_Val!$A$2:$A$3,0)),0,1))</f>
        <v/>
      </c>
      <c r="U387" s="11" t="str">
        <f ca="1">IF(Data!M387="","",IF(ISNUMBER(Data!O387),IF(AND(Data!O387&gt;(TODAY()-(Data_Val!$K$3*365.25)),Data!O387&lt;=(TODAY()-(Data_Val!$K$2*365.25))),0,1),1))</f>
        <v/>
      </c>
      <c r="V387" s="12" t="str">
        <f>IF(Data!G387="","",IF(Data!G387=Data_Val!$C$2,IF(Data!P387="",0,1),0))</f>
        <v/>
      </c>
      <c r="W387" s="12" t="str">
        <f>IF(Data!P387="","",IF(ISNUMBER(MATCH(Data!Q387,Data_Val!$A$2:$A$3,0)),0,1))</f>
        <v/>
      </c>
      <c r="X387" s="26" t="str">
        <f ca="1">IF(Data!P387="","",IF(ISNUMBER(Data!R387),IF(AND(Data!R387&gt;(TODAY()-(Data_Val!$L$3*365.25)),Data!R387&lt;=(TODAY()-(Data_Val!$L$2*365.25))),0,1),1))</f>
        <v/>
      </c>
      <c r="Y387" s="13" t="str">
        <f>IF(Data!$G387="","",IF(Data!$G387=Data_Val!$C$2,IF(Data!S387="",0,1),0))</f>
        <v/>
      </c>
      <c r="Z387" s="13" t="str">
        <f>IF(Data!S387="","",IF(ISNUMBER(MATCH(Data!T387,Data_Val!$A$2:$A$3,0)),0,1))</f>
        <v/>
      </c>
      <c r="AA387" s="28" t="str">
        <f ca="1">IF(Data!S387="","",IF(ISNUMBER(Data!U387),IF(AND(Data!U387&gt;(TODAY()-(Data_Val!$L$3*365.25)),Data!U387&lt;=(TODAY()-(Data_Val!$L$2*365.25))),0,1),1))</f>
        <v/>
      </c>
      <c r="AB387" s="11"/>
      <c r="AC387" s="11" t="e">
        <f>IF(Data!#REF!="","",IF(ISNUMBER(MATCH(Data!#REF!,Data_Val!$A$2:$A$3,0)),0,1))</f>
        <v>#REF!</v>
      </c>
      <c r="AD387" s="11" t="e">
        <f ca="1">IF(Data!#REF!="","",IF(ISNUMBER(Data!#REF!),IF(AND(Data!#REF!&gt;(TODAY()-(Data_Val!$L$3*365.25)),Data!#REF!&lt;=(TODAY()-(Data_Val!$L$2*365.25))),0,1),1))</f>
        <v>#REF!</v>
      </c>
      <c r="AE387" s="11" t="e">
        <f>IF(Data!#REF!="","",IF(Data!$G387="",1,IF(ISNUMBER(MATCH(Data!#REF!,Data_Val!$D$2:$D$10,0)),0,1)))</f>
        <v>#REF!</v>
      </c>
      <c r="AF387" s="12"/>
      <c r="AG387" s="12" t="e">
        <f>IF(Data!#REF!="","",IF(ISNUMBER(MATCH(Data!#REF!,Data_Val!$A$2:$A$3,0)),0,1))</f>
        <v>#REF!</v>
      </c>
      <c r="AH387" s="26" t="e">
        <f ca="1">IF(Data!#REF!="","",IF(ISNUMBER(Data!#REF!),IF(AND(Data!#REF!&gt;(TODAY()-(Data_Val!$L$3*365.25)),Data!#REF!&lt;=(TODAY()-(Data_Val!$L$2*365.25))),0,1),1))</f>
        <v>#REF!</v>
      </c>
      <c r="AI387" s="12" t="e">
        <f>IF(Data!#REF!="","",IF(Data!$G387="",1,IF(ISNUMBER(MATCH(Data!#REF!,Data_Val!$D$2:$D$10,0)),0,1)))</f>
        <v>#REF!</v>
      </c>
      <c r="AJ387" s="17"/>
      <c r="AK387" s="17" t="e">
        <f>IF(Data!#REF!="","",IF(ISNUMBER(MATCH(Data!#REF!,Data_Val!$A$2:$A$3,0)),0,1))</f>
        <v>#REF!</v>
      </c>
      <c r="AL387" s="25" t="e">
        <f ca="1">IF(Data!#REF!="","",IF(ISNUMBER(Data!#REF!),IF(AND(Data!#REF!&gt;(TODAY()-(Data_Val!$L$3*365.25)),Data!#REF!&lt;=(TODAY()-(Data_Val!$L$2*365.25))),0,1),1))</f>
        <v>#REF!</v>
      </c>
      <c r="AM387" s="17" t="e">
        <f>IF(Data!#REF!="","",IF(Data!$G387="",1,IF(ISNUMBER(MATCH(Data!#REF!,Data_Val!$D$2:$D$10,0)),0,1)))</f>
        <v>#REF!</v>
      </c>
      <c r="AN387" s="13"/>
      <c r="AO387" s="28" t="e">
        <f ca="1">IF(Data!#REF!="","",IF(ISNUMBER(Data!#REF!),IF(AND(Data!#REF!&gt;(TODAY()-(Data_Val!$I$3*365.25)),Data!#REF!&lt;=(TODAY()-(Data_Val!$I$2*365.25))),0,1),1))</f>
        <v>#REF!</v>
      </c>
      <c r="AP387" s="13" t="e">
        <f>IF(Data!#REF!="","",IF(Data!$G387="",1,IF(ISNUMBER(MATCH(Data!#REF!,Data_Val!$D$2:$D$10,0)),0,1)))</f>
        <v>#REF!</v>
      </c>
      <c r="AQ387" s="17"/>
      <c r="AR387" s="30" t="e">
        <f ca="1">IF(Data!#REF!="","",IF(ISNUMBER(Data!#REF!),IF(AND(Data!#REF!&gt;(TODAY()-(Data_Val!$I$3*365.25)),Data!#REF!&lt;=(TODAY()-(Data_Val!$I$2*365.25))),0,1),1))</f>
        <v>#REF!</v>
      </c>
      <c r="AS387" s="31" t="e">
        <f>IF(Data!#REF!="","",IF(Data!$G387="",1,IF(ISNUMBER(MATCH(Data!#REF!,Data_Val!$D$2:$D$10,0)),0,1)))</f>
        <v>#REF!</v>
      </c>
      <c r="AT387" s="11"/>
      <c r="AU387" s="11" t="e">
        <f ca="1">IF(Data!#REF!="","",IF(ISNUMBER(Data!#REF!),IF(AND(Data!#REF!&gt;(TODAY()-(Data_Val!$I$3*365.25)),Data!#REF!&lt;=(TODAY()-(Data_Val!$I$2*365.25))),0,1),1))</f>
        <v>#REF!</v>
      </c>
      <c r="AV387" s="11" t="e">
        <f>IF(Data!#REF!="","",IF(Data!$G387="",1,IF(ISNUMBER(MATCH(Data!#REF!,Data_Val!$D$2:$D$10,0)),0,1)))</f>
        <v>#REF!</v>
      </c>
      <c r="AW387" s="12"/>
      <c r="AX387" s="26" t="e">
        <f ca="1">IF(Data!#REF!="","",IF(ISNUMBER(Data!#REF!),IF(AND(Data!#REF!&gt;(TODAY()-(Data_Val!$I$3*365.25)),Data!#REF!&lt;=(TODAY()-(Data_Val!$I$2*365.25))),0,1),1))</f>
        <v>#REF!</v>
      </c>
      <c r="AY387" s="12" t="e">
        <f>IF(Data!#REF!="","",IF(Data!$G387="",1,IF(ISNUMBER(MATCH(Data!#REF!,Data_Val!$D$2:$D$10,0)),0,1)))</f>
        <v>#REF!</v>
      </c>
      <c r="AZ387" s="11"/>
      <c r="BA387" s="19" t="e">
        <f ca="1">IF(Data!#REF!="","",IF(ISNUMBER(Data!#REF!),IF(AND(Data!#REF!&gt;(TODAY()-(Data_Val!$M$3*365.25)),Data!#REF!&lt;=(TODAY()-(Data_Val!$M$2*365.25))),0,1),1))</f>
        <v>#REF!</v>
      </c>
      <c r="BB387" s="11" t="e">
        <f>IF(Data!#REF!="","",IF(Data!$G387="",1,IF(ISNUMBER(MATCH(Data!#REF!,Data_Val!$D$2:$D$10,0)),0,1)))</f>
        <v>#REF!</v>
      </c>
      <c r="BC387" s="12"/>
      <c r="BD387" s="20" t="e">
        <f ca="1">IF(Data!#REF!="","",IF(ISNUMBER(Data!#REF!),IF(AND(Data!#REF!&gt;(TODAY()-(Data_Val!$M$3*365.25)),Data!#REF!&lt;=(TODAY()-(Data_Val!$M$2*365.25))),0,1),1))</f>
        <v>#REF!</v>
      </c>
      <c r="BE387" s="12" t="e">
        <f>IF(Data!#REF!="","",IF(Data!$G387="",1,IF(ISNUMBER(MATCH(Data!#REF!,Data_Val!$D$2:$D$10,0)),0,1)))</f>
        <v>#REF!</v>
      </c>
      <c r="BF387" s="17"/>
      <c r="BG387" s="18" t="e">
        <f ca="1">IF(Data!#REF!="","",IF(ISNUMBER(Data!#REF!),IF(AND(Data!#REF!&gt;(TODAY()-(Data_Val!$M$3*365.25)),Data!#REF!&lt;=(TODAY()-(Data_Val!$M$2*365.25))),0,1),1))</f>
        <v>#REF!</v>
      </c>
      <c r="BH387" s="29" t="e">
        <f>IF(Data!#REF!="","",IF(Data!$G387="",1,IF(ISNUMBER(MATCH(Data!#REF!,Data_Val!$D$2:$D$10,0)),0,1)))</f>
        <v>#REF!</v>
      </c>
      <c r="BI387" s="13"/>
      <c r="BJ387" s="21" t="e">
        <f ca="1">IF(Data!#REF!="","",IF(ISNUMBER(Data!#REF!),IF(AND(Data!#REF!&gt;(TODAY()-(Data_Val!$M$3*365.25)),Data!#REF!&lt;=(TODAY()-(Data_Val!$M$2*365.25))),0,1),1))</f>
        <v>#REF!</v>
      </c>
      <c r="BK387" s="13" t="e">
        <f>IF(Data!#REF!="","",IF(Data!$G387="",1,IF(ISNUMBER(MATCH(Data!#REF!,Data_Val!$D$2:$D$10,0)),0,1)))</f>
        <v>#REF!</v>
      </c>
    </row>
    <row r="388" spans="1:63" x14ac:dyDescent="0.25">
      <c r="A388" s="9" t="str">
        <f>IF(Data!B388="","",IF(COUNTIFS(Data!A$1:'Data'!A388,Data!A388)&lt;=1,0,1))</f>
        <v/>
      </c>
      <c r="B388" s="9"/>
      <c r="C388" s="23" t="str">
        <f>IF(Data!C388="","",(IF(ISNUMBER(MATCH("*@*.?*",Data!C388,0)),0,1)+IF(COUNTIFS(Data!C$1:'Data'!C388,Data!C388)&gt;1,1,0)))</f>
        <v/>
      </c>
      <c r="D388" s="9" t="str">
        <f>IF(Data!B388="","",IF(ISNUMBER(Data!D388),IF(AND(Data!D388&gt;999999999,Data!D388&lt;=9999999999),IF(COUNTIFS(Data!D$1:'Data'!D388,Data!D388)&lt;=1,0,1),1),1))</f>
        <v/>
      </c>
      <c r="E388" s="9" t="str">
        <f>IF(Data!B388="","",IF(ISNUMBER(MATCH(Data!E388,Data_Val!$A$2:$A$3,0)),0,1))</f>
        <v/>
      </c>
      <c r="F388" s="9" t="str">
        <f ca="1">IF(Data!B388="","",IF(ISNUMBER(Data!F388),IF(AND(Data!F388&gt;(TODAY()-(Data_Val!$H$3*365.25)),Data!F388&lt;=(TODAY()-(Data_Val!$H$2*365.25))),0,1),1))</f>
        <v/>
      </c>
      <c r="G388" s="15" t="str">
        <f>IF(Data!B388="","",IF(AND(Data!G388="",Data!H388&lt;&gt;""),1,IF(Data!#REF!&lt;&gt;"",0,IF(ISNUMBER(MATCH(Data!G388,Data_Val!$C$2:$C$5,0)),0,1))))</f>
        <v/>
      </c>
      <c r="H388" s="15" t="str">
        <f>IF(Data!B388="","",IF(AND(Data!G388&lt;&gt;"",Data!H388=""),1,IF(Data!#REF!&lt;&gt;"",0,IF(Data!G388="",1,IF(ISNUMBER(MATCH(Data!H388,Data_Val!$D$2:$D$35,0)),0,1)))))</f>
        <v/>
      </c>
      <c r="I388" s="15" t="str">
        <f>IF(Data!B388="","",IF(Data!G388&lt;&gt;"",0,IF(ISNUMBER(MATCH(Data!#REF!,Data_Val!$E$2:$E$12,0)),0,1)))</f>
        <v/>
      </c>
      <c r="J388" s="16" t="e">
        <f>IF(OR(Data!B388="",Data!#REF!=""),"",IF(Data!#REF!="",1,0))</f>
        <v>#REF!</v>
      </c>
      <c r="K388" s="16" t="e">
        <f>IF(OR(Data!B388="",Data!#REF!=""),"",IF(Data!#REF!="",1,0))</f>
        <v>#REF!</v>
      </c>
      <c r="L388" s="16" t="e">
        <f>IF(OR(Data!B388="",Data!#REF!=""),"",IF(ISNUMBER(Data!#REF!),IF(AND(Data!#REF!&gt;Data_Val!$G$2,Data!#REF!&lt;=Data_Val!$G$3),0,1),1))</f>
        <v>#REF!</v>
      </c>
      <c r="M388" s="9" t="e">
        <f>IF(OR(Data!B388="",Data!#REF!=""),"",IF(ISNUMBER(MATCH(Data!#REF!,Data_Val!$F$1:$F$38,0)),0,1))</f>
        <v>#REF!</v>
      </c>
      <c r="N388" s="9" t="e">
        <f>IF(OR(Data!B388="",Data!#REF!=""),"",IF(Data!#REF!="",1,0))</f>
        <v>#REF!</v>
      </c>
      <c r="O388" s="17" t="e">
        <f>IF(Data!#REF!="","",IF(Data!#REF!="",1,0))</f>
        <v>#REF!</v>
      </c>
      <c r="P388" s="17" t="e">
        <f>IF(Data!#REF!="","",IF(ISNUMBER(MATCH(Data!#REF!,Data_Val!$A$2:$A$3,0)),0,1))</f>
        <v>#REF!</v>
      </c>
      <c r="Q388" s="25" t="e">
        <f ca="1">IF(Data!#REF!="","",IF(ISNUMBER(Data!#REF!),IF(AND(Data!#REF!&gt;(TODAY()-(Data_Val!$J$3*365.25)),Data!#REF!&lt;=(TODAY()-(Data_Val!$J$2*365.25))),0,1),1))</f>
        <v>#REF!</v>
      </c>
      <c r="R388" s="17" t="e">
        <f>IF(Data!#REF!="","",IF(ISNUMBER(MATCH(Data!#REF!,Data_Val!$B$2:$B$15,0)),0,1))</f>
        <v>#REF!</v>
      </c>
      <c r="S388" s="11" t="str">
        <f>IF(Data!G388="","",IF(Data!G388=Data_Val!$C$2,IF(Data!M388="",0,1),0))</f>
        <v/>
      </c>
      <c r="T388" s="11" t="str">
        <f>IF(Data!M388="","",IF(ISNUMBER(MATCH(Data!N388,Data_Val!$A$2:$A$3,0)),0,1))</f>
        <v/>
      </c>
      <c r="U388" s="11" t="str">
        <f ca="1">IF(Data!M388="","",IF(ISNUMBER(Data!O388),IF(AND(Data!O388&gt;(TODAY()-(Data_Val!$K$3*365.25)),Data!O388&lt;=(TODAY()-(Data_Val!$K$2*365.25))),0,1),1))</f>
        <v/>
      </c>
      <c r="V388" s="12" t="str">
        <f>IF(Data!G388="","",IF(Data!G388=Data_Val!$C$2,IF(Data!P388="",0,1),0))</f>
        <v/>
      </c>
      <c r="W388" s="12" t="str">
        <f>IF(Data!P388="","",IF(ISNUMBER(MATCH(Data!Q388,Data_Val!$A$2:$A$3,0)),0,1))</f>
        <v/>
      </c>
      <c r="X388" s="26" t="str">
        <f ca="1">IF(Data!P388="","",IF(ISNUMBER(Data!R388),IF(AND(Data!R388&gt;(TODAY()-(Data_Val!$L$3*365.25)),Data!R388&lt;=(TODAY()-(Data_Val!$L$2*365.25))),0,1),1))</f>
        <v/>
      </c>
      <c r="Y388" s="13" t="str">
        <f>IF(Data!$G388="","",IF(Data!$G388=Data_Val!$C$2,IF(Data!S388="",0,1),0))</f>
        <v/>
      </c>
      <c r="Z388" s="13" t="str">
        <f>IF(Data!S388="","",IF(ISNUMBER(MATCH(Data!T388,Data_Val!$A$2:$A$3,0)),0,1))</f>
        <v/>
      </c>
      <c r="AA388" s="28" t="str">
        <f ca="1">IF(Data!S388="","",IF(ISNUMBER(Data!U388),IF(AND(Data!U388&gt;(TODAY()-(Data_Val!$L$3*365.25)),Data!U388&lt;=(TODAY()-(Data_Val!$L$2*365.25))),0,1),1))</f>
        <v/>
      </c>
      <c r="AB388" s="11"/>
      <c r="AC388" s="11" t="e">
        <f>IF(Data!#REF!="","",IF(ISNUMBER(MATCH(Data!#REF!,Data_Val!$A$2:$A$3,0)),0,1))</f>
        <v>#REF!</v>
      </c>
      <c r="AD388" s="11" t="e">
        <f ca="1">IF(Data!#REF!="","",IF(ISNUMBER(Data!#REF!),IF(AND(Data!#REF!&gt;(TODAY()-(Data_Val!$L$3*365.25)),Data!#REF!&lt;=(TODAY()-(Data_Val!$L$2*365.25))),0,1),1))</f>
        <v>#REF!</v>
      </c>
      <c r="AE388" s="11" t="e">
        <f>IF(Data!#REF!="","",IF(Data!$G388="",1,IF(ISNUMBER(MATCH(Data!#REF!,Data_Val!$D$2:$D$10,0)),0,1)))</f>
        <v>#REF!</v>
      </c>
      <c r="AF388" s="12"/>
      <c r="AG388" s="12" t="e">
        <f>IF(Data!#REF!="","",IF(ISNUMBER(MATCH(Data!#REF!,Data_Val!$A$2:$A$3,0)),0,1))</f>
        <v>#REF!</v>
      </c>
      <c r="AH388" s="26" t="e">
        <f ca="1">IF(Data!#REF!="","",IF(ISNUMBER(Data!#REF!),IF(AND(Data!#REF!&gt;(TODAY()-(Data_Val!$L$3*365.25)),Data!#REF!&lt;=(TODAY()-(Data_Val!$L$2*365.25))),0,1),1))</f>
        <v>#REF!</v>
      </c>
      <c r="AI388" s="12" t="e">
        <f>IF(Data!#REF!="","",IF(Data!$G388="",1,IF(ISNUMBER(MATCH(Data!#REF!,Data_Val!$D$2:$D$10,0)),0,1)))</f>
        <v>#REF!</v>
      </c>
      <c r="AJ388" s="17"/>
      <c r="AK388" s="17" t="e">
        <f>IF(Data!#REF!="","",IF(ISNUMBER(MATCH(Data!#REF!,Data_Val!$A$2:$A$3,0)),0,1))</f>
        <v>#REF!</v>
      </c>
      <c r="AL388" s="25" t="e">
        <f ca="1">IF(Data!#REF!="","",IF(ISNUMBER(Data!#REF!),IF(AND(Data!#REF!&gt;(TODAY()-(Data_Val!$L$3*365.25)),Data!#REF!&lt;=(TODAY()-(Data_Val!$L$2*365.25))),0,1),1))</f>
        <v>#REF!</v>
      </c>
      <c r="AM388" s="17" t="e">
        <f>IF(Data!#REF!="","",IF(Data!$G388="",1,IF(ISNUMBER(MATCH(Data!#REF!,Data_Val!$D$2:$D$10,0)),0,1)))</f>
        <v>#REF!</v>
      </c>
      <c r="AN388" s="13"/>
      <c r="AO388" s="28" t="e">
        <f ca="1">IF(Data!#REF!="","",IF(ISNUMBER(Data!#REF!),IF(AND(Data!#REF!&gt;(TODAY()-(Data_Val!$I$3*365.25)),Data!#REF!&lt;=(TODAY()-(Data_Val!$I$2*365.25))),0,1),1))</f>
        <v>#REF!</v>
      </c>
      <c r="AP388" s="13" t="e">
        <f>IF(Data!#REF!="","",IF(Data!$G388="",1,IF(ISNUMBER(MATCH(Data!#REF!,Data_Val!$D$2:$D$10,0)),0,1)))</f>
        <v>#REF!</v>
      </c>
      <c r="AQ388" s="17"/>
      <c r="AR388" s="30" t="e">
        <f ca="1">IF(Data!#REF!="","",IF(ISNUMBER(Data!#REF!),IF(AND(Data!#REF!&gt;(TODAY()-(Data_Val!$I$3*365.25)),Data!#REF!&lt;=(TODAY()-(Data_Val!$I$2*365.25))),0,1),1))</f>
        <v>#REF!</v>
      </c>
      <c r="AS388" s="31" t="e">
        <f>IF(Data!#REF!="","",IF(Data!$G388="",1,IF(ISNUMBER(MATCH(Data!#REF!,Data_Val!$D$2:$D$10,0)),0,1)))</f>
        <v>#REF!</v>
      </c>
      <c r="AT388" s="11"/>
      <c r="AU388" s="11" t="e">
        <f ca="1">IF(Data!#REF!="","",IF(ISNUMBER(Data!#REF!),IF(AND(Data!#REF!&gt;(TODAY()-(Data_Val!$I$3*365.25)),Data!#REF!&lt;=(TODAY()-(Data_Val!$I$2*365.25))),0,1),1))</f>
        <v>#REF!</v>
      </c>
      <c r="AV388" s="11" t="e">
        <f>IF(Data!#REF!="","",IF(Data!$G388="",1,IF(ISNUMBER(MATCH(Data!#REF!,Data_Val!$D$2:$D$10,0)),0,1)))</f>
        <v>#REF!</v>
      </c>
      <c r="AW388" s="12"/>
      <c r="AX388" s="26" t="e">
        <f ca="1">IF(Data!#REF!="","",IF(ISNUMBER(Data!#REF!),IF(AND(Data!#REF!&gt;(TODAY()-(Data_Val!$I$3*365.25)),Data!#REF!&lt;=(TODAY()-(Data_Val!$I$2*365.25))),0,1),1))</f>
        <v>#REF!</v>
      </c>
      <c r="AY388" s="12" t="e">
        <f>IF(Data!#REF!="","",IF(Data!$G388="",1,IF(ISNUMBER(MATCH(Data!#REF!,Data_Val!$D$2:$D$10,0)),0,1)))</f>
        <v>#REF!</v>
      </c>
      <c r="AZ388" s="11"/>
      <c r="BA388" s="19" t="e">
        <f ca="1">IF(Data!#REF!="","",IF(ISNUMBER(Data!#REF!),IF(AND(Data!#REF!&gt;(TODAY()-(Data_Val!$M$3*365.25)),Data!#REF!&lt;=(TODAY()-(Data_Val!$M$2*365.25))),0,1),1))</f>
        <v>#REF!</v>
      </c>
      <c r="BB388" s="11" t="e">
        <f>IF(Data!#REF!="","",IF(Data!$G388="",1,IF(ISNUMBER(MATCH(Data!#REF!,Data_Val!$D$2:$D$10,0)),0,1)))</f>
        <v>#REF!</v>
      </c>
      <c r="BC388" s="12"/>
      <c r="BD388" s="20" t="e">
        <f ca="1">IF(Data!#REF!="","",IF(ISNUMBER(Data!#REF!),IF(AND(Data!#REF!&gt;(TODAY()-(Data_Val!$M$3*365.25)),Data!#REF!&lt;=(TODAY()-(Data_Val!$M$2*365.25))),0,1),1))</f>
        <v>#REF!</v>
      </c>
      <c r="BE388" s="12" t="e">
        <f>IF(Data!#REF!="","",IF(Data!$G388="",1,IF(ISNUMBER(MATCH(Data!#REF!,Data_Val!$D$2:$D$10,0)),0,1)))</f>
        <v>#REF!</v>
      </c>
      <c r="BF388" s="17"/>
      <c r="BG388" s="18" t="e">
        <f ca="1">IF(Data!#REF!="","",IF(ISNUMBER(Data!#REF!),IF(AND(Data!#REF!&gt;(TODAY()-(Data_Val!$M$3*365.25)),Data!#REF!&lt;=(TODAY()-(Data_Val!$M$2*365.25))),0,1),1))</f>
        <v>#REF!</v>
      </c>
      <c r="BH388" s="29" t="e">
        <f>IF(Data!#REF!="","",IF(Data!$G388="",1,IF(ISNUMBER(MATCH(Data!#REF!,Data_Val!$D$2:$D$10,0)),0,1)))</f>
        <v>#REF!</v>
      </c>
      <c r="BI388" s="13"/>
      <c r="BJ388" s="21" t="e">
        <f ca="1">IF(Data!#REF!="","",IF(ISNUMBER(Data!#REF!),IF(AND(Data!#REF!&gt;(TODAY()-(Data_Val!$M$3*365.25)),Data!#REF!&lt;=(TODAY()-(Data_Val!$M$2*365.25))),0,1),1))</f>
        <v>#REF!</v>
      </c>
      <c r="BK388" s="13" t="e">
        <f>IF(Data!#REF!="","",IF(Data!$G388="",1,IF(ISNUMBER(MATCH(Data!#REF!,Data_Val!$D$2:$D$10,0)),0,1)))</f>
        <v>#REF!</v>
      </c>
    </row>
    <row r="389" spans="1:63" x14ac:dyDescent="0.25">
      <c r="A389" s="9" t="str">
        <f>IF(Data!B389="","",IF(COUNTIFS(Data!A$1:'Data'!A389,Data!A389)&lt;=1,0,1))</f>
        <v/>
      </c>
      <c r="B389" s="9"/>
      <c r="C389" s="23" t="str">
        <f>IF(Data!C389="","",(IF(ISNUMBER(MATCH("*@*.?*",Data!C389,0)),0,1)+IF(COUNTIFS(Data!C$1:'Data'!C389,Data!C389)&gt;1,1,0)))</f>
        <v/>
      </c>
      <c r="D389" s="9" t="str">
        <f>IF(Data!B389="","",IF(ISNUMBER(Data!D389),IF(AND(Data!D389&gt;999999999,Data!D389&lt;=9999999999),IF(COUNTIFS(Data!D$1:'Data'!D389,Data!D389)&lt;=1,0,1),1),1))</f>
        <v/>
      </c>
      <c r="E389" s="9" t="str">
        <f>IF(Data!B389="","",IF(ISNUMBER(MATCH(Data!E389,Data_Val!$A$2:$A$3,0)),0,1))</f>
        <v/>
      </c>
      <c r="F389" s="9" t="str">
        <f ca="1">IF(Data!B389="","",IF(ISNUMBER(Data!F389),IF(AND(Data!F389&gt;(TODAY()-(Data_Val!$H$3*365.25)),Data!F389&lt;=(TODAY()-(Data_Val!$H$2*365.25))),0,1),1))</f>
        <v/>
      </c>
      <c r="G389" s="15" t="str">
        <f>IF(Data!B389="","",IF(AND(Data!G389="",Data!H389&lt;&gt;""),1,IF(Data!#REF!&lt;&gt;"",0,IF(ISNUMBER(MATCH(Data!G389,Data_Val!$C$2:$C$5,0)),0,1))))</f>
        <v/>
      </c>
      <c r="H389" s="15" t="str">
        <f>IF(Data!B389="","",IF(AND(Data!G389&lt;&gt;"",Data!H389=""),1,IF(Data!#REF!&lt;&gt;"",0,IF(Data!G389="",1,IF(ISNUMBER(MATCH(Data!H389,Data_Val!$D$2:$D$35,0)),0,1)))))</f>
        <v/>
      </c>
      <c r="I389" s="15" t="str">
        <f>IF(Data!B389="","",IF(Data!G389&lt;&gt;"",0,IF(ISNUMBER(MATCH(Data!#REF!,Data_Val!$E$2:$E$12,0)),0,1)))</f>
        <v/>
      </c>
      <c r="J389" s="16" t="e">
        <f>IF(OR(Data!B389="",Data!#REF!=""),"",IF(Data!#REF!="",1,0))</f>
        <v>#REF!</v>
      </c>
      <c r="K389" s="16" t="e">
        <f>IF(OR(Data!B389="",Data!#REF!=""),"",IF(Data!#REF!="",1,0))</f>
        <v>#REF!</v>
      </c>
      <c r="L389" s="16" t="e">
        <f>IF(OR(Data!B389="",Data!#REF!=""),"",IF(ISNUMBER(Data!#REF!),IF(AND(Data!#REF!&gt;Data_Val!$G$2,Data!#REF!&lt;=Data_Val!$G$3),0,1),1))</f>
        <v>#REF!</v>
      </c>
      <c r="M389" s="9" t="e">
        <f>IF(OR(Data!B389="",Data!#REF!=""),"",IF(ISNUMBER(MATCH(Data!#REF!,Data_Val!$F$1:$F$38,0)),0,1))</f>
        <v>#REF!</v>
      </c>
      <c r="N389" s="9" t="e">
        <f>IF(OR(Data!B389="",Data!#REF!=""),"",IF(Data!#REF!="",1,0))</f>
        <v>#REF!</v>
      </c>
      <c r="O389" s="17" t="e">
        <f>IF(Data!#REF!="","",IF(Data!#REF!="",1,0))</f>
        <v>#REF!</v>
      </c>
      <c r="P389" s="17" t="e">
        <f>IF(Data!#REF!="","",IF(ISNUMBER(MATCH(Data!#REF!,Data_Val!$A$2:$A$3,0)),0,1))</f>
        <v>#REF!</v>
      </c>
      <c r="Q389" s="25" t="e">
        <f ca="1">IF(Data!#REF!="","",IF(ISNUMBER(Data!#REF!),IF(AND(Data!#REF!&gt;(TODAY()-(Data_Val!$J$3*365.25)),Data!#REF!&lt;=(TODAY()-(Data_Val!$J$2*365.25))),0,1),1))</f>
        <v>#REF!</v>
      </c>
      <c r="R389" s="17" t="e">
        <f>IF(Data!#REF!="","",IF(ISNUMBER(MATCH(Data!#REF!,Data_Val!$B$2:$B$15,0)),0,1))</f>
        <v>#REF!</v>
      </c>
      <c r="S389" s="11" t="str">
        <f>IF(Data!G389="","",IF(Data!G389=Data_Val!$C$2,IF(Data!M389="",0,1),0))</f>
        <v/>
      </c>
      <c r="T389" s="11" t="str">
        <f>IF(Data!M389="","",IF(ISNUMBER(MATCH(Data!N389,Data_Val!$A$2:$A$3,0)),0,1))</f>
        <v/>
      </c>
      <c r="U389" s="11" t="str">
        <f ca="1">IF(Data!M389="","",IF(ISNUMBER(Data!O389),IF(AND(Data!O389&gt;(TODAY()-(Data_Val!$K$3*365.25)),Data!O389&lt;=(TODAY()-(Data_Val!$K$2*365.25))),0,1),1))</f>
        <v/>
      </c>
      <c r="V389" s="12" t="str">
        <f>IF(Data!G389="","",IF(Data!G389=Data_Val!$C$2,IF(Data!P389="",0,1),0))</f>
        <v/>
      </c>
      <c r="W389" s="12" t="str">
        <f>IF(Data!P389="","",IF(ISNUMBER(MATCH(Data!Q389,Data_Val!$A$2:$A$3,0)),0,1))</f>
        <v/>
      </c>
      <c r="X389" s="26" t="str">
        <f ca="1">IF(Data!P389="","",IF(ISNUMBER(Data!R389),IF(AND(Data!R389&gt;(TODAY()-(Data_Val!$L$3*365.25)),Data!R389&lt;=(TODAY()-(Data_Val!$L$2*365.25))),0,1),1))</f>
        <v/>
      </c>
      <c r="Y389" s="13" t="str">
        <f>IF(Data!$G389="","",IF(Data!$G389=Data_Val!$C$2,IF(Data!S389="",0,1),0))</f>
        <v/>
      </c>
      <c r="Z389" s="13" t="str">
        <f>IF(Data!S389="","",IF(ISNUMBER(MATCH(Data!T389,Data_Val!$A$2:$A$3,0)),0,1))</f>
        <v/>
      </c>
      <c r="AA389" s="28" t="str">
        <f ca="1">IF(Data!S389="","",IF(ISNUMBER(Data!U389),IF(AND(Data!U389&gt;(TODAY()-(Data_Val!$L$3*365.25)),Data!U389&lt;=(TODAY()-(Data_Val!$L$2*365.25))),0,1),1))</f>
        <v/>
      </c>
      <c r="AB389" s="11"/>
      <c r="AC389" s="11" t="e">
        <f>IF(Data!#REF!="","",IF(ISNUMBER(MATCH(Data!#REF!,Data_Val!$A$2:$A$3,0)),0,1))</f>
        <v>#REF!</v>
      </c>
      <c r="AD389" s="11" t="e">
        <f ca="1">IF(Data!#REF!="","",IF(ISNUMBER(Data!#REF!),IF(AND(Data!#REF!&gt;(TODAY()-(Data_Val!$L$3*365.25)),Data!#REF!&lt;=(TODAY()-(Data_Val!$L$2*365.25))),0,1),1))</f>
        <v>#REF!</v>
      </c>
      <c r="AE389" s="11" t="e">
        <f>IF(Data!#REF!="","",IF(Data!$G389="",1,IF(ISNUMBER(MATCH(Data!#REF!,Data_Val!$D$2:$D$10,0)),0,1)))</f>
        <v>#REF!</v>
      </c>
      <c r="AF389" s="12"/>
      <c r="AG389" s="12" t="e">
        <f>IF(Data!#REF!="","",IF(ISNUMBER(MATCH(Data!#REF!,Data_Val!$A$2:$A$3,0)),0,1))</f>
        <v>#REF!</v>
      </c>
      <c r="AH389" s="26" t="e">
        <f ca="1">IF(Data!#REF!="","",IF(ISNUMBER(Data!#REF!),IF(AND(Data!#REF!&gt;(TODAY()-(Data_Val!$L$3*365.25)),Data!#REF!&lt;=(TODAY()-(Data_Val!$L$2*365.25))),0,1),1))</f>
        <v>#REF!</v>
      </c>
      <c r="AI389" s="12" t="e">
        <f>IF(Data!#REF!="","",IF(Data!$G389="",1,IF(ISNUMBER(MATCH(Data!#REF!,Data_Val!$D$2:$D$10,0)),0,1)))</f>
        <v>#REF!</v>
      </c>
      <c r="AJ389" s="17"/>
      <c r="AK389" s="17" t="e">
        <f>IF(Data!#REF!="","",IF(ISNUMBER(MATCH(Data!#REF!,Data_Val!$A$2:$A$3,0)),0,1))</f>
        <v>#REF!</v>
      </c>
      <c r="AL389" s="25" t="e">
        <f ca="1">IF(Data!#REF!="","",IF(ISNUMBER(Data!#REF!),IF(AND(Data!#REF!&gt;(TODAY()-(Data_Val!$L$3*365.25)),Data!#REF!&lt;=(TODAY()-(Data_Val!$L$2*365.25))),0,1),1))</f>
        <v>#REF!</v>
      </c>
      <c r="AM389" s="17" t="e">
        <f>IF(Data!#REF!="","",IF(Data!$G389="",1,IF(ISNUMBER(MATCH(Data!#REF!,Data_Val!$D$2:$D$10,0)),0,1)))</f>
        <v>#REF!</v>
      </c>
      <c r="AN389" s="13"/>
      <c r="AO389" s="28" t="e">
        <f ca="1">IF(Data!#REF!="","",IF(ISNUMBER(Data!#REF!),IF(AND(Data!#REF!&gt;(TODAY()-(Data_Val!$I$3*365.25)),Data!#REF!&lt;=(TODAY()-(Data_Val!$I$2*365.25))),0,1),1))</f>
        <v>#REF!</v>
      </c>
      <c r="AP389" s="13" t="e">
        <f>IF(Data!#REF!="","",IF(Data!$G389="",1,IF(ISNUMBER(MATCH(Data!#REF!,Data_Val!$D$2:$D$10,0)),0,1)))</f>
        <v>#REF!</v>
      </c>
      <c r="AQ389" s="17"/>
      <c r="AR389" s="30" t="e">
        <f ca="1">IF(Data!#REF!="","",IF(ISNUMBER(Data!#REF!),IF(AND(Data!#REF!&gt;(TODAY()-(Data_Val!$I$3*365.25)),Data!#REF!&lt;=(TODAY()-(Data_Val!$I$2*365.25))),0,1),1))</f>
        <v>#REF!</v>
      </c>
      <c r="AS389" s="31" t="e">
        <f>IF(Data!#REF!="","",IF(Data!$G389="",1,IF(ISNUMBER(MATCH(Data!#REF!,Data_Val!$D$2:$D$10,0)),0,1)))</f>
        <v>#REF!</v>
      </c>
      <c r="AT389" s="11"/>
      <c r="AU389" s="11" t="e">
        <f ca="1">IF(Data!#REF!="","",IF(ISNUMBER(Data!#REF!),IF(AND(Data!#REF!&gt;(TODAY()-(Data_Val!$I$3*365.25)),Data!#REF!&lt;=(TODAY()-(Data_Val!$I$2*365.25))),0,1),1))</f>
        <v>#REF!</v>
      </c>
      <c r="AV389" s="11" t="e">
        <f>IF(Data!#REF!="","",IF(Data!$G389="",1,IF(ISNUMBER(MATCH(Data!#REF!,Data_Val!$D$2:$D$10,0)),0,1)))</f>
        <v>#REF!</v>
      </c>
      <c r="AW389" s="12"/>
      <c r="AX389" s="26" t="e">
        <f ca="1">IF(Data!#REF!="","",IF(ISNUMBER(Data!#REF!),IF(AND(Data!#REF!&gt;(TODAY()-(Data_Val!$I$3*365.25)),Data!#REF!&lt;=(TODAY()-(Data_Val!$I$2*365.25))),0,1),1))</f>
        <v>#REF!</v>
      </c>
      <c r="AY389" s="12" t="e">
        <f>IF(Data!#REF!="","",IF(Data!$G389="",1,IF(ISNUMBER(MATCH(Data!#REF!,Data_Val!$D$2:$D$10,0)),0,1)))</f>
        <v>#REF!</v>
      </c>
      <c r="AZ389" s="11"/>
      <c r="BA389" s="19" t="e">
        <f ca="1">IF(Data!#REF!="","",IF(ISNUMBER(Data!#REF!),IF(AND(Data!#REF!&gt;(TODAY()-(Data_Val!$M$3*365.25)),Data!#REF!&lt;=(TODAY()-(Data_Val!$M$2*365.25))),0,1),1))</f>
        <v>#REF!</v>
      </c>
      <c r="BB389" s="11" t="e">
        <f>IF(Data!#REF!="","",IF(Data!$G389="",1,IF(ISNUMBER(MATCH(Data!#REF!,Data_Val!$D$2:$D$10,0)),0,1)))</f>
        <v>#REF!</v>
      </c>
      <c r="BC389" s="12"/>
      <c r="BD389" s="20" t="e">
        <f ca="1">IF(Data!#REF!="","",IF(ISNUMBER(Data!#REF!),IF(AND(Data!#REF!&gt;(TODAY()-(Data_Val!$M$3*365.25)),Data!#REF!&lt;=(TODAY()-(Data_Val!$M$2*365.25))),0,1),1))</f>
        <v>#REF!</v>
      </c>
      <c r="BE389" s="12" t="e">
        <f>IF(Data!#REF!="","",IF(Data!$G389="",1,IF(ISNUMBER(MATCH(Data!#REF!,Data_Val!$D$2:$D$10,0)),0,1)))</f>
        <v>#REF!</v>
      </c>
      <c r="BF389" s="17"/>
      <c r="BG389" s="18" t="e">
        <f ca="1">IF(Data!#REF!="","",IF(ISNUMBER(Data!#REF!),IF(AND(Data!#REF!&gt;(TODAY()-(Data_Val!$M$3*365.25)),Data!#REF!&lt;=(TODAY()-(Data_Val!$M$2*365.25))),0,1),1))</f>
        <v>#REF!</v>
      </c>
      <c r="BH389" s="29" t="e">
        <f>IF(Data!#REF!="","",IF(Data!$G389="",1,IF(ISNUMBER(MATCH(Data!#REF!,Data_Val!$D$2:$D$10,0)),0,1)))</f>
        <v>#REF!</v>
      </c>
      <c r="BI389" s="13"/>
      <c r="BJ389" s="21" t="e">
        <f ca="1">IF(Data!#REF!="","",IF(ISNUMBER(Data!#REF!),IF(AND(Data!#REF!&gt;(TODAY()-(Data_Val!$M$3*365.25)),Data!#REF!&lt;=(TODAY()-(Data_Val!$M$2*365.25))),0,1),1))</f>
        <v>#REF!</v>
      </c>
      <c r="BK389" s="13" t="e">
        <f>IF(Data!#REF!="","",IF(Data!$G389="",1,IF(ISNUMBER(MATCH(Data!#REF!,Data_Val!$D$2:$D$10,0)),0,1)))</f>
        <v>#REF!</v>
      </c>
    </row>
    <row r="390" spans="1:63" x14ac:dyDescent="0.25">
      <c r="A390" s="9" t="str">
        <f>IF(Data!B390="","",IF(COUNTIFS(Data!A$1:'Data'!A390,Data!A390)&lt;=1,0,1))</f>
        <v/>
      </c>
      <c r="B390" s="9"/>
      <c r="C390" s="23" t="str">
        <f>IF(Data!C390="","",(IF(ISNUMBER(MATCH("*@*.?*",Data!C390,0)),0,1)+IF(COUNTIFS(Data!C$1:'Data'!C390,Data!C390)&gt;1,1,0)))</f>
        <v/>
      </c>
      <c r="D390" s="9" t="str">
        <f>IF(Data!B390="","",IF(ISNUMBER(Data!D390),IF(AND(Data!D390&gt;999999999,Data!D390&lt;=9999999999),IF(COUNTIFS(Data!D$1:'Data'!D390,Data!D390)&lt;=1,0,1),1),1))</f>
        <v/>
      </c>
      <c r="E390" s="9" t="str">
        <f>IF(Data!B390="","",IF(ISNUMBER(MATCH(Data!E390,Data_Val!$A$2:$A$3,0)),0,1))</f>
        <v/>
      </c>
      <c r="F390" s="9" t="str">
        <f ca="1">IF(Data!B390="","",IF(ISNUMBER(Data!F390),IF(AND(Data!F390&gt;(TODAY()-(Data_Val!$H$3*365.25)),Data!F390&lt;=(TODAY()-(Data_Val!$H$2*365.25))),0,1),1))</f>
        <v/>
      </c>
      <c r="G390" s="15" t="str">
        <f>IF(Data!B390="","",IF(AND(Data!G390="",Data!H390&lt;&gt;""),1,IF(Data!#REF!&lt;&gt;"",0,IF(ISNUMBER(MATCH(Data!G390,Data_Val!$C$2:$C$5,0)),0,1))))</f>
        <v/>
      </c>
      <c r="H390" s="15" t="str">
        <f>IF(Data!B390="","",IF(AND(Data!G390&lt;&gt;"",Data!H390=""),1,IF(Data!#REF!&lt;&gt;"",0,IF(Data!G390="",1,IF(ISNUMBER(MATCH(Data!H390,Data_Val!$D$2:$D$35,0)),0,1)))))</f>
        <v/>
      </c>
      <c r="I390" s="15" t="str">
        <f>IF(Data!B390="","",IF(Data!G390&lt;&gt;"",0,IF(ISNUMBER(MATCH(Data!#REF!,Data_Val!$E$2:$E$12,0)),0,1)))</f>
        <v/>
      </c>
      <c r="J390" s="16" t="e">
        <f>IF(OR(Data!B390="",Data!#REF!=""),"",IF(Data!#REF!="",1,0))</f>
        <v>#REF!</v>
      </c>
      <c r="K390" s="16" t="e">
        <f>IF(OR(Data!B390="",Data!#REF!=""),"",IF(Data!#REF!="",1,0))</f>
        <v>#REF!</v>
      </c>
      <c r="L390" s="16" t="e">
        <f>IF(OR(Data!B390="",Data!#REF!=""),"",IF(ISNUMBER(Data!#REF!),IF(AND(Data!#REF!&gt;Data_Val!$G$2,Data!#REF!&lt;=Data_Val!$G$3),0,1),1))</f>
        <v>#REF!</v>
      </c>
      <c r="M390" s="9" t="e">
        <f>IF(OR(Data!B390="",Data!#REF!=""),"",IF(ISNUMBER(MATCH(Data!#REF!,Data_Val!$F$1:$F$38,0)),0,1))</f>
        <v>#REF!</v>
      </c>
      <c r="N390" s="9" t="e">
        <f>IF(OR(Data!B390="",Data!#REF!=""),"",IF(Data!#REF!="",1,0))</f>
        <v>#REF!</v>
      </c>
      <c r="O390" s="17" t="e">
        <f>IF(Data!#REF!="","",IF(Data!#REF!="",1,0))</f>
        <v>#REF!</v>
      </c>
      <c r="P390" s="17" t="e">
        <f>IF(Data!#REF!="","",IF(ISNUMBER(MATCH(Data!#REF!,Data_Val!$A$2:$A$3,0)),0,1))</f>
        <v>#REF!</v>
      </c>
      <c r="Q390" s="25" t="e">
        <f ca="1">IF(Data!#REF!="","",IF(ISNUMBER(Data!#REF!),IF(AND(Data!#REF!&gt;(TODAY()-(Data_Val!$J$3*365.25)),Data!#REF!&lt;=(TODAY()-(Data_Val!$J$2*365.25))),0,1),1))</f>
        <v>#REF!</v>
      </c>
      <c r="R390" s="17" t="e">
        <f>IF(Data!#REF!="","",IF(ISNUMBER(MATCH(Data!#REF!,Data_Val!$B$2:$B$15,0)),0,1))</f>
        <v>#REF!</v>
      </c>
      <c r="S390" s="11" t="str">
        <f>IF(Data!G390="","",IF(Data!G390=Data_Val!$C$2,IF(Data!M390="",0,1),0))</f>
        <v/>
      </c>
      <c r="T390" s="11" t="str">
        <f>IF(Data!M390="","",IF(ISNUMBER(MATCH(Data!N390,Data_Val!$A$2:$A$3,0)),0,1))</f>
        <v/>
      </c>
      <c r="U390" s="11" t="str">
        <f ca="1">IF(Data!M390="","",IF(ISNUMBER(Data!O390),IF(AND(Data!O390&gt;(TODAY()-(Data_Val!$K$3*365.25)),Data!O390&lt;=(TODAY()-(Data_Val!$K$2*365.25))),0,1),1))</f>
        <v/>
      </c>
      <c r="V390" s="12" t="str">
        <f>IF(Data!G390="","",IF(Data!G390=Data_Val!$C$2,IF(Data!P390="",0,1),0))</f>
        <v/>
      </c>
      <c r="W390" s="12" t="str">
        <f>IF(Data!P390="","",IF(ISNUMBER(MATCH(Data!Q390,Data_Val!$A$2:$A$3,0)),0,1))</f>
        <v/>
      </c>
      <c r="X390" s="26" t="str">
        <f ca="1">IF(Data!P390="","",IF(ISNUMBER(Data!R390),IF(AND(Data!R390&gt;(TODAY()-(Data_Val!$L$3*365.25)),Data!R390&lt;=(TODAY()-(Data_Val!$L$2*365.25))),0,1),1))</f>
        <v/>
      </c>
      <c r="Y390" s="13" t="str">
        <f>IF(Data!$G390="","",IF(Data!$G390=Data_Val!$C$2,IF(Data!S390="",0,1),0))</f>
        <v/>
      </c>
      <c r="Z390" s="13" t="str">
        <f>IF(Data!S390="","",IF(ISNUMBER(MATCH(Data!T390,Data_Val!$A$2:$A$3,0)),0,1))</f>
        <v/>
      </c>
      <c r="AA390" s="28" t="str">
        <f ca="1">IF(Data!S390="","",IF(ISNUMBER(Data!U390),IF(AND(Data!U390&gt;(TODAY()-(Data_Val!$L$3*365.25)),Data!U390&lt;=(TODAY()-(Data_Val!$L$2*365.25))),0,1),1))</f>
        <v/>
      </c>
      <c r="AB390" s="11"/>
      <c r="AC390" s="11" t="e">
        <f>IF(Data!#REF!="","",IF(ISNUMBER(MATCH(Data!#REF!,Data_Val!$A$2:$A$3,0)),0,1))</f>
        <v>#REF!</v>
      </c>
      <c r="AD390" s="11" t="e">
        <f ca="1">IF(Data!#REF!="","",IF(ISNUMBER(Data!#REF!),IF(AND(Data!#REF!&gt;(TODAY()-(Data_Val!$L$3*365.25)),Data!#REF!&lt;=(TODAY()-(Data_Val!$L$2*365.25))),0,1),1))</f>
        <v>#REF!</v>
      </c>
      <c r="AE390" s="11" t="e">
        <f>IF(Data!#REF!="","",IF(Data!$G390="",1,IF(ISNUMBER(MATCH(Data!#REF!,Data_Val!$D$2:$D$10,0)),0,1)))</f>
        <v>#REF!</v>
      </c>
      <c r="AF390" s="12"/>
      <c r="AG390" s="12" t="e">
        <f>IF(Data!#REF!="","",IF(ISNUMBER(MATCH(Data!#REF!,Data_Val!$A$2:$A$3,0)),0,1))</f>
        <v>#REF!</v>
      </c>
      <c r="AH390" s="26" t="e">
        <f ca="1">IF(Data!#REF!="","",IF(ISNUMBER(Data!#REF!),IF(AND(Data!#REF!&gt;(TODAY()-(Data_Val!$L$3*365.25)),Data!#REF!&lt;=(TODAY()-(Data_Val!$L$2*365.25))),0,1),1))</f>
        <v>#REF!</v>
      </c>
      <c r="AI390" s="12" t="e">
        <f>IF(Data!#REF!="","",IF(Data!$G390="",1,IF(ISNUMBER(MATCH(Data!#REF!,Data_Val!$D$2:$D$10,0)),0,1)))</f>
        <v>#REF!</v>
      </c>
      <c r="AJ390" s="17"/>
      <c r="AK390" s="17" t="e">
        <f>IF(Data!#REF!="","",IF(ISNUMBER(MATCH(Data!#REF!,Data_Val!$A$2:$A$3,0)),0,1))</f>
        <v>#REF!</v>
      </c>
      <c r="AL390" s="25" t="e">
        <f ca="1">IF(Data!#REF!="","",IF(ISNUMBER(Data!#REF!),IF(AND(Data!#REF!&gt;(TODAY()-(Data_Val!$L$3*365.25)),Data!#REF!&lt;=(TODAY()-(Data_Val!$L$2*365.25))),0,1),1))</f>
        <v>#REF!</v>
      </c>
      <c r="AM390" s="17" t="e">
        <f>IF(Data!#REF!="","",IF(Data!$G390="",1,IF(ISNUMBER(MATCH(Data!#REF!,Data_Val!$D$2:$D$10,0)),0,1)))</f>
        <v>#REF!</v>
      </c>
      <c r="AN390" s="13"/>
      <c r="AO390" s="28" t="e">
        <f ca="1">IF(Data!#REF!="","",IF(ISNUMBER(Data!#REF!),IF(AND(Data!#REF!&gt;(TODAY()-(Data_Val!$I$3*365.25)),Data!#REF!&lt;=(TODAY()-(Data_Val!$I$2*365.25))),0,1),1))</f>
        <v>#REF!</v>
      </c>
      <c r="AP390" s="13" t="e">
        <f>IF(Data!#REF!="","",IF(Data!$G390="",1,IF(ISNUMBER(MATCH(Data!#REF!,Data_Val!$D$2:$D$10,0)),0,1)))</f>
        <v>#REF!</v>
      </c>
      <c r="AQ390" s="17"/>
      <c r="AR390" s="30" t="e">
        <f ca="1">IF(Data!#REF!="","",IF(ISNUMBER(Data!#REF!),IF(AND(Data!#REF!&gt;(TODAY()-(Data_Val!$I$3*365.25)),Data!#REF!&lt;=(TODAY()-(Data_Val!$I$2*365.25))),0,1),1))</f>
        <v>#REF!</v>
      </c>
      <c r="AS390" s="31" t="e">
        <f>IF(Data!#REF!="","",IF(Data!$G390="",1,IF(ISNUMBER(MATCH(Data!#REF!,Data_Val!$D$2:$D$10,0)),0,1)))</f>
        <v>#REF!</v>
      </c>
      <c r="AT390" s="11"/>
      <c r="AU390" s="11" t="e">
        <f ca="1">IF(Data!#REF!="","",IF(ISNUMBER(Data!#REF!),IF(AND(Data!#REF!&gt;(TODAY()-(Data_Val!$I$3*365.25)),Data!#REF!&lt;=(TODAY()-(Data_Val!$I$2*365.25))),0,1),1))</f>
        <v>#REF!</v>
      </c>
      <c r="AV390" s="11" t="e">
        <f>IF(Data!#REF!="","",IF(Data!$G390="",1,IF(ISNUMBER(MATCH(Data!#REF!,Data_Val!$D$2:$D$10,0)),0,1)))</f>
        <v>#REF!</v>
      </c>
      <c r="AW390" s="12"/>
      <c r="AX390" s="26" t="e">
        <f ca="1">IF(Data!#REF!="","",IF(ISNUMBER(Data!#REF!),IF(AND(Data!#REF!&gt;(TODAY()-(Data_Val!$I$3*365.25)),Data!#REF!&lt;=(TODAY()-(Data_Val!$I$2*365.25))),0,1),1))</f>
        <v>#REF!</v>
      </c>
      <c r="AY390" s="12" t="e">
        <f>IF(Data!#REF!="","",IF(Data!$G390="",1,IF(ISNUMBER(MATCH(Data!#REF!,Data_Val!$D$2:$D$10,0)),0,1)))</f>
        <v>#REF!</v>
      </c>
      <c r="AZ390" s="11"/>
      <c r="BA390" s="19" t="e">
        <f ca="1">IF(Data!#REF!="","",IF(ISNUMBER(Data!#REF!),IF(AND(Data!#REF!&gt;(TODAY()-(Data_Val!$M$3*365.25)),Data!#REF!&lt;=(TODAY()-(Data_Val!$M$2*365.25))),0,1),1))</f>
        <v>#REF!</v>
      </c>
      <c r="BB390" s="11" t="e">
        <f>IF(Data!#REF!="","",IF(Data!$G390="",1,IF(ISNUMBER(MATCH(Data!#REF!,Data_Val!$D$2:$D$10,0)),0,1)))</f>
        <v>#REF!</v>
      </c>
      <c r="BC390" s="12"/>
      <c r="BD390" s="20" t="e">
        <f ca="1">IF(Data!#REF!="","",IF(ISNUMBER(Data!#REF!),IF(AND(Data!#REF!&gt;(TODAY()-(Data_Val!$M$3*365.25)),Data!#REF!&lt;=(TODAY()-(Data_Val!$M$2*365.25))),0,1),1))</f>
        <v>#REF!</v>
      </c>
      <c r="BE390" s="12" t="e">
        <f>IF(Data!#REF!="","",IF(Data!$G390="",1,IF(ISNUMBER(MATCH(Data!#REF!,Data_Val!$D$2:$D$10,0)),0,1)))</f>
        <v>#REF!</v>
      </c>
      <c r="BF390" s="17"/>
      <c r="BG390" s="18" t="e">
        <f ca="1">IF(Data!#REF!="","",IF(ISNUMBER(Data!#REF!),IF(AND(Data!#REF!&gt;(TODAY()-(Data_Val!$M$3*365.25)),Data!#REF!&lt;=(TODAY()-(Data_Val!$M$2*365.25))),0,1),1))</f>
        <v>#REF!</v>
      </c>
      <c r="BH390" s="29" t="e">
        <f>IF(Data!#REF!="","",IF(Data!$G390="",1,IF(ISNUMBER(MATCH(Data!#REF!,Data_Val!$D$2:$D$10,0)),0,1)))</f>
        <v>#REF!</v>
      </c>
      <c r="BI390" s="13"/>
      <c r="BJ390" s="21" t="e">
        <f ca="1">IF(Data!#REF!="","",IF(ISNUMBER(Data!#REF!),IF(AND(Data!#REF!&gt;(TODAY()-(Data_Val!$M$3*365.25)),Data!#REF!&lt;=(TODAY()-(Data_Val!$M$2*365.25))),0,1),1))</f>
        <v>#REF!</v>
      </c>
      <c r="BK390" s="13" t="e">
        <f>IF(Data!#REF!="","",IF(Data!$G390="",1,IF(ISNUMBER(MATCH(Data!#REF!,Data_Val!$D$2:$D$10,0)),0,1)))</f>
        <v>#REF!</v>
      </c>
    </row>
    <row r="391" spans="1:63" x14ac:dyDescent="0.25">
      <c r="A391" s="9" t="str">
        <f>IF(Data!B391="","",IF(COUNTIFS(Data!A$1:'Data'!A391,Data!A391)&lt;=1,0,1))</f>
        <v/>
      </c>
      <c r="B391" s="9"/>
      <c r="C391" s="23" t="str">
        <f>IF(Data!C391="","",(IF(ISNUMBER(MATCH("*@*.?*",Data!C391,0)),0,1)+IF(COUNTIFS(Data!C$1:'Data'!C391,Data!C391)&gt;1,1,0)))</f>
        <v/>
      </c>
      <c r="D391" s="9" t="str">
        <f>IF(Data!B391="","",IF(ISNUMBER(Data!D391),IF(AND(Data!D391&gt;999999999,Data!D391&lt;=9999999999),IF(COUNTIFS(Data!D$1:'Data'!D391,Data!D391)&lt;=1,0,1),1),1))</f>
        <v/>
      </c>
      <c r="E391" s="9" t="str">
        <f>IF(Data!B391="","",IF(ISNUMBER(MATCH(Data!E391,Data_Val!$A$2:$A$3,0)),0,1))</f>
        <v/>
      </c>
      <c r="F391" s="9" t="str">
        <f ca="1">IF(Data!B391="","",IF(ISNUMBER(Data!F391),IF(AND(Data!F391&gt;(TODAY()-(Data_Val!$H$3*365.25)),Data!F391&lt;=(TODAY()-(Data_Val!$H$2*365.25))),0,1),1))</f>
        <v/>
      </c>
      <c r="G391" s="15" t="str">
        <f>IF(Data!B391="","",IF(AND(Data!G391="",Data!H391&lt;&gt;""),1,IF(Data!#REF!&lt;&gt;"",0,IF(ISNUMBER(MATCH(Data!G391,Data_Val!$C$2:$C$5,0)),0,1))))</f>
        <v/>
      </c>
      <c r="H391" s="15" t="str">
        <f>IF(Data!B391="","",IF(AND(Data!G391&lt;&gt;"",Data!H391=""),1,IF(Data!#REF!&lt;&gt;"",0,IF(Data!G391="",1,IF(ISNUMBER(MATCH(Data!H391,Data_Val!$D$2:$D$35,0)),0,1)))))</f>
        <v/>
      </c>
      <c r="I391" s="15" t="str">
        <f>IF(Data!B391="","",IF(Data!G391&lt;&gt;"",0,IF(ISNUMBER(MATCH(Data!#REF!,Data_Val!$E$2:$E$12,0)),0,1)))</f>
        <v/>
      </c>
      <c r="J391" s="16" t="e">
        <f>IF(OR(Data!B391="",Data!#REF!=""),"",IF(Data!#REF!="",1,0))</f>
        <v>#REF!</v>
      </c>
      <c r="K391" s="16" t="e">
        <f>IF(OR(Data!B391="",Data!#REF!=""),"",IF(Data!#REF!="",1,0))</f>
        <v>#REF!</v>
      </c>
      <c r="L391" s="16" t="e">
        <f>IF(OR(Data!B391="",Data!#REF!=""),"",IF(ISNUMBER(Data!#REF!),IF(AND(Data!#REF!&gt;Data_Val!$G$2,Data!#REF!&lt;=Data_Val!$G$3),0,1),1))</f>
        <v>#REF!</v>
      </c>
      <c r="M391" s="9" t="e">
        <f>IF(OR(Data!B391="",Data!#REF!=""),"",IF(ISNUMBER(MATCH(Data!#REF!,Data_Val!$F$1:$F$38,0)),0,1))</f>
        <v>#REF!</v>
      </c>
      <c r="N391" s="9" t="e">
        <f>IF(OR(Data!B391="",Data!#REF!=""),"",IF(Data!#REF!="",1,0))</f>
        <v>#REF!</v>
      </c>
      <c r="O391" s="17" t="e">
        <f>IF(Data!#REF!="","",IF(Data!#REF!="",1,0))</f>
        <v>#REF!</v>
      </c>
      <c r="P391" s="17" t="e">
        <f>IF(Data!#REF!="","",IF(ISNUMBER(MATCH(Data!#REF!,Data_Val!$A$2:$A$3,0)),0,1))</f>
        <v>#REF!</v>
      </c>
      <c r="Q391" s="25" t="e">
        <f ca="1">IF(Data!#REF!="","",IF(ISNUMBER(Data!#REF!),IF(AND(Data!#REF!&gt;(TODAY()-(Data_Val!$J$3*365.25)),Data!#REF!&lt;=(TODAY()-(Data_Val!$J$2*365.25))),0,1),1))</f>
        <v>#REF!</v>
      </c>
      <c r="R391" s="17" t="e">
        <f>IF(Data!#REF!="","",IF(ISNUMBER(MATCH(Data!#REF!,Data_Val!$B$2:$B$15,0)),0,1))</f>
        <v>#REF!</v>
      </c>
      <c r="S391" s="11" t="str">
        <f>IF(Data!G391="","",IF(Data!G391=Data_Val!$C$2,IF(Data!M391="",0,1),0))</f>
        <v/>
      </c>
      <c r="T391" s="11" t="str">
        <f>IF(Data!M391="","",IF(ISNUMBER(MATCH(Data!N391,Data_Val!$A$2:$A$3,0)),0,1))</f>
        <v/>
      </c>
      <c r="U391" s="11" t="str">
        <f ca="1">IF(Data!M391="","",IF(ISNUMBER(Data!O391),IF(AND(Data!O391&gt;(TODAY()-(Data_Val!$K$3*365.25)),Data!O391&lt;=(TODAY()-(Data_Val!$K$2*365.25))),0,1),1))</f>
        <v/>
      </c>
      <c r="V391" s="12" t="str">
        <f>IF(Data!G391="","",IF(Data!G391=Data_Val!$C$2,IF(Data!P391="",0,1),0))</f>
        <v/>
      </c>
      <c r="W391" s="12" t="str">
        <f>IF(Data!P391="","",IF(ISNUMBER(MATCH(Data!Q391,Data_Val!$A$2:$A$3,0)),0,1))</f>
        <v/>
      </c>
      <c r="X391" s="26" t="str">
        <f ca="1">IF(Data!P391="","",IF(ISNUMBER(Data!R391),IF(AND(Data!R391&gt;(TODAY()-(Data_Val!$L$3*365.25)),Data!R391&lt;=(TODAY()-(Data_Val!$L$2*365.25))),0,1),1))</f>
        <v/>
      </c>
      <c r="Y391" s="13" t="str">
        <f>IF(Data!$G391="","",IF(Data!$G391=Data_Val!$C$2,IF(Data!S391="",0,1),0))</f>
        <v/>
      </c>
      <c r="Z391" s="13" t="str">
        <f>IF(Data!S391="","",IF(ISNUMBER(MATCH(Data!T391,Data_Val!$A$2:$A$3,0)),0,1))</f>
        <v/>
      </c>
      <c r="AA391" s="28" t="str">
        <f ca="1">IF(Data!S391="","",IF(ISNUMBER(Data!U391),IF(AND(Data!U391&gt;(TODAY()-(Data_Val!$L$3*365.25)),Data!U391&lt;=(TODAY()-(Data_Val!$L$2*365.25))),0,1),1))</f>
        <v/>
      </c>
      <c r="AB391" s="11"/>
      <c r="AC391" s="11" t="e">
        <f>IF(Data!#REF!="","",IF(ISNUMBER(MATCH(Data!#REF!,Data_Val!$A$2:$A$3,0)),0,1))</f>
        <v>#REF!</v>
      </c>
      <c r="AD391" s="11" t="e">
        <f ca="1">IF(Data!#REF!="","",IF(ISNUMBER(Data!#REF!),IF(AND(Data!#REF!&gt;(TODAY()-(Data_Val!$L$3*365.25)),Data!#REF!&lt;=(TODAY()-(Data_Val!$L$2*365.25))),0,1),1))</f>
        <v>#REF!</v>
      </c>
      <c r="AE391" s="11" t="e">
        <f>IF(Data!#REF!="","",IF(Data!$G391="",1,IF(ISNUMBER(MATCH(Data!#REF!,Data_Val!$D$2:$D$10,0)),0,1)))</f>
        <v>#REF!</v>
      </c>
      <c r="AF391" s="12"/>
      <c r="AG391" s="12" t="e">
        <f>IF(Data!#REF!="","",IF(ISNUMBER(MATCH(Data!#REF!,Data_Val!$A$2:$A$3,0)),0,1))</f>
        <v>#REF!</v>
      </c>
      <c r="AH391" s="26" t="e">
        <f ca="1">IF(Data!#REF!="","",IF(ISNUMBER(Data!#REF!),IF(AND(Data!#REF!&gt;(TODAY()-(Data_Val!$L$3*365.25)),Data!#REF!&lt;=(TODAY()-(Data_Val!$L$2*365.25))),0,1),1))</f>
        <v>#REF!</v>
      </c>
      <c r="AI391" s="12" t="e">
        <f>IF(Data!#REF!="","",IF(Data!$G391="",1,IF(ISNUMBER(MATCH(Data!#REF!,Data_Val!$D$2:$D$10,0)),0,1)))</f>
        <v>#REF!</v>
      </c>
      <c r="AJ391" s="17"/>
      <c r="AK391" s="17" t="e">
        <f>IF(Data!#REF!="","",IF(ISNUMBER(MATCH(Data!#REF!,Data_Val!$A$2:$A$3,0)),0,1))</f>
        <v>#REF!</v>
      </c>
      <c r="AL391" s="25" t="e">
        <f ca="1">IF(Data!#REF!="","",IF(ISNUMBER(Data!#REF!),IF(AND(Data!#REF!&gt;(TODAY()-(Data_Val!$L$3*365.25)),Data!#REF!&lt;=(TODAY()-(Data_Val!$L$2*365.25))),0,1),1))</f>
        <v>#REF!</v>
      </c>
      <c r="AM391" s="17" t="e">
        <f>IF(Data!#REF!="","",IF(Data!$G391="",1,IF(ISNUMBER(MATCH(Data!#REF!,Data_Val!$D$2:$D$10,0)),0,1)))</f>
        <v>#REF!</v>
      </c>
      <c r="AN391" s="13"/>
      <c r="AO391" s="28" t="e">
        <f ca="1">IF(Data!#REF!="","",IF(ISNUMBER(Data!#REF!),IF(AND(Data!#REF!&gt;(TODAY()-(Data_Val!$I$3*365.25)),Data!#REF!&lt;=(TODAY()-(Data_Val!$I$2*365.25))),0,1),1))</f>
        <v>#REF!</v>
      </c>
      <c r="AP391" s="13" t="e">
        <f>IF(Data!#REF!="","",IF(Data!$G391="",1,IF(ISNUMBER(MATCH(Data!#REF!,Data_Val!$D$2:$D$10,0)),0,1)))</f>
        <v>#REF!</v>
      </c>
      <c r="AQ391" s="17"/>
      <c r="AR391" s="30" t="e">
        <f ca="1">IF(Data!#REF!="","",IF(ISNUMBER(Data!#REF!),IF(AND(Data!#REF!&gt;(TODAY()-(Data_Val!$I$3*365.25)),Data!#REF!&lt;=(TODAY()-(Data_Val!$I$2*365.25))),0,1),1))</f>
        <v>#REF!</v>
      </c>
      <c r="AS391" s="31" t="e">
        <f>IF(Data!#REF!="","",IF(Data!$G391="",1,IF(ISNUMBER(MATCH(Data!#REF!,Data_Val!$D$2:$D$10,0)),0,1)))</f>
        <v>#REF!</v>
      </c>
      <c r="AT391" s="11"/>
      <c r="AU391" s="11" t="e">
        <f ca="1">IF(Data!#REF!="","",IF(ISNUMBER(Data!#REF!),IF(AND(Data!#REF!&gt;(TODAY()-(Data_Val!$I$3*365.25)),Data!#REF!&lt;=(TODAY()-(Data_Val!$I$2*365.25))),0,1),1))</f>
        <v>#REF!</v>
      </c>
      <c r="AV391" s="11" t="e">
        <f>IF(Data!#REF!="","",IF(Data!$G391="",1,IF(ISNUMBER(MATCH(Data!#REF!,Data_Val!$D$2:$D$10,0)),0,1)))</f>
        <v>#REF!</v>
      </c>
      <c r="AW391" s="12"/>
      <c r="AX391" s="26" t="e">
        <f ca="1">IF(Data!#REF!="","",IF(ISNUMBER(Data!#REF!),IF(AND(Data!#REF!&gt;(TODAY()-(Data_Val!$I$3*365.25)),Data!#REF!&lt;=(TODAY()-(Data_Val!$I$2*365.25))),0,1),1))</f>
        <v>#REF!</v>
      </c>
      <c r="AY391" s="12" t="e">
        <f>IF(Data!#REF!="","",IF(Data!$G391="",1,IF(ISNUMBER(MATCH(Data!#REF!,Data_Val!$D$2:$D$10,0)),0,1)))</f>
        <v>#REF!</v>
      </c>
      <c r="AZ391" s="11"/>
      <c r="BA391" s="19" t="e">
        <f ca="1">IF(Data!#REF!="","",IF(ISNUMBER(Data!#REF!),IF(AND(Data!#REF!&gt;(TODAY()-(Data_Val!$M$3*365.25)),Data!#REF!&lt;=(TODAY()-(Data_Val!$M$2*365.25))),0,1),1))</f>
        <v>#REF!</v>
      </c>
      <c r="BB391" s="11" t="e">
        <f>IF(Data!#REF!="","",IF(Data!$G391="",1,IF(ISNUMBER(MATCH(Data!#REF!,Data_Val!$D$2:$D$10,0)),0,1)))</f>
        <v>#REF!</v>
      </c>
      <c r="BC391" s="12"/>
      <c r="BD391" s="20" t="e">
        <f ca="1">IF(Data!#REF!="","",IF(ISNUMBER(Data!#REF!),IF(AND(Data!#REF!&gt;(TODAY()-(Data_Val!$M$3*365.25)),Data!#REF!&lt;=(TODAY()-(Data_Val!$M$2*365.25))),0,1),1))</f>
        <v>#REF!</v>
      </c>
      <c r="BE391" s="12" t="e">
        <f>IF(Data!#REF!="","",IF(Data!$G391="",1,IF(ISNUMBER(MATCH(Data!#REF!,Data_Val!$D$2:$D$10,0)),0,1)))</f>
        <v>#REF!</v>
      </c>
      <c r="BF391" s="17"/>
      <c r="BG391" s="18" t="e">
        <f ca="1">IF(Data!#REF!="","",IF(ISNUMBER(Data!#REF!),IF(AND(Data!#REF!&gt;(TODAY()-(Data_Val!$M$3*365.25)),Data!#REF!&lt;=(TODAY()-(Data_Val!$M$2*365.25))),0,1),1))</f>
        <v>#REF!</v>
      </c>
      <c r="BH391" s="29" t="e">
        <f>IF(Data!#REF!="","",IF(Data!$G391="",1,IF(ISNUMBER(MATCH(Data!#REF!,Data_Val!$D$2:$D$10,0)),0,1)))</f>
        <v>#REF!</v>
      </c>
      <c r="BI391" s="13"/>
      <c r="BJ391" s="21" t="e">
        <f ca="1">IF(Data!#REF!="","",IF(ISNUMBER(Data!#REF!),IF(AND(Data!#REF!&gt;(TODAY()-(Data_Val!$M$3*365.25)),Data!#REF!&lt;=(TODAY()-(Data_Val!$M$2*365.25))),0,1),1))</f>
        <v>#REF!</v>
      </c>
      <c r="BK391" s="13" t="e">
        <f>IF(Data!#REF!="","",IF(Data!$G391="",1,IF(ISNUMBER(MATCH(Data!#REF!,Data_Val!$D$2:$D$10,0)),0,1)))</f>
        <v>#REF!</v>
      </c>
    </row>
    <row r="392" spans="1:63" x14ac:dyDescent="0.25">
      <c r="A392" s="9" t="str">
        <f>IF(Data!B392="","",IF(COUNTIFS(Data!A$1:'Data'!A392,Data!A392)&lt;=1,0,1))</f>
        <v/>
      </c>
      <c r="B392" s="9"/>
      <c r="C392" s="23" t="str">
        <f>IF(Data!C392="","",(IF(ISNUMBER(MATCH("*@*.?*",Data!C392,0)),0,1)+IF(COUNTIFS(Data!C$1:'Data'!C392,Data!C392)&gt;1,1,0)))</f>
        <v/>
      </c>
      <c r="D392" s="9" t="str">
        <f>IF(Data!B392="","",IF(ISNUMBER(Data!D392),IF(AND(Data!D392&gt;999999999,Data!D392&lt;=9999999999),IF(COUNTIFS(Data!D$1:'Data'!D392,Data!D392)&lt;=1,0,1),1),1))</f>
        <v/>
      </c>
      <c r="E392" s="9" t="str">
        <f>IF(Data!B392="","",IF(ISNUMBER(MATCH(Data!E392,Data_Val!$A$2:$A$3,0)),0,1))</f>
        <v/>
      </c>
      <c r="F392" s="9" t="str">
        <f ca="1">IF(Data!B392="","",IF(ISNUMBER(Data!F392),IF(AND(Data!F392&gt;(TODAY()-(Data_Val!$H$3*365.25)),Data!F392&lt;=(TODAY()-(Data_Val!$H$2*365.25))),0,1),1))</f>
        <v/>
      </c>
      <c r="G392" s="15" t="str">
        <f>IF(Data!B392="","",IF(AND(Data!G392="",Data!H392&lt;&gt;""),1,IF(Data!#REF!&lt;&gt;"",0,IF(ISNUMBER(MATCH(Data!G392,Data_Val!$C$2:$C$5,0)),0,1))))</f>
        <v/>
      </c>
      <c r="H392" s="15" t="str">
        <f>IF(Data!B392="","",IF(AND(Data!G392&lt;&gt;"",Data!H392=""),1,IF(Data!#REF!&lt;&gt;"",0,IF(Data!G392="",1,IF(ISNUMBER(MATCH(Data!H392,Data_Val!$D$2:$D$35,0)),0,1)))))</f>
        <v/>
      </c>
      <c r="I392" s="15" t="str">
        <f>IF(Data!B392="","",IF(Data!G392&lt;&gt;"",0,IF(ISNUMBER(MATCH(Data!#REF!,Data_Val!$E$2:$E$12,0)),0,1)))</f>
        <v/>
      </c>
      <c r="J392" s="16" t="e">
        <f>IF(OR(Data!B392="",Data!#REF!=""),"",IF(Data!#REF!="",1,0))</f>
        <v>#REF!</v>
      </c>
      <c r="K392" s="16" t="e">
        <f>IF(OR(Data!B392="",Data!#REF!=""),"",IF(Data!#REF!="",1,0))</f>
        <v>#REF!</v>
      </c>
      <c r="L392" s="16" t="e">
        <f>IF(OR(Data!B392="",Data!#REF!=""),"",IF(ISNUMBER(Data!#REF!),IF(AND(Data!#REF!&gt;Data_Val!$G$2,Data!#REF!&lt;=Data_Val!$G$3),0,1),1))</f>
        <v>#REF!</v>
      </c>
      <c r="M392" s="9" t="e">
        <f>IF(OR(Data!B392="",Data!#REF!=""),"",IF(ISNUMBER(MATCH(Data!#REF!,Data_Val!$F$1:$F$38,0)),0,1))</f>
        <v>#REF!</v>
      </c>
      <c r="N392" s="9" t="e">
        <f>IF(OR(Data!B392="",Data!#REF!=""),"",IF(Data!#REF!="",1,0))</f>
        <v>#REF!</v>
      </c>
      <c r="O392" s="17" t="e">
        <f>IF(Data!#REF!="","",IF(Data!#REF!="",1,0))</f>
        <v>#REF!</v>
      </c>
      <c r="P392" s="17" t="e">
        <f>IF(Data!#REF!="","",IF(ISNUMBER(MATCH(Data!#REF!,Data_Val!$A$2:$A$3,0)),0,1))</f>
        <v>#REF!</v>
      </c>
      <c r="Q392" s="25" t="e">
        <f ca="1">IF(Data!#REF!="","",IF(ISNUMBER(Data!#REF!),IF(AND(Data!#REF!&gt;(TODAY()-(Data_Val!$J$3*365.25)),Data!#REF!&lt;=(TODAY()-(Data_Val!$J$2*365.25))),0,1),1))</f>
        <v>#REF!</v>
      </c>
      <c r="R392" s="17" t="e">
        <f>IF(Data!#REF!="","",IF(ISNUMBER(MATCH(Data!#REF!,Data_Val!$B$2:$B$15,0)),0,1))</f>
        <v>#REF!</v>
      </c>
      <c r="S392" s="11" t="str">
        <f>IF(Data!G392="","",IF(Data!G392=Data_Val!$C$2,IF(Data!M392="",0,1),0))</f>
        <v/>
      </c>
      <c r="T392" s="11" t="str">
        <f>IF(Data!M392="","",IF(ISNUMBER(MATCH(Data!N392,Data_Val!$A$2:$A$3,0)),0,1))</f>
        <v/>
      </c>
      <c r="U392" s="11" t="str">
        <f ca="1">IF(Data!M392="","",IF(ISNUMBER(Data!O392),IF(AND(Data!O392&gt;(TODAY()-(Data_Val!$K$3*365.25)),Data!O392&lt;=(TODAY()-(Data_Val!$K$2*365.25))),0,1),1))</f>
        <v/>
      </c>
      <c r="V392" s="12" t="str">
        <f>IF(Data!G392="","",IF(Data!G392=Data_Val!$C$2,IF(Data!P392="",0,1),0))</f>
        <v/>
      </c>
      <c r="W392" s="12" t="str">
        <f>IF(Data!P392="","",IF(ISNUMBER(MATCH(Data!Q392,Data_Val!$A$2:$A$3,0)),0,1))</f>
        <v/>
      </c>
      <c r="X392" s="26" t="str">
        <f ca="1">IF(Data!P392="","",IF(ISNUMBER(Data!R392),IF(AND(Data!R392&gt;(TODAY()-(Data_Val!$L$3*365.25)),Data!R392&lt;=(TODAY()-(Data_Val!$L$2*365.25))),0,1),1))</f>
        <v/>
      </c>
      <c r="Y392" s="13" t="str">
        <f>IF(Data!$G392="","",IF(Data!$G392=Data_Val!$C$2,IF(Data!S392="",0,1),0))</f>
        <v/>
      </c>
      <c r="Z392" s="13" t="str">
        <f>IF(Data!S392="","",IF(ISNUMBER(MATCH(Data!T392,Data_Val!$A$2:$A$3,0)),0,1))</f>
        <v/>
      </c>
      <c r="AA392" s="28" t="str">
        <f ca="1">IF(Data!S392="","",IF(ISNUMBER(Data!U392),IF(AND(Data!U392&gt;(TODAY()-(Data_Val!$L$3*365.25)),Data!U392&lt;=(TODAY()-(Data_Val!$L$2*365.25))),0,1),1))</f>
        <v/>
      </c>
      <c r="AB392" s="11"/>
      <c r="AC392" s="11" t="e">
        <f>IF(Data!#REF!="","",IF(ISNUMBER(MATCH(Data!#REF!,Data_Val!$A$2:$A$3,0)),0,1))</f>
        <v>#REF!</v>
      </c>
      <c r="AD392" s="11" t="e">
        <f ca="1">IF(Data!#REF!="","",IF(ISNUMBER(Data!#REF!),IF(AND(Data!#REF!&gt;(TODAY()-(Data_Val!$L$3*365.25)),Data!#REF!&lt;=(TODAY()-(Data_Val!$L$2*365.25))),0,1),1))</f>
        <v>#REF!</v>
      </c>
      <c r="AE392" s="11" t="e">
        <f>IF(Data!#REF!="","",IF(Data!$G392="",1,IF(ISNUMBER(MATCH(Data!#REF!,Data_Val!$D$2:$D$10,0)),0,1)))</f>
        <v>#REF!</v>
      </c>
      <c r="AF392" s="12"/>
      <c r="AG392" s="12" t="e">
        <f>IF(Data!#REF!="","",IF(ISNUMBER(MATCH(Data!#REF!,Data_Val!$A$2:$A$3,0)),0,1))</f>
        <v>#REF!</v>
      </c>
      <c r="AH392" s="26" t="e">
        <f ca="1">IF(Data!#REF!="","",IF(ISNUMBER(Data!#REF!),IF(AND(Data!#REF!&gt;(TODAY()-(Data_Val!$L$3*365.25)),Data!#REF!&lt;=(TODAY()-(Data_Val!$L$2*365.25))),0,1),1))</f>
        <v>#REF!</v>
      </c>
      <c r="AI392" s="12" t="e">
        <f>IF(Data!#REF!="","",IF(Data!$G392="",1,IF(ISNUMBER(MATCH(Data!#REF!,Data_Val!$D$2:$D$10,0)),0,1)))</f>
        <v>#REF!</v>
      </c>
      <c r="AJ392" s="17"/>
      <c r="AK392" s="17" t="e">
        <f>IF(Data!#REF!="","",IF(ISNUMBER(MATCH(Data!#REF!,Data_Val!$A$2:$A$3,0)),0,1))</f>
        <v>#REF!</v>
      </c>
      <c r="AL392" s="25" t="e">
        <f ca="1">IF(Data!#REF!="","",IF(ISNUMBER(Data!#REF!),IF(AND(Data!#REF!&gt;(TODAY()-(Data_Val!$L$3*365.25)),Data!#REF!&lt;=(TODAY()-(Data_Val!$L$2*365.25))),0,1),1))</f>
        <v>#REF!</v>
      </c>
      <c r="AM392" s="17" t="e">
        <f>IF(Data!#REF!="","",IF(Data!$G392="",1,IF(ISNUMBER(MATCH(Data!#REF!,Data_Val!$D$2:$D$10,0)),0,1)))</f>
        <v>#REF!</v>
      </c>
      <c r="AN392" s="13"/>
      <c r="AO392" s="28" t="e">
        <f ca="1">IF(Data!#REF!="","",IF(ISNUMBER(Data!#REF!),IF(AND(Data!#REF!&gt;(TODAY()-(Data_Val!$I$3*365.25)),Data!#REF!&lt;=(TODAY()-(Data_Val!$I$2*365.25))),0,1),1))</f>
        <v>#REF!</v>
      </c>
      <c r="AP392" s="13" t="e">
        <f>IF(Data!#REF!="","",IF(Data!$G392="",1,IF(ISNUMBER(MATCH(Data!#REF!,Data_Val!$D$2:$D$10,0)),0,1)))</f>
        <v>#REF!</v>
      </c>
      <c r="AQ392" s="17"/>
      <c r="AR392" s="30" t="e">
        <f ca="1">IF(Data!#REF!="","",IF(ISNUMBER(Data!#REF!),IF(AND(Data!#REF!&gt;(TODAY()-(Data_Val!$I$3*365.25)),Data!#REF!&lt;=(TODAY()-(Data_Val!$I$2*365.25))),0,1),1))</f>
        <v>#REF!</v>
      </c>
      <c r="AS392" s="31" t="e">
        <f>IF(Data!#REF!="","",IF(Data!$G392="",1,IF(ISNUMBER(MATCH(Data!#REF!,Data_Val!$D$2:$D$10,0)),0,1)))</f>
        <v>#REF!</v>
      </c>
      <c r="AT392" s="11"/>
      <c r="AU392" s="11" t="e">
        <f ca="1">IF(Data!#REF!="","",IF(ISNUMBER(Data!#REF!),IF(AND(Data!#REF!&gt;(TODAY()-(Data_Val!$I$3*365.25)),Data!#REF!&lt;=(TODAY()-(Data_Val!$I$2*365.25))),0,1),1))</f>
        <v>#REF!</v>
      </c>
      <c r="AV392" s="11" t="e">
        <f>IF(Data!#REF!="","",IF(Data!$G392="",1,IF(ISNUMBER(MATCH(Data!#REF!,Data_Val!$D$2:$D$10,0)),0,1)))</f>
        <v>#REF!</v>
      </c>
      <c r="AW392" s="12"/>
      <c r="AX392" s="26" t="e">
        <f ca="1">IF(Data!#REF!="","",IF(ISNUMBER(Data!#REF!),IF(AND(Data!#REF!&gt;(TODAY()-(Data_Val!$I$3*365.25)),Data!#REF!&lt;=(TODAY()-(Data_Val!$I$2*365.25))),0,1),1))</f>
        <v>#REF!</v>
      </c>
      <c r="AY392" s="12" t="e">
        <f>IF(Data!#REF!="","",IF(Data!$G392="",1,IF(ISNUMBER(MATCH(Data!#REF!,Data_Val!$D$2:$D$10,0)),0,1)))</f>
        <v>#REF!</v>
      </c>
      <c r="AZ392" s="11"/>
      <c r="BA392" s="19" t="e">
        <f ca="1">IF(Data!#REF!="","",IF(ISNUMBER(Data!#REF!),IF(AND(Data!#REF!&gt;(TODAY()-(Data_Val!$M$3*365.25)),Data!#REF!&lt;=(TODAY()-(Data_Val!$M$2*365.25))),0,1),1))</f>
        <v>#REF!</v>
      </c>
      <c r="BB392" s="11" t="e">
        <f>IF(Data!#REF!="","",IF(Data!$G392="",1,IF(ISNUMBER(MATCH(Data!#REF!,Data_Val!$D$2:$D$10,0)),0,1)))</f>
        <v>#REF!</v>
      </c>
      <c r="BC392" s="12"/>
      <c r="BD392" s="20" t="e">
        <f ca="1">IF(Data!#REF!="","",IF(ISNUMBER(Data!#REF!),IF(AND(Data!#REF!&gt;(TODAY()-(Data_Val!$M$3*365.25)),Data!#REF!&lt;=(TODAY()-(Data_Val!$M$2*365.25))),0,1),1))</f>
        <v>#REF!</v>
      </c>
      <c r="BE392" s="12" t="e">
        <f>IF(Data!#REF!="","",IF(Data!$G392="",1,IF(ISNUMBER(MATCH(Data!#REF!,Data_Val!$D$2:$D$10,0)),0,1)))</f>
        <v>#REF!</v>
      </c>
      <c r="BF392" s="17"/>
      <c r="BG392" s="18" t="e">
        <f ca="1">IF(Data!#REF!="","",IF(ISNUMBER(Data!#REF!),IF(AND(Data!#REF!&gt;(TODAY()-(Data_Val!$M$3*365.25)),Data!#REF!&lt;=(TODAY()-(Data_Val!$M$2*365.25))),0,1),1))</f>
        <v>#REF!</v>
      </c>
      <c r="BH392" s="29" t="e">
        <f>IF(Data!#REF!="","",IF(Data!$G392="",1,IF(ISNUMBER(MATCH(Data!#REF!,Data_Val!$D$2:$D$10,0)),0,1)))</f>
        <v>#REF!</v>
      </c>
      <c r="BI392" s="13"/>
      <c r="BJ392" s="21" t="e">
        <f ca="1">IF(Data!#REF!="","",IF(ISNUMBER(Data!#REF!),IF(AND(Data!#REF!&gt;(TODAY()-(Data_Val!$M$3*365.25)),Data!#REF!&lt;=(TODAY()-(Data_Val!$M$2*365.25))),0,1),1))</f>
        <v>#REF!</v>
      </c>
      <c r="BK392" s="13" t="e">
        <f>IF(Data!#REF!="","",IF(Data!$G392="",1,IF(ISNUMBER(MATCH(Data!#REF!,Data_Val!$D$2:$D$10,0)),0,1)))</f>
        <v>#REF!</v>
      </c>
    </row>
    <row r="393" spans="1:63" x14ac:dyDescent="0.25">
      <c r="A393" s="9" t="str">
        <f>IF(Data!B393="","",IF(COUNTIFS(Data!A$1:'Data'!A393,Data!A393)&lt;=1,0,1))</f>
        <v/>
      </c>
      <c r="B393" s="9"/>
      <c r="C393" s="23" t="str">
        <f>IF(Data!C393="","",(IF(ISNUMBER(MATCH("*@*.?*",Data!C393,0)),0,1)+IF(COUNTIFS(Data!C$1:'Data'!C393,Data!C393)&gt;1,1,0)))</f>
        <v/>
      </c>
      <c r="D393" s="9" t="str">
        <f>IF(Data!B393="","",IF(ISNUMBER(Data!D393),IF(AND(Data!D393&gt;999999999,Data!D393&lt;=9999999999),IF(COUNTIFS(Data!D$1:'Data'!D393,Data!D393)&lt;=1,0,1),1),1))</f>
        <v/>
      </c>
      <c r="E393" s="9" t="str">
        <f>IF(Data!B393="","",IF(ISNUMBER(MATCH(Data!E393,Data_Val!$A$2:$A$3,0)),0,1))</f>
        <v/>
      </c>
      <c r="F393" s="9" t="str">
        <f ca="1">IF(Data!B393="","",IF(ISNUMBER(Data!F393),IF(AND(Data!F393&gt;(TODAY()-(Data_Val!$H$3*365.25)),Data!F393&lt;=(TODAY()-(Data_Val!$H$2*365.25))),0,1),1))</f>
        <v/>
      </c>
      <c r="G393" s="15" t="str">
        <f>IF(Data!B393="","",IF(AND(Data!G393="",Data!H393&lt;&gt;""),1,IF(Data!#REF!&lt;&gt;"",0,IF(ISNUMBER(MATCH(Data!G393,Data_Val!$C$2:$C$5,0)),0,1))))</f>
        <v/>
      </c>
      <c r="H393" s="15" t="str">
        <f>IF(Data!B393="","",IF(AND(Data!G393&lt;&gt;"",Data!H393=""),1,IF(Data!#REF!&lt;&gt;"",0,IF(Data!G393="",1,IF(ISNUMBER(MATCH(Data!H393,Data_Val!$D$2:$D$35,0)),0,1)))))</f>
        <v/>
      </c>
      <c r="I393" s="15" t="str">
        <f>IF(Data!B393="","",IF(Data!G393&lt;&gt;"",0,IF(ISNUMBER(MATCH(Data!#REF!,Data_Val!$E$2:$E$12,0)),0,1)))</f>
        <v/>
      </c>
      <c r="J393" s="16" t="e">
        <f>IF(OR(Data!B393="",Data!#REF!=""),"",IF(Data!#REF!="",1,0))</f>
        <v>#REF!</v>
      </c>
      <c r="K393" s="16" t="e">
        <f>IF(OR(Data!B393="",Data!#REF!=""),"",IF(Data!#REF!="",1,0))</f>
        <v>#REF!</v>
      </c>
      <c r="L393" s="16" t="e">
        <f>IF(OR(Data!B393="",Data!#REF!=""),"",IF(ISNUMBER(Data!#REF!),IF(AND(Data!#REF!&gt;Data_Val!$G$2,Data!#REF!&lt;=Data_Val!$G$3),0,1),1))</f>
        <v>#REF!</v>
      </c>
      <c r="M393" s="9" t="e">
        <f>IF(OR(Data!B393="",Data!#REF!=""),"",IF(ISNUMBER(MATCH(Data!#REF!,Data_Val!$F$1:$F$38,0)),0,1))</f>
        <v>#REF!</v>
      </c>
      <c r="N393" s="9" t="e">
        <f>IF(OR(Data!B393="",Data!#REF!=""),"",IF(Data!#REF!="",1,0))</f>
        <v>#REF!</v>
      </c>
      <c r="O393" s="17" t="e">
        <f>IF(Data!#REF!="","",IF(Data!#REF!="",1,0))</f>
        <v>#REF!</v>
      </c>
      <c r="P393" s="17" t="e">
        <f>IF(Data!#REF!="","",IF(ISNUMBER(MATCH(Data!#REF!,Data_Val!$A$2:$A$3,0)),0,1))</f>
        <v>#REF!</v>
      </c>
      <c r="Q393" s="25" t="e">
        <f ca="1">IF(Data!#REF!="","",IF(ISNUMBER(Data!#REF!),IF(AND(Data!#REF!&gt;(TODAY()-(Data_Val!$J$3*365.25)),Data!#REF!&lt;=(TODAY()-(Data_Val!$J$2*365.25))),0,1),1))</f>
        <v>#REF!</v>
      </c>
      <c r="R393" s="17" t="e">
        <f>IF(Data!#REF!="","",IF(ISNUMBER(MATCH(Data!#REF!,Data_Val!$B$2:$B$15,0)),0,1))</f>
        <v>#REF!</v>
      </c>
      <c r="S393" s="11" t="str">
        <f>IF(Data!G393="","",IF(Data!G393=Data_Val!$C$2,IF(Data!M393="",0,1),0))</f>
        <v/>
      </c>
      <c r="T393" s="11" t="str">
        <f>IF(Data!M393="","",IF(ISNUMBER(MATCH(Data!N393,Data_Val!$A$2:$A$3,0)),0,1))</f>
        <v/>
      </c>
      <c r="U393" s="11" t="str">
        <f ca="1">IF(Data!M393="","",IF(ISNUMBER(Data!O393),IF(AND(Data!O393&gt;(TODAY()-(Data_Val!$K$3*365.25)),Data!O393&lt;=(TODAY()-(Data_Val!$K$2*365.25))),0,1),1))</f>
        <v/>
      </c>
      <c r="V393" s="12" t="str">
        <f>IF(Data!G393="","",IF(Data!G393=Data_Val!$C$2,IF(Data!P393="",0,1),0))</f>
        <v/>
      </c>
      <c r="W393" s="12" t="str">
        <f>IF(Data!P393="","",IF(ISNUMBER(MATCH(Data!Q393,Data_Val!$A$2:$A$3,0)),0,1))</f>
        <v/>
      </c>
      <c r="X393" s="26" t="str">
        <f ca="1">IF(Data!P393="","",IF(ISNUMBER(Data!R393),IF(AND(Data!R393&gt;(TODAY()-(Data_Val!$L$3*365.25)),Data!R393&lt;=(TODAY()-(Data_Val!$L$2*365.25))),0,1),1))</f>
        <v/>
      </c>
      <c r="Y393" s="13" t="str">
        <f>IF(Data!$G393="","",IF(Data!$G393=Data_Val!$C$2,IF(Data!S393="",0,1),0))</f>
        <v/>
      </c>
      <c r="Z393" s="13" t="str">
        <f>IF(Data!S393="","",IF(ISNUMBER(MATCH(Data!T393,Data_Val!$A$2:$A$3,0)),0,1))</f>
        <v/>
      </c>
      <c r="AA393" s="28" t="str">
        <f ca="1">IF(Data!S393="","",IF(ISNUMBER(Data!U393),IF(AND(Data!U393&gt;(TODAY()-(Data_Val!$L$3*365.25)),Data!U393&lt;=(TODAY()-(Data_Val!$L$2*365.25))),0,1),1))</f>
        <v/>
      </c>
      <c r="AB393" s="11"/>
      <c r="AC393" s="11" t="e">
        <f>IF(Data!#REF!="","",IF(ISNUMBER(MATCH(Data!#REF!,Data_Val!$A$2:$A$3,0)),0,1))</f>
        <v>#REF!</v>
      </c>
      <c r="AD393" s="11" t="e">
        <f ca="1">IF(Data!#REF!="","",IF(ISNUMBER(Data!#REF!),IF(AND(Data!#REF!&gt;(TODAY()-(Data_Val!$L$3*365.25)),Data!#REF!&lt;=(TODAY()-(Data_Val!$L$2*365.25))),0,1),1))</f>
        <v>#REF!</v>
      </c>
      <c r="AE393" s="11" t="e">
        <f>IF(Data!#REF!="","",IF(Data!$G393="",1,IF(ISNUMBER(MATCH(Data!#REF!,Data_Val!$D$2:$D$10,0)),0,1)))</f>
        <v>#REF!</v>
      </c>
      <c r="AF393" s="12"/>
      <c r="AG393" s="12" t="e">
        <f>IF(Data!#REF!="","",IF(ISNUMBER(MATCH(Data!#REF!,Data_Val!$A$2:$A$3,0)),0,1))</f>
        <v>#REF!</v>
      </c>
      <c r="AH393" s="26" t="e">
        <f ca="1">IF(Data!#REF!="","",IF(ISNUMBER(Data!#REF!),IF(AND(Data!#REF!&gt;(TODAY()-(Data_Val!$L$3*365.25)),Data!#REF!&lt;=(TODAY()-(Data_Val!$L$2*365.25))),0,1),1))</f>
        <v>#REF!</v>
      </c>
      <c r="AI393" s="12" t="e">
        <f>IF(Data!#REF!="","",IF(Data!$G393="",1,IF(ISNUMBER(MATCH(Data!#REF!,Data_Val!$D$2:$D$10,0)),0,1)))</f>
        <v>#REF!</v>
      </c>
      <c r="AJ393" s="17"/>
      <c r="AK393" s="17" t="e">
        <f>IF(Data!#REF!="","",IF(ISNUMBER(MATCH(Data!#REF!,Data_Val!$A$2:$A$3,0)),0,1))</f>
        <v>#REF!</v>
      </c>
      <c r="AL393" s="25" t="e">
        <f ca="1">IF(Data!#REF!="","",IF(ISNUMBER(Data!#REF!),IF(AND(Data!#REF!&gt;(TODAY()-(Data_Val!$L$3*365.25)),Data!#REF!&lt;=(TODAY()-(Data_Val!$L$2*365.25))),0,1),1))</f>
        <v>#REF!</v>
      </c>
      <c r="AM393" s="17" t="e">
        <f>IF(Data!#REF!="","",IF(Data!$G393="",1,IF(ISNUMBER(MATCH(Data!#REF!,Data_Val!$D$2:$D$10,0)),0,1)))</f>
        <v>#REF!</v>
      </c>
      <c r="AN393" s="13"/>
      <c r="AO393" s="28" t="e">
        <f ca="1">IF(Data!#REF!="","",IF(ISNUMBER(Data!#REF!),IF(AND(Data!#REF!&gt;(TODAY()-(Data_Val!$I$3*365.25)),Data!#REF!&lt;=(TODAY()-(Data_Val!$I$2*365.25))),0,1),1))</f>
        <v>#REF!</v>
      </c>
      <c r="AP393" s="13" t="e">
        <f>IF(Data!#REF!="","",IF(Data!$G393="",1,IF(ISNUMBER(MATCH(Data!#REF!,Data_Val!$D$2:$D$10,0)),0,1)))</f>
        <v>#REF!</v>
      </c>
      <c r="AQ393" s="17"/>
      <c r="AR393" s="30" t="e">
        <f ca="1">IF(Data!#REF!="","",IF(ISNUMBER(Data!#REF!),IF(AND(Data!#REF!&gt;(TODAY()-(Data_Val!$I$3*365.25)),Data!#REF!&lt;=(TODAY()-(Data_Val!$I$2*365.25))),0,1),1))</f>
        <v>#REF!</v>
      </c>
      <c r="AS393" s="31" t="e">
        <f>IF(Data!#REF!="","",IF(Data!$G393="",1,IF(ISNUMBER(MATCH(Data!#REF!,Data_Val!$D$2:$D$10,0)),0,1)))</f>
        <v>#REF!</v>
      </c>
      <c r="AT393" s="11"/>
      <c r="AU393" s="11" t="e">
        <f ca="1">IF(Data!#REF!="","",IF(ISNUMBER(Data!#REF!),IF(AND(Data!#REF!&gt;(TODAY()-(Data_Val!$I$3*365.25)),Data!#REF!&lt;=(TODAY()-(Data_Val!$I$2*365.25))),0,1),1))</f>
        <v>#REF!</v>
      </c>
      <c r="AV393" s="11" t="e">
        <f>IF(Data!#REF!="","",IF(Data!$G393="",1,IF(ISNUMBER(MATCH(Data!#REF!,Data_Val!$D$2:$D$10,0)),0,1)))</f>
        <v>#REF!</v>
      </c>
      <c r="AW393" s="12"/>
      <c r="AX393" s="26" t="e">
        <f ca="1">IF(Data!#REF!="","",IF(ISNUMBER(Data!#REF!),IF(AND(Data!#REF!&gt;(TODAY()-(Data_Val!$I$3*365.25)),Data!#REF!&lt;=(TODAY()-(Data_Val!$I$2*365.25))),0,1),1))</f>
        <v>#REF!</v>
      </c>
      <c r="AY393" s="12" t="e">
        <f>IF(Data!#REF!="","",IF(Data!$G393="",1,IF(ISNUMBER(MATCH(Data!#REF!,Data_Val!$D$2:$D$10,0)),0,1)))</f>
        <v>#REF!</v>
      </c>
      <c r="AZ393" s="11"/>
      <c r="BA393" s="19" t="e">
        <f ca="1">IF(Data!#REF!="","",IF(ISNUMBER(Data!#REF!),IF(AND(Data!#REF!&gt;(TODAY()-(Data_Val!$M$3*365.25)),Data!#REF!&lt;=(TODAY()-(Data_Val!$M$2*365.25))),0,1),1))</f>
        <v>#REF!</v>
      </c>
      <c r="BB393" s="11" t="e">
        <f>IF(Data!#REF!="","",IF(Data!$G393="",1,IF(ISNUMBER(MATCH(Data!#REF!,Data_Val!$D$2:$D$10,0)),0,1)))</f>
        <v>#REF!</v>
      </c>
      <c r="BC393" s="12"/>
      <c r="BD393" s="20" t="e">
        <f ca="1">IF(Data!#REF!="","",IF(ISNUMBER(Data!#REF!),IF(AND(Data!#REF!&gt;(TODAY()-(Data_Val!$M$3*365.25)),Data!#REF!&lt;=(TODAY()-(Data_Val!$M$2*365.25))),0,1),1))</f>
        <v>#REF!</v>
      </c>
      <c r="BE393" s="12" t="e">
        <f>IF(Data!#REF!="","",IF(Data!$G393="",1,IF(ISNUMBER(MATCH(Data!#REF!,Data_Val!$D$2:$D$10,0)),0,1)))</f>
        <v>#REF!</v>
      </c>
      <c r="BF393" s="17"/>
      <c r="BG393" s="18" t="e">
        <f ca="1">IF(Data!#REF!="","",IF(ISNUMBER(Data!#REF!),IF(AND(Data!#REF!&gt;(TODAY()-(Data_Val!$M$3*365.25)),Data!#REF!&lt;=(TODAY()-(Data_Val!$M$2*365.25))),0,1),1))</f>
        <v>#REF!</v>
      </c>
      <c r="BH393" s="29" t="e">
        <f>IF(Data!#REF!="","",IF(Data!$G393="",1,IF(ISNUMBER(MATCH(Data!#REF!,Data_Val!$D$2:$D$10,0)),0,1)))</f>
        <v>#REF!</v>
      </c>
      <c r="BI393" s="13"/>
      <c r="BJ393" s="21" t="e">
        <f ca="1">IF(Data!#REF!="","",IF(ISNUMBER(Data!#REF!),IF(AND(Data!#REF!&gt;(TODAY()-(Data_Val!$M$3*365.25)),Data!#REF!&lt;=(TODAY()-(Data_Val!$M$2*365.25))),0,1),1))</f>
        <v>#REF!</v>
      </c>
      <c r="BK393" s="13" t="e">
        <f>IF(Data!#REF!="","",IF(Data!$G393="",1,IF(ISNUMBER(MATCH(Data!#REF!,Data_Val!$D$2:$D$10,0)),0,1)))</f>
        <v>#REF!</v>
      </c>
    </row>
    <row r="394" spans="1:63" x14ac:dyDescent="0.25">
      <c r="A394" s="9" t="str">
        <f>IF(Data!B394="","",IF(COUNTIFS(Data!A$1:'Data'!A394,Data!A394)&lt;=1,0,1))</f>
        <v/>
      </c>
      <c r="B394" s="9"/>
      <c r="C394" s="23" t="str">
        <f>IF(Data!C394="","",(IF(ISNUMBER(MATCH("*@*.?*",Data!C394,0)),0,1)+IF(COUNTIFS(Data!C$1:'Data'!C394,Data!C394)&gt;1,1,0)))</f>
        <v/>
      </c>
      <c r="D394" s="9" t="str">
        <f>IF(Data!B394="","",IF(ISNUMBER(Data!D394),IF(AND(Data!D394&gt;999999999,Data!D394&lt;=9999999999),IF(COUNTIFS(Data!D$1:'Data'!D394,Data!D394)&lt;=1,0,1),1),1))</f>
        <v/>
      </c>
      <c r="E394" s="9" t="str">
        <f>IF(Data!B394="","",IF(ISNUMBER(MATCH(Data!E394,Data_Val!$A$2:$A$3,0)),0,1))</f>
        <v/>
      </c>
      <c r="F394" s="9" t="str">
        <f ca="1">IF(Data!B394="","",IF(ISNUMBER(Data!F394),IF(AND(Data!F394&gt;(TODAY()-(Data_Val!$H$3*365.25)),Data!F394&lt;=(TODAY()-(Data_Val!$H$2*365.25))),0,1),1))</f>
        <v/>
      </c>
      <c r="G394" s="15" t="str">
        <f>IF(Data!B394="","",IF(AND(Data!G394="",Data!H394&lt;&gt;""),1,IF(Data!#REF!&lt;&gt;"",0,IF(ISNUMBER(MATCH(Data!G394,Data_Val!$C$2:$C$5,0)),0,1))))</f>
        <v/>
      </c>
      <c r="H394" s="15" t="str">
        <f>IF(Data!B394="","",IF(AND(Data!G394&lt;&gt;"",Data!H394=""),1,IF(Data!#REF!&lt;&gt;"",0,IF(Data!G394="",1,IF(ISNUMBER(MATCH(Data!H394,Data_Val!$D$2:$D$35,0)),0,1)))))</f>
        <v/>
      </c>
      <c r="I394" s="15" t="str">
        <f>IF(Data!B394="","",IF(Data!G394&lt;&gt;"",0,IF(ISNUMBER(MATCH(Data!#REF!,Data_Val!$E$2:$E$12,0)),0,1)))</f>
        <v/>
      </c>
      <c r="J394" s="16" t="e">
        <f>IF(OR(Data!B394="",Data!#REF!=""),"",IF(Data!#REF!="",1,0))</f>
        <v>#REF!</v>
      </c>
      <c r="K394" s="16" t="e">
        <f>IF(OR(Data!B394="",Data!#REF!=""),"",IF(Data!#REF!="",1,0))</f>
        <v>#REF!</v>
      </c>
      <c r="L394" s="16" t="e">
        <f>IF(OR(Data!B394="",Data!#REF!=""),"",IF(ISNUMBER(Data!#REF!),IF(AND(Data!#REF!&gt;Data_Val!$G$2,Data!#REF!&lt;=Data_Val!$G$3),0,1),1))</f>
        <v>#REF!</v>
      </c>
      <c r="M394" s="9" t="e">
        <f>IF(OR(Data!B394="",Data!#REF!=""),"",IF(ISNUMBER(MATCH(Data!#REF!,Data_Val!$F$1:$F$38,0)),0,1))</f>
        <v>#REF!</v>
      </c>
      <c r="N394" s="9" t="e">
        <f>IF(OR(Data!B394="",Data!#REF!=""),"",IF(Data!#REF!="",1,0))</f>
        <v>#REF!</v>
      </c>
      <c r="O394" s="17" t="e">
        <f>IF(Data!#REF!="","",IF(Data!#REF!="",1,0))</f>
        <v>#REF!</v>
      </c>
      <c r="P394" s="17" t="e">
        <f>IF(Data!#REF!="","",IF(ISNUMBER(MATCH(Data!#REF!,Data_Val!$A$2:$A$3,0)),0,1))</f>
        <v>#REF!</v>
      </c>
      <c r="Q394" s="25" t="e">
        <f ca="1">IF(Data!#REF!="","",IF(ISNUMBER(Data!#REF!),IF(AND(Data!#REF!&gt;(TODAY()-(Data_Val!$J$3*365.25)),Data!#REF!&lt;=(TODAY()-(Data_Val!$J$2*365.25))),0,1),1))</f>
        <v>#REF!</v>
      </c>
      <c r="R394" s="17" t="e">
        <f>IF(Data!#REF!="","",IF(ISNUMBER(MATCH(Data!#REF!,Data_Val!$B$2:$B$15,0)),0,1))</f>
        <v>#REF!</v>
      </c>
      <c r="S394" s="11" t="str">
        <f>IF(Data!G394="","",IF(Data!G394=Data_Val!$C$2,IF(Data!M394="",0,1),0))</f>
        <v/>
      </c>
      <c r="T394" s="11" t="str">
        <f>IF(Data!M394="","",IF(ISNUMBER(MATCH(Data!N394,Data_Val!$A$2:$A$3,0)),0,1))</f>
        <v/>
      </c>
      <c r="U394" s="11" t="str">
        <f ca="1">IF(Data!M394="","",IF(ISNUMBER(Data!O394),IF(AND(Data!O394&gt;(TODAY()-(Data_Val!$K$3*365.25)),Data!O394&lt;=(TODAY()-(Data_Val!$K$2*365.25))),0,1),1))</f>
        <v/>
      </c>
      <c r="V394" s="12" t="str">
        <f>IF(Data!G394="","",IF(Data!G394=Data_Val!$C$2,IF(Data!P394="",0,1),0))</f>
        <v/>
      </c>
      <c r="W394" s="12" t="str">
        <f>IF(Data!P394="","",IF(ISNUMBER(MATCH(Data!Q394,Data_Val!$A$2:$A$3,0)),0,1))</f>
        <v/>
      </c>
      <c r="X394" s="26" t="str">
        <f ca="1">IF(Data!P394="","",IF(ISNUMBER(Data!R394),IF(AND(Data!R394&gt;(TODAY()-(Data_Val!$L$3*365.25)),Data!R394&lt;=(TODAY()-(Data_Val!$L$2*365.25))),0,1),1))</f>
        <v/>
      </c>
      <c r="Y394" s="13" t="str">
        <f>IF(Data!$G394="","",IF(Data!$G394=Data_Val!$C$2,IF(Data!S394="",0,1),0))</f>
        <v/>
      </c>
      <c r="Z394" s="13" t="str">
        <f>IF(Data!S394="","",IF(ISNUMBER(MATCH(Data!T394,Data_Val!$A$2:$A$3,0)),0,1))</f>
        <v/>
      </c>
      <c r="AA394" s="28" t="str">
        <f ca="1">IF(Data!S394="","",IF(ISNUMBER(Data!U394),IF(AND(Data!U394&gt;(TODAY()-(Data_Val!$L$3*365.25)),Data!U394&lt;=(TODAY()-(Data_Val!$L$2*365.25))),0,1),1))</f>
        <v/>
      </c>
      <c r="AB394" s="11"/>
      <c r="AC394" s="11" t="e">
        <f>IF(Data!#REF!="","",IF(ISNUMBER(MATCH(Data!#REF!,Data_Val!$A$2:$A$3,0)),0,1))</f>
        <v>#REF!</v>
      </c>
      <c r="AD394" s="11" t="e">
        <f ca="1">IF(Data!#REF!="","",IF(ISNUMBER(Data!#REF!),IF(AND(Data!#REF!&gt;(TODAY()-(Data_Val!$L$3*365.25)),Data!#REF!&lt;=(TODAY()-(Data_Val!$L$2*365.25))),0,1),1))</f>
        <v>#REF!</v>
      </c>
      <c r="AE394" s="11" t="e">
        <f>IF(Data!#REF!="","",IF(Data!$G394="",1,IF(ISNUMBER(MATCH(Data!#REF!,Data_Val!$D$2:$D$10,0)),0,1)))</f>
        <v>#REF!</v>
      </c>
      <c r="AF394" s="12"/>
      <c r="AG394" s="12" t="e">
        <f>IF(Data!#REF!="","",IF(ISNUMBER(MATCH(Data!#REF!,Data_Val!$A$2:$A$3,0)),0,1))</f>
        <v>#REF!</v>
      </c>
      <c r="AH394" s="26" t="e">
        <f ca="1">IF(Data!#REF!="","",IF(ISNUMBER(Data!#REF!),IF(AND(Data!#REF!&gt;(TODAY()-(Data_Val!$L$3*365.25)),Data!#REF!&lt;=(TODAY()-(Data_Val!$L$2*365.25))),0,1),1))</f>
        <v>#REF!</v>
      </c>
      <c r="AI394" s="12" t="e">
        <f>IF(Data!#REF!="","",IF(Data!$G394="",1,IF(ISNUMBER(MATCH(Data!#REF!,Data_Val!$D$2:$D$10,0)),0,1)))</f>
        <v>#REF!</v>
      </c>
      <c r="AJ394" s="17"/>
      <c r="AK394" s="17" t="e">
        <f>IF(Data!#REF!="","",IF(ISNUMBER(MATCH(Data!#REF!,Data_Val!$A$2:$A$3,0)),0,1))</f>
        <v>#REF!</v>
      </c>
      <c r="AL394" s="25" t="e">
        <f ca="1">IF(Data!#REF!="","",IF(ISNUMBER(Data!#REF!),IF(AND(Data!#REF!&gt;(TODAY()-(Data_Val!$L$3*365.25)),Data!#REF!&lt;=(TODAY()-(Data_Val!$L$2*365.25))),0,1),1))</f>
        <v>#REF!</v>
      </c>
      <c r="AM394" s="17" t="e">
        <f>IF(Data!#REF!="","",IF(Data!$G394="",1,IF(ISNUMBER(MATCH(Data!#REF!,Data_Val!$D$2:$D$10,0)),0,1)))</f>
        <v>#REF!</v>
      </c>
      <c r="AN394" s="13"/>
      <c r="AO394" s="28" t="e">
        <f ca="1">IF(Data!#REF!="","",IF(ISNUMBER(Data!#REF!),IF(AND(Data!#REF!&gt;(TODAY()-(Data_Val!$I$3*365.25)),Data!#REF!&lt;=(TODAY()-(Data_Val!$I$2*365.25))),0,1),1))</f>
        <v>#REF!</v>
      </c>
      <c r="AP394" s="13" t="e">
        <f>IF(Data!#REF!="","",IF(Data!$G394="",1,IF(ISNUMBER(MATCH(Data!#REF!,Data_Val!$D$2:$D$10,0)),0,1)))</f>
        <v>#REF!</v>
      </c>
      <c r="AQ394" s="17"/>
      <c r="AR394" s="30" t="e">
        <f ca="1">IF(Data!#REF!="","",IF(ISNUMBER(Data!#REF!),IF(AND(Data!#REF!&gt;(TODAY()-(Data_Val!$I$3*365.25)),Data!#REF!&lt;=(TODAY()-(Data_Val!$I$2*365.25))),0,1),1))</f>
        <v>#REF!</v>
      </c>
      <c r="AS394" s="31" t="e">
        <f>IF(Data!#REF!="","",IF(Data!$G394="",1,IF(ISNUMBER(MATCH(Data!#REF!,Data_Val!$D$2:$D$10,0)),0,1)))</f>
        <v>#REF!</v>
      </c>
      <c r="AT394" s="11"/>
      <c r="AU394" s="11" t="e">
        <f ca="1">IF(Data!#REF!="","",IF(ISNUMBER(Data!#REF!),IF(AND(Data!#REF!&gt;(TODAY()-(Data_Val!$I$3*365.25)),Data!#REF!&lt;=(TODAY()-(Data_Val!$I$2*365.25))),0,1),1))</f>
        <v>#REF!</v>
      </c>
      <c r="AV394" s="11" t="e">
        <f>IF(Data!#REF!="","",IF(Data!$G394="",1,IF(ISNUMBER(MATCH(Data!#REF!,Data_Val!$D$2:$D$10,0)),0,1)))</f>
        <v>#REF!</v>
      </c>
      <c r="AW394" s="12"/>
      <c r="AX394" s="26" t="e">
        <f ca="1">IF(Data!#REF!="","",IF(ISNUMBER(Data!#REF!),IF(AND(Data!#REF!&gt;(TODAY()-(Data_Val!$I$3*365.25)),Data!#REF!&lt;=(TODAY()-(Data_Val!$I$2*365.25))),0,1),1))</f>
        <v>#REF!</v>
      </c>
      <c r="AY394" s="12" t="e">
        <f>IF(Data!#REF!="","",IF(Data!$G394="",1,IF(ISNUMBER(MATCH(Data!#REF!,Data_Val!$D$2:$D$10,0)),0,1)))</f>
        <v>#REF!</v>
      </c>
      <c r="AZ394" s="11"/>
      <c r="BA394" s="19" t="e">
        <f ca="1">IF(Data!#REF!="","",IF(ISNUMBER(Data!#REF!),IF(AND(Data!#REF!&gt;(TODAY()-(Data_Val!$M$3*365.25)),Data!#REF!&lt;=(TODAY()-(Data_Val!$M$2*365.25))),0,1),1))</f>
        <v>#REF!</v>
      </c>
      <c r="BB394" s="11" t="e">
        <f>IF(Data!#REF!="","",IF(Data!$G394="",1,IF(ISNUMBER(MATCH(Data!#REF!,Data_Val!$D$2:$D$10,0)),0,1)))</f>
        <v>#REF!</v>
      </c>
      <c r="BC394" s="12"/>
      <c r="BD394" s="20" t="e">
        <f ca="1">IF(Data!#REF!="","",IF(ISNUMBER(Data!#REF!),IF(AND(Data!#REF!&gt;(TODAY()-(Data_Val!$M$3*365.25)),Data!#REF!&lt;=(TODAY()-(Data_Val!$M$2*365.25))),0,1),1))</f>
        <v>#REF!</v>
      </c>
      <c r="BE394" s="12" t="e">
        <f>IF(Data!#REF!="","",IF(Data!$G394="",1,IF(ISNUMBER(MATCH(Data!#REF!,Data_Val!$D$2:$D$10,0)),0,1)))</f>
        <v>#REF!</v>
      </c>
      <c r="BF394" s="17"/>
      <c r="BG394" s="18" t="e">
        <f ca="1">IF(Data!#REF!="","",IF(ISNUMBER(Data!#REF!),IF(AND(Data!#REF!&gt;(TODAY()-(Data_Val!$M$3*365.25)),Data!#REF!&lt;=(TODAY()-(Data_Val!$M$2*365.25))),0,1),1))</f>
        <v>#REF!</v>
      </c>
      <c r="BH394" s="29" t="e">
        <f>IF(Data!#REF!="","",IF(Data!$G394="",1,IF(ISNUMBER(MATCH(Data!#REF!,Data_Val!$D$2:$D$10,0)),0,1)))</f>
        <v>#REF!</v>
      </c>
      <c r="BI394" s="13"/>
      <c r="BJ394" s="21" t="e">
        <f ca="1">IF(Data!#REF!="","",IF(ISNUMBER(Data!#REF!),IF(AND(Data!#REF!&gt;(TODAY()-(Data_Val!$M$3*365.25)),Data!#REF!&lt;=(TODAY()-(Data_Val!$M$2*365.25))),0,1),1))</f>
        <v>#REF!</v>
      </c>
      <c r="BK394" s="13" t="e">
        <f>IF(Data!#REF!="","",IF(Data!$G394="",1,IF(ISNUMBER(MATCH(Data!#REF!,Data_Val!$D$2:$D$10,0)),0,1)))</f>
        <v>#REF!</v>
      </c>
    </row>
    <row r="395" spans="1:63" x14ac:dyDescent="0.25">
      <c r="A395" s="9" t="str">
        <f>IF(Data!B395="","",IF(COUNTIFS(Data!A$1:'Data'!A395,Data!A395)&lt;=1,0,1))</f>
        <v/>
      </c>
      <c r="B395" s="9"/>
      <c r="C395" s="23" t="str">
        <f>IF(Data!C395="","",(IF(ISNUMBER(MATCH("*@*.?*",Data!C395,0)),0,1)+IF(COUNTIFS(Data!C$1:'Data'!C395,Data!C395)&gt;1,1,0)))</f>
        <v/>
      </c>
      <c r="D395" s="9" t="str">
        <f>IF(Data!B395="","",IF(ISNUMBER(Data!D395),IF(AND(Data!D395&gt;999999999,Data!D395&lt;=9999999999),IF(COUNTIFS(Data!D$1:'Data'!D395,Data!D395)&lt;=1,0,1),1),1))</f>
        <v/>
      </c>
      <c r="E395" s="9" t="str">
        <f>IF(Data!B395="","",IF(ISNUMBER(MATCH(Data!E395,Data_Val!$A$2:$A$3,0)),0,1))</f>
        <v/>
      </c>
      <c r="F395" s="9" t="str">
        <f ca="1">IF(Data!B395="","",IF(ISNUMBER(Data!F395),IF(AND(Data!F395&gt;(TODAY()-(Data_Val!$H$3*365.25)),Data!F395&lt;=(TODAY()-(Data_Val!$H$2*365.25))),0,1),1))</f>
        <v/>
      </c>
      <c r="G395" s="15" t="str">
        <f>IF(Data!B395="","",IF(AND(Data!G395="",Data!H395&lt;&gt;""),1,IF(Data!#REF!&lt;&gt;"",0,IF(ISNUMBER(MATCH(Data!G395,Data_Val!$C$2:$C$5,0)),0,1))))</f>
        <v/>
      </c>
      <c r="H395" s="15" t="str">
        <f>IF(Data!B395="","",IF(AND(Data!G395&lt;&gt;"",Data!H395=""),1,IF(Data!#REF!&lt;&gt;"",0,IF(Data!G395="",1,IF(ISNUMBER(MATCH(Data!H395,Data_Val!$D$2:$D$35,0)),0,1)))))</f>
        <v/>
      </c>
      <c r="I395" s="15" t="str">
        <f>IF(Data!B395="","",IF(Data!G395&lt;&gt;"",0,IF(ISNUMBER(MATCH(Data!#REF!,Data_Val!$E$2:$E$12,0)),0,1)))</f>
        <v/>
      </c>
      <c r="J395" s="16" t="e">
        <f>IF(OR(Data!B395="",Data!#REF!=""),"",IF(Data!#REF!="",1,0))</f>
        <v>#REF!</v>
      </c>
      <c r="K395" s="16" t="e">
        <f>IF(OR(Data!B395="",Data!#REF!=""),"",IF(Data!#REF!="",1,0))</f>
        <v>#REF!</v>
      </c>
      <c r="L395" s="16" t="e">
        <f>IF(OR(Data!B395="",Data!#REF!=""),"",IF(ISNUMBER(Data!#REF!),IF(AND(Data!#REF!&gt;Data_Val!$G$2,Data!#REF!&lt;=Data_Val!$G$3),0,1),1))</f>
        <v>#REF!</v>
      </c>
      <c r="M395" s="9" t="e">
        <f>IF(OR(Data!B395="",Data!#REF!=""),"",IF(ISNUMBER(MATCH(Data!#REF!,Data_Val!$F$1:$F$38,0)),0,1))</f>
        <v>#REF!</v>
      </c>
      <c r="N395" s="9" t="e">
        <f>IF(OR(Data!B395="",Data!#REF!=""),"",IF(Data!#REF!="",1,0))</f>
        <v>#REF!</v>
      </c>
      <c r="O395" s="17" t="e">
        <f>IF(Data!#REF!="","",IF(Data!#REF!="",1,0))</f>
        <v>#REF!</v>
      </c>
      <c r="P395" s="17" t="e">
        <f>IF(Data!#REF!="","",IF(ISNUMBER(MATCH(Data!#REF!,Data_Val!$A$2:$A$3,0)),0,1))</f>
        <v>#REF!</v>
      </c>
      <c r="Q395" s="25" t="e">
        <f ca="1">IF(Data!#REF!="","",IF(ISNUMBER(Data!#REF!),IF(AND(Data!#REF!&gt;(TODAY()-(Data_Val!$J$3*365.25)),Data!#REF!&lt;=(TODAY()-(Data_Val!$J$2*365.25))),0,1),1))</f>
        <v>#REF!</v>
      </c>
      <c r="R395" s="17" t="e">
        <f>IF(Data!#REF!="","",IF(ISNUMBER(MATCH(Data!#REF!,Data_Val!$B$2:$B$15,0)),0,1))</f>
        <v>#REF!</v>
      </c>
      <c r="S395" s="11" t="str">
        <f>IF(Data!G395="","",IF(Data!G395=Data_Val!$C$2,IF(Data!M395="",0,1),0))</f>
        <v/>
      </c>
      <c r="T395" s="11" t="str">
        <f>IF(Data!M395="","",IF(ISNUMBER(MATCH(Data!N395,Data_Val!$A$2:$A$3,0)),0,1))</f>
        <v/>
      </c>
      <c r="U395" s="11" t="str">
        <f ca="1">IF(Data!M395="","",IF(ISNUMBER(Data!O395),IF(AND(Data!O395&gt;(TODAY()-(Data_Val!$K$3*365.25)),Data!O395&lt;=(TODAY()-(Data_Val!$K$2*365.25))),0,1),1))</f>
        <v/>
      </c>
      <c r="V395" s="12" t="str">
        <f>IF(Data!G395="","",IF(Data!G395=Data_Val!$C$2,IF(Data!P395="",0,1),0))</f>
        <v/>
      </c>
      <c r="W395" s="12" t="str">
        <f>IF(Data!P395="","",IF(ISNUMBER(MATCH(Data!Q395,Data_Val!$A$2:$A$3,0)),0,1))</f>
        <v/>
      </c>
      <c r="X395" s="26" t="str">
        <f ca="1">IF(Data!P395="","",IF(ISNUMBER(Data!R395),IF(AND(Data!R395&gt;(TODAY()-(Data_Val!$L$3*365.25)),Data!R395&lt;=(TODAY()-(Data_Val!$L$2*365.25))),0,1),1))</f>
        <v/>
      </c>
      <c r="Y395" s="13" t="str">
        <f>IF(Data!$G395="","",IF(Data!$G395=Data_Val!$C$2,IF(Data!S395="",0,1),0))</f>
        <v/>
      </c>
      <c r="Z395" s="13" t="str">
        <f>IF(Data!S395="","",IF(ISNUMBER(MATCH(Data!T395,Data_Val!$A$2:$A$3,0)),0,1))</f>
        <v/>
      </c>
      <c r="AA395" s="28" t="str">
        <f ca="1">IF(Data!S395="","",IF(ISNUMBER(Data!U395),IF(AND(Data!U395&gt;(TODAY()-(Data_Val!$L$3*365.25)),Data!U395&lt;=(TODAY()-(Data_Val!$L$2*365.25))),0,1),1))</f>
        <v/>
      </c>
      <c r="AB395" s="11"/>
      <c r="AC395" s="11" t="e">
        <f>IF(Data!#REF!="","",IF(ISNUMBER(MATCH(Data!#REF!,Data_Val!$A$2:$A$3,0)),0,1))</f>
        <v>#REF!</v>
      </c>
      <c r="AD395" s="11" t="e">
        <f ca="1">IF(Data!#REF!="","",IF(ISNUMBER(Data!#REF!),IF(AND(Data!#REF!&gt;(TODAY()-(Data_Val!$L$3*365.25)),Data!#REF!&lt;=(TODAY()-(Data_Val!$L$2*365.25))),0,1),1))</f>
        <v>#REF!</v>
      </c>
      <c r="AE395" s="11" t="e">
        <f>IF(Data!#REF!="","",IF(Data!$G395="",1,IF(ISNUMBER(MATCH(Data!#REF!,Data_Val!$D$2:$D$10,0)),0,1)))</f>
        <v>#REF!</v>
      </c>
      <c r="AF395" s="12"/>
      <c r="AG395" s="12" t="e">
        <f>IF(Data!#REF!="","",IF(ISNUMBER(MATCH(Data!#REF!,Data_Val!$A$2:$A$3,0)),0,1))</f>
        <v>#REF!</v>
      </c>
      <c r="AH395" s="26" t="e">
        <f ca="1">IF(Data!#REF!="","",IF(ISNUMBER(Data!#REF!),IF(AND(Data!#REF!&gt;(TODAY()-(Data_Val!$L$3*365.25)),Data!#REF!&lt;=(TODAY()-(Data_Val!$L$2*365.25))),0,1),1))</f>
        <v>#REF!</v>
      </c>
      <c r="AI395" s="12" t="e">
        <f>IF(Data!#REF!="","",IF(Data!$G395="",1,IF(ISNUMBER(MATCH(Data!#REF!,Data_Val!$D$2:$D$10,0)),0,1)))</f>
        <v>#REF!</v>
      </c>
      <c r="AJ395" s="17"/>
      <c r="AK395" s="17" t="e">
        <f>IF(Data!#REF!="","",IF(ISNUMBER(MATCH(Data!#REF!,Data_Val!$A$2:$A$3,0)),0,1))</f>
        <v>#REF!</v>
      </c>
      <c r="AL395" s="25" t="e">
        <f ca="1">IF(Data!#REF!="","",IF(ISNUMBER(Data!#REF!),IF(AND(Data!#REF!&gt;(TODAY()-(Data_Val!$L$3*365.25)),Data!#REF!&lt;=(TODAY()-(Data_Val!$L$2*365.25))),0,1),1))</f>
        <v>#REF!</v>
      </c>
      <c r="AM395" s="17" t="e">
        <f>IF(Data!#REF!="","",IF(Data!$G395="",1,IF(ISNUMBER(MATCH(Data!#REF!,Data_Val!$D$2:$D$10,0)),0,1)))</f>
        <v>#REF!</v>
      </c>
      <c r="AN395" s="13"/>
      <c r="AO395" s="28" t="e">
        <f ca="1">IF(Data!#REF!="","",IF(ISNUMBER(Data!#REF!),IF(AND(Data!#REF!&gt;(TODAY()-(Data_Val!$I$3*365.25)),Data!#REF!&lt;=(TODAY()-(Data_Val!$I$2*365.25))),0,1),1))</f>
        <v>#REF!</v>
      </c>
      <c r="AP395" s="13" t="e">
        <f>IF(Data!#REF!="","",IF(Data!$G395="",1,IF(ISNUMBER(MATCH(Data!#REF!,Data_Val!$D$2:$D$10,0)),0,1)))</f>
        <v>#REF!</v>
      </c>
      <c r="AQ395" s="17"/>
      <c r="AR395" s="30" t="e">
        <f ca="1">IF(Data!#REF!="","",IF(ISNUMBER(Data!#REF!),IF(AND(Data!#REF!&gt;(TODAY()-(Data_Val!$I$3*365.25)),Data!#REF!&lt;=(TODAY()-(Data_Val!$I$2*365.25))),0,1),1))</f>
        <v>#REF!</v>
      </c>
      <c r="AS395" s="31" t="e">
        <f>IF(Data!#REF!="","",IF(Data!$G395="",1,IF(ISNUMBER(MATCH(Data!#REF!,Data_Val!$D$2:$D$10,0)),0,1)))</f>
        <v>#REF!</v>
      </c>
      <c r="AT395" s="11"/>
      <c r="AU395" s="11" t="e">
        <f ca="1">IF(Data!#REF!="","",IF(ISNUMBER(Data!#REF!),IF(AND(Data!#REF!&gt;(TODAY()-(Data_Val!$I$3*365.25)),Data!#REF!&lt;=(TODAY()-(Data_Val!$I$2*365.25))),0,1),1))</f>
        <v>#REF!</v>
      </c>
      <c r="AV395" s="11" t="e">
        <f>IF(Data!#REF!="","",IF(Data!$G395="",1,IF(ISNUMBER(MATCH(Data!#REF!,Data_Val!$D$2:$D$10,0)),0,1)))</f>
        <v>#REF!</v>
      </c>
      <c r="AW395" s="12"/>
      <c r="AX395" s="26" t="e">
        <f ca="1">IF(Data!#REF!="","",IF(ISNUMBER(Data!#REF!),IF(AND(Data!#REF!&gt;(TODAY()-(Data_Val!$I$3*365.25)),Data!#REF!&lt;=(TODAY()-(Data_Val!$I$2*365.25))),0,1),1))</f>
        <v>#REF!</v>
      </c>
      <c r="AY395" s="12" t="e">
        <f>IF(Data!#REF!="","",IF(Data!$G395="",1,IF(ISNUMBER(MATCH(Data!#REF!,Data_Val!$D$2:$D$10,0)),0,1)))</f>
        <v>#REF!</v>
      </c>
      <c r="AZ395" s="11"/>
      <c r="BA395" s="19" t="e">
        <f ca="1">IF(Data!#REF!="","",IF(ISNUMBER(Data!#REF!),IF(AND(Data!#REF!&gt;(TODAY()-(Data_Val!$M$3*365.25)),Data!#REF!&lt;=(TODAY()-(Data_Val!$M$2*365.25))),0,1),1))</f>
        <v>#REF!</v>
      </c>
      <c r="BB395" s="11" t="e">
        <f>IF(Data!#REF!="","",IF(Data!$G395="",1,IF(ISNUMBER(MATCH(Data!#REF!,Data_Val!$D$2:$D$10,0)),0,1)))</f>
        <v>#REF!</v>
      </c>
      <c r="BC395" s="12"/>
      <c r="BD395" s="20" t="e">
        <f ca="1">IF(Data!#REF!="","",IF(ISNUMBER(Data!#REF!),IF(AND(Data!#REF!&gt;(TODAY()-(Data_Val!$M$3*365.25)),Data!#REF!&lt;=(TODAY()-(Data_Val!$M$2*365.25))),0,1),1))</f>
        <v>#REF!</v>
      </c>
      <c r="BE395" s="12" t="e">
        <f>IF(Data!#REF!="","",IF(Data!$G395="",1,IF(ISNUMBER(MATCH(Data!#REF!,Data_Val!$D$2:$D$10,0)),0,1)))</f>
        <v>#REF!</v>
      </c>
      <c r="BF395" s="17"/>
      <c r="BG395" s="18" t="e">
        <f ca="1">IF(Data!#REF!="","",IF(ISNUMBER(Data!#REF!),IF(AND(Data!#REF!&gt;(TODAY()-(Data_Val!$M$3*365.25)),Data!#REF!&lt;=(TODAY()-(Data_Val!$M$2*365.25))),0,1),1))</f>
        <v>#REF!</v>
      </c>
      <c r="BH395" s="29" t="e">
        <f>IF(Data!#REF!="","",IF(Data!$G395="",1,IF(ISNUMBER(MATCH(Data!#REF!,Data_Val!$D$2:$D$10,0)),0,1)))</f>
        <v>#REF!</v>
      </c>
      <c r="BI395" s="13"/>
      <c r="BJ395" s="21" t="e">
        <f ca="1">IF(Data!#REF!="","",IF(ISNUMBER(Data!#REF!),IF(AND(Data!#REF!&gt;(TODAY()-(Data_Val!$M$3*365.25)),Data!#REF!&lt;=(TODAY()-(Data_Val!$M$2*365.25))),0,1),1))</f>
        <v>#REF!</v>
      </c>
      <c r="BK395" s="13" t="e">
        <f>IF(Data!#REF!="","",IF(Data!$G395="",1,IF(ISNUMBER(MATCH(Data!#REF!,Data_Val!$D$2:$D$10,0)),0,1)))</f>
        <v>#REF!</v>
      </c>
    </row>
    <row r="396" spans="1:63" x14ac:dyDescent="0.25">
      <c r="A396" s="9" t="str">
        <f>IF(Data!B396="","",IF(COUNTIFS(Data!A$1:'Data'!A396,Data!A396)&lt;=1,0,1))</f>
        <v/>
      </c>
      <c r="B396" s="9"/>
      <c r="C396" s="23" t="str">
        <f>IF(Data!C396="","",(IF(ISNUMBER(MATCH("*@*.?*",Data!C396,0)),0,1)+IF(COUNTIFS(Data!C$1:'Data'!C396,Data!C396)&gt;1,1,0)))</f>
        <v/>
      </c>
      <c r="D396" s="9" t="str">
        <f>IF(Data!B396="","",IF(ISNUMBER(Data!D396),IF(AND(Data!D396&gt;999999999,Data!D396&lt;=9999999999),IF(COUNTIFS(Data!D$1:'Data'!D396,Data!D396)&lt;=1,0,1),1),1))</f>
        <v/>
      </c>
      <c r="E396" s="9" t="str">
        <f>IF(Data!B396="","",IF(ISNUMBER(MATCH(Data!E396,Data_Val!$A$2:$A$3,0)),0,1))</f>
        <v/>
      </c>
      <c r="F396" s="9" t="str">
        <f ca="1">IF(Data!B396="","",IF(ISNUMBER(Data!F396),IF(AND(Data!F396&gt;(TODAY()-(Data_Val!$H$3*365.25)),Data!F396&lt;=(TODAY()-(Data_Val!$H$2*365.25))),0,1),1))</f>
        <v/>
      </c>
      <c r="G396" s="15" t="str">
        <f>IF(Data!B396="","",IF(AND(Data!G396="",Data!H396&lt;&gt;""),1,IF(Data!#REF!&lt;&gt;"",0,IF(ISNUMBER(MATCH(Data!G396,Data_Val!$C$2:$C$5,0)),0,1))))</f>
        <v/>
      </c>
      <c r="H396" s="15" t="str">
        <f>IF(Data!B396="","",IF(AND(Data!G396&lt;&gt;"",Data!H396=""),1,IF(Data!#REF!&lt;&gt;"",0,IF(Data!G396="",1,IF(ISNUMBER(MATCH(Data!H396,Data_Val!$D$2:$D$35,0)),0,1)))))</f>
        <v/>
      </c>
      <c r="I396" s="15" t="str">
        <f>IF(Data!B396="","",IF(Data!G396&lt;&gt;"",0,IF(ISNUMBER(MATCH(Data!#REF!,Data_Val!$E$2:$E$12,0)),0,1)))</f>
        <v/>
      </c>
      <c r="J396" s="16" t="e">
        <f>IF(OR(Data!B396="",Data!#REF!=""),"",IF(Data!#REF!="",1,0))</f>
        <v>#REF!</v>
      </c>
      <c r="K396" s="16" t="e">
        <f>IF(OR(Data!B396="",Data!#REF!=""),"",IF(Data!#REF!="",1,0))</f>
        <v>#REF!</v>
      </c>
      <c r="L396" s="16" t="e">
        <f>IF(OR(Data!B396="",Data!#REF!=""),"",IF(ISNUMBER(Data!#REF!),IF(AND(Data!#REF!&gt;Data_Val!$G$2,Data!#REF!&lt;=Data_Val!$G$3),0,1),1))</f>
        <v>#REF!</v>
      </c>
      <c r="M396" s="9" t="e">
        <f>IF(OR(Data!B396="",Data!#REF!=""),"",IF(ISNUMBER(MATCH(Data!#REF!,Data_Val!$F$1:$F$38,0)),0,1))</f>
        <v>#REF!</v>
      </c>
      <c r="N396" s="9" t="e">
        <f>IF(OR(Data!B396="",Data!#REF!=""),"",IF(Data!#REF!="",1,0))</f>
        <v>#REF!</v>
      </c>
      <c r="O396" s="17" t="e">
        <f>IF(Data!#REF!="","",IF(Data!#REF!="",1,0))</f>
        <v>#REF!</v>
      </c>
      <c r="P396" s="17" t="e">
        <f>IF(Data!#REF!="","",IF(ISNUMBER(MATCH(Data!#REF!,Data_Val!$A$2:$A$3,0)),0,1))</f>
        <v>#REF!</v>
      </c>
      <c r="Q396" s="25" t="e">
        <f ca="1">IF(Data!#REF!="","",IF(ISNUMBER(Data!#REF!),IF(AND(Data!#REF!&gt;(TODAY()-(Data_Val!$J$3*365.25)),Data!#REF!&lt;=(TODAY()-(Data_Val!$J$2*365.25))),0,1),1))</f>
        <v>#REF!</v>
      </c>
      <c r="R396" s="17" t="e">
        <f>IF(Data!#REF!="","",IF(ISNUMBER(MATCH(Data!#REF!,Data_Val!$B$2:$B$15,0)),0,1))</f>
        <v>#REF!</v>
      </c>
      <c r="S396" s="11" t="str">
        <f>IF(Data!G396="","",IF(Data!G396=Data_Val!$C$2,IF(Data!M396="",0,1),0))</f>
        <v/>
      </c>
      <c r="T396" s="11" t="str">
        <f>IF(Data!M396="","",IF(ISNUMBER(MATCH(Data!N396,Data_Val!$A$2:$A$3,0)),0,1))</f>
        <v/>
      </c>
      <c r="U396" s="11" t="str">
        <f ca="1">IF(Data!M396="","",IF(ISNUMBER(Data!O396),IF(AND(Data!O396&gt;(TODAY()-(Data_Val!$K$3*365.25)),Data!O396&lt;=(TODAY()-(Data_Val!$K$2*365.25))),0,1),1))</f>
        <v/>
      </c>
      <c r="V396" s="12" t="str">
        <f>IF(Data!G396="","",IF(Data!G396=Data_Val!$C$2,IF(Data!P396="",0,1),0))</f>
        <v/>
      </c>
      <c r="W396" s="12" t="str">
        <f>IF(Data!P396="","",IF(ISNUMBER(MATCH(Data!Q396,Data_Val!$A$2:$A$3,0)),0,1))</f>
        <v/>
      </c>
      <c r="X396" s="26" t="str">
        <f ca="1">IF(Data!P396="","",IF(ISNUMBER(Data!R396),IF(AND(Data!R396&gt;(TODAY()-(Data_Val!$L$3*365.25)),Data!R396&lt;=(TODAY()-(Data_Val!$L$2*365.25))),0,1),1))</f>
        <v/>
      </c>
      <c r="Y396" s="13" t="str">
        <f>IF(Data!$G396="","",IF(Data!$G396=Data_Val!$C$2,IF(Data!S396="",0,1),0))</f>
        <v/>
      </c>
      <c r="Z396" s="13" t="str">
        <f>IF(Data!S396="","",IF(ISNUMBER(MATCH(Data!T396,Data_Val!$A$2:$A$3,0)),0,1))</f>
        <v/>
      </c>
      <c r="AA396" s="28" t="str">
        <f ca="1">IF(Data!S396="","",IF(ISNUMBER(Data!U396),IF(AND(Data!U396&gt;(TODAY()-(Data_Val!$L$3*365.25)),Data!U396&lt;=(TODAY()-(Data_Val!$L$2*365.25))),0,1),1))</f>
        <v/>
      </c>
      <c r="AB396" s="11"/>
      <c r="AC396" s="11" t="e">
        <f>IF(Data!#REF!="","",IF(ISNUMBER(MATCH(Data!#REF!,Data_Val!$A$2:$A$3,0)),0,1))</f>
        <v>#REF!</v>
      </c>
      <c r="AD396" s="11" t="e">
        <f ca="1">IF(Data!#REF!="","",IF(ISNUMBER(Data!#REF!),IF(AND(Data!#REF!&gt;(TODAY()-(Data_Val!$L$3*365.25)),Data!#REF!&lt;=(TODAY()-(Data_Val!$L$2*365.25))),0,1),1))</f>
        <v>#REF!</v>
      </c>
      <c r="AE396" s="11" t="e">
        <f>IF(Data!#REF!="","",IF(Data!$G396="",1,IF(ISNUMBER(MATCH(Data!#REF!,Data_Val!$D$2:$D$10,0)),0,1)))</f>
        <v>#REF!</v>
      </c>
      <c r="AF396" s="12"/>
      <c r="AG396" s="12" t="e">
        <f>IF(Data!#REF!="","",IF(ISNUMBER(MATCH(Data!#REF!,Data_Val!$A$2:$A$3,0)),0,1))</f>
        <v>#REF!</v>
      </c>
      <c r="AH396" s="26" t="e">
        <f ca="1">IF(Data!#REF!="","",IF(ISNUMBER(Data!#REF!),IF(AND(Data!#REF!&gt;(TODAY()-(Data_Val!$L$3*365.25)),Data!#REF!&lt;=(TODAY()-(Data_Val!$L$2*365.25))),0,1),1))</f>
        <v>#REF!</v>
      </c>
      <c r="AI396" s="12" t="e">
        <f>IF(Data!#REF!="","",IF(Data!$G396="",1,IF(ISNUMBER(MATCH(Data!#REF!,Data_Val!$D$2:$D$10,0)),0,1)))</f>
        <v>#REF!</v>
      </c>
      <c r="AJ396" s="17"/>
      <c r="AK396" s="17" t="e">
        <f>IF(Data!#REF!="","",IF(ISNUMBER(MATCH(Data!#REF!,Data_Val!$A$2:$A$3,0)),0,1))</f>
        <v>#REF!</v>
      </c>
      <c r="AL396" s="25" t="e">
        <f ca="1">IF(Data!#REF!="","",IF(ISNUMBER(Data!#REF!),IF(AND(Data!#REF!&gt;(TODAY()-(Data_Val!$L$3*365.25)),Data!#REF!&lt;=(TODAY()-(Data_Val!$L$2*365.25))),0,1),1))</f>
        <v>#REF!</v>
      </c>
      <c r="AM396" s="17" t="e">
        <f>IF(Data!#REF!="","",IF(Data!$G396="",1,IF(ISNUMBER(MATCH(Data!#REF!,Data_Val!$D$2:$D$10,0)),0,1)))</f>
        <v>#REF!</v>
      </c>
      <c r="AN396" s="13"/>
      <c r="AO396" s="28" t="e">
        <f ca="1">IF(Data!#REF!="","",IF(ISNUMBER(Data!#REF!),IF(AND(Data!#REF!&gt;(TODAY()-(Data_Val!$I$3*365.25)),Data!#REF!&lt;=(TODAY()-(Data_Val!$I$2*365.25))),0,1),1))</f>
        <v>#REF!</v>
      </c>
      <c r="AP396" s="13" t="e">
        <f>IF(Data!#REF!="","",IF(Data!$G396="",1,IF(ISNUMBER(MATCH(Data!#REF!,Data_Val!$D$2:$D$10,0)),0,1)))</f>
        <v>#REF!</v>
      </c>
      <c r="AQ396" s="17"/>
      <c r="AR396" s="30" t="e">
        <f ca="1">IF(Data!#REF!="","",IF(ISNUMBER(Data!#REF!),IF(AND(Data!#REF!&gt;(TODAY()-(Data_Val!$I$3*365.25)),Data!#REF!&lt;=(TODAY()-(Data_Val!$I$2*365.25))),0,1),1))</f>
        <v>#REF!</v>
      </c>
      <c r="AS396" s="31" t="e">
        <f>IF(Data!#REF!="","",IF(Data!$G396="",1,IF(ISNUMBER(MATCH(Data!#REF!,Data_Val!$D$2:$D$10,0)),0,1)))</f>
        <v>#REF!</v>
      </c>
      <c r="AT396" s="11"/>
      <c r="AU396" s="11" t="e">
        <f ca="1">IF(Data!#REF!="","",IF(ISNUMBER(Data!#REF!),IF(AND(Data!#REF!&gt;(TODAY()-(Data_Val!$I$3*365.25)),Data!#REF!&lt;=(TODAY()-(Data_Val!$I$2*365.25))),0,1),1))</f>
        <v>#REF!</v>
      </c>
      <c r="AV396" s="11" t="e">
        <f>IF(Data!#REF!="","",IF(Data!$G396="",1,IF(ISNUMBER(MATCH(Data!#REF!,Data_Val!$D$2:$D$10,0)),0,1)))</f>
        <v>#REF!</v>
      </c>
      <c r="AW396" s="12"/>
      <c r="AX396" s="26" t="e">
        <f ca="1">IF(Data!#REF!="","",IF(ISNUMBER(Data!#REF!),IF(AND(Data!#REF!&gt;(TODAY()-(Data_Val!$I$3*365.25)),Data!#REF!&lt;=(TODAY()-(Data_Val!$I$2*365.25))),0,1),1))</f>
        <v>#REF!</v>
      </c>
      <c r="AY396" s="12" t="e">
        <f>IF(Data!#REF!="","",IF(Data!$G396="",1,IF(ISNUMBER(MATCH(Data!#REF!,Data_Val!$D$2:$D$10,0)),0,1)))</f>
        <v>#REF!</v>
      </c>
      <c r="AZ396" s="11"/>
      <c r="BA396" s="19" t="e">
        <f ca="1">IF(Data!#REF!="","",IF(ISNUMBER(Data!#REF!),IF(AND(Data!#REF!&gt;(TODAY()-(Data_Val!$M$3*365.25)),Data!#REF!&lt;=(TODAY()-(Data_Val!$M$2*365.25))),0,1),1))</f>
        <v>#REF!</v>
      </c>
      <c r="BB396" s="11" t="e">
        <f>IF(Data!#REF!="","",IF(Data!$G396="",1,IF(ISNUMBER(MATCH(Data!#REF!,Data_Val!$D$2:$D$10,0)),0,1)))</f>
        <v>#REF!</v>
      </c>
      <c r="BC396" s="12"/>
      <c r="BD396" s="20" t="e">
        <f ca="1">IF(Data!#REF!="","",IF(ISNUMBER(Data!#REF!),IF(AND(Data!#REF!&gt;(TODAY()-(Data_Val!$M$3*365.25)),Data!#REF!&lt;=(TODAY()-(Data_Val!$M$2*365.25))),0,1),1))</f>
        <v>#REF!</v>
      </c>
      <c r="BE396" s="12" t="e">
        <f>IF(Data!#REF!="","",IF(Data!$G396="",1,IF(ISNUMBER(MATCH(Data!#REF!,Data_Val!$D$2:$D$10,0)),0,1)))</f>
        <v>#REF!</v>
      </c>
      <c r="BF396" s="17"/>
      <c r="BG396" s="18" t="e">
        <f ca="1">IF(Data!#REF!="","",IF(ISNUMBER(Data!#REF!),IF(AND(Data!#REF!&gt;(TODAY()-(Data_Val!$M$3*365.25)),Data!#REF!&lt;=(TODAY()-(Data_Val!$M$2*365.25))),0,1),1))</f>
        <v>#REF!</v>
      </c>
      <c r="BH396" s="29" t="e">
        <f>IF(Data!#REF!="","",IF(Data!$G396="",1,IF(ISNUMBER(MATCH(Data!#REF!,Data_Val!$D$2:$D$10,0)),0,1)))</f>
        <v>#REF!</v>
      </c>
      <c r="BI396" s="13"/>
      <c r="BJ396" s="21" t="e">
        <f ca="1">IF(Data!#REF!="","",IF(ISNUMBER(Data!#REF!),IF(AND(Data!#REF!&gt;(TODAY()-(Data_Val!$M$3*365.25)),Data!#REF!&lt;=(TODAY()-(Data_Val!$M$2*365.25))),0,1),1))</f>
        <v>#REF!</v>
      </c>
      <c r="BK396" s="13" t="e">
        <f>IF(Data!#REF!="","",IF(Data!$G396="",1,IF(ISNUMBER(MATCH(Data!#REF!,Data_Val!$D$2:$D$10,0)),0,1)))</f>
        <v>#REF!</v>
      </c>
    </row>
    <row r="397" spans="1:63" x14ac:dyDescent="0.25">
      <c r="A397" s="9" t="str">
        <f>IF(Data!B397="","",IF(COUNTIFS(Data!A$1:'Data'!A397,Data!A397)&lt;=1,0,1))</f>
        <v/>
      </c>
      <c r="B397" s="9"/>
      <c r="C397" s="23" t="str">
        <f>IF(Data!C397="","",(IF(ISNUMBER(MATCH("*@*.?*",Data!C397,0)),0,1)+IF(COUNTIFS(Data!C$1:'Data'!C397,Data!C397)&gt;1,1,0)))</f>
        <v/>
      </c>
      <c r="D397" s="9" t="str">
        <f>IF(Data!B397="","",IF(ISNUMBER(Data!D397),IF(AND(Data!D397&gt;999999999,Data!D397&lt;=9999999999),IF(COUNTIFS(Data!D$1:'Data'!D397,Data!D397)&lt;=1,0,1),1),1))</f>
        <v/>
      </c>
      <c r="E397" s="9" t="str">
        <f>IF(Data!B397="","",IF(ISNUMBER(MATCH(Data!E397,Data_Val!$A$2:$A$3,0)),0,1))</f>
        <v/>
      </c>
      <c r="F397" s="9" t="str">
        <f ca="1">IF(Data!B397="","",IF(ISNUMBER(Data!F397),IF(AND(Data!F397&gt;(TODAY()-(Data_Val!$H$3*365.25)),Data!F397&lt;=(TODAY()-(Data_Val!$H$2*365.25))),0,1),1))</f>
        <v/>
      </c>
      <c r="G397" s="15" t="str">
        <f>IF(Data!B397="","",IF(AND(Data!G397="",Data!H397&lt;&gt;""),1,IF(Data!#REF!&lt;&gt;"",0,IF(ISNUMBER(MATCH(Data!G397,Data_Val!$C$2:$C$5,0)),0,1))))</f>
        <v/>
      </c>
      <c r="H397" s="15" t="str">
        <f>IF(Data!B397="","",IF(AND(Data!G397&lt;&gt;"",Data!H397=""),1,IF(Data!#REF!&lt;&gt;"",0,IF(Data!G397="",1,IF(ISNUMBER(MATCH(Data!H397,Data_Val!$D$2:$D$35,0)),0,1)))))</f>
        <v/>
      </c>
      <c r="I397" s="15" t="str">
        <f>IF(Data!B397="","",IF(Data!G397&lt;&gt;"",0,IF(ISNUMBER(MATCH(Data!#REF!,Data_Val!$E$2:$E$12,0)),0,1)))</f>
        <v/>
      </c>
      <c r="J397" s="16" t="e">
        <f>IF(OR(Data!B397="",Data!#REF!=""),"",IF(Data!#REF!="",1,0))</f>
        <v>#REF!</v>
      </c>
      <c r="K397" s="16" t="e">
        <f>IF(OR(Data!B397="",Data!#REF!=""),"",IF(Data!#REF!="",1,0))</f>
        <v>#REF!</v>
      </c>
      <c r="L397" s="16" t="e">
        <f>IF(OR(Data!B397="",Data!#REF!=""),"",IF(ISNUMBER(Data!#REF!),IF(AND(Data!#REF!&gt;Data_Val!$G$2,Data!#REF!&lt;=Data_Val!$G$3),0,1),1))</f>
        <v>#REF!</v>
      </c>
      <c r="M397" s="9" t="e">
        <f>IF(OR(Data!B397="",Data!#REF!=""),"",IF(ISNUMBER(MATCH(Data!#REF!,Data_Val!$F$1:$F$38,0)),0,1))</f>
        <v>#REF!</v>
      </c>
      <c r="N397" s="9" t="e">
        <f>IF(OR(Data!B397="",Data!#REF!=""),"",IF(Data!#REF!="",1,0))</f>
        <v>#REF!</v>
      </c>
      <c r="O397" s="17" t="e">
        <f>IF(Data!#REF!="","",IF(Data!#REF!="",1,0))</f>
        <v>#REF!</v>
      </c>
      <c r="P397" s="17" t="e">
        <f>IF(Data!#REF!="","",IF(ISNUMBER(MATCH(Data!#REF!,Data_Val!$A$2:$A$3,0)),0,1))</f>
        <v>#REF!</v>
      </c>
      <c r="Q397" s="25" t="e">
        <f ca="1">IF(Data!#REF!="","",IF(ISNUMBER(Data!#REF!),IF(AND(Data!#REF!&gt;(TODAY()-(Data_Val!$J$3*365.25)),Data!#REF!&lt;=(TODAY()-(Data_Val!$J$2*365.25))),0,1),1))</f>
        <v>#REF!</v>
      </c>
      <c r="R397" s="17" t="e">
        <f>IF(Data!#REF!="","",IF(ISNUMBER(MATCH(Data!#REF!,Data_Val!$B$2:$B$15,0)),0,1))</f>
        <v>#REF!</v>
      </c>
      <c r="S397" s="11" t="str">
        <f>IF(Data!G397="","",IF(Data!G397=Data_Val!$C$2,IF(Data!M397="",0,1),0))</f>
        <v/>
      </c>
      <c r="T397" s="11" t="str">
        <f>IF(Data!M397="","",IF(ISNUMBER(MATCH(Data!N397,Data_Val!$A$2:$A$3,0)),0,1))</f>
        <v/>
      </c>
      <c r="U397" s="11" t="str">
        <f ca="1">IF(Data!M397="","",IF(ISNUMBER(Data!O397),IF(AND(Data!O397&gt;(TODAY()-(Data_Val!$K$3*365.25)),Data!O397&lt;=(TODAY()-(Data_Val!$K$2*365.25))),0,1),1))</f>
        <v/>
      </c>
      <c r="V397" s="12" t="str">
        <f>IF(Data!G397="","",IF(Data!G397=Data_Val!$C$2,IF(Data!P397="",0,1),0))</f>
        <v/>
      </c>
      <c r="W397" s="12" t="str">
        <f>IF(Data!P397="","",IF(ISNUMBER(MATCH(Data!Q397,Data_Val!$A$2:$A$3,0)),0,1))</f>
        <v/>
      </c>
      <c r="X397" s="26" t="str">
        <f ca="1">IF(Data!P397="","",IF(ISNUMBER(Data!R397),IF(AND(Data!R397&gt;(TODAY()-(Data_Val!$L$3*365.25)),Data!R397&lt;=(TODAY()-(Data_Val!$L$2*365.25))),0,1),1))</f>
        <v/>
      </c>
      <c r="Y397" s="13" t="str">
        <f>IF(Data!$G397="","",IF(Data!$G397=Data_Val!$C$2,IF(Data!S397="",0,1),0))</f>
        <v/>
      </c>
      <c r="Z397" s="13" t="str">
        <f>IF(Data!S397="","",IF(ISNUMBER(MATCH(Data!T397,Data_Val!$A$2:$A$3,0)),0,1))</f>
        <v/>
      </c>
      <c r="AA397" s="28" t="str">
        <f ca="1">IF(Data!S397="","",IF(ISNUMBER(Data!U397),IF(AND(Data!U397&gt;(TODAY()-(Data_Val!$L$3*365.25)),Data!U397&lt;=(TODAY()-(Data_Val!$L$2*365.25))),0,1),1))</f>
        <v/>
      </c>
      <c r="AB397" s="11"/>
      <c r="AC397" s="11" t="e">
        <f>IF(Data!#REF!="","",IF(ISNUMBER(MATCH(Data!#REF!,Data_Val!$A$2:$A$3,0)),0,1))</f>
        <v>#REF!</v>
      </c>
      <c r="AD397" s="11" t="e">
        <f ca="1">IF(Data!#REF!="","",IF(ISNUMBER(Data!#REF!),IF(AND(Data!#REF!&gt;(TODAY()-(Data_Val!$L$3*365.25)),Data!#REF!&lt;=(TODAY()-(Data_Val!$L$2*365.25))),0,1),1))</f>
        <v>#REF!</v>
      </c>
      <c r="AE397" s="11" t="e">
        <f>IF(Data!#REF!="","",IF(Data!$G397="",1,IF(ISNUMBER(MATCH(Data!#REF!,Data_Val!$D$2:$D$10,0)),0,1)))</f>
        <v>#REF!</v>
      </c>
      <c r="AF397" s="12"/>
      <c r="AG397" s="12" t="e">
        <f>IF(Data!#REF!="","",IF(ISNUMBER(MATCH(Data!#REF!,Data_Val!$A$2:$A$3,0)),0,1))</f>
        <v>#REF!</v>
      </c>
      <c r="AH397" s="26" t="e">
        <f ca="1">IF(Data!#REF!="","",IF(ISNUMBER(Data!#REF!),IF(AND(Data!#REF!&gt;(TODAY()-(Data_Val!$L$3*365.25)),Data!#REF!&lt;=(TODAY()-(Data_Val!$L$2*365.25))),0,1),1))</f>
        <v>#REF!</v>
      </c>
      <c r="AI397" s="12" t="e">
        <f>IF(Data!#REF!="","",IF(Data!$G397="",1,IF(ISNUMBER(MATCH(Data!#REF!,Data_Val!$D$2:$D$10,0)),0,1)))</f>
        <v>#REF!</v>
      </c>
      <c r="AJ397" s="17"/>
      <c r="AK397" s="17" t="e">
        <f>IF(Data!#REF!="","",IF(ISNUMBER(MATCH(Data!#REF!,Data_Val!$A$2:$A$3,0)),0,1))</f>
        <v>#REF!</v>
      </c>
      <c r="AL397" s="25" t="e">
        <f ca="1">IF(Data!#REF!="","",IF(ISNUMBER(Data!#REF!),IF(AND(Data!#REF!&gt;(TODAY()-(Data_Val!$L$3*365.25)),Data!#REF!&lt;=(TODAY()-(Data_Val!$L$2*365.25))),0,1),1))</f>
        <v>#REF!</v>
      </c>
      <c r="AM397" s="17" t="e">
        <f>IF(Data!#REF!="","",IF(Data!$G397="",1,IF(ISNUMBER(MATCH(Data!#REF!,Data_Val!$D$2:$D$10,0)),0,1)))</f>
        <v>#REF!</v>
      </c>
      <c r="AN397" s="13"/>
      <c r="AO397" s="28" t="e">
        <f ca="1">IF(Data!#REF!="","",IF(ISNUMBER(Data!#REF!),IF(AND(Data!#REF!&gt;(TODAY()-(Data_Val!$I$3*365.25)),Data!#REF!&lt;=(TODAY()-(Data_Val!$I$2*365.25))),0,1),1))</f>
        <v>#REF!</v>
      </c>
      <c r="AP397" s="13" t="e">
        <f>IF(Data!#REF!="","",IF(Data!$G397="",1,IF(ISNUMBER(MATCH(Data!#REF!,Data_Val!$D$2:$D$10,0)),0,1)))</f>
        <v>#REF!</v>
      </c>
      <c r="AQ397" s="17"/>
      <c r="AR397" s="30" t="e">
        <f ca="1">IF(Data!#REF!="","",IF(ISNUMBER(Data!#REF!),IF(AND(Data!#REF!&gt;(TODAY()-(Data_Val!$I$3*365.25)),Data!#REF!&lt;=(TODAY()-(Data_Val!$I$2*365.25))),0,1),1))</f>
        <v>#REF!</v>
      </c>
      <c r="AS397" s="31" t="e">
        <f>IF(Data!#REF!="","",IF(Data!$G397="",1,IF(ISNUMBER(MATCH(Data!#REF!,Data_Val!$D$2:$D$10,0)),0,1)))</f>
        <v>#REF!</v>
      </c>
      <c r="AT397" s="11"/>
      <c r="AU397" s="11" t="e">
        <f ca="1">IF(Data!#REF!="","",IF(ISNUMBER(Data!#REF!),IF(AND(Data!#REF!&gt;(TODAY()-(Data_Val!$I$3*365.25)),Data!#REF!&lt;=(TODAY()-(Data_Val!$I$2*365.25))),0,1),1))</f>
        <v>#REF!</v>
      </c>
      <c r="AV397" s="11" t="e">
        <f>IF(Data!#REF!="","",IF(Data!$G397="",1,IF(ISNUMBER(MATCH(Data!#REF!,Data_Val!$D$2:$D$10,0)),0,1)))</f>
        <v>#REF!</v>
      </c>
      <c r="AW397" s="12"/>
      <c r="AX397" s="26" t="e">
        <f ca="1">IF(Data!#REF!="","",IF(ISNUMBER(Data!#REF!),IF(AND(Data!#REF!&gt;(TODAY()-(Data_Val!$I$3*365.25)),Data!#REF!&lt;=(TODAY()-(Data_Val!$I$2*365.25))),0,1),1))</f>
        <v>#REF!</v>
      </c>
      <c r="AY397" s="12" t="e">
        <f>IF(Data!#REF!="","",IF(Data!$G397="",1,IF(ISNUMBER(MATCH(Data!#REF!,Data_Val!$D$2:$D$10,0)),0,1)))</f>
        <v>#REF!</v>
      </c>
      <c r="AZ397" s="11"/>
      <c r="BA397" s="19" t="e">
        <f ca="1">IF(Data!#REF!="","",IF(ISNUMBER(Data!#REF!),IF(AND(Data!#REF!&gt;(TODAY()-(Data_Val!$M$3*365.25)),Data!#REF!&lt;=(TODAY()-(Data_Val!$M$2*365.25))),0,1),1))</f>
        <v>#REF!</v>
      </c>
      <c r="BB397" s="11" t="e">
        <f>IF(Data!#REF!="","",IF(Data!$G397="",1,IF(ISNUMBER(MATCH(Data!#REF!,Data_Val!$D$2:$D$10,0)),0,1)))</f>
        <v>#REF!</v>
      </c>
      <c r="BC397" s="12"/>
      <c r="BD397" s="20" t="e">
        <f ca="1">IF(Data!#REF!="","",IF(ISNUMBER(Data!#REF!),IF(AND(Data!#REF!&gt;(TODAY()-(Data_Val!$M$3*365.25)),Data!#REF!&lt;=(TODAY()-(Data_Val!$M$2*365.25))),0,1),1))</f>
        <v>#REF!</v>
      </c>
      <c r="BE397" s="12" t="e">
        <f>IF(Data!#REF!="","",IF(Data!$G397="",1,IF(ISNUMBER(MATCH(Data!#REF!,Data_Val!$D$2:$D$10,0)),0,1)))</f>
        <v>#REF!</v>
      </c>
      <c r="BF397" s="17"/>
      <c r="BG397" s="18" t="e">
        <f ca="1">IF(Data!#REF!="","",IF(ISNUMBER(Data!#REF!),IF(AND(Data!#REF!&gt;(TODAY()-(Data_Val!$M$3*365.25)),Data!#REF!&lt;=(TODAY()-(Data_Val!$M$2*365.25))),0,1),1))</f>
        <v>#REF!</v>
      </c>
      <c r="BH397" s="29" t="e">
        <f>IF(Data!#REF!="","",IF(Data!$G397="",1,IF(ISNUMBER(MATCH(Data!#REF!,Data_Val!$D$2:$D$10,0)),0,1)))</f>
        <v>#REF!</v>
      </c>
      <c r="BI397" s="13"/>
      <c r="BJ397" s="21" t="e">
        <f ca="1">IF(Data!#REF!="","",IF(ISNUMBER(Data!#REF!),IF(AND(Data!#REF!&gt;(TODAY()-(Data_Val!$M$3*365.25)),Data!#REF!&lt;=(TODAY()-(Data_Val!$M$2*365.25))),0,1),1))</f>
        <v>#REF!</v>
      </c>
      <c r="BK397" s="13" t="e">
        <f>IF(Data!#REF!="","",IF(Data!$G397="",1,IF(ISNUMBER(MATCH(Data!#REF!,Data_Val!$D$2:$D$10,0)),0,1)))</f>
        <v>#REF!</v>
      </c>
    </row>
    <row r="398" spans="1:63" x14ac:dyDescent="0.25">
      <c r="A398" s="9" t="str">
        <f>IF(Data!B398="","",IF(COUNTIFS(Data!A$1:'Data'!A398,Data!A398)&lt;=1,0,1))</f>
        <v/>
      </c>
      <c r="B398" s="9"/>
      <c r="C398" s="23" t="str">
        <f>IF(Data!C398="","",(IF(ISNUMBER(MATCH("*@*.?*",Data!C398,0)),0,1)+IF(COUNTIFS(Data!C$1:'Data'!C398,Data!C398)&gt;1,1,0)))</f>
        <v/>
      </c>
      <c r="D398" s="9" t="str">
        <f>IF(Data!B398="","",IF(ISNUMBER(Data!D398),IF(AND(Data!D398&gt;999999999,Data!D398&lt;=9999999999),IF(COUNTIFS(Data!D$1:'Data'!D398,Data!D398)&lt;=1,0,1),1),1))</f>
        <v/>
      </c>
      <c r="E398" s="9" t="str">
        <f>IF(Data!B398="","",IF(ISNUMBER(MATCH(Data!E398,Data_Val!$A$2:$A$3,0)),0,1))</f>
        <v/>
      </c>
      <c r="F398" s="9" t="str">
        <f ca="1">IF(Data!B398="","",IF(ISNUMBER(Data!F398),IF(AND(Data!F398&gt;(TODAY()-(Data_Val!$H$3*365.25)),Data!F398&lt;=(TODAY()-(Data_Val!$H$2*365.25))),0,1),1))</f>
        <v/>
      </c>
      <c r="G398" s="15" t="str">
        <f>IF(Data!B398="","",IF(AND(Data!G398="",Data!H398&lt;&gt;""),1,IF(Data!#REF!&lt;&gt;"",0,IF(ISNUMBER(MATCH(Data!G398,Data_Val!$C$2:$C$5,0)),0,1))))</f>
        <v/>
      </c>
      <c r="H398" s="15" t="str">
        <f>IF(Data!B398="","",IF(AND(Data!G398&lt;&gt;"",Data!H398=""),1,IF(Data!#REF!&lt;&gt;"",0,IF(Data!G398="",1,IF(ISNUMBER(MATCH(Data!H398,Data_Val!$D$2:$D$35,0)),0,1)))))</f>
        <v/>
      </c>
      <c r="I398" s="15" t="str">
        <f>IF(Data!B398="","",IF(Data!G398&lt;&gt;"",0,IF(ISNUMBER(MATCH(Data!#REF!,Data_Val!$E$2:$E$12,0)),0,1)))</f>
        <v/>
      </c>
      <c r="J398" s="16" t="e">
        <f>IF(OR(Data!B398="",Data!#REF!=""),"",IF(Data!#REF!="",1,0))</f>
        <v>#REF!</v>
      </c>
      <c r="K398" s="16" t="e">
        <f>IF(OR(Data!B398="",Data!#REF!=""),"",IF(Data!#REF!="",1,0))</f>
        <v>#REF!</v>
      </c>
      <c r="L398" s="16" t="e">
        <f>IF(OR(Data!B398="",Data!#REF!=""),"",IF(ISNUMBER(Data!#REF!),IF(AND(Data!#REF!&gt;Data_Val!$G$2,Data!#REF!&lt;=Data_Val!$G$3),0,1),1))</f>
        <v>#REF!</v>
      </c>
      <c r="M398" s="9" t="e">
        <f>IF(OR(Data!B398="",Data!#REF!=""),"",IF(ISNUMBER(MATCH(Data!#REF!,Data_Val!$F$1:$F$38,0)),0,1))</f>
        <v>#REF!</v>
      </c>
      <c r="N398" s="9" t="e">
        <f>IF(OR(Data!B398="",Data!#REF!=""),"",IF(Data!#REF!="",1,0))</f>
        <v>#REF!</v>
      </c>
      <c r="O398" s="17" t="e">
        <f>IF(Data!#REF!="","",IF(Data!#REF!="",1,0))</f>
        <v>#REF!</v>
      </c>
      <c r="P398" s="17" t="e">
        <f>IF(Data!#REF!="","",IF(ISNUMBER(MATCH(Data!#REF!,Data_Val!$A$2:$A$3,0)),0,1))</f>
        <v>#REF!</v>
      </c>
      <c r="Q398" s="25" t="e">
        <f ca="1">IF(Data!#REF!="","",IF(ISNUMBER(Data!#REF!),IF(AND(Data!#REF!&gt;(TODAY()-(Data_Val!$J$3*365.25)),Data!#REF!&lt;=(TODAY()-(Data_Val!$J$2*365.25))),0,1),1))</f>
        <v>#REF!</v>
      </c>
      <c r="R398" s="17" t="e">
        <f>IF(Data!#REF!="","",IF(ISNUMBER(MATCH(Data!#REF!,Data_Val!$B$2:$B$15,0)),0,1))</f>
        <v>#REF!</v>
      </c>
      <c r="S398" s="11" t="str">
        <f>IF(Data!G398="","",IF(Data!G398=Data_Val!$C$2,IF(Data!M398="",0,1),0))</f>
        <v/>
      </c>
      <c r="T398" s="11" t="str">
        <f>IF(Data!M398="","",IF(ISNUMBER(MATCH(Data!N398,Data_Val!$A$2:$A$3,0)),0,1))</f>
        <v/>
      </c>
      <c r="U398" s="11" t="str">
        <f ca="1">IF(Data!M398="","",IF(ISNUMBER(Data!O398),IF(AND(Data!O398&gt;(TODAY()-(Data_Val!$K$3*365.25)),Data!O398&lt;=(TODAY()-(Data_Val!$K$2*365.25))),0,1),1))</f>
        <v/>
      </c>
      <c r="V398" s="12" t="str">
        <f>IF(Data!G398="","",IF(Data!G398=Data_Val!$C$2,IF(Data!P398="",0,1),0))</f>
        <v/>
      </c>
      <c r="W398" s="12" t="str">
        <f>IF(Data!P398="","",IF(ISNUMBER(MATCH(Data!Q398,Data_Val!$A$2:$A$3,0)),0,1))</f>
        <v/>
      </c>
      <c r="X398" s="26" t="str">
        <f ca="1">IF(Data!P398="","",IF(ISNUMBER(Data!R398),IF(AND(Data!R398&gt;(TODAY()-(Data_Val!$L$3*365.25)),Data!R398&lt;=(TODAY()-(Data_Val!$L$2*365.25))),0,1),1))</f>
        <v/>
      </c>
      <c r="Y398" s="13" t="str">
        <f>IF(Data!$G398="","",IF(Data!$G398=Data_Val!$C$2,IF(Data!S398="",0,1),0))</f>
        <v/>
      </c>
      <c r="Z398" s="13" t="str">
        <f>IF(Data!S398="","",IF(ISNUMBER(MATCH(Data!T398,Data_Val!$A$2:$A$3,0)),0,1))</f>
        <v/>
      </c>
      <c r="AA398" s="28" t="str">
        <f ca="1">IF(Data!S398="","",IF(ISNUMBER(Data!U398),IF(AND(Data!U398&gt;(TODAY()-(Data_Val!$L$3*365.25)),Data!U398&lt;=(TODAY()-(Data_Val!$L$2*365.25))),0,1),1))</f>
        <v/>
      </c>
      <c r="AB398" s="11"/>
      <c r="AC398" s="11" t="e">
        <f>IF(Data!#REF!="","",IF(ISNUMBER(MATCH(Data!#REF!,Data_Val!$A$2:$A$3,0)),0,1))</f>
        <v>#REF!</v>
      </c>
      <c r="AD398" s="11" t="e">
        <f ca="1">IF(Data!#REF!="","",IF(ISNUMBER(Data!#REF!),IF(AND(Data!#REF!&gt;(TODAY()-(Data_Val!$L$3*365.25)),Data!#REF!&lt;=(TODAY()-(Data_Val!$L$2*365.25))),0,1),1))</f>
        <v>#REF!</v>
      </c>
      <c r="AE398" s="11" t="e">
        <f>IF(Data!#REF!="","",IF(Data!$G398="",1,IF(ISNUMBER(MATCH(Data!#REF!,Data_Val!$D$2:$D$10,0)),0,1)))</f>
        <v>#REF!</v>
      </c>
      <c r="AF398" s="12"/>
      <c r="AG398" s="12" t="e">
        <f>IF(Data!#REF!="","",IF(ISNUMBER(MATCH(Data!#REF!,Data_Val!$A$2:$A$3,0)),0,1))</f>
        <v>#REF!</v>
      </c>
      <c r="AH398" s="26" t="e">
        <f ca="1">IF(Data!#REF!="","",IF(ISNUMBER(Data!#REF!),IF(AND(Data!#REF!&gt;(TODAY()-(Data_Val!$L$3*365.25)),Data!#REF!&lt;=(TODAY()-(Data_Val!$L$2*365.25))),0,1),1))</f>
        <v>#REF!</v>
      </c>
      <c r="AI398" s="12" t="e">
        <f>IF(Data!#REF!="","",IF(Data!$G398="",1,IF(ISNUMBER(MATCH(Data!#REF!,Data_Val!$D$2:$D$10,0)),0,1)))</f>
        <v>#REF!</v>
      </c>
      <c r="AJ398" s="17"/>
      <c r="AK398" s="17" t="e">
        <f>IF(Data!#REF!="","",IF(ISNUMBER(MATCH(Data!#REF!,Data_Val!$A$2:$A$3,0)),0,1))</f>
        <v>#REF!</v>
      </c>
      <c r="AL398" s="25" t="e">
        <f ca="1">IF(Data!#REF!="","",IF(ISNUMBER(Data!#REF!),IF(AND(Data!#REF!&gt;(TODAY()-(Data_Val!$L$3*365.25)),Data!#REF!&lt;=(TODAY()-(Data_Val!$L$2*365.25))),0,1),1))</f>
        <v>#REF!</v>
      </c>
      <c r="AM398" s="17" t="e">
        <f>IF(Data!#REF!="","",IF(Data!$G398="",1,IF(ISNUMBER(MATCH(Data!#REF!,Data_Val!$D$2:$D$10,0)),0,1)))</f>
        <v>#REF!</v>
      </c>
      <c r="AN398" s="13"/>
      <c r="AO398" s="28" t="e">
        <f ca="1">IF(Data!#REF!="","",IF(ISNUMBER(Data!#REF!),IF(AND(Data!#REF!&gt;(TODAY()-(Data_Val!$I$3*365.25)),Data!#REF!&lt;=(TODAY()-(Data_Val!$I$2*365.25))),0,1),1))</f>
        <v>#REF!</v>
      </c>
      <c r="AP398" s="13" t="e">
        <f>IF(Data!#REF!="","",IF(Data!$G398="",1,IF(ISNUMBER(MATCH(Data!#REF!,Data_Val!$D$2:$D$10,0)),0,1)))</f>
        <v>#REF!</v>
      </c>
      <c r="AQ398" s="17"/>
      <c r="AR398" s="30" t="e">
        <f ca="1">IF(Data!#REF!="","",IF(ISNUMBER(Data!#REF!),IF(AND(Data!#REF!&gt;(TODAY()-(Data_Val!$I$3*365.25)),Data!#REF!&lt;=(TODAY()-(Data_Val!$I$2*365.25))),0,1),1))</f>
        <v>#REF!</v>
      </c>
      <c r="AS398" s="31" t="e">
        <f>IF(Data!#REF!="","",IF(Data!$G398="",1,IF(ISNUMBER(MATCH(Data!#REF!,Data_Val!$D$2:$D$10,0)),0,1)))</f>
        <v>#REF!</v>
      </c>
      <c r="AT398" s="11"/>
      <c r="AU398" s="11" t="e">
        <f ca="1">IF(Data!#REF!="","",IF(ISNUMBER(Data!#REF!),IF(AND(Data!#REF!&gt;(TODAY()-(Data_Val!$I$3*365.25)),Data!#REF!&lt;=(TODAY()-(Data_Val!$I$2*365.25))),0,1),1))</f>
        <v>#REF!</v>
      </c>
      <c r="AV398" s="11" t="e">
        <f>IF(Data!#REF!="","",IF(Data!$G398="",1,IF(ISNUMBER(MATCH(Data!#REF!,Data_Val!$D$2:$D$10,0)),0,1)))</f>
        <v>#REF!</v>
      </c>
      <c r="AW398" s="12"/>
      <c r="AX398" s="26" t="e">
        <f ca="1">IF(Data!#REF!="","",IF(ISNUMBER(Data!#REF!),IF(AND(Data!#REF!&gt;(TODAY()-(Data_Val!$I$3*365.25)),Data!#REF!&lt;=(TODAY()-(Data_Val!$I$2*365.25))),0,1),1))</f>
        <v>#REF!</v>
      </c>
      <c r="AY398" s="12" t="e">
        <f>IF(Data!#REF!="","",IF(Data!$G398="",1,IF(ISNUMBER(MATCH(Data!#REF!,Data_Val!$D$2:$D$10,0)),0,1)))</f>
        <v>#REF!</v>
      </c>
      <c r="AZ398" s="11"/>
      <c r="BA398" s="19" t="e">
        <f ca="1">IF(Data!#REF!="","",IF(ISNUMBER(Data!#REF!),IF(AND(Data!#REF!&gt;(TODAY()-(Data_Val!$M$3*365.25)),Data!#REF!&lt;=(TODAY()-(Data_Val!$M$2*365.25))),0,1),1))</f>
        <v>#REF!</v>
      </c>
      <c r="BB398" s="11" t="e">
        <f>IF(Data!#REF!="","",IF(Data!$G398="",1,IF(ISNUMBER(MATCH(Data!#REF!,Data_Val!$D$2:$D$10,0)),0,1)))</f>
        <v>#REF!</v>
      </c>
      <c r="BC398" s="12"/>
      <c r="BD398" s="20" t="e">
        <f ca="1">IF(Data!#REF!="","",IF(ISNUMBER(Data!#REF!),IF(AND(Data!#REF!&gt;(TODAY()-(Data_Val!$M$3*365.25)),Data!#REF!&lt;=(TODAY()-(Data_Val!$M$2*365.25))),0,1),1))</f>
        <v>#REF!</v>
      </c>
      <c r="BE398" s="12" t="e">
        <f>IF(Data!#REF!="","",IF(Data!$G398="",1,IF(ISNUMBER(MATCH(Data!#REF!,Data_Val!$D$2:$D$10,0)),0,1)))</f>
        <v>#REF!</v>
      </c>
      <c r="BF398" s="17"/>
      <c r="BG398" s="18" t="e">
        <f ca="1">IF(Data!#REF!="","",IF(ISNUMBER(Data!#REF!),IF(AND(Data!#REF!&gt;(TODAY()-(Data_Val!$M$3*365.25)),Data!#REF!&lt;=(TODAY()-(Data_Val!$M$2*365.25))),0,1),1))</f>
        <v>#REF!</v>
      </c>
      <c r="BH398" s="29" t="e">
        <f>IF(Data!#REF!="","",IF(Data!$G398="",1,IF(ISNUMBER(MATCH(Data!#REF!,Data_Val!$D$2:$D$10,0)),0,1)))</f>
        <v>#REF!</v>
      </c>
      <c r="BI398" s="13"/>
      <c r="BJ398" s="21" t="e">
        <f ca="1">IF(Data!#REF!="","",IF(ISNUMBER(Data!#REF!),IF(AND(Data!#REF!&gt;(TODAY()-(Data_Val!$M$3*365.25)),Data!#REF!&lt;=(TODAY()-(Data_Val!$M$2*365.25))),0,1),1))</f>
        <v>#REF!</v>
      </c>
      <c r="BK398" s="13" t="e">
        <f>IF(Data!#REF!="","",IF(Data!$G398="",1,IF(ISNUMBER(MATCH(Data!#REF!,Data_Val!$D$2:$D$10,0)),0,1)))</f>
        <v>#REF!</v>
      </c>
    </row>
    <row r="399" spans="1:63" x14ac:dyDescent="0.25">
      <c r="A399" s="9" t="str">
        <f>IF(Data!B399="","",IF(COUNTIFS(Data!A$1:'Data'!A399,Data!A399)&lt;=1,0,1))</f>
        <v/>
      </c>
      <c r="B399" s="9"/>
      <c r="C399" s="23" t="str">
        <f>IF(Data!C399="","",(IF(ISNUMBER(MATCH("*@*.?*",Data!C399,0)),0,1)+IF(COUNTIFS(Data!C$1:'Data'!C399,Data!C399)&gt;1,1,0)))</f>
        <v/>
      </c>
      <c r="D399" s="9" t="str">
        <f>IF(Data!B399="","",IF(ISNUMBER(Data!D399),IF(AND(Data!D399&gt;999999999,Data!D399&lt;=9999999999),IF(COUNTIFS(Data!D$1:'Data'!D399,Data!D399)&lt;=1,0,1),1),1))</f>
        <v/>
      </c>
      <c r="E399" s="9" t="str">
        <f>IF(Data!B399="","",IF(ISNUMBER(MATCH(Data!E399,Data_Val!$A$2:$A$3,0)),0,1))</f>
        <v/>
      </c>
      <c r="F399" s="9" t="str">
        <f ca="1">IF(Data!B399="","",IF(ISNUMBER(Data!F399),IF(AND(Data!F399&gt;(TODAY()-(Data_Val!$H$3*365.25)),Data!F399&lt;=(TODAY()-(Data_Val!$H$2*365.25))),0,1),1))</f>
        <v/>
      </c>
      <c r="G399" s="15" t="str">
        <f>IF(Data!B399="","",IF(AND(Data!G399="",Data!H399&lt;&gt;""),1,IF(Data!#REF!&lt;&gt;"",0,IF(ISNUMBER(MATCH(Data!G399,Data_Val!$C$2:$C$5,0)),0,1))))</f>
        <v/>
      </c>
      <c r="H399" s="15" t="str">
        <f>IF(Data!B399="","",IF(AND(Data!G399&lt;&gt;"",Data!H399=""),1,IF(Data!#REF!&lt;&gt;"",0,IF(Data!G399="",1,IF(ISNUMBER(MATCH(Data!H399,Data_Val!$D$2:$D$35,0)),0,1)))))</f>
        <v/>
      </c>
      <c r="I399" s="15" t="str">
        <f>IF(Data!B399="","",IF(Data!G399&lt;&gt;"",0,IF(ISNUMBER(MATCH(Data!#REF!,Data_Val!$E$2:$E$12,0)),0,1)))</f>
        <v/>
      </c>
      <c r="J399" s="16" t="e">
        <f>IF(OR(Data!B399="",Data!#REF!=""),"",IF(Data!#REF!="",1,0))</f>
        <v>#REF!</v>
      </c>
      <c r="K399" s="16" t="e">
        <f>IF(OR(Data!B399="",Data!#REF!=""),"",IF(Data!#REF!="",1,0))</f>
        <v>#REF!</v>
      </c>
      <c r="L399" s="16" t="e">
        <f>IF(OR(Data!B399="",Data!#REF!=""),"",IF(ISNUMBER(Data!#REF!),IF(AND(Data!#REF!&gt;Data_Val!$G$2,Data!#REF!&lt;=Data_Val!$G$3),0,1),1))</f>
        <v>#REF!</v>
      </c>
      <c r="M399" s="9" t="e">
        <f>IF(OR(Data!B399="",Data!#REF!=""),"",IF(ISNUMBER(MATCH(Data!#REF!,Data_Val!$F$1:$F$38,0)),0,1))</f>
        <v>#REF!</v>
      </c>
      <c r="N399" s="9" t="e">
        <f>IF(OR(Data!B399="",Data!#REF!=""),"",IF(Data!#REF!="",1,0))</f>
        <v>#REF!</v>
      </c>
      <c r="O399" s="17" t="e">
        <f>IF(Data!#REF!="","",IF(Data!#REF!="",1,0))</f>
        <v>#REF!</v>
      </c>
      <c r="P399" s="17" t="e">
        <f>IF(Data!#REF!="","",IF(ISNUMBER(MATCH(Data!#REF!,Data_Val!$A$2:$A$3,0)),0,1))</f>
        <v>#REF!</v>
      </c>
      <c r="Q399" s="25" t="e">
        <f ca="1">IF(Data!#REF!="","",IF(ISNUMBER(Data!#REF!),IF(AND(Data!#REF!&gt;(TODAY()-(Data_Val!$J$3*365.25)),Data!#REF!&lt;=(TODAY()-(Data_Val!$J$2*365.25))),0,1),1))</f>
        <v>#REF!</v>
      </c>
      <c r="R399" s="17" t="e">
        <f>IF(Data!#REF!="","",IF(ISNUMBER(MATCH(Data!#REF!,Data_Val!$B$2:$B$15,0)),0,1))</f>
        <v>#REF!</v>
      </c>
      <c r="S399" s="11" t="str">
        <f>IF(Data!G399="","",IF(Data!G399=Data_Val!$C$2,IF(Data!M399="",0,1),0))</f>
        <v/>
      </c>
      <c r="T399" s="11" t="str">
        <f>IF(Data!M399="","",IF(ISNUMBER(MATCH(Data!N399,Data_Val!$A$2:$A$3,0)),0,1))</f>
        <v/>
      </c>
      <c r="U399" s="11" t="str">
        <f ca="1">IF(Data!M399="","",IF(ISNUMBER(Data!O399),IF(AND(Data!O399&gt;(TODAY()-(Data_Val!$K$3*365.25)),Data!O399&lt;=(TODAY()-(Data_Val!$K$2*365.25))),0,1),1))</f>
        <v/>
      </c>
      <c r="V399" s="12" t="str">
        <f>IF(Data!G399="","",IF(Data!G399=Data_Val!$C$2,IF(Data!P399="",0,1),0))</f>
        <v/>
      </c>
      <c r="W399" s="12" t="str">
        <f>IF(Data!P399="","",IF(ISNUMBER(MATCH(Data!Q399,Data_Val!$A$2:$A$3,0)),0,1))</f>
        <v/>
      </c>
      <c r="X399" s="26" t="str">
        <f ca="1">IF(Data!P399="","",IF(ISNUMBER(Data!R399),IF(AND(Data!R399&gt;(TODAY()-(Data_Val!$L$3*365.25)),Data!R399&lt;=(TODAY()-(Data_Val!$L$2*365.25))),0,1),1))</f>
        <v/>
      </c>
      <c r="Y399" s="13" t="str">
        <f>IF(Data!$G399="","",IF(Data!$G399=Data_Val!$C$2,IF(Data!S399="",0,1),0))</f>
        <v/>
      </c>
      <c r="Z399" s="13" t="str">
        <f>IF(Data!S399="","",IF(ISNUMBER(MATCH(Data!T399,Data_Val!$A$2:$A$3,0)),0,1))</f>
        <v/>
      </c>
      <c r="AA399" s="28" t="str">
        <f ca="1">IF(Data!S399="","",IF(ISNUMBER(Data!U399),IF(AND(Data!U399&gt;(TODAY()-(Data_Val!$L$3*365.25)),Data!U399&lt;=(TODAY()-(Data_Val!$L$2*365.25))),0,1),1))</f>
        <v/>
      </c>
      <c r="AB399" s="11"/>
      <c r="AC399" s="11" t="e">
        <f>IF(Data!#REF!="","",IF(ISNUMBER(MATCH(Data!#REF!,Data_Val!$A$2:$A$3,0)),0,1))</f>
        <v>#REF!</v>
      </c>
      <c r="AD399" s="11" t="e">
        <f ca="1">IF(Data!#REF!="","",IF(ISNUMBER(Data!#REF!),IF(AND(Data!#REF!&gt;(TODAY()-(Data_Val!$L$3*365.25)),Data!#REF!&lt;=(TODAY()-(Data_Val!$L$2*365.25))),0,1),1))</f>
        <v>#REF!</v>
      </c>
      <c r="AE399" s="11" t="e">
        <f>IF(Data!#REF!="","",IF(Data!$G399="",1,IF(ISNUMBER(MATCH(Data!#REF!,Data_Val!$D$2:$D$10,0)),0,1)))</f>
        <v>#REF!</v>
      </c>
      <c r="AF399" s="12"/>
      <c r="AG399" s="12" t="e">
        <f>IF(Data!#REF!="","",IF(ISNUMBER(MATCH(Data!#REF!,Data_Val!$A$2:$A$3,0)),0,1))</f>
        <v>#REF!</v>
      </c>
      <c r="AH399" s="26" t="e">
        <f ca="1">IF(Data!#REF!="","",IF(ISNUMBER(Data!#REF!),IF(AND(Data!#REF!&gt;(TODAY()-(Data_Val!$L$3*365.25)),Data!#REF!&lt;=(TODAY()-(Data_Val!$L$2*365.25))),0,1),1))</f>
        <v>#REF!</v>
      </c>
      <c r="AI399" s="12" t="e">
        <f>IF(Data!#REF!="","",IF(Data!$G399="",1,IF(ISNUMBER(MATCH(Data!#REF!,Data_Val!$D$2:$D$10,0)),0,1)))</f>
        <v>#REF!</v>
      </c>
      <c r="AJ399" s="17"/>
      <c r="AK399" s="17" t="e">
        <f>IF(Data!#REF!="","",IF(ISNUMBER(MATCH(Data!#REF!,Data_Val!$A$2:$A$3,0)),0,1))</f>
        <v>#REF!</v>
      </c>
      <c r="AL399" s="25" t="e">
        <f ca="1">IF(Data!#REF!="","",IF(ISNUMBER(Data!#REF!),IF(AND(Data!#REF!&gt;(TODAY()-(Data_Val!$L$3*365.25)),Data!#REF!&lt;=(TODAY()-(Data_Val!$L$2*365.25))),0,1),1))</f>
        <v>#REF!</v>
      </c>
      <c r="AM399" s="17" t="e">
        <f>IF(Data!#REF!="","",IF(Data!$G399="",1,IF(ISNUMBER(MATCH(Data!#REF!,Data_Val!$D$2:$D$10,0)),0,1)))</f>
        <v>#REF!</v>
      </c>
      <c r="AN399" s="13"/>
      <c r="AO399" s="28" t="e">
        <f ca="1">IF(Data!#REF!="","",IF(ISNUMBER(Data!#REF!),IF(AND(Data!#REF!&gt;(TODAY()-(Data_Val!$I$3*365.25)),Data!#REF!&lt;=(TODAY()-(Data_Val!$I$2*365.25))),0,1),1))</f>
        <v>#REF!</v>
      </c>
      <c r="AP399" s="13" t="e">
        <f>IF(Data!#REF!="","",IF(Data!$G399="",1,IF(ISNUMBER(MATCH(Data!#REF!,Data_Val!$D$2:$D$10,0)),0,1)))</f>
        <v>#REF!</v>
      </c>
      <c r="AQ399" s="17"/>
      <c r="AR399" s="30" t="e">
        <f ca="1">IF(Data!#REF!="","",IF(ISNUMBER(Data!#REF!),IF(AND(Data!#REF!&gt;(TODAY()-(Data_Val!$I$3*365.25)),Data!#REF!&lt;=(TODAY()-(Data_Val!$I$2*365.25))),0,1),1))</f>
        <v>#REF!</v>
      </c>
      <c r="AS399" s="31" t="e">
        <f>IF(Data!#REF!="","",IF(Data!$G399="",1,IF(ISNUMBER(MATCH(Data!#REF!,Data_Val!$D$2:$D$10,0)),0,1)))</f>
        <v>#REF!</v>
      </c>
      <c r="AT399" s="11"/>
      <c r="AU399" s="11" t="e">
        <f ca="1">IF(Data!#REF!="","",IF(ISNUMBER(Data!#REF!),IF(AND(Data!#REF!&gt;(TODAY()-(Data_Val!$I$3*365.25)),Data!#REF!&lt;=(TODAY()-(Data_Val!$I$2*365.25))),0,1),1))</f>
        <v>#REF!</v>
      </c>
      <c r="AV399" s="11" t="e">
        <f>IF(Data!#REF!="","",IF(Data!$G399="",1,IF(ISNUMBER(MATCH(Data!#REF!,Data_Val!$D$2:$D$10,0)),0,1)))</f>
        <v>#REF!</v>
      </c>
      <c r="AW399" s="12"/>
      <c r="AX399" s="26" t="e">
        <f ca="1">IF(Data!#REF!="","",IF(ISNUMBER(Data!#REF!),IF(AND(Data!#REF!&gt;(TODAY()-(Data_Val!$I$3*365.25)),Data!#REF!&lt;=(TODAY()-(Data_Val!$I$2*365.25))),0,1),1))</f>
        <v>#REF!</v>
      </c>
      <c r="AY399" s="12" t="e">
        <f>IF(Data!#REF!="","",IF(Data!$G399="",1,IF(ISNUMBER(MATCH(Data!#REF!,Data_Val!$D$2:$D$10,0)),0,1)))</f>
        <v>#REF!</v>
      </c>
      <c r="AZ399" s="11"/>
      <c r="BA399" s="19" t="e">
        <f ca="1">IF(Data!#REF!="","",IF(ISNUMBER(Data!#REF!),IF(AND(Data!#REF!&gt;(TODAY()-(Data_Val!$M$3*365.25)),Data!#REF!&lt;=(TODAY()-(Data_Val!$M$2*365.25))),0,1),1))</f>
        <v>#REF!</v>
      </c>
      <c r="BB399" s="11" t="e">
        <f>IF(Data!#REF!="","",IF(Data!$G399="",1,IF(ISNUMBER(MATCH(Data!#REF!,Data_Val!$D$2:$D$10,0)),0,1)))</f>
        <v>#REF!</v>
      </c>
      <c r="BC399" s="12"/>
      <c r="BD399" s="20" t="e">
        <f ca="1">IF(Data!#REF!="","",IF(ISNUMBER(Data!#REF!),IF(AND(Data!#REF!&gt;(TODAY()-(Data_Val!$M$3*365.25)),Data!#REF!&lt;=(TODAY()-(Data_Val!$M$2*365.25))),0,1),1))</f>
        <v>#REF!</v>
      </c>
      <c r="BE399" s="12" t="e">
        <f>IF(Data!#REF!="","",IF(Data!$G399="",1,IF(ISNUMBER(MATCH(Data!#REF!,Data_Val!$D$2:$D$10,0)),0,1)))</f>
        <v>#REF!</v>
      </c>
      <c r="BF399" s="17"/>
      <c r="BG399" s="18" t="e">
        <f ca="1">IF(Data!#REF!="","",IF(ISNUMBER(Data!#REF!),IF(AND(Data!#REF!&gt;(TODAY()-(Data_Val!$M$3*365.25)),Data!#REF!&lt;=(TODAY()-(Data_Val!$M$2*365.25))),0,1),1))</f>
        <v>#REF!</v>
      </c>
      <c r="BH399" s="29" t="e">
        <f>IF(Data!#REF!="","",IF(Data!$G399="",1,IF(ISNUMBER(MATCH(Data!#REF!,Data_Val!$D$2:$D$10,0)),0,1)))</f>
        <v>#REF!</v>
      </c>
      <c r="BI399" s="13"/>
      <c r="BJ399" s="21" t="e">
        <f ca="1">IF(Data!#REF!="","",IF(ISNUMBER(Data!#REF!),IF(AND(Data!#REF!&gt;(TODAY()-(Data_Val!$M$3*365.25)),Data!#REF!&lt;=(TODAY()-(Data_Val!$M$2*365.25))),0,1),1))</f>
        <v>#REF!</v>
      </c>
      <c r="BK399" s="13" t="e">
        <f>IF(Data!#REF!="","",IF(Data!$G399="",1,IF(ISNUMBER(MATCH(Data!#REF!,Data_Val!$D$2:$D$10,0)),0,1)))</f>
        <v>#REF!</v>
      </c>
    </row>
    <row r="400" spans="1:63" x14ac:dyDescent="0.25">
      <c r="A400" s="9" t="str">
        <f>IF(Data!B400="","",IF(COUNTIFS(Data!A$1:'Data'!A400,Data!A400)&lt;=1,0,1))</f>
        <v/>
      </c>
      <c r="B400" s="9"/>
      <c r="C400" s="23" t="str">
        <f>IF(Data!C400="","",(IF(ISNUMBER(MATCH("*@*.?*",Data!C400,0)),0,1)+IF(COUNTIFS(Data!C$1:'Data'!C400,Data!C400)&gt;1,1,0)))</f>
        <v/>
      </c>
      <c r="D400" s="9" t="str">
        <f>IF(Data!B400="","",IF(ISNUMBER(Data!D400),IF(AND(Data!D400&gt;999999999,Data!D400&lt;=9999999999),IF(COUNTIFS(Data!D$1:'Data'!D400,Data!D400)&lt;=1,0,1),1),1))</f>
        <v/>
      </c>
      <c r="E400" s="9" t="str">
        <f>IF(Data!B400="","",IF(ISNUMBER(MATCH(Data!E400,Data_Val!$A$2:$A$3,0)),0,1))</f>
        <v/>
      </c>
      <c r="F400" s="9" t="str">
        <f ca="1">IF(Data!B400="","",IF(ISNUMBER(Data!F400),IF(AND(Data!F400&gt;(TODAY()-(Data_Val!$H$3*365.25)),Data!F400&lt;=(TODAY()-(Data_Val!$H$2*365.25))),0,1),1))</f>
        <v/>
      </c>
      <c r="G400" s="15" t="str">
        <f>IF(Data!B400="","",IF(AND(Data!G400="",Data!H400&lt;&gt;""),1,IF(Data!#REF!&lt;&gt;"",0,IF(ISNUMBER(MATCH(Data!G400,Data_Val!$C$2:$C$5,0)),0,1))))</f>
        <v/>
      </c>
      <c r="H400" s="15" t="str">
        <f>IF(Data!B400="","",IF(AND(Data!G400&lt;&gt;"",Data!H400=""),1,IF(Data!#REF!&lt;&gt;"",0,IF(Data!G400="",1,IF(ISNUMBER(MATCH(Data!H400,Data_Val!$D$2:$D$35,0)),0,1)))))</f>
        <v/>
      </c>
      <c r="I400" s="15" t="str">
        <f>IF(Data!B400="","",IF(Data!G400&lt;&gt;"",0,IF(ISNUMBER(MATCH(Data!#REF!,Data_Val!$E$2:$E$12,0)),0,1)))</f>
        <v/>
      </c>
      <c r="J400" s="16" t="e">
        <f>IF(OR(Data!B400="",Data!#REF!=""),"",IF(Data!#REF!="",1,0))</f>
        <v>#REF!</v>
      </c>
      <c r="K400" s="16" t="e">
        <f>IF(OR(Data!B400="",Data!#REF!=""),"",IF(Data!#REF!="",1,0))</f>
        <v>#REF!</v>
      </c>
      <c r="L400" s="16" t="e">
        <f>IF(OR(Data!B400="",Data!#REF!=""),"",IF(ISNUMBER(Data!#REF!),IF(AND(Data!#REF!&gt;Data_Val!$G$2,Data!#REF!&lt;=Data_Val!$G$3),0,1),1))</f>
        <v>#REF!</v>
      </c>
      <c r="M400" s="9" t="e">
        <f>IF(OR(Data!B400="",Data!#REF!=""),"",IF(ISNUMBER(MATCH(Data!#REF!,Data_Val!$F$1:$F$38,0)),0,1))</f>
        <v>#REF!</v>
      </c>
      <c r="N400" s="9" t="e">
        <f>IF(OR(Data!B400="",Data!#REF!=""),"",IF(Data!#REF!="",1,0))</f>
        <v>#REF!</v>
      </c>
      <c r="O400" s="17" t="e">
        <f>IF(Data!#REF!="","",IF(Data!#REF!="",1,0))</f>
        <v>#REF!</v>
      </c>
      <c r="P400" s="17" t="e">
        <f>IF(Data!#REF!="","",IF(ISNUMBER(MATCH(Data!#REF!,Data_Val!$A$2:$A$3,0)),0,1))</f>
        <v>#REF!</v>
      </c>
      <c r="Q400" s="25" t="e">
        <f ca="1">IF(Data!#REF!="","",IF(ISNUMBER(Data!#REF!),IF(AND(Data!#REF!&gt;(TODAY()-(Data_Val!$J$3*365.25)),Data!#REF!&lt;=(TODAY()-(Data_Val!$J$2*365.25))),0,1),1))</f>
        <v>#REF!</v>
      </c>
      <c r="R400" s="17" t="e">
        <f>IF(Data!#REF!="","",IF(ISNUMBER(MATCH(Data!#REF!,Data_Val!$B$2:$B$15,0)),0,1))</f>
        <v>#REF!</v>
      </c>
      <c r="S400" s="11" t="str">
        <f>IF(Data!G400="","",IF(Data!G400=Data_Val!$C$2,IF(Data!M400="",0,1),0))</f>
        <v/>
      </c>
      <c r="T400" s="11" t="str">
        <f>IF(Data!M400="","",IF(ISNUMBER(MATCH(Data!N400,Data_Val!$A$2:$A$3,0)),0,1))</f>
        <v/>
      </c>
      <c r="U400" s="11" t="str">
        <f ca="1">IF(Data!M400="","",IF(ISNUMBER(Data!O400),IF(AND(Data!O400&gt;(TODAY()-(Data_Val!$K$3*365.25)),Data!O400&lt;=(TODAY()-(Data_Val!$K$2*365.25))),0,1),1))</f>
        <v/>
      </c>
      <c r="V400" s="12" t="str">
        <f>IF(Data!G400="","",IF(Data!G400=Data_Val!$C$2,IF(Data!P400="",0,1),0))</f>
        <v/>
      </c>
      <c r="W400" s="12" t="str">
        <f>IF(Data!P400="","",IF(ISNUMBER(MATCH(Data!Q400,Data_Val!$A$2:$A$3,0)),0,1))</f>
        <v/>
      </c>
      <c r="X400" s="26" t="str">
        <f ca="1">IF(Data!P400="","",IF(ISNUMBER(Data!R400),IF(AND(Data!R400&gt;(TODAY()-(Data_Val!$L$3*365.25)),Data!R400&lt;=(TODAY()-(Data_Val!$L$2*365.25))),0,1),1))</f>
        <v/>
      </c>
      <c r="Y400" s="13" t="str">
        <f>IF(Data!$G400="","",IF(Data!$G400=Data_Val!$C$2,IF(Data!S400="",0,1),0))</f>
        <v/>
      </c>
      <c r="Z400" s="13" t="str">
        <f>IF(Data!S400="","",IF(ISNUMBER(MATCH(Data!T400,Data_Val!$A$2:$A$3,0)),0,1))</f>
        <v/>
      </c>
      <c r="AA400" s="28" t="str">
        <f ca="1">IF(Data!S400="","",IF(ISNUMBER(Data!U400),IF(AND(Data!U400&gt;(TODAY()-(Data_Val!$L$3*365.25)),Data!U400&lt;=(TODAY()-(Data_Val!$L$2*365.25))),0,1),1))</f>
        <v/>
      </c>
      <c r="AB400" s="11"/>
      <c r="AC400" s="11" t="e">
        <f>IF(Data!#REF!="","",IF(ISNUMBER(MATCH(Data!#REF!,Data_Val!$A$2:$A$3,0)),0,1))</f>
        <v>#REF!</v>
      </c>
      <c r="AD400" s="11" t="e">
        <f ca="1">IF(Data!#REF!="","",IF(ISNUMBER(Data!#REF!),IF(AND(Data!#REF!&gt;(TODAY()-(Data_Val!$L$3*365.25)),Data!#REF!&lt;=(TODAY()-(Data_Val!$L$2*365.25))),0,1),1))</f>
        <v>#REF!</v>
      </c>
      <c r="AE400" s="11" t="e">
        <f>IF(Data!#REF!="","",IF(Data!$G400="",1,IF(ISNUMBER(MATCH(Data!#REF!,Data_Val!$D$2:$D$10,0)),0,1)))</f>
        <v>#REF!</v>
      </c>
      <c r="AF400" s="12"/>
      <c r="AG400" s="12" t="e">
        <f>IF(Data!#REF!="","",IF(ISNUMBER(MATCH(Data!#REF!,Data_Val!$A$2:$A$3,0)),0,1))</f>
        <v>#REF!</v>
      </c>
      <c r="AH400" s="26" t="e">
        <f ca="1">IF(Data!#REF!="","",IF(ISNUMBER(Data!#REF!),IF(AND(Data!#REF!&gt;(TODAY()-(Data_Val!$L$3*365.25)),Data!#REF!&lt;=(TODAY()-(Data_Val!$L$2*365.25))),0,1),1))</f>
        <v>#REF!</v>
      </c>
      <c r="AI400" s="12" t="e">
        <f>IF(Data!#REF!="","",IF(Data!$G400="",1,IF(ISNUMBER(MATCH(Data!#REF!,Data_Val!$D$2:$D$10,0)),0,1)))</f>
        <v>#REF!</v>
      </c>
      <c r="AJ400" s="17"/>
      <c r="AK400" s="17" t="e">
        <f>IF(Data!#REF!="","",IF(ISNUMBER(MATCH(Data!#REF!,Data_Val!$A$2:$A$3,0)),0,1))</f>
        <v>#REF!</v>
      </c>
      <c r="AL400" s="25" t="e">
        <f ca="1">IF(Data!#REF!="","",IF(ISNUMBER(Data!#REF!),IF(AND(Data!#REF!&gt;(TODAY()-(Data_Val!$L$3*365.25)),Data!#REF!&lt;=(TODAY()-(Data_Val!$L$2*365.25))),0,1),1))</f>
        <v>#REF!</v>
      </c>
      <c r="AM400" s="17" t="e">
        <f>IF(Data!#REF!="","",IF(Data!$G400="",1,IF(ISNUMBER(MATCH(Data!#REF!,Data_Val!$D$2:$D$10,0)),0,1)))</f>
        <v>#REF!</v>
      </c>
      <c r="AN400" s="13"/>
      <c r="AO400" s="28" t="e">
        <f ca="1">IF(Data!#REF!="","",IF(ISNUMBER(Data!#REF!),IF(AND(Data!#REF!&gt;(TODAY()-(Data_Val!$I$3*365.25)),Data!#REF!&lt;=(TODAY()-(Data_Val!$I$2*365.25))),0,1),1))</f>
        <v>#REF!</v>
      </c>
      <c r="AP400" s="13" t="e">
        <f>IF(Data!#REF!="","",IF(Data!$G400="",1,IF(ISNUMBER(MATCH(Data!#REF!,Data_Val!$D$2:$D$10,0)),0,1)))</f>
        <v>#REF!</v>
      </c>
      <c r="AQ400" s="17"/>
      <c r="AR400" s="30" t="e">
        <f ca="1">IF(Data!#REF!="","",IF(ISNUMBER(Data!#REF!),IF(AND(Data!#REF!&gt;(TODAY()-(Data_Val!$I$3*365.25)),Data!#REF!&lt;=(TODAY()-(Data_Val!$I$2*365.25))),0,1),1))</f>
        <v>#REF!</v>
      </c>
      <c r="AS400" s="31" t="e">
        <f>IF(Data!#REF!="","",IF(Data!$G400="",1,IF(ISNUMBER(MATCH(Data!#REF!,Data_Val!$D$2:$D$10,0)),0,1)))</f>
        <v>#REF!</v>
      </c>
      <c r="AT400" s="11"/>
      <c r="AU400" s="11" t="e">
        <f ca="1">IF(Data!#REF!="","",IF(ISNUMBER(Data!#REF!),IF(AND(Data!#REF!&gt;(TODAY()-(Data_Val!$I$3*365.25)),Data!#REF!&lt;=(TODAY()-(Data_Val!$I$2*365.25))),0,1),1))</f>
        <v>#REF!</v>
      </c>
      <c r="AV400" s="11" t="e">
        <f>IF(Data!#REF!="","",IF(Data!$G400="",1,IF(ISNUMBER(MATCH(Data!#REF!,Data_Val!$D$2:$D$10,0)),0,1)))</f>
        <v>#REF!</v>
      </c>
      <c r="AW400" s="12"/>
      <c r="AX400" s="26" t="e">
        <f ca="1">IF(Data!#REF!="","",IF(ISNUMBER(Data!#REF!),IF(AND(Data!#REF!&gt;(TODAY()-(Data_Val!$I$3*365.25)),Data!#REF!&lt;=(TODAY()-(Data_Val!$I$2*365.25))),0,1),1))</f>
        <v>#REF!</v>
      </c>
      <c r="AY400" s="12" t="e">
        <f>IF(Data!#REF!="","",IF(Data!$G400="",1,IF(ISNUMBER(MATCH(Data!#REF!,Data_Val!$D$2:$D$10,0)),0,1)))</f>
        <v>#REF!</v>
      </c>
      <c r="AZ400" s="11"/>
      <c r="BA400" s="19" t="e">
        <f ca="1">IF(Data!#REF!="","",IF(ISNUMBER(Data!#REF!),IF(AND(Data!#REF!&gt;(TODAY()-(Data_Val!$M$3*365.25)),Data!#REF!&lt;=(TODAY()-(Data_Val!$M$2*365.25))),0,1),1))</f>
        <v>#REF!</v>
      </c>
      <c r="BB400" s="11" t="e">
        <f>IF(Data!#REF!="","",IF(Data!$G400="",1,IF(ISNUMBER(MATCH(Data!#REF!,Data_Val!$D$2:$D$10,0)),0,1)))</f>
        <v>#REF!</v>
      </c>
      <c r="BC400" s="12"/>
      <c r="BD400" s="20" t="e">
        <f ca="1">IF(Data!#REF!="","",IF(ISNUMBER(Data!#REF!),IF(AND(Data!#REF!&gt;(TODAY()-(Data_Val!$M$3*365.25)),Data!#REF!&lt;=(TODAY()-(Data_Val!$M$2*365.25))),0,1),1))</f>
        <v>#REF!</v>
      </c>
      <c r="BE400" s="12" t="e">
        <f>IF(Data!#REF!="","",IF(Data!$G400="",1,IF(ISNUMBER(MATCH(Data!#REF!,Data_Val!$D$2:$D$10,0)),0,1)))</f>
        <v>#REF!</v>
      </c>
      <c r="BF400" s="17"/>
      <c r="BG400" s="18" t="e">
        <f ca="1">IF(Data!#REF!="","",IF(ISNUMBER(Data!#REF!),IF(AND(Data!#REF!&gt;(TODAY()-(Data_Val!$M$3*365.25)),Data!#REF!&lt;=(TODAY()-(Data_Val!$M$2*365.25))),0,1),1))</f>
        <v>#REF!</v>
      </c>
      <c r="BH400" s="29" t="e">
        <f>IF(Data!#REF!="","",IF(Data!$G400="",1,IF(ISNUMBER(MATCH(Data!#REF!,Data_Val!$D$2:$D$10,0)),0,1)))</f>
        <v>#REF!</v>
      </c>
      <c r="BI400" s="13"/>
      <c r="BJ400" s="21" t="e">
        <f ca="1">IF(Data!#REF!="","",IF(ISNUMBER(Data!#REF!),IF(AND(Data!#REF!&gt;(TODAY()-(Data_Val!$M$3*365.25)),Data!#REF!&lt;=(TODAY()-(Data_Val!$M$2*365.25))),0,1),1))</f>
        <v>#REF!</v>
      </c>
      <c r="BK400" s="13" t="e">
        <f>IF(Data!#REF!="","",IF(Data!$G400="",1,IF(ISNUMBER(MATCH(Data!#REF!,Data_Val!$D$2:$D$10,0)),0,1)))</f>
        <v>#REF!</v>
      </c>
    </row>
    <row r="401" spans="1:63" x14ac:dyDescent="0.25">
      <c r="A401" s="9" t="str">
        <f>IF(Data!B401="","",IF(COUNTIFS(Data!A$1:'Data'!A401,Data!A401)&lt;=1,0,1))</f>
        <v/>
      </c>
      <c r="B401" s="9"/>
      <c r="C401" s="23" t="str">
        <f>IF(Data!C401="","",(IF(ISNUMBER(MATCH("*@*.?*",Data!C401,0)),0,1)+IF(COUNTIFS(Data!C$1:'Data'!C401,Data!C401)&gt;1,1,0)))</f>
        <v/>
      </c>
      <c r="D401" s="9" t="str">
        <f>IF(Data!B401="","",IF(ISNUMBER(Data!D401),IF(AND(Data!D401&gt;999999999,Data!D401&lt;=9999999999),IF(COUNTIFS(Data!D$1:'Data'!D401,Data!D401)&lt;=1,0,1),1),1))</f>
        <v/>
      </c>
      <c r="E401" s="9" t="str">
        <f>IF(Data!B401="","",IF(ISNUMBER(MATCH(Data!E401,Data_Val!$A$2:$A$3,0)),0,1))</f>
        <v/>
      </c>
      <c r="F401" s="9" t="str">
        <f ca="1">IF(Data!B401="","",IF(ISNUMBER(Data!F401),IF(AND(Data!F401&gt;(TODAY()-(Data_Val!$H$3*365.25)),Data!F401&lt;=(TODAY()-(Data_Val!$H$2*365.25))),0,1),1))</f>
        <v/>
      </c>
      <c r="G401" s="15" t="str">
        <f>IF(Data!B401="","",IF(AND(Data!G401="",Data!H401&lt;&gt;""),1,IF(Data!#REF!&lt;&gt;"",0,IF(ISNUMBER(MATCH(Data!G401,Data_Val!$C$2:$C$5,0)),0,1))))</f>
        <v/>
      </c>
      <c r="H401" s="15" t="str">
        <f>IF(Data!B401="","",IF(AND(Data!G401&lt;&gt;"",Data!H401=""),1,IF(Data!#REF!&lt;&gt;"",0,IF(Data!G401="",1,IF(ISNUMBER(MATCH(Data!H401,Data_Val!$D$2:$D$35,0)),0,1)))))</f>
        <v/>
      </c>
      <c r="I401" s="15" t="str">
        <f>IF(Data!B401="","",IF(Data!G401&lt;&gt;"",0,IF(ISNUMBER(MATCH(Data!#REF!,Data_Val!$E$2:$E$12,0)),0,1)))</f>
        <v/>
      </c>
      <c r="J401" s="16" t="e">
        <f>IF(OR(Data!B401="",Data!#REF!=""),"",IF(Data!#REF!="",1,0))</f>
        <v>#REF!</v>
      </c>
      <c r="K401" s="16" t="e">
        <f>IF(OR(Data!B401="",Data!#REF!=""),"",IF(Data!#REF!="",1,0))</f>
        <v>#REF!</v>
      </c>
      <c r="L401" s="16" t="e">
        <f>IF(OR(Data!B401="",Data!#REF!=""),"",IF(ISNUMBER(Data!#REF!),IF(AND(Data!#REF!&gt;Data_Val!$G$2,Data!#REF!&lt;=Data_Val!$G$3),0,1),1))</f>
        <v>#REF!</v>
      </c>
      <c r="M401" s="9" t="e">
        <f>IF(OR(Data!B401="",Data!#REF!=""),"",IF(ISNUMBER(MATCH(Data!#REF!,Data_Val!$F$1:$F$38,0)),0,1))</f>
        <v>#REF!</v>
      </c>
      <c r="N401" s="9" t="e">
        <f>IF(OR(Data!B401="",Data!#REF!=""),"",IF(Data!#REF!="",1,0))</f>
        <v>#REF!</v>
      </c>
      <c r="O401" s="17" t="e">
        <f>IF(Data!#REF!="","",IF(Data!#REF!="",1,0))</f>
        <v>#REF!</v>
      </c>
      <c r="P401" s="17" t="e">
        <f>IF(Data!#REF!="","",IF(ISNUMBER(MATCH(Data!#REF!,Data_Val!$A$2:$A$3,0)),0,1))</f>
        <v>#REF!</v>
      </c>
      <c r="Q401" s="25" t="e">
        <f ca="1">IF(Data!#REF!="","",IF(ISNUMBER(Data!#REF!),IF(AND(Data!#REF!&gt;(TODAY()-(Data_Val!$J$3*365.25)),Data!#REF!&lt;=(TODAY()-(Data_Val!$J$2*365.25))),0,1),1))</f>
        <v>#REF!</v>
      </c>
      <c r="R401" s="17" t="e">
        <f>IF(Data!#REF!="","",IF(ISNUMBER(MATCH(Data!#REF!,Data_Val!$B$2:$B$15,0)),0,1))</f>
        <v>#REF!</v>
      </c>
      <c r="S401" s="11" t="str">
        <f>IF(Data!G401="","",IF(Data!G401=Data_Val!$C$2,IF(Data!M401="",0,1),0))</f>
        <v/>
      </c>
      <c r="T401" s="11" t="str">
        <f>IF(Data!M401="","",IF(ISNUMBER(MATCH(Data!N401,Data_Val!$A$2:$A$3,0)),0,1))</f>
        <v/>
      </c>
      <c r="U401" s="11" t="str">
        <f ca="1">IF(Data!M401="","",IF(ISNUMBER(Data!O401),IF(AND(Data!O401&gt;(TODAY()-(Data_Val!$K$3*365.25)),Data!O401&lt;=(TODAY()-(Data_Val!$K$2*365.25))),0,1),1))</f>
        <v/>
      </c>
      <c r="V401" s="12" t="str">
        <f>IF(Data!G401="","",IF(Data!G401=Data_Val!$C$2,IF(Data!P401="",0,1),0))</f>
        <v/>
      </c>
      <c r="W401" s="12" t="str">
        <f>IF(Data!P401="","",IF(ISNUMBER(MATCH(Data!Q401,Data_Val!$A$2:$A$3,0)),0,1))</f>
        <v/>
      </c>
      <c r="X401" s="26" t="str">
        <f ca="1">IF(Data!P401="","",IF(ISNUMBER(Data!R401),IF(AND(Data!R401&gt;(TODAY()-(Data_Val!$L$3*365.25)),Data!R401&lt;=(TODAY()-(Data_Val!$L$2*365.25))),0,1),1))</f>
        <v/>
      </c>
      <c r="Y401" s="13" t="str">
        <f>IF(Data!$G401="","",IF(Data!$G401=Data_Val!$C$2,IF(Data!S401="",0,1),0))</f>
        <v/>
      </c>
      <c r="Z401" s="13" t="str">
        <f>IF(Data!S401="","",IF(ISNUMBER(MATCH(Data!T401,Data_Val!$A$2:$A$3,0)),0,1))</f>
        <v/>
      </c>
      <c r="AA401" s="28" t="str">
        <f ca="1">IF(Data!S401="","",IF(ISNUMBER(Data!U401),IF(AND(Data!U401&gt;(TODAY()-(Data_Val!$L$3*365.25)),Data!U401&lt;=(TODAY()-(Data_Val!$L$2*365.25))),0,1),1))</f>
        <v/>
      </c>
      <c r="AB401" s="11"/>
      <c r="AC401" s="11" t="e">
        <f>IF(Data!#REF!="","",IF(ISNUMBER(MATCH(Data!#REF!,Data_Val!$A$2:$A$3,0)),0,1))</f>
        <v>#REF!</v>
      </c>
      <c r="AD401" s="11" t="e">
        <f ca="1">IF(Data!#REF!="","",IF(ISNUMBER(Data!#REF!),IF(AND(Data!#REF!&gt;(TODAY()-(Data_Val!$L$3*365.25)),Data!#REF!&lt;=(TODAY()-(Data_Val!$L$2*365.25))),0,1),1))</f>
        <v>#REF!</v>
      </c>
      <c r="AE401" s="11" t="e">
        <f>IF(Data!#REF!="","",IF(Data!$G401="",1,IF(ISNUMBER(MATCH(Data!#REF!,Data_Val!$D$2:$D$10,0)),0,1)))</f>
        <v>#REF!</v>
      </c>
      <c r="AF401" s="12"/>
      <c r="AG401" s="12" t="e">
        <f>IF(Data!#REF!="","",IF(ISNUMBER(MATCH(Data!#REF!,Data_Val!$A$2:$A$3,0)),0,1))</f>
        <v>#REF!</v>
      </c>
      <c r="AH401" s="26" t="e">
        <f ca="1">IF(Data!#REF!="","",IF(ISNUMBER(Data!#REF!),IF(AND(Data!#REF!&gt;(TODAY()-(Data_Val!$L$3*365.25)),Data!#REF!&lt;=(TODAY()-(Data_Val!$L$2*365.25))),0,1),1))</f>
        <v>#REF!</v>
      </c>
      <c r="AI401" s="12" t="e">
        <f>IF(Data!#REF!="","",IF(Data!$G401="",1,IF(ISNUMBER(MATCH(Data!#REF!,Data_Val!$D$2:$D$10,0)),0,1)))</f>
        <v>#REF!</v>
      </c>
      <c r="AJ401" s="17"/>
      <c r="AK401" s="17" t="e">
        <f>IF(Data!#REF!="","",IF(ISNUMBER(MATCH(Data!#REF!,Data_Val!$A$2:$A$3,0)),0,1))</f>
        <v>#REF!</v>
      </c>
      <c r="AL401" s="25" t="e">
        <f ca="1">IF(Data!#REF!="","",IF(ISNUMBER(Data!#REF!),IF(AND(Data!#REF!&gt;(TODAY()-(Data_Val!$L$3*365.25)),Data!#REF!&lt;=(TODAY()-(Data_Val!$L$2*365.25))),0,1),1))</f>
        <v>#REF!</v>
      </c>
      <c r="AM401" s="17" t="e">
        <f>IF(Data!#REF!="","",IF(Data!$G401="",1,IF(ISNUMBER(MATCH(Data!#REF!,Data_Val!$D$2:$D$10,0)),0,1)))</f>
        <v>#REF!</v>
      </c>
      <c r="AN401" s="13"/>
      <c r="AO401" s="28" t="e">
        <f ca="1">IF(Data!#REF!="","",IF(ISNUMBER(Data!#REF!),IF(AND(Data!#REF!&gt;(TODAY()-(Data_Val!$I$3*365.25)),Data!#REF!&lt;=(TODAY()-(Data_Val!$I$2*365.25))),0,1),1))</f>
        <v>#REF!</v>
      </c>
      <c r="AP401" s="13" t="e">
        <f>IF(Data!#REF!="","",IF(Data!$G401="",1,IF(ISNUMBER(MATCH(Data!#REF!,Data_Val!$D$2:$D$10,0)),0,1)))</f>
        <v>#REF!</v>
      </c>
      <c r="AQ401" s="17"/>
      <c r="AR401" s="30" t="e">
        <f ca="1">IF(Data!#REF!="","",IF(ISNUMBER(Data!#REF!),IF(AND(Data!#REF!&gt;(TODAY()-(Data_Val!$I$3*365.25)),Data!#REF!&lt;=(TODAY()-(Data_Val!$I$2*365.25))),0,1),1))</f>
        <v>#REF!</v>
      </c>
      <c r="AS401" s="31" t="e">
        <f>IF(Data!#REF!="","",IF(Data!$G401="",1,IF(ISNUMBER(MATCH(Data!#REF!,Data_Val!$D$2:$D$10,0)),0,1)))</f>
        <v>#REF!</v>
      </c>
      <c r="AT401" s="11"/>
      <c r="AU401" s="11" t="e">
        <f ca="1">IF(Data!#REF!="","",IF(ISNUMBER(Data!#REF!),IF(AND(Data!#REF!&gt;(TODAY()-(Data_Val!$I$3*365.25)),Data!#REF!&lt;=(TODAY()-(Data_Val!$I$2*365.25))),0,1),1))</f>
        <v>#REF!</v>
      </c>
      <c r="AV401" s="11" t="e">
        <f>IF(Data!#REF!="","",IF(Data!$G401="",1,IF(ISNUMBER(MATCH(Data!#REF!,Data_Val!$D$2:$D$10,0)),0,1)))</f>
        <v>#REF!</v>
      </c>
      <c r="AW401" s="12"/>
      <c r="AX401" s="26" t="e">
        <f ca="1">IF(Data!#REF!="","",IF(ISNUMBER(Data!#REF!),IF(AND(Data!#REF!&gt;(TODAY()-(Data_Val!$I$3*365.25)),Data!#REF!&lt;=(TODAY()-(Data_Val!$I$2*365.25))),0,1),1))</f>
        <v>#REF!</v>
      </c>
      <c r="AY401" s="12" t="e">
        <f>IF(Data!#REF!="","",IF(Data!$G401="",1,IF(ISNUMBER(MATCH(Data!#REF!,Data_Val!$D$2:$D$10,0)),0,1)))</f>
        <v>#REF!</v>
      </c>
      <c r="AZ401" s="11"/>
      <c r="BA401" s="19" t="e">
        <f ca="1">IF(Data!#REF!="","",IF(ISNUMBER(Data!#REF!),IF(AND(Data!#REF!&gt;(TODAY()-(Data_Val!$M$3*365.25)),Data!#REF!&lt;=(TODAY()-(Data_Val!$M$2*365.25))),0,1),1))</f>
        <v>#REF!</v>
      </c>
      <c r="BB401" s="11" t="e">
        <f>IF(Data!#REF!="","",IF(Data!$G401="",1,IF(ISNUMBER(MATCH(Data!#REF!,Data_Val!$D$2:$D$10,0)),0,1)))</f>
        <v>#REF!</v>
      </c>
      <c r="BC401" s="12"/>
      <c r="BD401" s="20" t="e">
        <f ca="1">IF(Data!#REF!="","",IF(ISNUMBER(Data!#REF!),IF(AND(Data!#REF!&gt;(TODAY()-(Data_Val!$M$3*365.25)),Data!#REF!&lt;=(TODAY()-(Data_Val!$M$2*365.25))),0,1),1))</f>
        <v>#REF!</v>
      </c>
      <c r="BE401" s="12" t="e">
        <f>IF(Data!#REF!="","",IF(Data!$G401="",1,IF(ISNUMBER(MATCH(Data!#REF!,Data_Val!$D$2:$D$10,0)),0,1)))</f>
        <v>#REF!</v>
      </c>
      <c r="BF401" s="17"/>
      <c r="BG401" s="18" t="e">
        <f ca="1">IF(Data!#REF!="","",IF(ISNUMBER(Data!#REF!),IF(AND(Data!#REF!&gt;(TODAY()-(Data_Val!$M$3*365.25)),Data!#REF!&lt;=(TODAY()-(Data_Val!$M$2*365.25))),0,1),1))</f>
        <v>#REF!</v>
      </c>
      <c r="BH401" s="29" t="e">
        <f>IF(Data!#REF!="","",IF(Data!$G401="",1,IF(ISNUMBER(MATCH(Data!#REF!,Data_Val!$D$2:$D$10,0)),0,1)))</f>
        <v>#REF!</v>
      </c>
      <c r="BI401" s="13"/>
      <c r="BJ401" s="21" t="e">
        <f ca="1">IF(Data!#REF!="","",IF(ISNUMBER(Data!#REF!),IF(AND(Data!#REF!&gt;(TODAY()-(Data_Val!$M$3*365.25)),Data!#REF!&lt;=(TODAY()-(Data_Val!$M$2*365.25))),0,1),1))</f>
        <v>#REF!</v>
      </c>
      <c r="BK401" s="13" t="e">
        <f>IF(Data!#REF!="","",IF(Data!$G401="",1,IF(ISNUMBER(MATCH(Data!#REF!,Data_Val!$D$2:$D$10,0)),0,1)))</f>
        <v>#REF!</v>
      </c>
    </row>
    <row r="402" spans="1:63" x14ac:dyDescent="0.25">
      <c r="A402" s="9" t="str">
        <f>IF(Data!B402="","",IF(COUNTIFS(Data!A$1:'Data'!A402,Data!A402)&lt;=1,0,1))</f>
        <v/>
      </c>
      <c r="B402" s="9"/>
      <c r="C402" s="23" t="str">
        <f>IF(Data!C402="","",(IF(ISNUMBER(MATCH("*@*.?*",Data!C402,0)),0,1)+IF(COUNTIFS(Data!C$1:'Data'!C402,Data!C402)&gt;1,1,0)))</f>
        <v/>
      </c>
      <c r="D402" s="9" t="str">
        <f>IF(Data!B402="","",IF(ISNUMBER(Data!D402),IF(AND(Data!D402&gt;999999999,Data!D402&lt;=9999999999),IF(COUNTIFS(Data!D$1:'Data'!D402,Data!D402)&lt;=1,0,1),1),1))</f>
        <v/>
      </c>
      <c r="E402" s="9" t="str">
        <f>IF(Data!B402="","",IF(ISNUMBER(MATCH(Data!E402,Data_Val!$A$2:$A$3,0)),0,1))</f>
        <v/>
      </c>
      <c r="F402" s="9" t="str">
        <f ca="1">IF(Data!B402="","",IF(ISNUMBER(Data!F402),IF(AND(Data!F402&gt;(TODAY()-(Data_Val!$H$3*365.25)),Data!F402&lt;=(TODAY()-(Data_Val!$H$2*365.25))),0,1),1))</f>
        <v/>
      </c>
      <c r="G402" s="15" t="str">
        <f>IF(Data!B402="","",IF(AND(Data!G402="",Data!H402&lt;&gt;""),1,IF(Data!#REF!&lt;&gt;"",0,IF(ISNUMBER(MATCH(Data!G402,Data_Val!$C$2:$C$5,0)),0,1))))</f>
        <v/>
      </c>
      <c r="H402" s="15" t="str">
        <f>IF(Data!B402="","",IF(AND(Data!G402&lt;&gt;"",Data!H402=""),1,IF(Data!#REF!&lt;&gt;"",0,IF(Data!G402="",1,IF(ISNUMBER(MATCH(Data!H402,Data_Val!$D$2:$D$35,0)),0,1)))))</f>
        <v/>
      </c>
      <c r="I402" s="15" t="str">
        <f>IF(Data!B402="","",IF(Data!G402&lt;&gt;"",0,IF(ISNUMBER(MATCH(Data!#REF!,Data_Val!$E$2:$E$12,0)),0,1)))</f>
        <v/>
      </c>
      <c r="J402" s="16" t="e">
        <f>IF(OR(Data!B402="",Data!#REF!=""),"",IF(Data!#REF!="",1,0))</f>
        <v>#REF!</v>
      </c>
      <c r="K402" s="16" t="e">
        <f>IF(OR(Data!B402="",Data!#REF!=""),"",IF(Data!#REF!="",1,0))</f>
        <v>#REF!</v>
      </c>
      <c r="L402" s="16" t="e">
        <f>IF(OR(Data!B402="",Data!#REF!=""),"",IF(ISNUMBER(Data!#REF!),IF(AND(Data!#REF!&gt;Data_Val!$G$2,Data!#REF!&lt;=Data_Val!$G$3),0,1),1))</f>
        <v>#REF!</v>
      </c>
      <c r="M402" s="9" t="e">
        <f>IF(OR(Data!B402="",Data!#REF!=""),"",IF(ISNUMBER(MATCH(Data!#REF!,Data_Val!$F$1:$F$38,0)),0,1))</f>
        <v>#REF!</v>
      </c>
      <c r="N402" s="9" t="e">
        <f>IF(OR(Data!B402="",Data!#REF!=""),"",IF(Data!#REF!="",1,0))</f>
        <v>#REF!</v>
      </c>
      <c r="O402" s="17" t="e">
        <f>IF(Data!#REF!="","",IF(Data!#REF!="",1,0))</f>
        <v>#REF!</v>
      </c>
      <c r="P402" s="17" t="e">
        <f>IF(Data!#REF!="","",IF(ISNUMBER(MATCH(Data!#REF!,Data_Val!$A$2:$A$3,0)),0,1))</f>
        <v>#REF!</v>
      </c>
      <c r="Q402" s="25" t="e">
        <f ca="1">IF(Data!#REF!="","",IF(ISNUMBER(Data!#REF!),IF(AND(Data!#REF!&gt;(TODAY()-(Data_Val!$J$3*365.25)),Data!#REF!&lt;=(TODAY()-(Data_Val!$J$2*365.25))),0,1),1))</f>
        <v>#REF!</v>
      </c>
      <c r="R402" s="17" t="e">
        <f>IF(Data!#REF!="","",IF(ISNUMBER(MATCH(Data!#REF!,Data_Val!$B$2:$B$15,0)),0,1))</f>
        <v>#REF!</v>
      </c>
      <c r="S402" s="11" t="str">
        <f>IF(Data!G402="","",IF(Data!G402=Data_Val!$C$2,IF(Data!M402="",0,1),0))</f>
        <v/>
      </c>
      <c r="T402" s="11" t="str">
        <f>IF(Data!M402="","",IF(ISNUMBER(MATCH(Data!N402,Data_Val!$A$2:$A$3,0)),0,1))</f>
        <v/>
      </c>
      <c r="U402" s="11" t="str">
        <f ca="1">IF(Data!M402="","",IF(ISNUMBER(Data!O402),IF(AND(Data!O402&gt;(TODAY()-(Data_Val!$K$3*365.25)),Data!O402&lt;=(TODAY()-(Data_Val!$K$2*365.25))),0,1),1))</f>
        <v/>
      </c>
      <c r="V402" s="12" t="str">
        <f>IF(Data!G402="","",IF(Data!G402=Data_Val!$C$2,IF(Data!P402="",0,1),0))</f>
        <v/>
      </c>
      <c r="W402" s="12" t="str">
        <f>IF(Data!P402="","",IF(ISNUMBER(MATCH(Data!Q402,Data_Val!$A$2:$A$3,0)),0,1))</f>
        <v/>
      </c>
      <c r="X402" s="26" t="str">
        <f ca="1">IF(Data!P402="","",IF(ISNUMBER(Data!R402),IF(AND(Data!R402&gt;(TODAY()-(Data_Val!$L$3*365.25)),Data!R402&lt;=(TODAY()-(Data_Val!$L$2*365.25))),0,1),1))</f>
        <v/>
      </c>
      <c r="Y402" s="13" t="str">
        <f>IF(Data!$G402="","",IF(Data!$G402=Data_Val!$C$2,IF(Data!S402="",0,1),0))</f>
        <v/>
      </c>
      <c r="Z402" s="13" t="str">
        <f>IF(Data!S402="","",IF(ISNUMBER(MATCH(Data!T402,Data_Val!$A$2:$A$3,0)),0,1))</f>
        <v/>
      </c>
      <c r="AA402" s="28" t="str">
        <f ca="1">IF(Data!S402="","",IF(ISNUMBER(Data!U402),IF(AND(Data!U402&gt;(TODAY()-(Data_Val!$L$3*365.25)),Data!U402&lt;=(TODAY()-(Data_Val!$L$2*365.25))),0,1),1))</f>
        <v/>
      </c>
      <c r="AB402" s="11"/>
      <c r="AC402" s="11" t="e">
        <f>IF(Data!#REF!="","",IF(ISNUMBER(MATCH(Data!#REF!,Data_Val!$A$2:$A$3,0)),0,1))</f>
        <v>#REF!</v>
      </c>
      <c r="AD402" s="11" t="e">
        <f ca="1">IF(Data!#REF!="","",IF(ISNUMBER(Data!#REF!),IF(AND(Data!#REF!&gt;(TODAY()-(Data_Val!$L$3*365.25)),Data!#REF!&lt;=(TODAY()-(Data_Val!$L$2*365.25))),0,1),1))</f>
        <v>#REF!</v>
      </c>
      <c r="AE402" s="11" t="e">
        <f>IF(Data!#REF!="","",IF(Data!$G402="",1,IF(ISNUMBER(MATCH(Data!#REF!,Data_Val!$D$2:$D$10,0)),0,1)))</f>
        <v>#REF!</v>
      </c>
      <c r="AF402" s="12"/>
      <c r="AG402" s="12" t="e">
        <f>IF(Data!#REF!="","",IF(ISNUMBER(MATCH(Data!#REF!,Data_Val!$A$2:$A$3,0)),0,1))</f>
        <v>#REF!</v>
      </c>
      <c r="AH402" s="26" t="e">
        <f ca="1">IF(Data!#REF!="","",IF(ISNUMBER(Data!#REF!),IF(AND(Data!#REF!&gt;(TODAY()-(Data_Val!$L$3*365.25)),Data!#REF!&lt;=(TODAY()-(Data_Val!$L$2*365.25))),0,1),1))</f>
        <v>#REF!</v>
      </c>
      <c r="AI402" s="12" t="e">
        <f>IF(Data!#REF!="","",IF(Data!$G402="",1,IF(ISNUMBER(MATCH(Data!#REF!,Data_Val!$D$2:$D$10,0)),0,1)))</f>
        <v>#REF!</v>
      </c>
      <c r="AJ402" s="17"/>
      <c r="AK402" s="17" t="e">
        <f>IF(Data!#REF!="","",IF(ISNUMBER(MATCH(Data!#REF!,Data_Val!$A$2:$A$3,0)),0,1))</f>
        <v>#REF!</v>
      </c>
      <c r="AL402" s="25" t="e">
        <f ca="1">IF(Data!#REF!="","",IF(ISNUMBER(Data!#REF!),IF(AND(Data!#REF!&gt;(TODAY()-(Data_Val!$L$3*365.25)),Data!#REF!&lt;=(TODAY()-(Data_Val!$L$2*365.25))),0,1),1))</f>
        <v>#REF!</v>
      </c>
      <c r="AM402" s="17" t="e">
        <f>IF(Data!#REF!="","",IF(Data!$G402="",1,IF(ISNUMBER(MATCH(Data!#REF!,Data_Val!$D$2:$D$10,0)),0,1)))</f>
        <v>#REF!</v>
      </c>
      <c r="AN402" s="13"/>
      <c r="AO402" s="28" t="e">
        <f ca="1">IF(Data!#REF!="","",IF(ISNUMBER(Data!#REF!),IF(AND(Data!#REF!&gt;(TODAY()-(Data_Val!$I$3*365.25)),Data!#REF!&lt;=(TODAY()-(Data_Val!$I$2*365.25))),0,1),1))</f>
        <v>#REF!</v>
      </c>
      <c r="AP402" s="13" t="e">
        <f>IF(Data!#REF!="","",IF(Data!$G402="",1,IF(ISNUMBER(MATCH(Data!#REF!,Data_Val!$D$2:$D$10,0)),0,1)))</f>
        <v>#REF!</v>
      </c>
      <c r="AQ402" s="17"/>
      <c r="AR402" s="30" t="e">
        <f ca="1">IF(Data!#REF!="","",IF(ISNUMBER(Data!#REF!),IF(AND(Data!#REF!&gt;(TODAY()-(Data_Val!$I$3*365.25)),Data!#REF!&lt;=(TODAY()-(Data_Val!$I$2*365.25))),0,1),1))</f>
        <v>#REF!</v>
      </c>
      <c r="AS402" s="31" t="e">
        <f>IF(Data!#REF!="","",IF(Data!$G402="",1,IF(ISNUMBER(MATCH(Data!#REF!,Data_Val!$D$2:$D$10,0)),0,1)))</f>
        <v>#REF!</v>
      </c>
      <c r="AT402" s="11"/>
      <c r="AU402" s="11" t="e">
        <f ca="1">IF(Data!#REF!="","",IF(ISNUMBER(Data!#REF!),IF(AND(Data!#REF!&gt;(TODAY()-(Data_Val!$I$3*365.25)),Data!#REF!&lt;=(TODAY()-(Data_Val!$I$2*365.25))),0,1),1))</f>
        <v>#REF!</v>
      </c>
      <c r="AV402" s="11" t="e">
        <f>IF(Data!#REF!="","",IF(Data!$G402="",1,IF(ISNUMBER(MATCH(Data!#REF!,Data_Val!$D$2:$D$10,0)),0,1)))</f>
        <v>#REF!</v>
      </c>
      <c r="AW402" s="12"/>
      <c r="AX402" s="26" t="e">
        <f ca="1">IF(Data!#REF!="","",IF(ISNUMBER(Data!#REF!),IF(AND(Data!#REF!&gt;(TODAY()-(Data_Val!$I$3*365.25)),Data!#REF!&lt;=(TODAY()-(Data_Val!$I$2*365.25))),0,1),1))</f>
        <v>#REF!</v>
      </c>
      <c r="AY402" s="12" t="e">
        <f>IF(Data!#REF!="","",IF(Data!$G402="",1,IF(ISNUMBER(MATCH(Data!#REF!,Data_Val!$D$2:$D$10,0)),0,1)))</f>
        <v>#REF!</v>
      </c>
      <c r="AZ402" s="11"/>
      <c r="BA402" s="19" t="e">
        <f ca="1">IF(Data!#REF!="","",IF(ISNUMBER(Data!#REF!),IF(AND(Data!#REF!&gt;(TODAY()-(Data_Val!$M$3*365.25)),Data!#REF!&lt;=(TODAY()-(Data_Val!$M$2*365.25))),0,1),1))</f>
        <v>#REF!</v>
      </c>
      <c r="BB402" s="11" t="e">
        <f>IF(Data!#REF!="","",IF(Data!$G402="",1,IF(ISNUMBER(MATCH(Data!#REF!,Data_Val!$D$2:$D$10,0)),0,1)))</f>
        <v>#REF!</v>
      </c>
      <c r="BC402" s="12"/>
      <c r="BD402" s="20" t="e">
        <f ca="1">IF(Data!#REF!="","",IF(ISNUMBER(Data!#REF!),IF(AND(Data!#REF!&gt;(TODAY()-(Data_Val!$M$3*365.25)),Data!#REF!&lt;=(TODAY()-(Data_Val!$M$2*365.25))),0,1),1))</f>
        <v>#REF!</v>
      </c>
      <c r="BE402" s="12" t="e">
        <f>IF(Data!#REF!="","",IF(Data!$G402="",1,IF(ISNUMBER(MATCH(Data!#REF!,Data_Val!$D$2:$D$10,0)),0,1)))</f>
        <v>#REF!</v>
      </c>
      <c r="BF402" s="17"/>
      <c r="BG402" s="18" t="e">
        <f ca="1">IF(Data!#REF!="","",IF(ISNUMBER(Data!#REF!),IF(AND(Data!#REF!&gt;(TODAY()-(Data_Val!$M$3*365.25)),Data!#REF!&lt;=(TODAY()-(Data_Val!$M$2*365.25))),0,1),1))</f>
        <v>#REF!</v>
      </c>
      <c r="BH402" s="29" t="e">
        <f>IF(Data!#REF!="","",IF(Data!$G402="",1,IF(ISNUMBER(MATCH(Data!#REF!,Data_Val!$D$2:$D$10,0)),0,1)))</f>
        <v>#REF!</v>
      </c>
      <c r="BI402" s="13"/>
      <c r="BJ402" s="21" t="e">
        <f ca="1">IF(Data!#REF!="","",IF(ISNUMBER(Data!#REF!),IF(AND(Data!#REF!&gt;(TODAY()-(Data_Val!$M$3*365.25)),Data!#REF!&lt;=(TODAY()-(Data_Val!$M$2*365.25))),0,1),1))</f>
        <v>#REF!</v>
      </c>
      <c r="BK402" s="13" t="e">
        <f>IF(Data!#REF!="","",IF(Data!$G402="",1,IF(ISNUMBER(MATCH(Data!#REF!,Data_Val!$D$2:$D$10,0)),0,1)))</f>
        <v>#REF!</v>
      </c>
    </row>
    <row r="403" spans="1:63" x14ac:dyDescent="0.25">
      <c r="A403" s="9" t="str">
        <f>IF(Data!B403="","",IF(COUNTIFS(Data!A$1:'Data'!A403,Data!A403)&lt;=1,0,1))</f>
        <v/>
      </c>
      <c r="B403" s="9"/>
      <c r="C403" s="23" t="str">
        <f>IF(Data!C403="","",(IF(ISNUMBER(MATCH("*@*.?*",Data!C403,0)),0,1)+IF(COUNTIFS(Data!C$1:'Data'!C403,Data!C403)&gt;1,1,0)))</f>
        <v/>
      </c>
      <c r="D403" s="9" t="str">
        <f>IF(Data!B403="","",IF(ISNUMBER(Data!D403),IF(AND(Data!D403&gt;999999999,Data!D403&lt;=9999999999),IF(COUNTIFS(Data!D$1:'Data'!D403,Data!D403)&lt;=1,0,1),1),1))</f>
        <v/>
      </c>
      <c r="E403" s="9" t="str">
        <f>IF(Data!B403="","",IF(ISNUMBER(MATCH(Data!E403,Data_Val!$A$2:$A$3,0)),0,1))</f>
        <v/>
      </c>
      <c r="F403" s="9" t="str">
        <f ca="1">IF(Data!B403="","",IF(ISNUMBER(Data!F403),IF(AND(Data!F403&gt;(TODAY()-(Data_Val!$H$3*365.25)),Data!F403&lt;=(TODAY()-(Data_Val!$H$2*365.25))),0,1),1))</f>
        <v/>
      </c>
      <c r="G403" s="15" t="str">
        <f>IF(Data!B403="","",IF(AND(Data!G403="",Data!H403&lt;&gt;""),1,IF(Data!#REF!&lt;&gt;"",0,IF(ISNUMBER(MATCH(Data!G403,Data_Val!$C$2:$C$5,0)),0,1))))</f>
        <v/>
      </c>
      <c r="H403" s="15" t="str">
        <f>IF(Data!B403="","",IF(AND(Data!G403&lt;&gt;"",Data!H403=""),1,IF(Data!#REF!&lt;&gt;"",0,IF(Data!G403="",1,IF(ISNUMBER(MATCH(Data!H403,Data_Val!$D$2:$D$35,0)),0,1)))))</f>
        <v/>
      </c>
      <c r="I403" s="15" t="str">
        <f>IF(Data!B403="","",IF(Data!G403&lt;&gt;"",0,IF(ISNUMBER(MATCH(Data!#REF!,Data_Val!$E$2:$E$12,0)),0,1)))</f>
        <v/>
      </c>
      <c r="J403" s="16" t="e">
        <f>IF(OR(Data!B403="",Data!#REF!=""),"",IF(Data!#REF!="",1,0))</f>
        <v>#REF!</v>
      </c>
      <c r="K403" s="16" t="e">
        <f>IF(OR(Data!B403="",Data!#REF!=""),"",IF(Data!#REF!="",1,0))</f>
        <v>#REF!</v>
      </c>
      <c r="L403" s="16" t="e">
        <f>IF(OR(Data!B403="",Data!#REF!=""),"",IF(ISNUMBER(Data!#REF!),IF(AND(Data!#REF!&gt;Data_Val!$G$2,Data!#REF!&lt;=Data_Val!$G$3),0,1),1))</f>
        <v>#REF!</v>
      </c>
      <c r="M403" s="9" t="e">
        <f>IF(OR(Data!B403="",Data!#REF!=""),"",IF(ISNUMBER(MATCH(Data!#REF!,Data_Val!$F$1:$F$38,0)),0,1))</f>
        <v>#REF!</v>
      </c>
      <c r="N403" s="9" t="e">
        <f>IF(OR(Data!B403="",Data!#REF!=""),"",IF(Data!#REF!="",1,0))</f>
        <v>#REF!</v>
      </c>
      <c r="O403" s="17" t="e">
        <f>IF(Data!#REF!="","",IF(Data!#REF!="",1,0))</f>
        <v>#REF!</v>
      </c>
      <c r="P403" s="17" t="e">
        <f>IF(Data!#REF!="","",IF(ISNUMBER(MATCH(Data!#REF!,Data_Val!$A$2:$A$3,0)),0,1))</f>
        <v>#REF!</v>
      </c>
      <c r="Q403" s="25" t="e">
        <f ca="1">IF(Data!#REF!="","",IF(ISNUMBER(Data!#REF!),IF(AND(Data!#REF!&gt;(TODAY()-(Data_Val!$J$3*365.25)),Data!#REF!&lt;=(TODAY()-(Data_Val!$J$2*365.25))),0,1),1))</f>
        <v>#REF!</v>
      </c>
      <c r="R403" s="17" t="e">
        <f>IF(Data!#REF!="","",IF(ISNUMBER(MATCH(Data!#REF!,Data_Val!$B$2:$B$15,0)),0,1))</f>
        <v>#REF!</v>
      </c>
      <c r="S403" s="11" t="str">
        <f>IF(Data!G403="","",IF(Data!G403=Data_Val!$C$2,IF(Data!M403="",0,1),0))</f>
        <v/>
      </c>
      <c r="T403" s="11" t="str">
        <f>IF(Data!M403="","",IF(ISNUMBER(MATCH(Data!N403,Data_Val!$A$2:$A$3,0)),0,1))</f>
        <v/>
      </c>
      <c r="U403" s="11" t="str">
        <f ca="1">IF(Data!M403="","",IF(ISNUMBER(Data!O403),IF(AND(Data!O403&gt;(TODAY()-(Data_Val!$K$3*365.25)),Data!O403&lt;=(TODAY()-(Data_Val!$K$2*365.25))),0,1),1))</f>
        <v/>
      </c>
      <c r="V403" s="12" t="str">
        <f>IF(Data!G403="","",IF(Data!G403=Data_Val!$C$2,IF(Data!P403="",0,1),0))</f>
        <v/>
      </c>
      <c r="W403" s="12" t="str">
        <f>IF(Data!P403="","",IF(ISNUMBER(MATCH(Data!Q403,Data_Val!$A$2:$A$3,0)),0,1))</f>
        <v/>
      </c>
      <c r="X403" s="26" t="str">
        <f ca="1">IF(Data!P403="","",IF(ISNUMBER(Data!R403),IF(AND(Data!R403&gt;(TODAY()-(Data_Val!$L$3*365.25)),Data!R403&lt;=(TODAY()-(Data_Val!$L$2*365.25))),0,1),1))</f>
        <v/>
      </c>
      <c r="Y403" s="13" t="str">
        <f>IF(Data!$G403="","",IF(Data!$G403=Data_Val!$C$2,IF(Data!S403="",0,1),0))</f>
        <v/>
      </c>
      <c r="Z403" s="13" t="str">
        <f>IF(Data!S403="","",IF(ISNUMBER(MATCH(Data!T403,Data_Val!$A$2:$A$3,0)),0,1))</f>
        <v/>
      </c>
      <c r="AA403" s="28" t="str">
        <f ca="1">IF(Data!S403="","",IF(ISNUMBER(Data!U403),IF(AND(Data!U403&gt;(TODAY()-(Data_Val!$L$3*365.25)),Data!U403&lt;=(TODAY()-(Data_Val!$L$2*365.25))),0,1),1))</f>
        <v/>
      </c>
      <c r="AB403" s="11"/>
      <c r="AC403" s="11" t="e">
        <f>IF(Data!#REF!="","",IF(ISNUMBER(MATCH(Data!#REF!,Data_Val!$A$2:$A$3,0)),0,1))</f>
        <v>#REF!</v>
      </c>
      <c r="AD403" s="11" t="e">
        <f ca="1">IF(Data!#REF!="","",IF(ISNUMBER(Data!#REF!),IF(AND(Data!#REF!&gt;(TODAY()-(Data_Val!$L$3*365.25)),Data!#REF!&lt;=(TODAY()-(Data_Val!$L$2*365.25))),0,1),1))</f>
        <v>#REF!</v>
      </c>
      <c r="AE403" s="11" t="e">
        <f>IF(Data!#REF!="","",IF(Data!$G403="",1,IF(ISNUMBER(MATCH(Data!#REF!,Data_Val!$D$2:$D$10,0)),0,1)))</f>
        <v>#REF!</v>
      </c>
      <c r="AF403" s="12"/>
      <c r="AG403" s="12" t="e">
        <f>IF(Data!#REF!="","",IF(ISNUMBER(MATCH(Data!#REF!,Data_Val!$A$2:$A$3,0)),0,1))</f>
        <v>#REF!</v>
      </c>
      <c r="AH403" s="26" t="e">
        <f ca="1">IF(Data!#REF!="","",IF(ISNUMBER(Data!#REF!),IF(AND(Data!#REF!&gt;(TODAY()-(Data_Val!$L$3*365.25)),Data!#REF!&lt;=(TODAY()-(Data_Val!$L$2*365.25))),0,1),1))</f>
        <v>#REF!</v>
      </c>
      <c r="AI403" s="12" t="e">
        <f>IF(Data!#REF!="","",IF(Data!$G403="",1,IF(ISNUMBER(MATCH(Data!#REF!,Data_Val!$D$2:$D$10,0)),0,1)))</f>
        <v>#REF!</v>
      </c>
      <c r="AJ403" s="17"/>
      <c r="AK403" s="17" t="e">
        <f>IF(Data!#REF!="","",IF(ISNUMBER(MATCH(Data!#REF!,Data_Val!$A$2:$A$3,0)),0,1))</f>
        <v>#REF!</v>
      </c>
      <c r="AL403" s="25" t="e">
        <f ca="1">IF(Data!#REF!="","",IF(ISNUMBER(Data!#REF!),IF(AND(Data!#REF!&gt;(TODAY()-(Data_Val!$L$3*365.25)),Data!#REF!&lt;=(TODAY()-(Data_Val!$L$2*365.25))),0,1),1))</f>
        <v>#REF!</v>
      </c>
      <c r="AM403" s="17" t="e">
        <f>IF(Data!#REF!="","",IF(Data!$G403="",1,IF(ISNUMBER(MATCH(Data!#REF!,Data_Val!$D$2:$D$10,0)),0,1)))</f>
        <v>#REF!</v>
      </c>
      <c r="AN403" s="13"/>
      <c r="AO403" s="28" t="e">
        <f ca="1">IF(Data!#REF!="","",IF(ISNUMBER(Data!#REF!),IF(AND(Data!#REF!&gt;(TODAY()-(Data_Val!$I$3*365.25)),Data!#REF!&lt;=(TODAY()-(Data_Val!$I$2*365.25))),0,1),1))</f>
        <v>#REF!</v>
      </c>
      <c r="AP403" s="13" t="e">
        <f>IF(Data!#REF!="","",IF(Data!$G403="",1,IF(ISNUMBER(MATCH(Data!#REF!,Data_Val!$D$2:$D$10,0)),0,1)))</f>
        <v>#REF!</v>
      </c>
      <c r="AQ403" s="17"/>
      <c r="AR403" s="30" t="e">
        <f ca="1">IF(Data!#REF!="","",IF(ISNUMBER(Data!#REF!),IF(AND(Data!#REF!&gt;(TODAY()-(Data_Val!$I$3*365.25)),Data!#REF!&lt;=(TODAY()-(Data_Val!$I$2*365.25))),0,1),1))</f>
        <v>#REF!</v>
      </c>
      <c r="AS403" s="31" t="e">
        <f>IF(Data!#REF!="","",IF(Data!$G403="",1,IF(ISNUMBER(MATCH(Data!#REF!,Data_Val!$D$2:$D$10,0)),0,1)))</f>
        <v>#REF!</v>
      </c>
      <c r="AT403" s="11"/>
      <c r="AU403" s="11" t="e">
        <f ca="1">IF(Data!#REF!="","",IF(ISNUMBER(Data!#REF!),IF(AND(Data!#REF!&gt;(TODAY()-(Data_Val!$I$3*365.25)),Data!#REF!&lt;=(TODAY()-(Data_Val!$I$2*365.25))),0,1),1))</f>
        <v>#REF!</v>
      </c>
      <c r="AV403" s="11" t="e">
        <f>IF(Data!#REF!="","",IF(Data!$G403="",1,IF(ISNUMBER(MATCH(Data!#REF!,Data_Val!$D$2:$D$10,0)),0,1)))</f>
        <v>#REF!</v>
      </c>
      <c r="AW403" s="12"/>
      <c r="AX403" s="26" t="e">
        <f ca="1">IF(Data!#REF!="","",IF(ISNUMBER(Data!#REF!),IF(AND(Data!#REF!&gt;(TODAY()-(Data_Val!$I$3*365.25)),Data!#REF!&lt;=(TODAY()-(Data_Val!$I$2*365.25))),0,1),1))</f>
        <v>#REF!</v>
      </c>
      <c r="AY403" s="12" t="e">
        <f>IF(Data!#REF!="","",IF(Data!$G403="",1,IF(ISNUMBER(MATCH(Data!#REF!,Data_Val!$D$2:$D$10,0)),0,1)))</f>
        <v>#REF!</v>
      </c>
      <c r="AZ403" s="11"/>
      <c r="BA403" s="19" t="e">
        <f ca="1">IF(Data!#REF!="","",IF(ISNUMBER(Data!#REF!),IF(AND(Data!#REF!&gt;(TODAY()-(Data_Val!$M$3*365.25)),Data!#REF!&lt;=(TODAY()-(Data_Val!$M$2*365.25))),0,1),1))</f>
        <v>#REF!</v>
      </c>
      <c r="BB403" s="11" t="e">
        <f>IF(Data!#REF!="","",IF(Data!$G403="",1,IF(ISNUMBER(MATCH(Data!#REF!,Data_Val!$D$2:$D$10,0)),0,1)))</f>
        <v>#REF!</v>
      </c>
      <c r="BC403" s="12"/>
      <c r="BD403" s="20" t="e">
        <f ca="1">IF(Data!#REF!="","",IF(ISNUMBER(Data!#REF!),IF(AND(Data!#REF!&gt;(TODAY()-(Data_Val!$M$3*365.25)),Data!#REF!&lt;=(TODAY()-(Data_Val!$M$2*365.25))),0,1),1))</f>
        <v>#REF!</v>
      </c>
      <c r="BE403" s="12" t="e">
        <f>IF(Data!#REF!="","",IF(Data!$G403="",1,IF(ISNUMBER(MATCH(Data!#REF!,Data_Val!$D$2:$D$10,0)),0,1)))</f>
        <v>#REF!</v>
      </c>
      <c r="BF403" s="17"/>
      <c r="BG403" s="18" t="e">
        <f ca="1">IF(Data!#REF!="","",IF(ISNUMBER(Data!#REF!),IF(AND(Data!#REF!&gt;(TODAY()-(Data_Val!$M$3*365.25)),Data!#REF!&lt;=(TODAY()-(Data_Val!$M$2*365.25))),0,1),1))</f>
        <v>#REF!</v>
      </c>
      <c r="BH403" s="29" t="e">
        <f>IF(Data!#REF!="","",IF(Data!$G403="",1,IF(ISNUMBER(MATCH(Data!#REF!,Data_Val!$D$2:$D$10,0)),0,1)))</f>
        <v>#REF!</v>
      </c>
      <c r="BI403" s="13"/>
      <c r="BJ403" s="21" t="e">
        <f ca="1">IF(Data!#REF!="","",IF(ISNUMBER(Data!#REF!),IF(AND(Data!#REF!&gt;(TODAY()-(Data_Val!$M$3*365.25)),Data!#REF!&lt;=(TODAY()-(Data_Val!$M$2*365.25))),0,1),1))</f>
        <v>#REF!</v>
      </c>
      <c r="BK403" s="13" t="e">
        <f>IF(Data!#REF!="","",IF(Data!$G403="",1,IF(ISNUMBER(MATCH(Data!#REF!,Data_Val!$D$2:$D$10,0)),0,1)))</f>
        <v>#REF!</v>
      </c>
    </row>
    <row r="404" spans="1:63" x14ac:dyDescent="0.25">
      <c r="A404" s="9" t="str">
        <f>IF(Data!B404="","",IF(COUNTIFS(Data!A$1:'Data'!A404,Data!A404)&lt;=1,0,1))</f>
        <v/>
      </c>
      <c r="B404" s="9"/>
      <c r="C404" s="23" t="str">
        <f>IF(Data!C404="","",(IF(ISNUMBER(MATCH("*@*.?*",Data!C404,0)),0,1)+IF(COUNTIFS(Data!C$1:'Data'!C404,Data!C404)&gt;1,1,0)))</f>
        <v/>
      </c>
      <c r="D404" s="9" t="str">
        <f>IF(Data!B404="","",IF(ISNUMBER(Data!D404),IF(AND(Data!D404&gt;999999999,Data!D404&lt;=9999999999),IF(COUNTIFS(Data!D$1:'Data'!D404,Data!D404)&lt;=1,0,1),1),1))</f>
        <v/>
      </c>
      <c r="E404" s="9" t="str">
        <f>IF(Data!B404="","",IF(ISNUMBER(MATCH(Data!E404,Data_Val!$A$2:$A$3,0)),0,1))</f>
        <v/>
      </c>
      <c r="F404" s="9" t="str">
        <f ca="1">IF(Data!B404="","",IF(ISNUMBER(Data!F404),IF(AND(Data!F404&gt;(TODAY()-(Data_Val!$H$3*365.25)),Data!F404&lt;=(TODAY()-(Data_Val!$H$2*365.25))),0,1),1))</f>
        <v/>
      </c>
      <c r="G404" s="15" t="str">
        <f>IF(Data!B404="","",IF(AND(Data!G404="",Data!H404&lt;&gt;""),1,IF(Data!#REF!&lt;&gt;"",0,IF(ISNUMBER(MATCH(Data!G404,Data_Val!$C$2:$C$5,0)),0,1))))</f>
        <v/>
      </c>
      <c r="H404" s="15" t="str">
        <f>IF(Data!B404="","",IF(AND(Data!G404&lt;&gt;"",Data!H404=""),1,IF(Data!#REF!&lt;&gt;"",0,IF(Data!G404="",1,IF(ISNUMBER(MATCH(Data!H404,Data_Val!$D$2:$D$35,0)),0,1)))))</f>
        <v/>
      </c>
      <c r="I404" s="15" t="str">
        <f>IF(Data!B404="","",IF(Data!G404&lt;&gt;"",0,IF(ISNUMBER(MATCH(Data!#REF!,Data_Val!$E$2:$E$12,0)),0,1)))</f>
        <v/>
      </c>
      <c r="J404" s="16" t="e">
        <f>IF(OR(Data!B404="",Data!#REF!=""),"",IF(Data!#REF!="",1,0))</f>
        <v>#REF!</v>
      </c>
      <c r="K404" s="16" t="e">
        <f>IF(OR(Data!B404="",Data!#REF!=""),"",IF(Data!#REF!="",1,0))</f>
        <v>#REF!</v>
      </c>
      <c r="L404" s="16" t="e">
        <f>IF(OR(Data!B404="",Data!#REF!=""),"",IF(ISNUMBER(Data!#REF!),IF(AND(Data!#REF!&gt;Data_Val!$G$2,Data!#REF!&lt;=Data_Val!$G$3),0,1),1))</f>
        <v>#REF!</v>
      </c>
      <c r="M404" s="9" t="e">
        <f>IF(OR(Data!B404="",Data!#REF!=""),"",IF(ISNUMBER(MATCH(Data!#REF!,Data_Val!$F$1:$F$38,0)),0,1))</f>
        <v>#REF!</v>
      </c>
      <c r="N404" s="9" t="e">
        <f>IF(OR(Data!B404="",Data!#REF!=""),"",IF(Data!#REF!="",1,0))</f>
        <v>#REF!</v>
      </c>
      <c r="O404" s="17" t="e">
        <f>IF(Data!#REF!="","",IF(Data!#REF!="",1,0))</f>
        <v>#REF!</v>
      </c>
      <c r="P404" s="17" t="e">
        <f>IF(Data!#REF!="","",IF(ISNUMBER(MATCH(Data!#REF!,Data_Val!$A$2:$A$3,0)),0,1))</f>
        <v>#REF!</v>
      </c>
      <c r="Q404" s="25" t="e">
        <f ca="1">IF(Data!#REF!="","",IF(ISNUMBER(Data!#REF!),IF(AND(Data!#REF!&gt;(TODAY()-(Data_Val!$J$3*365.25)),Data!#REF!&lt;=(TODAY()-(Data_Val!$J$2*365.25))),0,1),1))</f>
        <v>#REF!</v>
      </c>
      <c r="R404" s="17" t="e">
        <f>IF(Data!#REF!="","",IF(ISNUMBER(MATCH(Data!#REF!,Data_Val!$B$2:$B$15,0)),0,1))</f>
        <v>#REF!</v>
      </c>
      <c r="S404" s="11" t="str">
        <f>IF(Data!G404="","",IF(Data!G404=Data_Val!$C$2,IF(Data!M404="",0,1),0))</f>
        <v/>
      </c>
      <c r="T404" s="11" t="str">
        <f>IF(Data!M404="","",IF(ISNUMBER(MATCH(Data!N404,Data_Val!$A$2:$A$3,0)),0,1))</f>
        <v/>
      </c>
      <c r="U404" s="11" t="str">
        <f ca="1">IF(Data!M404="","",IF(ISNUMBER(Data!O404),IF(AND(Data!O404&gt;(TODAY()-(Data_Val!$K$3*365.25)),Data!O404&lt;=(TODAY()-(Data_Val!$K$2*365.25))),0,1),1))</f>
        <v/>
      </c>
      <c r="V404" s="12" t="str">
        <f>IF(Data!G404="","",IF(Data!G404=Data_Val!$C$2,IF(Data!P404="",0,1),0))</f>
        <v/>
      </c>
      <c r="W404" s="12" t="str">
        <f>IF(Data!P404="","",IF(ISNUMBER(MATCH(Data!Q404,Data_Val!$A$2:$A$3,0)),0,1))</f>
        <v/>
      </c>
      <c r="X404" s="26" t="str">
        <f ca="1">IF(Data!P404="","",IF(ISNUMBER(Data!R404),IF(AND(Data!R404&gt;(TODAY()-(Data_Val!$L$3*365.25)),Data!R404&lt;=(TODAY()-(Data_Val!$L$2*365.25))),0,1),1))</f>
        <v/>
      </c>
      <c r="Y404" s="13" t="str">
        <f>IF(Data!$G404="","",IF(Data!$G404=Data_Val!$C$2,IF(Data!S404="",0,1),0))</f>
        <v/>
      </c>
      <c r="Z404" s="13" t="str">
        <f>IF(Data!S404="","",IF(ISNUMBER(MATCH(Data!T404,Data_Val!$A$2:$A$3,0)),0,1))</f>
        <v/>
      </c>
      <c r="AA404" s="28" t="str">
        <f ca="1">IF(Data!S404="","",IF(ISNUMBER(Data!U404),IF(AND(Data!U404&gt;(TODAY()-(Data_Val!$L$3*365.25)),Data!U404&lt;=(TODAY()-(Data_Val!$L$2*365.25))),0,1),1))</f>
        <v/>
      </c>
      <c r="AB404" s="11"/>
      <c r="AC404" s="11" t="e">
        <f>IF(Data!#REF!="","",IF(ISNUMBER(MATCH(Data!#REF!,Data_Val!$A$2:$A$3,0)),0,1))</f>
        <v>#REF!</v>
      </c>
      <c r="AD404" s="11" t="e">
        <f ca="1">IF(Data!#REF!="","",IF(ISNUMBER(Data!#REF!),IF(AND(Data!#REF!&gt;(TODAY()-(Data_Val!$L$3*365.25)),Data!#REF!&lt;=(TODAY()-(Data_Val!$L$2*365.25))),0,1),1))</f>
        <v>#REF!</v>
      </c>
      <c r="AE404" s="11" t="e">
        <f>IF(Data!#REF!="","",IF(Data!$G404="",1,IF(ISNUMBER(MATCH(Data!#REF!,Data_Val!$D$2:$D$10,0)),0,1)))</f>
        <v>#REF!</v>
      </c>
      <c r="AF404" s="12"/>
      <c r="AG404" s="12" t="e">
        <f>IF(Data!#REF!="","",IF(ISNUMBER(MATCH(Data!#REF!,Data_Val!$A$2:$A$3,0)),0,1))</f>
        <v>#REF!</v>
      </c>
      <c r="AH404" s="26" t="e">
        <f ca="1">IF(Data!#REF!="","",IF(ISNUMBER(Data!#REF!),IF(AND(Data!#REF!&gt;(TODAY()-(Data_Val!$L$3*365.25)),Data!#REF!&lt;=(TODAY()-(Data_Val!$L$2*365.25))),0,1),1))</f>
        <v>#REF!</v>
      </c>
      <c r="AI404" s="12" t="e">
        <f>IF(Data!#REF!="","",IF(Data!$G404="",1,IF(ISNUMBER(MATCH(Data!#REF!,Data_Val!$D$2:$D$10,0)),0,1)))</f>
        <v>#REF!</v>
      </c>
      <c r="AJ404" s="17"/>
      <c r="AK404" s="17" t="e">
        <f>IF(Data!#REF!="","",IF(ISNUMBER(MATCH(Data!#REF!,Data_Val!$A$2:$A$3,0)),0,1))</f>
        <v>#REF!</v>
      </c>
      <c r="AL404" s="25" t="e">
        <f ca="1">IF(Data!#REF!="","",IF(ISNUMBER(Data!#REF!),IF(AND(Data!#REF!&gt;(TODAY()-(Data_Val!$L$3*365.25)),Data!#REF!&lt;=(TODAY()-(Data_Val!$L$2*365.25))),0,1),1))</f>
        <v>#REF!</v>
      </c>
      <c r="AM404" s="17" t="e">
        <f>IF(Data!#REF!="","",IF(Data!$G404="",1,IF(ISNUMBER(MATCH(Data!#REF!,Data_Val!$D$2:$D$10,0)),0,1)))</f>
        <v>#REF!</v>
      </c>
      <c r="AN404" s="13"/>
      <c r="AO404" s="28" t="e">
        <f ca="1">IF(Data!#REF!="","",IF(ISNUMBER(Data!#REF!),IF(AND(Data!#REF!&gt;(TODAY()-(Data_Val!$I$3*365.25)),Data!#REF!&lt;=(TODAY()-(Data_Val!$I$2*365.25))),0,1),1))</f>
        <v>#REF!</v>
      </c>
      <c r="AP404" s="13" t="e">
        <f>IF(Data!#REF!="","",IF(Data!$G404="",1,IF(ISNUMBER(MATCH(Data!#REF!,Data_Val!$D$2:$D$10,0)),0,1)))</f>
        <v>#REF!</v>
      </c>
      <c r="AQ404" s="17"/>
      <c r="AR404" s="30" t="e">
        <f ca="1">IF(Data!#REF!="","",IF(ISNUMBER(Data!#REF!),IF(AND(Data!#REF!&gt;(TODAY()-(Data_Val!$I$3*365.25)),Data!#REF!&lt;=(TODAY()-(Data_Val!$I$2*365.25))),0,1),1))</f>
        <v>#REF!</v>
      </c>
      <c r="AS404" s="31" t="e">
        <f>IF(Data!#REF!="","",IF(Data!$G404="",1,IF(ISNUMBER(MATCH(Data!#REF!,Data_Val!$D$2:$D$10,0)),0,1)))</f>
        <v>#REF!</v>
      </c>
      <c r="AT404" s="11"/>
      <c r="AU404" s="11" t="e">
        <f ca="1">IF(Data!#REF!="","",IF(ISNUMBER(Data!#REF!),IF(AND(Data!#REF!&gt;(TODAY()-(Data_Val!$I$3*365.25)),Data!#REF!&lt;=(TODAY()-(Data_Val!$I$2*365.25))),0,1),1))</f>
        <v>#REF!</v>
      </c>
      <c r="AV404" s="11" t="e">
        <f>IF(Data!#REF!="","",IF(Data!$G404="",1,IF(ISNUMBER(MATCH(Data!#REF!,Data_Val!$D$2:$D$10,0)),0,1)))</f>
        <v>#REF!</v>
      </c>
      <c r="AW404" s="12"/>
      <c r="AX404" s="26" t="e">
        <f ca="1">IF(Data!#REF!="","",IF(ISNUMBER(Data!#REF!),IF(AND(Data!#REF!&gt;(TODAY()-(Data_Val!$I$3*365.25)),Data!#REF!&lt;=(TODAY()-(Data_Val!$I$2*365.25))),0,1),1))</f>
        <v>#REF!</v>
      </c>
      <c r="AY404" s="12" t="e">
        <f>IF(Data!#REF!="","",IF(Data!$G404="",1,IF(ISNUMBER(MATCH(Data!#REF!,Data_Val!$D$2:$D$10,0)),0,1)))</f>
        <v>#REF!</v>
      </c>
      <c r="AZ404" s="11"/>
      <c r="BA404" s="19" t="e">
        <f ca="1">IF(Data!#REF!="","",IF(ISNUMBER(Data!#REF!),IF(AND(Data!#REF!&gt;(TODAY()-(Data_Val!$M$3*365.25)),Data!#REF!&lt;=(TODAY()-(Data_Val!$M$2*365.25))),0,1),1))</f>
        <v>#REF!</v>
      </c>
      <c r="BB404" s="11" t="e">
        <f>IF(Data!#REF!="","",IF(Data!$G404="",1,IF(ISNUMBER(MATCH(Data!#REF!,Data_Val!$D$2:$D$10,0)),0,1)))</f>
        <v>#REF!</v>
      </c>
      <c r="BC404" s="12"/>
      <c r="BD404" s="20" t="e">
        <f ca="1">IF(Data!#REF!="","",IF(ISNUMBER(Data!#REF!),IF(AND(Data!#REF!&gt;(TODAY()-(Data_Val!$M$3*365.25)),Data!#REF!&lt;=(TODAY()-(Data_Val!$M$2*365.25))),0,1),1))</f>
        <v>#REF!</v>
      </c>
      <c r="BE404" s="12" t="e">
        <f>IF(Data!#REF!="","",IF(Data!$G404="",1,IF(ISNUMBER(MATCH(Data!#REF!,Data_Val!$D$2:$D$10,0)),0,1)))</f>
        <v>#REF!</v>
      </c>
      <c r="BF404" s="17"/>
      <c r="BG404" s="18" t="e">
        <f ca="1">IF(Data!#REF!="","",IF(ISNUMBER(Data!#REF!),IF(AND(Data!#REF!&gt;(TODAY()-(Data_Val!$M$3*365.25)),Data!#REF!&lt;=(TODAY()-(Data_Val!$M$2*365.25))),0,1),1))</f>
        <v>#REF!</v>
      </c>
      <c r="BH404" s="29" t="e">
        <f>IF(Data!#REF!="","",IF(Data!$G404="",1,IF(ISNUMBER(MATCH(Data!#REF!,Data_Val!$D$2:$D$10,0)),0,1)))</f>
        <v>#REF!</v>
      </c>
      <c r="BI404" s="13"/>
      <c r="BJ404" s="21" t="e">
        <f ca="1">IF(Data!#REF!="","",IF(ISNUMBER(Data!#REF!),IF(AND(Data!#REF!&gt;(TODAY()-(Data_Val!$M$3*365.25)),Data!#REF!&lt;=(TODAY()-(Data_Val!$M$2*365.25))),0,1),1))</f>
        <v>#REF!</v>
      </c>
      <c r="BK404" s="13" t="e">
        <f>IF(Data!#REF!="","",IF(Data!$G404="",1,IF(ISNUMBER(MATCH(Data!#REF!,Data_Val!$D$2:$D$10,0)),0,1)))</f>
        <v>#REF!</v>
      </c>
    </row>
    <row r="405" spans="1:63" x14ac:dyDescent="0.25">
      <c r="A405" s="9" t="str">
        <f>IF(Data!B405="","",IF(COUNTIFS(Data!A$1:'Data'!A405,Data!A405)&lt;=1,0,1))</f>
        <v/>
      </c>
      <c r="B405" s="9"/>
      <c r="C405" s="23" t="str">
        <f>IF(Data!C405="","",(IF(ISNUMBER(MATCH("*@*.?*",Data!C405,0)),0,1)+IF(COUNTIFS(Data!C$1:'Data'!C405,Data!C405)&gt;1,1,0)))</f>
        <v/>
      </c>
      <c r="D405" s="9" t="str">
        <f>IF(Data!B405="","",IF(ISNUMBER(Data!D405),IF(AND(Data!D405&gt;999999999,Data!D405&lt;=9999999999),IF(COUNTIFS(Data!D$1:'Data'!D405,Data!D405)&lt;=1,0,1),1),1))</f>
        <v/>
      </c>
      <c r="E405" s="9" t="str">
        <f>IF(Data!B405="","",IF(ISNUMBER(MATCH(Data!E405,Data_Val!$A$2:$A$3,0)),0,1))</f>
        <v/>
      </c>
      <c r="F405" s="9" t="str">
        <f ca="1">IF(Data!B405="","",IF(ISNUMBER(Data!F405),IF(AND(Data!F405&gt;(TODAY()-(Data_Val!$H$3*365.25)),Data!F405&lt;=(TODAY()-(Data_Val!$H$2*365.25))),0,1),1))</f>
        <v/>
      </c>
      <c r="G405" s="15" t="str">
        <f>IF(Data!B405="","",IF(AND(Data!G405="",Data!H405&lt;&gt;""),1,IF(Data!#REF!&lt;&gt;"",0,IF(ISNUMBER(MATCH(Data!G405,Data_Val!$C$2:$C$5,0)),0,1))))</f>
        <v/>
      </c>
      <c r="H405" s="15" t="str">
        <f>IF(Data!B405="","",IF(AND(Data!G405&lt;&gt;"",Data!H405=""),1,IF(Data!#REF!&lt;&gt;"",0,IF(Data!G405="",1,IF(ISNUMBER(MATCH(Data!H405,Data_Val!$D$2:$D$35,0)),0,1)))))</f>
        <v/>
      </c>
      <c r="I405" s="15" t="str">
        <f>IF(Data!B405="","",IF(Data!G405&lt;&gt;"",0,IF(ISNUMBER(MATCH(Data!#REF!,Data_Val!$E$2:$E$12,0)),0,1)))</f>
        <v/>
      </c>
      <c r="J405" s="16" t="e">
        <f>IF(OR(Data!B405="",Data!#REF!=""),"",IF(Data!#REF!="",1,0))</f>
        <v>#REF!</v>
      </c>
      <c r="K405" s="16" t="e">
        <f>IF(OR(Data!B405="",Data!#REF!=""),"",IF(Data!#REF!="",1,0))</f>
        <v>#REF!</v>
      </c>
      <c r="L405" s="16" t="e">
        <f>IF(OR(Data!B405="",Data!#REF!=""),"",IF(ISNUMBER(Data!#REF!),IF(AND(Data!#REF!&gt;Data_Val!$G$2,Data!#REF!&lt;=Data_Val!$G$3),0,1),1))</f>
        <v>#REF!</v>
      </c>
      <c r="M405" s="9" t="e">
        <f>IF(OR(Data!B405="",Data!#REF!=""),"",IF(ISNUMBER(MATCH(Data!#REF!,Data_Val!$F$1:$F$38,0)),0,1))</f>
        <v>#REF!</v>
      </c>
      <c r="N405" s="9" t="e">
        <f>IF(OR(Data!B405="",Data!#REF!=""),"",IF(Data!#REF!="",1,0))</f>
        <v>#REF!</v>
      </c>
      <c r="O405" s="17" t="e">
        <f>IF(Data!#REF!="","",IF(Data!#REF!="",1,0))</f>
        <v>#REF!</v>
      </c>
      <c r="P405" s="17" t="e">
        <f>IF(Data!#REF!="","",IF(ISNUMBER(MATCH(Data!#REF!,Data_Val!$A$2:$A$3,0)),0,1))</f>
        <v>#REF!</v>
      </c>
      <c r="Q405" s="25" t="e">
        <f ca="1">IF(Data!#REF!="","",IF(ISNUMBER(Data!#REF!),IF(AND(Data!#REF!&gt;(TODAY()-(Data_Val!$J$3*365.25)),Data!#REF!&lt;=(TODAY()-(Data_Val!$J$2*365.25))),0,1),1))</f>
        <v>#REF!</v>
      </c>
      <c r="R405" s="17" t="e">
        <f>IF(Data!#REF!="","",IF(ISNUMBER(MATCH(Data!#REF!,Data_Val!$B$2:$B$15,0)),0,1))</f>
        <v>#REF!</v>
      </c>
      <c r="S405" s="11" t="str">
        <f>IF(Data!G405="","",IF(Data!G405=Data_Val!$C$2,IF(Data!M405="",0,1),0))</f>
        <v/>
      </c>
      <c r="T405" s="11" t="str">
        <f>IF(Data!M405="","",IF(ISNUMBER(MATCH(Data!N405,Data_Val!$A$2:$A$3,0)),0,1))</f>
        <v/>
      </c>
      <c r="U405" s="11" t="str">
        <f ca="1">IF(Data!M405="","",IF(ISNUMBER(Data!O405),IF(AND(Data!O405&gt;(TODAY()-(Data_Val!$K$3*365.25)),Data!O405&lt;=(TODAY()-(Data_Val!$K$2*365.25))),0,1),1))</f>
        <v/>
      </c>
      <c r="V405" s="12" t="str">
        <f>IF(Data!G405="","",IF(Data!G405=Data_Val!$C$2,IF(Data!P405="",0,1),0))</f>
        <v/>
      </c>
      <c r="W405" s="12" t="str">
        <f>IF(Data!P405="","",IF(ISNUMBER(MATCH(Data!Q405,Data_Val!$A$2:$A$3,0)),0,1))</f>
        <v/>
      </c>
      <c r="X405" s="26" t="str">
        <f ca="1">IF(Data!P405="","",IF(ISNUMBER(Data!R405),IF(AND(Data!R405&gt;(TODAY()-(Data_Val!$L$3*365.25)),Data!R405&lt;=(TODAY()-(Data_Val!$L$2*365.25))),0,1),1))</f>
        <v/>
      </c>
      <c r="Y405" s="13" t="str">
        <f>IF(Data!$G405="","",IF(Data!$G405=Data_Val!$C$2,IF(Data!S405="",0,1),0))</f>
        <v/>
      </c>
      <c r="Z405" s="13" t="str">
        <f>IF(Data!S405="","",IF(ISNUMBER(MATCH(Data!T405,Data_Val!$A$2:$A$3,0)),0,1))</f>
        <v/>
      </c>
      <c r="AA405" s="28" t="str">
        <f ca="1">IF(Data!S405="","",IF(ISNUMBER(Data!U405),IF(AND(Data!U405&gt;(TODAY()-(Data_Val!$L$3*365.25)),Data!U405&lt;=(TODAY()-(Data_Val!$L$2*365.25))),0,1),1))</f>
        <v/>
      </c>
      <c r="AB405" s="11"/>
      <c r="AC405" s="11" t="e">
        <f>IF(Data!#REF!="","",IF(ISNUMBER(MATCH(Data!#REF!,Data_Val!$A$2:$A$3,0)),0,1))</f>
        <v>#REF!</v>
      </c>
      <c r="AD405" s="11" t="e">
        <f ca="1">IF(Data!#REF!="","",IF(ISNUMBER(Data!#REF!),IF(AND(Data!#REF!&gt;(TODAY()-(Data_Val!$L$3*365.25)),Data!#REF!&lt;=(TODAY()-(Data_Val!$L$2*365.25))),0,1),1))</f>
        <v>#REF!</v>
      </c>
      <c r="AE405" s="11" t="e">
        <f>IF(Data!#REF!="","",IF(Data!$G405="",1,IF(ISNUMBER(MATCH(Data!#REF!,Data_Val!$D$2:$D$10,0)),0,1)))</f>
        <v>#REF!</v>
      </c>
      <c r="AF405" s="12"/>
      <c r="AG405" s="12" t="e">
        <f>IF(Data!#REF!="","",IF(ISNUMBER(MATCH(Data!#REF!,Data_Val!$A$2:$A$3,0)),0,1))</f>
        <v>#REF!</v>
      </c>
      <c r="AH405" s="26" t="e">
        <f ca="1">IF(Data!#REF!="","",IF(ISNUMBER(Data!#REF!),IF(AND(Data!#REF!&gt;(TODAY()-(Data_Val!$L$3*365.25)),Data!#REF!&lt;=(TODAY()-(Data_Val!$L$2*365.25))),0,1),1))</f>
        <v>#REF!</v>
      </c>
      <c r="AI405" s="12" t="e">
        <f>IF(Data!#REF!="","",IF(Data!$G405="",1,IF(ISNUMBER(MATCH(Data!#REF!,Data_Val!$D$2:$D$10,0)),0,1)))</f>
        <v>#REF!</v>
      </c>
      <c r="AJ405" s="17"/>
      <c r="AK405" s="17" t="e">
        <f>IF(Data!#REF!="","",IF(ISNUMBER(MATCH(Data!#REF!,Data_Val!$A$2:$A$3,0)),0,1))</f>
        <v>#REF!</v>
      </c>
      <c r="AL405" s="25" t="e">
        <f ca="1">IF(Data!#REF!="","",IF(ISNUMBER(Data!#REF!),IF(AND(Data!#REF!&gt;(TODAY()-(Data_Val!$L$3*365.25)),Data!#REF!&lt;=(TODAY()-(Data_Val!$L$2*365.25))),0,1),1))</f>
        <v>#REF!</v>
      </c>
      <c r="AM405" s="17" t="e">
        <f>IF(Data!#REF!="","",IF(Data!$G405="",1,IF(ISNUMBER(MATCH(Data!#REF!,Data_Val!$D$2:$D$10,0)),0,1)))</f>
        <v>#REF!</v>
      </c>
      <c r="AN405" s="13"/>
      <c r="AO405" s="28" t="e">
        <f ca="1">IF(Data!#REF!="","",IF(ISNUMBER(Data!#REF!),IF(AND(Data!#REF!&gt;(TODAY()-(Data_Val!$I$3*365.25)),Data!#REF!&lt;=(TODAY()-(Data_Val!$I$2*365.25))),0,1),1))</f>
        <v>#REF!</v>
      </c>
      <c r="AP405" s="13" t="e">
        <f>IF(Data!#REF!="","",IF(Data!$G405="",1,IF(ISNUMBER(MATCH(Data!#REF!,Data_Val!$D$2:$D$10,0)),0,1)))</f>
        <v>#REF!</v>
      </c>
      <c r="AQ405" s="17"/>
      <c r="AR405" s="30" t="e">
        <f ca="1">IF(Data!#REF!="","",IF(ISNUMBER(Data!#REF!),IF(AND(Data!#REF!&gt;(TODAY()-(Data_Val!$I$3*365.25)),Data!#REF!&lt;=(TODAY()-(Data_Val!$I$2*365.25))),0,1),1))</f>
        <v>#REF!</v>
      </c>
      <c r="AS405" s="31" t="e">
        <f>IF(Data!#REF!="","",IF(Data!$G405="",1,IF(ISNUMBER(MATCH(Data!#REF!,Data_Val!$D$2:$D$10,0)),0,1)))</f>
        <v>#REF!</v>
      </c>
      <c r="AT405" s="11"/>
      <c r="AU405" s="11" t="e">
        <f ca="1">IF(Data!#REF!="","",IF(ISNUMBER(Data!#REF!),IF(AND(Data!#REF!&gt;(TODAY()-(Data_Val!$I$3*365.25)),Data!#REF!&lt;=(TODAY()-(Data_Val!$I$2*365.25))),0,1),1))</f>
        <v>#REF!</v>
      </c>
      <c r="AV405" s="11" t="e">
        <f>IF(Data!#REF!="","",IF(Data!$G405="",1,IF(ISNUMBER(MATCH(Data!#REF!,Data_Val!$D$2:$D$10,0)),0,1)))</f>
        <v>#REF!</v>
      </c>
      <c r="AW405" s="12"/>
      <c r="AX405" s="26" t="e">
        <f ca="1">IF(Data!#REF!="","",IF(ISNUMBER(Data!#REF!),IF(AND(Data!#REF!&gt;(TODAY()-(Data_Val!$I$3*365.25)),Data!#REF!&lt;=(TODAY()-(Data_Val!$I$2*365.25))),0,1),1))</f>
        <v>#REF!</v>
      </c>
      <c r="AY405" s="12" t="e">
        <f>IF(Data!#REF!="","",IF(Data!$G405="",1,IF(ISNUMBER(MATCH(Data!#REF!,Data_Val!$D$2:$D$10,0)),0,1)))</f>
        <v>#REF!</v>
      </c>
      <c r="AZ405" s="11"/>
      <c r="BA405" s="19" t="e">
        <f ca="1">IF(Data!#REF!="","",IF(ISNUMBER(Data!#REF!),IF(AND(Data!#REF!&gt;(TODAY()-(Data_Val!$M$3*365.25)),Data!#REF!&lt;=(TODAY()-(Data_Val!$M$2*365.25))),0,1),1))</f>
        <v>#REF!</v>
      </c>
      <c r="BB405" s="11" t="e">
        <f>IF(Data!#REF!="","",IF(Data!$G405="",1,IF(ISNUMBER(MATCH(Data!#REF!,Data_Val!$D$2:$D$10,0)),0,1)))</f>
        <v>#REF!</v>
      </c>
      <c r="BC405" s="12"/>
      <c r="BD405" s="20" t="e">
        <f ca="1">IF(Data!#REF!="","",IF(ISNUMBER(Data!#REF!),IF(AND(Data!#REF!&gt;(TODAY()-(Data_Val!$M$3*365.25)),Data!#REF!&lt;=(TODAY()-(Data_Val!$M$2*365.25))),0,1),1))</f>
        <v>#REF!</v>
      </c>
      <c r="BE405" s="12" t="e">
        <f>IF(Data!#REF!="","",IF(Data!$G405="",1,IF(ISNUMBER(MATCH(Data!#REF!,Data_Val!$D$2:$D$10,0)),0,1)))</f>
        <v>#REF!</v>
      </c>
      <c r="BF405" s="17"/>
      <c r="BG405" s="18" t="e">
        <f ca="1">IF(Data!#REF!="","",IF(ISNUMBER(Data!#REF!),IF(AND(Data!#REF!&gt;(TODAY()-(Data_Val!$M$3*365.25)),Data!#REF!&lt;=(TODAY()-(Data_Val!$M$2*365.25))),0,1),1))</f>
        <v>#REF!</v>
      </c>
      <c r="BH405" s="29" t="e">
        <f>IF(Data!#REF!="","",IF(Data!$G405="",1,IF(ISNUMBER(MATCH(Data!#REF!,Data_Val!$D$2:$D$10,0)),0,1)))</f>
        <v>#REF!</v>
      </c>
      <c r="BI405" s="13"/>
      <c r="BJ405" s="21" t="e">
        <f ca="1">IF(Data!#REF!="","",IF(ISNUMBER(Data!#REF!),IF(AND(Data!#REF!&gt;(TODAY()-(Data_Val!$M$3*365.25)),Data!#REF!&lt;=(TODAY()-(Data_Val!$M$2*365.25))),0,1),1))</f>
        <v>#REF!</v>
      </c>
      <c r="BK405" s="13" t="e">
        <f>IF(Data!#REF!="","",IF(Data!$G405="",1,IF(ISNUMBER(MATCH(Data!#REF!,Data_Val!$D$2:$D$10,0)),0,1)))</f>
        <v>#REF!</v>
      </c>
    </row>
    <row r="406" spans="1:63" x14ac:dyDescent="0.25">
      <c r="A406" s="9" t="str">
        <f>IF(Data!B406="","",IF(COUNTIFS(Data!A$1:'Data'!A406,Data!A406)&lt;=1,0,1))</f>
        <v/>
      </c>
      <c r="B406" s="9"/>
      <c r="C406" s="23" t="str">
        <f>IF(Data!C406="","",(IF(ISNUMBER(MATCH("*@*.?*",Data!C406,0)),0,1)+IF(COUNTIFS(Data!C$1:'Data'!C406,Data!C406)&gt;1,1,0)))</f>
        <v/>
      </c>
      <c r="D406" s="9" t="str">
        <f>IF(Data!B406="","",IF(ISNUMBER(Data!D406),IF(AND(Data!D406&gt;999999999,Data!D406&lt;=9999999999),IF(COUNTIFS(Data!D$1:'Data'!D406,Data!D406)&lt;=1,0,1),1),1))</f>
        <v/>
      </c>
      <c r="E406" s="9" t="str">
        <f>IF(Data!B406="","",IF(ISNUMBER(MATCH(Data!E406,Data_Val!$A$2:$A$3,0)),0,1))</f>
        <v/>
      </c>
      <c r="F406" s="9" t="str">
        <f ca="1">IF(Data!B406="","",IF(ISNUMBER(Data!F406),IF(AND(Data!F406&gt;(TODAY()-(Data_Val!$H$3*365.25)),Data!F406&lt;=(TODAY()-(Data_Val!$H$2*365.25))),0,1),1))</f>
        <v/>
      </c>
      <c r="G406" s="15" t="str">
        <f>IF(Data!B406="","",IF(AND(Data!G406="",Data!H406&lt;&gt;""),1,IF(Data!#REF!&lt;&gt;"",0,IF(ISNUMBER(MATCH(Data!G406,Data_Val!$C$2:$C$5,0)),0,1))))</f>
        <v/>
      </c>
      <c r="H406" s="15" t="str">
        <f>IF(Data!B406="","",IF(AND(Data!G406&lt;&gt;"",Data!H406=""),1,IF(Data!#REF!&lt;&gt;"",0,IF(Data!G406="",1,IF(ISNUMBER(MATCH(Data!H406,Data_Val!$D$2:$D$35,0)),0,1)))))</f>
        <v/>
      </c>
      <c r="I406" s="15" t="str">
        <f>IF(Data!B406="","",IF(Data!G406&lt;&gt;"",0,IF(ISNUMBER(MATCH(Data!#REF!,Data_Val!$E$2:$E$12,0)),0,1)))</f>
        <v/>
      </c>
      <c r="J406" s="16" t="e">
        <f>IF(OR(Data!B406="",Data!#REF!=""),"",IF(Data!#REF!="",1,0))</f>
        <v>#REF!</v>
      </c>
      <c r="K406" s="16" t="e">
        <f>IF(OR(Data!B406="",Data!#REF!=""),"",IF(Data!#REF!="",1,0))</f>
        <v>#REF!</v>
      </c>
      <c r="L406" s="16" t="e">
        <f>IF(OR(Data!B406="",Data!#REF!=""),"",IF(ISNUMBER(Data!#REF!),IF(AND(Data!#REF!&gt;Data_Val!$G$2,Data!#REF!&lt;=Data_Val!$G$3),0,1),1))</f>
        <v>#REF!</v>
      </c>
      <c r="M406" s="9" t="e">
        <f>IF(OR(Data!B406="",Data!#REF!=""),"",IF(ISNUMBER(MATCH(Data!#REF!,Data_Val!$F$1:$F$38,0)),0,1))</f>
        <v>#REF!</v>
      </c>
      <c r="N406" s="9" t="e">
        <f>IF(OR(Data!B406="",Data!#REF!=""),"",IF(Data!#REF!="",1,0))</f>
        <v>#REF!</v>
      </c>
      <c r="O406" s="17" t="e">
        <f>IF(Data!#REF!="","",IF(Data!#REF!="",1,0))</f>
        <v>#REF!</v>
      </c>
      <c r="P406" s="17" t="e">
        <f>IF(Data!#REF!="","",IF(ISNUMBER(MATCH(Data!#REF!,Data_Val!$A$2:$A$3,0)),0,1))</f>
        <v>#REF!</v>
      </c>
      <c r="Q406" s="25" t="e">
        <f ca="1">IF(Data!#REF!="","",IF(ISNUMBER(Data!#REF!),IF(AND(Data!#REF!&gt;(TODAY()-(Data_Val!$J$3*365.25)),Data!#REF!&lt;=(TODAY()-(Data_Val!$J$2*365.25))),0,1),1))</f>
        <v>#REF!</v>
      </c>
      <c r="R406" s="17" t="e">
        <f>IF(Data!#REF!="","",IF(ISNUMBER(MATCH(Data!#REF!,Data_Val!$B$2:$B$15,0)),0,1))</f>
        <v>#REF!</v>
      </c>
      <c r="S406" s="11" t="str">
        <f>IF(Data!G406="","",IF(Data!G406=Data_Val!$C$2,IF(Data!M406="",0,1),0))</f>
        <v/>
      </c>
      <c r="T406" s="11" t="str">
        <f>IF(Data!M406="","",IF(ISNUMBER(MATCH(Data!N406,Data_Val!$A$2:$A$3,0)),0,1))</f>
        <v/>
      </c>
      <c r="U406" s="11" t="str">
        <f ca="1">IF(Data!M406="","",IF(ISNUMBER(Data!O406),IF(AND(Data!O406&gt;(TODAY()-(Data_Val!$K$3*365.25)),Data!O406&lt;=(TODAY()-(Data_Val!$K$2*365.25))),0,1),1))</f>
        <v/>
      </c>
      <c r="V406" s="12" t="str">
        <f>IF(Data!G406="","",IF(Data!G406=Data_Val!$C$2,IF(Data!P406="",0,1),0))</f>
        <v/>
      </c>
      <c r="W406" s="12" t="str">
        <f>IF(Data!P406="","",IF(ISNUMBER(MATCH(Data!Q406,Data_Val!$A$2:$A$3,0)),0,1))</f>
        <v/>
      </c>
      <c r="X406" s="26" t="str">
        <f ca="1">IF(Data!P406="","",IF(ISNUMBER(Data!R406),IF(AND(Data!R406&gt;(TODAY()-(Data_Val!$L$3*365.25)),Data!R406&lt;=(TODAY()-(Data_Val!$L$2*365.25))),0,1),1))</f>
        <v/>
      </c>
      <c r="Y406" s="13" t="str">
        <f>IF(Data!$G406="","",IF(Data!$G406=Data_Val!$C$2,IF(Data!S406="",0,1),0))</f>
        <v/>
      </c>
      <c r="Z406" s="13" t="str">
        <f>IF(Data!S406="","",IF(ISNUMBER(MATCH(Data!T406,Data_Val!$A$2:$A$3,0)),0,1))</f>
        <v/>
      </c>
      <c r="AA406" s="28" t="str">
        <f ca="1">IF(Data!S406="","",IF(ISNUMBER(Data!U406),IF(AND(Data!U406&gt;(TODAY()-(Data_Val!$L$3*365.25)),Data!U406&lt;=(TODAY()-(Data_Val!$L$2*365.25))),0,1),1))</f>
        <v/>
      </c>
      <c r="AB406" s="11"/>
      <c r="AC406" s="11" t="e">
        <f>IF(Data!#REF!="","",IF(ISNUMBER(MATCH(Data!#REF!,Data_Val!$A$2:$A$3,0)),0,1))</f>
        <v>#REF!</v>
      </c>
      <c r="AD406" s="11" t="e">
        <f ca="1">IF(Data!#REF!="","",IF(ISNUMBER(Data!#REF!),IF(AND(Data!#REF!&gt;(TODAY()-(Data_Val!$L$3*365.25)),Data!#REF!&lt;=(TODAY()-(Data_Val!$L$2*365.25))),0,1),1))</f>
        <v>#REF!</v>
      </c>
      <c r="AE406" s="11" t="e">
        <f>IF(Data!#REF!="","",IF(Data!$G406="",1,IF(ISNUMBER(MATCH(Data!#REF!,Data_Val!$D$2:$D$10,0)),0,1)))</f>
        <v>#REF!</v>
      </c>
      <c r="AF406" s="12"/>
      <c r="AG406" s="12" t="e">
        <f>IF(Data!#REF!="","",IF(ISNUMBER(MATCH(Data!#REF!,Data_Val!$A$2:$A$3,0)),0,1))</f>
        <v>#REF!</v>
      </c>
      <c r="AH406" s="26" t="e">
        <f ca="1">IF(Data!#REF!="","",IF(ISNUMBER(Data!#REF!),IF(AND(Data!#REF!&gt;(TODAY()-(Data_Val!$L$3*365.25)),Data!#REF!&lt;=(TODAY()-(Data_Val!$L$2*365.25))),0,1),1))</f>
        <v>#REF!</v>
      </c>
      <c r="AI406" s="12" t="e">
        <f>IF(Data!#REF!="","",IF(Data!$G406="",1,IF(ISNUMBER(MATCH(Data!#REF!,Data_Val!$D$2:$D$10,0)),0,1)))</f>
        <v>#REF!</v>
      </c>
      <c r="AJ406" s="17"/>
      <c r="AK406" s="17" t="e">
        <f>IF(Data!#REF!="","",IF(ISNUMBER(MATCH(Data!#REF!,Data_Val!$A$2:$A$3,0)),0,1))</f>
        <v>#REF!</v>
      </c>
      <c r="AL406" s="25" t="e">
        <f ca="1">IF(Data!#REF!="","",IF(ISNUMBER(Data!#REF!),IF(AND(Data!#REF!&gt;(TODAY()-(Data_Val!$L$3*365.25)),Data!#REF!&lt;=(TODAY()-(Data_Val!$L$2*365.25))),0,1),1))</f>
        <v>#REF!</v>
      </c>
      <c r="AM406" s="17" t="e">
        <f>IF(Data!#REF!="","",IF(Data!$G406="",1,IF(ISNUMBER(MATCH(Data!#REF!,Data_Val!$D$2:$D$10,0)),0,1)))</f>
        <v>#REF!</v>
      </c>
      <c r="AN406" s="13"/>
      <c r="AO406" s="28" t="e">
        <f ca="1">IF(Data!#REF!="","",IF(ISNUMBER(Data!#REF!),IF(AND(Data!#REF!&gt;(TODAY()-(Data_Val!$I$3*365.25)),Data!#REF!&lt;=(TODAY()-(Data_Val!$I$2*365.25))),0,1),1))</f>
        <v>#REF!</v>
      </c>
      <c r="AP406" s="13" t="e">
        <f>IF(Data!#REF!="","",IF(Data!$G406="",1,IF(ISNUMBER(MATCH(Data!#REF!,Data_Val!$D$2:$D$10,0)),0,1)))</f>
        <v>#REF!</v>
      </c>
      <c r="AQ406" s="17"/>
      <c r="AR406" s="30" t="e">
        <f ca="1">IF(Data!#REF!="","",IF(ISNUMBER(Data!#REF!),IF(AND(Data!#REF!&gt;(TODAY()-(Data_Val!$I$3*365.25)),Data!#REF!&lt;=(TODAY()-(Data_Val!$I$2*365.25))),0,1),1))</f>
        <v>#REF!</v>
      </c>
      <c r="AS406" s="31" t="e">
        <f>IF(Data!#REF!="","",IF(Data!$G406="",1,IF(ISNUMBER(MATCH(Data!#REF!,Data_Val!$D$2:$D$10,0)),0,1)))</f>
        <v>#REF!</v>
      </c>
      <c r="AT406" s="11"/>
      <c r="AU406" s="11" t="e">
        <f ca="1">IF(Data!#REF!="","",IF(ISNUMBER(Data!#REF!),IF(AND(Data!#REF!&gt;(TODAY()-(Data_Val!$I$3*365.25)),Data!#REF!&lt;=(TODAY()-(Data_Val!$I$2*365.25))),0,1),1))</f>
        <v>#REF!</v>
      </c>
      <c r="AV406" s="11" t="e">
        <f>IF(Data!#REF!="","",IF(Data!$G406="",1,IF(ISNUMBER(MATCH(Data!#REF!,Data_Val!$D$2:$D$10,0)),0,1)))</f>
        <v>#REF!</v>
      </c>
      <c r="AW406" s="12"/>
      <c r="AX406" s="26" t="e">
        <f ca="1">IF(Data!#REF!="","",IF(ISNUMBER(Data!#REF!),IF(AND(Data!#REF!&gt;(TODAY()-(Data_Val!$I$3*365.25)),Data!#REF!&lt;=(TODAY()-(Data_Val!$I$2*365.25))),0,1),1))</f>
        <v>#REF!</v>
      </c>
      <c r="AY406" s="12" t="e">
        <f>IF(Data!#REF!="","",IF(Data!$G406="",1,IF(ISNUMBER(MATCH(Data!#REF!,Data_Val!$D$2:$D$10,0)),0,1)))</f>
        <v>#REF!</v>
      </c>
      <c r="AZ406" s="11"/>
      <c r="BA406" s="19" t="e">
        <f ca="1">IF(Data!#REF!="","",IF(ISNUMBER(Data!#REF!),IF(AND(Data!#REF!&gt;(TODAY()-(Data_Val!$M$3*365.25)),Data!#REF!&lt;=(TODAY()-(Data_Val!$M$2*365.25))),0,1),1))</f>
        <v>#REF!</v>
      </c>
      <c r="BB406" s="11" t="e">
        <f>IF(Data!#REF!="","",IF(Data!$G406="",1,IF(ISNUMBER(MATCH(Data!#REF!,Data_Val!$D$2:$D$10,0)),0,1)))</f>
        <v>#REF!</v>
      </c>
      <c r="BC406" s="12"/>
      <c r="BD406" s="20" t="e">
        <f ca="1">IF(Data!#REF!="","",IF(ISNUMBER(Data!#REF!),IF(AND(Data!#REF!&gt;(TODAY()-(Data_Val!$M$3*365.25)),Data!#REF!&lt;=(TODAY()-(Data_Val!$M$2*365.25))),0,1),1))</f>
        <v>#REF!</v>
      </c>
      <c r="BE406" s="12" t="e">
        <f>IF(Data!#REF!="","",IF(Data!$G406="",1,IF(ISNUMBER(MATCH(Data!#REF!,Data_Val!$D$2:$D$10,0)),0,1)))</f>
        <v>#REF!</v>
      </c>
      <c r="BF406" s="17"/>
      <c r="BG406" s="18" t="e">
        <f ca="1">IF(Data!#REF!="","",IF(ISNUMBER(Data!#REF!),IF(AND(Data!#REF!&gt;(TODAY()-(Data_Val!$M$3*365.25)),Data!#REF!&lt;=(TODAY()-(Data_Val!$M$2*365.25))),0,1),1))</f>
        <v>#REF!</v>
      </c>
      <c r="BH406" s="29" t="e">
        <f>IF(Data!#REF!="","",IF(Data!$G406="",1,IF(ISNUMBER(MATCH(Data!#REF!,Data_Val!$D$2:$D$10,0)),0,1)))</f>
        <v>#REF!</v>
      </c>
      <c r="BI406" s="13"/>
      <c r="BJ406" s="21" t="e">
        <f ca="1">IF(Data!#REF!="","",IF(ISNUMBER(Data!#REF!),IF(AND(Data!#REF!&gt;(TODAY()-(Data_Val!$M$3*365.25)),Data!#REF!&lt;=(TODAY()-(Data_Val!$M$2*365.25))),0,1),1))</f>
        <v>#REF!</v>
      </c>
      <c r="BK406" s="13" t="e">
        <f>IF(Data!#REF!="","",IF(Data!$G406="",1,IF(ISNUMBER(MATCH(Data!#REF!,Data_Val!$D$2:$D$10,0)),0,1)))</f>
        <v>#REF!</v>
      </c>
    </row>
    <row r="407" spans="1:63" x14ac:dyDescent="0.25">
      <c r="A407" s="9" t="str">
        <f>IF(Data!B407="","",IF(COUNTIFS(Data!A$1:'Data'!A407,Data!A407)&lt;=1,0,1))</f>
        <v/>
      </c>
      <c r="B407" s="9"/>
      <c r="C407" s="23" t="str">
        <f>IF(Data!C407="","",(IF(ISNUMBER(MATCH("*@*.?*",Data!C407,0)),0,1)+IF(COUNTIFS(Data!C$1:'Data'!C407,Data!C407)&gt;1,1,0)))</f>
        <v/>
      </c>
      <c r="D407" s="9" t="str">
        <f>IF(Data!B407="","",IF(ISNUMBER(Data!D407),IF(AND(Data!D407&gt;999999999,Data!D407&lt;=9999999999),IF(COUNTIFS(Data!D$1:'Data'!D407,Data!D407)&lt;=1,0,1),1),1))</f>
        <v/>
      </c>
      <c r="E407" s="9" t="str">
        <f>IF(Data!B407="","",IF(ISNUMBER(MATCH(Data!E407,Data_Val!$A$2:$A$3,0)),0,1))</f>
        <v/>
      </c>
      <c r="F407" s="9" t="str">
        <f ca="1">IF(Data!B407="","",IF(ISNUMBER(Data!F407),IF(AND(Data!F407&gt;(TODAY()-(Data_Val!$H$3*365.25)),Data!F407&lt;=(TODAY()-(Data_Val!$H$2*365.25))),0,1),1))</f>
        <v/>
      </c>
      <c r="G407" s="15" t="str">
        <f>IF(Data!B407="","",IF(AND(Data!G407="",Data!H407&lt;&gt;""),1,IF(Data!#REF!&lt;&gt;"",0,IF(ISNUMBER(MATCH(Data!G407,Data_Val!$C$2:$C$5,0)),0,1))))</f>
        <v/>
      </c>
      <c r="H407" s="15" t="str">
        <f>IF(Data!B407="","",IF(AND(Data!G407&lt;&gt;"",Data!H407=""),1,IF(Data!#REF!&lt;&gt;"",0,IF(Data!G407="",1,IF(ISNUMBER(MATCH(Data!H407,Data_Val!$D$2:$D$35,0)),0,1)))))</f>
        <v/>
      </c>
      <c r="I407" s="15" t="str">
        <f>IF(Data!B407="","",IF(Data!G407&lt;&gt;"",0,IF(ISNUMBER(MATCH(Data!#REF!,Data_Val!$E$2:$E$12,0)),0,1)))</f>
        <v/>
      </c>
      <c r="J407" s="16" t="e">
        <f>IF(OR(Data!B407="",Data!#REF!=""),"",IF(Data!#REF!="",1,0))</f>
        <v>#REF!</v>
      </c>
      <c r="K407" s="16" t="e">
        <f>IF(OR(Data!B407="",Data!#REF!=""),"",IF(Data!#REF!="",1,0))</f>
        <v>#REF!</v>
      </c>
      <c r="L407" s="16" t="e">
        <f>IF(OR(Data!B407="",Data!#REF!=""),"",IF(ISNUMBER(Data!#REF!),IF(AND(Data!#REF!&gt;Data_Val!$G$2,Data!#REF!&lt;=Data_Val!$G$3),0,1),1))</f>
        <v>#REF!</v>
      </c>
      <c r="M407" s="9" t="e">
        <f>IF(OR(Data!B407="",Data!#REF!=""),"",IF(ISNUMBER(MATCH(Data!#REF!,Data_Val!$F$1:$F$38,0)),0,1))</f>
        <v>#REF!</v>
      </c>
      <c r="N407" s="9" t="e">
        <f>IF(OR(Data!B407="",Data!#REF!=""),"",IF(Data!#REF!="",1,0))</f>
        <v>#REF!</v>
      </c>
      <c r="O407" s="17" t="e">
        <f>IF(Data!#REF!="","",IF(Data!#REF!="",1,0))</f>
        <v>#REF!</v>
      </c>
      <c r="P407" s="17" t="e">
        <f>IF(Data!#REF!="","",IF(ISNUMBER(MATCH(Data!#REF!,Data_Val!$A$2:$A$3,0)),0,1))</f>
        <v>#REF!</v>
      </c>
      <c r="Q407" s="25" t="e">
        <f ca="1">IF(Data!#REF!="","",IF(ISNUMBER(Data!#REF!),IF(AND(Data!#REF!&gt;(TODAY()-(Data_Val!$J$3*365.25)),Data!#REF!&lt;=(TODAY()-(Data_Val!$J$2*365.25))),0,1),1))</f>
        <v>#REF!</v>
      </c>
      <c r="R407" s="17" t="e">
        <f>IF(Data!#REF!="","",IF(ISNUMBER(MATCH(Data!#REF!,Data_Val!$B$2:$B$15,0)),0,1))</f>
        <v>#REF!</v>
      </c>
      <c r="S407" s="11" t="str">
        <f>IF(Data!G407="","",IF(Data!G407=Data_Val!$C$2,IF(Data!M407="",0,1),0))</f>
        <v/>
      </c>
      <c r="T407" s="11" t="str">
        <f>IF(Data!M407="","",IF(ISNUMBER(MATCH(Data!N407,Data_Val!$A$2:$A$3,0)),0,1))</f>
        <v/>
      </c>
      <c r="U407" s="11" t="str">
        <f ca="1">IF(Data!M407="","",IF(ISNUMBER(Data!O407),IF(AND(Data!O407&gt;(TODAY()-(Data_Val!$K$3*365.25)),Data!O407&lt;=(TODAY()-(Data_Val!$K$2*365.25))),0,1),1))</f>
        <v/>
      </c>
      <c r="V407" s="12" t="str">
        <f>IF(Data!G407="","",IF(Data!G407=Data_Val!$C$2,IF(Data!P407="",0,1),0))</f>
        <v/>
      </c>
      <c r="W407" s="12" t="str">
        <f>IF(Data!P407="","",IF(ISNUMBER(MATCH(Data!Q407,Data_Val!$A$2:$A$3,0)),0,1))</f>
        <v/>
      </c>
      <c r="X407" s="26" t="str">
        <f ca="1">IF(Data!P407="","",IF(ISNUMBER(Data!R407),IF(AND(Data!R407&gt;(TODAY()-(Data_Val!$L$3*365.25)),Data!R407&lt;=(TODAY()-(Data_Val!$L$2*365.25))),0,1),1))</f>
        <v/>
      </c>
      <c r="Y407" s="13" t="str">
        <f>IF(Data!$G407="","",IF(Data!$G407=Data_Val!$C$2,IF(Data!S407="",0,1),0))</f>
        <v/>
      </c>
      <c r="Z407" s="13" t="str">
        <f>IF(Data!S407="","",IF(ISNUMBER(MATCH(Data!T407,Data_Val!$A$2:$A$3,0)),0,1))</f>
        <v/>
      </c>
      <c r="AA407" s="28" t="str">
        <f ca="1">IF(Data!S407="","",IF(ISNUMBER(Data!U407),IF(AND(Data!U407&gt;(TODAY()-(Data_Val!$L$3*365.25)),Data!U407&lt;=(TODAY()-(Data_Val!$L$2*365.25))),0,1),1))</f>
        <v/>
      </c>
      <c r="AB407" s="11"/>
      <c r="AC407" s="11" t="e">
        <f>IF(Data!#REF!="","",IF(ISNUMBER(MATCH(Data!#REF!,Data_Val!$A$2:$A$3,0)),0,1))</f>
        <v>#REF!</v>
      </c>
      <c r="AD407" s="11" t="e">
        <f ca="1">IF(Data!#REF!="","",IF(ISNUMBER(Data!#REF!),IF(AND(Data!#REF!&gt;(TODAY()-(Data_Val!$L$3*365.25)),Data!#REF!&lt;=(TODAY()-(Data_Val!$L$2*365.25))),0,1),1))</f>
        <v>#REF!</v>
      </c>
      <c r="AE407" s="11" t="e">
        <f>IF(Data!#REF!="","",IF(Data!$G407="",1,IF(ISNUMBER(MATCH(Data!#REF!,Data_Val!$D$2:$D$10,0)),0,1)))</f>
        <v>#REF!</v>
      </c>
      <c r="AF407" s="12"/>
      <c r="AG407" s="12" t="e">
        <f>IF(Data!#REF!="","",IF(ISNUMBER(MATCH(Data!#REF!,Data_Val!$A$2:$A$3,0)),0,1))</f>
        <v>#REF!</v>
      </c>
      <c r="AH407" s="26" t="e">
        <f ca="1">IF(Data!#REF!="","",IF(ISNUMBER(Data!#REF!),IF(AND(Data!#REF!&gt;(TODAY()-(Data_Val!$L$3*365.25)),Data!#REF!&lt;=(TODAY()-(Data_Val!$L$2*365.25))),0,1),1))</f>
        <v>#REF!</v>
      </c>
      <c r="AI407" s="12" t="e">
        <f>IF(Data!#REF!="","",IF(Data!$G407="",1,IF(ISNUMBER(MATCH(Data!#REF!,Data_Val!$D$2:$D$10,0)),0,1)))</f>
        <v>#REF!</v>
      </c>
      <c r="AJ407" s="17"/>
      <c r="AK407" s="17" t="e">
        <f>IF(Data!#REF!="","",IF(ISNUMBER(MATCH(Data!#REF!,Data_Val!$A$2:$A$3,0)),0,1))</f>
        <v>#REF!</v>
      </c>
      <c r="AL407" s="25" t="e">
        <f ca="1">IF(Data!#REF!="","",IF(ISNUMBER(Data!#REF!),IF(AND(Data!#REF!&gt;(TODAY()-(Data_Val!$L$3*365.25)),Data!#REF!&lt;=(TODAY()-(Data_Val!$L$2*365.25))),0,1),1))</f>
        <v>#REF!</v>
      </c>
      <c r="AM407" s="17" t="e">
        <f>IF(Data!#REF!="","",IF(Data!$G407="",1,IF(ISNUMBER(MATCH(Data!#REF!,Data_Val!$D$2:$D$10,0)),0,1)))</f>
        <v>#REF!</v>
      </c>
      <c r="AN407" s="13"/>
      <c r="AO407" s="28" t="e">
        <f ca="1">IF(Data!#REF!="","",IF(ISNUMBER(Data!#REF!),IF(AND(Data!#REF!&gt;(TODAY()-(Data_Val!$I$3*365.25)),Data!#REF!&lt;=(TODAY()-(Data_Val!$I$2*365.25))),0,1),1))</f>
        <v>#REF!</v>
      </c>
      <c r="AP407" s="13" t="e">
        <f>IF(Data!#REF!="","",IF(Data!$G407="",1,IF(ISNUMBER(MATCH(Data!#REF!,Data_Val!$D$2:$D$10,0)),0,1)))</f>
        <v>#REF!</v>
      </c>
      <c r="AQ407" s="17"/>
      <c r="AR407" s="30" t="e">
        <f ca="1">IF(Data!#REF!="","",IF(ISNUMBER(Data!#REF!),IF(AND(Data!#REF!&gt;(TODAY()-(Data_Val!$I$3*365.25)),Data!#REF!&lt;=(TODAY()-(Data_Val!$I$2*365.25))),0,1),1))</f>
        <v>#REF!</v>
      </c>
      <c r="AS407" s="31" t="e">
        <f>IF(Data!#REF!="","",IF(Data!$G407="",1,IF(ISNUMBER(MATCH(Data!#REF!,Data_Val!$D$2:$D$10,0)),0,1)))</f>
        <v>#REF!</v>
      </c>
      <c r="AT407" s="11"/>
      <c r="AU407" s="11" t="e">
        <f ca="1">IF(Data!#REF!="","",IF(ISNUMBER(Data!#REF!),IF(AND(Data!#REF!&gt;(TODAY()-(Data_Val!$I$3*365.25)),Data!#REF!&lt;=(TODAY()-(Data_Val!$I$2*365.25))),0,1),1))</f>
        <v>#REF!</v>
      </c>
      <c r="AV407" s="11" t="e">
        <f>IF(Data!#REF!="","",IF(Data!$G407="",1,IF(ISNUMBER(MATCH(Data!#REF!,Data_Val!$D$2:$D$10,0)),0,1)))</f>
        <v>#REF!</v>
      </c>
      <c r="AW407" s="12"/>
      <c r="AX407" s="26" t="e">
        <f ca="1">IF(Data!#REF!="","",IF(ISNUMBER(Data!#REF!),IF(AND(Data!#REF!&gt;(TODAY()-(Data_Val!$I$3*365.25)),Data!#REF!&lt;=(TODAY()-(Data_Val!$I$2*365.25))),0,1),1))</f>
        <v>#REF!</v>
      </c>
      <c r="AY407" s="12" t="e">
        <f>IF(Data!#REF!="","",IF(Data!$G407="",1,IF(ISNUMBER(MATCH(Data!#REF!,Data_Val!$D$2:$D$10,0)),0,1)))</f>
        <v>#REF!</v>
      </c>
      <c r="AZ407" s="11"/>
      <c r="BA407" s="19" t="e">
        <f ca="1">IF(Data!#REF!="","",IF(ISNUMBER(Data!#REF!),IF(AND(Data!#REF!&gt;(TODAY()-(Data_Val!$M$3*365.25)),Data!#REF!&lt;=(TODAY()-(Data_Val!$M$2*365.25))),0,1),1))</f>
        <v>#REF!</v>
      </c>
      <c r="BB407" s="11" t="e">
        <f>IF(Data!#REF!="","",IF(Data!$G407="",1,IF(ISNUMBER(MATCH(Data!#REF!,Data_Val!$D$2:$D$10,0)),0,1)))</f>
        <v>#REF!</v>
      </c>
      <c r="BC407" s="12"/>
      <c r="BD407" s="20" t="e">
        <f ca="1">IF(Data!#REF!="","",IF(ISNUMBER(Data!#REF!),IF(AND(Data!#REF!&gt;(TODAY()-(Data_Val!$M$3*365.25)),Data!#REF!&lt;=(TODAY()-(Data_Val!$M$2*365.25))),0,1),1))</f>
        <v>#REF!</v>
      </c>
      <c r="BE407" s="12" t="e">
        <f>IF(Data!#REF!="","",IF(Data!$G407="",1,IF(ISNUMBER(MATCH(Data!#REF!,Data_Val!$D$2:$D$10,0)),0,1)))</f>
        <v>#REF!</v>
      </c>
      <c r="BF407" s="17"/>
      <c r="BG407" s="18" t="e">
        <f ca="1">IF(Data!#REF!="","",IF(ISNUMBER(Data!#REF!),IF(AND(Data!#REF!&gt;(TODAY()-(Data_Val!$M$3*365.25)),Data!#REF!&lt;=(TODAY()-(Data_Val!$M$2*365.25))),0,1),1))</f>
        <v>#REF!</v>
      </c>
      <c r="BH407" s="29" t="e">
        <f>IF(Data!#REF!="","",IF(Data!$G407="",1,IF(ISNUMBER(MATCH(Data!#REF!,Data_Val!$D$2:$D$10,0)),0,1)))</f>
        <v>#REF!</v>
      </c>
      <c r="BI407" s="13"/>
      <c r="BJ407" s="21" t="e">
        <f ca="1">IF(Data!#REF!="","",IF(ISNUMBER(Data!#REF!),IF(AND(Data!#REF!&gt;(TODAY()-(Data_Val!$M$3*365.25)),Data!#REF!&lt;=(TODAY()-(Data_Val!$M$2*365.25))),0,1),1))</f>
        <v>#REF!</v>
      </c>
      <c r="BK407" s="13" t="e">
        <f>IF(Data!#REF!="","",IF(Data!$G407="",1,IF(ISNUMBER(MATCH(Data!#REF!,Data_Val!$D$2:$D$10,0)),0,1)))</f>
        <v>#REF!</v>
      </c>
    </row>
    <row r="408" spans="1:63" x14ac:dyDescent="0.25">
      <c r="A408" s="9" t="str">
        <f>IF(Data!B408="","",IF(COUNTIFS(Data!A$1:'Data'!A408,Data!A408)&lt;=1,0,1))</f>
        <v/>
      </c>
      <c r="B408" s="9"/>
      <c r="C408" s="23" t="str">
        <f>IF(Data!C408="","",(IF(ISNUMBER(MATCH("*@*.?*",Data!C408,0)),0,1)+IF(COUNTIFS(Data!C$1:'Data'!C408,Data!C408)&gt;1,1,0)))</f>
        <v/>
      </c>
      <c r="D408" s="9" t="str">
        <f>IF(Data!B408="","",IF(ISNUMBER(Data!D408),IF(AND(Data!D408&gt;999999999,Data!D408&lt;=9999999999),IF(COUNTIFS(Data!D$1:'Data'!D408,Data!D408)&lt;=1,0,1),1),1))</f>
        <v/>
      </c>
      <c r="E408" s="9" t="str">
        <f>IF(Data!B408="","",IF(ISNUMBER(MATCH(Data!E408,Data_Val!$A$2:$A$3,0)),0,1))</f>
        <v/>
      </c>
      <c r="F408" s="9" t="str">
        <f ca="1">IF(Data!B408="","",IF(ISNUMBER(Data!F408),IF(AND(Data!F408&gt;(TODAY()-(Data_Val!$H$3*365.25)),Data!F408&lt;=(TODAY()-(Data_Val!$H$2*365.25))),0,1),1))</f>
        <v/>
      </c>
      <c r="G408" s="15" t="str">
        <f>IF(Data!B408="","",IF(AND(Data!G408="",Data!H408&lt;&gt;""),1,IF(Data!#REF!&lt;&gt;"",0,IF(ISNUMBER(MATCH(Data!G408,Data_Val!$C$2:$C$5,0)),0,1))))</f>
        <v/>
      </c>
      <c r="H408" s="15" t="str">
        <f>IF(Data!B408="","",IF(AND(Data!G408&lt;&gt;"",Data!H408=""),1,IF(Data!#REF!&lt;&gt;"",0,IF(Data!G408="",1,IF(ISNUMBER(MATCH(Data!H408,Data_Val!$D$2:$D$35,0)),0,1)))))</f>
        <v/>
      </c>
      <c r="I408" s="15" t="str">
        <f>IF(Data!B408="","",IF(Data!G408&lt;&gt;"",0,IF(ISNUMBER(MATCH(Data!#REF!,Data_Val!$E$2:$E$12,0)),0,1)))</f>
        <v/>
      </c>
      <c r="J408" s="16" t="e">
        <f>IF(OR(Data!B408="",Data!#REF!=""),"",IF(Data!#REF!="",1,0))</f>
        <v>#REF!</v>
      </c>
      <c r="K408" s="16" t="e">
        <f>IF(OR(Data!B408="",Data!#REF!=""),"",IF(Data!#REF!="",1,0))</f>
        <v>#REF!</v>
      </c>
      <c r="L408" s="16" t="e">
        <f>IF(OR(Data!B408="",Data!#REF!=""),"",IF(ISNUMBER(Data!#REF!),IF(AND(Data!#REF!&gt;Data_Val!$G$2,Data!#REF!&lt;=Data_Val!$G$3),0,1),1))</f>
        <v>#REF!</v>
      </c>
      <c r="M408" s="9" t="e">
        <f>IF(OR(Data!B408="",Data!#REF!=""),"",IF(ISNUMBER(MATCH(Data!#REF!,Data_Val!$F$1:$F$38,0)),0,1))</f>
        <v>#REF!</v>
      </c>
      <c r="N408" s="9" t="e">
        <f>IF(OR(Data!B408="",Data!#REF!=""),"",IF(Data!#REF!="",1,0))</f>
        <v>#REF!</v>
      </c>
      <c r="O408" s="17" t="e">
        <f>IF(Data!#REF!="","",IF(Data!#REF!="",1,0))</f>
        <v>#REF!</v>
      </c>
      <c r="P408" s="17" t="e">
        <f>IF(Data!#REF!="","",IF(ISNUMBER(MATCH(Data!#REF!,Data_Val!$A$2:$A$3,0)),0,1))</f>
        <v>#REF!</v>
      </c>
      <c r="Q408" s="25" t="e">
        <f ca="1">IF(Data!#REF!="","",IF(ISNUMBER(Data!#REF!),IF(AND(Data!#REF!&gt;(TODAY()-(Data_Val!$J$3*365.25)),Data!#REF!&lt;=(TODAY()-(Data_Val!$J$2*365.25))),0,1),1))</f>
        <v>#REF!</v>
      </c>
      <c r="R408" s="17" t="e">
        <f>IF(Data!#REF!="","",IF(ISNUMBER(MATCH(Data!#REF!,Data_Val!$B$2:$B$15,0)),0,1))</f>
        <v>#REF!</v>
      </c>
      <c r="S408" s="11" t="str">
        <f>IF(Data!G408="","",IF(Data!G408=Data_Val!$C$2,IF(Data!M408="",0,1),0))</f>
        <v/>
      </c>
      <c r="T408" s="11" t="str">
        <f>IF(Data!M408="","",IF(ISNUMBER(MATCH(Data!N408,Data_Val!$A$2:$A$3,0)),0,1))</f>
        <v/>
      </c>
      <c r="U408" s="11" t="str">
        <f ca="1">IF(Data!M408="","",IF(ISNUMBER(Data!O408),IF(AND(Data!O408&gt;(TODAY()-(Data_Val!$K$3*365.25)),Data!O408&lt;=(TODAY()-(Data_Val!$K$2*365.25))),0,1),1))</f>
        <v/>
      </c>
      <c r="V408" s="12" t="str">
        <f>IF(Data!G408="","",IF(Data!G408=Data_Val!$C$2,IF(Data!P408="",0,1),0))</f>
        <v/>
      </c>
      <c r="W408" s="12" t="str">
        <f>IF(Data!P408="","",IF(ISNUMBER(MATCH(Data!Q408,Data_Val!$A$2:$A$3,0)),0,1))</f>
        <v/>
      </c>
      <c r="X408" s="26" t="str">
        <f ca="1">IF(Data!P408="","",IF(ISNUMBER(Data!R408),IF(AND(Data!R408&gt;(TODAY()-(Data_Val!$L$3*365.25)),Data!R408&lt;=(TODAY()-(Data_Val!$L$2*365.25))),0,1),1))</f>
        <v/>
      </c>
      <c r="Y408" s="13" t="str">
        <f>IF(Data!$G408="","",IF(Data!$G408=Data_Val!$C$2,IF(Data!S408="",0,1),0))</f>
        <v/>
      </c>
      <c r="Z408" s="13" t="str">
        <f>IF(Data!S408="","",IF(ISNUMBER(MATCH(Data!T408,Data_Val!$A$2:$A$3,0)),0,1))</f>
        <v/>
      </c>
      <c r="AA408" s="28" t="str">
        <f ca="1">IF(Data!S408="","",IF(ISNUMBER(Data!U408),IF(AND(Data!U408&gt;(TODAY()-(Data_Val!$L$3*365.25)),Data!U408&lt;=(TODAY()-(Data_Val!$L$2*365.25))),0,1),1))</f>
        <v/>
      </c>
      <c r="AB408" s="11"/>
      <c r="AC408" s="11" t="e">
        <f>IF(Data!#REF!="","",IF(ISNUMBER(MATCH(Data!#REF!,Data_Val!$A$2:$A$3,0)),0,1))</f>
        <v>#REF!</v>
      </c>
      <c r="AD408" s="11" t="e">
        <f ca="1">IF(Data!#REF!="","",IF(ISNUMBER(Data!#REF!),IF(AND(Data!#REF!&gt;(TODAY()-(Data_Val!$L$3*365.25)),Data!#REF!&lt;=(TODAY()-(Data_Val!$L$2*365.25))),0,1),1))</f>
        <v>#REF!</v>
      </c>
      <c r="AE408" s="11" t="e">
        <f>IF(Data!#REF!="","",IF(Data!$G408="",1,IF(ISNUMBER(MATCH(Data!#REF!,Data_Val!$D$2:$D$10,0)),0,1)))</f>
        <v>#REF!</v>
      </c>
      <c r="AF408" s="12"/>
      <c r="AG408" s="12" t="e">
        <f>IF(Data!#REF!="","",IF(ISNUMBER(MATCH(Data!#REF!,Data_Val!$A$2:$A$3,0)),0,1))</f>
        <v>#REF!</v>
      </c>
      <c r="AH408" s="26" t="e">
        <f ca="1">IF(Data!#REF!="","",IF(ISNUMBER(Data!#REF!),IF(AND(Data!#REF!&gt;(TODAY()-(Data_Val!$L$3*365.25)),Data!#REF!&lt;=(TODAY()-(Data_Val!$L$2*365.25))),0,1),1))</f>
        <v>#REF!</v>
      </c>
      <c r="AI408" s="12" t="e">
        <f>IF(Data!#REF!="","",IF(Data!$G408="",1,IF(ISNUMBER(MATCH(Data!#REF!,Data_Val!$D$2:$D$10,0)),0,1)))</f>
        <v>#REF!</v>
      </c>
      <c r="AJ408" s="17"/>
      <c r="AK408" s="17" t="e">
        <f>IF(Data!#REF!="","",IF(ISNUMBER(MATCH(Data!#REF!,Data_Val!$A$2:$A$3,0)),0,1))</f>
        <v>#REF!</v>
      </c>
      <c r="AL408" s="25" t="e">
        <f ca="1">IF(Data!#REF!="","",IF(ISNUMBER(Data!#REF!),IF(AND(Data!#REF!&gt;(TODAY()-(Data_Val!$L$3*365.25)),Data!#REF!&lt;=(TODAY()-(Data_Val!$L$2*365.25))),0,1),1))</f>
        <v>#REF!</v>
      </c>
      <c r="AM408" s="17" t="e">
        <f>IF(Data!#REF!="","",IF(Data!$G408="",1,IF(ISNUMBER(MATCH(Data!#REF!,Data_Val!$D$2:$D$10,0)),0,1)))</f>
        <v>#REF!</v>
      </c>
      <c r="AN408" s="13"/>
      <c r="AO408" s="28" t="e">
        <f ca="1">IF(Data!#REF!="","",IF(ISNUMBER(Data!#REF!),IF(AND(Data!#REF!&gt;(TODAY()-(Data_Val!$I$3*365.25)),Data!#REF!&lt;=(TODAY()-(Data_Val!$I$2*365.25))),0,1),1))</f>
        <v>#REF!</v>
      </c>
      <c r="AP408" s="13" t="e">
        <f>IF(Data!#REF!="","",IF(Data!$G408="",1,IF(ISNUMBER(MATCH(Data!#REF!,Data_Val!$D$2:$D$10,0)),0,1)))</f>
        <v>#REF!</v>
      </c>
      <c r="AQ408" s="17"/>
      <c r="AR408" s="30" t="e">
        <f ca="1">IF(Data!#REF!="","",IF(ISNUMBER(Data!#REF!),IF(AND(Data!#REF!&gt;(TODAY()-(Data_Val!$I$3*365.25)),Data!#REF!&lt;=(TODAY()-(Data_Val!$I$2*365.25))),0,1),1))</f>
        <v>#REF!</v>
      </c>
      <c r="AS408" s="31" t="e">
        <f>IF(Data!#REF!="","",IF(Data!$G408="",1,IF(ISNUMBER(MATCH(Data!#REF!,Data_Val!$D$2:$D$10,0)),0,1)))</f>
        <v>#REF!</v>
      </c>
      <c r="AT408" s="11"/>
      <c r="AU408" s="11" t="e">
        <f ca="1">IF(Data!#REF!="","",IF(ISNUMBER(Data!#REF!),IF(AND(Data!#REF!&gt;(TODAY()-(Data_Val!$I$3*365.25)),Data!#REF!&lt;=(TODAY()-(Data_Val!$I$2*365.25))),0,1),1))</f>
        <v>#REF!</v>
      </c>
      <c r="AV408" s="11" t="e">
        <f>IF(Data!#REF!="","",IF(Data!$G408="",1,IF(ISNUMBER(MATCH(Data!#REF!,Data_Val!$D$2:$D$10,0)),0,1)))</f>
        <v>#REF!</v>
      </c>
      <c r="AW408" s="12"/>
      <c r="AX408" s="26" t="e">
        <f ca="1">IF(Data!#REF!="","",IF(ISNUMBER(Data!#REF!),IF(AND(Data!#REF!&gt;(TODAY()-(Data_Val!$I$3*365.25)),Data!#REF!&lt;=(TODAY()-(Data_Val!$I$2*365.25))),0,1),1))</f>
        <v>#REF!</v>
      </c>
      <c r="AY408" s="12" t="e">
        <f>IF(Data!#REF!="","",IF(Data!$G408="",1,IF(ISNUMBER(MATCH(Data!#REF!,Data_Val!$D$2:$D$10,0)),0,1)))</f>
        <v>#REF!</v>
      </c>
      <c r="AZ408" s="11"/>
      <c r="BA408" s="19" t="e">
        <f ca="1">IF(Data!#REF!="","",IF(ISNUMBER(Data!#REF!),IF(AND(Data!#REF!&gt;(TODAY()-(Data_Val!$M$3*365.25)),Data!#REF!&lt;=(TODAY()-(Data_Val!$M$2*365.25))),0,1),1))</f>
        <v>#REF!</v>
      </c>
      <c r="BB408" s="11" t="e">
        <f>IF(Data!#REF!="","",IF(Data!$G408="",1,IF(ISNUMBER(MATCH(Data!#REF!,Data_Val!$D$2:$D$10,0)),0,1)))</f>
        <v>#REF!</v>
      </c>
      <c r="BC408" s="12"/>
      <c r="BD408" s="20" t="e">
        <f ca="1">IF(Data!#REF!="","",IF(ISNUMBER(Data!#REF!),IF(AND(Data!#REF!&gt;(TODAY()-(Data_Val!$M$3*365.25)),Data!#REF!&lt;=(TODAY()-(Data_Val!$M$2*365.25))),0,1),1))</f>
        <v>#REF!</v>
      </c>
      <c r="BE408" s="12" t="e">
        <f>IF(Data!#REF!="","",IF(Data!$G408="",1,IF(ISNUMBER(MATCH(Data!#REF!,Data_Val!$D$2:$D$10,0)),0,1)))</f>
        <v>#REF!</v>
      </c>
      <c r="BF408" s="17"/>
      <c r="BG408" s="18" t="e">
        <f ca="1">IF(Data!#REF!="","",IF(ISNUMBER(Data!#REF!),IF(AND(Data!#REF!&gt;(TODAY()-(Data_Val!$M$3*365.25)),Data!#REF!&lt;=(TODAY()-(Data_Val!$M$2*365.25))),0,1),1))</f>
        <v>#REF!</v>
      </c>
      <c r="BH408" s="29" t="e">
        <f>IF(Data!#REF!="","",IF(Data!$G408="",1,IF(ISNUMBER(MATCH(Data!#REF!,Data_Val!$D$2:$D$10,0)),0,1)))</f>
        <v>#REF!</v>
      </c>
      <c r="BI408" s="13"/>
      <c r="BJ408" s="21" t="e">
        <f ca="1">IF(Data!#REF!="","",IF(ISNUMBER(Data!#REF!),IF(AND(Data!#REF!&gt;(TODAY()-(Data_Val!$M$3*365.25)),Data!#REF!&lt;=(TODAY()-(Data_Val!$M$2*365.25))),0,1),1))</f>
        <v>#REF!</v>
      </c>
      <c r="BK408" s="13" t="e">
        <f>IF(Data!#REF!="","",IF(Data!$G408="",1,IF(ISNUMBER(MATCH(Data!#REF!,Data_Val!$D$2:$D$10,0)),0,1)))</f>
        <v>#REF!</v>
      </c>
    </row>
    <row r="409" spans="1:63" x14ac:dyDescent="0.25">
      <c r="A409" s="9" t="str">
        <f>IF(Data!B409="","",IF(COUNTIFS(Data!A$1:'Data'!A409,Data!A409)&lt;=1,0,1))</f>
        <v/>
      </c>
      <c r="B409" s="9"/>
      <c r="C409" s="23" t="str">
        <f>IF(Data!C409="","",(IF(ISNUMBER(MATCH("*@*.?*",Data!C409,0)),0,1)+IF(COUNTIFS(Data!C$1:'Data'!C409,Data!C409)&gt;1,1,0)))</f>
        <v/>
      </c>
      <c r="D409" s="9" t="str">
        <f>IF(Data!B409="","",IF(ISNUMBER(Data!D409),IF(AND(Data!D409&gt;999999999,Data!D409&lt;=9999999999),IF(COUNTIFS(Data!D$1:'Data'!D409,Data!D409)&lt;=1,0,1),1),1))</f>
        <v/>
      </c>
      <c r="E409" s="9" t="str">
        <f>IF(Data!B409="","",IF(ISNUMBER(MATCH(Data!E409,Data_Val!$A$2:$A$3,0)),0,1))</f>
        <v/>
      </c>
      <c r="F409" s="9" t="str">
        <f ca="1">IF(Data!B409="","",IF(ISNUMBER(Data!F409),IF(AND(Data!F409&gt;(TODAY()-(Data_Val!$H$3*365.25)),Data!F409&lt;=(TODAY()-(Data_Val!$H$2*365.25))),0,1),1))</f>
        <v/>
      </c>
      <c r="G409" s="15" t="str">
        <f>IF(Data!B409="","",IF(AND(Data!G409="",Data!H409&lt;&gt;""),1,IF(Data!#REF!&lt;&gt;"",0,IF(ISNUMBER(MATCH(Data!G409,Data_Val!$C$2:$C$5,0)),0,1))))</f>
        <v/>
      </c>
      <c r="H409" s="15" t="str">
        <f>IF(Data!B409="","",IF(AND(Data!G409&lt;&gt;"",Data!H409=""),1,IF(Data!#REF!&lt;&gt;"",0,IF(Data!G409="",1,IF(ISNUMBER(MATCH(Data!H409,Data_Val!$D$2:$D$35,0)),0,1)))))</f>
        <v/>
      </c>
      <c r="I409" s="15" t="str">
        <f>IF(Data!B409="","",IF(Data!G409&lt;&gt;"",0,IF(ISNUMBER(MATCH(Data!#REF!,Data_Val!$E$2:$E$12,0)),0,1)))</f>
        <v/>
      </c>
      <c r="J409" s="16" t="e">
        <f>IF(OR(Data!B409="",Data!#REF!=""),"",IF(Data!#REF!="",1,0))</f>
        <v>#REF!</v>
      </c>
      <c r="K409" s="16" t="e">
        <f>IF(OR(Data!B409="",Data!#REF!=""),"",IF(Data!#REF!="",1,0))</f>
        <v>#REF!</v>
      </c>
      <c r="L409" s="16" t="e">
        <f>IF(OR(Data!B409="",Data!#REF!=""),"",IF(ISNUMBER(Data!#REF!),IF(AND(Data!#REF!&gt;Data_Val!$G$2,Data!#REF!&lt;=Data_Val!$G$3),0,1),1))</f>
        <v>#REF!</v>
      </c>
      <c r="M409" s="9" t="e">
        <f>IF(OR(Data!B409="",Data!#REF!=""),"",IF(ISNUMBER(MATCH(Data!#REF!,Data_Val!$F$1:$F$38,0)),0,1))</f>
        <v>#REF!</v>
      </c>
      <c r="N409" s="9" t="e">
        <f>IF(OR(Data!B409="",Data!#REF!=""),"",IF(Data!#REF!="",1,0))</f>
        <v>#REF!</v>
      </c>
      <c r="O409" s="17" t="e">
        <f>IF(Data!#REF!="","",IF(Data!#REF!="",1,0))</f>
        <v>#REF!</v>
      </c>
      <c r="P409" s="17" t="e">
        <f>IF(Data!#REF!="","",IF(ISNUMBER(MATCH(Data!#REF!,Data_Val!$A$2:$A$3,0)),0,1))</f>
        <v>#REF!</v>
      </c>
      <c r="Q409" s="25" t="e">
        <f ca="1">IF(Data!#REF!="","",IF(ISNUMBER(Data!#REF!),IF(AND(Data!#REF!&gt;(TODAY()-(Data_Val!$J$3*365.25)),Data!#REF!&lt;=(TODAY()-(Data_Val!$J$2*365.25))),0,1),1))</f>
        <v>#REF!</v>
      </c>
      <c r="R409" s="17" t="e">
        <f>IF(Data!#REF!="","",IF(ISNUMBER(MATCH(Data!#REF!,Data_Val!$B$2:$B$15,0)),0,1))</f>
        <v>#REF!</v>
      </c>
      <c r="S409" s="11" t="str">
        <f>IF(Data!G409="","",IF(Data!G409=Data_Val!$C$2,IF(Data!M409="",0,1),0))</f>
        <v/>
      </c>
      <c r="T409" s="11" t="str">
        <f>IF(Data!M409="","",IF(ISNUMBER(MATCH(Data!N409,Data_Val!$A$2:$A$3,0)),0,1))</f>
        <v/>
      </c>
      <c r="U409" s="11" t="str">
        <f ca="1">IF(Data!M409="","",IF(ISNUMBER(Data!O409),IF(AND(Data!O409&gt;(TODAY()-(Data_Val!$K$3*365.25)),Data!O409&lt;=(TODAY()-(Data_Val!$K$2*365.25))),0,1),1))</f>
        <v/>
      </c>
      <c r="V409" s="12" t="str">
        <f>IF(Data!G409="","",IF(Data!G409=Data_Val!$C$2,IF(Data!P409="",0,1),0))</f>
        <v/>
      </c>
      <c r="W409" s="12" t="str">
        <f>IF(Data!P409="","",IF(ISNUMBER(MATCH(Data!Q409,Data_Val!$A$2:$A$3,0)),0,1))</f>
        <v/>
      </c>
      <c r="X409" s="26" t="str">
        <f ca="1">IF(Data!P409="","",IF(ISNUMBER(Data!R409),IF(AND(Data!R409&gt;(TODAY()-(Data_Val!$L$3*365.25)),Data!R409&lt;=(TODAY()-(Data_Val!$L$2*365.25))),0,1),1))</f>
        <v/>
      </c>
      <c r="Y409" s="13" t="str">
        <f>IF(Data!$G409="","",IF(Data!$G409=Data_Val!$C$2,IF(Data!S409="",0,1),0))</f>
        <v/>
      </c>
      <c r="Z409" s="13" t="str">
        <f>IF(Data!S409="","",IF(ISNUMBER(MATCH(Data!T409,Data_Val!$A$2:$A$3,0)),0,1))</f>
        <v/>
      </c>
      <c r="AA409" s="28" t="str">
        <f ca="1">IF(Data!S409="","",IF(ISNUMBER(Data!U409),IF(AND(Data!U409&gt;(TODAY()-(Data_Val!$L$3*365.25)),Data!U409&lt;=(TODAY()-(Data_Val!$L$2*365.25))),0,1),1))</f>
        <v/>
      </c>
      <c r="AB409" s="11"/>
      <c r="AC409" s="11" t="e">
        <f>IF(Data!#REF!="","",IF(ISNUMBER(MATCH(Data!#REF!,Data_Val!$A$2:$A$3,0)),0,1))</f>
        <v>#REF!</v>
      </c>
      <c r="AD409" s="11" t="e">
        <f ca="1">IF(Data!#REF!="","",IF(ISNUMBER(Data!#REF!),IF(AND(Data!#REF!&gt;(TODAY()-(Data_Val!$L$3*365.25)),Data!#REF!&lt;=(TODAY()-(Data_Val!$L$2*365.25))),0,1),1))</f>
        <v>#REF!</v>
      </c>
      <c r="AE409" s="11" t="e">
        <f>IF(Data!#REF!="","",IF(Data!$G409="",1,IF(ISNUMBER(MATCH(Data!#REF!,Data_Val!$D$2:$D$10,0)),0,1)))</f>
        <v>#REF!</v>
      </c>
      <c r="AF409" s="12"/>
      <c r="AG409" s="12" t="e">
        <f>IF(Data!#REF!="","",IF(ISNUMBER(MATCH(Data!#REF!,Data_Val!$A$2:$A$3,0)),0,1))</f>
        <v>#REF!</v>
      </c>
      <c r="AH409" s="26" t="e">
        <f ca="1">IF(Data!#REF!="","",IF(ISNUMBER(Data!#REF!),IF(AND(Data!#REF!&gt;(TODAY()-(Data_Val!$L$3*365.25)),Data!#REF!&lt;=(TODAY()-(Data_Val!$L$2*365.25))),0,1),1))</f>
        <v>#REF!</v>
      </c>
      <c r="AI409" s="12" t="e">
        <f>IF(Data!#REF!="","",IF(Data!$G409="",1,IF(ISNUMBER(MATCH(Data!#REF!,Data_Val!$D$2:$D$10,0)),0,1)))</f>
        <v>#REF!</v>
      </c>
      <c r="AJ409" s="17"/>
      <c r="AK409" s="17" t="e">
        <f>IF(Data!#REF!="","",IF(ISNUMBER(MATCH(Data!#REF!,Data_Val!$A$2:$A$3,0)),0,1))</f>
        <v>#REF!</v>
      </c>
      <c r="AL409" s="25" t="e">
        <f ca="1">IF(Data!#REF!="","",IF(ISNUMBER(Data!#REF!),IF(AND(Data!#REF!&gt;(TODAY()-(Data_Val!$L$3*365.25)),Data!#REF!&lt;=(TODAY()-(Data_Val!$L$2*365.25))),0,1),1))</f>
        <v>#REF!</v>
      </c>
      <c r="AM409" s="17" t="e">
        <f>IF(Data!#REF!="","",IF(Data!$G409="",1,IF(ISNUMBER(MATCH(Data!#REF!,Data_Val!$D$2:$D$10,0)),0,1)))</f>
        <v>#REF!</v>
      </c>
      <c r="AN409" s="13"/>
      <c r="AO409" s="28" t="e">
        <f ca="1">IF(Data!#REF!="","",IF(ISNUMBER(Data!#REF!),IF(AND(Data!#REF!&gt;(TODAY()-(Data_Val!$I$3*365.25)),Data!#REF!&lt;=(TODAY()-(Data_Val!$I$2*365.25))),0,1),1))</f>
        <v>#REF!</v>
      </c>
      <c r="AP409" s="13" t="e">
        <f>IF(Data!#REF!="","",IF(Data!$G409="",1,IF(ISNUMBER(MATCH(Data!#REF!,Data_Val!$D$2:$D$10,0)),0,1)))</f>
        <v>#REF!</v>
      </c>
      <c r="AQ409" s="17"/>
      <c r="AR409" s="30" t="e">
        <f ca="1">IF(Data!#REF!="","",IF(ISNUMBER(Data!#REF!),IF(AND(Data!#REF!&gt;(TODAY()-(Data_Val!$I$3*365.25)),Data!#REF!&lt;=(TODAY()-(Data_Val!$I$2*365.25))),0,1),1))</f>
        <v>#REF!</v>
      </c>
      <c r="AS409" s="31" t="e">
        <f>IF(Data!#REF!="","",IF(Data!$G409="",1,IF(ISNUMBER(MATCH(Data!#REF!,Data_Val!$D$2:$D$10,0)),0,1)))</f>
        <v>#REF!</v>
      </c>
      <c r="AT409" s="11"/>
      <c r="AU409" s="11" t="e">
        <f ca="1">IF(Data!#REF!="","",IF(ISNUMBER(Data!#REF!),IF(AND(Data!#REF!&gt;(TODAY()-(Data_Val!$I$3*365.25)),Data!#REF!&lt;=(TODAY()-(Data_Val!$I$2*365.25))),0,1),1))</f>
        <v>#REF!</v>
      </c>
      <c r="AV409" s="11" t="e">
        <f>IF(Data!#REF!="","",IF(Data!$G409="",1,IF(ISNUMBER(MATCH(Data!#REF!,Data_Val!$D$2:$D$10,0)),0,1)))</f>
        <v>#REF!</v>
      </c>
      <c r="AW409" s="12"/>
      <c r="AX409" s="26" t="e">
        <f ca="1">IF(Data!#REF!="","",IF(ISNUMBER(Data!#REF!),IF(AND(Data!#REF!&gt;(TODAY()-(Data_Val!$I$3*365.25)),Data!#REF!&lt;=(TODAY()-(Data_Val!$I$2*365.25))),0,1),1))</f>
        <v>#REF!</v>
      </c>
      <c r="AY409" s="12" t="e">
        <f>IF(Data!#REF!="","",IF(Data!$G409="",1,IF(ISNUMBER(MATCH(Data!#REF!,Data_Val!$D$2:$D$10,0)),0,1)))</f>
        <v>#REF!</v>
      </c>
      <c r="AZ409" s="11"/>
      <c r="BA409" s="19" t="e">
        <f ca="1">IF(Data!#REF!="","",IF(ISNUMBER(Data!#REF!),IF(AND(Data!#REF!&gt;(TODAY()-(Data_Val!$M$3*365.25)),Data!#REF!&lt;=(TODAY()-(Data_Val!$M$2*365.25))),0,1),1))</f>
        <v>#REF!</v>
      </c>
      <c r="BB409" s="11" t="e">
        <f>IF(Data!#REF!="","",IF(Data!$G409="",1,IF(ISNUMBER(MATCH(Data!#REF!,Data_Val!$D$2:$D$10,0)),0,1)))</f>
        <v>#REF!</v>
      </c>
      <c r="BC409" s="12"/>
      <c r="BD409" s="20" t="e">
        <f ca="1">IF(Data!#REF!="","",IF(ISNUMBER(Data!#REF!),IF(AND(Data!#REF!&gt;(TODAY()-(Data_Val!$M$3*365.25)),Data!#REF!&lt;=(TODAY()-(Data_Val!$M$2*365.25))),0,1),1))</f>
        <v>#REF!</v>
      </c>
      <c r="BE409" s="12" t="e">
        <f>IF(Data!#REF!="","",IF(Data!$G409="",1,IF(ISNUMBER(MATCH(Data!#REF!,Data_Val!$D$2:$D$10,0)),0,1)))</f>
        <v>#REF!</v>
      </c>
      <c r="BF409" s="17"/>
      <c r="BG409" s="18" t="e">
        <f ca="1">IF(Data!#REF!="","",IF(ISNUMBER(Data!#REF!),IF(AND(Data!#REF!&gt;(TODAY()-(Data_Val!$M$3*365.25)),Data!#REF!&lt;=(TODAY()-(Data_Val!$M$2*365.25))),0,1),1))</f>
        <v>#REF!</v>
      </c>
      <c r="BH409" s="29" t="e">
        <f>IF(Data!#REF!="","",IF(Data!$G409="",1,IF(ISNUMBER(MATCH(Data!#REF!,Data_Val!$D$2:$D$10,0)),0,1)))</f>
        <v>#REF!</v>
      </c>
      <c r="BI409" s="13"/>
      <c r="BJ409" s="21" t="e">
        <f ca="1">IF(Data!#REF!="","",IF(ISNUMBER(Data!#REF!),IF(AND(Data!#REF!&gt;(TODAY()-(Data_Val!$M$3*365.25)),Data!#REF!&lt;=(TODAY()-(Data_Val!$M$2*365.25))),0,1),1))</f>
        <v>#REF!</v>
      </c>
      <c r="BK409" s="13" t="e">
        <f>IF(Data!#REF!="","",IF(Data!$G409="",1,IF(ISNUMBER(MATCH(Data!#REF!,Data_Val!$D$2:$D$10,0)),0,1)))</f>
        <v>#REF!</v>
      </c>
    </row>
    <row r="410" spans="1:63" x14ac:dyDescent="0.25">
      <c r="A410" s="9" t="str">
        <f>IF(Data!B410="","",IF(COUNTIFS(Data!A$1:'Data'!A410,Data!A410)&lt;=1,0,1))</f>
        <v/>
      </c>
      <c r="B410" s="9"/>
      <c r="C410" s="23" t="str">
        <f>IF(Data!C410="","",(IF(ISNUMBER(MATCH("*@*.?*",Data!C410,0)),0,1)+IF(COUNTIFS(Data!C$1:'Data'!C410,Data!C410)&gt;1,1,0)))</f>
        <v/>
      </c>
      <c r="D410" s="9" t="str">
        <f>IF(Data!B410="","",IF(ISNUMBER(Data!D410),IF(AND(Data!D410&gt;999999999,Data!D410&lt;=9999999999),IF(COUNTIFS(Data!D$1:'Data'!D410,Data!D410)&lt;=1,0,1),1),1))</f>
        <v/>
      </c>
      <c r="E410" s="9" t="str">
        <f>IF(Data!B410="","",IF(ISNUMBER(MATCH(Data!E410,Data_Val!$A$2:$A$3,0)),0,1))</f>
        <v/>
      </c>
      <c r="F410" s="9" t="str">
        <f ca="1">IF(Data!B410="","",IF(ISNUMBER(Data!F410),IF(AND(Data!F410&gt;(TODAY()-(Data_Val!$H$3*365.25)),Data!F410&lt;=(TODAY()-(Data_Val!$H$2*365.25))),0,1),1))</f>
        <v/>
      </c>
      <c r="G410" s="15" t="str">
        <f>IF(Data!B410="","",IF(AND(Data!G410="",Data!H410&lt;&gt;""),1,IF(Data!#REF!&lt;&gt;"",0,IF(ISNUMBER(MATCH(Data!G410,Data_Val!$C$2:$C$5,0)),0,1))))</f>
        <v/>
      </c>
      <c r="H410" s="15" t="str">
        <f>IF(Data!B410="","",IF(AND(Data!G410&lt;&gt;"",Data!H410=""),1,IF(Data!#REF!&lt;&gt;"",0,IF(Data!G410="",1,IF(ISNUMBER(MATCH(Data!H410,Data_Val!$D$2:$D$35,0)),0,1)))))</f>
        <v/>
      </c>
      <c r="I410" s="15" t="str">
        <f>IF(Data!B410="","",IF(Data!G410&lt;&gt;"",0,IF(ISNUMBER(MATCH(Data!#REF!,Data_Val!$E$2:$E$12,0)),0,1)))</f>
        <v/>
      </c>
      <c r="J410" s="16" t="e">
        <f>IF(OR(Data!B410="",Data!#REF!=""),"",IF(Data!#REF!="",1,0))</f>
        <v>#REF!</v>
      </c>
      <c r="K410" s="16" t="e">
        <f>IF(OR(Data!B410="",Data!#REF!=""),"",IF(Data!#REF!="",1,0))</f>
        <v>#REF!</v>
      </c>
      <c r="L410" s="16" t="e">
        <f>IF(OR(Data!B410="",Data!#REF!=""),"",IF(ISNUMBER(Data!#REF!),IF(AND(Data!#REF!&gt;Data_Val!$G$2,Data!#REF!&lt;=Data_Val!$G$3),0,1),1))</f>
        <v>#REF!</v>
      </c>
      <c r="M410" s="9" t="e">
        <f>IF(OR(Data!B410="",Data!#REF!=""),"",IF(ISNUMBER(MATCH(Data!#REF!,Data_Val!$F$1:$F$38,0)),0,1))</f>
        <v>#REF!</v>
      </c>
      <c r="N410" s="9" t="e">
        <f>IF(OR(Data!B410="",Data!#REF!=""),"",IF(Data!#REF!="",1,0))</f>
        <v>#REF!</v>
      </c>
      <c r="O410" s="17" t="e">
        <f>IF(Data!#REF!="","",IF(Data!#REF!="",1,0))</f>
        <v>#REF!</v>
      </c>
      <c r="P410" s="17" t="e">
        <f>IF(Data!#REF!="","",IF(ISNUMBER(MATCH(Data!#REF!,Data_Val!$A$2:$A$3,0)),0,1))</f>
        <v>#REF!</v>
      </c>
      <c r="Q410" s="25" t="e">
        <f ca="1">IF(Data!#REF!="","",IF(ISNUMBER(Data!#REF!),IF(AND(Data!#REF!&gt;(TODAY()-(Data_Val!$J$3*365.25)),Data!#REF!&lt;=(TODAY()-(Data_Val!$J$2*365.25))),0,1),1))</f>
        <v>#REF!</v>
      </c>
      <c r="R410" s="17" t="e">
        <f>IF(Data!#REF!="","",IF(ISNUMBER(MATCH(Data!#REF!,Data_Val!$B$2:$B$15,0)),0,1))</f>
        <v>#REF!</v>
      </c>
      <c r="S410" s="11" t="str">
        <f>IF(Data!G410="","",IF(Data!G410=Data_Val!$C$2,IF(Data!M410="",0,1),0))</f>
        <v/>
      </c>
      <c r="T410" s="11" t="str">
        <f>IF(Data!M410="","",IF(ISNUMBER(MATCH(Data!N410,Data_Val!$A$2:$A$3,0)),0,1))</f>
        <v/>
      </c>
      <c r="U410" s="11" t="str">
        <f ca="1">IF(Data!M410="","",IF(ISNUMBER(Data!O410),IF(AND(Data!O410&gt;(TODAY()-(Data_Val!$K$3*365.25)),Data!O410&lt;=(TODAY()-(Data_Val!$K$2*365.25))),0,1),1))</f>
        <v/>
      </c>
      <c r="V410" s="12" t="str">
        <f>IF(Data!G410="","",IF(Data!G410=Data_Val!$C$2,IF(Data!P410="",0,1),0))</f>
        <v/>
      </c>
      <c r="W410" s="12" t="str">
        <f>IF(Data!P410="","",IF(ISNUMBER(MATCH(Data!Q410,Data_Val!$A$2:$A$3,0)),0,1))</f>
        <v/>
      </c>
      <c r="X410" s="26" t="str">
        <f ca="1">IF(Data!P410="","",IF(ISNUMBER(Data!R410),IF(AND(Data!R410&gt;(TODAY()-(Data_Val!$L$3*365.25)),Data!R410&lt;=(TODAY()-(Data_Val!$L$2*365.25))),0,1),1))</f>
        <v/>
      </c>
      <c r="Y410" s="13" t="str">
        <f>IF(Data!$G410="","",IF(Data!$G410=Data_Val!$C$2,IF(Data!S410="",0,1),0))</f>
        <v/>
      </c>
      <c r="Z410" s="13" t="str">
        <f>IF(Data!S410="","",IF(ISNUMBER(MATCH(Data!T410,Data_Val!$A$2:$A$3,0)),0,1))</f>
        <v/>
      </c>
      <c r="AA410" s="28" t="str">
        <f ca="1">IF(Data!S410="","",IF(ISNUMBER(Data!U410),IF(AND(Data!U410&gt;(TODAY()-(Data_Val!$L$3*365.25)),Data!U410&lt;=(TODAY()-(Data_Val!$L$2*365.25))),0,1),1))</f>
        <v/>
      </c>
      <c r="AB410" s="11"/>
      <c r="AC410" s="11" t="e">
        <f>IF(Data!#REF!="","",IF(ISNUMBER(MATCH(Data!#REF!,Data_Val!$A$2:$A$3,0)),0,1))</f>
        <v>#REF!</v>
      </c>
      <c r="AD410" s="11" t="e">
        <f ca="1">IF(Data!#REF!="","",IF(ISNUMBER(Data!#REF!),IF(AND(Data!#REF!&gt;(TODAY()-(Data_Val!$L$3*365.25)),Data!#REF!&lt;=(TODAY()-(Data_Val!$L$2*365.25))),0,1),1))</f>
        <v>#REF!</v>
      </c>
      <c r="AE410" s="11" t="e">
        <f>IF(Data!#REF!="","",IF(Data!$G410="",1,IF(ISNUMBER(MATCH(Data!#REF!,Data_Val!$D$2:$D$10,0)),0,1)))</f>
        <v>#REF!</v>
      </c>
      <c r="AF410" s="12"/>
      <c r="AG410" s="12" t="e">
        <f>IF(Data!#REF!="","",IF(ISNUMBER(MATCH(Data!#REF!,Data_Val!$A$2:$A$3,0)),0,1))</f>
        <v>#REF!</v>
      </c>
      <c r="AH410" s="26" t="e">
        <f ca="1">IF(Data!#REF!="","",IF(ISNUMBER(Data!#REF!),IF(AND(Data!#REF!&gt;(TODAY()-(Data_Val!$L$3*365.25)),Data!#REF!&lt;=(TODAY()-(Data_Val!$L$2*365.25))),0,1),1))</f>
        <v>#REF!</v>
      </c>
      <c r="AI410" s="12" t="e">
        <f>IF(Data!#REF!="","",IF(Data!$G410="",1,IF(ISNUMBER(MATCH(Data!#REF!,Data_Val!$D$2:$D$10,0)),0,1)))</f>
        <v>#REF!</v>
      </c>
      <c r="AJ410" s="17"/>
      <c r="AK410" s="17" t="e">
        <f>IF(Data!#REF!="","",IF(ISNUMBER(MATCH(Data!#REF!,Data_Val!$A$2:$A$3,0)),0,1))</f>
        <v>#REF!</v>
      </c>
      <c r="AL410" s="25" t="e">
        <f ca="1">IF(Data!#REF!="","",IF(ISNUMBER(Data!#REF!),IF(AND(Data!#REF!&gt;(TODAY()-(Data_Val!$L$3*365.25)),Data!#REF!&lt;=(TODAY()-(Data_Val!$L$2*365.25))),0,1),1))</f>
        <v>#REF!</v>
      </c>
      <c r="AM410" s="17" t="e">
        <f>IF(Data!#REF!="","",IF(Data!$G410="",1,IF(ISNUMBER(MATCH(Data!#REF!,Data_Val!$D$2:$D$10,0)),0,1)))</f>
        <v>#REF!</v>
      </c>
      <c r="AN410" s="13"/>
      <c r="AO410" s="28" t="e">
        <f ca="1">IF(Data!#REF!="","",IF(ISNUMBER(Data!#REF!),IF(AND(Data!#REF!&gt;(TODAY()-(Data_Val!$I$3*365.25)),Data!#REF!&lt;=(TODAY()-(Data_Val!$I$2*365.25))),0,1),1))</f>
        <v>#REF!</v>
      </c>
      <c r="AP410" s="13" t="e">
        <f>IF(Data!#REF!="","",IF(Data!$G410="",1,IF(ISNUMBER(MATCH(Data!#REF!,Data_Val!$D$2:$D$10,0)),0,1)))</f>
        <v>#REF!</v>
      </c>
      <c r="AQ410" s="17"/>
      <c r="AR410" s="30" t="e">
        <f ca="1">IF(Data!#REF!="","",IF(ISNUMBER(Data!#REF!),IF(AND(Data!#REF!&gt;(TODAY()-(Data_Val!$I$3*365.25)),Data!#REF!&lt;=(TODAY()-(Data_Val!$I$2*365.25))),0,1),1))</f>
        <v>#REF!</v>
      </c>
      <c r="AS410" s="31" t="e">
        <f>IF(Data!#REF!="","",IF(Data!$G410="",1,IF(ISNUMBER(MATCH(Data!#REF!,Data_Val!$D$2:$D$10,0)),0,1)))</f>
        <v>#REF!</v>
      </c>
      <c r="AT410" s="11"/>
      <c r="AU410" s="11" t="e">
        <f ca="1">IF(Data!#REF!="","",IF(ISNUMBER(Data!#REF!),IF(AND(Data!#REF!&gt;(TODAY()-(Data_Val!$I$3*365.25)),Data!#REF!&lt;=(TODAY()-(Data_Val!$I$2*365.25))),0,1),1))</f>
        <v>#REF!</v>
      </c>
      <c r="AV410" s="11" t="e">
        <f>IF(Data!#REF!="","",IF(Data!$G410="",1,IF(ISNUMBER(MATCH(Data!#REF!,Data_Val!$D$2:$D$10,0)),0,1)))</f>
        <v>#REF!</v>
      </c>
      <c r="AW410" s="12"/>
      <c r="AX410" s="26" t="e">
        <f ca="1">IF(Data!#REF!="","",IF(ISNUMBER(Data!#REF!),IF(AND(Data!#REF!&gt;(TODAY()-(Data_Val!$I$3*365.25)),Data!#REF!&lt;=(TODAY()-(Data_Val!$I$2*365.25))),0,1),1))</f>
        <v>#REF!</v>
      </c>
      <c r="AY410" s="12" t="e">
        <f>IF(Data!#REF!="","",IF(Data!$G410="",1,IF(ISNUMBER(MATCH(Data!#REF!,Data_Val!$D$2:$D$10,0)),0,1)))</f>
        <v>#REF!</v>
      </c>
      <c r="AZ410" s="11"/>
      <c r="BA410" s="19" t="e">
        <f ca="1">IF(Data!#REF!="","",IF(ISNUMBER(Data!#REF!),IF(AND(Data!#REF!&gt;(TODAY()-(Data_Val!$M$3*365.25)),Data!#REF!&lt;=(TODAY()-(Data_Val!$M$2*365.25))),0,1),1))</f>
        <v>#REF!</v>
      </c>
      <c r="BB410" s="11" t="e">
        <f>IF(Data!#REF!="","",IF(Data!$G410="",1,IF(ISNUMBER(MATCH(Data!#REF!,Data_Val!$D$2:$D$10,0)),0,1)))</f>
        <v>#REF!</v>
      </c>
      <c r="BC410" s="12"/>
      <c r="BD410" s="20" t="e">
        <f ca="1">IF(Data!#REF!="","",IF(ISNUMBER(Data!#REF!),IF(AND(Data!#REF!&gt;(TODAY()-(Data_Val!$M$3*365.25)),Data!#REF!&lt;=(TODAY()-(Data_Val!$M$2*365.25))),0,1),1))</f>
        <v>#REF!</v>
      </c>
      <c r="BE410" s="12" t="e">
        <f>IF(Data!#REF!="","",IF(Data!$G410="",1,IF(ISNUMBER(MATCH(Data!#REF!,Data_Val!$D$2:$D$10,0)),0,1)))</f>
        <v>#REF!</v>
      </c>
      <c r="BF410" s="17"/>
      <c r="BG410" s="18" t="e">
        <f ca="1">IF(Data!#REF!="","",IF(ISNUMBER(Data!#REF!),IF(AND(Data!#REF!&gt;(TODAY()-(Data_Val!$M$3*365.25)),Data!#REF!&lt;=(TODAY()-(Data_Val!$M$2*365.25))),0,1),1))</f>
        <v>#REF!</v>
      </c>
      <c r="BH410" s="29" t="e">
        <f>IF(Data!#REF!="","",IF(Data!$G410="",1,IF(ISNUMBER(MATCH(Data!#REF!,Data_Val!$D$2:$D$10,0)),0,1)))</f>
        <v>#REF!</v>
      </c>
      <c r="BI410" s="13"/>
      <c r="BJ410" s="21" t="e">
        <f ca="1">IF(Data!#REF!="","",IF(ISNUMBER(Data!#REF!),IF(AND(Data!#REF!&gt;(TODAY()-(Data_Val!$M$3*365.25)),Data!#REF!&lt;=(TODAY()-(Data_Val!$M$2*365.25))),0,1),1))</f>
        <v>#REF!</v>
      </c>
      <c r="BK410" s="13" t="e">
        <f>IF(Data!#REF!="","",IF(Data!$G410="",1,IF(ISNUMBER(MATCH(Data!#REF!,Data_Val!$D$2:$D$10,0)),0,1)))</f>
        <v>#REF!</v>
      </c>
    </row>
    <row r="411" spans="1:63" x14ac:dyDescent="0.25">
      <c r="A411" s="9" t="str">
        <f>IF(Data!B411="","",IF(COUNTIFS(Data!A$1:'Data'!A411,Data!A411)&lt;=1,0,1))</f>
        <v/>
      </c>
      <c r="B411" s="9"/>
      <c r="C411" s="23" t="str">
        <f>IF(Data!C411="","",(IF(ISNUMBER(MATCH("*@*.?*",Data!C411,0)),0,1)+IF(COUNTIFS(Data!C$1:'Data'!C411,Data!C411)&gt;1,1,0)))</f>
        <v/>
      </c>
      <c r="D411" s="9" t="str">
        <f>IF(Data!B411="","",IF(ISNUMBER(Data!D411),IF(AND(Data!D411&gt;999999999,Data!D411&lt;=9999999999),IF(COUNTIFS(Data!D$1:'Data'!D411,Data!D411)&lt;=1,0,1),1),1))</f>
        <v/>
      </c>
      <c r="E411" s="9" t="str">
        <f>IF(Data!B411="","",IF(ISNUMBER(MATCH(Data!E411,Data_Val!$A$2:$A$3,0)),0,1))</f>
        <v/>
      </c>
      <c r="F411" s="9" t="str">
        <f ca="1">IF(Data!B411="","",IF(ISNUMBER(Data!F411),IF(AND(Data!F411&gt;(TODAY()-(Data_Val!$H$3*365.25)),Data!F411&lt;=(TODAY()-(Data_Val!$H$2*365.25))),0,1),1))</f>
        <v/>
      </c>
      <c r="G411" s="15" t="str">
        <f>IF(Data!B411="","",IF(AND(Data!G411="",Data!H411&lt;&gt;""),1,IF(Data!#REF!&lt;&gt;"",0,IF(ISNUMBER(MATCH(Data!G411,Data_Val!$C$2:$C$5,0)),0,1))))</f>
        <v/>
      </c>
      <c r="H411" s="15" t="str">
        <f>IF(Data!B411="","",IF(AND(Data!G411&lt;&gt;"",Data!H411=""),1,IF(Data!#REF!&lt;&gt;"",0,IF(Data!G411="",1,IF(ISNUMBER(MATCH(Data!H411,Data_Val!$D$2:$D$35,0)),0,1)))))</f>
        <v/>
      </c>
      <c r="I411" s="15" t="str">
        <f>IF(Data!B411="","",IF(Data!G411&lt;&gt;"",0,IF(ISNUMBER(MATCH(Data!#REF!,Data_Val!$E$2:$E$12,0)),0,1)))</f>
        <v/>
      </c>
      <c r="J411" s="16" t="e">
        <f>IF(OR(Data!B411="",Data!#REF!=""),"",IF(Data!#REF!="",1,0))</f>
        <v>#REF!</v>
      </c>
      <c r="K411" s="16" t="e">
        <f>IF(OR(Data!B411="",Data!#REF!=""),"",IF(Data!#REF!="",1,0))</f>
        <v>#REF!</v>
      </c>
      <c r="L411" s="16" t="e">
        <f>IF(OR(Data!B411="",Data!#REF!=""),"",IF(ISNUMBER(Data!#REF!),IF(AND(Data!#REF!&gt;Data_Val!$G$2,Data!#REF!&lt;=Data_Val!$G$3),0,1),1))</f>
        <v>#REF!</v>
      </c>
      <c r="M411" s="9" t="e">
        <f>IF(OR(Data!B411="",Data!#REF!=""),"",IF(ISNUMBER(MATCH(Data!#REF!,Data_Val!$F$1:$F$38,0)),0,1))</f>
        <v>#REF!</v>
      </c>
      <c r="N411" s="9" t="e">
        <f>IF(OR(Data!B411="",Data!#REF!=""),"",IF(Data!#REF!="",1,0))</f>
        <v>#REF!</v>
      </c>
      <c r="O411" s="17" t="e">
        <f>IF(Data!#REF!="","",IF(Data!#REF!="",1,0))</f>
        <v>#REF!</v>
      </c>
      <c r="P411" s="17" t="e">
        <f>IF(Data!#REF!="","",IF(ISNUMBER(MATCH(Data!#REF!,Data_Val!$A$2:$A$3,0)),0,1))</f>
        <v>#REF!</v>
      </c>
      <c r="Q411" s="25" t="e">
        <f ca="1">IF(Data!#REF!="","",IF(ISNUMBER(Data!#REF!),IF(AND(Data!#REF!&gt;(TODAY()-(Data_Val!$J$3*365.25)),Data!#REF!&lt;=(TODAY()-(Data_Val!$J$2*365.25))),0,1),1))</f>
        <v>#REF!</v>
      </c>
      <c r="R411" s="17" t="e">
        <f>IF(Data!#REF!="","",IF(ISNUMBER(MATCH(Data!#REF!,Data_Val!$B$2:$B$15,0)),0,1))</f>
        <v>#REF!</v>
      </c>
      <c r="S411" s="11" t="str">
        <f>IF(Data!G411="","",IF(Data!G411=Data_Val!$C$2,IF(Data!M411="",0,1),0))</f>
        <v/>
      </c>
      <c r="T411" s="11" t="str">
        <f>IF(Data!M411="","",IF(ISNUMBER(MATCH(Data!N411,Data_Val!$A$2:$A$3,0)),0,1))</f>
        <v/>
      </c>
      <c r="U411" s="11" t="str">
        <f ca="1">IF(Data!M411="","",IF(ISNUMBER(Data!O411),IF(AND(Data!O411&gt;(TODAY()-(Data_Val!$K$3*365.25)),Data!O411&lt;=(TODAY()-(Data_Val!$K$2*365.25))),0,1),1))</f>
        <v/>
      </c>
      <c r="V411" s="12" t="str">
        <f>IF(Data!G411="","",IF(Data!G411=Data_Val!$C$2,IF(Data!P411="",0,1),0))</f>
        <v/>
      </c>
      <c r="W411" s="12" t="str">
        <f>IF(Data!P411="","",IF(ISNUMBER(MATCH(Data!Q411,Data_Val!$A$2:$A$3,0)),0,1))</f>
        <v/>
      </c>
      <c r="X411" s="26" t="str">
        <f ca="1">IF(Data!P411="","",IF(ISNUMBER(Data!R411),IF(AND(Data!R411&gt;(TODAY()-(Data_Val!$L$3*365.25)),Data!R411&lt;=(TODAY()-(Data_Val!$L$2*365.25))),0,1),1))</f>
        <v/>
      </c>
      <c r="Y411" s="13" t="str">
        <f>IF(Data!$G411="","",IF(Data!$G411=Data_Val!$C$2,IF(Data!S411="",0,1),0))</f>
        <v/>
      </c>
      <c r="Z411" s="13" t="str">
        <f>IF(Data!S411="","",IF(ISNUMBER(MATCH(Data!T411,Data_Val!$A$2:$A$3,0)),0,1))</f>
        <v/>
      </c>
      <c r="AA411" s="28" t="str">
        <f ca="1">IF(Data!S411="","",IF(ISNUMBER(Data!U411),IF(AND(Data!U411&gt;(TODAY()-(Data_Val!$L$3*365.25)),Data!U411&lt;=(TODAY()-(Data_Val!$L$2*365.25))),0,1),1))</f>
        <v/>
      </c>
      <c r="AB411" s="11"/>
      <c r="AC411" s="11" t="e">
        <f>IF(Data!#REF!="","",IF(ISNUMBER(MATCH(Data!#REF!,Data_Val!$A$2:$A$3,0)),0,1))</f>
        <v>#REF!</v>
      </c>
      <c r="AD411" s="11" t="e">
        <f ca="1">IF(Data!#REF!="","",IF(ISNUMBER(Data!#REF!),IF(AND(Data!#REF!&gt;(TODAY()-(Data_Val!$L$3*365.25)),Data!#REF!&lt;=(TODAY()-(Data_Val!$L$2*365.25))),0,1),1))</f>
        <v>#REF!</v>
      </c>
      <c r="AE411" s="11" t="e">
        <f>IF(Data!#REF!="","",IF(Data!$G411="",1,IF(ISNUMBER(MATCH(Data!#REF!,Data_Val!$D$2:$D$10,0)),0,1)))</f>
        <v>#REF!</v>
      </c>
      <c r="AF411" s="12"/>
      <c r="AG411" s="12" t="e">
        <f>IF(Data!#REF!="","",IF(ISNUMBER(MATCH(Data!#REF!,Data_Val!$A$2:$A$3,0)),0,1))</f>
        <v>#REF!</v>
      </c>
      <c r="AH411" s="26" t="e">
        <f ca="1">IF(Data!#REF!="","",IF(ISNUMBER(Data!#REF!),IF(AND(Data!#REF!&gt;(TODAY()-(Data_Val!$L$3*365.25)),Data!#REF!&lt;=(TODAY()-(Data_Val!$L$2*365.25))),0,1),1))</f>
        <v>#REF!</v>
      </c>
      <c r="AI411" s="12" t="e">
        <f>IF(Data!#REF!="","",IF(Data!$G411="",1,IF(ISNUMBER(MATCH(Data!#REF!,Data_Val!$D$2:$D$10,0)),0,1)))</f>
        <v>#REF!</v>
      </c>
      <c r="AJ411" s="17"/>
      <c r="AK411" s="17" t="e">
        <f>IF(Data!#REF!="","",IF(ISNUMBER(MATCH(Data!#REF!,Data_Val!$A$2:$A$3,0)),0,1))</f>
        <v>#REF!</v>
      </c>
      <c r="AL411" s="25" t="e">
        <f ca="1">IF(Data!#REF!="","",IF(ISNUMBER(Data!#REF!),IF(AND(Data!#REF!&gt;(TODAY()-(Data_Val!$L$3*365.25)),Data!#REF!&lt;=(TODAY()-(Data_Val!$L$2*365.25))),0,1),1))</f>
        <v>#REF!</v>
      </c>
      <c r="AM411" s="17" t="e">
        <f>IF(Data!#REF!="","",IF(Data!$G411="",1,IF(ISNUMBER(MATCH(Data!#REF!,Data_Val!$D$2:$D$10,0)),0,1)))</f>
        <v>#REF!</v>
      </c>
      <c r="AN411" s="13"/>
      <c r="AO411" s="28" t="e">
        <f ca="1">IF(Data!#REF!="","",IF(ISNUMBER(Data!#REF!),IF(AND(Data!#REF!&gt;(TODAY()-(Data_Val!$I$3*365.25)),Data!#REF!&lt;=(TODAY()-(Data_Val!$I$2*365.25))),0,1),1))</f>
        <v>#REF!</v>
      </c>
      <c r="AP411" s="13" t="e">
        <f>IF(Data!#REF!="","",IF(Data!$G411="",1,IF(ISNUMBER(MATCH(Data!#REF!,Data_Val!$D$2:$D$10,0)),0,1)))</f>
        <v>#REF!</v>
      </c>
      <c r="AQ411" s="17"/>
      <c r="AR411" s="30" t="e">
        <f ca="1">IF(Data!#REF!="","",IF(ISNUMBER(Data!#REF!),IF(AND(Data!#REF!&gt;(TODAY()-(Data_Val!$I$3*365.25)),Data!#REF!&lt;=(TODAY()-(Data_Val!$I$2*365.25))),0,1),1))</f>
        <v>#REF!</v>
      </c>
      <c r="AS411" s="31" t="e">
        <f>IF(Data!#REF!="","",IF(Data!$G411="",1,IF(ISNUMBER(MATCH(Data!#REF!,Data_Val!$D$2:$D$10,0)),0,1)))</f>
        <v>#REF!</v>
      </c>
      <c r="AT411" s="11"/>
      <c r="AU411" s="11" t="e">
        <f ca="1">IF(Data!#REF!="","",IF(ISNUMBER(Data!#REF!),IF(AND(Data!#REF!&gt;(TODAY()-(Data_Val!$I$3*365.25)),Data!#REF!&lt;=(TODAY()-(Data_Val!$I$2*365.25))),0,1),1))</f>
        <v>#REF!</v>
      </c>
      <c r="AV411" s="11" t="e">
        <f>IF(Data!#REF!="","",IF(Data!$G411="",1,IF(ISNUMBER(MATCH(Data!#REF!,Data_Val!$D$2:$D$10,0)),0,1)))</f>
        <v>#REF!</v>
      </c>
      <c r="AW411" s="12"/>
      <c r="AX411" s="26" t="e">
        <f ca="1">IF(Data!#REF!="","",IF(ISNUMBER(Data!#REF!),IF(AND(Data!#REF!&gt;(TODAY()-(Data_Val!$I$3*365.25)),Data!#REF!&lt;=(TODAY()-(Data_Val!$I$2*365.25))),0,1),1))</f>
        <v>#REF!</v>
      </c>
      <c r="AY411" s="12" t="e">
        <f>IF(Data!#REF!="","",IF(Data!$G411="",1,IF(ISNUMBER(MATCH(Data!#REF!,Data_Val!$D$2:$D$10,0)),0,1)))</f>
        <v>#REF!</v>
      </c>
      <c r="AZ411" s="11"/>
      <c r="BA411" s="19" t="e">
        <f ca="1">IF(Data!#REF!="","",IF(ISNUMBER(Data!#REF!),IF(AND(Data!#REF!&gt;(TODAY()-(Data_Val!$M$3*365.25)),Data!#REF!&lt;=(TODAY()-(Data_Val!$M$2*365.25))),0,1),1))</f>
        <v>#REF!</v>
      </c>
      <c r="BB411" s="11" t="e">
        <f>IF(Data!#REF!="","",IF(Data!$G411="",1,IF(ISNUMBER(MATCH(Data!#REF!,Data_Val!$D$2:$D$10,0)),0,1)))</f>
        <v>#REF!</v>
      </c>
      <c r="BC411" s="12"/>
      <c r="BD411" s="20" t="e">
        <f ca="1">IF(Data!#REF!="","",IF(ISNUMBER(Data!#REF!),IF(AND(Data!#REF!&gt;(TODAY()-(Data_Val!$M$3*365.25)),Data!#REF!&lt;=(TODAY()-(Data_Val!$M$2*365.25))),0,1),1))</f>
        <v>#REF!</v>
      </c>
      <c r="BE411" s="12" t="e">
        <f>IF(Data!#REF!="","",IF(Data!$G411="",1,IF(ISNUMBER(MATCH(Data!#REF!,Data_Val!$D$2:$D$10,0)),0,1)))</f>
        <v>#REF!</v>
      </c>
      <c r="BF411" s="17"/>
      <c r="BG411" s="18" t="e">
        <f ca="1">IF(Data!#REF!="","",IF(ISNUMBER(Data!#REF!),IF(AND(Data!#REF!&gt;(TODAY()-(Data_Val!$M$3*365.25)),Data!#REF!&lt;=(TODAY()-(Data_Val!$M$2*365.25))),0,1),1))</f>
        <v>#REF!</v>
      </c>
      <c r="BH411" s="29" t="e">
        <f>IF(Data!#REF!="","",IF(Data!$G411="",1,IF(ISNUMBER(MATCH(Data!#REF!,Data_Val!$D$2:$D$10,0)),0,1)))</f>
        <v>#REF!</v>
      </c>
      <c r="BI411" s="13"/>
      <c r="BJ411" s="21" t="e">
        <f ca="1">IF(Data!#REF!="","",IF(ISNUMBER(Data!#REF!),IF(AND(Data!#REF!&gt;(TODAY()-(Data_Val!$M$3*365.25)),Data!#REF!&lt;=(TODAY()-(Data_Val!$M$2*365.25))),0,1),1))</f>
        <v>#REF!</v>
      </c>
      <c r="BK411" s="13" t="e">
        <f>IF(Data!#REF!="","",IF(Data!$G411="",1,IF(ISNUMBER(MATCH(Data!#REF!,Data_Val!$D$2:$D$10,0)),0,1)))</f>
        <v>#REF!</v>
      </c>
    </row>
    <row r="412" spans="1:63" x14ac:dyDescent="0.25">
      <c r="A412" s="9" t="str">
        <f>IF(Data!B412="","",IF(COUNTIFS(Data!A$1:'Data'!A412,Data!A412)&lt;=1,0,1))</f>
        <v/>
      </c>
      <c r="B412" s="9"/>
      <c r="C412" s="23" t="str">
        <f>IF(Data!C412="","",(IF(ISNUMBER(MATCH("*@*.?*",Data!C412,0)),0,1)+IF(COUNTIFS(Data!C$1:'Data'!C412,Data!C412)&gt;1,1,0)))</f>
        <v/>
      </c>
      <c r="D412" s="9" t="str">
        <f>IF(Data!B412="","",IF(ISNUMBER(Data!D412),IF(AND(Data!D412&gt;999999999,Data!D412&lt;=9999999999),IF(COUNTIFS(Data!D$1:'Data'!D412,Data!D412)&lt;=1,0,1),1),1))</f>
        <v/>
      </c>
      <c r="E412" s="9" t="str">
        <f>IF(Data!B412="","",IF(ISNUMBER(MATCH(Data!E412,Data_Val!$A$2:$A$3,0)),0,1))</f>
        <v/>
      </c>
      <c r="F412" s="9" t="str">
        <f ca="1">IF(Data!B412="","",IF(ISNUMBER(Data!F412),IF(AND(Data!F412&gt;(TODAY()-(Data_Val!$H$3*365.25)),Data!F412&lt;=(TODAY()-(Data_Val!$H$2*365.25))),0,1),1))</f>
        <v/>
      </c>
      <c r="G412" s="15" t="str">
        <f>IF(Data!B412="","",IF(AND(Data!G412="",Data!H412&lt;&gt;""),1,IF(Data!#REF!&lt;&gt;"",0,IF(ISNUMBER(MATCH(Data!G412,Data_Val!$C$2:$C$5,0)),0,1))))</f>
        <v/>
      </c>
      <c r="H412" s="15" t="str">
        <f>IF(Data!B412="","",IF(AND(Data!G412&lt;&gt;"",Data!H412=""),1,IF(Data!#REF!&lt;&gt;"",0,IF(Data!G412="",1,IF(ISNUMBER(MATCH(Data!H412,Data_Val!$D$2:$D$35,0)),0,1)))))</f>
        <v/>
      </c>
      <c r="I412" s="15" t="str">
        <f>IF(Data!B412="","",IF(Data!G412&lt;&gt;"",0,IF(ISNUMBER(MATCH(Data!#REF!,Data_Val!$E$2:$E$12,0)),0,1)))</f>
        <v/>
      </c>
      <c r="J412" s="16" t="e">
        <f>IF(OR(Data!B412="",Data!#REF!=""),"",IF(Data!#REF!="",1,0))</f>
        <v>#REF!</v>
      </c>
      <c r="K412" s="16" t="e">
        <f>IF(OR(Data!B412="",Data!#REF!=""),"",IF(Data!#REF!="",1,0))</f>
        <v>#REF!</v>
      </c>
      <c r="L412" s="16" t="e">
        <f>IF(OR(Data!B412="",Data!#REF!=""),"",IF(ISNUMBER(Data!#REF!),IF(AND(Data!#REF!&gt;Data_Val!$G$2,Data!#REF!&lt;=Data_Val!$G$3),0,1),1))</f>
        <v>#REF!</v>
      </c>
      <c r="M412" s="9" t="e">
        <f>IF(OR(Data!B412="",Data!#REF!=""),"",IF(ISNUMBER(MATCH(Data!#REF!,Data_Val!$F$1:$F$38,0)),0,1))</f>
        <v>#REF!</v>
      </c>
      <c r="N412" s="9" t="e">
        <f>IF(OR(Data!B412="",Data!#REF!=""),"",IF(Data!#REF!="",1,0))</f>
        <v>#REF!</v>
      </c>
      <c r="O412" s="17" t="e">
        <f>IF(Data!#REF!="","",IF(Data!#REF!="",1,0))</f>
        <v>#REF!</v>
      </c>
      <c r="P412" s="17" t="e">
        <f>IF(Data!#REF!="","",IF(ISNUMBER(MATCH(Data!#REF!,Data_Val!$A$2:$A$3,0)),0,1))</f>
        <v>#REF!</v>
      </c>
      <c r="Q412" s="25" t="e">
        <f ca="1">IF(Data!#REF!="","",IF(ISNUMBER(Data!#REF!),IF(AND(Data!#REF!&gt;(TODAY()-(Data_Val!$J$3*365.25)),Data!#REF!&lt;=(TODAY()-(Data_Val!$J$2*365.25))),0,1),1))</f>
        <v>#REF!</v>
      </c>
      <c r="R412" s="17" t="e">
        <f>IF(Data!#REF!="","",IF(ISNUMBER(MATCH(Data!#REF!,Data_Val!$B$2:$B$15,0)),0,1))</f>
        <v>#REF!</v>
      </c>
      <c r="S412" s="11" t="str">
        <f>IF(Data!G412="","",IF(Data!G412=Data_Val!$C$2,IF(Data!M412="",0,1),0))</f>
        <v/>
      </c>
      <c r="T412" s="11" t="str">
        <f>IF(Data!M412="","",IF(ISNUMBER(MATCH(Data!N412,Data_Val!$A$2:$A$3,0)),0,1))</f>
        <v/>
      </c>
      <c r="U412" s="11" t="str">
        <f ca="1">IF(Data!M412="","",IF(ISNUMBER(Data!O412),IF(AND(Data!O412&gt;(TODAY()-(Data_Val!$K$3*365.25)),Data!O412&lt;=(TODAY()-(Data_Val!$K$2*365.25))),0,1),1))</f>
        <v/>
      </c>
      <c r="V412" s="12" t="str">
        <f>IF(Data!G412="","",IF(Data!G412=Data_Val!$C$2,IF(Data!P412="",0,1),0))</f>
        <v/>
      </c>
      <c r="W412" s="12" t="str">
        <f>IF(Data!P412="","",IF(ISNUMBER(MATCH(Data!Q412,Data_Val!$A$2:$A$3,0)),0,1))</f>
        <v/>
      </c>
      <c r="X412" s="26" t="str">
        <f ca="1">IF(Data!P412="","",IF(ISNUMBER(Data!R412),IF(AND(Data!R412&gt;(TODAY()-(Data_Val!$L$3*365.25)),Data!R412&lt;=(TODAY()-(Data_Val!$L$2*365.25))),0,1),1))</f>
        <v/>
      </c>
      <c r="Y412" s="13" t="str">
        <f>IF(Data!$G412="","",IF(Data!$G412=Data_Val!$C$2,IF(Data!S412="",0,1),0))</f>
        <v/>
      </c>
      <c r="Z412" s="13" t="str">
        <f>IF(Data!S412="","",IF(ISNUMBER(MATCH(Data!T412,Data_Val!$A$2:$A$3,0)),0,1))</f>
        <v/>
      </c>
      <c r="AA412" s="28" t="str">
        <f ca="1">IF(Data!S412="","",IF(ISNUMBER(Data!U412),IF(AND(Data!U412&gt;(TODAY()-(Data_Val!$L$3*365.25)),Data!U412&lt;=(TODAY()-(Data_Val!$L$2*365.25))),0,1),1))</f>
        <v/>
      </c>
      <c r="AB412" s="11"/>
      <c r="AC412" s="11" t="e">
        <f>IF(Data!#REF!="","",IF(ISNUMBER(MATCH(Data!#REF!,Data_Val!$A$2:$A$3,0)),0,1))</f>
        <v>#REF!</v>
      </c>
      <c r="AD412" s="11" t="e">
        <f ca="1">IF(Data!#REF!="","",IF(ISNUMBER(Data!#REF!),IF(AND(Data!#REF!&gt;(TODAY()-(Data_Val!$L$3*365.25)),Data!#REF!&lt;=(TODAY()-(Data_Val!$L$2*365.25))),0,1),1))</f>
        <v>#REF!</v>
      </c>
      <c r="AE412" s="11" t="e">
        <f>IF(Data!#REF!="","",IF(Data!$G412="",1,IF(ISNUMBER(MATCH(Data!#REF!,Data_Val!$D$2:$D$10,0)),0,1)))</f>
        <v>#REF!</v>
      </c>
      <c r="AF412" s="12"/>
      <c r="AG412" s="12" t="e">
        <f>IF(Data!#REF!="","",IF(ISNUMBER(MATCH(Data!#REF!,Data_Val!$A$2:$A$3,0)),0,1))</f>
        <v>#REF!</v>
      </c>
      <c r="AH412" s="26" t="e">
        <f ca="1">IF(Data!#REF!="","",IF(ISNUMBER(Data!#REF!),IF(AND(Data!#REF!&gt;(TODAY()-(Data_Val!$L$3*365.25)),Data!#REF!&lt;=(TODAY()-(Data_Val!$L$2*365.25))),0,1),1))</f>
        <v>#REF!</v>
      </c>
      <c r="AI412" s="12" t="e">
        <f>IF(Data!#REF!="","",IF(Data!$G412="",1,IF(ISNUMBER(MATCH(Data!#REF!,Data_Val!$D$2:$D$10,0)),0,1)))</f>
        <v>#REF!</v>
      </c>
      <c r="AJ412" s="17"/>
      <c r="AK412" s="17" t="e">
        <f>IF(Data!#REF!="","",IF(ISNUMBER(MATCH(Data!#REF!,Data_Val!$A$2:$A$3,0)),0,1))</f>
        <v>#REF!</v>
      </c>
      <c r="AL412" s="25" t="e">
        <f ca="1">IF(Data!#REF!="","",IF(ISNUMBER(Data!#REF!),IF(AND(Data!#REF!&gt;(TODAY()-(Data_Val!$L$3*365.25)),Data!#REF!&lt;=(TODAY()-(Data_Val!$L$2*365.25))),0,1),1))</f>
        <v>#REF!</v>
      </c>
      <c r="AM412" s="17" t="e">
        <f>IF(Data!#REF!="","",IF(Data!$G412="",1,IF(ISNUMBER(MATCH(Data!#REF!,Data_Val!$D$2:$D$10,0)),0,1)))</f>
        <v>#REF!</v>
      </c>
      <c r="AN412" s="13"/>
      <c r="AO412" s="28" t="e">
        <f ca="1">IF(Data!#REF!="","",IF(ISNUMBER(Data!#REF!),IF(AND(Data!#REF!&gt;(TODAY()-(Data_Val!$I$3*365.25)),Data!#REF!&lt;=(TODAY()-(Data_Val!$I$2*365.25))),0,1),1))</f>
        <v>#REF!</v>
      </c>
      <c r="AP412" s="13" t="e">
        <f>IF(Data!#REF!="","",IF(Data!$G412="",1,IF(ISNUMBER(MATCH(Data!#REF!,Data_Val!$D$2:$D$10,0)),0,1)))</f>
        <v>#REF!</v>
      </c>
      <c r="AQ412" s="17"/>
      <c r="AR412" s="30" t="e">
        <f ca="1">IF(Data!#REF!="","",IF(ISNUMBER(Data!#REF!),IF(AND(Data!#REF!&gt;(TODAY()-(Data_Val!$I$3*365.25)),Data!#REF!&lt;=(TODAY()-(Data_Val!$I$2*365.25))),0,1),1))</f>
        <v>#REF!</v>
      </c>
      <c r="AS412" s="31" t="e">
        <f>IF(Data!#REF!="","",IF(Data!$G412="",1,IF(ISNUMBER(MATCH(Data!#REF!,Data_Val!$D$2:$D$10,0)),0,1)))</f>
        <v>#REF!</v>
      </c>
      <c r="AT412" s="11"/>
      <c r="AU412" s="11" t="e">
        <f ca="1">IF(Data!#REF!="","",IF(ISNUMBER(Data!#REF!),IF(AND(Data!#REF!&gt;(TODAY()-(Data_Val!$I$3*365.25)),Data!#REF!&lt;=(TODAY()-(Data_Val!$I$2*365.25))),0,1),1))</f>
        <v>#REF!</v>
      </c>
      <c r="AV412" s="11" t="e">
        <f>IF(Data!#REF!="","",IF(Data!$G412="",1,IF(ISNUMBER(MATCH(Data!#REF!,Data_Val!$D$2:$D$10,0)),0,1)))</f>
        <v>#REF!</v>
      </c>
      <c r="AW412" s="12"/>
      <c r="AX412" s="26" t="e">
        <f ca="1">IF(Data!#REF!="","",IF(ISNUMBER(Data!#REF!),IF(AND(Data!#REF!&gt;(TODAY()-(Data_Val!$I$3*365.25)),Data!#REF!&lt;=(TODAY()-(Data_Val!$I$2*365.25))),0,1),1))</f>
        <v>#REF!</v>
      </c>
      <c r="AY412" s="12" t="e">
        <f>IF(Data!#REF!="","",IF(Data!$G412="",1,IF(ISNUMBER(MATCH(Data!#REF!,Data_Val!$D$2:$D$10,0)),0,1)))</f>
        <v>#REF!</v>
      </c>
      <c r="AZ412" s="11"/>
      <c r="BA412" s="19" t="e">
        <f ca="1">IF(Data!#REF!="","",IF(ISNUMBER(Data!#REF!),IF(AND(Data!#REF!&gt;(TODAY()-(Data_Val!$M$3*365.25)),Data!#REF!&lt;=(TODAY()-(Data_Val!$M$2*365.25))),0,1),1))</f>
        <v>#REF!</v>
      </c>
      <c r="BB412" s="11" t="e">
        <f>IF(Data!#REF!="","",IF(Data!$G412="",1,IF(ISNUMBER(MATCH(Data!#REF!,Data_Val!$D$2:$D$10,0)),0,1)))</f>
        <v>#REF!</v>
      </c>
      <c r="BC412" s="12"/>
      <c r="BD412" s="20" t="e">
        <f ca="1">IF(Data!#REF!="","",IF(ISNUMBER(Data!#REF!),IF(AND(Data!#REF!&gt;(TODAY()-(Data_Val!$M$3*365.25)),Data!#REF!&lt;=(TODAY()-(Data_Val!$M$2*365.25))),0,1),1))</f>
        <v>#REF!</v>
      </c>
      <c r="BE412" s="12" t="e">
        <f>IF(Data!#REF!="","",IF(Data!$G412="",1,IF(ISNUMBER(MATCH(Data!#REF!,Data_Val!$D$2:$D$10,0)),0,1)))</f>
        <v>#REF!</v>
      </c>
      <c r="BF412" s="17"/>
      <c r="BG412" s="18" t="e">
        <f ca="1">IF(Data!#REF!="","",IF(ISNUMBER(Data!#REF!),IF(AND(Data!#REF!&gt;(TODAY()-(Data_Val!$M$3*365.25)),Data!#REF!&lt;=(TODAY()-(Data_Val!$M$2*365.25))),0,1),1))</f>
        <v>#REF!</v>
      </c>
      <c r="BH412" s="29" t="e">
        <f>IF(Data!#REF!="","",IF(Data!$G412="",1,IF(ISNUMBER(MATCH(Data!#REF!,Data_Val!$D$2:$D$10,0)),0,1)))</f>
        <v>#REF!</v>
      </c>
      <c r="BI412" s="13"/>
      <c r="BJ412" s="21" t="e">
        <f ca="1">IF(Data!#REF!="","",IF(ISNUMBER(Data!#REF!),IF(AND(Data!#REF!&gt;(TODAY()-(Data_Val!$M$3*365.25)),Data!#REF!&lt;=(TODAY()-(Data_Val!$M$2*365.25))),0,1),1))</f>
        <v>#REF!</v>
      </c>
      <c r="BK412" s="13" t="e">
        <f>IF(Data!#REF!="","",IF(Data!$G412="",1,IF(ISNUMBER(MATCH(Data!#REF!,Data_Val!$D$2:$D$10,0)),0,1)))</f>
        <v>#REF!</v>
      </c>
    </row>
    <row r="413" spans="1:63" x14ac:dyDescent="0.25">
      <c r="A413" s="9" t="str">
        <f>IF(Data!B413="","",IF(COUNTIFS(Data!A$1:'Data'!A413,Data!A413)&lt;=1,0,1))</f>
        <v/>
      </c>
      <c r="B413" s="9"/>
      <c r="C413" s="23" t="str">
        <f>IF(Data!C413="","",(IF(ISNUMBER(MATCH("*@*.?*",Data!C413,0)),0,1)+IF(COUNTIFS(Data!C$1:'Data'!C413,Data!C413)&gt;1,1,0)))</f>
        <v/>
      </c>
      <c r="D413" s="9" t="str">
        <f>IF(Data!B413="","",IF(ISNUMBER(Data!D413),IF(AND(Data!D413&gt;999999999,Data!D413&lt;=9999999999),IF(COUNTIFS(Data!D$1:'Data'!D413,Data!D413)&lt;=1,0,1),1),1))</f>
        <v/>
      </c>
      <c r="E413" s="9" t="str">
        <f>IF(Data!B413="","",IF(ISNUMBER(MATCH(Data!E413,Data_Val!$A$2:$A$3,0)),0,1))</f>
        <v/>
      </c>
      <c r="F413" s="9" t="str">
        <f ca="1">IF(Data!B413="","",IF(ISNUMBER(Data!F413),IF(AND(Data!F413&gt;(TODAY()-(Data_Val!$H$3*365.25)),Data!F413&lt;=(TODAY()-(Data_Val!$H$2*365.25))),0,1),1))</f>
        <v/>
      </c>
      <c r="G413" s="15" t="str">
        <f>IF(Data!B413="","",IF(AND(Data!G413="",Data!H413&lt;&gt;""),1,IF(Data!#REF!&lt;&gt;"",0,IF(ISNUMBER(MATCH(Data!G413,Data_Val!$C$2:$C$5,0)),0,1))))</f>
        <v/>
      </c>
      <c r="H413" s="15" t="str">
        <f>IF(Data!B413="","",IF(AND(Data!G413&lt;&gt;"",Data!H413=""),1,IF(Data!#REF!&lt;&gt;"",0,IF(Data!G413="",1,IF(ISNUMBER(MATCH(Data!H413,Data_Val!$D$2:$D$35,0)),0,1)))))</f>
        <v/>
      </c>
      <c r="I413" s="15" t="str">
        <f>IF(Data!B413="","",IF(Data!G413&lt;&gt;"",0,IF(ISNUMBER(MATCH(Data!#REF!,Data_Val!$E$2:$E$12,0)),0,1)))</f>
        <v/>
      </c>
      <c r="J413" s="16" t="e">
        <f>IF(OR(Data!B413="",Data!#REF!=""),"",IF(Data!#REF!="",1,0))</f>
        <v>#REF!</v>
      </c>
      <c r="K413" s="16" t="e">
        <f>IF(OR(Data!B413="",Data!#REF!=""),"",IF(Data!#REF!="",1,0))</f>
        <v>#REF!</v>
      </c>
      <c r="L413" s="16" t="e">
        <f>IF(OR(Data!B413="",Data!#REF!=""),"",IF(ISNUMBER(Data!#REF!),IF(AND(Data!#REF!&gt;Data_Val!$G$2,Data!#REF!&lt;=Data_Val!$G$3),0,1),1))</f>
        <v>#REF!</v>
      </c>
      <c r="M413" s="9" t="e">
        <f>IF(OR(Data!B413="",Data!#REF!=""),"",IF(ISNUMBER(MATCH(Data!#REF!,Data_Val!$F$1:$F$38,0)),0,1))</f>
        <v>#REF!</v>
      </c>
      <c r="N413" s="9" t="e">
        <f>IF(OR(Data!B413="",Data!#REF!=""),"",IF(Data!#REF!="",1,0))</f>
        <v>#REF!</v>
      </c>
      <c r="O413" s="17" t="e">
        <f>IF(Data!#REF!="","",IF(Data!#REF!="",1,0))</f>
        <v>#REF!</v>
      </c>
      <c r="P413" s="17" t="e">
        <f>IF(Data!#REF!="","",IF(ISNUMBER(MATCH(Data!#REF!,Data_Val!$A$2:$A$3,0)),0,1))</f>
        <v>#REF!</v>
      </c>
      <c r="Q413" s="25" t="e">
        <f ca="1">IF(Data!#REF!="","",IF(ISNUMBER(Data!#REF!),IF(AND(Data!#REF!&gt;(TODAY()-(Data_Val!$J$3*365.25)),Data!#REF!&lt;=(TODAY()-(Data_Val!$J$2*365.25))),0,1),1))</f>
        <v>#REF!</v>
      </c>
      <c r="R413" s="17" t="e">
        <f>IF(Data!#REF!="","",IF(ISNUMBER(MATCH(Data!#REF!,Data_Val!$B$2:$B$15,0)),0,1))</f>
        <v>#REF!</v>
      </c>
      <c r="S413" s="11" t="str">
        <f>IF(Data!G413="","",IF(Data!G413=Data_Val!$C$2,IF(Data!M413="",0,1),0))</f>
        <v/>
      </c>
      <c r="T413" s="11" t="str">
        <f>IF(Data!M413="","",IF(ISNUMBER(MATCH(Data!N413,Data_Val!$A$2:$A$3,0)),0,1))</f>
        <v/>
      </c>
      <c r="U413" s="11" t="str">
        <f ca="1">IF(Data!M413="","",IF(ISNUMBER(Data!O413),IF(AND(Data!O413&gt;(TODAY()-(Data_Val!$K$3*365.25)),Data!O413&lt;=(TODAY()-(Data_Val!$K$2*365.25))),0,1),1))</f>
        <v/>
      </c>
      <c r="V413" s="12" t="str">
        <f>IF(Data!G413="","",IF(Data!G413=Data_Val!$C$2,IF(Data!P413="",0,1),0))</f>
        <v/>
      </c>
      <c r="W413" s="12" t="str">
        <f>IF(Data!P413="","",IF(ISNUMBER(MATCH(Data!Q413,Data_Val!$A$2:$A$3,0)),0,1))</f>
        <v/>
      </c>
      <c r="X413" s="26" t="str">
        <f ca="1">IF(Data!P413="","",IF(ISNUMBER(Data!R413),IF(AND(Data!R413&gt;(TODAY()-(Data_Val!$L$3*365.25)),Data!R413&lt;=(TODAY()-(Data_Val!$L$2*365.25))),0,1),1))</f>
        <v/>
      </c>
      <c r="Y413" s="13" t="str">
        <f>IF(Data!$G413="","",IF(Data!$G413=Data_Val!$C$2,IF(Data!S413="",0,1),0))</f>
        <v/>
      </c>
      <c r="Z413" s="13" t="str">
        <f>IF(Data!S413="","",IF(ISNUMBER(MATCH(Data!T413,Data_Val!$A$2:$A$3,0)),0,1))</f>
        <v/>
      </c>
      <c r="AA413" s="28" t="str">
        <f ca="1">IF(Data!S413="","",IF(ISNUMBER(Data!U413),IF(AND(Data!U413&gt;(TODAY()-(Data_Val!$L$3*365.25)),Data!U413&lt;=(TODAY()-(Data_Val!$L$2*365.25))),0,1),1))</f>
        <v/>
      </c>
      <c r="AB413" s="11"/>
      <c r="AC413" s="11" t="e">
        <f>IF(Data!#REF!="","",IF(ISNUMBER(MATCH(Data!#REF!,Data_Val!$A$2:$A$3,0)),0,1))</f>
        <v>#REF!</v>
      </c>
      <c r="AD413" s="11" t="e">
        <f ca="1">IF(Data!#REF!="","",IF(ISNUMBER(Data!#REF!),IF(AND(Data!#REF!&gt;(TODAY()-(Data_Val!$L$3*365.25)),Data!#REF!&lt;=(TODAY()-(Data_Val!$L$2*365.25))),0,1),1))</f>
        <v>#REF!</v>
      </c>
      <c r="AE413" s="11" t="e">
        <f>IF(Data!#REF!="","",IF(Data!$G413="",1,IF(ISNUMBER(MATCH(Data!#REF!,Data_Val!$D$2:$D$10,0)),0,1)))</f>
        <v>#REF!</v>
      </c>
      <c r="AF413" s="12"/>
      <c r="AG413" s="12" t="e">
        <f>IF(Data!#REF!="","",IF(ISNUMBER(MATCH(Data!#REF!,Data_Val!$A$2:$A$3,0)),0,1))</f>
        <v>#REF!</v>
      </c>
      <c r="AH413" s="26" t="e">
        <f ca="1">IF(Data!#REF!="","",IF(ISNUMBER(Data!#REF!),IF(AND(Data!#REF!&gt;(TODAY()-(Data_Val!$L$3*365.25)),Data!#REF!&lt;=(TODAY()-(Data_Val!$L$2*365.25))),0,1),1))</f>
        <v>#REF!</v>
      </c>
      <c r="AI413" s="12" t="e">
        <f>IF(Data!#REF!="","",IF(Data!$G413="",1,IF(ISNUMBER(MATCH(Data!#REF!,Data_Val!$D$2:$D$10,0)),0,1)))</f>
        <v>#REF!</v>
      </c>
      <c r="AJ413" s="17"/>
      <c r="AK413" s="17" t="e">
        <f>IF(Data!#REF!="","",IF(ISNUMBER(MATCH(Data!#REF!,Data_Val!$A$2:$A$3,0)),0,1))</f>
        <v>#REF!</v>
      </c>
      <c r="AL413" s="25" t="e">
        <f ca="1">IF(Data!#REF!="","",IF(ISNUMBER(Data!#REF!),IF(AND(Data!#REF!&gt;(TODAY()-(Data_Val!$L$3*365.25)),Data!#REF!&lt;=(TODAY()-(Data_Val!$L$2*365.25))),0,1),1))</f>
        <v>#REF!</v>
      </c>
      <c r="AM413" s="17" t="e">
        <f>IF(Data!#REF!="","",IF(Data!$G413="",1,IF(ISNUMBER(MATCH(Data!#REF!,Data_Val!$D$2:$D$10,0)),0,1)))</f>
        <v>#REF!</v>
      </c>
      <c r="AN413" s="13"/>
      <c r="AO413" s="28" t="e">
        <f ca="1">IF(Data!#REF!="","",IF(ISNUMBER(Data!#REF!),IF(AND(Data!#REF!&gt;(TODAY()-(Data_Val!$I$3*365.25)),Data!#REF!&lt;=(TODAY()-(Data_Val!$I$2*365.25))),0,1),1))</f>
        <v>#REF!</v>
      </c>
      <c r="AP413" s="13" t="e">
        <f>IF(Data!#REF!="","",IF(Data!$G413="",1,IF(ISNUMBER(MATCH(Data!#REF!,Data_Val!$D$2:$D$10,0)),0,1)))</f>
        <v>#REF!</v>
      </c>
      <c r="AQ413" s="17"/>
      <c r="AR413" s="30" t="e">
        <f ca="1">IF(Data!#REF!="","",IF(ISNUMBER(Data!#REF!),IF(AND(Data!#REF!&gt;(TODAY()-(Data_Val!$I$3*365.25)),Data!#REF!&lt;=(TODAY()-(Data_Val!$I$2*365.25))),0,1),1))</f>
        <v>#REF!</v>
      </c>
      <c r="AS413" s="31" t="e">
        <f>IF(Data!#REF!="","",IF(Data!$G413="",1,IF(ISNUMBER(MATCH(Data!#REF!,Data_Val!$D$2:$D$10,0)),0,1)))</f>
        <v>#REF!</v>
      </c>
      <c r="AT413" s="11"/>
      <c r="AU413" s="11" t="e">
        <f ca="1">IF(Data!#REF!="","",IF(ISNUMBER(Data!#REF!),IF(AND(Data!#REF!&gt;(TODAY()-(Data_Val!$I$3*365.25)),Data!#REF!&lt;=(TODAY()-(Data_Val!$I$2*365.25))),0,1),1))</f>
        <v>#REF!</v>
      </c>
      <c r="AV413" s="11" t="e">
        <f>IF(Data!#REF!="","",IF(Data!$G413="",1,IF(ISNUMBER(MATCH(Data!#REF!,Data_Val!$D$2:$D$10,0)),0,1)))</f>
        <v>#REF!</v>
      </c>
      <c r="AW413" s="12"/>
      <c r="AX413" s="26" t="e">
        <f ca="1">IF(Data!#REF!="","",IF(ISNUMBER(Data!#REF!),IF(AND(Data!#REF!&gt;(TODAY()-(Data_Val!$I$3*365.25)),Data!#REF!&lt;=(TODAY()-(Data_Val!$I$2*365.25))),0,1),1))</f>
        <v>#REF!</v>
      </c>
      <c r="AY413" s="12" t="e">
        <f>IF(Data!#REF!="","",IF(Data!$G413="",1,IF(ISNUMBER(MATCH(Data!#REF!,Data_Val!$D$2:$D$10,0)),0,1)))</f>
        <v>#REF!</v>
      </c>
      <c r="AZ413" s="11"/>
      <c r="BA413" s="19" t="e">
        <f ca="1">IF(Data!#REF!="","",IF(ISNUMBER(Data!#REF!),IF(AND(Data!#REF!&gt;(TODAY()-(Data_Val!$M$3*365.25)),Data!#REF!&lt;=(TODAY()-(Data_Val!$M$2*365.25))),0,1),1))</f>
        <v>#REF!</v>
      </c>
      <c r="BB413" s="11" t="e">
        <f>IF(Data!#REF!="","",IF(Data!$G413="",1,IF(ISNUMBER(MATCH(Data!#REF!,Data_Val!$D$2:$D$10,0)),0,1)))</f>
        <v>#REF!</v>
      </c>
      <c r="BC413" s="12"/>
      <c r="BD413" s="20" t="e">
        <f ca="1">IF(Data!#REF!="","",IF(ISNUMBER(Data!#REF!),IF(AND(Data!#REF!&gt;(TODAY()-(Data_Val!$M$3*365.25)),Data!#REF!&lt;=(TODAY()-(Data_Val!$M$2*365.25))),0,1),1))</f>
        <v>#REF!</v>
      </c>
      <c r="BE413" s="12" t="e">
        <f>IF(Data!#REF!="","",IF(Data!$G413="",1,IF(ISNUMBER(MATCH(Data!#REF!,Data_Val!$D$2:$D$10,0)),0,1)))</f>
        <v>#REF!</v>
      </c>
      <c r="BF413" s="17"/>
      <c r="BG413" s="18" t="e">
        <f ca="1">IF(Data!#REF!="","",IF(ISNUMBER(Data!#REF!),IF(AND(Data!#REF!&gt;(TODAY()-(Data_Val!$M$3*365.25)),Data!#REF!&lt;=(TODAY()-(Data_Val!$M$2*365.25))),0,1),1))</f>
        <v>#REF!</v>
      </c>
      <c r="BH413" s="29" t="e">
        <f>IF(Data!#REF!="","",IF(Data!$G413="",1,IF(ISNUMBER(MATCH(Data!#REF!,Data_Val!$D$2:$D$10,0)),0,1)))</f>
        <v>#REF!</v>
      </c>
      <c r="BI413" s="13"/>
      <c r="BJ413" s="21" t="e">
        <f ca="1">IF(Data!#REF!="","",IF(ISNUMBER(Data!#REF!),IF(AND(Data!#REF!&gt;(TODAY()-(Data_Val!$M$3*365.25)),Data!#REF!&lt;=(TODAY()-(Data_Val!$M$2*365.25))),0,1),1))</f>
        <v>#REF!</v>
      </c>
      <c r="BK413" s="13" t="e">
        <f>IF(Data!#REF!="","",IF(Data!$G413="",1,IF(ISNUMBER(MATCH(Data!#REF!,Data_Val!$D$2:$D$10,0)),0,1)))</f>
        <v>#REF!</v>
      </c>
    </row>
    <row r="414" spans="1:63" x14ac:dyDescent="0.25">
      <c r="A414" s="9" t="str">
        <f>IF(Data!B414="","",IF(COUNTIFS(Data!A$1:'Data'!A414,Data!A414)&lt;=1,0,1))</f>
        <v/>
      </c>
      <c r="B414" s="9"/>
      <c r="C414" s="23" t="str">
        <f>IF(Data!C414="","",(IF(ISNUMBER(MATCH("*@*.?*",Data!C414,0)),0,1)+IF(COUNTIFS(Data!C$1:'Data'!C414,Data!C414)&gt;1,1,0)))</f>
        <v/>
      </c>
      <c r="D414" s="9" t="str">
        <f>IF(Data!B414="","",IF(ISNUMBER(Data!D414),IF(AND(Data!D414&gt;999999999,Data!D414&lt;=9999999999),IF(COUNTIFS(Data!D$1:'Data'!D414,Data!D414)&lt;=1,0,1),1),1))</f>
        <v/>
      </c>
      <c r="E414" s="9" t="str">
        <f>IF(Data!B414="","",IF(ISNUMBER(MATCH(Data!E414,Data_Val!$A$2:$A$3,0)),0,1))</f>
        <v/>
      </c>
      <c r="F414" s="9" t="str">
        <f ca="1">IF(Data!B414="","",IF(ISNUMBER(Data!F414),IF(AND(Data!F414&gt;(TODAY()-(Data_Val!$H$3*365.25)),Data!F414&lt;=(TODAY()-(Data_Val!$H$2*365.25))),0,1),1))</f>
        <v/>
      </c>
      <c r="G414" s="15" t="str">
        <f>IF(Data!B414="","",IF(AND(Data!G414="",Data!H414&lt;&gt;""),1,IF(Data!#REF!&lt;&gt;"",0,IF(ISNUMBER(MATCH(Data!G414,Data_Val!$C$2:$C$5,0)),0,1))))</f>
        <v/>
      </c>
      <c r="H414" s="15" t="str">
        <f>IF(Data!B414="","",IF(AND(Data!G414&lt;&gt;"",Data!H414=""),1,IF(Data!#REF!&lt;&gt;"",0,IF(Data!G414="",1,IF(ISNUMBER(MATCH(Data!H414,Data_Val!$D$2:$D$35,0)),0,1)))))</f>
        <v/>
      </c>
      <c r="I414" s="15" t="str">
        <f>IF(Data!B414="","",IF(Data!G414&lt;&gt;"",0,IF(ISNUMBER(MATCH(Data!#REF!,Data_Val!$E$2:$E$12,0)),0,1)))</f>
        <v/>
      </c>
      <c r="J414" s="16" t="e">
        <f>IF(OR(Data!B414="",Data!#REF!=""),"",IF(Data!#REF!="",1,0))</f>
        <v>#REF!</v>
      </c>
      <c r="K414" s="16" t="e">
        <f>IF(OR(Data!B414="",Data!#REF!=""),"",IF(Data!#REF!="",1,0))</f>
        <v>#REF!</v>
      </c>
      <c r="L414" s="16" t="e">
        <f>IF(OR(Data!B414="",Data!#REF!=""),"",IF(ISNUMBER(Data!#REF!),IF(AND(Data!#REF!&gt;Data_Val!$G$2,Data!#REF!&lt;=Data_Val!$G$3),0,1),1))</f>
        <v>#REF!</v>
      </c>
      <c r="M414" s="9" t="e">
        <f>IF(OR(Data!B414="",Data!#REF!=""),"",IF(ISNUMBER(MATCH(Data!#REF!,Data_Val!$F$1:$F$38,0)),0,1))</f>
        <v>#REF!</v>
      </c>
      <c r="N414" s="9" t="e">
        <f>IF(OR(Data!B414="",Data!#REF!=""),"",IF(Data!#REF!="",1,0))</f>
        <v>#REF!</v>
      </c>
      <c r="O414" s="17" t="e">
        <f>IF(Data!#REF!="","",IF(Data!#REF!="",1,0))</f>
        <v>#REF!</v>
      </c>
      <c r="P414" s="17" t="e">
        <f>IF(Data!#REF!="","",IF(ISNUMBER(MATCH(Data!#REF!,Data_Val!$A$2:$A$3,0)),0,1))</f>
        <v>#REF!</v>
      </c>
      <c r="Q414" s="25" t="e">
        <f ca="1">IF(Data!#REF!="","",IF(ISNUMBER(Data!#REF!),IF(AND(Data!#REF!&gt;(TODAY()-(Data_Val!$J$3*365.25)),Data!#REF!&lt;=(TODAY()-(Data_Val!$J$2*365.25))),0,1),1))</f>
        <v>#REF!</v>
      </c>
      <c r="R414" s="17" t="e">
        <f>IF(Data!#REF!="","",IF(ISNUMBER(MATCH(Data!#REF!,Data_Val!$B$2:$B$15,0)),0,1))</f>
        <v>#REF!</v>
      </c>
      <c r="S414" s="11" t="str">
        <f>IF(Data!G414="","",IF(Data!G414=Data_Val!$C$2,IF(Data!M414="",0,1),0))</f>
        <v/>
      </c>
      <c r="T414" s="11" t="str">
        <f>IF(Data!M414="","",IF(ISNUMBER(MATCH(Data!N414,Data_Val!$A$2:$A$3,0)),0,1))</f>
        <v/>
      </c>
      <c r="U414" s="11" t="str">
        <f ca="1">IF(Data!M414="","",IF(ISNUMBER(Data!O414),IF(AND(Data!O414&gt;(TODAY()-(Data_Val!$K$3*365.25)),Data!O414&lt;=(TODAY()-(Data_Val!$K$2*365.25))),0,1),1))</f>
        <v/>
      </c>
      <c r="V414" s="12" t="str">
        <f>IF(Data!G414="","",IF(Data!G414=Data_Val!$C$2,IF(Data!P414="",0,1),0))</f>
        <v/>
      </c>
      <c r="W414" s="12" t="str">
        <f>IF(Data!P414="","",IF(ISNUMBER(MATCH(Data!Q414,Data_Val!$A$2:$A$3,0)),0,1))</f>
        <v/>
      </c>
      <c r="X414" s="26" t="str">
        <f ca="1">IF(Data!P414="","",IF(ISNUMBER(Data!R414),IF(AND(Data!R414&gt;(TODAY()-(Data_Val!$L$3*365.25)),Data!R414&lt;=(TODAY()-(Data_Val!$L$2*365.25))),0,1),1))</f>
        <v/>
      </c>
      <c r="Y414" s="13" t="str">
        <f>IF(Data!$G414="","",IF(Data!$G414=Data_Val!$C$2,IF(Data!S414="",0,1),0))</f>
        <v/>
      </c>
      <c r="Z414" s="13" t="str">
        <f>IF(Data!S414="","",IF(ISNUMBER(MATCH(Data!T414,Data_Val!$A$2:$A$3,0)),0,1))</f>
        <v/>
      </c>
      <c r="AA414" s="28" t="str">
        <f ca="1">IF(Data!S414="","",IF(ISNUMBER(Data!U414),IF(AND(Data!U414&gt;(TODAY()-(Data_Val!$L$3*365.25)),Data!U414&lt;=(TODAY()-(Data_Val!$L$2*365.25))),0,1),1))</f>
        <v/>
      </c>
      <c r="AB414" s="11"/>
      <c r="AC414" s="11" t="e">
        <f>IF(Data!#REF!="","",IF(ISNUMBER(MATCH(Data!#REF!,Data_Val!$A$2:$A$3,0)),0,1))</f>
        <v>#REF!</v>
      </c>
      <c r="AD414" s="11" t="e">
        <f ca="1">IF(Data!#REF!="","",IF(ISNUMBER(Data!#REF!),IF(AND(Data!#REF!&gt;(TODAY()-(Data_Val!$L$3*365.25)),Data!#REF!&lt;=(TODAY()-(Data_Val!$L$2*365.25))),0,1),1))</f>
        <v>#REF!</v>
      </c>
      <c r="AE414" s="11" t="e">
        <f>IF(Data!#REF!="","",IF(Data!$G414="",1,IF(ISNUMBER(MATCH(Data!#REF!,Data_Val!$D$2:$D$10,0)),0,1)))</f>
        <v>#REF!</v>
      </c>
      <c r="AF414" s="12"/>
      <c r="AG414" s="12" t="e">
        <f>IF(Data!#REF!="","",IF(ISNUMBER(MATCH(Data!#REF!,Data_Val!$A$2:$A$3,0)),0,1))</f>
        <v>#REF!</v>
      </c>
      <c r="AH414" s="26" t="e">
        <f ca="1">IF(Data!#REF!="","",IF(ISNUMBER(Data!#REF!),IF(AND(Data!#REF!&gt;(TODAY()-(Data_Val!$L$3*365.25)),Data!#REF!&lt;=(TODAY()-(Data_Val!$L$2*365.25))),0,1),1))</f>
        <v>#REF!</v>
      </c>
      <c r="AI414" s="12" t="e">
        <f>IF(Data!#REF!="","",IF(Data!$G414="",1,IF(ISNUMBER(MATCH(Data!#REF!,Data_Val!$D$2:$D$10,0)),0,1)))</f>
        <v>#REF!</v>
      </c>
      <c r="AJ414" s="17"/>
      <c r="AK414" s="17" t="e">
        <f>IF(Data!#REF!="","",IF(ISNUMBER(MATCH(Data!#REF!,Data_Val!$A$2:$A$3,0)),0,1))</f>
        <v>#REF!</v>
      </c>
      <c r="AL414" s="25" t="e">
        <f ca="1">IF(Data!#REF!="","",IF(ISNUMBER(Data!#REF!),IF(AND(Data!#REF!&gt;(TODAY()-(Data_Val!$L$3*365.25)),Data!#REF!&lt;=(TODAY()-(Data_Val!$L$2*365.25))),0,1),1))</f>
        <v>#REF!</v>
      </c>
      <c r="AM414" s="17" t="e">
        <f>IF(Data!#REF!="","",IF(Data!$G414="",1,IF(ISNUMBER(MATCH(Data!#REF!,Data_Val!$D$2:$D$10,0)),0,1)))</f>
        <v>#REF!</v>
      </c>
      <c r="AN414" s="13"/>
      <c r="AO414" s="28" t="e">
        <f ca="1">IF(Data!#REF!="","",IF(ISNUMBER(Data!#REF!),IF(AND(Data!#REF!&gt;(TODAY()-(Data_Val!$I$3*365.25)),Data!#REF!&lt;=(TODAY()-(Data_Val!$I$2*365.25))),0,1),1))</f>
        <v>#REF!</v>
      </c>
      <c r="AP414" s="13" t="e">
        <f>IF(Data!#REF!="","",IF(Data!$G414="",1,IF(ISNUMBER(MATCH(Data!#REF!,Data_Val!$D$2:$D$10,0)),0,1)))</f>
        <v>#REF!</v>
      </c>
      <c r="AQ414" s="17"/>
      <c r="AR414" s="30" t="e">
        <f ca="1">IF(Data!#REF!="","",IF(ISNUMBER(Data!#REF!),IF(AND(Data!#REF!&gt;(TODAY()-(Data_Val!$I$3*365.25)),Data!#REF!&lt;=(TODAY()-(Data_Val!$I$2*365.25))),0,1),1))</f>
        <v>#REF!</v>
      </c>
      <c r="AS414" s="31" t="e">
        <f>IF(Data!#REF!="","",IF(Data!$G414="",1,IF(ISNUMBER(MATCH(Data!#REF!,Data_Val!$D$2:$D$10,0)),0,1)))</f>
        <v>#REF!</v>
      </c>
      <c r="AT414" s="11"/>
      <c r="AU414" s="11" t="e">
        <f ca="1">IF(Data!#REF!="","",IF(ISNUMBER(Data!#REF!),IF(AND(Data!#REF!&gt;(TODAY()-(Data_Val!$I$3*365.25)),Data!#REF!&lt;=(TODAY()-(Data_Val!$I$2*365.25))),0,1),1))</f>
        <v>#REF!</v>
      </c>
      <c r="AV414" s="11" t="e">
        <f>IF(Data!#REF!="","",IF(Data!$G414="",1,IF(ISNUMBER(MATCH(Data!#REF!,Data_Val!$D$2:$D$10,0)),0,1)))</f>
        <v>#REF!</v>
      </c>
      <c r="AW414" s="12"/>
      <c r="AX414" s="26" t="e">
        <f ca="1">IF(Data!#REF!="","",IF(ISNUMBER(Data!#REF!),IF(AND(Data!#REF!&gt;(TODAY()-(Data_Val!$I$3*365.25)),Data!#REF!&lt;=(TODAY()-(Data_Val!$I$2*365.25))),0,1),1))</f>
        <v>#REF!</v>
      </c>
      <c r="AY414" s="12" t="e">
        <f>IF(Data!#REF!="","",IF(Data!$G414="",1,IF(ISNUMBER(MATCH(Data!#REF!,Data_Val!$D$2:$D$10,0)),0,1)))</f>
        <v>#REF!</v>
      </c>
      <c r="AZ414" s="11"/>
      <c r="BA414" s="19" t="e">
        <f ca="1">IF(Data!#REF!="","",IF(ISNUMBER(Data!#REF!),IF(AND(Data!#REF!&gt;(TODAY()-(Data_Val!$M$3*365.25)),Data!#REF!&lt;=(TODAY()-(Data_Val!$M$2*365.25))),0,1),1))</f>
        <v>#REF!</v>
      </c>
      <c r="BB414" s="11" t="e">
        <f>IF(Data!#REF!="","",IF(Data!$G414="",1,IF(ISNUMBER(MATCH(Data!#REF!,Data_Val!$D$2:$D$10,0)),0,1)))</f>
        <v>#REF!</v>
      </c>
      <c r="BC414" s="12"/>
      <c r="BD414" s="20" t="e">
        <f ca="1">IF(Data!#REF!="","",IF(ISNUMBER(Data!#REF!),IF(AND(Data!#REF!&gt;(TODAY()-(Data_Val!$M$3*365.25)),Data!#REF!&lt;=(TODAY()-(Data_Val!$M$2*365.25))),0,1),1))</f>
        <v>#REF!</v>
      </c>
      <c r="BE414" s="12" t="e">
        <f>IF(Data!#REF!="","",IF(Data!$G414="",1,IF(ISNUMBER(MATCH(Data!#REF!,Data_Val!$D$2:$D$10,0)),0,1)))</f>
        <v>#REF!</v>
      </c>
      <c r="BF414" s="17"/>
      <c r="BG414" s="18" t="e">
        <f ca="1">IF(Data!#REF!="","",IF(ISNUMBER(Data!#REF!),IF(AND(Data!#REF!&gt;(TODAY()-(Data_Val!$M$3*365.25)),Data!#REF!&lt;=(TODAY()-(Data_Val!$M$2*365.25))),0,1),1))</f>
        <v>#REF!</v>
      </c>
      <c r="BH414" s="29" t="e">
        <f>IF(Data!#REF!="","",IF(Data!$G414="",1,IF(ISNUMBER(MATCH(Data!#REF!,Data_Val!$D$2:$D$10,0)),0,1)))</f>
        <v>#REF!</v>
      </c>
      <c r="BI414" s="13"/>
      <c r="BJ414" s="21" t="e">
        <f ca="1">IF(Data!#REF!="","",IF(ISNUMBER(Data!#REF!),IF(AND(Data!#REF!&gt;(TODAY()-(Data_Val!$M$3*365.25)),Data!#REF!&lt;=(TODAY()-(Data_Val!$M$2*365.25))),0,1),1))</f>
        <v>#REF!</v>
      </c>
      <c r="BK414" s="13" t="e">
        <f>IF(Data!#REF!="","",IF(Data!$G414="",1,IF(ISNUMBER(MATCH(Data!#REF!,Data_Val!$D$2:$D$10,0)),0,1)))</f>
        <v>#REF!</v>
      </c>
    </row>
    <row r="415" spans="1:63" x14ac:dyDescent="0.25">
      <c r="A415" s="9" t="str">
        <f>IF(Data!B415="","",IF(COUNTIFS(Data!A$1:'Data'!A415,Data!A415)&lt;=1,0,1))</f>
        <v/>
      </c>
      <c r="B415" s="9"/>
      <c r="C415" s="23" t="str">
        <f>IF(Data!C415="","",(IF(ISNUMBER(MATCH("*@*.?*",Data!C415,0)),0,1)+IF(COUNTIFS(Data!C$1:'Data'!C415,Data!C415)&gt;1,1,0)))</f>
        <v/>
      </c>
      <c r="D415" s="9" t="str">
        <f>IF(Data!B415="","",IF(ISNUMBER(Data!D415),IF(AND(Data!D415&gt;999999999,Data!D415&lt;=9999999999),IF(COUNTIFS(Data!D$1:'Data'!D415,Data!D415)&lt;=1,0,1),1),1))</f>
        <v/>
      </c>
      <c r="E415" s="9" t="str">
        <f>IF(Data!B415="","",IF(ISNUMBER(MATCH(Data!E415,Data_Val!$A$2:$A$3,0)),0,1))</f>
        <v/>
      </c>
      <c r="F415" s="9" t="str">
        <f ca="1">IF(Data!B415="","",IF(ISNUMBER(Data!F415),IF(AND(Data!F415&gt;(TODAY()-(Data_Val!$H$3*365.25)),Data!F415&lt;=(TODAY()-(Data_Val!$H$2*365.25))),0,1),1))</f>
        <v/>
      </c>
      <c r="G415" s="15" t="str">
        <f>IF(Data!B415="","",IF(AND(Data!G415="",Data!H415&lt;&gt;""),1,IF(Data!#REF!&lt;&gt;"",0,IF(ISNUMBER(MATCH(Data!G415,Data_Val!$C$2:$C$5,0)),0,1))))</f>
        <v/>
      </c>
      <c r="H415" s="15" t="str">
        <f>IF(Data!B415="","",IF(AND(Data!G415&lt;&gt;"",Data!H415=""),1,IF(Data!#REF!&lt;&gt;"",0,IF(Data!G415="",1,IF(ISNUMBER(MATCH(Data!H415,Data_Val!$D$2:$D$35,0)),0,1)))))</f>
        <v/>
      </c>
      <c r="I415" s="15" t="str">
        <f>IF(Data!B415="","",IF(Data!G415&lt;&gt;"",0,IF(ISNUMBER(MATCH(Data!#REF!,Data_Val!$E$2:$E$12,0)),0,1)))</f>
        <v/>
      </c>
      <c r="J415" s="16" t="e">
        <f>IF(OR(Data!B415="",Data!#REF!=""),"",IF(Data!#REF!="",1,0))</f>
        <v>#REF!</v>
      </c>
      <c r="K415" s="16" t="e">
        <f>IF(OR(Data!B415="",Data!#REF!=""),"",IF(Data!#REF!="",1,0))</f>
        <v>#REF!</v>
      </c>
      <c r="L415" s="16" t="e">
        <f>IF(OR(Data!B415="",Data!#REF!=""),"",IF(ISNUMBER(Data!#REF!),IF(AND(Data!#REF!&gt;Data_Val!$G$2,Data!#REF!&lt;=Data_Val!$G$3),0,1),1))</f>
        <v>#REF!</v>
      </c>
      <c r="M415" s="9" t="e">
        <f>IF(OR(Data!B415="",Data!#REF!=""),"",IF(ISNUMBER(MATCH(Data!#REF!,Data_Val!$F$1:$F$38,0)),0,1))</f>
        <v>#REF!</v>
      </c>
      <c r="N415" s="9" t="e">
        <f>IF(OR(Data!B415="",Data!#REF!=""),"",IF(Data!#REF!="",1,0))</f>
        <v>#REF!</v>
      </c>
      <c r="O415" s="17" t="e">
        <f>IF(Data!#REF!="","",IF(Data!#REF!="",1,0))</f>
        <v>#REF!</v>
      </c>
      <c r="P415" s="17" t="e">
        <f>IF(Data!#REF!="","",IF(ISNUMBER(MATCH(Data!#REF!,Data_Val!$A$2:$A$3,0)),0,1))</f>
        <v>#REF!</v>
      </c>
      <c r="Q415" s="25" t="e">
        <f ca="1">IF(Data!#REF!="","",IF(ISNUMBER(Data!#REF!),IF(AND(Data!#REF!&gt;(TODAY()-(Data_Val!$J$3*365.25)),Data!#REF!&lt;=(TODAY()-(Data_Val!$J$2*365.25))),0,1),1))</f>
        <v>#REF!</v>
      </c>
      <c r="R415" s="17" t="e">
        <f>IF(Data!#REF!="","",IF(ISNUMBER(MATCH(Data!#REF!,Data_Val!$B$2:$B$15,0)),0,1))</f>
        <v>#REF!</v>
      </c>
      <c r="S415" s="11" t="str">
        <f>IF(Data!G415="","",IF(Data!G415=Data_Val!$C$2,IF(Data!M415="",0,1),0))</f>
        <v/>
      </c>
      <c r="T415" s="11" t="str">
        <f>IF(Data!M415="","",IF(ISNUMBER(MATCH(Data!N415,Data_Val!$A$2:$A$3,0)),0,1))</f>
        <v/>
      </c>
      <c r="U415" s="11" t="str">
        <f ca="1">IF(Data!M415="","",IF(ISNUMBER(Data!O415),IF(AND(Data!O415&gt;(TODAY()-(Data_Val!$K$3*365.25)),Data!O415&lt;=(TODAY()-(Data_Val!$K$2*365.25))),0,1),1))</f>
        <v/>
      </c>
      <c r="V415" s="12" t="str">
        <f>IF(Data!G415="","",IF(Data!G415=Data_Val!$C$2,IF(Data!P415="",0,1),0))</f>
        <v/>
      </c>
      <c r="W415" s="12" t="str">
        <f>IF(Data!P415="","",IF(ISNUMBER(MATCH(Data!Q415,Data_Val!$A$2:$A$3,0)),0,1))</f>
        <v/>
      </c>
      <c r="X415" s="26" t="str">
        <f ca="1">IF(Data!P415="","",IF(ISNUMBER(Data!R415),IF(AND(Data!R415&gt;(TODAY()-(Data_Val!$L$3*365.25)),Data!R415&lt;=(TODAY()-(Data_Val!$L$2*365.25))),0,1),1))</f>
        <v/>
      </c>
      <c r="Y415" s="13" t="str">
        <f>IF(Data!$G415="","",IF(Data!$G415=Data_Val!$C$2,IF(Data!S415="",0,1),0))</f>
        <v/>
      </c>
      <c r="Z415" s="13" t="str">
        <f>IF(Data!S415="","",IF(ISNUMBER(MATCH(Data!T415,Data_Val!$A$2:$A$3,0)),0,1))</f>
        <v/>
      </c>
      <c r="AA415" s="28" t="str">
        <f ca="1">IF(Data!S415="","",IF(ISNUMBER(Data!U415),IF(AND(Data!U415&gt;(TODAY()-(Data_Val!$L$3*365.25)),Data!U415&lt;=(TODAY()-(Data_Val!$L$2*365.25))),0,1),1))</f>
        <v/>
      </c>
      <c r="AB415" s="11"/>
      <c r="AC415" s="11" t="e">
        <f>IF(Data!#REF!="","",IF(ISNUMBER(MATCH(Data!#REF!,Data_Val!$A$2:$A$3,0)),0,1))</f>
        <v>#REF!</v>
      </c>
      <c r="AD415" s="11" t="e">
        <f ca="1">IF(Data!#REF!="","",IF(ISNUMBER(Data!#REF!),IF(AND(Data!#REF!&gt;(TODAY()-(Data_Val!$L$3*365.25)),Data!#REF!&lt;=(TODAY()-(Data_Val!$L$2*365.25))),0,1),1))</f>
        <v>#REF!</v>
      </c>
      <c r="AE415" s="11" t="e">
        <f>IF(Data!#REF!="","",IF(Data!$G415="",1,IF(ISNUMBER(MATCH(Data!#REF!,Data_Val!$D$2:$D$10,0)),0,1)))</f>
        <v>#REF!</v>
      </c>
      <c r="AF415" s="12"/>
      <c r="AG415" s="12" t="e">
        <f>IF(Data!#REF!="","",IF(ISNUMBER(MATCH(Data!#REF!,Data_Val!$A$2:$A$3,0)),0,1))</f>
        <v>#REF!</v>
      </c>
      <c r="AH415" s="26" t="e">
        <f ca="1">IF(Data!#REF!="","",IF(ISNUMBER(Data!#REF!),IF(AND(Data!#REF!&gt;(TODAY()-(Data_Val!$L$3*365.25)),Data!#REF!&lt;=(TODAY()-(Data_Val!$L$2*365.25))),0,1),1))</f>
        <v>#REF!</v>
      </c>
      <c r="AI415" s="12" t="e">
        <f>IF(Data!#REF!="","",IF(Data!$G415="",1,IF(ISNUMBER(MATCH(Data!#REF!,Data_Val!$D$2:$D$10,0)),0,1)))</f>
        <v>#REF!</v>
      </c>
      <c r="AJ415" s="17"/>
      <c r="AK415" s="17" t="e">
        <f>IF(Data!#REF!="","",IF(ISNUMBER(MATCH(Data!#REF!,Data_Val!$A$2:$A$3,0)),0,1))</f>
        <v>#REF!</v>
      </c>
      <c r="AL415" s="25" t="e">
        <f ca="1">IF(Data!#REF!="","",IF(ISNUMBER(Data!#REF!),IF(AND(Data!#REF!&gt;(TODAY()-(Data_Val!$L$3*365.25)),Data!#REF!&lt;=(TODAY()-(Data_Val!$L$2*365.25))),0,1),1))</f>
        <v>#REF!</v>
      </c>
      <c r="AM415" s="17" t="e">
        <f>IF(Data!#REF!="","",IF(Data!$G415="",1,IF(ISNUMBER(MATCH(Data!#REF!,Data_Val!$D$2:$D$10,0)),0,1)))</f>
        <v>#REF!</v>
      </c>
      <c r="AN415" s="13"/>
      <c r="AO415" s="28" t="e">
        <f ca="1">IF(Data!#REF!="","",IF(ISNUMBER(Data!#REF!),IF(AND(Data!#REF!&gt;(TODAY()-(Data_Val!$I$3*365.25)),Data!#REF!&lt;=(TODAY()-(Data_Val!$I$2*365.25))),0,1),1))</f>
        <v>#REF!</v>
      </c>
      <c r="AP415" s="13" t="e">
        <f>IF(Data!#REF!="","",IF(Data!$G415="",1,IF(ISNUMBER(MATCH(Data!#REF!,Data_Val!$D$2:$D$10,0)),0,1)))</f>
        <v>#REF!</v>
      </c>
      <c r="AQ415" s="17"/>
      <c r="AR415" s="30" t="e">
        <f ca="1">IF(Data!#REF!="","",IF(ISNUMBER(Data!#REF!),IF(AND(Data!#REF!&gt;(TODAY()-(Data_Val!$I$3*365.25)),Data!#REF!&lt;=(TODAY()-(Data_Val!$I$2*365.25))),0,1),1))</f>
        <v>#REF!</v>
      </c>
      <c r="AS415" s="31" t="e">
        <f>IF(Data!#REF!="","",IF(Data!$G415="",1,IF(ISNUMBER(MATCH(Data!#REF!,Data_Val!$D$2:$D$10,0)),0,1)))</f>
        <v>#REF!</v>
      </c>
      <c r="AT415" s="11"/>
      <c r="AU415" s="11" t="e">
        <f ca="1">IF(Data!#REF!="","",IF(ISNUMBER(Data!#REF!),IF(AND(Data!#REF!&gt;(TODAY()-(Data_Val!$I$3*365.25)),Data!#REF!&lt;=(TODAY()-(Data_Val!$I$2*365.25))),0,1),1))</f>
        <v>#REF!</v>
      </c>
      <c r="AV415" s="11" t="e">
        <f>IF(Data!#REF!="","",IF(Data!$G415="",1,IF(ISNUMBER(MATCH(Data!#REF!,Data_Val!$D$2:$D$10,0)),0,1)))</f>
        <v>#REF!</v>
      </c>
      <c r="AW415" s="12"/>
      <c r="AX415" s="26" t="e">
        <f ca="1">IF(Data!#REF!="","",IF(ISNUMBER(Data!#REF!),IF(AND(Data!#REF!&gt;(TODAY()-(Data_Val!$I$3*365.25)),Data!#REF!&lt;=(TODAY()-(Data_Val!$I$2*365.25))),0,1),1))</f>
        <v>#REF!</v>
      </c>
      <c r="AY415" s="12" t="e">
        <f>IF(Data!#REF!="","",IF(Data!$G415="",1,IF(ISNUMBER(MATCH(Data!#REF!,Data_Val!$D$2:$D$10,0)),0,1)))</f>
        <v>#REF!</v>
      </c>
      <c r="AZ415" s="11"/>
      <c r="BA415" s="19" t="e">
        <f ca="1">IF(Data!#REF!="","",IF(ISNUMBER(Data!#REF!),IF(AND(Data!#REF!&gt;(TODAY()-(Data_Val!$M$3*365.25)),Data!#REF!&lt;=(TODAY()-(Data_Val!$M$2*365.25))),0,1),1))</f>
        <v>#REF!</v>
      </c>
      <c r="BB415" s="11" t="e">
        <f>IF(Data!#REF!="","",IF(Data!$G415="",1,IF(ISNUMBER(MATCH(Data!#REF!,Data_Val!$D$2:$D$10,0)),0,1)))</f>
        <v>#REF!</v>
      </c>
      <c r="BC415" s="12"/>
      <c r="BD415" s="20" t="e">
        <f ca="1">IF(Data!#REF!="","",IF(ISNUMBER(Data!#REF!),IF(AND(Data!#REF!&gt;(TODAY()-(Data_Val!$M$3*365.25)),Data!#REF!&lt;=(TODAY()-(Data_Val!$M$2*365.25))),0,1),1))</f>
        <v>#REF!</v>
      </c>
      <c r="BE415" s="12" t="e">
        <f>IF(Data!#REF!="","",IF(Data!$G415="",1,IF(ISNUMBER(MATCH(Data!#REF!,Data_Val!$D$2:$D$10,0)),0,1)))</f>
        <v>#REF!</v>
      </c>
      <c r="BF415" s="17"/>
      <c r="BG415" s="18" t="e">
        <f ca="1">IF(Data!#REF!="","",IF(ISNUMBER(Data!#REF!),IF(AND(Data!#REF!&gt;(TODAY()-(Data_Val!$M$3*365.25)),Data!#REF!&lt;=(TODAY()-(Data_Val!$M$2*365.25))),0,1),1))</f>
        <v>#REF!</v>
      </c>
      <c r="BH415" s="29" t="e">
        <f>IF(Data!#REF!="","",IF(Data!$G415="",1,IF(ISNUMBER(MATCH(Data!#REF!,Data_Val!$D$2:$D$10,0)),0,1)))</f>
        <v>#REF!</v>
      </c>
      <c r="BI415" s="13"/>
      <c r="BJ415" s="21" t="e">
        <f ca="1">IF(Data!#REF!="","",IF(ISNUMBER(Data!#REF!),IF(AND(Data!#REF!&gt;(TODAY()-(Data_Val!$M$3*365.25)),Data!#REF!&lt;=(TODAY()-(Data_Val!$M$2*365.25))),0,1),1))</f>
        <v>#REF!</v>
      </c>
      <c r="BK415" s="13" t="e">
        <f>IF(Data!#REF!="","",IF(Data!$G415="",1,IF(ISNUMBER(MATCH(Data!#REF!,Data_Val!$D$2:$D$10,0)),0,1)))</f>
        <v>#REF!</v>
      </c>
    </row>
    <row r="416" spans="1:63" x14ac:dyDescent="0.25">
      <c r="A416" s="9" t="str">
        <f>IF(Data!B416="","",IF(COUNTIFS(Data!A$1:'Data'!A416,Data!A416)&lt;=1,0,1))</f>
        <v/>
      </c>
      <c r="B416" s="9"/>
      <c r="C416" s="23" t="str">
        <f>IF(Data!C416="","",(IF(ISNUMBER(MATCH("*@*.?*",Data!C416,0)),0,1)+IF(COUNTIFS(Data!C$1:'Data'!C416,Data!C416)&gt;1,1,0)))</f>
        <v/>
      </c>
      <c r="D416" s="9" t="str">
        <f>IF(Data!B416="","",IF(ISNUMBER(Data!D416),IF(AND(Data!D416&gt;999999999,Data!D416&lt;=9999999999),IF(COUNTIFS(Data!D$1:'Data'!D416,Data!D416)&lt;=1,0,1),1),1))</f>
        <v/>
      </c>
      <c r="E416" s="9" t="str">
        <f>IF(Data!B416="","",IF(ISNUMBER(MATCH(Data!E416,Data_Val!$A$2:$A$3,0)),0,1))</f>
        <v/>
      </c>
      <c r="F416" s="9" t="str">
        <f ca="1">IF(Data!B416="","",IF(ISNUMBER(Data!F416),IF(AND(Data!F416&gt;(TODAY()-(Data_Val!$H$3*365.25)),Data!F416&lt;=(TODAY()-(Data_Val!$H$2*365.25))),0,1),1))</f>
        <v/>
      </c>
      <c r="G416" s="15" t="str">
        <f>IF(Data!B416="","",IF(AND(Data!G416="",Data!H416&lt;&gt;""),1,IF(Data!#REF!&lt;&gt;"",0,IF(ISNUMBER(MATCH(Data!G416,Data_Val!$C$2:$C$5,0)),0,1))))</f>
        <v/>
      </c>
      <c r="H416" s="15" t="str">
        <f>IF(Data!B416="","",IF(AND(Data!G416&lt;&gt;"",Data!H416=""),1,IF(Data!#REF!&lt;&gt;"",0,IF(Data!G416="",1,IF(ISNUMBER(MATCH(Data!H416,Data_Val!$D$2:$D$35,0)),0,1)))))</f>
        <v/>
      </c>
      <c r="I416" s="15" t="str">
        <f>IF(Data!B416="","",IF(Data!G416&lt;&gt;"",0,IF(ISNUMBER(MATCH(Data!#REF!,Data_Val!$E$2:$E$12,0)),0,1)))</f>
        <v/>
      </c>
      <c r="J416" s="16" t="e">
        <f>IF(OR(Data!B416="",Data!#REF!=""),"",IF(Data!#REF!="",1,0))</f>
        <v>#REF!</v>
      </c>
      <c r="K416" s="16" t="e">
        <f>IF(OR(Data!B416="",Data!#REF!=""),"",IF(Data!#REF!="",1,0))</f>
        <v>#REF!</v>
      </c>
      <c r="L416" s="16" t="e">
        <f>IF(OR(Data!B416="",Data!#REF!=""),"",IF(ISNUMBER(Data!#REF!),IF(AND(Data!#REF!&gt;Data_Val!$G$2,Data!#REF!&lt;=Data_Val!$G$3),0,1),1))</f>
        <v>#REF!</v>
      </c>
      <c r="M416" s="9" t="e">
        <f>IF(OR(Data!B416="",Data!#REF!=""),"",IF(ISNUMBER(MATCH(Data!#REF!,Data_Val!$F$1:$F$38,0)),0,1))</f>
        <v>#REF!</v>
      </c>
      <c r="N416" s="9" t="e">
        <f>IF(OR(Data!B416="",Data!#REF!=""),"",IF(Data!#REF!="",1,0))</f>
        <v>#REF!</v>
      </c>
      <c r="O416" s="17" t="e">
        <f>IF(Data!#REF!="","",IF(Data!#REF!="",1,0))</f>
        <v>#REF!</v>
      </c>
      <c r="P416" s="17" t="e">
        <f>IF(Data!#REF!="","",IF(ISNUMBER(MATCH(Data!#REF!,Data_Val!$A$2:$A$3,0)),0,1))</f>
        <v>#REF!</v>
      </c>
      <c r="Q416" s="25" t="e">
        <f ca="1">IF(Data!#REF!="","",IF(ISNUMBER(Data!#REF!),IF(AND(Data!#REF!&gt;(TODAY()-(Data_Val!$J$3*365.25)),Data!#REF!&lt;=(TODAY()-(Data_Val!$J$2*365.25))),0,1),1))</f>
        <v>#REF!</v>
      </c>
      <c r="R416" s="17" t="e">
        <f>IF(Data!#REF!="","",IF(ISNUMBER(MATCH(Data!#REF!,Data_Val!$B$2:$B$15,0)),0,1))</f>
        <v>#REF!</v>
      </c>
      <c r="S416" s="11" t="str">
        <f>IF(Data!G416="","",IF(Data!G416=Data_Val!$C$2,IF(Data!M416="",0,1),0))</f>
        <v/>
      </c>
      <c r="T416" s="11" t="str">
        <f>IF(Data!M416="","",IF(ISNUMBER(MATCH(Data!N416,Data_Val!$A$2:$A$3,0)),0,1))</f>
        <v/>
      </c>
      <c r="U416" s="11" t="str">
        <f ca="1">IF(Data!M416="","",IF(ISNUMBER(Data!O416),IF(AND(Data!O416&gt;(TODAY()-(Data_Val!$K$3*365.25)),Data!O416&lt;=(TODAY()-(Data_Val!$K$2*365.25))),0,1),1))</f>
        <v/>
      </c>
      <c r="V416" s="12" t="str">
        <f>IF(Data!G416="","",IF(Data!G416=Data_Val!$C$2,IF(Data!P416="",0,1),0))</f>
        <v/>
      </c>
      <c r="W416" s="12" t="str">
        <f>IF(Data!P416="","",IF(ISNUMBER(MATCH(Data!Q416,Data_Val!$A$2:$A$3,0)),0,1))</f>
        <v/>
      </c>
      <c r="X416" s="26" t="str">
        <f ca="1">IF(Data!P416="","",IF(ISNUMBER(Data!R416),IF(AND(Data!R416&gt;(TODAY()-(Data_Val!$L$3*365.25)),Data!R416&lt;=(TODAY()-(Data_Val!$L$2*365.25))),0,1),1))</f>
        <v/>
      </c>
      <c r="Y416" s="13" t="str">
        <f>IF(Data!$G416="","",IF(Data!$G416=Data_Val!$C$2,IF(Data!S416="",0,1),0))</f>
        <v/>
      </c>
      <c r="Z416" s="13" t="str">
        <f>IF(Data!S416="","",IF(ISNUMBER(MATCH(Data!T416,Data_Val!$A$2:$A$3,0)),0,1))</f>
        <v/>
      </c>
      <c r="AA416" s="28" t="str">
        <f ca="1">IF(Data!S416="","",IF(ISNUMBER(Data!U416),IF(AND(Data!U416&gt;(TODAY()-(Data_Val!$L$3*365.25)),Data!U416&lt;=(TODAY()-(Data_Val!$L$2*365.25))),0,1),1))</f>
        <v/>
      </c>
      <c r="AB416" s="11"/>
      <c r="AC416" s="11" t="e">
        <f>IF(Data!#REF!="","",IF(ISNUMBER(MATCH(Data!#REF!,Data_Val!$A$2:$A$3,0)),0,1))</f>
        <v>#REF!</v>
      </c>
      <c r="AD416" s="11" t="e">
        <f ca="1">IF(Data!#REF!="","",IF(ISNUMBER(Data!#REF!),IF(AND(Data!#REF!&gt;(TODAY()-(Data_Val!$L$3*365.25)),Data!#REF!&lt;=(TODAY()-(Data_Val!$L$2*365.25))),0,1),1))</f>
        <v>#REF!</v>
      </c>
      <c r="AE416" s="11" t="e">
        <f>IF(Data!#REF!="","",IF(Data!$G416="",1,IF(ISNUMBER(MATCH(Data!#REF!,Data_Val!$D$2:$D$10,0)),0,1)))</f>
        <v>#REF!</v>
      </c>
      <c r="AF416" s="12"/>
      <c r="AG416" s="12" t="e">
        <f>IF(Data!#REF!="","",IF(ISNUMBER(MATCH(Data!#REF!,Data_Val!$A$2:$A$3,0)),0,1))</f>
        <v>#REF!</v>
      </c>
      <c r="AH416" s="26" t="e">
        <f ca="1">IF(Data!#REF!="","",IF(ISNUMBER(Data!#REF!),IF(AND(Data!#REF!&gt;(TODAY()-(Data_Val!$L$3*365.25)),Data!#REF!&lt;=(TODAY()-(Data_Val!$L$2*365.25))),0,1),1))</f>
        <v>#REF!</v>
      </c>
      <c r="AI416" s="12" t="e">
        <f>IF(Data!#REF!="","",IF(Data!$G416="",1,IF(ISNUMBER(MATCH(Data!#REF!,Data_Val!$D$2:$D$10,0)),0,1)))</f>
        <v>#REF!</v>
      </c>
      <c r="AJ416" s="17"/>
      <c r="AK416" s="17" t="e">
        <f>IF(Data!#REF!="","",IF(ISNUMBER(MATCH(Data!#REF!,Data_Val!$A$2:$A$3,0)),0,1))</f>
        <v>#REF!</v>
      </c>
      <c r="AL416" s="25" t="e">
        <f ca="1">IF(Data!#REF!="","",IF(ISNUMBER(Data!#REF!),IF(AND(Data!#REF!&gt;(TODAY()-(Data_Val!$L$3*365.25)),Data!#REF!&lt;=(TODAY()-(Data_Val!$L$2*365.25))),0,1),1))</f>
        <v>#REF!</v>
      </c>
      <c r="AM416" s="17" t="e">
        <f>IF(Data!#REF!="","",IF(Data!$G416="",1,IF(ISNUMBER(MATCH(Data!#REF!,Data_Val!$D$2:$D$10,0)),0,1)))</f>
        <v>#REF!</v>
      </c>
      <c r="AN416" s="13"/>
      <c r="AO416" s="28" t="e">
        <f ca="1">IF(Data!#REF!="","",IF(ISNUMBER(Data!#REF!),IF(AND(Data!#REF!&gt;(TODAY()-(Data_Val!$I$3*365.25)),Data!#REF!&lt;=(TODAY()-(Data_Val!$I$2*365.25))),0,1),1))</f>
        <v>#REF!</v>
      </c>
      <c r="AP416" s="13" t="e">
        <f>IF(Data!#REF!="","",IF(Data!$G416="",1,IF(ISNUMBER(MATCH(Data!#REF!,Data_Val!$D$2:$D$10,0)),0,1)))</f>
        <v>#REF!</v>
      </c>
      <c r="AQ416" s="17"/>
      <c r="AR416" s="30" t="e">
        <f ca="1">IF(Data!#REF!="","",IF(ISNUMBER(Data!#REF!),IF(AND(Data!#REF!&gt;(TODAY()-(Data_Val!$I$3*365.25)),Data!#REF!&lt;=(TODAY()-(Data_Val!$I$2*365.25))),0,1),1))</f>
        <v>#REF!</v>
      </c>
      <c r="AS416" s="31" t="e">
        <f>IF(Data!#REF!="","",IF(Data!$G416="",1,IF(ISNUMBER(MATCH(Data!#REF!,Data_Val!$D$2:$D$10,0)),0,1)))</f>
        <v>#REF!</v>
      </c>
      <c r="AT416" s="11"/>
      <c r="AU416" s="11" t="e">
        <f ca="1">IF(Data!#REF!="","",IF(ISNUMBER(Data!#REF!),IF(AND(Data!#REF!&gt;(TODAY()-(Data_Val!$I$3*365.25)),Data!#REF!&lt;=(TODAY()-(Data_Val!$I$2*365.25))),0,1),1))</f>
        <v>#REF!</v>
      </c>
      <c r="AV416" s="11" t="e">
        <f>IF(Data!#REF!="","",IF(Data!$G416="",1,IF(ISNUMBER(MATCH(Data!#REF!,Data_Val!$D$2:$D$10,0)),0,1)))</f>
        <v>#REF!</v>
      </c>
      <c r="AW416" s="12"/>
      <c r="AX416" s="26" t="e">
        <f ca="1">IF(Data!#REF!="","",IF(ISNUMBER(Data!#REF!),IF(AND(Data!#REF!&gt;(TODAY()-(Data_Val!$I$3*365.25)),Data!#REF!&lt;=(TODAY()-(Data_Val!$I$2*365.25))),0,1),1))</f>
        <v>#REF!</v>
      </c>
      <c r="AY416" s="12" t="e">
        <f>IF(Data!#REF!="","",IF(Data!$G416="",1,IF(ISNUMBER(MATCH(Data!#REF!,Data_Val!$D$2:$D$10,0)),0,1)))</f>
        <v>#REF!</v>
      </c>
      <c r="AZ416" s="11"/>
      <c r="BA416" s="19" t="e">
        <f ca="1">IF(Data!#REF!="","",IF(ISNUMBER(Data!#REF!),IF(AND(Data!#REF!&gt;(TODAY()-(Data_Val!$M$3*365.25)),Data!#REF!&lt;=(TODAY()-(Data_Val!$M$2*365.25))),0,1),1))</f>
        <v>#REF!</v>
      </c>
      <c r="BB416" s="11" t="e">
        <f>IF(Data!#REF!="","",IF(Data!$G416="",1,IF(ISNUMBER(MATCH(Data!#REF!,Data_Val!$D$2:$D$10,0)),0,1)))</f>
        <v>#REF!</v>
      </c>
      <c r="BC416" s="12"/>
      <c r="BD416" s="20" t="e">
        <f ca="1">IF(Data!#REF!="","",IF(ISNUMBER(Data!#REF!),IF(AND(Data!#REF!&gt;(TODAY()-(Data_Val!$M$3*365.25)),Data!#REF!&lt;=(TODAY()-(Data_Val!$M$2*365.25))),0,1),1))</f>
        <v>#REF!</v>
      </c>
      <c r="BE416" s="12" t="e">
        <f>IF(Data!#REF!="","",IF(Data!$G416="",1,IF(ISNUMBER(MATCH(Data!#REF!,Data_Val!$D$2:$D$10,0)),0,1)))</f>
        <v>#REF!</v>
      </c>
      <c r="BF416" s="17"/>
      <c r="BG416" s="18" t="e">
        <f ca="1">IF(Data!#REF!="","",IF(ISNUMBER(Data!#REF!),IF(AND(Data!#REF!&gt;(TODAY()-(Data_Val!$M$3*365.25)),Data!#REF!&lt;=(TODAY()-(Data_Val!$M$2*365.25))),0,1),1))</f>
        <v>#REF!</v>
      </c>
      <c r="BH416" s="29" t="e">
        <f>IF(Data!#REF!="","",IF(Data!$G416="",1,IF(ISNUMBER(MATCH(Data!#REF!,Data_Val!$D$2:$D$10,0)),0,1)))</f>
        <v>#REF!</v>
      </c>
      <c r="BI416" s="13"/>
      <c r="BJ416" s="21" t="e">
        <f ca="1">IF(Data!#REF!="","",IF(ISNUMBER(Data!#REF!),IF(AND(Data!#REF!&gt;(TODAY()-(Data_Val!$M$3*365.25)),Data!#REF!&lt;=(TODAY()-(Data_Val!$M$2*365.25))),0,1),1))</f>
        <v>#REF!</v>
      </c>
      <c r="BK416" s="13" t="e">
        <f>IF(Data!#REF!="","",IF(Data!$G416="",1,IF(ISNUMBER(MATCH(Data!#REF!,Data_Val!$D$2:$D$10,0)),0,1)))</f>
        <v>#REF!</v>
      </c>
    </row>
    <row r="417" spans="1:63" x14ac:dyDescent="0.25">
      <c r="A417" s="9" t="str">
        <f>IF(Data!B417="","",IF(COUNTIFS(Data!A$1:'Data'!A417,Data!A417)&lt;=1,0,1))</f>
        <v/>
      </c>
      <c r="B417" s="9"/>
      <c r="C417" s="23" t="str">
        <f>IF(Data!C417="","",(IF(ISNUMBER(MATCH("*@*.?*",Data!C417,0)),0,1)+IF(COUNTIFS(Data!C$1:'Data'!C417,Data!C417)&gt;1,1,0)))</f>
        <v/>
      </c>
      <c r="D417" s="9" t="str">
        <f>IF(Data!B417="","",IF(ISNUMBER(Data!D417),IF(AND(Data!D417&gt;999999999,Data!D417&lt;=9999999999),IF(COUNTIFS(Data!D$1:'Data'!D417,Data!D417)&lt;=1,0,1),1),1))</f>
        <v/>
      </c>
      <c r="E417" s="9" t="str">
        <f>IF(Data!B417="","",IF(ISNUMBER(MATCH(Data!E417,Data_Val!$A$2:$A$3,0)),0,1))</f>
        <v/>
      </c>
      <c r="F417" s="9" t="str">
        <f ca="1">IF(Data!B417="","",IF(ISNUMBER(Data!F417),IF(AND(Data!F417&gt;(TODAY()-(Data_Val!$H$3*365.25)),Data!F417&lt;=(TODAY()-(Data_Val!$H$2*365.25))),0,1),1))</f>
        <v/>
      </c>
      <c r="G417" s="15" t="str">
        <f>IF(Data!B417="","",IF(AND(Data!G417="",Data!H417&lt;&gt;""),1,IF(Data!#REF!&lt;&gt;"",0,IF(ISNUMBER(MATCH(Data!G417,Data_Val!$C$2:$C$5,0)),0,1))))</f>
        <v/>
      </c>
      <c r="H417" s="15" t="str">
        <f>IF(Data!B417="","",IF(AND(Data!G417&lt;&gt;"",Data!H417=""),1,IF(Data!#REF!&lt;&gt;"",0,IF(Data!G417="",1,IF(ISNUMBER(MATCH(Data!H417,Data_Val!$D$2:$D$35,0)),0,1)))))</f>
        <v/>
      </c>
      <c r="I417" s="15" t="str">
        <f>IF(Data!B417="","",IF(Data!G417&lt;&gt;"",0,IF(ISNUMBER(MATCH(Data!#REF!,Data_Val!$E$2:$E$12,0)),0,1)))</f>
        <v/>
      </c>
      <c r="J417" s="16" t="e">
        <f>IF(OR(Data!B417="",Data!#REF!=""),"",IF(Data!#REF!="",1,0))</f>
        <v>#REF!</v>
      </c>
      <c r="K417" s="16" t="e">
        <f>IF(OR(Data!B417="",Data!#REF!=""),"",IF(Data!#REF!="",1,0))</f>
        <v>#REF!</v>
      </c>
      <c r="L417" s="16" t="e">
        <f>IF(OR(Data!B417="",Data!#REF!=""),"",IF(ISNUMBER(Data!#REF!),IF(AND(Data!#REF!&gt;Data_Val!$G$2,Data!#REF!&lt;=Data_Val!$G$3),0,1),1))</f>
        <v>#REF!</v>
      </c>
      <c r="M417" s="9" t="e">
        <f>IF(OR(Data!B417="",Data!#REF!=""),"",IF(ISNUMBER(MATCH(Data!#REF!,Data_Val!$F$1:$F$38,0)),0,1))</f>
        <v>#REF!</v>
      </c>
      <c r="N417" s="9" t="e">
        <f>IF(OR(Data!B417="",Data!#REF!=""),"",IF(Data!#REF!="",1,0))</f>
        <v>#REF!</v>
      </c>
      <c r="O417" s="17" t="e">
        <f>IF(Data!#REF!="","",IF(Data!#REF!="",1,0))</f>
        <v>#REF!</v>
      </c>
      <c r="P417" s="17" t="e">
        <f>IF(Data!#REF!="","",IF(ISNUMBER(MATCH(Data!#REF!,Data_Val!$A$2:$A$3,0)),0,1))</f>
        <v>#REF!</v>
      </c>
      <c r="Q417" s="25" t="e">
        <f ca="1">IF(Data!#REF!="","",IF(ISNUMBER(Data!#REF!),IF(AND(Data!#REF!&gt;(TODAY()-(Data_Val!$J$3*365.25)),Data!#REF!&lt;=(TODAY()-(Data_Val!$J$2*365.25))),0,1),1))</f>
        <v>#REF!</v>
      </c>
      <c r="R417" s="17" t="e">
        <f>IF(Data!#REF!="","",IF(ISNUMBER(MATCH(Data!#REF!,Data_Val!$B$2:$B$15,0)),0,1))</f>
        <v>#REF!</v>
      </c>
      <c r="S417" s="11" t="str">
        <f>IF(Data!G417="","",IF(Data!G417=Data_Val!$C$2,IF(Data!M417="",0,1),0))</f>
        <v/>
      </c>
      <c r="T417" s="11" t="str">
        <f>IF(Data!M417="","",IF(ISNUMBER(MATCH(Data!N417,Data_Val!$A$2:$A$3,0)),0,1))</f>
        <v/>
      </c>
      <c r="U417" s="11" t="str">
        <f ca="1">IF(Data!M417="","",IF(ISNUMBER(Data!O417),IF(AND(Data!O417&gt;(TODAY()-(Data_Val!$K$3*365.25)),Data!O417&lt;=(TODAY()-(Data_Val!$K$2*365.25))),0,1),1))</f>
        <v/>
      </c>
      <c r="V417" s="12" t="str">
        <f>IF(Data!G417="","",IF(Data!G417=Data_Val!$C$2,IF(Data!P417="",0,1),0))</f>
        <v/>
      </c>
      <c r="W417" s="12" t="str">
        <f>IF(Data!P417="","",IF(ISNUMBER(MATCH(Data!Q417,Data_Val!$A$2:$A$3,0)),0,1))</f>
        <v/>
      </c>
      <c r="X417" s="26" t="str">
        <f ca="1">IF(Data!P417="","",IF(ISNUMBER(Data!R417),IF(AND(Data!R417&gt;(TODAY()-(Data_Val!$L$3*365.25)),Data!R417&lt;=(TODAY()-(Data_Val!$L$2*365.25))),0,1),1))</f>
        <v/>
      </c>
      <c r="Y417" s="13" t="str">
        <f>IF(Data!$G417="","",IF(Data!$G417=Data_Val!$C$2,IF(Data!S417="",0,1),0))</f>
        <v/>
      </c>
      <c r="Z417" s="13" t="str">
        <f>IF(Data!S417="","",IF(ISNUMBER(MATCH(Data!T417,Data_Val!$A$2:$A$3,0)),0,1))</f>
        <v/>
      </c>
      <c r="AA417" s="28" t="str">
        <f ca="1">IF(Data!S417="","",IF(ISNUMBER(Data!U417),IF(AND(Data!U417&gt;(TODAY()-(Data_Val!$L$3*365.25)),Data!U417&lt;=(TODAY()-(Data_Val!$L$2*365.25))),0,1),1))</f>
        <v/>
      </c>
      <c r="AB417" s="11"/>
      <c r="AC417" s="11" t="e">
        <f>IF(Data!#REF!="","",IF(ISNUMBER(MATCH(Data!#REF!,Data_Val!$A$2:$A$3,0)),0,1))</f>
        <v>#REF!</v>
      </c>
      <c r="AD417" s="11" t="e">
        <f ca="1">IF(Data!#REF!="","",IF(ISNUMBER(Data!#REF!),IF(AND(Data!#REF!&gt;(TODAY()-(Data_Val!$L$3*365.25)),Data!#REF!&lt;=(TODAY()-(Data_Val!$L$2*365.25))),0,1),1))</f>
        <v>#REF!</v>
      </c>
      <c r="AE417" s="11" t="e">
        <f>IF(Data!#REF!="","",IF(Data!$G417="",1,IF(ISNUMBER(MATCH(Data!#REF!,Data_Val!$D$2:$D$10,0)),0,1)))</f>
        <v>#REF!</v>
      </c>
      <c r="AF417" s="12"/>
      <c r="AG417" s="12" t="e">
        <f>IF(Data!#REF!="","",IF(ISNUMBER(MATCH(Data!#REF!,Data_Val!$A$2:$A$3,0)),0,1))</f>
        <v>#REF!</v>
      </c>
      <c r="AH417" s="26" t="e">
        <f ca="1">IF(Data!#REF!="","",IF(ISNUMBER(Data!#REF!),IF(AND(Data!#REF!&gt;(TODAY()-(Data_Val!$L$3*365.25)),Data!#REF!&lt;=(TODAY()-(Data_Val!$L$2*365.25))),0,1),1))</f>
        <v>#REF!</v>
      </c>
      <c r="AI417" s="12" t="e">
        <f>IF(Data!#REF!="","",IF(Data!$G417="",1,IF(ISNUMBER(MATCH(Data!#REF!,Data_Val!$D$2:$D$10,0)),0,1)))</f>
        <v>#REF!</v>
      </c>
      <c r="AJ417" s="17"/>
      <c r="AK417" s="17" t="e">
        <f>IF(Data!#REF!="","",IF(ISNUMBER(MATCH(Data!#REF!,Data_Val!$A$2:$A$3,0)),0,1))</f>
        <v>#REF!</v>
      </c>
      <c r="AL417" s="25" t="e">
        <f ca="1">IF(Data!#REF!="","",IF(ISNUMBER(Data!#REF!),IF(AND(Data!#REF!&gt;(TODAY()-(Data_Val!$L$3*365.25)),Data!#REF!&lt;=(TODAY()-(Data_Val!$L$2*365.25))),0,1),1))</f>
        <v>#REF!</v>
      </c>
      <c r="AM417" s="17" t="e">
        <f>IF(Data!#REF!="","",IF(Data!$G417="",1,IF(ISNUMBER(MATCH(Data!#REF!,Data_Val!$D$2:$D$10,0)),0,1)))</f>
        <v>#REF!</v>
      </c>
      <c r="AN417" s="13"/>
      <c r="AO417" s="28" t="e">
        <f ca="1">IF(Data!#REF!="","",IF(ISNUMBER(Data!#REF!),IF(AND(Data!#REF!&gt;(TODAY()-(Data_Val!$I$3*365.25)),Data!#REF!&lt;=(TODAY()-(Data_Val!$I$2*365.25))),0,1),1))</f>
        <v>#REF!</v>
      </c>
      <c r="AP417" s="13" t="e">
        <f>IF(Data!#REF!="","",IF(Data!$G417="",1,IF(ISNUMBER(MATCH(Data!#REF!,Data_Val!$D$2:$D$10,0)),0,1)))</f>
        <v>#REF!</v>
      </c>
      <c r="AQ417" s="17"/>
      <c r="AR417" s="30" t="e">
        <f ca="1">IF(Data!#REF!="","",IF(ISNUMBER(Data!#REF!),IF(AND(Data!#REF!&gt;(TODAY()-(Data_Val!$I$3*365.25)),Data!#REF!&lt;=(TODAY()-(Data_Val!$I$2*365.25))),0,1),1))</f>
        <v>#REF!</v>
      </c>
      <c r="AS417" s="31" t="e">
        <f>IF(Data!#REF!="","",IF(Data!$G417="",1,IF(ISNUMBER(MATCH(Data!#REF!,Data_Val!$D$2:$D$10,0)),0,1)))</f>
        <v>#REF!</v>
      </c>
      <c r="AT417" s="11"/>
      <c r="AU417" s="11" t="e">
        <f ca="1">IF(Data!#REF!="","",IF(ISNUMBER(Data!#REF!),IF(AND(Data!#REF!&gt;(TODAY()-(Data_Val!$I$3*365.25)),Data!#REF!&lt;=(TODAY()-(Data_Val!$I$2*365.25))),0,1),1))</f>
        <v>#REF!</v>
      </c>
      <c r="AV417" s="11" t="e">
        <f>IF(Data!#REF!="","",IF(Data!$G417="",1,IF(ISNUMBER(MATCH(Data!#REF!,Data_Val!$D$2:$D$10,0)),0,1)))</f>
        <v>#REF!</v>
      </c>
      <c r="AW417" s="12"/>
      <c r="AX417" s="26" t="e">
        <f ca="1">IF(Data!#REF!="","",IF(ISNUMBER(Data!#REF!),IF(AND(Data!#REF!&gt;(TODAY()-(Data_Val!$I$3*365.25)),Data!#REF!&lt;=(TODAY()-(Data_Val!$I$2*365.25))),0,1),1))</f>
        <v>#REF!</v>
      </c>
      <c r="AY417" s="12" t="e">
        <f>IF(Data!#REF!="","",IF(Data!$G417="",1,IF(ISNUMBER(MATCH(Data!#REF!,Data_Val!$D$2:$D$10,0)),0,1)))</f>
        <v>#REF!</v>
      </c>
      <c r="AZ417" s="11"/>
      <c r="BA417" s="19" t="e">
        <f ca="1">IF(Data!#REF!="","",IF(ISNUMBER(Data!#REF!),IF(AND(Data!#REF!&gt;(TODAY()-(Data_Val!$M$3*365.25)),Data!#REF!&lt;=(TODAY()-(Data_Val!$M$2*365.25))),0,1),1))</f>
        <v>#REF!</v>
      </c>
      <c r="BB417" s="11" t="e">
        <f>IF(Data!#REF!="","",IF(Data!$G417="",1,IF(ISNUMBER(MATCH(Data!#REF!,Data_Val!$D$2:$D$10,0)),0,1)))</f>
        <v>#REF!</v>
      </c>
      <c r="BC417" s="12"/>
      <c r="BD417" s="20" t="e">
        <f ca="1">IF(Data!#REF!="","",IF(ISNUMBER(Data!#REF!),IF(AND(Data!#REF!&gt;(TODAY()-(Data_Val!$M$3*365.25)),Data!#REF!&lt;=(TODAY()-(Data_Val!$M$2*365.25))),0,1),1))</f>
        <v>#REF!</v>
      </c>
      <c r="BE417" s="12" t="e">
        <f>IF(Data!#REF!="","",IF(Data!$G417="",1,IF(ISNUMBER(MATCH(Data!#REF!,Data_Val!$D$2:$D$10,0)),0,1)))</f>
        <v>#REF!</v>
      </c>
      <c r="BF417" s="17"/>
      <c r="BG417" s="18" t="e">
        <f ca="1">IF(Data!#REF!="","",IF(ISNUMBER(Data!#REF!),IF(AND(Data!#REF!&gt;(TODAY()-(Data_Val!$M$3*365.25)),Data!#REF!&lt;=(TODAY()-(Data_Val!$M$2*365.25))),0,1),1))</f>
        <v>#REF!</v>
      </c>
      <c r="BH417" s="29" t="e">
        <f>IF(Data!#REF!="","",IF(Data!$G417="",1,IF(ISNUMBER(MATCH(Data!#REF!,Data_Val!$D$2:$D$10,0)),0,1)))</f>
        <v>#REF!</v>
      </c>
      <c r="BI417" s="13"/>
      <c r="BJ417" s="21" t="e">
        <f ca="1">IF(Data!#REF!="","",IF(ISNUMBER(Data!#REF!),IF(AND(Data!#REF!&gt;(TODAY()-(Data_Val!$M$3*365.25)),Data!#REF!&lt;=(TODAY()-(Data_Val!$M$2*365.25))),0,1),1))</f>
        <v>#REF!</v>
      </c>
      <c r="BK417" s="13" t="e">
        <f>IF(Data!#REF!="","",IF(Data!$G417="",1,IF(ISNUMBER(MATCH(Data!#REF!,Data_Val!$D$2:$D$10,0)),0,1)))</f>
        <v>#REF!</v>
      </c>
    </row>
    <row r="418" spans="1:63" x14ac:dyDescent="0.25">
      <c r="A418" s="9" t="str">
        <f>IF(Data!B418="","",IF(COUNTIFS(Data!A$1:'Data'!A418,Data!A418)&lt;=1,0,1))</f>
        <v/>
      </c>
      <c r="B418" s="9"/>
      <c r="C418" s="23" t="str">
        <f>IF(Data!C418="","",(IF(ISNUMBER(MATCH("*@*.?*",Data!C418,0)),0,1)+IF(COUNTIFS(Data!C$1:'Data'!C418,Data!C418)&gt;1,1,0)))</f>
        <v/>
      </c>
      <c r="D418" s="9" t="str">
        <f>IF(Data!B418="","",IF(ISNUMBER(Data!D418),IF(AND(Data!D418&gt;999999999,Data!D418&lt;=9999999999),IF(COUNTIFS(Data!D$1:'Data'!D418,Data!D418)&lt;=1,0,1),1),1))</f>
        <v/>
      </c>
      <c r="E418" s="9" t="str">
        <f>IF(Data!B418="","",IF(ISNUMBER(MATCH(Data!E418,Data_Val!$A$2:$A$3,0)),0,1))</f>
        <v/>
      </c>
      <c r="F418" s="9" t="str">
        <f ca="1">IF(Data!B418="","",IF(ISNUMBER(Data!F418),IF(AND(Data!F418&gt;(TODAY()-(Data_Val!$H$3*365.25)),Data!F418&lt;=(TODAY()-(Data_Val!$H$2*365.25))),0,1),1))</f>
        <v/>
      </c>
      <c r="G418" s="15" t="str">
        <f>IF(Data!B418="","",IF(AND(Data!G418="",Data!H418&lt;&gt;""),1,IF(Data!#REF!&lt;&gt;"",0,IF(ISNUMBER(MATCH(Data!G418,Data_Val!$C$2:$C$5,0)),0,1))))</f>
        <v/>
      </c>
      <c r="H418" s="15" t="str">
        <f>IF(Data!B418="","",IF(AND(Data!G418&lt;&gt;"",Data!H418=""),1,IF(Data!#REF!&lt;&gt;"",0,IF(Data!G418="",1,IF(ISNUMBER(MATCH(Data!H418,Data_Val!$D$2:$D$35,0)),0,1)))))</f>
        <v/>
      </c>
      <c r="I418" s="15" t="str">
        <f>IF(Data!B418="","",IF(Data!G418&lt;&gt;"",0,IF(ISNUMBER(MATCH(Data!#REF!,Data_Val!$E$2:$E$12,0)),0,1)))</f>
        <v/>
      </c>
      <c r="J418" s="16" t="e">
        <f>IF(OR(Data!B418="",Data!#REF!=""),"",IF(Data!#REF!="",1,0))</f>
        <v>#REF!</v>
      </c>
      <c r="K418" s="16" t="e">
        <f>IF(OR(Data!B418="",Data!#REF!=""),"",IF(Data!#REF!="",1,0))</f>
        <v>#REF!</v>
      </c>
      <c r="L418" s="16" t="e">
        <f>IF(OR(Data!B418="",Data!#REF!=""),"",IF(ISNUMBER(Data!#REF!),IF(AND(Data!#REF!&gt;Data_Val!$G$2,Data!#REF!&lt;=Data_Val!$G$3),0,1),1))</f>
        <v>#REF!</v>
      </c>
      <c r="M418" s="9" t="e">
        <f>IF(OR(Data!B418="",Data!#REF!=""),"",IF(ISNUMBER(MATCH(Data!#REF!,Data_Val!$F$1:$F$38,0)),0,1))</f>
        <v>#REF!</v>
      </c>
      <c r="N418" s="9" t="e">
        <f>IF(OR(Data!B418="",Data!#REF!=""),"",IF(Data!#REF!="",1,0))</f>
        <v>#REF!</v>
      </c>
      <c r="O418" s="17" t="e">
        <f>IF(Data!#REF!="","",IF(Data!#REF!="",1,0))</f>
        <v>#REF!</v>
      </c>
      <c r="P418" s="17" t="e">
        <f>IF(Data!#REF!="","",IF(ISNUMBER(MATCH(Data!#REF!,Data_Val!$A$2:$A$3,0)),0,1))</f>
        <v>#REF!</v>
      </c>
      <c r="Q418" s="25" t="e">
        <f ca="1">IF(Data!#REF!="","",IF(ISNUMBER(Data!#REF!),IF(AND(Data!#REF!&gt;(TODAY()-(Data_Val!$J$3*365.25)),Data!#REF!&lt;=(TODAY()-(Data_Val!$J$2*365.25))),0,1),1))</f>
        <v>#REF!</v>
      </c>
      <c r="R418" s="17" t="e">
        <f>IF(Data!#REF!="","",IF(ISNUMBER(MATCH(Data!#REF!,Data_Val!$B$2:$B$15,0)),0,1))</f>
        <v>#REF!</v>
      </c>
      <c r="S418" s="11" t="str">
        <f>IF(Data!G418="","",IF(Data!G418=Data_Val!$C$2,IF(Data!M418="",0,1),0))</f>
        <v/>
      </c>
      <c r="T418" s="11" t="str">
        <f>IF(Data!M418="","",IF(ISNUMBER(MATCH(Data!N418,Data_Val!$A$2:$A$3,0)),0,1))</f>
        <v/>
      </c>
      <c r="U418" s="11" t="str">
        <f ca="1">IF(Data!M418="","",IF(ISNUMBER(Data!O418),IF(AND(Data!O418&gt;(TODAY()-(Data_Val!$K$3*365.25)),Data!O418&lt;=(TODAY()-(Data_Val!$K$2*365.25))),0,1),1))</f>
        <v/>
      </c>
      <c r="V418" s="12" t="str">
        <f>IF(Data!G418="","",IF(Data!G418=Data_Val!$C$2,IF(Data!P418="",0,1),0))</f>
        <v/>
      </c>
      <c r="W418" s="12" t="str">
        <f>IF(Data!P418="","",IF(ISNUMBER(MATCH(Data!Q418,Data_Val!$A$2:$A$3,0)),0,1))</f>
        <v/>
      </c>
      <c r="X418" s="26" t="str">
        <f ca="1">IF(Data!P418="","",IF(ISNUMBER(Data!R418),IF(AND(Data!R418&gt;(TODAY()-(Data_Val!$L$3*365.25)),Data!R418&lt;=(TODAY()-(Data_Val!$L$2*365.25))),0,1),1))</f>
        <v/>
      </c>
      <c r="Y418" s="13" t="str">
        <f>IF(Data!$G418="","",IF(Data!$G418=Data_Val!$C$2,IF(Data!S418="",0,1),0))</f>
        <v/>
      </c>
      <c r="Z418" s="13" t="str">
        <f>IF(Data!S418="","",IF(ISNUMBER(MATCH(Data!T418,Data_Val!$A$2:$A$3,0)),0,1))</f>
        <v/>
      </c>
      <c r="AA418" s="28" t="str">
        <f ca="1">IF(Data!S418="","",IF(ISNUMBER(Data!U418),IF(AND(Data!U418&gt;(TODAY()-(Data_Val!$L$3*365.25)),Data!U418&lt;=(TODAY()-(Data_Val!$L$2*365.25))),0,1),1))</f>
        <v/>
      </c>
      <c r="AB418" s="11"/>
      <c r="AC418" s="11" t="e">
        <f>IF(Data!#REF!="","",IF(ISNUMBER(MATCH(Data!#REF!,Data_Val!$A$2:$A$3,0)),0,1))</f>
        <v>#REF!</v>
      </c>
      <c r="AD418" s="11" t="e">
        <f ca="1">IF(Data!#REF!="","",IF(ISNUMBER(Data!#REF!),IF(AND(Data!#REF!&gt;(TODAY()-(Data_Val!$L$3*365.25)),Data!#REF!&lt;=(TODAY()-(Data_Val!$L$2*365.25))),0,1),1))</f>
        <v>#REF!</v>
      </c>
      <c r="AE418" s="11" t="e">
        <f>IF(Data!#REF!="","",IF(Data!$G418="",1,IF(ISNUMBER(MATCH(Data!#REF!,Data_Val!$D$2:$D$10,0)),0,1)))</f>
        <v>#REF!</v>
      </c>
      <c r="AF418" s="12"/>
      <c r="AG418" s="12" t="e">
        <f>IF(Data!#REF!="","",IF(ISNUMBER(MATCH(Data!#REF!,Data_Val!$A$2:$A$3,0)),0,1))</f>
        <v>#REF!</v>
      </c>
      <c r="AH418" s="26" t="e">
        <f ca="1">IF(Data!#REF!="","",IF(ISNUMBER(Data!#REF!),IF(AND(Data!#REF!&gt;(TODAY()-(Data_Val!$L$3*365.25)),Data!#REF!&lt;=(TODAY()-(Data_Val!$L$2*365.25))),0,1),1))</f>
        <v>#REF!</v>
      </c>
      <c r="AI418" s="12" t="e">
        <f>IF(Data!#REF!="","",IF(Data!$G418="",1,IF(ISNUMBER(MATCH(Data!#REF!,Data_Val!$D$2:$D$10,0)),0,1)))</f>
        <v>#REF!</v>
      </c>
      <c r="AJ418" s="17"/>
      <c r="AK418" s="17" t="e">
        <f>IF(Data!#REF!="","",IF(ISNUMBER(MATCH(Data!#REF!,Data_Val!$A$2:$A$3,0)),0,1))</f>
        <v>#REF!</v>
      </c>
      <c r="AL418" s="25" t="e">
        <f ca="1">IF(Data!#REF!="","",IF(ISNUMBER(Data!#REF!),IF(AND(Data!#REF!&gt;(TODAY()-(Data_Val!$L$3*365.25)),Data!#REF!&lt;=(TODAY()-(Data_Val!$L$2*365.25))),0,1),1))</f>
        <v>#REF!</v>
      </c>
      <c r="AM418" s="17" t="e">
        <f>IF(Data!#REF!="","",IF(Data!$G418="",1,IF(ISNUMBER(MATCH(Data!#REF!,Data_Val!$D$2:$D$10,0)),0,1)))</f>
        <v>#REF!</v>
      </c>
      <c r="AN418" s="13"/>
      <c r="AO418" s="28" t="e">
        <f ca="1">IF(Data!#REF!="","",IF(ISNUMBER(Data!#REF!),IF(AND(Data!#REF!&gt;(TODAY()-(Data_Val!$I$3*365.25)),Data!#REF!&lt;=(TODAY()-(Data_Val!$I$2*365.25))),0,1),1))</f>
        <v>#REF!</v>
      </c>
      <c r="AP418" s="13" t="e">
        <f>IF(Data!#REF!="","",IF(Data!$G418="",1,IF(ISNUMBER(MATCH(Data!#REF!,Data_Val!$D$2:$D$10,0)),0,1)))</f>
        <v>#REF!</v>
      </c>
      <c r="AQ418" s="17"/>
      <c r="AR418" s="30" t="e">
        <f ca="1">IF(Data!#REF!="","",IF(ISNUMBER(Data!#REF!),IF(AND(Data!#REF!&gt;(TODAY()-(Data_Val!$I$3*365.25)),Data!#REF!&lt;=(TODAY()-(Data_Val!$I$2*365.25))),0,1),1))</f>
        <v>#REF!</v>
      </c>
      <c r="AS418" s="31" t="e">
        <f>IF(Data!#REF!="","",IF(Data!$G418="",1,IF(ISNUMBER(MATCH(Data!#REF!,Data_Val!$D$2:$D$10,0)),0,1)))</f>
        <v>#REF!</v>
      </c>
      <c r="AT418" s="11"/>
      <c r="AU418" s="11" t="e">
        <f ca="1">IF(Data!#REF!="","",IF(ISNUMBER(Data!#REF!),IF(AND(Data!#REF!&gt;(TODAY()-(Data_Val!$I$3*365.25)),Data!#REF!&lt;=(TODAY()-(Data_Val!$I$2*365.25))),0,1),1))</f>
        <v>#REF!</v>
      </c>
      <c r="AV418" s="11" t="e">
        <f>IF(Data!#REF!="","",IF(Data!$G418="",1,IF(ISNUMBER(MATCH(Data!#REF!,Data_Val!$D$2:$D$10,0)),0,1)))</f>
        <v>#REF!</v>
      </c>
      <c r="AW418" s="12"/>
      <c r="AX418" s="26" t="e">
        <f ca="1">IF(Data!#REF!="","",IF(ISNUMBER(Data!#REF!),IF(AND(Data!#REF!&gt;(TODAY()-(Data_Val!$I$3*365.25)),Data!#REF!&lt;=(TODAY()-(Data_Val!$I$2*365.25))),0,1),1))</f>
        <v>#REF!</v>
      </c>
      <c r="AY418" s="12" t="e">
        <f>IF(Data!#REF!="","",IF(Data!$G418="",1,IF(ISNUMBER(MATCH(Data!#REF!,Data_Val!$D$2:$D$10,0)),0,1)))</f>
        <v>#REF!</v>
      </c>
      <c r="AZ418" s="11"/>
      <c r="BA418" s="19" t="e">
        <f ca="1">IF(Data!#REF!="","",IF(ISNUMBER(Data!#REF!),IF(AND(Data!#REF!&gt;(TODAY()-(Data_Val!$M$3*365.25)),Data!#REF!&lt;=(TODAY()-(Data_Val!$M$2*365.25))),0,1),1))</f>
        <v>#REF!</v>
      </c>
      <c r="BB418" s="11" t="e">
        <f>IF(Data!#REF!="","",IF(Data!$G418="",1,IF(ISNUMBER(MATCH(Data!#REF!,Data_Val!$D$2:$D$10,0)),0,1)))</f>
        <v>#REF!</v>
      </c>
      <c r="BC418" s="12"/>
      <c r="BD418" s="20" t="e">
        <f ca="1">IF(Data!#REF!="","",IF(ISNUMBER(Data!#REF!),IF(AND(Data!#REF!&gt;(TODAY()-(Data_Val!$M$3*365.25)),Data!#REF!&lt;=(TODAY()-(Data_Val!$M$2*365.25))),0,1),1))</f>
        <v>#REF!</v>
      </c>
      <c r="BE418" s="12" t="e">
        <f>IF(Data!#REF!="","",IF(Data!$G418="",1,IF(ISNUMBER(MATCH(Data!#REF!,Data_Val!$D$2:$D$10,0)),0,1)))</f>
        <v>#REF!</v>
      </c>
      <c r="BF418" s="17"/>
      <c r="BG418" s="18" t="e">
        <f ca="1">IF(Data!#REF!="","",IF(ISNUMBER(Data!#REF!),IF(AND(Data!#REF!&gt;(TODAY()-(Data_Val!$M$3*365.25)),Data!#REF!&lt;=(TODAY()-(Data_Val!$M$2*365.25))),0,1),1))</f>
        <v>#REF!</v>
      </c>
      <c r="BH418" s="29" t="e">
        <f>IF(Data!#REF!="","",IF(Data!$G418="",1,IF(ISNUMBER(MATCH(Data!#REF!,Data_Val!$D$2:$D$10,0)),0,1)))</f>
        <v>#REF!</v>
      </c>
      <c r="BI418" s="13"/>
      <c r="BJ418" s="21" t="e">
        <f ca="1">IF(Data!#REF!="","",IF(ISNUMBER(Data!#REF!),IF(AND(Data!#REF!&gt;(TODAY()-(Data_Val!$M$3*365.25)),Data!#REF!&lt;=(TODAY()-(Data_Val!$M$2*365.25))),0,1),1))</f>
        <v>#REF!</v>
      </c>
      <c r="BK418" s="13" t="e">
        <f>IF(Data!#REF!="","",IF(Data!$G418="",1,IF(ISNUMBER(MATCH(Data!#REF!,Data_Val!$D$2:$D$10,0)),0,1)))</f>
        <v>#REF!</v>
      </c>
    </row>
    <row r="419" spans="1:63" x14ac:dyDescent="0.25">
      <c r="A419" s="9" t="str">
        <f>IF(Data!B419="","",IF(COUNTIFS(Data!A$1:'Data'!A419,Data!A419)&lt;=1,0,1))</f>
        <v/>
      </c>
      <c r="B419" s="9"/>
      <c r="C419" s="23" t="str">
        <f>IF(Data!C419="","",(IF(ISNUMBER(MATCH("*@*.?*",Data!C419,0)),0,1)+IF(COUNTIFS(Data!C$1:'Data'!C419,Data!C419)&gt;1,1,0)))</f>
        <v/>
      </c>
      <c r="D419" s="9" t="str">
        <f>IF(Data!B419="","",IF(ISNUMBER(Data!D419),IF(AND(Data!D419&gt;999999999,Data!D419&lt;=9999999999),IF(COUNTIFS(Data!D$1:'Data'!D419,Data!D419)&lt;=1,0,1),1),1))</f>
        <v/>
      </c>
      <c r="E419" s="9" t="str">
        <f>IF(Data!B419="","",IF(ISNUMBER(MATCH(Data!E419,Data_Val!$A$2:$A$3,0)),0,1))</f>
        <v/>
      </c>
      <c r="F419" s="9" t="str">
        <f ca="1">IF(Data!B419="","",IF(ISNUMBER(Data!F419),IF(AND(Data!F419&gt;(TODAY()-(Data_Val!$H$3*365.25)),Data!F419&lt;=(TODAY()-(Data_Val!$H$2*365.25))),0,1),1))</f>
        <v/>
      </c>
      <c r="G419" s="15" t="str">
        <f>IF(Data!B419="","",IF(AND(Data!G419="",Data!H419&lt;&gt;""),1,IF(Data!#REF!&lt;&gt;"",0,IF(ISNUMBER(MATCH(Data!G419,Data_Val!$C$2:$C$5,0)),0,1))))</f>
        <v/>
      </c>
      <c r="H419" s="15" t="str">
        <f>IF(Data!B419="","",IF(AND(Data!G419&lt;&gt;"",Data!H419=""),1,IF(Data!#REF!&lt;&gt;"",0,IF(Data!G419="",1,IF(ISNUMBER(MATCH(Data!H419,Data_Val!$D$2:$D$35,0)),0,1)))))</f>
        <v/>
      </c>
      <c r="I419" s="15" t="str">
        <f>IF(Data!B419="","",IF(Data!G419&lt;&gt;"",0,IF(ISNUMBER(MATCH(Data!#REF!,Data_Val!$E$2:$E$12,0)),0,1)))</f>
        <v/>
      </c>
      <c r="J419" s="16" t="e">
        <f>IF(OR(Data!B419="",Data!#REF!=""),"",IF(Data!#REF!="",1,0))</f>
        <v>#REF!</v>
      </c>
      <c r="K419" s="16" t="e">
        <f>IF(OR(Data!B419="",Data!#REF!=""),"",IF(Data!#REF!="",1,0))</f>
        <v>#REF!</v>
      </c>
      <c r="L419" s="16" t="e">
        <f>IF(OR(Data!B419="",Data!#REF!=""),"",IF(ISNUMBER(Data!#REF!),IF(AND(Data!#REF!&gt;Data_Val!$G$2,Data!#REF!&lt;=Data_Val!$G$3),0,1),1))</f>
        <v>#REF!</v>
      </c>
      <c r="M419" s="9" t="e">
        <f>IF(OR(Data!B419="",Data!#REF!=""),"",IF(ISNUMBER(MATCH(Data!#REF!,Data_Val!$F$1:$F$38,0)),0,1))</f>
        <v>#REF!</v>
      </c>
      <c r="N419" s="9" t="e">
        <f>IF(OR(Data!B419="",Data!#REF!=""),"",IF(Data!#REF!="",1,0))</f>
        <v>#REF!</v>
      </c>
      <c r="O419" s="17" t="e">
        <f>IF(Data!#REF!="","",IF(Data!#REF!="",1,0))</f>
        <v>#REF!</v>
      </c>
      <c r="P419" s="17" t="e">
        <f>IF(Data!#REF!="","",IF(ISNUMBER(MATCH(Data!#REF!,Data_Val!$A$2:$A$3,0)),0,1))</f>
        <v>#REF!</v>
      </c>
      <c r="Q419" s="25" t="e">
        <f ca="1">IF(Data!#REF!="","",IF(ISNUMBER(Data!#REF!),IF(AND(Data!#REF!&gt;(TODAY()-(Data_Val!$J$3*365.25)),Data!#REF!&lt;=(TODAY()-(Data_Val!$J$2*365.25))),0,1),1))</f>
        <v>#REF!</v>
      </c>
      <c r="R419" s="17" t="e">
        <f>IF(Data!#REF!="","",IF(ISNUMBER(MATCH(Data!#REF!,Data_Val!$B$2:$B$15,0)),0,1))</f>
        <v>#REF!</v>
      </c>
      <c r="S419" s="11" t="str">
        <f>IF(Data!G419="","",IF(Data!G419=Data_Val!$C$2,IF(Data!M419="",0,1),0))</f>
        <v/>
      </c>
      <c r="T419" s="11" t="str">
        <f>IF(Data!M419="","",IF(ISNUMBER(MATCH(Data!N419,Data_Val!$A$2:$A$3,0)),0,1))</f>
        <v/>
      </c>
      <c r="U419" s="11" t="str">
        <f ca="1">IF(Data!M419="","",IF(ISNUMBER(Data!O419),IF(AND(Data!O419&gt;(TODAY()-(Data_Val!$K$3*365.25)),Data!O419&lt;=(TODAY()-(Data_Val!$K$2*365.25))),0,1),1))</f>
        <v/>
      </c>
      <c r="V419" s="12" t="str">
        <f>IF(Data!G419="","",IF(Data!G419=Data_Val!$C$2,IF(Data!P419="",0,1),0))</f>
        <v/>
      </c>
      <c r="W419" s="12" t="str">
        <f>IF(Data!P419="","",IF(ISNUMBER(MATCH(Data!Q419,Data_Val!$A$2:$A$3,0)),0,1))</f>
        <v/>
      </c>
      <c r="X419" s="26" t="str">
        <f ca="1">IF(Data!P419="","",IF(ISNUMBER(Data!R419),IF(AND(Data!R419&gt;(TODAY()-(Data_Val!$L$3*365.25)),Data!R419&lt;=(TODAY()-(Data_Val!$L$2*365.25))),0,1),1))</f>
        <v/>
      </c>
      <c r="Y419" s="13" t="str">
        <f>IF(Data!$G419="","",IF(Data!$G419=Data_Val!$C$2,IF(Data!S419="",0,1),0))</f>
        <v/>
      </c>
      <c r="Z419" s="13" t="str">
        <f>IF(Data!S419="","",IF(ISNUMBER(MATCH(Data!T419,Data_Val!$A$2:$A$3,0)),0,1))</f>
        <v/>
      </c>
      <c r="AA419" s="28" t="str">
        <f ca="1">IF(Data!S419="","",IF(ISNUMBER(Data!U419),IF(AND(Data!U419&gt;(TODAY()-(Data_Val!$L$3*365.25)),Data!U419&lt;=(TODAY()-(Data_Val!$L$2*365.25))),0,1),1))</f>
        <v/>
      </c>
      <c r="AB419" s="11"/>
      <c r="AC419" s="11" t="e">
        <f>IF(Data!#REF!="","",IF(ISNUMBER(MATCH(Data!#REF!,Data_Val!$A$2:$A$3,0)),0,1))</f>
        <v>#REF!</v>
      </c>
      <c r="AD419" s="11" t="e">
        <f ca="1">IF(Data!#REF!="","",IF(ISNUMBER(Data!#REF!),IF(AND(Data!#REF!&gt;(TODAY()-(Data_Val!$L$3*365.25)),Data!#REF!&lt;=(TODAY()-(Data_Val!$L$2*365.25))),0,1),1))</f>
        <v>#REF!</v>
      </c>
      <c r="AE419" s="11" t="e">
        <f>IF(Data!#REF!="","",IF(Data!$G419="",1,IF(ISNUMBER(MATCH(Data!#REF!,Data_Val!$D$2:$D$10,0)),0,1)))</f>
        <v>#REF!</v>
      </c>
      <c r="AF419" s="12"/>
      <c r="AG419" s="12" t="e">
        <f>IF(Data!#REF!="","",IF(ISNUMBER(MATCH(Data!#REF!,Data_Val!$A$2:$A$3,0)),0,1))</f>
        <v>#REF!</v>
      </c>
      <c r="AH419" s="26" t="e">
        <f ca="1">IF(Data!#REF!="","",IF(ISNUMBER(Data!#REF!),IF(AND(Data!#REF!&gt;(TODAY()-(Data_Val!$L$3*365.25)),Data!#REF!&lt;=(TODAY()-(Data_Val!$L$2*365.25))),0,1),1))</f>
        <v>#REF!</v>
      </c>
      <c r="AI419" s="12" t="e">
        <f>IF(Data!#REF!="","",IF(Data!$G419="",1,IF(ISNUMBER(MATCH(Data!#REF!,Data_Val!$D$2:$D$10,0)),0,1)))</f>
        <v>#REF!</v>
      </c>
      <c r="AJ419" s="17"/>
      <c r="AK419" s="17" t="e">
        <f>IF(Data!#REF!="","",IF(ISNUMBER(MATCH(Data!#REF!,Data_Val!$A$2:$A$3,0)),0,1))</f>
        <v>#REF!</v>
      </c>
      <c r="AL419" s="25" t="e">
        <f ca="1">IF(Data!#REF!="","",IF(ISNUMBER(Data!#REF!),IF(AND(Data!#REF!&gt;(TODAY()-(Data_Val!$L$3*365.25)),Data!#REF!&lt;=(TODAY()-(Data_Val!$L$2*365.25))),0,1),1))</f>
        <v>#REF!</v>
      </c>
      <c r="AM419" s="17" t="e">
        <f>IF(Data!#REF!="","",IF(Data!$G419="",1,IF(ISNUMBER(MATCH(Data!#REF!,Data_Val!$D$2:$D$10,0)),0,1)))</f>
        <v>#REF!</v>
      </c>
      <c r="AN419" s="13"/>
      <c r="AO419" s="28" t="e">
        <f ca="1">IF(Data!#REF!="","",IF(ISNUMBER(Data!#REF!),IF(AND(Data!#REF!&gt;(TODAY()-(Data_Val!$I$3*365.25)),Data!#REF!&lt;=(TODAY()-(Data_Val!$I$2*365.25))),0,1),1))</f>
        <v>#REF!</v>
      </c>
      <c r="AP419" s="13" t="e">
        <f>IF(Data!#REF!="","",IF(Data!$G419="",1,IF(ISNUMBER(MATCH(Data!#REF!,Data_Val!$D$2:$D$10,0)),0,1)))</f>
        <v>#REF!</v>
      </c>
      <c r="AQ419" s="17"/>
      <c r="AR419" s="30" t="e">
        <f ca="1">IF(Data!#REF!="","",IF(ISNUMBER(Data!#REF!),IF(AND(Data!#REF!&gt;(TODAY()-(Data_Val!$I$3*365.25)),Data!#REF!&lt;=(TODAY()-(Data_Val!$I$2*365.25))),0,1),1))</f>
        <v>#REF!</v>
      </c>
      <c r="AS419" s="31" t="e">
        <f>IF(Data!#REF!="","",IF(Data!$G419="",1,IF(ISNUMBER(MATCH(Data!#REF!,Data_Val!$D$2:$D$10,0)),0,1)))</f>
        <v>#REF!</v>
      </c>
      <c r="AT419" s="11"/>
      <c r="AU419" s="11" t="e">
        <f ca="1">IF(Data!#REF!="","",IF(ISNUMBER(Data!#REF!),IF(AND(Data!#REF!&gt;(TODAY()-(Data_Val!$I$3*365.25)),Data!#REF!&lt;=(TODAY()-(Data_Val!$I$2*365.25))),0,1),1))</f>
        <v>#REF!</v>
      </c>
      <c r="AV419" s="11" t="e">
        <f>IF(Data!#REF!="","",IF(Data!$G419="",1,IF(ISNUMBER(MATCH(Data!#REF!,Data_Val!$D$2:$D$10,0)),0,1)))</f>
        <v>#REF!</v>
      </c>
      <c r="AW419" s="12"/>
      <c r="AX419" s="26" t="e">
        <f ca="1">IF(Data!#REF!="","",IF(ISNUMBER(Data!#REF!),IF(AND(Data!#REF!&gt;(TODAY()-(Data_Val!$I$3*365.25)),Data!#REF!&lt;=(TODAY()-(Data_Val!$I$2*365.25))),0,1),1))</f>
        <v>#REF!</v>
      </c>
      <c r="AY419" s="12" t="e">
        <f>IF(Data!#REF!="","",IF(Data!$G419="",1,IF(ISNUMBER(MATCH(Data!#REF!,Data_Val!$D$2:$D$10,0)),0,1)))</f>
        <v>#REF!</v>
      </c>
      <c r="AZ419" s="11"/>
      <c r="BA419" s="19" t="e">
        <f ca="1">IF(Data!#REF!="","",IF(ISNUMBER(Data!#REF!),IF(AND(Data!#REF!&gt;(TODAY()-(Data_Val!$M$3*365.25)),Data!#REF!&lt;=(TODAY()-(Data_Val!$M$2*365.25))),0,1),1))</f>
        <v>#REF!</v>
      </c>
      <c r="BB419" s="11" t="e">
        <f>IF(Data!#REF!="","",IF(Data!$G419="",1,IF(ISNUMBER(MATCH(Data!#REF!,Data_Val!$D$2:$D$10,0)),0,1)))</f>
        <v>#REF!</v>
      </c>
      <c r="BC419" s="12"/>
      <c r="BD419" s="20" t="e">
        <f ca="1">IF(Data!#REF!="","",IF(ISNUMBER(Data!#REF!),IF(AND(Data!#REF!&gt;(TODAY()-(Data_Val!$M$3*365.25)),Data!#REF!&lt;=(TODAY()-(Data_Val!$M$2*365.25))),0,1),1))</f>
        <v>#REF!</v>
      </c>
      <c r="BE419" s="12" t="e">
        <f>IF(Data!#REF!="","",IF(Data!$G419="",1,IF(ISNUMBER(MATCH(Data!#REF!,Data_Val!$D$2:$D$10,0)),0,1)))</f>
        <v>#REF!</v>
      </c>
      <c r="BF419" s="17"/>
      <c r="BG419" s="18" t="e">
        <f ca="1">IF(Data!#REF!="","",IF(ISNUMBER(Data!#REF!),IF(AND(Data!#REF!&gt;(TODAY()-(Data_Val!$M$3*365.25)),Data!#REF!&lt;=(TODAY()-(Data_Val!$M$2*365.25))),0,1),1))</f>
        <v>#REF!</v>
      </c>
      <c r="BH419" s="29" t="e">
        <f>IF(Data!#REF!="","",IF(Data!$G419="",1,IF(ISNUMBER(MATCH(Data!#REF!,Data_Val!$D$2:$D$10,0)),0,1)))</f>
        <v>#REF!</v>
      </c>
      <c r="BI419" s="13"/>
      <c r="BJ419" s="21" t="e">
        <f ca="1">IF(Data!#REF!="","",IF(ISNUMBER(Data!#REF!),IF(AND(Data!#REF!&gt;(TODAY()-(Data_Val!$M$3*365.25)),Data!#REF!&lt;=(TODAY()-(Data_Val!$M$2*365.25))),0,1),1))</f>
        <v>#REF!</v>
      </c>
      <c r="BK419" s="13" t="e">
        <f>IF(Data!#REF!="","",IF(Data!$G419="",1,IF(ISNUMBER(MATCH(Data!#REF!,Data_Val!$D$2:$D$10,0)),0,1)))</f>
        <v>#REF!</v>
      </c>
    </row>
    <row r="420" spans="1:63" x14ac:dyDescent="0.25">
      <c r="A420" s="9" t="str">
        <f>IF(Data!B420="","",IF(COUNTIFS(Data!A$1:'Data'!A420,Data!A420)&lt;=1,0,1))</f>
        <v/>
      </c>
      <c r="B420" s="9"/>
      <c r="C420" s="23" t="str">
        <f>IF(Data!C420="","",(IF(ISNUMBER(MATCH("*@*.?*",Data!C420,0)),0,1)+IF(COUNTIFS(Data!C$1:'Data'!C420,Data!C420)&gt;1,1,0)))</f>
        <v/>
      </c>
      <c r="D420" s="9" t="str">
        <f>IF(Data!B420="","",IF(ISNUMBER(Data!D420),IF(AND(Data!D420&gt;999999999,Data!D420&lt;=9999999999),IF(COUNTIFS(Data!D$1:'Data'!D420,Data!D420)&lt;=1,0,1),1),1))</f>
        <v/>
      </c>
      <c r="E420" s="9" t="str">
        <f>IF(Data!B420="","",IF(ISNUMBER(MATCH(Data!E420,Data_Val!$A$2:$A$3,0)),0,1))</f>
        <v/>
      </c>
      <c r="F420" s="9" t="str">
        <f ca="1">IF(Data!B420="","",IF(ISNUMBER(Data!F420),IF(AND(Data!F420&gt;(TODAY()-(Data_Val!$H$3*365.25)),Data!F420&lt;=(TODAY()-(Data_Val!$H$2*365.25))),0,1),1))</f>
        <v/>
      </c>
      <c r="G420" s="15" t="str">
        <f>IF(Data!B420="","",IF(AND(Data!G420="",Data!H420&lt;&gt;""),1,IF(Data!#REF!&lt;&gt;"",0,IF(ISNUMBER(MATCH(Data!G420,Data_Val!$C$2:$C$5,0)),0,1))))</f>
        <v/>
      </c>
      <c r="H420" s="15" t="str">
        <f>IF(Data!B420="","",IF(AND(Data!G420&lt;&gt;"",Data!H420=""),1,IF(Data!#REF!&lt;&gt;"",0,IF(Data!G420="",1,IF(ISNUMBER(MATCH(Data!H420,Data_Val!$D$2:$D$35,0)),0,1)))))</f>
        <v/>
      </c>
      <c r="I420" s="15" t="str">
        <f>IF(Data!B420="","",IF(Data!G420&lt;&gt;"",0,IF(ISNUMBER(MATCH(Data!#REF!,Data_Val!$E$2:$E$12,0)),0,1)))</f>
        <v/>
      </c>
      <c r="J420" s="16" t="e">
        <f>IF(OR(Data!B420="",Data!#REF!=""),"",IF(Data!#REF!="",1,0))</f>
        <v>#REF!</v>
      </c>
      <c r="K420" s="16" t="e">
        <f>IF(OR(Data!B420="",Data!#REF!=""),"",IF(Data!#REF!="",1,0))</f>
        <v>#REF!</v>
      </c>
      <c r="L420" s="16" t="e">
        <f>IF(OR(Data!B420="",Data!#REF!=""),"",IF(ISNUMBER(Data!#REF!),IF(AND(Data!#REF!&gt;Data_Val!$G$2,Data!#REF!&lt;=Data_Val!$G$3),0,1),1))</f>
        <v>#REF!</v>
      </c>
      <c r="M420" s="9" t="e">
        <f>IF(OR(Data!B420="",Data!#REF!=""),"",IF(ISNUMBER(MATCH(Data!#REF!,Data_Val!$F$1:$F$38,0)),0,1))</f>
        <v>#REF!</v>
      </c>
      <c r="N420" s="9" t="e">
        <f>IF(OR(Data!B420="",Data!#REF!=""),"",IF(Data!#REF!="",1,0))</f>
        <v>#REF!</v>
      </c>
      <c r="O420" s="17" t="e">
        <f>IF(Data!#REF!="","",IF(Data!#REF!="",1,0))</f>
        <v>#REF!</v>
      </c>
      <c r="P420" s="17" t="e">
        <f>IF(Data!#REF!="","",IF(ISNUMBER(MATCH(Data!#REF!,Data_Val!$A$2:$A$3,0)),0,1))</f>
        <v>#REF!</v>
      </c>
      <c r="Q420" s="25" t="e">
        <f ca="1">IF(Data!#REF!="","",IF(ISNUMBER(Data!#REF!),IF(AND(Data!#REF!&gt;(TODAY()-(Data_Val!$J$3*365.25)),Data!#REF!&lt;=(TODAY()-(Data_Val!$J$2*365.25))),0,1),1))</f>
        <v>#REF!</v>
      </c>
      <c r="R420" s="17" t="e">
        <f>IF(Data!#REF!="","",IF(ISNUMBER(MATCH(Data!#REF!,Data_Val!$B$2:$B$15,0)),0,1))</f>
        <v>#REF!</v>
      </c>
      <c r="S420" s="11" t="str">
        <f>IF(Data!G420="","",IF(Data!G420=Data_Val!$C$2,IF(Data!M420="",0,1),0))</f>
        <v/>
      </c>
      <c r="T420" s="11" t="str">
        <f>IF(Data!M420="","",IF(ISNUMBER(MATCH(Data!N420,Data_Val!$A$2:$A$3,0)),0,1))</f>
        <v/>
      </c>
      <c r="U420" s="11" t="str">
        <f ca="1">IF(Data!M420="","",IF(ISNUMBER(Data!O420),IF(AND(Data!O420&gt;(TODAY()-(Data_Val!$K$3*365.25)),Data!O420&lt;=(TODAY()-(Data_Val!$K$2*365.25))),0,1),1))</f>
        <v/>
      </c>
      <c r="V420" s="12" t="str">
        <f>IF(Data!G420="","",IF(Data!G420=Data_Val!$C$2,IF(Data!P420="",0,1),0))</f>
        <v/>
      </c>
      <c r="W420" s="12" t="str">
        <f>IF(Data!P420="","",IF(ISNUMBER(MATCH(Data!Q420,Data_Val!$A$2:$A$3,0)),0,1))</f>
        <v/>
      </c>
      <c r="X420" s="26" t="str">
        <f ca="1">IF(Data!P420="","",IF(ISNUMBER(Data!R420),IF(AND(Data!R420&gt;(TODAY()-(Data_Val!$L$3*365.25)),Data!R420&lt;=(TODAY()-(Data_Val!$L$2*365.25))),0,1),1))</f>
        <v/>
      </c>
      <c r="Y420" s="13" t="str">
        <f>IF(Data!$G420="","",IF(Data!$G420=Data_Val!$C$2,IF(Data!S420="",0,1),0))</f>
        <v/>
      </c>
      <c r="Z420" s="13" t="str">
        <f>IF(Data!S420="","",IF(ISNUMBER(MATCH(Data!T420,Data_Val!$A$2:$A$3,0)),0,1))</f>
        <v/>
      </c>
      <c r="AA420" s="28" t="str">
        <f ca="1">IF(Data!S420="","",IF(ISNUMBER(Data!U420),IF(AND(Data!U420&gt;(TODAY()-(Data_Val!$L$3*365.25)),Data!U420&lt;=(TODAY()-(Data_Val!$L$2*365.25))),0,1),1))</f>
        <v/>
      </c>
      <c r="AB420" s="11"/>
      <c r="AC420" s="11" t="e">
        <f>IF(Data!#REF!="","",IF(ISNUMBER(MATCH(Data!#REF!,Data_Val!$A$2:$A$3,0)),0,1))</f>
        <v>#REF!</v>
      </c>
      <c r="AD420" s="11" t="e">
        <f ca="1">IF(Data!#REF!="","",IF(ISNUMBER(Data!#REF!),IF(AND(Data!#REF!&gt;(TODAY()-(Data_Val!$L$3*365.25)),Data!#REF!&lt;=(TODAY()-(Data_Val!$L$2*365.25))),0,1),1))</f>
        <v>#REF!</v>
      </c>
      <c r="AE420" s="11" t="e">
        <f>IF(Data!#REF!="","",IF(Data!$G420="",1,IF(ISNUMBER(MATCH(Data!#REF!,Data_Val!$D$2:$D$10,0)),0,1)))</f>
        <v>#REF!</v>
      </c>
      <c r="AF420" s="12"/>
      <c r="AG420" s="12" t="e">
        <f>IF(Data!#REF!="","",IF(ISNUMBER(MATCH(Data!#REF!,Data_Val!$A$2:$A$3,0)),0,1))</f>
        <v>#REF!</v>
      </c>
      <c r="AH420" s="26" t="e">
        <f ca="1">IF(Data!#REF!="","",IF(ISNUMBER(Data!#REF!),IF(AND(Data!#REF!&gt;(TODAY()-(Data_Val!$L$3*365.25)),Data!#REF!&lt;=(TODAY()-(Data_Val!$L$2*365.25))),0,1),1))</f>
        <v>#REF!</v>
      </c>
      <c r="AI420" s="12" t="e">
        <f>IF(Data!#REF!="","",IF(Data!$G420="",1,IF(ISNUMBER(MATCH(Data!#REF!,Data_Val!$D$2:$D$10,0)),0,1)))</f>
        <v>#REF!</v>
      </c>
      <c r="AJ420" s="17"/>
      <c r="AK420" s="17" t="e">
        <f>IF(Data!#REF!="","",IF(ISNUMBER(MATCH(Data!#REF!,Data_Val!$A$2:$A$3,0)),0,1))</f>
        <v>#REF!</v>
      </c>
      <c r="AL420" s="25" t="e">
        <f ca="1">IF(Data!#REF!="","",IF(ISNUMBER(Data!#REF!),IF(AND(Data!#REF!&gt;(TODAY()-(Data_Val!$L$3*365.25)),Data!#REF!&lt;=(TODAY()-(Data_Val!$L$2*365.25))),0,1),1))</f>
        <v>#REF!</v>
      </c>
      <c r="AM420" s="17" t="e">
        <f>IF(Data!#REF!="","",IF(Data!$G420="",1,IF(ISNUMBER(MATCH(Data!#REF!,Data_Val!$D$2:$D$10,0)),0,1)))</f>
        <v>#REF!</v>
      </c>
      <c r="AN420" s="13"/>
      <c r="AO420" s="28" t="e">
        <f ca="1">IF(Data!#REF!="","",IF(ISNUMBER(Data!#REF!),IF(AND(Data!#REF!&gt;(TODAY()-(Data_Val!$I$3*365.25)),Data!#REF!&lt;=(TODAY()-(Data_Val!$I$2*365.25))),0,1),1))</f>
        <v>#REF!</v>
      </c>
      <c r="AP420" s="13" t="e">
        <f>IF(Data!#REF!="","",IF(Data!$G420="",1,IF(ISNUMBER(MATCH(Data!#REF!,Data_Val!$D$2:$D$10,0)),0,1)))</f>
        <v>#REF!</v>
      </c>
      <c r="AQ420" s="17"/>
      <c r="AR420" s="30" t="e">
        <f ca="1">IF(Data!#REF!="","",IF(ISNUMBER(Data!#REF!),IF(AND(Data!#REF!&gt;(TODAY()-(Data_Val!$I$3*365.25)),Data!#REF!&lt;=(TODAY()-(Data_Val!$I$2*365.25))),0,1),1))</f>
        <v>#REF!</v>
      </c>
      <c r="AS420" s="31" t="e">
        <f>IF(Data!#REF!="","",IF(Data!$G420="",1,IF(ISNUMBER(MATCH(Data!#REF!,Data_Val!$D$2:$D$10,0)),0,1)))</f>
        <v>#REF!</v>
      </c>
      <c r="AT420" s="11"/>
      <c r="AU420" s="11" t="e">
        <f ca="1">IF(Data!#REF!="","",IF(ISNUMBER(Data!#REF!),IF(AND(Data!#REF!&gt;(TODAY()-(Data_Val!$I$3*365.25)),Data!#REF!&lt;=(TODAY()-(Data_Val!$I$2*365.25))),0,1),1))</f>
        <v>#REF!</v>
      </c>
      <c r="AV420" s="11" t="e">
        <f>IF(Data!#REF!="","",IF(Data!$G420="",1,IF(ISNUMBER(MATCH(Data!#REF!,Data_Val!$D$2:$D$10,0)),0,1)))</f>
        <v>#REF!</v>
      </c>
      <c r="AW420" s="12"/>
      <c r="AX420" s="26" t="e">
        <f ca="1">IF(Data!#REF!="","",IF(ISNUMBER(Data!#REF!),IF(AND(Data!#REF!&gt;(TODAY()-(Data_Val!$I$3*365.25)),Data!#REF!&lt;=(TODAY()-(Data_Val!$I$2*365.25))),0,1),1))</f>
        <v>#REF!</v>
      </c>
      <c r="AY420" s="12" t="e">
        <f>IF(Data!#REF!="","",IF(Data!$G420="",1,IF(ISNUMBER(MATCH(Data!#REF!,Data_Val!$D$2:$D$10,0)),0,1)))</f>
        <v>#REF!</v>
      </c>
      <c r="AZ420" s="11"/>
      <c r="BA420" s="19" t="e">
        <f ca="1">IF(Data!#REF!="","",IF(ISNUMBER(Data!#REF!),IF(AND(Data!#REF!&gt;(TODAY()-(Data_Val!$M$3*365.25)),Data!#REF!&lt;=(TODAY()-(Data_Val!$M$2*365.25))),0,1),1))</f>
        <v>#REF!</v>
      </c>
      <c r="BB420" s="11" t="e">
        <f>IF(Data!#REF!="","",IF(Data!$G420="",1,IF(ISNUMBER(MATCH(Data!#REF!,Data_Val!$D$2:$D$10,0)),0,1)))</f>
        <v>#REF!</v>
      </c>
      <c r="BC420" s="12"/>
      <c r="BD420" s="20" t="e">
        <f ca="1">IF(Data!#REF!="","",IF(ISNUMBER(Data!#REF!),IF(AND(Data!#REF!&gt;(TODAY()-(Data_Val!$M$3*365.25)),Data!#REF!&lt;=(TODAY()-(Data_Val!$M$2*365.25))),0,1),1))</f>
        <v>#REF!</v>
      </c>
      <c r="BE420" s="12" t="e">
        <f>IF(Data!#REF!="","",IF(Data!$G420="",1,IF(ISNUMBER(MATCH(Data!#REF!,Data_Val!$D$2:$D$10,0)),0,1)))</f>
        <v>#REF!</v>
      </c>
      <c r="BF420" s="17"/>
      <c r="BG420" s="18" t="e">
        <f ca="1">IF(Data!#REF!="","",IF(ISNUMBER(Data!#REF!),IF(AND(Data!#REF!&gt;(TODAY()-(Data_Val!$M$3*365.25)),Data!#REF!&lt;=(TODAY()-(Data_Val!$M$2*365.25))),0,1),1))</f>
        <v>#REF!</v>
      </c>
      <c r="BH420" s="29" t="e">
        <f>IF(Data!#REF!="","",IF(Data!$G420="",1,IF(ISNUMBER(MATCH(Data!#REF!,Data_Val!$D$2:$D$10,0)),0,1)))</f>
        <v>#REF!</v>
      </c>
      <c r="BI420" s="13"/>
      <c r="BJ420" s="21" t="e">
        <f ca="1">IF(Data!#REF!="","",IF(ISNUMBER(Data!#REF!),IF(AND(Data!#REF!&gt;(TODAY()-(Data_Val!$M$3*365.25)),Data!#REF!&lt;=(TODAY()-(Data_Val!$M$2*365.25))),0,1),1))</f>
        <v>#REF!</v>
      </c>
      <c r="BK420" s="13" t="e">
        <f>IF(Data!#REF!="","",IF(Data!$G420="",1,IF(ISNUMBER(MATCH(Data!#REF!,Data_Val!$D$2:$D$10,0)),0,1)))</f>
        <v>#REF!</v>
      </c>
    </row>
    <row r="421" spans="1:63" x14ac:dyDescent="0.25">
      <c r="A421" s="9" t="str">
        <f>IF(Data!B421="","",IF(COUNTIFS(Data!A$1:'Data'!A421,Data!A421)&lt;=1,0,1))</f>
        <v/>
      </c>
      <c r="B421" s="9"/>
      <c r="C421" s="23" t="str">
        <f>IF(Data!C421="","",(IF(ISNUMBER(MATCH("*@*.?*",Data!C421,0)),0,1)+IF(COUNTIFS(Data!C$1:'Data'!C421,Data!C421)&gt;1,1,0)))</f>
        <v/>
      </c>
      <c r="D421" s="9" t="str">
        <f>IF(Data!B421="","",IF(ISNUMBER(Data!D421),IF(AND(Data!D421&gt;999999999,Data!D421&lt;=9999999999),IF(COUNTIFS(Data!D$1:'Data'!D421,Data!D421)&lt;=1,0,1),1),1))</f>
        <v/>
      </c>
      <c r="E421" s="9" t="str">
        <f>IF(Data!B421="","",IF(ISNUMBER(MATCH(Data!E421,Data_Val!$A$2:$A$3,0)),0,1))</f>
        <v/>
      </c>
      <c r="F421" s="9" t="str">
        <f ca="1">IF(Data!B421="","",IF(ISNUMBER(Data!F421),IF(AND(Data!F421&gt;(TODAY()-(Data_Val!$H$3*365.25)),Data!F421&lt;=(TODAY()-(Data_Val!$H$2*365.25))),0,1),1))</f>
        <v/>
      </c>
      <c r="G421" s="15" t="str">
        <f>IF(Data!B421="","",IF(AND(Data!G421="",Data!H421&lt;&gt;""),1,IF(Data!#REF!&lt;&gt;"",0,IF(ISNUMBER(MATCH(Data!G421,Data_Val!$C$2:$C$5,0)),0,1))))</f>
        <v/>
      </c>
      <c r="H421" s="15" t="str">
        <f>IF(Data!B421="","",IF(AND(Data!G421&lt;&gt;"",Data!H421=""),1,IF(Data!#REF!&lt;&gt;"",0,IF(Data!G421="",1,IF(ISNUMBER(MATCH(Data!H421,Data_Val!$D$2:$D$35,0)),0,1)))))</f>
        <v/>
      </c>
      <c r="I421" s="15" t="str">
        <f>IF(Data!B421="","",IF(Data!G421&lt;&gt;"",0,IF(ISNUMBER(MATCH(Data!#REF!,Data_Val!$E$2:$E$12,0)),0,1)))</f>
        <v/>
      </c>
      <c r="J421" s="16" t="e">
        <f>IF(OR(Data!B421="",Data!#REF!=""),"",IF(Data!#REF!="",1,0))</f>
        <v>#REF!</v>
      </c>
      <c r="K421" s="16" t="e">
        <f>IF(OR(Data!B421="",Data!#REF!=""),"",IF(Data!#REF!="",1,0))</f>
        <v>#REF!</v>
      </c>
      <c r="L421" s="16" t="e">
        <f>IF(OR(Data!B421="",Data!#REF!=""),"",IF(ISNUMBER(Data!#REF!),IF(AND(Data!#REF!&gt;Data_Val!$G$2,Data!#REF!&lt;=Data_Val!$G$3),0,1),1))</f>
        <v>#REF!</v>
      </c>
      <c r="M421" s="9" t="e">
        <f>IF(OR(Data!B421="",Data!#REF!=""),"",IF(ISNUMBER(MATCH(Data!#REF!,Data_Val!$F$1:$F$38,0)),0,1))</f>
        <v>#REF!</v>
      </c>
      <c r="N421" s="9" t="e">
        <f>IF(OR(Data!B421="",Data!#REF!=""),"",IF(Data!#REF!="",1,0))</f>
        <v>#REF!</v>
      </c>
      <c r="O421" s="17" t="e">
        <f>IF(Data!#REF!="","",IF(Data!#REF!="",1,0))</f>
        <v>#REF!</v>
      </c>
      <c r="P421" s="17" t="e">
        <f>IF(Data!#REF!="","",IF(ISNUMBER(MATCH(Data!#REF!,Data_Val!$A$2:$A$3,0)),0,1))</f>
        <v>#REF!</v>
      </c>
      <c r="Q421" s="25" t="e">
        <f ca="1">IF(Data!#REF!="","",IF(ISNUMBER(Data!#REF!),IF(AND(Data!#REF!&gt;(TODAY()-(Data_Val!$J$3*365.25)),Data!#REF!&lt;=(TODAY()-(Data_Val!$J$2*365.25))),0,1),1))</f>
        <v>#REF!</v>
      </c>
      <c r="R421" s="17" t="e">
        <f>IF(Data!#REF!="","",IF(ISNUMBER(MATCH(Data!#REF!,Data_Val!$B$2:$B$15,0)),0,1))</f>
        <v>#REF!</v>
      </c>
      <c r="S421" s="11" t="str">
        <f>IF(Data!G421="","",IF(Data!G421=Data_Val!$C$2,IF(Data!M421="",0,1),0))</f>
        <v/>
      </c>
      <c r="T421" s="11" t="str">
        <f>IF(Data!M421="","",IF(ISNUMBER(MATCH(Data!N421,Data_Val!$A$2:$A$3,0)),0,1))</f>
        <v/>
      </c>
      <c r="U421" s="11" t="str">
        <f ca="1">IF(Data!M421="","",IF(ISNUMBER(Data!O421),IF(AND(Data!O421&gt;(TODAY()-(Data_Val!$K$3*365.25)),Data!O421&lt;=(TODAY()-(Data_Val!$K$2*365.25))),0,1),1))</f>
        <v/>
      </c>
      <c r="V421" s="12" t="str">
        <f>IF(Data!G421="","",IF(Data!G421=Data_Val!$C$2,IF(Data!P421="",0,1),0))</f>
        <v/>
      </c>
      <c r="W421" s="12" t="str">
        <f>IF(Data!P421="","",IF(ISNUMBER(MATCH(Data!Q421,Data_Val!$A$2:$A$3,0)),0,1))</f>
        <v/>
      </c>
      <c r="X421" s="26" t="str">
        <f ca="1">IF(Data!P421="","",IF(ISNUMBER(Data!R421),IF(AND(Data!R421&gt;(TODAY()-(Data_Val!$L$3*365.25)),Data!R421&lt;=(TODAY()-(Data_Val!$L$2*365.25))),0,1),1))</f>
        <v/>
      </c>
      <c r="Y421" s="13" t="str">
        <f>IF(Data!$G421="","",IF(Data!$G421=Data_Val!$C$2,IF(Data!S421="",0,1),0))</f>
        <v/>
      </c>
      <c r="Z421" s="13" t="str">
        <f>IF(Data!S421="","",IF(ISNUMBER(MATCH(Data!T421,Data_Val!$A$2:$A$3,0)),0,1))</f>
        <v/>
      </c>
      <c r="AA421" s="28" t="str">
        <f ca="1">IF(Data!S421="","",IF(ISNUMBER(Data!U421),IF(AND(Data!U421&gt;(TODAY()-(Data_Val!$L$3*365.25)),Data!U421&lt;=(TODAY()-(Data_Val!$L$2*365.25))),0,1),1))</f>
        <v/>
      </c>
      <c r="AB421" s="11"/>
      <c r="AC421" s="11" t="e">
        <f>IF(Data!#REF!="","",IF(ISNUMBER(MATCH(Data!#REF!,Data_Val!$A$2:$A$3,0)),0,1))</f>
        <v>#REF!</v>
      </c>
      <c r="AD421" s="11" t="e">
        <f ca="1">IF(Data!#REF!="","",IF(ISNUMBER(Data!#REF!),IF(AND(Data!#REF!&gt;(TODAY()-(Data_Val!$L$3*365.25)),Data!#REF!&lt;=(TODAY()-(Data_Val!$L$2*365.25))),0,1),1))</f>
        <v>#REF!</v>
      </c>
      <c r="AE421" s="11" t="e">
        <f>IF(Data!#REF!="","",IF(Data!$G421="",1,IF(ISNUMBER(MATCH(Data!#REF!,Data_Val!$D$2:$D$10,0)),0,1)))</f>
        <v>#REF!</v>
      </c>
      <c r="AF421" s="12"/>
      <c r="AG421" s="12" t="e">
        <f>IF(Data!#REF!="","",IF(ISNUMBER(MATCH(Data!#REF!,Data_Val!$A$2:$A$3,0)),0,1))</f>
        <v>#REF!</v>
      </c>
      <c r="AH421" s="26" t="e">
        <f ca="1">IF(Data!#REF!="","",IF(ISNUMBER(Data!#REF!),IF(AND(Data!#REF!&gt;(TODAY()-(Data_Val!$L$3*365.25)),Data!#REF!&lt;=(TODAY()-(Data_Val!$L$2*365.25))),0,1),1))</f>
        <v>#REF!</v>
      </c>
      <c r="AI421" s="12" t="e">
        <f>IF(Data!#REF!="","",IF(Data!$G421="",1,IF(ISNUMBER(MATCH(Data!#REF!,Data_Val!$D$2:$D$10,0)),0,1)))</f>
        <v>#REF!</v>
      </c>
      <c r="AJ421" s="17"/>
      <c r="AK421" s="17" t="e">
        <f>IF(Data!#REF!="","",IF(ISNUMBER(MATCH(Data!#REF!,Data_Val!$A$2:$A$3,0)),0,1))</f>
        <v>#REF!</v>
      </c>
      <c r="AL421" s="25" t="e">
        <f ca="1">IF(Data!#REF!="","",IF(ISNUMBER(Data!#REF!),IF(AND(Data!#REF!&gt;(TODAY()-(Data_Val!$L$3*365.25)),Data!#REF!&lt;=(TODAY()-(Data_Val!$L$2*365.25))),0,1),1))</f>
        <v>#REF!</v>
      </c>
      <c r="AM421" s="17" t="e">
        <f>IF(Data!#REF!="","",IF(Data!$G421="",1,IF(ISNUMBER(MATCH(Data!#REF!,Data_Val!$D$2:$D$10,0)),0,1)))</f>
        <v>#REF!</v>
      </c>
      <c r="AN421" s="13"/>
      <c r="AO421" s="28" t="e">
        <f ca="1">IF(Data!#REF!="","",IF(ISNUMBER(Data!#REF!),IF(AND(Data!#REF!&gt;(TODAY()-(Data_Val!$I$3*365.25)),Data!#REF!&lt;=(TODAY()-(Data_Val!$I$2*365.25))),0,1),1))</f>
        <v>#REF!</v>
      </c>
      <c r="AP421" s="13" t="e">
        <f>IF(Data!#REF!="","",IF(Data!$G421="",1,IF(ISNUMBER(MATCH(Data!#REF!,Data_Val!$D$2:$D$10,0)),0,1)))</f>
        <v>#REF!</v>
      </c>
      <c r="AQ421" s="17"/>
      <c r="AR421" s="30" t="e">
        <f ca="1">IF(Data!#REF!="","",IF(ISNUMBER(Data!#REF!),IF(AND(Data!#REF!&gt;(TODAY()-(Data_Val!$I$3*365.25)),Data!#REF!&lt;=(TODAY()-(Data_Val!$I$2*365.25))),0,1),1))</f>
        <v>#REF!</v>
      </c>
      <c r="AS421" s="31" t="e">
        <f>IF(Data!#REF!="","",IF(Data!$G421="",1,IF(ISNUMBER(MATCH(Data!#REF!,Data_Val!$D$2:$D$10,0)),0,1)))</f>
        <v>#REF!</v>
      </c>
      <c r="AT421" s="11"/>
      <c r="AU421" s="11" t="e">
        <f ca="1">IF(Data!#REF!="","",IF(ISNUMBER(Data!#REF!),IF(AND(Data!#REF!&gt;(TODAY()-(Data_Val!$I$3*365.25)),Data!#REF!&lt;=(TODAY()-(Data_Val!$I$2*365.25))),0,1),1))</f>
        <v>#REF!</v>
      </c>
      <c r="AV421" s="11" t="e">
        <f>IF(Data!#REF!="","",IF(Data!$G421="",1,IF(ISNUMBER(MATCH(Data!#REF!,Data_Val!$D$2:$D$10,0)),0,1)))</f>
        <v>#REF!</v>
      </c>
      <c r="AW421" s="12"/>
      <c r="AX421" s="26" t="e">
        <f ca="1">IF(Data!#REF!="","",IF(ISNUMBER(Data!#REF!),IF(AND(Data!#REF!&gt;(TODAY()-(Data_Val!$I$3*365.25)),Data!#REF!&lt;=(TODAY()-(Data_Val!$I$2*365.25))),0,1),1))</f>
        <v>#REF!</v>
      </c>
      <c r="AY421" s="12" t="e">
        <f>IF(Data!#REF!="","",IF(Data!$G421="",1,IF(ISNUMBER(MATCH(Data!#REF!,Data_Val!$D$2:$D$10,0)),0,1)))</f>
        <v>#REF!</v>
      </c>
      <c r="AZ421" s="11"/>
      <c r="BA421" s="19" t="e">
        <f ca="1">IF(Data!#REF!="","",IF(ISNUMBER(Data!#REF!),IF(AND(Data!#REF!&gt;(TODAY()-(Data_Val!$M$3*365.25)),Data!#REF!&lt;=(TODAY()-(Data_Val!$M$2*365.25))),0,1),1))</f>
        <v>#REF!</v>
      </c>
      <c r="BB421" s="11" t="e">
        <f>IF(Data!#REF!="","",IF(Data!$G421="",1,IF(ISNUMBER(MATCH(Data!#REF!,Data_Val!$D$2:$D$10,0)),0,1)))</f>
        <v>#REF!</v>
      </c>
      <c r="BC421" s="12"/>
      <c r="BD421" s="20" t="e">
        <f ca="1">IF(Data!#REF!="","",IF(ISNUMBER(Data!#REF!),IF(AND(Data!#REF!&gt;(TODAY()-(Data_Val!$M$3*365.25)),Data!#REF!&lt;=(TODAY()-(Data_Val!$M$2*365.25))),0,1),1))</f>
        <v>#REF!</v>
      </c>
      <c r="BE421" s="12" t="e">
        <f>IF(Data!#REF!="","",IF(Data!$G421="",1,IF(ISNUMBER(MATCH(Data!#REF!,Data_Val!$D$2:$D$10,0)),0,1)))</f>
        <v>#REF!</v>
      </c>
      <c r="BF421" s="17"/>
      <c r="BG421" s="18" t="e">
        <f ca="1">IF(Data!#REF!="","",IF(ISNUMBER(Data!#REF!),IF(AND(Data!#REF!&gt;(TODAY()-(Data_Val!$M$3*365.25)),Data!#REF!&lt;=(TODAY()-(Data_Val!$M$2*365.25))),0,1),1))</f>
        <v>#REF!</v>
      </c>
      <c r="BH421" s="29" t="e">
        <f>IF(Data!#REF!="","",IF(Data!$G421="",1,IF(ISNUMBER(MATCH(Data!#REF!,Data_Val!$D$2:$D$10,0)),0,1)))</f>
        <v>#REF!</v>
      </c>
      <c r="BI421" s="13"/>
      <c r="BJ421" s="21" t="e">
        <f ca="1">IF(Data!#REF!="","",IF(ISNUMBER(Data!#REF!),IF(AND(Data!#REF!&gt;(TODAY()-(Data_Val!$M$3*365.25)),Data!#REF!&lt;=(TODAY()-(Data_Val!$M$2*365.25))),0,1),1))</f>
        <v>#REF!</v>
      </c>
      <c r="BK421" s="13" t="e">
        <f>IF(Data!#REF!="","",IF(Data!$G421="",1,IF(ISNUMBER(MATCH(Data!#REF!,Data_Val!$D$2:$D$10,0)),0,1)))</f>
        <v>#REF!</v>
      </c>
    </row>
    <row r="422" spans="1:63" x14ac:dyDescent="0.25">
      <c r="A422" s="9" t="str">
        <f>IF(Data!B422="","",IF(COUNTIFS(Data!A$1:'Data'!A422,Data!A422)&lt;=1,0,1))</f>
        <v/>
      </c>
      <c r="B422" s="9"/>
      <c r="C422" s="23" t="str">
        <f>IF(Data!C422="","",(IF(ISNUMBER(MATCH("*@*.?*",Data!C422,0)),0,1)+IF(COUNTIFS(Data!C$1:'Data'!C422,Data!C422)&gt;1,1,0)))</f>
        <v/>
      </c>
      <c r="D422" s="9" t="str">
        <f>IF(Data!B422="","",IF(ISNUMBER(Data!D422),IF(AND(Data!D422&gt;999999999,Data!D422&lt;=9999999999),IF(COUNTIFS(Data!D$1:'Data'!D422,Data!D422)&lt;=1,0,1),1),1))</f>
        <v/>
      </c>
      <c r="E422" s="9" t="str">
        <f>IF(Data!B422="","",IF(ISNUMBER(MATCH(Data!E422,Data_Val!$A$2:$A$3,0)),0,1))</f>
        <v/>
      </c>
      <c r="F422" s="9" t="str">
        <f ca="1">IF(Data!B422="","",IF(ISNUMBER(Data!F422),IF(AND(Data!F422&gt;(TODAY()-(Data_Val!$H$3*365.25)),Data!F422&lt;=(TODAY()-(Data_Val!$H$2*365.25))),0,1),1))</f>
        <v/>
      </c>
      <c r="G422" s="15" t="str">
        <f>IF(Data!B422="","",IF(AND(Data!G422="",Data!H422&lt;&gt;""),1,IF(Data!#REF!&lt;&gt;"",0,IF(ISNUMBER(MATCH(Data!G422,Data_Val!$C$2:$C$5,0)),0,1))))</f>
        <v/>
      </c>
      <c r="H422" s="15" t="str">
        <f>IF(Data!B422="","",IF(AND(Data!G422&lt;&gt;"",Data!H422=""),1,IF(Data!#REF!&lt;&gt;"",0,IF(Data!G422="",1,IF(ISNUMBER(MATCH(Data!H422,Data_Val!$D$2:$D$35,0)),0,1)))))</f>
        <v/>
      </c>
      <c r="I422" s="15" t="str">
        <f>IF(Data!B422="","",IF(Data!G422&lt;&gt;"",0,IF(ISNUMBER(MATCH(Data!#REF!,Data_Val!$E$2:$E$12,0)),0,1)))</f>
        <v/>
      </c>
      <c r="J422" s="16" t="e">
        <f>IF(OR(Data!B422="",Data!#REF!=""),"",IF(Data!#REF!="",1,0))</f>
        <v>#REF!</v>
      </c>
      <c r="K422" s="16" t="e">
        <f>IF(OR(Data!B422="",Data!#REF!=""),"",IF(Data!#REF!="",1,0))</f>
        <v>#REF!</v>
      </c>
      <c r="L422" s="16" t="e">
        <f>IF(OR(Data!B422="",Data!#REF!=""),"",IF(ISNUMBER(Data!#REF!),IF(AND(Data!#REF!&gt;Data_Val!$G$2,Data!#REF!&lt;=Data_Val!$G$3),0,1),1))</f>
        <v>#REF!</v>
      </c>
      <c r="M422" s="9" t="e">
        <f>IF(OR(Data!B422="",Data!#REF!=""),"",IF(ISNUMBER(MATCH(Data!#REF!,Data_Val!$F$1:$F$38,0)),0,1))</f>
        <v>#REF!</v>
      </c>
      <c r="N422" s="9" t="e">
        <f>IF(OR(Data!B422="",Data!#REF!=""),"",IF(Data!#REF!="",1,0))</f>
        <v>#REF!</v>
      </c>
      <c r="O422" s="17" t="e">
        <f>IF(Data!#REF!="","",IF(Data!#REF!="",1,0))</f>
        <v>#REF!</v>
      </c>
      <c r="P422" s="17" t="e">
        <f>IF(Data!#REF!="","",IF(ISNUMBER(MATCH(Data!#REF!,Data_Val!$A$2:$A$3,0)),0,1))</f>
        <v>#REF!</v>
      </c>
      <c r="Q422" s="25" t="e">
        <f ca="1">IF(Data!#REF!="","",IF(ISNUMBER(Data!#REF!),IF(AND(Data!#REF!&gt;(TODAY()-(Data_Val!$J$3*365.25)),Data!#REF!&lt;=(TODAY()-(Data_Val!$J$2*365.25))),0,1),1))</f>
        <v>#REF!</v>
      </c>
      <c r="R422" s="17" t="e">
        <f>IF(Data!#REF!="","",IF(ISNUMBER(MATCH(Data!#REF!,Data_Val!$B$2:$B$15,0)),0,1))</f>
        <v>#REF!</v>
      </c>
      <c r="S422" s="11" t="str">
        <f>IF(Data!G422="","",IF(Data!G422=Data_Val!$C$2,IF(Data!M422="",0,1),0))</f>
        <v/>
      </c>
      <c r="T422" s="11" t="str">
        <f>IF(Data!M422="","",IF(ISNUMBER(MATCH(Data!N422,Data_Val!$A$2:$A$3,0)),0,1))</f>
        <v/>
      </c>
      <c r="U422" s="11" t="str">
        <f ca="1">IF(Data!M422="","",IF(ISNUMBER(Data!O422),IF(AND(Data!O422&gt;(TODAY()-(Data_Val!$K$3*365.25)),Data!O422&lt;=(TODAY()-(Data_Val!$K$2*365.25))),0,1),1))</f>
        <v/>
      </c>
      <c r="V422" s="12" t="str">
        <f>IF(Data!G422="","",IF(Data!G422=Data_Val!$C$2,IF(Data!P422="",0,1),0))</f>
        <v/>
      </c>
      <c r="W422" s="12" t="str">
        <f>IF(Data!P422="","",IF(ISNUMBER(MATCH(Data!Q422,Data_Val!$A$2:$A$3,0)),0,1))</f>
        <v/>
      </c>
      <c r="X422" s="26" t="str">
        <f ca="1">IF(Data!P422="","",IF(ISNUMBER(Data!R422),IF(AND(Data!R422&gt;(TODAY()-(Data_Val!$L$3*365.25)),Data!R422&lt;=(TODAY()-(Data_Val!$L$2*365.25))),0,1),1))</f>
        <v/>
      </c>
      <c r="Y422" s="13" t="str">
        <f>IF(Data!$G422="","",IF(Data!$G422=Data_Val!$C$2,IF(Data!S422="",0,1),0))</f>
        <v/>
      </c>
      <c r="Z422" s="13" t="str">
        <f>IF(Data!S422="","",IF(ISNUMBER(MATCH(Data!T422,Data_Val!$A$2:$A$3,0)),0,1))</f>
        <v/>
      </c>
      <c r="AA422" s="28" t="str">
        <f ca="1">IF(Data!S422="","",IF(ISNUMBER(Data!U422),IF(AND(Data!U422&gt;(TODAY()-(Data_Val!$L$3*365.25)),Data!U422&lt;=(TODAY()-(Data_Val!$L$2*365.25))),0,1),1))</f>
        <v/>
      </c>
      <c r="AB422" s="11"/>
      <c r="AC422" s="11" t="e">
        <f>IF(Data!#REF!="","",IF(ISNUMBER(MATCH(Data!#REF!,Data_Val!$A$2:$A$3,0)),0,1))</f>
        <v>#REF!</v>
      </c>
      <c r="AD422" s="11" t="e">
        <f ca="1">IF(Data!#REF!="","",IF(ISNUMBER(Data!#REF!),IF(AND(Data!#REF!&gt;(TODAY()-(Data_Val!$L$3*365.25)),Data!#REF!&lt;=(TODAY()-(Data_Val!$L$2*365.25))),0,1),1))</f>
        <v>#REF!</v>
      </c>
      <c r="AE422" s="11" t="e">
        <f>IF(Data!#REF!="","",IF(Data!$G422="",1,IF(ISNUMBER(MATCH(Data!#REF!,Data_Val!$D$2:$D$10,0)),0,1)))</f>
        <v>#REF!</v>
      </c>
      <c r="AF422" s="12"/>
      <c r="AG422" s="12" t="e">
        <f>IF(Data!#REF!="","",IF(ISNUMBER(MATCH(Data!#REF!,Data_Val!$A$2:$A$3,0)),0,1))</f>
        <v>#REF!</v>
      </c>
      <c r="AH422" s="26" t="e">
        <f ca="1">IF(Data!#REF!="","",IF(ISNUMBER(Data!#REF!),IF(AND(Data!#REF!&gt;(TODAY()-(Data_Val!$L$3*365.25)),Data!#REF!&lt;=(TODAY()-(Data_Val!$L$2*365.25))),0,1),1))</f>
        <v>#REF!</v>
      </c>
      <c r="AI422" s="12" t="e">
        <f>IF(Data!#REF!="","",IF(Data!$G422="",1,IF(ISNUMBER(MATCH(Data!#REF!,Data_Val!$D$2:$D$10,0)),0,1)))</f>
        <v>#REF!</v>
      </c>
      <c r="AJ422" s="17"/>
      <c r="AK422" s="17" t="e">
        <f>IF(Data!#REF!="","",IF(ISNUMBER(MATCH(Data!#REF!,Data_Val!$A$2:$A$3,0)),0,1))</f>
        <v>#REF!</v>
      </c>
      <c r="AL422" s="25" t="e">
        <f ca="1">IF(Data!#REF!="","",IF(ISNUMBER(Data!#REF!),IF(AND(Data!#REF!&gt;(TODAY()-(Data_Val!$L$3*365.25)),Data!#REF!&lt;=(TODAY()-(Data_Val!$L$2*365.25))),0,1),1))</f>
        <v>#REF!</v>
      </c>
      <c r="AM422" s="17" t="e">
        <f>IF(Data!#REF!="","",IF(Data!$G422="",1,IF(ISNUMBER(MATCH(Data!#REF!,Data_Val!$D$2:$D$10,0)),0,1)))</f>
        <v>#REF!</v>
      </c>
      <c r="AN422" s="13"/>
      <c r="AO422" s="28" t="e">
        <f ca="1">IF(Data!#REF!="","",IF(ISNUMBER(Data!#REF!),IF(AND(Data!#REF!&gt;(TODAY()-(Data_Val!$I$3*365.25)),Data!#REF!&lt;=(TODAY()-(Data_Val!$I$2*365.25))),0,1),1))</f>
        <v>#REF!</v>
      </c>
      <c r="AP422" s="13" t="e">
        <f>IF(Data!#REF!="","",IF(Data!$G422="",1,IF(ISNUMBER(MATCH(Data!#REF!,Data_Val!$D$2:$D$10,0)),0,1)))</f>
        <v>#REF!</v>
      </c>
      <c r="AQ422" s="17"/>
      <c r="AR422" s="30" t="e">
        <f ca="1">IF(Data!#REF!="","",IF(ISNUMBER(Data!#REF!),IF(AND(Data!#REF!&gt;(TODAY()-(Data_Val!$I$3*365.25)),Data!#REF!&lt;=(TODAY()-(Data_Val!$I$2*365.25))),0,1),1))</f>
        <v>#REF!</v>
      </c>
      <c r="AS422" s="31" t="e">
        <f>IF(Data!#REF!="","",IF(Data!$G422="",1,IF(ISNUMBER(MATCH(Data!#REF!,Data_Val!$D$2:$D$10,0)),0,1)))</f>
        <v>#REF!</v>
      </c>
      <c r="AT422" s="11"/>
      <c r="AU422" s="11" t="e">
        <f ca="1">IF(Data!#REF!="","",IF(ISNUMBER(Data!#REF!),IF(AND(Data!#REF!&gt;(TODAY()-(Data_Val!$I$3*365.25)),Data!#REF!&lt;=(TODAY()-(Data_Val!$I$2*365.25))),0,1),1))</f>
        <v>#REF!</v>
      </c>
      <c r="AV422" s="11" t="e">
        <f>IF(Data!#REF!="","",IF(Data!$G422="",1,IF(ISNUMBER(MATCH(Data!#REF!,Data_Val!$D$2:$D$10,0)),0,1)))</f>
        <v>#REF!</v>
      </c>
      <c r="AW422" s="12"/>
      <c r="AX422" s="26" t="e">
        <f ca="1">IF(Data!#REF!="","",IF(ISNUMBER(Data!#REF!),IF(AND(Data!#REF!&gt;(TODAY()-(Data_Val!$I$3*365.25)),Data!#REF!&lt;=(TODAY()-(Data_Val!$I$2*365.25))),0,1),1))</f>
        <v>#REF!</v>
      </c>
      <c r="AY422" s="12" t="e">
        <f>IF(Data!#REF!="","",IF(Data!$G422="",1,IF(ISNUMBER(MATCH(Data!#REF!,Data_Val!$D$2:$D$10,0)),0,1)))</f>
        <v>#REF!</v>
      </c>
      <c r="AZ422" s="11"/>
      <c r="BA422" s="19" t="e">
        <f ca="1">IF(Data!#REF!="","",IF(ISNUMBER(Data!#REF!),IF(AND(Data!#REF!&gt;(TODAY()-(Data_Val!$M$3*365.25)),Data!#REF!&lt;=(TODAY()-(Data_Val!$M$2*365.25))),0,1),1))</f>
        <v>#REF!</v>
      </c>
      <c r="BB422" s="11" t="e">
        <f>IF(Data!#REF!="","",IF(Data!$G422="",1,IF(ISNUMBER(MATCH(Data!#REF!,Data_Val!$D$2:$D$10,0)),0,1)))</f>
        <v>#REF!</v>
      </c>
      <c r="BC422" s="12"/>
      <c r="BD422" s="20" t="e">
        <f ca="1">IF(Data!#REF!="","",IF(ISNUMBER(Data!#REF!),IF(AND(Data!#REF!&gt;(TODAY()-(Data_Val!$M$3*365.25)),Data!#REF!&lt;=(TODAY()-(Data_Val!$M$2*365.25))),0,1),1))</f>
        <v>#REF!</v>
      </c>
      <c r="BE422" s="12" t="e">
        <f>IF(Data!#REF!="","",IF(Data!$G422="",1,IF(ISNUMBER(MATCH(Data!#REF!,Data_Val!$D$2:$D$10,0)),0,1)))</f>
        <v>#REF!</v>
      </c>
      <c r="BF422" s="17"/>
      <c r="BG422" s="18" t="e">
        <f ca="1">IF(Data!#REF!="","",IF(ISNUMBER(Data!#REF!),IF(AND(Data!#REF!&gt;(TODAY()-(Data_Val!$M$3*365.25)),Data!#REF!&lt;=(TODAY()-(Data_Val!$M$2*365.25))),0,1),1))</f>
        <v>#REF!</v>
      </c>
      <c r="BH422" s="29" t="e">
        <f>IF(Data!#REF!="","",IF(Data!$G422="",1,IF(ISNUMBER(MATCH(Data!#REF!,Data_Val!$D$2:$D$10,0)),0,1)))</f>
        <v>#REF!</v>
      </c>
      <c r="BI422" s="13"/>
      <c r="BJ422" s="21" t="e">
        <f ca="1">IF(Data!#REF!="","",IF(ISNUMBER(Data!#REF!),IF(AND(Data!#REF!&gt;(TODAY()-(Data_Val!$M$3*365.25)),Data!#REF!&lt;=(TODAY()-(Data_Val!$M$2*365.25))),0,1),1))</f>
        <v>#REF!</v>
      </c>
      <c r="BK422" s="13" t="e">
        <f>IF(Data!#REF!="","",IF(Data!$G422="",1,IF(ISNUMBER(MATCH(Data!#REF!,Data_Val!$D$2:$D$10,0)),0,1)))</f>
        <v>#REF!</v>
      </c>
    </row>
    <row r="423" spans="1:63" x14ac:dyDescent="0.25">
      <c r="A423" s="9" t="str">
        <f>IF(Data!B423="","",IF(COUNTIFS(Data!A$1:'Data'!A423,Data!A423)&lt;=1,0,1))</f>
        <v/>
      </c>
      <c r="B423" s="9"/>
      <c r="C423" s="23" t="str">
        <f>IF(Data!C423="","",(IF(ISNUMBER(MATCH("*@*.?*",Data!C423,0)),0,1)+IF(COUNTIFS(Data!C$1:'Data'!C423,Data!C423)&gt;1,1,0)))</f>
        <v/>
      </c>
      <c r="D423" s="9" t="str">
        <f>IF(Data!B423="","",IF(ISNUMBER(Data!D423),IF(AND(Data!D423&gt;999999999,Data!D423&lt;=9999999999),IF(COUNTIFS(Data!D$1:'Data'!D423,Data!D423)&lt;=1,0,1),1),1))</f>
        <v/>
      </c>
      <c r="E423" s="9" t="str">
        <f>IF(Data!B423="","",IF(ISNUMBER(MATCH(Data!E423,Data_Val!$A$2:$A$3,0)),0,1))</f>
        <v/>
      </c>
      <c r="F423" s="9" t="str">
        <f ca="1">IF(Data!B423="","",IF(ISNUMBER(Data!F423),IF(AND(Data!F423&gt;(TODAY()-(Data_Val!$H$3*365.25)),Data!F423&lt;=(TODAY()-(Data_Val!$H$2*365.25))),0,1),1))</f>
        <v/>
      </c>
      <c r="G423" s="15" t="str">
        <f>IF(Data!B423="","",IF(AND(Data!G423="",Data!H423&lt;&gt;""),1,IF(Data!#REF!&lt;&gt;"",0,IF(ISNUMBER(MATCH(Data!G423,Data_Val!$C$2:$C$5,0)),0,1))))</f>
        <v/>
      </c>
      <c r="H423" s="15" t="str">
        <f>IF(Data!B423="","",IF(AND(Data!G423&lt;&gt;"",Data!H423=""),1,IF(Data!#REF!&lt;&gt;"",0,IF(Data!G423="",1,IF(ISNUMBER(MATCH(Data!H423,Data_Val!$D$2:$D$35,0)),0,1)))))</f>
        <v/>
      </c>
      <c r="I423" s="15" t="str">
        <f>IF(Data!B423="","",IF(Data!G423&lt;&gt;"",0,IF(ISNUMBER(MATCH(Data!#REF!,Data_Val!$E$2:$E$12,0)),0,1)))</f>
        <v/>
      </c>
      <c r="J423" s="16" t="e">
        <f>IF(OR(Data!B423="",Data!#REF!=""),"",IF(Data!#REF!="",1,0))</f>
        <v>#REF!</v>
      </c>
      <c r="K423" s="16" t="e">
        <f>IF(OR(Data!B423="",Data!#REF!=""),"",IF(Data!#REF!="",1,0))</f>
        <v>#REF!</v>
      </c>
      <c r="L423" s="16" t="e">
        <f>IF(OR(Data!B423="",Data!#REF!=""),"",IF(ISNUMBER(Data!#REF!),IF(AND(Data!#REF!&gt;Data_Val!$G$2,Data!#REF!&lt;=Data_Val!$G$3),0,1),1))</f>
        <v>#REF!</v>
      </c>
      <c r="M423" s="9" t="e">
        <f>IF(OR(Data!B423="",Data!#REF!=""),"",IF(ISNUMBER(MATCH(Data!#REF!,Data_Val!$F$1:$F$38,0)),0,1))</f>
        <v>#REF!</v>
      </c>
      <c r="N423" s="9" t="e">
        <f>IF(OR(Data!B423="",Data!#REF!=""),"",IF(Data!#REF!="",1,0))</f>
        <v>#REF!</v>
      </c>
      <c r="O423" s="17" t="e">
        <f>IF(Data!#REF!="","",IF(Data!#REF!="",1,0))</f>
        <v>#REF!</v>
      </c>
      <c r="P423" s="17" t="e">
        <f>IF(Data!#REF!="","",IF(ISNUMBER(MATCH(Data!#REF!,Data_Val!$A$2:$A$3,0)),0,1))</f>
        <v>#REF!</v>
      </c>
      <c r="Q423" s="25" t="e">
        <f ca="1">IF(Data!#REF!="","",IF(ISNUMBER(Data!#REF!),IF(AND(Data!#REF!&gt;(TODAY()-(Data_Val!$J$3*365.25)),Data!#REF!&lt;=(TODAY()-(Data_Val!$J$2*365.25))),0,1),1))</f>
        <v>#REF!</v>
      </c>
      <c r="R423" s="17" t="e">
        <f>IF(Data!#REF!="","",IF(ISNUMBER(MATCH(Data!#REF!,Data_Val!$B$2:$B$15,0)),0,1))</f>
        <v>#REF!</v>
      </c>
      <c r="S423" s="11" t="str">
        <f>IF(Data!G423="","",IF(Data!G423=Data_Val!$C$2,IF(Data!M423="",0,1),0))</f>
        <v/>
      </c>
      <c r="T423" s="11" t="str">
        <f>IF(Data!M423="","",IF(ISNUMBER(MATCH(Data!N423,Data_Val!$A$2:$A$3,0)),0,1))</f>
        <v/>
      </c>
      <c r="U423" s="11" t="str">
        <f ca="1">IF(Data!M423="","",IF(ISNUMBER(Data!O423),IF(AND(Data!O423&gt;(TODAY()-(Data_Val!$K$3*365.25)),Data!O423&lt;=(TODAY()-(Data_Val!$K$2*365.25))),0,1),1))</f>
        <v/>
      </c>
      <c r="V423" s="12" t="str">
        <f>IF(Data!G423="","",IF(Data!G423=Data_Val!$C$2,IF(Data!P423="",0,1),0))</f>
        <v/>
      </c>
      <c r="W423" s="12" t="str">
        <f>IF(Data!P423="","",IF(ISNUMBER(MATCH(Data!Q423,Data_Val!$A$2:$A$3,0)),0,1))</f>
        <v/>
      </c>
      <c r="X423" s="26" t="str">
        <f ca="1">IF(Data!P423="","",IF(ISNUMBER(Data!R423),IF(AND(Data!R423&gt;(TODAY()-(Data_Val!$L$3*365.25)),Data!R423&lt;=(TODAY()-(Data_Val!$L$2*365.25))),0,1),1))</f>
        <v/>
      </c>
      <c r="Y423" s="13" t="str">
        <f>IF(Data!$G423="","",IF(Data!$G423=Data_Val!$C$2,IF(Data!S423="",0,1),0))</f>
        <v/>
      </c>
      <c r="Z423" s="13" t="str">
        <f>IF(Data!S423="","",IF(ISNUMBER(MATCH(Data!T423,Data_Val!$A$2:$A$3,0)),0,1))</f>
        <v/>
      </c>
      <c r="AA423" s="28" t="str">
        <f ca="1">IF(Data!S423="","",IF(ISNUMBER(Data!U423),IF(AND(Data!U423&gt;(TODAY()-(Data_Val!$L$3*365.25)),Data!U423&lt;=(TODAY()-(Data_Val!$L$2*365.25))),0,1),1))</f>
        <v/>
      </c>
      <c r="AB423" s="11"/>
      <c r="AC423" s="11" t="e">
        <f>IF(Data!#REF!="","",IF(ISNUMBER(MATCH(Data!#REF!,Data_Val!$A$2:$A$3,0)),0,1))</f>
        <v>#REF!</v>
      </c>
      <c r="AD423" s="11" t="e">
        <f ca="1">IF(Data!#REF!="","",IF(ISNUMBER(Data!#REF!),IF(AND(Data!#REF!&gt;(TODAY()-(Data_Val!$L$3*365.25)),Data!#REF!&lt;=(TODAY()-(Data_Val!$L$2*365.25))),0,1),1))</f>
        <v>#REF!</v>
      </c>
      <c r="AE423" s="11" t="e">
        <f>IF(Data!#REF!="","",IF(Data!$G423="",1,IF(ISNUMBER(MATCH(Data!#REF!,Data_Val!$D$2:$D$10,0)),0,1)))</f>
        <v>#REF!</v>
      </c>
      <c r="AF423" s="12"/>
      <c r="AG423" s="12" t="e">
        <f>IF(Data!#REF!="","",IF(ISNUMBER(MATCH(Data!#REF!,Data_Val!$A$2:$A$3,0)),0,1))</f>
        <v>#REF!</v>
      </c>
      <c r="AH423" s="26" t="e">
        <f ca="1">IF(Data!#REF!="","",IF(ISNUMBER(Data!#REF!),IF(AND(Data!#REF!&gt;(TODAY()-(Data_Val!$L$3*365.25)),Data!#REF!&lt;=(TODAY()-(Data_Val!$L$2*365.25))),0,1),1))</f>
        <v>#REF!</v>
      </c>
      <c r="AI423" s="12" t="e">
        <f>IF(Data!#REF!="","",IF(Data!$G423="",1,IF(ISNUMBER(MATCH(Data!#REF!,Data_Val!$D$2:$D$10,0)),0,1)))</f>
        <v>#REF!</v>
      </c>
      <c r="AJ423" s="17"/>
      <c r="AK423" s="17" t="e">
        <f>IF(Data!#REF!="","",IF(ISNUMBER(MATCH(Data!#REF!,Data_Val!$A$2:$A$3,0)),0,1))</f>
        <v>#REF!</v>
      </c>
      <c r="AL423" s="25" t="e">
        <f ca="1">IF(Data!#REF!="","",IF(ISNUMBER(Data!#REF!),IF(AND(Data!#REF!&gt;(TODAY()-(Data_Val!$L$3*365.25)),Data!#REF!&lt;=(TODAY()-(Data_Val!$L$2*365.25))),0,1),1))</f>
        <v>#REF!</v>
      </c>
      <c r="AM423" s="17" t="e">
        <f>IF(Data!#REF!="","",IF(Data!$G423="",1,IF(ISNUMBER(MATCH(Data!#REF!,Data_Val!$D$2:$D$10,0)),0,1)))</f>
        <v>#REF!</v>
      </c>
      <c r="AN423" s="13"/>
      <c r="AO423" s="28" t="e">
        <f ca="1">IF(Data!#REF!="","",IF(ISNUMBER(Data!#REF!),IF(AND(Data!#REF!&gt;(TODAY()-(Data_Val!$I$3*365.25)),Data!#REF!&lt;=(TODAY()-(Data_Val!$I$2*365.25))),0,1),1))</f>
        <v>#REF!</v>
      </c>
      <c r="AP423" s="13" t="e">
        <f>IF(Data!#REF!="","",IF(Data!$G423="",1,IF(ISNUMBER(MATCH(Data!#REF!,Data_Val!$D$2:$D$10,0)),0,1)))</f>
        <v>#REF!</v>
      </c>
      <c r="AQ423" s="17"/>
      <c r="AR423" s="30" t="e">
        <f ca="1">IF(Data!#REF!="","",IF(ISNUMBER(Data!#REF!),IF(AND(Data!#REF!&gt;(TODAY()-(Data_Val!$I$3*365.25)),Data!#REF!&lt;=(TODAY()-(Data_Val!$I$2*365.25))),0,1),1))</f>
        <v>#REF!</v>
      </c>
      <c r="AS423" s="31" t="e">
        <f>IF(Data!#REF!="","",IF(Data!$G423="",1,IF(ISNUMBER(MATCH(Data!#REF!,Data_Val!$D$2:$D$10,0)),0,1)))</f>
        <v>#REF!</v>
      </c>
      <c r="AT423" s="11"/>
      <c r="AU423" s="11" t="e">
        <f ca="1">IF(Data!#REF!="","",IF(ISNUMBER(Data!#REF!),IF(AND(Data!#REF!&gt;(TODAY()-(Data_Val!$I$3*365.25)),Data!#REF!&lt;=(TODAY()-(Data_Val!$I$2*365.25))),0,1),1))</f>
        <v>#REF!</v>
      </c>
      <c r="AV423" s="11" t="e">
        <f>IF(Data!#REF!="","",IF(Data!$G423="",1,IF(ISNUMBER(MATCH(Data!#REF!,Data_Val!$D$2:$D$10,0)),0,1)))</f>
        <v>#REF!</v>
      </c>
      <c r="AW423" s="12"/>
      <c r="AX423" s="26" t="e">
        <f ca="1">IF(Data!#REF!="","",IF(ISNUMBER(Data!#REF!),IF(AND(Data!#REF!&gt;(TODAY()-(Data_Val!$I$3*365.25)),Data!#REF!&lt;=(TODAY()-(Data_Val!$I$2*365.25))),0,1),1))</f>
        <v>#REF!</v>
      </c>
      <c r="AY423" s="12" t="e">
        <f>IF(Data!#REF!="","",IF(Data!$G423="",1,IF(ISNUMBER(MATCH(Data!#REF!,Data_Val!$D$2:$D$10,0)),0,1)))</f>
        <v>#REF!</v>
      </c>
      <c r="AZ423" s="11"/>
      <c r="BA423" s="19" t="e">
        <f ca="1">IF(Data!#REF!="","",IF(ISNUMBER(Data!#REF!),IF(AND(Data!#REF!&gt;(TODAY()-(Data_Val!$M$3*365.25)),Data!#REF!&lt;=(TODAY()-(Data_Val!$M$2*365.25))),0,1),1))</f>
        <v>#REF!</v>
      </c>
      <c r="BB423" s="11" t="e">
        <f>IF(Data!#REF!="","",IF(Data!$G423="",1,IF(ISNUMBER(MATCH(Data!#REF!,Data_Val!$D$2:$D$10,0)),0,1)))</f>
        <v>#REF!</v>
      </c>
      <c r="BC423" s="12"/>
      <c r="BD423" s="20" t="e">
        <f ca="1">IF(Data!#REF!="","",IF(ISNUMBER(Data!#REF!),IF(AND(Data!#REF!&gt;(TODAY()-(Data_Val!$M$3*365.25)),Data!#REF!&lt;=(TODAY()-(Data_Val!$M$2*365.25))),0,1),1))</f>
        <v>#REF!</v>
      </c>
      <c r="BE423" s="12" t="e">
        <f>IF(Data!#REF!="","",IF(Data!$G423="",1,IF(ISNUMBER(MATCH(Data!#REF!,Data_Val!$D$2:$D$10,0)),0,1)))</f>
        <v>#REF!</v>
      </c>
      <c r="BF423" s="17"/>
      <c r="BG423" s="18" t="e">
        <f ca="1">IF(Data!#REF!="","",IF(ISNUMBER(Data!#REF!),IF(AND(Data!#REF!&gt;(TODAY()-(Data_Val!$M$3*365.25)),Data!#REF!&lt;=(TODAY()-(Data_Val!$M$2*365.25))),0,1),1))</f>
        <v>#REF!</v>
      </c>
      <c r="BH423" s="29" t="e">
        <f>IF(Data!#REF!="","",IF(Data!$G423="",1,IF(ISNUMBER(MATCH(Data!#REF!,Data_Val!$D$2:$D$10,0)),0,1)))</f>
        <v>#REF!</v>
      </c>
      <c r="BI423" s="13"/>
      <c r="BJ423" s="21" t="e">
        <f ca="1">IF(Data!#REF!="","",IF(ISNUMBER(Data!#REF!),IF(AND(Data!#REF!&gt;(TODAY()-(Data_Val!$M$3*365.25)),Data!#REF!&lt;=(TODAY()-(Data_Val!$M$2*365.25))),0,1),1))</f>
        <v>#REF!</v>
      </c>
      <c r="BK423" s="13" t="e">
        <f>IF(Data!#REF!="","",IF(Data!$G423="",1,IF(ISNUMBER(MATCH(Data!#REF!,Data_Val!$D$2:$D$10,0)),0,1)))</f>
        <v>#REF!</v>
      </c>
    </row>
    <row r="424" spans="1:63" x14ac:dyDescent="0.25">
      <c r="A424" s="9" t="str">
        <f>IF(Data!B424="","",IF(COUNTIFS(Data!A$1:'Data'!A424,Data!A424)&lt;=1,0,1))</f>
        <v/>
      </c>
      <c r="B424" s="9"/>
      <c r="C424" s="23" t="str">
        <f>IF(Data!C424="","",(IF(ISNUMBER(MATCH("*@*.?*",Data!C424,0)),0,1)+IF(COUNTIFS(Data!C$1:'Data'!C424,Data!C424)&gt;1,1,0)))</f>
        <v/>
      </c>
      <c r="D424" s="9" t="str">
        <f>IF(Data!B424="","",IF(ISNUMBER(Data!D424),IF(AND(Data!D424&gt;999999999,Data!D424&lt;=9999999999),IF(COUNTIFS(Data!D$1:'Data'!D424,Data!D424)&lt;=1,0,1),1),1))</f>
        <v/>
      </c>
      <c r="E424" s="9" t="str">
        <f>IF(Data!B424="","",IF(ISNUMBER(MATCH(Data!E424,Data_Val!$A$2:$A$3,0)),0,1))</f>
        <v/>
      </c>
      <c r="F424" s="9" t="str">
        <f ca="1">IF(Data!B424="","",IF(ISNUMBER(Data!F424),IF(AND(Data!F424&gt;(TODAY()-(Data_Val!$H$3*365.25)),Data!F424&lt;=(TODAY()-(Data_Val!$H$2*365.25))),0,1),1))</f>
        <v/>
      </c>
      <c r="G424" s="15" t="str">
        <f>IF(Data!B424="","",IF(AND(Data!G424="",Data!H424&lt;&gt;""),1,IF(Data!#REF!&lt;&gt;"",0,IF(ISNUMBER(MATCH(Data!G424,Data_Val!$C$2:$C$5,0)),0,1))))</f>
        <v/>
      </c>
      <c r="H424" s="15" t="str">
        <f>IF(Data!B424="","",IF(AND(Data!G424&lt;&gt;"",Data!H424=""),1,IF(Data!#REF!&lt;&gt;"",0,IF(Data!G424="",1,IF(ISNUMBER(MATCH(Data!H424,Data_Val!$D$2:$D$35,0)),0,1)))))</f>
        <v/>
      </c>
      <c r="I424" s="15" t="str">
        <f>IF(Data!B424="","",IF(Data!G424&lt;&gt;"",0,IF(ISNUMBER(MATCH(Data!#REF!,Data_Val!$E$2:$E$12,0)),0,1)))</f>
        <v/>
      </c>
      <c r="J424" s="16" t="e">
        <f>IF(OR(Data!B424="",Data!#REF!=""),"",IF(Data!#REF!="",1,0))</f>
        <v>#REF!</v>
      </c>
      <c r="K424" s="16" t="e">
        <f>IF(OR(Data!B424="",Data!#REF!=""),"",IF(Data!#REF!="",1,0))</f>
        <v>#REF!</v>
      </c>
      <c r="L424" s="16" t="e">
        <f>IF(OR(Data!B424="",Data!#REF!=""),"",IF(ISNUMBER(Data!#REF!),IF(AND(Data!#REF!&gt;Data_Val!$G$2,Data!#REF!&lt;=Data_Val!$G$3),0,1),1))</f>
        <v>#REF!</v>
      </c>
      <c r="M424" s="9" t="e">
        <f>IF(OR(Data!B424="",Data!#REF!=""),"",IF(ISNUMBER(MATCH(Data!#REF!,Data_Val!$F$1:$F$38,0)),0,1))</f>
        <v>#REF!</v>
      </c>
      <c r="N424" s="9" t="e">
        <f>IF(OR(Data!B424="",Data!#REF!=""),"",IF(Data!#REF!="",1,0))</f>
        <v>#REF!</v>
      </c>
      <c r="O424" s="17" t="e">
        <f>IF(Data!#REF!="","",IF(Data!#REF!="",1,0))</f>
        <v>#REF!</v>
      </c>
      <c r="P424" s="17" t="e">
        <f>IF(Data!#REF!="","",IF(ISNUMBER(MATCH(Data!#REF!,Data_Val!$A$2:$A$3,0)),0,1))</f>
        <v>#REF!</v>
      </c>
      <c r="Q424" s="25" t="e">
        <f ca="1">IF(Data!#REF!="","",IF(ISNUMBER(Data!#REF!),IF(AND(Data!#REF!&gt;(TODAY()-(Data_Val!$J$3*365.25)),Data!#REF!&lt;=(TODAY()-(Data_Val!$J$2*365.25))),0,1),1))</f>
        <v>#REF!</v>
      </c>
      <c r="R424" s="17" t="e">
        <f>IF(Data!#REF!="","",IF(ISNUMBER(MATCH(Data!#REF!,Data_Val!$B$2:$B$15,0)),0,1))</f>
        <v>#REF!</v>
      </c>
      <c r="S424" s="11" t="str">
        <f>IF(Data!G424="","",IF(Data!G424=Data_Val!$C$2,IF(Data!M424="",0,1),0))</f>
        <v/>
      </c>
      <c r="T424" s="11" t="str">
        <f>IF(Data!M424="","",IF(ISNUMBER(MATCH(Data!N424,Data_Val!$A$2:$A$3,0)),0,1))</f>
        <v/>
      </c>
      <c r="U424" s="11" t="str">
        <f ca="1">IF(Data!M424="","",IF(ISNUMBER(Data!O424),IF(AND(Data!O424&gt;(TODAY()-(Data_Val!$K$3*365.25)),Data!O424&lt;=(TODAY()-(Data_Val!$K$2*365.25))),0,1),1))</f>
        <v/>
      </c>
      <c r="V424" s="12" t="str">
        <f>IF(Data!G424="","",IF(Data!G424=Data_Val!$C$2,IF(Data!P424="",0,1),0))</f>
        <v/>
      </c>
      <c r="W424" s="12" t="str">
        <f>IF(Data!P424="","",IF(ISNUMBER(MATCH(Data!Q424,Data_Val!$A$2:$A$3,0)),0,1))</f>
        <v/>
      </c>
      <c r="X424" s="26" t="str">
        <f ca="1">IF(Data!P424="","",IF(ISNUMBER(Data!R424),IF(AND(Data!R424&gt;(TODAY()-(Data_Val!$L$3*365.25)),Data!R424&lt;=(TODAY()-(Data_Val!$L$2*365.25))),0,1),1))</f>
        <v/>
      </c>
      <c r="Y424" s="13" t="str">
        <f>IF(Data!$G424="","",IF(Data!$G424=Data_Val!$C$2,IF(Data!S424="",0,1),0))</f>
        <v/>
      </c>
      <c r="Z424" s="13" t="str">
        <f>IF(Data!S424="","",IF(ISNUMBER(MATCH(Data!T424,Data_Val!$A$2:$A$3,0)),0,1))</f>
        <v/>
      </c>
      <c r="AA424" s="28" t="str">
        <f ca="1">IF(Data!S424="","",IF(ISNUMBER(Data!U424),IF(AND(Data!U424&gt;(TODAY()-(Data_Val!$L$3*365.25)),Data!U424&lt;=(TODAY()-(Data_Val!$L$2*365.25))),0,1),1))</f>
        <v/>
      </c>
      <c r="AB424" s="11"/>
      <c r="AC424" s="11" t="e">
        <f>IF(Data!#REF!="","",IF(ISNUMBER(MATCH(Data!#REF!,Data_Val!$A$2:$A$3,0)),0,1))</f>
        <v>#REF!</v>
      </c>
      <c r="AD424" s="11" t="e">
        <f ca="1">IF(Data!#REF!="","",IF(ISNUMBER(Data!#REF!),IF(AND(Data!#REF!&gt;(TODAY()-(Data_Val!$L$3*365.25)),Data!#REF!&lt;=(TODAY()-(Data_Val!$L$2*365.25))),0,1),1))</f>
        <v>#REF!</v>
      </c>
      <c r="AE424" s="11" t="e">
        <f>IF(Data!#REF!="","",IF(Data!$G424="",1,IF(ISNUMBER(MATCH(Data!#REF!,Data_Val!$D$2:$D$10,0)),0,1)))</f>
        <v>#REF!</v>
      </c>
      <c r="AF424" s="12"/>
      <c r="AG424" s="12" t="e">
        <f>IF(Data!#REF!="","",IF(ISNUMBER(MATCH(Data!#REF!,Data_Val!$A$2:$A$3,0)),0,1))</f>
        <v>#REF!</v>
      </c>
      <c r="AH424" s="26" t="e">
        <f ca="1">IF(Data!#REF!="","",IF(ISNUMBER(Data!#REF!),IF(AND(Data!#REF!&gt;(TODAY()-(Data_Val!$L$3*365.25)),Data!#REF!&lt;=(TODAY()-(Data_Val!$L$2*365.25))),0,1),1))</f>
        <v>#REF!</v>
      </c>
      <c r="AI424" s="12" t="e">
        <f>IF(Data!#REF!="","",IF(Data!$G424="",1,IF(ISNUMBER(MATCH(Data!#REF!,Data_Val!$D$2:$D$10,0)),0,1)))</f>
        <v>#REF!</v>
      </c>
      <c r="AJ424" s="17"/>
      <c r="AK424" s="17" t="e">
        <f>IF(Data!#REF!="","",IF(ISNUMBER(MATCH(Data!#REF!,Data_Val!$A$2:$A$3,0)),0,1))</f>
        <v>#REF!</v>
      </c>
      <c r="AL424" s="25" t="e">
        <f ca="1">IF(Data!#REF!="","",IF(ISNUMBER(Data!#REF!),IF(AND(Data!#REF!&gt;(TODAY()-(Data_Val!$L$3*365.25)),Data!#REF!&lt;=(TODAY()-(Data_Val!$L$2*365.25))),0,1),1))</f>
        <v>#REF!</v>
      </c>
      <c r="AM424" s="17" t="e">
        <f>IF(Data!#REF!="","",IF(Data!$G424="",1,IF(ISNUMBER(MATCH(Data!#REF!,Data_Val!$D$2:$D$10,0)),0,1)))</f>
        <v>#REF!</v>
      </c>
      <c r="AN424" s="13"/>
      <c r="AO424" s="28" t="e">
        <f ca="1">IF(Data!#REF!="","",IF(ISNUMBER(Data!#REF!),IF(AND(Data!#REF!&gt;(TODAY()-(Data_Val!$I$3*365.25)),Data!#REF!&lt;=(TODAY()-(Data_Val!$I$2*365.25))),0,1),1))</f>
        <v>#REF!</v>
      </c>
      <c r="AP424" s="13" t="e">
        <f>IF(Data!#REF!="","",IF(Data!$G424="",1,IF(ISNUMBER(MATCH(Data!#REF!,Data_Val!$D$2:$D$10,0)),0,1)))</f>
        <v>#REF!</v>
      </c>
      <c r="AQ424" s="17"/>
      <c r="AR424" s="30" t="e">
        <f ca="1">IF(Data!#REF!="","",IF(ISNUMBER(Data!#REF!),IF(AND(Data!#REF!&gt;(TODAY()-(Data_Val!$I$3*365.25)),Data!#REF!&lt;=(TODAY()-(Data_Val!$I$2*365.25))),0,1),1))</f>
        <v>#REF!</v>
      </c>
      <c r="AS424" s="31" t="e">
        <f>IF(Data!#REF!="","",IF(Data!$G424="",1,IF(ISNUMBER(MATCH(Data!#REF!,Data_Val!$D$2:$D$10,0)),0,1)))</f>
        <v>#REF!</v>
      </c>
      <c r="AT424" s="11"/>
      <c r="AU424" s="11" t="e">
        <f ca="1">IF(Data!#REF!="","",IF(ISNUMBER(Data!#REF!),IF(AND(Data!#REF!&gt;(TODAY()-(Data_Val!$I$3*365.25)),Data!#REF!&lt;=(TODAY()-(Data_Val!$I$2*365.25))),0,1),1))</f>
        <v>#REF!</v>
      </c>
      <c r="AV424" s="11" t="e">
        <f>IF(Data!#REF!="","",IF(Data!$G424="",1,IF(ISNUMBER(MATCH(Data!#REF!,Data_Val!$D$2:$D$10,0)),0,1)))</f>
        <v>#REF!</v>
      </c>
      <c r="AW424" s="12"/>
      <c r="AX424" s="26" t="e">
        <f ca="1">IF(Data!#REF!="","",IF(ISNUMBER(Data!#REF!),IF(AND(Data!#REF!&gt;(TODAY()-(Data_Val!$I$3*365.25)),Data!#REF!&lt;=(TODAY()-(Data_Val!$I$2*365.25))),0,1),1))</f>
        <v>#REF!</v>
      </c>
      <c r="AY424" s="12" t="e">
        <f>IF(Data!#REF!="","",IF(Data!$G424="",1,IF(ISNUMBER(MATCH(Data!#REF!,Data_Val!$D$2:$D$10,0)),0,1)))</f>
        <v>#REF!</v>
      </c>
      <c r="AZ424" s="11"/>
      <c r="BA424" s="19" t="e">
        <f ca="1">IF(Data!#REF!="","",IF(ISNUMBER(Data!#REF!),IF(AND(Data!#REF!&gt;(TODAY()-(Data_Val!$M$3*365.25)),Data!#REF!&lt;=(TODAY()-(Data_Val!$M$2*365.25))),0,1),1))</f>
        <v>#REF!</v>
      </c>
      <c r="BB424" s="11" t="e">
        <f>IF(Data!#REF!="","",IF(Data!$G424="",1,IF(ISNUMBER(MATCH(Data!#REF!,Data_Val!$D$2:$D$10,0)),0,1)))</f>
        <v>#REF!</v>
      </c>
      <c r="BC424" s="12"/>
      <c r="BD424" s="20" t="e">
        <f ca="1">IF(Data!#REF!="","",IF(ISNUMBER(Data!#REF!),IF(AND(Data!#REF!&gt;(TODAY()-(Data_Val!$M$3*365.25)),Data!#REF!&lt;=(TODAY()-(Data_Val!$M$2*365.25))),0,1),1))</f>
        <v>#REF!</v>
      </c>
      <c r="BE424" s="12" t="e">
        <f>IF(Data!#REF!="","",IF(Data!$G424="",1,IF(ISNUMBER(MATCH(Data!#REF!,Data_Val!$D$2:$D$10,0)),0,1)))</f>
        <v>#REF!</v>
      </c>
      <c r="BF424" s="17"/>
      <c r="BG424" s="18" t="e">
        <f ca="1">IF(Data!#REF!="","",IF(ISNUMBER(Data!#REF!),IF(AND(Data!#REF!&gt;(TODAY()-(Data_Val!$M$3*365.25)),Data!#REF!&lt;=(TODAY()-(Data_Val!$M$2*365.25))),0,1),1))</f>
        <v>#REF!</v>
      </c>
      <c r="BH424" s="29" t="e">
        <f>IF(Data!#REF!="","",IF(Data!$G424="",1,IF(ISNUMBER(MATCH(Data!#REF!,Data_Val!$D$2:$D$10,0)),0,1)))</f>
        <v>#REF!</v>
      </c>
      <c r="BI424" s="13"/>
      <c r="BJ424" s="21" t="e">
        <f ca="1">IF(Data!#REF!="","",IF(ISNUMBER(Data!#REF!),IF(AND(Data!#REF!&gt;(TODAY()-(Data_Val!$M$3*365.25)),Data!#REF!&lt;=(TODAY()-(Data_Val!$M$2*365.25))),0,1),1))</f>
        <v>#REF!</v>
      </c>
      <c r="BK424" s="13" t="e">
        <f>IF(Data!#REF!="","",IF(Data!$G424="",1,IF(ISNUMBER(MATCH(Data!#REF!,Data_Val!$D$2:$D$10,0)),0,1)))</f>
        <v>#REF!</v>
      </c>
    </row>
    <row r="425" spans="1:63" x14ac:dyDescent="0.25">
      <c r="A425" s="9" t="str">
        <f>IF(Data!B425="","",IF(COUNTIFS(Data!A$1:'Data'!A425,Data!A425)&lt;=1,0,1))</f>
        <v/>
      </c>
      <c r="B425" s="9"/>
      <c r="C425" s="23" t="str">
        <f>IF(Data!C425="","",(IF(ISNUMBER(MATCH("*@*.?*",Data!C425,0)),0,1)+IF(COUNTIFS(Data!C$1:'Data'!C425,Data!C425)&gt;1,1,0)))</f>
        <v/>
      </c>
      <c r="D425" s="9" t="str">
        <f>IF(Data!B425="","",IF(ISNUMBER(Data!D425),IF(AND(Data!D425&gt;999999999,Data!D425&lt;=9999999999),IF(COUNTIFS(Data!D$1:'Data'!D425,Data!D425)&lt;=1,0,1),1),1))</f>
        <v/>
      </c>
      <c r="E425" s="9" t="str">
        <f>IF(Data!B425="","",IF(ISNUMBER(MATCH(Data!E425,Data_Val!$A$2:$A$3,0)),0,1))</f>
        <v/>
      </c>
      <c r="F425" s="9" t="str">
        <f ca="1">IF(Data!B425="","",IF(ISNUMBER(Data!F425),IF(AND(Data!F425&gt;(TODAY()-(Data_Val!$H$3*365.25)),Data!F425&lt;=(TODAY()-(Data_Val!$H$2*365.25))),0,1),1))</f>
        <v/>
      </c>
      <c r="G425" s="15" t="str">
        <f>IF(Data!B425="","",IF(AND(Data!G425="",Data!H425&lt;&gt;""),1,IF(Data!#REF!&lt;&gt;"",0,IF(ISNUMBER(MATCH(Data!G425,Data_Val!$C$2:$C$5,0)),0,1))))</f>
        <v/>
      </c>
      <c r="H425" s="15" t="str">
        <f>IF(Data!B425="","",IF(AND(Data!G425&lt;&gt;"",Data!H425=""),1,IF(Data!#REF!&lt;&gt;"",0,IF(Data!G425="",1,IF(ISNUMBER(MATCH(Data!H425,Data_Val!$D$2:$D$35,0)),0,1)))))</f>
        <v/>
      </c>
      <c r="I425" s="15" t="str">
        <f>IF(Data!B425="","",IF(Data!G425&lt;&gt;"",0,IF(ISNUMBER(MATCH(Data!#REF!,Data_Val!$E$2:$E$12,0)),0,1)))</f>
        <v/>
      </c>
      <c r="J425" s="16" t="e">
        <f>IF(OR(Data!B425="",Data!#REF!=""),"",IF(Data!#REF!="",1,0))</f>
        <v>#REF!</v>
      </c>
      <c r="K425" s="16" t="e">
        <f>IF(OR(Data!B425="",Data!#REF!=""),"",IF(Data!#REF!="",1,0))</f>
        <v>#REF!</v>
      </c>
      <c r="L425" s="16" t="e">
        <f>IF(OR(Data!B425="",Data!#REF!=""),"",IF(ISNUMBER(Data!#REF!),IF(AND(Data!#REF!&gt;Data_Val!$G$2,Data!#REF!&lt;=Data_Val!$G$3),0,1),1))</f>
        <v>#REF!</v>
      </c>
      <c r="M425" s="9" t="e">
        <f>IF(OR(Data!B425="",Data!#REF!=""),"",IF(ISNUMBER(MATCH(Data!#REF!,Data_Val!$F$1:$F$38,0)),0,1))</f>
        <v>#REF!</v>
      </c>
      <c r="N425" s="9" t="e">
        <f>IF(OR(Data!B425="",Data!#REF!=""),"",IF(Data!#REF!="",1,0))</f>
        <v>#REF!</v>
      </c>
      <c r="O425" s="17" t="e">
        <f>IF(Data!#REF!="","",IF(Data!#REF!="",1,0))</f>
        <v>#REF!</v>
      </c>
      <c r="P425" s="17" t="e">
        <f>IF(Data!#REF!="","",IF(ISNUMBER(MATCH(Data!#REF!,Data_Val!$A$2:$A$3,0)),0,1))</f>
        <v>#REF!</v>
      </c>
      <c r="Q425" s="25" t="e">
        <f ca="1">IF(Data!#REF!="","",IF(ISNUMBER(Data!#REF!),IF(AND(Data!#REF!&gt;(TODAY()-(Data_Val!$J$3*365.25)),Data!#REF!&lt;=(TODAY()-(Data_Val!$J$2*365.25))),0,1),1))</f>
        <v>#REF!</v>
      </c>
      <c r="R425" s="17" t="e">
        <f>IF(Data!#REF!="","",IF(ISNUMBER(MATCH(Data!#REF!,Data_Val!$B$2:$B$15,0)),0,1))</f>
        <v>#REF!</v>
      </c>
      <c r="S425" s="11" t="str">
        <f>IF(Data!G425="","",IF(Data!G425=Data_Val!$C$2,IF(Data!M425="",0,1),0))</f>
        <v/>
      </c>
      <c r="T425" s="11" t="str">
        <f>IF(Data!M425="","",IF(ISNUMBER(MATCH(Data!N425,Data_Val!$A$2:$A$3,0)),0,1))</f>
        <v/>
      </c>
      <c r="U425" s="11" t="str">
        <f ca="1">IF(Data!M425="","",IF(ISNUMBER(Data!O425),IF(AND(Data!O425&gt;(TODAY()-(Data_Val!$K$3*365.25)),Data!O425&lt;=(TODAY()-(Data_Val!$K$2*365.25))),0,1),1))</f>
        <v/>
      </c>
      <c r="V425" s="12" t="str">
        <f>IF(Data!G425="","",IF(Data!G425=Data_Val!$C$2,IF(Data!P425="",0,1),0))</f>
        <v/>
      </c>
      <c r="W425" s="12" t="str">
        <f>IF(Data!P425="","",IF(ISNUMBER(MATCH(Data!Q425,Data_Val!$A$2:$A$3,0)),0,1))</f>
        <v/>
      </c>
      <c r="X425" s="26" t="str">
        <f ca="1">IF(Data!P425="","",IF(ISNUMBER(Data!R425),IF(AND(Data!R425&gt;(TODAY()-(Data_Val!$L$3*365.25)),Data!R425&lt;=(TODAY()-(Data_Val!$L$2*365.25))),0,1),1))</f>
        <v/>
      </c>
      <c r="Y425" s="13" t="str">
        <f>IF(Data!$G425="","",IF(Data!$G425=Data_Val!$C$2,IF(Data!S425="",0,1),0))</f>
        <v/>
      </c>
      <c r="Z425" s="13" t="str">
        <f>IF(Data!S425="","",IF(ISNUMBER(MATCH(Data!T425,Data_Val!$A$2:$A$3,0)),0,1))</f>
        <v/>
      </c>
      <c r="AA425" s="28" t="str">
        <f ca="1">IF(Data!S425="","",IF(ISNUMBER(Data!U425),IF(AND(Data!U425&gt;(TODAY()-(Data_Val!$L$3*365.25)),Data!U425&lt;=(TODAY()-(Data_Val!$L$2*365.25))),0,1),1))</f>
        <v/>
      </c>
      <c r="AB425" s="11"/>
      <c r="AC425" s="11" t="e">
        <f>IF(Data!#REF!="","",IF(ISNUMBER(MATCH(Data!#REF!,Data_Val!$A$2:$A$3,0)),0,1))</f>
        <v>#REF!</v>
      </c>
      <c r="AD425" s="11" t="e">
        <f ca="1">IF(Data!#REF!="","",IF(ISNUMBER(Data!#REF!),IF(AND(Data!#REF!&gt;(TODAY()-(Data_Val!$L$3*365.25)),Data!#REF!&lt;=(TODAY()-(Data_Val!$L$2*365.25))),0,1),1))</f>
        <v>#REF!</v>
      </c>
      <c r="AE425" s="11" t="e">
        <f>IF(Data!#REF!="","",IF(Data!$G425="",1,IF(ISNUMBER(MATCH(Data!#REF!,Data_Val!$D$2:$D$10,0)),0,1)))</f>
        <v>#REF!</v>
      </c>
      <c r="AF425" s="12"/>
      <c r="AG425" s="12" t="e">
        <f>IF(Data!#REF!="","",IF(ISNUMBER(MATCH(Data!#REF!,Data_Val!$A$2:$A$3,0)),0,1))</f>
        <v>#REF!</v>
      </c>
      <c r="AH425" s="26" t="e">
        <f ca="1">IF(Data!#REF!="","",IF(ISNUMBER(Data!#REF!),IF(AND(Data!#REF!&gt;(TODAY()-(Data_Val!$L$3*365.25)),Data!#REF!&lt;=(TODAY()-(Data_Val!$L$2*365.25))),0,1),1))</f>
        <v>#REF!</v>
      </c>
      <c r="AI425" s="12" t="e">
        <f>IF(Data!#REF!="","",IF(Data!$G425="",1,IF(ISNUMBER(MATCH(Data!#REF!,Data_Val!$D$2:$D$10,0)),0,1)))</f>
        <v>#REF!</v>
      </c>
      <c r="AJ425" s="17"/>
      <c r="AK425" s="17" t="e">
        <f>IF(Data!#REF!="","",IF(ISNUMBER(MATCH(Data!#REF!,Data_Val!$A$2:$A$3,0)),0,1))</f>
        <v>#REF!</v>
      </c>
      <c r="AL425" s="25" t="e">
        <f ca="1">IF(Data!#REF!="","",IF(ISNUMBER(Data!#REF!),IF(AND(Data!#REF!&gt;(TODAY()-(Data_Val!$L$3*365.25)),Data!#REF!&lt;=(TODAY()-(Data_Val!$L$2*365.25))),0,1),1))</f>
        <v>#REF!</v>
      </c>
      <c r="AM425" s="17" t="e">
        <f>IF(Data!#REF!="","",IF(Data!$G425="",1,IF(ISNUMBER(MATCH(Data!#REF!,Data_Val!$D$2:$D$10,0)),0,1)))</f>
        <v>#REF!</v>
      </c>
      <c r="AN425" s="13"/>
      <c r="AO425" s="28" t="e">
        <f ca="1">IF(Data!#REF!="","",IF(ISNUMBER(Data!#REF!),IF(AND(Data!#REF!&gt;(TODAY()-(Data_Val!$I$3*365.25)),Data!#REF!&lt;=(TODAY()-(Data_Val!$I$2*365.25))),0,1),1))</f>
        <v>#REF!</v>
      </c>
      <c r="AP425" s="13" t="e">
        <f>IF(Data!#REF!="","",IF(Data!$G425="",1,IF(ISNUMBER(MATCH(Data!#REF!,Data_Val!$D$2:$D$10,0)),0,1)))</f>
        <v>#REF!</v>
      </c>
      <c r="AQ425" s="17"/>
      <c r="AR425" s="30" t="e">
        <f ca="1">IF(Data!#REF!="","",IF(ISNUMBER(Data!#REF!),IF(AND(Data!#REF!&gt;(TODAY()-(Data_Val!$I$3*365.25)),Data!#REF!&lt;=(TODAY()-(Data_Val!$I$2*365.25))),0,1),1))</f>
        <v>#REF!</v>
      </c>
      <c r="AS425" s="31" t="e">
        <f>IF(Data!#REF!="","",IF(Data!$G425="",1,IF(ISNUMBER(MATCH(Data!#REF!,Data_Val!$D$2:$D$10,0)),0,1)))</f>
        <v>#REF!</v>
      </c>
      <c r="AT425" s="11"/>
      <c r="AU425" s="11" t="e">
        <f ca="1">IF(Data!#REF!="","",IF(ISNUMBER(Data!#REF!),IF(AND(Data!#REF!&gt;(TODAY()-(Data_Val!$I$3*365.25)),Data!#REF!&lt;=(TODAY()-(Data_Val!$I$2*365.25))),0,1),1))</f>
        <v>#REF!</v>
      </c>
      <c r="AV425" s="11" t="e">
        <f>IF(Data!#REF!="","",IF(Data!$G425="",1,IF(ISNUMBER(MATCH(Data!#REF!,Data_Val!$D$2:$D$10,0)),0,1)))</f>
        <v>#REF!</v>
      </c>
      <c r="AW425" s="12"/>
      <c r="AX425" s="26" t="e">
        <f ca="1">IF(Data!#REF!="","",IF(ISNUMBER(Data!#REF!),IF(AND(Data!#REF!&gt;(TODAY()-(Data_Val!$I$3*365.25)),Data!#REF!&lt;=(TODAY()-(Data_Val!$I$2*365.25))),0,1),1))</f>
        <v>#REF!</v>
      </c>
      <c r="AY425" s="12" t="e">
        <f>IF(Data!#REF!="","",IF(Data!$G425="",1,IF(ISNUMBER(MATCH(Data!#REF!,Data_Val!$D$2:$D$10,0)),0,1)))</f>
        <v>#REF!</v>
      </c>
      <c r="AZ425" s="11"/>
      <c r="BA425" s="19" t="e">
        <f ca="1">IF(Data!#REF!="","",IF(ISNUMBER(Data!#REF!),IF(AND(Data!#REF!&gt;(TODAY()-(Data_Val!$M$3*365.25)),Data!#REF!&lt;=(TODAY()-(Data_Val!$M$2*365.25))),0,1),1))</f>
        <v>#REF!</v>
      </c>
      <c r="BB425" s="11" t="e">
        <f>IF(Data!#REF!="","",IF(Data!$G425="",1,IF(ISNUMBER(MATCH(Data!#REF!,Data_Val!$D$2:$D$10,0)),0,1)))</f>
        <v>#REF!</v>
      </c>
      <c r="BC425" s="12"/>
      <c r="BD425" s="20" t="e">
        <f ca="1">IF(Data!#REF!="","",IF(ISNUMBER(Data!#REF!),IF(AND(Data!#REF!&gt;(TODAY()-(Data_Val!$M$3*365.25)),Data!#REF!&lt;=(TODAY()-(Data_Val!$M$2*365.25))),0,1),1))</f>
        <v>#REF!</v>
      </c>
      <c r="BE425" s="12" t="e">
        <f>IF(Data!#REF!="","",IF(Data!$G425="",1,IF(ISNUMBER(MATCH(Data!#REF!,Data_Val!$D$2:$D$10,0)),0,1)))</f>
        <v>#REF!</v>
      </c>
      <c r="BF425" s="17"/>
      <c r="BG425" s="18" t="e">
        <f ca="1">IF(Data!#REF!="","",IF(ISNUMBER(Data!#REF!),IF(AND(Data!#REF!&gt;(TODAY()-(Data_Val!$M$3*365.25)),Data!#REF!&lt;=(TODAY()-(Data_Val!$M$2*365.25))),0,1),1))</f>
        <v>#REF!</v>
      </c>
      <c r="BH425" s="29" t="e">
        <f>IF(Data!#REF!="","",IF(Data!$G425="",1,IF(ISNUMBER(MATCH(Data!#REF!,Data_Val!$D$2:$D$10,0)),0,1)))</f>
        <v>#REF!</v>
      </c>
      <c r="BI425" s="13"/>
      <c r="BJ425" s="21" t="e">
        <f ca="1">IF(Data!#REF!="","",IF(ISNUMBER(Data!#REF!),IF(AND(Data!#REF!&gt;(TODAY()-(Data_Val!$M$3*365.25)),Data!#REF!&lt;=(TODAY()-(Data_Val!$M$2*365.25))),0,1),1))</f>
        <v>#REF!</v>
      </c>
      <c r="BK425" s="13" t="e">
        <f>IF(Data!#REF!="","",IF(Data!$G425="",1,IF(ISNUMBER(MATCH(Data!#REF!,Data_Val!$D$2:$D$10,0)),0,1)))</f>
        <v>#REF!</v>
      </c>
    </row>
    <row r="426" spans="1:63" x14ac:dyDescent="0.25">
      <c r="A426" s="9" t="str">
        <f>IF(Data!B426="","",IF(COUNTIFS(Data!A$1:'Data'!A426,Data!A426)&lt;=1,0,1))</f>
        <v/>
      </c>
      <c r="B426" s="9"/>
      <c r="C426" s="23" t="str">
        <f>IF(Data!C426="","",(IF(ISNUMBER(MATCH("*@*.?*",Data!C426,0)),0,1)+IF(COUNTIFS(Data!C$1:'Data'!C426,Data!C426)&gt;1,1,0)))</f>
        <v/>
      </c>
      <c r="D426" s="9" t="str">
        <f>IF(Data!B426="","",IF(ISNUMBER(Data!D426),IF(AND(Data!D426&gt;999999999,Data!D426&lt;=9999999999),IF(COUNTIFS(Data!D$1:'Data'!D426,Data!D426)&lt;=1,0,1),1),1))</f>
        <v/>
      </c>
      <c r="E426" s="9" t="str">
        <f>IF(Data!B426="","",IF(ISNUMBER(MATCH(Data!E426,Data_Val!$A$2:$A$3,0)),0,1))</f>
        <v/>
      </c>
      <c r="F426" s="9" t="str">
        <f ca="1">IF(Data!B426="","",IF(ISNUMBER(Data!F426),IF(AND(Data!F426&gt;(TODAY()-(Data_Val!$H$3*365.25)),Data!F426&lt;=(TODAY()-(Data_Val!$H$2*365.25))),0,1),1))</f>
        <v/>
      </c>
      <c r="G426" s="15" t="str">
        <f>IF(Data!B426="","",IF(AND(Data!G426="",Data!H426&lt;&gt;""),1,IF(Data!#REF!&lt;&gt;"",0,IF(ISNUMBER(MATCH(Data!G426,Data_Val!$C$2:$C$5,0)),0,1))))</f>
        <v/>
      </c>
      <c r="H426" s="15" t="str">
        <f>IF(Data!B426="","",IF(AND(Data!G426&lt;&gt;"",Data!H426=""),1,IF(Data!#REF!&lt;&gt;"",0,IF(Data!G426="",1,IF(ISNUMBER(MATCH(Data!H426,Data_Val!$D$2:$D$35,0)),0,1)))))</f>
        <v/>
      </c>
      <c r="I426" s="15" t="str">
        <f>IF(Data!B426="","",IF(Data!G426&lt;&gt;"",0,IF(ISNUMBER(MATCH(Data!#REF!,Data_Val!$E$2:$E$12,0)),0,1)))</f>
        <v/>
      </c>
      <c r="J426" s="16" t="e">
        <f>IF(OR(Data!B426="",Data!#REF!=""),"",IF(Data!#REF!="",1,0))</f>
        <v>#REF!</v>
      </c>
      <c r="K426" s="16" t="e">
        <f>IF(OR(Data!B426="",Data!#REF!=""),"",IF(Data!#REF!="",1,0))</f>
        <v>#REF!</v>
      </c>
      <c r="L426" s="16" t="e">
        <f>IF(OR(Data!B426="",Data!#REF!=""),"",IF(ISNUMBER(Data!#REF!),IF(AND(Data!#REF!&gt;Data_Val!$G$2,Data!#REF!&lt;=Data_Val!$G$3),0,1),1))</f>
        <v>#REF!</v>
      </c>
      <c r="M426" s="9" t="e">
        <f>IF(OR(Data!B426="",Data!#REF!=""),"",IF(ISNUMBER(MATCH(Data!#REF!,Data_Val!$F$1:$F$38,0)),0,1))</f>
        <v>#REF!</v>
      </c>
      <c r="N426" s="9" t="e">
        <f>IF(OR(Data!B426="",Data!#REF!=""),"",IF(Data!#REF!="",1,0))</f>
        <v>#REF!</v>
      </c>
      <c r="O426" s="17" t="e">
        <f>IF(Data!#REF!="","",IF(Data!#REF!="",1,0))</f>
        <v>#REF!</v>
      </c>
      <c r="P426" s="17" t="e">
        <f>IF(Data!#REF!="","",IF(ISNUMBER(MATCH(Data!#REF!,Data_Val!$A$2:$A$3,0)),0,1))</f>
        <v>#REF!</v>
      </c>
      <c r="Q426" s="25" t="e">
        <f ca="1">IF(Data!#REF!="","",IF(ISNUMBER(Data!#REF!),IF(AND(Data!#REF!&gt;(TODAY()-(Data_Val!$J$3*365.25)),Data!#REF!&lt;=(TODAY()-(Data_Val!$J$2*365.25))),0,1),1))</f>
        <v>#REF!</v>
      </c>
      <c r="R426" s="17" t="e">
        <f>IF(Data!#REF!="","",IF(ISNUMBER(MATCH(Data!#REF!,Data_Val!$B$2:$B$15,0)),0,1))</f>
        <v>#REF!</v>
      </c>
      <c r="S426" s="11" t="str">
        <f>IF(Data!G426="","",IF(Data!G426=Data_Val!$C$2,IF(Data!M426="",0,1),0))</f>
        <v/>
      </c>
      <c r="T426" s="11" t="str">
        <f>IF(Data!M426="","",IF(ISNUMBER(MATCH(Data!N426,Data_Val!$A$2:$A$3,0)),0,1))</f>
        <v/>
      </c>
      <c r="U426" s="11" t="str">
        <f ca="1">IF(Data!M426="","",IF(ISNUMBER(Data!O426),IF(AND(Data!O426&gt;(TODAY()-(Data_Val!$K$3*365.25)),Data!O426&lt;=(TODAY()-(Data_Val!$K$2*365.25))),0,1),1))</f>
        <v/>
      </c>
      <c r="V426" s="12" t="str">
        <f>IF(Data!G426="","",IF(Data!G426=Data_Val!$C$2,IF(Data!P426="",0,1),0))</f>
        <v/>
      </c>
      <c r="W426" s="12" t="str">
        <f>IF(Data!P426="","",IF(ISNUMBER(MATCH(Data!Q426,Data_Val!$A$2:$A$3,0)),0,1))</f>
        <v/>
      </c>
      <c r="X426" s="26" t="str">
        <f ca="1">IF(Data!P426="","",IF(ISNUMBER(Data!R426),IF(AND(Data!R426&gt;(TODAY()-(Data_Val!$L$3*365.25)),Data!R426&lt;=(TODAY()-(Data_Val!$L$2*365.25))),0,1),1))</f>
        <v/>
      </c>
      <c r="Y426" s="13" t="str">
        <f>IF(Data!$G426="","",IF(Data!$G426=Data_Val!$C$2,IF(Data!S426="",0,1),0))</f>
        <v/>
      </c>
      <c r="Z426" s="13" t="str">
        <f>IF(Data!S426="","",IF(ISNUMBER(MATCH(Data!T426,Data_Val!$A$2:$A$3,0)),0,1))</f>
        <v/>
      </c>
      <c r="AA426" s="28" t="str">
        <f ca="1">IF(Data!S426="","",IF(ISNUMBER(Data!U426),IF(AND(Data!U426&gt;(TODAY()-(Data_Val!$L$3*365.25)),Data!U426&lt;=(TODAY()-(Data_Val!$L$2*365.25))),0,1),1))</f>
        <v/>
      </c>
      <c r="AB426" s="11"/>
      <c r="AC426" s="11" t="e">
        <f>IF(Data!#REF!="","",IF(ISNUMBER(MATCH(Data!#REF!,Data_Val!$A$2:$A$3,0)),0,1))</f>
        <v>#REF!</v>
      </c>
      <c r="AD426" s="11" t="e">
        <f ca="1">IF(Data!#REF!="","",IF(ISNUMBER(Data!#REF!),IF(AND(Data!#REF!&gt;(TODAY()-(Data_Val!$L$3*365.25)),Data!#REF!&lt;=(TODAY()-(Data_Val!$L$2*365.25))),0,1),1))</f>
        <v>#REF!</v>
      </c>
      <c r="AE426" s="11" t="e">
        <f>IF(Data!#REF!="","",IF(Data!$G426="",1,IF(ISNUMBER(MATCH(Data!#REF!,Data_Val!$D$2:$D$10,0)),0,1)))</f>
        <v>#REF!</v>
      </c>
      <c r="AF426" s="12"/>
      <c r="AG426" s="12" t="e">
        <f>IF(Data!#REF!="","",IF(ISNUMBER(MATCH(Data!#REF!,Data_Val!$A$2:$A$3,0)),0,1))</f>
        <v>#REF!</v>
      </c>
      <c r="AH426" s="26" t="e">
        <f ca="1">IF(Data!#REF!="","",IF(ISNUMBER(Data!#REF!),IF(AND(Data!#REF!&gt;(TODAY()-(Data_Val!$L$3*365.25)),Data!#REF!&lt;=(TODAY()-(Data_Val!$L$2*365.25))),0,1),1))</f>
        <v>#REF!</v>
      </c>
      <c r="AI426" s="12" t="e">
        <f>IF(Data!#REF!="","",IF(Data!$G426="",1,IF(ISNUMBER(MATCH(Data!#REF!,Data_Val!$D$2:$D$10,0)),0,1)))</f>
        <v>#REF!</v>
      </c>
      <c r="AJ426" s="17"/>
      <c r="AK426" s="17" t="e">
        <f>IF(Data!#REF!="","",IF(ISNUMBER(MATCH(Data!#REF!,Data_Val!$A$2:$A$3,0)),0,1))</f>
        <v>#REF!</v>
      </c>
      <c r="AL426" s="25" t="e">
        <f ca="1">IF(Data!#REF!="","",IF(ISNUMBER(Data!#REF!),IF(AND(Data!#REF!&gt;(TODAY()-(Data_Val!$L$3*365.25)),Data!#REF!&lt;=(TODAY()-(Data_Val!$L$2*365.25))),0,1),1))</f>
        <v>#REF!</v>
      </c>
      <c r="AM426" s="17" t="e">
        <f>IF(Data!#REF!="","",IF(Data!$G426="",1,IF(ISNUMBER(MATCH(Data!#REF!,Data_Val!$D$2:$D$10,0)),0,1)))</f>
        <v>#REF!</v>
      </c>
      <c r="AN426" s="13"/>
      <c r="AO426" s="28" t="e">
        <f ca="1">IF(Data!#REF!="","",IF(ISNUMBER(Data!#REF!),IF(AND(Data!#REF!&gt;(TODAY()-(Data_Val!$I$3*365.25)),Data!#REF!&lt;=(TODAY()-(Data_Val!$I$2*365.25))),0,1),1))</f>
        <v>#REF!</v>
      </c>
      <c r="AP426" s="13" t="e">
        <f>IF(Data!#REF!="","",IF(Data!$G426="",1,IF(ISNUMBER(MATCH(Data!#REF!,Data_Val!$D$2:$D$10,0)),0,1)))</f>
        <v>#REF!</v>
      </c>
      <c r="AQ426" s="17"/>
      <c r="AR426" s="30" t="e">
        <f ca="1">IF(Data!#REF!="","",IF(ISNUMBER(Data!#REF!),IF(AND(Data!#REF!&gt;(TODAY()-(Data_Val!$I$3*365.25)),Data!#REF!&lt;=(TODAY()-(Data_Val!$I$2*365.25))),0,1),1))</f>
        <v>#REF!</v>
      </c>
      <c r="AS426" s="31" t="e">
        <f>IF(Data!#REF!="","",IF(Data!$G426="",1,IF(ISNUMBER(MATCH(Data!#REF!,Data_Val!$D$2:$D$10,0)),0,1)))</f>
        <v>#REF!</v>
      </c>
      <c r="AT426" s="11"/>
      <c r="AU426" s="11" t="e">
        <f ca="1">IF(Data!#REF!="","",IF(ISNUMBER(Data!#REF!),IF(AND(Data!#REF!&gt;(TODAY()-(Data_Val!$I$3*365.25)),Data!#REF!&lt;=(TODAY()-(Data_Val!$I$2*365.25))),0,1),1))</f>
        <v>#REF!</v>
      </c>
      <c r="AV426" s="11" t="e">
        <f>IF(Data!#REF!="","",IF(Data!$G426="",1,IF(ISNUMBER(MATCH(Data!#REF!,Data_Val!$D$2:$D$10,0)),0,1)))</f>
        <v>#REF!</v>
      </c>
      <c r="AW426" s="12"/>
      <c r="AX426" s="26" t="e">
        <f ca="1">IF(Data!#REF!="","",IF(ISNUMBER(Data!#REF!),IF(AND(Data!#REF!&gt;(TODAY()-(Data_Val!$I$3*365.25)),Data!#REF!&lt;=(TODAY()-(Data_Val!$I$2*365.25))),0,1),1))</f>
        <v>#REF!</v>
      </c>
      <c r="AY426" s="12" t="e">
        <f>IF(Data!#REF!="","",IF(Data!$G426="",1,IF(ISNUMBER(MATCH(Data!#REF!,Data_Val!$D$2:$D$10,0)),0,1)))</f>
        <v>#REF!</v>
      </c>
      <c r="AZ426" s="11"/>
      <c r="BA426" s="19" t="e">
        <f ca="1">IF(Data!#REF!="","",IF(ISNUMBER(Data!#REF!),IF(AND(Data!#REF!&gt;(TODAY()-(Data_Val!$M$3*365.25)),Data!#REF!&lt;=(TODAY()-(Data_Val!$M$2*365.25))),0,1),1))</f>
        <v>#REF!</v>
      </c>
      <c r="BB426" s="11" t="e">
        <f>IF(Data!#REF!="","",IF(Data!$G426="",1,IF(ISNUMBER(MATCH(Data!#REF!,Data_Val!$D$2:$D$10,0)),0,1)))</f>
        <v>#REF!</v>
      </c>
      <c r="BC426" s="12"/>
      <c r="BD426" s="20" t="e">
        <f ca="1">IF(Data!#REF!="","",IF(ISNUMBER(Data!#REF!),IF(AND(Data!#REF!&gt;(TODAY()-(Data_Val!$M$3*365.25)),Data!#REF!&lt;=(TODAY()-(Data_Val!$M$2*365.25))),0,1),1))</f>
        <v>#REF!</v>
      </c>
      <c r="BE426" s="12" t="e">
        <f>IF(Data!#REF!="","",IF(Data!$G426="",1,IF(ISNUMBER(MATCH(Data!#REF!,Data_Val!$D$2:$D$10,0)),0,1)))</f>
        <v>#REF!</v>
      </c>
      <c r="BF426" s="17"/>
      <c r="BG426" s="18" t="e">
        <f ca="1">IF(Data!#REF!="","",IF(ISNUMBER(Data!#REF!),IF(AND(Data!#REF!&gt;(TODAY()-(Data_Val!$M$3*365.25)),Data!#REF!&lt;=(TODAY()-(Data_Val!$M$2*365.25))),0,1),1))</f>
        <v>#REF!</v>
      </c>
      <c r="BH426" s="29" t="e">
        <f>IF(Data!#REF!="","",IF(Data!$G426="",1,IF(ISNUMBER(MATCH(Data!#REF!,Data_Val!$D$2:$D$10,0)),0,1)))</f>
        <v>#REF!</v>
      </c>
      <c r="BI426" s="13"/>
      <c r="BJ426" s="21" t="e">
        <f ca="1">IF(Data!#REF!="","",IF(ISNUMBER(Data!#REF!),IF(AND(Data!#REF!&gt;(TODAY()-(Data_Val!$M$3*365.25)),Data!#REF!&lt;=(TODAY()-(Data_Val!$M$2*365.25))),0,1),1))</f>
        <v>#REF!</v>
      </c>
      <c r="BK426" s="13" t="e">
        <f>IF(Data!#REF!="","",IF(Data!$G426="",1,IF(ISNUMBER(MATCH(Data!#REF!,Data_Val!$D$2:$D$10,0)),0,1)))</f>
        <v>#REF!</v>
      </c>
    </row>
    <row r="427" spans="1:63" x14ac:dyDescent="0.25">
      <c r="A427" s="9" t="str">
        <f>IF(Data!B427="","",IF(COUNTIFS(Data!A$1:'Data'!A427,Data!A427)&lt;=1,0,1))</f>
        <v/>
      </c>
      <c r="B427" s="9"/>
      <c r="C427" s="23" t="str">
        <f>IF(Data!C427="","",(IF(ISNUMBER(MATCH("*@*.?*",Data!C427,0)),0,1)+IF(COUNTIFS(Data!C$1:'Data'!C427,Data!C427)&gt;1,1,0)))</f>
        <v/>
      </c>
      <c r="D427" s="9" t="str">
        <f>IF(Data!B427="","",IF(ISNUMBER(Data!D427),IF(AND(Data!D427&gt;999999999,Data!D427&lt;=9999999999),IF(COUNTIFS(Data!D$1:'Data'!D427,Data!D427)&lt;=1,0,1),1),1))</f>
        <v/>
      </c>
      <c r="E427" s="9" t="str">
        <f>IF(Data!B427="","",IF(ISNUMBER(MATCH(Data!E427,Data_Val!$A$2:$A$3,0)),0,1))</f>
        <v/>
      </c>
      <c r="F427" s="9" t="str">
        <f ca="1">IF(Data!B427="","",IF(ISNUMBER(Data!F427),IF(AND(Data!F427&gt;(TODAY()-(Data_Val!$H$3*365.25)),Data!F427&lt;=(TODAY()-(Data_Val!$H$2*365.25))),0,1),1))</f>
        <v/>
      </c>
      <c r="G427" s="15" t="str">
        <f>IF(Data!B427="","",IF(AND(Data!G427="",Data!H427&lt;&gt;""),1,IF(Data!#REF!&lt;&gt;"",0,IF(ISNUMBER(MATCH(Data!G427,Data_Val!$C$2:$C$5,0)),0,1))))</f>
        <v/>
      </c>
      <c r="H427" s="15" t="str">
        <f>IF(Data!B427="","",IF(AND(Data!G427&lt;&gt;"",Data!H427=""),1,IF(Data!#REF!&lt;&gt;"",0,IF(Data!G427="",1,IF(ISNUMBER(MATCH(Data!H427,Data_Val!$D$2:$D$35,0)),0,1)))))</f>
        <v/>
      </c>
      <c r="I427" s="15" t="str">
        <f>IF(Data!B427="","",IF(Data!G427&lt;&gt;"",0,IF(ISNUMBER(MATCH(Data!#REF!,Data_Val!$E$2:$E$12,0)),0,1)))</f>
        <v/>
      </c>
      <c r="J427" s="16" t="e">
        <f>IF(OR(Data!B427="",Data!#REF!=""),"",IF(Data!#REF!="",1,0))</f>
        <v>#REF!</v>
      </c>
      <c r="K427" s="16" t="e">
        <f>IF(OR(Data!B427="",Data!#REF!=""),"",IF(Data!#REF!="",1,0))</f>
        <v>#REF!</v>
      </c>
      <c r="L427" s="16" t="e">
        <f>IF(OR(Data!B427="",Data!#REF!=""),"",IF(ISNUMBER(Data!#REF!),IF(AND(Data!#REF!&gt;Data_Val!$G$2,Data!#REF!&lt;=Data_Val!$G$3),0,1),1))</f>
        <v>#REF!</v>
      </c>
      <c r="M427" s="9" t="e">
        <f>IF(OR(Data!B427="",Data!#REF!=""),"",IF(ISNUMBER(MATCH(Data!#REF!,Data_Val!$F$1:$F$38,0)),0,1))</f>
        <v>#REF!</v>
      </c>
      <c r="N427" s="9" t="e">
        <f>IF(OR(Data!B427="",Data!#REF!=""),"",IF(Data!#REF!="",1,0))</f>
        <v>#REF!</v>
      </c>
      <c r="O427" s="17" t="e">
        <f>IF(Data!#REF!="","",IF(Data!#REF!="",1,0))</f>
        <v>#REF!</v>
      </c>
      <c r="P427" s="17" t="e">
        <f>IF(Data!#REF!="","",IF(ISNUMBER(MATCH(Data!#REF!,Data_Val!$A$2:$A$3,0)),0,1))</f>
        <v>#REF!</v>
      </c>
      <c r="Q427" s="25" t="e">
        <f ca="1">IF(Data!#REF!="","",IF(ISNUMBER(Data!#REF!),IF(AND(Data!#REF!&gt;(TODAY()-(Data_Val!$J$3*365.25)),Data!#REF!&lt;=(TODAY()-(Data_Val!$J$2*365.25))),0,1),1))</f>
        <v>#REF!</v>
      </c>
      <c r="R427" s="17" t="e">
        <f>IF(Data!#REF!="","",IF(ISNUMBER(MATCH(Data!#REF!,Data_Val!$B$2:$B$15,0)),0,1))</f>
        <v>#REF!</v>
      </c>
      <c r="S427" s="11" t="str">
        <f>IF(Data!G427="","",IF(Data!G427=Data_Val!$C$2,IF(Data!M427="",0,1),0))</f>
        <v/>
      </c>
      <c r="T427" s="11" t="str">
        <f>IF(Data!M427="","",IF(ISNUMBER(MATCH(Data!N427,Data_Val!$A$2:$A$3,0)),0,1))</f>
        <v/>
      </c>
      <c r="U427" s="11" t="str">
        <f ca="1">IF(Data!M427="","",IF(ISNUMBER(Data!O427),IF(AND(Data!O427&gt;(TODAY()-(Data_Val!$K$3*365.25)),Data!O427&lt;=(TODAY()-(Data_Val!$K$2*365.25))),0,1),1))</f>
        <v/>
      </c>
      <c r="V427" s="12" t="str">
        <f>IF(Data!G427="","",IF(Data!G427=Data_Val!$C$2,IF(Data!P427="",0,1),0))</f>
        <v/>
      </c>
      <c r="W427" s="12" t="str">
        <f>IF(Data!P427="","",IF(ISNUMBER(MATCH(Data!Q427,Data_Val!$A$2:$A$3,0)),0,1))</f>
        <v/>
      </c>
      <c r="X427" s="26" t="str">
        <f ca="1">IF(Data!P427="","",IF(ISNUMBER(Data!R427),IF(AND(Data!R427&gt;(TODAY()-(Data_Val!$L$3*365.25)),Data!R427&lt;=(TODAY()-(Data_Val!$L$2*365.25))),0,1),1))</f>
        <v/>
      </c>
      <c r="Y427" s="13" t="str">
        <f>IF(Data!$G427="","",IF(Data!$G427=Data_Val!$C$2,IF(Data!S427="",0,1),0))</f>
        <v/>
      </c>
      <c r="Z427" s="13" t="str">
        <f>IF(Data!S427="","",IF(ISNUMBER(MATCH(Data!T427,Data_Val!$A$2:$A$3,0)),0,1))</f>
        <v/>
      </c>
      <c r="AA427" s="28" t="str">
        <f ca="1">IF(Data!S427="","",IF(ISNUMBER(Data!U427),IF(AND(Data!U427&gt;(TODAY()-(Data_Val!$L$3*365.25)),Data!U427&lt;=(TODAY()-(Data_Val!$L$2*365.25))),0,1),1))</f>
        <v/>
      </c>
      <c r="AB427" s="11"/>
      <c r="AC427" s="11" t="e">
        <f>IF(Data!#REF!="","",IF(ISNUMBER(MATCH(Data!#REF!,Data_Val!$A$2:$A$3,0)),0,1))</f>
        <v>#REF!</v>
      </c>
      <c r="AD427" s="11" t="e">
        <f ca="1">IF(Data!#REF!="","",IF(ISNUMBER(Data!#REF!),IF(AND(Data!#REF!&gt;(TODAY()-(Data_Val!$L$3*365.25)),Data!#REF!&lt;=(TODAY()-(Data_Val!$L$2*365.25))),0,1),1))</f>
        <v>#REF!</v>
      </c>
      <c r="AE427" s="11" t="e">
        <f>IF(Data!#REF!="","",IF(Data!$G427="",1,IF(ISNUMBER(MATCH(Data!#REF!,Data_Val!$D$2:$D$10,0)),0,1)))</f>
        <v>#REF!</v>
      </c>
      <c r="AF427" s="12"/>
      <c r="AG427" s="12" t="e">
        <f>IF(Data!#REF!="","",IF(ISNUMBER(MATCH(Data!#REF!,Data_Val!$A$2:$A$3,0)),0,1))</f>
        <v>#REF!</v>
      </c>
      <c r="AH427" s="26" t="e">
        <f ca="1">IF(Data!#REF!="","",IF(ISNUMBER(Data!#REF!),IF(AND(Data!#REF!&gt;(TODAY()-(Data_Val!$L$3*365.25)),Data!#REF!&lt;=(TODAY()-(Data_Val!$L$2*365.25))),0,1),1))</f>
        <v>#REF!</v>
      </c>
      <c r="AI427" s="12" t="e">
        <f>IF(Data!#REF!="","",IF(Data!$G427="",1,IF(ISNUMBER(MATCH(Data!#REF!,Data_Val!$D$2:$D$10,0)),0,1)))</f>
        <v>#REF!</v>
      </c>
      <c r="AJ427" s="17"/>
      <c r="AK427" s="17" t="e">
        <f>IF(Data!#REF!="","",IF(ISNUMBER(MATCH(Data!#REF!,Data_Val!$A$2:$A$3,0)),0,1))</f>
        <v>#REF!</v>
      </c>
      <c r="AL427" s="25" t="e">
        <f ca="1">IF(Data!#REF!="","",IF(ISNUMBER(Data!#REF!),IF(AND(Data!#REF!&gt;(TODAY()-(Data_Val!$L$3*365.25)),Data!#REF!&lt;=(TODAY()-(Data_Val!$L$2*365.25))),0,1),1))</f>
        <v>#REF!</v>
      </c>
      <c r="AM427" s="17" t="e">
        <f>IF(Data!#REF!="","",IF(Data!$G427="",1,IF(ISNUMBER(MATCH(Data!#REF!,Data_Val!$D$2:$D$10,0)),0,1)))</f>
        <v>#REF!</v>
      </c>
      <c r="AN427" s="13"/>
      <c r="AO427" s="28" t="e">
        <f ca="1">IF(Data!#REF!="","",IF(ISNUMBER(Data!#REF!),IF(AND(Data!#REF!&gt;(TODAY()-(Data_Val!$I$3*365.25)),Data!#REF!&lt;=(TODAY()-(Data_Val!$I$2*365.25))),0,1),1))</f>
        <v>#REF!</v>
      </c>
      <c r="AP427" s="13" t="e">
        <f>IF(Data!#REF!="","",IF(Data!$G427="",1,IF(ISNUMBER(MATCH(Data!#REF!,Data_Val!$D$2:$D$10,0)),0,1)))</f>
        <v>#REF!</v>
      </c>
      <c r="AQ427" s="17"/>
      <c r="AR427" s="30" t="e">
        <f ca="1">IF(Data!#REF!="","",IF(ISNUMBER(Data!#REF!),IF(AND(Data!#REF!&gt;(TODAY()-(Data_Val!$I$3*365.25)),Data!#REF!&lt;=(TODAY()-(Data_Val!$I$2*365.25))),0,1),1))</f>
        <v>#REF!</v>
      </c>
      <c r="AS427" s="31" t="e">
        <f>IF(Data!#REF!="","",IF(Data!$G427="",1,IF(ISNUMBER(MATCH(Data!#REF!,Data_Val!$D$2:$D$10,0)),0,1)))</f>
        <v>#REF!</v>
      </c>
      <c r="AT427" s="11"/>
      <c r="AU427" s="11" t="e">
        <f ca="1">IF(Data!#REF!="","",IF(ISNUMBER(Data!#REF!),IF(AND(Data!#REF!&gt;(TODAY()-(Data_Val!$I$3*365.25)),Data!#REF!&lt;=(TODAY()-(Data_Val!$I$2*365.25))),0,1),1))</f>
        <v>#REF!</v>
      </c>
      <c r="AV427" s="11" t="e">
        <f>IF(Data!#REF!="","",IF(Data!$G427="",1,IF(ISNUMBER(MATCH(Data!#REF!,Data_Val!$D$2:$D$10,0)),0,1)))</f>
        <v>#REF!</v>
      </c>
      <c r="AW427" s="12"/>
      <c r="AX427" s="26" t="e">
        <f ca="1">IF(Data!#REF!="","",IF(ISNUMBER(Data!#REF!),IF(AND(Data!#REF!&gt;(TODAY()-(Data_Val!$I$3*365.25)),Data!#REF!&lt;=(TODAY()-(Data_Val!$I$2*365.25))),0,1),1))</f>
        <v>#REF!</v>
      </c>
      <c r="AY427" s="12" t="e">
        <f>IF(Data!#REF!="","",IF(Data!$G427="",1,IF(ISNUMBER(MATCH(Data!#REF!,Data_Val!$D$2:$D$10,0)),0,1)))</f>
        <v>#REF!</v>
      </c>
      <c r="AZ427" s="11"/>
      <c r="BA427" s="19" t="e">
        <f ca="1">IF(Data!#REF!="","",IF(ISNUMBER(Data!#REF!),IF(AND(Data!#REF!&gt;(TODAY()-(Data_Val!$M$3*365.25)),Data!#REF!&lt;=(TODAY()-(Data_Val!$M$2*365.25))),0,1),1))</f>
        <v>#REF!</v>
      </c>
      <c r="BB427" s="11" t="e">
        <f>IF(Data!#REF!="","",IF(Data!$G427="",1,IF(ISNUMBER(MATCH(Data!#REF!,Data_Val!$D$2:$D$10,0)),0,1)))</f>
        <v>#REF!</v>
      </c>
      <c r="BC427" s="12"/>
      <c r="BD427" s="20" t="e">
        <f ca="1">IF(Data!#REF!="","",IF(ISNUMBER(Data!#REF!),IF(AND(Data!#REF!&gt;(TODAY()-(Data_Val!$M$3*365.25)),Data!#REF!&lt;=(TODAY()-(Data_Val!$M$2*365.25))),0,1),1))</f>
        <v>#REF!</v>
      </c>
      <c r="BE427" s="12" t="e">
        <f>IF(Data!#REF!="","",IF(Data!$G427="",1,IF(ISNUMBER(MATCH(Data!#REF!,Data_Val!$D$2:$D$10,0)),0,1)))</f>
        <v>#REF!</v>
      </c>
      <c r="BF427" s="17"/>
      <c r="BG427" s="18" t="e">
        <f ca="1">IF(Data!#REF!="","",IF(ISNUMBER(Data!#REF!),IF(AND(Data!#REF!&gt;(TODAY()-(Data_Val!$M$3*365.25)),Data!#REF!&lt;=(TODAY()-(Data_Val!$M$2*365.25))),0,1),1))</f>
        <v>#REF!</v>
      </c>
      <c r="BH427" s="29" t="e">
        <f>IF(Data!#REF!="","",IF(Data!$G427="",1,IF(ISNUMBER(MATCH(Data!#REF!,Data_Val!$D$2:$D$10,0)),0,1)))</f>
        <v>#REF!</v>
      </c>
      <c r="BI427" s="13"/>
      <c r="BJ427" s="21" t="e">
        <f ca="1">IF(Data!#REF!="","",IF(ISNUMBER(Data!#REF!),IF(AND(Data!#REF!&gt;(TODAY()-(Data_Val!$M$3*365.25)),Data!#REF!&lt;=(TODAY()-(Data_Val!$M$2*365.25))),0,1),1))</f>
        <v>#REF!</v>
      </c>
      <c r="BK427" s="13" t="e">
        <f>IF(Data!#REF!="","",IF(Data!$G427="",1,IF(ISNUMBER(MATCH(Data!#REF!,Data_Val!$D$2:$D$10,0)),0,1)))</f>
        <v>#REF!</v>
      </c>
    </row>
    <row r="428" spans="1:63" x14ac:dyDescent="0.25">
      <c r="A428" s="9" t="str">
        <f>IF(Data!B428="","",IF(COUNTIFS(Data!A$1:'Data'!A428,Data!A428)&lt;=1,0,1))</f>
        <v/>
      </c>
      <c r="B428" s="9"/>
      <c r="C428" s="23" t="str">
        <f>IF(Data!C428="","",(IF(ISNUMBER(MATCH("*@*.?*",Data!C428,0)),0,1)+IF(COUNTIFS(Data!C$1:'Data'!C428,Data!C428)&gt;1,1,0)))</f>
        <v/>
      </c>
      <c r="D428" s="9" t="str">
        <f>IF(Data!B428="","",IF(ISNUMBER(Data!D428),IF(AND(Data!D428&gt;999999999,Data!D428&lt;=9999999999),IF(COUNTIFS(Data!D$1:'Data'!D428,Data!D428)&lt;=1,0,1),1),1))</f>
        <v/>
      </c>
      <c r="E428" s="9" t="str">
        <f>IF(Data!B428="","",IF(ISNUMBER(MATCH(Data!E428,Data_Val!$A$2:$A$3,0)),0,1))</f>
        <v/>
      </c>
      <c r="F428" s="9" t="str">
        <f ca="1">IF(Data!B428="","",IF(ISNUMBER(Data!F428),IF(AND(Data!F428&gt;(TODAY()-(Data_Val!$H$3*365.25)),Data!F428&lt;=(TODAY()-(Data_Val!$H$2*365.25))),0,1),1))</f>
        <v/>
      </c>
      <c r="G428" s="15" t="str">
        <f>IF(Data!B428="","",IF(AND(Data!G428="",Data!H428&lt;&gt;""),1,IF(Data!#REF!&lt;&gt;"",0,IF(ISNUMBER(MATCH(Data!G428,Data_Val!$C$2:$C$5,0)),0,1))))</f>
        <v/>
      </c>
      <c r="H428" s="15" t="str">
        <f>IF(Data!B428="","",IF(AND(Data!G428&lt;&gt;"",Data!H428=""),1,IF(Data!#REF!&lt;&gt;"",0,IF(Data!G428="",1,IF(ISNUMBER(MATCH(Data!H428,Data_Val!$D$2:$D$35,0)),0,1)))))</f>
        <v/>
      </c>
      <c r="I428" s="15" t="str">
        <f>IF(Data!B428="","",IF(Data!G428&lt;&gt;"",0,IF(ISNUMBER(MATCH(Data!#REF!,Data_Val!$E$2:$E$12,0)),0,1)))</f>
        <v/>
      </c>
      <c r="J428" s="16" t="e">
        <f>IF(OR(Data!B428="",Data!#REF!=""),"",IF(Data!#REF!="",1,0))</f>
        <v>#REF!</v>
      </c>
      <c r="K428" s="16" t="e">
        <f>IF(OR(Data!B428="",Data!#REF!=""),"",IF(Data!#REF!="",1,0))</f>
        <v>#REF!</v>
      </c>
      <c r="L428" s="16" t="e">
        <f>IF(OR(Data!B428="",Data!#REF!=""),"",IF(ISNUMBER(Data!#REF!),IF(AND(Data!#REF!&gt;Data_Val!$G$2,Data!#REF!&lt;=Data_Val!$G$3),0,1),1))</f>
        <v>#REF!</v>
      </c>
      <c r="M428" s="9" t="e">
        <f>IF(OR(Data!B428="",Data!#REF!=""),"",IF(ISNUMBER(MATCH(Data!#REF!,Data_Val!$F$1:$F$38,0)),0,1))</f>
        <v>#REF!</v>
      </c>
      <c r="N428" s="9" t="e">
        <f>IF(OR(Data!B428="",Data!#REF!=""),"",IF(Data!#REF!="",1,0))</f>
        <v>#REF!</v>
      </c>
      <c r="O428" s="17" t="e">
        <f>IF(Data!#REF!="","",IF(Data!#REF!="",1,0))</f>
        <v>#REF!</v>
      </c>
      <c r="P428" s="17" t="e">
        <f>IF(Data!#REF!="","",IF(ISNUMBER(MATCH(Data!#REF!,Data_Val!$A$2:$A$3,0)),0,1))</f>
        <v>#REF!</v>
      </c>
      <c r="Q428" s="25" t="e">
        <f ca="1">IF(Data!#REF!="","",IF(ISNUMBER(Data!#REF!),IF(AND(Data!#REF!&gt;(TODAY()-(Data_Val!$J$3*365.25)),Data!#REF!&lt;=(TODAY()-(Data_Val!$J$2*365.25))),0,1),1))</f>
        <v>#REF!</v>
      </c>
      <c r="R428" s="17" t="e">
        <f>IF(Data!#REF!="","",IF(ISNUMBER(MATCH(Data!#REF!,Data_Val!$B$2:$B$15,0)),0,1))</f>
        <v>#REF!</v>
      </c>
      <c r="S428" s="11" t="str">
        <f>IF(Data!G428="","",IF(Data!G428=Data_Val!$C$2,IF(Data!M428="",0,1),0))</f>
        <v/>
      </c>
      <c r="T428" s="11" t="str">
        <f>IF(Data!M428="","",IF(ISNUMBER(MATCH(Data!N428,Data_Val!$A$2:$A$3,0)),0,1))</f>
        <v/>
      </c>
      <c r="U428" s="11" t="str">
        <f ca="1">IF(Data!M428="","",IF(ISNUMBER(Data!O428),IF(AND(Data!O428&gt;(TODAY()-(Data_Val!$K$3*365.25)),Data!O428&lt;=(TODAY()-(Data_Val!$K$2*365.25))),0,1),1))</f>
        <v/>
      </c>
      <c r="V428" s="12" t="str">
        <f>IF(Data!G428="","",IF(Data!G428=Data_Val!$C$2,IF(Data!P428="",0,1),0))</f>
        <v/>
      </c>
      <c r="W428" s="12" t="str">
        <f>IF(Data!P428="","",IF(ISNUMBER(MATCH(Data!Q428,Data_Val!$A$2:$A$3,0)),0,1))</f>
        <v/>
      </c>
      <c r="X428" s="26" t="str">
        <f ca="1">IF(Data!P428="","",IF(ISNUMBER(Data!R428),IF(AND(Data!R428&gt;(TODAY()-(Data_Val!$L$3*365.25)),Data!R428&lt;=(TODAY()-(Data_Val!$L$2*365.25))),0,1),1))</f>
        <v/>
      </c>
      <c r="Y428" s="13" t="str">
        <f>IF(Data!$G428="","",IF(Data!$G428=Data_Val!$C$2,IF(Data!S428="",0,1),0))</f>
        <v/>
      </c>
      <c r="Z428" s="13" t="str">
        <f>IF(Data!S428="","",IF(ISNUMBER(MATCH(Data!T428,Data_Val!$A$2:$A$3,0)),0,1))</f>
        <v/>
      </c>
      <c r="AA428" s="28" t="str">
        <f ca="1">IF(Data!S428="","",IF(ISNUMBER(Data!U428),IF(AND(Data!U428&gt;(TODAY()-(Data_Val!$L$3*365.25)),Data!U428&lt;=(TODAY()-(Data_Val!$L$2*365.25))),0,1),1))</f>
        <v/>
      </c>
      <c r="AB428" s="11"/>
      <c r="AC428" s="11" t="e">
        <f>IF(Data!#REF!="","",IF(ISNUMBER(MATCH(Data!#REF!,Data_Val!$A$2:$A$3,0)),0,1))</f>
        <v>#REF!</v>
      </c>
      <c r="AD428" s="11" t="e">
        <f ca="1">IF(Data!#REF!="","",IF(ISNUMBER(Data!#REF!),IF(AND(Data!#REF!&gt;(TODAY()-(Data_Val!$L$3*365.25)),Data!#REF!&lt;=(TODAY()-(Data_Val!$L$2*365.25))),0,1),1))</f>
        <v>#REF!</v>
      </c>
      <c r="AE428" s="11" t="e">
        <f>IF(Data!#REF!="","",IF(Data!$G428="",1,IF(ISNUMBER(MATCH(Data!#REF!,Data_Val!$D$2:$D$10,0)),0,1)))</f>
        <v>#REF!</v>
      </c>
      <c r="AF428" s="12"/>
      <c r="AG428" s="12" t="e">
        <f>IF(Data!#REF!="","",IF(ISNUMBER(MATCH(Data!#REF!,Data_Val!$A$2:$A$3,0)),0,1))</f>
        <v>#REF!</v>
      </c>
      <c r="AH428" s="26" t="e">
        <f ca="1">IF(Data!#REF!="","",IF(ISNUMBER(Data!#REF!),IF(AND(Data!#REF!&gt;(TODAY()-(Data_Val!$L$3*365.25)),Data!#REF!&lt;=(TODAY()-(Data_Val!$L$2*365.25))),0,1),1))</f>
        <v>#REF!</v>
      </c>
      <c r="AI428" s="12" t="e">
        <f>IF(Data!#REF!="","",IF(Data!$G428="",1,IF(ISNUMBER(MATCH(Data!#REF!,Data_Val!$D$2:$D$10,0)),0,1)))</f>
        <v>#REF!</v>
      </c>
      <c r="AJ428" s="17"/>
      <c r="AK428" s="17" t="e">
        <f>IF(Data!#REF!="","",IF(ISNUMBER(MATCH(Data!#REF!,Data_Val!$A$2:$A$3,0)),0,1))</f>
        <v>#REF!</v>
      </c>
      <c r="AL428" s="25" t="e">
        <f ca="1">IF(Data!#REF!="","",IF(ISNUMBER(Data!#REF!),IF(AND(Data!#REF!&gt;(TODAY()-(Data_Val!$L$3*365.25)),Data!#REF!&lt;=(TODAY()-(Data_Val!$L$2*365.25))),0,1),1))</f>
        <v>#REF!</v>
      </c>
      <c r="AM428" s="17" t="e">
        <f>IF(Data!#REF!="","",IF(Data!$G428="",1,IF(ISNUMBER(MATCH(Data!#REF!,Data_Val!$D$2:$D$10,0)),0,1)))</f>
        <v>#REF!</v>
      </c>
      <c r="AN428" s="13"/>
      <c r="AO428" s="28" t="e">
        <f ca="1">IF(Data!#REF!="","",IF(ISNUMBER(Data!#REF!),IF(AND(Data!#REF!&gt;(TODAY()-(Data_Val!$I$3*365.25)),Data!#REF!&lt;=(TODAY()-(Data_Val!$I$2*365.25))),0,1),1))</f>
        <v>#REF!</v>
      </c>
      <c r="AP428" s="13" t="e">
        <f>IF(Data!#REF!="","",IF(Data!$G428="",1,IF(ISNUMBER(MATCH(Data!#REF!,Data_Val!$D$2:$D$10,0)),0,1)))</f>
        <v>#REF!</v>
      </c>
      <c r="AQ428" s="17"/>
      <c r="AR428" s="30" t="e">
        <f ca="1">IF(Data!#REF!="","",IF(ISNUMBER(Data!#REF!),IF(AND(Data!#REF!&gt;(TODAY()-(Data_Val!$I$3*365.25)),Data!#REF!&lt;=(TODAY()-(Data_Val!$I$2*365.25))),0,1),1))</f>
        <v>#REF!</v>
      </c>
      <c r="AS428" s="31" t="e">
        <f>IF(Data!#REF!="","",IF(Data!$G428="",1,IF(ISNUMBER(MATCH(Data!#REF!,Data_Val!$D$2:$D$10,0)),0,1)))</f>
        <v>#REF!</v>
      </c>
      <c r="AT428" s="11"/>
      <c r="AU428" s="11" t="e">
        <f ca="1">IF(Data!#REF!="","",IF(ISNUMBER(Data!#REF!),IF(AND(Data!#REF!&gt;(TODAY()-(Data_Val!$I$3*365.25)),Data!#REF!&lt;=(TODAY()-(Data_Val!$I$2*365.25))),0,1),1))</f>
        <v>#REF!</v>
      </c>
      <c r="AV428" s="11" t="e">
        <f>IF(Data!#REF!="","",IF(Data!$G428="",1,IF(ISNUMBER(MATCH(Data!#REF!,Data_Val!$D$2:$D$10,0)),0,1)))</f>
        <v>#REF!</v>
      </c>
      <c r="AW428" s="12"/>
      <c r="AX428" s="26" t="e">
        <f ca="1">IF(Data!#REF!="","",IF(ISNUMBER(Data!#REF!),IF(AND(Data!#REF!&gt;(TODAY()-(Data_Val!$I$3*365.25)),Data!#REF!&lt;=(TODAY()-(Data_Val!$I$2*365.25))),0,1),1))</f>
        <v>#REF!</v>
      </c>
      <c r="AY428" s="12" t="e">
        <f>IF(Data!#REF!="","",IF(Data!$G428="",1,IF(ISNUMBER(MATCH(Data!#REF!,Data_Val!$D$2:$D$10,0)),0,1)))</f>
        <v>#REF!</v>
      </c>
      <c r="AZ428" s="11"/>
      <c r="BA428" s="19" t="e">
        <f ca="1">IF(Data!#REF!="","",IF(ISNUMBER(Data!#REF!),IF(AND(Data!#REF!&gt;(TODAY()-(Data_Val!$M$3*365.25)),Data!#REF!&lt;=(TODAY()-(Data_Val!$M$2*365.25))),0,1),1))</f>
        <v>#REF!</v>
      </c>
      <c r="BB428" s="11" t="e">
        <f>IF(Data!#REF!="","",IF(Data!$G428="",1,IF(ISNUMBER(MATCH(Data!#REF!,Data_Val!$D$2:$D$10,0)),0,1)))</f>
        <v>#REF!</v>
      </c>
      <c r="BC428" s="12"/>
      <c r="BD428" s="20" t="e">
        <f ca="1">IF(Data!#REF!="","",IF(ISNUMBER(Data!#REF!),IF(AND(Data!#REF!&gt;(TODAY()-(Data_Val!$M$3*365.25)),Data!#REF!&lt;=(TODAY()-(Data_Val!$M$2*365.25))),0,1),1))</f>
        <v>#REF!</v>
      </c>
      <c r="BE428" s="12" t="e">
        <f>IF(Data!#REF!="","",IF(Data!$G428="",1,IF(ISNUMBER(MATCH(Data!#REF!,Data_Val!$D$2:$D$10,0)),0,1)))</f>
        <v>#REF!</v>
      </c>
      <c r="BF428" s="17"/>
      <c r="BG428" s="18" t="e">
        <f ca="1">IF(Data!#REF!="","",IF(ISNUMBER(Data!#REF!),IF(AND(Data!#REF!&gt;(TODAY()-(Data_Val!$M$3*365.25)),Data!#REF!&lt;=(TODAY()-(Data_Val!$M$2*365.25))),0,1),1))</f>
        <v>#REF!</v>
      </c>
      <c r="BH428" s="29" t="e">
        <f>IF(Data!#REF!="","",IF(Data!$G428="",1,IF(ISNUMBER(MATCH(Data!#REF!,Data_Val!$D$2:$D$10,0)),0,1)))</f>
        <v>#REF!</v>
      </c>
      <c r="BI428" s="13"/>
      <c r="BJ428" s="21" t="e">
        <f ca="1">IF(Data!#REF!="","",IF(ISNUMBER(Data!#REF!),IF(AND(Data!#REF!&gt;(TODAY()-(Data_Val!$M$3*365.25)),Data!#REF!&lt;=(TODAY()-(Data_Val!$M$2*365.25))),0,1),1))</f>
        <v>#REF!</v>
      </c>
      <c r="BK428" s="13" t="e">
        <f>IF(Data!#REF!="","",IF(Data!$G428="",1,IF(ISNUMBER(MATCH(Data!#REF!,Data_Val!$D$2:$D$10,0)),0,1)))</f>
        <v>#REF!</v>
      </c>
    </row>
    <row r="429" spans="1:63" x14ac:dyDescent="0.25">
      <c r="A429" s="9" t="str">
        <f>IF(Data!B429="","",IF(COUNTIFS(Data!A$1:'Data'!A429,Data!A429)&lt;=1,0,1))</f>
        <v/>
      </c>
      <c r="B429" s="9"/>
      <c r="C429" s="23" t="str">
        <f>IF(Data!C429="","",(IF(ISNUMBER(MATCH("*@*.?*",Data!C429,0)),0,1)+IF(COUNTIFS(Data!C$1:'Data'!C429,Data!C429)&gt;1,1,0)))</f>
        <v/>
      </c>
      <c r="D429" s="9" t="str">
        <f>IF(Data!B429="","",IF(ISNUMBER(Data!D429),IF(AND(Data!D429&gt;999999999,Data!D429&lt;=9999999999),IF(COUNTIFS(Data!D$1:'Data'!D429,Data!D429)&lt;=1,0,1),1),1))</f>
        <v/>
      </c>
      <c r="E429" s="9" t="str">
        <f>IF(Data!B429="","",IF(ISNUMBER(MATCH(Data!E429,Data_Val!$A$2:$A$3,0)),0,1))</f>
        <v/>
      </c>
      <c r="F429" s="9" t="str">
        <f ca="1">IF(Data!B429="","",IF(ISNUMBER(Data!F429),IF(AND(Data!F429&gt;(TODAY()-(Data_Val!$H$3*365.25)),Data!F429&lt;=(TODAY()-(Data_Val!$H$2*365.25))),0,1),1))</f>
        <v/>
      </c>
      <c r="G429" s="15" t="str">
        <f>IF(Data!B429="","",IF(AND(Data!G429="",Data!H429&lt;&gt;""),1,IF(Data!#REF!&lt;&gt;"",0,IF(ISNUMBER(MATCH(Data!G429,Data_Val!$C$2:$C$5,0)),0,1))))</f>
        <v/>
      </c>
      <c r="H429" s="15" t="str">
        <f>IF(Data!B429="","",IF(AND(Data!G429&lt;&gt;"",Data!H429=""),1,IF(Data!#REF!&lt;&gt;"",0,IF(Data!G429="",1,IF(ISNUMBER(MATCH(Data!H429,Data_Val!$D$2:$D$35,0)),0,1)))))</f>
        <v/>
      </c>
      <c r="I429" s="15" t="str">
        <f>IF(Data!B429="","",IF(Data!G429&lt;&gt;"",0,IF(ISNUMBER(MATCH(Data!#REF!,Data_Val!$E$2:$E$12,0)),0,1)))</f>
        <v/>
      </c>
      <c r="J429" s="16" t="e">
        <f>IF(OR(Data!B429="",Data!#REF!=""),"",IF(Data!#REF!="",1,0))</f>
        <v>#REF!</v>
      </c>
      <c r="K429" s="16" t="e">
        <f>IF(OR(Data!B429="",Data!#REF!=""),"",IF(Data!#REF!="",1,0))</f>
        <v>#REF!</v>
      </c>
      <c r="L429" s="16" t="e">
        <f>IF(OR(Data!B429="",Data!#REF!=""),"",IF(ISNUMBER(Data!#REF!),IF(AND(Data!#REF!&gt;Data_Val!$G$2,Data!#REF!&lt;=Data_Val!$G$3),0,1),1))</f>
        <v>#REF!</v>
      </c>
      <c r="M429" s="9" t="e">
        <f>IF(OR(Data!B429="",Data!#REF!=""),"",IF(ISNUMBER(MATCH(Data!#REF!,Data_Val!$F$1:$F$38,0)),0,1))</f>
        <v>#REF!</v>
      </c>
      <c r="N429" s="9" t="e">
        <f>IF(OR(Data!B429="",Data!#REF!=""),"",IF(Data!#REF!="",1,0))</f>
        <v>#REF!</v>
      </c>
      <c r="O429" s="17" t="e">
        <f>IF(Data!#REF!="","",IF(Data!#REF!="",1,0))</f>
        <v>#REF!</v>
      </c>
      <c r="P429" s="17" t="e">
        <f>IF(Data!#REF!="","",IF(ISNUMBER(MATCH(Data!#REF!,Data_Val!$A$2:$A$3,0)),0,1))</f>
        <v>#REF!</v>
      </c>
      <c r="Q429" s="25" t="e">
        <f ca="1">IF(Data!#REF!="","",IF(ISNUMBER(Data!#REF!),IF(AND(Data!#REF!&gt;(TODAY()-(Data_Val!$J$3*365.25)),Data!#REF!&lt;=(TODAY()-(Data_Val!$J$2*365.25))),0,1),1))</f>
        <v>#REF!</v>
      </c>
      <c r="R429" s="17" t="e">
        <f>IF(Data!#REF!="","",IF(ISNUMBER(MATCH(Data!#REF!,Data_Val!$B$2:$B$15,0)),0,1))</f>
        <v>#REF!</v>
      </c>
      <c r="S429" s="11" t="str">
        <f>IF(Data!G429="","",IF(Data!G429=Data_Val!$C$2,IF(Data!M429="",0,1),0))</f>
        <v/>
      </c>
      <c r="T429" s="11" t="str">
        <f>IF(Data!M429="","",IF(ISNUMBER(MATCH(Data!N429,Data_Val!$A$2:$A$3,0)),0,1))</f>
        <v/>
      </c>
      <c r="U429" s="11" t="str">
        <f ca="1">IF(Data!M429="","",IF(ISNUMBER(Data!O429),IF(AND(Data!O429&gt;(TODAY()-(Data_Val!$K$3*365.25)),Data!O429&lt;=(TODAY()-(Data_Val!$K$2*365.25))),0,1),1))</f>
        <v/>
      </c>
      <c r="V429" s="12" t="str">
        <f>IF(Data!G429="","",IF(Data!G429=Data_Val!$C$2,IF(Data!P429="",0,1),0))</f>
        <v/>
      </c>
      <c r="W429" s="12" t="str">
        <f>IF(Data!P429="","",IF(ISNUMBER(MATCH(Data!Q429,Data_Val!$A$2:$A$3,0)),0,1))</f>
        <v/>
      </c>
      <c r="X429" s="26" t="str">
        <f ca="1">IF(Data!P429="","",IF(ISNUMBER(Data!R429),IF(AND(Data!R429&gt;(TODAY()-(Data_Val!$L$3*365.25)),Data!R429&lt;=(TODAY()-(Data_Val!$L$2*365.25))),0,1),1))</f>
        <v/>
      </c>
      <c r="Y429" s="13" t="str">
        <f>IF(Data!$G429="","",IF(Data!$G429=Data_Val!$C$2,IF(Data!S429="",0,1),0))</f>
        <v/>
      </c>
      <c r="Z429" s="13" t="str">
        <f>IF(Data!S429="","",IF(ISNUMBER(MATCH(Data!T429,Data_Val!$A$2:$A$3,0)),0,1))</f>
        <v/>
      </c>
      <c r="AA429" s="28" t="str">
        <f ca="1">IF(Data!S429="","",IF(ISNUMBER(Data!U429),IF(AND(Data!U429&gt;(TODAY()-(Data_Val!$L$3*365.25)),Data!U429&lt;=(TODAY()-(Data_Val!$L$2*365.25))),0,1),1))</f>
        <v/>
      </c>
      <c r="AB429" s="11"/>
      <c r="AC429" s="11" t="e">
        <f>IF(Data!#REF!="","",IF(ISNUMBER(MATCH(Data!#REF!,Data_Val!$A$2:$A$3,0)),0,1))</f>
        <v>#REF!</v>
      </c>
      <c r="AD429" s="11" t="e">
        <f ca="1">IF(Data!#REF!="","",IF(ISNUMBER(Data!#REF!),IF(AND(Data!#REF!&gt;(TODAY()-(Data_Val!$L$3*365.25)),Data!#REF!&lt;=(TODAY()-(Data_Val!$L$2*365.25))),0,1),1))</f>
        <v>#REF!</v>
      </c>
      <c r="AE429" s="11" t="e">
        <f>IF(Data!#REF!="","",IF(Data!$G429="",1,IF(ISNUMBER(MATCH(Data!#REF!,Data_Val!$D$2:$D$10,0)),0,1)))</f>
        <v>#REF!</v>
      </c>
      <c r="AF429" s="12"/>
      <c r="AG429" s="12" t="e">
        <f>IF(Data!#REF!="","",IF(ISNUMBER(MATCH(Data!#REF!,Data_Val!$A$2:$A$3,0)),0,1))</f>
        <v>#REF!</v>
      </c>
      <c r="AH429" s="26" t="e">
        <f ca="1">IF(Data!#REF!="","",IF(ISNUMBER(Data!#REF!),IF(AND(Data!#REF!&gt;(TODAY()-(Data_Val!$L$3*365.25)),Data!#REF!&lt;=(TODAY()-(Data_Val!$L$2*365.25))),0,1),1))</f>
        <v>#REF!</v>
      </c>
      <c r="AI429" s="12" t="e">
        <f>IF(Data!#REF!="","",IF(Data!$G429="",1,IF(ISNUMBER(MATCH(Data!#REF!,Data_Val!$D$2:$D$10,0)),0,1)))</f>
        <v>#REF!</v>
      </c>
      <c r="AJ429" s="17"/>
      <c r="AK429" s="17" t="e">
        <f>IF(Data!#REF!="","",IF(ISNUMBER(MATCH(Data!#REF!,Data_Val!$A$2:$A$3,0)),0,1))</f>
        <v>#REF!</v>
      </c>
      <c r="AL429" s="25" t="e">
        <f ca="1">IF(Data!#REF!="","",IF(ISNUMBER(Data!#REF!),IF(AND(Data!#REF!&gt;(TODAY()-(Data_Val!$L$3*365.25)),Data!#REF!&lt;=(TODAY()-(Data_Val!$L$2*365.25))),0,1),1))</f>
        <v>#REF!</v>
      </c>
      <c r="AM429" s="17" t="e">
        <f>IF(Data!#REF!="","",IF(Data!$G429="",1,IF(ISNUMBER(MATCH(Data!#REF!,Data_Val!$D$2:$D$10,0)),0,1)))</f>
        <v>#REF!</v>
      </c>
      <c r="AN429" s="13"/>
      <c r="AO429" s="28" t="e">
        <f ca="1">IF(Data!#REF!="","",IF(ISNUMBER(Data!#REF!),IF(AND(Data!#REF!&gt;(TODAY()-(Data_Val!$I$3*365.25)),Data!#REF!&lt;=(TODAY()-(Data_Val!$I$2*365.25))),0,1),1))</f>
        <v>#REF!</v>
      </c>
      <c r="AP429" s="13" t="e">
        <f>IF(Data!#REF!="","",IF(Data!$G429="",1,IF(ISNUMBER(MATCH(Data!#REF!,Data_Val!$D$2:$D$10,0)),0,1)))</f>
        <v>#REF!</v>
      </c>
      <c r="AQ429" s="17"/>
      <c r="AR429" s="30" t="e">
        <f ca="1">IF(Data!#REF!="","",IF(ISNUMBER(Data!#REF!),IF(AND(Data!#REF!&gt;(TODAY()-(Data_Val!$I$3*365.25)),Data!#REF!&lt;=(TODAY()-(Data_Val!$I$2*365.25))),0,1),1))</f>
        <v>#REF!</v>
      </c>
      <c r="AS429" s="31" t="e">
        <f>IF(Data!#REF!="","",IF(Data!$G429="",1,IF(ISNUMBER(MATCH(Data!#REF!,Data_Val!$D$2:$D$10,0)),0,1)))</f>
        <v>#REF!</v>
      </c>
      <c r="AT429" s="11"/>
      <c r="AU429" s="11" t="e">
        <f ca="1">IF(Data!#REF!="","",IF(ISNUMBER(Data!#REF!),IF(AND(Data!#REF!&gt;(TODAY()-(Data_Val!$I$3*365.25)),Data!#REF!&lt;=(TODAY()-(Data_Val!$I$2*365.25))),0,1),1))</f>
        <v>#REF!</v>
      </c>
      <c r="AV429" s="11" t="e">
        <f>IF(Data!#REF!="","",IF(Data!$G429="",1,IF(ISNUMBER(MATCH(Data!#REF!,Data_Val!$D$2:$D$10,0)),0,1)))</f>
        <v>#REF!</v>
      </c>
      <c r="AW429" s="12"/>
      <c r="AX429" s="26" t="e">
        <f ca="1">IF(Data!#REF!="","",IF(ISNUMBER(Data!#REF!),IF(AND(Data!#REF!&gt;(TODAY()-(Data_Val!$I$3*365.25)),Data!#REF!&lt;=(TODAY()-(Data_Val!$I$2*365.25))),0,1),1))</f>
        <v>#REF!</v>
      </c>
      <c r="AY429" s="12" t="e">
        <f>IF(Data!#REF!="","",IF(Data!$G429="",1,IF(ISNUMBER(MATCH(Data!#REF!,Data_Val!$D$2:$D$10,0)),0,1)))</f>
        <v>#REF!</v>
      </c>
      <c r="AZ429" s="11"/>
      <c r="BA429" s="19" t="e">
        <f ca="1">IF(Data!#REF!="","",IF(ISNUMBER(Data!#REF!),IF(AND(Data!#REF!&gt;(TODAY()-(Data_Val!$M$3*365.25)),Data!#REF!&lt;=(TODAY()-(Data_Val!$M$2*365.25))),0,1),1))</f>
        <v>#REF!</v>
      </c>
      <c r="BB429" s="11" t="e">
        <f>IF(Data!#REF!="","",IF(Data!$G429="",1,IF(ISNUMBER(MATCH(Data!#REF!,Data_Val!$D$2:$D$10,0)),0,1)))</f>
        <v>#REF!</v>
      </c>
      <c r="BC429" s="12"/>
      <c r="BD429" s="20" t="e">
        <f ca="1">IF(Data!#REF!="","",IF(ISNUMBER(Data!#REF!),IF(AND(Data!#REF!&gt;(TODAY()-(Data_Val!$M$3*365.25)),Data!#REF!&lt;=(TODAY()-(Data_Val!$M$2*365.25))),0,1),1))</f>
        <v>#REF!</v>
      </c>
      <c r="BE429" s="12" t="e">
        <f>IF(Data!#REF!="","",IF(Data!$G429="",1,IF(ISNUMBER(MATCH(Data!#REF!,Data_Val!$D$2:$D$10,0)),0,1)))</f>
        <v>#REF!</v>
      </c>
      <c r="BF429" s="17"/>
      <c r="BG429" s="18" t="e">
        <f ca="1">IF(Data!#REF!="","",IF(ISNUMBER(Data!#REF!),IF(AND(Data!#REF!&gt;(TODAY()-(Data_Val!$M$3*365.25)),Data!#REF!&lt;=(TODAY()-(Data_Val!$M$2*365.25))),0,1),1))</f>
        <v>#REF!</v>
      </c>
      <c r="BH429" s="29" t="e">
        <f>IF(Data!#REF!="","",IF(Data!$G429="",1,IF(ISNUMBER(MATCH(Data!#REF!,Data_Val!$D$2:$D$10,0)),0,1)))</f>
        <v>#REF!</v>
      </c>
      <c r="BI429" s="13"/>
      <c r="BJ429" s="21" t="e">
        <f ca="1">IF(Data!#REF!="","",IF(ISNUMBER(Data!#REF!),IF(AND(Data!#REF!&gt;(TODAY()-(Data_Val!$M$3*365.25)),Data!#REF!&lt;=(TODAY()-(Data_Val!$M$2*365.25))),0,1),1))</f>
        <v>#REF!</v>
      </c>
      <c r="BK429" s="13" t="e">
        <f>IF(Data!#REF!="","",IF(Data!$G429="",1,IF(ISNUMBER(MATCH(Data!#REF!,Data_Val!$D$2:$D$10,0)),0,1)))</f>
        <v>#REF!</v>
      </c>
    </row>
    <row r="430" spans="1:63" x14ac:dyDescent="0.25">
      <c r="A430" s="9" t="str">
        <f>IF(Data!B430="","",IF(COUNTIFS(Data!A$1:'Data'!A430,Data!A430)&lt;=1,0,1))</f>
        <v/>
      </c>
      <c r="B430" s="9"/>
      <c r="C430" s="23" t="str">
        <f>IF(Data!C430="","",(IF(ISNUMBER(MATCH("*@*.?*",Data!C430,0)),0,1)+IF(COUNTIFS(Data!C$1:'Data'!C430,Data!C430)&gt;1,1,0)))</f>
        <v/>
      </c>
      <c r="D430" s="9" t="str">
        <f>IF(Data!B430="","",IF(ISNUMBER(Data!D430),IF(AND(Data!D430&gt;999999999,Data!D430&lt;=9999999999),IF(COUNTIFS(Data!D$1:'Data'!D430,Data!D430)&lt;=1,0,1),1),1))</f>
        <v/>
      </c>
      <c r="E430" s="9" t="str">
        <f>IF(Data!B430="","",IF(ISNUMBER(MATCH(Data!E430,Data_Val!$A$2:$A$3,0)),0,1))</f>
        <v/>
      </c>
      <c r="F430" s="9" t="str">
        <f ca="1">IF(Data!B430="","",IF(ISNUMBER(Data!F430),IF(AND(Data!F430&gt;(TODAY()-(Data_Val!$H$3*365.25)),Data!F430&lt;=(TODAY()-(Data_Val!$H$2*365.25))),0,1),1))</f>
        <v/>
      </c>
      <c r="G430" s="15" t="str">
        <f>IF(Data!B430="","",IF(AND(Data!G430="",Data!H430&lt;&gt;""),1,IF(Data!#REF!&lt;&gt;"",0,IF(ISNUMBER(MATCH(Data!G430,Data_Val!$C$2:$C$5,0)),0,1))))</f>
        <v/>
      </c>
      <c r="H430" s="15" t="str">
        <f>IF(Data!B430="","",IF(AND(Data!G430&lt;&gt;"",Data!H430=""),1,IF(Data!#REF!&lt;&gt;"",0,IF(Data!G430="",1,IF(ISNUMBER(MATCH(Data!H430,Data_Val!$D$2:$D$35,0)),0,1)))))</f>
        <v/>
      </c>
      <c r="I430" s="15" t="str">
        <f>IF(Data!B430="","",IF(Data!G430&lt;&gt;"",0,IF(ISNUMBER(MATCH(Data!#REF!,Data_Val!$E$2:$E$12,0)),0,1)))</f>
        <v/>
      </c>
      <c r="J430" s="16" t="e">
        <f>IF(OR(Data!B430="",Data!#REF!=""),"",IF(Data!#REF!="",1,0))</f>
        <v>#REF!</v>
      </c>
      <c r="K430" s="16" t="e">
        <f>IF(OR(Data!B430="",Data!#REF!=""),"",IF(Data!#REF!="",1,0))</f>
        <v>#REF!</v>
      </c>
      <c r="L430" s="16" t="e">
        <f>IF(OR(Data!B430="",Data!#REF!=""),"",IF(ISNUMBER(Data!#REF!),IF(AND(Data!#REF!&gt;Data_Val!$G$2,Data!#REF!&lt;=Data_Val!$G$3),0,1),1))</f>
        <v>#REF!</v>
      </c>
      <c r="M430" s="9" t="e">
        <f>IF(OR(Data!B430="",Data!#REF!=""),"",IF(ISNUMBER(MATCH(Data!#REF!,Data_Val!$F$1:$F$38,0)),0,1))</f>
        <v>#REF!</v>
      </c>
      <c r="N430" s="9" t="e">
        <f>IF(OR(Data!B430="",Data!#REF!=""),"",IF(Data!#REF!="",1,0))</f>
        <v>#REF!</v>
      </c>
      <c r="O430" s="17" t="e">
        <f>IF(Data!#REF!="","",IF(Data!#REF!="",1,0))</f>
        <v>#REF!</v>
      </c>
      <c r="P430" s="17" t="e">
        <f>IF(Data!#REF!="","",IF(ISNUMBER(MATCH(Data!#REF!,Data_Val!$A$2:$A$3,0)),0,1))</f>
        <v>#REF!</v>
      </c>
      <c r="Q430" s="25" t="e">
        <f ca="1">IF(Data!#REF!="","",IF(ISNUMBER(Data!#REF!),IF(AND(Data!#REF!&gt;(TODAY()-(Data_Val!$J$3*365.25)),Data!#REF!&lt;=(TODAY()-(Data_Val!$J$2*365.25))),0,1),1))</f>
        <v>#REF!</v>
      </c>
      <c r="R430" s="17" t="e">
        <f>IF(Data!#REF!="","",IF(ISNUMBER(MATCH(Data!#REF!,Data_Val!$B$2:$B$15,0)),0,1))</f>
        <v>#REF!</v>
      </c>
      <c r="S430" s="11" t="str">
        <f>IF(Data!G430="","",IF(Data!G430=Data_Val!$C$2,IF(Data!M430="",0,1),0))</f>
        <v/>
      </c>
      <c r="T430" s="11" t="str">
        <f>IF(Data!M430="","",IF(ISNUMBER(MATCH(Data!N430,Data_Val!$A$2:$A$3,0)),0,1))</f>
        <v/>
      </c>
      <c r="U430" s="11" t="str">
        <f ca="1">IF(Data!M430="","",IF(ISNUMBER(Data!O430),IF(AND(Data!O430&gt;(TODAY()-(Data_Val!$K$3*365.25)),Data!O430&lt;=(TODAY()-(Data_Val!$K$2*365.25))),0,1),1))</f>
        <v/>
      </c>
      <c r="V430" s="12" t="str">
        <f>IF(Data!G430="","",IF(Data!G430=Data_Val!$C$2,IF(Data!P430="",0,1),0))</f>
        <v/>
      </c>
      <c r="W430" s="12" t="str">
        <f>IF(Data!P430="","",IF(ISNUMBER(MATCH(Data!Q430,Data_Val!$A$2:$A$3,0)),0,1))</f>
        <v/>
      </c>
      <c r="X430" s="26" t="str">
        <f ca="1">IF(Data!P430="","",IF(ISNUMBER(Data!R430),IF(AND(Data!R430&gt;(TODAY()-(Data_Val!$L$3*365.25)),Data!R430&lt;=(TODAY()-(Data_Val!$L$2*365.25))),0,1),1))</f>
        <v/>
      </c>
      <c r="Y430" s="13" t="str">
        <f>IF(Data!$G430="","",IF(Data!$G430=Data_Val!$C$2,IF(Data!S430="",0,1),0))</f>
        <v/>
      </c>
      <c r="Z430" s="13" t="str">
        <f>IF(Data!S430="","",IF(ISNUMBER(MATCH(Data!T430,Data_Val!$A$2:$A$3,0)),0,1))</f>
        <v/>
      </c>
      <c r="AA430" s="28" t="str">
        <f ca="1">IF(Data!S430="","",IF(ISNUMBER(Data!U430),IF(AND(Data!U430&gt;(TODAY()-(Data_Val!$L$3*365.25)),Data!U430&lt;=(TODAY()-(Data_Val!$L$2*365.25))),0,1),1))</f>
        <v/>
      </c>
      <c r="AB430" s="11"/>
      <c r="AC430" s="11" t="e">
        <f>IF(Data!#REF!="","",IF(ISNUMBER(MATCH(Data!#REF!,Data_Val!$A$2:$A$3,0)),0,1))</f>
        <v>#REF!</v>
      </c>
      <c r="AD430" s="11" t="e">
        <f ca="1">IF(Data!#REF!="","",IF(ISNUMBER(Data!#REF!),IF(AND(Data!#REF!&gt;(TODAY()-(Data_Val!$L$3*365.25)),Data!#REF!&lt;=(TODAY()-(Data_Val!$L$2*365.25))),0,1),1))</f>
        <v>#REF!</v>
      </c>
      <c r="AE430" s="11" t="e">
        <f>IF(Data!#REF!="","",IF(Data!$G430="",1,IF(ISNUMBER(MATCH(Data!#REF!,Data_Val!$D$2:$D$10,0)),0,1)))</f>
        <v>#REF!</v>
      </c>
      <c r="AF430" s="12"/>
      <c r="AG430" s="12" t="e">
        <f>IF(Data!#REF!="","",IF(ISNUMBER(MATCH(Data!#REF!,Data_Val!$A$2:$A$3,0)),0,1))</f>
        <v>#REF!</v>
      </c>
      <c r="AH430" s="26" t="e">
        <f ca="1">IF(Data!#REF!="","",IF(ISNUMBER(Data!#REF!),IF(AND(Data!#REF!&gt;(TODAY()-(Data_Val!$L$3*365.25)),Data!#REF!&lt;=(TODAY()-(Data_Val!$L$2*365.25))),0,1),1))</f>
        <v>#REF!</v>
      </c>
      <c r="AI430" s="12" t="e">
        <f>IF(Data!#REF!="","",IF(Data!$G430="",1,IF(ISNUMBER(MATCH(Data!#REF!,Data_Val!$D$2:$D$10,0)),0,1)))</f>
        <v>#REF!</v>
      </c>
      <c r="AJ430" s="17"/>
      <c r="AK430" s="17" t="e">
        <f>IF(Data!#REF!="","",IF(ISNUMBER(MATCH(Data!#REF!,Data_Val!$A$2:$A$3,0)),0,1))</f>
        <v>#REF!</v>
      </c>
      <c r="AL430" s="25" t="e">
        <f ca="1">IF(Data!#REF!="","",IF(ISNUMBER(Data!#REF!),IF(AND(Data!#REF!&gt;(TODAY()-(Data_Val!$L$3*365.25)),Data!#REF!&lt;=(TODAY()-(Data_Val!$L$2*365.25))),0,1),1))</f>
        <v>#REF!</v>
      </c>
      <c r="AM430" s="17" t="e">
        <f>IF(Data!#REF!="","",IF(Data!$G430="",1,IF(ISNUMBER(MATCH(Data!#REF!,Data_Val!$D$2:$D$10,0)),0,1)))</f>
        <v>#REF!</v>
      </c>
      <c r="AN430" s="13"/>
      <c r="AO430" s="28" t="e">
        <f ca="1">IF(Data!#REF!="","",IF(ISNUMBER(Data!#REF!),IF(AND(Data!#REF!&gt;(TODAY()-(Data_Val!$I$3*365.25)),Data!#REF!&lt;=(TODAY()-(Data_Val!$I$2*365.25))),0,1),1))</f>
        <v>#REF!</v>
      </c>
      <c r="AP430" s="13" t="e">
        <f>IF(Data!#REF!="","",IF(Data!$G430="",1,IF(ISNUMBER(MATCH(Data!#REF!,Data_Val!$D$2:$D$10,0)),0,1)))</f>
        <v>#REF!</v>
      </c>
      <c r="AQ430" s="17"/>
      <c r="AR430" s="30" t="e">
        <f ca="1">IF(Data!#REF!="","",IF(ISNUMBER(Data!#REF!),IF(AND(Data!#REF!&gt;(TODAY()-(Data_Val!$I$3*365.25)),Data!#REF!&lt;=(TODAY()-(Data_Val!$I$2*365.25))),0,1),1))</f>
        <v>#REF!</v>
      </c>
      <c r="AS430" s="31" t="e">
        <f>IF(Data!#REF!="","",IF(Data!$G430="",1,IF(ISNUMBER(MATCH(Data!#REF!,Data_Val!$D$2:$D$10,0)),0,1)))</f>
        <v>#REF!</v>
      </c>
      <c r="AT430" s="11"/>
      <c r="AU430" s="11" t="e">
        <f ca="1">IF(Data!#REF!="","",IF(ISNUMBER(Data!#REF!),IF(AND(Data!#REF!&gt;(TODAY()-(Data_Val!$I$3*365.25)),Data!#REF!&lt;=(TODAY()-(Data_Val!$I$2*365.25))),0,1),1))</f>
        <v>#REF!</v>
      </c>
      <c r="AV430" s="11" t="e">
        <f>IF(Data!#REF!="","",IF(Data!$G430="",1,IF(ISNUMBER(MATCH(Data!#REF!,Data_Val!$D$2:$D$10,0)),0,1)))</f>
        <v>#REF!</v>
      </c>
      <c r="AW430" s="12"/>
      <c r="AX430" s="26" t="e">
        <f ca="1">IF(Data!#REF!="","",IF(ISNUMBER(Data!#REF!),IF(AND(Data!#REF!&gt;(TODAY()-(Data_Val!$I$3*365.25)),Data!#REF!&lt;=(TODAY()-(Data_Val!$I$2*365.25))),0,1),1))</f>
        <v>#REF!</v>
      </c>
      <c r="AY430" s="12" t="e">
        <f>IF(Data!#REF!="","",IF(Data!$G430="",1,IF(ISNUMBER(MATCH(Data!#REF!,Data_Val!$D$2:$D$10,0)),0,1)))</f>
        <v>#REF!</v>
      </c>
      <c r="AZ430" s="11"/>
      <c r="BA430" s="19" t="e">
        <f ca="1">IF(Data!#REF!="","",IF(ISNUMBER(Data!#REF!),IF(AND(Data!#REF!&gt;(TODAY()-(Data_Val!$M$3*365.25)),Data!#REF!&lt;=(TODAY()-(Data_Val!$M$2*365.25))),0,1),1))</f>
        <v>#REF!</v>
      </c>
      <c r="BB430" s="11" t="e">
        <f>IF(Data!#REF!="","",IF(Data!$G430="",1,IF(ISNUMBER(MATCH(Data!#REF!,Data_Val!$D$2:$D$10,0)),0,1)))</f>
        <v>#REF!</v>
      </c>
      <c r="BC430" s="12"/>
      <c r="BD430" s="20" t="e">
        <f ca="1">IF(Data!#REF!="","",IF(ISNUMBER(Data!#REF!),IF(AND(Data!#REF!&gt;(TODAY()-(Data_Val!$M$3*365.25)),Data!#REF!&lt;=(TODAY()-(Data_Val!$M$2*365.25))),0,1),1))</f>
        <v>#REF!</v>
      </c>
      <c r="BE430" s="12" t="e">
        <f>IF(Data!#REF!="","",IF(Data!$G430="",1,IF(ISNUMBER(MATCH(Data!#REF!,Data_Val!$D$2:$D$10,0)),0,1)))</f>
        <v>#REF!</v>
      </c>
      <c r="BF430" s="17"/>
      <c r="BG430" s="18" t="e">
        <f ca="1">IF(Data!#REF!="","",IF(ISNUMBER(Data!#REF!),IF(AND(Data!#REF!&gt;(TODAY()-(Data_Val!$M$3*365.25)),Data!#REF!&lt;=(TODAY()-(Data_Val!$M$2*365.25))),0,1),1))</f>
        <v>#REF!</v>
      </c>
      <c r="BH430" s="29" t="e">
        <f>IF(Data!#REF!="","",IF(Data!$G430="",1,IF(ISNUMBER(MATCH(Data!#REF!,Data_Val!$D$2:$D$10,0)),0,1)))</f>
        <v>#REF!</v>
      </c>
      <c r="BI430" s="13"/>
      <c r="BJ430" s="21" t="e">
        <f ca="1">IF(Data!#REF!="","",IF(ISNUMBER(Data!#REF!),IF(AND(Data!#REF!&gt;(TODAY()-(Data_Val!$M$3*365.25)),Data!#REF!&lt;=(TODAY()-(Data_Val!$M$2*365.25))),0,1),1))</f>
        <v>#REF!</v>
      </c>
      <c r="BK430" s="13" t="e">
        <f>IF(Data!#REF!="","",IF(Data!$G430="",1,IF(ISNUMBER(MATCH(Data!#REF!,Data_Val!$D$2:$D$10,0)),0,1)))</f>
        <v>#REF!</v>
      </c>
    </row>
    <row r="431" spans="1:63" x14ac:dyDescent="0.25">
      <c r="A431" s="9" t="str">
        <f>IF(Data!B431="","",IF(COUNTIFS(Data!A$1:'Data'!A431,Data!A431)&lt;=1,0,1))</f>
        <v/>
      </c>
      <c r="B431" s="9"/>
      <c r="C431" s="23" t="str">
        <f>IF(Data!C431="","",(IF(ISNUMBER(MATCH("*@*.?*",Data!C431,0)),0,1)+IF(COUNTIFS(Data!C$1:'Data'!C431,Data!C431)&gt;1,1,0)))</f>
        <v/>
      </c>
      <c r="D431" s="9" t="str">
        <f>IF(Data!B431="","",IF(ISNUMBER(Data!D431),IF(AND(Data!D431&gt;999999999,Data!D431&lt;=9999999999),IF(COUNTIFS(Data!D$1:'Data'!D431,Data!D431)&lt;=1,0,1),1),1))</f>
        <v/>
      </c>
      <c r="E431" s="9" t="str">
        <f>IF(Data!B431="","",IF(ISNUMBER(MATCH(Data!E431,Data_Val!$A$2:$A$3,0)),0,1))</f>
        <v/>
      </c>
      <c r="F431" s="9" t="str">
        <f ca="1">IF(Data!B431="","",IF(ISNUMBER(Data!F431),IF(AND(Data!F431&gt;(TODAY()-(Data_Val!$H$3*365.25)),Data!F431&lt;=(TODAY()-(Data_Val!$H$2*365.25))),0,1),1))</f>
        <v/>
      </c>
      <c r="G431" s="15" t="str">
        <f>IF(Data!B431="","",IF(AND(Data!G431="",Data!H431&lt;&gt;""),1,IF(Data!#REF!&lt;&gt;"",0,IF(ISNUMBER(MATCH(Data!G431,Data_Val!$C$2:$C$5,0)),0,1))))</f>
        <v/>
      </c>
      <c r="H431" s="15" t="str">
        <f>IF(Data!B431="","",IF(AND(Data!G431&lt;&gt;"",Data!H431=""),1,IF(Data!#REF!&lt;&gt;"",0,IF(Data!G431="",1,IF(ISNUMBER(MATCH(Data!H431,Data_Val!$D$2:$D$35,0)),0,1)))))</f>
        <v/>
      </c>
      <c r="I431" s="15" t="str">
        <f>IF(Data!B431="","",IF(Data!G431&lt;&gt;"",0,IF(ISNUMBER(MATCH(Data!#REF!,Data_Val!$E$2:$E$12,0)),0,1)))</f>
        <v/>
      </c>
      <c r="J431" s="16" t="e">
        <f>IF(OR(Data!B431="",Data!#REF!=""),"",IF(Data!#REF!="",1,0))</f>
        <v>#REF!</v>
      </c>
      <c r="K431" s="16" t="e">
        <f>IF(OR(Data!B431="",Data!#REF!=""),"",IF(Data!#REF!="",1,0))</f>
        <v>#REF!</v>
      </c>
      <c r="L431" s="16" t="e">
        <f>IF(OR(Data!B431="",Data!#REF!=""),"",IF(ISNUMBER(Data!#REF!),IF(AND(Data!#REF!&gt;Data_Val!$G$2,Data!#REF!&lt;=Data_Val!$G$3),0,1),1))</f>
        <v>#REF!</v>
      </c>
      <c r="M431" s="9" t="e">
        <f>IF(OR(Data!B431="",Data!#REF!=""),"",IF(ISNUMBER(MATCH(Data!#REF!,Data_Val!$F$1:$F$38,0)),0,1))</f>
        <v>#REF!</v>
      </c>
      <c r="N431" s="9" t="e">
        <f>IF(OR(Data!B431="",Data!#REF!=""),"",IF(Data!#REF!="",1,0))</f>
        <v>#REF!</v>
      </c>
      <c r="O431" s="17" t="e">
        <f>IF(Data!#REF!="","",IF(Data!#REF!="",1,0))</f>
        <v>#REF!</v>
      </c>
      <c r="P431" s="17" t="e">
        <f>IF(Data!#REF!="","",IF(ISNUMBER(MATCH(Data!#REF!,Data_Val!$A$2:$A$3,0)),0,1))</f>
        <v>#REF!</v>
      </c>
      <c r="Q431" s="25" t="e">
        <f ca="1">IF(Data!#REF!="","",IF(ISNUMBER(Data!#REF!),IF(AND(Data!#REF!&gt;(TODAY()-(Data_Val!$J$3*365.25)),Data!#REF!&lt;=(TODAY()-(Data_Val!$J$2*365.25))),0,1),1))</f>
        <v>#REF!</v>
      </c>
      <c r="R431" s="17" t="e">
        <f>IF(Data!#REF!="","",IF(ISNUMBER(MATCH(Data!#REF!,Data_Val!$B$2:$B$15,0)),0,1))</f>
        <v>#REF!</v>
      </c>
      <c r="S431" s="11" t="str">
        <f>IF(Data!G431="","",IF(Data!G431=Data_Val!$C$2,IF(Data!M431="",0,1),0))</f>
        <v/>
      </c>
      <c r="T431" s="11" t="str">
        <f>IF(Data!M431="","",IF(ISNUMBER(MATCH(Data!N431,Data_Val!$A$2:$A$3,0)),0,1))</f>
        <v/>
      </c>
      <c r="U431" s="11" t="str">
        <f ca="1">IF(Data!M431="","",IF(ISNUMBER(Data!O431),IF(AND(Data!O431&gt;(TODAY()-(Data_Val!$K$3*365.25)),Data!O431&lt;=(TODAY()-(Data_Val!$K$2*365.25))),0,1),1))</f>
        <v/>
      </c>
      <c r="V431" s="12" t="str">
        <f>IF(Data!G431="","",IF(Data!G431=Data_Val!$C$2,IF(Data!P431="",0,1),0))</f>
        <v/>
      </c>
      <c r="W431" s="12" t="str">
        <f>IF(Data!P431="","",IF(ISNUMBER(MATCH(Data!Q431,Data_Val!$A$2:$A$3,0)),0,1))</f>
        <v/>
      </c>
      <c r="X431" s="26" t="str">
        <f ca="1">IF(Data!P431="","",IF(ISNUMBER(Data!R431),IF(AND(Data!R431&gt;(TODAY()-(Data_Val!$L$3*365.25)),Data!R431&lt;=(TODAY()-(Data_Val!$L$2*365.25))),0,1),1))</f>
        <v/>
      </c>
      <c r="Y431" s="13" t="str">
        <f>IF(Data!$G431="","",IF(Data!$G431=Data_Val!$C$2,IF(Data!S431="",0,1),0))</f>
        <v/>
      </c>
      <c r="Z431" s="13" t="str">
        <f>IF(Data!S431="","",IF(ISNUMBER(MATCH(Data!T431,Data_Val!$A$2:$A$3,0)),0,1))</f>
        <v/>
      </c>
      <c r="AA431" s="28" t="str">
        <f ca="1">IF(Data!S431="","",IF(ISNUMBER(Data!U431),IF(AND(Data!U431&gt;(TODAY()-(Data_Val!$L$3*365.25)),Data!U431&lt;=(TODAY()-(Data_Val!$L$2*365.25))),0,1),1))</f>
        <v/>
      </c>
      <c r="AB431" s="11"/>
      <c r="AC431" s="11" t="e">
        <f>IF(Data!#REF!="","",IF(ISNUMBER(MATCH(Data!#REF!,Data_Val!$A$2:$A$3,0)),0,1))</f>
        <v>#REF!</v>
      </c>
      <c r="AD431" s="11" t="e">
        <f ca="1">IF(Data!#REF!="","",IF(ISNUMBER(Data!#REF!),IF(AND(Data!#REF!&gt;(TODAY()-(Data_Val!$L$3*365.25)),Data!#REF!&lt;=(TODAY()-(Data_Val!$L$2*365.25))),0,1),1))</f>
        <v>#REF!</v>
      </c>
      <c r="AE431" s="11" t="e">
        <f>IF(Data!#REF!="","",IF(Data!$G431="",1,IF(ISNUMBER(MATCH(Data!#REF!,Data_Val!$D$2:$D$10,0)),0,1)))</f>
        <v>#REF!</v>
      </c>
      <c r="AF431" s="12"/>
      <c r="AG431" s="12" t="e">
        <f>IF(Data!#REF!="","",IF(ISNUMBER(MATCH(Data!#REF!,Data_Val!$A$2:$A$3,0)),0,1))</f>
        <v>#REF!</v>
      </c>
      <c r="AH431" s="26" t="e">
        <f ca="1">IF(Data!#REF!="","",IF(ISNUMBER(Data!#REF!),IF(AND(Data!#REF!&gt;(TODAY()-(Data_Val!$L$3*365.25)),Data!#REF!&lt;=(TODAY()-(Data_Val!$L$2*365.25))),0,1),1))</f>
        <v>#REF!</v>
      </c>
      <c r="AI431" s="12" t="e">
        <f>IF(Data!#REF!="","",IF(Data!$G431="",1,IF(ISNUMBER(MATCH(Data!#REF!,Data_Val!$D$2:$D$10,0)),0,1)))</f>
        <v>#REF!</v>
      </c>
      <c r="AJ431" s="17"/>
      <c r="AK431" s="17" t="e">
        <f>IF(Data!#REF!="","",IF(ISNUMBER(MATCH(Data!#REF!,Data_Val!$A$2:$A$3,0)),0,1))</f>
        <v>#REF!</v>
      </c>
      <c r="AL431" s="25" t="e">
        <f ca="1">IF(Data!#REF!="","",IF(ISNUMBER(Data!#REF!),IF(AND(Data!#REF!&gt;(TODAY()-(Data_Val!$L$3*365.25)),Data!#REF!&lt;=(TODAY()-(Data_Val!$L$2*365.25))),0,1),1))</f>
        <v>#REF!</v>
      </c>
      <c r="AM431" s="17" t="e">
        <f>IF(Data!#REF!="","",IF(Data!$G431="",1,IF(ISNUMBER(MATCH(Data!#REF!,Data_Val!$D$2:$D$10,0)),0,1)))</f>
        <v>#REF!</v>
      </c>
      <c r="AN431" s="13"/>
      <c r="AO431" s="28" t="e">
        <f ca="1">IF(Data!#REF!="","",IF(ISNUMBER(Data!#REF!),IF(AND(Data!#REF!&gt;(TODAY()-(Data_Val!$I$3*365.25)),Data!#REF!&lt;=(TODAY()-(Data_Val!$I$2*365.25))),0,1),1))</f>
        <v>#REF!</v>
      </c>
      <c r="AP431" s="13" t="e">
        <f>IF(Data!#REF!="","",IF(Data!$G431="",1,IF(ISNUMBER(MATCH(Data!#REF!,Data_Val!$D$2:$D$10,0)),0,1)))</f>
        <v>#REF!</v>
      </c>
      <c r="AQ431" s="17"/>
      <c r="AR431" s="30" t="e">
        <f ca="1">IF(Data!#REF!="","",IF(ISNUMBER(Data!#REF!),IF(AND(Data!#REF!&gt;(TODAY()-(Data_Val!$I$3*365.25)),Data!#REF!&lt;=(TODAY()-(Data_Val!$I$2*365.25))),0,1),1))</f>
        <v>#REF!</v>
      </c>
      <c r="AS431" s="31" t="e">
        <f>IF(Data!#REF!="","",IF(Data!$G431="",1,IF(ISNUMBER(MATCH(Data!#REF!,Data_Val!$D$2:$D$10,0)),0,1)))</f>
        <v>#REF!</v>
      </c>
      <c r="AT431" s="11"/>
      <c r="AU431" s="11" t="e">
        <f ca="1">IF(Data!#REF!="","",IF(ISNUMBER(Data!#REF!),IF(AND(Data!#REF!&gt;(TODAY()-(Data_Val!$I$3*365.25)),Data!#REF!&lt;=(TODAY()-(Data_Val!$I$2*365.25))),0,1),1))</f>
        <v>#REF!</v>
      </c>
      <c r="AV431" s="11" t="e">
        <f>IF(Data!#REF!="","",IF(Data!$G431="",1,IF(ISNUMBER(MATCH(Data!#REF!,Data_Val!$D$2:$D$10,0)),0,1)))</f>
        <v>#REF!</v>
      </c>
      <c r="AW431" s="12"/>
      <c r="AX431" s="26" t="e">
        <f ca="1">IF(Data!#REF!="","",IF(ISNUMBER(Data!#REF!),IF(AND(Data!#REF!&gt;(TODAY()-(Data_Val!$I$3*365.25)),Data!#REF!&lt;=(TODAY()-(Data_Val!$I$2*365.25))),0,1),1))</f>
        <v>#REF!</v>
      </c>
      <c r="AY431" s="12" t="e">
        <f>IF(Data!#REF!="","",IF(Data!$G431="",1,IF(ISNUMBER(MATCH(Data!#REF!,Data_Val!$D$2:$D$10,0)),0,1)))</f>
        <v>#REF!</v>
      </c>
      <c r="AZ431" s="11"/>
      <c r="BA431" s="19" t="e">
        <f ca="1">IF(Data!#REF!="","",IF(ISNUMBER(Data!#REF!),IF(AND(Data!#REF!&gt;(TODAY()-(Data_Val!$M$3*365.25)),Data!#REF!&lt;=(TODAY()-(Data_Val!$M$2*365.25))),0,1),1))</f>
        <v>#REF!</v>
      </c>
      <c r="BB431" s="11" t="e">
        <f>IF(Data!#REF!="","",IF(Data!$G431="",1,IF(ISNUMBER(MATCH(Data!#REF!,Data_Val!$D$2:$D$10,0)),0,1)))</f>
        <v>#REF!</v>
      </c>
      <c r="BC431" s="12"/>
      <c r="BD431" s="20" t="e">
        <f ca="1">IF(Data!#REF!="","",IF(ISNUMBER(Data!#REF!),IF(AND(Data!#REF!&gt;(TODAY()-(Data_Val!$M$3*365.25)),Data!#REF!&lt;=(TODAY()-(Data_Val!$M$2*365.25))),0,1),1))</f>
        <v>#REF!</v>
      </c>
      <c r="BE431" s="12" t="e">
        <f>IF(Data!#REF!="","",IF(Data!$G431="",1,IF(ISNUMBER(MATCH(Data!#REF!,Data_Val!$D$2:$D$10,0)),0,1)))</f>
        <v>#REF!</v>
      </c>
      <c r="BF431" s="17"/>
      <c r="BG431" s="18" t="e">
        <f ca="1">IF(Data!#REF!="","",IF(ISNUMBER(Data!#REF!),IF(AND(Data!#REF!&gt;(TODAY()-(Data_Val!$M$3*365.25)),Data!#REF!&lt;=(TODAY()-(Data_Val!$M$2*365.25))),0,1),1))</f>
        <v>#REF!</v>
      </c>
      <c r="BH431" s="29" t="e">
        <f>IF(Data!#REF!="","",IF(Data!$G431="",1,IF(ISNUMBER(MATCH(Data!#REF!,Data_Val!$D$2:$D$10,0)),0,1)))</f>
        <v>#REF!</v>
      </c>
      <c r="BI431" s="13"/>
      <c r="BJ431" s="21" t="e">
        <f ca="1">IF(Data!#REF!="","",IF(ISNUMBER(Data!#REF!),IF(AND(Data!#REF!&gt;(TODAY()-(Data_Val!$M$3*365.25)),Data!#REF!&lt;=(TODAY()-(Data_Val!$M$2*365.25))),0,1),1))</f>
        <v>#REF!</v>
      </c>
      <c r="BK431" s="13" t="e">
        <f>IF(Data!#REF!="","",IF(Data!$G431="",1,IF(ISNUMBER(MATCH(Data!#REF!,Data_Val!$D$2:$D$10,0)),0,1)))</f>
        <v>#REF!</v>
      </c>
    </row>
    <row r="432" spans="1:63" x14ac:dyDescent="0.25">
      <c r="A432" s="9" t="str">
        <f>IF(Data!B432="","",IF(COUNTIFS(Data!A$1:'Data'!A432,Data!A432)&lt;=1,0,1))</f>
        <v/>
      </c>
      <c r="B432" s="9"/>
      <c r="C432" s="23" t="str">
        <f>IF(Data!C432="","",(IF(ISNUMBER(MATCH("*@*.?*",Data!C432,0)),0,1)+IF(COUNTIFS(Data!C$1:'Data'!C432,Data!C432)&gt;1,1,0)))</f>
        <v/>
      </c>
      <c r="D432" s="9" t="str">
        <f>IF(Data!B432="","",IF(ISNUMBER(Data!D432),IF(AND(Data!D432&gt;999999999,Data!D432&lt;=9999999999),IF(COUNTIFS(Data!D$1:'Data'!D432,Data!D432)&lt;=1,0,1),1),1))</f>
        <v/>
      </c>
      <c r="E432" s="9" t="str">
        <f>IF(Data!B432="","",IF(ISNUMBER(MATCH(Data!E432,Data_Val!$A$2:$A$3,0)),0,1))</f>
        <v/>
      </c>
      <c r="F432" s="9" t="str">
        <f ca="1">IF(Data!B432="","",IF(ISNUMBER(Data!F432),IF(AND(Data!F432&gt;(TODAY()-(Data_Val!$H$3*365.25)),Data!F432&lt;=(TODAY()-(Data_Val!$H$2*365.25))),0,1),1))</f>
        <v/>
      </c>
      <c r="G432" s="15" t="str">
        <f>IF(Data!B432="","",IF(AND(Data!G432="",Data!H432&lt;&gt;""),1,IF(Data!#REF!&lt;&gt;"",0,IF(ISNUMBER(MATCH(Data!G432,Data_Val!$C$2:$C$5,0)),0,1))))</f>
        <v/>
      </c>
      <c r="H432" s="15" t="str">
        <f>IF(Data!B432="","",IF(AND(Data!G432&lt;&gt;"",Data!H432=""),1,IF(Data!#REF!&lt;&gt;"",0,IF(Data!G432="",1,IF(ISNUMBER(MATCH(Data!H432,Data_Val!$D$2:$D$35,0)),0,1)))))</f>
        <v/>
      </c>
      <c r="I432" s="15" t="str">
        <f>IF(Data!B432="","",IF(Data!G432&lt;&gt;"",0,IF(ISNUMBER(MATCH(Data!#REF!,Data_Val!$E$2:$E$12,0)),0,1)))</f>
        <v/>
      </c>
      <c r="J432" s="16" t="e">
        <f>IF(OR(Data!B432="",Data!#REF!=""),"",IF(Data!#REF!="",1,0))</f>
        <v>#REF!</v>
      </c>
      <c r="K432" s="16" t="e">
        <f>IF(OR(Data!B432="",Data!#REF!=""),"",IF(Data!#REF!="",1,0))</f>
        <v>#REF!</v>
      </c>
      <c r="L432" s="16" t="e">
        <f>IF(OR(Data!B432="",Data!#REF!=""),"",IF(ISNUMBER(Data!#REF!),IF(AND(Data!#REF!&gt;Data_Val!$G$2,Data!#REF!&lt;=Data_Val!$G$3),0,1),1))</f>
        <v>#REF!</v>
      </c>
      <c r="M432" s="9" t="e">
        <f>IF(OR(Data!B432="",Data!#REF!=""),"",IF(ISNUMBER(MATCH(Data!#REF!,Data_Val!$F$1:$F$38,0)),0,1))</f>
        <v>#REF!</v>
      </c>
      <c r="N432" s="9" t="e">
        <f>IF(OR(Data!B432="",Data!#REF!=""),"",IF(Data!#REF!="",1,0))</f>
        <v>#REF!</v>
      </c>
      <c r="O432" s="17" t="e">
        <f>IF(Data!#REF!="","",IF(Data!#REF!="",1,0))</f>
        <v>#REF!</v>
      </c>
      <c r="P432" s="17" t="e">
        <f>IF(Data!#REF!="","",IF(ISNUMBER(MATCH(Data!#REF!,Data_Val!$A$2:$A$3,0)),0,1))</f>
        <v>#REF!</v>
      </c>
      <c r="Q432" s="25" t="e">
        <f ca="1">IF(Data!#REF!="","",IF(ISNUMBER(Data!#REF!),IF(AND(Data!#REF!&gt;(TODAY()-(Data_Val!$J$3*365.25)),Data!#REF!&lt;=(TODAY()-(Data_Val!$J$2*365.25))),0,1),1))</f>
        <v>#REF!</v>
      </c>
      <c r="R432" s="17" t="e">
        <f>IF(Data!#REF!="","",IF(ISNUMBER(MATCH(Data!#REF!,Data_Val!$B$2:$B$15,0)),0,1))</f>
        <v>#REF!</v>
      </c>
      <c r="S432" s="11" t="str">
        <f>IF(Data!G432="","",IF(Data!G432=Data_Val!$C$2,IF(Data!M432="",0,1),0))</f>
        <v/>
      </c>
      <c r="T432" s="11" t="str">
        <f>IF(Data!M432="","",IF(ISNUMBER(MATCH(Data!N432,Data_Val!$A$2:$A$3,0)),0,1))</f>
        <v/>
      </c>
      <c r="U432" s="11" t="str">
        <f ca="1">IF(Data!M432="","",IF(ISNUMBER(Data!O432),IF(AND(Data!O432&gt;(TODAY()-(Data_Val!$K$3*365.25)),Data!O432&lt;=(TODAY()-(Data_Val!$K$2*365.25))),0,1),1))</f>
        <v/>
      </c>
      <c r="V432" s="12" t="str">
        <f>IF(Data!G432="","",IF(Data!G432=Data_Val!$C$2,IF(Data!P432="",0,1),0))</f>
        <v/>
      </c>
      <c r="W432" s="12" t="str">
        <f>IF(Data!P432="","",IF(ISNUMBER(MATCH(Data!Q432,Data_Val!$A$2:$A$3,0)),0,1))</f>
        <v/>
      </c>
      <c r="X432" s="26" t="str">
        <f ca="1">IF(Data!P432="","",IF(ISNUMBER(Data!R432),IF(AND(Data!R432&gt;(TODAY()-(Data_Val!$L$3*365.25)),Data!R432&lt;=(TODAY()-(Data_Val!$L$2*365.25))),0,1),1))</f>
        <v/>
      </c>
      <c r="Y432" s="13" t="str">
        <f>IF(Data!$G432="","",IF(Data!$G432=Data_Val!$C$2,IF(Data!S432="",0,1),0))</f>
        <v/>
      </c>
      <c r="Z432" s="13" t="str">
        <f>IF(Data!S432="","",IF(ISNUMBER(MATCH(Data!T432,Data_Val!$A$2:$A$3,0)),0,1))</f>
        <v/>
      </c>
      <c r="AA432" s="28" t="str">
        <f ca="1">IF(Data!S432="","",IF(ISNUMBER(Data!U432),IF(AND(Data!U432&gt;(TODAY()-(Data_Val!$L$3*365.25)),Data!U432&lt;=(TODAY()-(Data_Val!$L$2*365.25))),0,1),1))</f>
        <v/>
      </c>
      <c r="AB432" s="11"/>
      <c r="AC432" s="11" t="e">
        <f>IF(Data!#REF!="","",IF(ISNUMBER(MATCH(Data!#REF!,Data_Val!$A$2:$A$3,0)),0,1))</f>
        <v>#REF!</v>
      </c>
      <c r="AD432" s="11" t="e">
        <f ca="1">IF(Data!#REF!="","",IF(ISNUMBER(Data!#REF!),IF(AND(Data!#REF!&gt;(TODAY()-(Data_Val!$L$3*365.25)),Data!#REF!&lt;=(TODAY()-(Data_Val!$L$2*365.25))),0,1),1))</f>
        <v>#REF!</v>
      </c>
      <c r="AE432" s="11" t="e">
        <f>IF(Data!#REF!="","",IF(Data!$G432="",1,IF(ISNUMBER(MATCH(Data!#REF!,Data_Val!$D$2:$D$10,0)),0,1)))</f>
        <v>#REF!</v>
      </c>
      <c r="AF432" s="12"/>
      <c r="AG432" s="12" t="e">
        <f>IF(Data!#REF!="","",IF(ISNUMBER(MATCH(Data!#REF!,Data_Val!$A$2:$A$3,0)),0,1))</f>
        <v>#REF!</v>
      </c>
      <c r="AH432" s="26" t="e">
        <f ca="1">IF(Data!#REF!="","",IF(ISNUMBER(Data!#REF!),IF(AND(Data!#REF!&gt;(TODAY()-(Data_Val!$L$3*365.25)),Data!#REF!&lt;=(TODAY()-(Data_Val!$L$2*365.25))),0,1),1))</f>
        <v>#REF!</v>
      </c>
      <c r="AI432" s="12" t="e">
        <f>IF(Data!#REF!="","",IF(Data!$G432="",1,IF(ISNUMBER(MATCH(Data!#REF!,Data_Val!$D$2:$D$10,0)),0,1)))</f>
        <v>#REF!</v>
      </c>
      <c r="AJ432" s="17"/>
      <c r="AK432" s="17" t="e">
        <f>IF(Data!#REF!="","",IF(ISNUMBER(MATCH(Data!#REF!,Data_Val!$A$2:$A$3,0)),0,1))</f>
        <v>#REF!</v>
      </c>
      <c r="AL432" s="25" t="e">
        <f ca="1">IF(Data!#REF!="","",IF(ISNUMBER(Data!#REF!),IF(AND(Data!#REF!&gt;(TODAY()-(Data_Val!$L$3*365.25)),Data!#REF!&lt;=(TODAY()-(Data_Val!$L$2*365.25))),0,1),1))</f>
        <v>#REF!</v>
      </c>
      <c r="AM432" s="17" t="e">
        <f>IF(Data!#REF!="","",IF(Data!$G432="",1,IF(ISNUMBER(MATCH(Data!#REF!,Data_Val!$D$2:$D$10,0)),0,1)))</f>
        <v>#REF!</v>
      </c>
      <c r="AN432" s="13"/>
      <c r="AO432" s="28" t="e">
        <f ca="1">IF(Data!#REF!="","",IF(ISNUMBER(Data!#REF!),IF(AND(Data!#REF!&gt;(TODAY()-(Data_Val!$I$3*365.25)),Data!#REF!&lt;=(TODAY()-(Data_Val!$I$2*365.25))),0,1),1))</f>
        <v>#REF!</v>
      </c>
      <c r="AP432" s="13" t="e">
        <f>IF(Data!#REF!="","",IF(Data!$G432="",1,IF(ISNUMBER(MATCH(Data!#REF!,Data_Val!$D$2:$D$10,0)),0,1)))</f>
        <v>#REF!</v>
      </c>
      <c r="AQ432" s="17"/>
      <c r="AR432" s="30" t="e">
        <f ca="1">IF(Data!#REF!="","",IF(ISNUMBER(Data!#REF!),IF(AND(Data!#REF!&gt;(TODAY()-(Data_Val!$I$3*365.25)),Data!#REF!&lt;=(TODAY()-(Data_Val!$I$2*365.25))),0,1),1))</f>
        <v>#REF!</v>
      </c>
      <c r="AS432" s="31" t="e">
        <f>IF(Data!#REF!="","",IF(Data!$G432="",1,IF(ISNUMBER(MATCH(Data!#REF!,Data_Val!$D$2:$D$10,0)),0,1)))</f>
        <v>#REF!</v>
      </c>
      <c r="AT432" s="11"/>
      <c r="AU432" s="11" t="e">
        <f ca="1">IF(Data!#REF!="","",IF(ISNUMBER(Data!#REF!),IF(AND(Data!#REF!&gt;(TODAY()-(Data_Val!$I$3*365.25)),Data!#REF!&lt;=(TODAY()-(Data_Val!$I$2*365.25))),0,1),1))</f>
        <v>#REF!</v>
      </c>
      <c r="AV432" s="11" t="e">
        <f>IF(Data!#REF!="","",IF(Data!$G432="",1,IF(ISNUMBER(MATCH(Data!#REF!,Data_Val!$D$2:$D$10,0)),0,1)))</f>
        <v>#REF!</v>
      </c>
      <c r="AW432" s="12"/>
      <c r="AX432" s="26" t="e">
        <f ca="1">IF(Data!#REF!="","",IF(ISNUMBER(Data!#REF!),IF(AND(Data!#REF!&gt;(TODAY()-(Data_Val!$I$3*365.25)),Data!#REF!&lt;=(TODAY()-(Data_Val!$I$2*365.25))),0,1),1))</f>
        <v>#REF!</v>
      </c>
      <c r="AY432" s="12" t="e">
        <f>IF(Data!#REF!="","",IF(Data!$G432="",1,IF(ISNUMBER(MATCH(Data!#REF!,Data_Val!$D$2:$D$10,0)),0,1)))</f>
        <v>#REF!</v>
      </c>
      <c r="AZ432" s="11"/>
      <c r="BA432" s="19" t="e">
        <f ca="1">IF(Data!#REF!="","",IF(ISNUMBER(Data!#REF!),IF(AND(Data!#REF!&gt;(TODAY()-(Data_Val!$M$3*365.25)),Data!#REF!&lt;=(TODAY()-(Data_Val!$M$2*365.25))),0,1),1))</f>
        <v>#REF!</v>
      </c>
      <c r="BB432" s="11" t="e">
        <f>IF(Data!#REF!="","",IF(Data!$G432="",1,IF(ISNUMBER(MATCH(Data!#REF!,Data_Val!$D$2:$D$10,0)),0,1)))</f>
        <v>#REF!</v>
      </c>
      <c r="BC432" s="12"/>
      <c r="BD432" s="20" t="e">
        <f ca="1">IF(Data!#REF!="","",IF(ISNUMBER(Data!#REF!),IF(AND(Data!#REF!&gt;(TODAY()-(Data_Val!$M$3*365.25)),Data!#REF!&lt;=(TODAY()-(Data_Val!$M$2*365.25))),0,1),1))</f>
        <v>#REF!</v>
      </c>
      <c r="BE432" s="12" t="e">
        <f>IF(Data!#REF!="","",IF(Data!$G432="",1,IF(ISNUMBER(MATCH(Data!#REF!,Data_Val!$D$2:$D$10,0)),0,1)))</f>
        <v>#REF!</v>
      </c>
      <c r="BF432" s="17"/>
      <c r="BG432" s="18" t="e">
        <f ca="1">IF(Data!#REF!="","",IF(ISNUMBER(Data!#REF!),IF(AND(Data!#REF!&gt;(TODAY()-(Data_Val!$M$3*365.25)),Data!#REF!&lt;=(TODAY()-(Data_Val!$M$2*365.25))),0,1),1))</f>
        <v>#REF!</v>
      </c>
      <c r="BH432" s="29" t="e">
        <f>IF(Data!#REF!="","",IF(Data!$G432="",1,IF(ISNUMBER(MATCH(Data!#REF!,Data_Val!$D$2:$D$10,0)),0,1)))</f>
        <v>#REF!</v>
      </c>
      <c r="BI432" s="13"/>
      <c r="BJ432" s="21" t="e">
        <f ca="1">IF(Data!#REF!="","",IF(ISNUMBER(Data!#REF!),IF(AND(Data!#REF!&gt;(TODAY()-(Data_Val!$M$3*365.25)),Data!#REF!&lt;=(TODAY()-(Data_Val!$M$2*365.25))),0,1),1))</f>
        <v>#REF!</v>
      </c>
      <c r="BK432" s="13" t="e">
        <f>IF(Data!#REF!="","",IF(Data!$G432="",1,IF(ISNUMBER(MATCH(Data!#REF!,Data_Val!$D$2:$D$10,0)),0,1)))</f>
        <v>#REF!</v>
      </c>
    </row>
    <row r="433" spans="1:63" x14ac:dyDescent="0.25">
      <c r="A433" s="9" t="str">
        <f>IF(Data!B433="","",IF(COUNTIFS(Data!A$1:'Data'!A433,Data!A433)&lt;=1,0,1))</f>
        <v/>
      </c>
      <c r="B433" s="9"/>
      <c r="C433" s="23" t="str">
        <f>IF(Data!C433="","",(IF(ISNUMBER(MATCH("*@*.?*",Data!C433,0)),0,1)+IF(COUNTIFS(Data!C$1:'Data'!C433,Data!C433)&gt;1,1,0)))</f>
        <v/>
      </c>
      <c r="D433" s="9" t="str">
        <f>IF(Data!B433="","",IF(ISNUMBER(Data!D433),IF(AND(Data!D433&gt;999999999,Data!D433&lt;=9999999999),IF(COUNTIFS(Data!D$1:'Data'!D433,Data!D433)&lt;=1,0,1),1),1))</f>
        <v/>
      </c>
      <c r="E433" s="9" t="str">
        <f>IF(Data!B433="","",IF(ISNUMBER(MATCH(Data!E433,Data_Val!$A$2:$A$3,0)),0,1))</f>
        <v/>
      </c>
      <c r="F433" s="9" t="str">
        <f ca="1">IF(Data!B433="","",IF(ISNUMBER(Data!F433),IF(AND(Data!F433&gt;(TODAY()-(Data_Val!$H$3*365.25)),Data!F433&lt;=(TODAY()-(Data_Val!$H$2*365.25))),0,1),1))</f>
        <v/>
      </c>
      <c r="G433" s="15" t="str">
        <f>IF(Data!B433="","",IF(AND(Data!G433="",Data!H433&lt;&gt;""),1,IF(Data!#REF!&lt;&gt;"",0,IF(ISNUMBER(MATCH(Data!G433,Data_Val!$C$2:$C$5,0)),0,1))))</f>
        <v/>
      </c>
      <c r="H433" s="15" t="str">
        <f>IF(Data!B433="","",IF(AND(Data!G433&lt;&gt;"",Data!H433=""),1,IF(Data!#REF!&lt;&gt;"",0,IF(Data!G433="",1,IF(ISNUMBER(MATCH(Data!H433,Data_Val!$D$2:$D$35,0)),0,1)))))</f>
        <v/>
      </c>
      <c r="I433" s="15" t="str">
        <f>IF(Data!B433="","",IF(Data!G433&lt;&gt;"",0,IF(ISNUMBER(MATCH(Data!#REF!,Data_Val!$E$2:$E$12,0)),0,1)))</f>
        <v/>
      </c>
      <c r="J433" s="16" t="e">
        <f>IF(OR(Data!B433="",Data!#REF!=""),"",IF(Data!#REF!="",1,0))</f>
        <v>#REF!</v>
      </c>
      <c r="K433" s="16" t="e">
        <f>IF(OR(Data!B433="",Data!#REF!=""),"",IF(Data!#REF!="",1,0))</f>
        <v>#REF!</v>
      </c>
      <c r="L433" s="16" t="e">
        <f>IF(OR(Data!B433="",Data!#REF!=""),"",IF(ISNUMBER(Data!#REF!),IF(AND(Data!#REF!&gt;Data_Val!$G$2,Data!#REF!&lt;=Data_Val!$G$3),0,1),1))</f>
        <v>#REF!</v>
      </c>
      <c r="M433" s="9" t="e">
        <f>IF(OR(Data!B433="",Data!#REF!=""),"",IF(ISNUMBER(MATCH(Data!#REF!,Data_Val!$F$1:$F$38,0)),0,1))</f>
        <v>#REF!</v>
      </c>
      <c r="N433" s="9" t="e">
        <f>IF(OR(Data!B433="",Data!#REF!=""),"",IF(Data!#REF!="",1,0))</f>
        <v>#REF!</v>
      </c>
      <c r="O433" s="17" t="e">
        <f>IF(Data!#REF!="","",IF(Data!#REF!="",1,0))</f>
        <v>#REF!</v>
      </c>
      <c r="P433" s="17" t="e">
        <f>IF(Data!#REF!="","",IF(ISNUMBER(MATCH(Data!#REF!,Data_Val!$A$2:$A$3,0)),0,1))</f>
        <v>#REF!</v>
      </c>
      <c r="Q433" s="25" t="e">
        <f ca="1">IF(Data!#REF!="","",IF(ISNUMBER(Data!#REF!),IF(AND(Data!#REF!&gt;(TODAY()-(Data_Val!$J$3*365.25)),Data!#REF!&lt;=(TODAY()-(Data_Val!$J$2*365.25))),0,1),1))</f>
        <v>#REF!</v>
      </c>
      <c r="R433" s="17" t="e">
        <f>IF(Data!#REF!="","",IF(ISNUMBER(MATCH(Data!#REF!,Data_Val!$B$2:$B$15,0)),0,1))</f>
        <v>#REF!</v>
      </c>
      <c r="S433" s="11" t="str">
        <f>IF(Data!G433="","",IF(Data!G433=Data_Val!$C$2,IF(Data!M433="",0,1),0))</f>
        <v/>
      </c>
      <c r="T433" s="11" t="str">
        <f>IF(Data!M433="","",IF(ISNUMBER(MATCH(Data!N433,Data_Val!$A$2:$A$3,0)),0,1))</f>
        <v/>
      </c>
      <c r="U433" s="11" t="str">
        <f ca="1">IF(Data!M433="","",IF(ISNUMBER(Data!O433),IF(AND(Data!O433&gt;(TODAY()-(Data_Val!$K$3*365.25)),Data!O433&lt;=(TODAY()-(Data_Val!$K$2*365.25))),0,1),1))</f>
        <v/>
      </c>
      <c r="V433" s="12" t="str">
        <f>IF(Data!G433="","",IF(Data!G433=Data_Val!$C$2,IF(Data!P433="",0,1),0))</f>
        <v/>
      </c>
      <c r="W433" s="12" t="str">
        <f>IF(Data!P433="","",IF(ISNUMBER(MATCH(Data!Q433,Data_Val!$A$2:$A$3,0)),0,1))</f>
        <v/>
      </c>
      <c r="X433" s="26" t="str">
        <f ca="1">IF(Data!P433="","",IF(ISNUMBER(Data!R433),IF(AND(Data!R433&gt;(TODAY()-(Data_Val!$L$3*365.25)),Data!R433&lt;=(TODAY()-(Data_Val!$L$2*365.25))),0,1),1))</f>
        <v/>
      </c>
      <c r="Y433" s="13" t="str">
        <f>IF(Data!$G433="","",IF(Data!$G433=Data_Val!$C$2,IF(Data!S433="",0,1),0))</f>
        <v/>
      </c>
      <c r="Z433" s="13" t="str">
        <f>IF(Data!S433="","",IF(ISNUMBER(MATCH(Data!T433,Data_Val!$A$2:$A$3,0)),0,1))</f>
        <v/>
      </c>
      <c r="AA433" s="28" t="str">
        <f ca="1">IF(Data!S433="","",IF(ISNUMBER(Data!U433),IF(AND(Data!U433&gt;(TODAY()-(Data_Val!$L$3*365.25)),Data!U433&lt;=(TODAY()-(Data_Val!$L$2*365.25))),0,1),1))</f>
        <v/>
      </c>
      <c r="AB433" s="11"/>
      <c r="AC433" s="11" t="e">
        <f>IF(Data!#REF!="","",IF(ISNUMBER(MATCH(Data!#REF!,Data_Val!$A$2:$A$3,0)),0,1))</f>
        <v>#REF!</v>
      </c>
      <c r="AD433" s="11" t="e">
        <f ca="1">IF(Data!#REF!="","",IF(ISNUMBER(Data!#REF!),IF(AND(Data!#REF!&gt;(TODAY()-(Data_Val!$L$3*365.25)),Data!#REF!&lt;=(TODAY()-(Data_Val!$L$2*365.25))),0,1),1))</f>
        <v>#REF!</v>
      </c>
      <c r="AE433" s="11" t="e">
        <f>IF(Data!#REF!="","",IF(Data!$G433="",1,IF(ISNUMBER(MATCH(Data!#REF!,Data_Val!$D$2:$D$10,0)),0,1)))</f>
        <v>#REF!</v>
      </c>
      <c r="AF433" s="12"/>
      <c r="AG433" s="12" t="e">
        <f>IF(Data!#REF!="","",IF(ISNUMBER(MATCH(Data!#REF!,Data_Val!$A$2:$A$3,0)),0,1))</f>
        <v>#REF!</v>
      </c>
      <c r="AH433" s="26" t="e">
        <f ca="1">IF(Data!#REF!="","",IF(ISNUMBER(Data!#REF!),IF(AND(Data!#REF!&gt;(TODAY()-(Data_Val!$L$3*365.25)),Data!#REF!&lt;=(TODAY()-(Data_Val!$L$2*365.25))),0,1),1))</f>
        <v>#REF!</v>
      </c>
      <c r="AI433" s="12" t="e">
        <f>IF(Data!#REF!="","",IF(Data!$G433="",1,IF(ISNUMBER(MATCH(Data!#REF!,Data_Val!$D$2:$D$10,0)),0,1)))</f>
        <v>#REF!</v>
      </c>
      <c r="AJ433" s="17"/>
      <c r="AK433" s="17" t="e">
        <f>IF(Data!#REF!="","",IF(ISNUMBER(MATCH(Data!#REF!,Data_Val!$A$2:$A$3,0)),0,1))</f>
        <v>#REF!</v>
      </c>
      <c r="AL433" s="25" t="e">
        <f ca="1">IF(Data!#REF!="","",IF(ISNUMBER(Data!#REF!),IF(AND(Data!#REF!&gt;(TODAY()-(Data_Val!$L$3*365.25)),Data!#REF!&lt;=(TODAY()-(Data_Val!$L$2*365.25))),0,1),1))</f>
        <v>#REF!</v>
      </c>
      <c r="AM433" s="17" t="e">
        <f>IF(Data!#REF!="","",IF(Data!$G433="",1,IF(ISNUMBER(MATCH(Data!#REF!,Data_Val!$D$2:$D$10,0)),0,1)))</f>
        <v>#REF!</v>
      </c>
      <c r="AN433" s="13"/>
      <c r="AO433" s="28" t="e">
        <f ca="1">IF(Data!#REF!="","",IF(ISNUMBER(Data!#REF!),IF(AND(Data!#REF!&gt;(TODAY()-(Data_Val!$I$3*365.25)),Data!#REF!&lt;=(TODAY()-(Data_Val!$I$2*365.25))),0,1),1))</f>
        <v>#REF!</v>
      </c>
      <c r="AP433" s="13" t="e">
        <f>IF(Data!#REF!="","",IF(Data!$G433="",1,IF(ISNUMBER(MATCH(Data!#REF!,Data_Val!$D$2:$D$10,0)),0,1)))</f>
        <v>#REF!</v>
      </c>
      <c r="AQ433" s="17"/>
      <c r="AR433" s="30" t="e">
        <f ca="1">IF(Data!#REF!="","",IF(ISNUMBER(Data!#REF!),IF(AND(Data!#REF!&gt;(TODAY()-(Data_Val!$I$3*365.25)),Data!#REF!&lt;=(TODAY()-(Data_Val!$I$2*365.25))),0,1),1))</f>
        <v>#REF!</v>
      </c>
      <c r="AS433" s="31" t="e">
        <f>IF(Data!#REF!="","",IF(Data!$G433="",1,IF(ISNUMBER(MATCH(Data!#REF!,Data_Val!$D$2:$D$10,0)),0,1)))</f>
        <v>#REF!</v>
      </c>
      <c r="AT433" s="11"/>
      <c r="AU433" s="11" t="e">
        <f ca="1">IF(Data!#REF!="","",IF(ISNUMBER(Data!#REF!),IF(AND(Data!#REF!&gt;(TODAY()-(Data_Val!$I$3*365.25)),Data!#REF!&lt;=(TODAY()-(Data_Val!$I$2*365.25))),0,1),1))</f>
        <v>#REF!</v>
      </c>
      <c r="AV433" s="11" t="e">
        <f>IF(Data!#REF!="","",IF(Data!$G433="",1,IF(ISNUMBER(MATCH(Data!#REF!,Data_Val!$D$2:$D$10,0)),0,1)))</f>
        <v>#REF!</v>
      </c>
      <c r="AW433" s="12"/>
      <c r="AX433" s="26" t="e">
        <f ca="1">IF(Data!#REF!="","",IF(ISNUMBER(Data!#REF!),IF(AND(Data!#REF!&gt;(TODAY()-(Data_Val!$I$3*365.25)),Data!#REF!&lt;=(TODAY()-(Data_Val!$I$2*365.25))),0,1),1))</f>
        <v>#REF!</v>
      </c>
      <c r="AY433" s="12" t="e">
        <f>IF(Data!#REF!="","",IF(Data!$G433="",1,IF(ISNUMBER(MATCH(Data!#REF!,Data_Val!$D$2:$D$10,0)),0,1)))</f>
        <v>#REF!</v>
      </c>
      <c r="AZ433" s="11"/>
      <c r="BA433" s="19" t="e">
        <f ca="1">IF(Data!#REF!="","",IF(ISNUMBER(Data!#REF!),IF(AND(Data!#REF!&gt;(TODAY()-(Data_Val!$M$3*365.25)),Data!#REF!&lt;=(TODAY()-(Data_Val!$M$2*365.25))),0,1),1))</f>
        <v>#REF!</v>
      </c>
      <c r="BB433" s="11" t="e">
        <f>IF(Data!#REF!="","",IF(Data!$G433="",1,IF(ISNUMBER(MATCH(Data!#REF!,Data_Val!$D$2:$D$10,0)),0,1)))</f>
        <v>#REF!</v>
      </c>
      <c r="BC433" s="12"/>
      <c r="BD433" s="20" t="e">
        <f ca="1">IF(Data!#REF!="","",IF(ISNUMBER(Data!#REF!),IF(AND(Data!#REF!&gt;(TODAY()-(Data_Val!$M$3*365.25)),Data!#REF!&lt;=(TODAY()-(Data_Val!$M$2*365.25))),0,1),1))</f>
        <v>#REF!</v>
      </c>
      <c r="BE433" s="12" t="e">
        <f>IF(Data!#REF!="","",IF(Data!$G433="",1,IF(ISNUMBER(MATCH(Data!#REF!,Data_Val!$D$2:$D$10,0)),0,1)))</f>
        <v>#REF!</v>
      </c>
      <c r="BF433" s="17"/>
      <c r="BG433" s="18" t="e">
        <f ca="1">IF(Data!#REF!="","",IF(ISNUMBER(Data!#REF!),IF(AND(Data!#REF!&gt;(TODAY()-(Data_Val!$M$3*365.25)),Data!#REF!&lt;=(TODAY()-(Data_Val!$M$2*365.25))),0,1),1))</f>
        <v>#REF!</v>
      </c>
      <c r="BH433" s="29" t="e">
        <f>IF(Data!#REF!="","",IF(Data!$G433="",1,IF(ISNUMBER(MATCH(Data!#REF!,Data_Val!$D$2:$D$10,0)),0,1)))</f>
        <v>#REF!</v>
      </c>
      <c r="BI433" s="13"/>
      <c r="BJ433" s="21" t="e">
        <f ca="1">IF(Data!#REF!="","",IF(ISNUMBER(Data!#REF!),IF(AND(Data!#REF!&gt;(TODAY()-(Data_Val!$M$3*365.25)),Data!#REF!&lt;=(TODAY()-(Data_Val!$M$2*365.25))),0,1),1))</f>
        <v>#REF!</v>
      </c>
      <c r="BK433" s="13" t="e">
        <f>IF(Data!#REF!="","",IF(Data!$G433="",1,IF(ISNUMBER(MATCH(Data!#REF!,Data_Val!$D$2:$D$10,0)),0,1)))</f>
        <v>#REF!</v>
      </c>
    </row>
    <row r="434" spans="1:63" x14ac:dyDescent="0.25">
      <c r="A434" s="9" t="str">
        <f>IF(Data!B434="","",IF(COUNTIFS(Data!A$1:'Data'!A434,Data!A434)&lt;=1,0,1))</f>
        <v/>
      </c>
      <c r="B434" s="9"/>
      <c r="C434" s="23" t="str">
        <f>IF(Data!C434="","",(IF(ISNUMBER(MATCH("*@*.?*",Data!C434,0)),0,1)+IF(COUNTIFS(Data!C$1:'Data'!C434,Data!C434)&gt;1,1,0)))</f>
        <v/>
      </c>
      <c r="D434" s="9" t="str">
        <f>IF(Data!B434="","",IF(ISNUMBER(Data!D434),IF(AND(Data!D434&gt;999999999,Data!D434&lt;=9999999999),IF(COUNTIFS(Data!D$1:'Data'!D434,Data!D434)&lt;=1,0,1),1),1))</f>
        <v/>
      </c>
      <c r="E434" s="9" t="str">
        <f>IF(Data!B434="","",IF(ISNUMBER(MATCH(Data!E434,Data_Val!$A$2:$A$3,0)),0,1))</f>
        <v/>
      </c>
      <c r="F434" s="9" t="str">
        <f ca="1">IF(Data!B434="","",IF(ISNUMBER(Data!F434),IF(AND(Data!F434&gt;(TODAY()-(Data_Val!$H$3*365.25)),Data!F434&lt;=(TODAY()-(Data_Val!$H$2*365.25))),0,1),1))</f>
        <v/>
      </c>
      <c r="G434" s="15" t="str">
        <f>IF(Data!B434="","",IF(AND(Data!G434="",Data!H434&lt;&gt;""),1,IF(Data!#REF!&lt;&gt;"",0,IF(ISNUMBER(MATCH(Data!G434,Data_Val!$C$2:$C$5,0)),0,1))))</f>
        <v/>
      </c>
      <c r="H434" s="15" t="str">
        <f>IF(Data!B434="","",IF(AND(Data!G434&lt;&gt;"",Data!H434=""),1,IF(Data!#REF!&lt;&gt;"",0,IF(Data!G434="",1,IF(ISNUMBER(MATCH(Data!H434,Data_Val!$D$2:$D$35,0)),0,1)))))</f>
        <v/>
      </c>
      <c r="I434" s="15" t="str">
        <f>IF(Data!B434="","",IF(Data!G434&lt;&gt;"",0,IF(ISNUMBER(MATCH(Data!#REF!,Data_Val!$E$2:$E$12,0)),0,1)))</f>
        <v/>
      </c>
      <c r="J434" s="16" t="e">
        <f>IF(OR(Data!B434="",Data!#REF!=""),"",IF(Data!#REF!="",1,0))</f>
        <v>#REF!</v>
      </c>
      <c r="K434" s="16" t="e">
        <f>IF(OR(Data!B434="",Data!#REF!=""),"",IF(Data!#REF!="",1,0))</f>
        <v>#REF!</v>
      </c>
      <c r="L434" s="16" t="e">
        <f>IF(OR(Data!B434="",Data!#REF!=""),"",IF(ISNUMBER(Data!#REF!),IF(AND(Data!#REF!&gt;Data_Val!$G$2,Data!#REF!&lt;=Data_Val!$G$3),0,1),1))</f>
        <v>#REF!</v>
      </c>
      <c r="M434" s="9" t="e">
        <f>IF(OR(Data!B434="",Data!#REF!=""),"",IF(ISNUMBER(MATCH(Data!#REF!,Data_Val!$F$1:$F$38,0)),0,1))</f>
        <v>#REF!</v>
      </c>
      <c r="N434" s="9" t="e">
        <f>IF(OR(Data!B434="",Data!#REF!=""),"",IF(Data!#REF!="",1,0))</f>
        <v>#REF!</v>
      </c>
      <c r="O434" s="17" t="e">
        <f>IF(Data!#REF!="","",IF(Data!#REF!="",1,0))</f>
        <v>#REF!</v>
      </c>
      <c r="P434" s="17" t="e">
        <f>IF(Data!#REF!="","",IF(ISNUMBER(MATCH(Data!#REF!,Data_Val!$A$2:$A$3,0)),0,1))</f>
        <v>#REF!</v>
      </c>
      <c r="Q434" s="25" t="e">
        <f ca="1">IF(Data!#REF!="","",IF(ISNUMBER(Data!#REF!),IF(AND(Data!#REF!&gt;(TODAY()-(Data_Val!$J$3*365.25)),Data!#REF!&lt;=(TODAY()-(Data_Val!$J$2*365.25))),0,1),1))</f>
        <v>#REF!</v>
      </c>
      <c r="R434" s="17" t="e">
        <f>IF(Data!#REF!="","",IF(ISNUMBER(MATCH(Data!#REF!,Data_Val!$B$2:$B$15,0)),0,1))</f>
        <v>#REF!</v>
      </c>
      <c r="S434" s="11" t="str">
        <f>IF(Data!G434="","",IF(Data!G434=Data_Val!$C$2,IF(Data!M434="",0,1),0))</f>
        <v/>
      </c>
      <c r="T434" s="11" t="str">
        <f>IF(Data!M434="","",IF(ISNUMBER(MATCH(Data!N434,Data_Val!$A$2:$A$3,0)),0,1))</f>
        <v/>
      </c>
      <c r="U434" s="11" t="str">
        <f ca="1">IF(Data!M434="","",IF(ISNUMBER(Data!O434),IF(AND(Data!O434&gt;(TODAY()-(Data_Val!$K$3*365.25)),Data!O434&lt;=(TODAY()-(Data_Val!$K$2*365.25))),0,1),1))</f>
        <v/>
      </c>
      <c r="V434" s="12" t="str">
        <f>IF(Data!G434="","",IF(Data!G434=Data_Val!$C$2,IF(Data!P434="",0,1),0))</f>
        <v/>
      </c>
      <c r="W434" s="12" t="str">
        <f>IF(Data!P434="","",IF(ISNUMBER(MATCH(Data!Q434,Data_Val!$A$2:$A$3,0)),0,1))</f>
        <v/>
      </c>
      <c r="X434" s="26" t="str">
        <f ca="1">IF(Data!P434="","",IF(ISNUMBER(Data!R434),IF(AND(Data!R434&gt;(TODAY()-(Data_Val!$L$3*365.25)),Data!R434&lt;=(TODAY()-(Data_Val!$L$2*365.25))),0,1),1))</f>
        <v/>
      </c>
      <c r="Y434" s="13" t="str">
        <f>IF(Data!$G434="","",IF(Data!$G434=Data_Val!$C$2,IF(Data!S434="",0,1),0))</f>
        <v/>
      </c>
      <c r="Z434" s="13" t="str">
        <f>IF(Data!S434="","",IF(ISNUMBER(MATCH(Data!T434,Data_Val!$A$2:$A$3,0)),0,1))</f>
        <v/>
      </c>
      <c r="AA434" s="28" t="str">
        <f ca="1">IF(Data!S434="","",IF(ISNUMBER(Data!U434),IF(AND(Data!U434&gt;(TODAY()-(Data_Val!$L$3*365.25)),Data!U434&lt;=(TODAY()-(Data_Val!$L$2*365.25))),0,1),1))</f>
        <v/>
      </c>
      <c r="AB434" s="11"/>
      <c r="AC434" s="11" t="e">
        <f>IF(Data!#REF!="","",IF(ISNUMBER(MATCH(Data!#REF!,Data_Val!$A$2:$A$3,0)),0,1))</f>
        <v>#REF!</v>
      </c>
      <c r="AD434" s="11" t="e">
        <f ca="1">IF(Data!#REF!="","",IF(ISNUMBER(Data!#REF!),IF(AND(Data!#REF!&gt;(TODAY()-(Data_Val!$L$3*365.25)),Data!#REF!&lt;=(TODAY()-(Data_Val!$L$2*365.25))),0,1),1))</f>
        <v>#REF!</v>
      </c>
      <c r="AE434" s="11" t="e">
        <f>IF(Data!#REF!="","",IF(Data!$G434="",1,IF(ISNUMBER(MATCH(Data!#REF!,Data_Val!$D$2:$D$10,0)),0,1)))</f>
        <v>#REF!</v>
      </c>
      <c r="AF434" s="12"/>
      <c r="AG434" s="12" t="e">
        <f>IF(Data!#REF!="","",IF(ISNUMBER(MATCH(Data!#REF!,Data_Val!$A$2:$A$3,0)),0,1))</f>
        <v>#REF!</v>
      </c>
      <c r="AH434" s="26" t="e">
        <f ca="1">IF(Data!#REF!="","",IF(ISNUMBER(Data!#REF!),IF(AND(Data!#REF!&gt;(TODAY()-(Data_Val!$L$3*365.25)),Data!#REF!&lt;=(TODAY()-(Data_Val!$L$2*365.25))),0,1),1))</f>
        <v>#REF!</v>
      </c>
      <c r="AI434" s="12" t="e">
        <f>IF(Data!#REF!="","",IF(Data!$G434="",1,IF(ISNUMBER(MATCH(Data!#REF!,Data_Val!$D$2:$D$10,0)),0,1)))</f>
        <v>#REF!</v>
      </c>
      <c r="AJ434" s="17"/>
      <c r="AK434" s="17" t="e">
        <f>IF(Data!#REF!="","",IF(ISNUMBER(MATCH(Data!#REF!,Data_Val!$A$2:$A$3,0)),0,1))</f>
        <v>#REF!</v>
      </c>
      <c r="AL434" s="25" t="e">
        <f ca="1">IF(Data!#REF!="","",IF(ISNUMBER(Data!#REF!),IF(AND(Data!#REF!&gt;(TODAY()-(Data_Val!$L$3*365.25)),Data!#REF!&lt;=(TODAY()-(Data_Val!$L$2*365.25))),0,1),1))</f>
        <v>#REF!</v>
      </c>
      <c r="AM434" s="17" t="e">
        <f>IF(Data!#REF!="","",IF(Data!$G434="",1,IF(ISNUMBER(MATCH(Data!#REF!,Data_Val!$D$2:$D$10,0)),0,1)))</f>
        <v>#REF!</v>
      </c>
      <c r="AN434" s="13"/>
      <c r="AO434" s="28" t="e">
        <f ca="1">IF(Data!#REF!="","",IF(ISNUMBER(Data!#REF!),IF(AND(Data!#REF!&gt;(TODAY()-(Data_Val!$I$3*365.25)),Data!#REF!&lt;=(TODAY()-(Data_Val!$I$2*365.25))),0,1),1))</f>
        <v>#REF!</v>
      </c>
      <c r="AP434" s="13" t="e">
        <f>IF(Data!#REF!="","",IF(Data!$G434="",1,IF(ISNUMBER(MATCH(Data!#REF!,Data_Val!$D$2:$D$10,0)),0,1)))</f>
        <v>#REF!</v>
      </c>
      <c r="AQ434" s="17"/>
      <c r="AR434" s="30" t="e">
        <f ca="1">IF(Data!#REF!="","",IF(ISNUMBER(Data!#REF!),IF(AND(Data!#REF!&gt;(TODAY()-(Data_Val!$I$3*365.25)),Data!#REF!&lt;=(TODAY()-(Data_Val!$I$2*365.25))),0,1),1))</f>
        <v>#REF!</v>
      </c>
      <c r="AS434" s="31" t="e">
        <f>IF(Data!#REF!="","",IF(Data!$G434="",1,IF(ISNUMBER(MATCH(Data!#REF!,Data_Val!$D$2:$D$10,0)),0,1)))</f>
        <v>#REF!</v>
      </c>
      <c r="AT434" s="11"/>
      <c r="AU434" s="11" t="e">
        <f ca="1">IF(Data!#REF!="","",IF(ISNUMBER(Data!#REF!),IF(AND(Data!#REF!&gt;(TODAY()-(Data_Val!$I$3*365.25)),Data!#REF!&lt;=(TODAY()-(Data_Val!$I$2*365.25))),0,1),1))</f>
        <v>#REF!</v>
      </c>
      <c r="AV434" s="11" t="e">
        <f>IF(Data!#REF!="","",IF(Data!$G434="",1,IF(ISNUMBER(MATCH(Data!#REF!,Data_Val!$D$2:$D$10,0)),0,1)))</f>
        <v>#REF!</v>
      </c>
      <c r="AW434" s="12"/>
      <c r="AX434" s="26" t="e">
        <f ca="1">IF(Data!#REF!="","",IF(ISNUMBER(Data!#REF!),IF(AND(Data!#REF!&gt;(TODAY()-(Data_Val!$I$3*365.25)),Data!#REF!&lt;=(TODAY()-(Data_Val!$I$2*365.25))),0,1),1))</f>
        <v>#REF!</v>
      </c>
      <c r="AY434" s="12" t="e">
        <f>IF(Data!#REF!="","",IF(Data!$G434="",1,IF(ISNUMBER(MATCH(Data!#REF!,Data_Val!$D$2:$D$10,0)),0,1)))</f>
        <v>#REF!</v>
      </c>
      <c r="AZ434" s="11"/>
      <c r="BA434" s="19" t="e">
        <f ca="1">IF(Data!#REF!="","",IF(ISNUMBER(Data!#REF!),IF(AND(Data!#REF!&gt;(TODAY()-(Data_Val!$M$3*365.25)),Data!#REF!&lt;=(TODAY()-(Data_Val!$M$2*365.25))),0,1),1))</f>
        <v>#REF!</v>
      </c>
      <c r="BB434" s="11" t="e">
        <f>IF(Data!#REF!="","",IF(Data!$G434="",1,IF(ISNUMBER(MATCH(Data!#REF!,Data_Val!$D$2:$D$10,0)),0,1)))</f>
        <v>#REF!</v>
      </c>
      <c r="BC434" s="12"/>
      <c r="BD434" s="20" t="e">
        <f ca="1">IF(Data!#REF!="","",IF(ISNUMBER(Data!#REF!),IF(AND(Data!#REF!&gt;(TODAY()-(Data_Val!$M$3*365.25)),Data!#REF!&lt;=(TODAY()-(Data_Val!$M$2*365.25))),0,1),1))</f>
        <v>#REF!</v>
      </c>
      <c r="BE434" s="12" t="e">
        <f>IF(Data!#REF!="","",IF(Data!$G434="",1,IF(ISNUMBER(MATCH(Data!#REF!,Data_Val!$D$2:$D$10,0)),0,1)))</f>
        <v>#REF!</v>
      </c>
      <c r="BF434" s="17"/>
      <c r="BG434" s="18" t="e">
        <f ca="1">IF(Data!#REF!="","",IF(ISNUMBER(Data!#REF!),IF(AND(Data!#REF!&gt;(TODAY()-(Data_Val!$M$3*365.25)),Data!#REF!&lt;=(TODAY()-(Data_Val!$M$2*365.25))),0,1),1))</f>
        <v>#REF!</v>
      </c>
      <c r="BH434" s="29" t="e">
        <f>IF(Data!#REF!="","",IF(Data!$G434="",1,IF(ISNUMBER(MATCH(Data!#REF!,Data_Val!$D$2:$D$10,0)),0,1)))</f>
        <v>#REF!</v>
      </c>
      <c r="BI434" s="13"/>
      <c r="BJ434" s="21" t="e">
        <f ca="1">IF(Data!#REF!="","",IF(ISNUMBER(Data!#REF!),IF(AND(Data!#REF!&gt;(TODAY()-(Data_Val!$M$3*365.25)),Data!#REF!&lt;=(TODAY()-(Data_Val!$M$2*365.25))),0,1),1))</f>
        <v>#REF!</v>
      </c>
      <c r="BK434" s="13" t="e">
        <f>IF(Data!#REF!="","",IF(Data!$G434="",1,IF(ISNUMBER(MATCH(Data!#REF!,Data_Val!$D$2:$D$10,0)),0,1)))</f>
        <v>#REF!</v>
      </c>
    </row>
    <row r="435" spans="1:63" x14ac:dyDescent="0.25">
      <c r="A435" s="9" t="str">
        <f>IF(Data!B435="","",IF(COUNTIFS(Data!A$1:'Data'!A435,Data!A435)&lt;=1,0,1))</f>
        <v/>
      </c>
      <c r="B435" s="9"/>
      <c r="C435" s="23" t="str">
        <f>IF(Data!C435="","",(IF(ISNUMBER(MATCH("*@*.?*",Data!C435,0)),0,1)+IF(COUNTIFS(Data!C$1:'Data'!C435,Data!C435)&gt;1,1,0)))</f>
        <v/>
      </c>
      <c r="D435" s="9" t="str">
        <f>IF(Data!B435="","",IF(ISNUMBER(Data!D435),IF(AND(Data!D435&gt;999999999,Data!D435&lt;=9999999999),IF(COUNTIFS(Data!D$1:'Data'!D435,Data!D435)&lt;=1,0,1),1),1))</f>
        <v/>
      </c>
      <c r="E435" s="9" t="str">
        <f>IF(Data!B435="","",IF(ISNUMBER(MATCH(Data!E435,Data_Val!$A$2:$A$3,0)),0,1))</f>
        <v/>
      </c>
      <c r="F435" s="9" t="str">
        <f ca="1">IF(Data!B435="","",IF(ISNUMBER(Data!F435),IF(AND(Data!F435&gt;(TODAY()-(Data_Val!$H$3*365.25)),Data!F435&lt;=(TODAY()-(Data_Val!$H$2*365.25))),0,1),1))</f>
        <v/>
      </c>
      <c r="G435" s="15" t="str">
        <f>IF(Data!B435="","",IF(AND(Data!G435="",Data!H435&lt;&gt;""),1,IF(Data!#REF!&lt;&gt;"",0,IF(ISNUMBER(MATCH(Data!G435,Data_Val!$C$2:$C$5,0)),0,1))))</f>
        <v/>
      </c>
      <c r="H435" s="15" t="str">
        <f>IF(Data!B435="","",IF(AND(Data!G435&lt;&gt;"",Data!H435=""),1,IF(Data!#REF!&lt;&gt;"",0,IF(Data!G435="",1,IF(ISNUMBER(MATCH(Data!H435,Data_Val!$D$2:$D$35,0)),0,1)))))</f>
        <v/>
      </c>
      <c r="I435" s="15" t="str">
        <f>IF(Data!B435="","",IF(Data!G435&lt;&gt;"",0,IF(ISNUMBER(MATCH(Data!#REF!,Data_Val!$E$2:$E$12,0)),0,1)))</f>
        <v/>
      </c>
      <c r="J435" s="16" t="e">
        <f>IF(OR(Data!B435="",Data!#REF!=""),"",IF(Data!#REF!="",1,0))</f>
        <v>#REF!</v>
      </c>
      <c r="K435" s="16" t="e">
        <f>IF(OR(Data!B435="",Data!#REF!=""),"",IF(Data!#REF!="",1,0))</f>
        <v>#REF!</v>
      </c>
      <c r="L435" s="16" t="e">
        <f>IF(OR(Data!B435="",Data!#REF!=""),"",IF(ISNUMBER(Data!#REF!),IF(AND(Data!#REF!&gt;Data_Val!$G$2,Data!#REF!&lt;=Data_Val!$G$3),0,1),1))</f>
        <v>#REF!</v>
      </c>
      <c r="M435" s="9" t="e">
        <f>IF(OR(Data!B435="",Data!#REF!=""),"",IF(ISNUMBER(MATCH(Data!#REF!,Data_Val!$F$1:$F$38,0)),0,1))</f>
        <v>#REF!</v>
      </c>
      <c r="N435" s="9" t="e">
        <f>IF(OR(Data!B435="",Data!#REF!=""),"",IF(Data!#REF!="",1,0))</f>
        <v>#REF!</v>
      </c>
      <c r="O435" s="17" t="e">
        <f>IF(Data!#REF!="","",IF(Data!#REF!="",1,0))</f>
        <v>#REF!</v>
      </c>
      <c r="P435" s="17" t="e">
        <f>IF(Data!#REF!="","",IF(ISNUMBER(MATCH(Data!#REF!,Data_Val!$A$2:$A$3,0)),0,1))</f>
        <v>#REF!</v>
      </c>
      <c r="Q435" s="25" t="e">
        <f ca="1">IF(Data!#REF!="","",IF(ISNUMBER(Data!#REF!),IF(AND(Data!#REF!&gt;(TODAY()-(Data_Val!$J$3*365.25)),Data!#REF!&lt;=(TODAY()-(Data_Val!$J$2*365.25))),0,1),1))</f>
        <v>#REF!</v>
      </c>
      <c r="R435" s="17" t="e">
        <f>IF(Data!#REF!="","",IF(ISNUMBER(MATCH(Data!#REF!,Data_Val!$B$2:$B$15,0)),0,1))</f>
        <v>#REF!</v>
      </c>
      <c r="S435" s="11" t="str">
        <f>IF(Data!G435="","",IF(Data!G435=Data_Val!$C$2,IF(Data!M435="",0,1),0))</f>
        <v/>
      </c>
      <c r="T435" s="11" t="str">
        <f>IF(Data!M435="","",IF(ISNUMBER(MATCH(Data!N435,Data_Val!$A$2:$A$3,0)),0,1))</f>
        <v/>
      </c>
      <c r="U435" s="11" t="str">
        <f ca="1">IF(Data!M435="","",IF(ISNUMBER(Data!O435),IF(AND(Data!O435&gt;(TODAY()-(Data_Val!$K$3*365.25)),Data!O435&lt;=(TODAY()-(Data_Val!$K$2*365.25))),0,1),1))</f>
        <v/>
      </c>
      <c r="V435" s="12" t="str">
        <f>IF(Data!G435="","",IF(Data!G435=Data_Val!$C$2,IF(Data!P435="",0,1),0))</f>
        <v/>
      </c>
      <c r="W435" s="12" t="str">
        <f>IF(Data!P435="","",IF(ISNUMBER(MATCH(Data!Q435,Data_Val!$A$2:$A$3,0)),0,1))</f>
        <v/>
      </c>
      <c r="X435" s="26" t="str">
        <f ca="1">IF(Data!P435="","",IF(ISNUMBER(Data!R435),IF(AND(Data!R435&gt;(TODAY()-(Data_Val!$L$3*365.25)),Data!R435&lt;=(TODAY()-(Data_Val!$L$2*365.25))),0,1),1))</f>
        <v/>
      </c>
      <c r="Y435" s="13" t="str">
        <f>IF(Data!$G435="","",IF(Data!$G435=Data_Val!$C$2,IF(Data!S435="",0,1),0))</f>
        <v/>
      </c>
      <c r="Z435" s="13" t="str">
        <f>IF(Data!S435="","",IF(ISNUMBER(MATCH(Data!T435,Data_Val!$A$2:$A$3,0)),0,1))</f>
        <v/>
      </c>
      <c r="AA435" s="28" t="str">
        <f ca="1">IF(Data!S435="","",IF(ISNUMBER(Data!U435),IF(AND(Data!U435&gt;(TODAY()-(Data_Val!$L$3*365.25)),Data!U435&lt;=(TODAY()-(Data_Val!$L$2*365.25))),0,1),1))</f>
        <v/>
      </c>
      <c r="AB435" s="11"/>
      <c r="AC435" s="11" t="e">
        <f>IF(Data!#REF!="","",IF(ISNUMBER(MATCH(Data!#REF!,Data_Val!$A$2:$A$3,0)),0,1))</f>
        <v>#REF!</v>
      </c>
      <c r="AD435" s="11" t="e">
        <f ca="1">IF(Data!#REF!="","",IF(ISNUMBER(Data!#REF!),IF(AND(Data!#REF!&gt;(TODAY()-(Data_Val!$L$3*365.25)),Data!#REF!&lt;=(TODAY()-(Data_Val!$L$2*365.25))),0,1),1))</f>
        <v>#REF!</v>
      </c>
      <c r="AE435" s="11" t="e">
        <f>IF(Data!#REF!="","",IF(Data!$G435="",1,IF(ISNUMBER(MATCH(Data!#REF!,Data_Val!$D$2:$D$10,0)),0,1)))</f>
        <v>#REF!</v>
      </c>
      <c r="AF435" s="12"/>
      <c r="AG435" s="12" t="e">
        <f>IF(Data!#REF!="","",IF(ISNUMBER(MATCH(Data!#REF!,Data_Val!$A$2:$A$3,0)),0,1))</f>
        <v>#REF!</v>
      </c>
      <c r="AH435" s="26" t="e">
        <f ca="1">IF(Data!#REF!="","",IF(ISNUMBER(Data!#REF!),IF(AND(Data!#REF!&gt;(TODAY()-(Data_Val!$L$3*365.25)),Data!#REF!&lt;=(TODAY()-(Data_Val!$L$2*365.25))),0,1),1))</f>
        <v>#REF!</v>
      </c>
      <c r="AI435" s="12" t="e">
        <f>IF(Data!#REF!="","",IF(Data!$G435="",1,IF(ISNUMBER(MATCH(Data!#REF!,Data_Val!$D$2:$D$10,0)),0,1)))</f>
        <v>#REF!</v>
      </c>
      <c r="AJ435" s="17"/>
      <c r="AK435" s="17" t="e">
        <f>IF(Data!#REF!="","",IF(ISNUMBER(MATCH(Data!#REF!,Data_Val!$A$2:$A$3,0)),0,1))</f>
        <v>#REF!</v>
      </c>
      <c r="AL435" s="25" t="e">
        <f ca="1">IF(Data!#REF!="","",IF(ISNUMBER(Data!#REF!),IF(AND(Data!#REF!&gt;(TODAY()-(Data_Val!$L$3*365.25)),Data!#REF!&lt;=(TODAY()-(Data_Val!$L$2*365.25))),0,1),1))</f>
        <v>#REF!</v>
      </c>
      <c r="AM435" s="17" t="e">
        <f>IF(Data!#REF!="","",IF(Data!$G435="",1,IF(ISNUMBER(MATCH(Data!#REF!,Data_Val!$D$2:$D$10,0)),0,1)))</f>
        <v>#REF!</v>
      </c>
      <c r="AN435" s="13"/>
      <c r="AO435" s="28" t="e">
        <f ca="1">IF(Data!#REF!="","",IF(ISNUMBER(Data!#REF!),IF(AND(Data!#REF!&gt;(TODAY()-(Data_Val!$I$3*365.25)),Data!#REF!&lt;=(TODAY()-(Data_Val!$I$2*365.25))),0,1),1))</f>
        <v>#REF!</v>
      </c>
      <c r="AP435" s="13" t="e">
        <f>IF(Data!#REF!="","",IF(Data!$G435="",1,IF(ISNUMBER(MATCH(Data!#REF!,Data_Val!$D$2:$D$10,0)),0,1)))</f>
        <v>#REF!</v>
      </c>
      <c r="AQ435" s="17"/>
      <c r="AR435" s="30" t="e">
        <f ca="1">IF(Data!#REF!="","",IF(ISNUMBER(Data!#REF!),IF(AND(Data!#REF!&gt;(TODAY()-(Data_Val!$I$3*365.25)),Data!#REF!&lt;=(TODAY()-(Data_Val!$I$2*365.25))),0,1),1))</f>
        <v>#REF!</v>
      </c>
      <c r="AS435" s="31" t="e">
        <f>IF(Data!#REF!="","",IF(Data!$G435="",1,IF(ISNUMBER(MATCH(Data!#REF!,Data_Val!$D$2:$D$10,0)),0,1)))</f>
        <v>#REF!</v>
      </c>
      <c r="AT435" s="11"/>
      <c r="AU435" s="11" t="e">
        <f ca="1">IF(Data!#REF!="","",IF(ISNUMBER(Data!#REF!),IF(AND(Data!#REF!&gt;(TODAY()-(Data_Val!$I$3*365.25)),Data!#REF!&lt;=(TODAY()-(Data_Val!$I$2*365.25))),0,1),1))</f>
        <v>#REF!</v>
      </c>
      <c r="AV435" s="11" t="e">
        <f>IF(Data!#REF!="","",IF(Data!$G435="",1,IF(ISNUMBER(MATCH(Data!#REF!,Data_Val!$D$2:$D$10,0)),0,1)))</f>
        <v>#REF!</v>
      </c>
      <c r="AW435" s="12"/>
      <c r="AX435" s="26" t="e">
        <f ca="1">IF(Data!#REF!="","",IF(ISNUMBER(Data!#REF!),IF(AND(Data!#REF!&gt;(TODAY()-(Data_Val!$I$3*365.25)),Data!#REF!&lt;=(TODAY()-(Data_Val!$I$2*365.25))),0,1),1))</f>
        <v>#REF!</v>
      </c>
      <c r="AY435" s="12" t="e">
        <f>IF(Data!#REF!="","",IF(Data!$G435="",1,IF(ISNUMBER(MATCH(Data!#REF!,Data_Val!$D$2:$D$10,0)),0,1)))</f>
        <v>#REF!</v>
      </c>
      <c r="AZ435" s="11"/>
      <c r="BA435" s="19" t="e">
        <f ca="1">IF(Data!#REF!="","",IF(ISNUMBER(Data!#REF!),IF(AND(Data!#REF!&gt;(TODAY()-(Data_Val!$M$3*365.25)),Data!#REF!&lt;=(TODAY()-(Data_Val!$M$2*365.25))),0,1),1))</f>
        <v>#REF!</v>
      </c>
      <c r="BB435" s="11" t="e">
        <f>IF(Data!#REF!="","",IF(Data!$G435="",1,IF(ISNUMBER(MATCH(Data!#REF!,Data_Val!$D$2:$D$10,0)),0,1)))</f>
        <v>#REF!</v>
      </c>
      <c r="BC435" s="12"/>
      <c r="BD435" s="20" t="e">
        <f ca="1">IF(Data!#REF!="","",IF(ISNUMBER(Data!#REF!),IF(AND(Data!#REF!&gt;(TODAY()-(Data_Val!$M$3*365.25)),Data!#REF!&lt;=(TODAY()-(Data_Val!$M$2*365.25))),0,1),1))</f>
        <v>#REF!</v>
      </c>
      <c r="BE435" s="12" t="e">
        <f>IF(Data!#REF!="","",IF(Data!$G435="",1,IF(ISNUMBER(MATCH(Data!#REF!,Data_Val!$D$2:$D$10,0)),0,1)))</f>
        <v>#REF!</v>
      </c>
      <c r="BF435" s="17"/>
      <c r="BG435" s="18" t="e">
        <f ca="1">IF(Data!#REF!="","",IF(ISNUMBER(Data!#REF!),IF(AND(Data!#REF!&gt;(TODAY()-(Data_Val!$M$3*365.25)),Data!#REF!&lt;=(TODAY()-(Data_Val!$M$2*365.25))),0,1),1))</f>
        <v>#REF!</v>
      </c>
      <c r="BH435" s="29" t="e">
        <f>IF(Data!#REF!="","",IF(Data!$G435="",1,IF(ISNUMBER(MATCH(Data!#REF!,Data_Val!$D$2:$D$10,0)),0,1)))</f>
        <v>#REF!</v>
      </c>
      <c r="BI435" s="13"/>
      <c r="BJ435" s="21" t="e">
        <f ca="1">IF(Data!#REF!="","",IF(ISNUMBER(Data!#REF!),IF(AND(Data!#REF!&gt;(TODAY()-(Data_Val!$M$3*365.25)),Data!#REF!&lt;=(TODAY()-(Data_Val!$M$2*365.25))),0,1),1))</f>
        <v>#REF!</v>
      </c>
      <c r="BK435" s="13" t="e">
        <f>IF(Data!#REF!="","",IF(Data!$G435="",1,IF(ISNUMBER(MATCH(Data!#REF!,Data_Val!$D$2:$D$10,0)),0,1)))</f>
        <v>#REF!</v>
      </c>
    </row>
    <row r="436" spans="1:63" x14ac:dyDescent="0.25">
      <c r="A436" s="9" t="str">
        <f>IF(Data!B436="","",IF(COUNTIFS(Data!A$1:'Data'!A436,Data!A436)&lt;=1,0,1))</f>
        <v/>
      </c>
      <c r="B436" s="9"/>
      <c r="C436" s="23" t="str">
        <f>IF(Data!C436="","",(IF(ISNUMBER(MATCH("*@*.?*",Data!C436,0)),0,1)+IF(COUNTIFS(Data!C$1:'Data'!C436,Data!C436)&gt;1,1,0)))</f>
        <v/>
      </c>
      <c r="D436" s="9" t="str">
        <f>IF(Data!B436="","",IF(ISNUMBER(Data!D436),IF(AND(Data!D436&gt;999999999,Data!D436&lt;=9999999999),IF(COUNTIFS(Data!D$1:'Data'!D436,Data!D436)&lt;=1,0,1),1),1))</f>
        <v/>
      </c>
      <c r="E436" s="9" t="str">
        <f>IF(Data!B436="","",IF(ISNUMBER(MATCH(Data!E436,Data_Val!$A$2:$A$3,0)),0,1))</f>
        <v/>
      </c>
      <c r="F436" s="9" t="str">
        <f ca="1">IF(Data!B436="","",IF(ISNUMBER(Data!F436),IF(AND(Data!F436&gt;(TODAY()-(Data_Val!$H$3*365.25)),Data!F436&lt;=(TODAY()-(Data_Val!$H$2*365.25))),0,1),1))</f>
        <v/>
      </c>
      <c r="G436" s="15" t="str">
        <f>IF(Data!B436="","",IF(AND(Data!G436="",Data!H436&lt;&gt;""),1,IF(Data!#REF!&lt;&gt;"",0,IF(ISNUMBER(MATCH(Data!G436,Data_Val!$C$2:$C$5,0)),0,1))))</f>
        <v/>
      </c>
      <c r="H436" s="15" t="str">
        <f>IF(Data!B436="","",IF(AND(Data!G436&lt;&gt;"",Data!H436=""),1,IF(Data!#REF!&lt;&gt;"",0,IF(Data!G436="",1,IF(ISNUMBER(MATCH(Data!H436,Data_Val!$D$2:$D$35,0)),0,1)))))</f>
        <v/>
      </c>
      <c r="I436" s="15" t="str">
        <f>IF(Data!B436="","",IF(Data!G436&lt;&gt;"",0,IF(ISNUMBER(MATCH(Data!#REF!,Data_Val!$E$2:$E$12,0)),0,1)))</f>
        <v/>
      </c>
      <c r="J436" s="16" t="e">
        <f>IF(OR(Data!B436="",Data!#REF!=""),"",IF(Data!#REF!="",1,0))</f>
        <v>#REF!</v>
      </c>
      <c r="K436" s="16" t="e">
        <f>IF(OR(Data!B436="",Data!#REF!=""),"",IF(Data!#REF!="",1,0))</f>
        <v>#REF!</v>
      </c>
      <c r="L436" s="16" t="e">
        <f>IF(OR(Data!B436="",Data!#REF!=""),"",IF(ISNUMBER(Data!#REF!),IF(AND(Data!#REF!&gt;Data_Val!$G$2,Data!#REF!&lt;=Data_Val!$G$3),0,1),1))</f>
        <v>#REF!</v>
      </c>
      <c r="M436" s="9" t="e">
        <f>IF(OR(Data!B436="",Data!#REF!=""),"",IF(ISNUMBER(MATCH(Data!#REF!,Data_Val!$F$1:$F$38,0)),0,1))</f>
        <v>#REF!</v>
      </c>
      <c r="N436" s="9" t="e">
        <f>IF(OR(Data!B436="",Data!#REF!=""),"",IF(Data!#REF!="",1,0))</f>
        <v>#REF!</v>
      </c>
      <c r="O436" s="17" t="e">
        <f>IF(Data!#REF!="","",IF(Data!#REF!="",1,0))</f>
        <v>#REF!</v>
      </c>
      <c r="P436" s="17" t="e">
        <f>IF(Data!#REF!="","",IF(ISNUMBER(MATCH(Data!#REF!,Data_Val!$A$2:$A$3,0)),0,1))</f>
        <v>#REF!</v>
      </c>
      <c r="Q436" s="25" t="e">
        <f ca="1">IF(Data!#REF!="","",IF(ISNUMBER(Data!#REF!),IF(AND(Data!#REF!&gt;(TODAY()-(Data_Val!$J$3*365.25)),Data!#REF!&lt;=(TODAY()-(Data_Val!$J$2*365.25))),0,1),1))</f>
        <v>#REF!</v>
      </c>
      <c r="R436" s="17" t="e">
        <f>IF(Data!#REF!="","",IF(ISNUMBER(MATCH(Data!#REF!,Data_Val!$B$2:$B$15,0)),0,1))</f>
        <v>#REF!</v>
      </c>
      <c r="S436" s="11" t="str">
        <f>IF(Data!G436="","",IF(Data!G436=Data_Val!$C$2,IF(Data!M436="",0,1),0))</f>
        <v/>
      </c>
      <c r="T436" s="11" t="str">
        <f>IF(Data!M436="","",IF(ISNUMBER(MATCH(Data!N436,Data_Val!$A$2:$A$3,0)),0,1))</f>
        <v/>
      </c>
      <c r="U436" s="11" t="str">
        <f ca="1">IF(Data!M436="","",IF(ISNUMBER(Data!O436),IF(AND(Data!O436&gt;(TODAY()-(Data_Val!$K$3*365.25)),Data!O436&lt;=(TODAY()-(Data_Val!$K$2*365.25))),0,1),1))</f>
        <v/>
      </c>
      <c r="V436" s="12" t="str">
        <f>IF(Data!G436="","",IF(Data!G436=Data_Val!$C$2,IF(Data!P436="",0,1),0))</f>
        <v/>
      </c>
      <c r="W436" s="12" t="str">
        <f>IF(Data!P436="","",IF(ISNUMBER(MATCH(Data!Q436,Data_Val!$A$2:$A$3,0)),0,1))</f>
        <v/>
      </c>
      <c r="X436" s="26" t="str">
        <f ca="1">IF(Data!P436="","",IF(ISNUMBER(Data!R436),IF(AND(Data!R436&gt;(TODAY()-(Data_Val!$L$3*365.25)),Data!R436&lt;=(TODAY()-(Data_Val!$L$2*365.25))),0,1),1))</f>
        <v/>
      </c>
      <c r="Y436" s="13" t="str">
        <f>IF(Data!$G436="","",IF(Data!$G436=Data_Val!$C$2,IF(Data!S436="",0,1),0))</f>
        <v/>
      </c>
      <c r="Z436" s="13" t="str">
        <f>IF(Data!S436="","",IF(ISNUMBER(MATCH(Data!T436,Data_Val!$A$2:$A$3,0)),0,1))</f>
        <v/>
      </c>
      <c r="AA436" s="28" t="str">
        <f ca="1">IF(Data!S436="","",IF(ISNUMBER(Data!U436),IF(AND(Data!U436&gt;(TODAY()-(Data_Val!$L$3*365.25)),Data!U436&lt;=(TODAY()-(Data_Val!$L$2*365.25))),0,1),1))</f>
        <v/>
      </c>
      <c r="AB436" s="11"/>
      <c r="AC436" s="11" t="e">
        <f>IF(Data!#REF!="","",IF(ISNUMBER(MATCH(Data!#REF!,Data_Val!$A$2:$A$3,0)),0,1))</f>
        <v>#REF!</v>
      </c>
      <c r="AD436" s="11" t="e">
        <f ca="1">IF(Data!#REF!="","",IF(ISNUMBER(Data!#REF!),IF(AND(Data!#REF!&gt;(TODAY()-(Data_Val!$L$3*365.25)),Data!#REF!&lt;=(TODAY()-(Data_Val!$L$2*365.25))),0,1),1))</f>
        <v>#REF!</v>
      </c>
      <c r="AE436" s="11" t="e">
        <f>IF(Data!#REF!="","",IF(Data!$G436="",1,IF(ISNUMBER(MATCH(Data!#REF!,Data_Val!$D$2:$D$10,0)),0,1)))</f>
        <v>#REF!</v>
      </c>
      <c r="AF436" s="12"/>
      <c r="AG436" s="12" t="e">
        <f>IF(Data!#REF!="","",IF(ISNUMBER(MATCH(Data!#REF!,Data_Val!$A$2:$A$3,0)),0,1))</f>
        <v>#REF!</v>
      </c>
      <c r="AH436" s="26" t="e">
        <f ca="1">IF(Data!#REF!="","",IF(ISNUMBER(Data!#REF!),IF(AND(Data!#REF!&gt;(TODAY()-(Data_Val!$L$3*365.25)),Data!#REF!&lt;=(TODAY()-(Data_Val!$L$2*365.25))),0,1),1))</f>
        <v>#REF!</v>
      </c>
      <c r="AI436" s="12" t="e">
        <f>IF(Data!#REF!="","",IF(Data!$G436="",1,IF(ISNUMBER(MATCH(Data!#REF!,Data_Val!$D$2:$D$10,0)),0,1)))</f>
        <v>#REF!</v>
      </c>
      <c r="AJ436" s="17"/>
      <c r="AK436" s="17" t="e">
        <f>IF(Data!#REF!="","",IF(ISNUMBER(MATCH(Data!#REF!,Data_Val!$A$2:$A$3,0)),0,1))</f>
        <v>#REF!</v>
      </c>
      <c r="AL436" s="25" t="e">
        <f ca="1">IF(Data!#REF!="","",IF(ISNUMBER(Data!#REF!),IF(AND(Data!#REF!&gt;(TODAY()-(Data_Val!$L$3*365.25)),Data!#REF!&lt;=(TODAY()-(Data_Val!$L$2*365.25))),0,1),1))</f>
        <v>#REF!</v>
      </c>
      <c r="AM436" s="17" t="e">
        <f>IF(Data!#REF!="","",IF(Data!$G436="",1,IF(ISNUMBER(MATCH(Data!#REF!,Data_Val!$D$2:$D$10,0)),0,1)))</f>
        <v>#REF!</v>
      </c>
      <c r="AN436" s="13"/>
      <c r="AO436" s="28" t="e">
        <f ca="1">IF(Data!#REF!="","",IF(ISNUMBER(Data!#REF!),IF(AND(Data!#REF!&gt;(TODAY()-(Data_Val!$I$3*365.25)),Data!#REF!&lt;=(TODAY()-(Data_Val!$I$2*365.25))),0,1),1))</f>
        <v>#REF!</v>
      </c>
      <c r="AP436" s="13" t="e">
        <f>IF(Data!#REF!="","",IF(Data!$G436="",1,IF(ISNUMBER(MATCH(Data!#REF!,Data_Val!$D$2:$D$10,0)),0,1)))</f>
        <v>#REF!</v>
      </c>
      <c r="AQ436" s="17"/>
      <c r="AR436" s="30" t="e">
        <f ca="1">IF(Data!#REF!="","",IF(ISNUMBER(Data!#REF!),IF(AND(Data!#REF!&gt;(TODAY()-(Data_Val!$I$3*365.25)),Data!#REF!&lt;=(TODAY()-(Data_Val!$I$2*365.25))),0,1),1))</f>
        <v>#REF!</v>
      </c>
      <c r="AS436" s="31" t="e">
        <f>IF(Data!#REF!="","",IF(Data!$G436="",1,IF(ISNUMBER(MATCH(Data!#REF!,Data_Val!$D$2:$D$10,0)),0,1)))</f>
        <v>#REF!</v>
      </c>
      <c r="AT436" s="11"/>
      <c r="AU436" s="11" t="e">
        <f ca="1">IF(Data!#REF!="","",IF(ISNUMBER(Data!#REF!),IF(AND(Data!#REF!&gt;(TODAY()-(Data_Val!$I$3*365.25)),Data!#REF!&lt;=(TODAY()-(Data_Val!$I$2*365.25))),0,1),1))</f>
        <v>#REF!</v>
      </c>
      <c r="AV436" s="11" t="e">
        <f>IF(Data!#REF!="","",IF(Data!$G436="",1,IF(ISNUMBER(MATCH(Data!#REF!,Data_Val!$D$2:$D$10,0)),0,1)))</f>
        <v>#REF!</v>
      </c>
      <c r="AW436" s="12"/>
      <c r="AX436" s="26" t="e">
        <f ca="1">IF(Data!#REF!="","",IF(ISNUMBER(Data!#REF!),IF(AND(Data!#REF!&gt;(TODAY()-(Data_Val!$I$3*365.25)),Data!#REF!&lt;=(TODAY()-(Data_Val!$I$2*365.25))),0,1),1))</f>
        <v>#REF!</v>
      </c>
      <c r="AY436" s="12" t="e">
        <f>IF(Data!#REF!="","",IF(Data!$G436="",1,IF(ISNUMBER(MATCH(Data!#REF!,Data_Val!$D$2:$D$10,0)),0,1)))</f>
        <v>#REF!</v>
      </c>
      <c r="AZ436" s="11"/>
      <c r="BA436" s="19" t="e">
        <f ca="1">IF(Data!#REF!="","",IF(ISNUMBER(Data!#REF!),IF(AND(Data!#REF!&gt;(TODAY()-(Data_Val!$M$3*365.25)),Data!#REF!&lt;=(TODAY()-(Data_Val!$M$2*365.25))),0,1),1))</f>
        <v>#REF!</v>
      </c>
      <c r="BB436" s="11" t="e">
        <f>IF(Data!#REF!="","",IF(Data!$G436="",1,IF(ISNUMBER(MATCH(Data!#REF!,Data_Val!$D$2:$D$10,0)),0,1)))</f>
        <v>#REF!</v>
      </c>
      <c r="BC436" s="12"/>
      <c r="BD436" s="20" t="e">
        <f ca="1">IF(Data!#REF!="","",IF(ISNUMBER(Data!#REF!),IF(AND(Data!#REF!&gt;(TODAY()-(Data_Val!$M$3*365.25)),Data!#REF!&lt;=(TODAY()-(Data_Val!$M$2*365.25))),0,1),1))</f>
        <v>#REF!</v>
      </c>
      <c r="BE436" s="12" t="e">
        <f>IF(Data!#REF!="","",IF(Data!$G436="",1,IF(ISNUMBER(MATCH(Data!#REF!,Data_Val!$D$2:$D$10,0)),0,1)))</f>
        <v>#REF!</v>
      </c>
      <c r="BF436" s="17"/>
      <c r="BG436" s="18" t="e">
        <f ca="1">IF(Data!#REF!="","",IF(ISNUMBER(Data!#REF!),IF(AND(Data!#REF!&gt;(TODAY()-(Data_Val!$M$3*365.25)),Data!#REF!&lt;=(TODAY()-(Data_Val!$M$2*365.25))),0,1),1))</f>
        <v>#REF!</v>
      </c>
      <c r="BH436" s="29" t="e">
        <f>IF(Data!#REF!="","",IF(Data!$G436="",1,IF(ISNUMBER(MATCH(Data!#REF!,Data_Val!$D$2:$D$10,0)),0,1)))</f>
        <v>#REF!</v>
      </c>
      <c r="BI436" s="13"/>
      <c r="BJ436" s="21" t="e">
        <f ca="1">IF(Data!#REF!="","",IF(ISNUMBER(Data!#REF!),IF(AND(Data!#REF!&gt;(TODAY()-(Data_Val!$M$3*365.25)),Data!#REF!&lt;=(TODAY()-(Data_Val!$M$2*365.25))),0,1),1))</f>
        <v>#REF!</v>
      </c>
      <c r="BK436" s="13" t="e">
        <f>IF(Data!#REF!="","",IF(Data!$G436="",1,IF(ISNUMBER(MATCH(Data!#REF!,Data_Val!$D$2:$D$10,0)),0,1)))</f>
        <v>#REF!</v>
      </c>
    </row>
    <row r="437" spans="1:63" x14ac:dyDescent="0.25">
      <c r="A437" s="9" t="str">
        <f>IF(Data!B437="","",IF(COUNTIFS(Data!A$1:'Data'!A437,Data!A437)&lt;=1,0,1))</f>
        <v/>
      </c>
      <c r="B437" s="9"/>
      <c r="C437" s="23" t="str">
        <f>IF(Data!C437="","",(IF(ISNUMBER(MATCH("*@*.?*",Data!C437,0)),0,1)+IF(COUNTIFS(Data!C$1:'Data'!C437,Data!C437)&gt;1,1,0)))</f>
        <v/>
      </c>
      <c r="D437" s="9" t="str">
        <f>IF(Data!B437="","",IF(ISNUMBER(Data!D437),IF(AND(Data!D437&gt;999999999,Data!D437&lt;=9999999999),IF(COUNTIFS(Data!D$1:'Data'!D437,Data!D437)&lt;=1,0,1),1),1))</f>
        <v/>
      </c>
      <c r="E437" s="9" t="str">
        <f>IF(Data!B437="","",IF(ISNUMBER(MATCH(Data!E437,Data_Val!$A$2:$A$3,0)),0,1))</f>
        <v/>
      </c>
      <c r="F437" s="9" t="str">
        <f ca="1">IF(Data!B437="","",IF(ISNUMBER(Data!F437),IF(AND(Data!F437&gt;(TODAY()-(Data_Val!$H$3*365.25)),Data!F437&lt;=(TODAY()-(Data_Val!$H$2*365.25))),0,1),1))</f>
        <v/>
      </c>
      <c r="G437" s="15" t="str">
        <f>IF(Data!B437="","",IF(AND(Data!G437="",Data!H437&lt;&gt;""),1,IF(Data!#REF!&lt;&gt;"",0,IF(ISNUMBER(MATCH(Data!G437,Data_Val!$C$2:$C$5,0)),0,1))))</f>
        <v/>
      </c>
      <c r="H437" s="15" t="str">
        <f>IF(Data!B437="","",IF(AND(Data!G437&lt;&gt;"",Data!H437=""),1,IF(Data!#REF!&lt;&gt;"",0,IF(Data!G437="",1,IF(ISNUMBER(MATCH(Data!H437,Data_Val!$D$2:$D$35,0)),0,1)))))</f>
        <v/>
      </c>
      <c r="I437" s="15" t="str">
        <f>IF(Data!B437="","",IF(Data!G437&lt;&gt;"",0,IF(ISNUMBER(MATCH(Data!#REF!,Data_Val!$E$2:$E$12,0)),0,1)))</f>
        <v/>
      </c>
      <c r="J437" s="16" t="e">
        <f>IF(OR(Data!B437="",Data!#REF!=""),"",IF(Data!#REF!="",1,0))</f>
        <v>#REF!</v>
      </c>
      <c r="K437" s="16" t="e">
        <f>IF(OR(Data!B437="",Data!#REF!=""),"",IF(Data!#REF!="",1,0))</f>
        <v>#REF!</v>
      </c>
      <c r="L437" s="16" t="e">
        <f>IF(OR(Data!B437="",Data!#REF!=""),"",IF(ISNUMBER(Data!#REF!),IF(AND(Data!#REF!&gt;Data_Val!$G$2,Data!#REF!&lt;=Data_Val!$G$3),0,1),1))</f>
        <v>#REF!</v>
      </c>
      <c r="M437" s="9" t="e">
        <f>IF(OR(Data!B437="",Data!#REF!=""),"",IF(ISNUMBER(MATCH(Data!#REF!,Data_Val!$F$1:$F$38,0)),0,1))</f>
        <v>#REF!</v>
      </c>
      <c r="N437" s="9" t="e">
        <f>IF(OR(Data!B437="",Data!#REF!=""),"",IF(Data!#REF!="",1,0))</f>
        <v>#REF!</v>
      </c>
      <c r="O437" s="17" t="e">
        <f>IF(Data!#REF!="","",IF(Data!#REF!="",1,0))</f>
        <v>#REF!</v>
      </c>
      <c r="P437" s="17" t="e">
        <f>IF(Data!#REF!="","",IF(ISNUMBER(MATCH(Data!#REF!,Data_Val!$A$2:$A$3,0)),0,1))</f>
        <v>#REF!</v>
      </c>
      <c r="Q437" s="25" t="e">
        <f ca="1">IF(Data!#REF!="","",IF(ISNUMBER(Data!#REF!),IF(AND(Data!#REF!&gt;(TODAY()-(Data_Val!$J$3*365.25)),Data!#REF!&lt;=(TODAY()-(Data_Val!$J$2*365.25))),0,1),1))</f>
        <v>#REF!</v>
      </c>
      <c r="R437" s="17" t="e">
        <f>IF(Data!#REF!="","",IF(ISNUMBER(MATCH(Data!#REF!,Data_Val!$B$2:$B$15,0)),0,1))</f>
        <v>#REF!</v>
      </c>
      <c r="S437" s="11" t="str">
        <f>IF(Data!G437="","",IF(Data!G437=Data_Val!$C$2,IF(Data!M437="",0,1),0))</f>
        <v/>
      </c>
      <c r="T437" s="11" t="str">
        <f>IF(Data!M437="","",IF(ISNUMBER(MATCH(Data!N437,Data_Val!$A$2:$A$3,0)),0,1))</f>
        <v/>
      </c>
      <c r="U437" s="11" t="str">
        <f ca="1">IF(Data!M437="","",IF(ISNUMBER(Data!O437),IF(AND(Data!O437&gt;(TODAY()-(Data_Val!$K$3*365.25)),Data!O437&lt;=(TODAY()-(Data_Val!$K$2*365.25))),0,1),1))</f>
        <v/>
      </c>
      <c r="V437" s="12" t="str">
        <f>IF(Data!G437="","",IF(Data!G437=Data_Val!$C$2,IF(Data!P437="",0,1),0))</f>
        <v/>
      </c>
      <c r="W437" s="12" t="str">
        <f>IF(Data!P437="","",IF(ISNUMBER(MATCH(Data!Q437,Data_Val!$A$2:$A$3,0)),0,1))</f>
        <v/>
      </c>
      <c r="X437" s="26" t="str">
        <f ca="1">IF(Data!P437="","",IF(ISNUMBER(Data!R437),IF(AND(Data!R437&gt;(TODAY()-(Data_Val!$L$3*365.25)),Data!R437&lt;=(TODAY()-(Data_Val!$L$2*365.25))),0,1),1))</f>
        <v/>
      </c>
      <c r="Y437" s="13" t="str">
        <f>IF(Data!$G437="","",IF(Data!$G437=Data_Val!$C$2,IF(Data!S437="",0,1),0))</f>
        <v/>
      </c>
      <c r="Z437" s="13" t="str">
        <f>IF(Data!S437="","",IF(ISNUMBER(MATCH(Data!T437,Data_Val!$A$2:$A$3,0)),0,1))</f>
        <v/>
      </c>
      <c r="AA437" s="28" t="str">
        <f ca="1">IF(Data!S437="","",IF(ISNUMBER(Data!U437),IF(AND(Data!U437&gt;(TODAY()-(Data_Val!$L$3*365.25)),Data!U437&lt;=(TODAY()-(Data_Val!$L$2*365.25))),0,1),1))</f>
        <v/>
      </c>
      <c r="AB437" s="11"/>
      <c r="AC437" s="11" t="e">
        <f>IF(Data!#REF!="","",IF(ISNUMBER(MATCH(Data!#REF!,Data_Val!$A$2:$A$3,0)),0,1))</f>
        <v>#REF!</v>
      </c>
      <c r="AD437" s="11" t="e">
        <f ca="1">IF(Data!#REF!="","",IF(ISNUMBER(Data!#REF!),IF(AND(Data!#REF!&gt;(TODAY()-(Data_Val!$L$3*365.25)),Data!#REF!&lt;=(TODAY()-(Data_Val!$L$2*365.25))),0,1),1))</f>
        <v>#REF!</v>
      </c>
      <c r="AE437" s="11" t="e">
        <f>IF(Data!#REF!="","",IF(Data!$G437="",1,IF(ISNUMBER(MATCH(Data!#REF!,Data_Val!$D$2:$D$10,0)),0,1)))</f>
        <v>#REF!</v>
      </c>
      <c r="AF437" s="12"/>
      <c r="AG437" s="12" t="e">
        <f>IF(Data!#REF!="","",IF(ISNUMBER(MATCH(Data!#REF!,Data_Val!$A$2:$A$3,0)),0,1))</f>
        <v>#REF!</v>
      </c>
      <c r="AH437" s="26" t="e">
        <f ca="1">IF(Data!#REF!="","",IF(ISNUMBER(Data!#REF!),IF(AND(Data!#REF!&gt;(TODAY()-(Data_Val!$L$3*365.25)),Data!#REF!&lt;=(TODAY()-(Data_Val!$L$2*365.25))),0,1),1))</f>
        <v>#REF!</v>
      </c>
      <c r="AI437" s="12" t="e">
        <f>IF(Data!#REF!="","",IF(Data!$G437="",1,IF(ISNUMBER(MATCH(Data!#REF!,Data_Val!$D$2:$D$10,0)),0,1)))</f>
        <v>#REF!</v>
      </c>
      <c r="AJ437" s="17"/>
      <c r="AK437" s="17" t="e">
        <f>IF(Data!#REF!="","",IF(ISNUMBER(MATCH(Data!#REF!,Data_Val!$A$2:$A$3,0)),0,1))</f>
        <v>#REF!</v>
      </c>
      <c r="AL437" s="25" t="e">
        <f ca="1">IF(Data!#REF!="","",IF(ISNUMBER(Data!#REF!),IF(AND(Data!#REF!&gt;(TODAY()-(Data_Val!$L$3*365.25)),Data!#REF!&lt;=(TODAY()-(Data_Val!$L$2*365.25))),0,1),1))</f>
        <v>#REF!</v>
      </c>
      <c r="AM437" s="17" t="e">
        <f>IF(Data!#REF!="","",IF(Data!$G437="",1,IF(ISNUMBER(MATCH(Data!#REF!,Data_Val!$D$2:$D$10,0)),0,1)))</f>
        <v>#REF!</v>
      </c>
      <c r="AN437" s="13"/>
      <c r="AO437" s="28" t="e">
        <f ca="1">IF(Data!#REF!="","",IF(ISNUMBER(Data!#REF!),IF(AND(Data!#REF!&gt;(TODAY()-(Data_Val!$I$3*365.25)),Data!#REF!&lt;=(TODAY()-(Data_Val!$I$2*365.25))),0,1),1))</f>
        <v>#REF!</v>
      </c>
      <c r="AP437" s="13" t="e">
        <f>IF(Data!#REF!="","",IF(Data!$G437="",1,IF(ISNUMBER(MATCH(Data!#REF!,Data_Val!$D$2:$D$10,0)),0,1)))</f>
        <v>#REF!</v>
      </c>
      <c r="AQ437" s="17"/>
      <c r="AR437" s="30" t="e">
        <f ca="1">IF(Data!#REF!="","",IF(ISNUMBER(Data!#REF!),IF(AND(Data!#REF!&gt;(TODAY()-(Data_Val!$I$3*365.25)),Data!#REF!&lt;=(TODAY()-(Data_Val!$I$2*365.25))),0,1),1))</f>
        <v>#REF!</v>
      </c>
      <c r="AS437" s="31" t="e">
        <f>IF(Data!#REF!="","",IF(Data!$G437="",1,IF(ISNUMBER(MATCH(Data!#REF!,Data_Val!$D$2:$D$10,0)),0,1)))</f>
        <v>#REF!</v>
      </c>
      <c r="AT437" s="11"/>
      <c r="AU437" s="11" t="e">
        <f ca="1">IF(Data!#REF!="","",IF(ISNUMBER(Data!#REF!),IF(AND(Data!#REF!&gt;(TODAY()-(Data_Val!$I$3*365.25)),Data!#REF!&lt;=(TODAY()-(Data_Val!$I$2*365.25))),0,1),1))</f>
        <v>#REF!</v>
      </c>
      <c r="AV437" s="11" t="e">
        <f>IF(Data!#REF!="","",IF(Data!$G437="",1,IF(ISNUMBER(MATCH(Data!#REF!,Data_Val!$D$2:$D$10,0)),0,1)))</f>
        <v>#REF!</v>
      </c>
      <c r="AW437" s="12"/>
      <c r="AX437" s="26" t="e">
        <f ca="1">IF(Data!#REF!="","",IF(ISNUMBER(Data!#REF!),IF(AND(Data!#REF!&gt;(TODAY()-(Data_Val!$I$3*365.25)),Data!#REF!&lt;=(TODAY()-(Data_Val!$I$2*365.25))),0,1),1))</f>
        <v>#REF!</v>
      </c>
      <c r="AY437" s="12" t="e">
        <f>IF(Data!#REF!="","",IF(Data!$G437="",1,IF(ISNUMBER(MATCH(Data!#REF!,Data_Val!$D$2:$D$10,0)),0,1)))</f>
        <v>#REF!</v>
      </c>
      <c r="AZ437" s="11"/>
      <c r="BA437" s="19" t="e">
        <f ca="1">IF(Data!#REF!="","",IF(ISNUMBER(Data!#REF!),IF(AND(Data!#REF!&gt;(TODAY()-(Data_Val!$M$3*365.25)),Data!#REF!&lt;=(TODAY()-(Data_Val!$M$2*365.25))),0,1),1))</f>
        <v>#REF!</v>
      </c>
      <c r="BB437" s="11" t="e">
        <f>IF(Data!#REF!="","",IF(Data!$G437="",1,IF(ISNUMBER(MATCH(Data!#REF!,Data_Val!$D$2:$D$10,0)),0,1)))</f>
        <v>#REF!</v>
      </c>
      <c r="BC437" s="12"/>
      <c r="BD437" s="20" t="e">
        <f ca="1">IF(Data!#REF!="","",IF(ISNUMBER(Data!#REF!),IF(AND(Data!#REF!&gt;(TODAY()-(Data_Val!$M$3*365.25)),Data!#REF!&lt;=(TODAY()-(Data_Val!$M$2*365.25))),0,1),1))</f>
        <v>#REF!</v>
      </c>
      <c r="BE437" s="12" t="e">
        <f>IF(Data!#REF!="","",IF(Data!$G437="",1,IF(ISNUMBER(MATCH(Data!#REF!,Data_Val!$D$2:$D$10,0)),0,1)))</f>
        <v>#REF!</v>
      </c>
      <c r="BF437" s="17"/>
      <c r="BG437" s="18" t="e">
        <f ca="1">IF(Data!#REF!="","",IF(ISNUMBER(Data!#REF!),IF(AND(Data!#REF!&gt;(TODAY()-(Data_Val!$M$3*365.25)),Data!#REF!&lt;=(TODAY()-(Data_Val!$M$2*365.25))),0,1),1))</f>
        <v>#REF!</v>
      </c>
      <c r="BH437" s="29" t="e">
        <f>IF(Data!#REF!="","",IF(Data!$G437="",1,IF(ISNUMBER(MATCH(Data!#REF!,Data_Val!$D$2:$D$10,0)),0,1)))</f>
        <v>#REF!</v>
      </c>
      <c r="BI437" s="13"/>
      <c r="BJ437" s="21" t="e">
        <f ca="1">IF(Data!#REF!="","",IF(ISNUMBER(Data!#REF!),IF(AND(Data!#REF!&gt;(TODAY()-(Data_Val!$M$3*365.25)),Data!#REF!&lt;=(TODAY()-(Data_Val!$M$2*365.25))),0,1),1))</f>
        <v>#REF!</v>
      </c>
      <c r="BK437" s="13" t="e">
        <f>IF(Data!#REF!="","",IF(Data!$G437="",1,IF(ISNUMBER(MATCH(Data!#REF!,Data_Val!$D$2:$D$10,0)),0,1)))</f>
        <v>#REF!</v>
      </c>
    </row>
    <row r="438" spans="1:63" x14ac:dyDescent="0.25">
      <c r="A438" s="9" t="str">
        <f>IF(Data!B438="","",IF(COUNTIFS(Data!A$1:'Data'!A438,Data!A438)&lt;=1,0,1))</f>
        <v/>
      </c>
      <c r="B438" s="9"/>
      <c r="C438" s="23" t="str">
        <f>IF(Data!C438="","",(IF(ISNUMBER(MATCH("*@*.?*",Data!C438,0)),0,1)+IF(COUNTIFS(Data!C$1:'Data'!C438,Data!C438)&gt;1,1,0)))</f>
        <v/>
      </c>
      <c r="D438" s="9" t="str">
        <f>IF(Data!B438="","",IF(ISNUMBER(Data!D438),IF(AND(Data!D438&gt;999999999,Data!D438&lt;=9999999999),IF(COUNTIFS(Data!D$1:'Data'!D438,Data!D438)&lt;=1,0,1),1),1))</f>
        <v/>
      </c>
      <c r="E438" s="9" t="str">
        <f>IF(Data!B438="","",IF(ISNUMBER(MATCH(Data!E438,Data_Val!$A$2:$A$3,0)),0,1))</f>
        <v/>
      </c>
      <c r="F438" s="9" t="str">
        <f ca="1">IF(Data!B438="","",IF(ISNUMBER(Data!F438),IF(AND(Data!F438&gt;(TODAY()-(Data_Val!$H$3*365.25)),Data!F438&lt;=(TODAY()-(Data_Val!$H$2*365.25))),0,1),1))</f>
        <v/>
      </c>
      <c r="G438" s="15" t="str">
        <f>IF(Data!B438="","",IF(AND(Data!G438="",Data!H438&lt;&gt;""),1,IF(Data!#REF!&lt;&gt;"",0,IF(ISNUMBER(MATCH(Data!G438,Data_Val!$C$2:$C$5,0)),0,1))))</f>
        <v/>
      </c>
      <c r="H438" s="15" t="str">
        <f>IF(Data!B438="","",IF(AND(Data!G438&lt;&gt;"",Data!H438=""),1,IF(Data!#REF!&lt;&gt;"",0,IF(Data!G438="",1,IF(ISNUMBER(MATCH(Data!H438,Data_Val!$D$2:$D$35,0)),0,1)))))</f>
        <v/>
      </c>
      <c r="I438" s="15" t="str">
        <f>IF(Data!B438="","",IF(Data!G438&lt;&gt;"",0,IF(ISNUMBER(MATCH(Data!#REF!,Data_Val!$E$2:$E$12,0)),0,1)))</f>
        <v/>
      </c>
      <c r="J438" s="16" t="e">
        <f>IF(OR(Data!B438="",Data!#REF!=""),"",IF(Data!#REF!="",1,0))</f>
        <v>#REF!</v>
      </c>
      <c r="K438" s="16" t="e">
        <f>IF(OR(Data!B438="",Data!#REF!=""),"",IF(Data!#REF!="",1,0))</f>
        <v>#REF!</v>
      </c>
      <c r="L438" s="16" t="e">
        <f>IF(OR(Data!B438="",Data!#REF!=""),"",IF(ISNUMBER(Data!#REF!),IF(AND(Data!#REF!&gt;Data_Val!$G$2,Data!#REF!&lt;=Data_Val!$G$3),0,1),1))</f>
        <v>#REF!</v>
      </c>
      <c r="M438" s="9" t="e">
        <f>IF(OR(Data!B438="",Data!#REF!=""),"",IF(ISNUMBER(MATCH(Data!#REF!,Data_Val!$F$1:$F$38,0)),0,1))</f>
        <v>#REF!</v>
      </c>
      <c r="N438" s="9" t="e">
        <f>IF(OR(Data!B438="",Data!#REF!=""),"",IF(Data!#REF!="",1,0))</f>
        <v>#REF!</v>
      </c>
      <c r="O438" s="17" t="e">
        <f>IF(Data!#REF!="","",IF(Data!#REF!="",1,0))</f>
        <v>#REF!</v>
      </c>
      <c r="P438" s="17" t="e">
        <f>IF(Data!#REF!="","",IF(ISNUMBER(MATCH(Data!#REF!,Data_Val!$A$2:$A$3,0)),0,1))</f>
        <v>#REF!</v>
      </c>
      <c r="Q438" s="25" t="e">
        <f ca="1">IF(Data!#REF!="","",IF(ISNUMBER(Data!#REF!),IF(AND(Data!#REF!&gt;(TODAY()-(Data_Val!$J$3*365.25)),Data!#REF!&lt;=(TODAY()-(Data_Val!$J$2*365.25))),0,1),1))</f>
        <v>#REF!</v>
      </c>
      <c r="R438" s="17" t="e">
        <f>IF(Data!#REF!="","",IF(ISNUMBER(MATCH(Data!#REF!,Data_Val!$B$2:$B$15,0)),0,1))</f>
        <v>#REF!</v>
      </c>
      <c r="S438" s="11" t="str">
        <f>IF(Data!G438="","",IF(Data!G438=Data_Val!$C$2,IF(Data!M438="",0,1),0))</f>
        <v/>
      </c>
      <c r="T438" s="11" t="str">
        <f>IF(Data!M438="","",IF(ISNUMBER(MATCH(Data!N438,Data_Val!$A$2:$A$3,0)),0,1))</f>
        <v/>
      </c>
      <c r="U438" s="11" t="str">
        <f ca="1">IF(Data!M438="","",IF(ISNUMBER(Data!O438),IF(AND(Data!O438&gt;(TODAY()-(Data_Val!$K$3*365.25)),Data!O438&lt;=(TODAY()-(Data_Val!$K$2*365.25))),0,1),1))</f>
        <v/>
      </c>
      <c r="V438" s="12" t="str">
        <f>IF(Data!G438="","",IF(Data!G438=Data_Val!$C$2,IF(Data!P438="",0,1),0))</f>
        <v/>
      </c>
      <c r="W438" s="12" t="str">
        <f>IF(Data!P438="","",IF(ISNUMBER(MATCH(Data!Q438,Data_Val!$A$2:$A$3,0)),0,1))</f>
        <v/>
      </c>
      <c r="X438" s="26" t="str">
        <f ca="1">IF(Data!P438="","",IF(ISNUMBER(Data!R438),IF(AND(Data!R438&gt;(TODAY()-(Data_Val!$L$3*365.25)),Data!R438&lt;=(TODAY()-(Data_Val!$L$2*365.25))),0,1),1))</f>
        <v/>
      </c>
      <c r="Y438" s="13" t="str">
        <f>IF(Data!$G438="","",IF(Data!$G438=Data_Val!$C$2,IF(Data!S438="",0,1),0))</f>
        <v/>
      </c>
      <c r="Z438" s="13" t="str">
        <f>IF(Data!S438="","",IF(ISNUMBER(MATCH(Data!T438,Data_Val!$A$2:$A$3,0)),0,1))</f>
        <v/>
      </c>
      <c r="AA438" s="28" t="str">
        <f ca="1">IF(Data!S438="","",IF(ISNUMBER(Data!U438),IF(AND(Data!U438&gt;(TODAY()-(Data_Val!$L$3*365.25)),Data!U438&lt;=(TODAY()-(Data_Val!$L$2*365.25))),0,1),1))</f>
        <v/>
      </c>
      <c r="AB438" s="11"/>
      <c r="AC438" s="11" t="e">
        <f>IF(Data!#REF!="","",IF(ISNUMBER(MATCH(Data!#REF!,Data_Val!$A$2:$A$3,0)),0,1))</f>
        <v>#REF!</v>
      </c>
      <c r="AD438" s="11" t="e">
        <f ca="1">IF(Data!#REF!="","",IF(ISNUMBER(Data!#REF!),IF(AND(Data!#REF!&gt;(TODAY()-(Data_Val!$L$3*365.25)),Data!#REF!&lt;=(TODAY()-(Data_Val!$L$2*365.25))),0,1),1))</f>
        <v>#REF!</v>
      </c>
      <c r="AE438" s="11" t="e">
        <f>IF(Data!#REF!="","",IF(Data!$G438="",1,IF(ISNUMBER(MATCH(Data!#REF!,Data_Val!$D$2:$D$10,0)),0,1)))</f>
        <v>#REF!</v>
      </c>
      <c r="AF438" s="12"/>
      <c r="AG438" s="12" t="e">
        <f>IF(Data!#REF!="","",IF(ISNUMBER(MATCH(Data!#REF!,Data_Val!$A$2:$A$3,0)),0,1))</f>
        <v>#REF!</v>
      </c>
      <c r="AH438" s="26" t="e">
        <f ca="1">IF(Data!#REF!="","",IF(ISNUMBER(Data!#REF!),IF(AND(Data!#REF!&gt;(TODAY()-(Data_Val!$L$3*365.25)),Data!#REF!&lt;=(TODAY()-(Data_Val!$L$2*365.25))),0,1),1))</f>
        <v>#REF!</v>
      </c>
      <c r="AI438" s="12" t="e">
        <f>IF(Data!#REF!="","",IF(Data!$G438="",1,IF(ISNUMBER(MATCH(Data!#REF!,Data_Val!$D$2:$D$10,0)),0,1)))</f>
        <v>#REF!</v>
      </c>
      <c r="AJ438" s="17"/>
      <c r="AK438" s="17" t="e">
        <f>IF(Data!#REF!="","",IF(ISNUMBER(MATCH(Data!#REF!,Data_Val!$A$2:$A$3,0)),0,1))</f>
        <v>#REF!</v>
      </c>
      <c r="AL438" s="25" t="e">
        <f ca="1">IF(Data!#REF!="","",IF(ISNUMBER(Data!#REF!),IF(AND(Data!#REF!&gt;(TODAY()-(Data_Val!$L$3*365.25)),Data!#REF!&lt;=(TODAY()-(Data_Val!$L$2*365.25))),0,1),1))</f>
        <v>#REF!</v>
      </c>
      <c r="AM438" s="17" t="e">
        <f>IF(Data!#REF!="","",IF(Data!$G438="",1,IF(ISNUMBER(MATCH(Data!#REF!,Data_Val!$D$2:$D$10,0)),0,1)))</f>
        <v>#REF!</v>
      </c>
      <c r="AN438" s="13"/>
      <c r="AO438" s="28" t="e">
        <f ca="1">IF(Data!#REF!="","",IF(ISNUMBER(Data!#REF!),IF(AND(Data!#REF!&gt;(TODAY()-(Data_Val!$I$3*365.25)),Data!#REF!&lt;=(TODAY()-(Data_Val!$I$2*365.25))),0,1),1))</f>
        <v>#REF!</v>
      </c>
      <c r="AP438" s="13" t="e">
        <f>IF(Data!#REF!="","",IF(Data!$G438="",1,IF(ISNUMBER(MATCH(Data!#REF!,Data_Val!$D$2:$D$10,0)),0,1)))</f>
        <v>#REF!</v>
      </c>
      <c r="AQ438" s="17"/>
      <c r="AR438" s="30" t="e">
        <f ca="1">IF(Data!#REF!="","",IF(ISNUMBER(Data!#REF!),IF(AND(Data!#REF!&gt;(TODAY()-(Data_Val!$I$3*365.25)),Data!#REF!&lt;=(TODAY()-(Data_Val!$I$2*365.25))),0,1),1))</f>
        <v>#REF!</v>
      </c>
      <c r="AS438" s="31" t="e">
        <f>IF(Data!#REF!="","",IF(Data!$G438="",1,IF(ISNUMBER(MATCH(Data!#REF!,Data_Val!$D$2:$D$10,0)),0,1)))</f>
        <v>#REF!</v>
      </c>
      <c r="AT438" s="11"/>
      <c r="AU438" s="11" t="e">
        <f ca="1">IF(Data!#REF!="","",IF(ISNUMBER(Data!#REF!),IF(AND(Data!#REF!&gt;(TODAY()-(Data_Val!$I$3*365.25)),Data!#REF!&lt;=(TODAY()-(Data_Val!$I$2*365.25))),0,1),1))</f>
        <v>#REF!</v>
      </c>
      <c r="AV438" s="11" t="e">
        <f>IF(Data!#REF!="","",IF(Data!$G438="",1,IF(ISNUMBER(MATCH(Data!#REF!,Data_Val!$D$2:$D$10,0)),0,1)))</f>
        <v>#REF!</v>
      </c>
      <c r="AW438" s="12"/>
      <c r="AX438" s="26" t="e">
        <f ca="1">IF(Data!#REF!="","",IF(ISNUMBER(Data!#REF!),IF(AND(Data!#REF!&gt;(TODAY()-(Data_Val!$I$3*365.25)),Data!#REF!&lt;=(TODAY()-(Data_Val!$I$2*365.25))),0,1),1))</f>
        <v>#REF!</v>
      </c>
      <c r="AY438" s="12" t="e">
        <f>IF(Data!#REF!="","",IF(Data!$G438="",1,IF(ISNUMBER(MATCH(Data!#REF!,Data_Val!$D$2:$D$10,0)),0,1)))</f>
        <v>#REF!</v>
      </c>
      <c r="AZ438" s="11"/>
      <c r="BA438" s="19" t="e">
        <f ca="1">IF(Data!#REF!="","",IF(ISNUMBER(Data!#REF!),IF(AND(Data!#REF!&gt;(TODAY()-(Data_Val!$M$3*365.25)),Data!#REF!&lt;=(TODAY()-(Data_Val!$M$2*365.25))),0,1),1))</f>
        <v>#REF!</v>
      </c>
      <c r="BB438" s="11" t="e">
        <f>IF(Data!#REF!="","",IF(Data!$G438="",1,IF(ISNUMBER(MATCH(Data!#REF!,Data_Val!$D$2:$D$10,0)),0,1)))</f>
        <v>#REF!</v>
      </c>
      <c r="BC438" s="12"/>
      <c r="BD438" s="20" t="e">
        <f ca="1">IF(Data!#REF!="","",IF(ISNUMBER(Data!#REF!),IF(AND(Data!#REF!&gt;(TODAY()-(Data_Val!$M$3*365.25)),Data!#REF!&lt;=(TODAY()-(Data_Val!$M$2*365.25))),0,1),1))</f>
        <v>#REF!</v>
      </c>
      <c r="BE438" s="12" t="e">
        <f>IF(Data!#REF!="","",IF(Data!$G438="",1,IF(ISNUMBER(MATCH(Data!#REF!,Data_Val!$D$2:$D$10,0)),0,1)))</f>
        <v>#REF!</v>
      </c>
      <c r="BF438" s="17"/>
      <c r="BG438" s="18" t="e">
        <f ca="1">IF(Data!#REF!="","",IF(ISNUMBER(Data!#REF!),IF(AND(Data!#REF!&gt;(TODAY()-(Data_Val!$M$3*365.25)),Data!#REF!&lt;=(TODAY()-(Data_Val!$M$2*365.25))),0,1),1))</f>
        <v>#REF!</v>
      </c>
      <c r="BH438" s="29" t="e">
        <f>IF(Data!#REF!="","",IF(Data!$G438="",1,IF(ISNUMBER(MATCH(Data!#REF!,Data_Val!$D$2:$D$10,0)),0,1)))</f>
        <v>#REF!</v>
      </c>
      <c r="BI438" s="13"/>
      <c r="BJ438" s="21" t="e">
        <f ca="1">IF(Data!#REF!="","",IF(ISNUMBER(Data!#REF!),IF(AND(Data!#REF!&gt;(TODAY()-(Data_Val!$M$3*365.25)),Data!#REF!&lt;=(TODAY()-(Data_Val!$M$2*365.25))),0,1),1))</f>
        <v>#REF!</v>
      </c>
      <c r="BK438" s="13" t="e">
        <f>IF(Data!#REF!="","",IF(Data!$G438="",1,IF(ISNUMBER(MATCH(Data!#REF!,Data_Val!$D$2:$D$10,0)),0,1)))</f>
        <v>#REF!</v>
      </c>
    </row>
    <row r="439" spans="1:63" x14ac:dyDescent="0.25">
      <c r="A439" s="9" t="str">
        <f>IF(Data!B439="","",IF(COUNTIFS(Data!A$1:'Data'!A439,Data!A439)&lt;=1,0,1))</f>
        <v/>
      </c>
      <c r="B439" s="9"/>
      <c r="C439" s="23" t="str">
        <f>IF(Data!C439="","",(IF(ISNUMBER(MATCH("*@*.?*",Data!C439,0)),0,1)+IF(COUNTIFS(Data!C$1:'Data'!C439,Data!C439)&gt;1,1,0)))</f>
        <v/>
      </c>
      <c r="D439" s="9" t="str">
        <f>IF(Data!B439="","",IF(ISNUMBER(Data!D439),IF(AND(Data!D439&gt;999999999,Data!D439&lt;=9999999999),IF(COUNTIFS(Data!D$1:'Data'!D439,Data!D439)&lt;=1,0,1),1),1))</f>
        <v/>
      </c>
      <c r="E439" s="9" t="str">
        <f>IF(Data!B439="","",IF(ISNUMBER(MATCH(Data!E439,Data_Val!$A$2:$A$3,0)),0,1))</f>
        <v/>
      </c>
      <c r="F439" s="9" t="str">
        <f ca="1">IF(Data!B439="","",IF(ISNUMBER(Data!F439),IF(AND(Data!F439&gt;(TODAY()-(Data_Val!$H$3*365.25)),Data!F439&lt;=(TODAY()-(Data_Val!$H$2*365.25))),0,1),1))</f>
        <v/>
      </c>
      <c r="G439" s="15" t="str">
        <f>IF(Data!B439="","",IF(AND(Data!G439="",Data!H439&lt;&gt;""),1,IF(Data!#REF!&lt;&gt;"",0,IF(ISNUMBER(MATCH(Data!G439,Data_Val!$C$2:$C$5,0)),0,1))))</f>
        <v/>
      </c>
      <c r="H439" s="15" t="str">
        <f>IF(Data!B439="","",IF(AND(Data!G439&lt;&gt;"",Data!H439=""),1,IF(Data!#REF!&lt;&gt;"",0,IF(Data!G439="",1,IF(ISNUMBER(MATCH(Data!H439,Data_Val!$D$2:$D$35,0)),0,1)))))</f>
        <v/>
      </c>
      <c r="I439" s="15" t="str">
        <f>IF(Data!B439="","",IF(Data!G439&lt;&gt;"",0,IF(ISNUMBER(MATCH(Data!#REF!,Data_Val!$E$2:$E$12,0)),0,1)))</f>
        <v/>
      </c>
      <c r="J439" s="16" t="e">
        <f>IF(OR(Data!B439="",Data!#REF!=""),"",IF(Data!#REF!="",1,0))</f>
        <v>#REF!</v>
      </c>
      <c r="K439" s="16" t="e">
        <f>IF(OR(Data!B439="",Data!#REF!=""),"",IF(Data!#REF!="",1,0))</f>
        <v>#REF!</v>
      </c>
      <c r="L439" s="16" t="e">
        <f>IF(OR(Data!B439="",Data!#REF!=""),"",IF(ISNUMBER(Data!#REF!),IF(AND(Data!#REF!&gt;Data_Val!$G$2,Data!#REF!&lt;=Data_Val!$G$3),0,1),1))</f>
        <v>#REF!</v>
      </c>
      <c r="M439" s="9" t="e">
        <f>IF(OR(Data!B439="",Data!#REF!=""),"",IF(ISNUMBER(MATCH(Data!#REF!,Data_Val!$F$1:$F$38,0)),0,1))</f>
        <v>#REF!</v>
      </c>
      <c r="N439" s="9" t="e">
        <f>IF(OR(Data!B439="",Data!#REF!=""),"",IF(Data!#REF!="",1,0))</f>
        <v>#REF!</v>
      </c>
      <c r="O439" s="17" t="e">
        <f>IF(Data!#REF!="","",IF(Data!#REF!="",1,0))</f>
        <v>#REF!</v>
      </c>
      <c r="P439" s="17" t="e">
        <f>IF(Data!#REF!="","",IF(ISNUMBER(MATCH(Data!#REF!,Data_Val!$A$2:$A$3,0)),0,1))</f>
        <v>#REF!</v>
      </c>
      <c r="Q439" s="25" t="e">
        <f ca="1">IF(Data!#REF!="","",IF(ISNUMBER(Data!#REF!),IF(AND(Data!#REF!&gt;(TODAY()-(Data_Val!$J$3*365.25)),Data!#REF!&lt;=(TODAY()-(Data_Val!$J$2*365.25))),0,1),1))</f>
        <v>#REF!</v>
      </c>
      <c r="R439" s="17" t="e">
        <f>IF(Data!#REF!="","",IF(ISNUMBER(MATCH(Data!#REF!,Data_Val!$B$2:$B$15,0)),0,1))</f>
        <v>#REF!</v>
      </c>
      <c r="S439" s="11" t="str">
        <f>IF(Data!G439="","",IF(Data!G439=Data_Val!$C$2,IF(Data!M439="",0,1),0))</f>
        <v/>
      </c>
      <c r="T439" s="11" t="str">
        <f>IF(Data!M439="","",IF(ISNUMBER(MATCH(Data!N439,Data_Val!$A$2:$A$3,0)),0,1))</f>
        <v/>
      </c>
      <c r="U439" s="11" t="str">
        <f ca="1">IF(Data!M439="","",IF(ISNUMBER(Data!O439),IF(AND(Data!O439&gt;(TODAY()-(Data_Val!$K$3*365.25)),Data!O439&lt;=(TODAY()-(Data_Val!$K$2*365.25))),0,1),1))</f>
        <v/>
      </c>
      <c r="V439" s="12" t="str">
        <f>IF(Data!G439="","",IF(Data!G439=Data_Val!$C$2,IF(Data!P439="",0,1),0))</f>
        <v/>
      </c>
      <c r="W439" s="12" t="str">
        <f>IF(Data!P439="","",IF(ISNUMBER(MATCH(Data!Q439,Data_Val!$A$2:$A$3,0)),0,1))</f>
        <v/>
      </c>
      <c r="X439" s="26" t="str">
        <f ca="1">IF(Data!P439="","",IF(ISNUMBER(Data!R439),IF(AND(Data!R439&gt;(TODAY()-(Data_Val!$L$3*365.25)),Data!R439&lt;=(TODAY()-(Data_Val!$L$2*365.25))),0,1),1))</f>
        <v/>
      </c>
      <c r="Y439" s="13" t="str">
        <f>IF(Data!$G439="","",IF(Data!$G439=Data_Val!$C$2,IF(Data!S439="",0,1),0))</f>
        <v/>
      </c>
      <c r="Z439" s="13" t="str">
        <f>IF(Data!S439="","",IF(ISNUMBER(MATCH(Data!T439,Data_Val!$A$2:$A$3,0)),0,1))</f>
        <v/>
      </c>
      <c r="AA439" s="28" t="str">
        <f ca="1">IF(Data!S439="","",IF(ISNUMBER(Data!U439),IF(AND(Data!U439&gt;(TODAY()-(Data_Val!$L$3*365.25)),Data!U439&lt;=(TODAY()-(Data_Val!$L$2*365.25))),0,1),1))</f>
        <v/>
      </c>
      <c r="AB439" s="11"/>
      <c r="AC439" s="11" t="e">
        <f>IF(Data!#REF!="","",IF(ISNUMBER(MATCH(Data!#REF!,Data_Val!$A$2:$A$3,0)),0,1))</f>
        <v>#REF!</v>
      </c>
      <c r="AD439" s="11" t="e">
        <f ca="1">IF(Data!#REF!="","",IF(ISNUMBER(Data!#REF!),IF(AND(Data!#REF!&gt;(TODAY()-(Data_Val!$L$3*365.25)),Data!#REF!&lt;=(TODAY()-(Data_Val!$L$2*365.25))),0,1),1))</f>
        <v>#REF!</v>
      </c>
      <c r="AE439" s="11" t="e">
        <f>IF(Data!#REF!="","",IF(Data!$G439="",1,IF(ISNUMBER(MATCH(Data!#REF!,Data_Val!$D$2:$D$10,0)),0,1)))</f>
        <v>#REF!</v>
      </c>
      <c r="AF439" s="12"/>
      <c r="AG439" s="12" t="e">
        <f>IF(Data!#REF!="","",IF(ISNUMBER(MATCH(Data!#REF!,Data_Val!$A$2:$A$3,0)),0,1))</f>
        <v>#REF!</v>
      </c>
      <c r="AH439" s="26" t="e">
        <f ca="1">IF(Data!#REF!="","",IF(ISNUMBER(Data!#REF!),IF(AND(Data!#REF!&gt;(TODAY()-(Data_Val!$L$3*365.25)),Data!#REF!&lt;=(TODAY()-(Data_Val!$L$2*365.25))),0,1),1))</f>
        <v>#REF!</v>
      </c>
      <c r="AI439" s="12" t="e">
        <f>IF(Data!#REF!="","",IF(Data!$G439="",1,IF(ISNUMBER(MATCH(Data!#REF!,Data_Val!$D$2:$D$10,0)),0,1)))</f>
        <v>#REF!</v>
      </c>
      <c r="AJ439" s="17"/>
      <c r="AK439" s="17" t="e">
        <f>IF(Data!#REF!="","",IF(ISNUMBER(MATCH(Data!#REF!,Data_Val!$A$2:$A$3,0)),0,1))</f>
        <v>#REF!</v>
      </c>
      <c r="AL439" s="25" t="e">
        <f ca="1">IF(Data!#REF!="","",IF(ISNUMBER(Data!#REF!),IF(AND(Data!#REF!&gt;(TODAY()-(Data_Val!$L$3*365.25)),Data!#REF!&lt;=(TODAY()-(Data_Val!$L$2*365.25))),0,1),1))</f>
        <v>#REF!</v>
      </c>
      <c r="AM439" s="17" t="e">
        <f>IF(Data!#REF!="","",IF(Data!$G439="",1,IF(ISNUMBER(MATCH(Data!#REF!,Data_Val!$D$2:$D$10,0)),0,1)))</f>
        <v>#REF!</v>
      </c>
      <c r="AN439" s="13"/>
      <c r="AO439" s="28" t="e">
        <f ca="1">IF(Data!#REF!="","",IF(ISNUMBER(Data!#REF!),IF(AND(Data!#REF!&gt;(TODAY()-(Data_Val!$I$3*365.25)),Data!#REF!&lt;=(TODAY()-(Data_Val!$I$2*365.25))),0,1),1))</f>
        <v>#REF!</v>
      </c>
      <c r="AP439" s="13" t="e">
        <f>IF(Data!#REF!="","",IF(Data!$G439="",1,IF(ISNUMBER(MATCH(Data!#REF!,Data_Val!$D$2:$D$10,0)),0,1)))</f>
        <v>#REF!</v>
      </c>
      <c r="AQ439" s="17"/>
      <c r="AR439" s="30" t="e">
        <f ca="1">IF(Data!#REF!="","",IF(ISNUMBER(Data!#REF!),IF(AND(Data!#REF!&gt;(TODAY()-(Data_Val!$I$3*365.25)),Data!#REF!&lt;=(TODAY()-(Data_Val!$I$2*365.25))),0,1),1))</f>
        <v>#REF!</v>
      </c>
      <c r="AS439" s="31" t="e">
        <f>IF(Data!#REF!="","",IF(Data!$G439="",1,IF(ISNUMBER(MATCH(Data!#REF!,Data_Val!$D$2:$D$10,0)),0,1)))</f>
        <v>#REF!</v>
      </c>
      <c r="AT439" s="11"/>
      <c r="AU439" s="11" t="e">
        <f ca="1">IF(Data!#REF!="","",IF(ISNUMBER(Data!#REF!),IF(AND(Data!#REF!&gt;(TODAY()-(Data_Val!$I$3*365.25)),Data!#REF!&lt;=(TODAY()-(Data_Val!$I$2*365.25))),0,1),1))</f>
        <v>#REF!</v>
      </c>
      <c r="AV439" s="11" t="e">
        <f>IF(Data!#REF!="","",IF(Data!$G439="",1,IF(ISNUMBER(MATCH(Data!#REF!,Data_Val!$D$2:$D$10,0)),0,1)))</f>
        <v>#REF!</v>
      </c>
      <c r="AW439" s="12"/>
      <c r="AX439" s="26" t="e">
        <f ca="1">IF(Data!#REF!="","",IF(ISNUMBER(Data!#REF!),IF(AND(Data!#REF!&gt;(TODAY()-(Data_Val!$I$3*365.25)),Data!#REF!&lt;=(TODAY()-(Data_Val!$I$2*365.25))),0,1),1))</f>
        <v>#REF!</v>
      </c>
      <c r="AY439" s="12" t="e">
        <f>IF(Data!#REF!="","",IF(Data!$G439="",1,IF(ISNUMBER(MATCH(Data!#REF!,Data_Val!$D$2:$D$10,0)),0,1)))</f>
        <v>#REF!</v>
      </c>
      <c r="AZ439" s="11"/>
      <c r="BA439" s="19" t="e">
        <f ca="1">IF(Data!#REF!="","",IF(ISNUMBER(Data!#REF!),IF(AND(Data!#REF!&gt;(TODAY()-(Data_Val!$M$3*365.25)),Data!#REF!&lt;=(TODAY()-(Data_Val!$M$2*365.25))),0,1),1))</f>
        <v>#REF!</v>
      </c>
      <c r="BB439" s="11" t="e">
        <f>IF(Data!#REF!="","",IF(Data!$G439="",1,IF(ISNUMBER(MATCH(Data!#REF!,Data_Val!$D$2:$D$10,0)),0,1)))</f>
        <v>#REF!</v>
      </c>
      <c r="BC439" s="12"/>
      <c r="BD439" s="20" t="e">
        <f ca="1">IF(Data!#REF!="","",IF(ISNUMBER(Data!#REF!),IF(AND(Data!#REF!&gt;(TODAY()-(Data_Val!$M$3*365.25)),Data!#REF!&lt;=(TODAY()-(Data_Val!$M$2*365.25))),0,1),1))</f>
        <v>#REF!</v>
      </c>
      <c r="BE439" s="12" t="e">
        <f>IF(Data!#REF!="","",IF(Data!$G439="",1,IF(ISNUMBER(MATCH(Data!#REF!,Data_Val!$D$2:$D$10,0)),0,1)))</f>
        <v>#REF!</v>
      </c>
      <c r="BF439" s="17"/>
      <c r="BG439" s="18" t="e">
        <f ca="1">IF(Data!#REF!="","",IF(ISNUMBER(Data!#REF!),IF(AND(Data!#REF!&gt;(TODAY()-(Data_Val!$M$3*365.25)),Data!#REF!&lt;=(TODAY()-(Data_Val!$M$2*365.25))),0,1),1))</f>
        <v>#REF!</v>
      </c>
      <c r="BH439" s="29" t="e">
        <f>IF(Data!#REF!="","",IF(Data!$G439="",1,IF(ISNUMBER(MATCH(Data!#REF!,Data_Val!$D$2:$D$10,0)),0,1)))</f>
        <v>#REF!</v>
      </c>
      <c r="BI439" s="13"/>
      <c r="BJ439" s="21" t="e">
        <f ca="1">IF(Data!#REF!="","",IF(ISNUMBER(Data!#REF!),IF(AND(Data!#REF!&gt;(TODAY()-(Data_Val!$M$3*365.25)),Data!#REF!&lt;=(TODAY()-(Data_Val!$M$2*365.25))),0,1),1))</f>
        <v>#REF!</v>
      </c>
      <c r="BK439" s="13" t="e">
        <f>IF(Data!#REF!="","",IF(Data!$G439="",1,IF(ISNUMBER(MATCH(Data!#REF!,Data_Val!$D$2:$D$10,0)),0,1)))</f>
        <v>#REF!</v>
      </c>
    </row>
    <row r="440" spans="1:63" x14ac:dyDescent="0.25">
      <c r="A440" s="9" t="str">
        <f>IF(Data!B440="","",IF(COUNTIFS(Data!A$1:'Data'!A440,Data!A440)&lt;=1,0,1))</f>
        <v/>
      </c>
      <c r="B440" s="9"/>
      <c r="C440" s="23" t="str">
        <f>IF(Data!C440="","",(IF(ISNUMBER(MATCH("*@*.?*",Data!C440,0)),0,1)+IF(COUNTIFS(Data!C$1:'Data'!C440,Data!C440)&gt;1,1,0)))</f>
        <v/>
      </c>
      <c r="D440" s="9" t="str">
        <f>IF(Data!B440="","",IF(ISNUMBER(Data!D440),IF(AND(Data!D440&gt;999999999,Data!D440&lt;=9999999999),IF(COUNTIFS(Data!D$1:'Data'!D440,Data!D440)&lt;=1,0,1),1),1))</f>
        <v/>
      </c>
      <c r="E440" s="9" t="str">
        <f>IF(Data!B440="","",IF(ISNUMBER(MATCH(Data!E440,Data_Val!$A$2:$A$3,0)),0,1))</f>
        <v/>
      </c>
      <c r="F440" s="9" t="str">
        <f ca="1">IF(Data!B440="","",IF(ISNUMBER(Data!F440),IF(AND(Data!F440&gt;(TODAY()-(Data_Val!$H$3*365.25)),Data!F440&lt;=(TODAY()-(Data_Val!$H$2*365.25))),0,1),1))</f>
        <v/>
      </c>
      <c r="G440" s="15" t="str">
        <f>IF(Data!B440="","",IF(AND(Data!G440="",Data!H440&lt;&gt;""),1,IF(Data!#REF!&lt;&gt;"",0,IF(ISNUMBER(MATCH(Data!G440,Data_Val!$C$2:$C$5,0)),0,1))))</f>
        <v/>
      </c>
      <c r="H440" s="15" t="str">
        <f>IF(Data!B440="","",IF(AND(Data!G440&lt;&gt;"",Data!H440=""),1,IF(Data!#REF!&lt;&gt;"",0,IF(Data!G440="",1,IF(ISNUMBER(MATCH(Data!H440,Data_Val!$D$2:$D$35,0)),0,1)))))</f>
        <v/>
      </c>
      <c r="I440" s="15" t="str">
        <f>IF(Data!B440="","",IF(Data!G440&lt;&gt;"",0,IF(ISNUMBER(MATCH(Data!#REF!,Data_Val!$E$2:$E$12,0)),0,1)))</f>
        <v/>
      </c>
      <c r="J440" s="16" t="e">
        <f>IF(OR(Data!B440="",Data!#REF!=""),"",IF(Data!#REF!="",1,0))</f>
        <v>#REF!</v>
      </c>
      <c r="K440" s="16" t="e">
        <f>IF(OR(Data!B440="",Data!#REF!=""),"",IF(Data!#REF!="",1,0))</f>
        <v>#REF!</v>
      </c>
      <c r="L440" s="16" t="e">
        <f>IF(OR(Data!B440="",Data!#REF!=""),"",IF(ISNUMBER(Data!#REF!),IF(AND(Data!#REF!&gt;Data_Val!$G$2,Data!#REF!&lt;=Data_Val!$G$3),0,1),1))</f>
        <v>#REF!</v>
      </c>
      <c r="M440" s="9" t="e">
        <f>IF(OR(Data!B440="",Data!#REF!=""),"",IF(ISNUMBER(MATCH(Data!#REF!,Data_Val!$F$1:$F$38,0)),0,1))</f>
        <v>#REF!</v>
      </c>
      <c r="N440" s="9" t="e">
        <f>IF(OR(Data!B440="",Data!#REF!=""),"",IF(Data!#REF!="",1,0))</f>
        <v>#REF!</v>
      </c>
      <c r="O440" s="17" t="e">
        <f>IF(Data!#REF!="","",IF(Data!#REF!="",1,0))</f>
        <v>#REF!</v>
      </c>
      <c r="P440" s="17" t="e">
        <f>IF(Data!#REF!="","",IF(ISNUMBER(MATCH(Data!#REF!,Data_Val!$A$2:$A$3,0)),0,1))</f>
        <v>#REF!</v>
      </c>
      <c r="Q440" s="25" t="e">
        <f ca="1">IF(Data!#REF!="","",IF(ISNUMBER(Data!#REF!),IF(AND(Data!#REF!&gt;(TODAY()-(Data_Val!$J$3*365.25)),Data!#REF!&lt;=(TODAY()-(Data_Val!$J$2*365.25))),0,1),1))</f>
        <v>#REF!</v>
      </c>
      <c r="R440" s="17" t="e">
        <f>IF(Data!#REF!="","",IF(ISNUMBER(MATCH(Data!#REF!,Data_Val!$B$2:$B$15,0)),0,1))</f>
        <v>#REF!</v>
      </c>
      <c r="S440" s="11" t="str">
        <f>IF(Data!G440="","",IF(Data!G440=Data_Val!$C$2,IF(Data!M440="",0,1),0))</f>
        <v/>
      </c>
      <c r="T440" s="11" t="str">
        <f>IF(Data!M440="","",IF(ISNUMBER(MATCH(Data!N440,Data_Val!$A$2:$A$3,0)),0,1))</f>
        <v/>
      </c>
      <c r="U440" s="11" t="str">
        <f ca="1">IF(Data!M440="","",IF(ISNUMBER(Data!O440),IF(AND(Data!O440&gt;(TODAY()-(Data_Val!$K$3*365.25)),Data!O440&lt;=(TODAY()-(Data_Val!$K$2*365.25))),0,1),1))</f>
        <v/>
      </c>
      <c r="V440" s="12" t="str">
        <f>IF(Data!G440="","",IF(Data!G440=Data_Val!$C$2,IF(Data!P440="",0,1),0))</f>
        <v/>
      </c>
      <c r="W440" s="12" t="str">
        <f>IF(Data!P440="","",IF(ISNUMBER(MATCH(Data!Q440,Data_Val!$A$2:$A$3,0)),0,1))</f>
        <v/>
      </c>
      <c r="X440" s="26" t="str">
        <f ca="1">IF(Data!P440="","",IF(ISNUMBER(Data!R440),IF(AND(Data!R440&gt;(TODAY()-(Data_Val!$L$3*365.25)),Data!R440&lt;=(TODAY()-(Data_Val!$L$2*365.25))),0,1),1))</f>
        <v/>
      </c>
      <c r="Y440" s="13" t="str">
        <f>IF(Data!$G440="","",IF(Data!$G440=Data_Val!$C$2,IF(Data!S440="",0,1),0))</f>
        <v/>
      </c>
      <c r="Z440" s="13" t="str">
        <f>IF(Data!S440="","",IF(ISNUMBER(MATCH(Data!T440,Data_Val!$A$2:$A$3,0)),0,1))</f>
        <v/>
      </c>
      <c r="AA440" s="28" t="str">
        <f ca="1">IF(Data!S440="","",IF(ISNUMBER(Data!U440),IF(AND(Data!U440&gt;(TODAY()-(Data_Val!$L$3*365.25)),Data!U440&lt;=(TODAY()-(Data_Val!$L$2*365.25))),0,1),1))</f>
        <v/>
      </c>
      <c r="AB440" s="11"/>
      <c r="AC440" s="11" t="e">
        <f>IF(Data!#REF!="","",IF(ISNUMBER(MATCH(Data!#REF!,Data_Val!$A$2:$A$3,0)),0,1))</f>
        <v>#REF!</v>
      </c>
      <c r="AD440" s="11" t="e">
        <f ca="1">IF(Data!#REF!="","",IF(ISNUMBER(Data!#REF!),IF(AND(Data!#REF!&gt;(TODAY()-(Data_Val!$L$3*365.25)),Data!#REF!&lt;=(TODAY()-(Data_Val!$L$2*365.25))),0,1),1))</f>
        <v>#REF!</v>
      </c>
      <c r="AE440" s="11" t="e">
        <f>IF(Data!#REF!="","",IF(Data!$G440="",1,IF(ISNUMBER(MATCH(Data!#REF!,Data_Val!$D$2:$D$10,0)),0,1)))</f>
        <v>#REF!</v>
      </c>
      <c r="AF440" s="12"/>
      <c r="AG440" s="12" t="e">
        <f>IF(Data!#REF!="","",IF(ISNUMBER(MATCH(Data!#REF!,Data_Val!$A$2:$A$3,0)),0,1))</f>
        <v>#REF!</v>
      </c>
      <c r="AH440" s="26" t="e">
        <f ca="1">IF(Data!#REF!="","",IF(ISNUMBER(Data!#REF!),IF(AND(Data!#REF!&gt;(TODAY()-(Data_Val!$L$3*365.25)),Data!#REF!&lt;=(TODAY()-(Data_Val!$L$2*365.25))),0,1),1))</f>
        <v>#REF!</v>
      </c>
      <c r="AI440" s="12" t="e">
        <f>IF(Data!#REF!="","",IF(Data!$G440="",1,IF(ISNUMBER(MATCH(Data!#REF!,Data_Val!$D$2:$D$10,0)),0,1)))</f>
        <v>#REF!</v>
      </c>
      <c r="AJ440" s="17"/>
      <c r="AK440" s="17" t="e">
        <f>IF(Data!#REF!="","",IF(ISNUMBER(MATCH(Data!#REF!,Data_Val!$A$2:$A$3,0)),0,1))</f>
        <v>#REF!</v>
      </c>
      <c r="AL440" s="25" t="e">
        <f ca="1">IF(Data!#REF!="","",IF(ISNUMBER(Data!#REF!),IF(AND(Data!#REF!&gt;(TODAY()-(Data_Val!$L$3*365.25)),Data!#REF!&lt;=(TODAY()-(Data_Val!$L$2*365.25))),0,1),1))</f>
        <v>#REF!</v>
      </c>
      <c r="AM440" s="17" t="e">
        <f>IF(Data!#REF!="","",IF(Data!$G440="",1,IF(ISNUMBER(MATCH(Data!#REF!,Data_Val!$D$2:$D$10,0)),0,1)))</f>
        <v>#REF!</v>
      </c>
      <c r="AN440" s="13"/>
      <c r="AO440" s="28" t="e">
        <f ca="1">IF(Data!#REF!="","",IF(ISNUMBER(Data!#REF!),IF(AND(Data!#REF!&gt;(TODAY()-(Data_Val!$I$3*365.25)),Data!#REF!&lt;=(TODAY()-(Data_Val!$I$2*365.25))),0,1),1))</f>
        <v>#REF!</v>
      </c>
      <c r="AP440" s="13" t="e">
        <f>IF(Data!#REF!="","",IF(Data!$G440="",1,IF(ISNUMBER(MATCH(Data!#REF!,Data_Val!$D$2:$D$10,0)),0,1)))</f>
        <v>#REF!</v>
      </c>
      <c r="AQ440" s="17"/>
      <c r="AR440" s="30" t="e">
        <f ca="1">IF(Data!#REF!="","",IF(ISNUMBER(Data!#REF!),IF(AND(Data!#REF!&gt;(TODAY()-(Data_Val!$I$3*365.25)),Data!#REF!&lt;=(TODAY()-(Data_Val!$I$2*365.25))),0,1),1))</f>
        <v>#REF!</v>
      </c>
      <c r="AS440" s="31" t="e">
        <f>IF(Data!#REF!="","",IF(Data!$G440="",1,IF(ISNUMBER(MATCH(Data!#REF!,Data_Val!$D$2:$D$10,0)),0,1)))</f>
        <v>#REF!</v>
      </c>
      <c r="AT440" s="11"/>
      <c r="AU440" s="11" t="e">
        <f ca="1">IF(Data!#REF!="","",IF(ISNUMBER(Data!#REF!),IF(AND(Data!#REF!&gt;(TODAY()-(Data_Val!$I$3*365.25)),Data!#REF!&lt;=(TODAY()-(Data_Val!$I$2*365.25))),0,1),1))</f>
        <v>#REF!</v>
      </c>
      <c r="AV440" s="11" t="e">
        <f>IF(Data!#REF!="","",IF(Data!$G440="",1,IF(ISNUMBER(MATCH(Data!#REF!,Data_Val!$D$2:$D$10,0)),0,1)))</f>
        <v>#REF!</v>
      </c>
      <c r="AW440" s="12"/>
      <c r="AX440" s="26" t="e">
        <f ca="1">IF(Data!#REF!="","",IF(ISNUMBER(Data!#REF!),IF(AND(Data!#REF!&gt;(TODAY()-(Data_Val!$I$3*365.25)),Data!#REF!&lt;=(TODAY()-(Data_Val!$I$2*365.25))),0,1),1))</f>
        <v>#REF!</v>
      </c>
      <c r="AY440" s="12" t="e">
        <f>IF(Data!#REF!="","",IF(Data!$G440="",1,IF(ISNUMBER(MATCH(Data!#REF!,Data_Val!$D$2:$D$10,0)),0,1)))</f>
        <v>#REF!</v>
      </c>
      <c r="AZ440" s="11"/>
      <c r="BA440" s="19" t="e">
        <f ca="1">IF(Data!#REF!="","",IF(ISNUMBER(Data!#REF!),IF(AND(Data!#REF!&gt;(TODAY()-(Data_Val!$M$3*365.25)),Data!#REF!&lt;=(TODAY()-(Data_Val!$M$2*365.25))),0,1),1))</f>
        <v>#REF!</v>
      </c>
      <c r="BB440" s="11" t="e">
        <f>IF(Data!#REF!="","",IF(Data!$G440="",1,IF(ISNUMBER(MATCH(Data!#REF!,Data_Val!$D$2:$D$10,0)),0,1)))</f>
        <v>#REF!</v>
      </c>
      <c r="BC440" s="12"/>
      <c r="BD440" s="20" t="e">
        <f ca="1">IF(Data!#REF!="","",IF(ISNUMBER(Data!#REF!),IF(AND(Data!#REF!&gt;(TODAY()-(Data_Val!$M$3*365.25)),Data!#REF!&lt;=(TODAY()-(Data_Val!$M$2*365.25))),0,1),1))</f>
        <v>#REF!</v>
      </c>
      <c r="BE440" s="12" t="e">
        <f>IF(Data!#REF!="","",IF(Data!$G440="",1,IF(ISNUMBER(MATCH(Data!#REF!,Data_Val!$D$2:$D$10,0)),0,1)))</f>
        <v>#REF!</v>
      </c>
      <c r="BF440" s="17"/>
      <c r="BG440" s="18" t="e">
        <f ca="1">IF(Data!#REF!="","",IF(ISNUMBER(Data!#REF!),IF(AND(Data!#REF!&gt;(TODAY()-(Data_Val!$M$3*365.25)),Data!#REF!&lt;=(TODAY()-(Data_Val!$M$2*365.25))),0,1),1))</f>
        <v>#REF!</v>
      </c>
      <c r="BH440" s="29" t="e">
        <f>IF(Data!#REF!="","",IF(Data!$G440="",1,IF(ISNUMBER(MATCH(Data!#REF!,Data_Val!$D$2:$D$10,0)),0,1)))</f>
        <v>#REF!</v>
      </c>
      <c r="BI440" s="13"/>
      <c r="BJ440" s="21" t="e">
        <f ca="1">IF(Data!#REF!="","",IF(ISNUMBER(Data!#REF!),IF(AND(Data!#REF!&gt;(TODAY()-(Data_Val!$M$3*365.25)),Data!#REF!&lt;=(TODAY()-(Data_Val!$M$2*365.25))),0,1),1))</f>
        <v>#REF!</v>
      </c>
      <c r="BK440" s="13" t="e">
        <f>IF(Data!#REF!="","",IF(Data!$G440="",1,IF(ISNUMBER(MATCH(Data!#REF!,Data_Val!$D$2:$D$10,0)),0,1)))</f>
        <v>#REF!</v>
      </c>
    </row>
    <row r="441" spans="1:63" x14ac:dyDescent="0.25">
      <c r="A441" s="9" t="str">
        <f>IF(Data!B441="","",IF(COUNTIFS(Data!A$1:'Data'!A441,Data!A441)&lt;=1,0,1))</f>
        <v/>
      </c>
      <c r="B441" s="9"/>
      <c r="C441" s="23" t="str">
        <f>IF(Data!C441="","",(IF(ISNUMBER(MATCH("*@*.?*",Data!C441,0)),0,1)+IF(COUNTIFS(Data!C$1:'Data'!C441,Data!C441)&gt;1,1,0)))</f>
        <v/>
      </c>
      <c r="D441" s="9" t="str">
        <f>IF(Data!B441="","",IF(ISNUMBER(Data!D441),IF(AND(Data!D441&gt;999999999,Data!D441&lt;=9999999999),IF(COUNTIFS(Data!D$1:'Data'!D441,Data!D441)&lt;=1,0,1),1),1))</f>
        <v/>
      </c>
      <c r="E441" s="9" t="str">
        <f>IF(Data!B441="","",IF(ISNUMBER(MATCH(Data!E441,Data_Val!$A$2:$A$3,0)),0,1))</f>
        <v/>
      </c>
      <c r="F441" s="9" t="str">
        <f ca="1">IF(Data!B441="","",IF(ISNUMBER(Data!F441),IF(AND(Data!F441&gt;(TODAY()-(Data_Val!$H$3*365.25)),Data!F441&lt;=(TODAY()-(Data_Val!$H$2*365.25))),0,1),1))</f>
        <v/>
      </c>
      <c r="G441" s="15" t="str">
        <f>IF(Data!B441="","",IF(AND(Data!G441="",Data!H441&lt;&gt;""),1,IF(Data!#REF!&lt;&gt;"",0,IF(ISNUMBER(MATCH(Data!G441,Data_Val!$C$2:$C$5,0)),0,1))))</f>
        <v/>
      </c>
      <c r="H441" s="15" t="str">
        <f>IF(Data!B441="","",IF(AND(Data!G441&lt;&gt;"",Data!H441=""),1,IF(Data!#REF!&lt;&gt;"",0,IF(Data!G441="",1,IF(ISNUMBER(MATCH(Data!H441,Data_Val!$D$2:$D$35,0)),0,1)))))</f>
        <v/>
      </c>
      <c r="I441" s="15" t="str">
        <f>IF(Data!B441="","",IF(Data!G441&lt;&gt;"",0,IF(ISNUMBER(MATCH(Data!#REF!,Data_Val!$E$2:$E$12,0)),0,1)))</f>
        <v/>
      </c>
      <c r="J441" s="16" t="e">
        <f>IF(OR(Data!B441="",Data!#REF!=""),"",IF(Data!#REF!="",1,0))</f>
        <v>#REF!</v>
      </c>
      <c r="K441" s="16" t="e">
        <f>IF(OR(Data!B441="",Data!#REF!=""),"",IF(Data!#REF!="",1,0))</f>
        <v>#REF!</v>
      </c>
      <c r="L441" s="16" t="e">
        <f>IF(OR(Data!B441="",Data!#REF!=""),"",IF(ISNUMBER(Data!#REF!),IF(AND(Data!#REF!&gt;Data_Val!$G$2,Data!#REF!&lt;=Data_Val!$G$3),0,1),1))</f>
        <v>#REF!</v>
      </c>
      <c r="M441" s="9" t="e">
        <f>IF(OR(Data!B441="",Data!#REF!=""),"",IF(ISNUMBER(MATCH(Data!#REF!,Data_Val!$F$1:$F$38,0)),0,1))</f>
        <v>#REF!</v>
      </c>
      <c r="N441" s="9" t="e">
        <f>IF(OR(Data!B441="",Data!#REF!=""),"",IF(Data!#REF!="",1,0))</f>
        <v>#REF!</v>
      </c>
      <c r="O441" s="17" t="e">
        <f>IF(Data!#REF!="","",IF(Data!#REF!="",1,0))</f>
        <v>#REF!</v>
      </c>
      <c r="P441" s="17" t="e">
        <f>IF(Data!#REF!="","",IF(ISNUMBER(MATCH(Data!#REF!,Data_Val!$A$2:$A$3,0)),0,1))</f>
        <v>#REF!</v>
      </c>
      <c r="Q441" s="25" t="e">
        <f ca="1">IF(Data!#REF!="","",IF(ISNUMBER(Data!#REF!),IF(AND(Data!#REF!&gt;(TODAY()-(Data_Val!$J$3*365.25)),Data!#REF!&lt;=(TODAY()-(Data_Val!$J$2*365.25))),0,1),1))</f>
        <v>#REF!</v>
      </c>
      <c r="R441" s="17" t="e">
        <f>IF(Data!#REF!="","",IF(ISNUMBER(MATCH(Data!#REF!,Data_Val!$B$2:$B$15,0)),0,1))</f>
        <v>#REF!</v>
      </c>
      <c r="S441" s="11" t="str">
        <f>IF(Data!G441="","",IF(Data!G441=Data_Val!$C$2,IF(Data!M441="",0,1),0))</f>
        <v/>
      </c>
      <c r="T441" s="11" t="str">
        <f>IF(Data!M441="","",IF(ISNUMBER(MATCH(Data!N441,Data_Val!$A$2:$A$3,0)),0,1))</f>
        <v/>
      </c>
      <c r="U441" s="11" t="str">
        <f ca="1">IF(Data!M441="","",IF(ISNUMBER(Data!O441),IF(AND(Data!O441&gt;(TODAY()-(Data_Val!$K$3*365.25)),Data!O441&lt;=(TODAY()-(Data_Val!$K$2*365.25))),0,1),1))</f>
        <v/>
      </c>
      <c r="V441" s="12" t="str">
        <f>IF(Data!G441="","",IF(Data!G441=Data_Val!$C$2,IF(Data!P441="",0,1),0))</f>
        <v/>
      </c>
      <c r="W441" s="12" t="str">
        <f>IF(Data!P441="","",IF(ISNUMBER(MATCH(Data!Q441,Data_Val!$A$2:$A$3,0)),0,1))</f>
        <v/>
      </c>
      <c r="X441" s="26" t="str">
        <f ca="1">IF(Data!P441="","",IF(ISNUMBER(Data!R441),IF(AND(Data!R441&gt;(TODAY()-(Data_Val!$L$3*365.25)),Data!R441&lt;=(TODAY()-(Data_Val!$L$2*365.25))),0,1),1))</f>
        <v/>
      </c>
      <c r="Y441" s="13" t="str">
        <f>IF(Data!$G441="","",IF(Data!$G441=Data_Val!$C$2,IF(Data!S441="",0,1),0))</f>
        <v/>
      </c>
      <c r="Z441" s="13" t="str">
        <f>IF(Data!S441="","",IF(ISNUMBER(MATCH(Data!T441,Data_Val!$A$2:$A$3,0)),0,1))</f>
        <v/>
      </c>
      <c r="AA441" s="28" t="str">
        <f ca="1">IF(Data!S441="","",IF(ISNUMBER(Data!U441),IF(AND(Data!U441&gt;(TODAY()-(Data_Val!$L$3*365.25)),Data!U441&lt;=(TODAY()-(Data_Val!$L$2*365.25))),0,1),1))</f>
        <v/>
      </c>
      <c r="AB441" s="11"/>
      <c r="AC441" s="11" t="e">
        <f>IF(Data!#REF!="","",IF(ISNUMBER(MATCH(Data!#REF!,Data_Val!$A$2:$A$3,0)),0,1))</f>
        <v>#REF!</v>
      </c>
      <c r="AD441" s="11" t="e">
        <f ca="1">IF(Data!#REF!="","",IF(ISNUMBER(Data!#REF!),IF(AND(Data!#REF!&gt;(TODAY()-(Data_Val!$L$3*365.25)),Data!#REF!&lt;=(TODAY()-(Data_Val!$L$2*365.25))),0,1),1))</f>
        <v>#REF!</v>
      </c>
      <c r="AE441" s="11" t="e">
        <f>IF(Data!#REF!="","",IF(Data!$G441="",1,IF(ISNUMBER(MATCH(Data!#REF!,Data_Val!$D$2:$D$10,0)),0,1)))</f>
        <v>#REF!</v>
      </c>
      <c r="AF441" s="12"/>
      <c r="AG441" s="12" t="e">
        <f>IF(Data!#REF!="","",IF(ISNUMBER(MATCH(Data!#REF!,Data_Val!$A$2:$A$3,0)),0,1))</f>
        <v>#REF!</v>
      </c>
      <c r="AH441" s="26" t="e">
        <f ca="1">IF(Data!#REF!="","",IF(ISNUMBER(Data!#REF!),IF(AND(Data!#REF!&gt;(TODAY()-(Data_Val!$L$3*365.25)),Data!#REF!&lt;=(TODAY()-(Data_Val!$L$2*365.25))),0,1),1))</f>
        <v>#REF!</v>
      </c>
      <c r="AI441" s="12" t="e">
        <f>IF(Data!#REF!="","",IF(Data!$G441="",1,IF(ISNUMBER(MATCH(Data!#REF!,Data_Val!$D$2:$D$10,0)),0,1)))</f>
        <v>#REF!</v>
      </c>
      <c r="AJ441" s="17"/>
      <c r="AK441" s="17" t="e">
        <f>IF(Data!#REF!="","",IF(ISNUMBER(MATCH(Data!#REF!,Data_Val!$A$2:$A$3,0)),0,1))</f>
        <v>#REF!</v>
      </c>
      <c r="AL441" s="25" t="e">
        <f ca="1">IF(Data!#REF!="","",IF(ISNUMBER(Data!#REF!),IF(AND(Data!#REF!&gt;(TODAY()-(Data_Val!$L$3*365.25)),Data!#REF!&lt;=(TODAY()-(Data_Val!$L$2*365.25))),0,1),1))</f>
        <v>#REF!</v>
      </c>
      <c r="AM441" s="17" t="e">
        <f>IF(Data!#REF!="","",IF(Data!$G441="",1,IF(ISNUMBER(MATCH(Data!#REF!,Data_Val!$D$2:$D$10,0)),0,1)))</f>
        <v>#REF!</v>
      </c>
      <c r="AN441" s="13"/>
      <c r="AO441" s="28" t="e">
        <f ca="1">IF(Data!#REF!="","",IF(ISNUMBER(Data!#REF!),IF(AND(Data!#REF!&gt;(TODAY()-(Data_Val!$I$3*365.25)),Data!#REF!&lt;=(TODAY()-(Data_Val!$I$2*365.25))),0,1),1))</f>
        <v>#REF!</v>
      </c>
      <c r="AP441" s="13" t="e">
        <f>IF(Data!#REF!="","",IF(Data!$G441="",1,IF(ISNUMBER(MATCH(Data!#REF!,Data_Val!$D$2:$D$10,0)),0,1)))</f>
        <v>#REF!</v>
      </c>
      <c r="AQ441" s="17"/>
      <c r="AR441" s="30" t="e">
        <f ca="1">IF(Data!#REF!="","",IF(ISNUMBER(Data!#REF!),IF(AND(Data!#REF!&gt;(TODAY()-(Data_Val!$I$3*365.25)),Data!#REF!&lt;=(TODAY()-(Data_Val!$I$2*365.25))),0,1),1))</f>
        <v>#REF!</v>
      </c>
      <c r="AS441" s="31" t="e">
        <f>IF(Data!#REF!="","",IF(Data!$G441="",1,IF(ISNUMBER(MATCH(Data!#REF!,Data_Val!$D$2:$D$10,0)),0,1)))</f>
        <v>#REF!</v>
      </c>
      <c r="AT441" s="11"/>
      <c r="AU441" s="11" t="e">
        <f ca="1">IF(Data!#REF!="","",IF(ISNUMBER(Data!#REF!),IF(AND(Data!#REF!&gt;(TODAY()-(Data_Val!$I$3*365.25)),Data!#REF!&lt;=(TODAY()-(Data_Val!$I$2*365.25))),0,1),1))</f>
        <v>#REF!</v>
      </c>
      <c r="AV441" s="11" t="e">
        <f>IF(Data!#REF!="","",IF(Data!$G441="",1,IF(ISNUMBER(MATCH(Data!#REF!,Data_Val!$D$2:$D$10,0)),0,1)))</f>
        <v>#REF!</v>
      </c>
      <c r="AW441" s="12"/>
      <c r="AX441" s="26" t="e">
        <f ca="1">IF(Data!#REF!="","",IF(ISNUMBER(Data!#REF!),IF(AND(Data!#REF!&gt;(TODAY()-(Data_Val!$I$3*365.25)),Data!#REF!&lt;=(TODAY()-(Data_Val!$I$2*365.25))),0,1),1))</f>
        <v>#REF!</v>
      </c>
      <c r="AY441" s="12" t="e">
        <f>IF(Data!#REF!="","",IF(Data!$G441="",1,IF(ISNUMBER(MATCH(Data!#REF!,Data_Val!$D$2:$D$10,0)),0,1)))</f>
        <v>#REF!</v>
      </c>
      <c r="AZ441" s="11"/>
      <c r="BA441" s="19" t="e">
        <f ca="1">IF(Data!#REF!="","",IF(ISNUMBER(Data!#REF!),IF(AND(Data!#REF!&gt;(TODAY()-(Data_Val!$M$3*365.25)),Data!#REF!&lt;=(TODAY()-(Data_Val!$M$2*365.25))),0,1),1))</f>
        <v>#REF!</v>
      </c>
      <c r="BB441" s="11" t="e">
        <f>IF(Data!#REF!="","",IF(Data!$G441="",1,IF(ISNUMBER(MATCH(Data!#REF!,Data_Val!$D$2:$D$10,0)),0,1)))</f>
        <v>#REF!</v>
      </c>
      <c r="BC441" s="12"/>
      <c r="BD441" s="20" t="e">
        <f ca="1">IF(Data!#REF!="","",IF(ISNUMBER(Data!#REF!),IF(AND(Data!#REF!&gt;(TODAY()-(Data_Val!$M$3*365.25)),Data!#REF!&lt;=(TODAY()-(Data_Val!$M$2*365.25))),0,1),1))</f>
        <v>#REF!</v>
      </c>
      <c r="BE441" s="12" t="e">
        <f>IF(Data!#REF!="","",IF(Data!$G441="",1,IF(ISNUMBER(MATCH(Data!#REF!,Data_Val!$D$2:$D$10,0)),0,1)))</f>
        <v>#REF!</v>
      </c>
      <c r="BF441" s="17"/>
      <c r="BG441" s="18" t="e">
        <f ca="1">IF(Data!#REF!="","",IF(ISNUMBER(Data!#REF!),IF(AND(Data!#REF!&gt;(TODAY()-(Data_Val!$M$3*365.25)),Data!#REF!&lt;=(TODAY()-(Data_Val!$M$2*365.25))),0,1),1))</f>
        <v>#REF!</v>
      </c>
      <c r="BH441" s="29" t="e">
        <f>IF(Data!#REF!="","",IF(Data!$G441="",1,IF(ISNUMBER(MATCH(Data!#REF!,Data_Val!$D$2:$D$10,0)),0,1)))</f>
        <v>#REF!</v>
      </c>
      <c r="BI441" s="13"/>
      <c r="BJ441" s="21" t="e">
        <f ca="1">IF(Data!#REF!="","",IF(ISNUMBER(Data!#REF!),IF(AND(Data!#REF!&gt;(TODAY()-(Data_Val!$M$3*365.25)),Data!#REF!&lt;=(TODAY()-(Data_Val!$M$2*365.25))),0,1),1))</f>
        <v>#REF!</v>
      </c>
      <c r="BK441" s="13" t="e">
        <f>IF(Data!#REF!="","",IF(Data!$G441="",1,IF(ISNUMBER(MATCH(Data!#REF!,Data_Val!$D$2:$D$10,0)),0,1)))</f>
        <v>#REF!</v>
      </c>
    </row>
    <row r="442" spans="1:63" x14ac:dyDescent="0.25">
      <c r="A442" s="9" t="str">
        <f>IF(Data!B442="","",IF(COUNTIFS(Data!A$1:'Data'!A442,Data!A442)&lt;=1,0,1))</f>
        <v/>
      </c>
      <c r="B442" s="9"/>
      <c r="C442" s="23" t="str">
        <f>IF(Data!C442="","",(IF(ISNUMBER(MATCH("*@*.?*",Data!C442,0)),0,1)+IF(COUNTIFS(Data!C$1:'Data'!C442,Data!C442)&gt;1,1,0)))</f>
        <v/>
      </c>
      <c r="D442" s="9" t="str">
        <f>IF(Data!B442="","",IF(ISNUMBER(Data!D442),IF(AND(Data!D442&gt;999999999,Data!D442&lt;=9999999999),IF(COUNTIFS(Data!D$1:'Data'!D442,Data!D442)&lt;=1,0,1),1),1))</f>
        <v/>
      </c>
      <c r="E442" s="9" t="str">
        <f>IF(Data!B442="","",IF(ISNUMBER(MATCH(Data!E442,Data_Val!$A$2:$A$3,0)),0,1))</f>
        <v/>
      </c>
      <c r="F442" s="9" t="str">
        <f ca="1">IF(Data!B442="","",IF(ISNUMBER(Data!F442),IF(AND(Data!F442&gt;(TODAY()-(Data_Val!$H$3*365.25)),Data!F442&lt;=(TODAY()-(Data_Val!$H$2*365.25))),0,1),1))</f>
        <v/>
      </c>
      <c r="G442" s="15" t="str">
        <f>IF(Data!B442="","",IF(AND(Data!G442="",Data!H442&lt;&gt;""),1,IF(Data!#REF!&lt;&gt;"",0,IF(ISNUMBER(MATCH(Data!G442,Data_Val!$C$2:$C$5,0)),0,1))))</f>
        <v/>
      </c>
      <c r="H442" s="15" t="str">
        <f>IF(Data!B442="","",IF(AND(Data!G442&lt;&gt;"",Data!H442=""),1,IF(Data!#REF!&lt;&gt;"",0,IF(Data!G442="",1,IF(ISNUMBER(MATCH(Data!H442,Data_Val!$D$2:$D$35,0)),0,1)))))</f>
        <v/>
      </c>
      <c r="I442" s="15" t="str">
        <f>IF(Data!B442="","",IF(Data!G442&lt;&gt;"",0,IF(ISNUMBER(MATCH(Data!#REF!,Data_Val!$E$2:$E$12,0)),0,1)))</f>
        <v/>
      </c>
      <c r="J442" s="16" t="e">
        <f>IF(OR(Data!B442="",Data!#REF!=""),"",IF(Data!#REF!="",1,0))</f>
        <v>#REF!</v>
      </c>
      <c r="K442" s="16" t="e">
        <f>IF(OR(Data!B442="",Data!#REF!=""),"",IF(Data!#REF!="",1,0))</f>
        <v>#REF!</v>
      </c>
      <c r="L442" s="16" t="e">
        <f>IF(OR(Data!B442="",Data!#REF!=""),"",IF(ISNUMBER(Data!#REF!),IF(AND(Data!#REF!&gt;Data_Val!$G$2,Data!#REF!&lt;=Data_Val!$G$3),0,1),1))</f>
        <v>#REF!</v>
      </c>
      <c r="M442" s="9" t="e">
        <f>IF(OR(Data!B442="",Data!#REF!=""),"",IF(ISNUMBER(MATCH(Data!#REF!,Data_Val!$F$1:$F$38,0)),0,1))</f>
        <v>#REF!</v>
      </c>
      <c r="N442" s="9" t="e">
        <f>IF(OR(Data!B442="",Data!#REF!=""),"",IF(Data!#REF!="",1,0))</f>
        <v>#REF!</v>
      </c>
      <c r="O442" s="17" t="e">
        <f>IF(Data!#REF!="","",IF(Data!#REF!="",1,0))</f>
        <v>#REF!</v>
      </c>
      <c r="P442" s="17" t="e">
        <f>IF(Data!#REF!="","",IF(ISNUMBER(MATCH(Data!#REF!,Data_Val!$A$2:$A$3,0)),0,1))</f>
        <v>#REF!</v>
      </c>
      <c r="Q442" s="25" t="e">
        <f ca="1">IF(Data!#REF!="","",IF(ISNUMBER(Data!#REF!),IF(AND(Data!#REF!&gt;(TODAY()-(Data_Val!$J$3*365.25)),Data!#REF!&lt;=(TODAY()-(Data_Val!$J$2*365.25))),0,1),1))</f>
        <v>#REF!</v>
      </c>
      <c r="R442" s="17" t="e">
        <f>IF(Data!#REF!="","",IF(ISNUMBER(MATCH(Data!#REF!,Data_Val!$B$2:$B$15,0)),0,1))</f>
        <v>#REF!</v>
      </c>
      <c r="S442" s="11" t="str">
        <f>IF(Data!G442="","",IF(Data!G442=Data_Val!$C$2,IF(Data!M442="",0,1),0))</f>
        <v/>
      </c>
      <c r="T442" s="11" t="str">
        <f>IF(Data!M442="","",IF(ISNUMBER(MATCH(Data!N442,Data_Val!$A$2:$A$3,0)),0,1))</f>
        <v/>
      </c>
      <c r="U442" s="11" t="str">
        <f ca="1">IF(Data!M442="","",IF(ISNUMBER(Data!O442),IF(AND(Data!O442&gt;(TODAY()-(Data_Val!$K$3*365.25)),Data!O442&lt;=(TODAY()-(Data_Val!$K$2*365.25))),0,1),1))</f>
        <v/>
      </c>
      <c r="V442" s="12" t="str">
        <f>IF(Data!G442="","",IF(Data!G442=Data_Val!$C$2,IF(Data!P442="",0,1),0))</f>
        <v/>
      </c>
      <c r="W442" s="12" t="str">
        <f>IF(Data!P442="","",IF(ISNUMBER(MATCH(Data!Q442,Data_Val!$A$2:$A$3,0)),0,1))</f>
        <v/>
      </c>
      <c r="X442" s="26" t="str">
        <f ca="1">IF(Data!P442="","",IF(ISNUMBER(Data!R442),IF(AND(Data!R442&gt;(TODAY()-(Data_Val!$L$3*365.25)),Data!R442&lt;=(TODAY()-(Data_Val!$L$2*365.25))),0,1),1))</f>
        <v/>
      </c>
      <c r="Y442" s="13" t="str">
        <f>IF(Data!$G442="","",IF(Data!$G442=Data_Val!$C$2,IF(Data!S442="",0,1),0))</f>
        <v/>
      </c>
      <c r="Z442" s="13" t="str">
        <f>IF(Data!S442="","",IF(ISNUMBER(MATCH(Data!T442,Data_Val!$A$2:$A$3,0)),0,1))</f>
        <v/>
      </c>
      <c r="AA442" s="28" t="str">
        <f ca="1">IF(Data!S442="","",IF(ISNUMBER(Data!U442),IF(AND(Data!U442&gt;(TODAY()-(Data_Val!$L$3*365.25)),Data!U442&lt;=(TODAY()-(Data_Val!$L$2*365.25))),0,1),1))</f>
        <v/>
      </c>
      <c r="AB442" s="11"/>
      <c r="AC442" s="11" t="e">
        <f>IF(Data!#REF!="","",IF(ISNUMBER(MATCH(Data!#REF!,Data_Val!$A$2:$A$3,0)),0,1))</f>
        <v>#REF!</v>
      </c>
      <c r="AD442" s="11" t="e">
        <f ca="1">IF(Data!#REF!="","",IF(ISNUMBER(Data!#REF!),IF(AND(Data!#REF!&gt;(TODAY()-(Data_Val!$L$3*365.25)),Data!#REF!&lt;=(TODAY()-(Data_Val!$L$2*365.25))),0,1),1))</f>
        <v>#REF!</v>
      </c>
      <c r="AE442" s="11" t="e">
        <f>IF(Data!#REF!="","",IF(Data!$G442="",1,IF(ISNUMBER(MATCH(Data!#REF!,Data_Val!$D$2:$D$10,0)),0,1)))</f>
        <v>#REF!</v>
      </c>
      <c r="AF442" s="12"/>
      <c r="AG442" s="12" t="e">
        <f>IF(Data!#REF!="","",IF(ISNUMBER(MATCH(Data!#REF!,Data_Val!$A$2:$A$3,0)),0,1))</f>
        <v>#REF!</v>
      </c>
      <c r="AH442" s="26" t="e">
        <f ca="1">IF(Data!#REF!="","",IF(ISNUMBER(Data!#REF!),IF(AND(Data!#REF!&gt;(TODAY()-(Data_Val!$L$3*365.25)),Data!#REF!&lt;=(TODAY()-(Data_Val!$L$2*365.25))),0,1),1))</f>
        <v>#REF!</v>
      </c>
      <c r="AI442" s="12" t="e">
        <f>IF(Data!#REF!="","",IF(Data!$G442="",1,IF(ISNUMBER(MATCH(Data!#REF!,Data_Val!$D$2:$D$10,0)),0,1)))</f>
        <v>#REF!</v>
      </c>
      <c r="AJ442" s="17"/>
      <c r="AK442" s="17" t="e">
        <f>IF(Data!#REF!="","",IF(ISNUMBER(MATCH(Data!#REF!,Data_Val!$A$2:$A$3,0)),0,1))</f>
        <v>#REF!</v>
      </c>
      <c r="AL442" s="25" t="e">
        <f ca="1">IF(Data!#REF!="","",IF(ISNUMBER(Data!#REF!),IF(AND(Data!#REF!&gt;(TODAY()-(Data_Val!$L$3*365.25)),Data!#REF!&lt;=(TODAY()-(Data_Val!$L$2*365.25))),0,1),1))</f>
        <v>#REF!</v>
      </c>
      <c r="AM442" s="17" t="e">
        <f>IF(Data!#REF!="","",IF(Data!$G442="",1,IF(ISNUMBER(MATCH(Data!#REF!,Data_Val!$D$2:$D$10,0)),0,1)))</f>
        <v>#REF!</v>
      </c>
      <c r="AN442" s="13"/>
      <c r="AO442" s="28" t="e">
        <f ca="1">IF(Data!#REF!="","",IF(ISNUMBER(Data!#REF!),IF(AND(Data!#REF!&gt;(TODAY()-(Data_Val!$I$3*365.25)),Data!#REF!&lt;=(TODAY()-(Data_Val!$I$2*365.25))),0,1),1))</f>
        <v>#REF!</v>
      </c>
      <c r="AP442" s="13" t="e">
        <f>IF(Data!#REF!="","",IF(Data!$G442="",1,IF(ISNUMBER(MATCH(Data!#REF!,Data_Val!$D$2:$D$10,0)),0,1)))</f>
        <v>#REF!</v>
      </c>
      <c r="AQ442" s="17"/>
      <c r="AR442" s="30" t="e">
        <f ca="1">IF(Data!#REF!="","",IF(ISNUMBER(Data!#REF!),IF(AND(Data!#REF!&gt;(TODAY()-(Data_Val!$I$3*365.25)),Data!#REF!&lt;=(TODAY()-(Data_Val!$I$2*365.25))),0,1),1))</f>
        <v>#REF!</v>
      </c>
      <c r="AS442" s="31" t="e">
        <f>IF(Data!#REF!="","",IF(Data!$G442="",1,IF(ISNUMBER(MATCH(Data!#REF!,Data_Val!$D$2:$D$10,0)),0,1)))</f>
        <v>#REF!</v>
      </c>
      <c r="AT442" s="11"/>
      <c r="AU442" s="11" t="e">
        <f ca="1">IF(Data!#REF!="","",IF(ISNUMBER(Data!#REF!),IF(AND(Data!#REF!&gt;(TODAY()-(Data_Val!$I$3*365.25)),Data!#REF!&lt;=(TODAY()-(Data_Val!$I$2*365.25))),0,1),1))</f>
        <v>#REF!</v>
      </c>
      <c r="AV442" s="11" t="e">
        <f>IF(Data!#REF!="","",IF(Data!$G442="",1,IF(ISNUMBER(MATCH(Data!#REF!,Data_Val!$D$2:$D$10,0)),0,1)))</f>
        <v>#REF!</v>
      </c>
      <c r="AW442" s="12"/>
      <c r="AX442" s="26" t="e">
        <f ca="1">IF(Data!#REF!="","",IF(ISNUMBER(Data!#REF!),IF(AND(Data!#REF!&gt;(TODAY()-(Data_Val!$I$3*365.25)),Data!#REF!&lt;=(TODAY()-(Data_Val!$I$2*365.25))),0,1),1))</f>
        <v>#REF!</v>
      </c>
      <c r="AY442" s="12" t="e">
        <f>IF(Data!#REF!="","",IF(Data!$G442="",1,IF(ISNUMBER(MATCH(Data!#REF!,Data_Val!$D$2:$D$10,0)),0,1)))</f>
        <v>#REF!</v>
      </c>
      <c r="AZ442" s="11"/>
      <c r="BA442" s="19" t="e">
        <f ca="1">IF(Data!#REF!="","",IF(ISNUMBER(Data!#REF!),IF(AND(Data!#REF!&gt;(TODAY()-(Data_Val!$M$3*365.25)),Data!#REF!&lt;=(TODAY()-(Data_Val!$M$2*365.25))),0,1),1))</f>
        <v>#REF!</v>
      </c>
      <c r="BB442" s="11" t="e">
        <f>IF(Data!#REF!="","",IF(Data!$G442="",1,IF(ISNUMBER(MATCH(Data!#REF!,Data_Val!$D$2:$D$10,0)),0,1)))</f>
        <v>#REF!</v>
      </c>
      <c r="BC442" s="12"/>
      <c r="BD442" s="20" t="e">
        <f ca="1">IF(Data!#REF!="","",IF(ISNUMBER(Data!#REF!),IF(AND(Data!#REF!&gt;(TODAY()-(Data_Val!$M$3*365.25)),Data!#REF!&lt;=(TODAY()-(Data_Val!$M$2*365.25))),0,1),1))</f>
        <v>#REF!</v>
      </c>
      <c r="BE442" s="12" t="e">
        <f>IF(Data!#REF!="","",IF(Data!$G442="",1,IF(ISNUMBER(MATCH(Data!#REF!,Data_Val!$D$2:$D$10,0)),0,1)))</f>
        <v>#REF!</v>
      </c>
      <c r="BF442" s="17"/>
      <c r="BG442" s="18" t="e">
        <f ca="1">IF(Data!#REF!="","",IF(ISNUMBER(Data!#REF!),IF(AND(Data!#REF!&gt;(TODAY()-(Data_Val!$M$3*365.25)),Data!#REF!&lt;=(TODAY()-(Data_Val!$M$2*365.25))),0,1),1))</f>
        <v>#REF!</v>
      </c>
      <c r="BH442" s="29" t="e">
        <f>IF(Data!#REF!="","",IF(Data!$G442="",1,IF(ISNUMBER(MATCH(Data!#REF!,Data_Val!$D$2:$D$10,0)),0,1)))</f>
        <v>#REF!</v>
      </c>
      <c r="BI442" s="13"/>
      <c r="BJ442" s="21" t="e">
        <f ca="1">IF(Data!#REF!="","",IF(ISNUMBER(Data!#REF!),IF(AND(Data!#REF!&gt;(TODAY()-(Data_Val!$M$3*365.25)),Data!#REF!&lt;=(TODAY()-(Data_Val!$M$2*365.25))),0,1),1))</f>
        <v>#REF!</v>
      </c>
      <c r="BK442" s="13" t="e">
        <f>IF(Data!#REF!="","",IF(Data!$G442="",1,IF(ISNUMBER(MATCH(Data!#REF!,Data_Val!$D$2:$D$10,0)),0,1)))</f>
        <v>#REF!</v>
      </c>
    </row>
    <row r="443" spans="1:63" x14ac:dyDescent="0.25">
      <c r="A443" s="9" t="str">
        <f>IF(Data!B443="","",IF(COUNTIFS(Data!A$1:'Data'!A443,Data!A443)&lt;=1,0,1))</f>
        <v/>
      </c>
      <c r="B443" s="9"/>
      <c r="C443" s="23" t="str">
        <f>IF(Data!C443="","",(IF(ISNUMBER(MATCH("*@*.?*",Data!C443,0)),0,1)+IF(COUNTIFS(Data!C$1:'Data'!C443,Data!C443)&gt;1,1,0)))</f>
        <v/>
      </c>
      <c r="D443" s="9" t="str">
        <f>IF(Data!B443="","",IF(ISNUMBER(Data!D443),IF(AND(Data!D443&gt;999999999,Data!D443&lt;=9999999999),IF(COUNTIFS(Data!D$1:'Data'!D443,Data!D443)&lt;=1,0,1),1),1))</f>
        <v/>
      </c>
      <c r="E443" s="9" t="str">
        <f>IF(Data!B443="","",IF(ISNUMBER(MATCH(Data!E443,Data_Val!$A$2:$A$3,0)),0,1))</f>
        <v/>
      </c>
      <c r="F443" s="9" t="str">
        <f ca="1">IF(Data!B443="","",IF(ISNUMBER(Data!F443),IF(AND(Data!F443&gt;(TODAY()-(Data_Val!$H$3*365.25)),Data!F443&lt;=(TODAY()-(Data_Val!$H$2*365.25))),0,1),1))</f>
        <v/>
      </c>
      <c r="G443" s="15" t="str">
        <f>IF(Data!B443="","",IF(AND(Data!G443="",Data!H443&lt;&gt;""),1,IF(Data!#REF!&lt;&gt;"",0,IF(ISNUMBER(MATCH(Data!G443,Data_Val!$C$2:$C$5,0)),0,1))))</f>
        <v/>
      </c>
      <c r="H443" s="15" t="str">
        <f>IF(Data!B443="","",IF(AND(Data!G443&lt;&gt;"",Data!H443=""),1,IF(Data!#REF!&lt;&gt;"",0,IF(Data!G443="",1,IF(ISNUMBER(MATCH(Data!H443,Data_Val!$D$2:$D$35,0)),0,1)))))</f>
        <v/>
      </c>
      <c r="I443" s="15" t="str">
        <f>IF(Data!B443="","",IF(Data!G443&lt;&gt;"",0,IF(ISNUMBER(MATCH(Data!#REF!,Data_Val!$E$2:$E$12,0)),0,1)))</f>
        <v/>
      </c>
      <c r="J443" s="16" t="e">
        <f>IF(OR(Data!B443="",Data!#REF!=""),"",IF(Data!#REF!="",1,0))</f>
        <v>#REF!</v>
      </c>
      <c r="K443" s="16" t="e">
        <f>IF(OR(Data!B443="",Data!#REF!=""),"",IF(Data!#REF!="",1,0))</f>
        <v>#REF!</v>
      </c>
      <c r="L443" s="16" t="e">
        <f>IF(OR(Data!B443="",Data!#REF!=""),"",IF(ISNUMBER(Data!#REF!),IF(AND(Data!#REF!&gt;Data_Val!$G$2,Data!#REF!&lt;=Data_Val!$G$3),0,1),1))</f>
        <v>#REF!</v>
      </c>
      <c r="M443" s="9" t="e">
        <f>IF(OR(Data!B443="",Data!#REF!=""),"",IF(ISNUMBER(MATCH(Data!#REF!,Data_Val!$F$1:$F$38,0)),0,1))</f>
        <v>#REF!</v>
      </c>
      <c r="N443" s="9" t="e">
        <f>IF(OR(Data!B443="",Data!#REF!=""),"",IF(Data!#REF!="",1,0))</f>
        <v>#REF!</v>
      </c>
      <c r="O443" s="17" t="e">
        <f>IF(Data!#REF!="","",IF(Data!#REF!="",1,0))</f>
        <v>#REF!</v>
      </c>
      <c r="P443" s="17" t="e">
        <f>IF(Data!#REF!="","",IF(ISNUMBER(MATCH(Data!#REF!,Data_Val!$A$2:$A$3,0)),0,1))</f>
        <v>#REF!</v>
      </c>
      <c r="Q443" s="25" t="e">
        <f ca="1">IF(Data!#REF!="","",IF(ISNUMBER(Data!#REF!),IF(AND(Data!#REF!&gt;(TODAY()-(Data_Val!$J$3*365.25)),Data!#REF!&lt;=(TODAY()-(Data_Val!$J$2*365.25))),0,1),1))</f>
        <v>#REF!</v>
      </c>
      <c r="R443" s="17" t="e">
        <f>IF(Data!#REF!="","",IF(ISNUMBER(MATCH(Data!#REF!,Data_Val!$B$2:$B$15,0)),0,1))</f>
        <v>#REF!</v>
      </c>
      <c r="S443" s="11" t="str">
        <f>IF(Data!G443="","",IF(Data!G443=Data_Val!$C$2,IF(Data!M443="",0,1),0))</f>
        <v/>
      </c>
      <c r="T443" s="11" t="str">
        <f>IF(Data!M443="","",IF(ISNUMBER(MATCH(Data!N443,Data_Val!$A$2:$A$3,0)),0,1))</f>
        <v/>
      </c>
      <c r="U443" s="11" t="str">
        <f ca="1">IF(Data!M443="","",IF(ISNUMBER(Data!O443),IF(AND(Data!O443&gt;(TODAY()-(Data_Val!$K$3*365.25)),Data!O443&lt;=(TODAY()-(Data_Val!$K$2*365.25))),0,1),1))</f>
        <v/>
      </c>
      <c r="V443" s="12" t="str">
        <f>IF(Data!G443="","",IF(Data!G443=Data_Val!$C$2,IF(Data!P443="",0,1),0))</f>
        <v/>
      </c>
      <c r="W443" s="12" t="str">
        <f>IF(Data!P443="","",IF(ISNUMBER(MATCH(Data!Q443,Data_Val!$A$2:$A$3,0)),0,1))</f>
        <v/>
      </c>
      <c r="X443" s="26" t="str">
        <f ca="1">IF(Data!P443="","",IF(ISNUMBER(Data!R443),IF(AND(Data!R443&gt;(TODAY()-(Data_Val!$L$3*365.25)),Data!R443&lt;=(TODAY()-(Data_Val!$L$2*365.25))),0,1),1))</f>
        <v/>
      </c>
      <c r="Y443" s="13" t="str">
        <f>IF(Data!$G443="","",IF(Data!$G443=Data_Val!$C$2,IF(Data!S443="",0,1),0))</f>
        <v/>
      </c>
      <c r="Z443" s="13" t="str">
        <f>IF(Data!S443="","",IF(ISNUMBER(MATCH(Data!T443,Data_Val!$A$2:$A$3,0)),0,1))</f>
        <v/>
      </c>
      <c r="AA443" s="28" t="str">
        <f ca="1">IF(Data!S443="","",IF(ISNUMBER(Data!U443),IF(AND(Data!U443&gt;(TODAY()-(Data_Val!$L$3*365.25)),Data!U443&lt;=(TODAY()-(Data_Val!$L$2*365.25))),0,1),1))</f>
        <v/>
      </c>
      <c r="AB443" s="11"/>
      <c r="AC443" s="11" t="e">
        <f>IF(Data!#REF!="","",IF(ISNUMBER(MATCH(Data!#REF!,Data_Val!$A$2:$A$3,0)),0,1))</f>
        <v>#REF!</v>
      </c>
      <c r="AD443" s="11" t="e">
        <f ca="1">IF(Data!#REF!="","",IF(ISNUMBER(Data!#REF!),IF(AND(Data!#REF!&gt;(TODAY()-(Data_Val!$L$3*365.25)),Data!#REF!&lt;=(TODAY()-(Data_Val!$L$2*365.25))),0,1),1))</f>
        <v>#REF!</v>
      </c>
      <c r="AE443" s="11" t="e">
        <f>IF(Data!#REF!="","",IF(Data!$G443="",1,IF(ISNUMBER(MATCH(Data!#REF!,Data_Val!$D$2:$D$10,0)),0,1)))</f>
        <v>#REF!</v>
      </c>
      <c r="AF443" s="12"/>
      <c r="AG443" s="12" t="e">
        <f>IF(Data!#REF!="","",IF(ISNUMBER(MATCH(Data!#REF!,Data_Val!$A$2:$A$3,0)),0,1))</f>
        <v>#REF!</v>
      </c>
      <c r="AH443" s="26" t="e">
        <f ca="1">IF(Data!#REF!="","",IF(ISNUMBER(Data!#REF!),IF(AND(Data!#REF!&gt;(TODAY()-(Data_Val!$L$3*365.25)),Data!#REF!&lt;=(TODAY()-(Data_Val!$L$2*365.25))),0,1),1))</f>
        <v>#REF!</v>
      </c>
      <c r="AI443" s="12" t="e">
        <f>IF(Data!#REF!="","",IF(Data!$G443="",1,IF(ISNUMBER(MATCH(Data!#REF!,Data_Val!$D$2:$D$10,0)),0,1)))</f>
        <v>#REF!</v>
      </c>
      <c r="AJ443" s="17"/>
      <c r="AK443" s="17" t="e">
        <f>IF(Data!#REF!="","",IF(ISNUMBER(MATCH(Data!#REF!,Data_Val!$A$2:$A$3,0)),0,1))</f>
        <v>#REF!</v>
      </c>
      <c r="AL443" s="25" t="e">
        <f ca="1">IF(Data!#REF!="","",IF(ISNUMBER(Data!#REF!),IF(AND(Data!#REF!&gt;(TODAY()-(Data_Val!$L$3*365.25)),Data!#REF!&lt;=(TODAY()-(Data_Val!$L$2*365.25))),0,1),1))</f>
        <v>#REF!</v>
      </c>
      <c r="AM443" s="17" t="e">
        <f>IF(Data!#REF!="","",IF(Data!$G443="",1,IF(ISNUMBER(MATCH(Data!#REF!,Data_Val!$D$2:$D$10,0)),0,1)))</f>
        <v>#REF!</v>
      </c>
      <c r="AN443" s="13"/>
      <c r="AO443" s="28" t="e">
        <f ca="1">IF(Data!#REF!="","",IF(ISNUMBER(Data!#REF!),IF(AND(Data!#REF!&gt;(TODAY()-(Data_Val!$I$3*365.25)),Data!#REF!&lt;=(TODAY()-(Data_Val!$I$2*365.25))),0,1),1))</f>
        <v>#REF!</v>
      </c>
      <c r="AP443" s="13" t="e">
        <f>IF(Data!#REF!="","",IF(Data!$G443="",1,IF(ISNUMBER(MATCH(Data!#REF!,Data_Val!$D$2:$D$10,0)),0,1)))</f>
        <v>#REF!</v>
      </c>
      <c r="AQ443" s="17"/>
      <c r="AR443" s="30" t="e">
        <f ca="1">IF(Data!#REF!="","",IF(ISNUMBER(Data!#REF!),IF(AND(Data!#REF!&gt;(TODAY()-(Data_Val!$I$3*365.25)),Data!#REF!&lt;=(TODAY()-(Data_Val!$I$2*365.25))),0,1),1))</f>
        <v>#REF!</v>
      </c>
      <c r="AS443" s="31" t="e">
        <f>IF(Data!#REF!="","",IF(Data!$G443="",1,IF(ISNUMBER(MATCH(Data!#REF!,Data_Val!$D$2:$D$10,0)),0,1)))</f>
        <v>#REF!</v>
      </c>
      <c r="AT443" s="11"/>
      <c r="AU443" s="11" t="e">
        <f ca="1">IF(Data!#REF!="","",IF(ISNUMBER(Data!#REF!),IF(AND(Data!#REF!&gt;(TODAY()-(Data_Val!$I$3*365.25)),Data!#REF!&lt;=(TODAY()-(Data_Val!$I$2*365.25))),0,1),1))</f>
        <v>#REF!</v>
      </c>
      <c r="AV443" s="11" t="e">
        <f>IF(Data!#REF!="","",IF(Data!$G443="",1,IF(ISNUMBER(MATCH(Data!#REF!,Data_Val!$D$2:$D$10,0)),0,1)))</f>
        <v>#REF!</v>
      </c>
      <c r="AW443" s="12"/>
      <c r="AX443" s="26" t="e">
        <f ca="1">IF(Data!#REF!="","",IF(ISNUMBER(Data!#REF!),IF(AND(Data!#REF!&gt;(TODAY()-(Data_Val!$I$3*365.25)),Data!#REF!&lt;=(TODAY()-(Data_Val!$I$2*365.25))),0,1),1))</f>
        <v>#REF!</v>
      </c>
      <c r="AY443" s="12" t="e">
        <f>IF(Data!#REF!="","",IF(Data!$G443="",1,IF(ISNUMBER(MATCH(Data!#REF!,Data_Val!$D$2:$D$10,0)),0,1)))</f>
        <v>#REF!</v>
      </c>
      <c r="AZ443" s="11"/>
      <c r="BA443" s="19" t="e">
        <f ca="1">IF(Data!#REF!="","",IF(ISNUMBER(Data!#REF!),IF(AND(Data!#REF!&gt;(TODAY()-(Data_Val!$M$3*365.25)),Data!#REF!&lt;=(TODAY()-(Data_Val!$M$2*365.25))),0,1),1))</f>
        <v>#REF!</v>
      </c>
      <c r="BB443" s="11" t="e">
        <f>IF(Data!#REF!="","",IF(Data!$G443="",1,IF(ISNUMBER(MATCH(Data!#REF!,Data_Val!$D$2:$D$10,0)),0,1)))</f>
        <v>#REF!</v>
      </c>
      <c r="BC443" s="12"/>
      <c r="BD443" s="20" t="e">
        <f ca="1">IF(Data!#REF!="","",IF(ISNUMBER(Data!#REF!),IF(AND(Data!#REF!&gt;(TODAY()-(Data_Val!$M$3*365.25)),Data!#REF!&lt;=(TODAY()-(Data_Val!$M$2*365.25))),0,1),1))</f>
        <v>#REF!</v>
      </c>
      <c r="BE443" s="12" t="e">
        <f>IF(Data!#REF!="","",IF(Data!$G443="",1,IF(ISNUMBER(MATCH(Data!#REF!,Data_Val!$D$2:$D$10,0)),0,1)))</f>
        <v>#REF!</v>
      </c>
      <c r="BF443" s="17"/>
      <c r="BG443" s="18" t="e">
        <f ca="1">IF(Data!#REF!="","",IF(ISNUMBER(Data!#REF!),IF(AND(Data!#REF!&gt;(TODAY()-(Data_Val!$M$3*365.25)),Data!#REF!&lt;=(TODAY()-(Data_Val!$M$2*365.25))),0,1),1))</f>
        <v>#REF!</v>
      </c>
      <c r="BH443" s="29" t="e">
        <f>IF(Data!#REF!="","",IF(Data!$G443="",1,IF(ISNUMBER(MATCH(Data!#REF!,Data_Val!$D$2:$D$10,0)),0,1)))</f>
        <v>#REF!</v>
      </c>
      <c r="BI443" s="13"/>
      <c r="BJ443" s="21" t="e">
        <f ca="1">IF(Data!#REF!="","",IF(ISNUMBER(Data!#REF!),IF(AND(Data!#REF!&gt;(TODAY()-(Data_Val!$M$3*365.25)),Data!#REF!&lt;=(TODAY()-(Data_Val!$M$2*365.25))),0,1),1))</f>
        <v>#REF!</v>
      </c>
      <c r="BK443" s="13" t="e">
        <f>IF(Data!#REF!="","",IF(Data!$G443="",1,IF(ISNUMBER(MATCH(Data!#REF!,Data_Val!$D$2:$D$10,0)),0,1)))</f>
        <v>#REF!</v>
      </c>
    </row>
    <row r="444" spans="1:63" x14ac:dyDescent="0.25">
      <c r="A444" s="9" t="str">
        <f>IF(Data!B444="","",IF(COUNTIFS(Data!A$1:'Data'!A444,Data!A444)&lt;=1,0,1))</f>
        <v/>
      </c>
      <c r="B444" s="9"/>
      <c r="C444" s="23" t="str">
        <f>IF(Data!C444="","",(IF(ISNUMBER(MATCH("*@*.?*",Data!C444,0)),0,1)+IF(COUNTIFS(Data!C$1:'Data'!C444,Data!C444)&gt;1,1,0)))</f>
        <v/>
      </c>
      <c r="D444" s="9" t="str">
        <f>IF(Data!B444="","",IF(ISNUMBER(Data!D444),IF(AND(Data!D444&gt;999999999,Data!D444&lt;=9999999999),IF(COUNTIFS(Data!D$1:'Data'!D444,Data!D444)&lt;=1,0,1),1),1))</f>
        <v/>
      </c>
      <c r="E444" s="9" t="str">
        <f>IF(Data!B444="","",IF(ISNUMBER(MATCH(Data!E444,Data_Val!$A$2:$A$3,0)),0,1))</f>
        <v/>
      </c>
      <c r="F444" s="9" t="str">
        <f ca="1">IF(Data!B444="","",IF(ISNUMBER(Data!F444),IF(AND(Data!F444&gt;(TODAY()-(Data_Val!$H$3*365.25)),Data!F444&lt;=(TODAY()-(Data_Val!$H$2*365.25))),0,1),1))</f>
        <v/>
      </c>
      <c r="G444" s="15" t="str">
        <f>IF(Data!B444="","",IF(AND(Data!G444="",Data!H444&lt;&gt;""),1,IF(Data!#REF!&lt;&gt;"",0,IF(ISNUMBER(MATCH(Data!G444,Data_Val!$C$2:$C$5,0)),0,1))))</f>
        <v/>
      </c>
      <c r="H444" s="15" t="str">
        <f>IF(Data!B444="","",IF(AND(Data!G444&lt;&gt;"",Data!H444=""),1,IF(Data!#REF!&lt;&gt;"",0,IF(Data!G444="",1,IF(ISNUMBER(MATCH(Data!H444,Data_Val!$D$2:$D$35,0)),0,1)))))</f>
        <v/>
      </c>
      <c r="I444" s="15" t="str">
        <f>IF(Data!B444="","",IF(Data!G444&lt;&gt;"",0,IF(ISNUMBER(MATCH(Data!#REF!,Data_Val!$E$2:$E$12,0)),0,1)))</f>
        <v/>
      </c>
      <c r="J444" s="16" t="e">
        <f>IF(OR(Data!B444="",Data!#REF!=""),"",IF(Data!#REF!="",1,0))</f>
        <v>#REF!</v>
      </c>
      <c r="K444" s="16" t="e">
        <f>IF(OR(Data!B444="",Data!#REF!=""),"",IF(Data!#REF!="",1,0))</f>
        <v>#REF!</v>
      </c>
      <c r="L444" s="16" t="e">
        <f>IF(OR(Data!B444="",Data!#REF!=""),"",IF(ISNUMBER(Data!#REF!),IF(AND(Data!#REF!&gt;Data_Val!$G$2,Data!#REF!&lt;=Data_Val!$G$3),0,1),1))</f>
        <v>#REF!</v>
      </c>
      <c r="M444" s="9" t="e">
        <f>IF(OR(Data!B444="",Data!#REF!=""),"",IF(ISNUMBER(MATCH(Data!#REF!,Data_Val!$F$1:$F$38,0)),0,1))</f>
        <v>#REF!</v>
      </c>
      <c r="N444" s="9" t="e">
        <f>IF(OR(Data!B444="",Data!#REF!=""),"",IF(Data!#REF!="",1,0))</f>
        <v>#REF!</v>
      </c>
      <c r="O444" s="17" t="e">
        <f>IF(Data!#REF!="","",IF(Data!#REF!="",1,0))</f>
        <v>#REF!</v>
      </c>
      <c r="P444" s="17" t="e">
        <f>IF(Data!#REF!="","",IF(ISNUMBER(MATCH(Data!#REF!,Data_Val!$A$2:$A$3,0)),0,1))</f>
        <v>#REF!</v>
      </c>
      <c r="Q444" s="25" t="e">
        <f ca="1">IF(Data!#REF!="","",IF(ISNUMBER(Data!#REF!),IF(AND(Data!#REF!&gt;(TODAY()-(Data_Val!$J$3*365.25)),Data!#REF!&lt;=(TODAY()-(Data_Val!$J$2*365.25))),0,1),1))</f>
        <v>#REF!</v>
      </c>
      <c r="R444" s="17" t="e">
        <f>IF(Data!#REF!="","",IF(ISNUMBER(MATCH(Data!#REF!,Data_Val!$B$2:$B$15,0)),0,1))</f>
        <v>#REF!</v>
      </c>
      <c r="S444" s="11" t="str">
        <f>IF(Data!G444="","",IF(Data!G444=Data_Val!$C$2,IF(Data!M444="",0,1),0))</f>
        <v/>
      </c>
      <c r="T444" s="11" t="str">
        <f>IF(Data!M444="","",IF(ISNUMBER(MATCH(Data!N444,Data_Val!$A$2:$A$3,0)),0,1))</f>
        <v/>
      </c>
      <c r="U444" s="11" t="str">
        <f ca="1">IF(Data!M444="","",IF(ISNUMBER(Data!O444),IF(AND(Data!O444&gt;(TODAY()-(Data_Val!$K$3*365.25)),Data!O444&lt;=(TODAY()-(Data_Val!$K$2*365.25))),0,1),1))</f>
        <v/>
      </c>
      <c r="V444" s="12" t="str">
        <f>IF(Data!G444="","",IF(Data!G444=Data_Val!$C$2,IF(Data!P444="",0,1),0))</f>
        <v/>
      </c>
      <c r="W444" s="12" t="str">
        <f>IF(Data!P444="","",IF(ISNUMBER(MATCH(Data!Q444,Data_Val!$A$2:$A$3,0)),0,1))</f>
        <v/>
      </c>
      <c r="X444" s="26" t="str">
        <f ca="1">IF(Data!P444="","",IF(ISNUMBER(Data!R444),IF(AND(Data!R444&gt;(TODAY()-(Data_Val!$L$3*365.25)),Data!R444&lt;=(TODAY()-(Data_Val!$L$2*365.25))),0,1),1))</f>
        <v/>
      </c>
      <c r="Y444" s="13" t="str">
        <f>IF(Data!$G444="","",IF(Data!$G444=Data_Val!$C$2,IF(Data!S444="",0,1),0))</f>
        <v/>
      </c>
      <c r="Z444" s="13" t="str">
        <f>IF(Data!S444="","",IF(ISNUMBER(MATCH(Data!T444,Data_Val!$A$2:$A$3,0)),0,1))</f>
        <v/>
      </c>
      <c r="AA444" s="28" t="str">
        <f ca="1">IF(Data!S444="","",IF(ISNUMBER(Data!U444),IF(AND(Data!U444&gt;(TODAY()-(Data_Val!$L$3*365.25)),Data!U444&lt;=(TODAY()-(Data_Val!$L$2*365.25))),0,1),1))</f>
        <v/>
      </c>
      <c r="AB444" s="11"/>
      <c r="AC444" s="11" t="e">
        <f>IF(Data!#REF!="","",IF(ISNUMBER(MATCH(Data!#REF!,Data_Val!$A$2:$A$3,0)),0,1))</f>
        <v>#REF!</v>
      </c>
      <c r="AD444" s="11" t="e">
        <f ca="1">IF(Data!#REF!="","",IF(ISNUMBER(Data!#REF!),IF(AND(Data!#REF!&gt;(TODAY()-(Data_Val!$L$3*365.25)),Data!#REF!&lt;=(TODAY()-(Data_Val!$L$2*365.25))),0,1),1))</f>
        <v>#REF!</v>
      </c>
      <c r="AE444" s="11" t="e">
        <f>IF(Data!#REF!="","",IF(Data!$G444="",1,IF(ISNUMBER(MATCH(Data!#REF!,Data_Val!$D$2:$D$10,0)),0,1)))</f>
        <v>#REF!</v>
      </c>
      <c r="AF444" s="12"/>
      <c r="AG444" s="12" t="e">
        <f>IF(Data!#REF!="","",IF(ISNUMBER(MATCH(Data!#REF!,Data_Val!$A$2:$A$3,0)),0,1))</f>
        <v>#REF!</v>
      </c>
      <c r="AH444" s="26" t="e">
        <f ca="1">IF(Data!#REF!="","",IF(ISNUMBER(Data!#REF!),IF(AND(Data!#REF!&gt;(TODAY()-(Data_Val!$L$3*365.25)),Data!#REF!&lt;=(TODAY()-(Data_Val!$L$2*365.25))),0,1),1))</f>
        <v>#REF!</v>
      </c>
      <c r="AI444" s="12" t="e">
        <f>IF(Data!#REF!="","",IF(Data!$G444="",1,IF(ISNUMBER(MATCH(Data!#REF!,Data_Val!$D$2:$D$10,0)),0,1)))</f>
        <v>#REF!</v>
      </c>
      <c r="AJ444" s="17"/>
      <c r="AK444" s="17" t="e">
        <f>IF(Data!#REF!="","",IF(ISNUMBER(MATCH(Data!#REF!,Data_Val!$A$2:$A$3,0)),0,1))</f>
        <v>#REF!</v>
      </c>
      <c r="AL444" s="25" t="e">
        <f ca="1">IF(Data!#REF!="","",IF(ISNUMBER(Data!#REF!),IF(AND(Data!#REF!&gt;(TODAY()-(Data_Val!$L$3*365.25)),Data!#REF!&lt;=(TODAY()-(Data_Val!$L$2*365.25))),0,1),1))</f>
        <v>#REF!</v>
      </c>
      <c r="AM444" s="17" t="e">
        <f>IF(Data!#REF!="","",IF(Data!$G444="",1,IF(ISNUMBER(MATCH(Data!#REF!,Data_Val!$D$2:$D$10,0)),0,1)))</f>
        <v>#REF!</v>
      </c>
      <c r="AN444" s="13"/>
      <c r="AO444" s="28" t="e">
        <f ca="1">IF(Data!#REF!="","",IF(ISNUMBER(Data!#REF!),IF(AND(Data!#REF!&gt;(TODAY()-(Data_Val!$I$3*365.25)),Data!#REF!&lt;=(TODAY()-(Data_Val!$I$2*365.25))),0,1),1))</f>
        <v>#REF!</v>
      </c>
      <c r="AP444" s="13" t="e">
        <f>IF(Data!#REF!="","",IF(Data!$G444="",1,IF(ISNUMBER(MATCH(Data!#REF!,Data_Val!$D$2:$D$10,0)),0,1)))</f>
        <v>#REF!</v>
      </c>
      <c r="AQ444" s="17"/>
      <c r="AR444" s="30" t="e">
        <f ca="1">IF(Data!#REF!="","",IF(ISNUMBER(Data!#REF!),IF(AND(Data!#REF!&gt;(TODAY()-(Data_Val!$I$3*365.25)),Data!#REF!&lt;=(TODAY()-(Data_Val!$I$2*365.25))),0,1),1))</f>
        <v>#REF!</v>
      </c>
      <c r="AS444" s="31" t="e">
        <f>IF(Data!#REF!="","",IF(Data!$G444="",1,IF(ISNUMBER(MATCH(Data!#REF!,Data_Val!$D$2:$D$10,0)),0,1)))</f>
        <v>#REF!</v>
      </c>
      <c r="AT444" s="11"/>
      <c r="AU444" s="11" t="e">
        <f ca="1">IF(Data!#REF!="","",IF(ISNUMBER(Data!#REF!),IF(AND(Data!#REF!&gt;(TODAY()-(Data_Val!$I$3*365.25)),Data!#REF!&lt;=(TODAY()-(Data_Val!$I$2*365.25))),0,1),1))</f>
        <v>#REF!</v>
      </c>
      <c r="AV444" s="11" t="e">
        <f>IF(Data!#REF!="","",IF(Data!$G444="",1,IF(ISNUMBER(MATCH(Data!#REF!,Data_Val!$D$2:$D$10,0)),0,1)))</f>
        <v>#REF!</v>
      </c>
      <c r="AW444" s="12"/>
      <c r="AX444" s="26" t="e">
        <f ca="1">IF(Data!#REF!="","",IF(ISNUMBER(Data!#REF!),IF(AND(Data!#REF!&gt;(TODAY()-(Data_Val!$I$3*365.25)),Data!#REF!&lt;=(TODAY()-(Data_Val!$I$2*365.25))),0,1),1))</f>
        <v>#REF!</v>
      </c>
      <c r="AY444" s="12" t="e">
        <f>IF(Data!#REF!="","",IF(Data!$G444="",1,IF(ISNUMBER(MATCH(Data!#REF!,Data_Val!$D$2:$D$10,0)),0,1)))</f>
        <v>#REF!</v>
      </c>
      <c r="AZ444" s="11"/>
      <c r="BA444" s="19" t="e">
        <f ca="1">IF(Data!#REF!="","",IF(ISNUMBER(Data!#REF!),IF(AND(Data!#REF!&gt;(TODAY()-(Data_Val!$M$3*365.25)),Data!#REF!&lt;=(TODAY()-(Data_Val!$M$2*365.25))),0,1),1))</f>
        <v>#REF!</v>
      </c>
      <c r="BB444" s="11" t="e">
        <f>IF(Data!#REF!="","",IF(Data!$G444="",1,IF(ISNUMBER(MATCH(Data!#REF!,Data_Val!$D$2:$D$10,0)),0,1)))</f>
        <v>#REF!</v>
      </c>
      <c r="BC444" s="12"/>
      <c r="BD444" s="20" t="e">
        <f ca="1">IF(Data!#REF!="","",IF(ISNUMBER(Data!#REF!),IF(AND(Data!#REF!&gt;(TODAY()-(Data_Val!$M$3*365.25)),Data!#REF!&lt;=(TODAY()-(Data_Val!$M$2*365.25))),0,1),1))</f>
        <v>#REF!</v>
      </c>
      <c r="BE444" s="12" t="e">
        <f>IF(Data!#REF!="","",IF(Data!$G444="",1,IF(ISNUMBER(MATCH(Data!#REF!,Data_Val!$D$2:$D$10,0)),0,1)))</f>
        <v>#REF!</v>
      </c>
      <c r="BF444" s="17"/>
      <c r="BG444" s="18" t="e">
        <f ca="1">IF(Data!#REF!="","",IF(ISNUMBER(Data!#REF!),IF(AND(Data!#REF!&gt;(TODAY()-(Data_Val!$M$3*365.25)),Data!#REF!&lt;=(TODAY()-(Data_Val!$M$2*365.25))),0,1),1))</f>
        <v>#REF!</v>
      </c>
      <c r="BH444" s="29" t="e">
        <f>IF(Data!#REF!="","",IF(Data!$G444="",1,IF(ISNUMBER(MATCH(Data!#REF!,Data_Val!$D$2:$D$10,0)),0,1)))</f>
        <v>#REF!</v>
      </c>
      <c r="BI444" s="13"/>
      <c r="BJ444" s="21" t="e">
        <f ca="1">IF(Data!#REF!="","",IF(ISNUMBER(Data!#REF!),IF(AND(Data!#REF!&gt;(TODAY()-(Data_Val!$M$3*365.25)),Data!#REF!&lt;=(TODAY()-(Data_Val!$M$2*365.25))),0,1),1))</f>
        <v>#REF!</v>
      </c>
      <c r="BK444" s="13" t="e">
        <f>IF(Data!#REF!="","",IF(Data!$G444="",1,IF(ISNUMBER(MATCH(Data!#REF!,Data_Val!$D$2:$D$10,0)),0,1)))</f>
        <v>#REF!</v>
      </c>
    </row>
    <row r="445" spans="1:63" x14ac:dyDescent="0.25">
      <c r="A445" s="9" t="str">
        <f>IF(Data!B445="","",IF(COUNTIFS(Data!A$1:'Data'!A445,Data!A445)&lt;=1,0,1))</f>
        <v/>
      </c>
      <c r="B445" s="9"/>
      <c r="C445" s="23" t="str">
        <f>IF(Data!C445="","",(IF(ISNUMBER(MATCH("*@*.?*",Data!C445,0)),0,1)+IF(COUNTIFS(Data!C$1:'Data'!C445,Data!C445)&gt;1,1,0)))</f>
        <v/>
      </c>
      <c r="D445" s="9" t="str">
        <f>IF(Data!B445="","",IF(ISNUMBER(Data!D445),IF(AND(Data!D445&gt;999999999,Data!D445&lt;=9999999999),IF(COUNTIFS(Data!D$1:'Data'!D445,Data!D445)&lt;=1,0,1),1),1))</f>
        <v/>
      </c>
      <c r="E445" s="9" t="str">
        <f>IF(Data!B445="","",IF(ISNUMBER(MATCH(Data!E445,Data_Val!$A$2:$A$3,0)),0,1))</f>
        <v/>
      </c>
      <c r="F445" s="9" t="str">
        <f ca="1">IF(Data!B445="","",IF(ISNUMBER(Data!F445),IF(AND(Data!F445&gt;(TODAY()-(Data_Val!$H$3*365.25)),Data!F445&lt;=(TODAY()-(Data_Val!$H$2*365.25))),0,1),1))</f>
        <v/>
      </c>
      <c r="G445" s="15" t="str">
        <f>IF(Data!B445="","",IF(AND(Data!G445="",Data!H445&lt;&gt;""),1,IF(Data!#REF!&lt;&gt;"",0,IF(ISNUMBER(MATCH(Data!G445,Data_Val!$C$2:$C$5,0)),0,1))))</f>
        <v/>
      </c>
      <c r="H445" s="15" t="str">
        <f>IF(Data!B445="","",IF(AND(Data!G445&lt;&gt;"",Data!H445=""),1,IF(Data!#REF!&lt;&gt;"",0,IF(Data!G445="",1,IF(ISNUMBER(MATCH(Data!H445,Data_Val!$D$2:$D$35,0)),0,1)))))</f>
        <v/>
      </c>
      <c r="I445" s="15" t="str">
        <f>IF(Data!B445="","",IF(Data!G445&lt;&gt;"",0,IF(ISNUMBER(MATCH(Data!#REF!,Data_Val!$E$2:$E$12,0)),0,1)))</f>
        <v/>
      </c>
      <c r="J445" s="16" t="e">
        <f>IF(OR(Data!B445="",Data!#REF!=""),"",IF(Data!#REF!="",1,0))</f>
        <v>#REF!</v>
      </c>
      <c r="K445" s="16" t="e">
        <f>IF(OR(Data!B445="",Data!#REF!=""),"",IF(Data!#REF!="",1,0))</f>
        <v>#REF!</v>
      </c>
      <c r="L445" s="16" t="e">
        <f>IF(OR(Data!B445="",Data!#REF!=""),"",IF(ISNUMBER(Data!#REF!),IF(AND(Data!#REF!&gt;Data_Val!$G$2,Data!#REF!&lt;=Data_Val!$G$3),0,1),1))</f>
        <v>#REF!</v>
      </c>
      <c r="M445" s="9" t="e">
        <f>IF(OR(Data!B445="",Data!#REF!=""),"",IF(ISNUMBER(MATCH(Data!#REF!,Data_Val!$F$1:$F$38,0)),0,1))</f>
        <v>#REF!</v>
      </c>
      <c r="N445" s="9" t="e">
        <f>IF(OR(Data!B445="",Data!#REF!=""),"",IF(Data!#REF!="",1,0))</f>
        <v>#REF!</v>
      </c>
      <c r="O445" s="17" t="e">
        <f>IF(Data!#REF!="","",IF(Data!#REF!="",1,0))</f>
        <v>#REF!</v>
      </c>
      <c r="P445" s="17" t="e">
        <f>IF(Data!#REF!="","",IF(ISNUMBER(MATCH(Data!#REF!,Data_Val!$A$2:$A$3,0)),0,1))</f>
        <v>#REF!</v>
      </c>
      <c r="Q445" s="25" t="e">
        <f ca="1">IF(Data!#REF!="","",IF(ISNUMBER(Data!#REF!),IF(AND(Data!#REF!&gt;(TODAY()-(Data_Val!$J$3*365.25)),Data!#REF!&lt;=(TODAY()-(Data_Val!$J$2*365.25))),0,1),1))</f>
        <v>#REF!</v>
      </c>
      <c r="R445" s="17" t="e">
        <f>IF(Data!#REF!="","",IF(ISNUMBER(MATCH(Data!#REF!,Data_Val!$B$2:$B$15,0)),0,1))</f>
        <v>#REF!</v>
      </c>
      <c r="S445" s="11" t="str">
        <f>IF(Data!G445="","",IF(Data!G445=Data_Val!$C$2,IF(Data!M445="",0,1),0))</f>
        <v/>
      </c>
      <c r="T445" s="11" t="str">
        <f>IF(Data!M445="","",IF(ISNUMBER(MATCH(Data!N445,Data_Val!$A$2:$A$3,0)),0,1))</f>
        <v/>
      </c>
      <c r="U445" s="11" t="str">
        <f ca="1">IF(Data!M445="","",IF(ISNUMBER(Data!O445),IF(AND(Data!O445&gt;(TODAY()-(Data_Val!$K$3*365.25)),Data!O445&lt;=(TODAY()-(Data_Val!$K$2*365.25))),0,1),1))</f>
        <v/>
      </c>
      <c r="V445" s="12" t="str">
        <f>IF(Data!G445="","",IF(Data!G445=Data_Val!$C$2,IF(Data!P445="",0,1),0))</f>
        <v/>
      </c>
      <c r="W445" s="12" t="str">
        <f>IF(Data!P445="","",IF(ISNUMBER(MATCH(Data!Q445,Data_Val!$A$2:$A$3,0)),0,1))</f>
        <v/>
      </c>
      <c r="X445" s="26" t="str">
        <f ca="1">IF(Data!P445="","",IF(ISNUMBER(Data!R445),IF(AND(Data!R445&gt;(TODAY()-(Data_Val!$L$3*365.25)),Data!R445&lt;=(TODAY()-(Data_Val!$L$2*365.25))),0,1),1))</f>
        <v/>
      </c>
      <c r="Y445" s="13" t="str">
        <f>IF(Data!$G445="","",IF(Data!$G445=Data_Val!$C$2,IF(Data!S445="",0,1),0))</f>
        <v/>
      </c>
      <c r="Z445" s="13" t="str">
        <f>IF(Data!S445="","",IF(ISNUMBER(MATCH(Data!T445,Data_Val!$A$2:$A$3,0)),0,1))</f>
        <v/>
      </c>
      <c r="AA445" s="28" t="str">
        <f ca="1">IF(Data!S445="","",IF(ISNUMBER(Data!U445),IF(AND(Data!U445&gt;(TODAY()-(Data_Val!$L$3*365.25)),Data!U445&lt;=(TODAY()-(Data_Val!$L$2*365.25))),0,1),1))</f>
        <v/>
      </c>
      <c r="AB445" s="11"/>
      <c r="AC445" s="11" t="e">
        <f>IF(Data!#REF!="","",IF(ISNUMBER(MATCH(Data!#REF!,Data_Val!$A$2:$A$3,0)),0,1))</f>
        <v>#REF!</v>
      </c>
      <c r="AD445" s="11" t="e">
        <f ca="1">IF(Data!#REF!="","",IF(ISNUMBER(Data!#REF!),IF(AND(Data!#REF!&gt;(TODAY()-(Data_Val!$L$3*365.25)),Data!#REF!&lt;=(TODAY()-(Data_Val!$L$2*365.25))),0,1),1))</f>
        <v>#REF!</v>
      </c>
      <c r="AE445" s="11" t="e">
        <f>IF(Data!#REF!="","",IF(Data!$G445="",1,IF(ISNUMBER(MATCH(Data!#REF!,Data_Val!$D$2:$D$10,0)),0,1)))</f>
        <v>#REF!</v>
      </c>
      <c r="AF445" s="12"/>
      <c r="AG445" s="12" t="e">
        <f>IF(Data!#REF!="","",IF(ISNUMBER(MATCH(Data!#REF!,Data_Val!$A$2:$A$3,0)),0,1))</f>
        <v>#REF!</v>
      </c>
      <c r="AH445" s="26" t="e">
        <f ca="1">IF(Data!#REF!="","",IF(ISNUMBER(Data!#REF!),IF(AND(Data!#REF!&gt;(TODAY()-(Data_Val!$L$3*365.25)),Data!#REF!&lt;=(TODAY()-(Data_Val!$L$2*365.25))),0,1),1))</f>
        <v>#REF!</v>
      </c>
      <c r="AI445" s="12" t="e">
        <f>IF(Data!#REF!="","",IF(Data!$G445="",1,IF(ISNUMBER(MATCH(Data!#REF!,Data_Val!$D$2:$D$10,0)),0,1)))</f>
        <v>#REF!</v>
      </c>
      <c r="AJ445" s="17"/>
      <c r="AK445" s="17" t="e">
        <f>IF(Data!#REF!="","",IF(ISNUMBER(MATCH(Data!#REF!,Data_Val!$A$2:$A$3,0)),0,1))</f>
        <v>#REF!</v>
      </c>
      <c r="AL445" s="25" t="e">
        <f ca="1">IF(Data!#REF!="","",IF(ISNUMBER(Data!#REF!),IF(AND(Data!#REF!&gt;(TODAY()-(Data_Val!$L$3*365.25)),Data!#REF!&lt;=(TODAY()-(Data_Val!$L$2*365.25))),0,1),1))</f>
        <v>#REF!</v>
      </c>
      <c r="AM445" s="17" t="e">
        <f>IF(Data!#REF!="","",IF(Data!$G445="",1,IF(ISNUMBER(MATCH(Data!#REF!,Data_Val!$D$2:$D$10,0)),0,1)))</f>
        <v>#REF!</v>
      </c>
      <c r="AN445" s="13"/>
      <c r="AO445" s="28" t="e">
        <f ca="1">IF(Data!#REF!="","",IF(ISNUMBER(Data!#REF!),IF(AND(Data!#REF!&gt;(TODAY()-(Data_Val!$I$3*365.25)),Data!#REF!&lt;=(TODAY()-(Data_Val!$I$2*365.25))),0,1),1))</f>
        <v>#REF!</v>
      </c>
      <c r="AP445" s="13" t="e">
        <f>IF(Data!#REF!="","",IF(Data!$G445="",1,IF(ISNUMBER(MATCH(Data!#REF!,Data_Val!$D$2:$D$10,0)),0,1)))</f>
        <v>#REF!</v>
      </c>
      <c r="AQ445" s="17"/>
      <c r="AR445" s="30" t="e">
        <f ca="1">IF(Data!#REF!="","",IF(ISNUMBER(Data!#REF!),IF(AND(Data!#REF!&gt;(TODAY()-(Data_Val!$I$3*365.25)),Data!#REF!&lt;=(TODAY()-(Data_Val!$I$2*365.25))),0,1),1))</f>
        <v>#REF!</v>
      </c>
      <c r="AS445" s="31" t="e">
        <f>IF(Data!#REF!="","",IF(Data!$G445="",1,IF(ISNUMBER(MATCH(Data!#REF!,Data_Val!$D$2:$D$10,0)),0,1)))</f>
        <v>#REF!</v>
      </c>
      <c r="AT445" s="11"/>
      <c r="AU445" s="11" t="e">
        <f ca="1">IF(Data!#REF!="","",IF(ISNUMBER(Data!#REF!),IF(AND(Data!#REF!&gt;(TODAY()-(Data_Val!$I$3*365.25)),Data!#REF!&lt;=(TODAY()-(Data_Val!$I$2*365.25))),0,1),1))</f>
        <v>#REF!</v>
      </c>
      <c r="AV445" s="11" t="e">
        <f>IF(Data!#REF!="","",IF(Data!$G445="",1,IF(ISNUMBER(MATCH(Data!#REF!,Data_Val!$D$2:$D$10,0)),0,1)))</f>
        <v>#REF!</v>
      </c>
      <c r="AW445" s="12"/>
      <c r="AX445" s="26" t="e">
        <f ca="1">IF(Data!#REF!="","",IF(ISNUMBER(Data!#REF!),IF(AND(Data!#REF!&gt;(TODAY()-(Data_Val!$I$3*365.25)),Data!#REF!&lt;=(TODAY()-(Data_Val!$I$2*365.25))),0,1),1))</f>
        <v>#REF!</v>
      </c>
      <c r="AY445" s="12" t="e">
        <f>IF(Data!#REF!="","",IF(Data!$G445="",1,IF(ISNUMBER(MATCH(Data!#REF!,Data_Val!$D$2:$D$10,0)),0,1)))</f>
        <v>#REF!</v>
      </c>
      <c r="AZ445" s="11"/>
      <c r="BA445" s="19" t="e">
        <f ca="1">IF(Data!#REF!="","",IF(ISNUMBER(Data!#REF!),IF(AND(Data!#REF!&gt;(TODAY()-(Data_Val!$M$3*365.25)),Data!#REF!&lt;=(TODAY()-(Data_Val!$M$2*365.25))),0,1),1))</f>
        <v>#REF!</v>
      </c>
      <c r="BB445" s="11" t="e">
        <f>IF(Data!#REF!="","",IF(Data!$G445="",1,IF(ISNUMBER(MATCH(Data!#REF!,Data_Val!$D$2:$D$10,0)),0,1)))</f>
        <v>#REF!</v>
      </c>
      <c r="BC445" s="12"/>
      <c r="BD445" s="20" t="e">
        <f ca="1">IF(Data!#REF!="","",IF(ISNUMBER(Data!#REF!),IF(AND(Data!#REF!&gt;(TODAY()-(Data_Val!$M$3*365.25)),Data!#REF!&lt;=(TODAY()-(Data_Val!$M$2*365.25))),0,1),1))</f>
        <v>#REF!</v>
      </c>
      <c r="BE445" s="12" t="e">
        <f>IF(Data!#REF!="","",IF(Data!$G445="",1,IF(ISNUMBER(MATCH(Data!#REF!,Data_Val!$D$2:$D$10,0)),0,1)))</f>
        <v>#REF!</v>
      </c>
      <c r="BF445" s="17"/>
      <c r="BG445" s="18" t="e">
        <f ca="1">IF(Data!#REF!="","",IF(ISNUMBER(Data!#REF!),IF(AND(Data!#REF!&gt;(TODAY()-(Data_Val!$M$3*365.25)),Data!#REF!&lt;=(TODAY()-(Data_Val!$M$2*365.25))),0,1),1))</f>
        <v>#REF!</v>
      </c>
      <c r="BH445" s="29" t="e">
        <f>IF(Data!#REF!="","",IF(Data!$G445="",1,IF(ISNUMBER(MATCH(Data!#REF!,Data_Val!$D$2:$D$10,0)),0,1)))</f>
        <v>#REF!</v>
      </c>
      <c r="BI445" s="13"/>
      <c r="BJ445" s="21" t="e">
        <f ca="1">IF(Data!#REF!="","",IF(ISNUMBER(Data!#REF!),IF(AND(Data!#REF!&gt;(TODAY()-(Data_Val!$M$3*365.25)),Data!#REF!&lt;=(TODAY()-(Data_Val!$M$2*365.25))),0,1),1))</f>
        <v>#REF!</v>
      </c>
      <c r="BK445" s="13" t="e">
        <f>IF(Data!#REF!="","",IF(Data!$G445="",1,IF(ISNUMBER(MATCH(Data!#REF!,Data_Val!$D$2:$D$10,0)),0,1)))</f>
        <v>#REF!</v>
      </c>
    </row>
    <row r="446" spans="1:63" x14ac:dyDescent="0.25">
      <c r="A446" s="9" t="str">
        <f>IF(Data!B446="","",IF(COUNTIFS(Data!A$1:'Data'!A446,Data!A446)&lt;=1,0,1))</f>
        <v/>
      </c>
      <c r="B446" s="9"/>
      <c r="C446" s="23" t="str">
        <f>IF(Data!C446="","",(IF(ISNUMBER(MATCH("*@*.?*",Data!C446,0)),0,1)+IF(COUNTIFS(Data!C$1:'Data'!C446,Data!C446)&gt;1,1,0)))</f>
        <v/>
      </c>
      <c r="D446" s="9" t="str">
        <f>IF(Data!B446="","",IF(ISNUMBER(Data!D446),IF(AND(Data!D446&gt;999999999,Data!D446&lt;=9999999999),IF(COUNTIFS(Data!D$1:'Data'!D446,Data!D446)&lt;=1,0,1),1),1))</f>
        <v/>
      </c>
      <c r="E446" s="9" t="str">
        <f>IF(Data!B446="","",IF(ISNUMBER(MATCH(Data!E446,Data_Val!$A$2:$A$3,0)),0,1))</f>
        <v/>
      </c>
      <c r="F446" s="9" t="str">
        <f ca="1">IF(Data!B446="","",IF(ISNUMBER(Data!F446),IF(AND(Data!F446&gt;(TODAY()-(Data_Val!$H$3*365.25)),Data!F446&lt;=(TODAY()-(Data_Val!$H$2*365.25))),0,1),1))</f>
        <v/>
      </c>
      <c r="G446" s="15" t="str">
        <f>IF(Data!B446="","",IF(AND(Data!G446="",Data!H446&lt;&gt;""),1,IF(Data!#REF!&lt;&gt;"",0,IF(ISNUMBER(MATCH(Data!G446,Data_Val!$C$2:$C$5,0)),0,1))))</f>
        <v/>
      </c>
      <c r="H446" s="15" t="str">
        <f>IF(Data!B446="","",IF(AND(Data!G446&lt;&gt;"",Data!H446=""),1,IF(Data!#REF!&lt;&gt;"",0,IF(Data!G446="",1,IF(ISNUMBER(MATCH(Data!H446,Data_Val!$D$2:$D$35,0)),0,1)))))</f>
        <v/>
      </c>
      <c r="I446" s="15" t="str">
        <f>IF(Data!B446="","",IF(Data!G446&lt;&gt;"",0,IF(ISNUMBER(MATCH(Data!#REF!,Data_Val!$E$2:$E$12,0)),0,1)))</f>
        <v/>
      </c>
      <c r="J446" s="16" t="e">
        <f>IF(OR(Data!B446="",Data!#REF!=""),"",IF(Data!#REF!="",1,0))</f>
        <v>#REF!</v>
      </c>
      <c r="K446" s="16" t="e">
        <f>IF(OR(Data!B446="",Data!#REF!=""),"",IF(Data!#REF!="",1,0))</f>
        <v>#REF!</v>
      </c>
      <c r="L446" s="16" t="e">
        <f>IF(OR(Data!B446="",Data!#REF!=""),"",IF(ISNUMBER(Data!#REF!),IF(AND(Data!#REF!&gt;Data_Val!$G$2,Data!#REF!&lt;=Data_Val!$G$3),0,1),1))</f>
        <v>#REF!</v>
      </c>
      <c r="M446" s="9" t="e">
        <f>IF(OR(Data!B446="",Data!#REF!=""),"",IF(ISNUMBER(MATCH(Data!#REF!,Data_Val!$F$1:$F$38,0)),0,1))</f>
        <v>#REF!</v>
      </c>
      <c r="N446" s="9" t="e">
        <f>IF(OR(Data!B446="",Data!#REF!=""),"",IF(Data!#REF!="",1,0))</f>
        <v>#REF!</v>
      </c>
      <c r="O446" s="17" t="e">
        <f>IF(Data!#REF!="","",IF(Data!#REF!="",1,0))</f>
        <v>#REF!</v>
      </c>
      <c r="P446" s="17" t="e">
        <f>IF(Data!#REF!="","",IF(ISNUMBER(MATCH(Data!#REF!,Data_Val!$A$2:$A$3,0)),0,1))</f>
        <v>#REF!</v>
      </c>
      <c r="Q446" s="25" t="e">
        <f ca="1">IF(Data!#REF!="","",IF(ISNUMBER(Data!#REF!),IF(AND(Data!#REF!&gt;(TODAY()-(Data_Val!$J$3*365.25)),Data!#REF!&lt;=(TODAY()-(Data_Val!$J$2*365.25))),0,1),1))</f>
        <v>#REF!</v>
      </c>
      <c r="R446" s="17" t="e">
        <f>IF(Data!#REF!="","",IF(ISNUMBER(MATCH(Data!#REF!,Data_Val!$B$2:$B$15,0)),0,1))</f>
        <v>#REF!</v>
      </c>
      <c r="S446" s="11" t="str">
        <f>IF(Data!G446="","",IF(Data!G446=Data_Val!$C$2,IF(Data!M446="",0,1),0))</f>
        <v/>
      </c>
      <c r="T446" s="11" t="str">
        <f>IF(Data!M446="","",IF(ISNUMBER(MATCH(Data!N446,Data_Val!$A$2:$A$3,0)),0,1))</f>
        <v/>
      </c>
      <c r="U446" s="11" t="str">
        <f ca="1">IF(Data!M446="","",IF(ISNUMBER(Data!O446),IF(AND(Data!O446&gt;(TODAY()-(Data_Val!$K$3*365.25)),Data!O446&lt;=(TODAY()-(Data_Val!$K$2*365.25))),0,1),1))</f>
        <v/>
      </c>
      <c r="V446" s="12" t="str">
        <f>IF(Data!G446="","",IF(Data!G446=Data_Val!$C$2,IF(Data!P446="",0,1),0))</f>
        <v/>
      </c>
      <c r="W446" s="12" t="str">
        <f>IF(Data!P446="","",IF(ISNUMBER(MATCH(Data!Q446,Data_Val!$A$2:$A$3,0)),0,1))</f>
        <v/>
      </c>
      <c r="X446" s="26" t="str">
        <f ca="1">IF(Data!P446="","",IF(ISNUMBER(Data!R446),IF(AND(Data!R446&gt;(TODAY()-(Data_Val!$L$3*365.25)),Data!R446&lt;=(TODAY()-(Data_Val!$L$2*365.25))),0,1),1))</f>
        <v/>
      </c>
      <c r="Y446" s="13" t="str">
        <f>IF(Data!$G446="","",IF(Data!$G446=Data_Val!$C$2,IF(Data!S446="",0,1),0))</f>
        <v/>
      </c>
      <c r="Z446" s="13" t="str">
        <f>IF(Data!S446="","",IF(ISNUMBER(MATCH(Data!T446,Data_Val!$A$2:$A$3,0)),0,1))</f>
        <v/>
      </c>
      <c r="AA446" s="28" t="str">
        <f ca="1">IF(Data!S446="","",IF(ISNUMBER(Data!U446),IF(AND(Data!U446&gt;(TODAY()-(Data_Val!$L$3*365.25)),Data!U446&lt;=(TODAY()-(Data_Val!$L$2*365.25))),0,1),1))</f>
        <v/>
      </c>
      <c r="AB446" s="11"/>
      <c r="AC446" s="11" t="e">
        <f>IF(Data!#REF!="","",IF(ISNUMBER(MATCH(Data!#REF!,Data_Val!$A$2:$A$3,0)),0,1))</f>
        <v>#REF!</v>
      </c>
      <c r="AD446" s="11" t="e">
        <f ca="1">IF(Data!#REF!="","",IF(ISNUMBER(Data!#REF!),IF(AND(Data!#REF!&gt;(TODAY()-(Data_Val!$L$3*365.25)),Data!#REF!&lt;=(TODAY()-(Data_Val!$L$2*365.25))),0,1),1))</f>
        <v>#REF!</v>
      </c>
      <c r="AE446" s="11" t="e">
        <f>IF(Data!#REF!="","",IF(Data!$G446="",1,IF(ISNUMBER(MATCH(Data!#REF!,Data_Val!$D$2:$D$10,0)),0,1)))</f>
        <v>#REF!</v>
      </c>
      <c r="AF446" s="12"/>
      <c r="AG446" s="12" t="e">
        <f>IF(Data!#REF!="","",IF(ISNUMBER(MATCH(Data!#REF!,Data_Val!$A$2:$A$3,0)),0,1))</f>
        <v>#REF!</v>
      </c>
      <c r="AH446" s="26" t="e">
        <f ca="1">IF(Data!#REF!="","",IF(ISNUMBER(Data!#REF!),IF(AND(Data!#REF!&gt;(TODAY()-(Data_Val!$L$3*365.25)),Data!#REF!&lt;=(TODAY()-(Data_Val!$L$2*365.25))),0,1),1))</f>
        <v>#REF!</v>
      </c>
      <c r="AI446" s="12" t="e">
        <f>IF(Data!#REF!="","",IF(Data!$G446="",1,IF(ISNUMBER(MATCH(Data!#REF!,Data_Val!$D$2:$D$10,0)),0,1)))</f>
        <v>#REF!</v>
      </c>
      <c r="AJ446" s="17"/>
      <c r="AK446" s="17" t="e">
        <f>IF(Data!#REF!="","",IF(ISNUMBER(MATCH(Data!#REF!,Data_Val!$A$2:$A$3,0)),0,1))</f>
        <v>#REF!</v>
      </c>
      <c r="AL446" s="25" t="e">
        <f ca="1">IF(Data!#REF!="","",IF(ISNUMBER(Data!#REF!),IF(AND(Data!#REF!&gt;(TODAY()-(Data_Val!$L$3*365.25)),Data!#REF!&lt;=(TODAY()-(Data_Val!$L$2*365.25))),0,1),1))</f>
        <v>#REF!</v>
      </c>
      <c r="AM446" s="17" t="e">
        <f>IF(Data!#REF!="","",IF(Data!$G446="",1,IF(ISNUMBER(MATCH(Data!#REF!,Data_Val!$D$2:$D$10,0)),0,1)))</f>
        <v>#REF!</v>
      </c>
      <c r="AN446" s="13"/>
      <c r="AO446" s="28" t="e">
        <f ca="1">IF(Data!#REF!="","",IF(ISNUMBER(Data!#REF!),IF(AND(Data!#REF!&gt;(TODAY()-(Data_Val!$I$3*365.25)),Data!#REF!&lt;=(TODAY()-(Data_Val!$I$2*365.25))),0,1),1))</f>
        <v>#REF!</v>
      </c>
      <c r="AP446" s="13" t="e">
        <f>IF(Data!#REF!="","",IF(Data!$G446="",1,IF(ISNUMBER(MATCH(Data!#REF!,Data_Val!$D$2:$D$10,0)),0,1)))</f>
        <v>#REF!</v>
      </c>
      <c r="AQ446" s="17"/>
      <c r="AR446" s="30" t="e">
        <f ca="1">IF(Data!#REF!="","",IF(ISNUMBER(Data!#REF!),IF(AND(Data!#REF!&gt;(TODAY()-(Data_Val!$I$3*365.25)),Data!#REF!&lt;=(TODAY()-(Data_Val!$I$2*365.25))),0,1),1))</f>
        <v>#REF!</v>
      </c>
      <c r="AS446" s="31" t="e">
        <f>IF(Data!#REF!="","",IF(Data!$G446="",1,IF(ISNUMBER(MATCH(Data!#REF!,Data_Val!$D$2:$D$10,0)),0,1)))</f>
        <v>#REF!</v>
      </c>
      <c r="AT446" s="11"/>
      <c r="AU446" s="11" t="e">
        <f ca="1">IF(Data!#REF!="","",IF(ISNUMBER(Data!#REF!),IF(AND(Data!#REF!&gt;(TODAY()-(Data_Val!$I$3*365.25)),Data!#REF!&lt;=(TODAY()-(Data_Val!$I$2*365.25))),0,1),1))</f>
        <v>#REF!</v>
      </c>
      <c r="AV446" s="11" t="e">
        <f>IF(Data!#REF!="","",IF(Data!$G446="",1,IF(ISNUMBER(MATCH(Data!#REF!,Data_Val!$D$2:$D$10,0)),0,1)))</f>
        <v>#REF!</v>
      </c>
      <c r="AW446" s="12"/>
      <c r="AX446" s="26" t="e">
        <f ca="1">IF(Data!#REF!="","",IF(ISNUMBER(Data!#REF!),IF(AND(Data!#REF!&gt;(TODAY()-(Data_Val!$I$3*365.25)),Data!#REF!&lt;=(TODAY()-(Data_Val!$I$2*365.25))),0,1),1))</f>
        <v>#REF!</v>
      </c>
      <c r="AY446" s="12" t="e">
        <f>IF(Data!#REF!="","",IF(Data!$G446="",1,IF(ISNUMBER(MATCH(Data!#REF!,Data_Val!$D$2:$D$10,0)),0,1)))</f>
        <v>#REF!</v>
      </c>
      <c r="AZ446" s="11"/>
      <c r="BA446" s="19" t="e">
        <f ca="1">IF(Data!#REF!="","",IF(ISNUMBER(Data!#REF!),IF(AND(Data!#REF!&gt;(TODAY()-(Data_Val!$M$3*365.25)),Data!#REF!&lt;=(TODAY()-(Data_Val!$M$2*365.25))),0,1),1))</f>
        <v>#REF!</v>
      </c>
      <c r="BB446" s="11" t="e">
        <f>IF(Data!#REF!="","",IF(Data!$G446="",1,IF(ISNUMBER(MATCH(Data!#REF!,Data_Val!$D$2:$D$10,0)),0,1)))</f>
        <v>#REF!</v>
      </c>
      <c r="BC446" s="12"/>
      <c r="BD446" s="20" t="e">
        <f ca="1">IF(Data!#REF!="","",IF(ISNUMBER(Data!#REF!),IF(AND(Data!#REF!&gt;(TODAY()-(Data_Val!$M$3*365.25)),Data!#REF!&lt;=(TODAY()-(Data_Val!$M$2*365.25))),0,1),1))</f>
        <v>#REF!</v>
      </c>
      <c r="BE446" s="12" t="e">
        <f>IF(Data!#REF!="","",IF(Data!$G446="",1,IF(ISNUMBER(MATCH(Data!#REF!,Data_Val!$D$2:$D$10,0)),0,1)))</f>
        <v>#REF!</v>
      </c>
      <c r="BF446" s="17"/>
      <c r="BG446" s="18" t="e">
        <f ca="1">IF(Data!#REF!="","",IF(ISNUMBER(Data!#REF!),IF(AND(Data!#REF!&gt;(TODAY()-(Data_Val!$M$3*365.25)),Data!#REF!&lt;=(TODAY()-(Data_Val!$M$2*365.25))),0,1),1))</f>
        <v>#REF!</v>
      </c>
      <c r="BH446" s="29" t="e">
        <f>IF(Data!#REF!="","",IF(Data!$G446="",1,IF(ISNUMBER(MATCH(Data!#REF!,Data_Val!$D$2:$D$10,0)),0,1)))</f>
        <v>#REF!</v>
      </c>
      <c r="BI446" s="13"/>
      <c r="BJ446" s="21" t="e">
        <f ca="1">IF(Data!#REF!="","",IF(ISNUMBER(Data!#REF!),IF(AND(Data!#REF!&gt;(TODAY()-(Data_Val!$M$3*365.25)),Data!#REF!&lt;=(TODAY()-(Data_Val!$M$2*365.25))),0,1),1))</f>
        <v>#REF!</v>
      </c>
      <c r="BK446" s="13" t="e">
        <f>IF(Data!#REF!="","",IF(Data!$G446="",1,IF(ISNUMBER(MATCH(Data!#REF!,Data_Val!$D$2:$D$10,0)),0,1)))</f>
        <v>#REF!</v>
      </c>
    </row>
    <row r="447" spans="1:63" x14ac:dyDescent="0.25">
      <c r="A447" s="9" t="str">
        <f>IF(Data!B447="","",IF(COUNTIFS(Data!A$1:'Data'!A447,Data!A447)&lt;=1,0,1))</f>
        <v/>
      </c>
      <c r="B447" s="9"/>
      <c r="C447" s="23" t="str">
        <f>IF(Data!C447="","",(IF(ISNUMBER(MATCH("*@*.?*",Data!C447,0)),0,1)+IF(COUNTIFS(Data!C$1:'Data'!C447,Data!C447)&gt;1,1,0)))</f>
        <v/>
      </c>
      <c r="D447" s="9" t="str">
        <f>IF(Data!B447="","",IF(ISNUMBER(Data!D447),IF(AND(Data!D447&gt;999999999,Data!D447&lt;=9999999999),IF(COUNTIFS(Data!D$1:'Data'!D447,Data!D447)&lt;=1,0,1),1),1))</f>
        <v/>
      </c>
      <c r="E447" s="9" t="str">
        <f>IF(Data!B447="","",IF(ISNUMBER(MATCH(Data!E447,Data_Val!$A$2:$A$3,0)),0,1))</f>
        <v/>
      </c>
      <c r="F447" s="9" t="str">
        <f ca="1">IF(Data!B447="","",IF(ISNUMBER(Data!F447),IF(AND(Data!F447&gt;(TODAY()-(Data_Val!$H$3*365.25)),Data!F447&lt;=(TODAY()-(Data_Val!$H$2*365.25))),0,1),1))</f>
        <v/>
      </c>
      <c r="G447" s="15" t="str">
        <f>IF(Data!B447="","",IF(AND(Data!G447="",Data!H447&lt;&gt;""),1,IF(Data!#REF!&lt;&gt;"",0,IF(ISNUMBER(MATCH(Data!G447,Data_Val!$C$2:$C$5,0)),0,1))))</f>
        <v/>
      </c>
      <c r="H447" s="15" t="str">
        <f>IF(Data!B447="","",IF(AND(Data!G447&lt;&gt;"",Data!H447=""),1,IF(Data!#REF!&lt;&gt;"",0,IF(Data!G447="",1,IF(ISNUMBER(MATCH(Data!H447,Data_Val!$D$2:$D$35,0)),0,1)))))</f>
        <v/>
      </c>
      <c r="I447" s="15" t="str">
        <f>IF(Data!B447="","",IF(Data!G447&lt;&gt;"",0,IF(ISNUMBER(MATCH(Data!#REF!,Data_Val!$E$2:$E$12,0)),0,1)))</f>
        <v/>
      </c>
      <c r="J447" s="16" t="e">
        <f>IF(OR(Data!B447="",Data!#REF!=""),"",IF(Data!#REF!="",1,0))</f>
        <v>#REF!</v>
      </c>
      <c r="K447" s="16" t="e">
        <f>IF(OR(Data!B447="",Data!#REF!=""),"",IF(Data!#REF!="",1,0))</f>
        <v>#REF!</v>
      </c>
      <c r="L447" s="16" t="e">
        <f>IF(OR(Data!B447="",Data!#REF!=""),"",IF(ISNUMBER(Data!#REF!),IF(AND(Data!#REF!&gt;Data_Val!$G$2,Data!#REF!&lt;=Data_Val!$G$3),0,1),1))</f>
        <v>#REF!</v>
      </c>
      <c r="M447" s="9" t="e">
        <f>IF(OR(Data!B447="",Data!#REF!=""),"",IF(ISNUMBER(MATCH(Data!#REF!,Data_Val!$F$1:$F$38,0)),0,1))</f>
        <v>#REF!</v>
      </c>
      <c r="N447" s="9" t="e">
        <f>IF(OR(Data!B447="",Data!#REF!=""),"",IF(Data!#REF!="",1,0))</f>
        <v>#REF!</v>
      </c>
      <c r="O447" s="17" t="e">
        <f>IF(Data!#REF!="","",IF(Data!#REF!="",1,0))</f>
        <v>#REF!</v>
      </c>
      <c r="P447" s="17" t="e">
        <f>IF(Data!#REF!="","",IF(ISNUMBER(MATCH(Data!#REF!,Data_Val!$A$2:$A$3,0)),0,1))</f>
        <v>#REF!</v>
      </c>
      <c r="Q447" s="25" t="e">
        <f ca="1">IF(Data!#REF!="","",IF(ISNUMBER(Data!#REF!),IF(AND(Data!#REF!&gt;(TODAY()-(Data_Val!$J$3*365.25)),Data!#REF!&lt;=(TODAY()-(Data_Val!$J$2*365.25))),0,1),1))</f>
        <v>#REF!</v>
      </c>
      <c r="R447" s="17" t="e">
        <f>IF(Data!#REF!="","",IF(ISNUMBER(MATCH(Data!#REF!,Data_Val!$B$2:$B$15,0)),0,1))</f>
        <v>#REF!</v>
      </c>
      <c r="S447" s="11" t="str">
        <f>IF(Data!G447="","",IF(Data!G447=Data_Val!$C$2,IF(Data!M447="",0,1),0))</f>
        <v/>
      </c>
      <c r="T447" s="11" t="str">
        <f>IF(Data!M447="","",IF(ISNUMBER(MATCH(Data!N447,Data_Val!$A$2:$A$3,0)),0,1))</f>
        <v/>
      </c>
      <c r="U447" s="11" t="str">
        <f ca="1">IF(Data!M447="","",IF(ISNUMBER(Data!O447),IF(AND(Data!O447&gt;(TODAY()-(Data_Val!$K$3*365.25)),Data!O447&lt;=(TODAY()-(Data_Val!$K$2*365.25))),0,1),1))</f>
        <v/>
      </c>
      <c r="V447" s="12" t="str">
        <f>IF(Data!G447="","",IF(Data!G447=Data_Val!$C$2,IF(Data!P447="",0,1),0))</f>
        <v/>
      </c>
      <c r="W447" s="12" t="str">
        <f>IF(Data!P447="","",IF(ISNUMBER(MATCH(Data!Q447,Data_Val!$A$2:$A$3,0)),0,1))</f>
        <v/>
      </c>
      <c r="X447" s="26" t="str">
        <f ca="1">IF(Data!P447="","",IF(ISNUMBER(Data!R447),IF(AND(Data!R447&gt;(TODAY()-(Data_Val!$L$3*365.25)),Data!R447&lt;=(TODAY()-(Data_Val!$L$2*365.25))),0,1),1))</f>
        <v/>
      </c>
      <c r="Y447" s="13" t="str">
        <f>IF(Data!$G447="","",IF(Data!$G447=Data_Val!$C$2,IF(Data!S447="",0,1),0))</f>
        <v/>
      </c>
      <c r="Z447" s="13" t="str">
        <f>IF(Data!S447="","",IF(ISNUMBER(MATCH(Data!T447,Data_Val!$A$2:$A$3,0)),0,1))</f>
        <v/>
      </c>
      <c r="AA447" s="28" t="str">
        <f ca="1">IF(Data!S447="","",IF(ISNUMBER(Data!U447),IF(AND(Data!U447&gt;(TODAY()-(Data_Val!$L$3*365.25)),Data!U447&lt;=(TODAY()-(Data_Val!$L$2*365.25))),0,1),1))</f>
        <v/>
      </c>
      <c r="AB447" s="11"/>
      <c r="AC447" s="11" t="e">
        <f>IF(Data!#REF!="","",IF(ISNUMBER(MATCH(Data!#REF!,Data_Val!$A$2:$A$3,0)),0,1))</f>
        <v>#REF!</v>
      </c>
      <c r="AD447" s="11" t="e">
        <f ca="1">IF(Data!#REF!="","",IF(ISNUMBER(Data!#REF!),IF(AND(Data!#REF!&gt;(TODAY()-(Data_Val!$L$3*365.25)),Data!#REF!&lt;=(TODAY()-(Data_Val!$L$2*365.25))),0,1),1))</f>
        <v>#REF!</v>
      </c>
      <c r="AE447" s="11" t="e">
        <f>IF(Data!#REF!="","",IF(Data!$G447="",1,IF(ISNUMBER(MATCH(Data!#REF!,Data_Val!$D$2:$D$10,0)),0,1)))</f>
        <v>#REF!</v>
      </c>
      <c r="AF447" s="12"/>
      <c r="AG447" s="12" t="e">
        <f>IF(Data!#REF!="","",IF(ISNUMBER(MATCH(Data!#REF!,Data_Val!$A$2:$A$3,0)),0,1))</f>
        <v>#REF!</v>
      </c>
      <c r="AH447" s="26" t="e">
        <f ca="1">IF(Data!#REF!="","",IF(ISNUMBER(Data!#REF!),IF(AND(Data!#REF!&gt;(TODAY()-(Data_Val!$L$3*365.25)),Data!#REF!&lt;=(TODAY()-(Data_Val!$L$2*365.25))),0,1),1))</f>
        <v>#REF!</v>
      </c>
      <c r="AI447" s="12" t="e">
        <f>IF(Data!#REF!="","",IF(Data!$G447="",1,IF(ISNUMBER(MATCH(Data!#REF!,Data_Val!$D$2:$D$10,0)),0,1)))</f>
        <v>#REF!</v>
      </c>
      <c r="AJ447" s="17"/>
      <c r="AK447" s="17" t="e">
        <f>IF(Data!#REF!="","",IF(ISNUMBER(MATCH(Data!#REF!,Data_Val!$A$2:$A$3,0)),0,1))</f>
        <v>#REF!</v>
      </c>
      <c r="AL447" s="25" t="e">
        <f ca="1">IF(Data!#REF!="","",IF(ISNUMBER(Data!#REF!),IF(AND(Data!#REF!&gt;(TODAY()-(Data_Val!$L$3*365.25)),Data!#REF!&lt;=(TODAY()-(Data_Val!$L$2*365.25))),0,1),1))</f>
        <v>#REF!</v>
      </c>
      <c r="AM447" s="17" t="e">
        <f>IF(Data!#REF!="","",IF(Data!$G447="",1,IF(ISNUMBER(MATCH(Data!#REF!,Data_Val!$D$2:$D$10,0)),0,1)))</f>
        <v>#REF!</v>
      </c>
      <c r="AN447" s="13"/>
      <c r="AO447" s="28" t="e">
        <f ca="1">IF(Data!#REF!="","",IF(ISNUMBER(Data!#REF!),IF(AND(Data!#REF!&gt;(TODAY()-(Data_Val!$I$3*365.25)),Data!#REF!&lt;=(TODAY()-(Data_Val!$I$2*365.25))),0,1),1))</f>
        <v>#REF!</v>
      </c>
      <c r="AP447" s="13" t="e">
        <f>IF(Data!#REF!="","",IF(Data!$G447="",1,IF(ISNUMBER(MATCH(Data!#REF!,Data_Val!$D$2:$D$10,0)),0,1)))</f>
        <v>#REF!</v>
      </c>
      <c r="AQ447" s="17"/>
      <c r="AR447" s="30" t="e">
        <f ca="1">IF(Data!#REF!="","",IF(ISNUMBER(Data!#REF!),IF(AND(Data!#REF!&gt;(TODAY()-(Data_Val!$I$3*365.25)),Data!#REF!&lt;=(TODAY()-(Data_Val!$I$2*365.25))),0,1),1))</f>
        <v>#REF!</v>
      </c>
      <c r="AS447" s="31" t="e">
        <f>IF(Data!#REF!="","",IF(Data!$G447="",1,IF(ISNUMBER(MATCH(Data!#REF!,Data_Val!$D$2:$D$10,0)),0,1)))</f>
        <v>#REF!</v>
      </c>
      <c r="AT447" s="11"/>
      <c r="AU447" s="11" t="e">
        <f ca="1">IF(Data!#REF!="","",IF(ISNUMBER(Data!#REF!),IF(AND(Data!#REF!&gt;(TODAY()-(Data_Val!$I$3*365.25)),Data!#REF!&lt;=(TODAY()-(Data_Val!$I$2*365.25))),0,1),1))</f>
        <v>#REF!</v>
      </c>
      <c r="AV447" s="11" t="e">
        <f>IF(Data!#REF!="","",IF(Data!$G447="",1,IF(ISNUMBER(MATCH(Data!#REF!,Data_Val!$D$2:$D$10,0)),0,1)))</f>
        <v>#REF!</v>
      </c>
      <c r="AW447" s="12"/>
      <c r="AX447" s="26" t="e">
        <f ca="1">IF(Data!#REF!="","",IF(ISNUMBER(Data!#REF!),IF(AND(Data!#REF!&gt;(TODAY()-(Data_Val!$I$3*365.25)),Data!#REF!&lt;=(TODAY()-(Data_Val!$I$2*365.25))),0,1),1))</f>
        <v>#REF!</v>
      </c>
      <c r="AY447" s="12" t="e">
        <f>IF(Data!#REF!="","",IF(Data!$G447="",1,IF(ISNUMBER(MATCH(Data!#REF!,Data_Val!$D$2:$D$10,0)),0,1)))</f>
        <v>#REF!</v>
      </c>
      <c r="AZ447" s="11"/>
      <c r="BA447" s="19" t="e">
        <f ca="1">IF(Data!#REF!="","",IF(ISNUMBER(Data!#REF!),IF(AND(Data!#REF!&gt;(TODAY()-(Data_Val!$M$3*365.25)),Data!#REF!&lt;=(TODAY()-(Data_Val!$M$2*365.25))),0,1),1))</f>
        <v>#REF!</v>
      </c>
      <c r="BB447" s="11" t="e">
        <f>IF(Data!#REF!="","",IF(Data!$G447="",1,IF(ISNUMBER(MATCH(Data!#REF!,Data_Val!$D$2:$D$10,0)),0,1)))</f>
        <v>#REF!</v>
      </c>
      <c r="BC447" s="12"/>
      <c r="BD447" s="20" t="e">
        <f ca="1">IF(Data!#REF!="","",IF(ISNUMBER(Data!#REF!),IF(AND(Data!#REF!&gt;(TODAY()-(Data_Val!$M$3*365.25)),Data!#REF!&lt;=(TODAY()-(Data_Val!$M$2*365.25))),0,1),1))</f>
        <v>#REF!</v>
      </c>
      <c r="BE447" s="12" t="e">
        <f>IF(Data!#REF!="","",IF(Data!$G447="",1,IF(ISNUMBER(MATCH(Data!#REF!,Data_Val!$D$2:$D$10,0)),0,1)))</f>
        <v>#REF!</v>
      </c>
      <c r="BF447" s="17"/>
      <c r="BG447" s="18" t="e">
        <f ca="1">IF(Data!#REF!="","",IF(ISNUMBER(Data!#REF!),IF(AND(Data!#REF!&gt;(TODAY()-(Data_Val!$M$3*365.25)),Data!#REF!&lt;=(TODAY()-(Data_Val!$M$2*365.25))),0,1),1))</f>
        <v>#REF!</v>
      </c>
      <c r="BH447" s="29" t="e">
        <f>IF(Data!#REF!="","",IF(Data!$G447="",1,IF(ISNUMBER(MATCH(Data!#REF!,Data_Val!$D$2:$D$10,0)),0,1)))</f>
        <v>#REF!</v>
      </c>
      <c r="BI447" s="13"/>
      <c r="BJ447" s="21" t="e">
        <f ca="1">IF(Data!#REF!="","",IF(ISNUMBER(Data!#REF!),IF(AND(Data!#REF!&gt;(TODAY()-(Data_Val!$M$3*365.25)),Data!#REF!&lt;=(TODAY()-(Data_Val!$M$2*365.25))),0,1),1))</f>
        <v>#REF!</v>
      </c>
      <c r="BK447" s="13" t="e">
        <f>IF(Data!#REF!="","",IF(Data!$G447="",1,IF(ISNUMBER(MATCH(Data!#REF!,Data_Val!$D$2:$D$10,0)),0,1)))</f>
        <v>#REF!</v>
      </c>
    </row>
    <row r="448" spans="1:63" x14ac:dyDescent="0.25">
      <c r="A448" s="9" t="str">
        <f>IF(Data!B448="","",IF(COUNTIFS(Data!A$1:'Data'!A448,Data!A448)&lt;=1,0,1))</f>
        <v/>
      </c>
      <c r="B448" s="9"/>
      <c r="C448" s="23" t="str">
        <f>IF(Data!C448="","",(IF(ISNUMBER(MATCH("*@*.?*",Data!C448,0)),0,1)+IF(COUNTIFS(Data!C$1:'Data'!C448,Data!C448)&gt;1,1,0)))</f>
        <v/>
      </c>
      <c r="D448" s="9" t="str">
        <f>IF(Data!B448="","",IF(ISNUMBER(Data!D448),IF(AND(Data!D448&gt;999999999,Data!D448&lt;=9999999999),IF(COUNTIFS(Data!D$1:'Data'!D448,Data!D448)&lt;=1,0,1),1),1))</f>
        <v/>
      </c>
      <c r="E448" s="9" t="str">
        <f>IF(Data!B448="","",IF(ISNUMBER(MATCH(Data!E448,Data_Val!$A$2:$A$3,0)),0,1))</f>
        <v/>
      </c>
      <c r="F448" s="9" t="str">
        <f ca="1">IF(Data!B448="","",IF(ISNUMBER(Data!F448),IF(AND(Data!F448&gt;(TODAY()-(Data_Val!$H$3*365.25)),Data!F448&lt;=(TODAY()-(Data_Val!$H$2*365.25))),0,1),1))</f>
        <v/>
      </c>
      <c r="G448" s="15" t="str">
        <f>IF(Data!B448="","",IF(AND(Data!G448="",Data!H448&lt;&gt;""),1,IF(Data!#REF!&lt;&gt;"",0,IF(ISNUMBER(MATCH(Data!G448,Data_Val!$C$2:$C$5,0)),0,1))))</f>
        <v/>
      </c>
      <c r="H448" s="15" t="str">
        <f>IF(Data!B448="","",IF(AND(Data!G448&lt;&gt;"",Data!H448=""),1,IF(Data!#REF!&lt;&gt;"",0,IF(Data!G448="",1,IF(ISNUMBER(MATCH(Data!H448,Data_Val!$D$2:$D$35,0)),0,1)))))</f>
        <v/>
      </c>
      <c r="I448" s="15" t="str">
        <f>IF(Data!B448="","",IF(Data!G448&lt;&gt;"",0,IF(ISNUMBER(MATCH(Data!#REF!,Data_Val!$E$2:$E$12,0)),0,1)))</f>
        <v/>
      </c>
      <c r="J448" s="16" t="e">
        <f>IF(OR(Data!B448="",Data!#REF!=""),"",IF(Data!#REF!="",1,0))</f>
        <v>#REF!</v>
      </c>
      <c r="K448" s="16" t="e">
        <f>IF(OR(Data!B448="",Data!#REF!=""),"",IF(Data!#REF!="",1,0))</f>
        <v>#REF!</v>
      </c>
      <c r="L448" s="16" t="e">
        <f>IF(OR(Data!B448="",Data!#REF!=""),"",IF(ISNUMBER(Data!#REF!),IF(AND(Data!#REF!&gt;Data_Val!$G$2,Data!#REF!&lt;=Data_Val!$G$3),0,1),1))</f>
        <v>#REF!</v>
      </c>
      <c r="M448" s="9" t="e">
        <f>IF(OR(Data!B448="",Data!#REF!=""),"",IF(ISNUMBER(MATCH(Data!#REF!,Data_Val!$F$1:$F$38,0)),0,1))</f>
        <v>#REF!</v>
      </c>
      <c r="N448" s="9" t="e">
        <f>IF(OR(Data!B448="",Data!#REF!=""),"",IF(Data!#REF!="",1,0))</f>
        <v>#REF!</v>
      </c>
      <c r="O448" s="17" t="e">
        <f>IF(Data!#REF!="","",IF(Data!#REF!="",1,0))</f>
        <v>#REF!</v>
      </c>
      <c r="P448" s="17" t="e">
        <f>IF(Data!#REF!="","",IF(ISNUMBER(MATCH(Data!#REF!,Data_Val!$A$2:$A$3,0)),0,1))</f>
        <v>#REF!</v>
      </c>
      <c r="Q448" s="25" t="e">
        <f ca="1">IF(Data!#REF!="","",IF(ISNUMBER(Data!#REF!),IF(AND(Data!#REF!&gt;(TODAY()-(Data_Val!$J$3*365.25)),Data!#REF!&lt;=(TODAY()-(Data_Val!$J$2*365.25))),0,1),1))</f>
        <v>#REF!</v>
      </c>
      <c r="R448" s="17" t="e">
        <f>IF(Data!#REF!="","",IF(ISNUMBER(MATCH(Data!#REF!,Data_Val!$B$2:$B$15,0)),0,1))</f>
        <v>#REF!</v>
      </c>
      <c r="S448" s="11" t="str">
        <f>IF(Data!G448="","",IF(Data!G448=Data_Val!$C$2,IF(Data!M448="",0,1),0))</f>
        <v/>
      </c>
      <c r="T448" s="11" t="str">
        <f>IF(Data!M448="","",IF(ISNUMBER(MATCH(Data!N448,Data_Val!$A$2:$A$3,0)),0,1))</f>
        <v/>
      </c>
      <c r="U448" s="11" t="str">
        <f ca="1">IF(Data!M448="","",IF(ISNUMBER(Data!O448),IF(AND(Data!O448&gt;(TODAY()-(Data_Val!$K$3*365.25)),Data!O448&lt;=(TODAY()-(Data_Val!$K$2*365.25))),0,1),1))</f>
        <v/>
      </c>
      <c r="V448" s="12" t="str">
        <f>IF(Data!G448="","",IF(Data!G448=Data_Val!$C$2,IF(Data!P448="",0,1),0))</f>
        <v/>
      </c>
      <c r="W448" s="12" t="str">
        <f>IF(Data!P448="","",IF(ISNUMBER(MATCH(Data!Q448,Data_Val!$A$2:$A$3,0)),0,1))</f>
        <v/>
      </c>
      <c r="X448" s="26" t="str">
        <f ca="1">IF(Data!P448="","",IF(ISNUMBER(Data!R448),IF(AND(Data!R448&gt;(TODAY()-(Data_Val!$L$3*365.25)),Data!R448&lt;=(TODAY()-(Data_Val!$L$2*365.25))),0,1),1))</f>
        <v/>
      </c>
      <c r="Y448" s="13" t="str">
        <f>IF(Data!$G448="","",IF(Data!$G448=Data_Val!$C$2,IF(Data!S448="",0,1),0))</f>
        <v/>
      </c>
      <c r="Z448" s="13" t="str">
        <f>IF(Data!S448="","",IF(ISNUMBER(MATCH(Data!T448,Data_Val!$A$2:$A$3,0)),0,1))</f>
        <v/>
      </c>
      <c r="AA448" s="28" t="str">
        <f ca="1">IF(Data!S448="","",IF(ISNUMBER(Data!U448),IF(AND(Data!U448&gt;(TODAY()-(Data_Val!$L$3*365.25)),Data!U448&lt;=(TODAY()-(Data_Val!$L$2*365.25))),0,1),1))</f>
        <v/>
      </c>
      <c r="AB448" s="11"/>
      <c r="AC448" s="11" t="e">
        <f>IF(Data!#REF!="","",IF(ISNUMBER(MATCH(Data!#REF!,Data_Val!$A$2:$A$3,0)),0,1))</f>
        <v>#REF!</v>
      </c>
      <c r="AD448" s="11" t="e">
        <f ca="1">IF(Data!#REF!="","",IF(ISNUMBER(Data!#REF!),IF(AND(Data!#REF!&gt;(TODAY()-(Data_Val!$L$3*365.25)),Data!#REF!&lt;=(TODAY()-(Data_Val!$L$2*365.25))),0,1),1))</f>
        <v>#REF!</v>
      </c>
      <c r="AE448" s="11" t="e">
        <f>IF(Data!#REF!="","",IF(Data!$G448="",1,IF(ISNUMBER(MATCH(Data!#REF!,Data_Val!$D$2:$D$10,0)),0,1)))</f>
        <v>#REF!</v>
      </c>
      <c r="AF448" s="12"/>
      <c r="AG448" s="12" t="e">
        <f>IF(Data!#REF!="","",IF(ISNUMBER(MATCH(Data!#REF!,Data_Val!$A$2:$A$3,0)),0,1))</f>
        <v>#REF!</v>
      </c>
      <c r="AH448" s="26" t="e">
        <f ca="1">IF(Data!#REF!="","",IF(ISNUMBER(Data!#REF!),IF(AND(Data!#REF!&gt;(TODAY()-(Data_Val!$L$3*365.25)),Data!#REF!&lt;=(TODAY()-(Data_Val!$L$2*365.25))),0,1),1))</f>
        <v>#REF!</v>
      </c>
      <c r="AI448" s="12" t="e">
        <f>IF(Data!#REF!="","",IF(Data!$G448="",1,IF(ISNUMBER(MATCH(Data!#REF!,Data_Val!$D$2:$D$10,0)),0,1)))</f>
        <v>#REF!</v>
      </c>
      <c r="AJ448" s="17"/>
      <c r="AK448" s="17" t="e">
        <f>IF(Data!#REF!="","",IF(ISNUMBER(MATCH(Data!#REF!,Data_Val!$A$2:$A$3,0)),0,1))</f>
        <v>#REF!</v>
      </c>
      <c r="AL448" s="25" t="e">
        <f ca="1">IF(Data!#REF!="","",IF(ISNUMBER(Data!#REF!),IF(AND(Data!#REF!&gt;(TODAY()-(Data_Val!$L$3*365.25)),Data!#REF!&lt;=(TODAY()-(Data_Val!$L$2*365.25))),0,1),1))</f>
        <v>#REF!</v>
      </c>
      <c r="AM448" s="17" t="e">
        <f>IF(Data!#REF!="","",IF(Data!$G448="",1,IF(ISNUMBER(MATCH(Data!#REF!,Data_Val!$D$2:$D$10,0)),0,1)))</f>
        <v>#REF!</v>
      </c>
      <c r="AN448" s="13"/>
      <c r="AO448" s="28" t="e">
        <f ca="1">IF(Data!#REF!="","",IF(ISNUMBER(Data!#REF!),IF(AND(Data!#REF!&gt;(TODAY()-(Data_Val!$I$3*365.25)),Data!#REF!&lt;=(TODAY()-(Data_Val!$I$2*365.25))),0,1),1))</f>
        <v>#REF!</v>
      </c>
      <c r="AP448" s="13" t="e">
        <f>IF(Data!#REF!="","",IF(Data!$G448="",1,IF(ISNUMBER(MATCH(Data!#REF!,Data_Val!$D$2:$D$10,0)),0,1)))</f>
        <v>#REF!</v>
      </c>
      <c r="AQ448" s="17"/>
      <c r="AR448" s="30" t="e">
        <f ca="1">IF(Data!#REF!="","",IF(ISNUMBER(Data!#REF!),IF(AND(Data!#REF!&gt;(TODAY()-(Data_Val!$I$3*365.25)),Data!#REF!&lt;=(TODAY()-(Data_Val!$I$2*365.25))),0,1),1))</f>
        <v>#REF!</v>
      </c>
      <c r="AS448" s="31" t="e">
        <f>IF(Data!#REF!="","",IF(Data!$G448="",1,IF(ISNUMBER(MATCH(Data!#REF!,Data_Val!$D$2:$D$10,0)),0,1)))</f>
        <v>#REF!</v>
      </c>
      <c r="AT448" s="11"/>
      <c r="AU448" s="11" t="e">
        <f ca="1">IF(Data!#REF!="","",IF(ISNUMBER(Data!#REF!),IF(AND(Data!#REF!&gt;(TODAY()-(Data_Val!$I$3*365.25)),Data!#REF!&lt;=(TODAY()-(Data_Val!$I$2*365.25))),0,1),1))</f>
        <v>#REF!</v>
      </c>
      <c r="AV448" s="11" t="e">
        <f>IF(Data!#REF!="","",IF(Data!$G448="",1,IF(ISNUMBER(MATCH(Data!#REF!,Data_Val!$D$2:$D$10,0)),0,1)))</f>
        <v>#REF!</v>
      </c>
      <c r="AW448" s="12"/>
      <c r="AX448" s="26" t="e">
        <f ca="1">IF(Data!#REF!="","",IF(ISNUMBER(Data!#REF!),IF(AND(Data!#REF!&gt;(TODAY()-(Data_Val!$I$3*365.25)),Data!#REF!&lt;=(TODAY()-(Data_Val!$I$2*365.25))),0,1),1))</f>
        <v>#REF!</v>
      </c>
      <c r="AY448" s="12" t="e">
        <f>IF(Data!#REF!="","",IF(Data!$G448="",1,IF(ISNUMBER(MATCH(Data!#REF!,Data_Val!$D$2:$D$10,0)),0,1)))</f>
        <v>#REF!</v>
      </c>
      <c r="AZ448" s="11"/>
      <c r="BA448" s="19" t="e">
        <f ca="1">IF(Data!#REF!="","",IF(ISNUMBER(Data!#REF!),IF(AND(Data!#REF!&gt;(TODAY()-(Data_Val!$M$3*365.25)),Data!#REF!&lt;=(TODAY()-(Data_Val!$M$2*365.25))),0,1),1))</f>
        <v>#REF!</v>
      </c>
      <c r="BB448" s="11" t="e">
        <f>IF(Data!#REF!="","",IF(Data!$G448="",1,IF(ISNUMBER(MATCH(Data!#REF!,Data_Val!$D$2:$D$10,0)),0,1)))</f>
        <v>#REF!</v>
      </c>
      <c r="BC448" s="12"/>
      <c r="BD448" s="20" t="e">
        <f ca="1">IF(Data!#REF!="","",IF(ISNUMBER(Data!#REF!),IF(AND(Data!#REF!&gt;(TODAY()-(Data_Val!$M$3*365.25)),Data!#REF!&lt;=(TODAY()-(Data_Val!$M$2*365.25))),0,1),1))</f>
        <v>#REF!</v>
      </c>
      <c r="BE448" s="12" t="e">
        <f>IF(Data!#REF!="","",IF(Data!$G448="",1,IF(ISNUMBER(MATCH(Data!#REF!,Data_Val!$D$2:$D$10,0)),0,1)))</f>
        <v>#REF!</v>
      </c>
      <c r="BF448" s="17"/>
      <c r="BG448" s="18" t="e">
        <f ca="1">IF(Data!#REF!="","",IF(ISNUMBER(Data!#REF!),IF(AND(Data!#REF!&gt;(TODAY()-(Data_Val!$M$3*365.25)),Data!#REF!&lt;=(TODAY()-(Data_Val!$M$2*365.25))),0,1),1))</f>
        <v>#REF!</v>
      </c>
      <c r="BH448" s="29" t="e">
        <f>IF(Data!#REF!="","",IF(Data!$G448="",1,IF(ISNUMBER(MATCH(Data!#REF!,Data_Val!$D$2:$D$10,0)),0,1)))</f>
        <v>#REF!</v>
      </c>
      <c r="BI448" s="13"/>
      <c r="BJ448" s="21" t="e">
        <f ca="1">IF(Data!#REF!="","",IF(ISNUMBER(Data!#REF!),IF(AND(Data!#REF!&gt;(TODAY()-(Data_Val!$M$3*365.25)),Data!#REF!&lt;=(TODAY()-(Data_Val!$M$2*365.25))),0,1),1))</f>
        <v>#REF!</v>
      </c>
      <c r="BK448" s="13" t="e">
        <f>IF(Data!#REF!="","",IF(Data!$G448="",1,IF(ISNUMBER(MATCH(Data!#REF!,Data_Val!$D$2:$D$10,0)),0,1)))</f>
        <v>#REF!</v>
      </c>
    </row>
    <row r="449" spans="1:63" x14ac:dyDescent="0.25">
      <c r="A449" s="9" t="str">
        <f>IF(Data!B449="","",IF(COUNTIFS(Data!A$1:'Data'!A449,Data!A449)&lt;=1,0,1))</f>
        <v/>
      </c>
      <c r="B449" s="9"/>
      <c r="C449" s="23" t="str">
        <f>IF(Data!C449="","",(IF(ISNUMBER(MATCH("*@*.?*",Data!C449,0)),0,1)+IF(COUNTIFS(Data!C$1:'Data'!C449,Data!C449)&gt;1,1,0)))</f>
        <v/>
      </c>
      <c r="D449" s="9" t="str">
        <f>IF(Data!B449="","",IF(ISNUMBER(Data!D449),IF(AND(Data!D449&gt;999999999,Data!D449&lt;=9999999999),IF(COUNTIFS(Data!D$1:'Data'!D449,Data!D449)&lt;=1,0,1),1),1))</f>
        <v/>
      </c>
      <c r="E449" s="9" t="str">
        <f>IF(Data!B449="","",IF(ISNUMBER(MATCH(Data!E449,Data_Val!$A$2:$A$3,0)),0,1))</f>
        <v/>
      </c>
      <c r="F449" s="9" t="str">
        <f ca="1">IF(Data!B449="","",IF(ISNUMBER(Data!F449),IF(AND(Data!F449&gt;(TODAY()-(Data_Val!$H$3*365.25)),Data!F449&lt;=(TODAY()-(Data_Val!$H$2*365.25))),0,1),1))</f>
        <v/>
      </c>
      <c r="G449" s="15" t="str">
        <f>IF(Data!B449="","",IF(AND(Data!G449="",Data!H449&lt;&gt;""),1,IF(Data!#REF!&lt;&gt;"",0,IF(ISNUMBER(MATCH(Data!G449,Data_Val!$C$2:$C$5,0)),0,1))))</f>
        <v/>
      </c>
      <c r="H449" s="15" t="str">
        <f>IF(Data!B449="","",IF(AND(Data!G449&lt;&gt;"",Data!H449=""),1,IF(Data!#REF!&lt;&gt;"",0,IF(Data!G449="",1,IF(ISNUMBER(MATCH(Data!H449,Data_Val!$D$2:$D$35,0)),0,1)))))</f>
        <v/>
      </c>
      <c r="I449" s="15" t="str">
        <f>IF(Data!B449="","",IF(Data!G449&lt;&gt;"",0,IF(ISNUMBER(MATCH(Data!#REF!,Data_Val!$E$2:$E$12,0)),0,1)))</f>
        <v/>
      </c>
      <c r="J449" s="16" t="e">
        <f>IF(OR(Data!B449="",Data!#REF!=""),"",IF(Data!#REF!="",1,0))</f>
        <v>#REF!</v>
      </c>
      <c r="K449" s="16" t="e">
        <f>IF(OR(Data!B449="",Data!#REF!=""),"",IF(Data!#REF!="",1,0))</f>
        <v>#REF!</v>
      </c>
      <c r="L449" s="16" t="e">
        <f>IF(OR(Data!B449="",Data!#REF!=""),"",IF(ISNUMBER(Data!#REF!),IF(AND(Data!#REF!&gt;Data_Val!$G$2,Data!#REF!&lt;=Data_Val!$G$3),0,1),1))</f>
        <v>#REF!</v>
      </c>
      <c r="M449" s="9" t="e">
        <f>IF(OR(Data!B449="",Data!#REF!=""),"",IF(ISNUMBER(MATCH(Data!#REF!,Data_Val!$F$1:$F$38,0)),0,1))</f>
        <v>#REF!</v>
      </c>
      <c r="N449" s="9" t="e">
        <f>IF(OR(Data!B449="",Data!#REF!=""),"",IF(Data!#REF!="",1,0))</f>
        <v>#REF!</v>
      </c>
      <c r="O449" s="17" t="e">
        <f>IF(Data!#REF!="","",IF(Data!#REF!="",1,0))</f>
        <v>#REF!</v>
      </c>
      <c r="P449" s="17" t="e">
        <f>IF(Data!#REF!="","",IF(ISNUMBER(MATCH(Data!#REF!,Data_Val!$A$2:$A$3,0)),0,1))</f>
        <v>#REF!</v>
      </c>
      <c r="Q449" s="25" t="e">
        <f ca="1">IF(Data!#REF!="","",IF(ISNUMBER(Data!#REF!),IF(AND(Data!#REF!&gt;(TODAY()-(Data_Val!$J$3*365.25)),Data!#REF!&lt;=(TODAY()-(Data_Val!$J$2*365.25))),0,1),1))</f>
        <v>#REF!</v>
      </c>
      <c r="R449" s="17" t="e">
        <f>IF(Data!#REF!="","",IF(ISNUMBER(MATCH(Data!#REF!,Data_Val!$B$2:$B$15,0)),0,1))</f>
        <v>#REF!</v>
      </c>
      <c r="S449" s="11" t="str">
        <f>IF(Data!G449="","",IF(Data!G449=Data_Val!$C$2,IF(Data!M449="",0,1),0))</f>
        <v/>
      </c>
      <c r="T449" s="11" t="str">
        <f>IF(Data!M449="","",IF(ISNUMBER(MATCH(Data!N449,Data_Val!$A$2:$A$3,0)),0,1))</f>
        <v/>
      </c>
      <c r="U449" s="11" t="str">
        <f ca="1">IF(Data!M449="","",IF(ISNUMBER(Data!O449),IF(AND(Data!O449&gt;(TODAY()-(Data_Val!$K$3*365.25)),Data!O449&lt;=(TODAY()-(Data_Val!$K$2*365.25))),0,1),1))</f>
        <v/>
      </c>
      <c r="V449" s="12" t="str">
        <f>IF(Data!G449="","",IF(Data!G449=Data_Val!$C$2,IF(Data!P449="",0,1),0))</f>
        <v/>
      </c>
      <c r="W449" s="12" t="str">
        <f>IF(Data!P449="","",IF(ISNUMBER(MATCH(Data!Q449,Data_Val!$A$2:$A$3,0)),0,1))</f>
        <v/>
      </c>
      <c r="X449" s="26" t="str">
        <f ca="1">IF(Data!P449="","",IF(ISNUMBER(Data!R449),IF(AND(Data!R449&gt;(TODAY()-(Data_Val!$L$3*365.25)),Data!R449&lt;=(TODAY()-(Data_Val!$L$2*365.25))),0,1),1))</f>
        <v/>
      </c>
      <c r="Y449" s="13" t="str">
        <f>IF(Data!$G449="","",IF(Data!$G449=Data_Val!$C$2,IF(Data!S449="",0,1),0))</f>
        <v/>
      </c>
      <c r="Z449" s="13" t="str">
        <f>IF(Data!S449="","",IF(ISNUMBER(MATCH(Data!T449,Data_Val!$A$2:$A$3,0)),0,1))</f>
        <v/>
      </c>
      <c r="AA449" s="28" t="str">
        <f ca="1">IF(Data!S449="","",IF(ISNUMBER(Data!U449),IF(AND(Data!U449&gt;(TODAY()-(Data_Val!$L$3*365.25)),Data!U449&lt;=(TODAY()-(Data_Val!$L$2*365.25))),0,1),1))</f>
        <v/>
      </c>
      <c r="AB449" s="11"/>
      <c r="AC449" s="11" t="e">
        <f>IF(Data!#REF!="","",IF(ISNUMBER(MATCH(Data!#REF!,Data_Val!$A$2:$A$3,0)),0,1))</f>
        <v>#REF!</v>
      </c>
      <c r="AD449" s="11" t="e">
        <f ca="1">IF(Data!#REF!="","",IF(ISNUMBER(Data!#REF!),IF(AND(Data!#REF!&gt;(TODAY()-(Data_Val!$L$3*365.25)),Data!#REF!&lt;=(TODAY()-(Data_Val!$L$2*365.25))),0,1),1))</f>
        <v>#REF!</v>
      </c>
      <c r="AE449" s="11" t="e">
        <f>IF(Data!#REF!="","",IF(Data!$G449="",1,IF(ISNUMBER(MATCH(Data!#REF!,Data_Val!$D$2:$D$10,0)),0,1)))</f>
        <v>#REF!</v>
      </c>
      <c r="AF449" s="12"/>
      <c r="AG449" s="12" t="e">
        <f>IF(Data!#REF!="","",IF(ISNUMBER(MATCH(Data!#REF!,Data_Val!$A$2:$A$3,0)),0,1))</f>
        <v>#REF!</v>
      </c>
      <c r="AH449" s="26" t="e">
        <f ca="1">IF(Data!#REF!="","",IF(ISNUMBER(Data!#REF!),IF(AND(Data!#REF!&gt;(TODAY()-(Data_Val!$L$3*365.25)),Data!#REF!&lt;=(TODAY()-(Data_Val!$L$2*365.25))),0,1),1))</f>
        <v>#REF!</v>
      </c>
      <c r="AI449" s="12" t="e">
        <f>IF(Data!#REF!="","",IF(Data!$G449="",1,IF(ISNUMBER(MATCH(Data!#REF!,Data_Val!$D$2:$D$10,0)),0,1)))</f>
        <v>#REF!</v>
      </c>
      <c r="AJ449" s="17"/>
      <c r="AK449" s="17" t="e">
        <f>IF(Data!#REF!="","",IF(ISNUMBER(MATCH(Data!#REF!,Data_Val!$A$2:$A$3,0)),0,1))</f>
        <v>#REF!</v>
      </c>
      <c r="AL449" s="25" t="e">
        <f ca="1">IF(Data!#REF!="","",IF(ISNUMBER(Data!#REF!),IF(AND(Data!#REF!&gt;(TODAY()-(Data_Val!$L$3*365.25)),Data!#REF!&lt;=(TODAY()-(Data_Val!$L$2*365.25))),0,1),1))</f>
        <v>#REF!</v>
      </c>
      <c r="AM449" s="17" t="e">
        <f>IF(Data!#REF!="","",IF(Data!$G449="",1,IF(ISNUMBER(MATCH(Data!#REF!,Data_Val!$D$2:$D$10,0)),0,1)))</f>
        <v>#REF!</v>
      </c>
      <c r="AN449" s="13"/>
      <c r="AO449" s="28" t="e">
        <f ca="1">IF(Data!#REF!="","",IF(ISNUMBER(Data!#REF!),IF(AND(Data!#REF!&gt;(TODAY()-(Data_Val!$I$3*365.25)),Data!#REF!&lt;=(TODAY()-(Data_Val!$I$2*365.25))),0,1),1))</f>
        <v>#REF!</v>
      </c>
      <c r="AP449" s="13" t="e">
        <f>IF(Data!#REF!="","",IF(Data!$G449="",1,IF(ISNUMBER(MATCH(Data!#REF!,Data_Val!$D$2:$D$10,0)),0,1)))</f>
        <v>#REF!</v>
      </c>
      <c r="AQ449" s="17"/>
      <c r="AR449" s="30" t="e">
        <f ca="1">IF(Data!#REF!="","",IF(ISNUMBER(Data!#REF!),IF(AND(Data!#REF!&gt;(TODAY()-(Data_Val!$I$3*365.25)),Data!#REF!&lt;=(TODAY()-(Data_Val!$I$2*365.25))),0,1),1))</f>
        <v>#REF!</v>
      </c>
      <c r="AS449" s="31" t="e">
        <f>IF(Data!#REF!="","",IF(Data!$G449="",1,IF(ISNUMBER(MATCH(Data!#REF!,Data_Val!$D$2:$D$10,0)),0,1)))</f>
        <v>#REF!</v>
      </c>
      <c r="AT449" s="11"/>
      <c r="AU449" s="11" t="e">
        <f ca="1">IF(Data!#REF!="","",IF(ISNUMBER(Data!#REF!),IF(AND(Data!#REF!&gt;(TODAY()-(Data_Val!$I$3*365.25)),Data!#REF!&lt;=(TODAY()-(Data_Val!$I$2*365.25))),0,1),1))</f>
        <v>#REF!</v>
      </c>
      <c r="AV449" s="11" t="e">
        <f>IF(Data!#REF!="","",IF(Data!$G449="",1,IF(ISNUMBER(MATCH(Data!#REF!,Data_Val!$D$2:$D$10,0)),0,1)))</f>
        <v>#REF!</v>
      </c>
      <c r="AW449" s="12"/>
      <c r="AX449" s="26" t="e">
        <f ca="1">IF(Data!#REF!="","",IF(ISNUMBER(Data!#REF!),IF(AND(Data!#REF!&gt;(TODAY()-(Data_Val!$I$3*365.25)),Data!#REF!&lt;=(TODAY()-(Data_Val!$I$2*365.25))),0,1),1))</f>
        <v>#REF!</v>
      </c>
      <c r="AY449" s="12" t="e">
        <f>IF(Data!#REF!="","",IF(Data!$G449="",1,IF(ISNUMBER(MATCH(Data!#REF!,Data_Val!$D$2:$D$10,0)),0,1)))</f>
        <v>#REF!</v>
      </c>
      <c r="AZ449" s="11"/>
      <c r="BA449" s="19" t="e">
        <f ca="1">IF(Data!#REF!="","",IF(ISNUMBER(Data!#REF!),IF(AND(Data!#REF!&gt;(TODAY()-(Data_Val!$M$3*365.25)),Data!#REF!&lt;=(TODAY()-(Data_Val!$M$2*365.25))),0,1),1))</f>
        <v>#REF!</v>
      </c>
      <c r="BB449" s="11" t="e">
        <f>IF(Data!#REF!="","",IF(Data!$G449="",1,IF(ISNUMBER(MATCH(Data!#REF!,Data_Val!$D$2:$D$10,0)),0,1)))</f>
        <v>#REF!</v>
      </c>
      <c r="BC449" s="12"/>
      <c r="BD449" s="20" t="e">
        <f ca="1">IF(Data!#REF!="","",IF(ISNUMBER(Data!#REF!),IF(AND(Data!#REF!&gt;(TODAY()-(Data_Val!$M$3*365.25)),Data!#REF!&lt;=(TODAY()-(Data_Val!$M$2*365.25))),0,1),1))</f>
        <v>#REF!</v>
      </c>
      <c r="BE449" s="12" t="e">
        <f>IF(Data!#REF!="","",IF(Data!$G449="",1,IF(ISNUMBER(MATCH(Data!#REF!,Data_Val!$D$2:$D$10,0)),0,1)))</f>
        <v>#REF!</v>
      </c>
      <c r="BF449" s="17"/>
      <c r="BG449" s="18" t="e">
        <f ca="1">IF(Data!#REF!="","",IF(ISNUMBER(Data!#REF!),IF(AND(Data!#REF!&gt;(TODAY()-(Data_Val!$M$3*365.25)),Data!#REF!&lt;=(TODAY()-(Data_Val!$M$2*365.25))),0,1),1))</f>
        <v>#REF!</v>
      </c>
      <c r="BH449" s="29" t="e">
        <f>IF(Data!#REF!="","",IF(Data!$G449="",1,IF(ISNUMBER(MATCH(Data!#REF!,Data_Val!$D$2:$D$10,0)),0,1)))</f>
        <v>#REF!</v>
      </c>
      <c r="BI449" s="13"/>
      <c r="BJ449" s="21" t="e">
        <f ca="1">IF(Data!#REF!="","",IF(ISNUMBER(Data!#REF!),IF(AND(Data!#REF!&gt;(TODAY()-(Data_Val!$M$3*365.25)),Data!#REF!&lt;=(TODAY()-(Data_Val!$M$2*365.25))),0,1),1))</f>
        <v>#REF!</v>
      </c>
      <c r="BK449" s="13" t="e">
        <f>IF(Data!#REF!="","",IF(Data!$G449="",1,IF(ISNUMBER(MATCH(Data!#REF!,Data_Val!$D$2:$D$10,0)),0,1)))</f>
        <v>#REF!</v>
      </c>
    </row>
    <row r="450" spans="1:63" x14ac:dyDescent="0.25">
      <c r="A450" s="9" t="str">
        <f>IF(Data!B450="","",IF(COUNTIFS(Data!A$1:'Data'!A450,Data!A450)&lt;=1,0,1))</f>
        <v/>
      </c>
      <c r="B450" s="9"/>
      <c r="C450" s="23" t="str">
        <f>IF(Data!C450="","",(IF(ISNUMBER(MATCH("*@*.?*",Data!C450,0)),0,1)+IF(COUNTIFS(Data!C$1:'Data'!C450,Data!C450)&gt;1,1,0)))</f>
        <v/>
      </c>
      <c r="D450" s="9" t="str">
        <f>IF(Data!B450="","",IF(ISNUMBER(Data!D450),IF(AND(Data!D450&gt;999999999,Data!D450&lt;=9999999999),IF(COUNTIFS(Data!D$1:'Data'!D450,Data!D450)&lt;=1,0,1),1),1))</f>
        <v/>
      </c>
      <c r="E450" s="9" t="str">
        <f>IF(Data!B450="","",IF(ISNUMBER(MATCH(Data!E450,Data_Val!$A$2:$A$3,0)),0,1))</f>
        <v/>
      </c>
      <c r="F450" s="9" t="str">
        <f ca="1">IF(Data!B450="","",IF(ISNUMBER(Data!F450),IF(AND(Data!F450&gt;(TODAY()-(Data_Val!$H$3*365.25)),Data!F450&lt;=(TODAY()-(Data_Val!$H$2*365.25))),0,1),1))</f>
        <v/>
      </c>
      <c r="G450" s="15" t="str">
        <f>IF(Data!B450="","",IF(AND(Data!G450="",Data!H450&lt;&gt;""),1,IF(Data!#REF!&lt;&gt;"",0,IF(ISNUMBER(MATCH(Data!G450,Data_Val!$C$2:$C$5,0)),0,1))))</f>
        <v/>
      </c>
      <c r="H450" s="15" t="str">
        <f>IF(Data!B450="","",IF(AND(Data!G450&lt;&gt;"",Data!H450=""),1,IF(Data!#REF!&lt;&gt;"",0,IF(Data!G450="",1,IF(ISNUMBER(MATCH(Data!H450,Data_Val!$D$2:$D$35,0)),0,1)))))</f>
        <v/>
      </c>
      <c r="I450" s="15" t="str">
        <f>IF(Data!B450="","",IF(Data!G450&lt;&gt;"",0,IF(ISNUMBER(MATCH(Data!#REF!,Data_Val!$E$2:$E$12,0)),0,1)))</f>
        <v/>
      </c>
      <c r="J450" s="16" t="e">
        <f>IF(OR(Data!B450="",Data!#REF!=""),"",IF(Data!#REF!="",1,0))</f>
        <v>#REF!</v>
      </c>
      <c r="K450" s="16" t="e">
        <f>IF(OR(Data!B450="",Data!#REF!=""),"",IF(Data!#REF!="",1,0))</f>
        <v>#REF!</v>
      </c>
      <c r="L450" s="16" t="e">
        <f>IF(OR(Data!B450="",Data!#REF!=""),"",IF(ISNUMBER(Data!#REF!),IF(AND(Data!#REF!&gt;Data_Val!$G$2,Data!#REF!&lt;=Data_Val!$G$3),0,1),1))</f>
        <v>#REF!</v>
      </c>
      <c r="M450" s="9" t="e">
        <f>IF(OR(Data!B450="",Data!#REF!=""),"",IF(ISNUMBER(MATCH(Data!#REF!,Data_Val!$F$1:$F$38,0)),0,1))</f>
        <v>#REF!</v>
      </c>
      <c r="N450" s="9" t="e">
        <f>IF(OR(Data!B450="",Data!#REF!=""),"",IF(Data!#REF!="",1,0))</f>
        <v>#REF!</v>
      </c>
      <c r="O450" s="17" t="e">
        <f>IF(Data!#REF!="","",IF(Data!#REF!="",1,0))</f>
        <v>#REF!</v>
      </c>
      <c r="P450" s="17" t="e">
        <f>IF(Data!#REF!="","",IF(ISNUMBER(MATCH(Data!#REF!,Data_Val!$A$2:$A$3,0)),0,1))</f>
        <v>#REF!</v>
      </c>
      <c r="Q450" s="25" t="e">
        <f ca="1">IF(Data!#REF!="","",IF(ISNUMBER(Data!#REF!),IF(AND(Data!#REF!&gt;(TODAY()-(Data_Val!$J$3*365.25)),Data!#REF!&lt;=(TODAY()-(Data_Val!$J$2*365.25))),0,1),1))</f>
        <v>#REF!</v>
      </c>
      <c r="R450" s="17" t="e">
        <f>IF(Data!#REF!="","",IF(ISNUMBER(MATCH(Data!#REF!,Data_Val!$B$2:$B$15,0)),0,1))</f>
        <v>#REF!</v>
      </c>
      <c r="S450" s="11" t="str">
        <f>IF(Data!G450="","",IF(Data!G450=Data_Val!$C$2,IF(Data!M450="",0,1),0))</f>
        <v/>
      </c>
      <c r="T450" s="11" t="str">
        <f>IF(Data!M450="","",IF(ISNUMBER(MATCH(Data!N450,Data_Val!$A$2:$A$3,0)),0,1))</f>
        <v/>
      </c>
      <c r="U450" s="11" t="str">
        <f ca="1">IF(Data!M450="","",IF(ISNUMBER(Data!O450),IF(AND(Data!O450&gt;(TODAY()-(Data_Val!$K$3*365.25)),Data!O450&lt;=(TODAY()-(Data_Val!$K$2*365.25))),0,1),1))</f>
        <v/>
      </c>
      <c r="V450" s="12" t="str">
        <f>IF(Data!G450="","",IF(Data!G450=Data_Val!$C$2,IF(Data!P450="",0,1),0))</f>
        <v/>
      </c>
      <c r="W450" s="12" t="str">
        <f>IF(Data!P450="","",IF(ISNUMBER(MATCH(Data!Q450,Data_Val!$A$2:$A$3,0)),0,1))</f>
        <v/>
      </c>
      <c r="X450" s="26" t="str">
        <f ca="1">IF(Data!P450="","",IF(ISNUMBER(Data!R450),IF(AND(Data!R450&gt;(TODAY()-(Data_Val!$L$3*365.25)),Data!R450&lt;=(TODAY()-(Data_Val!$L$2*365.25))),0,1),1))</f>
        <v/>
      </c>
      <c r="Y450" s="13" t="str">
        <f>IF(Data!$G450="","",IF(Data!$G450=Data_Val!$C$2,IF(Data!S450="",0,1),0))</f>
        <v/>
      </c>
      <c r="Z450" s="13" t="str">
        <f>IF(Data!S450="","",IF(ISNUMBER(MATCH(Data!T450,Data_Val!$A$2:$A$3,0)),0,1))</f>
        <v/>
      </c>
      <c r="AA450" s="28" t="str">
        <f ca="1">IF(Data!S450="","",IF(ISNUMBER(Data!U450),IF(AND(Data!U450&gt;(TODAY()-(Data_Val!$L$3*365.25)),Data!U450&lt;=(TODAY()-(Data_Val!$L$2*365.25))),0,1),1))</f>
        <v/>
      </c>
      <c r="AB450" s="11"/>
      <c r="AC450" s="11" t="e">
        <f>IF(Data!#REF!="","",IF(ISNUMBER(MATCH(Data!#REF!,Data_Val!$A$2:$A$3,0)),0,1))</f>
        <v>#REF!</v>
      </c>
      <c r="AD450" s="11" t="e">
        <f ca="1">IF(Data!#REF!="","",IF(ISNUMBER(Data!#REF!),IF(AND(Data!#REF!&gt;(TODAY()-(Data_Val!$L$3*365.25)),Data!#REF!&lt;=(TODAY()-(Data_Val!$L$2*365.25))),0,1),1))</f>
        <v>#REF!</v>
      </c>
      <c r="AE450" s="11" t="e">
        <f>IF(Data!#REF!="","",IF(Data!$G450="",1,IF(ISNUMBER(MATCH(Data!#REF!,Data_Val!$D$2:$D$10,0)),0,1)))</f>
        <v>#REF!</v>
      </c>
      <c r="AF450" s="12"/>
      <c r="AG450" s="12" t="e">
        <f>IF(Data!#REF!="","",IF(ISNUMBER(MATCH(Data!#REF!,Data_Val!$A$2:$A$3,0)),0,1))</f>
        <v>#REF!</v>
      </c>
      <c r="AH450" s="26" t="e">
        <f ca="1">IF(Data!#REF!="","",IF(ISNUMBER(Data!#REF!),IF(AND(Data!#REF!&gt;(TODAY()-(Data_Val!$L$3*365.25)),Data!#REF!&lt;=(TODAY()-(Data_Val!$L$2*365.25))),0,1),1))</f>
        <v>#REF!</v>
      </c>
      <c r="AI450" s="12" t="e">
        <f>IF(Data!#REF!="","",IF(Data!$G450="",1,IF(ISNUMBER(MATCH(Data!#REF!,Data_Val!$D$2:$D$10,0)),0,1)))</f>
        <v>#REF!</v>
      </c>
      <c r="AJ450" s="17"/>
      <c r="AK450" s="17" t="e">
        <f>IF(Data!#REF!="","",IF(ISNUMBER(MATCH(Data!#REF!,Data_Val!$A$2:$A$3,0)),0,1))</f>
        <v>#REF!</v>
      </c>
      <c r="AL450" s="25" t="e">
        <f ca="1">IF(Data!#REF!="","",IF(ISNUMBER(Data!#REF!),IF(AND(Data!#REF!&gt;(TODAY()-(Data_Val!$L$3*365.25)),Data!#REF!&lt;=(TODAY()-(Data_Val!$L$2*365.25))),0,1),1))</f>
        <v>#REF!</v>
      </c>
      <c r="AM450" s="17" t="e">
        <f>IF(Data!#REF!="","",IF(Data!$G450="",1,IF(ISNUMBER(MATCH(Data!#REF!,Data_Val!$D$2:$D$10,0)),0,1)))</f>
        <v>#REF!</v>
      </c>
      <c r="AN450" s="13"/>
      <c r="AO450" s="28" t="e">
        <f ca="1">IF(Data!#REF!="","",IF(ISNUMBER(Data!#REF!),IF(AND(Data!#REF!&gt;(TODAY()-(Data_Val!$I$3*365.25)),Data!#REF!&lt;=(TODAY()-(Data_Val!$I$2*365.25))),0,1),1))</f>
        <v>#REF!</v>
      </c>
      <c r="AP450" s="13" t="e">
        <f>IF(Data!#REF!="","",IF(Data!$G450="",1,IF(ISNUMBER(MATCH(Data!#REF!,Data_Val!$D$2:$D$10,0)),0,1)))</f>
        <v>#REF!</v>
      </c>
      <c r="AQ450" s="17"/>
      <c r="AR450" s="30" t="e">
        <f ca="1">IF(Data!#REF!="","",IF(ISNUMBER(Data!#REF!),IF(AND(Data!#REF!&gt;(TODAY()-(Data_Val!$I$3*365.25)),Data!#REF!&lt;=(TODAY()-(Data_Val!$I$2*365.25))),0,1),1))</f>
        <v>#REF!</v>
      </c>
      <c r="AS450" s="31" t="e">
        <f>IF(Data!#REF!="","",IF(Data!$G450="",1,IF(ISNUMBER(MATCH(Data!#REF!,Data_Val!$D$2:$D$10,0)),0,1)))</f>
        <v>#REF!</v>
      </c>
      <c r="AT450" s="11"/>
      <c r="AU450" s="11" t="e">
        <f ca="1">IF(Data!#REF!="","",IF(ISNUMBER(Data!#REF!),IF(AND(Data!#REF!&gt;(TODAY()-(Data_Val!$I$3*365.25)),Data!#REF!&lt;=(TODAY()-(Data_Val!$I$2*365.25))),0,1),1))</f>
        <v>#REF!</v>
      </c>
      <c r="AV450" s="11" t="e">
        <f>IF(Data!#REF!="","",IF(Data!$G450="",1,IF(ISNUMBER(MATCH(Data!#REF!,Data_Val!$D$2:$D$10,0)),0,1)))</f>
        <v>#REF!</v>
      </c>
      <c r="AW450" s="12"/>
      <c r="AX450" s="26" t="e">
        <f ca="1">IF(Data!#REF!="","",IF(ISNUMBER(Data!#REF!),IF(AND(Data!#REF!&gt;(TODAY()-(Data_Val!$I$3*365.25)),Data!#REF!&lt;=(TODAY()-(Data_Val!$I$2*365.25))),0,1),1))</f>
        <v>#REF!</v>
      </c>
      <c r="AY450" s="12" t="e">
        <f>IF(Data!#REF!="","",IF(Data!$G450="",1,IF(ISNUMBER(MATCH(Data!#REF!,Data_Val!$D$2:$D$10,0)),0,1)))</f>
        <v>#REF!</v>
      </c>
      <c r="AZ450" s="11"/>
      <c r="BA450" s="19" t="e">
        <f ca="1">IF(Data!#REF!="","",IF(ISNUMBER(Data!#REF!),IF(AND(Data!#REF!&gt;(TODAY()-(Data_Val!$M$3*365.25)),Data!#REF!&lt;=(TODAY()-(Data_Val!$M$2*365.25))),0,1),1))</f>
        <v>#REF!</v>
      </c>
      <c r="BB450" s="11" t="e">
        <f>IF(Data!#REF!="","",IF(Data!$G450="",1,IF(ISNUMBER(MATCH(Data!#REF!,Data_Val!$D$2:$D$10,0)),0,1)))</f>
        <v>#REF!</v>
      </c>
      <c r="BC450" s="12"/>
      <c r="BD450" s="20" t="e">
        <f ca="1">IF(Data!#REF!="","",IF(ISNUMBER(Data!#REF!),IF(AND(Data!#REF!&gt;(TODAY()-(Data_Val!$M$3*365.25)),Data!#REF!&lt;=(TODAY()-(Data_Val!$M$2*365.25))),0,1),1))</f>
        <v>#REF!</v>
      </c>
      <c r="BE450" s="12" t="e">
        <f>IF(Data!#REF!="","",IF(Data!$G450="",1,IF(ISNUMBER(MATCH(Data!#REF!,Data_Val!$D$2:$D$10,0)),0,1)))</f>
        <v>#REF!</v>
      </c>
      <c r="BF450" s="17"/>
      <c r="BG450" s="18" t="e">
        <f ca="1">IF(Data!#REF!="","",IF(ISNUMBER(Data!#REF!),IF(AND(Data!#REF!&gt;(TODAY()-(Data_Val!$M$3*365.25)),Data!#REF!&lt;=(TODAY()-(Data_Val!$M$2*365.25))),0,1),1))</f>
        <v>#REF!</v>
      </c>
      <c r="BH450" s="29" t="e">
        <f>IF(Data!#REF!="","",IF(Data!$G450="",1,IF(ISNUMBER(MATCH(Data!#REF!,Data_Val!$D$2:$D$10,0)),0,1)))</f>
        <v>#REF!</v>
      </c>
      <c r="BI450" s="13"/>
      <c r="BJ450" s="21" t="e">
        <f ca="1">IF(Data!#REF!="","",IF(ISNUMBER(Data!#REF!),IF(AND(Data!#REF!&gt;(TODAY()-(Data_Val!$M$3*365.25)),Data!#REF!&lt;=(TODAY()-(Data_Val!$M$2*365.25))),0,1),1))</f>
        <v>#REF!</v>
      </c>
      <c r="BK450" s="13" t="e">
        <f>IF(Data!#REF!="","",IF(Data!$G450="",1,IF(ISNUMBER(MATCH(Data!#REF!,Data_Val!$D$2:$D$10,0)),0,1)))</f>
        <v>#REF!</v>
      </c>
    </row>
    <row r="451" spans="1:63" x14ac:dyDescent="0.25">
      <c r="A451" s="9" t="str">
        <f>IF(Data!B451="","",IF(COUNTIFS(Data!A$1:'Data'!A451,Data!A451)&lt;=1,0,1))</f>
        <v/>
      </c>
      <c r="B451" s="9"/>
      <c r="C451" s="23" t="str">
        <f>IF(Data!C451="","",(IF(ISNUMBER(MATCH("*@*.?*",Data!C451,0)),0,1)+IF(COUNTIFS(Data!C$1:'Data'!C451,Data!C451)&gt;1,1,0)))</f>
        <v/>
      </c>
      <c r="D451" s="9" t="str">
        <f>IF(Data!B451="","",IF(ISNUMBER(Data!D451),IF(AND(Data!D451&gt;999999999,Data!D451&lt;=9999999999),IF(COUNTIFS(Data!D$1:'Data'!D451,Data!D451)&lt;=1,0,1),1),1))</f>
        <v/>
      </c>
      <c r="E451" s="9" t="str">
        <f>IF(Data!B451="","",IF(ISNUMBER(MATCH(Data!E451,Data_Val!$A$2:$A$3,0)),0,1))</f>
        <v/>
      </c>
      <c r="F451" s="9" t="str">
        <f ca="1">IF(Data!B451="","",IF(ISNUMBER(Data!F451),IF(AND(Data!F451&gt;(TODAY()-(Data_Val!$H$3*365.25)),Data!F451&lt;=(TODAY()-(Data_Val!$H$2*365.25))),0,1),1))</f>
        <v/>
      </c>
      <c r="G451" s="15" t="str">
        <f>IF(Data!B451="","",IF(AND(Data!G451="",Data!H451&lt;&gt;""),1,IF(Data!#REF!&lt;&gt;"",0,IF(ISNUMBER(MATCH(Data!G451,Data_Val!$C$2:$C$5,0)),0,1))))</f>
        <v/>
      </c>
      <c r="H451" s="15" t="str">
        <f>IF(Data!B451="","",IF(AND(Data!G451&lt;&gt;"",Data!H451=""),1,IF(Data!#REF!&lt;&gt;"",0,IF(Data!G451="",1,IF(ISNUMBER(MATCH(Data!H451,Data_Val!$D$2:$D$35,0)),0,1)))))</f>
        <v/>
      </c>
      <c r="I451" s="15" t="str">
        <f>IF(Data!B451="","",IF(Data!G451&lt;&gt;"",0,IF(ISNUMBER(MATCH(Data!#REF!,Data_Val!$E$2:$E$12,0)),0,1)))</f>
        <v/>
      </c>
      <c r="J451" s="16" t="e">
        <f>IF(OR(Data!B451="",Data!#REF!=""),"",IF(Data!#REF!="",1,0))</f>
        <v>#REF!</v>
      </c>
      <c r="K451" s="16" t="e">
        <f>IF(OR(Data!B451="",Data!#REF!=""),"",IF(Data!#REF!="",1,0))</f>
        <v>#REF!</v>
      </c>
      <c r="L451" s="16" t="e">
        <f>IF(OR(Data!B451="",Data!#REF!=""),"",IF(ISNUMBER(Data!#REF!),IF(AND(Data!#REF!&gt;Data_Val!$G$2,Data!#REF!&lt;=Data_Val!$G$3),0,1),1))</f>
        <v>#REF!</v>
      </c>
      <c r="M451" s="9" t="e">
        <f>IF(OR(Data!B451="",Data!#REF!=""),"",IF(ISNUMBER(MATCH(Data!#REF!,Data_Val!$F$1:$F$38,0)),0,1))</f>
        <v>#REF!</v>
      </c>
      <c r="N451" s="9" t="e">
        <f>IF(OR(Data!B451="",Data!#REF!=""),"",IF(Data!#REF!="",1,0))</f>
        <v>#REF!</v>
      </c>
      <c r="O451" s="17" t="e">
        <f>IF(Data!#REF!="","",IF(Data!#REF!="",1,0))</f>
        <v>#REF!</v>
      </c>
      <c r="P451" s="17" t="e">
        <f>IF(Data!#REF!="","",IF(ISNUMBER(MATCH(Data!#REF!,Data_Val!$A$2:$A$3,0)),0,1))</f>
        <v>#REF!</v>
      </c>
      <c r="Q451" s="25" t="e">
        <f ca="1">IF(Data!#REF!="","",IF(ISNUMBER(Data!#REF!),IF(AND(Data!#REF!&gt;(TODAY()-(Data_Val!$J$3*365.25)),Data!#REF!&lt;=(TODAY()-(Data_Val!$J$2*365.25))),0,1),1))</f>
        <v>#REF!</v>
      </c>
      <c r="R451" s="17" t="e">
        <f>IF(Data!#REF!="","",IF(ISNUMBER(MATCH(Data!#REF!,Data_Val!$B$2:$B$15,0)),0,1))</f>
        <v>#REF!</v>
      </c>
      <c r="S451" s="11" t="str">
        <f>IF(Data!G451="","",IF(Data!G451=Data_Val!$C$2,IF(Data!M451="",0,1),0))</f>
        <v/>
      </c>
      <c r="T451" s="11" t="str">
        <f>IF(Data!M451="","",IF(ISNUMBER(MATCH(Data!N451,Data_Val!$A$2:$A$3,0)),0,1))</f>
        <v/>
      </c>
      <c r="U451" s="11" t="str">
        <f ca="1">IF(Data!M451="","",IF(ISNUMBER(Data!O451),IF(AND(Data!O451&gt;(TODAY()-(Data_Val!$K$3*365.25)),Data!O451&lt;=(TODAY()-(Data_Val!$K$2*365.25))),0,1),1))</f>
        <v/>
      </c>
      <c r="V451" s="12" t="str">
        <f>IF(Data!G451="","",IF(Data!G451=Data_Val!$C$2,IF(Data!P451="",0,1),0))</f>
        <v/>
      </c>
      <c r="W451" s="12" t="str">
        <f>IF(Data!P451="","",IF(ISNUMBER(MATCH(Data!Q451,Data_Val!$A$2:$A$3,0)),0,1))</f>
        <v/>
      </c>
      <c r="X451" s="26" t="str">
        <f ca="1">IF(Data!P451="","",IF(ISNUMBER(Data!R451),IF(AND(Data!R451&gt;(TODAY()-(Data_Val!$L$3*365.25)),Data!R451&lt;=(TODAY()-(Data_Val!$L$2*365.25))),0,1),1))</f>
        <v/>
      </c>
      <c r="Y451" s="13" t="str">
        <f>IF(Data!$G451="","",IF(Data!$G451=Data_Val!$C$2,IF(Data!S451="",0,1),0))</f>
        <v/>
      </c>
      <c r="Z451" s="13" t="str">
        <f>IF(Data!S451="","",IF(ISNUMBER(MATCH(Data!T451,Data_Val!$A$2:$A$3,0)),0,1))</f>
        <v/>
      </c>
      <c r="AA451" s="28" t="str">
        <f ca="1">IF(Data!S451="","",IF(ISNUMBER(Data!U451),IF(AND(Data!U451&gt;(TODAY()-(Data_Val!$L$3*365.25)),Data!U451&lt;=(TODAY()-(Data_Val!$L$2*365.25))),0,1),1))</f>
        <v/>
      </c>
      <c r="AB451" s="11"/>
      <c r="AC451" s="11" t="e">
        <f>IF(Data!#REF!="","",IF(ISNUMBER(MATCH(Data!#REF!,Data_Val!$A$2:$A$3,0)),0,1))</f>
        <v>#REF!</v>
      </c>
      <c r="AD451" s="11" t="e">
        <f ca="1">IF(Data!#REF!="","",IF(ISNUMBER(Data!#REF!),IF(AND(Data!#REF!&gt;(TODAY()-(Data_Val!$L$3*365.25)),Data!#REF!&lt;=(TODAY()-(Data_Val!$L$2*365.25))),0,1),1))</f>
        <v>#REF!</v>
      </c>
      <c r="AE451" s="11" t="e">
        <f>IF(Data!#REF!="","",IF(Data!$G451="",1,IF(ISNUMBER(MATCH(Data!#REF!,Data_Val!$D$2:$D$10,0)),0,1)))</f>
        <v>#REF!</v>
      </c>
      <c r="AF451" s="12"/>
      <c r="AG451" s="12" t="e">
        <f>IF(Data!#REF!="","",IF(ISNUMBER(MATCH(Data!#REF!,Data_Val!$A$2:$A$3,0)),0,1))</f>
        <v>#REF!</v>
      </c>
      <c r="AH451" s="26" t="e">
        <f ca="1">IF(Data!#REF!="","",IF(ISNUMBER(Data!#REF!),IF(AND(Data!#REF!&gt;(TODAY()-(Data_Val!$L$3*365.25)),Data!#REF!&lt;=(TODAY()-(Data_Val!$L$2*365.25))),0,1),1))</f>
        <v>#REF!</v>
      </c>
      <c r="AI451" s="12" t="e">
        <f>IF(Data!#REF!="","",IF(Data!$G451="",1,IF(ISNUMBER(MATCH(Data!#REF!,Data_Val!$D$2:$D$10,0)),0,1)))</f>
        <v>#REF!</v>
      </c>
      <c r="AJ451" s="17"/>
      <c r="AK451" s="17" t="e">
        <f>IF(Data!#REF!="","",IF(ISNUMBER(MATCH(Data!#REF!,Data_Val!$A$2:$A$3,0)),0,1))</f>
        <v>#REF!</v>
      </c>
      <c r="AL451" s="25" t="e">
        <f ca="1">IF(Data!#REF!="","",IF(ISNUMBER(Data!#REF!),IF(AND(Data!#REF!&gt;(TODAY()-(Data_Val!$L$3*365.25)),Data!#REF!&lt;=(TODAY()-(Data_Val!$L$2*365.25))),0,1),1))</f>
        <v>#REF!</v>
      </c>
      <c r="AM451" s="17" t="e">
        <f>IF(Data!#REF!="","",IF(Data!$G451="",1,IF(ISNUMBER(MATCH(Data!#REF!,Data_Val!$D$2:$D$10,0)),0,1)))</f>
        <v>#REF!</v>
      </c>
      <c r="AN451" s="13"/>
      <c r="AO451" s="28" t="e">
        <f ca="1">IF(Data!#REF!="","",IF(ISNUMBER(Data!#REF!),IF(AND(Data!#REF!&gt;(TODAY()-(Data_Val!$I$3*365.25)),Data!#REF!&lt;=(TODAY()-(Data_Val!$I$2*365.25))),0,1),1))</f>
        <v>#REF!</v>
      </c>
      <c r="AP451" s="13" t="e">
        <f>IF(Data!#REF!="","",IF(Data!$G451="",1,IF(ISNUMBER(MATCH(Data!#REF!,Data_Val!$D$2:$D$10,0)),0,1)))</f>
        <v>#REF!</v>
      </c>
      <c r="AQ451" s="17"/>
      <c r="AR451" s="30" t="e">
        <f ca="1">IF(Data!#REF!="","",IF(ISNUMBER(Data!#REF!),IF(AND(Data!#REF!&gt;(TODAY()-(Data_Val!$I$3*365.25)),Data!#REF!&lt;=(TODAY()-(Data_Val!$I$2*365.25))),0,1),1))</f>
        <v>#REF!</v>
      </c>
      <c r="AS451" s="31" t="e">
        <f>IF(Data!#REF!="","",IF(Data!$G451="",1,IF(ISNUMBER(MATCH(Data!#REF!,Data_Val!$D$2:$D$10,0)),0,1)))</f>
        <v>#REF!</v>
      </c>
      <c r="AT451" s="11"/>
      <c r="AU451" s="11" t="e">
        <f ca="1">IF(Data!#REF!="","",IF(ISNUMBER(Data!#REF!),IF(AND(Data!#REF!&gt;(TODAY()-(Data_Val!$I$3*365.25)),Data!#REF!&lt;=(TODAY()-(Data_Val!$I$2*365.25))),0,1),1))</f>
        <v>#REF!</v>
      </c>
      <c r="AV451" s="11" t="e">
        <f>IF(Data!#REF!="","",IF(Data!$G451="",1,IF(ISNUMBER(MATCH(Data!#REF!,Data_Val!$D$2:$D$10,0)),0,1)))</f>
        <v>#REF!</v>
      </c>
      <c r="AW451" s="12"/>
      <c r="AX451" s="26" t="e">
        <f ca="1">IF(Data!#REF!="","",IF(ISNUMBER(Data!#REF!),IF(AND(Data!#REF!&gt;(TODAY()-(Data_Val!$I$3*365.25)),Data!#REF!&lt;=(TODAY()-(Data_Val!$I$2*365.25))),0,1),1))</f>
        <v>#REF!</v>
      </c>
      <c r="AY451" s="12" t="e">
        <f>IF(Data!#REF!="","",IF(Data!$G451="",1,IF(ISNUMBER(MATCH(Data!#REF!,Data_Val!$D$2:$D$10,0)),0,1)))</f>
        <v>#REF!</v>
      </c>
      <c r="AZ451" s="11"/>
      <c r="BA451" s="19" t="e">
        <f ca="1">IF(Data!#REF!="","",IF(ISNUMBER(Data!#REF!),IF(AND(Data!#REF!&gt;(TODAY()-(Data_Val!$M$3*365.25)),Data!#REF!&lt;=(TODAY()-(Data_Val!$M$2*365.25))),0,1),1))</f>
        <v>#REF!</v>
      </c>
      <c r="BB451" s="11" t="e">
        <f>IF(Data!#REF!="","",IF(Data!$G451="",1,IF(ISNUMBER(MATCH(Data!#REF!,Data_Val!$D$2:$D$10,0)),0,1)))</f>
        <v>#REF!</v>
      </c>
      <c r="BC451" s="12"/>
      <c r="BD451" s="20" t="e">
        <f ca="1">IF(Data!#REF!="","",IF(ISNUMBER(Data!#REF!),IF(AND(Data!#REF!&gt;(TODAY()-(Data_Val!$M$3*365.25)),Data!#REF!&lt;=(TODAY()-(Data_Val!$M$2*365.25))),0,1),1))</f>
        <v>#REF!</v>
      </c>
      <c r="BE451" s="12" t="e">
        <f>IF(Data!#REF!="","",IF(Data!$G451="",1,IF(ISNUMBER(MATCH(Data!#REF!,Data_Val!$D$2:$D$10,0)),0,1)))</f>
        <v>#REF!</v>
      </c>
      <c r="BF451" s="17"/>
      <c r="BG451" s="18" t="e">
        <f ca="1">IF(Data!#REF!="","",IF(ISNUMBER(Data!#REF!),IF(AND(Data!#REF!&gt;(TODAY()-(Data_Val!$M$3*365.25)),Data!#REF!&lt;=(TODAY()-(Data_Val!$M$2*365.25))),0,1),1))</f>
        <v>#REF!</v>
      </c>
      <c r="BH451" s="29" t="e">
        <f>IF(Data!#REF!="","",IF(Data!$G451="",1,IF(ISNUMBER(MATCH(Data!#REF!,Data_Val!$D$2:$D$10,0)),0,1)))</f>
        <v>#REF!</v>
      </c>
      <c r="BI451" s="13"/>
      <c r="BJ451" s="21" t="e">
        <f ca="1">IF(Data!#REF!="","",IF(ISNUMBER(Data!#REF!),IF(AND(Data!#REF!&gt;(TODAY()-(Data_Val!$M$3*365.25)),Data!#REF!&lt;=(TODAY()-(Data_Val!$M$2*365.25))),0,1),1))</f>
        <v>#REF!</v>
      </c>
      <c r="BK451" s="13" t="e">
        <f>IF(Data!#REF!="","",IF(Data!$G451="",1,IF(ISNUMBER(MATCH(Data!#REF!,Data_Val!$D$2:$D$10,0)),0,1)))</f>
        <v>#REF!</v>
      </c>
    </row>
    <row r="452" spans="1:63" x14ac:dyDescent="0.25">
      <c r="A452" s="9" t="str">
        <f>IF(Data!B452="","",IF(COUNTIFS(Data!A$1:'Data'!A452,Data!A452)&lt;=1,0,1))</f>
        <v/>
      </c>
      <c r="B452" s="9"/>
      <c r="C452" s="23" t="str">
        <f>IF(Data!C452="","",(IF(ISNUMBER(MATCH("*@*.?*",Data!C452,0)),0,1)+IF(COUNTIFS(Data!C$1:'Data'!C452,Data!C452)&gt;1,1,0)))</f>
        <v/>
      </c>
      <c r="D452" s="9" t="str">
        <f>IF(Data!B452="","",IF(ISNUMBER(Data!D452),IF(AND(Data!D452&gt;999999999,Data!D452&lt;=9999999999),IF(COUNTIFS(Data!D$1:'Data'!D452,Data!D452)&lt;=1,0,1),1),1))</f>
        <v/>
      </c>
      <c r="E452" s="9" t="str">
        <f>IF(Data!B452="","",IF(ISNUMBER(MATCH(Data!E452,Data_Val!$A$2:$A$3,0)),0,1))</f>
        <v/>
      </c>
      <c r="F452" s="9" t="str">
        <f ca="1">IF(Data!B452="","",IF(ISNUMBER(Data!F452),IF(AND(Data!F452&gt;(TODAY()-(Data_Val!$H$3*365.25)),Data!F452&lt;=(TODAY()-(Data_Val!$H$2*365.25))),0,1),1))</f>
        <v/>
      </c>
      <c r="G452" s="15" t="str">
        <f>IF(Data!B452="","",IF(AND(Data!G452="",Data!H452&lt;&gt;""),1,IF(Data!#REF!&lt;&gt;"",0,IF(ISNUMBER(MATCH(Data!G452,Data_Val!$C$2:$C$5,0)),0,1))))</f>
        <v/>
      </c>
      <c r="H452" s="15" t="str">
        <f>IF(Data!B452="","",IF(AND(Data!G452&lt;&gt;"",Data!H452=""),1,IF(Data!#REF!&lt;&gt;"",0,IF(Data!G452="",1,IF(ISNUMBER(MATCH(Data!H452,Data_Val!$D$2:$D$35,0)),0,1)))))</f>
        <v/>
      </c>
      <c r="I452" s="15" t="str">
        <f>IF(Data!B452="","",IF(Data!G452&lt;&gt;"",0,IF(ISNUMBER(MATCH(Data!#REF!,Data_Val!$E$2:$E$12,0)),0,1)))</f>
        <v/>
      </c>
      <c r="J452" s="16" t="e">
        <f>IF(OR(Data!B452="",Data!#REF!=""),"",IF(Data!#REF!="",1,0))</f>
        <v>#REF!</v>
      </c>
      <c r="K452" s="16" t="e">
        <f>IF(OR(Data!B452="",Data!#REF!=""),"",IF(Data!#REF!="",1,0))</f>
        <v>#REF!</v>
      </c>
      <c r="L452" s="16" t="e">
        <f>IF(OR(Data!B452="",Data!#REF!=""),"",IF(ISNUMBER(Data!#REF!),IF(AND(Data!#REF!&gt;Data_Val!$G$2,Data!#REF!&lt;=Data_Val!$G$3),0,1),1))</f>
        <v>#REF!</v>
      </c>
      <c r="M452" s="9" t="e">
        <f>IF(OR(Data!B452="",Data!#REF!=""),"",IF(ISNUMBER(MATCH(Data!#REF!,Data_Val!$F$1:$F$38,0)),0,1))</f>
        <v>#REF!</v>
      </c>
      <c r="N452" s="9" t="e">
        <f>IF(OR(Data!B452="",Data!#REF!=""),"",IF(Data!#REF!="",1,0))</f>
        <v>#REF!</v>
      </c>
      <c r="O452" s="17" t="e">
        <f>IF(Data!#REF!="","",IF(Data!#REF!="",1,0))</f>
        <v>#REF!</v>
      </c>
      <c r="P452" s="17" t="e">
        <f>IF(Data!#REF!="","",IF(ISNUMBER(MATCH(Data!#REF!,Data_Val!$A$2:$A$3,0)),0,1))</f>
        <v>#REF!</v>
      </c>
      <c r="Q452" s="25" t="e">
        <f ca="1">IF(Data!#REF!="","",IF(ISNUMBER(Data!#REF!),IF(AND(Data!#REF!&gt;(TODAY()-(Data_Val!$J$3*365.25)),Data!#REF!&lt;=(TODAY()-(Data_Val!$J$2*365.25))),0,1),1))</f>
        <v>#REF!</v>
      </c>
      <c r="R452" s="17" t="e">
        <f>IF(Data!#REF!="","",IF(ISNUMBER(MATCH(Data!#REF!,Data_Val!$B$2:$B$15,0)),0,1))</f>
        <v>#REF!</v>
      </c>
      <c r="S452" s="11" t="str">
        <f>IF(Data!G452="","",IF(Data!G452=Data_Val!$C$2,IF(Data!M452="",0,1),0))</f>
        <v/>
      </c>
      <c r="T452" s="11" t="str">
        <f>IF(Data!M452="","",IF(ISNUMBER(MATCH(Data!N452,Data_Val!$A$2:$A$3,0)),0,1))</f>
        <v/>
      </c>
      <c r="U452" s="11" t="str">
        <f ca="1">IF(Data!M452="","",IF(ISNUMBER(Data!O452),IF(AND(Data!O452&gt;(TODAY()-(Data_Val!$K$3*365.25)),Data!O452&lt;=(TODAY()-(Data_Val!$K$2*365.25))),0,1),1))</f>
        <v/>
      </c>
      <c r="V452" s="12" t="str">
        <f>IF(Data!G452="","",IF(Data!G452=Data_Val!$C$2,IF(Data!P452="",0,1),0))</f>
        <v/>
      </c>
      <c r="W452" s="12" t="str">
        <f>IF(Data!P452="","",IF(ISNUMBER(MATCH(Data!Q452,Data_Val!$A$2:$A$3,0)),0,1))</f>
        <v/>
      </c>
      <c r="X452" s="26" t="str">
        <f ca="1">IF(Data!P452="","",IF(ISNUMBER(Data!R452),IF(AND(Data!R452&gt;(TODAY()-(Data_Val!$L$3*365.25)),Data!R452&lt;=(TODAY()-(Data_Val!$L$2*365.25))),0,1),1))</f>
        <v/>
      </c>
      <c r="Y452" s="13" t="str">
        <f>IF(Data!$G452="","",IF(Data!$G452=Data_Val!$C$2,IF(Data!S452="",0,1),0))</f>
        <v/>
      </c>
      <c r="Z452" s="13" t="str">
        <f>IF(Data!S452="","",IF(ISNUMBER(MATCH(Data!T452,Data_Val!$A$2:$A$3,0)),0,1))</f>
        <v/>
      </c>
      <c r="AA452" s="28" t="str">
        <f ca="1">IF(Data!S452="","",IF(ISNUMBER(Data!U452),IF(AND(Data!U452&gt;(TODAY()-(Data_Val!$L$3*365.25)),Data!U452&lt;=(TODAY()-(Data_Val!$L$2*365.25))),0,1),1))</f>
        <v/>
      </c>
      <c r="AB452" s="11"/>
      <c r="AC452" s="11" t="e">
        <f>IF(Data!#REF!="","",IF(ISNUMBER(MATCH(Data!#REF!,Data_Val!$A$2:$A$3,0)),0,1))</f>
        <v>#REF!</v>
      </c>
      <c r="AD452" s="11" t="e">
        <f ca="1">IF(Data!#REF!="","",IF(ISNUMBER(Data!#REF!),IF(AND(Data!#REF!&gt;(TODAY()-(Data_Val!$L$3*365.25)),Data!#REF!&lt;=(TODAY()-(Data_Val!$L$2*365.25))),0,1),1))</f>
        <v>#REF!</v>
      </c>
      <c r="AE452" s="11" t="e">
        <f>IF(Data!#REF!="","",IF(Data!$G452="",1,IF(ISNUMBER(MATCH(Data!#REF!,Data_Val!$D$2:$D$10,0)),0,1)))</f>
        <v>#REF!</v>
      </c>
      <c r="AF452" s="12"/>
      <c r="AG452" s="12" t="e">
        <f>IF(Data!#REF!="","",IF(ISNUMBER(MATCH(Data!#REF!,Data_Val!$A$2:$A$3,0)),0,1))</f>
        <v>#REF!</v>
      </c>
      <c r="AH452" s="26" t="e">
        <f ca="1">IF(Data!#REF!="","",IF(ISNUMBER(Data!#REF!),IF(AND(Data!#REF!&gt;(TODAY()-(Data_Val!$L$3*365.25)),Data!#REF!&lt;=(TODAY()-(Data_Val!$L$2*365.25))),0,1),1))</f>
        <v>#REF!</v>
      </c>
      <c r="AI452" s="12" t="e">
        <f>IF(Data!#REF!="","",IF(Data!$G452="",1,IF(ISNUMBER(MATCH(Data!#REF!,Data_Val!$D$2:$D$10,0)),0,1)))</f>
        <v>#REF!</v>
      </c>
      <c r="AJ452" s="17"/>
      <c r="AK452" s="17" t="e">
        <f>IF(Data!#REF!="","",IF(ISNUMBER(MATCH(Data!#REF!,Data_Val!$A$2:$A$3,0)),0,1))</f>
        <v>#REF!</v>
      </c>
      <c r="AL452" s="25" t="e">
        <f ca="1">IF(Data!#REF!="","",IF(ISNUMBER(Data!#REF!),IF(AND(Data!#REF!&gt;(TODAY()-(Data_Val!$L$3*365.25)),Data!#REF!&lt;=(TODAY()-(Data_Val!$L$2*365.25))),0,1),1))</f>
        <v>#REF!</v>
      </c>
      <c r="AM452" s="17" t="e">
        <f>IF(Data!#REF!="","",IF(Data!$G452="",1,IF(ISNUMBER(MATCH(Data!#REF!,Data_Val!$D$2:$D$10,0)),0,1)))</f>
        <v>#REF!</v>
      </c>
      <c r="AN452" s="13"/>
      <c r="AO452" s="28" t="e">
        <f ca="1">IF(Data!#REF!="","",IF(ISNUMBER(Data!#REF!),IF(AND(Data!#REF!&gt;(TODAY()-(Data_Val!$I$3*365.25)),Data!#REF!&lt;=(TODAY()-(Data_Val!$I$2*365.25))),0,1),1))</f>
        <v>#REF!</v>
      </c>
      <c r="AP452" s="13" t="e">
        <f>IF(Data!#REF!="","",IF(Data!$G452="",1,IF(ISNUMBER(MATCH(Data!#REF!,Data_Val!$D$2:$D$10,0)),0,1)))</f>
        <v>#REF!</v>
      </c>
      <c r="AQ452" s="17"/>
      <c r="AR452" s="30" t="e">
        <f ca="1">IF(Data!#REF!="","",IF(ISNUMBER(Data!#REF!),IF(AND(Data!#REF!&gt;(TODAY()-(Data_Val!$I$3*365.25)),Data!#REF!&lt;=(TODAY()-(Data_Val!$I$2*365.25))),0,1),1))</f>
        <v>#REF!</v>
      </c>
      <c r="AS452" s="31" t="e">
        <f>IF(Data!#REF!="","",IF(Data!$G452="",1,IF(ISNUMBER(MATCH(Data!#REF!,Data_Val!$D$2:$D$10,0)),0,1)))</f>
        <v>#REF!</v>
      </c>
      <c r="AT452" s="11"/>
      <c r="AU452" s="11" t="e">
        <f ca="1">IF(Data!#REF!="","",IF(ISNUMBER(Data!#REF!),IF(AND(Data!#REF!&gt;(TODAY()-(Data_Val!$I$3*365.25)),Data!#REF!&lt;=(TODAY()-(Data_Val!$I$2*365.25))),0,1),1))</f>
        <v>#REF!</v>
      </c>
      <c r="AV452" s="11" t="e">
        <f>IF(Data!#REF!="","",IF(Data!$G452="",1,IF(ISNUMBER(MATCH(Data!#REF!,Data_Val!$D$2:$D$10,0)),0,1)))</f>
        <v>#REF!</v>
      </c>
      <c r="AW452" s="12"/>
      <c r="AX452" s="26" t="e">
        <f ca="1">IF(Data!#REF!="","",IF(ISNUMBER(Data!#REF!),IF(AND(Data!#REF!&gt;(TODAY()-(Data_Val!$I$3*365.25)),Data!#REF!&lt;=(TODAY()-(Data_Val!$I$2*365.25))),0,1),1))</f>
        <v>#REF!</v>
      </c>
      <c r="AY452" s="12" t="e">
        <f>IF(Data!#REF!="","",IF(Data!$G452="",1,IF(ISNUMBER(MATCH(Data!#REF!,Data_Val!$D$2:$D$10,0)),0,1)))</f>
        <v>#REF!</v>
      </c>
      <c r="AZ452" s="11"/>
      <c r="BA452" s="19" t="e">
        <f ca="1">IF(Data!#REF!="","",IF(ISNUMBER(Data!#REF!),IF(AND(Data!#REF!&gt;(TODAY()-(Data_Val!$M$3*365.25)),Data!#REF!&lt;=(TODAY()-(Data_Val!$M$2*365.25))),0,1),1))</f>
        <v>#REF!</v>
      </c>
      <c r="BB452" s="11" t="e">
        <f>IF(Data!#REF!="","",IF(Data!$G452="",1,IF(ISNUMBER(MATCH(Data!#REF!,Data_Val!$D$2:$D$10,0)),0,1)))</f>
        <v>#REF!</v>
      </c>
      <c r="BC452" s="12"/>
      <c r="BD452" s="20" t="e">
        <f ca="1">IF(Data!#REF!="","",IF(ISNUMBER(Data!#REF!),IF(AND(Data!#REF!&gt;(TODAY()-(Data_Val!$M$3*365.25)),Data!#REF!&lt;=(TODAY()-(Data_Val!$M$2*365.25))),0,1),1))</f>
        <v>#REF!</v>
      </c>
      <c r="BE452" s="12" t="e">
        <f>IF(Data!#REF!="","",IF(Data!$G452="",1,IF(ISNUMBER(MATCH(Data!#REF!,Data_Val!$D$2:$D$10,0)),0,1)))</f>
        <v>#REF!</v>
      </c>
      <c r="BF452" s="17"/>
      <c r="BG452" s="18" t="e">
        <f ca="1">IF(Data!#REF!="","",IF(ISNUMBER(Data!#REF!),IF(AND(Data!#REF!&gt;(TODAY()-(Data_Val!$M$3*365.25)),Data!#REF!&lt;=(TODAY()-(Data_Val!$M$2*365.25))),0,1),1))</f>
        <v>#REF!</v>
      </c>
      <c r="BH452" s="29" t="e">
        <f>IF(Data!#REF!="","",IF(Data!$G452="",1,IF(ISNUMBER(MATCH(Data!#REF!,Data_Val!$D$2:$D$10,0)),0,1)))</f>
        <v>#REF!</v>
      </c>
      <c r="BI452" s="13"/>
      <c r="BJ452" s="21" t="e">
        <f ca="1">IF(Data!#REF!="","",IF(ISNUMBER(Data!#REF!),IF(AND(Data!#REF!&gt;(TODAY()-(Data_Val!$M$3*365.25)),Data!#REF!&lt;=(TODAY()-(Data_Val!$M$2*365.25))),0,1),1))</f>
        <v>#REF!</v>
      </c>
      <c r="BK452" s="13" t="e">
        <f>IF(Data!#REF!="","",IF(Data!$G452="",1,IF(ISNUMBER(MATCH(Data!#REF!,Data_Val!$D$2:$D$10,0)),0,1)))</f>
        <v>#REF!</v>
      </c>
    </row>
    <row r="453" spans="1:63" x14ac:dyDescent="0.25">
      <c r="A453" s="9" t="str">
        <f>IF(Data!B453="","",IF(COUNTIFS(Data!A$1:'Data'!A453,Data!A453)&lt;=1,0,1))</f>
        <v/>
      </c>
      <c r="B453" s="9"/>
      <c r="C453" s="23" t="str">
        <f>IF(Data!C453="","",(IF(ISNUMBER(MATCH("*@*.?*",Data!C453,0)),0,1)+IF(COUNTIFS(Data!C$1:'Data'!C453,Data!C453)&gt;1,1,0)))</f>
        <v/>
      </c>
      <c r="D453" s="9" t="str">
        <f>IF(Data!B453="","",IF(ISNUMBER(Data!D453),IF(AND(Data!D453&gt;999999999,Data!D453&lt;=9999999999),IF(COUNTIFS(Data!D$1:'Data'!D453,Data!D453)&lt;=1,0,1),1),1))</f>
        <v/>
      </c>
      <c r="E453" s="9" t="str">
        <f>IF(Data!B453="","",IF(ISNUMBER(MATCH(Data!E453,Data_Val!$A$2:$A$3,0)),0,1))</f>
        <v/>
      </c>
      <c r="F453" s="9" t="str">
        <f ca="1">IF(Data!B453="","",IF(ISNUMBER(Data!F453),IF(AND(Data!F453&gt;(TODAY()-(Data_Val!$H$3*365.25)),Data!F453&lt;=(TODAY()-(Data_Val!$H$2*365.25))),0,1),1))</f>
        <v/>
      </c>
      <c r="G453" s="15" t="str">
        <f>IF(Data!B453="","",IF(AND(Data!G453="",Data!H453&lt;&gt;""),1,IF(Data!#REF!&lt;&gt;"",0,IF(ISNUMBER(MATCH(Data!G453,Data_Val!$C$2:$C$5,0)),0,1))))</f>
        <v/>
      </c>
      <c r="H453" s="15" t="str">
        <f>IF(Data!B453="","",IF(AND(Data!G453&lt;&gt;"",Data!H453=""),1,IF(Data!#REF!&lt;&gt;"",0,IF(Data!G453="",1,IF(ISNUMBER(MATCH(Data!H453,Data_Val!$D$2:$D$35,0)),0,1)))))</f>
        <v/>
      </c>
      <c r="I453" s="15" t="str">
        <f>IF(Data!B453="","",IF(Data!G453&lt;&gt;"",0,IF(ISNUMBER(MATCH(Data!#REF!,Data_Val!$E$2:$E$12,0)),0,1)))</f>
        <v/>
      </c>
      <c r="J453" s="16" t="e">
        <f>IF(OR(Data!B453="",Data!#REF!=""),"",IF(Data!#REF!="",1,0))</f>
        <v>#REF!</v>
      </c>
      <c r="K453" s="16" t="e">
        <f>IF(OR(Data!B453="",Data!#REF!=""),"",IF(Data!#REF!="",1,0))</f>
        <v>#REF!</v>
      </c>
      <c r="L453" s="16" t="e">
        <f>IF(OR(Data!B453="",Data!#REF!=""),"",IF(ISNUMBER(Data!#REF!),IF(AND(Data!#REF!&gt;Data_Val!$G$2,Data!#REF!&lt;=Data_Val!$G$3),0,1),1))</f>
        <v>#REF!</v>
      </c>
      <c r="M453" s="9" t="e">
        <f>IF(OR(Data!B453="",Data!#REF!=""),"",IF(ISNUMBER(MATCH(Data!#REF!,Data_Val!$F$1:$F$38,0)),0,1))</f>
        <v>#REF!</v>
      </c>
      <c r="N453" s="9" t="e">
        <f>IF(OR(Data!B453="",Data!#REF!=""),"",IF(Data!#REF!="",1,0))</f>
        <v>#REF!</v>
      </c>
      <c r="O453" s="17" t="e">
        <f>IF(Data!#REF!="","",IF(Data!#REF!="",1,0))</f>
        <v>#REF!</v>
      </c>
      <c r="P453" s="17" t="e">
        <f>IF(Data!#REF!="","",IF(ISNUMBER(MATCH(Data!#REF!,Data_Val!$A$2:$A$3,0)),0,1))</f>
        <v>#REF!</v>
      </c>
      <c r="Q453" s="25" t="e">
        <f ca="1">IF(Data!#REF!="","",IF(ISNUMBER(Data!#REF!),IF(AND(Data!#REF!&gt;(TODAY()-(Data_Val!$J$3*365.25)),Data!#REF!&lt;=(TODAY()-(Data_Val!$J$2*365.25))),0,1),1))</f>
        <v>#REF!</v>
      </c>
      <c r="R453" s="17" t="e">
        <f>IF(Data!#REF!="","",IF(ISNUMBER(MATCH(Data!#REF!,Data_Val!$B$2:$B$15,0)),0,1))</f>
        <v>#REF!</v>
      </c>
      <c r="S453" s="11" t="str">
        <f>IF(Data!G453="","",IF(Data!G453=Data_Val!$C$2,IF(Data!M453="",0,1),0))</f>
        <v/>
      </c>
      <c r="T453" s="11" t="str">
        <f>IF(Data!M453="","",IF(ISNUMBER(MATCH(Data!N453,Data_Val!$A$2:$A$3,0)),0,1))</f>
        <v/>
      </c>
      <c r="U453" s="11" t="str">
        <f ca="1">IF(Data!M453="","",IF(ISNUMBER(Data!O453),IF(AND(Data!O453&gt;(TODAY()-(Data_Val!$K$3*365.25)),Data!O453&lt;=(TODAY()-(Data_Val!$K$2*365.25))),0,1),1))</f>
        <v/>
      </c>
      <c r="V453" s="12" t="str">
        <f>IF(Data!G453="","",IF(Data!G453=Data_Val!$C$2,IF(Data!P453="",0,1),0))</f>
        <v/>
      </c>
      <c r="W453" s="12" t="str">
        <f>IF(Data!P453="","",IF(ISNUMBER(MATCH(Data!Q453,Data_Val!$A$2:$A$3,0)),0,1))</f>
        <v/>
      </c>
      <c r="X453" s="26" t="str">
        <f ca="1">IF(Data!P453="","",IF(ISNUMBER(Data!R453),IF(AND(Data!R453&gt;(TODAY()-(Data_Val!$L$3*365.25)),Data!R453&lt;=(TODAY()-(Data_Val!$L$2*365.25))),0,1),1))</f>
        <v/>
      </c>
      <c r="Y453" s="13" t="str">
        <f>IF(Data!$G453="","",IF(Data!$G453=Data_Val!$C$2,IF(Data!S453="",0,1),0))</f>
        <v/>
      </c>
      <c r="Z453" s="13" t="str">
        <f>IF(Data!S453="","",IF(ISNUMBER(MATCH(Data!T453,Data_Val!$A$2:$A$3,0)),0,1))</f>
        <v/>
      </c>
      <c r="AA453" s="28" t="str">
        <f ca="1">IF(Data!S453="","",IF(ISNUMBER(Data!U453),IF(AND(Data!U453&gt;(TODAY()-(Data_Val!$L$3*365.25)),Data!U453&lt;=(TODAY()-(Data_Val!$L$2*365.25))),0,1),1))</f>
        <v/>
      </c>
      <c r="AB453" s="11"/>
      <c r="AC453" s="11" t="e">
        <f>IF(Data!#REF!="","",IF(ISNUMBER(MATCH(Data!#REF!,Data_Val!$A$2:$A$3,0)),0,1))</f>
        <v>#REF!</v>
      </c>
      <c r="AD453" s="11" t="e">
        <f ca="1">IF(Data!#REF!="","",IF(ISNUMBER(Data!#REF!),IF(AND(Data!#REF!&gt;(TODAY()-(Data_Val!$L$3*365.25)),Data!#REF!&lt;=(TODAY()-(Data_Val!$L$2*365.25))),0,1),1))</f>
        <v>#REF!</v>
      </c>
      <c r="AE453" s="11" t="e">
        <f>IF(Data!#REF!="","",IF(Data!$G453="",1,IF(ISNUMBER(MATCH(Data!#REF!,Data_Val!$D$2:$D$10,0)),0,1)))</f>
        <v>#REF!</v>
      </c>
      <c r="AF453" s="12"/>
      <c r="AG453" s="12" t="e">
        <f>IF(Data!#REF!="","",IF(ISNUMBER(MATCH(Data!#REF!,Data_Val!$A$2:$A$3,0)),0,1))</f>
        <v>#REF!</v>
      </c>
      <c r="AH453" s="26" t="e">
        <f ca="1">IF(Data!#REF!="","",IF(ISNUMBER(Data!#REF!),IF(AND(Data!#REF!&gt;(TODAY()-(Data_Val!$L$3*365.25)),Data!#REF!&lt;=(TODAY()-(Data_Val!$L$2*365.25))),0,1),1))</f>
        <v>#REF!</v>
      </c>
      <c r="AI453" s="12" t="e">
        <f>IF(Data!#REF!="","",IF(Data!$G453="",1,IF(ISNUMBER(MATCH(Data!#REF!,Data_Val!$D$2:$D$10,0)),0,1)))</f>
        <v>#REF!</v>
      </c>
      <c r="AJ453" s="17"/>
      <c r="AK453" s="17" t="e">
        <f>IF(Data!#REF!="","",IF(ISNUMBER(MATCH(Data!#REF!,Data_Val!$A$2:$A$3,0)),0,1))</f>
        <v>#REF!</v>
      </c>
      <c r="AL453" s="25" t="e">
        <f ca="1">IF(Data!#REF!="","",IF(ISNUMBER(Data!#REF!),IF(AND(Data!#REF!&gt;(TODAY()-(Data_Val!$L$3*365.25)),Data!#REF!&lt;=(TODAY()-(Data_Val!$L$2*365.25))),0,1),1))</f>
        <v>#REF!</v>
      </c>
      <c r="AM453" s="17" t="e">
        <f>IF(Data!#REF!="","",IF(Data!$G453="",1,IF(ISNUMBER(MATCH(Data!#REF!,Data_Val!$D$2:$D$10,0)),0,1)))</f>
        <v>#REF!</v>
      </c>
      <c r="AN453" s="13"/>
      <c r="AO453" s="28" t="e">
        <f ca="1">IF(Data!#REF!="","",IF(ISNUMBER(Data!#REF!),IF(AND(Data!#REF!&gt;(TODAY()-(Data_Val!$I$3*365.25)),Data!#REF!&lt;=(TODAY()-(Data_Val!$I$2*365.25))),0,1),1))</f>
        <v>#REF!</v>
      </c>
      <c r="AP453" s="13" t="e">
        <f>IF(Data!#REF!="","",IF(Data!$G453="",1,IF(ISNUMBER(MATCH(Data!#REF!,Data_Val!$D$2:$D$10,0)),0,1)))</f>
        <v>#REF!</v>
      </c>
      <c r="AQ453" s="17"/>
      <c r="AR453" s="30" t="e">
        <f ca="1">IF(Data!#REF!="","",IF(ISNUMBER(Data!#REF!),IF(AND(Data!#REF!&gt;(TODAY()-(Data_Val!$I$3*365.25)),Data!#REF!&lt;=(TODAY()-(Data_Val!$I$2*365.25))),0,1),1))</f>
        <v>#REF!</v>
      </c>
      <c r="AS453" s="31" t="e">
        <f>IF(Data!#REF!="","",IF(Data!$G453="",1,IF(ISNUMBER(MATCH(Data!#REF!,Data_Val!$D$2:$D$10,0)),0,1)))</f>
        <v>#REF!</v>
      </c>
      <c r="AT453" s="11"/>
      <c r="AU453" s="11" t="e">
        <f ca="1">IF(Data!#REF!="","",IF(ISNUMBER(Data!#REF!),IF(AND(Data!#REF!&gt;(TODAY()-(Data_Val!$I$3*365.25)),Data!#REF!&lt;=(TODAY()-(Data_Val!$I$2*365.25))),0,1),1))</f>
        <v>#REF!</v>
      </c>
      <c r="AV453" s="11" t="e">
        <f>IF(Data!#REF!="","",IF(Data!$G453="",1,IF(ISNUMBER(MATCH(Data!#REF!,Data_Val!$D$2:$D$10,0)),0,1)))</f>
        <v>#REF!</v>
      </c>
      <c r="AW453" s="12"/>
      <c r="AX453" s="26" t="e">
        <f ca="1">IF(Data!#REF!="","",IF(ISNUMBER(Data!#REF!),IF(AND(Data!#REF!&gt;(TODAY()-(Data_Val!$I$3*365.25)),Data!#REF!&lt;=(TODAY()-(Data_Val!$I$2*365.25))),0,1),1))</f>
        <v>#REF!</v>
      </c>
      <c r="AY453" s="12" t="e">
        <f>IF(Data!#REF!="","",IF(Data!$G453="",1,IF(ISNUMBER(MATCH(Data!#REF!,Data_Val!$D$2:$D$10,0)),0,1)))</f>
        <v>#REF!</v>
      </c>
      <c r="AZ453" s="11"/>
      <c r="BA453" s="19" t="e">
        <f ca="1">IF(Data!#REF!="","",IF(ISNUMBER(Data!#REF!),IF(AND(Data!#REF!&gt;(TODAY()-(Data_Val!$M$3*365.25)),Data!#REF!&lt;=(TODAY()-(Data_Val!$M$2*365.25))),0,1),1))</f>
        <v>#REF!</v>
      </c>
      <c r="BB453" s="11" t="e">
        <f>IF(Data!#REF!="","",IF(Data!$G453="",1,IF(ISNUMBER(MATCH(Data!#REF!,Data_Val!$D$2:$D$10,0)),0,1)))</f>
        <v>#REF!</v>
      </c>
      <c r="BC453" s="12"/>
      <c r="BD453" s="20" t="e">
        <f ca="1">IF(Data!#REF!="","",IF(ISNUMBER(Data!#REF!),IF(AND(Data!#REF!&gt;(TODAY()-(Data_Val!$M$3*365.25)),Data!#REF!&lt;=(TODAY()-(Data_Val!$M$2*365.25))),0,1),1))</f>
        <v>#REF!</v>
      </c>
      <c r="BE453" s="12" t="e">
        <f>IF(Data!#REF!="","",IF(Data!$G453="",1,IF(ISNUMBER(MATCH(Data!#REF!,Data_Val!$D$2:$D$10,0)),0,1)))</f>
        <v>#REF!</v>
      </c>
      <c r="BF453" s="17"/>
      <c r="BG453" s="18" t="e">
        <f ca="1">IF(Data!#REF!="","",IF(ISNUMBER(Data!#REF!),IF(AND(Data!#REF!&gt;(TODAY()-(Data_Val!$M$3*365.25)),Data!#REF!&lt;=(TODAY()-(Data_Val!$M$2*365.25))),0,1),1))</f>
        <v>#REF!</v>
      </c>
      <c r="BH453" s="29" t="e">
        <f>IF(Data!#REF!="","",IF(Data!$G453="",1,IF(ISNUMBER(MATCH(Data!#REF!,Data_Val!$D$2:$D$10,0)),0,1)))</f>
        <v>#REF!</v>
      </c>
      <c r="BI453" s="13"/>
      <c r="BJ453" s="21" t="e">
        <f ca="1">IF(Data!#REF!="","",IF(ISNUMBER(Data!#REF!),IF(AND(Data!#REF!&gt;(TODAY()-(Data_Val!$M$3*365.25)),Data!#REF!&lt;=(TODAY()-(Data_Val!$M$2*365.25))),0,1),1))</f>
        <v>#REF!</v>
      </c>
      <c r="BK453" s="13" t="e">
        <f>IF(Data!#REF!="","",IF(Data!$G453="",1,IF(ISNUMBER(MATCH(Data!#REF!,Data_Val!$D$2:$D$10,0)),0,1)))</f>
        <v>#REF!</v>
      </c>
    </row>
    <row r="454" spans="1:63" x14ac:dyDescent="0.25">
      <c r="A454" s="9" t="str">
        <f>IF(Data!B454="","",IF(COUNTIFS(Data!A$1:'Data'!A454,Data!A454)&lt;=1,0,1))</f>
        <v/>
      </c>
      <c r="B454" s="9"/>
      <c r="C454" s="23" t="str">
        <f>IF(Data!C454="","",(IF(ISNUMBER(MATCH("*@*.?*",Data!C454,0)),0,1)+IF(COUNTIFS(Data!C$1:'Data'!C454,Data!C454)&gt;1,1,0)))</f>
        <v/>
      </c>
      <c r="D454" s="9" t="str">
        <f>IF(Data!B454="","",IF(ISNUMBER(Data!D454),IF(AND(Data!D454&gt;999999999,Data!D454&lt;=9999999999),IF(COUNTIFS(Data!D$1:'Data'!D454,Data!D454)&lt;=1,0,1),1),1))</f>
        <v/>
      </c>
      <c r="E454" s="9" t="str">
        <f>IF(Data!B454="","",IF(ISNUMBER(MATCH(Data!E454,Data_Val!$A$2:$A$3,0)),0,1))</f>
        <v/>
      </c>
      <c r="F454" s="9" t="str">
        <f ca="1">IF(Data!B454="","",IF(ISNUMBER(Data!F454),IF(AND(Data!F454&gt;(TODAY()-(Data_Val!$H$3*365.25)),Data!F454&lt;=(TODAY()-(Data_Val!$H$2*365.25))),0,1),1))</f>
        <v/>
      </c>
      <c r="G454" s="15" t="str">
        <f>IF(Data!B454="","",IF(AND(Data!G454="",Data!H454&lt;&gt;""),1,IF(Data!#REF!&lt;&gt;"",0,IF(ISNUMBER(MATCH(Data!G454,Data_Val!$C$2:$C$5,0)),0,1))))</f>
        <v/>
      </c>
      <c r="H454" s="15" t="str">
        <f>IF(Data!B454="","",IF(AND(Data!G454&lt;&gt;"",Data!H454=""),1,IF(Data!#REF!&lt;&gt;"",0,IF(Data!G454="",1,IF(ISNUMBER(MATCH(Data!H454,Data_Val!$D$2:$D$35,0)),0,1)))))</f>
        <v/>
      </c>
      <c r="I454" s="15" t="str">
        <f>IF(Data!B454="","",IF(Data!G454&lt;&gt;"",0,IF(ISNUMBER(MATCH(Data!#REF!,Data_Val!$E$2:$E$12,0)),0,1)))</f>
        <v/>
      </c>
      <c r="J454" s="16" t="e">
        <f>IF(OR(Data!B454="",Data!#REF!=""),"",IF(Data!#REF!="",1,0))</f>
        <v>#REF!</v>
      </c>
      <c r="K454" s="16" t="e">
        <f>IF(OR(Data!B454="",Data!#REF!=""),"",IF(Data!#REF!="",1,0))</f>
        <v>#REF!</v>
      </c>
      <c r="L454" s="16" t="e">
        <f>IF(OR(Data!B454="",Data!#REF!=""),"",IF(ISNUMBER(Data!#REF!),IF(AND(Data!#REF!&gt;Data_Val!$G$2,Data!#REF!&lt;=Data_Val!$G$3),0,1),1))</f>
        <v>#REF!</v>
      </c>
      <c r="M454" s="9" t="e">
        <f>IF(OR(Data!B454="",Data!#REF!=""),"",IF(ISNUMBER(MATCH(Data!#REF!,Data_Val!$F$1:$F$38,0)),0,1))</f>
        <v>#REF!</v>
      </c>
      <c r="N454" s="9" t="e">
        <f>IF(OR(Data!B454="",Data!#REF!=""),"",IF(Data!#REF!="",1,0))</f>
        <v>#REF!</v>
      </c>
      <c r="O454" s="17" t="e">
        <f>IF(Data!#REF!="","",IF(Data!#REF!="",1,0))</f>
        <v>#REF!</v>
      </c>
      <c r="P454" s="17" t="e">
        <f>IF(Data!#REF!="","",IF(ISNUMBER(MATCH(Data!#REF!,Data_Val!$A$2:$A$3,0)),0,1))</f>
        <v>#REF!</v>
      </c>
      <c r="Q454" s="25" t="e">
        <f ca="1">IF(Data!#REF!="","",IF(ISNUMBER(Data!#REF!),IF(AND(Data!#REF!&gt;(TODAY()-(Data_Val!$J$3*365.25)),Data!#REF!&lt;=(TODAY()-(Data_Val!$J$2*365.25))),0,1),1))</f>
        <v>#REF!</v>
      </c>
      <c r="R454" s="17" t="e">
        <f>IF(Data!#REF!="","",IF(ISNUMBER(MATCH(Data!#REF!,Data_Val!$B$2:$B$15,0)),0,1))</f>
        <v>#REF!</v>
      </c>
      <c r="S454" s="11" t="str">
        <f>IF(Data!G454="","",IF(Data!G454=Data_Val!$C$2,IF(Data!M454="",0,1),0))</f>
        <v/>
      </c>
      <c r="T454" s="11" t="str">
        <f>IF(Data!M454="","",IF(ISNUMBER(MATCH(Data!N454,Data_Val!$A$2:$A$3,0)),0,1))</f>
        <v/>
      </c>
      <c r="U454" s="11" t="str">
        <f ca="1">IF(Data!M454="","",IF(ISNUMBER(Data!O454),IF(AND(Data!O454&gt;(TODAY()-(Data_Val!$K$3*365.25)),Data!O454&lt;=(TODAY()-(Data_Val!$K$2*365.25))),0,1),1))</f>
        <v/>
      </c>
      <c r="V454" s="12" t="str">
        <f>IF(Data!G454="","",IF(Data!G454=Data_Val!$C$2,IF(Data!P454="",0,1),0))</f>
        <v/>
      </c>
      <c r="W454" s="12" t="str">
        <f>IF(Data!P454="","",IF(ISNUMBER(MATCH(Data!Q454,Data_Val!$A$2:$A$3,0)),0,1))</f>
        <v/>
      </c>
      <c r="X454" s="26" t="str">
        <f ca="1">IF(Data!P454="","",IF(ISNUMBER(Data!R454),IF(AND(Data!R454&gt;(TODAY()-(Data_Val!$L$3*365.25)),Data!R454&lt;=(TODAY()-(Data_Val!$L$2*365.25))),0,1),1))</f>
        <v/>
      </c>
      <c r="Y454" s="13" t="str">
        <f>IF(Data!$G454="","",IF(Data!$G454=Data_Val!$C$2,IF(Data!S454="",0,1),0))</f>
        <v/>
      </c>
      <c r="Z454" s="13" t="str">
        <f>IF(Data!S454="","",IF(ISNUMBER(MATCH(Data!T454,Data_Val!$A$2:$A$3,0)),0,1))</f>
        <v/>
      </c>
      <c r="AA454" s="28" t="str">
        <f ca="1">IF(Data!S454="","",IF(ISNUMBER(Data!U454),IF(AND(Data!U454&gt;(TODAY()-(Data_Val!$L$3*365.25)),Data!U454&lt;=(TODAY()-(Data_Val!$L$2*365.25))),0,1),1))</f>
        <v/>
      </c>
      <c r="AB454" s="11"/>
      <c r="AC454" s="11" t="e">
        <f>IF(Data!#REF!="","",IF(ISNUMBER(MATCH(Data!#REF!,Data_Val!$A$2:$A$3,0)),0,1))</f>
        <v>#REF!</v>
      </c>
      <c r="AD454" s="11" t="e">
        <f ca="1">IF(Data!#REF!="","",IF(ISNUMBER(Data!#REF!),IF(AND(Data!#REF!&gt;(TODAY()-(Data_Val!$L$3*365.25)),Data!#REF!&lt;=(TODAY()-(Data_Val!$L$2*365.25))),0,1),1))</f>
        <v>#REF!</v>
      </c>
      <c r="AE454" s="11" t="e">
        <f>IF(Data!#REF!="","",IF(Data!$G454="",1,IF(ISNUMBER(MATCH(Data!#REF!,Data_Val!$D$2:$D$10,0)),0,1)))</f>
        <v>#REF!</v>
      </c>
      <c r="AF454" s="12"/>
      <c r="AG454" s="12" t="e">
        <f>IF(Data!#REF!="","",IF(ISNUMBER(MATCH(Data!#REF!,Data_Val!$A$2:$A$3,0)),0,1))</f>
        <v>#REF!</v>
      </c>
      <c r="AH454" s="26" t="e">
        <f ca="1">IF(Data!#REF!="","",IF(ISNUMBER(Data!#REF!),IF(AND(Data!#REF!&gt;(TODAY()-(Data_Val!$L$3*365.25)),Data!#REF!&lt;=(TODAY()-(Data_Val!$L$2*365.25))),0,1),1))</f>
        <v>#REF!</v>
      </c>
      <c r="AI454" s="12" t="e">
        <f>IF(Data!#REF!="","",IF(Data!$G454="",1,IF(ISNUMBER(MATCH(Data!#REF!,Data_Val!$D$2:$D$10,0)),0,1)))</f>
        <v>#REF!</v>
      </c>
      <c r="AJ454" s="17"/>
      <c r="AK454" s="17" t="e">
        <f>IF(Data!#REF!="","",IF(ISNUMBER(MATCH(Data!#REF!,Data_Val!$A$2:$A$3,0)),0,1))</f>
        <v>#REF!</v>
      </c>
      <c r="AL454" s="25" t="e">
        <f ca="1">IF(Data!#REF!="","",IF(ISNUMBER(Data!#REF!),IF(AND(Data!#REF!&gt;(TODAY()-(Data_Val!$L$3*365.25)),Data!#REF!&lt;=(TODAY()-(Data_Val!$L$2*365.25))),0,1),1))</f>
        <v>#REF!</v>
      </c>
      <c r="AM454" s="17" t="e">
        <f>IF(Data!#REF!="","",IF(Data!$G454="",1,IF(ISNUMBER(MATCH(Data!#REF!,Data_Val!$D$2:$D$10,0)),0,1)))</f>
        <v>#REF!</v>
      </c>
      <c r="AN454" s="13"/>
      <c r="AO454" s="28" t="e">
        <f ca="1">IF(Data!#REF!="","",IF(ISNUMBER(Data!#REF!),IF(AND(Data!#REF!&gt;(TODAY()-(Data_Val!$I$3*365.25)),Data!#REF!&lt;=(TODAY()-(Data_Val!$I$2*365.25))),0,1),1))</f>
        <v>#REF!</v>
      </c>
      <c r="AP454" s="13" t="e">
        <f>IF(Data!#REF!="","",IF(Data!$G454="",1,IF(ISNUMBER(MATCH(Data!#REF!,Data_Val!$D$2:$D$10,0)),0,1)))</f>
        <v>#REF!</v>
      </c>
      <c r="AQ454" s="17"/>
      <c r="AR454" s="30" t="e">
        <f ca="1">IF(Data!#REF!="","",IF(ISNUMBER(Data!#REF!),IF(AND(Data!#REF!&gt;(TODAY()-(Data_Val!$I$3*365.25)),Data!#REF!&lt;=(TODAY()-(Data_Val!$I$2*365.25))),0,1),1))</f>
        <v>#REF!</v>
      </c>
      <c r="AS454" s="31" t="e">
        <f>IF(Data!#REF!="","",IF(Data!$G454="",1,IF(ISNUMBER(MATCH(Data!#REF!,Data_Val!$D$2:$D$10,0)),0,1)))</f>
        <v>#REF!</v>
      </c>
      <c r="AT454" s="11"/>
      <c r="AU454" s="11" t="e">
        <f ca="1">IF(Data!#REF!="","",IF(ISNUMBER(Data!#REF!),IF(AND(Data!#REF!&gt;(TODAY()-(Data_Val!$I$3*365.25)),Data!#REF!&lt;=(TODAY()-(Data_Val!$I$2*365.25))),0,1),1))</f>
        <v>#REF!</v>
      </c>
      <c r="AV454" s="11" t="e">
        <f>IF(Data!#REF!="","",IF(Data!$G454="",1,IF(ISNUMBER(MATCH(Data!#REF!,Data_Val!$D$2:$D$10,0)),0,1)))</f>
        <v>#REF!</v>
      </c>
      <c r="AW454" s="12"/>
      <c r="AX454" s="26" t="e">
        <f ca="1">IF(Data!#REF!="","",IF(ISNUMBER(Data!#REF!),IF(AND(Data!#REF!&gt;(TODAY()-(Data_Val!$I$3*365.25)),Data!#REF!&lt;=(TODAY()-(Data_Val!$I$2*365.25))),0,1),1))</f>
        <v>#REF!</v>
      </c>
      <c r="AY454" s="12" t="e">
        <f>IF(Data!#REF!="","",IF(Data!$G454="",1,IF(ISNUMBER(MATCH(Data!#REF!,Data_Val!$D$2:$D$10,0)),0,1)))</f>
        <v>#REF!</v>
      </c>
      <c r="AZ454" s="11"/>
      <c r="BA454" s="19" t="e">
        <f ca="1">IF(Data!#REF!="","",IF(ISNUMBER(Data!#REF!),IF(AND(Data!#REF!&gt;(TODAY()-(Data_Val!$M$3*365.25)),Data!#REF!&lt;=(TODAY()-(Data_Val!$M$2*365.25))),0,1),1))</f>
        <v>#REF!</v>
      </c>
      <c r="BB454" s="11" t="e">
        <f>IF(Data!#REF!="","",IF(Data!$G454="",1,IF(ISNUMBER(MATCH(Data!#REF!,Data_Val!$D$2:$D$10,0)),0,1)))</f>
        <v>#REF!</v>
      </c>
      <c r="BC454" s="12"/>
      <c r="BD454" s="20" t="e">
        <f ca="1">IF(Data!#REF!="","",IF(ISNUMBER(Data!#REF!),IF(AND(Data!#REF!&gt;(TODAY()-(Data_Val!$M$3*365.25)),Data!#REF!&lt;=(TODAY()-(Data_Val!$M$2*365.25))),0,1),1))</f>
        <v>#REF!</v>
      </c>
      <c r="BE454" s="12" t="e">
        <f>IF(Data!#REF!="","",IF(Data!$G454="",1,IF(ISNUMBER(MATCH(Data!#REF!,Data_Val!$D$2:$D$10,0)),0,1)))</f>
        <v>#REF!</v>
      </c>
      <c r="BF454" s="17"/>
      <c r="BG454" s="18" t="e">
        <f ca="1">IF(Data!#REF!="","",IF(ISNUMBER(Data!#REF!),IF(AND(Data!#REF!&gt;(TODAY()-(Data_Val!$M$3*365.25)),Data!#REF!&lt;=(TODAY()-(Data_Val!$M$2*365.25))),0,1),1))</f>
        <v>#REF!</v>
      </c>
      <c r="BH454" s="29" t="e">
        <f>IF(Data!#REF!="","",IF(Data!$G454="",1,IF(ISNUMBER(MATCH(Data!#REF!,Data_Val!$D$2:$D$10,0)),0,1)))</f>
        <v>#REF!</v>
      </c>
      <c r="BI454" s="13"/>
      <c r="BJ454" s="21" t="e">
        <f ca="1">IF(Data!#REF!="","",IF(ISNUMBER(Data!#REF!),IF(AND(Data!#REF!&gt;(TODAY()-(Data_Val!$M$3*365.25)),Data!#REF!&lt;=(TODAY()-(Data_Val!$M$2*365.25))),0,1),1))</f>
        <v>#REF!</v>
      </c>
      <c r="BK454" s="13" t="e">
        <f>IF(Data!#REF!="","",IF(Data!$G454="",1,IF(ISNUMBER(MATCH(Data!#REF!,Data_Val!$D$2:$D$10,0)),0,1)))</f>
        <v>#REF!</v>
      </c>
    </row>
    <row r="455" spans="1:63" x14ac:dyDescent="0.25">
      <c r="A455" s="9" t="str">
        <f>IF(Data!B455="","",IF(COUNTIFS(Data!A$1:'Data'!A455,Data!A455)&lt;=1,0,1))</f>
        <v/>
      </c>
      <c r="B455" s="9"/>
      <c r="C455" s="23" t="str">
        <f>IF(Data!C455="","",(IF(ISNUMBER(MATCH("*@*.?*",Data!C455,0)),0,1)+IF(COUNTIFS(Data!C$1:'Data'!C455,Data!C455)&gt;1,1,0)))</f>
        <v/>
      </c>
      <c r="D455" s="9" t="str">
        <f>IF(Data!B455="","",IF(ISNUMBER(Data!D455),IF(AND(Data!D455&gt;999999999,Data!D455&lt;=9999999999),IF(COUNTIFS(Data!D$1:'Data'!D455,Data!D455)&lt;=1,0,1),1),1))</f>
        <v/>
      </c>
      <c r="E455" s="9" t="str">
        <f>IF(Data!B455="","",IF(ISNUMBER(MATCH(Data!E455,Data_Val!$A$2:$A$3,0)),0,1))</f>
        <v/>
      </c>
      <c r="F455" s="9" t="str">
        <f ca="1">IF(Data!B455="","",IF(ISNUMBER(Data!F455),IF(AND(Data!F455&gt;(TODAY()-(Data_Val!$H$3*365.25)),Data!F455&lt;=(TODAY()-(Data_Val!$H$2*365.25))),0,1),1))</f>
        <v/>
      </c>
      <c r="G455" s="15" t="str">
        <f>IF(Data!B455="","",IF(AND(Data!G455="",Data!H455&lt;&gt;""),1,IF(Data!#REF!&lt;&gt;"",0,IF(ISNUMBER(MATCH(Data!G455,Data_Val!$C$2:$C$5,0)),0,1))))</f>
        <v/>
      </c>
      <c r="H455" s="15" t="str">
        <f>IF(Data!B455="","",IF(AND(Data!G455&lt;&gt;"",Data!H455=""),1,IF(Data!#REF!&lt;&gt;"",0,IF(Data!G455="",1,IF(ISNUMBER(MATCH(Data!H455,Data_Val!$D$2:$D$35,0)),0,1)))))</f>
        <v/>
      </c>
      <c r="I455" s="15" t="str">
        <f>IF(Data!B455="","",IF(Data!G455&lt;&gt;"",0,IF(ISNUMBER(MATCH(Data!#REF!,Data_Val!$E$2:$E$12,0)),0,1)))</f>
        <v/>
      </c>
      <c r="J455" s="16" t="e">
        <f>IF(OR(Data!B455="",Data!#REF!=""),"",IF(Data!#REF!="",1,0))</f>
        <v>#REF!</v>
      </c>
      <c r="K455" s="16" t="e">
        <f>IF(OR(Data!B455="",Data!#REF!=""),"",IF(Data!#REF!="",1,0))</f>
        <v>#REF!</v>
      </c>
      <c r="L455" s="16" t="e">
        <f>IF(OR(Data!B455="",Data!#REF!=""),"",IF(ISNUMBER(Data!#REF!),IF(AND(Data!#REF!&gt;Data_Val!$G$2,Data!#REF!&lt;=Data_Val!$G$3),0,1),1))</f>
        <v>#REF!</v>
      </c>
      <c r="M455" s="9" t="e">
        <f>IF(OR(Data!B455="",Data!#REF!=""),"",IF(ISNUMBER(MATCH(Data!#REF!,Data_Val!$F$1:$F$38,0)),0,1))</f>
        <v>#REF!</v>
      </c>
      <c r="N455" s="9" t="e">
        <f>IF(OR(Data!B455="",Data!#REF!=""),"",IF(Data!#REF!="",1,0))</f>
        <v>#REF!</v>
      </c>
      <c r="O455" s="17" t="e">
        <f>IF(Data!#REF!="","",IF(Data!#REF!="",1,0))</f>
        <v>#REF!</v>
      </c>
      <c r="P455" s="17" t="e">
        <f>IF(Data!#REF!="","",IF(ISNUMBER(MATCH(Data!#REF!,Data_Val!$A$2:$A$3,0)),0,1))</f>
        <v>#REF!</v>
      </c>
      <c r="Q455" s="25" t="e">
        <f ca="1">IF(Data!#REF!="","",IF(ISNUMBER(Data!#REF!),IF(AND(Data!#REF!&gt;(TODAY()-(Data_Val!$J$3*365.25)),Data!#REF!&lt;=(TODAY()-(Data_Val!$J$2*365.25))),0,1),1))</f>
        <v>#REF!</v>
      </c>
      <c r="R455" s="17" t="e">
        <f>IF(Data!#REF!="","",IF(ISNUMBER(MATCH(Data!#REF!,Data_Val!$B$2:$B$15,0)),0,1))</f>
        <v>#REF!</v>
      </c>
      <c r="S455" s="11" t="str">
        <f>IF(Data!G455="","",IF(Data!G455=Data_Val!$C$2,IF(Data!M455="",0,1),0))</f>
        <v/>
      </c>
      <c r="T455" s="11" t="str">
        <f>IF(Data!M455="","",IF(ISNUMBER(MATCH(Data!N455,Data_Val!$A$2:$A$3,0)),0,1))</f>
        <v/>
      </c>
      <c r="U455" s="11" t="str">
        <f ca="1">IF(Data!M455="","",IF(ISNUMBER(Data!O455),IF(AND(Data!O455&gt;(TODAY()-(Data_Val!$K$3*365.25)),Data!O455&lt;=(TODAY()-(Data_Val!$K$2*365.25))),0,1),1))</f>
        <v/>
      </c>
      <c r="V455" s="12" t="str">
        <f>IF(Data!G455="","",IF(Data!G455=Data_Val!$C$2,IF(Data!P455="",0,1),0))</f>
        <v/>
      </c>
      <c r="W455" s="12" t="str">
        <f>IF(Data!P455="","",IF(ISNUMBER(MATCH(Data!Q455,Data_Val!$A$2:$A$3,0)),0,1))</f>
        <v/>
      </c>
      <c r="X455" s="26" t="str">
        <f ca="1">IF(Data!P455="","",IF(ISNUMBER(Data!R455),IF(AND(Data!R455&gt;(TODAY()-(Data_Val!$L$3*365.25)),Data!R455&lt;=(TODAY()-(Data_Val!$L$2*365.25))),0,1),1))</f>
        <v/>
      </c>
      <c r="Y455" s="13" t="str">
        <f>IF(Data!$G455="","",IF(Data!$G455=Data_Val!$C$2,IF(Data!S455="",0,1),0))</f>
        <v/>
      </c>
      <c r="Z455" s="13" t="str">
        <f>IF(Data!S455="","",IF(ISNUMBER(MATCH(Data!T455,Data_Val!$A$2:$A$3,0)),0,1))</f>
        <v/>
      </c>
      <c r="AA455" s="28" t="str">
        <f ca="1">IF(Data!S455="","",IF(ISNUMBER(Data!U455),IF(AND(Data!U455&gt;(TODAY()-(Data_Val!$L$3*365.25)),Data!U455&lt;=(TODAY()-(Data_Val!$L$2*365.25))),0,1),1))</f>
        <v/>
      </c>
      <c r="AB455" s="11"/>
      <c r="AC455" s="11" t="e">
        <f>IF(Data!#REF!="","",IF(ISNUMBER(MATCH(Data!#REF!,Data_Val!$A$2:$A$3,0)),0,1))</f>
        <v>#REF!</v>
      </c>
      <c r="AD455" s="11" t="e">
        <f ca="1">IF(Data!#REF!="","",IF(ISNUMBER(Data!#REF!),IF(AND(Data!#REF!&gt;(TODAY()-(Data_Val!$L$3*365.25)),Data!#REF!&lt;=(TODAY()-(Data_Val!$L$2*365.25))),0,1),1))</f>
        <v>#REF!</v>
      </c>
      <c r="AE455" s="11" t="e">
        <f>IF(Data!#REF!="","",IF(Data!$G455="",1,IF(ISNUMBER(MATCH(Data!#REF!,Data_Val!$D$2:$D$10,0)),0,1)))</f>
        <v>#REF!</v>
      </c>
      <c r="AF455" s="12"/>
      <c r="AG455" s="12" t="e">
        <f>IF(Data!#REF!="","",IF(ISNUMBER(MATCH(Data!#REF!,Data_Val!$A$2:$A$3,0)),0,1))</f>
        <v>#REF!</v>
      </c>
      <c r="AH455" s="26" t="e">
        <f ca="1">IF(Data!#REF!="","",IF(ISNUMBER(Data!#REF!),IF(AND(Data!#REF!&gt;(TODAY()-(Data_Val!$L$3*365.25)),Data!#REF!&lt;=(TODAY()-(Data_Val!$L$2*365.25))),0,1),1))</f>
        <v>#REF!</v>
      </c>
      <c r="AI455" s="12" t="e">
        <f>IF(Data!#REF!="","",IF(Data!$G455="",1,IF(ISNUMBER(MATCH(Data!#REF!,Data_Val!$D$2:$D$10,0)),0,1)))</f>
        <v>#REF!</v>
      </c>
      <c r="AJ455" s="17"/>
      <c r="AK455" s="17" t="e">
        <f>IF(Data!#REF!="","",IF(ISNUMBER(MATCH(Data!#REF!,Data_Val!$A$2:$A$3,0)),0,1))</f>
        <v>#REF!</v>
      </c>
      <c r="AL455" s="25" t="e">
        <f ca="1">IF(Data!#REF!="","",IF(ISNUMBER(Data!#REF!),IF(AND(Data!#REF!&gt;(TODAY()-(Data_Val!$L$3*365.25)),Data!#REF!&lt;=(TODAY()-(Data_Val!$L$2*365.25))),0,1),1))</f>
        <v>#REF!</v>
      </c>
      <c r="AM455" s="17" t="e">
        <f>IF(Data!#REF!="","",IF(Data!$G455="",1,IF(ISNUMBER(MATCH(Data!#REF!,Data_Val!$D$2:$D$10,0)),0,1)))</f>
        <v>#REF!</v>
      </c>
      <c r="AN455" s="13"/>
      <c r="AO455" s="28" t="e">
        <f ca="1">IF(Data!#REF!="","",IF(ISNUMBER(Data!#REF!),IF(AND(Data!#REF!&gt;(TODAY()-(Data_Val!$I$3*365.25)),Data!#REF!&lt;=(TODAY()-(Data_Val!$I$2*365.25))),0,1),1))</f>
        <v>#REF!</v>
      </c>
      <c r="AP455" s="13" t="e">
        <f>IF(Data!#REF!="","",IF(Data!$G455="",1,IF(ISNUMBER(MATCH(Data!#REF!,Data_Val!$D$2:$D$10,0)),0,1)))</f>
        <v>#REF!</v>
      </c>
      <c r="AQ455" s="17"/>
      <c r="AR455" s="30" t="e">
        <f ca="1">IF(Data!#REF!="","",IF(ISNUMBER(Data!#REF!),IF(AND(Data!#REF!&gt;(TODAY()-(Data_Val!$I$3*365.25)),Data!#REF!&lt;=(TODAY()-(Data_Val!$I$2*365.25))),0,1),1))</f>
        <v>#REF!</v>
      </c>
      <c r="AS455" s="31" t="e">
        <f>IF(Data!#REF!="","",IF(Data!$G455="",1,IF(ISNUMBER(MATCH(Data!#REF!,Data_Val!$D$2:$D$10,0)),0,1)))</f>
        <v>#REF!</v>
      </c>
      <c r="AT455" s="11"/>
      <c r="AU455" s="11" t="e">
        <f ca="1">IF(Data!#REF!="","",IF(ISNUMBER(Data!#REF!),IF(AND(Data!#REF!&gt;(TODAY()-(Data_Val!$I$3*365.25)),Data!#REF!&lt;=(TODAY()-(Data_Val!$I$2*365.25))),0,1),1))</f>
        <v>#REF!</v>
      </c>
      <c r="AV455" s="11" t="e">
        <f>IF(Data!#REF!="","",IF(Data!$G455="",1,IF(ISNUMBER(MATCH(Data!#REF!,Data_Val!$D$2:$D$10,0)),0,1)))</f>
        <v>#REF!</v>
      </c>
      <c r="AW455" s="12"/>
      <c r="AX455" s="26" t="e">
        <f ca="1">IF(Data!#REF!="","",IF(ISNUMBER(Data!#REF!),IF(AND(Data!#REF!&gt;(TODAY()-(Data_Val!$I$3*365.25)),Data!#REF!&lt;=(TODAY()-(Data_Val!$I$2*365.25))),0,1),1))</f>
        <v>#REF!</v>
      </c>
      <c r="AY455" s="12" t="e">
        <f>IF(Data!#REF!="","",IF(Data!$G455="",1,IF(ISNUMBER(MATCH(Data!#REF!,Data_Val!$D$2:$D$10,0)),0,1)))</f>
        <v>#REF!</v>
      </c>
      <c r="AZ455" s="11"/>
      <c r="BA455" s="19" t="e">
        <f ca="1">IF(Data!#REF!="","",IF(ISNUMBER(Data!#REF!),IF(AND(Data!#REF!&gt;(TODAY()-(Data_Val!$M$3*365.25)),Data!#REF!&lt;=(TODAY()-(Data_Val!$M$2*365.25))),0,1),1))</f>
        <v>#REF!</v>
      </c>
      <c r="BB455" s="11" t="e">
        <f>IF(Data!#REF!="","",IF(Data!$G455="",1,IF(ISNUMBER(MATCH(Data!#REF!,Data_Val!$D$2:$D$10,0)),0,1)))</f>
        <v>#REF!</v>
      </c>
      <c r="BC455" s="12"/>
      <c r="BD455" s="20" t="e">
        <f ca="1">IF(Data!#REF!="","",IF(ISNUMBER(Data!#REF!),IF(AND(Data!#REF!&gt;(TODAY()-(Data_Val!$M$3*365.25)),Data!#REF!&lt;=(TODAY()-(Data_Val!$M$2*365.25))),0,1),1))</f>
        <v>#REF!</v>
      </c>
      <c r="BE455" s="12" t="e">
        <f>IF(Data!#REF!="","",IF(Data!$G455="",1,IF(ISNUMBER(MATCH(Data!#REF!,Data_Val!$D$2:$D$10,0)),0,1)))</f>
        <v>#REF!</v>
      </c>
      <c r="BF455" s="17"/>
      <c r="BG455" s="18" t="e">
        <f ca="1">IF(Data!#REF!="","",IF(ISNUMBER(Data!#REF!),IF(AND(Data!#REF!&gt;(TODAY()-(Data_Val!$M$3*365.25)),Data!#REF!&lt;=(TODAY()-(Data_Val!$M$2*365.25))),0,1),1))</f>
        <v>#REF!</v>
      </c>
      <c r="BH455" s="29" t="e">
        <f>IF(Data!#REF!="","",IF(Data!$G455="",1,IF(ISNUMBER(MATCH(Data!#REF!,Data_Val!$D$2:$D$10,0)),0,1)))</f>
        <v>#REF!</v>
      </c>
      <c r="BI455" s="13"/>
      <c r="BJ455" s="21" t="e">
        <f ca="1">IF(Data!#REF!="","",IF(ISNUMBER(Data!#REF!),IF(AND(Data!#REF!&gt;(TODAY()-(Data_Val!$M$3*365.25)),Data!#REF!&lt;=(TODAY()-(Data_Val!$M$2*365.25))),0,1),1))</f>
        <v>#REF!</v>
      </c>
      <c r="BK455" s="13" t="e">
        <f>IF(Data!#REF!="","",IF(Data!$G455="",1,IF(ISNUMBER(MATCH(Data!#REF!,Data_Val!$D$2:$D$10,0)),0,1)))</f>
        <v>#REF!</v>
      </c>
    </row>
    <row r="456" spans="1:63" x14ac:dyDescent="0.25">
      <c r="A456" s="9" t="str">
        <f>IF(Data!B456="","",IF(COUNTIFS(Data!A$1:'Data'!A456,Data!A456)&lt;=1,0,1))</f>
        <v/>
      </c>
      <c r="B456" s="9"/>
      <c r="C456" s="23" t="str">
        <f>IF(Data!C456="","",(IF(ISNUMBER(MATCH("*@*.?*",Data!C456,0)),0,1)+IF(COUNTIFS(Data!C$1:'Data'!C456,Data!C456)&gt;1,1,0)))</f>
        <v/>
      </c>
      <c r="D456" s="9" t="str">
        <f>IF(Data!B456="","",IF(ISNUMBER(Data!D456),IF(AND(Data!D456&gt;999999999,Data!D456&lt;=9999999999),IF(COUNTIFS(Data!D$1:'Data'!D456,Data!D456)&lt;=1,0,1),1),1))</f>
        <v/>
      </c>
      <c r="E456" s="9" t="str">
        <f>IF(Data!B456="","",IF(ISNUMBER(MATCH(Data!E456,Data_Val!$A$2:$A$3,0)),0,1))</f>
        <v/>
      </c>
      <c r="F456" s="9" t="str">
        <f ca="1">IF(Data!B456="","",IF(ISNUMBER(Data!F456),IF(AND(Data!F456&gt;(TODAY()-(Data_Val!$H$3*365.25)),Data!F456&lt;=(TODAY()-(Data_Val!$H$2*365.25))),0,1),1))</f>
        <v/>
      </c>
      <c r="G456" s="15" t="str">
        <f>IF(Data!B456="","",IF(AND(Data!G456="",Data!H456&lt;&gt;""),1,IF(Data!#REF!&lt;&gt;"",0,IF(ISNUMBER(MATCH(Data!G456,Data_Val!$C$2:$C$5,0)),0,1))))</f>
        <v/>
      </c>
      <c r="H456" s="15" t="str">
        <f>IF(Data!B456="","",IF(AND(Data!G456&lt;&gt;"",Data!H456=""),1,IF(Data!#REF!&lt;&gt;"",0,IF(Data!G456="",1,IF(ISNUMBER(MATCH(Data!H456,Data_Val!$D$2:$D$35,0)),0,1)))))</f>
        <v/>
      </c>
      <c r="I456" s="15" t="str">
        <f>IF(Data!B456="","",IF(Data!G456&lt;&gt;"",0,IF(ISNUMBER(MATCH(Data!#REF!,Data_Val!$E$2:$E$12,0)),0,1)))</f>
        <v/>
      </c>
      <c r="J456" s="16" t="e">
        <f>IF(OR(Data!B456="",Data!#REF!=""),"",IF(Data!#REF!="",1,0))</f>
        <v>#REF!</v>
      </c>
      <c r="K456" s="16" t="e">
        <f>IF(OR(Data!B456="",Data!#REF!=""),"",IF(Data!#REF!="",1,0))</f>
        <v>#REF!</v>
      </c>
      <c r="L456" s="16" t="e">
        <f>IF(OR(Data!B456="",Data!#REF!=""),"",IF(ISNUMBER(Data!#REF!),IF(AND(Data!#REF!&gt;Data_Val!$G$2,Data!#REF!&lt;=Data_Val!$G$3),0,1),1))</f>
        <v>#REF!</v>
      </c>
      <c r="M456" s="9" t="e">
        <f>IF(OR(Data!B456="",Data!#REF!=""),"",IF(ISNUMBER(MATCH(Data!#REF!,Data_Val!$F$1:$F$38,0)),0,1))</f>
        <v>#REF!</v>
      </c>
      <c r="N456" s="9" t="e">
        <f>IF(OR(Data!B456="",Data!#REF!=""),"",IF(Data!#REF!="",1,0))</f>
        <v>#REF!</v>
      </c>
      <c r="O456" s="17" t="e">
        <f>IF(Data!#REF!="","",IF(Data!#REF!="",1,0))</f>
        <v>#REF!</v>
      </c>
      <c r="P456" s="17" t="e">
        <f>IF(Data!#REF!="","",IF(ISNUMBER(MATCH(Data!#REF!,Data_Val!$A$2:$A$3,0)),0,1))</f>
        <v>#REF!</v>
      </c>
      <c r="Q456" s="25" t="e">
        <f ca="1">IF(Data!#REF!="","",IF(ISNUMBER(Data!#REF!),IF(AND(Data!#REF!&gt;(TODAY()-(Data_Val!$J$3*365.25)),Data!#REF!&lt;=(TODAY()-(Data_Val!$J$2*365.25))),0,1),1))</f>
        <v>#REF!</v>
      </c>
      <c r="R456" s="17" t="e">
        <f>IF(Data!#REF!="","",IF(ISNUMBER(MATCH(Data!#REF!,Data_Val!$B$2:$B$15,0)),0,1))</f>
        <v>#REF!</v>
      </c>
      <c r="S456" s="11" t="str">
        <f>IF(Data!G456="","",IF(Data!G456=Data_Val!$C$2,IF(Data!M456="",0,1),0))</f>
        <v/>
      </c>
      <c r="T456" s="11" t="str">
        <f>IF(Data!M456="","",IF(ISNUMBER(MATCH(Data!N456,Data_Val!$A$2:$A$3,0)),0,1))</f>
        <v/>
      </c>
      <c r="U456" s="11" t="str">
        <f ca="1">IF(Data!M456="","",IF(ISNUMBER(Data!O456),IF(AND(Data!O456&gt;(TODAY()-(Data_Val!$K$3*365.25)),Data!O456&lt;=(TODAY()-(Data_Val!$K$2*365.25))),0,1),1))</f>
        <v/>
      </c>
      <c r="V456" s="12" t="str">
        <f>IF(Data!G456="","",IF(Data!G456=Data_Val!$C$2,IF(Data!P456="",0,1),0))</f>
        <v/>
      </c>
      <c r="W456" s="12" t="str">
        <f>IF(Data!P456="","",IF(ISNUMBER(MATCH(Data!Q456,Data_Val!$A$2:$A$3,0)),0,1))</f>
        <v/>
      </c>
      <c r="X456" s="26" t="str">
        <f ca="1">IF(Data!P456="","",IF(ISNUMBER(Data!R456),IF(AND(Data!R456&gt;(TODAY()-(Data_Val!$L$3*365.25)),Data!R456&lt;=(TODAY()-(Data_Val!$L$2*365.25))),0,1),1))</f>
        <v/>
      </c>
      <c r="Y456" s="13" t="str">
        <f>IF(Data!$G456="","",IF(Data!$G456=Data_Val!$C$2,IF(Data!S456="",0,1),0))</f>
        <v/>
      </c>
      <c r="Z456" s="13" t="str">
        <f>IF(Data!S456="","",IF(ISNUMBER(MATCH(Data!T456,Data_Val!$A$2:$A$3,0)),0,1))</f>
        <v/>
      </c>
      <c r="AA456" s="28" t="str">
        <f ca="1">IF(Data!S456="","",IF(ISNUMBER(Data!U456),IF(AND(Data!U456&gt;(TODAY()-(Data_Val!$L$3*365.25)),Data!U456&lt;=(TODAY()-(Data_Val!$L$2*365.25))),0,1),1))</f>
        <v/>
      </c>
      <c r="AB456" s="11"/>
      <c r="AC456" s="11" t="e">
        <f>IF(Data!#REF!="","",IF(ISNUMBER(MATCH(Data!#REF!,Data_Val!$A$2:$A$3,0)),0,1))</f>
        <v>#REF!</v>
      </c>
      <c r="AD456" s="11" t="e">
        <f ca="1">IF(Data!#REF!="","",IF(ISNUMBER(Data!#REF!),IF(AND(Data!#REF!&gt;(TODAY()-(Data_Val!$L$3*365.25)),Data!#REF!&lt;=(TODAY()-(Data_Val!$L$2*365.25))),0,1),1))</f>
        <v>#REF!</v>
      </c>
      <c r="AE456" s="11" t="e">
        <f>IF(Data!#REF!="","",IF(Data!$G456="",1,IF(ISNUMBER(MATCH(Data!#REF!,Data_Val!$D$2:$D$10,0)),0,1)))</f>
        <v>#REF!</v>
      </c>
      <c r="AF456" s="12"/>
      <c r="AG456" s="12" t="e">
        <f>IF(Data!#REF!="","",IF(ISNUMBER(MATCH(Data!#REF!,Data_Val!$A$2:$A$3,0)),0,1))</f>
        <v>#REF!</v>
      </c>
      <c r="AH456" s="26" t="e">
        <f ca="1">IF(Data!#REF!="","",IF(ISNUMBER(Data!#REF!),IF(AND(Data!#REF!&gt;(TODAY()-(Data_Val!$L$3*365.25)),Data!#REF!&lt;=(TODAY()-(Data_Val!$L$2*365.25))),0,1),1))</f>
        <v>#REF!</v>
      </c>
      <c r="AI456" s="12" t="e">
        <f>IF(Data!#REF!="","",IF(Data!$G456="",1,IF(ISNUMBER(MATCH(Data!#REF!,Data_Val!$D$2:$D$10,0)),0,1)))</f>
        <v>#REF!</v>
      </c>
      <c r="AJ456" s="17"/>
      <c r="AK456" s="17" t="e">
        <f>IF(Data!#REF!="","",IF(ISNUMBER(MATCH(Data!#REF!,Data_Val!$A$2:$A$3,0)),0,1))</f>
        <v>#REF!</v>
      </c>
      <c r="AL456" s="25" t="e">
        <f ca="1">IF(Data!#REF!="","",IF(ISNUMBER(Data!#REF!),IF(AND(Data!#REF!&gt;(TODAY()-(Data_Val!$L$3*365.25)),Data!#REF!&lt;=(TODAY()-(Data_Val!$L$2*365.25))),0,1),1))</f>
        <v>#REF!</v>
      </c>
      <c r="AM456" s="17" t="e">
        <f>IF(Data!#REF!="","",IF(Data!$G456="",1,IF(ISNUMBER(MATCH(Data!#REF!,Data_Val!$D$2:$D$10,0)),0,1)))</f>
        <v>#REF!</v>
      </c>
      <c r="AN456" s="13"/>
      <c r="AO456" s="28" t="e">
        <f ca="1">IF(Data!#REF!="","",IF(ISNUMBER(Data!#REF!),IF(AND(Data!#REF!&gt;(TODAY()-(Data_Val!$I$3*365.25)),Data!#REF!&lt;=(TODAY()-(Data_Val!$I$2*365.25))),0,1),1))</f>
        <v>#REF!</v>
      </c>
      <c r="AP456" s="13" t="e">
        <f>IF(Data!#REF!="","",IF(Data!$G456="",1,IF(ISNUMBER(MATCH(Data!#REF!,Data_Val!$D$2:$D$10,0)),0,1)))</f>
        <v>#REF!</v>
      </c>
      <c r="AQ456" s="17"/>
      <c r="AR456" s="30" t="e">
        <f ca="1">IF(Data!#REF!="","",IF(ISNUMBER(Data!#REF!),IF(AND(Data!#REF!&gt;(TODAY()-(Data_Val!$I$3*365.25)),Data!#REF!&lt;=(TODAY()-(Data_Val!$I$2*365.25))),0,1),1))</f>
        <v>#REF!</v>
      </c>
      <c r="AS456" s="31" t="e">
        <f>IF(Data!#REF!="","",IF(Data!$G456="",1,IF(ISNUMBER(MATCH(Data!#REF!,Data_Val!$D$2:$D$10,0)),0,1)))</f>
        <v>#REF!</v>
      </c>
      <c r="AT456" s="11"/>
      <c r="AU456" s="11" t="e">
        <f ca="1">IF(Data!#REF!="","",IF(ISNUMBER(Data!#REF!),IF(AND(Data!#REF!&gt;(TODAY()-(Data_Val!$I$3*365.25)),Data!#REF!&lt;=(TODAY()-(Data_Val!$I$2*365.25))),0,1),1))</f>
        <v>#REF!</v>
      </c>
      <c r="AV456" s="11" t="e">
        <f>IF(Data!#REF!="","",IF(Data!$G456="",1,IF(ISNUMBER(MATCH(Data!#REF!,Data_Val!$D$2:$D$10,0)),0,1)))</f>
        <v>#REF!</v>
      </c>
      <c r="AW456" s="12"/>
      <c r="AX456" s="26" t="e">
        <f ca="1">IF(Data!#REF!="","",IF(ISNUMBER(Data!#REF!),IF(AND(Data!#REF!&gt;(TODAY()-(Data_Val!$I$3*365.25)),Data!#REF!&lt;=(TODAY()-(Data_Val!$I$2*365.25))),0,1),1))</f>
        <v>#REF!</v>
      </c>
      <c r="AY456" s="12" t="e">
        <f>IF(Data!#REF!="","",IF(Data!$G456="",1,IF(ISNUMBER(MATCH(Data!#REF!,Data_Val!$D$2:$D$10,0)),0,1)))</f>
        <v>#REF!</v>
      </c>
      <c r="AZ456" s="11"/>
      <c r="BA456" s="19" t="e">
        <f ca="1">IF(Data!#REF!="","",IF(ISNUMBER(Data!#REF!),IF(AND(Data!#REF!&gt;(TODAY()-(Data_Val!$M$3*365.25)),Data!#REF!&lt;=(TODAY()-(Data_Val!$M$2*365.25))),0,1),1))</f>
        <v>#REF!</v>
      </c>
      <c r="BB456" s="11" t="e">
        <f>IF(Data!#REF!="","",IF(Data!$G456="",1,IF(ISNUMBER(MATCH(Data!#REF!,Data_Val!$D$2:$D$10,0)),0,1)))</f>
        <v>#REF!</v>
      </c>
      <c r="BC456" s="12"/>
      <c r="BD456" s="20" t="e">
        <f ca="1">IF(Data!#REF!="","",IF(ISNUMBER(Data!#REF!),IF(AND(Data!#REF!&gt;(TODAY()-(Data_Val!$M$3*365.25)),Data!#REF!&lt;=(TODAY()-(Data_Val!$M$2*365.25))),0,1),1))</f>
        <v>#REF!</v>
      </c>
      <c r="BE456" s="12" t="e">
        <f>IF(Data!#REF!="","",IF(Data!$G456="",1,IF(ISNUMBER(MATCH(Data!#REF!,Data_Val!$D$2:$D$10,0)),0,1)))</f>
        <v>#REF!</v>
      </c>
      <c r="BF456" s="17"/>
      <c r="BG456" s="18" t="e">
        <f ca="1">IF(Data!#REF!="","",IF(ISNUMBER(Data!#REF!),IF(AND(Data!#REF!&gt;(TODAY()-(Data_Val!$M$3*365.25)),Data!#REF!&lt;=(TODAY()-(Data_Val!$M$2*365.25))),0,1),1))</f>
        <v>#REF!</v>
      </c>
      <c r="BH456" s="29" t="e">
        <f>IF(Data!#REF!="","",IF(Data!$G456="",1,IF(ISNUMBER(MATCH(Data!#REF!,Data_Val!$D$2:$D$10,0)),0,1)))</f>
        <v>#REF!</v>
      </c>
      <c r="BI456" s="13"/>
      <c r="BJ456" s="21" t="e">
        <f ca="1">IF(Data!#REF!="","",IF(ISNUMBER(Data!#REF!),IF(AND(Data!#REF!&gt;(TODAY()-(Data_Val!$M$3*365.25)),Data!#REF!&lt;=(TODAY()-(Data_Val!$M$2*365.25))),0,1),1))</f>
        <v>#REF!</v>
      </c>
      <c r="BK456" s="13" t="e">
        <f>IF(Data!#REF!="","",IF(Data!$G456="",1,IF(ISNUMBER(MATCH(Data!#REF!,Data_Val!$D$2:$D$10,0)),0,1)))</f>
        <v>#REF!</v>
      </c>
    </row>
    <row r="457" spans="1:63" x14ac:dyDescent="0.25">
      <c r="A457" s="9" t="str">
        <f>IF(Data!B457="","",IF(COUNTIFS(Data!A$1:'Data'!A457,Data!A457)&lt;=1,0,1))</f>
        <v/>
      </c>
      <c r="B457" s="9"/>
      <c r="C457" s="23" t="str">
        <f>IF(Data!C457="","",(IF(ISNUMBER(MATCH("*@*.?*",Data!C457,0)),0,1)+IF(COUNTIFS(Data!C$1:'Data'!C457,Data!C457)&gt;1,1,0)))</f>
        <v/>
      </c>
      <c r="D457" s="9" t="str">
        <f>IF(Data!B457="","",IF(ISNUMBER(Data!D457),IF(AND(Data!D457&gt;999999999,Data!D457&lt;=9999999999),IF(COUNTIFS(Data!D$1:'Data'!D457,Data!D457)&lt;=1,0,1),1),1))</f>
        <v/>
      </c>
      <c r="E457" s="9" t="str">
        <f>IF(Data!B457="","",IF(ISNUMBER(MATCH(Data!E457,Data_Val!$A$2:$A$3,0)),0,1))</f>
        <v/>
      </c>
      <c r="F457" s="9" t="str">
        <f ca="1">IF(Data!B457="","",IF(ISNUMBER(Data!F457),IF(AND(Data!F457&gt;(TODAY()-(Data_Val!$H$3*365.25)),Data!F457&lt;=(TODAY()-(Data_Val!$H$2*365.25))),0,1),1))</f>
        <v/>
      </c>
      <c r="G457" s="15" t="str">
        <f>IF(Data!B457="","",IF(AND(Data!G457="",Data!H457&lt;&gt;""),1,IF(Data!#REF!&lt;&gt;"",0,IF(ISNUMBER(MATCH(Data!G457,Data_Val!$C$2:$C$5,0)),0,1))))</f>
        <v/>
      </c>
      <c r="H457" s="15" t="str">
        <f>IF(Data!B457="","",IF(AND(Data!G457&lt;&gt;"",Data!H457=""),1,IF(Data!#REF!&lt;&gt;"",0,IF(Data!G457="",1,IF(ISNUMBER(MATCH(Data!H457,Data_Val!$D$2:$D$35,0)),0,1)))))</f>
        <v/>
      </c>
      <c r="I457" s="15" t="str">
        <f>IF(Data!B457="","",IF(Data!G457&lt;&gt;"",0,IF(ISNUMBER(MATCH(Data!#REF!,Data_Val!$E$2:$E$12,0)),0,1)))</f>
        <v/>
      </c>
      <c r="J457" s="16" t="e">
        <f>IF(OR(Data!B457="",Data!#REF!=""),"",IF(Data!#REF!="",1,0))</f>
        <v>#REF!</v>
      </c>
      <c r="K457" s="16" t="e">
        <f>IF(OR(Data!B457="",Data!#REF!=""),"",IF(Data!#REF!="",1,0))</f>
        <v>#REF!</v>
      </c>
      <c r="L457" s="16" t="e">
        <f>IF(OR(Data!B457="",Data!#REF!=""),"",IF(ISNUMBER(Data!#REF!),IF(AND(Data!#REF!&gt;Data_Val!$G$2,Data!#REF!&lt;=Data_Val!$G$3),0,1),1))</f>
        <v>#REF!</v>
      </c>
      <c r="M457" s="9" t="e">
        <f>IF(OR(Data!B457="",Data!#REF!=""),"",IF(ISNUMBER(MATCH(Data!#REF!,Data_Val!$F$1:$F$38,0)),0,1))</f>
        <v>#REF!</v>
      </c>
      <c r="N457" s="9" t="e">
        <f>IF(OR(Data!B457="",Data!#REF!=""),"",IF(Data!#REF!="",1,0))</f>
        <v>#REF!</v>
      </c>
      <c r="O457" s="17" t="e">
        <f>IF(Data!#REF!="","",IF(Data!#REF!="",1,0))</f>
        <v>#REF!</v>
      </c>
      <c r="P457" s="17" t="e">
        <f>IF(Data!#REF!="","",IF(ISNUMBER(MATCH(Data!#REF!,Data_Val!$A$2:$A$3,0)),0,1))</f>
        <v>#REF!</v>
      </c>
      <c r="Q457" s="25" t="e">
        <f ca="1">IF(Data!#REF!="","",IF(ISNUMBER(Data!#REF!),IF(AND(Data!#REF!&gt;(TODAY()-(Data_Val!$J$3*365.25)),Data!#REF!&lt;=(TODAY()-(Data_Val!$J$2*365.25))),0,1),1))</f>
        <v>#REF!</v>
      </c>
      <c r="R457" s="17" t="e">
        <f>IF(Data!#REF!="","",IF(ISNUMBER(MATCH(Data!#REF!,Data_Val!$B$2:$B$15,0)),0,1))</f>
        <v>#REF!</v>
      </c>
      <c r="S457" s="11" t="str">
        <f>IF(Data!G457="","",IF(Data!G457=Data_Val!$C$2,IF(Data!M457="",0,1),0))</f>
        <v/>
      </c>
      <c r="T457" s="11" t="str">
        <f>IF(Data!M457="","",IF(ISNUMBER(MATCH(Data!N457,Data_Val!$A$2:$A$3,0)),0,1))</f>
        <v/>
      </c>
      <c r="U457" s="11" t="str">
        <f ca="1">IF(Data!M457="","",IF(ISNUMBER(Data!O457),IF(AND(Data!O457&gt;(TODAY()-(Data_Val!$K$3*365.25)),Data!O457&lt;=(TODAY()-(Data_Val!$K$2*365.25))),0,1),1))</f>
        <v/>
      </c>
      <c r="V457" s="12" t="str">
        <f>IF(Data!G457="","",IF(Data!G457=Data_Val!$C$2,IF(Data!P457="",0,1),0))</f>
        <v/>
      </c>
      <c r="W457" s="12" t="str">
        <f>IF(Data!P457="","",IF(ISNUMBER(MATCH(Data!Q457,Data_Val!$A$2:$A$3,0)),0,1))</f>
        <v/>
      </c>
      <c r="X457" s="26" t="str">
        <f ca="1">IF(Data!P457="","",IF(ISNUMBER(Data!R457),IF(AND(Data!R457&gt;(TODAY()-(Data_Val!$L$3*365.25)),Data!R457&lt;=(TODAY()-(Data_Val!$L$2*365.25))),0,1),1))</f>
        <v/>
      </c>
      <c r="Y457" s="13" t="str">
        <f>IF(Data!$G457="","",IF(Data!$G457=Data_Val!$C$2,IF(Data!S457="",0,1),0))</f>
        <v/>
      </c>
      <c r="Z457" s="13" t="str">
        <f>IF(Data!S457="","",IF(ISNUMBER(MATCH(Data!T457,Data_Val!$A$2:$A$3,0)),0,1))</f>
        <v/>
      </c>
      <c r="AA457" s="28" t="str">
        <f ca="1">IF(Data!S457="","",IF(ISNUMBER(Data!U457),IF(AND(Data!U457&gt;(TODAY()-(Data_Val!$L$3*365.25)),Data!U457&lt;=(TODAY()-(Data_Val!$L$2*365.25))),0,1),1))</f>
        <v/>
      </c>
      <c r="AB457" s="11"/>
      <c r="AC457" s="11" t="e">
        <f>IF(Data!#REF!="","",IF(ISNUMBER(MATCH(Data!#REF!,Data_Val!$A$2:$A$3,0)),0,1))</f>
        <v>#REF!</v>
      </c>
      <c r="AD457" s="11" t="e">
        <f ca="1">IF(Data!#REF!="","",IF(ISNUMBER(Data!#REF!),IF(AND(Data!#REF!&gt;(TODAY()-(Data_Val!$L$3*365.25)),Data!#REF!&lt;=(TODAY()-(Data_Val!$L$2*365.25))),0,1),1))</f>
        <v>#REF!</v>
      </c>
      <c r="AE457" s="11" t="e">
        <f>IF(Data!#REF!="","",IF(Data!$G457="",1,IF(ISNUMBER(MATCH(Data!#REF!,Data_Val!$D$2:$D$10,0)),0,1)))</f>
        <v>#REF!</v>
      </c>
      <c r="AF457" s="12"/>
      <c r="AG457" s="12" t="e">
        <f>IF(Data!#REF!="","",IF(ISNUMBER(MATCH(Data!#REF!,Data_Val!$A$2:$A$3,0)),0,1))</f>
        <v>#REF!</v>
      </c>
      <c r="AH457" s="26" t="e">
        <f ca="1">IF(Data!#REF!="","",IF(ISNUMBER(Data!#REF!),IF(AND(Data!#REF!&gt;(TODAY()-(Data_Val!$L$3*365.25)),Data!#REF!&lt;=(TODAY()-(Data_Val!$L$2*365.25))),0,1),1))</f>
        <v>#REF!</v>
      </c>
      <c r="AI457" s="12" t="e">
        <f>IF(Data!#REF!="","",IF(Data!$G457="",1,IF(ISNUMBER(MATCH(Data!#REF!,Data_Val!$D$2:$D$10,0)),0,1)))</f>
        <v>#REF!</v>
      </c>
      <c r="AJ457" s="17"/>
      <c r="AK457" s="17" t="e">
        <f>IF(Data!#REF!="","",IF(ISNUMBER(MATCH(Data!#REF!,Data_Val!$A$2:$A$3,0)),0,1))</f>
        <v>#REF!</v>
      </c>
      <c r="AL457" s="25" t="e">
        <f ca="1">IF(Data!#REF!="","",IF(ISNUMBER(Data!#REF!),IF(AND(Data!#REF!&gt;(TODAY()-(Data_Val!$L$3*365.25)),Data!#REF!&lt;=(TODAY()-(Data_Val!$L$2*365.25))),0,1),1))</f>
        <v>#REF!</v>
      </c>
      <c r="AM457" s="17" t="e">
        <f>IF(Data!#REF!="","",IF(Data!$G457="",1,IF(ISNUMBER(MATCH(Data!#REF!,Data_Val!$D$2:$D$10,0)),0,1)))</f>
        <v>#REF!</v>
      </c>
      <c r="AN457" s="13"/>
      <c r="AO457" s="28" t="e">
        <f ca="1">IF(Data!#REF!="","",IF(ISNUMBER(Data!#REF!),IF(AND(Data!#REF!&gt;(TODAY()-(Data_Val!$I$3*365.25)),Data!#REF!&lt;=(TODAY()-(Data_Val!$I$2*365.25))),0,1),1))</f>
        <v>#REF!</v>
      </c>
      <c r="AP457" s="13" t="e">
        <f>IF(Data!#REF!="","",IF(Data!$G457="",1,IF(ISNUMBER(MATCH(Data!#REF!,Data_Val!$D$2:$D$10,0)),0,1)))</f>
        <v>#REF!</v>
      </c>
      <c r="AQ457" s="17"/>
      <c r="AR457" s="30" t="e">
        <f ca="1">IF(Data!#REF!="","",IF(ISNUMBER(Data!#REF!),IF(AND(Data!#REF!&gt;(TODAY()-(Data_Val!$I$3*365.25)),Data!#REF!&lt;=(TODAY()-(Data_Val!$I$2*365.25))),0,1),1))</f>
        <v>#REF!</v>
      </c>
      <c r="AS457" s="31" t="e">
        <f>IF(Data!#REF!="","",IF(Data!$G457="",1,IF(ISNUMBER(MATCH(Data!#REF!,Data_Val!$D$2:$D$10,0)),0,1)))</f>
        <v>#REF!</v>
      </c>
      <c r="AT457" s="11"/>
      <c r="AU457" s="11" t="e">
        <f ca="1">IF(Data!#REF!="","",IF(ISNUMBER(Data!#REF!),IF(AND(Data!#REF!&gt;(TODAY()-(Data_Val!$I$3*365.25)),Data!#REF!&lt;=(TODAY()-(Data_Val!$I$2*365.25))),0,1),1))</f>
        <v>#REF!</v>
      </c>
      <c r="AV457" s="11" t="e">
        <f>IF(Data!#REF!="","",IF(Data!$G457="",1,IF(ISNUMBER(MATCH(Data!#REF!,Data_Val!$D$2:$D$10,0)),0,1)))</f>
        <v>#REF!</v>
      </c>
      <c r="AW457" s="12"/>
      <c r="AX457" s="26" t="e">
        <f ca="1">IF(Data!#REF!="","",IF(ISNUMBER(Data!#REF!),IF(AND(Data!#REF!&gt;(TODAY()-(Data_Val!$I$3*365.25)),Data!#REF!&lt;=(TODAY()-(Data_Val!$I$2*365.25))),0,1),1))</f>
        <v>#REF!</v>
      </c>
      <c r="AY457" s="12" t="e">
        <f>IF(Data!#REF!="","",IF(Data!$G457="",1,IF(ISNUMBER(MATCH(Data!#REF!,Data_Val!$D$2:$D$10,0)),0,1)))</f>
        <v>#REF!</v>
      </c>
      <c r="AZ457" s="11"/>
      <c r="BA457" s="19" t="e">
        <f ca="1">IF(Data!#REF!="","",IF(ISNUMBER(Data!#REF!),IF(AND(Data!#REF!&gt;(TODAY()-(Data_Val!$M$3*365.25)),Data!#REF!&lt;=(TODAY()-(Data_Val!$M$2*365.25))),0,1),1))</f>
        <v>#REF!</v>
      </c>
      <c r="BB457" s="11" t="e">
        <f>IF(Data!#REF!="","",IF(Data!$G457="",1,IF(ISNUMBER(MATCH(Data!#REF!,Data_Val!$D$2:$D$10,0)),0,1)))</f>
        <v>#REF!</v>
      </c>
      <c r="BC457" s="12"/>
      <c r="BD457" s="20" t="e">
        <f ca="1">IF(Data!#REF!="","",IF(ISNUMBER(Data!#REF!),IF(AND(Data!#REF!&gt;(TODAY()-(Data_Val!$M$3*365.25)),Data!#REF!&lt;=(TODAY()-(Data_Val!$M$2*365.25))),0,1),1))</f>
        <v>#REF!</v>
      </c>
      <c r="BE457" s="12" t="e">
        <f>IF(Data!#REF!="","",IF(Data!$G457="",1,IF(ISNUMBER(MATCH(Data!#REF!,Data_Val!$D$2:$D$10,0)),0,1)))</f>
        <v>#REF!</v>
      </c>
      <c r="BF457" s="17"/>
      <c r="BG457" s="18" t="e">
        <f ca="1">IF(Data!#REF!="","",IF(ISNUMBER(Data!#REF!),IF(AND(Data!#REF!&gt;(TODAY()-(Data_Val!$M$3*365.25)),Data!#REF!&lt;=(TODAY()-(Data_Val!$M$2*365.25))),0,1),1))</f>
        <v>#REF!</v>
      </c>
      <c r="BH457" s="29" t="e">
        <f>IF(Data!#REF!="","",IF(Data!$G457="",1,IF(ISNUMBER(MATCH(Data!#REF!,Data_Val!$D$2:$D$10,0)),0,1)))</f>
        <v>#REF!</v>
      </c>
      <c r="BI457" s="13"/>
      <c r="BJ457" s="21" t="e">
        <f ca="1">IF(Data!#REF!="","",IF(ISNUMBER(Data!#REF!),IF(AND(Data!#REF!&gt;(TODAY()-(Data_Val!$M$3*365.25)),Data!#REF!&lt;=(TODAY()-(Data_Val!$M$2*365.25))),0,1),1))</f>
        <v>#REF!</v>
      </c>
      <c r="BK457" s="13" t="e">
        <f>IF(Data!#REF!="","",IF(Data!$G457="",1,IF(ISNUMBER(MATCH(Data!#REF!,Data_Val!$D$2:$D$10,0)),0,1)))</f>
        <v>#REF!</v>
      </c>
    </row>
    <row r="458" spans="1:63" x14ac:dyDescent="0.25">
      <c r="A458" s="9" t="str">
        <f>IF(Data!B458="","",IF(COUNTIFS(Data!A$1:'Data'!A458,Data!A458)&lt;=1,0,1))</f>
        <v/>
      </c>
      <c r="B458" s="9"/>
      <c r="C458" s="23" t="str">
        <f>IF(Data!C458="","",(IF(ISNUMBER(MATCH("*@*.?*",Data!C458,0)),0,1)+IF(COUNTIFS(Data!C$1:'Data'!C458,Data!C458)&gt;1,1,0)))</f>
        <v/>
      </c>
      <c r="D458" s="9" t="str">
        <f>IF(Data!B458="","",IF(ISNUMBER(Data!D458),IF(AND(Data!D458&gt;999999999,Data!D458&lt;=9999999999),IF(COUNTIFS(Data!D$1:'Data'!D458,Data!D458)&lt;=1,0,1),1),1))</f>
        <v/>
      </c>
      <c r="E458" s="9" t="str">
        <f>IF(Data!B458="","",IF(ISNUMBER(MATCH(Data!E458,Data_Val!$A$2:$A$3,0)),0,1))</f>
        <v/>
      </c>
      <c r="F458" s="9" t="str">
        <f ca="1">IF(Data!B458="","",IF(ISNUMBER(Data!F458),IF(AND(Data!F458&gt;(TODAY()-(Data_Val!$H$3*365.25)),Data!F458&lt;=(TODAY()-(Data_Val!$H$2*365.25))),0,1),1))</f>
        <v/>
      </c>
      <c r="G458" s="15" t="str">
        <f>IF(Data!B458="","",IF(AND(Data!G458="",Data!H458&lt;&gt;""),1,IF(Data!#REF!&lt;&gt;"",0,IF(ISNUMBER(MATCH(Data!G458,Data_Val!$C$2:$C$5,0)),0,1))))</f>
        <v/>
      </c>
      <c r="H458" s="15" t="str">
        <f>IF(Data!B458="","",IF(AND(Data!G458&lt;&gt;"",Data!H458=""),1,IF(Data!#REF!&lt;&gt;"",0,IF(Data!G458="",1,IF(ISNUMBER(MATCH(Data!H458,Data_Val!$D$2:$D$35,0)),0,1)))))</f>
        <v/>
      </c>
      <c r="I458" s="15" t="str">
        <f>IF(Data!B458="","",IF(Data!G458&lt;&gt;"",0,IF(ISNUMBER(MATCH(Data!#REF!,Data_Val!$E$2:$E$12,0)),0,1)))</f>
        <v/>
      </c>
      <c r="J458" s="16" t="e">
        <f>IF(OR(Data!B458="",Data!#REF!=""),"",IF(Data!#REF!="",1,0))</f>
        <v>#REF!</v>
      </c>
      <c r="K458" s="16" t="e">
        <f>IF(OR(Data!B458="",Data!#REF!=""),"",IF(Data!#REF!="",1,0))</f>
        <v>#REF!</v>
      </c>
      <c r="L458" s="16" t="e">
        <f>IF(OR(Data!B458="",Data!#REF!=""),"",IF(ISNUMBER(Data!#REF!),IF(AND(Data!#REF!&gt;Data_Val!$G$2,Data!#REF!&lt;=Data_Val!$G$3),0,1),1))</f>
        <v>#REF!</v>
      </c>
      <c r="M458" s="9" t="e">
        <f>IF(OR(Data!B458="",Data!#REF!=""),"",IF(ISNUMBER(MATCH(Data!#REF!,Data_Val!$F$1:$F$38,0)),0,1))</f>
        <v>#REF!</v>
      </c>
      <c r="N458" s="9" t="e">
        <f>IF(OR(Data!B458="",Data!#REF!=""),"",IF(Data!#REF!="",1,0))</f>
        <v>#REF!</v>
      </c>
      <c r="O458" s="17" t="e">
        <f>IF(Data!#REF!="","",IF(Data!#REF!="",1,0))</f>
        <v>#REF!</v>
      </c>
      <c r="P458" s="17" t="e">
        <f>IF(Data!#REF!="","",IF(ISNUMBER(MATCH(Data!#REF!,Data_Val!$A$2:$A$3,0)),0,1))</f>
        <v>#REF!</v>
      </c>
      <c r="Q458" s="25" t="e">
        <f ca="1">IF(Data!#REF!="","",IF(ISNUMBER(Data!#REF!),IF(AND(Data!#REF!&gt;(TODAY()-(Data_Val!$J$3*365.25)),Data!#REF!&lt;=(TODAY()-(Data_Val!$J$2*365.25))),0,1),1))</f>
        <v>#REF!</v>
      </c>
      <c r="R458" s="17" t="e">
        <f>IF(Data!#REF!="","",IF(ISNUMBER(MATCH(Data!#REF!,Data_Val!$B$2:$B$15,0)),0,1))</f>
        <v>#REF!</v>
      </c>
      <c r="S458" s="11" t="str">
        <f>IF(Data!G458="","",IF(Data!G458=Data_Val!$C$2,IF(Data!M458="",0,1),0))</f>
        <v/>
      </c>
      <c r="T458" s="11" t="str">
        <f>IF(Data!M458="","",IF(ISNUMBER(MATCH(Data!N458,Data_Val!$A$2:$A$3,0)),0,1))</f>
        <v/>
      </c>
      <c r="U458" s="11" t="str">
        <f ca="1">IF(Data!M458="","",IF(ISNUMBER(Data!O458),IF(AND(Data!O458&gt;(TODAY()-(Data_Val!$K$3*365.25)),Data!O458&lt;=(TODAY()-(Data_Val!$K$2*365.25))),0,1),1))</f>
        <v/>
      </c>
      <c r="V458" s="12" t="str">
        <f>IF(Data!G458="","",IF(Data!G458=Data_Val!$C$2,IF(Data!P458="",0,1),0))</f>
        <v/>
      </c>
      <c r="W458" s="12" t="str">
        <f>IF(Data!P458="","",IF(ISNUMBER(MATCH(Data!Q458,Data_Val!$A$2:$A$3,0)),0,1))</f>
        <v/>
      </c>
      <c r="X458" s="26" t="str">
        <f ca="1">IF(Data!P458="","",IF(ISNUMBER(Data!R458),IF(AND(Data!R458&gt;(TODAY()-(Data_Val!$L$3*365.25)),Data!R458&lt;=(TODAY()-(Data_Val!$L$2*365.25))),0,1),1))</f>
        <v/>
      </c>
      <c r="Y458" s="13" t="str">
        <f>IF(Data!$G458="","",IF(Data!$G458=Data_Val!$C$2,IF(Data!S458="",0,1),0))</f>
        <v/>
      </c>
      <c r="Z458" s="13" t="str">
        <f>IF(Data!S458="","",IF(ISNUMBER(MATCH(Data!T458,Data_Val!$A$2:$A$3,0)),0,1))</f>
        <v/>
      </c>
      <c r="AA458" s="28" t="str">
        <f ca="1">IF(Data!S458="","",IF(ISNUMBER(Data!U458),IF(AND(Data!U458&gt;(TODAY()-(Data_Val!$L$3*365.25)),Data!U458&lt;=(TODAY()-(Data_Val!$L$2*365.25))),0,1),1))</f>
        <v/>
      </c>
      <c r="AB458" s="11"/>
      <c r="AC458" s="11" t="e">
        <f>IF(Data!#REF!="","",IF(ISNUMBER(MATCH(Data!#REF!,Data_Val!$A$2:$A$3,0)),0,1))</f>
        <v>#REF!</v>
      </c>
      <c r="AD458" s="11" t="e">
        <f ca="1">IF(Data!#REF!="","",IF(ISNUMBER(Data!#REF!),IF(AND(Data!#REF!&gt;(TODAY()-(Data_Val!$L$3*365.25)),Data!#REF!&lt;=(TODAY()-(Data_Val!$L$2*365.25))),0,1),1))</f>
        <v>#REF!</v>
      </c>
      <c r="AE458" s="11" t="e">
        <f>IF(Data!#REF!="","",IF(Data!$G458="",1,IF(ISNUMBER(MATCH(Data!#REF!,Data_Val!$D$2:$D$10,0)),0,1)))</f>
        <v>#REF!</v>
      </c>
      <c r="AF458" s="12"/>
      <c r="AG458" s="12" t="e">
        <f>IF(Data!#REF!="","",IF(ISNUMBER(MATCH(Data!#REF!,Data_Val!$A$2:$A$3,0)),0,1))</f>
        <v>#REF!</v>
      </c>
      <c r="AH458" s="26" t="e">
        <f ca="1">IF(Data!#REF!="","",IF(ISNUMBER(Data!#REF!),IF(AND(Data!#REF!&gt;(TODAY()-(Data_Val!$L$3*365.25)),Data!#REF!&lt;=(TODAY()-(Data_Val!$L$2*365.25))),0,1),1))</f>
        <v>#REF!</v>
      </c>
      <c r="AI458" s="12" t="e">
        <f>IF(Data!#REF!="","",IF(Data!$G458="",1,IF(ISNUMBER(MATCH(Data!#REF!,Data_Val!$D$2:$D$10,0)),0,1)))</f>
        <v>#REF!</v>
      </c>
      <c r="AJ458" s="17"/>
      <c r="AK458" s="17" t="e">
        <f>IF(Data!#REF!="","",IF(ISNUMBER(MATCH(Data!#REF!,Data_Val!$A$2:$A$3,0)),0,1))</f>
        <v>#REF!</v>
      </c>
      <c r="AL458" s="25" t="e">
        <f ca="1">IF(Data!#REF!="","",IF(ISNUMBER(Data!#REF!),IF(AND(Data!#REF!&gt;(TODAY()-(Data_Val!$L$3*365.25)),Data!#REF!&lt;=(TODAY()-(Data_Val!$L$2*365.25))),0,1),1))</f>
        <v>#REF!</v>
      </c>
      <c r="AM458" s="17" t="e">
        <f>IF(Data!#REF!="","",IF(Data!$G458="",1,IF(ISNUMBER(MATCH(Data!#REF!,Data_Val!$D$2:$D$10,0)),0,1)))</f>
        <v>#REF!</v>
      </c>
      <c r="AN458" s="13"/>
      <c r="AO458" s="28" t="e">
        <f ca="1">IF(Data!#REF!="","",IF(ISNUMBER(Data!#REF!),IF(AND(Data!#REF!&gt;(TODAY()-(Data_Val!$I$3*365.25)),Data!#REF!&lt;=(TODAY()-(Data_Val!$I$2*365.25))),0,1),1))</f>
        <v>#REF!</v>
      </c>
      <c r="AP458" s="13" t="e">
        <f>IF(Data!#REF!="","",IF(Data!$G458="",1,IF(ISNUMBER(MATCH(Data!#REF!,Data_Val!$D$2:$D$10,0)),0,1)))</f>
        <v>#REF!</v>
      </c>
      <c r="AQ458" s="17"/>
      <c r="AR458" s="30" t="e">
        <f ca="1">IF(Data!#REF!="","",IF(ISNUMBER(Data!#REF!),IF(AND(Data!#REF!&gt;(TODAY()-(Data_Val!$I$3*365.25)),Data!#REF!&lt;=(TODAY()-(Data_Val!$I$2*365.25))),0,1),1))</f>
        <v>#REF!</v>
      </c>
      <c r="AS458" s="31" t="e">
        <f>IF(Data!#REF!="","",IF(Data!$G458="",1,IF(ISNUMBER(MATCH(Data!#REF!,Data_Val!$D$2:$D$10,0)),0,1)))</f>
        <v>#REF!</v>
      </c>
      <c r="AT458" s="11"/>
      <c r="AU458" s="11" t="e">
        <f ca="1">IF(Data!#REF!="","",IF(ISNUMBER(Data!#REF!),IF(AND(Data!#REF!&gt;(TODAY()-(Data_Val!$I$3*365.25)),Data!#REF!&lt;=(TODAY()-(Data_Val!$I$2*365.25))),0,1),1))</f>
        <v>#REF!</v>
      </c>
      <c r="AV458" s="11" t="e">
        <f>IF(Data!#REF!="","",IF(Data!$G458="",1,IF(ISNUMBER(MATCH(Data!#REF!,Data_Val!$D$2:$D$10,0)),0,1)))</f>
        <v>#REF!</v>
      </c>
      <c r="AW458" s="12"/>
      <c r="AX458" s="26" t="e">
        <f ca="1">IF(Data!#REF!="","",IF(ISNUMBER(Data!#REF!),IF(AND(Data!#REF!&gt;(TODAY()-(Data_Val!$I$3*365.25)),Data!#REF!&lt;=(TODAY()-(Data_Val!$I$2*365.25))),0,1),1))</f>
        <v>#REF!</v>
      </c>
      <c r="AY458" s="12" t="e">
        <f>IF(Data!#REF!="","",IF(Data!$G458="",1,IF(ISNUMBER(MATCH(Data!#REF!,Data_Val!$D$2:$D$10,0)),0,1)))</f>
        <v>#REF!</v>
      </c>
      <c r="AZ458" s="11"/>
      <c r="BA458" s="19" t="e">
        <f ca="1">IF(Data!#REF!="","",IF(ISNUMBER(Data!#REF!),IF(AND(Data!#REF!&gt;(TODAY()-(Data_Val!$M$3*365.25)),Data!#REF!&lt;=(TODAY()-(Data_Val!$M$2*365.25))),0,1),1))</f>
        <v>#REF!</v>
      </c>
      <c r="BB458" s="11" t="e">
        <f>IF(Data!#REF!="","",IF(Data!$G458="",1,IF(ISNUMBER(MATCH(Data!#REF!,Data_Val!$D$2:$D$10,0)),0,1)))</f>
        <v>#REF!</v>
      </c>
      <c r="BC458" s="12"/>
      <c r="BD458" s="20" t="e">
        <f ca="1">IF(Data!#REF!="","",IF(ISNUMBER(Data!#REF!),IF(AND(Data!#REF!&gt;(TODAY()-(Data_Val!$M$3*365.25)),Data!#REF!&lt;=(TODAY()-(Data_Val!$M$2*365.25))),0,1),1))</f>
        <v>#REF!</v>
      </c>
      <c r="BE458" s="12" t="e">
        <f>IF(Data!#REF!="","",IF(Data!$G458="",1,IF(ISNUMBER(MATCH(Data!#REF!,Data_Val!$D$2:$D$10,0)),0,1)))</f>
        <v>#REF!</v>
      </c>
      <c r="BF458" s="17"/>
      <c r="BG458" s="18" t="e">
        <f ca="1">IF(Data!#REF!="","",IF(ISNUMBER(Data!#REF!),IF(AND(Data!#REF!&gt;(TODAY()-(Data_Val!$M$3*365.25)),Data!#REF!&lt;=(TODAY()-(Data_Val!$M$2*365.25))),0,1),1))</f>
        <v>#REF!</v>
      </c>
      <c r="BH458" s="29" t="e">
        <f>IF(Data!#REF!="","",IF(Data!$G458="",1,IF(ISNUMBER(MATCH(Data!#REF!,Data_Val!$D$2:$D$10,0)),0,1)))</f>
        <v>#REF!</v>
      </c>
      <c r="BI458" s="13"/>
      <c r="BJ458" s="21" t="e">
        <f ca="1">IF(Data!#REF!="","",IF(ISNUMBER(Data!#REF!),IF(AND(Data!#REF!&gt;(TODAY()-(Data_Val!$M$3*365.25)),Data!#REF!&lt;=(TODAY()-(Data_Val!$M$2*365.25))),0,1),1))</f>
        <v>#REF!</v>
      </c>
      <c r="BK458" s="13" t="e">
        <f>IF(Data!#REF!="","",IF(Data!$G458="",1,IF(ISNUMBER(MATCH(Data!#REF!,Data_Val!$D$2:$D$10,0)),0,1)))</f>
        <v>#REF!</v>
      </c>
    </row>
    <row r="459" spans="1:63" x14ac:dyDescent="0.25">
      <c r="A459" s="9" t="str">
        <f>IF(Data!B459="","",IF(COUNTIFS(Data!A$1:'Data'!A459,Data!A459)&lt;=1,0,1))</f>
        <v/>
      </c>
      <c r="B459" s="9"/>
      <c r="C459" s="23" t="str">
        <f>IF(Data!C459="","",(IF(ISNUMBER(MATCH("*@*.?*",Data!C459,0)),0,1)+IF(COUNTIFS(Data!C$1:'Data'!C459,Data!C459)&gt;1,1,0)))</f>
        <v/>
      </c>
      <c r="D459" s="9" t="str">
        <f>IF(Data!B459="","",IF(ISNUMBER(Data!D459),IF(AND(Data!D459&gt;999999999,Data!D459&lt;=9999999999),IF(COUNTIFS(Data!D$1:'Data'!D459,Data!D459)&lt;=1,0,1),1),1))</f>
        <v/>
      </c>
      <c r="E459" s="9" t="str">
        <f>IF(Data!B459="","",IF(ISNUMBER(MATCH(Data!E459,Data_Val!$A$2:$A$3,0)),0,1))</f>
        <v/>
      </c>
      <c r="F459" s="9" t="str">
        <f ca="1">IF(Data!B459="","",IF(ISNUMBER(Data!F459),IF(AND(Data!F459&gt;(TODAY()-(Data_Val!$H$3*365.25)),Data!F459&lt;=(TODAY()-(Data_Val!$H$2*365.25))),0,1),1))</f>
        <v/>
      </c>
      <c r="G459" s="15" t="str">
        <f>IF(Data!B459="","",IF(AND(Data!G459="",Data!H459&lt;&gt;""),1,IF(Data!#REF!&lt;&gt;"",0,IF(ISNUMBER(MATCH(Data!G459,Data_Val!$C$2:$C$5,0)),0,1))))</f>
        <v/>
      </c>
      <c r="H459" s="15" t="str">
        <f>IF(Data!B459="","",IF(AND(Data!G459&lt;&gt;"",Data!H459=""),1,IF(Data!#REF!&lt;&gt;"",0,IF(Data!G459="",1,IF(ISNUMBER(MATCH(Data!H459,Data_Val!$D$2:$D$35,0)),0,1)))))</f>
        <v/>
      </c>
      <c r="I459" s="15" t="str">
        <f>IF(Data!B459="","",IF(Data!G459&lt;&gt;"",0,IF(ISNUMBER(MATCH(Data!#REF!,Data_Val!$E$2:$E$12,0)),0,1)))</f>
        <v/>
      </c>
      <c r="J459" s="16" t="e">
        <f>IF(OR(Data!B459="",Data!#REF!=""),"",IF(Data!#REF!="",1,0))</f>
        <v>#REF!</v>
      </c>
      <c r="K459" s="16" t="e">
        <f>IF(OR(Data!B459="",Data!#REF!=""),"",IF(Data!#REF!="",1,0))</f>
        <v>#REF!</v>
      </c>
      <c r="L459" s="16" t="e">
        <f>IF(OR(Data!B459="",Data!#REF!=""),"",IF(ISNUMBER(Data!#REF!),IF(AND(Data!#REF!&gt;Data_Val!$G$2,Data!#REF!&lt;=Data_Val!$G$3),0,1),1))</f>
        <v>#REF!</v>
      </c>
      <c r="M459" s="9" t="e">
        <f>IF(OR(Data!B459="",Data!#REF!=""),"",IF(ISNUMBER(MATCH(Data!#REF!,Data_Val!$F$1:$F$38,0)),0,1))</f>
        <v>#REF!</v>
      </c>
      <c r="N459" s="9" t="e">
        <f>IF(OR(Data!B459="",Data!#REF!=""),"",IF(Data!#REF!="",1,0))</f>
        <v>#REF!</v>
      </c>
      <c r="O459" s="17" t="e">
        <f>IF(Data!#REF!="","",IF(Data!#REF!="",1,0))</f>
        <v>#REF!</v>
      </c>
      <c r="P459" s="17" t="e">
        <f>IF(Data!#REF!="","",IF(ISNUMBER(MATCH(Data!#REF!,Data_Val!$A$2:$A$3,0)),0,1))</f>
        <v>#REF!</v>
      </c>
      <c r="Q459" s="25" t="e">
        <f ca="1">IF(Data!#REF!="","",IF(ISNUMBER(Data!#REF!),IF(AND(Data!#REF!&gt;(TODAY()-(Data_Val!$J$3*365.25)),Data!#REF!&lt;=(TODAY()-(Data_Val!$J$2*365.25))),0,1),1))</f>
        <v>#REF!</v>
      </c>
      <c r="R459" s="17" t="e">
        <f>IF(Data!#REF!="","",IF(ISNUMBER(MATCH(Data!#REF!,Data_Val!$B$2:$B$15,0)),0,1))</f>
        <v>#REF!</v>
      </c>
      <c r="S459" s="11" t="str">
        <f>IF(Data!G459="","",IF(Data!G459=Data_Val!$C$2,IF(Data!M459="",0,1),0))</f>
        <v/>
      </c>
      <c r="T459" s="11" t="str">
        <f>IF(Data!M459="","",IF(ISNUMBER(MATCH(Data!N459,Data_Val!$A$2:$A$3,0)),0,1))</f>
        <v/>
      </c>
      <c r="U459" s="11" t="str">
        <f ca="1">IF(Data!M459="","",IF(ISNUMBER(Data!O459),IF(AND(Data!O459&gt;(TODAY()-(Data_Val!$K$3*365.25)),Data!O459&lt;=(TODAY()-(Data_Val!$K$2*365.25))),0,1),1))</f>
        <v/>
      </c>
      <c r="V459" s="12" t="str">
        <f>IF(Data!G459="","",IF(Data!G459=Data_Val!$C$2,IF(Data!P459="",0,1),0))</f>
        <v/>
      </c>
      <c r="W459" s="12" t="str">
        <f>IF(Data!P459="","",IF(ISNUMBER(MATCH(Data!Q459,Data_Val!$A$2:$A$3,0)),0,1))</f>
        <v/>
      </c>
      <c r="X459" s="26" t="str">
        <f ca="1">IF(Data!P459="","",IF(ISNUMBER(Data!R459),IF(AND(Data!R459&gt;(TODAY()-(Data_Val!$L$3*365.25)),Data!R459&lt;=(TODAY()-(Data_Val!$L$2*365.25))),0,1),1))</f>
        <v/>
      </c>
      <c r="Y459" s="13" t="str">
        <f>IF(Data!$G459="","",IF(Data!$G459=Data_Val!$C$2,IF(Data!S459="",0,1),0))</f>
        <v/>
      </c>
      <c r="Z459" s="13" t="str">
        <f>IF(Data!S459="","",IF(ISNUMBER(MATCH(Data!T459,Data_Val!$A$2:$A$3,0)),0,1))</f>
        <v/>
      </c>
      <c r="AA459" s="28" t="str">
        <f ca="1">IF(Data!S459="","",IF(ISNUMBER(Data!U459),IF(AND(Data!U459&gt;(TODAY()-(Data_Val!$L$3*365.25)),Data!U459&lt;=(TODAY()-(Data_Val!$L$2*365.25))),0,1),1))</f>
        <v/>
      </c>
      <c r="AB459" s="11"/>
      <c r="AC459" s="11" t="e">
        <f>IF(Data!#REF!="","",IF(ISNUMBER(MATCH(Data!#REF!,Data_Val!$A$2:$A$3,0)),0,1))</f>
        <v>#REF!</v>
      </c>
      <c r="AD459" s="11" t="e">
        <f ca="1">IF(Data!#REF!="","",IF(ISNUMBER(Data!#REF!),IF(AND(Data!#REF!&gt;(TODAY()-(Data_Val!$L$3*365.25)),Data!#REF!&lt;=(TODAY()-(Data_Val!$L$2*365.25))),0,1),1))</f>
        <v>#REF!</v>
      </c>
      <c r="AE459" s="11" t="e">
        <f>IF(Data!#REF!="","",IF(Data!$G459="",1,IF(ISNUMBER(MATCH(Data!#REF!,Data_Val!$D$2:$D$10,0)),0,1)))</f>
        <v>#REF!</v>
      </c>
      <c r="AF459" s="12"/>
      <c r="AG459" s="12" t="e">
        <f>IF(Data!#REF!="","",IF(ISNUMBER(MATCH(Data!#REF!,Data_Val!$A$2:$A$3,0)),0,1))</f>
        <v>#REF!</v>
      </c>
      <c r="AH459" s="26" t="e">
        <f ca="1">IF(Data!#REF!="","",IF(ISNUMBER(Data!#REF!),IF(AND(Data!#REF!&gt;(TODAY()-(Data_Val!$L$3*365.25)),Data!#REF!&lt;=(TODAY()-(Data_Val!$L$2*365.25))),0,1),1))</f>
        <v>#REF!</v>
      </c>
      <c r="AI459" s="12" t="e">
        <f>IF(Data!#REF!="","",IF(Data!$G459="",1,IF(ISNUMBER(MATCH(Data!#REF!,Data_Val!$D$2:$D$10,0)),0,1)))</f>
        <v>#REF!</v>
      </c>
      <c r="AJ459" s="17"/>
      <c r="AK459" s="17" t="e">
        <f>IF(Data!#REF!="","",IF(ISNUMBER(MATCH(Data!#REF!,Data_Val!$A$2:$A$3,0)),0,1))</f>
        <v>#REF!</v>
      </c>
      <c r="AL459" s="25" t="e">
        <f ca="1">IF(Data!#REF!="","",IF(ISNUMBER(Data!#REF!),IF(AND(Data!#REF!&gt;(TODAY()-(Data_Val!$L$3*365.25)),Data!#REF!&lt;=(TODAY()-(Data_Val!$L$2*365.25))),0,1),1))</f>
        <v>#REF!</v>
      </c>
      <c r="AM459" s="17" t="e">
        <f>IF(Data!#REF!="","",IF(Data!$G459="",1,IF(ISNUMBER(MATCH(Data!#REF!,Data_Val!$D$2:$D$10,0)),0,1)))</f>
        <v>#REF!</v>
      </c>
      <c r="AN459" s="13"/>
      <c r="AO459" s="28" t="e">
        <f ca="1">IF(Data!#REF!="","",IF(ISNUMBER(Data!#REF!),IF(AND(Data!#REF!&gt;(TODAY()-(Data_Val!$I$3*365.25)),Data!#REF!&lt;=(TODAY()-(Data_Val!$I$2*365.25))),0,1),1))</f>
        <v>#REF!</v>
      </c>
      <c r="AP459" s="13" t="e">
        <f>IF(Data!#REF!="","",IF(Data!$G459="",1,IF(ISNUMBER(MATCH(Data!#REF!,Data_Val!$D$2:$D$10,0)),0,1)))</f>
        <v>#REF!</v>
      </c>
      <c r="AQ459" s="17"/>
      <c r="AR459" s="30" t="e">
        <f ca="1">IF(Data!#REF!="","",IF(ISNUMBER(Data!#REF!),IF(AND(Data!#REF!&gt;(TODAY()-(Data_Val!$I$3*365.25)),Data!#REF!&lt;=(TODAY()-(Data_Val!$I$2*365.25))),0,1),1))</f>
        <v>#REF!</v>
      </c>
      <c r="AS459" s="31" t="e">
        <f>IF(Data!#REF!="","",IF(Data!$G459="",1,IF(ISNUMBER(MATCH(Data!#REF!,Data_Val!$D$2:$D$10,0)),0,1)))</f>
        <v>#REF!</v>
      </c>
      <c r="AT459" s="11"/>
      <c r="AU459" s="11" t="e">
        <f ca="1">IF(Data!#REF!="","",IF(ISNUMBER(Data!#REF!),IF(AND(Data!#REF!&gt;(TODAY()-(Data_Val!$I$3*365.25)),Data!#REF!&lt;=(TODAY()-(Data_Val!$I$2*365.25))),0,1),1))</f>
        <v>#REF!</v>
      </c>
      <c r="AV459" s="11" t="e">
        <f>IF(Data!#REF!="","",IF(Data!$G459="",1,IF(ISNUMBER(MATCH(Data!#REF!,Data_Val!$D$2:$D$10,0)),0,1)))</f>
        <v>#REF!</v>
      </c>
      <c r="AW459" s="12"/>
      <c r="AX459" s="26" t="e">
        <f ca="1">IF(Data!#REF!="","",IF(ISNUMBER(Data!#REF!),IF(AND(Data!#REF!&gt;(TODAY()-(Data_Val!$I$3*365.25)),Data!#REF!&lt;=(TODAY()-(Data_Val!$I$2*365.25))),0,1),1))</f>
        <v>#REF!</v>
      </c>
      <c r="AY459" s="12" t="e">
        <f>IF(Data!#REF!="","",IF(Data!$G459="",1,IF(ISNUMBER(MATCH(Data!#REF!,Data_Val!$D$2:$D$10,0)),0,1)))</f>
        <v>#REF!</v>
      </c>
      <c r="AZ459" s="11"/>
      <c r="BA459" s="19" t="e">
        <f ca="1">IF(Data!#REF!="","",IF(ISNUMBER(Data!#REF!),IF(AND(Data!#REF!&gt;(TODAY()-(Data_Val!$M$3*365.25)),Data!#REF!&lt;=(TODAY()-(Data_Val!$M$2*365.25))),0,1),1))</f>
        <v>#REF!</v>
      </c>
      <c r="BB459" s="11" t="e">
        <f>IF(Data!#REF!="","",IF(Data!$G459="",1,IF(ISNUMBER(MATCH(Data!#REF!,Data_Val!$D$2:$D$10,0)),0,1)))</f>
        <v>#REF!</v>
      </c>
      <c r="BC459" s="12"/>
      <c r="BD459" s="20" t="e">
        <f ca="1">IF(Data!#REF!="","",IF(ISNUMBER(Data!#REF!),IF(AND(Data!#REF!&gt;(TODAY()-(Data_Val!$M$3*365.25)),Data!#REF!&lt;=(TODAY()-(Data_Val!$M$2*365.25))),0,1),1))</f>
        <v>#REF!</v>
      </c>
      <c r="BE459" s="12" t="e">
        <f>IF(Data!#REF!="","",IF(Data!$G459="",1,IF(ISNUMBER(MATCH(Data!#REF!,Data_Val!$D$2:$D$10,0)),0,1)))</f>
        <v>#REF!</v>
      </c>
      <c r="BF459" s="17"/>
      <c r="BG459" s="18" t="e">
        <f ca="1">IF(Data!#REF!="","",IF(ISNUMBER(Data!#REF!),IF(AND(Data!#REF!&gt;(TODAY()-(Data_Val!$M$3*365.25)),Data!#REF!&lt;=(TODAY()-(Data_Val!$M$2*365.25))),0,1),1))</f>
        <v>#REF!</v>
      </c>
      <c r="BH459" s="29" t="e">
        <f>IF(Data!#REF!="","",IF(Data!$G459="",1,IF(ISNUMBER(MATCH(Data!#REF!,Data_Val!$D$2:$D$10,0)),0,1)))</f>
        <v>#REF!</v>
      </c>
      <c r="BI459" s="13"/>
      <c r="BJ459" s="21" t="e">
        <f ca="1">IF(Data!#REF!="","",IF(ISNUMBER(Data!#REF!),IF(AND(Data!#REF!&gt;(TODAY()-(Data_Val!$M$3*365.25)),Data!#REF!&lt;=(TODAY()-(Data_Val!$M$2*365.25))),0,1),1))</f>
        <v>#REF!</v>
      </c>
      <c r="BK459" s="13" t="e">
        <f>IF(Data!#REF!="","",IF(Data!$G459="",1,IF(ISNUMBER(MATCH(Data!#REF!,Data_Val!$D$2:$D$10,0)),0,1)))</f>
        <v>#REF!</v>
      </c>
    </row>
    <row r="460" spans="1:63" x14ac:dyDescent="0.25">
      <c r="A460" s="9" t="str">
        <f>IF(Data!B460="","",IF(COUNTIFS(Data!A$1:'Data'!A460,Data!A460)&lt;=1,0,1))</f>
        <v/>
      </c>
      <c r="B460" s="9"/>
      <c r="C460" s="23" t="str">
        <f>IF(Data!C460="","",(IF(ISNUMBER(MATCH("*@*.?*",Data!C460,0)),0,1)+IF(COUNTIFS(Data!C$1:'Data'!C460,Data!C460)&gt;1,1,0)))</f>
        <v/>
      </c>
      <c r="D460" s="9" t="str">
        <f>IF(Data!B460="","",IF(ISNUMBER(Data!D460),IF(AND(Data!D460&gt;999999999,Data!D460&lt;=9999999999),IF(COUNTIFS(Data!D$1:'Data'!D460,Data!D460)&lt;=1,0,1),1),1))</f>
        <v/>
      </c>
      <c r="E460" s="9" t="str">
        <f>IF(Data!B460="","",IF(ISNUMBER(MATCH(Data!E460,Data_Val!$A$2:$A$3,0)),0,1))</f>
        <v/>
      </c>
      <c r="F460" s="9" t="str">
        <f ca="1">IF(Data!B460="","",IF(ISNUMBER(Data!F460),IF(AND(Data!F460&gt;(TODAY()-(Data_Val!$H$3*365.25)),Data!F460&lt;=(TODAY()-(Data_Val!$H$2*365.25))),0,1),1))</f>
        <v/>
      </c>
      <c r="G460" s="15" t="str">
        <f>IF(Data!B460="","",IF(AND(Data!G460="",Data!H460&lt;&gt;""),1,IF(Data!#REF!&lt;&gt;"",0,IF(ISNUMBER(MATCH(Data!G460,Data_Val!$C$2:$C$5,0)),0,1))))</f>
        <v/>
      </c>
      <c r="H460" s="15" t="str">
        <f>IF(Data!B460="","",IF(AND(Data!G460&lt;&gt;"",Data!H460=""),1,IF(Data!#REF!&lt;&gt;"",0,IF(Data!G460="",1,IF(ISNUMBER(MATCH(Data!H460,Data_Val!$D$2:$D$35,0)),0,1)))))</f>
        <v/>
      </c>
      <c r="I460" s="15" t="str">
        <f>IF(Data!B460="","",IF(Data!G460&lt;&gt;"",0,IF(ISNUMBER(MATCH(Data!#REF!,Data_Val!$E$2:$E$12,0)),0,1)))</f>
        <v/>
      </c>
      <c r="J460" s="16" t="e">
        <f>IF(OR(Data!B460="",Data!#REF!=""),"",IF(Data!#REF!="",1,0))</f>
        <v>#REF!</v>
      </c>
      <c r="K460" s="16" t="e">
        <f>IF(OR(Data!B460="",Data!#REF!=""),"",IF(Data!#REF!="",1,0))</f>
        <v>#REF!</v>
      </c>
      <c r="L460" s="16" t="e">
        <f>IF(OR(Data!B460="",Data!#REF!=""),"",IF(ISNUMBER(Data!#REF!),IF(AND(Data!#REF!&gt;Data_Val!$G$2,Data!#REF!&lt;=Data_Val!$G$3),0,1),1))</f>
        <v>#REF!</v>
      </c>
      <c r="M460" s="9" t="e">
        <f>IF(OR(Data!B460="",Data!#REF!=""),"",IF(ISNUMBER(MATCH(Data!#REF!,Data_Val!$F$1:$F$38,0)),0,1))</f>
        <v>#REF!</v>
      </c>
      <c r="N460" s="9" t="e">
        <f>IF(OR(Data!B460="",Data!#REF!=""),"",IF(Data!#REF!="",1,0))</f>
        <v>#REF!</v>
      </c>
      <c r="O460" s="17" t="e">
        <f>IF(Data!#REF!="","",IF(Data!#REF!="",1,0))</f>
        <v>#REF!</v>
      </c>
      <c r="P460" s="17" t="e">
        <f>IF(Data!#REF!="","",IF(ISNUMBER(MATCH(Data!#REF!,Data_Val!$A$2:$A$3,0)),0,1))</f>
        <v>#REF!</v>
      </c>
      <c r="Q460" s="25" t="e">
        <f ca="1">IF(Data!#REF!="","",IF(ISNUMBER(Data!#REF!),IF(AND(Data!#REF!&gt;(TODAY()-(Data_Val!$J$3*365.25)),Data!#REF!&lt;=(TODAY()-(Data_Val!$J$2*365.25))),0,1),1))</f>
        <v>#REF!</v>
      </c>
      <c r="R460" s="17" t="e">
        <f>IF(Data!#REF!="","",IF(ISNUMBER(MATCH(Data!#REF!,Data_Val!$B$2:$B$15,0)),0,1))</f>
        <v>#REF!</v>
      </c>
      <c r="S460" s="11" t="str">
        <f>IF(Data!G460="","",IF(Data!G460=Data_Val!$C$2,IF(Data!M460="",0,1),0))</f>
        <v/>
      </c>
      <c r="T460" s="11" t="str">
        <f>IF(Data!M460="","",IF(ISNUMBER(MATCH(Data!N460,Data_Val!$A$2:$A$3,0)),0,1))</f>
        <v/>
      </c>
      <c r="U460" s="11" t="str">
        <f ca="1">IF(Data!M460="","",IF(ISNUMBER(Data!O460),IF(AND(Data!O460&gt;(TODAY()-(Data_Val!$K$3*365.25)),Data!O460&lt;=(TODAY()-(Data_Val!$K$2*365.25))),0,1),1))</f>
        <v/>
      </c>
      <c r="V460" s="12" t="str">
        <f>IF(Data!G460="","",IF(Data!G460=Data_Val!$C$2,IF(Data!P460="",0,1),0))</f>
        <v/>
      </c>
      <c r="W460" s="12" t="str">
        <f>IF(Data!P460="","",IF(ISNUMBER(MATCH(Data!Q460,Data_Val!$A$2:$A$3,0)),0,1))</f>
        <v/>
      </c>
      <c r="X460" s="26" t="str">
        <f ca="1">IF(Data!P460="","",IF(ISNUMBER(Data!R460),IF(AND(Data!R460&gt;(TODAY()-(Data_Val!$L$3*365.25)),Data!R460&lt;=(TODAY()-(Data_Val!$L$2*365.25))),0,1),1))</f>
        <v/>
      </c>
      <c r="Y460" s="13" t="str">
        <f>IF(Data!$G460="","",IF(Data!$G460=Data_Val!$C$2,IF(Data!S460="",0,1),0))</f>
        <v/>
      </c>
      <c r="Z460" s="13" t="str">
        <f>IF(Data!S460="","",IF(ISNUMBER(MATCH(Data!T460,Data_Val!$A$2:$A$3,0)),0,1))</f>
        <v/>
      </c>
      <c r="AA460" s="28" t="str">
        <f ca="1">IF(Data!S460="","",IF(ISNUMBER(Data!U460),IF(AND(Data!U460&gt;(TODAY()-(Data_Val!$L$3*365.25)),Data!U460&lt;=(TODAY()-(Data_Val!$L$2*365.25))),0,1),1))</f>
        <v/>
      </c>
      <c r="AB460" s="11"/>
      <c r="AC460" s="11" t="e">
        <f>IF(Data!#REF!="","",IF(ISNUMBER(MATCH(Data!#REF!,Data_Val!$A$2:$A$3,0)),0,1))</f>
        <v>#REF!</v>
      </c>
      <c r="AD460" s="11" t="e">
        <f ca="1">IF(Data!#REF!="","",IF(ISNUMBER(Data!#REF!),IF(AND(Data!#REF!&gt;(TODAY()-(Data_Val!$L$3*365.25)),Data!#REF!&lt;=(TODAY()-(Data_Val!$L$2*365.25))),0,1),1))</f>
        <v>#REF!</v>
      </c>
      <c r="AE460" s="11" t="e">
        <f>IF(Data!#REF!="","",IF(Data!$G460="",1,IF(ISNUMBER(MATCH(Data!#REF!,Data_Val!$D$2:$D$10,0)),0,1)))</f>
        <v>#REF!</v>
      </c>
      <c r="AF460" s="12"/>
      <c r="AG460" s="12" t="e">
        <f>IF(Data!#REF!="","",IF(ISNUMBER(MATCH(Data!#REF!,Data_Val!$A$2:$A$3,0)),0,1))</f>
        <v>#REF!</v>
      </c>
      <c r="AH460" s="26" t="e">
        <f ca="1">IF(Data!#REF!="","",IF(ISNUMBER(Data!#REF!),IF(AND(Data!#REF!&gt;(TODAY()-(Data_Val!$L$3*365.25)),Data!#REF!&lt;=(TODAY()-(Data_Val!$L$2*365.25))),0,1),1))</f>
        <v>#REF!</v>
      </c>
      <c r="AI460" s="12" t="e">
        <f>IF(Data!#REF!="","",IF(Data!$G460="",1,IF(ISNUMBER(MATCH(Data!#REF!,Data_Val!$D$2:$D$10,0)),0,1)))</f>
        <v>#REF!</v>
      </c>
      <c r="AJ460" s="17"/>
      <c r="AK460" s="17" t="e">
        <f>IF(Data!#REF!="","",IF(ISNUMBER(MATCH(Data!#REF!,Data_Val!$A$2:$A$3,0)),0,1))</f>
        <v>#REF!</v>
      </c>
      <c r="AL460" s="25" t="e">
        <f ca="1">IF(Data!#REF!="","",IF(ISNUMBER(Data!#REF!),IF(AND(Data!#REF!&gt;(TODAY()-(Data_Val!$L$3*365.25)),Data!#REF!&lt;=(TODAY()-(Data_Val!$L$2*365.25))),0,1),1))</f>
        <v>#REF!</v>
      </c>
      <c r="AM460" s="17" t="e">
        <f>IF(Data!#REF!="","",IF(Data!$G460="",1,IF(ISNUMBER(MATCH(Data!#REF!,Data_Val!$D$2:$D$10,0)),0,1)))</f>
        <v>#REF!</v>
      </c>
      <c r="AN460" s="13"/>
      <c r="AO460" s="28" t="e">
        <f ca="1">IF(Data!#REF!="","",IF(ISNUMBER(Data!#REF!),IF(AND(Data!#REF!&gt;(TODAY()-(Data_Val!$I$3*365.25)),Data!#REF!&lt;=(TODAY()-(Data_Val!$I$2*365.25))),0,1),1))</f>
        <v>#REF!</v>
      </c>
      <c r="AP460" s="13" t="e">
        <f>IF(Data!#REF!="","",IF(Data!$G460="",1,IF(ISNUMBER(MATCH(Data!#REF!,Data_Val!$D$2:$D$10,0)),0,1)))</f>
        <v>#REF!</v>
      </c>
      <c r="AQ460" s="17"/>
      <c r="AR460" s="30" t="e">
        <f ca="1">IF(Data!#REF!="","",IF(ISNUMBER(Data!#REF!),IF(AND(Data!#REF!&gt;(TODAY()-(Data_Val!$I$3*365.25)),Data!#REF!&lt;=(TODAY()-(Data_Val!$I$2*365.25))),0,1),1))</f>
        <v>#REF!</v>
      </c>
      <c r="AS460" s="31" t="e">
        <f>IF(Data!#REF!="","",IF(Data!$G460="",1,IF(ISNUMBER(MATCH(Data!#REF!,Data_Val!$D$2:$D$10,0)),0,1)))</f>
        <v>#REF!</v>
      </c>
      <c r="AT460" s="11"/>
      <c r="AU460" s="11" t="e">
        <f ca="1">IF(Data!#REF!="","",IF(ISNUMBER(Data!#REF!),IF(AND(Data!#REF!&gt;(TODAY()-(Data_Val!$I$3*365.25)),Data!#REF!&lt;=(TODAY()-(Data_Val!$I$2*365.25))),0,1),1))</f>
        <v>#REF!</v>
      </c>
      <c r="AV460" s="11" t="e">
        <f>IF(Data!#REF!="","",IF(Data!$G460="",1,IF(ISNUMBER(MATCH(Data!#REF!,Data_Val!$D$2:$D$10,0)),0,1)))</f>
        <v>#REF!</v>
      </c>
      <c r="AW460" s="12"/>
      <c r="AX460" s="26" t="e">
        <f ca="1">IF(Data!#REF!="","",IF(ISNUMBER(Data!#REF!),IF(AND(Data!#REF!&gt;(TODAY()-(Data_Val!$I$3*365.25)),Data!#REF!&lt;=(TODAY()-(Data_Val!$I$2*365.25))),0,1),1))</f>
        <v>#REF!</v>
      </c>
      <c r="AY460" s="12" t="e">
        <f>IF(Data!#REF!="","",IF(Data!$G460="",1,IF(ISNUMBER(MATCH(Data!#REF!,Data_Val!$D$2:$D$10,0)),0,1)))</f>
        <v>#REF!</v>
      </c>
      <c r="AZ460" s="11"/>
      <c r="BA460" s="19" t="e">
        <f ca="1">IF(Data!#REF!="","",IF(ISNUMBER(Data!#REF!),IF(AND(Data!#REF!&gt;(TODAY()-(Data_Val!$M$3*365.25)),Data!#REF!&lt;=(TODAY()-(Data_Val!$M$2*365.25))),0,1),1))</f>
        <v>#REF!</v>
      </c>
      <c r="BB460" s="11" t="e">
        <f>IF(Data!#REF!="","",IF(Data!$G460="",1,IF(ISNUMBER(MATCH(Data!#REF!,Data_Val!$D$2:$D$10,0)),0,1)))</f>
        <v>#REF!</v>
      </c>
      <c r="BC460" s="12"/>
      <c r="BD460" s="20" t="e">
        <f ca="1">IF(Data!#REF!="","",IF(ISNUMBER(Data!#REF!),IF(AND(Data!#REF!&gt;(TODAY()-(Data_Val!$M$3*365.25)),Data!#REF!&lt;=(TODAY()-(Data_Val!$M$2*365.25))),0,1),1))</f>
        <v>#REF!</v>
      </c>
      <c r="BE460" s="12" t="e">
        <f>IF(Data!#REF!="","",IF(Data!$G460="",1,IF(ISNUMBER(MATCH(Data!#REF!,Data_Val!$D$2:$D$10,0)),0,1)))</f>
        <v>#REF!</v>
      </c>
      <c r="BF460" s="17"/>
      <c r="BG460" s="18" t="e">
        <f ca="1">IF(Data!#REF!="","",IF(ISNUMBER(Data!#REF!),IF(AND(Data!#REF!&gt;(TODAY()-(Data_Val!$M$3*365.25)),Data!#REF!&lt;=(TODAY()-(Data_Val!$M$2*365.25))),0,1),1))</f>
        <v>#REF!</v>
      </c>
      <c r="BH460" s="29" t="e">
        <f>IF(Data!#REF!="","",IF(Data!$G460="",1,IF(ISNUMBER(MATCH(Data!#REF!,Data_Val!$D$2:$D$10,0)),0,1)))</f>
        <v>#REF!</v>
      </c>
      <c r="BI460" s="13"/>
      <c r="BJ460" s="21" t="e">
        <f ca="1">IF(Data!#REF!="","",IF(ISNUMBER(Data!#REF!),IF(AND(Data!#REF!&gt;(TODAY()-(Data_Val!$M$3*365.25)),Data!#REF!&lt;=(TODAY()-(Data_Val!$M$2*365.25))),0,1),1))</f>
        <v>#REF!</v>
      </c>
      <c r="BK460" s="13" t="e">
        <f>IF(Data!#REF!="","",IF(Data!$G460="",1,IF(ISNUMBER(MATCH(Data!#REF!,Data_Val!$D$2:$D$10,0)),0,1)))</f>
        <v>#REF!</v>
      </c>
    </row>
    <row r="461" spans="1:63" x14ac:dyDescent="0.25">
      <c r="A461" s="9" t="str">
        <f>IF(Data!B461="","",IF(COUNTIFS(Data!A$1:'Data'!A461,Data!A461)&lt;=1,0,1))</f>
        <v/>
      </c>
      <c r="B461" s="9"/>
      <c r="C461" s="23" t="str">
        <f>IF(Data!C461="","",(IF(ISNUMBER(MATCH("*@*.?*",Data!C461,0)),0,1)+IF(COUNTIFS(Data!C$1:'Data'!C461,Data!C461)&gt;1,1,0)))</f>
        <v/>
      </c>
      <c r="D461" s="9" t="str">
        <f>IF(Data!B461="","",IF(ISNUMBER(Data!D461),IF(AND(Data!D461&gt;999999999,Data!D461&lt;=9999999999),IF(COUNTIFS(Data!D$1:'Data'!D461,Data!D461)&lt;=1,0,1),1),1))</f>
        <v/>
      </c>
      <c r="E461" s="9" t="str">
        <f>IF(Data!B461="","",IF(ISNUMBER(MATCH(Data!E461,Data_Val!$A$2:$A$3,0)),0,1))</f>
        <v/>
      </c>
      <c r="F461" s="9" t="str">
        <f ca="1">IF(Data!B461="","",IF(ISNUMBER(Data!F461),IF(AND(Data!F461&gt;(TODAY()-(Data_Val!$H$3*365.25)),Data!F461&lt;=(TODAY()-(Data_Val!$H$2*365.25))),0,1),1))</f>
        <v/>
      </c>
      <c r="G461" s="15" t="str">
        <f>IF(Data!B461="","",IF(AND(Data!G461="",Data!H461&lt;&gt;""),1,IF(Data!#REF!&lt;&gt;"",0,IF(ISNUMBER(MATCH(Data!G461,Data_Val!$C$2:$C$5,0)),0,1))))</f>
        <v/>
      </c>
      <c r="H461" s="15" t="str">
        <f>IF(Data!B461="","",IF(AND(Data!G461&lt;&gt;"",Data!H461=""),1,IF(Data!#REF!&lt;&gt;"",0,IF(Data!G461="",1,IF(ISNUMBER(MATCH(Data!H461,Data_Val!$D$2:$D$35,0)),0,1)))))</f>
        <v/>
      </c>
      <c r="I461" s="15" t="str">
        <f>IF(Data!B461="","",IF(Data!G461&lt;&gt;"",0,IF(ISNUMBER(MATCH(Data!#REF!,Data_Val!$E$2:$E$12,0)),0,1)))</f>
        <v/>
      </c>
      <c r="J461" s="16" t="e">
        <f>IF(OR(Data!B461="",Data!#REF!=""),"",IF(Data!#REF!="",1,0))</f>
        <v>#REF!</v>
      </c>
      <c r="K461" s="16" t="e">
        <f>IF(OR(Data!B461="",Data!#REF!=""),"",IF(Data!#REF!="",1,0))</f>
        <v>#REF!</v>
      </c>
      <c r="L461" s="16" t="e">
        <f>IF(OR(Data!B461="",Data!#REF!=""),"",IF(ISNUMBER(Data!#REF!),IF(AND(Data!#REF!&gt;Data_Val!$G$2,Data!#REF!&lt;=Data_Val!$G$3),0,1),1))</f>
        <v>#REF!</v>
      </c>
      <c r="M461" s="9" t="e">
        <f>IF(OR(Data!B461="",Data!#REF!=""),"",IF(ISNUMBER(MATCH(Data!#REF!,Data_Val!$F$1:$F$38,0)),0,1))</f>
        <v>#REF!</v>
      </c>
      <c r="N461" s="9" t="e">
        <f>IF(OR(Data!B461="",Data!#REF!=""),"",IF(Data!#REF!="",1,0))</f>
        <v>#REF!</v>
      </c>
      <c r="O461" s="17" t="e">
        <f>IF(Data!#REF!="","",IF(Data!#REF!="",1,0))</f>
        <v>#REF!</v>
      </c>
      <c r="P461" s="17" t="e">
        <f>IF(Data!#REF!="","",IF(ISNUMBER(MATCH(Data!#REF!,Data_Val!$A$2:$A$3,0)),0,1))</f>
        <v>#REF!</v>
      </c>
      <c r="Q461" s="25" t="e">
        <f ca="1">IF(Data!#REF!="","",IF(ISNUMBER(Data!#REF!),IF(AND(Data!#REF!&gt;(TODAY()-(Data_Val!$J$3*365.25)),Data!#REF!&lt;=(TODAY()-(Data_Val!$J$2*365.25))),0,1),1))</f>
        <v>#REF!</v>
      </c>
      <c r="R461" s="17" t="e">
        <f>IF(Data!#REF!="","",IF(ISNUMBER(MATCH(Data!#REF!,Data_Val!$B$2:$B$15,0)),0,1))</f>
        <v>#REF!</v>
      </c>
      <c r="S461" s="11" t="str">
        <f>IF(Data!G461="","",IF(Data!G461=Data_Val!$C$2,IF(Data!M461="",0,1),0))</f>
        <v/>
      </c>
      <c r="T461" s="11" t="str">
        <f>IF(Data!M461="","",IF(ISNUMBER(MATCH(Data!N461,Data_Val!$A$2:$A$3,0)),0,1))</f>
        <v/>
      </c>
      <c r="U461" s="11" t="str">
        <f ca="1">IF(Data!M461="","",IF(ISNUMBER(Data!O461),IF(AND(Data!O461&gt;(TODAY()-(Data_Val!$K$3*365.25)),Data!O461&lt;=(TODAY()-(Data_Val!$K$2*365.25))),0,1),1))</f>
        <v/>
      </c>
      <c r="V461" s="12" t="str">
        <f>IF(Data!G461="","",IF(Data!G461=Data_Val!$C$2,IF(Data!P461="",0,1),0))</f>
        <v/>
      </c>
      <c r="W461" s="12" t="str">
        <f>IF(Data!P461="","",IF(ISNUMBER(MATCH(Data!Q461,Data_Val!$A$2:$A$3,0)),0,1))</f>
        <v/>
      </c>
      <c r="X461" s="26" t="str">
        <f ca="1">IF(Data!P461="","",IF(ISNUMBER(Data!R461),IF(AND(Data!R461&gt;(TODAY()-(Data_Val!$L$3*365.25)),Data!R461&lt;=(TODAY()-(Data_Val!$L$2*365.25))),0,1),1))</f>
        <v/>
      </c>
      <c r="Y461" s="13" t="str">
        <f>IF(Data!$G461="","",IF(Data!$G461=Data_Val!$C$2,IF(Data!S461="",0,1),0))</f>
        <v/>
      </c>
      <c r="Z461" s="13" t="str">
        <f>IF(Data!S461="","",IF(ISNUMBER(MATCH(Data!T461,Data_Val!$A$2:$A$3,0)),0,1))</f>
        <v/>
      </c>
      <c r="AA461" s="28" t="str">
        <f ca="1">IF(Data!S461="","",IF(ISNUMBER(Data!U461),IF(AND(Data!U461&gt;(TODAY()-(Data_Val!$L$3*365.25)),Data!U461&lt;=(TODAY()-(Data_Val!$L$2*365.25))),0,1),1))</f>
        <v/>
      </c>
      <c r="AB461" s="11"/>
      <c r="AC461" s="11" t="e">
        <f>IF(Data!#REF!="","",IF(ISNUMBER(MATCH(Data!#REF!,Data_Val!$A$2:$A$3,0)),0,1))</f>
        <v>#REF!</v>
      </c>
      <c r="AD461" s="11" t="e">
        <f ca="1">IF(Data!#REF!="","",IF(ISNUMBER(Data!#REF!),IF(AND(Data!#REF!&gt;(TODAY()-(Data_Val!$L$3*365.25)),Data!#REF!&lt;=(TODAY()-(Data_Val!$L$2*365.25))),0,1),1))</f>
        <v>#REF!</v>
      </c>
      <c r="AE461" s="11" t="e">
        <f>IF(Data!#REF!="","",IF(Data!$G461="",1,IF(ISNUMBER(MATCH(Data!#REF!,Data_Val!$D$2:$D$10,0)),0,1)))</f>
        <v>#REF!</v>
      </c>
      <c r="AF461" s="12"/>
      <c r="AG461" s="12" t="e">
        <f>IF(Data!#REF!="","",IF(ISNUMBER(MATCH(Data!#REF!,Data_Val!$A$2:$A$3,0)),0,1))</f>
        <v>#REF!</v>
      </c>
      <c r="AH461" s="26" t="e">
        <f ca="1">IF(Data!#REF!="","",IF(ISNUMBER(Data!#REF!),IF(AND(Data!#REF!&gt;(TODAY()-(Data_Val!$L$3*365.25)),Data!#REF!&lt;=(TODAY()-(Data_Val!$L$2*365.25))),0,1),1))</f>
        <v>#REF!</v>
      </c>
      <c r="AI461" s="12" t="e">
        <f>IF(Data!#REF!="","",IF(Data!$G461="",1,IF(ISNUMBER(MATCH(Data!#REF!,Data_Val!$D$2:$D$10,0)),0,1)))</f>
        <v>#REF!</v>
      </c>
      <c r="AJ461" s="17"/>
      <c r="AK461" s="17" t="e">
        <f>IF(Data!#REF!="","",IF(ISNUMBER(MATCH(Data!#REF!,Data_Val!$A$2:$A$3,0)),0,1))</f>
        <v>#REF!</v>
      </c>
      <c r="AL461" s="25" t="e">
        <f ca="1">IF(Data!#REF!="","",IF(ISNUMBER(Data!#REF!),IF(AND(Data!#REF!&gt;(TODAY()-(Data_Val!$L$3*365.25)),Data!#REF!&lt;=(TODAY()-(Data_Val!$L$2*365.25))),0,1),1))</f>
        <v>#REF!</v>
      </c>
      <c r="AM461" s="17" t="e">
        <f>IF(Data!#REF!="","",IF(Data!$G461="",1,IF(ISNUMBER(MATCH(Data!#REF!,Data_Val!$D$2:$D$10,0)),0,1)))</f>
        <v>#REF!</v>
      </c>
      <c r="AN461" s="13"/>
      <c r="AO461" s="28" t="e">
        <f ca="1">IF(Data!#REF!="","",IF(ISNUMBER(Data!#REF!),IF(AND(Data!#REF!&gt;(TODAY()-(Data_Val!$I$3*365.25)),Data!#REF!&lt;=(TODAY()-(Data_Val!$I$2*365.25))),0,1),1))</f>
        <v>#REF!</v>
      </c>
      <c r="AP461" s="13" t="e">
        <f>IF(Data!#REF!="","",IF(Data!$G461="",1,IF(ISNUMBER(MATCH(Data!#REF!,Data_Val!$D$2:$D$10,0)),0,1)))</f>
        <v>#REF!</v>
      </c>
      <c r="AQ461" s="17"/>
      <c r="AR461" s="30" t="e">
        <f ca="1">IF(Data!#REF!="","",IF(ISNUMBER(Data!#REF!),IF(AND(Data!#REF!&gt;(TODAY()-(Data_Val!$I$3*365.25)),Data!#REF!&lt;=(TODAY()-(Data_Val!$I$2*365.25))),0,1),1))</f>
        <v>#REF!</v>
      </c>
      <c r="AS461" s="31" t="e">
        <f>IF(Data!#REF!="","",IF(Data!$G461="",1,IF(ISNUMBER(MATCH(Data!#REF!,Data_Val!$D$2:$D$10,0)),0,1)))</f>
        <v>#REF!</v>
      </c>
      <c r="AT461" s="11"/>
      <c r="AU461" s="11" t="e">
        <f ca="1">IF(Data!#REF!="","",IF(ISNUMBER(Data!#REF!),IF(AND(Data!#REF!&gt;(TODAY()-(Data_Val!$I$3*365.25)),Data!#REF!&lt;=(TODAY()-(Data_Val!$I$2*365.25))),0,1),1))</f>
        <v>#REF!</v>
      </c>
      <c r="AV461" s="11" t="e">
        <f>IF(Data!#REF!="","",IF(Data!$G461="",1,IF(ISNUMBER(MATCH(Data!#REF!,Data_Val!$D$2:$D$10,0)),0,1)))</f>
        <v>#REF!</v>
      </c>
      <c r="AW461" s="12"/>
      <c r="AX461" s="26" t="e">
        <f ca="1">IF(Data!#REF!="","",IF(ISNUMBER(Data!#REF!),IF(AND(Data!#REF!&gt;(TODAY()-(Data_Val!$I$3*365.25)),Data!#REF!&lt;=(TODAY()-(Data_Val!$I$2*365.25))),0,1),1))</f>
        <v>#REF!</v>
      </c>
      <c r="AY461" s="12" t="e">
        <f>IF(Data!#REF!="","",IF(Data!$G461="",1,IF(ISNUMBER(MATCH(Data!#REF!,Data_Val!$D$2:$D$10,0)),0,1)))</f>
        <v>#REF!</v>
      </c>
      <c r="AZ461" s="11"/>
      <c r="BA461" s="19" t="e">
        <f ca="1">IF(Data!#REF!="","",IF(ISNUMBER(Data!#REF!),IF(AND(Data!#REF!&gt;(TODAY()-(Data_Val!$M$3*365.25)),Data!#REF!&lt;=(TODAY()-(Data_Val!$M$2*365.25))),0,1),1))</f>
        <v>#REF!</v>
      </c>
      <c r="BB461" s="11" t="e">
        <f>IF(Data!#REF!="","",IF(Data!$G461="",1,IF(ISNUMBER(MATCH(Data!#REF!,Data_Val!$D$2:$D$10,0)),0,1)))</f>
        <v>#REF!</v>
      </c>
      <c r="BC461" s="12"/>
      <c r="BD461" s="20" t="e">
        <f ca="1">IF(Data!#REF!="","",IF(ISNUMBER(Data!#REF!),IF(AND(Data!#REF!&gt;(TODAY()-(Data_Val!$M$3*365.25)),Data!#REF!&lt;=(TODAY()-(Data_Val!$M$2*365.25))),0,1),1))</f>
        <v>#REF!</v>
      </c>
      <c r="BE461" s="12" t="e">
        <f>IF(Data!#REF!="","",IF(Data!$G461="",1,IF(ISNUMBER(MATCH(Data!#REF!,Data_Val!$D$2:$D$10,0)),0,1)))</f>
        <v>#REF!</v>
      </c>
      <c r="BF461" s="17"/>
      <c r="BG461" s="18" t="e">
        <f ca="1">IF(Data!#REF!="","",IF(ISNUMBER(Data!#REF!),IF(AND(Data!#REF!&gt;(TODAY()-(Data_Val!$M$3*365.25)),Data!#REF!&lt;=(TODAY()-(Data_Val!$M$2*365.25))),0,1),1))</f>
        <v>#REF!</v>
      </c>
      <c r="BH461" s="29" t="e">
        <f>IF(Data!#REF!="","",IF(Data!$G461="",1,IF(ISNUMBER(MATCH(Data!#REF!,Data_Val!$D$2:$D$10,0)),0,1)))</f>
        <v>#REF!</v>
      </c>
      <c r="BI461" s="13"/>
      <c r="BJ461" s="21" t="e">
        <f ca="1">IF(Data!#REF!="","",IF(ISNUMBER(Data!#REF!),IF(AND(Data!#REF!&gt;(TODAY()-(Data_Val!$M$3*365.25)),Data!#REF!&lt;=(TODAY()-(Data_Val!$M$2*365.25))),0,1),1))</f>
        <v>#REF!</v>
      </c>
      <c r="BK461" s="13" t="e">
        <f>IF(Data!#REF!="","",IF(Data!$G461="",1,IF(ISNUMBER(MATCH(Data!#REF!,Data_Val!$D$2:$D$10,0)),0,1)))</f>
        <v>#REF!</v>
      </c>
    </row>
    <row r="462" spans="1:63" x14ac:dyDescent="0.25">
      <c r="A462" s="9" t="str">
        <f>IF(Data!B462="","",IF(COUNTIFS(Data!A$1:'Data'!A462,Data!A462)&lt;=1,0,1))</f>
        <v/>
      </c>
      <c r="B462" s="9"/>
      <c r="C462" s="23" t="str">
        <f>IF(Data!C462="","",(IF(ISNUMBER(MATCH("*@*.?*",Data!C462,0)),0,1)+IF(COUNTIFS(Data!C$1:'Data'!C462,Data!C462)&gt;1,1,0)))</f>
        <v/>
      </c>
      <c r="D462" s="9" t="str">
        <f>IF(Data!B462="","",IF(ISNUMBER(Data!D462),IF(AND(Data!D462&gt;999999999,Data!D462&lt;=9999999999),IF(COUNTIFS(Data!D$1:'Data'!D462,Data!D462)&lt;=1,0,1),1),1))</f>
        <v/>
      </c>
      <c r="E462" s="9" t="str">
        <f>IF(Data!B462="","",IF(ISNUMBER(MATCH(Data!E462,Data_Val!$A$2:$A$3,0)),0,1))</f>
        <v/>
      </c>
      <c r="F462" s="9" t="str">
        <f ca="1">IF(Data!B462="","",IF(ISNUMBER(Data!F462),IF(AND(Data!F462&gt;(TODAY()-(Data_Val!$H$3*365.25)),Data!F462&lt;=(TODAY()-(Data_Val!$H$2*365.25))),0,1),1))</f>
        <v/>
      </c>
      <c r="G462" s="15" t="str">
        <f>IF(Data!B462="","",IF(AND(Data!G462="",Data!H462&lt;&gt;""),1,IF(Data!#REF!&lt;&gt;"",0,IF(ISNUMBER(MATCH(Data!G462,Data_Val!$C$2:$C$5,0)),0,1))))</f>
        <v/>
      </c>
      <c r="H462" s="15" t="str">
        <f>IF(Data!B462="","",IF(AND(Data!G462&lt;&gt;"",Data!H462=""),1,IF(Data!#REF!&lt;&gt;"",0,IF(Data!G462="",1,IF(ISNUMBER(MATCH(Data!H462,Data_Val!$D$2:$D$35,0)),0,1)))))</f>
        <v/>
      </c>
      <c r="I462" s="15" t="str">
        <f>IF(Data!B462="","",IF(Data!G462&lt;&gt;"",0,IF(ISNUMBER(MATCH(Data!#REF!,Data_Val!$E$2:$E$12,0)),0,1)))</f>
        <v/>
      </c>
      <c r="J462" s="16" t="e">
        <f>IF(OR(Data!B462="",Data!#REF!=""),"",IF(Data!#REF!="",1,0))</f>
        <v>#REF!</v>
      </c>
      <c r="K462" s="16" t="e">
        <f>IF(OR(Data!B462="",Data!#REF!=""),"",IF(Data!#REF!="",1,0))</f>
        <v>#REF!</v>
      </c>
      <c r="L462" s="16" t="e">
        <f>IF(OR(Data!B462="",Data!#REF!=""),"",IF(ISNUMBER(Data!#REF!),IF(AND(Data!#REF!&gt;Data_Val!$G$2,Data!#REF!&lt;=Data_Val!$G$3),0,1),1))</f>
        <v>#REF!</v>
      </c>
      <c r="M462" s="9" t="e">
        <f>IF(OR(Data!B462="",Data!#REF!=""),"",IF(ISNUMBER(MATCH(Data!#REF!,Data_Val!$F$1:$F$38,0)),0,1))</f>
        <v>#REF!</v>
      </c>
      <c r="N462" s="9" t="e">
        <f>IF(OR(Data!B462="",Data!#REF!=""),"",IF(Data!#REF!="",1,0))</f>
        <v>#REF!</v>
      </c>
      <c r="O462" s="17" t="e">
        <f>IF(Data!#REF!="","",IF(Data!#REF!="",1,0))</f>
        <v>#REF!</v>
      </c>
      <c r="P462" s="17" t="e">
        <f>IF(Data!#REF!="","",IF(ISNUMBER(MATCH(Data!#REF!,Data_Val!$A$2:$A$3,0)),0,1))</f>
        <v>#REF!</v>
      </c>
      <c r="Q462" s="25" t="e">
        <f ca="1">IF(Data!#REF!="","",IF(ISNUMBER(Data!#REF!),IF(AND(Data!#REF!&gt;(TODAY()-(Data_Val!$J$3*365.25)),Data!#REF!&lt;=(TODAY()-(Data_Val!$J$2*365.25))),0,1),1))</f>
        <v>#REF!</v>
      </c>
      <c r="R462" s="17" t="e">
        <f>IF(Data!#REF!="","",IF(ISNUMBER(MATCH(Data!#REF!,Data_Val!$B$2:$B$15,0)),0,1))</f>
        <v>#REF!</v>
      </c>
      <c r="S462" s="11" t="str">
        <f>IF(Data!G462="","",IF(Data!G462=Data_Val!$C$2,IF(Data!M462="",0,1),0))</f>
        <v/>
      </c>
      <c r="T462" s="11" t="str">
        <f>IF(Data!M462="","",IF(ISNUMBER(MATCH(Data!N462,Data_Val!$A$2:$A$3,0)),0,1))</f>
        <v/>
      </c>
      <c r="U462" s="11" t="str">
        <f ca="1">IF(Data!M462="","",IF(ISNUMBER(Data!O462),IF(AND(Data!O462&gt;(TODAY()-(Data_Val!$K$3*365.25)),Data!O462&lt;=(TODAY()-(Data_Val!$K$2*365.25))),0,1),1))</f>
        <v/>
      </c>
      <c r="V462" s="12" t="str">
        <f>IF(Data!G462="","",IF(Data!G462=Data_Val!$C$2,IF(Data!P462="",0,1),0))</f>
        <v/>
      </c>
      <c r="W462" s="12" t="str">
        <f>IF(Data!P462="","",IF(ISNUMBER(MATCH(Data!Q462,Data_Val!$A$2:$A$3,0)),0,1))</f>
        <v/>
      </c>
      <c r="X462" s="26" t="str">
        <f ca="1">IF(Data!P462="","",IF(ISNUMBER(Data!R462),IF(AND(Data!R462&gt;(TODAY()-(Data_Val!$L$3*365.25)),Data!R462&lt;=(TODAY()-(Data_Val!$L$2*365.25))),0,1),1))</f>
        <v/>
      </c>
      <c r="Y462" s="13" t="str">
        <f>IF(Data!$G462="","",IF(Data!$G462=Data_Val!$C$2,IF(Data!S462="",0,1),0))</f>
        <v/>
      </c>
      <c r="Z462" s="13" t="str">
        <f>IF(Data!S462="","",IF(ISNUMBER(MATCH(Data!T462,Data_Val!$A$2:$A$3,0)),0,1))</f>
        <v/>
      </c>
      <c r="AA462" s="28" t="str">
        <f ca="1">IF(Data!S462="","",IF(ISNUMBER(Data!U462),IF(AND(Data!U462&gt;(TODAY()-(Data_Val!$L$3*365.25)),Data!U462&lt;=(TODAY()-(Data_Val!$L$2*365.25))),0,1),1))</f>
        <v/>
      </c>
      <c r="AB462" s="11"/>
      <c r="AC462" s="11" t="e">
        <f>IF(Data!#REF!="","",IF(ISNUMBER(MATCH(Data!#REF!,Data_Val!$A$2:$A$3,0)),0,1))</f>
        <v>#REF!</v>
      </c>
      <c r="AD462" s="11" t="e">
        <f ca="1">IF(Data!#REF!="","",IF(ISNUMBER(Data!#REF!),IF(AND(Data!#REF!&gt;(TODAY()-(Data_Val!$L$3*365.25)),Data!#REF!&lt;=(TODAY()-(Data_Val!$L$2*365.25))),0,1),1))</f>
        <v>#REF!</v>
      </c>
      <c r="AE462" s="11" t="e">
        <f>IF(Data!#REF!="","",IF(Data!$G462="",1,IF(ISNUMBER(MATCH(Data!#REF!,Data_Val!$D$2:$D$10,0)),0,1)))</f>
        <v>#REF!</v>
      </c>
      <c r="AF462" s="12"/>
      <c r="AG462" s="12" t="e">
        <f>IF(Data!#REF!="","",IF(ISNUMBER(MATCH(Data!#REF!,Data_Val!$A$2:$A$3,0)),0,1))</f>
        <v>#REF!</v>
      </c>
      <c r="AH462" s="26" t="e">
        <f ca="1">IF(Data!#REF!="","",IF(ISNUMBER(Data!#REF!),IF(AND(Data!#REF!&gt;(TODAY()-(Data_Val!$L$3*365.25)),Data!#REF!&lt;=(TODAY()-(Data_Val!$L$2*365.25))),0,1),1))</f>
        <v>#REF!</v>
      </c>
      <c r="AI462" s="12" t="e">
        <f>IF(Data!#REF!="","",IF(Data!$G462="",1,IF(ISNUMBER(MATCH(Data!#REF!,Data_Val!$D$2:$D$10,0)),0,1)))</f>
        <v>#REF!</v>
      </c>
      <c r="AJ462" s="17"/>
      <c r="AK462" s="17" t="e">
        <f>IF(Data!#REF!="","",IF(ISNUMBER(MATCH(Data!#REF!,Data_Val!$A$2:$A$3,0)),0,1))</f>
        <v>#REF!</v>
      </c>
      <c r="AL462" s="25" t="e">
        <f ca="1">IF(Data!#REF!="","",IF(ISNUMBER(Data!#REF!),IF(AND(Data!#REF!&gt;(TODAY()-(Data_Val!$L$3*365.25)),Data!#REF!&lt;=(TODAY()-(Data_Val!$L$2*365.25))),0,1),1))</f>
        <v>#REF!</v>
      </c>
      <c r="AM462" s="17" t="e">
        <f>IF(Data!#REF!="","",IF(Data!$G462="",1,IF(ISNUMBER(MATCH(Data!#REF!,Data_Val!$D$2:$D$10,0)),0,1)))</f>
        <v>#REF!</v>
      </c>
      <c r="AN462" s="13"/>
      <c r="AO462" s="28" t="e">
        <f ca="1">IF(Data!#REF!="","",IF(ISNUMBER(Data!#REF!),IF(AND(Data!#REF!&gt;(TODAY()-(Data_Val!$I$3*365.25)),Data!#REF!&lt;=(TODAY()-(Data_Val!$I$2*365.25))),0,1),1))</f>
        <v>#REF!</v>
      </c>
      <c r="AP462" s="13" t="e">
        <f>IF(Data!#REF!="","",IF(Data!$G462="",1,IF(ISNUMBER(MATCH(Data!#REF!,Data_Val!$D$2:$D$10,0)),0,1)))</f>
        <v>#REF!</v>
      </c>
      <c r="AQ462" s="17"/>
      <c r="AR462" s="30" t="e">
        <f ca="1">IF(Data!#REF!="","",IF(ISNUMBER(Data!#REF!),IF(AND(Data!#REF!&gt;(TODAY()-(Data_Val!$I$3*365.25)),Data!#REF!&lt;=(TODAY()-(Data_Val!$I$2*365.25))),0,1),1))</f>
        <v>#REF!</v>
      </c>
      <c r="AS462" s="31" t="e">
        <f>IF(Data!#REF!="","",IF(Data!$G462="",1,IF(ISNUMBER(MATCH(Data!#REF!,Data_Val!$D$2:$D$10,0)),0,1)))</f>
        <v>#REF!</v>
      </c>
      <c r="AT462" s="11"/>
      <c r="AU462" s="11" t="e">
        <f ca="1">IF(Data!#REF!="","",IF(ISNUMBER(Data!#REF!),IF(AND(Data!#REF!&gt;(TODAY()-(Data_Val!$I$3*365.25)),Data!#REF!&lt;=(TODAY()-(Data_Val!$I$2*365.25))),0,1),1))</f>
        <v>#REF!</v>
      </c>
      <c r="AV462" s="11" t="e">
        <f>IF(Data!#REF!="","",IF(Data!$G462="",1,IF(ISNUMBER(MATCH(Data!#REF!,Data_Val!$D$2:$D$10,0)),0,1)))</f>
        <v>#REF!</v>
      </c>
      <c r="AW462" s="12"/>
      <c r="AX462" s="26" t="e">
        <f ca="1">IF(Data!#REF!="","",IF(ISNUMBER(Data!#REF!),IF(AND(Data!#REF!&gt;(TODAY()-(Data_Val!$I$3*365.25)),Data!#REF!&lt;=(TODAY()-(Data_Val!$I$2*365.25))),0,1),1))</f>
        <v>#REF!</v>
      </c>
      <c r="AY462" s="12" t="e">
        <f>IF(Data!#REF!="","",IF(Data!$G462="",1,IF(ISNUMBER(MATCH(Data!#REF!,Data_Val!$D$2:$D$10,0)),0,1)))</f>
        <v>#REF!</v>
      </c>
      <c r="AZ462" s="11"/>
      <c r="BA462" s="19" t="e">
        <f ca="1">IF(Data!#REF!="","",IF(ISNUMBER(Data!#REF!),IF(AND(Data!#REF!&gt;(TODAY()-(Data_Val!$M$3*365.25)),Data!#REF!&lt;=(TODAY()-(Data_Val!$M$2*365.25))),0,1),1))</f>
        <v>#REF!</v>
      </c>
      <c r="BB462" s="11" t="e">
        <f>IF(Data!#REF!="","",IF(Data!$G462="",1,IF(ISNUMBER(MATCH(Data!#REF!,Data_Val!$D$2:$D$10,0)),0,1)))</f>
        <v>#REF!</v>
      </c>
      <c r="BC462" s="12"/>
      <c r="BD462" s="20" t="e">
        <f ca="1">IF(Data!#REF!="","",IF(ISNUMBER(Data!#REF!),IF(AND(Data!#REF!&gt;(TODAY()-(Data_Val!$M$3*365.25)),Data!#REF!&lt;=(TODAY()-(Data_Val!$M$2*365.25))),0,1),1))</f>
        <v>#REF!</v>
      </c>
      <c r="BE462" s="12" t="e">
        <f>IF(Data!#REF!="","",IF(Data!$G462="",1,IF(ISNUMBER(MATCH(Data!#REF!,Data_Val!$D$2:$D$10,0)),0,1)))</f>
        <v>#REF!</v>
      </c>
      <c r="BF462" s="17"/>
      <c r="BG462" s="18" t="e">
        <f ca="1">IF(Data!#REF!="","",IF(ISNUMBER(Data!#REF!),IF(AND(Data!#REF!&gt;(TODAY()-(Data_Val!$M$3*365.25)),Data!#REF!&lt;=(TODAY()-(Data_Val!$M$2*365.25))),0,1),1))</f>
        <v>#REF!</v>
      </c>
      <c r="BH462" s="29" t="e">
        <f>IF(Data!#REF!="","",IF(Data!$G462="",1,IF(ISNUMBER(MATCH(Data!#REF!,Data_Val!$D$2:$D$10,0)),0,1)))</f>
        <v>#REF!</v>
      </c>
      <c r="BI462" s="13"/>
      <c r="BJ462" s="21" t="e">
        <f ca="1">IF(Data!#REF!="","",IF(ISNUMBER(Data!#REF!),IF(AND(Data!#REF!&gt;(TODAY()-(Data_Val!$M$3*365.25)),Data!#REF!&lt;=(TODAY()-(Data_Val!$M$2*365.25))),0,1),1))</f>
        <v>#REF!</v>
      </c>
      <c r="BK462" s="13" t="e">
        <f>IF(Data!#REF!="","",IF(Data!$G462="",1,IF(ISNUMBER(MATCH(Data!#REF!,Data_Val!$D$2:$D$10,0)),0,1)))</f>
        <v>#REF!</v>
      </c>
    </row>
    <row r="463" spans="1:63" x14ac:dyDescent="0.25">
      <c r="A463" s="9" t="str">
        <f>IF(Data!B463="","",IF(COUNTIFS(Data!A$1:'Data'!A463,Data!A463)&lt;=1,0,1))</f>
        <v/>
      </c>
      <c r="B463" s="9"/>
      <c r="C463" s="23" t="str">
        <f>IF(Data!C463="","",(IF(ISNUMBER(MATCH("*@*.?*",Data!C463,0)),0,1)+IF(COUNTIFS(Data!C$1:'Data'!C463,Data!C463)&gt;1,1,0)))</f>
        <v/>
      </c>
      <c r="D463" s="9" t="str">
        <f>IF(Data!B463="","",IF(ISNUMBER(Data!D463),IF(AND(Data!D463&gt;999999999,Data!D463&lt;=9999999999),IF(COUNTIFS(Data!D$1:'Data'!D463,Data!D463)&lt;=1,0,1),1),1))</f>
        <v/>
      </c>
      <c r="E463" s="9" t="str">
        <f>IF(Data!B463="","",IF(ISNUMBER(MATCH(Data!E463,Data_Val!$A$2:$A$3,0)),0,1))</f>
        <v/>
      </c>
      <c r="F463" s="9" t="str">
        <f ca="1">IF(Data!B463="","",IF(ISNUMBER(Data!F463),IF(AND(Data!F463&gt;(TODAY()-(Data_Val!$H$3*365.25)),Data!F463&lt;=(TODAY()-(Data_Val!$H$2*365.25))),0,1),1))</f>
        <v/>
      </c>
      <c r="G463" s="15" t="str">
        <f>IF(Data!B463="","",IF(AND(Data!G463="",Data!H463&lt;&gt;""),1,IF(Data!#REF!&lt;&gt;"",0,IF(ISNUMBER(MATCH(Data!G463,Data_Val!$C$2:$C$5,0)),0,1))))</f>
        <v/>
      </c>
      <c r="H463" s="15" t="str">
        <f>IF(Data!B463="","",IF(AND(Data!G463&lt;&gt;"",Data!H463=""),1,IF(Data!#REF!&lt;&gt;"",0,IF(Data!G463="",1,IF(ISNUMBER(MATCH(Data!H463,Data_Val!$D$2:$D$35,0)),0,1)))))</f>
        <v/>
      </c>
      <c r="I463" s="15" t="str">
        <f>IF(Data!B463="","",IF(Data!G463&lt;&gt;"",0,IF(ISNUMBER(MATCH(Data!#REF!,Data_Val!$E$2:$E$12,0)),0,1)))</f>
        <v/>
      </c>
      <c r="J463" s="16" t="e">
        <f>IF(OR(Data!B463="",Data!#REF!=""),"",IF(Data!#REF!="",1,0))</f>
        <v>#REF!</v>
      </c>
      <c r="K463" s="16" t="e">
        <f>IF(OR(Data!B463="",Data!#REF!=""),"",IF(Data!#REF!="",1,0))</f>
        <v>#REF!</v>
      </c>
      <c r="L463" s="16" t="e">
        <f>IF(OR(Data!B463="",Data!#REF!=""),"",IF(ISNUMBER(Data!#REF!),IF(AND(Data!#REF!&gt;Data_Val!$G$2,Data!#REF!&lt;=Data_Val!$G$3),0,1),1))</f>
        <v>#REF!</v>
      </c>
      <c r="M463" s="9" t="e">
        <f>IF(OR(Data!B463="",Data!#REF!=""),"",IF(ISNUMBER(MATCH(Data!#REF!,Data_Val!$F$1:$F$38,0)),0,1))</f>
        <v>#REF!</v>
      </c>
      <c r="N463" s="9" t="e">
        <f>IF(OR(Data!B463="",Data!#REF!=""),"",IF(Data!#REF!="",1,0))</f>
        <v>#REF!</v>
      </c>
      <c r="O463" s="17" t="e">
        <f>IF(Data!#REF!="","",IF(Data!#REF!="",1,0))</f>
        <v>#REF!</v>
      </c>
      <c r="P463" s="17" t="e">
        <f>IF(Data!#REF!="","",IF(ISNUMBER(MATCH(Data!#REF!,Data_Val!$A$2:$A$3,0)),0,1))</f>
        <v>#REF!</v>
      </c>
      <c r="Q463" s="25" t="e">
        <f ca="1">IF(Data!#REF!="","",IF(ISNUMBER(Data!#REF!),IF(AND(Data!#REF!&gt;(TODAY()-(Data_Val!$J$3*365.25)),Data!#REF!&lt;=(TODAY()-(Data_Val!$J$2*365.25))),0,1),1))</f>
        <v>#REF!</v>
      </c>
      <c r="R463" s="17" t="e">
        <f>IF(Data!#REF!="","",IF(ISNUMBER(MATCH(Data!#REF!,Data_Val!$B$2:$B$15,0)),0,1))</f>
        <v>#REF!</v>
      </c>
      <c r="S463" s="11" t="str">
        <f>IF(Data!G463="","",IF(Data!G463=Data_Val!$C$2,IF(Data!M463="",0,1),0))</f>
        <v/>
      </c>
      <c r="T463" s="11" t="str">
        <f>IF(Data!M463="","",IF(ISNUMBER(MATCH(Data!N463,Data_Val!$A$2:$A$3,0)),0,1))</f>
        <v/>
      </c>
      <c r="U463" s="11" t="str">
        <f ca="1">IF(Data!M463="","",IF(ISNUMBER(Data!O463),IF(AND(Data!O463&gt;(TODAY()-(Data_Val!$K$3*365.25)),Data!O463&lt;=(TODAY()-(Data_Val!$K$2*365.25))),0,1),1))</f>
        <v/>
      </c>
      <c r="V463" s="12" t="str">
        <f>IF(Data!G463="","",IF(Data!G463=Data_Val!$C$2,IF(Data!P463="",0,1),0))</f>
        <v/>
      </c>
      <c r="W463" s="12" t="str">
        <f>IF(Data!P463="","",IF(ISNUMBER(MATCH(Data!Q463,Data_Val!$A$2:$A$3,0)),0,1))</f>
        <v/>
      </c>
      <c r="X463" s="26" t="str">
        <f ca="1">IF(Data!P463="","",IF(ISNUMBER(Data!R463),IF(AND(Data!R463&gt;(TODAY()-(Data_Val!$L$3*365.25)),Data!R463&lt;=(TODAY()-(Data_Val!$L$2*365.25))),0,1),1))</f>
        <v/>
      </c>
      <c r="Y463" s="13" t="str">
        <f>IF(Data!$G463="","",IF(Data!$G463=Data_Val!$C$2,IF(Data!S463="",0,1),0))</f>
        <v/>
      </c>
      <c r="Z463" s="13" t="str">
        <f>IF(Data!S463="","",IF(ISNUMBER(MATCH(Data!T463,Data_Val!$A$2:$A$3,0)),0,1))</f>
        <v/>
      </c>
      <c r="AA463" s="28" t="str">
        <f ca="1">IF(Data!S463="","",IF(ISNUMBER(Data!U463),IF(AND(Data!U463&gt;(TODAY()-(Data_Val!$L$3*365.25)),Data!U463&lt;=(TODAY()-(Data_Val!$L$2*365.25))),0,1),1))</f>
        <v/>
      </c>
      <c r="AB463" s="11"/>
      <c r="AC463" s="11" t="e">
        <f>IF(Data!#REF!="","",IF(ISNUMBER(MATCH(Data!#REF!,Data_Val!$A$2:$A$3,0)),0,1))</f>
        <v>#REF!</v>
      </c>
      <c r="AD463" s="11" t="e">
        <f ca="1">IF(Data!#REF!="","",IF(ISNUMBER(Data!#REF!),IF(AND(Data!#REF!&gt;(TODAY()-(Data_Val!$L$3*365.25)),Data!#REF!&lt;=(TODAY()-(Data_Val!$L$2*365.25))),0,1),1))</f>
        <v>#REF!</v>
      </c>
      <c r="AE463" s="11" t="e">
        <f>IF(Data!#REF!="","",IF(Data!$G463="",1,IF(ISNUMBER(MATCH(Data!#REF!,Data_Val!$D$2:$D$10,0)),0,1)))</f>
        <v>#REF!</v>
      </c>
      <c r="AF463" s="12"/>
      <c r="AG463" s="12" t="e">
        <f>IF(Data!#REF!="","",IF(ISNUMBER(MATCH(Data!#REF!,Data_Val!$A$2:$A$3,0)),0,1))</f>
        <v>#REF!</v>
      </c>
      <c r="AH463" s="26" t="e">
        <f ca="1">IF(Data!#REF!="","",IF(ISNUMBER(Data!#REF!),IF(AND(Data!#REF!&gt;(TODAY()-(Data_Val!$L$3*365.25)),Data!#REF!&lt;=(TODAY()-(Data_Val!$L$2*365.25))),0,1),1))</f>
        <v>#REF!</v>
      </c>
      <c r="AI463" s="12" t="e">
        <f>IF(Data!#REF!="","",IF(Data!$G463="",1,IF(ISNUMBER(MATCH(Data!#REF!,Data_Val!$D$2:$D$10,0)),0,1)))</f>
        <v>#REF!</v>
      </c>
      <c r="AJ463" s="17"/>
      <c r="AK463" s="17" t="e">
        <f>IF(Data!#REF!="","",IF(ISNUMBER(MATCH(Data!#REF!,Data_Val!$A$2:$A$3,0)),0,1))</f>
        <v>#REF!</v>
      </c>
      <c r="AL463" s="25" t="e">
        <f ca="1">IF(Data!#REF!="","",IF(ISNUMBER(Data!#REF!),IF(AND(Data!#REF!&gt;(TODAY()-(Data_Val!$L$3*365.25)),Data!#REF!&lt;=(TODAY()-(Data_Val!$L$2*365.25))),0,1),1))</f>
        <v>#REF!</v>
      </c>
      <c r="AM463" s="17" t="e">
        <f>IF(Data!#REF!="","",IF(Data!$G463="",1,IF(ISNUMBER(MATCH(Data!#REF!,Data_Val!$D$2:$D$10,0)),0,1)))</f>
        <v>#REF!</v>
      </c>
      <c r="AN463" s="13"/>
      <c r="AO463" s="28" t="e">
        <f ca="1">IF(Data!#REF!="","",IF(ISNUMBER(Data!#REF!),IF(AND(Data!#REF!&gt;(TODAY()-(Data_Val!$I$3*365.25)),Data!#REF!&lt;=(TODAY()-(Data_Val!$I$2*365.25))),0,1),1))</f>
        <v>#REF!</v>
      </c>
      <c r="AP463" s="13" t="e">
        <f>IF(Data!#REF!="","",IF(Data!$G463="",1,IF(ISNUMBER(MATCH(Data!#REF!,Data_Val!$D$2:$D$10,0)),0,1)))</f>
        <v>#REF!</v>
      </c>
      <c r="AQ463" s="17"/>
      <c r="AR463" s="30" t="e">
        <f ca="1">IF(Data!#REF!="","",IF(ISNUMBER(Data!#REF!),IF(AND(Data!#REF!&gt;(TODAY()-(Data_Val!$I$3*365.25)),Data!#REF!&lt;=(TODAY()-(Data_Val!$I$2*365.25))),0,1),1))</f>
        <v>#REF!</v>
      </c>
      <c r="AS463" s="31" t="e">
        <f>IF(Data!#REF!="","",IF(Data!$G463="",1,IF(ISNUMBER(MATCH(Data!#REF!,Data_Val!$D$2:$D$10,0)),0,1)))</f>
        <v>#REF!</v>
      </c>
      <c r="AT463" s="11"/>
      <c r="AU463" s="11" t="e">
        <f ca="1">IF(Data!#REF!="","",IF(ISNUMBER(Data!#REF!),IF(AND(Data!#REF!&gt;(TODAY()-(Data_Val!$I$3*365.25)),Data!#REF!&lt;=(TODAY()-(Data_Val!$I$2*365.25))),0,1),1))</f>
        <v>#REF!</v>
      </c>
      <c r="AV463" s="11" t="e">
        <f>IF(Data!#REF!="","",IF(Data!$G463="",1,IF(ISNUMBER(MATCH(Data!#REF!,Data_Val!$D$2:$D$10,0)),0,1)))</f>
        <v>#REF!</v>
      </c>
      <c r="AW463" s="12"/>
      <c r="AX463" s="26" t="e">
        <f ca="1">IF(Data!#REF!="","",IF(ISNUMBER(Data!#REF!),IF(AND(Data!#REF!&gt;(TODAY()-(Data_Val!$I$3*365.25)),Data!#REF!&lt;=(TODAY()-(Data_Val!$I$2*365.25))),0,1),1))</f>
        <v>#REF!</v>
      </c>
      <c r="AY463" s="12" t="e">
        <f>IF(Data!#REF!="","",IF(Data!$G463="",1,IF(ISNUMBER(MATCH(Data!#REF!,Data_Val!$D$2:$D$10,0)),0,1)))</f>
        <v>#REF!</v>
      </c>
      <c r="AZ463" s="11"/>
      <c r="BA463" s="19" t="e">
        <f ca="1">IF(Data!#REF!="","",IF(ISNUMBER(Data!#REF!),IF(AND(Data!#REF!&gt;(TODAY()-(Data_Val!$M$3*365.25)),Data!#REF!&lt;=(TODAY()-(Data_Val!$M$2*365.25))),0,1),1))</f>
        <v>#REF!</v>
      </c>
      <c r="BB463" s="11" t="e">
        <f>IF(Data!#REF!="","",IF(Data!$G463="",1,IF(ISNUMBER(MATCH(Data!#REF!,Data_Val!$D$2:$D$10,0)),0,1)))</f>
        <v>#REF!</v>
      </c>
      <c r="BC463" s="12"/>
      <c r="BD463" s="20" t="e">
        <f ca="1">IF(Data!#REF!="","",IF(ISNUMBER(Data!#REF!),IF(AND(Data!#REF!&gt;(TODAY()-(Data_Val!$M$3*365.25)),Data!#REF!&lt;=(TODAY()-(Data_Val!$M$2*365.25))),0,1),1))</f>
        <v>#REF!</v>
      </c>
      <c r="BE463" s="12" t="e">
        <f>IF(Data!#REF!="","",IF(Data!$G463="",1,IF(ISNUMBER(MATCH(Data!#REF!,Data_Val!$D$2:$D$10,0)),0,1)))</f>
        <v>#REF!</v>
      </c>
      <c r="BF463" s="17"/>
      <c r="BG463" s="18" t="e">
        <f ca="1">IF(Data!#REF!="","",IF(ISNUMBER(Data!#REF!),IF(AND(Data!#REF!&gt;(TODAY()-(Data_Val!$M$3*365.25)),Data!#REF!&lt;=(TODAY()-(Data_Val!$M$2*365.25))),0,1),1))</f>
        <v>#REF!</v>
      </c>
      <c r="BH463" s="29" t="e">
        <f>IF(Data!#REF!="","",IF(Data!$G463="",1,IF(ISNUMBER(MATCH(Data!#REF!,Data_Val!$D$2:$D$10,0)),0,1)))</f>
        <v>#REF!</v>
      </c>
      <c r="BI463" s="13"/>
      <c r="BJ463" s="21" t="e">
        <f ca="1">IF(Data!#REF!="","",IF(ISNUMBER(Data!#REF!),IF(AND(Data!#REF!&gt;(TODAY()-(Data_Val!$M$3*365.25)),Data!#REF!&lt;=(TODAY()-(Data_Val!$M$2*365.25))),0,1),1))</f>
        <v>#REF!</v>
      </c>
      <c r="BK463" s="13" t="e">
        <f>IF(Data!#REF!="","",IF(Data!$G463="",1,IF(ISNUMBER(MATCH(Data!#REF!,Data_Val!$D$2:$D$10,0)),0,1)))</f>
        <v>#REF!</v>
      </c>
    </row>
    <row r="464" spans="1:63" x14ac:dyDescent="0.25">
      <c r="A464" s="9" t="str">
        <f>IF(Data!B464="","",IF(COUNTIFS(Data!A$1:'Data'!A464,Data!A464)&lt;=1,0,1))</f>
        <v/>
      </c>
      <c r="B464" s="9"/>
      <c r="C464" s="23" t="str">
        <f>IF(Data!C464="","",(IF(ISNUMBER(MATCH("*@*.?*",Data!C464,0)),0,1)+IF(COUNTIFS(Data!C$1:'Data'!C464,Data!C464)&gt;1,1,0)))</f>
        <v/>
      </c>
      <c r="D464" s="9" t="str">
        <f>IF(Data!B464="","",IF(ISNUMBER(Data!D464),IF(AND(Data!D464&gt;999999999,Data!D464&lt;=9999999999),IF(COUNTIFS(Data!D$1:'Data'!D464,Data!D464)&lt;=1,0,1),1),1))</f>
        <v/>
      </c>
      <c r="E464" s="9" t="str">
        <f>IF(Data!B464="","",IF(ISNUMBER(MATCH(Data!E464,Data_Val!$A$2:$A$3,0)),0,1))</f>
        <v/>
      </c>
      <c r="F464" s="9" t="str">
        <f ca="1">IF(Data!B464="","",IF(ISNUMBER(Data!F464),IF(AND(Data!F464&gt;(TODAY()-(Data_Val!$H$3*365.25)),Data!F464&lt;=(TODAY()-(Data_Val!$H$2*365.25))),0,1),1))</f>
        <v/>
      </c>
      <c r="G464" s="15" t="str">
        <f>IF(Data!B464="","",IF(AND(Data!G464="",Data!H464&lt;&gt;""),1,IF(Data!#REF!&lt;&gt;"",0,IF(ISNUMBER(MATCH(Data!G464,Data_Val!$C$2:$C$5,0)),0,1))))</f>
        <v/>
      </c>
      <c r="H464" s="15" t="str">
        <f>IF(Data!B464="","",IF(AND(Data!G464&lt;&gt;"",Data!H464=""),1,IF(Data!#REF!&lt;&gt;"",0,IF(Data!G464="",1,IF(ISNUMBER(MATCH(Data!H464,Data_Val!$D$2:$D$35,0)),0,1)))))</f>
        <v/>
      </c>
      <c r="I464" s="15" t="str">
        <f>IF(Data!B464="","",IF(Data!G464&lt;&gt;"",0,IF(ISNUMBER(MATCH(Data!#REF!,Data_Val!$E$2:$E$12,0)),0,1)))</f>
        <v/>
      </c>
      <c r="J464" s="16" t="e">
        <f>IF(OR(Data!B464="",Data!#REF!=""),"",IF(Data!#REF!="",1,0))</f>
        <v>#REF!</v>
      </c>
      <c r="K464" s="16" t="e">
        <f>IF(OR(Data!B464="",Data!#REF!=""),"",IF(Data!#REF!="",1,0))</f>
        <v>#REF!</v>
      </c>
      <c r="L464" s="16" t="e">
        <f>IF(OR(Data!B464="",Data!#REF!=""),"",IF(ISNUMBER(Data!#REF!),IF(AND(Data!#REF!&gt;Data_Val!$G$2,Data!#REF!&lt;=Data_Val!$G$3),0,1),1))</f>
        <v>#REF!</v>
      </c>
      <c r="M464" s="9" t="e">
        <f>IF(OR(Data!B464="",Data!#REF!=""),"",IF(ISNUMBER(MATCH(Data!#REF!,Data_Val!$F$1:$F$38,0)),0,1))</f>
        <v>#REF!</v>
      </c>
      <c r="N464" s="9" t="e">
        <f>IF(OR(Data!B464="",Data!#REF!=""),"",IF(Data!#REF!="",1,0))</f>
        <v>#REF!</v>
      </c>
      <c r="O464" s="17" t="e">
        <f>IF(Data!#REF!="","",IF(Data!#REF!="",1,0))</f>
        <v>#REF!</v>
      </c>
      <c r="P464" s="17" t="e">
        <f>IF(Data!#REF!="","",IF(ISNUMBER(MATCH(Data!#REF!,Data_Val!$A$2:$A$3,0)),0,1))</f>
        <v>#REF!</v>
      </c>
      <c r="Q464" s="25" t="e">
        <f ca="1">IF(Data!#REF!="","",IF(ISNUMBER(Data!#REF!),IF(AND(Data!#REF!&gt;(TODAY()-(Data_Val!$J$3*365.25)),Data!#REF!&lt;=(TODAY()-(Data_Val!$J$2*365.25))),0,1),1))</f>
        <v>#REF!</v>
      </c>
      <c r="R464" s="17" t="e">
        <f>IF(Data!#REF!="","",IF(ISNUMBER(MATCH(Data!#REF!,Data_Val!$B$2:$B$15,0)),0,1))</f>
        <v>#REF!</v>
      </c>
      <c r="S464" s="11" t="str">
        <f>IF(Data!G464="","",IF(Data!G464=Data_Val!$C$2,IF(Data!M464="",0,1),0))</f>
        <v/>
      </c>
      <c r="T464" s="11" t="str">
        <f>IF(Data!M464="","",IF(ISNUMBER(MATCH(Data!N464,Data_Val!$A$2:$A$3,0)),0,1))</f>
        <v/>
      </c>
      <c r="U464" s="11" t="str">
        <f ca="1">IF(Data!M464="","",IF(ISNUMBER(Data!O464),IF(AND(Data!O464&gt;(TODAY()-(Data_Val!$K$3*365.25)),Data!O464&lt;=(TODAY()-(Data_Val!$K$2*365.25))),0,1),1))</f>
        <v/>
      </c>
      <c r="V464" s="12" t="str">
        <f>IF(Data!G464="","",IF(Data!G464=Data_Val!$C$2,IF(Data!P464="",0,1),0))</f>
        <v/>
      </c>
      <c r="W464" s="12" t="str">
        <f>IF(Data!P464="","",IF(ISNUMBER(MATCH(Data!Q464,Data_Val!$A$2:$A$3,0)),0,1))</f>
        <v/>
      </c>
      <c r="X464" s="26" t="str">
        <f ca="1">IF(Data!P464="","",IF(ISNUMBER(Data!R464),IF(AND(Data!R464&gt;(TODAY()-(Data_Val!$L$3*365.25)),Data!R464&lt;=(TODAY()-(Data_Val!$L$2*365.25))),0,1),1))</f>
        <v/>
      </c>
      <c r="Y464" s="13" t="str">
        <f>IF(Data!$G464="","",IF(Data!$G464=Data_Val!$C$2,IF(Data!S464="",0,1),0))</f>
        <v/>
      </c>
      <c r="Z464" s="13" t="str">
        <f>IF(Data!S464="","",IF(ISNUMBER(MATCH(Data!T464,Data_Val!$A$2:$A$3,0)),0,1))</f>
        <v/>
      </c>
      <c r="AA464" s="28" t="str">
        <f ca="1">IF(Data!S464="","",IF(ISNUMBER(Data!U464),IF(AND(Data!U464&gt;(TODAY()-(Data_Val!$L$3*365.25)),Data!U464&lt;=(TODAY()-(Data_Val!$L$2*365.25))),0,1),1))</f>
        <v/>
      </c>
      <c r="AB464" s="11"/>
      <c r="AC464" s="11" t="e">
        <f>IF(Data!#REF!="","",IF(ISNUMBER(MATCH(Data!#REF!,Data_Val!$A$2:$A$3,0)),0,1))</f>
        <v>#REF!</v>
      </c>
      <c r="AD464" s="11" t="e">
        <f ca="1">IF(Data!#REF!="","",IF(ISNUMBER(Data!#REF!),IF(AND(Data!#REF!&gt;(TODAY()-(Data_Val!$L$3*365.25)),Data!#REF!&lt;=(TODAY()-(Data_Val!$L$2*365.25))),0,1),1))</f>
        <v>#REF!</v>
      </c>
      <c r="AE464" s="11" t="e">
        <f>IF(Data!#REF!="","",IF(Data!$G464="",1,IF(ISNUMBER(MATCH(Data!#REF!,Data_Val!$D$2:$D$10,0)),0,1)))</f>
        <v>#REF!</v>
      </c>
      <c r="AF464" s="12"/>
      <c r="AG464" s="12" t="e">
        <f>IF(Data!#REF!="","",IF(ISNUMBER(MATCH(Data!#REF!,Data_Val!$A$2:$A$3,0)),0,1))</f>
        <v>#REF!</v>
      </c>
      <c r="AH464" s="26" t="e">
        <f ca="1">IF(Data!#REF!="","",IF(ISNUMBER(Data!#REF!),IF(AND(Data!#REF!&gt;(TODAY()-(Data_Val!$L$3*365.25)),Data!#REF!&lt;=(TODAY()-(Data_Val!$L$2*365.25))),0,1),1))</f>
        <v>#REF!</v>
      </c>
      <c r="AI464" s="12" t="e">
        <f>IF(Data!#REF!="","",IF(Data!$G464="",1,IF(ISNUMBER(MATCH(Data!#REF!,Data_Val!$D$2:$D$10,0)),0,1)))</f>
        <v>#REF!</v>
      </c>
      <c r="AJ464" s="17"/>
      <c r="AK464" s="17" t="e">
        <f>IF(Data!#REF!="","",IF(ISNUMBER(MATCH(Data!#REF!,Data_Val!$A$2:$A$3,0)),0,1))</f>
        <v>#REF!</v>
      </c>
      <c r="AL464" s="25" t="e">
        <f ca="1">IF(Data!#REF!="","",IF(ISNUMBER(Data!#REF!),IF(AND(Data!#REF!&gt;(TODAY()-(Data_Val!$L$3*365.25)),Data!#REF!&lt;=(TODAY()-(Data_Val!$L$2*365.25))),0,1),1))</f>
        <v>#REF!</v>
      </c>
      <c r="AM464" s="17" t="e">
        <f>IF(Data!#REF!="","",IF(Data!$G464="",1,IF(ISNUMBER(MATCH(Data!#REF!,Data_Val!$D$2:$D$10,0)),0,1)))</f>
        <v>#REF!</v>
      </c>
      <c r="AN464" s="13"/>
      <c r="AO464" s="28" t="e">
        <f ca="1">IF(Data!#REF!="","",IF(ISNUMBER(Data!#REF!),IF(AND(Data!#REF!&gt;(TODAY()-(Data_Val!$I$3*365.25)),Data!#REF!&lt;=(TODAY()-(Data_Val!$I$2*365.25))),0,1),1))</f>
        <v>#REF!</v>
      </c>
      <c r="AP464" s="13" t="e">
        <f>IF(Data!#REF!="","",IF(Data!$G464="",1,IF(ISNUMBER(MATCH(Data!#REF!,Data_Val!$D$2:$D$10,0)),0,1)))</f>
        <v>#REF!</v>
      </c>
      <c r="AQ464" s="17"/>
      <c r="AR464" s="30" t="e">
        <f ca="1">IF(Data!#REF!="","",IF(ISNUMBER(Data!#REF!),IF(AND(Data!#REF!&gt;(TODAY()-(Data_Val!$I$3*365.25)),Data!#REF!&lt;=(TODAY()-(Data_Val!$I$2*365.25))),0,1),1))</f>
        <v>#REF!</v>
      </c>
      <c r="AS464" s="31" t="e">
        <f>IF(Data!#REF!="","",IF(Data!$G464="",1,IF(ISNUMBER(MATCH(Data!#REF!,Data_Val!$D$2:$D$10,0)),0,1)))</f>
        <v>#REF!</v>
      </c>
      <c r="AT464" s="11"/>
      <c r="AU464" s="11" t="e">
        <f ca="1">IF(Data!#REF!="","",IF(ISNUMBER(Data!#REF!),IF(AND(Data!#REF!&gt;(TODAY()-(Data_Val!$I$3*365.25)),Data!#REF!&lt;=(TODAY()-(Data_Val!$I$2*365.25))),0,1),1))</f>
        <v>#REF!</v>
      </c>
      <c r="AV464" s="11" t="e">
        <f>IF(Data!#REF!="","",IF(Data!$G464="",1,IF(ISNUMBER(MATCH(Data!#REF!,Data_Val!$D$2:$D$10,0)),0,1)))</f>
        <v>#REF!</v>
      </c>
      <c r="AW464" s="12"/>
      <c r="AX464" s="26" t="e">
        <f ca="1">IF(Data!#REF!="","",IF(ISNUMBER(Data!#REF!),IF(AND(Data!#REF!&gt;(TODAY()-(Data_Val!$I$3*365.25)),Data!#REF!&lt;=(TODAY()-(Data_Val!$I$2*365.25))),0,1),1))</f>
        <v>#REF!</v>
      </c>
      <c r="AY464" s="12" t="e">
        <f>IF(Data!#REF!="","",IF(Data!$G464="",1,IF(ISNUMBER(MATCH(Data!#REF!,Data_Val!$D$2:$D$10,0)),0,1)))</f>
        <v>#REF!</v>
      </c>
      <c r="AZ464" s="11"/>
      <c r="BA464" s="19" t="e">
        <f ca="1">IF(Data!#REF!="","",IF(ISNUMBER(Data!#REF!),IF(AND(Data!#REF!&gt;(TODAY()-(Data_Val!$M$3*365.25)),Data!#REF!&lt;=(TODAY()-(Data_Val!$M$2*365.25))),0,1),1))</f>
        <v>#REF!</v>
      </c>
      <c r="BB464" s="11" t="e">
        <f>IF(Data!#REF!="","",IF(Data!$G464="",1,IF(ISNUMBER(MATCH(Data!#REF!,Data_Val!$D$2:$D$10,0)),0,1)))</f>
        <v>#REF!</v>
      </c>
      <c r="BC464" s="12"/>
      <c r="BD464" s="20" t="e">
        <f ca="1">IF(Data!#REF!="","",IF(ISNUMBER(Data!#REF!),IF(AND(Data!#REF!&gt;(TODAY()-(Data_Val!$M$3*365.25)),Data!#REF!&lt;=(TODAY()-(Data_Val!$M$2*365.25))),0,1),1))</f>
        <v>#REF!</v>
      </c>
      <c r="BE464" s="12" t="e">
        <f>IF(Data!#REF!="","",IF(Data!$G464="",1,IF(ISNUMBER(MATCH(Data!#REF!,Data_Val!$D$2:$D$10,0)),0,1)))</f>
        <v>#REF!</v>
      </c>
      <c r="BF464" s="17"/>
      <c r="BG464" s="18" t="e">
        <f ca="1">IF(Data!#REF!="","",IF(ISNUMBER(Data!#REF!),IF(AND(Data!#REF!&gt;(TODAY()-(Data_Val!$M$3*365.25)),Data!#REF!&lt;=(TODAY()-(Data_Val!$M$2*365.25))),0,1),1))</f>
        <v>#REF!</v>
      </c>
      <c r="BH464" s="29" t="e">
        <f>IF(Data!#REF!="","",IF(Data!$G464="",1,IF(ISNUMBER(MATCH(Data!#REF!,Data_Val!$D$2:$D$10,0)),0,1)))</f>
        <v>#REF!</v>
      </c>
      <c r="BI464" s="13"/>
      <c r="BJ464" s="21" t="e">
        <f ca="1">IF(Data!#REF!="","",IF(ISNUMBER(Data!#REF!),IF(AND(Data!#REF!&gt;(TODAY()-(Data_Val!$M$3*365.25)),Data!#REF!&lt;=(TODAY()-(Data_Val!$M$2*365.25))),0,1),1))</f>
        <v>#REF!</v>
      </c>
      <c r="BK464" s="13" t="e">
        <f>IF(Data!#REF!="","",IF(Data!$G464="",1,IF(ISNUMBER(MATCH(Data!#REF!,Data_Val!$D$2:$D$10,0)),0,1)))</f>
        <v>#REF!</v>
      </c>
    </row>
    <row r="465" spans="1:63" x14ac:dyDescent="0.25">
      <c r="A465" s="9" t="str">
        <f>IF(Data!B465="","",IF(COUNTIFS(Data!A$1:'Data'!A465,Data!A465)&lt;=1,0,1))</f>
        <v/>
      </c>
      <c r="B465" s="9"/>
      <c r="C465" s="23" t="str">
        <f>IF(Data!C465="","",(IF(ISNUMBER(MATCH("*@*.?*",Data!C465,0)),0,1)+IF(COUNTIFS(Data!C$1:'Data'!C465,Data!C465)&gt;1,1,0)))</f>
        <v/>
      </c>
      <c r="D465" s="9" t="str">
        <f>IF(Data!B465="","",IF(ISNUMBER(Data!D465),IF(AND(Data!D465&gt;999999999,Data!D465&lt;=9999999999),IF(COUNTIFS(Data!D$1:'Data'!D465,Data!D465)&lt;=1,0,1),1),1))</f>
        <v/>
      </c>
      <c r="E465" s="9" t="str">
        <f>IF(Data!B465="","",IF(ISNUMBER(MATCH(Data!E465,Data_Val!$A$2:$A$3,0)),0,1))</f>
        <v/>
      </c>
      <c r="F465" s="9" t="str">
        <f ca="1">IF(Data!B465="","",IF(ISNUMBER(Data!F465),IF(AND(Data!F465&gt;(TODAY()-(Data_Val!$H$3*365.25)),Data!F465&lt;=(TODAY()-(Data_Val!$H$2*365.25))),0,1),1))</f>
        <v/>
      </c>
      <c r="G465" s="15" t="str">
        <f>IF(Data!B465="","",IF(AND(Data!G465="",Data!H465&lt;&gt;""),1,IF(Data!#REF!&lt;&gt;"",0,IF(ISNUMBER(MATCH(Data!G465,Data_Val!$C$2:$C$5,0)),0,1))))</f>
        <v/>
      </c>
      <c r="H465" s="15" t="str">
        <f>IF(Data!B465="","",IF(AND(Data!G465&lt;&gt;"",Data!H465=""),1,IF(Data!#REF!&lt;&gt;"",0,IF(Data!G465="",1,IF(ISNUMBER(MATCH(Data!H465,Data_Val!$D$2:$D$35,0)),0,1)))))</f>
        <v/>
      </c>
      <c r="I465" s="15" t="str">
        <f>IF(Data!B465="","",IF(Data!G465&lt;&gt;"",0,IF(ISNUMBER(MATCH(Data!#REF!,Data_Val!$E$2:$E$12,0)),0,1)))</f>
        <v/>
      </c>
      <c r="J465" s="16" t="e">
        <f>IF(OR(Data!B465="",Data!#REF!=""),"",IF(Data!#REF!="",1,0))</f>
        <v>#REF!</v>
      </c>
      <c r="K465" s="16" t="e">
        <f>IF(OR(Data!B465="",Data!#REF!=""),"",IF(Data!#REF!="",1,0))</f>
        <v>#REF!</v>
      </c>
      <c r="L465" s="16" t="e">
        <f>IF(OR(Data!B465="",Data!#REF!=""),"",IF(ISNUMBER(Data!#REF!),IF(AND(Data!#REF!&gt;Data_Val!$G$2,Data!#REF!&lt;=Data_Val!$G$3),0,1),1))</f>
        <v>#REF!</v>
      </c>
      <c r="M465" s="9" t="e">
        <f>IF(OR(Data!B465="",Data!#REF!=""),"",IF(ISNUMBER(MATCH(Data!#REF!,Data_Val!$F$1:$F$38,0)),0,1))</f>
        <v>#REF!</v>
      </c>
      <c r="N465" s="9" t="e">
        <f>IF(OR(Data!B465="",Data!#REF!=""),"",IF(Data!#REF!="",1,0))</f>
        <v>#REF!</v>
      </c>
      <c r="O465" s="17" t="e">
        <f>IF(Data!#REF!="","",IF(Data!#REF!="",1,0))</f>
        <v>#REF!</v>
      </c>
      <c r="P465" s="17" t="e">
        <f>IF(Data!#REF!="","",IF(ISNUMBER(MATCH(Data!#REF!,Data_Val!$A$2:$A$3,0)),0,1))</f>
        <v>#REF!</v>
      </c>
      <c r="Q465" s="25" t="e">
        <f ca="1">IF(Data!#REF!="","",IF(ISNUMBER(Data!#REF!),IF(AND(Data!#REF!&gt;(TODAY()-(Data_Val!$J$3*365.25)),Data!#REF!&lt;=(TODAY()-(Data_Val!$J$2*365.25))),0,1),1))</f>
        <v>#REF!</v>
      </c>
      <c r="R465" s="17" t="e">
        <f>IF(Data!#REF!="","",IF(ISNUMBER(MATCH(Data!#REF!,Data_Val!$B$2:$B$15,0)),0,1))</f>
        <v>#REF!</v>
      </c>
      <c r="S465" s="11" t="str">
        <f>IF(Data!G465="","",IF(Data!G465=Data_Val!$C$2,IF(Data!M465="",0,1),0))</f>
        <v/>
      </c>
      <c r="T465" s="11" t="str">
        <f>IF(Data!M465="","",IF(ISNUMBER(MATCH(Data!N465,Data_Val!$A$2:$A$3,0)),0,1))</f>
        <v/>
      </c>
      <c r="U465" s="11" t="str">
        <f ca="1">IF(Data!M465="","",IF(ISNUMBER(Data!O465),IF(AND(Data!O465&gt;(TODAY()-(Data_Val!$K$3*365.25)),Data!O465&lt;=(TODAY()-(Data_Val!$K$2*365.25))),0,1),1))</f>
        <v/>
      </c>
      <c r="V465" s="12" t="str">
        <f>IF(Data!G465="","",IF(Data!G465=Data_Val!$C$2,IF(Data!P465="",0,1),0))</f>
        <v/>
      </c>
      <c r="W465" s="12" t="str">
        <f>IF(Data!P465="","",IF(ISNUMBER(MATCH(Data!Q465,Data_Val!$A$2:$A$3,0)),0,1))</f>
        <v/>
      </c>
      <c r="X465" s="26" t="str">
        <f ca="1">IF(Data!P465="","",IF(ISNUMBER(Data!R465),IF(AND(Data!R465&gt;(TODAY()-(Data_Val!$L$3*365.25)),Data!R465&lt;=(TODAY()-(Data_Val!$L$2*365.25))),0,1),1))</f>
        <v/>
      </c>
      <c r="Y465" s="13" t="str">
        <f>IF(Data!$G465="","",IF(Data!$G465=Data_Val!$C$2,IF(Data!S465="",0,1),0))</f>
        <v/>
      </c>
      <c r="Z465" s="13" t="str">
        <f>IF(Data!S465="","",IF(ISNUMBER(MATCH(Data!T465,Data_Val!$A$2:$A$3,0)),0,1))</f>
        <v/>
      </c>
      <c r="AA465" s="28" t="str">
        <f ca="1">IF(Data!S465="","",IF(ISNUMBER(Data!U465),IF(AND(Data!U465&gt;(TODAY()-(Data_Val!$L$3*365.25)),Data!U465&lt;=(TODAY()-(Data_Val!$L$2*365.25))),0,1),1))</f>
        <v/>
      </c>
      <c r="AB465" s="11"/>
      <c r="AC465" s="11" t="e">
        <f>IF(Data!#REF!="","",IF(ISNUMBER(MATCH(Data!#REF!,Data_Val!$A$2:$A$3,0)),0,1))</f>
        <v>#REF!</v>
      </c>
      <c r="AD465" s="11" t="e">
        <f ca="1">IF(Data!#REF!="","",IF(ISNUMBER(Data!#REF!),IF(AND(Data!#REF!&gt;(TODAY()-(Data_Val!$L$3*365.25)),Data!#REF!&lt;=(TODAY()-(Data_Val!$L$2*365.25))),0,1),1))</f>
        <v>#REF!</v>
      </c>
      <c r="AE465" s="11" t="e">
        <f>IF(Data!#REF!="","",IF(Data!$G465="",1,IF(ISNUMBER(MATCH(Data!#REF!,Data_Val!$D$2:$D$10,0)),0,1)))</f>
        <v>#REF!</v>
      </c>
      <c r="AF465" s="12"/>
      <c r="AG465" s="12" t="e">
        <f>IF(Data!#REF!="","",IF(ISNUMBER(MATCH(Data!#REF!,Data_Val!$A$2:$A$3,0)),0,1))</f>
        <v>#REF!</v>
      </c>
      <c r="AH465" s="26" t="e">
        <f ca="1">IF(Data!#REF!="","",IF(ISNUMBER(Data!#REF!),IF(AND(Data!#REF!&gt;(TODAY()-(Data_Val!$L$3*365.25)),Data!#REF!&lt;=(TODAY()-(Data_Val!$L$2*365.25))),0,1),1))</f>
        <v>#REF!</v>
      </c>
      <c r="AI465" s="12" t="e">
        <f>IF(Data!#REF!="","",IF(Data!$G465="",1,IF(ISNUMBER(MATCH(Data!#REF!,Data_Val!$D$2:$D$10,0)),0,1)))</f>
        <v>#REF!</v>
      </c>
      <c r="AJ465" s="17"/>
      <c r="AK465" s="17" t="e">
        <f>IF(Data!#REF!="","",IF(ISNUMBER(MATCH(Data!#REF!,Data_Val!$A$2:$A$3,0)),0,1))</f>
        <v>#REF!</v>
      </c>
      <c r="AL465" s="25" t="e">
        <f ca="1">IF(Data!#REF!="","",IF(ISNUMBER(Data!#REF!),IF(AND(Data!#REF!&gt;(TODAY()-(Data_Val!$L$3*365.25)),Data!#REF!&lt;=(TODAY()-(Data_Val!$L$2*365.25))),0,1),1))</f>
        <v>#REF!</v>
      </c>
      <c r="AM465" s="17" t="e">
        <f>IF(Data!#REF!="","",IF(Data!$G465="",1,IF(ISNUMBER(MATCH(Data!#REF!,Data_Val!$D$2:$D$10,0)),0,1)))</f>
        <v>#REF!</v>
      </c>
      <c r="AN465" s="13"/>
      <c r="AO465" s="28" t="e">
        <f ca="1">IF(Data!#REF!="","",IF(ISNUMBER(Data!#REF!),IF(AND(Data!#REF!&gt;(TODAY()-(Data_Val!$I$3*365.25)),Data!#REF!&lt;=(TODAY()-(Data_Val!$I$2*365.25))),0,1),1))</f>
        <v>#REF!</v>
      </c>
      <c r="AP465" s="13" t="e">
        <f>IF(Data!#REF!="","",IF(Data!$G465="",1,IF(ISNUMBER(MATCH(Data!#REF!,Data_Val!$D$2:$D$10,0)),0,1)))</f>
        <v>#REF!</v>
      </c>
      <c r="AQ465" s="17"/>
      <c r="AR465" s="30" t="e">
        <f ca="1">IF(Data!#REF!="","",IF(ISNUMBER(Data!#REF!),IF(AND(Data!#REF!&gt;(TODAY()-(Data_Val!$I$3*365.25)),Data!#REF!&lt;=(TODAY()-(Data_Val!$I$2*365.25))),0,1),1))</f>
        <v>#REF!</v>
      </c>
      <c r="AS465" s="31" t="e">
        <f>IF(Data!#REF!="","",IF(Data!$G465="",1,IF(ISNUMBER(MATCH(Data!#REF!,Data_Val!$D$2:$D$10,0)),0,1)))</f>
        <v>#REF!</v>
      </c>
      <c r="AT465" s="11"/>
      <c r="AU465" s="11" t="e">
        <f ca="1">IF(Data!#REF!="","",IF(ISNUMBER(Data!#REF!),IF(AND(Data!#REF!&gt;(TODAY()-(Data_Val!$I$3*365.25)),Data!#REF!&lt;=(TODAY()-(Data_Val!$I$2*365.25))),0,1),1))</f>
        <v>#REF!</v>
      </c>
      <c r="AV465" s="11" t="e">
        <f>IF(Data!#REF!="","",IF(Data!$G465="",1,IF(ISNUMBER(MATCH(Data!#REF!,Data_Val!$D$2:$D$10,0)),0,1)))</f>
        <v>#REF!</v>
      </c>
      <c r="AW465" s="12"/>
      <c r="AX465" s="26" t="e">
        <f ca="1">IF(Data!#REF!="","",IF(ISNUMBER(Data!#REF!),IF(AND(Data!#REF!&gt;(TODAY()-(Data_Val!$I$3*365.25)),Data!#REF!&lt;=(TODAY()-(Data_Val!$I$2*365.25))),0,1),1))</f>
        <v>#REF!</v>
      </c>
      <c r="AY465" s="12" t="e">
        <f>IF(Data!#REF!="","",IF(Data!$G465="",1,IF(ISNUMBER(MATCH(Data!#REF!,Data_Val!$D$2:$D$10,0)),0,1)))</f>
        <v>#REF!</v>
      </c>
      <c r="AZ465" s="11"/>
      <c r="BA465" s="19" t="e">
        <f ca="1">IF(Data!#REF!="","",IF(ISNUMBER(Data!#REF!),IF(AND(Data!#REF!&gt;(TODAY()-(Data_Val!$M$3*365.25)),Data!#REF!&lt;=(TODAY()-(Data_Val!$M$2*365.25))),0,1),1))</f>
        <v>#REF!</v>
      </c>
      <c r="BB465" s="11" t="e">
        <f>IF(Data!#REF!="","",IF(Data!$G465="",1,IF(ISNUMBER(MATCH(Data!#REF!,Data_Val!$D$2:$D$10,0)),0,1)))</f>
        <v>#REF!</v>
      </c>
      <c r="BC465" s="12"/>
      <c r="BD465" s="20" t="e">
        <f ca="1">IF(Data!#REF!="","",IF(ISNUMBER(Data!#REF!),IF(AND(Data!#REF!&gt;(TODAY()-(Data_Val!$M$3*365.25)),Data!#REF!&lt;=(TODAY()-(Data_Val!$M$2*365.25))),0,1),1))</f>
        <v>#REF!</v>
      </c>
      <c r="BE465" s="12" t="e">
        <f>IF(Data!#REF!="","",IF(Data!$G465="",1,IF(ISNUMBER(MATCH(Data!#REF!,Data_Val!$D$2:$D$10,0)),0,1)))</f>
        <v>#REF!</v>
      </c>
      <c r="BF465" s="17"/>
      <c r="BG465" s="18" t="e">
        <f ca="1">IF(Data!#REF!="","",IF(ISNUMBER(Data!#REF!),IF(AND(Data!#REF!&gt;(TODAY()-(Data_Val!$M$3*365.25)),Data!#REF!&lt;=(TODAY()-(Data_Val!$M$2*365.25))),0,1),1))</f>
        <v>#REF!</v>
      </c>
      <c r="BH465" s="29" t="e">
        <f>IF(Data!#REF!="","",IF(Data!$G465="",1,IF(ISNUMBER(MATCH(Data!#REF!,Data_Val!$D$2:$D$10,0)),0,1)))</f>
        <v>#REF!</v>
      </c>
      <c r="BI465" s="13"/>
      <c r="BJ465" s="21" t="e">
        <f ca="1">IF(Data!#REF!="","",IF(ISNUMBER(Data!#REF!),IF(AND(Data!#REF!&gt;(TODAY()-(Data_Val!$M$3*365.25)),Data!#REF!&lt;=(TODAY()-(Data_Val!$M$2*365.25))),0,1),1))</f>
        <v>#REF!</v>
      </c>
      <c r="BK465" s="13" t="e">
        <f>IF(Data!#REF!="","",IF(Data!$G465="",1,IF(ISNUMBER(MATCH(Data!#REF!,Data_Val!$D$2:$D$10,0)),0,1)))</f>
        <v>#REF!</v>
      </c>
    </row>
    <row r="466" spans="1:63" x14ac:dyDescent="0.25">
      <c r="A466" s="9" t="str">
        <f>IF(Data!B466="","",IF(COUNTIFS(Data!A$1:'Data'!A466,Data!A466)&lt;=1,0,1))</f>
        <v/>
      </c>
      <c r="B466" s="9"/>
      <c r="C466" s="23" t="str">
        <f>IF(Data!C466="","",(IF(ISNUMBER(MATCH("*@*.?*",Data!C466,0)),0,1)+IF(COUNTIFS(Data!C$1:'Data'!C466,Data!C466)&gt;1,1,0)))</f>
        <v/>
      </c>
      <c r="D466" s="9" t="str">
        <f>IF(Data!B466="","",IF(ISNUMBER(Data!D466),IF(AND(Data!D466&gt;999999999,Data!D466&lt;=9999999999),IF(COUNTIFS(Data!D$1:'Data'!D466,Data!D466)&lt;=1,0,1),1),1))</f>
        <v/>
      </c>
      <c r="E466" s="9" t="str">
        <f>IF(Data!B466="","",IF(ISNUMBER(MATCH(Data!E466,Data_Val!$A$2:$A$3,0)),0,1))</f>
        <v/>
      </c>
      <c r="F466" s="9" t="str">
        <f ca="1">IF(Data!B466="","",IF(ISNUMBER(Data!F466),IF(AND(Data!F466&gt;(TODAY()-(Data_Val!$H$3*365.25)),Data!F466&lt;=(TODAY()-(Data_Val!$H$2*365.25))),0,1),1))</f>
        <v/>
      </c>
      <c r="G466" s="15" t="str">
        <f>IF(Data!B466="","",IF(AND(Data!G466="",Data!H466&lt;&gt;""),1,IF(Data!#REF!&lt;&gt;"",0,IF(ISNUMBER(MATCH(Data!G466,Data_Val!$C$2:$C$5,0)),0,1))))</f>
        <v/>
      </c>
      <c r="H466" s="15" t="str">
        <f>IF(Data!B466="","",IF(AND(Data!G466&lt;&gt;"",Data!H466=""),1,IF(Data!#REF!&lt;&gt;"",0,IF(Data!G466="",1,IF(ISNUMBER(MATCH(Data!H466,Data_Val!$D$2:$D$35,0)),0,1)))))</f>
        <v/>
      </c>
      <c r="I466" s="15" t="str">
        <f>IF(Data!B466="","",IF(Data!G466&lt;&gt;"",0,IF(ISNUMBER(MATCH(Data!#REF!,Data_Val!$E$2:$E$12,0)),0,1)))</f>
        <v/>
      </c>
      <c r="J466" s="16" t="e">
        <f>IF(OR(Data!B466="",Data!#REF!=""),"",IF(Data!#REF!="",1,0))</f>
        <v>#REF!</v>
      </c>
      <c r="K466" s="16" t="e">
        <f>IF(OR(Data!B466="",Data!#REF!=""),"",IF(Data!#REF!="",1,0))</f>
        <v>#REF!</v>
      </c>
      <c r="L466" s="16" t="e">
        <f>IF(OR(Data!B466="",Data!#REF!=""),"",IF(ISNUMBER(Data!#REF!),IF(AND(Data!#REF!&gt;Data_Val!$G$2,Data!#REF!&lt;=Data_Val!$G$3),0,1),1))</f>
        <v>#REF!</v>
      </c>
      <c r="M466" s="9" t="e">
        <f>IF(OR(Data!B466="",Data!#REF!=""),"",IF(ISNUMBER(MATCH(Data!#REF!,Data_Val!$F$1:$F$38,0)),0,1))</f>
        <v>#REF!</v>
      </c>
      <c r="N466" s="9" t="e">
        <f>IF(OR(Data!B466="",Data!#REF!=""),"",IF(Data!#REF!="",1,0))</f>
        <v>#REF!</v>
      </c>
      <c r="O466" s="17" t="e">
        <f>IF(Data!#REF!="","",IF(Data!#REF!="",1,0))</f>
        <v>#REF!</v>
      </c>
      <c r="P466" s="17" t="e">
        <f>IF(Data!#REF!="","",IF(ISNUMBER(MATCH(Data!#REF!,Data_Val!$A$2:$A$3,0)),0,1))</f>
        <v>#REF!</v>
      </c>
      <c r="Q466" s="25" t="e">
        <f ca="1">IF(Data!#REF!="","",IF(ISNUMBER(Data!#REF!),IF(AND(Data!#REF!&gt;(TODAY()-(Data_Val!$J$3*365.25)),Data!#REF!&lt;=(TODAY()-(Data_Val!$J$2*365.25))),0,1),1))</f>
        <v>#REF!</v>
      </c>
      <c r="R466" s="17" t="e">
        <f>IF(Data!#REF!="","",IF(ISNUMBER(MATCH(Data!#REF!,Data_Val!$B$2:$B$15,0)),0,1))</f>
        <v>#REF!</v>
      </c>
      <c r="S466" s="11" t="str">
        <f>IF(Data!G466="","",IF(Data!G466=Data_Val!$C$2,IF(Data!M466="",0,1),0))</f>
        <v/>
      </c>
      <c r="T466" s="11" t="str">
        <f>IF(Data!M466="","",IF(ISNUMBER(MATCH(Data!N466,Data_Val!$A$2:$A$3,0)),0,1))</f>
        <v/>
      </c>
      <c r="U466" s="11" t="str">
        <f ca="1">IF(Data!M466="","",IF(ISNUMBER(Data!O466),IF(AND(Data!O466&gt;(TODAY()-(Data_Val!$K$3*365.25)),Data!O466&lt;=(TODAY()-(Data_Val!$K$2*365.25))),0,1),1))</f>
        <v/>
      </c>
      <c r="V466" s="12" t="str">
        <f>IF(Data!G466="","",IF(Data!G466=Data_Val!$C$2,IF(Data!P466="",0,1),0))</f>
        <v/>
      </c>
      <c r="W466" s="12" t="str">
        <f>IF(Data!P466="","",IF(ISNUMBER(MATCH(Data!Q466,Data_Val!$A$2:$A$3,0)),0,1))</f>
        <v/>
      </c>
      <c r="X466" s="26" t="str">
        <f ca="1">IF(Data!P466="","",IF(ISNUMBER(Data!R466),IF(AND(Data!R466&gt;(TODAY()-(Data_Val!$L$3*365.25)),Data!R466&lt;=(TODAY()-(Data_Val!$L$2*365.25))),0,1),1))</f>
        <v/>
      </c>
      <c r="Y466" s="13" t="str">
        <f>IF(Data!$G466="","",IF(Data!$G466=Data_Val!$C$2,IF(Data!S466="",0,1),0))</f>
        <v/>
      </c>
      <c r="Z466" s="13" t="str">
        <f>IF(Data!S466="","",IF(ISNUMBER(MATCH(Data!T466,Data_Val!$A$2:$A$3,0)),0,1))</f>
        <v/>
      </c>
      <c r="AA466" s="28" t="str">
        <f ca="1">IF(Data!S466="","",IF(ISNUMBER(Data!U466),IF(AND(Data!U466&gt;(TODAY()-(Data_Val!$L$3*365.25)),Data!U466&lt;=(TODAY()-(Data_Val!$L$2*365.25))),0,1),1))</f>
        <v/>
      </c>
      <c r="AB466" s="11"/>
      <c r="AC466" s="11" t="e">
        <f>IF(Data!#REF!="","",IF(ISNUMBER(MATCH(Data!#REF!,Data_Val!$A$2:$A$3,0)),0,1))</f>
        <v>#REF!</v>
      </c>
      <c r="AD466" s="11" t="e">
        <f ca="1">IF(Data!#REF!="","",IF(ISNUMBER(Data!#REF!),IF(AND(Data!#REF!&gt;(TODAY()-(Data_Val!$L$3*365.25)),Data!#REF!&lt;=(TODAY()-(Data_Val!$L$2*365.25))),0,1),1))</f>
        <v>#REF!</v>
      </c>
      <c r="AE466" s="11" t="e">
        <f>IF(Data!#REF!="","",IF(Data!$G466="",1,IF(ISNUMBER(MATCH(Data!#REF!,Data_Val!$D$2:$D$10,0)),0,1)))</f>
        <v>#REF!</v>
      </c>
      <c r="AF466" s="12"/>
      <c r="AG466" s="12" t="e">
        <f>IF(Data!#REF!="","",IF(ISNUMBER(MATCH(Data!#REF!,Data_Val!$A$2:$A$3,0)),0,1))</f>
        <v>#REF!</v>
      </c>
      <c r="AH466" s="26" t="e">
        <f ca="1">IF(Data!#REF!="","",IF(ISNUMBER(Data!#REF!),IF(AND(Data!#REF!&gt;(TODAY()-(Data_Val!$L$3*365.25)),Data!#REF!&lt;=(TODAY()-(Data_Val!$L$2*365.25))),0,1),1))</f>
        <v>#REF!</v>
      </c>
      <c r="AI466" s="12" t="e">
        <f>IF(Data!#REF!="","",IF(Data!$G466="",1,IF(ISNUMBER(MATCH(Data!#REF!,Data_Val!$D$2:$D$10,0)),0,1)))</f>
        <v>#REF!</v>
      </c>
      <c r="AJ466" s="17"/>
      <c r="AK466" s="17" t="e">
        <f>IF(Data!#REF!="","",IF(ISNUMBER(MATCH(Data!#REF!,Data_Val!$A$2:$A$3,0)),0,1))</f>
        <v>#REF!</v>
      </c>
      <c r="AL466" s="25" t="e">
        <f ca="1">IF(Data!#REF!="","",IF(ISNUMBER(Data!#REF!),IF(AND(Data!#REF!&gt;(TODAY()-(Data_Val!$L$3*365.25)),Data!#REF!&lt;=(TODAY()-(Data_Val!$L$2*365.25))),0,1),1))</f>
        <v>#REF!</v>
      </c>
      <c r="AM466" s="17" t="e">
        <f>IF(Data!#REF!="","",IF(Data!$G466="",1,IF(ISNUMBER(MATCH(Data!#REF!,Data_Val!$D$2:$D$10,0)),0,1)))</f>
        <v>#REF!</v>
      </c>
      <c r="AN466" s="13"/>
      <c r="AO466" s="28" t="e">
        <f ca="1">IF(Data!#REF!="","",IF(ISNUMBER(Data!#REF!),IF(AND(Data!#REF!&gt;(TODAY()-(Data_Val!$I$3*365.25)),Data!#REF!&lt;=(TODAY()-(Data_Val!$I$2*365.25))),0,1),1))</f>
        <v>#REF!</v>
      </c>
      <c r="AP466" s="13" t="e">
        <f>IF(Data!#REF!="","",IF(Data!$G466="",1,IF(ISNUMBER(MATCH(Data!#REF!,Data_Val!$D$2:$D$10,0)),0,1)))</f>
        <v>#REF!</v>
      </c>
      <c r="AQ466" s="17"/>
      <c r="AR466" s="30" t="e">
        <f ca="1">IF(Data!#REF!="","",IF(ISNUMBER(Data!#REF!),IF(AND(Data!#REF!&gt;(TODAY()-(Data_Val!$I$3*365.25)),Data!#REF!&lt;=(TODAY()-(Data_Val!$I$2*365.25))),0,1),1))</f>
        <v>#REF!</v>
      </c>
      <c r="AS466" s="31" t="e">
        <f>IF(Data!#REF!="","",IF(Data!$G466="",1,IF(ISNUMBER(MATCH(Data!#REF!,Data_Val!$D$2:$D$10,0)),0,1)))</f>
        <v>#REF!</v>
      </c>
      <c r="AT466" s="11"/>
      <c r="AU466" s="11" t="e">
        <f ca="1">IF(Data!#REF!="","",IF(ISNUMBER(Data!#REF!),IF(AND(Data!#REF!&gt;(TODAY()-(Data_Val!$I$3*365.25)),Data!#REF!&lt;=(TODAY()-(Data_Val!$I$2*365.25))),0,1),1))</f>
        <v>#REF!</v>
      </c>
      <c r="AV466" s="11" t="e">
        <f>IF(Data!#REF!="","",IF(Data!$G466="",1,IF(ISNUMBER(MATCH(Data!#REF!,Data_Val!$D$2:$D$10,0)),0,1)))</f>
        <v>#REF!</v>
      </c>
      <c r="AW466" s="12"/>
      <c r="AX466" s="26" t="e">
        <f ca="1">IF(Data!#REF!="","",IF(ISNUMBER(Data!#REF!),IF(AND(Data!#REF!&gt;(TODAY()-(Data_Val!$I$3*365.25)),Data!#REF!&lt;=(TODAY()-(Data_Val!$I$2*365.25))),0,1),1))</f>
        <v>#REF!</v>
      </c>
      <c r="AY466" s="12" t="e">
        <f>IF(Data!#REF!="","",IF(Data!$G466="",1,IF(ISNUMBER(MATCH(Data!#REF!,Data_Val!$D$2:$D$10,0)),0,1)))</f>
        <v>#REF!</v>
      </c>
      <c r="AZ466" s="11"/>
      <c r="BA466" s="19" t="e">
        <f ca="1">IF(Data!#REF!="","",IF(ISNUMBER(Data!#REF!),IF(AND(Data!#REF!&gt;(TODAY()-(Data_Val!$M$3*365.25)),Data!#REF!&lt;=(TODAY()-(Data_Val!$M$2*365.25))),0,1),1))</f>
        <v>#REF!</v>
      </c>
      <c r="BB466" s="11" t="e">
        <f>IF(Data!#REF!="","",IF(Data!$G466="",1,IF(ISNUMBER(MATCH(Data!#REF!,Data_Val!$D$2:$D$10,0)),0,1)))</f>
        <v>#REF!</v>
      </c>
      <c r="BC466" s="12"/>
      <c r="BD466" s="20" t="e">
        <f ca="1">IF(Data!#REF!="","",IF(ISNUMBER(Data!#REF!),IF(AND(Data!#REF!&gt;(TODAY()-(Data_Val!$M$3*365.25)),Data!#REF!&lt;=(TODAY()-(Data_Val!$M$2*365.25))),0,1),1))</f>
        <v>#REF!</v>
      </c>
      <c r="BE466" s="12" t="e">
        <f>IF(Data!#REF!="","",IF(Data!$G466="",1,IF(ISNUMBER(MATCH(Data!#REF!,Data_Val!$D$2:$D$10,0)),0,1)))</f>
        <v>#REF!</v>
      </c>
      <c r="BF466" s="17"/>
      <c r="BG466" s="18" t="e">
        <f ca="1">IF(Data!#REF!="","",IF(ISNUMBER(Data!#REF!),IF(AND(Data!#REF!&gt;(TODAY()-(Data_Val!$M$3*365.25)),Data!#REF!&lt;=(TODAY()-(Data_Val!$M$2*365.25))),0,1),1))</f>
        <v>#REF!</v>
      </c>
      <c r="BH466" s="29" t="e">
        <f>IF(Data!#REF!="","",IF(Data!$G466="",1,IF(ISNUMBER(MATCH(Data!#REF!,Data_Val!$D$2:$D$10,0)),0,1)))</f>
        <v>#REF!</v>
      </c>
      <c r="BI466" s="13"/>
      <c r="BJ466" s="21" t="e">
        <f ca="1">IF(Data!#REF!="","",IF(ISNUMBER(Data!#REF!),IF(AND(Data!#REF!&gt;(TODAY()-(Data_Val!$M$3*365.25)),Data!#REF!&lt;=(TODAY()-(Data_Val!$M$2*365.25))),0,1),1))</f>
        <v>#REF!</v>
      </c>
      <c r="BK466" s="13" t="e">
        <f>IF(Data!#REF!="","",IF(Data!$G466="",1,IF(ISNUMBER(MATCH(Data!#REF!,Data_Val!$D$2:$D$10,0)),0,1)))</f>
        <v>#REF!</v>
      </c>
    </row>
    <row r="467" spans="1:63" x14ac:dyDescent="0.25">
      <c r="A467" s="9" t="str">
        <f>IF(Data!B467="","",IF(COUNTIFS(Data!A$1:'Data'!A467,Data!A467)&lt;=1,0,1))</f>
        <v/>
      </c>
      <c r="B467" s="9"/>
      <c r="C467" s="23" t="str">
        <f>IF(Data!C467="","",(IF(ISNUMBER(MATCH("*@*.?*",Data!C467,0)),0,1)+IF(COUNTIFS(Data!C$1:'Data'!C467,Data!C467)&gt;1,1,0)))</f>
        <v/>
      </c>
      <c r="D467" s="9" t="str">
        <f>IF(Data!B467="","",IF(ISNUMBER(Data!D467),IF(AND(Data!D467&gt;999999999,Data!D467&lt;=9999999999),IF(COUNTIFS(Data!D$1:'Data'!D467,Data!D467)&lt;=1,0,1),1),1))</f>
        <v/>
      </c>
      <c r="E467" s="9" t="str">
        <f>IF(Data!B467="","",IF(ISNUMBER(MATCH(Data!E467,Data_Val!$A$2:$A$3,0)),0,1))</f>
        <v/>
      </c>
      <c r="F467" s="9" t="str">
        <f ca="1">IF(Data!B467="","",IF(ISNUMBER(Data!F467),IF(AND(Data!F467&gt;(TODAY()-(Data_Val!$H$3*365.25)),Data!F467&lt;=(TODAY()-(Data_Val!$H$2*365.25))),0,1),1))</f>
        <v/>
      </c>
      <c r="G467" s="15" t="str">
        <f>IF(Data!B467="","",IF(AND(Data!G467="",Data!H467&lt;&gt;""),1,IF(Data!#REF!&lt;&gt;"",0,IF(ISNUMBER(MATCH(Data!G467,Data_Val!$C$2:$C$5,0)),0,1))))</f>
        <v/>
      </c>
      <c r="H467" s="15" t="str">
        <f>IF(Data!B467="","",IF(AND(Data!G467&lt;&gt;"",Data!H467=""),1,IF(Data!#REF!&lt;&gt;"",0,IF(Data!G467="",1,IF(ISNUMBER(MATCH(Data!H467,Data_Val!$D$2:$D$35,0)),0,1)))))</f>
        <v/>
      </c>
      <c r="I467" s="15" t="str">
        <f>IF(Data!B467="","",IF(Data!G467&lt;&gt;"",0,IF(ISNUMBER(MATCH(Data!#REF!,Data_Val!$E$2:$E$12,0)),0,1)))</f>
        <v/>
      </c>
      <c r="J467" s="16" t="e">
        <f>IF(OR(Data!B467="",Data!#REF!=""),"",IF(Data!#REF!="",1,0))</f>
        <v>#REF!</v>
      </c>
      <c r="K467" s="16" t="e">
        <f>IF(OR(Data!B467="",Data!#REF!=""),"",IF(Data!#REF!="",1,0))</f>
        <v>#REF!</v>
      </c>
      <c r="L467" s="16" t="e">
        <f>IF(OR(Data!B467="",Data!#REF!=""),"",IF(ISNUMBER(Data!#REF!),IF(AND(Data!#REF!&gt;Data_Val!$G$2,Data!#REF!&lt;=Data_Val!$G$3),0,1),1))</f>
        <v>#REF!</v>
      </c>
      <c r="M467" s="9" t="e">
        <f>IF(OR(Data!B467="",Data!#REF!=""),"",IF(ISNUMBER(MATCH(Data!#REF!,Data_Val!$F$1:$F$38,0)),0,1))</f>
        <v>#REF!</v>
      </c>
      <c r="N467" s="9" t="e">
        <f>IF(OR(Data!B467="",Data!#REF!=""),"",IF(Data!#REF!="",1,0))</f>
        <v>#REF!</v>
      </c>
      <c r="O467" s="17" t="e">
        <f>IF(Data!#REF!="","",IF(Data!#REF!="",1,0))</f>
        <v>#REF!</v>
      </c>
      <c r="P467" s="17" t="e">
        <f>IF(Data!#REF!="","",IF(ISNUMBER(MATCH(Data!#REF!,Data_Val!$A$2:$A$3,0)),0,1))</f>
        <v>#REF!</v>
      </c>
      <c r="Q467" s="25" t="e">
        <f ca="1">IF(Data!#REF!="","",IF(ISNUMBER(Data!#REF!),IF(AND(Data!#REF!&gt;(TODAY()-(Data_Val!$J$3*365.25)),Data!#REF!&lt;=(TODAY()-(Data_Val!$J$2*365.25))),0,1),1))</f>
        <v>#REF!</v>
      </c>
      <c r="R467" s="17" t="e">
        <f>IF(Data!#REF!="","",IF(ISNUMBER(MATCH(Data!#REF!,Data_Val!$B$2:$B$15,0)),0,1))</f>
        <v>#REF!</v>
      </c>
      <c r="S467" s="11" t="str">
        <f>IF(Data!G467="","",IF(Data!G467=Data_Val!$C$2,IF(Data!M467="",0,1),0))</f>
        <v/>
      </c>
      <c r="T467" s="11" t="str">
        <f>IF(Data!M467="","",IF(ISNUMBER(MATCH(Data!N467,Data_Val!$A$2:$A$3,0)),0,1))</f>
        <v/>
      </c>
      <c r="U467" s="11" t="str">
        <f ca="1">IF(Data!M467="","",IF(ISNUMBER(Data!O467),IF(AND(Data!O467&gt;(TODAY()-(Data_Val!$K$3*365.25)),Data!O467&lt;=(TODAY()-(Data_Val!$K$2*365.25))),0,1),1))</f>
        <v/>
      </c>
      <c r="V467" s="12" t="str">
        <f>IF(Data!G467="","",IF(Data!G467=Data_Val!$C$2,IF(Data!P467="",0,1),0))</f>
        <v/>
      </c>
      <c r="W467" s="12" t="str">
        <f>IF(Data!P467="","",IF(ISNUMBER(MATCH(Data!Q467,Data_Val!$A$2:$A$3,0)),0,1))</f>
        <v/>
      </c>
      <c r="X467" s="26" t="str">
        <f ca="1">IF(Data!P467="","",IF(ISNUMBER(Data!R467),IF(AND(Data!R467&gt;(TODAY()-(Data_Val!$L$3*365.25)),Data!R467&lt;=(TODAY()-(Data_Val!$L$2*365.25))),0,1),1))</f>
        <v/>
      </c>
      <c r="Y467" s="13" t="str">
        <f>IF(Data!$G467="","",IF(Data!$G467=Data_Val!$C$2,IF(Data!S467="",0,1),0))</f>
        <v/>
      </c>
      <c r="Z467" s="13" t="str">
        <f>IF(Data!S467="","",IF(ISNUMBER(MATCH(Data!T467,Data_Val!$A$2:$A$3,0)),0,1))</f>
        <v/>
      </c>
      <c r="AA467" s="28" t="str">
        <f ca="1">IF(Data!S467="","",IF(ISNUMBER(Data!U467),IF(AND(Data!U467&gt;(TODAY()-(Data_Val!$L$3*365.25)),Data!U467&lt;=(TODAY()-(Data_Val!$L$2*365.25))),0,1),1))</f>
        <v/>
      </c>
      <c r="AB467" s="11"/>
      <c r="AC467" s="11" t="e">
        <f>IF(Data!#REF!="","",IF(ISNUMBER(MATCH(Data!#REF!,Data_Val!$A$2:$A$3,0)),0,1))</f>
        <v>#REF!</v>
      </c>
      <c r="AD467" s="11" t="e">
        <f ca="1">IF(Data!#REF!="","",IF(ISNUMBER(Data!#REF!),IF(AND(Data!#REF!&gt;(TODAY()-(Data_Val!$L$3*365.25)),Data!#REF!&lt;=(TODAY()-(Data_Val!$L$2*365.25))),0,1),1))</f>
        <v>#REF!</v>
      </c>
      <c r="AE467" s="11" t="e">
        <f>IF(Data!#REF!="","",IF(Data!$G467="",1,IF(ISNUMBER(MATCH(Data!#REF!,Data_Val!$D$2:$D$10,0)),0,1)))</f>
        <v>#REF!</v>
      </c>
      <c r="AF467" s="12"/>
      <c r="AG467" s="12" t="e">
        <f>IF(Data!#REF!="","",IF(ISNUMBER(MATCH(Data!#REF!,Data_Val!$A$2:$A$3,0)),0,1))</f>
        <v>#REF!</v>
      </c>
      <c r="AH467" s="26" t="e">
        <f ca="1">IF(Data!#REF!="","",IF(ISNUMBER(Data!#REF!),IF(AND(Data!#REF!&gt;(TODAY()-(Data_Val!$L$3*365.25)),Data!#REF!&lt;=(TODAY()-(Data_Val!$L$2*365.25))),0,1),1))</f>
        <v>#REF!</v>
      </c>
      <c r="AI467" s="12" t="e">
        <f>IF(Data!#REF!="","",IF(Data!$G467="",1,IF(ISNUMBER(MATCH(Data!#REF!,Data_Val!$D$2:$D$10,0)),0,1)))</f>
        <v>#REF!</v>
      </c>
      <c r="AJ467" s="17"/>
      <c r="AK467" s="17" t="e">
        <f>IF(Data!#REF!="","",IF(ISNUMBER(MATCH(Data!#REF!,Data_Val!$A$2:$A$3,0)),0,1))</f>
        <v>#REF!</v>
      </c>
      <c r="AL467" s="25" t="e">
        <f ca="1">IF(Data!#REF!="","",IF(ISNUMBER(Data!#REF!),IF(AND(Data!#REF!&gt;(TODAY()-(Data_Val!$L$3*365.25)),Data!#REF!&lt;=(TODAY()-(Data_Val!$L$2*365.25))),0,1),1))</f>
        <v>#REF!</v>
      </c>
      <c r="AM467" s="17" t="e">
        <f>IF(Data!#REF!="","",IF(Data!$G467="",1,IF(ISNUMBER(MATCH(Data!#REF!,Data_Val!$D$2:$D$10,0)),0,1)))</f>
        <v>#REF!</v>
      </c>
      <c r="AN467" s="13"/>
      <c r="AO467" s="28" t="e">
        <f ca="1">IF(Data!#REF!="","",IF(ISNUMBER(Data!#REF!),IF(AND(Data!#REF!&gt;(TODAY()-(Data_Val!$I$3*365.25)),Data!#REF!&lt;=(TODAY()-(Data_Val!$I$2*365.25))),0,1),1))</f>
        <v>#REF!</v>
      </c>
      <c r="AP467" s="13" t="e">
        <f>IF(Data!#REF!="","",IF(Data!$G467="",1,IF(ISNUMBER(MATCH(Data!#REF!,Data_Val!$D$2:$D$10,0)),0,1)))</f>
        <v>#REF!</v>
      </c>
      <c r="AQ467" s="17"/>
      <c r="AR467" s="30" t="e">
        <f ca="1">IF(Data!#REF!="","",IF(ISNUMBER(Data!#REF!),IF(AND(Data!#REF!&gt;(TODAY()-(Data_Val!$I$3*365.25)),Data!#REF!&lt;=(TODAY()-(Data_Val!$I$2*365.25))),0,1),1))</f>
        <v>#REF!</v>
      </c>
      <c r="AS467" s="31" t="e">
        <f>IF(Data!#REF!="","",IF(Data!$G467="",1,IF(ISNUMBER(MATCH(Data!#REF!,Data_Val!$D$2:$D$10,0)),0,1)))</f>
        <v>#REF!</v>
      </c>
      <c r="AT467" s="11"/>
      <c r="AU467" s="11" t="e">
        <f ca="1">IF(Data!#REF!="","",IF(ISNUMBER(Data!#REF!),IF(AND(Data!#REF!&gt;(TODAY()-(Data_Val!$I$3*365.25)),Data!#REF!&lt;=(TODAY()-(Data_Val!$I$2*365.25))),0,1),1))</f>
        <v>#REF!</v>
      </c>
      <c r="AV467" s="11" t="e">
        <f>IF(Data!#REF!="","",IF(Data!$G467="",1,IF(ISNUMBER(MATCH(Data!#REF!,Data_Val!$D$2:$D$10,0)),0,1)))</f>
        <v>#REF!</v>
      </c>
      <c r="AW467" s="12"/>
      <c r="AX467" s="26" t="e">
        <f ca="1">IF(Data!#REF!="","",IF(ISNUMBER(Data!#REF!),IF(AND(Data!#REF!&gt;(TODAY()-(Data_Val!$I$3*365.25)),Data!#REF!&lt;=(TODAY()-(Data_Val!$I$2*365.25))),0,1),1))</f>
        <v>#REF!</v>
      </c>
      <c r="AY467" s="12" t="e">
        <f>IF(Data!#REF!="","",IF(Data!$G467="",1,IF(ISNUMBER(MATCH(Data!#REF!,Data_Val!$D$2:$D$10,0)),0,1)))</f>
        <v>#REF!</v>
      </c>
      <c r="AZ467" s="11"/>
      <c r="BA467" s="19" t="e">
        <f ca="1">IF(Data!#REF!="","",IF(ISNUMBER(Data!#REF!),IF(AND(Data!#REF!&gt;(TODAY()-(Data_Val!$M$3*365.25)),Data!#REF!&lt;=(TODAY()-(Data_Val!$M$2*365.25))),0,1),1))</f>
        <v>#REF!</v>
      </c>
      <c r="BB467" s="11" t="e">
        <f>IF(Data!#REF!="","",IF(Data!$G467="",1,IF(ISNUMBER(MATCH(Data!#REF!,Data_Val!$D$2:$D$10,0)),0,1)))</f>
        <v>#REF!</v>
      </c>
      <c r="BC467" s="12"/>
      <c r="BD467" s="20" t="e">
        <f ca="1">IF(Data!#REF!="","",IF(ISNUMBER(Data!#REF!),IF(AND(Data!#REF!&gt;(TODAY()-(Data_Val!$M$3*365.25)),Data!#REF!&lt;=(TODAY()-(Data_Val!$M$2*365.25))),0,1),1))</f>
        <v>#REF!</v>
      </c>
      <c r="BE467" s="12" t="e">
        <f>IF(Data!#REF!="","",IF(Data!$G467="",1,IF(ISNUMBER(MATCH(Data!#REF!,Data_Val!$D$2:$D$10,0)),0,1)))</f>
        <v>#REF!</v>
      </c>
      <c r="BF467" s="17"/>
      <c r="BG467" s="18" t="e">
        <f ca="1">IF(Data!#REF!="","",IF(ISNUMBER(Data!#REF!),IF(AND(Data!#REF!&gt;(TODAY()-(Data_Val!$M$3*365.25)),Data!#REF!&lt;=(TODAY()-(Data_Val!$M$2*365.25))),0,1),1))</f>
        <v>#REF!</v>
      </c>
      <c r="BH467" s="29" t="e">
        <f>IF(Data!#REF!="","",IF(Data!$G467="",1,IF(ISNUMBER(MATCH(Data!#REF!,Data_Val!$D$2:$D$10,0)),0,1)))</f>
        <v>#REF!</v>
      </c>
      <c r="BI467" s="13"/>
      <c r="BJ467" s="21" t="e">
        <f ca="1">IF(Data!#REF!="","",IF(ISNUMBER(Data!#REF!),IF(AND(Data!#REF!&gt;(TODAY()-(Data_Val!$M$3*365.25)),Data!#REF!&lt;=(TODAY()-(Data_Val!$M$2*365.25))),0,1),1))</f>
        <v>#REF!</v>
      </c>
      <c r="BK467" s="13" t="e">
        <f>IF(Data!#REF!="","",IF(Data!$G467="",1,IF(ISNUMBER(MATCH(Data!#REF!,Data_Val!$D$2:$D$10,0)),0,1)))</f>
        <v>#REF!</v>
      </c>
    </row>
    <row r="468" spans="1:63" x14ac:dyDescent="0.25">
      <c r="A468" s="9" t="str">
        <f>IF(Data!B468="","",IF(COUNTIFS(Data!A$1:'Data'!A468,Data!A468)&lt;=1,0,1))</f>
        <v/>
      </c>
      <c r="B468" s="9"/>
      <c r="C468" s="23" t="str">
        <f>IF(Data!C468="","",(IF(ISNUMBER(MATCH("*@*.?*",Data!C468,0)),0,1)+IF(COUNTIFS(Data!C$1:'Data'!C468,Data!C468)&gt;1,1,0)))</f>
        <v/>
      </c>
      <c r="D468" s="9" t="str">
        <f>IF(Data!B468="","",IF(ISNUMBER(Data!D468),IF(AND(Data!D468&gt;999999999,Data!D468&lt;=9999999999),IF(COUNTIFS(Data!D$1:'Data'!D468,Data!D468)&lt;=1,0,1),1),1))</f>
        <v/>
      </c>
      <c r="E468" s="9" t="str">
        <f>IF(Data!B468="","",IF(ISNUMBER(MATCH(Data!E468,Data_Val!$A$2:$A$3,0)),0,1))</f>
        <v/>
      </c>
      <c r="F468" s="9" t="str">
        <f ca="1">IF(Data!B468="","",IF(ISNUMBER(Data!F468),IF(AND(Data!F468&gt;(TODAY()-(Data_Val!$H$3*365.25)),Data!F468&lt;=(TODAY()-(Data_Val!$H$2*365.25))),0,1),1))</f>
        <v/>
      </c>
      <c r="G468" s="15" t="str">
        <f>IF(Data!B468="","",IF(AND(Data!G468="",Data!H468&lt;&gt;""),1,IF(Data!#REF!&lt;&gt;"",0,IF(ISNUMBER(MATCH(Data!G468,Data_Val!$C$2:$C$5,0)),0,1))))</f>
        <v/>
      </c>
      <c r="H468" s="15" t="str">
        <f>IF(Data!B468="","",IF(AND(Data!G468&lt;&gt;"",Data!H468=""),1,IF(Data!#REF!&lt;&gt;"",0,IF(Data!G468="",1,IF(ISNUMBER(MATCH(Data!H468,Data_Val!$D$2:$D$35,0)),0,1)))))</f>
        <v/>
      </c>
      <c r="I468" s="15" t="str">
        <f>IF(Data!B468="","",IF(Data!G468&lt;&gt;"",0,IF(ISNUMBER(MATCH(Data!#REF!,Data_Val!$E$2:$E$12,0)),0,1)))</f>
        <v/>
      </c>
      <c r="J468" s="16" t="e">
        <f>IF(OR(Data!B468="",Data!#REF!=""),"",IF(Data!#REF!="",1,0))</f>
        <v>#REF!</v>
      </c>
      <c r="K468" s="16" t="e">
        <f>IF(OR(Data!B468="",Data!#REF!=""),"",IF(Data!#REF!="",1,0))</f>
        <v>#REF!</v>
      </c>
      <c r="L468" s="16" t="e">
        <f>IF(OR(Data!B468="",Data!#REF!=""),"",IF(ISNUMBER(Data!#REF!),IF(AND(Data!#REF!&gt;Data_Val!$G$2,Data!#REF!&lt;=Data_Val!$G$3),0,1),1))</f>
        <v>#REF!</v>
      </c>
      <c r="M468" s="9" t="e">
        <f>IF(OR(Data!B468="",Data!#REF!=""),"",IF(ISNUMBER(MATCH(Data!#REF!,Data_Val!$F$1:$F$38,0)),0,1))</f>
        <v>#REF!</v>
      </c>
      <c r="N468" s="9" t="e">
        <f>IF(OR(Data!B468="",Data!#REF!=""),"",IF(Data!#REF!="",1,0))</f>
        <v>#REF!</v>
      </c>
      <c r="O468" s="17" t="e">
        <f>IF(Data!#REF!="","",IF(Data!#REF!="",1,0))</f>
        <v>#REF!</v>
      </c>
      <c r="P468" s="17" t="e">
        <f>IF(Data!#REF!="","",IF(ISNUMBER(MATCH(Data!#REF!,Data_Val!$A$2:$A$3,0)),0,1))</f>
        <v>#REF!</v>
      </c>
      <c r="Q468" s="25" t="e">
        <f ca="1">IF(Data!#REF!="","",IF(ISNUMBER(Data!#REF!),IF(AND(Data!#REF!&gt;(TODAY()-(Data_Val!$J$3*365.25)),Data!#REF!&lt;=(TODAY()-(Data_Val!$J$2*365.25))),0,1),1))</f>
        <v>#REF!</v>
      </c>
      <c r="R468" s="17" t="e">
        <f>IF(Data!#REF!="","",IF(ISNUMBER(MATCH(Data!#REF!,Data_Val!$B$2:$B$15,0)),0,1))</f>
        <v>#REF!</v>
      </c>
      <c r="S468" s="11" t="str">
        <f>IF(Data!G468="","",IF(Data!G468=Data_Val!$C$2,IF(Data!M468="",0,1),0))</f>
        <v/>
      </c>
      <c r="T468" s="11" t="str">
        <f>IF(Data!M468="","",IF(ISNUMBER(MATCH(Data!N468,Data_Val!$A$2:$A$3,0)),0,1))</f>
        <v/>
      </c>
      <c r="U468" s="11" t="str">
        <f ca="1">IF(Data!M468="","",IF(ISNUMBER(Data!O468),IF(AND(Data!O468&gt;(TODAY()-(Data_Val!$K$3*365.25)),Data!O468&lt;=(TODAY()-(Data_Val!$K$2*365.25))),0,1),1))</f>
        <v/>
      </c>
      <c r="V468" s="12" t="str">
        <f>IF(Data!G468="","",IF(Data!G468=Data_Val!$C$2,IF(Data!P468="",0,1),0))</f>
        <v/>
      </c>
      <c r="W468" s="12" t="str">
        <f>IF(Data!P468="","",IF(ISNUMBER(MATCH(Data!Q468,Data_Val!$A$2:$A$3,0)),0,1))</f>
        <v/>
      </c>
      <c r="X468" s="26" t="str">
        <f ca="1">IF(Data!P468="","",IF(ISNUMBER(Data!R468),IF(AND(Data!R468&gt;(TODAY()-(Data_Val!$L$3*365.25)),Data!R468&lt;=(TODAY()-(Data_Val!$L$2*365.25))),0,1),1))</f>
        <v/>
      </c>
      <c r="Y468" s="13" t="str">
        <f>IF(Data!$G468="","",IF(Data!$G468=Data_Val!$C$2,IF(Data!S468="",0,1),0))</f>
        <v/>
      </c>
      <c r="Z468" s="13" t="str">
        <f>IF(Data!S468="","",IF(ISNUMBER(MATCH(Data!T468,Data_Val!$A$2:$A$3,0)),0,1))</f>
        <v/>
      </c>
      <c r="AA468" s="28" t="str">
        <f ca="1">IF(Data!S468="","",IF(ISNUMBER(Data!U468),IF(AND(Data!U468&gt;(TODAY()-(Data_Val!$L$3*365.25)),Data!U468&lt;=(TODAY()-(Data_Val!$L$2*365.25))),0,1),1))</f>
        <v/>
      </c>
      <c r="AB468" s="11"/>
      <c r="AC468" s="11" t="e">
        <f>IF(Data!#REF!="","",IF(ISNUMBER(MATCH(Data!#REF!,Data_Val!$A$2:$A$3,0)),0,1))</f>
        <v>#REF!</v>
      </c>
      <c r="AD468" s="11" t="e">
        <f ca="1">IF(Data!#REF!="","",IF(ISNUMBER(Data!#REF!),IF(AND(Data!#REF!&gt;(TODAY()-(Data_Val!$L$3*365.25)),Data!#REF!&lt;=(TODAY()-(Data_Val!$L$2*365.25))),0,1),1))</f>
        <v>#REF!</v>
      </c>
      <c r="AE468" s="11" t="e">
        <f>IF(Data!#REF!="","",IF(Data!$G468="",1,IF(ISNUMBER(MATCH(Data!#REF!,Data_Val!$D$2:$D$10,0)),0,1)))</f>
        <v>#REF!</v>
      </c>
      <c r="AF468" s="12"/>
      <c r="AG468" s="12" t="e">
        <f>IF(Data!#REF!="","",IF(ISNUMBER(MATCH(Data!#REF!,Data_Val!$A$2:$A$3,0)),0,1))</f>
        <v>#REF!</v>
      </c>
      <c r="AH468" s="26" t="e">
        <f ca="1">IF(Data!#REF!="","",IF(ISNUMBER(Data!#REF!),IF(AND(Data!#REF!&gt;(TODAY()-(Data_Val!$L$3*365.25)),Data!#REF!&lt;=(TODAY()-(Data_Val!$L$2*365.25))),0,1),1))</f>
        <v>#REF!</v>
      </c>
      <c r="AI468" s="12" t="e">
        <f>IF(Data!#REF!="","",IF(Data!$G468="",1,IF(ISNUMBER(MATCH(Data!#REF!,Data_Val!$D$2:$D$10,0)),0,1)))</f>
        <v>#REF!</v>
      </c>
      <c r="AJ468" s="17"/>
      <c r="AK468" s="17" t="e">
        <f>IF(Data!#REF!="","",IF(ISNUMBER(MATCH(Data!#REF!,Data_Val!$A$2:$A$3,0)),0,1))</f>
        <v>#REF!</v>
      </c>
      <c r="AL468" s="25" t="e">
        <f ca="1">IF(Data!#REF!="","",IF(ISNUMBER(Data!#REF!),IF(AND(Data!#REF!&gt;(TODAY()-(Data_Val!$L$3*365.25)),Data!#REF!&lt;=(TODAY()-(Data_Val!$L$2*365.25))),0,1),1))</f>
        <v>#REF!</v>
      </c>
      <c r="AM468" s="17" t="e">
        <f>IF(Data!#REF!="","",IF(Data!$G468="",1,IF(ISNUMBER(MATCH(Data!#REF!,Data_Val!$D$2:$D$10,0)),0,1)))</f>
        <v>#REF!</v>
      </c>
      <c r="AN468" s="13"/>
      <c r="AO468" s="28" t="e">
        <f ca="1">IF(Data!#REF!="","",IF(ISNUMBER(Data!#REF!),IF(AND(Data!#REF!&gt;(TODAY()-(Data_Val!$I$3*365.25)),Data!#REF!&lt;=(TODAY()-(Data_Val!$I$2*365.25))),0,1),1))</f>
        <v>#REF!</v>
      </c>
      <c r="AP468" s="13" t="e">
        <f>IF(Data!#REF!="","",IF(Data!$G468="",1,IF(ISNUMBER(MATCH(Data!#REF!,Data_Val!$D$2:$D$10,0)),0,1)))</f>
        <v>#REF!</v>
      </c>
      <c r="AQ468" s="17"/>
      <c r="AR468" s="30" t="e">
        <f ca="1">IF(Data!#REF!="","",IF(ISNUMBER(Data!#REF!),IF(AND(Data!#REF!&gt;(TODAY()-(Data_Val!$I$3*365.25)),Data!#REF!&lt;=(TODAY()-(Data_Val!$I$2*365.25))),0,1),1))</f>
        <v>#REF!</v>
      </c>
      <c r="AS468" s="31" t="e">
        <f>IF(Data!#REF!="","",IF(Data!$G468="",1,IF(ISNUMBER(MATCH(Data!#REF!,Data_Val!$D$2:$D$10,0)),0,1)))</f>
        <v>#REF!</v>
      </c>
      <c r="AT468" s="11"/>
      <c r="AU468" s="11" t="e">
        <f ca="1">IF(Data!#REF!="","",IF(ISNUMBER(Data!#REF!),IF(AND(Data!#REF!&gt;(TODAY()-(Data_Val!$I$3*365.25)),Data!#REF!&lt;=(TODAY()-(Data_Val!$I$2*365.25))),0,1),1))</f>
        <v>#REF!</v>
      </c>
      <c r="AV468" s="11" t="e">
        <f>IF(Data!#REF!="","",IF(Data!$G468="",1,IF(ISNUMBER(MATCH(Data!#REF!,Data_Val!$D$2:$D$10,0)),0,1)))</f>
        <v>#REF!</v>
      </c>
      <c r="AW468" s="12"/>
      <c r="AX468" s="26" t="e">
        <f ca="1">IF(Data!#REF!="","",IF(ISNUMBER(Data!#REF!),IF(AND(Data!#REF!&gt;(TODAY()-(Data_Val!$I$3*365.25)),Data!#REF!&lt;=(TODAY()-(Data_Val!$I$2*365.25))),0,1),1))</f>
        <v>#REF!</v>
      </c>
      <c r="AY468" s="12" t="e">
        <f>IF(Data!#REF!="","",IF(Data!$G468="",1,IF(ISNUMBER(MATCH(Data!#REF!,Data_Val!$D$2:$D$10,0)),0,1)))</f>
        <v>#REF!</v>
      </c>
      <c r="AZ468" s="11"/>
      <c r="BA468" s="19" t="e">
        <f ca="1">IF(Data!#REF!="","",IF(ISNUMBER(Data!#REF!),IF(AND(Data!#REF!&gt;(TODAY()-(Data_Val!$M$3*365.25)),Data!#REF!&lt;=(TODAY()-(Data_Val!$M$2*365.25))),0,1),1))</f>
        <v>#REF!</v>
      </c>
      <c r="BB468" s="11" t="e">
        <f>IF(Data!#REF!="","",IF(Data!$G468="",1,IF(ISNUMBER(MATCH(Data!#REF!,Data_Val!$D$2:$D$10,0)),0,1)))</f>
        <v>#REF!</v>
      </c>
      <c r="BC468" s="12"/>
      <c r="BD468" s="20" t="e">
        <f ca="1">IF(Data!#REF!="","",IF(ISNUMBER(Data!#REF!),IF(AND(Data!#REF!&gt;(TODAY()-(Data_Val!$M$3*365.25)),Data!#REF!&lt;=(TODAY()-(Data_Val!$M$2*365.25))),0,1),1))</f>
        <v>#REF!</v>
      </c>
      <c r="BE468" s="12" t="e">
        <f>IF(Data!#REF!="","",IF(Data!$G468="",1,IF(ISNUMBER(MATCH(Data!#REF!,Data_Val!$D$2:$D$10,0)),0,1)))</f>
        <v>#REF!</v>
      </c>
      <c r="BF468" s="17"/>
      <c r="BG468" s="18" t="e">
        <f ca="1">IF(Data!#REF!="","",IF(ISNUMBER(Data!#REF!),IF(AND(Data!#REF!&gt;(TODAY()-(Data_Val!$M$3*365.25)),Data!#REF!&lt;=(TODAY()-(Data_Val!$M$2*365.25))),0,1),1))</f>
        <v>#REF!</v>
      </c>
      <c r="BH468" s="29" t="e">
        <f>IF(Data!#REF!="","",IF(Data!$G468="",1,IF(ISNUMBER(MATCH(Data!#REF!,Data_Val!$D$2:$D$10,0)),0,1)))</f>
        <v>#REF!</v>
      </c>
      <c r="BI468" s="13"/>
      <c r="BJ468" s="21" t="e">
        <f ca="1">IF(Data!#REF!="","",IF(ISNUMBER(Data!#REF!),IF(AND(Data!#REF!&gt;(TODAY()-(Data_Val!$M$3*365.25)),Data!#REF!&lt;=(TODAY()-(Data_Val!$M$2*365.25))),0,1),1))</f>
        <v>#REF!</v>
      </c>
      <c r="BK468" s="13" t="e">
        <f>IF(Data!#REF!="","",IF(Data!$G468="",1,IF(ISNUMBER(MATCH(Data!#REF!,Data_Val!$D$2:$D$10,0)),0,1)))</f>
        <v>#REF!</v>
      </c>
    </row>
    <row r="469" spans="1:63" x14ac:dyDescent="0.25">
      <c r="A469" s="9" t="str">
        <f>IF(Data!B469="","",IF(COUNTIFS(Data!A$1:'Data'!A469,Data!A469)&lt;=1,0,1))</f>
        <v/>
      </c>
      <c r="B469" s="9"/>
      <c r="C469" s="23" t="str">
        <f>IF(Data!C469="","",(IF(ISNUMBER(MATCH("*@*.?*",Data!C469,0)),0,1)+IF(COUNTIFS(Data!C$1:'Data'!C469,Data!C469)&gt;1,1,0)))</f>
        <v/>
      </c>
      <c r="D469" s="9" t="str">
        <f>IF(Data!B469="","",IF(ISNUMBER(Data!D469),IF(AND(Data!D469&gt;999999999,Data!D469&lt;=9999999999),IF(COUNTIFS(Data!D$1:'Data'!D469,Data!D469)&lt;=1,0,1),1),1))</f>
        <v/>
      </c>
      <c r="E469" s="9" t="str">
        <f>IF(Data!B469="","",IF(ISNUMBER(MATCH(Data!E469,Data_Val!$A$2:$A$3,0)),0,1))</f>
        <v/>
      </c>
      <c r="F469" s="9" t="str">
        <f ca="1">IF(Data!B469="","",IF(ISNUMBER(Data!F469),IF(AND(Data!F469&gt;(TODAY()-(Data_Val!$H$3*365.25)),Data!F469&lt;=(TODAY()-(Data_Val!$H$2*365.25))),0,1),1))</f>
        <v/>
      </c>
      <c r="G469" s="15" t="str">
        <f>IF(Data!B469="","",IF(AND(Data!G469="",Data!H469&lt;&gt;""),1,IF(Data!#REF!&lt;&gt;"",0,IF(ISNUMBER(MATCH(Data!G469,Data_Val!$C$2:$C$5,0)),0,1))))</f>
        <v/>
      </c>
      <c r="H469" s="15" t="str">
        <f>IF(Data!B469="","",IF(AND(Data!G469&lt;&gt;"",Data!H469=""),1,IF(Data!#REF!&lt;&gt;"",0,IF(Data!G469="",1,IF(ISNUMBER(MATCH(Data!H469,Data_Val!$D$2:$D$35,0)),0,1)))))</f>
        <v/>
      </c>
      <c r="I469" s="15" t="str">
        <f>IF(Data!B469="","",IF(Data!G469&lt;&gt;"",0,IF(ISNUMBER(MATCH(Data!#REF!,Data_Val!$E$2:$E$12,0)),0,1)))</f>
        <v/>
      </c>
      <c r="J469" s="16" t="e">
        <f>IF(OR(Data!B469="",Data!#REF!=""),"",IF(Data!#REF!="",1,0))</f>
        <v>#REF!</v>
      </c>
      <c r="K469" s="16" t="e">
        <f>IF(OR(Data!B469="",Data!#REF!=""),"",IF(Data!#REF!="",1,0))</f>
        <v>#REF!</v>
      </c>
      <c r="L469" s="16" t="e">
        <f>IF(OR(Data!B469="",Data!#REF!=""),"",IF(ISNUMBER(Data!#REF!),IF(AND(Data!#REF!&gt;Data_Val!$G$2,Data!#REF!&lt;=Data_Val!$G$3),0,1),1))</f>
        <v>#REF!</v>
      </c>
      <c r="M469" s="9" t="e">
        <f>IF(OR(Data!B469="",Data!#REF!=""),"",IF(ISNUMBER(MATCH(Data!#REF!,Data_Val!$F$1:$F$38,0)),0,1))</f>
        <v>#REF!</v>
      </c>
      <c r="N469" s="9" t="e">
        <f>IF(OR(Data!B469="",Data!#REF!=""),"",IF(Data!#REF!="",1,0))</f>
        <v>#REF!</v>
      </c>
      <c r="O469" s="17" t="e">
        <f>IF(Data!#REF!="","",IF(Data!#REF!="",1,0))</f>
        <v>#REF!</v>
      </c>
      <c r="P469" s="17" t="e">
        <f>IF(Data!#REF!="","",IF(ISNUMBER(MATCH(Data!#REF!,Data_Val!$A$2:$A$3,0)),0,1))</f>
        <v>#REF!</v>
      </c>
      <c r="Q469" s="25" t="e">
        <f ca="1">IF(Data!#REF!="","",IF(ISNUMBER(Data!#REF!),IF(AND(Data!#REF!&gt;(TODAY()-(Data_Val!$J$3*365.25)),Data!#REF!&lt;=(TODAY()-(Data_Val!$J$2*365.25))),0,1),1))</f>
        <v>#REF!</v>
      </c>
      <c r="R469" s="17" t="e">
        <f>IF(Data!#REF!="","",IF(ISNUMBER(MATCH(Data!#REF!,Data_Val!$B$2:$B$15,0)),0,1))</f>
        <v>#REF!</v>
      </c>
      <c r="S469" s="11" t="str">
        <f>IF(Data!G469="","",IF(Data!G469=Data_Val!$C$2,IF(Data!M469="",0,1),0))</f>
        <v/>
      </c>
      <c r="T469" s="11" t="str">
        <f>IF(Data!M469="","",IF(ISNUMBER(MATCH(Data!N469,Data_Val!$A$2:$A$3,0)),0,1))</f>
        <v/>
      </c>
      <c r="U469" s="11" t="str">
        <f ca="1">IF(Data!M469="","",IF(ISNUMBER(Data!O469),IF(AND(Data!O469&gt;(TODAY()-(Data_Val!$K$3*365.25)),Data!O469&lt;=(TODAY()-(Data_Val!$K$2*365.25))),0,1),1))</f>
        <v/>
      </c>
      <c r="V469" s="12" t="str">
        <f>IF(Data!G469="","",IF(Data!G469=Data_Val!$C$2,IF(Data!P469="",0,1),0))</f>
        <v/>
      </c>
      <c r="W469" s="12" t="str">
        <f>IF(Data!P469="","",IF(ISNUMBER(MATCH(Data!Q469,Data_Val!$A$2:$A$3,0)),0,1))</f>
        <v/>
      </c>
      <c r="X469" s="26" t="str">
        <f ca="1">IF(Data!P469="","",IF(ISNUMBER(Data!R469),IF(AND(Data!R469&gt;(TODAY()-(Data_Val!$L$3*365.25)),Data!R469&lt;=(TODAY()-(Data_Val!$L$2*365.25))),0,1),1))</f>
        <v/>
      </c>
      <c r="Y469" s="13" t="str">
        <f>IF(Data!$G469="","",IF(Data!$G469=Data_Val!$C$2,IF(Data!S469="",0,1),0))</f>
        <v/>
      </c>
      <c r="Z469" s="13" t="str">
        <f>IF(Data!S469="","",IF(ISNUMBER(MATCH(Data!T469,Data_Val!$A$2:$A$3,0)),0,1))</f>
        <v/>
      </c>
      <c r="AA469" s="28" t="str">
        <f ca="1">IF(Data!S469="","",IF(ISNUMBER(Data!U469),IF(AND(Data!U469&gt;(TODAY()-(Data_Val!$L$3*365.25)),Data!U469&lt;=(TODAY()-(Data_Val!$L$2*365.25))),0,1),1))</f>
        <v/>
      </c>
      <c r="AB469" s="11"/>
      <c r="AC469" s="11" t="e">
        <f>IF(Data!#REF!="","",IF(ISNUMBER(MATCH(Data!#REF!,Data_Val!$A$2:$A$3,0)),0,1))</f>
        <v>#REF!</v>
      </c>
      <c r="AD469" s="11" t="e">
        <f ca="1">IF(Data!#REF!="","",IF(ISNUMBER(Data!#REF!),IF(AND(Data!#REF!&gt;(TODAY()-(Data_Val!$L$3*365.25)),Data!#REF!&lt;=(TODAY()-(Data_Val!$L$2*365.25))),0,1),1))</f>
        <v>#REF!</v>
      </c>
      <c r="AE469" s="11" t="e">
        <f>IF(Data!#REF!="","",IF(Data!$G469="",1,IF(ISNUMBER(MATCH(Data!#REF!,Data_Val!$D$2:$D$10,0)),0,1)))</f>
        <v>#REF!</v>
      </c>
      <c r="AF469" s="12"/>
      <c r="AG469" s="12" t="e">
        <f>IF(Data!#REF!="","",IF(ISNUMBER(MATCH(Data!#REF!,Data_Val!$A$2:$A$3,0)),0,1))</f>
        <v>#REF!</v>
      </c>
      <c r="AH469" s="26" t="e">
        <f ca="1">IF(Data!#REF!="","",IF(ISNUMBER(Data!#REF!),IF(AND(Data!#REF!&gt;(TODAY()-(Data_Val!$L$3*365.25)),Data!#REF!&lt;=(TODAY()-(Data_Val!$L$2*365.25))),0,1),1))</f>
        <v>#REF!</v>
      </c>
      <c r="AI469" s="12" t="e">
        <f>IF(Data!#REF!="","",IF(Data!$G469="",1,IF(ISNUMBER(MATCH(Data!#REF!,Data_Val!$D$2:$D$10,0)),0,1)))</f>
        <v>#REF!</v>
      </c>
      <c r="AJ469" s="17"/>
      <c r="AK469" s="17" t="e">
        <f>IF(Data!#REF!="","",IF(ISNUMBER(MATCH(Data!#REF!,Data_Val!$A$2:$A$3,0)),0,1))</f>
        <v>#REF!</v>
      </c>
      <c r="AL469" s="25" t="e">
        <f ca="1">IF(Data!#REF!="","",IF(ISNUMBER(Data!#REF!),IF(AND(Data!#REF!&gt;(TODAY()-(Data_Val!$L$3*365.25)),Data!#REF!&lt;=(TODAY()-(Data_Val!$L$2*365.25))),0,1),1))</f>
        <v>#REF!</v>
      </c>
      <c r="AM469" s="17" t="e">
        <f>IF(Data!#REF!="","",IF(Data!$G469="",1,IF(ISNUMBER(MATCH(Data!#REF!,Data_Val!$D$2:$D$10,0)),0,1)))</f>
        <v>#REF!</v>
      </c>
      <c r="AN469" s="13"/>
      <c r="AO469" s="28" t="e">
        <f ca="1">IF(Data!#REF!="","",IF(ISNUMBER(Data!#REF!),IF(AND(Data!#REF!&gt;(TODAY()-(Data_Val!$I$3*365.25)),Data!#REF!&lt;=(TODAY()-(Data_Val!$I$2*365.25))),0,1),1))</f>
        <v>#REF!</v>
      </c>
      <c r="AP469" s="13" t="e">
        <f>IF(Data!#REF!="","",IF(Data!$G469="",1,IF(ISNUMBER(MATCH(Data!#REF!,Data_Val!$D$2:$D$10,0)),0,1)))</f>
        <v>#REF!</v>
      </c>
      <c r="AQ469" s="17"/>
      <c r="AR469" s="30" t="e">
        <f ca="1">IF(Data!#REF!="","",IF(ISNUMBER(Data!#REF!),IF(AND(Data!#REF!&gt;(TODAY()-(Data_Val!$I$3*365.25)),Data!#REF!&lt;=(TODAY()-(Data_Val!$I$2*365.25))),0,1),1))</f>
        <v>#REF!</v>
      </c>
      <c r="AS469" s="31" t="e">
        <f>IF(Data!#REF!="","",IF(Data!$G469="",1,IF(ISNUMBER(MATCH(Data!#REF!,Data_Val!$D$2:$D$10,0)),0,1)))</f>
        <v>#REF!</v>
      </c>
      <c r="AT469" s="11"/>
      <c r="AU469" s="11" t="e">
        <f ca="1">IF(Data!#REF!="","",IF(ISNUMBER(Data!#REF!),IF(AND(Data!#REF!&gt;(TODAY()-(Data_Val!$I$3*365.25)),Data!#REF!&lt;=(TODAY()-(Data_Val!$I$2*365.25))),0,1),1))</f>
        <v>#REF!</v>
      </c>
      <c r="AV469" s="11" t="e">
        <f>IF(Data!#REF!="","",IF(Data!$G469="",1,IF(ISNUMBER(MATCH(Data!#REF!,Data_Val!$D$2:$D$10,0)),0,1)))</f>
        <v>#REF!</v>
      </c>
      <c r="AW469" s="12"/>
      <c r="AX469" s="26" t="e">
        <f ca="1">IF(Data!#REF!="","",IF(ISNUMBER(Data!#REF!),IF(AND(Data!#REF!&gt;(TODAY()-(Data_Val!$I$3*365.25)),Data!#REF!&lt;=(TODAY()-(Data_Val!$I$2*365.25))),0,1),1))</f>
        <v>#REF!</v>
      </c>
      <c r="AY469" s="12" t="e">
        <f>IF(Data!#REF!="","",IF(Data!$G469="",1,IF(ISNUMBER(MATCH(Data!#REF!,Data_Val!$D$2:$D$10,0)),0,1)))</f>
        <v>#REF!</v>
      </c>
      <c r="AZ469" s="11"/>
      <c r="BA469" s="19" t="e">
        <f ca="1">IF(Data!#REF!="","",IF(ISNUMBER(Data!#REF!),IF(AND(Data!#REF!&gt;(TODAY()-(Data_Val!$M$3*365.25)),Data!#REF!&lt;=(TODAY()-(Data_Val!$M$2*365.25))),0,1),1))</f>
        <v>#REF!</v>
      </c>
      <c r="BB469" s="11" t="e">
        <f>IF(Data!#REF!="","",IF(Data!$G469="",1,IF(ISNUMBER(MATCH(Data!#REF!,Data_Val!$D$2:$D$10,0)),0,1)))</f>
        <v>#REF!</v>
      </c>
      <c r="BC469" s="12"/>
      <c r="BD469" s="20" t="e">
        <f ca="1">IF(Data!#REF!="","",IF(ISNUMBER(Data!#REF!),IF(AND(Data!#REF!&gt;(TODAY()-(Data_Val!$M$3*365.25)),Data!#REF!&lt;=(TODAY()-(Data_Val!$M$2*365.25))),0,1),1))</f>
        <v>#REF!</v>
      </c>
      <c r="BE469" s="12" t="e">
        <f>IF(Data!#REF!="","",IF(Data!$G469="",1,IF(ISNUMBER(MATCH(Data!#REF!,Data_Val!$D$2:$D$10,0)),0,1)))</f>
        <v>#REF!</v>
      </c>
      <c r="BF469" s="17"/>
      <c r="BG469" s="18" t="e">
        <f ca="1">IF(Data!#REF!="","",IF(ISNUMBER(Data!#REF!),IF(AND(Data!#REF!&gt;(TODAY()-(Data_Val!$M$3*365.25)),Data!#REF!&lt;=(TODAY()-(Data_Val!$M$2*365.25))),0,1),1))</f>
        <v>#REF!</v>
      </c>
      <c r="BH469" s="29" t="e">
        <f>IF(Data!#REF!="","",IF(Data!$G469="",1,IF(ISNUMBER(MATCH(Data!#REF!,Data_Val!$D$2:$D$10,0)),0,1)))</f>
        <v>#REF!</v>
      </c>
      <c r="BI469" s="13"/>
      <c r="BJ469" s="21" t="e">
        <f ca="1">IF(Data!#REF!="","",IF(ISNUMBER(Data!#REF!),IF(AND(Data!#REF!&gt;(TODAY()-(Data_Val!$M$3*365.25)),Data!#REF!&lt;=(TODAY()-(Data_Val!$M$2*365.25))),0,1),1))</f>
        <v>#REF!</v>
      </c>
      <c r="BK469" s="13" t="e">
        <f>IF(Data!#REF!="","",IF(Data!$G469="",1,IF(ISNUMBER(MATCH(Data!#REF!,Data_Val!$D$2:$D$10,0)),0,1)))</f>
        <v>#REF!</v>
      </c>
    </row>
    <row r="470" spans="1:63" x14ac:dyDescent="0.25">
      <c r="A470" s="9" t="str">
        <f>IF(Data!B470="","",IF(COUNTIFS(Data!A$1:'Data'!A470,Data!A470)&lt;=1,0,1))</f>
        <v/>
      </c>
      <c r="B470" s="9"/>
      <c r="C470" s="23" t="str">
        <f>IF(Data!C470="","",(IF(ISNUMBER(MATCH("*@*.?*",Data!C470,0)),0,1)+IF(COUNTIFS(Data!C$1:'Data'!C470,Data!C470)&gt;1,1,0)))</f>
        <v/>
      </c>
      <c r="D470" s="9" t="str">
        <f>IF(Data!B470="","",IF(ISNUMBER(Data!D470),IF(AND(Data!D470&gt;999999999,Data!D470&lt;=9999999999),IF(COUNTIFS(Data!D$1:'Data'!D470,Data!D470)&lt;=1,0,1),1),1))</f>
        <v/>
      </c>
      <c r="E470" s="9" t="str">
        <f>IF(Data!B470="","",IF(ISNUMBER(MATCH(Data!E470,Data_Val!$A$2:$A$3,0)),0,1))</f>
        <v/>
      </c>
      <c r="F470" s="9" t="str">
        <f ca="1">IF(Data!B470="","",IF(ISNUMBER(Data!F470),IF(AND(Data!F470&gt;(TODAY()-(Data_Val!$H$3*365.25)),Data!F470&lt;=(TODAY()-(Data_Val!$H$2*365.25))),0,1),1))</f>
        <v/>
      </c>
      <c r="G470" s="15" t="str">
        <f>IF(Data!B470="","",IF(AND(Data!G470="",Data!H470&lt;&gt;""),1,IF(Data!#REF!&lt;&gt;"",0,IF(ISNUMBER(MATCH(Data!G470,Data_Val!$C$2:$C$5,0)),0,1))))</f>
        <v/>
      </c>
      <c r="H470" s="15" t="str">
        <f>IF(Data!B470="","",IF(AND(Data!G470&lt;&gt;"",Data!H470=""),1,IF(Data!#REF!&lt;&gt;"",0,IF(Data!G470="",1,IF(ISNUMBER(MATCH(Data!H470,Data_Val!$D$2:$D$35,0)),0,1)))))</f>
        <v/>
      </c>
      <c r="I470" s="15" t="str">
        <f>IF(Data!B470="","",IF(Data!G470&lt;&gt;"",0,IF(ISNUMBER(MATCH(Data!#REF!,Data_Val!$E$2:$E$12,0)),0,1)))</f>
        <v/>
      </c>
      <c r="J470" s="16" t="e">
        <f>IF(OR(Data!B470="",Data!#REF!=""),"",IF(Data!#REF!="",1,0))</f>
        <v>#REF!</v>
      </c>
      <c r="K470" s="16" t="e">
        <f>IF(OR(Data!B470="",Data!#REF!=""),"",IF(Data!#REF!="",1,0))</f>
        <v>#REF!</v>
      </c>
      <c r="L470" s="16" t="e">
        <f>IF(OR(Data!B470="",Data!#REF!=""),"",IF(ISNUMBER(Data!#REF!),IF(AND(Data!#REF!&gt;Data_Val!$G$2,Data!#REF!&lt;=Data_Val!$G$3),0,1),1))</f>
        <v>#REF!</v>
      </c>
      <c r="M470" s="9" t="e">
        <f>IF(OR(Data!B470="",Data!#REF!=""),"",IF(ISNUMBER(MATCH(Data!#REF!,Data_Val!$F$1:$F$38,0)),0,1))</f>
        <v>#REF!</v>
      </c>
      <c r="N470" s="9" t="e">
        <f>IF(OR(Data!B470="",Data!#REF!=""),"",IF(Data!#REF!="",1,0))</f>
        <v>#REF!</v>
      </c>
      <c r="O470" s="17" t="e">
        <f>IF(Data!#REF!="","",IF(Data!#REF!="",1,0))</f>
        <v>#REF!</v>
      </c>
      <c r="P470" s="17" t="e">
        <f>IF(Data!#REF!="","",IF(ISNUMBER(MATCH(Data!#REF!,Data_Val!$A$2:$A$3,0)),0,1))</f>
        <v>#REF!</v>
      </c>
      <c r="Q470" s="25" t="e">
        <f ca="1">IF(Data!#REF!="","",IF(ISNUMBER(Data!#REF!),IF(AND(Data!#REF!&gt;(TODAY()-(Data_Val!$J$3*365.25)),Data!#REF!&lt;=(TODAY()-(Data_Val!$J$2*365.25))),0,1),1))</f>
        <v>#REF!</v>
      </c>
      <c r="R470" s="17" t="e">
        <f>IF(Data!#REF!="","",IF(ISNUMBER(MATCH(Data!#REF!,Data_Val!$B$2:$B$15,0)),0,1))</f>
        <v>#REF!</v>
      </c>
      <c r="S470" s="11" t="str">
        <f>IF(Data!G470="","",IF(Data!G470=Data_Val!$C$2,IF(Data!M470="",0,1),0))</f>
        <v/>
      </c>
      <c r="T470" s="11" t="str">
        <f>IF(Data!M470="","",IF(ISNUMBER(MATCH(Data!N470,Data_Val!$A$2:$A$3,0)),0,1))</f>
        <v/>
      </c>
      <c r="U470" s="11" t="str">
        <f ca="1">IF(Data!M470="","",IF(ISNUMBER(Data!O470),IF(AND(Data!O470&gt;(TODAY()-(Data_Val!$K$3*365.25)),Data!O470&lt;=(TODAY()-(Data_Val!$K$2*365.25))),0,1),1))</f>
        <v/>
      </c>
      <c r="V470" s="12" t="str">
        <f>IF(Data!G470="","",IF(Data!G470=Data_Val!$C$2,IF(Data!P470="",0,1),0))</f>
        <v/>
      </c>
      <c r="W470" s="12" t="str">
        <f>IF(Data!P470="","",IF(ISNUMBER(MATCH(Data!Q470,Data_Val!$A$2:$A$3,0)),0,1))</f>
        <v/>
      </c>
      <c r="X470" s="26" t="str">
        <f ca="1">IF(Data!P470="","",IF(ISNUMBER(Data!R470),IF(AND(Data!R470&gt;(TODAY()-(Data_Val!$L$3*365.25)),Data!R470&lt;=(TODAY()-(Data_Val!$L$2*365.25))),0,1),1))</f>
        <v/>
      </c>
      <c r="Y470" s="13" t="str">
        <f>IF(Data!$G470="","",IF(Data!$G470=Data_Val!$C$2,IF(Data!S470="",0,1),0))</f>
        <v/>
      </c>
      <c r="Z470" s="13" t="str">
        <f>IF(Data!S470="","",IF(ISNUMBER(MATCH(Data!T470,Data_Val!$A$2:$A$3,0)),0,1))</f>
        <v/>
      </c>
      <c r="AA470" s="28" t="str">
        <f ca="1">IF(Data!S470="","",IF(ISNUMBER(Data!U470),IF(AND(Data!U470&gt;(TODAY()-(Data_Val!$L$3*365.25)),Data!U470&lt;=(TODAY()-(Data_Val!$L$2*365.25))),0,1),1))</f>
        <v/>
      </c>
      <c r="AB470" s="11"/>
      <c r="AC470" s="11" t="e">
        <f>IF(Data!#REF!="","",IF(ISNUMBER(MATCH(Data!#REF!,Data_Val!$A$2:$A$3,0)),0,1))</f>
        <v>#REF!</v>
      </c>
      <c r="AD470" s="11" t="e">
        <f ca="1">IF(Data!#REF!="","",IF(ISNUMBER(Data!#REF!),IF(AND(Data!#REF!&gt;(TODAY()-(Data_Val!$L$3*365.25)),Data!#REF!&lt;=(TODAY()-(Data_Val!$L$2*365.25))),0,1),1))</f>
        <v>#REF!</v>
      </c>
      <c r="AE470" s="11" t="e">
        <f>IF(Data!#REF!="","",IF(Data!$G470="",1,IF(ISNUMBER(MATCH(Data!#REF!,Data_Val!$D$2:$D$10,0)),0,1)))</f>
        <v>#REF!</v>
      </c>
      <c r="AF470" s="12"/>
      <c r="AG470" s="12" t="e">
        <f>IF(Data!#REF!="","",IF(ISNUMBER(MATCH(Data!#REF!,Data_Val!$A$2:$A$3,0)),0,1))</f>
        <v>#REF!</v>
      </c>
      <c r="AH470" s="26" t="e">
        <f ca="1">IF(Data!#REF!="","",IF(ISNUMBER(Data!#REF!),IF(AND(Data!#REF!&gt;(TODAY()-(Data_Val!$L$3*365.25)),Data!#REF!&lt;=(TODAY()-(Data_Val!$L$2*365.25))),0,1),1))</f>
        <v>#REF!</v>
      </c>
      <c r="AI470" s="12" t="e">
        <f>IF(Data!#REF!="","",IF(Data!$G470="",1,IF(ISNUMBER(MATCH(Data!#REF!,Data_Val!$D$2:$D$10,0)),0,1)))</f>
        <v>#REF!</v>
      </c>
      <c r="AJ470" s="17"/>
      <c r="AK470" s="17" t="e">
        <f>IF(Data!#REF!="","",IF(ISNUMBER(MATCH(Data!#REF!,Data_Val!$A$2:$A$3,0)),0,1))</f>
        <v>#REF!</v>
      </c>
      <c r="AL470" s="25" t="e">
        <f ca="1">IF(Data!#REF!="","",IF(ISNUMBER(Data!#REF!),IF(AND(Data!#REF!&gt;(TODAY()-(Data_Val!$L$3*365.25)),Data!#REF!&lt;=(TODAY()-(Data_Val!$L$2*365.25))),0,1),1))</f>
        <v>#REF!</v>
      </c>
      <c r="AM470" s="17" t="e">
        <f>IF(Data!#REF!="","",IF(Data!$G470="",1,IF(ISNUMBER(MATCH(Data!#REF!,Data_Val!$D$2:$D$10,0)),0,1)))</f>
        <v>#REF!</v>
      </c>
      <c r="AN470" s="13"/>
      <c r="AO470" s="28" t="e">
        <f ca="1">IF(Data!#REF!="","",IF(ISNUMBER(Data!#REF!),IF(AND(Data!#REF!&gt;(TODAY()-(Data_Val!$I$3*365.25)),Data!#REF!&lt;=(TODAY()-(Data_Val!$I$2*365.25))),0,1),1))</f>
        <v>#REF!</v>
      </c>
      <c r="AP470" s="13" t="e">
        <f>IF(Data!#REF!="","",IF(Data!$G470="",1,IF(ISNUMBER(MATCH(Data!#REF!,Data_Val!$D$2:$D$10,0)),0,1)))</f>
        <v>#REF!</v>
      </c>
      <c r="AQ470" s="17"/>
      <c r="AR470" s="30" t="e">
        <f ca="1">IF(Data!#REF!="","",IF(ISNUMBER(Data!#REF!),IF(AND(Data!#REF!&gt;(TODAY()-(Data_Val!$I$3*365.25)),Data!#REF!&lt;=(TODAY()-(Data_Val!$I$2*365.25))),0,1),1))</f>
        <v>#REF!</v>
      </c>
      <c r="AS470" s="31" t="e">
        <f>IF(Data!#REF!="","",IF(Data!$G470="",1,IF(ISNUMBER(MATCH(Data!#REF!,Data_Val!$D$2:$D$10,0)),0,1)))</f>
        <v>#REF!</v>
      </c>
      <c r="AT470" s="11"/>
      <c r="AU470" s="11" t="e">
        <f ca="1">IF(Data!#REF!="","",IF(ISNUMBER(Data!#REF!),IF(AND(Data!#REF!&gt;(TODAY()-(Data_Val!$I$3*365.25)),Data!#REF!&lt;=(TODAY()-(Data_Val!$I$2*365.25))),0,1),1))</f>
        <v>#REF!</v>
      </c>
      <c r="AV470" s="11" t="e">
        <f>IF(Data!#REF!="","",IF(Data!$G470="",1,IF(ISNUMBER(MATCH(Data!#REF!,Data_Val!$D$2:$D$10,0)),0,1)))</f>
        <v>#REF!</v>
      </c>
      <c r="AW470" s="12"/>
      <c r="AX470" s="26" t="e">
        <f ca="1">IF(Data!#REF!="","",IF(ISNUMBER(Data!#REF!),IF(AND(Data!#REF!&gt;(TODAY()-(Data_Val!$I$3*365.25)),Data!#REF!&lt;=(TODAY()-(Data_Val!$I$2*365.25))),0,1),1))</f>
        <v>#REF!</v>
      </c>
      <c r="AY470" s="12" t="e">
        <f>IF(Data!#REF!="","",IF(Data!$G470="",1,IF(ISNUMBER(MATCH(Data!#REF!,Data_Val!$D$2:$D$10,0)),0,1)))</f>
        <v>#REF!</v>
      </c>
      <c r="AZ470" s="11"/>
      <c r="BA470" s="19" t="e">
        <f ca="1">IF(Data!#REF!="","",IF(ISNUMBER(Data!#REF!),IF(AND(Data!#REF!&gt;(TODAY()-(Data_Val!$M$3*365.25)),Data!#REF!&lt;=(TODAY()-(Data_Val!$M$2*365.25))),0,1),1))</f>
        <v>#REF!</v>
      </c>
      <c r="BB470" s="11" t="e">
        <f>IF(Data!#REF!="","",IF(Data!$G470="",1,IF(ISNUMBER(MATCH(Data!#REF!,Data_Val!$D$2:$D$10,0)),0,1)))</f>
        <v>#REF!</v>
      </c>
      <c r="BC470" s="12"/>
      <c r="BD470" s="20" t="e">
        <f ca="1">IF(Data!#REF!="","",IF(ISNUMBER(Data!#REF!),IF(AND(Data!#REF!&gt;(TODAY()-(Data_Val!$M$3*365.25)),Data!#REF!&lt;=(TODAY()-(Data_Val!$M$2*365.25))),0,1),1))</f>
        <v>#REF!</v>
      </c>
      <c r="BE470" s="12" t="e">
        <f>IF(Data!#REF!="","",IF(Data!$G470="",1,IF(ISNUMBER(MATCH(Data!#REF!,Data_Val!$D$2:$D$10,0)),0,1)))</f>
        <v>#REF!</v>
      </c>
      <c r="BF470" s="17"/>
      <c r="BG470" s="18" t="e">
        <f ca="1">IF(Data!#REF!="","",IF(ISNUMBER(Data!#REF!),IF(AND(Data!#REF!&gt;(TODAY()-(Data_Val!$M$3*365.25)),Data!#REF!&lt;=(TODAY()-(Data_Val!$M$2*365.25))),0,1),1))</f>
        <v>#REF!</v>
      </c>
      <c r="BH470" s="29" t="e">
        <f>IF(Data!#REF!="","",IF(Data!$G470="",1,IF(ISNUMBER(MATCH(Data!#REF!,Data_Val!$D$2:$D$10,0)),0,1)))</f>
        <v>#REF!</v>
      </c>
      <c r="BI470" s="13"/>
      <c r="BJ470" s="21" t="e">
        <f ca="1">IF(Data!#REF!="","",IF(ISNUMBER(Data!#REF!),IF(AND(Data!#REF!&gt;(TODAY()-(Data_Val!$M$3*365.25)),Data!#REF!&lt;=(TODAY()-(Data_Val!$M$2*365.25))),0,1),1))</f>
        <v>#REF!</v>
      </c>
      <c r="BK470" s="13" t="e">
        <f>IF(Data!#REF!="","",IF(Data!$G470="",1,IF(ISNUMBER(MATCH(Data!#REF!,Data_Val!$D$2:$D$10,0)),0,1)))</f>
        <v>#REF!</v>
      </c>
    </row>
    <row r="471" spans="1:63" x14ac:dyDescent="0.25">
      <c r="A471" s="9" t="str">
        <f>IF(Data!B471="","",IF(COUNTIFS(Data!A$1:'Data'!A471,Data!A471)&lt;=1,0,1))</f>
        <v/>
      </c>
      <c r="B471" s="9"/>
      <c r="C471" s="23" t="str">
        <f>IF(Data!C471="","",(IF(ISNUMBER(MATCH("*@*.?*",Data!C471,0)),0,1)+IF(COUNTIFS(Data!C$1:'Data'!C471,Data!C471)&gt;1,1,0)))</f>
        <v/>
      </c>
      <c r="D471" s="9" t="str">
        <f>IF(Data!B471="","",IF(ISNUMBER(Data!D471),IF(AND(Data!D471&gt;999999999,Data!D471&lt;=9999999999),IF(COUNTIFS(Data!D$1:'Data'!D471,Data!D471)&lt;=1,0,1),1),1))</f>
        <v/>
      </c>
      <c r="E471" s="9" t="str">
        <f>IF(Data!B471="","",IF(ISNUMBER(MATCH(Data!E471,Data_Val!$A$2:$A$3,0)),0,1))</f>
        <v/>
      </c>
      <c r="F471" s="9" t="str">
        <f ca="1">IF(Data!B471="","",IF(ISNUMBER(Data!F471),IF(AND(Data!F471&gt;(TODAY()-(Data_Val!$H$3*365.25)),Data!F471&lt;=(TODAY()-(Data_Val!$H$2*365.25))),0,1),1))</f>
        <v/>
      </c>
      <c r="G471" s="15" t="str">
        <f>IF(Data!B471="","",IF(AND(Data!G471="",Data!H471&lt;&gt;""),1,IF(Data!#REF!&lt;&gt;"",0,IF(ISNUMBER(MATCH(Data!G471,Data_Val!$C$2:$C$5,0)),0,1))))</f>
        <v/>
      </c>
      <c r="H471" s="15" t="str">
        <f>IF(Data!B471="","",IF(AND(Data!G471&lt;&gt;"",Data!H471=""),1,IF(Data!#REF!&lt;&gt;"",0,IF(Data!G471="",1,IF(ISNUMBER(MATCH(Data!H471,Data_Val!$D$2:$D$35,0)),0,1)))))</f>
        <v/>
      </c>
      <c r="I471" s="15" t="str">
        <f>IF(Data!B471="","",IF(Data!G471&lt;&gt;"",0,IF(ISNUMBER(MATCH(Data!#REF!,Data_Val!$E$2:$E$12,0)),0,1)))</f>
        <v/>
      </c>
      <c r="J471" s="16" t="e">
        <f>IF(OR(Data!B471="",Data!#REF!=""),"",IF(Data!#REF!="",1,0))</f>
        <v>#REF!</v>
      </c>
      <c r="K471" s="16" t="e">
        <f>IF(OR(Data!B471="",Data!#REF!=""),"",IF(Data!#REF!="",1,0))</f>
        <v>#REF!</v>
      </c>
      <c r="L471" s="16" t="e">
        <f>IF(OR(Data!B471="",Data!#REF!=""),"",IF(ISNUMBER(Data!#REF!),IF(AND(Data!#REF!&gt;Data_Val!$G$2,Data!#REF!&lt;=Data_Val!$G$3),0,1),1))</f>
        <v>#REF!</v>
      </c>
      <c r="M471" s="9" t="e">
        <f>IF(OR(Data!B471="",Data!#REF!=""),"",IF(ISNUMBER(MATCH(Data!#REF!,Data_Val!$F$1:$F$38,0)),0,1))</f>
        <v>#REF!</v>
      </c>
      <c r="N471" s="9" t="e">
        <f>IF(OR(Data!B471="",Data!#REF!=""),"",IF(Data!#REF!="",1,0))</f>
        <v>#REF!</v>
      </c>
      <c r="O471" s="17" t="e">
        <f>IF(Data!#REF!="","",IF(Data!#REF!="",1,0))</f>
        <v>#REF!</v>
      </c>
      <c r="P471" s="17" t="e">
        <f>IF(Data!#REF!="","",IF(ISNUMBER(MATCH(Data!#REF!,Data_Val!$A$2:$A$3,0)),0,1))</f>
        <v>#REF!</v>
      </c>
      <c r="Q471" s="25" t="e">
        <f ca="1">IF(Data!#REF!="","",IF(ISNUMBER(Data!#REF!),IF(AND(Data!#REF!&gt;(TODAY()-(Data_Val!$J$3*365.25)),Data!#REF!&lt;=(TODAY()-(Data_Val!$J$2*365.25))),0,1),1))</f>
        <v>#REF!</v>
      </c>
      <c r="R471" s="17" t="e">
        <f>IF(Data!#REF!="","",IF(ISNUMBER(MATCH(Data!#REF!,Data_Val!$B$2:$B$15,0)),0,1))</f>
        <v>#REF!</v>
      </c>
      <c r="S471" s="11" t="str">
        <f>IF(Data!G471="","",IF(Data!G471=Data_Val!$C$2,IF(Data!M471="",0,1),0))</f>
        <v/>
      </c>
      <c r="T471" s="11" t="str">
        <f>IF(Data!M471="","",IF(ISNUMBER(MATCH(Data!N471,Data_Val!$A$2:$A$3,0)),0,1))</f>
        <v/>
      </c>
      <c r="U471" s="11" t="str">
        <f ca="1">IF(Data!M471="","",IF(ISNUMBER(Data!O471),IF(AND(Data!O471&gt;(TODAY()-(Data_Val!$K$3*365.25)),Data!O471&lt;=(TODAY()-(Data_Val!$K$2*365.25))),0,1),1))</f>
        <v/>
      </c>
      <c r="V471" s="12" t="str">
        <f>IF(Data!G471="","",IF(Data!G471=Data_Val!$C$2,IF(Data!P471="",0,1),0))</f>
        <v/>
      </c>
      <c r="W471" s="12" t="str">
        <f>IF(Data!P471="","",IF(ISNUMBER(MATCH(Data!Q471,Data_Val!$A$2:$A$3,0)),0,1))</f>
        <v/>
      </c>
      <c r="X471" s="26" t="str">
        <f ca="1">IF(Data!P471="","",IF(ISNUMBER(Data!R471),IF(AND(Data!R471&gt;(TODAY()-(Data_Val!$L$3*365.25)),Data!R471&lt;=(TODAY()-(Data_Val!$L$2*365.25))),0,1),1))</f>
        <v/>
      </c>
      <c r="Y471" s="13" t="str">
        <f>IF(Data!$G471="","",IF(Data!$G471=Data_Val!$C$2,IF(Data!S471="",0,1),0))</f>
        <v/>
      </c>
      <c r="Z471" s="13" t="str">
        <f>IF(Data!S471="","",IF(ISNUMBER(MATCH(Data!T471,Data_Val!$A$2:$A$3,0)),0,1))</f>
        <v/>
      </c>
      <c r="AA471" s="28" t="str">
        <f ca="1">IF(Data!S471="","",IF(ISNUMBER(Data!U471),IF(AND(Data!U471&gt;(TODAY()-(Data_Val!$L$3*365.25)),Data!U471&lt;=(TODAY()-(Data_Val!$L$2*365.25))),0,1),1))</f>
        <v/>
      </c>
      <c r="AB471" s="11"/>
      <c r="AC471" s="11" t="e">
        <f>IF(Data!#REF!="","",IF(ISNUMBER(MATCH(Data!#REF!,Data_Val!$A$2:$A$3,0)),0,1))</f>
        <v>#REF!</v>
      </c>
      <c r="AD471" s="11" t="e">
        <f ca="1">IF(Data!#REF!="","",IF(ISNUMBER(Data!#REF!),IF(AND(Data!#REF!&gt;(TODAY()-(Data_Val!$L$3*365.25)),Data!#REF!&lt;=(TODAY()-(Data_Val!$L$2*365.25))),0,1),1))</f>
        <v>#REF!</v>
      </c>
      <c r="AE471" s="11" t="e">
        <f>IF(Data!#REF!="","",IF(Data!$G471="",1,IF(ISNUMBER(MATCH(Data!#REF!,Data_Val!$D$2:$D$10,0)),0,1)))</f>
        <v>#REF!</v>
      </c>
      <c r="AF471" s="12"/>
      <c r="AG471" s="12" t="e">
        <f>IF(Data!#REF!="","",IF(ISNUMBER(MATCH(Data!#REF!,Data_Val!$A$2:$A$3,0)),0,1))</f>
        <v>#REF!</v>
      </c>
      <c r="AH471" s="26" t="e">
        <f ca="1">IF(Data!#REF!="","",IF(ISNUMBER(Data!#REF!),IF(AND(Data!#REF!&gt;(TODAY()-(Data_Val!$L$3*365.25)),Data!#REF!&lt;=(TODAY()-(Data_Val!$L$2*365.25))),0,1),1))</f>
        <v>#REF!</v>
      </c>
      <c r="AI471" s="12" t="e">
        <f>IF(Data!#REF!="","",IF(Data!$G471="",1,IF(ISNUMBER(MATCH(Data!#REF!,Data_Val!$D$2:$D$10,0)),0,1)))</f>
        <v>#REF!</v>
      </c>
      <c r="AJ471" s="17"/>
      <c r="AK471" s="17" t="e">
        <f>IF(Data!#REF!="","",IF(ISNUMBER(MATCH(Data!#REF!,Data_Val!$A$2:$A$3,0)),0,1))</f>
        <v>#REF!</v>
      </c>
      <c r="AL471" s="25" t="e">
        <f ca="1">IF(Data!#REF!="","",IF(ISNUMBER(Data!#REF!),IF(AND(Data!#REF!&gt;(TODAY()-(Data_Val!$L$3*365.25)),Data!#REF!&lt;=(TODAY()-(Data_Val!$L$2*365.25))),0,1),1))</f>
        <v>#REF!</v>
      </c>
      <c r="AM471" s="17" t="e">
        <f>IF(Data!#REF!="","",IF(Data!$G471="",1,IF(ISNUMBER(MATCH(Data!#REF!,Data_Val!$D$2:$D$10,0)),0,1)))</f>
        <v>#REF!</v>
      </c>
      <c r="AN471" s="13"/>
      <c r="AO471" s="28" t="e">
        <f ca="1">IF(Data!#REF!="","",IF(ISNUMBER(Data!#REF!),IF(AND(Data!#REF!&gt;(TODAY()-(Data_Val!$I$3*365.25)),Data!#REF!&lt;=(TODAY()-(Data_Val!$I$2*365.25))),0,1),1))</f>
        <v>#REF!</v>
      </c>
      <c r="AP471" s="13" t="e">
        <f>IF(Data!#REF!="","",IF(Data!$G471="",1,IF(ISNUMBER(MATCH(Data!#REF!,Data_Val!$D$2:$D$10,0)),0,1)))</f>
        <v>#REF!</v>
      </c>
      <c r="AQ471" s="17"/>
      <c r="AR471" s="30" t="e">
        <f ca="1">IF(Data!#REF!="","",IF(ISNUMBER(Data!#REF!),IF(AND(Data!#REF!&gt;(TODAY()-(Data_Val!$I$3*365.25)),Data!#REF!&lt;=(TODAY()-(Data_Val!$I$2*365.25))),0,1),1))</f>
        <v>#REF!</v>
      </c>
      <c r="AS471" s="31" t="e">
        <f>IF(Data!#REF!="","",IF(Data!$G471="",1,IF(ISNUMBER(MATCH(Data!#REF!,Data_Val!$D$2:$D$10,0)),0,1)))</f>
        <v>#REF!</v>
      </c>
      <c r="AT471" s="11"/>
      <c r="AU471" s="11" t="e">
        <f ca="1">IF(Data!#REF!="","",IF(ISNUMBER(Data!#REF!),IF(AND(Data!#REF!&gt;(TODAY()-(Data_Val!$I$3*365.25)),Data!#REF!&lt;=(TODAY()-(Data_Val!$I$2*365.25))),0,1),1))</f>
        <v>#REF!</v>
      </c>
      <c r="AV471" s="11" t="e">
        <f>IF(Data!#REF!="","",IF(Data!$G471="",1,IF(ISNUMBER(MATCH(Data!#REF!,Data_Val!$D$2:$D$10,0)),0,1)))</f>
        <v>#REF!</v>
      </c>
      <c r="AW471" s="12"/>
      <c r="AX471" s="26" t="e">
        <f ca="1">IF(Data!#REF!="","",IF(ISNUMBER(Data!#REF!),IF(AND(Data!#REF!&gt;(TODAY()-(Data_Val!$I$3*365.25)),Data!#REF!&lt;=(TODAY()-(Data_Val!$I$2*365.25))),0,1),1))</f>
        <v>#REF!</v>
      </c>
      <c r="AY471" s="12" t="e">
        <f>IF(Data!#REF!="","",IF(Data!$G471="",1,IF(ISNUMBER(MATCH(Data!#REF!,Data_Val!$D$2:$D$10,0)),0,1)))</f>
        <v>#REF!</v>
      </c>
      <c r="AZ471" s="11"/>
      <c r="BA471" s="19" t="e">
        <f ca="1">IF(Data!#REF!="","",IF(ISNUMBER(Data!#REF!),IF(AND(Data!#REF!&gt;(TODAY()-(Data_Val!$M$3*365.25)),Data!#REF!&lt;=(TODAY()-(Data_Val!$M$2*365.25))),0,1),1))</f>
        <v>#REF!</v>
      </c>
      <c r="BB471" s="11" t="e">
        <f>IF(Data!#REF!="","",IF(Data!$G471="",1,IF(ISNUMBER(MATCH(Data!#REF!,Data_Val!$D$2:$D$10,0)),0,1)))</f>
        <v>#REF!</v>
      </c>
      <c r="BC471" s="12"/>
      <c r="BD471" s="20" t="e">
        <f ca="1">IF(Data!#REF!="","",IF(ISNUMBER(Data!#REF!),IF(AND(Data!#REF!&gt;(TODAY()-(Data_Val!$M$3*365.25)),Data!#REF!&lt;=(TODAY()-(Data_Val!$M$2*365.25))),0,1),1))</f>
        <v>#REF!</v>
      </c>
      <c r="BE471" s="12" t="e">
        <f>IF(Data!#REF!="","",IF(Data!$G471="",1,IF(ISNUMBER(MATCH(Data!#REF!,Data_Val!$D$2:$D$10,0)),0,1)))</f>
        <v>#REF!</v>
      </c>
      <c r="BF471" s="17"/>
      <c r="BG471" s="18" t="e">
        <f ca="1">IF(Data!#REF!="","",IF(ISNUMBER(Data!#REF!),IF(AND(Data!#REF!&gt;(TODAY()-(Data_Val!$M$3*365.25)),Data!#REF!&lt;=(TODAY()-(Data_Val!$M$2*365.25))),0,1),1))</f>
        <v>#REF!</v>
      </c>
      <c r="BH471" s="29" t="e">
        <f>IF(Data!#REF!="","",IF(Data!$G471="",1,IF(ISNUMBER(MATCH(Data!#REF!,Data_Val!$D$2:$D$10,0)),0,1)))</f>
        <v>#REF!</v>
      </c>
      <c r="BI471" s="13"/>
      <c r="BJ471" s="21" t="e">
        <f ca="1">IF(Data!#REF!="","",IF(ISNUMBER(Data!#REF!),IF(AND(Data!#REF!&gt;(TODAY()-(Data_Val!$M$3*365.25)),Data!#REF!&lt;=(TODAY()-(Data_Val!$M$2*365.25))),0,1),1))</f>
        <v>#REF!</v>
      </c>
      <c r="BK471" s="13" t="e">
        <f>IF(Data!#REF!="","",IF(Data!$G471="",1,IF(ISNUMBER(MATCH(Data!#REF!,Data_Val!$D$2:$D$10,0)),0,1)))</f>
        <v>#REF!</v>
      </c>
    </row>
    <row r="472" spans="1:63" x14ac:dyDescent="0.25">
      <c r="A472" s="9" t="str">
        <f>IF(Data!B472="","",IF(COUNTIFS(Data!A$1:'Data'!A472,Data!A472)&lt;=1,0,1))</f>
        <v/>
      </c>
      <c r="B472" s="9"/>
      <c r="C472" s="23" t="str">
        <f>IF(Data!C472="","",(IF(ISNUMBER(MATCH("*@*.?*",Data!C472,0)),0,1)+IF(COUNTIFS(Data!C$1:'Data'!C472,Data!C472)&gt;1,1,0)))</f>
        <v/>
      </c>
      <c r="D472" s="9" t="str">
        <f>IF(Data!B472="","",IF(ISNUMBER(Data!D472),IF(AND(Data!D472&gt;999999999,Data!D472&lt;=9999999999),IF(COUNTIFS(Data!D$1:'Data'!D472,Data!D472)&lt;=1,0,1),1),1))</f>
        <v/>
      </c>
      <c r="E472" s="9" t="str">
        <f>IF(Data!B472="","",IF(ISNUMBER(MATCH(Data!E472,Data_Val!$A$2:$A$3,0)),0,1))</f>
        <v/>
      </c>
      <c r="F472" s="9" t="str">
        <f ca="1">IF(Data!B472="","",IF(ISNUMBER(Data!F472),IF(AND(Data!F472&gt;(TODAY()-(Data_Val!$H$3*365.25)),Data!F472&lt;=(TODAY()-(Data_Val!$H$2*365.25))),0,1),1))</f>
        <v/>
      </c>
      <c r="G472" s="15" t="str">
        <f>IF(Data!B472="","",IF(AND(Data!G472="",Data!H472&lt;&gt;""),1,IF(Data!#REF!&lt;&gt;"",0,IF(ISNUMBER(MATCH(Data!G472,Data_Val!$C$2:$C$5,0)),0,1))))</f>
        <v/>
      </c>
      <c r="H472" s="15" t="str">
        <f>IF(Data!B472="","",IF(AND(Data!G472&lt;&gt;"",Data!H472=""),1,IF(Data!#REF!&lt;&gt;"",0,IF(Data!G472="",1,IF(ISNUMBER(MATCH(Data!H472,Data_Val!$D$2:$D$35,0)),0,1)))))</f>
        <v/>
      </c>
      <c r="I472" s="15" t="str">
        <f>IF(Data!B472="","",IF(Data!G472&lt;&gt;"",0,IF(ISNUMBER(MATCH(Data!#REF!,Data_Val!$E$2:$E$12,0)),0,1)))</f>
        <v/>
      </c>
      <c r="J472" s="16" t="e">
        <f>IF(OR(Data!B472="",Data!#REF!=""),"",IF(Data!#REF!="",1,0))</f>
        <v>#REF!</v>
      </c>
      <c r="K472" s="16" t="e">
        <f>IF(OR(Data!B472="",Data!#REF!=""),"",IF(Data!#REF!="",1,0))</f>
        <v>#REF!</v>
      </c>
      <c r="L472" s="16" t="e">
        <f>IF(OR(Data!B472="",Data!#REF!=""),"",IF(ISNUMBER(Data!#REF!),IF(AND(Data!#REF!&gt;Data_Val!$G$2,Data!#REF!&lt;=Data_Val!$G$3),0,1),1))</f>
        <v>#REF!</v>
      </c>
      <c r="M472" s="9" t="e">
        <f>IF(OR(Data!B472="",Data!#REF!=""),"",IF(ISNUMBER(MATCH(Data!#REF!,Data_Val!$F$1:$F$38,0)),0,1))</f>
        <v>#REF!</v>
      </c>
      <c r="N472" s="9" t="e">
        <f>IF(OR(Data!B472="",Data!#REF!=""),"",IF(Data!#REF!="",1,0))</f>
        <v>#REF!</v>
      </c>
      <c r="O472" s="17" t="e">
        <f>IF(Data!#REF!="","",IF(Data!#REF!="",1,0))</f>
        <v>#REF!</v>
      </c>
      <c r="P472" s="17" t="e">
        <f>IF(Data!#REF!="","",IF(ISNUMBER(MATCH(Data!#REF!,Data_Val!$A$2:$A$3,0)),0,1))</f>
        <v>#REF!</v>
      </c>
      <c r="Q472" s="25" t="e">
        <f ca="1">IF(Data!#REF!="","",IF(ISNUMBER(Data!#REF!),IF(AND(Data!#REF!&gt;(TODAY()-(Data_Val!$J$3*365.25)),Data!#REF!&lt;=(TODAY()-(Data_Val!$J$2*365.25))),0,1),1))</f>
        <v>#REF!</v>
      </c>
      <c r="R472" s="17" t="e">
        <f>IF(Data!#REF!="","",IF(ISNUMBER(MATCH(Data!#REF!,Data_Val!$B$2:$B$15,0)),0,1))</f>
        <v>#REF!</v>
      </c>
      <c r="S472" s="11" t="str">
        <f>IF(Data!G472="","",IF(Data!G472=Data_Val!$C$2,IF(Data!M472="",0,1),0))</f>
        <v/>
      </c>
      <c r="T472" s="11" t="str">
        <f>IF(Data!M472="","",IF(ISNUMBER(MATCH(Data!N472,Data_Val!$A$2:$A$3,0)),0,1))</f>
        <v/>
      </c>
      <c r="U472" s="11" t="str">
        <f ca="1">IF(Data!M472="","",IF(ISNUMBER(Data!O472),IF(AND(Data!O472&gt;(TODAY()-(Data_Val!$K$3*365.25)),Data!O472&lt;=(TODAY()-(Data_Val!$K$2*365.25))),0,1),1))</f>
        <v/>
      </c>
      <c r="V472" s="12" t="str">
        <f>IF(Data!G472="","",IF(Data!G472=Data_Val!$C$2,IF(Data!P472="",0,1),0))</f>
        <v/>
      </c>
      <c r="W472" s="12" t="str">
        <f>IF(Data!P472="","",IF(ISNUMBER(MATCH(Data!Q472,Data_Val!$A$2:$A$3,0)),0,1))</f>
        <v/>
      </c>
      <c r="X472" s="26" t="str">
        <f ca="1">IF(Data!P472="","",IF(ISNUMBER(Data!R472),IF(AND(Data!R472&gt;(TODAY()-(Data_Val!$L$3*365.25)),Data!R472&lt;=(TODAY()-(Data_Val!$L$2*365.25))),0,1),1))</f>
        <v/>
      </c>
      <c r="Y472" s="13" t="str">
        <f>IF(Data!$G472="","",IF(Data!$G472=Data_Val!$C$2,IF(Data!S472="",0,1),0))</f>
        <v/>
      </c>
      <c r="Z472" s="13" t="str">
        <f>IF(Data!S472="","",IF(ISNUMBER(MATCH(Data!T472,Data_Val!$A$2:$A$3,0)),0,1))</f>
        <v/>
      </c>
      <c r="AA472" s="28" t="str">
        <f ca="1">IF(Data!S472="","",IF(ISNUMBER(Data!U472),IF(AND(Data!U472&gt;(TODAY()-(Data_Val!$L$3*365.25)),Data!U472&lt;=(TODAY()-(Data_Val!$L$2*365.25))),0,1),1))</f>
        <v/>
      </c>
      <c r="AB472" s="11"/>
      <c r="AC472" s="11" t="e">
        <f>IF(Data!#REF!="","",IF(ISNUMBER(MATCH(Data!#REF!,Data_Val!$A$2:$A$3,0)),0,1))</f>
        <v>#REF!</v>
      </c>
      <c r="AD472" s="11" t="e">
        <f ca="1">IF(Data!#REF!="","",IF(ISNUMBER(Data!#REF!),IF(AND(Data!#REF!&gt;(TODAY()-(Data_Val!$L$3*365.25)),Data!#REF!&lt;=(TODAY()-(Data_Val!$L$2*365.25))),0,1),1))</f>
        <v>#REF!</v>
      </c>
      <c r="AE472" s="11" t="e">
        <f>IF(Data!#REF!="","",IF(Data!$G472="",1,IF(ISNUMBER(MATCH(Data!#REF!,Data_Val!$D$2:$D$10,0)),0,1)))</f>
        <v>#REF!</v>
      </c>
      <c r="AF472" s="12"/>
      <c r="AG472" s="12" t="e">
        <f>IF(Data!#REF!="","",IF(ISNUMBER(MATCH(Data!#REF!,Data_Val!$A$2:$A$3,0)),0,1))</f>
        <v>#REF!</v>
      </c>
      <c r="AH472" s="26" t="e">
        <f ca="1">IF(Data!#REF!="","",IF(ISNUMBER(Data!#REF!),IF(AND(Data!#REF!&gt;(TODAY()-(Data_Val!$L$3*365.25)),Data!#REF!&lt;=(TODAY()-(Data_Val!$L$2*365.25))),0,1),1))</f>
        <v>#REF!</v>
      </c>
      <c r="AI472" s="12" t="e">
        <f>IF(Data!#REF!="","",IF(Data!$G472="",1,IF(ISNUMBER(MATCH(Data!#REF!,Data_Val!$D$2:$D$10,0)),0,1)))</f>
        <v>#REF!</v>
      </c>
      <c r="AJ472" s="17"/>
      <c r="AK472" s="17" t="e">
        <f>IF(Data!#REF!="","",IF(ISNUMBER(MATCH(Data!#REF!,Data_Val!$A$2:$A$3,0)),0,1))</f>
        <v>#REF!</v>
      </c>
      <c r="AL472" s="25" t="e">
        <f ca="1">IF(Data!#REF!="","",IF(ISNUMBER(Data!#REF!),IF(AND(Data!#REF!&gt;(TODAY()-(Data_Val!$L$3*365.25)),Data!#REF!&lt;=(TODAY()-(Data_Val!$L$2*365.25))),0,1),1))</f>
        <v>#REF!</v>
      </c>
      <c r="AM472" s="17" t="e">
        <f>IF(Data!#REF!="","",IF(Data!$G472="",1,IF(ISNUMBER(MATCH(Data!#REF!,Data_Val!$D$2:$D$10,0)),0,1)))</f>
        <v>#REF!</v>
      </c>
      <c r="AN472" s="13"/>
      <c r="AO472" s="28" t="e">
        <f ca="1">IF(Data!#REF!="","",IF(ISNUMBER(Data!#REF!),IF(AND(Data!#REF!&gt;(TODAY()-(Data_Val!$I$3*365.25)),Data!#REF!&lt;=(TODAY()-(Data_Val!$I$2*365.25))),0,1),1))</f>
        <v>#REF!</v>
      </c>
      <c r="AP472" s="13" t="e">
        <f>IF(Data!#REF!="","",IF(Data!$G472="",1,IF(ISNUMBER(MATCH(Data!#REF!,Data_Val!$D$2:$D$10,0)),0,1)))</f>
        <v>#REF!</v>
      </c>
      <c r="AQ472" s="17"/>
      <c r="AR472" s="30" t="e">
        <f ca="1">IF(Data!#REF!="","",IF(ISNUMBER(Data!#REF!),IF(AND(Data!#REF!&gt;(TODAY()-(Data_Val!$I$3*365.25)),Data!#REF!&lt;=(TODAY()-(Data_Val!$I$2*365.25))),0,1),1))</f>
        <v>#REF!</v>
      </c>
      <c r="AS472" s="31" t="e">
        <f>IF(Data!#REF!="","",IF(Data!$G472="",1,IF(ISNUMBER(MATCH(Data!#REF!,Data_Val!$D$2:$D$10,0)),0,1)))</f>
        <v>#REF!</v>
      </c>
      <c r="AT472" s="11"/>
      <c r="AU472" s="11" t="e">
        <f ca="1">IF(Data!#REF!="","",IF(ISNUMBER(Data!#REF!),IF(AND(Data!#REF!&gt;(TODAY()-(Data_Val!$I$3*365.25)),Data!#REF!&lt;=(TODAY()-(Data_Val!$I$2*365.25))),0,1),1))</f>
        <v>#REF!</v>
      </c>
      <c r="AV472" s="11" t="e">
        <f>IF(Data!#REF!="","",IF(Data!$G472="",1,IF(ISNUMBER(MATCH(Data!#REF!,Data_Val!$D$2:$D$10,0)),0,1)))</f>
        <v>#REF!</v>
      </c>
      <c r="AW472" s="12"/>
      <c r="AX472" s="26" t="e">
        <f ca="1">IF(Data!#REF!="","",IF(ISNUMBER(Data!#REF!),IF(AND(Data!#REF!&gt;(TODAY()-(Data_Val!$I$3*365.25)),Data!#REF!&lt;=(TODAY()-(Data_Val!$I$2*365.25))),0,1),1))</f>
        <v>#REF!</v>
      </c>
      <c r="AY472" s="12" t="e">
        <f>IF(Data!#REF!="","",IF(Data!$G472="",1,IF(ISNUMBER(MATCH(Data!#REF!,Data_Val!$D$2:$D$10,0)),0,1)))</f>
        <v>#REF!</v>
      </c>
      <c r="AZ472" s="11"/>
      <c r="BA472" s="19" t="e">
        <f ca="1">IF(Data!#REF!="","",IF(ISNUMBER(Data!#REF!),IF(AND(Data!#REF!&gt;(TODAY()-(Data_Val!$M$3*365.25)),Data!#REF!&lt;=(TODAY()-(Data_Val!$M$2*365.25))),0,1),1))</f>
        <v>#REF!</v>
      </c>
      <c r="BB472" s="11" t="e">
        <f>IF(Data!#REF!="","",IF(Data!$G472="",1,IF(ISNUMBER(MATCH(Data!#REF!,Data_Val!$D$2:$D$10,0)),0,1)))</f>
        <v>#REF!</v>
      </c>
      <c r="BC472" s="12"/>
      <c r="BD472" s="20" t="e">
        <f ca="1">IF(Data!#REF!="","",IF(ISNUMBER(Data!#REF!),IF(AND(Data!#REF!&gt;(TODAY()-(Data_Val!$M$3*365.25)),Data!#REF!&lt;=(TODAY()-(Data_Val!$M$2*365.25))),0,1),1))</f>
        <v>#REF!</v>
      </c>
      <c r="BE472" s="12" t="e">
        <f>IF(Data!#REF!="","",IF(Data!$G472="",1,IF(ISNUMBER(MATCH(Data!#REF!,Data_Val!$D$2:$D$10,0)),0,1)))</f>
        <v>#REF!</v>
      </c>
      <c r="BF472" s="17"/>
      <c r="BG472" s="18" t="e">
        <f ca="1">IF(Data!#REF!="","",IF(ISNUMBER(Data!#REF!),IF(AND(Data!#REF!&gt;(TODAY()-(Data_Val!$M$3*365.25)),Data!#REF!&lt;=(TODAY()-(Data_Val!$M$2*365.25))),0,1),1))</f>
        <v>#REF!</v>
      </c>
      <c r="BH472" s="29" t="e">
        <f>IF(Data!#REF!="","",IF(Data!$G472="",1,IF(ISNUMBER(MATCH(Data!#REF!,Data_Val!$D$2:$D$10,0)),0,1)))</f>
        <v>#REF!</v>
      </c>
      <c r="BI472" s="13"/>
      <c r="BJ472" s="21" t="e">
        <f ca="1">IF(Data!#REF!="","",IF(ISNUMBER(Data!#REF!),IF(AND(Data!#REF!&gt;(TODAY()-(Data_Val!$M$3*365.25)),Data!#REF!&lt;=(TODAY()-(Data_Val!$M$2*365.25))),0,1),1))</f>
        <v>#REF!</v>
      </c>
      <c r="BK472" s="13" t="e">
        <f>IF(Data!#REF!="","",IF(Data!$G472="",1,IF(ISNUMBER(MATCH(Data!#REF!,Data_Val!$D$2:$D$10,0)),0,1)))</f>
        <v>#REF!</v>
      </c>
    </row>
    <row r="473" spans="1:63" x14ac:dyDescent="0.25">
      <c r="A473" s="9" t="str">
        <f>IF(Data!B473="","",IF(COUNTIFS(Data!A$1:'Data'!A473,Data!A473)&lt;=1,0,1))</f>
        <v/>
      </c>
      <c r="B473" s="9"/>
      <c r="C473" s="23" t="str">
        <f>IF(Data!C473="","",(IF(ISNUMBER(MATCH("*@*.?*",Data!C473,0)),0,1)+IF(COUNTIFS(Data!C$1:'Data'!C473,Data!C473)&gt;1,1,0)))</f>
        <v/>
      </c>
      <c r="D473" s="9" t="str">
        <f>IF(Data!B473="","",IF(ISNUMBER(Data!D473),IF(AND(Data!D473&gt;999999999,Data!D473&lt;=9999999999),IF(COUNTIFS(Data!D$1:'Data'!D473,Data!D473)&lt;=1,0,1),1),1))</f>
        <v/>
      </c>
      <c r="E473" s="9" t="str">
        <f>IF(Data!B473="","",IF(ISNUMBER(MATCH(Data!E473,Data_Val!$A$2:$A$3,0)),0,1))</f>
        <v/>
      </c>
      <c r="F473" s="9" t="str">
        <f ca="1">IF(Data!B473="","",IF(ISNUMBER(Data!F473),IF(AND(Data!F473&gt;(TODAY()-(Data_Val!$H$3*365.25)),Data!F473&lt;=(TODAY()-(Data_Val!$H$2*365.25))),0,1),1))</f>
        <v/>
      </c>
      <c r="G473" s="15" t="str">
        <f>IF(Data!B473="","",IF(AND(Data!G473="",Data!H473&lt;&gt;""),1,IF(Data!#REF!&lt;&gt;"",0,IF(ISNUMBER(MATCH(Data!G473,Data_Val!$C$2:$C$5,0)),0,1))))</f>
        <v/>
      </c>
      <c r="H473" s="15" t="str">
        <f>IF(Data!B473="","",IF(AND(Data!G473&lt;&gt;"",Data!H473=""),1,IF(Data!#REF!&lt;&gt;"",0,IF(Data!G473="",1,IF(ISNUMBER(MATCH(Data!H473,Data_Val!$D$2:$D$35,0)),0,1)))))</f>
        <v/>
      </c>
      <c r="I473" s="15" t="str">
        <f>IF(Data!B473="","",IF(Data!G473&lt;&gt;"",0,IF(ISNUMBER(MATCH(Data!#REF!,Data_Val!$E$2:$E$12,0)),0,1)))</f>
        <v/>
      </c>
      <c r="J473" s="16" t="e">
        <f>IF(OR(Data!B473="",Data!#REF!=""),"",IF(Data!#REF!="",1,0))</f>
        <v>#REF!</v>
      </c>
      <c r="K473" s="16" t="e">
        <f>IF(OR(Data!B473="",Data!#REF!=""),"",IF(Data!#REF!="",1,0))</f>
        <v>#REF!</v>
      </c>
      <c r="L473" s="16" t="e">
        <f>IF(OR(Data!B473="",Data!#REF!=""),"",IF(ISNUMBER(Data!#REF!),IF(AND(Data!#REF!&gt;Data_Val!$G$2,Data!#REF!&lt;=Data_Val!$G$3),0,1),1))</f>
        <v>#REF!</v>
      </c>
      <c r="M473" s="9" t="e">
        <f>IF(OR(Data!B473="",Data!#REF!=""),"",IF(ISNUMBER(MATCH(Data!#REF!,Data_Val!$F$1:$F$38,0)),0,1))</f>
        <v>#REF!</v>
      </c>
      <c r="N473" s="9" t="e">
        <f>IF(OR(Data!B473="",Data!#REF!=""),"",IF(Data!#REF!="",1,0))</f>
        <v>#REF!</v>
      </c>
      <c r="O473" s="17" t="e">
        <f>IF(Data!#REF!="","",IF(Data!#REF!="",1,0))</f>
        <v>#REF!</v>
      </c>
      <c r="P473" s="17" t="e">
        <f>IF(Data!#REF!="","",IF(ISNUMBER(MATCH(Data!#REF!,Data_Val!$A$2:$A$3,0)),0,1))</f>
        <v>#REF!</v>
      </c>
      <c r="Q473" s="25" t="e">
        <f ca="1">IF(Data!#REF!="","",IF(ISNUMBER(Data!#REF!),IF(AND(Data!#REF!&gt;(TODAY()-(Data_Val!$J$3*365.25)),Data!#REF!&lt;=(TODAY()-(Data_Val!$J$2*365.25))),0,1),1))</f>
        <v>#REF!</v>
      </c>
      <c r="R473" s="17" t="e">
        <f>IF(Data!#REF!="","",IF(ISNUMBER(MATCH(Data!#REF!,Data_Val!$B$2:$B$15,0)),0,1))</f>
        <v>#REF!</v>
      </c>
      <c r="S473" s="11" t="str">
        <f>IF(Data!G473="","",IF(Data!G473=Data_Val!$C$2,IF(Data!M473="",0,1),0))</f>
        <v/>
      </c>
      <c r="T473" s="11" t="str">
        <f>IF(Data!M473="","",IF(ISNUMBER(MATCH(Data!N473,Data_Val!$A$2:$A$3,0)),0,1))</f>
        <v/>
      </c>
      <c r="U473" s="11" t="str">
        <f ca="1">IF(Data!M473="","",IF(ISNUMBER(Data!O473),IF(AND(Data!O473&gt;(TODAY()-(Data_Val!$K$3*365.25)),Data!O473&lt;=(TODAY()-(Data_Val!$K$2*365.25))),0,1),1))</f>
        <v/>
      </c>
      <c r="V473" s="12" t="str">
        <f>IF(Data!G473="","",IF(Data!G473=Data_Val!$C$2,IF(Data!P473="",0,1),0))</f>
        <v/>
      </c>
      <c r="W473" s="12" t="str">
        <f>IF(Data!P473="","",IF(ISNUMBER(MATCH(Data!Q473,Data_Val!$A$2:$A$3,0)),0,1))</f>
        <v/>
      </c>
      <c r="X473" s="26" t="str">
        <f ca="1">IF(Data!P473="","",IF(ISNUMBER(Data!R473),IF(AND(Data!R473&gt;(TODAY()-(Data_Val!$L$3*365.25)),Data!R473&lt;=(TODAY()-(Data_Val!$L$2*365.25))),0,1),1))</f>
        <v/>
      </c>
      <c r="Y473" s="13" t="str">
        <f>IF(Data!$G473="","",IF(Data!$G473=Data_Val!$C$2,IF(Data!S473="",0,1),0))</f>
        <v/>
      </c>
      <c r="Z473" s="13" t="str">
        <f>IF(Data!S473="","",IF(ISNUMBER(MATCH(Data!T473,Data_Val!$A$2:$A$3,0)),0,1))</f>
        <v/>
      </c>
      <c r="AA473" s="28" t="str">
        <f ca="1">IF(Data!S473="","",IF(ISNUMBER(Data!U473),IF(AND(Data!U473&gt;(TODAY()-(Data_Val!$L$3*365.25)),Data!U473&lt;=(TODAY()-(Data_Val!$L$2*365.25))),0,1),1))</f>
        <v/>
      </c>
      <c r="AB473" s="11"/>
      <c r="AC473" s="11" t="e">
        <f>IF(Data!#REF!="","",IF(ISNUMBER(MATCH(Data!#REF!,Data_Val!$A$2:$A$3,0)),0,1))</f>
        <v>#REF!</v>
      </c>
      <c r="AD473" s="11" t="e">
        <f ca="1">IF(Data!#REF!="","",IF(ISNUMBER(Data!#REF!),IF(AND(Data!#REF!&gt;(TODAY()-(Data_Val!$L$3*365.25)),Data!#REF!&lt;=(TODAY()-(Data_Val!$L$2*365.25))),0,1),1))</f>
        <v>#REF!</v>
      </c>
      <c r="AE473" s="11" t="e">
        <f>IF(Data!#REF!="","",IF(Data!$G473="",1,IF(ISNUMBER(MATCH(Data!#REF!,Data_Val!$D$2:$D$10,0)),0,1)))</f>
        <v>#REF!</v>
      </c>
      <c r="AF473" s="12"/>
      <c r="AG473" s="12" t="e">
        <f>IF(Data!#REF!="","",IF(ISNUMBER(MATCH(Data!#REF!,Data_Val!$A$2:$A$3,0)),0,1))</f>
        <v>#REF!</v>
      </c>
      <c r="AH473" s="26" t="e">
        <f ca="1">IF(Data!#REF!="","",IF(ISNUMBER(Data!#REF!),IF(AND(Data!#REF!&gt;(TODAY()-(Data_Val!$L$3*365.25)),Data!#REF!&lt;=(TODAY()-(Data_Val!$L$2*365.25))),0,1),1))</f>
        <v>#REF!</v>
      </c>
      <c r="AI473" s="12" t="e">
        <f>IF(Data!#REF!="","",IF(Data!$G473="",1,IF(ISNUMBER(MATCH(Data!#REF!,Data_Val!$D$2:$D$10,0)),0,1)))</f>
        <v>#REF!</v>
      </c>
      <c r="AJ473" s="17"/>
      <c r="AK473" s="17" t="e">
        <f>IF(Data!#REF!="","",IF(ISNUMBER(MATCH(Data!#REF!,Data_Val!$A$2:$A$3,0)),0,1))</f>
        <v>#REF!</v>
      </c>
      <c r="AL473" s="25" t="e">
        <f ca="1">IF(Data!#REF!="","",IF(ISNUMBER(Data!#REF!),IF(AND(Data!#REF!&gt;(TODAY()-(Data_Val!$L$3*365.25)),Data!#REF!&lt;=(TODAY()-(Data_Val!$L$2*365.25))),0,1),1))</f>
        <v>#REF!</v>
      </c>
      <c r="AM473" s="17" t="e">
        <f>IF(Data!#REF!="","",IF(Data!$G473="",1,IF(ISNUMBER(MATCH(Data!#REF!,Data_Val!$D$2:$D$10,0)),0,1)))</f>
        <v>#REF!</v>
      </c>
      <c r="AN473" s="13"/>
      <c r="AO473" s="28" t="e">
        <f ca="1">IF(Data!#REF!="","",IF(ISNUMBER(Data!#REF!),IF(AND(Data!#REF!&gt;(TODAY()-(Data_Val!$I$3*365.25)),Data!#REF!&lt;=(TODAY()-(Data_Val!$I$2*365.25))),0,1),1))</f>
        <v>#REF!</v>
      </c>
      <c r="AP473" s="13" t="e">
        <f>IF(Data!#REF!="","",IF(Data!$G473="",1,IF(ISNUMBER(MATCH(Data!#REF!,Data_Val!$D$2:$D$10,0)),0,1)))</f>
        <v>#REF!</v>
      </c>
      <c r="AQ473" s="17"/>
      <c r="AR473" s="30" t="e">
        <f ca="1">IF(Data!#REF!="","",IF(ISNUMBER(Data!#REF!),IF(AND(Data!#REF!&gt;(TODAY()-(Data_Val!$I$3*365.25)),Data!#REF!&lt;=(TODAY()-(Data_Val!$I$2*365.25))),0,1),1))</f>
        <v>#REF!</v>
      </c>
      <c r="AS473" s="31" t="e">
        <f>IF(Data!#REF!="","",IF(Data!$G473="",1,IF(ISNUMBER(MATCH(Data!#REF!,Data_Val!$D$2:$D$10,0)),0,1)))</f>
        <v>#REF!</v>
      </c>
      <c r="AT473" s="11"/>
      <c r="AU473" s="11" t="e">
        <f ca="1">IF(Data!#REF!="","",IF(ISNUMBER(Data!#REF!),IF(AND(Data!#REF!&gt;(TODAY()-(Data_Val!$I$3*365.25)),Data!#REF!&lt;=(TODAY()-(Data_Val!$I$2*365.25))),0,1),1))</f>
        <v>#REF!</v>
      </c>
      <c r="AV473" s="11" t="e">
        <f>IF(Data!#REF!="","",IF(Data!$G473="",1,IF(ISNUMBER(MATCH(Data!#REF!,Data_Val!$D$2:$D$10,0)),0,1)))</f>
        <v>#REF!</v>
      </c>
      <c r="AW473" s="12"/>
      <c r="AX473" s="26" t="e">
        <f ca="1">IF(Data!#REF!="","",IF(ISNUMBER(Data!#REF!),IF(AND(Data!#REF!&gt;(TODAY()-(Data_Val!$I$3*365.25)),Data!#REF!&lt;=(TODAY()-(Data_Val!$I$2*365.25))),0,1),1))</f>
        <v>#REF!</v>
      </c>
      <c r="AY473" s="12" t="e">
        <f>IF(Data!#REF!="","",IF(Data!$G473="",1,IF(ISNUMBER(MATCH(Data!#REF!,Data_Val!$D$2:$D$10,0)),0,1)))</f>
        <v>#REF!</v>
      </c>
      <c r="AZ473" s="11"/>
      <c r="BA473" s="19" t="e">
        <f ca="1">IF(Data!#REF!="","",IF(ISNUMBER(Data!#REF!),IF(AND(Data!#REF!&gt;(TODAY()-(Data_Val!$M$3*365.25)),Data!#REF!&lt;=(TODAY()-(Data_Val!$M$2*365.25))),0,1),1))</f>
        <v>#REF!</v>
      </c>
      <c r="BB473" s="11" t="e">
        <f>IF(Data!#REF!="","",IF(Data!$G473="",1,IF(ISNUMBER(MATCH(Data!#REF!,Data_Val!$D$2:$D$10,0)),0,1)))</f>
        <v>#REF!</v>
      </c>
      <c r="BC473" s="12"/>
      <c r="BD473" s="20" t="e">
        <f ca="1">IF(Data!#REF!="","",IF(ISNUMBER(Data!#REF!),IF(AND(Data!#REF!&gt;(TODAY()-(Data_Val!$M$3*365.25)),Data!#REF!&lt;=(TODAY()-(Data_Val!$M$2*365.25))),0,1),1))</f>
        <v>#REF!</v>
      </c>
      <c r="BE473" s="12" t="e">
        <f>IF(Data!#REF!="","",IF(Data!$G473="",1,IF(ISNUMBER(MATCH(Data!#REF!,Data_Val!$D$2:$D$10,0)),0,1)))</f>
        <v>#REF!</v>
      </c>
      <c r="BF473" s="17"/>
      <c r="BG473" s="18" t="e">
        <f ca="1">IF(Data!#REF!="","",IF(ISNUMBER(Data!#REF!),IF(AND(Data!#REF!&gt;(TODAY()-(Data_Val!$M$3*365.25)),Data!#REF!&lt;=(TODAY()-(Data_Val!$M$2*365.25))),0,1),1))</f>
        <v>#REF!</v>
      </c>
      <c r="BH473" s="29" t="e">
        <f>IF(Data!#REF!="","",IF(Data!$G473="",1,IF(ISNUMBER(MATCH(Data!#REF!,Data_Val!$D$2:$D$10,0)),0,1)))</f>
        <v>#REF!</v>
      </c>
      <c r="BI473" s="13"/>
      <c r="BJ473" s="21" t="e">
        <f ca="1">IF(Data!#REF!="","",IF(ISNUMBER(Data!#REF!),IF(AND(Data!#REF!&gt;(TODAY()-(Data_Val!$M$3*365.25)),Data!#REF!&lt;=(TODAY()-(Data_Val!$M$2*365.25))),0,1),1))</f>
        <v>#REF!</v>
      </c>
      <c r="BK473" s="13" t="e">
        <f>IF(Data!#REF!="","",IF(Data!$G473="",1,IF(ISNUMBER(MATCH(Data!#REF!,Data_Val!$D$2:$D$10,0)),0,1)))</f>
        <v>#REF!</v>
      </c>
    </row>
    <row r="474" spans="1:63" x14ac:dyDescent="0.25">
      <c r="A474" s="9" t="str">
        <f>IF(Data!B474="","",IF(COUNTIFS(Data!A$1:'Data'!A474,Data!A474)&lt;=1,0,1))</f>
        <v/>
      </c>
      <c r="B474" s="9"/>
      <c r="C474" s="23" t="str">
        <f>IF(Data!C474="","",(IF(ISNUMBER(MATCH("*@*.?*",Data!C474,0)),0,1)+IF(COUNTIFS(Data!C$1:'Data'!C474,Data!C474)&gt;1,1,0)))</f>
        <v/>
      </c>
      <c r="D474" s="9" t="str">
        <f>IF(Data!B474="","",IF(ISNUMBER(Data!D474),IF(AND(Data!D474&gt;999999999,Data!D474&lt;=9999999999),IF(COUNTIFS(Data!D$1:'Data'!D474,Data!D474)&lt;=1,0,1),1),1))</f>
        <v/>
      </c>
      <c r="E474" s="9" t="str">
        <f>IF(Data!B474="","",IF(ISNUMBER(MATCH(Data!E474,Data_Val!$A$2:$A$3,0)),0,1))</f>
        <v/>
      </c>
      <c r="F474" s="9" t="str">
        <f ca="1">IF(Data!B474="","",IF(ISNUMBER(Data!F474),IF(AND(Data!F474&gt;(TODAY()-(Data_Val!$H$3*365.25)),Data!F474&lt;=(TODAY()-(Data_Val!$H$2*365.25))),0,1),1))</f>
        <v/>
      </c>
      <c r="G474" s="15" t="str">
        <f>IF(Data!B474="","",IF(AND(Data!G474="",Data!H474&lt;&gt;""),1,IF(Data!#REF!&lt;&gt;"",0,IF(ISNUMBER(MATCH(Data!G474,Data_Val!$C$2:$C$5,0)),0,1))))</f>
        <v/>
      </c>
      <c r="H474" s="15" t="str">
        <f>IF(Data!B474="","",IF(AND(Data!G474&lt;&gt;"",Data!H474=""),1,IF(Data!#REF!&lt;&gt;"",0,IF(Data!G474="",1,IF(ISNUMBER(MATCH(Data!H474,Data_Val!$D$2:$D$35,0)),0,1)))))</f>
        <v/>
      </c>
      <c r="I474" s="15" t="str">
        <f>IF(Data!B474="","",IF(Data!G474&lt;&gt;"",0,IF(ISNUMBER(MATCH(Data!#REF!,Data_Val!$E$2:$E$12,0)),0,1)))</f>
        <v/>
      </c>
      <c r="J474" s="16" t="e">
        <f>IF(OR(Data!B474="",Data!#REF!=""),"",IF(Data!#REF!="",1,0))</f>
        <v>#REF!</v>
      </c>
      <c r="K474" s="16" t="e">
        <f>IF(OR(Data!B474="",Data!#REF!=""),"",IF(Data!#REF!="",1,0))</f>
        <v>#REF!</v>
      </c>
      <c r="L474" s="16" t="e">
        <f>IF(OR(Data!B474="",Data!#REF!=""),"",IF(ISNUMBER(Data!#REF!),IF(AND(Data!#REF!&gt;Data_Val!$G$2,Data!#REF!&lt;=Data_Val!$G$3),0,1),1))</f>
        <v>#REF!</v>
      </c>
      <c r="M474" s="9" t="e">
        <f>IF(OR(Data!B474="",Data!#REF!=""),"",IF(ISNUMBER(MATCH(Data!#REF!,Data_Val!$F$1:$F$38,0)),0,1))</f>
        <v>#REF!</v>
      </c>
      <c r="N474" s="9" t="e">
        <f>IF(OR(Data!B474="",Data!#REF!=""),"",IF(Data!#REF!="",1,0))</f>
        <v>#REF!</v>
      </c>
      <c r="O474" s="17" t="e">
        <f>IF(Data!#REF!="","",IF(Data!#REF!="",1,0))</f>
        <v>#REF!</v>
      </c>
      <c r="P474" s="17" t="e">
        <f>IF(Data!#REF!="","",IF(ISNUMBER(MATCH(Data!#REF!,Data_Val!$A$2:$A$3,0)),0,1))</f>
        <v>#REF!</v>
      </c>
      <c r="Q474" s="25" t="e">
        <f ca="1">IF(Data!#REF!="","",IF(ISNUMBER(Data!#REF!),IF(AND(Data!#REF!&gt;(TODAY()-(Data_Val!$J$3*365.25)),Data!#REF!&lt;=(TODAY()-(Data_Val!$J$2*365.25))),0,1),1))</f>
        <v>#REF!</v>
      </c>
      <c r="R474" s="17" t="e">
        <f>IF(Data!#REF!="","",IF(ISNUMBER(MATCH(Data!#REF!,Data_Val!$B$2:$B$15,0)),0,1))</f>
        <v>#REF!</v>
      </c>
      <c r="S474" s="11" t="str">
        <f>IF(Data!G474="","",IF(Data!G474=Data_Val!$C$2,IF(Data!M474="",0,1),0))</f>
        <v/>
      </c>
      <c r="T474" s="11" t="str">
        <f>IF(Data!M474="","",IF(ISNUMBER(MATCH(Data!N474,Data_Val!$A$2:$A$3,0)),0,1))</f>
        <v/>
      </c>
      <c r="U474" s="11" t="str">
        <f ca="1">IF(Data!M474="","",IF(ISNUMBER(Data!O474),IF(AND(Data!O474&gt;(TODAY()-(Data_Val!$K$3*365.25)),Data!O474&lt;=(TODAY()-(Data_Val!$K$2*365.25))),0,1),1))</f>
        <v/>
      </c>
      <c r="V474" s="12" t="str">
        <f>IF(Data!G474="","",IF(Data!G474=Data_Val!$C$2,IF(Data!P474="",0,1),0))</f>
        <v/>
      </c>
      <c r="W474" s="12" t="str">
        <f>IF(Data!P474="","",IF(ISNUMBER(MATCH(Data!Q474,Data_Val!$A$2:$A$3,0)),0,1))</f>
        <v/>
      </c>
      <c r="X474" s="26" t="str">
        <f ca="1">IF(Data!P474="","",IF(ISNUMBER(Data!R474),IF(AND(Data!R474&gt;(TODAY()-(Data_Val!$L$3*365.25)),Data!R474&lt;=(TODAY()-(Data_Val!$L$2*365.25))),0,1),1))</f>
        <v/>
      </c>
      <c r="Y474" s="13" t="str">
        <f>IF(Data!$G474="","",IF(Data!$G474=Data_Val!$C$2,IF(Data!S474="",0,1),0))</f>
        <v/>
      </c>
      <c r="Z474" s="13" t="str">
        <f>IF(Data!S474="","",IF(ISNUMBER(MATCH(Data!T474,Data_Val!$A$2:$A$3,0)),0,1))</f>
        <v/>
      </c>
      <c r="AA474" s="28" t="str">
        <f ca="1">IF(Data!S474="","",IF(ISNUMBER(Data!U474),IF(AND(Data!U474&gt;(TODAY()-(Data_Val!$L$3*365.25)),Data!U474&lt;=(TODAY()-(Data_Val!$L$2*365.25))),0,1),1))</f>
        <v/>
      </c>
      <c r="AB474" s="11"/>
      <c r="AC474" s="11" t="e">
        <f>IF(Data!#REF!="","",IF(ISNUMBER(MATCH(Data!#REF!,Data_Val!$A$2:$A$3,0)),0,1))</f>
        <v>#REF!</v>
      </c>
      <c r="AD474" s="11" t="e">
        <f ca="1">IF(Data!#REF!="","",IF(ISNUMBER(Data!#REF!),IF(AND(Data!#REF!&gt;(TODAY()-(Data_Val!$L$3*365.25)),Data!#REF!&lt;=(TODAY()-(Data_Val!$L$2*365.25))),0,1),1))</f>
        <v>#REF!</v>
      </c>
      <c r="AE474" s="11" t="e">
        <f>IF(Data!#REF!="","",IF(Data!$G474="",1,IF(ISNUMBER(MATCH(Data!#REF!,Data_Val!$D$2:$D$10,0)),0,1)))</f>
        <v>#REF!</v>
      </c>
      <c r="AF474" s="12"/>
      <c r="AG474" s="12" t="e">
        <f>IF(Data!#REF!="","",IF(ISNUMBER(MATCH(Data!#REF!,Data_Val!$A$2:$A$3,0)),0,1))</f>
        <v>#REF!</v>
      </c>
      <c r="AH474" s="26" t="e">
        <f ca="1">IF(Data!#REF!="","",IF(ISNUMBER(Data!#REF!),IF(AND(Data!#REF!&gt;(TODAY()-(Data_Val!$L$3*365.25)),Data!#REF!&lt;=(TODAY()-(Data_Val!$L$2*365.25))),0,1),1))</f>
        <v>#REF!</v>
      </c>
      <c r="AI474" s="12" t="e">
        <f>IF(Data!#REF!="","",IF(Data!$G474="",1,IF(ISNUMBER(MATCH(Data!#REF!,Data_Val!$D$2:$D$10,0)),0,1)))</f>
        <v>#REF!</v>
      </c>
      <c r="AJ474" s="17"/>
      <c r="AK474" s="17" t="e">
        <f>IF(Data!#REF!="","",IF(ISNUMBER(MATCH(Data!#REF!,Data_Val!$A$2:$A$3,0)),0,1))</f>
        <v>#REF!</v>
      </c>
      <c r="AL474" s="25" t="e">
        <f ca="1">IF(Data!#REF!="","",IF(ISNUMBER(Data!#REF!),IF(AND(Data!#REF!&gt;(TODAY()-(Data_Val!$L$3*365.25)),Data!#REF!&lt;=(TODAY()-(Data_Val!$L$2*365.25))),0,1),1))</f>
        <v>#REF!</v>
      </c>
      <c r="AM474" s="17" t="e">
        <f>IF(Data!#REF!="","",IF(Data!$G474="",1,IF(ISNUMBER(MATCH(Data!#REF!,Data_Val!$D$2:$D$10,0)),0,1)))</f>
        <v>#REF!</v>
      </c>
      <c r="AN474" s="13"/>
      <c r="AO474" s="28" t="e">
        <f ca="1">IF(Data!#REF!="","",IF(ISNUMBER(Data!#REF!),IF(AND(Data!#REF!&gt;(TODAY()-(Data_Val!$I$3*365.25)),Data!#REF!&lt;=(TODAY()-(Data_Val!$I$2*365.25))),0,1),1))</f>
        <v>#REF!</v>
      </c>
      <c r="AP474" s="13" t="e">
        <f>IF(Data!#REF!="","",IF(Data!$G474="",1,IF(ISNUMBER(MATCH(Data!#REF!,Data_Val!$D$2:$D$10,0)),0,1)))</f>
        <v>#REF!</v>
      </c>
      <c r="AQ474" s="17"/>
      <c r="AR474" s="30" t="e">
        <f ca="1">IF(Data!#REF!="","",IF(ISNUMBER(Data!#REF!),IF(AND(Data!#REF!&gt;(TODAY()-(Data_Val!$I$3*365.25)),Data!#REF!&lt;=(TODAY()-(Data_Val!$I$2*365.25))),0,1),1))</f>
        <v>#REF!</v>
      </c>
      <c r="AS474" s="31" t="e">
        <f>IF(Data!#REF!="","",IF(Data!$G474="",1,IF(ISNUMBER(MATCH(Data!#REF!,Data_Val!$D$2:$D$10,0)),0,1)))</f>
        <v>#REF!</v>
      </c>
      <c r="AT474" s="11"/>
      <c r="AU474" s="11" t="e">
        <f ca="1">IF(Data!#REF!="","",IF(ISNUMBER(Data!#REF!),IF(AND(Data!#REF!&gt;(TODAY()-(Data_Val!$I$3*365.25)),Data!#REF!&lt;=(TODAY()-(Data_Val!$I$2*365.25))),0,1),1))</f>
        <v>#REF!</v>
      </c>
      <c r="AV474" s="11" t="e">
        <f>IF(Data!#REF!="","",IF(Data!$G474="",1,IF(ISNUMBER(MATCH(Data!#REF!,Data_Val!$D$2:$D$10,0)),0,1)))</f>
        <v>#REF!</v>
      </c>
      <c r="AW474" s="12"/>
      <c r="AX474" s="26" t="e">
        <f ca="1">IF(Data!#REF!="","",IF(ISNUMBER(Data!#REF!),IF(AND(Data!#REF!&gt;(TODAY()-(Data_Val!$I$3*365.25)),Data!#REF!&lt;=(TODAY()-(Data_Val!$I$2*365.25))),0,1),1))</f>
        <v>#REF!</v>
      </c>
      <c r="AY474" s="12" t="e">
        <f>IF(Data!#REF!="","",IF(Data!$G474="",1,IF(ISNUMBER(MATCH(Data!#REF!,Data_Val!$D$2:$D$10,0)),0,1)))</f>
        <v>#REF!</v>
      </c>
      <c r="AZ474" s="11"/>
      <c r="BA474" s="19" t="e">
        <f ca="1">IF(Data!#REF!="","",IF(ISNUMBER(Data!#REF!),IF(AND(Data!#REF!&gt;(TODAY()-(Data_Val!$M$3*365.25)),Data!#REF!&lt;=(TODAY()-(Data_Val!$M$2*365.25))),0,1),1))</f>
        <v>#REF!</v>
      </c>
      <c r="BB474" s="11" t="e">
        <f>IF(Data!#REF!="","",IF(Data!$G474="",1,IF(ISNUMBER(MATCH(Data!#REF!,Data_Val!$D$2:$D$10,0)),0,1)))</f>
        <v>#REF!</v>
      </c>
      <c r="BC474" s="12"/>
      <c r="BD474" s="20" t="e">
        <f ca="1">IF(Data!#REF!="","",IF(ISNUMBER(Data!#REF!),IF(AND(Data!#REF!&gt;(TODAY()-(Data_Val!$M$3*365.25)),Data!#REF!&lt;=(TODAY()-(Data_Val!$M$2*365.25))),0,1),1))</f>
        <v>#REF!</v>
      </c>
      <c r="BE474" s="12" t="e">
        <f>IF(Data!#REF!="","",IF(Data!$G474="",1,IF(ISNUMBER(MATCH(Data!#REF!,Data_Val!$D$2:$D$10,0)),0,1)))</f>
        <v>#REF!</v>
      </c>
      <c r="BF474" s="17"/>
      <c r="BG474" s="18" t="e">
        <f ca="1">IF(Data!#REF!="","",IF(ISNUMBER(Data!#REF!),IF(AND(Data!#REF!&gt;(TODAY()-(Data_Val!$M$3*365.25)),Data!#REF!&lt;=(TODAY()-(Data_Val!$M$2*365.25))),0,1),1))</f>
        <v>#REF!</v>
      </c>
      <c r="BH474" s="29" t="e">
        <f>IF(Data!#REF!="","",IF(Data!$G474="",1,IF(ISNUMBER(MATCH(Data!#REF!,Data_Val!$D$2:$D$10,0)),0,1)))</f>
        <v>#REF!</v>
      </c>
      <c r="BI474" s="13"/>
      <c r="BJ474" s="21" t="e">
        <f ca="1">IF(Data!#REF!="","",IF(ISNUMBER(Data!#REF!),IF(AND(Data!#REF!&gt;(TODAY()-(Data_Val!$M$3*365.25)),Data!#REF!&lt;=(TODAY()-(Data_Val!$M$2*365.25))),0,1),1))</f>
        <v>#REF!</v>
      </c>
      <c r="BK474" s="13" t="e">
        <f>IF(Data!#REF!="","",IF(Data!$G474="",1,IF(ISNUMBER(MATCH(Data!#REF!,Data_Val!$D$2:$D$10,0)),0,1)))</f>
        <v>#REF!</v>
      </c>
    </row>
    <row r="475" spans="1:63" x14ac:dyDescent="0.25">
      <c r="A475" s="9" t="str">
        <f>IF(Data!B475="","",IF(COUNTIFS(Data!A$1:'Data'!A475,Data!A475)&lt;=1,0,1))</f>
        <v/>
      </c>
      <c r="B475" s="9"/>
      <c r="C475" s="23" t="str">
        <f>IF(Data!C475="","",(IF(ISNUMBER(MATCH("*@*.?*",Data!C475,0)),0,1)+IF(COUNTIFS(Data!C$1:'Data'!C475,Data!C475)&gt;1,1,0)))</f>
        <v/>
      </c>
      <c r="D475" s="9" t="str">
        <f>IF(Data!B475="","",IF(ISNUMBER(Data!D475),IF(AND(Data!D475&gt;999999999,Data!D475&lt;=9999999999),IF(COUNTIFS(Data!D$1:'Data'!D475,Data!D475)&lt;=1,0,1),1),1))</f>
        <v/>
      </c>
      <c r="E475" s="9" t="str">
        <f>IF(Data!B475="","",IF(ISNUMBER(MATCH(Data!E475,Data_Val!$A$2:$A$3,0)),0,1))</f>
        <v/>
      </c>
      <c r="F475" s="9" t="str">
        <f ca="1">IF(Data!B475="","",IF(ISNUMBER(Data!F475),IF(AND(Data!F475&gt;(TODAY()-(Data_Val!$H$3*365.25)),Data!F475&lt;=(TODAY()-(Data_Val!$H$2*365.25))),0,1),1))</f>
        <v/>
      </c>
      <c r="G475" s="15" t="str">
        <f>IF(Data!B475="","",IF(AND(Data!G475="",Data!H475&lt;&gt;""),1,IF(Data!#REF!&lt;&gt;"",0,IF(ISNUMBER(MATCH(Data!G475,Data_Val!$C$2:$C$5,0)),0,1))))</f>
        <v/>
      </c>
      <c r="H475" s="15" t="str">
        <f>IF(Data!B475="","",IF(AND(Data!G475&lt;&gt;"",Data!H475=""),1,IF(Data!#REF!&lt;&gt;"",0,IF(Data!G475="",1,IF(ISNUMBER(MATCH(Data!H475,Data_Val!$D$2:$D$35,0)),0,1)))))</f>
        <v/>
      </c>
      <c r="I475" s="15" t="str">
        <f>IF(Data!B475="","",IF(Data!G475&lt;&gt;"",0,IF(ISNUMBER(MATCH(Data!#REF!,Data_Val!$E$2:$E$12,0)),0,1)))</f>
        <v/>
      </c>
      <c r="J475" s="16" t="e">
        <f>IF(OR(Data!B475="",Data!#REF!=""),"",IF(Data!#REF!="",1,0))</f>
        <v>#REF!</v>
      </c>
      <c r="K475" s="16" t="e">
        <f>IF(OR(Data!B475="",Data!#REF!=""),"",IF(Data!#REF!="",1,0))</f>
        <v>#REF!</v>
      </c>
      <c r="L475" s="16" t="e">
        <f>IF(OR(Data!B475="",Data!#REF!=""),"",IF(ISNUMBER(Data!#REF!),IF(AND(Data!#REF!&gt;Data_Val!$G$2,Data!#REF!&lt;=Data_Val!$G$3),0,1),1))</f>
        <v>#REF!</v>
      </c>
      <c r="M475" s="9" t="e">
        <f>IF(OR(Data!B475="",Data!#REF!=""),"",IF(ISNUMBER(MATCH(Data!#REF!,Data_Val!$F$1:$F$38,0)),0,1))</f>
        <v>#REF!</v>
      </c>
      <c r="N475" s="9" t="e">
        <f>IF(OR(Data!B475="",Data!#REF!=""),"",IF(Data!#REF!="",1,0))</f>
        <v>#REF!</v>
      </c>
      <c r="O475" s="17" t="e">
        <f>IF(Data!#REF!="","",IF(Data!#REF!="",1,0))</f>
        <v>#REF!</v>
      </c>
      <c r="P475" s="17" t="e">
        <f>IF(Data!#REF!="","",IF(ISNUMBER(MATCH(Data!#REF!,Data_Val!$A$2:$A$3,0)),0,1))</f>
        <v>#REF!</v>
      </c>
      <c r="Q475" s="25" t="e">
        <f ca="1">IF(Data!#REF!="","",IF(ISNUMBER(Data!#REF!),IF(AND(Data!#REF!&gt;(TODAY()-(Data_Val!$J$3*365.25)),Data!#REF!&lt;=(TODAY()-(Data_Val!$J$2*365.25))),0,1),1))</f>
        <v>#REF!</v>
      </c>
      <c r="R475" s="17" t="e">
        <f>IF(Data!#REF!="","",IF(ISNUMBER(MATCH(Data!#REF!,Data_Val!$B$2:$B$15,0)),0,1))</f>
        <v>#REF!</v>
      </c>
      <c r="S475" s="11" t="str">
        <f>IF(Data!G475="","",IF(Data!G475=Data_Val!$C$2,IF(Data!M475="",0,1),0))</f>
        <v/>
      </c>
      <c r="T475" s="11" t="str">
        <f>IF(Data!M475="","",IF(ISNUMBER(MATCH(Data!N475,Data_Val!$A$2:$A$3,0)),0,1))</f>
        <v/>
      </c>
      <c r="U475" s="11" t="str">
        <f ca="1">IF(Data!M475="","",IF(ISNUMBER(Data!O475),IF(AND(Data!O475&gt;(TODAY()-(Data_Val!$K$3*365.25)),Data!O475&lt;=(TODAY()-(Data_Val!$K$2*365.25))),0,1),1))</f>
        <v/>
      </c>
      <c r="V475" s="12" t="str">
        <f>IF(Data!G475="","",IF(Data!G475=Data_Val!$C$2,IF(Data!P475="",0,1),0))</f>
        <v/>
      </c>
      <c r="W475" s="12" t="str">
        <f>IF(Data!P475="","",IF(ISNUMBER(MATCH(Data!Q475,Data_Val!$A$2:$A$3,0)),0,1))</f>
        <v/>
      </c>
      <c r="X475" s="26" t="str">
        <f ca="1">IF(Data!P475="","",IF(ISNUMBER(Data!R475),IF(AND(Data!R475&gt;(TODAY()-(Data_Val!$L$3*365.25)),Data!R475&lt;=(TODAY()-(Data_Val!$L$2*365.25))),0,1),1))</f>
        <v/>
      </c>
      <c r="Y475" s="13" t="str">
        <f>IF(Data!$G475="","",IF(Data!$G475=Data_Val!$C$2,IF(Data!S475="",0,1),0))</f>
        <v/>
      </c>
      <c r="Z475" s="13" t="str">
        <f>IF(Data!S475="","",IF(ISNUMBER(MATCH(Data!T475,Data_Val!$A$2:$A$3,0)),0,1))</f>
        <v/>
      </c>
      <c r="AA475" s="28" t="str">
        <f ca="1">IF(Data!S475="","",IF(ISNUMBER(Data!U475),IF(AND(Data!U475&gt;(TODAY()-(Data_Val!$L$3*365.25)),Data!U475&lt;=(TODAY()-(Data_Val!$L$2*365.25))),0,1),1))</f>
        <v/>
      </c>
      <c r="AB475" s="11"/>
      <c r="AC475" s="11" t="e">
        <f>IF(Data!#REF!="","",IF(ISNUMBER(MATCH(Data!#REF!,Data_Val!$A$2:$A$3,0)),0,1))</f>
        <v>#REF!</v>
      </c>
      <c r="AD475" s="11" t="e">
        <f ca="1">IF(Data!#REF!="","",IF(ISNUMBER(Data!#REF!),IF(AND(Data!#REF!&gt;(TODAY()-(Data_Val!$L$3*365.25)),Data!#REF!&lt;=(TODAY()-(Data_Val!$L$2*365.25))),0,1),1))</f>
        <v>#REF!</v>
      </c>
      <c r="AE475" s="11" t="e">
        <f>IF(Data!#REF!="","",IF(Data!$G475="",1,IF(ISNUMBER(MATCH(Data!#REF!,Data_Val!$D$2:$D$10,0)),0,1)))</f>
        <v>#REF!</v>
      </c>
      <c r="AF475" s="12"/>
      <c r="AG475" s="12" t="e">
        <f>IF(Data!#REF!="","",IF(ISNUMBER(MATCH(Data!#REF!,Data_Val!$A$2:$A$3,0)),0,1))</f>
        <v>#REF!</v>
      </c>
      <c r="AH475" s="26" t="e">
        <f ca="1">IF(Data!#REF!="","",IF(ISNUMBER(Data!#REF!),IF(AND(Data!#REF!&gt;(TODAY()-(Data_Val!$L$3*365.25)),Data!#REF!&lt;=(TODAY()-(Data_Val!$L$2*365.25))),0,1),1))</f>
        <v>#REF!</v>
      </c>
      <c r="AI475" s="12" t="e">
        <f>IF(Data!#REF!="","",IF(Data!$G475="",1,IF(ISNUMBER(MATCH(Data!#REF!,Data_Val!$D$2:$D$10,0)),0,1)))</f>
        <v>#REF!</v>
      </c>
      <c r="AJ475" s="17"/>
      <c r="AK475" s="17" t="e">
        <f>IF(Data!#REF!="","",IF(ISNUMBER(MATCH(Data!#REF!,Data_Val!$A$2:$A$3,0)),0,1))</f>
        <v>#REF!</v>
      </c>
      <c r="AL475" s="25" t="e">
        <f ca="1">IF(Data!#REF!="","",IF(ISNUMBER(Data!#REF!),IF(AND(Data!#REF!&gt;(TODAY()-(Data_Val!$L$3*365.25)),Data!#REF!&lt;=(TODAY()-(Data_Val!$L$2*365.25))),0,1),1))</f>
        <v>#REF!</v>
      </c>
      <c r="AM475" s="17" t="e">
        <f>IF(Data!#REF!="","",IF(Data!$G475="",1,IF(ISNUMBER(MATCH(Data!#REF!,Data_Val!$D$2:$D$10,0)),0,1)))</f>
        <v>#REF!</v>
      </c>
      <c r="AN475" s="13"/>
      <c r="AO475" s="28" t="e">
        <f ca="1">IF(Data!#REF!="","",IF(ISNUMBER(Data!#REF!),IF(AND(Data!#REF!&gt;(TODAY()-(Data_Val!$I$3*365.25)),Data!#REF!&lt;=(TODAY()-(Data_Val!$I$2*365.25))),0,1),1))</f>
        <v>#REF!</v>
      </c>
      <c r="AP475" s="13" t="e">
        <f>IF(Data!#REF!="","",IF(Data!$G475="",1,IF(ISNUMBER(MATCH(Data!#REF!,Data_Val!$D$2:$D$10,0)),0,1)))</f>
        <v>#REF!</v>
      </c>
      <c r="AQ475" s="17"/>
      <c r="AR475" s="30" t="e">
        <f ca="1">IF(Data!#REF!="","",IF(ISNUMBER(Data!#REF!),IF(AND(Data!#REF!&gt;(TODAY()-(Data_Val!$I$3*365.25)),Data!#REF!&lt;=(TODAY()-(Data_Val!$I$2*365.25))),0,1),1))</f>
        <v>#REF!</v>
      </c>
      <c r="AS475" s="31" t="e">
        <f>IF(Data!#REF!="","",IF(Data!$G475="",1,IF(ISNUMBER(MATCH(Data!#REF!,Data_Val!$D$2:$D$10,0)),0,1)))</f>
        <v>#REF!</v>
      </c>
      <c r="AT475" s="11"/>
      <c r="AU475" s="11" t="e">
        <f ca="1">IF(Data!#REF!="","",IF(ISNUMBER(Data!#REF!),IF(AND(Data!#REF!&gt;(TODAY()-(Data_Val!$I$3*365.25)),Data!#REF!&lt;=(TODAY()-(Data_Val!$I$2*365.25))),0,1),1))</f>
        <v>#REF!</v>
      </c>
      <c r="AV475" s="11" t="e">
        <f>IF(Data!#REF!="","",IF(Data!$G475="",1,IF(ISNUMBER(MATCH(Data!#REF!,Data_Val!$D$2:$D$10,0)),0,1)))</f>
        <v>#REF!</v>
      </c>
      <c r="AW475" s="12"/>
      <c r="AX475" s="26" t="e">
        <f ca="1">IF(Data!#REF!="","",IF(ISNUMBER(Data!#REF!),IF(AND(Data!#REF!&gt;(TODAY()-(Data_Val!$I$3*365.25)),Data!#REF!&lt;=(TODAY()-(Data_Val!$I$2*365.25))),0,1),1))</f>
        <v>#REF!</v>
      </c>
      <c r="AY475" s="12" t="e">
        <f>IF(Data!#REF!="","",IF(Data!$G475="",1,IF(ISNUMBER(MATCH(Data!#REF!,Data_Val!$D$2:$D$10,0)),0,1)))</f>
        <v>#REF!</v>
      </c>
      <c r="AZ475" s="11"/>
      <c r="BA475" s="19" t="e">
        <f ca="1">IF(Data!#REF!="","",IF(ISNUMBER(Data!#REF!),IF(AND(Data!#REF!&gt;(TODAY()-(Data_Val!$M$3*365.25)),Data!#REF!&lt;=(TODAY()-(Data_Val!$M$2*365.25))),0,1),1))</f>
        <v>#REF!</v>
      </c>
      <c r="BB475" s="11" t="e">
        <f>IF(Data!#REF!="","",IF(Data!$G475="",1,IF(ISNUMBER(MATCH(Data!#REF!,Data_Val!$D$2:$D$10,0)),0,1)))</f>
        <v>#REF!</v>
      </c>
      <c r="BC475" s="12"/>
      <c r="BD475" s="20" t="e">
        <f ca="1">IF(Data!#REF!="","",IF(ISNUMBER(Data!#REF!),IF(AND(Data!#REF!&gt;(TODAY()-(Data_Val!$M$3*365.25)),Data!#REF!&lt;=(TODAY()-(Data_Val!$M$2*365.25))),0,1),1))</f>
        <v>#REF!</v>
      </c>
      <c r="BE475" s="12" t="e">
        <f>IF(Data!#REF!="","",IF(Data!$G475="",1,IF(ISNUMBER(MATCH(Data!#REF!,Data_Val!$D$2:$D$10,0)),0,1)))</f>
        <v>#REF!</v>
      </c>
      <c r="BF475" s="17"/>
      <c r="BG475" s="18" t="e">
        <f ca="1">IF(Data!#REF!="","",IF(ISNUMBER(Data!#REF!),IF(AND(Data!#REF!&gt;(TODAY()-(Data_Val!$M$3*365.25)),Data!#REF!&lt;=(TODAY()-(Data_Val!$M$2*365.25))),0,1),1))</f>
        <v>#REF!</v>
      </c>
      <c r="BH475" s="29" t="e">
        <f>IF(Data!#REF!="","",IF(Data!$G475="",1,IF(ISNUMBER(MATCH(Data!#REF!,Data_Val!$D$2:$D$10,0)),0,1)))</f>
        <v>#REF!</v>
      </c>
      <c r="BI475" s="13"/>
      <c r="BJ475" s="21" t="e">
        <f ca="1">IF(Data!#REF!="","",IF(ISNUMBER(Data!#REF!),IF(AND(Data!#REF!&gt;(TODAY()-(Data_Val!$M$3*365.25)),Data!#REF!&lt;=(TODAY()-(Data_Val!$M$2*365.25))),0,1),1))</f>
        <v>#REF!</v>
      </c>
      <c r="BK475" s="13" t="e">
        <f>IF(Data!#REF!="","",IF(Data!$G475="",1,IF(ISNUMBER(MATCH(Data!#REF!,Data_Val!$D$2:$D$10,0)),0,1)))</f>
        <v>#REF!</v>
      </c>
    </row>
    <row r="476" spans="1:63" x14ac:dyDescent="0.25">
      <c r="A476" s="9" t="str">
        <f>IF(Data!B476="","",IF(COUNTIFS(Data!A$1:'Data'!A476,Data!A476)&lt;=1,0,1))</f>
        <v/>
      </c>
      <c r="B476" s="9"/>
      <c r="C476" s="23" t="str">
        <f>IF(Data!C476="","",(IF(ISNUMBER(MATCH("*@*.?*",Data!C476,0)),0,1)+IF(COUNTIFS(Data!C$1:'Data'!C476,Data!C476)&gt;1,1,0)))</f>
        <v/>
      </c>
      <c r="D476" s="9" t="str">
        <f>IF(Data!B476="","",IF(ISNUMBER(Data!D476),IF(AND(Data!D476&gt;999999999,Data!D476&lt;=9999999999),IF(COUNTIFS(Data!D$1:'Data'!D476,Data!D476)&lt;=1,0,1),1),1))</f>
        <v/>
      </c>
      <c r="E476" s="9" t="str">
        <f>IF(Data!B476="","",IF(ISNUMBER(MATCH(Data!E476,Data_Val!$A$2:$A$3,0)),0,1))</f>
        <v/>
      </c>
      <c r="F476" s="9" t="str">
        <f ca="1">IF(Data!B476="","",IF(ISNUMBER(Data!F476),IF(AND(Data!F476&gt;(TODAY()-(Data_Val!$H$3*365.25)),Data!F476&lt;=(TODAY()-(Data_Val!$H$2*365.25))),0,1),1))</f>
        <v/>
      </c>
      <c r="G476" s="15" t="str">
        <f>IF(Data!B476="","",IF(AND(Data!G476="",Data!H476&lt;&gt;""),1,IF(Data!#REF!&lt;&gt;"",0,IF(ISNUMBER(MATCH(Data!G476,Data_Val!$C$2:$C$5,0)),0,1))))</f>
        <v/>
      </c>
      <c r="H476" s="15" t="str">
        <f>IF(Data!B476="","",IF(AND(Data!G476&lt;&gt;"",Data!H476=""),1,IF(Data!#REF!&lt;&gt;"",0,IF(Data!G476="",1,IF(ISNUMBER(MATCH(Data!H476,Data_Val!$D$2:$D$35,0)),0,1)))))</f>
        <v/>
      </c>
      <c r="I476" s="15" t="str">
        <f>IF(Data!B476="","",IF(Data!G476&lt;&gt;"",0,IF(ISNUMBER(MATCH(Data!#REF!,Data_Val!$E$2:$E$12,0)),0,1)))</f>
        <v/>
      </c>
      <c r="J476" s="16" t="e">
        <f>IF(OR(Data!B476="",Data!#REF!=""),"",IF(Data!#REF!="",1,0))</f>
        <v>#REF!</v>
      </c>
      <c r="K476" s="16" t="e">
        <f>IF(OR(Data!B476="",Data!#REF!=""),"",IF(Data!#REF!="",1,0))</f>
        <v>#REF!</v>
      </c>
      <c r="L476" s="16" t="e">
        <f>IF(OR(Data!B476="",Data!#REF!=""),"",IF(ISNUMBER(Data!#REF!),IF(AND(Data!#REF!&gt;Data_Val!$G$2,Data!#REF!&lt;=Data_Val!$G$3),0,1),1))</f>
        <v>#REF!</v>
      </c>
      <c r="M476" s="9" t="e">
        <f>IF(OR(Data!B476="",Data!#REF!=""),"",IF(ISNUMBER(MATCH(Data!#REF!,Data_Val!$F$1:$F$38,0)),0,1))</f>
        <v>#REF!</v>
      </c>
      <c r="N476" s="9" t="e">
        <f>IF(OR(Data!B476="",Data!#REF!=""),"",IF(Data!#REF!="",1,0))</f>
        <v>#REF!</v>
      </c>
      <c r="O476" s="17" t="e">
        <f>IF(Data!#REF!="","",IF(Data!#REF!="",1,0))</f>
        <v>#REF!</v>
      </c>
      <c r="P476" s="17" t="e">
        <f>IF(Data!#REF!="","",IF(ISNUMBER(MATCH(Data!#REF!,Data_Val!$A$2:$A$3,0)),0,1))</f>
        <v>#REF!</v>
      </c>
      <c r="Q476" s="25" t="e">
        <f ca="1">IF(Data!#REF!="","",IF(ISNUMBER(Data!#REF!),IF(AND(Data!#REF!&gt;(TODAY()-(Data_Val!$J$3*365.25)),Data!#REF!&lt;=(TODAY()-(Data_Val!$J$2*365.25))),0,1),1))</f>
        <v>#REF!</v>
      </c>
      <c r="R476" s="17" t="e">
        <f>IF(Data!#REF!="","",IF(ISNUMBER(MATCH(Data!#REF!,Data_Val!$B$2:$B$15,0)),0,1))</f>
        <v>#REF!</v>
      </c>
      <c r="S476" s="11" t="str">
        <f>IF(Data!G476="","",IF(Data!G476=Data_Val!$C$2,IF(Data!M476="",0,1),0))</f>
        <v/>
      </c>
      <c r="T476" s="11" t="str">
        <f>IF(Data!M476="","",IF(ISNUMBER(MATCH(Data!N476,Data_Val!$A$2:$A$3,0)),0,1))</f>
        <v/>
      </c>
      <c r="U476" s="11" t="str">
        <f ca="1">IF(Data!M476="","",IF(ISNUMBER(Data!O476),IF(AND(Data!O476&gt;(TODAY()-(Data_Val!$K$3*365.25)),Data!O476&lt;=(TODAY()-(Data_Val!$K$2*365.25))),0,1),1))</f>
        <v/>
      </c>
      <c r="V476" s="12" t="str">
        <f>IF(Data!G476="","",IF(Data!G476=Data_Val!$C$2,IF(Data!P476="",0,1),0))</f>
        <v/>
      </c>
      <c r="W476" s="12" t="str">
        <f>IF(Data!P476="","",IF(ISNUMBER(MATCH(Data!Q476,Data_Val!$A$2:$A$3,0)),0,1))</f>
        <v/>
      </c>
      <c r="X476" s="26" t="str">
        <f ca="1">IF(Data!P476="","",IF(ISNUMBER(Data!R476),IF(AND(Data!R476&gt;(TODAY()-(Data_Val!$L$3*365.25)),Data!R476&lt;=(TODAY()-(Data_Val!$L$2*365.25))),0,1),1))</f>
        <v/>
      </c>
      <c r="Y476" s="13" t="str">
        <f>IF(Data!$G476="","",IF(Data!$G476=Data_Val!$C$2,IF(Data!S476="",0,1),0))</f>
        <v/>
      </c>
      <c r="Z476" s="13" t="str">
        <f>IF(Data!S476="","",IF(ISNUMBER(MATCH(Data!T476,Data_Val!$A$2:$A$3,0)),0,1))</f>
        <v/>
      </c>
      <c r="AA476" s="28" t="str">
        <f ca="1">IF(Data!S476="","",IF(ISNUMBER(Data!U476),IF(AND(Data!U476&gt;(TODAY()-(Data_Val!$L$3*365.25)),Data!U476&lt;=(TODAY()-(Data_Val!$L$2*365.25))),0,1),1))</f>
        <v/>
      </c>
      <c r="AB476" s="11"/>
      <c r="AC476" s="11" t="e">
        <f>IF(Data!#REF!="","",IF(ISNUMBER(MATCH(Data!#REF!,Data_Val!$A$2:$A$3,0)),0,1))</f>
        <v>#REF!</v>
      </c>
      <c r="AD476" s="11" t="e">
        <f ca="1">IF(Data!#REF!="","",IF(ISNUMBER(Data!#REF!),IF(AND(Data!#REF!&gt;(TODAY()-(Data_Val!$L$3*365.25)),Data!#REF!&lt;=(TODAY()-(Data_Val!$L$2*365.25))),0,1),1))</f>
        <v>#REF!</v>
      </c>
      <c r="AE476" s="11" t="e">
        <f>IF(Data!#REF!="","",IF(Data!$G476="",1,IF(ISNUMBER(MATCH(Data!#REF!,Data_Val!$D$2:$D$10,0)),0,1)))</f>
        <v>#REF!</v>
      </c>
      <c r="AF476" s="12"/>
      <c r="AG476" s="12" t="e">
        <f>IF(Data!#REF!="","",IF(ISNUMBER(MATCH(Data!#REF!,Data_Val!$A$2:$A$3,0)),0,1))</f>
        <v>#REF!</v>
      </c>
      <c r="AH476" s="26" t="e">
        <f ca="1">IF(Data!#REF!="","",IF(ISNUMBER(Data!#REF!),IF(AND(Data!#REF!&gt;(TODAY()-(Data_Val!$L$3*365.25)),Data!#REF!&lt;=(TODAY()-(Data_Val!$L$2*365.25))),0,1),1))</f>
        <v>#REF!</v>
      </c>
      <c r="AI476" s="12" t="e">
        <f>IF(Data!#REF!="","",IF(Data!$G476="",1,IF(ISNUMBER(MATCH(Data!#REF!,Data_Val!$D$2:$D$10,0)),0,1)))</f>
        <v>#REF!</v>
      </c>
      <c r="AJ476" s="17"/>
      <c r="AK476" s="17" t="e">
        <f>IF(Data!#REF!="","",IF(ISNUMBER(MATCH(Data!#REF!,Data_Val!$A$2:$A$3,0)),0,1))</f>
        <v>#REF!</v>
      </c>
      <c r="AL476" s="25" t="e">
        <f ca="1">IF(Data!#REF!="","",IF(ISNUMBER(Data!#REF!),IF(AND(Data!#REF!&gt;(TODAY()-(Data_Val!$L$3*365.25)),Data!#REF!&lt;=(TODAY()-(Data_Val!$L$2*365.25))),0,1),1))</f>
        <v>#REF!</v>
      </c>
      <c r="AM476" s="17" t="e">
        <f>IF(Data!#REF!="","",IF(Data!$G476="",1,IF(ISNUMBER(MATCH(Data!#REF!,Data_Val!$D$2:$D$10,0)),0,1)))</f>
        <v>#REF!</v>
      </c>
      <c r="AN476" s="13"/>
      <c r="AO476" s="28" t="e">
        <f ca="1">IF(Data!#REF!="","",IF(ISNUMBER(Data!#REF!),IF(AND(Data!#REF!&gt;(TODAY()-(Data_Val!$I$3*365.25)),Data!#REF!&lt;=(TODAY()-(Data_Val!$I$2*365.25))),0,1),1))</f>
        <v>#REF!</v>
      </c>
      <c r="AP476" s="13" t="e">
        <f>IF(Data!#REF!="","",IF(Data!$G476="",1,IF(ISNUMBER(MATCH(Data!#REF!,Data_Val!$D$2:$D$10,0)),0,1)))</f>
        <v>#REF!</v>
      </c>
      <c r="AQ476" s="17"/>
      <c r="AR476" s="30" t="e">
        <f ca="1">IF(Data!#REF!="","",IF(ISNUMBER(Data!#REF!),IF(AND(Data!#REF!&gt;(TODAY()-(Data_Val!$I$3*365.25)),Data!#REF!&lt;=(TODAY()-(Data_Val!$I$2*365.25))),0,1),1))</f>
        <v>#REF!</v>
      </c>
      <c r="AS476" s="31" t="e">
        <f>IF(Data!#REF!="","",IF(Data!$G476="",1,IF(ISNUMBER(MATCH(Data!#REF!,Data_Val!$D$2:$D$10,0)),0,1)))</f>
        <v>#REF!</v>
      </c>
      <c r="AT476" s="11"/>
      <c r="AU476" s="11" t="e">
        <f ca="1">IF(Data!#REF!="","",IF(ISNUMBER(Data!#REF!),IF(AND(Data!#REF!&gt;(TODAY()-(Data_Val!$I$3*365.25)),Data!#REF!&lt;=(TODAY()-(Data_Val!$I$2*365.25))),0,1),1))</f>
        <v>#REF!</v>
      </c>
      <c r="AV476" s="11" t="e">
        <f>IF(Data!#REF!="","",IF(Data!$G476="",1,IF(ISNUMBER(MATCH(Data!#REF!,Data_Val!$D$2:$D$10,0)),0,1)))</f>
        <v>#REF!</v>
      </c>
      <c r="AW476" s="12"/>
      <c r="AX476" s="26" t="e">
        <f ca="1">IF(Data!#REF!="","",IF(ISNUMBER(Data!#REF!),IF(AND(Data!#REF!&gt;(TODAY()-(Data_Val!$I$3*365.25)),Data!#REF!&lt;=(TODAY()-(Data_Val!$I$2*365.25))),0,1),1))</f>
        <v>#REF!</v>
      </c>
      <c r="AY476" s="12" t="e">
        <f>IF(Data!#REF!="","",IF(Data!$G476="",1,IF(ISNUMBER(MATCH(Data!#REF!,Data_Val!$D$2:$D$10,0)),0,1)))</f>
        <v>#REF!</v>
      </c>
      <c r="AZ476" s="11"/>
      <c r="BA476" s="19" t="e">
        <f ca="1">IF(Data!#REF!="","",IF(ISNUMBER(Data!#REF!),IF(AND(Data!#REF!&gt;(TODAY()-(Data_Val!$M$3*365.25)),Data!#REF!&lt;=(TODAY()-(Data_Val!$M$2*365.25))),0,1),1))</f>
        <v>#REF!</v>
      </c>
      <c r="BB476" s="11" t="e">
        <f>IF(Data!#REF!="","",IF(Data!$G476="",1,IF(ISNUMBER(MATCH(Data!#REF!,Data_Val!$D$2:$D$10,0)),0,1)))</f>
        <v>#REF!</v>
      </c>
      <c r="BC476" s="12"/>
      <c r="BD476" s="20" t="e">
        <f ca="1">IF(Data!#REF!="","",IF(ISNUMBER(Data!#REF!),IF(AND(Data!#REF!&gt;(TODAY()-(Data_Val!$M$3*365.25)),Data!#REF!&lt;=(TODAY()-(Data_Val!$M$2*365.25))),0,1),1))</f>
        <v>#REF!</v>
      </c>
      <c r="BE476" s="12" t="e">
        <f>IF(Data!#REF!="","",IF(Data!$G476="",1,IF(ISNUMBER(MATCH(Data!#REF!,Data_Val!$D$2:$D$10,0)),0,1)))</f>
        <v>#REF!</v>
      </c>
      <c r="BF476" s="17"/>
      <c r="BG476" s="18" t="e">
        <f ca="1">IF(Data!#REF!="","",IF(ISNUMBER(Data!#REF!),IF(AND(Data!#REF!&gt;(TODAY()-(Data_Val!$M$3*365.25)),Data!#REF!&lt;=(TODAY()-(Data_Val!$M$2*365.25))),0,1),1))</f>
        <v>#REF!</v>
      </c>
      <c r="BH476" s="29" t="e">
        <f>IF(Data!#REF!="","",IF(Data!$G476="",1,IF(ISNUMBER(MATCH(Data!#REF!,Data_Val!$D$2:$D$10,0)),0,1)))</f>
        <v>#REF!</v>
      </c>
      <c r="BI476" s="13"/>
      <c r="BJ476" s="21" t="e">
        <f ca="1">IF(Data!#REF!="","",IF(ISNUMBER(Data!#REF!),IF(AND(Data!#REF!&gt;(TODAY()-(Data_Val!$M$3*365.25)),Data!#REF!&lt;=(TODAY()-(Data_Val!$M$2*365.25))),0,1),1))</f>
        <v>#REF!</v>
      </c>
      <c r="BK476" s="13" t="e">
        <f>IF(Data!#REF!="","",IF(Data!$G476="",1,IF(ISNUMBER(MATCH(Data!#REF!,Data_Val!$D$2:$D$10,0)),0,1)))</f>
        <v>#REF!</v>
      </c>
    </row>
    <row r="477" spans="1:63" x14ac:dyDescent="0.25">
      <c r="A477" s="9" t="str">
        <f>IF(Data!B477="","",IF(COUNTIFS(Data!A$1:'Data'!A477,Data!A477)&lt;=1,0,1))</f>
        <v/>
      </c>
      <c r="B477" s="9"/>
      <c r="C477" s="23" t="str">
        <f>IF(Data!C477="","",(IF(ISNUMBER(MATCH("*@*.?*",Data!C477,0)),0,1)+IF(COUNTIFS(Data!C$1:'Data'!C477,Data!C477)&gt;1,1,0)))</f>
        <v/>
      </c>
      <c r="D477" s="9" t="str">
        <f>IF(Data!B477="","",IF(ISNUMBER(Data!D477),IF(AND(Data!D477&gt;999999999,Data!D477&lt;=9999999999),IF(COUNTIFS(Data!D$1:'Data'!D477,Data!D477)&lt;=1,0,1),1),1))</f>
        <v/>
      </c>
      <c r="E477" s="9" t="str">
        <f>IF(Data!B477="","",IF(ISNUMBER(MATCH(Data!E477,Data_Val!$A$2:$A$3,0)),0,1))</f>
        <v/>
      </c>
      <c r="F477" s="9" t="str">
        <f ca="1">IF(Data!B477="","",IF(ISNUMBER(Data!F477),IF(AND(Data!F477&gt;(TODAY()-(Data_Val!$H$3*365.25)),Data!F477&lt;=(TODAY()-(Data_Val!$H$2*365.25))),0,1),1))</f>
        <v/>
      </c>
      <c r="G477" s="15" t="str">
        <f>IF(Data!B477="","",IF(AND(Data!G477="",Data!H477&lt;&gt;""),1,IF(Data!#REF!&lt;&gt;"",0,IF(ISNUMBER(MATCH(Data!G477,Data_Val!$C$2:$C$5,0)),0,1))))</f>
        <v/>
      </c>
      <c r="H477" s="15" t="str">
        <f>IF(Data!B477="","",IF(AND(Data!G477&lt;&gt;"",Data!H477=""),1,IF(Data!#REF!&lt;&gt;"",0,IF(Data!G477="",1,IF(ISNUMBER(MATCH(Data!H477,Data_Val!$D$2:$D$35,0)),0,1)))))</f>
        <v/>
      </c>
      <c r="I477" s="15" t="str">
        <f>IF(Data!B477="","",IF(Data!G477&lt;&gt;"",0,IF(ISNUMBER(MATCH(Data!#REF!,Data_Val!$E$2:$E$12,0)),0,1)))</f>
        <v/>
      </c>
      <c r="J477" s="16" t="e">
        <f>IF(OR(Data!B477="",Data!#REF!=""),"",IF(Data!#REF!="",1,0))</f>
        <v>#REF!</v>
      </c>
      <c r="K477" s="16" t="e">
        <f>IF(OR(Data!B477="",Data!#REF!=""),"",IF(Data!#REF!="",1,0))</f>
        <v>#REF!</v>
      </c>
      <c r="L477" s="16" t="e">
        <f>IF(OR(Data!B477="",Data!#REF!=""),"",IF(ISNUMBER(Data!#REF!),IF(AND(Data!#REF!&gt;Data_Val!$G$2,Data!#REF!&lt;=Data_Val!$G$3),0,1),1))</f>
        <v>#REF!</v>
      </c>
      <c r="M477" s="9" t="e">
        <f>IF(OR(Data!B477="",Data!#REF!=""),"",IF(ISNUMBER(MATCH(Data!#REF!,Data_Val!$F$1:$F$38,0)),0,1))</f>
        <v>#REF!</v>
      </c>
      <c r="N477" s="9" t="e">
        <f>IF(OR(Data!B477="",Data!#REF!=""),"",IF(Data!#REF!="",1,0))</f>
        <v>#REF!</v>
      </c>
      <c r="O477" s="17" t="e">
        <f>IF(Data!#REF!="","",IF(Data!#REF!="",1,0))</f>
        <v>#REF!</v>
      </c>
      <c r="P477" s="17" t="e">
        <f>IF(Data!#REF!="","",IF(ISNUMBER(MATCH(Data!#REF!,Data_Val!$A$2:$A$3,0)),0,1))</f>
        <v>#REF!</v>
      </c>
      <c r="Q477" s="25" t="e">
        <f ca="1">IF(Data!#REF!="","",IF(ISNUMBER(Data!#REF!),IF(AND(Data!#REF!&gt;(TODAY()-(Data_Val!$J$3*365.25)),Data!#REF!&lt;=(TODAY()-(Data_Val!$J$2*365.25))),0,1),1))</f>
        <v>#REF!</v>
      </c>
      <c r="R477" s="17" t="e">
        <f>IF(Data!#REF!="","",IF(ISNUMBER(MATCH(Data!#REF!,Data_Val!$B$2:$B$15,0)),0,1))</f>
        <v>#REF!</v>
      </c>
      <c r="S477" s="11" t="str">
        <f>IF(Data!G477="","",IF(Data!G477=Data_Val!$C$2,IF(Data!M477="",0,1),0))</f>
        <v/>
      </c>
      <c r="T477" s="11" t="str">
        <f>IF(Data!M477="","",IF(ISNUMBER(MATCH(Data!N477,Data_Val!$A$2:$A$3,0)),0,1))</f>
        <v/>
      </c>
      <c r="U477" s="11" t="str">
        <f ca="1">IF(Data!M477="","",IF(ISNUMBER(Data!O477),IF(AND(Data!O477&gt;(TODAY()-(Data_Val!$K$3*365.25)),Data!O477&lt;=(TODAY()-(Data_Val!$K$2*365.25))),0,1),1))</f>
        <v/>
      </c>
      <c r="V477" s="12" t="str">
        <f>IF(Data!G477="","",IF(Data!G477=Data_Val!$C$2,IF(Data!P477="",0,1),0))</f>
        <v/>
      </c>
      <c r="W477" s="12" t="str">
        <f>IF(Data!P477="","",IF(ISNUMBER(MATCH(Data!Q477,Data_Val!$A$2:$A$3,0)),0,1))</f>
        <v/>
      </c>
      <c r="X477" s="26" t="str">
        <f ca="1">IF(Data!P477="","",IF(ISNUMBER(Data!R477),IF(AND(Data!R477&gt;(TODAY()-(Data_Val!$L$3*365.25)),Data!R477&lt;=(TODAY()-(Data_Val!$L$2*365.25))),0,1),1))</f>
        <v/>
      </c>
      <c r="Y477" s="13" t="str">
        <f>IF(Data!$G477="","",IF(Data!$G477=Data_Val!$C$2,IF(Data!S477="",0,1),0))</f>
        <v/>
      </c>
      <c r="Z477" s="13" t="str">
        <f>IF(Data!S477="","",IF(ISNUMBER(MATCH(Data!T477,Data_Val!$A$2:$A$3,0)),0,1))</f>
        <v/>
      </c>
      <c r="AA477" s="28" t="str">
        <f ca="1">IF(Data!S477="","",IF(ISNUMBER(Data!U477),IF(AND(Data!U477&gt;(TODAY()-(Data_Val!$L$3*365.25)),Data!U477&lt;=(TODAY()-(Data_Val!$L$2*365.25))),0,1),1))</f>
        <v/>
      </c>
      <c r="AB477" s="11"/>
      <c r="AC477" s="11" t="e">
        <f>IF(Data!#REF!="","",IF(ISNUMBER(MATCH(Data!#REF!,Data_Val!$A$2:$A$3,0)),0,1))</f>
        <v>#REF!</v>
      </c>
      <c r="AD477" s="11" t="e">
        <f ca="1">IF(Data!#REF!="","",IF(ISNUMBER(Data!#REF!),IF(AND(Data!#REF!&gt;(TODAY()-(Data_Val!$L$3*365.25)),Data!#REF!&lt;=(TODAY()-(Data_Val!$L$2*365.25))),0,1),1))</f>
        <v>#REF!</v>
      </c>
      <c r="AE477" s="11" t="e">
        <f>IF(Data!#REF!="","",IF(Data!$G477="",1,IF(ISNUMBER(MATCH(Data!#REF!,Data_Val!$D$2:$D$10,0)),0,1)))</f>
        <v>#REF!</v>
      </c>
      <c r="AF477" s="12"/>
      <c r="AG477" s="12" t="e">
        <f>IF(Data!#REF!="","",IF(ISNUMBER(MATCH(Data!#REF!,Data_Val!$A$2:$A$3,0)),0,1))</f>
        <v>#REF!</v>
      </c>
      <c r="AH477" s="26" t="e">
        <f ca="1">IF(Data!#REF!="","",IF(ISNUMBER(Data!#REF!),IF(AND(Data!#REF!&gt;(TODAY()-(Data_Val!$L$3*365.25)),Data!#REF!&lt;=(TODAY()-(Data_Val!$L$2*365.25))),0,1),1))</f>
        <v>#REF!</v>
      </c>
      <c r="AI477" s="12" t="e">
        <f>IF(Data!#REF!="","",IF(Data!$G477="",1,IF(ISNUMBER(MATCH(Data!#REF!,Data_Val!$D$2:$D$10,0)),0,1)))</f>
        <v>#REF!</v>
      </c>
      <c r="AJ477" s="17"/>
      <c r="AK477" s="17" t="e">
        <f>IF(Data!#REF!="","",IF(ISNUMBER(MATCH(Data!#REF!,Data_Val!$A$2:$A$3,0)),0,1))</f>
        <v>#REF!</v>
      </c>
      <c r="AL477" s="25" t="e">
        <f ca="1">IF(Data!#REF!="","",IF(ISNUMBER(Data!#REF!),IF(AND(Data!#REF!&gt;(TODAY()-(Data_Val!$L$3*365.25)),Data!#REF!&lt;=(TODAY()-(Data_Val!$L$2*365.25))),0,1),1))</f>
        <v>#REF!</v>
      </c>
      <c r="AM477" s="17" t="e">
        <f>IF(Data!#REF!="","",IF(Data!$G477="",1,IF(ISNUMBER(MATCH(Data!#REF!,Data_Val!$D$2:$D$10,0)),0,1)))</f>
        <v>#REF!</v>
      </c>
      <c r="AN477" s="13"/>
      <c r="AO477" s="28" t="e">
        <f ca="1">IF(Data!#REF!="","",IF(ISNUMBER(Data!#REF!),IF(AND(Data!#REF!&gt;(TODAY()-(Data_Val!$I$3*365.25)),Data!#REF!&lt;=(TODAY()-(Data_Val!$I$2*365.25))),0,1),1))</f>
        <v>#REF!</v>
      </c>
      <c r="AP477" s="13" t="e">
        <f>IF(Data!#REF!="","",IF(Data!$G477="",1,IF(ISNUMBER(MATCH(Data!#REF!,Data_Val!$D$2:$D$10,0)),0,1)))</f>
        <v>#REF!</v>
      </c>
      <c r="AQ477" s="17"/>
      <c r="AR477" s="30" t="e">
        <f ca="1">IF(Data!#REF!="","",IF(ISNUMBER(Data!#REF!),IF(AND(Data!#REF!&gt;(TODAY()-(Data_Val!$I$3*365.25)),Data!#REF!&lt;=(TODAY()-(Data_Val!$I$2*365.25))),0,1),1))</f>
        <v>#REF!</v>
      </c>
      <c r="AS477" s="31" t="e">
        <f>IF(Data!#REF!="","",IF(Data!$G477="",1,IF(ISNUMBER(MATCH(Data!#REF!,Data_Val!$D$2:$D$10,0)),0,1)))</f>
        <v>#REF!</v>
      </c>
      <c r="AT477" s="11"/>
      <c r="AU477" s="11" t="e">
        <f ca="1">IF(Data!#REF!="","",IF(ISNUMBER(Data!#REF!),IF(AND(Data!#REF!&gt;(TODAY()-(Data_Val!$I$3*365.25)),Data!#REF!&lt;=(TODAY()-(Data_Val!$I$2*365.25))),0,1),1))</f>
        <v>#REF!</v>
      </c>
      <c r="AV477" s="11" t="e">
        <f>IF(Data!#REF!="","",IF(Data!$G477="",1,IF(ISNUMBER(MATCH(Data!#REF!,Data_Val!$D$2:$D$10,0)),0,1)))</f>
        <v>#REF!</v>
      </c>
      <c r="AW477" s="12"/>
      <c r="AX477" s="26" t="e">
        <f ca="1">IF(Data!#REF!="","",IF(ISNUMBER(Data!#REF!),IF(AND(Data!#REF!&gt;(TODAY()-(Data_Val!$I$3*365.25)),Data!#REF!&lt;=(TODAY()-(Data_Val!$I$2*365.25))),0,1),1))</f>
        <v>#REF!</v>
      </c>
      <c r="AY477" s="12" t="e">
        <f>IF(Data!#REF!="","",IF(Data!$G477="",1,IF(ISNUMBER(MATCH(Data!#REF!,Data_Val!$D$2:$D$10,0)),0,1)))</f>
        <v>#REF!</v>
      </c>
      <c r="AZ477" s="11"/>
      <c r="BA477" s="19" t="e">
        <f ca="1">IF(Data!#REF!="","",IF(ISNUMBER(Data!#REF!),IF(AND(Data!#REF!&gt;(TODAY()-(Data_Val!$M$3*365.25)),Data!#REF!&lt;=(TODAY()-(Data_Val!$M$2*365.25))),0,1),1))</f>
        <v>#REF!</v>
      </c>
      <c r="BB477" s="11" t="e">
        <f>IF(Data!#REF!="","",IF(Data!$G477="",1,IF(ISNUMBER(MATCH(Data!#REF!,Data_Val!$D$2:$D$10,0)),0,1)))</f>
        <v>#REF!</v>
      </c>
      <c r="BC477" s="12"/>
      <c r="BD477" s="20" t="e">
        <f ca="1">IF(Data!#REF!="","",IF(ISNUMBER(Data!#REF!),IF(AND(Data!#REF!&gt;(TODAY()-(Data_Val!$M$3*365.25)),Data!#REF!&lt;=(TODAY()-(Data_Val!$M$2*365.25))),0,1),1))</f>
        <v>#REF!</v>
      </c>
      <c r="BE477" s="12" t="e">
        <f>IF(Data!#REF!="","",IF(Data!$G477="",1,IF(ISNUMBER(MATCH(Data!#REF!,Data_Val!$D$2:$D$10,0)),0,1)))</f>
        <v>#REF!</v>
      </c>
      <c r="BF477" s="17"/>
      <c r="BG477" s="18" t="e">
        <f ca="1">IF(Data!#REF!="","",IF(ISNUMBER(Data!#REF!),IF(AND(Data!#REF!&gt;(TODAY()-(Data_Val!$M$3*365.25)),Data!#REF!&lt;=(TODAY()-(Data_Val!$M$2*365.25))),0,1),1))</f>
        <v>#REF!</v>
      </c>
      <c r="BH477" s="29" t="e">
        <f>IF(Data!#REF!="","",IF(Data!$G477="",1,IF(ISNUMBER(MATCH(Data!#REF!,Data_Val!$D$2:$D$10,0)),0,1)))</f>
        <v>#REF!</v>
      </c>
      <c r="BI477" s="13"/>
      <c r="BJ477" s="21" t="e">
        <f ca="1">IF(Data!#REF!="","",IF(ISNUMBER(Data!#REF!),IF(AND(Data!#REF!&gt;(TODAY()-(Data_Val!$M$3*365.25)),Data!#REF!&lt;=(TODAY()-(Data_Val!$M$2*365.25))),0,1),1))</f>
        <v>#REF!</v>
      </c>
      <c r="BK477" s="13" t="e">
        <f>IF(Data!#REF!="","",IF(Data!$G477="",1,IF(ISNUMBER(MATCH(Data!#REF!,Data_Val!$D$2:$D$10,0)),0,1)))</f>
        <v>#REF!</v>
      </c>
    </row>
    <row r="478" spans="1:63" x14ac:dyDescent="0.25">
      <c r="A478" s="9" t="str">
        <f>IF(Data!B478="","",IF(COUNTIFS(Data!A$1:'Data'!A478,Data!A478)&lt;=1,0,1))</f>
        <v/>
      </c>
      <c r="B478" s="9"/>
      <c r="C478" s="23" t="str">
        <f>IF(Data!C478="","",(IF(ISNUMBER(MATCH("*@*.?*",Data!C478,0)),0,1)+IF(COUNTIFS(Data!C$1:'Data'!C478,Data!C478)&gt;1,1,0)))</f>
        <v/>
      </c>
      <c r="D478" s="9" t="str">
        <f>IF(Data!B478="","",IF(ISNUMBER(Data!D478),IF(AND(Data!D478&gt;999999999,Data!D478&lt;=9999999999),IF(COUNTIFS(Data!D$1:'Data'!D478,Data!D478)&lt;=1,0,1),1),1))</f>
        <v/>
      </c>
      <c r="E478" s="9" t="str">
        <f>IF(Data!B478="","",IF(ISNUMBER(MATCH(Data!E478,Data_Val!$A$2:$A$3,0)),0,1))</f>
        <v/>
      </c>
      <c r="F478" s="9" t="str">
        <f ca="1">IF(Data!B478="","",IF(ISNUMBER(Data!F478),IF(AND(Data!F478&gt;(TODAY()-(Data_Val!$H$3*365.25)),Data!F478&lt;=(TODAY()-(Data_Val!$H$2*365.25))),0,1),1))</f>
        <v/>
      </c>
      <c r="G478" s="15" t="str">
        <f>IF(Data!B478="","",IF(AND(Data!G478="",Data!H478&lt;&gt;""),1,IF(Data!#REF!&lt;&gt;"",0,IF(ISNUMBER(MATCH(Data!G478,Data_Val!$C$2:$C$5,0)),0,1))))</f>
        <v/>
      </c>
      <c r="H478" s="15" t="str">
        <f>IF(Data!B478="","",IF(AND(Data!G478&lt;&gt;"",Data!H478=""),1,IF(Data!#REF!&lt;&gt;"",0,IF(Data!G478="",1,IF(ISNUMBER(MATCH(Data!H478,Data_Val!$D$2:$D$35,0)),0,1)))))</f>
        <v/>
      </c>
      <c r="I478" s="15" t="str">
        <f>IF(Data!B478="","",IF(Data!G478&lt;&gt;"",0,IF(ISNUMBER(MATCH(Data!#REF!,Data_Val!$E$2:$E$12,0)),0,1)))</f>
        <v/>
      </c>
      <c r="J478" s="16" t="e">
        <f>IF(OR(Data!B478="",Data!#REF!=""),"",IF(Data!#REF!="",1,0))</f>
        <v>#REF!</v>
      </c>
      <c r="K478" s="16" t="e">
        <f>IF(OR(Data!B478="",Data!#REF!=""),"",IF(Data!#REF!="",1,0))</f>
        <v>#REF!</v>
      </c>
      <c r="L478" s="16" t="e">
        <f>IF(OR(Data!B478="",Data!#REF!=""),"",IF(ISNUMBER(Data!#REF!),IF(AND(Data!#REF!&gt;Data_Val!$G$2,Data!#REF!&lt;=Data_Val!$G$3),0,1),1))</f>
        <v>#REF!</v>
      </c>
      <c r="M478" s="9" t="e">
        <f>IF(OR(Data!B478="",Data!#REF!=""),"",IF(ISNUMBER(MATCH(Data!#REF!,Data_Val!$F$1:$F$38,0)),0,1))</f>
        <v>#REF!</v>
      </c>
      <c r="N478" s="9" t="e">
        <f>IF(OR(Data!B478="",Data!#REF!=""),"",IF(Data!#REF!="",1,0))</f>
        <v>#REF!</v>
      </c>
      <c r="O478" s="17" t="e">
        <f>IF(Data!#REF!="","",IF(Data!#REF!="",1,0))</f>
        <v>#REF!</v>
      </c>
      <c r="P478" s="17" t="e">
        <f>IF(Data!#REF!="","",IF(ISNUMBER(MATCH(Data!#REF!,Data_Val!$A$2:$A$3,0)),0,1))</f>
        <v>#REF!</v>
      </c>
      <c r="Q478" s="25" t="e">
        <f ca="1">IF(Data!#REF!="","",IF(ISNUMBER(Data!#REF!),IF(AND(Data!#REF!&gt;(TODAY()-(Data_Val!$J$3*365.25)),Data!#REF!&lt;=(TODAY()-(Data_Val!$J$2*365.25))),0,1),1))</f>
        <v>#REF!</v>
      </c>
      <c r="R478" s="17" t="e">
        <f>IF(Data!#REF!="","",IF(ISNUMBER(MATCH(Data!#REF!,Data_Val!$B$2:$B$15,0)),0,1))</f>
        <v>#REF!</v>
      </c>
      <c r="S478" s="11" t="str">
        <f>IF(Data!G478="","",IF(Data!G478=Data_Val!$C$2,IF(Data!M478="",0,1),0))</f>
        <v/>
      </c>
      <c r="T478" s="11" t="str">
        <f>IF(Data!M478="","",IF(ISNUMBER(MATCH(Data!N478,Data_Val!$A$2:$A$3,0)),0,1))</f>
        <v/>
      </c>
      <c r="U478" s="11" t="str">
        <f ca="1">IF(Data!M478="","",IF(ISNUMBER(Data!O478),IF(AND(Data!O478&gt;(TODAY()-(Data_Val!$K$3*365.25)),Data!O478&lt;=(TODAY()-(Data_Val!$K$2*365.25))),0,1),1))</f>
        <v/>
      </c>
      <c r="V478" s="12" t="str">
        <f>IF(Data!G478="","",IF(Data!G478=Data_Val!$C$2,IF(Data!P478="",0,1),0))</f>
        <v/>
      </c>
      <c r="W478" s="12" t="str">
        <f>IF(Data!P478="","",IF(ISNUMBER(MATCH(Data!Q478,Data_Val!$A$2:$A$3,0)),0,1))</f>
        <v/>
      </c>
      <c r="X478" s="26" t="str">
        <f ca="1">IF(Data!P478="","",IF(ISNUMBER(Data!R478),IF(AND(Data!R478&gt;(TODAY()-(Data_Val!$L$3*365.25)),Data!R478&lt;=(TODAY()-(Data_Val!$L$2*365.25))),0,1),1))</f>
        <v/>
      </c>
      <c r="Y478" s="13" t="str">
        <f>IF(Data!$G478="","",IF(Data!$G478=Data_Val!$C$2,IF(Data!S478="",0,1),0))</f>
        <v/>
      </c>
      <c r="Z478" s="13" t="str">
        <f>IF(Data!S478="","",IF(ISNUMBER(MATCH(Data!T478,Data_Val!$A$2:$A$3,0)),0,1))</f>
        <v/>
      </c>
      <c r="AA478" s="28" t="str">
        <f ca="1">IF(Data!S478="","",IF(ISNUMBER(Data!U478),IF(AND(Data!U478&gt;(TODAY()-(Data_Val!$L$3*365.25)),Data!U478&lt;=(TODAY()-(Data_Val!$L$2*365.25))),0,1),1))</f>
        <v/>
      </c>
      <c r="AB478" s="11"/>
      <c r="AC478" s="11" t="e">
        <f>IF(Data!#REF!="","",IF(ISNUMBER(MATCH(Data!#REF!,Data_Val!$A$2:$A$3,0)),0,1))</f>
        <v>#REF!</v>
      </c>
      <c r="AD478" s="11" t="e">
        <f ca="1">IF(Data!#REF!="","",IF(ISNUMBER(Data!#REF!),IF(AND(Data!#REF!&gt;(TODAY()-(Data_Val!$L$3*365.25)),Data!#REF!&lt;=(TODAY()-(Data_Val!$L$2*365.25))),0,1),1))</f>
        <v>#REF!</v>
      </c>
      <c r="AE478" s="11" t="e">
        <f>IF(Data!#REF!="","",IF(Data!$G478="",1,IF(ISNUMBER(MATCH(Data!#REF!,Data_Val!$D$2:$D$10,0)),0,1)))</f>
        <v>#REF!</v>
      </c>
      <c r="AF478" s="12"/>
      <c r="AG478" s="12" t="e">
        <f>IF(Data!#REF!="","",IF(ISNUMBER(MATCH(Data!#REF!,Data_Val!$A$2:$A$3,0)),0,1))</f>
        <v>#REF!</v>
      </c>
      <c r="AH478" s="26" t="e">
        <f ca="1">IF(Data!#REF!="","",IF(ISNUMBER(Data!#REF!),IF(AND(Data!#REF!&gt;(TODAY()-(Data_Val!$L$3*365.25)),Data!#REF!&lt;=(TODAY()-(Data_Val!$L$2*365.25))),0,1),1))</f>
        <v>#REF!</v>
      </c>
      <c r="AI478" s="12" t="e">
        <f>IF(Data!#REF!="","",IF(Data!$G478="",1,IF(ISNUMBER(MATCH(Data!#REF!,Data_Val!$D$2:$D$10,0)),0,1)))</f>
        <v>#REF!</v>
      </c>
      <c r="AJ478" s="17"/>
      <c r="AK478" s="17" t="e">
        <f>IF(Data!#REF!="","",IF(ISNUMBER(MATCH(Data!#REF!,Data_Val!$A$2:$A$3,0)),0,1))</f>
        <v>#REF!</v>
      </c>
      <c r="AL478" s="25" t="e">
        <f ca="1">IF(Data!#REF!="","",IF(ISNUMBER(Data!#REF!),IF(AND(Data!#REF!&gt;(TODAY()-(Data_Val!$L$3*365.25)),Data!#REF!&lt;=(TODAY()-(Data_Val!$L$2*365.25))),0,1),1))</f>
        <v>#REF!</v>
      </c>
      <c r="AM478" s="17" t="e">
        <f>IF(Data!#REF!="","",IF(Data!$G478="",1,IF(ISNUMBER(MATCH(Data!#REF!,Data_Val!$D$2:$D$10,0)),0,1)))</f>
        <v>#REF!</v>
      </c>
      <c r="AN478" s="13"/>
      <c r="AO478" s="28" t="e">
        <f ca="1">IF(Data!#REF!="","",IF(ISNUMBER(Data!#REF!),IF(AND(Data!#REF!&gt;(TODAY()-(Data_Val!$I$3*365.25)),Data!#REF!&lt;=(TODAY()-(Data_Val!$I$2*365.25))),0,1),1))</f>
        <v>#REF!</v>
      </c>
      <c r="AP478" s="13" t="e">
        <f>IF(Data!#REF!="","",IF(Data!$G478="",1,IF(ISNUMBER(MATCH(Data!#REF!,Data_Val!$D$2:$D$10,0)),0,1)))</f>
        <v>#REF!</v>
      </c>
      <c r="AQ478" s="17"/>
      <c r="AR478" s="30" t="e">
        <f ca="1">IF(Data!#REF!="","",IF(ISNUMBER(Data!#REF!),IF(AND(Data!#REF!&gt;(TODAY()-(Data_Val!$I$3*365.25)),Data!#REF!&lt;=(TODAY()-(Data_Val!$I$2*365.25))),0,1),1))</f>
        <v>#REF!</v>
      </c>
      <c r="AS478" s="31" t="e">
        <f>IF(Data!#REF!="","",IF(Data!$G478="",1,IF(ISNUMBER(MATCH(Data!#REF!,Data_Val!$D$2:$D$10,0)),0,1)))</f>
        <v>#REF!</v>
      </c>
      <c r="AT478" s="11"/>
      <c r="AU478" s="11" t="e">
        <f ca="1">IF(Data!#REF!="","",IF(ISNUMBER(Data!#REF!),IF(AND(Data!#REF!&gt;(TODAY()-(Data_Val!$I$3*365.25)),Data!#REF!&lt;=(TODAY()-(Data_Val!$I$2*365.25))),0,1),1))</f>
        <v>#REF!</v>
      </c>
      <c r="AV478" s="11" t="e">
        <f>IF(Data!#REF!="","",IF(Data!$G478="",1,IF(ISNUMBER(MATCH(Data!#REF!,Data_Val!$D$2:$D$10,0)),0,1)))</f>
        <v>#REF!</v>
      </c>
      <c r="AW478" s="12"/>
      <c r="AX478" s="26" t="e">
        <f ca="1">IF(Data!#REF!="","",IF(ISNUMBER(Data!#REF!),IF(AND(Data!#REF!&gt;(TODAY()-(Data_Val!$I$3*365.25)),Data!#REF!&lt;=(TODAY()-(Data_Val!$I$2*365.25))),0,1),1))</f>
        <v>#REF!</v>
      </c>
      <c r="AY478" s="12" t="e">
        <f>IF(Data!#REF!="","",IF(Data!$G478="",1,IF(ISNUMBER(MATCH(Data!#REF!,Data_Val!$D$2:$D$10,0)),0,1)))</f>
        <v>#REF!</v>
      </c>
      <c r="AZ478" s="11"/>
      <c r="BA478" s="19" t="e">
        <f ca="1">IF(Data!#REF!="","",IF(ISNUMBER(Data!#REF!),IF(AND(Data!#REF!&gt;(TODAY()-(Data_Val!$M$3*365.25)),Data!#REF!&lt;=(TODAY()-(Data_Val!$M$2*365.25))),0,1),1))</f>
        <v>#REF!</v>
      </c>
      <c r="BB478" s="11" t="e">
        <f>IF(Data!#REF!="","",IF(Data!$G478="",1,IF(ISNUMBER(MATCH(Data!#REF!,Data_Val!$D$2:$D$10,0)),0,1)))</f>
        <v>#REF!</v>
      </c>
      <c r="BC478" s="12"/>
      <c r="BD478" s="20" t="e">
        <f ca="1">IF(Data!#REF!="","",IF(ISNUMBER(Data!#REF!),IF(AND(Data!#REF!&gt;(TODAY()-(Data_Val!$M$3*365.25)),Data!#REF!&lt;=(TODAY()-(Data_Val!$M$2*365.25))),0,1),1))</f>
        <v>#REF!</v>
      </c>
      <c r="BE478" s="12" t="e">
        <f>IF(Data!#REF!="","",IF(Data!$G478="",1,IF(ISNUMBER(MATCH(Data!#REF!,Data_Val!$D$2:$D$10,0)),0,1)))</f>
        <v>#REF!</v>
      </c>
      <c r="BF478" s="17"/>
      <c r="BG478" s="18" t="e">
        <f ca="1">IF(Data!#REF!="","",IF(ISNUMBER(Data!#REF!),IF(AND(Data!#REF!&gt;(TODAY()-(Data_Val!$M$3*365.25)),Data!#REF!&lt;=(TODAY()-(Data_Val!$M$2*365.25))),0,1),1))</f>
        <v>#REF!</v>
      </c>
      <c r="BH478" s="29" t="e">
        <f>IF(Data!#REF!="","",IF(Data!$G478="",1,IF(ISNUMBER(MATCH(Data!#REF!,Data_Val!$D$2:$D$10,0)),0,1)))</f>
        <v>#REF!</v>
      </c>
      <c r="BI478" s="13"/>
      <c r="BJ478" s="21" t="e">
        <f ca="1">IF(Data!#REF!="","",IF(ISNUMBER(Data!#REF!),IF(AND(Data!#REF!&gt;(TODAY()-(Data_Val!$M$3*365.25)),Data!#REF!&lt;=(TODAY()-(Data_Val!$M$2*365.25))),0,1),1))</f>
        <v>#REF!</v>
      </c>
      <c r="BK478" s="13" t="e">
        <f>IF(Data!#REF!="","",IF(Data!$G478="",1,IF(ISNUMBER(MATCH(Data!#REF!,Data_Val!$D$2:$D$10,0)),0,1)))</f>
        <v>#REF!</v>
      </c>
    </row>
    <row r="479" spans="1:63" x14ac:dyDescent="0.25">
      <c r="A479" s="9" t="str">
        <f>IF(Data!B479="","",IF(COUNTIFS(Data!A$1:'Data'!A479,Data!A479)&lt;=1,0,1))</f>
        <v/>
      </c>
      <c r="B479" s="9"/>
      <c r="C479" s="23" t="str">
        <f>IF(Data!C479="","",(IF(ISNUMBER(MATCH("*@*.?*",Data!C479,0)),0,1)+IF(COUNTIFS(Data!C$1:'Data'!C479,Data!C479)&gt;1,1,0)))</f>
        <v/>
      </c>
      <c r="D479" s="9" t="str">
        <f>IF(Data!B479="","",IF(ISNUMBER(Data!D479),IF(AND(Data!D479&gt;999999999,Data!D479&lt;=9999999999),IF(COUNTIFS(Data!D$1:'Data'!D479,Data!D479)&lt;=1,0,1),1),1))</f>
        <v/>
      </c>
      <c r="E479" s="9" t="str">
        <f>IF(Data!B479="","",IF(ISNUMBER(MATCH(Data!E479,Data_Val!$A$2:$A$3,0)),0,1))</f>
        <v/>
      </c>
      <c r="F479" s="9" t="str">
        <f ca="1">IF(Data!B479="","",IF(ISNUMBER(Data!F479),IF(AND(Data!F479&gt;(TODAY()-(Data_Val!$H$3*365.25)),Data!F479&lt;=(TODAY()-(Data_Val!$H$2*365.25))),0,1),1))</f>
        <v/>
      </c>
      <c r="G479" s="15" t="str">
        <f>IF(Data!B479="","",IF(AND(Data!G479="",Data!H479&lt;&gt;""),1,IF(Data!#REF!&lt;&gt;"",0,IF(ISNUMBER(MATCH(Data!G479,Data_Val!$C$2:$C$5,0)),0,1))))</f>
        <v/>
      </c>
      <c r="H479" s="15" t="str">
        <f>IF(Data!B479="","",IF(AND(Data!G479&lt;&gt;"",Data!H479=""),1,IF(Data!#REF!&lt;&gt;"",0,IF(Data!G479="",1,IF(ISNUMBER(MATCH(Data!H479,Data_Val!$D$2:$D$35,0)),0,1)))))</f>
        <v/>
      </c>
      <c r="I479" s="15" t="str">
        <f>IF(Data!B479="","",IF(Data!G479&lt;&gt;"",0,IF(ISNUMBER(MATCH(Data!#REF!,Data_Val!$E$2:$E$12,0)),0,1)))</f>
        <v/>
      </c>
      <c r="J479" s="16" t="e">
        <f>IF(OR(Data!B479="",Data!#REF!=""),"",IF(Data!#REF!="",1,0))</f>
        <v>#REF!</v>
      </c>
      <c r="K479" s="16" t="e">
        <f>IF(OR(Data!B479="",Data!#REF!=""),"",IF(Data!#REF!="",1,0))</f>
        <v>#REF!</v>
      </c>
      <c r="L479" s="16" t="e">
        <f>IF(OR(Data!B479="",Data!#REF!=""),"",IF(ISNUMBER(Data!#REF!),IF(AND(Data!#REF!&gt;Data_Val!$G$2,Data!#REF!&lt;=Data_Val!$G$3),0,1),1))</f>
        <v>#REF!</v>
      </c>
      <c r="M479" s="9" t="e">
        <f>IF(OR(Data!B479="",Data!#REF!=""),"",IF(ISNUMBER(MATCH(Data!#REF!,Data_Val!$F$1:$F$38,0)),0,1))</f>
        <v>#REF!</v>
      </c>
      <c r="N479" s="9" t="e">
        <f>IF(OR(Data!B479="",Data!#REF!=""),"",IF(Data!#REF!="",1,0))</f>
        <v>#REF!</v>
      </c>
      <c r="O479" s="17" t="e">
        <f>IF(Data!#REF!="","",IF(Data!#REF!="",1,0))</f>
        <v>#REF!</v>
      </c>
      <c r="P479" s="17" t="e">
        <f>IF(Data!#REF!="","",IF(ISNUMBER(MATCH(Data!#REF!,Data_Val!$A$2:$A$3,0)),0,1))</f>
        <v>#REF!</v>
      </c>
      <c r="Q479" s="25" t="e">
        <f ca="1">IF(Data!#REF!="","",IF(ISNUMBER(Data!#REF!),IF(AND(Data!#REF!&gt;(TODAY()-(Data_Val!$J$3*365.25)),Data!#REF!&lt;=(TODAY()-(Data_Val!$J$2*365.25))),0,1),1))</f>
        <v>#REF!</v>
      </c>
      <c r="R479" s="17" t="e">
        <f>IF(Data!#REF!="","",IF(ISNUMBER(MATCH(Data!#REF!,Data_Val!$B$2:$B$15,0)),0,1))</f>
        <v>#REF!</v>
      </c>
      <c r="S479" s="11" t="str">
        <f>IF(Data!G479="","",IF(Data!G479=Data_Val!$C$2,IF(Data!M479="",0,1),0))</f>
        <v/>
      </c>
      <c r="T479" s="11" t="str">
        <f>IF(Data!M479="","",IF(ISNUMBER(MATCH(Data!N479,Data_Val!$A$2:$A$3,0)),0,1))</f>
        <v/>
      </c>
      <c r="U479" s="11" t="str">
        <f ca="1">IF(Data!M479="","",IF(ISNUMBER(Data!O479),IF(AND(Data!O479&gt;(TODAY()-(Data_Val!$K$3*365.25)),Data!O479&lt;=(TODAY()-(Data_Val!$K$2*365.25))),0,1),1))</f>
        <v/>
      </c>
      <c r="V479" s="12" t="str">
        <f>IF(Data!G479="","",IF(Data!G479=Data_Val!$C$2,IF(Data!P479="",0,1),0))</f>
        <v/>
      </c>
      <c r="W479" s="12" t="str">
        <f>IF(Data!P479="","",IF(ISNUMBER(MATCH(Data!Q479,Data_Val!$A$2:$A$3,0)),0,1))</f>
        <v/>
      </c>
      <c r="X479" s="26" t="str">
        <f ca="1">IF(Data!P479="","",IF(ISNUMBER(Data!R479),IF(AND(Data!R479&gt;(TODAY()-(Data_Val!$L$3*365.25)),Data!R479&lt;=(TODAY()-(Data_Val!$L$2*365.25))),0,1),1))</f>
        <v/>
      </c>
      <c r="Y479" s="13" t="str">
        <f>IF(Data!$G479="","",IF(Data!$G479=Data_Val!$C$2,IF(Data!S479="",0,1),0))</f>
        <v/>
      </c>
      <c r="Z479" s="13" t="str">
        <f>IF(Data!S479="","",IF(ISNUMBER(MATCH(Data!T479,Data_Val!$A$2:$A$3,0)),0,1))</f>
        <v/>
      </c>
      <c r="AA479" s="28" t="str">
        <f ca="1">IF(Data!S479="","",IF(ISNUMBER(Data!U479),IF(AND(Data!U479&gt;(TODAY()-(Data_Val!$L$3*365.25)),Data!U479&lt;=(TODAY()-(Data_Val!$L$2*365.25))),0,1),1))</f>
        <v/>
      </c>
      <c r="AB479" s="11"/>
      <c r="AC479" s="11" t="e">
        <f>IF(Data!#REF!="","",IF(ISNUMBER(MATCH(Data!#REF!,Data_Val!$A$2:$A$3,0)),0,1))</f>
        <v>#REF!</v>
      </c>
      <c r="AD479" s="11" t="e">
        <f ca="1">IF(Data!#REF!="","",IF(ISNUMBER(Data!#REF!),IF(AND(Data!#REF!&gt;(TODAY()-(Data_Val!$L$3*365.25)),Data!#REF!&lt;=(TODAY()-(Data_Val!$L$2*365.25))),0,1),1))</f>
        <v>#REF!</v>
      </c>
      <c r="AE479" s="11" t="e">
        <f>IF(Data!#REF!="","",IF(Data!$G479="",1,IF(ISNUMBER(MATCH(Data!#REF!,Data_Val!$D$2:$D$10,0)),0,1)))</f>
        <v>#REF!</v>
      </c>
      <c r="AF479" s="12"/>
      <c r="AG479" s="12" t="e">
        <f>IF(Data!#REF!="","",IF(ISNUMBER(MATCH(Data!#REF!,Data_Val!$A$2:$A$3,0)),0,1))</f>
        <v>#REF!</v>
      </c>
      <c r="AH479" s="26" t="e">
        <f ca="1">IF(Data!#REF!="","",IF(ISNUMBER(Data!#REF!),IF(AND(Data!#REF!&gt;(TODAY()-(Data_Val!$L$3*365.25)),Data!#REF!&lt;=(TODAY()-(Data_Val!$L$2*365.25))),0,1),1))</f>
        <v>#REF!</v>
      </c>
      <c r="AI479" s="12" t="e">
        <f>IF(Data!#REF!="","",IF(Data!$G479="",1,IF(ISNUMBER(MATCH(Data!#REF!,Data_Val!$D$2:$D$10,0)),0,1)))</f>
        <v>#REF!</v>
      </c>
      <c r="AJ479" s="17"/>
      <c r="AK479" s="17" t="e">
        <f>IF(Data!#REF!="","",IF(ISNUMBER(MATCH(Data!#REF!,Data_Val!$A$2:$A$3,0)),0,1))</f>
        <v>#REF!</v>
      </c>
      <c r="AL479" s="25" t="e">
        <f ca="1">IF(Data!#REF!="","",IF(ISNUMBER(Data!#REF!),IF(AND(Data!#REF!&gt;(TODAY()-(Data_Val!$L$3*365.25)),Data!#REF!&lt;=(TODAY()-(Data_Val!$L$2*365.25))),0,1),1))</f>
        <v>#REF!</v>
      </c>
      <c r="AM479" s="17" t="e">
        <f>IF(Data!#REF!="","",IF(Data!$G479="",1,IF(ISNUMBER(MATCH(Data!#REF!,Data_Val!$D$2:$D$10,0)),0,1)))</f>
        <v>#REF!</v>
      </c>
      <c r="AN479" s="13"/>
      <c r="AO479" s="28" t="e">
        <f ca="1">IF(Data!#REF!="","",IF(ISNUMBER(Data!#REF!),IF(AND(Data!#REF!&gt;(TODAY()-(Data_Val!$I$3*365.25)),Data!#REF!&lt;=(TODAY()-(Data_Val!$I$2*365.25))),0,1),1))</f>
        <v>#REF!</v>
      </c>
      <c r="AP479" s="13" t="e">
        <f>IF(Data!#REF!="","",IF(Data!$G479="",1,IF(ISNUMBER(MATCH(Data!#REF!,Data_Val!$D$2:$D$10,0)),0,1)))</f>
        <v>#REF!</v>
      </c>
      <c r="AQ479" s="17"/>
      <c r="AR479" s="30" t="e">
        <f ca="1">IF(Data!#REF!="","",IF(ISNUMBER(Data!#REF!),IF(AND(Data!#REF!&gt;(TODAY()-(Data_Val!$I$3*365.25)),Data!#REF!&lt;=(TODAY()-(Data_Val!$I$2*365.25))),0,1),1))</f>
        <v>#REF!</v>
      </c>
      <c r="AS479" s="31" t="e">
        <f>IF(Data!#REF!="","",IF(Data!$G479="",1,IF(ISNUMBER(MATCH(Data!#REF!,Data_Val!$D$2:$D$10,0)),0,1)))</f>
        <v>#REF!</v>
      </c>
      <c r="AT479" s="11"/>
      <c r="AU479" s="11" t="e">
        <f ca="1">IF(Data!#REF!="","",IF(ISNUMBER(Data!#REF!),IF(AND(Data!#REF!&gt;(TODAY()-(Data_Val!$I$3*365.25)),Data!#REF!&lt;=(TODAY()-(Data_Val!$I$2*365.25))),0,1),1))</f>
        <v>#REF!</v>
      </c>
      <c r="AV479" s="11" t="e">
        <f>IF(Data!#REF!="","",IF(Data!$G479="",1,IF(ISNUMBER(MATCH(Data!#REF!,Data_Val!$D$2:$D$10,0)),0,1)))</f>
        <v>#REF!</v>
      </c>
      <c r="AW479" s="12"/>
      <c r="AX479" s="26" t="e">
        <f ca="1">IF(Data!#REF!="","",IF(ISNUMBER(Data!#REF!),IF(AND(Data!#REF!&gt;(TODAY()-(Data_Val!$I$3*365.25)),Data!#REF!&lt;=(TODAY()-(Data_Val!$I$2*365.25))),0,1),1))</f>
        <v>#REF!</v>
      </c>
      <c r="AY479" s="12" t="e">
        <f>IF(Data!#REF!="","",IF(Data!$G479="",1,IF(ISNUMBER(MATCH(Data!#REF!,Data_Val!$D$2:$D$10,0)),0,1)))</f>
        <v>#REF!</v>
      </c>
      <c r="AZ479" s="11"/>
      <c r="BA479" s="19" t="e">
        <f ca="1">IF(Data!#REF!="","",IF(ISNUMBER(Data!#REF!),IF(AND(Data!#REF!&gt;(TODAY()-(Data_Val!$M$3*365.25)),Data!#REF!&lt;=(TODAY()-(Data_Val!$M$2*365.25))),0,1),1))</f>
        <v>#REF!</v>
      </c>
      <c r="BB479" s="11" t="e">
        <f>IF(Data!#REF!="","",IF(Data!$G479="",1,IF(ISNUMBER(MATCH(Data!#REF!,Data_Val!$D$2:$D$10,0)),0,1)))</f>
        <v>#REF!</v>
      </c>
      <c r="BC479" s="12"/>
      <c r="BD479" s="20" t="e">
        <f ca="1">IF(Data!#REF!="","",IF(ISNUMBER(Data!#REF!),IF(AND(Data!#REF!&gt;(TODAY()-(Data_Val!$M$3*365.25)),Data!#REF!&lt;=(TODAY()-(Data_Val!$M$2*365.25))),0,1),1))</f>
        <v>#REF!</v>
      </c>
      <c r="BE479" s="12" t="e">
        <f>IF(Data!#REF!="","",IF(Data!$G479="",1,IF(ISNUMBER(MATCH(Data!#REF!,Data_Val!$D$2:$D$10,0)),0,1)))</f>
        <v>#REF!</v>
      </c>
      <c r="BF479" s="17"/>
      <c r="BG479" s="18" t="e">
        <f ca="1">IF(Data!#REF!="","",IF(ISNUMBER(Data!#REF!),IF(AND(Data!#REF!&gt;(TODAY()-(Data_Val!$M$3*365.25)),Data!#REF!&lt;=(TODAY()-(Data_Val!$M$2*365.25))),0,1),1))</f>
        <v>#REF!</v>
      </c>
      <c r="BH479" s="29" t="e">
        <f>IF(Data!#REF!="","",IF(Data!$G479="",1,IF(ISNUMBER(MATCH(Data!#REF!,Data_Val!$D$2:$D$10,0)),0,1)))</f>
        <v>#REF!</v>
      </c>
      <c r="BI479" s="13"/>
      <c r="BJ479" s="21" t="e">
        <f ca="1">IF(Data!#REF!="","",IF(ISNUMBER(Data!#REF!),IF(AND(Data!#REF!&gt;(TODAY()-(Data_Val!$M$3*365.25)),Data!#REF!&lt;=(TODAY()-(Data_Val!$M$2*365.25))),0,1),1))</f>
        <v>#REF!</v>
      </c>
      <c r="BK479" s="13" t="e">
        <f>IF(Data!#REF!="","",IF(Data!$G479="",1,IF(ISNUMBER(MATCH(Data!#REF!,Data_Val!$D$2:$D$10,0)),0,1)))</f>
        <v>#REF!</v>
      </c>
    </row>
    <row r="480" spans="1:63" x14ac:dyDescent="0.25">
      <c r="A480" s="9" t="str">
        <f>IF(Data!B480="","",IF(COUNTIFS(Data!A$1:'Data'!A480,Data!A480)&lt;=1,0,1))</f>
        <v/>
      </c>
      <c r="B480" s="9"/>
      <c r="C480" s="23" t="str">
        <f>IF(Data!C480="","",(IF(ISNUMBER(MATCH("*@*.?*",Data!C480,0)),0,1)+IF(COUNTIFS(Data!C$1:'Data'!C480,Data!C480)&gt;1,1,0)))</f>
        <v/>
      </c>
      <c r="D480" s="9" t="str">
        <f>IF(Data!B480="","",IF(ISNUMBER(Data!D480),IF(AND(Data!D480&gt;999999999,Data!D480&lt;=9999999999),IF(COUNTIFS(Data!D$1:'Data'!D480,Data!D480)&lt;=1,0,1),1),1))</f>
        <v/>
      </c>
      <c r="E480" s="9" t="str">
        <f>IF(Data!B480="","",IF(ISNUMBER(MATCH(Data!E480,Data_Val!$A$2:$A$3,0)),0,1))</f>
        <v/>
      </c>
      <c r="F480" s="9" t="str">
        <f ca="1">IF(Data!B480="","",IF(ISNUMBER(Data!F480),IF(AND(Data!F480&gt;(TODAY()-(Data_Val!$H$3*365.25)),Data!F480&lt;=(TODAY()-(Data_Val!$H$2*365.25))),0,1),1))</f>
        <v/>
      </c>
      <c r="G480" s="15" t="str">
        <f>IF(Data!B480="","",IF(AND(Data!G480="",Data!H480&lt;&gt;""),1,IF(Data!#REF!&lt;&gt;"",0,IF(ISNUMBER(MATCH(Data!G480,Data_Val!$C$2:$C$5,0)),0,1))))</f>
        <v/>
      </c>
      <c r="H480" s="15" t="str">
        <f>IF(Data!B480="","",IF(AND(Data!G480&lt;&gt;"",Data!H480=""),1,IF(Data!#REF!&lt;&gt;"",0,IF(Data!G480="",1,IF(ISNUMBER(MATCH(Data!H480,Data_Val!$D$2:$D$35,0)),0,1)))))</f>
        <v/>
      </c>
      <c r="I480" s="15" t="str">
        <f>IF(Data!B480="","",IF(Data!G480&lt;&gt;"",0,IF(ISNUMBER(MATCH(Data!#REF!,Data_Val!$E$2:$E$12,0)),0,1)))</f>
        <v/>
      </c>
      <c r="J480" s="16" t="e">
        <f>IF(OR(Data!B480="",Data!#REF!=""),"",IF(Data!#REF!="",1,0))</f>
        <v>#REF!</v>
      </c>
      <c r="K480" s="16" t="e">
        <f>IF(OR(Data!B480="",Data!#REF!=""),"",IF(Data!#REF!="",1,0))</f>
        <v>#REF!</v>
      </c>
      <c r="L480" s="16" t="e">
        <f>IF(OR(Data!B480="",Data!#REF!=""),"",IF(ISNUMBER(Data!#REF!),IF(AND(Data!#REF!&gt;Data_Val!$G$2,Data!#REF!&lt;=Data_Val!$G$3),0,1),1))</f>
        <v>#REF!</v>
      </c>
      <c r="M480" s="9" t="e">
        <f>IF(OR(Data!B480="",Data!#REF!=""),"",IF(ISNUMBER(MATCH(Data!#REF!,Data_Val!$F$1:$F$38,0)),0,1))</f>
        <v>#REF!</v>
      </c>
      <c r="N480" s="9" t="e">
        <f>IF(OR(Data!B480="",Data!#REF!=""),"",IF(Data!#REF!="",1,0))</f>
        <v>#REF!</v>
      </c>
      <c r="O480" s="17" t="e">
        <f>IF(Data!#REF!="","",IF(Data!#REF!="",1,0))</f>
        <v>#REF!</v>
      </c>
      <c r="P480" s="17" t="e">
        <f>IF(Data!#REF!="","",IF(ISNUMBER(MATCH(Data!#REF!,Data_Val!$A$2:$A$3,0)),0,1))</f>
        <v>#REF!</v>
      </c>
      <c r="Q480" s="25" t="e">
        <f ca="1">IF(Data!#REF!="","",IF(ISNUMBER(Data!#REF!),IF(AND(Data!#REF!&gt;(TODAY()-(Data_Val!$J$3*365.25)),Data!#REF!&lt;=(TODAY()-(Data_Val!$J$2*365.25))),0,1),1))</f>
        <v>#REF!</v>
      </c>
      <c r="R480" s="17" t="e">
        <f>IF(Data!#REF!="","",IF(ISNUMBER(MATCH(Data!#REF!,Data_Val!$B$2:$B$15,0)),0,1))</f>
        <v>#REF!</v>
      </c>
      <c r="S480" s="11" t="str">
        <f>IF(Data!G480="","",IF(Data!G480=Data_Val!$C$2,IF(Data!M480="",0,1),0))</f>
        <v/>
      </c>
      <c r="T480" s="11" t="str">
        <f>IF(Data!M480="","",IF(ISNUMBER(MATCH(Data!N480,Data_Val!$A$2:$A$3,0)),0,1))</f>
        <v/>
      </c>
      <c r="U480" s="11" t="str">
        <f ca="1">IF(Data!M480="","",IF(ISNUMBER(Data!O480),IF(AND(Data!O480&gt;(TODAY()-(Data_Val!$K$3*365.25)),Data!O480&lt;=(TODAY()-(Data_Val!$K$2*365.25))),0,1),1))</f>
        <v/>
      </c>
      <c r="V480" s="12" t="str">
        <f>IF(Data!G480="","",IF(Data!G480=Data_Val!$C$2,IF(Data!P480="",0,1),0))</f>
        <v/>
      </c>
      <c r="W480" s="12" t="str">
        <f>IF(Data!P480="","",IF(ISNUMBER(MATCH(Data!Q480,Data_Val!$A$2:$A$3,0)),0,1))</f>
        <v/>
      </c>
      <c r="X480" s="26" t="str">
        <f ca="1">IF(Data!P480="","",IF(ISNUMBER(Data!R480),IF(AND(Data!R480&gt;(TODAY()-(Data_Val!$L$3*365.25)),Data!R480&lt;=(TODAY()-(Data_Val!$L$2*365.25))),0,1),1))</f>
        <v/>
      </c>
      <c r="Y480" s="13" t="str">
        <f>IF(Data!$G480="","",IF(Data!$G480=Data_Val!$C$2,IF(Data!S480="",0,1),0))</f>
        <v/>
      </c>
      <c r="Z480" s="13" t="str">
        <f>IF(Data!S480="","",IF(ISNUMBER(MATCH(Data!T480,Data_Val!$A$2:$A$3,0)),0,1))</f>
        <v/>
      </c>
      <c r="AA480" s="28" t="str">
        <f ca="1">IF(Data!S480="","",IF(ISNUMBER(Data!U480),IF(AND(Data!U480&gt;(TODAY()-(Data_Val!$L$3*365.25)),Data!U480&lt;=(TODAY()-(Data_Val!$L$2*365.25))),0,1),1))</f>
        <v/>
      </c>
      <c r="AB480" s="11"/>
      <c r="AC480" s="11" t="e">
        <f>IF(Data!#REF!="","",IF(ISNUMBER(MATCH(Data!#REF!,Data_Val!$A$2:$A$3,0)),0,1))</f>
        <v>#REF!</v>
      </c>
      <c r="AD480" s="11" t="e">
        <f ca="1">IF(Data!#REF!="","",IF(ISNUMBER(Data!#REF!),IF(AND(Data!#REF!&gt;(TODAY()-(Data_Val!$L$3*365.25)),Data!#REF!&lt;=(TODAY()-(Data_Val!$L$2*365.25))),0,1),1))</f>
        <v>#REF!</v>
      </c>
      <c r="AE480" s="11" t="e">
        <f>IF(Data!#REF!="","",IF(Data!$G480="",1,IF(ISNUMBER(MATCH(Data!#REF!,Data_Val!$D$2:$D$10,0)),0,1)))</f>
        <v>#REF!</v>
      </c>
      <c r="AF480" s="12"/>
      <c r="AG480" s="12" t="e">
        <f>IF(Data!#REF!="","",IF(ISNUMBER(MATCH(Data!#REF!,Data_Val!$A$2:$A$3,0)),0,1))</f>
        <v>#REF!</v>
      </c>
      <c r="AH480" s="26" t="e">
        <f ca="1">IF(Data!#REF!="","",IF(ISNUMBER(Data!#REF!),IF(AND(Data!#REF!&gt;(TODAY()-(Data_Val!$L$3*365.25)),Data!#REF!&lt;=(TODAY()-(Data_Val!$L$2*365.25))),0,1),1))</f>
        <v>#REF!</v>
      </c>
      <c r="AI480" s="12" t="e">
        <f>IF(Data!#REF!="","",IF(Data!$G480="",1,IF(ISNUMBER(MATCH(Data!#REF!,Data_Val!$D$2:$D$10,0)),0,1)))</f>
        <v>#REF!</v>
      </c>
      <c r="AJ480" s="17"/>
      <c r="AK480" s="17" t="e">
        <f>IF(Data!#REF!="","",IF(ISNUMBER(MATCH(Data!#REF!,Data_Val!$A$2:$A$3,0)),0,1))</f>
        <v>#REF!</v>
      </c>
      <c r="AL480" s="25" t="e">
        <f ca="1">IF(Data!#REF!="","",IF(ISNUMBER(Data!#REF!),IF(AND(Data!#REF!&gt;(TODAY()-(Data_Val!$L$3*365.25)),Data!#REF!&lt;=(TODAY()-(Data_Val!$L$2*365.25))),0,1),1))</f>
        <v>#REF!</v>
      </c>
      <c r="AM480" s="17" t="e">
        <f>IF(Data!#REF!="","",IF(Data!$G480="",1,IF(ISNUMBER(MATCH(Data!#REF!,Data_Val!$D$2:$D$10,0)),0,1)))</f>
        <v>#REF!</v>
      </c>
      <c r="AN480" s="13"/>
      <c r="AO480" s="28" t="e">
        <f ca="1">IF(Data!#REF!="","",IF(ISNUMBER(Data!#REF!),IF(AND(Data!#REF!&gt;(TODAY()-(Data_Val!$I$3*365.25)),Data!#REF!&lt;=(TODAY()-(Data_Val!$I$2*365.25))),0,1),1))</f>
        <v>#REF!</v>
      </c>
      <c r="AP480" s="13" t="e">
        <f>IF(Data!#REF!="","",IF(Data!$G480="",1,IF(ISNUMBER(MATCH(Data!#REF!,Data_Val!$D$2:$D$10,0)),0,1)))</f>
        <v>#REF!</v>
      </c>
      <c r="AQ480" s="17"/>
      <c r="AR480" s="30" t="e">
        <f ca="1">IF(Data!#REF!="","",IF(ISNUMBER(Data!#REF!),IF(AND(Data!#REF!&gt;(TODAY()-(Data_Val!$I$3*365.25)),Data!#REF!&lt;=(TODAY()-(Data_Val!$I$2*365.25))),0,1),1))</f>
        <v>#REF!</v>
      </c>
      <c r="AS480" s="31" t="e">
        <f>IF(Data!#REF!="","",IF(Data!$G480="",1,IF(ISNUMBER(MATCH(Data!#REF!,Data_Val!$D$2:$D$10,0)),0,1)))</f>
        <v>#REF!</v>
      </c>
      <c r="AT480" s="11"/>
      <c r="AU480" s="11" t="e">
        <f ca="1">IF(Data!#REF!="","",IF(ISNUMBER(Data!#REF!),IF(AND(Data!#REF!&gt;(TODAY()-(Data_Val!$I$3*365.25)),Data!#REF!&lt;=(TODAY()-(Data_Val!$I$2*365.25))),0,1),1))</f>
        <v>#REF!</v>
      </c>
      <c r="AV480" s="11" t="e">
        <f>IF(Data!#REF!="","",IF(Data!$G480="",1,IF(ISNUMBER(MATCH(Data!#REF!,Data_Val!$D$2:$D$10,0)),0,1)))</f>
        <v>#REF!</v>
      </c>
      <c r="AW480" s="12"/>
      <c r="AX480" s="26" t="e">
        <f ca="1">IF(Data!#REF!="","",IF(ISNUMBER(Data!#REF!),IF(AND(Data!#REF!&gt;(TODAY()-(Data_Val!$I$3*365.25)),Data!#REF!&lt;=(TODAY()-(Data_Val!$I$2*365.25))),0,1),1))</f>
        <v>#REF!</v>
      </c>
      <c r="AY480" s="12" t="e">
        <f>IF(Data!#REF!="","",IF(Data!$G480="",1,IF(ISNUMBER(MATCH(Data!#REF!,Data_Val!$D$2:$D$10,0)),0,1)))</f>
        <v>#REF!</v>
      </c>
      <c r="AZ480" s="11"/>
      <c r="BA480" s="19" t="e">
        <f ca="1">IF(Data!#REF!="","",IF(ISNUMBER(Data!#REF!),IF(AND(Data!#REF!&gt;(TODAY()-(Data_Val!$M$3*365.25)),Data!#REF!&lt;=(TODAY()-(Data_Val!$M$2*365.25))),0,1),1))</f>
        <v>#REF!</v>
      </c>
      <c r="BB480" s="11" t="e">
        <f>IF(Data!#REF!="","",IF(Data!$G480="",1,IF(ISNUMBER(MATCH(Data!#REF!,Data_Val!$D$2:$D$10,0)),0,1)))</f>
        <v>#REF!</v>
      </c>
      <c r="BC480" s="12"/>
      <c r="BD480" s="20" t="e">
        <f ca="1">IF(Data!#REF!="","",IF(ISNUMBER(Data!#REF!),IF(AND(Data!#REF!&gt;(TODAY()-(Data_Val!$M$3*365.25)),Data!#REF!&lt;=(TODAY()-(Data_Val!$M$2*365.25))),0,1),1))</f>
        <v>#REF!</v>
      </c>
      <c r="BE480" s="12" t="e">
        <f>IF(Data!#REF!="","",IF(Data!$G480="",1,IF(ISNUMBER(MATCH(Data!#REF!,Data_Val!$D$2:$D$10,0)),0,1)))</f>
        <v>#REF!</v>
      </c>
      <c r="BF480" s="17"/>
      <c r="BG480" s="18" t="e">
        <f ca="1">IF(Data!#REF!="","",IF(ISNUMBER(Data!#REF!),IF(AND(Data!#REF!&gt;(TODAY()-(Data_Val!$M$3*365.25)),Data!#REF!&lt;=(TODAY()-(Data_Val!$M$2*365.25))),0,1),1))</f>
        <v>#REF!</v>
      </c>
      <c r="BH480" s="29" t="e">
        <f>IF(Data!#REF!="","",IF(Data!$G480="",1,IF(ISNUMBER(MATCH(Data!#REF!,Data_Val!$D$2:$D$10,0)),0,1)))</f>
        <v>#REF!</v>
      </c>
      <c r="BI480" s="13"/>
      <c r="BJ480" s="21" t="e">
        <f ca="1">IF(Data!#REF!="","",IF(ISNUMBER(Data!#REF!),IF(AND(Data!#REF!&gt;(TODAY()-(Data_Val!$M$3*365.25)),Data!#REF!&lt;=(TODAY()-(Data_Val!$M$2*365.25))),0,1),1))</f>
        <v>#REF!</v>
      </c>
      <c r="BK480" s="13" t="e">
        <f>IF(Data!#REF!="","",IF(Data!$G480="",1,IF(ISNUMBER(MATCH(Data!#REF!,Data_Val!$D$2:$D$10,0)),0,1)))</f>
        <v>#REF!</v>
      </c>
    </row>
    <row r="481" spans="1:63" x14ac:dyDescent="0.25">
      <c r="A481" s="9" t="str">
        <f>IF(Data!B481="","",IF(COUNTIFS(Data!A$1:'Data'!A481,Data!A481)&lt;=1,0,1))</f>
        <v/>
      </c>
      <c r="B481" s="9"/>
      <c r="C481" s="23" t="str">
        <f>IF(Data!C481="","",(IF(ISNUMBER(MATCH("*@*.?*",Data!C481,0)),0,1)+IF(COUNTIFS(Data!C$1:'Data'!C481,Data!C481)&gt;1,1,0)))</f>
        <v/>
      </c>
      <c r="D481" s="9" t="str">
        <f>IF(Data!B481="","",IF(ISNUMBER(Data!D481),IF(AND(Data!D481&gt;999999999,Data!D481&lt;=9999999999),IF(COUNTIFS(Data!D$1:'Data'!D481,Data!D481)&lt;=1,0,1),1),1))</f>
        <v/>
      </c>
      <c r="E481" s="9" t="str">
        <f>IF(Data!B481="","",IF(ISNUMBER(MATCH(Data!E481,Data_Val!$A$2:$A$3,0)),0,1))</f>
        <v/>
      </c>
      <c r="F481" s="9" t="str">
        <f ca="1">IF(Data!B481="","",IF(ISNUMBER(Data!F481),IF(AND(Data!F481&gt;(TODAY()-(Data_Val!$H$3*365.25)),Data!F481&lt;=(TODAY()-(Data_Val!$H$2*365.25))),0,1),1))</f>
        <v/>
      </c>
      <c r="G481" s="15" t="str">
        <f>IF(Data!B481="","",IF(AND(Data!G481="",Data!H481&lt;&gt;""),1,IF(Data!#REF!&lt;&gt;"",0,IF(ISNUMBER(MATCH(Data!G481,Data_Val!$C$2:$C$5,0)),0,1))))</f>
        <v/>
      </c>
      <c r="H481" s="15" t="str">
        <f>IF(Data!B481="","",IF(AND(Data!G481&lt;&gt;"",Data!H481=""),1,IF(Data!#REF!&lt;&gt;"",0,IF(Data!G481="",1,IF(ISNUMBER(MATCH(Data!H481,Data_Val!$D$2:$D$35,0)),0,1)))))</f>
        <v/>
      </c>
      <c r="I481" s="15" t="str">
        <f>IF(Data!B481="","",IF(Data!G481&lt;&gt;"",0,IF(ISNUMBER(MATCH(Data!#REF!,Data_Val!$E$2:$E$12,0)),0,1)))</f>
        <v/>
      </c>
      <c r="J481" s="16" t="e">
        <f>IF(OR(Data!B481="",Data!#REF!=""),"",IF(Data!#REF!="",1,0))</f>
        <v>#REF!</v>
      </c>
      <c r="K481" s="16" t="e">
        <f>IF(OR(Data!B481="",Data!#REF!=""),"",IF(Data!#REF!="",1,0))</f>
        <v>#REF!</v>
      </c>
      <c r="L481" s="16" t="e">
        <f>IF(OR(Data!B481="",Data!#REF!=""),"",IF(ISNUMBER(Data!#REF!),IF(AND(Data!#REF!&gt;Data_Val!$G$2,Data!#REF!&lt;=Data_Val!$G$3),0,1),1))</f>
        <v>#REF!</v>
      </c>
      <c r="M481" s="9" t="e">
        <f>IF(OR(Data!B481="",Data!#REF!=""),"",IF(ISNUMBER(MATCH(Data!#REF!,Data_Val!$F$1:$F$38,0)),0,1))</f>
        <v>#REF!</v>
      </c>
      <c r="N481" s="9" t="e">
        <f>IF(OR(Data!B481="",Data!#REF!=""),"",IF(Data!#REF!="",1,0))</f>
        <v>#REF!</v>
      </c>
      <c r="O481" s="17" t="e">
        <f>IF(Data!#REF!="","",IF(Data!#REF!="",1,0))</f>
        <v>#REF!</v>
      </c>
      <c r="P481" s="17" t="e">
        <f>IF(Data!#REF!="","",IF(ISNUMBER(MATCH(Data!#REF!,Data_Val!$A$2:$A$3,0)),0,1))</f>
        <v>#REF!</v>
      </c>
      <c r="Q481" s="25" t="e">
        <f ca="1">IF(Data!#REF!="","",IF(ISNUMBER(Data!#REF!),IF(AND(Data!#REF!&gt;(TODAY()-(Data_Val!$J$3*365.25)),Data!#REF!&lt;=(TODAY()-(Data_Val!$J$2*365.25))),0,1),1))</f>
        <v>#REF!</v>
      </c>
      <c r="R481" s="17" t="e">
        <f>IF(Data!#REF!="","",IF(ISNUMBER(MATCH(Data!#REF!,Data_Val!$B$2:$B$15,0)),0,1))</f>
        <v>#REF!</v>
      </c>
      <c r="S481" s="11" t="str">
        <f>IF(Data!G481="","",IF(Data!G481=Data_Val!$C$2,IF(Data!M481="",0,1),0))</f>
        <v/>
      </c>
      <c r="T481" s="11" t="str">
        <f>IF(Data!M481="","",IF(ISNUMBER(MATCH(Data!N481,Data_Val!$A$2:$A$3,0)),0,1))</f>
        <v/>
      </c>
      <c r="U481" s="11" t="str">
        <f ca="1">IF(Data!M481="","",IF(ISNUMBER(Data!O481),IF(AND(Data!O481&gt;(TODAY()-(Data_Val!$K$3*365.25)),Data!O481&lt;=(TODAY()-(Data_Val!$K$2*365.25))),0,1),1))</f>
        <v/>
      </c>
      <c r="V481" s="12" t="str">
        <f>IF(Data!G481="","",IF(Data!G481=Data_Val!$C$2,IF(Data!P481="",0,1),0))</f>
        <v/>
      </c>
      <c r="W481" s="12" t="str">
        <f>IF(Data!P481="","",IF(ISNUMBER(MATCH(Data!Q481,Data_Val!$A$2:$A$3,0)),0,1))</f>
        <v/>
      </c>
      <c r="X481" s="26" t="str">
        <f ca="1">IF(Data!P481="","",IF(ISNUMBER(Data!R481),IF(AND(Data!R481&gt;(TODAY()-(Data_Val!$L$3*365.25)),Data!R481&lt;=(TODAY()-(Data_Val!$L$2*365.25))),0,1),1))</f>
        <v/>
      </c>
      <c r="Y481" s="13" t="str">
        <f>IF(Data!$G481="","",IF(Data!$G481=Data_Val!$C$2,IF(Data!S481="",0,1),0))</f>
        <v/>
      </c>
      <c r="Z481" s="13" t="str">
        <f>IF(Data!S481="","",IF(ISNUMBER(MATCH(Data!T481,Data_Val!$A$2:$A$3,0)),0,1))</f>
        <v/>
      </c>
      <c r="AA481" s="28" t="str">
        <f ca="1">IF(Data!S481="","",IF(ISNUMBER(Data!U481),IF(AND(Data!U481&gt;(TODAY()-(Data_Val!$L$3*365.25)),Data!U481&lt;=(TODAY()-(Data_Val!$L$2*365.25))),0,1),1))</f>
        <v/>
      </c>
      <c r="AB481" s="11"/>
      <c r="AC481" s="11" t="e">
        <f>IF(Data!#REF!="","",IF(ISNUMBER(MATCH(Data!#REF!,Data_Val!$A$2:$A$3,0)),0,1))</f>
        <v>#REF!</v>
      </c>
      <c r="AD481" s="11" t="e">
        <f ca="1">IF(Data!#REF!="","",IF(ISNUMBER(Data!#REF!),IF(AND(Data!#REF!&gt;(TODAY()-(Data_Val!$L$3*365.25)),Data!#REF!&lt;=(TODAY()-(Data_Val!$L$2*365.25))),0,1),1))</f>
        <v>#REF!</v>
      </c>
      <c r="AE481" s="11" t="e">
        <f>IF(Data!#REF!="","",IF(Data!$G481="",1,IF(ISNUMBER(MATCH(Data!#REF!,Data_Val!$D$2:$D$10,0)),0,1)))</f>
        <v>#REF!</v>
      </c>
      <c r="AF481" s="12"/>
      <c r="AG481" s="12" t="e">
        <f>IF(Data!#REF!="","",IF(ISNUMBER(MATCH(Data!#REF!,Data_Val!$A$2:$A$3,0)),0,1))</f>
        <v>#REF!</v>
      </c>
      <c r="AH481" s="26" t="e">
        <f ca="1">IF(Data!#REF!="","",IF(ISNUMBER(Data!#REF!),IF(AND(Data!#REF!&gt;(TODAY()-(Data_Val!$L$3*365.25)),Data!#REF!&lt;=(TODAY()-(Data_Val!$L$2*365.25))),0,1),1))</f>
        <v>#REF!</v>
      </c>
      <c r="AI481" s="12" t="e">
        <f>IF(Data!#REF!="","",IF(Data!$G481="",1,IF(ISNUMBER(MATCH(Data!#REF!,Data_Val!$D$2:$D$10,0)),0,1)))</f>
        <v>#REF!</v>
      </c>
      <c r="AJ481" s="17"/>
      <c r="AK481" s="17" t="e">
        <f>IF(Data!#REF!="","",IF(ISNUMBER(MATCH(Data!#REF!,Data_Val!$A$2:$A$3,0)),0,1))</f>
        <v>#REF!</v>
      </c>
      <c r="AL481" s="25" t="e">
        <f ca="1">IF(Data!#REF!="","",IF(ISNUMBER(Data!#REF!),IF(AND(Data!#REF!&gt;(TODAY()-(Data_Val!$L$3*365.25)),Data!#REF!&lt;=(TODAY()-(Data_Val!$L$2*365.25))),0,1),1))</f>
        <v>#REF!</v>
      </c>
      <c r="AM481" s="17" t="e">
        <f>IF(Data!#REF!="","",IF(Data!$G481="",1,IF(ISNUMBER(MATCH(Data!#REF!,Data_Val!$D$2:$D$10,0)),0,1)))</f>
        <v>#REF!</v>
      </c>
      <c r="AN481" s="13"/>
      <c r="AO481" s="28" t="e">
        <f ca="1">IF(Data!#REF!="","",IF(ISNUMBER(Data!#REF!),IF(AND(Data!#REF!&gt;(TODAY()-(Data_Val!$I$3*365.25)),Data!#REF!&lt;=(TODAY()-(Data_Val!$I$2*365.25))),0,1),1))</f>
        <v>#REF!</v>
      </c>
      <c r="AP481" s="13" t="e">
        <f>IF(Data!#REF!="","",IF(Data!$G481="",1,IF(ISNUMBER(MATCH(Data!#REF!,Data_Val!$D$2:$D$10,0)),0,1)))</f>
        <v>#REF!</v>
      </c>
      <c r="AQ481" s="17"/>
      <c r="AR481" s="30" t="e">
        <f ca="1">IF(Data!#REF!="","",IF(ISNUMBER(Data!#REF!),IF(AND(Data!#REF!&gt;(TODAY()-(Data_Val!$I$3*365.25)),Data!#REF!&lt;=(TODAY()-(Data_Val!$I$2*365.25))),0,1),1))</f>
        <v>#REF!</v>
      </c>
      <c r="AS481" s="31" t="e">
        <f>IF(Data!#REF!="","",IF(Data!$G481="",1,IF(ISNUMBER(MATCH(Data!#REF!,Data_Val!$D$2:$D$10,0)),0,1)))</f>
        <v>#REF!</v>
      </c>
      <c r="AT481" s="11"/>
      <c r="AU481" s="11" t="e">
        <f ca="1">IF(Data!#REF!="","",IF(ISNUMBER(Data!#REF!),IF(AND(Data!#REF!&gt;(TODAY()-(Data_Val!$I$3*365.25)),Data!#REF!&lt;=(TODAY()-(Data_Val!$I$2*365.25))),0,1),1))</f>
        <v>#REF!</v>
      </c>
      <c r="AV481" s="11" t="e">
        <f>IF(Data!#REF!="","",IF(Data!$G481="",1,IF(ISNUMBER(MATCH(Data!#REF!,Data_Val!$D$2:$D$10,0)),0,1)))</f>
        <v>#REF!</v>
      </c>
      <c r="AW481" s="12"/>
      <c r="AX481" s="26" t="e">
        <f ca="1">IF(Data!#REF!="","",IF(ISNUMBER(Data!#REF!),IF(AND(Data!#REF!&gt;(TODAY()-(Data_Val!$I$3*365.25)),Data!#REF!&lt;=(TODAY()-(Data_Val!$I$2*365.25))),0,1),1))</f>
        <v>#REF!</v>
      </c>
      <c r="AY481" s="12" t="e">
        <f>IF(Data!#REF!="","",IF(Data!$G481="",1,IF(ISNUMBER(MATCH(Data!#REF!,Data_Val!$D$2:$D$10,0)),0,1)))</f>
        <v>#REF!</v>
      </c>
      <c r="AZ481" s="11"/>
      <c r="BA481" s="19" t="e">
        <f ca="1">IF(Data!#REF!="","",IF(ISNUMBER(Data!#REF!),IF(AND(Data!#REF!&gt;(TODAY()-(Data_Val!$M$3*365.25)),Data!#REF!&lt;=(TODAY()-(Data_Val!$M$2*365.25))),0,1),1))</f>
        <v>#REF!</v>
      </c>
      <c r="BB481" s="11" t="e">
        <f>IF(Data!#REF!="","",IF(Data!$G481="",1,IF(ISNUMBER(MATCH(Data!#REF!,Data_Val!$D$2:$D$10,0)),0,1)))</f>
        <v>#REF!</v>
      </c>
      <c r="BC481" s="12"/>
      <c r="BD481" s="20" t="e">
        <f ca="1">IF(Data!#REF!="","",IF(ISNUMBER(Data!#REF!),IF(AND(Data!#REF!&gt;(TODAY()-(Data_Val!$M$3*365.25)),Data!#REF!&lt;=(TODAY()-(Data_Val!$M$2*365.25))),0,1),1))</f>
        <v>#REF!</v>
      </c>
      <c r="BE481" s="12" t="e">
        <f>IF(Data!#REF!="","",IF(Data!$G481="",1,IF(ISNUMBER(MATCH(Data!#REF!,Data_Val!$D$2:$D$10,0)),0,1)))</f>
        <v>#REF!</v>
      </c>
      <c r="BF481" s="17"/>
      <c r="BG481" s="18" t="e">
        <f ca="1">IF(Data!#REF!="","",IF(ISNUMBER(Data!#REF!),IF(AND(Data!#REF!&gt;(TODAY()-(Data_Val!$M$3*365.25)),Data!#REF!&lt;=(TODAY()-(Data_Val!$M$2*365.25))),0,1),1))</f>
        <v>#REF!</v>
      </c>
      <c r="BH481" s="29" t="e">
        <f>IF(Data!#REF!="","",IF(Data!$G481="",1,IF(ISNUMBER(MATCH(Data!#REF!,Data_Val!$D$2:$D$10,0)),0,1)))</f>
        <v>#REF!</v>
      </c>
      <c r="BI481" s="13"/>
      <c r="BJ481" s="21" t="e">
        <f ca="1">IF(Data!#REF!="","",IF(ISNUMBER(Data!#REF!),IF(AND(Data!#REF!&gt;(TODAY()-(Data_Val!$M$3*365.25)),Data!#REF!&lt;=(TODAY()-(Data_Val!$M$2*365.25))),0,1),1))</f>
        <v>#REF!</v>
      </c>
      <c r="BK481" s="13" t="e">
        <f>IF(Data!#REF!="","",IF(Data!$G481="",1,IF(ISNUMBER(MATCH(Data!#REF!,Data_Val!$D$2:$D$10,0)),0,1)))</f>
        <v>#REF!</v>
      </c>
    </row>
    <row r="482" spans="1:63" x14ac:dyDescent="0.25">
      <c r="A482" s="9" t="str">
        <f>IF(Data!B482="","",IF(COUNTIFS(Data!A$1:'Data'!A482,Data!A482)&lt;=1,0,1))</f>
        <v/>
      </c>
      <c r="B482" s="9"/>
      <c r="C482" s="23" t="str">
        <f>IF(Data!C482="","",(IF(ISNUMBER(MATCH("*@*.?*",Data!C482,0)),0,1)+IF(COUNTIFS(Data!C$1:'Data'!C482,Data!C482)&gt;1,1,0)))</f>
        <v/>
      </c>
      <c r="D482" s="9" t="str">
        <f>IF(Data!B482="","",IF(ISNUMBER(Data!D482),IF(AND(Data!D482&gt;999999999,Data!D482&lt;=9999999999),IF(COUNTIFS(Data!D$1:'Data'!D482,Data!D482)&lt;=1,0,1),1),1))</f>
        <v/>
      </c>
      <c r="E482" s="9" t="str">
        <f>IF(Data!B482="","",IF(ISNUMBER(MATCH(Data!E482,Data_Val!$A$2:$A$3,0)),0,1))</f>
        <v/>
      </c>
      <c r="F482" s="9" t="str">
        <f ca="1">IF(Data!B482="","",IF(ISNUMBER(Data!F482),IF(AND(Data!F482&gt;(TODAY()-(Data_Val!$H$3*365.25)),Data!F482&lt;=(TODAY()-(Data_Val!$H$2*365.25))),0,1),1))</f>
        <v/>
      </c>
      <c r="G482" s="15" t="str">
        <f>IF(Data!B482="","",IF(AND(Data!G482="",Data!H482&lt;&gt;""),1,IF(Data!#REF!&lt;&gt;"",0,IF(ISNUMBER(MATCH(Data!G482,Data_Val!$C$2:$C$5,0)),0,1))))</f>
        <v/>
      </c>
      <c r="H482" s="15" t="str">
        <f>IF(Data!B482="","",IF(AND(Data!G482&lt;&gt;"",Data!H482=""),1,IF(Data!#REF!&lt;&gt;"",0,IF(Data!G482="",1,IF(ISNUMBER(MATCH(Data!H482,Data_Val!$D$2:$D$35,0)),0,1)))))</f>
        <v/>
      </c>
      <c r="I482" s="15" t="str">
        <f>IF(Data!B482="","",IF(Data!G482&lt;&gt;"",0,IF(ISNUMBER(MATCH(Data!#REF!,Data_Val!$E$2:$E$12,0)),0,1)))</f>
        <v/>
      </c>
      <c r="J482" s="16" t="e">
        <f>IF(OR(Data!B482="",Data!#REF!=""),"",IF(Data!#REF!="",1,0))</f>
        <v>#REF!</v>
      </c>
      <c r="K482" s="16" t="e">
        <f>IF(OR(Data!B482="",Data!#REF!=""),"",IF(Data!#REF!="",1,0))</f>
        <v>#REF!</v>
      </c>
      <c r="L482" s="16" t="e">
        <f>IF(OR(Data!B482="",Data!#REF!=""),"",IF(ISNUMBER(Data!#REF!),IF(AND(Data!#REF!&gt;Data_Val!$G$2,Data!#REF!&lt;=Data_Val!$G$3),0,1),1))</f>
        <v>#REF!</v>
      </c>
      <c r="M482" s="9" t="e">
        <f>IF(OR(Data!B482="",Data!#REF!=""),"",IF(ISNUMBER(MATCH(Data!#REF!,Data_Val!$F$1:$F$38,0)),0,1))</f>
        <v>#REF!</v>
      </c>
      <c r="N482" s="9" t="e">
        <f>IF(OR(Data!B482="",Data!#REF!=""),"",IF(Data!#REF!="",1,0))</f>
        <v>#REF!</v>
      </c>
      <c r="O482" s="17" t="e">
        <f>IF(Data!#REF!="","",IF(Data!#REF!="",1,0))</f>
        <v>#REF!</v>
      </c>
      <c r="P482" s="17" t="e">
        <f>IF(Data!#REF!="","",IF(ISNUMBER(MATCH(Data!#REF!,Data_Val!$A$2:$A$3,0)),0,1))</f>
        <v>#REF!</v>
      </c>
      <c r="Q482" s="25" t="e">
        <f ca="1">IF(Data!#REF!="","",IF(ISNUMBER(Data!#REF!),IF(AND(Data!#REF!&gt;(TODAY()-(Data_Val!$J$3*365.25)),Data!#REF!&lt;=(TODAY()-(Data_Val!$J$2*365.25))),0,1),1))</f>
        <v>#REF!</v>
      </c>
      <c r="R482" s="17" t="e">
        <f>IF(Data!#REF!="","",IF(ISNUMBER(MATCH(Data!#REF!,Data_Val!$B$2:$B$15,0)),0,1))</f>
        <v>#REF!</v>
      </c>
      <c r="S482" s="11" t="str">
        <f>IF(Data!G482="","",IF(Data!G482=Data_Val!$C$2,IF(Data!M482="",0,1),0))</f>
        <v/>
      </c>
      <c r="T482" s="11" t="str">
        <f>IF(Data!M482="","",IF(ISNUMBER(MATCH(Data!N482,Data_Val!$A$2:$A$3,0)),0,1))</f>
        <v/>
      </c>
      <c r="U482" s="11" t="str">
        <f ca="1">IF(Data!M482="","",IF(ISNUMBER(Data!O482),IF(AND(Data!O482&gt;(TODAY()-(Data_Val!$K$3*365.25)),Data!O482&lt;=(TODAY()-(Data_Val!$K$2*365.25))),0,1),1))</f>
        <v/>
      </c>
      <c r="V482" s="12" t="str">
        <f>IF(Data!G482="","",IF(Data!G482=Data_Val!$C$2,IF(Data!P482="",0,1),0))</f>
        <v/>
      </c>
      <c r="W482" s="12" t="str">
        <f>IF(Data!P482="","",IF(ISNUMBER(MATCH(Data!Q482,Data_Val!$A$2:$A$3,0)),0,1))</f>
        <v/>
      </c>
      <c r="X482" s="26" t="str">
        <f ca="1">IF(Data!P482="","",IF(ISNUMBER(Data!R482),IF(AND(Data!R482&gt;(TODAY()-(Data_Val!$L$3*365.25)),Data!R482&lt;=(TODAY()-(Data_Val!$L$2*365.25))),0,1),1))</f>
        <v/>
      </c>
      <c r="Y482" s="13" t="str">
        <f>IF(Data!$G482="","",IF(Data!$G482=Data_Val!$C$2,IF(Data!S482="",0,1),0))</f>
        <v/>
      </c>
      <c r="Z482" s="13" t="str">
        <f>IF(Data!S482="","",IF(ISNUMBER(MATCH(Data!T482,Data_Val!$A$2:$A$3,0)),0,1))</f>
        <v/>
      </c>
      <c r="AA482" s="28" t="str">
        <f ca="1">IF(Data!S482="","",IF(ISNUMBER(Data!U482),IF(AND(Data!U482&gt;(TODAY()-(Data_Val!$L$3*365.25)),Data!U482&lt;=(TODAY()-(Data_Val!$L$2*365.25))),0,1),1))</f>
        <v/>
      </c>
      <c r="AB482" s="11"/>
      <c r="AC482" s="11" t="e">
        <f>IF(Data!#REF!="","",IF(ISNUMBER(MATCH(Data!#REF!,Data_Val!$A$2:$A$3,0)),0,1))</f>
        <v>#REF!</v>
      </c>
      <c r="AD482" s="11" t="e">
        <f ca="1">IF(Data!#REF!="","",IF(ISNUMBER(Data!#REF!),IF(AND(Data!#REF!&gt;(TODAY()-(Data_Val!$L$3*365.25)),Data!#REF!&lt;=(TODAY()-(Data_Val!$L$2*365.25))),0,1),1))</f>
        <v>#REF!</v>
      </c>
      <c r="AE482" s="11" t="e">
        <f>IF(Data!#REF!="","",IF(Data!$G482="",1,IF(ISNUMBER(MATCH(Data!#REF!,Data_Val!$D$2:$D$10,0)),0,1)))</f>
        <v>#REF!</v>
      </c>
      <c r="AF482" s="12"/>
      <c r="AG482" s="12" t="e">
        <f>IF(Data!#REF!="","",IF(ISNUMBER(MATCH(Data!#REF!,Data_Val!$A$2:$A$3,0)),0,1))</f>
        <v>#REF!</v>
      </c>
      <c r="AH482" s="26" t="e">
        <f ca="1">IF(Data!#REF!="","",IF(ISNUMBER(Data!#REF!),IF(AND(Data!#REF!&gt;(TODAY()-(Data_Val!$L$3*365.25)),Data!#REF!&lt;=(TODAY()-(Data_Val!$L$2*365.25))),0,1),1))</f>
        <v>#REF!</v>
      </c>
      <c r="AI482" s="12" t="e">
        <f>IF(Data!#REF!="","",IF(Data!$G482="",1,IF(ISNUMBER(MATCH(Data!#REF!,Data_Val!$D$2:$D$10,0)),0,1)))</f>
        <v>#REF!</v>
      </c>
      <c r="AJ482" s="17"/>
      <c r="AK482" s="17" t="e">
        <f>IF(Data!#REF!="","",IF(ISNUMBER(MATCH(Data!#REF!,Data_Val!$A$2:$A$3,0)),0,1))</f>
        <v>#REF!</v>
      </c>
      <c r="AL482" s="25" t="e">
        <f ca="1">IF(Data!#REF!="","",IF(ISNUMBER(Data!#REF!),IF(AND(Data!#REF!&gt;(TODAY()-(Data_Val!$L$3*365.25)),Data!#REF!&lt;=(TODAY()-(Data_Val!$L$2*365.25))),0,1),1))</f>
        <v>#REF!</v>
      </c>
      <c r="AM482" s="17" t="e">
        <f>IF(Data!#REF!="","",IF(Data!$G482="",1,IF(ISNUMBER(MATCH(Data!#REF!,Data_Val!$D$2:$D$10,0)),0,1)))</f>
        <v>#REF!</v>
      </c>
      <c r="AN482" s="13"/>
      <c r="AO482" s="28" t="e">
        <f ca="1">IF(Data!#REF!="","",IF(ISNUMBER(Data!#REF!),IF(AND(Data!#REF!&gt;(TODAY()-(Data_Val!$I$3*365.25)),Data!#REF!&lt;=(TODAY()-(Data_Val!$I$2*365.25))),0,1),1))</f>
        <v>#REF!</v>
      </c>
      <c r="AP482" s="13" t="e">
        <f>IF(Data!#REF!="","",IF(Data!$G482="",1,IF(ISNUMBER(MATCH(Data!#REF!,Data_Val!$D$2:$D$10,0)),0,1)))</f>
        <v>#REF!</v>
      </c>
      <c r="AQ482" s="17"/>
      <c r="AR482" s="30" t="e">
        <f ca="1">IF(Data!#REF!="","",IF(ISNUMBER(Data!#REF!),IF(AND(Data!#REF!&gt;(TODAY()-(Data_Val!$I$3*365.25)),Data!#REF!&lt;=(TODAY()-(Data_Val!$I$2*365.25))),0,1),1))</f>
        <v>#REF!</v>
      </c>
      <c r="AS482" s="31" t="e">
        <f>IF(Data!#REF!="","",IF(Data!$G482="",1,IF(ISNUMBER(MATCH(Data!#REF!,Data_Val!$D$2:$D$10,0)),0,1)))</f>
        <v>#REF!</v>
      </c>
      <c r="AT482" s="11"/>
      <c r="AU482" s="11" t="e">
        <f ca="1">IF(Data!#REF!="","",IF(ISNUMBER(Data!#REF!),IF(AND(Data!#REF!&gt;(TODAY()-(Data_Val!$I$3*365.25)),Data!#REF!&lt;=(TODAY()-(Data_Val!$I$2*365.25))),0,1),1))</f>
        <v>#REF!</v>
      </c>
      <c r="AV482" s="11" t="e">
        <f>IF(Data!#REF!="","",IF(Data!$G482="",1,IF(ISNUMBER(MATCH(Data!#REF!,Data_Val!$D$2:$D$10,0)),0,1)))</f>
        <v>#REF!</v>
      </c>
      <c r="AW482" s="12"/>
      <c r="AX482" s="26" t="e">
        <f ca="1">IF(Data!#REF!="","",IF(ISNUMBER(Data!#REF!),IF(AND(Data!#REF!&gt;(TODAY()-(Data_Val!$I$3*365.25)),Data!#REF!&lt;=(TODAY()-(Data_Val!$I$2*365.25))),0,1),1))</f>
        <v>#REF!</v>
      </c>
      <c r="AY482" s="12" t="e">
        <f>IF(Data!#REF!="","",IF(Data!$G482="",1,IF(ISNUMBER(MATCH(Data!#REF!,Data_Val!$D$2:$D$10,0)),0,1)))</f>
        <v>#REF!</v>
      </c>
      <c r="AZ482" s="11"/>
      <c r="BA482" s="19" t="e">
        <f ca="1">IF(Data!#REF!="","",IF(ISNUMBER(Data!#REF!),IF(AND(Data!#REF!&gt;(TODAY()-(Data_Val!$M$3*365.25)),Data!#REF!&lt;=(TODAY()-(Data_Val!$M$2*365.25))),0,1),1))</f>
        <v>#REF!</v>
      </c>
      <c r="BB482" s="11" t="e">
        <f>IF(Data!#REF!="","",IF(Data!$G482="",1,IF(ISNUMBER(MATCH(Data!#REF!,Data_Val!$D$2:$D$10,0)),0,1)))</f>
        <v>#REF!</v>
      </c>
      <c r="BC482" s="12"/>
      <c r="BD482" s="20" t="e">
        <f ca="1">IF(Data!#REF!="","",IF(ISNUMBER(Data!#REF!),IF(AND(Data!#REF!&gt;(TODAY()-(Data_Val!$M$3*365.25)),Data!#REF!&lt;=(TODAY()-(Data_Val!$M$2*365.25))),0,1),1))</f>
        <v>#REF!</v>
      </c>
      <c r="BE482" s="12" t="e">
        <f>IF(Data!#REF!="","",IF(Data!$G482="",1,IF(ISNUMBER(MATCH(Data!#REF!,Data_Val!$D$2:$D$10,0)),0,1)))</f>
        <v>#REF!</v>
      </c>
      <c r="BF482" s="17"/>
      <c r="BG482" s="18" t="e">
        <f ca="1">IF(Data!#REF!="","",IF(ISNUMBER(Data!#REF!),IF(AND(Data!#REF!&gt;(TODAY()-(Data_Val!$M$3*365.25)),Data!#REF!&lt;=(TODAY()-(Data_Val!$M$2*365.25))),0,1),1))</f>
        <v>#REF!</v>
      </c>
      <c r="BH482" s="29" t="e">
        <f>IF(Data!#REF!="","",IF(Data!$G482="",1,IF(ISNUMBER(MATCH(Data!#REF!,Data_Val!$D$2:$D$10,0)),0,1)))</f>
        <v>#REF!</v>
      </c>
      <c r="BI482" s="13"/>
      <c r="BJ482" s="21" t="e">
        <f ca="1">IF(Data!#REF!="","",IF(ISNUMBER(Data!#REF!),IF(AND(Data!#REF!&gt;(TODAY()-(Data_Val!$M$3*365.25)),Data!#REF!&lt;=(TODAY()-(Data_Val!$M$2*365.25))),0,1),1))</f>
        <v>#REF!</v>
      </c>
      <c r="BK482" s="13" t="e">
        <f>IF(Data!#REF!="","",IF(Data!$G482="",1,IF(ISNUMBER(MATCH(Data!#REF!,Data_Val!$D$2:$D$10,0)),0,1)))</f>
        <v>#REF!</v>
      </c>
    </row>
    <row r="483" spans="1:63" x14ac:dyDescent="0.25">
      <c r="A483" s="9" t="str">
        <f>IF(Data!B483="","",IF(COUNTIFS(Data!A$1:'Data'!A483,Data!A483)&lt;=1,0,1))</f>
        <v/>
      </c>
      <c r="B483" s="9"/>
      <c r="C483" s="23" t="str">
        <f>IF(Data!C483="","",(IF(ISNUMBER(MATCH("*@*.?*",Data!C483,0)),0,1)+IF(COUNTIFS(Data!C$1:'Data'!C483,Data!C483)&gt;1,1,0)))</f>
        <v/>
      </c>
      <c r="D483" s="9" t="str">
        <f>IF(Data!B483="","",IF(ISNUMBER(Data!D483),IF(AND(Data!D483&gt;999999999,Data!D483&lt;=9999999999),IF(COUNTIFS(Data!D$1:'Data'!D483,Data!D483)&lt;=1,0,1),1),1))</f>
        <v/>
      </c>
      <c r="E483" s="9" t="str">
        <f>IF(Data!B483="","",IF(ISNUMBER(MATCH(Data!E483,Data_Val!$A$2:$A$3,0)),0,1))</f>
        <v/>
      </c>
      <c r="F483" s="9" t="str">
        <f ca="1">IF(Data!B483="","",IF(ISNUMBER(Data!F483),IF(AND(Data!F483&gt;(TODAY()-(Data_Val!$H$3*365.25)),Data!F483&lt;=(TODAY()-(Data_Val!$H$2*365.25))),0,1),1))</f>
        <v/>
      </c>
      <c r="G483" s="15" t="str">
        <f>IF(Data!B483="","",IF(AND(Data!G483="",Data!H483&lt;&gt;""),1,IF(Data!#REF!&lt;&gt;"",0,IF(ISNUMBER(MATCH(Data!G483,Data_Val!$C$2:$C$5,0)),0,1))))</f>
        <v/>
      </c>
      <c r="H483" s="15" t="str">
        <f>IF(Data!B483="","",IF(AND(Data!G483&lt;&gt;"",Data!H483=""),1,IF(Data!#REF!&lt;&gt;"",0,IF(Data!G483="",1,IF(ISNUMBER(MATCH(Data!H483,Data_Val!$D$2:$D$35,0)),0,1)))))</f>
        <v/>
      </c>
      <c r="I483" s="15" t="str">
        <f>IF(Data!B483="","",IF(Data!G483&lt;&gt;"",0,IF(ISNUMBER(MATCH(Data!#REF!,Data_Val!$E$2:$E$12,0)),0,1)))</f>
        <v/>
      </c>
      <c r="J483" s="16" t="e">
        <f>IF(OR(Data!B483="",Data!#REF!=""),"",IF(Data!#REF!="",1,0))</f>
        <v>#REF!</v>
      </c>
      <c r="K483" s="16" t="e">
        <f>IF(OR(Data!B483="",Data!#REF!=""),"",IF(Data!#REF!="",1,0))</f>
        <v>#REF!</v>
      </c>
      <c r="L483" s="16" t="e">
        <f>IF(OR(Data!B483="",Data!#REF!=""),"",IF(ISNUMBER(Data!#REF!),IF(AND(Data!#REF!&gt;Data_Val!$G$2,Data!#REF!&lt;=Data_Val!$G$3),0,1),1))</f>
        <v>#REF!</v>
      </c>
      <c r="M483" s="9" t="e">
        <f>IF(OR(Data!B483="",Data!#REF!=""),"",IF(ISNUMBER(MATCH(Data!#REF!,Data_Val!$F$1:$F$38,0)),0,1))</f>
        <v>#REF!</v>
      </c>
      <c r="N483" s="9" t="e">
        <f>IF(OR(Data!B483="",Data!#REF!=""),"",IF(Data!#REF!="",1,0))</f>
        <v>#REF!</v>
      </c>
      <c r="O483" s="17" t="e">
        <f>IF(Data!#REF!="","",IF(Data!#REF!="",1,0))</f>
        <v>#REF!</v>
      </c>
      <c r="P483" s="17" t="e">
        <f>IF(Data!#REF!="","",IF(ISNUMBER(MATCH(Data!#REF!,Data_Val!$A$2:$A$3,0)),0,1))</f>
        <v>#REF!</v>
      </c>
      <c r="Q483" s="25" t="e">
        <f ca="1">IF(Data!#REF!="","",IF(ISNUMBER(Data!#REF!),IF(AND(Data!#REF!&gt;(TODAY()-(Data_Val!$J$3*365.25)),Data!#REF!&lt;=(TODAY()-(Data_Val!$J$2*365.25))),0,1),1))</f>
        <v>#REF!</v>
      </c>
      <c r="R483" s="17" t="e">
        <f>IF(Data!#REF!="","",IF(ISNUMBER(MATCH(Data!#REF!,Data_Val!$B$2:$B$15,0)),0,1))</f>
        <v>#REF!</v>
      </c>
      <c r="S483" s="11" t="str">
        <f>IF(Data!G483="","",IF(Data!G483=Data_Val!$C$2,IF(Data!M483="",0,1),0))</f>
        <v/>
      </c>
      <c r="T483" s="11" t="str">
        <f>IF(Data!M483="","",IF(ISNUMBER(MATCH(Data!N483,Data_Val!$A$2:$A$3,0)),0,1))</f>
        <v/>
      </c>
      <c r="U483" s="11" t="str">
        <f ca="1">IF(Data!M483="","",IF(ISNUMBER(Data!O483),IF(AND(Data!O483&gt;(TODAY()-(Data_Val!$K$3*365.25)),Data!O483&lt;=(TODAY()-(Data_Val!$K$2*365.25))),0,1),1))</f>
        <v/>
      </c>
      <c r="V483" s="12" t="str">
        <f>IF(Data!G483="","",IF(Data!G483=Data_Val!$C$2,IF(Data!P483="",0,1),0))</f>
        <v/>
      </c>
      <c r="W483" s="12" t="str">
        <f>IF(Data!P483="","",IF(ISNUMBER(MATCH(Data!Q483,Data_Val!$A$2:$A$3,0)),0,1))</f>
        <v/>
      </c>
      <c r="X483" s="26" t="str">
        <f ca="1">IF(Data!P483="","",IF(ISNUMBER(Data!R483),IF(AND(Data!R483&gt;(TODAY()-(Data_Val!$L$3*365.25)),Data!R483&lt;=(TODAY()-(Data_Val!$L$2*365.25))),0,1),1))</f>
        <v/>
      </c>
      <c r="Y483" s="13" t="str">
        <f>IF(Data!$G483="","",IF(Data!$G483=Data_Val!$C$2,IF(Data!S483="",0,1),0))</f>
        <v/>
      </c>
      <c r="Z483" s="13" t="str">
        <f>IF(Data!S483="","",IF(ISNUMBER(MATCH(Data!T483,Data_Val!$A$2:$A$3,0)),0,1))</f>
        <v/>
      </c>
      <c r="AA483" s="28" t="str">
        <f ca="1">IF(Data!S483="","",IF(ISNUMBER(Data!U483),IF(AND(Data!U483&gt;(TODAY()-(Data_Val!$L$3*365.25)),Data!U483&lt;=(TODAY()-(Data_Val!$L$2*365.25))),0,1),1))</f>
        <v/>
      </c>
      <c r="AB483" s="11"/>
      <c r="AC483" s="11" t="e">
        <f>IF(Data!#REF!="","",IF(ISNUMBER(MATCH(Data!#REF!,Data_Val!$A$2:$A$3,0)),0,1))</f>
        <v>#REF!</v>
      </c>
      <c r="AD483" s="11" t="e">
        <f ca="1">IF(Data!#REF!="","",IF(ISNUMBER(Data!#REF!),IF(AND(Data!#REF!&gt;(TODAY()-(Data_Val!$L$3*365.25)),Data!#REF!&lt;=(TODAY()-(Data_Val!$L$2*365.25))),0,1),1))</f>
        <v>#REF!</v>
      </c>
      <c r="AE483" s="11" t="e">
        <f>IF(Data!#REF!="","",IF(Data!$G483="",1,IF(ISNUMBER(MATCH(Data!#REF!,Data_Val!$D$2:$D$10,0)),0,1)))</f>
        <v>#REF!</v>
      </c>
      <c r="AF483" s="12"/>
      <c r="AG483" s="12" t="e">
        <f>IF(Data!#REF!="","",IF(ISNUMBER(MATCH(Data!#REF!,Data_Val!$A$2:$A$3,0)),0,1))</f>
        <v>#REF!</v>
      </c>
      <c r="AH483" s="26" t="e">
        <f ca="1">IF(Data!#REF!="","",IF(ISNUMBER(Data!#REF!),IF(AND(Data!#REF!&gt;(TODAY()-(Data_Val!$L$3*365.25)),Data!#REF!&lt;=(TODAY()-(Data_Val!$L$2*365.25))),0,1),1))</f>
        <v>#REF!</v>
      </c>
      <c r="AI483" s="12" t="e">
        <f>IF(Data!#REF!="","",IF(Data!$G483="",1,IF(ISNUMBER(MATCH(Data!#REF!,Data_Val!$D$2:$D$10,0)),0,1)))</f>
        <v>#REF!</v>
      </c>
      <c r="AJ483" s="17"/>
      <c r="AK483" s="17" t="e">
        <f>IF(Data!#REF!="","",IF(ISNUMBER(MATCH(Data!#REF!,Data_Val!$A$2:$A$3,0)),0,1))</f>
        <v>#REF!</v>
      </c>
      <c r="AL483" s="25" t="e">
        <f ca="1">IF(Data!#REF!="","",IF(ISNUMBER(Data!#REF!),IF(AND(Data!#REF!&gt;(TODAY()-(Data_Val!$L$3*365.25)),Data!#REF!&lt;=(TODAY()-(Data_Val!$L$2*365.25))),0,1),1))</f>
        <v>#REF!</v>
      </c>
      <c r="AM483" s="17" t="e">
        <f>IF(Data!#REF!="","",IF(Data!$G483="",1,IF(ISNUMBER(MATCH(Data!#REF!,Data_Val!$D$2:$D$10,0)),0,1)))</f>
        <v>#REF!</v>
      </c>
      <c r="AN483" s="13"/>
      <c r="AO483" s="28" t="e">
        <f ca="1">IF(Data!#REF!="","",IF(ISNUMBER(Data!#REF!),IF(AND(Data!#REF!&gt;(TODAY()-(Data_Val!$I$3*365.25)),Data!#REF!&lt;=(TODAY()-(Data_Val!$I$2*365.25))),0,1),1))</f>
        <v>#REF!</v>
      </c>
      <c r="AP483" s="13" t="e">
        <f>IF(Data!#REF!="","",IF(Data!$G483="",1,IF(ISNUMBER(MATCH(Data!#REF!,Data_Val!$D$2:$D$10,0)),0,1)))</f>
        <v>#REF!</v>
      </c>
      <c r="AQ483" s="17"/>
      <c r="AR483" s="30" t="e">
        <f ca="1">IF(Data!#REF!="","",IF(ISNUMBER(Data!#REF!),IF(AND(Data!#REF!&gt;(TODAY()-(Data_Val!$I$3*365.25)),Data!#REF!&lt;=(TODAY()-(Data_Val!$I$2*365.25))),0,1),1))</f>
        <v>#REF!</v>
      </c>
      <c r="AS483" s="31" t="e">
        <f>IF(Data!#REF!="","",IF(Data!$G483="",1,IF(ISNUMBER(MATCH(Data!#REF!,Data_Val!$D$2:$D$10,0)),0,1)))</f>
        <v>#REF!</v>
      </c>
      <c r="AT483" s="11"/>
      <c r="AU483" s="11" t="e">
        <f ca="1">IF(Data!#REF!="","",IF(ISNUMBER(Data!#REF!),IF(AND(Data!#REF!&gt;(TODAY()-(Data_Val!$I$3*365.25)),Data!#REF!&lt;=(TODAY()-(Data_Val!$I$2*365.25))),0,1),1))</f>
        <v>#REF!</v>
      </c>
      <c r="AV483" s="11" t="e">
        <f>IF(Data!#REF!="","",IF(Data!$G483="",1,IF(ISNUMBER(MATCH(Data!#REF!,Data_Val!$D$2:$D$10,0)),0,1)))</f>
        <v>#REF!</v>
      </c>
      <c r="AW483" s="12"/>
      <c r="AX483" s="26" t="e">
        <f ca="1">IF(Data!#REF!="","",IF(ISNUMBER(Data!#REF!),IF(AND(Data!#REF!&gt;(TODAY()-(Data_Val!$I$3*365.25)),Data!#REF!&lt;=(TODAY()-(Data_Val!$I$2*365.25))),0,1),1))</f>
        <v>#REF!</v>
      </c>
      <c r="AY483" s="12" t="e">
        <f>IF(Data!#REF!="","",IF(Data!$G483="",1,IF(ISNUMBER(MATCH(Data!#REF!,Data_Val!$D$2:$D$10,0)),0,1)))</f>
        <v>#REF!</v>
      </c>
      <c r="AZ483" s="11"/>
      <c r="BA483" s="19" t="e">
        <f ca="1">IF(Data!#REF!="","",IF(ISNUMBER(Data!#REF!),IF(AND(Data!#REF!&gt;(TODAY()-(Data_Val!$M$3*365.25)),Data!#REF!&lt;=(TODAY()-(Data_Val!$M$2*365.25))),0,1),1))</f>
        <v>#REF!</v>
      </c>
      <c r="BB483" s="11" t="e">
        <f>IF(Data!#REF!="","",IF(Data!$G483="",1,IF(ISNUMBER(MATCH(Data!#REF!,Data_Val!$D$2:$D$10,0)),0,1)))</f>
        <v>#REF!</v>
      </c>
      <c r="BC483" s="12"/>
      <c r="BD483" s="20" t="e">
        <f ca="1">IF(Data!#REF!="","",IF(ISNUMBER(Data!#REF!),IF(AND(Data!#REF!&gt;(TODAY()-(Data_Val!$M$3*365.25)),Data!#REF!&lt;=(TODAY()-(Data_Val!$M$2*365.25))),0,1),1))</f>
        <v>#REF!</v>
      </c>
      <c r="BE483" s="12" t="e">
        <f>IF(Data!#REF!="","",IF(Data!$G483="",1,IF(ISNUMBER(MATCH(Data!#REF!,Data_Val!$D$2:$D$10,0)),0,1)))</f>
        <v>#REF!</v>
      </c>
      <c r="BF483" s="17"/>
      <c r="BG483" s="18" t="e">
        <f ca="1">IF(Data!#REF!="","",IF(ISNUMBER(Data!#REF!),IF(AND(Data!#REF!&gt;(TODAY()-(Data_Val!$M$3*365.25)),Data!#REF!&lt;=(TODAY()-(Data_Val!$M$2*365.25))),0,1),1))</f>
        <v>#REF!</v>
      </c>
      <c r="BH483" s="29" t="e">
        <f>IF(Data!#REF!="","",IF(Data!$G483="",1,IF(ISNUMBER(MATCH(Data!#REF!,Data_Val!$D$2:$D$10,0)),0,1)))</f>
        <v>#REF!</v>
      </c>
      <c r="BI483" s="13"/>
      <c r="BJ483" s="21" t="e">
        <f ca="1">IF(Data!#REF!="","",IF(ISNUMBER(Data!#REF!),IF(AND(Data!#REF!&gt;(TODAY()-(Data_Val!$M$3*365.25)),Data!#REF!&lt;=(TODAY()-(Data_Val!$M$2*365.25))),0,1),1))</f>
        <v>#REF!</v>
      </c>
      <c r="BK483" s="13" t="e">
        <f>IF(Data!#REF!="","",IF(Data!$G483="",1,IF(ISNUMBER(MATCH(Data!#REF!,Data_Val!$D$2:$D$10,0)),0,1)))</f>
        <v>#REF!</v>
      </c>
    </row>
    <row r="484" spans="1:63" x14ac:dyDescent="0.25">
      <c r="A484" s="9" t="str">
        <f>IF(Data!B484="","",IF(COUNTIFS(Data!A$1:'Data'!A484,Data!A484)&lt;=1,0,1))</f>
        <v/>
      </c>
      <c r="B484" s="9"/>
      <c r="C484" s="23" t="str">
        <f>IF(Data!C484="","",(IF(ISNUMBER(MATCH("*@*.?*",Data!C484,0)),0,1)+IF(COUNTIFS(Data!C$1:'Data'!C484,Data!C484)&gt;1,1,0)))</f>
        <v/>
      </c>
      <c r="D484" s="9" t="str">
        <f>IF(Data!B484="","",IF(ISNUMBER(Data!D484),IF(AND(Data!D484&gt;999999999,Data!D484&lt;=9999999999),IF(COUNTIFS(Data!D$1:'Data'!D484,Data!D484)&lt;=1,0,1),1),1))</f>
        <v/>
      </c>
      <c r="E484" s="9" t="str">
        <f>IF(Data!B484="","",IF(ISNUMBER(MATCH(Data!E484,Data_Val!$A$2:$A$3,0)),0,1))</f>
        <v/>
      </c>
      <c r="F484" s="9" t="str">
        <f ca="1">IF(Data!B484="","",IF(ISNUMBER(Data!F484),IF(AND(Data!F484&gt;(TODAY()-(Data_Val!$H$3*365.25)),Data!F484&lt;=(TODAY()-(Data_Val!$H$2*365.25))),0,1),1))</f>
        <v/>
      </c>
      <c r="G484" s="15" t="str">
        <f>IF(Data!B484="","",IF(AND(Data!G484="",Data!H484&lt;&gt;""),1,IF(Data!#REF!&lt;&gt;"",0,IF(ISNUMBER(MATCH(Data!G484,Data_Val!$C$2:$C$5,0)),0,1))))</f>
        <v/>
      </c>
      <c r="H484" s="15" t="str">
        <f>IF(Data!B484="","",IF(AND(Data!G484&lt;&gt;"",Data!H484=""),1,IF(Data!#REF!&lt;&gt;"",0,IF(Data!G484="",1,IF(ISNUMBER(MATCH(Data!H484,Data_Val!$D$2:$D$35,0)),0,1)))))</f>
        <v/>
      </c>
      <c r="I484" s="15" t="str">
        <f>IF(Data!B484="","",IF(Data!G484&lt;&gt;"",0,IF(ISNUMBER(MATCH(Data!#REF!,Data_Val!$E$2:$E$12,0)),0,1)))</f>
        <v/>
      </c>
      <c r="J484" s="16" t="e">
        <f>IF(OR(Data!B484="",Data!#REF!=""),"",IF(Data!#REF!="",1,0))</f>
        <v>#REF!</v>
      </c>
      <c r="K484" s="16" t="e">
        <f>IF(OR(Data!B484="",Data!#REF!=""),"",IF(Data!#REF!="",1,0))</f>
        <v>#REF!</v>
      </c>
      <c r="L484" s="16" t="e">
        <f>IF(OR(Data!B484="",Data!#REF!=""),"",IF(ISNUMBER(Data!#REF!),IF(AND(Data!#REF!&gt;Data_Val!$G$2,Data!#REF!&lt;=Data_Val!$G$3),0,1),1))</f>
        <v>#REF!</v>
      </c>
      <c r="M484" s="9" t="e">
        <f>IF(OR(Data!B484="",Data!#REF!=""),"",IF(ISNUMBER(MATCH(Data!#REF!,Data_Val!$F$1:$F$38,0)),0,1))</f>
        <v>#REF!</v>
      </c>
      <c r="N484" s="9" t="e">
        <f>IF(OR(Data!B484="",Data!#REF!=""),"",IF(Data!#REF!="",1,0))</f>
        <v>#REF!</v>
      </c>
      <c r="O484" s="17" t="e">
        <f>IF(Data!#REF!="","",IF(Data!#REF!="",1,0))</f>
        <v>#REF!</v>
      </c>
      <c r="P484" s="17" t="e">
        <f>IF(Data!#REF!="","",IF(ISNUMBER(MATCH(Data!#REF!,Data_Val!$A$2:$A$3,0)),0,1))</f>
        <v>#REF!</v>
      </c>
      <c r="Q484" s="25" t="e">
        <f ca="1">IF(Data!#REF!="","",IF(ISNUMBER(Data!#REF!),IF(AND(Data!#REF!&gt;(TODAY()-(Data_Val!$J$3*365.25)),Data!#REF!&lt;=(TODAY()-(Data_Val!$J$2*365.25))),0,1),1))</f>
        <v>#REF!</v>
      </c>
      <c r="R484" s="17" t="e">
        <f>IF(Data!#REF!="","",IF(ISNUMBER(MATCH(Data!#REF!,Data_Val!$B$2:$B$15,0)),0,1))</f>
        <v>#REF!</v>
      </c>
      <c r="S484" s="11" t="str">
        <f>IF(Data!G484="","",IF(Data!G484=Data_Val!$C$2,IF(Data!M484="",0,1),0))</f>
        <v/>
      </c>
      <c r="T484" s="11" t="str">
        <f>IF(Data!M484="","",IF(ISNUMBER(MATCH(Data!N484,Data_Val!$A$2:$A$3,0)),0,1))</f>
        <v/>
      </c>
      <c r="U484" s="11" t="str">
        <f ca="1">IF(Data!M484="","",IF(ISNUMBER(Data!O484),IF(AND(Data!O484&gt;(TODAY()-(Data_Val!$K$3*365.25)),Data!O484&lt;=(TODAY()-(Data_Val!$K$2*365.25))),0,1),1))</f>
        <v/>
      </c>
      <c r="V484" s="12" t="str">
        <f>IF(Data!G484="","",IF(Data!G484=Data_Val!$C$2,IF(Data!P484="",0,1),0))</f>
        <v/>
      </c>
      <c r="W484" s="12" t="str">
        <f>IF(Data!P484="","",IF(ISNUMBER(MATCH(Data!Q484,Data_Val!$A$2:$A$3,0)),0,1))</f>
        <v/>
      </c>
      <c r="X484" s="26" t="str">
        <f ca="1">IF(Data!P484="","",IF(ISNUMBER(Data!R484),IF(AND(Data!R484&gt;(TODAY()-(Data_Val!$L$3*365.25)),Data!R484&lt;=(TODAY()-(Data_Val!$L$2*365.25))),0,1),1))</f>
        <v/>
      </c>
      <c r="Y484" s="13" t="str">
        <f>IF(Data!$G484="","",IF(Data!$G484=Data_Val!$C$2,IF(Data!S484="",0,1),0))</f>
        <v/>
      </c>
      <c r="Z484" s="13" t="str">
        <f>IF(Data!S484="","",IF(ISNUMBER(MATCH(Data!T484,Data_Val!$A$2:$A$3,0)),0,1))</f>
        <v/>
      </c>
      <c r="AA484" s="28" t="str">
        <f ca="1">IF(Data!S484="","",IF(ISNUMBER(Data!U484),IF(AND(Data!U484&gt;(TODAY()-(Data_Val!$L$3*365.25)),Data!U484&lt;=(TODAY()-(Data_Val!$L$2*365.25))),0,1),1))</f>
        <v/>
      </c>
      <c r="AB484" s="11"/>
      <c r="AC484" s="11" t="e">
        <f>IF(Data!#REF!="","",IF(ISNUMBER(MATCH(Data!#REF!,Data_Val!$A$2:$A$3,0)),0,1))</f>
        <v>#REF!</v>
      </c>
      <c r="AD484" s="11" t="e">
        <f ca="1">IF(Data!#REF!="","",IF(ISNUMBER(Data!#REF!),IF(AND(Data!#REF!&gt;(TODAY()-(Data_Val!$L$3*365.25)),Data!#REF!&lt;=(TODAY()-(Data_Val!$L$2*365.25))),0,1),1))</f>
        <v>#REF!</v>
      </c>
      <c r="AE484" s="11" t="e">
        <f>IF(Data!#REF!="","",IF(Data!$G484="",1,IF(ISNUMBER(MATCH(Data!#REF!,Data_Val!$D$2:$D$10,0)),0,1)))</f>
        <v>#REF!</v>
      </c>
      <c r="AF484" s="12"/>
      <c r="AG484" s="12" t="e">
        <f>IF(Data!#REF!="","",IF(ISNUMBER(MATCH(Data!#REF!,Data_Val!$A$2:$A$3,0)),0,1))</f>
        <v>#REF!</v>
      </c>
      <c r="AH484" s="26" t="e">
        <f ca="1">IF(Data!#REF!="","",IF(ISNUMBER(Data!#REF!),IF(AND(Data!#REF!&gt;(TODAY()-(Data_Val!$L$3*365.25)),Data!#REF!&lt;=(TODAY()-(Data_Val!$L$2*365.25))),0,1),1))</f>
        <v>#REF!</v>
      </c>
      <c r="AI484" s="12" t="e">
        <f>IF(Data!#REF!="","",IF(Data!$G484="",1,IF(ISNUMBER(MATCH(Data!#REF!,Data_Val!$D$2:$D$10,0)),0,1)))</f>
        <v>#REF!</v>
      </c>
      <c r="AJ484" s="17"/>
      <c r="AK484" s="17" t="e">
        <f>IF(Data!#REF!="","",IF(ISNUMBER(MATCH(Data!#REF!,Data_Val!$A$2:$A$3,0)),0,1))</f>
        <v>#REF!</v>
      </c>
      <c r="AL484" s="25" t="e">
        <f ca="1">IF(Data!#REF!="","",IF(ISNUMBER(Data!#REF!),IF(AND(Data!#REF!&gt;(TODAY()-(Data_Val!$L$3*365.25)),Data!#REF!&lt;=(TODAY()-(Data_Val!$L$2*365.25))),0,1),1))</f>
        <v>#REF!</v>
      </c>
      <c r="AM484" s="17" t="e">
        <f>IF(Data!#REF!="","",IF(Data!$G484="",1,IF(ISNUMBER(MATCH(Data!#REF!,Data_Val!$D$2:$D$10,0)),0,1)))</f>
        <v>#REF!</v>
      </c>
      <c r="AN484" s="13"/>
      <c r="AO484" s="28" t="e">
        <f ca="1">IF(Data!#REF!="","",IF(ISNUMBER(Data!#REF!),IF(AND(Data!#REF!&gt;(TODAY()-(Data_Val!$I$3*365.25)),Data!#REF!&lt;=(TODAY()-(Data_Val!$I$2*365.25))),0,1),1))</f>
        <v>#REF!</v>
      </c>
      <c r="AP484" s="13" t="e">
        <f>IF(Data!#REF!="","",IF(Data!$G484="",1,IF(ISNUMBER(MATCH(Data!#REF!,Data_Val!$D$2:$D$10,0)),0,1)))</f>
        <v>#REF!</v>
      </c>
      <c r="AQ484" s="17"/>
      <c r="AR484" s="30" t="e">
        <f ca="1">IF(Data!#REF!="","",IF(ISNUMBER(Data!#REF!),IF(AND(Data!#REF!&gt;(TODAY()-(Data_Val!$I$3*365.25)),Data!#REF!&lt;=(TODAY()-(Data_Val!$I$2*365.25))),0,1),1))</f>
        <v>#REF!</v>
      </c>
      <c r="AS484" s="31" t="e">
        <f>IF(Data!#REF!="","",IF(Data!$G484="",1,IF(ISNUMBER(MATCH(Data!#REF!,Data_Val!$D$2:$D$10,0)),0,1)))</f>
        <v>#REF!</v>
      </c>
      <c r="AT484" s="11"/>
      <c r="AU484" s="11" t="e">
        <f ca="1">IF(Data!#REF!="","",IF(ISNUMBER(Data!#REF!),IF(AND(Data!#REF!&gt;(TODAY()-(Data_Val!$I$3*365.25)),Data!#REF!&lt;=(TODAY()-(Data_Val!$I$2*365.25))),0,1),1))</f>
        <v>#REF!</v>
      </c>
      <c r="AV484" s="11" t="e">
        <f>IF(Data!#REF!="","",IF(Data!$G484="",1,IF(ISNUMBER(MATCH(Data!#REF!,Data_Val!$D$2:$D$10,0)),0,1)))</f>
        <v>#REF!</v>
      </c>
      <c r="AW484" s="12"/>
      <c r="AX484" s="26" t="e">
        <f ca="1">IF(Data!#REF!="","",IF(ISNUMBER(Data!#REF!),IF(AND(Data!#REF!&gt;(TODAY()-(Data_Val!$I$3*365.25)),Data!#REF!&lt;=(TODAY()-(Data_Val!$I$2*365.25))),0,1),1))</f>
        <v>#REF!</v>
      </c>
      <c r="AY484" s="12" t="e">
        <f>IF(Data!#REF!="","",IF(Data!$G484="",1,IF(ISNUMBER(MATCH(Data!#REF!,Data_Val!$D$2:$D$10,0)),0,1)))</f>
        <v>#REF!</v>
      </c>
      <c r="AZ484" s="11"/>
      <c r="BA484" s="19" t="e">
        <f ca="1">IF(Data!#REF!="","",IF(ISNUMBER(Data!#REF!),IF(AND(Data!#REF!&gt;(TODAY()-(Data_Val!$M$3*365.25)),Data!#REF!&lt;=(TODAY()-(Data_Val!$M$2*365.25))),0,1),1))</f>
        <v>#REF!</v>
      </c>
      <c r="BB484" s="11" t="e">
        <f>IF(Data!#REF!="","",IF(Data!$G484="",1,IF(ISNUMBER(MATCH(Data!#REF!,Data_Val!$D$2:$D$10,0)),0,1)))</f>
        <v>#REF!</v>
      </c>
      <c r="BC484" s="12"/>
      <c r="BD484" s="20" t="e">
        <f ca="1">IF(Data!#REF!="","",IF(ISNUMBER(Data!#REF!),IF(AND(Data!#REF!&gt;(TODAY()-(Data_Val!$M$3*365.25)),Data!#REF!&lt;=(TODAY()-(Data_Val!$M$2*365.25))),0,1),1))</f>
        <v>#REF!</v>
      </c>
      <c r="BE484" s="12" t="e">
        <f>IF(Data!#REF!="","",IF(Data!$G484="",1,IF(ISNUMBER(MATCH(Data!#REF!,Data_Val!$D$2:$D$10,0)),0,1)))</f>
        <v>#REF!</v>
      </c>
      <c r="BF484" s="17"/>
      <c r="BG484" s="18" t="e">
        <f ca="1">IF(Data!#REF!="","",IF(ISNUMBER(Data!#REF!),IF(AND(Data!#REF!&gt;(TODAY()-(Data_Val!$M$3*365.25)),Data!#REF!&lt;=(TODAY()-(Data_Val!$M$2*365.25))),0,1),1))</f>
        <v>#REF!</v>
      </c>
      <c r="BH484" s="29" t="e">
        <f>IF(Data!#REF!="","",IF(Data!$G484="",1,IF(ISNUMBER(MATCH(Data!#REF!,Data_Val!$D$2:$D$10,0)),0,1)))</f>
        <v>#REF!</v>
      </c>
      <c r="BI484" s="13"/>
      <c r="BJ484" s="21" t="e">
        <f ca="1">IF(Data!#REF!="","",IF(ISNUMBER(Data!#REF!),IF(AND(Data!#REF!&gt;(TODAY()-(Data_Val!$M$3*365.25)),Data!#REF!&lt;=(TODAY()-(Data_Val!$M$2*365.25))),0,1),1))</f>
        <v>#REF!</v>
      </c>
      <c r="BK484" s="13" t="e">
        <f>IF(Data!#REF!="","",IF(Data!$G484="",1,IF(ISNUMBER(MATCH(Data!#REF!,Data_Val!$D$2:$D$10,0)),0,1)))</f>
        <v>#REF!</v>
      </c>
    </row>
    <row r="485" spans="1:63" x14ac:dyDescent="0.25">
      <c r="A485" s="9" t="str">
        <f>IF(Data!B485="","",IF(COUNTIFS(Data!A$1:'Data'!A485,Data!A485)&lt;=1,0,1))</f>
        <v/>
      </c>
      <c r="B485" s="9"/>
      <c r="C485" s="23" t="str">
        <f>IF(Data!C485="","",(IF(ISNUMBER(MATCH("*@*.?*",Data!C485,0)),0,1)+IF(COUNTIFS(Data!C$1:'Data'!C485,Data!C485)&gt;1,1,0)))</f>
        <v/>
      </c>
      <c r="D485" s="9" t="str">
        <f>IF(Data!B485="","",IF(ISNUMBER(Data!D485),IF(AND(Data!D485&gt;999999999,Data!D485&lt;=9999999999),IF(COUNTIFS(Data!D$1:'Data'!D485,Data!D485)&lt;=1,0,1),1),1))</f>
        <v/>
      </c>
      <c r="E485" s="9" t="str">
        <f>IF(Data!B485="","",IF(ISNUMBER(MATCH(Data!E485,Data_Val!$A$2:$A$3,0)),0,1))</f>
        <v/>
      </c>
      <c r="F485" s="9" t="str">
        <f ca="1">IF(Data!B485="","",IF(ISNUMBER(Data!F485),IF(AND(Data!F485&gt;(TODAY()-(Data_Val!$H$3*365.25)),Data!F485&lt;=(TODAY()-(Data_Val!$H$2*365.25))),0,1),1))</f>
        <v/>
      </c>
      <c r="G485" s="15" t="str">
        <f>IF(Data!B485="","",IF(AND(Data!G485="",Data!H485&lt;&gt;""),1,IF(Data!#REF!&lt;&gt;"",0,IF(ISNUMBER(MATCH(Data!G485,Data_Val!$C$2:$C$5,0)),0,1))))</f>
        <v/>
      </c>
      <c r="H485" s="15" t="str">
        <f>IF(Data!B485="","",IF(AND(Data!G485&lt;&gt;"",Data!H485=""),1,IF(Data!#REF!&lt;&gt;"",0,IF(Data!G485="",1,IF(ISNUMBER(MATCH(Data!H485,Data_Val!$D$2:$D$35,0)),0,1)))))</f>
        <v/>
      </c>
      <c r="I485" s="15" t="str">
        <f>IF(Data!B485="","",IF(Data!G485&lt;&gt;"",0,IF(ISNUMBER(MATCH(Data!#REF!,Data_Val!$E$2:$E$12,0)),0,1)))</f>
        <v/>
      </c>
      <c r="J485" s="16" t="e">
        <f>IF(OR(Data!B485="",Data!#REF!=""),"",IF(Data!#REF!="",1,0))</f>
        <v>#REF!</v>
      </c>
      <c r="K485" s="16" t="e">
        <f>IF(OR(Data!B485="",Data!#REF!=""),"",IF(Data!#REF!="",1,0))</f>
        <v>#REF!</v>
      </c>
      <c r="L485" s="16" t="e">
        <f>IF(OR(Data!B485="",Data!#REF!=""),"",IF(ISNUMBER(Data!#REF!),IF(AND(Data!#REF!&gt;Data_Val!$G$2,Data!#REF!&lt;=Data_Val!$G$3),0,1),1))</f>
        <v>#REF!</v>
      </c>
      <c r="M485" s="9" t="e">
        <f>IF(OR(Data!B485="",Data!#REF!=""),"",IF(ISNUMBER(MATCH(Data!#REF!,Data_Val!$F$1:$F$38,0)),0,1))</f>
        <v>#REF!</v>
      </c>
      <c r="N485" s="9" t="e">
        <f>IF(OR(Data!B485="",Data!#REF!=""),"",IF(Data!#REF!="",1,0))</f>
        <v>#REF!</v>
      </c>
      <c r="O485" s="17" t="e">
        <f>IF(Data!#REF!="","",IF(Data!#REF!="",1,0))</f>
        <v>#REF!</v>
      </c>
      <c r="P485" s="17" t="e">
        <f>IF(Data!#REF!="","",IF(ISNUMBER(MATCH(Data!#REF!,Data_Val!$A$2:$A$3,0)),0,1))</f>
        <v>#REF!</v>
      </c>
      <c r="Q485" s="25" t="e">
        <f ca="1">IF(Data!#REF!="","",IF(ISNUMBER(Data!#REF!),IF(AND(Data!#REF!&gt;(TODAY()-(Data_Val!$J$3*365.25)),Data!#REF!&lt;=(TODAY()-(Data_Val!$J$2*365.25))),0,1),1))</f>
        <v>#REF!</v>
      </c>
      <c r="R485" s="17" t="e">
        <f>IF(Data!#REF!="","",IF(ISNUMBER(MATCH(Data!#REF!,Data_Val!$B$2:$B$15,0)),0,1))</f>
        <v>#REF!</v>
      </c>
      <c r="S485" s="11" t="str">
        <f>IF(Data!G485="","",IF(Data!G485=Data_Val!$C$2,IF(Data!M485="",0,1),0))</f>
        <v/>
      </c>
      <c r="T485" s="11" t="str">
        <f>IF(Data!M485="","",IF(ISNUMBER(MATCH(Data!N485,Data_Val!$A$2:$A$3,0)),0,1))</f>
        <v/>
      </c>
      <c r="U485" s="11" t="str">
        <f ca="1">IF(Data!M485="","",IF(ISNUMBER(Data!O485),IF(AND(Data!O485&gt;(TODAY()-(Data_Val!$K$3*365.25)),Data!O485&lt;=(TODAY()-(Data_Val!$K$2*365.25))),0,1),1))</f>
        <v/>
      </c>
      <c r="V485" s="12" t="str">
        <f>IF(Data!G485="","",IF(Data!G485=Data_Val!$C$2,IF(Data!P485="",0,1),0))</f>
        <v/>
      </c>
      <c r="W485" s="12" t="str">
        <f>IF(Data!P485="","",IF(ISNUMBER(MATCH(Data!Q485,Data_Val!$A$2:$A$3,0)),0,1))</f>
        <v/>
      </c>
      <c r="X485" s="26" t="str">
        <f ca="1">IF(Data!P485="","",IF(ISNUMBER(Data!R485),IF(AND(Data!R485&gt;(TODAY()-(Data_Val!$L$3*365.25)),Data!R485&lt;=(TODAY()-(Data_Val!$L$2*365.25))),0,1),1))</f>
        <v/>
      </c>
      <c r="Y485" s="13" t="str">
        <f>IF(Data!$G485="","",IF(Data!$G485=Data_Val!$C$2,IF(Data!S485="",0,1),0))</f>
        <v/>
      </c>
      <c r="Z485" s="13" t="str">
        <f>IF(Data!S485="","",IF(ISNUMBER(MATCH(Data!T485,Data_Val!$A$2:$A$3,0)),0,1))</f>
        <v/>
      </c>
      <c r="AA485" s="28" t="str">
        <f ca="1">IF(Data!S485="","",IF(ISNUMBER(Data!U485),IF(AND(Data!U485&gt;(TODAY()-(Data_Val!$L$3*365.25)),Data!U485&lt;=(TODAY()-(Data_Val!$L$2*365.25))),0,1),1))</f>
        <v/>
      </c>
      <c r="AB485" s="11"/>
      <c r="AC485" s="11" t="e">
        <f>IF(Data!#REF!="","",IF(ISNUMBER(MATCH(Data!#REF!,Data_Val!$A$2:$A$3,0)),0,1))</f>
        <v>#REF!</v>
      </c>
      <c r="AD485" s="11" t="e">
        <f ca="1">IF(Data!#REF!="","",IF(ISNUMBER(Data!#REF!),IF(AND(Data!#REF!&gt;(TODAY()-(Data_Val!$L$3*365.25)),Data!#REF!&lt;=(TODAY()-(Data_Val!$L$2*365.25))),0,1),1))</f>
        <v>#REF!</v>
      </c>
      <c r="AE485" s="11" t="e">
        <f>IF(Data!#REF!="","",IF(Data!$G485="",1,IF(ISNUMBER(MATCH(Data!#REF!,Data_Val!$D$2:$D$10,0)),0,1)))</f>
        <v>#REF!</v>
      </c>
      <c r="AF485" s="12"/>
      <c r="AG485" s="12" t="e">
        <f>IF(Data!#REF!="","",IF(ISNUMBER(MATCH(Data!#REF!,Data_Val!$A$2:$A$3,0)),0,1))</f>
        <v>#REF!</v>
      </c>
      <c r="AH485" s="26" t="e">
        <f ca="1">IF(Data!#REF!="","",IF(ISNUMBER(Data!#REF!),IF(AND(Data!#REF!&gt;(TODAY()-(Data_Val!$L$3*365.25)),Data!#REF!&lt;=(TODAY()-(Data_Val!$L$2*365.25))),0,1),1))</f>
        <v>#REF!</v>
      </c>
      <c r="AI485" s="12" t="e">
        <f>IF(Data!#REF!="","",IF(Data!$G485="",1,IF(ISNUMBER(MATCH(Data!#REF!,Data_Val!$D$2:$D$10,0)),0,1)))</f>
        <v>#REF!</v>
      </c>
      <c r="AJ485" s="17"/>
      <c r="AK485" s="17" t="e">
        <f>IF(Data!#REF!="","",IF(ISNUMBER(MATCH(Data!#REF!,Data_Val!$A$2:$A$3,0)),0,1))</f>
        <v>#REF!</v>
      </c>
      <c r="AL485" s="25" t="e">
        <f ca="1">IF(Data!#REF!="","",IF(ISNUMBER(Data!#REF!),IF(AND(Data!#REF!&gt;(TODAY()-(Data_Val!$L$3*365.25)),Data!#REF!&lt;=(TODAY()-(Data_Val!$L$2*365.25))),0,1),1))</f>
        <v>#REF!</v>
      </c>
      <c r="AM485" s="17" t="e">
        <f>IF(Data!#REF!="","",IF(Data!$G485="",1,IF(ISNUMBER(MATCH(Data!#REF!,Data_Val!$D$2:$D$10,0)),0,1)))</f>
        <v>#REF!</v>
      </c>
      <c r="AN485" s="13"/>
      <c r="AO485" s="28" t="e">
        <f ca="1">IF(Data!#REF!="","",IF(ISNUMBER(Data!#REF!),IF(AND(Data!#REF!&gt;(TODAY()-(Data_Val!$I$3*365.25)),Data!#REF!&lt;=(TODAY()-(Data_Val!$I$2*365.25))),0,1),1))</f>
        <v>#REF!</v>
      </c>
      <c r="AP485" s="13" t="e">
        <f>IF(Data!#REF!="","",IF(Data!$G485="",1,IF(ISNUMBER(MATCH(Data!#REF!,Data_Val!$D$2:$D$10,0)),0,1)))</f>
        <v>#REF!</v>
      </c>
      <c r="AQ485" s="17"/>
      <c r="AR485" s="30" t="e">
        <f ca="1">IF(Data!#REF!="","",IF(ISNUMBER(Data!#REF!),IF(AND(Data!#REF!&gt;(TODAY()-(Data_Val!$I$3*365.25)),Data!#REF!&lt;=(TODAY()-(Data_Val!$I$2*365.25))),0,1),1))</f>
        <v>#REF!</v>
      </c>
      <c r="AS485" s="31" t="e">
        <f>IF(Data!#REF!="","",IF(Data!$G485="",1,IF(ISNUMBER(MATCH(Data!#REF!,Data_Val!$D$2:$D$10,0)),0,1)))</f>
        <v>#REF!</v>
      </c>
      <c r="AT485" s="11"/>
      <c r="AU485" s="11" t="e">
        <f ca="1">IF(Data!#REF!="","",IF(ISNUMBER(Data!#REF!),IF(AND(Data!#REF!&gt;(TODAY()-(Data_Val!$I$3*365.25)),Data!#REF!&lt;=(TODAY()-(Data_Val!$I$2*365.25))),0,1),1))</f>
        <v>#REF!</v>
      </c>
      <c r="AV485" s="11" t="e">
        <f>IF(Data!#REF!="","",IF(Data!$G485="",1,IF(ISNUMBER(MATCH(Data!#REF!,Data_Val!$D$2:$D$10,0)),0,1)))</f>
        <v>#REF!</v>
      </c>
      <c r="AW485" s="12"/>
      <c r="AX485" s="26" t="e">
        <f ca="1">IF(Data!#REF!="","",IF(ISNUMBER(Data!#REF!),IF(AND(Data!#REF!&gt;(TODAY()-(Data_Val!$I$3*365.25)),Data!#REF!&lt;=(TODAY()-(Data_Val!$I$2*365.25))),0,1),1))</f>
        <v>#REF!</v>
      </c>
      <c r="AY485" s="12" t="e">
        <f>IF(Data!#REF!="","",IF(Data!$G485="",1,IF(ISNUMBER(MATCH(Data!#REF!,Data_Val!$D$2:$D$10,0)),0,1)))</f>
        <v>#REF!</v>
      </c>
      <c r="AZ485" s="11"/>
      <c r="BA485" s="19" t="e">
        <f ca="1">IF(Data!#REF!="","",IF(ISNUMBER(Data!#REF!),IF(AND(Data!#REF!&gt;(TODAY()-(Data_Val!$M$3*365.25)),Data!#REF!&lt;=(TODAY()-(Data_Val!$M$2*365.25))),0,1),1))</f>
        <v>#REF!</v>
      </c>
      <c r="BB485" s="11" t="e">
        <f>IF(Data!#REF!="","",IF(Data!$G485="",1,IF(ISNUMBER(MATCH(Data!#REF!,Data_Val!$D$2:$D$10,0)),0,1)))</f>
        <v>#REF!</v>
      </c>
      <c r="BC485" s="12"/>
      <c r="BD485" s="20" t="e">
        <f ca="1">IF(Data!#REF!="","",IF(ISNUMBER(Data!#REF!),IF(AND(Data!#REF!&gt;(TODAY()-(Data_Val!$M$3*365.25)),Data!#REF!&lt;=(TODAY()-(Data_Val!$M$2*365.25))),0,1),1))</f>
        <v>#REF!</v>
      </c>
      <c r="BE485" s="12" t="e">
        <f>IF(Data!#REF!="","",IF(Data!$G485="",1,IF(ISNUMBER(MATCH(Data!#REF!,Data_Val!$D$2:$D$10,0)),0,1)))</f>
        <v>#REF!</v>
      </c>
      <c r="BF485" s="17"/>
      <c r="BG485" s="18" t="e">
        <f ca="1">IF(Data!#REF!="","",IF(ISNUMBER(Data!#REF!),IF(AND(Data!#REF!&gt;(TODAY()-(Data_Val!$M$3*365.25)),Data!#REF!&lt;=(TODAY()-(Data_Val!$M$2*365.25))),0,1),1))</f>
        <v>#REF!</v>
      </c>
      <c r="BH485" s="29" t="e">
        <f>IF(Data!#REF!="","",IF(Data!$G485="",1,IF(ISNUMBER(MATCH(Data!#REF!,Data_Val!$D$2:$D$10,0)),0,1)))</f>
        <v>#REF!</v>
      </c>
      <c r="BI485" s="13"/>
      <c r="BJ485" s="21" t="e">
        <f ca="1">IF(Data!#REF!="","",IF(ISNUMBER(Data!#REF!),IF(AND(Data!#REF!&gt;(TODAY()-(Data_Val!$M$3*365.25)),Data!#REF!&lt;=(TODAY()-(Data_Val!$M$2*365.25))),0,1),1))</f>
        <v>#REF!</v>
      </c>
      <c r="BK485" s="13" t="e">
        <f>IF(Data!#REF!="","",IF(Data!$G485="",1,IF(ISNUMBER(MATCH(Data!#REF!,Data_Val!$D$2:$D$10,0)),0,1)))</f>
        <v>#REF!</v>
      </c>
    </row>
    <row r="486" spans="1:63" x14ac:dyDescent="0.25">
      <c r="A486" s="9" t="str">
        <f>IF(Data!B486="","",IF(COUNTIFS(Data!A$1:'Data'!A486,Data!A486)&lt;=1,0,1))</f>
        <v/>
      </c>
      <c r="B486" s="9"/>
      <c r="C486" s="23" t="str">
        <f>IF(Data!C486="","",(IF(ISNUMBER(MATCH("*@*.?*",Data!C486,0)),0,1)+IF(COUNTIFS(Data!C$1:'Data'!C486,Data!C486)&gt;1,1,0)))</f>
        <v/>
      </c>
      <c r="D486" s="9" t="str">
        <f>IF(Data!B486="","",IF(ISNUMBER(Data!D486),IF(AND(Data!D486&gt;999999999,Data!D486&lt;=9999999999),IF(COUNTIFS(Data!D$1:'Data'!D486,Data!D486)&lt;=1,0,1),1),1))</f>
        <v/>
      </c>
      <c r="E486" s="9" t="str">
        <f>IF(Data!B486="","",IF(ISNUMBER(MATCH(Data!E486,Data_Val!$A$2:$A$3,0)),0,1))</f>
        <v/>
      </c>
      <c r="F486" s="9" t="str">
        <f ca="1">IF(Data!B486="","",IF(ISNUMBER(Data!F486),IF(AND(Data!F486&gt;(TODAY()-(Data_Val!$H$3*365.25)),Data!F486&lt;=(TODAY()-(Data_Val!$H$2*365.25))),0,1),1))</f>
        <v/>
      </c>
      <c r="G486" s="15" t="str">
        <f>IF(Data!B486="","",IF(AND(Data!G486="",Data!H486&lt;&gt;""),1,IF(Data!#REF!&lt;&gt;"",0,IF(ISNUMBER(MATCH(Data!G486,Data_Val!$C$2:$C$5,0)),0,1))))</f>
        <v/>
      </c>
      <c r="H486" s="15" t="str">
        <f>IF(Data!B486="","",IF(AND(Data!G486&lt;&gt;"",Data!H486=""),1,IF(Data!#REF!&lt;&gt;"",0,IF(Data!G486="",1,IF(ISNUMBER(MATCH(Data!H486,Data_Val!$D$2:$D$35,0)),0,1)))))</f>
        <v/>
      </c>
      <c r="I486" s="15" t="str">
        <f>IF(Data!B486="","",IF(Data!G486&lt;&gt;"",0,IF(ISNUMBER(MATCH(Data!#REF!,Data_Val!$E$2:$E$12,0)),0,1)))</f>
        <v/>
      </c>
      <c r="J486" s="16" t="e">
        <f>IF(OR(Data!B486="",Data!#REF!=""),"",IF(Data!#REF!="",1,0))</f>
        <v>#REF!</v>
      </c>
      <c r="K486" s="16" t="e">
        <f>IF(OR(Data!B486="",Data!#REF!=""),"",IF(Data!#REF!="",1,0))</f>
        <v>#REF!</v>
      </c>
      <c r="L486" s="16" t="e">
        <f>IF(OR(Data!B486="",Data!#REF!=""),"",IF(ISNUMBER(Data!#REF!),IF(AND(Data!#REF!&gt;Data_Val!$G$2,Data!#REF!&lt;=Data_Val!$G$3),0,1),1))</f>
        <v>#REF!</v>
      </c>
      <c r="M486" s="9" t="e">
        <f>IF(OR(Data!B486="",Data!#REF!=""),"",IF(ISNUMBER(MATCH(Data!#REF!,Data_Val!$F$1:$F$38,0)),0,1))</f>
        <v>#REF!</v>
      </c>
      <c r="N486" s="9" t="e">
        <f>IF(OR(Data!B486="",Data!#REF!=""),"",IF(Data!#REF!="",1,0))</f>
        <v>#REF!</v>
      </c>
      <c r="O486" s="17" t="e">
        <f>IF(Data!#REF!="","",IF(Data!#REF!="",1,0))</f>
        <v>#REF!</v>
      </c>
      <c r="P486" s="17" t="e">
        <f>IF(Data!#REF!="","",IF(ISNUMBER(MATCH(Data!#REF!,Data_Val!$A$2:$A$3,0)),0,1))</f>
        <v>#REF!</v>
      </c>
      <c r="Q486" s="25" t="e">
        <f ca="1">IF(Data!#REF!="","",IF(ISNUMBER(Data!#REF!),IF(AND(Data!#REF!&gt;(TODAY()-(Data_Val!$J$3*365.25)),Data!#REF!&lt;=(TODAY()-(Data_Val!$J$2*365.25))),0,1),1))</f>
        <v>#REF!</v>
      </c>
      <c r="R486" s="17" t="e">
        <f>IF(Data!#REF!="","",IF(ISNUMBER(MATCH(Data!#REF!,Data_Val!$B$2:$B$15,0)),0,1))</f>
        <v>#REF!</v>
      </c>
      <c r="S486" s="11" t="str">
        <f>IF(Data!G486="","",IF(Data!G486=Data_Val!$C$2,IF(Data!M486="",0,1),0))</f>
        <v/>
      </c>
      <c r="T486" s="11" t="str">
        <f>IF(Data!M486="","",IF(ISNUMBER(MATCH(Data!N486,Data_Val!$A$2:$A$3,0)),0,1))</f>
        <v/>
      </c>
      <c r="U486" s="11" t="str">
        <f ca="1">IF(Data!M486="","",IF(ISNUMBER(Data!O486),IF(AND(Data!O486&gt;(TODAY()-(Data_Val!$K$3*365.25)),Data!O486&lt;=(TODAY()-(Data_Val!$K$2*365.25))),0,1),1))</f>
        <v/>
      </c>
      <c r="V486" s="12" t="str">
        <f>IF(Data!G486="","",IF(Data!G486=Data_Val!$C$2,IF(Data!P486="",0,1),0))</f>
        <v/>
      </c>
      <c r="W486" s="12" t="str">
        <f>IF(Data!P486="","",IF(ISNUMBER(MATCH(Data!Q486,Data_Val!$A$2:$A$3,0)),0,1))</f>
        <v/>
      </c>
      <c r="X486" s="26" t="str">
        <f ca="1">IF(Data!P486="","",IF(ISNUMBER(Data!R486),IF(AND(Data!R486&gt;(TODAY()-(Data_Val!$L$3*365.25)),Data!R486&lt;=(TODAY()-(Data_Val!$L$2*365.25))),0,1),1))</f>
        <v/>
      </c>
      <c r="Y486" s="13" t="str">
        <f>IF(Data!$G486="","",IF(Data!$G486=Data_Val!$C$2,IF(Data!S486="",0,1),0))</f>
        <v/>
      </c>
      <c r="Z486" s="13" t="str">
        <f>IF(Data!S486="","",IF(ISNUMBER(MATCH(Data!T486,Data_Val!$A$2:$A$3,0)),0,1))</f>
        <v/>
      </c>
      <c r="AA486" s="28" t="str">
        <f ca="1">IF(Data!S486="","",IF(ISNUMBER(Data!U486),IF(AND(Data!U486&gt;(TODAY()-(Data_Val!$L$3*365.25)),Data!U486&lt;=(TODAY()-(Data_Val!$L$2*365.25))),0,1),1))</f>
        <v/>
      </c>
      <c r="AB486" s="11"/>
      <c r="AC486" s="11" t="e">
        <f>IF(Data!#REF!="","",IF(ISNUMBER(MATCH(Data!#REF!,Data_Val!$A$2:$A$3,0)),0,1))</f>
        <v>#REF!</v>
      </c>
      <c r="AD486" s="11" t="e">
        <f ca="1">IF(Data!#REF!="","",IF(ISNUMBER(Data!#REF!),IF(AND(Data!#REF!&gt;(TODAY()-(Data_Val!$L$3*365.25)),Data!#REF!&lt;=(TODAY()-(Data_Val!$L$2*365.25))),0,1),1))</f>
        <v>#REF!</v>
      </c>
      <c r="AE486" s="11" t="e">
        <f>IF(Data!#REF!="","",IF(Data!$G486="",1,IF(ISNUMBER(MATCH(Data!#REF!,Data_Val!$D$2:$D$10,0)),0,1)))</f>
        <v>#REF!</v>
      </c>
      <c r="AF486" s="12"/>
      <c r="AG486" s="12" t="e">
        <f>IF(Data!#REF!="","",IF(ISNUMBER(MATCH(Data!#REF!,Data_Val!$A$2:$A$3,0)),0,1))</f>
        <v>#REF!</v>
      </c>
      <c r="AH486" s="26" t="e">
        <f ca="1">IF(Data!#REF!="","",IF(ISNUMBER(Data!#REF!),IF(AND(Data!#REF!&gt;(TODAY()-(Data_Val!$L$3*365.25)),Data!#REF!&lt;=(TODAY()-(Data_Val!$L$2*365.25))),0,1),1))</f>
        <v>#REF!</v>
      </c>
      <c r="AI486" s="12" t="e">
        <f>IF(Data!#REF!="","",IF(Data!$G486="",1,IF(ISNUMBER(MATCH(Data!#REF!,Data_Val!$D$2:$D$10,0)),0,1)))</f>
        <v>#REF!</v>
      </c>
      <c r="AJ486" s="17"/>
      <c r="AK486" s="17" t="e">
        <f>IF(Data!#REF!="","",IF(ISNUMBER(MATCH(Data!#REF!,Data_Val!$A$2:$A$3,0)),0,1))</f>
        <v>#REF!</v>
      </c>
      <c r="AL486" s="25" t="e">
        <f ca="1">IF(Data!#REF!="","",IF(ISNUMBER(Data!#REF!),IF(AND(Data!#REF!&gt;(TODAY()-(Data_Val!$L$3*365.25)),Data!#REF!&lt;=(TODAY()-(Data_Val!$L$2*365.25))),0,1),1))</f>
        <v>#REF!</v>
      </c>
      <c r="AM486" s="17" t="e">
        <f>IF(Data!#REF!="","",IF(Data!$G486="",1,IF(ISNUMBER(MATCH(Data!#REF!,Data_Val!$D$2:$D$10,0)),0,1)))</f>
        <v>#REF!</v>
      </c>
      <c r="AN486" s="13"/>
      <c r="AO486" s="28" t="e">
        <f ca="1">IF(Data!#REF!="","",IF(ISNUMBER(Data!#REF!),IF(AND(Data!#REF!&gt;(TODAY()-(Data_Val!$I$3*365.25)),Data!#REF!&lt;=(TODAY()-(Data_Val!$I$2*365.25))),0,1),1))</f>
        <v>#REF!</v>
      </c>
      <c r="AP486" s="13" t="e">
        <f>IF(Data!#REF!="","",IF(Data!$G486="",1,IF(ISNUMBER(MATCH(Data!#REF!,Data_Val!$D$2:$D$10,0)),0,1)))</f>
        <v>#REF!</v>
      </c>
      <c r="AQ486" s="17"/>
      <c r="AR486" s="30" t="e">
        <f ca="1">IF(Data!#REF!="","",IF(ISNUMBER(Data!#REF!),IF(AND(Data!#REF!&gt;(TODAY()-(Data_Val!$I$3*365.25)),Data!#REF!&lt;=(TODAY()-(Data_Val!$I$2*365.25))),0,1),1))</f>
        <v>#REF!</v>
      </c>
      <c r="AS486" s="31" t="e">
        <f>IF(Data!#REF!="","",IF(Data!$G486="",1,IF(ISNUMBER(MATCH(Data!#REF!,Data_Val!$D$2:$D$10,0)),0,1)))</f>
        <v>#REF!</v>
      </c>
      <c r="AT486" s="11"/>
      <c r="AU486" s="11" t="e">
        <f ca="1">IF(Data!#REF!="","",IF(ISNUMBER(Data!#REF!),IF(AND(Data!#REF!&gt;(TODAY()-(Data_Val!$I$3*365.25)),Data!#REF!&lt;=(TODAY()-(Data_Val!$I$2*365.25))),0,1),1))</f>
        <v>#REF!</v>
      </c>
      <c r="AV486" s="11" t="e">
        <f>IF(Data!#REF!="","",IF(Data!$G486="",1,IF(ISNUMBER(MATCH(Data!#REF!,Data_Val!$D$2:$D$10,0)),0,1)))</f>
        <v>#REF!</v>
      </c>
      <c r="AW486" s="12"/>
      <c r="AX486" s="26" t="e">
        <f ca="1">IF(Data!#REF!="","",IF(ISNUMBER(Data!#REF!),IF(AND(Data!#REF!&gt;(TODAY()-(Data_Val!$I$3*365.25)),Data!#REF!&lt;=(TODAY()-(Data_Val!$I$2*365.25))),0,1),1))</f>
        <v>#REF!</v>
      </c>
      <c r="AY486" s="12" t="e">
        <f>IF(Data!#REF!="","",IF(Data!$G486="",1,IF(ISNUMBER(MATCH(Data!#REF!,Data_Val!$D$2:$D$10,0)),0,1)))</f>
        <v>#REF!</v>
      </c>
      <c r="AZ486" s="11"/>
      <c r="BA486" s="19" t="e">
        <f ca="1">IF(Data!#REF!="","",IF(ISNUMBER(Data!#REF!),IF(AND(Data!#REF!&gt;(TODAY()-(Data_Val!$M$3*365.25)),Data!#REF!&lt;=(TODAY()-(Data_Val!$M$2*365.25))),0,1),1))</f>
        <v>#REF!</v>
      </c>
      <c r="BB486" s="11" t="e">
        <f>IF(Data!#REF!="","",IF(Data!$G486="",1,IF(ISNUMBER(MATCH(Data!#REF!,Data_Val!$D$2:$D$10,0)),0,1)))</f>
        <v>#REF!</v>
      </c>
      <c r="BC486" s="12"/>
      <c r="BD486" s="20" t="e">
        <f ca="1">IF(Data!#REF!="","",IF(ISNUMBER(Data!#REF!),IF(AND(Data!#REF!&gt;(TODAY()-(Data_Val!$M$3*365.25)),Data!#REF!&lt;=(TODAY()-(Data_Val!$M$2*365.25))),0,1),1))</f>
        <v>#REF!</v>
      </c>
      <c r="BE486" s="12" t="e">
        <f>IF(Data!#REF!="","",IF(Data!$G486="",1,IF(ISNUMBER(MATCH(Data!#REF!,Data_Val!$D$2:$D$10,0)),0,1)))</f>
        <v>#REF!</v>
      </c>
      <c r="BF486" s="17"/>
      <c r="BG486" s="18" t="e">
        <f ca="1">IF(Data!#REF!="","",IF(ISNUMBER(Data!#REF!),IF(AND(Data!#REF!&gt;(TODAY()-(Data_Val!$M$3*365.25)),Data!#REF!&lt;=(TODAY()-(Data_Val!$M$2*365.25))),0,1),1))</f>
        <v>#REF!</v>
      </c>
      <c r="BH486" s="29" t="e">
        <f>IF(Data!#REF!="","",IF(Data!$G486="",1,IF(ISNUMBER(MATCH(Data!#REF!,Data_Val!$D$2:$D$10,0)),0,1)))</f>
        <v>#REF!</v>
      </c>
      <c r="BI486" s="13"/>
      <c r="BJ486" s="21" t="e">
        <f ca="1">IF(Data!#REF!="","",IF(ISNUMBER(Data!#REF!),IF(AND(Data!#REF!&gt;(TODAY()-(Data_Val!$M$3*365.25)),Data!#REF!&lt;=(TODAY()-(Data_Val!$M$2*365.25))),0,1),1))</f>
        <v>#REF!</v>
      </c>
      <c r="BK486" s="13" t="e">
        <f>IF(Data!#REF!="","",IF(Data!$G486="",1,IF(ISNUMBER(MATCH(Data!#REF!,Data_Val!$D$2:$D$10,0)),0,1)))</f>
        <v>#REF!</v>
      </c>
    </row>
    <row r="487" spans="1:63" x14ac:dyDescent="0.25">
      <c r="A487" s="9" t="str">
        <f>IF(Data!B487="","",IF(COUNTIFS(Data!A$1:'Data'!A487,Data!A487)&lt;=1,0,1))</f>
        <v/>
      </c>
      <c r="B487" s="9"/>
      <c r="C487" s="23" t="str">
        <f>IF(Data!C487="","",(IF(ISNUMBER(MATCH("*@*.?*",Data!C487,0)),0,1)+IF(COUNTIFS(Data!C$1:'Data'!C487,Data!C487)&gt;1,1,0)))</f>
        <v/>
      </c>
      <c r="D487" s="9" t="str">
        <f>IF(Data!B487="","",IF(ISNUMBER(Data!D487),IF(AND(Data!D487&gt;999999999,Data!D487&lt;=9999999999),IF(COUNTIFS(Data!D$1:'Data'!D487,Data!D487)&lt;=1,0,1),1),1))</f>
        <v/>
      </c>
      <c r="E487" s="9" t="str">
        <f>IF(Data!B487="","",IF(ISNUMBER(MATCH(Data!E487,Data_Val!$A$2:$A$3,0)),0,1))</f>
        <v/>
      </c>
      <c r="F487" s="9" t="str">
        <f ca="1">IF(Data!B487="","",IF(ISNUMBER(Data!F487),IF(AND(Data!F487&gt;(TODAY()-(Data_Val!$H$3*365.25)),Data!F487&lt;=(TODAY()-(Data_Val!$H$2*365.25))),0,1),1))</f>
        <v/>
      </c>
      <c r="G487" s="15" t="str">
        <f>IF(Data!B487="","",IF(AND(Data!G487="",Data!H487&lt;&gt;""),1,IF(Data!#REF!&lt;&gt;"",0,IF(ISNUMBER(MATCH(Data!G487,Data_Val!$C$2:$C$5,0)),0,1))))</f>
        <v/>
      </c>
      <c r="H487" s="15" t="str">
        <f>IF(Data!B487="","",IF(AND(Data!G487&lt;&gt;"",Data!H487=""),1,IF(Data!#REF!&lt;&gt;"",0,IF(Data!G487="",1,IF(ISNUMBER(MATCH(Data!H487,Data_Val!$D$2:$D$35,0)),0,1)))))</f>
        <v/>
      </c>
      <c r="I487" s="15" t="str">
        <f>IF(Data!B487="","",IF(Data!G487&lt;&gt;"",0,IF(ISNUMBER(MATCH(Data!#REF!,Data_Val!$E$2:$E$12,0)),0,1)))</f>
        <v/>
      </c>
      <c r="J487" s="16" t="e">
        <f>IF(OR(Data!B487="",Data!#REF!=""),"",IF(Data!#REF!="",1,0))</f>
        <v>#REF!</v>
      </c>
      <c r="K487" s="16" t="e">
        <f>IF(OR(Data!B487="",Data!#REF!=""),"",IF(Data!#REF!="",1,0))</f>
        <v>#REF!</v>
      </c>
      <c r="L487" s="16" t="e">
        <f>IF(OR(Data!B487="",Data!#REF!=""),"",IF(ISNUMBER(Data!#REF!),IF(AND(Data!#REF!&gt;Data_Val!$G$2,Data!#REF!&lt;=Data_Val!$G$3),0,1),1))</f>
        <v>#REF!</v>
      </c>
      <c r="M487" s="9" t="e">
        <f>IF(OR(Data!B487="",Data!#REF!=""),"",IF(ISNUMBER(MATCH(Data!#REF!,Data_Val!$F$1:$F$38,0)),0,1))</f>
        <v>#REF!</v>
      </c>
      <c r="N487" s="9" t="e">
        <f>IF(OR(Data!B487="",Data!#REF!=""),"",IF(Data!#REF!="",1,0))</f>
        <v>#REF!</v>
      </c>
      <c r="O487" s="17" t="e">
        <f>IF(Data!#REF!="","",IF(Data!#REF!="",1,0))</f>
        <v>#REF!</v>
      </c>
      <c r="P487" s="17" t="e">
        <f>IF(Data!#REF!="","",IF(ISNUMBER(MATCH(Data!#REF!,Data_Val!$A$2:$A$3,0)),0,1))</f>
        <v>#REF!</v>
      </c>
      <c r="Q487" s="25" t="e">
        <f ca="1">IF(Data!#REF!="","",IF(ISNUMBER(Data!#REF!),IF(AND(Data!#REF!&gt;(TODAY()-(Data_Val!$J$3*365.25)),Data!#REF!&lt;=(TODAY()-(Data_Val!$J$2*365.25))),0,1),1))</f>
        <v>#REF!</v>
      </c>
      <c r="R487" s="17" t="e">
        <f>IF(Data!#REF!="","",IF(ISNUMBER(MATCH(Data!#REF!,Data_Val!$B$2:$B$15,0)),0,1))</f>
        <v>#REF!</v>
      </c>
      <c r="S487" s="11" t="str">
        <f>IF(Data!G487="","",IF(Data!G487=Data_Val!$C$2,IF(Data!M487="",0,1),0))</f>
        <v/>
      </c>
      <c r="T487" s="11" t="str">
        <f>IF(Data!M487="","",IF(ISNUMBER(MATCH(Data!N487,Data_Val!$A$2:$A$3,0)),0,1))</f>
        <v/>
      </c>
      <c r="U487" s="11" t="str">
        <f ca="1">IF(Data!M487="","",IF(ISNUMBER(Data!O487),IF(AND(Data!O487&gt;(TODAY()-(Data_Val!$K$3*365.25)),Data!O487&lt;=(TODAY()-(Data_Val!$K$2*365.25))),0,1),1))</f>
        <v/>
      </c>
      <c r="V487" s="12" t="str">
        <f>IF(Data!G487="","",IF(Data!G487=Data_Val!$C$2,IF(Data!P487="",0,1),0))</f>
        <v/>
      </c>
      <c r="W487" s="12" t="str">
        <f>IF(Data!P487="","",IF(ISNUMBER(MATCH(Data!Q487,Data_Val!$A$2:$A$3,0)),0,1))</f>
        <v/>
      </c>
      <c r="X487" s="26" t="str">
        <f ca="1">IF(Data!P487="","",IF(ISNUMBER(Data!R487),IF(AND(Data!R487&gt;(TODAY()-(Data_Val!$L$3*365.25)),Data!R487&lt;=(TODAY()-(Data_Val!$L$2*365.25))),0,1),1))</f>
        <v/>
      </c>
      <c r="Y487" s="13" t="str">
        <f>IF(Data!$G487="","",IF(Data!$G487=Data_Val!$C$2,IF(Data!S487="",0,1),0))</f>
        <v/>
      </c>
      <c r="Z487" s="13" t="str">
        <f>IF(Data!S487="","",IF(ISNUMBER(MATCH(Data!T487,Data_Val!$A$2:$A$3,0)),0,1))</f>
        <v/>
      </c>
      <c r="AA487" s="28" t="str">
        <f ca="1">IF(Data!S487="","",IF(ISNUMBER(Data!U487),IF(AND(Data!U487&gt;(TODAY()-(Data_Val!$L$3*365.25)),Data!U487&lt;=(TODAY()-(Data_Val!$L$2*365.25))),0,1),1))</f>
        <v/>
      </c>
      <c r="AB487" s="11"/>
      <c r="AC487" s="11" t="e">
        <f>IF(Data!#REF!="","",IF(ISNUMBER(MATCH(Data!#REF!,Data_Val!$A$2:$A$3,0)),0,1))</f>
        <v>#REF!</v>
      </c>
      <c r="AD487" s="11" t="e">
        <f ca="1">IF(Data!#REF!="","",IF(ISNUMBER(Data!#REF!),IF(AND(Data!#REF!&gt;(TODAY()-(Data_Val!$L$3*365.25)),Data!#REF!&lt;=(TODAY()-(Data_Val!$L$2*365.25))),0,1),1))</f>
        <v>#REF!</v>
      </c>
      <c r="AE487" s="11" t="e">
        <f>IF(Data!#REF!="","",IF(Data!$G487="",1,IF(ISNUMBER(MATCH(Data!#REF!,Data_Val!$D$2:$D$10,0)),0,1)))</f>
        <v>#REF!</v>
      </c>
      <c r="AF487" s="12"/>
      <c r="AG487" s="12" t="e">
        <f>IF(Data!#REF!="","",IF(ISNUMBER(MATCH(Data!#REF!,Data_Val!$A$2:$A$3,0)),0,1))</f>
        <v>#REF!</v>
      </c>
      <c r="AH487" s="26" t="e">
        <f ca="1">IF(Data!#REF!="","",IF(ISNUMBER(Data!#REF!),IF(AND(Data!#REF!&gt;(TODAY()-(Data_Val!$L$3*365.25)),Data!#REF!&lt;=(TODAY()-(Data_Val!$L$2*365.25))),0,1),1))</f>
        <v>#REF!</v>
      </c>
      <c r="AI487" s="12" t="e">
        <f>IF(Data!#REF!="","",IF(Data!$G487="",1,IF(ISNUMBER(MATCH(Data!#REF!,Data_Val!$D$2:$D$10,0)),0,1)))</f>
        <v>#REF!</v>
      </c>
      <c r="AJ487" s="17"/>
      <c r="AK487" s="17" t="e">
        <f>IF(Data!#REF!="","",IF(ISNUMBER(MATCH(Data!#REF!,Data_Val!$A$2:$A$3,0)),0,1))</f>
        <v>#REF!</v>
      </c>
      <c r="AL487" s="25" t="e">
        <f ca="1">IF(Data!#REF!="","",IF(ISNUMBER(Data!#REF!),IF(AND(Data!#REF!&gt;(TODAY()-(Data_Val!$L$3*365.25)),Data!#REF!&lt;=(TODAY()-(Data_Val!$L$2*365.25))),0,1),1))</f>
        <v>#REF!</v>
      </c>
      <c r="AM487" s="17" t="e">
        <f>IF(Data!#REF!="","",IF(Data!$G487="",1,IF(ISNUMBER(MATCH(Data!#REF!,Data_Val!$D$2:$D$10,0)),0,1)))</f>
        <v>#REF!</v>
      </c>
      <c r="AN487" s="13"/>
      <c r="AO487" s="28" t="e">
        <f ca="1">IF(Data!#REF!="","",IF(ISNUMBER(Data!#REF!),IF(AND(Data!#REF!&gt;(TODAY()-(Data_Val!$I$3*365.25)),Data!#REF!&lt;=(TODAY()-(Data_Val!$I$2*365.25))),0,1),1))</f>
        <v>#REF!</v>
      </c>
      <c r="AP487" s="13" t="e">
        <f>IF(Data!#REF!="","",IF(Data!$G487="",1,IF(ISNUMBER(MATCH(Data!#REF!,Data_Val!$D$2:$D$10,0)),0,1)))</f>
        <v>#REF!</v>
      </c>
      <c r="AQ487" s="17"/>
      <c r="AR487" s="30" t="e">
        <f ca="1">IF(Data!#REF!="","",IF(ISNUMBER(Data!#REF!),IF(AND(Data!#REF!&gt;(TODAY()-(Data_Val!$I$3*365.25)),Data!#REF!&lt;=(TODAY()-(Data_Val!$I$2*365.25))),0,1),1))</f>
        <v>#REF!</v>
      </c>
      <c r="AS487" s="31" t="e">
        <f>IF(Data!#REF!="","",IF(Data!$G487="",1,IF(ISNUMBER(MATCH(Data!#REF!,Data_Val!$D$2:$D$10,0)),0,1)))</f>
        <v>#REF!</v>
      </c>
      <c r="AT487" s="11"/>
      <c r="AU487" s="11" t="e">
        <f ca="1">IF(Data!#REF!="","",IF(ISNUMBER(Data!#REF!),IF(AND(Data!#REF!&gt;(TODAY()-(Data_Val!$I$3*365.25)),Data!#REF!&lt;=(TODAY()-(Data_Val!$I$2*365.25))),0,1),1))</f>
        <v>#REF!</v>
      </c>
      <c r="AV487" s="11" t="e">
        <f>IF(Data!#REF!="","",IF(Data!$G487="",1,IF(ISNUMBER(MATCH(Data!#REF!,Data_Val!$D$2:$D$10,0)),0,1)))</f>
        <v>#REF!</v>
      </c>
      <c r="AW487" s="12"/>
      <c r="AX487" s="26" t="e">
        <f ca="1">IF(Data!#REF!="","",IF(ISNUMBER(Data!#REF!),IF(AND(Data!#REF!&gt;(TODAY()-(Data_Val!$I$3*365.25)),Data!#REF!&lt;=(TODAY()-(Data_Val!$I$2*365.25))),0,1),1))</f>
        <v>#REF!</v>
      </c>
      <c r="AY487" s="12" t="e">
        <f>IF(Data!#REF!="","",IF(Data!$G487="",1,IF(ISNUMBER(MATCH(Data!#REF!,Data_Val!$D$2:$D$10,0)),0,1)))</f>
        <v>#REF!</v>
      </c>
      <c r="AZ487" s="11"/>
      <c r="BA487" s="19" t="e">
        <f ca="1">IF(Data!#REF!="","",IF(ISNUMBER(Data!#REF!),IF(AND(Data!#REF!&gt;(TODAY()-(Data_Val!$M$3*365.25)),Data!#REF!&lt;=(TODAY()-(Data_Val!$M$2*365.25))),0,1),1))</f>
        <v>#REF!</v>
      </c>
      <c r="BB487" s="11" t="e">
        <f>IF(Data!#REF!="","",IF(Data!$G487="",1,IF(ISNUMBER(MATCH(Data!#REF!,Data_Val!$D$2:$D$10,0)),0,1)))</f>
        <v>#REF!</v>
      </c>
      <c r="BC487" s="12"/>
      <c r="BD487" s="20" t="e">
        <f ca="1">IF(Data!#REF!="","",IF(ISNUMBER(Data!#REF!),IF(AND(Data!#REF!&gt;(TODAY()-(Data_Val!$M$3*365.25)),Data!#REF!&lt;=(TODAY()-(Data_Val!$M$2*365.25))),0,1),1))</f>
        <v>#REF!</v>
      </c>
      <c r="BE487" s="12" t="e">
        <f>IF(Data!#REF!="","",IF(Data!$G487="",1,IF(ISNUMBER(MATCH(Data!#REF!,Data_Val!$D$2:$D$10,0)),0,1)))</f>
        <v>#REF!</v>
      </c>
      <c r="BF487" s="17"/>
      <c r="BG487" s="18" t="e">
        <f ca="1">IF(Data!#REF!="","",IF(ISNUMBER(Data!#REF!),IF(AND(Data!#REF!&gt;(TODAY()-(Data_Val!$M$3*365.25)),Data!#REF!&lt;=(TODAY()-(Data_Val!$M$2*365.25))),0,1),1))</f>
        <v>#REF!</v>
      </c>
      <c r="BH487" s="29" t="e">
        <f>IF(Data!#REF!="","",IF(Data!$G487="",1,IF(ISNUMBER(MATCH(Data!#REF!,Data_Val!$D$2:$D$10,0)),0,1)))</f>
        <v>#REF!</v>
      </c>
      <c r="BI487" s="13"/>
      <c r="BJ487" s="21" t="e">
        <f ca="1">IF(Data!#REF!="","",IF(ISNUMBER(Data!#REF!),IF(AND(Data!#REF!&gt;(TODAY()-(Data_Val!$M$3*365.25)),Data!#REF!&lt;=(TODAY()-(Data_Val!$M$2*365.25))),0,1),1))</f>
        <v>#REF!</v>
      </c>
      <c r="BK487" s="13" t="e">
        <f>IF(Data!#REF!="","",IF(Data!$G487="",1,IF(ISNUMBER(MATCH(Data!#REF!,Data_Val!$D$2:$D$10,0)),0,1)))</f>
        <v>#REF!</v>
      </c>
    </row>
    <row r="488" spans="1:63" x14ac:dyDescent="0.25">
      <c r="A488" s="9" t="str">
        <f>IF(Data!B488="","",IF(COUNTIFS(Data!A$1:'Data'!A488,Data!A488)&lt;=1,0,1))</f>
        <v/>
      </c>
      <c r="B488" s="9"/>
      <c r="C488" s="23" t="str">
        <f>IF(Data!C488="","",(IF(ISNUMBER(MATCH("*@*.?*",Data!C488,0)),0,1)+IF(COUNTIFS(Data!C$1:'Data'!C488,Data!C488)&gt;1,1,0)))</f>
        <v/>
      </c>
      <c r="D488" s="9" t="str">
        <f>IF(Data!B488="","",IF(ISNUMBER(Data!D488),IF(AND(Data!D488&gt;999999999,Data!D488&lt;=9999999999),IF(COUNTIFS(Data!D$1:'Data'!D488,Data!D488)&lt;=1,0,1),1),1))</f>
        <v/>
      </c>
      <c r="E488" s="9" t="str">
        <f>IF(Data!B488="","",IF(ISNUMBER(MATCH(Data!E488,Data_Val!$A$2:$A$3,0)),0,1))</f>
        <v/>
      </c>
      <c r="F488" s="9" t="str">
        <f ca="1">IF(Data!B488="","",IF(ISNUMBER(Data!F488),IF(AND(Data!F488&gt;(TODAY()-(Data_Val!$H$3*365.25)),Data!F488&lt;=(TODAY()-(Data_Val!$H$2*365.25))),0,1),1))</f>
        <v/>
      </c>
      <c r="G488" s="15" t="str">
        <f>IF(Data!B488="","",IF(AND(Data!G488="",Data!H488&lt;&gt;""),1,IF(Data!#REF!&lt;&gt;"",0,IF(ISNUMBER(MATCH(Data!G488,Data_Val!$C$2:$C$5,0)),0,1))))</f>
        <v/>
      </c>
      <c r="H488" s="15" t="str">
        <f>IF(Data!B488="","",IF(AND(Data!G488&lt;&gt;"",Data!H488=""),1,IF(Data!#REF!&lt;&gt;"",0,IF(Data!G488="",1,IF(ISNUMBER(MATCH(Data!H488,Data_Val!$D$2:$D$35,0)),0,1)))))</f>
        <v/>
      </c>
      <c r="I488" s="15" t="str">
        <f>IF(Data!B488="","",IF(Data!G488&lt;&gt;"",0,IF(ISNUMBER(MATCH(Data!#REF!,Data_Val!$E$2:$E$12,0)),0,1)))</f>
        <v/>
      </c>
      <c r="J488" s="16" t="e">
        <f>IF(OR(Data!B488="",Data!#REF!=""),"",IF(Data!#REF!="",1,0))</f>
        <v>#REF!</v>
      </c>
      <c r="K488" s="16" t="e">
        <f>IF(OR(Data!B488="",Data!#REF!=""),"",IF(Data!#REF!="",1,0))</f>
        <v>#REF!</v>
      </c>
      <c r="L488" s="16" t="e">
        <f>IF(OR(Data!B488="",Data!#REF!=""),"",IF(ISNUMBER(Data!#REF!),IF(AND(Data!#REF!&gt;Data_Val!$G$2,Data!#REF!&lt;=Data_Val!$G$3),0,1),1))</f>
        <v>#REF!</v>
      </c>
      <c r="M488" s="9" t="e">
        <f>IF(OR(Data!B488="",Data!#REF!=""),"",IF(ISNUMBER(MATCH(Data!#REF!,Data_Val!$F$1:$F$38,0)),0,1))</f>
        <v>#REF!</v>
      </c>
      <c r="N488" s="9" t="e">
        <f>IF(OR(Data!B488="",Data!#REF!=""),"",IF(Data!#REF!="",1,0))</f>
        <v>#REF!</v>
      </c>
      <c r="O488" s="17" t="e">
        <f>IF(Data!#REF!="","",IF(Data!#REF!="",1,0))</f>
        <v>#REF!</v>
      </c>
      <c r="P488" s="17" t="e">
        <f>IF(Data!#REF!="","",IF(ISNUMBER(MATCH(Data!#REF!,Data_Val!$A$2:$A$3,0)),0,1))</f>
        <v>#REF!</v>
      </c>
      <c r="Q488" s="25" t="e">
        <f ca="1">IF(Data!#REF!="","",IF(ISNUMBER(Data!#REF!),IF(AND(Data!#REF!&gt;(TODAY()-(Data_Val!$J$3*365.25)),Data!#REF!&lt;=(TODAY()-(Data_Val!$J$2*365.25))),0,1),1))</f>
        <v>#REF!</v>
      </c>
      <c r="R488" s="17" t="e">
        <f>IF(Data!#REF!="","",IF(ISNUMBER(MATCH(Data!#REF!,Data_Val!$B$2:$B$15,0)),0,1))</f>
        <v>#REF!</v>
      </c>
      <c r="S488" s="11" t="str">
        <f>IF(Data!G488="","",IF(Data!G488=Data_Val!$C$2,IF(Data!M488="",0,1),0))</f>
        <v/>
      </c>
      <c r="T488" s="11" t="str">
        <f>IF(Data!M488="","",IF(ISNUMBER(MATCH(Data!N488,Data_Val!$A$2:$A$3,0)),0,1))</f>
        <v/>
      </c>
      <c r="U488" s="11" t="str">
        <f ca="1">IF(Data!M488="","",IF(ISNUMBER(Data!O488),IF(AND(Data!O488&gt;(TODAY()-(Data_Val!$K$3*365.25)),Data!O488&lt;=(TODAY()-(Data_Val!$K$2*365.25))),0,1),1))</f>
        <v/>
      </c>
      <c r="V488" s="12" t="str">
        <f>IF(Data!G488="","",IF(Data!G488=Data_Val!$C$2,IF(Data!P488="",0,1),0))</f>
        <v/>
      </c>
      <c r="W488" s="12" t="str">
        <f>IF(Data!P488="","",IF(ISNUMBER(MATCH(Data!Q488,Data_Val!$A$2:$A$3,0)),0,1))</f>
        <v/>
      </c>
      <c r="X488" s="26" t="str">
        <f ca="1">IF(Data!P488="","",IF(ISNUMBER(Data!R488),IF(AND(Data!R488&gt;(TODAY()-(Data_Val!$L$3*365.25)),Data!R488&lt;=(TODAY()-(Data_Val!$L$2*365.25))),0,1),1))</f>
        <v/>
      </c>
      <c r="Y488" s="13" t="str">
        <f>IF(Data!$G488="","",IF(Data!$G488=Data_Val!$C$2,IF(Data!S488="",0,1),0))</f>
        <v/>
      </c>
      <c r="Z488" s="13" t="str">
        <f>IF(Data!S488="","",IF(ISNUMBER(MATCH(Data!T488,Data_Val!$A$2:$A$3,0)),0,1))</f>
        <v/>
      </c>
      <c r="AA488" s="28" t="str">
        <f ca="1">IF(Data!S488="","",IF(ISNUMBER(Data!U488),IF(AND(Data!U488&gt;(TODAY()-(Data_Val!$L$3*365.25)),Data!U488&lt;=(TODAY()-(Data_Val!$L$2*365.25))),0,1),1))</f>
        <v/>
      </c>
      <c r="AB488" s="11"/>
      <c r="AC488" s="11" t="e">
        <f>IF(Data!#REF!="","",IF(ISNUMBER(MATCH(Data!#REF!,Data_Val!$A$2:$A$3,0)),0,1))</f>
        <v>#REF!</v>
      </c>
      <c r="AD488" s="11" t="e">
        <f ca="1">IF(Data!#REF!="","",IF(ISNUMBER(Data!#REF!),IF(AND(Data!#REF!&gt;(TODAY()-(Data_Val!$L$3*365.25)),Data!#REF!&lt;=(TODAY()-(Data_Val!$L$2*365.25))),0,1),1))</f>
        <v>#REF!</v>
      </c>
      <c r="AE488" s="11" t="e">
        <f>IF(Data!#REF!="","",IF(Data!$G488="",1,IF(ISNUMBER(MATCH(Data!#REF!,Data_Val!$D$2:$D$10,0)),0,1)))</f>
        <v>#REF!</v>
      </c>
      <c r="AF488" s="12"/>
      <c r="AG488" s="12" t="e">
        <f>IF(Data!#REF!="","",IF(ISNUMBER(MATCH(Data!#REF!,Data_Val!$A$2:$A$3,0)),0,1))</f>
        <v>#REF!</v>
      </c>
      <c r="AH488" s="26" t="e">
        <f ca="1">IF(Data!#REF!="","",IF(ISNUMBER(Data!#REF!),IF(AND(Data!#REF!&gt;(TODAY()-(Data_Val!$L$3*365.25)),Data!#REF!&lt;=(TODAY()-(Data_Val!$L$2*365.25))),0,1),1))</f>
        <v>#REF!</v>
      </c>
      <c r="AI488" s="12" t="e">
        <f>IF(Data!#REF!="","",IF(Data!$G488="",1,IF(ISNUMBER(MATCH(Data!#REF!,Data_Val!$D$2:$D$10,0)),0,1)))</f>
        <v>#REF!</v>
      </c>
      <c r="AJ488" s="17"/>
      <c r="AK488" s="17" t="e">
        <f>IF(Data!#REF!="","",IF(ISNUMBER(MATCH(Data!#REF!,Data_Val!$A$2:$A$3,0)),0,1))</f>
        <v>#REF!</v>
      </c>
      <c r="AL488" s="25" t="e">
        <f ca="1">IF(Data!#REF!="","",IF(ISNUMBER(Data!#REF!),IF(AND(Data!#REF!&gt;(TODAY()-(Data_Val!$L$3*365.25)),Data!#REF!&lt;=(TODAY()-(Data_Val!$L$2*365.25))),0,1),1))</f>
        <v>#REF!</v>
      </c>
      <c r="AM488" s="17" t="e">
        <f>IF(Data!#REF!="","",IF(Data!$G488="",1,IF(ISNUMBER(MATCH(Data!#REF!,Data_Val!$D$2:$D$10,0)),0,1)))</f>
        <v>#REF!</v>
      </c>
      <c r="AN488" s="13"/>
      <c r="AO488" s="28" t="e">
        <f ca="1">IF(Data!#REF!="","",IF(ISNUMBER(Data!#REF!),IF(AND(Data!#REF!&gt;(TODAY()-(Data_Val!$I$3*365.25)),Data!#REF!&lt;=(TODAY()-(Data_Val!$I$2*365.25))),0,1),1))</f>
        <v>#REF!</v>
      </c>
      <c r="AP488" s="13" t="e">
        <f>IF(Data!#REF!="","",IF(Data!$G488="",1,IF(ISNUMBER(MATCH(Data!#REF!,Data_Val!$D$2:$D$10,0)),0,1)))</f>
        <v>#REF!</v>
      </c>
      <c r="AQ488" s="17"/>
      <c r="AR488" s="30" t="e">
        <f ca="1">IF(Data!#REF!="","",IF(ISNUMBER(Data!#REF!),IF(AND(Data!#REF!&gt;(TODAY()-(Data_Val!$I$3*365.25)),Data!#REF!&lt;=(TODAY()-(Data_Val!$I$2*365.25))),0,1),1))</f>
        <v>#REF!</v>
      </c>
      <c r="AS488" s="31" t="e">
        <f>IF(Data!#REF!="","",IF(Data!$G488="",1,IF(ISNUMBER(MATCH(Data!#REF!,Data_Val!$D$2:$D$10,0)),0,1)))</f>
        <v>#REF!</v>
      </c>
      <c r="AT488" s="11"/>
      <c r="AU488" s="11" t="e">
        <f ca="1">IF(Data!#REF!="","",IF(ISNUMBER(Data!#REF!),IF(AND(Data!#REF!&gt;(TODAY()-(Data_Val!$I$3*365.25)),Data!#REF!&lt;=(TODAY()-(Data_Val!$I$2*365.25))),0,1),1))</f>
        <v>#REF!</v>
      </c>
      <c r="AV488" s="11" t="e">
        <f>IF(Data!#REF!="","",IF(Data!$G488="",1,IF(ISNUMBER(MATCH(Data!#REF!,Data_Val!$D$2:$D$10,0)),0,1)))</f>
        <v>#REF!</v>
      </c>
      <c r="AW488" s="12"/>
      <c r="AX488" s="26" t="e">
        <f ca="1">IF(Data!#REF!="","",IF(ISNUMBER(Data!#REF!),IF(AND(Data!#REF!&gt;(TODAY()-(Data_Val!$I$3*365.25)),Data!#REF!&lt;=(TODAY()-(Data_Val!$I$2*365.25))),0,1),1))</f>
        <v>#REF!</v>
      </c>
      <c r="AY488" s="12" t="e">
        <f>IF(Data!#REF!="","",IF(Data!$G488="",1,IF(ISNUMBER(MATCH(Data!#REF!,Data_Val!$D$2:$D$10,0)),0,1)))</f>
        <v>#REF!</v>
      </c>
      <c r="AZ488" s="11"/>
      <c r="BA488" s="19" t="e">
        <f ca="1">IF(Data!#REF!="","",IF(ISNUMBER(Data!#REF!),IF(AND(Data!#REF!&gt;(TODAY()-(Data_Val!$M$3*365.25)),Data!#REF!&lt;=(TODAY()-(Data_Val!$M$2*365.25))),0,1),1))</f>
        <v>#REF!</v>
      </c>
      <c r="BB488" s="11" t="e">
        <f>IF(Data!#REF!="","",IF(Data!$G488="",1,IF(ISNUMBER(MATCH(Data!#REF!,Data_Val!$D$2:$D$10,0)),0,1)))</f>
        <v>#REF!</v>
      </c>
      <c r="BC488" s="12"/>
      <c r="BD488" s="20" t="e">
        <f ca="1">IF(Data!#REF!="","",IF(ISNUMBER(Data!#REF!),IF(AND(Data!#REF!&gt;(TODAY()-(Data_Val!$M$3*365.25)),Data!#REF!&lt;=(TODAY()-(Data_Val!$M$2*365.25))),0,1),1))</f>
        <v>#REF!</v>
      </c>
      <c r="BE488" s="12" t="e">
        <f>IF(Data!#REF!="","",IF(Data!$G488="",1,IF(ISNUMBER(MATCH(Data!#REF!,Data_Val!$D$2:$D$10,0)),0,1)))</f>
        <v>#REF!</v>
      </c>
      <c r="BF488" s="17"/>
      <c r="BG488" s="18" t="e">
        <f ca="1">IF(Data!#REF!="","",IF(ISNUMBER(Data!#REF!),IF(AND(Data!#REF!&gt;(TODAY()-(Data_Val!$M$3*365.25)),Data!#REF!&lt;=(TODAY()-(Data_Val!$M$2*365.25))),0,1),1))</f>
        <v>#REF!</v>
      </c>
      <c r="BH488" s="29" t="e">
        <f>IF(Data!#REF!="","",IF(Data!$G488="",1,IF(ISNUMBER(MATCH(Data!#REF!,Data_Val!$D$2:$D$10,0)),0,1)))</f>
        <v>#REF!</v>
      </c>
      <c r="BI488" s="13"/>
      <c r="BJ488" s="21" t="e">
        <f ca="1">IF(Data!#REF!="","",IF(ISNUMBER(Data!#REF!),IF(AND(Data!#REF!&gt;(TODAY()-(Data_Val!$M$3*365.25)),Data!#REF!&lt;=(TODAY()-(Data_Val!$M$2*365.25))),0,1),1))</f>
        <v>#REF!</v>
      </c>
      <c r="BK488" s="13" t="e">
        <f>IF(Data!#REF!="","",IF(Data!$G488="",1,IF(ISNUMBER(MATCH(Data!#REF!,Data_Val!$D$2:$D$10,0)),0,1)))</f>
        <v>#REF!</v>
      </c>
    </row>
    <row r="489" spans="1:63" x14ac:dyDescent="0.25">
      <c r="A489" s="9" t="str">
        <f>IF(Data!B489="","",IF(COUNTIFS(Data!A$1:'Data'!A489,Data!A489)&lt;=1,0,1))</f>
        <v/>
      </c>
      <c r="B489" s="9"/>
      <c r="C489" s="23" t="str">
        <f>IF(Data!C489="","",(IF(ISNUMBER(MATCH("*@*.?*",Data!C489,0)),0,1)+IF(COUNTIFS(Data!C$1:'Data'!C489,Data!C489)&gt;1,1,0)))</f>
        <v/>
      </c>
      <c r="D489" s="9" t="str">
        <f>IF(Data!B489="","",IF(ISNUMBER(Data!D489),IF(AND(Data!D489&gt;999999999,Data!D489&lt;=9999999999),IF(COUNTIFS(Data!D$1:'Data'!D489,Data!D489)&lt;=1,0,1),1),1))</f>
        <v/>
      </c>
      <c r="E489" s="9" t="str">
        <f>IF(Data!B489="","",IF(ISNUMBER(MATCH(Data!E489,Data_Val!$A$2:$A$3,0)),0,1))</f>
        <v/>
      </c>
      <c r="F489" s="9" t="str">
        <f ca="1">IF(Data!B489="","",IF(ISNUMBER(Data!F489),IF(AND(Data!F489&gt;(TODAY()-(Data_Val!$H$3*365.25)),Data!F489&lt;=(TODAY()-(Data_Val!$H$2*365.25))),0,1),1))</f>
        <v/>
      </c>
      <c r="G489" s="15" t="str">
        <f>IF(Data!B489="","",IF(AND(Data!G489="",Data!H489&lt;&gt;""),1,IF(Data!#REF!&lt;&gt;"",0,IF(ISNUMBER(MATCH(Data!G489,Data_Val!$C$2:$C$5,0)),0,1))))</f>
        <v/>
      </c>
      <c r="H489" s="15" t="str">
        <f>IF(Data!B489="","",IF(AND(Data!G489&lt;&gt;"",Data!H489=""),1,IF(Data!#REF!&lt;&gt;"",0,IF(Data!G489="",1,IF(ISNUMBER(MATCH(Data!H489,Data_Val!$D$2:$D$35,0)),0,1)))))</f>
        <v/>
      </c>
      <c r="I489" s="15" t="str">
        <f>IF(Data!B489="","",IF(Data!G489&lt;&gt;"",0,IF(ISNUMBER(MATCH(Data!#REF!,Data_Val!$E$2:$E$12,0)),0,1)))</f>
        <v/>
      </c>
      <c r="J489" s="16" t="e">
        <f>IF(OR(Data!B489="",Data!#REF!=""),"",IF(Data!#REF!="",1,0))</f>
        <v>#REF!</v>
      </c>
      <c r="K489" s="16" t="e">
        <f>IF(OR(Data!B489="",Data!#REF!=""),"",IF(Data!#REF!="",1,0))</f>
        <v>#REF!</v>
      </c>
      <c r="L489" s="16" t="e">
        <f>IF(OR(Data!B489="",Data!#REF!=""),"",IF(ISNUMBER(Data!#REF!),IF(AND(Data!#REF!&gt;Data_Val!$G$2,Data!#REF!&lt;=Data_Val!$G$3),0,1),1))</f>
        <v>#REF!</v>
      </c>
      <c r="M489" s="9" t="e">
        <f>IF(OR(Data!B489="",Data!#REF!=""),"",IF(ISNUMBER(MATCH(Data!#REF!,Data_Val!$F$1:$F$38,0)),0,1))</f>
        <v>#REF!</v>
      </c>
      <c r="N489" s="9" t="e">
        <f>IF(OR(Data!B489="",Data!#REF!=""),"",IF(Data!#REF!="",1,0))</f>
        <v>#REF!</v>
      </c>
      <c r="O489" s="17" t="e">
        <f>IF(Data!#REF!="","",IF(Data!#REF!="",1,0))</f>
        <v>#REF!</v>
      </c>
      <c r="P489" s="17" t="e">
        <f>IF(Data!#REF!="","",IF(ISNUMBER(MATCH(Data!#REF!,Data_Val!$A$2:$A$3,0)),0,1))</f>
        <v>#REF!</v>
      </c>
      <c r="Q489" s="25" t="e">
        <f ca="1">IF(Data!#REF!="","",IF(ISNUMBER(Data!#REF!),IF(AND(Data!#REF!&gt;(TODAY()-(Data_Val!$J$3*365.25)),Data!#REF!&lt;=(TODAY()-(Data_Val!$J$2*365.25))),0,1),1))</f>
        <v>#REF!</v>
      </c>
      <c r="R489" s="17" t="e">
        <f>IF(Data!#REF!="","",IF(ISNUMBER(MATCH(Data!#REF!,Data_Val!$B$2:$B$15,0)),0,1))</f>
        <v>#REF!</v>
      </c>
      <c r="S489" s="11" t="str">
        <f>IF(Data!G489="","",IF(Data!G489=Data_Val!$C$2,IF(Data!M489="",0,1),0))</f>
        <v/>
      </c>
      <c r="T489" s="11" t="str">
        <f>IF(Data!M489="","",IF(ISNUMBER(MATCH(Data!N489,Data_Val!$A$2:$A$3,0)),0,1))</f>
        <v/>
      </c>
      <c r="U489" s="11" t="str">
        <f ca="1">IF(Data!M489="","",IF(ISNUMBER(Data!O489),IF(AND(Data!O489&gt;(TODAY()-(Data_Val!$K$3*365.25)),Data!O489&lt;=(TODAY()-(Data_Val!$K$2*365.25))),0,1),1))</f>
        <v/>
      </c>
      <c r="V489" s="12" t="str">
        <f>IF(Data!G489="","",IF(Data!G489=Data_Val!$C$2,IF(Data!P489="",0,1),0))</f>
        <v/>
      </c>
      <c r="W489" s="12" t="str">
        <f>IF(Data!P489="","",IF(ISNUMBER(MATCH(Data!Q489,Data_Val!$A$2:$A$3,0)),0,1))</f>
        <v/>
      </c>
      <c r="X489" s="26" t="str">
        <f ca="1">IF(Data!P489="","",IF(ISNUMBER(Data!R489),IF(AND(Data!R489&gt;(TODAY()-(Data_Val!$L$3*365.25)),Data!R489&lt;=(TODAY()-(Data_Val!$L$2*365.25))),0,1),1))</f>
        <v/>
      </c>
      <c r="Y489" s="13" t="str">
        <f>IF(Data!$G489="","",IF(Data!$G489=Data_Val!$C$2,IF(Data!S489="",0,1),0))</f>
        <v/>
      </c>
      <c r="Z489" s="13" t="str">
        <f>IF(Data!S489="","",IF(ISNUMBER(MATCH(Data!T489,Data_Val!$A$2:$A$3,0)),0,1))</f>
        <v/>
      </c>
      <c r="AA489" s="28" t="str">
        <f ca="1">IF(Data!S489="","",IF(ISNUMBER(Data!U489),IF(AND(Data!U489&gt;(TODAY()-(Data_Val!$L$3*365.25)),Data!U489&lt;=(TODAY()-(Data_Val!$L$2*365.25))),0,1),1))</f>
        <v/>
      </c>
      <c r="AB489" s="11"/>
      <c r="AC489" s="11" t="e">
        <f>IF(Data!#REF!="","",IF(ISNUMBER(MATCH(Data!#REF!,Data_Val!$A$2:$A$3,0)),0,1))</f>
        <v>#REF!</v>
      </c>
      <c r="AD489" s="11" t="e">
        <f ca="1">IF(Data!#REF!="","",IF(ISNUMBER(Data!#REF!),IF(AND(Data!#REF!&gt;(TODAY()-(Data_Val!$L$3*365.25)),Data!#REF!&lt;=(TODAY()-(Data_Val!$L$2*365.25))),0,1),1))</f>
        <v>#REF!</v>
      </c>
      <c r="AE489" s="11" t="e">
        <f>IF(Data!#REF!="","",IF(Data!$G489="",1,IF(ISNUMBER(MATCH(Data!#REF!,Data_Val!$D$2:$D$10,0)),0,1)))</f>
        <v>#REF!</v>
      </c>
      <c r="AF489" s="12"/>
      <c r="AG489" s="12" t="e">
        <f>IF(Data!#REF!="","",IF(ISNUMBER(MATCH(Data!#REF!,Data_Val!$A$2:$A$3,0)),0,1))</f>
        <v>#REF!</v>
      </c>
      <c r="AH489" s="26" t="e">
        <f ca="1">IF(Data!#REF!="","",IF(ISNUMBER(Data!#REF!),IF(AND(Data!#REF!&gt;(TODAY()-(Data_Val!$L$3*365.25)),Data!#REF!&lt;=(TODAY()-(Data_Val!$L$2*365.25))),0,1),1))</f>
        <v>#REF!</v>
      </c>
      <c r="AI489" s="12" t="e">
        <f>IF(Data!#REF!="","",IF(Data!$G489="",1,IF(ISNUMBER(MATCH(Data!#REF!,Data_Val!$D$2:$D$10,0)),0,1)))</f>
        <v>#REF!</v>
      </c>
      <c r="AJ489" s="17"/>
      <c r="AK489" s="17" t="e">
        <f>IF(Data!#REF!="","",IF(ISNUMBER(MATCH(Data!#REF!,Data_Val!$A$2:$A$3,0)),0,1))</f>
        <v>#REF!</v>
      </c>
      <c r="AL489" s="25" t="e">
        <f ca="1">IF(Data!#REF!="","",IF(ISNUMBER(Data!#REF!),IF(AND(Data!#REF!&gt;(TODAY()-(Data_Val!$L$3*365.25)),Data!#REF!&lt;=(TODAY()-(Data_Val!$L$2*365.25))),0,1),1))</f>
        <v>#REF!</v>
      </c>
      <c r="AM489" s="17" t="e">
        <f>IF(Data!#REF!="","",IF(Data!$G489="",1,IF(ISNUMBER(MATCH(Data!#REF!,Data_Val!$D$2:$D$10,0)),0,1)))</f>
        <v>#REF!</v>
      </c>
      <c r="AN489" s="13"/>
      <c r="AO489" s="28" t="e">
        <f ca="1">IF(Data!#REF!="","",IF(ISNUMBER(Data!#REF!),IF(AND(Data!#REF!&gt;(TODAY()-(Data_Val!$I$3*365.25)),Data!#REF!&lt;=(TODAY()-(Data_Val!$I$2*365.25))),0,1),1))</f>
        <v>#REF!</v>
      </c>
      <c r="AP489" s="13" t="e">
        <f>IF(Data!#REF!="","",IF(Data!$G489="",1,IF(ISNUMBER(MATCH(Data!#REF!,Data_Val!$D$2:$D$10,0)),0,1)))</f>
        <v>#REF!</v>
      </c>
      <c r="AQ489" s="17"/>
      <c r="AR489" s="30" t="e">
        <f ca="1">IF(Data!#REF!="","",IF(ISNUMBER(Data!#REF!),IF(AND(Data!#REF!&gt;(TODAY()-(Data_Val!$I$3*365.25)),Data!#REF!&lt;=(TODAY()-(Data_Val!$I$2*365.25))),0,1),1))</f>
        <v>#REF!</v>
      </c>
      <c r="AS489" s="31" t="e">
        <f>IF(Data!#REF!="","",IF(Data!$G489="",1,IF(ISNUMBER(MATCH(Data!#REF!,Data_Val!$D$2:$D$10,0)),0,1)))</f>
        <v>#REF!</v>
      </c>
      <c r="AT489" s="11"/>
      <c r="AU489" s="11" t="e">
        <f ca="1">IF(Data!#REF!="","",IF(ISNUMBER(Data!#REF!),IF(AND(Data!#REF!&gt;(TODAY()-(Data_Val!$I$3*365.25)),Data!#REF!&lt;=(TODAY()-(Data_Val!$I$2*365.25))),0,1),1))</f>
        <v>#REF!</v>
      </c>
      <c r="AV489" s="11" t="e">
        <f>IF(Data!#REF!="","",IF(Data!$G489="",1,IF(ISNUMBER(MATCH(Data!#REF!,Data_Val!$D$2:$D$10,0)),0,1)))</f>
        <v>#REF!</v>
      </c>
      <c r="AW489" s="12"/>
      <c r="AX489" s="26" t="e">
        <f ca="1">IF(Data!#REF!="","",IF(ISNUMBER(Data!#REF!),IF(AND(Data!#REF!&gt;(TODAY()-(Data_Val!$I$3*365.25)),Data!#REF!&lt;=(TODAY()-(Data_Val!$I$2*365.25))),0,1),1))</f>
        <v>#REF!</v>
      </c>
      <c r="AY489" s="12" t="e">
        <f>IF(Data!#REF!="","",IF(Data!$G489="",1,IF(ISNUMBER(MATCH(Data!#REF!,Data_Val!$D$2:$D$10,0)),0,1)))</f>
        <v>#REF!</v>
      </c>
      <c r="AZ489" s="11"/>
      <c r="BA489" s="19" t="e">
        <f ca="1">IF(Data!#REF!="","",IF(ISNUMBER(Data!#REF!),IF(AND(Data!#REF!&gt;(TODAY()-(Data_Val!$M$3*365.25)),Data!#REF!&lt;=(TODAY()-(Data_Val!$M$2*365.25))),0,1),1))</f>
        <v>#REF!</v>
      </c>
      <c r="BB489" s="11" t="e">
        <f>IF(Data!#REF!="","",IF(Data!$G489="",1,IF(ISNUMBER(MATCH(Data!#REF!,Data_Val!$D$2:$D$10,0)),0,1)))</f>
        <v>#REF!</v>
      </c>
      <c r="BC489" s="12"/>
      <c r="BD489" s="20" t="e">
        <f ca="1">IF(Data!#REF!="","",IF(ISNUMBER(Data!#REF!),IF(AND(Data!#REF!&gt;(TODAY()-(Data_Val!$M$3*365.25)),Data!#REF!&lt;=(TODAY()-(Data_Val!$M$2*365.25))),0,1),1))</f>
        <v>#REF!</v>
      </c>
      <c r="BE489" s="12" t="e">
        <f>IF(Data!#REF!="","",IF(Data!$G489="",1,IF(ISNUMBER(MATCH(Data!#REF!,Data_Val!$D$2:$D$10,0)),0,1)))</f>
        <v>#REF!</v>
      </c>
      <c r="BF489" s="17"/>
      <c r="BG489" s="18" t="e">
        <f ca="1">IF(Data!#REF!="","",IF(ISNUMBER(Data!#REF!),IF(AND(Data!#REF!&gt;(TODAY()-(Data_Val!$M$3*365.25)),Data!#REF!&lt;=(TODAY()-(Data_Val!$M$2*365.25))),0,1),1))</f>
        <v>#REF!</v>
      </c>
      <c r="BH489" s="29" t="e">
        <f>IF(Data!#REF!="","",IF(Data!$G489="",1,IF(ISNUMBER(MATCH(Data!#REF!,Data_Val!$D$2:$D$10,0)),0,1)))</f>
        <v>#REF!</v>
      </c>
      <c r="BI489" s="13"/>
      <c r="BJ489" s="21" t="e">
        <f ca="1">IF(Data!#REF!="","",IF(ISNUMBER(Data!#REF!),IF(AND(Data!#REF!&gt;(TODAY()-(Data_Val!$M$3*365.25)),Data!#REF!&lt;=(TODAY()-(Data_Val!$M$2*365.25))),0,1),1))</f>
        <v>#REF!</v>
      </c>
      <c r="BK489" s="13" t="e">
        <f>IF(Data!#REF!="","",IF(Data!$G489="",1,IF(ISNUMBER(MATCH(Data!#REF!,Data_Val!$D$2:$D$10,0)),0,1)))</f>
        <v>#REF!</v>
      </c>
    </row>
    <row r="490" spans="1:63" x14ac:dyDescent="0.25">
      <c r="A490" s="9" t="str">
        <f>IF(Data!B490="","",IF(COUNTIFS(Data!A$1:'Data'!A490,Data!A490)&lt;=1,0,1))</f>
        <v/>
      </c>
      <c r="B490" s="9"/>
      <c r="C490" s="23" t="str">
        <f>IF(Data!C490="","",(IF(ISNUMBER(MATCH("*@*.?*",Data!C490,0)),0,1)+IF(COUNTIFS(Data!C$1:'Data'!C490,Data!C490)&gt;1,1,0)))</f>
        <v/>
      </c>
      <c r="D490" s="9" t="str">
        <f>IF(Data!B490="","",IF(ISNUMBER(Data!D490),IF(AND(Data!D490&gt;999999999,Data!D490&lt;=9999999999),IF(COUNTIFS(Data!D$1:'Data'!D490,Data!D490)&lt;=1,0,1),1),1))</f>
        <v/>
      </c>
      <c r="E490" s="9" t="str">
        <f>IF(Data!B490="","",IF(ISNUMBER(MATCH(Data!E490,Data_Val!$A$2:$A$3,0)),0,1))</f>
        <v/>
      </c>
      <c r="F490" s="9" t="str">
        <f ca="1">IF(Data!B490="","",IF(ISNUMBER(Data!F490),IF(AND(Data!F490&gt;(TODAY()-(Data_Val!$H$3*365.25)),Data!F490&lt;=(TODAY()-(Data_Val!$H$2*365.25))),0,1),1))</f>
        <v/>
      </c>
      <c r="G490" s="15" t="str">
        <f>IF(Data!B490="","",IF(AND(Data!G490="",Data!H490&lt;&gt;""),1,IF(Data!#REF!&lt;&gt;"",0,IF(ISNUMBER(MATCH(Data!G490,Data_Val!$C$2:$C$5,0)),0,1))))</f>
        <v/>
      </c>
      <c r="H490" s="15" t="str">
        <f>IF(Data!B490="","",IF(AND(Data!G490&lt;&gt;"",Data!H490=""),1,IF(Data!#REF!&lt;&gt;"",0,IF(Data!G490="",1,IF(ISNUMBER(MATCH(Data!H490,Data_Val!$D$2:$D$35,0)),0,1)))))</f>
        <v/>
      </c>
      <c r="I490" s="15" t="str">
        <f>IF(Data!B490="","",IF(Data!G490&lt;&gt;"",0,IF(ISNUMBER(MATCH(Data!#REF!,Data_Val!$E$2:$E$12,0)),0,1)))</f>
        <v/>
      </c>
      <c r="J490" s="16" t="e">
        <f>IF(OR(Data!B490="",Data!#REF!=""),"",IF(Data!#REF!="",1,0))</f>
        <v>#REF!</v>
      </c>
      <c r="K490" s="16" t="e">
        <f>IF(OR(Data!B490="",Data!#REF!=""),"",IF(Data!#REF!="",1,0))</f>
        <v>#REF!</v>
      </c>
      <c r="L490" s="16" t="e">
        <f>IF(OR(Data!B490="",Data!#REF!=""),"",IF(ISNUMBER(Data!#REF!),IF(AND(Data!#REF!&gt;Data_Val!$G$2,Data!#REF!&lt;=Data_Val!$G$3),0,1),1))</f>
        <v>#REF!</v>
      </c>
      <c r="M490" s="9" t="e">
        <f>IF(OR(Data!B490="",Data!#REF!=""),"",IF(ISNUMBER(MATCH(Data!#REF!,Data_Val!$F$1:$F$38,0)),0,1))</f>
        <v>#REF!</v>
      </c>
      <c r="N490" s="9" t="e">
        <f>IF(OR(Data!B490="",Data!#REF!=""),"",IF(Data!#REF!="",1,0))</f>
        <v>#REF!</v>
      </c>
      <c r="O490" s="17" t="e">
        <f>IF(Data!#REF!="","",IF(Data!#REF!="",1,0))</f>
        <v>#REF!</v>
      </c>
      <c r="P490" s="17" t="e">
        <f>IF(Data!#REF!="","",IF(ISNUMBER(MATCH(Data!#REF!,Data_Val!$A$2:$A$3,0)),0,1))</f>
        <v>#REF!</v>
      </c>
      <c r="Q490" s="25" t="e">
        <f ca="1">IF(Data!#REF!="","",IF(ISNUMBER(Data!#REF!),IF(AND(Data!#REF!&gt;(TODAY()-(Data_Val!$J$3*365.25)),Data!#REF!&lt;=(TODAY()-(Data_Val!$J$2*365.25))),0,1),1))</f>
        <v>#REF!</v>
      </c>
      <c r="R490" s="17" t="e">
        <f>IF(Data!#REF!="","",IF(ISNUMBER(MATCH(Data!#REF!,Data_Val!$B$2:$B$15,0)),0,1))</f>
        <v>#REF!</v>
      </c>
      <c r="S490" s="11" t="str">
        <f>IF(Data!G490="","",IF(Data!G490=Data_Val!$C$2,IF(Data!M490="",0,1),0))</f>
        <v/>
      </c>
      <c r="T490" s="11" t="str">
        <f>IF(Data!M490="","",IF(ISNUMBER(MATCH(Data!N490,Data_Val!$A$2:$A$3,0)),0,1))</f>
        <v/>
      </c>
      <c r="U490" s="11" t="str">
        <f ca="1">IF(Data!M490="","",IF(ISNUMBER(Data!O490),IF(AND(Data!O490&gt;(TODAY()-(Data_Val!$K$3*365.25)),Data!O490&lt;=(TODAY()-(Data_Val!$K$2*365.25))),0,1),1))</f>
        <v/>
      </c>
      <c r="V490" s="12" t="str">
        <f>IF(Data!G490="","",IF(Data!G490=Data_Val!$C$2,IF(Data!P490="",0,1),0))</f>
        <v/>
      </c>
      <c r="W490" s="12" t="str">
        <f>IF(Data!P490="","",IF(ISNUMBER(MATCH(Data!Q490,Data_Val!$A$2:$A$3,0)),0,1))</f>
        <v/>
      </c>
      <c r="X490" s="26" t="str">
        <f ca="1">IF(Data!P490="","",IF(ISNUMBER(Data!R490),IF(AND(Data!R490&gt;(TODAY()-(Data_Val!$L$3*365.25)),Data!R490&lt;=(TODAY()-(Data_Val!$L$2*365.25))),0,1),1))</f>
        <v/>
      </c>
      <c r="Y490" s="13" t="str">
        <f>IF(Data!$G490="","",IF(Data!$G490=Data_Val!$C$2,IF(Data!S490="",0,1),0))</f>
        <v/>
      </c>
      <c r="Z490" s="13" t="str">
        <f>IF(Data!S490="","",IF(ISNUMBER(MATCH(Data!T490,Data_Val!$A$2:$A$3,0)),0,1))</f>
        <v/>
      </c>
      <c r="AA490" s="28" t="str">
        <f ca="1">IF(Data!S490="","",IF(ISNUMBER(Data!U490),IF(AND(Data!U490&gt;(TODAY()-(Data_Val!$L$3*365.25)),Data!U490&lt;=(TODAY()-(Data_Val!$L$2*365.25))),0,1),1))</f>
        <v/>
      </c>
      <c r="AB490" s="11"/>
      <c r="AC490" s="11" t="e">
        <f>IF(Data!#REF!="","",IF(ISNUMBER(MATCH(Data!#REF!,Data_Val!$A$2:$A$3,0)),0,1))</f>
        <v>#REF!</v>
      </c>
      <c r="AD490" s="11" t="e">
        <f ca="1">IF(Data!#REF!="","",IF(ISNUMBER(Data!#REF!),IF(AND(Data!#REF!&gt;(TODAY()-(Data_Val!$L$3*365.25)),Data!#REF!&lt;=(TODAY()-(Data_Val!$L$2*365.25))),0,1),1))</f>
        <v>#REF!</v>
      </c>
      <c r="AE490" s="11" t="e">
        <f>IF(Data!#REF!="","",IF(Data!$G490="",1,IF(ISNUMBER(MATCH(Data!#REF!,Data_Val!$D$2:$D$10,0)),0,1)))</f>
        <v>#REF!</v>
      </c>
      <c r="AF490" s="12"/>
      <c r="AG490" s="12" t="e">
        <f>IF(Data!#REF!="","",IF(ISNUMBER(MATCH(Data!#REF!,Data_Val!$A$2:$A$3,0)),0,1))</f>
        <v>#REF!</v>
      </c>
      <c r="AH490" s="26" t="e">
        <f ca="1">IF(Data!#REF!="","",IF(ISNUMBER(Data!#REF!),IF(AND(Data!#REF!&gt;(TODAY()-(Data_Val!$L$3*365.25)),Data!#REF!&lt;=(TODAY()-(Data_Val!$L$2*365.25))),0,1),1))</f>
        <v>#REF!</v>
      </c>
      <c r="AI490" s="12" t="e">
        <f>IF(Data!#REF!="","",IF(Data!$G490="",1,IF(ISNUMBER(MATCH(Data!#REF!,Data_Val!$D$2:$D$10,0)),0,1)))</f>
        <v>#REF!</v>
      </c>
      <c r="AJ490" s="17"/>
      <c r="AK490" s="17" t="e">
        <f>IF(Data!#REF!="","",IF(ISNUMBER(MATCH(Data!#REF!,Data_Val!$A$2:$A$3,0)),0,1))</f>
        <v>#REF!</v>
      </c>
      <c r="AL490" s="25" t="e">
        <f ca="1">IF(Data!#REF!="","",IF(ISNUMBER(Data!#REF!),IF(AND(Data!#REF!&gt;(TODAY()-(Data_Val!$L$3*365.25)),Data!#REF!&lt;=(TODAY()-(Data_Val!$L$2*365.25))),0,1),1))</f>
        <v>#REF!</v>
      </c>
      <c r="AM490" s="17" t="e">
        <f>IF(Data!#REF!="","",IF(Data!$G490="",1,IF(ISNUMBER(MATCH(Data!#REF!,Data_Val!$D$2:$D$10,0)),0,1)))</f>
        <v>#REF!</v>
      </c>
      <c r="AN490" s="13"/>
      <c r="AO490" s="28" t="e">
        <f ca="1">IF(Data!#REF!="","",IF(ISNUMBER(Data!#REF!),IF(AND(Data!#REF!&gt;(TODAY()-(Data_Val!$I$3*365.25)),Data!#REF!&lt;=(TODAY()-(Data_Val!$I$2*365.25))),0,1),1))</f>
        <v>#REF!</v>
      </c>
      <c r="AP490" s="13" t="e">
        <f>IF(Data!#REF!="","",IF(Data!$G490="",1,IF(ISNUMBER(MATCH(Data!#REF!,Data_Val!$D$2:$D$10,0)),0,1)))</f>
        <v>#REF!</v>
      </c>
      <c r="AQ490" s="17"/>
      <c r="AR490" s="30" t="e">
        <f ca="1">IF(Data!#REF!="","",IF(ISNUMBER(Data!#REF!),IF(AND(Data!#REF!&gt;(TODAY()-(Data_Val!$I$3*365.25)),Data!#REF!&lt;=(TODAY()-(Data_Val!$I$2*365.25))),0,1),1))</f>
        <v>#REF!</v>
      </c>
      <c r="AS490" s="31" t="e">
        <f>IF(Data!#REF!="","",IF(Data!$G490="",1,IF(ISNUMBER(MATCH(Data!#REF!,Data_Val!$D$2:$D$10,0)),0,1)))</f>
        <v>#REF!</v>
      </c>
      <c r="AT490" s="11"/>
      <c r="AU490" s="11" t="e">
        <f ca="1">IF(Data!#REF!="","",IF(ISNUMBER(Data!#REF!),IF(AND(Data!#REF!&gt;(TODAY()-(Data_Val!$I$3*365.25)),Data!#REF!&lt;=(TODAY()-(Data_Val!$I$2*365.25))),0,1),1))</f>
        <v>#REF!</v>
      </c>
      <c r="AV490" s="11" t="e">
        <f>IF(Data!#REF!="","",IF(Data!$G490="",1,IF(ISNUMBER(MATCH(Data!#REF!,Data_Val!$D$2:$D$10,0)),0,1)))</f>
        <v>#REF!</v>
      </c>
      <c r="AW490" s="12"/>
      <c r="AX490" s="26" t="e">
        <f ca="1">IF(Data!#REF!="","",IF(ISNUMBER(Data!#REF!),IF(AND(Data!#REF!&gt;(TODAY()-(Data_Val!$I$3*365.25)),Data!#REF!&lt;=(TODAY()-(Data_Val!$I$2*365.25))),0,1),1))</f>
        <v>#REF!</v>
      </c>
      <c r="AY490" s="12" t="e">
        <f>IF(Data!#REF!="","",IF(Data!$G490="",1,IF(ISNUMBER(MATCH(Data!#REF!,Data_Val!$D$2:$D$10,0)),0,1)))</f>
        <v>#REF!</v>
      </c>
      <c r="AZ490" s="11"/>
      <c r="BA490" s="19" t="e">
        <f ca="1">IF(Data!#REF!="","",IF(ISNUMBER(Data!#REF!),IF(AND(Data!#REF!&gt;(TODAY()-(Data_Val!$M$3*365.25)),Data!#REF!&lt;=(TODAY()-(Data_Val!$M$2*365.25))),0,1),1))</f>
        <v>#REF!</v>
      </c>
      <c r="BB490" s="11" t="e">
        <f>IF(Data!#REF!="","",IF(Data!$G490="",1,IF(ISNUMBER(MATCH(Data!#REF!,Data_Val!$D$2:$D$10,0)),0,1)))</f>
        <v>#REF!</v>
      </c>
      <c r="BC490" s="12"/>
      <c r="BD490" s="20" t="e">
        <f ca="1">IF(Data!#REF!="","",IF(ISNUMBER(Data!#REF!),IF(AND(Data!#REF!&gt;(TODAY()-(Data_Val!$M$3*365.25)),Data!#REF!&lt;=(TODAY()-(Data_Val!$M$2*365.25))),0,1),1))</f>
        <v>#REF!</v>
      </c>
      <c r="BE490" s="12" t="e">
        <f>IF(Data!#REF!="","",IF(Data!$G490="",1,IF(ISNUMBER(MATCH(Data!#REF!,Data_Val!$D$2:$D$10,0)),0,1)))</f>
        <v>#REF!</v>
      </c>
      <c r="BF490" s="17"/>
      <c r="BG490" s="18" t="e">
        <f ca="1">IF(Data!#REF!="","",IF(ISNUMBER(Data!#REF!),IF(AND(Data!#REF!&gt;(TODAY()-(Data_Val!$M$3*365.25)),Data!#REF!&lt;=(TODAY()-(Data_Val!$M$2*365.25))),0,1),1))</f>
        <v>#REF!</v>
      </c>
      <c r="BH490" s="29" t="e">
        <f>IF(Data!#REF!="","",IF(Data!$G490="",1,IF(ISNUMBER(MATCH(Data!#REF!,Data_Val!$D$2:$D$10,0)),0,1)))</f>
        <v>#REF!</v>
      </c>
      <c r="BI490" s="13"/>
      <c r="BJ490" s="21" t="e">
        <f ca="1">IF(Data!#REF!="","",IF(ISNUMBER(Data!#REF!),IF(AND(Data!#REF!&gt;(TODAY()-(Data_Val!$M$3*365.25)),Data!#REF!&lt;=(TODAY()-(Data_Val!$M$2*365.25))),0,1),1))</f>
        <v>#REF!</v>
      </c>
      <c r="BK490" s="13" t="e">
        <f>IF(Data!#REF!="","",IF(Data!$G490="",1,IF(ISNUMBER(MATCH(Data!#REF!,Data_Val!$D$2:$D$10,0)),0,1)))</f>
        <v>#REF!</v>
      </c>
    </row>
    <row r="491" spans="1:63" x14ac:dyDescent="0.25">
      <c r="A491" s="9" t="str">
        <f>IF(Data!B491="","",IF(COUNTIFS(Data!A$1:'Data'!A491,Data!A491)&lt;=1,0,1))</f>
        <v/>
      </c>
      <c r="B491" s="9"/>
      <c r="C491" s="23" t="str">
        <f>IF(Data!C491="","",(IF(ISNUMBER(MATCH("*@*.?*",Data!C491,0)),0,1)+IF(COUNTIFS(Data!C$1:'Data'!C491,Data!C491)&gt;1,1,0)))</f>
        <v/>
      </c>
      <c r="D491" s="9" t="str">
        <f>IF(Data!B491="","",IF(ISNUMBER(Data!D491),IF(AND(Data!D491&gt;999999999,Data!D491&lt;=9999999999),IF(COUNTIFS(Data!D$1:'Data'!D491,Data!D491)&lt;=1,0,1),1),1))</f>
        <v/>
      </c>
      <c r="E491" s="9" t="str">
        <f>IF(Data!B491="","",IF(ISNUMBER(MATCH(Data!E491,Data_Val!$A$2:$A$3,0)),0,1))</f>
        <v/>
      </c>
      <c r="F491" s="9" t="str">
        <f ca="1">IF(Data!B491="","",IF(ISNUMBER(Data!F491),IF(AND(Data!F491&gt;(TODAY()-(Data_Val!$H$3*365.25)),Data!F491&lt;=(TODAY()-(Data_Val!$H$2*365.25))),0,1),1))</f>
        <v/>
      </c>
      <c r="G491" s="15" t="str">
        <f>IF(Data!B491="","",IF(AND(Data!G491="",Data!H491&lt;&gt;""),1,IF(Data!#REF!&lt;&gt;"",0,IF(ISNUMBER(MATCH(Data!G491,Data_Val!$C$2:$C$5,0)),0,1))))</f>
        <v/>
      </c>
      <c r="H491" s="15" t="str">
        <f>IF(Data!B491="","",IF(AND(Data!G491&lt;&gt;"",Data!H491=""),1,IF(Data!#REF!&lt;&gt;"",0,IF(Data!G491="",1,IF(ISNUMBER(MATCH(Data!H491,Data_Val!$D$2:$D$35,0)),0,1)))))</f>
        <v/>
      </c>
      <c r="I491" s="15" t="str">
        <f>IF(Data!B491="","",IF(Data!G491&lt;&gt;"",0,IF(ISNUMBER(MATCH(Data!#REF!,Data_Val!$E$2:$E$12,0)),0,1)))</f>
        <v/>
      </c>
      <c r="J491" s="16" t="e">
        <f>IF(OR(Data!B491="",Data!#REF!=""),"",IF(Data!#REF!="",1,0))</f>
        <v>#REF!</v>
      </c>
      <c r="K491" s="16" t="e">
        <f>IF(OR(Data!B491="",Data!#REF!=""),"",IF(Data!#REF!="",1,0))</f>
        <v>#REF!</v>
      </c>
      <c r="L491" s="16" t="e">
        <f>IF(OR(Data!B491="",Data!#REF!=""),"",IF(ISNUMBER(Data!#REF!),IF(AND(Data!#REF!&gt;Data_Val!$G$2,Data!#REF!&lt;=Data_Val!$G$3),0,1),1))</f>
        <v>#REF!</v>
      </c>
      <c r="M491" s="9" t="e">
        <f>IF(OR(Data!B491="",Data!#REF!=""),"",IF(ISNUMBER(MATCH(Data!#REF!,Data_Val!$F$1:$F$38,0)),0,1))</f>
        <v>#REF!</v>
      </c>
      <c r="N491" s="9" t="e">
        <f>IF(OR(Data!B491="",Data!#REF!=""),"",IF(Data!#REF!="",1,0))</f>
        <v>#REF!</v>
      </c>
      <c r="O491" s="17" t="e">
        <f>IF(Data!#REF!="","",IF(Data!#REF!="",1,0))</f>
        <v>#REF!</v>
      </c>
      <c r="P491" s="17" t="e">
        <f>IF(Data!#REF!="","",IF(ISNUMBER(MATCH(Data!#REF!,Data_Val!$A$2:$A$3,0)),0,1))</f>
        <v>#REF!</v>
      </c>
      <c r="Q491" s="25" t="e">
        <f ca="1">IF(Data!#REF!="","",IF(ISNUMBER(Data!#REF!),IF(AND(Data!#REF!&gt;(TODAY()-(Data_Val!$J$3*365.25)),Data!#REF!&lt;=(TODAY()-(Data_Val!$J$2*365.25))),0,1),1))</f>
        <v>#REF!</v>
      </c>
      <c r="R491" s="17" t="e">
        <f>IF(Data!#REF!="","",IF(ISNUMBER(MATCH(Data!#REF!,Data_Val!$B$2:$B$15,0)),0,1))</f>
        <v>#REF!</v>
      </c>
      <c r="S491" s="11" t="str">
        <f>IF(Data!G491="","",IF(Data!G491=Data_Val!$C$2,IF(Data!M491="",0,1),0))</f>
        <v/>
      </c>
      <c r="T491" s="11" t="str">
        <f>IF(Data!M491="","",IF(ISNUMBER(MATCH(Data!N491,Data_Val!$A$2:$A$3,0)),0,1))</f>
        <v/>
      </c>
      <c r="U491" s="11" t="str">
        <f ca="1">IF(Data!M491="","",IF(ISNUMBER(Data!O491),IF(AND(Data!O491&gt;(TODAY()-(Data_Val!$K$3*365.25)),Data!O491&lt;=(TODAY()-(Data_Val!$K$2*365.25))),0,1),1))</f>
        <v/>
      </c>
      <c r="V491" s="12" t="str">
        <f>IF(Data!G491="","",IF(Data!G491=Data_Val!$C$2,IF(Data!P491="",0,1),0))</f>
        <v/>
      </c>
      <c r="W491" s="12" t="str">
        <f>IF(Data!P491="","",IF(ISNUMBER(MATCH(Data!Q491,Data_Val!$A$2:$A$3,0)),0,1))</f>
        <v/>
      </c>
      <c r="X491" s="26" t="str">
        <f ca="1">IF(Data!P491="","",IF(ISNUMBER(Data!R491),IF(AND(Data!R491&gt;(TODAY()-(Data_Val!$L$3*365.25)),Data!R491&lt;=(TODAY()-(Data_Val!$L$2*365.25))),0,1),1))</f>
        <v/>
      </c>
      <c r="Y491" s="13" t="str">
        <f>IF(Data!$G491="","",IF(Data!$G491=Data_Val!$C$2,IF(Data!S491="",0,1),0))</f>
        <v/>
      </c>
      <c r="Z491" s="13" t="str">
        <f>IF(Data!S491="","",IF(ISNUMBER(MATCH(Data!T491,Data_Val!$A$2:$A$3,0)),0,1))</f>
        <v/>
      </c>
      <c r="AA491" s="28" t="str">
        <f ca="1">IF(Data!S491="","",IF(ISNUMBER(Data!U491),IF(AND(Data!U491&gt;(TODAY()-(Data_Val!$L$3*365.25)),Data!U491&lt;=(TODAY()-(Data_Val!$L$2*365.25))),0,1),1))</f>
        <v/>
      </c>
      <c r="AB491" s="11"/>
      <c r="AC491" s="11" t="e">
        <f>IF(Data!#REF!="","",IF(ISNUMBER(MATCH(Data!#REF!,Data_Val!$A$2:$A$3,0)),0,1))</f>
        <v>#REF!</v>
      </c>
      <c r="AD491" s="11" t="e">
        <f ca="1">IF(Data!#REF!="","",IF(ISNUMBER(Data!#REF!),IF(AND(Data!#REF!&gt;(TODAY()-(Data_Val!$L$3*365.25)),Data!#REF!&lt;=(TODAY()-(Data_Val!$L$2*365.25))),0,1),1))</f>
        <v>#REF!</v>
      </c>
      <c r="AE491" s="11" t="e">
        <f>IF(Data!#REF!="","",IF(Data!$G491="",1,IF(ISNUMBER(MATCH(Data!#REF!,Data_Val!$D$2:$D$10,0)),0,1)))</f>
        <v>#REF!</v>
      </c>
      <c r="AF491" s="12"/>
      <c r="AG491" s="12" t="e">
        <f>IF(Data!#REF!="","",IF(ISNUMBER(MATCH(Data!#REF!,Data_Val!$A$2:$A$3,0)),0,1))</f>
        <v>#REF!</v>
      </c>
      <c r="AH491" s="26" t="e">
        <f ca="1">IF(Data!#REF!="","",IF(ISNUMBER(Data!#REF!),IF(AND(Data!#REF!&gt;(TODAY()-(Data_Val!$L$3*365.25)),Data!#REF!&lt;=(TODAY()-(Data_Val!$L$2*365.25))),0,1),1))</f>
        <v>#REF!</v>
      </c>
      <c r="AI491" s="12" t="e">
        <f>IF(Data!#REF!="","",IF(Data!$G491="",1,IF(ISNUMBER(MATCH(Data!#REF!,Data_Val!$D$2:$D$10,0)),0,1)))</f>
        <v>#REF!</v>
      </c>
      <c r="AJ491" s="17"/>
      <c r="AK491" s="17" t="e">
        <f>IF(Data!#REF!="","",IF(ISNUMBER(MATCH(Data!#REF!,Data_Val!$A$2:$A$3,0)),0,1))</f>
        <v>#REF!</v>
      </c>
      <c r="AL491" s="25" t="e">
        <f ca="1">IF(Data!#REF!="","",IF(ISNUMBER(Data!#REF!),IF(AND(Data!#REF!&gt;(TODAY()-(Data_Val!$L$3*365.25)),Data!#REF!&lt;=(TODAY()-(Data_Val!$L$2*365.25))),0,1),1))</f>
        <v>#REF!</v>
      </c>
      <c r="AM491" s="17" t="e">
        <f>IF(Data!#REF!="","",IF(Data!$G491="",1,IF(ISNUMBER(MATCH(Data!#REF!,Data_Val!$D$2:$D$10,0)),0,1)))</f>
        <v>#REF!</v>
      </c>
      <c r="AN491" s="13"/>
      <c r="AO491" s="28" t="e">
        <f ca="1">IF(Data!#REF!="","",IF(ISNUMBER(Data!#REF!),IF(AND(Data!#REF!&gt;(TODAY()-(Data_Val!$I$3*365.25)),Data!#REF!&lt;=(TODAY()-(Data_Val!$I$2*365.25))),0,1),1))</f>
        <v>#REF!</v>
      </c>
      <c r="AP491" s="13" t="e">
        <f>IF(Data!#REF!="","",IF(Data!$G491="",1,IF(ISNUMBER(MATCH(Data!#REF!,Data_Val!$D$2:$D$10,0)),0,1)))</f>
        <v>#REF!</v>
      </c>
      <c r="AQ491" s="17"/>
      <c r="AR491" s="30" t="e">
        <f ca="1">IF(Data!#REF!="","",IF(ISNUMBER(Data!#REF!),IF(AND(Data!#REF!&gt;(TODAY()-(Data_Val!$I$3*365.25)),Data!#REF!&lt;=(TODAY()-(Data_Val!$I$2*365.25))),0,1),1))</f>
        <v>#REF!</v>
      </c>
      <c r="AS491" s="31" t="e">
        <f>IF(Data!#REF!="","",IF(Data!$G491="",1,IF(ISNUMBER(MATCH(Data!#REF!,Data_Val!$D$2:$D$10,0)),0,1)))</f>
        <v>#REF!</v>
      </c>
      <c r="AT491" s="11"/>
      <c r="AU491" s="11" t="e">
        <f ca="1">IF(Data!#REF!="","",IF(ISNUMBER(Data!#REF!),IF(AND(Data!#REF!&gt;(TODAY()-(Data_Val!$I$3*365.25)),Data!#REF!&lt;=(TODAY()-(Data_Val!$I$2*365.25))),0,1),1))</f>
        <v>#REF!</v>
      </c>
      <c r="AV491" s="11" t="e">
        <f>IF(Data!#REF!="","",IF(Data!$G491="",1,IF(ISNUMBER(MATCH(Data!#REF!,Data_Val!$D$2:$D$10,0)),0,1)))</f>
        <v>#REF!</v>
      </c>
      <c r="AW491" s="12"/>
      <c r="AX491" s="26" t="e">
        <f ca="1">IF(Data!#REF!="","",IF(ISNUMBER(Data!#REF!),IF(AND(Data!#REF!&gt;(TODAY()-(Data_Val!$I$3*365.25)),Data!#REF!&lt;=(TODAY()-(Data_Val!$I$2*365.25))),0,1),1))</f>
        <v>#REF!</v>
      </c>
      <c r="AY491" s="12" t="e">
        <f>IF(Data!#REF!="","",IF(Data!$G491="",1,IF(ISNUMBER(MATCH(Data!#REF!,Data_Val!$D$2:$D$10,0)),0,1)))</f>
        <v>#REF!</v>
      </c>
      <c r="AZ491" s="11"/>
      <c r="BA491" s="19" t="e">
        <f ca="1">IF(Data!#REF!="","",IF(ISNUMBER(Data!#REF!),IF(AND(Data!#REF!&gt;(TODAY()-(Data_Val!$M$3*365.25)),Data!#REF!&lt;=(TODAY()-(Data_Val!$M$2*365.25))),0,1),1))</f>
        <v>#REF!</v>
      </c>
      <c r="BB491" s="11" t="e">
        <f>IF(Data!#REF!="","",IF(Data!$G491="",1,IF(ISNUMBER(MATCH(Data!#REF!,Data_Val!$D$2:$D$10,0)),0,1)))</f>
        <v>#REF!</v>
      </c>
      <c r="BC491" s="12"/>
      <c r="BD491" s="20" t="e">
        <f ca="1">IF(Data!#REF!="","",IF(ISNUMBER(Data!#REF!),IF(AND(Data!#REF!&gt;(TODAY()-(Data_Val!$M$3*365.25)),Data!#REF!&lt;=(TODAY()-(Data_Val!$M$2*365.25))),0,1),1))</f>
        <v>#REF!</v>
      </c>
      <c r="BE491" s="12" t="e">
        <f>IF(Data!#REF!="","",IF(Data!$G491="",1,IF(ISNUMBER(MATCH(Data!#REF!,Data_Val!$D$2:$D$10,0)),0,1)))</f>
        <v>#REF!</v>
      </c>
      <c r="BF491" s="17"/>
      <c r="BG491" s="18" t="e">
        <f ca="1">IF(Data!#REF!="","",IF(ISNUMBER(Data!#REF!),IF(AND(Data!#REF!&gt;(TODAY()-(Data_Val!$M$3*365.25)),Data!#REF!&lt;=(TODAY()-(Data_Val!$M$2*365.25))),0,1),1))</f>
        <v>#REF!</v>
      </c>
      <c r="BH491" s="29" t="e">
        <f>IF(Data!#REF!="","",IF(Data!$G491="",1,IF(ISNUMBER(MATCH(Data!#REF!,Data_Val!$D$2:$D$10,0)),0,1)))</f>
        <v>#REF!</v>
      </c>
      <c r="BI491" s="13"/>
      <c r="BJ491" s="21" t="e">
        <f ca="1">IF(Data!#REF!="","",IF(ISNUMBER(Data!#REF!),IF(AND(Data!#REF!&gt;(TODAY()-(Data_Val!$M$3*365.25)),Data!#REF!&lt;=(TODAY()-(Data_Val!$M$2*365.25))),0,1),1))</f>
        <v>#REF!</v>
      </c>
      <c r="BK491" s="13" t="e">
        <f>IF(Data!#REF!="","",IF(Data!$G491="",1,IF(ISNUMBER(MATCH(Data!#REF!,Data_Val!$D$2:$D$10,0)),0,1)))</f>
        <v>#REF!</v>
      </c>
    </row>
    <row r="492" spans="1:63" x14ac:dyDescent="0.25">
      <c r="A492" s="9" t="str">
        <f>IF(Data!B492="","",IF(COUNTIFS(Data!A$1:'Data'!A492,Data!A492)&lt;=1,0,1))</f>
        <v/>
      </c>
      <c r="B492" s="9"/>
      <c r="C492" s="23" t="str">
        <f>IF(Data!C492="","",(IF(ISNUMBER(MATCH("*@*.?*",Data!C492,0)),0,1)+IF(COUNTIFS(Data!C$1:'Data'!C492,Data!C492)&gt;1,1,0)))</f>
        <v/>
      </c>
      <c r="D492" s="9" t="str">
        <f>IF(Data!B492="","",IF(ISNUMBER(Data!D492),IF(AND(Data!D492&gt;999999999,Data!D492&lt;=9999999999),IF(COUNTIFS(Data!D$1:'Data'!D492,Data!D492)&lt;=1,0,1),1),1))</f>
        <v/>
      </c>
      <c r="E492" s="9" t="str">
        <f>IF(Data!B492="","",IF(ISNUMBER(MATCH(Data!E492,Data_Val!$A$2:$A$3,0)),0,1))</f>
        <v/>
      </c>
      <c r="F492" s="9" t="str">
        <f ca="1">IF(Data!B492="","",IF(ISNUMBER(Data!F492),IF(AND(Data!F492&gt;(TODAY()-(Data_Val!$H$3*365.25)),Data!F492&lt;=(TODAY()-(Data_Val!$H$2*365.25))),0,1),1))</f>
        <v/>
      </c>
      <c r="G492" s="15" t="str">
        <f>IF(Data!B492="","",IF(AND(Data!G492="",Data!H492&lt;&gt;""),1,IF(Data!#REF!&lt;&gt;"",0,IF(ISNUMBER(MATCH(Data!G492,Data_Val!$C$2:$C$5,0)),0,1))))</f>
        <v/>
      </c>
      <c r="H492" s="15" t="str">
        <f>IF(Data!B492="","",IF(AND(Data!G492&lt;&gt;"",Data!H492=""),1,IF(Data!#REF!&lt;&gt;"",0,IF(Data!G492="",1,IF(ISNUMBER(MATCH(Data!H492,Data_Val!$D$2:$D$35,0)),0,1)))))</f>
        <v/>
      </c>
      <c r="I492" s="15" t="str">
        <f>IF(Data!B492="","",IF(Data!G492&lt;&gt;"",0,IF(ISNUMBER(MATCH(Data!#REF!,Data_Val!$E$2:$E$12,0)),0,1)))</f>
        <v/>
      </c>
      <c r="J492" s="16" t="e">
        <f>IF(OR(Data!B492="",Data!#REF!=""),"",IF(Data!#REF!="",1,0))</f>
        <v>#REF!</v>
      </c>
      <c r="K492" s="16" t="e">
        <f>IF(OR(Data!B492="",Data!#REF!=""),"",IF(Data!#REF!="",1,0))</f>
        <v>#REF!</v>
      </c>
      <c r="L492" s="16" t="e">
        <f>IF(OR(Data!B492="",Data!#REF!=""),"",IF(ISNUMBER(Data!#REF!),IF(AND(Data!#REF!&gt;Data_Val!$G$2,Data!#REF!&lt;=Data_Val!$G$3),0,1),1))</f>
        <v>#REF!</v>
      </c>
      <c r="M492" s="9" t="e">
        <f>IF(OR(Data!B492="",Data!#REF!=""),"",IF(ISNUMBER(MATCH(Data!#REF!,Data_Val!$F$1:$F$38,0)),0,1))</f>
        <v>#REF!</v>
      </c>
      <c r="N492" s="9" t="e">
        <f>IF(OR(Data!B492="",Data!#REF!=""),"",IF(Data!#REF!="",1,0))</f>
        <v>#REF!</v>
      </c>
      <c r="O492" s="17" t="e">
        <f>IF(Data!#REF!="","",IF(Data!#REF!="",1,0))</f>
        <v>#REF!</v>
      </c>
      <c r="P492" s="17" t="e">
        <f>IF(Data!#REF!="","",IF(ISNUMBER(MATCH(Data!#REF!,Data_Val!$A$2:$A$3,0)),0,1))</f>
        <v>#REF!</v>
      </c>
      <c r="Q492" s="25" t="e">
        <f ca="1">IF(Data!#REF!="","",IF(ISNUMBER(Data!#REF!),IF(AND(Data!#REF!&gt;(TODAY()-(Data_Val!$J$3*365.25)),Data!#REF!&lt;=(TODAY()-(Data_Val!$J$2*365.25))),0,1),1))</f>
        <v>#REF!</v>
      </c>
      <c r="R492" s="17" t="e">
        <f>IF(Data!#REF!="","",IF(ISNUMBER(MATCH(Data!#REF!,Data_Val!$B$2:$B$15,0)),0,1))</f>
        <v>#REF!</v>
      </c>
      <c r="S492" s="11" t="str">
        <f>IF(Data!G492="","",IF(Data!G492=Data_Val!$C$2,IF(Data!M492="",0,1),0))</f>
        <v/>
      </c>
      <c r="T492" s="11" t="str">
        <f>IF(Data!M492="","",IF(ISNUMBER(MATCH(Data!N492,Data_Val!$A$2:$A$3,0)),0,1))</f>
        <v/>
      </c>
      <c r="U492" s="11" t="str">
        <f ca="1">IF(Data!M492="","",IF(ISNUMBER(Data!O492),IF(AND(Data!O492&gt;(TODAY()-(Data_Val!$K$3*365.25)),Data!O492&lt;=(TODAY()-(Data_Val!$K$2*365.25))),0,1),1))</f>
        <v/>
      </c>
      <c r="V492" s="12" t="str">
        <f>IF(Data!G492="","",IF(Data!G492=Data_Val!$C$2,IF(Data!P492="",0,1),0))</f>
        <v/>
      </c>
      <c r="W492" s="12" t="str">
        <f>IF(Data!P492="","",IF(ISNUMBER(MATCH(Data!Q492,Data_Val!$A$2:$A$3,0)),0,1))</f>
        <v/>
      </c>
      <c r="X492" s="26" t="str">
        <f ca="1">IF(Data!P492="","",IF(ISNUMBER(Data!R492),IF(AND(Data!R492&gt;(TODAY()-(Data_Val!$L$3*365.25)),Data!R492&lt;=(TODAY()-(Data_Val!$L$2*365.25))),0,1),1))</f>
        <v/>
      </c>
      <c r="Y492" s="13" t="str">
        <f>IF(Data!$G492="","",IF(Data!$G492=Data_Val!$C$2,IF(Data!S492="",0,1),0))</f>
        <v/>
      </c>
      <c r="Z492" s="13" t="str">
        <f>IF(Data!S492="","",IF(ISNUMBER(MATCH(Data!T492,Data_Val!$A$2:$A$3,0)),0,1))</f>
        <v/>
      </c>
      <c r="AA492" s="28" t="str">
        <f ca="1">IF(Data!S492="","",IF(ISNUMBER(Data!U492),IF(AND(Data!U492&gt;(TODAY()-(Data_Val!$L$3*365.25)),Data!U492&lt;=(TODAY()-(Data_Val!$L$2*365.25))),0,1),1))</f>
        <v/>
      </c>
      <c r="AB492" s="11"/>
      <c r="AC492" s="11" t="e">
        <f>IF(Data!#REF!="","",IF(ISNUMBER(MATCH(Data!#REF!,Data_Val!$A$2:$A$3,0)),0,1))</f>
        <v>#REF!</v>
      </c>
      <c r="AD492" s="11" t="e">
        <f ca="1">IF(Data!#REF!="","",IF(ISNUMBER(Data!#REF!),IF(AND(Data!#REF!&gt;(TODAY()-(Data_Val!$L$3*365.25)),Data!#REF!&lt;=(TODAY()-(Data_Val!$L$2*365.25))),0,1),1))</f>
        <v>#REF!</v>
      </c>
      <c r="AE492" s="11" t="e">
        <f>IF(Data!#REF!="","",IF(Data!$G492="",1,IF(ISNUMBER(MATCH(Data!#REF!,Data_Val!$D$2:$D$10,0)),0,1)))</f>
        <v>#REF!</v>
      </c>
      <c r="AF492" s="12"/>
      <c r="AG492" s="12" t="e">
        <f>IF(Data!#REF!="","",IF(ISNUMBER(MATCH(Data!#REF!,Data_Val!$A$2:$A$3,0)),0,1))</f>
        <v>#REF!</v>
      </c>
      <c r="AH492" s="26" t="e">
        <f ca="1">IF(Data!#REF!="","",IF(ISNUMBER(Data!#REF!),IF(AND(Data!#REF!&gt;(TODAY()-(Data_Val!$L$3*365.25)),Data!#REF!&lt;=(TODAY()-(Data_Val!$L$2*365.25))),0,1),1))</f>
        <v>#REF!</v>
      </c>
      <c r="AI492" s="12" t="e">
        <f>IF(Data!#REF!="","",IF(Data!$G492="",1,IF(ISNUMBER(MATCH(Data!#REF!,Data_Val!$D$2:$D$10,0)),0,1)))</f>
        <v>#REF!</v>
      </c>
      <c r="AJ492" s="17"/>
      <c r="AK492" s="17" t="e">
        <f>IF(Data!#REF!="","",IF(ISNUMBER(MATCH(Data!#REF!,Data_Val!$A$2:$A$3,0)),0,1))</f>
        <v>#REF!</v>
      </c>
      <c r="AL492" s="25" t="e">
        <f ca="1">IF(Data!#REF!="","",IF(ISNUMBER(Data!#REF!),IF(AND(Data!#REF!&gt;(TODAY()-(Data_Val!$L$3*365.25)),Data!#REF!&lt;=(TODAY()-(Data_Val!$L$2*365.25))),0,1),1))</f>
        <v>#REF!</v>
      </c>
      <c r="AM492" s="17" t="e">
        <f>IF(Data!#REF!="","",IF(Data!$G492="",1,IF(ISNUMBER(MATCH(Data!#REF!,Data_Val!$D$2:$D$10,0)),0,1)))</f>
        <v>#REF!</v>
      </c>
      <c r="AN492" s="13"/>
      <c r="AO492" s="28" t="e">
        <f ca="1">IF(Data!#REF!="","",IF(ISNUMBER(Data!#REF!),IF(AND(Data!#REF!&gt;(TODAY()-(Data_Val!$I$3*365.25)),Data!#REF!&lt;=(TODAY()-(Data_Val!$I$2*365.25))),0,1),1))</f>
        <v>#REF!</v>
      </c>
      <c r="AP492" s="13" t="e">
        <f>IF(Data!#REF!="","",IF(Data!$G492="",1,IF(ISNUMBER(MATCH(Data!#REF!,Data_Val!$D$2:$D$10,0)),0,1)))</f>
        <v>#REF!</v>
      </c>
      <c r="AQ492" s="17"/>
      <c r="AR492" s="30" t="e">
        <f ca="1">IF(Data!#REF!="","",IF(ISNUMBER(Data!#REF!),IF(AND(Data!#REF!&gt;(TODAY()-(Data_Val!$I$3*365.25)),Data!#REF!&lt;=(TODAY()-(Data_Val!$I$2*365.25))),0,1),1))</f>
        <v>#REF!</v>
      </c>
      <c r="AS492" s="31" t="e">
        <f>IF(Data!#REF!="","",IF(Data!$G492="",1,IF(ISNUMBER(MATCH(Data!#REF!,Data_Val!$D$2:$D$10,0)),0,1)))</f>
        <v>#REF!</v>
      </c>
      <c r="AT492" s="11"/>
      <c r="AU492" s="11" t="e">
        <f ca="1">IF(Data!#REF!="","",IF(ISNUMBER(Data!#REF!),IF(AND(Data!#REF!&gt;(TODAY()-(Data_Val!$I$3*365.25)),Data!#REF!&lt;=(TODAY()-(Data_Val!$I$2*365.25))),0,1),1))</f>
        <v>#REF!</v>
      </c>
      <c r="AV492" s="11" t="e">
        <f>IF(Data!#REF!="","",IF(Data!$G492="",1,IF(ISNUMBER(MATCH(Data!#REF!,Data_Val!$D$2:$D$10,0)),0,1)))</f>
        <v>#REF!</v>
      </c>
      <c r="AW492" s="12"/>
      <c r="AX492" s="26" t="e">
        <f ca="1">IF(Data!#REF!="","",IF(ISNUMBER(Data!#REF!),IF(AND(Data!#REF!&gt;(TODAY()-(Data_Val!$I$3*365.25)),Data!#REF!&lt;=(TODAY()-(Data_Val!$I$2*365.25))),0,1),1))</f>
        <v>#REF!</v>
      </c>
      <c r="AY492" s="12" t="e">
        <f>IF(Data!#REF!="","",IF(Data!$G492="",1,IF(ISNUMBER(MATCH(Data!#REF!,Data_Val!$D$2:$D$10,0)),0,1)))</f>
        <v>#REF!</v>
      </c>
      <c r="AZ492" s="11"/>
      <c r="BA492" s="19" t="e">
        <f ca="1">IF(Data!#REF!="","",IF(ISNUMBER(Data!#REF!),IF(AND(Data!#REF!&gt;(TODAY()-(Data_Val!$M$3*365.25)),Data!#REF!&lt;=(TODAY()-(Data_Val!$M$2*365.25))),0,1),1))</f>
        <v>#REF!</v>
      </c>
      <c r="BB492" s="11" t="e">
        <f>IF(Data!#REF!="","",IF(Data!$G492="",1,IF(ISNUMBER(MATCH(Data!#REF!,Data_Val!$D$2:$D$10,0)),0,1)))</f>
        <v>#REF!</v>
      </c>
      <c r="BC492" s="12"/>
      <c r="BD492" s="20" t="e">
        <f ca="1">IF(Data!#REF!="","",IF(ISNUMBER(Data!#REF!),IF(AND(Data!#REF!&gt;(TODAY()-(Data_Val!$M$3*365.25)),Data!#REF!&lt;=(TODAY()-(Data_Val!$M$2*365.25))),0,1),1))</f>
        <v>#REF!</v>
      </c>
      <c r="BE492" s="12" t="e">
        <f>IF(Data!#REF!="","",IF(Data!$G492="",1,IF(ISNUMBER(MATCH(Data!#REF!,Data_Val!$D$2:$D$10,0)),0,1)))</f>
        <v>#REF!</v>
      </c>
      <c r="BF492" s="17"/>
      <c r="BG492" s="18" t="e">
        <f ca="1">IF(Data!#REF!="","",IF(ISNUMBER(Data!#REF!),IF(AND(Data!#REF!&gt;(TODAY()-(Data_Val!$M$3*365.25)),Data!#REF!&lt;=(TODAY()-(Data_Val!$M$2*365.25))),0,1),1))</f>
        <v>#REF!</v>
      </c>
      <c r="BH492" s="29" t="e">
        <f>IF(Data!#REF!="","",IF(Data!$G492="",1,IF(ISNUMBER(MATCH(Data!#REF!,Data_Val!$D$2:$D$10,0)),0,1)))</f>
        <v>#REF!</v>
      </c>
      <c r="BI492" s="13"/>
      <c r="BJ492" s="21" t="e">
        <f ca="1">IF(Data!#REF!="","",IF(ISNUMBER(Data!#REF!),IF(AND(Data!#REF!&gt;(TODAY()-(Data_Val!$M$3*365.25)),Data!#REF!&lt;=(TODAY()-(Data_Val!$M$2*365.25))),0,1),1))</f>
        <v>#REF!</v>
      </c>
      <c r="BK492" s="13" t="e">
        <f>IF(Data!#REF!="","",IF(Data!$G492="",1,IF(ISNUMBER(MATCH(Data!#REF!,Data_Val!$D$2:$D$10,0)),0,1)))</f>
        <v>#REF!</v>
      </c>
    </row>
    <row r="493" spans="1:63" x14ac:dyDescent="0.25">
      <c r="A493" s="9" t="str">
        <f>IF(Data!B493="","",IF(COUNTIFS(Data!A$1:'Data'!A493,Data!A493)&lt;=1,0,1))</f>
        <v/>
      </c>
      <c r="B493" s="9"/>
      <c r="C493" s="23" t="str">
        <f>IF(Data!C493="","",(IF(ISNUMBER(MATCH("*@*.?*",Data!C493,0)),0,1)+IF(COUNTIFS(Data!C$1:'Data'!C493,Data!C493)&gt;1,1,0)))</f>
        <v/>
      </c>
      <c r="D493" s="9" t="str">
        <f>IF(Data!B493="","",IF(ISNUMBER(Data!D493),IF(AND(Data!D493&gt;999999999,Data!D493&lt;=9999999999),IF(COUNTIFS(Data!D$1:'Data'!D493,Data!D493)&lt;=1,0,1),1),1))</f>
        <v/>
      </c>
      <c r="E493" s="9" t="str">
        <f>IF(Data!B493="","",IF(ISNUMBER(MATCH(Data!E493,Data_Val!$A$2:$A$3,0)),0,1))</f>
        <v/>
      </c>
      <c r="F493" s="9" t="str">
        <f ca="1">IF(Data!B493="","",IF(ISNUMBER(Data!F493),IF(AND(Data!F493&gt;(TODAY()-(Data_Val!$H$3*365.25)),Data!F493&lt;=(TODAY()-(Data_Val!$H$2*365.25))),0,1),1))</f>
        <v/>
      </c>
      <c r="G493" s="15" t="str">
        <f>IF(Data!B493="","",IF(AND(Data!G493="",Data!H493&lt;&gt;""),1,IF(Data!#REF!&lt;&gt;"",0,IF(ISNUMBER(MATCH(Data!G493,Data_Val!$C$2:$C$5,0)),0,1))))</f>
        <v/>
      </c>
      <c r="H493" s="15" t="str">
        <f>IF(Data!B493="","",IF(AND(Data!G493&lt;&gt;"",Data!H493=""),1,IF(Data!#REF!&lt;&gt;"",0,IF(Data!G493="",1,IF(ISNUMBER(MATCH(Data!H493,Data_Val!$D$2:$D$35,0)),0,1)))))</f>
        <v/>
      </c>
      <c r="I493" s="15" t="str">
        <f>IF(Data!B493="","",IF(Data!G493&lt;&gt;"",0,IF(ISNUMBER(MATCH(Data!#REF!,Data_Val!$E$2:$E$12,0)),0,1)))</f>
        <v/>
      </c>
      <c r="J493" s="16" t="e">
        <f>IF(OR(Data!B493="",Data!#REF!=""),"",IF(Data!#REF!="",1,0))</f>
        <v>#REF!</v>
      </c>
      <c r="K493" s="16" t="e">
        <f>IF(OR(Data!B493="",Data!#REF!=""),"",IF(Data!#REF!="",1,0))</f>
        <v>#REF!</v>
      </c>
      <c r="L493" s="16" t="e">
        <f>IF(OR(Data!B493="",Data!#REF!=""),"",IF(ISNUMBER(Data!#REF!),IF(AND(Data!#REF!&gt;Data_Val!$G$2,Data!#REF!&lt;=Data_Val!$G$3),0,1),1))</f>
        <v>#REF!</v>
      </c>
      <c r="M493" s="9" t="e">
        <f>IF(OR(Data!B493="",Data!#REF!=""),"",IF(ISNUMBER(MATCH(Data!#REF!,Data_Val!$F$1:$F$38,0)),0,1))</f>
        <v>#REF!</v>
      </c>
      <c r="N493" s="9" t="e">
        <f>IF(OR(Data!B493="",Data!#REF!=""),"",IF(Data!#REF!="",1,0))</f>
        <v>#REF!</v>
      </c>
      <c r="O493" s="17" t="e">
        <f>IF(Data!#REF!="","",IF(Data!#REF!="",1,0))</f>
        <v>#REF!</v>
      </c>
      <c r="P493" s="17" t="e">
        <f>IF(Data!#REF!="","",IF(ISNUMBER(MATCH(Data!#REF!,Data_Val!$A$2:$A$3,0)),0,1))</f>
        <v>#REF!</v>
      </c>
      <c r="Q493" s="25" t="e">
        <f ca="1">IF(Data!#REF!="","",IF(ISNUMBER(Data!#REF!),IF(AND(Data!#REF!&gt;(TODAY()-(Data_Val!$J$3*365.25)),Data!#REF!&lt;=(TODAY()-(Data_Val!$J$2*365.25))),0,1),1))</f>
        <v>#REF!</v>
      </c>
      <c r="R493" s="17" t="e">
        <f>IF(Data!#REF!="","",IF(ISNUMBER(MATCH(Data!#REF!,Data_Val!$B$2:$B$15,0)),0,1))</f>
        <v>#REF!</v>
      </c>
      <c r="S493" s="11" t="str">
        <f>IF(Data!G493="","",IF(Data!G493=Data_Val!$C$2,IF(Data!M493="",0,1),0))</f>
        <v/>
      </c>
      <c r="T493" s="11" t="str">
        <f>IF(Data!M493="","",IF(ISNUMBER(MATCH(Data!N493,Data_Val!$A$2:$A$3,0)),0,1))</f>
        <v/>
      </c>
      <c r="U493" s="11" t="str">
        <f ca="1">IF(Data!M493="","",IF(ISNUMBER(Data!O493),IF(AND(Data!O493&gt;(TODAY()-(Data_Val!$K$3*365.25)),Data!O493&lt;=(TODAY()-(Data_Val!$K$2*365.25))),0,1),1))</f>
        <v/>
      </c>
      <c r="V493" s="12" t="str">
        <f>IF(Data!G493="","",IF(Data!G493=Data_Val!$C$2,IF(Data!P493="",0,1),0))</f>
        <v/>
      </c>
      <c r="W493" s="12" t="str">
        <f>IF(Data!P493="","",IF(ISNUMBER(MATCH(Data!Q493,Data_Val!$A$2:$A$3,0)),0,1))</f>
        <v/>
      </c>
      <c r="X493" s="26" t="str">
        <f ca="1">IF(Data!P493="","",IF(ISNUMBER(Data!R493),IF(AND(Data!R493&gt;(TODAY()-(Data_Val!$L$3*365.25)),Data!R493&lt;=(TODAY()-(Data_Val!$L$2*365.25))),0,1),1))</f>
        <v/>
      </c>
      <c r="Y493" s="13" t="str">
        <f>IF(Data!$G493="","",IF(Data!$G493=Data_Val!$C$2,IF(Data!S493="",0,1),0))</f>
        <v/>
      </c>
      <c r="Z493" s="13" t="str">
        <f>IF(Data!S493="","",IF(ISNUMBER(MATCH(Data!T493,Data_Val!$A$2:$A$3,0)),0,1))</f>
        <v/>
      </c>
      <c r="AA493" s="28" t="str">
        <f ca="1">IF(Data!S493="","",IF(ISNUMBER(Data!U493),IF(AND(Data!U493&gt;(TODAY()-(Data_Val!$L$3*365.25)),Data!U493&lt;=(TODAY()-(Data_Val!$L$2*365.25))),0,1),1))</f>
        <v/>
      </c>
      <c r="AB493" s="11"/>
      <c r="AC493" s="11" t="e">
        <f>IF(Data!#REF!="","",IF(ISNUMBER(MATCH(Data!#REF!,Data_Val!$A$2:$A$3,0)),0,1))</f>
        <v>#REF!</v>
      </c>
      <c r="AD493" s="11" t="e">
        <f ca="1">IF(Data!#REF!="","",IF(ISNUMBER(Data!#REF!),IF(AND(Data!#REF!&gt;(TODAY()-(Data_Val!$L$3*365.25)),Data!#REF!&lt;=(TODAY()-(Data_Val!$L$2*365.25))),0,1),1))</f>
        <v>#REF!</v>
      </c>
      <c r="AE493" s="11" t="e">
        <f>IF(Data!#REF!="","",IF(Data!$G493="",1,IF(ISNUMBER(MATCH(Data!#REF!,Data_Val!$D$2:$D$10,0)),0,1)))</f>
        <v>#REF!</v>
      </c>
      <c r="AF493" s="12"/>
      <c r="AG493" s="12" t="e">
        <f>IF(Data!#REF!="","",IF(ISNUMBER(MATCH(Data!#REF!,Data_Val!$A$2:$A$3,0)),0,1))</f>
        <v>#REF!</v>
      </c>
      <c r="AH493" s="26" t="e">
        <f ca="1">IF(Data!#REF!="","",IF(ISNUMBER(Data!#REF!),IF(AND(Data!#REF!&gt;(TODAY()-(Data_Val!$L$3*365.25)),Data!#REF!&lt;=(TODAY()-(Data_Val!$L$2*365.25))),0,1),1))</f>
        <v>#REF!</v>
      </c>
      <c r="AI493" s="12" t="e">
        <f>IF(Data!#REF!="","",IF(Data!$G493="",1,IF(ISNUMBER(MATCH(Data!#REF!,Data_Val!$D$2:$D$10,0)),0,1)))</f>
        <v>#REF!</v>
      </c>
      <c r="AJ493" s="17"/>
      <c r="AK493" s="17" t="e">
        <f>IF(Data!#REF!="","",IF(ISNUMBER(MATCH(Data!#REF!,Data_Val!$A$2:$A$3,0)),0,1))</f>
        <v>#REF!</v>
      </c>
      <c r="AL493" s="25" t="e">
        <f ca="1">IF(Data!#REF!="","",IF(ISNUMBER(Data!#REF!),IF(AND(Data!#REF!&gt;(TODAY()-(Data_Val!$L$3*365.25)),Data!#REF!&lt;=(TODAY()-(Data_Val!$L$2*365.25))),0,1),1))</f>
        <v>#REF!</v>
      </c>
      <c r="AM493" s="17" t="e">
        <f>IF(Data!#REF!="","",IF(Data!$G493="",1,IF(ISNUMBER(MATCH(Data!#REF!,Data_Val!$D$2:$D$10,0)),0,1)))</f>
        <v>#REF!</v>
      </c>
      <c r="AN493" s="13"/>
      <c r="AO493" s="28" t="e">
        <f ca="1">IF(Data!#REF!="","",IF(ISNUMBER(Data!#REF!),IF(AND(Data!#REF!&gt;(TODAY()-(Data_Val!$I$3*365.25)),Data!#REF!&lt;=(TODAY()-(Data_Val!$I$2*365.25))),0,1),1))</f>
        <v>#REF!</v>
      </c>
      <c r="AP493" s="13" t="e">
        <f>IF(Data!#REF!="","",IF(Data!$G493="",1,IF(ISNUMBER(MATCH(Data!#REF!,Data_Val!$D$2:$D$10,0)),0,1)))</f>
        <v>#REF!</v>
      </c>
      <c r="AQ493" s="17"/>
      <c r="AR493" s="30" t="e">
        <f ca="1">IF(Data!#REF!="","",IF(ISNUMBER(Data!#REF!),IF(AND(Data!#REF!&gt;(TODAY()-(Data_Val!$I$3*365.25)),Data!#REF!&lt;=(TODAY()-(Data_Val!$I$2*365.25))),0,1),1))</f>
        <v>#REF!</v>
      </c>
      <c r="AS493" s="31" t="e">
        <f>IF(Data!#REF!="","",IF(Data!$G493="",1,IF(ISNUMBER(MATCH(Data!#REF!,Data_Val!$D$2:$D$10,0)),0,1)))</f>
        <v>#REF!</v>
      </c>
      <c r="AT493" s="11"/>
      <c r="AU493" s="11" t="e">
        <f ca="1">IF(Data!#REF!="","",IF(ISNUMBER(Data!#REF!),IF(AND(Data!#REF!&gt;(TODAY()-(Data_Val!$I$3*365.25)),Data!#REF!&lt;=(TODAY()-(Data_Val!$I$2*365.25))),0,1),1))</f>
        <v>#REF!</v>
      </c>
      <c r="AV493" s="11" t="e">
        <f>IF(Data!#REF!="","",IF(Data!$G493="",1,IF(ISNUMBER(MATCH(Data!#REF!,Data_Val!$D$2:$D$10,0)),0,1)))</f>
        <v>#REF!</v>
      </c>
      <c r="AW493" s="12"/>
      <c r="AX493" s="26" t="e">
        <f ca="1">IF(Data!#REF!="","",IF(ISNUMBER(Data!#REF!),IF(AND(Data!#REF!&gt;(TODAY()-(Data_Val!$I$3*365.25)),Data!#REF!&lt;=(TODAY()-(Data_Val!$I$2*365.25))),0,1),1))</f>
        <v>#REF!</v>
      </c>
      <c r="AY493" s="12" t="e">
        <f>IF(Data!#REF!="","",IF(Data!$G493="",1,IF(ISNUMBER(MATCH(Data!#REF!,Data_Val!$D$2:$D$10,0)),0,1)))</f>
        <v>#REF!</v>
      </c>
      <c r="AZ493" s="11"/>
      <c r="BA493" s="19" t="e">
        <f ca="1">IF(Data!#REF!="","",IF(ISNUMBER(Data!#REF!),IF(AND(Data!#REF!&gt;(TODAY()-(Data_Val!$M$3*365.25)),Data!#REF!&lt;=(TODAY()-(Data_Val!$M$2*365.25))),0,1),1))</f>
        <v>#REF!</v>
      </c>
      <c r="BB493" s="11" t="e">
        <f>IF(Data!#REF!="","",IF(Data!$G493="",1,IF(ISNUMBER(MATCH(Data!#REF!,Data_Val!$D$2:$D$10,0)),0,1)))</f>
        <v>#REF!</v>
      </c>
      <c r="BC493" s="12"/>
      <c r="BD493" s="20" t="e">
        <f ca="1">IF(Data!#REF!="","",IF(ISNUMBER(Data!#REF!),IF(AND(Data!#REF!&gt;(TODAY()-(Data_Val!$M$3*365.25)),Data!#REF!&lt;=(TODAY()-(Data_Val!$M$2*365.25))),0,1),1))</f>
        <v>#REF!</v>
      </c>
      <c r="BE493" s="12" t="e">
        <f>IF(Data!#REF!="","",IF(Data!$G493="",1,IF(ISNUMBER(MATCH(Data!#REF!,Data_Val!$D$2:$D$10,0)),0,1)))</f>
        <v>#REF!</v>
      </c>
      <c r="BF493" s="17"/>
      <c r="BG493" s="18" t="e">
        <f ca="1">IF(Data!#REF!="","",IF(ISNUMBER(Data!#REF!),IF(AND(Data!#REF!&gt;(TODAY()-(Data_Val!$M$3*365.25)),Data!#REF!&lt;=(TODAY()-(Data_Val!$M$2*365.25))),0,1),1))</f>
        <v>#REF!</v>
      </c>
      <c r="BH493" s="29" t="e">
        <f>IF(Data!#REF!="","",IF(Data!$G493="",1,IF(ISNUMBER(MATCH(Data!#REF!,Data_Val!$D$2:$D$10,0)),0,1)))</f>
        <v>#REF!</v>
      </c>
      <c r="BI493" s="13"/>
      <c r="BJ493" s="21" t="e">
        <f ca="1">IF(Data!#REF!="","",IF(ISNUMBER(Data!#REF!),IF(AND(Data!#REF!&gt;(TODAY()-(Data_Val!$M$3*365.25)),Data!#REF!&lt;=(TODAY()-(Data_Val!$M$2*365.25))),0,1),1))</f>
        <v>#REF!</v>
      </c>
      <c r="BK493" s="13" t="e">
        <f>IF(Data!#REF!="","",IF(Data!$G493="",1,IF(ISNUMBER(MATCH(Data!#REF!,Data_Val!$D$2:$D$10,0)),0,1)))</f>
        <v>#REF!</v>
      </c>
    </row>
    <row r="494" spans="1:63" x14ac:dyDescent="0.25">
      <c r="A494" s="9" t="str">
        <f>IF(Data!B494="","",IF(COUNTIFS(Data!A$1:'Data'!A494,Data!A494)&lt;=1,0,1))</f>
        <v/>
      </c>
      <c r="B494" s="9"/>
      <c r="C494" s="23" t="str">
        <f>IF(Data!C494="","",(IF(ISNUMBER(MATCH("*@*.?*",Data!C494,0)),0,1)+IF(COUNTIFS(Data!C$1:'Data'!C494,Data!C494)&gt;1,1,0)))</f>
        <v/>
      </c>
      <c r="D494" s="9" t="str">
        <f>IF(Data!B494="","",IF(ISNUMBER(Data!D494),IF(AND(Data!D494&gt;999999999,Data!D494&lt;=9999999999),IF(COUNTIFS(Data!D$1:'Data'!D494,Data!D494)&lt;=1,0,1),1),1))</f>
        <v/>
      </c>
      <c r="E494" s="9" t="str">
        <f>IF(Data!B494="","",IF(ISNUMBER(MATCH(Data!E494,Data_Val!$A$2:$A$3,0)),0,1))</f>
        <v/>
      </c>
      <c r="F494" s="9" t="str">
        <f ca="1">IF(Data!B494="","",IF(ISNUMBER(Data!F494),IF(AND(Data!F494&gt;(TODAY()-(Data_Val!$H$3*365.25)),Data!F494&lt;=(TODAY()-(Data_Val!$H$2*365.25))),0,1),1))</f>
        <v/>
      </c>
      <c r="G494" s="15" t="str">
        <f>IF(Data!B494="","",IF(AND(Data!G494="",Data!H494&lt;&gt;""),1,IF(Data!#REF!&lt;&gt;"",0,IF(ISNUMBER(MATCH(Data!G494,Data_Val!$C$2:$C$5,0)),0,1))))</f>
        <v/>
      </c>
      <c r="H494" s="15" t="str">
        <f>IF(Data!B494="","",IF(AND(Data!G494&lt;&gt;"",Data!H494=""),1,IF(Data!#REF!&lt;&gt;"",0,IF(Data!G494="",1,IF(ISNUMBER(MATCH(Data!H494,Data_Val!$D$2:$D$35,0)),0,1)))))</f>
        <v/>
      </c>
      <c r="I494" s="15" t="str">
        <f>IF(Data!B494="","",IF(Data!G494&lt;&gt;"",0,IF(ISNUMBER(MATCH(Data!#REF!,Data_Val!$E$2:$E$12,0)),0,1)))</f>
        <v/>
      </c>
      <c r="J494" s="16" t="e">
        <f>IF(OR(Data!B494="",Data!#REF!=""),"",IF(Data!#REF!="",1,0))</f>
        <v>#REF!</v>
      </c>
      <c r="K494" s="16" t="e">
        <f>IF(OR(Data!B494="",Data!#REF!=""),"",IF(Data!#REF!="",1,0))</f>
        <v>#REF!</v>
      </c>
      <c r="L494" s="16" t="e">
        <f>IF(OR(Data!B494="",Data!#REF!=""),"",IF(ISNUMBER(Data!#REF!),IF(AND(Data!#REF!&gt;Data_Val!$G$2,Data!#REF!&lt;=Data_Val!$G$3),0,1),1))</f>
        <v>#REF!</v>
      </c>
      <c r="M494" s="9" t="e">
        <f>IF(OR(Data!B494="",Data!#REF!=""),"",IF(ISNUMBER(MATCH(Data!#REF!,Data_Val!$F$1:$F$38,0)),0,1))</f>
        <v>#REF!</v>
      </c>
      <c r="N494" s="9" t="e">
        <f>IF(OR(Data!B494="",Data!#REF!=""),"",IF(Data!#REF!="",1,0))</f>
        <v>#REF!</v>
      </c>
      <c r="O494" s="17" t="e">
        <f>IF(Data!#REF!="","",IF(Data!#REF!="",1,0))</f>
        <v>#REF!</v>
      </c>
      <c r="P494" s="17" t="e">
        <f>IF(Data!#REF!="","",IF(ISNUMBER(MATCH(Data!#REF!,Data_Val!$A$2:$A$3,0)),0,1))</f>
        <v>#REF!</v>
      </c>
      <c r="Q494" s="25" t="e">
        <f ca="1">IF(Data!#REF!="","",IF(ISNUMBER(Data!#REF!),IF(AND(Data!#REF!&gt;(TODAY()-(Data_Val!$J$3*365.25)),Data!#REF!&lt;=(TODAY()-(Data_Val!$J$2*365.25))),0,1),1))</f>
        <v>#REF!</v>
      </c>
      <c r="R494" s="17" t="e">
        <f>IF(Data!#REF!="","",IF(ISNUMBER(MATCH(Data!#REF!,Data_Val!$B$2:$B$15,0)),0,1))</f>
        <v>#REF!</v>
      </c>
      <c r="S494" s="11" t="str">
        <f>IF(Data!G494="","",IF(Data!G494=Data_Val!$C$2,IF(Data!M494="",0,1),0))</f>
        <v/>
      </c>
      <c r="T494" s="11" t="str">
        <f>IF(Data!M494="","",IF(ISNUMBER(MATCH(Data!N494,Data_Val!$A$2:$A$3,0)),0,1))</f>
        <v/>
      </c>
      <c r="U494" s="11" t="str">
        <f ca="1">IF(Data!M494="","",IF(ISNUMBER(Data!O494),IF(AND(Data!O494&gt;(TODAY()-(Data_Val!$K$3*365.25)),Data!O494&lt;=(TODAY()-(Data_Val!$K$2*365.25))),0,1),1))</f>
        <v/>
      </c>
      <c r="V494" s="12" t="str">
        <f>IF(Data!G494="","",IF(Data!G494=Data_Val!$C$2,IF(Data!P494="",0,1),0))</f>
        <v/>
      </c>
      <c r="W494" s="12" t="str">
        <f>IF(Data!P494="","",IF(ISNUMBER(MATCH(Data!Q494,Data_Val!$A$2:$A$3,0)),0,1))</f>
        <v/>
      </c>
      <c r="X494" s="26" t="str">
        <f ca="1">IF(Data!P494="","",IF(ISNUMBER(Data!R494),IF(AND(Data!R494&gt;(TODAY()-(Data_Val!$L$3*365.25)),Data!R494&lt;=(TODAY()-(Data_Val!$L$2*365.25))),0,1),1))</f>
        <v/>
      </c>
      <c r="Y494" s="13" t="str">
        <f>IF(Data!$G494="","",IF(Data!$G494=Data_Val!$C$2,IF(Data!S494="",0,1),0))</f>
        <v/>
      </c>
      <c r="Z494" s="13" t="str">
        <f>IF(Data!S494="","",IF(ISNUMBER(MATCH(Data!T494,Data_Val!$A$2:$A$3,0)),0,1))</f>
        <v/>
      </c>
      <c r="AA494" s="28" t="str">
        <f ca="1">IF(Data!S494="","",IF(ISNUMBER(Data!U494),IF(AND(Data!U494&gt;(TODAY()-(Data_Val!$L$3*365.25)),Data!U494&lt;=(TODAY()-(Data_Val!$L$2*365.25))),0,1),1))</f>
        <v/>
      </c>
      <c r="AB494" s="11"/>
      <c r="AC494" s="11" t="e">
        <f>IF(Data!#REF!="","",IF(ISNUMBER(MATCH(Data!#REF!,Data_Val!$A$2:$A$3,0)),0,1))</f>
        <v>#REF!</v>
      </c>
      <c r="AD494" s="11" t="e">
        <f ca="1">IF(Data!#REF!="","",IF(ISNUMBER(Data!#REF!),IF(AND(Data!#REF!&gt;(TODAY()-(Data_Val!$L$3*365.25)),Data!#REF!&lt;=(TODAY()-(Data_Val!$L$2*365.25))),0,1),1))</f>
        <v>#REF!</v>
      </c>
      <c r="AE494" s="11" t="e">
        <f>IF(Data!#REF!="","",IF(Data!$G494="",1,IF(ISNUMBER(MATCH(Data!#REF!,Data_Val!$D$2:$D$10,0)),0,1)))</f>
        <v>#REF!</v>
      </c>
      <c r="AF494" s="12"/>
      <c r="AG494" s="12" t="e">
        <f>IF(Data!#REF!="","",IF(ISNUMBER(MATCH(Data!#REF!,Data_Val!$A$2:$A$3,0)),0,1))</f>
        <v>#REF!</v>
      </c>
      <c r="AH494" s="26" t="e">
        <f ca="1">IF(Data!#REF!="","",IF(ISNUMBER(Data!#REF!),IF(AND(Data!#REF!&gt;(TODAY()-(Data_Val!$L$3*365.25)),Data!#REF!&lt;=(TODAY()-(Data_Val!$L$2*365.25))),0,1),1))</f>
        <v>#REF!</v>
      </c>
      <c r="AI494" s="12" t="e">
        <f>IF(Data!#REF!="","",IF(Data!$G494="",1,IF(ISNUMBER(MATCH(Data!#REF!,Data_Val!$D$2:$D$10,0)),0,1)))</f>
        <v>#REF!</v>
      </c>
      <c r="AJ494" s="17"/>
      <c r="AK494" s="17" t="e">
        <f>IF(Data!#REF!="","",IF(ISNUMBER(MATCH(Data!#REF!,Data_Val!$A$2:$A$3,0)),0,1))</f>
        <v>#REF!</v>
      </c>
      <c r="AL494" s="25" t="e">
        <f ca="1">IF(Data!#REF!="","",IF(ISNUMBER(Data!#REF!),IF(AND(Data!#REF!&gt;(TODAY()-(Data_Val!$L$3*365.25)),Data!#REF!&lt;=(TODAY()-(Data_Val!$L$2*365.25))),0,1),1))</f>
        <v>#REF!</v>
      </c>
      <c r="AM494" s="17" t="e">
        <f>IF(Data!#REF!="","",IF(Data!$G494="",1,IF(ISNUMBER(MATCH(Data!#REF!,Data_Val!$D$2:$D$10,0)),0,1)))</f>
        <v>#REF!</v>
      </c>
      <c r="AN494" s="13"/>
      <c r="AO494" s="28" t="e">
        <f ca="1">IF(Data!#REF!="","",IF(ISNUMBER(Data!#REF!),IF(AND(Data!#REF!&gt;(TODAY()-(Data_Val!$I$3*365.25)),Data!#REF!&lt;=(TODAY()-(Data_Val!$I$2*365.25))),0,1),1))</f>
        <v>#REF!</v>
      </c>
      <c r="AP494" s="13" t="e">
        <f>IF(Data!#REF!="","",IF(Data!$G494="",1,IF(ISNUMBER(MATCH(Data!#REF!,Data_Val!$D$2:$D$10,0)),0,1)))</f>
        <v>#REF!</v>
      </c>
      <c r="AQ494" s="17"/>
      <c r="AR494" s="30" t="e">
        <f ca="1">IF(Data!#REF!="","",IF(ISNUMBER(Data!#REF!),IF(AND(Data!#REF!&gt;(TODAY()-(Data_Val!$I$3*365.25)),Data!#REF!&lt;=(TODAY()-(Data_Val!$I$2*365.25))),0,1),1))</f>
        <v>#REF!</v>
      </c>
      <c r="AS494" s="31" t="e">
        <f>IF(Data!#REF!="","",IF(Data!$G494="",1,IF(ISNUMBER(MATCH(Data!#REF!,Data_Val!$D$2:$D$10,0)),0,1)))</f>
        <v>#REF!</v>
      </c>
      <c r="AT494" s="11"/>
      <c r="AU494" s="11" t="e">
        <f ca="1">IF(Data!#REF!="","",IF(ISNUMBER(Data!#REF!),IF(AND(Data!#REF!&gt;(TODAY()-(Data_Val!$I$3*365.25)),Data!#REF!&lt;=(TODAY()-(Data_Val!$I$2*365.25))),0,1),1))</f>
        <v>#REF!</v>
      </c>
      <c r="AV494" s="11" t="e">
        <f>IF(Data!#REF!="","",IF(Data!$G494="",1,IF(ISNUMBER(MATCH(Data!#REF!,Data_Val!$D$2:$D$10,0)),0,1)))</f>
        <v>#REF!</v>
      </c>
      <c r="AW494" s="12"/>
      <c r="AX494" s="26" t="e">
        <f ca="1">IF(Data!#REF!="","",IF(ISNUMBER(Data!#REF!),IF(AND(Data!#REF!&gt;(TODAY()-(Data_Val!$I$3*365.25)),Data!#REF!&lt;=(TODAY()-(Data_Val!$I$2*365.25))),0,1),1))</f>
        <v>#REF!</v>
      </c>
      <c r="AY494" s="12" t="e">
        <f>IF(Data!#REF!="","",IF(Data!$G494="",1,IF(ISNUMBER(MATCH(Data!#REF!,Data_Val!$D$2:$D$10,0)),0,1)))</f>
        <v>#REF!</v>
      </c>
      <c r="AZ494" s="11"/>
      <c r="BA494" s="19" t="e">
        <f ca="1">IF(Data!#REF!="","",IF(ISNUMBER(Data!#REF!),IF(AND(Data!#REF!&gt;(TODAY()-(Data_Val!$M$3*365.25)),Data!#REF!&lt;=(TODAY()-(Data_Val!$M$2*365.25))),0,1),1))</f>
        <v>#REF!</v>
      </c>
      <c r="BB494" s="11" t="e">
        <f>IF(Data!#REF!="","",IF(Data!$G494="",1,IF(ISNUMBER(MATCH(Data!#REF!,Data_Val!$D$2:$D$10,0)),0,1)))</f>
        <v>#REF!</v>
      </c>
      <c r="BC494" s="12"/>
      <c r="BD494" s="20" t="e">
        <f ca="1">IF(Data!#REF!="","",IF(ISNUMBER(Data!#REF!),IF(AND(Data!#REF!&gt;(TODAY()-(Data_Val!$M$3*365.25)),Data!#REF!&lt;=(TODAY()-(Data_Val!$M$2*365.25))),0,1),1))</f>
        <v>#REF!</v>
      </c>
      <c r="BE494" s="12" t="e">
        <f>IF(Data!#REF!="","",IF(Data!$G494="",1,IF(ISNUMBER(MATCH(Data!#REF!,Data_Val!$D$2:$D$10,0)),0,1)))</f>
        <v>#REF!</v>
      </c>
      <c r="BF494" s="17"/>
      <c r="BG494" s="18" t="e">
        <f ca="1">IF(Data!#REF!="","",IF(ISNUMBER(Data!#REF!),IF(AND(Data!#REF!&gt;(TODAY()-(Data_Val!$M$3*365.25)),Data!#REF!&lt;=(TODAY()-(Data_Val!$M$2*365.25))),0,1),1))</f>
        <v>#REF!</v>
      </c>
      <c r="BH494" s="29" t="e">
        <f>IF(Data!#REF!="","",IF(Data!$G494="",1,IF(ISNUMBER(MATCH(Data!#REF!,Data_Val!$D$2:$D$10,0)),0,1)))</f>
        <v>#REF!</v>
      </c>
      <c r="BI494" s="13"/>
      <c r="BJ494" s="21" t="e">
        <f ca="1">IF(Data!#REF!="","",IF(ISNUMBER(Data!#REF!),IF(AND(Data!#REF!&gt;(TODAY()-(Data_Val!$M$3*365.25)),Data!#REF!&lt;=(TODAY()-(Data_Val!$M$2*365.25))),0,1),1))</f>
        <v>#REF!</v>
      </c>
      <c r="BK494" s="13" t="e">
        <f>IF(Data!#REF!="","",IF(Data!$G494="",1,IF(ISNUMBER(MATCH(Data!#REF!,Data_Val!$D$2:$D$10,0)),0,1)))</f>
        <v>#REF!</v>
      </c>
    </row>
    <row r="495" spans="1:63" x14ac:dyDescent="0.25">
      <c r="A495" s="9" t="str">
        <f>IF(Data!B495="","",IF(COUNTIFS(Data!A$1:'Data'!A495,Data!A495)&lt;=1,0,1))</f>
        <v/>
      </c>
      <c r="B495" s="9"/>
      <c r="C495" s="23" t="str">
        <f>IF(Data!C495="","",(IF(ISNUMBER(MATCH("*@*.?*",Data!C495,0)),0,1)+IF(COUNTIFS(Data!C$1:'Data'!C495,Data!C495)&gt;1,1,0)))</f>
        <v/>
      </c>
      <c r="D495" s="9" t="str">
        <f>IF(Data!B495="","",IF(ISNUMBER(Data!D495),IF(AND(Data!D495&gt;999999999,Data!D495&lt;=9999999999),IF(COUNTIFS(Data!D$1:'Data'!D495,Data!D495)&lt;=1,0,1),1),1))</f>
        <v/>
      </c>
      <c r="E495" s="9" t="str">
        <f>IF(Data!B495="","",IF(ISNUMBER(MATCH(Data!E495,Data_Val!$A$2:$A$3,0)),0,1))</f>
        <v/>
      </c>
      <c r="F495" s="9" t="str">
        <f ca="1">IF(Data!B495="","",IF(ISNUMBER(Data!F495),IF(AND(Data!F495&gt;(TODAY()-(Data_Val!$H$3*365.25)),Data!F495&lt;=(TODAY()-(Data_Val!$H$2*365.25))),0,1),1))</f>
        <v/>
      </c>
      <c r="G495" s="15" t="str">
        <f>IF(Data!B495="","",IF(AND(Data!G495="",Data!H495&lt;&gt;""),1,IF(Data!#REF!&lt;&gt;"",0,IF(ISNUMBER(MATCH(Data!G495,Data_Val!$C$2:$C$5,0)),0,1))))</f>
        <v/>
      </c>
      <c r="H495" s="15" t="str">
        <f>IF(Data!B495="","",IF(AND(Data!G495&lt;&gt;"",Data!H495=""),1,IF(Data!#REF!&lt;&gt;"",0,IF(Data!G495="",1,IF(ISNUMBER(MATCH(Data!H495,Data_Val!$D$2:$D$35,0)),0,1)))))</f>
        <v/>
      </c>
      <c r="I495" s="15" t="str">
        <f>IF(Data!B495="","",IF(Data!G495&lt;&gt;"",0,IF(ISNUMBER(MATCH(Data!#REF!,Data_Val!$E$2:$E$12,0)),0,1)))</f>
        <v/>
      </c>
      <c r="J495" s="16" t="e">
        <f>IF(OR(Data!B495="",Data!#REF!=""),"",IF(Data!#REF!="",1,0))</f>
        <v>#REF!</v>
      </c>
      <c r="K495" s="16" t="e">
        <f>IF(OR(Data!B495="",Data!#REF!=""),"",IF(Data!#REF!="",1,0))</f>
        <v>#REF!</v>
      </c>
      <c r="L495" s="16" t="e">
        <f>IF(OR(Data!B495="",Data!#REF!=""),"",IF(ISNUMBER(Data!#REF!),IF(AND(Data!#REF!&gt;Data_Val!$G$2,Data!#REF!&lt;=Data_Val!$G$3),0,1),1))</f>
        <v>#REF!</v>
      </c>
      <c r="M495" s="9" t="e">
        <f>IF(OR(Data!B495="",Data!#REF!=""),"",IF(ISNUMBER(MATCH(Data!#REF!,Data_Val!$F$1:$F$38,0)),0,1))</f>
        <v>#REF!</v>
      </c>
      <c r="N495" s="9" t="e">
        <f>IF(OR(Data!B495="",Data!#REF!=""),"",IF(Data!#REF!="",1,0))</f>
        <v>#REF!</v>
      </c>
      <c r="O495" s="17" t="e">
        <f>IF(Data!#REF!="","",IF(Data!#REF!="",1,0))</f>
        <v>#REF!</v>
      </c>
      <c r="P495" s="17" t="e">
        <f>IF(Data!#REF!="","",IF(ISNUMBER(MATCH(Data!#REF!,Data_Val!$A$2:$A$3,0)),0,1))</f>
        <v>#REF!</v>
      </c>
      <c r="Q495" s="25" t="e">
        <f ca="1">IF(Data!#REF!="","",IF(ISNUMBER(Data!#REF!),IF(AND(Data!#REF!&gt;(TODAY()-(Data_Val!$J$3*365.25)),Data!#REF!&lt;=(TODAY()-(Data_Val!$J$2*365.25))),0,1),1))</f>
        <v>#REF!</v>
      </c>
      <c r="R495" s="17" t="e">
        <f>IF(Data!#REF!="","",IF(ISNUMBER(MATCH(Data!#REF!,Data_Val!$B$2:$B$15,0)),0,1))</f>
        <v>#REF!</v>
      </c>
      <c r="S495" s="11" t="str">
        <f>IF(Data!G495="","",IF(Data!G495=Data_Val!$C$2,IF(Data!M495="",0,1),0))</f>
        <v/>
      </c>
      <c r="T495" s="11" t="str">
        <f>IF(Data!M495="","",IF(ISNUMBER(MATCH(Data!N495,Data_Val!$A$2:$A$3,0)),0,1))</f>
        <v/>
      </c>
      <c r="U495" s="11" t="str">
        <f ca="1">IF(Data!M495="","",IF(ISNUMBER(Data!O495),IF(AND(Data!O495&gt;(TODAY()-(Data_Val!$K$3*365.25)),Data!O495&lt;=(TODAY()-(Data_Val!$K$2*365.25))),0,1),1))</f>
        <v/>
      </c>
      <c r="V495" s="12" t="str">
        <f>IF(Data!G495="","",IF(Data!G495=Data_Val!$C$2,IF(Data!P495="",0,1),0))</f>
        <v/>
      </c>
      <c r="W495" s="12" t="str">
        <f>IF(Data!P495="","",IF(ISNUMBER(MATCH(Data!Q495,Data_Val!$A$2:$A$3,0)),0,1))</f>
        <v/>
      </c>
      <c r="X495" s="26" t="str">
        <f ca="1">IF(Data!P495="","",IF(ISNUMBER(Data!R495),IF(AND(Data!R495&gt;(TODAY()-(Data_Val!$L$3*365.25)),Data!R495&lt;=(TODAY()-(Data_Val!$L$2*365.25))),0,1),1))</f>
        <v/>
      </c>
      <c r="Y495" s="13" t="str">
        <f>IF(Data!$G495="","",IF(Data!$G495=Data_Val!$C$2,IF(Data!S495="",0,1),0))</f>
        <v/>
      </c>
      <c r="Z495" s="13" t="str">
        <f>IF(Data!S495="","",IF(ISNUMBER(MATCH(Data!T495,Data_Val!$A$2:$A$3,0)),0,1))</f>
        <v/>
      </c>
      <c r="AA495" s="28" t="str">
        <f ca="1">IF(Data!S495="","",IF(ISNUMBER(Data!U495),IF(AND(Data!U495&gt;(TODAY()-(Data_Val!$L$3*365.25)),Data!U495&lt;=(TODAY()-(Data_Val!$L$2*365.25))),0,1),1))</f>
        <v/>
      </c>
      <c r="AB495" s="11"/>
      <c r="AC495" s="11" t="e">
        <f>IF(Data!#REF!="","",IF(ISNUMBER(MATCH(Data!#REF!,Data_Val!$A$2:$A$3,0)),0,1))</f>
        <v>#REF!</v>
      </c>
      <c r="AD495" s="11" t="e">
        <f ca="1">IF(Data!#REF!="","",IF(ISNUMBER(Data!#REF!),IF(AND(Data!#REF!&gt;(TODAY()-(Data_Val!$L$3*365.25)),Data!#REF!&lt;=(TODAY()-(Data_Val!$L$2*365.25))),0,1),1))</f>
        <v>#REF!</v>
      </c>
      <c r="AE495" s="11" t="e">
        <f>IF(Data!#REF!="","",IF(Data!$G495="",1,IF(ISNUMBER(MATCH(Data!#REF!,Data_Val!$D$2:$D$10,0)),0,1)))</f>
        <v>#REF!</v>
      </c>
      <c r="AF495" s="12"/>
      <c r="AG495" s="12" t="e">
        <f>IF(Data!#REF!="","",IF(ISNUMBER(MATCH(Data!#REF!,Data_Val!$A$2:$A$3,0)),0,1))</f>
        <v>#REF!</v>
      </c>
      <c r="AH495" s="26" t="e">
        <f ca="1">IF(Data!#REF!="","",IF(ISNUMBER(Data!#REF!),IF(AND(Data!#REF!&gt;(TODAY()-(Data_Val!$L$3*365.25)),Data!#REF!&lt;=(TODAY()-(Data_Val!$L$2*365.25))),0,1),1))</f>
        <v>#REF!</v>
      </c>
      <c r="AI495" s="12" t="e">
        <f>IF(Data!#REF!="","",IF(Data!$G495="",1,IF(ISNUMBER(MATCH(Data!#REF!,Data_Val!$D$2:$D$10,0)),0,1)))</f>
        <v>#REF!</v>
      </c>
      <c r="AJ495" s="17"/>
      <c r="AK495" s="17" t="e">
        <f>IF(Data!#REF!="","",IF(ISNUMBER(MATCH(Data!#REF!,Data_Val!$A$2:$A$3,0)),0,1))</f>
        <v>#REF!</v>
      </c>
      <c r="AL495" s="25" t="e">
        <f ca="1">IF(Data!#REF!="","",IF(ISNUMBER(Data!#REF!),IF(AND(Data!#REF!&gt;(TODAY()-(Data_Val!$L$3*365.25)),Data!#REF!&lt;=(TODAY()-(Data_Val!$L$2*365.25))),0,1),1))</f>
        <v>#REF!</v>
      </c>
      <c r="AM495" s="17" t="e">
        <f>IF(Data!#REF!="","",IF(Data!$G495="",1,IF(ISNUMBER(MATCH(Data!#REF!,Data_Val!$D$2:$D$10,0)),0,1)))</f>
        <v>#REF!</v>
      </c>
      <c r="AN495" s="13"/>
      <c r="AO495" s="28" t="e">
        <f ca="1">IF(Data!#REF!="","",IF(ISNUMBER(Data!#REF!),IF(AND(Data!#REF!&gt;(TODAY()-(Data_Val!$I$3*365.25)),Data!#REF!&lt;=(TODAY()-(Data_Val!$I$2*365.25))),0,1),1))</f>
        <v>#REF!</v>
      </c>
      <c r="AP495" s="13" t="e">
        <f>IF(Data!#REF!="","",IF(Data!$G495="",1,IF(ISNUMBER(MATCH(Data!#REF!,Data_Val!$D$2:$D$10,0)),0,1)))</f>
        <v>#REF!</v>
      </c>
      <c r="AQ495" s="17"/>
      <c r="AR495" s="30" t="e">
        <f ca="1">IF(Data!#REF!="","",IF(ISNUMBER(Data!#REF!),IF(AND(Data!#REF!&gt;(TODAY()-(Data_Val!$I$3*365.25)),Data!#REF!&lt;=(TODAY()-(Data_Val!$I$2*365.25))),0,1),1))</f>
        <v>#REF!</v>
      </c>
      <c r="AS495" s="31" t="e">
        <f>IF(Data!#REF!="","",IF(Data!$G495="",1,IF(ISNUMBER(MATCH(Data!#REF!,Data_Val!$D$2:$D$10,0)),0,1)))</f>
        <v>#REF!</v>
      </c>
      <c r="AT495" s="11"/>
      <c r="AU495" s="11" t="e">
        <f ca="1">IF(Data!#REF!="","",IF(ISNUMBER(Data!#REF!),IF(AND(Data!#REF!&gt;(TODAY()-(Data_Val!$I$3*365.25)),Data!#REF!&lt;=(TODAY()-(Data_Val!$I$2*365.25))),0,1),1))</f>
        <v>#REF!</v>
      </c>
      <c r="AV495" s="11" t="e">
        <f>IF(Data!#REF!="","",IF(Data!$G495="",1,IF(ISNUMBER(MATCH(Data!#REF!,Data_Val!$D$2:$D$10,0)),0,1)))</f>
        <v>#REF!</v>
      </c>
      <c r="AW495" s="12"/>
      <c r="AX495" s="26" t="e">
        <f ca="1">IF(Data!#REF!="","",IF(ISNUMBER(Data!#REF!),IF(AND(Data!#REF!&gt;(TODAY()-(Data_Val!$I$3*365.25)),Data!#REF!&lt;=(TODAY()-(Data_Val!$I$2*365.25))),0,1),1))</f>
        <v>#REF!</v>
      </c>
      <c r="AY495" s="12" t="e">
        <f>IF(Data!#REF!="","",IF(Data!$G495="",1,IF(ISNUMBER(MATCH(Data!#REF!,Data_Val!$D$2:$D$10,0)),0,1)))</f>
        <v>#REF!</v>
      </c>
      <c r="AZ495" s="11"/>
      <c r="BA495" s="19" t="e">
        <f ca="1">IF(Data!#REF!="","",IF(ISNUMBER(Data!#REF!),IF(AND(Data!#REF!&gt;(TODAY()-(Data_Val!$M$3*365.25)),Data!#REF!&lt;=(TODAY()-(Data_Val!$M$2*365.25))),0,1),1))</f>
        <v>#REF!</v>
      </c>
      <c r="BB495" s="11" t="e">
        <f>IF(Data!#REF!="","",IF(Data!$G495="",1,IF(ISNUMBER(MATCH(Data!#REF!,Data_Val!$D$2:$D$10,0)),0,1)))</f>
        <v>#REF!</v>
      </c>
      <c r="BC495" s="12"/>
      <c r="BD495" s="20" t="e">
        <f ca="1">IF(Data!#REF!="","",IF(ISNUMBER(Data!#REF!),IF(AND(Data!#REF!&gt;(TODAY()-(Data_Val!$M$3*365.25)),Data!#REF!&lt;=(TODAY()-(Data_Val!$M$2*365.25))),0,1),1))</f>
        <v>#REF!</v>
      </c>
      <c r="BE495" s="12" t="e">
        <f>IF(Data!#REF!="","",IF(Data!$G495="",1,IF(ISNUMBER(MATCH(Data!#REF!,Data_Val!$D$2:$D$10,0)),0,1)))</f>
        <v>#REF!</v>
      </c>
      <c r="BF495" s="17"/>
      <c r="BG495" s="18" t="e">
        <f ca="1">IF(Data!#REF!="","",IF(ISNUMBER(Data!#REF!),IF(AND(Data!#REF!&gt;(TODAY()-(Data_Val!$M$3*365.25)),Data!#REF!&lt;=(TODAY()-(Data_Val!$M$2*365.25))),0,1),1))</f>
        <v>#REF!</v>
      </c>
      <c r="BH495" s="29" t="e">
        <f>IF(Data!#REF!="","",IF(Data!$G495="",1,IF(ISNUMBER(MATCH(Data!#REF!,Data_Val!$D$2:$D$10,0)),0,1)))</f>
        <v>#REF!</v>
      </c>
      <c r="BI495" s="13"/>
      <c r="BJ495" s="21" t="e">
        <f ca="1">IF(Data!#REF!="","",IF(ISNUMBER(Data!#REF!),IF(AND(Data!#REF!&gt;(TODAY()-(Data_Val!$M$3*365.25)),Data!#REF!&lt;=(TODAY()-(Data_Val!$M$2*365.25))),0,1),1))</f>
        <v>#REF!</v>
      </c>
      <c r="BK495" s="13" t="e">
        <f>IF(Data!#REF!="","",IF(Data!$G495="",1,IF(ISNUMBER(MATCH(Data!#REF!,Data_Val!$D$2:$D$10,0)),0,1)))</f>
        <v>#REF!</v>
      </c>
    </row>
    <row r="496" spans="1:63" x14ac:dyDescent="0.25">
      <c r="A496" s="9" t="str">
        <f>IF(Data!B496="","",IF(COUNTIFS(Data!A$1:'Data'!A496,Data!A496)&lt;=1,0,1))</f>
        <v/>
      </c>
      <c r="B496" s="9"/>
      <c r="C496" s="23" t="str">
        <f>IF(Data!C496="","",(IF(ISNUMBER(MATCH("*@*.?*",Data!C496,0)),0,1)+IF(COUNTIFS(Data!C$1:'Data'!C496,Data!C496)&gt;1,1,0)))</f>
        <v/>
      </c>
      <c r="D496" s="9" t="str">
        <f>IF(Data!B496="","",IF(ISNUMBER(Data!D496),IF(AND(Data!D496&gt;999999999,Data!D496&lt;=9999999999),IF(COUNTIFS(Data!D$1:'Data'!D496,Data!D496)&lt;=1,0,1),1),1))</f>
        <v/>
      </c>
      <c r="E496" s="9" t="str">
        <f>IF(Data!B496="","",IF(ISNUMBER(MATCH(Data!E496,Data_Val!$A$2:$A$3,0)),0,1))</f>
        <v/>
      </c>
      <c r="F496" s="9" t="str">
        <f ca="1">IF(Data!B496="","",IF(ISNUMBER(Data!F496),IF(AND(Data!F496&gt;(TODAY()-(Data_Val!$H$3*365.25)),Data!F496&lt;=(TODAY()-(Data_Val!$H$2*365.25))),0,1),1))</f>
        <v/>
      </c>
      <c r="G496" s="15" t="str">
        <f>IF(Data!B496="","",IF(AND(Data!G496="",Data!H496&lt;&gt;""),1,IF(Data!#REF!&lt;&gt;"",0,IF(ISNUMBER(MATCH(Data!G496,Data_Val!$C$2:$C$5,0)),0,1))))</f>
        <v/>
      </c>
      <c r="H496" s="15" t="str">
        <f>IF(Data!B496="","",IF(AND(Data!G496&lt;&gt;"",Data!H496=""),1,IF(Data!#REF!&lt;&gt;"",0,IF(Data!G496="",1,IF(ISNUMBER(MATCH(Data!H496,Data_Val!$D$2:$D$35,0)),0,1)))))</f>
        <v/>
      </c>
      <c r="I496" s="15" t="str">
        <f>IF(Data!B496="","",IF(Data!G496&lt;&gt;"",0,IF(ISNUMBER(MATCH(Data!#REF!,Data_Val!$E$2:$E$12,0)),0,1)))</f>
        <v/>
      </c>
      <c r="J496" s="16" t="e">
        <f>IF(OR(Data!B496="",Data!#REF!=""),"",IF(Data!#REF!="",1,0))</f>
        <v>#REF!</v>
      </c>
      <c r="K496" s="16" t="e">
        <f>IF(OR(Data!B496="",Data!#REF!=""),"",IF(Data!#REF!="",1,0))</f>
        <v>#REF!</v>
      </c>
      <c r="L496" s="16" t="e">
        <f>IF(OR(Data!B496="",Data!#REF!=""),"",IF(ISNUMBER(Data!#REF!),IF(AND(Data!#REF!&gt;Data_Val!$G$2,Data!#REF!&lt;=Data_Val!$G$3),0,1),1))</f>
        <v>#REF!</v>
      </c>
      <c r="M496" s="9" t="e">
        <f>IF(OR(Data!B496="",Data!#REF!=""),"",IF(ISNUMBER(MATCH(Data!#REF!,Data_Val!$F$1:$F$38,0)),0,1))</f>
        <v>#REF!</v>
      </c>
      <c r="N496" s="9" t="e">
        <f>IF(OR(Data!B496="",Data!#REF!=""),"",IF(Data!#REF!="",1,0))</f>
        <v>#REF!</v>
      </c>
      <c r="O496" s="17" t="e">
        <f>IF(Data!#REF!="","",IF(Data!#REF!="",1,0))</f>
        <v>#REF!</v>
      </c>
      <c r="P496" s="17" t="e">
        <f>IF(Data!#REF!="","",IF(ISNUMBER(MATCH(Data!#REF!,Data_Val!$A$2:$A$3,0)),0,1))</f>
        <v>#REF!</v>
      </c>
      <c r="Q496" s="25" t="e">
        <f ca="1">IF(Data!#REF!="","",IF(ISNUMBER(Data!#REF!),IF(AND(Data!#REF!&gt;(TODAY()-(Data_Val!$J$3*365.25)),Data!#REF!&lt;=(TODAY()-(Data_Val!$J$2*365.25))),0,1),1))</f>
        <v>#REF!</v>
      </c>
      <c r="R496" s="17" t="e">
        <f>IF(Data!#REF!="","",IF(ISNUMBER(MATCH(Data!#REF!,Data_Val!$B$2:$B$15,0)),0,1))</f>
        <v>#REF!</v>
      </c>
      <c r="S496" s="11" t="str">
        <f>IF(Data!G496="","",IF(Data!G496=Data_Val!$C$2,IF(Data!M496="",0,1),0))</f>
        <v/>
      </c>
      <c r="T496" s="11" t="str">
        <f>IF(Data!M496="","",IF(ISNUMBER(MATCH(Data!N496,Data_Val!$A$2:$A$3,0)),0,1))</f>
        <v/>
      </c>
      <c r="U496" s="11" t="str">
        <f ca="1">IF(Data!M496="","",IF(ISNUMBER(Data!O496),IF(AND(Data!O496&gt;(TODAY()-(Data_Val!$K$3*365.25)),Data!O496&lt;=(TODAY()-(Data_Val!$K$2*365.25))),0,1),1))</f>
        <v/>
      </c>
      <c r="V496" s="12" t="str">
        <f>IF(Data!G496="","",IF(Data!G496=Data_Val!$C$2,IF(Data!P496="",0,1),0))</f>
        <v/>
      </c>
      <c r="W496" s="12" t="str">
        <f>IF(Data!P496="","",IF(ISNUMBER(MATCH(Data!Q496,Data_Val!$A$2:$A$3,0)),0,1))</f>
        <v/>
      </c>
      <c r="X496" s="26" t="str">
        <f ca="1">IF(Data!P496="","",IF(ISNUMBER(Data!R496),IF(AND(Data!R496&gt;(TODAY()-(Data_Val!$L$3*365.25)),Data!R496&lt;=(TODAY()-(Data_Val!$L$2*365.25))),0,1),1))</f>
        <v/>
      </c>
      <c r="Y496" s="13" t="str">
        <f>IF(Data!$G496="","",IF(Data!$G496=Data_Val!$C$2,IF(Data!S496="",0,1),0))</f>
        <v/>
      </c>
      <c r="Z496" s="13" t="str">
        <f>IF(Data!S496="","",IF(ISNUMBER(MATCH(Data!T496,Data_Val!$A$2:$A$3,0)),0,1))</f>
        <v/>
      </c>
      <c r="AA496" s="28" t="str">
        <f ca="1">IF(Data!S496="","",IF(ISNUMBER(Data!U496),IF(AND(Data!U496&gt;(TODAY()-(Data_Val!$L$3*365.25)),Data!U496&lt;=(TODAY()-(Data_Val!$L$2*365.25))),0,1),1))</f>
        <v/>
      </c>
      <c r="AB496" s="11"/>
      <c r="AC496" s="11" t="e">
        <f>IF(Data!#REF!="","",IF(ISNUMBER(MATCH(Data!#REF!,Data_Val!$A$2:$A$3,0)),0,1))</f>
        <v>#REF!</v>
      </c>
      <c r="AD496" s="11" t="e">
        <f ca="1">IF(Data!#REF!="","",IF(ISNUMBER(Data!#REF!),IF(AND(Data!#REF!&gt;(TODAY()-(Data_Val!$L$3*365.25)),Data!#REF!&lt;=(TODAY()-(Data_Val!$L$2*365.25))),0,1),1))</f>
        <v>#REF!</v>
      </c>
      <c r="AE496" s="11" t="e">
        <f>IF(Data!#REF!="","",IF(Data!$G496="",1,IF(ISNUMBER(MATCH(Data!#REF!,Data_Val!$D$2:$D$10,0)),0,1)))</f>
        <v>#REF!</v>
      </c>
      <c r="AF496" s="12"/>
      <c r="AG496" s="12" t="e">
        <f>IF(Data!#REF!="","",IF(ISNUMBER(MATCH(Data!#REF!,Data_Val!$A$2:$A$3,0)),0,1))</f>
        <v>#REF!</v>
      </c>
      <c r="AH496" s="26" t="e">
        <f ca="1">IF(Data!#REF!="","",IF(ISNUMBER(Data!#REF!),IF(AND(Data!#REF!&gt;(TODAY()-(Data_Val!$L$3*365.25)),Data!#REF!&lt;=(TODAY()-(Data_Val!$L$2*365.25))),0,1),1))</f>
        <v>#REF!</v>
      </c>
      <c r="AI496" s="12" t="e">
        <f>IF(Data!#REF!="","",IF(Data!$G496="",1,IF(ISNUMBER(MATCH(Data!#REF!,Data_Val!$D$2:$D$10,0)),0,1)))</f>
        <v>#REF!</v>
      </c>
      <c r="AJ496" s="17"/>
      <c r="AK496" s="17" t="e">
        <f>IF(Data!#REF!="","",IF(ISNUMBER(MATCH(Data!#REF!,Data_Val!$A$2:$A$3,0)),0,1))</f>
        <v>#REF!</v>
      </c>
      <c r="AL496" s="25" t="e">
        <f ca="1">IF(Data!#REF!="","",IF(ISNUMBER(Data!#REF!),IF(AND(Data!#REF!&gt;(TODAY()-(Data_Val!$L$3*365.25)),Data!#REF!&lt;=(TODAY()-(Data_Val!$L$2*365.25))),0,1),1))</f>
        <v>#REF!</v>
      </c>
      <c r="AM496" s="17" t="e">
        <f>IF(Data!#REF!="","",IF(Data!$G496="",1,IF(ISNUMBER(MATCH(Data!#REF!,Data_Val!$D$2:$D$10,0)),0,1)))</f>
        <v>#REF!</v>
      </c>
      <c r="AN496" s="13"/>
      <c r="AO496" s="28" t="e">
        <f ca="1">IF(Data!#REF!="","",IF(ISNUMBER(Data!#REF!),IF(AND(Data!#REF!&gt;(TODAY()-(Data_Val!$I$3*365.25)),Data!#REF!&lt;=(TODAY()-(Data_Val!$I$2*365.25))),0,1),1))</f>
        <v>#REF!</v>
      </c>
      <c r="AP496" s="13" t="e">
        <f>IF(Data!#REF!="","",IF(Data!$G496="",1,IF(ISNUMBER(MATCH(Data!#REF!,Data_Val!$D$2:$D$10,0)),0,1)))</f>
        <v>#REF!</v>
      </c>
      <c r="AQ496" s="17"/>
      <c r="AR496" s="30" t="e">
        <f ca="1">IF(Data!#REF!="","",IF(ISNUMBER(Data!#REF!),IF(AND(Data!#REF!&gt;(TODAY()-(Data_Val!$I$3*365.25)),Data!#REF!&lt;=(TODAY()-(Data_Val!$I$2*365.25))),0,1),1))</f>
        <v>#REF!</v>
      </c>
      <c r="AS496" s="31" t="e">
        <f>IF(Data!#REF!="","",IF(Data!$G496="",1,IF(ISNUMBER(MATCH(Data!#REF!,Data_Val!$D$2:$D$10,0)),0,1)))</f>
        <v>#REF!</v>
      </c>
      <c r="AT496" s="11"/>
      <c r="AU496" s="11" t="e">
        <f ca="1">IF(Data!#REF!="","",IF(ISNUMBER(Data!#REF!),IF(AND(Data!#REF!&gt;(TODAY()-(Data_Val!$I$3*365.25)),Data!#REF!&lt;=(TODAY()-(Data_Val!$I$2*365.25))),0,1),1))</f>
        <v>#REF!</v>
      </c>
      <c r="AV496" s="11" t="e">
        <f>IF(Data!#REF!="","",IF(Data!$G496="",1,IF(ISNUMBER(MATCH(Data!#REF!,Data_Val!$D$2:$D$10,0)),0,1)))</f>
        <v>#REF!</v>
      </c>
      <c r="AW496" s="12"/>
      <c r="AX496" s="26" t="e">
        <f ca="1">IF(Data!#REF!="","",IF(ISNUMBER(Data!#REF!),IF(AND(Data!#REF!&gt;(TODAY()-(Data_Val!$I$3*365.25)),Data!#REF!&lt;=(TODAY()-(Data_Val!$I$2*365.25))),0,1),1))</f>
        <v>#REF!</v>
      </c>
      <c r="AY496" s="12" t="e">
        <f>IF(Data!#REF!="","",IF(Data!$G496="",1,IF(ISNUMBER(MATCH(Data!#REF!,Data_Val!$D$2:$D$10,0)),0,1)))</f>
        <v>#REF!</v>
      </c>
      <c r="AZ496" s="11"/>
      <c r="BA496" s="19" t="e">
        <f ca="1">IF(Data!#REF!="","",IF(ISNUMBER(Data!#REF!),IF(AND(Data!#REF!&gt;(TODAY()-(Data_Val!$M$3*365.25)),Data!#REF!&lt;=(TODAY()-(Data_Val!$M$2*365.25))),0,1),1))</f>
        <v>#REF!</v>
      </c>
      <c r="BB496" s="11" t="e">
        <f>IF(Data!#REF!="","",IF(Data!$G496="",1,IF(ISNUMBER(MATCH(Data!#REF!,Data_Val!$D$2:$D$10,0)),0,1)))</f>
        <v>#REF!</v>
      </c>
      <c r="BC496" s="12"/>
      <c r="BD496" s="20" t="e">
        <f ca="1">IF(Data!#REF!="","",IF(ISNUMBER(Data!#REF!),IF(AND(Data!#REF!&gt;(TODAY()-(Data_Val!$M$3*365.25)),Data!#REF!&lt;=(TODAY()-(Data_Val!$M$2*365.25))),0,1),1))</f>
        <v>#REF!</v>
      </c>
      <c r="BE496" s="12" t="e">
        <f>IF(Data!#REF!="","",IF(Data!$G496="",1,IF(ISNUMBER(MATCH(Data!#REF!,Data_Val!$D$2:$D$10,0)),0,1)))</f>
        <v>#REF!</v>
      </c>
      <c r="BF496" s="17"/>
      <c r="BG496" s="18" t="e">
        <f ca="1">IF(Data!#REF!="","",IF(ISNUMBER(Data!#REF!),IF(AND(Data!#REF!&gt;(TODAY()-(Data_Val!$M$3*365.25)),Data!#REF!&lt;=(TODAY()-(Data_Val!$M$2*365.25))),0,1),1))</f>
        <v>#REF!</v>
      </c>
      <c r="BH496" s="29" t="e">
        <f>IF(Data!#REF!="","",IF(Data!$G496="",1,IF(ISNUMBER(MATCH(Data!#REF!,Data_Val!$D$2:$D$10,0)),0,1)))</f>
        <v>#REF!</v>
      </c>
      <c r="BI496" s="13"/>
      <c r="BJ496" s="21" t="e">
        <f ca="1">IF(Data!#REF!="","",IF(ISNUMBER(Data!#REF!),IF(AND(Data!#REF!&gt;(TODAY()-(Data_Val!$M$3*365.25)),Data!#REF!&lt;=(TODAY()-(Data_Val!$M$2*365.25))),0,1),1))</f>
        <v>#REF!</v>
      </c>
      <c r="BK496" s="13" t="e">
        <f>IF(Data!#REF!="","",IF(Data!$G496="",1,IF(ISNUMBER(MATCH(Data!#REF!,Data_Val!$D$2:$D$10,0)),0,1)))</f>
        <v>#REF!</v>
      </c>
    </row>
    <row r="497" spans="1:63" x14ac:dyDescent="0.25">
      <c r="A497" s="9" t="str">
        <f>IF(Data!B497="","",IF(COUNTIFS(Data!A$1:'Data'!A497,Data!A497)&lt;=1,0,1))</f>
        <v/>
      </c>
      <c r="B497" s="9"/>
      <c r="C497" s="23" t="str">
        <f>IF(Data!C497="","",(IF(ISNUMBER(MATCH("*@*.?*",Data!C497,0)),0,1)+IF(COUNTIFS(Data!C$1:'Data'!C497,Data!C497)&gt;1,1,0)))</f>
        <v/>
      </c>
      <c r="D497" s="9" t="str">
        <f>IF(Data!B497="","",IF(ISNUMBER(Data!D497),IF(AND(Data!D497&gt;999999999,Data!D497&lt;=9999999999),IF(COUNTIFS(Data!D$1:'Data'!D497,Data!D497)&lt;=1,0,1),1),1))</f>
        <v/>
      </c>
      <c r="E497" s="9" t="str">
        <f>IF(Data!B497="","",IF(ISNUMBER(MATCH(Data!E497,Data_Val!$A$2:$A$3,0)),0,1))</f>
        <v/>
      </c>
      <c r="F497" s="9" t="str">
        <f ca="1">IF(Data!B497="","",IF(ISNUMBER(Data!F497),IF(AND(Data!F497&gt;(TODAY()-(Data_Val!$H$3*365.25)),Data!F497&lt;=(TODAY()-(Data_Val!$H$2*365.25))),0,1),1))</f>
        <v/>
      </c>
      <c r="G497" s="15" t="str">
        <f>IF(Data!B497="","",IF(AND(Data!G497="",Data!H497&lt;&gt;""),1,IF(Data!#REF!&lt;&gt;"",0,IF(ISNUMBER(MATCH(Data!G497,Data_Val!$C$2:$C$5,0)),0,1))))</f>
        <v/>
      </c>
      <c r="H497" s="15" t="str">
        <f>IF(Data!B497="","",IF(AND(Data!G497&lt;&gt;"",Data!H497=""),1,IF(Data!#REF!&lt;&gt;"",0,IF(Data!G497="",1,IF(ISNUMBER(MATCH(Data!H497,Data_Val!$D$2:$D$35,0)),0,1)))))</f>
        <v/>
      </c>
      <c r="I497" s="15" t="str">
        <f>IF(Data!B497="","",IF(Data!G497&lt;&gt;"",0,IF(ISNUMBER(MATCH(Data!#REF!,Data_Val!$E$2:$E$12,0)),0,1)))</f>
        <v/>
      </c>
      <c r="J497" s="16" t="e">
        <f>IF(OR(Data!B497="",Data!#REF!=""),"",IF(Data!#REF!="",1,0))</f>
        <v>#REF!</v>
      </c>
      <c r="K497" s="16" t="e">
        <f>IF(OR(Data!B497="",Data!#REF!=""),"",IF(Data!#REF!="",1,0))</f>
        <v>#REF!</v>
      </c>
      <c r="L497" s="16" t="e">
        <f>IF(OR(Data!B497="",Data!#REF!=""),"",IF(ISNUMBER(Data!#REF!),IF(AND(Data!#REF!&gt;Data_Val!$G$2,Data!#REF!&lt;=Data_Val!$G$3),0,1),1))</f>
        <v>#REF!</v>
      </c>
      <c r="M497" s="9" t="e">
        <f>IF(OR(Data!B497="",Data!#REF!=""),"",IF(ISNUMBER(MATCH(Data!#REF!,Data_Val!$F$1:$F$38,0)),0,1))</f>
        <v>#REF!</v>
      </c>
      <c r="N497" s="9" t="e">
        <f>IF(OR(Data!B497="",Data!#REF!=""),"",IF(Data!#REF!="",1,0))</f>
        <v>#REF!</v>
      </c>
      <c r="O497" s="17" t="e">
        <f>IF(Data!#REF!="","",IF(Data!#REF!="",1,0))</f>
        <v>#REF!</v>
      </c>
      <c r="P497" s="17" t="e">
        <f>IF(Data!#REF!="","",IF(ISNUMBER(MATCH(Data!#REF!,Data_Val!$A$2:$A$3,0)),0,1))</f>
        <v>#REF!</v>
      </c>
      <c r="Q497" s="25" t="e">
        <f ca="1">IF(Data!#REF!="","",IF(ISNUMBER(Data!#REF!),IF(AND(Data!#REF!&gt;(TODAY()-(Data_Val!$J$3*365.25)),Data!#REF!&lt;=(TODAY()-(Data_Val!$J$2*365.25))),0,1),1))</f>
        <v>#REF!</v>
      </c>
      <c r="R497" s="17" t="e">
        <f>IF(Data!#REF!="","",IF(ISNUMBER(MATCH(Data!#REF!,Data_Val!$B$2:$B$15,0)),0,1))</f>
        <v>#REF!</v>
      </c>
      <c r="S497" s="11" t="str">
        <f>IF(Data!G497="","",IF(Data!G497=Data_Val!$C$2,IF(Data!M497="",0,1),0))</f>
        <v/>
      </c>
      <c r="T497" s="11" t="str">
        <f>IF(Data!M497="","",IF(ISNUMBER(MATCH(Data!N497,Data_Val!$A$2:$A$3,0)),0,1))</f>
        <v/>
      </c>
      <c r="U497" s="11" t="str">
        <f ca="1">IF(Data!M497="","",IF(ISNUMBER(Data!O497),IF(AND(Data!O497&gt;(TODAY()-(Data_Val!$K$3*365.25)),Data!O497&lt;=(TODAY()-(Data_Val!$K$2*365.25))),0,1),1))</f>
        <v/>
      </c>
      <c r="V497" s="12" t="str">
        <f>IF(Data!G497="","",IF(Data!G497=Data_Val!$C$2,IF(Data!P497="",0,1),0))</f>
        <v/>
      </c>
      <c r="W497" s="12" t="str">
        <f>IF(Data!P497="","",IF(ISNUMBER(MATCH(Data!Q497,Data_Val!$A$2:$A$3,0)),0,1))</f>
        <v/>
      </c>
      <c r="X497" s="26" t="str">
        <f ca="1">IF(Data!P497="","",IF(ISNUMBER(Data!R497),IF(AND(Data!R497&gt;(TODAY()-(Data_Val!$L$3*365.25)),Data!R497&lt;=(TODAY()-(Data_Val!$L$2*365.25))),0,1),1))</f>
        <v/>
      </c>
      <c r="Y497" s="13" t="str">
        <f>IF(Data!$G497="","",IF(Data!$G497=Data_Val!$C$2,IF(Data!S497="",0,1),0))</f>
        <v/>
      </c>
      <c r="Z497" s="13" t="str">
        <f>IF(Data!S497="","",IF(ISNUMBER(MATCH(Data!T497,Data_Val!$A$2:$A$3,0)),0,1))</f>
        <v/>
      </c>
      <c r="AA497" s="28" t="str">
        <f ca="1">IF(Data!S497="","",IF(ISNUMBER(Data!U497),IF(AND(Data!U497&gt;(TODAY()-(Data_Val!$L$3*365.25)),Data!U497&lt;=(TODAY()-(Data_Val!$L$2*365.25))),0,1),1))</f>
        <v/>
      </c>
      <c r="AB497" s="11"/>
      <c r="AC497" s="11" t="e">
        <f>IF(Data!#REF!="","",IF(ISNUMBER(MATCH(Data!#REF!,Data_Val!$A$2:$A$3,0)),0,1))</f>
        <v>#REF!</v>
      </c>
      <c r="AD497" s="11" t="e">
        <f ca="1">IF(Data!#REF!="","",IF(ISNUMBER(Data!#REF!),IF(AND(Data!#REF!&gt;(TODAY()-(Data_Val!$L$3*365.25)),Data!#REF!&lt;=(TODAY()-(Data_Val!$L$2*365.25))),0,1),1))</f>
        <v>#REF!</v>
      </c>
      <c r="AE497" s="11" t="e">
        <f>IF(Data!#REF!="","",IF(Data!$G497="",1,IF(ISNUMBER(MATCH(Data!#REF!,Data_Val!$D$2:$D$10,0)),0,1)))</f>
        <v>#REF!</v>
      </c>
      <c r="AF497" s="12"/>
      <c r="AG497" s="12" t="e">
        <f>IF(Data!#REF!="","",IF(ISNUMBER(MATCH(Data!#REF!,Data_Val!$A$2:$A$3,0)),0,1))</f>
        <v>#REF!</v>
      </c>
      <c r="AH497" s="26" t="e">
        <f ca="1">IF(Data!#REF!="","",IF(ISNUMBER(Data!#REF!),IF(AND(Data!#REF!&gt;(TODAY()-(Data_Val!$L$3*365.25)),Data!#REF!&lt;=(TODAY()-(Data_Val!$L$2*365.25))),0,1),1))</f>
        <v>#REF!</v>
      </c>
      <c r="AI497" s="12" t="e">
        <f>IF(Data!#REF!="","",IF(Data!$G497="",1,IF(ISNUMBER(MATCH(Data!#REF!,Data_Val!$D$2:$D$10,0)),0,1)))</f>
        <v>#REF!</v>
      </c>
      <c r="AJ497" s="17"/>
      <c r="AK497" s="17" t="e">
        <f>IF(Data!#REF!="","",IF(ISNUMBER(MATCH(Data!#REF!,Data_Val!$A$2:$A$3,0)),0,1))</f>
        <v>#REF!</v>
      </c>
      <c r="AL497" s="25" t="e">
        <f ca="1">IF(Data!#REF!="","",IF(ISNUMBER(Data!#REF!),IF(AND(Data!#REF!&gt;(TODAY()-(Data_Val!$L$3*365.25)),Data!#REF!&lt;=(TODAY()-(Data_Val!$L$2*365.25))),0,1),1))</f>
        <v>#REF!</v>
      </c>
      <c r="AM497" s="17" t="e">
        <f>IF(Data!#REF!="","",IF(Data!$G497="",1,IF(ISNUMBER(MATCH(Data!#REF!,Data_Val!$D$2:$D$10,0)),0,1)))</f>
        <v>#REF!</v>
      </c>
      <c r="AN497" s="13"/>
      <c r="AO497" s="28" t="e">
        <f ca="1">IF(Data!#REF!="","",IF(ISNUMBER(Data!#REF!),IF(AND(Data!#REF!&gt;(TODAY()-(Data_Val!$I$3*365.25)),Data!#REF!&lt;=(TODAY()-(Data_Val!$I$2*365.25))),0,1),1))</f>
        <v>#REF!</v>
      </c>
      <c r="AP497" s="13" t="e">
        <f>IF(Data!#REF!="","",IF(Data!$G497="",1,IF(ISNUMBER(MATCH(Data!#REF!,Data_Val!$D$2:$D$10,0)),0,1)))</f>
        <v>#REF!</v>
      </c>
      <c r="AQ497" s="17"/>
      <c r="AR497" s="30" t="e">
        <f ca="1">IF(Data!#REF!="","",IF(ISNUMBER(Data!#REF!),IF(AND(Data!#REF!&gt;(TODAY()-(Data_Val!$I$3*365.25)),Data!#REF!&lt;=(TODAY()-(Data_Val!$I$2*365.25))),0,1),1))</f>
        <v>#REF!</v>
      </c>
      <c r="AS497" s="31" t="e">
        <f>IF(Data!#REF!="","",IF(Data!$G497="",1,IF(ISNUMBER(MATCH(Data!#REF!,Data_Val!$D$2:$D$10,0)),0,1)))</f>
        <v>#REF!</v>
      </c>
      <c r="AT497" s="11"/>
      <c r="AU497" s="11" t="e">
        <f ca="1">IF(Data!#REF!="","",IF(ISNUMBER(Data!#REF!),IF(AND(Data!#REF!&gt;(TODAY()-(Data_Val!$I$3*365.25)),Data!#REF!&lt;=(TODAY()-(Data_Val!$I$2*365.25))),0,1),1))</f>
        <v>#REF!</v>
      </c>
      <c r="AV497" s="11" t="e">
        <f>IF(Data!#REF!="","",IF(Data!$G497="",1,IF(ISNUMBER(MATCH(Data!#REF!,Data_Val!$D$2:$D$10,0)),0,1)))</f>
        <v>#REF!</v>
      </c>
      <c r="AW497" s="12"/>
      <c r="AX497" s="26" t="e">
        <f ca="1">IF(Data!#REF!="","",IF(ISNUMBER(Data!#REF!),IF(AND(Data!#REF!&gt;(TODAY()-(Data_Val!$I$3*365.25)),Data!#REF!&lt;=(TODAY()-(Data_Val!$I$2*365.25))),0,1),1))</f>
        <v>#REF!</v>
      </c>
      <c r="AY497" s="12" t="e">
        <f>IF(Data!#REF!="","",IF(Data!$G497="",1,IF(ISNUMBER(MATCH(Data!#REF!,Data_Val!$D$2:$D$10,0)),0,1)))</f>
        <v>#REF!</v>
      </c>
      <c r="AZ497" s="11"/>
      <c r="BA497" s="19" t="e">
        <f ca="1">IF(Data!#REF!="","",IF(ISNUMBER(Data!#REF!),IF(AND(Data!#REF!&gt;(TODAY()-(Data_Val!$M$3*365.25)),Data!#REF!&lt;=(TODAY()-(Data_Val!$M$2*365.25))),0,1),1))</f>
        <v>#REF!</v>
      </c>
      <c r="BB497" s="11" t="e">
        <f>IF(Data!#REF!="","",IF(Data!$G497="",1,IF(ISNUMBER(MATCH(Data!#REF!,Data_Val!$D$2:$D$10,0)),0,1)))</f>
        <v>#REF!</v>
      </c>
      <c r="BC497" s="12"/>
      <c r="BD497" s="20" t="e">
        <f ca="1">IF(Data!#REF!="","",IF(ISNUMBER(Data!#REF!),IF(AND(Data!#REF!&gt;(TODAY()-(Data_Val!$M$3*365.25)),Data!#REF!&lt;=(TODAY()-(Data_Val!$M$2*365.25))),0,1),1))</f>
        <v>#REF!</v>
      </c>
      <c r="BE497" s="12" t="e">
        <f>IF(Data!#REF!="","",IF(Data!$G497="",1,IF(ISNUMBER(MATCH(Data!#REF!,Data_Val!$D$2:$D$10,0)),0,1)))</f>
        <v>#REF!</v>
      </c>
      <c r="BF497" s="17"/>
      <c r="BG497" s="18" t="e">
        <f ca="1">IF(Data!#REF!="","",IF(ISNUMBER(Data!#REF!),IF(AND(Data!#REF!&gt;(TODAY()-(Data_Val!$M$3*365.25)),Data!#REF!&lt;=(TODAY()-(Data_Val!$M$2*365.25))),0,1),1))</f>
        <v>#REF!</v>
      </c>
      <c r="BH497" s="29" t="e">
        <f>IF(Data!#REF!="","",IF(Data!$G497="",1,IF(ISNUMBER(MATCH(Data!#REF!,Data_Val!$D$2:$D$10,0)),0,1)))</f>
        <v>#REF!</v>
      </c>
      <c r="BI497" s="13"/>
      <c r="BJ497" s="21" t="e">
        <f ca="1">IF(Data!#REF!="","",IF(ISNUMBER(Data!#REF!),IF(AND(Data!#REF!&gt;(TODAY()-(Data_Val!$M$3*365.25)),Data!#REF!&lt;=(TODAY()-(Data_Val!$M$2*365.25))),0,1),1))</f>
        <v>#REF!</v>
      </c>
      <c r="BK497" s="13" t="e">
        <f>IF(Data!#REF!="","",IF(Data!$G497="",1,IF(ISNUMBER(MATCH(Data!#REF!,Data_Val!$D$2:$D$10,0)),0,1)))</f>
        <v>#REF!</v>
      </c>
    </row>
    <row r="498" spans="1:63" x14ac:dyDescent="0.25">
      <c r="A498" s="9" t="str">
        <f>IF(Data!B498="","",IF(COUNTIFS(Data!A$1:'Data'!A498,Data!A498)&lt;=1,0,1))</f>
        <v/>
      </c>
      <c r="B498" s="9"/>
      <c r="C498" s="23" t="str">
        <f>IF(Data!C498="","",(IF(ISNUMBER(MATCH("*@*.?*",Data!C498,0)),0,1)+IF(COUNTIFS(Data!C$1:'Data'!C498,Data!C498)&gt;1,1,0)))</f>
        <v/>
      </c>
      <c r="D498" s="9" t="str">
        <f>IF(Data!B498="","",IF(ISNUMBER(Data!D498),IF(AND(Data!D498&gt;999999999,Data!D498&lt;=9999999999),IF(COUNTIFS(Data!D$1:'Data'!D498,Data!D498)&lt;=1,0,1),1),1))</f>
        <v/>
      </c>
      <c r="E498" s="9" t="str">
        <f>IF(Data!B498="","",IF(ISNUMBER(MATCH(Data!E498,Data_Val!$A$2:$A$3,0)),0,1))</f>
        <v/>
      </c>
      <c r="F498" s="9" t="str">
        <f ca="1">IF(Data!B498="","",IF(ISNUMBER(Data!F498),IF(AND(Data!F498&gt;(TODAY()-(Data_Val!$H$3*365.25)),Data!F498&lt;=(TODAY()-(Data_Val!$H$2*365.25))),0,1),1))</f>
        <v/>
      </c>
      <c r="G498" s="15" t="str">
        <f>IF(Data!B498="","",IF(AND(Data!G498="",Data!H498&lt;&gt;""),1,IF(Data!#REF!&lt;&gt;"",0,IF(ISNUMBER(MATCH(Data!G498,Data_Val!$C$2:$C$5,0)),0,1))))</f>
        <v/>
      </c>
      <c r="H498" s="15" t="str">
        <f>IF(Data!B498="","",IF(AND(Data!G498&lt;&gt;"",Data!H498=""),1,IF(Data!#REF!&lt;&gt;"",0,IF(Data!G498="",1,IF(ISNUMBER(MATCH(Data!H498,Data_Val!$D$2:$D$35,0)),0,1)))))</f>
        <v/>
      </c>
      <c r="I498" s="15" t="str">
        <f>IF(Data!B498="","",IF(Data!G498&lt;&gt;"",0,IF(ISNUMBER(MATCH(Data!#REF!,Data_Val!$E$2:$E$12,0)),0,1)))</f>
        <v/>
      </c>
      <c r="J498" s="16" t="e">
        <f>IF(OR(Data!B498="",Data!#REF!=""),"",IF(Data!#REF!="",1,0))</f>
        <v>#REF!</v>
      </c>
      <c r="K498" s="16" t="e">
        <f>IF(OR(Data!B498="",Data!#REF!=""),"",IF(Data!#REF!="",1,0))</f>
        <v>#REF!</v>
      </c>
      <c r="L498" s="16" t="e">
        <f>IF(OR(Data!B498="",Data!#REF!=""),"",IF(ISNUMBER(Data!#REF!),IF(AND(Data!#REF!&gt;Data_Val!$G$2,Data!#REF!&lt;=Data_Val!$G$3),0,1),1))</f>
        <v>#REF!</v>
      </c>
      <c r="M498" s="9" t="e">
        <f>IF(OR(Data!B498="",Data!#REF!=""),"",IF(ISNUMBER(MATCH(Data!#REF!,Data_Val!$F$1:$F$38,0)),0,1))</f>
        <v>#REF!</v>
      </c>
      <c r="N498" s="9" t="e">
        <f>IF(OR(Data!B498="",Data!#REF!=""),"",IF(Data!#REF!="",1,0))</f>
        <v>#REF!</v>
      </c>
      <c r="O498" s="17" t="e">
        <f>IF(Data!#REF!="","",IF(Data!#REF!="",1,0))</f>
        <v>#REF!</v>
      </c>
      <c r="P498" s="17" t="e">
        <f>IF(Data!#REF!="","",IF(ISNUMBER(MATCH(Data!#REF!,Data_Val!$A$2:$A$3,0)),0,1))</f>
        <v>#REF!</v>
      </c>
      <c r="Q498" s="25" t="e">
        <f ca="1">IF(Data!#REF!="","",IF(ISNUMBER(Data!#REF!),IF(AND(Data!#REF!&gt;(TODAY()-(Data_Val!$J$3*365.25)),Data!#REF!&lt;=(TODAY()-(Data_Val!$J$2*365.25))),0,1),1))</f>
        <v>#REF!</v>
      </c>
      <c r="R498" s="17" t="e">
        <f>IF(Data!#REF!="","",IF(ISNUMBER(MATCH(Data!#REF!,Data_Val!$B$2:$B$15,0)),0,1))</f>
        <v>#REF!</v>
      </c>
      <c r="S498" s="11" t="str">
        <f>IF(Data!G498="","",IF(Data!G498=Data_Val!$C$2,IF(Data!M498="",0,1),0))</f>
        <v/>
      </c>
      <c r="T498" s="11" t="str">
        <f>IF(Data!M498="","",IF(ISNUMBER(MATCH(Data!N498,Data_Val!$A$2:$A$3,0)),0,1))</f>
        <v/>
      </c>
      <c r="U498" s="11" t="str">
        <f ca="1">IF(Data!M498="","",IF(ISNUMBER(Data!O498),IF(AND(Data!O498&gt;(TODAY()-(Data_Val!$K$3*365.25)),Data!O498&lt;=(TODAY()-(Data_Val!$K$2*365.25))),0,1),1))</f>
        <v/>
      </c>
      <c r="V498" s="12" t="str">
        <f>IF(Data!G498="","",IF(Data!G498=Data_Val!$C$2,IF(Data!P498="",0,1),0))</f>
        <v/>
      </c>
      <c r="W498" s="12" t="str">
        <f>IF(Data!P498="","",IF(ISNUMBER(MATCH(Data!Q498,Data_Val!$A$2:$A$3,0)),0,1))</f>
        <v/>
      </c>
      <c r="X498" s="26" t="str">
        <f ca="1">IF(Data!P498="","",IF(ISNUMBER(Data!R498),IF(AND(Data!R498&gt;(TODAY()-(Data_Val!$L$3*365.25)),Data!R498&lt;=(TODAY()-(Data_Val!$L$2*365.25))),0,1),1))</f>
        <v/>
      </c>
      <c r="Y498" s="13" t="str">
        <f>IF(Data!$G498="","",IF(Data!$G498=Data_Val!$C$2,IF(Data!S498="",0,1),0))</f>
        <v/>
      </c>
      <c r="Z498" s="13" t="str">
        <f>IF(Data!S498="","",IF(ISNUMBER(MATCH(Data!T498,Data_Val!$A$2:$A$3,0)),0,1))</f>
        <v/>
      </c>
      <c r="AA498" s="28" t="str">
        <f ca="1">IF(Data!S498="","",IF(ISNUMBER(Data!U498),IF(AND(Data!U498&gt;(TODAY()-(Data_Val!$L$3*365.25)),Data!U498&lt;=(TODAY()-(Data_Val!$L$2*365.25))),0,1),1))</f>
        <v/>
      </c>
      <c r="AB498" s="11"/>
      <c r="AC498" s="11" t="e">
        <f>IF(Data!#REF!="","",IF(ISNUMBER(MATCH(Data!#REF!,Data_Val!$A$2:$A$3,0)),0,1))</f>
        <v>#REF!</v>
      </c>
      <c r="AD498" s="11" t="e">
        <f ca="1">IF(Data!#REF!="","",IF(ISNUMBER(Data!#REF!),IF(AND(Data!#REF!&gt;(TODAY()-(Data_Val!$L$3*365.25)),Data!#REF!&lt;=(TODAY()-(Data_Val!$L$2*365.25))),0,1),1))</f>
        <v>#REF!</v>
      </c>
      <c r="AE498" s="11" t="e">
        <f>IF(Data!#REF!="","",IF(Data!$G498="",1,IF(ISNUMBER(MATCH(Data!#REF!,Data_Val!$D$2:$D$10,0)),0,1)))</f>
        <v>#REF!</v>
      </c>
      <c r="AF498" s="12"/>
      <c r="AG498" s="12" t="e">
        <f>IF(Data!#REF!="","",IF(ISNUMBER(MATCH(Data!#REF!,Data_Val!$A$2:$A$3,0)),0,1))</f>
        <v>#REF!</v>
      </c>
      <c r="AH498" s="26" t="e">
        <f ca="1">IF(Data!#REF!="","",IF(ISNUMBER(Data!#REF!),IF(AND(Data!#REF!&gt;(TODAY()-(Data_Val!$L$3*365.25)),Data!#REF!&lt;=(TODAY()-(Data_Val!$L$2*365.25))),0,1),1))</f>
        <v>#REF!</v>
      </c>
      <c r="AI498" s="12" t="e">
        <f>IF(Data!#REF!="","",IF(Data!$G498="",1,IF(ISNUMBER(MATCH(Data!#REF!,Data_Val!$D$2:$D$10,0)),0,1)))</f>
        <v>#REF!</v>
      </c>
      <c r="AJ498" s="17"/>
      <c r="AK498" s="17" t="e">
        <f>IF(Data!#REF!="","",IF(ISNUMBER(MATCH(Data!#REF!,Data_Val!$A$2:$A$3,0)),0,1))</f>
        <v>#REF!</v>
      </c>
      <c r="AL498" s="25" t="e">
        <f ca="1">IF(Data!#REF!="","",IF(ISNUMBER(Data!#REF!),IF(AND(Data!#REF!&gt;(TODAY()-(Data_Val!$L$3*365.25)),Data!#REF!&lt;=(TODAY()-(Data_Val!$L$2*365.25))),0,1),1))</f>
        <v>#REF!</v>
      </c>
      <c r="AM498" s="17" t="e">
        <f>IF(Data!#REF!="","",IF(Data!$G498="",1,IF(ISNUMBER(MATCH(Data!#REF!,Data_Val!$D$2:$D$10,0)),0,1)))</f>
        <v>#REF!</v>
      </c>
      <c r="AN498" s="13"/>
      <c r="AO498" s="28" t="e">
        <f ca="1">IF(Data!#REF!="","",IF(ISNUMBER(Data!#REF!),IF(AND(Data!#REF!&gt;(TODAY()-(Data_Val!$I$3*365.25)),Data!#REF!&lt;=(TODAY()-(Data_Val!$I$2*365.25))),0,1),1))</f>
        <v>#REF!</v>
      </c>
      <c r="AP498" s="13" t="e">
        <f>IF(Data!#REF!="","",IF(Data!$G498="",1,IF(ISNUMBER(MATCH(Data!#REF!,Data_Val!$D$2:$D$10,0)),0,1)))</f>
        <v>#REF!</v>
      </c>
      <c r="AQ498" s="17"/>
      <c r="AR498" s="30" t="e">
        <f ca="1">IF(Data!#REF!="","",IF(ISNUMBER(Data!#REF!),IF(AND(Data!#REF!&gt;(TODAY()-(Data_Val!$I$3*365.25)),Data!#REF!&lt;=(TODAY()-(Data_Val!$I$2*365.25))),0,1),1))</f>
        <v>#REF!</v>
      </c>
      <c r="AS498" s="31" t="e">
        <f>IF(Data!#REF!="","",IF(Data!$G498="",1,IF(ISNUMBER(MATCH(Data!#REF!,Data_Val!$D$2:$D$10,0)),0,1)))</f>
        <v>#REF!</v>
      </c>
      <c r="AT498" s="11"/>
      <c r="AU498" s="11" t="e">
        <f ca="1">IF(Data!#REF!="","",IF(ISNUMBER(Data!#REF!),IF(AND(Data!#REF!&gt;(TODAY()-(Data_Val!$I$3*365.25)),Data!#REF!&lt;=(TODAY()-(Data_Val!$I$2*365.25))),0,1),1))</f>
        <v>#REF!</v>
      </c>
      <c r="AV498" s="11" t="e">
        <f>IF(Data!#REF!="","",IF(Data!$G498="",1,IF(ISNUMBER(MATCH(Data!#REF!,Data_Val!$D$2:$D$10,0)),0,1)))</f>
        <v>#REF!</v>
      </c>
      <c r="AW498" s="12"/>
      <c r="AX498" s="26" t="e">
        <f ca="1">IF(Data!#REF!="","",IF(ISNUMBER(Data!#REF!),IF(AND(Data!#REF!&gt;(TODAY()-(Data_Val!$I$3*365.25)),Data!#REF!&lt;=(TODAY()-(Data_Val!$I$2*365.25))),0,1),1))</f>
        <v>#REF!</v>
      </c>
      <c r="AY498" s="12" t="e">
        <f>IF(Data!#REF!="","",IF(Data!$G498="",1,IF(ISNUMBER(MATCH(Data!#REF!,Data_Val!$D$2:$D$10,0)),0,1)))</f>
        <v>#REF!</v>
      </c>
      <c r="AZ498" s="11"/>
      <c r="BA498" s="19" t="e">
        <f ca="1">IF(Data!#REF!="","",IF(ISNUMBER(Data!#REF!),IF(AND(Data!#REF!&gt;(TODAY()-(Data_Val!$M$3*365.25)),Data!#REF!&lt;=(TODAY()-(Data_Val!$M$2*365.25))),0,1),1))</f>
        <v>#REF!</v>
      </c>
      <c r="BB498" s="11" t="e">
        <f>IF(Data!#REF!="","",IF(Data!$G498="",1,IF(ISNUMBER(MATCH(Data!#REF!,Data_Val!$D$2:$D$10,0)),0,1)))</f>
        <v>#REF!</v>
      </c>
      <c r="BC498" s="12"/>
      <c r="BD498" s="20" t="e">
        <f ca="1">IF(Data!#REF!="","",IF(ISNUMBER(Data!#REF!),IF(AND(Data!#REF!&gt;(TODAY()-(Data_Val!$M$3*365.25)),Data!#REF!&lt;=(TODAY()-(Data_Val!$M$2*365.25))),0,1),1))</f>
        <v>#REF!</v>
      </c>
      <c r="BE498" s="12" t="e">
        <f>IF(Data!#REF!="","",IF(Data!$G498="",1,IF(ISNUMBER(MATCH(Data!#REF!,Data_Val!$D$2:$D$10,0)),0,1)))</f>
        <v>#REF!</v>
      </c>
      <c r="BF498" s="17"/>
      <c r="BG498" s="18" t="e">
        <f ca="1">IF(Data!#REF!="","",IF(ISNUMBER(Data!#REF!),IF(AND(Data!#REF!&gt;(TODAY()-(Data_Val!$M$3*365.25)),Data!#REF!&lt;=(TODAY()-(Data_Val!$M$2*365.25))),0,1),1))</f>
        <v>#REF!</v>
      </c>
      <c r="BH498" s="29" t="e">
        <f>IF(Data!#REF!="","",IF(Data!$G498="",1,IF(ISNUMBER(MATCH(Data!#REF!,Data_Val!$D$2:$D$10,0)),0,1)))</f>
        <v>#REF!</v>
      </c>
      <c r="BI498" s="13"/>
      <c r="BJ498" s="21" t="e">
        <f ca="1">IF(Data!#REF!="","",IF(ISNUMBER(Data!#REF!),IF(AND(Data!#REF!&gt;(TODAY()-(Data_Val!$M$3*365.25)),Data!#REF!&lt;=(TODAY()-(Data_Val!$M$2*365.25))),0,1),1))</f>
        <v>#REF!</v>
      </c>
      <c r="BK498" s="13" t="e">
        <f>IF(Data!#REF!="","",IF(Data!$G498="",1,IF(ISNUMBER(MATCH(Data!#REF!,Data_Val!$D$2:$D$10,0)),0,1)))</f>
        <v>#REF!</v>
      </c>
    </row>
    <row r="499" spans="1:63" x14ac:dyDescent="0.25">
      <c r="A499" s="9" t="str">
        <f>IF(Data!B499="","",IF(COUNTIFS(Data!A$1:'Data'!A499,Data!A499)&lt;=1,0,1))</f>
        <v/>
      </c>
      <c r="B499" s="9"/>
      <c r="C499" s="23" t="str">
        <f>IF(Data!C499="","",(IF(ISNUMBER(MATCH("*@*.?*",Data!C499,0)),0,1)+IF(COUNTIFS(Data!C$1:'Data'!C499,Data!C499)&gt;1,1,0)))</f>
        <v/>
      </c>
      <c r="D499" s="9" t="str">
        <f>IF(Data!B499="","",IF(ISNUMBER(Data!D499),IF(AND(Data!D499&gt;999999999,Data!D499&lt;=9999999999),IF(COUNTIFS(Data!D$1:'Data'!D499,Data!D499)&lt;=1,0,1),1),1))</f>
        <v/>
      </c>
      <c r="E499" s="9" t="str">
        <f>IF(Data!B499="","",IF(ISNUMBER(MATCH(Data!E499,Data_Val!$A$2:$A$3,0)),0,1))</f>
        <v/>
      </c>
      <c r="F499" s="9" t="str">
        <f ca="1">IF(Data!B499="","",IF(ISNUMBER(Data!F499),IF(AND(Data!F499&gt;(TODAY()-(Data_Val!$H$3*365.25)),Data!F499&lt;=(TODAY()-(Data_Val!$H$2*365.25))),0,1),1))</f>
        <v/>
      </c>
      <c r="G499" s="15" t="str">
        <f>IF(Data!B499="","",IF(AND(Data!G499="",Data!H499&lt;&gt;""),1,IF(Data!#REF!&lt;&gt;"",0,IF(ISNUMBER(MATCH(Data!G499,Data_Val!$C$2:$C$5,0)),0,1))))</f>
        <v/>
      </c>
      <c r="H499" s="15" t="str">
        <f>IF(Data!B499="","",IF(AND(Data!G499&lt;&gt;"",Data!H499=""),1,IF(Data!#REF!&lt;&gt;"",0,IF(Data!G499="",1,IF(ISNUMBER(MATCH(Data!H499,Data_Val!$D$2:$D$35,0)),0,1)))))</f>
        <v/>
      </c>
      <c r="I499" s="15" t="str">
        <f>IF(Data!B499="","",IF(Data!G499&lt;&gt;"",0,IF(ISNUMBER(MATCH(Data!#REF!,Data_Val!$E$2:$E$12,0)),0,1)))</f>
        <v/>
      </c>
      <c r="J499" s="16" t="e">
        <f>IF(OR(Data!B499="",Data!#REF!=""),"",IF(Data!#REF!="",1,0))</f>
        <v>#REF!</v>
      </c>
      <c r="K499" s="16" t="e">
        <f>IF(OR(Data!B499="",Data!#REF!=""),"",IF(Data!#REF!="",1,0))</f>
        <v>#REF!</v>
      </c>
      <c r="L499" s="16" t="e">
        <f>IF(OR(Data!B499="",Data!#REF!=""),"",IF(ISNUMBER(Data!#REF!),IF(AND(Data!#REF!&gt;Data_Val!$G$2,Data!#REF!&lt;=Data_Val!$G$3),0,1),1))</f>
        <v>#REF!</v>
      </c>
      <c r="M499" s="9" t="e">
        <f>IF(OR(Data!B499="",Data!#REF!=""),"",IF(ISNUMBER(MATCH(Data!#REF!,Data_Val!$F$1:$F$38,0)),0,1))</f>
        <v>#REF!</v>
      </c>
      <c r="N499" s="9" t="e">
        <f>IF(OR(Data!B499="",Data!#REF!=""),"",IF(Data!#REF!="",1,0))</f>
        <v>#REF!</v>
      </c>
      <c r="O499" s="17" t="e">
        <f>IF(Data!#REF!="","",IF(Data!#REF!="",1,0))</f>
        <v>#REF!</v>
      </c>
      <c r="P499" s="17" t="e">
        <f>IF(Data!#REF!="","",IF(ISNUMBER(MATCH(Data!#REF!,Data_Val!$A$2:$A$3,0)),0,1))</f>
        <v>#REF!</v>
      </c>
      <c r="Q499" s="25" t="e">
        <f ca="1">IF(Data!#REF!="","",IF(ISNUMBER(Data!#REF!),IF(AND(Data!#REF!&gt;(TODAY()-(Data_Val!$J$3*365.25)),Data!#REF!&lt;=(TODAY()-(Data_Val!$J$2*365.25))),0,1),1))</f>
        <v>#REF!</v>
      </c>
      <c r="R499" s="17" t="e">
        <f>IF(Data!#REF!="","",IF(ISNUMBER(MATCH(Data!#REF!,Data_Val!$B$2:$B$15,0)),0,1))</f>
        <v>#REF!</v>
      </c>
      <c r="S499" s="11" t="str">
        <f>IF(Data!G499="","",IF(Data!G499=Data_Val!$C$2,IF(Data!M499="",0,1),0))</f>
        <v/>
      </c>
      <c r="T499" s="11" t="str">
        <f>IF(Data!M499="","",IF(ISNUMBER(MATCH(Data!N499,Data_Val!$A$2:$A$3,0)),0,1))</f>
        <v/>
      </c>
      <c r="U499" s="11" t="str">
        <f ca="1">IF(Data!M499="","",IF(ISNUMBER(Data!O499),IF(AND(Data!O499&gt;(TODAY()-(Data_Val!$K$3*365.25)),Data!O499&lt;=(TODAY()-(Data_Val!$K$2*365.25))),0,1),1))</f>
        <v/>
      </c>
      <c r="V499" s="12" t="str">
        <f>IF(Data!G499="","",IF(Data!G499=Data_Val!$C$2,IF(Data!P499="",0,1),0))</f>
        <v/>
      </c>
      <c r="W499" s="12" t="str">
        <f>IF(Data!P499="","",IF(ISNUMBER(MATCH(Data!Q499,Data_Val!$A$2:$A$3,0)),0,1))</f>
        <v/>
      </c>
      <c r="X499" s="26" t="str">
        <f ca="1">IF(Data!P499="","",IF(ISNUMBER(Data!R499),IF(AND(Data!R499&gt;(TODAY()-(Data_Val!$L$3*365.25)),Data!R499&lt;=(TODAY()-(Data_Val!$L$2*365.25))),0,1),1))</f>
        <v/>
      </c>
      <c r="Y499" s="13" t="str">
        <f>IF(Data!$G499="","",IF(Data!$G499=Data_Val!$C$2,IF(Data!S499="",0,1),0))</f>
        <v/>
      </c>
      <c r="Z499" s="13" t="str">
        <f>IF(Data!S499="","",IF(ISNUMBER(MATCH(Data!T499,Data_Val!$A$2:$A$3,0)),0,1))</f>
        <v/>
      </c>
      <c r="AA499" s="28" t="str">
        <f ca="1">IF(Data!S499="","",IF(ISNUMBER(Data!U499),IF(AND(Data!U499&gt;(TODAY()-(Data_Val!$L$3*365.25)),Data!U499&lt;=(TODAY()-(Data_Val!$L$2*365.25))),0,1),1))</f>
        <v/>
      </c>
      <c r="AB499" s="11"/>
      <c r="AC499" s="11" t="e">
        <f>IF(Data!#REF!="","",IF(ISNUMBER(MATCH(Data!#REF!,Data_Val!$A$2:$A$3,0)),0,1))</f>
        <v>#REF!</v>
      </c>
      <c r="AD499" s="11" t="e">
        <f ca="1">IF(Data!#REF!="","",IF(ISNUMBER(Data!#REF!),IF(AND(Data!#REF!&gt;(TODAY()-(Data_Val!$L$3*365.25)),Data!#REF!&lt;=(TODAY()-(Data_Val!$L$2*365.25))),0,1),1))</f>
        <v>#REF!</v>
      </c>
      <c r="AE499" s="11" t="e">
        <f>IF(Data!#REF!="","",IF(Data!$G499="",1,IF(ISNUMBER(MATCH(Data!#REF!,Data_Val!$D$2:$D$10,0)),0,1)))</f>
        <v>#REF!</v>
      </c>
      <c r="AF499" s="12"/>
      <c r="AG499" s="12" t="e">
        <f>IF(Data!#REF!="","",IF(ISNUMBER(MATCH(Data!#REF!,Data_Val!$A$2:$A$3,0)),0,1))</f>
        <v>#REF!</v>
      </c>
      <c r="AH499" s="26" t="e">
        <f ca="1">IF(Data!#REF!="","",IF(ISNUMBER(Data!#REF!),IF(AND(Data!#REF!&gt;(TODAY()-(Data_Val!$L$3*365.25)),Data!#REF!&lt;=(TODAY()-(Data_Val!$L$2*365.25))),0,1),1))</f>
        <v>#REF!</v>
      </c>
      <c r="AI499" s="12" t="e">
        <f>IF(Data!#REF!="","",IF(Data!$G499="",1,IF(ISNUMBER(MATCH(Data!#REF!,Data_Val!$D$2:$D$10,0)),0,1)))</f>
        <v>#REF!</v>
      </c>
      <c r="AJ499" s="17"/>
      <c r="AK499" s="17" t="e">
        <f>IF(Data!#REF!="","",IF(ISNUMBER(MATCH(Data!#REF!,Data_Val!$A$2:$A$3,0)),0,1))</f>
        <v>#REF!</v>
      </c>
      <c r="AL499" s="25" t="e">
        <f ca="1">IF(Data!#REF!="","",IF(ISNUMBER(Data!#REF!),IF(AND(Data!#REF!&gt;(TODAY()-(Data_Val!$L$3*365.25)),Data!#REF!&lt;=(TODAY()-(Data_Val!$L$2*365.25))),0,1),1))</f>
        <v>#REF!</v>
      </c>
      <c r="AM499" s="17" t="e">
        <f>IF(Data!#REF!="","",IF(Data!$G499="",1,IF(ISNUMBER(MATCH(Data!#REF!,Data_Val!$D$2:$D$10,0)),0,1)))</f>
        <v>#REF!</v>
      </c>
      <c r="AN499" s="13"/>
      <c r="AO499" s="28" t="e">
        <f ca="1">IF(Data!#REF!="","",IF(ISNUMBER(Data!#REF!),IF(AND(Data!#REF!&gt;(TODAY()-(Data_Val!$I$3*365.25)),Data!#REF!&lt;=(TODAY()-(Data_Val!$I$2*365.25))),0,1),1))</f>
        <v>#REF!</v>
      </c>
      <c r="AP499" s="13" t="e">
        <f>IF(Data!#REF!="","",IF(Data!$G499="",1,IF(ISNUMBER(MATCH(Data!#REF!,Data_Val!$D$2:$D$10,0)),0,1)))</f>
        <v>#REF!</v>
      </c>
      <c r="AQ499" s="17"/>
      <c r="AR499" s="30" t="e">
        <f ca="1">IF(Data!#REF!="","",IF(ISNUMBER(Data!#REF!),IF(AND(Data!#REF!&gt;(TODAY()-(Data_Val!$I$3*365.25)),Data!#REF!&lt;=(TODAY()-(Data_Val!$I$2*365.25))),0,1),1))</f>
        <v>#REF!</v>
      </c>
      <c r="AS499" s="31" t="e">
        <f>IF(Data!#REF!="","",IF(Data!$G499="",1,IF(ISNUMBER(MATCH(Data!#REF!,Data_Val!$D$2:$D$10,0)),0,1)))</f>
        <v>#REF!</v>
      </c>
      <c r="AT499" s="11"/>
      <c r="AU499" s="11" t="e">
        <f ca="1">IF(Data!#REF!="","",IF(ISNUMBER(Data!#REF!),IF(AND(Data!#REF!&gt;(TODAY()-(Data_Val!$I$3*365.25)),Data!#REF!&lt;=(TODAY()-(Data_Val!$I$2*365.25))),0,1),1))</f>
        <v>#REF!</v>
      </c>
      <c r="AV499" s="11" t="e">
        <f>IF(Data!#REF!="","",IF(Data!$G499="",1,IF(ISNUMBER(MATCH(Data!#REF!,Data_Val!$D$2:$D$10,0)),0,1)))</f>
        <v>#REF!</v>
      </c>
      <c r="AW499" s="12"/>
      <c r="AX499" s="26" t="e">
        <f ca="1">IF(Data!#REF!="","",IF(ISNUMBER(Data!#REF!),IF(AND(Data!#REF!&gt;(TODAY()-(Data_Val!$I$3*365.25)),Data!#REF!&lt;=(TODAY()-(Data_Val!$I$2*365.25))),0,1),1))</f>
        <v>#REF!</v>
      </c>
      <c r="AY499" s="12" t="e">
        <f>IF(Data!#REF!="","",IF(Data!$G499="",1,IF(ISNUMBER(MATCH(Data!#REF!,Data_Val!$D$2:$D$10,0)),0,1)))</f>
        <v>#REF!</v>
      </c>
      <c r="AZ499" s="11"/>
      <c r="BA499" s="19" t="e">
        <f ca="1">IF(Data!#REF!="","",IF(ISNUMBER(Data!#REF!),IF(AND(Data!#REF!&gt;(TODAY()-(Data_Val!$M$3*365.25)),Data!#REF!&lt;=(TODAY()-(Data_Val!$M$2*365.25))),0,1),1))</f>
        <v>#REF!</v>
      </c>
      <c r="BB499" s="11" t="e">
        <f>IF(Data!#REF!="","",IF(Data!$G499="",1,IF(ISNUMBER(MATCH(Data!#REF!,Data_Val!$D$2:$D$10,0)),0,1)))</f>
        <v>#REF!</v>
      </c>
      <c r="BC499" s="12"/>
      <c r="BD499" s="20" t="e">
        <f ca="1">IF(Data!#REF!="","",IF(ISNUMBER(Data!#REF!),IF(AND(Data!#REF!&gt;(TODAY()-(Data_Val!$M$3*365.25)),Data!#REF!&lt;=(TODAY()-(Data_Val!$M$2*365.25))),0,1),1))</f>
        <v>#REF!</v>
      </c>
      <c r="BE499" s="12" t="e">
        <f>IF(Data!#REF!="","",IF(Data!$G499="",1,IF(ISNUMBER(MATCH(Data!#REF!,Data_Val!$D$2:$D$10,0)),0,1)))</f>
        <v>#REF!</v>
      </c>
      <c r="BF499" s="17"/>
      <c r="BG499" s="18" t="e">
        <f ca="1">IF(Data!#REF!="","",IF(ISNUMBER(Data!#REF!),IF(AND(Data!#REF!&gt;(TODAY()-(Data_Val!$M$3*365.25)),Data!#REF!&lt;=(TODAY()-(Data_Val!$M$2*365.25))),0,1),1))</f>
        <v>#REF!</v>
      </c>
      <c r="BH499" s="29" t="e">
        <f>IF(Data!#REF!="","",IF(Data!$G499="",1,IF(ISNUMBER(MATCH(Data!#REF!,Data_Val!$D$2:$D$10,0)),0,1)))</f>
        <v>#REF!</v>
      </c>
      <c r="BI499" s="13"/>
      <c r="BJ499" s="21" t="e">
        <f ca="1">IF(Data!#REF!="","",IF(ISNUMBER(Data!#REF!),IF(AND(Data!#REF!&gt;(TODAY()-(Data_Val!$M$3*365.25)),Data!#REF!&lt;=(TODAY()-(Data_Val!$M$2*365.25))),0,1),1))</f>
        <v>#REF!</v>
      </c>
      <c r="BK499" s="13" t="e">
        <f>IF(Data!#REF!="","",IF(Data!$G499="",1,IF(ISNUMBER(MATCH(Data!#REF!,Data_Val!$D$2:$D$10,0)),0,1)))</f>
        <v>#REF!</v>
      </c>
    </row>
    <row r="500" spans="1:63" x14ac:dyDescent="0.25">
      <c r="A500" s="9" t="str">
        <f>IF(Data!B500="","",IF(COUNTIFS(Data!A$1:'Data'!A500,Data!A500)&lt;=1,0,1))</f>
        <v/>
      </c>
      <c r="B500" s="9"/>
      <c r="C500" s="23" t="str">
        <f>IF(Data!C500="","",(IF(ISNUMBER(MATCH("*@*.?*",Data!C500,0)),0,1)+IF(COUNTIFS(Data!C$1:'Data'!C500,Data!C500)&gt;1,1,0)))</f>
        <v/>
      </c>
      <c r="D500" s="9" t="str">
        <f>IF(Data!B500="","",IF(ISNUMBER(Data!D500),IF(AND(Data!D500&gt;999999999,Data!D500&lt;=9999999999),IF(COUNTIFS(Data!D$1:'Data'!D500,Data!D500)&lt;=1,0,1),1),1))</f>
        <v/>
      </c>
      <c r="E500" s="9" t="str">
        <f>IF(Data!B500="","",IF(ISNUMBER(MATCH(Data!E500,Data_Val!$A$2:$A$3,0)),0,1))</f>
        <v/>
      </c>
      <c r="F500" s="9" t="str">
        <f ca="1">IF(Data!B500="","",IF(ISNUMBER(Data!F500),IF(AND(Data!F500&gt;(TODAY()-(Data_Val!$H$3*365.25)),Data!F500&lt;=(TODAY()-(Data_Val!$H$2*365.25))),0,1),1))</f>
        <v/>
      </c>
      <c r="G500" s="15" t="str">
        <f>IF(Data!B500="","",IF(AND(Data!G500="",Data!H500&lt;&gt;""),1,IF(Data!#REF!&lt;&gt;"",0,IF(ISNUMBER(MATCH(Data!G500,Data_Val!$C$2:$C$5,0)),0,1))))</f>
        <v/>
      </c>
      <c r="H500" s="15" t="str">
        <f>IF(Data!B500="","",IF(AND(Data!G500&lt;&gt;"",Data!H500=""),1,IF(Data!#REF!&lt;&gt;"",0,IF(Data!G500="",1,IF(ISNUMBER(MATCH(Data!H500,Data_Val!$D$2:$D$35,0)),0,1)))))</f>
        <v/>
      </c>
      <c r="I500" s="15" t="str">
        <f>IF(Data!B500="","",IF(Data!G500&lt;&gt;"",0,IF(ISNUMBER(MATCH(Data!#REF!,Data_Val!$E$2:$E$12,0)),0,1)))</f>
        <v/>
      </c>
      <c r="J500" s="16" t="e">
        <f>IF(OR(Data!B500="",Data!#REF!=""),"",IF(Data!#REF!="",1,0))</f>
        <v>#REF!</v>
      </c>
      <c r="K500" s="16" t="e">
        <f>IF(OR(Data!B500="",Data!#REF!=""),"",IF(Data!#REF!="",1,0))</f>
        <v>#REF!</v>
      </c>
      <c r="L500" s="16" t="e">
        <f>IF(OR(Data!B500="",Data!#REF!=""),"",IF(ISNUMBER(Data!#REF!),IF(AND(Data!#REF!&gt;Data_Val!$G$2,Data!#REF!&lt;=Data_Val!$G$3),0,1),1))</f>
        <v>#REF!</v>
      </c>
      <c r="M500" s="9" t="e">
        <f>IF(OR(Data!B500="",Data!#REF!=""),"",IF(ISNUMBER(MATCH(Data!#REF!,Data_Val!$F$1:$F$38,0)),0,1))</f>
        <v>#REF!</v>
      </c>
      <c r="N500" s="9" t="e">
        <f>IF(OR(Data!B500="",Data!#REF!=""),"",IF(Data!#REF!="",1,0))</f>
        <v>#REF!</v>
      </c>
      <c r="O500" s="17" t="e">
        <f>IF(Data!#REF!="","",IF(Data!#REF!="",1,0))</f>
        <v>#REF!</v>
      </c>
      <c r="P500" s="17" t="e">
        <f>IF(Data!#REF!="","",IF(ISNUMBER(MATCH(Data!#REF!,Data_Val!$A$2:$A$3,0)),0,1))</f>
        <v>#REF!</v>
      </c>
      <c r="Q500" s="25" t="e">
        <f ca="1">IF(Data!#REF!="","",IF(ISNUMBER(Data!#REF!),IF(AND(Data!#REF!&gt;(TODAY()-(Data_Val!$J$3*365.25)),Data!#REF!&lt;=(TODAY()-(Data_Val!$J$2*365.25))),0,1),1))</f>
        <v>#REF!</v>
      </c>
      <c r="R500" s="17" t="e">
        <f>IF(Data!#REF!="","",IF(ISNUMBER(MATCH(Data!#REF!,Data_Val!$B$2:$B$15,0)),0,1))</f>
        <v>#REF!</v>
      </c>
      <c r="S500" s="11" t="str">
        <f>IF(Data!G500="","",IF(Data!G500=Data_Val!$C$2,IF(Data!M500="",0,1),0))</f>
        <v/>
      </c>
      <c r="T500" s="11" t="str">
        <f>IF(Data!M500="","",IF(ISNUMBER(MATCH(Data!N500,Data_Val!$A$2:$A$3,0)),0,1))</f>
        <v/>
      </c>
      <c r="U500" s="11" t="str">
        <f ca="1">IF(Data!M500="","",IF(ISNUMBER(Data!O500),IF(AND(Data!O500&gt;(TODAY()-(Data_Val!$K$3*365.25)),Data!O500&lt;=(TODAY()-(Data_Val!$K$2*365.25))),0,1),1))</f>
        <v/>
      </c>
      <c r="V500" s="12" t="str">
        <f>IF(Data!G500="","",IF(Data!G500=Data_Val!$C$2,IF(Data!P500="",0,1),0))</f>
        <v/>
      </c>
      <c r="W500" s="12" t="str">
        <f>IF(Data!P500="","",IF(ISNUMBER(MATCH(Data!Q500,Data_Val!$A$2:$A$3,0)),0,1))</f>
        <v/>
      </c>
      <c r="X500" s="26" t="str">
        <f ca="1">IF(Data!P500="","",IF(ISNUMBER(Data!R500),IF(AND(Data!R500&gt;(TODAY()-(Data_Val!$L$3*365.25)),Data!R500&lt;=(TODAY()-(Data_Val!$L$2*365.25))),0,1),1))</f>
        <v/>
      </c>
      <c r="Y500" s="13" t="str">
        <f>IF(Data!$G500="","",IF(Data!$G500=Data_Val!$C$2,IF(Data!S500="",0,1),0))</f>
        <v/>
      </c>
      <c r="Z500" s="13" t="str">
        <f>IF(Data!S500="","",IF(ISNUMBER(MATCH(Data!T500,Data_Val!$A$2:$A$3,0)),0,1))</f>
        <v/>
      </c>
      <c r="AA500" s="28" t="str">
        <f ca="1">IF(Data!S500="","",IF(ISNUMBER(Data!U500),IF(AND(Data!U500&gt;(TODAY()-(Data_Val!$L$3*365.25)),Data!U500&lt;=(TODAY()-(Data_Val!$L$2*365.25))),0,1),1))</f>
        <v/>
      </c>
      <c r="AB500" s="11"/>
      <c r="AC500" s="11" t="e">
        <f>IF(Data!#REF!="","",IF(ISNUMBER(MATCH(Data!#REF!,Data_Val!$A$2:$A$3,0)),0,1))</f>
        <v>#REF!</v>
      </c>
      <c r="AD500" s="11" t="e">
        <f ca="1">IF(Data!#REF!="","",IF(ISNUMBER(Data!#REF!),IF(AND(Data!#REF!&gt;(TODAY()-(Data_Val!$L$3*365.25)),Data!#REF!&lt;=(TODAY()-(Data_Val!$L$2*365.25))),0,1),1))</f>
        <v>#REF!</v>
      </c>
      <c r="AE500" s="11" t="e">
        <f>IF(Data!#REF!="","",IF(Data!$G500="",1,IF(ISNUMBER(MATCH(Data!#REF!,Data_Val!$D$2:$D$10,0)),0,1)))</f>
        <v>#REF!</v>
      </c>
      <c r="AF500" s="12"/>
      <c r="AG500" s="12" t="e">
        <f>IF(Data!#REF!="","",IF(ISNUMBER(MATCH(Data!#REF!,Data_Val!$A$2:$A$3,0)),0,1))</f>
        <v>#REF!</v>
      </c>
      <c r="AH500" s="26" t="e">
        <f ca="1">IF(Data!#REF!="","",IF(ISNUMBER(Data!#REF!),IF(AND(Data!#REF!&gt;(TODAY()-(Data_Val!$L$3*365.25)),Data!#REF!&lt;=(TODAY()-(Data_Val!$L$2*365.25))),0,1),1))</f>
        <v>#REF!</v>
      </c>
      <c r="AI500" s="12" t="e">
        <f>IF(Data!#REF!="","",IF(Data!$G500="",1,IF(ISNUMBER(MATCH(Data!#REF!,Data_Val!$D$2:$D$10,0)),0,1)))</f>
        <v>#REF!</v>
      </c>
      <c r="AJ500" s="17"/>
      <c r="AK500" s="17" t="e">
        <f>IF(Data!#REF!="","",IF(ISNUMBER(MATCH(Data!#REF!,Data_Val!$A$2:$A$3,0)),0,1))</f>
        <v>#REF!</v>
      </c>
      <c r="AL500" s="25" t="e">
        <f ca="1">IF(Data!#REF!="","",IF(ISNUMBER(Data!#REF!),IF(AND(Data!#REF!&gt;(TODAY()-(Data_Val!$L$3*365.25)),Data!#REF!&lt;=(TODAY()-(Data_Val!$L$2*365.25))),0,1),1))</f>
        <v>#REF!</v>
      </c>
      <c r="AM500" s="17" t="e">
        <f>IF(Data!#REF!="","",IF(Data!$G500="",1,IF(ISNUMBER(MATCH(Data!#REF!,Data_Val!$D$2:$D$10,0)),0,1)))</f>
        <v>#REF!</v>
      </c>
      <c r="AN500" s="13"/>
      <c r="AO500" s="28" t="e">
        <f ca="1">IF(Data!#REF!="","",IF(ISNUMBER(Data!#REF!),IF(AND(Data!#REF!&gt;(TODAY()-(Data_Val!$I$3*365.25)),Data!#REF!&lt;=(TODAY()-(Data_Val!$I$2*365.25))),0,1),1))</f>
        <v>#REF!</v>
      </c>
      <c r="AP500" s="13" t="e">
        <f>IF(Data!#REF!="","",IF(Data!$G500="",1,IF(ISNUMBER(MATCH(Data!#REF!,Data_Val!$D$2:$D$10,0)),0,1)))</f>
        <v>#REF!</v>
      </c>
      <c r="AQ500" s="17"/>
      <c r="AR500" s="30" t="e">
        <f ca="1">IF(Data!#REF!="","",IF(ISNUMBER(Data!#REF!),IF(AND(Data!#REF!&gt;(TODAY()-(Data_Val!$I$3*365.25)),Data!#REF!&lt;=(TODAY()-(Data_Val!$I$2*365.25))),0,1),1))</f>
        <v>#REF!</v>
      </c>
      <c r="AS500" s="31" t="e">
        <f>IF(Data!#REF!="","",IF(Data!$G500="",1,IF(ISNUMBER(MATCH(Data!#REF!,Data_Val!$D$2:$D$10,0)),0,1)))</f>
        <v>#REF!</v>
      </c>
      <c r="AT500" s="11"/>
      <c r="AU500" s="11" t="e">
        <f ca="1">IF(Data!#REF!="","",IF(ISNUMBER(Data!#REF!),IF(AND(Data!#REF!&gt;(TODAY()-(Data_Val!$I$3*365.25)),Data!#REF!&lt;=(TODAY()-(Data_Val!$I$2*365.25))),0,1),1))</f>
        <v>#REF!</v>
      </c>
      <c r="AV500" s="11" t="e">
        <f>IF(Data!#REF!="","",IF(Data!$G500="",1,IF(ISNUMBER(MATCH(Data!#REF!,Data_Val!$D$2:$D$10,0)),0,1)))</f>
        <v>#REF!</v>
      </c>
      <c r="AW500" s="12"/>
      <c r="AX500" s="26" t="e">
        <f ca="1">IF(Data!#REF!="","",IF(ISNUMBER(Data!#REF!),IF(AND(Data!#REF!&gt;(TODAY()-(Data_Val!$I$3*365.25)),Data!#REF!&lt;=(TODAY()-(Data_Val!$I$2*365.25))),0,1),1))</f>
        <v>#REF!</v>
      </c>
      <c r="AY500" s="12" t="e">
        <f>IF(Data!#REF!="","",IF(Data!$G500="",1,IF(ISNUMBER(MATCH(Data!#REF!,Data_Val!$D$2:$D$10,0)),0,1)))</f>
        <v>#REF!</v>
      </c>
      <c r="AZ500" s="11"/>
      <c r="BA500" s="19" t="e">
        <f ca="1">IF(Data!#REF!="","",IF(ISNUMBER(Data!#REF!),IF(AND(Data!#REF!&gt;(TODAY()-(Data_Val!$M$3*365.25)),Data!#REF!&lt;=(TODAY()-(Data_Val!$M$2*365.25))),0,1),1))</f>
        <v>#REF!</v>
      </c>
      <c r="BB500" s="11" t="e">
        <f>IF(Data!#REF!="","",IF(Data!$G500="",1,IF(ISNUMBER(MATCH(Data!#REF!,Data_Val!$D$2:$D$10,0)),0,1)))</f>
        <v>#REF!</v>
      </c>
      <c r="BC500" s="12"/>
      <c r="BD500" s="20" t="e">
        <f ca="1">IF(Data!#REF!="","",IF(ISNUMBER(Data!#REF!),IF(AND(Data!#REF!&gt;(TODAY()-(Data_Val!$M$3*365.25)),Data!#REF!&lt;=(TODAY()-(Data_Val!$M$2*365.25))),0,1),1))</f>
        <v>#REF!</v>
      </c>
      <c r="BE500" s="12" t="e">
        <f>IF(Data!#REF!="","",IF(Data!$G500="",1,IF(ISNUMBER(MATCH(Data!#REF!,Data_Val!$D$2:$D$10,0)),0,1)))</f>
        <v>#REF!</v>
      </c>
      <c r="BF500" s="17"/>
      <c r="BG500" s="18" t="e">
        <f ca="1">IF(Data!#REF!="","",IF(ISNUMBER(Data!#REF!),IF(AND(Data!#REF!&gt;(TODAY()-(Data_Val!$M$3*365.25)),Data!#REF!&lt;=(TODAY()-(Data_Val!$M$2*365.25))),0,1),1))</f>
        <v>#REF!</v>
      </c>
      <c r="BH500" s="29" t="e">
        <f>IF(Data!#REF!="","",IF(Data!$G500="",1,IF(ISNUMBER(MATCH(Data!#REF!,Data_Val!$D$2:$D$10,0)),0,1)))</f>
        <v>#REF!</v>
      </c>
      <c r="BI500" s="13"/>
      <c r="BJ500" s="21" t="e">
        <f ca="1">IF(Data!#REF!="","",IF(ISNUMBER(Data!#REF!),IF(AND(Data!#REF!&gt;(TODAY()-(Data_Val!$M$3*365.25)),Data!#REF!&lt;=(TODAY()-(Data_Val!$M$2*365.25))),0,1),1))</f>
        <v>#REF!</v>
      </c>
      <c r="BK500" s="13" t="e">
        <f>IF(Data!#REF!="","",IF(Data!$G500="",1,IF(ISNUMBER(MATCH(Data!#REF!,Data_Val!$D$2:$D$10,0)),0,1)))</f>
        <v>#REF!</v>
      </c>
    </row>
    <row r="501" spans="1:63" x14ac:dyDescent="0.25">
      <c r="A501" s="9" t="str">
        <f>IF(Data!B501="","",IF(COUNTIFS(Data!A$1:'Data'!A501,Data!A501)&lt;=1,0,1))</f>
        <v/>
      </c>
      <c r="B501" s="9"/>
      <c r="C501" s="23" t="str">
        <f>IF(Data!C501="","",(IF(ISNUMBER(MATCH("*@*.?*",Data!C501,0)),0,1)+IF(COUNTIFS(Data!C$1:'Data'!C501,Data!C501)&gt;1,1,0)))</f>
        <v/>
      </c>
      <c r="D501" s="9" t="str">
        <f>IF(Data!B501="","",IF(ISNUMBER(Data!D501),IF(AND(Data!D501&gt;999999999,Data!D501&lt;=9999999999),IF(COUNTIFS(Data!D$1:'Data'!D501,Data!D501)&lt;=1,0,1),1),1))</f>
        <v/>
      </c>
      <c r="E501" s="9" t="str">
        <f>IF(Data!B501="","",IF(ISNUMBER(MATCH(Data!E501,Data_Val!$A$2:$A$3,0)),0,1))</f>
        <v/>
      </c>
      <c r="F501" s="9" t="str">
        <f ca="1">IF(Data!B501="","",IF(ISNUMBER(Data!F501),IF(AND(Data!F501&gt;(TODAY()-(Data_Val!$H$3*365.25)),Data!F501&lt;=(TODAY()-(Data_Val!$H$2*365.25))),0,1),1))</f>
        <v/>
      </c>
      <c r="G501" s="15" t="str">
        <f>IF(Data!B501="","",IF(AND(Data!G501="",Data!H501&lt;&gt;""),1,IF(Data!#REF!&lt;&gt;"",0,IF(ISNUMBER(MATCH(Data!G501,Data_Val!$C$2:$C$5,0)),0,1))))</f>
        <v/>
      </c>
      <c r="H501" s="15" t="str">
        <f>IF(Data!B501="","",IF(AND(Data!G501&lt;&gt;"",Data!H501=""),1,IF(Data!#REF!&lt;&gt;"",0,IF(Data!G501="",1,IF(ISNUMBER(MATCH(Data!H501,Data_Val!$D$2:$D$35,0)),0,1)))))</f>
        <v/>
      </c>
      <c r="I501" s="15" t="str">
        <f>IF(Data!B501="","",IF(Data!G501&lt;&gt;"",0,IF(ISNUMBER(MATCH(Data!#REF!,Data_Val!$E$2:$E$12,0)),0,1)))</f>
        <v/>
      </c>
      <c r="J501" s="16" t="e">
        <f>IF(OR(Data!B501="",Data!#REF!=""),"",IF(Data!#REF!="",1,0))</f>
        <v>#REF!</v>
      </c>
      <c r="K501" s="16" t="e">
        <f>IF(OR(Data!B501="",Data!#REF!=""),"",IF(Data!#REF!="",1,0))</f>
        <v>#REF!</v>
      </c>
      <c r="L501" s="16" t="e">
        <f>IF(OR(Data!B501="",Data!#REF!=""),"",IF(ISNUMBER(Data!#REF!),IF(AND(Data!#REF!&gt;Data_Val!$G$2,Data!#REF!&lt;=Data_Val!$G$3),0,1),1))</f>
        <v>#REF!</v>
      </c>
      <c r="M501" s="9" t="e">
        <f>IF(OR(Data!B501="",Data!#REF!=""),"",IF(ISNUMBER(MATCH(Data!#REF!,Data_Val!$F$1:$F$38,0)),0,1))</f>
        <v>#REF!</v>
      </c>
      <c r="N501" s="9" t="e">
        <f>IF(OR(Data!B501="",Data!#REF!=""),"",IF(Data!#REF!="",1,0))</f>
        <v>#REF!</v>
      </c>
      <c r="O501" s="17" t="e">
        <f>IF(Data!#REF!="","",IF(Data!#REF!="",1,0))</f>
        <v>#REF!</v>
      </c>
      <c r="P501" s="17" t="e">
        <f>IF(Data!#REF!="","",IF(ISNUMBER(MATCH(Data!#REF!,Data_Val!$A$2:$A$3,0)),0,1))</f>
        <v>#REF!</v>
      </c>
      <c r="Q501" s="25" t="e">
        <f ca="1">IF(Data!#REF!="","",IF(ISNUMBER(Data!#REF!),IF(AND(Data!#REF!&gt;(TODAY()-(Data_Val!$J$3*365.25)),Data!#REF!&lt;=(TODAY()-(Data_Val!$J$2*365.25))),0,1),1))</f>
        <v>#REF!</v>
      </c>
      <c r="R501" s="17" t="e">
        <f>IF(Data!#REF!="","",IF(ISNUMBER(MATCH(Data!#REF!,Data_Val!$B$2:$B$15,0)),0,1))</f>
        <v>#REF!</v>
      </c>
      <c r="S501" s="11" t="str">
        <f>IF(Data!G501="","",IF(Data!G501=Data_Val!$C$2,IF(Data!M501="",0,1),0))</f>
        <v/>
      </c>
      <c r="T501" s="11" t="str">
        <f>IF(Data!M501="","",IF(ISNUMBER(MATCH(Data!N501,Data_Val!$A$2:$A$3,0)),0,1))</f>
        <v/>
      </c>
      <c r="U501" s="11" t="str">
        <f ca="1">IF(Data!M501="","",IF(ISNUMBER(Data!O501),IF(AND(Data!O501&gt;(TODAY()-(Data_Val!$K$3*365.25)),Data!O501&lt;=(TODAY()-(Data_Val!$K$2*365.25))),0,1),1))</f>
        <v/>
      </c>
      <c r="V501" s="12" t="str">
        <f>IF(Data!G501="","",IF(Data!G501=Data_Val!$C$2,IF(Data!P501="",0,1),0))</f>
        <v/>
      </c>
      <c r="W501" s="12" t="str">
        <f>IF(Data!P501="","",IF(ISNUMBER(MATCH(Data!Q501,Data_Val!$A$2:$A$3,0)),0,1))</f>
        <v/>
      </c>
      <c r="X501" s="26" t="str">
        <f ca="1">IF(Data!P501="","",IF(ISNUMBER(Data!R501),IF(AND(Data!R501&gt;(TODAY()-(Data_Val!$L$3*365.25)),Data!R501&lt;=(TODAY()-(Data_Val!$L$2*365.25))),0,1),1))</f>
        <v/>
      </c>
      <c r="Y501" s="13" t="str">
        <f>IF(Data!$G501="","",IF(Data!$G501=Data_Val!$C$2,IF(Data!S501="",0,1),0))</f>
        <v/>
      </c>
      <c r="Z501" s="13" t="str">
        <f>IF(Data!S501="","",IF(ISNUMBER(MATCH(Data!T501,Data_Val!$A$2:$A$3,0)),0,1))</f>
        <v/>
      </c>
      <c r="AA501" s="28" t="str">
        <f ca="1">IF(Data!S501="","",IF(ISNUMBER(Data!U501),IF(AND(Data!U501&gt;(TODAY()-(Data_Val!$L$3*365.25)),Data!U501&lt;=(TODAY()-(Data_Val!$L$2*365.25))),0,1),1))</f>
        <v/>
      </c>
      <c r="AB501" s="11"/>
      <c r="AC501" s="11" t="e">
        <f>IF(Data!#REF!="","",IF(ISNUMBER(MATCH(Data!#REF!,Data_Val!$A$2:$A$3,0)),0,1))</f>
        <v>#REF!</v>
      </c>
      <c r="AD501" s="11" t="e">
        <f ca="1">IF(Data!#REF!="","",IF(ISNUMBER(Data!#REF!),IF(AND(Data!#REF!&gt;(TODAY()-(Data_Val!$L$3*365.25)),Data!#REF!&lt;=(TODAY()-(Data_Val!$L$2*365.25))),0,1),1))</f>
        <v>#REF!</v>
      </c>
      <c r="AE501" s="11" t="e">
        <f>IF(Data!#REF!="","",IF(Data!$G501="",1,IF(ISNUMBER(MATCH(Data!#REF!,Data_Val!$D$2:$D$10,0)),0,1)))</f>
        <v>#REF!</v>
      </c>
      <c r="AF501" s="12"/>
      <c r="AG501" s="12" t="e">
        <f>IF(Data!#REF!="","",IF(ISNUMBER(MATCH(Data!#REF!,Data_Val!$A$2:$A$3,0)),0,1))</f>
        <v>#REF!</v>
      </c>
      <c r="AH501" s="26" t="e">
        <f ca="1">IF(Data!#REF!="","",IF(ISNUMBER(Data!#REF!),IF(AND(Data!#REF!&gt;(TODAY()-(Data_Val!$L$3*365.25)),Data!#REF!&lt;=(TODAY()-(Data_Val!$L$2*365.25))),0,1),1))</f>
        <v>#REF!</v>
      </c>
      <c r="AI501" s="12" t="e">
        <f>IF(Data!#REF!="","",IF(Data!$G501="",1,IF(ISNUMBER(MATCH(Data!#REF!,Data_Val!$D$2:$D$10,0)),0,1)))</f>
        <v>#REF!</v>
      </c>
      <c r="AJ501" s="17"/>
      <c r="AK501" s="17" t="e">
        <f>IF(Data!#REF!="","",IF(ISNUMBER(MATCH(Data!#REF!,Data_Val!$A$2:$A$3,0)),0,1))</f>
        <v>#REF!</v>
      </c>
      <c r="AL501" s="25" t="e">
        <f ca="1">IF(Data!#REF!="","",IF(ISNUMBER(Data!#REF!),IF(AND(Data!#REF!&gt;(TODAY()-(Data_Val!$L$3*365.25)),Data!#REF!&lt;=(TODAY()-(Data_Val!$L$2*365.25))),0,1),1))</f>
        <v>#REF!</v>
      </c>
      <c r="AM501" s="17" t="e">
        <f>IF(Data!#REF!="","",IF(Data!$G501="",1,IF(ISNUMBER(MATCH(Data!#REF!,Data_Val!$D$2:$D$10,0)),0,1)))</f>
        <v>#REF!</v>
      </c>
      <c r="AN501" s="13"/>
      <c r="AO501" s="28" t="e">
        <f ca="1">IF(Data!#REF!="","",IF(ISNUMBER(Data!#REF!),IF(AND(Data!#REF!&gt;(TODAY()-(Data_Val!$I$3*365.25)),Data!#REF!&lt;=(TODAY()-(Data_Val!$I$2*365.25))),0,1),1))</f>
        <v>#REF!</v>
      </c>
      <c r="AP501" s="13" t="e">
        <f>IF(Data!#REF!="","",IF(Data!$G501="",1,IF(ISNUMBER(MATCH(Data!#REF!,Data_Val!$D$2:$D$10,0)),0,1)))</f>
        <v>#REF!</v>
      </c>
      <c r="AQ501" s="17"/>
      <c r="AR501" s="30" t="e">
        <f ca="1">IF(Data!#REF!="","",IF(ISNUMBER(Data!#REF!),IF(AND(Data!#REF!&gt;(TODAY()-(Data_Val!$I$3*365.25)),Data!#REF!&lt;=(TODAY()-(Data_Val!$I$2*365.25))),0,1),1))</f>
        <v>#REF!</v>
      </c>
      <c r="AS501" s="31" t="e">
        <f>IF(Data!#REF!="","",IF(Data!$G501="",1,IF(ISNUMBER(MATCH(Data!#REF!,Data_Val!$D$2:$D$10,0)),0,1)))</f>
        <v>#REF!</v>
      </c>
      <c r="AT501" s="11"/>
      <c r="AU501" s="11" t="e">
        <f ca="1">IF(Data!#REF!="","",IF(ISNUMBER(Data!#REF!),IF(AND(Data!#REF!&gt;(TODAY()-(Data_Val!$I$3*365.25)),Data!#REF!&lt;=(TODAY()-(Data_Val!$I$2*365.25))),0,1),1))</f>
        <v>#REF!</v>
      </c>
      <c r="AV501" s="11" t="e">
        <f>IF(Data!#REF!="","",IF(Data!$G501="",1,IF(ISNUMBER(MATCH(Data!#REF!,Data_Val!$D$2:$D$10,0)),0,1)))</f>
        <v>#REF!</v>
      </c>
      <c r="AW501" s="12"/>
      <c r="AX501" s="26" t="e">
        <f ca="1">IF(Data!#REF!="","",IF(ISNUMBER(Data!#REF!),IF(AND(Data!#REF!&gt;(TODAY()-(Data_Val!$I$3*365.25)),Data!#REF!&lt;=(TODAY()-(Data_Val!$I$2*365.25))),0,1),1))</f>
        <v>#REF!</v>
      </c>
      <c r="AY501" s="12" t="e">
        <f>IF(Data!#REF!="","",IF(Data!$G501="",1,IF(ISNUMBER(MATCH(Data!#REF!,Data_Val!$D$2:$D$10,0)),0,1)))</f>
        <v>#REF!</v>
      </c>
      <c r="AZ501" s="11"/>
      <c r="BA501" s="19" t="e">
        <f ca="1">IF(Data!#REF!="","",IF(ISNUMBER(Data!#REF!),IF(AND(Data!#REF!&gt;(TODAY()-(Data_Val!$M$3*365.25)),Data!#REF!&lt;=(TODAY()-(Data_Val!$M$2*365.25))),0,1),1))</f>
        <v>#REF!</v>
      </c>
      <c r="BB501" s="11" t="e">
        <f>IF(Data!#REF!="","",IF(Data!$G501="",1,IF(ISNUMBER(MATCH(Data!#REF!,Data_Val!$D$2:$D$10,0)),0,1)))</f>
        <v>#REF!</v>
      </c>
      <c r="BC501" s="12"/>
      <c r="BD501" s="20" t="e">
        <f ca="1">IF(Data!#REF!="","",IF(ISNUMBER(Data!#REF!),IF(AND(Data!#REF!&gt;(TODAY()-(Data_Val!$M$3*365.25)),Data!#REF!&lt;=(TODAY()-(Data_Val!$M$2*365.25))),0,1),1))</f>
        <v>#REF!</v>
      </c>
      <c r="BE501" s="12" t="e">
        <f>IF(Data!#REF!="","",IF(Data!$G501="",1,IF(ISNUMBER(MATCH(Data!#REF!,Data_Val!$D$2:$D$10,0)),0,1)))</f>
        <v>#REF!</v>
      </c>
      <c r="BF501" s="17"/>
      <c r="BG501" s="18" t="e">
        <f ca="1">IF(Data!#REF!="","",IF(ISNUMBER(Data!#REF!),IF(AND(Data!#REF!&gt;(TODAY()-(Data_Val!$M$3*365.25)),Data!#REF!&lt;=(TODAY()-(Data_Val!$M$2*365.25))),0,1),1))</f>
        <v>#REF!</v>
      </c>
      <c r="BH501" s="29" t="e">
        <f>IF(Data!#REF!="","",IF(Data!$G501="",1,IF(ISNUMBER(MATCH(Data!#REF!,Data_Val!$D$2:$D$10,0)),0,1)))</f>
        <v>#REF!</v>
      </c>
      <c r="BI501" s="13"/>
      <c r="BJ501" s="21" t="e">
        <f ca="1">IF(Data!#REF!="","",IF(ISNUMBER(Data!#REF!),IF(AND(Data!#REF!&gt;(TODAY()-(Data_Val!$M$3*365.25)),Data!#REF!&lt;=(TODAY()-(Data_Val!$M$2*365.25))),0,1),1))</f>
        <v>#REF!</v>
      </c>
      <c r="BK501" s="13" t="e">
        <f>IF(Data!#REF!="","",IF(Data!$G501="",1,IF(ISNUMBER(MATCH(Data!#REF!,Data_Val!$D$2:$D$10,0)),0,1)))</f>
        <v>#REF!</v>
      </c>
    </row>
    <row r="502" spans="1:63" x14ac:dyDescent="0.25">
      <c r="A502" s="9" t="str">
        <f>IF(Data!B502="","",IF(COUNTIFS(Data!A$1:'Data'!A502,Data!A502)&lt;=1,0,1))</f>
        <v/>
      </c>
      <c r="B502" s="9"/>
      <c r="C502" s="23" t="str">
        <f>IF(Data!C502="","",(IF(ISNUMBER(MATCH("*@*.?*",Data!C502,0)),0,1)+IF(COUNTIFS(Data!C$1:'Data'!C502,Data!C502)&gt;1,1,0)))</f>
        <v/>
      </c>
      <c r="D502" s="9" t="str">
        <f>IF(Data!B502="","",IF(ISNUMBER(Data!D502),IF(AND(Data!D502&gt;999999999,Data!D502&lt;=9999999999),IF(COUNTIFS(Data!D$1:'Data'!D502,Data!D502)&lt;=1,0,1),1),1))</f>
        <v/>
      </c>
      <c r="E502" s="9" t="str">
        <f>IF(Data!B502="","",IF(ISNUMBER(MATCH(Data!E502,Data_Val!$A$2:$A$3,0)),0,1))</f>
        <v/>
      </c>
      <c r="F502" s="9" t="str">
        <f ca="1">IF(Data!B502="","",IF(ISNUMBER(Data!F502),IF(AND(Data!F502&gt;(TODAY()-(Data_Val!$H$3*365.25)),Data!F502&lt;=(TODAY()-(Data_Val!$H$2*365.25))),0,1),1))</f>
        <v/>
      </c>
      <c r="G502" s="15" t="str">
        <f>IF(Data!B502="","",IF(AND(Data!G502="",Data!H502&lt;&gt;""),1,IF(Data!#REF!&lt;&gt;"",0,IF(ISNUMBER(MATCH(Data!G502,Data_Val!$C$2:$C$5,0)),0,1))))</f>
        <v/>
      </c>
      <c r="H502" s="15" t="str">
        <f>IF(Data!B502="","",IF(AND(Data!G502&lt;&gt;"",Data!H502=""),1,IF(Data!#REF!&lt;&gt;"",0,IF(Data!G502="",1,IF(ISNUMBER(MATCH(Data!H502,Data_Val!$D$2:$D$35,0)),0,1)))))</f>
        <v/>
      </c>
      <c r="I502" s="15" t="str">
        <f>IF(Data!B502="","",IF(Data!G502&lt;&gt;"",0,IF(ISNUMBER(MATCH(Data!#REF!,Data_Val!$E$2:$E$12,0)),0,1)))</f>
        <v/>
      </c>
      <c r="J502" s="16" t="e">
        <f>IF(OR(Data!B502="",Data!#REF!=""),"",IF(Data!#REF!="",1,0))</f>
        <v>#REF!</v>
      </c>
      <c r="K502" s="16" t="e">
        <f>IF(OR(Data!B502="",Data!#REF!=""),"",IF(Data!#REF!="",1,0))</f>
        <v>#REF!</v>
      </c>
      <c r="L502" s="16" t="e">
        <f>IF(OR(Data!B502="",Data!#REF!=""),"",IF(ISNUMBER(Data!#REF!),IF(AND(Data!#REF!&gt;Data_Val!$G$2,Data!#REF!&lt;=Data_Val!$G$3),0,1),1))</f>
        <v>#REF!</v>
      </c>
      <c r="M502" s="9" t="e">
        <f>IF(OR(Data!B502="",Data!#REF!=""),"",IF(ISNUMBER(MATCH(Data!#REF!,Data_Val!$F$1:$F$38,0)),0,1))</f>
        <v>#REF!</v>
      </c>
      <c r="N502" s="9" t="e">
        <f>IF(OR(Data!B502="",Data!#REF!=""),"",IF(Data!#REF!="",1,0))</f>
        <v>#REF!</v>
      </c>
      <c r="O502" s="17" t="e">
        <f>IF(Data!#REF!="","",IF(Data!#REF!="",1,0))</f>
        <v>#REF!</v>
      </c>
      <c r="P502" s="17" t="e">
        <f>IF(Data!#REF!="","",IF(ISNUMBER(MATCH(Data!#REF!,Data_Val!$A$2:$A$3,0)),0,1))</f>
        <v>#REF!</v>
      </c>
      <c r="Q502" s="25" t="e">
        <f ca="1">IF(Data!#REF!="","",IF(ISNUMBER(Data!#REF!),IF(AND(Data!#REF!&gt;(TODAY()-(Data_Val!$J$3*365.25)),Data!#REF!&lt;=(TODAY()-(Data_Val!$J$2*365.25))),0,1),1))</f>
        <v>#REF!</v>
      </c>
      <c r="R502" s="17" t="e">
        <f>IF(Data!#REF!="","",IF(ISNUMBER(MATCH(Data!#REF!,Data_Val!$B$2:$B$15,0)),0,1))</f>
        <v>#REF!</v>
      </c>
      <c r="S502" s="11" t="str">
        <f>IF(Data!G502="","",IF(Data!G502=Data_Val!$C$2,IF(Data!M502="",0,1),0))</f>
        <v/>
      </c>
      <c r="T502" s="11" t="str">
        <f>IF(Data!M502="","",IF(ISNUMBER(MATCH(Data!N502,Data_Val!$A$2:$A$3,0)),0,1))</f>
        <v/>
      </c>
      <c r="U502" s="11" t="str">
        <f ca="1">IF(Data!M502="","",IF(ISNUMBER(Data!O502),IF(AND(Data!O502&gt;(TODAY()-(Data_Val!$K$3*365.25)),Data!O502&lt;=(TODAY()-(Data_Val!$K$2*365.25))),0,1),1))</f>
        <v/>
      </c>
      <c r="V502" s="12" t="str">
        <f>IF(Data!G502="","",IF(Data!G502=Data_Val!$C$2,IF(Data!P502="",0,1),0))</f>
        <v/>
      </c>
      <c r="W502" s="12" t="str">
        <f>IF(Data!P502="","",IF(ISNUMBER(MATCH(Data!Q502,Data_Val!$A$2:$A$3,0)),0,1))</f>
        <v/>
      </c>
      <c r="X502" s="26" t="str">
        <f ca="1">IF(Data!P502="","",IF(ISNUMBER(Data!R502),IF(AND(Data!R502&gt;(TODAY()-(Data_Val!$L$3*365.25)),Data!R502&lt;=(TODAY()-(Data_Val!$L$2*365.25))),0,1),1))</f>
        <v/>
      </c>
      <c r="Y502" s="13" t="str">
        <f>IF(Data!$G502="","",IF(Data!$G502=Data_Val!$C$2,IF(Data!S502="",0,1),0))</f>
        <v/>
      </c>
      <c r="Z502" s="13" t="str">
        <f>IF(Data!S502="","",IF(ISNUMBER(MATCH(Data!T502,Data_Val!$A$2:$A$3,0)),0,1))</f>
        <v/>
      </c>
      <c r="AA502" s="28" t="str">
        <f ca="1">IF(Data!S502="","",IF(ISNUMBER(Data!U502),IF(AND(Data!U502&gt;(TODAY()-(Data_Val!$L$3*365.25)),Data!U502&lt;=(TODAY()-(Data_Val!$L$2*365.25))),0,1),1))</f>
        <v/>
      </c>
      <c r="AB502" s="11"/>
      <c r="AC502" s="11" t="e">
        <f>IF(Data!#REF!="","",IF(ISNUMBER(MATCH(Data!#REF!,Data_Val!$A$2:$A$3,0)),0,1))</f>
        <v>#REF!</v>
      </c>
      <c r="AD502" s="11" t="e">
        <f ca="1">IF(Data!#REF!="","",IF(ISNUMBER(Data!#REF!),IF(AND(Data!#REF!&gt;(TODAY()-(Data_Val!$L$3*365.25)),Data!#REF!&lt;=(TODAY()-(Data_Val!$L$2*365.25))),0,1),1))</f>
        <v>#REF!</v>
      </c>
      <c r="AE502" s="11" t="e">
        <f>IF(Data!#REF!="","",IF(Data!$G502="",1,IF(ISNUMBER(MATCH(Data!#REF!,Data_Val!$D$2:$D$10,0)),0,1)))</f>
        <v>#REF!</v>
      </c>
      <c r="AF502" s="12"/>
      <c r="AG502" s="12" t="e">
        <f>IF(Data!#REF!="","",IF(ISNUMBER(MATCH(Data!#REF!,Data_Val!$A$2:$A$3,0)),0,1))</f>
        <v>#REF!</v>
      </c>
      <c r="AH502" s="26" t="e">
        <f ca="1">IF(Data!#REF!="","",IF(ISNUMBER(Data!#REF!),IF(AND(Data!#REF!&gt;(TODAY()-(Data_Val!$L$3*365.25)),Data!#REF!&lt;=(TODAY()-(Data_Val!$L$2*365.25))),0,1),1))</f>
        <v>#REF!</v>
      </c>
      <c r="AI502" s="12" t="e">
        <f>IF(Data!#REF!="","",IF(Data!$G502="",1,IF(ISNUMBER(MATCH(Data!#REF!,Data_Val!$D$2:$D$10,0)),0,1)))</f>
        <v>#REF!</v>
      </c>
      <c r="AJ502" s="17"/>
      <c r="AK502" s="17" t="e">
        <f>IF(Data!#REF!="","",IF(ISNUMBER(MATCH(Data!#REF!,Data_Val!$A$2:$A$3,0)),0,1))</f>
        <v>#REF!</v>
      </c>
      <c r="AL502" s="25" t="e">
        <f ca="1">IF(Data!#REF!="","",IF(ISNUMBER(Data!#REF!),IF(AND(Data!#REF!&gt;(TODAY()-(Data_Val!$L$3*365.25)),Data!#REF!&lt;=(TODAY()-(Data_Val!$L$2*365.25))),0,1),1))</f>
        <v>#REF!</v>
      </c>
      <c r="AM502" s="17" t="e">
        <f>IF(Data!#REF!="","",IF(Data!$G502="",1,IF(ISNUMBER(MATCH(Data!#REF!,Data_Val!$D$2:$D$10,0)),0,1)))</f>
        <v>#REF!</v>
      </c>
      <c r="AN502" s="13"/>
      <c r="AO502" s="28" t="e">
        <f ca="1">IF(Data!#REF!="","",IF(ISNUMBER(Data!#REF!),IF(AND(Data!#REF!&gt;(TODAY()-(Data_Val!$I$3*365.25)),Data!#REF!&lt;=(TODAY()-(Data_Val!$I$2*365.25))),0,1),1))</f>
        <v>#REF!</v>
      </c>
      <c r="AP502" s="13" t="e">
        <f>IF(Data!#REF!="","",IF(Data!$G502="",1,IF(ISNUMBER(MATCH(Data!#REF!,Data_Val!$D$2:$D$10,0)),0,1)))</f>
        <v>#REF!</v>
      </c>
      <c r="AQ502" s="17"/>
      <c r="AR502" s="30" t="e">
        <f ca="1">IF(Data!#REF!="","",IF(ISNUMBER(Data!#REF!),IF(AND(Data!#REF!&gt;(TODAY()-(Data_Val!$I$3*365.25)),Data!#REF!&lt;=(TODAY()-(Data_Val!$I$2*365.25))),0,1),1))</f>
        <v>#REF!</v>
      </c>
      <c r="AS502" s="31" t="e">
        <f>IF(Data!#REF!="","",IF(Data!$G502="",1,IF(ISNUMBER(MATCH(Data!#REF!,Data_Val!$D$2:$D$10,0)),0,1)))</f>
        <v>#REF!</v>
      </c>
      <c r="AT502" s="11"/>
      <c r="AU502" s="11" t="e">
        <f ca="1">IF(Data!#REF!="","",IF(ISNUMBER(Data!#REF!),IF(AND(Data!#REF!&gt;(TODAY()-(Data_Val!$I$3*365.25)),Data!#REF!&lt;=(TODAY()-(Data_Val!$I$2*365.25))),0,1),1))</f>
        <v>#REF!</v>
      </c>
      <c r="AV502" s="11" t="e">
        <f>IF(Data!#REF!="","",IF(Data!$G502="",1,IF(ISNUMBER(MATCH(Data!#REF!,Data_Val!$D$2:$D$10,0)),0,1)))</f>
        <v>#REF!</v>
      </c>
      <c r="AW502" s="12"/>
      <c r="AX502" s="26" t="e">
        <f ca="1">IF(Data!#REF!="","",IF(ISNUMBER(Data!#REF!),IF(AND(Data!#REF!&gt;(TODAY()-(Data_Val!$I$3*365.25)),Data!#REF!&lt;=(TODAY()-(Data_Val!$I$2*365.25))),0,1),1))</f>
        <v>#REF!</v>
      </c>
      <c r="AY502" s="12" t="e">
        <f>IF(Data!#REF!="","",IF(Data!$G502="",1,IF(ISNUMBER(MATCH(Data!#REF!,Data_Val!$D$2:$D$10,0)),0,1)))</f>
        <v>#REF!</v>
      </c>
      <c r="AZ502" s="11"/>
      <c r="BA502" s="19" t="e">
        <f ca="1">IF(Data!#REF!="","",IF(ISNUMBER(Data!#REF!),IF(AND(Data!#REF!&gt;(TODAY()-(Data_Val!$M$3*365.25)),Data!#REF!&lt;=(TODAY()-(Data_Val!$M$2*365.25))),0,1),1))</f>
        <v>#REF!</v>
      </c>
      <c r="BB502" s="11" t="e">
        <f>IF(Data!#REF!="","",IF(Data!$G502="",1,IF(ISNUMBER(MATCH(Data!#REF!,Data_Val!$D$2:$D$10,0)),0,1)))</f>
        <v>#REF!</v>
      </c>
      <c r="BC502" s="12"/>
      <c r="BD502" s="20" t="e">
        <f ca="1">IF(Data!#REF!="","",IF(ISNUMBER(Data!#REF!),IF(AND(Data!#REF!&gt;(TODAY()-(Data_Val!$M$3*365.25)),Data!#REF!&lt;=(TODAY()-(Data_Val!$M$2*365.25))),0,1),1))</f>
        <v>#REF!</v>
      </c>
      <c r="BE502" s="12" t="e">
        <f>IF(Data!#REF!="","",IF(Data!$G502="",1,IF(ISNUMBER(MATCH(Data!#REF!,Data_Val!$D$2:$D$10,0)),0,1)))</f>
        <v>#REF!</v>
      </c>
      <c r="BF502" s="17"/>
      <c r="BG502" s="18" t="e">
        <f ca="1">IF(Data!#REF!="","",IF(ISNUMBER(Data!#REF!),IF(AND(Data!#REF!&gt;(TODAY()-(Data_Val!$M$3*365.25)),Data!#REF!&lt;=(TODAY()-(Data_Val!$M$2*365.25))),0,1),1))</f>
        <v>#REF!</v>
      </c>
      <c r="BH502" s="29" t="e">
        <f>IF(Data!#REF!="","",IF(Data!$G502="",1,IF(ISNUMBER(MATCH(Data!#REF!,Data_Val!$D$2:$D$10,0)),0,1)))</f>
        <v>#REF!</v>
      </c>
      <c r="BI502" s="13"/>
      <c r="BJ502" s="21" t="e">
        <f ca="1">IF(Data!#REF!="","",IF(ISNUMBER(Data!#REF!),IF(AND(Data!#REF!&gt;(TODAY()-(Data_Val!$M$3*365.25)),Data!#REF!&lt;=(TODAY()-(Data_Val!$M$2*365.25))),0,1),1))</f>
        <v>#REF!</v>
      </c>
      <c r="BK502" s="13" t="e">
        <f>IF(Data!#REF!="","",IF(Data!$G502="",1,IF(ISNUMBER(MATCH(Data!#REF!,Data_Val!$D$2:$D$10,0)),0,1)))</f>
        <v>#REF!</v>
      </c>
    </row>
    <row r="503" spans="1:63" x14ac:dyDescent="0.25">
      <c r="A503" s="9" t="str">
        <f>IF(Data!B503="","",IF(COUNTIFS(Data!A$1:'Data'!A503,Data!A503)&lt;=1,0,1))</f>
        <v/>
      </c>
      <c r="B503" s="9"/>
      <c r="C503" s="23" t="str">
        <f>IF(Data!C503="","",(IF(ISNUMBER(MATCH("*@*.?*",Data!C503,0)),0,1)+IF(COUNTIFS(Data!C$1:'Data'!C503,Data!C503)&gt;1,1,0)))</f>
        <v/>
      </c>
      <c r="D503" s="9" t="str">
        <f>IF(Data!B503="","",IF(ISNUMBER(Data!D503),IF(AND(Data!D503&gt;999999999,Data!D503&lt;=9999999999),IF(COUNTIFS(Data!D$1:'Data'!D503,Data!D503)&lt;=1,0,1),1),1))</f>
        <v/>
      </c>
      <c r="E503" s="9" t="str">
        <f>IF(Data!B503="","",IF(ISNUMBER(MATCH(Data!E503,Data_Val!$A$2:$A$3,0)),0,1))</f>
        <v/>
      </c>
      <c r="F503" s="9" t="str">
        <f ca="1">IF(Data!B503="","",IF(ISNUMBER(Data!F503),IF(AND(Data!F503&gt;(TODAY()-(Data_Val!$H$3*365.25)),Data!F503&lt;=(TODAY()-(Data_Val!$H$2*365.25))),0,1),1))</f>
        <v/>
      </c>
      <c r="G503" s="15" t="str">
        <f>IF(Data!B503="","",IF(AND(Data!G503="",Data!H503&lt;&gt;""),1,IF(Data!#REF!&lt;&gt;"",0,IF(ISNUMBER(MATCH(Data!G503,Data_Val!$C$2:$C$5,0)),0,1))))</f>
        <v/>
      </c>
      <c r="H503" s="15" t="str">
        <f>IF(Data!B503="","",IF(AND(Data!G503&lt;&gt;"",Data!H503=""),1,IF(Data!#REF!&lt;&gt;"",0,IF(Data!G503="",1,IF(ISNUMBER(MATCH(Data!H503,Data_Val!$D$2:$D$35,0)),0,1)))))</f>
        <v/>
      </c>
      <c r="I503" s="15" t="str">
        <f>IF(Data!B503="","",IF(Data!G503&lt;&gt;"",0,IF(ISNUMBER(MATCH(Data!#REF!,Data_Val!$E$2:$E$12,0)),0,1)))</f>
        <v/>
      </c>
      <c r="J503" s="16" t="e">
        <f>IF(OR(Data!B503="",Data!#REF!=""),"",IF(Data!#REF!="",1,0))</f>
        <v>#REF!</v>
      </c>
      <c r="K503" s="16" t="e">
        <f>IF(OR(Data!B503="",Data!#REF!=""),"",IF(Data!#REF!="",1,0))</f>
        <v>#REF!</v>
      </c>
      <c r="L503" s="16" t="e">
        <f>IF(OR(Data!B503="",Data!#REF!=""),"",IF(ISNUMBER(Data!#REF!),IF(AND(Data!#REF!&gt;Data_Val!$G$2,Data!#REF!&lt;=Data_Val!$G$3),0,1),1))</f>
        <v>#REF!</v>
      </c>
      <c r="M503" s="9" t="e">
        <f>IF(OR(Data!B503="",Data!#REF!=""),"",IF(ISNUMBER(MATCH(Data!#REF!,Data_Val!$F$1:$F$38,0)),0,1))</f>
        <v>#REF!</v>
      </c>
      <c r="N503" s="9" t="e">
        <f>IF(OR(Data!B503="",Data!#REF!=""),"",IF(Data!#REF!="",1,0))</f>
        <v>#REF!</v>
      </c>
      <c r="O503" s="17" t="e">
        <f>IF(Data!#REF!="","",IF(Data!#REF!="",1,0))</f>
        <v>#REF!</v>
      </c>
      <c r="P503" s="17" t="e">
        <f>IF(Data!#REF!="","",IF(ISNUMBER(MATCH(Data!#REF!,Data_Val!$A$2:$A$3,0)),0,1))</f>
        <v>#REF!</v>
      </c>
      <c r="Q503" s="25" t="e">
        <f ca="1">IF(Data!#REF!="","",IF(ISNUMBER(Data!#REF!),IF(AND(Data!#REF!&gt;(TODAY()-(Data_Val!$J$3*365.25)),Data!#REF!&lt;=(TODAY()-(Data_Val!$J$2*365.25))),0,1),1))</f>
        <v>#REF!</v>
      </c>
      <c r="R503" s="17" t="e">
        <f>IF(Data!#REF!="","",IF(ISNUMBER(MATCH(Data!#REF!,Data_Val!$B$2:$B$15,0)),0,1))</f>
        <v>#REF!</v>
      </c>
      <c r="S503" s="11" t="str">
        <f>IF(Data!G503="","",IF(Data!G503=Data_Val!$C$2,IF(Data!M503="",0,1),0))</f>
        <v/>
      </c>
      <c r="T503" s="11" t="str">
        <f>IF(Data!M503="","",IF(ISNUMBER(MATCH(Data!N503,Data_Val!$A$2:$A$3,0)),0,1))</f>
        <v/>
      </c>
      <c r="U503" s="11" t="str">
        <f ca="1">IF(Data!M503="","",IF(ISNUMBER(Data!O503),IF(AND(Data!O503&gt;(TODAY()-(Data_Val!$K$3*365.25)),Data!O503&lt;=(TODAY()-(Data_Val!$K$2*365.25))),0,1),1))</f>
        <v/>
      </c>
      <c r="V503" s="12" t="str">
        <f>IF(Data!G503="","",IF(Data!G503=Data_Val!$C$2,IF(Data!P503="",0,1),0))</f>
        <v/>
      </c>
      <c r="W503" s="12" t="str">
        <f>IF(Data!P503="","",IF(ISNUMBER(MATCH(Data!Q503,Data_Val!$A$2:$A$3,0)),0,1))</f>
        <v/>
      </c>
      <c r="X503" s="26" t="str">
        <f ca="1">IF(Data!P503="","",IF(ISNUMBER(Data!R503),IF(AND(Data!R503&gt;(TODAY()-(Data_Val!$L$3*365.25)),Data!R503&lt;=(TODAY()-(Data_Val!$L$2*365.25))),0,1),1))</f>
        <v/>
      </c>
      <c r="Y503" s="13" t="str">
        <f>IF(Data!$G503="","",IF(Data!$G503=Data_Val!$C$2,IF(Data!S503="",0,1),0))</f>
        <v/>
      </c>
      <c r="Z503" s="13" t="str">
        <f>IF(Data!S503="","",IF(ISNUMBER(MATCH(Data!T503,Data_Val!$A$2:$A$3,0)),0,1))</f>
        <v/>
      </c>
      <c r="AA503" s="28" t="str">
        <f ca="1">IF(Data!S503="","",IF(ISNUMBER(Data!U503),IF(AND(Data!U503&gt;(TODAY()-(Data_Val!$L$3*365.25)),Data!U503&lt;=(TODAY()-(Data_Val!$L$2*365.25))),0,1),1))</f>
        <v/>
      </c>
      <c r="AB503" s="11"/>
      <c r="AC503" s="11" t="e">
        <f>IF(Data!#REF!="","",IF(ISNUMBER(MATCH(Data!#REF!,Data_Val!$A$2:$A$3,0)),0,1))</f>
        <v>#REF!</v>
      </c>
      <c r="AD503" s="11" t="e">
        <f ca="1">IF(Data!#REF!="","",IF(ISNUMBER(Data!#REF!),IF(AND(Data!#REF!&gt;(TODAY()-(Data_Val!$L$3*365.25)),Data!#REF!&lt;=(TODAY()-(Data_Val!$L$2*365.25))),0,1),1))</f>
        <v>#REF!</v>
      </c>
      <c r="AE503" s="11" t="e">
        <f>IF(Data!#REF!="","",IF(Data!$G503="",1,IF(ISNUMBER(MATCH(Data!#REF!,Data_Val!$D$2:$D$10,0)),0,1)))</f>
        <v>#REF!</v>
      </c>
      <c r="AF503" s="12"/>
      <c r="AG503" s="12" t="e">
        <f>IF(Data!#REF!="","",IF(ISNUMBER(MATCH(Data!#REF!,Data_Val!$A$2:$A$3,0)),0,1))</f>
        <v>#REF!</v>
      </c>
      <c r="AH503" s="26" t="e">
        <f ca="1">IF(Data!#REF!="","",IF(ISNUMBER(Data!#REF!),IF(AND(Data!#REF!&gt;(TODAY()-(Data_Val!$L$3*365.25)),Data!#REF!&lt;=(TODAY()-(Data_Val!$L$2*365.25))),0,1),1))</f>
        <v>#REF!</v>
      </c>
      <c r="AI503" s="12" t="e">
        <f>IF(Data!#REF!="","",IF(Data!$G503="",1,IF(ISNUMBER(MATCH(Data!#REF!,Data_Val!$D$2:$D$10,0)),0,1)))</f>
        <v>#REF!</v>
      </c>
      <c r="AJ503" s="17"/>
      <c r="AK503" s="17" t="e">
        <f>IF(Data!#REF!="","",IF(ISNUMBER(MATCH(Data!#REF!,Data_Val!$A$2:$A$3,0)),0,1))</f>
        <v>#REF!</v>
      </c>
      <c r="AL503" s="25" t="e">
        <f ca="1">IF(Data!#REF!="","",IF(ISNUMBER(Data!#REF!),IF(AND(Data!#REF!&gt;(TODAY()-(Data_Val!$L$3*365.25)),Data!#REF!&lt;=(TODAY()-(Data_Val!$L$2*365.25))),0,1),1))</f>
        <v>#REF!</v>
      </c>
      <c r="AM503" s="17" t="e">
        <f>IF(Data!#REF!="","",IF(Data!$G503="",1,IF(ISNUMBER(MATCH(Data!#REF!,Data_Val!$D$2:$D$10,0)),0,1)))</f>
        <v>#REF!</v>
      </c>
      <c r="AN503" s="13"/>
      <c r="AO503" s="28" t="e">
        <f ca="1">IF(Data!#REF!="","",IF(ISNUMBER(Data!#REF!),IF(AND(Data!#REF!&gt;(TODAY()-(Data_Val!$I$3*365.25)),Data!#REF!&lt;=(TODAY()-(Data_Val!$I$2*365.25))),0,1),1))</f>
        <v>#REF!</v>
      </c>
      <c r="AP503" s="13" t="e">
        <f>IF(Data!#REF!="","",IF(Data!$G503="",1,IF(ISNUMBER(MATCH(Data!#REF!,Data_Val!$D$2:$D$10,0)),0,1)))</f>
        <v>#REF!</v>
      </c>
      <c r="AQ503" s="17"/>
      <c r="AR503" s="30" t="e">
        <f ca="1">IF(Data!#REF!="","",IF(ISNUMBER(Data!#REF!),IF(AND(Data!#REF!&gt;(TODAY()-(Data_Val!$I$3*365.25)),Data!#REF!&lt;=(TODAY()-(Data_Val!$I$2*365.25))),0,1),1))</f>
        <v>#REF!</v>
      </c>
      <c r="AS503" s="31" t="e">
        <f>IF(Data!#REF!="","",IF(Data!$G503="",1,IF(ISNUMBER(MATCH(Data!#REF!,Data_Val!$D$2:$D$10,0)),0,1)))</f>
        <v>#REF!</v>
      </c>
      <c r="AT503" s="11"/>
      <c r="AU503" s="11" t="e">
        <f ca="1">IF(Data!#REF!="","",IF(ISNUMBER(Data!#REF!),IF(AND(Data!#REF!&gt;(TODAY()-(Data_Val!$I$3*365.25)),Data!#REF!&lt;=(TODAY()-(Data_Val!$I$2*365.25))),0,1),1))</f>
        <v>#REF!</v>
      </c>
      <c r="AV503" s="11" t="e">
        <f>IF(Data!#REF!="","",IF(Data!$G503="",1,IF(ISNUMBER(MATCH(Data!#REF!,Data_Val!$D$2:$D$10,0)),0,1)))</f>
        <v>#REF!</v>
      </c>
      <c r="AW503" s="12"/>
      <c r="AX503" s="26" t="e">
        <f ca="1">IF(Data!#REF!="","",IF(ISNUMBER(Data!#REF!),IF(AND(Data!#REF!&gt;(TODAY()-(Data_Val!$I$3*365.25)),Data!#REF!&lt;=(TODAY()-(Data_Val!$I$2*365.25))),0,1),1))</f>
        <v>#REF!</v>
      </c>
      <c r="AY503" s="12" t="e">
        <f>IF(Data!#REF!="","",IF(Data!$G503="",1,IF(ISNUMBER(MATCH(Data!#REF!,Data_Val!$D$2:$D$10,0)),0,1)))</f>
        <v>#REF!</v>
      </c>
      <c r="AZ503" s="11"/>
      <c r="BA503" s="19" t="e">
        <f ca="1">IF(Data!#REF!="","",IF(ISNUMBER(Data!#REF!),IF(AND(Data!#REF!&gt;(TODAY()-(Data_Val!$M$3*365.25)),Data!#REF!&lt;=(TODAY()-(Data_Val!$M$2*365.25))),0,1),1))</f>
        <v>#REF!</v>
      </c>
      <c r="BB503" s="11" t="e">
        <f>IF(Data!#REF!="","",IF(Data!$G503="",1,IF(ISNUMBER(MATCH(Data!#REF!,Data_Val!$D$2:$D$10,0)),0,1)))</f>
        <v>#REF!</v>
      </c>
      <c r="BC503" s="12"/>
      <c r="BD503" s="20" t="e">
        <f ca="1">IF(Data!#REF!="","",IF(ISNUMBER(Data!#REF!),IF(AND(Data!#REF!&gt;(TODAY()-(Data_Val!$M$3*365.25)),Data!#REF!&lt;=(TODAY()-(Data_Val!$M$2*365.25))),0,1),1))</f>
        <v>#REF!</v>
      </c>
      <c r="BE503" s="12" t="e">
        <f>IF(Data!#REF!="","",IF(Data!$G503="",1,IF(ISNUMBER(MATCH(Data!#REF!,Data_Val!$D$2:$D$10,0)),0,1)))</f>
        <v>#REF!</v>
      </c>
      <c r="BF503" s="17"/>
      <c r="BG503" s="18" t="e">
        <f ca="1">IF(Data!#REF!="","",IF(ISNUMBER(Data!#REF!),IF(AND(Data!#REF!&gt;(TODAY()-(Data_Val!$M$3*365.25)),Data!#REF!&lt;=(TODAY()-(Data_Val!$M$2*365.25))),0,1),1))</f>
        <v>#REF!</v>
      </c>
      <c r="BH503" s="29" t="e">
        <f>IF(Data!#REF!="","",IF(Data!$G503="",1,IF(ISNUMBER(MATCH(Data!#REF!,Data_Val!$D$2:$D$10,0)),0,1)))</f>
        <v>#REF!</v>
      </c>
      <c r="BI503" s="13"/>
      <c r="BJ503" s="21" t="e">
        <f ca="1">IF(Data!#REF!="","",IF(ISNUMBER(Data!#REF!),IF(AND(Data!#REF!&gt;(TODAY()-(Data_Val!$M$3*365.25)),Data!#REF!&lt;=(TODAY()-(Data_Val!$M$2*365.25))),0,1),1))</f>
        <v>#REF!</v>
      </c>
      <c r="BK503" s="13" t="e">
        <f>IF(Data!#REF!="","",IF(Data!$G503="",1,IF(ISNUMBER(MATCH(Data!#REF!,Data_Val!$D$2:$D$10,0)),0,1)))</f>
        <v>#REF!</v>
      </c>
    </row>
    <row r="504" spans="1:63" x14ac:dyDescent="0.25">
      <c r="A504" s="9" t="str">
        <f>IF(Data!B504="","",IF(COUNTIFS(Data!A$1:'Data'!A504,Data!A504)&lt;=1,0,1))</f>
        <v/>
      </c>
      <c r="B504" s="9"/>
      <c r="C504" s="23" t="str">
        <f>IF(Data!C504="","",(IF(ISNUMBER(MATCH("*@*.?*",Data!C504,0)),0,1)+IF(COUNTIFS(Data!C$1:'Data'!C504,Data!C504)&gt;1,1,0)))</f>
        <v/>
      </c>
      <c r="D504" s="9" t="str">
        <f>IF(Data!B504="","",IF(ISNUMBER(Data!D504),IF(AND(Data!D504&gt;999999999,Data!D504&lt;=9999999999),IF(COUNTIFS(Data!D$1:'Data'!D504,Data!D504)&lt;=1,0,1),1),1))</f>
        <v/>
      </c>
      <c r="E504" s="9" t="str">
        <f>IF(Data!B504="","",IF(ISNUMBER(MATCH(Data!E504,Data_Val!$A$2:$A$3,0)),0,1))</f>
        <v/>
      </c>
      <c r="F504" s="9" t="str">
        <f ca="1">IF(Data!B504="","",IF(ISNUMBER(Data!F504),IF(AND(Data!F504&gt;(TODAY()-(Data_Val!$H$3*365.25)),Data!F504&lt;=(TODAY()-(Data_Val!$H$2*365.25))),0,1),1))</f>
        <v/>
      </c>
      <c r="G504" s="15" t="str">
        <f>IF(Data!B504="","",IF(AND(Data!G504="",Data!H504&lt;&gt;""),1,IF(Data!#REF!&lt;&gt;"",0,IF(ISNUMBER(MATCH(Data!G504,Data_Val!$C$2:$C$5,0)),0,1))))</f>
        <v/>
      </c>
      <c r="H504" s="15" t="str">
        <f>IF(Data!B504="","",IF(AND(Data!G504&lt;&gt;"",Data!H504=""),1,IF(Data!#REF!&lt;&gt;"",0,IF(Data!G504="",1,IF(ISNUMBER(MATCH(Data!H504,Data_Val!$D$2:$D$35,0)),0,1)))))</f>
        <v/>
      </c>
      <c r="I504" s="15" t="str">
        <f>IF(Data!B504="","",IF(Data!G504&lt;&gt;"",0,IF(ISNUMBER(MATCH(Data!#REF!,Data_Val!$E$2:$E$12,0)),0,1)))</f>
        <v/>
      </c>
      <c r="J504" s="16" t="e">
        <f>IF(OR(Data!B504="",Data!#REF!=""),"",IF(Data!#REF!="",1,0))</f>
        <v>#REF!</v>
      </c>
      <c r="K504" s="16" t="e">
        <f>IF(OR(Data!B504="",Data!#REF!=""),"",IF(Data!#REF!="",1,0))</f>
        <v>#REF!</v>
      </c>
      <c r="L504" s="16" t="e">
        <f>IF(OR(Data!B504="",Data!#REF!=""),"",IF(ISNUMBER(Data!#REF!),IF(AND(Data!#REF!&gt;Data_Val!$G$2,Data!#REF!&lt;=Data_Val!$G$3),0,1),1))</f>
        <v>#REF!</v>
      </c>
      <c r="M504" s="9" t="e">
        <f>IF(OR(Data!B504="",Data!#REF!=""),"",IF(ISNUMBER(MATCH(Data!#REF!,Data_Val!$F$1:$F$38,0)),0,1))</f>
        <v>#REF!</v>
      </c>
      <c r="N504" s="9" t="e">
        <f>IF(OR(Data!B504="",Data!#REF!=""),"",IF(Data!#REF!="",1,0))</f>
        <v>#REF!</v>
      </c>
      <c r="O504" s="17" t="e">
        <f>IF(Data!#REF!="","",IF(Data!#REF!="",1,0))</f>
        <v>#REF!</v>
      </c>
      <c r="P504" s="17" t="e">
        <f>IF(Data!#REF!="","",IF(ISNUMBER(MATCH(Data!#REF!,Data_Val!$A$2:$A$3,0)),0,1))</f>
        <v>#REF!</v>
      </c>
      <c r="Q504" s="25" t="e">
        <f ca="1">IF(Data!#REF!="","",IF(ISNUMBER(Data!#REF!),IF(AND(Data!#REF!&gt;(TODAY()-(Data_Val!$J$3*365.25)),Data!#REF!&lt;=(TODAY()-(Data_Val!$J$2*365.25))),0,1),1))</f>
        <v>#REF!</v>
      </c>
      <c r="R504" s="17" t="e">
        <f>IF(Data!#REF!="","",IF(ISNUMBER(MATCH(Data!#REF!,Data_Val!$B$2:$B$15,0)),0,1))</f>
        <v>#REF!</v>
      </c>
      <c r="S504" s="11" t="str">
        <f>IF(Data!G504="","",IF(Data!G504=Data_Val!$C$2,IF(Data!M504="",0,1),0))</f>
        <v/>
      </c>
      <c r="T504" s="11" t="str">
        <f>IF(Data!M504="","",IF(ISNUMBER(MATCH(Data!N504,Data_Val!$A$2:$A$3,0)),0,1))</f>
        <v/>
      </c>
      <c r="U504" s="11" t="str">
        <f ca="1">IF(Data!M504="","",IF(ISNUMBER(Data!O504),IF(AND(Data!O504&gt;(TODAY()-(Data_Val!$K$3*365.25)),Data!O504&lt;=(TODAY()-(Data_Val!$K$2*365.25))),0,1),1))</f>
        <v/>
      </c>
      <c r="V504" s="12" t="str">
        <f>IF(Data!G504="","",IF(Data!G504=Data_Val!$C$2,IF(Data!P504="",0,1),0))</f>
        <v/>
      </c>
      <c r="W504" s="12" t="str">
        <f>IF(Data!P504="","",IF(ISNUMBER(MATCH(Data!Q504,Data_Val!$A$2:$A$3,0)),0,1))</f>
        <v/>
      </c>
      <c r="X504" s="26" t="str">
        <f ca="1">IF(Data!P504="","",IF(ISNUMBER(Data!R504),IF(AND(Data!R504&gt;(TODAY()-(Data_Val!$L$3*365.25)),Data!R504&lt;=(TODAY()-(Data_Val!$L$2*365.25))),0,1),1))</f>
        <v/>
      </c>
      <c r="Y504" s="13" t="str">
        <f>IF(Data!$G504="","",IF(Data!$G504=Data_Val!$C$2,IF(Data!S504="",0,1),0))</f>
        <v/>
      </c>
      <c r="Z504" s="13" t="str">
        <f>IF(Data!S504="","",IF(ISNUMBER(MATCH(Data!T504,Data_Val!$A$2:$A$3,0)),0,1))</f>
        <v/>
      </c>
      <c r="AA504" s="28" t="str">
        <f ca="1">IF(Data!S504="","",IF(ISNUMBER(Data!U504),IF(AND(Data!U504&gt;(TODAY()-(Data_Val!$L$3*365.25)),Data!U504&lt;=(TODAY()-(Data_Val!$L$2*365.25))),0,1),1))</f>
        <v/>
      </c>
      <c r="AB504" s="11"/>
      <c r="AC504" s="11" t="e">
        <f>IF(Data!#REF!="","",IF(ISNUMBER(MATCH(Data!#REF!,Data_Val!$A$2:$A$3,0)),0,1))</f>
        <v>#REF!</v>
      </c>
      <c r="AD504" s="11" t="e">
        <f ca="1">IF(Data!#REF!="","",IF(ISNUMBER(Data!#REF!),IF(AND(Data!#REF!&gt;(TODAY()-(Data_Val!$L$3*365.25)),Data!#REF!&lt;=(TODAY()-(Data_Val!$L$2*365.25))),0,1),1))</f>
        <v>#REF!</v>
      </c>
      <c r="AE504" s="11" t="e">
        <f>IF(Data!#REF!="","",IF(Data!$G504="",1,IF(ISNUMBER(MATCH(Data!#REF!,Data_Val!$D$2:$D$10,0)),0,1)))</f>
        <v>#REF!</v>
      </c>
      <c r="AF504" s="12"/>
      <c r="AG504" s="12" t="e">
        <f>IF(Data!#REF!="","",IF(ISNUMBER(MATCH(Data!#REF!,Data_Val!$A$2:$A$3,0)),0,1))</f>
        <v>#REF!</v>
      </c>
      <c r="AH504" s="26" t="e">
        <f ca="1">IF(Data!#REF!="","",IF(ISNUMBER(Data!#REF!),IF(AND(Data!#REF!&gt;(TODAY()-(Data_Val!$L$3*365.25)),Data!#REF!&lt;=(TODAY()-(Data_Val!$L$2*365.25))),0,1),1))</f>
        <v>#REF!</v>
      </c>
      <c r="AI504" s="12" t="e">
        <f>IF(Data!#REF!="","",IF(Data!$G504="",1,IF(ISNUMBER(MATCH(Data!#REF!,Data_Val!$D$2:$D$10,0)),0,1)))</f>
        <v>#REF!</v>
      </c>
      <c r="AJ504" s="17"/>
      <c r="AK504" s="17" t="e">
        <f>IF(Data!#REF!="","",IF(ISNUMBER(MATCH(Data!#REF!,Data_Val!$A$2:$A$3,0)),0,1))</f>
        <v>#REF!</v>
      </c>
      <c r="AL504" s="25" t="e">
        <f ca="1">IF(Data!#REF!="","",IF(ISNUMBER(Data!#REF!),IF(AND(Data!#REF!&gt;(TODAY()-(Data_Val!$L$3*365.25)),Data!#REF!&lt;=(TODAY()-(Data_Val!$L$2*365.25))),0,1),1))</f>
        <v>#REF!</v>
      </c>
      <c r="AM504" s="17" t="e">
        <f>IF(Data!#REF!="","",IF(Data!$G504="",1,IF(ISNUMBER(MATCH(Data!#REF!,Data_Val!$D$2:$D$10,0)),0,1)))</f>
        <v>#REF!</v>
      </c>
      <c r="AN504" s="13"/>
      <c r="AO504" s="28" t="e">
        <f ca="1">IF(Data!#REF!="","",IF(ISNUMBER(Data!#REF!),IF(AND(Data!#REF!&gt;(TODAY()-(Data_Val!$I$3*365.25)),Data!#REF!&lt;=(TODAY()-(Data_Val!$I$2*365.25))),0,1),1))</f>
        <v>#REF!</v>
      </c>
      <c r="AP504" s="13" t="e">
        <f>IF(Data!#REF!="","",IF(Data!$G504="",1,IF(ISNUMBER(MATCH(Data!#REF!,Data_Val!$D$2:$D$10,0)),0,1)))</f>
        <v>#REF!</v>
      </c>
      <c r="AQ504" s="17"/>
      <c r="AR504" s="30" t="e">
        <f ca="1">IF(Data!#REF!="","",IF(ISNUMBER(Data!#REF!),IF(AND(Data!#REF!&gt;(TODAY()-(Data_Val!$I$3*365.25)),Data!#REF!&lt;=(TODAY()-(Data_Val!$I$2*365.25))),0,1),1))</f>
        <v>#REF!</v>
      </c>
      <c r="AS504" s="31" t="e">
        <f>IF(Data!#REF!="","",IF(Data!$G504="",1,IF(ISNUMBER(MATCH(Data!#REF!,Data_Val!$D$2:$D$10,0)),0,1)))</f>
        <v>#REF!</v>
      </c>
      <c r="AT504" s="11"/>
      <c r="AU504" s="11" t="e">
        <f ca="1">IF(Data!#REF!="","",IF(ISNUMBER(Data!#REF!),IF(AND(Data!#REF!&gt;(TODAY()-(Data_Val!$I$3*365.25)),Data!#REF!&lt;=(TODAY()-(Data_Val!$I$2*365.25))),0,1),1))</f>
        <v>#REF!</v>
      </c>
      <c r="AV504" s="11" t="e">
        <f>IF(Data!#REF!="","",IF(Data!$G504="",1,IF(ISNUMBER(MATCH(Data!#REF!,Data_Val!$D$2:$D$10,0)),0,1)))</f>
        <v>#REF!</v>
      </c>
      <c r="AW504" s="12"/>
      <c r="AX504" s="26" t="e">
        <f ca="1">IF(Data!#REF!="","",IF(ISNUMBER(Data!#REF!),IF(AND(Data!#REF!&gt;(TODAY()-(Data_Val!$I$3*365.25)),Data!#REF!&lt;=(TODAY()-(Data_Val!$I$2*365.25))),0,1),1))</f>
        <v>#REF!</v>
      </c>
      <c r="AY504" s="12" t="e">
        <f>IF(Data!#REF!="","",IF(Data!$G504="",1,IF(ISNUMBER(MATCH(Data!#REF!,Data_Val!$D$2:$D$10,0)),0,1)))</f>
        <v>#REF!</v>
      </c>
      <c r="AZ504" s="11"/>
      <c r="BA504" s="19" t="e">
        <f ca="1">IF(Data!#REF!="","",IF(ISNUMBER(Data!#REF!),IF(AND(Data!#REF!&gt;(TODAY()-(Data_Val!$M$3*365.25)),Data!#REF!&lt;=(TODAY()-(Data_Val!$M$2*365.25))),0,1),1))</f>
        <v>#REF!</v>
      </c>
      <c r="BB504" s="11" t="e">
        <f>IF(Data!#REF!="","",IF(Data!$G504="",1,IF(ISNUMBER(MATCH(Data!#REF!,Data_Val!$D$2:$D$10,0)),0,1)))</f>
        <v>#REF!</v>
      </c>
      <c r="BC504" s="12"/>
      <c r="BD504" s="20" t="e">
        <f ca="1">IF(Data!#REF!="","",IF(ISNUMBER(Data!#REF!),IF(AND(Data!#REF!&gt;(TODAY()-(Data_Val!$M$3*365.25)),Data!#REF!&lt;=(TODAY()-(Data_Val!$M$2*365.25))),0,1),1))</f>
        <v>#REF!</v>
      </c>
      <c r="BE504" s="12" t="e">
        <f>IF(Data!#REF!="","",IF(Data!$G504="",1,IF(ISNUMBER(MATCH(Data!#REF!,Data_Val!$D$2:$D$10,0)),0,1)))</f>
        <v>#REF!</v>
      </c>
      <c r="BF504" s="17"/>
      <c r="BG504" s="18" t="e">
        <f ca="1">IF(Data!#REF!="","",IF(ISNUMBER(Data!#REF!),IF(AND(Data!#REF!&gt;(TODAY()-(Data_Val!$M$3*365.25)),Data!#REF!&lt;=(TODAY()-(Data_Val!$M$2*365.25))),0,1),1))</f>
        <v>#REF!</v>
      </c>
      <c r="BH504" s="29" t="e">
        <f>IF(Data!#REF!="","",IF(Data!$G504="",1,IF(ISNUMBER(MATCH(Data!#REF!,Data_Val!$D$2:$D$10,0)),0,1)))</f>
        <v>#REF!</v>
      </c>
      <c r="BI504" s="13"/>
      <c r="BJ504" s="21" t="e">
        <f ca="1">IF(Data!#REF!="","",IF(ISNUMBER(Data!#REF!),IF(AND(Data!#REF!&gt;(TODAY()-(Data_Val!$M$3*365.25)),Data!#REF!&lt;=(TODAY()-(Data_Val!$M$2*365.25))),0,1),1))</f>
        <v>#REF!</v>
      </c>
      <c r="BK504" s="13" t="e">
        <f>IF(Data!#REF!="","",IF(Data!$G504="",1,IF(ISNUMBER(MATCH(Data!#REF!,Data_Val!$D$2:$D$10,0)),0,1)))</f>
        <v>#REF!</v>
      </c>
    </row>
    <row r="505" spans="1:63" x14ac:dyDescent="0.25">
      <c r="A505" s="9" t="str">
        <f>IF(Data!B505="","",IF(COUNTIFS(Data!A$1:'Data'!A505,Data!A505)&lt;=1,0,1))</f>
        <v/>
      </c>
      <c r="B505" s="9"/>
      <c r="C505" s="23" t="str">
        <f>IF(Data!C505="","",(IF(ISNUMBER(MATCH("*@*.?*",Data!C505,0)),0,1)+IF(COUNTIFS(Data!C$1:'Data'!C505,Data!C505)&gt;1,1,0)))</f>
        <v/>
      </c>
      <c r="D505" s="9" t="str">
        <f>IF(Data!B505="","",IF(ISNUMBER(Data!D505),IF(AND(Data!D505&gt;999999999,Data!D505&lt;=9999999999),IF(COUNTIFS(Data!D$1:'Data'!D505,Data!D505)&lt;=1,0,1),1),1))</f>
        <v/>
      </c>
      <c r="E505" s="9" t="str">
        <f>IF(Data!B505="","",IF(ISNUMBER(MATCH(Data!E505,Data_Val!$A$2:$A$3,0)),0,1))</f>
        <v/>
      </c>
      <c r="F505" s="9" t="str">
        <f ca="1">IF(Data!B505="","",IF(ISNUMBER(Data!F505),IF(AND(Data!F505&gt;(TODAY()-(Data_Val!$H$3*365.25)),Data!F505&lt;=(TODAY()-(Data_Val!$H$2*365.25))),0,1),1))</f>
        <v/>
      </c>
      <c r="G505" s="15" t="str">
        <f>IF(Data!B505="","",IF(AND(Data!G505="",Data!H505&lt;&gt;""),1,IF(Data!#REF!&lt;&gt;"",0,IF(ISNUMBER(MATCH(Data!G505,Data_Val!$C$2:$C$5,0)),0,1))))</f>
        <v/>
      </c>
      <c r="H505" s="15" t="str">
        <f>IF(Data!B505="","",IF(AND(Data!G505&lt;&gt;"",Data!H505=""),1,IF(Data!#REF!&lt;&gt;"",0,IF(Data!G505="",1,IF(ISNUMBER(MATCH(Data!H505,Data_Val!$D$2:$D$35,0)),0,1)))))</f>
        <v/>
      </c>
      <c r="I505" s="15" t="str">
        <f>IF(Data!B505="","",IF(Data!G505&lt;&gt;"",0,IF(ISNUMBER(MATCH(Data!#REF!,Data_Val!$E$2:$E$12,0)),0,1)))</f>
        <v/>
      </c>
      <c r="J505" s="16" t="e">
        <f>IF(OR(Data!B505="",Data!#REF!=""),"",IF(Data!#REF!="",1,0))</f>
        <v>#REF!</v>
      </c>
      <c r="K505" s="16" t="e">
        <f>IF(OR(Data!B505="",Data!#REF!=""),"",IF(Data!#REF!="",1,0))</f>
        <v>#REF!</v>
      </c>
      <c r="L505" s="16" t="e">
        <f>IF(OR(Data!B505="",Data!#REF!=""),"",IF(ISNUMBER(Data!#REF!),IF(AND(Data!#REF!&gt;Data_Val!$G$2,Data!#REF!&lt;=Data_Val!$G$3),0,1),1))</f>
        <v>#REF!</v>
      </c>
      <c r="M505" s="9" t="e">
        <f>IF(OR(Data!B505="",Data!#REF!=""),"",IF(ISNUMBER(MATCH(Data!#REF!,Data_Val!$F$1:$F$38,0)),0,1))</f>
        <v>#REF!</v>
      </c>
      <c r="N505" s="9" t="e">
        <f>IF(OR(Data!B505="",Data!#REF!=""),"",IF(Data!#REF!="",1,0))</f>
        <v>#REF!</v>
      </c>
      <c r="O505" s="17" t="e">
        <f>IF(Data!#REF!="","",IF(Data!#REF!="",1,0))</f>
        <v>#REF!</v>
      </c>
      <c r="P505" s="17" t="e">
        <f>IF(Data!#REF!="","",IF(ISNUMBER(MATCH(Data!#REF!,Data_Val!$A$2:$A$3,0)),0,1))</f>
        <v>#REF!</v>
      </c>
      <c r="Q505" s="25" t="e">
        <f ca="1">IF(Data!#REF!="","",IF(ISNUMBER(Data!#REF!),IF(AND(Data!#REF!&gt;(TODAY()-(Data_Val!$J$3*365.25)),Data!#REF!&lt;=(TODAY()-(Data_Val!$J$2*365.25))),0,1),1))</f>
        <v>#REF!</v>
      </c>
      <c r="R505" s="17" t="e">
        <f>IF(Data!#REF!="","",IF(ISNUMBER(MATCH(Data!#REF!,Data_Val!$B$2:$B$15,0)),0,1))</f>
        <v>#REF!</v>
      </c>
      <c r="S505" s="11" t="str">
        <f>IF(Data!G505="","",IF(Data!G505=Data_Val!$C$2,IF(Data!M505="",0,1),0))</f>
        <v/>
      </c>
      <c r="T505" s="11" t="str">
        <f>IF(Data!M505="","",IF(ISNUMBER(MATCH(Data!N505,Data_Val!$A$2:$A$3,0)),0,1))</f>
        <v/>
      </c>
      <c r="U505" s="11" t="str">
        <f ca="1">IF(Data!M505="","",IF(ISNUMBER(Data!O505),IF(AND(Data!O505&gt;(TODAY()-(Data_Val!$K$3*365.25)),Data!O505&lt;=(TODAY()-(Data_Val!$K$2*365.25))),0,1),1))</f>
        <v/>
      </c>
      <c r="V505" s="12" t="str">
        <f>IF(Data!G505="","",IF(Data!G505=Data_Val!$C$2,IF(Data!P505="",0,1),0))</f>
        <v/>
      </c>
      <c r="W505" s="12" t="str">
        <f>IF(Data!P505="","",IF(ISNUMBER(MATCH(Data!Q505,Data_Val!$A$2:$A$3,0)),0,1))</f>
        <v/>
      </c>
      <c r="X505" s="26" t="str">
        <f ca="1">IF(Data!P505="","",IF(ISNUMBER(Data!R505),IF(AND(Data!R505&gt;(TODAY()-(Data_Val!$L$3*365.25)),Data!R505&lt;=(TODAY()-(Data_Val!$L$2*365.25))),0,1),1))</f>
        <v/>
      </c>
      <c r="Y505" s="13" t="str">
        <f>IF(Data!$G505="","",IF(Data!$G505=Data_Val!$C$2,IF(Data!S505="",0,1),0))</f>
        <v/>
      </c>
      <c r="Z505" s="13" t="str">
        <f>IF(Data!S505="","",IF(ISNUMBER(MATCH(Data!T505,Data_Val!$A$2:$A$3,0)),0,1))</f>
        <v/>
      </c>
      <c r="AA505" s="28" t="str">
        <f ca="1">IF(Data!S505="","",IF(ISNUMBER(Data!U505),IF(AND(Data!U505&gt;(TODAY()-(Data_Val!$L$3*365.25)),Data!U505&lt;=(TODAY()-(Data_Val!$L$2*365.25))),0,1),1))</f>
        <v/>
      </c>
      <c r="AB505" s="11"/>
      <c r="AC505" s="11" t="e">
        <f>IF(Data!#REF!="","",IF(ISNUMBER(MATCH(Data!#REF!,Data_Val!$A$2:$A$3,0)),0,1))</f>
        <v>#REF!</v>
      </c>
      <c r="AD505" s="11" t="e">
        <f ca="1">IF(Data!#REF!="","",IF(ISNUMBER(Data!#REF!),IF(AND(Data!#REF!&gt;(TODAY()-(Data_Val!$L$3*365.25)),Data!#REF!&lt;=(TODAY()-(Data_Val!$L$2*365.25))),0,1),1))</f>
        <v>#REF!</v>
      </c>
      <c r="AE505" s="11" t="e">
        <f>IF(Data!#REF!="","",IF(Data!$G505="",1,IF(ISNUMBER(MATCH(Data!#REF!,Data_Val!$D$2:$D$10,0)),0,1)))</f>
        <v>#REF!</v>
      </c>
      <c r="AF505" s="12"/>
      <c r="AG505" s="12" t="e">
        <f>IF(Data!#REF!="","",IF(ISNUMBER(MATCH(Data!#REF!,Data_Val!$A$2:$A$3,0)),0,1))</f>
        <v>#REF!</v>
      </c>
      <c r="AH505" s="26" t="e">
        <f ca="1">IF(Data!#REF!="","",IF(ISNUMBER(Data!#REF!),IF(AND(Data!#REF!&gt;(TODAY()-(Data_Val!$L$3*365.25)),Data!#REF!&lt;=(TODAY()-(Data_Val!$L$2*365.25))),0,1),1))</f>
        <v>#REF!</v>
      </c>
      <c r="AI505" s="12" t="e">
        <f>IF(Data!#REF!="","",IF(Data!$G505="",1,IF(ISNUMBER(MATCH(Data!#REF!,Data_Val!$D$2:$D$10,0)),0,1)))</f>
        <v>#REF!</v>
      </c>
      <c r="AJ505" s="17"/>
      <c r="AK505" s="17" t="e">
        <f>IF(Data!#REF!="","",IF(ISNUMBER(MATCH(Data!#REF!,Data_Val!$A$2:$A$3,0)),0,1))</f>
        <v>#REF!</v>
      </c>
      <c r="AL505" s="25" t="e">
        <f ca="1">IF(Data!#REF!="","",IF(ISNUMBER(Data!#REF!),IF(AND(Data!#REF!&gt;(TODAY()-(Data_Val!$L$3*365.25)),Data!#REF!&lt;=(TODAY()-(Data_Val!$L$2*365.25))),0,1),1))</f>
        <v>#REF!</v>
      </c>
      <c r="AM505" s="17" t="e">
        <f>IF(Data!#REF!="","",IF(Data!$G505="",1,IF(ISNUMBER(MATCH(Data!#REF!,Data_Val!$D$2:$D$10,0)),0,1)))</f>
        <v>#REF!</v>
      </c>
      <c r="AN505" s="13"/>
      <c r="AO505" s="28" t="e">
        <f ca="1">IF(Data!#REF!="","",IF(ISNUMBER(Data!#REF!),IF(AND(Data!#REF!&gt;(TODAY()-(Data_Val!$I$3*365.25)),Data!#REF!&lt;=(TODAY()-(Data_Val!$I$2*365.25))),0,1),1))</f>
        <v>#REF!</v>
      </c>
      <c r="AP505" s="13" t="e">
        <f>IF(Data!#REF!="","",IF(Data!$G505="",1,IF(ISNUMBER(MATCH(Data!#REF!,Data_Val!$D$2:$D$10,0)),0,1)))</f>
        <v>#REF!</v>
      </c>
      <c r="AQ505" s="17"/>
      <c r="AR505" s="30" t="e">
        <f ca="1">IF(Data!#REF!="","",IF(ISNUMBER(Data!#REF!),IF(AND(Data!#REF!&gt;(TODAY()-(Data_Val!$I$3*365.25)),Data!#REF!&lt;=(TODAY()-(Data_Val!$I$2*365.25))),0,1),1))</f>
        <v>#REF!</v>
      </c>
      <c r="AS505" s="31" t="e">
        <f>IF(Data!#REF!="","",IF(Data!$G505="",1,IF(ISNUMBER(MATCH(Data!#REF!,Data_Val!$D$2:$D$10,0)),0,1)))</f>
        <v>#REF!</v>
      </c>
      <c r="AT505" s="11"/>
      <c r="AU505" s="11" t="e">
        <f ca="1">IF(Data!#REF!="","",IF(ISNUMBER(Data!#REF!),IF(AND(Data!#REF!&gt;(TODAY()-(Data_Val!$I$3*365.25)),Data!#REF!&lt;=(TODAY()-(Data_Val!$I$2*365.25))),0,1),1))</f>
        <v>#REF!</v>
      </c>
      <c r="AV505" s="11" t="e">
        <f>IF(Data!#REF!="","",IF(Data!$G505="",1,IF(ISNUMBER(MATCH(Data!#REF!,Data_Val!$D$2:$D$10,0)),0,1)))</f>
        <v>#REF!</v>
      </c>
      <c r="AW505" s="12"/>
      <c r="AX505" s="26" t="e">
        <f ca="1">IF(Data!#REF!="","",IF(ISNUMBER(Data!#REF!),IF(AND(Data!#REF!&gt;(TODAY()-(Data_Val!$I$3*365.25)),Data!#REF!&lt;=(TODAY()-(Data_Val!$I$2*365.25))),0,1),1))</f>
        <v>#REF!</v>
      </c>
      <c r="AY505" s="12" t="e">
        <f>IF(Data!#REF!="","",IF(Data!$G505="",1,IF(ISNUMBER(MATCH(Data!#REF!,Data_Val!$D$2:$D$10,0)),0,1)))</f>
        <v>#REF!</v>
      </c>
      <c r="AZ505" s="11"/>
      <c r="BA505" s="19" t="e">
        <f ca="1">IF(Data!#REF!="","",IF(ISNUMBER(Data!#REF!),IF(AND(Data!#REF!&gt;(TODAY()-(Data_Val!$M$3*365.25)),Data!#REF!&lt;=(TODAY()-(Data_Val!$M$2*365.25))),0,1),1))</f>
        <v>#REF!</v>
      </c>
      <c r="BB505" s="11" t="e">
        <f>IF(Data!#REF!="","",IF(Data!$G505="",1,IF(ISNUMBER(MATCH(Data!#REF!,Data_Val!$D$2:$D$10,0)),0,1)))</f>
        <v>#REF!</v>
      </c>
      <c r="BC505" s="12"/>
      <c r="BD505" s="20" t="e">
        <f ca="1">IF(Data!#REF!="","",IF(ISNUMBER(Data!#REF!),IF(AND(Data!#REF!&gt;(TODAY()-(Data_Val!$M$3*365.25)),Data!#REF!&lt;=(TODAY()-(Data_Val!$M$2*365.25))),0,1),1))</f>
        <v>#REF!</v>
      </c>
      <c r="BE505" s="12" t="e">
        <f>IF(Data!#REF!="","",IF(Data!$G505="",1,IF(ISNUMBER(MATCH(Data!#REF!,Data_Val!$D$2:$D$10,0)),0,1)))</f>
        <v>#REF!</v>
      </c>
      <c r="BF505" s="17"/>
      <c r="BG505" s="18" t="e">
        <f ca="1">IF(Data!#REF!="","",IF(ISNUMBER(Data!#REF!),IF(AND(Data!#REF!&gt;(TODAY()-(Data_Val!$M$3*365.25)),Data!#REF!&lt;=(TODAY()-(Data_Val!$M$2*365.25))),0,1),1))</f>
        <v>#REF!</v>
      </c>
      <c r="BH505" s="29" t="e">
        <f>IF(Data!#REF!="","",IF(Data!$G505="",1,IF(ISNUMBER(MATCH(Data!#REF!,Data_Val!$D$2:$D$10,0)),0,1)))</f>
        <v>#REF!</v>
      </c>
      <c r="BI505" s="13"/>
      <c r="BJ505" s="21" t="e">
        <f ca="1">IF(Data!#REF!="","",IF(ISNUMBER(Data!#REF!),IF(AND(Data!#REF!&gt;(TODAY()-(Data_Val!$M$3*365.25)),Data!#REF!&lt;=(TODAY()-(Data_Val!$M$2*365.25))),0,1),1))</f>
        <v>#REF!</v>
      </c>
      <c r="BK505" s="13" t="e">
        <f>IF(Data!#REF!="","",IF(Data!$G505="",1,IF(ISNUMBER(MATCH(Data!#REF!,Data_Val!$D$2:$D$10,0)),0,1)))</f>
        <v>#REF!</v>
      </c>
    </row>
    <row r="506" spans="1:63" x14ac:dyDescent="0.25">
      <c r="A506" s="9" t="str">
        <f>IF(Data!B506="","",IF(COUNTIFS(Data!A$1:'Data'!A506,Data!A506)&lt;=1,0,1))</f>
        <v/>
      </c>
      <c r="B506" s="9"/>
      <c r="C506" s="23" t="str">
        <f>IF(Data!C506="","",(IF(ISNUMBER(MATCH("*@*.?*",Data!C506,0)),0,1)+IF(COUNTIFS(Data!C$1:'Data'!C506,Data!C506)&gt;1,1,0)))</f>
        <v/>
      </c>
      <c r="D506" s="9" t="str">
        <f>IF(Data!B506="","",IF(ISNUMBER(Data!D506),IF(AND(Data!D506&gt;999999999,Data!D506&lt;=9999999999),IF(COUNTIFS(Data!D$1:'Data'!D506,Data!D506)&lt;=1,0,1),1),1))</f>
        <v/>
      </c>
      <c r="E506" s="9" t="str">
        <f>IF(Data!B506="","",IF(ISNUMBER(MATCH(Data!E506,Data_Val!$A$2:$A$3,0)),0,1))</f>
        <v/>
      </c>
      <c r="F506" s="9" t="str">
        <f ca="1">IF(Data!B506="","",IF(ISNUMBER(Data!F506),IF(AND(Data!F506&gt;(TODAY()-(Data_Val!$H$3*365.25)),Data!F506&lt;=(TODAY()-(Data_Val!$H$2*365.25))),0,1),1))</f>
        <v/>
      </c>
      <c r="G506" s="15" t="str">
        <f>IF(Data!B506="","",IF(AND(Data!G506="",Data!H506&lt;&gt;""),1,IF(Data!#REF!&lt;&gt;"",0,IF(ISNUMBER(MATCH(Data!G506,Data_Val!$C$2:$C$5,0)),0,1))))</f>
        <v/>
      </c>
      <c r="H506" s="15" t="str">
        <f>IF(Data!B506="","",IF(AND(Data!G506&lt;&gt;"",Data!H506=""),1,IF(Data!#REF!&lt;&gt;"",0,IF(Data!G506="",1,IF(ISNUMBER(MATCH(Data!H506,Data_Val!$D$2:$D$35,0)),0,1)))))</f>
        <v/>
      </c>
      <c r="I506" s="15" t="str">
        <f>IF(Data!B506="","",IF(Data!G506&lt;&gt;"",0,IF(ISNUMBER(MATCH(Data!#REF!,Data_Val!$E$2:$E$12,0)),0,1)))</f>
        <v/>
      </c>
      <c r="J506" s="16" t="e">
        <f>IF(OR(Data!B506="",Data!#REF!=""),"",IF(Data!#REF!="",1,0))</f>
        <v>#REF!</v>
      </c>
      <c r="K506" s="16" t="e">
        <f>IF(OR(Data!B506="",Data!#REF!=""),"",IF(Data!#REF!="",1,0))</f>
        <v>#REF!</v>
      </c>
      <c r="L506" s="16" t="e">
        <f>IF(OR(Data!B506="",Data!#REF!=""),"",IF(ISNUMBER(Data!#REF!),IF(AND(Data!#REF!&gt;Data_Val!$G$2,Data!#REF!&lt;=Data_Val!$G$3),0,1),1))</f>
        <v>#REF!</v>
      </c>
      <c r="M506" s="9" t="e">
        <f>IF(OR(Data!B506="",Data!#REF!=""),"",IF(ISNUMBER(MATCH(Data!#REF!,Data_Val!$F$1:$F$38,0)),0,1))</f>
        <v>#REF!</v>
      </c>
      <c r="N506" s="9" t="e">
        <f>IF(OR(Data!B506="",Data!#REF!=""),"",IF(Data!#REF!="",1,0))</f>
        <v>#REF!</v>
      </c>
      <c r="O506" s="17" t="e">
        <f>IF(Data!#REF!="","",IF(Data!#REF!="",1,0))</f>
        <v>#REF!</v>
      </c>
      <c r="P506" s="17" t="e">
        <f>IF(Data!#REF!="","",IF(ISNUMBER(MATCH(Data!#REF!,Data_Val!$A$2:$A$3,0)),0,1))</f>
        <v>#REF!</v>
      </c>
      <c r="Q506" s="25" t="e">
        <f ca="1">IF(Data!#REF!="","",IF(ISNUMBER(Data!#REF!),IF(AND(Data!#REF!&gt;(TODAY()-(Data_Val!$J$3*365.25)),Data!#REF!&lt;=(TODAY()-(Data_Val!$J$2*365.25))),0,1),1))</f>
        <v>#REF!</v>
      </c>
      <c r="R506" s="17" t="e">
        <f>IF(Data!#REF!="","",IF(ISNUMBER(MATCH(Data!#REF!,Data_Val!$B$2:$B$15,0)),0,1))</f>
        <v>#REF!</v>
      </c>
      <c r="S506" s="11" t="str">
        <f>IF(Data!G506="","",IF(Data!G506=Data_Val!$C$2,IF(Data!M506="",0,1),0))</f>
        <v/>
      </c>
      <c r="T506" s="11" t="str">
        <f>IF(Data!M506="","",IF(ISNUMBER(MATCH(Data!N506,Data_Val!$A$2:$A$3,0)),0,1))</f>
        <v/>
      </c>
      <c r="U506" s="11" t="str">
        <f ca="1">IF(Data!M506="","",IF(ISNUMBER(Data!O506),IF(AND(Data!O506&gt;(TODAY()-(Data_Val!$K$3*365.25)),Data!O506&lt;=(TODAY()-(Data_Val!$K$2*365.25))),0,1),1))</f>
        <v/>
      </c>
      <c r="V506" s="12" t="str">
        <f>IF(Data!G506="","",IF(Data!G506=Data_Val!$C$2,IF(Data!P506="",0,1),0))</f>
        <v/>
      </c>
      <c r="W506" s="12" t="str">
        <f>IF(Data!P506="","",IF(ISNUMBER(MATCH(Data!Q506,Data_Val!$A$2:$A$3,0)),0,1))</f>
        <v/>
      </c>
      <c r="X506" s="26" t="str">
        <f ca="1">IF(Data!P506="","",IF(ISNUMBER(Data!R506),IF(AND(Data!R506&gt;(TODAY()-(Data_Val!$L$3*365.25)),Data!R506&lt;=(TODAY()-(Data_Val!$L$2*365.25))),0,1),1))</f>
        <v/>
      </c>
      <c r="Y506" s="13" t="str">
        <f>IF(Data!$G506="","",IF(Data!$G506=Data_Val!$C$2,IF(Data!S506="",0,1),0))</f>
        <v/>
      </c>
      <c r="Z506" s="13" t="str">
        <f>IF(Data!S506="","",IF(ISNUMBER(MATCH(Data!T506,Data_Val!$A$2:$A$3,0)),0,1))</f>
        <v/>
      </c>
      <c r="AA506" s="28" t="str">
        <f ca="1">IF(Data!S506="","",IF(ISNUMBER(Data!U506),IF(AND(Data!U506&gt;(TODAY()-(Data_Val!$L$3*365.25)),Data!U506&lt;=(TODAY()-(Data_Val!$L$2*365.25))),0,1),1))</f>
        <v/>
      </c>
      <c r="AB506" s="11"/>
      <c r="AC506" s="11" t="e">
        <f>IF(Data!#REF!="","",IF(ISNUMBER(MATCH(Data!#REF!,Data_Val!$A$2:$A$3,0)),0,1))</f>
        <v>#REF!</v>
      </c>
      <c r="AD506" s="11" t="e">
        <f ca="1">IF(Data!#REF!="","",IF(ISNUMBER(Data!#REF!),IF(AND(Data!#REF!&gt;(TODAY()-(Data_Val!$L$3*365.25)),Data!#REF!&lt;=(TODAY()-(Data_Val!$L$2*365.25))),0,1),1))</f>
        <v>#REF!</v>
      </c>
      <c r="AE506" s="11" t="e">
        <f>IF(Data!#REF!="","",IF(Data!$G506="",1,IF(ISNUMBER(MATCH(Data!#REF!,Data_Val!$D$2:$D$10,0)),0,1)))</f>
        <v>#REF!</v>
      </c>
      <c r="AF506" s="12"/>
      <c r="AG506" s="12" t="e">
        <f>IF(Data!#REF!="","",IF(ISNUMBER(MATCH(Data!#REF!,Data_Val!$A$2:$A$3,0)),0,1))</f>
        <v>#REF!</v>
      </c>
      <c r="AH506" s="26" t="e">
        <f ca="1">IF(Data!#REF!="","",IF(ISNUMBER(Data!#REF!),IF(AND(Data!#REF!&gt;(TODAY()-(Data_Val!$L$3*365.25)),Data!#REF!&lt;=(TODAY()-(Data_Val!$L$2*365.25))),0,1),1))</f>
        <v>#REF!</v>
      </c>
      <c r="AI506" s="12" t="e">
        <f>IF(Data!#REF!="","",IF(Data!$G506="",1,IF(ISNUMBER(MATCH(Data!#REF!,Data_Val!$D$2:$D$10,0)),0,1)))</f>
        <v>#REF!</v>
      </c>
      <c r="AJ506" s="17"/>
      <c r="AK506" s="17" t="e">
        <f>IF(Data!#REF!="","",IF(ISNUMBER(MATCH(Data!#REF!,Data_Val!$A$2:$A$3,0)),0,1))</f>
        <v>#REF!</v>
      </c>
      <c r="AL506" s="25" t="e">
        <f ca="1">IF(Data!#REF!="","",IF(ISNUMBER(Data!#REF!),IF(AND(Data!#REF!&gt;(TODAY()-(Data_Val!$L$3*365.25)),Data!#REF!&lt;=(TODAY()-(Data_Val!$L$2*365.25))),0,1),1))</f>
        <v>#REF!</v>
      </c>
      <c r="AM506" s="17" t="e">
        <f>IF(Data!#REF!="","",IF(Data!$G506="",1,IF(ISNUMBER(MATCH(Data!#REF!,Data_Val!$D$2:$D$10,0)),0,1)))</f>
        <v>#REF!</v>
      </c>
      <c r="AN506" s="13"/>
      <c r="AO506" s="28" t="e">
        <f ca="1">IF(Data!#REF!="","",IF(ISNUMBER(Data!#REF!),IF(AND(Data!#REF!&gt;(TODAY()-(Data_Val!$I$3*365.25)),Data!#REF!&lt;=(TODAY()-(Data_Val!$I$2*365.25))),0,1),1))</f>
        <v>#REF!</v>
      </c>
      <c r="AP506" s="13" t="e">
        <f>IF(Data!#REF!="","",IF(Data!$G506="",1,IF(ISNUMBER(MATCH(Data!#REF!,Data_Val!$D$2:$D$10,0)),0,1)))</f>
        <v>#REF!</v>
      </c>
      <c r="AQ506" s="17"/>
      <c r="AR506" s="30" t="e">
        <f ca="1">IF(Data!#REF!="","",IF(ISNUMBER(Data!#REF!),IF(AND(Data!#REF!&gt;(TODAY()-(Data_Val!$I$3*365.25)),Data!#REF!&lt;=(TODAY()-(Data_Val!$I$2*365.25))),0,1),1))</f>
        <v>#REF!</v>
      </c>
      <c r="AS506" s="31" t="e">
        <f>IF(Data!#REF!="","",IF(Data!$G506="",1,IF(ISNUMBER(MATCH(Data!#REF!,Data_Val!$D$2:$D$10,0)),0,1)))</f>
        <v>#REF!</v>
      </c>
      <c r="AT506" s="11"/>
      <c r="AU506" s="11" t="e">
        <f ca="1">IF(Data!#REF!="","",IF(ISNUMBER(Data!#REF!),IF(AND(Data!#REF!&gt;(TODAY()-(Data_Val!$I$3*365.25)),Data!#REF!&lt;=(TODAY()-(Data_Val!$I$2*365.25))),0,1),1))</f>
        <v>#REF!</v>
      </c>
      <c r="AV506" s="11" t="e">
        <f>IF(Data!#REF!="","",IF(Data!$G506="",1,IF(ISNUMBER(MATCH(Data!#REF!,Data_Val!$D$2:$D$10,0)),0,1)))</f>
        <v>#REF!</v>
      </c>
      <c r="AW506" s="12"/>
      <c r="AX506" s="26" t="e">
        <f ca="1">IF(Data!#REF!="","",IF(ISNUMBER(Data!#REF!),IF(AND(Data!#REF!&gt;(TODAY()-(Data_Val!$I$3*365.25)),Data!#REF!&lt;=(TODAY()-(Data_Val!$I$2*365.25))),0,1),1))</f>
        <v>#REF!</v>
      </c>
      <c r="AY506" s="12" t="e">
        <f>IF(Data!#REF!="","",IF(Data!$G506="",1,IF(ISNUMBER(MATCH(Data!#REF!,Data_Val!$D$2:$D$10,0)),0,1)))</f>
        <v>#REF!</v>
      </c>
      <c r="AZ506" s="11"/>
      <c r="BA506" s="19" t="e">
        <f ca="1">IF(Data!#REF!="","",IF(ISNUMBER(Data!#REF!),IF(AND(Data!#REF!&gt;(TODAY()-(Data_Val!$M$3*365.25)),Data!#REF!&lt;=(TODAY()-(Data_Val!$M$2*365.25))),0,1),1))</f>
        <v>#REF!</v>
      </c>
      <c r="BB506" s="11" t="e">
        <f>IF(Data!#REF!="","",IF(Data!$G506="",1,IF(ISNUMBER(MATCH(Data!#REF!,Data_Val!$D$2:$D$10,0)),0,1)))</f>
        <v>#REF!</v>
      </c>
      <c r="BC506" s="12"/>
      <c r="BD506" s="20" t="e">
        <f ca="1">IF(Data!#REF!="","",IF(ISNUMBER(Data!#REF!),IF(AND(Data!#REF!&gt;(TODAY()-(Data_Val!$M$3*365.25)),Data!#REF!&lt;=(TODAY()-(Data_Val!$M$2*365.25))),0,1),1))</f>
        <v>#REF!</v>
      </c>
      <c r="BE506" s="12" t="e">
        <f>IF(Data!#REF!="","",IF(Data!$G506="",1,IF(ISNUMBER(MATCH(Data!#REF!,Data_Val!$D$2:$D$10,0)),0,1)))</f>
        <v>#REF!</v>
      </c>
      <c r="BF506" s="17"/>
      <c r="BG506" s="18" t="e">
        <f ca="1">IF(Data!#REF!="","",IF(ISNUMBER(Data!#REF!),IF(AND(Data!#REF!&gt;(TODAY()-(Data_Val!$M$3*365.25)),Data!#REF!&lt;=(TODAY()-(Data_Val!$M$2*365.25))),0,1),1))</f>
        <v>#REF!</v>
      </c>
      <c r="BH506" s="29" t="e">
        <f>IF(Data!#REF!="","",IF(Data!$G506="",1,IF(ISNUMBER(MATCH(Data!#REF!,Data_Val!$D$2:$D$10,0)),0,1)))</f>
        <v>#REF!</v>
      </c>
      <c r="BI506" s="13"/>
      <c r="BJ506" s="21" t="e">
        <f ca="1">IF(Data!#REF!="","",IF(ISNUMBER(Data!#REF!),IF(AND(Data!#REF!&gt;(TODAY()-(Data_Val!$M$3*365.25)),Data!#REF!&lt;=(TODAY()-(Data_Val!$M$2*365.25))),0,1),1))</f>
        <v>#REF!</v>
      </c>
      <c r="BK506" s="13" t="e">
        <f>IF(Data!#REF!="","",IF(Data!$G506="",1,IF(ISNUMBER(MATCH(Data!#REF!,Data_Val!$D$2:$D$10,0)),0,1)))</f>
        <v>#REF!</v>
      </c>
    </row>
    <row r="507" spans="1:63" x14ac:dyDescent="0.25">
      <c r="A507" s="9" t="str">
        <f>IF(Data!B507="","",IF(COUNTIFS(Data!A$1:'Data'!A507,Data!A507)&lt;=1,0,1))</f>
        <v/>
      </c>
      <c r="B507" s="9"/>
      <c r="C507" s="23" t="str">
        <f>IF(Data!C507="","",(IF(ISNUMBER(MATCH("*@*.?*",Data!C507,0)),0,1)+IF(COUNTIFS(Data!C$1:'Data'!C507,Data!C507)&gt;1,1,0)))</f>
        <v/>
      </c>
      <c r="D507" s="9" t="str">
        <f>IF(Data!B507="","",IF(ISNUMBER(Data!D507),IF(AND(Data!D507&gt;999999999,Data!D507&lt;=9999999999),IF(COUNTIFS(Data!D$1:'Data'!D507,Data!D507)&lt;=1,0,1),1),1))</f>
        <v/>
      </c>
      <c r="E507" s="9" t="str">
        <f>IF(Data!B507="","",IF(ISNUMBER(MATCH(Data!E507,Data_Val!$A$2:$A$3,0)),0,1))</f>
        <v/>
      </c>
      <c r="F507" s="9" t="str">
        <f ca="1">IF(Data!B507="","",IF(ISNUMBER(Data!F507),IF(AND(Data!F507&gt;(TODAY()-(Data_Val!$H$3*365.25)),Data!F507&lt;=(TODAY()-(Data_Val!$H$2*365.25))),0,1),1))</f>
        <v/>
      </c>
      <c r="G507" s="15" t="str">
        <f>IF(Data!B507="","",IF(AND(Data!G507="",Data!H507&lt;&gt;""),1,IF(Data!#REF!&lt;&gt;"",0,IF(ISNUMBER(MATCH(Data!G507,Data_Val!$C$2:$C$5,0)),0,1))))</f>
        <v/>
      </c>
      <c r="H507" s="15" t="str">
        <f>IF(Data!B507="","",IF(AND(Data!G507&lt;&gt;"",Data!H507=""),1,IF(Data!#REF!&lt;&gt;"",0,IF(Data!G507="",1,IF(ISNUMBER(MATCH(Data!H507,Data_Val!$D$2:$D$35,0)),0,1)))))</f>
        <v/>
      </c>
      <c r="I507" s="15" t="str">
        <f>IF(Data!B507="","",IF(Data!G507&lt;&gt;"",0,IF(ISNUMBER(MATCH(Data!#REF!,Data_Val!$E$2:$E$12,0)),0,1)))</f>
        <v/>
      </c>
      <c r="J507" s="16" t="e">
        <f>IF(OR(Data!B507="",Data!#REF!=""),"",IF(Data!#REF!="",1,0))</f>
        <v>#REF!</v>
      </c>
      <c r="K507" s="16" t="e">
        <f>IF(OR(Data!B507="",Data!#REF!=""),"",IF(Data!#REF!="",1,0))</f>
        <v>#REF!</v>
      </c>
      <c r="L507" s="16" t="e">
        <f>IF(OR(Data!B507="",Data!#REF!=""),"",IF(ISNUMBER(Data!#REF!),IF(AND(Data!#REF!&gt;Data_Val!$G$2,Data!#REF!&lt;=Data_Val!$G$3),0,1),1))</f>
        <v>#REF!</v>
      </c>
      <c r="M507" s="9" t="e">
        <f>IF(OR(Data!B507="",Data!#REF!=""),"",IF(ISNUMBER(MATCH(Data!#REF!,Data_Val!$F$1:$F$38,0)),0,1))</f>
        <v>#REF!</v>
      </c>
      <c r="N507" s="9" t="e">
        <f>IF(OR(Data!B507="",Data!#REF!=""),"",IF(Data!#REF!="",1,0))</f>
        <v>#REF!</v>
      </c>
      <c r="O507" s="17" t="e">
        <f>IF(Data!#REF!="","",IF(Data!#REF!="",1,0))</f>
        <v>#REF!</v>
      </c>
      <c r="P507" s="17" t="e">
        <f>IF(Data!#REF!="","",IF(ISNUMBER(MATCH(Data!#REF!,Data_Val!$A$2:$A$3,0)),0,1))</f>
        <v>#REF!</v>
      </c>
      <c r="Q507" s="25" t="e">
        <f ca="1">IF(Data!#REF!="","",IF(ISNUMBER(Data!#REF!),IF(AND(Data!#REF!&gt;(TODAY()-(Data_Val!$J$3*365.25)),Data!#REF!&lt;=(TODAY()-(Data_Val!$J$2*365.25))),0,1),1))</f>
        <v>#REF!</v>
      </c>
      <c r="R507" s="17" t="e">
        <f>IF(Data!#REF!="","",IF(ISNUMBER(MATCH(Data!#REF!,Data_Val!$B$2:$B$15,0)),0,1))</f>
        <v>#REF!</v>
      </c>
      <c r="S507" s="11" t="str">
        <f>IF(Data!G507="","",IF(Data!G507=Data_Val!$C$2,IF(Data!M507="",0,1),0))</f>
        <v/>
      </c>
      <c r="T507" s="11" t="str">
        <f>IF(Data!M507="","",IF(ISNUMBER(MATCH(Data!N507,Data_Val!$A$2:$A$3,0)),0,1))</f>
        <v/>
      </c>
      <c r="U507" s="11" t="str">
        <f ca="1">IF(Data!M507="","",IF(ISNUMBER(Data!O507),IF(AND(Data!O507&gt;(TODAY()-(Data_Val!$K$3*365.25)),Data!O507&lt;=(TODAY()-(Data_Val!$K$2*365.25))),0,1),1))</f>
        <v/>
      </c>
      <c r="V507" s="12" t="str">
        <f>IF(Data!G507="","",IF(Data!G507=Data_Val!$C$2,IF(Data!P507="",0,1),0))</f>
        <v/>
      </c>
      <c r="W507" s="12" t="str">
        <f>IF(Data!P507="","",IF(ISNUMBER(MATCH(Data!Q507,Data_Val!$A$2:$A$3,0)),0,1))</f>
        <v/>
      </c>
      <c r="X507" s="26" t="str">
        <f ca="1">IF(Data!P507="","",IF(ISNUMBER(Data!R507),IF(AND(Data!R507&gt;(TODAY()-(Data_Val!$L$3*365.25)),Data!R507&lt;=(TODAY()-(Data_Val!$L$2*365.25))),0,1),1))</f>
        <v/>
      </c>
      <c r="Y507" s="13" t="str">
        <f>IF(Data!$G507="","",IF(Data!$G507=Data_Val!$C$2,IF(Data!S507="",0,1),0))</f>
        <v/>
      </c>
      <c r="Z507" s="13" t="str">
        <f>IF(Data!S507="","",IF(ISNUMBER(MATCH(Data!T507,Data_Val!$A$2:$A$3,0)),0,1))</f>
        <v/>
      </c>
      <c r="AA507" s="28" t="str">
        <f ca="1">IF(Data!S507="","",IF(ISNUMBER(Data!U507),IF(AND(Data!U507&gt;(TODAY()-(Data_Val!$L$3*365.25)),Data!U507&lt;=(TODAY()-(Data_Val!$L$2*365.25))),0,1),1))</f>
        <v/>
      </c>
      <c r="AB507" s="11"/>
      <c r="AC507" s="11" t="e">
        <f>IF(Data!#REF!="","",IF(ISNUMBER(MATCH(Data!#REF!,Data_Val!$A$2:$A$3,0)),0,1))</f>
        <v>#REF!</v>
      </c>
      <c r="AD507" s="11" t="e">
        <f ca="1">IF(Data!#REF!="","",IF(ISNUMBER(Data!#REF!),IF(AND(Data!#REF!&gt;(TODAY()-(Data_Val!$L$3*365.25)),Data!#REF!&lt;=(TODAY()-(Data_Val!$L$2*365.25))),0,1),1))</f>
        <v>#REF!</v>
      </c>
      <c r="AE507" s="11" t="e">
        <f>IF(Data!#REF!="","",IF(Data!$G507="",1,IF(ISNUMBER(MATCH(Data!#REF!,Data_Val!$D$2:$D$10,0)),0,1)))</f>
        <v>#REF!</v>
      </c>
      <c r="AF507" s="12"/>
      <c r="AG507" s="12" t="e">
        <f>IF(Data!#REF!="","",IF(ISNUMBER(MATCH(Data!#REF!,Data_Val!$A$2:$A$3,0)),0,1))</f>
        <v>#REF!</v>
      </c>
      <c r="AH507" s="26" t="e">
        <f ca="1">IF(Data!#REF!="","",IF(ISNUMBER(Data!#REF!),IF(AND(Data!#REF!&gt;(TODAY()-(Data_Val!$L$3*365.25)),Data!#REF!&lt;=(TODAY()-(Data_Val!$L$2*365.25))),0,1),1))</f>
        <v>#REF!</v>
      </c>
      <c r="AI507" s="12" t="e">
        <f>IF(Data!#REF!="","",IF(Data!$G507="",1,IF(ISNUMBER(MATCH(Data!#REF!,Data_Val!$D$2:$D$10,0)),0,1)))</f>
        <v>#REF!</v>
      </c>
      <c r="AJ507" s="17"/>
      <c r="AK507" s="17" t="e">
        <f>IF(Data!#REF!="","",IF(ISNUMBER(MATCH(Data!#REF!,Data_Val!$A$2:$A$3,0)),0,1))</f>
        <v>#REF!</v>
      </c>
      <c r="AL507" s="25" t="e">
        <f ca="1">IF(Data!#REF!="","",IF(ISNUMBER(Data!#REF!),IF(AND(Data!#REF!&gt;(TODAY()-(Data_Val!$L$3*365.25)),Data!#REF!&lt;=(TODAY()-(Data_Val!$L$2*365.25))),0,1),1))</f>
        <v>#REF!</v>
      </c>
      <c r="AM507" s="17" t="e">
        <f>IF(Data!#REF!="","",IF(Data!$G507="",1,IF(ISNUMBER(MATCH(Data!#REF!,Data_Val!$D$2:$D$10,0)),0,1)))</f>
        <v>#REF!</v>
      </c>
      <c r="AN507" s="13"/>
      <c r="AO507" s="28" t="e">
        <f ca="1">IF(Data!#REF!="","",IF(ISNUMBER(Data!#REF!),IF(AND(Data!#REF!&gt;(TODAY()-(Data_Val!$I$3*365.25)),Data!#REF!&lt;=(TODAY()-(Data_Val!$I$2*365.25))),0,1),1))</f>
        <v>#REF!</v>
      </c>
      <c r="AP507" s="13" t="e">
        <f>IF(Data!#REF!="","",IF(Data!$G507="",1,IF(ISNUMBER(MATCH(Data!#REF!,Data_Val!$D$2:$D$10,0)),0,1)))</f>
        <v>#REF!</v>
      </c>
      <c r="AQ507" s="17"/>
      <c r="AR507" s="30" t="e">
        <f ca="1">IF(Data!#REF!="","",IF(ISNUMBER(Data!#REF!),IF(AND(Data!#REF!&gt;(TODAY()-(Data_Val!$I$3*365.25)),Data!#REF!&lt;=(TODAY()-(Data_Val!$I$2*365.25))),0,1),1))</f>
        <v>#REF!</v>
      </c>
      <c r="AS507" s="31" t="e">
        <f>IF(Data!#REF!="","",IF(Data!$G507="",1,IF(ISNUMBER(MATCH(Data!#REF!,Data_Val!$D$2:$D$10,0)),0,1)))</f>
        <v>#REF!</v>
      </c>
      <c r="AT507" s="11"/>
      <c r="AU507" s="11" t="e">
        <f ca="1">IF(Data!#REF!="","",IF(ISNUMBER(Data!#REF!),IF(AND(Data!#REF!&gt;(TODAY()-(Data_Val!$I$3*365.25)),Data!#REF!&lt;=(TODAY()-(Data_Val!$I$2*365.25))),0,1),1))</f>
        <v>#REF!</v>
      </c>
      <c r="AV507" s="11" t="e">
        <f>IF(Data!#REF!="","",IF(Data!$G507="",1,IF(ISNUMBER(MATCH(Data!#REF!,Data_Val!$D$2:$D$10,0)),0,1)))</f>
        <v>#REF!</v>
      </c>
      <c r="AW507" s="12"/>
      <c r="AX507" s="26" t="e">
        <f ca="1">IF(Data!#REF!="","",IF(ISNUMBER(Data!#REF!),IF(AND(Data!#REF!&gt;(TODAY()-(Data_Val!$I$3*365.25)),Data!#REF!&lt;=(TODAY()-(Data_Val!$I$2*365.25))),0,1),1))</f>
        <v>#REF!</v>
      </c>
      <c r="AY507" s="12" t="e">
        <f>IF(Data!#REF!="","",IF(Data!$G507="",1,IF(ISNUMBER(MATCH(Data!#REF!,Data_Val!$D$2:$D$10,0)),0,1)))</f>
        <v>#REF!</v>
      </c>
      <c r="AZ507" s="11"/>
      <c r="BA507" s="19" t="e">
        <f ca="1">IF(Data!#REF!="","",IF(ISNUMBER(Data!#REF!),IF(AND(Data!#REF!&gt;(TODAY()-(Data_Val!$M$3*365.25)),Data!#REF!&lt;=(TODAY()-(Data_Val!$M$2*365.25))),0,1),1))</f>
        <v>#REF!</v>
      </c>
      <c r="BB507" s="11" t="e">
        <f>IF(Data!#REF!="","",IF(Data!$G507="",1,IF(ISNUMBER(MATCH(Data!#REF!,Data_Val!$D$2:$D$10,0)),0,1)))</f>
        <v>#REF!</v>
      </c>
      <c r="BC507" s="12"/>
      <c r="BD507" s="20" t="e">
        <f ca="1">IF(Data!#REF!="","",IF(ISNUMBER(Data!#REF!),IF(AND(Data!#REF!&gt;(TODAY()-(Data_Val!$M$3*365.25)),Data!#REF!&lt;=(TODAY()-(Data_Val!$M$2*365.25))),0,1),1))</f>
        <v>#REF!</v>
      </c>
      <c r="BE507" s="12" t="e">
        <f>IF(Data!#REF!="","",IF(Data!$G507="",1,IF(ISNUMBER(MATCH(Data!#REF!,Data_Val!$D$2:$D$10,0)),0,1)))</f>
        <v>#REF!</v>
      </c>
      <c r="BF507" s="17"/>
      <c r="BG507" s="18" t="e">
        <f ca="1">IF(Data!#REF!="","",IF(ISNUMBER(Data!#REF!),IF(AND(Data!#REF!&gt;(TODAY()-(Data_Val!$M$3*365.25)),Data!#REF!&lt;=(TODAY()-(Data_Val!$M$2*365.25))),0,1),1))</f>
        <v>#REF!</v>
      </c>
      <c r="BH507" s="29" t="e">
        <f>IF(Data!#REF!="","",IF(Data!$G507="",1,IF(ISNUMBER(MATCH(Data!#REF!,Data_Val!$D$2:$D$10,0)),0,1)))</f>
        <v>#REF!</v>
      </c>
      <c r="BI507" s="13"/>
      <c r="BJ507" s="21" t="e">
        <f ca="1">IF(Data!#REF!="","",IF(ISNUMBER(Data!#REF!),IF(AND(Data!#REF!&gt;(TODAY()-(Data_Val!$M$3*365.25)),Data!#REF!&lt;=(TODAY()-(Data_Val!$M$2*365.25))),0,1),1))</f>
        <v>#REF!</v>
      </c>
      <c r="BK507" s="13" t="e">
        <f>IF(Data!#REF!="","",IF(Data!$G507="",1,IF(ISNUMBER(MATCH(Data!#REF!,Data_Val!$D$2:$D$10,0)),0,1)))</f>
        <v>#REF!</v>
      </c>
    </row>
    <row r="508" spans="1:63" x14ac:dyDescent="0.25">
      <c r="A508" s="9" t="str">
        <f>IF(Data!B508="","",IF(COUNTIFS(Data!A$1:'Data'!A508,Data!A508)&lt;=1,0,1))</f>
        <v/>
      </c>
      <c r="B508" s="9"/>
      <c r="C508" s="23" t="str">
        <f>IF(Data!C508="","",(IF(ISNUMBER(MATCH("*@*.?*",Data!C508,0)),0,1)+IF(COUNTIFS(Data!C$1:'Data'!C508,Data!C508)&gt;1,1,0)))</f>
        <v/>
      </c>
      <c r="D508" s="9" t="str">
        <f>IF(Data!B508="","",IF(ISNUMBER(Data!D508),IF(AND(Data!D508&gt;999999999,Data!D508&lt;=9999999999),IF(COUNTIFS(Data!D$1:'Data'!D508,Data!D508)&lt;=1,0,1),1),1))</f>
        <v/>
      </c>
      <c r="E508" s="9" t="str">
        <f>IF(Data!B508="","",IF(ISNUMBER(MATCH(Data!E508,Data_Val!$A$2:$A$3,0)),0,1))</f>
        <v/>
      </c>
      <c r="F508" s="9" t="str">
        <f ca="1">IF(Data!B508="","",IF(ISNUMBER(Data!F508),IF(AND(Data!F508&gt;(TODAY()-(Data_Val!$H$3*365.25)),Data!F508&lt;=(TODAY()-(Data_Val!$H$2*365.25))),0,1),1))</f>
        <v/>
      </c>
      <c r="G508" s="15" t="str">
        <f>IF(Data!B508="","",IF(AND(Data!G508="",Data!H508&lt;&gt;""),1,IF(Data!#REF!&lt;&gt;"",0,IF(ISNUMBER(MATCH(Data!G508,Data_Val!$C$2:$C$5,0)),0,1))))</f>
        <v/>
      </c>
      <c r="H508" s="15" t="str">
        <f>IF(Data!B508="","",IF(AND(Data!G508&lt;&gt;"",Data!H508=""),1,IF(Data!#REF!&lt;&gt;"",0,IF(Data!G508="",1,IF(ISNUMBER(MATCH(Data!H508,Data_Val!$D$2:$D$35,0)),0,1)))))</f>
        <v/>
      </c>
      <c r="I508" s="15" t="str">
        <f>IF(Data!B508="","",IF(Data!G508&lt;&gt;"",0,IF(ISNUMBER(MATCH(Data!#REF!,Data_Val!$E$2:$E$12,0)),0,1)))</f>
        <v/>
      </c>
      <c r="J508" s="16" t="e">
        <f>IF(OR(Data!B508="",Data!#REF!=""),"",IF(Data!#REF!="",1,0))</f>
        <v>#REF!</v>
      </c>
      <c r="K508" s="16" t="e">
        <f>IF(OR(Data!B508="",Data!#REF!=""),"",IF(Data!#REF!="",1,0))</f>
        <v>#REF!</v>
      </c>
      <c r="L508" s="16" t="e">
        <f>IF(OR(Data!B508="",Data!#REF!=""),"",IF(ISNUMBER(Data!#REF!),IF(AND(Data!#REF!&gt;Data_Val!$G$2,Data!#REF!&lt;=Data_Val!$G$3),0,1),1))</f>
        <v>#REF!</v>
      </c>
      <c r="M508" s="9" t="e">
        <f>IF(OR(Data!B508="",Data!#REF!=""),"",IF(ISNUMBER(MATCH(Data!#REF!,Data_Val!$F$1:$F$38,0)),0,1))</f>
        <v>#REF!</v>
      </c>
      <c r="N508" s="9" t="e">
        <f>IF(OR(Data!B508="",Data!#REF!=""),"",IF(Data!#REF!="",1,0))</f>
        <v>#REF!</v>
      </c>
      <c r="O508" s="17" t="e">
        <f>IF(Data!#REF!="","",IF(Data!#REF!="",1,0))</f>
        <v>#REF!</v>
      </c>
      <c r="P508" s="17" t="e">
        <f>IF(Data!#REF!="","",IF(ISNUMBER(MATCH(Data!#REF!,Data_Val!$A$2:$A$3,0)),0,1))</f>
        <v>#REF!</v>
      </c>
      <c r="Q508" s="25" t="e">
        <f ca="1">IF(Data!#REF!="","",IF(ISNUMBER(Data!#REF!),IF(AND(Data!#REF!&gt;(TODAY()-(Data_Val!$J$3*365.25)),Data!#REF!&lt;=(TODAY()-(Data_Val!$J$2*365.25))),0,1),1))</f>
        <v>#REF!</v>
      </c>
      <c r="R508" s="17" t="e">
        <f>IF(Data!#REF!="","",IF(ISNUMBER(MATCH(Data!#REF!,Data_Val!$B$2:$B$15,0)),0,1))</f>
        <v>#REF!</v>
      </c>
      <c r="S508" s="11" t="str">
        <f>IF(Data!G508="","",IF(Data!G508=Data_Val!$C$2,IF(Data!M508="",0,1),0))</f>
        <v/>
      </c>
      <c r="T508" s="11" t="str">
        <f>IF(Data!M508="","",IF(ISNUMBER(MATCH(Data!N508,Data_Val!$A$2:$A$3,0)),0,1))</f>
        <v/>
      </c>
      <c r="U508" s="11" t="str">
        <f ca="1">IF(Data!M508="","",IF(ISNUMBER(Data!O508),IF(AND(Data!O508&gt;(TODAY()-(Data_Val!$K$3*365.25)),Data!O508&lt;=(TODAY()-(Data_Val!$K$2*365.25))),0,1),1))</f>
        <v/>
      </c>
      <c r="V508" s="12" t="str">
        <f>IF(Data!G508="","",IF(Data!G508=Data_Val!$C$2,IF(Data!P508="",0,1),0))</f>
        <v/>
      </c>
      <c r="W508" s="12" t="str">
        <f>IF(Data!P508="","",IF(ISNUMBER(MATCH(Data!Q508,Data_Val!$A$2:$A$3,0)),0,1))</f>
        <v/>
      </c>
      <c r="X508" s="26" t="str">
        <f ca="1">IF(Data!P508="","",IF(ISNUMBER(Data!R508),IF(AND(Data!R508&gt;(TODAY()-(Data_Val!$L$3*365.25)),Data!R508&lt;=(TODAY()-(Data_Val!$L$2*365.25))),0,1),1))</f>
        <v/>
      </c>
      <c r="Y508" s="13" t="str">
        <f>IF(Data!$G508="","",IF(Data!$G508=Data_Val!$C$2,IF(Data!S508="",0,1),0))</f>
        <v/>
      </c>
      <c r="Z508" s="13" t="str">
        <f>IF(Data!S508="","",IF(ISNUMBER(MATCH(Data!T508,Data_Val!$A$2:$A$3,0)),0,1))</f>
        <v/>
      </c>
      <c r="AA508" s="28" t="str">
        <f ca="1">IF(Data!S508="","",IF(ISNUMBER(Data!U508),IF(AND(Data!U508&gt;(TODAY()-(Data_Val!$L$3*365.25)),Data!U508&lt;=(TODAY()-(Data_Val!$L$2*365.25))),0,1),1))</f>
        <v/>
      </c>
      <c r="AB508" s="11"/>
      <c r="AC508" s="11" t="e">
        <f>IF(Data!#REF!="","",IF(ISNUMBER(MATCH(Data!#REF!,Data_Val!$A$2:$A$3,0)),0,1))</f>
        <v>#REF!</v>
      </c>
      <c r="AD508" s="11" t="e">
        <f ca="1">IF(Data!#REF!="","",IF(ISNUMBER(Data!#REF!),IF(AND(Data!#REF!&gt;(TODAY()-(Data_Val!$L$3*365.25)),Data!#REF!&lt;=(TODAY()-(Data_Val!$L$2*365.25))),0,1),1))</f>
        <v>#REF!</v>
      </c>
      <c r="AE508" s="11" t="e">
        <f>IF(Data!#REF!="","",IF(Data!$G508="",1,IF(ISNUMBER(MATCH(Data!#REF!,Data_Val!$D$2:$D$10,0)),0,1)))</f>
        <v>#REF!</v>
      </c>
      <c r="AF508" s="12"/>
      <c r="AG508" s="12" t="e">
        <f>IF(Data!#REF!="","",IF(ISNUMBER(MATCH(Data!#REF!,Data_Val!$A$2:$A$3,0)),0,1))</f>
        <v>#REF!</v>
      </c>
      <c r="AH508" s="26" t="e">
        <f ca="1">IF(Data!#REF!="","",IF(ISNUMBER(Data!#REF!),IF(AND(Data!#REF!&gt;(TODAY()-(Data_Val!$L$3*365.25)),Data!#REF!&lt;=(TODAY()-(Data_Val!$L$2*365.25))),0,1),1))</f>
        <v>#REF!</v>
      </c>
      <c r="AI508" s="12" t="e">
        <f>IF(Data!#REF!="","",IF(Data!$G508="",1,IF(ISNUMBER(MATCH(Data!#REF!,Data_Val!$D$2:$D$10,0)),0,1)))</f>
        <v>#REF!</v>
      </c>
      <c r="AJ508" s="17"/>
      <c r="AK508" s="17" t="e">
        <f>IF(Data!#REF!="","",IF(ISNUMBER(MATCH(Data!#REF!,Data_Val!$A$2:$A$3,0)),0,1))</f>
        <v>#REF!</v>
      </c>
      <c r="AL508" s="25" t="e">
        <f ca="1">IF(Data!#REF!="","",IF(ISNUMBER(Data!#REF!),IF(AND(Data!#REF!&gt;(TODAY()-(Data_Val!$L$3*365.25)),Data!#REF!&lt;=(TODAY()-(Data_Val!$L$2*365.25))),0,1),1))</f>
        <v>#REF!</v>
      </c>
      <c r="AM508" s="17" t="e">
        <f>IF(Data!#REF!="","",IF(Data!$G508="",1,IF(ISNUMBER(MATCH(Data!#REF!,Data_Val!$D$2:$D$10,0)),0,1)))</f>
        <v>#REF!</v>
      </c>
      <c r="AN508" s="13"/>
      <c r="AO508" s="28" t="e">
        <f ca="1">IF(Data!#REF!="","",IF(ISNUMBER(Data!#REF!),IF(AND(Data!#REF!&gt;(TODAY()-(Data_Val!$I$3*365.25)),Data!#REF!&lt;=(TODAY()-(Data_Val!$I$2*365.25))),0,1),1))</f>
        <v>#REF!</v>
      </c>
      <c r="AP508" s="13" t="e">
        <f>IF(Data!#REF!="","",IF(Data!$G508="",1,IF(ISNUMBER(MATCH(Data!#REF!,Data_Val!$D$2:$D$10,0)),0,1)))</f>
        <v>#REF!</v>
      </c>
      <c r="AQ508" s="17"/>
      <c r="AR508" s="30" t="e">
        <f ca="1">IF(Data!#REF!="","",IF(ISNUMBER(Data!#REF!),IF(AND(Data!#REF!&gt;(TODAY()-(Data_Val!$I$3*365.25)),Data!#REF!&lt;=(TODAY()-(Data_Val!$I$2*365.25))),0,1),1))</f>
        <v>#REF!</v>
      </c>
      <c r="AS508" s="31" t="e">
        <f>IF(Data!#REF!="","",IF(Data!$G508="",1,IF(ISNUMBER(MATCH(Data!#REF!,Data_Val!$D$2:$D$10,0)),0,1)))</f>
        <v>#REF!</v>
      </c>
      <c r="AT508" s="11"/>
      <c r="AU508" s="11" t="e">
        <f ca="1">IF(Data!#REF!="","",IF(ISNUMBER(Data!#REF!),IF(AND(Data!#REF!&gt;(TODAY()-(Data_Val!$I$3*365.25)),Data!#REF!&lt;=(TODAY()-(Data_Val!$I$2*365.25))),0,1),1))</f>
        <v>#REF!</v>
      </c>
      <c r="AV508" s="11" t="e">
        <f>IF(Data!#REF!="","",IF(Data!$G508="",1,IF(ISNUMBER(MATCH(Data!#REF!,Data_Val!$D$2:$D$10,0)),0,1)))</f>
        <v>#REF!</v>
      </c>
      <c r="AW508" s="12"/>
      <c r="AX508" s="26" t="e">
        <f ca="1">IF(Data!#REF!="","",IF(ISNUMBER(Data!#REF!),IF(AND(Data!#REF!&gt;(TODAY()-(Data_Val!$I$3*365.25)),Data!#REF!&lt;=(TODAY()-(Data_Val!$I$2*365.25))),0,1),1))</f>
        <v>#REF!</v>
      </c>
      <c r="AY508" s="12" t="e">
        <f>IF(Data!#REF!="","",IF(Data!$G508="",1,IF(ISNUMBER(MATCH(Data!#REF!,Data_Val!$D$2:$D$10,0)),0,1)))</f>
        <v>#REF!</v>
      </c>
      <c r="AZ508" s="11"/>
      <c r="BA508" s="19" t="e">
        <f ca="1">IF(Data!#REF!="","",IF(ISNUMBER(Data!#REF!),IF(AND(Data!#REF!&gt;(TODAY()-(Data_Val!$M$3*365.25)),Data!#REF!&lt;=(TODAY()-(Data_Val!$M$2*365.25))),0,1),1))</f>
        <v>#REF!</v>
      </c>
      <c r="BB508" s="11" t="e">
        <f>IF(Data!#REF!="","",IF(Data!$G508="",1,IF(ISNUMBER(MATCH(Data!#REF!,Data_Val!$D$2:$D$10,0)),0,1)))</f>
        <v>#REF!</v>
      </c>
      <c r="BC508" s="12"/>
      <c r="BD508" s="20" t="e">
        <f ca="1">IF(Data!#REF!="","",IF(ISNUMBER(Data!#REF!),IF(AND(Data!#REF!&gt;(TODAY()-(Data_Val!$M$3*365.25)),Data!#REF!&lt;=(TODAY()-(Data_Val!$M$2*365.25))),0,1),1))</f>
        <v>#REF!</v>
      </c>
      <c r="BE508" s="12" t="e">
        <f>IF(Data!#REF!="","",IF(Data!$G508="",1,IF(ISNUMBER(MATCH(Data!#REF!,Data_Val!$D$2:$D$10,0)),0,1)))</f>
        <v>#REF!</v>
      </c>
      <c r="BF508" s="17"/>
      <c r="BG508" s="18" t="e">
        <f ca="1">IF(Data!#REF!="","",IF(ISNUMBER(Data!#REF!),IF(AND(Data!#REF!&gt;(TODAY()-(Data_Val!$M$3*365.25)),Data!#REF!&lt;=(TODAY()-(Data_Val!$M$2*365.25))),0,1),1))</f>
        <v>#REF!</v>
      </c>
      <c r="BH508" s="29" t="e">
        <f>IF(Data!#REF!="","",IF(Data!$G508="",1,IF(ISNUMBER(MATCH(Data!#REF!,Data_Val!$D$2:$D$10,0)),0,1)))</f>
        <v>#REF!</v>
      </c>
      <c r="BI508" s="13"/>
      <c r="BJ508" s="21" t="e">
        <f ca="1">IF(Data!#REF!="","",IF(ISNUMBER(Data!#REF!),IF(AND(Data!#REF!&gt;(TODAY()-(Data_Val!$M$3*365.25)),Data!#REF!&lt;=(TODAY()-(Data_Val!$M$2*365.25))),0,1),1))</f>
        <v>#REF!</v>
      </c>
      <c r="BK508" s="13" t="e">
        <f>IF(Data!#REF!="","",IF(Data!$G508="",1,IF(ISNUMBER(MATCH(Data!#REF!,Data_Val!$D$2:$D$10,0)),0,1)))</f>
        <v>#REF!</v>
      </c>
    </row>
    <row r="509" spans="1:63" x14ac:dyDescent="0.25">
      <c r="A509" s="9" t="str">
        <f>IF(Data!B509="","",IF(COUNTIFS(Data!A$1:'Data'!A509,Data!A509)&lt;=1,0,1))</f>
        <v/>
      </c>
      <c r="B509" s="9"/>
      <c r="C509" s="23" t="str">
        <f>IF(Data!C509="","",(IF(ISNUMBER(MATCH("*@*.?*",Data!C509,0)),0,1)+IF(COUNTIFS(Data!C$1:'Data'!C509,Data!C509)&gt;1,1,0)))</f>
        <v/>
      </c>
      <c r="D509" s="9" t="str">
        <f>IF(Data!B509="","",IF(ISNUMBER(Data!D509),IF(AND(Data!D509&gt;999999999,Data!D509&lt;=9999999999),IF(COUNTIFS(Data!D$1:'Data'!D509,Data!D509)&lt;=1,0,1),1),1))</f>
        <v/>
      </c>
      <c r="E509" s="9" t="str">
        <f>IF(Data!B509="","",IF(ISNUMBER(MATCH(Data!E509,Data_Val!$A$2:$A$3,0)),0,1))</f>
        <v/>
      </c>
      <c r="F509" s="9" t="str">
        <f ca="1">IF(Data!B509="","",IF(ISNUMBER(Data!F509),IF(AND(Data!F509&gt;(TODAY()-(Data_Val!$H$3*365.25)),Data!F509&lt;=(TODAY()-(Data_Val!$H$2*365.25))),0,1),1))</f>
        <v/>
      </c>
      <c r="G509" s="15" t="str">
        <f>IF(Data!B509="","",IF(AND(Data!G509="",Data!H509&lt;&gt;""),1,IF(Data!#REF!&lt;&gt;"",0,IF(ISNUMBER(MATCH(Data!G509,Data_Val!$C$2:$C$5,0)),0,1))))</f>
        <v/>
      </c>
      <c r="H509" s="15" t="str">
        <f>IF(Data!B509="","",IF(AND(Data!G509&lt;&gt;"",Data!H509=""),1,IF(Data!#REF!&lt;&gt;"",0,IF(Data!G509="",1,IF(ISNUMBER(MATCH(Data!H509,Data_Val!$D$2:$D$35,0)),0,1)))))</f>
        <v/>
      </c>
      <c r="I509" s="15" t="str">
        <f>IF(Data!B509="","",IF(Data!G509&lt;&gt;"",0,IF(ISNUMBER(MATCH(Data!#REF!,Data_Val!$E$2:$E$12,0)),0,1)))</f>
        <v/>
      </c>
      <c r="J509" s="16" t="e">
        <f>IF(OR(Data!B509="",Data!#REF!=""),"",IF(Data!#REF!="",1,0))</f>
        <v>#REF!</v>
      </c>
      <c r="K509" s="16" t="e">
        <f>IF(OR(Data!B509="",Data!#REF!=""),"",IF(Data!#REF!="",1,0))</f>
        <v>#REF!</v>
      </c>
      <c r="L509" s="16" t="e">
        <f>IF(OR(Data!B509="",Data!#REF!=""),"",IF(ISNUMBER(Data!#REF!),IF(AND(Data!#REF!&gt;Data_Val!$G$2,Data!#REF!&lt;=Data_Val!$G$3),0,1),1))</f>
        <v>#REF!</v>
      </c>
      <c r="M509" s="9" t="e">
        <f>IF(OR(Data!B509="",Data!#REF!=""),"",IF(ISNUMBER(MATCH(Data!#REF!,Data_Val!$F$1:$F$38,0)),0,1))</f>
        <v>#REF!</v>
      </c>
      <c r="N509" s="9" t="e">
        <f>IF(OR(Data!B509="",Data!#REF!=""),"",IF(Data!#REF!="",1,0))</f>
        <v>#REF!</v>
      </c>
      <c r="O509" s="17" t="e">
        <f>IF(Data!#REF!="","",IF(Data!#REF!="",1,0))</f>
        <v>#REF!</v>
      </c>
      <c r="P509" s="17" t="e">
        <f>IF(Data!#REF!="","",IF(ISNUMBER(MATCH(Data!#REF!,Data_Val!$A$2:$A$3,0)),0,1))</f>
        <v>#REF!</v>
      </c>
      <c r="Q509" s="25" t="e">
        <f ca="1">IF(Data!#REF!="","",IF(ISNUMBER(Data!#REF!),IF(AND(Data!#REF!&gt;(TODAY()-(Data_Val!$J$3*365.25)),Data!#REF!&lt;=(TODAY()-(Data_Val!$J$2*365.25))),0,1),1))</f>
        <v>#REF!</v>
      </c>
      <c r="R509" s="17" t="e">
        <f>IF(Data!#REF!="","",IF(ISNUMBER(MATCH(Data!#REF!,Data_Val!$B$2:$B$15,0)),0,1))</f>
        <v>#REF!</v>
      </c>
      <c r="S509" s="11" t="str">
        <f>IF(Data!G509="","",IF(Data!G509=Data_Val!$C$2,IF(Data!M509="",0,1),0))</f>
        <v/>
      </c>
      <c r="T509" s="11" t="str">
        <f>IF(Data!M509="","",IF(ISNUMBER(MATCH(Data!N509,Data_Val!$A$2:$A$3,0)),0,1))</f>
        <v/>
      </c>
      <c r="U509" s="11" t="str">
        <f ca="1">IF(Data!M509="","",IF(ISNUMBER(Data!O509),IF(AND(Data!O509&gt;(TODAY()-(Data_Val!$K$3*365.25)),Data!O509&lt;=(TODAY()-(Data_Val!$K$2*365.25))),0,1),1))</f>
        <v/>
      </c>
      <c r="V509" s="12" t="str">
        <f>IF(Data!G509="","",IF(Data!G509=Data_Val!$C$2,IF(Data!P509="",0,1),0))</f>
        <v/>
      </c>
      <c r="W509" s="12" t="str">
        <f>IF(Data!P509="","",IF(ISNUMBER(MATCH(Data!Q509,Data_Val!$A$2:$A$3,0)),0,1))</f>
        <v/>
      </c>
      <c r="X509" s="26" t="str">
        <f ca="1">IF(Data!P509="","",IF(ISNUMBER(Data!R509),IF(AND(Data!R509&gt;(TODAY()-(Data_Val!$L$3*365.25)),Data!R509&lt;=(TODAY()-(Data_Val!$L$2*365.25))),0,1),1))</f>
        <v/>
      </c>
      <c r="Y509" s="13" t="str">
        <f>IF(Data!$G509="","",IF(Data!$G509=Data_Val!$C$2,IF(Data!S509="",0,1),0))</f>
        <v/>
      </c>
      <c r="Z509" s="13" t="str">
        <f>IF(Data!S509="","",IF(ISNUMBER(MATCH(Data!T509,Data_Val!$A$2:$A$3,0)),0,1))</f>
        <v/>
      </c>
      <c r="AA509" s="28" t="str">
        <f ca="1">IF(Data!S509="","",IF(ISNUMBER(Data!U509),IF(AND(Data!U509&gt;(TODAY()-(Data_Val!$L$3*365.25)),Data!U509&lt;=(TODAY()-(Data_Val!$L$2*365.25))),0,1),1))</f>
        <v/>
      </c>
      <c r="AB509" s="11"/>
      <c r="AC509" s="11" t="e">
        <f>IF(Data!#REF!="","",IF(ISNUMBER(MATCH(Data!#REF!,Data_Val!$A$2:$A$3,0)),0,1))</f>
        <v>#REF!</v>
      </c>
      <c r="AD509" s="11" t="e">
        <f ca="1">IF(Data!#REF!="","",IF(ISNUMBER(Data!#REF!),IF(AND(Data!#REF!&gt;(TODAY()-(Data_Val!$L$3*365.25)),Data!#REF!&lt;=(TODAY()-(Data_Val!$L$2*365.25))),0,1),1))</f>
        <v>#REF!</v>
      </c>
      <c r="AE509" s="11" t="e">
        <f>IF(Data!#REF!="","",IF(Data!$G509="",1,IF(ISNUMBER(MATCH(Data!#REF!,Data_Val!$D$2:$D$10,0)),0,1)))</f>
        <v>#REF!</v>
      </c>
      <c r="AF509" s="12"/>
      <c r="AG509" s="12" t="e">
        <f>IF(Data!#REF!="","",IF(ISNUMBER(MATCH(Data!#REF!,Data_Val!$A$2:$A$3,0)),0,1))</f>
        <v>#REF!</v>
      </c>
      <c r="AH509" s="26" t="e">
        <f ca="1">IF(Data!#REF!="","",IF(ISNUMBER(Data!#REF!),IF(AND(Data!#REF!&gt;(TODAY()-(Data_Val!$L$3*365.25)),Data!#REF!&lt;=(TODAY()-(Data_Val!$L$2*365.25))),0,1),1))</f>
        <v>#REF!</v>
      </c>
      <c r="AI509" s="12" t="e">
        <f>IF(Data!#REF!="","",IF(Data!$G509="",1,IF(ISNUMBER(MATCH(Data!#REF!,Data_Val!$D$2:$D$10,0)),0,1)))</f>
        <v>#REF!</v>
      </c>
      <c r="AJ509" s="17"/>
      <c r="AK509" s="17" t="e">
        <f>IF(Data!#REF!="","",IF(ISNUMBER(MATCH(Data!#REF!,Data_Val!$A$2:$A$3,0)),0,1))</f>
        <v>#REF!</v>
      </c>
      <c r="AL509" s="25" t="e">
        <f ca="1">IF(Data!#REF!="","",IF(ISNUMBER(Data!#REF!),IF(AND(Data!#REF!&gt;(TODAY()-(Data_Val!$L$3*365.25)),Data!#REF!&lt;=(TODAY()-(Data_Val!$L$2*365.25))),0,1),1))</f>
        <v>#REF!</v>
      </c>
      <c r="AM509" s="17" t="e">
        <f>IF(Data!#REF!="","",IF(Data!$G509="",1,IF(ISNUMBER(MATCH(Data!#REF!,Data_Val!$D$2:$D$10,0)),0,1)))</f>
        <v>#REF!</v>
      </c>
      <c r="AN509" s="13"/>
      <c r="AO509" s="28" t="e">
        <f ca="1">IF(Data!#REF!="","",IF(ISNUMBER(Data!#REF!),IF(AND(Data!#REF!&gt;(TODAY()-(Data_Val!$I$3*365.25)),Data!#REF!&lt;=(TODAY()-(Data_Val!$I$2*365.25))),0,1),1))</f>
        <v>#REF!</v>
      </c>
      <c r="AP509" s="13" t="e">
        <f>IF(Data!#REF!="","",IF(Data!$G509="",1,IF(ISNUMBER(MATCH(Data!#REF!,Data_Val!$D$2:$D$10,0)),0,1)))</f>
        <v>#REF!</v>
      </c>
      <c r="AQ509" s="17"/>
      <c r="AR509" s="30" t="e">
        <f ca="1">IF(Data!#REF!="","",IF(ISNUMBER(Data!#REF!),IF(AND(Data!#REF!&gt;(TODAY()-(Data_Val!$I$3*365.25)),Data!#REF!&lt;=(TODAY()-(Data_Val!$I$2*365.25))),0,1),1))</f>
        <v>#REF!</v>
      </c>
      <c r="AS509" s="31" t="e">
        <f>IF(Data!#REF!="","",IF(Data!$G509="",1,IF(ISNUMBER(MATCH(Data!#REF!,Data_Val!$D$2:$D$10,0)),0,1)))</f>
        <v>#REF!</v>
      </c>
      <c r="AT509" s="11"/>
      <c r="AU509" s="11" t="e">
        <f ca="1">IF(Data!#REF!="","",IF(ISNUMBER(Data!#REF!),IF(AND(Data!#REF!&gt;(TODAY()-(Data_Val!$I$3*365.25)),Data!#REF!&lt;=(TODAY()-(Data_Val!$I$2*365.25))),0,1),1))</f>
        <v>#REF!</v>
      </c>
      <c r="AV509" s="11" t="e">
        <f>IF(Data!#REF!="","",IF(Data!$G509="",1,IF(ISNUMBER(MATCH(Data!#REF!,Data_Val!$D$2:$D$10,0)),0,1)))</f>
        <v>#REF!</v>
      </c>
      <c r="AW509" s="12"/>
      <c r="AX509" s="26" t="e">
        <f ca="1">IF(Data!#REF!="","",IF(ISNUMBER(Data!#REF!),IF(AND(Data!#REF!&gt;(TODAY()-(Data_Val!$I$3*365.25)),Data!#REF!&lt;=(TODAY()-(Data_Val!$I$2*365.25))),0,1),1))</f>
        <v>#REF!</v>
      </c>
      <c r="AY509" s="12" t="e">
        <f>IF(Data!#REF!="","",IF(Data!$G509="",1,IF(ISNUMBER(MATCH(Data!#REF!,Data_Val!$D$2:$D$10,0)),0,1)))</f>
        <v>#REF!</v>
      </c>
      <c r="AZ509" s="11"/>
      <c r="BA509" s="19" t="e">
        <f ca="1">IF(Data!#REF!="","",IF(ISNUMBER(Data!#REF!),IF(AND(Data!#REF!&gt;(TODAY()-(Data_Val!$M$3*365.25)),Data!#REF!&lt;=(TODAY()-(Data_Val!$M$2*365.25))),0,1),1))</f>
        <v>#REF!</v>
      </c>
      <c r="BB509" s="11" t="e">
        <f>IF(Data!#REF!="","",IF(Data!$G509="",1,IF(ISNUMBER(MATCH(Data!#REF!,Data_Val!$D$2:$D$10,0)),0,1)))</f>
        <v>#REF!</v>
      </c>
      <c r="BC509" s="12"/>
      <c r="BD509" s="20" t="e">
        <f ca="1">IF(Data!#REF!="","",IF(ISNUMBER(Data!#REF!),IF(AND(Data!#REF!&gt;(TODAY()-(Data_Val!$M$3*365.25)),Data!#REF!&lt;=(TODAY()-(Data_Val!$M$2*365.25))),0,1),1))</f>
        <v>#REF!</v>
      </c>
      <c r="BE509" s="12" t="e">
        <f>IF(Data!#REF!="","",IF(Data!$G509="",1,IF(ISNUMBER(MATCH(Data!#REF!,Data_Val!$D$2:$D$10,0)),0,1)))</f>
        <v>#REF!</v>
      </c>
      <c r="BF509" s="17"/>
      <c r="BG509" s="18" t="e">
        <f ca="1">IF(Data!#REF!="","",IF(ISNUMBER(Data!#REF!),IF(AND(Data!#REF!&gt;(TODAY()-(Data_Val!$M$3*365.25)),Data!#REF!&lt;=(TODAY()-(Data_Val!$M$2*365.25))),0,1),1))</f>
        <v>#REF!</v>
      </c>
      <c r="BH509" s="29" t="e">
        <f>IF(Data!#REF!="","",IF(Data!$G509="",1,IF(ISNUMBER(MATCH(Data!#REF!,Data_Val!$D$2:$D$10,0)),0,1)))</f>
        <v>#REF!</v>
      </c>
      <c r="BI509" s="13"/>
      <c r="BJ509" s="21" t="e">
        <f ca="1">IF(Data!#REF!="","",IF(ISNUMBER(Data!#REF!),IF(AND(Data!#REF!&gt;(TODAY()-(Data_Val!$M$3*365.25)),Data!#REF!&lt;=(TODAY()-(Data_Val!$M$2*365.25))),0,1),1))</f>
        <v>#REF!</v>
      </c>
      <c r="BK509" s="13" t="e">
        <f>IF(Data!#REF!="","",IF(Data!$G509="",1,IF(ISNUMBER(MATCH(Data!#REF!,Data_Val!$D$2:$D$10,0)),0,1)))</f>
        <v>#REF!</v>
      </c>
    </row>
    <row r="510" spans="1:63" x14ac:dyDescent="0.25">
      <c r="A510" s="9" t="str">
        <f>IF(Data!B510="","",IF(COUNTIFS(Data!A$1:'Data'!A510,Data!A510)&lt;=1,0,1))</f>
        <v/>
      </c>
      <c r="B510" s="9"/>
      <c r="C510" s="23" t="str">
        <f>IF(Data!C510="","",(IF(ISNUMBER(MATCH("*@*.?*",Data!C510,0)),0,1)+IF(COUNTIFS(Data!C$1:'Data'!C510,Data!C510)&gt;1,1,0)))</f>
        <v/>
      </c>
      <c r="D510" s="9" t="str">
        <f>IF(Data!B510="","",IF(ISNUMBER(Data!D510),IF(AND(Data!D510&gt;999999999,Data!D510&lt;=9999999999),IF(COUNTIFS(Data!D$1:'Data'!D510,Data!D510)&lt;=1,0,1),1),1))</f>
        <v/>
      </c>
      <c r="E510" s="9" t="str">
        <f>IF(Data!B510="","",IF(ISNUMBER(MATCH(Data!E510,Data_Val!$A$2:$A$3,0)),0,1))</f>
        <v/>
      </c>
      <c r="F510" s="9" t="str">
        <f ca="1">IF(Data!B510="","",IF(ISNUMBER(Data!F510),IF(AND(Data!F510&gt;(TODAY()-(Data_Val!$H$3*365.25)),Data!F510&lt;=(TODAY()-(Data_Val!$H$2*365.25))),0,1),1))</f>
        <v/>
      </c>
      <c r="G510" s="15" t="str">
        <f>IF(Data!B510="","",IF(AND(Data!G510="",Data!H510&lt;&gt;""),1,IF(Data!#REF!&lt;&gt;"",0,IF(ISNUMBER(MATCH(Data!G510,Data_Val!$C$2:$C$5,0)),0,1))))</f>
        <v/>
      </c>
      <c r="H510" s="15" t="str">
        <f>IF(Data!B510="","",IF(AND(Data!G510&lt;&gt;"",Data!H510=""),1,IF(Data!#REF!&lt;&gt;"",0,IF(Data!G510="",1,IF(ISNUMBER(MATCH(Data!H510,Data_Val!$D$2:$D$35,0)),0,1)))))</f>
        <v/>
      </c>
      <c r="I510" s="15" t="str">
        <f>IF(Data!B510="","",IF(Data!G510&lt;&gt;"",0,IF(ISNUMBER(MATCH(Data!#REF!,Data_Val!$E$2:$E$12,0)),0,1)))</f>
        <v/>
      </c>
      <c r="J510" s="16" t="e">
        <f>IF(OR(Data!B510="",Data!#REF!=""),"",IF(Data!#REF!="",1,0))</f>
        <v>#REF!</v>
      </c>
      <c r="K510" s="16" t="e">
        <f>IF(OR(Data!B510="",Data!#REF!=""),"",IF(Data!#REF!="",1,0))</f>
        <v>#REF!</v>
      </c>
      <c r="L510" s="16" t="e">
        <f>IF(OR(Data!B510="",Data!#REF!=""),"",IF(ISNUMBER(Data!#REF!),IF(AND(Data!#REF!&gt;Data_Val!$G$2,Data!#REF!&lt;=Data_Val!$G$3),0,1),1))</f>
        <v>#REF!</v>
      </c>
      <c r="M510" s="9" t="e">
        <f>IF(OR(Data!B510="",Data!#REF!=""),"",IF(ISNUMBER(MATCH(Data!#REF!,Data_Val!$F$1:$F$38,0)),0,1))</f>
        <v>#REF!</v>
      </c>
      <c r="N510" s="9" t="e">
        <f>IF(OR(Data!B510="",Data!#REF!=""),"",IF(Data!#REF!="",1,0))</f>
        <v>#REF!</v>
      </c>
      <c r="O510" s="17" t="e">
        <f>IF(Data!#REF!="","",IF(Data!#REF!="",1,0))</f>
        <v>#REF!</v>
      </c>
      <c r="P510" s="17" t="e">
        <f>IF(Data!#REF!="","",IF(ISNUMBER(MATCH(Data!#REF!,Data_Val!$A$2:$A$3,0)),0,1))</f>
        <v>#REF!</v>
      </c>
      <c r="Q510" s="25" t="e">
        <f ca="1">IF(Data!#REF!="","",IF(ISNUMBER(Data!#REF!),IF(AND(Data!#REF!&gt;(TODAY()-(Data_Val!$J$3*365.25)),Data!#REF!&lt;=(TODAY()-(Data_Val!$J$2*365.25))),0,1),1))</f>
        <v>#REF!</v>
      </c>
      <c r="R510" s="17" t="e">
        <f>IF(Data!#REF!="","",IF(ISNUMBER(MATCH(Data!#REF!,Data_Val!$B$2:$B$15,0)),0,1))</f>
        <v>#REF!</v>
      </c>
      <c r="S510" s="11" t="str">
        <f>IF(Data!G510="","",IF(Data!G510=Data_Val!$C$2,IF(Data!M510="",0,1),0))</f>
        <v/>
      </c>
      <c r="T510" s="11" t="str">
        <f>IF(Data!M510="","",IF(ISNUMBER(MATCH(Data!N510,Data_Val!$A$2:$A$3,0)),0,1))</f>
        <v/>
      </c>
      <c r="U510" s="11" t="str">
        <f ca="1">IF(Data!M510="","",IF(ISNUMBER(Data!O510),IF(AND(Data!O510&gt;(TODAY()-(Data_Val!$K$3*365.25)),Data!O510&lt;=(TODAY()-(Data_Val!$K$2*365.25))),0,1),1))</f>
        <v/>
      </c>
      <c r="V510" s="12" t="str">
        <f>IF(Data!G510="","",IF(Data!G510=Data_Val!$C$2,IF(Data!P510="",0,1),0))</f>
        <v/>
      </c>
      <c r="W510" s="12" t="str">
        <f>IF(Data!P510="","",IF(ISNUMBER(MATCH(Data!Q510,Data_Val!$A$2:$A$3,0)),0,1))</f>
        <v/>
      </c>
      <c r="X510" s="26" t="str">
        <f ca="1">IF(Data!P510="","",IF(ISNUMBER(Data!R510),IF(AND(Data!R510&gt;(TODAY()-(Data_Val!$L$3*365.25)),Data!R510&lt;=(TODAY()-(Data_Val!$L$2*365.25))),0,1),1))</f>
        <v/>
      </c>
      <c r="Y510" s="13" t="str">
        <f>IF(Data!$G510="","",IF(Data!$G510=Data_Val!$C$2,IF(Data!S510="",0,1),0))</f>
        <v/>
      </c>
      <c r="Z510" s="13" t="str">
        <f>IF(Data!S510="","",IF(ISNUMBER(MATCH(Data!T510,Data_Val!$A$2:$A$3,0)),0,1))</f>
        <v/>
      </c>
      <c r="AA510" s="28" t="str">
        <f ca="1">IF(Data!S510="","",IF(ISNUMBER(Data!U510),IF(AND(Data!U510&gt;(TODAY()-(Data_Val!$L$3*365.25)),Data!U510&lt;=(TODAY()-(Data_Val!$L$2*365.25))),0,1),1))</f>
        <v/>
      </c>
      <c r="AB510" s="11"/>
      <c r="AC510" s="11" t="e">
        <f>IF(Data!#REF!="","",IF(ISNUMBER(MATCH(Data!#REF!,Data_Val!$A$2:$A$3,0)),0,1))</f>
        <v>#REF!</v>
      </c>
      <c r="AD510" s="11" t="e">
        <f ca="1">IF(Data!#REF!="","",IF(ISNUMBER(Data!#REF!),IF(AND(Data!#REF!&gt;(TODAY()-(Data_Val!$L$3*365.25)),Data!#REF!&lt;=(TODAY()-(Data_Val!$L$2*365.25))),0,1),1))</f>
        <v>#REF!</v>
      </c>
      <c r="AE510" s="11" t="e">
        <f>IF(Data!#REF!="","",IF(Data!$G510="",1,IF(ISNUMBER(MATCH(Data!#REF!,Data_Val!$D$2:$D$10,0)),0,1)))</f>
        <v>#REF!</v>
      </c>
      <c r="AF510" s="12"/>
      <c r="AG510" s="12" t="e">
        <f>IF(Data!#REF!="","",IF(ISNUMBER(MATCH(Data!#REF!,Data_Val!$A$2:$A$3,0)),0,1))</f>
        <v>#REF!</v>
      </c>
      <c r="AH510" s="26" t="e">
        <f ca="1">IF(Data!#REF!="","",IF(ISNUMBER(Data!#REF!),IF(AND(Data!#REF!&gt;(TODAY()-(Data_Val!$L$3*365.25)),Data!#REF!&lt;=(TODAY()-(Data_Val!$L$2*365.25))),0,1),1))</f>
        <v>#REF!</v>
      </c>
      <c r="AI510" s="12" t="e">
        <f>IF(Data!#REF!="","",IF(Data!$G510="",1,IF(ISNUMBER(MATCH(Data!#REF!,Data_Val!$D$2:$D$10,0)),0,1)))</f>
        <v>#REF!</v>
      </c>
      <c r="AJ510" s="17"/>
      <c r="AK510" s="17" t="e">
        <f>IF(Data!#REF!="","",IF(ISNUMBER(MATCH(Data!#REF!,Data_Val!$A$2:$A$3,0)),0,1))</f>
        <v>#REF!</v>
      </c>
      <c r="AL510" s="25" t="e">
        <f ca="1">IF(Data!#REF!="","",IF(ISNUMBER(Data!#REF!),IF(AND(Data!#REF!&gt;(TODAY()-(Data_Val!$L$3*365.25)),Data!#REF!&lt;=(TODAY()-(Data_Val!$L$2*365.25))),0,1),1))</f>
        <v>#REF!</v>
      </c>
      <c r="AM510" s="17" t="e">
        <f>IF(Data!#REF!="","",IF(Data!$G510="",1,IF(ISNUMBER(MATCH(Data!#REF!,Data_Val!$D$2:$D$10,0)),0,1)))</f>
        <v>#REF!</v>
      </c>
      <c r="AN510" s="13"/>
      <c r="AO510" s="28" t="e">
        <f ca="1">IF(Data!#REF!="","",IF(ISNUMBER(Data!#REF!),IF(AND(Data!#REF!&gt;(TODAY()-(Data_Val!$I$3*365.25)),Data!#REF!&lt;=(TODAY()-(Data_Val!$I$2*365.25))),0,1),1))</f>
        <v>#REF!</v>
      </c>
      <c r="AP510" s="13" t="e">
        <f>IF(Data!#REF!="","",IF(Data!$G510="",1,IF(ISNUMBER(MATCH(Data!#REF!,Data_Val!$D$2:$D$10,0)),0,1)))</f>
        <v>#REF!</v>
      </c>
      <c r="AQ510" s="17"/>
      <c r="AR510" s="30" t="e">
        <f ca="1">IF(Data!#REF!="","",IF(ISNUMBER(Data!#REF!),IF(AND(Data!#REF!&gt;(TODAY()-(Data_Val!$I$3*365.25)),Data!#REF!&lt;=(TODAY()-(Data_Val!$I$2*365.25))),0,1),1))</f>
        <v>#REF!</v>
      </c>
      <c r="AS510" s="31" t="e">
        <f>IF(Data!#REF!="","",IF(Data!$G510="",1,IF(ISNUMBER(MATCH(Data!#REF!,Data_Val!$D$2:$D$10,0)),0,1)))</f>
        <v>#REF!</v>
      </c>
      <c r="AT510" s="11"/>
      <c r="AU510" s="11" t="e">
        <f ca="1">IF(Data!#REF!="","",IF(ISNUMBER(Data!#REF!),IF(AND(Data!#REF!&gt;(TODAY()-(Data_Val!$I$3*365.25)),Data!#REF!&lt;=(TODAY()-(Data_Val!$I$2*365.25))),0,1),1))</f>
        <v>#REF!</v>
      </c>
      <c r="AV510" s="11" t="e">
        <f>IF(Data!#REF!="","",IF(Data!$G510="",1,IF(ISNUMBER(MATCH(Data!#REF!,Data_Val!$D$2:$D$10,0)),0,1)))</f>
        <v>#REF!</v>
      </c>
      <c r="AW510" s="12"/>
      <c r="AX510" s="26" t="e">
        <f ca="1">IF(Data!#REF!="","",IF(ISNUMBER(Data!#REF!),IF(AND(Data!#REF!&gt;(TODAY()-(Data_Val!$I$3*365.25)),Data!#REF!&lt;=(TODAY()-(Data_Val!$I$2*365.25))),0,1),1))</f>
        <v>#REF!</v>
      </c>
      <c r="AY510" s="12" t="e">
        <f>IF(Data!#REF!="","",IF(Data!$G510="",1,IF(ISNUMBER(MATCH(Data!#REF!,Data_Val!$D$2:$D$10,0)),0,1)))</f>
        <v>#REF!</v>
      </c>
      <c r="AZ510" s="11"/>
      <c r="BA510" s="19" t="e">
        <f ca="1">IF(Data!#REF!="","",IF(ISNUMBER(Data!#REF!),IF(AND(Data!#REF!&gt;(TODAY()-(Data_Val!$M$3*365.25)),Data!#REF!&lt;=(TODAY()-(Data_Val!$M$2*365.25))),0,1),1))</f>
        <v>#REF!</v>
      </c>
      <c r="BB510" s="11" t="e">
        <f>IF(Data!#REF!="","",IF(Data!$G510="",1,IF(ISNUMBER(MATCH(Data!#REF!,Data_Val!$D$2:$D$10,0)),0,1)))</f>
        <v>#REF!</v>
      </c>
      <c r="BC510" s="12"/>
      <c r="BD510" s="20" t="e">
        <f ca="1">IF(Data!#REF!="","",IF(ISNUMBER(Data!#REF!),IF(AND(Data!#REF!&gt;(TODAY()-(Data_Val!$M$3*365.25)),Data!#REF!&lt;=(TODAY()-(Data_Val!$M$2*365.25))),0,1),1))</f>
        <v>#REF!</v>
      </c>
      <c r="BE510" s="12" t="e">
        <f>IF(Data!#REF!="","",IF(Data!$G510="",1,IF(ISNUMBER(MATCH(Data!#REF!,Data_Val!$D$2:$D$10,0)),0,1)))</f>
        <v>#REF!</v>
      </c>
      <c r="BF510" s="17"/>
      <c r="BG510" s="18" t="e">
        <f ca="1">IF(Data!#REF!="","",IF(ISNUMBER(Data!#REF!),IF(AND(Data!#REF!&gt;(TODAY()-(Data_Val!$M$3*365.25)),Data!#REF!&lt;=(TODAY()-(Data_Val!$M$2*365.25))),0,1),1))</f>
        <v>#REF!</v>
      </c>
      <c r="BH510" s="29" t="e">
        <f>IF(Data!#REF!="","",IF(Data!$G510="",1,IF(ISNUMBER(MATCH(Data!#REF!,Data_Val!$D$2:$D$10,0)),0,1)))</f>
        <v>#REF!</v>
      </c>
      <c r="BI510" s="13"/>
      <c r="BJ510" s="21" t="e">
        <f ca="1">IF(Data!#REF!="","",IF(ISNUMBER(Data!#REF!),IF(AND(Data!#REF!&gt;(TODAY()-(Data_Val!$M$3*365.25)),Data!#REF!&lt;=(TODAY()-(Data_Val!$M$2*365.25))),0,1),1))</f>
        <v>#REF!</v>
      </c>
      <c r="BK510" s="13" t="e">
        <f>IF(Data!#REF!="","",IF(Data!$G510="",1,IF(ISNUMBER(MATCH(Data!#REF!,Data_Val!$D$2:$D$10,0)),0,1)))</f>
        <v>#REF!</v>
      </c>
    </row>
    <row r="511" spans="1:63" x14ac:dyDescent="0.25">
      <c r="A511" s="9" t="str">
        <f>IF(Data!B511="","",IF(COUNTIFS(Data!A$1:'Data'!A511,Data!A511)&lt;=1,0,1))</f>
        <v/>
      </c>
      <c r="B511" s="9"/>
      <c r="C511" s="23" t="str">
        <f>IF(Data!C511="","",(IF(ISNUMBER(MATCH("*@*.?*",Data!C511,0)),0,1)+IF(COUNTIFS(Data!C$1:'Data'!C511,Data!C511)&gt;1,1,0)))</f>
        <v/>
      </c>
      <c r="D511" s="9" t="str">
        <f>IF(Data!B511="","",IF(ISNUMBER(Data!D511),IF(AND(Data!D511&gt;999999999,Data!D511&lt;=9999999999),IF(COUNTIFS(Data!D$1:'Data'!D511,Data!D511)&lt;=1,0,1),1),1))</f>
        <v/>
      </c>
      <c r="E511" s="9" t="str">
        <f>IF(Data!B511="","",IF(ISNUMBER(MATCH(Data!E511,Data_Val!$A$2:$A$3,0)),0,1))</f>
        <v/>
      </c>
      <c r="F511" s="9" t="str">
        <f ca="1">IF(Data!B511="","",IF(ISNUMBER(Data!F511),IF(AND(Data!F511&gt;(TODAY()-(Data_Val!$H$3*365.25)),Data!F511&lt;=(TODAY()-(Data_Val!$H$2*365.25))),0,1),1))</f>
        <v/>
      </c>
      <c r="G511" s="15" t="str">
        <f>IF(Data!B511="","",IF(AND(Data!G511="",Data!H511&lt;&gt;""),1,IF(Data!#REF!&lt;&gt;"",0,IF(ISNUMBER(MATCH(Data!G511,Data_Val!$C$2:$C$5,0)),0,1))))</f>
        <v/>
      </c>
      <c r="H511" s="15" t="str">
        <f>IF(Data!B511="","",IF(AND(Data!G511&lt;&gt;"",Data!H511=""),1,IF(Data!#REF!&lt;&gt;"",0,IF(Data!G511="",1,IF(ISNUMBER(MATCH(Data!H511,Data_Val!$D$2:$D$35,0)),0,1)))))</f>
        <v/>
      </c>
      <c r="I511" s="15" t="str">
        <f>IF(Data!B511="","",IF(Data!G511&lt;&gt;"",0,IF(ISNUMBER(MATCH(Data!#REF!,Data_Val!$E$2:$E$12,0)),0,1)))</f>
        <v/>
      </c>
      <c r="J511" s="16" t="e">
        <f>IF(OR(Data!B511="",Data!#REF!=""),"",IF(Data!#REF!="",1,0))</f>
        <v>#REF!</v>
      </c>
      <c r="K511" s="16" t="e">
        <f>IF(OR(Data!B511="",Data!#REF!=""),"",IF(Data!#REF!="",1,0))</f>
        <v>#REF!</v>
      </c>
      <c r="L511" s="16" t="e">
        <f>IF(OR(Data!B511="",Data!#REF!=""),"",IF(ISNUMBER(Data!#REF!),IF(AND(Data!#REF!&gt;Data_Val!$G$2,Data!#REF!&lt;=Data_Val!$G$3),0,1),1))</f>
        <v>#REF!</v>
      </c>
      <c r="M511" s="9" t="e">
        <f>IF(OR(Data!B511="",Data!#REF!=""),"",IF(ISNUMBER(MATCH(Data!#REF!,Data_Val!$F$1:$F$38,0)),0,1))</f>
        <v>#REF!</v>
      </c>
      <c r="N511" s="9" t="e">
        <f>IF(OR(Data!B511="",Data!#REF!=""),"",IF(Data!#REF!="",1,0))</f>
        <v>#REF!</v>
      </c>
      <c r="O511" s="17" t="e">
        <f>IF(Data!#REF!="","",IF(Data!#REF!="",1,0))</f>
        <v>#REF!</v>
      </c>
      <c r="P511" s="17" t="e">
        <f>IF(Data!#REF!="","",IF(ISNUMBER(MATCH(Data!#REF!,Data_Val!$A$2:$A$3,0)),0,1))</f>
        <v>#REF!</v>
      </c>
      <c r="Q511" s="25" t="e">
        <f ca="1">IF(Data!#REF!="","",IF(ISNUMBER(Data!#REF!),IF(AND(Data!#REF!&gt;(TODAY()-(Data_Val!$J$3*365.25)),Data!#REF!&lt;=(TODAY()-(Data_Val!$J$2*365.25))),0,1),1))</f>
        <v>#REF!</v>
      </c>
      <c r="R511" s="17" t="e">
        <f>IF(Data!#REF!="","",IF(ISNUMBER(MATCH(Data!#REF!,Data_Val!$B$2:$B$15,0)),0,1))</f>
        <v>#REF!</v>
      </c>
      <c r="S511" s="11" t="str">
        <f>IF(Data!G511="","",IF(Data!G511=Data_Val!$C$2,IF(Data!M511="",0,1),0))</f>
        <v/>
      </c>
      <c r="T511" s="11" t="str">
        <f>IF(Data!M511="","",IF(ISNUMBER(MATCH(Data!N511,Data_Val!$A$2:$A$3,0)),0,1))</f>
        <v/>
      </c>
      <c r="U511" s="11" t="str">
        <f ca="1">IF(Data!M511="","",IF(ISNUMBER(Data!O511),IF(AND(Data!O511&gt;(TODAY()-(Data_Val!$K$3*365.25)),Data!O511&lt;=(TODAY()-(Data_Val!$K$2*365.25))),0,1),1))</f>
        <v/>
      </c>
      <c r="V511" s="12" t="str">
        <f>IF(Data!G511="","",IF(Data!G511=Data_Val!$C$2,IF(Data!P511="",0,1),0))</f>
        <v/>
      </c>
      <c r="W511" s="12" t="str">
        <f>IF(Data!P511="","",IF(ISNUMBER(MATCH(Data!Q511,Data_Val!$A$2:$A$3,0)),0,1))</f>
        <v/>
      </c>
      <c r="X511" s="26" t="str">
        <f ca="1">IF(Data!P511="","",IF(ISNUMBER(Data!R511),IF(AND(Data!R511&gt;(TODAY()-(Data_Val!$L$3*365.25)),Data!R511&lt;=(TODAY()-(Data_Val!$L$2*365.25))),0,1),1))</f>
        <v/>
      </c>
      <c r="Y511" s="13" t="str">
        <f>IF(Data!$G511="","",IF(Data!$G511=Data_Val!$C$2,IF(Data!S511="",0,1),0))</f>
        <v/>
      </c>
      <c r="Z511" s="13" t="str">
        <f>IF(Data!S511="","",IF(ISNUMBER(MATCH(Data!T511,Data_Val!$A$2:$A$3,0)),0,1))</f>
        <v/>
      </c>
      <c r="AA511" s="28" t="str">
        <f ca="1">IF(Data!S511="","",IF(ISNUMBER(Data!U511),IF(AND(Data!U511&gt;(TODAY()-(Data_Val!$L$3*365.25)),Data!U511&lt;=(TODAY()-(Data_Val!$L$2*365.25))),0,1),1))</f>
        <v/>
      </c>
      <c r="AB511" s="11"/>
      <c r="AC511" s="11" t="e">
        <f>IF(Data!#REF!="","",IF(ISNUMBER(MATCH(Data!#REF!,Data_Val!$A$2:$A$3,0)),0,1))</f>
        <v>#REF!</v>
      </c>
      <c r="AD511" s="11" t="e">
        <f ca="1">IF(Data!#REF!="","",IF(ISNUMBER(Data!#REF!),IF(AND(Data!#REF!&gt;(TODAY()-(Data_Val!$L$3*365.25)),Data!#REF!&lt;=(TODAY()-(Data_Val!$L$2*365.25))),0,1),1))</f>
        <v>#REF!</v>
      </c>
      <c r="AE511" s="11" t="e">
        <f>IF(Data!#REF!="","",IF(Data!$G511="",1,IF(ISNUMBER(MATCH(Data!#REF!,Data_Val!$D$2:$D$10,0)),0,1)))</f>
        <v>#REF!</v>
      </c>
      <c r="AF511" s="12"/>
      <c r="AG511" s="12" t="e">
        <f>IF(Data!#REF!="","",IF(ISNUMBER(MATCH(Data!#REF!,Data_Val!$A$2:$A$3,0)),0,1))</f>
        <v>#REF!</v>
      </c>
      <c r="AH511" s="26" t="e">
        <f ca="1">IF(Data!#REF!="","",IF(ISNUMBER(Data!#REF!),IF(AND(Data!#REF!&gt;(TODAY()-(Data_Val!$L$3*365.25)),Data!#REF!&lt;=(TODAY()-(Data_Val!$L$2*365.25))),0,1),1))</f>
        <v>#REF!</v>
      </c>
      <c r="AI511" s="12" t="e">
        <f>IF(Data!#REF!="","",IF(Data!$G511="",1,IF(ISNUMBER(MATCH(Data!#REF!,Data_Val!$D$2:$D$10,0)),0,1)))</f>
        <v>#REF!</v>
      </c>
      <c r="AJ511" s="17"/>
      <c r="AK511" s="17" t="e">
        <f>IF(Data!#REF!="","",IF(ISNUMBER(MATCH(Data!#REF!,Data_Val!$A$2:$A$3,0)),0,1))</f>
        <v>#REF!</v>
      </c>
      <c r="AL511" s="25" t="e">
        <f ca="1">IF(Data!#REF!="","",IF(ISNUMBER(Data!#REF!),IF(AND(Data!#REF!&gt;(TODAY()-(Data_Val!$L$3*365.25)),Data!#REF!&lt;=(TODAY()-(Data_Val!$L$2*365.25))),0,1),1))</f>
        <v>#REF!</v>
      </c>
      <c r="AM511" s="17" t="e">
        <f>IF(Data!#REF!="","",IF(Data!$G511="",1,IF(ISNUMBER(MATCH(Data!#REF!,Data_Val!$D$2:$D$10,0)),0,1)))</f>
        <v>#REF!</v>
      </c>
      <c r="AN511" s="13"/>
      <c r="AO511" s="28" t="e">
        <f ca="1">IF(Data!#REF!="","",IF(ISNUMBER(Data!#REF!),IF(AND(Data!#REF!&gt;(TODAY()-(Data_Val!$I$3*365.25)),Data!#REF!&lt;=(TODAY()-(Data_Val!$I$2*365.25))),0,1),1))</f>
        <v>#REF!</v>
      </c>
      <c r="AP511" s="13" t="e">
        <f>IF(Data!#REF!="","",IF(Data!$G511="",1,IF(ISNUMBER(MATCH(Data!#REF!,Data_Val!$D$2:$D$10,0)),0,1)))</f>
        <v>#REF!</v>
      </c>
      <c r="AQ511" s="17"/>
      <c r="AR511" s="30" t="e">
        <f ca="1">IF(Data!#REF!="","",IF(ISNUMBER(Data!#REF!),IF(AND(Data!#REF!&gt;(TODAY()-(Data_Val!$I$3*365.25)),Data!#REF!&lt;=(TODAY()-(Data_Val!$I$2*365.25))),0,1),1))</f>
        <v>#REF!</v>
      </c>
      <c r="AS511" s="31" t="e">
        <f>IF(Data!#REF!="","",IF(Data!$G511="",1,IF(ISNUMBER(MATCH(Data!#REF!,Data_Val!$D$2:$D$10,0)),0,1)))</f>
        <v>#REF!</v>
      </c>
      <c r="AT511" s="11"/>
      <c r="AU511" s="11" t="e">
        <f ca="1">IF(Data!#REF!="","",IF(ISNUMBER(Data!#REF!),IF(AND(Data!#REF!&gt;(TODAY()-(Data_Val!$I$3*365.25)),Data!#REF!&lt;=(TODAY()-(Data_Val!$I$2*365.25))),0,1),1))</f>
        <v>#REF!</v>
      </c>
      <c r="AV511" s="11" t="e">
        <f>IF(Data!#REF!="","",IF(Data!$G511="",1,IF(ISNUMBER(MATCH(Data!#REF!,Data_Val!$D$2:$D$10,0)),0,1)))</f>
        <v>#REF!</v>
      </c>
      <c r="AW511" s="12"/>
      <c r="AX511" s="26" t="e">
        <f ca="1">IF(Data!#REF!="","",IF(ISNUMBER(Data!#REF!),IF(AND(Data!#REF!&gt;(TODAY()-(Data_Val!$I$3*365.25)),Data!#REF!&lt;=(TODAY()-(Data_Val!$I$2*365.25))),0,1),1))</f>
        <v>#REF!</v>
      </c>
      <c r="AY511" s="12" t="e">
        <f>IF(Data!#REF!="","",IF(Data!$G511="",1,IF(ISNUMBER(MATCH(Data!#REF!,Data_Val!$D$2:$D$10,0)),0,1)))</f>
        <v>#REF!</v>
      </c>
      <c r="AZ511" s="11"/>
      <c r="BA511" s="19" t="e">
        <f ca="1">IF(Data!#REF!="","",IF(ISNUMBER(Data!#REF!),IF(AND(Data!#REF!&gt;(TODAY()-(Data_Val!$M$3*365.25)),Data!#REF!&lt;=(TODAY()-(Data_Val!$M$2*365.25))),0,1),1))</f>
        <v>#REF!</v>
      </c>
      <c r="BB511" s="11" t="e">
        <f>IF(Data!#REF!="","",IF(Data!$G511="",1,IF(ISNUMBER(MATCH(Data!#REF!,Data_Val!$D$2:$D$10,0)),0,1)))</f>
        <v>#REF!</v>
      </c>
      <c r="BC511" s="12"/>
      <c r="BD511" s="20" t="e">
        <f ca="1">IF(Data!#REF!="","",IF(ISNUMBER(Data!#REF!),IF(AND(Data!#REF!&gt;(TODAY()-(Data_Val!$M$3*365.25)),Data!#REF!&lt;=(TODAY()-(Data_Val!$M$2*365.25))),0,1),1))</f>
        <v>#REF!</v>
      </c>
      <c r="BE511" s="12" t="e">
        <f>IF(Data!#REF!="","",IF(Data!$G511="",1,IF(ISNUMBER(MATCH(Data!#REF!,Data_Val!$D$2:$D$10,0)),0,1)))</f>
        <v>#REF!</v>
      </c>
      <c r="BF511" s="17"/>
      <c r="BG511" s="18" t="e">
        <f ca="1">IF(Data!#REF!="","",IF(ISNUMBER(Data!#REF!),IF(AND(Data!#REF!&gt;(TODAY()-(Data_Val!$M$3*365.25)),Data!#REF!&lt;=(TODAY()-(Data_Val!$M$2*365.25))),0,1),1))</f>
        <v>#REF!</v>
      </c>
      <c r="BH511" s="29" t="e">
        <f>IF(Data!#REF!="","",IF(Data!$G511="",1,IF(ISNUMBER(MATCH(Data!#REF!,Data_Val!$D$2:$D$10,0)),0,1)))</f>
        <v>#REF!</v>
      </c>
      <c r="BI511" s="13"/>
      <c r="BJ511" s="21" t="e">
        <f ca="1">IF(Data!#REF!="","",IF(ISNUMBER(Data!#REF!),IF(AND(Data!#REF!&gt;(TODAY()-(Data_Val!$M$3*365.25)),Data!#REF!&lt;=(TODAY()-(Data_Val!$M$2*365.25))),0,1),1))</f>
        <v>#REF!</v>
      </c>
      <c r="BK511" s="13" t="e">
        <f>IF(Data!#REF!="","",IF(Data!$G511="",1,IF(ISNUMBER(MATCH(Data!#REF!,Data_Val!$D$2:$D$10,0)),0,1)))</f>
        <v>#REF!</v>
      </c>
    </row>
    <row r="512" spans="1:63" x14ac:dyDescent="0.25">
      <c r="A512" s="9" t="str">
        <f>IF(Data!B512="","",IF(COUNTIFS(Data!A$1:'Data'!A512,Data!A512)&lt;=1,0,1))</f>
        <v/>
      </c>
      <c r="B512" s="9"/>
      <c r="C512" s="23" t="str">
        <f>IF(Data!C512="","",(IF(ISNUMBER(MATCH("*@*.?*",Data!C512,0)),0,1)+IF(COUNTIFS(Data!C$1:'Data'!C512,Data!C512)&gt;1,1,0)))</f>
        <v/>
      </c>
      <c r="D512" s="9" t="str">
        <f>IF(Data!B512="","",IF(ISNUMBER(Data!D512),IF(AND(Data!D512&gt;999999999,Data!D512&lt;=9999999999),IF(COUNTIFS(Data!D$1:'Data'!D512,Data!D512)&lt;=1,0,1),1),1))</f>
        <v/>
      </c>
      <c r="E512" s="9" t="str">
        <f>IF(Data!B512="","",IF(ISNUMBER(MATCH(Data!E512,Data_Val!$A$2:$A$3,0)),0,1))</f>
        <v/>
      </c>
      <c r="F512" s="9" t="str">
        <f ca="1">IF(Data!B512="","",IF(ISNUMBER(Data!F512),IF(AND(Data!F512&gt;(TODAY()-(Data_Val!$H$3*365.25)),Data!F512&lt;=(TODAY()-(Data_Val!$H$2*365.25))),0,1),1))</f>
        <v/>
      </c>
      <c r="G512" s="15" t="str">
        <f>IF(Data!B512="","",IF(AND(Data!G512="",Data!H512&lt;&gt;""),1,IF(Data!#REF!&lt;&gt;"",0,IF(ISNUMBER(MATCH(Data!G512,Data_Val!$C$2:$C$5,0)),0,1))))</f>
        <v/>
      </c>
      <c r="H512" s="15" t="str">
        <f>IF(Data!B512="","",IF(AND(Data!G512&lt;&gt;"",Data!H512=""),1,IF(Data!#REF!&lt;&gt;"",0,IF(Data!G512="",1,IF(ISNUMBER(MATCH(Data!H512,Data_Val!$D$2:$D$35,0)),0,1)))))</f>
        <v/>
      </c>
      <c r="I512" s="15" t="str">
        <f>IF(Data!B512="","",IF(Data!G512&lt;&gt;"",0,IF(ISNUMBER(MATCH(Data!#REF!,Data_Val!$E$2:$E$12,0)),0,1)))</f>
        <v/>
      </c>
      <c r="J512" s="16" t="e">
        <f>IF(OR(Data!B512="",Data!#REF!=""),"",IF(Data!#REF!="",1,0))</f>
        <v>#REF!</v>
      </c>
      <c r="K512" s="16" t="e">
        <f>IF(OR(Data!B512="",Data!#REF!=""),"",IF(Data!#REF!="",1,0))</f>
        <v>#REF!</v>
      </c>
      <c r="L512" s="16" t="e">
        <f>IF(OR(Data!B512="",Data!#REF!=""),"",IF(ISNUMBER(Data!#REF!),IF(AND(Data!#REF!&gt;Data_Val!$G$2,Data!#REF!&lt;=Data_Val!$G$3),0,1),1))</f>
        <v>#REF!</v>
      </c>
      <c r="M512" s="9" t="e">
        <f>IF(OR(Data!B512="",Data!#REF!=""),"",IF(ISNUMBER(MATCH(Data!#REF!,Data_Val!$F$1:$F$38,0)),0,1))</f>
        <v>#REF!</v>
      </c>
      <c r="N512" s="9" t="e">
        <f>IF(OR(Data!B512="",Data!#REF!=""),"",IF(Data!#REF!="",1,0))</f>
        <v>#REF!</v>
      </c>
      <c r="O512" s="17" t="e">
        <f>IF(Data!#REF!="","",IF(Data!#REF!="",1,0))</f>
        <v>#REF!</v>
      </c>
      <c r="P512" s="17" t="e">
        <f>IF(Data!#REF!="","",IF(ISNUMBER(MATCH(Data!#REF!,Data_Val!$A$2:$A$3,0)),0,1))</f>
        <v>#REF!</v>
      </c>
      <c r="Q512" s="25" t="e">
        <f ca="1">IF(Data!#REF!="","",IF(ISNUMBER(Data!#REF!),IF(AND(Data!#REF!&gt;(TODAY()-(Data_Val!$J$3*365.25)),Data!#REF!&lt;=(TODAY()-(Data_Val!$J$2*365.25))),0,1),1))</f>
        <v>#REF!</v>
      </c>
      <c r="R512" s="17" t="e">
        <f>IF(Data!#REF!="","",IF(ISNUMBER(MATCH(Data!#REF!,Data_Val!$B$2:$B$15,0)),0,1))</f>
        <v>#REF!</v>
      </c>
      <c r="S512" s="11" t="str">
        <f>IF(Data!G512="","",IF(Data!G512=Data_Val!$C$2,IF(Data!M512="",0,1),0))</f>
        <v/>
      </c>
      <c r="T512" s="11" t="str">
        <f>IF(Data!M512="","",IF(ISNUMBER(MATCH(Data!N512,Data_Val!$A$2:$A$3,0)),0,1))</f>
        <v/>
      </c>
      <c r="U512" s="11" t="str">
        <f ca="1">IF(Data!M512="","",IF(ISNUMBER(Data!O512),IF(AND(Data!O512&gt;(TODAY()-(Data_Val!$K$3*365.25)),Data!O512&lt;=(TODAY()-(Data_Val!$K$2*365.25))),0,1),1))</f>
        <v/>
      </c>
      <c r="V512" s="12" t="str">
        <f>IF(Data!G512="","",IF(Data!G512=Data_Val!$C$2,IF(Data!P512="",0,1),0))</f>
        <v/>
      </c>
      <c r="W512" s="12" t="str">
        <f>IF(Data!P512="","",IF(ISNUMBER(MATCH(Data!Q512,Data_Val!$A$2:$A$3,0)),0,1))</f>
        <v/>
      </c>
      <c r="X512" s="26" t="str">
        <f ca="1">IF(Data!P512="","",IF(ISNUMBER(Data!R512),IF(AND(Data!R512&gt;(TODAY()-(Data_Val!$L$3*365.25)),Data!R512&lt;=(TODAY()-(Data_Val!$L$2*365.25))),0,1),1))</f>
        <v/>
      </c>
      <c r="Y512" s="13" t="str">
        <f>IF(Data!$G512="","",IF(Data!$G512=Data_Val!$C$2,IF(Data!S512="",0,1),0))</f>
        <v/>
      </c>
      <c r="Z512" s="13" t="str">
        <f>IF(Data!S512="","",IF(ISNUMBER(MATCH(Data!T512,Data_Val!$A$2:$A$3,0)),0,1))</f>
        <v/>
      </c>
      <c r="AA512" s="28" t="str">
        <f ca="1">IF(Data!S512="","",IF(ISNUMBER(Data!U512),IF(AND(Data!U512&gt;(TODAY()-(Data_Val!$L$3*365.25)),Data!U512&lt;=(TODAY()-(Data_Val!$L$2*365.25))),0,1),1))</f>
        <v/>
      </c>
      <c r="AB512" s="11"/>
      <c r="AC512" s="11" t="e">
        <f>IF(Data!#REF!="","",IF(ISNUMBER(MATCH(Data!#REF!,Data_Val!$A$2:$A$3,0)),0,1))</f>
        <v>#REF!</v>
      </c>
      <c r="AD512" s="11" t="e">
        <f ca="1">IF(Data!#REF!="","",IF(ISNUMBER(Data!#REF!),IF(AND(Data!#REF!&gt;(TODAY()-(Data_Val!$L$3*365.25)),Data!#REF!&lt;=(TODAY()-(Data_Val!$L$2*365.25))),0,1),1))</f>
        <v>#REF!</v>
      </c>
      <c r="AE512" s="11" t="e">
        <f>IF(Data!#REF!="","",IF(Data!$G512="",1,IF(ISNUMBER(MATCH(Data!#REF!,Data_Val!$D$2:$D$10,0)),0,1)))</f>
        <v>#REF!</v>
      </c>
      <c r="AF512" s="12"/>
      <c r="AG512" s="12" t="e">
        <f>IF(Data!#REF!="","",IF(ISNUMBER(MATCH(Data!#REF!,Data_Val!$A$2:$A$3,0)),0,1))</f>
        <v>#REF!</v>
      </c>
      <c r="AH512" s="26" t="e">
        <f ca="1">IF(Data!#REF!="","",IF(ISNUMBER(Data!#REF!),IF(AND(Data!#REF!&gt;(TODAY()-(Data_Val!$L$3*365.25)),Data!#REF!&lt;=(TODAY()-(Data_Val!$L$2*365.25))),0,1),1))</f>
        <v>#REF!</v>
      </c>
      <c r="AI512" s="12" t="e">
        <f>IF(Data!#REF!="","",IF(Data!$G512="",1,IF(ISNUMBER(MATCH(Data!#REF!,Data_Val!$D$2:$D$10,0)),0,1)))</f>
        <v>#REF!</v>
      </c>
      <c r="AJ512" s="17"/>
      <c r="AK512" s="17" t="e">
        <f>IF(Data!#REF!="","",IF(ISNUMBER(MATCH(Data!#REF!,Data_Val!$A$2:$A$3,0)),0,1))</f>
        <v>#REF!</v>
      </c>
      <c r="AL512" s="25" t="e">
        <f ca="1">IF(Data!#REF!="","",IF(ISNUMBER(Data!#REF!),IF(AND(Data!#REF!&gt;(TODAY()-(Data_Val!$L$3*365.25)),Data!#REF!&lt;=(TODAY()-(Data_Val!$L$2*365.25))),0,1),1))</f>
        <v>#REF!</v>
      </c>
      <c r="AM512" s="17" t="e">
        <f>IF(Data!#REF!="","",IF(Data!$G512="",1,IF(ISNUMBER(MATCH(Data!#REF!,Data_Val!$D$2:$D$10,0)),0,1)))</f>
        <v>#REF!</v>
      </c>
      <c r="AN512" s="13"/>
      <c r="AO512" s="28" t="e">
        <f ca="1">IF(Data!#REF!="","",IF(ISNUMBER(Data!#REF!),IF(AND(Data!#REF!&gt;(TODAY()-(Data_Val!$I$3*365.25)),Data!#REF!&lt;=(TODAY()-(Data_Val!$I$2*365.25))),0,1),1))</f>
        <v>#REF!</v>
      </c>
      <c r="AP512" s="13" t="e">
        <f>IF(Data!#REF!="","",IF(Data!$G512="",1,IF(ISNUMBER(MATCH(Data!#REF!,Data_Val!$D$2:$D$10,0)),0,1)))</f>
        <v>#REF!</v>
      </c>
      <c r="AQ512" s="17"/>
      <c r="AR512" s="30" t="e">
        <f ca="1">IF(Data!#REF!="","",IF(ISNUMBER(Data!#REF!),IF(AND(Data!#REF!&gt;(TODAY()-(Data_Val!$I$3*365.25)),Data!#REF!&lt;=(TODAY()-(Data_Val!$I$2*365.25))),0,1),1))</f>
        <v>#REF!</v>
      </c>
      <c r="AS512" s="31" t="e">
        <f>IF(Data!#REF!="","",IF(Data!$G512="",1,IF(ISNUMBER(MATCH(Data!#REF!,Data_Val!$D$2:$D$10,0)),0,1)))</f>
        <v>#REF!</v>
      </c>
      <c r="AT512" s="11"/>
      <c r="AU512" s="11" t="e">
        <f ca="1">IF(Data!#REF!="","",IF(ISNUMBER(Data!#REF!),IF(AND(Data!#REF!&gt;(TODAY()-(Data_Val!$I$3*365.25)),Data!#REF!&lt;=(TODAY()-(Data_Val!$I$2*365.25))),0,1),1))</f>
        <v>#REF!</v>
      </c>
      <c r="AV512" s="11" t="e">
        <f>IF(Data!#REF!="","",IF(Data!$G512="",1,IF(ISNUMBER(MATCH(Data!#REF!,Data_Val!$D$2:$D$10,0)),0,1)))</f>
        <v>#REF!</v>
      </c>
      <c r="AW512" s="12"/>
      <c r="AX512" s="26" t="e">
        <f ca="1">IF(Data!#REF!="","",IF(ISNUMBER(Data!#REF!),IF(AND(Data!#REF!&gt;(TODAY()-(Data_Val!$I$3*365.25)),Data!#REF!&lt;=(TODAY()-(Data_Val!$I$2*365.25))),0,1),1))</f>
        <v>#REF!</v>
      </c>
      <c r="AY512" s="12" t="e">
        <f>IF(Data!#REF!="","",IF(Data!$G512="",1,IF(ISNUMBER(MATCH(Data!#REF!,Data_Val!$D$2:$D$10,0)),0,1)))</f>
        <v>#REF!</v>
      </c>
      <c r="AZ512" s="11"/>
      <c r="BA512" s="19" t="e">
        <f ca="1">IF(Data!#REF!="","",IF(ISNUMBER(Data!#REF!),IF(AND(Data!#REF!&gt;(TODAY()-(Data_Val!$M$3*365.25)),Data!#REF!&lt;=(TODAY()-(Data_Val!$M$2*365.25))),0,1),1))</f>
        <v>#REF!</v>
      </c>
      <c r="BB512" s="11" t="e">
        <f>IF(Data!#REF!="","",IF(Data!$G512="",1,IF(ISNUMBER(MATCH(Data!#REF!,Data_Val!$D$2:$D$10,0)),0,1)))</f>
        <v>#REF!</v>
      </c>
      <c r="BC512" s="12"/>
      <c r="BD512" s="20" t="e">
        <f ca="1">IF(Data!#REF!="","",IF(ISNUMBER(Data!#REF!),IF(AND(Data!#REF!&gt;(TODAY()-(Data_Val!$M$3*365.25)),Data!#REF!&lt;=(TODAY()-(Data_Val!$M$2*365.25))),0,1),1))</f>
        <v>#REF!</v>
      </c>
      <c r="BE512" s="12" t="e">
        <f>IF(Data!#REF!="","",IF(Data!$G512="",1,IF(ISNUMBER(MATCH(Data!#REF!,Data_Val!$D$2:$D$10,0)),0,1)))</f>
        <v>#REF!</v>
      </c>
      <c r="BF512" s="17"/>
      <c r="BG512" s="18" t="e">
        <f ca="1">IF(Data!#REF!="","",IF(ISNUMBER(Data!#REF!),IF(AND(Data!#REF!&gt;(TODAY()-(Data_Val!$M$3*365.25)),Data!#REF!&lt;=(TODAY()-(Data_Val!$M$2*365.25))),0,1),1))</f>
        <v>#REF!</v>
      </c>
      <c r="BH512" s="29" t="e">
        <f>IF(Data!#REF!="","",IF(Data!$G512="",1,IF(ISNUMBER(MATCH(Data!#REF!,Data_Val!$D$2:$D$10,0)),0,1)))</f>
        <v>#REF!</v>
      </c>
      <c r="BI512" s="13"/>
      <c r="BJ512" s="21" t="e">
        <f ca="1">IF(Data!#REF!="","",IF(ISNUMBER(Data!#REF!),IF(AND(Data!#REF!&gt;(TODAY()-(Data_Val!$M$3*365.25)),Data!#REF!&lt;=(TODAY()-(Data_Val!$M$2*365.25))),0,1),1))</f>
        <v>#REF!</v>
      </c>
      <c r="BK512" s="13" t="e">
        <f>IF(Data!#REF!="","",IF(Data!$G512="",1,IF(ISNUMBER(MATCH(Data!#REF!,Data_Val!$D$2:$D$10,0)),0,1)))</f>
        <v>#REF!</v>
      </c>
    </row>
    <row r="513" spans="1:63" x14ac:dyDescent="0.25">
      <c r="A513" s="9" t="str">
        <f>IF(Data!B513="","",IF(COUNTIFS(Data!A$1:'Data'!A513,Data!A513)&lt;=1,0,1))</f>
        <v/>
      </c>
      <c r="B513" s="9"/>
      <c r="C513" s="23" t="str">
        <f>IF(Data!C513="","",(IF(ISNUMBER(MATCH("*@*.?*",Data!C513,0)),0,1)+IF(COUNTIFS(Data!C$1:'Data'!C513,Data!C513)&gt;1,1,0)))</f>
        <v/>
      </c>
      <c r="D513" s="9" t="str">
        <f>IF(Data!B513="","",IF(ISNUMBER(Data!D513),IF(AND(Data!D513&gt;999999999,Data!D513&lt;=9999999999),IF(COUNTIFS(Data!D$1:'Data'!D513,Data!D513)&lt;=1,0,1),1),1))</f>
        <v/>
      </c>
      <c r="E513" s="9" t="str">
        <f>IF(Data!B513="","",IF(ISNUMBER(MATCH(Data!E513,Data_Val!$A$2:$A$3,0)),0,1))</f>
        <v/>
      </c>
      <c r="F513" s="9" t="str">
        <f ca="1">IF(Data!B513="","",IF(ISNUMBER(Data!F513),IF(AND(Data!F513&gt;(TODAY()-(Data_Val!$H$3*365.25)),Data!F513&lt;=(TODAY()-(Data_Val!$H$2*365.25))),0,1),1))</f>
        <v/>
      </c>
      <c r="G513" s="15" t="str">
        <f>IF(Data!B513="","",IF(AND(Data!G513="",Data!H513&lt;&gt;""),1,IF(Data!#REF!&lt;&gt;"",0,IF(ISNUMBER(MATCH(Data!G513,Data_Val!$C$2:$C$5,0)),0,1))))</f>
        <v/>
      </c>
      <c r="H513" s="15" t="str">
        <f>IF(Data!B513="","",IF(AND(Data!G513&lt;&gt;"",Data!H513=""),1,IF(Data!#REF!&lt;&gt;"",0,IF(Data!G513="",1,IF(ISNUMBER(MATCH(Data!H513,Data_Val!$D$2:$D$35,0)),0,1)))))</f>
        <v/>
      </c>
      <c r="I513" s="15" t="str">
        <f>IF(Data!B513="","",IF(Data!G513&lt;&gt;"",0,IF(ISNUMBER(MATCH(Data!#REF!,Data_Val!$E$2:$E$12,0)),0,1)))</f>
        <v/>
      </c>
      <c r="J513" s="16" t="e">
        <f>IF(OR(Data!B513="",Data!#REF!=""),"",IF(Data!#REF!="",1,0))</f>
        <v>#REF!</v>
      </c>
      <c r="K513" s="16" t="e">
        <f>IF(OR(Data!B513="",Data!#REF!=""),"",IF(Data!#REF!="",1,0))</f>
        <v>#REF!</v>
      </c>
      <c r="L513" s="16" t="e">
        <f>IF(OR(Data!B513="",Data!#REF!=""),"",IF(ISNUMBER(Data!#REF!),IF(AND(Data!#REF!&gt;Data_Val!$G$2,Data!#REF!&lt;=Data_Val!$G$3),0,1),1))</f>
        <v>#REF!</v>
      </c>
      <c r="M513" s="9" t="e">
        <f>IF(OR(Data!B513="",Data!#REF!=""),"",IF(ISNUMBER(MATCH(Data!#REF!,Data_Val!$F$1:$F$38,0)),0,1))</f>
        <v>#REF!</v>
      </c>
      <c r="N513" s="9" t="e">
        <f>IF(OR(Data!B513="",Data!#REF!=""),"",IF(Data!#REF!="",1,0))</f>
        <v>#REF!</v>
      </c>
      <c r="O513" s="17" t="e">
        <f>IF(Data!#REF!="","",IF(Data!#REF!="",1,0))</f>
        <v>#REF!</v>
      </c>
      <c r="P513" s="17" t="e">
        <f>IF(Data!#REF!="","",IF(ISNUMBER(MATCH(Data!#REF!,Data_Val!$A$2:$A$3,0)),0,1))</f>
        <v>#REF!</v>
      </c>
      <c r="Q513" s="25" t="e">
        <f ca="1">IF(Data!#REF!="","",IF(ISNUMBER(Data!#REF!),IF(AND(Data!#REF!&gt;(TODAY()-(Data_Val!$J$3*365.25)),Data!#REF!&lt;=(TODAY()-(Data_Val!$J$2*365.25))),0,1),1))</f>
        <v>#REF!</v>
      </c>
      <c r="R513" s="17" t="e">
        <f>IF(Data!#REF!="","",IF(ISNUMBER(MATCH(Data!#REF!,Data_Val!$B$2:$B$15,0)),0,1))</f>
        <v>#REF!</v>
      </c>
      <c r="S513" s="11" t="str">
        <f>IF(Data!G513="","",IF(Data!G513=Data_Val!$C$2,IF(Data!M513="",0,1),0))</f>
        <v/>
      </c>
      <c r="T513" s="11" t="str">
        <f>IF(Data!M513="","",IF(ISNUMBER(MATCH(Data!N513,Data_Val!$A$2:$A$3,0)),0,1))</f>
        <v/>
      </c>
      <c r="U513" s="11" t="str">
        <f ca="1">IF(Data!M513="","",IF(ISNUMBER(Data!O513),IF(AND(Data!O513&gt;(TODAY()-(Data_Val!$K$3*365.25)),Data!O513&lt;=(TODAY()-(Data_Val!$K$2*365.25))),0,1),1))</f>
        <v/>
      </c>
      <c r="V513" s="12" t="str">
        <f>IF(Data!G513="","",IF(Data!G513=Data_Val!$C$2,IF(Data!P513="",0,1),0))</f>
        <v/>
      </c>
      <c r="W513" s="12" t="str">
        <f>IF(Data!P513="","",IF(ISNUMBER(MATCH(Data!Q513,Data_Val!$A$2:$A$3,0)),0,1))</f>
        <v/>
      </c>
      <c r="X513" s="26" t="str">
        <f ca="1">IF(Data!P513="","",IF(ISNUMBER(Data!R513),IF(AND(Data!R513&gt;(TODAY()-(Data_Val!$L$3*365.25)),Data!R513&lt;=(TODAY()-(Data_Val!$L$2*365.25))),0,1),1))</f>
        <v/>
      </c>
      <c r="Y513" s="13" t="str">
        <f>IF(Data!$G513="","",IF(Data!$G513=Data_Val!$C$2,IF(Data!S513="",0,1),0))</f>
        <v/>
      </c>
      <c r="Z513" s="13" t="str">
        <f>IF(Data!S513="","",IF(ISNUMBER(MATCH(Data!T513,Data_Val!$A$2:$A$3,0)),0,1))</f>
        <v/>
      </c>
      <c r="AA513" s="28" t="str">
        <f ca="1">IF(Data!S513="","",IF(ISNUMBER(Data!U513),IF(AND(Data!U513&gt;(TODAY()-(Data_Val!$L$3*365.25)),Data!U513&lt;=(TODAY()-(Data_Val!$L$2*365.25))),0,1),1))</f>
        <v/>
      </c>
      <c r="AB513" s="11"/>
      <c r="AC513" s="11" t="e">
        <f>IF(Data!#REF!="","",IF(ISNUMBER(MATCH(Data!#REF!,Data_Val!$A$2:$A$3,0)),0,1))</f>
        <v>#REF!</v>
      </c>
      <c r="AD513" s="11" t="e">
        <f ca="1">IF(Data!#REF!="","",IF(ISNUMBER(Data!#REF!),IF(AND(Data!#REF!&gt;(TODAY()-(Data_Val!$L$3*365.25)),Data!#REF!&lt;=(TODAY()-(Data_Val!$L$2*365.25))),0,1),1))</f>
        <v>#REF!</v>
      </c>
      <c r="AE513" s="11" t="e">
        <f>IF(Data!#REF!="","",IF(Data!$G513="",1,IF(ISNUMBER(MATCH(Data!#REF!,Data_Val!$D$2:$D$10,0)),0,1)))</f>
        <v>#REF!</v>
      </c>
      <c r="AF513" s="12"/>
      <c r="AG513" s="12" t="e">
        <f>IF(Data!#REF!="","",IF(ISNUMBER(MATCH(Data!#REF!,Data_Val!$A$2:$A$3,0)),0,1))</f>
        <v>#REF!</v>
      </c>
      <c r="AH513" s="26" t="e">
        <f ca="1">IF(Data!#REF!="","",IF(ISNUMBER(Data!#REF!),IF(AND(Data!#REF!&gt;(TODAY()-(Data_Val!$L$3*365.25)),Data!#REF!&lt;=(TODAY()-(Data_Val!$L$2*365.25))),0,1),1))</f>
        <v>#REF!</v>
      </c>
      <c r="AI513" s="12" t="e">
        <f>IF(Data!#REF!="","",IF(Data!$G513="",1,IF(ISNUMBER(MATCH(Data!#REF!,Data_Val!$D$2:$D$10,0)),0,1)))</f>
        <v>#REF!</v>
      </c>
      <c r="AJ513" s="17"/>
      <c r="AK513" s="17" t="e">
        <f>IF(Data!#REF!="","",IF(ISNUMBER(MATCH(Data!#REF!,Data_Val!$A$2:$A$3,0)),0,1))</f>
        <v>#REF!</v>
      </c>
      <c r="AL513" s="25" t="e">
        <f ca="1">IF(Data!#REF!="","",IF(ISNUMBER(Data!#REF!),IF(AND(Data!#REF!&gt;(TODAY()-(Data_Val!$L$3*365.25)),Data!#REF!&lt;=(TODAY()-(Data_Val!$L$2*365.25))),0,1),1))</f>
        <v>#REF!</v>
      </c>
      <c r="AM513" s="17" t="e">
        <f>IF(Data!#REF!="","",IF(Data!$G513="",1,IF(ISNUMBER(MATCH(Data!#REF!,Data_Val!$D$2:$D$10,0)),0,1)))</f>
        <v>#REF!</v>
      </c>
      <c r="AN513" s="13"/>
      <c r="AO513" s="28" t="e">
        <f ca="1">IF(Data!#REF!="","",IF(ISNUMBER(Data!#REF!),IF(AND(Data!#REF!&gt;(TODAY()-(Data_Val!$I$3*365.25)),Data!#REF!&lt;=(TODAY()-(Data_Val!$I$2*365.25))),0,1),1))</f>
        <v>#REF!</v>
      </c>
      <c r="AP513" s="13" t="e">
        <f>IF(Data!#REF!="","",IF(Data!$G513="",1,IF(ISNUMBER(MATCH(Data!#REF!,Data_Val!$D$2:$D$10,0)),0,1)))</f>
        <v>#REF!</v>
      </c>
      <c r="AQ513" s="17"/>
      <c r="AR513" s="30" t="e">
        <f ca="1">IF(Data!#REF!="","",IF(ISNUMBER(Data!#REF!),IF(AND(Data!#REF!&gt;(TODAY()-(Data_Val!$I$3*365.25)),Data!#REF!&lt;=(TODAY()-(Data_Val!$I$2*365.25))),0,1),1))</f>
        <v>#REF!</v>
      </c>
      <c r="AS513" s="31" t="e">
        <f>IF(Data!#REF!="","",IF(Data!$G513="",1,IF(ISNUMBER(MATCH(Data!#REF!,Data_Val!$D$2:$D$10,0)),0,1)))</f>
        <v>#REF!</v>
      </c>
      <c r="AT513" s="11"/>
      <c r="AU513" s="11" t="e">
        <f ca="1">IF(Data!#REF!="","",IF(ISNUMBER(Data!#REF!),IF(AND(Data!#REF!&gt;(TODAY()-(Data_Val!$I$3*365.25)),Data!#REF!&lt;=(TODAY()-(Data_Val!$I$2*365.25))),0,1),1))</f>
        <v>#REF!</v>
      </c>
      <c r="AV513" s="11" t="e">
        <f>IF(Data!#REF!="","",IF(Data!$G513="",1,IF(ISNUMBER(MATCH(Data!#REF!,Data_Val!$D$2:$D$10,0)),0,1)))</f>
        <v>#REF!</v>
      </c>
      <c r="AW513" s="12"/>
      <c r="AX513" s="26" t="e">
        <f ca="1">IF(Data!#REF!="","",IF(ISNUMBER(Data!#REF!),IF(AND(Data!#REF!&gt;(TODAY()-(Data_Val!$I$3*365.25)),Data!#REF!&lt;=(TODAY()-(Data_Val!$I$2*365.25))),0,1),1))</f>
        <v>#REF!</v>
      </c>
      <c r="AY513" s="12" t="e">
        <f>IF(Data!#REF!="","",IF(Data!$G513="",1,IF(ISNUMBER(MATCH(Data!#REF!,Data_Val!$D$2:$D$10,0)),0,1)))</f>
        <v>#REF!</v>
      </c>
      <c r="AZ513" s="11"/>
      <c r="BA513" s="19" t="e">
        <f ca="1">IF(Data!#REF!="","",IF(ISNUMBER(Data!#REF!),IF(AND(Data!#REF!&gt;(TODAY()-(Data_Val!$M$3*365.25)),Data!#REF!&lt;=(TODAY()-(Data_Val!$M$2*365.25))),0,1),1))</f>
        <v>#REF!</v>
      </c>
      <c r="BB513" s="11" t="e">
        <f>IF(Data!#REF!="","",IF(Data!$G513="",1,IF(ISNUMBER(MATCH(Data!#REF!,Data_Val!$D$2:$D$10,0)),0,1)))</f>
        <v>#REF!</v>
      </c>
      <c r="BC513" s="12"/>
      <c r="BD513" s="20" t="e">
        <f ca="1">IF(Data!#REF!="","",IF(ISNUMBER(Data!#REF!),IF(AND(Data!#REF!&gt;(TODAY()-(Data_Val!$M$3*365.25)),Data!#REF!&lt;=(TODAY()-(Data_Val!$M$2*365.25))),0,1),1))</f>
        <v>#REF!</v>
      </c>
      <c r="BE513" s="12" t="e">
        <f>IF(Data!#REF!="","",IF(Data!$G513="",1,IF(ISNUMBER(MATCH(Data!#REF!,Data_Val!$D$2:$D$10,0)),0,1)))</f>
        <v>#REF!</v>
      </c>
      <c r="BF513" s="17"/>
      <c r="BG513" s="18" t="e">
        <f ca="1">IF(Data!#REF!="","",IF(ISNUMBER(Data!#REF!),IF(AND(Data!#REF!&gt;(TODAY()-(Data_Val!$M$3*365.25)),Data!#REF!&lt;=(TODAY()-(Data_Val!$M$2*365.25))),0,1),1))</f>
        <v>#REF!</v>
      </c>
      <c r="BH513" s="29" t="e">
        <f>IF(Data!#REF!="","",IF(Data!$G513="",1,IF(ISNUMBER(MATCH(Data!#REF!,Data_Val!$D$2:$D$10,0)),0,1)))</f>
        <v>#REF!</v>
      </c>
      <c r="BI513" s="13"/>
      <c r="BJ513" s="21" t="e">
        <f ca="1">IF(Data!#REF!="","",IF(ISNUMBER(Data!#REF!),IF(AND(Data!#REF!&gt;(TODAY()-(Data_Val!$M$3*365.25)),Data!#REF!&lt;=(TODAY()-(Data_Val!$M$2*365.25))),0,1),1))</f>
        <v>#REF!</v>
      </c>
      <c r="BK513" s="13" t="e">
        <f>IF(Data!#REF!="","",IF(Data!$G513="",1,IF(ISNUMBER(MATCH(Data!#REF!,Data_Val!$D$2:$D$10,0)),0,1)))</f>
        <v>#REF!</v>
      </c>
    </row>
    <row r="514" spans="1:63" x14ac:dyDescent="0.25">
      <c r="A514" s="9" t="str">
        <f>IF(Data!B514="","",IF(COUNTIFS(Data!A$1:'Data'!A514,Data!A514)&lt;=1,0,1))</f>
        <v/>
      </c>
      <c r="B514" s="9"/>
      <c r="C514" s="23" t="str">
        <f>IF(Data!C514="","",(IF(ISNUMBER(MATCH("*@*.?*",Data!C514,0)),0,1)+IF(COUNTIFS(Data!C$1:'Data'!C514,Data!C514)&gt;1,1,0)))</f>
        <v/>
      </c>
      <c r="D514" s="9" t="str">
        <f>IF(Data!B514="","",IF(ISNUMBER(Data!D514),IF(AND(Data!D514&gt;999999999,Data!D514&lt;=9999999999),IF(COUNTIFS(Data!D$1:'Data'!D514,Data!D514)&lt;=1,0,1),1),1))</f>
        <v/>
      </c>
      <c r="E514" s="9" t="str">
        <f>IF(Data!B514="","",IF(ISNUMBER(MATCH(Data!E514,Data_Val!$A$2:$A$3,0)),0,1))</f>
        <v/>
      </c>
      <c r="F514" s="9" t="str">
        <f ca="1">IF(Data!B514="","",IF(ISNUMBER(Data!F514),IF(AND(Data!F514&gt;(TODAY()-(Data_Val!$H$3*365.25)),Data!F514&lt;=(TODAY()-(Data_Val!$H$2*365.25))),0,1),1))</f>
        <v/>
      </c>
      <c r="G514" s="15" t="str">
        <f>IF(Data!B514="","",IF(AND(Data!G514="",Data!H514&lt;&gt;""),1,IF(Data!#REF!&lt;&gt;"",0,IF(ISNUMBER(MATCH(Data!G514,Data_Val!$C$2:$C$5,0)),0,1))))</f>
        <v/>
      </c>
      <c r="H514" s="15" t="str">
        <f>IF(Data!B514="","",IF(AND(Data!G514&lt;&gt;"",Data!H514=""),1,IF(Data!#REF!&lt;&gt;"",0,IF(Data!G514="",1,IF(ISNUMBER(MATCH(Data!H514,Data_Val!$D$2:$D$35,0)),0,1)))))</f>
        <v/>
      </c>
      <c r="I514" s="15" t="str">
        <f>IF(Data!B514="","",IF(Data!G514&lt;&gt;"",0,IF(ISNUMBER(MATCH(Data!#REF!,Data_Val!$E$2:$E$12,0)),0,1)))</f>
        <v/>
      </c>
      <c r="J514" s="16" t="e">
        <f>IF(OR(Data!B514="",Data!#REF!=""),"",IF(Data!#REF!="",1,0))</f>
        <v>#REF!</v>
      </c>
      <c r="K514" s="16" t="e">
        <f>IF(OR(Data!B514="",Data!#REF!=""),"",IF(Data!#REF!="",1,0))</f>
        <v>#REF!</v>
      </c>
      <c r="L514" s="16" t="e">
        <f>IF(OR(Data!B514="",Data!#REF!=""),"",IF(ISNUMBER(Data!#REF!),IF(AND(Data!#REF!&gt;Data_Val!$G$2,Data!#REF!&lt;=Data_Val!$G$3),0,1),1))</f>
        <v>#REF!</v>
      </c>
      <c r="M514" s="9" t="e">
        <f>IF(OR(Data!B514="",Data!#REF!=""),"",IF(ISNUMBER(MATCH(Data!#REF!,Data_Val!$F$1:$F$38,0)),0,1))</f>
        <v>#REF!</v>
      </c>
      <c r="N514" s="9" t="e">
        <f>IF(OR(Data!B514="",Data!#REF!=""),"",IF(Data!#REF!="",1,0))</f>
        <v>#REF!</v>
      </c>
      <c r="O514" s="17" t="e">
        <f>IF(Data!#REF!="","",IF(Data!#REF!="",1,0))</f>
        <v>#REF!</v>
      </c>
      <c r="P514" s="17" t="e">
        <f>IF(Data!#REF!="","",IF(ISNUMBER(MATCH(Data!#REF!,Data_Val!$A$2:$A$3,0)),0,1))</f>
        <v>#REF!</v>
      </c>
      <c r="Q514" s="25" t="e">
        <f ca="1">IF(Data!#REF!="","",IF(ISNUMBER(Data!#REF!),IF(AND(Data!#REF!&gt;(TODAY()-(Data_Val!$J$3*365.25)),Data!#REF!&lt;=(TODAY()-(Data_Val!$J$2*365.25))),0,1),1))</f>
        <v>#REF!</v>
      </c>
      <c r="R514" s="17" t="e">
        <f>IF(Data!#REF!="","",IF(ISNUMBER(MATCH(Data!#REF!,Data_Val!$B$2:$B$15,0)),0,1))</f>
        <v>#REF!</v>
      </c>
      <c r="S514" s="11" t="str">
        <f>IF(Data!G514="","",IF(Data!G514=Data_Val!$C$2,IF(Data!M514="",0,1),0))</f>
        <v/>
      </c>
      <c r="T514" s="11" t="str">
        <f>IF(Data!M514="","",IF(ISNUMBER(MATCH(Data!N514,Data_Val!$A$2:$A$3,0)),0,1))</f>
        <v/>
      </c>
      <c r="U514" s="11" t="str">
        <f ca="1">IF(Data!M514="","",IF(ISNUMBER(Data!O514),IF(AND(Data!O514&gt;(TODAY()-(Data_Val!$K$3*365.25)),Data!O514&lt;=(TODAY()-(Data_Val!$K$2*365.25))),0,1),1))</f>
        <v/>
      </c>
      <c r="V514" s="12" t="str">
        <f>IF(Data!G514="","",IF(Data!G514=Data_Val!$C$2,IF(Data!P514="",0,1),0))</f>
        <v/>
      </c>
      <c r="W514" s="12" t="str">
        <f>IF(Data!P514="","",IF(ISNUMBER(MATCH(Data!Q514,Data_Val!$A$2:$A$3,0)),0,1))</f>
        <v/>
      </c>
      <c r="X514" s="26" t="str">
        <f ca="1">IF(Data!P514="","",IF(ISNUMBER(Data!R514),IF(AND(Data!R514&gt;(TODAY()-(Data_Val!$L$3*365.25)),Data!R514&lt;=(TODAY()-(Data_Val!$L$2*365.25))),0,1),1))</f>
        <v/>
      </c>
      <c r="Y514" s="13" t="str">
        <f>IF(Data!$G514="","",IF(Data!$G514=Data_Val!$C$2,IF(Data!S514="",0,1),0))</f>
        <v/>
      </c>
      <c r="Z514" s="13" t="str">
        <f>IF(Data!S514="","",IF(ISNUMBER(MATCH(Data!T514,Data_Val!$A$2:$A$3,0)),0,1))</f>
        <v/>
      </c>
      <c r="AA514" s="28" t="str">
        <f ca="1">IF(Data!S514="","",IF(ISNUMBER(Data!U514),IF(AND(Data!U514&gt;(TODAY()-(Data_Val!$L$3*365.25)),Data!U514&lt;=(TODAY()-(Data_Val!$L$2*365.25))),0,1),1))</f>
        <v/>
      </c>
      <c r="AB514" s="11"/>
      <c r="AC514" s="11" t="e">
        <f>IF(Data!#REF!="","",IF(ISNUMBER(MATCH(Data!#REF!,Data_Val!$A$2:$A$3,0)),0,1))</f>
        <v>#REF!</v>
      </c>
      <c r="AD514" s="11" t="e">
        <f ca="1">IF(Data!#REF!="","",IF(ISNUMBER(Data!#REF!),IF(AND(Data!#REF!&gt;(TODAY()-(Data_Val!$L$3*365.25)),Data!#REF!&lt;=(TODAY()-(Data_Val!$L$2*365.25))),0,1),1))</f>
        <v>#REF!</v>
      </c>
      <c r="AE514" s="11" t="e">
        <f>IF(Data!#REF!="","",IF(Data!$G514="",1,IF(ISNUMBER(MATCH(Data!#REF!,Data_Val!$D$2:$D$10,0)),0,1)))</f>
        <v>#REF!</v>
      </c>
      <c r="AF514" s="12"/>
      <c r="AG514" s="12" t="e">
        <f>IF(Data!#REF!="","",IF(ISNUMBER(MATCH(Data!#REF!,Data_Val!$A$2:$A$3,0)),0,1))</f>
        <v>#REF!</v>
      </c>
      <c r="AH514" s="26" t="e">
        <f ca="1">IF(Data!#REF!="","",IF(ISNUMBER(Data!#REF!),IF(AND(Data!#REF!&gt;(TODAY()-(Data_Val!$L$3*365.25)),Data!#REF!&lt;=(TODAY()-(Data_Val!$L$2*365.25))),0,1),1))</f>
        <v>#REF!</v>
      </c>
      <c r="AI514" s="12" t="e">
        <f>IF(Data!#REF!="","",IF(Data!$G514="",1,IF(ISNUMBER(MATCH(Data!#REF!,Data_Val!$D$2:$D$10,0)),0,1)))</f>
        <v>#REF!</v>
      </c>
      <c r="AJ514" s="17"/>
      <c r="AK514" s="17" t="e">
        <f>IF(Data!#REF!="","",IF(ISNUMBER(MATCH(Data!#REF!,Data_Val!$A$2:$A$3,0)),0,1))</f>
        <v>#REF!</v>
      </c>
      <c r="AL514" s="25" t="e">
        <f ca="1">IF(Data!#REF!="","",IF(ISNUMBER(Data!#REF!),IF(AND(Data!#REF!&gt;(TODAY()-(Data_Val!$L$3*365.25)),Data!#REF!&lt;=(TODAY()-(Data_Val!$L$2*365.25))),0,1),1))</f>
        <v>#REF!</v>
      </c>
      <c r="AM514" s="17" t="e">
        <f>IF(Data!#REF!="","",IF(Data!$G514="",1,IF(ISNUMBER(MATCH(Data!#REF!,Data_Val!$D$2:$D$10,0)),0,1)))</f>
        <v>#REF!</v>
      </c>
      <c r="AN514" s="13"/>
      <c r="AO514" s="28" t="e">
        <f ca="1">IF(Data!#REF!="","",IF(ISNUMBER(Data!#REF!),IF(AND(Data!#REF!&gt;(TODAY()-(Data_Val!$I$3*365.25)),Data!#REF!&lt;=(TODAY()-(Data_Val!$I$2*365.25))),0,1),1))</f>
        <v>#REF!</v>
      </c>
      <c r="AP514" s="13" t="e">
        <f>IF(Data!#REF!="","",IF(Data!$G514="",1,IF(ISNUMBER(MATCH(Data!#REF!,Data_Val!$D$2:$D$10,0)),0,1)))</f>
        <v>#REF!</v>
      </c>
      <c r="AQ514" s="17"/>
      <c r="AR514" s="30" t="e">
        <f ca="1">IF(Data!#REF!="","",IF(ISNUMBER(Data!#REF!),IF(AND(Data!#REF!&gt;(TODAY()-(Data_Val!$I$3*365.25)),Data!#REF!&lt;=(TODAY()-(Data_Val!$I$2*365.25))),0,1),1))</f>
        <v>#REF!</v>
      </c>
      <c r="AS514" s="31" t="e">
        <f>IF(Data!#REF!="","",IF(Data!$G514="",1,IF(ISNUMBER(MATCH(Data!#REF!,Data_Val!$D$2:$D$10,0)),0,1)))</f>
        <v>#REF!</v>
      </c>
      <c r="AT514" s="11"/>
      <c r="AU514" s="11" t="e">
        <f ca="1">IF(Data!#REF!="","",IF(ISNUMBER(Data!#REF!),IF(AND(Data!#REF!&gt;(TODAY()-(Data_Val!$I$3*365.25)),Data!#REF!&lt;=(TODAY()-(Data_Val!$I$2*365.25))),0,1),1))</f>
        <v>#REF!</v>
      </c>
      <c r="AV514" s="11" t="e">
        <f>IF(Data!#REF!="","",IF(Data!$G514="",1,IF(ISNUMBER(MATCH(Data!#REF!,Data_Val!$D$2:$D$10,0)),0,1)))</f>
        <v>#REF!</v>
      </c>
      <c r="AW514" s="12"/>
      <c r="AX514" s="26" t="e">
        <f ca="1">IF(Data!#REF!="","",IF(ISNUMBER(Data!#REF!),IF(AND(Data!#REF!&gt;(TODAY()-(Data_Val!$I$3*365.25)),Data!#REF!&lt;=(TODAY()-(Data_Val!$I$2*365.25))),0,1),1))</f>
        <v>#REF!</v>
      </c>
      <c r="AY514" s="12" t="e">
        <f>IF(Data!#REF!="","",IF(Data!$G514="",1,IF(ISNUMBER(MATCH(Data!#REF!,Data_Val!$D$2:$D$10,0)),0,1)))</f>
        <v>#REF!</v>
      </c>
      <c r="AZ514" s="11"/>
      <c r="BA514" s="19" t="e">
        <f ca="1">IF(Data!#REF!="","",IF(ISNUMBER(Data!#REF!),IF(AND(Data!#REF!&gt;(TODAY()-(Data_Val!$M$3*365.25)),Data!#REF!&lt;=(TODAY()-(Data_Val!$M$2*365.25))),0,1),1))</f>
        <v>#REF!</v>
      </c>
      <c r="BB514" s="11" t="e">
        <f>IF(Data!#REF!="","",IF(Data!$G514="",1,IF(ISNUMBER(MATCH(Data!#REF!,Data_Val!$D$2:$D$10,0)),0,1)))</f>
        <v>#REF!</v>
      </c>
      <c r="BC514" s="12"/>
      <c r="BD514" s="20" t="e">
        <f ca="1">IF(Data!#REF!="","",IF(ISNUMBER(Data!#REF!),IF(AND(Data!#REF!&gt;(TODAY()-(Data_Val!$M$3*365.25)),Data!#REF!&lt;=(TODAY()-(Data_Val!$M$2*365.25))),0,1),1))</f>
        <v>#REF!</v>
      </c>
      <c r="BE514" s="12" t="e">
        <f>IF(Data!#REF!="","",IF(Data!$G514="",1,IF(ISNUMBER(MATCH(Data!#REF!,Data_Val!$D$2:$D$10,0)),0,1)))</f>
        <v>#REF!</v>
      </c>
      <c r="BF514" s="17"/>
      <c r="BG514" s="18" t="e">
        <f ca="1">IF(Data!#REF!="","",IF(ISNUMBER(Data!#REF!),IF(AND(Data!#REF!&gt;(TODAY()-(Data_Val!$M$3*365.25)),Data!#REF!&lt;=(TODAY()-(Data_Val!$M$2*365.25))),0,1),1))</f>
        <v>#REF!</v>
      </c>
      <c r="BH514" s="29" t="e">
        <f>IF(Data!#REF!="","",IF(Data!$G514="",1,IF(ISNUMBER(MATCH(Data!#REF!,Data_Val!$D$2:$D$10,0)),0,1)))</f>
        <v>#REF!</v>
      </c>
      <c r="BI514" s="13"/>
      <c r="BJ514" s="21" t="e">
        <f ca="1">IF(Data!#REF!="","",IF(ISNUMBER(Data!#REF!),IF(AND(Data!#REF!&gt;(TODAY()-(Data_Val!$M$3*365.25)),Data!#REF!&lt;=(TODAY()-(Data_Val!$M$2*365.25))),0,1),1))</f>
        <v>#REF!</v>
      </c>
      <c r="BK514" s="13" t="e">
        <f>IF(Data!#REF!="","",IF(Data!$G514="",1,IF(ISNUMBER(MATCH(Data!#REF!,Data_Val!$D$2:$D$10,0)),0,1)))</f>
        <v>#REF!</v>
      </c>
    </row>
    <row r="515" spans="1:63" x14ac:dyDescent="0.25">
      <c r="A515" s="9" t="str">
        <f>IF(Data!B515="","",IF(COUNTIFS(Data!A$1:'Data'!A515,Data!A515)&lt;=1,0,1))</f>
        <v/>
      </c>
      <c r="B515" s="9"/>
      <c r="C515" s="23" t="str">
        <f>IF(Data!C515="","",(IF(ISNUMBER(MATCH("*@*.?*",Data!C515,0)),0,1)+IF(COUNTIFS(Data!C$1:'Data'!C515,Data!C515)&gt;1,1,0)))</f>
        <v/>
      </c>
      <c r="D515" s="9" t="str">
        <f>IF(Data!B515="","",IF(ISNUMBER(Data!D515),IF(AND(Data!D515&gt;999999999,Data!D515&lt;=9999999999),IF(COUNTIFS(Data!D$1:'Data'!D515,Data!D515)&lt;=1,0,1),1),1))</f>
        <v/>
      </c>
      <c r="E515" s="9" t="str">
        <f>IF(Data!B515="","",IF(ISNUMBER(MATCH(Data!E515,Data_Val!$A$2:$A$3,0)),0,1))</f>
        <v/>
      </c>
      <c r="F515" s="9" t="str">
        <f ca="1">IF(Data!B515="","",IF(ISNUMBER(Data!F515),IF(AND(Data!F515&gt;(TODAY()-(Data_Val!$H$3*365.25)),Data!F515&lt;=(TODAY()-(Data_Val!$H$2*365.25))),0,1),1))</f>
        <v/>
      </c>
      <c r="G515" s="15" t="str">
        <f>IF(Data!B515="","",IF(AND(Data!G515="",Data!H515&lt;&gt;""),1,IF(Data!#REF!&lt;&gt;"",0,IF(ISNUMBER(MATCH(Data!G515,Data_Val!$C$2:$C$5,0)),0,1))))</f>
        <v/>
      </c>
      <c r="H515" s="15" t="str">
        <f>IF(Data!B515="","",IF(AND(Data!G515&lt;&gt;"",Data!H515=""),1,IF(Data!#REF!&lt;&gt;"",0,IF(Data!G515="",1,IF(ISNUMBER(MATCH(Data!H515,Data_Val!$D$2:$D$35,0)),0,1)))))</f>
        <v/>
      </c>
      <c r="I515" s="15" t="str">
        <f>IF(Data!B515="","",IF(Data!G515&lt;&gt;"",0,IF(ISNUMBER(MATCH(Data!#REF!,Data_Val!$E$2:$E$12,0)),0,1)))</f>
        <v/>
      </c>
      <c r="J515" s="16" t="e">
        <f>IF(OR(Data!B515="",Data!#REF!=""),"",IF(Data!#REF!="",1,0))</f>
        <v>#REF!</v>
      </c>
      <c r="K515" s="16" t="e">
        <f>IF(OR(Data!B515="",Data!#REF!=""),"",IF(Data!#REF!="",1,0))</f>
        <v>#REF!</v>
      </c>
      <c r="L515" s="16" t="e">
        <f>IF(OR(Data!B515="",Data!#REF!=""),"",IF(ISNUMBER(Data!#REF!),IF(AND(Data!#REF!&gt;Data_Val!$G$2,Data!#REF!&lt;=Data_Val!$G$3),0,1),1))</f>
        <v>#REF!</v>
      </c>
      <c r="M515" s="9" t="e">
        <f>IF(OR(Data!B515="",Data!#REF!=""),"",IF(ISNUMBER(MATCH(Data!#REF!,Data_Val!$F$1:$F$38,0)),0,1))</f>
        <v>#REF!</v>
      </c>
      <c r="N515" s="9" t="e">
        <f>IF(OR(Data!B515="",Data!#REF!=""),"",IF(Data!#REF!="",1,0))</f>
        <v>#REF!</v>
      </c>
      <c r="O515" s="17" t="e">
        <f>IF(Data!#REF!="","",IF(Data!#REF!="",1,0))</f>
        <v>#REF!</v>
      </c>
      <c r="P515" s="17" t="e">
        <f>IF(Data!#REF!="","",IF(ISNUMBER(MATCH(Data!#REF!,Data_Val!$A$2:$A$3,0)),0,1))</f>
        <v>#REF!</v>
      </c>
      <c r="Q515" s="25" t="e">
        <f ca="1">IF(Data!#REF!="","",IF(ISNUMBER(Data!#REF!),IF(AND(Data!#REF!&gt;(TODAY()-(Data_Val!$J$3*365.25)),Data!#REF!&lt;=(TODAY()-(Data_Val!$J$2*365.25))),0,1),1))</f>
        <v>#REF!</v>
      </c>
      <c r="R515" s="17" t="e">
        <f>IF(Data!#REF!="","",IF(ISNUMBER(MATCH(Data!#REF!,Data_Val!$B$2:$B$15,0)),0,1))</f>
        <v>#REF!</v>
      </c>
      <c r="S515" s="11" t="str">
        <f>IF(Data!G515="","",IF(Data!G515=Data_Val!$C$2,IF(Data!M515="",0,1),0))</f>
        <v/>
      </c>
      <c r="T515" s="11" t="str">
        <f>IF(Data!M515="","",IF(ISNUMBER(MATCH(Data!N515,Data_Val!$A$2:$A$3,0)),0,1))</f>
        <v/>
      </c>
      <c r="U515" s="11" t="str">
        <f ca="1">IF(Data!M515="","",IF(ISNUMBER(Data!O515),IF(AND(Data!O515&gt;(TODAY()-(Data_Val!$K$3*365.25)),Data!O515&lt;=(TODAY()-(Data_Val!$K$2*365.25))),0,1),1))</f>
        <v/>
      </c>
      <c r="V515" s="12" t="str">
        <f>IF(Data!G515="","",IF(Data!G515=Data_Val!$C$2,IF(Data!P515="",0,1),0))</f>
        <v/>
      </c>
      <c r="W515" s="12" t="str">
        <f>IF(Data!P515="","",IF(ISNUMBER(MATCH(Data!Q515,Data_Val!$A$2:$A$3,0)),0,1))</f>
        <v/>
      </c>
      <c r="X515" s="26" t="str">
        <f ca="1">IF(Data!P515="","",IF(ISNUMBER(Data!R515),IF(AND(Data!R515&gt;(TODAY()-(Data_Val!$L$3*365.25)),Data!R515&lt;=(TODAY()-(Data_Val!$L$2*365.25))),0,1),1))</f>
        <v/>
      </c>
      <c r="Y515" s="13" t="str">
        <f>IF(Data!$G515="","",IF(Data!$G515=Data_Val!$C$2,IF(Data!S515="",0,1),0))</f>
        <v/>
      </c>
      <c r="Z515" s="13" t="str">
        <f>IF(Data!S515="","",IF(ISNUMBER(MATCH(Data!T515,Data_Val!$A$2:$A$3,0)),0,1))</f>
        <v/>
      </c>
      <c r="AA515" s="28" t="str">
        <f ca="1">IF(Data!S515="","",IF(ISNUMBER(Data!U515),IF(AND(Data!U515&gt;(TODAY()-(Data_Val!$L$3*365.25)),Data!U515&lt;=(TODAY()-(Data_Val!$L$2*365.25))),0,1),1))</f>
        <v/>
      </c>
      <c r="AB515" s="11"/>
      <c r="AC515" s="11" t="e">
        <f>IF(Data!#REF!="","",IF(ISNUMBER(MATCH(Data!#REF!,Data_Val!$A$2:$A$3,0)),0,1))</f>
        <v>#REF!</v>
      </c>
      <c r="AD515" s="11" t="e">
        <f ca="1">IF(Data!#REF!="","",IF(ISNUMBER(Data!#REF!),IF(AND(Data!#REF!&gt;(TODAY()-(Data_Val!$L$3*365.25)),Data!#REF!&lt;=(TODAY()-(Data_Val!$L$2*365.25))),0,1),1))</f>
        <v>#REF!</v>
      </c>
      <c r="AE515" s="11" t="e">
        <f>IF(Data!#REF!="","",IF(Data!$G515="",1,IF(ISNUMBER(MATCH(Data!#REF!,Data_Val!$D$2:$D$10,0)),0,1)))</f>
        <v>#REF!</v>
      </c>
      <c r="AF515" s="12"/>
      <c r="AG515" s="12" t="e">
        <f>IF(Data!#REF!="","",IF(ISNUMBER(MATCH(Data!#REF!,Data_Val!$A$2:$A$3,0)),0,1))</f>
        <v>#REF!</v>
      </c>
      <c r="AH515" s="26" t="e">
        <f ca="1">IF(Data!#REF!="","",IF(ISNUMBER(Data!#REF!),IF(AND(Data!#REF!&gt;(TODAY()-(Data_Val!$L$3*365.25)),Data!#REF!&lt;=(TODAY()-(Data_Val!$L$2*365.25))),0,1),1))</f>
        <v>#REF!</v>
      </c>
      <c r="AI515" s="12" t="e">
        <f>IF(Data!#REF!="","",IF(Data!$G515="",1,IF(ISNUMBER(MATCH(Data!#REF!,Data_Val!$D$2:$D$10,0)),0,1)))</f>
        <v>#REF!</v>
      </c>
      <c r="AJ515" s="17"/>
      <c r="AK515" s="17" t="e">
        <f>IF(Data!#REF!="","",IF(ISNUMBER(MATCH(Data!#REF!,Data_Val!$A$2:$A$3,0)),0,1))</f>
        <v>#REF!</v>
      </c>
      <c r="AL515" s="25" t="e">
        <f ca="1">IF(Data!#REF!="","",IF(ISNUMBER(Data!#REF!),IF(AND(Data!#REF!&gt;(TODAY()-(Data_Val!$L$3*365.25)),Data!#REF!&lt;=(TODAY()-(Data_Val!$L$2*365.25))),0,1),1))</f>
        <v>#REF!</v>
      </c>
      <c r="AM515" s="17" t="e">
        <f>IF(Data!#REF!="","",IF(Data!$G515="",1,IF(ISNUMBER(MATCH(Data!#REF!,Data_Val!$D$2:$D$10,0)),0,1)))</f>
        <v>#REF!</v>
      </c>
      <c r="AN515" s="13"/>
      <c r="AO515" s="28" t="e">
        <f ca="1">IF(Data!#REF!="","",IF(ISNUMBER(Data!#REF!),IF(AND(Data!#REF!&gt;(TODAY()-(Data_Val!$I$3*365.25)),Data!#REF!&lt;=(TODAY()-(Data_Val!$I$2*365.25))),0,1),1))</f>
        <v>#REF!</v>
      </c>
      <c r="AP515" s="13" t="e">
        <f>IF(Data!#REF!="","",IF(Data!$G515="",1,IF(ISNUMBER(MATCH(Data!#REF!,Data_Val!$D$2:$D$10,0)),0,1)))</f>
        <v>#REF!</v>
      </c>
      <c r="AQ515" s="17"/>
      <c r="AR515" s="30" t="e">
        <f ca="1">IF(Data!#REF!="","",IF(ISNUMBER(Data!#REF!),IF(AND(Data!#REF!&gt;(TODAY()-(Data_Val!$I$3*365.25)),Data!#REF!&lt;=(TODAY()-(Data_Val!$I$2*365.25))),0,1),1))</f>
        <v>#REF!</v>
      </c>
      <c r="AS515" s="31" t="e">
        <f>IF(Data!#REF!="","",IF(Data!$G515="",1,IF(ISNUMBER(MATCH(Data!#REF!,Data_Val!$D$2:$D$10,0)),0,1)))</f>
        <v>#REF!</v>
      </c>
      <c r="AT515" s="11"/>
      <c r="AU515" s="11" t="e">
        <f ca="1">IF(Data!#REF!="","",IF(ISNUMBER(Data!#REF!),IF(AND(Data!#REF!&gt;(TODAY()-(Data_Val!$I$3*365.25)),Data!#REF!&lt;=(TODAY()-(Data_Val!$I$2*365.25))),0,1),1))</f>
        <v>#REF!</v>
      </c>
      <c r="AV515" s="11" t="e">
        <f>IF(Data!#REF!="","",IF(Data!$G515="",1,IF(ISNUMBER(MATCH(Data!#REF!,Data_Val!$D$2:$D$10,0)),0,1)))</f>
        <v>#REF!</v>
      </c>
      <c r="AW515" s="12"/>
      <c r="AX515" s="26" t="e">
        <f ca="1">IF(Data!#REF!="","",IF(ISNUMBER(Data!#REF!),IF(AND(Data!#REF!&gt;(TODAY()-(Data_Val!$I$3*365.25)),Data!#REF!&lt;=(TODAY()-(Data_Val!$I$2*365.25))),0,1),1))</f>
        <v>#REF!</v>
      </c>
      <c r="AY515" s="12" t="e">
        <f>IF(Data!#REF!="","",IF(Data!$G515="",1,IF(ISNUMBER(MATCH(Data!#REF!,Data_Val!$D$2:$D$10,0)),0,1)))</f>
        <v>#REF!</v>
      </c>
      <c r="AZ515" s="11"/>
      <c r="BA515" s="19" t="e">
        <f ca="1">IF(Data!#REF!="","",IF(ISNUMBER(Data!#REF!),IF(AND(Data!#REF!&gt;(TODAY()-(Data_Val!$M$3*365.25)),Data!#REF!&lt;=(TODAY()-(Data_Val!$M$2*365.25))),0,1),1))</f>
        <v>#REF!</v>
      </c>
      <c r="BB515" s="11" t="e">
        <f>IF(Data!#REF!="","",IF(Data!$G515="",1,IF(ISNUMBER(MATCH(Data!#REF!,Data_Val!$D$2:$D$10,0)),0,1)))</f>
        <v>#REF!</v>
      </c>
      <c r="BC515" s="12"/>
      <c r="BD515" s="20" t="e">
        <f ca="1">IF(Data!#REF!="","",IF(ISNUMBER(Data!#REF!),IF(AND(Data!#REF!&gt;(TODAY()-(Data_Val!$M$3*365.25)),Data!#REF!&lt;=(TODAY()-(Data_Val!$M$2*365.25))),0,1),1))</f>
        <v>#REF!</v>
      </c>
      <c r="BE515" s="12" t="e">
        <f>IF(Data!#REF!="","",IF(Data!$G515="",1,IF(ISNUMBER(MATCH(Data!#REF!,Data_Val!$D$2:$D$10,0)),0,1)))</f>
        <v>#REF!</v>
      </c>
      <c r="BF515" s="17"/>
      <c r="BG515" s="18" t="e">
        <f ca="1">IF(Data!#REF!="","",IF(ISNUMBER(Data!#REF!),IF(AND(Data!#REF!&gt;(TODAY()-(Data_Val!$M$3*365.25)),Data!#REF!&lt;=(TODAY()-(Data_Val!$M$2*365.25))),0,1),1))</f>
        <v>#REF!</v>
      </c>
      <c r="BH515" s="29" t="e">
        <f>IF(Data!#REF!="","",IF(Data!$G515="",1,IF(ISNUMBER(MATCH(Data!#REF!,Data_Val!$D$2:$D$10,0)),0,1)))</f>
        <v>#REF!</v>
      </c>
      <c r="BI515" s="13"/>
      <c r="BJ515" s="21" t="e">
        <f ca="1">IF(Data!#REF!="","",IF(ISNUMBER(Data!#REF!),IF(AND(Data!#REF!&gt;(TODAY()-(Data_Val!$M$3*365.25)),Data!#REF!&lt;=(TODAY()-(Data_Val!$M$2*365.25))),0,1),1))</f>
        <v>#REF!</v>
      </c>
      <c r="BK515" s="13" t="e">
        <f>IF(Data!#REF!="","",IF(Data!$G515="",1,IF(ISNUMBER(MATCH(Data!#REF!,Data_Val!$D$2:$D$10,0)),0,1)))</f>
        <v>#REF!</v>
      </c>
    </row>
    <row r="516" spans="1:63" x14ac:dyDescent="0.25">
      <c r="A516" s="9" t="str">
        <f>IF(Data!B516="","",IF(COUNTIFS(Data!A$1:'Data'!A516,Data!A516)&lt;=1,0,1))</f>
        <v/>
      </c>
      <c r="B516" s="9"/>
      <c r="C516" s="23" t="str">
        <f>IF(Data!C516="","",(IF(ISNUMBER(MATCH("*@*.?*",Data!C516,0)),0,1)+IF(COUNTIFS(Data!C$1:'Data'!C516,Data!C516)&gt;1,1,0)))</f>
        <v/>
      </c>
      <c r="D516" s="9" t="str">
        <f>IF(Data!B516="","",IF(ISNUMBER(Data!D516),IF(AND(Data!D516&gt;999999999,Data!D516&lt;=9999999999),IF(COUNTIFS(Data!D$1:'Data'!D516,Data!D516)&lt;=1,0,1),1),1))</f>
        <v/>
      </c>
      <c r="E516" s="9" t="str">
        <f>IF(Data!B516="","",IF(ISNUMBER(MATCH(Data!E516,Data_Val!$A$2:$A$3,0)),0,1))</f>
        <v/>
      </c>
      <c r="F516" s="9" t="str">
        <f ca="1">IF(Data!B516="","",IF(ISNUMBER(Data!F516),IF(AND(Data!F516&gt;(TODAY()-(Data_Val!$H$3*365.25)),Data!F516&lt;=(TODAY()-(Data_Val!$H$2*365.25))),0,1),1))</f>
        <v/>
      </c>
      <c r="G516" s="15" t="str">
        <f>IF(Data!B516="","",IF(AND(Data!G516="",Data!H516&lt;&gt;""),1,IF(Data!#REF!&lt;&gt;"",0,IF(ISNUMBER(MATCH(Data!G516,Data_Val!$C$2:$C$5,0)),0,1))))</f>
        <v/>
      </c>
      <c r="H516" s="15" t="str">
        <f>IF(Data!B516="","",IF(AND(Data!G516&lt;&gt;"",Data!H516=""),1,IF(Data!#REF!&lt;&gt;"",0,IF(Data!G516="",1,IF(ISNUMBER(MATCH(Data!H516,Data_Val!$D$2:$D$35,0)),0,1)))))</f>
        <v/>
      </c>
      <c r="I516" s="15" t="str">
        <f>IF(Data!B516="","",IF(Data!G516&lt;&gt;"",0,IF(ISNUMBER(MATCH(Data!#REF!,Data_Val!$E$2:$E$12,0)),0,1)))</f>
        <v/>
      </c>
      <c r="J516" s="16" t="e">
        <f>IF(OR(Data!B516="",Data!#REF!=""),"",IF(Data!#REF!="",1,0))</f>
        <v>#REF!</v>
      </c>
      <c r="K516" s="16" t="e">
        <f>IF(OR(Data!B516="",Data!#REF!=""),"",IF(Data!#REF!="",1,0))</f>
        <v>#REF!</v>
      </c>
      <c r="L516" s="16" t="e">
        <f>IF(OR(Data!B516="",Data!#REF!=""),"",IF(ISNUMBER(Data!#REF!),IF(AND(Data!#REF!&gt;Data_Val!$G$2,Data!#REF!&lt;=Data_Val!$G$3),0,1),1))</f>
        <v>#REF!</v>
      </c>
      <c r="M516" s="9" t="e">
        <f>IF(OR(Data!B516="",Data!#REF!=""),"",IF(ISNUMBER(MATCH(Data!#REF!,Data_Val!$F$1:$F$38,0)),0,1))</f>
        <v>#REF!</v>
      </c>
      <c r="N516" s="9" t="e">
        <f>IF(OR(Data!B516="",Data!#REF!=""),"",IF(Data!#REF!="",1,0))</f>
        <v>#REF!</v>
      </c>
      <c r="O516" s="17" t="e">
        <f>IF(Data!#REF!="","",IF(Data!#REF!="",1,0))</f>
        <v>#REF!</v>
      </c>
      <c r="P516" s="17" t="e">
        <f>IF(Data!#REF!="","",IF(ISNUMBER(MATCH(Data!#REF!,Data_Val!$A$2:$A$3,0)),0,1))</f>
        <v>#REF!</v>
      </c>
      <c r="Q516" s="25" t="e">
        <f ca="1">IF(Data!#REF!="","",IF(ISNUMBER(Data!#REF!),IF(AND(Data!#REF!&gt;(TODAY()-(Data_Val!$J$3*365.25)),Data!#REF!&lt;=(TODAY()-(Data_Val!$J$2*365.25))),0,1),1))</f>
        <v>#REF!</v>
      </c>
      <c r="R516" s="17" t="e">
        <f>IF(Data!#REF!="","",IF(ISNUMBER(MATCH(Data!#REF!,Data_Val!$B$2:$B$15,0)),0,1))</f>
        <v>#REF!</v>
      </c>
      <c r="S516" s="11" t="str">
        <f>IF(Data!G516="","",IF(Data!G516=Data_Val!$C$2,IF(Data!M516="",0,1),0))</f>
        <v/>
      </c>
      <c r="T516" s="11" t="str">
        <f>IF(Data!M516="","",IF(ISNUMBER(MATCH(Data!N516,Data_Val!$A$2:$A$3,0)),0,1))</f>
        <v/>
      </c>
      <c r="U516" s="11" t="str">
        <f ca="1">IF(Data!M516="","",IF(ISNUMBER(Data!O516),IF(AND(Data!O516&gt;(TODAY()-(Data_Val!$K$3*365.25)),Data!O516&lt;=(TODAY()-(Data_Val!$K$2*365.25))),0,1),1))</f>
        <v/>
      </c>
      <c r="V516" s="12" t="str">
        <f>IF(Data!G516="","",IF(Data!G516=Data_Val!$C$2,IF(Data!P516="",0,1),0))</f>
        <v/>
      </c>
      <c r="W516" s="12" t="str">
        <f>IF(Data!P516="","",IF(ISNUMBER(MATCH(Data!Q516,Data_Val!$A$2:$A$3,0)),0,1))</f>
        <v/>
      </c>
      <c r="X516" s="26" t="str">
        <f ca="1">IF(Data!P516="","",IF(ISNUMBER(Data!R516),IF(AND(Data!R516&gt;(TODAY()-(Data_Val!$L$3*365.25)),Data!R516&lt;=(TODAY()-(Data_Val!$L$2*365.25))),0,1),1))</f>
        <v/>
      </c>
      <c r="Y516" s="13" t="str">
        <f>IF(Data!$G516="","",IF(Data!$G516=Data_Val!$C$2,IF(Data!S516="",0,1),0))</f>
        <v/>
      </c>
      <c r="Z516" s="13" t="str">
        <f>IF(Data!S516="","",IF(ISNUMBER(MATCH(Data!T516,Data_Val!$A$2:$A$3,0)),0,1))</f>
        <v/>
      </c>
      <c r="AA516" s="28" t="str">
        <f ca="1">IF(Data!S516="","",IF(ISNUMBER(Data!U516),IF(AND(Data!U516&gt;(TODAY()-(Data_Val!$L$3*365.25)),Data!U516&lt;=(TODAY()-(Data_Val!$L$2*365.25))),0,1),1))</f>
        <v/>
      </c>
      <c r="AB516" s="11"/>
      <c r="AC516" s="11" t="e">
        <f>IF(Data!#REF!="","",IF(ISNUMBER(MATCH(Data!#REF!,Data_Val!$A$2:$A$3,0)),0,1))</f>
        <v>#REF!</v>
      </c>
      <c r="AD516" s="11" t="e">
        <f ca="1">IF(Data!#REF!="","",IF(ISNUMBER(Data!#REF!),IF(AND(Data!#REF!&gt;(TODAY()-(Data_Val!$L$3*365.25)),Data!#REF!&lt;=(TODAY()-(Data_Val!$L$2*365.25))),0,1),1))</f>
        <v>#REF!</v>
      </c>
      <c r="AE516" s="11" t="e">
        <f>IF(Data!#REF!="","",IF(Data!$G516="",1,IF(ISNUMBER(MATCH(Data!#REF!,Data_Val!$D$2:$D$10,0)),0,1)))</f>
        <v>#REF!</v>
      </c>
      <c r="AF516" s="12"/>
      <c r="AG516" s="12" t="e">
        <f>IF(Data!#REF!="","",IF(ISNUMBER(MATCH(Data!#REF!,Data_Val!$A$2:$A$3,0)),0,1))</f>
        <v>#REF!</v>
      </c>
      <c r="AH516" s="26" t="e">
        <f ca="1">IF(Data!#REF!="","",IF(ISNUMBER(Data!#REF!),IF(AND(Data!#REF!&gt;(TODAY()-(Data_Val!$L$3*365.25)),Data!#REF!&lt;=(TODAY()-(Data_Val!$L$2*365.25))),0,1),1))</f>
        <v>#REF!</v>
      </c>
      <c r="AI516" s="12" t="e">
        <f>IF(Data!#REF!="","",IF(Data!$G516="",1,IF(ISNUMBER(MATCH(Data!#REF!,Data_Val!$D$2:$D$10,0)),0,1)))</f>
        <v>#REF!</v>
      </c>
      <c r="AJ516" s="17"/>
      <c r="AK516" s="17" t="e">
        <f>IF(Data!#REF!="","",IF(ISNUMBER(MATCH(Data!#REF!,Data_Val!$A$2:$A$3,0)),0,1))</f>
        <v>#REF!</v>
      </c>
      <c r="AL516" s="25" t="e">
        <f ca="1">IF(Data!#REF!="","",IF(ISNUMBER(Data!#REF!),IF(AND(Data!#REF!&gt;(TODAY()-(Data_Val!$L$3*365.25)),Data!#REF!&lt;=(TODAY()-(Data_Val!$L$2*365.25))),0,1),1))</f>
        <v>#REF!</v>
      </c>
      <c r="AM516" s="17" t="e">
        <f>IF(Data!#REF!="","",IF(Data!$G516="",1,IF(ISNUMBER(MATCH(Data!#REF!,Data_Val!$D$2:$D$10,0)),0,1)))</f>
        <v>#REF!</v>
      </c>
      <c r="AN516" s="13"/>
      <c r="AO516" s="28" t="e">
        <f ca="1">IF(Data!#REF!="","",IF(ISNUMBER(Data!#REF!),IF(AND(Data!#REF!&gt;(TODAY()-(Data_Val!$I$3*365.25)),Data!#REF!&lt;=(TODAY()-(Data_Val!$I$2*365.25))),0,1),1))</f>
        <v>#REF!</v>
      </c>
      <c r="AP516" s="13" t="e">
        <f>IF(Data!#REF!="","",IF(Data!$G516="",1,IF(ISNUMBER(MATCH(Data!#REF!,Data_Val!$D$2:$D$10,0)),0,1)))</f>
        <v>#REF!</v>
      </c>
      <c r="AQ516" s="17"/>
      <c r="AR516" s="30" t="e">
        <f ca="1">IF(Data!#REF!="","",IF(ISNUMBER(Data!#REF!),IF(AND(Data!#REF!&gt;(TODAY()-(Data_Val!$I$3*365.25)),Data!#REF!&lt;=(TODAY()-(Data_Val!$I$2*365.25))),0,1),1))</f>
        <v>#REF!</v>
      </c>
      <c r="AS516" s="31" t="e">
        <f>IF(Data!#REF!="","",IF(Data!$G516="",1,IF(ISNUMBER(MATCH(Data!#REF!,Data_Val!$D$2:$D$10,0)),0,1)))</f>
        <v>#REF!</v>
      </c>
      <c r="AT516" s="11"/>
      <c r="AU516" s="11" t="e">
        <f ca="1">IF(Data!#REF!="","",IF(ISNUMBER(Data!#REF!),IF(AND(Data!#REF!&gt;(TODAY()-(Data_Val!$I$3*365.25)),Data!#REF!&lt;=(TODAY()-(Data_Val!$I$2*365.25))),0,1),1))</f>
        <v>#REF!</v>
      </c>
      <c r="AV516" s="11" t="e">
        <f>IF(Data!#REF!="","",IF(Data!$G516="",1,IF(ISNUMBER(MATCH(Data!#REF!,Data_Val!$D$2:$D$10,0)),0,1)))</f>
        <v>#REF!</v>
      </c>
      <c r="AW516" s="12"/>
      <c r="AX516" s="26" t="e">
        <f ca="1">IF(Data!#REF!="","",IF(ISNUMBER(Data!#REF!),IF(AND(Data!#REF!&gt;(TODAY()-(Data_Val!$I$3*365.25)),Data!#REF!&lt;=(TODAY()-(Data_Val!$I$2*365.25))),0,1),1))</f>
        <v>#REF!</v>
      </c>
      <c r="AY516" s="12" t="e">
        <f>IF(Data!#REF!="","",IF(Data!$G516="",1,IF(ISNUMBER(MATCH(Data!#REF!,Data_Val!$D$2:$D$10,0)),0,1)))</f>
        <v>#REF!</v>
      </c>
      <c r="AZ516" s="11"/>
      <c r="BA516" s="19" t="e">
        <f ca="1">IF(Data!#REF!="","",IF(ISNUMBER(Data!#REF!),IF(AND(Data!#REF!&gt;(TODAY()-(Data_Val!$M$3*365.25)),Data!#REF!&lt;=(TODAY()-(Data_Val!$M$2*365.25))),0,1),1))</f>
        <v>#REF!</v>
      </c>
      <c r="BB516" s="11" t="e">
        <f>IF(Data!#REF!="","",IF(Data!$G516="",1,IF(ISNUMBER(MATCH(Data!#REF!,Data_Val!$D$2:$D$10,0)),0,1)))</f>
        <v>#REF!</v>
      </c>
      <c r="BC516" s="12"/>
      <c r="BD516" s="20" t="e">
        <f ca="1">IF(Data!#REF!="","",IF(ISNUMBER(Data!#REF!),IF(AND(Data!#REF!&gt;(TODAY()-(Data_Val!$M$3*365.25)),Data!#REF!&lt;=(TODAY()-(Data_Val!$M$2*365.25))),0,1),1))</f>
        <v>#REF!</v>
      </c>
      <c r="BE516" s="12" t="e">
        <f>IF(Data!#REF!="","",IF(Data!$G516="",1,IF(ISNUMBER(MATCH(Data!#REF!,Data_Val!$D$2:$D$10,0)),0,1)))</f>
        <v>#REF!</v>
      </c>
      <c r="BF516" s="17"/>
      <c r="BG516" s="18" t="e">
        <f ca="1">IF(Data!#REF!="","",IF(ISNUMBER(Data!#REF!),IF(AND(Data!#REF!&gt;(TODAY()-(Data_Val!$M$3*365.25)),Data!#REF!&lt;=(TODAY()-(Data_Val!$M$2*365.25))),0,1),1))</f>
        <v>#REF!</v>
      </c>
      <c r="BH516" s="29" t="e">
        <f>IF(Data!#REF!="","",IF(Data!$G516="",1,IF(ISNUMBER(MATCH(Data!#REF!,Data_Val!$D$2:$D$10,0)),0,1)))</f>
        <v>#REF!</v>
      </c>
      <c r="BI516" s="13"/>
      <c r="BJ516" s="21" t="e">
        <f ca="1">IF(Data!#REF!="","",IF(ISNUMBER(Data!#REF!),IF(AND(Data!#REF!&gt;(TODAY()-(Data_Val!$M$3*365.25)),Data!#REF!&lt;=(TODAY()-(Data_Val!$M$2*365.25))),0,1),1))</f>
        <v>#REF!</v>
      </c>
      <c r="BK516" s="13" t="e">
        <f>IF(Data!#REF!="","",IF(Data!$G516="",1,IF(ISNUMBER(MATCH(Data!#REF!,Data_Val!$D$2:$D$10,0)),0,1)))</f>
        <v>#REF!</v>
      </c>
    </row>
    <row r="517" spans="1:63" x14ac:dyDescent="0.25">
      <c r="A517" s="9" t="str">
        <f>IF(Data!B517="","",IF(COUNTIFS(Data!A$1:'Data'!A517,Data!A517)&lt;=1,0,1))</f>
        <v/>
      </c>
      <c r="B517" s="9"/>
      <c r="C517" s="23" t="str">
        <f>IF(Data!C517="","",(IF(ISNUMBER(MATCH("*@*.?*",Data!C517,0)),0,1)+IF(COUNTIFS(Data!C$1:'Data'!C517,Data!C517)&gt;1,1,0)))</f>
        <v/>
      </c>
      <c r="D517" s="9" t="str">
        <f>IF(Data!B517="","",IF(ISNUMBER(Data!D517),IF(AND(Data!D517&gt;999999999,Data!D517&lt;=9999999999),IF(COUNTIFS(Data!D$1:'Data'!D517,Data!D517)&lt;=1,0,1),1),1))</f>
        <v/>
      </c>
      <c r="E517" s="9" t="str">
        <f>IF(Data!B517="","",IF(ISNUMBER(MATCH(Data!E517,Data_Val!$A$2:$A$3,0)),0,1))</f>
        <v/>
      </c>
      <c r="F517" s="9" t="str">
        <f ca="1">IF(Data!B517="","",IF(ISNUMBER(Data!F517),IF(AND(Data!F517&gt;(TODAY()-(Data_Val!$H$3*365.25)),Data!F517&lt;=(TODAY()-(Data_Val!$H$2*365.25))),0,1),1))</f>
        <v/>
      </c>
      <c r="G517" s="15" t="str">
        <f>IF(Data!B517="","",IF(AND(Data!G517="",Data!H517&lt;&gt;""),1,IF(Data!#REF!&lt;&gt;"",0,IF(ISNUMBER(MATCH(Data!G517,Data_Val!$C$2:$C$5,0)),0,1))))</f>
        <v/>
      </c>
      <c r="H517" s="15" t="str">
        <f>IF(Data!B517="","",IF(AND(Data!G517&lt;&gt;"",Data!H517=""),1,IF(Data!#REF!&lt;&gt;"",0,IF(Data!G517="",1,IF(ISNUMBER(MATCH(Data!H517,Data_Val!$D$2:$D$35,0)),0,1)))))</f>
        <v/>
      </c>
      <c r="I517" s="15" t="str">
        <f>IF(Data!B517="","",IF(Data!G517&lt;&gt;"",0,IF(ISNUMBER(MATCH(Data!#REF!,Data_Val!$E$2:$E$12,0)),0,1)))</f>
        <v/>
      </c>
      <c r="J517" s="16" t="e">
        <f>IF(OR(Data!B517="",Data!#REF!=""),"",IF(Data!#REF!="",1,0))</f>
        <v>#REF!</v>
      </c>
      <c r="K517" s="16" t="e">
        <f>IF(OR(Data!B517="",Data!#REF!=""),"",IF(Data!#REF!="",1,0))</f>
        <v>#REF!</v>
      </c>
      <c r="L517" s="16" t="e">
        <f>IF(OR(Data!B517="",Data!#REF!=""),"",IF(ISNUMBER(Data!#REF!),IF(AND(Data!#REF!&gt;Data_Val!$G$2,Data!#REF!&lt;=Data_Val!$G$3),0,1),1))</f>
        <v>#REF!</v>
      </c>
      <c r="M517" s="9" t="e">
        <f>IF(OR(Data!B517="",Data!#REF!=""),"",IF(ISNUMBER(MATCH(Data!#REF!,Data_Val!$F$1:$F$38,0)),0,1))</f>
        <v>#REF!</v>
      </c>
      <c r="N517" s="9" t="e">
        <f>IF(OR(Data!B517="",Data!#REF!=""),"",IF(Data!#REF!="",1,0))</f>
        <v>#REF!</v>
      </c>
      <c r="O517" s="17" t="e">
        <f>IF(Data!#REF!="","",IF(Data!#REF!="",1,0))</f>
        <v>#REF!</v>
      </c>
      <c r="P517" s="17" t="e">
        <f>IF(Data!#REF!="","",IF(ISNUMBER(MATCH(Data!#REF!,Data_Val!$A$2:$A$3,0)),0,1))</f>
        <v>#REF!</v>
      </c>
      <c r="Q517" s="25" t="e">
        <f ca="1">IF(Data!#REF!="","",IF(ISNUMBER(Data!#REF!),IF(AND(Data!#REF!&gt;(TODAY()-(Data_Val!$J$3*365.25)),Data!#REF!&lt;=(TODAY()-(Data_Val!$J$2*365.25))),0,1),1))</f>
        <v>#REF!</v>
      </c>
      <c r="R517" s="17" t="e">
        <f>IF(Data!#REF!="","",IF(ISNUMBER(MATCH(Data!#REF!,Data_Val!$B$2:$B$15,0)),0,1))</f>
        <v>#REF!</v>
      </c>
      <c r="S517" s="11" t="str">
        <f>IF(Data!G517="","",IF(Data!G517=Data_Val!$C$2,IF(Data!M517="",0,1),0))</f>
        <v/>
      </c>
      <c r="T517" s="11" t="str">
        <f>IF(Data!M517="","",IF(ISNUMBER(MATCH(Data!N517,Data_Val!$A$2:$A$3,0)),0,1))</f>
        <v/>
      </c>
      <c r="U517" s="11" t="str">
        <f ca="1">IF(Data!M517="","",IF(ISNUMBER(Data!O517),IF(AND(Data!O517&gt;(TODAY()-(Data_Val!$K$3*365.25)),Data!O517&lt;=(TODAY()-(Data_Val!$K$2*365.25))),0,1),1))</f>
        <v/>
      </c>
      <c r="V517" s="12" t="str">
        <f>IF(Data!G517="","",IF(Data!G517=Data_Val!$C$2,IF(Data!P517="",0,1),0))</f>
        <v/>
      </c>
      <c r="W517" s="12" t="str">
        <f>IF(Data!P517="","",IF(ISNUMBER(MATCH(Data!Q517,Data_Val!$A$2:$A$3,0)),0,1))</f>
        <v/>
      </c>
      <c r="X517" s="26" t="str">
        <f ca="1">IF(Data!P517="","",IF(ISNUMBER(Data!R517),IF(AND(Data!R517&gt;(TODAY()-(Data_Val!$L$3*365.25)),Data!R517&lt;=(TODAY()-(Data_Val!$L$2*365.25))),0,1),1))</f>
        <v/>
      </c>
      <c r="Y517" s="13" t="str">
        <f>IF(Data!$G517="","",IF(Data!$G517=Data_Val!$C$2,IF(Data!S517="",0,1),0))</f>
        <v/>
      </c>
      <c r="Z517" s="13" t="str">
        <f>IF(Data!S517="","",IF(ISNUMBER(MATCH(Data!T517,Data_Val!$A$2:$A$3,0)),0,1))</f>
        <v/>
      </c>
      <c r="AA517" s="28" t="str">
        <f ca="1">IF(Data!S517="","",IF(ISNUMBER(Data!U517),IF(AND(Data!U517&gt;(TODAY()-(Data_Val!$L$3*365.25)),Data!U517&lt;=(TODAY()-(Data_Val!$L$2*365.25))),0,1),1))</f>
        <v/>
      </c>
      <c r="AB517" s="11"/>
      <c r="AC517" s="11" t="e">
        <f>IF(Data!#REF!="","",IF(ISNUMBER(MATCH(Data!#REF!,Data_Val!$A$2:$A$3,0)),0,1))</f>
        <v>#REF!</v>
      </c>
      <c r="AD517" s="11" t="e">
        <f ca="1">IF(Data!#REF!="","",IF(ISNUMBER(Data!#REF!),IF(AND(Data!#REF!&gt;(TODAY()-(Data_Val!$L$3*365.25)),Data!#REF!&lt;=(TODAY()-(Data_Val!$L$2*365.25))),0,1),1))</f>
        <v>#REF!</v>
      </c>
      <c r="AE517" s="11" t="e">
        <f>IF(Data!#REF!="","",IF(Data!$G517="",1,IF(ISNUMBER(MATCH(Data!#REF!,Data_Val!$D$2:$D$10,0)),0,1)))</f>
        <v>#REF!</v>
      </c>
      <c r="AF517" s="12"/>
      <c r="AG517" s="12" t="e">
        <f>IF(Data!#REF!="","",IF(ISNUMBER(MATCH(Data!#REF!,Data_Val!$A$2:$A$3,0)),0,1))</f>
        <v>#REF!</v>
      </c>
      <c r="AH517" s="26" t="e">
        <f ca="1">IF(Data!#REF!="","",IF(ISNUMBER(Data!#REF!),IF(AND(Data!#REF!&gt;(TODAY()-(Data_Val!$L$3*365.25)),Data!#REF!&lt;=(TODAY()-(Data_Val!$L$2*365.25))),0,1),1))</f>
        <v>#REF!</v>
      </c>
      <c r="AI517" s="12" t="e">
        <f>IF(Data!#REF!="","",IF(Data!$G517="",1,IF(ISNUMBER(MATCH(Data!#REF!,Data_Val!$D$2:$D$10,0)),0,1)))</f>
        <v>#REF!</v>
      </c>
      <c r="AJ517" s="17"/>
      <c r="AK517" s="17" t="e">
        <f>IF(Data!#REF!="","",IF(ISNUMBER(MATCH(Data!#REF!,Data_Val!$A$2:$A$3,0)),0,1))</f>
        <v>#REF!</v>
      </c>
      <c r="AL517" s="25" t="e">
        <f ca="1">IF(Data!#REF!="","",IF(ISNUMBER(Data!#REF!),IF(AND(Data!#REF!&gt;(TODAY()-(Data_Val!$L$3*365.25)),Data!#REF!&lt;=(TODAY()-(Data_Val!$L$2*365.25))),0,1),1))</f>
        <v>#REF!</v>
      </c>
      <c r="AM517" s="17" t="e">
        <f>IF(Data!#REF!="","",IF(Data!$G517="",1,IF(ISNUMBER(MATCH(Data!#REF!,Data_Val!$D$2:$D$10,0)),0,1)))</f>
        <v>#REF!</v>
      </c>
      <c r="AN517" s="13"/>
      <c r="AO517" s="28" t="e">
        <f ca="1">IF(Data!#REF!="","",IF(ISNUMBER(Data!#REF!),IF(AND(Data!#REF!&gt;(TODAY()-(Data_Val!$I$3*365.25)),Data!#REF!&lt;=(TODAY()-(Data_Val!$I$2*365.25))),0,1),1))</f>
        <v>#REF!</v>
      </c>
      <c r="AP517" s="13" t="e">
        <f>IF(Data!#REF!="","",IF(Data!$G517="",1,IF(ISNUMBER(MATCH(Data!#REF!,Data_Val!$D$2:$D$10,0)),0,1)))</f>
        <v>#REF!</v>
      </c>
      <c r="AQ517" s="17"/>
      <c r="AR517" s="30" t="e">
        <f ca="1">IF(Data!#REF!="","",IF(ISNUMBER(Data!#REF!),IF(AND(Data!#REF!&gt;(TODAY()-(Data_Val!$I$3*365.25)),Data!#REF!&lt;=(TODAY()-(Data_Val!$I$2*365.25))),0,1),1))</f>
        <v>#REF!</v>
      </c>
      <c r="AS517" s="31" t="e">
        <f>IF(Data!#REF!="","",IF(Data!$G517="",1,IF(ISNUMBER(MATCH(Data!#REF!,Data_Val!$D$2:$D$10,0)),0,1)))</f>
        <v>#REF!</v>
      </c>
      <c r="AT517" s="11"/>
      <c r="AU517" s="11" t="e">
        <f ca="1">IF(Data!#REF!="","",IF(ISNUMBER(Data!#REF!),IF(AND(Data!#REF!&gt;(TODAY()-(Data_Val!$I$3*365.25)),Data!#REF!&lt;=(TODAY()-(Data_Val!$I$2*365.25))),0,1),1))</f>
        <v>#REF!</v>
      </c>
      <c r="AV517" s="11" t="e">
        <f>IF(Data!#REF!="","",IF(Data!$G517="",1,IF(ISNUMBER(MATCH(Data!#REF!,Data_Val!$D$2:$D$10,0)),0,1)))</f>
        <v>#REF!</v>
      </c>
      <c r="AW517" s="12"/>
      <c r="AX517" s="26" t="e">
        <f ca="1">IF(Data!#REF!="","",IF(ISNUMBER(Data!#REF!),IF(AND(Data!#REF!&gt;(TODAY()-(Data_Val!$I$3*365.25)),Data!#REF!&lt;=(TODAY()-(Data_Val!$I$2*365.25))),0,1),1))</f>
        <v>#REF!</v>
      </c>
      <c r="AY517" s="12" t="e">
        <f>IF(Data!#REF!="","",IF(Data!$G517="",1,IF(ISNUMBER(MATCH(Data!#REF!,Data_Val!$D$2:$D$10,0)),0,1)))</f>
        <v>#REF!</v>
      </c>
      <c r="AZ517" s="11"/>
      <c r="BA517" s="19" t="e">
        <f ca="1">IF(Data!#REF!="","",IF(ISNUMBER(Data!#REF!),IF(AND(Data!#REF!&gt;(TODAY()-(Data_Val!$M$3*365.25)),Data!#REF!&lt;=(TODAY()-(Data_Val!$M$2*365.25))),0,1),1))</f>
        <v>#REF!</v>
      </c>
      <c r="BB517" s="11" t="e">
        <f>IF(Data!#REF!="","",IF(Data!$G517="",1,IF(ISNUMBER(MATCH(Data!#REF!,Data_Val!$D$2:$D$10,0)),0,1)))</f>
        <v>#REF!</v>
      </c>
      <c r="BC517" s="12"/>
      <c r="BD517" s="20" t="e">
        <f ca="1">IF(Data!#REF!="","",IF(ISNUMBER(Data!#REF!),IF(AND(Data!#REF!&gt;(TODAY()-(Data_Val!$M$3*365.25)),Data!#REF!&lt;=(TODAY()-(Data_Val!$M$2*365.25))),0,1),1))</f>
        <v>#REF!</v>
      </c>
      <c r="BE517" s="12" t="e">
        <f>IF(Data!#REF!="","",IF(Data!$G517="",1,IF(ISNUMBER(MATCH(Data!#REF!,Data_Val!$D$2:$D$10,0)),0,1)))</f>
        <v>#REF!</v>
      </c>
      <c r="BF517" s="17"/>
      <c r="BG517" s="18" t="e">
        <f ca="1">IF(Data!#REF!="","",IF(ISNUMBER(Data!#REF!),IF(AND(Data!#REF!&gt;(TODAY()-(Data_Val!$M$3*365.25)),Data!#REF!&lt;=(TODAY()-(Data_Val!$M$2*365.25))),0,1),1))</f>
        <v>#REF!</v>
      </c>
      <c r="BH517" s="29" t="e">
        <f>IF(Data!#REF!="","",IF(Data!$G517="",1,IF(ISNUMBER(MATCH(Data!#REF!,Data_Val!$D$2:$D$10,0)),0,1)))</f>
        <v>#REF!</v>
      </c>
      <c r="BI517" s="13"/>
      <c r="BJ517" s="21" t="e">
        <f ca="1">IF(Data!#REF!="","",IF(ISNUMBER(Data!#REF!),IF(AND(Data!#REF!&gt;(TODAY()-(Data_Val!$M$3*365.25)),Data!#REF!&lt;=(TODAY()-(Data_Val!$M$2*365.25))),0,1),1))</f>
        <v>#REF!</v>
      </c>
      <c r="BK517" s="13" t="e">
        <f>IF(Data!#REF!="","",IF(Data!$G517="",1,IF(ISNUMBER(MATCH(Data!#REF!,Data_Val!$D$2:$D$10,0)),0,1)))</f>
        <v>#REF!</v>
      </c>
    </row>
    <row r="518" spans="1:63" x14ac:dyDescent="0.25">
      <c r="A518" s="9" t="str">
        <f>IF(Data!B518="","",IF(COUNTIFS(Data!A$1:'Data'!A518,Data!A518)&lt;=1,0,1))</f>
        <v/>
      </c>
      <c r="B518" s="9"/>
      <c r="C518" s="23" t="str">
        <f>IF(Data!C518="","",(IF(ISNUMBER(MATCH("*@*.?*",Data!C518,0)),0,1)+IF(COUNTIFS(Data!C$1:'Data'!C518,Data!C518)&gt;1,1,0)))</f>
        <v/>
      </c>
      <c r="D518" s="9" t="str">
        <f>IF(Data!B518="","",IF(ISNUMBER(Data!D518),IF(AND(Data!D518&gt;999999999,Data!D518&lt;=9999999999),IF(COUNTIFS(Data!D$1:'Data'!D518,Data!D518)&lt;=1,0,1),1),1))</f>
        <v/>
      </c>
      <c r="E518" s="9" t="str">
        <f>IF(Data!B518="","",IF(ISNUMBER(MATCH(Data!E518,Data_Val!$A$2:$A$3,0)),0,1))</f>
        <v/>
      </c>
      <c r="F518" s="9" t="str">
        <f ca="1">IF(Data!B518="","",IF(ISNUMBER(Data!F518),IF(AND(Data!F518&gt;(TODAY()-(Data_Val!$H$3*365.25)),Data!F518&lt;=(TODAY()-(Data_Val!$H$2*365.25))),0,1),1))</f>
        <v/>
      </c>
      <c r="G518" s="15" t="str">
        <f>IF(Data!B518="","",IF(AND(Data!G518="",Data!H518&lt;&gt;""),1,IF(Data!#REF!&lt;&gt;"",0,IF(ISNUMBER(MATCH(Data!G518,Data_Val!$C$2:$C$5,0)),0,1))))</f>
        <v/>
      </c>
      <c r="H518" s="15" t="str">
        <f>IF(Data!B518="","",IF(AND(Data!G518&lt;&gt;"",Data!H518=""),1,IF(Data!#REF!&lt;&gt;"",0,IF(Data!G518="",1,IF(ISNUMBER(MATCH(Data!H518,Data_Val!$D$2:$D$35,0)),0,1)))))</f>
        <v/>
      </c>
      <c r="I518" s="15" t="str">
        <f>IF(Data!B518="","",IF(Data!G518&lt;&gt;"",0,IF(ISNUMBER(MATCH(Data!#REF!,Data_Val!$E$2:$E$12,0)),0,1)))</f>
        <v/>
      </c>
      <c r="J518" s="16" t="e">
        <f>IF(OR(Data!B518="",Data!#REF!=""),"",IF(Data!#REF!="",1,0))</f>
        <v>#REF!</v>
      </c>
      <c r="K518" s="16" t="e">
        <f>IF(OR(Data!B518="",Data!#REF!=""),"",IF(Data!#REF!="",1,0))</f>
        <v>#REF!</v>
      </c>
      <c r="L518" s="16" t="e">
        <f>IF(OR(Data!B518="",Data!#REF!=""),"",IF(ISNUMBER(Data!#REF!),IF(AND(Data!#REF!&gt;Data_Val!$G$2,Data!#REF!&lt;=Data_Val!$G$3),0,1),1))</f>
        <v>#REF!</v>
      </c>
      <c r="M518" s="9" t="e">
        <f>IF(OR(Data!B518="",Data!#REF!=""),"",IF(ISNUMBER(MATCH(Data!#REF!,Data_Val!$F$1:$F$38,0)),0,1))</f>
        <v>#REF!</v>
      </c>
      <c r="N518" s="9" t="e">
        <f>IF(OR(Data!B518="",Data!#REF!=""),"",IF(Data!#REF!="",1,0))</f>
        <v>#REF!</v>
      </c>
      <c r="O518" s="17" t="e">
        <f>IF(Data!#REF!="","",IF(Data!#REF!="",1,0))</f>
        <v>#REF!</v>
      </c>
      <c r="P518" s="17" t="e">
        <f>IF(Data!#REF!="","",IF(ISNUMBER(MATCH(Data!#REF!,Data_Val!$A$2:$A$3,0)),0,1))</f>
        <v>#REF!</v>
      </c>
      <c r="Q518" s="25" t="e">
        <f ca="1">IF(Data!#REF!="","",IF(ISNUMBER(Data!#REF!),IF(AND(Data!#REF!&gt;(TODAY()-(Data_Val!$J$3*365.25)),Data!#REF!&lt;=(TODAY()-(Data_Val!$J$2*365.25))),0,1),1))</f>
        <v>#REF!</v>
      </c>
      <c r="R518" s="17" t="e">
        <f>IF(Data!#REF!="","",IF(ISNUMBER(MATCH(Data!#REF!,Data_Val!$B$2:$B$15,0)),0,1))</f>
        <v>#REF!</v>
      </c>
      <c r="S518" s="11" t="str">
        <f>IF(Data!G518="","",IF(Data!G518=Data_Val!$C$2,IF(Data!M518="",0,1),0))</f>
        <v/>
      </c>
      <c r="T518" s="11" t="str">
        <f>IF(Data!M518="","",IF(ISNUMBER(MATCH(Data!N518,Data_Val!$A$2:$A$3,0)),0,1))</f>
        <v/>
      </c>
      <c r="U518" s="11" t="str">
        <f ca="1">IF(Data!M518="","",IF(ISNUMBER(Data!O518),IF(AND(Data!O518&gt;(TODAY()-(Data_Val!$K$3*365.25)),Data!O518&lt;=(TODAY()-(Data_Val!$K$2*365.25))),0,1),1))</f>
        <v/>
      </c>
      <c r="V518" s="12" t="str">
        <f>IF(Data!G518="","",IF(Data!G518=Data_Val!$C$2,IF(Data!P518="",0,1),0))</f>
        <v/>
      </c>
      <c r="W518" s="12" t="str">
        <f>IF(Data!P518="","",IF(ISNUMBER(MATCH(Data!Q518,Data_Val!$A$2:$A$3,0)),0,1))</f>
        <v/>
      </c>
      <c r="X518" s="26" t="str">
        <f ca="1">IF(Data!P518="","",IF(ISNUMBER(Data!R518),IF(AND(Data!R518&gt;(TODAY()-(Data_Val!$L$3*365.25)),Data!R518&lt;=(TODAY()-(Data_Val!$L$2*365.25))),0,1),1))</f>
        <v/>
      </c>
      <c r="Y518" s="13" t="str">
        <f>IF(Data!$G518="","",IF(Data!$G518=Data_Val!$C$2,IF(Data!S518="",0,1),0))</f>
        <v/>
      </c>
      <c r="Z518" s="13" t="str">
        <f>IF(Data!S518="","",IF(ISNUMBER(MATCH(Data!T518,Data_Val!$A$2:$A$3,0)),0,1))</f>
        <v/>
      </c>
      <c r="AA518" s="28" t="str">
        <f ca="1">IF(Data!S518="","",IF(ISNUMBER(Data!U518),IF(AND(Data!U518&gt;(TODAY()-(Data_Val!$L$3*365.25)),Data!U518&lt;=(TODAY()-(Data_Val!$L$2*365.25))),0,1),1))</f>
        <v/>
      </c>
      <c r="AB518" s="11"/>
      <c r="AC518" s="11" t="e">
        <f>IF(Data!#REF!="","",IF(ISNUMBER(MATCH(Data!#REF!,Data_Val!$A$2:$A$3,0)),0,1))</f>
        <v>#REF!</v>
      </c>
      <c r="AD518" s="11" t="e">
        <f ca="1">IF(Data!#REF!="","",IF(ISNUMBER(Data!#REF!),IF(AND(Data!#REF!&gt;(TODAY()-(Data_Val!$L$3*365.25)),Data!#REF!&lt;=(TODAY()-(Data_Val!$L$2*365.25))),0,1),1))</f>
        <v>#REF!</v>
      </c>
      <c r="AE518" s="11" t="e">
        <f>IF(Data!#REF!="","",IF(Data!$G518="",1,IF(ISNUMBER(MATCH(Data!#REF!,Data_Val!$D$2:$D$10,0)),0,1)))</f>
        <v>#REF!</v>
      </c>
      <c r="AF518" s="12"/>
      <c r="AG518" s="12" t="e">
        <f>IF(Data!#REF!="","",IF(ISNUMBER(MATCH(Data!#REF!,Data_Val!$A$2:$A$3,0)),0,1))</f>
        <v>#REF!</v>
      </c>
      <c r="AH518" s="26" t="e">
        <f ca="1">IF(Data!#REF!="","",IF(ISNUMBER(Data!#REF!),IF(AND(Data!#REF!&gt;(TODAY()-(Data_Val!$L$3*365.25)),Data!#REF!&lt;=(TODAY()-(Data_Val!$L$2*365.25))),0,1),1))</f>
        <v>#REF!</v>
      </c>
      <c r="AI518" s="12" t="e">
        <f>IF(Data!#REF!="","",IF(Data!$G518="",1,IF(ISNUMBER(MATCH(Data!#REF!,Data_Val!$D$2:$D$10,0)),0,1)))</f>
        <v>#REF!</v>
      </c>
      <c r="AJ518" s="17"/>
      <c r="AK518" s="17" t="e">
        <f>IF(Data!#REF!="","",IF(ISNUMBER(MATCH(Data!#REF!,Data_Val!$A$2:$A$3,0)),0,1))</f>
        <v>#REF!</v>
      </c>
      <c r="AL518" s="25" t="e">
        <f ca="1">IF(Data!#REF!="","",IF(ISNUMBER(Data!#REF!),IF(AND(Data!#REF!&gt;(TODAY()-(Data_Val!$L$3*365.25)),Data!#REF!&lt;=(TODAY()-(Data_Val!$L$2*365.25))),0,1),1))</f>
        <v>#REF!</v>
      </c>
      <c r="AM518" s="17" t="e">
        <f>IF(Data!#REF!="","",IF(Data!$G518="",1,IF(ISNUMBER(MATCH(Data!#REF!,Data_Val!$D$2:$D$10,0)),0,1)))</f>
        <v>#REF!</v>
      </c>
      <c r="AN518" s="13"/>
      <c r="AO518" s="28" t="e">
        <f ca="1">IF(Data!#REF!="","",IF(ISNUMBER(Data!#REF!),IF(AND(Data!#REF!&gt;(TODAY()-(Data_Val!$I$3*365.25)),Data!#REF!&lt;=(TODAY()-(Data_Val!$I$2*365.25))),0,1),1))</f>
        <v>#REF!</v>
      </c>
      <c r="AP518" s="13" t="e">
        <f>IF(Data!#REF!="","",IF(Data!$G518="",1,IF(ISNUMBER(MATCH(Data!#REF!,Data_Val!$D$2:$D$10,0)),0,1)))</f>
        <v>#REF!</v>
      </c>
      <c r="AQ518" s="17"/>
      <c r="AR518" s="30" t="e">
        <f ca="1">IF(Data!#REF!="","",IF(ISNUMBER(Data!#REF!),IF(AND(Data!#REF!&gt;(TODAY()-(Data_Val!$I$3*365.25)),Data!#REF!&lt;=(TODAY()-(Data_Val!$I$2*365.25))),0,1),1))</f>
        <v>#REF!</v>
      </c>
      <c r="AS518" s="31" t="e">
        <f>IF(Data!#REF!="","",IF(Data!$G518="",1,IF(ISNUMBER(MATCH(Data!#REF!,Data_Val!$D$2:$D$10,0)),0,1)))</f>
        <v>#REF!</v>
      </c>
      <c r="AT518" s="11"/>
      <c r="AU518" s="11" t="e">
        <f ca="1">IF(Data!#REF!="","",IF(ISNUMBER(Data!#REF!),IF(AND(Data!#REF!&gt;(TODAY()-(Data_Val!$I$3*365.25)),Data!#REF!&lt;=(TODAY()-(Data_Val!$I$2*365.25))),0,1),1))</f>
        <v>#REF!</v>
      </c>
      <c r="AV518" s="11" t="e">
        <f>IF(Data!#REF!="","",IF(Data!$G518="",1,IF(ISNUMBER(MATCH(Data!#REF!,Data_Val!$D$2:$D$10,0)),0,1)))</f>
        <v>#REF!</v>
      </c>
      <c r="AW518" s="12"/>
      <c r="AX518" s="26" t="e">
        <f ca="1">IF(Data!#REF!="","",IF(ISNUMBER(Data!#REF!),IF(AND(Data!#REF!&gt;(TODAY()-(Data_Val!$I$3*365.25)),Data!#REF!&lt;=(TODAY()-(Data_Val!$I$2*365.25))),0,1),1))</f>
        <v>#REF!</v>
      </c>
      <c r="AY518" s="12" t="e">
        <f>IF(Data!#REF!="","",IF(Data!$G518="",1,IF(ISNUMBER(MATCH(Data!#REF!,Data_Val!$D$2:$D$10,0)),0,1)))</f>
        <v>#REF!</v>
      </c>
      <c r="AZ518" s="11"/>
      <c r="BA518" s="19" t="e">
        <f ca="1">IF(Data!#REF!="","",IF(ISNUMBER(Data!#REF!),IF(AND(Data!#REF!&gt;(TODAY()-(Data_Val!$M$3*365.25)),Data!#REF!&lt;=(TODAY()-(Data_Val!$M$2*365.25))),0,1),1))</f>
        <v>#REF!</v>
      </c>
      <c r="BB518" s="11" t="e">
        <f>IF(Data!#REF!="","",IF(Data!$G518="",1,IF(ISNUMBER(MATCH(Data!#REF!,Data_Val!$D$2:$D$10,0)),0,1)))</f>
        <v>#REF!</v>
      </c>
      <c r="BC518" s="12"/>
      <c r="BD518" s="20" t="e">
        <f ca="1">IF(Data!#REF!="","",IF(ISNUMBER(Data!#REF!),IF(AND(Data!#REF!&gt;(TODAY()-(Data_Val!$M$3*365.25)),Data!#REF!&lt;=(TODAY()-(Data_Val!$M$2*365.25))),0,1),1))</f>
        <v>#REF!</v>
      </c>
      <c r="BE518" s="12" t="e">
        <f>IF(Data!#REF!="","",IF(Data!$G518="",1,IF(ISNUMBER(MATCH(Data!#REF!,Data_Val!$D$2:$D$10,0)),0,1)))</f>
        <v>#REF!</v>
      </c>
      <c r="BF518" s="17"/>
      <c r="BG518" s="18" t="e">
        <f ca="1">IF(Data!#REF!="","",IF(ISNUMBER(Data!#REF!),IF(AND(Data!#REF!&gt;(TODAY()-(Data_Val!$M$3*365.25)),Data!#REF!&lt;=(TODAY()-(Data_Val!$M$2*365.25))),0,1),1))</f>
        <v>#REF!</v>
      </c>
      <c r="BH518" s="29" t="e">
        <f>IF(Data!#REF!="","",IF(Data!$G518="",1,IF(ISNUMBER(MATCH(Data!#REF!,Data_Val!$D$2:$D$10,0)),0,1)))</f>
        <v>#REF!</v>
      </c>
      <c r="BI518" s="13"/>
      <c r="BJ518" s="21" t="e">
        <f ca="1">IF(Data!#REF!="","",IF(ISNUMBER(Data!#REF!),IF(AND(Data!#REF!&gt;(TODAY()-(Data_Val!$M$3*365.25)),Data!#REF!&lt;=(TODAY()-(Data_Val!$M$2*365.25))),0,1),1))</f>
        <v>#REF!</v>
      </c>
      <c r="BK518" s="13" t="e">
        <f>IF(Data!#REF!="","",IF(Data!$G518="",1,IF(ISNUMBER(MATCH(Data!#REF!,Data_Val!$D$2:$D$10,0)),0,1)))</f>
        <v>#REF!</v>
      </c>
    </row>
    <row r="519" spans="1:63" x14ac:dyDescent="0.25">
      <c r="A519" s="9" t="str">
        <f>IF(Data!B519="","",IF(COUNTIFS(Data!A$1:'Data'!A519,Data!A519)&lt;=1,0,1))</f>
        <v/>
      </c>
      <c r="B519" s="9"/>
      <c r="C519" s="23" t="str">
        <f>IF(Data!C519="","",(IF(ISNUMBER(MATCH("*@*.?*",Data!C519,0)),0,1)+IF(COUNTIFS(Data!C$1:'Data'!C519,Data!C519)&gt;1,1,0)))</f>
        <v/>
      </c>
      <c r="D519" s="9" t="str">
        <f>IF(Data!B519="","",IF(ISNUMBER(Data!D519),IF(AND(Data!D519&gt;999999999,Data!D519&lt;=9999999999),IF(COUNTIFS(Data!D$1:'Data'!D519,Data!D519)&lt;=1,0,1),1),1))</f>
        <v/>
      </c>
      <c r="E519" s="9" t="str">
        <f>IF(Data!B519="","",IF(ISNUMBER(MATCH(Data!E519,Data_Val!$A$2:$A$3,0)),0,1))</f>
        <v/>
      </c>
      <c r="F519" s="9" t="str">
        <f ca="1">IF(Data!B519="","",IF(ISNUMBER(Data!F519),IF(AND(Data!F519&gt;(TODAY()-(Data_Val!$H$3*365.25)),Data!F519&lt;=(TODAY()-(Data_Val!$H$2*365.25))),0,1),1))</f>
        <v/>
      </c>
      <c r="G519" s="15" t="str">
        <f>IF(Data!B519="","",IF(AND(Data!G519="",Data!H519&lt;&gt;""),1,IF(Data!#REF!&lt;&gt;"",0,IF(ISNUMBER(MATCH(Data!G519,Data_Val!$C$2:$C$5,0)),0,1))))</f>
        <v/>
      </c>
      <c r="H519" s="15" t="str">
        <f>IF(Data!B519="","",IF(AND(Data!G519&lt;&gt;"",Data!H519=""),1,IF(Data!#REF!&lt;&gt;"",0,IF(Data!G519="",1,IF(ISNUMBER(MATCH(Data!H519,Data_Val!$D$2:$D$35,0)),0,1)))))</f>
        <v/>
      </c>
      <c r="I519" s="15" t="str">
        <f>IF(Data!B519="","",IF(Data!G519&lt;&gt;"",0,IF(ISNUMBER(MATCH(Data!#REF!,Data_Val!$E$2:$E$12,0)),0,1)))</f>
        <v/>
      </c>
      <c r="J519" s="16" t="e">
        <f>IF(OR(Data!B519="",Data!#REF!=""),"",IF(Data!#REF!="",1,0))</f>
        <v>#REF!</v>
      </c>
      <c r="K519" s="16" t="e">
        <f>IF(OR(Data!B519="",Data!#REF!=""),"",IF(Data!#REF!="",1,0))</f>
        <v>#REF!</v>
      </c>
      <c r="L519" s="16" t="e">
        <f>IF(OR(Data!B519="",Data!#REF!=""),"",IF(ISNUMBER(Data!#REF!),IF(AND(Data!#REF!&gt;Data_Val!$G$2,Data!#REF!&lt;=Data_Val!$G$3),0,1),1))</f>
        <v>#REF!</v>
      </c>
      <c r="M519" s="9" t="e">
        <f>IF(OR(Data!B519="",Data!#REF!=""),"",IF(ISNUMBER(MATCH(Data!#REF!,Data_Val!$F$1:$F$38,0)),0,1))</f>
        <v>#REF!</v>
      </c>
      <c r="N519" s="9" t="e">
        <f>IF(OR(Data!B519="",Data!#REF!=""),"",IF(Data!#REF!="",1,0))</f>
        <v>#REF!</v>
      </c>
      <c r="O519" s="17" t="e">
        <f>IF(Data!#REF!="","",IF(Data!#REF!="",1,0))</f>
        <v>#REF!</v>
      </c>
      <c r="P519" s="17" t="e">
        <f>IF(Data!#REF!="","",IF(ISNUMBER(MATCH(Data!#REF!,Data_Val!$A$2:$A$3,0)),0,1))</f>
        <v>#REF!</v>
      </c>
      <c r="Q519" s="25" t="e">
        <f ca="1">IF(Data!#REF!="","",IF(ISNUMBER(Data!#REF!),IF(AND(Data!#REF!&gt;(TODAY()-(Data_Val!$J$3*365.25)),Data!#REF!&lt;=(TODAY()-(Data_Val!$J$2*365.25))),0,1),1))</f>
        <v>#REF!</v>
      </c>
      <c r="R519" s="17" t="e">
        <f>IF(Data!#REF!="","",IF(ISNUMBER(MATCH(Data!#REF!,Data_Val!$B$2:$B$15,0)),0,1))</f>
        <v>#REF!</v>
      </c>
      <c r="S519" s="11" t="str">
        <f>IF(Data!G519="","",IF(Data!G519=Data_Val!$C$2,IF(Data!M519="",0,1),0))</f>
        <v/>
      </c>
      <c r="T519" s="11" t="str">
        <f>IF(Data!M519="","",IF(ISNUMBER(MATCH(Data!N519,Data_Val!$A$2:$A$3,0)),0,1))</f>
        <v/>
      </c>
      <c r="U519" s="11" t="str">
        <f ca="1">IF(Data!M519="","",IF(ISNUMBER(Data!O519),IF(AND(Data!O519&gt;(TODAY()-(Data_Val!$K$3*365.25)),Data!O519&lt;=(TODAY()-(Data_Val!$K$2*365.25))),0,1),1))</f>
        <v/>
      </c>
      <c r="V519" s="12" t="str">
        <f>IF(Data!G519="","",IF(Data!G519=Data_Val!$C$2,IF(Data!P519="",0,1),0))</f>
        <v/>
      </c>
      <c r="W519" s="12" t="str">
        <f>IF(Data!P519="","",IF(ISNUMBER(MATCH(Data!Q519,Data_Val!$A$2:$A$3,0)),0,1))</f>
        <v/>
      </c>
      <c r="X519" s="26" t="str">
        <f ca="1">IF(Data!P519="","",IF(ISNUMBER(Data!R519),IF(AND(Data!R519&gt;(TODAY()-(Data_Val!$L$3*365.25)),Data!R519&lt;=(TODAY()-(Data_Val!$L$2*365.25))),0,1),1))</f>
        <v/>
      </c>
      <c r="Y519" s="13" t="str">
        <f>IF(Data!$G519="","",IF(Data!$G519=Data_Val!$C$2,IF(Data!S519="",0,1),0))</f>
        <v/>
      </c>
      <c r="Z519" s="13" t="str">
        <f>IF(Data!S519="","",IF(ISNUMBER(MATCH(Data!T519,Data_Val!$A$2:$A$3,0)),0,1))</f>
        <v/>
      </c>
      <c r="AA519" s="28" t="str">
        <f ca="1">IF(Data!S519="","",IF(ISNUMBER(Data!U519),IF(AND(Data!U519&gt;(TODAY()-(Data_Val!$L$3*365.25)),Data!U519&lt;=(TODAY()-(Data_Val!$L$2*365.25))),0,1),1))</f>
        <v/>
      </c>
      <c r="AB519" s="11"/>
      <c r="AC519" s="11" t="e">
        <f>IF(Data!#REF!="","",IF(ISNUMBER(MATCH(Data!#REF!,Data_Val!$A$2:$A$3,0)),0,1))</f>
        <v>#REF!</v>
      </c>
      <c r="AD519" s="11" t="e">
        <f ca="1">IF(Data!#REF!="","",IF(ISNUMBER(Data!#REF!),IF(AND(Data!#REF!&gt;(TODAY()-(Data_Val!$L$3*365.25)),Data!#REF!&lt;=(TODAY()-(Data_Val!$L$2*365.25))),0,1),1))</f>
        <v>#REF!</v>
      </c>
      <c r="AE519" s="11" t="e">
        <f>IF(Data!#REF!="","",IF(Data!$G519="",1,IF(ISNUMBER(MATCH(Data!#REF!,Data_Val!$D$2:$D$10,0)),0,1)))</f>
        <v>#REF!</v>
      </c>
      <c r="AF519" s="12"/>
      <c r="AG519" s="12" t="e">
        <f>IF(Data!#REF!="","",IF(ISNUMBER(MATCH(Data!#REF!,Data_Val!$A$2:$A$3,0)),0,1))</f>
        <v>#REF!</v>
      </c>
      <c r="AH519" s="26" t="e">
        <f ca="1">IF(Data!#REF!="","",IF(ISNUMBER(Data!#REF!),IF(AND(Data!#REF!&gt;(TODAY()-(Data_Val!$L$3*365.25)),Data!#REF!&lt;=(TODAY()-(Data_Val!$L$2*365.25))),0,1),1))</f>
        <v>#REF!</v>
      </c>
      <c r="AI519" s="12" t="e">
        <f>IF(Data!#REF!="","",IF(Data!$G519="",1,IF(ISNUMBER(MATCH(Data!#REF!,Data_Val!$D$2:$D$10,0)),0,1)))</f>
        <v>#REF!</v>
      </c>
      <c r="AJ519" s="17"/>
      <c r="AK519" s="17" t="e">
        <f>IF(Data!#REF!="","",IF(ISNUMBER(MATCH(Data!#REF!,Data_Val!$A$2:$A$3,0)),0,1))</f>
        <v>#REF!</v>
      </c>
      <c r="AL519" s="25" t="e">
        <f ca="1">IF(Data!#REF!="","",IF(ISNUMBER(Data!#REF!),IF(AND(Data!#REF!&gt;(TODAY()-(Data_Val!$L$3*365.25)),Data!#REF!&lt;=(TODAY()-(Data_Val!$L$2*365.25))),0,1),1))</f>
        <v>#REF!</v>
      </c>
      <c r="AM519" s="17" t="e">
        <f>IF(Data!#REF!="","",IF(Data!$G519="",1,IF(ISNUMBER(MATCH(Data!#REF!,Data_Val!$D$2:$D$10,0)),0,1)))</f>
        <v>#REF!</v>
      </c>
      <c r="AN519" s="13"/>
      <c r="AO519" s="28" t="e">
        <f ca="1">IF(Data!#REF!="","",IF(ISNUMBER(Data!#REF!),IF(AND(Data!#REF!&gt;(TODAY()-(Data_Val!$I$3*365.25)),Data!#REF!&lt;=(TODAY()-(Data_Val!$I$2*365.25))),0,1),1))</f>
        <v>#REF!</v>
      </c>
      <c r="AP519" s="13" t="e">
        <f>IF(Data!#REF!="","",IF(Data!$G519="",1,IF(ISNUMBER(MATCH(Data!#REF!,Data_Val!$D$2:$D$10,0)),0,1)))</f>
        <v>#REF!</v>
      </c>
      <c r="AQ519" s="17"/>
      <c r="AR519" s="30" t="e">
        <f ca="1">IF(Data!#REF!="","",IF(ISNUMBER(Data!#REF!),IF(AND(Data!#REF!&gt;(TODAY()-(Data_Val!$I$3*365.25)),Data!#REF!&lt;=(TODAY()-(Data_Val!$I$2*365.25))),0,1),1))</f>
        <v>#REF!</v>
      </c>
      <c r="AS519" s="31" t="e">
        <f>IF(Data!#REF!="","",IF(Data!$G519="",1,IF(ISNUMBER(MATCH(Data!#REF!,Data_Val!$D$2:$D$10,0)),0,1)))</f>
        <v>#REF!</v>
      </c>
      <c r="AT519" s="11"/>
      <c r="AU519" s="11" t="e">
        <f ca="1">IF(Data!#REF!="","",IF(ISNUMBER(Data!#REF!),IF(AND(Data!#REF!&gt;(TODAY()-(Data_Val!$I$3*365.25)),Data!#REF!&lt;=(TODAY()-(Data_Val!$I$2*365.25))),0,1),1))</f>
        <v>#REF!</v>
      </c>
      <c r="AV519" s="11" t="e">
        <f>IF(Data!#REF!="","",IF(Data!$G519="",1,IF(ISNUMBER(MATCH(Data!#REF!,Data_Val!$D$2:$D$10,0)),0,1)))</f>
        <v>#REF!</v>
      </c>
      <c r="AW519" s="12"/>
      <c r="AX519" s="26" t="e">
        <f ca="1">IF(Data!#REF!="","",IF(ISNUMBER(Data!#REF!),IF(AND(Data!#REF!&gt;(TODAY()-(Data_Val!$I$3*365.25)),Data!#REF!&lt;=(TODAY()-(Data_Val!$I$2*365.25))),0,1),1))</f>
        <v>#REF!</v>
      </c>
      <c r="AY519" s="12" t="e">
        <f>IF(Data!#REF!="","",IF(Data!$G519="",1,IF(ISNUMBER(MATCH(Data!#REF!,Data_Val!$D$2:$D$10,0)),0,1)))</f>
        <v>#REF!</v>
      </c>
      <c r="AZ519" s="11"/>
      <c r="BA519" s="19" t="e">
        <f ca="1">IF(Data!#REF!="","",IF(ISNUMBER(Data!#REF!),IF(AND(Data!#REF!&gt;(TODAY()-(Data_Val!$M$3*365.25)),Data!#REF!&lt;=(TODAY()-(Data_Val!$M$2*365.25))),0,1),1))</f>
        <v>#REF!</v>
      </c>
      <c r="BB519" s="11" t="e">
        <f>IF(Data!#REF!="","",IF(Data!$G519="",1,IF(ISNUMBER(MATCH(Data!#REF!,Data_Val!$D$2:$D$10,0)),0,1)))</f>
        <v>#REF!</v>
      </c>
      <c r="BC519" s="12"/>
      <c r="BD519" s="20" t="e">
        <f ca="1">IF(Data!#REF!="","",IF(ISNUMBER(Data!#REF!),IF(AND(Data!#REF!&gt;(TODAY()-(Data_Val!$M$3*365.25)),Data!#REF!&lt;=(TODAY()-(Data_Val!$M$2*365.25))),0,1),1))</f>
        <v>#REF!</v>
      </c>
      <c r="BE519" s="12" t="e">
        <f>IF(Data!#REF!="","",IF(Data!$G519="",1,IF(ISNUMBER(MATCH(Data!#REF!,Data_Val!$D$2:$D$10,0)),0,1)))</f>
        <v>#REF!</v>
      </c>
      <c r="BF519" s="17"/>
      <c r="BG519" s="18" t="e">
        <f ca="1">IF(Data!#REF!="","",IF(ISNUMBER(Data!#REF!),IF(AND(Data!#REF!&gt;(TODAY()-(Data_Val!$M$3*365.25)),Data!#REF!&lt;=(TODAY()-(Data_Val!$M$2*365.25))),0,1),1))</f>
        <v>#REF!</v>
      </c>
      <c r="BH519" s="29" t="e">
        <f>IF(Data!#REF!="","",IF(Data!$G519="",1,IF(ISNUMBER(MATCH(Data!#REF!,Data_Val!$D$2:$D$10,0)),0,1)))</f>
        <v>#REF!</v>
      </c>
      <c r="BI519" s="13"/>
      <c r="BJ519" s="21" t="e">
        <f ca="1">IF(Data!#REF!="","",IF(ISNUMBER(Data!#REF!),IF(AND(Data!#REF!&gt;(TODAY()-(Data_Val!$M$3*365.25)),Data!#REF!&lt;=(TODAY()-(Data_Val!$M$2*365.25))),0,1),1))</f>
        <v>#REF!</v>
      </c>
      <c r="BK519" s="13" t="e">
        <f>IF(Data!#REF!="","",IF(Data!$G519="",1,IF(ISNUMBER(MATCH(Data!#REF!,Data_Val!$D$2:$D$10,0)),0,1)))</f>
        <v>#REF!</v>
      </c>
    </row>
    <row r="520" spans="1:63" x14ac:dyDescent="0.25">
      <c r="A520" s="9" t="str">
        <f>IF(Data!B520="","",IF(COUNTIFS(Data!A$1:'Data'!A520,Data!A520)&lt;=1,0,1))</f>
        <v/>
      </c>
      <c r="B520" s="9"/>
      <c r="C520" s="23" t="str">
        <f>IF(Data!C520="","",(IF(ISNUMBER(MATCH("*@*.?*",Data!C520,0)),0,1)+IF(COUNTIFS(Data!C$1:'Data'!C520,Data!C520)&gt;1,1,0)))</f>
        <v/>
      </c>
      <c r="D520" s="9" t="str">
        <f>IF(Data!B520="","",IF(ISNUMBER(Data!D520),IF(AND(Data!D520&gt;999999999,Data!D520&lt;=9999999999),IF(COUNTIFS(Data!D$1:'Data'!D520,Data!D520)&lt;=1,0,1),1),1))</f>
        <v/>
      </c>
      <c r="E520" s="9" t="str">
        <f>IF(Data!B520="","",IF(ISNUMBER(MATCH(Data!E520,Data_Val!$A$2:$A$3,0)),0,1))</f>
        <v/>
      </c>
      <c r="F520" s="9" t="str">
        <f ca="1">IF(Data!B520="","",IF(ISNUMBER(Data!F520),IF(AND(Data!F520&gt;(TODAY()-(Data_Val!$H$3*365.25)),Data!F520&lt;=(TODAY()-(Data_Val!$H$2*365.25))),0,1),1))</f>
        <v/>
      </c>
      <c r="G520" s="15" t="str">
        <f>IF(Data!B520="","",IF(AND(Data!G520="",Data!H520&lt;&gt;""),1,IF(Data!#REF!&lt;&gt;"",0,IF(ISNUMBER(MATCH(Data!G520,Data_Val!$C$2:$C$5,0)),0,1))))</f>
        <v/>
      </c>
      <c r="H520" s="15" t="str">
        <f>IF(Data!B520="","",IF(AND(Data!G520&lt;&gt;"",Data!H520=""),1,IF(Data!#REF!&lt;&gt;"",0,IF(Data!G520="",1,IF(ISNUMBER(MATCH(Data!H520,Data_Val!$D$2:$D$35,0)),0,1)))))</f>
        <v/>
      </c>
      <c r="I520" s="15" t="str">
        <f>IF(Data!B520="","",IF(Data!G520&lt;&gt;"",0,IF(ISNUMBER(MATCH(Data!#REF!,Data_Val!$E$2:$E$12,0)),0,1)))</f>
        <v/>
      </c>
      <c r="J520" s="16" t="e">
        <f>IF(OR(Data!B520="",Data!#REF!=""),"",IF(Data!#REF!="",1,0))</f>
        <v>#REF!</v>
      </c>
      <c r="K520" s="16" t="e">
        <f>IF(OR(Data!B520="",Data!#REF!=""),"",IF(Data!#REF!="",1,0))</f>
        <v>#REF!</v>
      </c>
      <c r="L520" s="16" t="e">
        <f>IF(OR(Data!B520="",Data!#REF!=""),"",IF(ISNUMBER(Data!#REF!),IF(AND(Data!#REF!&gt;Data_Val!$G$2,Data!#REF!&lt;=Data_Val!$G$3),0,1),1))</f>
        <v>#REF!</v>
      </c>
      <c r="M520" s="9" t="e">
        <f>IF(OR(Data!B520="",Data!#REF!=""),"",IF(ISNUMBER(MATCH(Data!#REF!,Data_Val!$F$1:$F$38,0)),0,1))</f>
        <v>#REF!</v>
      </c>
      <c r="N520" s="9" t="e">
        <f>IF(OR(Data!B520="",Data!#REF!=""),"",IF(Data!#REF!="",1,0))</f>
        <v>#REF!</v>
      </c>
      <c r="O520" s="17" t="e">
        <f>IF(Data!#REF!="","",IF(Data!#REF!="",1,0))</f>
        <v>#REF!</v>
      </c>
      <c r="P520" s="17" t="e">
        <f>IF(Data!#REF!="","",IF(ISNUMBER(MATCH(Data!#REF!,Data_Val!$A$2:$A$3,0)),0,1))</f>
        <v>#REF!</v>
      </c>
      <c r="Q520" s="25" t="e">
        <f ca="1">IF(Data!#REF!="","",IF(ISNUMBER(Data!#REF!),IF(AND(Data!#REF!&gt;(TODAY()-(Data_Val!$J$3*365.25)),Data!#REF!&lt;=(TODAY()-(Data_Val!$J$2*365.25))),0,1),1))</f>
        <v>#REF!</v>
      </c>
      <c r="R520" s="17" t="e">
        <f>IF(Data!#REF!="","",IF(ISNUMBER(MATCH(Data!#REF!,Data_Val!$B$2:$B$15,0)),0,1))</f>
        <v>#REF!</v>
      </c>
      <c r="S520" s="11" t="str">
        <f>IF(Data!G520="","",IF(Data!G520=Data_Val!$C$2,IF(Data!M520="",0,1),0))</f>
        <v/>
      </c>
      <c r="T520" s="11" t="str">
        <f>IF(Data!M520="","",IF(ISNUMBER(MATCH(Data!N520,Data_Val!$A$2:$A$3,0)),0,1))</f>
        <v/>
      </c>
      <c r="U520" s="11" t="str">
        <f ca="1">IF(Data!M520="","",IF(ISNUMBER(Data!O520),IF(AND(Data!O520&gt;(TODAY()-(Data_Val!$K$3*365.25)),Data!O520&lt;=(TODAY()-(Data_Val!$K$2*365.25))),0,1),1))</f>
        <v/>
      </c>
      <c r="V520" s="12" t="str">
        <f>IF(Data!G520="","",IF(Data!G520=Data_Val!$C$2,IF(Data!P520="",0,1),0))</f>
        <v/>
      </c>
      <c r="W520" s="12" t="str">
        <f>IF(Data!P520="","",IF(ISNUMBER(MATCH(Data!Q520,Data_Val!$A$2:$A$3,0)),0,1))</f>
        <v/>
      </c>
      <c r="X520" s="26" t="str">
        <f ca="1">IF(Data!P520="","",IF(ISNUMBER(Data!R520),IF(AND(Data!R520&gt;(TODAY()-(Data_Val!$L$3*365.25)),Data!R520&lt;=(TODAY()-(Data_Val!$L$2*365.25))),0,1),1))</f>
        <v/>
      </c>
      <c r="Y520" s="13" t="str">
        <f>IF(Data!$G520="","",IF(Data!$G520=Data_Val!$C$2,IF(Data!S520="",0,1),0))</f>
        <v/>
      </c>
      <c r="Z520" s="13" t="str">
        <f>IF(Data!S520="","",IF(ISNUMBER(MATCH(Data!T520,Data_Val!$A$2:$A$3,0)),0,1))</f>
        <v/>
      </c>
      <c r="AA520" s="28" t="str">
        <f ca="1">IF(Data!S520="","",IF(ISNUMBER(Data!U520),IF(AND(Data!U520&gt;(TODAY()-(Data_Val!$L$3*365.25)),Data!U520&lt;=(TODAY()-(Data_Val!$L$2*365.25))),0,1),1))</f>
        <v/>
      </c>
      <c r="AB520" s="11"/>
      <c r="AC520" s="11" t="e">
        <f>IF(Data!#REF!="","",IF(ISNUMBER(MATCH(Data!#REF!,Data_Val!$A$2:$A$3,0)),0,1))</f>
        <v>#REF!</v>
      </c>
      <c r="AD520" s="11" t="e">
        <f ca="1">IF(Data!#REF!="","",IF(ISNUMBER(Data!#REF!),IF(AND(Data!#REF!&gt;(TODAY()-(Data_Val!$L$3*365.25)),Data!#REF!&lt;=(TODAY()-(Data_Val!$L$2*365.25))),0,1),1))</f>
        <v>#REF!</v>
      </c>
      <c r="AE520" s="11" t="e">
        <f>IF(Data!#REF!="","",IF(Data!$G520="",1,IF(ISNUMBER(MATCH(Data!#REF!,Data_Val!$D$2:$D$10,0)),0,1)))</f>
        <v>#REF!</v>
      </c>
      <c r="AF520" s="12"/>
      <c r="AG520" s="12" t="e">
        <f>IF(Data!#REF!="","",IF(ISNUMBER(MATCH(Data!#REF!,Data_Val!$A$2:$A$3,0)),0,1))</f>
        <v>#REF!</v>
      </c>
      <c r="AH520" s="26" t="e">
        <f ca="1">IF(Data!#REF!="","",IF(ISNUMBER(Data!#REF!),IF(AND(Data!#REF!&gt;(TODAY()-(Data_Val!$L$3*365.25)),Data!#REF!&lt;=(TODAY()-(Data_Val!$L$2*365.25))),0,1),1))</f>
        <v>#REF!</v>
      </c>
      <c r="AI520" s="12" t="e">
        <f>IF(Data!#REF!="","",IF(Data!$G520="",1,IF(ISNUMBER(MATCH(Data!#REF!,Data_Val!$D$2:$D$10,0)),0,1)))</f>
        <v>#REF!</v>
      </c>
      <c r="AJ520" s="17"/>
      <c r="AK520" s="17" t="e">
        <f>IF(Data!#REF!="","",IF(ISNUMBER(MATCH(Data!#REF!,Data_Val!$A$2:$A$3,0)),0,1))</f>
        <v>#REF!</v>
      </c>
      <c r="AL520" s="25" t="e">
        <f ca="1">IF(Data!#REF!="","",IF(ISNUMBER(Data!#REF!),IF(AND(Data!#REF!&gt;(TODAY()-(Data_Val!$L$3*365.25)),Data!#REF!&lt;=(TODAY()-(Data_Val!$L$2*365.25))),0,1),1))</f>
        <v>#REF!</v>
      </c>
      <c r="AM520" s="17" t="e">
        <f>IF(Data!#REF!="","",IF(Data!$G520="",1,IF(ISNUMBER(MATCH(Data!#REF!,Data_Val!$D$2:$D$10,0)),0,1)))</f>
        <v>#REF!</v>
      </c>
      <c r="AN520" s="13"/>
      <c r="AO520" s="28" t="e">
        <f ca="1">IF(Data!#REF!="","",IF(ISNUMBER(Data!#REF!),IF(AND(Data!#REF!&gt;(TODAY()-(Data_Val!$I$3*365.25)),Data!#REF!&lt;=(TODAY()-(Data_Val!$I$2*365.25))),0,1),1))</f>
        <v>#REF!</v>
      </c>
      <c r="AP520" s="13" t="e">
        <f>IF(Data!#REF!="","",IF(Data!$G520="",1,IF(ISNUMBER(MATCH(Data!#REF!,Data_Val!$D$2:$D$10,0)),0,1)))</f>
        <v>#REF!</v>
      </c>
      <c r="AQ520" s="17"/>
      <c r="AR520" s="30" t="e">
        <f ca="1">IF(Data!#REF!="","",IF(ISNUMBER(Data!#REF!),IF(AND(Data!#REF!&gt;(TODAY()-(Data_Val!$I$3*365.25)),Data!#REF!&lt;=(TODAY()-(Data_Val!$I$2*365.25))),0,1),1))</f>
        <v>#REF!</v>
      </c>
      <c r="AS520" s="31" t="e">
        <f>IF(Data!#REF!="","",IF(Data!$G520="",1,IF(ISNUMBER(MATCH(Data!#REF!,Data_Val!$D$2:$D$10,0)),0,1)))</f>
        <v>#REF!</v>
      </c>
      <c r="AT520" s="11"/>
      <c r="AU520" s="11" t="e">
        <f ca="1">IF(Data!#REF!="","",IF(ISNUMBER(Data!#REF!),IF(AND(Data!#REF!&gt;(TODAY()-(Data_Val!$I$3*365.25)),Data!#REF!&lt;=(TODAY()-(Data_Val!$I$2*365.25))),0,1),1))</f>
        <v>#REF!</v>
      </c>
      <c r="AV520" s="11" t="e">
        <f>IF(Data!#REF!="","",IF(Data!$G520="",1,IF(ISNUMBER(MATCH(Data!#REF!,Data_Val!$D$2:$D$10,0)),0,1)))</f>
        <v>#REF!</v>
      </c>
      <c r="AW520" s="12"/>
      <c r="AX520" s="26" t="e">
        <f ca="1">IF(Data!#REF!="","",IF(ISNUMBER(Data!#REF!),IF(AND(Data!#REF!&gt;(TODAY()-(Data_Val!$I$3*365.25)),Data!#REF!&lt;=(TODAY()-(Data_Val!$I$2*365.25))),0,1),1))</f>
        <v>#REF!</v>
      </c>
      <c r="AY520" s="12" t="e">
        <f>IF(Data!#REF!="","",IF(Data!$G520="",1,IF(ISNUMBER(MATCH(Data!#REF!,Data_Val!$D$2:$D$10,0)),0,1)))</f>
        <v>#REF!</v>
      </c>
      <c r="AZ520" s="11"/>
      <c r="BA520" s="19" t="e">
        <f ca="1">IF(Data!#REF!="","",IF(ISNUMBER(Data!#REF!),IF(AND(Data!#REF!&gt;(TODAY()-(Data_Val!$M$3*365.25)),Data!#REF!&lt;=(TODAY()-(Data_Val!$M$2*365.25))),0,1),1))</f>
        <v>#REF!</v>
      </c>
      <c r="BB520" s="11" t="e">
        <f>IF(Data!#REF!="","",IF(Data!$G520="",1,IF(ISNUMBER(MATCH(Data!#REF!,Data_Val!$D$2:$D$10,0)),0,1)))</f>
        <v>#REF!</v>
      </c>
      <c r="BC520" s="12"/>
      <c r="BD520" s="20" t="e">
        <f ca="1">IF(Data!#REF!="","",IF(ISNUMBER(Data!#REF!),IF(AND(Data!#REF!&gt;(TODAY()-(Data_Val!$M$3*365.25)),Data!#REF!&lt;=(TODAY()-(Data_Val!$M$2*365.25))),0,1),1))</f>
        <v>#REF!</v>
      </c>
      <c r="BE520" s="12" t="e">
        <f>IF(Data!#REF!="","",IF(Data!$G520="",1,IF(ISNUMBER(MATCH(Data!#REF!,Data_Val!$D$2:$D$10,0)),0,1)))</f>
        <v>#REF!</v>
      </c>
      <c r="BF520" s="17"/>
      <c r="BG520" s="18" t="e">
        <f ca="1">IF(Data!#REF!="","",IF(ISNUMBER(Data!#REF!),IF(AND(Data!#REF!&gt;(TODAY()-(Data_Val!$M$3*365.25)),Data!#REF!&lt;=(TODAY()-(Data_Val!$M$2*365.25))),0,1),1))</f>
        <v>#REF!</v>
      </c>
      <c r="BH520" s="29" t="e">
        <f>IF(Data!#REF!="","",IF(Data!$G520="",1,IF(ISNUMBER(MATCH(Data!#REF!,Data_Val!$D$2:$D$10,0)),0,1)))</f>
        <v>#REF!</v>
      </c>
      <c r="BI520" s="13"/>
      <c r="BJ520" s="21" t="e">
        <f ca="1">IF(Data!#REF!="","",IF(ISNUMBER(Data!#REF!),IF(AND(Data!#REF!&gt;(TODAY()-(Data_Val!$M$3*365.25)),Data!#REF!&lt;=(TODAY()-(Data_Val!$M$2*365.25))),0,1),1))</f>
        <v>#REF!</v>
      </c>
      <c r="BK520" s="13" t="e">
        <f>IF(Data!#REF!="","",IF(Data!$G520="",1,IF(ISNUMBER(MATCH(Data!#REF!,Data_Val!$D$2:$D$10,0)),0,1)))</f>
        <v>#REF!</v>
      </c>
    </row>
    <row r="521" spans="1:63" x14ac:dyDescent="0.25">
      <c r="A521" s="9" t="str">
        <f>IF(Data!B521="","",IF(COUNTIFS(Data!A$1:'Data'!A521,Data!A521)&lt;=1,0,1))</f>
        <v/>
      </c>
      <c r="B521" s="9"/>
      <c r="C521" s="23" t="str">
        <f>IF(Data!C521="","",(IF(ISNUMBER(MATCH("*@*.?*",Data!C521,0)),0,1)+IF(COUNTIFS(Data!C$1:'Data'!C521,Data!C521)&gt;1,1,0)))</f>
        <v/>
      </c>
      <c r="D521" s="9" t="str">
        <f>IF(Data!B521="","",IF(ISNUMBER(Data!D521),IF(AND(Data!D521&gt;999999999,Data!D521&lt;=9999999999),IF(COUNTIFS(Data!D$1:'Data'!D521,Data!D521)&lt;=1,0,1),1),1))</f>
        <v/>
      </c>
      <c r="E521" s="9" t="str">
        <f>IF(Data!B521="","",IF(ISNUMBER(MATCH(Data!E521,Data_Val!$A$2:$A$3,0)),0,1))</f>
        <v/>
      </c>
      <c r="F521" s="9" t="str">
        <f ca="1">IF(Data!B521="","",IF(ISNUMBER(Data!F521),IF(AND(Data!F521&gt;(TODAY()-(Data_Val!$H$3*365.25)),Data!F521&lt;=(TODAY()-(Data_Val!$H$2*365.25))),0,1),1))</f>
        <v/>
      </c>
      <c r="G521" s="15" t="str">
        <f>IF(Data!B521="","",IF(AND(Data!G521="",Data!H521&lt;&gt;""),1,IF(Data!#REF!&lt;&gt;"",0,IF(ISNUMBER(MATCH(Data!G521,Data_Val!$C$2:$C$5,0)),0,1))))</f>
        <v/>
      </c>
      <c r="H521" s="15" t="str">
        <f>IF(Data!B521="","",IF(AND(Data!G521&lt;&gt;"",Data!H521=""),1,IF(Data!#REF!&lt;&gt;"",0,IF(Data!G521="",1,IF(ISNUMBER(MATCH(Data!H521,Data_Val!$D$2:$D$35,0)),0,1)))))</f>
        <v/>
      </c>
      <c r="I521" s="15" t="str">
        <f>IF(Data!B521="","",IF(Data!G521&lt;&gt;"",0,IF(ISNUMBER(MATCH(Data!#REF!,Data_Val!$E$2:$E$12,0)),0,1)))</f>
        <v/>
      </c>
      <c r="J521" s="16" t="e">
        <f>IF(OR(Data!B521="",Data!#REF!=""),"",IF(Data!#REF!="",1,0))</f>
        <v>#REF!</v>
      </c>
      <c r="K521" s="16" t="e">
        <f>IF(OR(Data!B521="",Data!#REF!=""),"",IF(Data!#REF!="",1,0))</f>
        <v>#REF!</v>
      </c>
      <c r="L521" s="16" t="e">
        <f>IF(OR(Data!B521="",Data!#REF!=""),"",IF(ISNUMBER(Data!#REF!),IF(AND(Data!#REF!&gt;Data_Val!$G$2,Data!#REF!&lt;=Data_Val!$G$3),0,1),1))</f>
        <v>#REF!</v>
      </c>
      <c r="M521" s="9" t="e">
        <f>IF(OR(Data!B521="",Data!#REF!=""),"",IF(ISNUMBER(MATCH(Data!#REF!,Data_Val!$F$1:$F$38,0)),0,1))</f>
        <v>#REF!</v>
      </c>
      <c r="N521" s="9" t="e">
        <f>IF(OR(Data!B521="",Data!#REF!=""),"",IF(Data!#REF!="",1,0))</f>
        <v>#REF!</v>
      </c>
      <c r="O521" s="17" t="e">
        <f>IF(Data!#REF!="","",IF(Data!#REF!="",1,0))</f>
        <v>#REF!</v>
      </c>
      <c r="P521" s="17" t="e">
        <f>IF(Data!#REF!="","",IF(ISNUMBER(MATCH(Data!#REF!,Data_Val!$A$2:$A$3,0)),0,1))</f>
        <v>#REF!</v>
      </c>
      <c r="Q521" s="25" t="e">
        <f ca="1">IF(Data!#REF!="","",IF(ISNUMBER(Data!#REF!),IF(AND(Data!#REF!&gt;(TODAY()-(Data_Val!$J$3*365.25)),Data!#REF!&lt;=(TODAY()-(Data_Val!$J$2*365.25))),0,1),1))</f>
        <v>#REF!</v>
      </c>
      <c r="R521" s="17" t="e">
        <f>IF(Data!#REF!="","",IF(ISNUMBER(MATCH(Data!#REF!,Data_Val!$B$2:$B$15,0)),0,1))</f>
        <v>#REF!</v>
      </c>
      <c r="S521" s="11" t="str">
        <f>IF(Data!G521="","",IF(Data!G521=Data_Val!$C$2,IF(Data!M521="",0,1),0))</f>
        <v/>
      </c>
      <c r="T521" s="11" t="str">
        <f>IF(Data!M521="","",IF(ISNUMBER(MATCH(Data!N521,Data_Val!$A$2:$A$3,0)),0,1))</f>
        <v/>
      </c>
      <c r="U521" s="11" t="str">
        <f ca="1">IF(Data!M521="","",IF(ISNUMBER(Data!O521),IF(AND(Data!O521&gt;(TODAY()-(Data_Val!$K$3*365.25)),Data!O521&lt;=(TODAY()-(Data_Val!$K$2*365.25))),0,1),1))</f>
        <v/>
      </c>
      <c r="V521" s="12" t="str">
        <f>IF(Data!G521="","",IF(Data!G521=Data_Val!$C$2,IF(Data!P521="",0,1),0))</f>
        <v/>
      </c>
      <c r="W521" s="12" t="str">
        <f>IF(Data!P521="","",IF(ISNUMBER(MATCH(Data!Q521,Data_Val!$A$2:$A$3,0)),0,1))</f>
        <v/>
      </c>
      <c r="X521" s="26" t="str">
        <f ca="1">IF(Data!P521="","",IF(ISNUMBER(Data!R521),IF(AND(Data!R521&gt;(TODAY()-(Data_Val!$L$3*365.25)),Data!R521&lt;=(TODAY()-(Data_Val!$L$2*365.25))),0,1),1))</f>
        <v/>
      </c>
      <c r="Y521" s="13" t="str">
        <f>IF(Data!$G521="","",IF(Data!$G521=Data_Val!$C$2,IF(Data!S521="",0,1),0))</f>
        <v/>
      </c>
      <c r="Z521" s="13" t="str">
        <f>IF(Data!S521="","",IF(ISNUMBER(MATCH(Data!T521,Data_Val!$A$2:$A$3,0)),0,1))</f>
        <v/>
      </c>
      <c r="AA521" s="28" t="str">
        <f ca="1">IF(Data!S521="","",IF(ISNUMBER(Data!U521),IF(AND(Data!U521&gt;(TODAY()-(Data_Val!$L$3*365.25)),Data!U521&lt;=(TODAY()-(Data_Val!$L$2*365.25))),0,1),1))</f>
        <v/>
      </c>
      <c r="AB521" s="11"/>
      <c r="AC521" s="11" t="e">
        <f>IF(Data!#REF!="","",IF(ISNUMBER(MATCH(Data!#REF!,Data_Val!$A$2:$A$3,0)),0,1))</f>
        <v>#REF!</v>
      </c>
      <c r="AD521" s="11" t="e">
        <f ca="1">IF(Data!#REF!="","",IF(ISNUMBER(Data!#REF!),IF(AND(Data!#REF!&gt;(TODAY()-(Data_Val!$L$3*365.25)),Data!#REF!&lt;=(TODAY()-(Data_Val!$L$2*365.25))),0,1),1))</f>
        <v>#REF!</v>
      </c>
      <c r="AE521" s="11" t="e">
        <f>IF(Data!#REF!="","",IF(Data!$G521="",1,IF(ISNUMBER(MATCH(Data!#REF!,Data_Val!$D$2:$D$10,0)),0,1)))</f>
        <v>#REF!</v>
      </c>
      <c r="AF521" s="12"/>
      <c r="AG521" s="12" t="e">
        <f>IF(Data!#REF!="","",IF(ISNUMBER(MATCH(Data!#REF!,Data_Val!$A$2:$A$3,0)),0,1))</f>
        <v>#REF!</v>
      </c>
      <c r="AH521" s="26" t="e">
        <f ca="1">IF(Data!#REF!="","",IF(ISNUMBER(Data!#REF!),IF(AND(Data!#REF!&gt;(TODAY()-(Data_Val!$L$3*365.25)),Data!#REF!&lt;=(TODAY()-(Data_Val!$L$2*365.25))),0,1),1))</f>
        <v>#REF!</v>
      </c>
      <c r="AI521" s="12" t="e">
        <f>IF(Data!#REF!="","",IF(Data!$G521="",1,IF(ISNUMBER(MATCH(Data!#REF!,Data_Val!$D$2:$D$10,0)),0,1)))</f>
        <v>#REF!</v>
      </c>
      <c r="AJ521" s="17"/>
      <c r="AK521" s="17" t="e">
        <f>IF(Data!#REF!="","",IF(ISNUMBER(MATCH(Data!#REF!,Data_Val!$A$2:$A$3,0)),0,1))</f>
        <v>#REF!</v>
      </c>
      <c r="AL521" s="25" t="e">
        <f ca="1">IF(Data!#REF!="","",IF(ISNUMBER(Data!#REF!),IF(AND(Data!#REF!&gt;(TODAY()-(Data_Val!$L$3*365.25)),Data!#REF!&lt;=(TODAY()-(Data_Val!$L$2*365.25))),0,1),1))</f>
        <v>#REF!</v>
      </c>
      <c r="AM521" s="17" t="e">
        <f>IF(Data!#REF!="","",IF(Data!$G521="",1,IF(ISNUMBER(MATCH(Data!#REF!,Data_Val!$D$2:$D$10,0)),0,1)))</f>
        <v>#REF!</v>
      </c>
      <c r="AN521" s="13"/>
      <c r="AO521" s="28" t="e">
        <f ca="1">IF(Data!#REF!="","",IF(ISNUMBER(Data!#REF!),IF(AND(Data!#REF!&gt;(TODAY()-(Data_Val!$I$3*365.25)),Data!#REF!&lt;=(TODAY()-(Data_Val!$I$2*365.25))),0,1),1))</f>
        <v>#REF!</v>
      </c>
      <c r="AP521" s="13" t="e">
        <f>IF(Data!#REF!="","",IF(Data!$G521="",1,IF(ISNUMBER(MATCH(Data!#REF!,Data_Val!$D$2:$D$10,0)),0,1)))</f>
        <v>#REF!</v>
      </c>
      <c r="AQ521" s="17"/>
      <c r="AR521" s="30" t="e">
        <f ca="1">IF(Data!#REF!="","",IF(ISNUMBER(Data!#REF!),IF(AND(Data!#REF!&gt;(TODAY()-(Data_Val!$I$3*365.25)),Data!#REF!&lt;=(TODAY()-(Data_Val!$I$2*365.25))),0,1),1))</f>
        <v>#REF!</v>
      </c>
      <c r="AS521" s="31" t="e">
        <f>IF(Data!#REF!="","",IF(Data!$G521="",1,IF(ISNUMBER(MATCH(Data!#REF!,Data_Val!$D$2:$D$10,0)),0,1)))</f>
        <v>#REF!</v>
      </c>
      <c r="AT521" s="11"/>
      <c r="AU521" s="11" t="e">
        <f ca="1">IF(Data!#REF!="","",IF(ISNUMBER(Data!#REF!),IF(AND(Data!#REF!&gt;(TODAY()-(Data_Val!$I$3*365.25)),Data!#REF!&lt;=(TODAY()-(Data_Val!$I$2*365.25))),0,1),1))</f>
        <v>#REF!</v>
      </c>
      <c r="AV521" s="11" t="e">
        <f>IF(Data!#REF!="","",IF(Data!$G521="",1,IF(ISNUMBER(MATCH(Data!#REF!,Data_Val!$D$2:$D$10,0)),0,1)))</f>
        <v>#REF!</v>
      </c>
      <c r="AW521" s="12"/>
      <c r="AX521" s="26" t="e">
        <f ca="1">IF(Data!#REF!="","",IF(ISNUMBER(Data!#REF!),IF(AND(Data!#REF!&gt;(TODAY()-(Data_Val!$I$3*365.25)),Data!#REF!&lt;=(TODAY()-(Data_Val!$I$2*365.25))),0,1),1))</f>
        <v>#REF!</v>
      </c>
      <c r="AY521" s="12" t="e">
        <f>IF(Data!#REF!="","",IF(Data!$G521="",1,IF(ISNUMBER(MATCH(Data!#REF!,Data_Val!$D$2:$D$10,0)),0,1)))</f>
        <v>#REF!</v>
      </c>
      <c r="AZ521" s="11"/>
      <c r="BA521" s="19" t="e">
        <f ca="1">IF(Data!#REF!="","",IF(ISNUMBER(Data!#REF!),IF(AND(Data!#REF!&gt;(TODAY()-(Data_Val!$M$3*365.25)),Data!#REF!&lt;=(TODAY()-(Data_Val!$M$2*365.25))),0,1),1))</f>
        <v>#REF!</v>
      </c>
      <c r="BB521" s="11" t="e">
        <f>IF(Data!#REF!="","",IF(Data!$G521="",1,IF(ISNUMBER(MATCH(Data!#REF!,Data_Val!$D$2:$D$10,0)),0,1)))</f>
        <v>#REF!</v>
      </c>
      <c r="BC521" s="12"/>
      <c r="BD521" s="20" t="e">
        <f ca="1">IF(Data!#REF!="","",IF(ISNUMBER(Data!#REF!),IF(AND(Data!#REF!&gt;(TODAY()-(Data_Val!$M$3*365.25)),Data!#REF!&lt;=(TODAY()-(Data_Val!$M$2*365.25))),0,1),1))</f>
        <v>#REF!</v>
      </c>
      <c r="BE521" s="12" t="e">
        <f>IF(Data!#REF!="","",IF(Data!$G521="",1,IF(ISNUMBER(MATCH(Data!#REF!,Data_Val!$D$2:$D$10,0)),0,1)))</f>
        <v>#REF!</v>
      </c>
      <c r="BF521" s="17"/>
      <c r="BG521" s="18" t="e">
        <f ca="1">IF(Data!#REF!="","",IF(ISNUMBER(Data!#REF!),IF(AND(Data!#REF!&gt;(TODAY()-(Data_Val!$M$3*365.25)),Data!#REF!&lt;=(TODAY()-(Data_Val!$M$2*365.25))),0,1),1))</f>
        <v>#REF!</v>
      </c>
      <c r="BH521" s="29" t="e">
        <f>IF(Data!#REF!="","",IF(Data!$G521="",1,IF(ISNUMBER(MATCH(Data!#REF!,Data_Val!$D$2:$D$10,0)),0,1)))</f>
        <v>#REF!</v>
      </c>
      <c r="BI521" s="13"/>
      <c r="BJ521" s="21" t="e">
        <f ca="1">IF(Data!#REF!="","",IF(ISNUMBER(Data!#REF!),IF(AND(Data!#REF!&gt;(TODAY()-(Data_Val!$M$3*365.25)),Data!#REF!&lt;=(TODAY()-(Data_Val!$M$2*365.25))),0,1),1))</f>
        <v>#REF!</v>
      </c>
      <c r="BK521" s="13" t="e">
        <f>IF(Data!#REF!="","",IF(Data!$G521="",1,IF(ISNUMBER(MATCH(Data!#REF!,Data_Val!$D$2:$D$10,0)),0,1)))</f>
        <v>#REF!</v>
      </c>
    </row>
    <row r="522" spans="1:63" x14ac:dyDescent="0.25">
      <c r="A522" s="9" t="str">
        <f>IF(Data!B522="","",IF(COUNTIFS(Data!A$1:'Data'!A522,Data!A522)&lt;=1,0,1))</f>
        <v/>
      </c>
      <c r="B522" s="9"/>
      <c r="C522" s="23" t="str">
        <f>IF(Data!C522="","",(IF(ISNUMBER(MATCH("*@*.?*",Data!C522,0)),0,1)+IF(COUNTIFS(Data!C$1:'Data'!C522,Data!C522)&gt;1,1,0)))</f>
        <v/>
      </c>
      <c r="D522" s="9" t="str">
        <f>IF(Data!B522="","",IF(ISNUMBER(Data!D522),IF(AND(Data!D522&gt;999999999,Data!D522&lt;=9999999999),IF(COUNTIFS(Data!D$1:'Data'!D522,Data!D522)&lt;=1,0,1),1),1))</f>
        <v/>
      </c>
      <c r="E522" s="9" t="str">
        <f>IF(Data!B522="","",IF(ISNUMBER(MATCH(Data!E522,Data_Val!$A$2:$A$3,0)),0,1))</f>
        <v/>
      </c>
      <c r="F522" s="9" t="str">
        <f ca="1">IF(Data!B522="","",IF(ISNUMBER(Data!F522),IF(AND(Data!F522&gt;(TODAY()-(Data_Val!$H$3*365.25)),Data!F522&lt;=(TODAY()-(Data_Val!$H$2*365.25))),0,1),1))</f>
        <v/>
      </c>
      <c r="G522" s="15" t="str">
        <f>IF(Data!B522="","",IF(AND(Data!G522="",Data!H522&lt;&gt;""),1,IF(Data!#REF!&lt;&gt;"",0,IF(ISNUMBER(MATCH(Data!G522,Data_Val!$C$2:$C$5,0)),0,1))))</f>
        <v/>
      </c>
      <c r="H522" s="15" t="str">
        <f>IF(Data!B522="","",IF(AND(Data!G522&lt;&gt;"",Data!H522=""),1,IF(Data!#REF!&lt;&gt;"",0,IF(Data!G522="",1,IF(ISNUMBER(MATCH(Data!H522,Data_Val!$D$2:$D$35,0)),0,1)))))</f>
        <v/>
      </c>
      <c r="I522" s="15" t="str">
        <f>IF(Data!B522="","",IF(Data!G522&lt;&gt;"",0,IF(ISNUMBER(MATCH(Data!#REF!,Data_Val!$E$2:$E$12,0)),0,1)))</f>
        <v/>
      </c>
      <c r="J522" s="16" t="e">
        <f>IF(OR(Data!B522="",Data!#REF!=""),"",IF(Data!#REF!="",1,0))</f>
        <v>#REF!</v>
      </c>
      <c r="K522" s="16" t="e">
        <f>IF(OR(Data!B522="",Data!#REF!=""),"",IF(Data!#REF!="",1,0))</f>
        <v>#REF!</v>
      </c>
      <c r="L522" s="16" t="e">
        <f>IF(OR(Data!B522="",Data!#REF!=""),"",IF(ISNUMBER(Data!#REF!),IF(AND(Data!#REF!&gt;Data_Val!$G$2,Data!#REF!&lt;=Data_Val!$G$3),0,1),1))</f>
        <v>#REF!</v>
      </c>
      <c r="M522" s="9" t="e">
        <f>IF(OR(Data!B522="",Data!#REF!=""),"",IF(ISNUMBER(MATCH(Data!#REF!,Data_Val!$F$1:$F$38,0)),0,1))</f>
        <v>#REF!</v>
      </c>
      <c r="N522" s="9" t="e">
        <f>IF(OR(Data!B522="",Data!#REF!=""),"",IF(Data!#REF!="",1,0))</f>
        <v>#REF!</v>
      </c>
      <c r="O522" s="17" t="e">
        <f>IF(Data!#REF!="","",IF(Data!#REF!="",1,0))</f>
        <v>#REF!</v>
      </c>
      <c r="P522" s="17" t="e">
        <f>IF(Data!#REF!="","",IF(ISNUMBER(MATCH(Data!#REF!,Data_Val!$A$2:$A$3,0)),0,1))</f>
        <v>#REF!</v>
      </c>
      <c r="Q522" s="25" t="e">
        <f ca="1">IF(Data!#REF!="","",IF(ISNUMBER(Data!#REF!),IF(AND(Data!#REF!&gt;(TODAY()-(Data_Val!$J$3*365.25)),Data!#REF!&lt;=(TODAY()-(Data_Val!$J$2*365.25))),0,1),1))</f>
        <v>#REF!</v>
      </c>
      <c r="R522" s="17" t="e">
        <f>IF(Data!#REF!="","",IF(ISNUMBER(MATCH(Data!#REF!,Data_Val!$B$2:$B$15,0)),0,1))</f>
        <v>#REF!</v>
      </c>
      <c r="S522" s="11" t="str">
        <f>IF(Data!G522="","",IF(Data!G522=Data_Val!$C$2,IF(Data!M522="",0,1),0))</f>
        <v/>
      </c>
      <c r="T522" s="11" t="str">
        <f>IF(Data!M522="","",IF(ISNUMBER(MATCH(Data!N522,Data_Val!$A$2:$A$3,0)),0,1))</f>
        <v/>
      </c>
      <c r="U522" s="11" t="str">
        <f ca="1">IF(Data!M522="","",IF(ISNUMBER(Data!O522),IF(AND(Data!O522&gt;(TODAY()-(Data_Val!$K$3*365.25)),Data!O522&lt;=(TODAY()-(Data_Val!$K$2*365.25))),0,1),1))</f>
        <v/>
      </c>
      <c r="V522" s="12" t="str">
        <f>IF(Data!G522="","",IF(Data!G522=Data_Val!$C$2,IF(Data!P522="",0,1),0))</f>
        <v/>
      </c>
      <c r="W522" s="12" t="str">
        <f>IF(Data!P522="","",IF(ISNUMBER(MATCH(Data!Q522,Data_Val!$A$2:$A$3,0)),0,1))</f>
        <v/>
      </c>
      <c r="X522" s="26" t="str">
        <f ca="1">IF(Data!P522="","",IF(ISNUMBER(Data!R522),IF(AND(Data!R522&gt;(TODAY()-(Data_Val!$L$3*365.25)),Data!R522&lt;=(TODAY()-(Data_Val!$L$2*365.25))),0,1),1))</f>
        <v/>
      </c>
      <c r="Y522" s="13" t="str">
        <f>IF(Data!$G522="","",IF(Data!$G522=Data_Val!$C$2,IF(Data!S522="",0,1),0))</f>
        <v/>
      </c>
      <c r="Z522" s="13" t="str">
        <f>IF(Data!S522="","",IF(ISNUMBER(MATCH(Data!T522,Data_Val!$A$2:$A$3,0)),0,1))</f>
        <v/>
      </c>
      <c r="AA522" s="28" t="str">
        <f ca="1">IF(Data!S522="","",IF(ISNUMBER(Data!U522),IF(AND(Data!U522&gt;(TODAY()-(Data_Val!$L$3*365.25)),Data!U522&lt;=(TODAY()-(Data_Val!$L$2*365.25))),0,1),1))</f>
        <v/>
      </c>
      <c r="AB522" s="11"/>
      <c r="AC522" s="11" t="e">
        <f>IF(Data!#REF!="","",IF(ISNUMBER(MATCH(Data!#REF!,Data_Val!$A$2:$A$3,0)),0,1))</f>
        <v>#REF!</v>
      </c>
      <c r="AD522" s="11" t="e">
        <f ca="1">IF(Data!#REF!="","",IF(ISNUMBER(Data!#REF!),IF(AND(Data!#REF!&gt;(TODAY()-(Data_Val!$L$3*365.25)),Data!#REF!&lt;=(TODAY()-(Data_Val!$L$2*365.25))),0,1),1))</f>
        <v>#REF!</v>
      </c>
      <c r="AE522" s="11" t="e">
        <f>IF(Data!#REF!="","",IF(Data!$G522="",1,IF(ISNUMBER(MATCH(Data!#REF!,Data_Val!$D$2:$D$10,0)),0,1)))</f>
        <v>#REF!</v>
      </c>
      <c r="AF522" s="12"/>
      <c r="AG522" s="12" t="e">
        <f>IF(Data!#REF!="","",IF(ISNUMBER(MATCH(Data!#REF!,Data_Val!$A$2:$A$3,0)),0,1))</f>
        <v>#REF!</v>
      </c>
      <c r="AH522" s="26" t="e">
        <f ca="1">IF(Data!#REF!="","",IF(ISNUMBER(Data!#REF!),IF(AND(Data!#REF!&gt;(TODAY()-(Data_Val!$L$3*365.25)),Data!#REF!&lt;=(TODAY()-(Data_Val!$L$2*365.25))),0,1),1))</f>
        <v>#REF!</v>
      </c>
      <c r="AI522" s="12" t="e">
        <f>IF(Data!#REF!="","",IF(Data!$G522="",1,IF(ISNUMBER(MATCH(Data!#REF!,Data_Val!$D$2:$D$10,0)),0,1)))</f>
        <v>#REF!</v>
      </c>
      <c r="AJ522" s="17"/>
      <c r="AK522" s="17" t="e">
        <f>IF(Data!#REF!="","",IF(ISNUMBER(MATCH(Data!#REF!,Data_Val!$A$2:$A$3,0)),0,1))</f>
        <v>#REF!</v>
      </c>
      <c r="AL522" s="25" t="e">
        <f ca="1">IF(Data!#REF!="","",IF(ISNUMBER(Data!#REF!),IF(AND(Data!#REF!&gt;(TODAY()-(Data_Val!$L$3*365.25)),Data!#REF!&lt;=(TODAY()-(Data_Val!$L$2*365.25))),0,1),1))</f>
        <v>#REF!</v>
      </c>
      <c r="AM522" s="17" t="e">
        <f>IF(Data!#REF!="","",IF(Data!$G522="",1,IF(ISNUMBER(MATCH(Data!#REF!,Data_Val!$D$2:$D$10,0)),0,1)))</f>
        <v>#REF!</v>
      </c>
      <c r="AN522" s="13"/>
      <c r="AO522" s="28" t="e">
        <f ca="1">IF(Data!#REF!="","",IF(ISNUMBER(Data!#REF!),IF(AND(Data!#REF!&gt;(TODAY()-(Data_Val!$I$3*365.25)),Data!#REF!&lt;=(TODAY()-(Data_Val!$I$2*365.25))),0,1),1))</f>
        <v>#REF!</v>
      </c>
      <c r="AP522" s="13" t="e">
        <f>IF(Data!#REF!="","",IF(Data!$G522="",1,IF(ISNUMBER(MATCH(Data!#REF!,Data_Val!$D$2:$D$10,0)),0,1)))</f>
        <v>#REF!</v>
      </c>
      <c r="AQ522" s="17"/>
      <c r="AR522" s="30" t="e">
        <f ca="1">IF(Data!#REF!="","",IF(ISNUMBER(Data!#REF!),IF(AND(Data!#REF!&gt;(TODAY()-(Data_Val!$I$3*365.25)),Data!#REF!&lt;=(TODAY()-(Data_Val!$I$2*365.25))),0,1),1))</f>
        <v>#REF!</v>
      </c>
      <c r="AS522" s="31" t="e">
        <f>IF(Data!#REF!="","",IF(Data!$G522="",1,IF(ISNUMBER(MATCH(Data!#REF!,Data_Val!$D$2:$D$10,0)),0,1)))</f>
        <v>#REF!</v>
      </c>
      <c r="AT522" s="11"/>
      <c r="AU522" s="11" t="e">
        <f ca="1">IF(Data!#REF!="","",IF(ISNUMBER(Data!#REF!),IF(AND(Data!#REF!&gt;(TODAY()-(Data_Val!$I$3*365.25)),Data!#REF!&lt;=(TODAY()-(Data_Val!$I$2*365.25))),0,1),1))</f>
        <v>#REF!</v>
      </c>
      <c r="AV522" s="11" t="e">
        <f>IF(Data!#REF!="","",IF(Data!$G522="",1,IF(ISNUMBER(MATCH(Data!#REF!,Data_Val!$D$2:$D$10,0)),0,1)))</f>
        <v>#REF!</v>
      </c>
      <c r="AW522" s="12"/>
      <c r="AX522" s="26" t="e">
        <f ca="1">IF(Data!#REF!="","",IF(ISNUMBER(Data!#REF!),IF(AND(Data!#REF!&gt;(TODAY()-(Data_Val!$I$3*365.25)),Data!#REF!&lt;=(TODAY()-(Data_Val!$I$2*365.25))),0,1),1))</f>
        <v>#REF!</v>
      </c>
      <c r="AY522" s="12" t="e">
        <f>IF(Data!#REF!="","",IF(Data!$G522="",1,IF(ISNUMBER(MATCH(Data!#REF!,Data_Val!$D$2:$D$10,0)),0,1)))</f>
        <v>#REF!</v>
      </c>
      <c r="AZ522" s="11"/>
      <c r="BA522" s="19" t="e">
        <f ca="1">IF(Data!#REF!="","",IF(ISNUMBER(Data!#REF!),IF(AND(Data!#REF!&gt;(TODAY()-(Data_Val!$M$3*365.25)),Data!#REF!&lt;=(TODAY()-(Data_Val!$M$2*365.25))),0,1),1))</f>
        <v>#REF!</v>
      </c>
      <c r="BB522" s="11" t="e">
        <f>IF(Data!#REF!="","",IF(Data!$G522="",1,IF(ISNUMBER(MATCH(Data!#REF!,Data_Val!$D$2:$D$10,0)),0,1)))</f>
        <v>#REF!</v>
      </c>
      <c r="BC522" s="12"/>
      <c r="BD522" s="20" t="e">
        <f ca="1">IF(Data!#REF!="","",IF(ISNUMBER(Data!#REF!),IF(AND(Data!#REF!&gt;(TODAY()-(Data_Val!$M$3*365.25)),Data!#REF!&lt;=(TODAY()-(Data_Val!$M$2*365.25))),0,1),1))</f>
        <v>#REF!</v>
      </c>
      <c r="BE522" s="12" t="e">
        <f>IF(Data!#REF!="","",IF(Data!$G522="",1,IF(ISNUMBER(MATCH(Data!#REF!,Data_Val!$D$2:$D$10,0)),0,1)))</f>
        <v>#REF!</v>
      </c>
      <c r="BF522" s="17"/>
      <c r="BG522" s="18" t="e">
        <f ca="1">IF(Data!#REF!="","",IF(ISNUMBER(Data!#REF!),IF(AND(Data!#REF!&gt;(TODAY()-(Data_Val!$M$3*365.25)),Data!#REF!&lt;=(TODAY()-(Data_Val!$M$2*365.25))),0,1),1))</f>
        <v>#REF!</v>
      </c>
      <c r="BH522" s="29" t="e">
        <f>IF(Data!#REF!="","",IF(Data!$G522="",1,IF(ISNUMBER(MATCH(Data!#REF!,Data_Val!$D$2:$D$10,0)),0,1)))</f>
        <v>#REF!</v>
      </c>
      <c r="BI522" s="13"/>
      <c r="BJ522" s="21" t="e">
        <f ca="1">IF(Data!#REF!="","",IF(ISNUMBER(Data!#REF!),IF(AND(Data!#REF!&gt;(TODAY()-(Data_Val!$M$3*365.25)),Data!#REF!&lt;=(TODAY()-(Data_Val!$M$2*365.25))),0,1),1))</f>
        <v>#REF!</v>
      </c>
      <c r="BK522" s="13" t="e">
        <f>IF(Data!#REF!="","",IF(Data!$G522="",1,IF(ISNUMBER(MATCH(Data!#REF!,Data_Val!$D$2:$D$10,0)),0,1)))</f>
        <v>#REF!</v>
      </c>
    </row>
    <row r="523" spans="1:63" x14ac:dyDescent="0.25">
      <c r="A523" s="9" t="str">
        <f>IF(Data!B523="","",IF(COUNTIFS(Data!A$1:'Data'!A523,Data!A523)&lt;=1,0,1))</f>
        <v/>
      </c>
      <c r="B523" s="9"/>
      <c r="C523" s="23" t="str">
        <f>IF(Data!C523="","",(IF(ISNUMBER(MATCH("*@*.?*",Data!C523,0)),0,1)+IF(COUNTIFS(Data!C$1:'Data'!C523,Data!C523)&gt;1,1,0)))</f>
        <v/>
      </c>
      <c r="D523" s="9" t="str">
        <f>IF(Data!B523="","",IF(ISNUMBER(Data!D523),IF(AND(Data!D523&gt;999999999,Data!D523&lt;=9999999999),IF(COUNTIFS(Data!D$1:'Data'!D523,Data!D523)&lt;=1,0,1),1),1))</f>
        <v/>
      </c>
      <c r="E523" s="9" t="str">
        <f>IF(Data!B523="","",IF(ISNUMBER(MATCH(Data!E523,Data_Val!$A$2:$A$3,0)),0,1))</f>
        <v/>
      </c>
      <c r="F523" s="9" t="str">
        <f ca="1">IF(Data!B523="","",IF(ISNUMBER(Data!F523),IF(AND(Data!F523&gt;(TODAY()-(Data_Val!$H$3*365.25)),Data!F523&lt;=(TODAY()-(Data_Val!$H$2*365.25))),0,1),1))</f>
        <v/>
      </c>
      <c r="G523" s="15" t="str">
        <f>IF(Data!B523="","",IF(AND(Data!G523="",Data!H523&lt;&gt;""),1,IF(Data!#REF!&lt;&gt;"",0,IF(ISNUMBER(MATCH(Data!G523,Data_Val!$C$2:$C$5,0)),0,1))))</f>
        <v/>
      </c>
      <c r="H523" s="15" t="str">
        <f>IF(Data!B523="","",IF(AND(Data!G523&lt;&gt;"",Data!H523=""),1,IF(Data!#REF!&lt;&gt;"",0,IF(Data!G523="",1,IF(ISNUMBER(MATCH(Data!H523,Data_Val!$D$2:$D$35,0)),0,1)))))</f>
        <v/>
      </c>
      <c r="I523" s="15" t="str">
        <f>IF(Data!B523="","",IF(Data!G523&lt;&gt;"",0,IF(ISNUMBER(MATCH(Data!#REF!,Data_Val!$E$2:$E$12,0)),0,1)))</f>
        <v/>
      </c>
      <c r="J523" s="16" t="e">
        <f>IF(OR(Data!B523="",Data!#REF!=""),"",IF(Data!#REF!="",1,0))</f>
        <v>#REF!</v>
      </c>
      <c r="K523" s="16" t="e">
        <f>IF(OR(Data!B523="",Data!#REF!=""),"",IF(Data!#REF!="",1,0))</f>
        <v>#REF!</v>
      </c>
      <c r="L523" s="16" t="e">
        <f>IF(OR(Data!B523="",Data!#REF!=""),"",IF(ISNUMBER(Data!#REF!),IF(AND(Data!#REF!&gt;Data_Val!$G$2,Data!#REF!&lt;=Data_Val!$G$3),0,1),1))</f>
        <v>#REF!</v>
      </c>
      <c r="M523" s="9" t="e">
        <f>IF(OR(Data!B523="",Data!#REF!=""),"",IF(ISNUMBER(MATCH(Data!#REF!,Data_Val!$F$1:$F$38,0)),0,1))</f>
        <v>#REF!</v>
      </c>
      <c r="N523" s="9" t="e">
        <f>IF(OR(Data!B523="",Data!#REF!=""),"",IF(Data!#REF!="",1,0))</f>
        <v>#REF!</v>
      </c>
      <c r="O523" s="17" t="e">
        <f>IF(Data!#REF!="","",IF(Data!#REF!="",1,0))</f>
        <v>#REF!</v>
      </c>
      <c r="P523" s="17" t="e">
        <f>IF(Data!#REF!="","",IF(ISNUMBER(MATCH(Data!#REF!,Data_Val!$A$2:$A$3,0)),0,1))</f>
        <v>#REF!</v>
      </c>
      <c r="Q523" s="25" t="e">
        <f ca="1">IF(Data!#REF!="","",IF(ISNUMBER(Data!#REF!),IF(AND(Data!#REF!&gt;(TODAY()-(Data_Val!$J$3*365.25)),Data!#REF!&lt;=(TODAY()-(Data_Val!$J$2*365.25))),0,1),1))</f>
        <v>#REF!</v>
      </c>
      <c r="R523" s="17" t="e">
        <f>IF(Data!#REF!="","",IF(ISNUMBER(MATCH(Data!#REF!,Data_Val!$B$2:$B$15,0)),0,1))</f>
        <v>#REF!</v>
      </c>
      <c r="S523" s="11" t="str">
        <f>IF(Data!G523="","",IF(Data!G523=Data_Val!$C$2,IF(Data!M523="",0,1),0))</f>
        <v/>
      </c>
      <c r="T523" s="11" t="str">
        <f>IF(Data!M523="","",IF(ISNUMBER(MATCH(Data!N523,Data_Val!$A$2:$A$3,0)),0,1))</f>
        <v/>
      </c>
      <c r="U523" s="11" t="str">
        <f ca="1">IF(Data!M523="","",IF(ISNUMBER(Data!O523),IF(AND(Data!O523&gt;(TODAY()-(Data_Val!$K$3*365.25)),Data!O523&lt;=(TODAY()-(Data_Val!$K$2*365.25))),0,1),1))</f>
        <v/>
      </c>
      <c r="V523" s="12" t="str">
        <f>IF(Data!G523="","",IF(Data!G523=Data_Val!$C$2,IF(Data!P523="",0,1),0))</f>
        <v/>
      </c>
      <c r="W523" s="12" t="str">
        <f>IF(Data!P523="","",IF(ISNUMBER(MATCH(Data!Q523,Data_Val!$A$2:$A$3,0)),0,1))</f>
        <v/>
      </c>
      <c r="X523" s="26" t="str">
        <f ca="1">IF(Data!P523="","",IF(ISNUMBER(Data!R523),IF(AND(Data!R523&gt;(TODAY()-(Data_Val!$L$3*365.25)),Data!R523&lt;=(TODAY()-(Data_Val!$L$2*365.25))),0,1),1))</f>
        <v/>
      </c>
      <c r="Y523" s="13" t="str">
        <f>IF(Data!$G523="","",IF(Data!$G523=Data_Val!$C$2,IF(Data!S523="",0,1),0))</f>
        <v/>
      </c>
      <c r="Z523" s="13" t="str">
        <f>IF(Data!S523="","",IF(ISNUMBER(MATCH(Data!T523,Data_Val!$A$2:$A$3,0)),0,1))</f>
        <v/>
      </c>
      <c r="AA523" s="28" t="str">
        <f ca="1">IF(Data!S523="","",IF(ISNUMBER(Data!U523),IF(AND(Data!U523&gt;(TODAY()-(Data_Val!$L$3*365.25)),Data!U523&lt;=(TODAY()-(Data_Val!$L$2*365.25))),0,1),1))</f>
        <v/>
      </c>
      <c r="AB523" s="11"/>
      <c r="AC523" s="11" t="e">
        <f>IF(Data!#REF!="","",IF(ISNUMBER(MATCH(Data!#REF!,Data_Val!$A$2:$A$3,0)),0,1))</f>
        <v>#REF!</v>
      </c>
      <c r="AD523" s="11" t="e">
        <f ca="1">IF(Data!#REF!="","",IF(ISNUMBER(Data!#REF!),IF(AND(Data!#REF!&gt;(TODAY()-(Data_Val!$L$3*365.25)),Data!#REF!&lt;=(TODAY()-(Data_Val!$L$2*365.25))),0,1),1))</f>
        <v>#REF!</v>
      </c>
      <c r="AE523" s="11" t="e">
        <f>IF(Data!#REF!="","",IF(Data!$G523="",1,IF(ISNUMBER(MATCH(Data!#REF!,Data_Val!$D$2:$D$10,0)),0,1)))</f>
        <v>#REF!</v>
      </c>
      <c r="AF523" s="12"/>
      <c r="AG523" s="12" t="e">
        <f>IF(Data!#REF!="","",IF(ISNUMBER(MATCH(Data!#REF!,Data_Val!$A$2:$A$3,0)),0,1))</f>
        <v>#REF!</v>
      </c>
      <c r="AH523" s="26" t="e">
        <f ca="1">IF(Data!#REF!="","",IF(ISNUMBER(Data!#REF!),IF(AND(Data!#REF!&gt;(TODAY()-(Data_Val!$L$3*365.25)),Data!#REF!&lt;=(TODAY()-(Data_Val!$L$2*365.25))),0,1),1))</f>
        <v>#REF!</v>
      </c>
      <c r="AI523" s="12" t="e">
        <f>IF(Data!#REF!="","",IF(Data!$G523="",1,IF(ISNUMBER(MATCH(Data!#REF!,Data_Val!$D$2:$D$10,0)),0,1)))</f>
        <v>#REF!</v>
      </c>
      <c r="AJ523" s="17"/>
      <c r="AK523" s="17" t="e">
        <f>IF(Data!#REF!="","",IF(ISNUMBER(MATCH(Data!#REF!,Data_Val!$A$2:$A$3,0)),0,1))</f>
        <v>#REF!</v>
      </c>
      <c r="AL523" s="25" t="e">
        <f ca="1">IF(Data!#REF!="","",IF(ISNUMBER(Data!#REF!),IF(AND(Data!#REF!&gt;(TODAY()-(Data_Val!$L$3*365.25)),Data!#REF!&lt;=(TODAY()-(Data_Val!$L$2*365.25))),0,1),1))</f>
        <v>#REF!</v>
      </c>
      <c r="AM523" s="17" t="e">
        <f>IF(Data!#REF!="","",IF(Data!$G523="",1,IF(ISNUMBER(MATCH(Data!#REF!,Data_Val!$D$2:$D$10,0)),0,1)))</f>
        <v>#REF!</v>
      </c>
      <c r="AN523" s="13"/>
      <c r="AO523" s="28" t="e">
        <f ca="1">IF(Data!#REF!="","",IF(ISNUMBER(Data!#REF!),IF(AND(Data!#REF!&gt;(TODAY()-(Data_Val!$I$3*365.25)),Data!#REF!&lt;=(TODAY()-(Data_Val!$I$2*365.25))),0,1),1))</f>
        <v>#REF!</v>
      </c>
      <c r="AP523" s="13" t="e">
        <f>IF(Data!#REF!="","",IF(Data!$G523="",1,IF(ISNUMBER(MATCH(Data!#REF!,Data_Val!$D$2:$D$10,0)),0,1)))</f>
        <v>#REF!</v>
      </c>
      <c r="AQ523" s="17"/>
      <c r="AR523" s="30" t="e">
        <f ca="1">IF(Data!#REF!="","",IF(ISNUMBER(Data!#REF!),IF(AND(Data!#REF!&gt;(TODAY()-(Data_Val!$I$3*365.25)),Data!#REF!&lt;=(TODAY()-(Data_Val!$I$2*365.25))),0,1),1))</f>
        <v>#REF!</v>
      </c>
      <c r="AS523" s="31" t="e">
        <f>IF(Data!#REF!="","",IF(Data!$G523="",1,IF(ISNUMBER(MATCH(Data!#REF!,Data_Val!$D$2:$D$10,0)),0,1)))</f>
        <v>#REF!</v>
      </c>
      <c r="AT523" s="11"/>
      <c r="AU523" s="11" t="e">
        <f ca="1">IF(Data!#REF!="","",IF(ISNUMBER(Data!#REF!),IF(AND(Data!#REF!&gt;(TODAY()-(Data_Val!$I$3*365.25)),Data!#REF!&lt;=(TODAY()-(Data_Val!$I$2*365.25))),0,1),1))</f>
        <v>#REF!</v>
      </c>
      <c r="AV523" s="11" t="e">
        <f>IF(Data!#REF!="","",IF(Data!$G523="",1,IF(ISNUMBER(MATCH(Data!#REF!,Data_Val!$D$2:$D$10,0)),0,1)))</f>
        <v>#REF!</v>
      </c>
      <c r="AW523" s="12"/>
      <c r="AX523" s="26" t="e">
        <f ca="1">IF(Data!#REF!="","",IF(ISNUMBER(Data!#REF!),IF(AND(Data!#REF!&gt;(TODAY()-(Data_Val!$I$3*365.25)),Data!#REF!&lt;=(TODAY()-(Data_Val!$I$2*365.25))),0,1),1))</f>
        <v>#REF!</v>
      </c>
      <c r="AY523" s="12" t="e">
        <f>IF(Data!#REF!="","",IF(Data!$G523="",1,IF(ISNUMBER(MATCH(Data!#REF!,Data_Val!$D$2:$D$10,0)),0,1)))</f>
        <v>#REF!</v>
      </c>
      <c r="AZ523" s="11"/>
      <c r="BA523" s="19" t="e">
        <f ca="1">IF(Data!#REF!="","",IF(ISNUMBER(Data!#REF!),IF(AND(Data!#REF!&gt;(TODAY()-(Data_Val!$M$3*365.25)),Data!#REF!&lt;=(TODAY()-(Data_Val!$M$2*365.25))),0,1),1))</f>
        <v>#REF!</v>
      </c>
      <c r="BB523" s="11" t="e">
        <f>IF(Data!#REF!="","",IF(Data!$G523="",1,IF(ISNUMBER(MATCH(Data!#REF!,Data_Val!$D$2:$D$10,0)),0,1)))</f>
        <v>#REF!</v>
      </c>
      <c r="BC523" s="12"/>
      <c r="BD523" s="20" t="e">
        <f ca="1">IF(Data!#REF!="","",IF(ISNUMBER(Data!#REF!),IF(AND(Data!#REF!&gt;(TODAY()-(Data_Val!$M$3*365.25)),Data!#REF!&lt;=(TODAY()-(Data_Val!$M$2*365.25))),0,1),1))</f>
        <v>#REF!</v>
      </c>
      <c r="BE523" s="12" t="e">
        <f>IF(Data!#REF!="","",IF(Data!$G523="",1,IF(ISNUMBER(MATCH(Data!#REF!,Data_Val!$D$2:$D$10,0)),0,1)))</f>
        <v>#REF!</v>
      </c>
      <c r="BF523" s="17"/>
      <c r="BG523" s="18" t="e">
        <f ca="1">IF(Data!#REF!="","",IF(ISNUMBER(Data!#REF!),IF(AND(Data!#REF!&gt;(TODAY()-(Data_Val!$M$3*365.25)),Data!#REF!&lt;=(TODAY()-(Data_Val!$M$2*365.25))),0,1),1))</f>
        <v>#REF!</v>
      </c>
      <c r="BH523" s="29" t="e">
        <f>IF(Data!#REF!="","",IF(Data!$G523="",1,IF(ISNUMBER(MATCH(Data!#REF!,Data_Val!$D$2:$D$10,0)),0,1)))</f>
        <v>#REF!</v>
      </c>
      <c r="BI523" s="13"/>
      <c r="BJ523" s="21" t="e">
        <f ca="1">IF(Data!#REF!="","",IF(ISNUMBER(Data!#REF!),IF(AND(Data!#REF!&gt;(TODAY()-(Data_Val!$M$3*365.25)),Data!#REF!&lt;=(TODAY()-(Data_Val!$M$2*365.25))),0,1),1))</f>
        <v>#REF!</v>
      </c>
      <c r="BK523" s="13" t="e">
        <f>IF(Data!#REF!="","",IF(Data!$G523="",1,IF(ISNUMBER(MATCH(Data!#REF!,Data_Val!$D$2:$D$10,0)),0,1)))</f>
        <v>#REF!</v>
      </c>
    </row>
    <row r="524" spans="1:63" x14ac:dyDescent="0.25">
      <c r="A524" s="9" t="str">
        <f>IF(Data!B524="","",IF(COUNTIFS(Data!A$1:'Data'!A524,Data!A524)&lt;=1,0,1))</f>
        <v/>
      </c>
      <c r="B524" s="9"/>
      <c r="C524" s="23" t="str">
        <f>IF(Data!C524="","",(IF(ISNUMBER(MATCH("*@*.?*",Data!C524,0)),0,1)+IF(COUNTIFS(Data!C$1:'Data'!C524,Data!C524)&gt;1,1,0)))</f>
        <v/>
      </c>
      <c r="D524" s="9" t="str">
        <f>IF(Data!B524="","",IF(ISNUMBER(Data!D524),IF(AND(Data!D524&gt;999999999,Data!D524&lt;=9999999999),IF(COUNTIFS(Data!D$1:'Data'!D524,Data!D524)&lt;=1,0,1),1),1))</f>
        <v/>
      </c>
      <c r="E524" s="9" t="str">
        <f>IF(Data!B524="","",IF(ISNUMBER(MATCH(Data!E524,Data_Val!$A$2:$A$3,0)),0,1))</f>
        <v/>
      </c>
      <c r="F524" s="9" t="str">
        <f ca="1">IF(Data!B524="","",IF(ISNUMBER(Data!F524),IF(AND(Data!F524&gt;(TODAY()-(Data_Val!$H$3*365.25)),Data!F524&lt;=(TODAY()-(Data_Val!$H$2*365.25))),0,1),1))</f>
        <v/>
      </c>
      <c r="G524" s="15" t="str">
        <f>IF(Data!B524="","",IF(AND(Data!G524="",Data!H524&lt;&gt;""),1,IF(Data!#REF!&lt;&gt;"",0,IF(ISNUMBER(MATCH(Data!G524,Data_Val!$C$2:$C$5,0)),0,1))))</f>
        <v/>
      </c>
      <c r="H524" s="15" t="str">
        <f>IF(Data!B524="","",IF(AND(Data!G524&lt;&gt;"",Data!H524=""),1,IF(Data!#REF!&lt;&gt;"",0,IF(Data!G524="",1,IF(ISNUMBER(MATCH(Data!H524,Data_Val!$D$2:$D$35,0)),0,1)))))</f>
        <v/>
      </c>
      <c r="I524" s="15" t="str">
        <f>IF(Data!B524="","",IF(Data!G524&lt;&gt;"",0,IF(ISNUMBER(MATCH(Data!#REF!,Data_Val!$E$2:$E$12,0)),0,1)))</f>
        <v/>
      </c>
      <c r="J524" s="16" t="e">
        <f>IF(OR(Data!B524="",Data!#REF!=""),"",IF(Data!#REF!="",1,0))</f>
        <v>#REF!</v>
      </c>
      <c r="K524" s="16" t="e">
        <f>IF(OR(Data!B524="",Data!#REF!=""),"",IF(Data!#REF!="",1,0))</f>
        <v>#REF!</v>
      </c>
      <c r="L524" s="16" t="e">
        <f>IF(OR(Data!B524="",Data!#REF!=""),"",IF(ISNUMBER(Data!#REF!),IF(AND(Data!#REF!&gt;Data_Val!$G$2,Data!#REF!&lt;=Data_Val!$G$3),0,1),1))</f>
        <v>#REF!</v>
      </c>
      <c r="M524" s="9" t="e">
        <f>IF(OR(Data!B524="",Data!#REF!=""),"",IF(ISNUMBER(MATCH(Data!#REF!,Data_Val!$F$1:$F$38,0)),0,1))</f>
        <v>#REF!</v>
      </c>
      <c r="N524" s="9" t="e">
        <f>IF(OR(Data!B524="",Data!#REF!=""),"",IF(Data!#REF!="",1,0))</f>
        <v>#REF!</v>
      </c>
      <c r="O524" s="17" t="e">
        <f>IF(Data!#REF!="","",IF(Data!#REF!="",1,0))</f>
        <v>#REF!</v>
      </c>
      <c r="P524" s="17" t="e">
        <f>IF(Data!#REF!="","",IF(ISNUMBER(MATCH(Data!#REF!,Data_Val!$A$2:$A$3,0)),0,1))</f>
        <v>#REF!</v>
      </c>
      <c r="Q524" s="25" t="e">
        <f ca="1">IF(Data!#REF!="","",IF(ISNUMBER(Data!#REF!),IF(AND(Data!#REF!&gt;(TODAY()-(Data_Val!$J$3*365.25)),Data!#REF!&lt;=(TODAY()-(Data_Val!$J$2*365.25))),0,1),1))</f>
        <v>#REF!</v>
      </c>
      <c r="R524" s="17" t="e">
        <f>IF(Data!#REF!="","",IF(ISNUMBER(MATCH(Data!#REF!,Data_Val!$B$2:$B$15,0)),0,1))</f>
        <v>#REF!</v>
      </c>
      <c r="S524" s="11" t="str">
        <f>IF(Data!G524="","",IF(Data!G524=Data_Val!$C$2,IF(Data!M524="",0,1),0))</f>
        <v/>
      </c>
      <c r="T524" s="11" t="str">
        <f>IF(Data!M524="","",IF(ISNUMBER(MATCH(Data!N524,Data_Val!$A$2:$A$3,0)),0,1))</f>
        <v/>
      </c>
      <c r="U524" s="11" t="str">
        <f ca="1">IF(Data!M524="","",IF(ISNUMBER(Data!O524),IF(AND(Data!O524&gt;(TODAY()-(Data_Val!$K$3*365.25)),Data!O524&lt;=(TODAY()-(Data_Val!$K$2*365.25))),0,1),1))</f>
        <v/>
      </c>
      <c r="V524" s="12" t="str">
        <f>IF(Data!G524="","",IF(Data!G524=Data_Val!$C$2,IF(Data!P524="",0,1),0))</f>
        <v/>
      </c>
      <c r="W524" s="12" t="str">
        <f>IF(Data!P524="","",IF(ISNUMBER(MATCH(Data!Q524,Data_Val!$A$2:$A$3,0)),0,1))</f>
        <v/>
      </c>
      <c r="X524" s="26" t="str">
        <f ca="1">IF(Data!P524="","",IF(ISNUMBER(Data!R524),IF(AND(Data!R524&gt;(TODAY()-(Data_Val!$L$3*365.25)),Data!R524&lt;=(TODAY()-(Data_Val!$L$2*365.25))),0,1),1))</f>
        <v/>
      </c>
      <c r="Y524" s="13" t="str">
        <f>IF(Data!$G524="","",IF(Data!$G524=Data_Val!$C$2,IF(Data!S524="",0,1),0))</f>
        <v/>
      </c>
      <c r="Z524" s="13" t="str">
        <f>IF(Data!S524="","",IF(ISNUMBER(MATCH(Data!T524,Data_Val!$A$2:$A$3,0)),0,1))</f>
        <v/>
      </c>
      <c r="AA524" s="28" t="str">
        <f ca="1">IF(Data!S524="","",IF(ISNUMBER(Data!U524),IF(AND(Data!U524&gt;(TODAY()-(Data_Val!$L$3*365.25)),Data!U524&lt;=(TODAY()-(Data_Val!$L$2*365.25))),0,1),1))</f>
        <v/>
      </c>
      <c r="AB524" s="11"/>
      <c r="AC524" s="11" t="e">
        <f>IF(Data!#REF!="","",IF(ISNUMBER(MATCH(Data!#REF!,Data_Val!$A$2:$A$3,0)),0,1))</f>
        <v>#REF!</v>
      </c>
      <c r="AD524" s="11" t="e">
        <f ca="1">IF(Data!#REF!="","",IF(ISNUMBER(Data!#REF!),IF(AND(Data!#REF!&gt;(TODAY()-(Data_Val!$L$3*365.25)),Data!#REF!&lt;=(TODAY()-(Data_Val!$L$2*365.25))),0,1),1))</f>
        <v>#REF!</v>
      </c>
      <c r="AE524" s="11" t="e">
        <f>IF(Data!#REF!="","",IF(Data!$G524="",1,IF(ISNUMBER(MATCH(Data!#REF!,Data_Val!$D$2:$D$10,0)),0,1)))</f>
        <v>#REF!</v>
      </c>
      <c r="AF524" s="12"/>
      <c r="AG524" s="12" t="e">
        <f>IF(Data!#REF!="","",IF(ISNUMBER(MATCH(Data!#REF!,Data_Val!$A$2:$A$3,0)),0,1))</f>
        <v>#REF!</v>
      </c>
      <c r="AH524" s="26" t="e">
        <f ca="1">IF(Data!#REF!="","",IF(ISNUMBER(Data!#REF!),IF(AND(Data!#REF!&gt;(TODAY()-(Data_Val!$L$3*365.25)),Data!#REF!&lt;=(TODAY()-(Data_Val!$L$2*365.25))),0,1),1))</f>
        <v>#REF!</v>
      </c>
      <c r="AI524" s="12" t="e">
        <f>IF(Data!#REF!="","",IF(Data!$G524="",1,IF(ISNUMBER(MATCH(Data!#REF!,Data_Val!$D$2:$D$10,0)),0,1)))</f>
        <v>#REF!</v>
      </c>
      <c r="AJ524" s="17"/>
      <c r="AK524" s="17" t="e">
        <f>IF(Data!#REF!="","",IF(ISNUMBER(MATCH(Data!#REF!,Data_Val!$A$2:$A$3,0)),0,1))</f>
        <v>#REF!</v>
      </c>
      <c r="AL524" s="25" t="e">
        <f ca="1">IF(Data!#REF!="","",IF(ISNUMBER(Data!#REF!),IF(AND(Data!#REF!&gt;(TODAY()-(Data_Val!$L$3*365.25)),Data!#REF!&lt;=(TODAY()-(Data_Val!$L$2*365.25))),0,1),1))</f>
        <v>#REF!</v>
      </c>
      <c r="AM524" s="17" t="e">
        <f>IF(Data!#REF!="","",IF(Data!$G524="",1,IF(ISNUMBER(MATCH(Data!#REF!,Data_Val!$D$2:$D$10,0)),0,1)))</f>
        <v>#REF!</v>
      </c>
      <c r="AN524" s="13"/>
      <c r="AO524" s="28" t="e">
        <f ca="1">IF(Data!#REF!="","",IF(ISNUMBER(Data!#REF!),IF(AND(Data!#REF!&gt;(TODAY()-(Data_Val!$I$3*365.25)),Data!#REF!&lt;=(TODAY()-(Data_Val!$I$2*365.25))),0,1),1))</f>
        <v>#REF!</v>
      </c>
      <c r="AP524" s="13" t="e">
        <f>IF(Data!#REF!="","",IF(Data!$G524="",1,IF(ISNUMBER(MATCH(Data!#REF!,Data_Val!$D$2:$D$10,0)),0,1)))</f>
        <v>#REF!</v>
      </c>
      <c r="AQ524" s="17"/>
      <c r="AR524" s="30" t="e">
        <f ca="1">IF(Data!#REF!="","",IF(ISNUMBER(Data!#REF!),IF(AND(Data!#REF!&gt;(TODAY()-(Data_Val!$I$3*365.25)),Data!#REF!&lt;=(TODAY()-(Data_Val!$I$2*365.25))),0,1),1))</f>
        <v>#REF!</v>
      </c>
      <c r="AS524" s="31" t="e">
        <f>IF(Data!#REF!="","",IF(Data!$G524="",1,IF(ISNUMBER(MATCH(Data!#REF!,Data_Val!$D$2:$D$10,0)),0,1)))</f>
        <v>#REF!</v>
      </c>
      <c r="AT524" s="11"/>
      <c r="AU524" s="11" t="e">
        <f ca="1">IF(Data!#REF!="","",IF(ISNUMBER(Data!#REF!),IF(AND(Data!#REF!&gt;(TODAY()-(Data_Val!$I$3*365.25)),Data!#REF!&lt;=(TODAY()-(Data_Val!$I$2*365.25))),0,1),1))</f>
        <v>#REF!</v>
      </c>
      <c r="AV524" s="11" t="e">
        <f>IF(Data!#REF!="","",IF(Data!$G524="",1,IF(ISNUMBER(MATCH(Data!#REF!,Data_Val!$D$2:$D$10,0)),0,1)))</f>
        <v>#REF!</v>
      </c>
      <c r="AW524" s="12"/>
      <c r="AX524" s="26" t="e">
        <f ca="1">IF(Data!#REF!="","",IF(ISNUMBER(Data!#REF!),IF(AND(Data!#REF!&gt;(TODAY()-(Data_Val!$I$3*365.25)),Data!#REF!&lt;=(TODAY()-(Data_Val!$I$2*365.25))),0,1),1))</f>
        <v>#REF!</v>
      </c>
      <c r="AY524" s="12" t="e">
        <f>IF(Data!#REF!="","",IF(Data!$G524="",1,IF(ISNUMBER(MATCH(Data!#REF!,Data_Val!$D$2:$D$10,0)),0,1)))</f>
        <v>#REF!</v>
      </c>
      <c r="AZ524" s="11"/>
      <c r="BA524" s="19" t="e">
        <f ca="1">IF(Data!#REF!="","",IF(ISNUMBER(Data!#REF!),IF(AND(Data!#REF!&gt;(TODAY()-(Data_Val!$M$3*365.25)),Data!#REF!&lt;=(TODAY()-(Data_Val!$M$2*365.25))),0,1),1))</f>
        <v>#REF!</v>
      </c>
      <c r="BB524" s="11" t="e">
        <f>IF(Data!#REF!="","",IF(Data!$G524="",1,IF(ISNUMBER(MATCH(Data!#REF!,Data_Val!$D$2:$D$10,0)),0,1)))</f>
        <v>#REF!</v>
      </c>
      <c r="BC524" s="12"/>
      <c r="BD524" s="20" t="e">
        <f ca="1">IF(Data!#REF!="","",IF(ISNUMBER(Data!#REF!),IF(AND(Data!#REF!&gt;(TODAY()-(Data_Val!$M$3*365.25)),Data!#REF!&lt;=(TODAY()-(Data_Val!$M$2*365.25))),0,1),1))</f>
        <v>#REF!</v>
      </c>
      <c r="BE524" s="12" t="e">
        <f>IF(Data!#REF!="","",IF(Data!$G524="",1,IF(ISNUMBER(MATCH(Data!#REF!,Data_Val!$D$2:$D$10,0)),0,1)))</f>
        <v>#REF!</v>
      </c>
      <c r="BF524" s="17"/>
      <c r="BG524" s="18" t="e">
        <f ca="1">IF(Data!#REF!="","",IF(ISNUMBER(Data!#REF!),IF(AND(Data!#REF!&gt;(TODAY()-(Data_Val!$M$3*365.25)),Data!#REF!&lt;=(TODAY()-(Data_Val!$M$2*365.25))),0,1),1))</f>
        <v>#REF!</v>
      </c>
      <c r="BH524" s="29" t="e">
        <f>IF(Data!#REF!="","",IF(Data!$G524="",1,IF(ISNUMBER(MATCH(Data!#REF!,Data_Val!$D$2:$D$10,0)),0,1)))</f>
        <v>#REF!</v>
      </c>
      <c r="BI524" s="13"/>
      <c r="BJ524" s="21" t="e">
        <f ca="1">IF(Data!#REF!="","",IF(ISNUMBER(Data!#REF!),IF(AND(Data!#REF!&gt;(TODAY()-(Data_Val!$M$3*365.25)),Data!#REF!&lt;=(TODAY()-(Data_Val!$M$2*365.25))),0,1),1))</f>
        <v>#REF!</v>
      </c>
      <c r="BK524" s="13" t="e">
        <f>IF(Data!#REF!="","",IF(Data!$G524="",1,IF(ISNUMBER(MATCH(Data!#REF!,Data_Val!$D$2:$D$10,0)),0,1)))</f>
        <v>#REF!</v>
      </c>
    </row>
    <row r="525" spans="1:63" x14ac:dyDescent="0.25">
      <c r="A525" s="9" t="str">
        <f>IF(Data!B525="","",IF(COUNTIFS(Data!A$1:'Data'!A525,Data!A525)&lt;=1,0,1))</f>
        <v/>
      </c>
      <c r="B525" s="9"/>
      <c r="C525" s="23" t="str">
        <f>IF(Data!C525="","",(IF(ISNUMBER(MATCH("*@*.?*",Data!C525,0)),0,1)+IF(COUNTIFS(Data!C$1:'Data'!C525,Data!C525)&gt;1,1,0)))</f>
        <v/>
      </c>
      <c r="D525" s="9" t="str">
        <f>IF(Data!B525="","",IF(ISNUMBER(Data!D525),IF(AND(Data!D525&gt;999999999,Data!D525&lt;=9999999999),IF(COUNTIFS(Data!D$1:'Data'!D525,Data!D525)&lt;=1,0,1),1),1))</f>
        <v/>
      </c>
      <c r="E525" s="9" t="str">
        <f>IF(Data!B525="","",IF(ISNUMBER(MATCH(Data!E525,Data_Val!$A$2:$A$3,0)),0,1))</f>
        <v/>
      </c>
      <c r="F525" s="9" t="str">
        <f ca="1">IF(Data!B525="","",IF(ISNUMBER(Data!F525),IF(AND(Data!F525&gt;(TODAY()-(Data_Val!$H$3*365.25)),Data!F525&lt;=(TODAY()-(Data_Val!$H$2*365.25))),0,1),1))</f>
        <v/>
      </c>
      <c r="G525" s="15" t="str">
        <f>IF(Data!B525="","",IF(AND(Data!G525="",Data!H525&lt;&gt;""),1,IF(Data!#REF!&lt;&gt;"",0,IF(ISNUMBER(MATCH(Data!G525,Data_Val!$C$2:$C$5,0)),0,1))))</f>
        <v/>
      </c>
      <c r="H525" s="15" t="str">
        <f>IF(Data!B525="","",IF(AND(Data!G525&lt;&gt;"",Data!H525=""),1,IF(Data!#REF!&lt;&gt;"",0,IF(Data!G525="",1,IF(ISNUMBER(MATCH(Data!H525,Data_Val!$D$2:$D$35,0)),0,1)))))</f>
        <v/>
      </c>
      <c r="I525" s="15" t="str">
        <f>IF(Data!B525="","",IF(Data!G525&lt;&gt;"",0,IF(ISNUMBER(MATCH(Data!#REF!,Data_Val!$E$2:$E$12,0)),0,1)))</f>
        <v/>
      </c>
      <c r="J525" s="16" t="e">
        <f>IF(OR(Data!B525="",Data!#REF!=""),"",IF(Data!#REF!="",1,0))</f>
        <v>#REF!</v>
      </c>
      <c r="K525" s="16" t="e">
        <f>IF(OR(Data!B525="",Data!#REF!=""),"",IF(Data!#REF!="",1,0))</f>
        <v>#REF!</v>
      </c>
      <c r="L525" s="16" t="e">
        <f>IF(OR(Data!B525="",Data!#REF!=""),"",IF(ISNUMBER(Data!#REF!),IF(AND(Data!#REF!&gt;Data_Val!$G$2,Data!#REF!&lt;=Data_Val!$G$3),0,1),1))</f>
        <v>#REF!</v>
      </c>
      <c r="M525" s="9" t="e">
        <f>IF(OR(Data!B525="",Data!#REF!=""),"",IF(ISNUMBER(MATCH(Data!#REF!,Data_Val!$F$1:$F$38,0)),0,1))</f>
        <v>#REF!</v>
      </c>
      <c r="N525" s="9" t="e">
        <f>IF(OR(Data!B525="",Data!#REF!=""),"",IF(Data!#REF!="",1,0))</f>
        <v>#REF!</v>
      </c>
      <c r="O525" s="17" t="e">
        <f>IF(Data!#REF!="","",IF(Data!#REF!="",1,0))</f>
        <v>#REF!</v>
      </c>
      <c r="P525" s="17" t="e">
        <f>IF(Data!#REF!="","",IF(ISNUMBER(MATCH(Data!#REF!,Data_Val!$A$2:$A$3,0)),0,1))</f>
        <v>#REF!</v>
      </c>
      <c r="Q525" s="25" t="e">
        <f ca="1">IF(Data!#REF!="","",IF(ISNUMBER(Data!#REF!),IF(AND(Data!#REF!&gt;(TODAY()-(Data_Val!$J$3*365.25)),Data!#REF!&lt;=(TODAY()-(Data_Val!$J$2*365.25))),0,1),1))</f>
        <v>#REF!</v>
      </c>
      <c r="R525" s="17" t="e">
        <f>IF(Data!#REF!="","",IF(ISNUMBER(MATCH(Data!#REF!,Data_Val!$B$2:$B$15,0)),0,1))</f>
        <v>#REF!</v>
      </c>
      <c r="S525" s="11" t="str">
        <f>IF(Data!G525="","",IF(Data!G525=Data_Val!$C$2,IF(Data!M525="",0,1),0))</f>
        <v/>
      </c>
      <c r="T525" s="11" t="str">
        <f>IF(Data!M525="","",IF(ISNUMBER(MATCH(Data!N525,Data_Val!$A$2:$A$3,0)),0,1))</f>
        <v/>
      </c>
      <c r="U525" s="11" t="str">
        <f ca="1">IF(Data!M525="","",IF(ISNUMBER(Data!O525),IF(AND(Data!O525&gt;(TODAY()-(Data_Val!$K$3*365.25)),Data!O525&lt;=(TODAY()-(Data_Val!$K$2*365.25))),0,1),1))</f>
        <v/>
      </c>
      <c r="V525" s="12" t="str">
        <f>IF(Data!G525="","",IF(Data!G525=Data_Val!$C$2,IF(Data!P525="",0,1),0))</f>
        <v/>
      </c>
      <c r="W525" s="12" t="str">
        <f>IF(Data!P525="","",IF(ISNUMBER(MATCH(Data!Q525,Data_Val!$A$2:$A$3,0)),0,1))</f>
        <v/>
      </c>
      <c r="X525" s="26" t="str">
        <f ca="1">IF(Data!P525="","",IF(ISNUMBER(Data!R525),IF(AND(Data!R525&gt;(TODAY()-(Data_Val!$L$3*365.25)),Data!R525&lt;=(TODAY()-(Data_Val!$L$2*365.25))),0,1),1))</f>
        <v/>
      </c>
      <c r="Y525" s="13" t="str">
        <f>IF(Data!$G525="","",IF(Data!$G525=Data_Val!$C$2,IF(Data!S525="",0,1),0))</f>
        <v/>
      </c>
      <c r="Z525" s="13" t="str">
        <f>IF(Data!S525="","",IF(ISNUMBER(MATCH(Data!T525,Data_Val!$A$2:$A$3,0)),0,1))</f>
        <v/>
      </c>
      <c r="AA525" s="28" t="str">
        <f ca="1">IF(Data!S525="","",IF(ISNUMBER(Data!U525),IF(AND(Data!U525&gt;(TODAY()-(Data_Val!$L$3*365.25)),Data!U525&lt;=(TODAY()-(Data_Val!$L$2*365.25))),0,1),1))</f>
        <v/>
      </c>
      <c r="AB525" s="11"/>
      <c r="AC525" s="11" t="e">
        <f>IF(Data!#REF!="","",IF(ISNUMBER(MATCH(Data!#REF!,Data_Val!$A$2:$A$3,0)),0,1))</f>
        <v>#REF!</v>
      </c>
      <c r="AD525" s="11" t="e">
        <f ca="1">IF(Data!#REF!="","",IF(ISNUMBER(Data!#REF!),IF(AND(Data!#REF!&gt;(TODAY()-(Data_Val!$L$3*365.25)),Data!#REF!&lt;=(TODAY()-(Data_Val!$L$2*365.25))),0,1),1))</f>
        <v>#REF!</v>
      </c>
      <c r="AE525" s="11" t="e">
        <f>IF(Data!#REF!="","",IF(Data!$G525="",1,IF(ISNUMBER(MATCH(Data!#REF!,Data_Val!$D$2:$D$10,0)),0,1)))</f>
        <v>#REF!</v>
      </c>
      <c r="AF525" s="12"/>
      <c r="AG525" s="12" t="e">
        <f>IF(Data!#REF!="","",IF(ISNUMBER(MATCH(Data!#REF!,Data_Val!$A$2:$A$3,0)),0,1))</f>
        <v>#REF!</v>
      </c>
      <c r="AH525" s="26" t="e">
        <f ca="1">IF(Data!#REF!="","",IF(ISNUMBER(Data!#REF!),IF(AND(Data!#REF!&gt;(TODAY()-(Data_Val!$L$3*365.25)),Data!#REF!&lt;=(TODAY()-(Data_Val!$L$2*365.25))),0,1),1))</f>
        <v>#REF!</v>
      </c>
      <c r="AI525" s="12" t="e">
        <f>IF(Data!#REF!="","",IF(Data!$G525="",1,IF(ISNUMBER(MATCH(Data!#REF!,Data_Val!$D$2:$D$10,0)),0,1)))</f>
        <v>#REF!</v>
      </c>
      <c r="AJ525" s="17"/>
      <c r="AK525" s="17" t="e">
        <f>IF(Data!#REF!="","",IF(ISNUMBER(MATCH(Data!#REF!,Data_Val!$A$2:$A$3,0)),0,1))</f>
        <v>#REF!</v>
      </c>
      <c r="AL525" s="25" t="e">
        <f ca="1">IF(Data!#REF!="","",IF(ISNUMBER(Data!#REF!),IF(AND(Data!#REF!&gt;(TODAY()-(Data_Val!$L$3*365.25)),Data!#REF!&lt;=(TODAY()-(Data_Val!$L$2*365.25))),0,1),1))</f>
        <v>#REF!</v>
      </c>
      <c r="AM525" s="17" t="e">
        <f>IF(Data!#REF!="","",IF(Data!$G525="",1,IF(ISNUMBER(MATCH(Data!#REF!,Data_Val!$D$2:$D$10,0)),0,1)))</f>
        <v>#REF!</v>
      </c>
      <c r="AN525" s="13"/>
      <c r="AO525" s="28" t="e">
        <f ca="1">IF(Data!#REF!="","",IF(ISNUMBER(Data!#REF!),IF(AND(Data!#REF!&gt;(TODAY()-(Data_Val!$I$3*365.25)),Data!#REF!&lt;=(TODAY()-(Data_Val!$I$2*365.25))),0,1),1))</f>
        <v>#REF!</v>
      </c>
      <c r="AP525" s="13" t="e">
        <f>IF(Data!#REF!="","",IF(Data!$G525="",1,IF(ISNUMBER(MATCH(Data!#REF!,Data_Val!$D$2:$D$10,0)),0,1)))</f>
        <v>#REF!</v>
      </c>
      <c r="AQ525" s="17"/>
      <c r="AR525" s="30" t="e">
        <f ca="1">IF(Data!#REF!="","",IF(ISNUMBER(Data!#REF!),IF(AND(Data!#REF!&gt;(TODAY()-(Data_Val!$I$3*365.25)),Data!#REF!&lt;=(TODAY()-(Data_Val!$I$2*365.25))),0,1),1))</f>
        <v>#REF!</v>
      </c>
      <c r="AS525" s="31" t="e">
        <f>IF(Data!#REF!="","",IF(Data!$G525="",1,IF(ISNUMBER(MATCH(Data!#REF!,Data_Val!$D$2:$D$10,0)),0,1)))</f>
        <v>#REF!</v>
      </c>
      <c r="AT525" s="11"/>
      <c r="AU525" s="11" t="e">
        <f ca="1">IF(Data!#REF!="","",IF(ISNUMBER(Data!#REF!),IF(AND(Data!#REF!&gt;(TODAY()-(Data_Val!$I$3*365.25)),Data!#REF!&lt;=(TODAY()-(Data_Val!$I$2*365.25))),0,1),1))</f>
        <v>#REF!</v>
      </c>
      <c r="AV525" s="11" t="e">
        <f>IF(Data!#REF!="","",IF(Data!$G525="",1,IF(ISNUMBER(MATCH(Data!#REF!,Data_Val!$D$2:$D$10,0)),0,1)))</f>
        <v>#REF!</v>
      </c>
      <c r="AW525" s="12"/>
      <c r="AX525" s="26" t="e">
        <f ca="1">IF(Data!#REF!="","",IF(ISNUMBER(Data!#REF!),IF(AND(Data!#REF!&gt;(TODAY()-(Data_Val!$I$3*365.25)),Data!#REF!&lt;=(TODAY()-(Data_Val!$I$2*365.25))),0,1),1))</f>
        <v>#REF!</v>
      </c>
      <c r="AY525" s="12" t="e">
        <f>IF(Data!#REF!="","",IF(Data!$G525="",1,IF(ISNUMBER(MATCH(Data!#REF!,Data_Val!$D$2:$D$10,0)),0,1)))</f>
        <v>#REF!</v>
      </c>
      <c r="AZ525" s="11"/>
      <c r="BA525" s="19" t="e">
        <f ca="1">IF(Data!#REF!="","",IF(ISNUMBER(Data!#REF!),IF(AND(Data!#REF!&gt;(TODAY()-(Data_Val!$M$3*365.25)),Data!#REF!&lt;=(TODAY()-(Data_Val!$M$2*365.25))),0,1),1))</f>
        <v>#REF!</v>
      </c>
      <c r="BB525" s="11" t="e">
        <f>IF(Data!#REF!="","",IF(Data!$G525="",1,IF(ISNUMBER(MATCH(Data!#REF!,Data_Val!$D$2:$D$10,0)),0,1)))</f>
        <v>#REF!</v>
      </c>
      <c r="BC525" s="12"/>
      <c r="BD525" s="20" t="e">
        <f ca="1">IF(Data!#REF!="","",IF(ISNUMBER(Data!#REF!),IF(AND(Data!#REF!&gt;(TODAY()-(Data_Val!$M$3*365.25)),Data!#REF!&lt;=(TODAY()-(Data_Val!$M$2*365.25))),0,1),1))</f>
        <v>#REF!</v>
      </c>
      <c r="BE525" s="12" t="e">
        <f>IF(Data!#REF!="","",IF(Data!$G525="",1,IF(ISNUMBER(MATCH(Data!#REF!,Data_Val!$D$2:$D$10,0)),0,1)))</f>
        <v>#REF!</v>
      </c>
      <c r="BF525" s="17"/>
      <c r="BG525" s="18" t="e">
        <f ca="1">IF(Data!#REF!="","",IF(ISNUMBER(Data!#REF!),IF(AND(Data!#REF!&gt;(TODAY()-(Data_Val!$M$3*365.25)),Data!#REF!&lt;=(TODAY()-(Data_Val!$M$2*365.25))),0,1),1))</f>
        <v>#REF!</v>
      </c>
      <c r="BH525" s="29" t="e">
        <f>IF(Data!#REF!="","",IF(Data!$G525="",1,IF(ISNUMBER(MATCH(Data!#REF!,Data_Val!$D$2:$D$10,0)),0,1)))</f>
        <v>#REF!</v>
      </c>
      <c r="BI525" s="13"/>
      <c r="BJ525" s="21" t="e">
        <f ca="1">IF(Data!#REF!="","",IF(ISNUMBER(Data!#REF!),IF(AND(Data!#REF!&gt;(TODAY()-(Data_Val!$M$3*365.25)),Data!#REF!&lt;=(TODAY()-(Data_Val!$M$2*365.25))),0,1),1))</f>
        <v>#REF!</v>
      </c>
      <c r="BK525" s="13" t="e">
        <f>IF(Data!#REF!="","",IF(Data!$G525="",1,IF(ISNUMBER(MATCH(Data!#REF!,Data_Val!$D$2:$D$10,0)),0,1)))</f>
        <v>#REF!</v>
      </c>
    </row>
    <row r="526" spans="1:63" x14ac:dyDescent="0.25">
      <c r="A526" s="9" t="str">
        <f>IF(Data!B526="","",IF(COUNTIFS(Data!A$1:'Data'!A526,Data!A526)&lt;=1,0,1))</f>
        <v/>
      </c>
      <c r="B526" s="9"/>
      <c r="C526" s="23" t="str">
        <f>IF(Data!C526="","",(IF(ISNUMBER(MATCH("*@*.?*",Data!C526,0)),0,1)+IF(COUNTIFS(Data!C$1:'Data'!C526,Data!C526)&gt;1,1,0)))</f>
        <v/>
      </c>
      <c r="D526" s="9" t="str">
        <f>IF(Data!B526="","",IF(ISNUMBER(Data!D526),IF(AND(Data!D526&gt;999999999,Data!D526&lt;=9999999999),IF(COUNTIFS(Data!D$1:'Data'!D526,Data!D526)&lt;=1,0,1),1),1))</f>
        <v/>
      </c>
      <c r="E526" s="9" t="str">
        <f>IF(Data!B526="","",IF(ISNUMBER(MATCH(Data!E526,Data_Val!$A$2:$A$3,0)),0,1))</f>
        <v/>
      </c>
      <c r="F526" s="9" t="str">
        <f ca="1">IF(Data!B526="","",IF(ISNUMBER(Data!F526),IF(AND(Data!F526&gt;(TODAY()-(Data_Val!$H$3*365.25)),Data!F526&lt;=(TODAY()-(Data_Val!$H$2*365.25))),0,1),1))</f>
        <v/>
      </c>
      <c r="G526" s="15" t="str">
        <f>IF(Data!B526="","",IF(AND(Data!G526="",Data!H526&lt;&gt;""),1,IF(Data!#REF!&lt;&gt;"",0,IF(ISNUMBER(MATCH(Data!G526,Data_Val!$C$2:$C$5,0)),0,1))))</f>
        <v/>
      </c>
      <c r="H526" s="15" t="str">
        <f>IF(Data!B526="","",IF(AND(Data!G526&lt;&gt;"",Data!H526=""),1,IF(Data!#REF!&lt;&gt;"",0,IF(Data!G526="",1,IF(ISNUMBER(MATCH(Data!H526,Data_Val!$D$2:$D$35,0)),0,1)))))</f>
        <v/>
      </c>
      <c r="I526" s="15" t="str">
        <f>IF(Data!B526="","",IF(Data!G526&lt;&gt;"",0,IF(ISNUMBER(MATCH(Data!#REF!,Data_Val!$E$2:$E$12,0)),0,1)))</f>
        <v/>
      </c>
      <c r="J526" s="16" t="e">
        <f>IF(OR(Data!B526="",Data!#REF!=""),"",IF(Data!#REF!="",1,0))</f>
        <v>#REF!</v>
      </c>
      <c r="K526" s="16" t="e">
        <f>IF(OR(Data!B526="",Data!#REF!=""),"",IF(Data!#REF!="",1,0))</f>
        <v>#REF!</v>
      </c>
      <c r="L526" s="16" t="e">
        <f>IF(OR(Data!B526="",Data!#REF!=""),"",IF(ISNUMBER(Data!#REF!),IF(AND(Data!#REF!&gt;Data_Val!$G$2,Data!#REF!&lt;=Data_Val!$G$3),0,1),1))</f>
        <v>#REF!</v>
      </c>
      <c r="M526" s="9" t="e">
        <f>IF(OR(Data!B526="",Data!#REF!=""),"",IF(ISNUMBER(MATCH(Data!#REF!,Data_Val!$F$1:$F$38,0)),0,1))</f>
        <v>#REF!</v>
      </c>
      <c r="N526" s="9" t="e">
        <f>IF(OR(Data!B526="",Data!#REF!=""),"",IF(Data!#REF!="",1,0))</f>
        <v>#REF!</v>
      </c>
      <c r="O526" s="17" t="e">
        <f>IF(Data!#REF!="","",IF(Data!#REF!="",1,0))</f>
        <v>#REF!</v>
      </c>
      <c r="P526" s="17" t="e">
        <f>IF(Data!#REF!="","",IF(ISNUMBER(MATCH(Data!#REF!,Data_Val!$A$2:$A$3,0)),0,1))</f>
        <v>#REF!</v>
      </c>
      <c r="Q526" s="25" t="e">
        <f ca="1">IF(Data!#REF!="","",IF(ISNUMBER(Data!#REF!),IF(AND(Data!#REF!&gt;(TODAY()-(Data_Val!$J$3*365.25)),Data!#REF!&lt;=(TODAY()-(Data_Val!$J$2*365.25))),0,1),1))</f>
        <v>#REF!</v>
      </c>
      <c r="R526" s="17" t="e">
        <f>IF(Data!#REF!="","",IF(ISNUMBER(MATCH(Data!#REF!,Data_Val!$B$2:$B$15,0)),0,1))</f>
        <v>#REF!</v>
      </c>
      <c r="S526" s="11" t="str">
        <f>IF(Data!G526="","",IF(Data!G526=Data_Val!$C$2,IF(Data!M526="",0,1),0))</f>
        <v/>
      </c>
      <c r="T526" s="11" t="str">
        <f>IF(Data!M526="","",IF(ISNUMBER(MATCH(Data!N526,Data_Val!$A$2:$A$3,0)),0,1))</f>
        <v/>
      </c>
      <c r="U526" s="11" t="str">
        <f ca="1">IF(Data!M526="","",IF(ISNUMBER(Data!O526),IF(AND(Data!O526&gt;(TODAY()-(Data_Val!$K$3*365.25)),Data!O526&lt;=(TODAY()-(Data_Val!$K$2*365.25))),0,1),1))</f>
        <v/>
      </c>
      <c r="V526" s="12" t="str">
        <f>IF(Data!G526="","",IF(Data!G526=Data_Val!$C$2,IF(Data!P526="",0,1),0))</f>
        <v/>
      </c>
      <c r="W526" s="12" t="str">
        <f>IF(Data!P526="","",IF(ISNUMBER(MATCH(Data!Q526,Data_Val!$A$2:$A$3,0)),0,1))</f>
        <v/>
      </c>
      <c r="X526" s="26" t="str">
        <f ca="1">IF(Data!P526="","",IF(ISNUMBER(Data!R526),IF(AND(Data!R526&gt;(TODAY()-(Data_Val!$L$3*365.25)),Data!R526&lt;=(TODAY()-(Data_Val!$L$2*365.25))),0,1),1))</f>
        <v/>
      </c>
      <c r="Y526" s="13" t="str">
        <f>IF(Data!$G526="","",IF(Data!$G526=Data_Val!$C$2,IF(Data!S526="",0,1),0))</f>
        <v/>
      </c>
      <c r="Z526" s="13" t="str">
        <f>IF(Data!S526="","",IF(ISNUMBER(MATCH(Data!T526,Data_Val!$A$2:$A$3,0)),0,1))</f>
        <v/>
      </c>
      <c r="AA526" s="28" t="str">
        <f ca="1">IF(Data!S526="","",IF(ISNUMBER(Data!U526),IF(AND(Data!U526&gt;(TODAY()-(Data_Val!$L$3*365.25)),Data!U526&lt;=(TODAY()-(Data_Val!$L$2*365.25))),0,1),1))</f>
        <v/>
      </c>
      <c r="AB526" s="11"/>
      <c r="AC526" s="11" t="e">
        <f>IF(Data!#REF!="","",IF(ISNUMBER(MATCH(Data!#REF!,Data_Val!$A$2:$A$3,0)),0,1))</f>
        <v>#REF!</v>
      </c>
      <c r="AD526" s="11" t="e">
        <f ca="1">IF(Data!#REF!="","",IF(ISNUMBER(Data!#REF!),IF(AND(Data!#REF!&gt;(TODAY()-(Data_Val!$L$3*365.25)),Data!#REF!&lt;=(TODAY()-(Data_Val!$L$2*365.25))),0,1),1))</f>
        <v>#REF!</v>
      </c>
      <c r="AE526" s="11" t="e">
        <f>IF(Data!#REF!="","",IF(Data!$G526="",1,IF(ISNUMBER(MATCH(Data!#REF!,Data_Val!$D$2:$D$10,0)),0,1)))</f>
        <v>#REF!</v>
      </c>
      <c r="AF526" s="12"/>
      <c r="AG526" s="12" t="e">
        <f>IF(Data!#REF!="","",IF(ISNUMBER(MATCH(Data!#REF!,Data_Val!$A$2:$A$3,0)),0,1))</f>
        <v>#REF!</v>
      </c>
      <c r="AH526" s="26" t="e">
        <f ca="1">IF(Data!#REF!="","",IF(ISNUMBER(Data!#REF!),IF(AND(Data!#REF!&gt;(TODAY()-(Data_Val!$L$3*365.25)),Data!#REF!&lt;=(TODAY()-(Data_Val!$L$2*365.25))),0,1),1))</f>
        <v>#REF!</v>
      </c>
      <c r="AI526" s="12" t="e">
        <f>IF(Data!#REF!="","",IF(Data!$G526="",1,IF(ISNUMBER(MATCH(Data!#REF!,Data_Val!$D$2:$D$10,0)),0,1)))</f>
        <v>#REF!</v>
      </c>
      <c r="AJ526" s="17"/>
      <c r="AK526" s="17" t="e">
        <f>IF(Data!#REF!="","",IF(ISNUMBER(MATCH(Data!#REF!,Data_Val!$A$2:$A$3,0)),0,1))</f>
        <v>#REF!</v>
      </c>
      <c r="AL526" s="25" t="e">
        <f ca="1">IF(Data!#REF!="","",IF(ISNUMBER(Data!#REF!),IF(AND(Data!#REF!&gt;(TODAY()-(Data_Val!$L$3*365.25)),Data!#REF!&lt;=(TODAY()-(Data_Val!$L$2*365.25))),0,1),1))</f>
        <v>#REF!</v>
      </c>
      <c r="AM526" s="17" t="e">
        <f>IF(Data!#REF!="","",IF(Data!$G526="",1,IF(ISNUMBER(MATCH(Data!#REF!,Data_Val!$D$2:$D$10,0)),0,1)))</f>
        <v>#REF!</v>
      </c>
      <c r="AN526" s="13"/>
      <c r="AO526" s="28" t="e">
        <f ca="1">IF(Data!#REF!="","",IF(ISNUMBER(Data!#REF!),IF(AND(Data!#REF!&gt;(TODAY()-(Data_Val!$I$3*365.25)),Data!#REF!&lt;=(TODAY()-(Data_Val!$I$2*365.25))),0,1),1))</f>
        <v>#REF!</v>
      </c>
      <c r="AP526" s="13" t="e">
        <f>IF(Data!#REF!="","",IF(Data!$G526="",1,IF(ISNUMBER(MATCH(Data!#REF!,Data_Val!$D$2:$D$10,0)),0,1)))</f>
        <v>#REF!</v>
      </c>
      <c r="AQ526" s="17"/>
      <c r="AR526" s="30" t="e">
        <f ca="1">IF(Data!#REF!="","",IF(ISNUMBER(Data!#REF!),IF(AND(Data!#REF!&gt;(TODAY()-(Data_Val!$I$3*365.25)),Data!#REF!&lt;=(TODAY()-(Data_Val!$I$2*365.25))),0,1),1))</f>
        <v>#REF!</v>
      </c>
      <c r="AS526" s="31" t="e">
        <f>IF(Data!#REF!="","",IF(Data!$G526="",1,IF(ISNUMBER(MATCH(Data!#REF!,Data_Val!$D$2:$D$10,0)),0,1)))</f>
        <v>#REF!</v>
      </c>
      <c r="AT526" s="11"/>
      <c r="AU526" s="11" t="e">
        <f ca="1">IF(Data!#REF!="","",IF(ISNUMBER(Data!#REF!),IF(AND(Data!#REF!&gt;(TODAY()-(Data_Val!$I$3*365.25)),Data!#REF!&lt;=(TODAY()-(Data_Val!$I$2*365.25))),0,1),1))</f>
        <v>#REF!</v>
      </c>
      <c r="AV526" s="11" t="e">
        <f>IF(Data!#REF!="","",IF(Data!$G526="",1,IF(ISNUMBER(MATCH(Data!#REF!,Data_Val!$D$2:$D$10,0)),0,1)))</f>
        <v>#REF!</v>
      </c>
      <c r="AW526" s="12"/>
      <c r="AX526" s="26" t="e">
        <f ca="1">IF(Data!#REF!="","",IF(ISNUMBER(Data!#REF!),IF(AND(Data!#REF!&gt;(TODAY()-(Data_Val!$I$3*365.25)),Data!#REF!&lt;=(TODAY()-(Data_Val!$I$2*365.25))),0,1),1))</f>
        <v>#REF!</v>
      </c>
      <c r="AY526" s="12" t="e">
        <f>IF(Data!#REF!="","",IF(Data!$G526="",1,IF(ISNUMBER(MATCH(Data!#REF!,Data_Val!$D$2:$D$10,0)),0,1)))</f>
        <v>#REF!</v>
      </c>
      <c r="AZ526" s="11"/>
      <c r="BA526" s="19" t="e">
        <f ca="1">IF(Data!#REF!="","",IF(ISNUMBER(Data!#REF!),IF(AND(Data!#REF!&gt;(TODAY()-(Data_Val!$M$3*365.25)),Data!#REF!&lt;=(TODAY()-(Data_Val!$M$2*365.25))),0,1),1))</f>
        <v>#REF!</v>
      </c>
      <c r="BB526" s="11" t="e">
        <f>IF(Data!#REF!="","",IF(Data!$G526="",1,IF(ISNUMBER(MATCH(Data!#REF!,Data_Val!$D$2:$D$10,0)),0,1)))</f>
        <v>#REF!</v>
      </c>
      <c r="BC526" s="12"/>
      <c r="BD526" s="20" t="e">
        <f ca="1">IF(Data!#REF!="","",IF(ISNUMBER(Data!#REF!),IF(AND(Data!#REF!&gt;(TODAY()-(Data_Val!$M$3*365.25)),Data!#REF!&lt;=(TODAY()-(Data_Val!$M$2*365.25))),0,1),1))</f>
        <v>#REF!</v>
      </c>
      <c r="BE526" s="12" t="e">
        <f>IF(Data!#REF!="","",IF(Data!$G526="",1,IF(ISNUMBER(MATCH(Data!#REF!,Data_Val!$D$2:$D$10,0)),0,1)))</f>
        <v>#REF!</v>
      </c>
      <c r="BF526" s="17"/>
      <c r="BG526" s="18" t="e">
        <f ca="1">IF(Data!#REF!="","",IF(ISNUMBER(Data!#REF!),IF(AND(Data!#REF!&gt;(TODAY()-(Data_Val!$M$3*365.25)),Data!#REF!&lt;=(TODAY()-(Data_Val!$M$2*365.25))),0,1),1))</f>
        <v>#REF!</v>
      </c>
      <c r="BH526" s="29" t="e">
        <f>IF(Data!#REF!="","",IF(Data!$G526="",1,IF(ISNUMBER(MATCH(Data!#REF!,Data_Val!$D$2:$D$10,0)),0,1)))</f>
        <v>#REF!</v>
      </c>
      <c r="BI526" s="13"/>
      <c r="BJ526" s="21" t="e">
        <f ca="1">IF(Data!#REF!="","",IF(ISNUMBER(Data!#REF!),IF(AND(Data!#REF!&gt;(TODAY()-(Data_Val!$M$3*365.25)),Data!#REF!&lt;=(TODAY()-(Data_Val!$M$2*365.25))),0,1),1))</f>
        <v>#REF!</v>
      </c>
      <c r="BK526" s="13" t="e">
        <f>IF(Data!#REF!="","",IF(Data!$G526="",1,IF(ISNUMBER(MATCH(Data!#REF!,Data_Val!$D$2:$D$10,0)),0,1)))</f>
        <v>#REF!</v>
      </c>
    </row>
    <row r="527" spans="1:63" x14ac:dyDescent="0.25">
      <c r="A527" s="9" t="str">
        <f>IF(Data!B527="","",IF(COUNTIFS(Data!A$1:'Data'!A527,Data!A527)&lt;=1,0,1))</f>
        <v/>
      </c>
      <c r="B527" s="9"/>
      <c r="C527" s="23" t="str">
        <f>IF(Data!C527="","",(IF(ISNUMBER(MATCH("*@*.?*",Data!C527,0)),0,1)+IF(COUNTIFS(Data!C$1:'Data'!C527,Data!C527)&gt;1,1,0)))</f>
        <v/>
      </c>
      <c r="D527" s="9" t="str">
        <f>IF(Data!B527="","",IF(ISNUMBER(Data!D527),IF(AND(Data!D527&gt;999999999,Data!D527&lt;=9999999999),IF(COUNTIFS(Data!D$1:'Data'!D527,Data!D527)&lt;=1,0,1),1),1))</f>
        <v/>
      </c>
      <c r="E527" s="9" t="str">
        <f>IF(Data!B527="","",IF(ISNUMBER(MATCH(Data!E527,Data_Val!$A$2:$A$3,0)),0,1))</f>
        <v/>
      </c>
      <c r="F527" s="9" t="str">
        <f ca="1">IF(Data!B527="","",IF(ISNUMBER(Data!F527),IF(AND(Data!F527&gt;(TODAY()-(Data_Val!$H$3*365.25)),Data!F527&lt;=(TODAY()-(Data_Val!$H$2*365.25))),0,1),1))</f>
        <v/>
      </c>
      <c r="G527" s="15" t="str">
        <f>IF(Data!B527="","",IF(AND(Data!G527="",Data!H527&lt;&gt;""),1,IF(Data!#REF!&lt;&gt;"",0,IF(ISNUMBER(MATCH(Data!G527,Data_Val!$C$2:$C$5,0)),0,1))))</f>
        <v/>
      </c>
      <c r="H527" s="15" t="str">
        <f>IF(Data!B527="","",IF(AND(Data!G527&lt;&gt;"",Data!H527=""),1,IF(Data!#REF!&lt;&gt;"",0,IF(Data!G527="",1,IF(ISNUMBER(MATCH(Data!H527,Data_Val!$D$2:$D$35,0)),0,1)))))</f>
        <v/>
      </c>
      <c r="I527" s="15" t="str">
        <f>IF(Data!B527="","",IF(Data!G527&lt;&gt;"",0,IF(ISNUMBER(MATCH(Data!#REF!,Data_Val!$E$2:$E$12,0)),0,1)))</f>
        <v/>
      </c>
      <c r="J527" s="16" t="e">
        <f>IF(OR(Data!B527="",Data!#REF!=""),"",IF(Data!#REF!="",1,0))</f>
        <v>#REF!</v>
      </c>
      <c r="K527" s="16" t="e">
        <f>IF(OR(Data!B527="",Data!#REF!=""),"",IF(Data!#REF!="",1,0))</f>
        <v>#REF!</v>
      </c>
      <c r="L527" s="16" t="e">
        <f>IF(OR(Data!B527="",Data!#REF!=""),"",IF(ISNUMBER(Data!#REF!),IF(AND(Data!#REF!&gt;Data_Val!$G$2,Data!#REF!&lt;=Data_Val!$G$3),0,1),1))</f>
        <v>#REF!</v>
      </c>
      <c r="M527" s="9" t="e">
        <f>IF(OR(Data!B527="",Data!#REF!=""),"",IF(ISNUMBER(MATCH(Data!#REF!,Data_Val!$F$1:$F$38,0)),0,1))</f>
        <v>#REF!</v>
      </c>
      <c r="N527" s="9" t="e">
        <f>IF(OR(Data!B527="",Data!#REF!=""),"",IF(Data!#REF!="",1,0))</f>
        <v>#REF!</v>
      </c>
      <c r="O527" s="17" t="e">
        <f>IF(Data!#REF!="","",IF(Data!#REF!="",1,0))</f>
        <v>#REF!</v>
      </c>
      <c r="P527" s="17" t="e">
        <f>IF(Data!#REF!="","",IF(ISNUMBER(MATCH(Data!#REF!,Data_Val!$A$2:$A$3,0)),0,1))</f>
        <v>#REF!</v>
      </c>
      <c r="Q527" s="25" t="e">
        <f ca="1">IF(Data!#REF!="","",IF(ISNUMBER(Data!#REF!),IF(AND(Data!#REF!&gt;(TODAY()-(Data_Val!$J$3*365.25)),Data!#REF!&lt;=(TODAY()-(Data_Val!$J$2*365.25))),0,1),1))</f>
        <v>#REF!</v>
      </c>
      <c r="R527" s="17" t="e">
        <f>IF(Data!#REF!="","",IF(ISNUMBER(MATCH(Data!#REF!,Data_Val!$B$2:$B$15,0)),0,1))</f>
        <v>#REF!</v>
      </c>
      <c r="S527" s="11" t="str">
        <f>IF(Data!G527="","",IF(Data!G527=Data_Val!$C$2,IF(Data!M527="",0,1),0))</f>
        <v/>
      </c>
      <c r="T527" s="11" t="str">
        <f>IF(Data!M527="","",IF(ISNUMBER(MATCH(Data!N527,Data_Val!$A$2:$A$3,0)),0,1))</f>
        <v/>
      </c>
      <c r="U527" s="11" t="str">
        <f ca="1">IF(Data!M527="","",IF(ISNUMBER(Data!O527),IF(AND(Data!O527&gt;(TODAY()-(Data_Val!$K$3*365.25)),Data!O527&lt;=(TODAY()-(Data_Val!$K$2*365.25))),0,1),1))</f>
        <v/>
      </c>
      <c r="V527" s="12" t="str">
        <f>IF(Data!G527="","",IF(Data!G527=Data_Val!$C$2,IF(Data!P527="",0,1),0))</f>
        <v/>
      </c>
      <c r="W527" s="12" t="str">
        <f>IF(Data!P527="","",IF(ISNUMBER(MATCH(Data!Q527,Data_Val!$A$2:$A$3,0)),0,1))</f>
        <v/>
      </c>
      <c r="X527" s="26" t="str">
        <f ca="1">IF(Data!P527="","",IF(ISNUMBER(Data!R527),IF(AND(Data!R527&gt;(TODAY()-(Data_Val!$L$3*365.25)),Data!R527&lt;=(TODAY()-(Data_Val!$L$2*365.25))),0,1),1))</f>
        <v/>
      </c>
      <c r="Y527" s="13" t="str">
        <f>IF(Data!$G527="","",IF(Data!$G527=Data_Val!$C$2,IF(Data!S527="",0,1),0))</f>
        <v/>
      </c>
      <c r="Z527" s="13" t="str">
        <f>IF(Data!S527="","",IF(ISNUMBER(MATCH(Data!T527,Data_Val!$A$2:$A$3,0)),0,1))</f>
        <v/>
      </c>
      <c r="AA527" s="28" t="str">
        <f ca="1">IF(Data!S527="","",IF(ISNUMBER(Data!U527),IF(AND(Data!U527&gt;(TODAY()-(Data_Val!$L$3*365.25)),Data!U527&lt;=(TODAY()-(Data_Val!$L$2*365.25))),0,1),1))</f>
        <v/>
      </c>
      <c r="AB527" s="11"/>
      <c r="AC527" s="11" t="e">
        <f>IF(Data!#REF!="","",IF(ISNUMBER(MATCH(Data!#REF!,Data_Val!$A$2:$A$3,0)),0,1))</f>
        <v>#REF!</v>
      </c>
      <c r="AD527" s="11" t="e">
        <f ca="1">IF(Data!#REF!="","",IF(ISNUMBER(Data!#REF!),IF(AND(Data!#REF!&gt;(TODAY()-(Data_Val!$L$3*365.25)),Data!#REF!&lt;=(TODAY()-(Data_Val!$L$2*365.25))),0,1),1))</f>
        <v>#REF!</v>
      </c>
      <c r="AE527" s="11" t="e">
        <f>IF(Data!#REF!="","",IF(Data!$G527="",1,IF(ISNUMBER(MATCH(Data!#REF!,Data_Val!$D$2:$D$10,0)),0,1)))</f>
        <v>#REF!</v>
      </c>
      <c r="AF527" s="12"/>
      <c r="AG527" s="12" t="e">
        <f>IF(Data!#REF!="","",IF(ISNUMBER(MATCH(Data!#REF!,Data_Val!$A$2:$A$3,0)),0,1))</f>
        <v>#REF!</v>
      </c>
      <c r="AH527" s="26" t="e">
        <f ca="1">IF(Data!#REF!="","",IF(ISNUMBER(Data!#REF!),IF(AND(Data!#REF!&gt;(TODAY()-(Data_Val!$L$3*365.25)),Data!#REF!&lt;=(TODAY()-(Data_Val!$L$2*365.25))),0,1),1))</f>
        <v>#REF!</v>
      </c>
      <c r="AI527" s="12" t="e">
        <f>IF(Data!#REF!="","",IF(Data!$G527="",1,IF(ISNUMBER(MATCH(Data!#REF!,Data_Val!$D$2:$D$10,0)),0,1)))</f>
        <v>#REF!</v>
      </c>
      <c r="AJ527" s="17"/>
      <c r="AK527" s="17" t="e">
        <f>IF(Data!#REF!="","",IF(ISNUMBER(MATCH(Data!#REF!,Data_Val!$A$2:$A$3,0)),0,1))</f>
        <v>#REF!</v>
      </c>
      <c r="AL527" s="25" t="e">
        <f ca="1">IF(Data!#REF!="","",IF(ISNUMBER(Data!#REF!),IF(AND(Data!#REF!&gt;(TODAY()-(Data_Val!$L$3*365.25)),Data!#REF!&lt;=(TODAY()-(Data_Val!$L$2*365.25))),0,1),1))</f>
        <v>#REF!</v>
      </c>
      <c r="AM527" s="17" t="e">
        <f>IF(Data!#REF!="","",IF(Data!$G527="",1,IF(ISNUMBER(MATCH(Data!#REF!,Data_Val!$D$2:$D$10,0)),0,1)))</f>
        <v>#REF!</v>
      </c>
      <c r="AN527" s="13"/>
      <c r="AO527" s="28" t="e">
        <f ca="1">IF(Data!#REF!="","",IF(ISNUMBER(Data!#REF!),IF(AND(Data!#REF!&gt;(TODAY()-(Data_Val!$I$3*365.25)),Data!#REF!&lt;=(TODAY()-(Data_Val!$I$2*365.25))),0,1),1))</f>
        <v>#REF!</v>
      </c>
      <c r="AP527" s="13" t="e">
        <f>IF(Data!#REF!="","",IF(Data!$G527="",1,IF(ISNUMBER(MATCH(Data!#REF!,Data_Val!$D$2:$D$10,0)),0,1)))</f>
        <v>#REF!</v>
      </c>
      <c r="AQ527" s="17"/>
      <c r="AR527" s="30" t="e">
        <f ca="1">IF(Data!#REF!="","",IF(ISNUMBER(Data!#REF!),IF(AND(Data!#REF!&gt;(TODAY()-(Data_Val!$I$3*365.25)),Data!#REF!&lt;=(TODAY()-(Data_Val!$I$2*365.25))),0,1),1))</f>
        <v>#REF!</v>
      </c>
      <c r="AS527" s="31" t="e">
        <f>IF(Data!#REF!="","",IF(Data!$G527="",1,IF(ISNUMBER(MATCH(Data!#REF!,Data_Val!$D$2:$D$10,0)),0,1)))</f>
        <v>#REF!</v>
      </c>
      <c r="AT527" s="11"/>
      <c r="AU527" s="11" t="e">
        <f ca="1">IF(Data!#REF!="","",IF(ISNUMBER(Data!#REF!),IF(AND(Data!#REF!&gt;(TODAY()-(Data_Val!$I$3*365.25)),Data!#REF!&lt;=(TODAY()-(Data_Val!$I$2*365.25))),0,1),1))</f>
        <v>#REF!</v>
      </c>
      <c r="AV527" s="11" t="e">
        <f>IF(Data!#REF!="","",IF(Data!$G527="",1,IF(ISNUMBER(MATCH(Data!#REF!,Data_Val!$D$2:$D$10,0)),0,1)))</f>
        <v>#REF!</v>
      </c>
      <c r="AW527" s="12"/>
      <c r="AX527" s="26" t="e">
        <f ca="1">IF(Data!#REF!="","",IF(ISNUMBER(Data!#REF!),IF(AND(Data!#REF!&gt;(TODAY()-(Data_Val!$I$3*365.25)),Data!#REF!&lt;=(TODAY()-(Data_Val!$I$2*365.25))),0,1),1))</f>
        <v>#REF!</v>
      </c>
      <c r="AY527" s="12" t="e">
        <f>IF(Data!#REF!="","",IF(Data!$G527="",1,IF(ISNUMBER(MATCH(Data!#REF!,Data_Val!$D$2:$D$10,0)),0,1)))</f>
        <v>#REF!</v>
      </c>
      <c r="AZ527" s="11"/>
      <c r="BA527" s="19" t="e">
        <f ca="1">IF(Data!#REF!="","",IF(ISNUMBER(Data!#REF!),IF(AND(Data!#REF!&gt;(TODAY()-(Data_Val!$M$3*365.25)),Data!#REF!&lt;=(TODAY()-(Data_Val!$M$2*365.25))),0,1),1))</f>
        <v>#REF!</v>
      </c>
      <c r="BB527" s="11" t="e">
        <f>IF(Data!#REF!="","",IF(Data!$G527="",1,IF(ISNUMBER(MATCH(Data!#REF!,Data_Val!$D$2:$D$10,0)),0,1)))</f>
        <v>#REF!</v>
      </c>
      <c r="BC527" s="12"/>
      <c r="BD527" s="20" t="e">
        <f ca="1">IF(Data!#REF!="","",IF(ISNUMBER(Data!#REF!),IF(AND(Data!#REF!&gt;(TODAY()-(Data_Val!$M$3*365.25)),Data!#REF!&lt;=(TODAY()-(Data_Val!$M$2*365.25))),0,1),1))</f>
        <v>#REF!</v>
      </c>
      <c r="BE527" s="12" t="e">
        <f>IF(Data!#REF!="","",IF(Data!$G527="",1,IF(ISNUMBER(MATCH(Data!#REF!,Data_Val!$D$2:$D$10,0)),0,1)))</f>
        <v>#REF!</v>
      </c>
      <c r="BF527" s="17"/>
      <c r="BG527" s="18" t="e">
        <f ca="1">IF(Data!#REF!="","",IF(ISNUMBER(Data!#REF!),IF(AND(Data!#REF!&gt;(TODAY()-(Data_Val!$M$3*365.25)),Data!#REF!&lt;=(TODAY()-(Data_Val!$M$2*365.25))),0,1),1))</f>
        <v>#REF!</v>
      </c>
      <c r="BH527" s="29" t="e">
        <f>IF(Data!#REF!="","",IF(Data!$G527="",1,IF(ISNUMBER(MATCH(Data!#REF!,Data_Val!$D$2:$D$10,0)),0,1)))</f>
        <v>#REF!</v>
      </c>
      <c r="BI527" s="13"/>
      <c r="BJ527" s="21" t="e">
        <f ca="1">IF(Data!#REF!="","",IF(ISNUMBER(Data!#REF!),IF(AND(Data!#REF!&gt;(TODAY()-(Data_Val!$M$3*365.25)),Data!#REF!&lt;=(TODAY()-(Data_Val!$M$2*365.25))),0,1),1))</f>
        <v>#REF!</v>
      </c>
      <c r="BK527" s="13" t="e">
        <f>IF(Data!#REF!="","",IF(Data!$G527="",1,IF(ISNUMBER(MATCH(Data!#REF!,Data_Val!$D$2:$D$10,0)),0,1)))</f>
        <v>#REF!</v>
      </c>
    </row>
    <row r="528" spans="1:63" x14ac:dyDescent="0.25">
      <c r="A528" s="9" t="str">
        <f>IF(Data!B528="","",IF(COUNTIFS(Data!A$1:'Data'!A528,Data!A528)&lt;=1,0,1))</f>
        <v/>
      </c>
      <c r="B528" s="9"/>
      <c r="C528" s="23" t="str">
        <f>IF(Data!C528="","",(IF(ISNUMBER(MATCH("*@*.?*",Data!C528,0)),0,1)+IF(COUNTIFS(Data!C$1:'Data'!C528,Data!C528)&gt;1,1,0)))</f>
        <v/>
      </c>
      <c r="D528" s="9" t="str">
        <f>IF(Data!B528="","",IF(ISNUMBER(Data!D528),IF(AND(Data!D528&gt;999999999,Data!D528&lt;=9999999999),IF(COUNTIFS(Data!D$1:'Data'!D528,Data!D528)&lt;=1,0,1),1),1))</f>
        <v/>
      </c>
      <c r="E528" s="9" t="str">
        <f>IF(Data!B528="","",IF(ISNUMBER(MATCH(Data!E528,Data_Val!$A$2:$A$3,0)),0,1))</f>
        <v/>
      </c>
      <c r="F528" s="9" t="str">
        <f ca="1">IF(Data!B528="","",IF(ISNUMBER(Data!F528),IF(AND(Data!F528&gt;(TODAY()-(Data_Val!$H$3*365.25)),Data!F528&lt;=(TODAY()-(Data_Val!$H$2*365.25))),0,1),1))</f>
        <v/>
      </c>
      <c r="G528" s="15" t="str">
        <f>IF(Data!B528="","",IF(AND(Data!G528="",Data!H528&lt;&gt;""),1,IF(Data!#REF!&lt;&gt;"",0,IF(ISNUMBER(MATCH(Data!G528,Data_Val!$C$2:$C$5,0)),0,1))))</f>
        <v/>
      </c>
      <c r="H528" s="15" t="str">
        <f>IF(Data!B528="","",IF(AND(Data!G528&lt;&gt;"",Data!H528=""),1,IF(Data!#REF!&lt;&gt;"",0,IF(Data!G528="",1,IF(ISNUMBER(MATCH(Data!H528,Data_Val!$D$2:$D$35,0)),0,1)))))</f>
        <v/>
      </c>
      <c r="I528" s="15" t="str">
        <f>IF(Data!B528="","",IF(Data!G528&lt;&gt;"",0,IF(ISNUMBER(MATCH(Data!#REF!,Data_Val!$E$2:$E$12,0)),0,1)))</f>
        <v/>
      </c>
      <c r="J528" s="16" t="e">
        <f>IF(OR(Data!B528="",Data!#REF!=""),"",IF(Data!#REF!="",1,0))</f>
        <v>#REF!</v>
      </c>
      <c r="K528" s="16" t="e">
        <f>IF(OR(Data!B528="",Data!#REF!=""),"",IF(Data!#REF!="",1,0))</f>
        <v>#REF!</v>
      </c>
      <c r="L528" s="16" t="e">
        <f>IF(OR(Data!B528="",Data!#REF!=""),"",IF(ISNUMBER(Data!#REF!),IF(AND(Data!#REF!&gt;Data_Val!$G$2,Data!#REF!&lt;=Data_Val!$G$3),0,1),1))</f>
        <v>#REF!</v>
      </c>
      <c r="M528" s="9" t="e">
        <f>IF(OR(Data!B528="",Data!#REF!=""),"",IF(ISNUMBER(MATCH(Data!#REF!,Data_Val!$F$1:$F$38,0)),0,1))</f>
        <v>#REF!</v>
      </c>
      <c r="N528" s="9" t="e">
        <f>IF(OR(Data!B528="",Data!#REF!=""),"",IF(Data!#REF!="",1,0))</f>
        <v>#REF!</v>
      </c>
      <c r="O528" s="17" t="e">
        <f>IF(Data!#REF!="","",IF(Data!#REF!="",1,0))</f>
        <v>#REF!</v>
      </c>
      <c r="P528" s="17" t="e">
        <f>IF(Data!#REF!="","",IF(ISNUMBER(MATCH(Data!#REF!,Data_Val!$A$2:$A$3,0)),0,1))</f>
        <v>#REF!</v>
      </c>
      <c r="Q528" s="25" t="e">
        <f ca="1">IF(Data!#REF!="","",IF(ISNUMBER(Data!#REF!),IF(AND(Data!#REF!&gt;(TODAY()-(Data_Val!$J$3*365.25)),Data!#REF!&lt;=(TODAY()-(Data_Val!$J$2*365.25))),0,1),1))</f>
        <v>#REF!</v>
      </c>
      <c r="R528" s="17" t="e">
        <f>IF(Data!#REF!="","",IF(ISNUMBER(MATCH(Data!#REF!,Data_Val!$B$2:$B$15,0)),0,1))</f>
        <v>#REF!</v>
      </c>
      <c r="S528" s="11" t="str">
        <f>IF(Data!G528="","",IF(Data!G528=Data_Val!$C$2,IF(Data!M528="",0,1),0))</f>
        <v/>
      </c>
      <c r="T528" s="11" t="str">
        <f>IF(Data!M528="","",IF(ISNUMBER(MATCH(Data!N528,Data_Val!$A$2:$A$3,0)),0,1))</f>
        <v/>
      </c>
      <c r="U528" s="11" t="str">
        <f ca="1">IF(Data!M528="","",IF(ISNUMBER(Data!O528),IF(AND(Data!O528&gt;(TODAY()-(Data_Val!$K$3*365.25)),Data!O528&lt;=(TODAY()-(Data_Val!$K$2*365.25))),0,1),1))</f>
        <v/>
      </c>
      <c r="V528" s="12" t="str">
        <f>IF(Data!G528="","",IF(Data!G528=Data_Val!$C$2,IF(Data!P528="",0,1),0))</f>
        <v/>
      </c>
      <c r="W528" s="12" t="str">
        <f>IF(Data!P528="","",IF(ISNUMBER(MATCH(Data!Q528,Data_Val!$A$2:$A$3,0)),0,1))</f>
        <v/>
      </c>
      <c r="X528" s="26" t="str">
        <f ca="1">IF(Data!P528="","",IF(ISNUMBER(Data!R528),IF(AND(Data!R528&gt;(TODAY()-(Data_Val!$L$3*365.25)),Data!R528&lt;=(TODAY()-(Data_Val!$L$2*365.25))),0,1),1))</f>
        <v/>
      </c>
      <c r="Y528" s="13" t="str">
        <f>IF(Data!$G528="","",IF(Data!$G528=Data_Val!$C$2,IF(Data!S528="",0,1),0))</f>
        <v/>
      </c>
      <c r="Z528" s="13" t="str">
        <f>IF(Data!S528="","",IF(ISNUMBER(MATCH(Data!T528,Data_Val!$A$2:$A$3,0)),0,1))</f>
        <v/>
      </c>
      <c r="AA528" s="28" t="str">
        <f ca="1">IF(Data!S528="","",IF(ISNUMBER(Data!U528),IF(AND(Data!U528&gt;(TODAY()-(Data_Val!$L$3*365.25)),Data!U528&lt;=(TODAY()-(Data_Val!$L$2*365.25))),0,1),1))</f>
        <v/>
      </c>
      <c r="AB528" s="11"/>
      <c r="AC528" s="11" t="e">
        <f>IF(Data!#REF!="","",IF(ISNUMBER(MATCH(Data!#REF!,Data_Val!$A$2:$A$3,0)),0,1))</f>
        <v>#REF!</v>
      </c>
      <c r="AD528" s="11" t="e">
        <f ca="1">IF(Data!#REF!="","",IF(ISNUMBER(Data!#REF!),IF(AND(Data!#REF!&gt;(TODAY()-(Data_Val!$L$3*365.25)),Data!#REF!&lt;=(TODAY()-(Data_Val!$L$2*365.25))),0,1),1))</f>
        <v>#REF!</v>
      </c>
      <c r="AE528" s="11" t="e">
        <f>IF(Data!#REF!="","",IF(Data!$G528="",1,IF(ISNUMBER(MATCH(Data!#REF!,Data_Val!$D$2:$D$10,0)),0,1)))</f>
        <v>#REF!</v>
      </c>
      <c r="AF528" s="12"/>
      <c r="AG528" s="12" t="e">
        <f>IF(Data!#REF!="","",IF(ISNUMBER(MATCH(Data!#REF!,Data_Val!$A$2:$A$3,0)),0,1))</f>
        <v>#REF!</v>
      </c>
      <c r="AH528" s="26" t="e">
        <f ca="1">IF(Data!#REF!="","",IF(ISNUMBER(Data!#REF!),IF(AND(Data!#REF!&gt;(TODAY()-(Data_Val!$L$3*365.25)),Data!#REF!&lt;=(TODAY()-(Data_Val!$L$2*365.25))),0,1),1))</f>
        <v>#REF!</v>
      </c>
      <c r="AI528" s="12" t="e">
        <f>IF(Data!#REF!="","",IF(Data!$G528="",1,IF(ISNUMBER(MATCH(Data!#REF!,Data_Val!$D$2:$D$10,0)),0,1)))</f>
        <v>#REF!</v>
      </c>
      <c r="AJ528" s="17"/>
      <c r="AK528" s="17" t="e">
        <f>IF(Data!#REF!="","",IF(ISNUMBER(MATCH(Data!#REF!,Data_Val!$A$2:$A$3,0)),0,1))</f>
        <v>#REF!</v>
      </c>
      <c r="AL528" s="25" t="e">
        <f ca="1">IF(Data!#REF!="","",IF(ISNUMBER(Data!#REF!),IF(AND(Data!#REF!&gt;(TODAY()-(Data_Val!$L$3*365.25)),Data!#REF!&lt;=(TODAY()-(Data_Val!$L$2*365.25))),0,1),1))</f>
        <v>#REF!</v>
      </c>
      <c r="AM528" s="17" t="e">
        <f>IF(Data!#REF!="","",IF(Data!$G528="",1,IF(ISNUMBER(MATCH(Data!#REF!,Data_Val!$D$2:$D$10,0)),0,1)))</f>
        <v>#REF!</v>
      </c>
      <c r="AN528" s="13"/>
      <c r="AO528" s="28" t="e">
        <f ca="1">IF(Data!#REF!="","",IF(ISNUMBER(Data!#REF!),IF(AND(Data!#REF!&gt;(TODAY()-(Data_Val!$I$3*365.25)),Data!#REF!&lt;=(TODAY()-(Data_Val!$I$2*365.25))),0,1),1))</f>
        <v>#REF!</v>
      </c>
      <c r="AP528" s="13" t="e">
        <f>IF(Data!#REF!="","",IF(Data!$G528="",1,IF(ISNUMBER(MATCH(Data!#REF!,Data_Val!$D$2:$D$10,0)),0,1)))</f>
        <v>#REF!</v>
      </c>
      <c r="AQ528" s="17"/>
      <c r="AR528" s="30" t="e">
        <f ca="1">IF(Data!#REF!="","",IF(ISNUMBER(Data!#REF!),IF(AND(Data!#REF!&gt;(TODAY()-(Data_Val!$I$3*365.25)),Data!#REF!&lt;=(TODAY()-(Data_Val!$I$2*365.25))),0,1),1))</f>
        <v>#REF!</v>
      </c>
      <c r="AS528" s="31" t="e">
        <f>IF(Data!#REF!="","",IF(Data!$G528="",1,IF(ISNUMBER(MATCH(Data!#REF!,Data_Val!$D$2:$D$10,0)),0,1)))</f>
        <v>#REF!</v>
      </c>
      <c r="AT528" s="11"/>
      <c r="AU528" s="11" t="e">
        <f ca="1">IF(Data!#REF!="","",IF(ISNUMBER(Data!#REF!),IF(AND(Data!#REF!&gt;(TODAY()-(Data_Val!$I$3*365.25)),Data!#REF!&lt;=(TODAY()-(Data_Val!$I$2*365.25))),0,1),1))</f>
        <v>#REF!</v>
      </c>
      <c r="AV528" s="11" t="e">
        <f>IF(Data!#REF!="","",IF(Data!$G528="",1,IF(ISNUMBER(MATCH(Data!#REF!,Data_Val!$D$2:$D$10,0)),0,1)))</f>
        <v>#REF!</v>
      </c>
      <c r="AW528" s="12"/>
      <c r="AX528" s="26" t="e">
        <f ca="1">IF(Data!#REF!="","",IF(ISNUMBER(Data!#REF!),IF(AND(Data!#REF!&gt;(TODAY()-(Data_Val!$I$3*365.25)),Data!#REF!&lt;=(TODAY()-(Data_Val!$I$2*365.25))),0,1),1))</f>
        <v>#REF!</v>
      </c>
      <c r="AY528" s="12" t="e">
        <f>IF(Data!#REF!="","",IF(Data!$G528="",1,IF(ISNUMBER(MATCH(Data!#REF!,Data_Val!$D$2:$D$10,0)),0,1)))</f>
        <v>#REF!</v>
      </c>
      <c r="AZ528" s="11"/>
      <c r="BA528" s="19" t="e">
        <f ca="1">IF(Data!#REF!="","",IF(ISNUMBER(Data!#REF!),IF(AND(Data!#REF!&gt;(TODAY()-(Data_Val!$M$3*365.25)),Data!#REF!&lt;=(TODAY()-(Data_Val!$M$2*365.25))),0,1),1))</f>
        <v>#REF!</v>
      </c>
      <c r="BB528" s="11" t="e">
        <f>IF(Data!#REF!="","",IF(Data!$G528="",1,IF(ISNUMBER(MATCH(Data!#REF!,Data_Val!$D$2:$D$10,0)),0,1)))</f>
        <v>#REF!</v>
      </c>
      <c r="BC528" s="12"/>
      <c r="BD528" s="20" t="e">
        <f ca="1">IF(Data!#REF!="","",IF(ISNUMBER(Data!#REF!),IF(AND(Data!#REF!&gt;(TODAY()-(Data_Val!$M$3*365.25)),Data!#REF!&lt;=(TODAY()-(Data_Val!$M$2*365.25))),0,1),1))</f>
        <v>#REF!</v>
      </c>
      <c r="BE528" s="12" t="e">
        <f>IF(Data!#REF!="","",IF(Data!$G528="",1,IF(ISNUMBER(MATCH(Data!#REF!,Data_Val!$D$2:$D$10,0)),0,1)))</f>
        <v>#REF!</v>
      </c>
      <c r="BF528" s="17"/>
      <c r="BG528" s="18" t="e">
        <f ca="1">IF(Data!#REF!="","",IF(ISNUMBER(Data!#REF!),IF(AND(Data!#REF!&gt;(TODAY()-(Data_Val!$M$3*365.25)),Data!#REF!&lt;=(TODAY()-(Data_Val!$M$2*365.25))),0,1),1))</f>
        <v>#REF!</v>
      </c>
      <c r="BH528" s="29" t="e">
        <f>IF(Data!#REF!="","",IF(Data!$G528="",1,IF(ISNUMBER(MATCH(Data!#REF!,Data_Val!$D$2:$D$10,0)),0,1)))</f>
        <v>#REF!</v>
      </c>
      <c r="BI528" s="13"/>
      <c r="BJ528" s="21" t="e">
        <f ca="1">IF(Data!#REF!="","",IF(ISNUMBER(Data!#REF!),IF(AND(Data!#REF!&gt;(TODAY()-(Data_Val!$M$3*365.25)),Data!#REF!&lt;=(TODAY()-(Data_Val!$M$2*365.25))),0,1),1))</f>
        <v>#REF!</v>
      </c>
      <c r="BK528" s="13" t="e">
        <f>IF(Data!#REF!="","",IF(Data!$G528="",1,IF(ISNUMBER(MATCH(Data!#REF!,Data_Val!$D$2:$D$10,0)),0,1)))</f>
        <v>#REF!</v>
      </c>
    </row>
    <row r="529" spans="1:63" x14ac:dyDescent="0.25">
      <c r="A529" s="9" t="str">
        <f>IF(Data!B529="","",IF(COUNTIFS(Data!A$1:'Data'!A529,Data!A529)&lt;=1,0,1))</f>
        <v/>
      </c>
      <c r="B529" s="9"/>
      <c r="C529" s="23" t="str">
        <f>IF(Data!C529="","",(IF(ISNUMBER(MATCH("*@*.?*",Data!C529,0)),0,1)+IF(COUNTIFS(Data!C$1:'Data'!C529,Data!C529)&gt;1,1,0)))</f>
        <v/>
      </c>
      <c r="D529" s="9" t="str">
        <f>IF(Data!B529="","",IF(ISNUMBER(Data!D529),IF(AND(Data!D529&gt;999999999,Data!D529&lt;=9999999999),IF(COUNTIFS(Data!D$1:'Data'!D529,Data!D529)&lt;=1,0,1),1),1))</f>
        <v/>
      </c>
      <c r="E529" s="9" t="str">
        <f>IF(Data!B529="","",IF(ISNUMBER(MATCH(Data!E529,Data_Val!$A$2:$A$3,0)),0,1))</f>
        <v/>
      </c>
      <c r="F529" s="9" t="str">
        <f ca="1">IF(Data!B529="","",IF(ISNUMBER(Data!F529),IF(AND(Data!F529&gt;(TODAY()-(Data_Val!$H$3*365.25)),Data!F529&lt;=(TODAY()-(Data_Val!$H$2*365.25))),0,1),1))</f>
        <v/>
      </c>
      <c r="G529" s="15" t="str">
        <f>IF(Data!B529="","",IF(AND(Data!G529="",Data!H529&lt;&gt;""),1,IF(Data!#REF!&lt;&gt;"",0,IF(ISNUMBER(MATCH(Data!G529,Data_Val!$C$2:$C$5,0)),0,1))))</f>
        <v/>
      </c>
      <c r="H529" s="15" t="str">
        <f>IF(Data!B529="","",IF(AND(Data!G529&lt;&gt;"",Data!H529=""),1,IF(Data!#REF!&lt;&gt;"",0,IF(Data!G529="",1,IF(ISNUMBER(MATCH(Data!H529,Data_Val!$D$2:$D$35,0)),0,1)))))</f>
        <v/>
      </c>
      <c r="I529" s="15" t="str">
        <f>IF(Data!B529="","",IF(Data!G529&lt;&gt;"",0,IF(ISNUMBER(MATCH(Data!#REF!,Data_Val!$E$2:$E$12,0)),0,1)))</f>
        <v/>
      </c>
      <c r="J529" s="16" t="e">
        <f>IF(OR(Data!B529="",Data!#REF!=""),"",IF(Data!#REF!="",1,0))</f>
        <v>#REF!</v>
      </c>
      <c r="K529" s="16" t="e">
        <f>IF(OR(Data!B529="",Data!#REF!=""),"",IF(Data!#REF!="",1,0))</f>
        <v>#REF!</v>
      </c>
      <c r="L529" s="16" t="e">
        <f>IF(OR(Data!B529="",Data!#REF!=""),"",IF(ISNUMBER(Data!#REF!),IF(AND(Data!#REF!&gt;Data_Val!$G$2,Data!#REF!&lt;=Data_Val!$G$3),0,1),1))</f>
        <v>#REF!</v>
      </c>
      <c r="M529" s="9" t="e">
        <f>IF(OR(Data!B529="",Data!#REF!=""),"",IF(ISNUMBER(MATCH(Data!#REF!,Data_Val!$F$1:$F$38,0)),0,1))</f>
        <v>#REF!</v>
      </c>
      <c r="N529" s="9" t="e">
        <f>IF(OR(Data!B529="",Data!#REF!=""),"",IF(Data!#REF!="",1,0))</f>
        <v>#REF!</v>
      </c>
      <c r="O529" s="17" t="e">
        <f>IF(Data!#REF!="","",IF(Data!#REF!="",1,0))</f>
        <v>#REF!</v>
      </c>
      <c r="P529" s="17" t="e">
        <f>IF(Data!#REF!="","",IF(ISNUMBER(MATCH(Data!#REF!,Data_Val!$A$2:$A$3,0)),0,1))</f>
        <v>#REF!</v>
      </c>
      <c r="Q529" s="25" t="e">
        <f ca="1">IF(Data!#REF!="","",IF(ISNUMBER(Data!#REF!),IF(AND(Data!#REF!&gt;(TODAY()-(Data_Val!$J$3*365.25)),Data!#REF!&lt;=(TODAY()-(Data_Val!$J$2*365.25))),0,1),1))</f>
        <v>#REF!</v>
      </c>
      <c r="R529" s="17" t="e">
        <f>IF(Data!#REF!="","",IF(ISNUMBER(MATCH(Data!#REF!,Data_Val!$B$2:$B$15,0)),0,1))</f>
        <v>#REF!</v>
      </c>
      <c r="S529" s="11" t="str">
        <f>IF(Data!G529="","",IF(Data!G529=Data_Val!$C$2,IF(Data!M529="",0,1),0))</f>
        <v/>
      </c>
      <c r="T529" s="11" t="str">
        <f>IF(Data!M529="","",IF(ISNUMBER(MATCH(Data!N529,Data_Val!$A$2:$A$3,0)),0,1))</f>
        <v/>
      </c>
      <c r="U529" s="11" t="str">
        <f ca="1">IF(Data!M529="","",IF(ISNUMBER(Data!O529),IF(AND(Data!O529&gt;(TODAY()-(Data_Val!$K$3*365.25)),Data!O529&lt;=(TODAY()-(Data_Val!$K$2*365.25))),0,1),1))</f>
        <v/>
      </c>
      <c r="V529" s="12" t="str">
        <f>IF(Data!G529="","",IF(Data!G529=Data_Val!$C$2,IF(Data!P529="",0,1),0))</f>
        <v/>
      </c>
      <c r="W529" s="12" t="str">
        <f>IF(Data!P529="","",IF(ISNUMBER(MATCH(Data!Q529,Data_Val!$A$2:$A$3,0)),0,1))</f>
        <v/>
      </c>
      <c r="X529" s="26" t="str">
        <f ca="1">IF(Data!P529="","",IF(ISNUMBER(Data!R529),IF(AND(Data!R529&gt;(TODAY()-(Data_Val!$L$3*365.25)),Data!R529&lt;=(TODAY()-(Data_Val!$L$2*365.25))),0,1),1))</f>
        <v/>
      </c>
      <c r="Y529" s="13" t="str">
        <f>IF(Data!$G529="","",IF(Data!$G529=Data_Val!$C$2,IF(Data!S529="",0,1),0))</f>
        <v/>
      </c>
      <c r="Z529" s="13" t="str">
        <f>IF(Data!S529="","",IF(ISNUMBER(MATCH(Data!T529,Data_Val!$A$2:$A$3,0)),0,1))</f>
        <v/>
      </c>
      <c r="AA529" s="28" t="str">
        <f ca="1">IF(Data!S529="","",IF(ISNUMBER(Data!U529),IF(AND(Data!U529&gt;(TODAY()-(Data_Val!$L$3*365.25)),Data!U529&lt;=(TODAY()-(Data_Val!$L$2*365.25))),0,1),1))</f>
        <v/>
      </c>
      <c r="AB529" s="11"/>
      <c r="AC529" s="11" t="e">
        <f>IF(Data!#REF!="","",IF(ISNUMBER(MATCH(Data!#REF!,Data_Val!$A$2:$A$3,0)),0,1))</f>
        <v>#REF!</v>
      </c>
      <c r="AD529" s="11" t="e">
        <f ca="1">IF(Data!#REF!="","",IF(ISNUMBER(Data!#REF!),IF(AND(Data!#REF!&gt;(TODAY()-(Data_Val!$L$3*365.25)),Data!#REF!&lt;=(TODAY()-(Data_Val!$L$2*365.25))),0,1),1))</f>
        <v>#REF!</v>
      </c>
      <c r="AE529" s="11" t="e">
        <f>IF(Data!#REF!="","",IF(Data!$G529="",1,IF(ISNUMBER(MATCH(Data!#REF!,Data_Val!$D$2:$D$10,0)),0,1)))</f>
        <v>#REF!</v>
      </c>
      <c r="AF529" s="12"/>
      <c r="AG529" s="12" t="e">
        <f>IF(Data!#REF!="","",IF(ISNUMBER(MATCH(Data!#REF!,Data_Val!$A$2:$A$3,0)),0,1))</f>
        <v>#REF!</v>
      </c>
      <c r="AH529" s="26" t="e">
        <f ca="1">IF(Data!#REF!="","",IF(ISNUMBER(Data!#REF!),IF(AND(Data!#REF!&gt;(TODAY()-(Data_Val!$L$3*365.25)),Data!#REF!&lt;=(TODAY()-(Data_Val!$L$2*365.25))),0,1),1))</f>
        <v>#REF!</v>
      </c>
      <c r="AI529" s="12" t="e">
        <f>IF(Data!#REF!="","",IF(Data!$G529="",1,IF(ISNUMBER(MATCH(Data!#REF!,Data_Val!$D$2:$D$10,0)),0,1)))</f>
        <v>#REF!</v>
      </c>
      <c r="AJ529" s="17"/>
      <c r="AK529" s="17" t="e">
        <f>IF(Data!#REF!="","",IF(ISNUMBER(MATCH(Data!#REF!,Data_Val!$A$2:$A$3,0)),0,1))</f>
        <v>#REF!</v>
      </c>
      <c r="AL529" s="25" t="e">
        <f ca="1">IF(Data!#REF!="","",IF(ISNUMBER(Data!#REF!),IF(AND(Data!#REF!&gt;(TODAY()-(Data_Val!$L$3*365.25)),Data!#REF!&lt;=(TODAY()-(Data_Val!$L$2*365.25))),0,1),1))</f>
        <v>#REF!</v>
      </c>
      <c r="AM529" s="17" t="e">
        <f>IF(Data!#REF!="","",IF(Data!$G529="",1,IF(ISNUMBER(MATCH(Data!#REF!,Data_Val!$D$2:$D$10,0)),0,1)))</f>
        <v>#REF!</v>
      </c>
      <c r="AN529" s="13"/>
      <c r="AO529" s="28" t="e">
        <f ca="1">IF(Data!#REF!="","",IF(ISNUMBER(Data!#REF!),IF(AND(Data!#REF!&gt;(TODAY()-(Data_Val!$I$3*365.25)),Data!#REF!&lt;=(TODAY()-(Data_Val!$I$2*365.25))),0,1),1))</f>
        <v>#REF!</v>
      </c>
      <c r="AP529" s="13" t="e">
        <f>IF(Data!#REF!="","",IF(Data!$G529="",1,IF(ISNUMBER(MATCH(Data!#REF!,Data_Val!$D$2:$D$10,0)),0,1)))</f>
        <v>#REF!</v>
      </c>
      <c r="AQ529" s="17"/>
      <c r="AR529" s="30" t="e">
        <f ca="1">IF(Data!#REF!="","",IF(ISNUMBER(Data!#REF!),IF(AND(Data!#REF!&gt;(TODAY()-(Data_Val!$I$3*365.25)),Data!#REF!&lt;=(TODAY()-(Data_Val!$I$2*365.25))),0,1),1))</f>
        <v>#REF!</v>
      </c>
      <c r="AS529" s="31" t="e">
        <f>IF(Data!#REF!="","",IF(Data!$G529="",1,IF(ISNUMBER(MATCH(Data!#REF!,Data_Val!$D$2:$D$10,0)),0,1)))</f>
        <v>#REF!</v>
      </c>
      <c r="AT529" s="11"/>
      <c r="AU529" s="11" t="e">
        <f ca="1">IF(Data!#REF!="","",IF(ISNUMBER(Data!#REF!),IF(AND(Data!#REF!&gt;(TODAY()-(Data_Val!$I$3*365.25)),Data!#REF!&lt;=(TODAY()-(Data_Val!$I$2*365.25))),0,1),1))</f>
        <v>#REF!</v>
      </c>
      <c r="AV529" s="11" t="e">
        <f>IF(Data!#REF!="","",IF(Data!$G529="",1,IF(ISNUMBER(MATCH(Data!#REF!,Data_Val!$D$2:$D$10,0)),0,1)))</f>
        <v>#REF!</v>
      </c>
      <c r="AW529" s="12"/>
      <c r="AX529" s="26" t="e">
        <f ca="1">IF(Data!#REF!="","",IF(ISNUMBER(Data!#REF!),IF(AND(Data!#REF!&gt;(TODAY()-(Data_Val!$I$3*365.25)),Data!#REF!&lt;=(TODAY()-(Data_Val!$I$2*365.25))),0,1),1))</f>
        <v>#REF!</v>
      </c>
      <c r="AY529" s="12" t="e">
        <f>IF(Data!#REF!="","",IF(Data!$G529="",1,IF(ISNUMBER(MATCH(Data!#REF!,Data_Val!$D$2:$D$10,0)),0,1)))</f>
        <v>#REF!</v>
      </c>
      <c r="AZ529" s="11"/>
      <c r="BA529" s="19" t="e">
        <f ca="1">IF(Data!#REF!="","",IF(ISNUMBER(Data!#REF!),IF(AND(Data!#REF!&gt;(TODAY()-(Data_Val!$M$3*365.25)),Data!#REF!&lt;=(TODAY()-(Data_Val!$M$2*365.25))),0,1),1))</f>
        <v>#REF!</v>
      </c>
      <c r="BB529" s="11" t="e">
        <f>IF(Data!#REF!="","",IF(Data!$G529="",1,IF(ISNUMBER(MATCH(Data!#REF!,Data_Val!$D$2:$D$10,0)),0,1)))</f>
        <v>#REF!</v>
      </c>
      <c r="BC529" s="12"/>
      <c r="BD529" s="20" t="e">
        <f ca="1">IF(Data!#REF!="","",IF(ISNUMBER(Data!#REF!),IF(AND(Data!#REF!&gt;(TODAY()-(Data_Val!$M$3*365.25)),Data!#REF!&lt;=(TODAY()-(Data_Val!$M$2*365.25))),0,1),1))</f>
        <v>#REF!</v>
      </c>
      <c r="BE529" s="12" t="e">
        <f>IF(Data!#REF!="","",IF(Data!$G529="",1,IF(ISNUMBER(MATCH(Data!#REF!,Data_Val!$D$2:$D$10,0)),0,1)))</f>
        <v>#REF!</v>
      </c>
      <c r="BF529" s="17"/>
      <c r="BG529" s="18" t="e">
        <f ca="1">IF(Data!#REF!="","",IF(ISNUMBER(Data!#REF!),IF(AND(Data!#REF!&gt;(TODAY()-(Data_Val!$M$3*365.25)),Data!#REF!&lt;=(TODAY()-(Data_Val!$M$2*365.25))),0,1),1))</f>
        <v>#REF!</v>
      </c>
      <c r="BH529" s="29" t="e">
        <f>IF(Data!#REF!="","",IF(Data!$G529="",1,IF(ISNUMBER(MATCH(Data!#REF!,Data_Val!$D$2:$D$10,0)),0,1)))</f>
        <v>#REF!</v>
      </c>
      <c r="BI529" s="13"/>
      <c r="BJ529" s="21" t="e">
        <f ca="1">IF(Data!#REF!="","",IF(ISNUMBER(Data!#REF!),IF(AND(Data!#REF!&gt;(TODAY()-(Data_Val!$M$3*365.25)),Data!#REF!&lt;=(TODAY()-(Data_Val!$M$2*365.25))),0,1),1))</f>
        <v>#REF!</v>
      </c>
      <c r="BK529" s="13" t="e">
        <f>IF(Data!#REF!="","",IF(Data!$G529="",1,IF(ISNUMBER(MATCH(Data!#REF!,Data_Val!$D$2:$D$10,0)),0,1)))</f>
        <v>#REF!</v>
      </c>
    </row>
    <row r="530" spans="1:63" x14ac:dyDescent="0.25">
      <c r="A530" s="9" t="str">
        <f>IF(Data!B530="","",IF(COUNTIFS(Data!A$1:'Data'!A530,Data!A530)&lt;=1,0,1))</f>
        <v/>
      </c>
      <c r="B530" s="9"/>
      <c r="C530" s="23" t="str">
        <f>IF(Data!C530="","",(IF(ISNUMBER(MATCH("*@*.?*",Data!C530,0)),0,1)+IF(COUNTIFS(Data!C$1:'Data'!C530,Data!C530)&gt;1,1,0)))</f>
        <v/>
      </c>
      <c r="D530" s="9" t="str">
        <f>IF(Data!B530="","",IF(ISNUMBER(Data!D530),IF(AND(Data!D530&gt;999999999,Data!D530&lt;=9999999999),IF(COUNTIFS(Data!D$1:'Data'!D530,Data!D530)&lt;=1,0,1),1),1))</f>
        <v/>
      </c>
      <c r="E530" s="9" t="str">
        <f>IF(Data!B530="","",IF(ISNUMBER(MATCH(Data!E530,Data_Val!$A$2:$A$3,0)),0,1))</f>
        <v/>
      </c>
      <c r="F530" s="9" t="str">
        <f ca="1">IF(Data!B530="","",IF(ISNUMBER(Data!F530),IF(AND(Data!F530&gt;(TODAY()-(Data_Val!$H$3*365.25)),Data!F530&lt;=(TODAY()-(Data_Val!$H$2*365.25))),0,1),1))</f>
        <v/>
      </c>
      <c r="G530" s="15" t="str">
        <f>IF(Data!B530="","",IF(AND(Data!G530="",Data!H530&lt;&gt;""),1,IF(Data!#REF!&lt;&gt;"",0,IF(ISNUMBER(MATCH(Data!G530,Data_Val!$C$2:$C$5,0)),0,1))))</f>
        <v/>
      </c>
      <c r="H530" s="15" t="str">
        <f>IF(Data!B530="","",IF(AND(Data!G530&lt;&gt;"",Data!H530=""),1,IF(Data!#REF!&lt;&gt;"",0,IF(Data!G530="",1,IF(ISNUMBER(MATCH(Data!H530,Data_Val!$D$2:$D$35,0)),0,1)))))</f>
        <v/>
      </c>
      <c r="I530" s="15" t="str">
        <f>IF(Data!B530="","",IF(Data!G530&lt;&gt;"",0,IF(ISNUMBER(MATCH(Data!#REF!,Data_Val!$E$2:$E$12,0)),0,1)))</f>
        <v/>
      </c>
      <c r="J530" s="16" t="e">
        <f>IF(OR(Data!B530="",Data!#REF!=""),"",IF(Data!#REF!="",1,0))</f>
        <v>#REF!</v>
      </c>
      <c r="K530" s="16" t="e">
        <f>IF(OR(Data!B530="",Data!#REF!=""),"",IF(Data!#REF!="",1,0))</f>
        <v>#REF!</v>
      </c>
      <c r="L530" s="16" t="e">
        <f>IF(OR(Data!B530="",Data!#REF!=""),"",IF(ISNUMBER(Data!#REF!),IF(AND(Data!#REF!&gt;Data_Val!$G$2,Data!#REF!&lt;=Data_Val!$G$3),0,1),1))</f>
        <v>#REF!</v>
      </c>
      <c r="M530" s="9" t="e">
        <f>IF(OR(Data!B530="",Data!#REF!=""),"",IF(ISNUMBER(MATCH(Data!#REF!,Data_Val!$F$1:$F$38,0)),0,1))</f>
        <v>#REF!</v>
      </c>
      <c r="N530" s="9" t="e">
        <f>IF(OR(Data!B530="",Data!#REF!=""),"",IF(Data!#REF!="",1,0))</f>
        <v>#REF!</v>
      </c>
      <c r="O530" s="17" t="e">
        <f>IF(Data!#REF!="","",IF(Data!#REF!="",1,0))</f>
        <v>#REF!</v>
      </c>
      <c r="P530" s="17" t="e">
        <f>IF(Data!#REF!="","",IF(ISNUMBER(MATCH(Data!#REF!,Data_Val!$A$2:$A$3,0)),0,1))</f>
        <v>#REF!</v>
      </c>
      <c r="Q530" s="25" t="e">
        <f ca="1">IF(Data!#REF!="","",IF(ISNUMBER(Data!#REF!),IF(AND(Data!#REF!&gt;(TODAY()-(Data_Val!$J$3*365.25)),Data!#REF!&lt;=(TODAY()-(Data_Val!$J$2*365.25))),0,1),1))</f>
        <v>#REF!</v>
      </c>
      <c r="R530" s="17" t="e">
        <f>IF(Data!#REF!="","",IF(ISNUMBER(MATCH(Data!#REF!,Data_Val!$B$2:$B$15,0)),0,1))</f>
        <v>#REF!</v>
      </c>
      <c r="S530" s="11" t="str">
        <f>IF(Data!G530="","",IF(Data!G530=Data_Val!$C$2,IF(Data!M530="",0,1),0))</f>
        <v/>
      </c>
      <c r="T530" s="11" t="str">
        <f>IF(Data!M530="","",IF(ISNUMBER(MATCH(Data!N530,Data_Val!$A$2:$A$3,0)),0,1))</f>
        <v/>
      </c>
      <c r="U530" s="11" t="str">
        <f ca="1">IF(Data!M530="","",IF(ISNUMBER(Data!O530),IF(AND(Data!O530&gt;(TODAY()-(Data_Val!$K$3*365.25)),Data!O530&lt;=(TODAY()-(Data_Val!$K$2*365.25))),0,1),1))</f>
        <v/>
      </c>
      <c r="V530" s="12" t="str">
        <f>IF(Data!G530="","",IF(Data!G530=Data_Val!$C$2,IF(Data!P530="",0,1),0))</f>
        <v/>
      </c>
      <c r="W530" s="12" t="str">
        <f>IF(Data!P530="","",IF(ISNUMBER(MATCH(Data!Q530,Data_Val!$A$2:$A$3,0)),0,1))</f>
        <v/>
      </c>
      <c r="X530" s="26" t="str">
        <f ca="1">IF(Data!P530="","",IF(ISNUMBER(Data!R530),IF(AND(Data!R530&gt;(TODAY()-(Data_Val!$L$3*365.25)),Data!R530&lt;=(TODAY()-(Data_Val!$L$2*365.25))),0,1),1))</f>
        <v/>
      </c>
      <c r="Y530" s="13" t="str">
        <f>IF(Data!$G530="","",IF(Data!$G530=Data_Val!$C$2,IF(Data!S530="",0,1),0))</f>
        <v/>
      </c>
      <c r="Z530" s="13" t="str">
        <f>IF(Data!S530="","",IF(ISNUMBER(MATCH(Data!T530,Data_Val!$A$2:$A$3,0)),0,1))</f>
        <v/>
      </c>
      <c r="AA530" s="28" t="str">
        <f ca="1">IF(Data!S530="","",IF(ISNUMBER(Data!U530),IF(AND(Data!U530&gt;(TODAY()-(Data_Val!$L$3*365.25)),Data!U530&lt;=(TODAY()-(Data_Val!$L$2*365.25))),0,1),1))</f>
        <v/>
      </c>
      <c r="AB530" s="11"/>
      <c r="AC530" s="11" t="e">
        <f>IF(Data!#REF!="","",IF(ISNUMBER(MATCH(Data!#REF!,Data_Val!$A$2:$A$3,0)),0,1))</f>
        <v>#REF!</v>
      </c>
      <c r="AD530" s="11" t="e">
        <f ca="1">IF(Data!#REF!="","",IF(ISNUMBER(Data!#REF!),IF(AND(Data!#REF!&gt;(TODAY()-(Data_Val!$L$3*365.25)),Data!#REF!&lt;=(TODAY()-(Data_Val!$L$2*365.25))),0,1),1))</f>
        <v>#REF!</v>
      </c>
      <c r="AE530" s="11" t="e">
        <f>IF(Data!#REF!="","",IF(Data!$G530="",1,IF(ISNUMBER(MATCH(Data!#REF!,Data_Val!$D$2:$D$10,0)),0,1)))</f>
        <v>#REF!</v>
      </c>
      <c r="AF530" s="12"/>
      <c r="AG530" s="12" t="e">
        <f>IF(Data!#REF!="","",IF(ISNUMBER(MATCH(Data!#REF!,Data_Val!$A$2:$A$3,0)),0,1))</f>
        <v>#REF!</v>
      </c>
      <c r="AH530" s="26" t="e">
        <f ca="1">IF(Data!#REF!="","",IF(ISNUMBER(Data!#REF!),IF(AND(Data!#REF!&gt;(TODAY()-(Data_Val!$L$3*365.25)),Data!#REF!&lt;=(TODAY()-(Data_Val!$L$2*365.25))),0,1),1))</f>
        <v>#REF!</v>
      </c>
      <c r="AI530" s="12" t="e">
        <f>IF(Data!#REF!="","",IF(Data!$G530="",1,IF(ISNUMBER(MATCH(Data!#REF!,Data_Val!$D$2:$D$10,0)),0,1)))</f>
        <v>#REF!</v>
      </c>
      <c r="AJ530" s="17"/>
      <c r="AK530" s="17" t="e">
        <f>IF(Data!#REF!="","",IF(ISNUMBER(MATCH(Data!#REF!,Data_Val!$A$2:$A$3,0)),0,1))</f>
        <v>#REF!</v>
      </c>
      <c r="AL530" s="25" t="e">
        <f ca="1">IF(Data!#REF!="","",IF(ISNUMBER(Data!#REF!),IF(AND(Data!#REF!&gt;(TODAY()-(Data_Val!$L$3*365.25)),Data!#REF!&lt;=(TODAY()-(Data_Val!$L$2*365.25))),0,1),1))</f>
        <v>#REF!</v>
      </c>
      <c r="AM530" s="17" t="e">
        <f>IF(Data!#REF!="","",IF(Data!$G530="",1,IF(ISNUMBER(MATCH(Data!#REF!,Data_Val!$D$2:$D$10,0)),0,1)))</f>
        <v>#REF!</v>
      </c>
      <c r="AN530" s="13"/>
      <c r="AO530" s="28" t="e">
        <f ca="1">IF(Data!#REF!="","",IF(ISNUMBER(Data!#REF!),IF(AND(Data!#REF!&gt;(TODAY()-(Data_Val!$I$3*365.25)),Data!#REF!&lt;=(TODAY()-(Data_Val!$I$2*365.25))),0,1),1))</f>
        <v>#REF!</v>
      </c>
      <c r="AP530" s="13" t="e">
        <f>IF(Data!#REF!="","",IF(Data!$G530="",1,IF(ISNUMBER(MATCH(Data!#REF!,Data_Val!$D$2:$D$10,0)),0,1)))</f>
        <v>#REF!</v>
      </c>
      <c r="AQ530" s="17"/>
      <c r="AR530" s="30" t="e">
        <f ca="1">IF(Data!#REF!="","",IF(ISNUMBER(Data!#REF!),IF(AND(Data!#REF!&gt;(TODAY()-(Data_Val!$I$3*365.25)),Data!#REF!&lt;=(TODAY()-(Data_Val!$I$2*365.25))),0,1),1))</f>
        <v>#REF!</v>
      </c>
      <c r="AS530" s="31" t="e">
        <f>IF(Data!#REF!="","",IF(Data!$G530="",1,IF(ISNUMBER(MATCH(Data!#REF!,Data_Val!$D$2:$D$10,0)),0,1)))</f>
        <v>#REF!</v>
      </c>
      <c r="AT530" s="11"/>
      <c r="AU530" s="11" t="e">
        <f ca="1">IF(Data!#REF!="","",IF(ISNUMBER(Data!#REF!),IF(AND(Data!#REF!&gt;(TODAY()-(Data_Val!$I$3*365.25)),Data!#REF!&lt;=(TODAY()-(Data_Val!$I$2*365.25))),0,1),1))</f>
        <v>#REF!</v>
      </c>
      <c r="AV530" s="11" t="e">
        <f>IF(Data!#REF!="","",IF(Data!$G530="",1,IF(ISNUMBER(MATCH(Data!#REF!,Data_Val!$D$2:$D$10,0)),0,1)))</f>
        <v>#REF!</v>
      </c>
      <c r="AW530" s="12"/>
      <c r="AX530" s="26" t="e">
        <f ca="1">IF(Data!#REF!="","",IF(ISNUMBER(Data!#REF!),IF(AND(Data!#REF!&gt;(TODAY()-(Data_Val!$I$3*365.25)),Data!#REF!&lt;=(TODAY()-(Data_Val!$I$2*365.25))),0,1),1))</f>
        <v>#REF!</v>
      </c>
      <c r="AY530" s="12" t="e">
        <f>IF(Data!#REF!="","",IF(Data!$G530="",1,IF(ISNUMBER(MATCH(Data!#REF!,Data_Val!$D$2:$D$10,0)),0,1)))</f>
        <v>#REF!</v>
      </c>
      <c r="AZ530" s="11"/>
      <c r="BA530" s="19" t="e">
        <f ca="1">IF(Data!#REF!="","",IF(ISNUMBER(Data!#REF!),IF(AND(Data!#REF!&gt;(TODAY()-(Data_Val!$M$3*365.25)),Data!#REF!&lt;=(TODAY()-(Data_Val!$M$2*365.25))),0,1),1))</f>
        <v>#REF!</v>
      </c>
      <c r="BB530" s="11" t="e">
        <f>IF(Data!#REF!="","",IF(Data!$G530="",1,IF(ISNUMBER(MATCH(Data!#REF!,Data_Val!$D$2:$D$10,0)),0,1)))</f>
        <v>#REF!</v>
      </c>
      <c r="BC530" s="12"/>
      <c r="BD530" s="20" t="e">
        <f ca="1">IF(Data!#REF!="","",IF(ISNUMBER(Data!#REF!),IF(AND(Data!#REF!&gt;(TODAY()-(Data_Val!$M$3*365.25)),Data!#REF!&lt;=(TODAY()-(Data_Val!$M$2*365.25))),0,1),1))</f>
        <v>#REF!</v>
      </c>
      <c r="BE530" s="12" t="e">
        <f>IF(Data!#REF!="","",IF(Data!$G530="",1,IF(ISNUMBER(MATCH(Data!#REF!,Data_Val!$D$2:$D$10,0)),0,1)))</f>
        <v>#REF!</v>
      </c>
      <c r="BF530" s="17"/>
      <c r="BG530" s="18" t="e">
        <f ca="1">IF(Data!#REF!="","",IF(ISNUMBER(Data!#REF!),IF(AND(Data!#REF!&gt;(TODAY()-(Data_Val!$M$3*365.25)),Data!#REF!&lt;=(TODAY()-(Data_Val!$M$2*365.25))),0,1),1))</f>
        <v>#REF!</v>
      </c>
      <c r="BH530" s="29" t="e">
        <f>IF(Data!#REF!="","",IF(Data!$G530="",1,IF(ISNUMBER(MATCH(Data!#REF!,Data_Val!$D$2:$D$10,0)),0,1)))</f>
        <v>#REF!</v>
      </c>
      <c r="BI530" s="13"/>
      <c r="BJ530" s="21" t="e">
        <f ca="1">IF(Data!#REF!="","",IF(ISNUMBER(Data!#REF!),IF(AND(Data!#REF!&gt;(TODAY()-(Data_Val!$M$3*365.25)),Data!#REF!&lt;=(TODAY()-(Data_Val!$M$2*365.25))),0,1),1))</f>
        <v>#REF!</v>
      </c>
      <c r="BK530" s="13" t="e">
        <f>IF(Data!#REF!="","",IF(Data!$G530="",1,IF(ISNUMBER(MATCH(Data!#REF!,Data_Val!$D$2:$D$10,0)),0,1)))</f>
        <v>#REF!</v>
      </c>
    </row>
    <row r="531" spans="1:63" x14ac:dyDescent="0.25">
      <c r="A531" s="9" t="str">
        <f>IF(Data!B531="","",IF(COUNTIFS(Data!A$1:'Data'!A531,Data!A531)&lt;=1,0,1))</f>
        <v/>
      </c>
      <c r="B531" s="9"/>
      <c r="C531" s="23" t="str">
        <f>IF(Data!C531="","",(IF(ISNUMBER(MATCH("*@*.?*",Data!C531,0)),0,1)+IF(COUNTIFS(Data!C$1:'Data'!C531,Data!C531)&gt;1,1,0)))</f>
        <v/>
      </c>
      <c r="D531" s="9" t="str">
        <f>IF(Data!B531="","",IF(ISNUMBER(Data!D531),IF(AND(Data!D531&gt;999999999,Data!D531&lt;=9999999999),IF(COUNTIFS(Data!D$1:'Data'!D531,Data!D531)&lt;=1,0,1),1),1))</f>
        <v/>
      </c>
      <c r="E531" s="9" t="str">
        <f>IF(Data!B531="","",IF(ISNUMBER(MATCH(Data!E531,Data_Val!$A$2:$A$3,0)),0,1))</f>
        <v/>
      </c>
      <c r="F531" s="9" t="str">
        <f ca="1">IF(Data!B531="","",IF(ISNUMBER(Data!F531),IF(AND(Data!F531&gt;(TODAY()-(Data_Val!$H$3*365.25)),Data!F531&lt;=(TODAY()-(Data_Val!$H$2*365.25))),0,1),1))</f>
        <v/>
      </c>
      <c r="G531" s="15" t="str">
        <f>IF(Data!B531="","",IF(AND(Data!G531="",Data!H531&lt;&gt;""),1,IF(Data!#REF!&lt;&gt;"",0,IF(ISNUMBER(MATCH(Data!G531,Data_Val!$C$2:$C$5,0)),0,1))))</f>
        <v/>
      </c>
      <c r="H531" s="15" t="str">
        <f>IF(Data!B531="","",IF(AND(Data!G531&lt;&gt;"",Data!H531=""),1,IF(Data!#REF!&lt;&gt;"",0,IF(Data!G531="",1,IF(ISNUMBER(MATCH(Data!H531,Data_Val!$D$2:$D$35,0)),0,1)))))</f>
        <v/>
      </c>
      <c r="I531" s="15" t="str">
        <f>IF(Data!B531="","",IF(Data!G531&lt;&gt;"",0,IF(ISNUMBER(MATCH(Data!#REF!,Data_Val!$E$2:$E$12,0)),0,1)))</f>
        <v/>
      </c>
      <c r="J531" s="16" t="e">
        <f>IF(OR(Data!B531="",Data!#REF!=""),"",IF(Data!#REF!="",1,0))</f>
        <v>#REF!</v>
      </c>
      <c r="K531" s="16" t="e">
        <f>IF(OR(Data!B531="",Data!#REF!=""),"",IF(Data!#REF!="",1,0))</f>
        <v>#REF!</v>
      </c>
      <c r="L531" s="16" t="e">
        <f>IF(OR(Data!B531="",Data!#REF!=""),"",IF(ISNUMBER(Data!#REF!),IF(AND(Data!#REF!&gt;Data_Val!$G$2,Data!#REF!&lt;=Data_Val!$G$3),0,1),1))</f>
        <v>#REF!</v>
      </c>
      <c r="M531" s="9" t="e">
        <f>IF(OR(Data!B531="",Data!#REF!=""),"",IF(ISNUMBER(MATCH(Data!#REF!,Data_Val!$F$1:$F$38,0)),0,1))</f>
        <v>#REF!</v>
      </c>
      <c r="N531" s="9" t="e">
        <f>IF(OR(Data!B531="",Data!#REF!=""),"",IF(Data!#REF!="",1,0))</f>
        <v>#REF!</v>
      </c>
      <c r="O531" s="17" t="e">
        <f>IF(Data!#REF!="","",IF(Data!#REF!="",1,0))</f>
        <v>#REF!</v>
      </c>
      <c r="P531" s="17" t="e">
        <f>IF(Data!#REF!="","",IF(ISNUMBER(MATCH(Data!#REF!,Data_Val!$A$2:$A$3,0)),0,1))</f>
        <v>#REF!</v>
      </c>
      <c r="Q531" s="25" t="e">
        <f ca="1">IF(Data!#REF!="","",IF(ISNUMBER(Data!#REF!),IF(AND(Data!#REF!&gt;(TODAY()-(Data_Val!$J$3*365.25)),Data!#REF!&lt;=(TODAY()-(Data_Val!$J$2*365.25))),0,1),1))</f>
        <v>#REF!</v>
      </c>
      <c r="R531" s="17" t="e">
        <f>IF(Data!#REF!="","",IF(ISNUMBER(MATCH(Data!#REF!,Data_Val!$B$2:$B$15,0)),0,1))</f>
        <v>#REF!</v>
      </c>
      <c r="S531" s="11" t="str">
        <f>IF(Data!G531="","",IF(Data!G531=Data_Val!$C$2,IF(Data!M531="",0,1),0))</f>
        <v/>
      </c>
      <c r="T531" s="11" t="str">
        <f>IF(Data!M531="","",IF(ISNUMBER(MATCH(Data!N531,Data_Val!$A$2:$A$3,0)),0,1))</f>
        <v/>
      </c>
      <c r="U531" s="11" t="str">
        <f ca="1">IF(Data!M531="","",IF(ISNUMBER(Data!O531),IF(AND(Data!O531&gt;(TODAY()-(Data_Val!$K$3*365.25)),Data!O531&lt;=(TODAY()-(Data_Val!$K$2*365.25))),0,1),1))</f>
        <v/>
      </c>
      <c r="V531" s="12" t="str">
        <f>IF(Data!G531="","",IF(Data!G531=Data_Val!$C$2,IF(Data!P531="",0,1),0))</f>
        <v/>
      </c>
      <c r="W531" s="12" t="str">
        <f>IF(Data!P531="","",IF(ISNUMBER(MATCH(Data!Q531,Data_Val!$A$2:$A$3,0)),0,1))</f>
        <v/>
      </c>
      <c r="X531" s="26" t="str">
        <f ca="1">IF(Data!P531="","",IF(ISNUMBER(Data!R531),IF(AND(Data!R531&gt;(TODAY()-(Data_Val!$L$3*365.25)),Data!R531&lt;=(TODAY()-(Data_Val!$L$2*365.25))),0,1),1))</f>
        <v/>
      </c>
      <c r="Y531" s="13" t="str">
        <f>IF(Data!$G531="","",IF(Data!$G531=Data_Val!$C$2,IF(Data!S531="",0,1),0))</f>
        <v/>
      </c>
      <c r="Z531" s="13" t="str">
        <f>IF(Data!S531="","",IF(ISNUMBER(MATCH(Data!T531,Data_Val!$A$2:$A$3,0)),0,1))</f>
        <v/>
      </c>
      <c r="AA531" s="28" t="str">
        <f ca="1">IF(Data!S531="","",IF(ISNUMBER(Data!U531),IF(AND(Data!U531&gt;(TODAY()-(Data_Val!$L$3*365.25)),Data!U531&lt;=(TODAY()-(Data_Val!$L$2*365.25))),0,1),1))</f>
        <v/>
      </c>
      <c r="AB531" s="11"/>
      <c r="AC531" s="11" t="e">
        <f>IF(Data!#REF!="","",IF(ISNUMBER(MATCH(Data!#REF!,Data_Val!$A$2:$A$3,0)),0,1))</f>
        <v>#REF!</v>
      </c>
      <c r="AD531" s="11" t="e">
        <f ca="1">IF(Data!#REF!="","",IF(ISNUMBER(Data!#REF!),IF(AND(Data!#REF!&gt;(TODAY()-(Data_Val!$L$3*365.25)),Data!#REF!&lt;=(TODAY()-(Data_Val!$L$2*365.25))),0,1),1))</f>
        <v>#REF!</v>
      </c>
      <c r="AE531" s="11" t="e">
        <f>IF(Data!#REF!="","",IF(Data!$G531="",1,IF(ISNUMBER(MATCH(Data!#REF!,Data_Val!$D$2:$D$10,0)),0,1)))</f>
        <v>#REF!</v>
      </c>
      <c r="AF531" s="12"/>
      <c r="AG531" s="12" t="e">
        <f>IF(Data!#REF!="","",IF(ISNUMBER(MATCH(Data!#REF!,Data_Val!$A$2:$A$3,0)),0,1))</f>
        <v>#REF!</v>
      </c>
      <c r="AH531" s="26" t="e">
        <f ca="1">IF(Data!#REF!="","",IF(ISNUMBER(Data!#REF!),IF(AND(Data!#REF!&gt;(TODAY()-(Data_Val!$L$3*365.25)),Data!#REF!&lt;=(TODAY()-(Data_Val!$L$2*365.25))),0,1),1))</f>
        <v>#REF!</v>
      </c>
      <c r="AI531" s="12" t="e">
        <f>IF(Data!#REF!="","",IF(Data!$G531="",1,IF(ISNUMBER(MATCH(Data!#REF!,Data_Val!$D$2:$D$10,0)),0,1)))</f>
        <v>#REF!</v>
      </c>
      <c r="AJ531" s="17"/>
      <c r="AK531" s="17" t="e">
        <f>IF(Data!#REF!="","",IF(ISNUMBER(MATCH(Data!#REF!,Data_Val!$A$2:$A$3,0)),0,1))</f>
        <v>#REF!</v>
      </c>
      <c r="AL531" s="25" t="e">
        <f ca="1">IF(Data!#REF!="","",IF(ISNUMBER(Data!#REF!),IF(AND(Data!#REF!&gt;(TODAY()-(Data_Val!$L$3*365.25)),Data!#REF!&lt;=(TODAY()-(Data_Val!$L$2*365.25))),0,1),1))</f>
        <v>#REF!</v>
      </c>
      <c r="AM531" s="17" t="e">
        <f>IF(Data!#REF!="","",IF(Data!$G531="",1,IF(ISNUMBER(MATCH(Data!#REF!,Data_Val!$D$2:$D$10,0)),0,1)))</f>
        <v>#REF!</v>
      </c>
      <c r="AN531" s="13"/>
      <c r="AO531" s="28" t="e">
        <f ca="1">IF(Data!#REF!="","",IF(ISNUMBER(Data!#REF!),IF(AND(Data!#REF!&gt;(TODAY()-(Data_Val!$I$3*365.25)),Data!#REF!&lt;=(TODAY()-(Data_Val!$I$2*365.25))),0,1),1))</f>
        <v>#REF!</v>
      </c>
      <c r="AP531" s="13" t="e">
        <f>IF(Data!#REF!="","",IF(Data!$G531="",1,IF(ISNUMBER(MATCH(Data!#REF!,Data_Val!$D$2:$D$10,0)),0,1)))</f>
        <v>#REF!</v>
      </c>
      <c r="AQ531" s="17"/>
      <c r="AR531" s="30" t="e">
        <f ca="1">IF(Data!#REF!="","",IF(ISNUMBER(Data!#REF!),IF(AND(Data!#REF!&gt;(TODAY()-(Data_Val!$I$3*365.25)),Data!#REF!&lt;=(TODAY()-(Data_Val!$I$2*365.25))),0,1),1))</f>
        <v>#REF!</v>
      </c>
      <c r="AS531" s="31" t="e">
        <f>IF(Data!#REF!="","",IF(Data!$G531="",1,IF(ISNUMBER(MATCH(Data!#REF!,Data_Val!$D$2:$D$10,0)),0,1)))</f>
        <v>#REF!</v>
      </c>
      <c r="AT531" s="11"/>
      <c r="AU531" s="11" t="e">
        <f ca="1">IF(Data!#REF!="","",IF(ISNUMBER(Data!#REF!),IF(AND(Data!#REF!&gt;(TODAY()-(Data_Val!$I$3*365.25)),Data!#REF!&lt;=(TODAY()-(Data_Val!$I$2*365.25))),0,1),1))</f>
        <v>#REF!</v>
      </c>
      <c r="AV531" s="11" t="e">
        <f>IF(Data!#REF!="","",IF(Data!$G531="",1,IF(ISNUMBER(MATCH(Data!#REF!,Data_Val!$D$2:$D$10,0)),0,1)))</f>
        <v>#REF!</v>
      </c>
      <c r="AW531" s="12"/>
      <c r="AX531" s="26" t="e">
        <f ca="1">IF(Data!#REF!="","",IF(ISNUMBER(Data!#REF!),IF(AND(Data!#REF!&gt;(TODAY()-(Data_Val!$I$3*365.25)),Data!#REF!&lt;=(TODAY()-(Data_Val!$I$2*365.25))),0,1),1))</f>
        <v>#REF!</v>
      </c>
      <c r="AY531" s="12" t="e">
        <f>IF(Data!#REF!="","",IF(Data!$G531="",1,IF(ISNUMBER(MATCH(Data!#REF!,Data_Val!$D$2:$D$10,0)),0,1)))</f>
        <v>#REF!</v>
      </c>
      <c r="AZ531" s="11"/>
      <c r="BA531" s="19" t="e">
        <f ca="1">IF(Data!#REF!="","",IF(ISNUMBER(Data!#REF!),IF(AND(Data!#REF!&gt;(TODAY()-(Data_Val!$M$3*365.25)),Data!#REF!&lt;=(TODAY()-(Data_Val!$M$2*365.25))),0,1),1))</f>
        <v>#REF!</v>
      </c>
      <c r="BB531" s="11" t="e">
        <f>IF(Data!#REF!="","",IF(Data!$G531="",1,IF(ISNUMBER(MATCH(Data!#REF!,Data_Val!$D$2:$D$10,0)),0,1)))</f>
        <v>#REF!</v>
      </c>
      <c r="BC531" s="12"/>
      <c r="BD531" s="20" t="e">
        <f ca="1">IF(Data!#REF!="","",IF(ISNUMBER(Data!#REF!),IF(AND(Data!#REF!&gt;(TODAY()-(Data_Val!$M$3*365.25)),Data!#REF!&lt;=(TODAY()-(Data_Val!$M$2*365.25))),0,1),1))</f>
        <v>#REF!</v>
      </c>
      <c r="BE531" s="12" t="e">
        <f>IF(Data!#REF!="","",IF(Data!$G531="",1,IF(ISNUMBER(MATCH(Data!#REF!,Data_Val!$D$2:$D$10,0)),0,1)))</f>
        <v>#REF!</v>
      </c>
      <c r="BF531" s="17"/>
      <c r="BG531" s="18" t="e">
        <f ca="1">IF(Data!#REF!="","",IF(ISNUMBER(Data!#REF!),IF(AND(Data!#REF!&gt;(TODAY()-(Data_Val!$M$3*365.25)),Data!#REF!&lt;=(TODAY()-(Data_Val!$M$2*365.25))),0,1),1))</f>
        <v>#REF!</v>
      </c>
      <c r="BH531" s="29" t="e">
        <f>IF(Data!#REF!="","",IF(Data!$G531="",1,IF(ISNUMBER(MATCH(Data!#REF!,Data_Val!$D$2:$D$10,0)),0,1)))</f>
        <v>#REF!</v>
      </c>
      <c r="BI531" s="13"/>
      <c r="BJ531" s="21" t="e">
        <f ca="1">IF(Data!#REF!="","",IF(ISNUMBER(Data!#REF!),IF(AND(Data!#REF!&gt;(TODAY()-(Data_Val!$M$3*365.25)),Data!#REF!&lt;=(TODAY()-(Data_Val!$M$2*365.25))),0,1),1))</f>
        <v>#REF!</v>
      </c>
      <c r="BK531" s="13" t="e">
        <f>IF(Data!#REF!="","",IF(Data!$G531="",1,IF(ISNUMBER(MATCH(Data!#REF!,Data_Val!$D$2:$D$10,0)),0,1)))</f>
        <v>#REF!</v>
      </c>
    </row>
    <row r="532" spans="1:63" x14ac:dyDescent="0.25">
      <c r="A532" s="9" t="str">
        <f>IF(Data!B532="","",IF(COUNTIFS(Data!A$1:'Data'!A532,Data!A532)&lt;=1,0,1))</f>
        <v/>
      </c>
      <c r="B532" s="9"/>
      <c r="C532" s="23" t="str">
        <f>IF(Data!C532="","",(IF(ISNUMBER(MATCH("*@*.?*",Data!C532,0)),0,1)+IF(COUNTIFS(Data!C$1:'Data'!C532,Data!C532)&gt;1,1,0)))</f>
        <v/>
      </c>
      <c r="D532" s="9" t="str">
        <f>IF(Data!B532="","",IF(ISNUMBER(Data!D532),IF(AND(Data!D532&gt;999999999,Data!D532&lt;=9999999999),IF(COUNTIFS(Data!D$1:'Data'!D532,Data!D532)&lt;=1,0,1),1),1))</f>
        <v/>
      </c>
      <c r="E532" s="9" t="str">
        <f>IF(Data!B532="","",IF(ISNUMBER(MATCH(Data!E532,Data_Val!$A$2:$A$3,0)),0,1))</f>
        <v/>
      </c>
      <c r="F532" s="9" t="str">
        <f ca="1">IF(Data!B532="","",IF(ISNUMBER(Data!F532),IF(AND(Data!F532&gt;(TODAY()-(Data_Val!$H$3*365.25)),Data!F532&lt;=(TODAY()-(Data_Val!$H$2*365.25))),0,1),1))</f>
        <v/>
      </c>
      <c r="G532" s="15" t="str">
        <f>IF(Data!B532="","",IF(AND(Data!G532="",Data!H532&lt;&gt;""),1,IF(Data!#REF!&lt;&gt;"",0,IF(ISNUMBER(MATCH(Data!G532,Data_Val!$C$2:$C$5,0)),0,1))))</f>
        <v/>
      </c>
      <c r="H532" s="15" t="str">
        <f>IF(Data!B532="","",IF(AND(Data!G532&lt;&gt;"",Data!H532=""),1,IF(Data!#REF!&lt;&gt;"",0,IF(Data!G532="",1,IF(ISNUMBER(MATCH(Data!H532,Data_Val!$D$2:$D$35,0)),0,1)))))</f>
        <v/>
      </c>
      <c r="I532" s="15" t="str">
        <f>IF(Data!B532="","",IF(Data!G532&lt;&gt;"",0,IF(ISNUMBER(MATCH(Data!#REF!,Data_Val!$E$2:$E$12,0)),0,1)))</f>
        <v/>
      </c>
      <c r="J532" s="16" t="e">
        <f>IF(OR(Data!B532="",Data!#REF!=""),"",IF(Data!#REF!="",1,0))</f>
        <v>#REF!</v>
      </c>
      <c r="K532" s="16" t="e">
        <f>IF(OR(Data!B532="",Data!#REF!=""),"",IF(Data!#REF!="",1,0))</f>
        <v>#REF!</v>
      </c>
      <c r="L532" s="16" t="e">
        <f>IF(OR(Data!B532="",Data!#REF!=""),"",IF(ISNUMBER(Data!#REF!),IF(AND(Data!#REF!&gt;Data_Val!$G$2,Data!#REF!&lt;=Data_Val!$G$3),0,1),1))</f>
        <v>#REF!</v>
      </c>
      <c r="M532" s="9" t="e">
        <f>IF(OR(Data!B532="",Data!#REF!=""),"",IF(ISNUMBER(MATCH(Data!#REF!,Data_Val!$F$1:$F$38,0)),0,1))</f>
        <v>#REF!</v>
      </c>
      <c r="N532" s="9" t="e">
        <f>IF(OR(Data!B532="",Data!#REF!=""),"",IF(Data!#REF!="",1,0))</f>
        <v>#REF!</v>
      </c>
      <c r="O532" s="17" t="e">
        <f>IF(Data!#REF!="","",IF(Data!#REF!="",1,0))</f>
        <v>#REF!</v>
      </c>
      <c r="P532" s="17" t="e">
        <f>IF(Data!#REF!="","",IF(ISNUMBER(MATCH(Data!#REF!,Data_Val!$A$2:$A$3,0)),0,1))</f>
        <v>#REF!</v>
      </c>
      <c r="Q532" s="25" t="e">
        <f ca="1">IF(Data!#REF!="","",IF(ISNUMBER(Data!#REF!),IF(AND(Data!#REF!&gt;(TODAY()-(Data_Val!$J$3*365.25)),Data!#REF!&lt;=(TODAY()-(Data_Val!$J$2*365.25))),0,1),1))</f>
        <v>#REF!</v>
      </c>
      <c r="R532" s="17" t="e">
        <f>IF(Data!#REF!="","",IF(ISNUMBER(MATCH(Data!#REF!,Data_Val!$B$2:$B$15,0)),0,1))</f>
        <v>#REF!</v>
      </c>
      <c r="S532" s="11" t="str">
        <f>IF(Data!G532="","",IF(Data!G532=Data_Val!$C$2,IF(Data!M532="",0,1),0))</f>
        <v/>
      </c>
      <c r="T532" s="11" t="str">
        <f>IF(Data!M532="","",IF(ISNUMBER(MATCH(Data!N532,Data_Val!$A$2:$A$3,0)),0,1))</f>
        <v/>
      </c>
      <c r="U532" s="11" t="str">
        <f ca="1">IF(Data!M532="","",IF(ISNUMBER(Data!O532),IF(AND(Data!O532&gt;(TODAY()-(Data_Val!$K$3*365.25)),Data!O532&lt;=(TODAY()-(Data_Val!$K$2*365.25))),0,1),1))</f>
        <v/>
      </c>
      <c r="V532" s="12" t="str">
        <f>IF(Data!G532="","",IF(Data!G532=Data_Val!$C$2,IF(Data!P532="",0,1),0))</f>
        <v/>
      </c>
      <c r="W532" s="12" t="str">
        <f>IF(Data!P532="","",IF(ISNUMBER(MATCH(Data!Q532,Data_Val!$A$2:$A$3,0)),0,1))</f>
        <v/>
      </c>
      <c r="X532" s="26" t="str">
        <f ca="1">IF(Data!P532="","",IF(ISNUMBER(Data!R532),IF(AND(Data!R532&gt;(TODAY()-(Data_Val!$L$3*365.25)),Data!R532&lt;=(TODAY()-(Data_Val!$L$2*365.25))),0,1),1))</f>
        <v/>
      </c>
      <c r="Y532" s="13" t="str">
        <f>IF(Data!$G532="","",IF(Data!$G532=Data_Val!$C$2,IF(Data!S532="",0,1),0))</f>
        <v/>
      </c>
      <c r="Z532" s="13" t="str">
        <f>IF(Data!S532="","",IF(ISNUMBER(MATCH(Data!T532,Data_Val!$A$2:$A$3,0)),0,1))</f>
        <v/>
      </c>
      <c r="AA532" s="28" t="str">
        <f ca="1">IF(Data!S532="","",IF(ISNUMBER(Data!U532),IF(AND(Data!U532&gt;(TODAY()-(Data_Val!$L$3*365.25)),Data!U532&lt;=(TODAY()-(Data_Val!$L$2*365.25))),0,1),1))</f>
        <v/>
      </c>
      <c r="AB532" s="11"/>
      <c r="AC532" s="11" t="e">
        <f>IF(Data!#REF!="","",IF(ISNUMBER(MATCH(Data!#REF!,Data_Val!$A$2:$A$3,0)),0,1))</f>
        <v>#REF!</v>
      </c>
      <c r="AD532" s="11" t="e">
        <f ca="1">IF(Data!#REF!="","",IF(ISNUMBER(Data!#REF!),IF(AND(Data!#REF!&gt;(TODAY()-(Data_Val!$L$3*365.25)),Data!#REF!&lt;=(TODAY()-(Data_Val!$L$2*365.25))),0,1),1))</f>
        <v>#REF!</v>
      </c>
      <c r="AE532" s="11" t="e">
        <f>IF(Data!#REF!="","",IF(Data!$G532="",1,IF(ISNUMBER(MATCH(Data!#REF!,Data_Val!$D$2:$D$10,0)),0,1)))</f>
        <v>#REF!</v>
      </c>
      <c r="AF532" s="12"/>
      <c r="AG532" s="12" t="e">
        <f>IF(Data!#REF!="","",IF(ISNUMBER(MATCH(Data!#REF!,Data_Val!$A$2:$A$3,0)),0,1))</f>
        <v>#REF!</v>
      </c>
      <c r="AH532" s="26" t="e">
        <f ca="1">IF(Data!#REF!="","",IF(ISNUMBER(Data!#REF!),IF(AND(Data!#REF!&gt;(TODAY()-(Data_Val!$L$3*365.25)),Data!#REF!&lt;=(TODAY()-(Data_Val!$L$2*365.25))),0,1),1))</f>
        <v>#REF!</v>
      </c>
      <c r="AI532" s="12" t="e">
        <f>IF(Data!#REF!="","",IF(Data!$G532="",1,IF(ISNUMBER(MATCH(Data!#REF!,Data_Val!$D$2:$D$10,0)),0,1)))</f>
        <v>#REF!</v>
      </c>
      <c r="AJ532" s="17"/>
      <c r="AK532" s="17" t="e">
        <f>IF(Data!#REF!="","",IF(ISNUMBER(MATCH(Data!#REF!,Data_Val!$A$2:$A$3,0)),0,1))</f>
        <v>#REF!</v>
      </c>
      <c r="AL532" s="25" t="e">
        <f ca="1">IF(Data!#REF!="","",IF(ISNUMBER(Data!#REF!),IF(AND(Data!#REF!&gt;(TODAY()-(Data_Val!$L$3*365.25)),Data!#REF!&lt;=(TODAY()-(Data_Val!$L$2*365.25))),0,1),1))</f>
        <v>#REF!</v>
      </c>
      <c r="AM532" s="17" t="e">
        <f>IF(Data!#REF!="","",IF(Data!$G532="",1,IF(ISNUMBER(MATCH(Data!#REF!,Data_Val!$D$2:$D$10,0)),0,1)))</f>
        <v>#REF!</v>
      </c>
      <c r="AN532" s="13"/>
      <c r="AO532" s="28" t="e">
        <f ca="1">IF(Data!#REF!="","",IF(ISNUMBER(Data!#REF!),IF(AND(Data!#REF!&gt;(TODAY()-(Data_Val!$I$3*365.25)),Data!#REF!&lt;=(TODAY()-(Data_Val!$I$2*365.25))),0,1),1))</f>
        <v>#REF!</v>
      </c>
      <c r="AP532" s="13" t="e">
        <f>IF(Data!#REF!="","",IF(Data!$G532="",1,IF(ISNUMBER(MATCH(Data!#REF!,Data_Val!$D$2:$D$10,0)),0,1)))</f>
        <v>#REF!</v>
      </c>
      <c r="AQ532" s="17"/>
      <c r="AR532" s="30" t="e">
        <f ca="1">IF(Data!#REF!="","",IF(ISNUMBER(Data!#REF!),IF(AND(Data!#REF!&gt;(TODAY()-(Data_Val!$I$3*365.25)),Data!#REF!&lt;=(TODAY()-(Data_Val!$I$2*365.25))),0,1),1))</f>
        <v>#REF!</v>
      </c>
      <c r="AS532" s="31" t="e">
        <f>IF(Data!#REF!="","",IF(Data!$G532="",1,IF(ISNUMBER(MATCH(Data!#REF!,Data_Val!$D$2:$D$10,0)),0,1)))</f>
        <v>#REF!</v>
      </c>
      <c r="AT532" s="11"/>
      <c r="AU532" s="11" t="e">
        <f ca="1">IF(Data!#REF!="","",IF(ISNUMBER(Data!#REF!),IF(AND(Data!#REF!&gt;(TODAY()-(Data_Val!$I$3*365.25)),Data!#REF!&lt;=(TODAY()-(Data_Val!$I$2*365.25))),0,1),1))</f>
        <v>#REF!</v>
      </c>
      <c r="AV532" s="11" t="e">
        <f>IF(Data!#REF!="","",IF(Data!$G532="",1,IF(ISNUMBER(MATCH(Data!#REF!,Data_Val!$D$2:$D$10,0)),0,1)))</f>
        <v>#REF!</v>
      </c>
      <c r="AW532" s="12"/>
      <c r="AX532" s="26" t="e">
        <f ca="1">IF(Data!#REF!="","",IF(ISNUMBER(Data!#REF!),IF(AND(Data!#REF!&gt;(TODAY()-(Data_Val!$I$3*365.25)),Data!#REF!&lt;=(TODAY()-(Data_Val!$I$2*365.25))),0,1),1))</f>
        <v>#REF!</v>
      </c>
      <c r="AY532" s="12" t="e">
        <f>IF(Data!#REF!="","",IF(Data!$G532="",1,IF(ISNUMBER(MATCH(Data!#REF!,Data_Val!$D$2:$D$10,0)),0,1)))</f>
        <v>#REF!</v>
      </c>
      <c r="AZ532" s="11"/>
      <c r="BA532" s="19" t="e">
        <f ca="1">IF(Data!#REF!="","",IF(ISNUMBER(Data!#REF!),IF(AND(Data!#REF!&gt;(TODAY()-(Data_Val!$M$3*365.25)),Data!#REF!&lt;=(TODAY()-(Data_Val!$M$2*365.25))),0,1),1))</f>
        <v>#REF!</v>
      </c>
      <c r="BB532" s="11" t="e">
        <f>IF(Data!#REF!="","",IF(Data!$G532="",1,IF(ISNUMBER(MATCH(Data!#REF!,Data_Val!$D$2:$D$10,0)),0,1)))</f>
        <v>#REF!</v>
      </c>
      <c r="BC532" s="12"/>
      <c r="BD532" s="20" t="e">
        <f ca="1">IF(Data!#REF!="","",IF(ISNUMBER(Data!#REF!),IF(AND(Data!#REF!&gt;(TODAY()-(Data_Val!$M$3*365.25)),Data!#REF!&lt;=(TODAY()-(Data_Val!$M$2*365.25))),0,1),1))</f>
        <v>#REF!</v>
      </c>
      <c r="BE532" s="12" t="e">
        <f>IF(Data!#REF!="","",IF(Data!$G532="",1,IF(ISNUMBER(MATCH(Data!#REF!,Data_Val!$D$2:$D$10,0)),0,1)))</f>
        <v>#REF!</v>
      </c>
      <c r="BF532" s="17"/>
      <c r="BG532" s="18" t="e">
        <f ca="1">IF(Data!#REF!="","",IF(ISNUMBER(Data!#REF!),IF(AND(Data!#REF!&gt;(TODAY()-(Data_Val!$M$3*365.25)),Data!#REF!&lt;=(TODAY()-(Data_Val!$M$2*365.25))),0,1),1))</f>
        <v>#REF!</v>
      </c>
      <c r="BH532" s="29" t="e">
        <f>IF(Data!#REF!="","",IF(Data!$G532="",1,IF(ISNUMBER(MATCH(Data!#REF!,Data_Val!$D$2:$D$10,0)),0,1)))</f>
        <v>#REF!</v>
      </c>
      <c r="BI532" s="13"/>
      <c r="BJ532" s="21" t="e">
        <f ca="1">IF(Data!#REF!="","",IF(ISNUMBER(Data!#REF!),IF(AND(Data!#REF!&gt;(TODAY()-(Data_Val!$M$3*365.25)),Data!#REF!&lt;=(TODAY()-(Data_Val!$M$2*365.25))),0,1),1))</f>
        <v>#REF!</v>
      </c>
      <c r="BK532" s="13" t="e">
        <f>IF(Data!#REF!="","",IF(Data!$G532="",1,IF(ISNUMBER(MATCH(Data!#REF!,Data_Val!$D$2:$D$10,0)),0,1)))</f>
        <v>#REF!</v>
      </c>
    </row>
    <row r="533" spans="1:63" x14ac:dyDescent="0.25">
      <c r="A533" s="9" t="str">
        <f>IF(Data!B533="","",IF(COUNTIFS(Data!A$1:'Data'!A533,Data!A533)&lt;=1,0,1))</f>
        <v/>
      </c>
      <c r="B533" s="9"/>
      <c r="C533" s="23" t="str">
        <f>IF(Data!C533="","",(IF(ISNUMBER(MATCH("*@*.?*",Data!C533,0)),0,1)+IF(COUNTIFS(Data!C$1:'Data'!C533,Data!C533)&gt;1,1,0)))</f>
        <v/>
      </c>
      <c r="D533" s="9" t="str">
        <f>IF(Data!B533="","",IF(ISNUMBER(Data!D533),IF(AND(Data!D533&gt;999999999,Data!D533&lt;=9999999999),IF(COUNTIFS(Data!D$1:'Data'!D533,Data!D533)&lt;=1,0,1),1),1))</f>
        <v/>
      </c>
      <c r="E533" s="9" t="str">
        <f>IF(Data!B533="","",IF(ISNUMBER(MATCH(Data!E533,Data_Val!$A$2:$A$3,0)),0,1))</f>
        <v/>
      </c>
      <c r="F533" s="9" t="str">
        <f ca="1">IF(Data!B533="","",IF(ISNUMBER(Data!F533),IF(AND(Data!F533&gt;(TODAY()-(Data_Val!$H$3*365.25)),Data!F533&lt;=(TODAY()-(Data_Val!$H$2*365.25))),0,1),1))</f>
        <v/>
      </c>
      <c r="G533" s="15" t="str">
        <f>IF(Data!B533="","",IF(AND(Data!G533="",Data!H533&lt;&gt;""),1,IF(Data!#REF!&lt;&gt;"",0,IF(ISNUMBER(MATCH(Data!G533,Data_Val!$C$2:$C$5,0)),0,1))))</f>
        <v/>
      </c>
      <c r="H533" s="15" t="str">
        <f>IF(Data!B533="","",IF(AND(Data!G533&lt;&gt;"",Data!H533=""),1,IF(Data!#REF!&lt;&gt;"",0,IF(Data!G533="",1,IF(ISNUMBER(MATCH(Data!H533,Data_Val!$D$2:$D$35,0)),0,1)))))</f>
        <v/>
      </c>
      <c r="I533" s="15" t="str">
        <f>IF(Data!B533="","",IF(Data!G533&lt;&gt;"",0,IF(ISNUMBER(MATCH(Data!#REF!,Data_Val!$E$2:$E$12,0)),0,1)))</f>
        <v/>
      </c>
      <c r="J533" s="16" t="e">
        <f>IF(OR(Data!B533="",Data!#REF!=""),"",IF(Data!#REF!="",1,0))</f>
        <v>#REF!</v>
      </c>
      <c r="K533" s="16" t="e">
        <f>IF(OR(Data!B533="",Data!#REF!=""),"",IF(Data!#REF!="",1,0))</f>
        <v>#REF!</v>
      </c>
      <c r="L533" s="16" t="e">
        <f>IF(OR(Data!B533="",Data!#REF!=""),"",IF(ISNUMBER(Data!#REF!),IF(AND(Data!#REF!&gt;Data_Val!$G$2,Data!#REF!&lt;=Data_Val!$G$3),0,1),1))</f>
        <v>#REF!</v>
      </c>
      <c r="M533" s="9" t="e">
        <f>IF(OR(Data!B533="",Data!#REF!=""),"",IF(ISNUMBER(MATCH(Data!#REF!,Data_Val!$F$1:$F$38,0)),0,1))</f>
        <v>#REF!</v>
      </c>
      <c r="N533" s="9" t="e">
        <f>IF(OR(Data!B533="",Data!#REF!=""),"",IF(Data!#REF!="",1,0))</f>
        <v>#REF!</v>
      </c>
      <c r="O533" s="17" t="e">
        <f>IF(Data!#REF!="","",IF(Data!#REF!="",1,0))</f>
        <v>#REF!</v>
      </c>
      <c r="P533" s="17" t="e">
        <f>IF(Data!#REF!="","",IF(ISNUMBER(MATCH(Data!#REF!,Data_Val!$A$2:$A$3,0)),0,1))</f>
        <v>#REF!</v>
      </c>
      <c r="Q533" s="25" t="e">
        <f ca="1">IF(Data!#REF!="","",IF(ISNUMBER(Data!#REF!),IF(AND(Data!#REF!&gt;(TODAY()-(Data_Val!$J$3*365.25)),Data!#REF!&lt;=(TODAY()-(Data_Val!$J$2*365.25))),0,1),1))</f>
        <v>#REF!</v>
      </c>
      <c r="R533" s="17" t="e">
        <f>IF(Data!#REF!="","",IF(ISNUMBER(MATCH(Data!#REF!,Data_Val!$B$2:$B$15,0)),0,1))</f>
        <v>#REF!</v>
      </c>
      <c r="S533" s="11" t="str">
        <f>IF(Data!G533="","",IF(Data!G533=Data_Val!$C$2,IF(Data!M533="",0,1),0))</f>
        <v/>
      </c>
      <c r="T533" s="11" t="str">
        <f>IF(Data!M533="","",IF(ISNUMBER(MATCH(Data!N533,Data_Val!$A$2:$A$3,0)),0,1))</f>
        <v/>
      </c>
      <c r="U533" s="11" t="str">
        <f ca="1">IF(Data!M533="","",IF(ISNUMBER(Data!O533),IF(AND(Data!O533&gt;(TODAY()-(Data_Val!$K$3*365.25)),Data!O533&lt;=(TODAY()-(Data_Val!$K$2*365.25))),0,1),1))</f>
        <v/>
      </c>
      <c r="V533" s="12" t="str">
        <f>IF(Data!G533="","",IF(Data!G533=Data_Val!$C$2,IF(Data!P533="",0,1),0))</f>
        <v/>
      </c>
      <c r="W533" s="12" t="str">
        <f>IF(Data!P533="","",IF(ISNUMBER(MATCH(Data!Q533,Data_Val!$A$2:$A$3,0)),0,1))</f>
        <v/>
      </c>
      <c r="X533" s="26" t="str">
        <f ca="1">IF(Data!P533="","",IF(ISNUMBER(Data!R533),IF(AND(Data!R533&gt;(TODAY()-(Data_Val!$L$3*365.25)),Data!R533&lt;=(TODAY()-(Data_Val!$L$2*365.25))),0,1),1))</f>
        <v/>
      </c>
      <c r="Y533" s="13" t="str">
        <f>IF(Data!$G533="","",IF(Data!$G533=Data_Val!$C$2,IF(Data!S533="",0,1),0))</f>
        <v/>
      </c>
      <c r="Z533" s="13" t="str">
        <f>IF(Data!S533="","",IF(ISNUMBER(MATCH(Data!T533,Data_Val!$A$2:$A$3,0)),0,1))</f>
        <v/>
      </c>
      <c r="AA533" s="28" t="str">
        <f ca="1">IF(Data!S533="","",IF(ISNUMBER(Data!U533),IF(AND(Data!U533&gt;(TODAY()-(Data_Val!$L$3*365.25)),Data!U533&lt;=(TODAY()-(Data_Val!$L$2*365.25))),0,1),1))</f>
        <v/>
      </c>
      <c r="AB533" s="11"/>
      <c r="AC533" s="11" t="e">
        <f>IF(Data!#REF!="","",IF(ISNUMBER(MATCH(Data!#REF!,Data_Val!$A$2:$A$3,0)),0,1))</f>
        <v>#REF!</v>
      </c>
      <c r="AD533" s="11" t="e">
        <f ca="1">IF(Data!#REF!="","",IF(ISNUMBER(Data!#REF!),IF(AND(Data!#REF!&gt;(TODAY()-(Data_Val!$L$3*365.25)),Data!#REF!&lt;=(TODAY()-(Data_Val!$L$2*365.25))),0,1),1))</f>
        <v>#REF!</v>
      </c>
      <c r="AE533" s="11" t="e">
        <f>IF(Data!#REF!="","",IF(Data!$G533="",1,IF(ISNUMBER(MATCH(Data!#REF!,Data_Val!$D$2:$D$10,0)),0,1)))</f>
        <v>#REF!</v>
      </c>
      <c r="AF533" s="12"/>
      <c r="AG533" s="12" t="e">
        <f>IF(Data!#REF!="","",IF(ISNUMBER(MATCH(Data!#REF!,Data_Val!$A$2:$A$3,0)),0,1))</f>
        <v>#REF!</v>
      </c>
      <c r="AH533" s="26" t="e">
        <f ca="1">IF(Data!#REF!="","",IF(ISNUMBER(Data!#REF!),IF(AND(Data!#REF!&gt;(TODAY()-(Data_Val!$L$3*365.25)),Data!#REF!&lt;=(TODAY()-(Data_Val!$L$2*365.25))),0,1),1))</f>
        <v>#REF!</v>
      </c>
      <c r="AI533" s="12" t="e">
        <f>IF(Data!#REF!="","",IF(Data!$G533="",1,IF(ISNUMBER(MATCH(Data!#REF!,Data_Val!$D$2:$D$10,0)),0,1)))</f>
        <v>#REF!</v>
      </c>
      <c r="AJ533" s="17"/>
      <c r="AK533" s="17" t="e">
        <f>IF(Data!#REF!="","",IF(ISNUMBER(MATCH(Data!#REF!,Data_Val!$A$2:$A$3,0)),0,1))</f>
        <v>#REF!</v>
      </c>
      <c r="AL533" s="25" t="e">
        <f ca="1">IF(Data!#REF!="","",IF(ISNUMBER(Data!#REF!),IF(AND(Data!#REF!&gt;(TODAY()-(Data_Val!$L$3*365.25)),Data!#REF!&lt;=(TODAY()-(Data_Val!$L$2*365.25))),0,1),1))</f>
        <v>#REF!</v>
      </c>
      <c r="AM533" s="17" t="e">
        <f>IF(Data!#REF!="","",IF(Data!$G533="",1,IF(ISNUMBER(MATCH(Data!#REF!,Data_Val!$D$2:$D$10,0)),0,1)))</f>
        <v>#REF!</v>
      </c>
      <c r="AN533" s="13"/>
      <c r="AO533" s="28" t="e">
        <f ca="1">IF(Data!#REF!="","",IF(ISNUMBER(Data!#REF!),IF(AND(Data!#REF!&gt;(TODAY()-(Data_Val!$I$3*365.25)),Data!#REF!&lt;=(TODAY()-(Data_Val!$I$2*365.25))),0,1),1))</f>
        <v>#REF!</v>
      </c>
      <c r="AP533" s="13" t="e">
        <f>IF(Data!#REF!="","",IF(Data!$G533="",1,IF(ISNUMBER(MATCH(Data!#REF!,Data_Val!$D$2:$D$10,0)),0,1)))</f>
        <v>#REF!</v>
      </c>
      <c r="AQ533" s="17"/>
      <c r="AR533" s="30" t="e">
        <f ca="1">IF(Data!#REF!="","",IF(ISNUMBER(Data!#REF!),IF(AND(Data!#REF!&gt;(TODAY()-(Data_Val!$I$3*365.25)),Data!#REF!&lt;=(TODAY()-(Data_Val!$I$2*365.25))),0,1),1))</f>
        <v>#REF!</v>
      </c>
      <c r="AS533" s="31" t="e">
        <f>IF(Data!#REF!="","",IF(Data!$G533="",1,IF(ISNUMBER(MATCH(Data!#REF!,Data_Val!$D$2:$D$10,0)),0,1)))</f>
        <v>#REF!</v>
      </c>
      <c r="AT533" s="11"/>
      <c r="AU533" s="11" t="e">
        <f ca="1">IF(Data!#REF!="","",IF(ISNUMBER(Data!#REF!),IF(AND(Data!#REF!&gt;(TODAY()-(Data_Val!$I$3*365.25)),Data!#REF!&lt;=(TODAY()-(Data_Val!$I$2*365.25))),0,1),1))</f>
        <v>#REF!</v>
      </c>
      <c r="AV533" s="11" t="e">
        <f>IF(Data!#REF!="","",IF(Data!$G533="",1,IF(ISNUMBER(MATCH(Data!#REF!,Data_Val!$D$2:$D$10,0)),0,1)))</f>
        <v>#REF!</v>
      </c>
      <c r="AW533" s="12"/>
      <c r="AX533" s="26" t="e">
        <f ca="1">IF(Data!#REF!="","",IF(ISNUMBER(Data!#REF!),IF(AND(Data!#REF!&gt;(TODAY()-(Data_Val!$I$3*365.25)),Data!#REF!&lt;=(TODAY()-(Data_Val!$I$2*365.25))),0,1),1))</f>
        <v>#REF!</v>
      </c>
      <c r="AY533" s="12" t="e">
        <f>IF(Data!#REF!="","",IF(Data!$G533="",1,IF(ISNUMBER(MATCH(Data!#REF!,Data_Val!$D$2:$D$10,0)),0,1)))</f>
        <v>#REF!</v>
      </c>
      <c r="AZ533" s="11"/>
      <c r="BA533" s="19" t="e">
        <f ca="1">IF(Data!#REF!="","",IF(ISNUMBER(Data!#REF!),IF(AND(Data!#REF!&gt;(TODAY()-(Data_Val!$M$3*365.25)),Data!#REF!&lt;=(TODAY()-(Data_Val!$M$2*365.25))),0,1),1))</f>
        <v>#REF!</v>
      </c>
      <c r="BB533" s="11" t="e">
        <f>IF(Data!#REF!="","",IF(Data!$G533="",1,IF(ISNUMBER(MATCH(Data!#REF!,Data_Val!$D$2:$D$10,0)),0,1)))</f>
        <v>#REF!</v>
      </c>
      <c r="BC533" s="12"/>
      <c r="BD533" s="20" t="e">
        <f ca="1">IF(Data!#REF!="","",IF(ISNUMBER(Data!#REF!),IF(AND(Data!#REF!&gt;(TODAY()-(Data_Val!$M$3*365.25)),Data!#REF!&lt;=(TODAY()-(Data_Val!$M$2*365.25))),0,1),1))</f>
        <v>#REF!</v>
      </c>
      <c r="BE533" s="12" t="e">
        <f>IF(Data!#REF!="","",IF(Data!$G533="",1,IF(ISNUMBER(MATCH(Data!#REF!,Data_Val!$D$2:$D$10,0)),0,1)))</f>
        <v>#REF!</v>
      </c>
      <c r="BF533" s="17"/>
      <c r="BG533" s="18" t="e">
        <f ca="1">IF(Data!#REF!="","",IF(ISNUMBER(Data!#REF!),IF(AND(Data!#REF!&gt;(TODAY()-(Data_Val!$M$3*365.25)),Data!#REF!&lt;=(TODAY()-(Data_Val!$M$2*365.25))),0,1),1))</f>
        <v>#REF!</v>
      </c>
      <c r="BH533" s="29" t="e">
        <f>IF(Data!#REF!="","",IF(Data!$G533="",1,IF(ISNUMBER(MATCH(Data!#REF!,Data_Val!$D$2:$D$10,0)),0,1)))</f>
        <v>#REF!</v>
      </c>
      <c r="BI533" s="13"/>
      <c r="BJ533" s="21" t="e">
        <f ca="1">IF(Data!#REF!="","",IF(ISNUMBER(Data!#REF!),IF(AND(Data!#REF!&gt;(TODAY()-(Data_Val!$M$3*365.25)),Data!#REF!&lt;=(TODAY()-(Data_Val!$M$2*365.25))),0,1),1))</f>
        <v>#REF!</v>
      </c>
      <c r="BK533" s="13" t="e">
        <f>IF(Data!#REF!="","",IF(Data!$G533="",1,IF(ISNUMBER(MATCH(Data!#REF!,Data_Val!$D$2:$D$10,0)),0,1)))</f>
        <v>#REF!</v>
      </c>
    </row>
    <row r="534" spans="1:63" x14ac:dyDescent="0.25">
      <c r="A534" s="9" t="str">
        <f>IF(Data!B534="","",IF(COUNTIFS(Data!A$1:'Data'!A534,Data!A534)&lt;=1,0,1))</f>
        <v/>
      </c>
      <c r="B534" s="9"/>
      <c r="C534" s="23" t="str">
        <f>IF(Data!C534="","",(IF(ISNUMBER(MATCH("*@*.?*",Data!C534,0)),0,1)+IF(COUNTIFS(Data!C$1:'Data'!C534,Data!C534)&gt;1,1,0)))</f>
        <v/>
      </c>
      <c r="D534" s="9" t="str">
        <f>IF(Data!B534="","",IF(ISNUMBER(Data!D534),IF(AND(Data!D534&gt;999999999,Data!D534&lt;=9999999999),IF(COUNTIFS(Data!D$1:'Data'!D534,Data!D534)&lt;=1,0,1),1),1))</f>
        <v/>
      </c>
      <c r="E534" s="9" t="str">
        <f>IF(Data!B534="","",IF(ISNUMBER(MATCH(Data!E534,Data_Val!$A$2:$A$3,0)),0,1))</f>
        <v/>
      </c>
      <c r="F534" s="9" t="str">
        <f ca="1">IF(Data!B534="","",IF(ISNUMBER(Data!F534),IF(AND(Data!F534&gt;(TODAY()-(Data_Val!$H$3*365.25)),Data!F534&lt;=(TODAY()-(Data_Val!$H$2*365.25))),0,1),1))</f>
        <v/>
      </c>
      <c r="G534" s="15" t="str">
        <f>IF(Data!B534="","",IF(AND(Data!G534="",Data!H534&lt;&gt;""),1,IF(Data!#REF!&lt;&gt;"",0,IF(ISNUMBER(MATCH(Data!G534,Data_Val!$C$2:$C$5,0)),0,1))))</f>
        <v/>
      </c>
      <c r="H534" s="15" t="str">
        <f>IF(Data!B534="","",IF(AND(Data!G534&lt;&gt;"",Data!H534=""),1,IF(Data!#REF!&lt;&gt;"",0,IF(Data!G534="",1,IF(ISNUMBER(MATCH(Data!H534,Data_Val!$D$2:$D$35,0)),0,1)))))</f>
        <v/>
      </c>
      <c r="I534" s="15" t="str">
        <f>IF(Data!B534="","",IF(Data!G534&lt;&gt;"",0,IF(ISNUMBER(MATCH(Data!#REF!,Data_Val!$E$2:$E$12,0)),0,1)))</f>
        <v/>
      </c>
      <c r="J534" s="16" t="e">
        <f>IF(OR(Data!B534="",Data!#REF!=""),"",IF(Data!#REF!="",1,0))</f>
        <v>#REF!</v>
      </c>
      <c r="K534" s="16" t="e">
        <f>IF(OR(Data!B534="",Data!#REF!=""),"",IF(Data!#REF!="",1,0))</f>
        <v>#REF!</v>
      </c>
      <c r="L534" s="16" t="e">
        <f>IF(OR(Data!B534="",Data!#REF!=""),"",IF(ISNUMBER(Data!#REF!),IF(AND(Data!#REF!&gt;Data_Val!$G$2,Data!#REF!&lt;=Data_Val!$G$3),0,1),1))</f>
        <v>#REF!</v>
      </c>
      <c r="M534" s="9" t="e">
        <f>IF(OR(Data!B534="",Data!#REF!=""),"",IF(ISNUMBER(MATCH(Data!#REF!,Data_Val!$F$1:$F$38,0)),0,1))</f>
        <v>#REF!</v>
      </c>
      <c r="N534" s="9" t="e">
        <f>IF(OR(Data!B534="",Data!#REF!=""),"",IF(Data!#REF!="",1,0))</f>
        <v>#REF!</v>
      </c>
      <c r="O534" s="17" t="e">
        <f>IF(Data!#REF!="","",IF(Data!#REF!="",1,0))</f>
        <v>#REF!</v>
      </c>
      <c r="P534" s="17" t="e">
        <f>IF(Data!#REF!="","",IF(ISNUMBER(MATCH(Data!#REF!,Data_Val!$A$2:$A$3,0)),0,1))</f>
        <v>#REF!</v>
      </c>
      <c r="Q534" s="25" t="e">
        <f ca="1">IF(Data!#REF!="","",IF(ISNUMBER(Data!#REF!),IF(AND(Data!#REF!&gt;(TODAY()-(Data_Val!$J$3*365.25)),Data!#REF!&lt;=(TODAY()-(Data_Val!$J$2*365.25))),0,1),1))</f>
        <v>#REF!</v>
      </c>
      <c r="R534" s="17" t="e">
        <f>IF(Data!#REF!="","",IF(ISNUMBER(MATCH(Data!#REF!,Data_Val!$B$2:$B$15,0)),0,1))</f>
        <v>#REF!</v>
      </c>
      <c r="S534" s="11" t="str">
        <f>IF(Data!G534="","",IF(Data!G534=Data_Val!$C$2,IF(Data!M534="",0,1),0))</f>
        <v/>
      </c>
      <c r="T534" s="11" t="str">
        <f>IF(Data!M534="","",IF(ISNUMBER(MATCH(Data!N534,Data_Val!$A$2:$A$3,0)),0,1))</f>
        <v/>
      </c>
      <c r="U534" s="11" t="str">
        <f ca="1">IF(Data!M534="","",IF(ISNUMBER(Data!O534),IF(AND(Data!O534&gt;(TODAY()-(Data_Val!$K$3*365.25)),Data!O534&lt;=(TODAY()-(Data_Val!$K$2*365.25))),0,1),1))</f>
        <v/>
      </c>
      <c r="V534" s="12" t="str">
        <f>IF(Data!G534="","",IF(Data!G534=Data_Val!$C$2,IF(Data!P534="",0,1),0))</f>
        <v/>
      </c>
      <c r="W534" s="12" t="str">
        <f>IF(Data!P534="","",IF(ISNUMBER(MATCH(Data!Q534,Data_Val!$A$2:$A$3,0)),0,1))</f>
        <v/>
      </c>
      <c r="X534" s="26" t="str">
        <f ca="1">IF(Data!P534="","",IF(ISNUMBER(Data!R534),IF(AND(Data!R534&gt;(TODAY()-(Data_Val!$L$3*365.25)),Data!R534&lt;=(TODAY()-(Data_Val!$L$2*365.25))),0,1),1))</f>
        <v/>
      </c>
      <c r="Y534" s="13" t="str">
        <f>IF(Data!$G534="","",IF(Data!$G534=Data_Val!$C$2,IF(Data!S534="",0,1),0))</f>
        <v/>
      </c>
      <c r="Z534" s="13" t="str">
        <f>IF(Data!S534="","",IF(ISNUMBER(MATCH(Data!T534,Data_Val!$A$2:$A$3,0)),0,1))</f>
        <v/>
      </c>
      <c r="AA534" s="28" t="str">
        <f ca="1">IF(Data!S534="","",IF(ISNUMBER(Data!U534),IF(AND(Data!U534&gt;(TODAY()-(Data_Val!$L$3*365.25)),Data!U534&lt;=(TODAY()-(Data_Val!$L$2*365.25))),0,1),1))</f>
        <v/>
      </c>
      <c r="AB534" s="11"/>
      <c r="AC534" s="11" t="e">
        <f>IF(Data!#REF!="","",IF(ISNUMBER(MATCH(Data!#REF!,Data_Val!$A$2:$A$3,0)),0,1))</f>
        <v>#REF!</v>
      </c>
      <c r="AD534" s="11" t="e">
        <f ca="1">IF(Data!#REF!="","",IF(ISNUMBER(Data!#REF!),IF(AND(Data!#REF!&gt;(TODAY()-(Data_Val!$L$3*365.25)),Data!#REF!&lt;=(TODAY()-(Data_Val!$L$2*365.25))),0,1),1))</f>
        <v>#REF!</v>
      </c>
      <c r="AE534" s="11" t="e">
        <f>IF(Data!#REF!="","",IF(Data!$G534="",1,IF(ISNUMBER(MATCH(Data!#REF!,Data_Val!$D$2:$D$10,0)),0,1)))</f>
        <v>#REF!</v>
      </c>
      <c r="AF534" s="12"/>
      <c r="AG534" s="12" t="e">
        <f>IF(Data!#REF!="","",IF(ISNUMBER(MATCH(Data!#REF!,Data_Val!$A$2:$A$3,0)),0,1))</f>
        <v>#REF!</v>
      </c>
      <c r="AH534" s="26" t="e">
        <f ca="1">IF(Data!#REF!="","",IF(ISNUMBER(Data!#REF!),IF(AND(Data!#REF!&gt;(TODAY()-(Data_Val!$L$3*365.25)),Data!#REF!&lt;=(TODAY()-(Data_Val!$L$2*365.25))),0,1),1))</f>
        <v>#REF!</v>
      </c>
      <c r="AI534" s="12" t="e">
        <f>IF(Data!#REF!="","",IF(Data!$G534="",1,IF(ISNUMBER(MATCH(Data!#REF!,Data_Val!$D$2:$D$10,0)),0,1)))</f>
        <v>#REF!</v>
      </c>
      <c r="AJ534" s="17"/>
      <c r="AK534" s="17" t="e">
        <f>IF(Data!#REF!="","",IF(ISNUMBER(MATCH(Data!#REF!,Data_Val!$A$2:$A$3,0)),0,1))</f>
        <v>#REF!</v>
      </c>
      <c r="AL534" s="25" t="e">
        <f ca="1">IF(Data!#REF!="","",IF(ISNUMBER(Data!#REF!),IF(AND(Data!#REF!&gt;(TODAY()-(Data_Val!$L$3*365.25)),Data!#REF!&lt;=(TODAY()-(Data_Val!$L$2*365.25))),0,1),1))</f>
        <v>#REF!</v>
      </c>
      <c r="AM534" s="17" t="e">
        <f>IF(Data!#REF!="","",IF(Data!$G534="",1,IF(ISNUMBER(MATCH(Data!#REF!,Data_Val!$D$2:$D$10,0)),0,1)))</f>
        <v>#REF!</v>
      </c>
      <c r="AN534" s="13"/>
      <c r="AO534" s="28" t="e">
        <f ca="1">IF(Data!#REF!="","",IF(ISNUMBER(Data!#REF!),IF(AND(Data!#REF!&gt;(TODAY()-(Data_Val!$I$3*365.25)),Data!#REF!&lt;=(TODAY()-(Data_Val!$I$2*365.25))),0,1),1))</f>
        <v>#REF!</v>
      </c>
      <c r="AP534" s="13" t="e">
        <f>IF(Data!#REF!="","",IF(Data!$G534="",1,IF(ISNUMBER(MATCH(Data!#REF!,Data_Val!$D$2:$D$10,0)),0,1)))</f>
        <v>#REF!</v>
      </c>
      <c r="AQ534" s="17"/>
      <c r="AR534" s="30" t="e">
        <f ca="1">IF(Data!#REF!="","",IF(ISNUMBER(Data!#REF!),IF(AND(Data!#REF!&gt;(TODAY()-(Data_Val!$I$3*365.25)),Data!#REF!&lt;=(TODAY()-(Data_Val!$I$2*365.25))),0,1),1))</f>
        <v>#REF!</v>
      </c>
      <c r="AS534" s="31" t="e">
        <f>IF(Data!#REF!="","",IF(Data!$G534="",1,IF(ISNUMBER(MATCH(Data!#REF!,Data_Val!$D$2:$D$10,0)),0,1)))</f>
        <v>#REF!</v>
      </c>
      <c r="AT534" s="11"/>
      <c r="AU534" s="11" t="e">
        <f ca="1">IF(Data!#REF!="","",IF(ISNUMBER(Data!#REF!),IF(AND(Data!#REF!&gt;(TODAY()-(Data_Val!$I$3*365.25)),Data!#REF!&lt;=(TODAY()-(Data_Val!$I$2*365.25))),0,1),1))</f>
        <v>#REF!</v>
      </c>
      <c r="AV534" s="11" t="e">
        <f>IF(Data!#REF!="","",IF(Data!$G534="",1,IF(ISNUMBER(MATCH(Data!#REF!,Data_Val!$D$2:$D$10,0)),0,1)))</f>
        <v>#REF!</v>
      </c>
      <c r="AW534" s="12"/>
      <c r="AX534" s="26" t="e">
        <f ca="1">IF(Data!#REF!="","",IF(ISNUMBER(Data!#REF!),IF(AND(Data!#REF!&gt;(TODAY()-(Data_Val!$I$3*365.25)),Data!#REF!&lt;=(TODAY()-(Data_Val!$I$2*365.25))),0,1),1))</f>
        <v>#REF!</v>
      </c>
      <c r="AY534" s="12" t="e">
        <f>IF(Data!#REF!="","",IF(Data!$G534="",1,IF(ISNUMBER(MATCH(Data!#REF!,Data_Val!$D$2:$D$10,0)),0,1)))</f>
        <v>#REF!</v>
      </c>
      <c r="AZ534" s="11"/>
      <c r="BA534" s="19" t="e">
        <f ca="1">IF(Data!#REF!="","",IF(ISNUMBER(Data!#REF!),IF(AND(Data!#REF!&gt;(TODAY()-(Data_Val!$M$3*365.25)),Data!#REF!&lt;=(TODAY()-(Data_Val!$M$2*365.25))),0,1),1))</f>
        <v>#REF!</v>
      </c>
      <c r="BB534" s="11" t="e">
        <f>IF(Data!#REF!="","",IF(Data!$G534="",1,IF(ISNUMBER(MATCH(Data!#REF!,Data_Val!$D$2:$D$10,0)),0,1)))</f>
        <v>#REF!</v>
      </c>
      <c r="BC534" s="12"/>
      <c r="BD534" s="20" t="e">
        <f ca="1">IF(Data!#REF!="","",IF(ISNUMBER(Data!#REF!),IF(AND(Data!#REF!&gt;(TODAY()-(Data_Val!$M$3*365.25)),Data!#REF!&lt;=(TODAY()-(Data_Val!$M$2*365.25))),0,1),1))</f>
        <v>#REF!</v>
      </c>
      <c r="BE534" s="12" t="e">
        <f>IF(Data!#REF!="","",IF(Data!$G534="",1,IF(ISNUMBER(MATCH(Data!#REF!,Data_Val!$D$2:$D$10,0)),0,1)))</f>
        <v>#REF!</v>
      </c>
      <c r="BF534" s="17"/>
      <c r="BG534" s="18" t="e">
        <f ca="1">IF(Data!#REF!="","",IF(ISNUMBER(Data!#REF!),IF(AND(Data!#REF!&gt;(TODAY()-(Data_Val!$M$3*365.25)),Data!#REF!&lt;=(TODAY()-(Data_Val!$M$2*365.25))),0,1),1))</f>
        <v>#REF!</v>
      </c>
      <c r="BH534" s="29" t="e">
        <f>IF(Data!#REF!="","",IF(Data!$G534="",1,IF(ISNUMBER(MATCH(Data!#REF!,Data_Val!$D$2:$D$10,0)),0,1)))</f>
        <v>#REF!</v>
      </c>
      <c r="BI534" s="13"/>
      <c r="BJ534" s="21" t="e">
        <f ca="1">IF(Data!#REF!="","",IF(ISNUMBER(Data!#REF!),IF(AND(Data!#REF!&gt;(TODAY()-(Data_Val!$M$3*365.25)),Data!#REF!&lt;=(TODAY()-(Data_Val!$M$2*365.25))),0,1),1))</f>
        <v>#REF!</v>
      </c>
      <c r="BK534" s="13" t="e">
        <f>IF(Data!#REF!="","",IF(Data!$G534="",1,IF(ISNUMBER(MATCH(Data!#REF!,Data_Val!$D$2:$D$10,0)),0,1)))</f>
        <v>#REF!</v>
      </c>
    </row>
    <row r="535" spans="1:63" x14ac:dyDescent="0.25">
      <c r="A535" s="9" t="str">
        <f>IF(Data!B535="","",IF(COUNTIFS(Data!A$1:'Data'!A535,Data!A535)&lt;=1,0,1))</f>
        <v/>
      </c>
      <c r="B535" s="9"/>
      <c r="C535" s="23" t="str">
        <f>IF(Data!C535="","",(IF(ISNUMBER(MATCH("*@*.?*",Data!C535,0)),0,1)+IF(COUNTIFS(Data!C$1:'Data'!C535,Data!C535)&gt;1,1,0)))</f>
        <v/>
      </c>
      <c r="D535" s="9" t="str">
        <f>IF(Data!B535="","",IF(ISNUMBER(Data!D535),IF(AND(Data!D535&gt;999999999,Data!D535&lt;=9999999999),IF(COUNTIFS(Data!D$1:'Data'!D535,Data!D535)&lt;=1,0,1),1),1))</f>
        <v/>
      </c>
      <c r="E535" s="9" t="str">
        <f>IF(Data!B535="","",IF(ISNUMBER(MATCH(Data!E535,Data_Val!$A$2:$A$3,0)),0,1))</f>
        <v/>
      </c>
      <c r="F535" s="9" t="str">
        <f ca="1">IF(Data!B535="","",IF(ISNUMBER(Data!F535),IF(AND(Data!F535&gt;(TODAY()-(Data_Val!$H$3*365.25)),Data!F535&lt;=(TODAY()-(Data_Val!$H$2*365.25))),0,1),1))</f>
        <v/>
      </c>
      <c r="G535" s="15" t="str">
        <f>IF(Data!B535="","",IF(AND(Data!G535="",Data!H535&lt;&gt;""),1,IF(Data!#REF!&lt;&gt;"",0,IF(ISNUMBER(MATCH(Data!G535,Data_Val!$C$2:$C$5,0)),0,1))))</f>
        <v/>
      </c>
      <c r="H535" s="15" t="str">
        <f>IF(Data!B535="","",IF(AND(Data!G535&lt;&gt;"",Data!H535=""),1,IF(Data!#REF!&lt;&gt;"",0,IF(Data!G535="",1,IF(ISNUMBER(MATCH(Data!H535,Data_Val!$D$2:$D$35,0)),0,1)))))</f>
        <v/>
      </c>
      <c r="I535" s="15" t="str">
        <f>IF(Data!B535="","",IF(Data!G535&lt;&gt;"",0,IF(ISNUMBER(MATCH(Data!#REF!,Data_Val!$E$2:$E$12,0)),0,1)))</f>
        <v/>
      </c>
      <c r="J535" s="16" t="e">
        <f>IF(OR(Data!B535="",Data!#REF!=""),"",IF(Data!#REF!="",1,0))</f>
        <v>#REF!</v>
      </c>
      <c r="K535" s="16" t="e">
        <f>IF(OR(Data!B535="",Data!#REF!=""),"",IF(Data!#REF!="",1,0))</f>
        <v>#REF!</v>
      </c>
      <c r="L535" s="16" t="e">
        <f>IF(OR(Data!B535="",Data!#REF!=""),"",IF(ISNUMBER(Data!#REF!),IF(AND(Data!#REF!&gt;Data_Val!$G$2,Data!#REF!&lt;=Data_Val!$G$3),0,1),1))</f>
        <v>#REF!</v>
      </c>
      <c r="M535" s="9" t="e">
        <f>IF(OR(Data!B535="",Data!#REF!=""),"",IF(ISNUMBER(MATCH(Data!#REF!,Data_Val!$F$1:$F$38,0)),0,1))</f>
        <v>#REF!</v>
      </c>
      <c r="N535" s="9" t="e">
        <f>IF(OR(Data!B535="",Data!#REF!=""),"",IF(Data!#REF!="",1,0))</f>
        <v>#REF!</v>
      </c>
      <c r="O535" s="17" t="e">
        <f>IF(Data!#REF!="","",IF(Data!#REF!="",1,0))</f>
        <v>#REF!</v>
      </c>
      <c r="P535" s="17" t="e">
        <f>IF(Data!#REF!="","",IF(ISNUMBER(MATCH(Data!#REF!,Data_Val!$A$2:$A$3,0)),0,1))</f>
        <v>#REF!</v>
      </c>
      <c r="Q535" s="25" t="e">
        <f ca="1">IF(Data!#REF!="","",IF(ISNUMBER(Data!#REF!),IF(AND(Data!#REF!&gt;(TODAY()-(Data_Val!$J$3*365.25)),Data!#REF!&lt;=(TODAY()-(Data_Val!$J$2*365.25))),0,1),1))</f>
        <v>#REF!</v>
      </c>
      <c r="R535" s="17" t="e">
        <f>IF(Data!#REF!="","",IF(ISNUMBER(MATCH(Data!#REF!,Data_Val!$B$2:$B$15,0)),0,1))</f>
        <v>#REF!</v>
      </c>
      <c r="S535" s="11" t="str">
        <f>IF(Data!G535="","",IF(Data!G535=Data_Val!$C$2,IF(Data!M535="",0,1),0))</f>
        <v/>
      </c>
      <c r="T535" s="11" t="str">
        <f>IF(Data!M535="","",IF(ISNUMBER(MATCH(Data!N535,Data_Val!$A$2:$A$3,0)),0,1))</f>
        <v/>
      </c>
      <c r="U535" s="11" t="str">
        <f ca="1">IF(Data!M535="","",IF(ISNUMBER(Data!O535),IF(AND(Data!O535&gt;(TODAY()-(Data_Val!$K$3*365.25)),Data!O535&lt;=(TODAY()-(Data_Val!$K$2*365.25))),0,1),1))</f>
        <v/>
      </c>
      <c r="V535" s="12" t="str">
        <f>IF(Data!G535="","",IF(Data!G535=Data_Val!$C$2,IF(Data!P535="",0,1),0))</f>
        <v/>
      </c>
      <c r="W535" s="12" t="str">
        <f>IF(Data!P535="","",IF(ISNUMBER(MATCH(Data!Q535,Data_Val!$A$2:$A$3,0)),0,1))</f>
        <v/>
      </c>
      <c r="X535" s="26" t="str">
        <f ca="1">IF(Data!P535="","",IF(ISNUMBER(Data!R535),IF(AND(Data!R535&gt;(TODAY()-(Data_Val!$L$3*365.25)),Data!R535&lt;=(TODAY()-(Data_Val!$L$2*365.25))),0,1),1))</f>
        <v/>
      </c>
      <c r="Y535" s="13" t="str">
        <f>IF(Data!$G535="","",IF(Data!$G535=Data_Val!$C$2,IF(Data!S535="",0,1),0))</f>
        <v/>
      </c>
      <c r="Z535" s="13" t="str">
        <f>IF(Data!S535="","",IF(ISNUMBER(MATCH(Data!T535,Data_Val!$A$2:$A$3,0)),0,1))</f>
        <v/>
      </c>
      <c r="AA535" s="28" t="str">
        <f ca="1">IF(Data!S535="","",IF(ISNUMBER(Data!U535),IF(AND(Data!U535&gt;(TODAY()-(Data_Val!$L$3*365.25)),Data!U535&lt;=(TODAY()-(Data_Val!$L$2*365.25))),0,1),1))</f>
        <v/>
      </c>
      <c r="AB535" s="11"/>
      <c r="AC535" s="11" t="e">
        <f>IF(Data!#REF!="","",IF(ISNUMBER(MATCH(Data!#REF!,Data_Val!$A$2:$A$3,0)),0,1))</f>
        <v>#REF!</v>
      </c>
      <c r="AD535" s="11" t="e">
        <f ca="1">IF(Data!#REF!="","",IF(ISNUMBER(Data!#REF!),IF(AND(Data!#REF!&gt;(TODAY()-(Data_Val!$L$3*365.25)),Data!#REF!&lt;=(TODAY()-(Data_Val!$L$2*365.25))),0,1),1))</f>
        <v>#REF!</v>
      </c>
      <c r="AE535" s="11" t="e">
        <f>IF(Data!#REF!="","",IF(Data!$G535="",1,IF(ISNUMBER(MATCH(Data!#REF!,Data_Val!$D$2:$D$10,0)),0,1)))</f>
        <v>#REF!</v>
      </c>
      <c r="AF535" s="12"/>
      <c r="AG535" s="12" t="e">
        <f>IF(Data!#REF!="","",IF(ISNUMBER(MATCH(Data!#REF!,Data_Val!$A$2:$A$3,0)),0,1))</f>
        <v>#REF!</v>
      </c>
      <c r="AH535" s="26" t="e">
        <f ca="1">IF(Data!#REF!="","",IF(ISNUMBER(Data!#REF!),IF(AND(Data!#REF!&gt;(TODAY()-(Data_Val!$L$3*365.25)),Data!#REF!&lt;=(TODAY()-(Data_Val!$L$2*365.25))),0,1),1))</f>
        <v>#REF!</v>
      </c>
      <c r="AI535" s="12" t="e">
        <f>IF(Data!#REF!="","",IF(Data!$G535="",1,IF(ISNUMBER(MATCH(Data!#REF!,Data_Val!$D$2:$D$10,0)),0,1)))</f>
        <v>#REF!</v>
      </c>
      <c r="AJ535" s="17"/>
      <c r="AK535" s="17" t="e">
        <f>IF(Data!#REF!="","",IF(ISNUMBER(MATCH(Data!#REF!,Data_Val!$A$2:$A$3,0)),0,1))</f>
        <v>#REF!</v>
      </c>
      <c r="AL535" s="25" t="e">
        <f ca="1">IF(Data!#REF!="","",IF(ISNUMBER(Data!#REF!),IF(AND(Data!#REF!&gt;(TODAY()-(Data_Val!$L$3*365.25)),Data!#REF!&lt;=(TODAY()-(Data_Val!$L$2*365.25))),0,1),1))</f>
        <v>#REF!</v>
      </c>
      <c r="AM535" s="17" t="e">
        <f>IF(Data!#REF!="","",IF(Data!$G535="",1,IF(ISNUMBER(MATCH(Data!#REF!,Data_Val!$D$2:$D$10,0)),0,1)))</f>
        <v>#REF!</v>
      </c>
      <c r="AN535" s="13"/>
      <c r="AO535" s="28" t="e">
        <f ca="1">IF(Data!#REF!="","",IF(ISNUMBER(Data!#REF!),IF(AND(Data!#REF!&gt;(TODAY()-(Data_Val!$I$3*365.25)),Data!#REF!&lt;=(TODAY()-(Data_Val!$I$2*365.25))),0,1),1))</f>
        <v>#REF!</v>
      </c>
      <c r="AP535" s="13" t="e">
        <f>IF(Data!#REF!="","",IF(Data!$G535="",1,IF(ISNUMBER(MATCH(Data!#REF!,Data_Val!$D$2:$D$10,0)),0,1)))</f>
        <v>#REF!</v>
      </c>
      <c r="AQ535" s="17"/>
      <c r="AR535" s="30" t="e">
        <f ca="1">IF(Data!#REF!="","",IF(ISNUMBER(Data!#REF!),IF(AND(Data!#REF!&gt;(TODAY()-(Data_Val!$I$3*365.25)),Data!#REF!&lt;=(TODAY()-(Data_Val!$I$2*365.25))),0,1),1))</f>
        <v>#REF!</v>
      </c>
      <c r="AS535" s="31" t="e">
        <f>IF(Data!#REF!="","",IF(Data!$G535="",1,IF(ISNUMBER(MATCH(Data!#REF!,Data_Val!$D$2:$D$10,0)),0,1)))</f>
        <v>#REF!</v>
      </c>
      <c r="AT535" s="11"/>
      <c r="AU535" s="11" t="e">
        <f ca="1">IF(Data!#REF!="","",IF(ISNUMBER(Data!#REF!),IF(AND(Data!#REF!&gt;(TODAY()-(Data_Val!$I$3*365.25)),Data!#REF!&lt;=(TODAY()-(Data_Val!$I$2*365.25))),0,1),1))</f>
        <v>#REF!</v>
      </c>
      <c r="AV535" s="11" t="e">
        <f>IF(Data!#REF!="","",IF(Data!$G535="",1,IF(ISNUMBER(MATCH(Data!#REF!,Data_Val!$D$2:$D$10,0)),0,1)))</f>
        <v>#REF!</v>
      </c>
      <c r="AW535" s="12"/>
      <c r="AX535" s="26" t="e">
        <f ca="1">IF(Data!#REF!="","",IF(ISNUMBER(Data!#REF!),IF(AND(Data!#REF!&gt;(TODAY()-(Data_Val!$I$3*365.25)),Data!#REF!&lt;=(TODAY()-(Data_Val!$I$2*365.25))),0,1),1))</f>
        <v>#REF!</v>
      </c>
      <c r="AY535" s="12" t="e">
        <f>IF(Data!#REF!="","",IF(Data!$G535="",1,IF(ISNUMBER(MATCH(Data!#REF!,Data_Val!$D$2:$D$10,0)),0,1)))</f>
        <v>#REF!</v>
      </c>
      <c r="AZ535" s="11"/>
      <c r="BA535" s="19" t="e">
        <f ca="1">IF(Data!#REF!="","",IF(ISNUMBER(Data!#REF!),IF(AND(Data!#REF!&gt;(TODAY()-(Data_Val!$M$3*365.25)),Data!#REF!&lt;=(TODAY()-(Data_Val!$M$2*365.25))),0,1),1))</f>
        <v>#REF!</v>
      </c>
      <c r="BB535" s="11" t="e">
        <f>IF(Data!#REF!="","",IF(Data!$G535="",1,IF(ISNUMBER(MATCH(Data!#REF!,Data_Val!$D$2:$D$10,0)),0,1)))</f>
        <v>#REF!</v>
      </c>
      <c r="BC535" s="12"/>
      <c r="BD535" s="20" t="e">
        <f ca="1">IF(Data!#REF!="","",IF(ISNUMBER(Data!#REF!),IF(AND(Data!#REF!&gt;(TODAY()-(Data_Val!$M$3*365.25)),Data!#REF!&lt;=(TODAY()-(Data_Val!$M$2*365.25))),0,1),1))</f>
        <v>#REF!</v>
      </c>
      <c r="BE535" s="12" t="e">
        <f>IF(Data!#REF!="","",IF(Data!$G535="",1,IF(ISNUMBER(MATCH(Data!#REF!,Data_Val!$D$2:$D$10,0)),0,1)))</f>
        <v>#REF!</v>
      </c>
      <c r="BF535" s="17"/>
      <c r="BG535" s="18" t="e">
        <f ca="1">IF(Data!#REF!="","",IF(ISNUMBER(Data!#REF!),IF(AND(Data!#REF!&gt;(TODAY()-(Data_Val!$M$3*365.25)),Data!#REF!&lt;=(TODAY()-(Data_Val!$M$2*365.25))),0,1),1))</f>
        <v>#REF!</v>
      </c>
      <c r="BH535" s="29" t="e">
        <f>IF(Data!#REF!="","",IF(Data!$G535="",1,IF(ISNUMBER(MATCH(Data!#REF!,Data_Val!$D$2:$D$10,0)),0,1)))</f>
        <v>#REF!</v>
      </c>
      <c r="BI535" s="13"/>
      <c r="BJ535" s="21" t="e">
        <f ca="1">IF(Data!#REF!="","",IF(ISNUMBER(Data!#REF!),IF(AND(Data!#REF!&gt;(TODAY()-(Data_Val!$M$3*365.25)),Data!#REF!&lt;=(TODAY()-(Data_Val!$M$2*365.25))),0,1),1))</f>
        <v>#REF!</v>
      </c>
      <c r="BK535" s="13" t="e">
        <f>IF(Data!#REF!="","",IF(Data!$G535="",1,IF(ISNUMBER(MATCH(Data!#REF!,Data_Val!$D$2:$D$10,0)),0,1)))</f>
        <v>#REF!</v>
      </c>
    </row>
    <row r="536" spans="1:63" x14ac:dyDescent="0.25">
      <c r="A536" s="9" t="str">
        <f>IF(Data!B536="","",IF(COUNTIFS(Data!A$1:'Data'!A536,Data!A536)&lt;=1,0,1))</f>
        <v/>
      </c>
      <c r="B536" s="9"/>
      <c r="C536" s="23" t="str">
        <f>IF(Data!C536="","",(IF(ISNUMBER(MATCH("*@*.?*",Data!C536,0)),0,1)+IF(COUNTIFS(Data!C$1:'Data'!C536,Data!C536)&gt;1,1,0)))</f>
        <v/>
      </c>
      <c r="D536" s="9" t="str">
        <f>IF(Data!B536="","",IF(ISNUMBER(Data!D536),IF(AND(Data!D536&gt;999999999,Data!D536&lt;=9999999999),IF(COUNTIFS(Data!D$1:'Data'!D536,Data!D536)&lt;=1,0,1),1),1))</f>
        <v/>
      </c>
      <c r="E536" s="9" t="str">
        <f>IF(Data!B536="","",IF(ISNUMBER(MATCH(Data!E536,Data_Val!$A$2:$A$3,0)),0,1))</f>
        <v/>
      </c>
      <c r="F536" s="9" t="str">
        <f ca="1">IF(Data!B536="","",IF(ISNUMBER(Data!F536),IF(AND(Data!F536&gt;(TODAY()-(Data_Val!$H$3*365.25)),Data!F536&lt;=(TODAY()-(Data_Val!$H$2*365.25))),0,1),1))</f>
        <v/>
      </c>
      <c r="G536" s="15" t="str">
        <f>IF(Data!B536="","",IF(AND(Data!G536="",Data!H536&lt;&gt;""),1,IF(Data!#REF!&lt;&gt;"",0,IF(ISNUMBER(MATCH(Data!G536,Data_Val!$C$2:$C$5,0)),0,1))))</f>
        <v/>
      </c>
      <c r="H536" s="15" t="str">
        <f>IF(Data!B536="","",IF(AND(Data!G536&lt;&gt;"",Data!H536=""),1,IF(Data!#REF!&lt;&gt;"",0,IF(Data!G536="",1,IF(ISNUMBER(MATCH(Data!H536,Data_Val!$D$2:$D$35,0)),0,1)))))</f>
        <v/>
      </c>
      <c r="I536" s="15" t="str">
        <f>IF(Data!B536="","",IF(Data!G536&lt;&gt;"",0,IF(ISNUMBER(MATCH(Data!#REF!,Data_Val!$E$2:$E$12,0)),0,1)))</f>
        <v/>
      </c>
      <c r="J536" s="16" t="e">
        <f>IF(OR(Data!B536="",Data!#REF!=""),"",IF(Data!#REF!="",1,0))</f>
        <v>#REF!</v>
      </c>
      <c r="K536" s="16" t="e">
        <f>IF(OR(Data!B536="",Data!#REF!=""),"",IF(Data!#REF!="",1,0))</f>
        <v>#REF!</v>
      </c>
      <c r="L536" s="16" t="e">
        <f>IF(OR(Data!B536="",Data!#REF!=""),"",IF(ISNUMBER(Data!#REF!),IF(AND(Data!#REF!&gt;Data_Val!$G$2,Data!#REF!&lt;=Data_Val!$G$3),0,1),1))</f>
        <v>#REF!</v>
      </c>
      <c r="M536" s="9" t="e">
        <f>IF(OR(Data!B536="",Data!#REF!=""),"",IF(ISNUMBER(MATCH(Data!#REF!,Data_Val!$F$1:$F$38,0)),0,1))</f>
        <v>#REF!</v>
      </c>
      <c r="N536" s="9" t="e">
        <f>IF(OR(Data!B536="",Data!#REF!=""),"",IF(Data!#REF!="",1,0))</f>
        <v>#REF!</v>
      </c>
      <c r="O536" s="17" t="e">
        <f>IF(Data!#REF!="","",IF(Data!#REF!="",1,0))</f>
        <v>#REF!</v>
      </c>
      <c r="P536" s="17" t="e">
        <f>IF(Data!#REF!="","",IF(ISNUMBER(MATCH(Data!#REF!,Data_Val!$A$2:$A$3,0)),0,1))</f>
        <v>#REF!</v>
      </c>
      <c r="Q536" s="25" t="e">
        <f ca="1">IF(Data!#REF!="","",IF(ISNUMBER(Data!#REF!),IF(AND(Data!#REF!&gt;(TODAY()-(Data_Val!$J$3*365.25)),Data!#REF!&lt;=(TODAY()-(Data_Val!$J$2*365.25))),0,1),1))</f>
        <v>#REF!</v>
      </c>
      <c r="R536" s="17" t="e">
        <f>IF(Data!#REF!="","",IF(ISNUMBER(MATCH(Data!#REF!,Data_Val!$B$2:$B$15,0)),0,1))</f>
        <v>#REF!</v>
      </c>
      <c r="S536" s="11" t="str">
        <f>IF(Data!G536="","",IF(Data!G536=Data_Val!$C$2,IF(Data!M536="",0,1),0))</f>
        <v/>
      </c>
      <c r="T536" s="11" t="str">
        <f>IF(Data!M536="","",IF(ISNUMBER(MATCH(Data!N536,Data_Val!$A$2:$A$3,0)),0,1))</f>
        <v/>
      </c>
      <c r="U536" s="11" t="str">
        <f ca="1">IF(Data!M536="","",IF(ISNUMBER(Data!O536),IF(AND(Data!O536&gt;(TODAY()-(Data_Val!$K$3*365.25)),Data!O536&lt;=(TODAY()-(Data_Val!$K$2*365.25))),0,1),1))</f>
        <v/>
      </c>
      <c r="V536" s="12" t="str">
        <f>IF(Data!G536="","",IF(Data!G536=Data_Val!$C$2,IF(Data!P536="",0,1),0))</f>
        <v/>
      </c>
      <c r="W536" s="12" t="str">
        <f>IF(Data!P536="","",IF(ISNUMBER(MATCH(Data!Q536,Data_Val!$A$2:$A$3,0)),0,1))</f>
        <v/>
      </c>
      <c r="X536" s="26" t="str">
        <f ca="1">IF(Data!P536="","",IF(ISNUMBER(Data!R536),IF(AND(Data!R536&gt;(TODAY()-(Data_Val!$L$3*365.25)),Data!R536&lt;=(TODAY()-(Data_Val!$L$2*365.25))),0,1),1))</f>
        <v/>
      </c>
      <c r="Y536" s="13" t="str">
        <f>IF(Data!$G536="","",IF(Data!$G536=Data_Val!$C$2,IF(Data!S536="",0,1),0))</f>
        <v/>
      </c>
      <c r="Z536" s="13" t="str">
        <f>IF(Data!S536="","",IF(ISNUMBER(MATCH(Data!T536,Data_Val!$A$2:$A$3,0)),0,1))</f>
        <v/>
      </c>
      <c r="AA536" s="28" t="str">
        <f ca="1">IF(Data!S536="","",IF(ISNUMBER(Data!U536),IF(AND(Data!U536&gt;(TODAY()-(Data_Val!$L$3*365.25)),Data!U536&lt;=(TODAY()-(Data_Val!$L$2*365.25))),0,1),1))</f>
        <v/>
      </c>
      <c r="AB536" s="11"/>
      <c r="AC536" s="11" t="e">
        <f>IF(Data!#REF!="","",IF(ISNUMBER(MATCH(Data!#REF!,Data_Val!$A$2:$A$3,0)),0,1))</f>
        <v>#REF!</v>
      </c>
      <c r="AD536" s="11" t="e">
        <f ca="1">IF(Data!#REF!="","",IF(ISNUMBER(Data!#REF!),IF(AND(Data!#REF!&gt;(TODAY()-(Data_Val!$L$3*365.25)),Data!#REF!&lt;=(TODAY()-(Data_Val!$L$2*365.25))),0,1),1))</f>
        <v>#REF!</v>
      </c>
      <c r="AE536" s="11" t="e">
        <f>IF(Data!#REF!="","",IF(Data!$G536="",1,IF(ISNUMBER(MATCH(Data!#REF!,Data_Val!$D$2:$D$10,0)),0,1)))</f>
        <v>#REF!</v>
      </c>
      <c r="AF536" s="12"/>
      <c r="AG536" s="12" t="e">
        <f>IF(Data!#REF!="","",IF(ISNUMBER(MATCH(Data!#REF!,Data_Val!$A$2:$A$3,0)),0,1))</f>
        <v>#REF!</v>
      </c>
      <c r="AH536" s="26" t="e">
        <f ca="1">IF(Data!#REF!="","",IF(ISNUMBER(Data!#REF!),IF(AND(Data!#REF!&gt;(TODAY()-(Data_Val!$L$3*365.25)),Data!#REF!&lt;=(TODAY()-(Data_Val!$L$2*365.25))),0,1),1))</f>
        <v>#REF!</v>
      </c>
      <c r="AI536" s="12" t="e">
        <f>IF(Data!#REF!="","",IF(Data!$G536="",1,IF(ISNUMBER(MATCH(Data!#REF!,Data_Val!$D$2:$D$10,0)),0,1)))</f>
        <v>#REF!</v>
      </c>
      <c r="AJ536" s="17"/>
      <c r="AK536" s="17" t="e">
        <f>IF(Data!#REF!="","",IF(ISNUMBER(MATCH(Data!#REF!,Data_Val!$A$2:$A$3,0)),0,1))</f>
        <v>#REF!</v>
      </c>
      <c r="AL536" s="25" t="e">
        <f ca="1">IF(Data!#REF!="","",IF(ISNUMBER(Data!#REF!),IF(AND(Data!#REF!&gt;(TODAY()-(Data_Val!$L$3*365.25)),Data!#REF!&lt;=(TODAY()-(Data_Val!$L$2*365.25))),0,1),1))</f>
        <v>#REF!</v>
      </c>
      <c r="AM536" s="17" t="e">
        <f>IF(Data!#REF!="","",IF(Data!$G536="",1,IF(ISNUMBER(MATCH(Data!#REF!,Data_Val!$D$2:$D$10,0)),0,1)))</f>
        <v>#REF!</v>
      </c>
      <c r="AN536" s="13"/>
      <c r="AO536" s="28" t="e">
        <f ca="1">IF(Data!#REF!="","",IF(ISNUMBER(Data!#REF!),IF(AND(Data!#REF!&gt;(TODAY()-(Data_Val!$I$3*365.25)),Data!#REF!&lt;=(TODAY()-(Data_Val!$I$2*365.25))),0,1),1))</f>
        <v>#REF!</v>
      </c>
      <c r="AP536" s="13" t="e">
        <f>IF(Data!#REF!="","",IF(Data!$G536="",1,IF(ISNUMBER(MATCH(Data!#REF!,Data_Val!$D$2:$D$10,0)),0,1)))</f>
        <v>#REF!</v>
      </c>
      <c r="AQ536" s="17"/>
      <c r="AR536" s="30" t="e">
        <f ca="1">IF(Data!#REF!="","",IF(ISNUMBER(Data!#REF!),IF(AND(Data!#REF!&gt;(TODAY()-(Data_Val!$I$3*365.25)),Data!#REF!&lt;=(TODAY()-(Data_Val!$I$2*365.25))),0,1),1))</f>
        <v>#REF!</v>
      </c>
      <c r="AS536" s="31" t="e">
        <f>IF(Data!#REF!="","",IF(Data!$G536="",1,IF(ISNUMBER(MATCH(Data!#REF!,Data_Val!$D$2:$D$10,0)),0,1)))</f>
        <v>#REF!</v>
      </c>
      <c r="AT536" s="11"/>
      <c r="AU536" s="11" t="e">
        <f ca="1">IF(Data!#REF!="","",IF(ISNUMBER(Data!#REF!),IF(AND(Data!#REF!&gt;(TODAY()-(Data_Val!$I$3*365.25)),Data!#REF!&lt;=(TODAY()-(Data_Val!$I$2*365.25))),0,1),1))</f>
        <v>#REF!</v>
      </c>
      <c r="AV536" s="11" t="e">
        <f>IF(Data!#REF!="","",IF(Data!$G536="",1,IF(ISNUMBER(MATCH(Data!#REF!,Data_Val!$D$2:$D$10,0)),0,1)))</f>
        <v>#REF!</v>
      </c>
      <c r="AW536" s="12"/>
      <c r="AX536" s="26" t="e">
        <f ca="1">IF(Data!#REF!="","",IF(ISNUMBER(Data!#REF!),IF(AND(Data!#REF!&gt;(TODAY()-(Data_Val!$I$3*365.25)),Data!#REF!&lt;=(TODAY()-(Data_Val!$I$2*365.25))),0,1),1))</f>
        <v>#REF!</v>
      </c>
      <c r="AY536" s="12" t="e">
        <f>IF(Data!#REF!="","",IF(Data!$G536="",1,IF(ISNUMBER(MATCH(Data!#REF!,Data_Val!$D$2:$D$10,0)),0,1)))</f>
        <v>#REF!</v>
      </c>
      <c r="AZ536" s="11"/>
      <c r="BA536" s="19" t="e">
        <f ca="1">IF(Data!#REF!="","",IF(ISNUMBER(Data!#REF!),IF(AND(Data!#REF!&gt;(TODAY()-(Data_Val!$M$3*365.25)),Data!#REF!&lt;=(TODAY()-(Data_Val!$M$2*365.25))),0,1),1))</f>
        <v>#REF!</v>
      </c>
      <c r="BB536" s="11" t="e">
        <f>IF(Data!#REF!="","",IF(Data!$G536="",1,IF(ISNUMBER(MATCH(Data!#REF!,Data_Val!$D$2:$D$10,0)),0,1)))</f>
        <v>#REF!</v>
      </c>
      <c r="BC536" s="12"/>
      <c r="BD536" s="20" t="e">
        <f ca="1">IF(Data!#REF!="","",IF(ISNUMBER(Data!#REF!),IF(AND(Data!#REF!&gt;(TODAY()-(Data_Val!$M$3*365.25)),Data!#REF!&lt;=(TODAY()-(Data_Val!$M$2*365.25))),0,1),1))</f>
        <v>#REF!</v>
      </c>
      <c r="BE536" s="12" t="e">
        <f>IF(Data!#REF!="","",IF(Data!$G536="",1,IF(ISNUMBER(MATCH(Data!#REF!,Data_Val!$D$2:$D$10,0)),0,1)))</f>
        <v>#REF!</v>
      </c>
      <c r="BF536" s="17"/>
      <c r="BG536" s="18" t="e">
        <f ca="1">IF(Data!#REF!="","",IF(ISNUMBER(Data!#REF!),IF(AND(Data!#REF!&gt;(TODAY()-(Data_Val!$M$3*365.25)),Data!#REF!&lt;=(TODAY()-(Data_Val!$M$2*365.25))),0,1),1))</f>
        <v>#REF!</v>
      </c>
      <c r="BH536" s="29" t="e">
        <f>IF(Data!#REF!="","",IF(Data!$G536="",1,IF(ISNUMBER(MATCH(Data!#REF!,Data_Val!$D$2:$D$10,0)),0,1)))</f>
        <v>#REF!</v>
      </c>
      <c r="BI536" s="13"/>
      <c r="BJ536" s="21" t="e">
        <f ca="1">IF(Data!#REF!="","",IF(ISNUMBER(Data!#REF!),IF(AND(Data!#REF!&gt;(TODAY()-(Data_Val!$M$3*365.25)),Data!#REF!&lt;=(TODAY()-(Data_Val!$M$2*365.25))),0,1),1))</f>
        <v>#REF!</v>
      </c>
      <c r="BK536" s="13" t="e">
        <f>IF(Data!#REF!="","",IF(Data!$G536="",1,IF(ISNUMBER(MATCH(Data!#REF!,Data_Val!$D$2:$D$10,0)),0,1)))</f>
        <v>#REF!</v>
      </c>
    </row>
    <row r="537" spans="1:63" x14ac:dyDescent="0.25">
      <c r="A537" s="9" t="str">
        <f>IF(Data!B537="","",IF(COUNTIFS(Data!A$1:'Data'!A537,Data!A537)&lt;=1,0,1))</f>
        <v/>
      </c>
      <c r="B537" s="9"/>
      <c r="C537" s="23" t="str">
        <f>IF(Data!C537="","",(IF(ISNUMBER(MATCH("*@*.?*",Data!C537,0)),0,1)+IF(COUNTIFS(Data!C$1:'Data'!C537,Data!C537)&gt;1,1,0)))</f>
        <v/>
      </c>
      <c r="D537" s="9" t="str">
        <f>IF(Data!B537="","",IF(ISNUMBER(Data!D537),IF(AND(Data!D537&gt;999999999,Data!D537&lt;=9999999999),IF(COUNTIFS(Data!D$1:'Data'!D537,Data!D537)&lt;=1,0,1),1),1))</f>
        <v/>
      </c>
      <c r="E537" s="9" t="str">
        <f>IF(Data!B537="","",IF(ISNUMBER(MATCH(Data!E537,Data_Val!$A$2:$A$3,0)),0,1))</f>
        <v/>
      </c>
      <c r="F537" s="9" t="str">
        <f ca="1">IF(Data!B537="","",IF(ISNUMBER(Data!F537),IF(AND(Data!F537&gt;(TODAY()-(Data_Val!$H$3*365.25)),Data!F537&lt;=(TODAY()-(Data_Val!$H$2*365.25))),0,1),1))</f>
        <v/>
      </c>
      <c r="G537" s="15" t="str">
        <f>IF(Data!B537="","",IF(AND(Data!G537="",Data!H537&lt;&gt;""),1,IF(Data!#REF!&lt;&gt;"",0,IF(ISNUMBER(MATCH(Data!G537,Data_Val!$C$2:$C$5,0)),0,1))))</f>
        <v/>
      </c>
      <c r="H537" s="15" t="str">
        <f>IF(Data!B537="","",IF(AND(Data!G537&lt;&gt;"",Data!H537=""),1,IF(Data!#REF!&lt;&gt;"",0,IF(Data!G537="",1,IF(ISNUMBER(MATCH(Data!H537,Data_Val!$D$2:$D$35,0)),0,1)))))</f>
        <v/>
      </c>
      <c r="I537" s="15" t="str">
        <f>IF(Data!B537="","",IF(Data!G537&lt;&gt;"",0,IF(ISNUMBER(MATCH(Data!#REF!,Data_Val!$E$2:$E$12,0)),0,1)))</f>
        <v/>
      </c>
      <c r="J537" s="16" t="e">
        <f>IF(OR(Data!B537="",Data!#REF!=""),"",IF(Data!#REF!="",1,0))</f>
        <v>#REF!</v>
      </c>
      <c r="K537" s="16" t="e">
        <f>IF(OR(Data!B537="",Data!#REF!=""),"",IF(Data!#REF!="",1,0))</f>
        <v>#REF!</v>
      </c>
      <c r="L537" s="16" t="e">
        <f>IF(OR(Data!B537="",Data!#REF!=""),"",IF(ISNUMBER(Data!#REF!),IF(AND(Data!#REF!&gt;Data_Val!$G$2,Data!#REF!&lt;=Data_Val!$G$3),0,1),1))</f>
        <v>#REF!</v>
      </c>
      <c r="M537" s="9" t="e">
        <f>IF(OR(Data!B537="",Data!#REF!=""),"",IF(ISNUMBER(MATCH(Data!#REF!,Data_Val!$F$1:$F$38,0)),0,1))</f>
        <v>#REF!</v>
      </c>
      <c r="N537" s="9" t="e">
        <f>IF(OR(Data!B537="",Data!#REF!=""),"",IF(Data!#REF!="",1,0))</f>
        <v>#REF!</v>
      </c>
      <c r="O537" s="17" t="e">
        <f>IF(Data!#REF!="","",IF(Data!#REF!="",1,0))</f>
        <v>#REF!</v>
      </c>
      <c r="P537" s="17" t="e">
        <f>IF(Data!#REF!="","",IF(ISNUMBER(MATCH(Data!#REF!,Data_Val!$A$2:$A$3,0)),0,1))</f>
        <v>#REF!</v>
      </c>
      <c r="Q537" s="25" t="e">
        <f ca="1">IF(Data!#REF!="","",IF(ISNUMBER(Data!#REF!),IF(AND(Data!#REF!&gt;(TODAY()-(Data_Val!$J$3*365.25)),Data!#REF!&lt;=(TODAY()-(Data_Val!$J$2*365.25))),0,1),1))</f>
        <v>#REF!</v>
      </c>
      <c r="R537" s="17" t="e">
        <f>IF(Data!#REF!="","",IF(ISNUMBER(MATCH(Data!#REF!,Data_Val!$B$2:$B$15,0)),0,1))</f>
        <v>#REF!</v>
      </c>
      <c r="S537" s="11" t="str">
        <f>IF(Data!G537="","",IF(Data!G537=Data_Val!$C$2,IF(Data!M537="",0,1),0))</f>
        <v/>
      </c>
      <c r="T537" s="11" t="str">
        <f>IF(Data!M537="","",IF(ISNUMBER(MATCH(Data!N537,Data_Val!$A$2:$A$3,0)),0,1))</f>
        <v/>
      </c>
      <c r="U537" s="11" t="str">
        <f ca="1">IF(Data!M537="","",IF(ISNUMBER(Data!O537),IF(AND(Data!O537&gt;(TODAY()-(Data_Val!$K$3*365.25)),Data!O537&lt;=(TODAY()-(Data_Val!$K$2*365.25))),0,1),1))</f>
        <v/>
      </c>
      <c r="V537" s="12" t="str">
        <f>IF(Data!G537="","",IF(Data!G537=Data_Val!$C$2,IF(Data!P537="",0,1),0))</f>
        <v/>
      </c>
      <c r="W537" s="12" t="str">
        <f>IF(Data!P537="","",IF(ISNUMBER(MATCH(Data!Q537,Data_Val!$A$2:$A$3,0)),0,1))</f>
        <v/>
      </c>
      <c r="X537" s="26" t="str">
        <f ca="1">IF(Data!P537="","",IF(ISNUMBER(Data!R537),IF(AND(Data!R537&gt;(TODAY()-(Data_Val!$L$3*365.25)),Data!R537&lt;=(TODAY()-(Data_Val!$L$2*365.25))),0,1),1))</f>
        <v/>
      </c>
      <c r="Y537" s="13" t="str">
        <f>IF(Data!$G537="","",IF(Data!$G537=Data_Val!$C$2,IF(Data!S537="",0,1),0))</f>
        <v/>
      </c>
      <c r="Z537" s="13" t="str">
        <f>IF(Data!S537="","",IF(ISNUMBER(MATCH(Data!T537,Data_Val!$A$2:$A$3,0)),0,1))</f>
        <v/>
      </c>
      <c r="AA537" s="28" t="str">
        <f ca="1">IF(Data!S537="","",IF(ISNUMBER(Data!U537),IF(AND(Data!U537&gt;(TODAY()-(Data_Val!$L$3*365.25)),Data!U537&lt;=(TODAY()-(Data_Val!$L$2*365.25))),0,1),1))</f>
        <v/>
      </c>
      <c r="AB537" s="11"/>
      <c r="AC537" s="11" t="e">
        <f>IF(Data!#REF!="","",IF(ISNUMBER(MATCH(Data!#REF!,Data_Val!$A$2:$A$3,0)),0,1))</f>
        <v>#REF!</v>
      </c>
      <c r="AD537" s="11" t="e">
        <f ca="1">IF(Data!#REF!="","",IF(ISNUMBER(Data!#REF!),IF(AND(Data!#REF!&gt;(TODAY()-(Data_Val!$L$3*365.25)),Data!#REF!&lt;=(TODAY()-(Data_Val!$L$2*365.25))),0,1),1))</f>
        <v>#REF!</v>
      </c>
      <c r="AE537" s="11" t="e">
        <f>IF(Data!#REF!="","",IF(Data!$G537="",1,IF(ISNUMBER(MATCH(Data!#REF!,Data_Val!$D$2:$D$10,0)),0,1)))</f>
        <v>#REF!</v>
      </c>
      <c r="AF537" s="12"/>
      <c r="AG537" s="12" t="e">
        <f>IF(Data!#REF!="","",IF(ISNUMBER(MATCH(Data!#REF!,Data_Val!$A$2:$A$3,0)),0,1))</f>
        <v>#REF!</v>
      </c>
      <c r="AH537" s="26" t="e">
        <f ca="1">IF(Data!#REF!="","",IF(ISNUMBER(Data!#REF!),IF(AND(Data!#REF!&gt;(TODAY()-(Data_Val!$L$3*365.25)),Data!#REF!&lt;=(TODAY()-(Data_Val!$L$2*365.25))),0,1),1))</f>
        <v>#REF!</v>
      </c>
      <c r="AI537" s="12" t="e">
        <f>IF(Data!#REF!="","",IF(Data!$G537="",1,IF(ISNUMBER(MATCH(Data!#REF!,Data_Val!$D$2:$D$10,0)),0,1)))</f>
        <v>#REF!</v>
      </c>
      <c r="AJ537" s="17"/>
      <c r="AK537" s="17" t="e">
        <f>IF(Data!#REF!="","",IF(ISNUMBER(MATCH(Data!#REF!,Data_Val!$A$2:$A$3,0)),0,1))</f>
        <v>#REF!</v>
      </c>
      <c r="AL537" s="25" t="e">
        <f ca="1">IF(Data!#REF!="","",IF(ISNUMBER(Data!#REF!),IF(AND(Data!#REF!&gt;(TODAY()-(Data_Val!$L$3*365.25)),Data!#REF!&lt;=(TODAY()-(Data_Val!$L$2*365.25))),0,1),1))</f>
        <v>#REF!</v>
      </c>
      <c r="AM537" s="17" t="e">
        <f>IF(Data!#REF!="","",IF(Data!$G537="",1,IF(ISNUMBER(MATCH(Data!#REF!,Data_Val!$D$2:$D$10,0)),0,1)))</f>
        <v>#REF!</v>
      </c>
      <c r="AN537" s="13"/>
      <c r="AO537" s="28" t="e">
        <f ca="1">IF(Data!#REF!="","",IF(ISNUMBER(Data!#REF!),IF(AND(Data!#REF!&gt;(TODAY()-(Data_Val!$I$3*365.25)),Data!#REF!&lt;=(TODAY()-(Data_Val!$I$2*365.25))),0,1),1))</f>
        <v>#REF!</v>
      </c>
      <c r="AP537" s="13" t="e">
        <f>IF(Data!#REF!="","",IF(Data!$G537="",1,IF(ISNUMBER(MATCH(Data!#REF!,Data_Val!$D$2:$D$10,0)),0,1)))</f>
        <v>#REF!</v>
      </c>
      <c r="AQ537" s="17"/>
      <c r="AR537" s="30" t="e">
        <f ca="1">IF(Data!#REF!="","",IF(ISNUMBER(Data!#REF!),IF(AND(Data!#REF!&gt;(TODAY()-(Data_Val!$I$3*365.25)),Data!#REF!&lt;=(TODAY()-(Data_Val!$I$2*365.25))),0,1),1))</f>
        <v>#REF!</v>
      </c>
      <c r="AS537" s="31" t="e">
        <f>IF(Data!#REF!="","",IF(Data!$G537="",1,IF(ISNUMBER(MATCH(Data!#REF!,Data_Val!$D$2:$D$10,0)),0,1)))</f>
        <v>#REF!</v>
      </c>
      <c r="AT537" s="11"/>
      <c r="AU537" s="11" t="e">
        <f ca="1">IF(Data!#REF!="","",IF(ISNUMBER(Data!#REF!),IF(AND(Data!#REF!&gt;(TODAY()-(Data_Val!$I$3*365.25)),Data!#REF!&lt;=(TODAY()-(Data_Val!$I$2*365.25))),0,1),1))</f>
        <v>#REF!</v>
      </c>
      <c r="AV537" s="11" t="e">
        <f>IF(Data!#REF!="","",IF(Data!$G537="",1,IF(ISNUMBER(MATCH(Data!#REF!,Data_Val!$D$2:$D$10,0)),0,1)))</f>
        <v>#REF!</v>
      </c>
      <c r="AW537" s="12"/>
      <c r="AX537" s="26" t="e">
        <f ca="1">IF(Data!#REF!="","",IF(ISNUMBER(Data!#REF!),IF(AND(Data!#REF!&gt;(TODAY()-(Data_Val!$I$3*365.25)),Data!#REF!&lt;=(TODAY()-(Data_Val!$I$2*365.25))),0,1),1))</f>
        <v>#REF!</v>
      </c>
      <c r="AY537" s="12" t="e">
        <f>IF(Data!#REF!="","",IF(Data!$G537="",1,IF(ISNUMBER(MATCH(Data!#REF!,Data_Val!$D$2:$D$10,0)),0,1)))</f>
        <v>#REF!</v>
      </c>
      <c r="AZ537" s="11"/>
      <c r="BA537" s="19" t="e">
        <f ca="1">IF(Data!#REF!="","",IF(ISNUMBER(Data!#REF!),IF(AND(Data!#REF!&gt;(TODAY()-(Data_Val!$M$3*365.25)),Data!#REF!&lt;=(TODAY()-(Data_Val!$M$2*365.25))),0,1),1))</f>
        <v>#REF!</v>
      </c>
      <c r="BB537" s="11" t="e">
        <f>IF(Data!#REF!="","",IF(Data!$G537="",1,IF(ISNUMBER(MATCH(Data!#REF!,Data_Val!$D$2:$D$10,0)),0,1)))</f>
        <v>#REF!</v>
      </c>
      <c r="BC537" s="12"/>
      <c r="BD537" s="20" t="e">
        <f ca="1">IF(Data!#REF!="","",IF(ISNUMBER(Data!#REF!),IF(AND(Data!#REF!&gt;(TODAY()-(Data_Val!$M$3*365.25)),Data!#REF!&lt;=(TODAY()-(Data_Val!$M$2*365.25))),0,1),1))</f>
        <v>#REF!</v>
      </c>
      <c r="BE537" s="12" t="e">
        <f>IF(Data!#REF!="","",IF(Data!$G537="",1,IF(ISNUMBER(MATCH(Data!#REF!,Data_Val!$D$2:$D$10,0)),0,1)))</f>
        <v>#REF!</v>
      </c>
      <c r="BF537" s="17"/>
      <c r="BG537" s="18" t="e">
        <f ca="1">IF(Data!#REF!="","",IF(ISNUMBER(Data!#REF!),IF(AND(Data!#REF!&gt;(TODAY()-(Data_Val!$M$3*365.25)),Data!#REF!&lt;=(TODAY()-(Data_Val!$M$2*365.25))),0,1),1))</f>
        <v>#REF!</v>
      </c>
      <c r="BH537" s="29" t="e">
        <f>IF(Data!#REF!="","",IF(Data!$G537="",1,IF(ISNUMBER(MATCH(Data!#REF!,Data_Val!$D$2:$D$10,0)),0,1)))</f>
        <v>#REF!</v>
      </c>
      <c r="BI537" s="13"/>
      <c r="BJ537" s="21" t="e">
        <f ca="1">IF(Data!#REF!="","",IF(ISNUMBER(Data!#REF!),IF(AND(Data!#REF!&gt;(TODAY()-(Data_Val!$M$3*365.25)),Data!#REF!&lt;=(TODAY()-(Data_Val!$M$2*365.25))),0,1),1))</f>
        <v>#REF!</v>
      </c>
      <c r="BK537" s="13" t="e">
        <f>IF(Data!#REF!="","",IF(Data!$G537="",1,IF(ISNUMBER(MATCH(Data!#REF!,Data_Val!$D$2:$D$10,0)),0,1)))</f>
        <v>#REF!</v>
      </c>
    </row>
    <row r="538" spans="1:63" x14ac:dyDescent="0.25">
      <c r="A538" s="9" t="str">
        <f>IF(Data!B538="","",IF(COUNTIFS(Data!A$1:'Data'!A538,Data!A538)&lt;=1,0,1))</f>
        <v/>
      </c>
      <c r="B538" s="9"/>
      <c r="C538" s="23" t="str">
        <f>IF(Data!C538="","",(IF(ISNUMBER(MATCH("*@*.?*",Data!C538,0)),0,1)+IF(COUNTIFS(Data!C$1:'Data'!C538,Data!C538)&gt;1,1,0)))</f>
        <v/>
      </c>
      <c r="D538" s="9" t="str">
        <f>IF(Data!B538="","",IF(ISNUMBER(Data!D538),IF(AND(Data!D538&gt;999999999,Data!D538&lt;=9999999999),IF(COUNTIFS(Data!D$1:'Data'!D538,Data!D538)&lt;=1,0,1),1),1))</f>
        <v/>
      </c>
      <c r="E538" s="9" t="str">
        <f>IF(Data!B538="","",IF(ISNUMBER(MATCH(Data!E538,Data_Val!$A$2:$A$3,0)),0,1))</f>
        <v/>
      </c>
      <c r="F538" s="9" t="str">
        <f ca="1">IF(Data!B538="","",IF(ISNUMBER(Data!F538),IF(AND(Data!F538&gt;(TODAY()-(Data_Val!$H$3*365.25)),Data!F538&lt;=(TODAY()-(Data_Val!$H$2*365.25))),0,1),1))</f>
        <v/>
      </c>
      <c r="G538" s="15" t="str">
        <f>IF(Data!B538="","",IF(AND(Data!G538="",Data!H538&lt;&gt;""),1,IF(Data!#REF!&lt;&gt;"",0,IF(ISNUMBER(MATCH(Data!G538,Data_Val!$C$2:$C$5,0)),0,1))))</f>
        <v/>
      </c>
      <c r="H538" s="15" t="str">
        <f>IF(Data!B538="","",IF(AND(Data!G538&lt;&gt;"",Data!H538=""),1,IF(Data!#REF!&lt;&gt;"",0,IF(Data!G538="",1,IF(ISNUMBER(MATCH(Data!H538,Data_Val!$D$2:$D$35,0)),0,1)))))</f>
        <v/>
      </c>
      <c r="I538" s="15" t="str">
        <f>IF(Data!B538="","",IF(Data!G538&lt;&gt;"",0,IF(ISNUMBER(MATCH(Data!#REF!,Data_Val!$E$2:$E$12,0)),0,1)))</f>
        <v/>
      </c>
      <c r="J538" s="16" t="e">
        <f>IF(OR(Data!B538="",Data!#REF!=""),"",IF(Data!#REF!="",1,0))</f>
        <v>#REF!</v>
      </c>
      <c r="K538" s="16" t="e">
        <f>IF(OR(Data!B538="",Data!#REF!=""),"",IF(Data!#REF!="",1,0))</f>
        <v>#REF!</v>
      </c>
      <c r="L538" s="16" t="e">
        <f>IF(OR(Data!B538="",Data!#REF!=""),"",IF(ISNUMBER(Data!#REF!),IF(AND(Data!#REF!&gt;Data_Val!$G$2,Data!#REF!&lt;=Data_Val!$G$3),0,1),1))</f>
        <v>#REF!</v>
      </c>
      <c r="M538" s="9" t="e">
        <f>IF(OR(Data!B538="",Data!#REF!=""),"",IF(ISNUMBER(MATCH(Data!#REF!,Data_Val!$F$1:$F$38,0)),0,1))</f>
        <v>#REF!</v>
      </c>
      <c r="N538" s="9" t="e">
        <f>IF(OR(Data!B538="",Data!#REF!=""),"",IF(Data!#REF!="",1,0))</f>
        <v>#REF!</v>
      </c>
      <c r="O538" s="17" t="e">
        <f>IF(Data!#REF!="","",IF(Data!#REF!="",1,0))</f>
        <v>#REF!</v>
      </c>
      <c r="P538" s="17" t="e">
        <f>IF(Data!#REF!="","",IF(ISNUMBER(MATCH(Data!#REF!,Data_Val!$A$2:$A$3,0)),0,1))</f>
        <v>#REF!</v>
      </c>
      <c r="Q538" s="25" t="e">
        <f ca="1">IF(Data!#REF!="","",IF(ISNUMBER(Data!#REF!),IF(AND(Data!#REF!&gt;(TODAY()-(Data_Val!$J$3*365.25)),Data!#REF!&lt;=(TODAY()-(Data_Val!$J$2*365.25))),0,1),1))</f>
        <v>#REF!</v>
      </c>
      <c r="R538" s="17" t="e">
        <f>IF(Data!#REF!="","",IF(ISNUMBER(MATCH(Data!#REF!,Data_Val!$B$2:$B$15,0)),0,1))</f>
        <v>#REF!</v>
      </c>
      <c r="S538" s="11" t="str">
        <f>IF(Data!G538="","",IF(Data!G538=Data_Val!$C$2,IF(Data!M538="",0,1),0))</f>
        <v/>
      </c>
      <c r="T538" s="11" t="str">
        <f>IF(Data!M538="","",IF(ISNUMBER(MATCH(Data!N538,Data_Val!$A$2:$A$3,0)),0,1))</f>
        <v/>
      </c>
      <c r="U538" s="11" t="str">
        <f ca="1">IF(Data!M538="","",IF(ISNUMBER(Data!O538),IF(AND(Data!O538&gt;(TODAY()-(Data_Val!$K$3*365.25)),Data!O538&lt;=(TODAY()-(Data_Val!$K$2*365.25))),0,1),1))</f>
        <v/>
      </c>
      <c r="V538" s="12" t="str">
        <f>IF(Data!G538="","",IF(Data!G538=Data_Val!$C$2,IF(Data!P538="",0,1),0))</f>
        <v/>
      </c>
      <c r="W538" s="12" t="str">
        <f>IF(Data!P538="","",IF(ISNUMBER(MATCH(Data!Q538,Data_Val!$A$2:$A$3,0)),0,1))</f>
        <v/>
      </c>
      <c r="X538" s="26" t="str">
        <f ca="1">IF(Data!P538="","",IF(ISNUMBER(Data!R538),IF(AND(Data!R538&gt;(TODAY()-(Data_Val!$L$3*365.25)),Data!R538&lt;=(TODAY()-(Data_Val!$L$2*365.25))),0,1),1))</f>
        <v/>
      </c>
      <c r="Y538" s="13" t="str">
        <f>IF(Data!$G538="","",IF(Data!$G538=Data_Val!$C$2,IF(Data!S538="",0,1),0))</f>
        <v/>
      </c>
      <c r="Z538" s="13" t="str">
        <f>IF(Data!S538="","",IF(ISNUMBER(MATCH(Data!T538,Data_Val!$A$2:$A$3,0)),0,1))</f>
        <v/>
      </c>
      <c r="AA538" s="28" t="str">
        <f ca="1">IF(Data!S538="","",IF(ISNUMBER(Data!U538),IF(AND(Data!U538&gt;(TODAY()-(Data_Val!$L$3*365.25)),Data!U538&lt;=(TODAY()-(Data_Val!$L$2*365.25))),0,1),1))</f>
        <v/>
      </c>
      <c r="AB538" s="11"/>
      <c r="AC538" s="11" t="e">
        <f>IF(Data!#REF!="","",IF(ISNUMBER(MATCH(Data!#REF!,Data_Val!$A$2:$A$3,0)),0,1))</f>
        <v>#REF!</v>
      </c>
      <c r="AD538" s="11" t="e">
        <f ca="1">IF(Data!#REF!="","",IF(ISNUMBER(Data!#REF!),IF(AND(Data!#REF!&gt;(TODAY()-(Data_Val!$L$3*365.25)),Data!#REF!&lt;=(TODAY()-(Data_Val!$L$2*365.25))),0,1),1))</f>
        <v>#REF!</v>
      </c>
      <c r="AE538" s="11" t="e">
        <f>IF(Data!#REF!="","",IF(Data!$G538="",1,IF(ISNUMBER(MATCH(Data!#REF!,Data_Val!$D$2:$D$10,0)),0,1)))</f>
        <v>#REF!</v>
      </c>
      <c r="AF538" s="12"/>
      <c r="AG538" s="12" t="e">
        <f>IF(Data!#REF!="","",IF(ISNUMBER(MATCH(Data!#REF!,Data_Val!$A$2:$A$3,0)),0,1))</f>
        <v>#REF!</v>
      </c>
      <c r="AH538" s="26" t="e">
        <f ca="1">IF(Data!#REF!="","",IF(ISNUMBER(Data!#REF!),IF(AND(Data!#REF!&gt;(TODAY()-(Data_Val!$L$3*365.25)),Data!#REF!&lt;=(TODAY()-(Data_Val!$L$2*365.25))),0,1),1))</f>
        <v>#REF!</v>
      </c>
      <c r="AI538" s="12" t="e">
        <f>IF(Data!#REF!="","",IF(Data!$G538="",1,IF(ISNUMBER(MATCH(Data!#REF!,Data_Val!$D$2:$D$10,0)),0,1)))</f>
        <v>#REF!</v>
      </c>
      <c r="AJ538" s="17"/>
      <c r="AK538" s="17" t="e">
        <f>IF(Data!#REF!="","",IF(ISNUMBER(MATCH(Data!#REF!,Data_Val!$A$2:$A$3,0)),0,1))</f>
        <v>#REF!</v>
      </c>
      <c r="AL538" s="25" t="e">
        <f ca="1">IF(Data!#REF!="","",IF(ISNUMBER(Data!#REF!),IF(AND(Data!#REF!&gt;(TODAY()-(Data_Val!$L$3*365.25)),Data!#REF!&lt;=(TODAY()-(Data_Val!$L$2*365.25))),0,1),1))</f>
        <v>#REF!</v>
      </c>
      <c r="AM538" s="17" t="e">
        <f>IF(Data!#REF!="","",IF(Data!$G538="",1,IF(ISNUMBER(MATCH(Data!#REF!,Data_Val!$D$2:$D$10,0)),0,1)))</f>
        <v>#REF!</v>
      </c>
      <c r="AN538" s="13"/>
      <c r="AO538" s="28" t="e">
        <f ca="1">IF(Data!#REF!="","",IF(ISNUMBER(Data!#REF!),IF(AND(Data!#REF!&gt;(TODAY()-(Data_Val!$I$3*365.25)),Data!#REF!&lt;=(TODAY()-(Data_Val!$I$2*365.25))),0,1),1))</f>
        <v>#REF!</v>
      </c>
      <c r="AP538" s="13" t="e">
        <f>IF(Data!#REF!="","",IF(Data!$G538="",1,IF(ISNUMBER(MATCH(Data!#REF!,Data_Val!$D$2:$D$10,0)),0,1)))</f>
        <v>#REF!</v>
      </c>
      <c r="AQ538" s="17"/>
      <c r="AR538" s="30" t="e">
        <f ca="1">IF(Data!#REF!="","",IF(ISNUMBER(Data!#REF!),IF(AND(Data!#REF!&gt;(TODAY()-(Data_Val!$I$3*365.25)),Data!#REF!&lt;=(TODAY()-(Data_Val!$I$2*365.25))),0,1),1))</f>
        <v>#REF!</v>
      </c>
      <c r="AS538" s="31" t="e">
        <f>IF(Data!#REF!="","",IF(Data!$G538="",1,IF(ISNUMBER(MATCH(Data!#REF!,Data_Val!$D$2:$D$10,0)),0,1)))</f>
        <v>#REF!</v>
      </c>
      <c r="AT538" s="11"/>
      <c r="AU538" s="11" t="e">
        <f ca="1">IF(Data!#REF!="","",IF(ISNUMBER(Data!#REF!),IF(AND(Data!#REF!&gt;(TODAY()-(Data_Val!$I$3*365.25)),Data!#REF!&lt;=(TODAY()-(Data_Val!$I$2*365.25))),0,1),1))</f>
        <v>#REF!</v>
      </c>
      <c r="AV538" s="11" t="e">
        <f>IF(Data!#REF!="","",IF(Data!$G538="",1,IF(ISNUMBER(MATCH(Data!#REF!,Data_Val!$D$2:$D$10,0)),0,1)))</f>
        <v>#REF!</v>
      </c>
      <c r="AW538" s="12"/>
      <c r="AX538" s="26" t="e">
        <f ca="1">IF(Data!#REF!="","",IF(ISNUMBER(Data!#REF!),IF(AND(Data!#REF!&gt;(TODAY()-(Data_Val!$I$3*365.25)),Data!#REF!&lt;=(TODAY()-(Data_Val!$I$2*365.25))),0,1),1))</f>
        <v>#REF!</v>
      </c>
      <c r="AY538" s="12" t="e">
        <f>IF(Data!#REF!="","",IF(Data!$G538="",1,IF(ISNUMBER(MATCH(Data!#REF!,Data_Val!$D$2:$D$10,0)),0,1)))</f>
        <v>#REF!</v>
      </c>
      <c r="AZ538" s="11"/>
      <c r="BA538" s="19" t="e">
        <f ca="1">IF(Data!#REF!="","",IF(ISNUMBER(Data!#REF!),IF(AND(Data!#REF!&gt;(TODAY()-(Data_Val!$M$3*365.25)),Data!#REF!&lt;=(TODAY()-(Data_Val!$M$2*365.25))),0,1),1))</f>
        <v>#REF!</v>
      </c>
      <c r="BB538" s="11" t="e">
        <f>IF(Data!#REF!="","",IF(Data!$G538="",1,IF(ISNUMBER(MATCH(Data!#REF!,Data_Val!$D$2:$D$10,0)),0,1)))</f>
        <v>#REF!</v>
      </c>
      <c r="BC538" s="12"/>
      <c r="BD538" s="20" t="e">
        <f ca="1">IF(Data!#REF!="","",IF(ISNUMBER(Data!#REF!),IF(AND(Data!#REF!&gt;(TODAY()-(Data_Val!$M$3*365.25)),Data!#REF!&lt;=(TODAY()-(Data_Val!$M$2*365.25))),0,1),1))</f>
        <v>#REF!</v>
      </c>
      <c r="BE538" s="12" t="e">
        <f>IF(Data!#REF!="","",IF(Data!$G538="",1,IF(ISNUMBER(MATCH(Data!#REF!,Data_Val!$D$2:$D$10,0)),0,1)))</f>
        <v>#REF!</v>
      </c>
      <c r="BF538" s="17"/>
      <c r="BG538" s="18" t="e">
        <f ca="1">IF(Data!#REF!="","",IF(ISNUMBER(Data!#REF!),IF(AND(Data!#REF!&gt;(TODAY()-(Data_Val!$M$3*365.25)),Data!#REF!&lt;=(TODAY()-(Data_Val!$M$2*365.25))),0,1),1))</f>
        <v>#REF!</v>
      </c>
      <c r="BH538" s="29" t="e">
        <f>IF(Data!#REF!="","",IF(Data!$G538="",1,IF(ISNUMBER(MATCH(Data!#REF!,Data_Val!$D$2:$D$10,0)),0,1)))</f>
        <v>#REF!</v>
      </c>
      <c r="BI538" s="13"/>
      <c r="BJ538" s="21" t="e">
        <f ca="1">IF(Data!#REF!="","",IF(ISNUMBER(Data!#REF!),IF(AND(Data!#REF!&gt;(TODAY()-(Data_Val!$M$3*365.25)),Data!#REF!&lt;=(TODAY()-(Data_Val!$M$2*365.25))),0,1),1))</f>
        <v>#REF!</v>
      </c>
      <c r="BK538" s="13" t="e">
        <f>IF(Data!#REF!="","",IF(Data!$G538="",1,IF(ISNUMBER(MATCH(Data!#REF!,Data_Val!$D$2:$D$10,0)),0,1)))</f>
        <v>#REF!</v>
      </c>
    </row>
    <row r="539" spans="1:63" x14ac:dyDescent="0.25">
      <c r="A539" s="9" t="str">
        <f>IF(Data!B539="","",IF(COUNTIFS(Data!A$1:'Data'!A539,Data!A539)&lt;=1,0,1))</f>
        <v/>
      </c>
      <c r="B539" s="9"/>
      <c r="C539" s="23" t="str">
        <f>IF(Data!C539="","",(IF(ISNUMBER(MATCH("*@*.?*",Data!C539,0)),0,1)+IF(COUNTIFS(Data!C$1:'Data'!C539,Data!C539)&gt;1,1,0)))</f>
        <v/>
      </c>
      <c r="D539" s="9" t="str">
        <f>IF(Data!B539="","",IF(ISNUMBER(Data!D539),IF(AND(Data!D539&gt;999999999,Data!D539&lt;=9999999999),IF(COUNTIFS(Data!D$1:'Data'!D539,Data!D539)&lt;=1,0,1),1),1))</f>
        <v/>
      </c>
      <c r="E539" s="9" t="str">
        <f>IF(Data!B539="","",IF(ISNUMBER(MATCH(Data!E539,Data_Val!$A$2:$A$3,0)),0,1))</f>
        <v/>
      </c>
      <c r="F539" s="9" t="str">
        <f ca="1">IF(Data!B539="","",IF(ISNUMBER(Data!F539),IF(AND(Data!F539&gt;(TODAY()-(Data_Val!$H$3*365.25)),Data!F539&lt;=(TODAY()-(Data_Val!$H$2*365.25))),0,1),1))</f>
        <v/>
      </c>
      <c r="G539" s="15" t="str">
        <f>IF(Data!B539="","",IF(AND(Data!G539="",Data!H539&lt;&gt;""),1,IF(Data!#REF!&lt;&gt;"",0,IF(ISNUMBER(MATCH(Data!G539,Data_Val!$C$2:$C$5,0)),0,1))))</f>
        <v/>
      </c>
      <c r="H539" s="15" t="str">
        <f>IF(Data!B539="","",IF(AND(Data!G539&lt;&gt;"",Data!H539=""),1,IF(Data!#REF!&lt;&gt;"",0,IF(Data!G539="",1,IF(ISNUMBER(MATCH(Data!H539,Data_Val!$D$2:$D$35,0)),0,1)))))</f>
        <v/>
      </c>
      <c r="I539" s="15" t="str">
        <f>IF(Data!B539="","",IF(Data!G539&lt;&gt;"",0,IF(ISNUMBER(MATCH(Data!#REF!,Data_Val!$E$2:$E$12,0)),0,1)))</f>
        <v/>
      </c>
      <c r="J539" s="16" t="e">
        <f>IF(OR(Data!B539="",Data!#REF!=""),"",IF(Data!#REF!="",1,0))</f>
        <v>#REF!</v>
      </c>
      <c r="K539" s="16" t="e">
        <f>IF(OR(Data!B539="",Data!#REF!=""),"",IF(Data!#REF!="",1,0))</f>
        <v>#REF!</v>
      </c>
      <c r="L539" s="16" t="e">
        <f>IF(OR(Data!B539="",Data!#REF!=""),"",IF(ISNUMBER(Data!#REF!),IF(AND(Data!#REF!&gt;Data_Val!$G$2,Data!#REF!&lt;=Data_Val!$G$3),0,1),1))</f>
        <v>#REF!</v>
      </c>
      <c r="M539" s="9" t="e">
        <f>IF(OR(Data!B539="",Data!#REF!=""),"",IF(ISNUMBER(MATCH(Data!#REF!,Data_Val!$F$1:$F$38,0)),0,1))</f>
        <v>#REF!</v>
      </c>
      <c r="N539" s="9" t="e">
        <f>IF(OR(Data!B539="",Data!#REF!=""),"",IF(Data!#REF!="",1,0))</f>
        <v>#REF!</v>
      </c>
      <c r="O539" s="17" t="e">
        <f>IF(Data!#REF!="","",IF(Data!#REF!="",1,0))</f>
        <v>#REF!</v>
      </c>
      <c r="P539" s="17" t="e">
        <f>IF(Data!#REF!="","",IF(ISNUMBER(MATCH(Data!#REF!,Data_Val!$A$2:$A$3,0)),0,1))</f>
        <v>#REF!</v>
      </c>
      <c r="Q539" s="25" t="e">
        <f ca="1">IF(Data!#REF!="","",IF(ISNUMBER(Data!#REF!),IF(AND(Data!#REF!&gt;(TODAY()-(Data_Val!$J$3*365.25)),Data!#REF!&lt;=(TODAY()-(Data_Val!$J$2*365.25))),0,1),1))</f>
        <v>#REF!</v>
      </c>
      <c r="R539" s="17" t="e">
        <f>IF(Data!#REF!="","",IF(ISNUMBER(MATCH(Data!#REF!,Data_Val!$B$2:$B$15,0)),0,1))</f>
        <v>#REF!</v>
      </c>
      <c r="S539" s="11" t="str">
        <f>IF(Data!G539="","",IF(Data!G539=Data_Val!$C$2,IF(Data!M539="",0,1),0))</f>
        <v/>
      </c>
      <c r="T539" s="11" t="str">
        <f>IF(Data!M539="","",IF(ISNUMBER(MATCH(Data!N539,Data_Val!$A$2:$A$3,0)),0,1))</f>
        <v/>
      </c>
      <c r="U539" s="11" t="str">
        <f ca="1">IF(Data!M539="","",IF(ISNUMBER(Data!O539),IF(AND(Data!O539&gt;(TODAY()-(Data_Val!$K$3*365.25)),Data!O539&lt;=(TODAY()-(Data_Val!$K$2*365.25))),0,1),1))</f>
        <v/>
      </c>
      <c r="V539" s="12" t="str">
        <f>IF(Data!G539="","",IF(Data!G539=Data_Val!$C$2,IF(Data!P539="",0,1),0))</f>
        <v/>
      </c>
      <c r="W539" s="12" t="str">
        <f>IF(Data!P539="","",IF(ISNUMBER(MATCH(Data!Q539,Data_Val!$A$2:$A$3,0)),0,1))</f>
        <v/>
      </c>
      <c r="X539" s="26" t="str">
        <f ca="1">IF(Data!P539="","",IF(ISNUMBER(Data!R539),IF(AND(Data!R539&gt;(TODAY()-(Data_Val!$L$3*365.25)),Data!R539&lt;=(TODAY()-(Data_Val!$L$2*365.25))),0,1),1))</f>
        <v/>
      </c>
      <c r="Y539" s="13" t="str">
        <f>IF(Data!$G539="","",IF(Data!$G539=Data_Val!$C$2,IF(Data!S539="",0,1),0))</f>
        <v/>
      </c>
      <c r="Z539" s="13" t="str">
        <f>IF(Data!S539="","",IF(ISNUMBER(MATCH(Data!T539,Data_Val!$A$2:$A$3,0)),0,1))</f>
        <v/>
      </c>
      <c r="AA539" s="28" t="str">
        <f ca="1">IF(Data!S539="","",IF(ISNUMBER(Data!U539),IF(AND(Data!U539&gt;(TODAY()-(Data_Val!$L$3*365.25)),Data!U539&lt;=(TODAY()-(Data_Val!$L$2*365.25))),0,1),1))</f>
        <v/>
      </c>
      <c r="AB539" s="11"/>
      <c r="AC539" s="11" t="e">
        <f>IF(Data!#REF!="","",IF(ISNUMBER(MATCH(Data!#REF!,Data_Val!$A$2:$A$3,0)),0,1))</f>
        <v>#REF!</v>
      </c>
      <c r="AD539" s="11" t="e">
        <f ca="1">IF(Data!#REF!="","",IF(ISNUMBER(Data!#REF!),IF(AND(Data!#REF!&gt;(TODAY()-(Data_Val!$L$3*365.25)),Data!#REF!&lt;=(TODAY()-(Data_Val!$L$2*365.25))),0,1),1))</f>
        <v>#REF!</v>
      </c>
      <c r="AE539" s="11" t="e">
        <f>IF(Data!#REF!="","",IF(Data!$G539="",1,IF(ISNUMBER(MATCH(Data!#REF!,Data_Val!$D$2:$D$10,0)),0,1)))</f>
        <v>#REF!</v>
      </c>
      <c r="AF539" s="12"/>
      <c r="AG539" s="12" t="e">
        <f>IF(Data!#REF!="","",IF(ISNUMBER(MATCH(Data!#REF!,Data_Val!$A$2:$A$3,0)),0,1))</f>
        <v>#REF!</v>
      </c>
      <c r="AH539" s="26" t="e">
        <f ca="1">IF(Data!#REF!="","",IF(ISNUMBER(Data!#REF!),IF(AND(Data!#REF!&gt;(TODAY()-(Data_Val!$L$3*365.25)),Data!#REF!&lt;=(TODAY()-(Data_Val!$L$2*365.25))),0,1),1))</f>
        <v>#REF!</v>
      </c>
      <c r="AI539" s="12" t="e">
        <f>IF(Data!#REF!="","",IF(Data!$G539="",1,IF(ISNUMBER(MATCH(Data!#REF!,Data_Val!$D$2:$D$10,0)),0,1)))</f>
        <v>#REF!</v>
      </c>
      <c r="AJ539" s="17"/>
      <c r="AK539" s="17" t="e">
        <f>IF(Data!#REF!="","",IF(ISNUMBER(MATCH(Data!#REF!,Data_Val!$A$2:$A$3,0)),0,1))</f>
        <v>#REF!</v>
      </c>
      <c r="AL539" s="25" t="e">
        <f ca="1">IF(Data!#REF!="","",IF(ISNUMBER(Data!#REF!),IF(AND(Data!#REF!&gt;(TODAY()-(Data_Val!$L$3*365.25)),Data!#REF!&lt;=(TODAY()-(Data_Val!$L$2*365.25))),0,1),1))</f>
        <v>#REF!</v>
      </c>
      <c r="AM539" s="17" t="e">
        <f>IF(Data!#REF!="","",IF(Data!$G539="",1,IF(ISNUMBER(MATCH(Data!#REF!,Data_Val!$D$2:$D$10,0)),0,1)))</f>
        <v>#REF!</v>
      </c>
      <c r="AN539" s="13"/>
      <c r="AO539" s="28" t="e">
        <f ca="1">IF(Data!#REF!="","",IF(ISNUMBER(Data!#REF!),IF(AND(Data!#REF!&gt;(TODAY()-(Data_Val!$I$3*365.25)),Data!#REF!&lt;=(TODAY()-(Data_Val!$I$2*365.25))),0,1),1))</f>
        <v>#REF!</v>
      </c>
      <c r="AP539" s="13" t="e">
        <f>IF(Data!#REF!="","",IF(Data!$G539="",1,IF(ISNUMBER(MATCH(Data!#REF!,Data_Val!$D$2:$D$10,0)),0,1)))</f>
        <v>#REF!</v>
      </c>
      <c r="AQ539" s="17"/>
      <c r="AR539" s="30" t="e">
        <f ca="1">IF(Data!#REF!="","",IF(ISNUMBER(Data!#REF!),IF(AND(Data!#REF!&gt;(TODAY()-(Data_Val!$I$3*365.25)),Data!#REF!&lt;=(TODAY()-(Data_Val!$I$2*365.25))),0,1),1))</f>
        <v>#REF!</v>
      </c>
      <c r="AS539" s="31" t="e">
        <f>IF(Data!#REF!="","",IF(Data!$G539="",1,IF(ISNUMBER(MATCH(Data!#REF!,Data_Val!$D$2:$D$10,0)),0,1)))</f>
        <v>#REF!</v>
      </c>
      <c r="AT539" s="11"/>
      <c r="AU539" s="11" t="e">
        <f ca="1">IF(Data!#REF!="","",IF(ISNUMBER(Data!#REF!),IF(AND(Data!#REF!&gt;(TODAY()-(Data_Val!$I$3*365.25)),Data!#REF!&lt;=(TODAY()-(Data_Val!$I$2*365.25))),0,1),1))</f>
        <v>#REF!</v>
      </c>
      <c r="AV539" s="11" t="e">
        <f>IF(Data!#REF!="","",IF(Data!$G539="",1,IF(ISNUMBER(MATCH(Data!#REF!,Data_Val!$D$2:$D$10,0)),0,1)))</f>
        <v>#REF!</v>
      </c>
      <c r="AW539" s="12"/>
      <c r="AX539" s="26" t="e">
        <f ca="1">IF(Data!#REF!="","",IF(ISNUMBER(Data!#REF!),IF(AND(Data!#REF!&gt;(TODAY()-(Data_Val!$I$3*365.25)),Data!#REF!&lt;=(TODAY()-(Data_Val!$I$2*365.25))),0,1),1))</f>
        <v>#REF!</v>
      </c>
      <c r="AY539" s="12" t="e">
        <f>IF(Data!#REF!="","",IF(Data!$G539="",1,IF(ISNUMBER(MATCH(Data!#REF!,Data_Val!$D$2:$D$10,0)),0,1)))</f>
        <v>#REF!</v>
      </c>
      <c r="AZ539" s="11"/>
      <c r="BA539" s="19" t="e">
        <f ca="1">IF(Data!#REF!="","",IF(ISNUMBER(Data!#REF!),IF(AND(Data!#REF!&gt;(TODAY()-(Data_Val!$M$3*365.25)),Data!#REF!&lt;=(TODAY()-(Data_Val!$M$2*365.25))),0,1),1))</f>
        <v>#REF!</v>
      </c>
      <c r="BB539" s="11" t="e">
        <f>IF(Data!#REF!="","",IF(Data!$G539="",1,IF(ISNUMBER(MATCH(Data!#REF!,Data_Val!$D$2:$D$10,0)),0,1)))</f>
        <v>#REF!</v>
      </c>
      <c r="BC539" s="12"/>
      <c r="BD539" s="20" t="e">
        <f ca="1">IF(Data!#REF!="","",IF(ISNUMBER(Data!#REF!),IF(AND(Data!#REF!&gt;(TODAY()-(Data_Val!$M$3*365.25)),Data!#REF!&lt;=(TODAY()-(Data_Val!$M$2*365.25))),0,1),1))</f>
        <v>#REF!</v>
      </c>
      <c r="BE539" s="12" t="e">
        <f>IF(Data!#REF!="","",IF(Data!$G539="",1,IF(ISNUMBER(MATCH(Data!#REF!,Data_Val!$D$2:$D$10,0)),0,1)))</f>
        <v>#REF!</v>
      </c>
      <c r="BF539" s="17"/>
      <c r="BG539" s="18" t="e">
        <f ca="1">IF(Data!#REF!="","",IF(ISNUMBER(Data!#REF!),IF(AND(Data!#REF!&gt;(TODAY()-(Data_Val!$M$3*365.25)),Data!#REF!&lt;=(TODAY()-(Data_Val!$M$2*365.25))),0,1),1))</f>
        <v>#REF!</v>
      </c>
      <c r="BH539" s="29" t="e">
        <f>IF(Data!#REF!="","",IF(Data!$G539="",1,IF(ISNUMBER(MATCH(Data!#REF!,Data_Val!$D$2:$D$10,0)),0,1)))</f>
        <v>#REF!</v>
      </c>
      <c r="BI539" s="13"/>
      <c r="BJ539" s="21" t="e">
        <f ca="1">IF(Data!#REF!="","",IF(ISNUMBER(Data!#REF!),IF(AND(Data!#REF!&gt;(TODAY()-(Data_Val!$M$3*365.25)),Data!#REF!&lt;=(TODAY()-(Data_Val!$M$2*365.25))),0,1),1))</f>
        <v>#REF!</v>
      </c>
      <c r="BK539" s="13" t="e">
        <f>IF(Data!#REF!="","",IF(Data!$G539="",1,IF(ISNUMBER(MATCH(Data!#REF!,Data_Val!$D$2:$D$10,0)),0,1)))</f>
        <v>#REF!</v>
      </c>
    </row>
    <row r="540" spans="1:63" x14ac:dyDescent="0.25">
      <c r="A540" s="9" t="str">
        <f>IF(Data!B540="","",IF(COUNTIFS(Data!A$1:'Data'!A540,Data!A540)&lt;=1,0,1))</f>
        <v/>
      </c>
      <c r="B540" s="9"/>
      <c r="C540" s="23" t="str">
        <f>IF(Data!C540="","",(IF(ISNUMBER(MATCH("*@*.?*",Data!C540,0)),0,1)+IF(COUNTIFS(Data!C$1:'Data'!C540,Data!C540)&gt;1,1,0)))</f>
        <v/>
      </c>
      <c r="D540" s="9" t="str">
        <f>IF(Data!B540="","",IF(ISNUMBER(Data!D540),IF(AND(Data!D540&gt;999999999,Data!D540&lt;=9999999999),IF(COUNTIFS(Data!D$1:'Data'!D540,Data!D540)&lt;=1,0,1),1),1))</f>
        <v/>
      </c>
      <c r="E540" s="9" t="str">
        <f>IF(Data!B540="","",IF(ISNUMBER(MATCH(Data!E540,Data_Val!$A$2:$A$3,0)),0,1))</f>
        <v/>
      </c>
      <c r="F540" s="9" t="str">
        <f ca="1">IF(Data!B540="","",IF(ISNUMBER(Data!F540),IF(AND(Data!F540&gt;(TODAY()-(Data_Val!$H$3*365.25)),Data!F540&lt;=(TODAY()-(Data_Val!$H$2*365.25))),0,1),1))</f>
        <v/>
      </c>
      <c r="G540" s="15" t="str">
        <f>IF(Data!B540="","",IF(AND(Data!G540="",Data!H540&lt;&gt;""),1,IF(Data!#REF!&lt;&gt;"",0,IF(ISNUMBER(MATCH(Data!G540,Data_Val!$C$2:$C$5,0)),0,1))))</f>
        <v/>
      </c>
      <c r="H540" s="15" t="str">
        <f>IF(Data!B540="","",IF(AND(Data!G540&lt;&gt;"",Data!H540=""),1,IF(Data!#REF!&lt;&gt;"",0,IF(Data!G540="",1,IF(ISNUMBER(MATCH(Data!H540,Data_Val!$D$2:$D$35,0)),0,1)))))</f>
        <v/>
      </c>
      <c r="I540" s="15" t="str">
        <f>IF(Data!B540="","",IF(Data!G540&lt;&gt;"",0,IF(ISNUMBER(MATCH(Data!#REF!,Data_Val!$E$2:$E$12,0)),0,1)))</f>
        <v/>
      </c>
      <c r="J540" s="16" t="e">
        <f>IF(OR(Data!B540="",Data!#REF!=""),"",IF(Data!#REF!="",1,0))</f>
        <v>#REF!</v>
      </c>
      <c r="K540" s="16" t="e">
        <f>IF(OR(Data!B540="",Data!#REF!=""),"",IF(Data!#REF!="",1,0))</f>
        <v>#REF!</v>
      </c>
      <c r="L540" s="16" t="e">
        <f>IF(OR(Data!B540="",Data!#REF!=""),"",IF(ISNUMBER(Data!#REF!),IF(AND(Data!#REF!&gt;Data_Val!$G$2,Data!#REF!&lt;=Data_Val!$G$3),0,1),1))</f>
        <v>#REF!</v>
      </c>
      <c r="M540" s="9" t="e">
        <f>IF(OR(Data!B540="",Data!#REF!=""),"",IF(ISNUMBER(MATCH(Data!#REF!,Data_Val!$F$1:$F$38,0)),0,1))</f>
        <v>#REF!</v>
      </c>
      <c r="N540" s="9" t="e">
        <f>IF(OR(Data!B540="",Data!#REF!=""),"",IF(Data!#REF!="",1,0))</f>
        <v>#REF!</v>
      </c>
      <c r="O540" s="17" t="e">
        <f>IF(Data!#REF!="","",IF(Data!#REF!="",1,0))</f>
        <v>#REF!</v>
      </c>
      <c r="P540" s="17" t="e">
        <f>IF(Data!#REF!="","",IF(ISNUMBER(MATCH(Data!#REF!,Data_Val!$A$2:$A$3,0)),0,1))</f>
        <v>#REF!</v>
      </c>
      <c r="Q540" s="25" t="e">
        <f ca="1">IF(Data!#REF!="","",IF(ISNUMBER(Data!#REF!),IF(AND(Data!#REF!&gt;(TODAY()-(Data_Val!$J$3*365.25)),Data!#REF!&lt;=(TODAY()-(Data_Val!$J$2*365.25))),0,1),1))</f>
        <v>#REF!</v>
      </c>
      <c r="R540" s="17" t="e">
        <f>IF(Data!#REF!="","",IF(ISNUMBER(MATCH(Data!#REF!,Data_Val!$B$2:$B$15,0)),0,1))</f>
        <v>#REF!</v>
      </c>
      <c r="S540" s="11" t="str">
        <f>IF(Data!G540="","",IF(Data!G540=Data_Val!$C$2,IF(Data!M540="",0,1),0))</f>
        <v/>
      </c>
      <c r="T540" s="11" t="str">
        <f>IF(Data!M540="","",IF(ISNUMBER(MATCH(Data!N540,Data_Val!$A$2:$A$3,0)),0,1))</f>
        <v/>
      </c>
      <c r="U540" s="11" t="str">
        <f ca="1">IF(Data!M540="","",IF(ISNUMBER(Data!O540),IF(AND(Data!O540&gt;(TODAY()-(Data_Val!$K$3*365.25)),Data!O540&lt;=(TODAY()-(Data_Val!$K$2*365.25))),0,1),1))</f>
        <v/>
      </c>
      <c r="V540" s="12" t="str">
        <f>IF(Data!G540="","",IF(Data!G540=Data_Val!$C$2,IF(Data!P540="",0,1),0))</f>
        <v/>
      </c>
      <c r="W540" s="12" t="str">
        <f>IF(Data!P540="","",IF(ISNUMBER(MATCH(Data!Q540,Data_Val!$A$2:$A$3,0)),0,1))</f>
        <v/>
      </c>
      <c r="X540" s="26" t="str">
        <f ca="1">IF(Data!P540="","",IF(ISNUMBER(Data!R540),IF(AND(Data!R540&gt;(TODAY()-(Data_Val!$L$3*365.25)),Data!R540&lt;=(TODAY()-(Data_Val!$L$2*365.25))),0,1),1))</f>
        <v/>
      </c>
      <c r="Y540" s="13" t="str">
        <f>IF(Data!$G540="","",IF(Data!$G540=Data_Val!$C$2,IF(Data!S540="",0,1),0))</f>
        <v/>
      </c>
      <c r="Z540" s="13" t="str">
        <f>IF(Data!S540="","",IF(ISNUMBER(MATCH(Data!T540,Data_Val!$A$2:$A$3,0)),0,1))</f>
        <v/>
      </c>
      <c r="AA540" s="28" t="str">
        <f ca="1">IF(Data!S540="","",IF(ISNUMBER(Data!U540),IF(AND(Data!U540&gt;(TODAY()-(Data_Val!$L$3*365.25)),Data!U540&lt;=(TODAY()-(Data_Val!$L$2*365.25))),0,1),1))</f>
        <v/>
      </c>
      <c r="AB540" s="11"/>
      <c r="AC540" s="11" t="e">
        <f>IF(Data!#REF!="","",IF(ISNUMBER(MATCH(Data!#REF!,Data_Val!$A$2:$A$3,0)),0,1))</f>
        <v>#REF!</v>
      </c>
      <c r="AD540" s="11" t="e">
        <f ca="1">IF(Data!#REF!="","",IF(ISNUMBER(Data!#REF!),IF(AND(Data!#REF!&gt;(TODAY()-(Data_Val!$L$3*365.25)),Data!#REF!&lt;=(TODAY()-(Data_Val!$L$2*365.25))),0,1),1))</f>
        <v>#REF!</v>
      </c>
      <c r="AE540" s="11" t="e">
        <f>IF(Data!#REF!="","",IF(Data!$G540="",1,IF(ISNUMBER(MATCH(Data!#REF!,Data_Val!$D$2:$D$10,0)),0,1)))</f>
        <v>#REF!</v>
      </c>
      <c r="AF540" s="12"/>
      <c r="AG540" s="12" t="e">
        <f>IF(Data!#REF!="","",IF(ISNUMBER(MATCH(Data!#REF!,Data_Val!$A$2:$A$3,0)),0,1))</f>
        <v>#REF!</v>
      </c>
      <c r="AH540" s="26" t="e">
        <f ca="1">IF(Data!#REF!="","",IF(ISNUMBER(Data!#REF!),IF(AND(Data!#REF!&gt;(TODAY()-(Data_Val!$L$3*365.25)),Data!#REF!&lt;=(TODAY()-(Data_Val!$L$2*365.25))),0,1),1))</f>
        <v>#REF!</v>
      </c>
      <c r="AI540" s="12" t="e">
        <f>IF(Data!#REF!="","",IF(Data!$G540="",1,IF(ISNUMBER(MATCH(Data!#REF!,Data_Val!$D$2:$D$10,0)),0,1)))</f>
        <v>#REF!</v>
      </c>
      <c r="AJ540" s="17"/>
      <c r="AK540" s="17" t="e">
        <f>IF(Data!#REF!="","",IF(ISNUMBER(MATCH(Data!#REF!,Data_Val!$A$2:$A$3,0)),0,1))</f>
        <v>#REF!</v>
      </c>
      <c r="AL540" s="25" t="e">
        <f ca="1">IF(Data!#REF!="","",IF(ISNUMBER(Data!#REF!),IF(AND(Data!#REF!&gt;(TODAY()-(Data_Val!$L$3*365.25)),Data!#REF!&lt;=(TODAY()-(Data_Val!$L$2*365.25))),0,1),1))</f>
        <v>#REF!</v>
      </c>
      <c r="AM540" s="17" t="e">
        <f>IF(Data!#REF!="","",IF(Data!$G540="",1,IF(ISNUMBER(MATCH(Data!#REF!,Data_Val!$D$2:$D$10,0)),0,1)))</f>
        <v>#REF!</v>
      </c>
      <c r="AN540" s="13"/>
      <c r="AO540" s="28" t="e">
        <f ca="1">IF(Data!#REF!="","",IF(ISNUMBER(Data!#REF!),IF(AND(Data!#REF!&gt;(TODAY()-(Data_Val!$I$3*365.25)),Data!#REF!&lt;=(TODAY()-(Data_Val!$I$2*365.25))),0,1),1))</f>
        <v>#REF!</v>
      </c>
      <c r="AP540" s="13" t="e">
        <f>IF(Data!#REF!="","",IF(Data!$G540="",1,IF(ISNUMBER(MATCH(Data!#REF!,Data_Val!$D$2:$D$10,0)),0,1)))</f>
        <v>#REF!</v>
      </c>
      <c r="AQ540" s="17"/>
      <c r="AR540" s="30" t="e">
        <f ca="1">IF(Data!#REF!="","",IF(ISNUMBER(Data!#REF!),IF(AND(Data!#REF!&gt;(TODAY()-(Data_Val!$I$3*365.25)),Data!#REF!&lt;=(TODAY()-(Data_Val!$I$2*365.25))),0,1),1))</f>
        <v>#REF!</v>
      </c>
      <c r="AS540" s="31" t="e">
        <f>IF(Data!#REF!="","",IF(Data!$G540="",1,IF(ISNUMBER(MATCH(Data!#REF!,Data_Val!$D$2:$D$10,0)),0,1)))</f>
        <v>#REF!</v>
      </c>
      <c r="AT540" s="11"/>
      <c r="AU540" s="11" t="e">
        <f ca="1">IF(Data!#REF!="","",IF(ISNUMBER(Data!#REF!),IF(AND(Data!#REF!&gt;(TODAY()-(Data_Val!$I$3*365.25)),Data!#REF!&lt;=(TODAY()-(Data_Val!$I$2*365.25))),0,1),1))</f>
        <v>#REF!</v>
      </c>
      <c r="AV540" s="11" t="e">
        <f>IF(Data!#REF!="","",IF(Data!$G540="",1,IF(ISNUMBER(MATCH(Data!#REF!,Data_Val!$D$2:$D$10,0)),0,1)))</f>
        <v>#REF!</v>
      </c>
      <c r="AW540" s="12"/>
      <c r="AX540" s="26" t="e">
        <f ca="1">IF(Data!#REF!="","",IF(ISNUMBER(Data!#REF!),IF(AND(Data!#REF!&gt;(TODAY()-(Data_Val!$I$3*365.25)),Data!#REF!&lt;=(TODAY()-(Data_Val!$I$2*365.25))),0,1),1))</f>
        <v>#REF!</v>
      </c>
      <c r="AY540" s="12" t="e">
        <f>IF(Data!#REF!="","",IF(Data!$G540="",1,IF(ISNUMBER(MATCH(Data!#REF!,Data_Val!$D$2:$D$10,0)),0,1)))</f>
        <v>#REF!</v>
      </c>
      <c r="AZ540" s="11"/>
      <c r="BA540" s="19" t="e">
        <f ca="1">IF(Data!#REF!="","",IF(ISNUMBER(Data!#REF!),IF(AND(Data!#REF!&gt;(TODAY()-(Data_Val!$M$3*365.25)),Data!#REF!&lt;=(TODAY()-(Data_Val!$M$2*365.25))),0,1),1))</f>
        <v>#REF!</v>
      </c>
      <c r="BB540" s="11" t="e">
        <f>IF(Data!#REF!="","",IF(Data!$G540="",1,IF(ISNUMBER(MATCH(Data!#REF!,Data_Val!$D$2:$D$10,0)),0,1)))</f>
        <v>#REF!</v>
      </c>
      <c r="BC540" s="12"/>
      <c r="BD540" s="20" t="e">
        <f ca="1">IF(Data!#REF!="","",IF(ISNUMBER(Data!#REF!),IF(AND(Data!#REF!&gt;(TODAY()-(Data_Val!$M$3*365.25)),Data!#REF!&lt;=(TODAY()-(Data_Val!$M$2*365.25))),0,1),1))</f>
        <v>#REF!</v>
      </c>
      <c r="BE540" s="12" t="e">
        <f>IF(Data!#REF!="","",IF(Data!$G540="",1,IF(ISNUMBER(MATCH(Data!#REF!,Data_Val!$D$2:$D$10,0)),0,1)))</f>
        <v>#REF!</v>
      </c>
      <c r="BF540" s="17"/>
      <c r="BG540" s="18" t="e">
        <f ca="1">IF(Data!#REF!="","",IF(ISNUMBER(Data!#REF!),IF(AND(Data!#REF!&gt;(TODAY()-(Data_Val!$M$3*365.25)),Data!#REF!&lt;=(TODAY()-(Data_Val!$M$2*365.25))),0,1),1))</f>
        <v>#REF!</v>
      </c>
      <c r="BH540" s="29" t="e">
        <f>IF(Data!#REF!="","",IF(Data!$G540="",1,IF(ISNUMBER(MATCH(Data!#REF!,Data_Val!$D$2:$D$10,0)),0,1)))</f>
        <v>#REF!</v>
      </c>
      <c r="BI540" s="13"/>
      <c r="BJ540" s="21" t="e">
        <f ca="1">IF(Data!#REF!="","",IF(ISNUMBER(Data!#REF!),IF(AND(Data!#REF!&gt;(TODAY()-(Data_Val!$M$3*365.25)),Data!#REF!&lt;=(TODAY()-(Data_Val!$M$2*365.25))),0,1),1))</f>
        <v>#REF!</v>
      </c>
      <c r="BK540" s="13" t="e">
        <f>IF(Data!#REF!="","",IF(Data!$G540="",1,IF(ISNUMBER(MATCH(Data!#REF!,Data_Val!$D$2:$D$10,0)),0,1)))</f>
        <v>#REF!</v>
      </c>
    </row>
    <row r="541" spans="1:63" x14ac:dyDescent="0.25">
      <c r="A541" s="9" t="str">
        <f>IF(Data!B541="","",IF(COUNTIFS(Data!A$1:'Data'!A541,Data!A541)&lt;=1,0,1))</f>
        <v/>
      </c>
      <c r="B541" s="9"/>
      <c r="C541" s="23" t="str">
        <f>IF(Data!C541="","",(IF(ISNUMBER(MATCH("*@*.?*",Data!C541,0)),0,1)+IF(COUNTIFS(Data!C$1:'Data'!C541,Data!C541)&gt;1,1,0)))</f>
        <v/>
      </c>
      <c r="D541" s="9" t="str">
        <f>IF(Data!B541="","",IF(ISNUMBER(Data!D541),IF(AND(Data!D541&gt;999999999,Data!D541&lt;=9999999999),IF(COUNTIFS(Data!D$1:'Data'!D541,Data!D541)&lt;=1,0,1),1),1))</f>
        <v/>
      </c>
      <c r="E541" s="9" t="str">
        <f>IF(Data!B541="","",IF(ISNUMBER(MATCH(Data!E541,Data_Val!$A$2:$A$3,0)),0,1))</f>
        <v/>
      </c>
      <c r="F541" s="9" t="str">
        <f ca="1">IF(Data!B541="","",IF(ISNUMBER(Data!F541),IF(AND(Data!F541&gt;(TODAY()-(Data_Val!$H$3*365.25)),Data!F541&lt;=(TODAY()-(Data_Val!$H$2*365.25))),0,1),1))</f>
        <v/>
      </c>
      <c r="G541" s="15" t="str">
        <f>IF(Data!B541="","",IF(AND(Data!G541="",Data!H541&lt;&gt;""),1,IF(Data!#REF!&lt;&gt;"",0,IF(ISNUMBER(MATCH(Data!G541,Data_Val!$C$2:$C$5,0)),0,1))))</f>
        <v/>
      </c>
      <c r="H541" s="15" t="str">
        <f>IF(Data!B541="","",IF(AND(Data!G541&lt;&gt;"",Data!H541=""),1,IF(Data!#REF!&lt;&gt;"",0,IF(Data!G541="",1,IF(ISNUMBER(MATCH(Data!H541,Data_Val!$D$2:$D$35,0)),0,1)))))</f>
        <v/>
      </c>
      <c r="I541" s="15" t="str">
        <f>IF(Data!B541="","",IF(Data!G541&lt;&gt;"",0,IF(ISNUMBER(MATCH(Data!#REF!,Data_Val!$E$2:$E$12,0)),0,1)))</f>
        <v/>
      </c>
      <c r="J541" s="16" t="e">
        <f>IF(OR(Data!B541="",Data!#REF!=""),"",IF(Data!#REF!="",1,0))</f>
        <v>#REF!</v>
      </c>
      <c r="K541" s="16" t="e">
        <f>IF(OR(Data!B541="",Data!#REF!=""),"",IF(Data!#REF!="",1,0))</f>
        <v>#REF!</v>
      </c>
      <c r="L541" s="16" t="e">
        <f>IF(OR(Data!B541="",Data!#REF!=""),"",IF(ISNUMBER(Data!#REF!),IF(AND(Data!#REF!&gt;Data_Val!$G$2,Data!#REF!&lt;=Data_Val!$G$3),0,1),1))</f>
        <v>#REF!</v>
      </c>
      <c r="M541" s="9" t="e">
        <f>IF(OR(Data!B541="",Data!#REF!=""),"",IF(ISNUMBER(MATCH(Data!#REF!,Data_Val!$F$1:$F$38,0)),0,1))</f>
        <v>#REF!</v>
      </c>
      <c r="N541" s="9" t="e">
        <f>IF(OR(Data!B541="",Data!#REF!=""),"",IF(Data!#REF!="",1,0))</f>
        <v>#REF!</v>
      </c>
      <c r="O541" s="17" t="e">
        <f>IF(Data!#REF!="","",IF(Data!#REF!="",1,0))</f>
        <v>#REF!</v>
      </c>
      <c r="P541" s="17" t="e">
        <f>IF(Data!#REF!="","",IF(ISNUMBER(MATCH(Data!#REF!,Data_Val!$A$2:$A$3,0)),0,1))</f>
        <v>#REF!</v>
      </c>
      <c r="Q541" s="25" t="e">
        <f ca="1">IF(Data!#REF!="","",IF(ISNUMBER(Data!#REF!),IF(AND(Data!#REF!&gt;(TODAY()-(Data_Val!$J$3*365.25)),Data!#REF!&lt;=(TODAY()-(Data_Val!$J$2*365.25))),0,1),1))</f>
        <v>#REF!</v>
      </c>
      <c r="R541" s="17" t="e">
        <f>IF(Data!#REF!="","",IF(ISNUMBER(MATCH(Data!#REF!,Data_Val!$B$2:$B$15,0)),0,1))</f>
        <v>#REF!</v>
      </c>
      <c r="S541" s="11" t="str">
        <f>IF(Data!G541="","",IF(Data!G541=Data_Val!$C$2,IF(Data!M541="",0,1),0))</f>
        <v/>
      </c>
      <c r="T541" s="11" t="str">
        <f>IF(Data!M541="","",IF(ISNUMBER(MATCH(Data!N541,Data_Val!$A$2:$A$3,0)),0,1))</f>
        <v/>
      </c>
      <c r="U541" s="11" t="str">
        <f ca="1">IF(Data!M541="","",IF(ISNUMBER(Data!O541),IF(AND(Data!O541&gt;(TODAY()-(Data_Val!$K$3*365.25)),Data!O541&lt;=(TODAY()-(Data_Val!$K$2*365.25))),0,1),1))</f>
        <v/>
      </c>
      <c r="V541" s="12" t="str">
        <f>IF(Data!G541="","",IF(Data!G541=Data_Val!$C$2,IF(Data!P541="",0,1),0))</f>
        <v/>
      </c>
      <c r="W541" s="12" t="str">
        <f>IF(Data!P541="","",IF(ISNUMBER(MATCH(Data!Q541,Data_Val!$A$2:$A$3,0)),0,1))</f>
        <v/>
      </c>
      <c r="X541" s="26" t="str">
        <f ca="1">IF(Data!P541="","",IF(ISNUMBER(Data!R541),IF(AND(Data!R541&gt;(TODAY()-(Data_Val!$L$3*365.25)),Data!R541&lt;=(TODAY()-(Data_Val!$L$2*365.25))),0,1),1))</f>
        <v/>
      </c>
      <c r="Y541" s="13" t="str">
        <f>IF(Data!$G541="","",IF(Data!$G541=Data_Val!$C$2,IF(Data!S541="",0,1),0))</f>
        <v/>
      </c>
      <c r="Z541" s="13" t="str">
        <f>IF(Data!S541="","",IF(ISNUMBER(MATCH(Data!T541,Data_Val!$A$2:$A$3,0)),0,1))</f>
        <v/>
      </c>
      <c r="AA541" s="28" t="str">
        <f ca="1">IF(Data!S541="","",IF(ISNUMBER(Data!U541),IF(AND(Data!U541&gt;(TODAY()-(Data_Val!$L$3*365.25)),Data!U541&lt;=(TODAY()-(Data_Val!$L$2*365.25))),0,1),1))</f>
        <v/>
      </c>
      <c r="AB541" s="11"/>
      <c r="AC541" s="11" t="e">
        <f>IF(Data!#REF!="","",IF(ISNUMBER(MATCH(Data!#REF!,Data_Val!$A$2:$A$3,0)),0,1))</f>
        <v>#REF!</v>
      </c>
      <c r="AD541" s="11" t="e">
        <f ca="1">IF(Data!#REF!="","",IF(ISNUMBER(Data!#REF!),IF(AND(Data!#REF!&gt;(TODAY()-(Data_Val!$L$3*365.25)),Data!#REF!&lt;=(TODAY()-(Data_Val!$L$2*365.25))),0,1),1))</f>
        <v>#REF!</v>
      </c>
      <c r="AE541" s="11" t="e">
        <f>IF(Data!#REF!="","",IF(Data!$G541="",1,IF(ISNUMBER(MATCH(Data!#REF!,Data_Val!$D$2:$D$10,0)),0,1)))</f>
        <v>#REF!</v>
      </c>
      <c r="AF541" s="12"/>
      <c r="AG541" s="12" t="e">
        <f>IF(Data!#REF!="","",IF(ISNUMBER(MATCH(Data!#REF!,Data_Val!$A$2:$A$3,0)),0,1))</f>
        <v>#REF!</v>
      </c>
      <c r="AH541" s="26" t="e">
        <f ca="1">IF(Data!#REF!="","",IF(ISNUMBER(Data!#REF!),IF(AND(Data!#REF!&gt;(TODAY()-(Data_Val!$L$3*365.25)),Data!#REF!&lt;=(TODAY()-(Data_Val!$L$2*365.25))),0,1),1))</f>
        <v>#REF!</v>
      </c>
      <c r="AI541" s="12" t="e">
        <f>IF(Data!#REF!="","",IF(Data!$G541="",1,IF(ISNUMBER(MATCH(Data!#REF!,Data_Val!$D$2:$D$10,0)),0,1)))</f>
        <v>#REF!</v>
      </c>
      <c r="AJ541" s="17"/>
      <c r="AK541" s="17" t="e">
        <f>IF(Data!#REF!="","",IF(ISNUMBER(MATCH(Data!#REF!,Data_Val!$A$2:$A$3,0)),0,1))</f>
        <v>#REF!</v>
      </c>
      <c r="AL541" s="25" t="e">
        <f ca="1">IF(Data!#REF!="","",IF(ISNUMBER(Data!#REF!),IF(AND(Data!#REF!&gt;(TODAY()-(Data_Val!$L$3*365.25)),Data!#REF!&lt;=(TODAY()-(Data_Val!$L$2*365.25))),0,1),1))</f>
        <v>#REF!</v>
      </c>
      <c r="AM541" s="17" t="e">
        <f>IF(Data!#REF!="","",IF(Data!$G541="",1,IF(ISNUMBER(MATCH(Data!#REF!,Data_Val!$D$2:$D$10,0)),0,1)))</f>
        <v>#REF!</v>
      </c>
      <c r="AN541" s="13"/>
      <c r="AO541" s="28" t="e">
        <f ca="1">IF(Data!#REF!="","",IF(ISNUMBER(Data!#REF!),IF(AND(Data!#REF!&gt;(TODAY()-(Data_Val!$I$3*365.25)),Data!#REF!&lt;=(TODAY()-(Data_Val!$I$2*365.25))),0,1),1))</f>
        <v>#REF!</v>
      </c>
      <c r="AP541" s="13" t="e">
        <f>IF(Data!#REF!="","",IF(Data!$G541="",1,IF(ISNUMBER(MATCH(Data!#REF!,Data_Val!$D$2:$D$10,0)),0,1)))</f>
        <v>#REF!</v>
      </c>
      <c r="AQ541" s="17"/>
      <c r="AR541" s="30" t="e">
        <f ca="1">IF(Data!#REF!="","",IF(ISNUMBER(Data!#REF!),IF(AND(Data!#REF!&gt;(TODAY()-(Data_Val!$I$3*365.25)),Data!#REF!&lt;=(TODAY()-(Data_Val!$I$2*365.25))),0,1),1))</f>
        <v>#REF!</v>
      </c>
      <c r="AS541" s="31" t="e">
        <f>IF(Data!#REF!="","",IF(Data!$G541="",1,IF(ISNUMBER(MATCH(Data!#REF!,Data_Val!$D$2:$D$10,0)),0,1)))</f>
        <v>#REF!</v>
      </c>
      <c r="AT541" s="11"/>
      <c r="AU541" s="11" t="e">
        <f ca="1">IF(Data!#REF!="","",IF(ISNUMBER(Data!#REF!),IF(AND(Data!#REF!&gt;(TODAY()-(Data_Val!$I$3*365.25)),Data!#REF!&lt;=(TODAY()-(Data_Val!$I$2*365.25))),0,1),1))</f>
        <v>#REF!</v>
      </c>
      <c r="AV541" s="11" t="e">
        <f>IF(Data!#REF!="","",IF(Data!$G541="",1,IF(ISNUMBER(MATCH(Data!#REF!,Data_Val!$D$2:$D$10,0)),0,1)))</f>
        <v>#REF!</v>
      </c>
      <c r="AW541" s="12"/>
      <c r="AX541" s="26" t="e">
        <f ca="1">IF(Data!#REF!="","",IF(ISNUMBER(Data!#REF!),IF(AND(Data!#REF!&gt;(TODAY()-(Data_Val!$I$3*365.25)),Data!#REF!&lt;=(TODAY()-(Data_Val!$I$2*365.25))),0,1),1))</f>
        <v>#REF!</v>
      </c>
      <c r="AY541" s="12" t="e">
        <f>IF(Data!#REF!="","",IF(Data!$G541="",1,IF(ISNUMBER(MATCH(Data!#REF!,Data_Val!$D$2:$D$10,0)),0,1)))</f>
        <v>#REF!</v>
      </c>
      <c r="AZ541" s="11"/>
      <c r="BA541" s="19" t="e">
        <f ca="1">IF(Data!#REF!="","",IF(ISNUMBER(Data!#REF!),IF(AND(Data!#REF!&gt;(TODAY()-(Data_Val!$M$3*365.25)),Data!#REF!&lt;=(TODAY()-(Data_Val!$M$2*365.25))),0,1),1))</f>
        <v>#REF!</v>
      </c>
      <c r="BB541" s="11" t="e">
        <f>IF(Data!#REF!="","",IF(Data!$G541="",1,IF(ISNUMBER(MATCH(Data!#REF!,Data_Val!$D$2:$D$10,0)),0,1)))</f>
        <v>#REF!</v>
      </c>
      <c r="BC541" s="12"/>
      <c r="BD541" s="20" t="e">
        <f ca="1">IF(Data!#REF!="","",IF(ISNUMBER(Data!#REF!),IF(AND(Data!#REF!&gt;(TODAY()-(Data_Val!$M$3*365.25)),Data!#REF!&lt;=(TODAY()-(Data_Val!$M$2*365.25))),0,1),1))</f>
        <v>#REF!</v>
      </c>
      <c r="BE541" s="12" t="e">
        <f>IF(Data!#REF!="","",IF(Data!$G541="",1,IF(ISNUMBER(MATCH(Data!#REF!,Data_Val!$D$2:$D$10,0)),0,1)))</f>
        <v>#REF!</v>
      </c>
      <c r="BF541" s="17"/>
      <c r="BG541" s="18" t="e">
        <f ca="1">IF(Data!#REF!="","",IF(ISNUMBER(Data!#REF!),IF(AND(Data!#REF!&gt;(TODAY()-(Data_Val!$M$3*365.25)),Data!#REF!&lt;=(TODAY()-(Data_Val!$M$2*365.25))),0,1),1))</f>
        <v>#REF!</v>
      </c>
      <c r="BH541" s="29" t="e">
        <f>IF(Data!#REF!="","",IF(Data!$G541="",1,IF(ISNUMBER(MATCH(Data!#REF!,Data_Val!$D$2:$D$10,0)),0,1)))</f>
        <v>#REF!</v>
      </c>
      <c r="BI541" s="13"/>
      <c r="BJ541" s="21" t="e">
        <f ca="1">IF(Data!#REF!="","",IF(ISNUMBER(Data!#REF!),IF(AND(Data!#REF!&gt;(TODAY()-(Data_Val!$M$3*365.25)),Data!#REF!&lt;=(TODAY()-(Data_Val!$M$2*365.25))),0,1),1))</f>
        <v>#REF!</v>
      </c>
      <c r="BK541" s="13" t="e">
        <f>IF(Data!#REF!="","",IF(Data!$G541="",1,IF(ISNUMBER(MATCH(Data!#REF!,Data_Val!$D$2:$D$10,0)),0,1)))</f>
        <v>#REF!</v>
      </c>
    </row>
    <row r="542" spans="1:63" x14ac:dyDescent="0.25">
      <c r="A542" s="9" t="str">
        <f>IF(Data!B542="","",IF(COUNTIFS(Data!A$1:'Data'!A542,Data!A542)&lt;=1,0,1))</f>
        <v/>
      </c>
      <c r="B542" s="9"/>
      <c r="C542" s="23" t="str">
        <f>IF(Data!C542="","",(IF(ISNUMBER(MATCH("*@*.?*",Data!C542,0)),0,1)+IF(COUNTIFS(Data!C$1:'Data'!C542,Data!C542)&gt;1,1,0)))</f>
        <v/>
      </c>
      <c r="D542" s="9" t="str">
        <f>IF(Data!B542="","",IF(ISNUMBER(Data!D542),IF(AND(Data!D542&gt;999999999,Data!D542&lt;=9999999999),IF(COUNTIFS(Data!D$1:'Data'!D542,Data!D542)&lt;=1,0,1),1),1))</f>
        <v/>
      </c>
      <c r="E542" s="9" t="str">
        <f>IF(Data!B542="","",IF(ISNUMBER(MATCH(Data!E542,Data_Val!$A$2:$A$3,0)),0,1))</f>
        <v/>
      </c>
      <c r="F542" s="9" t="str">
        <f ca="1">IF(Data!B542="","",IF(ISNUMBER(Data!F542),IF(AND(Data!F542&gt;(TODAY()-(Data_Val!$H$3*365.25)),Data!F542&lt;=(TODAY()-(Data_Val!$H$2*365.25))),0,1),1))</f>
        <v/>
      </c>
      <c r="G542" s="15" t="str">
        <f>IF(Data!B542="","",IF(AND(Data!G542="",Data!H542&lt;&gt;""),1,IF(Data!#REF!&lt;&gt;"",0,IF(ISNUMBER(MATCH(Data!G542,Data_Val!$C$2:$C$5,0)),0,1))))</f>
        <v/>
      </c>
      <c r="H542" s="15" t="str">
        <f>IF(Data!B542="","",IF(AND(Data!G542&lt;&gt;"",Data!H542=""),1,IF(Data!#REF!&lt;&gt;"",0,IF(Data!G542="",1,IF(ISNUMBER(MATCH(Data!H542,Data_Val!$D$2:$D$35,0)),0,1)))))</f>
        <v/>
      </c>
      <c r="I542" s="15" t="str">
        <f>IF(Data!B542="","",IF(Data!G542&lt;&gt;"",0,IF(ISNUMBER(MATCH(Data!#REF!,Data_Val!$E$2:$E$12,0)),0,1)))</f>
        <v/>
      </c>
      <c r="J542" s="16" t="e">
        <f>IF(OR(Data!B542="",Data!#REF!=""),"",IF(Data!#REF!="",1,0))</f>
        <v>#REF!</v>
      </c>
      <c r="K542" s="16" t="e">
        <f>IF(OR(Data!B542="",Data!#REF!=""),"",IF(Data!#REF!="",1,0))</f>
        <v>#REF!</v>
      </c>
      <c r="L542" s="16" t="e">
        <f>IF(OR(Data!B542="",Data!#REF!=""),"",IF(ISNUMBER(Data!#REF!),IF(AND(Data!#REF!&gt;Data_Val!$G$2,Data!#REF!&lt;=Data_Val!$G$3),0,1),1))</f>
        <v>#REF!</v>
      </c>
      <c r="M542" s="9" t="e">
        <f>IF(OR(Data!B542="",Data!#REF!=""),"",IF(ISNUMBER(MATCH(Data!#REF!,Data_Val!$F$1:$F$38,0)),0,1))</f>
        <v>#REF!</v>
      </c>
      <c r="N542" s="9" t="e">
        <f>IF(OR(Data!B542="",Data!#REF!=""),"",IF(Data!#REF!="",1,0))</f>
        <v>#REF!</v>
      </c>
      <c r="O542" s="17" t="e">
        <f>IF(Data!#REF!="","",IF(Data!#REF!="",1,0))</f>
        <v>#REF!</v>
      </c>
      <c r="P542" s="17" t="e">
        <f>IF(Data!#REF!="","",IF(ISNUMBER(MATCH(Data!#REF!,Data_Val!$A$2:$A$3,0)),0,1))</f>
        <v>#REF!</v>
      </c>
      <c r="Q542" s="25" t="e">
        <f ca="1">IF(Data!#REF!="","",IF(ISNUMBER(Data!#REF!),IF(AND(Data!#REF!&gt;(TODAY()-(Data_Val!$J$3*365.25)),Data!#REF!&lt;=(TODAY()-(Data_Val!$J$2*365.25))),0,1),1))</f>
        <v>#REF!</v>
      </c>
      <c r="R542" s="17" t="e">
        <f>IF(Data!#REF!="","",IF(ISNUMBER(MATCH(Data!#REF!,Data_Val!$B$2:$B$15,0)),0,1))</f>
        <v>#REF!</v>
      </c>
      <c r="S542" s="11" t="str">
        <f>IF(Data!G542="","",IF(Data!G542=Data_Val!$C$2,IF(Data!M542="",0,1),0))</f>
        <v/>
      </c>
      <c r="T542" s="11" t="str">
        <f>IF(Data!M542="","",IF(ISNUMBER(MATCH(Data!N542,Data_Val!$A$2:$A$3,0)),0,1))</f>
        <v/>
      </c>
      <c r="U542" s="11" t="str">
        <f ca="1">IF(Data!M542="","",IF(ISNUMBER(Data!O542),IF(AND(Data!O542&gt;(TODAY()-(Data_Val!$K$3*365.25)),Data!O542&lt;=(TODAY()-(Data_Val!$K$2*365.25))),0,1),1))</f>
        <v/>
      </c>
      <c r="V542" s="12" t="str">
        <f>IF(Data!G542="","",IF(Data!G542=Data_Val!$C$2,IF(Data!P542="",0,1),0))</f>
        <v/>
      </c>
      <c r="W542" s="12" t="str">
        <f>IF(Data!P542="","",IF(ISNUMBER(MATCH(Data!Q542,Data_Val!$A$2:$A$3,0)),0,1))</f>
        <v/>
      </c>
      <c r="X542" s="26" t="str">
        <f ca="1">IF(Data!P542="","",IF(ISNUMBER(Data!R542),IF(AND(Data!R542&gt;(TODAY()-(Data_Val!$L$3*365.25)),Data!R542&lt;=(TODAY()-(Data_Val!$L$2*365.25))),0,1),1))</f>
        <v/>
      </c>
      <c r="Y542" s="13" t="str">
        <f>IF(Data!$G542="","",IF(Data!$G542=Data_Val!$C$2,IF(Data!S542="",0,1),0))</f>
        <v/>
      </c>
      <c r="Z542" s="13" t="str">
        <f>IF(Data!S542="","",IF(ISNUMBER(MATCH(Data!T542,Data_Val!$A$2:$A$3,0)),0,1))</f>
        <v/>
      </c>
      <c r="AA542" s="28" t="str">
        <f ca="1">IF(Data!S542="","",IF(ISNUMBER(Data!U542),IF(AND(Data!U542&gt;(TODAY()-(Data_Val!$L$3*365.25)),Data!U542&lt;=(TODAY()-(Data_Val!$L$2*365.25))),0,1),1))</f>
        <v/>
      </c>
      <c r="AB542" s="11"/>
      <c r="AC542" s="11" t="e">
        <f>IF(Data!#REF!="","",IF(ISNUMBER(MATCH(Data!#REF!,Data_Val!$A$2:$A$3,0)),0,1))</f>
        <v>#REF!</v>
      </c>
      <c r="AD542" s="11" t="e">
        <f ca="1">IF(Data!#REF!="","",IF(ISNUMBER(Data!#REF!),IF(AND(Data!#REF!&gt;(TODAY()-(Data_Val!$L$3*365.25)),Data!#REF!&lt;=(TODAY()-(Data_Val!$L$2*365.25))),0,1),1))</f>
        <v>#REF!</v>
      </c>
      <c r="AE542" s="11" t="e">
        <f>IF(Data!#REF!="","",IF(Data!$G542="",1,IF(ISNUMBER(MATCH(Data!#REF!,Data_Val!$D$2:$D$10,0)),0,1)))</f>
        <v>#REF!</v>
      </c>
      <c r="AF542" s="12"/>
      <c r="AG542" s="12" t="e">
        <f>IF(Data!#REF!="","",IF(ISNUMBER(MATCH(Data!#REF!,Data_Val!$A$2:$A$3,0)),0,1))</f>
        <v>#REF!</v>
      </c>
      <c r="AH542" s="26" t="e">
        <f ca="1">IF(Data!#REF!="","",IF(ISNUMBER(Data!#REF!),IF(AND(Data!#REF!&gt;(TODAY()-(Data_Val!$L$3*365.25)),Data!#REF!&lt;=(TODAY()-(Data_Val!$L$2*365.25))),0,1),1))</f>
        <v>#REF!</v>
      </c>
      <c r="AI542" s="12" t="e">
        <f>IF(Data!#REF!="","",IF(Data!$G542="",1,IF(ISNUMBER(MATCH(Data!#REF!,Data_Val!$D$2:$D$10,0)),0,1)))</f>
        <v>#REF!</v>
      </c>
      <c r="AJ542" s="17"/>
      <c r="AK542" s="17" t="e">
        <f>IF(Data!#REF!="","",IF(ISNUMBER(MATCH(Data!#REF!,Data_Val!$A$2:$A$3,0)),0,1))</f>
        <v>#REF!</v>
      </c>
      <c r="AL542" s="25" t="e">
        <f ca="1">IF(Data!#REF!="","",IF(ISNUMBER(Data!#REF!),IF(AND(Data!#REF!&gt;(TODAY()-(Data_Val!$L$3*365.25)),Data!#REF!&lt;=(TODAY()-(Data_Val!$L$2*365.25))),0,1),1))</f>
        <v>#REF!</v>
      </c>
      <c r="AM542" s="17" t="e">
        <f>IF(Data!#REF!="","",IF(Data!$G542="",1,IF(ISNUMBER(MATCH(Data!#REF!,Data_Val!$D$2:$D$10,0)),0,1)))</f>
        <v>#REF!</v>
      </c>
      <c r="AN542" s="13"/>
      <c r="AO542" s="28" t="e">
        <f ca="1">IF(Data!#REF!="","",IF(ISNUMBER(Data!#REF!),IF(AND(Data!#REF!&gt;(TODAY()-(Data_Val!$I$3*365.25)),Data!#REF!&lt;=(TODAY()-(Data_Val!$I$2*365.25))),0,1),1))</f>
        <v>#REF!</v>
      </c>
      <c r="AP542" s="13" t="e">
        <f>IF(Data!#REF!="","",IF(Data!$G542="",1,IF(ISNUMBER(MATCH(Data!#REF!,Data_Val!$D$2:$D$10,0)),0,1)))</f>
        <v>#REF!</v>
      </c>
      <c r="AQ542" s="17"/>
      <c r="AR542" s="30" t="e">
        <f ca="1">IF(Data!#REF!="","",IF(ISNUMBER(Data!#REF!),IF(AND(Data!#REF!&gt;(TODAY()-(Data_Val!$I$3*365.25)),Data!#REF!&lt;=(TODAY()-(Data_Val!$I$2*365.25))),0,1),1))</f>
        <v>#REF!</v>
      </c>
      <c r="AS542" s="31" t="e">
        <f>IF(Data!#REF!="","",IF(Data!$G542="",1,IF(ISNUMBER(MATCH(Data!#REF!,Data_Val!$D$2:$D$10,0)),0,1)))</f>
        <v>#REF!</v>
      </c>
      <c r="AT542" s="11"/>
      <c r="AU542" s="11" t="e">
        <f ca="1">IF(Data!#REF!="","",IF(ISNUMBER(Data!#REF!),IF(AND(Data!#REF!&gt;(TODAY()-(Data_Val!$I$3*365.25)),Data!#REF!&lt;=(TODAY()-(Data_Val!$I$2*365.25))),0,1),1))</f>
        <v>#REF!</v>
      </c>
      <c r="AV542" s="11" t="e">
        <f>IF(Data!#REF!="","",IF(Data!$G542="",1,IF(ISNUMBER(MATCH(Data!#REF!,Data_Val!$D$2:$D$10,0)),0,1)))</f>
        <v>#REF!</v>
      </c>
      <c r="AW542" s="12"/>
      <c r="AX542" s="26" t="e">
        <f ca="1">IF(Data!#REF!="","",IF(ISNUMBER(Data!#REF!),IF(AND(Data!#REF!&gt;(TODAY()-(Data_Val!$I$3*365.25)),Data!#REF!&lt;=(TODAY()-(Data_Val!$I$2*365.25))),0,1),1))</f>
        <v>#REF!</v>
      </c>
      <c r="AY542" s="12" t="e">
        <f>IF(Data!#REF!="","",IF(Data!$G542="",1,IF(ISNUMBER(MATCH(Data!#REF!,Data_Val!$D$2:$D$10,0)),0,1)))</f>
        <v>#REF!</v>
      </c>
      <c r="AZ542" s="11"/>
      <c r="BA542" s="19" t="e">
        <f ca="1">IF(Data!#REF!="","",IF(ISNUMBER(Data!#REF!),IF(AND(Data!#REF!&gt;(TODAY()-(Data_Val!$M$3*365.25)),Data!#REF!&lt;=(TODAY()-(Data_Val!$M$2*365.25))),0,1),1))</f>
        <v>#REF!</v>
      </c>
      <c r="BB542" s="11" t="e">
        <f>IF(Data!#REF!="","",IF(Data!$G542="",1,IF(ISNUMBER(MATCH(Data!#REF!,Data_Val!$D$2:$D$10,0)),0,1)))</f>
        <v>#REF!</v>
      </c>
      <c r="BC542" s="12"/>
      <c r="BD542" s="20" t="e">
        <f ca="1">IF(Data!#REF!="","",IF(ISNUMBER(Data!#REF!),IF(AND(Data!#REF!&gt;(TODAY()-(Data_Val!$M$3*365.25)),Data!#REF!&lt;=(TODAY()-(Data_Val!$M$2*365.25))),0,1),1))</f>
        <v>#REF!</v>
      </c>
      <c r="BE542" s="12" t="e">
        <f>IF(Data!#REF!="","",IF(Data!$G542="",1,IF(ISNUMBER(MATCH(Data!#REF!,Data_Val!$D$2:$D$10,0)),0,1)))</f>
        <v>#REF!</v>
      </c>
      <c r="BF542" s="17"/>
      <c r="BG542" s="18" t="e">
        <f ca="1">IF(Data!#REF!="","",IF(ISNUMBER(Data!#REF!),IF(AND(Data!#REF!&gt;(TODAY()-(Data_Val!$M$3*365.25)),Data!#REF!&lt;=(TODAY()-(Data_Val!$M$2*365.25))),0,1),1))</f>
        <v>#REF!</v>
      </c>
      <c r="BH542" s="29" t="e">
        <f>IF(Data!#REF!="","",IF(Data!$G542="",1,IF(ISNUMBER(MATCH(Data!#REF!,Data_Val!$D$2:$D$10,0)),0,1)))</f>
        <v>#REF!</v>
      </c>
      <c r="BI542" s="13"/>
      <c r="BJ542" s="21" t="e">
        <f ca="1">IF(Data!#REF!="","",IF(ISNUMBER(Data!#REF!),IF(AND(Data!#REF!&gt;(TODAY()-(Data_Val!$M$3*365.25)),Data!#REF!&lt;=(TODAY()-(Data_Val!$M$2*365.25))),0,1),1))</f>
        <v>#REF!</v>
      </c>
      <c r="BK542" s="13" t="e">
        <f>IF(Data!#REF!="","",IF(Data!$G542="",1,IF(ISNUMBER(MATCH(Data!#REF!,Data_Val!$D$2:$D$10,0)),0,1)))</f>
        <v>#REF!</v>
      </c>
    </row>
    <row r="543" spans="1:63" x14ac:dyDescent="0.25">
      <c r="A543" s="9" t="str">
        <f>IF(Data!B543="","",IF(COUNTIFS(Data!A$1:'Data'!A543,Data!A543)&lt;=1,0,1))</f>
        <v/>
      </c>
      <c r="B543" s="9"/>
      <c r="C543" s="23" t="str">
        <f>IF(Data!C543="","",(IF(ISNUMBER(MATCH("*@*.?*",Data!C543,0)),0,1)+IF(COUNTIFS(Data!C$1:'Data'!C543,Data!C543)&gt;1,1,0)))</f>
        <v/>
      </c>
      <c r="D543" s="9" t="str">
        <f>IF(Data!B543="","",IF(ISNUMBER(Data!D543),IF(AND(Data!D543&gt;999999999,Data!D543&lt;=9999999999),IF(COUNTIFS(Data!D$1:'Data'!D543,Data!D543)&lt;=1,0,1),1),1))</f>
        <v/>
      </c>
      <c r="E543" s="9" t="str">
        <f>IF(Data!B543="","",IF(ISNUMBER(MATCH(Data!E543,Data_Val!$A$2:$A$3,0)),0,1))</f>
        <v/>
      </c>
      <c r="F543" s="9" t="str">
        <f ca="1">IF(Data!B543="","",IF(ISNUMBER(Data!F543),IF(AND(Data!F543&gt;(TODAY()-(Data_Val!$H$3*365.25)),Data!F543&lt;=(TODAY()-(Data_Val!$H$2*365.25))),0,1),1))</f>
        <v/>
      </c>
      <c r="G543" s="15" t="str">
        <f>IF(Data!B543="","",IF(AND(Data!G543="",Data!H543&lt;&gt;""),1,IF(Data!#REF!&lt;&gt;"",0,IF(ISNUMBER(MATCH(Data!G543,Data_Val!$C$2:$C$5,0)),0,1))))</f>
        <v/>
      </c>
      <c r="H543" s="15" t="str">
        <f>IF(Data!B543="","",IF(AND(Data!G543&lt;&gt;"",Data!H543=""),1,IF(Data!#REF!&lt;&gt;"",0,IF(Data!G543="",1,IF(ISNUMBER(MATCH(Data!H543,Data_Val!$D$2:$D$35,0)),0,1)))))</f>
        <v/>
      </c>
      <c r="I543" s="15" t="str">
        <f>IF(Data!B543="","",IF(Data!G543&lt;&gt;"",0,IF(ISNUMBER(MATCH(Data!#REF!,Data_Val!$E$2:$E$12,0)),0,1)))</f>
        <v/>
      </c>
      <c r="J543" s="16" t="e">
        <f>IF(OR(Data!B543="",Data!#REF!=""),"",IF(Data!#REF!="",1,0))</f>
        <v>#REF!</v>
      </c>
      <c r="K543" s="16" t="e">
        <f>IF(OR(Data!B543="",Data!#REF!=""),"",IF(Data!#REF!="",1,0))</f>
        <v>#REF!</v>
      </c>
      <c r="L543" s="16" t="e">
        <f>IF(OR(Data!B543="",Data!#REF!=""),"",IF(ISNUMBER(Data!#REF!),IF(AND(Data!#REF!&gt;Data_Val!$G$2,Data!#REF!&lt;=Data_Val!$G$3),0,1),1))</f>
        <v>#REF!</v>
      </c>
      <c r="M543" s="9" t="e">
        <f>IF(OR(Data!B543="",Data!#REF!=""),"",IF(ISNUMBER(MATCH(Data!#REF!,Data_Val!$F$1:$F$38,0)),0,1))</f>
        <v>#REF!</v>
      </c>
      <c r="N543" s="9" t="e">
        <f>IF(OR(Data!B543="",Data!#REF!=""),"",IF(Data!#REF!="",1,0))</f>
        <v>#REF!</v>
      </c>
      <c r="O543" s="17" t="e">
        <f>IF(Data!#REF!="","",IF(Data!#REF!="",1,0))</f>
        <v>#REF!</v>
      </c>
      <c r="P543" s="17" t="e">
        <f>IF(Data!#REF!="","",IF(ISNUMBER(MATCH(Data!#REF!,Data_Val!$A$2:$A$3,0)),0,1))</f>
        <v>#REF!</v>
      </c>
      <c r="Q543" s="25" t="e">
        <f ca="1">IF(Data!#REF!="","",IF(ISNUMBER(Data!#REF!),IF(AND(Data!#REF!&gt;(TODAY()-(Data_Val!$J$3*365.25)),Data!#REF!&lt;=(TODAY()-(Data_Val!$J$2*365.25))),0,1),1))</f>
        <v>#REF!</v>
      </c>
      <c r="R543" s="17" t="e">
        <f>IF(Data!#REF!="","",IF(ISNUMBER(MATCH(Data!#REF!,Data_Val!$B$2:$B$15,0)),0,1))</f>
        <v>#REF!</v>
      </c>
      <c r="S543" s="11" t="str">
        <f>IF(Data!G543="","",IF(Data!G543=Data_Val!$C$2,IF(Data!M543="",0,1),0))</f>
        <v/>
      </c>
      <c r="T543" s="11" t="str">
        <f>IF(Data!M543="","",IF(ISNUMBER(MATCH(Data!N543,Data_Val!$A$2:$A$3,0)),0,1))</f>
        <v/>
      </c>
      <c r="U543" s="11" t="str">
        <f ca="1">IF(Data!M543="","",IF(ISNUMBER(Data!O543),IF(AND(Data!O543&gt;(TODAY()-(Data_Val!$K$3*365.25)),Data!O543&lt;=(TODAY()-(Data_Val!$K$2*365.25))),0,1),1))</f>
        <v/>
      </c>
      <c r="V543" s="12" t="str">
        <f>IF(Data!G543="","",IF(Data!G543=Data_Val!$C$2,IF(Data!P543="",0,1),0))</f>
        <v/>
      </c>
      <c r="W543" s="12" t="str">
        <f>IF(Data!P543="","",IF(ISNUMBER(MATCH(Data!Q543,Data_Val!$A$2:$A$3,0)),0,1))</f>
        <v/>
      </c>
      <c r="X543" s="26" t="str">
        <f ca="1">IF(Data!P543="","",IF(ISNUMBER(Data!R543),IF(AND(Data!R543&gt;(TODAY()-(Data_Val!$L$3*365.25)),Data!R543&lt;=(TODAY()-(Data_Val!$L$2*365.25))),0,1),1))</f>
        <v/>
      </c>
      <c r="Y543" s="13" t="str">
        <f>IF(Data!$G543="","",IF(Data!$G543=Data_Val!$C$2,IF(Data!S543="",0,1),0))</f>
        <v/>
      </c>
      <c r="Z543" s="13" t="str">
        <f>IF(Data!S543="","",IF(ISNUMBER(MATCH(Data!T543,Data_Val!$A$2:$A$3,0)),0,1))</f>
        <v/>
      </c>
      <c r="AA543" s="28" t="str">
        <f ca="1">IF(Data!S543="","",IF(ISNUMBER(Data!U543),IF(AND(Data!U543&gt;(TODAY()-(Data_Val!$L$3*365.25)),Data!U543&lt;=(TODAY()-(Data_Val!$L$2*365.25))),0,1),1))</f>
        <v/>
      </c>
      <c r="AB543" s="11"/>
      <c r="AC543" s="11" t="e">
        <f>IF(Data!#REF!="","",IF(ISNUMBER(MATCH(Data!#REF!,Data_Val!$A$2:$A$3,0)),0,1))</f>
        <v>#REF!</v>
      </c>
      <c r="AD543" s="11" t="e">
        <f ca="1">IF(Data!#REF!="","",IF(ISNUMBER(Data!#REF!),IF(AND(Data!#REF!&gt;(TODAY()-(Data_Val!$L$3*365.25)),Data!#REF!&lt;=(TODAY()-(Data_Val!$L$2*365.25))),0,1),1))</f>
        <v>#REF!</v>
      </c>
      <c r="AE543" s="11" t="e">
        <f>IF(Data!#REF!="","",IF(Data!$G543="",1,IF(ISNUMBER(MATCH(Data!#REF!,Data_Val!$D$2:$D$10,0)),0,1)))</f>
        <v>#REF!</v>
      </c>
      <c r="AF543" s="12"/>
      <c r="AG543" s="12" t="e">
        <f>IF(Data!#REF!="","",IF(ISNUMBER(MATCH(Data!#REF!,Data_Val!$A$2:$A$3,0)),0,1))</f>
        <v>#REF!</v>
      </c>
      <c r="AH543" s="26" t="e">
        <f ca="1">IF(Data!#REF!="","",IF(ISNUMBER(Data!#REF!),IF(AND(Data!#REF!&gt;(TODAY()-(Data_Val!$L$3*365.25)),Data!#REF!&lt;=(TODAY()-(Data_Val!$L$2*365.25))),0,1),1))</f>
        <v>#REF!</v>
      </c>
      <c r="AI543" s="12" t="e">
        <f>IF(Data!#REF!="","",IF(Data!$G543="",1,IF(ISNUMBER(MATCH(Data!#REF!,Data_Val!$D$2:$D$10,0)),0,1)))</f>
        <v>#REF!</v>
      </c>
      <c r="AJ543" s="17"/>
      <c r="AK543" s="17" t="e">
        <f>IF(Data!#REF!="","",IF(ISNUMBER(MATCH(Data!#REF!,Data_Val!$A$2:$A$3,0)),0,1))</f>
        <v>#REF!</v>
      </c>
      <c r="AL543" s="25" t="e">
        <f ca="1">IF(Data!#REF!="","",IF(ISNUMBER(Data!#REF!),IF(AND(Data!#REF!&gt;(TODAY()-(Data_Val!$L$3*365.25)),Data!#REF!&lt;=(TODAY()-(Data_Val!$L$2*365.25))),0,1),1))</f>
        <v>#REF!</v>
      </c>
      <c r="AM543" s="17" t="e">
        <f>IF(Data!#REF!="","",IF(Data!$G543="",1,IF(ISNUMBER(MATCH(Data!#REF!,Data_Val!$D$2:$D$10,0)),0,1)))</f>
        <v>#REF!</v>
      </c>
      <c r="AN543" s="13"/>
      <c r="AO543" s="28" t="e">
        <f ca="1">IF(Data!#REF!="","",IF(ISNUMBER(Data!#REF!),IF(AND(Data!#REF!&gt;(TODAY()-(Data_Val!$I$3*365.25)),Data!#REF!&lt;=(TODAY()-(Data_Val!$I$2*365.25))),0,1),1))</f>
        <v>#REF!</v>
      </c>
      <c r="AP543" s="13" t="e">
        <f>IF(Data!#REF!="","",IF(Data!$G543="",1,IF(ISNUMBER(MATCH(Data!#REF!,Data_Val!$D$2:$D$10,0)),0,1)))</f>
        <v>#REF!</v>
      </c>
      <c r="AQ543" s="17"/>
      <c r="AR543" s="30" t="e">
        <f ca="1">IF(Data!#REF!="","",IF(ISNUMBER(Data!#REF!),IF(AND(Data!#REF!&gt;(TODAY()-(Data_Val!$I$3*365.25)),Data!#REF!&lt;=(TODAY()-(Data_Val!$I$2*365.25))),0,1),1))</f>
        <v>#REF!</v>
      </c>
      <c r="AS543" s="31" t="e">
        <f>IF(Data!#REF!="","",IF(Data!$G543="",1,IF(ISNUMBER(MATCH(Data!#REF!,Data_Val!$D$2:$D$10,0)),0,1)))</f>
        <v>#REF!</v>
      </c>
      <c r="AT543" s="11"/>
      <c r="AU543" s="11" t="e">
        <f ca="1">IF(Data!#REF!="","",IF(ISNUMBER(Data!#REF!),IF(AND(Data!#REF!&gt;(TODAY()-(Data_Val!$I$3*365.25)),Data!#REF!&lt;=(TODAY()-(Data_Val!$I$2*365.25))),0,1),1))</f>
        <v>#REF!</v>
      </c>
      <c r="AV543" s="11" t="e">
        <f>IF(Data!#REF!="","",IF(Data!$G543="",1,IF(ISNUMBER(MATCH(Data!#REF!,Data_Val!$D$2:$D$10,0)),0,1)))</f>
        <v>#REF!</v>
      </c>
      <c r="AW543" s="12"/>
      <c r="AX543" s="26" t="e">
        <f ca="1">IF(Data!#REF!="","",IF(ISNUMBER(Data!#REF!),IF(AND(Data!#REF!&gt;(TODAY()-(Data_Val!$I$3*365.25)),Data!#REF!&lt;=(TODAY()-(Data_Val!$I$2*365.25))),0,1),1))</f>
        <v>#REF!</v>
      </c>
      <c r="AY543" s="12" t="e">
        <f>IF(Data!#REF!="","",IF(Data!$G543="",1,IF(ISNUMBER(MATCH(Data!#REF!,Data_Val!$D$2:$D$10,0)),0,1)))</f>
        <v>#REF!</v>
      </c>
      <c r="AZ543" s="11"/>
      <c r="BA543" s="19" t="e">
        <f ca="1">IF(Data!#REF!="","",IF(ISNUMBER(Data!#REF!),IF(AND(Data!#REF!&gt;(TODAY()-(Data_Val!$M$3*365.25)),Data!#REF!&lt;=(TODAY()-(Data_Val!$M$2*365.25))),0,1),1))</f>
        <v>#REF!</v>
      </c>
      <c r="BB543" s="11" t="e">
        <f>IF(Data!#REF!="","",IF(Data!$G543="",1,IF(ISNUMBER(MATCH(Data!#REF!,Data_Val!$D$2:$D$10,0)),0,1)))</f>
        <v>#REF!</v>
      </c>
      <c r="BC543" s="12"/>
      <c r="BD543" s="20" t="e">
        <f ca="1">IF(Data!#REF!="","",IF(ISNUMBER(Data!#REF!),IF(AND(Data!#REF!&gt;(TODAY()-(Data_Val!$M$3*365.25)),Data!#REF!&lt;=(TODAY()-(Data_Val!$M$2*365.25))),0,1),1))</f>
        <v>#REF!</v>
      </c>
      <c r="BE543" s="12" t="e">
        <f>IF(Data!#REF!="","",IF(Data!$G543="",1,IF(ISNUMBER(MATCH(Data!#REF!,Data_Val!$D$2:$D$10,0)),0,1)))</f>
        <v>#REF!</v>
      </c>
      <c r="BF543" s="17"/>
      <c r="BG543" s="18" t="e">
        <f ca="1">IF(Data!#REF!="","",IF(ISNUMBER(Data!#REF!),IF(AND(Data!#REF!&gt;(TODAY()-(Data_Val!$M$3*365.25)),Data!#REF!&lt;=(TODAY()-(Data_Val!$M$2*365.25))),0,1),1))</f>
        <v>#REF!</v>
      </c>
      <c r="BH543" s="29" t="e">
        <f>IF(Data!#REF!="","",IF(Data!$G543="",1,IF(ISNUMBER(MATCH(Data!#REF!,Data_Val!$D$2:$D$10,0)),0,1)))</f>
        <v>#REF!</v>
      </c>
      <c r="BI543" s="13"/>
      <c r="BJ543" s="21" t="e">
        <f ca="1">IF(Data!#REF!="","",IF(ISNUMBER(Data!#REF!),IF(AND(Data!#REF!&gt;(TODAY()-(Data_Val!$M$3*365.25)),Data!#REF!&lt;=(TODAY()-(Data_Val!$M$2*365.25))),0,1),1))</f>
        <v>#REF!</v>
      </c>
      <c r="BK543" s="13" t="e">
        <f>IF(Data!#REF!="","",IF(Data!$G543="",1,IF(ISNUMBER(MATCH(Data!#REF!,Data_Val!$D$2:$D$10,0)),0,1)))</f>
        <v>#REF!</v>
      </c>
    </row>
    <row r="544" spans="1:63" x14ac:dyDescent="0.25">
      <c r="A544" s="9" t="str">
        <f>IF(Data!B544="","",IF(COUNTIFS(Data!A$1:'Data'!A544,Data!A544)&lt;=1,0,1))</f>
        <v/>
      </c>
      <c r="B544" s="9"/>
      <c r="C544" s="23" t="str">
        <f>IF(Data!C544="","",(IF(ISNUMBER(MATCH("*@*.?*",Data!C544,0)),0,1)+IF(COUNTIFS(Data!C$1:'Data'!C544,Data!C544)&gt;1,1,0)))</f>
        <v/>
      </c>
      <c r="D544" s="9" t="str">
        <f>IF(Data!B544="","",IF(ISNUMBER(Data!D544),IF(AND(Data!D544&gt;999999999,Data!D544&lt;=9999999999),IF(COUNTIFS(Data!D$1:'Data'!D544,Data!D544)&lt;=1,0,1),1),1))</f>
        <v/>
      </c>
      <c r="E544" s="9" t="str">
        <f>IF(Data!B544="","",IF(ISNUMBER(MATCH(Data!E544,Data_Val!$A$2:$A$3,0)),0,1))</f>
        <v/>
      </c>
      <c r="F544" s="9" t="str">
        <f ca="1">IF(Data!B544="","",IF(ISNUMBER(Data!F544),IF(AND(Data!F544&gt;(TODAY()-(Data_Val!$H$3*365.25)),Data!F544&lt;=(TODAY()-(Data_Val!$H$2*365.25))),0,1),1))</f>
        <v/>
      </c>
      <c r="G544" s="15" t="str">
        <f>IF(Data!B544="","",IF(AND(Data!G544="",Data!H544&lt;&gt;""),1,IF(Data!#REF!&lt;&gt;"",0,IF(ISNUMBER(MATCH(Data!G544,Data_Val!$C$2:$C$5,0)),0,1))))</f>
        <v/>
      </c>
      <c r="H544" s="15" t="str">
        <f>IF(Data!B544="","",IF(AND(Data!G544&lt;&gt;"",Data!H544=""),1,IF(Data!#REF!&lt;&gt;"",0,IF(Data!G544="",1,IF(ISNUMBER(MATCH(Data!H544,Data_Val!$D$2:$D$35,0)),0,1)))))</f>
        <v/>
      </c>
      <c r="I544" s="15" t="str">
        <f>IF(Data!B544="","",IF(Data!G544&lt;&gt;"",0,IF(ISNUMBER(MATCH(Data!#REF!,Data_Val!$E$2:$E$12,0)),0,1)))</f>
        <v/>
      </c>
      <c r="J544" s="16" t="e">
        <f>IF(OR(Data!B544="",Data!#REF!=""),"",IF(Data!#REF!="",1,0))</f>
        <v>#REF!</v>
      </c>
      <c r="K544" s="16" t="e">
        <f>IF(OR(Data!B544="",Data!#REF!=""),"",IF(Data!#REF!="",1,0))</f>
        <v>#REF!</v>
      </c>
      <c r="L544" s="16" t="e">
        <f>IF(OR(Data!B544="",Data!#REF!=""),"",IF(ISNUMBER(Data!#REF!),IF(AND(Data!#REF!&gt;Data_Val!$G$2,Data!#REF!&lt;=Data_Val!$G$3),0,1),1))</f>
        <v>#REF!</v>
      </c>
      <c r="M544" s="9" t="e">
        <f>IF(OR(Data!B544="",Data!#REF!=""),"",IF(ISNUMBER(MATCH(Data!#REF!,Data_Val!$F$1:$F$38,0)),0,1))</f>
        <v>#REF!</v>
      </c>
      <c r="N544" s="9" t="e">
        <f>IF(OR(Data!B544="",Data!#REF!=""),"",IF(Data!#REF!="",1,0))</f>
        <v>#REF!</v>
      </c>
      <c r="O544" s="17" t="e">
        <f>IF(Data!#REF!="","",IF(Data!#REF!="",1,0))</f>
        <v>#REF!</v>
      </c>
      <c r="P544" s="17" t="e">
        <f>IF(Data!#REF!="","",IF(ISNUMBER(MATCH(Data!#REF!,Data_Val!$A$2:$A$3,0)),0,1))</f>
        <v>#REF!</v>
      </c>
      <c r="Q544" s="25" t="e">
        <f ca="1">IF(Data!#REF!="","",IF(ISNUMBER(Data!#REF!),IF(AND(Data!#REF!&gt;(TODAY()-(Data_Val!$J$3*365.25)),Data!#REF!&lt;=(TODAY()-(Data_Val!$J$2*365.25))),0,1),1))</f>
        <v>#REF!</v>
      </c>
      <c r="R544" s="17" t="e">
        <f>IF(Data!#REF!="","",IF(ISNUMBER(MATCH(Data!#REF!,Data_Val!$B$2:$B$15,0)),0,1))</f>
        <v>#REF!</v>
      </c>
      <c r="S544" s="11" t="str">
        <f>IF(Data!G544="","",IF(Data!G544=Data_Val!$C$2,IF(Data!M544="",0,1),0))</f>
        <v/>
      </c>
      <c r="T544" s="11" t="str">
        <f>IF(Data!M544="","",IF(ISNUMBER(MATCH(Data!N544,Data_Val!$A$2:$A$3,0)),0,1))</f>
        <v/>
      </c>
      <c r="U544" s="11" t="str">
        <f ca="1">IF(Data!M544="","",IF(ISNUMBER(Data!O544),IF(AND(Data!O544&gt;(TODAY()-(Data_Val!$K$3*365.25)),Data!O544&lt;=(TODAY()-(Data_Val!$K$2*365.25))),0,1),1))</f>
        <v/>
      </c>
      <c r="V544" s="12" t="str">
        <f>IF(Data!G544="","",IF(Data!G544=Data_Val!$C$2,IF(Data!P544="",0,1),0))</f>
        <v/>
      </c>
      <c r="W544" s="12" t="str">
        <f>IF(Data!P544="","",IF(ISNUMBER(MATCH(Data!Q544,Data_Val!$A$2:$A$3,0)),0,1))</f>
        <v/>
      </c>
      <c r="X544" s="26" t="str">
        <f ca="1">IF(Data!P544="","",IF(ISNUMBER(Data!R544),IF(AND(Data!R544&gt;(TODAY()-(Data_Val!$L$3*365.25)),Data!R544&lt;=(TODAY()-(Data_Val!$L$2*365.25))),0,1),1))</f>
        <v/>
      </c>
      <c r="Y544" s="13" t="str">
        <f>IF(Data!$G544="","",IF(Data!$G544=Data_Val!$C$2,IF(Data!S544="",0,1),0))</f>
        <v/>
      </c>
      <c r="Z544" s="13" t="str">
        <f>IF(Data!S544="","",IF(ISNUMBER(MATCH(Data!T544,Data_Val!$A$2:$A$3,0)),0,1))</f>
        <v/>
      </c>
      <c r="AA544" s="28" t="str">
        <f ca="1">IF(Data!S544="","",IF(ISNUMBER(Data!U544),IF(AND(Data!U544&gt;(TODAY()-(Data_Val!$L$3*365.25)),Data!U544&lt;=(TODAY()-(Data_Val!$L$2*365.25))),0,1),1))</f>
        <v/>
      </c>
      <c r="AB544" s="11"/>
      <c r="AC544" s="11" t="e">
        <f>IF(Data!#REF!="","",IF(ISNUMBER(MATCH(Data!#REF!,Data_Val!$A$2:$A$3,0)),0,1))</f>
        <v>#REF!</v>
      </c>
      <c r="AD544" s="11" t="e">
        <f ca="1">IF(Data!#REF!="","",IF(ISNUMBER(Data!#REF!),IF(AND(Data!#REF!&gt;(TODAY()-(Data_Val!$L$3*365.25)),Data!#REF!&lt;=(TODAY()-(Data_Val!$L$2*365.25))),0,1),1))</f>
        <v>#REF!</v>
      </c>
      <c r="AE544" s="11" t="e">
        <f>IF(Data!#REF!="","",IF(Data!$G544="",1,IF(ISNUMBER(MATCH(Data!#REF!,Data_Val!$D$2:$D$10,0)),0,1)))</f>
        <v>#REF!</v>
      </c>
      <c r="AF544" s="12"/>
      <c r="AG544" s="12" t="e">
        <f>IF(Data!#REF!="","",IF(ISNUMBER(MATCH(Data!#REF!,Data_Val!$A$2:$A$3,0)),0,1))</f>
        <v>#REF!</v>
      </c>
      <c r="AH544" s="26" t="e">
        <f ca="1">IF(Data!#REF!="","",IF(ISNUMBER(Data!#REF!),IF(AND(Data!#REF!&gt;(TODAY()-(Data_Val!$L$3*365.25)),Data!#REF!&lt;=(TODAY()-(Data_Val!$L$2*365.25))),0,1),1))</f>
        <v>#REF!</v>
      </c>
      <c r="AI544" s="12" t="e">
        <f>IF(Data!#REF!="","",IF(Data!$G544="",1,IF(ISNUMBER(MATCH(Data!#REF!,Data_Val!$D$2:$D$10,0)),0,1)))</f>
        <v>#REF!</v>
      </c>
      <c r="AJ544" s="17"/>
      <c r="AK544" s="17" t="e">
        <f>IF(Data!#REF!="","",IF(ISNUMBER(MATCH(Data!#REF!,Data_Val!$A$2:$A$3,0)),0,1))</f>
        <v>#REF!</v>
      </c>
      <c r="AL544" s="25" t="e">
        <f ca="1">IF(Data!#REF!="","",IF(ISNUMBER(Data!#REF!),IF(AND(Data!#REF!&gt;(TODAY()-(Data_Val!$L$3*365.25)),Data!#REF!&lt;=(TODAY()-(Data_Val!$L$2*365.25))),0,1),1))</f>
        <v>#REF!</v>
      </c>
      <c r="AM544" s="17" t="e">
        <f>IF(Data!#REF!="","",IF(Data!$G544="",1,IF(ISNUMBER(MATCH(Data!#REF!,Data_Val!$D$2:$D$10,0)),0,1)))</f>
        <v>#REF!</v>
      </c>
      <c r="AN544" s="13"/>
      <c r="AO544" s="28" t="e">
        <f ca="1">IF(Data!#REF!="","",IF(ISNUMBER(Data!#REF!),IF(AND(Data!#REF!&gt;(TODAY()-(Data_Val!$I$3*365.25)),Data!#REF!&lt;=(TODAY()-(Data_Val!$I$2*365.25))),0,1),1))</f>
        <v>#REF!</v>
      </c>
      <c r="AP544" s="13" t="e">
        <f>IF(Data!#REF!="","",IF(Data!$G544="",1,IF(ISNUMBER(MATCH(Data!#REF!,Data_Val!$D$2:$D$10,0)),0,1)))</f>
        <v>#REF!</v>
      </c>
      <c r="AQ544" s="17"/>
      <c r="AR544" s="30" t="e">
        <f ca="1">IF(Data!#REF!="","",IF(ISNUMBER(Data!#REF!),IF(AND(Data!#REF!&gt;(TODAY()-(Data_Val!$I$3*365.25)),Data!#REF!&lt;=(TODAY()-(Data_Val!$I$2*365.25))),0,1),1))</f>
        <v>#REF!</v>
      </c>
      <c r="AS544" s="31" t="e">
        <f>IF(Data!#REF!="","",IF(Data!$G544="",1,IF(ISNUMBER(MATCH(Data!#REF!,Data_Val!$D$2:$D$10,0)),0,1)))</f>
        <v>#REF!</v>
      </c>
      <c r="AT544" s="11"/>
      <c r="AU544" s="11" t="e">
        <f ca="1">IF(Data!#REF!="","",IF(ISNUMBER(Data!#REF!),IF(AND(Data!#REF!&gt;(TODAY()-(Data_Val!$I$3*365.25)),Data!#REF!&lt;=(TODAY()-(Data_Val!$I$2*365.25))),0,1),1))</f>
        <v>#REF!</v>
      </c>
      <c r="AV544" s="11" t="e">
        <f>IF(Data!#REF!="","",IF(Data!$G544="",1,IF(ISNUMBER(MATCH(Data!#REF!,Data_Val!$D$2:$D$10,0)),0,1)))</f>
        <v>#REF!</v>
      </c>
      <c r="AW544" s="12"/>
      <c r="AX544" s="26" t="e">
        <f ca="1">IF(Data!#REF!="","",IF(ISNUMBER(Data!#REF!),IF(AND(Data!#REF!&gt;(TODAY()-(Data_Val!$I$3*365.25)),Data!#REF!&lt;=(TODAY()-(Data_Val!$I$2*365.25))),0,1),1))</f>
        <v>#REF!</v>
      </c>
      <c r="AY544" s="12" t="e">
        <f>IF(Data!#REF!="","",IF(Data!$G544="",1,IF(ISNUMBER(MATCH(Data!#REF!,Data_Val!$D$2:$D$10,0)),0,1)))</f>
        <v>#REF!</v>
      </c>
      <c r="AZ544" s="11"/>
      <c r="BA544" s="19" t="e">
        <f ca="1">IF(Data!#REF!="","",IF(ISNUMBER(Data!#REF!),IF(AND(Data!#REF!&gt;(TODAY()-(Data_Val!$M$3*365.25)),Data!#REF!&lt;=(TODAY()-(Data_Val!$M$2*365.25))),0,1),1))</f>
        <v>#REF!</v>
      </c>
      <c r="BB544" s="11" t="e">
        <f>IF(Data!#REF!="","",IF(Data!$G544="",1,IF(ISNUMBER(MATCH(Data!#REF!,Data_Val!$D$2:$D$10,0)),0,1)))</f>
        <v>#REF!</v>
      </c>
      <c r="BC544" s="12"/>
      <c r="BD544" s="20" t="e">
        <f ca="1">IF(Data!#REF!="","",IF(ISNUMBER(Data!#REF!),IF(AND(Data!#REF!&gt;(TODAY()-(Data_Val!$M$3*365.25)),Data!#REF!&lt;=(TODAY()-(Data_Val!$M$2*365.25))),0,1),1))</f>
        <v>#REF!</v>
      </c>
      <c r="BE544" s="12" t="e">
        <f>IF(Data!#REF!="","",IF(Data!$G544="",1,IF(ISNUMBER(MATCH(Data!#REF!,Data_Val!$D$2:$D$10,0)),0,1)))</f>
        <v>#REF!</v>
      </c>
      <c r="BF544" s="17"/>
      <c r="BG544" s="18" t="e">
        <f ca="1">IF(Data!#REF!="","",IF(ISNUMBER(Data!#REF!),IF(AND(Data!#REF!&gt;(TODAY()-(Data_Val!$M$3*365.25)),Data!#REF!&lt;=(TODAY()-(Data_Val!$M$2*365.25))),0,1),1))</f>
        <v>#REF!</v>
      </c>
      <c r="BH544" s="29" t="e">
        <f>IF(Data!#REF!="","",IF(Data!$G544="",1,IF(ISNUMBER(MATCH(Data!#REF!,Data_Val!$D$2:$D$10,0)),0,1)))</f>
        <v>#REF!</v>
      </c>
      <c r="BI544" s="13"/>
      <c r="BJ544" s="21" t="e">
        <f ca="1">IF(Data!#REF!="","",IF(ISNUMBER(Data!#REF!),IF(AND(Data!#REF!&gt;(TODAY()-(Data_Val!$M$3*365.25)),Data!#REF!&lt;=(TODAY()-(Data_Val!$M$2*365.25))),0,1),1))</f>
        <v>#REF!</v>
      </c>
      <c r="BK544" s="13" t="e">
        <f>IF(Data!#REF!="","",IF(Data!$G544="",1,IF(ISNUMBER(MATCH(Data!#REF!,Data_Val!$D$2:$D$10,0)),0,1)))</f>
        <v>#REF!</v>
      </c>
    </row>
    <row r="545" spans="1:63" x14ac:dyDescent="0.25">
      <c r="A545" s="9" t="str">
        <f>IF(Data!B545="","",IF(COUNTIFS(Data!A$1:'Data'!A545,Data!A545)&lt;=1,0,1))</f>
        <v/>
      </c>
      <c r="B545" s="9"/>
      <c r="C545" s="23" t="str">
        <f>IF(Data!C545="","",(IF(ISNUMBER(MATCH("*@*.?*",Data!C545,0)),0,1)+IF(COUNTIFS(Data!C$1:'Data'!C545,Data!C545)&gt;1,1,0)))</f>
        <v/>
      </c>
      <c r="D545" s="9" t="str">
        <f>IF(Data!B545="","",IF(ISNUMBER(Data!D545),IF(AND(Data!D545&gt;999999999,Data!D545&lt;=9999999999),IF(COUNTIFS(Data!D$1:'Data'!D545,Data!D545)&lt;=1,0,1),1),1))</f>
        <v/>
      </c>
      <c r="E545" s="9" t="str">
        <f>IF(Data!B545="","",IF(ISNUMBER(MATCH(Data!E545,Data_Val!$A$2:$A$3,0)),0,1))</f>
        <v/>
      </c>
      <c r="F545" s="9" t="str">
        <f ca="1">IF(Data!B545="","",IF(ISNUMBER(Data!F545),IF(AND(Data!F545&gt;(TODAY()-(Data_Val!$H$3*365.25)),Data!F545&lt;=(TODAY()-(Data_Val!$H$2*365.25))),0,1),1))</f>
        <v/>
      </c>
      <c r="G545" s="15" t="str">
        <f>IF(Data!B545="","",IF(AND(Data!G545="",Data!H545&lt;&gt;""),1,IF(Data!#REF!&lt;&gt;"",0,IF(ISNUMBER(MATCH(Data!G545,Data_Val!$C$2:$C$5,0)),0,1))))</f>
        <v/>
      </c>
      <c r="H545" s="15" t="str">
        <f>IF(Data!B545="","",IF(AND(Data!G545&lt;&gt;"",Data!H545=""),1,IF(Data!#REF!&lt;&gt;"",0,IF(Data!G545="",1,IF(ISNUMBER(MATCH(Data!H545,Data_Val!$D$2:$D$35,0)),0,1)))))</f>
        <v/>
      </c>
      <c r="I545" s="15" t="str">
        <f>IF(Data!B545="","",IF(Data!G545&lt;&gt;"",0,IF(ISNUMBER(MATCH(Data!#REF!,Data_Val!$E$2:$E$12,0)),0,1)))</f>
        <v/>
      </c>
      <c r="J545" s="16" t="e">
        <f>IF(OR(Data!B545="",Data!#REF!=""),"",IF(Data!#REF!="",1,0))</f>
        <v>#REF!</v>
      </c>
      <c r="K545" s="16" t="e">
        <f>IF(OR(Data!B545="",Data!#REF!=""),"",IF(Data!#REF!="",1,0))</f>
        <v>#REF!</v>
      </c>
      <c r="L545" s="16" t="e">
        <f>IF(OR(Data!B545="",Data!#REF!=""),"",IF(ISNUMBER(Data!#REF!),IF(AND(Data!#REF!&gt;Data_Val!$G$2,Data!#REF!&lt;=Data_Val!$G$3),0,1),1))</f>
        <v>#REF!</v>
      </c>
      <c r="M545" s="9" t="e">
        <f>IF(OR(Data!B545="",Data!#REF!=""),"",IF(ISNUMBER(MATCH(Data!#REF!,Data_Val!$F$1:$F$38,0)),0,1))</f>
        <v>#REF!</v>
      </c>
      <c r="N545" s="9" t="e">
        <f>IF(OR(Data!B545="",Data!#REF!=""),"",IF(Data!#REF!="",1,0))</f>
        <v>#REF!</v>
      </c>
      <c r="O545" s="17" t="e">
        <f>IF(Data!#REF!="","",IF(Data!#REF!="",1,0))</f>
        <v>#REF!</v>
      </c>
      <c r="P545" s="17" t="e">
        <f>IF(Data!#REF!="","",IF(ISNUMBER(MATCH(Data!#REF!,Data_Val!$A$2:$A$3,0)),0,1))</f>
        <v>#REF!</v>
      </c>
      <c r="Q545" s="25" t="e">
        <f ca="1">IF(Data!#REF!="","",IF(ISNUMBER(Data!#REF!),IF(AND(Data!#REF!&gt;(TODAY()-(Data_Val!$J$3*365.25)),Data!#REF!&lt;=(TODAY()-(Data_Val!$J$2*365.25))),0,1),1))</f>
        <v>#REF!</v>
      </c>
      <c r="R545" s="17" t="e">
        <f>IF(Data!#REF!="","",IF(ISNUMBER(MATCH(Data!#REF!,Data_Val!$B$2:$B$15,0)),0,1))</f>
        <v>#REF!</v>
      </c>
      <c r="S545" s="11" t="str">
        <f>IF(Data!G545="","",IF(Data!G545=Data_Val!$C$2,IF(Data!M545="",0,1),0))</f>
        <v/>
      </c>
      <c r="T545" s="11" t="str">
        <f>IF(Data!M545="","",IF(ISNUMBER(MATCH(Data!N545,Data_Val!$A$2:$A$3,0)),0,1))</f>
        <v/>
      </c>
      <c r="U545" s="11" t="str">
        <f ca="1">IF(Data!M545="","",IF(ISNUMBER(Data!O545),IF(AND(Data!O545&gt;(TODAY()-(Data_Val!$K$3*365.25)),Data!O545&lt;=(TODAY()-(Data_Val!$K$2*365.25))),0,1),1))</f>
        <v/>
      </c>
      <c r="V545" s="12" t="str">
        <f>IF(Data!G545="","",IF(Data!G545=Data_Val!$C$2,IF(Data!P545="",0,1),0))</f>
        <v/>
      </c>
      <c r="W545" s="12" t="str">
        <f>IF(Data!P545="","",IF(ISNUMBER(MATCH(Data!Q545,Data_Val!$A$2:$A$3,0)),0,1))</f>
        <v/>
      </c>
      <c r="X545" s="26" t="str">
        <f ca="1">IF(Data!P545="","",IF(ISNUMBER(Data!R545),IF(AND(Data!R545&gt;(TODAY()-(Data_Val!$L$3*365.25)),Data!R545&lt;=(TODAY()-(Data_Val!$L$2*365.25))),0,1),1))</f>
        <v/>
      </c>
      <c r="Y545" s="13" t="str">
        <f>IF(Data!$G545="","",IF(Data!$G545=Data_Val!$C$2,IF(Data!S545="",0,1),0))</f>
        <v/>
      </c>
      <c r="Z545" s="13" t="str">
        <f>IF(Data!S545="","",IF(ISNUMBER(MATCH(Data!T545,Data_Val!$A$2:$A$3,0)),0,1))</f>
        <v/>
      </c>
      <c r="AA545" s="28" t="str">
        <f ca="1">IF(Data!S545="","",IF(ISNUMBER(Data!U545),IF(AND(Data!U545&gt;(TODAY()-(Data_Val!$L$3*365.25)),Data!U545&lt;=(TODAY()-(Data_Val!$L$2*365.25))),0,1),1))</f>
        <v/>
      </c>
      <c r="AB545" s="11"/>
      <c r="AC545" s="11" t="e">
        <f>IF(Data!#REF!="","",IF(ISNUMBER(MATCH(Data!#REF!,Data_Val!$A$2:$A$3,0)),0,1))</f>
        <v>#REF!</v>
      </c>
      <c r="AD545" s="11" t="e">
        <f ca="1">IF(Data!#REF!="","",IF(ISNUMBER(Data!#REF!),IF(AND(Data!#REF!&gt;(TODAY()-(Data_Val!$L$3*365.25)),Data!#REF!&lt;=(TODAY()-(Data_Val!$L$2*365.25))),0,1),1))</f>
        <v>#REF!</v>
      </c>
      <c r="AE545" s="11" t="e">
        <f>IF(Data!#REF!="","",IF(Data!$G545="",1,IF(ISNUMBER(MATCH(Data!#REF!,Data_Val!$D$2:$D$10,0)),0,1)))</f>
        <v>#REF!</v>
      </c>
      <c r="AF545" s="12"/>
      <c r="AG545" s="12" t="e">
        <f>IF(Data!#REF!="","",IF(ISNUMBER(MATCH(Data!#REF!,Data_Val!$A$2:$A$3,0)),0,1))</f>
        <v>#REF!</v>
      </c>
      <c r="AH545" s="26" t="e">
        <f ca="1">IF(Data!#REF!="","",IF(ISNUMBER(Data!#REF!),IF(AND(Data!#REF!&gt;(TODAY()-(Data_Val!$L$3*365.25)),Data!#REF!&lt;=(TODAY()-(Data_Val!$L$2*365.25))),0,1),1))</f>
        <v>#REF!</v>
      </c>
      <c r="AI545" s="12" t="e">
        <f>IF(Data!#REF!="","",IF(Data!$G545="",1,IF(ISNUMBER(MATCH(Data!#REF!,Data_Val!$D$2:$D$10,0)),0,1)))</f>
        <v>#REF!</v>
      </c>
      <c r="AJ545" s="17"/>
      <c r="AK545" s="17" t="e">
        <f>IF(Data!#REF!="","",IF(ISNUMBER(MATCH(Data!#REF!,Data_Val!$A$2:$A$3,0)),0,1))</f>
        <v>#REF!</v>
      </c>
      <c r="AL545" s="25" t="e">
        <f ca="1">IF(Data!#REF!="","",IF(ISNUMBER(Data!#REF!),IF(AND(Data!#REF!&gt;(TODAY()-(Data_Val!$L$3*365.25)),Data!#REF!&lt;=(TODAY()-(Data_Val!$L$2*365.25))),0,1),1))</f>
        <v>#REF!</v>
      </c>
      <c r="AM545" s="17" t="e">
        <f>IF(Data!#REF!="","",IF(Data!$G545="",1,IF(ISNUMBER(MATCH(Data!#REF!,Data_Val!$D$2:$D$10,0)),0,1)))</f>
        <v>#REF!</v>
      </c>
      <c r="AN545" s="13"/>
      <c r="AO545" s="28" t="e">
        <f ca="1">IF(Data!#REF!="","",IF(ISNUMBER(Data!#REF!),IF(AND(Data!#REF!&gt;(TODAY()-(Data_Val!$I$3*365.25)),Data!#REF!&lt;=(TODAY()-(Data_Val!$I$2*365.25))),0,1),1))</f>
        <v>#REF!</v>
      </c>
      <c r="AP545" s="13" t="e">
        <f>IF(Data!#REF!="","",IF(Data!$G545="",1,IF(ISNUMBER(MATCH(Data!#REF!,Data_Val!$D$2:$D$10,0)),0,1)))</f>
        <v>#REF!</v>
      </c>
      <c r="AQ545" s="17"/>
      <c r="AR545" s="30" t="e">
        <f ca="1">IF(Data!#REF!="","",IF(ISNUMBER(Data!#REF!),IF(AND(Data!#REF!&gt;(TODAY()-(Data_Val!$I$3*365.25)),Data!#REF!&lt;=(TODAY()-(Data_Val!$I$2*365.25))),0,1),1))</f>
        <v>#REF!</v>
      </c>
      <c r="AS545" s="31" t="e">
        <f>IF(Data!#REF!="","",IF(Data!$G545="",1,IF(ISNUMBER(MATCH(Data!#REF!,Data_Val!$D$2:$D$10,0)),0,1)))</f>
        <v>#REF!</v>
      </c>
      <c r="AT545" s="11"/>
      <c r="AU545" s="11" t="e">
        <f ca="1">IF(Data!#REF!="","",IF(ISNUMBER(Data!#REF!),IF(AND(Data!#REF!&gt;(TODAY()-(Data_Val!$I$3*365.25)),Data!#REF!&lt;=(TODAY()-(Data_Val!$I$2*365.25))),0,1),1))</f>
        <v>#REF!</v>
      </c>
      <c r="AV545" s="11" t="e">
        <f>IF(Data!#REF!="","",IF(Data!$G545="",1,IF(ISNUMBER(MATCH(Data!#REF!,Data_Val!$D$2:$D$10,0)),0,1)))</f>
        <v>#REF!</v>
      </c>
      <c r="AW545" s="12"/>
      <c r="AX545" s="26" t="e">
        <f ca="1">IF(Data!#REF!="","",IF(ISNUMBER(Data!#REF!),IF(AND(Data!#REF!&gt;(TODAY()-(Data_Val!$I$3*365.25)),Data!#REF!&lt;=(TODAY()-(Data_Val!$I$2*365.25))),0,1),1))</f>
        <v>#REF!</v>
      </c>
      <c r="AY545" s="12" t="e">
        <f>IF(Data!#REF!="","",IF(Data!$G545="",1,IF(ISNUMBER(MATCH(Data!#REF!,Data_Val!$D$2:$D$10,0)),0,1)))</f>
        <v>#REF!</v>
      </c>
      <c r="AZ545" s="11"/>
      <c r="BA545" s="19" t="e">
        <f ca="1">IF(Data!#REF!="","",IF(ISNUMBER(Data!#REF!),IF(AND(Data!#REF!&gt;(TODAY()-(Data_Val!$M$3*365.25)),Data!#REF!&lt;=(TODAY()-(Data_Val!$M$2*365.25))),0,1),1))</f>
        <v>#REF!</v>
      </c>
      <c r="BB545" s="11" t="e">
        <f>IF(Data!#REF!="","",IF(Data!$G545="",1,IF(ISNUMBER(MATCH(Data!#REF!,Data_Val!$D$2:$D$10,0)),0,1)))</f>
        <v>#REF!</v>
      </c>
      <c r="BC545" s="12"/>
      <c r="BD545" s="20" t="e">
        <f ca="1">IF(Data!#REF!="","",IF(ISNUMBER(Data!#REF!),IF(AND(Data!#REF!&gt;(TODAY()-(Data_Val!$M$3*365.25)),Data!#REF!&lt;=(TODAY()-(Data_Val!$M$2*365.25))),0,1),1))</f>
        <v>#REF!</v>
      </c>
      <c r="BE545" s="12" t="e">
        <f>IF(Data!#REF!="","",IF(Data!$G545="",1,IF(ISNUMBER(MATCH(Data!#REF!,Data_Val!$D$2:$D$10,0)),0,1)))</f>
        <v>#REF!</v>
      </c>
      <c r="BF545" s="17"/>
      <c r="BG545" s="18" t="e">
        <f ca="1">IF(Data!#REF!="","",IF(ISNUMBER(Data!#REF!),IF(AND(Data!#REF!&gt;(TODAY()-(Data_Val!$M$3*365.25)),Data!#REF!&lt;=(TODAY()-(Data_Val!$M$2*365.25))),0,1),1))</f>
        <v>#REF!</v>
      </c>
      <c r="BH545" s="29" t="e">
        <f>IF(Data!#REF!="","",IF(Data!$G545="",1,IF(ISNUMBER(MATCH(Data!#REF!,Data_Val!$D$2:$D$10,0)),0,1)))</f>
        <v>#REF!</v>
      </c>
      <c r="BI545" s="13"/>
      <c r="BJ545" s="21" t="e">
        <f ca="1">IF(Data!#REF!="","",IF(ISNUMBER(Data!#REF!),IF(AND(Data!#REF!&gt;(TODAY()-(Data_Val!$M$3*365.25)),Data!#REF!&lt;=(TODAY()-(Data_Val!$M$2*365.25))),0,1),1))</f>
        <v>#REF!</v>
      </c>
      <c r="BK545" s="13" t="e">
        <f>IF(Data!#REF!="","",IF(Data!$G545="",1,IF(ISNUMBER(MATCH(Data!#REF!,Data_Val!$D$2:$D$10,0)),0,1)))</f>
        <v>#REF!</v>
      </c>
    </row>
    <row r="546" spans="1:63" x14ac:dyDescent="0.25">
      <c r="A546" s="9" t="str">
        <f>IF(Data!B546="","",IF(COUNTIFS(Data!A$1:'Data'!A546,Data!A546)&lt;=1,0,1))</f>
        <v/>
      </c>
      <c r="B546" s="9"/>
      <c r="C546" s="23" t="str">
        <f>IF(Data!C546="","",(IF(ISNUMBER(MATCH("*@*.?*",Data!C546,0)),0,1)+IF(COUNTIFS(Data!C$1:'Data'!C546,Data!C546)&gt;1,1,0)))</f>
        <v/>
      </c>
      <c r="D546" s="9" t="str">
        <f>IF(Data!B546="","",IF(ISNUMBER(Data!D546),IF(AND(Data!D546&gt;999999999,Data!D546&lt;=9999999999),IF(COUNTIFS(Data!D$1:'Data'!D546,Data!D546)&lt;=1,0,1),1),1))</f>
        <v/>
      </c>
      <c r="E546" s="9" t="str">
        <f>IF(Data!B546="","",IF(ISNUMBER(MATCH(Data!E546,Data_Val!$A$2:$A$3,0)),0,1))</f>
        <v/>
      </c>
      <c r="F546" s="9" t="str">
        <f ca="1">IF(Data!B546="","",IF(ISNUMBER(Data!F546),IF(AND(Data!F546&gt;(TODAY()-(Data_Val!$H$3*365.25)),Data!F546&lt;=(TODAY()-(Data_Val!$H$2*365.25))),0,1),1))</f>
        <v/>
      </c>
      <c r="G546" s="15" t="str">
        <f>IF(Data!B546="","",IF(AND(Data!G546="",Data!H546&lt;&gt;""),1,IF(Data!#REF!&lt;&gt;"",0,IF(ISNUMBER(MATCH(Data!G546,Data_Val!$C$2:$C$5,0)),0,1))))</f>
        <v/>
      </c>
      <c r="H546" s="15" t="str">
        <f>IF(Data!B546="","",IF(AND(Data!G546&lt;&gt;"",Data!H546=""),1,IF(Data!#REF!&lt;&gt;"",0,IF(Data!G546="",1,IF(ISNUMBER(MATCH(Data!H546,Data_Val!$D$2:$D$35,0)),0,1)))))</f>
        <v/>
      </c>
      <c r="I546" s="15" t="str">
        <f>IF(Data!B546="","",IF(Data!G546&lt;&gt;"",0,IF(ISNUMBER(MATCH(Data!#REF!,Data_Val!$E$2:$E$12,0)),0,1)))</f>
        <v/>
      </c>
      <c r="J546" s="16" t="e">
        <f>IF(OR(Data!B546="",Data!#REF!=""),"",IF(Data!#REF!="",1,0))</f>
        <v>#REF!</v>
      </c>
      <c r="K546" s="16" t="e">
        <f>IF(OR(Data!B546="",Data!#REF!=""),"",IF(Data!#REF!="",1,0))</f>
        <v>#REF!</v>
      </c>
      <c r="L546" s="16" t="e">
        <f>IF(OR(Data!B546="",Data!#REF!=""),"",IF(ISNUMBER(Data!#REF!),IF(AND(Data!#REF!&gt;Data_Val!$G$2,Data!#REF!&lt;=Data_Val!$G$3),0,1),1))</f>
        <v>#REF!</v>
      </c>
      <c r="M546" s="9" t="e">
        <f>IF(OR(Data!B546="",Data!#REF!=""),"",IF(ISNUMBER(MATCH(Data!#REF!,Data_Val!$F$1:$F$38,0)),0,1))</f>
        <v>#REF!</v>
      </c>
      <c r="N546" s="9" t="e">
        <f>IF(OR(Data!B546="",Data!#REF!=""),"",IF(Data!#REF!="",1,0))</f>
        <v>#REF!</v>
      </c>
      <c r="O546" s="17" t="e">
        <f>IF(Data!#REF!="","",IF(Data!#REF!="",1,0))</f>
        <v>#REF!</v>
      </c>
      <c r="P546" s="17" t="e">
        <f>IF(Data!#REF!="","",IF(ISNUMBER(MATCH(Data!#REF!,Data_Val!$A$2:$A$3,0)),0,1))</f>
        <v>#REF!</v>
      </c>
      <c r="Q546" s="25" t="e">
        <f ca="1">IF(Data!#REF!="","",IF(ISNUMBER(Data!#REF!),IF(AND(Data!#REF!&gt;(TODAY()-(Data_Val!$J$3*365.25)),Data!#REF!&lt;=(TODAY()-(Data_Val!$J$2*365.25))),0,1),1))</f>
        <v>#REF!</v>
      </c>
      <c r="R546" s="17" t="e">
        <f>IF(Data!#REF!="","",IF(ISNUMBER(MATCH(Data!#REF!,Data_Val!$B$2:$B$15,0)),0,1))</f>
        <v>#REF!</v>
      </c>
      <c r="S546" s="11" t="str">
        <f>IF(Data!G546="","",IF(Data!G546=Data_Val!$C$2,IF(Data!M546="",0,1),0))</f>
        <v/>
      </c>
      <c r="T546" s="11" t="str">
        <f>IF(Data!M546="","",IF(ISNUMBER(MATCH(Data!N546,Data_Val!$A$2:$A$3,0)),0,1))</f>
        <v/>
      </c>
      <c r="U546" s="11" t="str">
        <f ca="1">IF(Data!M546="","",IF(ISNUMBER(Data!O546),IF(AND(Data!O546&gt;(TODAY()-(Data_Val!$K$3*365.25)),Data!O546&lt;=(TODAY()-(Data_Val!$K$2*365.25))),0,1),1))</f>
        <v/>
      </c>
      <c r="V546" s="12" t="str">
        <f>IF(Data!G546="","",IF(Data!G546=Data_Val!$C$2,IF(Data!P546="",0,1),0))</f>
        <v/>
      </c>
      <c r="W546" s="12" t="str">
        <f>IF(Data!P546="","",IF(ISNUMBER(MATCH(Data!Q546,Data_Val!$A$2:$A$3,0)),0,1))</f>
        <v/>
      </c>
      <c r="X546" s="26" t="str">
        <f ca="1">IF(Data!P546="","",IF(ISNUMBER(Data!R546),IF(AND(Data!R546&gt;(TODAY()-(Data_Val!$L$3*365.25)),Data!R546&lt;=(TODAY()-(Data_Val!$L$2*365.25))),0,1),1))</f>
        <v/>
      </c>
      <c r="Y546" s="13" t="str">
        <f>IF(Data!$G546="","",IF(Data!$G546=Data_Val!$C$2,IF(Data!S546="",0,1),0))</f>
        <v/>
      </c>
      <c r="Z546" s="13" t="str">
        <f>IF(Data!S546="","",IF(ISNUMBER(MATCH(Data!T546,Data_Val!$A$2:$A$3,0)),0,1))</f>
        <v/>
      </c>
      <c r="AA546" s="28" t="str">
        <f ca="1">IF(Data!S546="","",IF(ISNUMBER(Data!U546),IF(AND(Data!U546&gt;(TODAY()-(Data_Val!$L$3*365.25)),Data!U546&lt;=(TODAY()-(Data_Val!$L$2*365.25))),0,1),1))</f>
        <v/>
      </c>
      <c r="AB546" s="11"/>
      <c r="AC546" s="11" t="e">
        <f>IF(Data!#REF!="","",IF(ISNUMBER(MATCH(Data!#REF!,Data_Val!$A$2:$A$3,0)),0,1))</f>
        <v>#REF!</v>
      </c>
      <c r="AD546" s="11" t="e">
        <f ca="1">IF(Data!#REF!="","",IF(ISNUMBER(Data!#REF!),IF(AND(Data!#REF!&gt;(TODAY()-(Data_Val!$L$3*365.25)),Data!#REF!&lt;=(TODAY()-(Data_Val!$L$2*365.25))),0,1),1))</f>
        <v>#REF!</v>
      </c>
      <c r="AE546" s="11" t="e">
        <f>IF(Data!#REF!="","",IF(Data!$G546="",1,IF(ISNUMBER(MATCH(Data!#REF!,Data_Val!$D$2:$D$10,0)),0,1)))</f>
        <v>#REF!</v>
      </c>
      <c r="AF546" s="12"/>
      <c r="AG546" s="12" t="e">
        <f>IF(Data!#REF!="","",IF(ISNUMBER(MATCH(Data!#REF!,Data_Val!$A$2:$A$3,0)),0,1))</f>
        <v>#REF!</v>
      </c>
      <c r="AH546" s="26" t="e">
        <f ca="1">IF(Data!#REF!="","",IF(ISNUMBER(Data!#REF!),IF(AND(Data!#REF!&gt;(TODAY()-(Data_Val!$L$3*365.25)),Data!#REF!&lt;=(TODAY()-(Data_Val!$L$2*365.25))),0,1),1))</f>
        <v>#REF!</v>
      </c>
      <c r="AI546" s="12" t="e">
        <f>IF(Data!#REF!="","",IF(Data!$G546="",1,IF(ISNUMBER(MATCH(Data!#REF!,Data_Val!$D$2:$D$10,0)),0,1)))</f>
        <v>#REF!</v>
      </c>
      <c r="AJ546" s="17"/>
      <c r="AK546" s="17" t="e">
        <f>IF(Data!#REF!="","",IF(ISNUMBER(MATCH(Data!#REF!,Data_Val!$A$2:$A$3,0)),0,1))</f>
        <v>#REF!</v>
      </c>
      <c r="AL546" s="25" t="e">
        <f ca="1">IF(Data!#REF!="","",IF(ISNUMBER(Data!#REF!),IF(AND(Data!#REF!&gt;(TODAY()-(Data_Val!$L$3*365.25)),Data!#REF!&lt;=(TODAY()-(Data_Val!$L$2*365.25))),0,1),1))</f>
        <v>#REF!</v>
      </c>
      <c r="AM546" s="17" t="e">
        <f>IF(Data!#REF!="","",IF(Data!$G546="",1,IF(ISNUMBER(MATCH(Data!#REF!,Data_Val!$D$2:$D$10,0)),0,1)))</f>
        <v>#REF!</v>
      </c>
      <c r="AN546" s="13"/>
      <c r="AO546" s="28" t="e">
        <f ca="1">IF(Data!#REF!="","",IF(ISNUMBER(Data!#REF!),IF(AND(Data!#REF!&gt;(TODAY()-(Data_Val!$I$3*365.25)),Data!#REF!&lt;=(TODAY()-(Data_Val!$I$2*365.25))),0,1),1))</f>
        <v>#REF!</v>
      </c>
      <c r="AP546" s="13" t="e">
        <f>IF(Data!#REF!="","",IF(Data!$G546="",1,IF(ISNUMBER(MATCH(Data!#REF!,Data_Val!$D$2:$D$10,0)),0,1)))</f>
        <v>#REF!</v>
      </c>
      <c r="AQ546" s="17"/>
      <c r="AR546" s="30" t="e">
        <f ca="1">IF(Data!#REF!="","",IF(ISNUMBER(Data!#REF!),IF(AND(Data!#REF!&gt;(TODAY()-(Data_Val!$I$3*365.25)),Data!#REF!&lt;=(TODAY()-(Data_Val!$I$2*365.25))),0,1),1))</f>
        <v>#REF!</v>
      </c>
      <c r="AS546" s="31" t="e">
        <f>IF(Data!#REF!="","",IF(Data!$G546="",1,IF(ISNUMBER(MATCH(Data!#REF!,Data_Val!$D$2:$D$10,0)),0,1)))</f>
        <v>#REF!</v>
      </c>
      <c r="AT546" s="11"/>
      <c r="AU546" s="11" t="e">
        <f ca="1">IF(Data!#REF!="","",IF(ISNUMBER(Data!#REF!),IF(AND(Data!#REF!&gt;(TODAY()-(Data_Val!$I$3*365.25)),Data!#REF!&lt;=(TODAY()-(Data_Val!$I$2*365.25))),0,1),1))</f>
        <v>#REF!</v>
      </c>
      <c r="AV546" s="11" t="e">
        <f>IF(Data!#REF!="","",IF(Data!$G546="",1,IF(ISNUMBER(MATCH(Data!#REF!,Data_Val!$D$2:$D$10,0)),0,1)))</f>
        <v>#REF!</v>
      </c>
      <c r="AW546" s="12"/>
      <c r="AX546" s="26" t="e">
        <f ca="1">IF(Data!#REF!="","",IF(ISNUMBER(Data!#REF!),IF(AND(Data!#REF!&gt;(TODAY()-(Data_Val!$I$3*365.25)),Data!#REF!&lt;=(TODAY()-(Data_Val!$I$2*365.25))),0,1),1))</f>
        <v>#REF!</v>
      </c>
      <c r="AY546" s="12" t="e">
        <f>IF(Data!#REF!="","",IF(Data!$G546="",1,IF(ISNUMBER(MATCH(Data!#REF!,Data_Val!$D$2:$D$10,0)),0,1)))</f>
        <v>#REF!</v>
      </c>
      <c r="AZ546" s="11"/>
      <c r="BA546" s="19" t="e">
        <f ca="1">IF(Data!#REF!="","",IF(ISNUMBER(Data!#REF!),IF(AND(Data!#REF!&gt;(TODAY()-(Data_Val!$M$3*365.25)),Data!#REF!&lt;=(TODAY()-(Data_Val!$M$2*365.25))),0,1),1))</f>
        <v>#REF!</v>
      </c>
      <c r="BB546" s="11" t="e">
        <f>IF(Data!#REF!="","",IF(Data!$G546="",1,IF(ISNUMBER(MATCH(Data!#REF!,Data_Val!$D$2:$D$10,0)),0,1)))</f>
        <v>#REF!</v>
      </c>
      <c r="BC546" s="12"/>
      <c r="BD546" s="20" t="e">
        <f ca="1">IF(Data!#REF!="","",IF(ISNUMBER(Data!#REF!),IF(AND(Data!#REF!&gt;(TODAY()-(Data_Val!$M$3*365.25)),Data!#REF!&lt;=(TODAY()-(Data_Val!$M$2*365.25))),0,1),1))</f>
        <v>#REF!</v>
      </c>
      <c r="BE546" s="12" t="e">
        <f>IF(Data!#REF!="","",IF(Data!$G546="",1,IF(ISNUMBER(MATCH(Data!#REF!,Data_Val!$D$2:$D$10,0)),0,1)))</f>
        <v>#REF!</v>
      </c>
      <c r="BF546" s="17"/>
      <c r="BG546" s="18" t="e">
        <f ca="1">IF(Data!#REF!="","",IF(ISNUMBER(Data!#REF!),IF(AND(Data!#REF!&gt;(TODAY()-(Data_Val!$M$3*365.25)),Data!#REF!&lt;=(TODAY()-(Data_Val!$M$2*365.25))),0,1),1))</f>
        <v>#REF!</v>
      </c>
      <c r="BH546" s="29" t="e">
        <f>IF(Data!#REF!="","",IF(Data!$G546="",1,IF(ISNUMBER(MATCH(Data!#REF!,Data_Val!$D$2:$D$10,0)),0,1)))</f>
        <v>#REF!</v>
      </c>
      <c r="BI546" s="13"/>
      <c r="BJ546" s="21" t="e">
        <f ca="1">IF(Data!#REF!="","",IF(ISNUMBER(Data!#REF!),IF(AND(Data!#REF!&gt;(TODAY()-(Data_Val!$M$3*365.25)),Data!#REF!&lt;=(TODAY()-(Data_Val!$M$2*365.25))),0,1),1))</f>
        <v>#REF!</v>
      </c>
      <c r="BK546" s="13" t="e">
        <f>IF(Data!#REF!="","",IF(Data!$G546="",1,IF(ISNUMBER(MATCH(Data!#REF!,Data_Val!$D$2:$D$10,0)),0,1)))</f>
        <v>#REF!</v>
      </c>
    </row>
    <row r="547" spans="1:63" x14ac:dyDescent="0.25">
      <c r="A547" s="9" t="str">
        <f>IF(Data!B547="","",IF(COUNTIFS(Data!A$1:'Data'!A547,Data!A547)&lt;=1,0,1))</f>
        <v/>
      </c>
      <c r="B547" s="9"/>
      <c r="C547" s="23" t="str">
        <f>IF(Data!C547="","",(IF(ISNUMBER(MATCH("*@*.?*",Data!C547,0)),0,1)+IF(COUNTIFS(Data!C$1:'Data'!C547,Data!C547)&gt;1,1,0)))</f>
        <v/>
      </c>
      <c r="D547" s="9" t="str">
        <f>IF(Data!B547="","",IF(ISNUMBER(Data!D547),IF(AND(Data!D547&gt;999999999,Data!D547&lt;=9999999999),IF(COUNTIFS(Data!D$1:'Data'!D547,Data!D547)&lt;=1,0,1),1),1))</f>
        <v/>
      </c>
      <c r="E547" s="9" t="str">
        <f>IF(Data!B547="","",IF(ISNUMBER(MATCH(Data!E547,Data_Val!$A$2:$A$3,0)),0,1))</f>
        <v/>
      </c>
      <c r="F547" s="9" t="str">
        <f ca="1">IF(Data!B547="","",IF(ISNUMBER(Data!F547),IF(AND(Data!F547&gt;(TODAY()-(Data_Val!$H$3*365.25)),Data!F547&lt;=(TODAY()-(Data_Val!$H$2*365.25))),0,1),1))</f>
        <v/>
      </c>
      <c r="G547" s="15" t="str">
        <f>IF(Data!B547="","",IF(AND(Data!G547="",Data!H547&lt;&gt;""),1,IF(Data!#REF!&lt;&gt;"",0,IF(ISNUMBER(MATCH(Data!G547,Data_Val!$C$2:$C$5,0)),0,1))))</f>
        <v/>
      </c>
      <c r="H547" s="15" t="str">
        <f>IF(Data!B547="","",IF(AND(Data!G547&lt;&gt;"",Data!H547=""),1,IF(Data!#REF!&lt;&gt;"",0,IF(Data!G547="",1,IF(ISNUMBER(MATCH(Data!H547,Data_Val!$D$2:$D$35,0)),0,1)))))</f>
        <v/>
      </c>
      <c r="I547" s="15" t="str">
        <f>IF(Data!B547="","",IF(Data!G547&lt;&gt;"",0,IF(ISNUMBER(MATCH(Data!#REF!,Data_Val!$E$2:$E$12,0)),0,1)))</f>
        <v/>
      </c>
      <c r="J547" s="16" t="e">
        <f>IF(OR(Data!B547="",Data!#REF!=""),"",IF(Data!#REF!="",1,0))</f>
        <v>#REF!</v>
      </c>
      <c r="K547" s="16" t="e">
        <f>IF(OR(Data!B547="",Data!#REF!=""),"",IF(Data!#REF!="",1,0))</f>
        <v>#REF!</v>
      </c>
      <c r="L547" s="16" t="e">
        <f>IF(OR(Data!B547="",Data!#REF!=""),"",IF(ISNUMBER(Data!#REF!),IF(AND(Data!#REF!&gt;Data_Val!$G$2,Data!#REF!&lt;=Data_Val!$G$3),0,1),1))</f>
        <v>#REF!</v>
      </c>
      <c r="M547" s="9" t="e">
        <f>IF(OR(Data!B547="",Data!#REF!=""),"",IF(ISNUMBER(MATCH(Data!#REF!,Data_Val!$F$1:$F$38,0)),0,1))</f>
        <v>#REF!</v>
      </c>
      <c r="N547" s="9" t="e">
        <f>IF(OR(Data!B547="",Data!#REF!=""),"",IF(Data!#REF!="",1,0))</f>
        <v>#REF!</v>
      </c>
      <c r="O547" s="17" t="e">
        <f>IF(Data!#REF!="","",IF(Data!#REF!="",1,0))</f>
        <v>#REF!</v>
      </c>
      <c r="P547" s="17" t="e">
        <f>IF(Data!#REF!="","",IF(ISNUMBER(MATCH(Data!#REF!,Data_Val!$A$2:$A$3,0)),0,1))</f>
        <v>#REF!</v>
      </c>
      <c r="Q547" s="25" t="e">
        <f ca="1">IF(Data!#REF!="","",IF(ISNUMBER(Data!#REF!),IF(AND(Data!#REF!&gt;(TODAY()-(Data_Val!$J$3*365.25)),Data!#REF!&lt;=(TODAY()-(Data_Val!$J$2*365.25))),0,1),1))</f>
        <v>#REF!</v>
      </c>
      <c r="R547" s="17" t="e">
        <f>IF(Data!#REF!="","",IF(ISNUMBER(MATCH(Data!#REF!,Data_Val!$B$2:$B$15,0)),0,1))</f>
        <v>#REF!</v>
      </c>
      <c r="S547" s="11" t="str">
        <f>IF(Data!G547="","",IF(Data!G547=Data_Val!$C$2,IF(Data!M547="",0,1),0))</f>
        <v/>
      </c>
      <c r="T547" s="11" t="str">
        <f>IF(Data!M547="","",IF(ISNUMBER(MATCH(Data!N547,Data_Val!$A$2:$A$3,0)),0,1))</f>
        <v/>
      </c>
      <c r="U547" s="11" t="str">
        <f ca="1">IF(Data!M547="","",IF(ISNUMBER(Data!O547),IF(AND(Data!O547&gt;(TODAY()-(Data_Val!$K$3*365.25)),Data!O547&lt;=(TODAY()-(Data_Val!$K$2*365.25))),0,1),1))</f>
        <v/>
      </c>
      <c r="V547" s="12" t="str">
        <f>IF(Data!G547="","",IF(Data!G547=Data_Val!$C$2,IF(Data!P547="",0,1),0))</f>
        <v/>
      </c>
      <c r="W547" s="12" t="str">
        <f>IF(Data!P547="","",IF(ISNUMBER(MATCH(Data!Q547,Data_Val!$A$2:$A$3,0)),0,1))</f>
        <v/>
      </c>
      <c r="X547" s="26" t="str">
        <f ca="1">IF(Data!P547="","",IF(ISNUMBER(Data!R547),IF(AND(Data!R547&gt;(TODAY()-(Data_Val!$L$3*365.25)),Data!R547&lt;=(TODAY()-(Data_Val!$L$2*365.25))),0,1),1))</f>
        <v/>
      </c>
      <c r="Y547" s="13" t="str">
        <f>IF(Data!$G547="","",IF(Data!$G547=Data_Val!$C$2,IF(Data!S547="",0,1),0))</f>
        <v/>
      </c>
      <c r="Z547" s="13" t="str">
        <f>IF(Data!S547="","",IF(ISNUMBER(MATCH(Data!T547,Data_Val!$A$2:$A$3,0)),0,1))</f>
        <v/>
      </c>
      <c r="AA547" s="28" t="str">
        <f ca="1">IF(Data!S547="","",IF(ISNUMBER(Data!U547),IF(AND(Data!U547&gt;(TODAY()-(Data_Val!$L$3*365.25)),Data!U547&lt;=(TODAY()-(Data_Val!$L$2*365.25))),0,1),1))</f>
        <v/>
      </c>
      <c r="AB547" s="11"/>
      <c r="AC547" s="11" t="e">
        <f>IF(Data!#REF!="","",IF(ISNUMBER(MATCH(Data!#REF!,Data_Val!$A$2:$A$3,0)),0,1))</f>
        <v>#REF!</v>
      </c>
      <c r="AD547" s="11" t="e">
        <f ca="1">IF(Data!#REF!="","",IF(ISNUMBER(Data!#REF!),IF(AND(Data!#REF!&gt;(TODAY()-(Data_Val!$L$3*365.25)),Data!#REF!&lt;=(TODAY()-(Data_Val!$L$2*365.25))),0,1),1))</f>
        <v>#REF!</v>
      </c>
      <c r="AE547" s="11" t="e">
        <f>IF(Data!#REF!="","",IF(Data!$G547="",1,IF(ISNUMBER(MATCH(Data!#REF!,Data_Val!$D$2:$D$10,0)),0,1)))</f>
        <v>#REF!</v>
      </c>
      <c r="AF547" s="12"/>
      <c r="AG547" s="12" t="e">
        <f>IF(Data!#REF!="","",IF(ISNUMBER(MATCH(Data!#REF!,Data_Val!$A$2:$A$3,0)),0,1))</f>
        <v>#REF!</v>
      </c>
      <c r="AH547" s="26" t="e">
        <f ca="1">IF(Data!#REF!="","",IF(ISNUMBER(Data!#REF!),IF(AND(Data!#REF!&gt;(TODAY()-(Data_Val!$L$3*365.25)),Data!#REF!&lt;=(TODAY()-(Data_Val!$L$2*365.25))),0,1),1))</f>
        <v>#REF!</v>
      </c>
      <c r="AI547" s="12" t="e">
        <f>IF(Data!#REF!="","",IF(Data!$G547="",1,IF(ISNUMBER(MATCH(Data!#REF!,Data_Val!$D$2:$D$10,0)),0,1)))</f>
        <v>#REF!</v>
      </c>
      <c r="AJ547" s="17"/>
      <c r="AK547" s="17" t="e">
        <f>IF(Data!#REF!="","",IF(ISNUMBER(MATCH(Data!#REF!,Data_Val!$A$2:$A$3,0)),0,1))</f>
        <v>#REF!</v>
      </c>
      <c r="AL547" s="25" t="e">
        <f ca="1">IF(Data!#REF!="","",IF(ISNUMBER(Data!#REF!),IF(AND(Data!#REF!&gt;(TODAY()-(Data_Val!$L$3*365.25)),Data!#REF!&lt;=(TODAY()-(Data_Val!$L$2*365.25))),0,1),1))</f>
        <v>#REF!</v>
      </c>
      <c r="AM547" s="17" t="e">
        <f>IF(Data!#REF!="","",IF(Data!$G547="",1,IF(ISNUMBER(MATCH(Data!#REF!,Data_Val!$D$2:$D$10,0)),0,1)))</f>
        <v>#REF!</v>
      </c>
      <c r="AN547" s="13"/>
      <c r="AO547" s="28" t="e">
        <f ca="1">IF(Data!#REF!="","",IF(ISNUMBER(Data!#REF!),IF(AND(Data!#REF!&gt;(TODAY()-(Data_Val!$I$3*365.25)),Data!#REF!&lt;=(TODAY()-(Data_Val!$I$2*365.25))),0,1),1))</f>
        <v>#REF!</v>
      </c>
      <c r="AP547" s="13" t="e">
        <f>IF(Data!#REF!="","",IF(Data!$G547="",1,IF(ISNUMBER(MATCH(Data!#REF!,Data_Val!$D$2:$D$10,0)),0,1)))</f>
        <v>#REF!</v>
      </c>
      <c r="AQ547" s="17"/>
      <c r="AR547" s="30" t="e">
        <f ca="1">IF(Data!#REF!="","",IF(ISNUMBER(Data!#REF!),IF(AND(Data!#REF!&gt;(TODAY()-(Data_Val!$I$3*365.25)),Data!#REF!&lt;=(TODAY()-(Data_Val!$I$2*365.25))),0,1),1))</f>
        <v>#REF!</v>
      </c>
      <c r="AS547" s="31" t="e">
        <f>IF(Data!#REF!="","",IF(Data!$G547="",1,IF(ISNUMBER(MATCH(Data!#REF!,Data_Val!$D$2:$D$10,0)),0,1)))</f>
        <v>#REF!</v>
      </c>
      <c r="AT547" s="11"/>
      <c r="AU547" s="11" t="e">
        <f ca="1">IF(Data!#REF!="","",IF(ISNUMBER(Data!#REF!),IF(AND(Data!#REF!&gt;(TODAY()-(Data_Val!$I$3*365.25)),Data!#REF!&lt;=(TODAY()-(Data_Val!$I$2*365.25))),0,1),1))</f>
        <v>#REF!</v>
      </c>
      <c r="AV547" s="11" t="e">
        <f>IF(Data!#REF!="","",IF(Data!$G547="",1,IF(ISNUMBER(MATCH(Data!#REF!,Data_Val!$D$2:$D$10,0)),0,1)))</f>
        <v>#REF!</v>
      </c>
      <c r="AW547" s="12"/>
      <c r="AX547" s="26" t="e">
        <f ca="1">IF(Data!#REF!="","",IF(ISNUMBER(Data!#REF!),IF(AND(Data!#REF!&gt;(TODAY()-(Data_Val!$I$3*365.25)),Data!#REF!&lt;=(TODAY()-(Data_Val!$I$2*365.25))),0,1),1))</f>
        <v>#REF!</v>
      </c>
      <c r="AY547" s="12" t="e">
        <f>IF(Data!#REF!="","",IF(Data!$G547="",1,IF(ISNUMBER(MATCH(Data!#REF!,Data_Val!$D$2:$D$10,0)),0,1)))</f>
        <v>#REF!</v>
      </c>
      <c r="AZ547" s="11"/>
      <c r="BA547" s="19" t="e">
        <f ca="1">IF(Data!#REF!="","",IF(ISNUMBER(Data!#REF!),IF(AND(Data!#REF!&gt;(TODAY()-(Data_Val!$M$3*365.25)),Data!#REF!&lt;=(TODAY()-(Data_Val!$M$2*365.25))),0,1),1))</f>
        <v>#REF!</v>
      </c>
      <c r="BB547" s="11" t="e">
        <f>IF(Data!#REF!="","",IF(Data!$G547="",1,IF(ISNUMBER(MATCH(Data!#REF!,Data_Val!$D$2:$D$10,0)),0,1)))</f>
        <v>#REF!</v>
      </c>
      <c r="BC547" s="12"/>
      <c r="BD547" s="20" t="e">
        <f ca="1">IF(Data!#REF!="","",IF(ISNUMBER(Data!#REF!),IF(AND(Data!#REF!&gt;(TODAY()-(Data_Val!$M$3*365.25)),Data!#REF!&lt;=(TODAY()-(Data_Val!$M$2*365.25))),0,1),1))</f>
        <v>#REF!</v>
      </c>
      <c r="BE547" s="12" t="e">
        <f>IF(Data!#REF!="","",IF(Data!$G547="",1,IF(ISNUMBER(MATCH(Data!#REF!,Data_Val!$D$2:$D$10,0)),0,1)))</f>
        <v>#REF!</v>
      </c>
      <c r="BF547" s="17"/>
      <c r="BG547" s="18" t="e">
        <f ca="1">IF(Data!#REF!="","",IF(ISNUMBER(Data!#REF!),IF(AND(Data!#REF!&gt;(TODAY()-(Data_Val!$M$3*365.25)),Data!#REF!&lt;=(TODAY()-(Data_Val!$M$2*365.25))),0,1),1))</f>
        <v>#REF!</v>
      </c>
      <c r="BH547" s="29" t="e">
        <f>IF(Data!#REF!="","",IF(Data!$G547="",1,IF(ISNUMBER(MATCH(Data!#REF!,Data_Val!$D$2:$D$10,0)),0,1)))</f>
        <v>#REF!</v>
      </c>
      <c r="BI547" s="13"/>
      <c r="BJ547" s="21" t="e">
        <f ca="1">IF(Data!#REF!="","",IF(ISNUMBER(Data!#REF!),IF(AND(Data!#REF!&gt;(TODAY()-(Data_Val!$M$3*365.25)),Data!#REF!&lt;=(TODAY()-(Data_Val!$M$2*365.25))),0,1),1))</f>
        <v>#REF!</v>
      </c>
      <c r="BK547" s="13" t="e">
        <f>IF(Data!#REF!="","",IF(Data!$G547="",1,IF(ISNUMBER(MATCH(Data!#REF!,Data_Val!$D$2:$D$10,0)),0,1)))</f>
        <v>#REF!</v>
      </c>
    </row>
    <row r="548" spans="1:63" x14ac:dyDescent="0.25">
      <c r="A548" s="9" t="str">
        <f>IF(Data!B548="","",IF(COUNTIFS(Data!A$1:'Data'!A548,Data!A548)&lt;=1,0,1))</f>
        <v/>
      </c>
      <c r="B548" s="9"/>
      <c r="C548" s="23" t="str">
        <f>IF(Data!C548="","",(IF(ISNUMBER(MATCH("*@*.?*",Data!C548,0)),0,1)+IF(COUNTIFS(Data!C$1:'Data'!C548,Data!C548)&gt;1,1,0)))</f>
        <v/>
      </c>
      <c r="D548" s="9" t="str">
        <f>IF(Data!B548="","",IF(ISNUMBER(Data!D548),IF(AND(Data!D548&gt;999999999,Data!D548&lt;=9999999999),IF(COUNTIFS(Data!D$1:'Data'!D548,Data!D548)&lt;=1,0,1),1),1))</f>
        <v/>
      </c>
      <c r="E548" s="9" t="str">
        <f>IF(Data!B548="","",IF(ISNUMBER(MATCH(Data!E548,Data_Val!$A$2:$A$3,0)),0,1))</f>
        <v/>
      </c>
      <c r="F548" s="9" t="str">
        <f ca="1">IF(Data!B548="","",IF(ISNUMBER(Data!F548),IF(AND(Data!F548&gt;(TODAY()-(Data_Val!$H$3*365.25)),Data!F548&lt;=(TODAY()-(Data_Val!$H$2*365.25))),0,1),1))</f>
        <v/>
      </c>
      <c r="G548" s="15" t="str">
        <f>IF(Data!B548="","",IF(AND(Data!G548="",Data!H548&lt;&gt;""),1,IF(Data!#REF!&lt;&gt;"",0,IF(ISNUMBER(MATCH(Data!G548,Data_Val!$C$2:$C$5,0)),0,1))))</f>
        <v/>
      </c>
      <c r="H548" s="15" t="str">
        <f>IF(Data!B548="","",IF(AND(Data!G548&lt;&gt;"",Data!H548=""),1,IF(Data!#REF!&lt;&gt;"",0,IF(Data!G548="",1,IF(ISNUMBER(MATCH(Data!H548,Data_Val!$D$2:$D$35,0)),0,1)))))</f>
        <v/>
      </c>
      <c r="I548" s="15" t="str">
        <f>IF(Data!B548="","",IF(Data!G548&lt;&gt;"",0,IF(ISNUMBER(MATCH(Data!#REF!,Data_Val!$E$2:$E$12,0)),0,1)))</f>
        <v/>
      </c>
      <c r="J548" s="16" t="e">
        <f>IF(OR(Data!B548="",Data!#REF!=""),"",IF(Data!#REF!="",1,0))</f>
        <v>#REF!</v>
      </c>
      <c r="K548" s="16" t="e">
        <f>IF(OR(Data!B548="",Data!#REF!=""),"",IF(Data!#REF!="",1,0))</f>
        <v>#REF!</v>
      </c>
      <c r="L548" s="16" t="e">
        <f>IF(OR(Data!B548="",Data!#REF!=""),"",IF(ISNUMBER(Data!#REF!),IF(AND(Data!#REF!&gt;Data_Val!$G$2,Data!#REF!&lt;=Data_Val!$G$3),0,1),1))</f>
        <v>#REF!</v>
      </c>
      <c r="M548" s="9" t="e">
        <f>IF(OR(Data!B548="",Data!#REF!=""),"",IF(ISNUMBER(MATCH(Data!#REF!,Data_Val!$F$1:$F$38,0)),0,1))</f>
        <v>#REF!</v>
      </c>
      <c r="N548" s="9" t="e">
        <f>IF(OR(Data!B548="",Data!#REF!=""),"",IF(Data!#REF!="",1,0))</f>
        <v>#REF!</v>
      </c>
      <c r="O548" s="17" t="e">
        <f>IF(Data!#REF!="","",IF(Data!#REF!="",1,0))</f>
        <v>#REF!</v>
      </c>
      <c r="P548" s="17" t="e">
        <f>IF(Data!#REF!="","",IF(ISNUMBER(MATCH(Data!#REF!,Data_Val!$A$2:$A$3,0)),0,1))</f>
        <v>#REF!</v>
      </c>
      <c r="Q548" s="25" t="e">
        <f ca="1">IF(Data!#REF!="","",IF(ISNUMBER(Data!#REF!),IF(AND(Data!#REF!&gt;(TODAY()-(Data_Val!$J$3*365.25)),Data!#REF!&lt;=(TODAY()-(Data_Val!$J$2*365.25))),0,1),1))</f>
        <v>#REF!</v>
      </c>
      <c r="R548" s="17" t="e">
        <f>IF(Data!#REF!="","",IF(ISNUMBER(MATCH(Data!#REF!,Data_Val!$B$2:$B$15,0)),0,1))</f>
        <v>#REF!</v>
      </c>
      <c r="S548" s="11" t="str">
        <f>IF(Data!G548="","",IF(Data!G548=Data_Val!$C$2,IF(Data!M548="",0,1),0))</f>
        <v/>
      </c>
      <c r="T548" s="11" t="str">
        <f>IF(Data!M548="","",IF(ISNUMBER(MATCH(Data!N548,Data_Val!$A$2:$A$3,0)),0,1))</f>
        <v/>
      </c>
      <c r="U548" s="11" t="str">
        <f ca="1">IF(Data!M548="","",IF(ISNUMBER(Data!O548),IF(AND(Data!O548&gt;(TODAY()-(Data_Val!$K$3*365.25)),Data!O548&lt;=(TODAY()-(Data_Val!$K$2*365.25))),0,1),1))</f>
        <v/>
      </c>
      <c r="V548" s="12" t="str">
        <f>IF(Data!G548="","",IF(Data!G548=Data_Val!$C$2,IF(Data!P548="",0,1),0))</f>
        <v/>
      </c>
      <c r="W548" s="12" t="str">
        <f>IF(Data!P548="","",IF(ISNUMBER(MATCH(Data!Q548,Data_Val!$A$2:$A$3,0)),0,1))</f>
        <v/>
      </c>
      <c r="X548" s="26" t="str">
        <f ca="1">IF(Data!P548="","",IF(ISNUMBER(Data!R548),IF(AND(Data!R548&gt;(TODAY()-(Data_Val!$L$3*365.25)),Data!R548&lt;=(TODAY()-(Data_Val!$L$2*365.25))),0,1),1))</f>
        <v/>
      </c>
      <c r="Y548" s="13" t="str">
        <f>IF(Data!$G548="","",IF(Data!$G548=Data_Val!$C$2,IF(Data!S548="",0,1),0))</f>
        <v/>
      </c>
      <c r="Z548" s="13" t="str">
        <f>IF(Data!S548="","",IF(ISNUMBER(MATCH(Data!T548,Data_Val!$A$2:$A$3,0)),0,1))</f>
        <v/>
      </c>
      <c r="AA548" s="28" t="str">
        <f ca="1">IF(Data!S548="","",IF(ISNUMBER(Data!U548),IF(AND(Data!U548&gt;(TODAY()-(Data_Val!$L$3*365.25)),Data!U548&lt;=(TODAY()-(Data_Val!$L$2*365.25))),0,1),1))</f>
        <v/>
      </c>
      <c r="AB548" s="11"/>
      <c r="AC548" s="11" t="e">
        <f>IF(Data!#REF!="","",IF(ISNUMBER(MATCH(Data!#REF!,Data_Val!$A$2:$A$3,0)),0,1))</f>
        <v>#REF!</v>
      </c>
      <c r="AD548" s="11" t="e">
        <f ca="1">IF(Data!#REF!="","",IF(ISNUMBER(Data!#REF!),IF(AND(Data!#REF!&gt;(TODAY()-(Data_Val!$L$3*365.25)),Data!#REF!&lt;=(TODAY()-(Data_Val!$L$2*365.25))),0,1),1))</f>
        <v>#REF!</v>
      </c>
      <c r="AE548" s="11" t="e">
        <f>IF(Data!#REF!="","",IF(Data!$G548="",1,IF(ISNUMBER(MATCH(Data!#REF!,Data_Val!$D$2:$D$10,0)),0,1)))</f>
        <v>#REF!</v>
      </c>
      <c r="AF548" s="12"/>
      <c r="AG548" s="12" t="e">
        <f>IF(Data!#REF!="","",IF(ISNUMBER(MATCH(Data!#REF!,Data_Val!$A$2:$A$3,0)),0,1))</f>
        <v>#REF!</v>
      </c>
      <c r="AH548" s="26" t="e">
        <f ca="1">IF(Data!#REF!="","",IF(ISNUMBER(Data!#REF!),IF(AND(Data!#REF!&gt;(TODAY()-(Data_Val!$L$3*365.25)),Data!#REF!&lt;=(TODAY()-(Data_Val!$L$2*365.25))),0,1),1))</f>
        <v>#REF!</v>
      </c>
      <c r="AI548" s="12" t="e">
        <f>IF(Data!#REF!="","",IF(Data!$G548="",1,IF(ISNUMBER(MATCH(Data!#REF!,Data_Val!$D$2:$D$10,0)),0,1)))</f>
        <v>#REF!</v>
      </c>
      <c r="AJ548" s="17"/>
      <c r="AK548" s="17" t="e">
        <f>IF(Data!#REF!="","",IF(ISNUMBER(MATCH(Data!#REF!,Data_Val!$A$2:$A$3,0)),0,1))</f>
        <v>#REF!</v>
      </c>
      <c r="AL548" s="25" t="e">
        <f ca="1">IF(Data!#REF!="","",IF(ISNUMBER(Data!#REF!),IF(AND(Data!#REF!&gt;(TODAY()-(Data_Val!$L$3*365.25)),Data!#REF!&lt;=(TODAY()-(Data_Val!$L$2*365.25))),0,1),1))</f>
        <v>#REF!</v>
      </c>
      <c r="AM548" s="17" t="e">
        <f>IF(Data!#REF!="","",IF(Data!$G548="",1,IF(ISNUMBER(MATCH(Data!#REF!,Data_Val!$D$2:$D$10,0)),0,1)))</f>
        <v>#REF!</v>
      </c>
      <c r="AN548" s="13"/>
      <c r="AO548" s="28" t="e">
        <f ca="1">IF(Data!#REF!="","",IF(ISNUMBER(Data!#REF!),IF(AND(Data!#REF!&gt;(TODAY()-(Data_Val!$I$3*365.25)),Data!#REF!&lt;=(TODAY()-(Data_Val!$I$2*365.25))),0,1),1))</f>
        <v>#REF!</v>
      </c>
      <c r="AP548" s="13" t="e">
        <f>IF(Data!#REF!="","",IF(Data!$G548="",1,IF(ISNUMBER(MATCH(Data!#REF!,Data_Val!$D$2:$D$10,0)),0,1)))</f>
        <v>#REF!</v>
      </c>
      <c r="AQ548" s="17"/>
      <c r="AR548" s="30" t="e">
        <f ca="1">IF(Data!#REF!="","",IF(ISNUMBER(Data!#REF!),IF(AND(Data!#REF!&gt;(TODAY()-(Data_Val!$I$3*365.25)),Data!#REF!&lt;=(TODAY()-(Data_Val!$I$2*365.25))),0,1),1))</f>
        <v>#REF!</v>
      </c>
      <c r="AS548" s="31" t="e">
        <f>IF(Data!#REF!="","",IF(Data!$G548="",1,IF(ISNUMBER(MATCH(Data!#REF!,Data_Val!$D$2:$D$10,0)),0,1)))</f>
        <v>#REF!</v>
      </c>
      <c r="AT548" s="11"/>
      <c r="AU548" s="11" t="e">
        <f ca="1">IF(Data!#REF!="","",IF(ISNUMBER(Data!#REF!),IF(AND(Data!#REF!&gt;(TODAY()-(Data_Val!$I$3*365.25)),Data!#REF!&lt;=(TODAY()-(Data_Val!$I$2*365.25))),0,1),1))</f>
        <v>#REF!</v>
      </c>
      <c r="AV548" s="11" t="e">
        <f>IF(Data!#REF!="","",IF(Data!$G548="",1,IF(ISNUMBER(MATCH(Data!#REF!,Data_Val!$D$2:$D$10,0)),0,1)))</f>
        <v>#REF!</v>
      </c>
      <c r="AW548" s="12"/>
      <c r="AX548" s="26" t="e">
        <f ca="1">IF(Data!#REF!="","",IF(ISNUMBER(Data!#REF!),IF(AND(Data!#REF!&gt;(TODAY()-(Data_Val!$I$3*365.25)),Data!#REF!&lt;=(TODAY()-(Data_Val!$I$2*365.25))),0,1),1))</f>
        <v>#REF!</v>
      </c>
      <c r="AY548" s="12" t="e">
        <f>IF(Data!#REF!="","",IF(Data!$G548="",1,IF(ISNUMBER(MATCH(Data!#REF!,Data_Val!$D$2:$D$10,0)),0,1)))</f>
        <v>#REF!</v>
      </c>
      <c r="AZ548" s="11"/>
      <c r="BA548" s="19" t="e">
        <f ca="1">IF(Data!#REF!="","",IF(ISNUMBER(Data!#REF!),IF(AND(Data!#REF!&gt;(TODAY()-(Data_Val!$M$3*365.25)),Data!#REF!&lt;=(TODAY()-(Data_Val!$M$2*365.25))),0,1),1))</f>
        <v>#REF!</v>
      </c>
      <c r="BB548" s="11" t="e">
        <f>IF(Data!#REF!="","",IF(Data!$G548="",1,IF(ISNUMBER(MATCH(Data!#REF!,Data_Val!$D$2:$D$10,0)),0,1)))</f>
        <v>#REF!</v>
      </c>
      <c r="BC548" s="12"/>
      <c r="BD548" s="20" t="e">
        <f ca="1">IF(Data!#REF!="","",IF(ISNUMBER(Data!#REF!),IF(AND(Data!#REF!&gt;(TODAY()-(Data_Val!$M$3*365.25)),Data!#REF!&lt;=(TODAY()-(Data_Val!$M$2*365.25))),0,1),1))</f>
        <v>#REF!</v>
      </c>
      <c r="BE548" s="12" t="e">
        <f>IF(Data!#REF!="","",IF(Data!$G548="",1,IF(ISNUMBER(MATCH(Data!#REF!,Data_Val!$D$2:$D$10,0)),0,1)))</f>
        <v>#REF!</v>
      </c>
      <c r="BF548" s="17"/>
      <c r="BG548" s="18" t="e">
        <f ca="1">IF(Data!#REF!="","",IF(ISNUMBER(Data!#REF!),IF(AND(Data!#REF!&gt;(TODAY()-(Data_Val!$M$3*365.25)),Data!#REF!&lt;=(TODAY()-(Data_Val!$M$2*365.25))),0,1),1))</f>
        <v>#REF!</v>
      </c>
      <c r="BH548" s="29" t="e">
        <f>IF(Data!#REF!="","",IF(Data!$G548="",1,IF(ISNUMBER(MATCH(Data!#REF!,Data_Val!$D$2:$D$10,0)),0,1)))</f>
        <v>#REF!</v>
      </c>
      <c r="BI548" s="13"/>
      <c r="BJ548" s="21" t="e">
        <f ca="1">IF(Data!#REF!="","",IF(ISNUMBER(Data!#REF!),IF(AND(Data!#REF!&gt;(TODAY()-(Data_Val!$M$3*365.25)),Data!#REF!&lt;=(TODAY()-(Data_Val!$M$2*365.25))),0,1),1))</f>
        <v>#REF!</v>
      </c>
      <c r="BK548" s="13" t="e">
        <f>IF(Data!#REF!="","",IF(Data!$G548="",1,IF(ISNUMBER(MATCH(Data!#REF!,Data_Val!$D$2:$D$10,0)),0,1)))</f>
        <v>#REF!</v>
      </c>
    </row>
    <row r="549" spans="1:63" x14ac:dyDescent="0.25">
      <c r="A549" s="9" t="str">
        <f>IF(Data!B549="","",IF(COUNTIFS(Data!A$1:'Data'!A549,Data!A549)&lt;=1,0,1))</f>
        <v/>
      </c>
      <c r="B549" s="9"/>
      <c r="C549" s="23" t="str">
        <f>IF(Data!C549="","",(IF(ISNUMBER(MATCH("*@*.?*",Data!C549,0)),0,1)+IF(COUNTIFS(Data!C$1:'Data'!C549,Data!C549)&gt;1,1,0)))</f>
        <v/>
      </c>
      <c r="D549" s="9" t="str">
        <f>IF(Data!B549="","",IF(ISNUMBER(Data!D549),IF(AND(Data!D549&gt;999999999,Data!D549&lt;=9999999999),IF(COUNTIFS(Data!D$1:'Data'!D549,Data!D549)&lt;=1,0,1),1),1))</f>
        <v/>
      </c>
      <c r="E549" s="9" t="str">
        <f>IF(Data!B549="","",IF(ISNUMBER(MATCH(Data!E549,Data_Val!$A$2:$A$3,0)),0,1))</f>
        <v/>
      </c>
      <c r="F549" s="9" t="str">
        <f ca="1">IF(Data!B549="","",IF(ISNUMBER(Data!F549),IF(AND(Data!F549&gt;(TODAY()-(Data_Val!$H$3*365.25)),Data!F549&lt;=(TODAY()-(Data_Val!$H$2*365.25))),0,1),1))</f>
        <v/>
      </c>
      <c r="G549" s="15" t="str">
        <f>IF(Data!B549="","",IF(AND(Data!G549="",Data!H549&lt;&gt;""),1,IF(Data!#REF!&lt;&gt;"",0,IF(ISNUMBER(MATCH(Data!G549,Data_Val!$C$2:$C$5,0)),0,1))))</f>
        <v/>
      </c>
      <c r="H549" s="15" t="str">
        <f>IF(Data!B549="","",IF(AND(Data!G549&lt;&gt;"",Data!H549=""),1,IF(Data!#REF!&lt;&gt;"",0,IF(Data!G549="",1,IF(ISNUMBER(MATCH(Data!H549,Data_Val!$D$2:$D$35,0)),0,1)))))</f>
        <v/>
      </c>
      <c r="I549" s="15" t="str">
        <f>IF(Data!B549="","",IF(Data!G549&lt;&gt;"",0,IF(ISNUMBER(MATCH(Data!#REF!,Data_Val!$E$2:$E$12,0)),0,1)))</f>
        <v/>
      </c>
      <c r="J549" s="16" t="e">
        <f>IF(OR(Data!B549="",Data!#REF!=""),"",IF(Data!#REF!="",1,0))</f>
        <v>#REF!</v>
      </c>
      <c r="K549" s="16" t="e">
        <f>IF(OR(Data!B549="",Data!#REF!=""),"",IF(Data!#REF!="",1,0))</f>
        <v>#REF!</v>
      </c>
      <c r="L549" s="16" t="e">
        <f>IF(OR(Data!B549="",Data!#REF!=""),"",IF(ISNUMBER(Data!#REF!),IF(AND(Data!#REF!&gt;Data_Val!$G$2,Data!#REF!&lt;=Data_Val!$G$3),0,1),1))</f>
        <v>#REF!</v>
      </c>
      <c r="M549" s="9" t="e">
        <f>IF(OR(Data!B549="",Data!#REF!=""),"",IF(ISNUMBER(MATCH(Data!#REF!,Data_Val!$F$1:$F$38,0)),0,1))</f>
        <v>#REF!</v>
      </c>
      <c r="N549" s="9" t="e">
        <f>IF(OR(Data!B549="",Data!#REF!=""),"",IF(Data!#REF!="",1,0))</f>
        <v>#REF!</v>
      </c>
      <c r="O549" s="17" t="e">
        <f>IF(Data!#REF!="","",IF(Data!#REF!="",1,0))</f>
        <v>#REF!</v>
      </c>
      <c r="P549" s="17" t="e">
        <f>IF(Data!#REF!="","",IF(ISNUMBER(MATCH(Data!#REF!,Data_Val!$A$2:$A$3,0)),0,1))</f>
        <v>#REF!</v>
      </c>
      <c r="Q549" s="25" t="e">
        <f ca="1">IF(Data!#REF!="","",IF(ISNUMBER(Data!#REF!),IF(AND(Data!#REF!&gt;(TODAY()-(Data_Val!$J$3*365.25)),Data!#REF!&lt;=(TODAY()-(Data_Val!$J$2*365.25))),0,1),1))</f>
        <v>#REF!</v>
      </c>
      <c r="R549" s="17" t="e">
        <f>IF(Data!#REF!="","",IF(ISNUMBER(MATCH(Data!#REF!,Data_Val!$B$2:$B$15,0)),0,1))</f>
        <v>#REF!</v>
      </c>
      <c r="S549" s="11" t="str">
        <f>IF(Data!G549="","",IF(Data!G549=Data_Val!$C$2,IF(Data!M549="",0,1),0))</f>
        <v/>
      </c>
      <c r="T549" s="11" t="str">
        <f>IF(Data!M549="","",IF(ISNUMBER(MATCH(Data!N549,Data_Val!$A$2:$A$3,0)),0,1))</f>
        <v/>
      </c>
      <c r="U549" s="11" t="str">
        <f ca="1">IF(Data!M549="","",IF(ISNUMBER(Data!O549),IF(AND(Data!O549&gt;(TODAY()-(Data_Val!$K$3*365.25)),Data!O549&lt;=(TODAY()-(Data_Val!$K$2*365.25))),0,1),1))</f>
        <v/>
      </c>
      <c r="V549" s="12" t="str">
        <f>IF(Data!G549="","",IF(Data!G549=Data_Val!$C$2,IF(Data!P549="",0,1),0))</f>
        <v/>
      </c>
      <c r="W549" s="12" t="str">
        <f>IF(Data!P549="","",IF(ISNUMBER(MATCH(Data!Q549,Data_Val!$A$2:$A$3,0)),0,1))</f>
        <v/>
      </c>
      <c r="X549" s="26" t="str">
        <f ca="1">IF(Data!P549="","",IF(ISNUMBER(Data!R549),IF(AND(Data!R549&gt;(TODAY()-(Data_Val!$L$3*365.25)),Data!R549&lt;=(TODAY()-(Data_Val!$L$2*365.25))),0,1),1))</f>
        <v/>
      </c>
      <c r="Y549" s="13" t="str">
        <f>IF(Data!$G549="","",IF(Data!$G549=Data_Val!$C$2,IF(Data!S549="",0,1),0))</f>
        <v/>
      </c>
      <c r="Z549" s="13" t="str">
        <f>IF(Data!S549="","",IF(ISNUMBER(MATCH(Data!T549,Data_Val!$A$2:$A$3,0)),0,1))</f>
        <v/>
      </c>
      <c r="AA549" s="28" t="str">
        <f ca="1">IF(Data!S549="","",IF(ISNUMBER(Data!U549),IF(AND(Data!U549&gt;(TODAY()-(Data_Val!$L$3*365.25)),Data!U549&lt;=(TODAY()-(Data_Val!$L$2*365.25))),0,1),1))</f>
        <v/>
      </c>
      <c r="AB549" s="11"/>
      <c r="AC549" s="11" t="e">
        <f>IF(Data!#REF!="","",IF(ISNUMBER(MATCH(Data!#REF!,Data_Val!$A$2:$A$3,0)),0,1))</f>
        <v>#REF!</v>
      </c>
      <c r="AD549" s="11" t="e">
        <f ca="1">IF(Data!#REF!="","",IF(ISNUMBER(Data!#REF!),IF(AND(Data!#REF!&gt;(TODAY()-(Data_Val!$L$3*365.25)),Data!#REF!&lt;=(TODAY()-(Data_Val!$L$2*365.25))),0,1),1))</f>
        <v>#REF!</v>
      </c>
      <c r="AE549" s="11" t="e">
        <f>IF(Data!#REF!="","",IF(Data!$G549="",1,IF(ISNUMBER(MATCH(Data!#REF!,Data_Val!$D$2:$D$10,0)),0,1)))</f>
        <v>#REF!</v>
      </c>
      <c r="AF549" s="12"/>
      <c r="AG549" s="12" t="e">
        <f>IF(Data!#REF!="","",IF(ISNUMBER(MATCH(Data!#REF!,Data_Val!$A$2:$A$3,0)),0,1))</f>
        <v>#REF!</v>
      </c>
      <c r="AH549" s="26" t="e">
        <f ca="1">IF(Data!#REF!="","",IF(ISNUMBER(Data!#REF!),IF(AND(Data!#REF!&gt;(TODAY()-(Data_Val!$L$3*365.25)),Data!#REF!&lt;=(TODAY()-(Data_Val!$L$2*365.25))),0,1),1))</f>
        <v>#REF!</v>
      </c>
      <c r="AI549" s="12" t="e">
        <f>IF(Data!#REF!="","",IF(Data!$G549="",1,IF(ISNUMBER(MATCH(Data!#REF!,Data_Val!$D$2:$D$10,0)),0,1)))</f>
        <v>#REF!</v>
      </c>
      <c r="AJ549" s="17"/>
      <c r="AK549" s="17" t="e">
        <f>IF(Data!#REF!="","",IF(ISNUMBER(MATCH(Data!#REF!,Data_Val!$A$2:$A$3,0)),0,1))</f>
        <v>#REF!</v>
      </c>
      <c r="AL549" s="25" t="e">
        <f ca="1">IF(Data!#REF!="","",IF(ISNUMBER(Data!#REF!),IF(AND(Data!#REF!&gt;(TODAY()-(Data_Val!$L$3*365.25)),Data!#REF!&lt;=(TODAY()-(Data_Val!$L$2*365.25))),0,1),1))</f>
        <v>#REF!</v>
      </c>
      <c r="AM549" s="17" t="e">
        <f>IF(Data!#REF!="","",IF(Data!$G549="",1,IF(ISNUMBER(MATCH(Data!#REF!,Data_Val!$D$2:$D$10,0)),0,1)))</f>
        <v>#REF!</v>
      </c>
      <c r="AN549" s="13"/>
      <c r="AO549" s="28" t="e">
        <f ca="1">IF(Data!#REF!="","",IF(ISNUMBER(Data!#REF!),IF(AND(Data!#REF!&gt;(TODAY()-(Data_Val!$I$3*365.25)),Data!#REF!&lt;=(TODAY()-(Data_Val!$I$2*365.25))),0,1),1))</f>
        <v>#REF!</v>
      </c>
      <c r="AP549" s="13" t="e">
        <f>IF(Data!#REF!="","",IF(Data!$G549="",1,IF(ISNUMBER(MATCH(Data!#REF!,Data_Val!$D$2:$D$10,0)),0,1)))</f>
        <v>#REF!</v>
      </c>
      <c r="AQ549" s="17"/>
      <c r="AR549" s="30" t="e">
        <f ca="1">IF(Data!#REF!="","",IF(ISNUMBER(Data!#REF!),IF(AND(Data!#REF!&gt;(TODAY()-(Data_Val!$I$3*365.25)),Data!#REF!&lt;=(TODAY()-(Data_Val!$I$2*365.25))),0,1),1))</f>
        <v>#REF!</v>
      </c>
      <c r="AS549" s="31" t="e">
        <f>IF(Data!#REF!="","",IF(Data!$G549="",1,IF(ISNUMBER(MATCH(Data!#REF!,Data_Val!$D$2:$D$10,0)),0,1)))</f>
        <v>#REF!</v>
      </c>
      <c r="AT549" s="11"/>
      <c r="AU549" s="11" t="e">
        <f ca="1">IF(Data!#REF!="","",IF(ISNUMBER(Data!#REF!),IF(AND(Data!#REF!&gt;(TODAY()-(Data_Val!$I$3*365.25)),Data!#REF!&lt;=(TODAY()-(Data_Val!$I$2*365.25))),0,1),1))</f>
        <v>#REF!</v>
      </c>
      <c r="AV549" s="11" t="e">
        <f>IF(Data!#REF!="","",IF(Data!$G549="",1,IF(ISNUMBER(MATCH(Data!#REF!,Data_Val!$D$2:$D$10,0)),0,1)))</f>
        <v>#REF!</v>
      </c>
      <c r="AW549" s="12"/>
      <c r="AX549" s="26" t="e">
        <f ca="1">IF(Data!#REF!="","",IF(ISNUMBER(Data!#REF!),IF(AND(Data!#REF!&gt;(TODAY()-(Data_Val!$I$3*365.25)),Data!#REF!&lt;=(TODAY()-(Data_Val!$I$2*365.25))),0,1),1))</f>
        <v>#REF!</v>
      </c>
      <c r="AY549" s="12" t="e">
        <f>IF(Data!#REF!="","",IF(Data!$G549="",1,IF(ISNUMBER(MATCH(Data!#REF!,Data_Val!$D$2:$D$10,0)),0,1)))</f>
        <v>#REF!</v>
      </c>
      <c r="AZ549" s="11"/>
      <c r="BA549" s="19" t="e">
        <f ca="1">IF(Data!#REF!="","",IF(ISNUMBER(Data!#REF!),IF(AND(Data!#REF!&gt;(TODAY()-(Data_Val!$M$3*365.25)),Data!#REF!&lt;=(TODAY()-(Data_Val!$M$2*365.25))),0,1),1))</f>
        <v>#REF!</v>
      </c>
      <c r="BB549" s="11" t="e">
        <f>IF(Data!#REF!="","",IF(Data!$G549="",1,IF(ISNUMBER(MATCH(Data!#REF!,Data_Val!$D$2:$D$10,0)),0,1)))</f>
        <v>#REF!</v>
      </c>
      <c r="BC549" s="12"/>
      <c r="BD549" s="20" t="e">
        <f ca="1">IF(Data!#REF!="","",IF(ISNUMBER(Data!#REF!),IF(AND(Data!#REF!&gt;(TODAY()-(Data_Val!$M$3*365.25)),Data!#REF!&lt;=(TODAY()-(Data_Val!$M$2*365.25))),0,1),1))</f>
        <v>#REF!</v>
      </c>
      <c r="BE549" s="12" t="e">
        <f>IF(Data!#REF!="","",IF(Data!$G549="",1,IF(ISNUMBER(MATCH(Data!#REF!,Data_Val!$D$2:$D$10,0)),0,1)))</f>
        <v>#REF!</v>
      </c>
      <c r="BF549" s="17"/>
      <c r="BG549" s="18" t="e">
        <f ca="1">IF(Data!#REF!="","",IF(ISNUMBER(Data!#REF!),IF(AND(Data!#REF!&gt;(TODAY()-(Data_Val!$M$3*365.25)),Data!#REF!&lt;=(TODAY()-(Data_Val!$M$2*365.25))),0,1),1))</f>
        <v>#REF!</v>
      </c>
      <c r="BH549" s="29" t="e">
        <f>IF(Data!#REF!="","",IF(Data!$G549="",1,IF(ISNUMBER(MATCH(Data!#REF!,Data_Val!$D$2:$D$10,0)),0,1)))</f>
        <v>#REF!</v>
      </c>
      <c r="BI549" s="13"/>
      <c r="BJ549" s="21" t="e">
        <f ca="1">IF(Data!#REF!="","",IF(ISNUMBER(Data!#REF!),IF(AND(Data!#REF!&gt;(TODAY()-(Data_Val!$M$3*365.25)),Data!#REF!&lt;=(TODAY()-(Data_Val!$M$2*365.25))),0,1),1))</f>
        <v>#REF!</v>
      </c>
      <c r="BK549" s="13" t="e">
        <f>IF(Data!#REF!="","",IF(Data!$G549="",1,IF(ISNUMBER(MATCH(Data!#REF!,Data_Val!$D$2:$D$10,0)),0,1)))</f>
        <v>#REF!</v>
      </c>
    </row>
    <row r="550" spans="1:63" x14ac:dyDescent="0.25">
      <c r="A550" s="9" t="str">
        <f>IF(Data!B550="","",IF(COUNTIFS(Data!A$1:'Data'!A550,Data!A550)&lt;=1,0,1))</f>
        <v/>
      </c>
      <c r="B550" s="9"/>
      <c r="C550" s="23" t="str">
        <f>IF(Data!C550="","",(IF(ISNUMBER(MATCH("*@*.?*",Data!C550,0)),0,1)+IF(COUNTIFS(Data!C$1:'Data'!C550,Data!C550)&gt;1,1,0)))</f>
        <v/>
      </c>
      <c r="D550" s="9" t="str">
        <f>IF(Data!B550="","",IF(ISNUMBER(Data!D550),IF(AND(Data!D550&gt;999999999,Data!D550&lt;=9999999999),IF(COUNTIFS(Data!D$1:'Data'!D550,Data!D550)&lt;=1,0,1),1),1))</f>
        <v/>
      </c>
      <c r="E550" s="9" t="str">
        <f>IF(Data!B550="","",IF(ISNUMBER(MATCH(Data!E550,Data_Val!$A$2:$A$3,0)),0,1))</f>
        <v/>
      </c>
      <c r="F550" s="9" t="str">
        <f ca="1">IF(Data!B550="","",IF(ISNUMBER(Data!F550),IF(AND(Data!F550&gt;(TODAY()-(Data_Val!$H$3*365.25)),Data!F550&lt;=(TODAY()-(Data_Val!$H$2*365.25))),0,1),1))</f>
        <v/>
      </c>
      <c r="G550" s="15" t="str">
        <f>IF(Data!B550="","",IF(AND(Data!G550="",Data!H550&lt;&gt;""),1,IF(Data!#REF!&lt;&gt;"",0,IF(ISNUMBER(MATCH(Data!G550,Data_Val!$C$2:$C$5,0)),0,1))))</f>
        <v/>
      </c>
      <c r="H550" s="15" t="str">
        <f>IF(Data!B550="","",IF(AND(Data!G550&lt;&gt;"",Data!H550=""),1,IF(Data!#REF!&lt;&gt;"",0,IF(Data!G550="",1,IF(ISNUMBER(MATCH(Data!H550,Data_Val!$D$2:$D$35,0)),0,1)))))</f>
        <v/>
      </c>
      <c r="I550" s="15" t="str">
        <f>IF(Data!B550="","",IF(Data!G550&lt;&gt;"",0,IF(ISNUMBER(MATCH(Data!#REF!,Data_Val!$E$2:$E$12,0)),0,1)))</f>
        <v/>
      </c>
      <c r="J550" s="16" t="e">
        <f>IF(OR(Data!B550="",Data!#REF!=""),"",IF(Data!#REF!="",1,0))</f>
        <v>#REF!</v>
      </c>
      <c r="K550" s="16" t="e">
        <f>IF(OR(Data!B550="",Data!#REF!=""),"",IF(Data!#REF!="",1,0))</f>
        <v>#REF!</v>
      </c>
      <c r="L550" s="16" t="e">
        <f>IF(OR(Data!B550="",Data!#REF!=""),"",IF(ISNUMBER(Data!#REF!),IF(AND(Data!#REF!&gt;Data_Val!$G$2,Data!#REF!&lt;=Data_Val!$G$3),0,1),1))</f>
        <v>#REF!</v>
      </c>
      <c r="M550" s="9" t="e">
        <f>IF(OR(Data!B550="",Data!#REF!=""),"",IF(ISNUMBER(MATCH(Data!#REF!,Data_Val!$F$1:$F$38,0)),0,1))</f>
        <v>#REF!</v>
      </c>
      <c r="N550" s="9" t="e">
        <f>IF(OR(Data!B550="",Data!#REF!=""),"",IF(Data!#REF!="",1,0))</f>
        <v>#REF!</v>
      </c>
      <c r="O550" s="17" t="e">
        <f>IF(Data!#REF!="","",IF(Data!#REF!="",1,0))</f>
        <v>#REF!</v>
      </c>
      <c r="P550" s="17" t="e">
        <f>IF(Data!#REF!="","",IF(ISNUMBER(MATCH(Data!#REF!,Data_Val!$A$2:$A$3,0)),0,1))</f>
        <v>#REF!</v>
      </c>
      <c r="Q550" s="25" t="e">
        <f ca="1">IF(Data!#REF!="","",IF(ISNUMBER(Data!#REF!),IF(AND(Data!#REF!&gt;(TODAY()-(Data_Val!$J$3*365.25)),Data!#REF!&lt;=(TODAY()-(Data_Val!$J$2*365.25))),0,1),1))</f>
        <v>#REF!</v>
      </c>
      <c r="R550" s="17" t="e">
        <f>IF(Data!#REF!="","",IF(ISNUMBER(MATCH(Data!#REF!,Data_Val!$B$2:$B$15,0)),0,1))</f>
        <v>#REF!</v>
      </c>
      <c r="S550" s="11" t="str">
        <f>IF(Data!G550="","",IF(Data!G550=Data_Val!$C$2,IF(Data!M550="",0,1),0))</f>
        <v/>
      </c>
      <c r="T550" s="11" t="str">
        <f>IF(Data!M550="","",IF(ISNUMBER(MATCH(Data!N550,Data_Val!$A$2:$A$3,0)),0,1))</f>
        <v/>
      </c>
      <c r="U550" s="11" t="str">
        <f ca="1">IF(Data!M550="","",IF(ISNUMBER(Data!O550),IF(AND(Data!O550&gt;(TODAY()-(Data_Val!$K$3*365.25)),Data!O550&lt;=(TODAY()-(Data_Val!$K$2*365.25))),0,1),1))</f>
        <v/>
      </c>
      <c r="V550" s="12" t="str">
        <f>IF(Data!G550="","",IF(Data!G550=Data_Val!$C$2,IF(Data!P550="",0,1),0))</f>
        <v/>
      </c>
      <c r="W550" s="12" t="str">
        <f>IF(Data!P550="","",IF(ISNUMBER(MATCH(Data!Q550,Data_Val!$A$2:$A$3,0)),0,1))</f>
        <v/>
      </c>
      <c r="X550" s="26" t="str">
        <f ca="1">IF(Data!P550="","",IF(ISNUMBER(Data!R550),IF(AND(Data!R550&gt;(TODAY()-(Data_Val!$L$3*365.25)),Data!R550&lt;=(TODAY()-(Data_Val!$L$2*365.25))),0,1),1))</f>
        <v/>
      </c>
      <c r="Y550" s="13" t="str">
        <f>IF(Data!$G550="","",IF(Data!$G550=Data_Val!$C$2,IF(Data!S550="",0,1),0))</f>
        <v/>
      </c>
      <c r="Z550" s="13" t="str">
        <f>IF(Data!S550="","",IF(ISNUMBER(MATCH(Data!T550,Data_Val!$A$2:$A$3,0)),0,1))</f>
        <v/>
      </c>
      <c r="AA550" s="28" t="str">
        <f ca="1">IF(Data!S550="","",IF(ISNUMBER(Data!U550),IF(AND(Data!U550&gt;(TODAY()-(Data_Val!$L$3*365.25)),Data!U550&lt;=(TODAY()-(Data_Val!$L$2*365.25))),0,1),1))</f>
        <v/>
      </c>
      <c r="AB550" s="11"/>
      <c r="AC550" s="11" t="e">
        <f>IF(Data!#REF!="","",IF(ISNUMBER(MATCH(Data!#REF!,Data_Val!$A$2:$A$3,0)),0,1))</f>
        <v>#REF!</v>
      </c>
      <c r="AD550" s="11" t="e">
        <f ca="1">IF(Data!#REF!="","",IF(ISNUMBER(Data!#REF!),IF(AND(Data!#REF!&gt;(TODAY()-(Data_Val!$L$3*365.25)),Data!#REF!&lt;=(TODAY()-(Data_Val!$L$2*365.25))),0,1),1))</f>
        <v>#REF!</v>
      </c>
      <c r="AE550" s="11" t="e">
        <f>IF(Data!#REF!="","",IF(Data!$G550="",1,IF(ISNUMBER(MATCH(Data!#REF!,Data_Val!$D$2:$D$10,0)),0,1)))</f>
        <v>#REF!</v>
      </c>
      <c r="AF550" s="12"/>
      <c r="AG550" s="12" t="e">
        <f>IF(Data!#REF!="","",IF(ISNUMBER(MATCH(Data!#REF!,Data_Val!$A$2:$A$3,0)),0,1))</f>
        <v>#REF!</v>
      </c>
      <c r="AH550" s="26" t="e">
        <f ca="1">IF(Data!#REF!="","",IF(ISNUMBER(Data!#REF!),IF(AND(Data!#REF!&gt;(TODAY()-(Data_Val!$L$3*365.25)),Data!#REF!&lt;=(TODAY()-(Data_Val!$L$2*365.25))),0,1),1))</f>
        <v>#REF!</v>
      </c>
      <c r="AI550" s="12" t="e">
        <f>IF(Data!#REF!="","",IF(Data!$G550="",1,IF(ISNUMBER(MATCH(Data!#REF!,Data_Val!$D$2:$D$10,0)),0,1)))</f>
        <v>#REF!</v>
      </c>
      <c r="AJ550" s="17"/>
      <c r="AK550" s="17" t="e">
        <f>IF(Data!#REF!="","",IF(ISNUMBER(MATCH(Data!#REF!,Data_Val!$A$2:$A$3,0)),0,1))</f>
        <v>#REF!</v>
      </c>
      <c r="AL550" s="25" t="e">
        <f ca="1">IF(Data!#REF!="","",IF(ISNUMBER(Data!#REF!),IF(AND(Data!#REF!&gt;(TODAY()-(Data_Val!$L$3*365.25)),Data!#REF!&lt;=(TODAY()-(Data_Val!$L$2*365.25))),0,1),1))</f>
        <v>#REF!</v>
      </c>
      <c r="AM550" s="17" t="e">
        <f>IF(Data!#REF!="","",IF(Data!$G550="",1,IF(ISNUMBER(MATCH(Data!#REF!,Data_Val!$D$2:$D$10,0)),0,1)))</f>
        <v>#REF!</v>
      </c>
      <c r="AN550" s="13"/>
      <c r="AO550" s="28" t="e">
        <f ca="1">IF(Data!#REF!="","",IF(ISNUMBER(Data!#REF!),IF(AND(Data!#REF!&gt;(TODAY()-(Data_Val!$I$3*365.25)),Data!#REF!&lt;=(TODAY()-(Data_Val!$I$2*365.25))),0,1),1))</f>
        <v>#REF!</v>
      </c>
      <c r="AP550" s="13" t="e">
        <f>IF(Data!#REF!="","",IF(Data!$G550="",1,IF(ISNUMBER(MATCH(Data!#REF!,Data_Val!$D$2:$D$10,0)),0,1)))</f>
        <v>#REF!</v>
      </c>
      <c r="AQ550" s="17"/>
      <c r="AR550" s="30" t="e">
        <f ca="1">IF(Data!#REF!="","",IF(ISNUMBER(Data!#REF!),IF(AND(Data!#REF!&gt;(TODAY()-(Data_Val!$I$3*365.25)),Data!#REF!&lt;=(TODAY()-(Data_Val!$I$2*365.25))),0,1),1))</f>
        <v>#REF!</v>
      </c>
      <c r="AS550" s="31" t="e">
        <f>IF(Data!#REF!="","",IF(Data!$G550="",1,IF(ISNUMBER(MATCH(Data!#REF!,Data_Val!$D$2:$D$10,0)),0,1)))</f>
        <v>#REF!</v>
      </c>
      <c r="AT550" s="11"/>
      <c r="AU550" s="11" t="e">
        <f ca="1">IF(Data!#REF!="","",IF(ISNUMBER(Data!#REF!),IF(AND(Data!#REF!&gt;(TODAY()-(Data_Val!$I$3*365.25)),Data!#REF!&lt;=(TODAY()-(Data_Val!$I$2*365.25))),0,1),1))</f>
        <v>#REF!</v>
      </c>
      <c r="AV550" s="11" t="e">
        <f>IF(Data!#REF!="","",IF(Data!$G550="",1,IF(ISNUMBER(MATCH(Data!#REF!,Data_Val!$D$2:$D$10,0)),0,1)))</f>
        <v>#REF!</v>
      </c>
      <c r="AW550" s="12"/>
      <c r="AX550" s="26" t="e">
        <f ca="1">IF(Data!#REF!="","",IF(ISNUMBER(Data!#REF!),IF(AND(Data!#REF!&gt;(TODAY()-(Data_Val!$I$3*365.25)),Data!#REF!&lt;=(TODAY()-(Data_Val!$I$2*365.25))),0,1),1))</f>
        <v>#REF!</v>
      </c>
      <c r="AY550" s="12" t="e">
        <f>IF(Data!#REF!="","",IF(Data!$G550="",1,IF(ISNUMBER(MATCH(Data!#REF!,Data_Val!$D$2:$D$10,0)),0,1)))</f>
        <v>#REF!</v>
      </c>
      <c r="AZ550" s="11"/>
      <c r="BA550" s="19" t="e">
        <f ca="1">IF(Data!#REF!="","",IF(ISNUMBER(Data!#REF!),IF(AND(Data!#REF!&gt;(TODAY()-(Data_Val!$M$3*365.25)),Data!#REF!&lt;=(TODAY()-(Data_Val!$M$2*365.25))),0,1),1))</f>
        <v>#REF!</v>
      </c>
      <c r="BB550" s="11" t="e">
        <f>IF(Data!#REF!="","",IF(Data!$G550="",1,IF(ISNUMBER(MATCH(Data!#REF!,Data_Val!$D$2:$D$10,0)),0,1)))</f>
        <v>#REF!</v>
      </c>
      <c r="BC550" s="12"/>
      <c r="BD550" s="20" t="e">
        <f ca="1">IF(Data!#REF!="","",IF(ISNUMBER(Data!#REF!),IF(AND(Data!#REF!&gt;(TODAY()-(Data_Val!$M$3*365.25)),Data!#REF!&lt;=(TODAY()-(Data_Val!$M$2*365.25))),0,1),1))</f>
        <v>#REF!</v>
      </c>
      <c r="BE550" s="12" t="e">
        <f>IF(Data!#REF!="","",IF(Data!$G550="",1,IF(ISNUMBER(MATCH(Data!#REF!,Data_Val!$D$2:$D$10,0)),0,1)))</f>
        <v>#REF!</v>
      </c>
      <c r="BF550" s="17"/>
      <c r="BG550" s="18" t="e">
        <f ca="1">IF(Data!#REF!="","",IF(ISNUMBER(Data!#REF!),IF(AND(Data!#REF!&gt;(TODAY()-(Data_Val!$M$3*365.25)),Data!#REF!&lt;=(TODAY()-(Data_Val!$M$2*365.25))),0,1),1))</f>
        <v>#REF!</v>
      </c>
      <c r="BH550" s="29" t="e">
        <f>IF(Data!#REF!="","",IF(Data!$G550="",1,IF(ISNUMBER(MATCH(Data!#REF!,Data_Val!$D$2:$D$10,0)),0,1)))</f>
        <v>#REF!</v>
      </c>
      <c r="BI550" s="13"/>
      <c r="BJ550" s="21" t="e">
        <f ca="1">IF(Data!#REF!="","",IF(ISNUMBER(Data!#REF!),IF(AND(Data!#REF!&gt;(TODAY()-(Data_Val!$M$3*365.25)),Data!#REF!&lt;=(TODAY()-(Data_Val!$M$2*365.25))),0,1),1))</f>
        <v>#REF!</v>
      </c>
      <c r="BK550" s="13" t="e">
        <f>IF(Data!#REF!="","",IF(Data!$G550="",1,IF(ISNUMBER(MATCH(Data!#REF!,Data_Val!$D$2:$D$10,0)),0,1)))</f>
        <v>#REF!</v>
      </c>
    </row>
    <row r="551" spans="1:63" x14ac:dyDescent="0.25">
      <c r="A551" s="9" t="str">
        <f>IF(Data!B551="","",IF(COUNTIFS(Data!A$1:'Data'!A551,Data!A551)&lt;=1,0,1))</f>
        <v/>
      </c>
      <c r="B551" s="9"/>
      <c r="C551" s="23" t="str">
        <f>IF(Data!C551="","",(IF(ISNUMBER(MATCH("*@*.?*",Data!C551,0)),0,1)+IF(COUNTIFS(Data!C$1:'Data'!C551,Data!C551)&gt;1,1,0)))</f>
        <v/>
      </c>
      <c r="D551" s="9" t="str">
        <f>IF(Data!B551="","",IF(ISNUMBER(Data!D551),IF(AND(Data!D551&gt;999999999,Data!D551&lt;=9999999999),IF(COUNTIFS(Data!D$1:'Data'!D551,Data!D551)&lt;=1,0,1),1),1))</f>
        <v/>
      </c>
      <c r="E551" s="9" t="str">
        <f>IF(Data!B551="","",IF(ISNUMBER(MATCH(Data!E551,Data_Val!$A$2:$A$3,0)),0,1))</f>
        <v/>
      </c>
      <c r="F551" s="9" t="str">
        <f ca="1">IF(Data!B551="","",IF(ISNUMBER(Data!F551),IF(AND(Data!F551&gt;(TODAY()-(Data_Val!$H$3*365.25)),Data!F551&lt;=(TODAY()-(Data_Val!$H$2*365.25))),0,1),1))</f>
        <v/>
      </c>
      <c r="G551" s="15" t="str">
        <f>IF(Data!B551="","",IF(AND(Data!G551="",Data!H551&lt;&gt;""),1,IF(Data!#REF!&lt;&gt;"",0,IF(ISNUMBER(MATCH(Data!G551,Data_Val!$C$2:$C$5,0)),0,1))))</f>
        <v/>
      </c>
      <c r="H551" s="15" t="str">
        <f>IF(Data!B551="","",IF(AND(Data!G551&lt;&gt;"",Data!H551=""),1,IF(Data!#REF!&lt;&gt;"",0,IF(Data!G551="",1,IF(ISNUMBER(MATCH(Data!H551,Data_Val!$D$2:$D$35,0)),0,1)))))</f>
        <v/>
      </c>
      <c r="I551" s="15" t="str">
        <f>IF(Data!B551="","",IF(Data!G551&lt;&gt;"",0,IF(ISNUMBER(MATCH(Data!#REF!,Data_Val!$E$2:$E$12,0)),0,1)))</f>
        <v/>
      </c>
      <c r="J551" s="16" t="e">
        <f>IF(OR(Data!B551="",Data!#REF!=""),"",IF(Data!#REF!="",1,0))</f>
        <v>#REF!</v>
      </c>
      <c r="K551" s="16" t="e">
        <f>IF(OR(Data!B551="",Data!#REF!=""),"",IF(Data!#REF!="",1,0))</f>
        <v>#REF!</v>
      </c>
      <c r="L551" s="16" t="e">
        <f>IF(OR(Data!B551="",Data!#REF!=""),"",IF(ISNUMBER(Data!#REF!),IF(AND(Data!#REF!&gt;Data_Val!$G$2,Data!#REF!&lt;=Data_Val!$G$3),0,1),1))</f>
        <v>#REF!</v>
      </c>
      <c r="M551" s="9" t="e">
        <f>IF(OR(Data!B551="",Data!#REF!=""),"",IF(ISNUMBER(MATCH(Data!#REF!,Data_Val!$F$1:$F$38,0)),0,1))</f>
        <v>#REF!</v>
      </c>
      <c r="N551" s="9" t="e">
        <f>IF(OR(Data!B551="",Data!#REF!=""),"",IF(Data!#REF!="",1,0))</f>
        <v>#REF!</v>
      </c>
      <c r="O551" s="17" t="e">
        <f>IF(Data!#REF!="","",IF(Data!#REF!="",1,0))</f>
        <v>#REF!</v>
      </c>
      <c r="P551" s="17" t="e">
        <f>IF(Data!#REF!="","",IF(ISNUMBER(MATCH(Data!#REF!,Data_Val!$A$2:$A$3,0)),0,1))</f>
        <v>#REF!</v>
      </c>
      <c r="Q551" s="25" t="e">
        <f ca="1">IF(Data!#REF!="","",IF(ISNUMBER(Data!#REF!),IF(AND(Data!#REF!&gt;(TODAY()-(Data_Val!$J$3*365.25)),Data!#REF!&lt;=(TODAY()-(Data_Val!$J$2*365.25))),0,1),1))</f>
        <v>#REF!</v>
      </c>
      <c r="R551" s="17" t="e">
        <f>IF(Data!#REF!="","",IF(ISNUMBER(MATCH(Data!#REF!,Data_Val!$B$2:$B$15,0)),0,1))</f>
        <v>#REF!</v>
      </c>
      <c r="S551" s="11" t="str">
        <f>IF(Data!G551="","",IF(Data!G551=Data_Val!$C$2,IF(Data!M551="",0,1),0))</f>
        <v/>
      </c>
      <c r="T551" s="11" t="str">
        <f>IF(Data!M551="","",IF(ISNUMBER(MATCH(Data!N551,Data_Val!$A$2:$A$3,0)),0,1))</f>
        <v/>
      </c>
      <c r="U551" s="11" t="str">
        <f ca="1">IF(Data!M551="","",IF(ISNUMBER(Data!O551),IF(AND(Data!O551&gt;(TODAY()-(Data_Val!$K$3*365.25)),Data!O551&lt;=(TODAY()-(Data_Val!$K$2*365.25))),0,1),1))</f>
        <v/>
      </c>
      <c r="V551" s="12" t="str">
        <f>IF(Data!G551="","",IF(Data!G551=Data_Val!$C$2,IF(Data!P551="",0,1),0))</f>
        <v/>
      </c>
      <c r="W551" s="12" t="str">
        <f>IF(Data!P551="","",IF(ISNUMBER(MATCH(Data!Q551,Data_Val!$A$2:$A$3,0)),0,1))</f>
        <v/>
      </c>
      <c r="X551" s="26" t="str">
        <f ca="1">IF(Data!P551="","",IF(ISNUMBER(Data!R551),IF(AND(Data!R551&gt;(TODAY()-(Data_Val!$L$3*365.25)),Data!R551&lt;=(TODAY()-(Data_Val!$L$2*365.25))),0,1),1))</f>
        <v/>
      </c>
      <c r="Y551" s="13" t="str">
        <f>IF(Data!$G551="","",IF(Data!$G551=Data_Val!$C$2,IF(Data!S551="",0,1),0))</f>
        <v/>
      </c>
      <c r="Z551" s="13" t="str">
        <f>IF(Data!S551="","",IF(ISNUMBER(MATCH(Data!T551,Data_Val!$A$2:$A$3,0)),0,1))</f>
        <v/>
      </c>
      <c r="AA551" s="28" t="str">
        <f ca="1">IF(Data!S551="","",IF(ISNUMBER(Data!U551),IF(AND(Data!U551&gt;(TODAY()-(Data_Val!$L$3*365.25)),Data!U551&lt;=(TODAY()-(Data_Val!$L$2*365.25))),0,1),1))</f>
        <v/>
      </c>
      <c r="AB551" s="11"/>
      <c r="AC551" s="11" t="e">
        <f>IF(Data!#REF!="","",IF(ISNUMBER(MATCH(Data!#REF!,Data_Val!$A$2:$A$3,0)),0,1))</f>
        <v>#REF!</v>
      </c>
      <c r="AD551" s="11" t="e">
        <f ca="1">IF(Data!#REF!="","",IF(ISNUMBER(Data!#REF!),IF(AND(Data!#REF!&gt;(TODAY()-(Data_Val!$L$3*365.25)),Data!#REF!&lt;=(TODAY()-(Data_Val!$L$2*365.25))),0,1),1))</f>
        <v>#REF!</v>
      </c>
      <c r="AE551" s="11" t="e">
        <f>IF(Data!#REF!="","",IF(Data!$G551="",1,IF(ISNUMBER(MATCH(Data!#REF!,Data_Val!$D$2:$D$10,0)),0,1)))</f>
        <v>#REF!</v>
      </c>
      <c r="AF551" s="12"/>
      <c r="AG551" s="12" t="e">
        <f>IF(Data!#REF!="","",IF(ISNUMBER(MATCH(Data!#REF!,Data_Val!$A$2:$A$3,0)),0,1))</f>
        <v>#REF!</v>
      </c>
      <c r="AH551" s="26" t="e">
        <f ca="1">IF(Data!#REF!="","",IF(ISNUMBER(Data!#REF!),IF(AND(Data!#REF!&gt;(TODAY()-(Data_Val!$L$3*365.25)),Data!#REF!&lt;=(TODAY()-(Data_Val!$L$2*365.25))),0,1),1))</f>
        <v>#REF!</v>
      </c>
      <c r="AI551" s="12" t="e">
        <f>IF(Data!#REF!="","",IF(Data!$G551="",1,IF(ISNUMBER(MATCH(Data!#REF!,Data_Val!$D$2:$D$10,0)),0,1)))</f>
        <v>#REF!</v>
      </c>
      <c r="AJ551" s="17"/>
      <c r="AK551" s="17" t="e">
        <f>IF(Data!#REF!="","",IF(ISNUMBER(MATCH(Data!#REF!,Data_Val!$A$2:$A$3,0)),0,1))</f>
        <v>#REF!</v>
      </c>
      <c r="AL551" s="25" t="e">
        <f ca="1">IF(Data!#REF!="","",IF(ISNUMBER(Data!#REF!),IF(AND(Data!#REF!&gt;(TODAY()-(Data_Val!$L$3*365.25)),Data!#REF!&lt;=(TODAY()-(Data_Val!$L$2*365.25))),0,1),1))</f>
        <v>#REF!</v>
      </c>
      <c r="AM551" s="17" t="e">
        <f>IF(Data!#REF!="","",IF(Data!$G551="",1,IF(ISNUMBER(MATCH(Data!#REF!,Data_Val!$D$2:$D$10,0)),0,1)))</f>
        <v>#REF!</v>
      </c>
      <c r="AN551" s="13"/>
      <c r="AO551" s="28" t="e">
        <f ca="1">IF(Data!#REF!="","",IF(ISNUMBER(Data!#REF!),IF(AND(Data!#REF!&gt;(TODAY()-(Data_Val!$I$3*365.25)),Data!#REF!&lt;=(TODAY()-(Data_Val!$I$2*365.25))),0,1),1))</f>
        <v>#REF!</v>
      </c>
      <c r="AP551" s="13" t="e">
        <f>IF(Data!#REF!="","",IF(Data!$G551="",1,IF(ISNUMBER(MATCH(Data!#REF!,Data_Val!$D$2:$D$10,0)),0,1)))</f>
        <v>#REF!</v>
      </c>
      <c r="AQ551" s="17"/>
      <c r="AR551" s="30" t="e">
        <f ca="1">IF(Data!#REF!="","",IF(ISNUMBER(Data!#REF!),IF(AND(Data!#REF!&gt;(TODAY()-(Data_Val!$I$3*365.25)),Data!#REF!&lt;=(TODAY()-(Data_Val!$I$2*365.25))),0,1),1))</f>
        <v>#REF!</v>
      </c>
      <c r="AS551" s="31" t="e">
        <f>IF(Data!#REF!="","",IF(Data!$G551="",1,IF(ISNUMBER(MATCH(Data!#REF!,Data_Val!$D$2:$D$10,0)),0,1)))</f>
        <v>#REF!</v>
      </c>
      <c r="AT551" s="11"/>
      <c r="AU551" s="11" t="e">
        <f ca="1">IF(Data!#REF!="","",IF(ISNUMBER(Data!#REF!),IF(AND(Data!#REF!&gt;(TODAY()-(Data_Val!$I$3*365.25)),Data!#REF!&lt;=(TODAY()-(Data_Val!$I$2*365.25))),0,1),1))</f>
        <v>#REF!</v>
      </c>
      <c r="AV551" s="11" t="e">
        <f>IF(Data!#REF!="","",IF(Data!$G551="",1,IF(ISNUMBER(MATCH(Data!#REF!,Data_Val!$D$2:$D$10,0)),0,1)))</f>
        <v>#REF!</v>
      </c>
      <c r="AW551" s="12"/>
      <c r="AX551" s="26" t="e">
        <f ca="1">IF(Data!#REF!="","",IF(ISNUMBER(Data!#REF!),IF(AND(Data!#REF!&gt;(TODAY()-(Data_Val!$I$3*365.25)),Data!#REF!&lt;=(TODAY()-(Data_Val!$I$2*365.25))),0,1),1))</f>
        <v>#REF!</v>
      </c>
      <c r="AY551" s="12" t="e">
        <f>IF(Data!#REF!="","",IF(Data!$G551="",1,IF(ISNUMBER(MATCH(Data!#REF!,Data_Val!$D$2:$D$10,0)),0,1)))</f>
        <v>#REF!</v>
      </c>
      <c r="AZ551" s="11"/>
      <c r="BA551" s="19" t="e">
        <f ca="1">IF(Data!#REF!="","",IF(ISNUMBER(Data!#REF!),IF(AND(Data!#REF!&gt;(TODAY()-(Data_Val!$M$3*365.25)),Data!#REF!&lt;=(TODAY()-(Data_Val!$M$2*365.25))),0,1),1))</f>
        <v>#REF!</v>
      </c>
      <c r="BB551" s="11" t="e">
        <f>IF(Data!#REF!="","",IF(Data!$G551="",1,IF(ISNUMBER(MATCH(Data!#REF!,Data_Val!$D$2:$D$10,0)),0,1)))</f>
        <v>#REF!</v>
      </c>
      <c r="BC551" s="12"/>
      <c r="BD551" s="20" t="e">
        <f ca="1">IF(Data!#REF!="","",IF(ISNUMBER(Data!#REF!),IF(AND(Data!#REF!&gt;(TODAY()-(Data_Val!$M$3*365.25)),Data!#REF!&lt;=(TODAY()-(Data_Val!$M$2*365.25))),0,1),1))</f>
        <v>#REF!</v>
      </c>
      <c r="BE551" s="12" t="e">
        <f>IF(Data!#REF!="","",IF(Data!$G551="",1,IF(ISNUMBER(MATCH(Data!#REF!,Data_Val!$D$2:$D$10,0)),0,1)))</f>
        <v>#REF!</v>
      </c>
      <c r="BF551" s="17"/>
      <c r="BG551" s="18" t="e">
        <f ca="1">IF(Data!#REF!="","",IF(ISNUMBER(Data!#REF!),IF(AND(Data!#REF!&gt;(TODAY()-(Data_Val!$M$3*365.25)),Data!#REF!&lt;=(TODAY()-(Data_Val!$M$2*365.25))),0,1),1))</f>
        <v>#REF!</v>
      </c>
      <c r="BH551" s="29" t="e">
        <f>IF(Data!#REF!="","",IF(Data!$G551="",1,IF(ISNUMBER(MATCH(Data!#REF!,Data_Val!$D$2:$D$10,0)),0,1)))</f>
        <v>#REF!</v>
      </c>
      <c r="BI551" s="13"/>
      <c r="BJ551" s="21" t="e">
        <f ca="1">IF(Data!#REF!="","",IF(ISNUMBER(Data!#REF!),IF(AND(Data!#REF!&gt;(TODAY()-(Data_Val!$M$3*365.25)),Data!#REF!&lt;=(TODAY()-(Data_Val!$M$2*365.25))),0,1),1))</f>
        <v>#REF!</v>
      </c>
      <c r="BK551" s="13" t="e">
        <f>IF(Data!#REF!="","",IF(Data!$G551="",1,IF(ISNUMBER(MATCH(Data!#REF!,Data_Val!$D$2:$D$10,0)),0,1)))</f>
        <v>#REF!</v>
      </c>
    </row>
    <row r="552" spans="1:63" x14ac:dyDescent="0.25">
      <c r="A552" s="9" t="str">
        <f>IF(Data!B552="","",IF(COUNTIFS(Data!A$1:'Data'!A552,Data!A552)&lt;=1,0,1))</f>
        <v/>
      </c>
      <c r="B552" s="9"/>
      <c r="C552" s="23" t="str">
        <f>IF(Data!C552="","",(IF(ISNUMBER(MATCH("*@*.?*",Data!C552,0)),0,1)+IF(COUNTIFS(Data!C$1:'Data'!C552,Data!C552)&gt;1,1,0)))</f>
        <v/>
      </c>
      <c r="D552" s="9" t="str">
        <f>IF(Data!B552="","",IF(ISNUMBER(Data!D552),IF(AND(Data!D552&gt;999999999,Data!D552&lt;=9999999999),IF(COUNTIFS(Data!D$1:'Data'!D552,Data!D552)&lt;=1,0,1),1),1))</f>
        <v/>
      </c>
      <c r="E552" s="9" t="str">
        <f>IF(Data!B552="","",IF(ISNUMBER(MATCH(Data!E552,Data_Val!$A$2:$A$3,0)),0,1))</f>
        <v/>
      </c>
      <c r="F552" s="9" t="str">
        <f ca="1">IF(Data!B552="","",IF(ISNUMBER(Data!F552),IF(AND(Data!F552&gt;(TODAY()-(Data_Val!$H$3*365.25)),Data!F552&lt;=(TODAY()-(Data_Val!$H$2*365.25))),0,1),1))</f>
        <v/>
      </c>
      <c r="G552" s="15" t="str">
        <f>IF(Data!B552="","",IF(AND(Data!G552="",Data!H552&lt;&gt;""),1,IF(Data!#REF!&lt;&gt;"",0,IF(ISNUMBER(MATCH(Data!G552,Data_Val!$C$2:$C$5,0)),0,1))))</f>
        <v/>
      </c>
      <c r="H552" s="15" t="str">
        <f>IF(Data!B552="","",IF(AND(Data!G552&lt;&gt;"",Data!H552=""),1,IF(Data!#REF!&lt;&gt;"",0,IF(Data!G552="",1,IF(ISNUMBER(MATCH(Data!H552,Data_Val!$D$2:$D$35,0)),0,1)))))</f>
        <v/>
      </c>
      <c r="I552" s="15" t="str">
        <f>IF(Data!B552="","",IF(Data!G552&lt;&gt;"",0,IF(ISNUMBER(MATCH(Data!#REF!,Data_Val!$E$2:$E$12,0)),0,1)))</f>
        <v/>
      </c>
      <c r="J552" s="16" t="e">
        <f>IF(OR(Data!B552="",Data!#REF!=""),"",IF(Data!#REF!="",1,0))</f>
        <v>#REF!</v>
      </c>
      <c r="K552" s="16" t="e">
        <f>IF(OR(Data!B552="",Data!#REF!=""),"",IF(Data!#REF!="",1,0))</f>
        <v>#REF!</v>
      </c>
      <c r="L552" s="16" t="e">
        <f>IF(OR(Data!B552="",Data!#REF!=""),"",IF(ISNUMBER(Data!#REF!),IF(AND(Data!#REF!&gt;Data_Val!$G$2,Data!#REF!&lt;=Data_Val!$G$3),0,1),1))</f>
        <v>#REF!</v>
      </c>
      <c r="M552" s="9" t="e">
        <f>IF(OR(Data!B552="",Data!#REF!=""),"",IF(ISNUMBER(MATCH(Data!#REF!,Data_Val!$F$1:$F$38,0)),0,1))</f>
        <v>#REF!</v>
      </c>
      <c r="N552" s="9" t="e">
        <f>IF(OR(Data!B552="",Data!#REF!=""),"",IF(Data!#REF!="",1,0))</f>
        <v>#REF!</v>
      </c>
      <c r="O552" s="17" t="e">
        <f>IF(Data!#REF!="","",IF(Data!#REF!="",1,0))</f>
        <v>#REF!</v>
      </c>
      <c r="P552" s="17" t="e">
        <f>IF(Data!#REF!="","",IF(ISNUMBER(MATCH(Data!#REF!,Data_Val!$A$2:$A$3,0)),0,1))</f>
        <v>#REF!</v>
      </c>
      <c r="Q552" s="25" t="e">
        <f ca="1">IF(Data!#REF!="","",IF(ISNUMBER(Data!#REF!),IF(AND(Data!#REF!&gt;(TODAY()-(Data_Val!$J$3*365.25)),Data!#REF!&lt;=(TODAY()-(Data_Val!$J$2*365.25))),0,1),1))</f>
        <v>#REF!</v>
      </c>
      <c r="R552" s="17" t="e">
        <f>IF(Data!#REF!="","",IF(ISNUMBER(MATCH(Data!#REF!,Data_Val!$B$2:$B$15,0)),0,1))</f>
        <v>#REF!</v>
      </c>
      <c r="S552" s="11" t="str">
        <f>IF(Data!G552="","",IF(Data!G552=Data_Val!$C$2,IF(Data!M552="",0,1),0))</f>
        <v/>
      </c>
      <c r="T552" s="11" t="str">
        <f>IF(Data!M552="","",IF(ISNUMBER(MATCH(Data!N552,Data_Val!$A$2:$A$3,0)),0,1))</f>
        <v/>
      </c>
      <c r="U552" s="11" t="str">
        <f ca="1">IF(Data!M552="","",IF(ISNUMBER(Data!O552),IF(AND(Data!O552&gt;(TODAY()-(Data_Val!$K$3*365.25)),Data!O552&lt;=(TODAY()-(Data_Val!$K$2*365.25))),0,1),1))</f>
        <v/>
      </c>
      <c r="V552" s="12" t="str">
        <f>IF(Data!G552="","",IF(Data!G552=Data_Val!$C$2,IF(Data!P552="",0,1),0))</f>
        <v/>
      </c>
      <c r="W552" s="12" t="str">
        <f>IF(Data!P552="","",IF(ISNUMBER(MATCH(Data!Q552,Data_Val!$A$2:$A$3,0)),0,1))</f>
        <v/>
      </c>
      <c r="X552" s="26" t="str">
        <f ca="1">IF(Data!P552="","",IF(ISNUMBER(Data!R552),IF(AND(Data!R552&gt;(TODAY()-(Data_Val!$L$3*365.25)),Data!R552&lt;=(TODAY()-(Data_Val!$L$2*365.25))),0,1),1))</f>
        <v/>
      </c>
      <c r="Y552" s="13" t="str">
        <f>IF(Data!$G552="","",IF(Data!$G552=Data_Val!$C$2,IF(Data!S552="",0,1),0))</f>
        <v/>
      </c>
      <c r="Z552" s="13" t="str">
        <f>IF(Data!S552="","",IF(ISNUMBER(MATCH(Data!T552,Data_Val!$A$2:$A$3,0)),0,1))</f>
        <v/>
      </c>
      <c r="AA552" s="28" t="str">
        <f ca="1">IF(Data!S552="","",IF(ISNUMBER(Data!U552),IF(AND(Data!U552&gt;(TODAY()-(Data_Val!$L$3*365.25)),Data!U552&lt;=(TODAY()-(Data_Val!$L$2*365.25))),0,1),1))</f>
        <v/>
      </c>
      <c r="AB552" s="11"/>
      <c r="AC552" s="11" t="e">
        <f>IF(Data!#REF!="","",IF(ISNUMBER(MATCH(Data!#REF!,Data_Val!$A$2:$A$3,0)),0,1))</f>
        <v>#REF!</v>
      </c>
      <c r="AD552" s="11" t="e">
        <f ca="1">IF(Data!#REF!="","",IF(ISNUMBER(Data!#REF!),IF(AND(Data!#REF!&gt;(TODAY()-(Data_Val!$L$3*365.25)),Data!#REF!&lt;=(TODAY()-(Data_Val!$L$2*365.25))),0,1),1))</f>
        <v>#REF!</v>
      </c>
      <c r="AE552" s="11" t="e">
        <f>IF(Data!#REF!="","",IF(Data!$G552="",1,IF(ISNUMBER(MATCH(Data!#REF!,Data_Val!$D$2:$D$10,0)),0,1)))</f>
        <v>#REF!</v>
      </c>
      <c r="AF552" s="12"/>
      <c r="AG552" s="12" t="e">
        <f>IF(Data!#REF!="","",IF(ISNUMBER(MATCH(Data!#REF!,Data_Val!$A$2:$A$3,0)),0,1))</f>
        <v>#REF!</v>
      </c>
      <c r="AH552" s="26" t="e">
        <f ca="1">IF(Data!#REF!="","",IF(ISNUMBER(Data!#REF!),IF(AND(Data!#REF!&gt;(TODAY()-(Data_Val!$L$3*365.25)),Data!#REF!&lt;=(TODAY()-(Data_Val!$L$2*365.25))),0,1),1))</f>
        <v>#REF!</v>
      </c>
      <c r="AI552" s="12" t="e">
        <f>IF(Data!#REF!="","",IF(Data!$G552="",1,IF(ISNUMBER(MATCH(Data!#REF!,Data_Val!$D$2:$D$10,0)),0,1)))</f>
        <v>#REF!</v>
      </c>
      <c r="AJ552" s="17"/>
      <c r="AK552" s="17" t="e">
        <f>IF(Data!#REF!="","",IF(ISNUMBER(MATCH(Data!#REF!,Data_Val!$A$2:$A$3,0)),0,1))</f>
        <v>#REF!</v>
      </c>
      <c r="AL552" s="25" t="e">
        <f ca="1">IF(Data!#REF!="","",IF(ISNUMBER(Data!#REF!),IF(AND(Data!#REF!&gt;(TODAY()-(Data_Val!$L$3*365.25)),Data!#REF!&lt;=(TODAY()-(Data_Val!$L$2*365.25))),0,1),1))</f>
        <v>#REF!</v>
      </c>
      <c r="AM552" s="17" t="e">
        <f>IF(Data!#REF!="","",IF(Data!$G552="",1,IF(ISNUMBER(MATCH(Data!#REF!,Data_Val!$D$2:$D$10,0)),0,1)))</f>
        <v>#REF!</v>
      </c>
      <c r="AN552" s="13"/>
      <c r="AO552" s="28" t="e">
        <f ca="1">IF(Data!#REF!="","",IF(ISNUMBER(Data!#REF!),IF(AND(Data!#REF!&gt;(TODAY()-(Data_Val!$I$3*365.25)),Data!#REF!&lt;=(TODAY()-(Data_Val!$I$2*365.25))),0,1),1))</f>
        <v>#REF!</v>
      </c>
      <c r="AP552" s="13" t="e">
        <f>IF(Data!#REF!="","",IF(Data!$G552="",1,IF(ISNUMBER(MATCH(Data!#REF!,Data_Val!$D$2:$D$10,0)),0,1)))</f>
        <v>#REF!</v>
      </c>
      <c r="AQ552" s="17"/>
      <c r="AR552" s="30" t="e">
        <f ca="1">IF(Data!#REF!="","",IF(ISNUMBER(Data!#REF!),IF(AND(Data!#REF!&gt;(TODAY()-(Data_Val!$I$3*365.25)),Data!#REF!&lt;=(TODAY()-(Data_Val!$I$2*365.25))),0,1),1))</f>
        <v>#REF!</v>
      </c>
      <c r="AS552" s="31" t="e">
        <f>IF(Data!#REF!="","",IF(Data!$G552="",1,IF(ISNUMBER(MATCH(Data!#REF!,Data_Val!$D$2:$D$10,0)),0,1)))</f>
        <v>#REF!</v>
      </c>
      <c r="AT552" s="11"/>
      <c r="AU552" s="11" t="e">
        <f ca="1">IF(Data!#REF!="","",IF(ISNUMBER(Data!#REF!),IF(AND(Data!#REF!&gt;(TODAY()-(Data_Val!$I$3*365.25)),Data!#REF!&lt;=(TODAY()-(Data_Val!$I$2*365.25))),0,1),1))</f>
        <v>#REF!</v>
      </c>
      <c r="AV552" s="11" t="e">
        <f>IF(Data!#REF!="","",IF(Data!$G552="",1,IF(ISNUMBER(MATCH(Data!#REF!,Data_Val!$D$2:$D$10,0)),0,1)))</f>
        <v>#REF!</v>
      </c>
      <c r="AW552" s="12"/>
      <c r="AX552" s="26" t="e">
        <f ca="1">IF(Data!#REF!="","",IF(ISNUMBER(Data!#REF!),IF(AND(Data!#REF!&gt;(TODAY()-(Data_Val!$I$3*365.25)),Data!#REF!&lt;=(TODAY()-(Data_Val!$I$2*365.25))),0,1),1))</f>
        <v>#REF!</v>
      </c>
      <c r="AY552" s="12" t="e">
        <f>IF(Data!#REF!="","",IF(Data!$G552="",1,IF(ISNUMBER(MATCH(Data!#REF!,Data_Val!$D$2:$D$10,0)),0,1)))</f>
        <v>#REF!</v>
      </c>
      <c r="AZ552" s="11"/>
      <c r="BA552" s="19" t="e">
        <f ca="1">IF(Data!#REF!="","",IF(ISNUMBER(Data!#REF!),IF(AND(Data!#REF!&gt;(TODAY()-(Data_Val!$M$3*365.25)),Data!#REF!&lt;=(TODAY()-(Data_Val!$M$2*365.25))),0,1),1))</f>
        <v>#REF!</v>
      </c>
      <c r="BB552" s="11" t="e">
        <f>IF(Data!#REF!="","",IF(Data!$G552="",1,IF(ISNUMBER(MATCH(Data!#REF!,Data_Val!$D$2:$D$10,0)),0,1)))</f>
        <v>#REF!</v>
      </c>
      <c r="BC552" s="12"/>
      <c r="BD552" s="20" t="e">
        <f ca="1">IF(Data!#REF!="","",IF(ISNUMBER(Data!#REF!),IF(AND(Data!#REF!&gt;(TODAY()-(Data_Val!$M$3*365.25)),Data!#REF!&lt;=(TODAY()-(Data_Val!$M$2*365.25))),0,1),1))</f>
        <v>#REF!</v>
      </c>
      <c r="BE552" s="12" t="e">
        <f>IF(Data!#REF!="","",IF(Data!$G552="",1,IF(ISNUMBER(MATCH(Data!#REF!,Data_Val!$D$2:$D$10,0)),0,1)))</f>
        <v>#REF!</v>
      </c>
      <c r="BF552" s="17"/>
      <c r="BG552" s="18" t="e">
        <f ca="1">IF(Data!#REF!="","",IF(ISNUMBER(Data!#REF!),IF(AND(Data!#REF!&gt;(TODAY()-(Data_Val!$M$3*365.25)),Data!#REF!&lt;=(TODAY()-(Data_Val!$M$2*365.25))),0,1),1))</f>
        <v>#REF!</v>
      </c>
      <c r="BH552" s="29" t="e">
        <f>IF(Data!#REF!="","",IF(Data!$G552="",1,IF(ISNUMBER(MATCH(Data!#REF!,Data_Val!$D$2:$D$10,0)),0,1)))</f>
        <v>#REF!</v>
      </c>
      <c r="BI552" s="13"/>
      <c r="BJ552" s="21" t="e">
        <f ca="1">IF(Data!#REF!="","",IF(ISNUMBER(Data!#REF!),IF(AND(Data!#REF!&gt;(TODAY()-(Data_Val!$M$3*365.25)),Data!#REF!&lt;=(TODAY()-(Data_Val!$M$2*365.25))),0,1),1))</f>
        <v>#REF!</v>
      </c>
      <c r="BK552" s="13" t="e">
        <f>IF(Data!#REF!="","",IF(Data!$G552="",1,IF(ISNUMBER(MATCH(Data!#REF!,Data_Val!$D$2:$D$10,0)),0,1)))</f>
        <v>#REF!</v>
      </c>
    </row>
    <row r="553" spans="1:63" x14ac:dyDescent="0.25">
      <c r="A553" s="9" t="str">
        <f>IF(Data!B553="","",IF(COUNTIFS(Data!A$1:'Data'!A553,Data!A553)&lt;=1,0,1))</f>
        <v/>
      </c>
      <c r="B553" s="9"/>
      <c r="C553" s="23" t="str">
        <f>IF(Data!C553="","",(IF(ISNUMBER(MATCH("*@*.?*",Data!C553,0)),0,1)+IF(COUNTIFS(Data!C$1:'Data'!C553,Data!C553)&gt;1,1,0)))</f>
        <v/>
      </c>
      <c r="D553" s="9" t="str">
        <f>IF(Data!B553="","",IF(ISNUMBER(Data!D553),IF(AND(Data!D553&gt;999999999,Data!D553&lt;=9999999999),IF(COUNTIFS(Data!D$1:'Data'!D553,Data!D553)&lt;=1,0,1),1),1))</f>
        <v/>
      </c>
      <c r="E553" s="9" t="str">
        <f>IF(Data!B553="","",IF(ISNUMBER(MATCH(Data!E553,Data_Val!$A$2:$A$3,0)),0,1))</f>
        <v/>
      </c>
      <c r="F553" s="9" t="str">
        <f ca="1">IF(Data!B553="","",IF(ISNUMBER(Data!F553),IF(AND(Data!F553&gt;(TODAY()-(Data_Val!$H$3*365.25)),Data!F553&lt;=(TODAY()-(Data_Val!$H$2*365.25))),0,1),1))</f>
        <v/>
      </c>
      <c r="G553" s="15" t="str">
        <f>IF(Data!B553="","",IF(AND(Data!G553="",Data!H553&lt;&gt;""),1,IF(Data!#REF!&lt;&gt;"",0,IF(ISNUMBER(MATCH(Data!G553,Data_Val!$C$2:$C$5,0)),0,1))))</f>
        <v/>
      </c>
      <c r="H553" s="15" t="str">
        <f>IF(Data!B553="","",IF(AND(Data!G553&lt;&gt;"",Data!H553=""),1,IF(Data!#REF!&lt;&gt;"",0,IF(Data!G553="",1,IF(ISNUMBER(MATCH(Data!H553,Data_Val!$D$2:$D$35,0)),0,1)))))</f>
        <v/>
      </c>
      <c r="I553" s="15" t="str">
        <f>IF(Data!B553="","",IF(Data!G553&lt;&gt;"",0,IF(ISNUMBER(MATCH(Data!#REF!,Data_Val!$E$2:$E$12,0)),0,1)))</f>
        <v/>
      </c>
      <c r="J553" s="16" t="e">
        <f>IF(OR(Data!B553="",Data!#REF!=""),"",IF(Data!#REF!="",1,0))</f>
        <v>#REF!</v>
      </c>
      <c r="K553" s="16" t="e">
        <f>IF(OR(Data!B553="",Data!#REF!=""),"",IF(Data!#REF!="",1,0))</f>
        <v>#REF!</v>
      </c>
      <c r="L553" s="16" t="e">
        <f>IF(OR(Data!B553="",Data!#REF!=""),"",IF(ISNUMBER(Data!#REF!),IF(AND(Data!#REF!&gt;Data_Val!$G$2,Data!#REF!&lt;=Data_Val!$G$3),0,1),1))</f>
        <v>#REF!</v>
      </c>
      <c r="M553" s="9" t="e">
        <f>IF(OR(Data!B553="",Data!#REF!=""),"",IF(ISNUMBER(MATCH(Data!#REF!,Data_Val!$F$1:$F$38,0)),0,1))</f>
        <v>#REF!</v>
      </c>
      <c r="N553" s="9" t="e">
        <f>IF(OR(Data!B553="",Data!#REF!=""),"",IF(Data!#REF!="",1,0))</f>
        <v>#REF!</v>
      </c>
      <c r="O553" s="17" t="e">
        <f>IF(Data!#REF!="","",IF(Data!#REF!="",1,0))</f>
        <v>#REF!</v>
      </c>
      <c r="P553" s="17" t="e">
        <f>IF(Data!#REF!="","",IF(ISNUMBER(MATCH(Data!#REF!,Data_Val!$A$2:$A$3,0)),0,1))</f>
        <v>#REF!</v>
      </c>
      <c r="Q553" s="25" t="e">
        <f ca="1">IF(Data!#REF!="","",IF(ISNUMBER(Data!#REF!),IF(AND(Data!#REF!&gt;(TODAY()-(Data_Val!$J$3*365.25)),Data!#REF!&lt;=(TODAY()-(Data_Val!$J$2*365.25))),0,1),1))</f>
        <v>#REF!</v>
      </c>
      <c r="R553" s="17" t="e">
        <f>IF(Data!#REF!="","",IF(ISNUMBER(MATCH(Data!#REF!,Data_Val!$B$2:$B$15,0)),0,1))</f>
        <v>#REF!</v>
      </c>
      <c r="S553" s="11" t="str">
        <f>IF(Data!G553="","",IF(Data!G553=Data_Val!$C$2,IF(Data!M553="",0,1),0))</f>
        <v/>
      </c>
      <c r="T553" s="11" t="str">
        <f>IF(Data!M553="","",IF(ISNUMBER(MATCH(Data!N553,Data_Val!$A$2:$A$3,0)),0,1))</f>
        <v/>
      </c>
      <c r="U553" s="11" t="str">
        <f ca="1">IF(Data!M553="","",IF(ISNUMBER(Data!O553),IF(AND(Data!O553&gt;(TODAY()-(Data_Val!$K$3*365.25)),Data!O553&lt;=(TODAY()-(Data_Val!$K$2*365.25))),0,1),1))</f>
        <v/>
      </c>
      <c r="V553" s="12" t="str">
        <f>IF(Data!G553="","",IF(Data!G553=Data_Val!$C$2,IF(Data!P553="",0,1),0))</f>
        <v/>
      </c>
      <c r="W553" s="12" t="str">
        <f>IF(Data!P553="","",IF(ISNUMBER(MATCH(Data!Q553,Data_Val!$A$2:$A$3,0)),0,1))</f>
        <v/>
      </c>
      <c r="X553" s="26" t="str">
        <f ca="1">IF(Data!P553="","",IF(ISNUMBER(Data!R553),IF(AND(Data!R553&gt;(TODAY()-(Data_Val!$L$3*365.25)),Data!R553&lt;=(TODAY()-(Data_Val!$L$2*365.25))),0,1),1))</f>
        <v/>
      </c>
      <c r="Y553" s="13" t="str">
        <f>IF(Data!$G553="","",IF(Data!$G553=Data_Val!$C$2,IF(Data!S553="",0,1),0))</f>
        <v/>
      </c>
      <c r="Z553" s="13" t="str">
        <f>IF(Data!S553="","",IF(ISNUMBER(MATCH(Data!T553,Data_Val!$A$2:$A$3,0)),0,1))</f>
        <v/>
      </c>
      <c r="AA553" s="28" t="str">
        <f ca="1">IF(Data!S553="","",IF(ISNUMBER(Data!U553),IF(AND(Data!U553&gt;(TODAY()-(Data_Val!$L$3*365.25)),Data!U553&lt;=(TODAY()-(Data_Val!$L$2*365.25))),0,1),1))</f>
        <v/>
      </c>
      <c r="AB553" s="11"/>
      <c r="AC553" s="11" t="e">
        <f>IF(Data!#REF!="","",IF(ISNUMBER(MATCH(Data!#REF!,Data_Val!$A$2:$A$3,0)),0,1))</f>
        <v>#REF!</v>
      </c>
      <c r="AD553" s="11" t="e">
        <f ca="1">IF(Data!#REF!="","",IF(ISNUMBER(Data!#REF!),IF(AND(Data!#REF!&gt;(TODAY()-(Data_Val!$L$3*365.25)),Data!#REF!&lt;=(TODAY()-(Data_Val!$L$2*365.25))),0,1),1))</f>
        <v>#REF!</v>
      </c>
      <c r="AE553" s="11" t="e">
        <f>IF(Data!#REF!="","",IF(Data!$G553="",1,IF(ISNUMBER(MATCH(Data!#REF!,Data_Val!$D$2:$D$10,0)),0,1)))</f>
        <v>#REF!</v>
      </c>
      <c r="AF553" s="12"/>
      <c r="AG553" s="12" t="e">
        <f>IF(Data!#REF!="","",IF(ISNUMBER(MATCH(Data!#REF!,Data_Val!$A$2:$A$3,0)),0,1))</f>
        <v>#REF!</v>
      </c>
      <c r="AH553" s="26" t="e">
        <f ca="1">IF(Data!#REF!="","",IF(ISNUMBER(Data!#REF!),IF(AND(Data!#REF!&gt;(TODAY()-(Data_Val!$L$3*365.25)),Data!#REF!&lt;=(TODAY()-(Data_Val!$L$2*365.25))),0,1),1))</f>
        <v>#REF!</v>
      </c>
      <c r="AI553" s="12" t="e">
        <f>IF(Data!#REF!="","",IF(Data!$G553="",1,IF(ISNUMBER(MATCH(Data!#REF!,Data_Val!$D$2:$D$10,0)),0,1)))</f>
        <v>#REF!</v>
      </c>
      <c r="AJ553" s="17"/>
      <c r="AK553" s="17" t="e">
        <f>IF(Data!#REF!="","",IF(ISNUMBER(MATCH(Data!#REF!,Data_Val!$A$2:$A$3,0)),0,1))</f>
        <v>#REF!</v>
      </c>
      <c r="AL553" s="25" t="e">
        <f ca="1">IF(Data!#REF!="","",IF(ISNUMBER(Data!#REF!),IF(AND(Data!#REF!&gt;(TODAY()-(Data_Val!$L$3*365.25)),Data!#REF!&lt;=(TODAY()-(Data_Val!$L$2*365.25))),0,1),1))</f>
        <v>#REF!</v>
      </c>
      <c r="AM553" s="17" t="e">
        <f>IF(Data!#REF!="","",IF(Data!$G553="",1,IF(ISNUMBER(MATCH(Data!#REF!,Data_Val!$D$2:$D$10,0)),0,1)))</f>
        <v>#REF!</v>
      </c>
      <c r="AN553" s="13"/>
      <c r="AO553" s="28" t="e">
        <f ca="1">IF(Data!#REF!="","",IF(ISNUMBER(Data!#REF!),IF(AND(Data!#REF!&gt;(TODAY()-(Data_Val!$I$3*365.25)),Data!#REF!&lt;=(TODAY()-(Data_Val!$I$2*365.25))),0,1),1))</f>
        <v>#REF!</v>
      </c>
      <c r="AP553" s="13" t="e">
        <f>IF(Data!#REF!="","",IF(Data!$G553="",1,IF(ISNUMBER(MATCH(Data!#REF!,Data_Val!$D$2:$D$10,0)),0,1)))</f>
        <v>#REF!</v>
      </c>
      <c r="AQ553" s="17"/>
      <c r="AR553" s="30" t="e">
        <f ca="1">IF(Data!#REF!="","",IF(ISNUMBER(Data!#REF!),IF(AND(Data!#REF!&gt;(TODAY()-(Data_Val!$I$3*365.25)),Data!#REF!&lt;=(TODAY()-(Data_Val!$I$2*365.25))),0,1),1))</f>
        <v>#REF!</v>
      </c>
      <c r="AS553" s="31" t="e">
        <f>IF(Data!#REF!="","",IF(Data!$G553="",1,IF(ISNUMBER(MATCH(Data!#REF!,Data_Val!$D$2:$D$10,0)),0,1)))</f>
        <v>#REF!</v>
      </c>
      <c r="AT553" s="11"/>
      <c r="AU553" s="11" t="e">
        <f ca="1">IF(Data!#REF!="","",IF(ISNUMBER(Data!#REF!),IF(AND(Data!#REF!&gt;(TODAY()-(Data_Val!$I$3*365.25)),Data!#REF!&lt;=(TODAY()-(Data_Val!$I$2*365.25))),0,1),1))</f>
        <v>#REF!</v>
      </c>
      <c r="AV553" s="11" t="e">
        <f>IF(Data!#REF!="","",IF(Data!$G553="",1,IF(ISNUMBER(MATCH(Data!#REF!,Data_Val!$D$2:$D$10,0)),0,1)))</f>
        <v>#REF!</v>
      </c>
      <c r="AW553" s="12"/>
      <c r="AX553" s="26" t="e">
        <f ca="1">IF(Data!#REF!="","",IF(ISNUMBER(Data!#REF!),IF(AND(Data!#REF!&gt;(TODAY()-(Data_Val!$I$3*365.25)),Data!#REF!&lt;=(TODAY()-(Data_Val!$I$2*365.25))),0,1),1))</f>
        <v>#REF!</v>
      </c>
      <c r="AY553" s="12" t="e">
        <f>IF(Data!#REF!="","",IF(Data!$G553="",1,IF(ISNUMBER(MATCH(Data!#REF!,Data_Val!$D$2:$D$10,0)),0,1)))</f>
        <v>#REF!</v>
      </c>
      <c r="AZ553" s="11"/>
      <c r="BA553" s="19" t="e">
        <f ca="1">IF(Data!#REF!="","",IF(ISNUMBER(Data!#REF!),IF(AND(Data!#REF!&gt;(TODAY()-(Data_Val!$M$3*365.25)),Data!#REF!&lt;=(TODAY()-(Data_Val!$M$2*365.25))),0,1),1))</f>
        <v>#REF!</v>
      </c>
      <c r="BB553" s="11" t="e">
        <f>IF(Data!#REF!="","",IF(Data!$G553="",1,IF(ISNUMBER(MATCH(Data!#REF!,Data_Val!$D$2:$D$10,0)),0,1)))</f>
        <v>#REF!</v>
      </c>
      <c r="BC553" s="12"/>
      <c r="BD553" s="20" t="e">
        <f ca="1">IF(Data!#REF!="","",IF(ISNUMBER(Data!#REF!),IF(AND(Data!#REF!&gt;(TODAY()-(Data_Val!$M$3*365.25)),Data!#REF!&lt;=(TODAY()-(Data_Val!$M$2*365.25))),0,1),1))</f>
        <v>#REF!</v>
      </c>
      <c r="BE553" s="12" t="e">
        <f>IF(Data!#REF!="","",IF(Data!$G553="",1,IF(ISNUMBER(MATCH(Data!#REF!,Data_Val!$D$2:$D$10,0)),0,1)))</f>
        <v>#REF!</v>
      </c>
      <c r="BF553" s="17"/>
      <c r="BG553" s="18" t="e">
        <f ca="1">IF(Data!#REF!="","",IF(ISNUMBER(Data!#REF!),IF(AND(Data!#REF!&gt;(TODAY()-(Data_Val!$M$3*365.25)),Data!#REF!&lt;=(TODAY()-(Data_Val!$M$2*365.25))),0,1),1))</f>
        <v>#REF!</v>
      </c>
      <c r="BH553" s="29" t="e">
        <f>IF(Data!#REF!="","",IF(Data!$G553="",1,IF(ISNUMBER(MATCH(Data!#REF!,Data_Val!$D$2:$D$10,0)),0,1)))</f>
        <v>#REF!</v>
      </c>
      <c r="BI553" s="13"/>
      <c r="BJ553" s="21" t="e">
        <f ca="1">IF(Data!#REF!="","",IF(ISNUMBER(Data!#REF!),IF(AND(Data!#REF!&gt;(TODAY()-(Data_Val!$M$3*365.25)),Data!#REF!&lt;=(TODAY()-(Data_Val!$M$2*365.25))),0,1),1))</f>
        <v>#REF!</v>
      </c>
      <c r="BK553" s="13" t="e">
        <f>IF(Data!#REF!="","",IF(Data!$G553="",1,IF(ISNUMBER(MATCH(Data!#REF!,Data_Val!$D$2:$D$10,0)),0,1)))</f>
        <v>#REF!</v>
      </c>
    </row>
    <row r="554" spans="1:63" x14ac:dyDescent="0.25">
      <c r="A554" s="9" t="str">
        <f>IF(Data!B554="","",IF(COUNTIFS(Data!A$1:'Data'!A554,Data!A554)&lt;=1,0,1))</f>
        <v/>
      </c>
      <c r="B554" s="9"/>
      <c r="C554" s="23" t="str">
        <f>IF(Data!C554="","",(IF(ISNUMBER(MATCH("*@*.?*",Data!C554,0)),0,1)+IF(COUNTIFS(Data!C$1:'Data'!C554,Data!C554)&gt;1,1,0)))</f>
        <v/>
      </c>
      <c r="D554" s="9" t="str">
        <f>IF(Data!B554="","",IF(ISNUMBER(Data!D554),IF(AND(Data!D554&gt;999999999,Data!D554&lt;=9999999999),IF(COUNTIFS(Data!D$1:'Data'!D554,Data!D554)&lt;=1,0,1),1),1))</f>
        <v/>
      </c>
      <c r="E554" s="9" t="str">
        <f>IF(Data!B554="","",IF(ISNUMBER(MATCH(Data!E554,Data_Val!$A$2:$A$3,0)),0,1))</f>
        <v/>
      </c>
      <c r="F554" s="9" t="str">
        <f ca="1">IF(Data!B554="","",IF(ISNUMBER(Data!F554),IF(AND(Data!F554&gt;(TODAY()-(Data_Val!$H$3*365.25)),Data!F554&lt;=(TODAY()-(Data_Val!$H$2*365.25))),0,1),1))</f>
        <v/>
      </c>
      <c r="G554" s="15" t="str">
        <f>IF(Data!B554="","",IF(AND(Data!G554="",Data!H554&lt;&gt;""),1,IF(Data!#REF!&lt;&gt;"",0,IF(ISNUMBER(MATCH(Data!G554,Data_Val!$C$2:$C$5,0)),0,1))))</f>
        <v/>
      </c>
      <c r="H554" s="15" t="str">
        <f>IF(Data!B554="","",IF(AND(Data!G554&lt;&gt;"",Data!H554=""),1,IF(Data!#REF!&lt;&gt;"",0,IF(Data!G554="",1,IF(ISNUMBER(MATCH(Data!H554,Data_Val!$D$2:$D$35,0)),0,1)))))</f>
        <v/>
      </c>
      <c r="I554" s="15" t="str">
        <f>IF(Data!B554="","",IF(Data!G554&lt;&gt;"",0,IF(ISNUMBER(MATCH(Data!#REF!,Data_Val!$E$2:$E$12,0)),0,1)))</f>
        <v/>
      </c>
      <c r="J554" s="16" t="e">
        <f>IF(OR(Data!B554="",Data!#REF!=""),"",IF(Data!#REF!="",1,0))</f>
        <v>#REF!</v>
      </c>
      <c r="K554" s="16" t="e">
        <f>IF(OR(Data!B554="",Data!#REF!=""),"",IF(Data!#REF!="",1,0))</f>
        <v>#REF!</v>
      </c>
      <c r="L554" s="16" t="e">
        <f>IF(OR(Data!B554="",Data!#REF!=""),"",IF(ISNUMBER(Data!#REF!),IF(AND(Data!#REF!&gt;Data_Val!$G$2,Data!#REF!&lt;=Data_Val!$G$3),0,1),1))</f>
        <v>#REF!</v>
      </c>
      <c r="M554" s="9" t="e">
        <f>IF(OR(Data!B554="",Data!#REF!=""),"",IF(ISNUMBER(MATCH(Data!#REF!,Data_Val!$F$1:$F$38,0)),0,1))</f>
        <v>#REF!</v>
      </c>
      <c r="N554" s="9" t="e">
        <f>IF(OR(Data!B554="",Data!#REF!=""),"",IF(Data!#REF!="",1,0))</f>
        <v>#REF!</v>
      </c>
      <c r="O554" s="17" t="e">
        <f>IF(Data!#REF!="","",IF(Data!#REF!="",1,0))</f>
        <v>#REF!</v>
      </c>
      <c r="P554" s="17" t="e">
        <f>IF(Data!#REF!="","",IF(ISNUMBER(MATCH(Data!#REF!,Data_Val!$A$2:$A$3,0)),0,1))</f>
        <v>#REF!</v>
      </c>
      <c r="Q554" s="25" t="e">
        <f ca="1">IF(Data!#REF!="","",IF(ISNUMBER(Data!#REF!),IF(AND(Data!#REF!&gt;(TODAY()-(Data_Val!$J$3*365.25)),Data!#REF!&lt;=(TODAY()-(Data_Val!$J$2*365.25))),0,1),1))</f>
        <v>#REF!</v>
      </c>
      <c r="R554" s="17" t="e">
        <f>IF(Data!#REF!="","",IF(ISNUMBER(MATCH(Data!#REF!,Data_Val!$B$2:$B$15,0)),0,1))</f>
        <v>#REF!</v>
      </c>
      <c r="S554" s="11" t="str">
        <f>IF(Data!G554="","",IF(Data!G554=Data_Val!$C$2,IF(Data!M554="",0,1),0))</f>
        <v/>
      </c>
      <c r="T554" s="11" t="str">
        <f>IF(Data!M554="","",IF(ISNUMBER(MATCH(Data!N554,Data_Val!$A$2:$A$3,0)),0,1))</f>
        <v/>
      </c>
      <c r="U554" s="11" t="str">
        <f ca="1">IF(Data!M554="","",IF(ISNUMBER(Data!O554),IF(AND(Data!O554&gt;(TODAY()-(Data_Val!$K$3*365.25)),Data!O554&lt;=(TODAY()-(Data_Val!$K$2*365.25))),0,1),1))</f>
        <v/>
      </c>
      <c r="V554" s="12" t="str">
        <f>IF(Data!G554="","",IF(Data!G554=Data_Val!$C$2,IF(Data!P554="",0,1),0))</f>
        <v/>
      </c>
      <c r="W554" s="12" t="str">
        <f>IF(Data!P554="","",IF(ISNUMBER(MATCH(Data!Q554,Data_Val!$A$2:$A$3,0)),0,1))</f>
        <v/>
      </c>
      <c r="X554" s="26" t="str">
        <f ca="1">IF(Data!P554="","",IF(ISNUMBER(Data!R554),IF(AND(Data!R554&gt;(TODAY()-(Data_Val!$L$3*365.25)),Data!R554&lt;=(TODAY()-(Data_Val!$L$2*365.25))),0,1),1))</f>
        <v/>
      </c>
      <c r="Y554" s="13" t="str">
        <f>IF(Data!$G554="","",IF(Data!$G554=Data_Val!$C$2,IF(Data!S554="",0,1),0))</f>
        <v/>
      </c>
      <c r="Z554" s="13" t="str">
        <f>IF(Data!S554="","",IF(ISNUMBER(MATCH(Data!T554,Data_Val!$A$2:$A$3,0)),0,1))</f>
        <v/>
      </c>
      <c r="AA554" s="28" t="str">
        <f ca="1">IF(Data!S554="","",IF(ISNUMBER(Data!U554),IF(AND(Data!U554&gt;(TODAY()-(Data_Val!$L$3*365.25)),Data!U554&lt;=(TODAY()-(Data_Val!$L$2*365.25))),0,1),1))</f>
        <v/>
      </c>
      <c r="AB554" s="11"/>
      <c r="AC554" s="11" t="e">
        <f>IF(Data!#REF!="","",IF(ISNUMBER(MATCH(Data!#REF!,Data_Val!$A$2:$A$3,0)),0,1))</f>
        <v>#REF!</v>
      </c>
      <c r="AD554" s="11" t="e">
        <f ca="1">IF(Data!#REF!="","",IF(ISNUMBER(Data!#REF!),IF(AND(Data!#REF!&gt;(TODAY()-(Data_Val!$L$3*365.25)),Data!#REF!&lt;=(TODAY()-(Data_Val!$L$2*365.25))),0,1),1))</f>
        <v>#REF!</v>
      </c>
      <c r="AE554" s="11" t="e">
        <f>IF(Data!#REF!="","",IF(Data!$G554="",1,IF(ISNUMBER(MATCH(Data!#REF!,Data_Val!$D$2:$D$10,0)),0,1)))</f>
        <v>#REF!</v>
      </c>
      <c r="AF554" s="12"/>
      <c r="AG554" s="12" t="e">
        <f>IF(Data!#REF!="","",IF(ISNUMBER(MATCH(Data!#REF!,Data_Val!$A$2:$A$3,0)),0,1))</f>
        <v>#REF!</v>
      </c>
      <c r="AH554" s="26" t="e">
        <f ca="1">IF(Data!#REF!="","",IF(ISNUMBER(Data!#REF!),IF(AND(Data!#REF!&gt;(TODAY()-(Data_Val!$L$3*365.25)),Data!#REF!&lt;=(TODAY()-(Data_Val!$L$2*365.25))),0,1),1))</f>
        <v>#REF!</v>
      </c>
      <c r="AI554" s="12" t="e">
        <f>IF(Data!#REF!="","",IF(Data!$G554="",1,IF(ISNUMBER(MATCH(Data!#REF!,Data_Val!$D$2:$D$10,0)),0,1)))</f>
        <v>#REF!</v>
      </c>
      <c r="AJ554" s="17"/>
      <c r="AK554" s="17" t="e">
        <f>IF(Data!#REF!="","",IF(ISNUMBER(MATCH(Data!#REF!,Data_Val!$A$2:$A$3,0)),0,1))</f>
        <v>#REF!</v>
      </c>
      <c r="AL554" s="25" t="e">
        <f ca="1">IF(Data!#REF!="","",IF(ISNUMBER(Data!#REF!),IF(AND(Data!#REF!&gt;(TODAY()-(Data_Val!$L$3*365.25)),Data!#REF!&lt;=(TODAY()-(Data_Val!$L$2*365.25))),0,1),1))</f>
        <v>#REF!</v>
      </c>
      <c r="AM554" s="17" t="e">
        <f>IF(Data!#REF!="","",IF(Data!$G554="",1,IF(ISNUMBER(MATCH(Data!#REF!,Data_Val!$D$2:$D$10,0)),0,1)))</f>
        <v>#REF!</v>
      </c>
      <c r="AN554" s="13"/>
      <c r="AO554" s="28" t="e">
        <f ca="1">IF(Data!#REF!="","",IF(ISNUMBER(Data!#REF!),IF(AND(Data!#REF!&gt;(TODAY()-(Data_Val!$I$3*365.25)),Data!#REF!&lt;=(TODAY()-(Data_Val!$I$2*365.25))),0,1),1))</f>
        <v>#REF!</v>
      </c>
      <c r="AP554" s="13" t="e">
        <f>IF(Data!#REF!="","",IF(Data!$G554="",1,IF(ISNUMBER(MATCH(Data!#REF!,Data_Val!$D$2:$D$10,0)),0,1)))</f>
        <v>#REF!</v>
      </c>
      <c r="AQ554" s="17"/>
      <c r="AR554" s="30" t="e">
        <f ca="1">IF(Data!#REF!="","",IF(ISNUMBER(Data!#REF!),IF(AND(Data!#REF!&gt;(TODAY()-(Data_Val!$I$3*365.25)),Data!#REF!&lt;=(TODAY()-(Data_Val!$I$2*365.25))),0,1),1))</f>
        <v>#REF!</v>
      </c>
      <c r="AS554" s="31" t="e">
        <f>IF(Data!#REF!="","",IF(Data!$G554="",1,IF(ISNUMBER(MATCH(Data!#REF!,Data_Val!$D$2:$D$10,0)),0,1)))</f>
        <v>#REF!</v>
      </c>
      <c r="AT554" s="11"/>
      <c r="AU554" s="11" t="e">
        <f ca="1">IF(Data!#REF!="","",IF(ISNUMBER(Data!#REF!),IF(AND(Data!#REF!&gt;(TODAY()-(Data_Val!$I$3*365.25)),Data!#REF!&lt;=(TODAY()-(Data_Val!$I$2*365.25))),0,1),1))</f>
        <v>#REF!</v>
      </c>
      <c r="AV554" s="11" t="e">
        <f>IF(Data!#REF!="","",IF(Data!$G554="",1,IF(ISNUMBER(MATCH(Data!#REF!,Data_Val!$D$2:$D$10,0)),0,1)))</f>
        <v>#REF!</v>
      </c>
      <c r="AW554" s="12"/>
      <c r="AX554" s="26" t="e">
        <f ca="1">IF(Data!#REF!="","",IF(ISNUMBER(Data!#REF!),IF(AND(Data!#REF!&gt;(TODAY()-(Data_Val!$I$3*365.25)),Data!#REF!&lt;=(TODAY()-(Data_Val!$I$2*365.25))),0,1),1))</f>
        <v>#REF!</v>
      </c>
      <c r="AY554" s="12" t="e">
        <f>IF(Data!#REF!="","",IF(Data!$G554="",1,IF(ISNUMBER(MATCH(Data!#REF!,Data_Val!$D$2:$D$10,0)),0,1)))</f>
        <v>#REF!</v>
      </c>
      <c r="AZ554" s="11"/>
      <c r="BA554" s="19" t="e">
        <f ca="1">IF(Data!#REF!="","",IF(ISNUMBER(Data!#REF!),IF(AND(Data!#REF!&gt;(TODAY()-(Data_Val!$M$3*365.25)),Data!#REF!&lt;=(TODAY()-(Data_Val!$M$2*365.25))),0,1),1))</f>
        <v>#REF!</v>
      </c>
      <c r="BB554" s="11" t="e">
        <f>IF(Data!#REF!="","",IF(Data!$G554="",1,IF(ISNUMBER(MATCH(Data!#REF!,Data_Val!$D$2:$D$10,0)),0,1)))</f>
        <v>#REF!</v>
      </c>
      <c r="BC554" s="12"/>
      <c r="BD554" s="20" t="e">
        <f ca="1">IF(Data!#REF!="","",IF(ISNUMBER(Data!#REF!),IF(AND(Data!#REF!&gt;(TODAY()-(Data_Val!$M$3*365.25)),Data!#REF!&lt;=(TODAY()-(Data_Val!$M$2*365.25))),0,1),1))</f>
        <v>#REF!</v>
      </c>
      <c r="BE554" s="12" t="e">
        <f>IF(Data!#REF!="","",IF(Data!$G554="",1,IF(ISNUMBER(MATCH(Data!#REF!,Data_Val!$D$2:$D$10,0)),0,1)))</f>
        <v>#REF!</v>
      </c>
      <c r="BF554" s="17"/>
      <c r="BG554" s="18" t="e">
        <f ca="1">IF(Data!#REF!="","",IF(ISNUMBER(Data!#REF!),IF(AND(Data!#REF!&gt;(TODAY()-(Data_Val!$M$3*365.25)),Data!#REF!&lt;=(TODAY()-(Data_Val!$M$2*365.25))),0,1),1))</f>
        <v>#REF!</v>
      </c>
      <c r="BH554" s="29" t="e">
        <f>IF(Data!#REF!="","",IF(Data!$G554="",1,IF(ISNUMBER(MATCH(Data!#REF!,Data_Val!$D$2:$D$10,0)),0,1)))</f>
        <v>#REF!</v>
      </c>
      <c r="BI554" s="13"/>
      <c r="BJ554" s="21" t="e">
        <f ca="1">IF(Data!#REF!="","",IF(ISNUMBER(Data!#REF!),IF(AND(Data!#REF!&gt;(TODAY()-(Data_Val!$M$3*365.25)),Data!#REF!&lt;=(TODAY()-(Data_Val!$M$2*365.25))),0,1),1))</f>
        <v>#REF!</v>
      </c>
      <c r="BK554" s="13" t="e">
        <f>IF(Data!#REF!="","",IF(Data!$G554="",1,IF(ISNUMBER(MATCH(Data!#REF!,Data_Val!$D$2:$D$10,0)),0,1)))</f>
        <v>#REF!</v>
      </c>
    </row>
    <row r="555" spans="1:63" x14ac:dyDescent="0.25">
      <c r="A555" s="9" t="str">
        <f>IF(Data!B555="","",IF(COUNTIFS(Data!A$1:'Data'!A555,Data!A555)&lt;=1,0,1))</f>
        <v/>
      </c>
      <c r="B555" s="9"/>
      <c r="C555" s="23" t="str">
        <f>IF(Data!C555="","",(IF(ISNUMBER(MATCH("*@*.?*",Data!C555,0)),0,1)+IF(COUNTIFS(Data!C$1:'Data'!C555,Data!C555)&gt;1,1,0)))</f>
        <v/>
      </c>
      <c r="D555" s="9" t="str">
        <f>IF(Data!B555="","",IF(ISNUMBER(Data!D555),IF(AND(Data!D555&gt;999999999,Data!D555&lt;=9999999999),IF(COUNTIFS(Data!D$1:'Data'!D555,Data!D555)&lt;=1,0,1),1),1))</f>
        <v/>
      </c>
      <c r="E555" s="9" t="str">
        <f>IF(Data!B555="","",IF(ISNUMBER(MATCH(Data!E555,Data_Val!$A$2:$A$3,0)),0,1))</f>
        <v/>
      </c>
      <c r="F555" s="9" t="str">
        <f ca="1">IF(Data!B555="","",IF(ISNUMBER(Data!F555),IF(AND(Data!F555&gt;(TODAY()-(Data_Val!$H$3*365.25)),Data!F555&lt;=(TODAY()-(Data_Val!$H$2*365.25))),0,1),1))</f>
        <v/>
      </c>
      <c r="G555" s="15" t="str">
        <f>IF(Data!B555="","",IF(AND(Data!G555="",Data!H555&lt;&gt;""),1,IF(Data!#REF!&lt;&gt;"",0,IF(ISNUMBER(MATCH(Data!G555,Data_Val!$C$2:$C$5,0)),0,1))))</f>
        <v/>
      </c>
      <c r="H555" s="15" t="str">
        <f>IF(Data!B555="","",IF(AND(Data!G555&lt;&gt;"",Data!H555=""),1,IF(Data!#REF!&lt;&gt;"",0,IF(Data!G555="",1,IF(ISNUMBER(MATCH(Data!H555,Data_Val!$D$2:$D$35,0)),0,1)))))</f>
        <v/>
      </c>
      <c r="I555" s="15" t="str">
        <f>IF(Data!B555="","",IF(Data!G555&lt;&gt;"",0,IF(ISNUMBER(MATCH(Data!#REF!,Data_Val!$E$2:$E$12,0)),0,1)))</f>
        <v/>
      </c>
      <c r="J555" s="16" t="e">
        <f>IF(OR(Data!B555="",Data!#REF!=""),"",IF(Data!#REF!="",1,0))</f>
        <v>#REF!</v>
      </c>
      <c r="K555" s="16" t="e">
        <f>IF(OR(Data!B555="",Data!#REF!=""),"",IF(Data!#REF!="",1,0))</f>
        <v>#REF!</v>
      </c>
      <c r="L555" s="16" t="e">
        <f>IF(OR(Data!B555="",Data!#REF!=""),"",IF(ISNUMBER(Data!#REF!),IF(AND(Data!#REF!&gt;Data_Val!$G$2,Data!#REF!&lt;=Data_Val!$G$3),0,1),1))</f>
        <v>#REF!</v>
      </c>
      <c r="M555" s="9" t="e">
        <f>IF(OR(Data!B555="",Data!#REF!=""),"",IF(ISNUMBER(MATCH(Data!#REF!,Data_Val!$F$1:$F$38,0)),0,1))</f>
        <v>#REF!</v>
      </c>
      <c r="N555" s="9" t="e">
        <f>IF(OR(Data!B555="",Data!#REF!=""),"",IF(Data!#REF!="",1,0))</f>
        <v>#REF!</v>
      </c>
      <c r="O555" s="17" t="e">
        <f>IF(Data!#REF!="","",IF(Data!#REF!="",1,0))</f>
        <v>#REF!</v>
      </c>
      <c r="P555" s="17" t="e">
        <f>IF(Data!#REF!="","",IF(ISNUMBER(MATCH(Data!#REF!,Data_Val!$A$2:$A$3,0)),0,1))</f>
        <v>#REF!</v>
      </c>
      <c r="Q555" s="25" t="e">
        <f ca="1">IF(Data!#REF!="","",IF(ISNUMBER(Data!#REF!),IF(AND(Data!#REF!&gt;(TODAY()-(Data_Val!$J$3*365.25)),Data!#REF!&lt;=(TODAY()-(Data_Val!$J$2*365.25))),0,1),1))</f>
        <v>#REF!</v>
      </c>
      <c r="R555" s="17" t="e">
        <f>IF(Data!#REF!="","",IF(ISNUMBER(MATCH(Data!#REF!,Data_Val!$B$2:$B$15,0)),0,1))</f>
        <v>#REF!</v>
      </c>
      <c r="S555" s="11" t="str">
        <f>IF(Data!G555="","",IF(Data!G555=Data_Val!$C$2,IF(Data!M555="",0,1),0))</f>
        <v/>
      </c>
      <c r="T555" s="11" t="str">
        <f>IF(Data!M555="","",IF(ISNUMBER(MATCH(Data!N555,Data_Val!$A$2:$A$3,0)),0,1))</f>
        <v/>
      </c>
      <c r="U555" s="11" t="str">
        <f ca="1">IF(Data!M555="","",IF(ISNUMBER(Data!O555),IF(AND(Data!O555&gt;(TODAY()-(Data_Val!$K$3*365.25)),Data!O555&lt;=(TODAY()-(Data_Val!$K$2*365.25))),0,1),1))</f>
        <v/>
      </c>
      <c r="V555" s="12" t="str">
        <f>IF(Data!G555="","",IF(Data!G555=Data_Val!$C$2,IF(Data!P555="",0,1),0))</f>
        <v/>
      </c>
      <c r="W555" s="12" t="str">
        <f>IF(Data!P555="","",IF(ISNUMBER(MATCH(Data!Q555,Data_Val!$A$2:$A$3,0)),0,1))</f>
        <v/>
      </c>
      <c r="X555" s="26" t="str">
        <f ca="1">IF(Data!P555="","",IF(ISNUMBER(Data!R555),IF(AND(Data!R555&gt;(TODAY()-(Data_Val!$L$3*365.25)),Data!R555&lt;=(TODAY()-(Data_Val!$L$2*365.25))),0,1),1))</f>
        <v/>
      </c>
      <c r="Y555" s="13" t="str">
        <f>IF(Data!$G555="","",IF(Data!$G555=Data_Val!$C$2,IF(Data!S555="",0,1),0))</f>
        <v/>
      </c>
      <c r="Z555" s="13" t="str">
        <f>IF(Data!S555="","",IF(ISNUMBER(MATCH(Data!T555,Data_Val!$A$2:$A$3,0)),0,1))</f>
        <v/>
      </c>
      <c r="AA555" s="28" t="str">
        <f ca="1">IF(Data!S555="","",IF(ISNUMBER(Data!U555),IF(AND(Data!U555&gt;(TODAY()-(Data_Val!$L$3*365.25)),Data!U555&lt;=(TODAY()-(Data_Val!$L$2*365.25))),0,1),1))</f>
        <v/>
      </c>
      <c r="AB555" s="11"/>
      <c r="AC555" s="11" t="e">
        <f>IF(Data!#REF!="","",IF(ISNUMBER(MATCH(Data!#REF!,Data_Val!$A$2:$A$3,0)),0,1))</f>
        <v>#REF!</v>
      </c>
      <c r="AD555" s="11" t="e">
        <f ca="1">IF(Data!#REF!="","",IF(ISNUMBER(Data!#REF!),IF(AND(Data!#REF!&gt;(TODAY()-(Data_Val!$L$3*365.25)),Data!#REF!&lt;=(TODAY()-(Data_Val!$L$2*365.25))),0,1),1))</f>
        <v>#REF!</v>
      </c>
      <c r="AE555" s="11" t="e">
        <f>IF(Data!#REF!="","",IF(Data!$G555="",1,IF(ISNUMBER(MATCH(Data!#REF!,Data_Val!$D$2:$D$10,0)),0,1)))</f>
        <v>#REF!</v>
      </c>
      <c r="AF555" s="12"/>
      <c r="AG555" s="12" t="e">
        <f>IF(Data!#REF!="","",IF(ISNUMBER(MATCH(Data!#REF!,Data_Val!$A$2:$A$3,0)),0,1))</f>
        <v>#REF!</v>
      </c>
      <c r="AH555" s="26" t="e">
        <f ca="1">IF(Data!#REF!="","",IF(ISNUMBER(Data!#REF!),IF(AND(Data!#REF!&gt;(TODAY()-(Data_Val!$L$3*365.25)),Data!#REF!&lt;=(TODAY()-(Data_Val!$L$2*365.25))),0,1),1))</f>
        <v>#REF!</v>
      </c>
      <c r="AI555" s="12" t="e">
        <f>IF(Data!#REF!="","",IF(Data!$G555="",1,IF(ISNUMBER(MATCH(Data!#REF!,Data_Val!$D$2:$D$10,0)),0,1)))</f>
        <v>#REF!</v>
      </c>
      <c r="AJ555" s="17"/>
      <c r="AK555" s="17" t="e">
        <f>IF(Data!#REF!="","",IF(ISNUMBER(MATCH(Data!#REF!,Data_Val!$A$2:$A$3,0)),0,1))</f>
        <v>#REF!</v>
      </c>
      <c r="AL555" s="25" t="e">
        <f ca="1">IF(Data!#REF!="","",IF(ISNUMBER(Data!#REF!),IF(AND(Data!#REF!&gt;(TODAY()-(Data_Val!$L$3*365.25)),Data!#REF!&lt;=(TODAY()-(Data_Val!$L$2*365.25))),0,1),1))</f>
        <v>#REF!</v>
      </c>
      <c r="AM555" s="17" t="e">
        <f>IF(Data!#REF!="","",IF(Data!$G555="",1,IF(ISNUMBER(MATCH(Data!#REF!,Data_Val!$D$2:$D$10,0)),0,1)))</f>
        <v>#REF!</v>
      </c>
      <c r="AN555" s="13"/>
      <c r="AO555" s="28" t="e">
        <f ca="1">IF(Data!#REF!="","",IF(ISNUMBER(Data!#REF!),IF(AND(Data!#REF!&gt;(TODAY()-(Data_Val!$I$3*365.25)),Data!#REF!&lt;=(TODAY()-(Data_Val!$I$2*365.25))),0,1),1))</f>
        <v>#REF!</v>
      </c>
      <c r="AP555" s="13" t="e">
        <f>IF(Data!#REF!="","",IF(Data!$G555="",1,IF(ISNUMBER(MATCH(Data!#REF!,Data_Val!$D$2:$D$10,0)),0,1)))</f>
        <v>#REF!</v>
      </c>
      <c r="AQ555" s="17"/>
      <c r="AR555" s="30" t="e">
        <f ca="1">IF(Data!#REF!="","",IF(ISNUMBER(Data!#REF!),IF(AND(Data!#REF!&gt;(TODAY()-(Data_Val!$I$3*365.25)),Data!#REF!&lt;=(TODAY()-(Data_Val!$I$2*365.25))),0,1),1))</f>
        <v>#REF!</v>
      </c>
      <c r="AS555" s="31" t="e">
        <f>IF(Data!#REF!="","",IF(Data!$G555="",1,IF(ISNUMBER(MATCH(Data!#REF!,Data_Val!$D$2:$D$10,0)),0,1)))</f>
        <v>#REF!</v>
      </c>
      <c r="AT555" s="11"/>
      <c r="AU555" s="11" t="e">
        <f ca="1">IF(Data!#REF!="","",IF(ISNUMBER(Data!#REF!),IF(AND(Data!#REF!&gt;(TODAY()-(Data_Val!$I$3*365.25)),Data!#REF!&lt;=(TODAY()-(Data_Val!$I$2*365.25))),0,1),1))</f>
        <v>#REF!</v>
      </c>
      <c r="AV555" s="11" t="e">
        <f>IF(Data!#REF!="","",IF(Data!$G555="",1,IF(ISNUMBER(MATCH(Data!#REF!,Data_Val!$D$2:$D$10,0)),0,1)))</f>
        <v>#REF!</v>
      </c>
      <c r="AW555" s="12"/>
      <c r="AX555" s="26" t="e">
        <f ca="1">IF(Data!#REF!="","",IF(ISNUMBER(Data!#REF!),IF(AND(Data!#REF!&gt;(TODAY()-(Data_Val!$I$3*365.25)),Data!#REF!&lt;=(TODAY()-(Data_Val!$I$2*365.25))),0,1),1))</f>
        <v>#REF!</v>
      </c>
      <c r="AY555" s="12" t="e">
        <f>IF(Data!#REF!="","",IF(Data!$G555="",1,IF(ISNUMBER(MATCH(Data!#REF!,Data_Val!$D$2:$D$10,0)),0,1)))</f>
        <v>#REF!</v>
      </c>
      <c r="AZ555" s="11"/>
      <c r="BA555" s="19" t="e">
        <f ca="1">IF(Data!#REF!="","",IF(ISNUMBER(Data!#REF!),IF(AND(Data!#REF!&gt;(TODAY()-(Data_Val!$M$3*365.25)),Data!#REF!&lt;=(TODAY()-(Data_Val!$M$2*365.25))),0,1),1))</f>
        <v>#REF!</v>
      </c>
      <c r="BB555" s="11" t="e">
        <f>IF(Data!#REF!="","",IF(Data!$G555="",1,IF(ISNUMBER(MATCH(Data!#REF!,Data_Val!$D$2:$D$10,0)),0,1)))</f>
        <v>#REF!</v>
      </c>
      <c r="BC555" s="12"/>
      <c r="BD555" s="20" t="e">
        <f ca="1">IF(Data!#REF!="","",IF(ISNUMBER(Data!#REF!),IF(AND(Data!#REF!&gt;(TODAY()-(Data_Val!$M$3*365.25)),Data!#REF!&lt;=(TODAY()-(Data_Val!$M$2*365.25))),0,1),1))</f>
        <v>#REF!</v>
      </c>
      <c r="BE555" s="12" t="e">
        <f>IF(Data!#REF!="","",IF(Data!$G555="",1,IF(ISNUMBER(MATCH(Data!#REF!,Data_Val!$D$2:$D$10,0)),0,1)))</f>
        <v>#REF!</v>
      </c>
      <c r="BF555" s="17"/>
      <c r="BG555" s="18" t="e">
        <f ca="1">IF(Data!#REF!="","",IF(ISNUMBER(Data!#REF!),IF(AND(Data!#REF!&gt;(TODAY()-(Data_Val!$M$3*365.25)),Data!#REF!&lt;=(TODAY()-(Data_Val!$M$2*365.25))),0,1),1))</f>
        <v>#REF!</v>
      </c>
      <c r="BH555" s="29" t="e">
        <f>IF(Data!#REF!="","",IF(Data!$G555="",1,IF(ISNUMBER(MATCH(Data!#REF!,Data_Val!$D$2:$D$10,0)),0,1)))</f>
        <v>#REF!</v>
      </c>
      <c r="BI555" s="13"/>
      <c r="BJ555" s="21" t="e">
        <f ca="1">IF(Data!#REF!="","",IF(ISNUMBER(Data!#REF!),IF(AND(Data!#REF!&gt;(TODAY()-(Data_Val!$M$3*365.25)),Data!#REF!&lt;=(TODAY()-(Data_Val!$M$2*365.25))),0,1),1))</f>
        <v>#REF!</v>
      </c>
      <c r="BK555" s="13" t="e">
        <f>IF(Data!#REF!="","",IF(Data!$G555="",1,IF(ISNUMBER(MATCH(Data!#REF!,Data_Val!$D$2:$D$10,0)),0,1)))</f>
        <v>#REF!</v>
      </c>
    </row>
    <row r="556" spans="1:63" x14ac:dyDescent="0.25">
      <c r="A556" s="9" t="str">
        <f>IF(Data!B556="","",IF(COUNTIFS(Data!A$1:'Data'!A556,Data!A556)&lt;=1,0,1))</f>
        <v/>
      </c>
      <c r="B556" s="9"/>
      <c r="C556" s="23" t="str">
        <f>IF(Data!C556="","",(IF(ISNUMBER(MATCH("*@*.?*",Data!C556,0)),0,1)+IF(COUNTIFS(Data!C$1:'Data'!C556,Data!C556)&gt;1,1,0)))</f>
        <v/>
      </c>
      <c r="D556" s="9" t="str">
        <f>IF(Data!B556="","",IF(ISNUMBER(Data!D556),IF(AND(Data!D556&gt;999999999,Data!D556&lt;=9999999999),IF(COUNTIFS(Data!D$1:'Data'!D556,Data!D556)&lt;=1,0,1),1),1))</f>
        <v/>
      </c>
      <c r="E556" s="9" t="str">
        <f>IF(Data!B556="","",IF(ISNUMBER(MATCH(Data!E556,Data_Val!$A$2:$A$3,0)),0,1))</f>
        <v/>
      </c>
      <c r="F556" s="9" t="str">
        <f ca="1">IF(Data!B556="","",IF(ISNUMBER(Data!F556),IF(AND(Data!F556&gt;(TODAY()-(Data_Val!$H$3*365.25)),Data!F556&lt;=(TODAY()-(Data_Val!$H$2*365.25))),0,1),1))</f>
        <v/>
      </c>
      <c r="G556" s="15" t="str">
        <f>IF(Data!B556="","",IF(AND(Data!G556="",Data!H556&lt;&gt;""),1,IF(Data!#REF!&lt;&gt;"",0,IF(ISNUMBER(MATCH(Data!G556,Data_Val!$C$2:$C$5,0)),0,1))))</f>
        <v/>
      </c>
      <c r="H556" s="15" t="str">
        <f>IF(Data!B556="","",IF(AND(Data!G556&lt;&gt;"",Data!H556=""),1,IF(Data!#REF!&lt;&gt;"",0,IF(Data!G556="",1,IF(ISNUMBER(MATCH(Data!H556,Data_Val!$D$2:$D$35,0)),0,1)))))</f>
        <v/>
      </c>
      <c r="I556" s="15" t="str">
        <f>IF(Data!B556="","",IF(Data!G556&lt;&gt;"",0,IF(ISNUMBER(MATCH(Data!#REF!,Data_Val!$E$2:$E$12,0)),0,1)))</f>
        <v/>
      </c>
      <c r="J556" s="16" t="e">
        <f>IF(OR(Data!B556="",Data!#REF!=""),"",IF(Data!#REF!="",1,0))</f>
        <v>#REF!</v>
      </c>
      <c r="K556" s="16" t="e">
        <f>IF(OR(Data!B556="",Data!#REF!=""),"",IF(Data!#REF!="",1,0))</f>
        <v>#REF!</v>
      </c>
      <c r="L556" s="16" t="e">
        <f>IF(OR(Data!B556="",Data!#REF!=""),"",IF(ISNUMBER(Data!#REF!),IF(AND(Data!#REF!&gt;Data_Val!$G$2,Data!#REF!&lt;=Data_Val!$G$3),0,1),1))</f>
        <v>#REF!</v>
      </c>
      <c r="M556" s="9" t="e">
        <f>IF(OR(Data!B556="",Data!#REF!=""),"",IF(ISNUMBER(MATCH(Data!#REF!,Data_Val!$F$1:$F$38,0)),0,1))</f>
        <v>#REF!</v>
      </c>
      <c r="N556" s="9" t="e">
        <f>IF(OR(Data!B556="",Data!#REF!=""),"",IF(Data!#REF!="",1,0))</f>
        <v>#REF!</v>
      </c>
      <c r="O556" s="17" t="e">
        <f>IF(Data!#REF!="","",IF(Data!#REF!="",1,0))</f>
        <v>#REF!</v>
      </c>
      <c r="P556" s="17" t="e">
        <f>IF(Data!#REF!="","",IF(ISNUMBER(MATCH(Data!#REF!,Data_Val!$A$2:$A$3,0)),0,1))</f>
        <v>#REF!</v>
      </c>
      <c r="Q556" s="25" t="e">
        <f ca="1">IF(Data!#REF!="","",IF(ISNUMBER(Data!#REF!),IF(AND(Data!#REF!&gt;(TODAY()-(Data_Val!$J$3*365.25)),Data!#REF!&lt;=(TODAY()-(Data_Val!$J$2*365.25))),0,1),1))</f>
        <v>#REF!</v>
      </c>
      <c r="R556" s="17" t="e">
        <f>IF(Data!#REF!="","",IF(ISNUMBER(MATCH(Data!#REF!,Data_Val!$B$2:$B$15,0)),0,1))</f>
        <v>#REF!</v>
      </c>
      <c r="S556" s="11" t="str">
        <f>IF(Data!G556="","",IF(Data!G556=Data_Val!$C$2,IF(Data!M556="",0,1),0))</f>
        <v/>
      </c>
      <c r="T556" s="11" t="str">
        <f>IF(Data!M556="","",IF(ISNUMBER(MATCH(Data!N556,Data_Val!$A$2:$A$3,0)),0,1))</f>
        <v/>
      </c>
      <c r="U556" s="11" t="str">
        <f ca="1">IF(Data!M556="","",IF(ISNUMBER(Data!O556),IF(AND(Data!O556&gt;(TODAY()-(Data_Val!$K$3*365.25)),Data!O556&lt;=(TODAY()-(Data_Val!$K$2*365.25))),0,1),1))</f>
        <v/>
      </c>
      <c r="V556" s="12" t="str">
        <f>IF(Data!G556="","",IF(Data!G556=Data_Val!$C$2,IF(Data!P556="",0,1),0))</f>
        <v/>
      </c>
      <c r="W556" s="12" t="str">
        <f>IF(Data!P556="","",IF(ISNUMBER(MATCH(Data!Q556,Data_Val!$A$2:$A$3,0)),0,1))</f>
        <v/>
      </c>
      <c r="X556" s="26" t="str">
        <f ca="1">IF(Data!P556="","",IF(ISNUMBER(Data!R556),IF(AND(Data!R556&gt;(TODAY()-(Data_Val!$L$3*365.25)),Data!R556&lt;=(TODAY()-(Data_Val!$L$2*365.25))),0,1),1))</f>
        <v/>
      </c>
      <c r="Y556" s="13" t="str">
        <f>IF(Data!$G556="","",IF(Data!$G556=Data_Val!$C$2,IF(Data!S556="",0,1),0))</f>
        <v/>
      </c>
      <c r="Z556" s="13" t="str">
        <f>IF(Data!S556="","",IF(ISNUMBER(MATCH(Data!T556,Data_Val!$A$2:$A$3,0)),0,1))</f>
        <v/>
      </c>
      <c r="AA556" s="28" t="str">
        <f ca="1">IF(Data!S556="","",IF(ISNUMBER(Data!U556),IF(AND(Data!U556&gt;(TODAY()-(Data_Val!$L$3*365.25)),Data!U556&lt;=(TODAY()-(Data_Val!$L$2*365.25))),0,1),1))</f>
        <v/>
      </c>
      <c r="AB556" s="11"/>
      <c r="AC556" s="11" t="e">
        <f>IF(Data!#REF!="","",IF(ISNUMBER(MATCH(Data!#REF!,Data_Val!$A$2:$A$3,0)),0,1))</f>
        <v>#REF!</v>
      </c>
      <c r="AD556" s="11" t="e">
        <f ca="1">IF(Data!#REF!="","",IF(ISNUMBER(Data!#REF!),IF(AND(Data!#REF!&gt;(TODAY()-(Data_Val!$L$3*365.25)),Data!#REF!&lt;=(TODAY()-(Data_Val!$L$2*365.25))),0,1),1))</f>
        <v>#REF!</v>
      </c>
      <c r="AE556" s="11" t="e">
        <f>IF(Data!#REF!="","",IF(Data!$G556="",1,IF(ISNUMBER(MATCH(Data!#REF!,Data_Val!$D$2:$D$10,0)),0,1)))</f>
        <v>#REF!</v>
      </c>
      <c r="AF556" s="12"/>
      <c r="AG556" s="12" t="e">
        <f>IF(Data!#REF!="","",IF(ISNUMBER(MATCH(Data!#REF!,Data_Val!$A$2:$A$3,0)),0,1))</f>
        <v>#REF!</v>
      </c>
      <c r="AH556" s="26" t="e">
        <f ca="1">IF(Data!#REF!="","",IF(ISNUMBER(Data!#REF!),IF(AND(Data!#REF!&gt;(TODAY()-(Data_Val!$L$3*365.25)),Data!#REF!&lt;=(TODAY()-(Data_Val!$L$2*365.25))),0,1),1))</f>
        <v>#REF!</v>
      </c>
      <c r="AI556" s="12" t="e">
        <f>IF(Data!#REF!="","",IF(Data!$G556="",1,IF(ISNUMBER(MATCH(Data!#REF!,Data_Val!$D$2:$D$10,0)),0,1)))</f>
        <v>#REF!</v>
      </c>
      <c r="AJ556" s="17"/>
      <c r="AK556" s="17" t="e">
        <f>IF(Data!#REF!="","",IF(ISNUMBER(MATCH(Data!#REF!,Data_Val!$A$2:$A$3,0)),0,1))</f>
        <v>#REF!</v>
      </c>
      <c r="AL556" s="25" t="e">
        <f ca="1">IF(Data!#REF!="","",IF(ISNUMBER(Data!#REF!),IF(AND(Data!#REF!&gt;(TODAY()-(Data_Val!$L$3*365.25)),Data!#REF!&lt;=(TODAY()-(Data_Val!$L$2*365.25))),0,1),1))</f>
        <v>#REF!</v>
      </c>
      <c r="AM556" s="17" t="e">
        <f>IF(Data!#REF!="","",IF(Data!$G556="",1,IF(ISNUMBER(MATCH(Data!#REF!,Data_Val!$D$2:$D$10,0)),0,1)))</f>
        <v>#REF!</v>
      </c>
      <c r="AN556" s="13"/>
      <c r="AO556" s="28" t="e">
        <f ca="1">IF(Data!#REF!="","",IF(ISNUMBER(Data!#REF!),IF(AND(Data!#REF!&gt;(TODAY()-(Data_Val!$I$3*365.25)),Data!#REF!&lt;=(TODAY()-(Data_Val!$I$2*365.25))),0,1),1))</f>
        <v>#REF!</v>
      </c>
      <c r="AP556" s="13" t="e">
        <f>IF(Data!#REF!="","",IF(Data!$G556="",1,IF(ISNUMBER(MATCH(Data!#REF!,Data_Val!$D$2:$D$10,0)),0,1)))</f>
        <v>#REF!</v>
      </c>
      <c r="AQ556" s="17"/>
      <c r="AR556" s="30" t="e">
        <f ca="1">IF(Data!#REF!="","",IF(ISNUMBER(Data!#REF!),IF(AND(Data!#REF!&gt;(TODAY()-(Data_Val!$I$3*365.25)),Data!#REF!&lt;=(TODAY()-(Data_Val!$I$2*365.25))),0,1),1))</f>
        <v>#REF!</v>
      </c>
      <c r="AS556" s="31" t="e">
        <f>IF(Data!#REF!="","",IF(Data!$G556="",1,IF(ISNUMBER(MATCH(Data!#REF!,Data_Val!$D$2:$D$10,0)),0,1)))</f>
        <v>#REF!</v>
      </c>
      <c r="AT556" s="11"/>
      <c r="AU556" s="11" t="e">
        <f ca="1">IF(Data!#REF!="","",IF(ISNUMBER(Data!#REF!),IF(AND(Data!#REF!&gt;(TODAY()-(Data_Val!$I$3*365.25)),Data!#REF!&lt;=(TODAY()-(Data_Val!$I$2*365.25))),0,1),1))</f>
        <v>#REF!</v>
      </c>
      <c r="AV556" s="11" t="e">
        <f>IF(Data!#REF!="","",IF(Data!$G556="",1,IF(ISNUMBER(MATCH(Data!#REF!,Data_Val!$D$2:$D$10,0)),0,1)))</f>
        <v>#REF!</v>
      </c>
      <c r="AW556" s="12"/>
      <c r="AX556" s="26" t="e">
        <f ca="1">IF(Data!#REF!="","",IF(ISNUMBER(Data!#REF!),IF(AND(Data!#REF!&gt;(TODAY()-(Data_Val!$I$3*365.25)),Data!#REF!&lt;=(TODAY()-(Data_Val!$I$2*365.25))),0,1),1))</f>
        <v>#REF!</v>
      </c>
      <c r="AY556" s="12" t="e">
        <f>IF(Data!#REF!="","",IF(Data!$G556="",1,IF(ISNUMBER(MATCH(Data!#REF!,Data_Val!$D$2:$D$10,0)),0,1)))</f>
        <v>#REF!</v>
      </c>
      <c r="AZ556" s="11"/>
      <c r="BA556" s="19" t="e">
        <f ca="1">IF(Data!#REF!="","",IF(ISNUMBER(Data!#REF!),IF(AND(Data!#REF!&gt;(TODAY()-(Data_Val!$M$3*365.25)),Data!#REF!&lt;=(TODAY()-(Data_Val!$M$2*365.25))),0,1),1))</f>
        <v>#REF!</v>
      </c>
      <c r="BB556" s="11" t="e">
        <f>IF(Data!#REF!="","",IF(Data!$G556="",1,IF(ISNUMBER(MATCH(Data!#REF!,Data_Val!$D$2:$D$10,0)),0,1)))</f>
        <v>#REF!</v>
      </c>
      <c r="BC556" s="12"/>
      <c r="BD556" s="20" t="e">
        <f ca="1">IF(Data!#REF!="","",IF(ISNUMBER(Data!#REF!),IF(AND(Data!#REF!&gt;(TODAY()-(Data_Val!$M$3*365.25)),Data!#REF!&lt;=(TODAY()-(Data_Val!$M$2*365.25))),0,1),1))</f>
        <v>#REF!</v>
      </c>
      <c r="BE556" s="12" t="e">
        <f>IF(Data!#REF!="","",IF(Data!$G556="",1,IF(ISNUMBER(MATCH(Data!#REF!,Data_Val!$D$2:$D$10,0)),0,1)))</f>
        <v>#REF!</v>
      </c>
      <c r="BF556" s="17"/>
      <c r="BG556" s="18" t="e">
        <f ca="1">IF(Data!#REF!="","",IF(ISNUMBER(Data!#REF!),IF(AND(Data!#REF!&gt;(TODAY()-(Data_Val!$M$3*365.25)),Data!#REF!&lt;=(TODAY()-(Data_Val!$M$2*365.25))),0,1),1))</f>
        <v>#REF!</v>
      </c>
      <c r="BH556" s="29" t="e">
        <f>IF(Data!#REF!="","",IF(Data!$G556="",1,IF(ISNUMBER(MATCH(Data!#REF!,Data_Val!$D$2:$D$10,0)),0,1)))</f>
        <v>#REF!</v>
      </c>
      <c r="BI556" s="13"/>
      <c r="BJ556" s="21" t="e">
        <f ca="1">IF(Data!#REF!="","",IF(ISNUMBER(Data!#REF!),IF(AND(Data!#REF!&gt;(TODAY()-(Data_Val!$M$3*365.25)),Data!#REF!&lt;=(TODAY()-(Data_Val!$M$2*365.25))),0,1),1))</f>
        <v>#REF!</v>
      </c>
      <c r="BK556" s="13" t="e">
        <f>IF(Data!#REF!="","",IF(Data!$G556="",1,IF(ISNUMBER(MATCH(Data!#REF!,Data_Val!$D$2:$D$10,0)),0,1)))</f>
        <v>#REF!</v>
      </c>
    </row>
    <row r="557" spans="1:63" x14ac:dyDescent="0.25">
      <c r="A557" s="9" t="str">
        <f>IF(Data!B557="","",IF(COUNTIFS(Data!A$1:'Data'!A557,Data!A557)&lt;=1,0,1))</f>
        <v/>
      </c>
      <c r="B557" s="9"/>
      <c r="C557" s="23" t="str">
        <f>IF(Data!C557="","",(IF(ISNUMBER(MATCH("*@*.?*",Data!C557,0)),0,1)+IF(COUNTIFS(Data!C$1:'Data'!C557,Data!C557)&gt;1,1,0)))</f>
        <v/>
      </c>
      <c r="D557" s="9" t="str">
        <f>IF(Data!B557="","",IF(ISNUMBER(Data!D557),IF(AND(Data!D557&gt;999999999,Data!D557&lt;=9999999999),IF(COUNTIFS(Data!D$1:'Data'!D557,Data!D557)&lt;=1,0,1),1),1))</f>
        <v/>
      </c>
      <c r="E557" s="9" t="str">
        <f>IF(Data!B557="","",IF(ISNUMBER(MATCH(Data!E557,Data_Val!$A$2:$A$3,0)),0,1))</f>
        <v/>
      </c>
      <c r="F557" s="9" t="str">
        <f ca="1">IF(Data!B557="","",IF(ISNUMBER(Data!F557),IF(AND(Data!F557&gt;(TODAY()-(Data_Val!$H$3*365.25)),Data!F557&lt;=(TODAY()-(Data_Val!$H$2*365.25))),0,1),1))</f>
        <v/>
      </c>
      <c r="G557" s="15" t="str">
        <f>IF(Data!B557="","",IF(AND(Data!G557="",Data!H557&lt;&gt;""),1,IF(Data!#REF!&lt;&gt;"",0,IF(ISNUMBER(MATCH(Data!G557,Data_Val!$C$2:$C$5,0)),0,1))))</f>
        <v/>
      </c>
      <c r="H557" s="15" t="str">
        <f>IF(Data!B557="","",IF(AND(Data!G557&lt;&gt;"",Data!H557=""),1,IF(Data!#REF!&lt;&gt;"",0,IF(Data!G557="",1,IF(ISNUMBER(MATCH(Data!H557,Data_Val!$D$2:$D$35,0)),0,1)))))</f>
        <v/>
      </c>
      <c r="I557" s="15" t="str">
        <f>IF(Data!B557="","",IF(Data!G557&lt;&gt;"",0,IF(ISNUMBER(MATCH(Data!#REF!,Data_Val!$E$2:$E$12,0)),0,1)))</f>
        <v/>
      </c>
      <c r="J557" s="16" t="e">
        <f>IF(OR(Data!B557="",Data!#REF!=""),"",IF(Data!#REF!="",1,0))</f>
        <v>#REF!</v>
      </c>
      <c r="K557" s="16" t="e">
        <f>IF(OR(Data!B557="",Data!#REF!=""),"",IF(Data!#REF!="",1,0))</f>
        <v>#REF!</v>
      </c>
      <c r="L557" s="16" t="e">
        <f>IF(OR(Data!B557="",Data!#REF!=""),"",IF(ISNUMBER(Data!#REF!),IF(AND(Data!#REF!&gt;Data_Val!$G$2,Data!#REF!&lt;=Data_Val!$G$3),0,1),1))</f>
        <v>#REF!</v>
      </c>
      <c r="M557" s="9" t="e">
        <f>IF(OR(Data!B557="",Data!#REF!=""),"",IF(ISNUMBER(MATCH(Data!#REF!,Data_Val!$F$1:$F$38,0)),0,1))</f>
        <v>#REF!</v>
      </c>
      <c r="N557" s="9" t="e">
        <f>IF(OR(Data!B557="",Data!#REF!=""),"",IF(Data!#REF!="",1,0))</f>
        <v>#REF!</v>
      </c>
      <c r="O557" s="17" t="e">
        <f>IF(Data!#REF!="","",IF(Data!#REF!="",1,0))</f>
        <v>#REF!</v>
      </c>
      <c r="P557" s="17" t="e">
        <f>IF(Data!#REF!="","",IF(ISNUMBER(MATCH(Data!#REF!,Data_Val!$A$2:$A$3,0)),0,1))</f>
        <v>#REF!</v>
      </c>
      <c r="Q557" s="25" t="e">
        <f ca="1">IF(Data!#REF!="","",IF(ISNUMBER(Data!#REF!),IF(AND(Data!#REF!&gt;(TODAY()-(Data_Val!$J$3*365.25)),Data!#REF!&lt;=(TODAY()-(Data_Val!$J$2*365.25))),0,1),1))</f>
        <v>#REF!</v>
      </c>
      <c r="R557" s="17" t="e">
        <f>IF(Data!#REF!="","",IF(ISNUMBER(MATCH(Data!#REF!,Data_Val!$B$2:$B$15,0)),0,1))</f>
        <v>#REF!</v>
      </c>
      <c r="S557" s="11" t="str">
        <f>IF(Data!G557="","",IF(Data!G557=Data_Val!$C$2,IF(Data!M557="",0,1),0))</f>
        <v/>
      </c>
      <c r="T557" s="11" t="str">
        <f>IF(Data!M557="","",IF(ISNUMBER(MATCH(Data!N557,Data_Val!$A$2:$A$3,0)),0,1))</f>
        <v/>
      </c>
      <c r="U557" s="11" t="str">
        <f ca="1">IF(Data!M557="","",IF(ISNUMBER(Data!O557),IF(AND(Data!O557&gt;(TODAY()-(Data_Val!$K$3*365.25)),Data!O557&lt;=(TODAY()-(Data_Val!$K$2*365.25))),0,1),1))</f>
        <v/>
      </c>
      <c r="V557" s="12" t="str">
        <f>IF(Data!G557="","",IF(Data!G557=Data_Val!$C$2,IF(Data!P557="",0,1),0))</f>
        <v/>
      </c>
      <c r="W557" s="12" t="str">
        <f>IF(Data!P557="","",IF(ISNUMBER(MATCH(Data!Q557,Data_Val!$A$2:$A$3,0)),0,1))</f>
        <v/>
      </c>
      <c r="X557" s="26" t="str">
        <f ca="1">IF(Data!P557="","",IF(ISNUMBER(Data!R557),IF(AND(Data!R557&gt;(TODAY()-(Data_Val!$L$3*365.25)),Data!R557&lt;=(TODAY()-(Data_Val!$L$2*365.25))),0,1),1))</f>
        <v/>
      </c>
      <c r="Y557" s="13" t="str">
        <f>IF(Data!$G557="","",IF(Data!$G557=Data_Val!$C$2,IF(Data!S557="",0,1),0))</f>
        <v/>
      </c>
      <c r="Z557" s="13" t="str">
        <f>IF(Data!S557="","",IF(ISNUMBER(MATCH(Data!T557,Data_Val!$A$2:$A$3,0)),0,1))</f>
        <v/>
      </c>
      <c r="AA557" s="28" t="str">
        <f ca="1">IF(Data!S557="","",IF(ISNUMBER(Data!U557),IF(AND(Data!U557&gt;(TODAY()-(Data_Val!$L$3*365.25)),Data!U557&lt;=(TODAY()-(Data_Val!$L$2*365.25))),0,1),1))</f>
        <v/>
      </c>
      <c r="AB557" s="11"/>
      <c r="AC557" s="11" t="e">
        <f>IF(Data!#REF!="","",IF(ISNUMBER(MATCH(Data!#REF!,Data_Val!$A$2:$A$3,0)),0,1))</f>
        <v>#REF!</v>
      </c>
      <c r="AD557" s="11" t="e">
        <f ca="1">IF(Data!#REF!="","",IF(ISNUMBER(Data!#REF!),IF(AND(Data!#REF!&gt;(TODAY()-(Data_Val!$L$3*365.25)),Data!#REF!&lt;=(TODAY()-(Data_Val!$L$2*365.25))),0,1),1))</f>
        <v>#REF!</v>
      </c>
      <c r="AE557" s="11" t="e">
        <f>IF(Data!#REF!="","",IF(Data!$G557="",1,IF(ISNUMBER(MATCH(Data!#REF!,Data_Val!$D$2:$D$10,0)),0,1)))</f>
        <v>#REF!</v>
      </c>
      <c r="AF557" s="12"/>
      <c r="AG557" s="12" t="e">
        <f>IF(Data!#REF!="","",IF(ISNUMBER(MATCH(Data!#REF!,Data_Val!$A$2:$A$3,0)),0,1))</f>
        <v>#REF!</v>
      </c>
      <c r="AH557" s="26" t="e">
        <f ca="1">IF(Data!#REF!="","",IF(ISNUMBER(Data!#REF!),IF(AND(Data!#REF!&gt;(TODAY()-(Data_Val!$L$3*365.25)),Data!#REF!&lt;=(TODAY()-(Data_Val!$L$2*365.25))),0,1),1))</f>
        <v>#REF!</v>
      </c>
      <c r="AI557" s="12" t="e">
        <f>IF(Data!#REF!="","",IF(Data!$G557="",1,IF(ISNUMBER(MATCH(Data!#REF!,Data_Val!$D$2:$D$10,0)),0,1)))</f>
        <v>#REF!</v>
      </c>
      <c r="AJ557" s="17"/>
      <c r="AK557" s="17" t="e">
        <f>IF(Data!#REF!="","",IF(ISNUMBER(MATCH(Data!#REF!,Data_Val!$A$2:$A$3,0)),0,1))</f>
        <v>#REF!</v>
      </c>
      <c r="AL557" s="25" t="e">
        <f ca="1">IF(Data!#REF!="","",IF(ISNUMBER(Data!#REF!),IF(AND(Data!#REF!&gt;(TODAY()-(Data_Val!$L$3*365.25)),Data!#REF!&lt;=(TODAY()-(Data_Val!$L$2*365.25))),0,1),1))</f>
        <v>#REF!</v>
      </c>
      <c r="AM557" s="17" t="e">
        <f>IF(Data!#REF!="","",IF(Data!$G557="",1,IF(ISNUMBER(MATCH(Data!#REF!,Data_Val!$D$2:$D$10,0)),0,1)))</f>
        <v>#REF!</v>
      </c>
      <c r="AN557" s="13"/>
      <c r="AO557" s="28" t="e">
        <f ca="1">IF(Data!#REF!="","",IF(ISNUMBER(Data!#REF!),IF(AND(Data!#REF!&gt;(TODAY()-(Data_Val!$I$3*365.25)),Data!#REF!&lt;=(TODAY()-(Data_Val!$I$2*365.25))),0,1),1))</f>
        <v>#REF!</v>
      </c>
      <c r="AP557" s="13" t="e">
        <f>IF(Data!#REF!="","",IF(Data!$G557="",1,IF(ISNUMBER(MATCH(Data!#REF!,Data_Val!$D$2:$D$10,0)),0,1)))</f>
        <v>#REF!</v>
      </c>
      <c r="AQ557" s="17"/>
      <c r="AR557" s="30" t="e">
        <f ca="1">IF(Data!#REF!="","",IF(ISNUMBER(Data!#REF!),IF(AND(Data!#REF!&gt;(TODAY()-(Data_Val!$I$3*365.25)),Data!#REF!&lt;=(TODAY()-(Data_Val!$I$2*365.25))),0,1),1))</f>
        <v>#REF!</v>
      </c>
      <c r="AS557" s="31" t="e">
        <f>IF(Data!#REF!="","",IF(Data!$G557="",1,IF(ISNUMBER(MATCH(Data!#REF!,Data_Val!$D$2:$D$10,0)),0,1)))</f>
        <v>#REF!</v>
      </c>
      <c r="AT557" s="11"/>
      <c r="AU557" s="11" t="e">
        <f ca="1">IF(Data!#REF!="","",IF(ISNUMBER(Data!#REF!),IF(AND(Data!#REF!&gt;(TODAY()-(Data_Val!$I$3*365.25)),Data!#REF!&lt;=(TODAY()-(Data_Val!$I$2*365.25))),0,1),1))</f>
        <v>#REF!</v>
      </c>
      <c r="AV557" s="11" t="e">
        <f>IF(Data!#REF!="","",IF(Data!$G557="",1,IF(ISNUMBER(MATCH(Data!#REF!,Data_Val!$D$2:$D$10,0)),0,1)))</f>
        <v>#REF!</v>
      </c>
      <c r="AW557" s="12"/>
      <c r="AX557" s="26" t="e">
        <f ca="1">IF(Data!#REF!="","",IF(ISNUMBER(Data!#REF!),IF(AND(Data!#REF!&gt;(TODAY()-(Data_Val!$I$3*365.25)),Data!#REF!&lt;=(TODAY()-(Data_Val!$I$2*365.25))),0,1),1))</f>
        <v>#REF!</v>
      </c>
      <c r="AY557" s="12" t="e">
        <f>IF(Data!#REF!="","",IF(Data!$G557="",1,IF(ISNUMBER(MATCH(Data!#REF!,Data_Val!$D$2:$D$10,0)),0,1)))</f>
        <v>#REF!</v>
      </c>
      <c r="AZ557" s="11"/>
      <c r="BA557" s="19" t="e">
        <f ca="1">IF(Data!#REF!="","",IF(ISNUMBER(Data!#REF!),IF(AND(Data!#REF!&gt;(TODAY()-(Data_Val!$M$3*365.25)),Data!#REF!&lt;=(TODAY()-(Data_Val!$M$2*365.25))),0,1),1))</f>
        <v>#REF!</v>
      </c>
      <c r="BB557" s="11" t="e">
        <f>IF(Data!#REF!="","",IF(Data!$G557="",1,IF(ISNUMBER(MATCH(Data!#REF!,Data_Val!$D$2:$D$10,0)),0,1)))</f>
        <v>#REF!</v>
      </c>
      <c r="BC557" s="12"/>
      <c r="BD557" s="20" t="e">
        <f ca="1">IF(Data!#REF!="","",IF(ISNUMBER(Data!#REF!),IF(AND(Data!#REF!&gt;(TODAY()-(Data_Val!$M$3*365.25)),Data!#REF!&lt;=(TODAY()-(Data_Val!$M$2*365.25))),0,1),1))</f>
        <v>#REF!</v>
      </c>
      <c r="BE557" s="12" t="e">
        <f>IF(Data!#REF!="","",IF(Data!$G557="",1,IF(ISNUMBER(MATCH(Data!#REF!,Data_Val!$D$2:$D$10,0)),0,1)))</f>
        <v>#REF!</v>
      </c>
      <c r="BF557" s="17"/>
      <c r="BG557" s="18" t="e">
        <f ca="1">IF(Data!#REF!="","",IF(ISNUMBER(Data!#REF!),IF(AND(Data!#REF!&gt;(TODAY()-(Data_Val!$M$3*365.25)),Data!#REF!&lt;=(TODAY()-(Data_Val!$M$2*365.25))),0,1),1))</f>
        <v>#REF!</v>
      </c>
      <c r="BH557" s="29" t="e">
        <f>IF(Data!#REF!="","",IF(Data!$G557="",1,IF(ISNUMBER(MATCH(Data!#REF!,Data_Val!$D$2:$D$10,0)),0,1)))</f>
        <v>#REF!</v>
      </c>
      <c r="BI557" s="13"/>
      <c r="BJ557" s="21" t="e">
        <f ca="1">IF(Data!#REF!="","",IF(ISNUMBER(Data!#REF!),IF(AND(Data!#REF!&gt;(TODAY()-(Data_Val!$M$3*365.25)),Data!#REF!&lt;=(TODAY()-(Data_Val!$M$2*365.25))),0,1),1))</f>
        <v>#REF!</v>
      </c>
      <c r="BK557" s="13" t="e">
        <f>IF(Data!#REF!="","",IF(Data!$G557="",1,IF(ISNUMBER(MATCH(Data!#REF!,Data_Val!$D$2:$D$10,0)),0,1)))</f>
        <v>#REF!</v>
      </c>
    </row>
    <row r="558" spans="1:63" x14ac:dyDescent="0.25">
      <c r="A558" s="9" t="str">
        <f>IF(Data!B558="","",IF(COUNTIFS(Data!A$1:'Data'!A558,Data!A558)&lt;=1,0,1))</f>
        <v/>
      </c>
      <c r="B558" s="9"/>
      <c r="C558" s="23" t="str">
        <f>IF(Data!C558="","",(IF(ISNUMBER(MATCH("*@*.?*",Data!C558,0)),0,1)+IF(COUNTIFS(Data!C$1:'Data'!C558,Data!C558)&gt;1,1,0)))</f>
        <v/>
      </c>
      <c r="D558" s="9" t="str">
        <f>IF(Data!B558="","",IF(ISNUMBER(Data!D558),IF(AND(Data!D558&gt;999999999,Data!D558&lt;=9999999999),IF(COUNTIFS(Data!D$1:'Data'!D558,Data!D558)&lt;=1,0,1),1),1))</f>
        <v/>
      </c>
      <c r="E558" s="9" t="str">
        <f>IF(Data!B558="","",IF(ISNUMBER(MATCH(Data!E558,Data_Val!$A$2:$A$3,0)),0,1))</f>
        <v/>
      </c>
      <c r="F558" s="9" t="str">
        <f ca="1">IF(Data!B558="","",IF(ISNUMBER(Data!F558),IF(AND(Data!F558&gt;(TODAY()-(Data_Val!$H$3*365.25)),Data!F558&lt;=(TODAY()-(Data_Val!$H$2*365.25))),0,1),1))</f>
        <v/>
      </c>
      <c r="G558" s="15" t="str">
        <f>IF(Data!B558="","",IF(AND(Data!G558="",Data!H558&lt;&gt;""),1,IF(Data!#REF!&lt;&gt;"",0,IF(ISNUMBER(MATCH(Data!G558,Data_Val!$C$2:$C$5,0)),0,1))))</f>
        <v/>
      </c>
      <c r="H558" s="15" t="str">
        <f>IF(Data!B558="","",IF(AND(Data!G558&lt;&gt;"",Data!H558=""),1,IF(Data!#REF!&lt;&gt;"",0,IF(Data!G558="",1,IF(ISNUMBER(MATCH(Data!H558,Data_Val!$D$2:$D$35,0)),0,1)))))</f>
        <v/>
      </c>
      <c r="I558" s="15" t="str">
        <f>IF(Data!B558="","",IF(Data!G558&lt;&gt;"",0,IF(ISNUMBER(MATCH(Data!#REF!,Data_Val!$E$2:$E$12,0)),0,1)))</f>
        <v/>
      </c>
      <c r="J558" s="16" t="e">
        <f>IF(OR(Data!B558="",Data!#REF!=""),"",IF(Data!#REF!="",1,0))</f>
        <v>#REF!</v>
      </c>
      <c r="K558" s="16" t="e">
        <f>IF(OR(Data!B558="",Data!#REF!=""),"",IF(Data!#REF!="",1,0))</f>
        <v>#REF!</v>
      </c>
      <c r="L558" s="16" t="e">
        <f>IF(OR(Data!B558="",Data!#REF!=""),"",IF(ISNUMBER(Data!#REF!),IF(AND(Data!#REF!&gt;Data_Val!$G$2,Data!#REF!&lt;=Data_Val!$G$3),0,1),1))</f>
        <v>#REF!</v>
      </c>
      <c r="M558" s="9" t="e">
        <f>IF(OR(Data!B558="",Data!#REF!=""),"",IF(ISNUMBER(MATCH(Data!#REF!,Data_Val!$F$1:$F$38,0)),0,1))</f>
        <v>#REF!</v>
      </c>
      <c r="N558" s="9" t="e">
        <f>IF(OR(Data!B558="",Data!#REF!=""),"",IF(Data!#REF!="",1,0))</f>
        <v>#REF!</v>
      </c>
      <c r="O558" s="17" t="e">
        <f>IF(Data!#REF!="","",IF(Data!#REF!="",1,0))</f>
        <v>#REF!</v>
      </c>
      <c r="P558" s="17" t="e">
        <f>IF(Data!#REF!="","",IF(ISNUMBER(MATCH(Data!#REF!,Data_Val!$A$2:$A$3,0)),0,1))</f>
        <v>#REF!</v>
      </c>
      <c r="Q558" s="25" t="e">
        <f ca="1">IF(Data!#REF!="","",IF(ISNUMBER(Data!#REF!),IF(AND(Data!#REF!&gt;(TODAY()-(Data_Val!$J$3*365.25)),Data!#REF!&lt;=(TODAY()-(Data_Val!$J$2*365.25))),0,1),1))</f>
        <v>#REF!</v>
      </c>
      <c r="R558" s="17" t="e">
        <f>IF(Data!#REF!="","",IF(ISNUMBER(MATCH(Data!#REF!,Data_Val!$B$2:$B$15,0)),0,1))</f>
        <v>#REF!</v>
      </c>
      <c r="S558" s="11" t="str">
        <f>IF(Data!G558="","",IF(Data!G558=Data_Val!$C$2,IF(Data!M558="",0,1),0))</f>
        <v/>
      </c>
      <c r="T558" s="11" t="str">
        <f>IF(Data!M558="","",IF(ISNUMBER(MATCH(Data!N558,Data_Val!$A$2:$A$3,0)),0,1))</f>
        <v/>
      </c>
      <c r="U558" s="11" t="str">
        <f ca="1">IF(Data!M558="","",IF(ISNUMBER(Data!O558),IF(AND(Data!O558&gt;(TODAY()-(Data_Val!$K$3*365.25)),Data!O558&lt;=(TODAY()-(Data_Val!$K$2*365.25))),0,1),1))</f>
        <v/>
      </c>
      <c r="V558" s="12" t="str">
        <f>IF(Data!G558="","",IF(Data!G558=Data_Val!$C$2,IF(Data!P558="",0,1),0))</f>
        <v/>
      </c>
      <c r="W558" s="12" t="str">
        <f>IF(Data!P558="","",IF(ISNUMBER(MATCH(Data!Q558,Data_Val!$A$2:$A$3,0)),0,1))</f>
        <v/>
      </c>
      <c r="X558" s="26" t="str">
        <f ca="1">IF(Data!P558="","",IF(ISNUMBER(Data!R558),IF(AND(Data!R558&gt;(TODAY()-(Data_Val!$L$3*365.25)),Data!R558&lt;=(TODAY()-(Data_Val!$L$2*365.25))),0,1),1))</f>
        <v/>
      </c>
      <c r="Y558" s="13" t="str">
        <f>IF(Data!$G558="","",IF(Data!$G558=Data_Val!$C$2,IF(Data!S558="",0,1),0))</f>
        <v/>
      </c>
      <c r="Z558" s="13" t="str">
        <f>IF(Data!S558="","",IF(ISNUMBER(MATCH(Data!T558,Data_Val!$A$2:$A$3,0)),0,1))</f>
        <v/>
      </c>
      <c r="AA558" s="28" t="str">
        <f ca="1">IF(Data!S558="","",IF(ISNUMBER(Data!U558),IF(AND(Data!U558&gt;(TODAY()-(Data_Val!$L$3*365.25)),Data!U558&lt;=(TODAY()-(Data_Val!$L$2*365.25))),0,1),1))</f>
        <v/>
      </c>
      <c r="AB558" s="11"/>
      <c r="AC558" s="11" t="e">
        <f>IF(Data!#REF!="","",IF(ISNUMBER(MATCH(Data!#REF!,Data_Val!$A$2:$A$3,0)),0,1))</f>
        <v>#REF!</v>
      </c>
      <c r="AD558" s="11" t="e">
        <f ca="1">IF(Data!#REF!="","",IF(ISNUMBER(Data!#REF!),IF(AND(Data!#REF!&gt;(TODAY()-(Data_Val!$L$3*365.25)),Data!#REF!&lt;=(TODAY()-(Data_Val!$L$2*365.25))),0,1),1))</f>
        <v>#REF!</v>
      </c>
      <c r="AE558" s="11" t="e">
        <f>IF(Data!#REF!="","",IF(Data!$G558="",1,IF(ISNUMBER(MATCH(Data!#REF!,Data_Val!$D$2:$D$10,0)),0,1)))</f>
        <v>#REF!</v>
      </c>
      <c r="AF558" s="12"/>
      <c r="AG558" s="12" t="e">
        <f>IF(Data!#REF!="","",IF(ISNUMBER(MATCH(Data!#REF!,Data_Val!$A$2:$A$3,0)),0,1))</f>
        <v>#REF!</v>
      </c>
      <c r="AH558" s="26" t="e">
        <f ca="1">IF(Data!#REF!="","",IF(ISNUMBER(Data!#REF!),IF(AND(Data!#REF!&gt;(TODAY()-(Data_Val!$L$3*365.25)),Data!#REF!&lt;=(TODAY()-(Data_Val!$L$2*365.25))),0,1),1))</f>
        <v>#REF!</v>
      </c>
      <c r="AI558" s="12" t="e">
        <f>IF(Data!#REF!="","",IF(Data!$G558="",1,IF(ISNUMBER(MATCH(Data!#REF!,Data_Val!$D$2:$D$10,0)),0,1)))</f>
        <v>#REF!</v>
      </c>
      <c r="AJ558" s="17"/>
      <c r="AK558" s="17" t="e">
        <f>IF(Data!#REF!="","",IF(ISNUMBER(MATCH(Data!#REF!,Data_Val!$A$2:$A$3,0)),0,1))</f>
        <v>#REF!</v>
      </c>
      <c r="AL558" s="25" t="e">
        <f ca="1">IF(Data!#REF!="","",IF(ISNUMBER(Data!#REF!),IF(AND(Data!#REF!&gt;(TODAY()-(Data_Val!$L$3*365.25)),Data!#REF!&lt;=(TODAY()-(Data_Val!$L$2*365.25))),0,1),1))</f>
        <v>#REF!</v>
      </c>
      <c r="AM558" s="17" t="e">
        <f>IF(Data!#REF!="","",IF(Data!$G558="",1,IF(ISNUMBER(MATCH(Data!#REF!,Data_Val!$D$2:$D$10,0)),0,1)))</f>
        <v>#REF!</v>
      </c>
      <c r="AN558" s="13"/>
      <c r="AO558" s="28" t="e">
        <f ca="1">IF(Data!#REF!="","",IF(ISNUMBER(Data!#REF!),IF(AND(Data!#REF!&gt;(TODAY()-(Data_Val!$I$3*365.25)),Data!#REF!&lt;=(TODAY()-(Data_Val!$I$2*365.25))),0,1),1))</f>
        <v>#REF!</v>
      </c>
      <c r="AP558" s="13" t="e">
        <f>IF(Data!#REF!="","",IF(Data!$G558="",1,IF(ISNUMBER(MATCH(Data!#REF!,Data_Val!$D$2:$D$10,0)),0,1)))</f>
        <v>#REF!</v>
      </c>
      <c r="AQ558" s="17"/>
      <c r="AR558" s="30" t="e">
        <f ca="1">IF(Data!#REF!="","",IF(ISNUMBER(Data!#REF!),IF(AND(Data!#REF!&gt;(TODAY()-(Data_Val!$I$3*365.25)),Data!#REF!&lt;=(TODAY()-(Data_Val!$I$2*365.25))),0,1),1))</f>
        <v>#REF!</v>
      </c>
      <c r="AS558" s="31" t="e">
        <f>IF(Data!#REF!="","",IF(Data!$G558="",1,IF(ISNUMBER(MATCH(Data!#REF!,Data_Val!$D$2:$D$10,0)),0,1)))</f>
        <v>#REF!</v>
      </c>
      <c r="AT558" s="11"/>
      <c r="AU558" s="11" t="e">
        <f ca="1">IF(Data!#REF!="","",IF(ISNUMBER(Data!#REF!),IF(AND(Data!#REF!&gt;(TODAY()-(Data_Val!$I$3*365.25)),Data!#REF!&lt;=(TODAY()-(Data_Val!$I$2*365.25))),0,1),1))</f>
        <v>#REF!</v>
      </c>
      <c r="AV558" s="11" t="e">
        <f>IF(Data!#REF!="","",IF(Data!$G558="",1,IF(ISNUMBER(MATCH(Data!#REF!,Data_Val!$D$2:$D$10,0)),0,1)))</f>
        <v>#REF!</v>
      </c>
      <c r="AW558" s="12"/>
      <c r="AX558" s="26" t="e">
        <f ca="1">IF(Data!#REF!="","",IF(ISNUMBER(Data!#REF!),IF(AND(Data!#REF!&gt;(TODAY()-(Data_Val!$I$3*365.25)),Data!#REF!&lt;=(TODAY()-(Data_Val!$I$2*365.25))),0,1),1))</f>
        <v>#REF!</v>
      </c>
      <c r="AY558" s="12" t="e">
        <f>IF(Data!#REF!="","",IF(Data!$G558="",1,IF(ISNUMBER(MATCH(Data!#REF!,Data_Val!$D$2:$D$10,0)),0,1)))</f>
        <v>#REF!</v>
      </c>
      <c r="AZ558" s="11"/>
      <c r="BA558" s="19" t="e">
        <f ca="1">IF(Data!#REF!="","",IF(ISNUMBER(Data!#REF!),IF(AND(Data!#REF!&gt;(TODAY()-(Data_Val!$M$3*365.25)),Data!#REF!&lt;=(TODAY()-(Data_Val!$M$2*365.25))),0,1),1))</f>
        <v>#REF!</v>
      </c>
      <c r="BB558" s="11" t="e">
        <f>IF(Data!#REF!="","",IF(Data!$G558="",1,IF(ISNUMBER(MATCH(Data!#REF!,Data_Val!$D$2:$D$10,0)),0,1)))</f>
        <v>#REF!</v>
      </c>
      <c r="BC558" s="12"/>
      <c r="BD558" s="20" t="e">
        <f ca="1">IF(Data!#REF!="","",IF(ISNUMBER(Data!#REF!),IF(AND(Data!#REF!&gt;(TODAY()-(Data_Val!$M$3*365.25)),Data!#REF!&lt;=(TODAY()-(Data_Val!$M$2*365.25))),0,1),1))</f>
        <v>#REF!</v>
      </c>
      <c r="BE558" s="12" t="e">
        <f>IF(Data!#REF!="","",IF(Data!$G558="",1,IF(ISNUMBER(MATCH(Data!#REF!,Data_Val!$D$2:$D$10,0)),0,1)))</f>
        <v>#REF!</v>
      </c>
      <c r="BF558" s="17"/>
      <c r="BG558" s="18" t="e">
        <f ca="1">IF(Data!#REF!="","",IF(ISNUMBER(Data!#REF!),IF(AND(Data!#REF!&gt;(TODAY()-(Data_Val!$M$3*365.25)),Data!#REF!&lt;=(TODAY()-(Data_Val!$M$2*365.25))),0,1),1))</f>
        <v>#REF!</v>
      </c>
      <c r="BH558" s="29" t="e">
        <f>IF(Data!#REF!="","",IF(Data!$G558="",1,IF(ISNUMBER(MATCH(Data!#REF!,Data_Val!$D$2:$D$10,0)),0,1)))</f>
        <v>#REF!</v>
      </c>
      <c r="BI558" s="13"/>
      <c r="BJ558" s="21" t="e">
        <f ca="1">IF(Data!#REF!="","",IF(ISNUMBER(Data!#REF!),IF(AND(Data!#REF!&gt;(TODAY()-(Data_Val!$M$3*365.25)),Data!#REF!&lt;=(TODAY()-(Data_Val!$M$2*365.25))),0,1),1))</f>
        <v>#REF!</v>
      </c>
      <c r="BK558" s="13" t="e">
        <f>IF(Data!#REF!="","",IF(Data!$G558="",1,IF(ISNUMBER(MATCH(Data!#REF!,Data_Val!$D$2:$D$10,0)),0,1)))</f>
        <v>#REF!</v>
      </c>
    </row>
    <row r="559" spans="1:63" x14ac:dyDescent="0.25">
      <c r="A559" s="9" t="str">
        <f>IF(Data!B559="","",IF(COUNTIFS(Data!A$1:'Data'!A559,Data!A559)&lt;=1,0,1))</f>
        <v/>
      </c>
      <c r="B559" s="9"/>
      <c r="C559" s="23" t="str">
        <f>IF(Data!C559="","",(IF(ISNUMBER(MATCH("*@*.?*",Data!C559,0)),0,1)+IF(COUNTIFS(Data!C$1:'Data'!C559,Data!C559)&gt;1,1,0)))</f>
        <v/>
      </c>
      <c r="D559" s="9" t="str">
        <f>IF(Data!B559="","",IF(ISNUMBER(Data!D559),IF(AND(Data!D559&gt;999999999,Data!D559&lt;=9999999999),IF(COUNTIFS(Data!D$1:'Data'!D559,Data!D559)&lt;=1,0,1),1),1))</f>
        <v/>
      </c>
      <c r="E559" s="9" t="str">
        <f>IF(Data!B559="","",IF(ISNUMBER(MATCH(Data!E559,Data_Val!$A$2:$A$3,0)),0,1))</f>
        <v/>
      </c>
      <c r="F559" s="9" t="str">
        <f ca="1">IF(Data!B559="","",IF(ISNUMBER(Data!F559),IF(AND(Data!F559&gt;(TODAY()-(Data_Val!$H$3*365.25)),Data!F559&lt;=(TODAY()-(Data_Val!$H$2*365.25))),0,1),1))</f>
        <v/>
      </c>
      <c r="G559" s="15" t="str">
        <f>IF(Data!B559="","",IF(AND(Data!G559="",Data!H559&lt;&gt;""),1,IF(Data!#REF!&lt;&gt;"",0,IF(ISNUMBER(MATCH(Data!G559,Data_Val!$C$2:$C$5,0)),0,1))))</f>
        <v/>
      </c>
      <c r="H559" s="15" t="str">
        <f>IF(Data!B559="","",IF(AND(Data!G559&lt;&gt;"",Data!H559=""),1,IF(Data!#REF!&lt;&gt;"",0,IF(Data!G559="",1,IF(ISNUMBER(MATCH(Data!H559,Data_Val!$D$2:$D$35,0)),0,1)))))</f>
        <v/>
      </c>
      <c r="I559" s="15" t="str">
        <f>IF(Data!B559="","",IF(Data!G559&lt;&gt;"",0,IF(ISNUMBER(MATCH(Data!#REF!,Data_Val!$E$2:$E$12,0)),0,1)))</f>
        <v/>
      </c>
      <c r="J559" s="16" t="e">
        <f>IF(OR(Data!B559="",Data!#REF!=""),"",IF(Data!#REF!="",1,0))</f>
        <v>#REF!</v>
      </c>
      <c r="K559" s="16" t="e">
        <f>IF(OR(Data!B559="",Data!#REF!=""),"",IF(Data!#REF!="",1,0))</f>
        <v>#REF!</v>
      </c>
      <c r="L559" s="16" t="e">
        <f>IF(OR(Data!B559="",Data!#REF!=""),"",IF(ISNUMBER(Data!#REF!),IF(AND(Data!#REF!&gt;Data_Val!$G$2,Data!#REF!&lt;=Data_Val!$G$3),0,1),1))</f>
        <v>#REF!</v>
      </c>
      <c r="M559" s="9" t="e">
        <f>IF(OR(Data!B559="",Data!#REF!=""),"",IF(ISNUMBER(MATCH(Data!#REF!,Data_Val!$F$1:$F$38,0)),0,1))</f>
        <v>#REF!</v>
      </c>
      <c r="N559" s="9" t="e">
        <f>IF(OR(Data!B559="",Data!#REF!=""),"",IF(Data!#REF!="",1,0))</f>
        <v>#REF!</v>
      </c>
      <c r="O559" s="17" t="e">
        <f>IF(Data!#REF!="","",IF(Data!#REF!="",1,0))</f>
        <v>#REF!</v>
      </c>
      <c r="P559" s="17" t="e">
        <f>IF(Data!#REF!="","",IF(ISNUMBER(MATCH(Data!#REF!,Data_Val!$A$2:$A$3,0)),0,1))</f>
        <v>#REF!</v>
      </c>
      <c r="Q559" s="25" t="e">
        <f ca="1">IF(Data!#REF!="","",IF(ISNUMBER(Data!#REF!),IF(AND(Data!#REF!&gt;(TODAY()-(Data_Val!$J$3*365.25)),Data!#REF!&lt;=(TODAY()-(Data_Val!$J$2*365.25))),0,1),1))</f>
        <v>#REF!</v>
      </c>
      <c r="R559" s="17" t="e">
        <f>IF(Data!#REF!="","",IF(ISNUMBER(MATCH(Data!#REF!,Data_Val!$B$2:$B$15,0)),0,1))</f>
        <v>#REF!</v>
      </c>
      <c r="S559" s="11" t="str">
        <f>IF(Data!G559="","",IF(Data!G559=Data_Val!$C$2,IF(Data!M559="",0,1),0))</f>
        <v/>
      </c>
      <c r="T559" s="11" t="str">
        <f>IF(Data!M559="","",IF(ISNUMBER(MATCH(Data!N559,Data_Val!$A$2:$A$3,0)),0,1))</f>
        <v/>
      </c>
      <c r="U559" s="11" t="str">
        <f ca="1">IF(Data!M559="","",IF(ISNUMBER(Data!O559),IF(AND(Data!O559&gt;(TODAY()-(Data_Val!$K$3*365.25)),Data!O559&lt;=(TODAY()-(Data_Val!$K$2*365.25))),0,1),1))</f>
        <v/>
      </c>
      <c r="V559" s="12" t="str">
        <f>IF(Data!G559="","",IF(Data!G559=Data_Val!$C$2,IF(Data!P559="",0,1),0))</f>
        <v/>
      </c>
      <c r="W559" s="12" t="str">
        <f>IF(Data!P559="","",IF(ISNUMBER(MATCH(Data!Q559,Data_Val!$A$2:$A$3,0)),0,1))</f>
        <v/>
      </c>
      <c r="X559" s="26" t="str">
        <f ca="1">IF(Data!P559="","",IF(ISNUMBER(Data!R559),IF(AND(Data!R559&gt;(TODAY()-(Data_Val!$L$3*365.25)),Data!R559&lt;=(TODAY()-(Data_Val!$L$2*365.25))),0,1),1))</f>
        <v/>
      </c>
      <c r="Y559" s="13" t="str">
        <f>IF(Data!$G559="","",IF(Data!$G559=Data_Val!$C$2,IF(Data!S559="",0,1),0))</f>
        <v/>
      </c>
      <c r="Z559" s="13" t="str">
        <f>IF(Data!S559="","",IF(ISNUMBER(MATCH(Data!T559,Data_Val!$A$2:$A$3,0)),0,1))</f>
        <v/>
      </c>
      <c r="AA559" s="28" t="str">
        <f ca="1">IF(Data!S559="","",IF(ISNUMBER(Data!U559),IF(AND(Data!U559&gt;(TODAY()-(Data_Val!$L$3*365.25)),Data!U559&lt;=(TODAY()-(Data_Val!$L$2*365.25))),0,1),1))</f>
        <v/>
      </c>
      <c r="AB559" s="11"/>
      <c r="AC559" s="11" t="e">
        <f>IF(Data!#REF!="","",IF(ISNUMBER(MATCH(Data!#REF!,Data_Val!$A$2:$A$3,0)),0,1))</f>
        <v>#REF!</v>
      </c>
      <c r="AD559" s="11" t="e">
        <f ca="1">IF(Data!#REF!="","",IF(ISNUMBER(Data!#REF!),IF(AND(Data!#REF!&gt;(TODAY()-(Data_Val!$L$3*365.25)),Data!#REF!&lt;=(TODAY()-(Data_Val!$L$2*365.25))),0,1),1))</f>
        <v>#REF!</v>
      </c>
      <c r="AE559" s="11" t="e">
        <f>IF(Data!#REF!="","",IF(Data!$G559="",1,IF(ISNUMBER(MATCH(Data!#REF!,Data_Val!$D$2:$D$10,0)),0,1)))</f>
        <v>#REF!</v>
      </c>
      <c r="AF559" s="12"/>
      <c r="AG559" s="12" t="e">
        <f>IF(Data!#REF!="","",IF(ISNUMBER(MATCH(Data!#REF!,Data_Val!$A$2:$A$3,0)),0,1))</f>
        <v>#REF!</v>
      </c>
      <c r="AH559" s="26" t="e">
        <f ca="1">IF(Data!#REF!="","",IF(ISNUMBER(Data!#REF!),IF(AND(Data!#REF!&gt;(TODAY()-(Data_Val!$L$3*365.25)),Data!#REF!&lt;=(TODAY()-(Data_Val!$L$2*365.25))),0,1),1))</f>
        <v>#REF!</v>
      </c>
      <c r="AI559" s="12" t="e">
        <f>IF(Data!#REF!="","",IF(Data!$G559="",1,IF(ISNUMBER(MATCH(Data!#REF!,Data_Val!$D$2:$D$10,0)),0,1)))</f>
        <v>#REF!</v>
      </c>
      <c r="AJ559" s="17"/>
      <c r="AK559" s="17" t="e">
        <f>IF(Data!#REF!="","",IF(ISNUMBER(MATCH(Data!#REF!,Data_Val!$A$2:$A$3,0)),0,1))</f>
        <v>#REF!</v>
      </c>
      <c r="AL559" s="25" t="e">
        <f ca="1">IF(Data!#REF!="","",IF(ISNUMBER(Data!#REF!),IF(AND(Data!#REF!&gt;(TODAY()-(Data_Val!$L$3*365.25)),Data!#REF!&lt;=(TODAY()-(Data_Val!$L$2*365.25))),0,1),1))</f>
        <v>#REF!</v>
      </c>
      <c r="AM559" s="17" t="e">
        <f>IF(Data!#REF!="","",IF(Data!$G559="",1,IF(ISNUMBER(MATCH(Data!#REF!,Data_Val!$D$2:$D$10,0)),0,1)))</f>
        <v>#REF!</v>
      </c>
      <c r="AN559" s="13"/>
      <c r="AO559" s="28" t="e">
        <f ca="1">IF(Data!#REF!="","",IF(ISNUMBER(Data!#REF!),IF(AND(Data!#REF!&gt;(TODAY()-(Data_Val!$I$3*365.25)),Data!#REF!&lt;=(TODAY()-(Data_Val!$I$2*365.25))),0,1),1))</f>
        <v>#REF!</v>
      </c>
      <c r="AP559" s="13" t="e">
        <f>IF(Data!#REF!="","",IF(Data!$G559="",1,IF(ISNUMBER(MATCH(Data!#REF!,Data_Val!$D$2:$D$10,0)),0,1)))</f>
        <v>#REF!</v>
      </c>
      <c r="AQ559" s="17"/>
      <c r="AR559" s="30" t="e">
        <f ca="1">IF(Data!#REF!="","",IF(ISNUMBER(Data!#REF!),IF(AND(Data!#REF!&gt;(TODAY()-(Data_Val!$I$3*365.25)),Data!#REF!&lt;=(TODAY()-(Data_Val!$I$2*365.25))),0,1),1))</f>
        <v>#REF!</v>
      </c>
      <c r="AS559" s="31" t="e">
        <f>IF(Data!#REF!="","",IF(Data!$G559="",1,IF(ISNUMBER(MATCH(Data!#REF!,Data_Val!$D$2:$D$10,0)),0,1)))</f>
        <v>#REF!</v>
      </c>
      <c r="AT559" s="11"/>
      <c r="AU559" s="11" t="e">
        <f ca="1">IF(Data!#REF!="","",IF(ISNUMBER(Data!#REF!),IF(AND(Data!#REF!&gt;(TODAY()-(Data_Val!$I$3*365.25)),Data!#REF!&lt;=(TODAY()-(Data_Val!$I$2*365.25))),0,1),1))</f>
        <v>#REF!</v>
      </c>
      <c r="AV559" s="11" t="e">
        <f>IF(Data!#REF!="","",IF(Data!$G559="",1,IF(ISNUMBER(MATCH(Data!#REF!,Data_Val!$D$2:$D$10,0)),0,1)))</f>
        <v>#REF!</v>
      </c>
      <c r="AW559" s="12"/>
      <c r="AX559" s="26" t="e">
        <f ca="1">IF(Data!#REF!="","",IF(ISNUMBER(Data!#REF!),IF(AND(Data!#REF!&gt;(TODAY()-(Data_Val!$I$3*365.25)),Data!#REF!&lt;=(TODAY()-(Data_Val!$I$2*365.25))),0,1),1))</f>
        <v>#REF!</v>
      </c>
      <c r="AY559" s="12" t="e">
        <f>IF(Data!#REF!="","",IF(Data!$G559="",1,IF(ISNUMBER(MATCH(Data!#REF!,Data_Val!$D$2:$D$10,0)),0,1)))</f>
        <v>#REF!</v>
      </c>
      <c r="AZ559" s="11"/>
      <c r="BA559" s="19" t="e">
        <f ca="1">IF(Data!#REF!="","",IF(ISNUMBER(Data!#REF!),IF(AND(Data!#REF!&gt;(TODAY()-(Data_Val!$M$3*365.25)),Data!#REF!&lt;=(TODAY()-(Data_Val!$M$2*365.25))),0,1),1))</f>
        <v>#REF!</v>
      </c>
      <c r="BB559" s="11" t="e">
        <f>IF(Data!#REF!="","",IF(Data!$G559="",1,IF(ISNUMBER(MATCH(Data!#REF!,Data_Val!$D$2:$D$10,0)),0,1)))</f>
        <v>#REF!</v>
      </c>
      <c r="BC559" s="12"/>
      <c r="BD559" s="20" t="e">
        <f ca="1">IF(Data!#REF!="","",IF(ISNUMBER(Data!#REF!),IF(AND(Data!#REF!&gt;(TODAY()-(Data_Val!$M$3*365.25)),Data!#REF!&lt;=(TODAY()-(Data_Val!$M$2*365.25))),0,1),1))</f>
        <v>#REF!</v>
      </c>
      <c r="BE559" s="12" t="e">
        <f>IF(Data!#REF!="","",IF(Data!$G559="",1,IF(ISNUMBER(MATCH(Data!#REF!,Data_Val!$D$2:$D$10,0)),0,1)))</f>
        <v>#REF!</v>
      </c>
      <c r="BF559" s="17"/>
      <c r="BG559" s="18" t="e">
        <f ca="1">IF(Data!#REF!="","",IF(ISNUMBER(Data!#REF!),IF(AND(Data!#REF!&gt;(TODAY()-(Data_Val!$M$3*365.25)),Data!#REF!&lt;=(TODAY()-(Data_Val!$M$2*365.25))),0,1),1))</f>
        <v>#REF!</v>
      </c>
      <c r="BH559" s="29" t="e">
        <f>IF(Data!#REF!="","",IF(Data!$G559="",1,IF(ISNUMBER(MATCH(Data!#REF!,Data_Val!$D$2:$D$10,0)),0,1)))</f>
        <v>#REF!</v>
      </c>
      <c r="BI559" s="13"/>
      <c r="BJ559" s="21" t="e">
        <f ca="1">IF(Data!#REF!="","",IF(ISNUMBER(Data!#REF!),IF(AND(Data!#REF!&gt;(TODAY()-(Data_Val!$M$3*365.25)),Data!#REF!&lt;=(TODAY()-(Data_Val!$M$2*365.25))),0,1),1))</f>
        <v>#REF!</v>
      </c>
      <c r="BK559" s="13" t="e">
        <f>IF(Data!#REF!="","",IF(Data!$G559="",1,IF(ISNUMBER(MATCH(Data!#REF!,Data_Val!$D$2:$D$10,0)),0,1)))</f>
        <v>#REF!</v>
      </c>
    </row>
    <row r="560" spans="1:63" x14ac:dyDescent="0.25">
      <c r="A560" s="9" t="str">
        <f>IF(Data!B560="","",IF(COUNTIFS(Data!A$1:'Data'!A560,Data!A560)&lt;=1,0,1))</f>
        <v/>
      </c>
      <c r="B560" s="9"/>
      <c r="C560" s="23" t="str">
        <f>IF(Data!C560="","",(IF(ISNUMBER(MATCH("*@*.?*",Data!C560,0)),0,1)+IF(COUNTIFS(Data!C$1:'Data'!C560,Data!C560)&gt;1,1,0)))</f>
        <v/>
      </c>
      <c r="D560" s="9" t="str">
        <f>IF(Data!B560="","",IF(ISNUMBER(Data!D560),IF(AND(Data!D560&gt;999999999,Data!D560&lt;=9999999999),IF(COUNTIFS(Data!D$1:'Data'!D560,Data!D560)&lt;=1,0,1),1),1))</f>
        <v/>
      </c>
      <c r="E560" s="9" t="str">
        <f>IF(Data!B560="","",IF(ISNUMBER(MATCH(Data!E560,Data_Val!$A$2:$A$3,0)),0,1))</f>
        <v/>
      </c>
      <c r="F560" s="9" t="str">
        <f ca="1">IF(Data!B560="","",IF(ISNUMBER(Data!F560),IF(AND(Data!F560&gt;(TODAY()-(Data_Val!$H$3*365.25)),Data!F560&lt;=(TODAY()-(Data_Val!$H$2*365.25))),0,1),1))</f>
        <v/>
      </c>
      <c r="G560" s="15" t="str">
        <f>IF(Data!B560="","",IF(AND(Data!G560="",Data!H560&lt;&gt;""),1,IF(Data!#REF!&lt;&gt;"",0,IF(ISNUMBER(MATCH(Data!G560,Data_Val!$C$2:$C$5,0)),0,1))))</f>
        <v/>
      </c>
      <c r="H560" s="15" t="str">
        <f>IF(Data!B560="","",IF(AND(Data!G560&lt;&gt;"",Data!H560=""),1,IF(Data!#REF!&lt;&gt;"",0,IF(Data!G560="",1,IF(ISNUMBER(MATCH(Data!H560,Data_Val!$D$2:$D$35,0)),0,1)))))</f>
        <v/>
      </c>
      <c r="I560" s="15" t="str">
        <f>IF(Data!B560="","",IF(Data!G560&lt;&gt;"",0,IF(ISNUMBER(MATCH(Data!#REF!,Data_Val!$E$2:$E$12,0)),0,1)))</f>
        <v/>
      </c>
      <c r="J560" s="16" t="e">
        <f>IF(OR(Data!B560="",Data!#REF!=""),"",IF(Data!#REF!="",1,0))</f>
        <v>#REF!</v>
      </c>
      <c r="K560" s="16" t="e">
        <f>IF(OR(Data!B560="",Data!#REF!=""),"",IF(Data!#REF!="",1,0))</f>
        <v>#REF!</v>
      </c>
      <c r="L560" s="16" t="e">
        <f>IF(OR(Data!B560="",Data!#REF!=""),"",IF(ISNUMBER(Data!#REF!),IF(AND(Data!#REF!&gt;Data_Val!$G$2,Data!#REF!&lt;=Data_Val!$G$3),0,1),1))</f>
        <v>#REF!</v>
      </c>
      <c r="M560" s="9" t="e">
        <f>IF(OR(Data!B560="",Data!#REF!=""),"",IF(ISNUMBER(MATCH(Data!#REF!,Data_Val!$F$1:$F$38,0)),0,1))</f>
        <v>#REF!</v>
      </c>
      <c r="N560" s="9" t="e">
        <f>IF(OR(Data!B560="",Data!#REF!=""),"",IF(Data!#REF!="",1,0))</f>
        <v>#REF!</v>
      </c>
      <c r="O560" s="17" t="e">
        <f>IF(Data!#REF!="","",IF(Data!#REF!="",1,0))</f>
        <v>#REF!</v>
      </c>
      <c r="P560" s="17" t="e">
        <f>IF(Data!#REF!="","",IF(ISNUMBER(MATCH(Data!#REF!,Data_Val!$A$2:$A$3,0)),0,1))</f>
        <v>#REF!</v>
      </c>
      <c r="Q560" s="25" t="e">
        <f ca="1">IF(Data!#REF!="","",IF(ISNUMBER(Data!#REF!),IF(AND(Data!#REF!&gt;(TODAY()-(Data_Val!$J$3*365.25)),Data!#REF!&lt;=(TODAY()-(Data_Val!$J$2*365.25))),0,1),1))</f>
        <v>#REF!</v>
      </c>
      <c r="R560" s="17" t="e">
        <f>IF(Data!#REF!="","",IF(ISNUMBER(MATCH(Data!#REF!,Data_Val!$B$2:$B$15,0)),0,1))</f>
        <v>#REF!</v>
      </c>
      <c r="S560" s="11" t="str">
        <f>IF(Data!G560="","",IF(Data!G560=Data_Val!$C$2,IF(Data!M560="",0,1),0))</f>
        <v/>
      </c>
      <c r="T560" s="11" t="str">
        <f>IF(Data!M560="","",IF(ISNUMBER(MATCH(Data!N560,Data_Val!$A$2:$A$3,0)),0,1))</f>
        <v/>
      </c>
      <c r="U560" s="11" t="str">
        <f ca="1">IF(Data!M560="","",IF(ISNUMBER(Data!O560),IF(AND(Data!O560&gt;(TODAY()-(Data_Val!$K$3*365.25)),Data!O560&lt;=(TODAY()-(Data_Val!$K$2*365.25))),0,1),1))</f>
        <v/>
      </c>
      <c r="V560" s="12" t="str">
        <f>IF(Data!G560="","",IF(Data!G560=Data_Val!$C$2,IF(Data!P560="",0,1),0))</f>
        <v/>
      </c>
      <c r="W560" s="12" t="str">
        <f>IF(Data!P560="","",IF(ISNUMBER(MATCH(Data!Q560,Data_Val!$A$2:$A$3,0)),0,1))</f>
        <v/>
      </c>
      <c r="X560" s="26" t="str">
        <f ca="1">IF(Data!P560="","",IF(ISNUMBER(Data!R560),IF(AND(Data!R560&gt;(TODAY()-(Data_Val!$L$3*365.25)),Data!R560&lt;=(TODAY()-(Data_Val!$L$2*365.25))),0,1),1))</f>
        <v/>
      </c>
      <c r="Y560" s="13" t="str">
        <f>IF(Data!$G560="","",IF(Data!$G560=Data_Val!$C$2,IF(Data!S560="",0,1),0))</f>
        <v/>
      </c>
      <c r="Z560" s="13" t="str">
        <f>IF(Data!S560="","",IF(ISNUMBER(MATCH(Data!T560,Data_Val!$A$2:$A$3,0)),0,1))</f>
        <v/>
      </c>
      <c r="AA560" s="28" t="str">
        <f ca="1">IF(Data!S560="","",IF(ISNUMBER(Data!U560),IF(AND(Data!U560&gt;(TODAY()-(Data_Val!$L$3*365.25)),Data!U560&lt;=(TODAY()-(Data_Val!$L$2*365.25))),0,1),1))</f>
        <v/>
      </c>
      <c r="AB560" s="11"/>
      <c r="AC560" s="11" t="e">
        <f>IF(Data!#REF!="","",IF(ISNUMBER(MATCH(Data!#REF!,Data_Val!$A$2:$A$3,0)),0,1))</f>
        <v>#REF!</v>
      </c>
      <c r="AD560" s="11" t="e">
        <f ca="1">IF(Data!#REF!="","",IF(ISNUMBER(Data!#REF!),IF(AND(Data!#REF!&gt;(TODAY()-(Data_Val!$L$3*365.25)),Data!#REF!&lt;=(TODAY()-(Data_Val!$L$2*365.25))),0,1),1))</f>
        <v>#REF!</v>
      </c>
      <c r="AE560" s="11" t="e">
        <f>IF(Data!#REF!="","",IF(Data!$G560="",1,IF(ISNUMBER(MATCH(Data!#REF!,Data_Val!$D$2:$D$10,0)),0,1)))</f>
        <v>#REF!</v>
      </c>
      <c r="AF560" s="12"/>
      <c r="AG560" s="12" t="e">
        <f>IF(Data!#REF!="","",IF(ISNUMBER(MATCH(Data!#REF!,Data_Val!$A$2:$A$3,0)),0,1))</f>
        <v>#REF!</v>
      </c>
      <c r="AH560" s="26" t="e">
        <f ca="1">IF(Data!#REF!="","",IF(ISNUMBER(Data!#REF!),IF(AND(Data!#REF!&gt;(TODAY()-(Data_Val!$L$3*365.25)),Data!#REF!&lt;=(TODAY()-(Data_Val!$L$2*365.25))),0,1),1))</f>
        <v>#REF!</v>
      </c>
      <c r="AI560" s="12" t="e">
        <f>IF(Data!#REF!="","",IF(Data!$G560="",1,IF(ISNUMBER(MATCH(Data!#REF!,Data_Val!$D$2:$D$10,0)),0,1)))</f>
        <v>#REF!</v>
      </c>
      <c r="AJ560" s="17"/>
      <c r="AK560" s="17" t="e">
        <f>IF(Data!#REF!="","",IF(ISNUMBER(MATCH(Data!#REF!,Data_Val!$A$2:$A$3,0)),0,1))</f>
        <v>#REF!</v>
      </c>
      <c r="AL560" s="25" t="e">
        <f ca="1">IF(Data!#REF!="","",IF(ISNUMBER(Data!#REF!),IF(AND(Data!#REF!&gt;(TODAY()-(Data_Val!$L$3*365.25)),Data!#REF!&lt;=(TODAY()-(Data_Val!$L$2*365.25))),0,1),1))</f>
        <v>#REF!</v>
      </c>
      <c r="AM560" s="17" t="e">
        <f>IF(Data!#REF!="","",IF(Data!$G560="",1,IF(ISNUMBER(MATCH(Data!#REF!,Data_Val!$D$2:$D$10,0)),0,1)))</f>
        <v>#REF!</v>
      </c>
      <c r="AN560" s="13"/>
      <c r="AO560" s="28" t="e">
        <f ca="1">IF(Data!#REF!="","",IF(ISNUMBER(Data!#REF!),IF(AND(Data!#REF!&gt;(TODAY()-(Data_Val!$I$3*365.25)),Data!#REF!&lt;=(TODAY()-(Data_Val!$I$2*365.25))),0,1),1))</f>
        <v>#REF!</v>
      </c>
      <c r="AP560" s="13" t="e">
        <f>IF(Data!#REF!="","",IF(Data!$G560="",1,IF(ISNUMBER(MATCH(Data!#REF!,Data_Val!$D$2:$D$10,0)),0,1)))</f>
        <v>#REF!</v>
      </c>
      <c r="AQ560" s="17"/>
      <c r="AR560" s="30" t="e">
        <f ca="1">IF(Data!#REF!="","",IF(ISNUMBER(Data!#REF!),IF(AND(Data!#REF!&gt;(TODAY()-(Data_Val!$I$3*365.25)),Data!#REF!&lt;=(TODAY()-(Data_Val!$I$2*365.25))),0,1),1))</f>
        <v>#REF!</v>
      </c>
      <c r="AS560" s="31" t="e">
        <f>IF(Data!#REF!="","",IF(Data!$G560="",1,IF(ISNUMBER(MATCH(Data!#REF!,Data_Val!$D$2:$D$10,0)),0,1)))</f>
        <v>#REF!</v>
      </c>
      <c r="AT560" s="11"/>
      <c r="AU560" s="11" t="e">
        <f ca="1">IF(Data!#REF!="","",IF(ISNUMBER(Data!#REF!),IF(AND(Data!#REF!&gt;(TODAY()-(Data_Val!$I$3*365.25)),Data!#REF!&lt;=(TODAY()-(Data_Val!$I$2*365.25))),0,1),1))</f>
        <v>#REF!</v>
      </c>
      <c r="AV560" s="11" t="e">
        <f>IF(Data!#REF!="","",IF(Data!$G560="",1,IF(ISNUMBER(MATCH(Data!#REF!,Data_Val!$D$2:$D$10,0)),0,1)))</f>
        <v>#REF!</v>
      </c>
      <c r="AW560" s="12"/>
      <c r="AX560" s="26" t="e">
        <f ca="1">IF(Data!#REF!="","",IF(ISNUMBER(Data!#REF!),IF(AND(Data!#REF!&gt;(TODAY()-(Data_Val!$I$3*365.25)),Data!#REF!&lt;=(TODAY()-(Data_Val!$I$2*365.25))),0,1),1))</f>
        <v>#REF!</v>
      </c>
      <c r="AY560" s="12" t="e">
        <f>IF(Data!#REF!="","",IF(Data!$G560="",1,IF(ISNUMBER(MATCH(Data!#REF!,Data_Val!$D$2:$D$10,0)),0,1)))</f>
        <v>#REF!</v>
      </c>
      <c r="AZ560" s="11"/>
      <c r="BA560" s="19" t="e">
        <f ca="1">IF(Data!#REF!="","",IF(ISNUMBER(Data!#REF!),IF(AND(Data!#REF!&gt;(TODAY()-(Data_Val!$M$3*365.25)),Data!#REF!&lt;=(TODAY()-(Data_Val!$M$2*365.25))),0,1),1))</f>
        <v>#REF!</v>
      </c>
      <c r="BB560" s="11" t="e">
        <f>IF(Data!#REF!="","",IF(Data!$G560="",1,IF(ISNUMBER(MATCH(Data!#REF!,Data_Val!$D$2:$D$10,0)),0,1)))</f>
        <v>#REF!</v>
      </c>
      <c r="BC560" s="12"/>
      <c r="BD560" s="20" t="e">
        <f ca="1">IF(Data!#REF!="","",IF(ISNUMBER(Data!#REF!),IF(AND(Data!#REF!&gt;(TODAY()-(Data_Val!$M$3*365.25)),Data!#REF!&lt;=(TODAY()-(Data_Val!$M$2*365.25))),0,1),1))</f>
        <v>#REF!</v>
      </c>
      <c r="BE560" s="12" t="e">
        <f>IF(Data!#REF!="","",IF(Data!$G560="",1,IF(ISNUMBER(MATCH(Data!#REF!,Data_Val!$D$2:$D$10,0)),0,1)))</f>
        <v>#REF!</v>
      </c>
      <c r="BF560" s="17"/>
      <c r="BG560" s="18" t="e">
        <f ca="1">IF(Data!#REF!="","",IF(ISNUMBER(Data!#REF!),IF(AND(Data!#REF!&gt;(TODAY()-(Data_Val!$M$3*365.25)),Data!#REF!&lt;=(TODAY()-(Data_Val!$M$2*365.25))),0,1),1))</f>
        <v>#REF!</v>
      </c>
      <c r="BH560" s="29" t="e">
        <f>IF(Data!#REF!="","",IF(Data!$G560="",1,IF(ISNUMBER(MATCH(Data!#REF!,Data_Val!$D$2:$D$10,0)),0,1)))</f>
        <v>#REF!</v>
      </c>
      <c r="BI560" s="13"/>
      <c r="BJ560" s="21" t="e">
        <f ca="1">IF(Data!#REF!="","",IF(ISNUMBER(Data!#REF!),IF(AND(Data!#REF!&gt;(TODAY()-(Data_Val!$M$3*365.25)),Data!#REF!&lt;=(TODAY()-(Data_Val!$M$2*365.25))),0,1),1))</f>
        <v>#REF!</v>
      </c>
      <c r="BK560" s="13" t="e">
        <f>IF(Data!#REF!="","",IF(Data!$G560="",1,IF(ISNUMBER(MATCH(Data!#REF!,Data_Val!$D$2:$D$10,0)),0,1)))</f>
        <v>#REF!</v>
      </c>
    </row>
    <row r="561" spans="1:63" x14ac:dyDescent="0.25">
      <c r="A561" s="9" t="str">
        <f>IF(Data!B561="","",IF(COUNTIFS(Data!A$1:'Data'!A561,Data!A561)&lt;=1,0,1))</f>
        <v/>
      </c>
      <c r="B561" s="9"/>
      <c r="C561" s="23" t="str">
        <f>IF(Data!C561="","",(IF(ISNUMBER(MATCH("*@*.?*",Data!C561,0)),0,1)+IF(COUNTIFS(Data!C$1:'Data'!C561,Data!C561)&gt;1,1,0)))</f>
        <v/>
      </c>
      <c r="D561" s="9" t="str">
        <f>IF(Data!B561="","",IF(ISNUMBER(Data!D561),IF(AND(Data!D561&gt;999999999,Data!D561&lt;=9999999999),IF(COUNTIFS(Data!D$1:'Data'!D561,Data!D561)&lt;=1,0,1),1),1))</f>
        <v/>
      </c>
      <c r="E561" s="9" t="str">
        <f>IF(Data!B561="","",IF(ISNUMBER(MATCH(Data!E561,Data_Val!$A$2:$A$3,0)),0,1))</f>
        <v/>
      </c>
      <c r="F561" s="9" t="str">
        <f ca="1">IF(Data!B561="","",IF(ISNUMBER(Data!F561),IF(AND(Data!F561&gt;(TODAY()-(Data_Val!$H$3*365.25)),Data!F561&lt;=(TODAY()-(Data_Val!$H$2*365.25))),0,1),1))</f>
        <v/>
      </c>
      <c r="G561" s="15" t="str">
        <f>IF(Data!B561="","",IF(AND(Data!G561="",Data!H561&lt;&gt;""),1,IF(Data!#REF!&lt;&gt;"",0,IF(ISNUMBER(MATCH(Data!G561,Data_Val!$C$2:$C$5,0)),0,1))))</f>
        <v/>
      </c>
      <c r="H561" s="15" t="str">
        <f>IF(Data!B561="","",IF(AND(Data!G561&lt;&gt;"",Data!H561=""),1,IF(Data!#REF!&lt;&gt;"",0,IF(Data!G561="",1,IF(ISNUMBER(MATCH(Data!H561,Data_Val!$D$2:$D$35,0)),0,1)))))</f>
        <v/>
      </c>
      <c r="I561" s="15" t="str">
        <f>IF(Data!B561="","",IF(Data!G561&lt;&gt;"",0,IF(ISNUMBER(MATCH(Data!#REF!,Data_Val!$E$2:$E$12,0)),0,1)))</f>
        <v/>
      </c>
      <c r="J561" s="16" t="e">
        <f>IF(OR(Data!B561="",Data!#REF!=""),"",IF(Data!#REF!="",1,0))</f>
        <v>#REF!</v>
      </c>
      <c r="K561" s="16" t="e">
        <f>IF(OR(Data!B561="",Data!#REF!=""),"",IF(Data!#REF!="",1,0))</f>
        <v>#REF!</v>
      </c>
      <c r="L561" s="16" t="e">
        <f>IF(OR(Data!B561="",Data!#REF!=""),"",IF(ISNUMBER(Data!#REF!),IF(AND(Data!#REF!&gt;Data_Val!$G$2,Data!#REF!&lt;=Data_Val!$G$3),0,1),1))</f>
        <v>#REF!</v>
      </c>
      <c r="M561" s="9" t="e">
        <f>IF(OR(Data!B561="",Data!#REF!=""),"",IF(ISNUMBER(MATCH(Data!#REF!,Data_Val!$F$1:$F$38,0)),0,1))</f>
        <v>#REF!</v>
      </c>
      <c r="N561" s="9" t="e">
        <f>IF(OR(Data!B561="",Data!#REF!=""),"",IF(Data!#REF!="",1,0))</f>
        <v>#REF!</v>
      </c>
      <c r="O561" s="17" t="e">
        <f>IF(Data!#REF!="","",IF(Data!#REF!="",1,0))</f>
        <v>#REF!</v>
      </c>
      <c r="P561" s="17" t="e">
        <f>IF(Data!#REF!="","",IF(ISNUMBER(MATCH(Data!#REF!,Data_Val!$A$2:$A$3,0)),0,1))</f>
        <v>#REF!</v>
      </c>
      <c r="Q561" s="25" t="e">
        <f ca="1">IF(Data!#REF!="","",IF(ISNUMBER(Data!#REF!),IF(AND(Data!#REF!&gt;(TODAY()-(Data_Val!$J$3*365.25)),Data!#REF!&lt;=(TODAY()-(Data_Val!$J$2*365.25))),0,1),1))</f>
        <v>#REF!</v>
      </c>
      <c r="R561" s="17" t="e">
        <f>IF(Data!#REF!="","",IF(ISNUMBER(MATCH(Data!#REF!,Data_Val!$B$2:$B$15,0)),0,1))</f>
        <v>#REF!</v>
      </c>
      <c r="S561" s="11" t="str">
        <f>IF(Data!G561="","",IF(Data!G561=Data_Val!$C$2,IF(Data!M561="",0,1),0))</f>
        <v/>
      </c>
      <c r="T561" s="11" t="str">
        <f>IF(Data!M561="","",IF(ISNUMBER(MATCH(Data!N561,Data_Val!$A$2:$A$3,0)),0,1))</f>
        <v/>
      </c>
      <c r="U561" s="11" t="str">
        <f ca="1">IF(Data!M561="","",IF(ISNUMBER(Data!O561),IF(AND(Data!O561&gt;(TODAY()-(Data_Val!$K$3*365.25)),Data!O561&lt;=(TODAY()-(Data_Val!$K$2*365.25))),0,1),1))</f>
        <v/>
      </c>
      <c r="V561" s="12" t="str">
        <f>IF(Data!G561="","",IF(Data!G561=Data_Val!$C$2,IF(Data!P561="",0,1),0))</f>
        <v/>
      </c>
      <c r="W561" s="12" t="str">
        <f>IF(Data!P561="","",IF(ISNUMBER(MATCH(Data!Q561,Data_Val!$A$2:$A$3,0)),0,1))</f>
        <v/>
      </c>
      <c r="X561" s="26" t="str">
        <f ca="1">IF(Data!P561="","",IF(ISNUMBER(Data!R561),IF(AND(Data!R561&gt;(TODAY()-(Data_Val!$L$3*365.25)),Data!R561&lt;=(TODAY()-(Data_Val!$L$2*365.25))),0,1),1))</f>
        <v/>
      </c>
      <c r="Y561" s="13" t="str">
        <f>IF(Data!$G561="","",IF(Data!$G561=Data_Val!$C$2,IF(Data!S561="",0,1),0))</f>
        <v/>
      </c>
      <c r="Z561" s="13" t="str">
        <f>IF(Data!S561="","",IF(ISNUMBER(MATCH(Data!T561,Data_Val!$A$2:$A$3,0)),0,1))</f>
        <v/>
      </c>
      <c r="AA561" s="28" t="str">
        <f ca="1">IF(Data!S561="","",IF(ISNUMBER(Data!U561),IF(AND(Data!U561&gt;(TODAY()-(Data_Val!$L$3*365.25)),Data!U561&lt;=(TODAY()-(Data_Val!$L$2*365.25))),0,1),1))</f>
        <v/>
      </c>
      <c r="AB561" s="11"/>
      <c r="AC561" s="11" t="e">
        <f>IF(Data!#REF!="","",IF(ISNUMBER(MATCH(Data!#REF!,Data_Val!$A$2:$A$3,0)),0,1))</f>
        <v>#REF!</v>
      </c>
      <c r="AD561" s="11" t="e">
        <f ca="1">IF(Data!#REF!="","",IF(ISNUMBER(Data!#REF!),IF(AND(Data!#REF!&gt;(TODAY()-(Data_Val!$L$3*365.25)),Data!#REF!&lt;=(TODAY()-(Data_Val!$L$2*365.25))),0,1),1))</f>
        <v>#REF!</v>
      </c>
      <c r="AE561" s="11" t="e">
        <f>IF(Data!#REF!="","",IF(Data!$G561="",1,IF(ISNUMBER(MATCH(Data!#REF!,Data_Val!$D$2:$D$10,0)),0,1)))</f>
        <v>#REF!</v>
      </c>
      <c r="AF561" s="12"/>
      <c r="AG561" s="12" t="e">
        <f>IF(Data!#REF!="","",IF(ISNUMBER(MATCH(Data!#REF!,Data_Val!$A$2:$A$3,0)),0,1))</f>
        <v>#REF!</v>
      </c>
      <c r="AH561" s="26" t="e">
        <f ca="1">IF(Data!#REF!="","",IF(ISNUMBER(Data!#REF!),IF(AND(Data!#REF!&gt;(TODAY()-(Data_Val!$L$3*365.25)),Data!#REF!&lt;=(TODAY()-(Data_Val!$L$2*365.25))),0,1),1))</f>
        <v>#REF!</v>
      </c>
      <c r="AI561" s="12" t="e">
        <f>IF(Data!#REF!="","",IF(Data!$G561="",1,IF(ISNUMBER(MATCH(Data!#REF!,Data_Val!$D$2:$D$10,0)),0,1)))</f>
        <v>#REF!</v>
      </c>
      <c r="AJ561" s="17"/>
      <c r="AK561" s="17" t="e">
        <f>IF(Data!#REF!="","",IF(ISNUMBER(MATCH(Data!#REF!,Data_Val!$A$2:$A$3,0)),0,1))</f>
        <v>#REF!</v>
      </c>
      <c r="AL561" s="25" t="e">
        <f ca="1">IF(Data!#REF!="","",IF(ISNUMBER(Data!#REF!),IF(AND(Data!#REF!&gt;(TODAY()-(Data_Val!$L$3*365.25)),Data!#REF!&lt;=(TODAY()-(Data_Val!$L$2*365.25))),0,1),1))</f>
        <v>#REF!</v>
      </c>
      <c r="AM561" s="17" t="e">
        <f>IF(Data!#REF!="","",IF(Data!$G561="",1,IF(ISNUMBER(MATCH(Data!#REF!,Data_Val!$D$2:$D$10,0)),0,1)))</f>
        <v>#REF!</v>
      </c>
      <c r="AN561" s="13"/>
      <c r="AO561" s="28" t="e">
        <f ca="1">IF(Data!#REF!="","",IF(ISNUMBER(Data!#REF!),IF(AND(Data!#REF!&gt;(TODAY()-(Data_Val!$I$3*365.25)),Data!#REF!&lt;=(TODAY()-(Data_Val!$I$2*365.25))),0,1),1))</f>
        <v>#REF!</v>
      </c>
      <c r="AP561" s="13" t="e">
        <f>IF(Data!#REF!="","",IF(Data!$G561="",1,IF(ISNUMBER(MATCH(Data!#REF!,Data_Val!$D$2:$D$10,0)),0,1)))</f>
        <v>#REF!</v>
      </c>
      <c r="AQ561" s="17"/>
      <c r="AR561" s="30" t="e">
        <f ca="1">IF(Data!#REF!="","",IF(ISNUMBER(Data!#REF!),IF(AND(Data!#REF!&gt;(TODAY()-(Data_Val!$I$3*365.25)),Data!#REF!&lt;=(TODAY()-(Data_Val!$I$2*365.25))),0,1),1))</f>
        <v>#REF!</v>
      </c>
      <c r="AS561" s="31" t="e">
        <f>IF(Data!#REF!="","",IF(Data!$G561="",1,IF(ISNUMBER(MATCH(Data!#REF!,Data_Val!$D$2:$D$10,0)),0,1)))</f>
        <v>#REF!</v>
      </c>
      <c r="AT561" s="11"/>
      <c r="AU561" s="11" t="e">
        <f ca="1">IF(Data!#REF!="","",IF(ISNUMBER(Data!#REF!),IF(AND(Data!#REF!&gt;(TODAY()-(Data_Val!$I$3*365.25)),Data!#REF!&lt;=(TODAY()-(Data_Val!$I$2*365.25))),0,1),1))</f>
        <v>#REF!</v>
      </c>
      <c r="AV561" s="11" t="e">
        <f>IF(Data!#REF!="","",IF(Data!$G561="",1,IF(ISNUMBER(MATCH(Data!#REF!,Data_Val!$D$2:$D$10,0)),0,1)))</f>
        <v>#REF!</v>
      </c>
      <c r="AW561" s="12"/>
      <c r="AX561" s="26" t="e">
        <f ca="1">IF(Data!#REF!="","",IF(ISNUMBER(Data!#REF!),IF(AND(Data!#REF!&gt;(TODAY()-(Data_Val!$I$3*365.25)),Data!#REF!&lt;=(TODAY()-(Data_Val!$I$2*365.25))),0,1),1))</f>
        <v>#REF!</v>
      </c>
      <c r="AY561" s="12" t="e">
        <f>IF(Data!#REF!="","",IF(Data!$G561="",1,IF(ISNUMBER(MATCH(Data!#REF!,Data_Val!$D$2:$D$10,0)),0,1)))</f>
        <v>#REF!</v>
      </c>
      <c r="AZ561" s="11"/>
      <c r="BA561" s="19" t="e">
        <f ca="1">IF(Data!#REF!="","",IF(ISNUMBER(Data!#REF!),IF(AND(Data!#REF!&gt;(TODAY()-(Data_Val!$M$3*365.25)),Data!#REF!&lt;=(TODAY()-(Data_Val!$M$2*365.25))),0,1),1))</f>
        <v>#REF!</v>
      </c>
      <c r="BB561" s="11" t="e">
        <f>IF(Data!#REF!="","",IF(Data!$G561="",1,IF(ISNUMBER(MATCH(Data!#REF!,Data_Val!$D$2:$D$10,0)),0,1)))</f>
        <v>#REF!</v>
      </c>
      <c r="BC561" s="12"/>
      <c r="BD561" s="20" t="e">
        <f ca="1">IF(Data!#REF!="","",IF(ISNUMBER(Data!#REF!),IF(AND(Data!#REF!&gt;(TODAY()-(Data_Val!$M$3*365.25)),Data!#REF!&lt;=(TODAY()-(Data_Val!$M$2*365.25))),0,1),1))</f>
        <v>#REF!</v>
      </c>
      <c r="BE561" s="12" t="e">
        <f>IF(Data!#REF!="","",IF(Data!$G561="",1,IF(ISNUMBER(MATCH(Data!#REF!,Data_Val!$D$2:$D$10,0)),0,1)))</f>
        <v>#REF!</v>
      </c>
      <c r="BF561" s="17"/>
      <c r="BG561" s="18" t="e">
        <f ca="1">IF(Data!#REF!="","",IF(ISNUMBER(Data!#REF!),IF(AND(Data!#REF!&gt;(TODAY()-(Data_Val!$M$3*365.25)),Data!#REF!&lt;=(TODAY()-(Data_Val!$M$2*365.25))),0,1),1))</f>
        <v>#REF!</v>
      </c>
      <c r="BH561" s="29" t="e">
        <f>IF(Data!#REF!="","",IF(Data!$G561="",1,IF(ISNUMBER(MATCH(Data!#REF!,Data_Val!$D$2:$D$10,0)),0,1)))</f>
        <v>#REF!</v>
      </c>
      <c r="BI561" s="13"/>
      <c r="BJ561" s="21" t="e">
        <f ca="1">IF(Data!#REF!="","",IF(ISNUMBER(Data!#REF!),IF(AND(Data!#REF!&gt;(TODAY()-(Data_Val!$M$3*365.25)),Data!#REF!&lt;=(TODAY()-(Data_Val!$M$2*365.25))),0,1),1))</f>
        <v>#REF!</v>
      </c>
      <c r="BK561" s="13" t="e">
        <f>IF(Data!#REF!="","",IF(Data!$G561="",1,IF(ISNUMBER(MATCH(Data!#REF!,Data_Val!$D$2:$D$10,0)),0,1)))</f>
        <v>#REF!</v>
      </c>
    </row>
    <row r="562" spans="1:63" x14ac:dyDescent="0.25">
      <c r="A562" s="9" t="str">
        <f>IF(Data!B562="","",IF(COUNTIFS(Data!A$1:'Data'!A562,Data!A562)&lt;=1,0,1))</f>
        <v/>
      </c>
      <c r="B562" s="9"/>
      <c r="C562" s="23" t="str">
        <f>IF(Data!C562="","",(IF(ISNUMBER(MATCH("*@*.?*",Data!C562,0)),0,1)+IF(COUNTIFS(Data!C$1:'Data'!C562,Data!C562)&gt;1,1,0)))</f>
        <v/>
      </c>
      <c r="D562" s="9" t="str">
        <f>IF(Data!B562="","",IF(ISNUMBER(Data!D562),IF(AND(Data!D562&gt;999999999,Data!D562&lt;=9999999999),IF(COUNTIFS(Data!D$1:'Data'!D562,Data!D562)&lt;=1,0,1),1),1))</f>
        <v/>
      </c>
      <c r="E562" s="9" t="str">
        <f>IF(Data!B562="","",IF(ISNUMBER(MATCH(Data!E562,Data_Val!$A$2:$A$3,0)),0,1))</f>
        <v/>
      </c>
      <c r="F562" s="9" t="str">
        <f ca="1">IF(Data!B562="","",IF(ISNUMBER(Data!F562),IF(AND(Data!F562&gt;(TODAY()-(Data_Val!$H$3*365.25)),Data!F562&lt;=(TODAY()-(Data_Val!$H$2*365.25))),0,1),1))</f>
        <v/>
      </c>
      <c r="G562" s="15" t="str">
        <f>IF(Data!B562="","",IF(AND(Data!G562="",Data!H562&lt;&gt;""),1,IF(Data!#REF!&lt;&gt;"",0,IF(ISNUMBER(MATCH(Data!G562,Data_Val!$C$2:$C$5,0)),0,1))))</f>
        <v/>
      </c>
      <c r="H562" s="15" t="str">
        <f>IF(Data!B562="","",IF(AND(Data!G562&lt;&gt;"",Data!H562=""),1,IF(Data!#REF!&lt;&gt;"",0,IF(Data!G562="",1,IF(ISNUMBER(MATCH(Data!H562,Data_Val!$D$2:$D$35,0)),0,1)))))</f>
        <v/>
      </c>
      <c r="I562" s="15" t="str">
        <f>IF(Data!B562="","",IF(Data!G562&lt;&gt;"",0,IF(ISNUMBER(MATCH(Data!#REF!,Data_Val!$E$2:$E$12,0)),0,1)))</f>
        <v/>
      </c>
      <c r="J562" s="16" t="e">
        <f>IF(OR(Data!B562="",Data!#REF!=""),"",IF(Data!#REF!="",1,0))</f>
        <v>#REF!</v>
      </c>
      <c r="K562" s="16" t="e">
        <f>IF(OR(Data!B562="",Data!#REF!=""),"",IF(Data!#REF!="",1,0))</f>
        <v>#REF!</v>
      </c>
      <c r="L562" s="16" t="e">
        <f>IF(OR(Data!B562="",Data!#REF!=""),"",IF(ISNUMBER(Data!#REF!),IF(AND(Data!#REF!&gt;Data_Val!$G$2,Data!#REF!&lt;=Data_Val!$G$3),0,1),1))</f>
        <v>#REF!</v>
      </c>
      <c r="M562" s="9" t="e">
        <f>IF(OR(Data!B562="",Data!#REF!=""),"",IF(ISNUMBER(MATCH(Data!#REF!,Data_Val!$F$1:$F$38,0)),0,1))</f>
        <v>#REF!</v>
      </c>
      <c r="N562" s="9" t="e">
        <f>IF(OR(Data!B562="",Data!#REF!=""),"",IF(Data!#REF!="",1,0))</f>
        <v>#REF!</v>
      </c>
      <c r="O562" s="17" t="e">
        <f>IF(Data!#REF!="","",IF(Data!#REF!="",1,0))</f>
        <v>#REF!</v>
      </c>
      <c r="P562" s="17" t="e">
        <f>IF(Data!#REF!="","",IF(ISNUMBER(MATCH(Data!#REF!,Data_Val!$A$2:$A$3,0)),0,1))</f>
        <v>#REF!</v>
      </c>
      <c r="Q562" s="25" t="e">
        <f ca="1">IF(Data!#REF!="","",IF(ISNUMBER(Data!#REF!),IF(AND(Data!#REF!&gt;(TODAY()-(Data_Val!$J$3*365.25)),Data!#REF!&lt;=(TODAY()-(Data_Val!$J$2*365.25))),0,1),1))</f>
        <v>#REF!</v>
      </c>
      <c r="R562" s="17" t="e">
        <f>IF(Data!#REF!="","",IF(ISNUMBER(MATCH(Data!#REF!,Data_Val!$B$2:$B$15,0)),0,1))</f>
        <v>#REF!</v>
      </c>
      <c r="S562" s="11" t="str">
        <f>IF(Data!G562="","",IF(Data!G562=Data_Val!$C$2,IF(Data!M562="",0,1),0))</f>
        <v/>
      </c>
      <c r="T562" s="11" t="str">
        <f>IF(Data!M562="","",IF(ISNUMBER(MATCH(Data!N562,Data_Val!$A$2:$A$3,0)),0,1))</f>
        <v/>
      </c>
      <c r="U562" s="11" t="str">
        <f ca="1">IF(Data!M562="","",IF(ISNUMBER(Data!O562),IF(AND(Data!O562&gt;(TODAY()-(Data_Val!$K$3*365.25)),Data!O562&lt;=(TODAY()-(Data_Val!$K$2*365.25))),0,1),1))</f>
        <v/>
      </c>
      <c r="V562" s="12" t="str">
        <f>IF(Data!G562="","",IF(Data!G562=Data_Val!$C$2,IF(Data!P562="",0,1),0))</f>
        <v/>
      </c>
      <c r="W562" s="12" t="str">
        <f>IF(Data!P562="","",IF(ISNUMBER(MATCH(Data!Q562,Data_Val!$A$2:$A$3,0)),0,1))</f>
        <v/>
      </c>
      <c r="X562" s="26" t="str">
        <f ca="1">IF(Data!P562="","",IF(ISNUMBER(Data!R562),IF(AND(Data!R562&gt;(TODAY()-(Data_Val!$L$3*365.25)),Data!R562&lt;=(TODAY()-(Data_Val!$L$2*365.25))),0,1),1))</f>
        <v/>
      </c>
      <c r="Y562" s="13" t="str">
        <f>IF(Data!$G562="","",IF(Data!$G562=Data_Val!$C$2,IF(Data!S562="",0,1),0))</f>
        <v/>
      </c>
      <c r="Z562" s="13" t="str">
        <f>IF(Data!S562="","",IF(ISNUMBER(MATCH(Data!T562,Data_Val!$A$2:$A$3,0)),0,1))</f>
        <v/>
      </c>
      <c r="AA562" s="28" t="str">
        <f ca="1">IF(Data!S562="","",IF(ISNUMBER(Data!U562),IF(AND(Data!U562&gt;(TODAY()-(Data_Val!$L$3*365.25)),Data!U562&lt;=(TODAY()-(Data_Val!$L$2*365.25))),0,1),1))</f>
        <v/>
      </c>
      <c r="AB562" s="11"/>
      <c r="AC562" s="11" t="e">
        <f>IF(Data!#REF!="","",IF(ISNUMBER(MATCH(Data!#REF!,Data_Val!$A$2:$A$3,0)),0,1))</f>
        <v>#REF!</v>
      </c>
      <c r="AD562" s="11" t="e">
        <f ca="1">IF(Data!#REF!="","",IF(ISNUMBER(Data!#REF!),IF(AND(Data!#REF!&gt;(TODAY()-(Data_Val!$L$3*365.25)),Data!#REF!&lt;=(TODAY()-(Data_Val!$L$2*365.25))),0,1),1))</f>
        <v>#REF!</v>
      </c>
      <c r="AE562" s="11" t="e">
        <f>IF(Data!#REF!="","",IF(Data!$G562="",1,IF(ISNUMBER(MATCH(Data!#REF!,Data_Val!$D$2:$D$10,0)),0,1)))</f>
        <v>#REF!</v>
      </c>
      <c r="AF562" s="12"/>
      <c r="AG562" s="12" t="e">
        <f>IF(Data!#REF!="","",IF(ISNUMBER(MATCH(Data!#REF!,Data_Val!$A$2:$A$3,0)),0,1))</f>
        <v>#REF!</v>
      </c>
      <c r="AH562" s="26" t="e">
        <f ca="1">IF(Data!#REF!="","",IF(ISNUMBER(Data!#REF!),IF(AND(Data!#REF!&gt;(TODAY()-(Data_Val!$L$3*365.25)),Data!#REF!&lt;=(TODAY()-(Data_Val!$L$2*365.25))),0,1),1))</f>
        <v>#REF!</v>
      </c>
      <c r="AI562" s="12" t="e">
        <f>IF(Data!#REF!="","",IF(Data!$G562="",1,IF(ISNUMBER(MATCH(Data!#REF!,Data_Val!$D$2:$D$10,0)),0,1)))</f>
        <v>#REF!</v>
      </c>
      <c r="AJ562" s="17"/>
      <c r="AK562" s="17" t="e">
        <f>IF(Data!#REF!="","",IF(ISNUMBER(MATCH(Data!#REF!,Data_Val!$A$2:$A$3,0)),0,1))</f>
        <v>#REF!</v>
      </c>
      <c r="AL562" s="25" t="e">
        <f ca="1">IF(Data!#REF!="","",IF(ISNUMBER(Data!#REF!),IF(AND(Data!#REF!&gt;(TODAY()-(Data_Val!$L$3*365.25)),Data!#REF!&lt;=(TODAY()-(Data_Val!$L$2*365.25))),0,1),1))</f>
        <v>#REF!</v>
      </c>
      <c r="AM562" s="17" t="e">
        <f>IF(Data!#REF!="","",IF(Data!$G562="",1,IF(ISNUMBER(MATCH(Data!#REF!,Data_Val!$D$2:$D$10,0)),0,1)))</f>
        <v>#REF!</v>
      </c>
      <c r="AN562" s="13"/>
      <c r="AO562" s="28" t="e">
        <f ca="1">IF(Data!#REF!="","",IF(ISNUMBER(Data!#REF!),IF(AND(Data!#REF!&gt;(TODAY()-(Data_Val!$I$3*365.25)),Data!#REF!&lt;=(TODAY()-(Data_Val!$I$2*365.25))),0,1),1))</f>
        <v>#REF!</v>
      </c>
      <c r="AP562" s="13" t="e">
        <f>IF(Data!#REF!="","",IF(Data!$G562="",1,IF(ISNUMBER(MATCH(Data!#REF!,Data_Val!$D$2:$D$10,0)),0,1)))</f>
        <v>#REF!</v>
      </c>
      <c r="AQ562" s="17"/>
      <c r="AR562" s="30" t="e">
        <f ca="1">IF(Data!#REF!="","",IF(ISNUMBER(Data!#REF!),IF(AND(Data!#REF!&gt;(TODAY()-(Data_Val!$I$3*365.25)),Data!#REF!&lt;=(TODAY()-(Data_Val!$I$2*365.25))),0,1),1))</f>
        <v>#REF!</v>
      </c>
      <c r="AS562" s="31" t="e">
        <f>IF(Data!#REF!="","",IF(Data!$G562="",1,IF(ISNUMBER(MATCH(Data!#REF!,Data_Val!$D$2:$D$10,0)),0,1)))</f>
        <v>#REF!</v>
      </c>
      <c r="AT562" s="11"/>
      <c r="AU562" s="11" t="e">
        <f ca="1">IF(Data!#REF!="","",IF(ISNUMBER(Data!#REF!),IF(AND(Data!#REF!&gt;(TODAY()-(Data_Val!$I$3*365.25)),Data!#REF!&lt;=(TODAY()-(Data_Val!$I$2*365.25))),0,1),1))</f>
        <v>#REF!</v>
      </c>
      <c r="AV562" s="11" t="e">
        <f>IF(Data!#REF!="","",IF(Data!$G562="",1,IF(ISNUMBER(MATCH(Data!#REF!,Data_Val!$D$2:$D$10,0)),0,1)))</f>
        <v>#REF!</v>
      </c>
      <c r="AW562" s="12"/>
      <c r="AX562" s="26" t="e">
        <f ca="1">IF(Data!#REF!="","",IF(ISNUMBER(Data!#REF!),IF(AND(Data!#REF!&gt;(TODAY()-(Data_Val!$I$3*365.25)),Data!#REF!&lt;=(TODAY()-(Data_Val!$I$2*365.25))),0,1),1))</f>
        <v>#REF!</v>
      </c>
      <c r="AY562" s="12" t="e">
        <f>IF(Data!#REF!="","",IF(Data!$G562="",1,IF(ISNUMBER(MATCH(Data!#REF!,Data_Val!$D$2:$D$10,0)),0,1)))</f>
        <v>#REF!</v>
      </c>
      <c r="AZ562" s="11"/>
      <c r="BA562" s="19" t="e">
        <f ca="1">IF(Data!#REF!="","",IF(ISNUMBER(Data!#REF!),IF(AND(Data!#REF!&gt;(TODAY()-(Data_Val!$M$3*365.25)),Data!#REF!&lt;=(TODAY()-(Data_Val!$M$2*365.25))),0,1),1))</f>
        <v>#REF!</v>
      </c>
      <c r="BB562" s="11" t="e">
        <f>IF(Data!#REF!="","",IF(Data!$G562="",1,IF(ISNUMBER(MATCH(Data!#REF!,Data_Val!$D$2:$D$10,0)),0,1)))</f>
        <v>#REF!</v>
      </c>
      <c r="BC562" s="12"/>
      <c r="BD562" s="20" t="e">
        <f ca="1">IF(Data!#REF!="","",IF(ISNUMBER(Data!#REF!),IF(AND(Data!#REF!&gt;(TODAY()-(Data_Val!$M$3*365.25)),Data!#REF!&lt;=(TODAY()-(Data_Val!$M$2*365.25))),0,1),1))</f>
        <v>#REF!</v>
      </c>
      <c r="BE562" s="12" t="e">
        <f>IF(Data!#REF!="","",IF(Data!$G562="",1,IF(ISNUMBER(MATCH(Data!#REF!,Data_Val!$D$2:$D$10,0)),0,1)))</f>
        <v>#REF!</v>
      </c>
      <c r="BF562" s="17"/>
      <c r="BG562" s="18" t="e">
        <f ca="1">IF(Data!#REF!="","",IF(ISNUMBER(Data!#REF!),IF(AND(Data!#REF!&gt;(TODAY()-(Data_Val!$M$3*365.25)),Data!#REF!&lt;=(TODAY()-(Data_Val!$M$2*365.25))),0,1),1))</f>
        <v>#REF!</v>
      </c>
      <c r="BH562" s="29" t="e">
        <f>IF(Data!#REF!="","",IF(Data!$G562="",1,IF(ISNUMBER(MATCH(Data!#REF!,Data_Val!$D$2:$D$10,0)),0,1)))</f>
        <v>#REF!</v>
      </c>
      <c r="BI562" s="13"/>
      <c r="BJ562" s="21" t="e">
        <f ca="1">IF(Data!#REF!="","",IF(ISNUMBER(Data!#REF!),IF(AND(Data!#REF!&gt;(TODAY()-(Data_Val!$M$3*365.25)),Data!#REF!&lt;=(TODAY()-(Data_Val!$M$2*365.25))),0,1),1))</f>
        <v>#REF!</v>
      </c>
      <c r="BK562" s="13" t="e">
        <f>IF(Data!#REF!="","",IF(Data!$G562="",1,IF(ISNUMBER(MATCH(Data!#REF!,Data_Val!$D$2:$D$10,0)),0,1)))</f>
        <v>#REF!</v>
      </c>
    </row>
    <row r="563" spans="1:63" x14ac:dyDescent="0.25">
      <c r="A563" s="9" t="str">
        <f>IF(Data!B563="","",IF(COUNTIFS(Data!A$1:'Data'!A563,Data!A563)&lt;=1,0,1))</f>
        <v/>
      </c>
      <c r="B563" s="9"/>
      <c r="C563" s="23" t="str">
        <f>IF(Data!C563="","",(IF(ISNUMBER(MATCH("*@*.?*",Data!C563,0)),0,1)+IF(COUNTIFS(Data!C$1:'Data'!C563,Data!C563)&gt;1,1,0)))</f>
        <v/>
      </c>
      <c r="D563" s="9" t="str">
        <f>IF(Data!B563="","",IF(ISNUMBER(Data!D563),IF(AND(Data!D563&gt;999999999,Data!D563&lt;=9999999999),IF(COUNTIFS(Data!D$1:'Data'!D563,Data!D563)&lt;=1,0,1),1),1))</f>
        <v/>
      </c>
      <c r="E563" s="9" t="str">
        <f>IF(Data!B563="","",IF(ISNUMBER(MATCH(Data!E563,Data_Val!$A$2:$A$3,0)),0,1))</f>
        <v/>
      </c>
      <c r="F563" s="9" t="str">
        <f ca="1">IF(Data!B563="","",IF(ISNUMBER(Data!F563),IF(AND(Data!F563&gt;(TODAY()-(Data_Val!$H$3*365.25)),Data!F563&lt;=(TODAY()-(Data_Val!$H$2*365.25))),0,1),1))</f>
        <v/>
      </c>
      <c r="G563" s="15" t="str">
        <f>IF(Data!B563="","",IF(AND(Data!G563="",Data!H563&lt;&gt;""),1,IF(Data!#REF!&lt;&gt;"",0,IF(ISNUMBER(MATCH(Data!G563,Data_Val!$C$2:$C$5,0)),0,1))))</f>
        <v/>
      </c>
      <c r="H563" s="15" t="str">
        <f>IF(Data!B563="","",IF(AND(Data!G563&lt;&gt;"",Data!H563=""),1,IF(Data!#REF!&lt;&gt;"",0,IF(Data!G563="",1,IF(ISNUMBER(MATCH(Data!H563,Data_Val!$D$2:$D$35,0)),0,1)))))</f>
        <v/>
      </c>
      <c r="I563" s="15" t="str">
        <f>IF(Data!B563="","",IF(Data!G563&lt;&gt;"",0,IF(ISNUMBER(MATCH(Data!#REF!,Data_Val!$E$2:$E$12,0)),0,1)))</f>
        <v/>
      </c>
      <c r="J563" s="16" t="e">
        <f>IF(OR(Data!B563="",Data!#REF!=""),"",IF(Data!#REF!="",1,0))</f>
        <v>#REF!</v>
      </c>
      <c r="K563" s="16" t="e">
        <f>IF(OR(Data!B563="",Data!#REF!=""),"",IF(Data!#REF!="",1,0))</f>
        <v>#REF!</v>
      </c>
      <c r="L563" s="16" t="e">
        <f>IF(OR(Data!B563="",Data!#REF!=""),"",IF(ISNUMBER(Data!#REF!),IF(AND(Data!#REF!&gt;Data_Val!$G$2,Data!#REF!&lt;=Data_Val!$G$3),0,1),1))</f>
        <v>#REF!</v>
      </c>
      <c r="M563" s="9" t="e">
        <f>IF(OR(Data!B563="",Data!#REF!=""),"",IF(ISNUMBER(MATCH(Data!#REF!,Data_Val!$F$1:$F$38,0)),0,1))</f>
        <v>#REF!</v>
      </c>
      <c r="N563" s="9" t="e">
        <f>IF(OR(Data!B563="",Data!#REF!=""),"",IF(Data!#REF!="",1,0))</f>
        <v>#REF!</v>
      </c>
      <c r="O563" s="17" t="e">
        <f>IF(Data!#REF!="","",IF(Data!#REF!="",1,0))</f>
        <v>#REF!</v>
      </c>
      <c r="P563" s="17" t="e">
        <f>IF(Data!#REF!="","",IF(ISNUMBER(MATCH(Data!#REF!,Data_Val!$A$2:$A$3,0)),0,1))</f>
        <v>#REF!</v>
      </c>
      <c r="Q563" s="25" t="e">
        <f ca="1">IF(Data!#REF!="","",IF(ISNUMBER(Data!#REF!),IF(AND(Data!#REF!&gt;(TODAY()-(Data_Val!$J$3*365.25)),Data!#REF!&lt;=(TODAY()-(Data_Val!$J$2*365.25))),0,1),1))</f>
        <v>#REF!</v>
      </c>
      <c r="R563" s="17" t="e">
        <f>IF(Data!#REF!="","",IF(ISNUMBER(MATCH(Data!#REF!,Data_Val!$B$2:$B$15,0)),0,1))</f>
        <v>#REF!</v>
      </c>
      <c r="S563" s="11" t="str">
        <f>IF(Data!G563="","",IF(Data!G563=Data_Val!$C$2,IF(Data!M563="",0,1),0))</f>
        <v/>
      </c>
      <c r="T563" s="11" t="str">
        <f>IF(Data!M563="","",IF(ISNUMBER(MATCH(Data!N563,Data_Val!$A$2:$A$3,0)),0,1))</f>
        <v/>
      </c>
      <c r="U563" s="11" t="str">
        <f ca="1">IF(Data!M563="","",IF(ISNUMBER(Data!O563),IF(AND(Data!O563&gt;(TODAY()-(Data_Val!$K$3*365.25)),Data!O563&lt;=(TODAY()-(Data_Val!$K$2*365.25))),0,1),1))</f>
        <v/>
      </c>
      <c r="V563" s="12" t="str">
        <f>IF(Data!G563="","",IF(Data!G563=Data_Val!$C$2,IF(Data!P563="",0,1),0))</f>
        <v/>
      </c>
      <c r="W563" s="12" t="str">
        <f>IF(Data!P563="","",IF(ISNUMBER(MATCH(Data!Q563,Data_Val!$A$2:$A$3,0)),0,1))</f>
        <v/>
      </c>
      <c r="X563" s="26" t="str">
        <f ca="1">IF(Data!P563="","",IF(ISNUMBER(Data!R563),IF(AND(Data!R563&gt;(TODAY()-(Data_Val!$L$3*365.25)),Data!R563&lt;=(TODAY()-(Data_Val!$L$2*365.25))),0,1),1))</f>
        <v/>
      </c>
      <c r="Y563" s="13" t="str">
        <f>IF(Data!$G563="","",IF(Data!$G563=Data_Val!$C$2,IF(Data!S563="",0,1),0))</f>
        <v/>
      </c>
      <c r="Z563" s="13" t="str">
        <f>IF(Data!S563="","",IF(ISNUMBER(MATCH(Data!T563,Data_Val!$A$2:$A$3,0)),0,1))</f>
        <v/>
      </c>
      <c r="AA563" s="28" t="str">
        <f ca="1">IF(Data!S563="","",IF(ISNUMBER(Data!U563),IF(AND(Data!U563&gt;(TODAY()-(Data_Val!$L$3*365.25)),Data!U563&lt;=(TODAY()-(Data_Val!$L$2*365.25))),0,1),1))</f>
        <v/>
      </c>
      <c r="AB563" s="11"/>
      <c r="AC563" s="11" t="e">
        <f>IF(Data!#REF!="","",IF(ISNUMBER(MATCH(Data!#REF!,Data_Val!$A$2:$A$3,0)),0,1))</f>
        <v>#REF!</v>
      </c>
      <c r="AD563" s="11" t="e">
        <f ca="1">IF(Data!#REF!="","",IF(ISNUMBER(Data!#REF!),IF(AND(Data!#REF!&gt;(TODAY()-(Data_Val!$L$3*365.25)),Data!#REF!&lt;=(TODAY()-(Data_Val!$L$2*365.25))),0,1),1))</f>
        <v>#REF!</v>
      </c>
      <c r="AE563" s="11" t="e">
        <f>IF(Data!#REF!="","",IF(Data!$G563="",1,IF(ISNUMBER(MATCH(Data!#REF!,Data_Val!$D$2:$D$10,0)),0,1)))</f>
        <v>#REF!</v>
      </c>
      <c r="AF563" s="12"/>
      <c r="AG563" s="12" t="e">
        <f>IF(Data!#REF!="","",IF(ISNUMBER(MATCH(Data!#REF!,Data_Val!$A$2:$A$3,0)),0,1))</f>
        <v>#REF!</v>
      </c>
      <c r="AH563" s="26" t="e">
        <f ca="1">IF(Data!#REF!="","",IF(ISNUMBER(Data!#REF!),IF(AND(Data!#REF!&gt;(TODAY()-(Data_Val!$L$3*365.25)),Data!#REF!&lt;=(TODAY()-(Data_Val!$L$2*365.25))),0,1),1))</f>
        <v>#REF!</v>
      </c>
      <c r="AI563" s="12" t="e">
        <f>IF(Data!#REF!="","",IF(Data!$G563="",1,IF(ISNUMBER(MATCH(Data!#REF!,Data_Val!$D$2:$D$10,0)),0,1)))</f>
        <v>#REF!</v>
      </c>
      <c r="AJ563" s="17"/>
      <c r="AK563" s="17" t="e">
        <f>IF(Data!#REF!="","",IF(ISNUMBER(MATCH(Data!#REF!,Data_Val!$A$2:$A$3,0)),0,1))</f>
        <v>#REF!</v>
      </c>
      <c r="AL563" s="25" t="e">
        <f ca="1">IF(Data!#REF!="","",IF(ISNUMBER(Data!#REF!),IF(AND(Data!#REF!&gt;(TODAY()-(Data_Val!$L$3*365.25)),Data!#REF!&lt;=(TODAY()-(Data_Val!$L$2*365.25))),0,1),1))</f>
        <v>#REF!</v>
      </c>
      <c r="AM563" s="17" t="e">
        <f>IF(Data!#REF!="","",IF(Data!$G563="",1,IF(ISNUMBER(MATCH(Data!#REF!,Data_Val!$D$2:$D$10,0)),0,1)))</f>
        <v>#REF!</v>
      </c>
      <c r="AN563" s="13"/>
      <c r="AO563" s="28" t="e">
        <f ca="1">IF(Data!#REF!="","",IF(ISNUMBER(Data!#REF!),IF(AND(Data!#REF!&gt;(TODAY()-(Data_Val!$I$3*365.25)),Data!#REF!&lt;=(TODAY()-(Data_Val!$I$2*365.25))),0,1),1))</f>
        <v>#REF!</v>
      </c>
      <c r="AP563" s="13" t="e">
        <f>IF(Data!#REF!="","",IF(Data!$G563="",1,IF(ISNUMBER(MATCH(Data!#REF!,Data_Val!$D$2:$D$10,0)),0,1)))</f>
        <v>#REF!</v>
      </c>
      <c r="AQ563" s="17"/>
      <c r="AR563" s="30" t="e">
        <f ca="1">IF(Data!#REF!="","",IF(ISNUMBER(Data!#REF!),IF(AND(Data!#REF!&gt;(TODAY()-(Data_Val!$I$3*365.25)),Data!#REF!&lt;=(TODAY()-(Data_Val!$I$2*365.25))),0,1),1))</f>
        <v>#REF!</v>
      </c>
      <c r="AS563" s="31" t="e">
        <f>IF(Data!#REF!="","",IF(Data!$G563="",1,IF(ISNUMBER(MATCH(Data!#REF!,Data_Val!$D$2:$D$10,0)),0,1)))</f>
        <v>#REF!</v>
      </c>
      <c r="AT563" s="11"/>
      <c r="AU563" s="11" t="e">
        <f ca="1">IF(Data!#REF!="","",IF(ISNUMBER(Data!#REF!),IF(AND(Data!#REF!&gt;(TODAY()-(Data_Val!$I$3*365.25)),Data!#REF!&lt;=(TODAY()-(Data_Val!$I$2*365.25))),0,1),1))</f>
        <v>#REF!</v>
      </c>
      <c r="AV563" s="11" t="e">
        <f>IF(Data!#REF!="","",IF(Data!$G563="",1,IF(ISNUMBER(MATCH(Data!#REF!,Data_Val!$D$2:$D$10,0)),0,1)))</f>
        <v>#REF!</v>
      </c>
      <c r="AW563" s="12"/>
      <c r="AX563" s="26" t="e">
        <f ca="1">IF(Data!#REF!="","",IF(ISNUMBER(Data!#REF!),IF(AND(Data!#REF!&gt;(TODAY()-(Data_Val!$I$3*365.25)),Data!#REF!&lt;=(TODAY()-(Data_Val!$I$2*365.25))),0,1),1))</f>
        <v>#REF!</v>
      </c>
      <c r="AY563" s="12" t="e">
        <f>IF(Data!#REF!="","",IF(Data!$G563="",1,IF(ISNUMBER(MATCH(Data!#REF!,Data_Val!$D$2:$D$10,0)),0,1)))</f>
        <v>#REF!</v>
      </c>
      <c r="AZ563" s="11"/>
      <c r="BA563" s="19" t="e">
        <f ca="1">IF(Data!#REF!="","",IF(ISNUMBER(Data!#REF!),IF(AND(Data!#REF!&gt;(TODAY()-(Data_Val!$M$3*365.25)),Data!#REF!&lt;=(TODAY()-(Data_Val!$M$2*365.25))),0,1),1))</f>
        <v>#REF!</v>
      </c>
      <c r="BB563" s="11" t="e">
        <f>IF(Data!#REF!="","",IF(Data!$G563="",1,IF(ISNUMBER(MATCH(Data!#REF!,Data_Val!$D$2:$D$10,0)),0,1)))</f>
        <v>#REF!</v>
      </c>
      <c r="BC563" s="12"/>
      <c r="BD563" s="20" t="e">
        <f ca="1">IF(Data!#REF!="","",IF(ISNUMBER(Data!#REF!),IF(AND(Data!#REF!&gt;(TODAY()-(Data_Val!$M$3*365.25)),Data!#REF!&lt;=(TODAY()-(Data_Val!$M$2*365.25))),0,1),1))</f>
        <v>#REF!</v>
      </c>
      <c r="BE563" s="12" t="e">
        <f>IF(Data!#REF!="","",IF(Data!$G563="",1,IF(ISNUMBER(MATCH(Data!#REF!,Data_Val!$D$2:$D$10,0)),0,1)))</f>
        <v>#REF!</v>
      </c>
      <c r="BF563" s="17"/>
      <c r="BG563" s="18" t="e">
        <f ca="1">IF(Data!#REF!="","",IF(ISNUMBER(Data!#REF!),IF(AND(Data!#REF!&gt;(TODAY()-(Data_Val!$M$3*365.25)),Data!#REF!&lt;=(TODAY()-(Data_Val!$M$2*365.25))),0,1),1))</f>
        <v>#REF!</v>
      </c>
      <c r="BH563" s="29" t="e">
        <f>IF(Data!#REF!="","",IF(Data!$G563="",1,IF(ISNUMBER(MATCH(Data!#REF!,Data_Val!$D$2:$D$10,0)),0,1)))</f>
        <v>#REF!</v>
      </c>
      <c r="BI563" s="13"/>
      <c r="BJ563" s="21" t="e">
        <f ca="1">IF(Data!#REF!="","",IF(ISNUMBER(Data!#REF!),IF(AND(Data!#REF!&gt;(TODAY()-(Data_Val!$M$3*365.25)),Data!#REF!&lt;=(TODAY()-(Data_Val!$M$2*365.25))),0,1),1))</f>
        <v>#REF!</v>
      </c>
      <c r="BK563" s="13" t="e">
        <f>IF(Data!#REF!="","",IF(Data!$G563="",1,IF(ISNUMBER(MATCH(Data!#REF!,Data_Val!$D$2:$D$10,0)),0,1)))</f>
        <v>#REF!</v>
      </c>
    </row>
    <row r="564" spans="1:63" x14ac:dyDescent="0.25">
      <c r="A564" s="9" t="str">
        <f>IF(Data!B564="","",IF(COUNTIFS(Data!A$1:'Data'!A564,Data!A564)&lt;=1,0,1))</f>
        <v/>
      </c>
      <c r="B564" s="9"/>
      <c r="C564" s="23" t="str">
        <f>IF(Data!C564="","",(IF(ISNUMBER(MATCH("*@*.?*",Data!C564,0)),0,1)+IF(COUNTIFS(Data!C$1:'Data'!C564,Data!C564)&gt;1,1,0)))</f>
        <v/>
      </c>
      <c r="D564" s="9" t="str">
        <f>IF(Data!B564="","",IF(ISNUMBER(Data!D564),IF(AND(Data!D564&gt;999999999,Data!D564&lt;=9999999999),IF(COUNTIFS(Data!D$1:'Data'!D564,Data!D564)&lt;=1,0,1),1),1))</f>
        <v/>
      </c>
      <c r="E564" s="9" t="str">
        <f>IF(Data!B564="","",IF(ISNUMBER(MATCH(Data!E564,Data_Val!$A$2:$A$3,0)),0,1))</f>
        <v/>
      </c>
      <c r="F564" s="9" t="str">
        <f ca="1">IF(Data!B564="","",IF(ISNUMBER(Data!F564),IF(AND(Data!F564&gt;(TODAY()-(Data_Val!$H$3*365.25)),Data!F564&lt;=(TODAY()-(Data_Val!$H$2*365.25))),0,1),1))</f>
        <v/>
      </c>
      <c r="G564" s="15" t="str">
        <f>IF(Data!B564="","",IF(AND(Data!G564="",Data!H564&lt;&gt;""),1,IF(Data!#REF!&lt;&gt;"",0,IF(ISNUMBER(MATCH(Data!G564,Data_Val!$C$2:$C$5,0)),0,1))))</f>
        <v/>
      </c>
      <c r="H564" s="15" t="str">
        <f>IF(Data!B564="","",IF(AND(Data!G564&lt;&gt;"",Data!H564=""),1,IF(Data!#REF!&lt;&gt;"",0,IF(Data!G564="",1,IF(ISNUMBER(MATCH(Data!H564,Data_Val!$D$2:$D$35,0)),0,1)))))</f>
        <v/>
      </c>
      <c r="I564" s="15" t="str">
        <f>IF(Data!B564="","",IF(Data!G564&lt;&gt;"",0,IF(ISNUMBER(MATCH(Data!#REF!,Data_Val!$E$2:$E$12,0)),0,1)))</f>
        <v/>
      </c>
      <c r="J564" s="16" t="e">
        <f>IF(OR(Data!B564="",Data!#REF!=""),"",IF(Data!#REF!="",1,0))</f>
        <v>#REF!</v>
      </c>
      <c r="K564" s="16" t="e">
        <f>IF(OR(Data!B564="",Data!#REF!=""),"",IF(Data!#REF!="",1,0))</f>
        <v>#REF!</v>
      </c>
      <c r="L564" s="16" t="e">
        <f>IF(OR(Data!B564="",Data!#REF!=""),"",IF(ISNUMBER(Data!#REF!),IF(AND(Data!#REF!&gt;Data_Val!$G$2,Data!#REF!&lt;=Data_Val!$G$3),0,1),1))</f>
        <v>#REF!</v>
      </c>
      <c r="M564" s="9" t="e">
        <f>IF(OR(Data!B564="",Data!#REF!=""),"",IF(ISNUMBER(MATCH(Data!#REF!,Data_Val!$F$1:$F$38,0)),0,1))</f>
        <v>#REF!</v>
      </c>
      <c r="N564" s="9" t="e">
        <f>IF(OR(Data!B564="",Data!#REF!=""),"",IF(Data!#REF!="",1,0))</f>
        <v>#REF!</v>
      </c>
      <c r="O564" s="17" t="e">
        <f>IF(Data!#REF!="","",IF(Data!#REF!="",1,0))</f>
        <v>#REF!</v>
      </c>
      <c r="P564" s="17" t="e">
        <f>IF(Data!#REF!="","",IF(ISNUMBER(MATCH(Data!#REF!,Data_Val!$A$2:$A$3,0)),0,1))</f>
        <v>#REF!</v>
      </c>
      <c r="Q564" s="25" t="e">
        <f ca="1">IF(Data!#REF!="","",IF(ISNUMBER(Data!#REF!),IF(AND(Data!#REF!&gt;(TODAY()-(Data_Val!$J$3*365.25)),Data!#REF!&lt;=(TODAY()-(Data_Val!$J$2*365.25))),0,1),1))</f>
        <v>#REF!</v>
      </c>
      <c r="R564" s="17" t="e">
        <f>IF(Data!#REF!="","",IF(ISNUMBER(MATCH(Data!#REF!,Data_Val!$B$2:$B$15,0)),0,1))</f>
        <v>#REF!</v>
      </c>
      <c r="S564" s="11" t="str">
        <f>IF(Data!G564="","",IF(Data!G564=Data_Val!$C$2,IF(Data!M564="",0,1),0))</f>
        <v/>
      </c>
      <c r="T564" s="11" t="str">
        <f>IF(Data!M564="","",IF(ISNUMBER(MATCH(Data!N564,Data_Val!$A$2:$A$3,0)),0,1))</f>
        <v/>
      </c>
      <c r="U564" s="11" t="str">
        <f ca="1">IF(Data!M564="","",IF(ISNUMBER(Data!O564),IF(AND(Data!O564&gt;(TODAY()-(Data_Val!$K$3*365.25)),Data!O564&lt;=(TODAY()-(Data_Val!$K$2*365.25))),0,1),1))</f>
        <v/>
      </c>
      <c r="V564" s="12" t="str">
        <f>IF(Data!G564="","",IF(Data!G564=Data_Val!$C$2,IF(Data!P564="",0,1),0))</f>
        <v/>
      </c>
      <c r="W564" s="12" t="str">
        <f>IF(Data!P564="","",IF(ISNUMBER(MATCH(Data!Q564,Data_Val!$A$2:$A$3,0)),0,1))</f>
        <v/>
      </c>
      <c r="X564" s="26" t="str">
        <f ca="1">IF(Data!P564="","",IF(ISNUMBER(Data!R564),IF(AND(Data!R564&gt;(TODAY()-(Data_Val!$L$3*365.25)),Data!R564&lt;=(TODAY()-(Data_Val!$L$2*365.25))),0,1),1))</f>
        <v/>
      </c>
      <c r="Y564" s="13" t="str">
        <f>IF(Data!$G564="","",IF(Data!$G564=Data_Val!$C$2,IF(Data!S564="",0,1),0))</f>
        <v/>
      </c>
      <c r="Z564" s="13" t="str">
        <f>IF(Data!S564="","",IF(ISNUMBER(MATCH(Data!T564,Data_Val!$A$2:$A$3,0)),0,1))</f>
        <v/>
      </c>
      <c r="AA564" s="28" t="str">
        <f ca="1">IF(Data!S564="","",IF(ISNUMBER(Data!U564),IF(AND(Data!U564&gt;(TODAY()-(Data_Val!$L$3*365.25)),Data!U564&lt;=(TODAY()-(Data_Val!$L$2*365.25))),0,1),1))</f>
        <v/>
      </c>
      <c r="AB564" s="11"/>
      <c r="AC564" s="11" t="e">
        <f>IF(Data!#REF!="","",IF(ISNUMBER(MATCH(Data!#REF!,Data_Val!$A$2:$A$3,0)),0,1))</f>
        <v>#REF!</v>
      </c>
      <c r="AD564" s="11" t="e">
        <f ca="1">IF(Data!#REF!="","",IF(ISNUMBER(Data!#REF!),IF(AND(Data!#REF!&gt;(TODAY()-(Data_Val!$L$3*365.25)),Data!#REF!&lt;=(TODAY()-(Data_Val!$L$2*365.25))),0,1),1))</f>
        <v>#REF!</v>
      </c>
      <c r="AE564" s="11" t="e">
        <f>IF(Data!#REF!="","",IF(Data!$G564="",1,IF(ISNUMBER(MATCH(Data!#REF!,Data_Val!$D$2:$D$10,0)),0,1)))</f>
        <v>#REF!</v>
      </c>
      <c r="AF564" s="12"/>
      <c r="AG564" s="12" t="e">
        <f>IF(Data!#REF!="","",IF(ISNUMBER(MATCH(Data!#REF!,Data_Val!$A$2:$A$3,0)),0,1))</f>
        <v>#REF!</v>
      </c>
      <c r="AH564" s="26" t="e">
        <f ca="1">IF(Data!#REF!="","",IF(ISNUMBER(Data!#REF!),IF(AND(Data!#REF!&gt;(TODAY()-(Data_Val!$L$3*365.25)),Data!#REF!&lt;=(TODAY()-(Data_Val!$L$2*365.25))),0,1),1))</f>
        <v>#REF!</v>
      </c>
      <c r="AI564" s="12" t="e">
        <f>IF(Data!#REF!="","",IF(Data!$G564="",1,IF(ISNUMBER(MATCH(Data!#REF!,Data_Val!$D$2:$D$10,0)),0,1)))</f>
        <v>#REF!</v>
      </c>
      <c r="AJ564" s="17"/>
      <c r="AK564" s="17" t="e">
        <f>IF(Data!#REF!="","",IF(ISNUMBER(MATCH(Data!#REF!,Data_Val!$A$2:$A$3,0)),0,1))</f>
        <v>#REF!</v>
      </c>
      <c r="AL564" s="25" t="e">
        <f ca="1">IF(Data!#REF!="","",IF(ISNUMBER(Data!#REF!),IF(AND(Data!#REF!&gt;(TODAY()-(Data_Val!$L$3*365.25)),Data!#REF!&lt;=(TODAY()-(Data_Val!$L$2*365.25))),0,1),1))</f>
        <v>#REF!</v>
      </c>
      <c r="AM564" s="17" t="e">
        <f>IF(Data!#REF!="","",IF(Data!$G564="",1,IF(ISNUMBER(MATCH(Data!#REF!,Data_Val!$D$2:$D$10,0)),0,1)))</f>
        <v>#REF!</v>
      </c>
      <c r="AN564" s="13"/>
      <c r="AO564" s="28" t="e">
        <f ca="1">IF(Data!#REF!="","",IF(ISNUMBER(Data!#REF!),IF(AND(Data!#REF!&gt;(TODAY()-(Data_Val!$I$3*365.25)),Data!#REF!&lt;=(TODAY()-(Data_Val!$I$2*365.25))),0,1),1))</f>
        <v>#REF!</v>
      </c>
      <c r="AP564" s="13" t="e">
        <f>IF(Data!#REF!="","",IF(Data!$G564="",1,IF(ISNUMBER(MATCH(Data!#REF!,Data_Val!$D$2:$D$10,0)),0,1)))</f>
        <v>#REF!</v>
      </c>
      <c r="AQ564" s="17"/>
      <c r="AR564" s="30" t="e">
        <f ca="1">IF(Data!#REF!="","",IF(ISNUMBER(Data!#REF!),IF(AND(Data!#REF!&gt;(TODAY()-(Data_Val!$I$3*365.25)),Data!#REF!&lt;=(TODAY()-(Data_Val!$I$2*365.25))),0,1),1))</f>
        <v>#REF!</v>
      </c>
      <c r="AS564" s="31" t="e">
        <f>IF(Data!#REF!="","",IF(Data!$G564="",1,IF(ISNUMBER(MATCH(Data!#REF!,Data_Val!$D$2:$D$10,0)),0,1)))</f>
        <v>#REF!</v>
      </c>
      <c r="AT564" s="11"/>
      <c r="AU564" s="11" t="e">
        <f ca="1">IF(Data!#REF!="","",IF(ISNUMBER(Data!#REF!),IF(AND(Data!#REF!&gt;(TODAY()-(Data_Val!$I$3*365.25)),Data!#REF!&lt;=(TODAY()-(Data_Val!$I$2*365.25))),0,1),1))</f>
        <v>#REF!</v>
      </c>
      <c r="AV564" s="11" t="e">
        <f>IF(Data!#REF!="","",IF(Data!$G564="",1,IF(ISNUMBER(MATCH(Data!#REF!,Data_Val!$D$2:$D$10,0)),0,1)))</f>
        <v>#REF!</v>
      </c>
      <c r="AW564" s="12"/>
      <c r="AX564" s="26" t="e">
        <f ca="1">IF(Data!#REF!="","",IF(ISNUMBER(Data!#REF!),IF(AND(Data!#REF!&gt;(TODAY()-(Data_Val!$I$3*365.25)),Data!#REF!&lt;=(TODAY()-(Data_Val!$I$2*365.25))),0,1),1))</f>
        <v>#REF!</v>
      </c>
      <c r="AY564" s="12" t="e">
        <f>IF(Data!#REF!="","",IF(Data!$G564="",1,IF(ISNUMBER(MATCH(Data!#REF!,Data_Val!$D$2:$D$10,0)),0,1)))</f>
        <v>#REF!</v>
      </c>
      <c r="AZ564" s="11"/>
      <c r="BA564" s="19" t="e">
        <f ca="1">IF(Data!#REF!="","",IF(ISNUMBER(Data!#REF!),IF(AND(Data!#REF!&gt;(TODAY()-(Data_Val!$M$3*365.25)),Data!#REF!&lt;=(TODAY()-(Data_Val!$M$2*365.25))),0,1),1))</f>
        <v>#REF!</v>
      </c>
      <c r="BB564" s="11" t="e">
        <f>IF(Data!#REF!="","",IF(Data!$G564="",1,IF(ISNUMBER(MATCH(Data!#REF!,Data_Val!$D$2:$D$10,0)),0,1)))</f>
        <v>#REF!</v>
      </c>
      <c r="BC564" s="12"/>
      <c r="BD564" s="20" t="e">
        <f ca="1">IF(Data!#REF!="","",IF(ISNUMBER(Data!#REF!),IF(AND(Data!#REF!&gt;(TODAY()-(Data_Val!$M$3*365.25)),Data!#REF!&lt;=(TODAY()-(Data_Val!$M$2*365.25))),0,1),1))</f>
        <v>#REF!</v>
      </c>
      <c r="BE564" s="12" t="e">
        <f>IF(Data!#REF!="","",IF(Data!$G564="",1,IF(ISNUMBER(MATCH(Data!#REF!,Data_Val!$D$2:$D$10,0)),0,1)))</f>
        <v>#REF!</v>
      </c>
      <c r="BF564" s="17"/>
      <c r="BG564" s="18" t="e">
        <f ca="1">IF(Data!#REF!="","",IF(ISNUMBER(Data!#REF!),IF(AND(Data!#REF!&gt;(TODAY()-(Data_Val!$M$3*365.25)),Data!#REF!&lt;=(TODAY()-(Data_Val!$M$2*365.25))),0,1),1))</f>
        <v>#REF!</v>
      </c>
      <c r="BH564" s="29" t="e">
        <f>IF(Data!#REF!="","",IF(Data!$G564="",1,IF(ISNUMBER(MATCH(Data!#REF!,Data_Val!$D$2:$D$10,0)),0,1)))</f>
        <v>#REF!</v>
      </c>
      <c r="BI564" s="13"/>
      <c r="BJ564" s="21" t="e">
        <f ca="1">IF(Data!#REF!="","",IF(ISNUMBER(Data!#REF!),IF(AND(Data!#REF!&gt;(TODAY()-(Data_Val!$M$3*365.25)),Data!#REF!&lt;=(TODAY()-(Data_Val!$M$2*365.25))),0,1),1))</f>
        <v>#REF!</v>
      </c>
      <c r="BK564" s="13" t="e">
        <f>IF(Data!#REF!="","",IF(Data!$G564="",1,IF(ISNUMBER(MATCH(Data!#REF!,Data_Val!$D$2:$D$10,0)),0,1)))</f>
        <v>#REF!</v>
      </c>
    </row>
    <row r="565" spans="1:63" x14ac:dyDescent="0.25">
      <c r="A565" s="9" t="str">
        <f>IF(Data!B565="","",IF(COUNTIFS(Data!A$1:'Data'!A565,Data!A565)&lt;=1,0,1))</f>
        <v/>
      </c>
      <c r="B565" s="9"/>
      <c r="C565" s="23" t="str">
        <f>IF(Data!C565="","",(IF(ISNUMBER(MATCH("*@*.?*",Data!C565,0)),0,1)+IF(COUNTIFS(Data!C$1:'Data'!C565,Data!C565)&gt;1,1,0)))</f>
        <v/>
      </c>
      <c r="D565" s="9" t="str">
        <f>IF(Data!B565="","",IF(ISNUMBER(Data!D565),IF(AND(Data!D565&gt;999999999,Data!D565&lt;=9999999999),IF(COUNTIFS(Data!D$1:'Data'!D565,Data!D565)&lt;=1,0,1),1),1))</f>
        <v/>
      </c>
      <c r="E565" s="9" t="str">
        <f>IF(Data!B565="","",IF(ISNUMBER(MATCH(Data!E565,Data_Val!$A$2:$A$3,0)),0,1))</f>
        <v/>
      </c>
      <c r="F565" s="9" t="str">
        <f ca="1">IF(Data!B565="","",IF(ISNUMBER(Data!F565),IF(AND(Data!F565&gt;(TODAY()-(Data_Val!$H$3*365.25)),Data!F565&lt;=(TODAY()-(Data_Val!$H$2*365.25))),0,1),1))</f>
        <v/>
      </c>
      <c r="G565" s="15" t="str">
        <f>IF(Data!B565="","",IF(AND(Data!G565="",Data!H565&lt;&gt;""),1,IF(Data!#REF!&lt;&gt;"",0,IF(ISNUMBER(MATCH(Data!G565,Data_Val!$C$2:$C$5,0)),0,1))))</f>
        <v/>
      </c>
      <c r="H565" s="15" t="str">
        <f>IF(Data!B565="","",IF(AND(Data!G565&lt;&gt;"",Data!H565=""),1,IF(Data!#REF!&lt;&gt;"",0,IF(Data!G565="",1,IF(ISNUMBER(MATCH(Data!H565,Data_Val!$D$2:$D$35,0)),0,1)))))</f>
        <v/>
      </c>
      <c r="I565" s="15" t="str">
        <f>IF(Data!B565="","",IF(Data!G565&lt;&gt;"",0,IF(ISNUMBER(MATCH(Data!#REF!,Data_Val!$E$2:$E$12,0)),0,1)))</f>
        <v/>
      </c>
      <c r="J565" s="16" t="e">
        <f>IF(OR(Data!B565="",Data!#REF!=""),"",IF(Data!#REF!="",1,0))</f>
        <v>#REF!</v>
      </c>
      <c r="K565" s="16" t="e">
        <f>IF(OR(Data!B565="",Data!#REF!=""),"",IF(Data!#REF!="",1,0))</f>
        <v>#REF!</v>
      </c>
      <c r="L565" s="16" t="e">
        <f>IF(OR(Data!B565="",Data!#REF!=""),"",IF(ISNUMBER(Data!#REF!),IF(AND(Data!#REF!&gt;Data_Val!$G$2,Data!#REF!&lt;=Data_Val!$G$3),0,1),1))</f>
        <v>#REF!</v>
      </c>
      <c r="M565" s="9" t="e">
        <f>IF(OR(Data!B565="",Data!#REF!=""),"",IF(ISNUMBER(MATCH(Data!#REF!,Data_Val!$F$1:$F$38,0)),0,1))</f>
        <v>#REF!</v>
      </c>
      <c r="N565" s="9" t="e">
        <f>IF(OR(Data!B565="",Data!#REF!=""),"",IF(Data!#REF!="",1,0))</f>
        <v>#REF!</v>
      </c>
      <c r="O565" s="17" t="e">
        <f>IF(Data!#REF!="","",IF(Data!#REF!="",1,0))</f>
        <v>#REF!</v>
      </c>
      <c r="P565" s="17" t="e">
        <f>IF(Data!#REF!="","",IF(ISNUMBER(MATCH(Data!#REF!,Data_Val!$A$2:$A$3,0)),0,1))</f>
        <v>#REF!</v>
      </c>
      <c r="Q565" s="25" t="e">
        <f ca="1">IF(Data!#REF!="","",IF(ISNUMBER(Data!#REF!),IF(AND(Data!#REF!&gt;(TODAY()-(Data_Val!$J$3*365.25)),Data!#REF!&lt;=(TODAY()-(Data_Val!$J$2*365.25))),0,1),1))</f>
        <v>#REF!</v>
      </c>
      <c r="R565" s="17" t="e">
        <f>IF(Data!#REF!="","",IF(ISNUMBER(MATCH(Data!#REF!,Data_Val!$B$2:$B$15,0)),0,1))</f>
        <v>#REF!</v>
      </c>
      <c r="S565" s="11" t="str">
        <f>IF(Data!G565="","",IF(Data!G565=Data_Val!$C$2,IF(Data!M565="",0,1),0))</f>
        <v/>
      </c>
      <c r="T565" s="11" t="str">
        <f>IF(Data!M565="","",IF(ISNUMBER(MATCH(Data!N565,Data_Val!$A$2:$A$3,0)),0,1))</f>
        <v/>
      </c>
      <c r="U565" s="11" t="str">
        <f ca="1">IF(Data!M565="","",IF(ISNUMBER(Data!O565),IF(AND(Data!O565&gt;(TODAY()-(Data_Val!$K$3*365.25)),Data!O565&lt;=(TODAY()-(Data_Val!$K$2*365.25))),0,1),1))</f>
        <v/>
      </c>
      <c r="V565" s="12" t="str">
        <f>IF(Data!G565="","",IF(Data!G565=Data_Val!$C$2,IF(Data!P565="",0,1),0))</f>
        <v/>
      </c>
      <c r="W565" s="12" t="str">
        <f>IF(Data!P565="","",IF(ISNUMBER(MATCH(Data!Q565,Data_Val!$A$2:$A$3,0)),0,1))</f>
        <v/>
      </c>
      <c r="X565" s="26" t="str">
        <f ca="1">IF(Data!P565="","",IF(ISNUMBER(Data!R565),IF(AND(Data!R565&gt;(TODAY()-(Data_Val!$L$3*365.25)),Data!R565&lt;=(TODAY()-(Data_Val!$L$2*365.25))),0,1),1))</f>
        <v/>
      </c>
      <c r="Y565" s="13" t="str">
        <f>IF(Data!$G565="","",IF(Data!$G565=Data_Val!$C$2,IF(Data!S565="",0,1),0))</f>
        <v/>
      </c>
      <c r="Z565" s="13" t="str">
        <f>IF(Data!S565="","",IF(ISNUMBER(MATCH(Data!T565,Data_Val!$A$2:$A$3,0)),0,1))</f>
        <v/>
      </c>
      <c r="AA565" s="28" t="str">
        <f ca="1">IF(Data!S565="","",IF(ISNUMBER(Data!U565),IF(AND(Data!U565&gt;(TODAY()-(Data_Val!$L$3*365.25)),Data!U565&lt;=(TODAY()-(Data_Val!$L$2*365.25))),0,1),1))</f>
        <v/>
      </c>
      <c r="AB565" s="11"/>
      <c r="AC565" s="11" t="e">
        <f>IF(Data!#REF!="","",IF(ISNUMBER(MATCH(Data!#REF!,Data_Val!$A$2:$A$3,0)),0,1))</f>
        <v>#REF!</v>
      </c>
      <c r="AD565" s="11" t="e">
        <f ca="1">IF(Data!#REF!="","",IF(ISNUMBER(Data!#REF!),IF(AND(Data!#REF!&gt;(TODAY()-(Data_Val!$L$3*365.25)),Data!#REF!&lt;=(TODAY()-(Data_Val!$L$2*365.25))),0,1),1))</f>
        <v>#REF!</v>
      </c>
      <c r="AE565" s="11" t="e">
        <f>IF(Data!#REF!="","",IF(Data!$G565="",1,IF(ISNUMBER(MATCH(Data!#REF!,Data_Val!$D$2:$D$10,0)),0,1)))</f>
        <v>#REF!</v>
      </c>
      <c r="AF565" s="12"/>
      <c r="AG565" s="12" t="e">
        <f>IF(Data!#REF!="","",IF(ISNUMBER(MATCH(Data!#REF!,Data_Val!$A$2:$A$3,0)),0,1))</f>
        <v>#REF!</v>
      </c>
      <c r="AH565" s="26" t="e">
        <f ca="1">IF(Data!#REF!="","",IF(ISNUMBER(Data!#REF!),IF(AND(Data!#REF!&gt;(TODAY()-(Data_Val!$L$3*365.25)),Data!#REF!&lt;=(TODAY()-(Data_Val!$L$2*365.25))),0,1),1))</f>
        <v>#REF!</v>
      </c>
      <c r="AI565" s="12" t="e">
        <f>IF(Data!#REF!="","",IF(Data!$G565="",1,IF(ISNUMBER(MATCH(Data!#REF!,Data_Val!$D$2:$D$10,0)),0,1)))</f>
        <v>#REF!</v>
      </c>
      <c r="AJ565" s="17"/>
      <c r="AK565" s="17" t="e">
        <f>IF(Data!#REF!="","",IF(ISNUMBER(MATCH(Data!#REF!,Data_Val!$A$2:$A$3,0)),0,1))</f>
        <v>#REF!</v>
      </c>
      <c r="AL565" s="25" t="e">
        <f ca="1">IF(Data!#REF!="","",IF(ISNUMBER(Data!#REF!),IF(AND(Data!#REF!&gt;(TODAY()-(Data_Val!$L$3*365.25)),Data!#REF!&lt;=(TODAY()-(Data_Val!$L$2*365.25))),0,1),1))</f>
        <v>#REF!</v>
      </c>
      <c r="AM565" s="17" t="e">
        <f>IF(Data!#REF!="","",IF(Data!$G565="",1,IF(ISNUMBER(MATCH(Data!#REF!,Data_Val!$D$2:$D$10,0)),0,1)))</f>
        <v>#REF!</v>
      </c>
      <c r="AN565" s="13"/>
      <c r="AO565" s="28" t="e">
        <f ca="1">IF(Data!#REF!="","",IF(ISNUMBER(Data!#REF!),IF(AND(Data!#REF!&gt;(TODAY()-(Data_Val!$I$3*365.25)),Data!#REF!&lt;=(TODAY()-(Data_Val!$I$2*365.25))),0,1),1))</f>
        <v>#REF!</v>
      </c>
      <c r="AP565" s="13" t="e">
        <f>IF(Data!#REF!="","",IF(Data!$G565="",1,IF(ISNUMBER(MATCH(Data!#REF!,Data_Val!$D$2:$D$10,0)),0,1)))</f>
        <v>#REF!</v>
      </c>
      <c r="AQ565" s="17"/>
      <c r="AR565" s="30" t="e">
        <f ca="1">IF(Data!#REF!="","",IF(ISNUMBER(Data!#REF!),IF(AND(Data!#REF!&gt;(TODAY()-(Data_Val!$I$3*365.25)),Data!#REF!&lt;=(TODAY()-(Data_Val!$I$2*365.25))),0,1),1))</f>
        <v>#REF!</v>
      </c>
      <c r="AS565" s="31" t="e">
        <f>IF(Data!#REF!="","",IF(Data!$G565="",1,IF(ISNUMBER(MATCH(Data!#REF!,Data_Val!$D$2:$D$10,0)),0,1)))</f>
        <v>#REF!</v>
      </c>
      <c r="AT565" s="11"/>
      <c r="AU565" s="11" t="e">
        <f ca="1">IF(Data!#REF!="","",IF(ISNUMBER(Data!#REF!),IF(AND(Data!#REF!&gt;(TODAY()-(Data_Val!$I$3*365.25)),Data!#REF!&lt;=(TODAY()-(Data_Val!$I$2*365.25))),0,1),1))</f>
        <v>#REF!</v>
      </c>
      <c r="AV565" s="11" t="e">
        <f>IF(Data!#REF!="","",IF(Data!$G565="",1,IF(ISNUMBER(MATCH(Data!#REF!,Data_Val!$D$2:$D$10,0)),0,1)))</f>
        <v>#REF!</v>
      </c>
      <c r="AW565" s="12"/>
      <c r="AX565" s="26" t="e">
        <f ca="1">IF(Data!#REF!="","",IF(ISNUMBER(Data!#REF!),IF(AND(Data!#REF!&gt;(TODAY()-(Data_Val!$I$3*365.25)),Data!#REF!&lt;=(TODAY()-(Data_Val!$I$2*365.25))),0,1),1))</f>
        <v>#REF!</v>
      </c>
      <c r="AY565" s="12" t="e">
        <f>IF(Data!#REF!="","",IF(Data!$G565="",1,IF(ISNUMBER(MATCH(Data!#REF!,Data_Val!$D$2:$D$10,0)),0,1)))</f>
        <v>#REF!</v>
      </c>
      <c r="AZ565" s="11"/>
      <c r="BA565" s="19" t="e">
        <f ca="1">IF(Data!#REF!="","",IF(ISNUMBER(Data!#REF!),IF(AND(Data!#REF!&gt;(TODAY()-(Data_Val!$M$3*365.25)),Data!#REF!&lt;=(TODAY()-(Data_Val!$M$2*365.25))),0,1),1))</f>
        <v>#REF!</v>
      </c>
      <c r="BB565" s="11" t="e">
        <f>IF(Data!#REF!="","",IF(Data!$G565="",1,IF(ISNUMBER(MATCH(Data!#REF!,Data_Val!$D$2:$D$10,0)),0,1)))</f>
        <v>#REF!</v>
      </c>
      <c r="BC565" s="12"/>
      <c r="BD565" s="20" t="e">
        <f ca="1">IF(Data!#REF!="","",IF(ISNUMBER(Data!#REF!),IF(AND(Data!#REF!&gt;(TODAY()-(Data_Val!$M$3*365.25)),Data!#REF!&lt;=(TODAY()-(Data_Val!$M$2*365.25))),0,1),1))</f>
        <v>#REF!</v>
      </c>
      <c r="BE565" s="12" t="e">
        <f>IF(Data!#REF!="","",IF(Data!$G565="",1,IF(ISNUMBER(MATCH(Data!#REF!,Data_Val!$D$2:$D$10,0)),0,1)))</f>
        <v>#REF!</v>
      </c>
      <c r="BF565" s="17"/>
      <c r="BG565" s="18" t="e">
        <f ca="1">IF(Data!#REF!="","",IF(ISNUMBER(Data!#REF!),IF(AND(Data!#REF!&gt;(TODAY()-(Data_Val!$M$3*365.25)),Data!#REF!&lt;=(TODAY()-(Data_Val!$M$2*365.25))),0,1),1))</f>
        <v>#REF!</v>
      </c>
      <c r="BH565" s="29" t="e">
        <f>IF(Data!#REF!="","",IF(Data!$G565="",1,IF(ISNUMBER(MATCH(Data!#REF!,Data_Val!$D$2:$D$10,0)),0,1)))</f>
        <v>#REF!</v>
      </c>
      <c r="BI565" s="13"/>
      <c r="BJ565" s="21" t="e">
        <f ca="1">IF(Data!#REF!="","",IF(ISNUMBER(Data!#REF!),IF(AND(Data!#REF!&gt;(TODAY()-(Data_Val!$M$3*365.25)),Data!#REF!&lt;=(TODAY()-(Data_Val!$M$2*365.25))),0,1),1))</f>
        <v>#REF!</v>
      </c>
      <c r="BK565" s="13" t="e">
        <f>IF(Data!#REF!="","",IF(Data!$G565="",1,IF(ISNUMBER(MATCH(Data!#REF!,Data_Val!$D$2:$D$10,0)),0,1)))</f>
        <v>#REF!</v>
      </c>
    </row>
    <row r="566" spans="1:63" x14ac:dyDescent="0.25">
      <c r="A566" s="9" t="str">
        <f>IF(Data!B566="","",IF(COUNTIFS(Data!A$1:'Data'!A566,Data!A566)&lt;=1,0,1))</f>
        <v/>
      </c>
      <c r="B566" s="9"/>
      <c r="C566" s="23" t="str">
        <f>IF(Data!C566="","",(IF(ISNUMBER(MATCH("*@*.?*",Data!C566,0)),0,1)+IF(COUNTIFS(Data!C$1:'Data'!C566,Data!C566)&gt;1,1,0)))</f>
        <v/>
      </c>
      <c r="D566" s="9" t="str">
        <f>IF(Data!B566="","",IF(ISNUMBER(Data!D566),IF(AND(Data!D566&gt;999999999,Data!D566&lt;=9999999999),IF(COUNTIFS(Data!D$1:'Data'!D566,Data!D566)&lt;=1,0,1),1),1))</f>
        <v/>
      </c>
      <c r="E566" s="9" t="str">
        <f>IF(Data!B566="","",IF(ISNUMBER(MATCH(Data!E566,Data_Val!$A$2:$A$3,0)),0,1))</f>
        <v/>
      </c>
      <c r="F566" s="9" t="str">
        <f ca="1">IF(Data!B566="","",IF(ISNUMBER(Data!F566),IF(AND(Data!F566&gt;(TODAY()-(Data_Val!$H$3*365.25)),Data!F566&lt;=(TODAY()-(Data_Val!$H$2*365.25))),0,1),1))</f>
        <v/>
      </c>
      <c r="G566" s="15" t="str">
        <f>IF(Data!B566="","",IF(AND(Data!G566="",Data!H566&lt;&gt;""),1,IF(Data!#REF!&lt;&gt;"",0,IF(ISNUMBER(MATCH(Data!G566,Data_Val!$C$2:$C$5,0)),0,1))))</f>
        <v/>
      </c>
      <c r="H566" s="15" t="str">
        <f>IF(Data!B566="","",IF(AND(Data!G566&lt;&gt;"",Data!H566=""),1,IF(Data!#REF!&lt;&gt;"",0,IF(Data!G566="",1,IF(ISNUMBER(MATCH(Data!H566,Data_Val!$D$2:$D$35,0)),0,1)))))</f>
        <v/>
      </c>
      <c r="I566" s="15" t="str">
        <f>IF(Data!B566="","",IF(Data!G566&lt;&gt;"",0,IF(ISNUMBER(MATCH(Data!#REF!,Data_Val!$E$2:$E$12,0)),0,1)))</f>
        <v/>
      </c>
      <c r="J566" s="16" t="e">
        <f>IF(OR(Data!B566="",Data!#REF!=""),"",IF(Data!#REF!="",1,0))</f>
        <v>#REF!</v>
      </c>
      <c r="K566" s="16" t="e">
        <f>IF(OR(Data!B566="",Data!#REF!=""),"",IF(Data!#REF!="",1,0))</f>
        <v>#REF!</v>
      </c>
      <c r="L566" s="16" t="e">
        <f>IF(OR(Data!B566="",Data!#REF!=""),"",IF(ISNUMBER(Data!#REF!),IF(AND(Data!#REF!&gt;Data_Val!$G$2,Data!#REF!&lt;=Data_Val!$G$3),0,1),1))</f>
        <v>#REF!</v>
      </c>
      <c r="M566" s="9" t="e">
        <f>IF(OR(Data!B566="",Data!#REF!=""),"",IF(ISNUMBER(MATCH(Data!#REF!,Data_Val!$F$1:$F$38,0)),0,1))</f>
        <v>#REF!</v>
      </c>
      <c r="N566" s="9" t="e">
        <f>IF(OR(Data!B566="",Data!#REF!=""),"",IF(Data!#REF!="",1,0))</f>
        <v>#REF!</v>
      </c>
      <c r="O566" s="17" t="e">
        <f>IF(Data!#REF!="","",IF(Data!#REF!="",1,0))</f>
        <v>#REF!</v>
      </c>
      <c r="P566" s="17" t="e">
        <f>IF(Data!#REF!="","",IF(ISNUMBER(MATCH(Data!#REF!,Data_Val!$A$2:$A$3,0)),0,1))</f>
        <v>#REF!</v>
      </c>
      <c r="Q566" s="25" t="e">
        <f ca="1">IF(Data!#REF!="","",IF(ISNUMBER(Data!#REF!),IF(AND(Data!#REF!&gt;(TODAY()-(Data_Val!$J$3*365.25)),Data!#REF!&lt;=(TODAY()-(Data_Val!$J$2*365.25))),0,1),1))</f>
        <v>#REF!</v>
      </c>
      <c r="R566" s="17" t="e">
        <f>IF(Data!#REF!="","",IF(ISNUMBER(MATCH(Data!#REF!,Data_Val!$B$2:$B$15,0)),0,1))</f>
        <v>#REF!</v>
      </c>
      <c r="S566" s="11" t="str">
        <f>IF(Data!G566="","",IF(Data!G566=Data_Val!$C$2,IF(Data!M566="",0,1),0))</f>
        <v/>
      </c>
      <c r="T566" s="11" t="str">
        <f>IF(Data!M566="","",IF(ISNUMBER(MATCH(Data!N566,Data_Val!$A$2:$A$3,0)),0,1))</f>
        <v/>
      </c>
      <c r="U566" s="11" t="str">
        <f ca="1">IF(Data!M566="","",IF(ISNUMBER(Data!O566),IF(AND(Data!O566&gt;(TODAY()-(Data_Val!$K$3*365.25)),Data!O566&lt;=(TODAY()-(Data_Val!$K$2*365.25))),0,1),1))</f>
        <v/>
      </c>
      <c r="V566" s="12" t="str">
        <f>IF(Data!G566="","",IF(Data!G566=Data_Val!$C$2,IF(Data!P566="",0,1),0))</f>
        <v/>
      </c>
      <c r="W566" s="12" t="str">
        <f>IF(Data!P566="","",IF(ISNUMBER(MATCH(Data!Q566,Data_Val!$A$2:$A$3,0)),0,1))</f>
        <v/>
      </c>
      <c r="X566" s="26" t="str">
        <f ca="1">IF(Data!P566="","",IF(ISNUMBER(Data!R566),IF(AND(Data!R566&gt;(TODAY()-(Data_Val!$L$3*365.25)),Data!R566&lt;=(TODAY()-(Data_Val!$L$2*365.25))),0,1),1))</f>
        <v/>
      </c>
      <c r="Y566" s="13" t="str">
        <f>IF(Data!$G566="","",IF(Data!$G566=Data_Val!$C$2,IF(Data!S566="",0,1),0))</f>
        <v/>
      </c>
      <c r="Z566" s="13" t="str">
        <f>IF(Data!S566="","",IF(ISNUMBER(MATCH(Data!T566,Data_Val!$A$2:$A$3,0)),0,1))</f>
        <v/>
      </c>
      <c r="AA566" s="28" t="str">
        <f ca="1">IF(Data!S566="","",IF(ISNUMBER(Data!U566),IF(AND(Data!U566&gt;(TODAY()-(Data_Val!$L$3*365.25)),Data!U566&lt;=(TODAY()-(Data_Val!$L$2*365.25))),0,1),1))</f>
        <v/>
      </c>
      <c r="AB566" s="11"/>
      <c r="AC566" s="11" t="e">
        <f>IF(Data!#REF!="","",IF(ISNUMBER(MATCH(Data!#REF!,Data_Val!$A$2:$A$3,0)),0,1))</f>
        <v>#REF!</v>
      </c>
      <c r="AD566" s="11" t="e">
        <f ca="1">IF(Data!#REF!="","",IF(ISNUMBER(Data!#REF!),IF(AND(Data!#REF!&gt;(TODAY()-(Data_Val!$L$3*365.25)),Data!#REF!&lt;=(TODAY()-(Data_Val!$L$2*365.25))),0,1),1))</f>
        <v>#REF!</v>
      </c>
      <c r="AE566" s="11" t="e">
        <f>IF(Data!#REF!="","",IF(Data!$G566="",1,IF(ISNUMBER(MATCH(Data!#REF!,Data_Val!$D$2:$D$10,0)),0,1)))</f>
        <v>#REF!</v>
      </c>
      <c r="AF566" s="12"/>
      <c r="AG566" s="12" t="e">
        <f>IF(Data!#REF!="","",IF(ISNUMBER(MATCH(Data!#REF!,Data_Val!$A$2:$A$3,0)),0,1))</f>
        <v>#REF!</v>
      </c>
      <c r="AH566" s="26" t="e">
        <f ca="1">IF(Data!#REF!="","",IF(ISNUMBER(Data!#REF!),IF(AND(Data!#REF!&gt;(TODAY()-(Data_Val!$L$3*365.25)),Data!#REF!&lt;=(TODAY()-(Data_Val!$L$2*365.25))),0,1),1))</f>
        <v>#REF!</v>
      </c>
      <c r="AI566" s="12" t="e">
        <f>IF(Data!#REF!="","",IF(Data!$G566="",1,IF(ISNUMBER(MATCH(Data!#REF!,Data_Val!$D$2:$D$10,0)),0,1)))</f>
        <v>#REF!</v>
      </c>
      <c r="AJ566" s="17"/>
      <c r="AK566" s="17" t="e">
        <f>IF(Data!#REF!="","",IF(ISNUMBER(MATCH(Data!#REF!,Data_Val!$A$2:$A$3,0)),0,1))</f>
        <v>#REF!</v>
      </c>
      <c r="AL566" s="25" t="e">
        <f ca="1">IF(Data!#REF!="","",IF(ISNUMBER(Data!#REF!),IF(AND(Data!#REF!&gt;(TODAY()-(Data_Val!$L$3*365.25)),Data!#REF!&lt;=(TODAY()-(Data_Val!$L$2*365.25))),0,1),1))</f>
        <v>#REF!</v>
      </c>
      <c r="AM566" s="17" t="e">
        <f>IF(Data!#REF!="","",IF(Data!$G566="",1,IF(ISNUMBER(MATCH(Data!#REF!,Data_Val!$D$2:$D$10,0)),0,1)))</f>
        <v>#REF!</v>
      </c>
      <c r="AN566" s="13"/>
      <c r="AO566" s="28" t="e">
        <f ca="1">IF(Data!#REF!="","",IF(ISNUMBER(Data!#REF!),IF(AND(Data!#REF!&gt;(TODAY()-(Data_Val!$I$3*365.25)),Data!#REF!&lt;=(TODAY()-(Data_Val!$I$2*365.25))),0,1),1))</f>
        <v>#REF!</v>
      </c>
      <c r="AP566" s="13" t="e">
        <f>IF(Data!#REF!="","",IF(Data!$G566="",1,IF(ISNUMBER(MATCH(Data!#REF!,Data_Val!$D$2:$D$10,0)),0,1)))</f>
        <v>#REF!</v>
      </c>
      <c r="AQ566" s="17"/>
      <c r="AR566" s="30" t="e">
        <f ca="1">IF(Data!#REF!="","",IF(ISNUMBER(Data!#REF!),IF(AND(Data!#REF!&gt;(TODAY()-(Data_Val!$I$3*365.25)),Data!#REF!&lt;=(TODAY()-(Data_Val!$I$2*365.25))),0,1),1))</f>
        <v>#REF!</v>
      </c>
      <c r="AS566" s="31" t="e">
        <f>IF(Data!#REF!="","",IF(Data!$G566="",1,IF(ISNUMBER(MATCH(Data!#REF!,Data_Val!$D$2:$D$10,0)),0,1)))</f>
        <v>#REF!</v>
      </c>
      <c r="AT566" s="11"/>
      <c r="AU566" s="11" t="e">
        <f ca="1">IF(Data!#REF!="","",IF(ISNUMBER(Data!#REF!),IF(AND(Data!#REF!&gt;(TODAY()-(Data_Val!$I$3*365.25)),Data!#REF!&lt;=(TODAY()-(Data_Val!$I$2*365.25))),0,1),1))</f>
        <v>#REF!</v>
      </c>
      <c r="AV566" s="11" t="e">
        <f>IF(Data!#REF!="","",IF(Data!$G566="",1,IF(ISNUMBER(MATCH(Data!#REF!,Data_Val!$D$2:$D$10,0)),0,1)))</f>
        <v>#REF!</v>
      </c>
      <c r="AW566" s="12"/>
      <c r="AX566" s="26" t="e">
        <f ca="1">IF(Data!#REF!="","",IF(ISNUMBER(Data!#REF!),IF(AND(Data!#REF!&gt;(TODAY()-(Data_Val!$I$3*365.25)),Data!#REF!&lt;=(TODAY()-(Data_Val!$I$2*365.25))),0,1),1))</f>
        <v>#REF!</v>
      </c>
      <c r="AY566" s="12" t="e">
        <f>IF(Data!#REF!="","",IF(Data!$G566="",1,IF(ISNUMBER(MATCH(Data!#REF!,Data_Val!$D$2:$D$10,0)),0,1)))</f>
        <v>#REF!</v>
      </c>
      <c r="AZ566" s="11"/>
      <c r="BA566" s="19" t="e">
        <f ca="1">IF(Data!#REF!="","",IF(ISNUMBER(Data!#REF!),IF(AND(Data!#REF!&gt;(TODAY()-(Data_Val!$M$3*365.25)),Data!#REF!&lt;=(TODAY()-(Data_Val!$M$2*365.25))),0,1),1))</f>
        <v>#REF!</v>
      </c>
      <c r="BB566" s="11" t="e">
        <f>IF(Data!#REF!="","",IF(Data!$G566="",1,IF(ISNUMBER(MATCH(Data!#REF!,Data_Val!$D$2:$D$10,0)),0,1)))</f>
        <v>#REF!</v>
      </c>
      <c r="BC566" s="12"/>
      <c r="BD566" s="20" t="e">
        <f ca="1">IF(Data!#REF!="","",IF(ISNUMBER(Data!#REF!),IF(AND(Data!#REF!&gt;(TODAY()-(Data_Val!$M$3*365.25)),Data!#REF!&lt;=(TODAY()-(Data_Val!$M$2*365.25))),0,1),1))</f>
        <v>#REF!</v>
      </c>
      <c r="BE566" s="12" t="e">
        <f>IF(Data!#REF!="","",IF(Data!$G566="",1,IF(ISNUMBER(MATCH(Data!#REF!,Data_Val!$D$2:$D$10,0)),0,1)))</f>
        <v>#REF!</v>
      </c>
      <c r="BF566" s="17"/>
      <c r="BG566" s="18" t="e">
        <f ca="1">IF(Data!#REF!="","",IF(ISNUMBER(Data!#REF!),IF(AND(Data!#REF!&gt;(TODAY()-(Data_Val!$M$3*365.25)),Data!#REF!&lt;=(TODAY()-(Data_Val!$M$2*365.25))),0,1),1))</f>
        <v>#REF!</v>
      </c>
      <c r="BH566" s="29" t="e">
        <f>IF(Data!#REF!="","",IF(Data!$G566="",1,IF(ISNUMBER(MATCH(Data!#REF!,Data_Val!$D$2:$D$10,0)),0,1)))</f>
        <v>#REF!</v>
      </c>
      <c r="BI566" s="13"/>
      <c r="BJ566" s="21" t="e">
        <f ca="1">IF(Data!#REF!="","",IF(ISNUMBER(Data!#REF!),IF(AND(Data!#REF!&gt;(TODAY()-(Data_Val!$M$3*365.25)),Data!#REF!&lt;=(TODAY()-(Data_Val!$M$2*365.25))),0,1),1))</f>
        <v>#REF!</v>
      </c>
      <c r="BK566" s="13" t="e">
        <f>IF(Data!#REF!="","",IF(Data!$G566="",1,IF(ISNUMBER(MATCH(Data!#REF!,Data_Val!$D$2:$D$10,0)),0,1)))</f>
        <v>#REF!</v>
      </c>
    </row>
    <row r="567" spans="1:63" x14ac:dyDescent="0.25">
      <c r="A567" s="9" t="str">
        <f>IF(Data!B567="","",IF(COUNTIFS(Data!A$1:'Data'!A567,Data!A567)&lt;=1,0,1))</f>
        <v/>
      </c>
      <c r="B567" s="9"/>
      <c r="C567" s="23" t="str">
        <f>IF(Data!C567="","",(IF(ISNUMBER(MATCH("*@*.?*",Data!C567,0)),0,1)+IF(COUNTIFS(Data!C$1:'Data'!C567,Data!C567)&gt;1,1,0)))</f>
        <v/>
      </c>
      <c r="D567" s="9" t="str">
        <f>IF(Data!B567="","",IF(ISNUMBER(Data!D567),IF(AND(Data!D567&gt;999999999,Data!D567&lt;=9999999999),IF(COUNTIFS(Data!D$1:'Data'!D567,Data!D567)&lt;=1,0,1),1),1))</f>
        <v/>
      </c>
      <c r="E567" s="9" t="str">
        <f>IF(Data!B567="","",IF(ISNUMBER(MATCH(Data!E567,Data_Val!$A$2:$A$3,0)),0,1))</f>
        <v/>
      </c>
      <c r="F567" s="9" t="str">
        <f ca="1">IF(Data!B567="","",IF(ISNUMBER(Data!F567),IF(AND(Data!F567&gt;(TODAY()-(Data_Val!$H$3*365.25)),Data!F567&lt;=(TODAY()-(Data_Val!$H$2*365.25))),0,1),1))</f>
        <v/>
      </c>
      <c r="G567" s="15" t="str">
        <f>IF(Data!B567="","",IF(AND(Data!G567="",Data!H567&lt;&gt;""),1,IF(Data!#REF!&lt;&gt;"",0,IF(ISNUMBER(MATCH(Data!G567,Data_Val!$C$2:$C$5,0)),0,1))))</f>
        <v/>
      </c>
      <c r="H567" s="15" t="str">
        <f>IF(Data!B567="","",IF(AND(Data!G567&lt;&gt;"",Data!H567=""),1,IF(Data!#REF!&lt;&gt;"",0,IF(Data!G567="",1,IF(ISNUMBER(MATCH(Data!H567,Data_Val!$D$2:$D$35,0)),0,1)))))</f>
        <v/>
      </c>
      <c r="I567" s="15" t="str">
        <f>IF(Data!B567="","",IF(Data!G567&lt;&gt;"",0,IF(ISNUMBER(MATCH(Data!#REF!,Data_Val!$E$2:$E$12,0)),0,1)))</f>
        <v/>
      </c>
      <c r="J567" s="16" t="e">
        <f>IF(OR(Data!B567="",Data!#REF!=""),"",IF(Data!#REF!="",1,0))</f>
        <v>#REF!</v>
      </c>
      <c r="K567" s="16" t="e">
        <f>IF(OR(Data!B567="",Data!#REF!=""),"",IF(Data!#REF!="",1,0))</f>
        <v>#REF!</v>
      </c>
      <c r="L567" s="16" t="e">
        <f>IF(OR(Data!B567="",Data!#REF!=""),"",IF(ISNUMBER(Data!#REF!),IF(AND(Data!#REF!&gt;Data_Val!$G$2,Data!#REF!&lt;=Data_Val!$G$3),0,1),1))</f>
        <v>#REF!</v>
      </c>
      <c r="M567" s="9" t="e">
        <f>IF(OR(Data!B567="",Data!#REF!=""),"",IF(ISNUMBER(MATCH(Data!#REF!,Data_Val!$F$1:$F$38,0)),0,1))</f>
        <v>#REF!</v>
      </c>
      <c r="N567" s="9" t="e">
        <f>IF(OR(Data!B567="",Data!#REF!=""),"",IF(Data!#REF!="",1,0))</f>
        <v>#REF!</v>
      </c>
      <c r="O567" s="17" t="e">
        <f>IF(Data!#REF!="","",IF(Data!#REF!="",1,0))</f>
        <v>#REF!</v>
      </c>
      <c r="P567" s="17" t="e">
        <f>IF(Data!#REF!="","",IF(ISNUMBER(MATCH(Data!#REF!,Data_Val!$A$2:$A$3,0)),0,1))</f>
        <v>#REF!</v>
      </c>
      <c r="Q567" s="25" t="e">
        <f ca="1">IF(Data!#REF!="","",IF(ISNUMBER(Data!#REF!),IF(AND(Data!#REF!&gt;(TODAY()-(Data_Val!$J$3*365.25)),Data!#REF!&lt;=(TODAY()-(Data_Val!$J$2*365.25))),0,1),1))</f>
        <v>#REF!</v>
      </c>
      <c r="R567" s="17" t="e">
        <f>IF(Data!#REF!="","",IF(ISNUMBER(MATCH(Data!#REF!,Data_Val!$B$2:$B$15,0)),0,1))</f>
        <v>#REF!</v>
      </c>
      <c r="S567" s="11" t="str">
        <f>IF(Data!G567="","",IF(Data!G567=Data_Val!$C$2,IF(Data!M567="",0,1),0))</f>
        <v/>
      </c>
      <c r="T567" s="11" t="str">
        <f>IF(Data!M567="","",IF(ISNUMBER(MATCH(Data!N567,Data_Val!$A$2:$A$3,0)),0,1))</f>
        <v/>
      </c>
      <c r="U567" s="11" t="str">
        <f ca="1">IF(Data!M567="","",IF(ISNUMBER(Data!O567),IF(AND(Data!O567&gt;(TODAY()-(Data_Val!$K$3*365.25)),Data!O567&lt;=(TODAY()-(Data_Val!$K$2*365.25))),0,1),1))</f>
        <v/>
      </c>
      <c r="V567" s="12" t="str">
        <f>IF(Data!G567="","",IF(Data!G567=Data_Val!$C$2,IF(Data!P567="",0,1),0))</f>
        <v/>
      </c>
      <c r="W567" s="12" t="str">
        <f>IF(Data!P567="","",IF(ISNUMBER(MATCH(Data!Q567,Data_Val!$A$2:$A$3,0)),0,1))</f>
        <v/>
      </c>
      <c r="X567" s="26" t="str">
        <f ca="1">IF(Data!P567="","",IF(ISNUMBER(Data!R567),IF(AND(Data!R567&gt;(TODAY()-(Data_Val!$L$3*365.25)),Data!R567&lt;=(TODAY()-(Data_Val!$L$2*365.25))),0,1),1))</f>
        <v/>
      </c>
      <c r="Y567" s="13" t="str">
        <f>IF(Data!$G567="","",IF(Data!$G567=Data_Val!$C$2,IF(Data!S567="",0,1),0))</f>
        <v/>
      </c>
      <c r="Z567" s="13" t="str">
        <f>IF(Data!S567="","",IF(ISNUMBER(MATCH(Data!T567,Data_Val!$A$2:$A$3,0)),0,1))</f>
        <v/>
      </c>
      <c r="AA567" s="28" t="str">
        <f ca="1">IF(Data!S567="","",IF(ISNUMBER(Data!U567),IF(AND(Data!U567&gt;(TODAY()-(Data_Val!$L$3*365.25)),Data!U567&lt;=(TODAY()-(Data_Val!$L$2*365.25))),0,1),1))</f>
        <v/>
      </c>
      <c r="AB567" s="11"/>
      <c r="AC567" s="11" t="e">
        <f>IF(Data!#REF!="","",IF(ISNUMBER(MATCH(Data!#REF!,Data_Val!$A$2:$A$3,0)),0,1))</f>
        <v>#REF!</v>
      </c>
      <c r="AD567" s="11" t="e">
        <f ca="1">IF(Data!#REF!="","",IF(ISNUMBER(Data!#REF!),IF(AND(Data!#REF!&gt;(TODAY()-(Data_Val!$L$3*365.25)),Data!#REF!&lt;=(TODAY()-(Data_Val!$L$2*365.25))),0,1),1))</f>
        <v>#REF!</v>
      </c>
      <c r="AE567" s="11" t="e">
        <f>IF(Data!#REF!="","",IF(Data!$G567="",1,IF(ISNUMBER(MATCH(Data!#REF!,Data_Val!$D$2:$D$10,0)),0,1)))</f>
        <v>#REF!</v>
      </c>
      <c r="AF567" s="12"/>
      <c r="AG567" s="12" t="e">
        <f>IF(Data!#REF!="","",IF(ISNUMBER(MATCH(Data!#REF!,Data_Val!$A$2:$A$3,0)),0,1))</f>
        <v>#REF!</v>
      </c>
      <c r="AH567" s="26" t="e">
        <f ca="1">IF(Data!#REF!="","",IF(ISNUMBER(Data!#REF!),IF(AND(Data!#REF!&gt;(TODAY()-(Data_Val!$L$3*365.25)),Data!#REF!&lt;=(TODAY()-(Data_Val!$L$2*365.25))),0,1),1))</f>
        <v>#REF!</v>
      </c>
      <c r="AI567" s="12" t="e">
        <f>IF(Data!#REF!="","",IF(Data!$G567="",1,IF(ISNUMBER(MATCH(Data!#REF!,Data_Val!$D$2:$D$10,0)),0,1)))</f>
        <v>#REF!</v>
      </c>
      <c r="AJ567" s="17"/>
      <c r="AK567" s="17" t="e">
        <f>IF(Data!#REF!="","",IF(ISNUMBER(MATCH(Data!#REF!,Data_Val!$A$2:$A$3,0)),0,1))</f>
        <v>#REF!</v>
      </c>
      <c r="AL567" s="25" t="e">
        <f ca="1">IF(Data!#REF!="","",IF(ISNUMBER(Data!#REF!),IF(AND(Data!#REF!&gt;(TODAY()-(Data_Val!$L$3*365.25)),Data!#REF!&lt;=(TODAY()-(Data_Val!$L$2*365.25))),0,1),1))</f>
        <v>#REF!</v>
      </c>
      <c r="AM567" s="17" t="e">
        <f>IF(Data!#REF!="","",IF(Data!$G567="",1,IF(ISNUMBER(MATCH(Data!#REF!,Data_Val!$D$2:$D$10,0)),0,1)))</f>
        <v>#REF!</v>
      </c>
      <c r="AN567" s="13"/>
      <c r="AO567" s="28" t="e">
        <f ca="1">IF(Data!#REF!="","",IF(ISNUMBER(Data!#REF!),IF(AND(Data!#REF!&gt;(TODAY()-(Data_Val!$I$3*365.25)),Data!#REF!&lt;=(TODAY()-(Data_Val!$I$2*365.25))),0,1),1))</f>
        <v>#REF!</v>
      </c>
      <c r="AP567" s="13" t="e">
        <f>IF(Data!#REF!="","",IF(Data!$G567="",1,IF(ISNUMBER(MATCH(Data!#REF!,Data_Val!$D$2:$D$10,0)),0,1)))</f>
        <v>#REF!</v>
      </c>
      <c r="AQ567" s="17"/>
      <c r="AR567" s="30" t="e">
        <f ca="1">IF(Data!#REF!="","",IF(ISNUMBER(Data!#REF!),IF(AND(Data!#REF!&gt;(TODAY()-(Data_Val!$I$3*365.25)),Data!#REF!&lt;=(TODAY()-(Data_Val!$I$2*365.25))),0,1),1))</f>
        <v>#REF!</v>
      </c>
      <c r="AS567" s="31" t="e">
        <f>IF(Data!#REF!="","",IF(Data!$G567="",1,IF(ISNUMBER(MATCH(Data!#REF!,Data_Val!$D$2:$D$10,0)),0,1)))</f>
        <v>#REF!</v>
      </c>
      <c r="AT567" s="11"/>
      <c r="AU567" s="11" t="e">
        <f ca="1">IF(Data!#REF!="","",IF(ISNUMBER(Data!#REF!),IF(AND(Data!#REF!&gt;(TODAY()-(Data_Val!$I$3*365.25)),Data!#REF!&lt;=(TODAY()-(Data_Val!$I$2*365.25))),0,1),1))</f>
        <v>#REF!</v>
      </c>
      <c r="AV567" s="11" t="e">
        <f>IF(Data!#REF!="","",IF(Data!$G567="",1,IF(ISNUMBER(MATCH(Data!#REF!,Data_Val!$D$2:$D$10,0)),0,1)))</f>
        <v>#REF!</v>
      </c>
      <c r="AW567" s="12"/>
      <c r="AX567" s="26" t="e">
        <f ca="1">IF(Data!#REF!="","",IF(ISNUMBER(Data!#REF!),IF(AND(Data!#REF!&gt;(TODAY()-(Data_Val!$I$3*365.25)),Data!#REF!&lt;=(TODAY()-(Data_Val!$I$2*365.25))),0,1),1))</f>
        <v>#REF!</v>
      </c>
      <c r="AY567" s="12" t="e">
        <f>IF(Data!#REF!="","",IF(Data!$G567="",1,IF(ISNUMBER(MATCH(Data!#REF!,Data_Val!$D$2:$D$10,0)),0,1)))</f>
        <v>#REF!</v>
      </c>
      <c r="AZ567" s="11"/>
      <c r="BA567" s="19" t="e">
        <f ca="1">IF(Data!#REF!="","",IF(ISNUMBER(Data!#REF!),IF(AND(Data!#REF!&gt;(TODAY()-(Data_Val!$M$3*365.25)),Data!#REF!&lt;=(TODAY()-(Data_Val!$M$2*365.25))),0,1),1))</f>
        <v>#REF!</v>
      </c>
      <c r="BB567" s="11" t="e">
        <f>IF(Data!#REF!="","",IF(Data!$G567="",1,IF(ISNUMBER(MATCH(Data!#REF!,Data_Val!$D$2:$D$10,0)),0,1)))</f>
        <v>#REF!</v>
      </c>
      <c r="BC567" s="12"/>
      <c r="BD567" s="20" t="e">
        <f ca="1">IF(Data!#REF!="","",IF(ISNUMBER(Data!#REF!),IF(AND(Data!#REF!&gt;(TODAY()-(Data_Val!$M$3*365.25)),Data!#REF!&lt;=(TODAY()-(Data_Val!$M$2*365.25))),0,1),1))</f>
        <v>#REF!</v>
      </c>
      <c r="BE567" s="12" t="e">
        <f>IF(Data!#REF!="","",IF(Data!$G567="",1,IF(ISNUMBER(MATCH(Data!#REF!,Data_Val!$D$2:$D$10,0)),0,1)))</f>
        <v>#REF!</v>
      </c>
      <c r="BF567" s="17"/>
      <c r="BG567" s="18" t="e">
        <f ca="1">IF(Data!#REF!="","",IF(ISNUMBER(Data!#REF!),IF(AND(Data!#REF!&gt;(TODAY()-(Data_Val!$M$3*365.25)),Data!#REF!&lt;=(TODAY()-(Data_Val!$M$2*365.25))),0,1),1))</f>
        <v>#REF!</v>
      </c>
      <c r="BH567" s="29" t="e">
        <f>IF(Data!#REF!="","",IF(Data!$G567="",1,IF(ISNUMBER(MATCH(Data!#REF!,Data_Val!$D$2:$D$10,0)),0,1)))</f>
        <v>#REF!</v>
      </c>
      <c r="BI567" s="13"/>
      <c r="BJ567" s="21" t="e">
        <f ca="1">IF(Data!#REF!="","",IF(ISNUMBER(Data!#REF!),IF(AND(Data!#REF!&gt;(TODAY()-(Data_Val!$M$3*365.25)),Data!#REF!&lt;=(TODAY()-(Data_Val!$M$2*365.25))),0,1),1))</f>
        <v>#REF!</v>
      </c>
      <c r="BK567" s="13" t="e">
        <f>IF(Data!#REF!="","",IF(Data!$G567="",1,IF(ISNUMBER(MATCH(Data!#REF!,Data_Val!$D$2:$D$10,0)),0,1)))</f>
        <v>#REF!</v>
      </c>
    </row>
    <row r="568" spans="1:63" x14ac:dyDescent="0.25">
      <c r="A568" s="9" t="str">
        <f>IF(Data!B568="","",IF(COUNTIFS(Data!A$1:'Data'!A568,Data!A568)&lt;=1,0,1))</f>
        <v/>
      </c>
      <c r="B568" s="9"/>
      <c r="C568" s="23" t="str">
        <f>IF(Data!C568="","",(IF(ISNUMBER(MATCH("*@*.?*",Data!C568,0)),0,1)+IF(COUNTIFS(Data!C$1:'Data'!C568,Data!C568)&gt;1,1,0)))</f>
        <v/>
      </c>
      <c r="D568" s="9" t="str">
        <f>IF(Data!B568="","",IF(ISNUMBER(Data!D568),IF(AND(Data!D568&gt;999999999,Data!D568&lt;=9999999999),IF(COUNTIFS(Data!D$1:'Data'!D568,Data!D568)&lt;=1,0,1),1),1))</f>
        <v/>
      </c>
      <c r="E568" s="9" t="str">
        <f>IF(Data!B568="","",IF(ISNUMBER(MATCH(Data!E568,Data_Val!$A$2:$A$3,0)),0,1))</f>
        <v/>
      </c>
      <c r="F568" s="9" t="str">
        <f ca="1">IF(Data!B568="","",IF(ISNUMBER(Data!F568),IF(AND(Data!F568&gt;(TODAY()-(Data_Val!$H$3*365.25)),Data!F568&lt;=(TODAY()-(Data_Val!$H$2*365.25))),0,1),1))</f>
        <v/>
      </c>
      <c r="G568" s="15" t="str">
        <f>IF(Data!B568="","",IF(AND(Data!G568="",Data!H568&lt;&gt;""),1,IF(Data!#REF!&lt;&gt;"",0,IF(ISNUMBER(MATCH(Data!G568,Data_Val!$C$2:$C$5,0)),0,1))))</f>
        <v/>
      </c>
      <c r="H568" s="15" t="str">
        <f>IF(Data!B568="","",IF(AND(Data!G568&lt;&gt;"",Data!H568=""),1,IF(Data!#REF!&lt;&gt;"",0,IF(Data!G568="",1,IF(ISNUMBER(MATCH(Data!H568,Data_Val!$D$2:$D$35,0)),0,1)))))</f>
        <v/>
      </c>
      <c r="I568" s="15" t="str">
        <f>IF(Data!B568="","",IF(Data!G568&lt;&gt;"",0,IF(ISNUMBER(MATCH(Data!#REF!,Data_Val!$E$2:$E$12,0)),0,1)))</f>
        <v/>
      </c>
      <c r="J568" s="16" t="e">
        <f>IF(OR(Data!B568="",Data!#REF!=""),"",IF(Data!#REF!="",1,0))</f>
        <v>#REF!</v>
      </c>
      <c r="K568" s="16" t="e">
        <f>IF(OR(Data!B568="",Data!#REF!=""),"",IF(Data!#REF!="",1,0))</f>
        <v>#REF!</v>
      </c>
      <c r="L568" s="16" t="e">
        <f>IF(OR(Data!B568="",Data!#REF!=""),"",IF(ISNUMBER(Data!#REF!),IF(AND(Data!#REF!&gt;Data_Val!$G$2,Data!#REF!&lt;=Data_Val!$G$3),0,1),1))</f>
        <v>#REF!</v>
      </c>
      <c r="M568" s="9" t="e">
        <f>IF(OR(Data!B568="",Data!#REF!=""),"",IF(ISNUMBER(MATCH(Data!#REF!,Data_Val!$F$1:$F$38,0)),0,1))</f>
        <v>#REF!</v>
      </c>
      <c r="N568" s="9" t="e">
        <f>IF(OR(Data!B568="",Data!#REF!=""),"",IF(Data!#REF!="",1,0))</f>
        <v>#REF!</v>
      </c>
      <c r="O568" s="17" t="e">
        <f>IF(Data!#REF!="","",IF(Data!#REF!="",1,0))</f>
        <v>#REF!</v>
      </c>
      <c r="P568" s="17" t="e">
        <f>IF(Data!#REF!="","",IF(ISNUMBER(MATCH(Data!#REF!,Data_Val!$A$2:$A$3,0)),0,1))</f>
        <v>#REF!</v>
      </c>
      <c r="Q568" s="25" t="e">
        <f ca="1">IF(Data!#REF!="","",IF(ISNUMBER(Data!#REF!),IF(AND(Data!#REF!&gt;(TODAY()-(Data_Val!$J$3*365.25)),Data!#REF!&lt;=(TODAY()-(Data_Val!$J$2*365.25))),0,1),1))</f>
        <v>#REF!</v>
      </c>
      <c r="R568" s="17" t="e">
        <f>IF(Data!#REF!="","",IF(ISNUMBER(MATCH(Data!#REF!,Data_Val!$B$2:$B$15,0)),0,1))</f>
        <v>#REF!</v>
      </c>
      <c r="S568" s="11" t="str">
        <f>IF(Data!G568="","",IF(Data!G568=Data_Val!$C$2,IF(Data!M568="",0,1),0))</f>
        <v/>
      </c>
      <c r="T568" s="11" t="str">
        <f>IF(Data!M568="","",IF(ISNUMBER(MATCH(Data!N568,Data_Val!$A$2:$A$3,0)),0,1))</f>
        <v/>
      </c>
      <c r="U568" s="11" t="str">
        <f ca="1">IF(Data!M568="","",IF(ISNUMBER(Data!O568),IF(AND(Data!O568&gt;(TODAY()-(Data_Val!$K$3*365.25)),Data!O568&lt;=(TODAY()-(Data_Val!$K$2*365.25))),0,1),1))</f>
        <v/>
      </c>
      <c r="V568" s="12" t="str">
        <f>IF(Data!G568="","",IF(Data!G568=Data_Val!$C$2,IF(Data!P568="",0,1),0))</f>
        <v/>
      </c>
      <c r="W568" s="12" t="str">
        <f>IF(Data!P568="","",IF(ISNUMBER(MATCH(Data!Q568,Data_Val!$A$2:$A$3,0)),0,1))</f>
        <v/>
      </c>
      <c r="X568" s="26" t="str">
        <f ca="1">IF(Data!P568="","",IF(ISNUMBER(Data!R568),IF(AND(Data!R568&gt;(TODAY()-(Data_Val!$L$3*365.25)),Data!R568&lt;=(TODAY()-(Data_Val!$L$2*365.25))),0,1),1))</f>
        <v/>
      </c>
      <c r="Y568" s="13" t="str">
        <f>IF(Data!$G568="","",IF(Data!$G568=Data_Val!$C$2,IF(Data!S568="",0,1),0))</f>
        <v/>
      </c>
      <c r="Z568" s="13" t="str">
        <f>IF(Data!S568="","",IF(ISNUMBER(MATCH(Data!T568,Data_Val!$A$2:$A$3,0)),0,1))</f>
        <v/>
      </c>
      <c r="AA568" s="28" t="str">
        <f ca="1">IF(Data!S568="","",IF(ISNUMBER(Data!U568),IF(AND(Data!U568&gt;(TODAY()-(Data_Val!$L$3*365.25)),Data!U568&lt;=(TODAY()-(Data_Val!$L$2*365.25))),0,1),1))</f>
        <v/>
      </c>
      <c r="AB568" s="11"/>
      <c r="AC568" s="11" t="e">
        <f>IF(Data!#REF!="","",IF(ISNUMBER(MATCH(Data!#REF!,Data_Val!$A$2:$A$3,0)),0,1))</f>
        <v>#REF!</v>
      </c>
      <c r="AD568" s="11" t="e">
        <f ca="1">IF(Data!#REF!="","",IF(ISNUMBER(Data!#REF!),IF(AND(Data!#REF!&gt;(TODAY()-(Data_Val!$L$3*365.25)),Data!#REF!&lt;=(TODAY()-(Data_Val!$L$2*365.25))),0,1),1))</f>
        <v>#REF!</v>
      </c>
      <c r="AE568" s="11" t="e">
        <f>IF(Data!#REF!="","",IF(Data!$G568="",1,IF(ISNUMBER(MATCH(Data!#REF!,Data_Val!$D$2:$D$10,0)),0,1)))</f>
        <v>#REF!</v>
      </c>
      <c r="AF568" s="12"/>
      <c r="AG568" s="12" t="e">
        <f>IF(Data!#REF!="","",IF(ISNUMBER(MATCH(Data!#REF!,Data_Val!$A$2:$A$3,0)),0,1))</f>
        <v>#REF!</v>
      </c>
      <c r="AH568" s="26" t="e">
        <f ca="1">IF(Data!#REF!="","",IF(ISNUMBER(Data!#REF!),IF(AND(Data!#REF!&gt;(TODAY()-(Data_Val!$L$3*365.25)),Data!#REF!&lt;=(TODAY()-(Data_Val!$L$2*365.25))),0,1),1))</f>
        <v>#REF!</v>
      </c>
      <c r="AI568" s="12" t="e">
        <f>IF(Data!#REF!="","",IF(Data!$G568="",1,IF(ISNUMBER(MATCH(Data!#REF!,Data_Val!$D$2:$D$10,0)),0,1)))</f>
        <v>#REF!</v>
      </c>
      <c r="AJ568" s="17"/>
      <c r="AK568" s="17" t="e">
        <f>IF(Data!#REF!="","",IF(ISNUMBER(MATCH(Data!#REF!,Data_Val!$A$2:$A$3,0)),0,1))</f>
        <v>#REF!</v>
      </c>
      <c r="AL568" s="25" t="e">
        <f ca="1">IF(Data!#REF!="","",IF(ISNUMBER(Data!#REF!),IF(AND(Data!#REF!&gt;(TODAY()-(Data_Val!$L$3*365.25)),Data!#REF!&lt;=(TODAY()-(Data_Val!$L$2*365.25))),0,1),1))</f>
        <v>#REF!</v>
      </c>
      <c r="AM568" s="17" t="e">
        <f>IF(Data!#REF!="","",IF(Data!$G568="",1,IF(ISNUMBER(MATCH(Data!#REF!,Data_Val!$D$2:$D$10,0)),0,1)))</f>
        <v>#REF!</v>
      </c>
      <c r="AN568" s="13"/>
      <c r="AO568" s="28" t="e">
        <f ca="1">IF(Data!#REF!="","",IF(ISNUMBER(Data!#REF!),IF(AND(Data!#REF!&gt;(TODAY()-(Data_Val!$I$3*365.25)),Data!#REF!&lt;=(TODAY()-(Data_Val!$I$2*365.25))),0,1),1))</f>
        <v>#REF!</v>
      </c>
      <c r="AP568" s="13" t="e">
        <f>IF(Data!#REF!="","",IF(Data!$G568="",1,IF(ISNUMBER(MATCH(Data!#REF!,Data_Val!$D$2:$D$10,0)),0,1)))</f>
        <v>#REF!</v>
      </c>
      <c r="AQ568" s="17"/>
      <c r="AR568" s="30" t="e">
        <f ca="1">IF(Data!#REF!="","",IF(ISNUMBER(Data!#REF!),IF(AND(Data!#REF!&gt;(TODAY()-(Data_Val!$I$3*365.25)),Data!#REF!&lt;=(TODAY()-(Data_Val!$I$2*365.25))),0,1),1))</f>
        <v>#REF!</v>
      </c>
      <c r="AS568" s="31" t="e">
        <f>IF(Data!#REF!="","",IF(Data!$G568="",1,IF(ISNUMBER(MATCH(Data!#REF!,Data_Val!$D$2:$D$10,0)),0,1)))</f>
        <v>#REF!</v>
      </c>
      <c r="AT568" s="11"/>
      <c r="AU568" s="11" t="e">
        <f ca="1">IF(Data!#REF!="","",IF(ISNUMBER(Data!#REF!),IF(AND(Data!#REF!&gt;(TODAY()-(Data_Val!$I$3*365.25)),Data!#REF!&lt;=(TODAY()-(Data_Val!$I$2*365.25))),0,1),1))</f>
        <v>#REF!</v>
      </c>
      <c r="AV568" s="11" t="e">
        <f>IF(Data!#REF!="","",IF(Data!$G568="",1,IF(ISNUMBER(MATCH(Data!#REF!,Data_Val!$D$2:$D$10,0)),0,1)))</f>
        <v>#REF!</v>
      </c>
      <c r="AW568" s="12"/>
      <c r="AX568" s="26" t="e">
        <f ca="1">IF(Data!#REF!="","",IF(ISNUMBER(Data!#REF!),IF(AND(Data!#REF!&gt;(TODAY()-(Data_Val!$I$3*365.25)),Data!#REF!&lt;=(TODAY()-(Data_Val!$I$2*365.25))),0,1),1))</f>
        <v>#REF!</v>
      </c>
      <c r="AY568" s="12" t="e">
        <f>IF(Data!#REF!="","",IF(Data!$G568="",1,IF(ISNUMBER(MATCH(Data!#REF!,Data_Val!$D$2:$D$10,0)),0,1)))</f>
        <v>#REF!</v>
      </c>
      <c r="AZ568" s="11"/>
      <c r="BA568" s="19" t="e">
        <f ca="1">IF(Data!#REF!="","",IF(ISNUMBER(Data!#REF!),IF(AND(Data!#REF!&gt;(TODAY()-(Data_Val!$M$3*365.25)),Data!#REF!&lt;=(TODAY()-(Data_Val!$M$2*365.25))),0,1),1))</f>
        <v>#REF!</v>
      </c>
      <c r="BB568" s="11" t="e">
        <f>IF(Data!#REF!="","",IF(Data!$G568="",1,IF(ISNUMBER(MATCH(Data!#REF!,Data_Val!$D$2:$D$10,0)),0,1)))</f>
        <v>#REF!</v>
      </c>
      <c r="BC568" s="12"/>
      <c r="BD568" s="20" t="e">
        <f ca="1">IF(Data!#REF!="","",IF(ISNUMBER(Data!#REF!),IF(AND(Data!#REF!&gt;(TODAY()-(Data_Val!$M$3*365.25)),Data!#REF!&lt;=(TODAY()-(Data_Val!$M$2*365.25))),0,1),1))</f>
        <v>#REF!</v>
      </c>
      <c r="BE568" s="12" t="e">
        <f>IF(Data!#REF!="","",IF(Data!$G568="",1,IF(ISNUMBER(MATCH(Data!#REF!,Data_Val!$D$2:$D$10,0)),0,1)))</f>
        <v>#REF!</v>
      </c>
      <c r="BF568" s="17"/>
      <c r="BG568" s="18" t="e">
        <f ca="1">IF(Data!#REF!="","",IF(ISNUMBER(Data!#REF!),IF(AND(Data!#REF!&gt;(TODAY()-(Data_Val!$M$3*365.25)),Data!#REF!&lt;=(TODAY()-(Data_Val!$M$2*365.25))),0,1),1))</f>
        <v>#REF!</v>
      </c>
      <c r="BH568" s="29" t="e">
        <f>IF(Data!#REF!="","",IF(Data!$G568="",1,IF(ISNUMBER(MATCH(Data!#REF!,Data_Val!$D$2:$D$10,0)),0,1)))</f>
        <v>#REF!</v>
      </c>
      <c r="BI568" s="13"/>
      <c r="BJ568" s="21" t="e">
        <f ca="1">IF(Data!#REF!="","",IF(ISNUMBER(Data!#REF!),IF(AND(Data!#REF!&gt;(TODAY()-(Data_Val!$M$3*365.25)),Data!#REF!&lt;=(TODAY()-(Data_Val!$M$2*365.25))),0,1),1))</f>
        <v>#REF!</v>
      </c>
      <c r="BK568" s="13" t="e">
        <f>IF(Data!#REF!="","",IF(Data!$G568="",1,IF(ISNUMBER(MATCH(Data!#REF!,Data_Val!$D$2:$D$10,0)),0,1)))</f>
        <v>#REF!</v>
      </c>
    </row>
    <row r="569" spans="1:63" x14ac:dyDescent="0.25">
      <c r="A569" s="9" t="str">
        <f>IF(Data!B569="","",IF(COUNTIFS(Data!A$1:'Data'!A569,Data!A569)&lt;=1,0,1))</f>
        <v/>
      </c>
      <c r="B569" s="9"/>
      <c r="C569" s="23" t="str">
        <f>IF(Data!C569="","",(IF(ISNUMBER(MATCH("*@*.?*",Data!C569,0)),0,1)+IF(COUNTIFS(Data!C$1:'Data'!C569,Data!C569)&gt;1,1,0)))</f>
        <v/>
      </c>
      <c r="D569" s="9" t="str">
        <f>IF(Data!B569="","",IF(ISNUMBER(Data!D569),IF(AND(Data!D569&gt;999999999,Data!D569&lt;=9999999999),IF(COUNTIFS(Data!D$1:'Data'!D569,Data!D569)&lt;=1,0,1),1),1))</f>
        <v/>
      </c>
      <c r="E569" s="9" t="str">
        <f>IF(Data!B569="","",IF(ISNUMBER(MATCH(Data!E569,Data_Val!$A$2:$A$3,0)),0,1))</f>
        <v/>
      </c>
      <c r="F569" s="9" t="str">
        <f ca="1">IF(Data!B569="","",IF(ISNUMBER(Data!F569),IF(AND(Data!F569&gt;(TODAY()-(Data_Val!$H$3*365.25)),Data!F569&lt;=(TODAY()-(Data_Val!$H$2*365.25))),0,1),1))</f>
        <v/>
      </c>
      <c r="G569" s="15" t="str">
        <f>IF(Data!B569="","",IF(AND(Data!G569="",Data!H569&lt;&gt;""),1,IF(Data!#REF!&lt;&gt;"",0,IF(ISNUMBER(MATCH(Data!G569,Data_Val!$C$2:$C$5,0)),0,1))))</f>
        <v/>
      </c>
      <c r="H569" s="15" t="str">
        <f>IF(Data!B569="","",IF(AND(Data!G569&lt;&gt;"",Data!H569=""),1,IF(Data!#REF!&lt;&gt;"",0,IF(Data!G569="",1,IF(ISNUMBER(MATCH(Data!H569,Data_Val!$D$2:$D$35,0)),0,1)))))</f>
        <v/>
      </c>
      <c r="I569" s="15" t="str">
        <f>IF(Data!B569="","",IF(Data!G569&lt;&gt;"",0,IF(ISNUMBER(MATCH(Data!#REF!,Data_Val!$E$2:$E$12,0)),0,1)))</f>
        <v/>
      </c>
      <c r="J569" s="16" t="e">
        <f>IF(OR(Data!B569="",Data!#REF!=""),"",IF(Data!#REF!="",1,0))</f>
        <v>#REF!</v>
      </c>
      <c r="K569" s="16" t="e">
        <f>IF(OR(Data!B569="",Data!#REF!=""),"",IF(Data!#REF!="",1,0))</f>
        <v>#REF!</v>
      </c>
      <c r="L569" s="16" t="e">
        <f>IF(OR(Data!B569="",Data!#REF!=""),"",IF(ISNUMBER(Data!#REF!),IF(AND(Data!#REF!&gt;Data_Val!$G$2,Data!#REF!&lt;=Data_Val!$G$3),0,1),1))</f>
        <v>#REF!</v>
      </c>
      <c r="M569" s="9" t="e">
        <f>IF(OR(Data!B569="",Data!#REF!=""),"",IF(ISNUMBER(MATCH(Data!#REF!,Data_Val!$F$1:$F$38,0)),0,1))</f>
        <v>#REF!</v>
      </c>
      <c r="N569" s="9" t="e">
        <f>IF(OR(Data!B569="",Data!#REF!=""),"",IF(Data!#REF!="",1,0))</f>
        <v>#REF!</v>
      </c>
      <c r="O569" s="17" t="e">
        <f>IF(Data!#REF!="","",IF(Data!#REF!="",1,0))</f>
        <v>#REF!</v>
      </c>
      <c r="P569" s="17" t="e">
        <f>IF(Data!#REF!="","",IF(ISNUMBER(MATCH(Data!#REF!,Data_Val!$A$2:$A$3,0)),0,1))</f>
        <v>#REF!</v>
      </c>
      <c r="Q569" s="25" t="e">
        <f ca="1">IF(Data!#REF!="","",IF(ISNUMBER(Data!#REF!),IF(AND(Data!#REF!&gt;(TODAY()-(Data_Val!$J$3*365.25)),Data!#REF!&lt;=(TODAY()-(Data_Val!$J$2*365.25))),0,1),1))</f>
        <v>#REF!</v>
      </c>
      <c r="R569" s="17" t="e">
        <f>IF(Data!#REF!="","",IF(ISNUMBER(MATCH(Data!#REF!,Data_Val!$B$2:$B$15,0)),0,1))</f>
        <v>#REF!</v>
      </c>
      <c r="S569" s="11" t="str">
        <f>IF(Data!G569="","",IF(Data!G569=Data_Val!$C$2,IF(Data!M569="",0,1),0))</f>
        <v/>
      </c>
      <c r="T569" s="11" t="str">
        <f>IF(Data!M569="","",IF(ISNUMBER(MATCH(Data!N569,Data_Val!$A$2:$A$3,0)),0,1))</f>
        <v/>
      </c>
      <c r="U569" s="11" t="str">
        <f ca="1">IF(Data!M569="","",IF(ISNUMBER(Data!O569),IF(AND(Data!O569&gt;(TODAY()-(Data_Val!$K$3*365.25)),Data!O569&lt;=(TODAY()-(Data_Val!$K$2*365.25))),0,1),1))</f>
        <v/>
      </c>
      <c r="V569" s="12" t="str">
        <f>IF(Data!G569="","",IF(Data!G569=Data_Val!$C$2,IF(Data!P569="",0,1),0))</f>
        <v/>
      </c>
      <c r="W569" s="12" t="str">
        <f>IF(Data!P569="","",IF(ISNUMBER(MATCH(Data!Q569,Data_Val!$A$2:$A$3,0)),0,1))</f>
        <v/>
      </c>
      <c r="X569" s="26" t="str">
        <f ca="1">IF(Data!P569="","",IF(ISNUMBER(Data!R569),IF(AND(Data!R569&gt;(TODAY()-(Data_Val!$L$3*365.25)),Data!R569&lt;=(TODAY()-(Data_Val!$L$2*365.25))),0,1),1))</f>
        <v/>
      </c>
      <c r="Y569" s="13" t="str">
        <f>IF(Data!$G569="","",IF(Data!$G569=Data_Val!$C$2,IF(Data!S569="",0,1),0))</f>
        <v/>
      </c>
      <c r="Z569" s="13" t="str">
        <f>IF(Data!S569="","",IF(ISNUMBER(MATCH(Data!T569,Data_Val!$A$2:$A$3,0)),0,1))</f>
        <v/>
      </c>
      <c r="AA569" s="28" t="str">
        <f ca="1">IF(Data!S569="","",IF(ISNUMBER(Data!U569),IF(AND(Data!U569&gt;(TODAY()-(Data_Val!$L$3*365.25)),Data!U569&lt;=(TODAY()-(Data_Val!$L$2*365.25))),0,1),1))</f>
        <v/>
      </c>
      <c r="AB569" s="11"/>
      <c r="AC569" s="11" t="e">
        <f>IF(Data!#REF!="","",IF(ISNUMBER(MATCH(Data!#REF!,Data_Val!$A$2:$A$3,0)),0,1))</f>
        <v>#REF!</v>
      </c>
      <c r="AD569" s="11" t="e">
        <f ca="1">IF(Data!#REF!="","",IF(ISNUMBER(Data!#REF!),IF(AND(Data!#REF!&gt;(TODAY()-(Data_Val!$L$3*365.25)),Data!#REF!&lt;=(TODAY()-(Data_Val!$L$2*365.25))),0,1),1))</f>
        <v>#REF!</v>
      </c>
      <c r="AE569" s="11" t="e">
        <f>IF(Data!#REF!="","",IF(Data!$G569="",1,IF(ISNUMBER(MATCH(Data!#REF!,Data_Val!$D$2:$D$10,0)),0,1)))</f>
        <v>#REF!</v>
      </c>
      <c r="AF569" s="12"/>
      <c r="AG569" s="12" t="e">
        <f>IF(Data!#REF!="","",IF(ISNUMBER(MATCH(Data!#REF!,Data_Val!$A$2:$A$3,0)),0,1))</f>
        <v>#REF!</v>
      </c>
      <c r="AH569" s="26" t="e">
        <f ca="1">IF(Data!#REF!="","",IF(ISNUMBER(Data!#REF!),IF(AND(Data!#REF!&gt;(TODAY()-(Data_Val!$L$3*365.25)),Data!#REF!&lt;=(TODAY()-(Data_Val!$L$2*365.25))),0,1),1))</f>
        <v>#REF!</v>
      </c>
      <c r="AI569" s="12" t="e">
        <f>IF(Data!#REF!="","",IF(Data!$G569="",1,IF(ISNUMBER(MATCH(Data!#REF!,Data_Val!$D$2:$D$10,0)),0,1)))</f>
        <v>#REF!</v>
      </c>
      <c r="AJ569" s="17"/>
      <c r="AK569" s="17" t="e">
        <f>IF(Data!#REF!="","",IF(ISNUMBER(MATCH(Data!#REF!,Data_Val!$A$2:$A$3,0)),0,1))</f>
        <v>#REF!</v>
      </c>
      <c r="AL569" s="25" t="e">
        <f ca="1">IF(Data!#REF!="","",IF(ISNUMBER(Data!#REF!),IF(AND(Data!#REF!&gt;(TODAY()-(Data_Val!$L$3*365.25)),Data!#REF!&lt;=(TODAY()-(Data_Val!$L$2*365.25))),0,1),1))</f>
        <v>#REF!</v>
      </c>
      <c r="AM569" s="17" t="e">
        <f>IF(Data!#REF!="","",IF(Data!$G569="",1,IF(ISNUMBER(MATCH(Data!#REF!,Data_Val!$D$2:$D$10,0)),0,1)))</f>
        <v>#REF!</v>
      </c>
      <c r="AN569" s="13"/>
      <c r="AO569" s="28" t="e">
        <f ca="1">IF(Data!#REF!="","",IF(ISNUMBER(Data!#REF!),IF(AND(Data!#REF!&gt;(TODAY()-(Data_Val!$I$3*365.25)),Data!#REF!&lt;=(TODAY()-(Data_Val!$I$2*365.25))),0,1),1))</f>
        <v>#REF!</v>
      </c>
      <c r="AP569" s="13" t="e">
        <f>IF(Data!#REF!="","",IF(Data!$G569="",1,IF(ISNUMBER(MATCH(Data!#REF!,Data_Val!$D$2:$D$10,0)),0,1)))</f>
        <v>#REF!</v>
      </c>
      <c r="AQ569" s="17"/>
      <c r="AR569" s="30" t="e">
        <f ca="1">IF(Data!#REF!="","",IF(ISNUMBER(Data!#REF!),IF(AND(Data!#REF!&gt;(TODAY()-(Data_Val!$I$3*365.25)),Data!#REF!&lt;=(TODAY()-(Data_Val!$I$2*365.25))),0,1),1))</f>
        <v>#REF!</v>
      </c>
      <c r="AS569" s="31" t="e">
        <f>IF(Data!#REF!="","",IF(Data!$G569="",1,IF(ISNUMBER(MATCH(Data!#REF!,Data_Val!$D$2:$D$10,0)),0,1)))</f>
        <v>#REF!</v>
      </c>
      <c r="AT569" s="11"/>
      <c r="AU569" s="11" t="e">
        <f ca="1">IF(Data!#REF!="","",IF(ISNUMBER(Data!#REF!),IF(AND(Data!#REF!&gt;(TODAY()-(Data_Val!$I$3*365.25)),Data!#REF!&lt;=(TODAY()-(Data_Val!$I$2*365.25))),0,1),1))</f>
        <v>#REF!</v>
      </c>
      <c r="AV569" s="11" t="e">
        <f>IF(Data!#REF!="","",IF(Data!$G569="",1,IF(ISNUMBER(MATCH(Data!#REF!,Data_Val!$D$2:$D$10,0)),0,1)))</f>
        <v>#REF!</v>
      </c>
      <c r="AW569" s="12"/>
      <c r="AX569" s="26" t="e">
        <f ca="1">IF(Data!#REF!="","",IF(ISNUMBER(Data!#REF!),IF(AND(Data!#REF!&gt;(TODAY()-(Data_Val!$I$3*365.25)),Data!#REF!&lt;=(TODAY()-(Data_Val!$I$2*365.25))),0,1),1))</f>
        <v>#REF!</v>
      </c>
      <c r="AY569" s="12" t="e">
        <f>IF(Data!#REF!="","",IF(Data!$G569="",1,IF(ISNUMBER(MATCH(Data!#REF!,Data_Val!$D$2:$D$10,0)),0,1)))</f>
        <v>#REF!</v>
      </c>
      <c r="AZ569" s="11"/>
      <c r="BA569" s="19" t="e">
        <f ca="1">IF(Data!#REF!="","",IF(ISNUMBER(Data!#REF!),IF(AND(Data!#REF!&gt;(TODAY()-(Data_Val!$M$3*365.25)),Data!#REF!&lt;=(TODAY()-(Data_Val!$M$2*365.25))),0,1),1))</f>
        <v>#REF!</v>
      </c>
      <c r="BB569" s="11" t="e">
        <f>IF(Data!#REF!="","",IF(Data!$G569="",1,IF(ISNUMBER(MATCH(Data!#REF!,Data_Val!$D$2:$D$10,0)),0,1)))</f>
        <v>#REF!</v>
      </c>
      <c r="BC569" s="12"/>
      <c r="BD569" s="20" t="e">
        <f ca="1">IF(Data!#REF!="","",IF(ISNUMBER(Data!#REF!),IF(AND(Data!#REF!&gt;(TODAY()-(Data_Val!$M$3*365.25)),Data!#REF!&lt;=(TODAY()-(Data_Val!$M$2*365.25))),0,1),1))</f>
        <v>#REF!</v>
      </c>
      <c r="BE569" s="12" t="e">
        <f>IF(Data!#REF!="","",IF(Data!$G569="",1,IF(ISNUMBER(MATCH(Data!#REF!,Data_Val!$D$2:$D$10,0)),0,1)))</f>
        <v>#REF!</v>
      </c>
      <c r="BF569" s="17"/>
      <c r="BG569" s="18" t="e">
        <f ca="1">IF(Data!#REF!="","",IF(ISNUMBER(Data!#REF!),IF(AND(Data!#REF!&gt;(TODAY()-(Data_Val!$M$3*365.25)),Data!#REF!&lt;=(TODAY()-(Data_Val!$M$2*365.25))),0,1),1))</f>
        <v>#REF!</v>
      </c>
      <c r="BH569" s="29" t="e">
        <f>IF(Data!#REF!="","",IF(Data!$G569="",1,IF(ISNUMBER(MATCH(Data!#REF!,Data_Val!$D$2:$D$10,0)),0,1)))</f>
        <v>#REF!</v>
      </c>
      <c r="BI569" s="13"/>
      <c r="BJ569" s="21" t="e">
        <f ca="1">IF(Data!#REF!="","",IF(ISNUMBER(Data!#REF!),IF(AND(Data!#REF!&gt;(TODAY()-(Data_Val!$M$3*365.25)),Data!#REF!&lt;=(TODAY()-(Data_Val!$M$2*365.25))),0,1),1))</f>
        <v>#REF!</v>
      </c>
      <c r="BK569" s="13" t="e">
        <f>IF(Data!#REF!="","",IF(Data!$G569="",1,IF(ISNUMBER(MATCH(Data!#REF!,Data_Val!$D$2:$D$10,0)),0,1)))</f>
        <v>#REF!</v>
      </c>
    </row>
    <row r="570" spans="1:63" x14ac:dyDescent="0.25">
      <c r="A570" s="9" t="str">
        <f>IF(Data!B570="","",IF(COUNTIFS(Data!A$1:'Data'!A570,Data!A570)&lt;=1,0,1))</f>
        <v/>
      </c>
      <c r="B570" s="9"/>
      <c r="C570" s="23" t="str">
        <f>IF(Data!C570="","",(IF(ISNUMBER(MATCH("*@*.?*",Data!C570,0)),0,1)+IF(COUNTIFS(Data!C$1:'Data'!C570,Data!C570)&gt;1,1,0)))</f>
        <v/>
      </c>
      <c r="D570" s="9" t="str">
        <f>IF(Data!B570="","",IF(ISNUMBER(Data!D570),IF(AND(Data!D570&gt;999999999,Data!D570&lt;=9999999999),IF(COUNTIFS(Data!D$1:'Data'!D570,Data!D570)&lt;=1,0,1),1),1))</f>
        <v/>
      </c>
      <c r="E570" s="9" t="str">
        <f>IF(Data!B570="","",IF(ISNUMBER(MATCH(Data!E570,Data_Val!$A$2:$A$3,0)),0,1))</f>
        <v/>
      </c>
      <c r="F570" s="9" t="str">
        <f ca="1">IF(Data!B570="","",IF(ISNUMBER(Data!F570),IF(AND(Data!F570&gt;(TODAY()-(Data_Val!$H$3*365.25)),Data!F570&lt;=(TODAY()-(Data_Val!$H$2*365.25))),0,1),1))</f>
        <v/>
      </c>
      <c r="G570" s="15" t="str">
        <f>IF(Data!B570="","",IF(AND(Data!G570="",Data!H570&lt;&gt;""),1,IF(Data!#REF!&lt;&gt;"",0,IF(ISNUMBER(MATCH(Data!G570,Data_Val!$C$2:$C$5,0)),0,1))))</f>
        <v/>
      </c>
      <c r="H570" s="15" t="str">
        <f>IF(Data!B570="","",IF(AND(Data!G570&lt;&gt;"",Data!H570=""),1,IF(Data!#REF!&lt;&gt;"",0,IF(Data!G570="",1,IF(ISNUMBER(MATCH(Data!H570,Data_Val!$D$2:$D$35,0)),0,1)))))</f>
        <v/>
      </c>
      <c r="I570" s="15" t="str">
        <f>IF(Data!B570="","",IF(Data!G570&lt;&gt;"",0,IF(ISNUMBER(MATCH(Data!#REF!,Data_Val!$E$2:$E$12,0)),0,1)))</f>
        <v/>
      </c>
      <c r="J570" s="16" t="e">
        <f>IF(OR(Data!B570="",Data!#REF!=""),"",IF(Data!#REF!="",1,0))</f>
        <v>#REF!</v>
      </c>
      <c r="K570" s="16" t="e">
        <f>IF(OR(Data!B570="",Data!#REF!=""),"",IF(Data!#REF!="",1,0))</f>
        <v>#REF!</v>
      </c>
      <c r="L570" s="16" t="e">
        <f>IF(OR(Data!B570="",Data!#REF!=""),"",IF(ISNUMBER(Data!#REF!),IF(AND(Data!#REF!&gt;Data_Val!$G$2,Data!#REF!&lt;=Data_Val!$G$3),0,1),1))</f>
        <v>#REF!</v>
      </c>
      <c r="M570" s="9" t="e">
        <f>IF(OR(Data!B570="",Data!#REF!=""),"",IF(ISNUMBER(MATCH(Data!#REF!,Data_Val!$F$1:$F$38,0)),0,1))</f>
        <v>#REF!</v>
      </c>
      <c r="N570" s="9" t="e">
        <f>IF(OR(Data!B570="",Data!#REF!=""),"",IF(Data!#REF!="",1,0))</f>
        <v>#REF!</v>
      </c>
      <c r="O570" s="17" t="e">
        <f>IF(Data!#REF!="","",IF(Data!#REF!="",1,0))</f>
        <v>#REF!</v>
      </c>
      <c r="P570" s="17" t="e">
        <f>IF(Data!#REF!="","",IF(ISNUMBER(MATCH(Data!#REF!,Data_Val!$A$2:$A$3,0)),0,1))</f>
        <v>#REF!</v>
      </c>
      <c r="Q570" s="25" t="e">
        <f ca="1">IF(Data!#REF!="","",IF(ISNUMBER(Data!#REF!),IF(AND(Data!#REF!&gt;(TODAY()-(Data_Val!$J$3*365.25)),Data!#REF!&lt;=(TODAY()-(Data_Val!$J$2*365.25))),0,1),1))</f>
        <v>#REF!</v>
      </c>
      <c r="R570" s="17" t="e">
        <f>IF(Data!#REF!="","",IF(ISNUMBER(MATCH(Data!#REF!,Data_Val!$B$2:$B$15,0)),0,1))</f>
        <v>#REF!</v>
      </c>
      <c r="S570" s="11" t="str">
        <f>IF(Data!G570="","",IF(Data!G570=Data_Val!$C$2,IF(Data!M570="",0,1),0))</f>
        <v/>
      </c>
      <c r="T570" s="11" t="str">
        <f>IF(Data!M570="","",IF(ISNUMBER(MATCH(Data!N570,Data_Val!$A$2:$A$3,0)),0,1))</f>
        <v/>
      </c>
      <c r="U570" s="11" t="str">
        <f ca="1">IF(Data!M570="","",IF(ISNUMBER(Data!O570),IF(AND(Data!O570&gt;(TODAY()-(Data_Val!$K$3*365.25)),Data!O570&lt;=(TODAY()-(Data_Val!$K$2*365.25))),0,1),1))</f>
        <v/>
      </c>
      <c r="V570" s="12" t="str">
        <f>IF(Data!G570="","",IF(Data!G570=Data_Val!$C$2,IF(Data!P570="",0,1),0))</f>
        <v/>
      </c>
      <c r="W570" s="12" t="str">
        <f>IF(Data!P570="","",IF(ISNUMBER(MATCH(Data!Q570,Data_Val!$A$2:$A$3,0)),0,1))</f>
        <v/>
      </c>
      <c r="X570" s="26" t="str">
        <f ca="1">IF(Data!P570="","",IF(ISNUMBER(Data!R570),IF(AND(Data!R570&gt;(TODAY()-(Data_Val!$L$3*365.25)),Data!R570&lt;=(TODAY()-(Data_Val!$L$2*365.25))),0,1),1))</f>
        <v/>
      </c>
      <c r="Y570" s="13" t="str">
        <f>IF(Data!$G570="","",IF(Data!$G570=Data_Val!$C$2,IF(Data!S570="",0,1),0))</f>
        <v/>
      </c>
      <c r="Z570" s="13" t="str">
        <f>IF(Data!S570="","",IF(ISNUMBER(MATCH(Data!T570,Data_Val!$A$2:$A$3,0)),0,1))</f>
        <v/>
      </c>
      <c r="AA570" s="28" t="str">
        <f ca="1">IF(Data!S570="","",IF(ISNUMBER(Data!U570),IF(AND(Data!U570&gt;(TODAY()-(Data_Val!$L$3*365.25)),Data!U570&lt;=(TODAY()-(Data_Val!$L$2*365.25))),0,1),1))</f>
        <v/>
      </c>
      <c r="AB570" s="11"/>
      <c r="AC570" s="11" t="e">
        <f>IF(Data!#REF!="","",IF(ISNUMBER(MATCH(Data!#REF!,Data_Val!$A$2:$A$3,0)),0,1))</f>
        <v>#REF!</v>
      </c>
      <c r="AD570" s="11" t="e">
        <f ca="1">IF(Data!#REF!="","",IF(ISNUMBER(Data!#REF!),IF(AND(Data!#REF!&gt;(TODAY()-(Data_Val!$L$3*365.25)),Data!#REF!&lt;=(TODAY()-(Data_Val!$L$2*365.25))),0,1),1))</f>
        <v>#REF!</v>
      </c>
      <c r="AE570" s="11" t="e">
        <f>IF(Data!#REF!="","",IF(Data!$G570="",1,IF(ISNUMBER(MATCH(Data!#REF!,Data_Val!$D$2:$D$10,0)),0,1)))</f>
        <v>#REF!</v>
      </c>
      <c r="AF570" s="12"/>
      <c r="AG570" s="12" t="e">
        <f>IF(Data!#REF!="","",IF(ISNUMBER(MATCH(Data!#REF!,Data_Val!$A$2:$A$3,0)),0,1))</f>
        <v>#REF!</v>
      </c>
      <c r="AH570" s="26" t="e">
        <f ca="1">IF(Data!#REF!="","",IF(ISNUMBER(Data!#REF!),IF(AND(Data!#REF!&gt;(TODAY()-(Data_Val!$L$3*365.25)),Data!#REF!&lt;=(TODAY()-(Data_Val!$L$2*365.25))),0,1),1))</f>
        <v>#REF!</v>
      </c>
      <c r="AI570" s="12" t="e">
        <f>IF(Data!#REF!="","",IF(Data!$G570="",1,IF(ISNUMBER(MATCH(Data!#REF!,Data_Val!$D$2:$D$10,0)),0,1)))</f>
        <v>#REF!</v>
      </c>
      <c r="AJ570" s="17"/>
      <c r="AK570" s="17" t="e">
        <f>IF(Data!#REF!="","",IF(ISNUMBER(MATCH(Data!#REF!,Data_Val!$A$2:$A$3,0)),0,1))</f>
        <v>#REF!</v>
      </c>
      <c r="AL570" s="25" t="e">
        <f ca="1">IF(Data!#REF!="","",IF(ISNUMBER(Data!#REF!),IF(AND(Data!#REF!&gt;(TODAY()-(Data_Val!$L$3*365.25)),Data!#REF!&lt;=(TODAY()-(Data_Val!$L$2*365.25))),0,1),1))</f>
        <v>#REF!</v>
      </c>
      <c r="AM570" s="17" t="e">
        <f>IF(Data!#REF!="","",IF(Data!$G570="",1,IF(ISNUMBER(MATCH(Data!#REF!,Data_Val!$D$2:$D$10,0)),0,1)))</f>
        <v>#REF!</v>
      </c>
      <c r="AN570" s="13"/>
      <c r="AO570" s="28" t="e">
        <f ca="1">IF(Data!#REF!="","",IF(ISNUMBER(Data!#REF!),IF(AND(Data!#REF!&gt;(TODAY()-(Data_Val!$I$3*365.25)),Data!#REF!&lt;=(TODAY()-(Data_Val!$I$2*365.25))),0,1),1))</f>
        <v>#REF!</v>
      </c>
      <c r="AP570" s="13" t="e">
        <f>IF(Data!#REF!="","",IF(Data!$G570="",1,IF(ISNUMBER(MATCH(Data!#REF!,Data_Val!$D$2:$D$10,0)),0,1)))</f>
        <v>#REF!</v>
      </c>
      <c r="AQ570" s="17"/>
      <c r="AR570" s="30" t="e">
        <f ca="1">IF(Data!#REF!="","",IF(ISNUMBER(Data!#REF!),IF(AND(Data!#REF!&gt;(TODAY()-(Data_Val!$I$3*365.25)),Data!#REF!&lt;=(TODAY()-(Data_Val!$I$2*365.25))),0,1),1))</f>
        <v>#REF!</v>
      </c>
      <c r="AS570" s="31" t="e">
        <f>IF(Data!#REF!="","",IF(Data!$G570="",1,IF(ISNUMBER(MATCH(Data!#REF!,Data_Val!$D$2:$D$10,0)),0,1)))</f>
        <v>#REF!</v>
      </c>
      <c r="AT570" s="11"/>
      <c r="AU570" s="11" t="e">
        <f ca="1">IF(Data!#REF!="","",IF(ISNUMBER(Data!#REF!),IF(AND(Data!#REF!&gt;(TODAY()-(Data_Val!$I$3*365.25)),Data!#REF!&lt;=(TODAY()-(Data_Val!$I$2*365.25))),0,1),1))</f>
        <v>#REF!</v>
      </c>
      <c r="AV570" s="11" t="e">
        <f>IF(Data!#REF!="","",IF(Data!$G570="",1,IF(ISNUMBER(MATCH(Data!#REF!,Data_Val!$D$2:$D$10,0)),0,1)))</f>
        <v>#REF!</v>
      </c>
      <c r="AW570" s="12"/>
      <c r="AX570" s="26" t="e">
        <f ca="1">IF(Data!#REF!="","",IF(ISNUMBER(Data!#REF!),IF(AND(Data!#REF!&gt;(TODAY()-(Data_Val!$I$3*365.25)),Data!#REF!&lt;=(TODAY()-(Data_Val!$I$2*365.25))),0,1),1))</f>
        <v>#REF!</v>
      </c>
      <c r="AY570" s="12" t="e">
        <f>IF(Data!#REF!="","",IF(Data!$G570="",1,IF(ISNUMBER(MATCH(Data!#REF!,Data_Val!$D$2:$D$10,0)),0,1)))</f>
        <v>#REF!</v>
      </c>
      <c r="AZ570" s="11"/>
      <c r="BA570" s="19" t="e">
        <f ca="1">IF(Data!#REF!="","",IF(ISNUMBER(Data!#REF!),IF(AND(Data!#REF!&gt;(TODAY()-(Data_Val!$M$3*365.25)),Data!#REF!&lt;=(TODAY()-(Data_Val!$M$2*365.25))),0,1),1))</f>
        <v>#REF!</v>
      </c>
      <c r="BB570" s="11" t="e">
        <f>IF(Data!#REF!="","",IF(Data!$G570="",1,IF(ISNUMBER(MATCH(Data!#REF!,Data_Val!$D$2:$D$10,0)),0,1)))</f>
        <v>#REF!</v>
      </c>
      <c r="BC570" s="12"/>
      <c r="BD570" s="20" t="e">
        <f ca="1">IF(Data!#REF!="","",IF(ISNUMBER(Data!#REF!),IF(AND(Data!#REF!&gt;(TODAY()-(Data_Val!$M$3*365.25)),Data!#REF!&lt;=(TODAY()-(Data_Val!$M$2*365.25))),0,1),1))</f>
        <v>#REF!</v>
      </c>
      <c r="BE570" s="12" t="e">
        <f>IF(Data!#REF!="","",IF(Data!$G570="",1,IF(ISNUMBER(MATCH(Data!#REF!,Data_Val!$D$2:$D$10,0)),0,1)))</f>
        <v>#REF!</v>
      </c>
      <c r="BF570" s="17"/>
      <c r="BG570" s="18" t="e">
        <f ca="1">IF(Data!#REF!="","",IF(ISNUMBER(Data!#REF!),IF(AND(Data!#REF!&gt;(TODAY()-(Data_Val!$M$3*365.25)),Data!#REF!&lt;=(TODAY()-(Data_Val!$M$2*365.25))),0,1),1))</f>
        <v>#REF!</v>
      </c>
      <c r="BH570" s="29" t="e">
        <f>IF(Data!#REF!="","",IF(Data!$G570="",1,IF(ISNUMBER(MATCH(Data!#REF!,Data_Val!$D$2:$D$10,0)),0,1)))</f>
        <v>#REF!</v>
      </c>
      <c r="BI570" s="13"/>
      <c r="BJ570" s="21" t="e">
        <f ca="1">IF(Data!#REF!="","",IF(ISNUMBER(Data!#REF!),IF(AND(Data!#REF!&gt;(TODAY()-(Data_Val!$M$3*365.25)),Data!#REF!&lt;=(TODAY()-(Data_Val!$M$2*365.25))),0,1),1))</f>
        <v>#REF!</v>
      </c>
      <c r="BK570" s="13" t="e">
        <f>IF(Data!#REF!="","",IF(Data!$G570="",1,IF(ISNUMBER(MATCH(Data!#REF!,Data_Val!$D$2:$D$10,0)),0,1)))</f>
        <v>#REF!</v>
      </c>
    </row>
    <row r="571" spans="1:63" x14ac:dyDescent="0.25">
      <c r="A571" s="9" t="str">
        <f>IF(Data!B571="","",IF(COUNTIFS(Data!A$1:'Data'!A571,Data!A571)&lt;=1,0,1))</f>
        <v/>
      </c>
      <c r="B571" s="9"/>
      <c r="C571" s="23" t="str">
        <f>IF(Data!C571="","",(IF(ISNUMBER(MATCH("*@*.?*",Data!C571,0)),0,1)+IF(COUNTIFS(Data!C$1:'Data'!C571,Data!C571)&gt;1,1,0)))</f>
        <v/>
      </c>
      <c r="D571" s="9" t="str">
        <f>IF(Data!B571="","",IF(ISNUMBER(Data!D571),IF(AND(Data!D571&gt;999999999,Data!D571&lt;=9999999999),IF(COUNTIFS(Data!D$1:'Data'!D571,Data!D571)&lt;=1,0,1),1),1))</f>
        <v/>
      </c>
      <c r="E571" s="9" t="str">
        <f>IF(Data!B571="","",IF(ISNUMBER(MATCH(Data!E571,Data_Val!$A$2:$A$3,0)),0,1))</f>
        <v/>
      </c>
      <c r="F571" s="9" t="str">
        <f ca="1">IF(Data!B571="","",IF(ISNUMBER(Data!F571),IF(AND(Data!F571&gt;(TODAY()-(Data_Val!$H$3*365.25)),Data!F571&lt;=(TODAY()-(Data_Val!$H$2*365.25))),0,1),1))</f>
        <v/>
      </c>
      <c r="G571" s="15" t="str">
        <f>IF(Data!B571="","",IF(AND(Data!G571="",Data!H571&lt;&gt;""),1,IF(Data!#REF!&lt;&gt;"",0,IF(ISNUMBER(MATCH(Data!G571,Data_Val!$C$2:$C$5,0)),0,1))))</f>
        <v/>
      </c>
      <c r="H571" s="15" t="str">
        <f>IF(Data!B571="","",IF(AND(Data!G571&lt;&gt;"",Data!H571=""),1,IF(Data!#REF!&lt;&gt;"",0,IF(Data!G571="",1,IF(ISNUMBER(MATCH(Data!H571,Data_Val!$D$2:$D$35,0)),0,1)))))</f>
        <v/>
      </c>
      <c r="I571" s="15" t="str">
        <f>IF(Data!B571="","",IF(Data!G571&lt;&gt;"",0,IF(ISNUMBER(MATCH(Data!#REF!,Data_Val!$E$2:$E$12,0)),0,1)))</f>
        <v/>
      </c>
      <c r="J571" s="16" t="e">
        <f>IF(OR(Data!B571="",Data!#REF!=""),"",IF(Data!#REF!="",1,0))</f>
        <v>#REF!</v>
      </c>
      <c r="K571" s="16" t="e">
        <f>IF(OR(Data!B571="",Data!#REF!=""),"",IF(Data!#REF!="",1,0))</f>
        <v>#REF!</v>
      </c>
      <c r="L571" s="16" t="e">
        <f>IF(OR(Data!B571="",Data!#REF!=""),"",IF(ISNUMBER(Data!#REF!),IF(AND(Data!#REF!&gt;Data_Val!$G$2,Data!#REF!&lt;=Data_Val!$G$3),0,1),1))</f>
        <v>#REF!</v>
      </c>
      <c r="M571" s="9" t="e">
        <f>IF(OR(Data!B571="",Data!#REF!=""),"",IF(ISNUMBER(MATCH(Data!#REF!,Data_Val!$F$1:$F$38,0)),0,1))</f>
        <v>#REF!</v>
      </c>
      <c r="N571" s="9" t="e">
        <f>IF(OR(Data!B571="",Data!#REF!=""),"",IF(Data!#REF!="",1,0))</f>
        <v>#REF!</v>
      </c>
      <c r="O571" s="17" t="e">
        <f>IF(Data!#REF!="","",IF(Data!#REF!="",1,0))</f>
        <v>#REF!</v>
      </c>
      <c r="P571" s="17" t="e">
        <f>IF(Data!#REF!="","",IF(ISNUMBER(MATCH(Data!#REF!,Data_Val!$A$2:$A$3,0)),0,1))</f>
        <v>#REF!</v>
      </c>
      <c r="Q571" s="25" t="e">
        <f ca="1">IF(Data!#REF!="","",IF(ISNUMBER(Data!#REF!),IF(AND(Data!#REF!&gt;(TODAY()-(Data_Val!$J$3*365.25)),Data!#REF!&lt;=(TODAY()-(Data_Val!$J$2*365.25))),0,1),1))</f>
        <v>#REF!</v>
      </c>
      <c r="R571" s="17" t="e">
        <f>IF(Data!#REF!="","",IF(ISNUMBER(MATCH(Data!#REF!,Data_Val!$B$2:$B$15,0)),0,1))</f>
        <v>#REF!</v>
      </c>
      <c r="S571" s="11" t="str">
        <f>IF(Data!G571="","",IF(Data!G571=Data_Val!$C$2,IF(Data!M571="",0,1),0))</f>
        <v/>
      </c>
      <c r="T571" s="11" t="str">
        <f>IF(Data!M571="","",IF(ISNUMBER(MATCH(Data!N571,Data_Val!$A$2:$A$3,0)),0,1))</f>
        <v/>
      </c>
      <c r="U571" s="11" t="str">
        <f ca="1">IF(Data!M571="","",IF(ISNUMBER(Data!O571),IF(AND(Data!O571&gt;(TODAY()-(Data_Val!$K$3*365.25)),Data!O571&lt;=(TODAY()-(Data_Val!$K$2*365.25))),0,1),1))</f>
        <v/>
      </c>
      <c r="V571" s="12" t="str">
        <f>IF(Data!G571="","",IF(Data!G571=Data_Val!$C$2,IF(Data!P571="",0,1),0))</f>
        <v/>
      </c>
      <c r="W571" s="12" t="str">
        <f>IF(Data!P571="","",IF(ISNUMBER(MATCH(Data!Q571,Data_Val!$A$2:$A$3,0)),0,1))</f>
        <v/>
      </c>
      <c r="X571" s="26" t="str">
        <f ca="1">IF(Data!P571="","",IF(ISNUMBER(Data!R571),IF(AND(Data!R571&gt;(TODAY()-(Data_Val!$L$3*365.25)),Data!R571&lt;=(TODAY()-(Data_Val!$L$2*365.25))),0,1),1))</f>
        <v/>
      </c>
      <c r="Y571" s="13" t="str">
        <f>IF(Data!$G571="","",IF(Data!$G571=Data_Val!$C$2,IF(Data!S571="",0,1),0))</f>
        <v/>
      </c>
      <c r="Z571" s="13" t="str">
        <f>IF(Data!S571="","",IF(ISNUMBER(MATCH(Data!T571,Data_Val!$A$2:$A$3,0)),0,1))</f>
        <v/>
      </c>
      <c r="AA571" s="28" t="str">
        <f ca="1">IF(Data!S571="","",IF(ISNUMBER(Data!U571),IF(AND(Data!U571&gt;(TODAY()-(Data_Val!$L$3*365.25)),Data!U571&lt;=(TODAY()-(Data_Val!$L$2*365.25))),0,1),1))</f>
        <v/>
      </c>
      <c r="AB571" s="11"/>
      <c r="AC571" s="11" t="e">
        <f>IF(Data!#REF!="","",IF(ISNUMBER(MATCH(Data!#REF!,Data_Val!$A$2:$A$3,0)),0,1))</f>
        <v>#REF!</v>
      </c>
      <c r="AD571" s="11" t="e">
        <f ca="1">IF(Data!#REF!="","",IF(ISNUMBER(Data!#REF!),IF(AND(Data!#REF!&gt;(TODAY()-(Data_Val!$L$3*365.25)),Data!#REF!&lt;=(TODAY()-(Data_Val!$L$2*365.25))),0,1),1))</f>
        <v>#REF!</v>
      </c>
      <c r="AE571" s="11" t="e">
        <f>IF(Data!#REF!="","",IF(Data!$G571="",1,IF(ISNUMBER(MATCH(Data!#REF!,Data_Val!$D$2:$D$10,0)),0,1)))</f>
        <v>#REF!</v>
      </c>
      <c r="AF571" s="12"/>
      <c r="AG571" s="12" t="e">
        <f>IF(Data!#REF!="","",IF(ISNUMBER(MATCH(Data!#REF!,Data_Val!$A$2:$A$3,0)),0,1))</f>
        <v>#REF!</v>
      </c>
      <c r="AH571" s="26" t="e">
        <f ca="1">IF(Data!#REF!="","",IF(ISNUMBER(Data!#REF!),IF(AND(Data!#REF!&gt;(TODAY()-(Data_Val!$L$3*365.25)),Data!#REF!&lt;=(TODAY()-(Data_Val!$L$2*365.25))),0,1),1))</f>
        <v>#REF!</v>
      </c>
      <c r="AI571" s="12" t="e">
        <f>IF(Data!#REF!="","",IF(Data!$G571="",1,IF(ISNUMBER(MATCH(Data!#REF!,Data_Val!$D$2:$D$10,0)),0,1)))</f>
        <v>#REF!</v>
      </c>
      <c r="AJ571" s="17"/>
      <c r="AK571" s="17" t="e">
        <f>IF(Data!#REF!="","",IF(ISNUMBER(MATCH(Data!#REF!,Data_Val!$A$2:$A$3,0)),0,1))</f>
        <v>#REF!</v>
      </c>
      <c r="AL571" s="25" t="e">
        <f ca="1">IF(Data!#REF!="","",IF(ISNUMBER(Data!#REF!),IF(AND(Data!#REF!&gt;(TODAY()-(Data_Val!$L$3*365.25)),Data!#REF!&lt;=(TODAY()-(Data_Val!$L$2*365.25))),0,1),1))</f>
        <v>#REF!</v>
      </c>
      <c r="AM571" s="17" t="e">
        <f>IF(Data!#REF!="","",IF(Data!$G571="",1,IF(ISNUMBER(MATCH(Data!#REF!,Data_Val!$D$2:$D$10,0)),0,1)))</f>
        <v>#REF!</v>
      </c>
      <c r="AN571" s="13"/>
      <c r="AO571" s="28" t="e">
        <f ca="1">IF(Data!#REF!="","",IF(ISNUMBER(Data!#REF!),IF(AND(Data!#REF!&gt;(TODAY()-(Data_Val!$I$3*365.25)),Data!#REF!&lt;=(TODAY()-(Data_Val!$I$2*365.25))),0,1),1))</f>
        <v>#REF!</v>
      </c>
      <c r="AP571" s="13" t="e">
        <f>IF(Data!#REF!="","",IF(Data!$G571="",1,IF(ISNUMBER(MATCH(Data!#REF!,Data_Val!$D$2:$D$10,0)),0,1)))</f>
        <v>#REF!</v>
      </c>
      <c r="AQ571" s="17"/>
      <c r="AR571" s="30" t="e">
        <f ca="1">IF(Data!#REF!="","",IF(ISNUMBER(Data!#REF!),IF(AND(Data!#REF!&gt;(TODAY()-(Data_Val!$I$3*365.25)),Data!#REF!&lt;=(TODAY()-(Data_Val!$I$2*365.25))),0,1),1))</f>
        <v>#REF!</v>
      </c>
      <c r="AS571" s="31" t="e">
        <f>IF(Data!#REF!="","",IF(Data!$G571="",1,IF(ISNUMBER(MATCH(Data!#REF!,Data_Val!$D$2:$D$10,0)),0,1)))</f>
        <v>#REF!</v>
      </c>
      <c r="AT571" s="11"/>
      <c r="AU571" s="11" t="e">
        <f ca="1">IF(Data!#REF!="","",IF(ISNUMBER(Data!#REF!),IF(AND(Data!#REF!&gt;(TODAY()-(Data_Val!$I$3*365.25)),Data!#REF!&lt;=(TODAY()-(Data_Val!$I$2*365.25))),0,1),1))</f>
        <v>#REF!</v>
      </c>
      <c r="AV571" s="11" t="e">
        <f>IF(Data!#REF!="","",IF(Data!$G571="",1,IF(ISNUMBER(MATCH(Data!#REF!,Data_Val!$D$2:$D$10,0)),0,1)))</f>
        <v>#REF!</v>
      </c>
      <c r="AW571" s="12"/>
      <c r="AX571" s="26" t="e">
        <f ca="1">IF(Data!#REF!="","",IF(ISNUMBER(Data!#REF!),IF(AND(Data!#REF!&gt;(TODAY()-(Data_Val!$I$3*365.25)),Data!#REF!&lt;=(TODAY()-(Data_Val!$I$2*365.25))),0,1),1))</f>
        <v>#REF!</v>
      </c>
      <c r="AY571" s="12" t="e">
        <f>IF(Data!#REF!="","",IF(Data!$G571="",1,IF(ISNUMBER(MATCH(Data!#REF!,Data_Val!$D$2:$D$10,0)),0,1)))</f>
        <v>#REF!</v>
      </c>
      <c r="AZ571" s="11"/>
      <c r="BA571" s="19" t="e">
        <f ca="1">IF(Data!#REF!="","",IF(ISNUMBER(Data!#REF!),IF(AND(Data!#REF!&gt;(TODAY()-(Data_Val!$M$3*365.25)),Data!#REF!&lt;=(TODAY()-(Data_Val!$M$2*365.25))),0,1),1))</f>
        <v>#REF!</v>
      </c>
      <c r="BB571" s="11" t="e">
        <f>IF(Data!#REF!="","",IF(Data!$G571="",1,IF(ISNUMBER(MATCH(Data!#REF!,Data_Val!$D$2:$D$10,0)),0,1)))</f>
        <v>#REF!</v>
      </c>
      <c r="BC571" s="12"/>
      <c r="BD571" s="20" t="e">
        <f ca="1">IF(Data!#REF!="","",IF(ISNUMBER(Data!#REF!),IF(AND(Data!#REF!&gt;(TODAY()-(Data_Val!$M$3*365.25)),Data!#REF!&lt;=(TODAY()-(Data_Val!$M$2*365.25))),0,1),1))</f>
        <v>#REF!</v>
      </c>
      <c r="BE571" s="12" t="e">
        <f>IF(Data!#REF!="","",IF(Data!$G571="",1,IF(ISNUMBER(MATCH(Data!#REF!,Data_Val!$D$2:$D$10,0)),0,1)))</f>
        <v>#REF!</v>
      </c>
      <c r="BF571" s="17"/>
      <c r="BG571" s="18" t="e">
        <f ca="1">IF(Data!#REF!="","",IF(ISNUMBER(Data!#REF!),IF(AND(Data!#REF!&gt;(TODAY()-(Data_Val!$M$3*365.25)),Data!#REF!&lt;=(TODAY()-(Data_Val!$M$2*365.25))),0,1),1))</f>
        <v>#REF!</v>
      </c>
      <c r="BH571" s="29" t="e">
        <f>IF(Data!#REF!="","",IF(Data!$G571="",1,IF(ISNUMBER(MATCH(Data!#REF!,Data_Val!$D$2:$D$10,0)),0,1)))</f>
        <v>#REF!</v>
      </c>
      <c r="BI571" s="13"/>
      <c r="BJ571" s="21" t="e">
        <f ca="1">IF(Data!#REF!="","",IF(ISNUMBER(Data!#REF!),IF(AND(Data!#REF!&gt;(TODAY()-(Data_Val!$M$3*365.25)),Data!#REF!&lt;=(TODAY()-(Data_Val!$M$2*365.25))),0,1),1))</f>
        <v>#REF!</v>
      </c>
      <c r="BK571" s="13" t="e">
        <f>IF(Data!#REF!="","",IF(Data!$G571="",1,IF(ISNUMBER(MATCH(Data!#REF!,Data_Val!$D$2:$D$10,0)),0,1)))</f>
        <v>#REF!</v>
      </c>
    </row>
    <row r="572" spans="1:63" x14ac:dyDescent="0.25">
      <c r="A572" s="9" t="str">
        <f>IF(Data!B572="","",IF(COUNTIFS(Data!A$1:'Data'!A572,Data!A572)&lt;=1,0,1))</f>
        <v/>
      </c>
      <c r="B572" s="9"/>
      <c r="C572" s="23" t="str">
        <f>IF(Data!C572="","",(IF(ISNUMBER(MATCH("*@*.?*",Data!C572,0)),0,1)+IF(COUNTIFS(Data!C$1:'Data'!C572,Data!C572)&gt;1,1,0)))</f>
        <v/>
      </c>
      <c r="D572" s="9" t="str">
        <f>IF(Data!B572="","",IF(ISNUMBER(Data!D572),IF(AND(Data!D572&gt;999999999,Data!D572&lt;=9999999999),IF(COUNTIFS(Data!D$1:'Data'!D572,Data!D572)&lt;=1,0,1),1),1))</f>
        <v/>
      </c>
      <c r="E572" s="9" t="str">
        <f>IF(Data!B572="","",IF(ISNUMBER(MATCH(Data!E572,Data_Val!$A$2:$A$3,0)),0,1))</f>
        <v/>
      </c>
      <c r="F572" s="9" t="str">
        <f ca="1">IF(Data!B572="","",IF(ISNUMBER(Data!F572),IF(AND(Data!F572&gt;(TODAY()-(Data_Val!$H$3*365.25)),Data!F572&lt;=(TODAY()-(Data_Val!$H$2*365.25))),0,1),1))</f>
        <v/>
      </c>
      <c r="G572" s="15" t="str">
        <f>IF(Data!B572="","",IF(AND(Data!G572="",Data!H572&lt;&gt;""),1,IF(Data!#REF!&lt;&gt;"",0,IF(ISNUMBER(MATCH(Data!G572,Data_Val!$C$2:$C$5,0)),0,1))))</f>
        <v/>
      </c>
      <c r="H572" s="15" t="str">
        <f>IF(Data!B572="","",IF(AND(Data!G572&lt;&gt;"",Data!H572=""),1,IF(Data!#REF!&lt;&gt;"",0,IF(Data!G572="",1,IF(ISNUMBER(MATCH(Data!H572,Data_Val!$D$2:$D$35,0)),0,1)))))</f>
        <v/>
      </c>
      <c r="I572" s="15" t="str">
        <f>IF(Data!B572="","",IF(Data!G572&lt;&gt;"",0,IF(ISNUMBER(MATCH(Data!#REF!,Data_Val!$E$2:$E$12,0)),0,1)))</f>
        <v/>
      </c>
      <c r="J572" s="16" t="e">
        <f>IF(OR(Data!B572="",Data!#REF!=""),"",IF(Data!#REF!="",1,0))</f>
        <v>#REF!</v>
      </c>
      <c r="K572" s="16" t="e">
        <f>IF(OR(Data!B572="",Data!#REF!=""),"",IF(Data!#REF!="",1,0))</f>
        <v>#REF!</v>
      </c>
      <c r="L572" s="16" t="e">
        <f>IF(OR(Data!B572="",Data!#REF!=""),"",IF(ISNUMBER(Data!#REF!),IF(AND(Data!#REF!&gt;Data_Val!$G$2,Data!#REF!&lt;=Data_Val!$G$3),0,1),1))</f>
        <v>#REF!</v>
      </c>
      <c r="M572" s="9" t="e">
        <f>IF(OR(Data!B572="",Data!#REF!=""),"",IF(ISNUMBER(MATCH(Data!#REF!,Data_Val!$F$1:$F$38,0)),0,1))</f>
        <v>#REF!</v>
      </c>
      <c r="N572" s="9" t="e">
        <f>IF(OR(Data!B572="",Data!#REF!=""),"",IF(Data!#REF!="",1,0))</f>
        <v>#REF!</v>
      </c>
      <c r="O572" s="17" t="e">
        <f>IF(Data!#REF!="","",IF(Data!#REF!="",1,0))</f>
        <v>#REF!</v>
      </c>
      <c r="P572" s="17" t="e">
        <f>IF(Data!#REF!="","",IF(ISNUMBER(MATCH(Data!#REF!,Data_Val!$A$2:$A$3,0)),0,1))</f>
        <v>#REF!</v>
      </c>
      <c r="Q572" s="25" t="e">
        <f ca="1">IF(Data!#REF!="","",IF(ISNUMBER(Data!#REF!),IF(AND(Data!#REF!&gt;(TODAY()-(Data_Val!$J$3*365.25)),Data!#REF!&lt;=(TODAY()-(Data_Val!$J$2*365.25))),0,1),1))</f>
        <v>#REF!</v>
      </c>
      <c r="R572" s="17" t="e">
        <f>IF(Data!#REF!="","",IF(ISNUMBER(MATCH(Data!#REF!,Data_Val!$B$2:$B$15,0)),0,1))</f>
        <v>#REF!</v>
      </c>
      <c r="S572" s="11" t="str">
        <f>IF(Data!G572="","",IF(Data!G572=Data_Val!$C$2,IF(Data!M572="",0,1),0))</f>
        <v/>
      </c>
      <c r="T572" s="11" t="str">
        <f>IF(Data!M572="","",IF(ISNUMBER(MATCH(Data!N572,Data_Val!$A$2:$A$3,0)),0,1))</f>
        <v/>
      </c>
      <c r="U572" s="11" t="str">
        <f ca="1">IF(Data!M572="","",IF(ISNUMBER(Data!O572),IF(AND(Data!O572&gt;(TODAY()-(Data_Val!$K$3*365.25)),Data!O572&lt;=(TODAY()-(Data_Val!$K$2*365.25))),0,1),1))</f>
        <v/>
      </c>
      <c r="V572" s="12" t="str">
        <f>IF(Data!G572="","",IF(Data!G572=Data_Val!$C$2,IF(Data!P572="",0,1),0))</f>
        <v/>
      </c>
      <c r="W572" s="12" t="str">
        <f>IF(Data!P572="","",IF(ISNUMBER(MATCH(Data!Q572,Data_Val!$A$2:$A$3,0)),0,1))</f>
        <v/>
      </c>
      <c r="X572" s="26" t="str">
        <f ca="1">IF(Data!P572="","",IF(ISNUMBER(Data!R572),IF(AND(Data!R572&gt;(TODAY()-(Data_Val!$L$3*365.25)),Data!R572&lt;=(TODAY()-(Data_Val!$L$2*365.25))),0,1),1))</f>
        <v/>
      </c>
      <c r="Y572" s="13" t="str">
        <f>IF(Data!$G572="","",IF(Data!$G572=Data_Val!$C$2,IF(Data!S572="",0,1),0))</f>
        <v/>
      </c>
      <c r="Z572" s="13" t="str">
        <f>IF(Data!S572="","",IF(ISNUMBER(MATCH(Data!T572,Data_Val!$A$2:$A$3,0)),0,1))</f>
        <v/>
      </c>
      <c r="AA572" s="28" t="str">
        <f ca="1">IF(Data!S572="","",IF(ISNUMBER(Data!U572),IF(AND(Data!U572&gt;(TODAY()-(Data_Val!$L$3*365.25)),Data!U572&lt;=(TODAY()-(Data_Val!$L$2*365.25))),0,1),1))</f>
        <v/>
      </c>
      <c r="AB572" s="11"/>
      <c r="AC572" s="11" t="e">
        <f>IF(Data!#REF!="","",IF(ISNUMBER(MATCH(Data!#REF!,Data_Val!$A$2:$A$3,0)),0,1))</f>
        <v>#REF!</v>
      </c>
      <c r="AD572" s="11" t="e">
        <f ca="1">IF(Data!#REF!="","",IF(ISNUMBER(Data!#REF!),IF(AND(Data!#REF!&gt;(TODAY()-(Data_Val!$L$3*365.25)),Data!#REF!&lt;=(TODAY()-(Data_Val!$L$2*365.25))),0,1),1))</f>
        <v>#REF!</v>
      </c>
      <c r="AE572" s="11" t="e">
        <f>IF(Data!#REF!="","",IF(Data!$G572="",1,IF(ISNUMBER(MATCH(Data!#REF!,Data_Val!$D$2:$D$10,0)),0,1)))</f>
        <v>#REF!</v>
      </c>
      <c r="AF572" s="12"/>
      <c r="AG572" s="12" t="e">
        <f>IF(Data!#REF!="","",IF(ISNUMBER(MATCH(Data!#REF!,Data_Val!$A$2:$A$3,0)),0,1))</f>
        <v>#REF!</v>
      </c>
      <c r="AH572" s="26" t="e">
        <f ca="1">IF(Data!#REF!="","",IF(ISNUMBER(Data!#REF!),IF(AND(Data!#REF!&gt;(TODAY()-(Data_Val!$L$3*365.25)),Data!#REF!&lt;=(TODAY()-(Data_Val!$L$2*365.25))),0,1),1))</f>
        <v>#REF!</v>
      </c>
      <c r="AI572" s="12" t="e">
        <f>IF(Data!#REF!="","",IF(Data!$G572="",1,IF(ISNUMBER(MATCH(Data!#REF!,Data_Val!$D$2:$D$10,0)),0,1)))</f>
        <v>#REF!</v>
      </c>
      <c r="AJ572" s="17"/>
      <c r="AK572" s="17" t="e">
        <f>IF(Data!#REF!="","",IF(ISNUMBER(MATCH(Data!#REF!,Data_Val!$A$2:$A$3,0)),0,1))</f>
        <v>#REF!</v>
      </c>
      <c r="AL572" s="25" t="e">
        <f ca="1">IF(Data!#REF!="","",IF(ISNUMBER(Data!#REF!),IF(AND(Data!#REF!&gt;(TODAY()-(Data_Val!$L$3*365.25)),Data!#REF!&lt;=(TODAY()-(Data_Val!$L$2*365.25))),0,1),1))</f>
        <v>#REF!</v>
      </c>
      <c r="AM572" s="17" t="e">
        <f>IF(Data!#REF!="","",IF(Data!$G572="",1,IF(ISNUMBER(MATCH(Data!#REF!,Data_Val!$D$2:$D$10,0)),0,1)))</f>
        <v>#REF!</v>
      </c>
      <c r="AN572" s="13"/>
      <c r="AO572" s="28" t="e">
        <f ca="1">IF(Data!#REF!="","",IF(ISNUMBER(Data!#REF!),IF(AND(Data!#REF!&gt;(TODAY()-(Data_Val!$I$3*365.25)),Data!#REF!&lt;=(TODAY()-(Data_Val!$I$2*365.25))),0,1),1))</f>
        <v>#REF!</v>
      </c>
      <c r="AP572" s="13" t="e">
        <f>IF(Data!#REF!="","",IF(Data!$G572="",1,IF(ISNUMBER(MATCH(Data!#REF!,Data_Val!$D$2:$D$10,0)),0,1)))</f>
        <v>#REF!</v>
      </c>
      <c r="AQ572" s="17"/>
      <c r="AR572" s="30" t="e">
        <f ca="1">IF(Data!#REF!="","",IF(ISNUMBER(Data!#REF!),IF(AND(Data!#REF!&gt;(TODAY()-(Data_Val!$I$3*365.25)),Data!#REF!&lt;=(TODAY()-(Data_Val!$I$2*365.25))),0,1),1))</f>
        <v>#REF!</v>
      </c>
      <c r="AS572" s="31" t="e">
        <f>IF(Data!#REF!="","",IF(Data!$G572="",1,IF(ISNUMBER(MATCH(Data!#REF!,Data_Val!$D$2:$D$10,0)),0,1)))</f>
        <v>#REF!</v>
      </c>
      <c r="AT572" s="11"/>
      <c r="AU572" s="11" t="e">
        <f ca="1">IF(Data!#REF!="","",IF(ISNUMBER(Data!#REF!),IF(AND(Data!#REF!&gt;(TODAY()-(Data_Val!$I$3*365.25)),Data!#REF!&lt;=(TODAY()-(Data_Val!$I$2*365.25))),0,1),1))</f>
        <v>#REF!</v>
      </c>
      <c r="AV572" s="11" t="e">
        <f>IF(Data!#REF!="","",IF(Data!$G572="",1,IF(ISNUMBER(MATCH(Data!#REF!,Data_Val!$D$2:$D$10,0)),0,1)))</f>
        <v>#REF!</v>
      </c>
      <c r="AW572" s="12"/>
      <c r="AX572" s="26" t="e">
        <f ca="1">IF(Data!#REF!="","",IF(ISNUMBER(Data!#REF!),IF(AND(Data!#REF!&gt;(TODAY()-(Data_Val!$I$3*365.25)),Data!#REF!&lt;=(TODAY()-(Data_Val!$I$2*365.25))),0,1),1))</f>
        <v>#REF!</v>
      </c>
      <c r="AY572" s="12" t="e">
        <f>IF(Data!#REF!="","",IF(Data!$G572="",1,IF(ISNUMBER(MATCH(Data!#REF!,Data_Val!$D$2:$D$10,0)),0,1)))</f>
        <v>#REF!</v>
      </c>
      <c r="AZ572" s="11"/>
      <c r="BA572" s="19" t="e">
        <f ca="1">IF(Data!#REF!="","",IF(ISNUMBER(Data!#REF!),IF(AND(Data!#REF!&gt;(TODAY()-(Data_Val!$M$3*365.25)),Data!#REF!&lt;=(TODAY()-(Data_Val!$M$2*365.25))),0,1),1))</f>
        <v>#REF!</v>
      </c>
      <c r="BB572" s="11" t="e">
        <f>IF(Data!#REF!="","",IF(Data!$G572="",1,IF(ISNUMBER(MATCH(Data!#REF!,Data_Val!$D$2:$D$10,0)),0,1)))</f>
        <v>#REF!</v>
      </c>
      <c r="BC572" s="12"/>
      <c r="BD572" s="20" t="e">
        <f ca="1">IF(Data!#REF!="","",IF(ISNUMBER(Data!#REF!),IF(AND(Data!#REF!&gt;(TODAY()-(Data_Val!$M$3*365.25)),Data!#REF!&lt;=(TODAY()-(Data_Val!$M$2*365.25))),0,1),1))</f>
        <v>#REF!</v>
      </c>
      <c r="BE572" s="12" t="e">
        <f>IF(Data!#REF!="","",IF(Data!$G572="",1,IF(ISNUMBER(MATCH(Data!#REF!,Data_Val!$D$2:$D$10,0)),0,1)))</f>
        <v>#REF!</v>
      </c>
      <c r="BF572" s="17"/>
      <c r="BG572" s="18" t="e">
        <f ca="1">IF(Data!#REF!="","",IF(ISNUMBER(Data!#REF!),IF(AND(Data!#REF!&gt;(TODAY()-(Data_Val!$M$3*365.25)),Data!#REF!&lt;=(TODAY()-(Data_Val!$M$2*365.25))),0,1),1))</f>
        <v>#REF!</v>
      </c>
      <c r="BH572" s="29" t="e">
        <f>IF(Data!#REF!="","",IF(Data!$G572="",1,IF(ISNUMBER(MATCH(Data!#REF!,Data_Val!$D$2:$D$10,0)),0,1)))</f>
        <v>#REF!</v>
      </c>
      <c r="BI572" s="13"/>
      <c r="BJ572" s="21" t="e">
        <f ca="1">IF(Data!#REF!="","",IF(ISNUMBER(Data!#REF!),IF(AND(Data!#REF!&gt;(TODAY()-(Data_Val!$M$3*365.25)),Data!#REF!&lt;=(TODAY()-(Data_Val!$M$2*365.25))),0,1),1))</f>
        <v>#REF!</v>
      </c>
      <c r="BK572" s="13" t="e">
        <f>IF(Data!#REF!="","",IF(Data!$G572="",1,IF(ISNUMBER(MATCH(Data!#REF!,Data_Val!$D$2:$D$10,0)),0,1)))</f>
        <v>#REF!</v>
      </c>
    </row>
    <row r="573" spans="1:63" x14ac:dyDescent="0.25">
      <c r="A573" s="9" t="str">
        <f>IF(Data!B573="","",IF(COUNTIFS(Data!A$1:'Data'!A573,Data!A573)&lt;=1,0,1))</f>
        <v/>
      </c>
      <c r="B573" s="9"/>
      <c r="C573" s="23" t="str">
        <f>IF(Data!C573="","",(IF(ISNUMBER(MATCH("*@*.?*",Data!C573,0)),0,1)+IF(COUNTIFS(Data!C$1:'Data'!C573,Data!C573)&gt;1,1,0)))</f>
        <v/>
      </c>
      <c r="D573" s="9" t="str">
        <f>IF(Data!B573="","",IF(ISNUMBER(Data!D573),IF(AND(Data!D573&gt;999999999,Data!D573&lt;=9999999999),IF(COUNTIFS(Data!D$1:'Data'!D573,Data!D573)&lt;=1,0,1),1),1))</f>
        <v/>
      </c>
      <c r="E573" s="9" t="str">
        <f>IF(Data!B573="","",IF(ISNUMBER(MATCH(Data!E573,Data_Val!$A$2:$A$3,0)),0,1))</f>
        <v/>
      </c>
      <c r="F573" s="9" t="str">
        <f ca="1">IF(Data!B573="","",IF(ISNUMBER(Data!F573),IF(AND(Data!F573&gt;(TODAY()-(Data_Val!$H$3*365.25)),Data!F573&lt;=(TODAY()-(Data_Val!$H$2*365.25))),0,1),1))</f>
        <v/>
      </c>
      <c r="G573" s="15" t="str">
        <f>IF(Data!B573="","",IF(AND(Data!G573="",Data!H573&lt;&gt;""),1,IF(Data!#REF!&lt;&gt;"",0,IF(ISNUMBER(MATCH(Data!G573,Data_Val!$C$2:$C$5,0)),0,1))))</f>
        <v/>
      </c>
      <c r="H573" s="15" t="str">
        <f>IF(Data!B573="","",IF(AND(Data!G573&lt;&gt;"",Data!H573=""),1,IF(Data!#REF!&lt;&gt;"",0,IF(Data!G573="",1,IF(ISNUMBER(MATCH(Data!H573,Data_Val!$D$2:$D$35,0)),0,1)))))</f>
        <v/>
      </c>
      <c r="I573" s="15" t="str">
        <f>IF(Data!B573="","",IF(Data!G573&lt;&gt;"",0,IF(ISNUMBER(MATCH(Data!#REF!,Data_Val!$E$2:$E$12,0)),0,1)))</f>
        <v/>
      </c>
      <c r="J573" s="16" t="e">
        <f>IF(OR(Data!B573="",Data!#REF!=""),"",IF(Data!#REF!="",1,0))</f>
        <v>#REF!</v>
      </c>
      <c r="K573" s="16" t="e">
        <f>IF(OR(Data!B573="",Data!#REF!=""),"",IF(Data!#REF!="",1,0))</f>
        <v>#REF!</v>
      </c>
      <c r="L573" s="16" t="e">
        <f>IF(OR(Data!B573="",Data!#REF!=""),"",IF(ISNUMBER(Data!#REF!),IF(AND(Data!#REF!&gt;Data_Val!$G$2,Data!#REF!&lt;=Data_Val!$G$3),0,1),1))</f>
        <v>#REF!</v>
      </c>
      <c r="M573" s="9" t="e">
        <f>IF(OR(Data!B573="",Data!#REF!=""),"",IF(ISNUMBER(MATCH(Data!#REF!,Data_Val!$F$1:$F$38,0)),0,1))</f>
        <v>#REF!</v>
      </c>
      <c r="N573" s="9" t="e">
        <f>IF(OR(Data!B573="",Data!#REF!=""),"",IF(Data!#REF!="",1,0))</f>
        <v>#REF!</v>
      </c>
      <c r="O573" s="17" t="e">
        <f>IF(Data!#REF!="","",IF(Data!#REF!="",1,0))</f>
        <v>#REF!</v>
      </c>
      <c r="P573" s="17" t="e">
        <f>IF(Data!#REF!="","",IF(ISNUMBER(MATCH(Data!#REF!,Data_Val!$A$2:$A$3,0)),0,1))</f>
        <v>#REF!</v>
      </c>
      <c r="Q573" s="25" t="e">
        <f ca="1">IF(Data!#REF!="","",IF(ISNUMBER(Data!#REF!),IF(AND(Data!#REF!&gt;(TODAY()-(Data_Val!$J$3*365.25)),Data!#REF!&lt;=(TODAY()-(Data_Val!$J$2*365.25))),0,1),1))</f>
        <v>#REF!</v>
      </c>
      <c r="R573" s="17" t="e">
        <f>IF(Data!#REF!="","",IF(ISNUMBER(MATCH(Data!#REF!,Data_Val!$B$2:$B$15,0)),0,1))</f>
        <v>#REF!</v>
      </c>
      <c r="S573" s="11" t="str">
        <f>IF(Data!G573="","",IF(Data!G573=Data_Val!$C$2,IF(Data!M573="",0,1),0))</f>
        <v/>
      </c>
      <c r="T573" s="11" t="str">
        <f>IF(Data!M573="","",IF(ISNUMBER(MATCH(Data!N573,Data_Val!$A$2:$A$3,0)),0,1))</f>
        <v/>
      </c>
      <c r="U573" s="11" t="str">
        <f ca="1">IF(Data!M573="","",IF(ISNUMBER(Data!O573),IF(AND(Data!O573&gt;(TODAY()-(Data_Val!$K$3*365.25)),Data!O573&lt;=(TODAY()-(Data_Val!$K$2*365.25))),0,1),1))</f>
        <v/>
      </c>
      <c r="V573" s="12" t="str">
        <f>IF(Data!G573="","",IF(Data!G573=Data_Val!$C$2,IF(Data!P573="",0,1),0))</f>
        <v/>
      </c>
      <c r="W573" s="12" t="str">
        <f>IF(Data!P573="","",IF(ISNUMBER(MATCH(Data!Q573,Data_Val!$A$2:$A$3,0)),0,1))</f>
        <v/>
      </c>
      <c r="X573" s="26" t="str">
        <f ca="1">IF(Data!P573="","",IF(ISNUMBER(Data!R573),IF(AND(Data!R573&gt;(TODAY()-(Data_Val!$L$3*365.25)),Data!R573&lt;=(TODAY()-(Data_Val!$L$2*365.25))),0,1),1))</f>
        <v/>
      </c>
      <c r="Y573" s="13" t="str">
        <f>IF(Data!$G573="","",IF(Data!$G573=Data_Val!$C$2,IF(Data!S573="",0,1),0))</f>
        <v/>
      </c>
      <c r="Z573" s="13" t="str">
        <f>IF(Data!S573="","",IF(ISNUMBER(MATCH(Data!T573,Data_Val!$A$2:$A$3,0)),0,1))</f>
        <v/>
      </c>
      <c r="AA573" s="28" t="str">
        <f ca="1">IF(Data!S573="","",IF(ISNUMBER(Data!U573),IF(AND(Data!U573&gt;(TODAY()-(Data_Val!$L$3*365.25)),Data!U573&lt;=(TODAY()-(Data_Val!$L$2*365.25))),0,1),1))</f>
        <v/>
      </c>
      <c r="AB573" s="11"/>
      <c r="AC573" s="11" t="e">
        <f>IF(Data!#REF!="","",IF(ISNUMBER(MATCH(Data!#REF!,Data_Val!$A$2:$A$3,0)),0,1))</f>
        <v>#REF!</v>
      </c>
      <c r="AD573" s="11" t="e">
        <f ca="1">IF(Data!#REF!="","",IF(ISNUMBER(Data!#REF!),IF(AND(Data!#REF!&gt;(TODAY()-(Data_Val!$L$3*365.25)),Data!#REF!&lt;=(TODAY()-(Data_Val!$L$2*365.25))),0,1),1))</f>
        <v>#REF!</v>
      </c>
      <c r="AE573" s="11" t="e">
        <f>IF(Data!#REF!="","",IF(Data!$G573="",1,IF(ISNUMBER(MATCH(Data!#REF!,Data_Val!$D$2:$D$10,0)),0,1)))</f>
        <v>#REF!</v>
      </c>
      <c r="AF573" s="12"/>
      <c r="AG573" s="12" t="e">
        <f>IF(Data!#REF!="","",IF(ISNUMBER(MATCH(Data!#REF!,Data_Val!$A$2:$A$3,0)),0,1))</f>
        <v>#REF!</v>
      </c>
      <c r="AH573" s="26" t="e">
        <f ca="1">IF(Data!#REF!="","",IF(ISNUMBER(Data!#REF!),IF(AND(Data!#REF!&gt;(TODAY()-(Data_Val!$L$3*365.25)),Data!#REF!&lt;=(TODAY()-(Data_Val!$L$2*365.25))),0,1),1))</f>
        <v>#REF!</v>
      </c>
      <c r="AI573" s="12" t="e">
        <f>IF(Data!#REF!="","",IF(Data!$G573="",1,IF(ISNUMBER(MATCH(Data!#REF!,Data_Val!$D$2:$D$10,0)),0,1)))</f>
        <v>#REF!</v>
      </c>
      <c r="AJ573" s="17"/>
      <c r="AK573" s="17" t="e">
        <f>IF(Data!#REF!="","",IF(ISNUMBER(MATCH(Data!#REF!,Data_Val!$A$2:$A$3,0)),0,1))</f>
        <v>#REF!</v>
      </c>
      <c r="AL573" s="25" t="e">
        <f ca="1">IF(Data!#REF!="","",IF(ISNUMBER(Data!#REF!),IF(AND(Data!#REF!&gt;(TODAY()-(Data_Val!$L$3*365.25)),Data!#REF!&lt;=(TODAY()-(Data_Val!$L$2*365.25))),0,1),1))</f>
        <v>#REF!</v>
      </c>
      <c r="AM573" s="17" t="e">
        <f>IF(Data!#REF!="","",IF(Data!$G573="",1,IF(ISNUMBER(MATCH(Data!#REF!,Data_Val!$D$2:$D$10,0)),0,1)))</f>
        <v>#REF!</v>
      </c>
      <c r="AN573" s="13"/>
      <c r="AO573" s="28" t="e">
        <f ca="1">IF(Data!#REF!="","",IF(ISNUMBER(Data!#REF!),IF(AND(Data!#REF!&gt;(TODAY()-(Data_Val!$I$3*365.25)),Data!#REF!&lt;=(TODAY()-(Data_Val!$I$2*365.25))),0,1),1))</f>
        <v>#REF!</v>
      </c>
      <c r="AP573" s="13" t="e">
        <f>IF(Data!#REF!="","",IF(Data!$G573="",1,IF(ISNUMBER(MATCH(Data!#REF!,Data_Val!$D$2:$D$10,0)),0,1)))</f>
        <v>#REF!</v>
      </c>
      <c r="AQ573" s="17"/>
      <c r="AR573" s="30" t="e">
        <f ca="1">IF(Data!#REF!="","",IF(ISNUMBER(Data!#REF!),IF(AND(Data!#REF!&gt;(TODAY()-(Data_Val!$I$3*365.25)),Data!#REF!&lt;=(TODAY()-(Data_Val!$I$2*365.25))),0,1),1))</f>
        <v>#REF!</v>
      </c>
      <c r="AS573" s="31" t="e">
        <f>IF(Data!#REF!="","",IF(Data!$G573="",1,IF(ISNUMBER(MATCH(Data!#REF!,Data_Val!$D$2:$D$10,0)),0,1)))</f>
        <v>#REF!</v>
      </c>
      <c r="AT573" s="11"/>
      <c r="AU573" s="11" t="e">
        <f ca="1">IF(Data!#REF!="","",IF(ISNUMBER(Data!#REF!),IF(AND(Data!#REF!&gt;(TODAY()-(Data_Val!$I$3*365.25)),Data!#REF!&lt;=(TODAY()-(Data_Val!$I$2*365.25))),0,1),1))</f>
        <v>#REF!</v>
      </c>
      <c r="AV573" s="11" t="e">
        <f>IF(Data!#REF!="","",IF(Data!$G573="",1,IF(ISNUMBER(MATCH(Data!#REF!,Data_Val!$D$2:$D$10,0)),0,1)))</f>
        <v>#REF!</v>
      </c>
      <c r="AW573" s="12"/>
      <c r="AX573" s="26" t="e">
        <f ca="1">IF(Data!#REF!="","",IF(ISNUMBER(Data!#REF!),IF(AND(Data!#REF!&gt;(TODAY()-(Data_Val!$I$3*365.25)),Data!#REF!&lt;=(TODAY()-(Data_Val!$I$2*365.25))),0,1),1))</f>
        <v>#REF!</v>
      </c>
      <c r="AY573" s="12" t="e">
        <f>IF(Data!#REF!="","",IF(Data!$G573="",1,IF(ISNUMBER(MATCH(Data!#REF!,Data_Val!$D$2:$D$10,0)),0,1)))</f>
        <v>#REF!</v>
      </c>
      <c r="AZ573" s="11"/>
      <c r="BA573" s="19" t="e">
        <f ca="1">IF(Data!#REF!="","",IF(ISNUMBER(Data!#REF!),IF(AND(Data!#REF!&gt;(TODAY()-(Data_Val!$M$3*365.25)),Data!#REF!&lt;=(TODAY()-(Data_Val!$M$2*365.25))),0,1),1))</f>
        <v>#REF!</v>
      </c>
      <c r="BB573" s="11" t="e">
        <f>IF(Data!#REF!="","",IF(Data!$G573="",1,IF(ISNUMBER(MATCH(Data!#REF!,Data_Val!$D$2:$D$10,0)),0,1)))</f>
        <v>#REF!</v>
      </c>
      <c r="BC573" s="12"/>
      <c r="BD573" s="20" t="e">
        <f ca="1">IF(Data!#REF!="","",IF(ISNUMBER(Data!#REF!),IF(AND(Data!#REF!&gt;(TODAY()-(Data_Val!$M$3*365.25)),Data!#REF!&lt;=(TODAY()-(Data_Val!$M$2*365.25))),0,1),1))</f>
        <v>#REF!</v>
      </c>
      <c r="BE573" s="12" t="e">
        <f>IF(Data!#REF!="","",IF(Data!$G573="",1,IF(ISNUMBER(MATCH(Data!#REF!,Data_Val!$D$2:$D$10,0)),0,1)))</f>
        <v>#REF!</v>
      </c>
      <c r="BF573" s="17"/>
      <c r="BG573" s="18" t="e">
        <f ca="1">IF(Data!#REF!="","",IF(ISNUMBER(Data!#REF!),IF(AND(Data!#REF!&gt;(TODAY()-(Data_Val!$M$3*365.25)),Data!#REF!&lt;=(TODAY()-(Data_Val!$M$2*365.25))),0,1),1))</f>
        <v>#REF!</v>
      </c>
      <c r="BH573" s="29" t="e">
        <f>IF(Data!#REF!="","",IF(Data!$G573="",1,IF(ISNUMBER(MATCH(Data!#REF!,Data_Val!$D$2:$D$10,0)),0,1)))</f>
        <v>#REF!</v>
      </c>
      <c r="BI573" s="13"/>
      <c r="BJ573" s="21" t="e">
        <f ca="1">IF(Data!#REF!="","",IF(ISNUMBER(Data!#REF!),IF(AND(Data!#REF!&gt;(TODAY()-(Data_Val!$M$3*365.25)),Data!#REF!&lt;=(TODAY()-(Data_Val!$M$2*365.25))),0,1),1))</f>
        <v>#REF!</v>
      </c>
      <c r="BK573" s="13" t="e">
        <f>IF(Data!#REF!="","",IF(Data!$G573="",1,IF(ISNUMBER(MATCH(Data!#REF!,Data_Val!$D$2:$D$10,0)),0,1)))</f>
        <v>#REF!</v>
      </c>
    </row>
    <row r="574" spans="1:63" x14ac:dyDescent="0.25">
      <c r="A574" s="9" t="str">
        <f>IF(Data!B574="","",IF(COUNTIFS(Data!A$1:'Data'!A574,Data!A574)&lt;=1,0,1))</f>
        <v/>
      </c>
      <c r="B574" s="9"/>
      <c r="C574" s="23" t="str">
        <f>IF(Data!C574="","",(IF(ISNUMBER(MATCH("*@*.?*",Data!C574,0)),0,1)+IF(COUNTIFS(Data!C$1:'Data'!C574,Data!C574)&gt;1,1,0)))</f>
        <v/>
      </c>
      <c r="D574" s="9" t="str">
        <f>IF(Data!B574="","",IF(ISNUMBER(Data!D574),IF(AND(Data!D574&gt;999999999,Data!D574&lt;=9999999999),IF(COUNTIFS(Data!D$1:'Data'!D574,Data!D574)&lt;=1,0,1),1),1))</f>
        <v/>
      </c>
      <c r="E574" s="9" t="str">
        <f>IF(Data!B574="","",IF(ISNUMBER(MATCH(Data!E574,Data_Val!$A$2:$A$3,0)),0,1))</f>
        <v/>
      </c>
      <c r="F574" s="9" t="str">
        <f ca="1">IF(Data!B574="","",IF(ISNUMBER(Data!F574),IF(AND(Data!F574&gt;(TODAY()-(Data_Val!$H$3*365.25)),Data!F574&lt;=(TODAY()-(Data_Val!$H$2*365.25))),0,1),1))</f>
        <v/>
      </c>
      <c r="G574" s="15" t="str">
        <f>IF(Data!B574="","",IF(AND(Data!G574="",Data!H574&lt;&gt;""),1,IF(Data!#REF!&lt;&gt;"",0,IF(ISNUMBER(MATCH(Data!G574,Data_Val!$C$2:$C$5,0)),0,1))))</f>
        <v/>
      </c>
      <c r="H574" s="15" t="str">
        <f>IF(Data!B574="","",IF(AND(Data!G574&lt;&gt;"",Data!H574=""),1,IF(Data!#REF!&lt;&gt;"",0,IF(Data!G574="",1,IF(ISNUMBER(MATCH(Data!H574,Data_Val!$D$2:$D$35,0)),0,1)))))</f>
        <v/>
      </c>
      <c r="I574" s="15" t="str">
        <f>IF(Data!B574="","",IF(Data!G574&lt;&gt;"",0,IF(ISNUMBER(MATCH(Data!#REF!,Data_Val!$E$2:$E$12,0)),0,1)))</f>
        <v/>
      </c>
      <c r="J574" s="16" t="e">
        <f>IF(OR(Data!B574="",Data!#REF!=""),"",IF(Data!#REF!="",1,0))</f>
        <v>#REF!</v>
      </c>
      <c r="K574" s="16" t="e">
        <f>IF(OR(Data!B574="",Data!#REF!=""),"",IF(Data!#REF!="",1,0))</f>
        <v>#REF!</v>
      </c>
      <c r="L574" s="16" t="e">
        <f>IF(OR(Data!B574="",Data!#REF!=""),"",IF(ISNUMBER(Data!#REF!),IF(AND(Data!#REF!&gt;Data_Val!$G$2,Data!#REF!&lt;=Data_Val!$G$3),0,1),1))</f>
        <v>#REF!</v>
      </c>
      <c r="M574" s="9" t="e">
        <f>IF(OR(Data!B574="",Data!#REF!=""),"",IF(ISNUMBER(MATCH(Data!#REF!,Data_Val!$F$1:$F$38,0)),0,1))</f>
        <v>#REF!</v>
      </c>
      <c r="N574" s="9" t="e">
        <f>IF(OR(Data!B574="",Data!#REF!=""),"",IF(Data!#REF!="",1,0))</f>
        <v>#REF!</v>
      </c>
      <c r="O574" s="17" t="e">
        <f>IF(Data!#REF!="","",IF(Data!#REF!="",1,0))</f>
        <v>#REF!</v>
      </c>
      <c r="P574" s="17" t="e">
        <f>IF(Data!#REF!="","",IF(ISNUMBER(MATCH(Data!#REF!,Data_Val!$A$2:$A$3,0)),0,1))</f>
        <v>#REF!</v>
      </c>
      <c r="Q574" s="25" t="e">
        <f ca="1">IF(Data!#REF!="","",IF(ISNUMBER(Data!#REF!),IF(AND(Data!#REF!&gt;(TODAY()-(Data_Val!$J$3*365.25)),Data!#REF!&lt;=(TODAY()-(Data_Val!$J$2*365.25))),0,1),1))</f>
        <v>#REF!</v>
      </c>
      <c r="R574" s="17" t="e">
        <f>IF(Data!#REF!="","",IF(ISNUMBER(MATCH(Data!#REF!,Data_Val!$B$2:$B$15,0)),0,1))</f>
        <v>#REF!</v>
      </c>
      <c r="S574" s="11" t="str">
        <f>IF(Data!G574="","",IF(Data!G574=Data_Val!$C$2,IF(Data!M574="",0,1),0))</f>
        <v/>
      </c>
      <c r="T574" s="11" t="str">
        <f>IF(Data!M574="","",IF(ISNUMBER(MATCH(Data!N574,Data_Val!$A$2:$A$3,0)),0,1))</f>
        <v/>
      </c>
      <c r="U574" s="11" t="str">
        <f ca="1">IF(Data!M574="","",IF(ISNUMBER(Data!O574),IF(AND(Data!O574&gt;(TODAY()-(Data_Val!$K$3*365.25)),Data!O574&lt;=(TODAY()-(Data_Val!$K$2*365.25))),0,1),1))</f>
        <v/>
      </c>
      <c r="V574" s="12" t="str">
        <f>IF(Data!G574="","",IF(Data!G574=Data_Val!$C$2,IF(Data!P574="",0,1),0))</f>
        <v/>
      </c>
      <c r="W574" s="12" t="str">
        <f>IF(Data!P574="","",IF(ISNUMBER(MATCH(Data!Q574,Data_Val!$A$2:$A$3,0)),0,1))</f>
        <v/>
      </c>
      <c r="X574" s="26" t="str">
        <f ca="1">IF(Data!P574="","",IF(ISNUMBER(Data!R574),IF(AND(Data!R574&gt;(TODAY()-(Data_Val!$L$3*365.25)),Data!R574&lt;=(TODAY()-(Data_Val!$L$2*365.25))),0,1),1))</f>
        <v/>
      </c>
      <c r="Y574" s="13" t="str">
        <f>IF(Data!$G574="","",IF(Data!$G574=Data_Val!$C$2,IF(Data!S574="",0,1),0))</f>
        <v/>
      </c>
      <c r="Z574" s="13" t="str">
        <f>IF(Data!S574="","",IF(ISNUMBER(MATCH(Data!T574,Data_Val!$A$2:$A$3,0)),0,1))</f>
        <v/>
      </c>
      <c r="AA574" s="28" t="str">
        <f ca="1">IF(Data!S574="","",IF(ISNUMBER(Data!U574),IF(AND(Data!U574&gt;(TODAY()-(Data_Val!$L$3*365.25)),Data!U574&lt;=(TODAY()-(Data_Val!$L$2*365.25))),0,1),1))</f>
        <v/>
      </c>
      <c r="AB574" s="11"/>
      <c r="AC574" s="11" t="e">
        <f>IF(Data!#REF!="","",IF(ISNUMBER(MATCH(Data!#REF!,Data_Val!$A$2:$A$3,0)),0,1))</f>
        <v>#REF!</v>
      </c>
      <c r="AD574" s="11" t="e">
        <f ca="1">IF(Data!#REF!="","",IF(ISNUMBER(Data!#REF!),IF(AND(Data!#REF!&gt;(TODAY()-(Data_Val!$L$3*365.25)),Data!#REF!&lt;=(TODAY()-(Data_Val!$L$2*365.25))),0,1),1))</f>
        <v>#REF!</v>
      </c>
      <c r="AE574" s="11" t="e">
        <f>IF(Data!#REF!="","",IF(Data!$G574="",1,IF(ISNUMBER(MATCH(Data!#REF!,Data_Val!$D$2:$D$10,0)),0,1)))</f>
        <v>#REF!</v>
      </c>
      <c r="AF574" s="12"/>
      <c r="AG574" s="12" t="e">
        <f>IF(Data!#REF!="","",IF(ISNUMBER(MATCH(Data!#REF!,Data_Val!$A$2:$A$3,0)),0,1))</f>
        <v>#REF!</v>
      </c>
      <c r="AH574" s="26" t="e">
        <f ca="1">IF(Data!#REF!="","",IF(ISNUMBER(Data!#REF!),IF(AND(Data!#REF!&gt;(TODAY()-(Data_Val!$L$3*365.25)),Data!#REF!&lt;=(TODAY()-(Data_Val!$L$2*365.25))),0,1),1))</f>
        <v>#REF!</v>
      </c>
      <c r="AI574" s="12" t="e">
        <f>IF(Data!#REF!="","",IF(Data!$G574="",1,IF(ISNUMBER(MATCH(Data!#REF!,Data_Val!$D$2:$D$10,0)),0,1)))</f>
        <v>#REF!</v>
      </c>
      <c r="AJ574" s="17"/>
      <c r="AK574" s="17" t="e">
        <f>IF(Data!#REF!="","",IF(ISNUMBER(MATCH(Data!#REF!,Data_Val!$A$2:$A$3,0)),0,1))</f>
        <v>#REF!</v>
      </c>
      <c r="AL574" s="25" t="e">
        <f ca="1">IF(Data!#REF!="","",IF(ISNUMBER(Data!#REF!),IF(AND(Data!#REF!&gt;(TODAY()-(Data_Val!$L$3*365.25)),Data!#REF!&lt;=(TODAY()-(Data_Val!$L$2*365.25))),0,1),1))</f>
        <v>#REF!</v>
      </c>
      <c r="AM574" s="17" t="e">
        <f>IF(Data!#REF!="","",IF(Data!$G574="",1,IF(ISNUMBER(MATCH(Data!#REF!,Data_Val!$D$2:$D$10,0)),0,1)))</f>
        <v>#REF!</v>
      </c>
      <c r="AN574" s="13"/>
      <c r="AO574" s="28" t="e">
        <f ca="1">IF(Data!#REF!="","",IF(ISNUMBER(Data!#REF!),IF(AND(Data!#REF!&gt;(TODAY()-(Data_Val!$I$3*365.25)),Data!#REF!&lt;=(TODAY()-(Data_Val!$I$2*365.25))),0,1),1))</f>
        <v>#REF!</v>
      </c>
      <c r="AP574" s="13" t="e">
        <f>IF(Data!#REF!="","",IF(Data!$G574="",1,IF(ISNUMBER(MATCH(Data!#REF!,Data_Val!$D$2:$D$10,0)),0,1)))</f>
        <v>#REF!</v>
      </c>
      <c r="AQ574" s="17"/>
      <c r="AR574" s="30" t="e">
        <f ca="1">IF(Data!#REF!="","",IF(ISNUMBER(Data!#REF!),IF(AND(Data!#REF!&gt;(TODAY()-(Data_Val!$I$3*365.25)),Data!#REF!&lt;=(TODAY()-(Data_Val!$I$2*365.25))),0,1),1))</f>
        <v>#REF!</v>
      </c>
      <c r="AS574" s="31" t="e">
        <f>IF(Data!#REF!="","",IF(Data!$G574="",1,IF(ISNUMBER(MATCH(Data!#REF!,Data_Val!$D$2:$D$10,0)),0,1)))</f>
        <v>#REF!</v>
      </c>
      <c r="AT574" s="11"/>
      <c r="AU574" s="11" t="e">
        <f ca="1">IF(Data!#REF!="","",IF(ISNUMBER(Data!#REF!),IF(AND(Data!#REF!&gt;(TODAY()-(Data_Val!$I$3*365.25)),Data!#REF!&lt;=(TODAY()-(Data_Val!$I$2*365.25))),0,1),1))</f>
        <v>#REF!</v>
      </c>
      <c r="AV574" s="11" t="e">
        <f>IF(Data!#REF!="","",IF(Data!$G574="",1,IF(ISNUMBER(MATCH(Data!#REF!,Data_Val!$D$2:$D$10,0)),0,1)))</f>
        <v>#REF!</v>
      </c>
      <c r="AW574" s="12"/>
      <c r="AX574" s="26" t="e">
        <f ca="1">IF(Data!#REF!="","",IF(ISNUMBER(Data!#REF!),IF(AND(Data!#REF!&gt;(TODAY()-(Data_Val!$I$3*365.25)),Data!#REF!&lt;=(TODAY()-(Data_Val!$I$2*365.25))),0,1),1))</f>
        <v>#REF!</v>
      </c>
      <c r="AY574" s="12" t="e">
        <f>IF(Data!#REF!="","",IF(Data!$G574="",1,IF(ISNUMBER(MATCH(Data!#REF!,Data_Val!$D$2:$D$10,0)),0,1)))</f>
        <v>#REF!</v>
      </c>
      <c r="AZ574" s="11"/>
      <c r="BA574" s="19" t="e">
        <f ca="1">IF(Data!#REF!="","",IF(ISNUMBER(Data!#REF!),IF(AND(Data!#REF!&gt;(TODAY()-(Data_Val!$M$3*365.25)),Data!#REF!&lt;=(TODAY()-(Data_Val!$M$2*365.25))),0,1),1))</f>
        <v>#REF!</v>
      </c>
      <c r="BB574" s="11" t="e">
        <f>IF(Data!#REF!="","",IF(Data!$G574="",1,IF(ISNUMBER(MATCH(Data!#REF!,Data_Val!$D$2:$D$10,0)),0,1)))</f>
        <v>#REF!</v>
      </c>
      <c r="BC574" s="12"/>
      <c r="BD574" s="20" t="e">
        <f ca="1">IF(Data!#REF!="","",IF(ISNUMBER(Data!#REF!),IF(AND(Data!#REF!&gt;(TODAY()-(Data_Val!$M$3*365.25)),Data!#REF!&lt;=(TODAY()-(Data_Val!$M$2*365.25))),0,1),1))</f>
        <v>#REF!</v>
      </c>
      <c r="BE574" s="12" t="e">
        <f>IF(Data!#REF!="","",IF(Data!$G574="",1,IF(ISNUMBER(MATCH(Data!#REF!,Data_Val!$D$2:$D$10,0)),0,1)))</f>
        <v>#REF!</v>
      </c>
      <c r="BF574" s="17"/>
      <c r="BG574" s="18" t="e">
        <f ca="1">IF(Data!#REF!="","",IF(ISNUMBER(Data!#REF!),IF(AND(Data!#REF!&gt;(TODAY()-(Data_Val!$M$3*365.25)),Data!#REF!&lt;=(TODAY()-(Data_Val!$M$2*365.25))),0,1),1))</f>
        <v>#REF!</v>
      </c>
      <c r="BH574" s="29" t="e">
        <f>IF(Data!#REF!="","",IF(Data!$G574="",1,IF(ISNUMBER(MATCH(Data!#REF!,Data_Val!$D$2:$D$10,0)),0,1)))</f>
        <v>#REF!</v>
      </c>
      <c r="BI574" s="13"/>
      <c r="BJ574" s="21" t="e">
        <f ca="1">IF(Data!#REF!="","",IF(ISNUMBER(Data!#REF!),IF(AND(Data!#REF!&gt;(TODAY()-(Data_Val!$M$3*365.25)),Data!#REF!&lt;=(TODAY()-(Data_Val!$M$2*365.25))),0,1),1))</f>
        <v>#REF!</v>
      </c>
      <c r="BK574" s="13" t="e">
        <f>IF(Data!#REF!="","",IF(Data!$G574="",1,IF(ISNUMBER(MATCH(Data!#REF!,Data_Val!$D$2:$D$10,0)),0,1)))</f>
        <v>#REF!</v>
      </c>
    </row>
    <row r="575" spans="1:63" x14ac:dyDescent="0.25">
      <c r="A575" s="9" t="str">
        <f>IF(Data!B575="","",IF(COUNTIFS(Data!A$1:'Data'!A575,Data!A575)&lt;=1,0,1))</f>
        <v/>
      </c>
      <c r="B575" s="9"/>
      <c r="C575" s="23" t="str">
        <f>IF(Data!C575="","",(IF(ISNUMBER(MATCH("*@*.?*",Data!C575,0)),0,1)+IF(COUNTIFS(Data!C$1:'Data'!C575,Data!C575)&gt;1,1,0)))</f>
        <v/>
      </c>
      <c r="D575" s="9" t="str">
        <f>IF(Data!B575="","",IF(ISNUMBER(Data!D575),IF(AND(Data!D575&gt;999999999,Data!D575&lt;=9999999999),IF(COUNTIFS(Data!D$1:'Data'!D575,Data!D575)&lt;=1,0,1),1),1))</f>
        <v/>
      </c>
      <c r="E575" s="9" t="str">
        <f>IF(Data!B575="","",IF(ISNUMBER(MATCH(Data!E575,Data_Val!$A$2:$A$3,0)),0,1))</f>
        <v/>
      </c>
      <c r="F575" s="9" t="str">
        <f ca="1">IF(Data!B575="","",IF(ISNUMBER(Data!F575),IF(AND(Data!F575&gt;(TODAY()-(Data_Val!$H$3*365.25)),Data!F575&lt;=(TODAY()-(Data_Val!$H$2*365.25))),0,1),1))</f>
        <v/>
      </c>
      <c r="G575" s="15" t="str">
        <f>IF(Data!B575="","",IF(AND(Data!G575="",Data!H575&lt;&gt;""),1,IF(Data!#REF!&lt;&gt;"",0,IF(ISNUMBER(MATCH(Data!G575,Data_Val!$C$2:$C$5,0)),0,1))))</f>
        <v/>
      </c>
      <c r="H575" s="15" t="str">
        <f>IF(Data!B575="","",IF(AND(Data!G575&lt;&gt;"",Data!H575=""),1,IF(Data!#REF!&lt;&gt;"",0,IF(Data!G575="",1,IF(ISNUMBER(MATCH(Data!H575,Data_Val!$D$2:$D$35,0)),0,1)))))</f>
        <v/>
      </c>
      <c r="I575" s="15" t="str">
        <f>IF(Data!B575="","",IF(Data!G575&lt;&gt;"",0,IF(ISNUMBER(MATCH(Data!#REF!,Data_Val!$E$2:$E$12,0)),0,1)))</f>
        <v/>
      </c>
      <c r="J575" s="16" t="e">
        <f>IF(OR(Data!B575="",Data!#REF!=""),"",IF(Data!#REF!="",1,0))</f>
        <v>#REF!</v>
      </c>
      <c r="K575" s="16" t="e">
        <f>IF(OR(Data!B575="",Data!#REF!=""),"",IF(Data!#REF!="",1,0))</f>
        <v>#REF!</v>
      </c>
      <c r="L575" s="16" t="e">
        <f>IF(OR(Data!B575="",Data!#REF!=""),"",IF(ISNUMBER(Data!#REF!),IF(AND(Data!#REF!&gt;Data_Val!$G$2,Data!#REF!&lt;=Data_Val!$G$3),0,1),1))</f>
        <v>#REF!</v>
      </c>
      <c r="M575" s="9" t="e">
        <f>IF(OR(Data!B575="",Data!#REF!=""),"",IF(ISNUMBER(MATCH(Data!#REF!,Data_Val!$F$1:$F$38,0)),0,1))</f>
        <v>#REF!</v>
      </c>
      <c r="N575" s="9" t="e">
        <f>IF(OR(Data!B575="",Data!#REF!=""),"",IF(Data!#REF!="",1,0))</f>
        <v>#REF!</v>
      </c>
      <c r="O575" s="17" t="e">
        <f>IF(Data!#REF!="","",IF(Data!#REF!="",1,0))</f>
        <v>#REF!</v>
      </c>
      <c r="P575" s="17" t="e">
        <f>IF(Data!#REF!="","",IF(ISNUMBER(MATCH(Data!#REF!,Data_Val!$A$2:$A$3,0)),0,1))</f>
        <v>#REF!</v>
      </c>
      <c r="Q575" s="25" t="e">
        <f ca="1">IF(Data!#REF!="","",IF(ISNUMBER(Data!#REF!),IF(AND(Data!#REF!&gt;(TODAY()-(Data_Val!$J$3*365.25)),Data!#REF!&lt;=(TODAY()-(Data_Val!$J$2*365.25))),0,1),1))</f>
        <v>#REF!</v>
      </c>
      <c r="R575" s="17" t="e">
        <f>IF(Data!#REF!="","",IF(ISNUMBER(MATCH(Data!#REF!,Data_Val!$B$2:$B$15,0)),0,1))</f>
        <v>#REF!</v>
      </c>
      <c r="S575" s="11" t="str">
        <f>IF(Data!G575="","",IF(Data!G575=Data_Val!$C$2,IF(Data!M575="",0,1),0))</f>
        <v/>
      </c>
      <c r="T575" s="11" t="str">
        <f>IF(Data!M575="","",IF(ISNUMBER(MATCH(Data!N575,Data_Val!$A$2:$A$3,0)),0,1))</f>
        <v/>
      </c>
      <c r="U575" s="11" t="str">
        <f ca="1">IF(Data!M575="","",IF(ISNUMBER(Data!O575),IF(AND(Data!O575&gt;(TODAY()-(Data_Val!$K$3*365.25)),Data!O575&lt;=(TODAY()-(Data_Val!$K$2*365.25))),0,1),1))</f>
        <v/>
      </c>
      <c r="V575" s="12" t="str">
        <f>IF(Data!G575="","",IF(Data!G575=Data_Val!$C$2,IF(Data!P575="",0,1),0))</f>
        <v/>
      </c>
      <c r="W575" s="12" t="str">
        <f>IF(Data!P575="","",IF(ISNUMBER(MATCH(Data!Q575,Data_Val!$A$2:$A$3,0)),0,1))</f>
        <v/>
      </c>
      <c r="X575" s="26" t="str">
        <f ca="1">IF(Data!P575="","",IF(ISNUMBER(Data!R575),IF(AND(Data!R575&gt;(TODAY()-(Data_Val!$L$3*365.25)),Data!R575&lt;=(TODAY()-(Data_Val!$L$2*365.25))),0,1),1))</f>
        <v/>
      </c>
      <c r="Y575" s="13" t="str">
        <f>IF(Data!$G575="","",IF(Data!$G575=Data_Val!$C$2,IF(Data!S575="",0,1),0))</f>
        <v/>
      </c>
      <c r="Z575" s="13" t="str">
        <f>IF(Data!S575="","",IF(ISNUMBER(MATCH(Data!T575,Data_Val!$A$2:$A$3,0)),0,1))</f>
        <v/>
      </c>
      <c r="AA575" s="28" t="str">
        <f ca="1">IF(Data!S575="","",IF(ISNUMBER(Data!U575),IF(AND(Data!U575&gt;(TODAY()-(Data_Val!$L$3*365.25)),Data!U575&lt;=(TODAY()-(Data_Val!$L$2*365.25))),0,1),1))</f>
        <v/>
      </c>
      <c r="AB575" s="11"/>
      <c r="AC575" s="11" t="e">
        <f>IF(Data!#REF!="","",IF(ISNUMBER(MATCH(Data!#REF!,Data_Val!$A$2:$A$3,0)),0,1))</f>
        <v>#REF!</v>
      </c>
      <c r="AD575" s="11" t="e">
        <f ca="1">IF(Data!#REF!="","",IF(ISNUMBER(Data!#REF!),IF(AND(Data!#REF!&gt;(TODAY()-(Data_Val!$L$3*365.25)),Data!#REF!&lt;=(TODAY()-(Data_Val!$L$2*365.25))),0,1),1))</f>
        <v>#REF!</v>
      </c>
      <c r="AE575" s="11" t="e">
        <f>IF(Data!#REF!="","",IF(Data!$G575="",1,IF(ISNUMBER(MATCH(Data!#REF!,Data_Val!$D$2:$D$10,0)),0,1)))</f>
        <v>#REF!</v>
      </c>
      <c r="AF575" s="12"/>
      <c r="AG575" s="12" t="e">
        <f>IF(Data!#REF!="","",IF(ISNUMBER(MATCH(Data!#REF!,Data_Val!$A$2:$A$3,0)),0,1))</f>
        <v>#REF!</v>
      </c>
      <c r="AH575" s="26" t="e">
        <f ca="1">IF(Data!#REF!="","",IF(ISNUMBER(Data!#REF!),IF(AND(Data!#REF!&gt;(TODAY()-(Data_Val!$L$3*365.25)),Data!#REF!&lt;=(TODAY()-(Data_Val!$L$2*365.25))),0,1),1))</f>
        <v>#REF!</v>
      </c>
      <c r="AI575" s="12" t="e">
        <f>IF(Data!#REF!="","",IF(Data!$G575="",1,IF(ISNUMBER(MATCH(Data!#REF!,Data_Val!$D$2:$D$10,0)),0,1)))</f>
        <v>#REF!</v>
      </c>
      <c r="AJ575" s="17"/>
      <c r="AK575" s="17" t="e">
        <f>IF(Data!#REF!="","",IF(ISNUMBER(MATCH(Data!#REF!,Data_Val!$A$2:$A$3,0)),0,1))</f>
        <v>#REF!</v>
      </c>
      <c r="AL575" s="25" t="e">
        <f ca="1">IF(Data!#REF!="","",IF(ISNUMBER(Data!#REF!),IF(AND(Data!#REF!&gt;(TODAY()-(Data_Val!$L$3*365.25)),Data!#REF!&lt;=(TODAY()-(Data_Val!$L$2*365.25))),0,1),1))</f>
        <v>#REF!</v>
      </c>
      <c r="AM575" s="17" t="e">
        <f>IF(Data!#REF!="","",IF(Data!$G575="",1,IF(ISNUMBER(MATCH(Data!#REF!,Data_Val!$D$2:$D$10,0)),0,1)))</f>
        <v>#REF!</v>
      </c>
      <c r="AN575" s="13"/>
      <c r="AO575" s="28" t="e">
        <f ca="1">IF(Data!#REF!="","",IF(ISNUMBER(Data!#REF!),IF(AND(Data!#REF!&gt;(TODAY()-(Data_Val!$I$3*365.25)),Data!#REF!&lt;=(TODAY()-(Data_Val!$I$2*365.25))),0,1),1))</f>
        <v>#REF!</v>
      </c>
      <c r="AP575" s="13" t="e">
        <f>IF(Data!#REF!="","",IF(Data!$G575="",1,IF(ISNUMBER(MATCH(Data!#REF!,Data_Val!$D$2:$D$10,0)),0,1)))</f>
        <v>#REF!</v>
      </c>
      <c r="AQ575" s="17"/>
      <c r="AR575" s="30" t="e">
        <f ca="1">IF(Data!#REF!="","",IF(ISNUMBER(Data!#REF!),IF(AND(Data!#REF!&gt;(TODAY()-(Data_Val!$I$3*365.25)),Data!#REF!&lt;=(TODAY()-(Data_Val!$I$2*365.25))),0,1),1))</f>
        <v>#REF!</v>
      </c>
      <c r="AS575" s="31" t="e">
        <f>IF(Data!#REF!="","",IF(Data!$G575="",1,IF(ISNUMBER(MATCH(Data!#REF!,Data_Val!$D$2:$D$10,0)),0,1)))</f>
        <v>#REF!</v>
      </c>
      <c r="AT575" s="11"/>
      <c r="AU575" s="11" t="e">
        <f ca="1">IF(Data!#REF!="","",IF(ISNUMBER(Data!#REF!),IF(AND(Data!#REF!&gt;(TODAY()-(Data_Val!$I$3*365.25)),Data!#REF!&lt;=(TODAY()-(Data_Val!$I$2*365.25))),0,1),1))</f>
        <v>#REF!</v>
      </c>
      <c r="AV575" s="11" t="e">
        <f>IF(Data!#REF!="","",IF(Data!$G575="",1,IF(ISNUMBER(MATCH(Data!#REF!,Data_Val!$D$2:$D$10,0)),0,1)))</f>
        <v>#REF!</v>
      </c>
      <c r="AW575" s="12"/>
      <c r="AX575" s="26" t="e">
        <f ca="1">IF(Data!#REF!="","",IF(ISNUMBER(Data!#REF!),IF(AND(Data!#REF!&gt;(TODAY()-(Data_Val!$I$3*365.25)),Data!#REF!&lt;=(TODAY()-(Data_Val!$I$2*365.25))),0,1),1))</f>
        <v>#REF!</v>
      </c>
      <c r="AY575" s="12" t="e">
        <f>IF(Data!#REF!="","",IF(Data!$G575="",1,IF(ISNUMBER(MATCH(Data!#REF!,Data_Val!$D$2:$D$10,0)),0,1)))</f>
        <v>#REF!</v>
      </c>
      <c r="AZ575" s="11"/>
      <c r="BA575" s="19" t="e">
        <f ca="1">IF(Data!#REF!="","",IF(ISNUMBER(Data!#REF!),IF(AND(Data!#REF!&gt;(TODAY()-(Data_Val!$M$3*365.25)),Data!#REF!&lt;=(TODAY()-(Data_Val!$M$2*365.25))),0,1),1))</f>
        <v>#REF!</v>
      </c>
      <c r="BB575" s="11" t="e">
        <f>IF(Data!#REF!="","",IF(Data!$G575="",1,IF(ISNUMBER(MATCH(Data!#REF!,Data_Val!$D$2:$D$10,0)),0,1)))</f>
        <v>#REF!</v>
      </c>
      <c r="BC575" s="12"/>
      <c r="BD575" s="20" t="e">
        <f ca="1">IF(Data!#REF!="","",IF(ISNUMBER(Data!#REF!),IF(AND(Data!#REF!&gt;(TODAY()-(Data_Val!$M$3*365.25)),Data!#REF!&lt;=(TODAY()-(Data_Val!$M$2*365.25))),0,1),1))</f>
        <v>#REF!</v>
      </c>
      <c r="BE575" s="12" t="e">
        <f>IF(Data!#REF!="","",IF(Data!$G575="",1,IF(ISNUMBER(MATCH(Data!#REF!,Data_Val!$D$2:$D$10,0)),0,1)))</f>
        <v>#REF!</v>
      </c>
      <c r="BF575" s="17"/>
      <c r="BG575" s="18" t="e">
        <f ca="1">IF(Data!#REF!="","",IF(ISNUMBER(Data!#REF!),IF(AND(Data!#REF!&gt;(TODAY()-(Data_Val!$M$3*365.25)),Data!#REF!&lt;=(TODAY()-(Data_Val!$M$2*365.25))),0,1),1))</f>
        <v>#REF!</v>
      </c>
      <c r="BH575" s="29" t="e">
        <f>IF(Data!#REF!="","",IF(Data!$G575="",1,IF(ISNUMBER(MATCH(Data!#REF!,Data_Val!$D$2:$D$10,0)),0,1)))</f>
        <v>#REF!</v>
      </c>
      <c r="BI575" s="13"/>
      <c r="BJ575" s="21" t="e">
        <f ca="1">IF(Data!#REF!="","",IF(ISNUMBER(Data!#REF!),IF(AND(Data!#REF!&gt;(TODAY()-(Data_Val!$M$3*365.25)),Data!#REF!&lt;=(TODAY()-(Data_Val!$M$2*365.25))),0,1),1))</f>
        <v>#REF!</v>
      </c>
      <c r="BK575" s="13" t="e">
        <f>IF(Data!#REF!="","",IF(Data!$G575="",1,IF(ISNUMBER(MATCH(Data!#REF!,Data_Val!$D$2:$D$10,0)),0,1)))</f>
        <v>#REF!</v>
      </c>
    </row>
    <row r="576" spans="1:63" x14ac:dyDescent="0.25">
      <c r="A576" s="9" t="str">
        <f>IF(Data!B576="","",IF(COUNTIFS(Data!A$1:'Data'!A576,Data!A576)&lt;=1,0,1))</f>
        <v/>
      </c>
      <c r="B576" s="9"/>
      <c r="C576" s="23" t="str">
        <f>IF(Data!C576="","",(IF(ISNUMBER(MATCH("*@*.?*",Data!C576,0)),0,1)+IF(COUNTIFS(Data!C$1:'Data'!C576,Data!C576)&gt;1,1,0)))</f>
        <v/>
      </c>
      <c r="D576" s="9" t="str">
        <f>IF(Data!B576="","",IF(ISNUMBER(Data!D576),IF(AND(Data!D576&gt;999999999,Data!D576&lt;=9999999999),IF(COUNTIFS(Data!D$1:'Data'!D576,Data!D576)&lt;=1,0,1),1),1))</f>
        <v/>
      </c>
      <c r="E576" s="9" t="str">
        <f>IF(Data!B576="","",IF(ISNUMBER(MATCH(Data!E576,Data_Val!$A$2:$A$3,0)),0,1))</f>
        <v/>
      </c>
      <c r="F576" s="9" t="str">
        <f ca="1">IF(Data!B576="","",IF(ISNUMBER(Data!F576),IF(AND(Data!F576&gt;(TODAY()-(Data_Val!$H$3*365.25)),Data!F576&lt;=(TODAY()-(Data_Val!$H$2*365.25))),0,1),1))</f>
        <v/>
      </c>
      <c r="G576" s="15" t="str">
        <f>IF(Data!B576="","",IF(AND(Data!G576="",Data!H576&lt;&gt;""),1,IF(Data!#REF!&lt;&gt;"",0,IF(ISNUMBER(MATCH(Data!G576,Data_Val!$C$2:$C$5,0)),0,1))))</f>
        <v/>
      </c>
      <c r="H576" s="15" t="str">
        <f>IF(Data!B576="","",IF(AND(Data!G576&lt;&gt;"",Data!H576=""),1,IF(Data!#REF!&lt;&gt;"",0,IF(Data!G576="",1,IF(ISNUMBER(MATCH(Data!H576,Data_Val!$D$2:$D$35,0)),0,1)))))</f>
        <v/>
      </c>
      <c r="I576" s="15" t="str">
        <f>IF(Data!B576="","",IF(Data!G576&lt;&gt;"",0,IF(ISNUMBER(MATCH(Data!#REF!,Data_Val!$E$2:$E$12,0)),0,1)))</f>
        <v/>
      </c>
      <c r="J576" s="16" t="e">
        <f>IF(OR(Data!B576="",Data!#REF!=""),"",IF(Data!#REF!="",1,0))</f>
        <v>#REF!</v>
      </c>
      <c r="K576" s="16" t="e">
        <f>IF(OR(Data!B576="",Data!#REF!=""),"",IF(Data!#REF!="",1,0))</f>
        <v>#REF!</v>
      </c>
      <c r="L576" s="16" t="e">
        <f>IF(OR(Data!B576="",Data!#REF!=""),"",IF(ISNUMBER(Data!#REF!),IF(AND(Data!#REF!&gt;Data_Val!$G$2,Data!#REF!&lt;=Data_Val!$G$3),0,1),1))</f>
        <v>#REF!</v>
      </c>
      <c r="M576" s="9" t="e">
        <f>IF(OR(Data!B576="",Data!#REF!=""),"",IF(ISNUMBER(MATCH(Data!#REF!,Data_Val!$F$1:$F$38,0)),0,1))</f>
        <v>#REF!</v>
      </c>
      <c r="N576" s="9" t="e">
        <f>IF(OR(Data!B576="",Data!#REF!=""),"",IF(Data!#REF!="",1,0))</f>
        <v>#REF!</v>
      </c>
      <c r="O576" s="17" t="e">
        <f>IF(Data!#REF!="","",IF(Data!#REF!="",1,0))</f>
        <v>#REF!</v>
      </c>
      <c r="P576" s="17" t="e">
        <f>IF(Data!#REF!="","",IF(ISNUMBER(MATCH(Data!#REF!,Data_Val!$A$2:$A$3,0)),0,1))</f>
        <v>#REF!</v>
      </c>
      <c r="Q576" s="25" t="e">
        <f ca="1">IF(Data!#REF!="","",IF(ISNUMBER(Data!#REF!),IF(AND(Data!#REF!&gt;(TODAY()-(Data_Val!$J$3*365.25)),Data!#REF!&lt;=(TODAY()-(Data_Val!$J$2*365.25))),0,1),1))</f>
        <v>#REF!</v>
      </c>
      <c r="R576" s="17" t="e">
        <f>IF(Data!#REF!="","",IF(ISNUMBER(MATCH(Data!#REF!,Data_Val!$B$2:$B$15,0)),0,1))</f>
        <v>#REF!</v>
      </c>
      <c r="S576" s="11" t="str">
        <f>IF(Data!G576="","",IF(Data!G576=Data_Val!$C$2,IF(Data!M576="",0,1),0))</f>
        <v/>
      </c>
      <c r="T576" s="11" t="str">
        <f>IF(Data!M576="","",IF(ISNUMBER(MATCH(Data!N576,Data_Val!$A$2:$A$3,0)),0,1))</f>
        <v/>
      </c>
      <c r="U576" s="11" t="str">
        <f ca="1">IF(Data!M576="","",IF(ISNUMBER(Data!O576),IF(AND(Data!O576&gt;(TODAY()-(Data_Val!$K$3*365.25)),Data!O576&lt;=(TODAY()-(Data_Val!$K$2*365.25))),0,1),1))</f>
        <v/>
      </c>
      <c r="V576" s="12" t="str">
        <f>IF(Data!G576="","",IF(Data!G576=Data_Val!$C$2,IF(Data!P576="",0,1),0))</f>
        <v/>
      </c>
      <c r="W576" s="12" t="str">
        <f>IF(Data!P576="","",IF(ISNUMBER(MATCH(Data!Q576,Data_Val!$A$2:$A$3,0)),0,1))</f>
        <v/>
      </c>
      <c r="X576" s="26" t="str">
        <f ca="1">IF(Data!P576="","",IF(ISNUMBER(Data!R576),IF(AND(Data!R576&gt;(TODAY()-(Data_Val!$L$3*365.25)),Data!R576&lt;=(TODAY()-(Data_Val!$L$2*365.25))),0,1),1))</f>
        <v/>
      </c>
      <c r="Y576" s="13" t="str">
        <f>IF(Data!$G576="","",IF(Data!$G576=Data_Val!$C$2,IF(Data!S576="",0,1),0))</f>
        <v/>
      </c>
      <c r="Z576" s="13" t="str">
        <f>IF(Data!S576="","",IF(ISNUMBER(MATCH(Data!T576,Data_Val!$A$2:$A$3,0)),0,1))</f>
        <v/>
      </c>
      <c r="AA576" s="28" t="str">
        <f ca="1">IF(Data!S576="","",IF(ISNUMBER(Data!U576),IF(AND(Data!U576&gt;(TODAY()-(Data_Val!$L$3*365.25)),Data!U576&lt;=(TODAY()-(Data_Val!$L$2*365.25))),0,1),1))</f>
        <v/>
      </c>
      <c r="AB576" s="11"/>
      <c r="AC576" s="11" t="e">
        <f>IF(Data!#REF!="","",IF(ISNUMBER(MATCH(Data!#REF!,Data_Val!$A$2:$A$3,0)),0,1))</f>
        <v>#REF!</v>
      </c>
      <c r="AD576" s="11" t="e">
        <f ca="1">IF(Data!#REF!="","",IF(ISNUMBER(Data!#REF!),IF(AND(Data!#REF!&gt;(TODAY()-(Data_Val!$L$3*365.25)),Data!#REF!&lt;=(TODAY()-(Data_Val!$L$2*365.25))),0,1),1))</f>
        <v>#REF!</v>
      </c>
      <c r="AE576" s="11" t="e">
        <f>IF(Data!#REF!="","",IF(Data!$G576="",1,IF(ISNUMBER(MATCH(Data!#REF!,Data_Val!$D$2:$D$10,0)),0,1)))</f>
        <v>#REF!</v>
      </c>
      <c r="AF576" s="12"/>
      <c r="AG576" s="12" t="e">
        <f>IF(Data!#REF!="","",IF(ISNUMBER(MATCH(Data!#REF!,Data_Val!$A$2:$A$3,0)),0,1))</f>
        <v>#REF!</v>
      </c>
      <c r="AH576" s="26" t="e">
        <f ca="1">IF(Data!#REF!="","",IF(ISNUMBER(Data!#REF!),IF(AND(Data!#REF!&gt;(TODAY()-(Data_Val!$L$3*365.25)),Data!#REF!&lt;=(TODAY()-(Data_Val!$L$2*365.25))),0,1),1))</f>
        <v>#REF!</v>
      </c>
      <c r="AI576" s="12" t="e">
        <f>IF(Data!#REF!="","",IF(Data!$G576="",1,IF(ISNUMBER(MATCH(Data!#REF!,Data_Val!$D$2:$D$10,0)),0,1)))</f>
        <v>#REF!</v>
      </c>
      <c r="AJ576" s="17"/>
      <c r="AK576" s="17" t="e">
        <f>IF(Data!#REF!="","",IF(ISNUMBER(MATCH(Data!#REF!,Data_Val!$A$2:$A$3,0)),0,1))</f>
        <v>#REF!</v>
      </c>
      <c r="AL576" s="25" t="e">
        <f ca="1">IF(Data!#REF!="","",IF(ISNUMBER(Data!#REF!),IF(AND(Data!#REF!&gt;(TODAY()-(Data_Val!$L$3*365.25)),Data!#REF!&lt;=(TODAY()-(Data_Val!$L$2*365.25))),0,1),1))</f>
        <v>#REF!</v>
      </c>
      <c r="AM576" s="17" t="e">
        <f>IF(Data!#REF!="","",IF(Data!$G576="",1,IF(ISNUMBER(MATCH(Data!#REF!,Data_Val!$D$2:$D$10,0)),0,1)))</f>
        <v>#REF!</v>
      </c>
      <c r="AN576" s="13"/>
      <c r="AO576" s="28" t="e">
        <f ca="1">IF(Data!#REF!="","",IF(ISNUMBER(Data!#REF!),IF(AND(Data!#REF!&gt;(TODAY()-(Data_Val!$I$3*365.25)),Data!#REF!&lt;=(TODAY()-(Data_Val!$I$2*365.25))),0,1),1))</f>
        <v>#REF!</v>
      </c>
      <c r="AP576" s="13" t="e">
        <f>IF(Data!#REF!="","",IF(Data!$G576="",1,IF(ISNUMBER(MATCH(Data!#REF!,Data_Val!$D$2:$D$10,0)),0,1)))</f>
        <v>#REF!</v>
      </c>
      <c r="AQ576" s="17"/>
      <c r="AR576" s="30" t="e">
        <f ca="1">IF(Data!#REF!="","",IF(ISNUMBER(Data!#REF!),IF(AND(Data!#REF!&gt;(TODAY()-(Data_Val!$I$3*365.25)),Data!#REF!&lt;=(TODAY()-(Data_Val!$I$2*365.25))),0,1),1))</f>
        <v>#REF!</v>
      </c>
      <c r="AS576" s="31" t="e">
        <f>IF(Data!#REF!="","",IF(Data!$G576="",1,IF(ISNUMBER(MATCH(Data!#REF!,Data_Val!$D$2:$D$10,0)),0,1)))</f>
        <v>#REF!</v>
      </c>
      <c r="AT576" s="11"/>
      <c r="AU576" s="11" t="e">
        <f ca="1">IF(Data!#REF!="","",IF(ISNUMBER(Data!#REF!),IF(AND(Data!#REF!&gt;(TODAY()-(Data_Val!$I$3*365.25)),Data!#REF!&lt;=(TODAY()-(Data_Val!$I$2*365.25))),0,1),1))</f>
        <v>#REF!</v>
      </c>
      <c r="AV576" s="11" t="e">
        <f>IF(Data!#REF!="","",IF(Data!$G576="",1,IF(ISNUMBER(MATCH(Data!#REF!,Data_Val!$D$2:$D$10,0)),0,1)))</f>
        <v>#REF!</v>
      </c>
      <c r="AW576" s="12"/>
      <c r="AX576" s="26" t="e">
        <f ca="1">IF(Data!#REF!="","",IF(ISNUMBER(Data!#REF!),IF(AND(Data!#REF!&gt;(TODAY()-(Data_Val!$I$3*365.25)),Data!#REF!&lt;=(TODAY()-(Data_Val!$I$2*365.25))),0,1),1))</f>
        <v>#REF!</v>
      </c>
      <c r="AY576" s="12" t="e">
        <f>IF(Data!#REF!="","",IF(Data!$G576="",1,IF(ISNUMBER(MATCH(Data!#REF!,Data_Val!$D$2:$D$10,0)),0,1)))</f>
        <v>#REF!</v>
      </c>
      <c r="AZ576" s="11"/>
      <c r="BA576" s="19" t="e">
        <f ca="1">IF(Data!#REF!="","",IF(ISNUMBER(Data!#REF!),IF(AND(Data!#REF!&gt;(TODAY()-(Data_Val!$M$3*365.25)),Data!#REF!&lt;=(TODAY()-(Data_Val!$M$2*365.25))),0,1),1))</f>
        <v>#REF!</v>
      </c>
      <c r="BB576" s="11" t="e">
        <f>IF(Data!#REF!="","",IF(Data!$G576="",1,IF(ISNUMBER(MATCH(Data!#REF!,Data_Val!$D$2:$D$10,0)),0,1)))</f>
        <v>#REF!</v>
      </c>
      <c r="BC576" s="12"/>
      <c r="BD576" s="20" t="e">
        <f ca="1">IF(Data!#REF!="","",IF(ISNUMBER(Data!#REF!),IF(AND(Data!#REF!&gt;(TODAY()-(Data_Val!$M$3*365.25)),Data!#REF!&lt;=(TODAY()-(Data_Val!$M$2*365.25))),0,1),1))</f>
        <v>#REF!</v>
      </c>
      <c r="BE576" s="12" t="e">
        <f>IF(Data!#REF!="","",IF(Data!$G576="",1,IF(ISNUMBER(MATCH(Data!#REF!,Data_Val!$D$2:$D$10,0)),0,1)))</f>
        <v>#REF!</v>
      </c>
      <c r="BF576" s="17"/>
      <c r="BG576" s="18" t="e">
        <f ca="1">IF(Data!#REF!="","",IF(ISNUMBER(Data!#REF!),IF(AND(Data!#REF!&gt;(TODAY()-(Data_Val!$M$3*365.25)),Data!#REF!&lt;=(TODAY()-(Data_Val!$M$2*365.25))),0,1),1))</f>
        <v>#REF!</v>
      </c>
      <c r="BH576" s="29" t="e">
        <f>IF(Data!#REF!="","",IF(Data!$G576="",1,IF(ISNUMBER(MATCH(Data!#REF!,Data_Val!$D$2:$D$10,0)),0,1)))</f>
        <v>#REF!</v>
      </c>
      <c r="BI576" s="13"/>
      <c r="BJ576" s="21" t="e">
        <f ca="1">IF(Data!#REF!="","",IF(ISNUMBER(Data!#REF!),IF(AND(Data!#REF!&gt;(TODAY()-(Data_Val!$M$3*365.25)),Data!#REF!&lt;=(TODAY()-(Data_Val!$M$2*365.25))),0,1),1))</f>
        <v>#REF!</v>
      </c>
      <c r="BK576" s="13" t="e">
        <f>IF(Data!#REF!="","",IF(Data!$G576="",1,IF(ISNUMBER(MATCH(Data!#REF!,Data_Val!$D$2:$D$10,0)),0,1)))</f>
        <v>#REF!</v>
      </c>
    </row>
    <row r="577" spans="1:63" x14ac:dyDescent="0.25">
      <c r="A577" s="9" t="str">
        <f>IF(Data!B577="","",IF(COUNTIFS(Data!A$1:'Data'!A577,Data!A577)&lt;=1,0,1))</f>
        <v/>
      </c>
      <c r="B577" s="9"/>
      <c r="C577" s="23" t="str">
        <f>IF(Data!C577="","",(IF(ISNUMBER(MATCH("*@*.?*",Data!C577,0)),0,1)+IF(COUNTIFS(Data!C$1:'Data'!C577,Data!C577)&gt;1,1,0)))</f>
        <v/>
      </c>
      <c r="D577" s="9" t="str">
        <f>IF(Data!B577="","",IF(ISNUMBER(Data!D577),IF(AND(Data!D577&gt;999999999,Data!D577&lt;=9999999999),IF(COUNTIFS(Data!D$1:'Data'!D577,Data!D577)&lt;=1,0,1),1),1))</f>
        <v/>
      </c>
      <c r="E577" s="9" t="str">
        <f>IF(Data!B577="","",IF(ISNUMBER(MATCH(Data!E577,Data_Val!$A$2:$A$3,0)),0,1))</f>
        <v/>
      </c>
      <c r="F577" s="9" t="str">
        <f ca="1">IF(Data!B577="","",IF(ISNUMBER(Data!F577),IF(AND(Data!F577&gt;(TODAY()-(Data_Val!$H$3*365.25)),Data!F577&lt;=(TODAY()-(Data_Val!$H$2*365.25))),0,1),1))</f>
        <v/>
      </c>
      <c r="G577" s="15" t="str">
        <f>IF(Data!B577="","",IF(AND(Data!G577="",Data!H577&lt;&gt;""),1,IF(Data!#REF!&lt;&gt;"",0,IF(ISNUMBER(MATCH(Data!G577,Data_Val!$C$2:$C$5,0)),0,1))))</f>
        <v/>
      </c>
      <c r="H577" s="15" t="str">
        <f>IF(Data!B577="","",IF(AND(Data!G577&lt;&gt;"",Data!H577=""),1,IF(Data!#REF!&lt;&gt;"",0,IF(Data!G577="",1,IF(ISNUMBER(MATCH(Data!H577,Data_Val!$D$2:$D$35,0)),0,1)))))</f>
        <v/>
      </c>
      <c r="I577" s="15" t="str">
        <f>IF(Data!B577="","",IF(Data!G577&lt;&gt;"",0,IF(ISNUMBER(MATCH(Data!#REF!,Data_Val!$E$2:$E$12,0)),0,1)))</f>
        <v/>
      </c>
      <c r="J577" s="16" t="e">
        <f>IF(OR(Data!B577="",Data!#REF!=""),"",IF(Data!#REF!="",1,0))</f>
        <v>#REF!</v>
      </c>
      <c r="K577" s="16" t="e">
        <f>IF(OR(Data!B577="",Data!#REF!=""),"",IF(Data!#REF!="",1,0))</f>
        <v>#REF!</v>
      </c>
      <c r="L577" s="16" t="e">
        <f>IF(OR(Data!B577="",Data!#REF!=""),"",IF(ISNUMBER(Data!#REF!),IF(AND(Data!#REF!&gt;Data_Val!$G$2,Data!#REF!&lt;=Data_Val!$G$3),0,1),1))</f>
        <v>#REF!</v>
      </c>
      <c r="M577" s="9" t="e">
        <f>IF(OR(Data!B577="",Data!#REF!=""),"",IF(ISNUMBER(MATCH(Data!#REF!,Data_Val!$F$1:$F$38,0)),0,1))</f>
        <v>#REF!</v>
      </c>
      <c r="N577" s="9" t="e">
        <f>IF(OR(Data!B577="",Data!#REF!=""),"",IF(Data!#REF!="",1,0))</f>
        <v>#REF!</v>
      </c>
      <c r="O577" s="17" t="e">
        <f>IF(Data!#REF!="","",IF(Data!#REF!="",1,0))</f>
        <v>#REF!</v>
      </c>
      <c r="P577" s="17" t="e">
        <f>IF(Data!#REF!="","",IF(ISNUMBER(MATCH(Data!#REF!,Data_Val!$A$2:$A$3,0)),0,1))</f>
        <v>#REF!</v>
      </c>
      <c r="Q577" s="25" t="e">
        <f ca="1">IF(Data!#REF!="","",IF(ISNUMBER(Data!#REF!),IF(AND(Data!#REF!&gt;(TODAY()-(Data_Val!$J$3*365.25)),Data!#REF!&lt;=(TODAY()-(Data_Val!$J$2*365.25))),0,1),1))</f>
        <v>#REF!</v>
      </c>
      <c r="R577" s="17" t="e">
        <f>IF(Data!#REF!="","",IF(ISNUMBER(MATCH(Data!#REF!,Data_Val!$B$2:$B$15,0)),0,1))</f>
        <v>#REF!</v>
      </c>
      <c r="S577" s="11" t="str">
        <f>IF(Data!G577="","",IF(Data!G577=Data_Val!$C$2,IF(Data!M577="",0,1),0))</f>
        <v/>
      </c>
      <c r="T577" s="11" t="str">
        <f>IF(Data!M577="","",IF(ISNUMBER(MATCH(Data!N577,Data_Val!$A$2:$A$3,0)),0,1))</f>
        <v/>
      </c>
      <c r="U577" s="11" t="str">
        <f ca="1">IF(Data!M577="","",IF(ISNUMBER(Data!O577),IF(AND(Data!O577&gt;(TODAY()-(Data_Val!$K$3*365.25)),Data!O577&lt;=(TODAY()-(Data_Val!$K$2*365.25))),0,1),1))</f>
        <v/>
      </c>
      <c r="V577" s="12" t="str">
        <f>IF(Data!G577="","",IF(Data!G577=Data_Val!$C$2,IF(Data!P577="",0,1),0))</f>
        <v/>
      </c>
      <c r="W577" s="12" t="str">
        <f>IF(Data!P577="","",IF(ISNUMBER(MATCH(Data!Q577,Data_Val!$A$2:$A$3,0)),0,1))</f>
        <v/>
      </c>
      <c r="X577" s="26" t="str">
        <f ca="1">IF(Data!P577="","",IF(ISNUMBER(Data!R577),IF(AND(Data!R577&gt;(TODAY()-(Data_Val!$L$3*365.25)),Data!R577&lt;=(TODAY()-(Data_Val!$L$2*365.25))),0,1),1))</f>
        <v/>
      </c>
      <c r="Y577" s="13" t="str">
        <f>IF(Data!$G577="","",IF(Data!$G577=Data_Val!$C$2,IF(Data!S577="",0,1),0))</f>
        <v/>
      </c>
      <c r="Z577" s="13" t="str">
        <f>IF(Data!S577="","",IF(ISNUMBER(MATCH(Data!T577,Data_Val!$A$2:$A$3,0)),0,1))</f>
        <v/>
      </c>
      <c r="AA577" s="28" t="str">
        <f ca="1">IF(Data!S577="","",IF(ISNUMBER(Data!U577),IF(AND(Data!U577&gt;(TODAY()-(Data_Val!$L$3*365.25)),Data!U577&lt;=(TODAY()-(Data_Val!$L$2*365.25))),0,1),1))</f>
        <v/>
      </c>
      <c r="AB577" s="11"/>
      <c r="AC577" s="11" t="e">
        <f>IF(Data!#REF!="","",IF(ISNUMBER(MATCH(Data!#REF!,Data_Val!$A$2:$A$3,0)),0,1))</f>
        <v>#REF!</v>
      </c>
      <c r="AD577" s="11" t="e">
        <f ca="1">IF(Data!#REF!="","",IF(ISNUMBER(Data!#REF!),IF(AND(Data!#REF!&gt;(TODAY()-(Data_Val!$L$3*365.25)),Data!#REF!&lt;=(TODAY()-(Data_Val!$L$2*365.25))),0,1),1))</f>
        <v>#REF!</v>
      </c>
      <c r="AE577" s="11" t="e">
        <f>IF(Data!#REF!="","",IF(Data!$G577="",1,IF(ISNUMBER(MATCH(Data!#REF!,Data_Val!$D$2:$D$10,0)),0,1)))</f>
        <v>#REF!</v>
      </c>
      <c r="AF577" s="12"/>
      <c r="AG577" s="12" t="e">
        <f>IF(Data!#REF!="","",IF(ISNUMBER(MATCH(Data!#REF!,Data_Val!$A$2:$A$3,0)),0,1))</f>
        <v>#REF!</v>
      </c>
      <c r="AH577" s="26" t="e">
        <f ca="1">IF(Data!#REF!="","",IF(ISNUMBER(Data!#REF!),IF(AND(Data!#REF!&gt;(TODAY()-(Data_Val!$L$3*365.25)),Data!#REF!&lt;=(TODAY()-(Data_Val!$L$2*365.25))),0,1),1))</f>
        <v>#REF!</v>
      </c>
      <c r="AI577" s="12" t="e">
        <f>IF(Data!#REF!="","",IF(Data!$G577="",1,IF(ISNUMBER(MATCH(Data!#REF!,Data_Val!$D$2:$D$10,0)),0,1)))</f>
        <v>#REF!</v>
      </c>
      <c r="AJ577" s="17"/>
      <c r="AK577" s="17" t="e">
        <f>IF(Data!#REF!="","",IF(ISNUMBER(MATCH(Data!#REF!,Data_Val!$A$2:$A$3,0)),0,1))</f>
        <v>#REF!</v>
      </c>
      <c r="AL577" s="25" t="e">
        <f ca="1">IF(Data!#REF!="","",IF(ISNUMBER(Data!#REF!),IF(AND(Data!#REF!&gt;(TODAY()-(Data_Val!$L$3*365.25)),Data!#REF!&lt;=(TODAY()-(Data_Val!$L$2*365.25))),0,1),1))</f>
        <v>#REF!</v>
      </c>
      <c r="AM577" s="17" t="e">
        <f>IF(Data!#REF!="","",IF(Data!$G577="",1,IF(ISNUMBER(MATCH(Data!#REF!,Data_Val!$D$2:$D$10,0)),0,1)))</f>
        <v>#REF!</v>
      </c>
      <c r="AN577" s="13"/>
      <c r="AO577" s="28" t="e">
        <f ca="1">IF(Data!#REF!="","",IF(ISNUMBER(Data!#REF!),IF(AND(Data!#REF!&gt;(TODAY()-(Data_Val!$I$3*365.25)),Data!#REF!&lt;=(TODAY()-(Data_Val!$I$2*365.25))),0,1),1))</f>
        <v>#REF!</v>
      </c>
      <c r="AP577" s="13" t="e">
        <f>IF(Data!#REF!="","",IF(Data!$G577="",1,IF(ISNUMBER(MATCH(Data!#REF!,Data_Val!$D$2:$D$10,0)),0,1)))</f>
        <v>#REF!</v>
      </c>
      <c r="AQ577" s="17"/>
      <c r="AR577" s="30" t="e">
        <f ca="1">IF(Data!#REF!="","",IF(ISNUMBER(Data!#REF!),IF(AND(Data!#REF!&gt;(TODAY()-(Data_Val!$I$3*365.25)),Data!#REF!&lt;=(TODAY()-(Data_Val!$I$2*365.25))),0,1),1))</f>
        <v>#REF!</v>
      </c>
      <c r="AS577" s="31" t="e">
        <f>IF(Data!#REF!="","",IF(Data!$G577="",1,IF(ISNUMBER(MATCH(Data!#REF!,Data_Val!$D$2:$D$10,0)),0,1)))</f>
        <v>#REF!</v>
      </c>
      <c r="AT577" s="11"/>
      <c r="AU577" s="11" t="e">
        <f ca="1">IF(Data!#REF!="","",IF(ISNUMBER(Data!#REF!),IF(AND(Data!#REF!&gt;(TODAY()-(Data_Val!$I$3*365.25)),Data!#REF!&lt;=(TODAY()-(Data_Val!$I$2*365.25))),0,1),1))</f>
        <v>#REF!</v>
      </c>
      <c r="AV577" s="11" t="e">
        <f>IF(Data!#REF!="","",IF(Data!$G577="",1,IF(ISNUMBER(MATCH(Data!#REF!,Data_Val!$D$2:$D$10,0)),0,1)))</f>
        <v>#REF!</v>
      </c>
      <c r="AW577" s="12"/>
      <c r="AX577" s="26" t="e">
        <f ca="1">IF(Data!#REF!="","",IF(ISNUMBER(Data!#REF!),IF(AND(Data!#REF!&gt;(TODAY()-(Data_Val!$I$3*365.25)),Data!#REF!&lt;=(TODAY()-(Data_Val!$I$2*365.25))),0,1),1))</f>
        <v>#REF!</v>
      </c>
      <c r="AY577" s="12" t="e">
        <f>IF(Data!#REF!="","",IF(Data!$G577="",1,IF(ISNUMBER(MATCH(Data!#REF!,Data_Val!$D$2:$D$10,0)),0,1)))</f>
        <v>#REF!</v>
      </c>
      <c r="AZ577" s="11"/>
      <c r="BA577" s="19" t="e">
        <f ca="1">IF(Data!#REF!="","",IF(ISNUMBER(Data!#REF!),IF(AND(Data!#REF!&gt;(TODAY()-(Data_Val!$M$3*365.25)),Data!#REF!&lt;=(TODAY()-(Data_Val!$M$2*365.25))),0,1),1))</f>
        <v>#REF!</v>
      </c>
      <c r="BB577" s="11" t="e">
        <f>IF(Data!#REF!="","",IF(Data!$G577="",1,IF(ISNUMBER(MATCH(Data!#REF!,Data_Val!$D$2:$D$10,0)),0,1)))</f>
        <v>#REF!</v>
      </c>
      <c r="BC577" s="12"/>
      <c r="BD577" s="20" t="e">
        <f ca="1">IF(Data!#REF!="","",IF(ISNUMBER(Data!#REF!),IF(AND(Data!#REF!&gt;(TODAY()-(Data_Val!$M$3*365.25)),Data!#REF!&lt;=(TODAY()-(Data_Val!$M$2*365.25))),0,1),1))</f>
        <v>#REF!</v>
      </c>
      <c r="BE577" s="12" t="e">
        <f>IF(Data!#REF!="","",IF(Data!$G577="",1,IF(ISNUMBER(MATCH(Data!#REF!,Data_Val!$D$2:$D$10,0)),0,1)))</f>
        <v>#REF!</v>
      </c>
      <c r="BF577" s="17"/>
      <c r="BG577" s="18" t="e">
        <f ca="1">IF(Data!#REF!="","",IF(ISNUMBER(Data!#REF!),IF(AND(Data!#REF!&gt;(TODAY()-(Data_Val!$M$3*365.25)),Data!#REF!&lt;=(TODAY()-(Data_Val!$M$2*365.25))),0,1),1))</f>
        <v>#REF!</v>
      </c>
      <c r="BH577" s="29" t="e">
        <f>IF(Data!#REF!="","",IF(Data!$G577="",1,IF(ISNUMBER(MATCH(Data!#REF!,Data_Val!$D$2:$D$10,0)),0,1)))</f>
        <v>#REF!</v>
      </c>
      <c r="BI577" s="13"/>
      <c r="BJ577" s="21" t="e">
        <f ca="1">IF(Data!#REF!="","",IF(ISNUMBER(Data!#REF!),IF(AND(Data!#REF!&gt;(TODAY()-(Data_Val!$M$3*365.25)),Data!#REF!&lt;=(TODAY()-(Data_Val!$M$2*365.25))),0,1),1))</f>
        <v>#REF!</v>
      </c>
      <c r="BK577" s="13" t="e">
        <f>IF(Data!#REF!="","",IF(Data!$G577="",1,IF(ISNUMBER(MATCH(Data!#REF!,Data_Val!$D$2:$D$10,0)),0,1)))</f>
        <v>#REF!</v>
      </c>
    </row>
    <row r="578" spans="1:63" x14ac:dyDescent="0.25">
      <c r="A578" s="9" t="str">
        <f>IF(Data!B578="","",IF(COUNTIFS(Data!A$1:'Data'!A578,Data!A578)&lt;=1,0,1))</f>
        <v/>
      </c>
      <c r="B578" s="9"/>
      <c r="C578" s="23" t="str">
        <f>IF(Data!C578="","",(IF(ISNUMBER(MATCH("*@*.?*",Data!C578,0)),0,1)+IF(COUNTIFS(Data!C$1:'Data'!C578,Data!C578)&gt;1,1,0)))</f>
        <v/>
      </c>
      <c r="D578" s="9" t="str">
        <f>IF(Data!B578="","",IF(ISNUMBER(Data!D578),IF(AND(Data!D578&gt;999999999,Data!D578&lt;=9999999999),IF(COUNTIFS(Data!D$1:'Data'!D578,Data!D578)&lt;=1,0,1),1),1))</f>
        <v/>
      </c>
      <c r="E578" s="9" t="str">
        <f>IF(Data!B578="","",IF(ISNUMBER(MATCH(Data!E578,Data_Val!$A$2:$A$3,0)),0,1))</f>
        <v/>
      </c>
      <c r="F578" s="9" t="str">
        <f ca="1">IF(Data!B578="","",IF(ISNUMBER(Data!F578),IF(AND(Data!F578&gt;(TODAY()-(Data_Val!$H$3*365.25)),Data!F578&lt;=(TODAY()-(Data_Val!$H$2*365.25))),0,1),1))</f>
        <v/>
      </c>
      <c r="G578" s="15" t="str">
        <f>IF(Data!B578="","",IF(AND(Data!G578="",Data!H578&lt;&gt;""),1,IF(Data!#REF!&lt;&gt;"",0,IF(ISNUMBER(MATCH(Data!G578,Data_Val!$C$2:$C$5,0)),0,1))))</f>
        <v/>
      </c>
      <c r="H578" s="15" t="str">
        <f>IF(Data!B578="","",IF(AND(Data!G578&lt;&gt;"",Data!H578=""),1,IF(Data!#REF!&lt;&gt;"",0,IF(Data!G578="",1,IF(ISNUMBER(MATCH(Data!H578,Data_Val!$D$2:$D$35,0)),0,1)))))</f>
        <v/>
      </c>
      <c r="I578" s="15" t="str">
        <f>IF(Data!B578="","",IF(Data!G578&lt;&gt;"",0,IF(ISNUMBER(MATCH(Data!#REF!,Data_Val!$E$2:$E$12,0)),0,1)))</f>
        <v/>
      </c>
      <c r="J578" s="16" t="e">
        <f>IF(OR(Data!B578="",Data!#REF!=""),"",IF(Data!#REF!="",1,0))</f>
        <v>#REF!</v>
      </c>
      <c r="K578" s="16" t="e">
        <f>IF(OR(Data!B578="",Data!#REF!=""),"",IF(Data!#REF!="",1,0))</f>
        <v>#REF!</v>
      </c>
      <c r="L578" s="16" t="e">
        <f>IF(OR(Data!B578="",Data!#REF!=""),"",IF(ISNUMBER(Data!#REF!),IF(AND(Data!#REF!&gt;Data_Val!$G$2,Data!#REF!&lt;=Data_Val!$G$3),0,1),1))</f>
        <v>#REF!</v>
      </c>
      <c r="M578" s="9" t="e">
        <f>IF(OR(Data!B578="",Data!#REF!=""),"",IF(ISNUMBER(MATCH(Data!#REF!,Data_Val!$F$1:$F$38,0)),0,1))</f>
        <v>#REF!</v>
      </c>
      <c r="N578" s="9" t="e">
        <f>IF(OR(Data!B578="",Data!#REF!=""),"",IF(Data!#REF!="",1,0))</f>
        <v>#REF!</v>
      </c>
      <c r="O578" s="17" t="e">
        <f>IF(Data!#REF!="","",IF(Data!#REF!="",1,0))</f>
        <v>#REF!</v>
      </c>
      <c r="P578" s="17" t="e">
        <f>IF(Data!#REF!="","",IF(ISNUMBER(MATCH(Data!#REF!,Data_Val!$A$2:$A$3,0)),0,1))</f>
        <v>#REF!</v>
      </c>
      <c r="Q578" s="25" t="e">
        <f ca="1">IF(Data!#REF!="","",IF(ISNUMBER(Data!#REF!),IF(AND(Data!#REF!&gt;(TODAY()-(Data_Val!$J$3*365.25)),Data!#REF!&lt;=(TODAY()-(Data_Val!$J$2*365.25))),0,1),1))</f>
        <v>#REF!</v>
      </c>
      <c r="R578" s="17" t="e">
        <f>IF(Data!#REF!="","",IF(ISNUMBER(MATCH(Data!#REF!,Data_Val!$B$2:$B$15,0)),0,1))</f>
        <v>#REF!</v>
      </c>
      <c r="S578" s="11" t="str">
        <f>IF(Data!G578="","",IF(Data!G578=Data_Val!$C$2,IF(Data!M578="",0,1),0))</f>
        <v/>
      </c>
      <c r="T578" s="11" t="str">
        <f>IF(Data!M578="","",IF(ISNUMBER(MATCH(Data!N578,Data_Val!$A$2:$A$3,0)),0,1))</f>
        <v/>
      </c>
      <c r="U578" s="11" t="str">
        <f ca="1">IF(Data!M578="","",IF(ISNUMBER(Data!O578),IF(AND(Data!O578&gt;(TODAY()-(Data_Val!$K$3*365.25)),Data!O578&lt;=(TODAY()-(Data_Val!$K$2*365.25))),0,1),1))</f>
        <v/>
      </c>
      <c r="V578" s="12" t="str">
        <f>IF(Data!G578="","",IF(Data!G578=Data_Val!$C$2,IF(Data!P578="",0,1),0))</f>
        <v/>
      </c>
      <c r="W578" s="12" t="str">
        <f>IF(Data!P578="","",IF(ISNUMBER(MATCH(Data!Q578,Data_Val!$A$2:$A$3,0)),0,1))</f>
        <v/>
      </c>
      <c r="X578" s="26" t="str">
        <f ca="1">IF(Data!P578="","",IF(ISNUMBER(Data!R578),IF(AND(Data!R578&gt;(TODAY()-(Data_Val!$L$3*365.25)),Data!R578&lt;=(TODAY()-(Data_Val!$L$2*365.25))),0,1),1))</f>
        <v/>
      </c>
      <c r="Y578" s="13" t="str">
        <f>IF(Data!$G578="","",IF(Data!$G578=Data_Val!$C$2,IF(Data!S578="",0,1),0))</f>
        <v/>
      </c>
      <c r="Z578" s="13" t="str">
        <f>IF(Data!S578="","",IF(ISNUMBER(MATCH(Data!T578,Data_Val!$A$2:$A$3,0)),0,1))</f>
        <v/>
      </c>
      <c r="AA578" s="28" t="str">
        <f ca="1">IF(Data!S578="","",IF(ISNUMBER(Data!U578),IF(AND(Data!U578&gt;(TODAY()-(Data_Val!$L$3*365.25)),Data!U578&lt;=(TODAY()-(Data_Val!$L$2*365.25))),0,1),1))</f>
        <v/>
      </c>
      <c r="AB578" s="11"/>
      <c r="AC578" s="11" t="e">
        <f>IF(Data!#REF!="","",IF(ISNUMBER(MATCH(Data!#REF!,Data_Val!$A$2:$A$3,0)),0,1))</f>
        <v>#REF!</v>
      </c>
      <c r="AD578" s="11" t="e">
        <f ca="1">IF(Data!#REF!="","",IF(ISNUMBER(Data!#REF!),IF(AND(Data!#REF!&gt;(TODAY()-(Data_Val!$L$3*365.25)),Data!#REF!&lt;=(TODAY()-(Data_Val!$L$2*365.25))),0,1),1))</f>
        <v>#REF!</v>
      </c>
      <c r="AE578" s="11" t="e">
        <f>IF(Data!#REF!="","",IF(Data!$G578="",1,IF(ISNUMBER(MATCH(Data!#REF!,Data_Val!$D$2:$D$10,0)),0,1)))</f>
        <v>#REF!</v>
      </c>
      <c r="AF578" s="12"/>
      <c r="AG578" s="12" t="e">
        <f>IF(Data!#REF!="","",IF(ISNUMBER(MATCH(Data!#REF!,Data_Val!$A$2:$A$3,0)),0,1))</f>
        <v>#REF!</v>
      </c>
      <c r="AH578" s="26" t="e">
        <f ca="1">IF(Data!#REF!="","",IF(ISNUMBER(Data!#REF!),IF(AND(Data!#REF!&gt;(TODAY()-(Data_Val!$L$3*365.25)),Data!#REF!&lt;=(TODAY()-(Data_Val!$L$2*365.25))),0,1),1))</f>
        <v>#REF!</v>
      </c>
      <c r="AI578" s="12" t="e">
        <f>IF(Data!#REF!="","",IF(Data!$G578="",1,IF(ISNUMBER(MATCH(Data!#REF!,Data_Val!$D$2:$D$10,0)),0,1)))</f>
        <v>#REF!</v>
      </c>
      <c r="AJ578" s="17"/>
      <c r="AK578" s="17" t="e">
        <f>IF(Data!#REF!="","",IF(ISNUMBER(MATCH(Data!#REF!,Data_Val!$A$2:$A$3,0)),0,1))</f>
        <v>#REF!</v>
      </c>
      <c r="AL578" s="25" t="e">
        <f ca="1">IF(Data!#REF!="","",IF(ISNUMBER(Data!#REF!),IF(AND(Data!#REF!&gt;(TODAY()-(Data_Val!$L$3*365.25)),Data!#REF!&lt;=(TODAY()-(Data_Val!$L$2*365.25))),0,1),1))</f>
        <v>#REF!</v>
      </c>
      <c r="AM578" s="17" t="e">
        <f>IF(Data!#REF!="","",IF(Data!$G578="",1,IF(ISNUMBER(MATCH(Data!#REF!,Data_Val!$D$2:$D$10,0)),0,1)))</f>
        <v>#REF!</v>
      </c>
      <c r="AN578" s="13"/>
      <c r="AO578" s="28" t="e">
        <f ca="1">IF(Data!#REF!="","",IF(ISNUMBER(Data!#REF!),IF(AND(Data!#REF!&gt;(TODAY()-(Data_Val!$I$3*365.25)),Data!#REF!&lt;=(TODAY()-(Data_Val!$I$2*365.25))),0,1),1))</f>
        <v>#REF!</v>
      </c>
      <c r="AP578" s="13" t="e">
        <f>IF(Data!#REF!="","",IF(Data!$G578="",1,IF(ISNUMBER(MATCH(Data!#REF!,Data_Val!$D$2:$D$10,0)),0,1)))</f>
        <v>#REF!</v>
      </c>
      <c r="AQ578" s="17"/>
      <c r="AR578" s="30" t="e">
        <f ca="1">IF(Data!#REF!="","",IF(ISNUMBER(Data!#REF!),IF(AND(Data!#REF!&gt;(TODAY()-(Data_Val!$I$3*365.25)),Data!#REF!&lt;=(TODAY()-(Data_Val!$I$2*365.25))),0,1),1))</f>
        <v>#REF!</v>
      </c>
      <c r="AS578" s="31" t="e">
        <f>IF(Data!#REF!="","",IF(Data!$G578="",1,IF(ISNUMBER(MATCH(Data!#REF!,Data_Val!$D$2:$D$10,0)),0,1)))</f>
        <v>#REF!</v>
      </c>
      <c r="AT578" s="11"/>
      <c r="AU578" s="11" t="e">
        <f ca="1">IF(Data!#REF!="","",IF(ISNUMBER(Data!#REF!),IF(AND(Data!#REF!&gt;(TODAY()-(Data_Val!$I$3*365.25)),Data!#REF!&lt;=(TODAY()-(Data_Val!$I$2*365.25))),0,1),1))</f>
        <v>#REF!</v>
      </c>
      <c r="AV578" s="11" t="e">
        <f>IF(Data!#REF!="","",IF(Data!$G578="",1,IF(ISNUMBER(MATCH(Data!#REF!,Data_Val!$D$2:$D$10,0)),0,1)))</f>
        <v>#REF!</v>
      </c>
      <c r="AW578" s="12"/>
      <c r="AX578" s="26" t="e">
        <f ca="1">IF(Data!#REF!="","",IF(ISNUMBER(Data!#REF!),IF(AND(Data!#REF!&gt;(TODAY()-(Data_Val!$I$3*365.25)),Data!#REF!&lt;=(TODAY()-(Data_Val!$I$2*365.25))),0,1),1))</f>
        <v>#REF!</v>
      </c>
      <c r="AY578" s="12" t="e">
        <f>IF(Data!#REF!="","",IF(Data!$G578="",1,IF(ISNUMBER(MATCH(Data!#REF!,Data_Val!$D$2:$D$10,0)),0,1)))</f>
        <v>#REF!</v>
      </c>
      <c r="AZ578" s="11"/>
      <c r="BA578" s="19" t="e">
        <f ca="1">IF(Data!#REF!="","",IF(ISNUMBER(Data!#REF!),IF(AND(Data!#REF!&gt;(TODAY()-(Data_Val!$M$3*365.25)),Data!#REF!&lt;=(TODAY()-(Data_Val!$M$2*365.25))),0,1),1))</f>
        <v>#REF!</v>
      </c>
      <c r="BB578" s="11" t="e">
        <f>IF(Data!#REF!="","",IF(Data!$G578="",1,IF(ISNUMBER(MATCH(Data!#REF!,Data_Val!$D$2:$D$10,0)),0,1)))</f>
        <v>#REF!</v>
      </c>
      <c r="BC578" s="12"/>
      <c r="BD578" s="20" t="e">
        <f ca="1">IF(Data!#REF!="","",IF(ISNUMBER(Data!#REF!),IF(AND(Data!#REF!&gt;(TODAY()-(Data_Val!$M$3*365.25)),Data!#REF!&lt;=(TODAY()-(Data_Val!$M$2*365.25))),0,1),1))</f>
        <v>#REF!</v>
      </c>
      <c r="BE578" s="12" t="e">
        <f>IF(Data!#REF!="","",IF(Data!$G578="",1,IF(ISNUMBER(MATCH(Data!#REF!,Data_Val!$D$2:$D$10,0)),0,1)))</f>
        <v>#REF!</v>
      </c>
      <c r="BF578" s="17"/>
      <c r="BG578" s="18" t="e">
        <f ca="1">IF(Data!#REF!="","",IF(ISNUMBER(Data!#REF!),IF(AND(Data!#REF!&gt;(TODAY()-(Data_Val!$M$3*365.25)),Data!#REF!&lt;=(TODAY()-(Data_Val!$M$2*365.25))),0,1),1))</f>
        <v>#REF!</v>
      </c>
      <c r="BH578" s="29" t="e">
        <f>IF(Data!#REF!="","",IF(Data!$G578="",1,IF(ISNUMBER(MATCH(Data!#REF!,Data_Val!$D$2:$D$10,0)),0,1)))</f>
        <v>#REF!</v>
      </c>
      <c r="BI578" s="13"/>
      <c r="BJ578" s="21" t="e">
        <f ca="1">IF(Data!#REF!="","",IF(ISNUMBER(Data!#REF!),IF(AND(Data!#REF!&gt;(TODAY()-(Data_Val!$M$3*365.25)),Data!#REF!&lt;=(TODAY()-(Data_Val!$M$2*365.25))),0,1),1))</f>
        <v>#REF!</v>
      </c>
      <c r="BK578" s="13" t="e">
        <f>IF(Data!#REF!="","",IF(Data!$G578="",1,IF(ISNUMBER(MATCH(Data!#REF!,Data_Val!$D$2:$D$10,0)),0,1)))</f>
        <v>#REF!</v>
      </c>
    </row>
    <row r="579" spans="1:63" x14ac:dyDescent="0.25">
      <c r="A579" s="9" t="str">
        <f>IF(Data!B579="","",IF(COUNTIFS(Data!A$1:'Data'!A579,Data!A579)&lt;=1,0,1))</f>
        <v/>
      </c>
      <c r="B579" s="9"/>
      <c r="C579" s="23" t="str">
        <f>IF(Data!C579="","",(IF(ISNUMBER(MATCH("*@*.?*",Data!C579,0)),0,1)+IF(COUNTIFS(Data!C$1:'Data'!C579,Data!C579)&gt;1,1,0)))</f>
        <v/>
      </c>
      <c r="D579" s="9" t="str">
        <f>IF(Data!B579="","",IF(ISNUMBER(Data!D579),IF(AND(Data!D579&gt;999999999,Data!D579&lt;=9999999999),IF(COUNTIFS(Data!D$1:'Data'!D579,Data!D579)&lt;=1,0,1),1),1))</f>
        <v/>
      </c>
      <c r="E579" s="9" t="str">
        <f>IF(Data!B579="","",IF(ISNUMBER(MATCH(Data!E579,Data_Val!$A$2:$A$3,0)),0,1))</f>
        <v/>
      </c>
      <c r="F579" s="9" t="str">
        <f ca="1">IF(Data!B579="","",IF(ISNUMBER(Data!F579),IF(AND(Data!F579&gt;(TODAY()-(Data_Val!$H$3*365.25)),Data!F579&lt;=(TODAY()-(Data_Val!$H$2*365.25))),0,1),1))</f>
        <v/>
      </c>
      <c r="G579" s="15" t="str">
        <f>IF(Data!B579="","",IF(AND(Data!G579="",Data!H579&lt;&gt;""),1,IF(Data!#REF!&lt;&gt;"",0,IF(ISNUMBER(MATCH(Data!G579,Data_Val!$C$2:$C$5,0)),0,1))))</f>
        <v/>
      </c>
      <c r="H579" s="15" t="str">
        <f>IF(Data!B579="","",IF(AND(Data!G579&lt;&gt;"",Data!H579=""),1,IF(Data!#REF!&lt;&gt;"",0,IF(Data!G579="",1,IF(ISNUMBER(MATCH(Data!H579,Data_Val!$D$2:$D$35,0)),0,1)))))</f>
        <v/>
      </c>
      <c r="I579" s="15" t="str">
        <f>IF(Data!B579="","",IF(Data!G579&lt;&gt;"",0,IF(ISNUMBER(MATCH(Data!#REF!,Data_Val!$E$2:$E$12,0)),0,1)))</f>
        <v/>
      </c>
      <c r="J579" s="16" t="e">
        <f>IF(OR(Data!B579="",Data!#REF!=""),"",IF(Data!#REF!="",1,0))</f>
        <v>#REF!</v>
      </c>
      <c r="K579" s="16" t="e">
        <f>IF(OR(Data!B579="",Data!#REF!=""),"",IF(Data!#REF!="",1,0))</f>
        <v>#REF!</v>
      </c>
      <c r="L579" s="16" t="e">
        <f>IF(OR(Data!B579="",Data!#REF!=""),"",IF(ISNUMBER(Data!#REF!),IF(AND(Data!#REF!&gt;Data_Val!$G$2,Data!#REF!&lt;=Data_Val!$G$3),0,1),1))</f>
        <v>#REF!</v>
      </c>
      <c r="M579" s="9" t="e">
        <f>IF(OR(Data!B579="",Data!#REF!=""),"",IF(ISNUMBER(MATCH(Data!#REF!,Data_Val!$F$1:$F$38,0)),0,1))</f>
        <v>#REF!</v>
      </c>
      <c r="N579" s="9" t="e">
        <f>IF(OR(Data!B579="",Data!#REF!=""),"",IF(Data!#REF!="",1,0))</f>
        <v>#REF!</v>
      </c>
      <c r="O579" s="17" t="e">
        <f>IF(Data!#REF!="","",IF(Data!#REF!="",1,0))</f>
        <v>#REF!</v>
      </c>
      <c r="P579" s="17" t="e">
        <f>IF(Data!#REF!="","",IF(ISNUMBER(MATCH(Data!#REF!,Data_Val!$A$2:$A$3,0)),0,1))</f>
        <v>#REF!</v>
      </c>
      <c r="Q579" s="25" t="e">
        <f ca="1">IF(Data!#REF!="","",IF(ISNUMBER(Data!#REF!),IF(AND(Data!#REF!&gt;(TODAY()-(Data_Val!$J$3*365.25)),Data!#REF!&lt;=(TODAY()-(Data_Val!$J$2*365.25))),0,1),1))</f>
        <v>#REF!</v>
      </c>
      <c r="R579" s="17" t="e">
        <f>IF(Data!#REF!="","",IF(ISNUMBER(MATCH(Data!#REF!,Data_Val!$B$2:$B$15,0)),0,1))</f>
        <v>#REF!</v>
      </c>
      <c r="S579" s="11" t="str">
        <f>IF(Data!G579="","",IF(Data!G579=Data_Val!$C$2,IF(Data!M579="",0,1),0))</f>
        <v/>
      </c>
      <c r="T579" s="11" t="str">
        <f>IF(Data!M579="","",IF(ISNUMBER(MATCH(Data!N579,Data_Val!$A$2:$A$3,0)),0,1))</f>
        <v/>
      </c>
      <c r="U579" s="11" t="str">
        <f ca="1">IF(Data!M579="","",IF(ISNUMBER(Data!O579),IF(AND(Data!O579&gt;(TODAY()-(Data_Val!$K$3*365.25)),Data!O579&lt;=(TODAY()-(Data_Val!$K$2*365.25))),0,1),1))</f>
        <v/>
      </c>
      <c r="V579" s="12" t="str">
        <f>IF(Data!G579="","",IF(Data!G579=Data_Val!$C$2,IF(Data!P579="",0,1),0))</f>
        <v/>
      </c>
      <c r="W579" s="12" t="str">
        <f>IF(Data!P579="","",IF(ISNUMBER(MATCH(Data!Q579,Data_Val!$A$2:$A$3,0)),0,1))</f>
        <v/>
      </c>
      <c r="X579" s="26" t="str">
        <f ca="1">IF(Data!P579="","",IF(ISNUMBER(Data!R579),IF(AND(Data!R579&gt;(TODAY()-(Data_Val!$L$3*365.25)),Data!R579&lt;=(TODAY()-(Data_Val!$L$2*365.25))),0,1),1))</f>
        <v/>
      </c>
      <c r="Y579" s="13" t="str">
        <f>IF(Data!$G579="","",IF(Data!$G579=Data_Val!$C$2,IF(Data!S579="",0,1),0))</f>
        <v/>
      </c>
      <c r="Z579" s="13" t="str">
        <f>IF(Data!S579="","",IF(ISNUMBER(MATCH(Data!T579,Data_Val!$A$2:$A$3,0)),0,1))</f>
        <v/>
      </c>
      <c r="AA579" s="28" t="str">
        <f ca="1">IF(Data!S579="","",IF(ISNUMBER(Data!U579),IF(AND(Data!U579&gt;(TODAY()-(Data_Val!$L$3*365.25)),Data!U579&lt;=(TODAY()-(Data_Val!$L$2*365.25))),0,1),1))</f>
        <v/>
      </c>
      <c r="AB579" s="11"/>
      <c r="AC579" s="11" t="e">
        <f>IF(Data!#REF!="","",IF(ISNUMBER(MATCH(Data!#REF!,Data_Val!$A$2:$A$3,0)),0,1))</f>
        <v>#REF!</v>
      </c>
      <c r="AD579" s="11" t="e">
        <f ca="1">IF(Data!#REF!="","",IF(ISNUMBER(Data!#REF!),IF(AND(Data!#REF!&gt;(TODAY()-(Data_Val!$L$3*365.25)),Data!#REF!&lt;=(TODAY()-(Data_Val!$L$2*365.25))),0,1),1))</f>
        <v>#REF!</v>
      </c>
      <c r="AE579" s="11" t="e">
        <f>IF(Data!#REF!="","",IF(Data!$G579="",1,IF(ISNUMBER(MATCH(Data!#REF!,Data_Val!$D$2:$D$10,0)),0,1)))</f>
        <v>#REF!</v>
      </c>
      <c r="AF579" s="12"/>
      <c r="AG579" s="12" t="e">
        <f>IF(Data!#REF!="","",IF(ISNUMBER(MATCH(Data!#REF!,Data_Val!$A$2:$A$3,0)),0,1))</f>
        <v>#REF!</v>
      </c>
      <c r="AH579" s="26" t="e">
        <f ca="1">IF(Data!#REF!="","",IF(ISNUMBER(Data!#REF!),IF(AND(Data!#REF!&gt;(TODAY()-(Data_Val!$L$3*365.25)),Data!#REF!&lt;=(TODAY()-(Data_Val!$L$2*365.25))),0,1),1))</f>
        <v>#REF!</v>
      </c>
      <c r="AI579" s="12" t="e">
        <f>IF(Data!#REF!="","",IF(Data!$G579="",1,IF(ISNUMBER(MATCH(Data!#REF!,Data_Val!$D$2:$D$10,0)),0,1)))</f>
        <v>#REF!</v>
      </c>
      <c r="AJ579" s="17"/>
      <c r="AK579" s="17" t="e">
        <f>IF(Data!#REF!="","",IF(ISNUMBER(MATCH(Data!#REF!,Data_Val!$A$2:$A$3,0)),0,1))</f>
        <v>#REF!</v>
      </c>
      <c r="AL579" s="25" t="e">
        <f ca="1">IF(Data!#REF!="","",IF(ISNUMBER(Data!#REF!),IF(AND(Data!#REF!&gt;(TODAY()-(Data_Val!$L$3*365.25)),Data!#REF!&lt;=(TODAY()-(Data_Val!$L$2*365.25))),0,1),1))</f>
        <v>#REF!</v>
      </c>
      <c r="AM579" s="17" t="e">
        <f>IF(Data!#REF!="","",IF(Data!$G579="",1,IF(ISNUMBER(MATCH(Data!#REF!,Data_Val!$D$2:$D$10,0)),0,1)))</f>
        <v>#REF!</v>
      </c>
      <c r="AN579" s="13"/>
      <c r="AO579" s="28" t="e">
        <f ca="1">IF(Data!#REF!="","",IF(ISNUMBER(Data!#REF!),IF(AND(Data!#REF!&gt;(TODAY()-(Data_Val!$I$3*365.25)),Data!#REF!&lt;=(TODAY()-(Data_Val!$I$2*365.25))),0,1),1))</f>
        <v>#REF!</v>
      </c>
      <c r="AP579" s="13" t="e">
        <f>IF(Data!#REF!="","",IF(Data!$G579="",1,IF(ISNUMBER(MATCH(Data!#REF!,Data_Val!$D$2:$D$10,0)),0,1)))</f>
        <v>#REF!</v>
      </c>
      <c r="AQ579" s="17"/>
      <c r="AR579" s="30" t="e">
        <f ca="1">IF(Data!#REF!="","",IF(ISNUMBER(Data!#REF!),IF(AND(Data!#REF!&gt;(TODAY()-(Data_Val!$I$3*365.25)),Data!#REF!&lt;=(TODAY()-(Data_Val!$I$2*365.25))),0,1),1))</f>
        <v>#REF!</v>
      </c>
      <c r="AS579" s="31" t="e">
        <f>IF(Data!#REF!="","",IF(Data!$G579="",1,IF(ISNUMBER(MATCH(Data!#REF!,Data_Val!$D$2:$D$10,0)),0,1)))</f>
        <v>#REF!</v>
      </c>
      <c r="AT579" s="11"/>
      <c r="AU579" s="11" t="e">
        <f ca="1">IF(Data!#REF!="","",IF(ISNUMBER(Data!#REF!),IF(AND(Data!#REF!&gt;(TODAY()-(Data_Val!$I$3*365.25)),Data!#REF!&lt;=(TODAY()-(Data_Val!$I$2*365.25))),0,1),1))</f>
        <v>#REF!</v>
      </c>
      <c r="AV579" s="11" t="e">
        <f>IF(Data!#REF!="","",IF(Data!$G579="",1,IF(ISNUMBER(MATCH(Data!#REF!,Data_Val!$D$2:$D$10,0)),0,1)))</f>
        <v>#REF!</v>
      </c>
      <c r="AW579" s="12"/>
      <c r="AX579" s="26" t="e">
        <f ca="1">IF(Data!#REF!="","",IF(ISNUMBER(Data!#REF!),IF(AND(Data!#REF!&gt;(TODAY()-(Data_Val!$I$3*365.25)),Data!#REF!&lt;=(TODAY()-(Data_Val!$I$2*365.25))),0,1),1))</f>
        <v>#REF!</v>
      </c>
      <c r="AY579" s="12" t="e">
        <f>IF(Data!#REF!="","",IF(Data!$G579="",1,IF(ISNUMBER(MATCH(Data!#REF!,Data_Val!$D$2:$D$10,0)),0,1)))</f>
        <v>#REF!</v>
      </c>
      <c r="AZ579" s="11"/>
      <c r="BA579" s="19" t="e">
        <f ca="1">IF(Data!#REF!="","",IF(ISNUMBER(Data!#REF!),IF(AND(Data!#REF!&gt;(TODAY()-(Data_Val!$M$3*365.25)),Data!#REF!&lt;=(TODAY()-(Data_Val!$M$2*365.25))),0,1),1))</f>
        <v>#REF!</v>
      </c>
      <c r="BB579" s="11" t="e">
        <f>IF(Data!#REF!="","",IF(Data!$G579="",1,IF(ISNUMBER(MATCH(Data!#REF!,Data_Val!$D$2:$D$10,0)),0,1)))</f>
        <v>#REF!</v>
      </c>
      <c r="BC579" s="12"/>
      <c r="BD579" s="20" t="e">
        <f ca="1">IF(Data!#REF!="","",IF(ISNUMBER(Data!#REF!),IF(AND(Data!#REF!&gt;(TODAY()-(Data_Val!$M$3*365.25)),Data!#REF!&lt;=(TODAY()-(Data_Val!$M$2*365.25))),0,1),1))</f>
        <v>#REF!</v>
      </c>
      <c r="BE579" s="12" t="e">
        <f>IF(Data!#REF!="","",IF(Data!$G579="",1,IF(ISNUMBER(MATCH(Data!#REF!,Data_Val!$D$2:$D$10,0)),0,1)))</f>
        <v>#REF!</v>
      </c>
      <c r="BF579" s="17"/>
      <c r="BG579" s="18" t="e">
        <f ca="1">IF(Data!#REF!="","",IF(ISNUMBER(Data!#REF!),IF(AND(Data!#REF!&gt;(TODAY()-(Data_Val!$M$3*365.25)),Data!#REF!&lt;=(TODAY()-(Data_Val!$M$2*365.25))),0,1),1))</f>
        <v>#REF!</v>
      </c>
      <c r="BH579" s="29" t="e">
        <f>IF(Data!#REF!="","",IF(Data!$G579="",1,IF(ISNUMBER(MATCH(Data!#REF!,Data_Val!$D$2:$D$10,0)),0,1)))</f>
        <v>#REF!</v>
      </c>
      <c r="BI579" s="13"/>
      <c r="BJ579" s="21" t="e">
        <f ca="1">IF(Data!#REF!="","",IF(ISNUMBER(Data!#REF!),IF(AND(Data!#REF!&gt;(TODAY()-(Data_Val!$M$3*365.25)),Data!#REF!&lt;=(TODAY()-(Data_Val!$M$2*365.25))),0,1),1))</f>
        <v>#REF!</v>
      </c>
      <c r="BK579" s="13" t="e">
        <f>IF(Data!#REF!="","",IF(Data!$G579="",1,IF(ISNUMBER(MATCH(Data!#REF!,Data_Val!$D$2:$D$10,0)),0,1)))</f>
        <v>#REF!</v>
      </c>
    </row>
    <row r="580" spans="1:63" x14ac:dyDescent="0.25">
      <c r="A580" s="9" t="str">
        <f>IF(Data!B580="","",IF(COUNTIFS(Data!A$1:'Data'!A580,Data!A580)&lt;=1,0,1))</f>
        <v/>
      </c>
      <c r="B580" s="9"/>
      <c r="C580" s="23" t="str">
        <f>IF(Data!C580="","",(IF(ISNUMBER(MATCH("*@*.?*",Data!C580,0)),0,1)+IF(COUNTIFS(Data!C$1:'Data'!C580,Data!C580)&gt;1,1,0)))</f>
        <v/>
      </c>
      <c r="D580" s="9" t="str">
        <f>IF(Data!B580="","",IF(ISNUMBER(Data!D580),IF(AND(Data!D580&gt;999999999,Data!D580&lt;=9999999999),IF(COUNTIFS(Data!D$1:'Data'!D580,Data!D580)&lt;=1,0,1),1),1))</f>
        <v/>
      </c>
      <c r="E580" s="9" t="str">
        <f>IF(Data!B580="","",IF(ISNUMBER(MATCH(Data!E580,Data_Val!$A$2:$A$3,0)),0,1))</f>
        <v/>
      </c>
      <c r="F580" s="9" t="str">
        <f ca="1">IF(Data!B580="","",IF(ISNUMBER(Data!F580),IF(AND(Data!F580&gt;(TODAY()-(Data_Val!$H$3*365.25)),Data!F580&lt;=(TODAY()-(Data_Val!$H$2*365.25))),0,1),1))</f>
        <v/>
      </c>
      <c r="G580" s="15" t="str">
        <f>IF(Data!B580="","",IF(AND(Data!G580="",Data!H580&lt;&gt;""),1,IF(Data!#REF!&lt;&gt;"",0,IF(ISNUMBER(MATCH(Data!G580,Data_Val!$C$2:$C$5,0)),0,1))))</f>
        <v/>
      </c>
      <c r="H580" s="15" t="str">
        <f>IF(Data!B580="","",IF(AND(Data!G580&lt;&gt;"",Data!H580=""),1,IF(Data!#REF!&lt;&gt;"",0,IF(Data!G580="",1,IF(ISNUMBER(MATCH(Data!H580,Data_Val!$D$2:$D$35,0)),0,1)))))</f>
        <v/>
      </c>
      <c r="I580" s="15" t="str">
        <f>IF(Data!B580="","",IF(Data!G580&lt;&gt;"",0,IF(ISNUMBER(MATCH(Data!#REF!,Data_Val!$E$2:$E$12,0)),0,1)))</f>
        <v/>
      </c>
      <c r="J580" s="16" t="e">
        <f>IF(OR(Data!B580="",Data!#REF!=""),"",IF(Data!#REF!="",1,0))</f>
        <v>#REF!</v>
      </c>
      <c r="K580" s="16" t="e">
        <f>IF(OR(Data!B580="",Data!#REF!=""),"",IF(Data!#REF!="",1,0))</f>
        <v>#REF!</v>
      </c>
      <c r="L580" s="16" t="e">
        <f>IF(OR(Data!B580="",Data!#REF!=""),"",IF(ISNUMBER(Data!#REF!),IF(AND(Data!#REF!&gt;Data_Val!$G$2,Data!#REF!&lt;=Data_Val!$G$3),0,1),1))</f>
        <v>#REF!</v>
      </c>
      <c r="M580" s="9" t="e">
        <f>IF(OR(Data!B580="",Data!#REF!=""),"",IF(ISNUMBER(MATCH(Data!#REF!,Data_Val!$F$1:$F$38,0)),0,1))</f>
        <v>#REF!</v>
      </c>
      <c r="N580" s="9" t="e">
        <f>IF(OR(Data!B580="",Data!#REF!=""),"",IF(Data!#REF!="",1,0))</f>
        <v>#REF!</v>
      </c>
      <c r="O580" s="17" t="e">
        <f>IF(Data!#REF!="","",IF(Data!#REF!="",1,0))</f>
        <v>#REF!</v>
      </c>
      <c r="P580" s="17" t="e">
        <f>IF(Data!#REF!="","",IF(ISNUMBER(MATCH(Data!#REF!,Data_Val!$A$2:$A$3,0)),0,1))</f>
        <v>#REF!</v>
      </c>
      <c r="Q580" s="25" t="e">
        <f ca="1">IF(Data!#REF!="","",IF(ISNUMBER(Data!#REF!),IF(AND(Data!#REF!&gt;(TODAY()-(Data_Val!$J$3*365.25)),Data!#REF!&lt;=(TODAY()-(Data_Val!$J$2*365.25))),0,1),1))</f>
        <v>#REF!</v>
      </c>
      <c r="R580" s="17" t="e">
        <f>IF(Data!#REF!="","",IF(ISNUMBER(MATCH(Data!#REF!,Data_Val!$B$2:$B$15,0)),0,1))</f>
        <v>#REF!</v>
      </c>
      <c r="S580" s="11" t="str">
        <f>IF(Data!G580="","",IF(Data!G580=Data_Val!$C$2,IF(Data!M580="",0,1),0))</f>
        <v/>
      </c>
      <c r="T580" s="11" t="str">
        <f>IF(Data!M580="","",IF(ISNUMBER(MATCH(Data!N580,Data_Val!$A$2:$A$3,0)),0,1))</f>
        <v/>
      </c>
      <c r="U580" s="11" t="str">
        <f ca="1">IF(Data!M580="","",IF(ISNUMBER(Data!O580),IF(AND(Data!O580&gt;(TODAY()-(Data_Val!$K$3*365.25)),Data!O580&lt;=(TODAY()-(Data_Val!$K$2*365.25))),0,1),1))</f>
        <v/>
      </c>
      <c r="V580" s="12" t="str">
        <f>IF(Data!G580="","",IF(Data!G580=Data_Val!$C$2,IF(Data!P580="",0,1),0))</f>
        <v/>
      </c>
      <c r="W580" s="12" t="str">
        <f>IF(Data!P580="","",IF(ISNUMBER(MATCH(Data!Q580,Data_Val!$A$2:$A$3,0)),0,1))</f>
        <v/>
      </c>
      <c r="X580" s="26" t="str">
        <f ca="1">IF(Data!P580="","",IF(ISNUMBER(Data!R580),IF(AND(Data!R580&gt;(TODAY()-(Data_Val!$L$3*365.25)),Data!R580&lt;=(TODAY()-(Data_Val!$L$2*365.25))),0,1),1))</f>
        <v/>
      </c>
      <c r="Y580" s="13" t="str">
        <f>IF(Data!$G580="","",IF(Data!$G580=Data_Val!$C$2,IF(Data!S580="",0,1),0))</f>
        <v/>
      </c>
      <c r="Z580" s="13" t="str">
        <f>IF(Data!S580="","",IF(ISNUMBER(MATCH(Data!T580,Data_Val!$A$2:$A$3,0)),0,1))</f>
        <v/>
      </c>
      <c r="AA580" s="28" t="str">
        <f ca="1">IF(Data!S580="","",IF(ISNUMBER(Data!U580),IF(AND(Data!U580&gt;(TODAY()-(Data_Val!$L$3*365.25)),Data!U580&lt;=(TODAY()-(Data_Val!$L$2*365.25))),0,1),1))</f>
        <v/>
      </c>
      <c r="AB580" s="11"/>
      <c r="AC580" s="11" t="e">
        <f>IF(Data!#REF!="","",IF(ISNUMBER(MATCH(Data!#REF!,Data_Val!$A$2:$A$3,0)),0,1))</f>
        <v>#REF!</v>
      </c>
      <c r="AD580" s="11" t="e">
        <f ca="1">IF(Data!#REF!="","",IF(ISNUMBER(Data!#REF!),IF(AND(Data!#REF!&gt;(TODAY()-(Data_Val!$L$3*365.25)),Data!#REF!&lt;=(TODAY()-(Data_Val!$L$2*365.25))),0,1),1))</f>
        <v>#REF!</v>
      </c>
      <c r="AE580" s="11" t="e">
        <f>IF(Data!#REF!="","",IF(Data!$G580="",1,IF(ISNUMBER(MATCH(Data!#REF!,Data_Val!$D$2:$D$10,0)),0,1)))</f>
        <v>#REF!</v>
      </c>
      <c r="AF580" s="12"/>
      <c r="AG580" s="12" t="e">
        <f>IF(Data!#REF!="","",IF(ISNUMBER(MATCH(Data!#REF!,Data_Val!$A$2:$A$3,0)),0,1))</f>
        <v>#REF!</v>
      </c>
      <c r="AH580" s="26" t="e">
        <f ca="1">IF(Data!#REF!="","",IF(ISNUMBER(Data!#REF!),IF(AND(Data!#REF!&gt;(TODAY()-(Data_Val!$L$3*365.25)),Data!#REF!&lt;=(TODAY()-(Data_Val!$L$2*365.25))),0,1),1))</f>
        <v>#REF!</v>
      </c>
      <c r="AI580" s="12" t="e">
        <f>IF(Data!#REF!="","",IF(Data!$G580="",1,IF(ISNUMBER(MATCH(Data!#REF!,Data_Val!$D$2:$D$10,0)),0,1)))</f>
        <v>#REF!</v>
      </c>
      <c r="AJ580" s="17"/>
      <c r="AK580" s="17" t="e">
        <f>IF(Data!#REF!="","",IF(ISNUMBER(MATCH(Data!#REF!,Data_Val!$A$2:$A$3,0)),0,1))</f>
        <v>#REF!</v>
      </c>
      <c r="AL580" s="25" t="e">
        <f ca="1">IF(Data!#REF!="","",IF(ISNUMBER(Data!#REF!),IF(AND(Data!#REF!&gt;(TODAY()-(Data_Val!$L$3*365.25)),Data!#REF!&lt;=(TODAY()-(Data_Val!$L$2*365.25))),0,1),1))</f>
        <v>#REF!</v>
      </c>
      <c r="AM580" s="17" t="e">
        <f>IF(Data!#REF!="","",IF(Data!$G580="",1,IF(ISNUMBER(MATCH(Data!#REF!,Data_Val!$D$2:$D$10,0)),0,1)))</f>
        <v>#REF!</v>
      </c>
      <c r="AN580" s="13"/>
      <c r="AO580" s="28" t="e">
        <f ca="1">IF(Data!#REF!="","",IF(ISNUMBER(Data!#REF!),IF(AND(Data!#REF!&gt;(TODAY()-(Data_Val!$I$3*365.25)),Data!#REF!&lt;=(TODAY()-(Data_Val!$I$2*365.25))),0,1),1))</f>
        <v>#REF!</v>
      </c>
      <c r="AP580" s="13" t="e">
        <f>IF(Data!#REF!="","",IF(Data!$G580="",1,IF(ISNUMBER(MATCH(Data!#REF!,Data_Val!$D$2:$D$10,0)),0,1)))</f>
        <v>#REF!</v>
      </c>
      <c r="AQ580" s="17"/>
      <c r="AR580" s="30" t="e">
        <f ca="1">IF(Data!#REF!="","",IF(ISNUMBER(Data!#REF!),IF(AND(Data!#REF!&gt;(TODAY()-(Data_Val!$I$3*365.25)),Data!#REF!&lt;=(TODAY()-(Data_Val!$I$2*365.25))),0,1),1))</f>
        <v>#REF!</v>
      </c>
      <c r="AS580" s="31" t="e">
        <f>IF(Data!#REF!="","",IF(Data!$G580="",1,IF(ISNUMBER(MATCH(Data!#REF!,Data_Val!$D$2:$D$10,0)),0,1)))</f>
        <v>#REF!</v>
      </c>
      <c r="AT580" s="11"/>
      <c r="AU580" s="11" t="e">
        <f ca="1">IF(Data!#REF!="","",IF(ISNUMBER(Data!#REF!),IF(AND(Data!#REF!&gt;(TODAY()-(Data_Val!$I$3*365.25)),Data!#REF!&lt;=(TODAY()-(Data_Val!$I$2*365.25))),0,1),1))</f>
        <v>#REF!</v>
      </c>
      <c r="AV580" s="11" t="e">
        <f>IF(Data!#REF!="","",IF(Data!$G580="",1,IF(ISNUMBER(MATCH(Data!#REF!,Data_Val!$D$2:$D$10,0)),0,1)))</f>
        <v>#REF!</v>
      </c>
      <c r="AW580" s="12"/>
      <c r="AX580" s="26" t="e">
        <f ca="1">IF(Data!#REF!="","",IF(ISNUMBER(Data!#REF!),IF(AND(Data!#REF!&gt;(TODAY()-(Data_Val!$I$3*365.25)),Data!#REF!&lt;=(TODAY()-(Data_Val!$I$2*365.25))),0,1),1))</f>
        <v>#REF!</v>
      </c>
      <c r="AY580" s="12" t="e">
        <f>IF(Data!#REF!="","",IF(Data!$G580="",1,IF(ISNUMBER(MATCH(Data!#REF!,Data_Val!$D$2:$D$10,0)),0,1)))</f>
        <v>#REF!</v>
      </c>
      <c r="AZ580" s="11"/>
      <c r="BA580" s="19" t="e">
        <f ca="1">IF(Data!#REF!="","",IF(ISNUMBER(Data!#REF!),IF(AND(Data!#REF!&gt;(TODAY()-(Data_Val!$M$3*365.25)),Data!#REF!&lt;=(TODAY()-(Data_Val!$M$2*365.25))),0,1),1))</f>
        <v>#REF!</v>
      </c>
      <c r="BB580" s="11" t="e">
        <f>IF(Data!#REF!="","",IF(Data!$G580="",1,IF(ISNUMBER(MATCH(Data!#REF!,Data_Val!$D$2:$D$10,0)),0,1)))</f>
        <v>#REF!</v>
      </c>
      <c r="BC580" s="12"/>
      <c r="BD580" s="20" t="e">
        <f ca="1">IF(Data!#REF!="","",IF(ISNUMBER(Data!#REF!),IF(AND(Data!#REF!&gt;(TODAY()-(Data_Val!$M$3*365.25)),Data!#REF!&lt;=(TODAY()-(Data_Val!$M$2*365.25))),0,1),1))</f>
        <v>#REF!</v>
      </c>
      <c r="BE580" s="12" t="e">
        <f>IF(Data!#REF!="","",IF(Data!$G580="",1,IF(ISNUMBER(MATCH(Data!#REF!,Data_Val!$D$2:$D$10,0)),0,1)))</f>
        <v>#REF!</v>
      </c>
      <c r="BF580" s="17"/>
      <c r="BG580" s="18" t="e">
        <f ca="1">IF(Data!#REF!="","",IF(ISNUMBER(Data!#REF!),IF(AND(Data!#REF!&gt;(TODAY()-(Data_Val!$M$3*365.25)),Data!#REF!&lt;=(TODAY()-(Data_Val!$M$2*365.25))),0,1),1))</f>
        <v>#REF!</v>
      </c>
      <c r="BH580" s="29" t="e">
        <f>IF(Data!#REF!="","",IF(Data!$G580="",1,IF(ISNUMBER(MATCH(Data!#REF!,Data_Val!$D$2:$D$10,0)),0,1)))</f>
        <v>#REF!</v>
      </c>
      <c r="BI580" s="13"/>
      <c r="BJ580" s="21" t="e">
        <f ca="1">IF(Data!#REF!="","",IF(ISNUMBER(Data!#REF!),IF(AND(Data!#REF!&gt;(TODAY()-(Data_Val!$M$3*365.25)),Data!#REF!&lt;=(TODAY()-(Data_Val!$M$2*365.25))),0,1),1))</f>
        <v>#REF!</v>
      </c>
      <c r="BK580" s="13" t="e">
        <f>IF(Data!#REF!="","",IF(Data!$G580="",1,IF(ISNUMBER(MATCH(Data!#REF!,Data_Val!$D$2:$D$10,0)),0,1)))</f>
        <v>#REF!</v>
      </c>
    </row>
    <row r="581" spans="1:63" x14ac:dyDescent="0.25">
      <c r="A581" s="9" t="str">
        <f>IF(Data!B581="","",IF(COUNTIFS(Data!A$1:'Data'!A581,Data!A581)&lt;=1,0,1))</f>
        <v/>
      </c>
      <c r="B581" s="9"/>
      <c r="C581" s="23" t="str">
        <f>IF(Data!C581="","",(IF(ISNUMBER(MATCH("*@*.?*",Data!C581,0)),0,1)+IF(COUNTIFS(Data!C$1:'Data'!C581,Data!C581)&gt;1,1,0)))</f>
        <v/>
      </c>
      <c r="D581" s="9" t="str">
        <f>IF(Data!B581="","",IF(ISNUMBER(Data!D581),IF(AND(Data!D581&gt;999999999,Data!D581&lt;=9999999999),IF(COUNTIFS(Data!D$1:'Data'!D581,Data!D581)&lt;=1,0,1),1),1))</f>
        <v/>
      </c>
      <c r="E581" s="9" t="str">
        <f>IF(Data!B581="","",IF(ISNUMBER(MATCH(Data!E581,Data_Val!$A$2:$A$3,0)),0,1))</f>
        <v/>
      </c>
      <c r="F581" s="9" t="str">
        <f ca="1">IF(Data!B581="","",IF(ISNUMBER(Data!F581),IF(AND(Data!F581&gt;(TODAY()-(Data_Val!$H$3*365.25)),Data!F581&lt;=(TODAY()-(Data_Val!$H$2*365.25))),0,1),1))</f>
        <v/>
      </c>
      <c r="G581" s="15" t="str">
        <f>IF(Data!B581="","",IF(AND(Data!G581="",Data!H581&lt;&gt;""),1,IF(Data!#REF!&lt;&gt;"",0,IF(ISNUMBER(MATCH(Data!G581,Data_Val!$C$2:$C$5,0)),0,1))))</f>
        <v/>
      </c>
      <c r="H581" s="15" t="str">
        <f>IF(Data!B581="","",IF(AND(Data!G581&lt;&gt;"",Data!H581=""),1,IF(Data!#REF!&lt;&gt;"",0,IF(Data!G581="",1,IF(ISNUMBER(MATCH(Data!H581,Data_Val!$D$2:$D$35,0)),0,1)))))</f>
        <v/>
      </c>
      <c r="I581" s="15" t="str">
        <f>IF(Data!B581="","",IF(Data!G581&lt;&gt;"",0,IF(ISNUMBER(MATCH(Data!#REF!,Data_Val!$E$2:$E$12,0)),0,1)))</f>
        <v/>
      </c>
      <c r="J581" s="16" t="e">
        <f>IF(OR(Data!B581="",Data!#REF!=""),"",IF(Data!#REF!="",1,0))</f>
        <v>#REF!</v>
      </c>
      <c r="K581" s="16" t="e">
        <f>IF(OR(Data!B581="",Data!#REF!=""),"",IF(Data!#REF!="",1,0))</f>
        <v>#REF!</v>
      </c>
      <c r="L581" s="16" t="e">
        <f>IF(OR(Data!B581="",Data!#REF!=""),"",IF(ISNUMBER(Data!#REF!),IF(AND(Data!#REF!&gt;Data_Val!$G$2,Data!#REF!&lt;=Data_Val!$G$3),0,1),1))</f>
        <v>#REF!</v>
      </c>
      <c r="M581" s="9" t="e">
        <f>IF(OR(Data!B581="",Data!#REF!=""),"",IF(ISNUMBER(MATCH(Data!#REF!,Data_Val!$F$1:$F$38,0)),0,1))</f>
        <v>#REF!</v>
      </c>
      <c r="N581" s="9" t="e">
        <f>IF(OR(Data!B581="",Data!#REF!=""),"",IF(Data!#REF!="",1,0))</f>
        <v>#REF!</v>
      </c>
      <c r="O581" s="17" t="e">
        <f>IF(Data!#REF!="","",IF(Data!#REF!="",1,0))</f>
        <v>#REF!</v>
      </c>
      <c r="P581" s="17" t="e">
        <f>IF(Data!#REF!="","",IF(ISNUMBER(MATCH(Data!#REF!,Data_Val!$A$2:$A$3,0)),0,1))</f>
        <v>#REF!</v>
      </c>
      <c r="Q581" s="25" t="e">
        <f ca="1">IF(Data!#REF!="","",IF(ISNUMBER(Data!#REF!),IF(AND(Data!#REF!&gt;(TODAY()-(Data_Val!$J$3*365.25)),Data!#REF!&lt;=(TODAY()-(Data_Val!$J$2*365.25))),0,1),1))</f>
        <v>#REF!</v>
      </c>
      <c r="R581" s="17" t="e">
        <f>IF(Data!#REF!="","",IF(ISNUMBER(MATCH(Data!#REF!,Data_Val!$B$2:$B$15,0)),0,1))</f>
        <v>#REF!</v>
      </c>
      <c r="S581" s="11" t="str">
        <f>IF(Data!G581="","",IF(Data!G581=Data_Val!$C$2,IF(Data!M581="",0,1),0))</f>
        <v/>
      </c>
      <c r="T581" s="11" t="str">
        <f>IF(Data!M581="","",IF(ISNUMBER(MATCH(Data!N581,Data_Val!$A$2:$A$3,0)),0,1))</f>
        <v/>
      </c>
      <c r="U581" s="11" t="str">
        <f ca="1">IF(Data!M581="","",IF(ISNUMBER(Data!O581),IF(AND(Data!O581&gt;(TODAY()-(Data_Val!$K$3*365.25)),Data!O581&lt;=(TODAY()-(Data_Val!$K$2*365.25))),0,1),1))</f>
        <v/>
      </c>
      <c r="V581" s="12" t="str">
        <f>IF(Data!G581="","",IF(Data!G581=Data_Val!$C$2,IF(Data!P581="",0,1),0))</f>
        <v/>
      </c>
      <c r="W581" s="12" t="str">
        <f>IF(Data!P581="","",IF(ISNUMBER(MATCH(Data!Q581,Data_Val!$A$2:$A$3,0)),0,1))</f>
        <v/>
      </c>
      <c r="X581" s="26" t="str">
        <f ca="1">IF(Data!P581="","",IF(ISNUMBER(Data!R581),IF(AND(Data!R581&gt;(TODAY()-(Data_Val!$L$3*365.25)),Data!R581&lt;=(TODAY()-(Data_Val!$L$2*365.25))),0,1),1))</f>
        <v/>
      </c>
      <c r="Y581" s="13" t="str">
        <f>IF(Data!$G581="","",IF(Data!$G581=Data_Val!$C$2,IF(Data!S581="",0,1),0))</f>
        <v/>
      </c>
      <c r="Z581" s="13" t="str">
        <f>IF(Data!S581="","",IF(ISNUMBER(MATCH(Data!T581,Data_Val!$A$2:$A$3,0)),0,1))</f>
        <v/>
      </c>
      <c r="AA581" s="28" t="str">
        <f ca="1">IF(Data!S581="","",IF(ISNUMBER(Data!U581),IF(AND(Data!U581&gt;(TODAY()-(Data_Val!$L$3*365.25)),Data!U581&lt;=(TODAY()-(Data_Val!$L$2*365.25))),0,1),1))</f>
        <v/>
      </c>
      <c r="AB581" s="11"/>
      <c r="AC581" s="11" t="e">
        <f>IF(Data!#REF!="","",IF(ISNUMBER(MATCH(Data!#REF!,Data_Val!$A$2:$A$3,0)),0,1))</f>
        <v>#REF!</v>
      </c>
      <c r="AD581" s="11" t="e">
        <f ca="1">IF(Data!#REF!="","",IF(ISNUMBER(Data!#REF!),IF(AND(Data!#REF!&gt;(TODAY()-(Data_Val!$L$3*365.25)),Data!#REF!&lt;=(TODAY()-(Data_Val!$L$2*365.25))),0,1),1))</f>
        <v>#REF!</v>
      </c>
      <c r="AE581" s="11" t="e">
        <f>IF(Data!#REF!="","",IF(Data!$G581="",1,IF(ISNUMBER(MATCH(Data!#REF!,Data_Val!$D$2:$D$10,0)),0,1)))</f>
        <v>#REF!</v>
      </c>
      <c r="AF581" s="12"/>
      <c r="AG581" s="12" t="e">
        <f>IF(Data!#REF!="","",IF(ISNUMBER(MATCH(Data!#REF!,Data_Val!$A$2:$A$3,0)),0,1))</f>
        <v>#REF!</v>
      </c>
      <c r="AH581" s="26" t="e">
        <f ca="1">IF(Data!#REF!="","",IF(ISNUMBER(Data!#REF!),IF(AND(Data!#REF!&gt;(TODAY()-(Data_Val!$L$3*365.25)),Data!#REF!&lt;=(TODAY()-(Data_Val!$L$2*365.25))),0,1),1))</f>
        <v>#REF!</v>
      </c>
      <c r="AI581" s="12" t="e">
        <f>IF(Data!#REF!="","",IF(Data!$G581="",1,IF(ISNUMBER(MATCH(Data!#REF!,Data_Val!$D$2:$D$10,0)),0,1)))</f>
        <v>#REF!</v>
      </c>
      <c r="AJ581" s="17"/>
      <c r="AK581" s="17" t="e">
        <f>IF(Data!#REF!="","",IF(ISNUMBER(MATCH(Data!#REF!,Data_Val!$A$2:$A$3,0)),0,1))</f>
        <v>#REF!</v>
      </c>
      <c r="AL581" s="25" t="e">
        <f ca="1">IF(Data!#REF!="","",IF(ISNUMBER(Data!#REF!),IF(AND(Data!#REF!&gt;(TODAY()-(Data_Val!$L$3*365.25)),Data!#REF!&lt;=(TODAY()-(Data_Val!$L$2*365.25))),0,1),1))</f>
        <v>#REF!</v>
      </c>
      <c r="AM581" s="17" t="e">
        <f>IF(Data!#REF!="","",IF(Data!$G581="",1,IF(ISNUMBER(MATCH(Data!#REF!,Data_Val!$D$2:$D$10,0)),0,1)))</f>
        <v>#REF!</v>
      </c>
      <c r="AN581" s="13"/>
      <c r="AO581" s="28" t="e">
        <f ca="1">IF(Data!#REF!="","",IF(ISNUMBER(Data!#REF!),IF(AND(Data!#REF!&gt;(TODAY()-(Data_Val!$I$3*365.25)),Data!#REF!&lt;=(TODAY()-(Data_Val!$I$2*365.25))),0,1),1))</f>
        <v>#REF!</v>
      </c>
      <c r="AP581" s="13" t="e">
        <f>IF(Data!#REF!="","",IF(Data!$G581="",1,IF(ISNUMBER(MATCH(Data!#REF!,Data_Val!$D$2:$D$10,0)),0,1)))</f>
        <v>#REF!</v>
      </c>
      <c r="AQ581" s="17"/>
      <c r="AR581" s="30" t="e">
        <f ca="1">IF(Data!#REF!="","",IF(ISNUMBER(Data!#REF!),IF(AND(Data!#REF!&gt;(TODAY()-(Data_Val!$I$3*365.25)),Data!#REF!&lt;=(TODAY()-(Data_Val!$I$2*365.25))),0,1),1))</f>
        <v>#REF!</v>
      </c>
      <c r="AS581" s="31" t="e">
        <f>IF(Data!#REF!="","",IF(Data!$G581="",1,IF(ISNUMBER(MATCH(Data!#REF!,Data_Val!$D$2:$D$10,0)),0,1)))</f>
        <v>#REF!</v>
      </c>
      <c r="AT581" s="11"/>
      <c r="AU581" s="11" t="e">
        <f ca="1">IF(Data!#REF!="","",IF(ISNUMBER(Data!#REF!),IF(AND(Data!#REF!&gt;(TODAY()-(Data_Val!$I$3*365.25)),Data!#REF!&lt;=(TODAY()-(Data_Val!$I$2*365.25))),0,1),1))</f>
        <v>#REF!</v>
      </c>
      <c r="AV581" s="11" t="e">
        <f>IF(Data!#REF!="","",IF(Data!$G581="",1,IF(ISNUMBER(MATCH(Data!#REF!,Data_Val!$D$2:$D$10,0)),0,1)))</f>
        <v>#REF!</v>
      </c>
      <c r="AW581" s="12"/>
      <c r="AX581" s="26" t="e">
        <f ca="1">IF(Data!#REF!="","",IF(ISNUMBER(Data!#REF!),IF(AND(Data!#REF!&gt;(TODAY()-(Data_Val!$I$3*365.25)),Data!#REF!&lt;=(TODAY()-(Data_Val!$I$2*365.25))),0,1),1))</f>
        <v>#REF!</v>
      </c>
      <c r="AY581" s="12" t="e">
        <f>IF(Data!#REF!="","",IF(Data!$G581="",1,IF(ISNUMBER(MATCH(Data!#REF!,Data_Val!$D$2:$D$10,0)),0,1)))</f>
        <v>#REF!</v>
      </c>
      <c r="AZ581" s="11"/>
      <c r="BA581" s="19" t="e">
        <f ca="1">IF(Data!#REF!="","",IF(ISNUMBER(Data!#REF!),IF(AND(Data!#REF!&gt;(TODAY()-(Data_Val!$M$3*365.25)),Data!#REF!&lt;=(TODAY()-(Data_Val!$M$2*365.25))),0,1),1))</f>
        <v>#REF!</v>
      </c>
      <c r="BB581" s="11" t="e">
        <f>IF(Data!#REF!="","",IF(Data!$G581="",1,IF(ISNUMBER(MATCH(Data!#REF!,Data_Val!$D$2:$D$10,0)),0,1)))</f>
        <v>#REF!</v>
      </c>
      <c r="BC581" s="12"/>
      <c r="BD581" s="20" t="e">
        <f ca="1">IF(Data!#REF!="","",IF(ISNUMBER(Data!#REF!),IF(AND(Data!#REF!&gt;(TODAY()-(Data_Val!$M$3*365.25)),Data!#REF!&lt;=(TODAY()-(Data_Val!$M$2*365.25))),0,1),1))</f>
        <v>#REF!</v>
      </c>
      <c r="BE581" s="12" t="e">
        <f>IF(Data!#REF!="","",IF(Data!$G581="",1,IF(ISNUMBER(MATCH(Data!#REF!,Data_Val!$D$2:$D$10,0)),0,1)))</f>
        <v>#REF!</v>
      </c>
      <c r="BF581" s="17"/>
      <c r="BG581" s="18" t="e">
        <f ca="1">IF(Data!#REF!="","",IF(ISNUMBER(Data!#REF!),IF(AND(Data!#REF!&gt;(TODAY()-(Data_Val!$M$3*365.25)),Data!#REF!&lt;=(TODAY()-(Data_Val!$M$2*365.25))),0,1),1))</f>
        <v>#REF!</v>
      </c>
      <c r="BH581" s="29" t="e">
        <f>IF(Data!#REF!="","",IF(Data!$G581="",1,IF(ISNUMBER(MATCH(Data!#REF!,Data_Val!$D$2:$D$10,0)),0,1)))</f>
        <v>#REF!</v>
      </c>
      <c r="BI581" s="13"/>
      <c r="BJ581" s="21" t="e">
        <f ca="1">IF(Data!#REF!="","",IF(ISNUMBER(Data!#REF!),IF(AND(Data!#REF!&gt;(TODAY()-(Data_Val!$M$3*365.25)),Data!#REF!&lt;=(TODAY()-(Data_Val!$M$2*365.25))),0,1),1))</f>
        <v>#REF!</v>
      </c>
      <c r="BK581" s="13" t="e">
        <f>IF(Data!#REF!="","",IF(Data!$G581="",1,IF(ISNUMBER(MATCH(Data!#REF!,Data_Val!$D$2:$D$10,0)),0,1)))</f>
        <v>#REF!</v>
      </c>
    </row>
    <row r="582" spans="1:63" x14ac:dyDescent="0.25">
      <c r="A582" s="9" t="str">
        <f>IF(Data!B582="","",IF(COUNTIFS(Data!A$1:'Data'!A582,Data!A582)&lt;=1,0,1))</f>
        <v/>
      </c>
      <c r="B582" s="9"/>
      <c r="C582" s="23" t="str">
        <f>IF(Data!C582="","",(IF(ISNUMBER(MATCH("*@*.?*",Data!C582,0)),0,1)+IF(COUNTIFS(Data!C$1:'Data'!C582,Data!C582)&gt;1,1,0)))</f>
        <v/>
      </c>
      <c r="D582" s="9" t="str">
        <f>IF(Data!B582="","",IF(ISNUMBER(Data!D582),IF(AND(Data!D582&gt;999999999,Data!D582&lt;=9999999999),IF(COUNTIFS(Data!D$1:'Data'!D582,Data!D582)&lt;=1,0,1),1),1))</f>
        <v/>
      </c>
      <c r="E582" s="9" t="str">
        <f>IF(Data!B582="","",IF(ISNUMBER(MATCH(Data!E582,Data_Val!$A$2:$A$3,0)),0,1))</f>
        <v/>
      </c>
      <c r="F582" s="9" t="str">
        <f ca="1">IF(Data!B582="","",IF(ISNUMBER(Data!F582),IF(AND(Data!F582&gt;(TODAY()-(Data_Val!$H$3*365.25)),Data!F582&lt;=(TODAY()-(Data_Val!$H$2*365.25))),0,1),1))</f>
        <v/>
      </c>
      <c r="G582" s="15" t="str">
        <f>IF(Data!B582="","",IF(AND(Data!G582="",Data!H582&lt;&gt;""),1,IF(Data!#REF!&lt;&gt;"",0,IF(ISNUMBER(MATCH(Data!G582,Data_Val!$C$2:$C$5,0)),0,1))))</f>
        <v/>
      </c>
      <c r="H582" s="15" t="str">
        <f>IF(Data!B582="","",IF(AND(Data!G582&lt;&gt;"",Data!H582=""),1,IF(Data!#REF!&lt;&gt;"",0,IF(Data!G582="",1,IF(ISNUMBER(MATCH(Data!H582,Data_Val!$D$2:$D$35,0)),0,1)))))</f>
        <v/>
      </c>
      <c r="I582" s="15" t="str">
        <f>IF(Data!B582="","",IF(Data!G582&lt;&gt;"",0,IF(ISNUMBER(MATCH(Data!#REF!,Data_Val!$E$2:$E$12,0)),0,1)))</f>
        <v/>
      </c>
      <c r="J582" s="16" t="e">
        <f>IF(OR(Data!B582="",Data!#REF!=""),"",IF(Data!#REF!="",1,0))</f>
        <v>#REF!</v>
      </c>
      <c r="K582" s="16" t="e">
        <f>IF(OR(Data!B582="",Data!#REF!=""),"",IF(Data!#REF!="",1,0))</f>
        <v>#REF!</v>
      </c>
      <c r="L582" s="16" t="e">
        <f>IF(OR(Data!B582="",Data!#REF!=""),"",IF(ISNUMBER(Data!#REF!),IF(AND(Data!#REF!&gt;Data_Val!$G$2,Data!#REF!&lt;=Data_Val!$G$3),0,1),1))</f>
        <v>#REF!</v>
      </c>
      <c r="M582" s="9" t="e">
        <f>IF(OR(Data!B582="",Data!#REF!=""),"",IF(ISNUMBER(MATCH(Data!#REF!,Data_Val!$F$1:$F$38,0)),0,1))</f>
        <v>#REF!</v>
      </c>
      <c r="N582" s="9" t="e">
        <f>IF(OR(Data!B582="",Data!#REF!=""),"",IF(Data!#REF!="",1,0))</f>
        <v>#REF!</v>
      </c>
      <c r="O582" s="17" t="e">
        <f>IF(Data!#REF!="","",IF(Data!#REF!="",1,0))</f>
        <v>#REF!</v>
      </c>
      <c r="P582" s="17" t="e">
        <f>IF(Data!#REF!="","",IF(ISNUMBER(MATCH(Data!#REF!,Data_Val!$A$2:$A$3,0)),0,1))</f>
        <v>#REF!</v>
      </c>
      <c r="Q582" s="25" t="e">
        <f ca="1">IF(Data!#REF!="","",IF(ISNUMBER(Data!#REF!),IF(AND(Data!#REF!&gt;(TODAY()-(Data_Val!$J$3*365.25)),Data!#REF!&lt;=(TODAY()-(Data_Val!$J$2*365.25))),0,1),1))</f>
        <v>#REF!</v>
      </c>
      <c r="R582" s="17" t="e">
        <f>IF(Data!#REF!="","",IF(ISNUMBER(MATCH(Data!#REF!,Data_Val!$B$2:$B$15,0)),0,1))</f>
        <v>#REF!</v>
      </c>
      <c r="S582" s="11" t="str">
        <f>IF(Data!G582="","",IF(Data!G582=Data_Val!$C$2,IF(Data!M582="",0,1),0))</f>
        <v/>
      </c>
      <c r="T582" s="11" t="str">
        <f>IF(Data!M582="","",IF(ISNUMBER(MATCH(Data!N582,Data_Val!$A$2:$A$3,0)),0,1))</f>
        <v/>
      </c>
      <c r="U582" s="11" t="str">
        <f ca="1">IF(Data!M582="","",IF(ISNUMBER(Data!O582),IF(AND(Data!O582&gt;(TODAY()-(Data_Val!$K$3*365.25)),Data!O582&lt;=(TODAY()-(Data_Val!$K$2*365.25))),0,1),1))</f>
        <v/>
      </c>
      <c r="V582" s="12" t="str">
        <f>IF(Data!G582="","",IF(Data!G582=Data_Val!$C$2,IF(Data!P582="",0,1),0))</f>
        <v/>
      </c>
      <c r="W582" s="12" t="str">
        <f>IF(Data!P582="","",IF(ISNUMBER(MATCH(Data!Q582,Data_Val!$A$2:$A$3,0)),0,1))</f>
        <v/>
      </c>
      <c r="X582" s="26" t="str">
        <f ca="1">IF(Data!P582="","",IF(ISNUMBER(Data!R582),IF(AND(Data!R582&gt;(TODAY()-(Data_Val!$L$3*365.25)),Data!R582&lt;=(TODAY()-(Data_Val!$L$2*365.25))),0,1),1))</f>
        <v/>
      </c>
      <c r="Y582" s="13" t="str">
        <f>IF(Data!$G582="","",IF(Data!$G582=Data_Val!$C$2,IF(Data!S582="",0,1),0))</f>
        <v/>
      </c>
      <c r="Z582" s="13" t="str">
        <f>IF(Data!S582="","",IF(ISNUMBER(MATCH(Data!T582,Data_Val!$A$2:$A$3,0)),0,1))</f>
        <v/>
      </c>
      <c r="AA582" s="28" t="str">
        <f ca="1">IF(Data!S582="","",IF(ISNUMBER(Data!U582),IF(AND(Data!U582&gt;(TODAY()-(Data_Val!$L$3*365.25)),Data!U582&lt;=(TODAY()-(Data_Val!$L$2*365.25))),0,1),1))</f>
        <v/>
      </c>
      <c r="AB582" s="11"/>
      <c r="AC582" s="11" t="e">
        <f>IF(Data!#REF!="","",IF(ISNUMBER(MATCH(Data!#REF!,Data_Val!$A$2:$A$3,0)),0,1))</f>
        <v>#REF!</v>
      </c>
      <c r="AD582" s="11" t="e">
        <f ca="1">IF(Data!#REF!="","",IF(ISNUMBER(Data!#REF!),IF(AND(Data!#REF!&gt;(TODAY()-(Data_Val!$L$3*365.25)),Data!#REF!&lt;=(TODAY()-(Data_Val!$L$2*365.25))),0,1),1))</f>
        <v>#REF!</v>
      </c>
      <c r="AE582" s="11" t="e">
        <f>IF(Data!#REF!="","",IF(Data!$G582="",1,IF(ISNUMBER(MATCH(Data!#REF!,Data_Val!$D$2:$D$10,0)),0,1)))</f>
        <v>#REF!</v>
      </c>
      <c r="AF582" s="12"/>
      <c r="AG582" s="12" t="e">
        <f>IF(Data!#REF!="","",IF(ISNUMBER(MATCH(Data!#REF!,Data_Val!$A$2:$A$3,0)),0,1))</f>
        <v>#REF!</v>
      </c>
      <c r="AH582" s="26" t="e">
        <f ca="1">IF(Data!#REF!="","",IF(ISNUMBER(Data!#REF!),IF(AND(Data!#REF!&gt;(TODAY()-(Data_Val!$L$3*365.25)),Data!#REF!&lt;=(TODAY()-(Data_Val!$L$2*365.25))),0,1),1))</f>
        <v>#REF!</v>
      </c>
      <c r="AI582" s="12" t="e">
        <f>IF(Data!#REF!="","",IF(Data!$G582="",1,IF(ISNUMBER(MATCH(Data!#REF!,Data_Val!$D$2:$D$10,0)),0,1)))</f>
        <v>#REF!</v>
      </c>
      <c r="AJ582" s="17"/>
      <c r="AK582" s="17" t="e">
        <f>IF(Data!#REF!="","",IF(ISNUMBER(MATCH(Data!#REF!,Data_Val!$A$2:$A$3,0)),0,1))</f>
        <v>#REF!</v>
      </c>
      <c r="AL582" s="25" t="e">
        <f ca="1">IF(Data!#REF!="","",IF(ISNUMBER(Data!#REF!),IF(AND(Data!#REF!&gt;(TODAY()-(Data_Val!$L$3*365.25)),Data!#REF!&lt;=(TODAY()-(Data_Val!$L$2*365.25))),0,1),1))</f>
        <v>#REF!</v>
      </c>
      <c r="AM582" s="17" t="e">
        <f>IF(Data!#REF!="","",IF(Data!$G582="",1,IF(ISNUMBER(MATCH(Data!#REF!,Data_Val!$D$2:$D$10,0)),0,1)))</f>
        <v>#REF!</v>
      </c>
      <c r="AN582" s="13"/>
      <c r="AO582" s="28" t="e">
        <f ca="1">IF(Data!#REF!="","",IF(ISNUMBER(Data!#REF!),IF(AND(Data!#REF!&gt;(TODAY()-(Data_Val!$I$3*365.25)),Data!#REF!&lt;=(TODAY()-(Data_Val!$I$2*365.25))),0,1),1))</f>
        <v>#REF!</v>
      </c>
      <c r="AP582" s="13" t="e">
        <f>IF(Data!#REF!="","",IF(Data!$G582="",1,IF(ISNUMBER(MATCH(Data!#REF!,Data_Val!$D$2:$D$10,0)),0,1)))</f>
        <v>#REF!</v>
      </c>
      <c r="AQ582" s="17"/>
      <c r="AR582" s="30" t="e">
        <f ca="1">IF(Data!#REF!="","",IF(ISNUMBER(Data!#REF!),IF(AND(Data!#REF!&gt;(TODAY()-(Data_Val!$I$3*365.25)),Data!#REF!&lt;=(TODAY()-(Data_Val!$I$2*365.25))),0,1),1))</f>
        <v>#REF!</v>
      </c>
      <c r="AS582" s="31" t="e">
        <f>IF(Data!#REF!="","",IF(Data!$G582="",1,IF(ISNUMBER(MATCH(Data!#REF!,Data_Val!$D$2:$D$10,0)),0,1)))</f>
        <v>#REF!</v>
      </c>
      <c r="AT582" s="11"/>
      <c r="AU582" s="11" t="e">
        <f ca="1">IF(Data!#REF!="","",IF(ISNUMBER(Data!#REF!),IF(AND(Data!#REF!&gt;(TODAY()-(Data_Val!$I$3*365.25)),Data!#REF!&lt;=(TODAY()-(Data_Val!$I$2*365.25))),0,1),1))</f>
        <v>#REF!</v>
      </c>
      <c r="AV582" s="11" t="e">
        <f>IF(Data!#REF!="","",IF(Data!$G582="",1,IF(ISNUMBER(MATCH(Data!#REF!,Data_Val!$D$2:$D$10,0)),0,1)))</f>
        <v>#REF!</v>
      </c>
      <c r="AW582" s="12"/>
      <c r="AX582" s="26" t="e">
        <f ca="1">IF(Data!#REF!="","",IF(ISNUMBER(Data!#REF!),IF(AND(Data!#REF!&gt;(TODAY()-(Data_Val!$I$3*365.25)),Data!#REF!&lt;=(TODAY()-(Data_Val!$I$2*365.25))),0,1),1))</f>
        <v>#REF!</v>
      </c>
      <c r="AY582" s="12" t="e">
        <f>IF(Data!#REF!="","",IF(Data!$G582="",1,IF(ISNUMBER(MATCH(Data!#REF!,Data_Val!$D$2:$D$10,0)),0,1)))</f>
        <v>#REF!</v>
      </c>
      <c r="AZ582" s="11"/>
      <c r="BA582" s="19" t="e">
        <f ca="1">IF(Data!#REF!="","",IF(ISNUMBER(Data!#REF!),IF(AND(Data!#REF!&gt;(TODAY()-(Data_Val!$M$3*365.25)),Data!#REF!&lt;=(TODAY()-(Data_Val!$M$2*365.25))),0,1),1))</f>
        <v>#REF!</v>
      </c>
      <c r="BB582" s="11" t="e">
        <f>IF(Data!#REF!="","",IF(Data!$G582="",1,IF(ISNUMBER(MATCH(Data!#REF!,Data_Val!$D$2:$D$10,0)),0,1)))</f>
        <v>#REF!</v>
      </c>
      <c r="BC582" s="12"/>
      <c r="BD582" s="20" t="e">
        <f ca="1">IF(Data!#REF!="","",IF(ISNUMBER(Data!#REF!),IF(AND(Data!#REF!&gt;(TODAY()-(Data_Val!$M$3*365.25)),Data!#REF!&lt;=(TODAY()-(Data_Val!$M$2*365.25))),0,1),1))</f>
        <v>#REF!</v>
      </c>
      <c r="BE582" s="12" t="e">
        <f>IF(Data!#REF!="","",IF(Data!$G582="",1,IF(ISNUMBER(MATCH(Data!#REF!,Data_Val!$D$2:$D$10,0)),0,1)))</f>
        <v>#REF!</v>
      </c>
      <c r="BF582" s="17"/>
      <c r="BG582" s="18" t="e">
        <f ca="1">IF(Data!#REF!="","",IF(ISNUMBER(Data!#REF!),IF(AND(Data!#REF!&gt;(TODAY()-(Data_Val!$M$3*365.25)),Data!#REF!&lt;=(TODAY()-(Data_Val!$M$2*365.25))),0,1),1))</f>
        <v>#REF!</v>
      </c>
      <c r="BH582" s="29" t="e">
        <f>IF(Data!#REF!="","",IF(Data!$G582="",1,IF(ISNUMBER(MATCH(Data!#REF!,Data_Val!$D$2:$D$10,0)),0,1)))</f>
        <v>#REF!</v>
      </c>
      <c r="BI582" s="13"/>
      <c r="BJ582" s="21" t="e">
        <f ca="1">IF(Data!#REF!="","",IF(ISNUMBER(Data!#REF!),IF(AND(Data!#REF!&gt;(TODAY()-(Data_Val!$M$3*365.25)),Data!#REF!&lt;=(TODAY()-(Data_Val!$M$2*365.25))),0,1),1))</f>
        <v>#REF!</v>
      </c>
      <c r="BK582" s="13" t="e">
        <f>IF(Data!#REF!="","",IF(Data!$G582="",1,IF(ISNUMBER(MATCH(Data!#REF!,Data_Val!$D$2:$D$10,0)),0,1)))</f>
        <v>#REF!</v>
      </c>
    </row>
    <row r="583" spans="1:63" x14ac:dyDescent="0.25">
      <c r="A583" s="9" t="str">
        <f>IF(Data!B583="","",IF(COUNTIFS(Data!A$1:'Data'!A583,Data!A583)&lt;=1,0,1))</f>
        <v/>
      </c>
      <c r="B583" s="9"/>
      <c r="C583" s="23" t="str">
        <f>IF(Data!C583="","",(IF(ISNUMBER(MATCH("*@*.?*",Data!C583,0)),0,1)+IF(COUNTIFS(Data!C$1:'Data'!C583,Data!C583)&gt;1,1,0)))</f>
        <v/>
      </c>
      <c r="D583" s="9" t="str">
        <f>IF(Data!B583="","",IF(ISNUMBER(Data!D583),IF(AND(Data!D583&gt;999999999,Data!D583&lt;=9999999999),IF(COUNTIFS(Data!D$1:'Data'!D583,Data!D583)&lt;=1,0,1),1),1))</f>
        <v/>
      </c>
      <c r="E583" s="9" t="str">
        <f>IF(Data!B583="","",IF(ISNUMBER(MATCH(Data!E583,Data_Val!$A$2:$A$3,0)),0,1))</f>
        <v/>
      </c>
      <c r="F583" s="9" t="str">
        <f ca="1">IF(Data!B583="","",IF(ISNUMBER(Data!F583),IF(AND(Data!F583&gt;(TODAY()-(Data_Val!$H$3*365.25)),Data!F583&lt;=(TODAY()-(Data_Val!$H$2*365.25))),0,1),1))</f>
        <v/>
      </c>
      <c r="G583" s="15" t="str">
        <f>IF(Data!B583="","",IF(AND(Data!G583="",Data!H583&lt;&gt;""),1,IF(Data!#REF!&lt;&gt;"",0,IF(ISNUMBER(MATCH(Data!G583,Data_Val!$C$2:$C$5,0)),0,1))))</f>
        <v/>
      </c>
      <c r="H583" s="15" t="str">
        <f>IF(Data!B583="","",IF(AND(Data!G583&lt;&gt;"",Data!H583=""),1,IF(Data!#REF!&lt;&gt;"",0,IF(Data!G583="",1,IF(ISNUMBER(MATCH(Data!H583,Data_Val!$D$2:$D$35,0)),0,1)))))</f>
        <v/>
      </c>
      <c r="I583" s="15" t="str">
        <f>IF(Data!B583="","",IF(Data!G583&lt;&gt;"",0,IF(ISNUMBER(MATCH(Data!#REF!,Data_Val!$E$2:$E$12,0)),0,1)))</f>
        <v/>
      </c>
      <c r="J583" s="16" t="e">
        <f>IF(OR(Data!B583="",Data!#REF!=""),"",IF(Data!#REF!="",1,0))</f>
        <v>#REF!</v>
      </c>
      <c r="K583" s="16" t="e">
        <f>IF(OR(Data!B583="",Data!#REF!=""),"",IF(Data!#REF!="",1,0))</f>
        <v>#REF!</v>
      </c>
      <c r="L583" s="16" t="e">
        <f>IF(OR(Data!B583="",Data!#REF!=""),"",IF(ISNUMBER(Data!#REF!),IF(AND(Data!#REF!&gt;Data_Val!$G$2,Data!#REF!&lt;=Data_Val!$G$3),0,1),1))</f>
        <v>#REF!</v>
      </c>
      <c r="M583" s="9" t="e">
        <f>IF(OR(Data!B583="",Data!#REF!=""),"",IF(ISNUMBER(MATCH(Data!#REF!,Data_Val!$F$1:$F$38,0)),0,1))</f>
        <v>#REF!</v>
      </c>
      <c r="N583" s="9" t="e">
        <f>IF(OR(Data!B583="",Data!#REF!=""),"",IF(Data!#REF!="",1,0))</f>
        <v>#REF!</v>
      </c>
      <c r="O583" s="17" t="e">
        <f>IF(Data!#REF!="","",IF(Data!#REF!="",1,0))</f>
        <v>#REF!</v>
      </c>
      <c r="P583" s="17" t="e">
        <f>IF(Data!#REF!="","",IF(ISNUMBER(MATCH(Data!#REF!,Data_Val!$A$2:$A$3,0)),0,1))</f>
        <v>#REF!</v>
      </c>
      <c r="Q583" s="25" t="e">
        <f ca="1">IF(Data!#REF!="","",IF(ISNUMBER(Data!#REF!),IF(AND(Data!#REF!&gt;(TODAY()-(Data_Val!$J$3*365.25)),Data!#REF!&lt;=(TODAY()-(Data_Val!$J$2*365.25))),0,1),1))</f>
        <v>#REF!</v>
      </c>
      <c r="R583" s="17" t="e">
        <f>IF(Data!#REF!="","",IF(ISNUMBER(MATCH(Data!#REF!,Data_Val!$B$2:$B$15,0)),0,1))</f>
        <v>#REF!</v>
      </c>
      <c r="S583" s="11" t="str">
        <f>IF(Data!G583="","",IF(Data!G583=Data_Val!$C$2,IF(Data!M583="",0,1),0))</f>
        <v/>
      </c>
      <c r="T583" s="11" t="str">
        <f>IF(Data!M583="","",IF(ISNUMBER(MATCH(Data!N583,Data_Val!$A$2:$A$3,0)),0,1))</f>
        <v/>
      </c>
      <c r="U583" s="11" t="str">
        <f ca="1">IF(Data!M583="","",IF(ISNUMBER(Data!O583),IF(AND(Data!O583&gt;(TODAY()-(Data_Val!$K$3*365.25)),Data!O583&lt;=(TODAY()-(Data_Val!$K$2*365.25))),0,1),1))</f>
        <v/>
      </c>
      <c r="V583" s="12" t="str">
        <f>IF(Data!G583="","",IF(Data!G583=Data_Val!$C$2,IF(Data!P583="",0,1),0))</f>
        <v/>
      </c>
      <c r="W583" s="12" t="str">
        <f>IF(Data!P583="","",IF(ISNUMBER(MATCH(Data!Q583,Data_Val!$A$2:$A$3,0)),0,1))</f>
        <v/>
      </c>
      <c r="X583" s="26" t="str">
        <f ca="1">IF(Data!P583="","",IF(ISNUMBER(Data!R583),IF(AND(Data!R583&gt;(TODAY()-(Data_Val!$L$3*365.25)),Data!R583&lt;=(TODAY()-(Data_Val!$L$2*365.25))),0,1),1))</f>
        <v/>
      </c>
      <c r="Y583" s="13" t="str">
        <f>IF(Data!$G583="","",IF(Data!$G583=Data_Val!$C$2,IF(Data!S583="",0,1),0))</f>
        <v/>
      </c>
      <c r="Z583" s="13" t="str">
        <f>IF(Data!S583="","",IF(ISNUMBER(MATCH(Data!T583,Data_Val!$A$2:$A$3,0)),0,1))</f>
        <v/>
      </c>
      <c r="AA583" s="28" t="str">
        <f ca="1">IF(Data!S583="","",IF(ISNUMBER(Data!U583),IF(AND(Data!U583&gt;(TODAY()-(Data_Val!$L$3*365.25)),Data!U583&lt;=(TODAY()-(Data_Val!$L$2*365.25))),0,1),1))</f>
        <v/>
      </c>
      <c r="AB583" s="11"/>
      <c r="AC583" s="11" t="e">
        <f>IF(Data!#REF!="","",IF(ISNUMBER(MATCH(Data!#REF!,Data_Val!$A$2:$A$3,0)),0,1))</f>
        <v>#REF!</v>
      </c>
      <c r="AD583" s="11" t="e">
        <f ca="1">IF(Data!#REF!="","",IF(ISNUMBER(Data!#REF!),IF(AND(Data!#REF!&gt;(TODAY()-(Data_Val!$L$3*365.25)),Data!#REF!&lt;=(TODAY()-(Data_Val!$L$2*365.25))),0,1),1))</f>
        <v>#REF!</v>
      </c>
      <c r="AE583" s="11" t="e">
        <f>IF(Data!#REF!="","",IF(Data!$G583="",1,IF(ISNUMBER(MATCH(Data!#REF!,Data_Val!$D$2:$D$10,0)),0,1)))</f>
        <v>#REF!</v>
      </c>
      <c r="AF583" s="12"/>
      <c r="AG583" s="12" t="e">
        <f>IF(Data!#REF!="","",IF(ISNUMBER(MATCH(Data!#REF!,Data_Val!$A$2:$A$3,0)),0,1))</f>
        <v>#REF!</v>
      </c>
      <c r="AH583" s="26" t="e">
        <f ca="1">IF(Data!#REF!="","",IF(ISNUMBER(Data!#REF!),IF(AND(Data!#REF!&gt;(TODAY()-(Data_Val!$L$3*365.25)),Data!#REF!&lt;=(TODAY()-(Data_Val!$L$2*365.25))),0,1),1))</f>
        <v>#REF!</v>
      </c>
      <c r="AI583" s="12" t="e">
        <f>IF(Data!#REF!="","",IF(Data!$G583="",1,IF(ISNUMBER(MATCH(Data!#REF!,Data_Val!$D$2:$D$10,0)),0,1)))</f>
        <v>#REF!</v>
      </c>
      <c r="AJ583" s="17"/>
      <c r="AK583" s="17" t="e">
        <f>IF(Data!#REF!="","",IF(ISNUMBER(MATCH(Data!#REF!,Data_Val!$A$2:$A$3,0)),0,1))</f>
        <v>#REF!</v>
      </c>
      <c r="AL583" s="25" t="e">
        <f ca="1">IF(Data!#REF!="","",IF(ISNUMBER(Data!#REF!),IF(AND(Data!#REF!&gt;(TODAY()-(Data_Val!$L$3*365.25)),Data!#REF!&lt;=(TODAY()-(Data_Val!$L$2*365.25))),0,1),1))</f>
        <v>#REF!</v>
      </c>
      <c r="AM583" s="17" t="e">
        <f>IF(Data!#REF!="","",IF(Data!$G583="",1,IF(ISNUMBER(MATCH(Data!#REF!,Data_Val!$D$2:$D$10,0)),0,1)))</f>
        <v>#REF!</v>
      </c>
      <c r="AN583" s="13"/>
      <c r="AO583" s="28" t="e">
        <f ca="1">IF(Data!#REF!="","",IF(ISNUMBER(Data!#REF!),IF(AND(Data!#REF!&gt;(TODAY()-(Data_Val!$I$3*365.25)),Data!#REF!&lt;=(TODAY()-(Data_Val!$I$2*365.25))),0,1),1))</f>
        <v>#REF!</v>
      </c>
      <c r="AP583" s="13" t="e">
        <f>IF(Data!#REF!="","",IF(Data!$G583="",1,IF(ISNUMBER(MATCH(Data!#REF!,Data_Val!$D$2:$D$10,0)),0,1)))</f>
        <v>#REF!</v>
      </c>
      <c r="AQ583" s="17"/>
      <c r="AR583" s="30" t="e">
        <f ca="1">IF(Data!#REF!="","",IF(ISNUMBER(Data!#REF!),IF(AND(Data!#REF!&gt;(TODAY()-(Data_Val!$I$3*365.25)),Data!#REF!&lt;=(TODAY()-(Data_Val!$I$2*365.25))),0,1),1))</f>
        <v>#REF!</v>
      </c>
      <c r="AS583" s="31" t="e">
        <f>IF(Data!#REF!="","",IF(Data!$G583="",1,IF(ISNUMBER(MATCH(Data!#REF!,Data_Val!$D$2:$D$10,0)),0,1)))</f>
        <v>#REF!</v>
      </c>
      <c r="AT583" s="11"/>
      <c r="AU583" s="11" t="e">
        <f ca="1">IF(Data!#REF!="","",IF(ISNUMBER(Data!#REF!),IF(AND(Data!#REF!&gt;(TODAY()-(Data_Val!$I$3*365.25)),Data!#REF!&lt;=(TODAY()-(Data_Val!$I$2*365.25))),0,1),1))</f>
        <v>#REF!</v>
      </c>
      <c r="AV583" s="11" t="e">
        <f>IF(Data!#REF!="","",IF(Data!$G583="",1,IF(ISNUMBER(MATCH(Data!#REF!,Data_Val!$D$2:$D$10,0)),0,1)))</f>
        <v>#REF!</v>
      </c>
      <c r="AW583" s="12"/>
      <c r="AX583" s="26" t="e">
        <f ca="1">IF(Data!#REF!="","",IF(ISNUMBER(Data!#REF!),IF(AND(Data!#REF!&gt;(TODAY()-(Data_Val!$I$3*365.25)),Data!#REF!&lt;=(TODAY()-(Data_Val!$I$2*365.25))),0,1),1))</f>
        <v>#REF!</v>
      </c>
      <c r="AY583" s="12" t="e">
        <f>IF(Data!#REF!="","",IF(Data!$G583="",1,IF(ISNUMBER(MATCH(Data!#REF!,Data_Val!$D$2:$D$10,0)),0,1)))</f>
        <v>#REF!</v>
      </c>
      <c r="AZ583" s="11"/>
      <c r="BA583" s="19" t="e">
        <f ca="1">IF(Data!#REF!="","",IF(ISNUMBER(Data!#REF!),IF(AND(Data!#REF!&gt;(TODAY()-(Data_Val!$M$3*365.25)),Data!#REF!&lt;=(TODAY()-(Data_Val!$M$2*365.25))),0,1),1))</f>
        <v>#REF!</v>
      </c>
      <c r="BB583" s="11" t="e">
        <f>IF(Data!#REF!="","",IF(Data!$G583="",1,IF(ISNUMBER(MATCH(Data!#REF!,Data_Val!$D$2:$D$10,0)),0,1)))</f>
        <v>#REF!</v>
      </c>
      <c r="BC583" s="12"/>
      <c r="BD583" s="20" t="e">
        <f ca="1">IF(Data!#REF!="","",IF(ISNUMBER(Data!#REF!),IF(AND(Data!#REF!&gt;(TODAY()-(Data_Val!$M$3*365.25)),Data!#REF!&lt;=(TODAY()-(Data_Val!$M$2*365.25))),0,1),1))</f>
        <v>#REF!</v>
      </c>
      <c r="BE583" s="12" t="e">
        <f>IF(Data!#REF!="","",IF(Data!$G583="",1,IF(ISNUMBER(MATCH(Data!#REF!,Data_Val!$D$2:$D$10,0)),0,1)))</f>
        <v>#REF!</v>
      </c>
      <c r="BF583" s="17"/>
      <c r="BG583" s="18" t="e">
        <f ca="1">IF(Data!#REF!="","",IF(ISNUMBER(Data!#REF!),IF(AND(Data!#REF!&gt;(TODAY()-(Data_Val!$M$3*365.25)),Data!#REF!&lt;=(TODAY()-(Data_Val!$M$2*365.25))),0,1),1))</f>
        <v>#REF!</v>
      </c>
      <c r="BH583" s="29" t="e">
        <f>IF(Data!#REF!="","",IF(Data!$G583="",1,IF(ISNUMBER(MATCH(Data!#REF!,Data_Val!$D$2:$D$10,0)),0,1)))</f>
        <v>#REF!</v>
      </c>
      <c r="BI583" s="13"/>
      <c r="BJ583" s="21" t="e">
        <f ca="1">IF(Data!#REF!="","",IF(ISNUMBER(Data!#REF!),IF(AND(Data!#REF!&gt;(TODAY()-(Data_Val!$M$3*365.25)),Data!#REF!&lt;=(TODAY()-(Data_Val!$M$2*365.25))),0,1),1))</f>
        <v>#REF!</v>
      </c>
      <c r="BK583" s="13" t="e">
        <f>IF(Data!#REF!="","",IF(Data!$G583="",1,IF(ISNUMBER(MATCH(Data!#REF!,Data_Val!$D$2:$D$10,0)),0,1)))</f>
        <v>#REF!</v>
      </c>
    </row>
    <row r="584" spans="1:63" x14ac:dyDescent="0.25">
      <c r="A584" s="9" t="str">
        <f>IF(Data!B584="","",IF(COUNTIFS(Data!A$1:'Data'!A584,Data!A584)&lt;=1,0,1))</f>
        <v/>
      </c>
      <c r="B584" s="9"/>
      <c r="C584" s="23" t="str">
        <f>IF(Data!C584="","",(IF(ISNUMBER(MATCH("*@*.?*",Data!C584,0)),0,1)+IF(COUNTIFS(Data!C$1:'Data'!C584,Data!C584)&gt;1,1,0)))</f>
        <v/>
      </c>
      <c r="D584" s="9" t="str">
        <f>IF(Data!B584="","",IF(ISNUMBER(Data!D584),IF(AND(Data!D584&gt;999999999,Data!D584&lt;=9999999999),IF(COUNTIFS(Data!D$1:'Data'!D584,Data!D584)&lt;=1,0,1),1),1))</f>
        <v/>
      </c>
      <c r="E584" s="9" t="str">
        <f>IF(Data!B584="","",IF(ISNUMBER(MATCH(Data!E584,Data_Val!$A$2:$A$3,0)),0,1))</f>
        <v/>
      </c>
      <c r="F584" s="9" t="str">
        <f ca="1">IF(Data!B584="","",IF(ISNUMBER(Data!F584),IF(AND(Data!F584&gt;(TODAY()-(Data_Val!$H$3*365.25)),Data!F584&lt;=(TODAY()-(Data_Val!$H$2*365.25))),0,1),1))</f>
        <v/>
      </c>
      <c r="G584" s="15" t="str">
        <f>IF(Data!B584="","",IF(AND(Data!G584="",Data!H584&lt;&gt;""),1,IF(Data!#REF!&lt;&gt;"",0,IF(ISNUMBER(MATCH(Data!G584,Data_Val!$C$2:$C$5,0)),0,1))))</f>
        <v/>
      </c>
      <c r="H584" s="15" t="str">
        <f>IF(Data!B584="","",IF(AND(Data!G584&lt;&gt;"",Data!H584=""),1,IF(Data!#REF!&lt;&gt;"",0,IF(Data!G584="",1,IF(ISNUMBER(MATCH(Data!H584,Data_Val!$D$2:$D$35,0)),0,1)))))</f>
        <v/>
      </c>
      <c r="I584" s="15" t="str">
        <f>IF(Data!B584="","",IF(Data!G584&lt;&gt;"",0,IF(ISNUMBER(MATCH(Data!#REF!,Data_Val!$E$2:$E$12,0)),0,1)))</f>
        <v/>
      </c>
      <c r="J584" s="16" t="e">
        <f>IF(OR(Data!B584="",Data!#REF!=""),"",IF(Data!#REF!="",1,0))</f>
        <v>#REF!</v>
      </c>
      <c r="K584" s="16" t="e">
        <f>IF(OR(Data!B584="",Data!#REF!=""),"",IF(Data!#REF!="",1,0))</f>
        <v>#REF!</v>
      </c>
      <c r="L584" s="16" t="e">
        <f>IF(OR(Data!B584="",Data!#REF!=""),"",IF(ISNUMBER(Data!#REF!),IF(AND(Data!#REF!&gt;Data_Val!$G$2,Data!#REF!&lt;=Data_Val!$G$3),0,1),1))</f>
        <v>#REF!</v>
      </c>
      <c r="M584" s="9" t="e">
        <f>IF(OR(Data!B584="",Data!#REF!=""),"",IF(ISNUMBER(MATCH(Data!#REF!,Data_Val!$F$1:$F$38,0)),0,1))</f>
        <v>#REF!</v>
      </c>
      <c r="N584" s="9" t="e">
        <f>IF(OR(Data!B584="",Data!#REF!=""),"",IF(Data!#REF!="",1,0))</f>
        <v>#REF!</v>
      </c>
      <c r="O584" s="17" t="e">
        <f>IF(Data!#REF!="","",IF(Data!#REF!="",1,0))</f>
        <v>#REF!</v>
      </c>
      <c r="P584" s="17" t="e">
        <f>IF(Data!#REF!="","",IF(ISNUMBER(MATCH(Data!#REF!,Data_Val!$A$2:$A$3,0)),0,1))</f>
        <v>#REF!</v>
      </c>
      <c r="Q584" s="25" t="e">
        <f ca="1">IF(Data!#REF!="","",IF(ISNUMBER(Data!#REF!),IF(AND(Data!#REF!&gt;(TODAY()-(Data_Val!$J$3*365.25)),Data!#REF!&lt;=(TODAY()-(Data_Val!$J$2*365.25))),0,1),1))</f>
        <v>#REF!</v>
      </c>
      <c r="R584" s="17" t="e">
        <f>IF(Data!#REF!="","",IF(ISNUMBER(MATCH(Data!#REF!,Data_Val!$B$2:$B$15,0)),0,1))</f>
        <v>#REF!</v>
      </c>
      <c r="S584" s="11" t="str">
        <f>IF(Data!G584="","",IF(Data!G584=Data_Val!$C$2,IF(Data!M584="",0,1),0))</f>
        <v/>
      </c>
      <c r="T584" s="11" t="str">
        <f>IF(Data!M584="","",IF(ISNUMBER(MATCH(Data!N584,Data_Val!$A$2:$A$3,0)),0,1))</f>
        <v/>
      </c>
      <c r="U584" s="11" t="str">
        <f ca="1">IF(Data!M584="","",IF(ISNUMBER(Data!O584),IF(AND(Data!O584&gt;(TODAY()-(Data_Val!$K$3*365.25)),Data!O584&lt;=(TODAY()-(Data_Val!$K$2*365.25))),0,1),1))</f>
        <v/>
      </c>
      <c r="V584" s="12" t="str">
        <f>IF(Data!G584="","",IF(Data!G584=Data_Val!$C$2,IF(Data!P584="",0,1),0))</f>
        <v/>
      </c>
      <c r="W584" s="12" t="str">
        <f>IF(Data!P584="","",IF(ISNUMBER(MATCH(Data!Q584,Data_Val!$A$2:$A$3,0)),0,1))</f>
        <v/>
      </c>
      <c r="X584" s="26" t="str">
        <f ca="1">IF(Data!P584="","",IF(ISNUMBER(Data!R584),IF(AND(Data!R584&gt;(TODAY()-(Data_Val!$L$3*365.25)),Data!R584&lt;=(TODAY()-(Data_Val!$L$2*365.25))),0,1),1))</f>
        <v/>
      </c>
      <c r="Y584" s="13" t="str">
        <f>IF(Data!$G584="","",IF(Data!$G584=Data_Val!$C$2,IF(Data!S584="",0,1),0))</f>
        <v/>
      </c>
      <c r="Z584" s="13" t="str">
        <f>IF(Data!S584="","",IF(ISNUMBER(MATCH(Data!T584,Data_Val!$A$2:$A$3,0)),0,1))</f>
        <v/>
      </c>
      <c r="AA584" s="28" t="str">
        <f ca="1">IF(Data!S584="","",IF(ISNUMBER(Data!U584),IF(AND(Data!U584&gt;(TODAY()-(Data_Val!$L$3*365.25)),Data!U584&lt;=(TODAY()-(Data_Val!$L$2*365.25))),0,1),1))</f>
        <v/>
      </c>
      <c r="AB584" s="11"/>
      <c r="AC584" s="11" t="e">
        <f>IF(Data!#REF!="","",IF(ISNUMBER(MATCH(Data!#REF!,Data_Val!$A$2:$A$3,0)),0,1))</f>
        <v>#REF!</v>
      </c>
      <c r="AD584" s="11" t="e">
        <f ca="1">IF(Data!#REF!="","",IF(ISNUMBER(Data!#REF!),IF(AND(Data!#REF!&gt;(TODAY()-(Data_Val!$L$3*365.25)),Data!#REF!&lt;=(TODAY()-(Data_Val!$L$2*365.25))),0,1),1))</f>
        <v>#REF!</v>
      </c>
      <c r="AE584" s="11" t="e">
        <f>IF(Data!#REF!="","",IF(Data!$G584="",1,IF(ISNUMBER(MATCH(Data!#REF!,Data_Val!$D$2:$D$10,0)),0,1)))</f>
        <v>#REF!</v>
      </c>
      <c r="AF584" s="12"/>
      <c r="AG584" s="12" t="e">
        <f>IF(Data!#REF!="","",IF(ISNUMBER(MATCH(Data!#REF!,Data_Val!$A$2:$A$3,0)),0,1))</f>
        <v>#REF!</v>
      </c>
      <c r="AH584" s="26" t="e">
        <f ca="1">IF(Data!#REF!="","",IF(ISNUMBER(Data!#REF!),IF(AND(Data!#REF!&gt;(TODAY()-(Data_Val!$L$3*365.25)),Data!#REF!&lt;=(TODAY()-(Data_Val!$L$2*365.25))),0,1),1))</f>
        <v>#REF!</v>
      </c>
      <c r="AI584" s="12" t="e">
        <f>IF(Data!#REF!="","",IF(Data!$G584="",1,IF(ISNUMBER(MATCH(Data!#REF!,Data_Val!$D$2:$D$10,0)),0,1)))</f>
        <v>#REF!</v>
      </c>
      <c r="AJ584" s="17"/>
      <c r="AK584" s="17" t="e">
        <f>IF(Data!#REF!="","",IF(ISNUMBER(MATCH(Data!#REF!,Data_Val!$A$2:$A$3,0)),0,1))</f>
        <v>#REF!</v>
      </c>
      <c r="AL584" s="25" t="e">
        <f ca="1">IF(Data!#REF!="","",IF(ISNUMBER(Data!#REF!),IF(AND(Data!#REF!&gt;(TODAY()-(Data_Val!$L$3*365.25)),Data!#REF!&lt;=(TODAY()-(Data_Val!$L$2*365.25))),0,1),1))</f>
        <v>#REF!</v>
      </c>
      <c r="AM584" s="17" t="e">
        <f>IF(Data!#REF!="","",IF(Data!$G584="",1,IF(ISNUMBER(MATCH(Data!#REF!,Data_Val!$D$2:$D$10,0)),0,1)))</f>
        <v>#REF!</v>
      </c>
      <c r="AN584" s="13"/>
      <c r="AO584" s="28" t="e">
        <f ca="1">IF(Data!#REF!="","",IF(ISNUMBER(Data!#REF!),IF(AND(Data!#REF!&gt;(TODAY()-(Data_Val!$I$3*365.25)),Data!#REF!&lt;=(TODAY()-(Data_Val!$I$2*365.25))),0,1),1))</f>
        <v>#REF!</v>
      </c>
      <c r="AP584" s="13" t="e">
        <f>IF(Data!#REF!="","",IF(Data!$G584="",1,IF(ISNUMBER(MATCH(Data!#REF!,Data_Val!$D$2:$D$10,0)),0,1)))</f>
        <v>#REF!</v>
      </c>
      <c r="AQ584" s="17"/>
      <c r="AR584" s="30" t="e">
        <f ca="1">IF(Data!#REF!="","",IF(ISNUMBER(Data!#REF!),IF(AND(Data!#REF!&gt;(TODAY()-(Data_Val!$I$3*365.25)),Data!#REF!&lt;=(TODAY()-(Data_Val!$I$2*365.25))),0,1),1))</f>
        <v>#REF!</v>
      </c>
      <c r="AS584" s="31" t="e">
        <f>IF(Data!#REF!="","",IF(Data!$G584="",1,IF(ISNUMBER(MATCH(Data!#REF!,Data_Val!$D$2:$D$10,0)),0,1)))</f>
        <v>#REF!</v>
      </c>
      <c r="AT584" s="11"/>
      <c r="AU584" s="11" t="e">
        <f ca="1">IF(Data!#REF!="","",IF(ISNUMBER(Data!#REF!),IF(AND(Data!#REF!&gt;(TODAY()-(Data_Val!$I$3*365.25)),Data!#REF!&lt;=(TODAY()-(Data_Val!$I$2*365.25))),0,1),1))</f>
        <v>#REF!</v>
      </c>
      <c r="AV584" s="11" t="e">
        <f>IF(Data!#REF!="","",IF(Data!$G584="",1,IF(ISNUMBER(MATCH(Data!#REF!,Data_Val!$D$2:$D$10,0)),0,1)))</f>
        <v>#REF!</v>
      </c>
      <c r="AW584" s="12"/>
      <c r="AX584" s="26" t="e">
        <f ca="1">IF(Data!#REF!="","",IF(ISNUMBER(Data!#REF!),IF(AND(Data!#REF!&gt;(TODAY()-(Data_Val!$I$3*365.25)),Data!#REF!&lt;=(TODAY()-(Data_Val!$I$2*365.25))),0,1),1))</f>
        <v>#REF!</v>
      </c>
      <c r="AY584" s="12" t="e">
        <f>IF(Data!#REF!="","",IF(Data!$G584="",1,IF(ISNUMBER(MATCH(Data!#REF!,Data_Val!$D$2:$D$10,0)),0,1)))</f>
        <v>#REF!</v>
      </c>
      <c r="AZ584" s="11"/>
      <c r="BA584" s="19" t="e">
        <f ca="1">IF(Data!#REF!="","",IF(ISNUMBER(Data!#REF!),IF(AND(Data!#REF!&gt;(TODAY()-(Data_Val!$M$3*365.25)),Data!#REF!&lt;=(TODAY()-(Data_Val!$M$2*365.25))),0,1),1))</f>
        <v>#REF!</v>
      </c>
      <c r="BB584" s="11" t="e">
        <f>IF(Data!#REF!="","",IF(Data!$G584="",1,IF(ISNUMBER(MATCH(Data!#REF!,Data_Val!$D$2:$D$10,0)),0,1)))</f>
        <v>#REF!</v>
      </c>
      <c r="BC584" s="12"/>
      <c r="BD584" s="20" t="e">
        <f ca="1">IF(Data!#REF!="","",IF(ISNUMBER(Data!#REF!),IF(AND(Data!#REF!&gt;(TODAY()-(Data_Val!$M$3*365.25)),Data!#REF!&lt;=(TODAY()-(Data_Val!$M$2*365.25))),0,1),1))</f>
        <v>#REF!</v>
      </c>
      <c r="BE584" s="12" t="e">
        <f>IF(Data!#REF!="","",IF(Data!$G584="",1,IF(ISNUMBER(MATCH(Data!#REF!,Data_Val!$D$2:$D$10,0)),0,1)))</f>
        <v>#REF!</v>
      </c>
      <c r="BF584" s="17"/>
      <c r="BG584" s="18" t="e">
        <f ca="1">IF(Data!#REF!="","",IF(ISNUMBER(Data!#REF!),IF(AND(Data!#REF!&gt;(TODAY()-(Data_Val!$M$3*365.25)),Data!#REF!&lt;=(TODAY()-(Data_Val!$M$2*365.25))),0,1),1))</f>
        <v>#REF!</v>
      </c>
      <c r="BH584" s="29" t="e">
        <f>IF(Data!#REF!="","",IF(Data!$G584="",1,IF(ISNUMBER(MATCH(Data!#REF!,Data_Val!$D$2:$D$10,0)),0,1)))</f>
        <v>#REF!</v>
      </c>
      <c r="BI584" s="13"/>
      <c r="BJ584" s="21" t="e">
        <f ca="1">IF(Data!#REF!="","",IF(ISNUMBER(Data!#REF!),IF(AND(Data!#REF!&gt;(TODAY()-(Data_Val!$M$3*365.25)),Data!#REF!&lt;=(TODAY()-(Data_Val!$M$2*365.25))),0,1),1))</f>
        <v>#REF!</v>
      </c>
      <c r="BK584" s="13" t="e">
        <f>IF(Data!#REF!="","",IF(Data!$G584="",1,IF(ISNUMBER(MATCH(Data!#REF!,Data_Val!$D$2:$D$10,0)),0,1)))</f>
        <v>#REF!</v>
      </c>
    </row>
    <row r="585" spans="1:63" x14ac:dyDescent="0.25">
      <c r="A585" s="9" t="str">
        <f>IF(Data!B585="","",IF(COUNTIFS(Data!A$1:'Data'!A585,Data!A585)&lt;=1,0,1))</f>
        <v/>
      </c>
      <c r="B585" s="9"/>
      <c r="C585" s="23" t="str">
        <f>IF(Data!C585="","",(IF(ISNUMBER(MATCH("*@*.?*",Data!C585,0)),0,1)+IF(COUNTIFS(Data!C$1:'Data'!C585,Data!C585)&gt;1,1,0)))</f>
        <v/>
      </c>
      <c r="D585" s="9" t="str">
        <f>IF(Data!B585="","",IF(ISNUMBER(Data!D585),IF(AND(Data!D585&gt;999999999,Data!D585&lt;=9999999999),IF(COUNTIFS(Data!D$1:'Data'!D585,Data!D585)&lt;=1,0,1),1),1))</f>
        <v/>
      </c>
      <c r="E585" s="9" t="str">
        <f>IF(Data!B585="","",IF(ISNUMBER(MATCH(Data!E585,Data_Val!$A$2:$A$3,0)),0,1))</f>
        <v/>
      </c>
      <c r="F585" s="9" t="str">
        <f ca="1">IF(Data!B585="","",IF(ISNUMBER(Data!F585),IF(AND(Data!F585&gt;(TODAY()-(Data_Val!$H$3*365.25)),Data!F585&lt;=(TODAY()-(Data_Val!$H$2*365.25))),0,1),1))</f>
        <v/>
      </c>
      <c r="G585" s="15" t="str">
        <f>IF(Data!B585="","",IF(AND(Data!G585="",Data!H585&lt;&gt;""),1,IF(Data!#REF!&lt;&gt;"",0,IF(ISNUMBER(MATCH(Data!G585,Data_Val!$C$2:$C$5,0)),0,1))))</f>
        <v/>
      </c>
      <c r="H585" s="15" t="str">
        <f>IF(Data!B585="","",IF(AND(Data!G585&lt;&gt;"",Data!H585=""),1,IF(Data!#REF!&lt;&gt;"",0,IF(Data!G585="",1,IF(ISNUMBER(MATCH(Data!H585,Data_Val!$D$2:$D$35,0)),0,1)))))</f>
        <v/>
      </c>
      <c r="I585" s="15" t="str">
        <f>IF(Data!B585="","",IF(Data!G585&lt;&gt;"",0,IF(ISNUMBER(MATCH(Data!#REF!,Data_Val!$E$2:$E$12,0)),0,1)))</f>
        <v/>
      </c>
      <c r="J585" s="16" t="e">
        <f>IF(OR(Data!B585="",Data!#REF!=""),"",IF(Data!#REF!="",1,0))</f>
        <v>#REF!</v>
      </c>
      <c r="K585" s="16" t="e">
        <f>IF(OR(Data!B585="",Data!#REF!=""),"",IF(Data!#REF!="",1,0))</f>
        <v>#REF!</v>
      </c>
      <c r="L585" s="16" t="e">
        <f>IF(OR(Data!B585="",Data!#REF!=""),"",IF(ISNUMBER(Data!#REF!),IF(AND(Data!#REF!&gt;Data_Val!$G$2,Data!#REF!&lt;=Data_Val!$G$3),0,1),1))</f>
        <v>#REF!</v>
      </c>
      <c r="M585" s="9" t="e">
        <f>IF(OR(Data!B585="",Data!#REF!=""),"",IF(ISNUMBER(MATCH(Data!#REF!,Data_Val!$F$1:$F$38,0)),0,1))</f>
        <v>#REF!</v>
      </c>
      <c r="N585" s="9" t="e">
        <f>IF(OR(Data!B585="",Data!#REF!=""),"",IF(Data!#REF!="",1,0))</f>
        <v>#REF!</v>
      </c>
      <c r="O585" s="17" t="e">
        <f>IF(Data!#REF!="","",IF(Data!#REF!="",1,0))</f>
        <v>#REF!</v>
      </c>
      <c r="P585" s="17" t="e">
        <f>IF(Data!#REF!="","",IF(ISNUMBER(MATCH(Data!#REF!,Data_Val!$A$2:$A$3,0)),0,1))</f>
        <v>#REF!</v>
      </c>
      <c r="Q585" s="25" t="e">
        <f ca="1">IF(Data!#REF!="","",IF(ISNUMBER(Data!#REF!),IF(AND(Data!#REF!&gt;(TODAY()-(Data_Val!$J$3*365.25)),Data!#REF!&lt;=(TODAY()-(Data_Val!$J$2*365.25))),0,1),1))</f>
        <v>#REF!</v>
      </c>
      <c r="R585" s="17" t="e">
        <f>IF(Data!#REF!="","",IF(ISNUMBER(MATCH(Data!#REF!,Data_Val!$B$2:$B$15,0)),0,1))</f>
        <v>#REF!</v>
      </c>
      <c r="S585" s="11" t="str">
        <f>IF(Data!G585="","",IF(Data!G585=Data_Val!$C$2,IF(Data!M585="",0,1),0))</f>
        <v/>
      </c>
      <c r="T585" s="11" t="str">
        <f>IF(Data!M585="","",IF(ISNUMBER(MATCH(Data!N585,Data_Val!$A$2:$A$3,0)),0,1))</f>
        <v/>
      </c>
      <c r="U585" s="11" t="str">
        <f ca="1">IF(Data!M585="","",IF(ISNUMBER(Data!O585),IF(AND(Data!O585&gt;(TODAY()-(Data_Val!$K$3*365.25)),Data!O585&lt;=(TODAY()-(Data_Val!$K$2*365.25))),0,1),1))</f>
        <v/>
      </c>
      <c r="V585" s="12" t="str">
        <f>IF(Data!G585="","",IF(Data!G585=Data_Val!$C$2,IF(Data!P585="",0,1),0))</f>
        <v/>
      </c>
      <c r="W585" s="12" t="str">
        <f>IF(Data!P585="","",IF(ISNUMBER(MATCH(Data!Q585,Data_Val!$A$2:$A$3,0)),0,1))</f>
        <v/>
      </c>
      <c r="X585" s="26" t="str">
        <f ca="1">IF(Data!P585="","",IF(ISNUMBER(Data!R585),IF(AND(Data!R585&gt;(TODAY()-(Data_Val!$L$3*365.25)),Data!R585&lt;=(TODAY()-(Data_Val!$L$2*365.25))),0,1),1))</f>
        <v/>
      </c>
      <c r="Y585" s="13" t="str">
        <f>IF(Data!$G585="","",IF(Data!$G585=Data_Val!$C$2,IF(Data!S585="",0,1),0))</f>
        <v/>
      </c>
      <c r="Z585" s="13" t="str">
        <f>IF(Data!S585="","",IF(ISNUMBER(MATCH(Data!T585,Data_Val!$A$2:$A$3,0)),0,1))</f>
        <v/>
      </c>
      <c r="AA585" s="28" t="str">
        <f ca="1">IF(Data!S585="","",IF(ISNUMBER(Data!U585),IF(AND(Data!U585&gt;(TODAY()-(Data_Val!$L$3*365.25)),Data!U585&lt;=(TODAY()-(Data_Val!$L$2*365.25))),0,1),1))</f>
        <v/>
      </c>
      <c r="AB585" s="11"/>
      <c r="AC585" s="11" t="e">
        <f>IF(Data!#REF!="","",IF(ISNUMBER(MATCH(Data!#REF!,Data_Val!$A$2:$A$3,0)),0,1))</f>
        <v>#REF!</v>
      </c>
      <c r="AD585" s="11" t="e">
        <f ca="1">IF(Data!#REF!="","",IF(ISNUMBER(Data!#REF!),IF(AND(Data!#REF!&gt;(TODAY()-(Data_Val!$L$3*365.25)),Data!#REF!&lt;=(TODAY()-(Data_Val!$L$2*365.25))),0,1),1))</f>
        <v>#REF!</v>
      </c>
      <c r="AE585" s="11" t="e">
        <f>IF(Data!#REF!="","",IF(Data!$G585="",1,IF(ISNUMBER(MATCH(Data!#REF!,Data_Val!$D$2:$D$10,0)),0,1)))</f>
        <v>#REF!</v>
      </c>
      <c r="AF585" s="12"/>
      <c r="AG585" s="12" t="e">
        <f>IF(Data!#REF!="","",IF(ISNUMBER(MATCH(Data!#REF!,Data_Val!$A$2:$A$3,0)),0,1))</f>
        <v>#REF!</v>
      </c>
      <c r="AH585" s="26" t="e">
        <f ca="1">IF(Data!#REF!="","",IF(ISNUMBER(Data!#REF!),IF(AND(Data!#REF!&gt;(TODAY()-(Data_Val!$L$3*365.25)),Data!#REF!&lt;=(TODAY()-(Data_Val!$L$2*365.25))),0,1),1))</f>
        <v>#REF!</v>
      </c>
      <c r="AI585" s="12" t="e">
        <f>IF(Data!#REF!="","",IF(Data!$G585="",1,IF(ISNUMBER(MATCH(Data!#REF!,Data_Val!$D$2:$D$10,0)),0,1)))</f>
        <v>#REF!</v>
      </c>
      <c r="AJ585" s="17"/>
      <c r="AK585" s="17" t="e">
        <f>IF(Data!#REF!="","",IF(ISNUMBER(MATCH(Data!#REF!,Data_Val!$A$2:$A$3,0)),0,1))</f>
        <v>#REF!</v>
      </c>
      <c r="AL585" s="25" t="e">
        <f ca="1">IF(Data!#REF!="","",IF(ISNUMBER(Data!#REF!),IF(AND(Data!#REF!&gt;(TODAY()-(Data_Val!$L$3*365.25)),Data!#REF!&lt;=(TODAY()-(Data_Val!$L$2*365.25))),0,1),1))</f>
        <v>#REF!</v>
      </c>
      <c r="AM585" s="17" t="e">
        <f>IF(Data!#REF!="","",IF(Data!$G585="",1,IF(ISNUMBER(MATCH(Data!#REF!,Data_Val!$D$2:$D$10,0)),0,1)))</f>
        <v>#REF!</v>
      </c>
      <c r="AN585" s="13"/>
      <c r="AO585" s="28" t="e">
        <f ca="1">IF(Data!#REF!="","",IF(ISNUMBER(Data!#REF!),IF(AND(Data!#REF!&gt;(TODAY()-(Data_Val!$I$3*365.25)),Data!#REF!&lt;=(TODAY()-(Data_Val!$I$2*365.25))),0,1),1))</f>
        <v>#REF!</v>
      </c>
      <c r="AP585" s="13" t="e">
        <f>IF(Data!#REF!="","",IF(Data!$G585="",1,IF(ISNUMBER(MATCH(Data!#REF!,Data_Val!$D$2:$D$10,0)),0,1)))</f>
        <v>#REF!</v>
      </c>
      <c r="AQ585" s="17"/>
      <c r="AR585" s="30" t="e">
        <f ca="1">IF(Data!#REF!="","",IF(ISNUMBER(Data!#REF!),IF(AND(Data!#REF!&gt;(TODAY()-(Data_Val!$I$3*365.25)),Data!#REF!&lt;=(TODAY()-(Data_Val!$I$2*365.25))),0,1),1))</f>
        <v>#REF!</v>
      </c>
      <c r="AS585" s="31" t="e">
        <f>IF(Data!#REF!="","",IF(Data!$G585="",1,IF(ISNUMBER(MATCH(Data!#REF!,Data_Val!$D$2:$D$10,0)),0,1)))</f>
        <v>#REF!</v>
      </c>
      <c r="AT585" s="11"/>
      <c r="AU585" s="11" t="e">
        <f ca="1">IF(Data!#REF!="","",IF(ISNUMBER(Data!#REF!),IF(AND(Data!#REF!&gt;(TODAY()-(Data_Val!$I$3*365.25)),Data!#REF!&lt;=(TODAY()-(Data_Val!$I$2*365.25))),0,1),1))</f>
        <v>#REF!</v>
      </c>
      <c r="AV585" s="11" t="e">
        <f>IF(Data!#REF!="","",IF(Data!$G585="",1,IF(ISNUMBER(MATCH(Data!#REF!,Data_Val!$D$2:$D$10,0)),0,1)))</f>
        <v>#REF!</v>
      </c>
      <c r="AW585" s="12"/>
      <c r="AX585" s="26" t="e">
        <f ca="1">IF(Data!#REF!="","",IF(ISNUMBER(Data!#REF!),IF(AND(Data!#REF!&gt;(TODAY()-(Data_Val!$I$3*365.25)),Data!#REF!&lt;=(TODAY()-(Data_Val!$I$2*365.25))),0,1),1))</f>
        <v>#REF!</v>
      </c>
      <c r="AY585" s="12" t="e">
        <f>IF(Data!#REF!="","",IF(Data!$G585="",1,IF(ISNUMBER(MATCH(Data!#REF!,Data_Val!$D$2:$D$10,0)),0,1)))</f>
        <v>#REF!</v>
      </c>
      <c r="AZ585" s="11"/>
      <c r="BA585" s="19" t="e">
        <f ca="1">IF(Data!#REF!="","",IF(ISNUMBER(Data!#REF!),IF(AND(Data!#REF!&gt;(TODAY()-(Data_Val!$M$3*365.25)),Data!#REF!&lt;=(TODAY()-(Data_Val!$M$2*365.25))),0,1),1))</f>
        <v>#REF!</v>
      </c>
      <c r="BB585" s="11" t="e">
        <f>IF(Data!#REF!="","",IF(Data!$G585="",1,IF(ISNUMBER(MATCH(Data!#REF!,Data_Val!$D$2:$D$10,0)),0,1)))</f>
        <v>#REF!</v>
      </c>
      <c r="BC585" s="12"/>
      <c r="BD585" s="20" t="e">
        <f ca="1">IF(Data!#REF!="","",IF(ISNUMBER(Data!#REF!),IF(AND(Data!#REF!&gt;(TODAY()-(Data_Val!$M$3*365.25)),Data!#REF!&lt;=(TODAY()-(Data_Val!$M$2*365.25))),0,1),1))</f>
        <v>#REF!</v>
      </c>
      <c r="BE585" s="12" t="e">
        <f>IF(Data!#REF!="","",IF(Data!$G585="",1,IF(ISNUMBER(MATCH(Data!#REF!,Data_Val!$D$2:$D$10,0)),0,1)))</f>
        <v>#REF!</v>
      </c>
      <c r="BF585" s="17"/>
      <c r="BG585" s="18" t="e">
        <f ca="1">IF(Data!#REF!="","",IF(ISNUMBER(Data!#REF!),IF(AND(Data!#REF!&gt;(TODAY()-(Data_Val!$M$3*365.25)),Data!#REF!&lt;=(TODAY()-(Data_Val!$M$2*365.25))),0,1),1))</f>
        <v>#REF!</v>
      </c>
      <c r="BH585" s="29" t="e">
        <f>IF(Data!#REF!="","",IF(Data!$G585="",1,IF(ISNUMBER(MATCH(Data!#REF!,Data_Val!$D$2:$D$10,0)),0,1)))</f>
        <v>#REF!</v>
      </c>
      <c r="BI585" s="13"/>
      <c r="BJ585" s="21" t="e">
        <f ca="1">IF(Data!#REF!="","",IF(ISNUMBER(Data!#REF!),IF(AND(Data!#REF!&gt;(TODAY()-(Data_Val!$M$3*365.25)),Data!#REF!&lt;=(TODAY()-(Data_Val!$M$2*365.25))),0,1),1))</f>
        <v>#REF!</v>
      </c>
      <c r="BK585" s="13" t="e">
        <f>IF(Data!#REF!="","",IF(Data!$G585="",1,IF(ISNUMBER(MATCH(Data!#REF!,Data_Val!$D$2:$D$10,0)),0,1)))</f>
        <v>#REF!</v>
      </c>
    </row>
    <row r="586" spans="1:63" x14ac:dyDescent="0.25">
      <c r="A586" s="9" t="str">
        <f>IF(Data!B586="","",IF(COUNTIFS(Data!A$1:'Data'!A586,Data!A586)&lt;=1,0,1))</f>
        <v/>
      </c>
      <c r="B586" s="9"/>
      <c r="C586" s="23" t="str">
        <f>IF(Data!C586="","",(IF(ISNUMBER(MATCH("*@*.?*",Data!C586,0)),0,1)+IF(COUNTIFS(Data!C$1:'Data'!C586,Data!C586)&gt;1,1,0)))</f>
        <v/>
      </c>
      <c r="D586" s="9" t="str">
        <f>IF(Data!B586="","",IF(ISNUMBER(Data!D586),IF(AND(Data!D586&gt;999999999,Data!D586&lt;=9999999999),IF(COUNTIFS(Data!D$1:'Data'!D586,Data!D586)&lt;=1,0,1),1),1))</f>
        <v/>
      </c>
      <c r="E586" s="9" t="str">
        <f>IF(Data!B586="","",IF(ISNUMBER(MATCH(Data!E586,Data_Val!$A$2:$A$3,0)),0,1))</f>
        <v/>
      </c>
      <c r="F586" s="9" t="str">
        <f ca="1">IF(Data!B586="","",IF(ISNUMBER(Data!F586),IF(AND(Data!F586&gt;(TODAY()-(Data_Val!$H$3*365.25)),Data!F586&lt;=(TODAY()-(Data_Val!$H$2*365.25))),0,1),1))</f>
        <v/>
      </c>
      <c r="G586" s="15" t="str">
        <f>IF(Data!B586="","",IF(AND(Data!G586="",Data!H586&lt;&gt;""),1,IF(Data!#REF!&lt;&gt;"",0,IF(ISNUMBER(MATCH(Data!G586,Data_Val!$C$2:$C$5,0)),0,1))))</f>
        <v/>
      </c>
      <c r="H586" s="15" t="str">
        <f>IF(Data!B586="","",IF(AND(Data!G586&lt;&gt;"",Data!H586=""),1,IF(Data!#REF!&lt;&gt;"",0,IF(Data!G586="",1,IF(ISNUMBER(MATCH(Data!H586,Data_Val!$D$2:$D$35,0)),0,1)))))</f>
        <v/>
      </c>
      <c r="I586" s="15" t="str">
        <f>IF(Data!B586="","",IF(Data!G586&lt;&gt;"",0,IF(ISNUMBER(MATCH(Data!#REF!,Data_Val!$E$2:$E$12,0)),0,1)))</f>
        <v/>
      </c>
      <c r="J586" s="16" t="e">
        <f>IF(OR(Data!B586="",Data!#REF!=""),"",IF(Data!#REF!="",1,0))</f>
        <v>#REF!</v>
      </c>
      <c r="K586" s="16" t="e">
        <f>IF(OR(Data!B586="",Data!#REF!=""),"",IF(Data!#REF!="",1,0))</f>
        <v>#REF!</v>
      </c>
      <c r="L586" s="16" t="e">
        <f>IF(OR(Data!B586="",Data!#REF!=""),"",IF(ISNUMBER(Data!#REF!),IF(AND(Data!#REF!&gt;Data_Val!$G$2,Data!#REF!&lt;=Data_Val!$G$3),0,1),1))</f>
        <v>#REF!</v>
      </c>
      <c r="M586" s="9" t="e">
        <f>IF(OR(Data!B586="",Data!#REF!=""),"",IF(ISNUMBER(MATCH(Data!#REF!,Data_Val!$F$1:$F$38,0)),0,1))</f>
        <v>#REF!</v>
      </c>
      <c r="N586" s="9" t="e">
        <f>IF(OR(Data!B586="",Data!#REF!=""),"",IF(Data!#REF!="",1,0))</f>
        <v>#REF!</v>
      </c>
      <c r="O586" s="17" t="e">
        <f>IF(Data!#REF!="","",IF(Data!#REF!="",1,0))</f>
        <v>#REF!</v>
      </c>
      <c r="P586" s="17" t="e">
        <f>IF(Data!#REF!="","",IF(ISNUMBER(MATCH(Data!#REF!,Data_Val!$A$2:$A$3,0)),0,1))</f>
        <v>#REF!</v>
      </c>
      <c r="Q586" s="25" t="e">
        <f ca="1">IF(Data!#REF!="","",IF(ISNUMBER(Data!#REF!),IF(AND(Data!#REF!&gt;(TODAY()-(Data_Val!$J$3*365.25)),Data!#REF!&lt;=(TODAY()-(Data_Val!$J$2*365.25))),0,1),1))</f>
        <v>#REF!</v>
      </c>
      <c r="R586" s="17" t="e">
        <f>IF(Data!#REF!="","",IF(ISNUMBER(MATCH(Data!#REF!,Data_Val!$B$2:$B$15,0)),0,1))</f>
        <v>#REF!</v>
      </c>
      <c r="S586" s="11" t="str">
        <f>IF(Data!G586="","",IF(Data!G586=Data_Val!$C$2,IF(Data!M586="",0,1),0))</f>
        <v/>
      </c>
      <c r="T586" s="11" t="str">
        <f>IF(Data!M586="","",IF(ISNUMBER(MATCH(Data!N586,Data_Val!$A$2:$A$3,0)),0,1))</f>
        <v/>
      </c>
      <c r="U586" s="11" t="str">
        <f ca="1">IF(Data!M586="","",IF(ISNUMBER(Data!O586),IF(AND(Data!O586&gt;(TODAY()-(Data_Val!$K$3*365.25)),Data!O586&lt;=(TODAY()-(Data_Val!$K$2*365.25))),0,1),1))</f>
        <v/>
      </c>
      <c r="V586" s="12" t="str">
        <f>IF(Data!G586="","",IF(Data!G586=Data_Val!$C$2,IF(Data!P586="",0,1),0))</f>
        <v/>
      </c>
      <c r="W586" s="12" t="str">
        <f>IF(Data!P586="","",IF(ISNUMBER(MATCH(Data!Q586,Data_Val!$A$2:$A$3,0)),0,1))</f>
        <v/>
      </c>
      <c r="X586" s="26" t="str">
        <f ca="1">IF(Data!P586="","",IF(ISNUMBER(Data!R586),IF(AND(Data!R586&gt;(TODAY()-(Data_Val!$L$3*365.25)),Data!R586&lt;=(TODAY()-(Data_Val!$L$2*365.25))),0,1),1))</f>
        <v/>
      </c>
      <c r="Y586" s="13" t="str">
        <f>IF(Data!$G586="","",IF(Data!$G586=Data_Val!$C$2,IF(Data!S586="",0,1),0))</f>
        <v/>
      </c>
      <c r="Z586" s="13" t="str">
        <f>IF(Data!S586="","",IF(ISNUMBER(MATCH(Data!T586,Data_Val!$A$2:$A$3,0)),0,1))</f>
        <v/>
      </c>
      <c r="AA586" s="28" t="str">
        <f ca="1">IF(Data!S586="","",IF(ISNUMBER(Data!U586),IF(AND(Data!U586&gt;(TODAY()-(Data_Val!$L$3*365.25)),Data!U586&lt;=(TODAY()-(Data_Val!$L$2*365.25))),0,1),1))</f>
        <v/>
      </c>
      <c r="AB586" s="11"/>
      <c r="AC586" s="11" t="e">
        <f>IF(Data!#REF!="","",IF(ISNUMBER(MATCH(Data!#REF!,Data_Val!$A$2:$A$3,0)),0,1))</f>
        <v>#REF!</v>
      </c>
      <c r="AD586" s="11" t="e">
        <f ca="1">IF(Data!#REF!="","",IF(ISNUMBER(Data!#REF!),IF(AND(Data!#REF!&gt;(TODAY()-(Data_Val!$L$3*365.25)),Data!#REF!&lt;=(TODAY()-(Data_Val!$L$2*365.25))),0,1),1))</f>
        <v>#REF!</v>
      </c>
      <c r="AE586" s="11" t="e">
        <f>IF(Data!#REF!="","",IF(Data!$G586="",1,IF(ISNUMBER(MATCH(Data!#REF!,Data_Val!$D$2:$D$10,0)),0,1)))</f>
        <v>#REF!</v>
      </c>
      <c r="AF586" s="12"/>
      <c r="AG586" s="12" t="e">
        <f>IF(Data!#REF!="","",IF(ISNUMBER(MATCH(Data!#REF!,Data_Val!$A$2:$A$3,0)),0,1))</f>
        <v>#REF!</v>
      </c>
      <c r="AH586" s="26" t="e">
        <f ca="1">IF(Data!#REF!="","",IF(ISNUMBER(Data!#REF!),IF(AND(Data!#REF!&gt;(TODAY()-(Data_Val!$L$3*365.25)),Data!#REF!&lt;=(TODAY()-(Data_Val!$L$2*365.25))),0,1),1))</f>
        <v>#REF!</v>
      </c>
      <c r="AI586" s="12" t="e">
        <f>IF(Data!#REF!="","",IF(Data!$G586="",1,IF(ISNUMBER(MATCH(Data!#REF!,Data_Val!$D$2:$D$10,0)),0,1)))</f>
        <v>#REF!</v>
      </c>
      <c r="AJ586" s="17"/>
      <c r="AK586" s="17" t="e">
        <f>IF(Data!#REF!="","",IF(ISNUMBER(MATCH(Data!#REF!,Data_Val!$A$2:$A$3,0)),0,1))</f>
        <v>#REF!</v>
      </c>
      <c r="AL586" s="25" t="e">
        <f ca="1">IF(Data!#REF!="","",IF(ISNUMBER(Data!#REF!),IF(AND(Data!#REF!&gt;(TODAY()-(Data_Val!$L$3*365.25)),Data!#REF!&lt;=(TODAY()-(Data_Val!$L$2*365.25))),0,1),1))</f>
        <v>#REF!</v>
      </c>
      <c r="AM586" s="17" t="e">
        <f>IF(Data!#REF!="","",IF(Data!$G586="",1,IF(ISNUMBER(MATCH(Data!#REF!,Data_Val!$D$2:$D$10,0)),0,1)))</f>
        <v>#REF!</v>
      </c>
      <c r="AN586" s="13"/>
      <c r="AO586" s="28" t="e">
        <f ca="1">IF(Data!#REF!="","",IF(ISNUMBER(Data!#REF!),IF(AND(Data!#REF!&gt;(TODAY()-(Data_Val!$I$3*365.25)),Data!#REF!&lt;=(TODAY()-(Data_Val!$I$2*365.25))),0,1),1))</f>
        <v>#REF!</v>
      </c>
      <c r="AP586" s="13" t="e">
        <f>IF(Data!#REF!="","",IF(Data!$G586="",1,IF(ISNUMBER(MATCH(Data!#REF!,Data_Val!$D$2:$D$10,0)),0,1)))</f>
        <v>#REF!</v>
      </c>
      <c r="AQ586" s="17"/>
      <c r="AR586" s="30" t="e">
        <f ca="1">IF(Data!#REF!="","",IF(ISNUMBER(Data!#REF!),IF(AND(Data!#REF!&gt;(TODAY()-(Data_Val!$I$3*365.25)),Data!#REF!&lt;=(TODAY()-(Data_Val!$I$2*365.25))),0,1),1))</f>
        <v>#REF!</v>
      </c>
      <c r="AS586" s="31" t="e">
        <f>IF(Data!#REF!="","",IF(Data!$G586="",1,IF(ISNUMBER(MATCH(Data!#REF!,Data_Val!$D$2:$D$10,0)),0,1)))</f>
        <v>#REF!</v>
      </c>
      <c r="AT586" s="11"/>
      <c r="AU586" s="11" t="e">
        <f ca="1">IF(Data!#REF!="","",IF(ISNUMBER(Data!#REF!),IF(AND(Data!#REF!&gt;(TODAY()-(Data_Val!$I$3*365.25)),Data!#REF!&lt;=(TODAY()-(Data_Val!$I$2*365.25))),0,1),1))</f>
        <v>#REF!</v>
      </c>
      <c r="AV586" s="11" t="e">
        <f>IF(Data!#REF!="","",IF(Data!$G586="",1,IF(ISNUMBER(MATCH(Data!#REF!,Data_Val!$D$2:$D$10,0)),0,1)))</f>
        <v>#REF!</v>
      </c>
      <c r="AW586" s="12"/>
      <c r="AX586" s="26" t="e">
        <f ca="1">IF(Data!#REF!="","",IF(ISNUMBER(Data!#REF!),IF(AND(Data!#REF!&gt;(TODAY()-(Data_Val!$I$3*365.25)),Data!#REF!&lt;=(TODAY()-(Data_Val!$I$2*365.25))),0,1),1))</f>
        <v>#REF!</v>
      </c>
      <c r="AY586" s="12" t="e">
        <f>IF(Data!#REF!="","",IF(Data!$G586="",1,IF(ISNUMBER(MATCH(Data!#REF!,Data_Val!$D$2:$D$10,0)),0,1)))</f>
        <v>#REF!</v>
      </c>
      <c r="AZ586" s="11"/>
      <c r="BA586" s="19" t="e">
        <f ca="1">IF(Data!#REF!="","",IF(ISNUMBER(Data!#REF!),IF(AND(Data!#REF!&gt;(TODAY()-(Data_Val!$M$3*365.25)),Data!#REF!&lt;=(TODAY()-(Data_Val!$M$2*365.25))),0,1),1))</f>
        <v>#REF!</v>
      </c>
      <c r="BB586" s="11" t="e">
        <f>IF(Data!#REF!="","",IF(Data!$G586="",1,IF(ISNUMBER(MATCH(Data!#REF!,Data_Val!$D$2:$D$10,0)),0,1)))</f>
        <v>#REF!</v>
      </c>
      <c r="BC586" s="12"/>
      <c r="BD586" s="20" t="e">
        <f ca="1">IF(Data!#REF!="","",IF(ISNUMBER(Data!#REF!),IF(AND(Data!#REF!&gt;(TODAY()-(Data_Val!$M$3*365.25)),Data!#REF!&lt;=(TODAY()-(Data_Val!$M$2*365.25))),0,1),1))</f>
        <v>#REF!</v>
      </c>
      <c r="BE586" s="12" t="e">
        <f>IF(Data!#REF!="","",IF(Data!$G586="",1,IF(ISNUMBER(MATCH(Data!#REF!,Data_Val!$D$2:$D$10,0)),0,1)))</f>
        <v>#REF!</v>
      </c>
      <c r="BF586" s="17"/>
      <c r="BG586" s="18" t="e">
        <f ca="1">IF(Data!#REF!="","",IF(ISNUMBER(Data!#REF!),IF(AND(Data!#REF!&gt;(TODAY()-(Data_Val!$M$3*365.25)),Data!#REF!&lt;=(TODAY()-(Data_Val!$M$2*365.25))),0,1),1))</f>
        <v>#REF!</v>
      </c>
      <c r="BH586" s="29" t="e">
        <f>IF(Data!#REF!="","",IF(Data!$G586="",1,IF(ISNUMBER(MATCH(Data!#REF!,Data_Val!$D$2:$D$10,0)),0,1)))</f>
        <v>#REF!</v>
      </c>
      <c r="BI586" s="13"/>
      <c r="BJ586" s="21" t="e">
        <f ca="1">IF(Data!#REF!="","",IF(ISNUMBER(Data!#REF!),IF(AND(Data!#REF!&gt;(TODAY()-(Data_Val!$M$3*365.25)),Data!#REF!&lt;=(TODAY()-(Data_Val!$M$2*365.25))),0,1),1))</f>
        <v>#REF!</v>
      </c>
      <c r="BK586" s="13" t="e">
        <f>IF(Data!#REF!="","",IF(Data!$G586="",1,IF(ISNUMBER(MATCH(Data!#REF!,Data_Val!$D$2:$D$10,0)),0,1)))</f>
        <v>#REF!</v>
      </c>
    </row>
    <row r="587" spans="1:63" x14ac:dyDescent="0.25">
      <c r="A587" s="9" t="str">
        <f>IF(Data!B587="","",IF(COUNTIFS(Data!A$1:'Data'!A587,Data!A587)&lt;=1,0,1))</f>
        <v/>
      </c>
      <c r="B587" s="9"/>
      <c r="C587" s="23" t="str">
        <f>IF(Data!C587="","",(IF(ISNUMBER(MATCH("*@*.?*",Data!C587,0)),0,1)+IF(COUNTIFS(Data!C$1:'Data'!C587,Data!C587)&gt;1,1,0)))</f>
        <v/>
      </c>
      <c r="D587" s="9" t="str">
        <f>IF(Data!B587="","",IF(ISNUMBER(Data!D587),IF(AND(Data!D587&gt;999999999,Data!D587&lt;=9999999999),IF(COUNTIFS(Data!D$1:'Data'!D587,Data!D587)&lt;=1,0,1),1),1))</f>
        <v/>
      </c>
      <c r="E587" s="9" t="str">
        <f>IF(Data!B587="","",IF(ISNUMBER(MATCH(Data!E587,Data_Val!$A$2:$A$3,0)),0,1))</f>
        <v/>
      </c>
      <c r="F587" s="9" t="str">
        <f ca="1">IF(Data!B587="","",IF(ISNUMBER(Data!F587),IF(AND(Data!F587&gt;(TODAY()-(Data_Val!$H$3*365.25)),Data!F587&lt;=(TODAY()-(Data_Val!$H$2*365.25))),0,1),1))</f>
        <v/>
      </c>
      <c r="G587" s="15" t="str">
        <f>IF(Data!B587="","",IF(AND(Data!G587="",Data!H587&lt;&gt;""),1,IF(Data!#REF!&lt;&gt;"",0,IF(ISNUMBER(MATCH(Data!G587,Data_Val!$C$2:$C$5,0)),0,1))))</f>
        <v/>
      </c>
      <c r="H587" s="15" t="str">
        <f>IF(Data!B587="","",IF(AND(Data!G587&lt;&gt;"",Data!H587=""),1,IF(Data!#REF!&lt;&gt;"",0,IF(Data!G587="",1,IF(ISNUMBER(MATCH(Data!H587,Data_Val!$D$2:$D$35,0)),0,1)))))</f>
        <v/>
      </c>
      <c r="I587" s="15" t="str">
        <f>IF(Data!B587="","",IF(Data!G587&lt;&gt;"",0,IF(ISNUMBER(MATCH(Data!#REF!,Data_Val!$E$2:$E$12,0)),0,1)))</f>
        <v/>
      </c>
      <c r="J587" s="16" t="e">
        <f>IF(OR(Data!B587="",Data!#REF!=""),"",IF(Data!#REF!="",1,0))</f>
        <v>#REF!</v>
      </c>
      <c r="K587" s="16" t="e">
        <f>IF(OR(Data!B587="",Data!#REF!=""),"",IF(Data!#REF!="",1,0))</f>
        <v>#REF!</v>
      </c>
      <c r="L587" s="16" t="e">
        <f>IF(OR(Data!B587="",Data!#REF!=""),"",IF(ISNUMBER(Data!#REF!),IF(AND(Data!#REF!&gt;Data_Val!$G$2,Data!#REF!&lt;=Data_Val!$G$3),0,1),1))</f>
        <v>#REF!</v>
      </c>
      <c r="M587" s="9" t="e">
        <f>IF(OR(Data!B587="",Data!#REF!=""),"",IF(ISNUMBER(MATCH(Data!#REF!,Data_Val!$F$1:$F$38,0)),0,1))</f>
        <v>#REF!</v>
      </c>
      <c r="N587" s="9" t="e">
        <f>IF(OR(Data!B587="",Data!#REF!=""),"",IF(Data!#REF!="",1,0))</f>
        <v>#REF!</v>
      </c>
      <c r="O587" s="17" t="e">
        <f>IF(Data!#REF!="","",IF(Data!#REF!="",1,0))</f>
        <v>#REF!</v>
      </c>
      <c r="P587" s="17" t="e">
        <f>IF(Data!#REF!="","",IF(ISNUMBER(MATCH(Data!#REF!,Data_Val!$A$2:$A$3,0)),0,1))</f>
        <v>#REF!</v>
      </c>
      <c r="Q587" s="25" t="e">
        <f ca="1">IF(Data!#REF!="","",IF(ISNUMBER(Data!#REF!),IF(AND(Data!#REF!&gt;(TODAY()-(Data_Val!$J$3*365.25)),Data!#REF!&lt;=(TODAY()-(Data_Val!$J$2*365.25))),0,1),1))</f>
        <v>#REF!</v>
      </c>
      <c r="R587" s="17" t="e">
        <f>IF(Data!#REF!="","",IF(ISNUMBER(MATCH(Data!#REF!,Data_Val!$B$2:$B$15,0)),0,1))</f>
        <v>#REF!</v>
      </c>
      <c r="S587" s="11" t="str">
        <f>IF(Data!G587="","",IF(Data!G587=Data_Val!$C$2,IF(Data!M587="",0,1),0))</f>
        <v/>
      </c>
      <c r="T587" s="11" t="str">
        <f>IF(Data!M587="","",IF(ISNUMBER(MATCH(Data!N587,Data_Val!$A$2:$A$3,0)),0,1))</f>
        <v/>
      </c>
      <c r="U587" s="11" t="str">
        <f ca="1">IF(Data!M587="","",IF(ISNUMBER(Data!O587),IF(AND(Data!O587&gt;(TODAY()-(Data_Val!$K$3*365.25)),Data!O587&lt;=(TODAY()-(Data_Val!$K$2*365.25))),0,1),1))</f>
        <v/>
      </c>
      <c r="V587" s="12" t="str">
        <f>IF(Data!G587="","",IF(Data!G587=Data_Val!$C$2,IF(Data!P587="",0,1),0))</f>
        <v/>
      </c>
      <c r="W587" s="12" t="str">
        <f>IF(Data!P587="","",IF(ISNUMBER(MATCH(Data!Q587,Data_Val!$A$2:$A$3,0)),0,1))</f>
        <v/>
      </c>
      <c r="X587" s="26" t="str">
        <f ca="1">IF(Data!P587="","",IF(ISNUMBER(Data!R587),IF(AND(Data!R587&gt;(TODAY()-(Data_Val!$L$3*365.25)),Data!R587&lt;=(TODAY()-(Data_Val!$L$2*365.25))),0,1),1))</f>
        <v/>
      </c>
      <c r="Y587" s="13" t="str">
        <f>IF(Data!$G587="","",IF(Data!$G587=Data_Val!$C$2,IF(Data!S587="",0,1),0))</f>
        <v/>
      </c>
      <c r="Z587" s="13" t="str">
        <f>IF(Data!S587="","",IF(ISNUMBER(MATCH(Data!T587,Data_Val!$A$2:$A$3,0)),0,1))</f>
        <v/>
      </c>
      <c r="AA587" s="28" t="str">
        <f ca="1">IF(Data!S587="","",IF(ISNUMBER(Data!U587),IF(AND(Data!U587&gt;(TODAY()-(Data_Val!$L$3*365.25)),Data!U587&lt;=(TODAY()-(Data_Val!$L$2*365.25))),0,1),1))</f>
        <v/>
      </c>
      <c r="AB587" s="11"/>
      <c r="AC587" s="11" t="e">
        <f>IF(Data!#REF!="","",IF(ISNUMBER(MATCH(Data!#REF!,Data_Val!$A$2:$A$3,0)),0,1))</f>
        <v>#REF!</v>
      </c>
      <c r="AD587" s="11" t="e">
        <f ca="1">IF(Data!#REF!="","",IF(ISNUMBER(Data!#REF!),IF(AND(Data!#REF!&gt;(TODAY()-(Data_Val!$L$3*365.25)),Data!#REF!&lt;=(TODAY()-(Data_Val!$L$2*365.25))),0,1),1))</f>
        <v>#REF!</v>
      </c>
      <c r="AE587" s="11" t="e">
        <f>IF(Data!#REF!="","",IF(Data!$G587="",1,IF(ISNUMBER(MATCH(Data!#REF!,Data_Val!$D$2:$D$10,0)),0,1)))</f>
        <v>#REF!</v>
      </c>
      <c r="AF587" s="12"/>
      <c r="AG587" s="12" t="e">
        <f>IF(Data!#REF!="","",IF(ISNUMBER(MATCH(Data!#REF!,Data_Val!$A$2:$A$3,0)),0,1))</f>
        <v>#REF!</v>
      </c>
      <c r="AH587" s="26" t="e">
        <f ca="1">IF(Data!#REF!="","",IF(ISNUMBER(Data!#REF!),IF(AND(Data!#REF!&gt;(TODAY()-(Data_Val!$L$3*365.25)),Data!#REF!&lt;=(TODAY()-(Data_Val!$L$2*365.25))),0,1),1))</f>
        <v>#REF!</v>
      </c>
      <c r="AI587" s="12" t="e">
        <f>IF(Data!#REF!="","",IF(Data!$G587="",1,IF(ISNUMBER(MATCH(Data!#REF!,Data_Val!$D$2:$D$10,0)),0,1)))</f>
        <v>#REF!</v>
      </c>
      <c r="AJ587" s="17"/>
      <c r="AK587" s="17" t="e">
        <f>IF(Data!#REF!="","",IF(ISNUMBER(MATCH(Data!#REF!,Data_Val!$A$2:$A$3,0)),0,1))</f>
        <v>#REF!</v>
      </c>
      <c r="AL587" s="25" t="e">
        <f ca="1">IF(Data!#REF!="","",IF(ISNUMBER(Data!#REF!),IF(AND(Data!#REF!&gt;(TODAY()-(Data_Val!$L$3*365.25)),Data!#REF!&lt;=(TODAY()-(Data_Val!$L$2*365.25))),0,1),1))</f>
        <v>#REF!</v>
      </c>
      <c r="AM587" s="17" t="e">
        <f>IF(Data!#REF!="","",IF(Data!$G587="",1,IF(ISNUMBER(MATCH(Data!#REF!,Data_Val!$D$2:$D$10,0)),0,1)))</f>
        <v>#REF!</v>
      </c>
      <c r="AN587" s="13"/>
      <c r="AO587" s="28" t="e">
        <f ca="1">IF(Data!#REF!="","",IF(ISNUMBER(Data!#REF!),IF(AND(Data!#REF!&gt;(TODAY()-(Data_Val!$I$3*365.25)),Data!#REF!&lt;=(TODAY()-(Data_Val!$I$2*365.25))),0,1),1))</f>
        <v>#REF!</v>
      </c>
      <c r="AP587" s="13" t="e">
        <f>IF(Data!#REF!="","",IF(Data!$G587="",1,IF(ISNUMBER(MATCH(Data!#REF!,Data_Val!$D$2:$D$10,0)),0,1)))</f>
        <v>#REF!</v>
      </c>
      <c r="AQ587" s="17"/>
      <c r="AR587" s="30" t="e">
        <f ca="1">IF(Data!#REF!="","",IF(ISNUMBER(Data!#REF!),IF(AND(Data!#REF!&gt;(TODAY()-(Data_Val!$I$3*365.25)),Data!#REF!&lt;=(TODAY()-(Data_Val!$I$2*365.25))),0,1),1))</f>
        <v>#REF!</v>
      </c>
      <c r="AS587" s="31" t="e">
        <f>IF(Data!#REF!="","",IF(Data!$G587="",1,IF(ISNUMBER(MATCH(Data!#REF!,Data_Val!$D$2:$D$10,0)),0,1)))</f>
        <v>#REF!</v>
      </c>
      <c r="AT587" s="11"/>
      <c r="AU587" s="11" t="e">
        <f ca="1">IF(Data!#REF!="","",IF(ISNUMBER(Data!#REF!),IF(AND(Data!#REF!&gt;(TODAY()-(Data_Val!$I$3*365.25)),Data!#REF!&lt;=(TODAY()-(Data_Val!$I$2*365.25))),0,1),1))</f>
        <v>#REF!</v>
      </c>
      <c r="AV587" s="11" t="e">
        <f>IF(Data!#REF!="","",IF(Data!$G587="",1,IF(ISNUMBER(MATCH(Data!#REF!,Data_Val!$D$2:$D$10,0)),0,1)))</f>
        <v>#REF!</v>
      </c>
      <c r="AW587" s="12"/>
      <c r="AX587" s="26" t="e">
        <f ca="1">IF(Data!#REF!="","",IF(ISNUMBER(Data!#REF!),IF(AND(Data!#REF!&gt;(TODAY()-(Data_Val!$I$3*365.25)),Data!#REF!&lt;=(TODAY()-(Data_Val!$I$2*365.25))),0,1),1))</f>
        <v>#REF!</v>
      </c>
      <c r="AY587" s="12" t="e">
        <f>IF(Data!#REF!="","",IF(Data!$G587="",1,IF(ISNUMBER(MATCH(Data!#REF!,Data_Val!$D$2:$D$10,0)),0,1)))</f>
        <v>#REF!</v>
      </c>
      <c r="AZ587" s="11"/>
      <c r="BA587" s="19" t="e">
        <f ca="1">IF(Data!#REF!="","",IF(ISNUMBER(Data!#REF!),IF(AND(Data!#REF!&gt;(TODAY()-(Data_Val!$M$3*365.25)),Data!#REF!&lt;=(TODAY()-(Data_Val!$M$2*365.25))),0,1),1))</f>
        <v>#REF!</v>
      </c>
      <c r="BB587" s="11" t="e">
        <f>IF(Data!#REF!="","",IF(Data!$G587="",1,IF(ISNUMBER(MATCH(Data!#REF!,Data_Val!$D$2:$D$10,0)),0,1)))</f>
        <v>#REF!</v>
      </c>
      <c r="BC587" s="12"/>
      <c r="BD587" s="20" t="e">
        <f ca="1">IF(Data!#REF!="","",IF(ISNUMBER(Data!#REF!),IF(AND(Data!#REF!&gt;(TODAY()-(Data_Val!$M$3*365.25)),Data!#REF!&lt;=(TODAY()-(Data_Val!$M$2*365.25))),0,1),1))</f>
        <v>#REF!</v>
      </c>
      <c r="BE587" s="12" t="e">
        <f>IF(Data!#REF!="","",IF(Data!$G587="",1,IF(ISNUMBER(MATCH(Data!#REF!,Data_Val!$D$2:$D$10,0)),0,1)))</f>
        <v>#REF!</v>
      </c>
      <c r="BF587" s="17"/>
      <c r="BG587" s="18" t="e">
        <f ca="1">IF(Data!#REF!="","",IF(ISNUMBER(Data!#REF!),IF(AND(Data!#REF!&gt;(TODAY()-(Data_Val!$M$3*365.25)),Data!#REF!&lt;=(TODAY()-(Data_Val!$M$2*365.25))),0,1),1))</f>
        <v>#REF!</v>
      </c>
      <c r="BH587" s="29" t="e">
        <f>IF(Data!#REF!="","",IF(Data!$G587="",1,IF(ISNUMBER(MATCH(Data!#REF!,Data_Val!$D$2:$D$10,0)),0,1)))</f>
        <v>#REF!</v>
      </c>
      <c r="BI587" s="13"/>
      <c r="BJ587" s="21" t="e">
        <f ca="1">IF(Data!#REF!="","",IF(ISNUMBER(Data!#REF!),IF(AND(Data!#REF!&gt;(TODAY()-(Data_Val!$M$3*365.25)),Data!#REF!&lt;=(TODAY()-(Data_Val!$M$2*365.25))),0,1),1))</f>
        <v>#REF!</v>
      </c>
      <c r="BK587" s="13" t="e">
        <f>IF(Data!#REF!="","",IF(Data!$G587="",1,IF(ISNUMBER(MATCH(Data!#REF!,Data_Val!$D$2:$D$10,0)),0,1)))</f>
        <v>#REF!</v>
      </c>
    </row>
    <row r="588" spans="1:63" x14ac:dyDescent="0.25">
      <c r="A588" s="9" t="str">
        <f>IF(Data!B588="","",IF(COUNTIFS(Data!A$1:'Data'!A588,Data!A588)&lt;=1,0,1))</f>
        <v/>
      </c>
      <c r="B588" s="9"/>
      <c r="C588" s="23" t="str">
        <f>IF(Data!C588="","",(IF(ISNUMBER(MATCH("*@*.?*",Data!C588,0)),0,1)+IF(COUNTIFS(Data!C$1:'Data'!C588,Data!C588)&gt;1,1,0)))</f>
        <v/>
      </c>
      <c r="D588" s="9" t="str">
        <f>IF(Data!B588="","",IF(ISNUMBER(Data!D588),IF(AND(Data!D588&gt;999999999,Data!D588&lt;=9999999999),IF(COUNTIFS(Data!D$1:'Data'!D588,Data!D588)&lt;=1,0,1),1),1))</f>
        <v/>
      </c>
      <c r="E588" s="9" t="str">
        <f>IF(Data!B588="","",IF(ISNUMBER(MATCH(Data!E588,Data_Val!$A$2:$A$3,0)),0,1))</f>
        <v/>
      </c>
      <c r="F588" s="9" t="str">
        <f ca="1">IF(Data!B588="","",IF(ISNUMBER(Data!F588),IF(AND(Data!F588&gt;(TODAY()-(Data_Val!$H$3*365.25)),Data!F588&lt;=(TODAY()-(Data_Val!$H$2*365.25))),0,1),1))</f>
        <v/>
      </c>
      <c r="G588" s="15" t="str">
        <f>IF(Data!B588="","",IF(AND(Data!G588="",Data!H588&lt;&gt;""),1,IF(Data!#REF!&lt;&gt;"",0,IF(ISNUMBER(MATCH(Data!G588,Data_Val!$C$2:$C$5,0)),0,1))))</f>
        <v/>
      </c>
      <c r="H588" s="15" t="str">
        <f>IF(Data!B588="","",IF(AND(Data!G588&lt;&gt;"",Data!H588=""),1,IF(Data!#REF!&lt;&gt;"",0,IF(Data!G588="",1,IF(ISNUMBER(MATCH(Data!H588,Data_Val!$D$2:$D$35,0)),0,1)))))</f>
        <v/>
      </c>
      <c r="I588" s="15" t="str">
        <f>IF(Data!B588="","",IF(Data!G588&lt;&gt;"",0,IF(ISNUMBER(MATCH(Data!#REF!,Data_Val!$E$2:$E$12,0)),0,1)))</f>
        <v/>
      </c>
      <c r="J588" s="16" t="e">
        <f>IF(OR(Data!B588="",Data!#REF!=""),"",IF(Data!#REF!="",1,0))</f>
        <v>#REF!</v>
      </c>
      <c r="K588" s="16" t="e">
        <f>IF(OR(Data!B588="",Data!#REF!=""),"",IF(Data!#REF!="",1,0))</f>
        <v>#REF!</v>
      </c>
      <c r="L588" s="16" t="e">
        <f>IF(OR(Data!B588="",Data!#REF!=""),"",IF(ISNUMBER(Data!#REF!),IF(AND(Data!#REF!&gt;Data_Val!$G$2,Data!#REF!&lt;=Data_Val!$G$3),0,1),1))</f>
        <v>#REF!</v>
      </c>
      <c r="M588" s="9" t="e">
        <f>IF(OR(Data!B588="",Data!#REF!=""),"",IF(ISNUMBER(MATCH(Data!#REF!,Data_Val!$F$1:$F$38,0)),0,1))</f>
        <v>#REF!</v>
      </c>
      <c r="N588" s="9" t="e">
        <f>IF(OR(Data!B588="",Data!#REF!=""),"",IF(Data!#REF!="",1,0))</f>
        <v>#REF!</v>
      </c>
      <c r="O588" s="17" t="e">
        <f>IF(Data!#REF!="","",IF(Data!#REF!="",1,0))</f>
        <v>#REF!</v>
      </c>
      <c r="P588" s="17" t="e">
        <f>IF(Data!#REF!="","",IF(ISNUMBER(MATCH(Data!#REF!,Data_Val!$A$2:$A$3,0)),0,1))</f>
        <v>#REF!</v>
      </c>
      <c r="Q588" s="25" t="e">
        <f ca="1">IF(Data!#REF!="","",IF(ISNUMBER(Data!#REF!),IF(AND(Data!#REF!&gt;(TODAY()-(Data_Val!$J$3*365.25)),Data!#REF!&lt;=(TODAY()-(Data_Val!$J$2*365.25))),0,1),1))</f>
        <v>#REF!</v>
      </c>
      <c r="R588" s="17" t="e">
        <f>IF(Data!#REF!="","",IF(ISNUMBER(MATCH(Data!#REF!,Data_Val!$B$2:$B$15,0)),0,1))</f>
        <v>#REF!</v>
      </c>
      <c r="S588" s="11" t="str">
        <f>IF(Data!G588="","",IF(Data!G588=Data_Val!$C$2,IF(Data!M588="",0,1),0))</f>
        <v/>
      </c>
      <c r="T588" s="11" t="str">
        <f>IF(Data!M588="","",IF(ISNUMBER(MATCH(Data!N588,Data_Val!$A$2:$A$3,0)),0,1))</f>
        <v/>
      </c>
      <c r="U588" s="11" t="str">
        <f ca="1">IF(Data!M588="","",IF(ISNUMBER(Data!O588),IF(AND(Data!O588&gt;(TODAY()-(Data_Val!$K$3*365.25)),Data!O588&lt;=(TODAY()-(Data_Val!$K$2*365.25))),0,1),1))</f>
        <v/>
      </c>
      <c r="V588" s="12" t="str">
        <f>IF(Data!G588="","",IF(Data!G588=Data_Val!$C$2,IF(Data!P588="",0,1),0))</f>
        <v/>
      </c>
      <c r="W588" s="12" t="str">
        <f>IF(Data!P588="","",IF(ISNUMBER(MATCH(Data!Q588,Data_Val!$A$2:$A$3,0)),0,1))</f>
        <v/>
      </c>
      <c r="X588" s="26" t="str">
        <f ca="1">IF(Data!P588="","",IF(ISNUMBER(Data!R588),IF(AND(Data!R588&gt;(TODAY()-(Data_Val!$L$3*365.25)),Data!R588&lt;=(TODAY()-(Data_Val!$L$2*365.25))),0,1),1))</f>
        <v/>
      </c>
      <c r="Y588" s="13" t="str">
        <f>IF(Data!$G588="","",IF(Data!$G588=Data_Val!$C$2,IF(Data!S588="",0,1),0))</f>
        <v/>
      </c>
      <c r="Z588" s="13" t="str">
        <f>IF(Data!S588="","",IF(ISNUMBER(MATCH(Data!T588,Data_Val!$A$2:$A$3,0)),0,1))</f>
        <v/>
      </c>
      <c r="AA588" s="28" t="str">
        <f ca="1">IF(Data!S588="","",IF(ISNUMBER(Data!U588),IF(AND(Data!U588&gt;(TODAY()-(Data_Val!$L$3*365.25)),Data!U588&lt;=(TODAY()-(Data_Val!$L$2*365.25))),0,1),1))</f>
        <v/>
      </c>
      <c r="AB588" s="11"/>
      <c r="AC588" s="11" t="e">
        <f>IF(Data!#REF!="","",IF(ISNUMBER(MATCH(Data!#REF!,Data_Val!$A$2:$A$3,0)),0,1))</f>
        <v>#REF!</v>
      </c>
      <c r="AD588" s="11" t="e">
        <f ca="1">IF(Data!#REF!="","",IF(ISNUMBER(Data!#REF!),IF(AND(Data!#REF!&gt;(TODAY()-(Data_Val!$L$3*365.25)),Data!#REF!&lt;=(TODAY()-(Data_Val!$L$2*365.25))),0,1),1))</f>
        <v>#REF!</v>
      </c>
      <c r="AE588" s="11" t="e">
        <f>IF(Data!#REF!="","",IF(Data!$G588="",1,IF(ISNUMBER(MATCH(Data!#REF!,Data_Val!$D$2:$D$10,0)),0,1)))</f>
        <v>#REF!</v>
      </c>
      <c r="AF588" s="12"/>
      <c r="AG588" s="12" t="e">
        <f>IF(Data!#REF!="","",IF(ISNUMBER(MATCH(Data!#REF!,Data_Val!$A$2:$A$3,0)),0,1))</f>
        <v>#REF!</v>
      </c>
      <c r="AH588" s="26" t="e">
        <f ca="1">IF(Data!#REF!="","",IF(ISNUMBER(Data!#REF!),IF(AND(Data!#REF!&gt;(TODAY()-(Data_Val!$L$3*365.25)),Data!#REF!&lt;=(TODAY()-(Data_Val!$L$2*365.25))),0,1),1))</f>
        <v>#REF!</v>
      </c>
      <c r="AI588" s="12" t="e">
        <f>IF(Data!#REF!="","",IF(Data!$G588="",1,IF(ISNUMBER(MATCH(Data!#REF!,Data_Val!$D$2:$D$10,0)),0,1)))</f>
        <v>#REF!</v>
      </c>
      <c r="AJ588" s="17"/>
      <c r="AK588" s="17" t="e">
        <f>IF(Data!#REF!="","",IF(ISNUMBER(MATCH(Data!#REF!,Data_Val!$A$2:$A$3,0)),0,1))</f>
        <v>#REF!</v>
      </c>
      <c r="AL588" s="25" t="e">
        <f ca="1">IF(Data!#REF!="","",IF(ISNUMBER(Data!#REF!),IF(AND(Data!#REF!&gt;(TODAY()-(Data_Val!$L$3*365.25)),Data!#REF!&lt;=(TODAY()-(Data_Val!$L$2*365.25))),0,1),1))</f>
        <v>#REF!</v>
      </c>
      <c r="AM588" s="17" t="e">
        <f>IF(Data!#REF!="","",IF(Data!$G588="",1,IF(ISNUMBER(MATCH(Data!#REF!,Data_Val!$D$2:$D$10,0)),0,1)))</f>
        <v>#REF!</v>
      </c>
      <c r="AN588" s="13"/>
      <c r="AO588" s="28" t="e">
        <f ca="1">IF(Data!#REF!="","",IF(ISNUMBER(Data!#REF!),IF(AND(Data!#REF!&gt;(TODAY()-(Data_Val!$I$3*365.25)),Data!#REF!&lt;=(TODAY()-(Data_Val!$I$2*365.25))),0,1),1))</f>
        <v>#REF!</v>
      </c>
      <c r="AP588" s="13" t="e">
        <f>IF(Data!#REF!="","",IF(Data!$G588="",1,IF(ISNUMBER(MATCH(Data!#REF!,Data_Val!$D$2:$D$10,0)),0,1)))</f>
        <v>#REF!</v>
      </c>
      <c r="AQ588" s="17"/>
      <c r="AR588" s="30" t="e">
        <f ca="1">IF(Data!#REF!="","",IF(ISNUMBER(Data!#REF!),IF(AND(Data!#REF!&gt;(TODAY()-(Data_Val!$I$3*365.25)),Data!#REF!&lt;=(TODAY()-(Data_Val!$I$2*365.25))),0,1),1))</f>
        <v>#REF!</v>
      </c>
      <c r="AS588" s="31" t="e">
        <f>IF(Data!#REF!="","",IF(Data!$G588="",1,IF(ISNUMBER(MATCH(Data!#REF!,Data_Val!$D$2:$D$10,0)),0,1)))</f>
        <v>#REF!</v>
      </c>
      <c r="AT588" s="11"/>
      <c r="AU588" s="11" t="e">
        <f ca="1">IF(Data!#REF!="","",IF(ISNUMBER(Data!#REF!),IF(AND(Data!#REF!&gt;(TODAY()-(Data_Val!$I$3*365.25)),Data!#REF!&lt;=(TODAY()-(Data_Val!$I$2*365.25))),0,1),1))</f>
        <v>#REF!</v>
      </c>
      <c r="AV588" s="11" t="e">
        <f>IF(Data!#REF!="","",IF(Data!$G588="",1,IF(ISNUMBER(MATCH(Data!#REF!,Data_Val!$D$2:$D$10,0)),0,1)))</f>
        <v>#REF!</v>
      </c>
      <c r="AW588" s="12"/>
      <c r="AX588" s="26" t="e">
        <f ca="1">IF(Data!#REF!="","",IF(ISNUMBER(Data!#REF!),IF(AND(Data!#REF!&gt;(TODAY()-(Data_Val!$I$3*365.25)),Data!#REF!&lt;=(TODAY()-(Data_Val!$I$2*365.25))),0,1),1))</f>
        <v>#REF!</v>
      </c>
      <c r="AY588" s="12" t="e">
        <f>IF(Data!#REF!="","",IF(Data!$G588="",1,IF(ISNUMBER(MATCH(Data!#REF!,Data_Val!$D$2:$D$10,0)),0,1)))</f>
        <v>#REF!</v>
      </c>
      <c r="AZ588" s="11"/>
      <c r="BA588" s="19" t="e">
        <f ca="1">IF(Data!#REF!="","",IF(ISNUMBER(Data!#REF!),IF(AND(Data!#REF!&gt;(TODAY()-(Data_Val!$M$3*365.25)),Data!#REF!&lt;=(TODAY()-(Data_Val!$M$2*365.25))),0,1),1))</f>
        <v>#REF!</v>
      </c>
      <c r="BB588" s="11" t="e">
        <f>IF(Data!#REF!="","",IF(Data!$G588="",1,IF(ISNUMBER(MATCH(Data!#REF!,Data_Val!$D$2:$D$10,0)),0,1)))</f>
        <v>#REF!</v>
      </c>
      <c r="BC588" s="12"/>
      <c r="BD588" s="20" t="e">
        <f ca="1">IF(Data!#REF!="","",IF(ISNUMBER(Data!#REF!),IF(AND(Data!#REF!&gt;(TODAY()-(Data_Val!$M$3*365.25)),Data!#REF!&lt;=(TODAY()-(Data_Val!$M$2*365.25))),0,1),1))</f>
        <v>#REF!</v>
      </c>
      <c r="BE588" s="12" t="e">
        <f>IF(Data!#REF!="","",IF(Data!$G588="",1,IF(ISNUMBER(MATCH(Data!#REF!,Data_Val!$D$2:$D$10,0)),0,1)))</f>
        <v>#REF!</v>
      </c>
      <c r="BF588" s="17"/>
      <c r="BG588" s="18" t="e">
        <f ca="1">IF(Data!#REF!="","",IF(ISNUMBER(Data!#REF!),IF(AND(Data!#REF!&gt;(TODAY()-(Data_Val!$M$3*365.25)),Data!#REF!&lt;=(TODAY()-(Data_Val!$M$2*365.25))),0,1),1))</f>
        <v>#REF!</v>
      </c>
      <c r="BH588" s="29" t="e">
        <f>IF(Data!#REF!="","",IF(Data!$G588="",1,IF(ISNUMBER(MATCH(Data!#REF!,Data_Val!$D$2:$D$10,0)),0,1)))</f>
        <v>#REF!</v>
      </c>
      <c r="BI588" s="13"/>
      <c r="BJ588" s="21" t="e">
        <f ca="1">IF(Data!#REF!="","",IF(ISNUMBER(Data!#REF!),IF(AND(Data!#REF!&gt;(TODAY()-(Data_Val!$M$3*365.25)),Data!#REF!&lt;=(TODAY()-(Data_Val!$M$2*365.25))),0,1),1))</f>
        <v>#REF!</v>
      </c>
      <c r="BK588" s="13" t="e">
        <f>IF(Data!#REF!="","",IF(Data!$G588="",1,IF(ISNUMBER(MATCH(Data!#REF!,Data_Val!$D$2:$D$10,0)),0,1)))</f>
        <v>#REF!</v>
      </c>
    </row>
    <row r="589" spans="1:63" x14ac:dyDescent="0.25">
      <c r="A589" s="9" t="str">
        <f>IF(Data!B589="","",IF(COUNTIFS(Data!A$1:'Data'!A589,Data!A589)&lt;=1,0,1))</f>
        <v/>
      </c>
      <c r="B589" s="9"/>
      <c r="C589" s="23" t="str">
        <f>IF(Data!C589="","",(IF(ISNUMBER(MATCH("*@*.?*",Data!C589,0)),0,1)+IF(COUNTIFS(Data!C$1:'Data'!C589,Data!C589)&gt;1,1,0)))</f>
        <v/>
      </c>
      <c r="D589" s="9" t="str">
        <f>IF(Data!B589="","",IF(ISNUMBER(Data!D589),IF(AND(Data!D589&gt;999999999,Data!D589&lt;=9999999999),IF(COUNTIFS(Data!D$1:'Data'!D589,Data!D589)&lt;=1,0,1),1),1))</f>
        <v/>
      </c>
      <c r="E589" s="9" t="str">
        <f>IF(Data!B589="","",IF(ISNUMBER(MATCH(Data!E589,Data_Val!$A$2:$A$3,0)),0,1))</f>
        <v/>
      </c>
      <c r="F589" s="9" t="str">
        <f ca="1">IF(Data!B589="","",IF(ISNUMBER(Data!F589),IF(AND(Data!F589&gt;(TODAY()-(Data_Val!$H$3*365.25)),Data!F589&lt;=(TODAY()-(Data_Val!$H$2*365.25))),0,1),1))</f>
        <v/>
      </c>
      <c r="G589" s="15" t="str">
        <f>IF(Data!B589="","",IF(AND(Data!G589="",Data!H589&lt;&gt;""),1,IF(Data!#REF!&lt;&gt;"",0,IF(ISNUMBER(MATCH(Data!G589,Data_Val!$C$2:$C$5,0)),0,1))))</f>
        <v/>
      </c>
      <c r="H589" s="15" t="str">
        <f>IF(Data!B589="","",IF(AND(Data!G589&lt;&gt;"",Data!H589=""),1,IF(Data!#REF!&lt;&gt;"",0,IF(Data!G589="",1,IF(ISNUMBER(MATCH(Data!H589,Data_Val!$D$2:$D$35,0)),0,1)))))</f>
        <v/>
      </c>
      <c r="I589" s="15" t="str">
        <f>IF(Data!B589="","",IF(Data!G589&lt;&gt;"",0,IF(ISNUMBER(MATCH(Data!#REF!,Data_Val!$E$2:$E$12,0)),0,1)))</f>
        <v/>
      </c>
      <c r="J589" s="16" t="e">
        <f>IF(OR(Data!B589="",Data!#REF!=""),"",IF(Data!#REF!="",1,0))</f>
        <v>#REF!</v>
      </c>
      <c r="K589" s="16" t="e">
        <f>IF(OR(Data!B589="",Data!#REF!=""),"",IF(Data!#REF!="",1,0))</f>
        <v>#REF!</v>
      </c>
      <c r="L589" s="16" t="e">
        <f>IF(OR(Data!B589="",Data!#REF!=""),"",IF(ISNUMBER(Data!#REF!),IF(AND(Data!#REF!&gt;Data_Val!$G$2,Data!#REF!&lt;=Data_Val!$G$3),0,1),1))</f>
        <v>#REF!</v>
      </c>
      <c r="M589" s="9" t="e">
        <f>IF(OR(Data!B589="",Data!#REF!=""),"",IF(ISNUMBER(MATCH(Data!#REF!,Data_Val!$F$1:$F$38,0)),0,1))</f>
        <v>#REF!</v>
      </c>
      <c r="N589" s="9" t="e">
        <f>IF(OR(Data!B589="",Data!#REF!=""),"",IF(Data!#REF!="",1,0))</f>
        <v>#REF!</v>
      </c>
      <c r="O589" s="17" t="e">
        <f>IF(Data!#REF!="","",IF(Data!#REF!="",1,0))</f>
        <v>#REF!</v>
      </c>
      <c r="P589" s="17" t="e">
        <f>IF(Data!#REF!="","",IF(ISNUMBER(MATCH(Data!#REF!,Data_Val!$A$2:$A$3,0)),0,1))</f>
        <v>#REF!</v>
      </c>
      <c r="Q589" s="25" t="e">
        <f ca="1">IF(Data!#REF!="","",IF(ISNUMBER(Data!#REF!),IF(AND(Data!#REF!&gt;(TODAY()-(Data_Val!$J$3*365.25)),Data!#REF!&lt;=(TODAY()-(Data_Val!$J$2*365.25))),0,1),1))</f>
        <v>#REF!</v>
      </c>
      <c r="R589" s="17" t="e">
        <f>IF(Data!#REF!="","",IF(ISNUMBER(MATCH(Data!#REF!,Data_Val!$B$2:$B$15,0)),0,1))</f>
        <v>#REF!</v>
      </c>
      <c r="S589" s="11" t="str">
        <f>IF(Data!G589="","",IF(Data!G589=Data_Val!$C$2,IF(Data!M589="",0,1),0))</f>
        <v/>
      </c>
      <c r="T589" s="11" t="str">
        <f>IF(Data!M589="","",IF(ISNUMBER(MATCH(Data!N589,Data_Val!$A$2:$A$3,0)),0,1))</f>
        <v/>
      </c>
      <c r="U589" s="11" t="str">
        <f ca="1">IF(Data!M589="","",IF(ISNUMBER(Data!O589),IF(AND(Data!O589&gt;(TODAY()-(Data_Val!$K$3*365.25)),Data!O589&lt;=(TODAY()-(Data_Val!$K$2*365.25))),0,1),1))</f>
        <v/>
      </c>
      <c r="V589" s="12" t="str">
        <f>IF(Data!G589="","",IF(Data!G589=Data_Val!$C$2,IF(Data!P589="",0,1),0))</f>
        <v/>
      </c>
      <c r="W589" s="12" t="str">
        <f>IF(Data!P589="","",IF(ISNUMBER(MATCH(Data!Q589,Data_Val!$A$2:$A$3,0)),0,1))</f>
        <v/>
      </c>
      <c r="X589" s="26" t="str">
        <f ca="1">IF(Data!P589="","",IF(ISNUMBER(Data!R589),IF(AND(Data!R589&gt;(TODAY()-(Data_Val!$L$3*365.25)),Data!R589&lt;=(TODAY()-(Data_Val!$L$2*365.25))),0,1),1))</f>
        <v/>
      </c>
      <c r="Y589" s="13" t="str">
        <f>IF(Data!$G589="","",IF(Data!$G589=Data_Val!$C$2,IF(Data!S589="",0,1),0))</f>
        <v/>
      </c>
      <c r="Z589" s="13" t="str">
        <f>IF(Data!S589="","",IF(ISNUMBER(MATCH(Data!T589,Data_Val!$A$2:$A$3,0)),0,1))</f>
        <v/>
      </c>
      <c r="AA589" s="28" t="str">
        <f ca="1">IF(Data!S589="","",IF(ISNUMBER(Data!U589),IF(AND(Data!U589&gt;(TODAY()-(Data_Val!$L$3*365.25)),Data!U589&lt;=(TODAY()-(Data_Val!$L$2*365.25))),0,1),1))</f>
        <v/>
      </c>
      <c r="AB589" s="11"/>
      <c r="AC589" s="11" t="e">
        <f>IF(Data!#REF!="","",IF(ISNUMBER(MATCH(Data!#REF!,Data_Val!$A$2:$A$3,0)),0,1))</f>
        <v>#REF!</v>
      </c>
      <c r="AD589" s="11" t="e">
        <f ca="1">IF(Data!#REF!="","",IF(ISNUMBER(Data!#REF!),IF(AND(Data!#REF!&gt;(TODAY()-(Data_Val!$L$3*365.25)),Data!#REF!&lt;=(TODAY()-(Data_Val!$L$2*365.25))),0,1),1))</f>
        <v>#REF!</v>
      </c>
      <c r="AE589" s="11" t="e">
        <f>IF(Data!#REF!="","",IF(Data!$G589="",1,IF(ISNUMBER(MATCH(Data!#REF!,Data_Val!$D$2:$D$10,0)),0,1)))</f>
        <v>#REF!</v>
      </c>
      <c r="AF589" s="12"/>
      <c r="AG589" s="12" t="e">
        <f>IF(Data!#REF!="","",IF(ISNUMBER(MATCH(Data!#REF!,Data_Val!$A$2:$A$3,0)),0,1))</f>
        <v>#REF!</v>
      </c>
      <c r="AH589" s="26" t="e">
        <f ca="1">IF(Data!#REF!="","",IF(ISNUMBER(Data!#REF!),IF(AND(Data!#REF!&gt;(TODAY()-(Data_Val!$L$3*365.25)),Data!#REF!&lt;=(TODAY()-(Data_Val!$L$2*365.25))),0,1),1))</f>
        <v>#REF!</v>
      </c>
      <c r="AI589" s="12" t="e">
        <f>IF(Data!#REF!="","",IF(Data!$G589="",1,IF(ISNUMBER(MATCH(Data!#REF!,Data_Val!$D$2:$D$10,0)),0,1)))</f>
        <v>#REF!</v>
      </c>
      <c r="AJ589" s="17"/>
      <c r="AK589" s="17" t="e">
        <f>IF(Data!#REF!="","",IF(ISNUMBER(MATCH(Data!#REF!,Data_Val!$A$2:$A$3,0)),0,1))</f>
        <v>#REF!</v>
      </c>
      <c r="AL589" s="25" t="e">
        <f ca="1">IF(Data!#REF!="","",IF(ISNUMBER(Data!#REF!),IF(AND(Data!#REF!&gt;(TODAY()-(Data_Val!$L$3*365.25)),Data!#REF!&lt;=(TODAY()-(Data_Val!$L$2*365.25))),0,1),1))</f>
        <v>#REF!</v>
      </c>
      <c r="AM589" s="17" t="e">
        <f>IF(Data!#REF!="","",IF(Data!$G589="",1,IF(ISNUMBER(MATCH(Data!#REF!,Data_Val!$D$2:$D$10,0)),0,1)))</f>
        <v>#REF!</v>
      </c>
      <c r="AN589" s="13"/>
      <c r="AO589" s="28" t="e">
        <f ca="1">IF(Data!#REF!="","",IF(ISNUMBER(Data!#REF!),IF(AND(Data!#REF!&gt;(TODAY()-(Data_Val!$I$3*365.25)),Data!#REF!&lt;=(TODAY()-(Data_Val!$I$2*365.25))),0,1),1))</f>
        <v>#REF!</v>
      </c>
      <c r="AP589" s="13" t="e">
        <f>IF(Data!#REF!="","",IF(Data!$G589="",1,IF(ISNUMBER(MATCH(Data!#REF!,Data_Val!$D$2:$D$10,0)),0,1)))</f>
        <v>#REF!</v>
      </c>
      <c r="AQ589" s="17"/>
      <c r="AR589" s="30" t="e">
        <f ca="1">IF(Data!#REF!="","",IF(ISNUMBER(Data!#REF!),IF(AND(Data!#REF!&gt;(TODAY()-(Data_Val!$I$3*365.25)),Data!#REF!&lt;=(TODAY()-(Data_Val!$I$2*365.25))),0,1),1))</f>
        <v>#REF!</v>
      </c>
      <c r="AS589" s="31" t="e">
        <f>IF(Data!#REF!="","",IF(Data!$G589="",1,IF(ISNUMBER(MATCH(Data!#REF!,Data_Val!$D$2:$D$10,0)),0,1)))</f>
        <v>#REF!</v>
      </c>
      <c r="AT589" s="11"/>
      <c r="AU589" s="11" t="e">
        <f ca="1">IF(Data!#REF!="","",IF(ISNUMBER(Data!#REF!),IF(AND(Data!#REF!&gt;(TODAY()-(Data_Val!$I$3*365.25)),Data!#REF!&lt;=(TODAY()-(Data_Val!$I$2*365.25))),0,1),1))</f>
        <v>#REF!</v>
      </c>
      <c r="AV589" s="11" t="e">
        <f>IF(Data!#REF!="","",IF(Data!$G589="",1,IF(ISNUMBER(MATCH(Data!#REF!,Data_Val!$D$2:$D$10,0)),0,1)))</f>
        <v>#REF!</v>
      </c>
      <c r="AW589" s="12"/>
      <c r="AX589" s="26" t="e">
        <f ca="1">IF(Data!#REF!="","",IF(ISNUMBER(Data!#REF!),IF(AND(Data!#REF!&gt;(TODAY()-(Data_Val!$I$3*365.25)),Data!#REF!&lt;=(TODAY()-(Data_Val!$I$2*365.25))),0,1),1))</f>
        <v>#REF!</v>
      </c>
      <c r="AY589" s="12" t="e">
        <f>IF(Data!#REF!="","",IF(Data!$G589="",1,IF(ISNUMBER(MATCH(Data!#REF!,Data_Val!$D$2:$D$10,0)),0,1)))</f>
        <v>#REF!</v>
      </c>
      <c r="AZ589" s="11"/>
      <c r="BA589" s="19" t="e">
        <f ca="1">IF(Data!#REF!="","",IF(ISNUMBER(Data!#REF!),IF(AND(Data!#REF!&gt;(TODAY()-(Data_Val!$M$3*365.25)),Data!#REF!&lt;=(TODAY()-(Data_Val!$M$2*365.25))),0,1),1))</f>
        <v>#REF!</v>
      </c>
      <c r="BB589" s="11" t="e">
        <f>IF(Data!#REF!="","",IF(Data!$G589="",1,IF(ISNUMBER(MATCH(Data!#REF!,Data_Val!$D$2:$D$10,0)),0,1)))</f>
        <v>#REF!</v>
      </c>
      <c r="BC589" s="12"/>
      <c r="BD589" s="20" t="e">
        <f ca="1">IF(Data!#REF!="","",IF(ISNUMBER(Data!#REF!),IF(AND(Data!#REF!&gt;(TODAY()-(Data_Val!$M$3*365.25)),Data!#REF!&lt;=(TODAY()-(Data_Val!$M$2*365.25))),0,1),1))</f>
        <v>#REF!</v>
      </c>
      <c r="BE589" s="12" t="e">
        <f>IF(Data!#REF!="","",IF(Data!$G589="",1,IF(ISNUMBER(MATCH(Data!#REF!,Data_Val!$D$2:$D$10,0)),0,1)))</f>
        <v>#REF!</v>
      </c>
      <c r="BF589" s="17"/>
      <c r="BG589" s="18" t="e">
        <f ca="1">IF(Data!#REF!="","",IF(ISNUMBER(Data!#REF!),IF(AND(Data!#REF!&gt;(TODAY()-(Data_Val!$M$3*365.25)),Data!#REF!&lt;=(TODAY()-(Data_Val!$M$2*365.25))),0,1),1))</f>
        <v>#REF!</v>
      </c>
      <c r="BH589" s="29" t="e">
        <f>IF(Data!#REF!="","",IF(Data!$G589="",1,IF(ISNUMBER(MATCH(Data!#REF!,Data_Val!$D$2:$D$10,0)),0,1)))</f>
        <v>#REF!</v>
      </c>
      <c r="BI589" s="13"/>
      <c r="BJ589" s="21" t="e">
        <f ca="1">IF(Data!#REF!="","",IF(ISNUMBER(Data!#REF!),IF(AND(Data!#REF!&gt;(TODAY()-(Data_Val!$M$3*365.25)),Data!#REF!&lt;=(TODAY()-(Data_Val!$M$2*365.25))),0,1),1))</f>
        <v>#REF!</v>
      </c>
      <c r="BK589" s="13" t="e">
        <f>IF(Data!#REF!="","",IF(Data!$G589="",1,IF(ISNUMBER(MATCH(Data!#REF!,Data_Val!$D$2:$D$10,0)),0,1)))</f>
        <v>#REF!</v>
      </c>
    </row>
    <row r="590" spans="1:63" x14ac:dyDescent="0.25">
      <c r="A590" s="9" t="str">
        <f>IF(Data!B590="","",IF(COUNTIFS(Data!A$1:'Data'!A590,Data!A590)&lt;=1,0,1))</f>
        <v/>
      </c>
      <c r="B590" s="9"/>
      <c r="C590" s="23" t="str">
        <f>IF(Data!C590="","",(IF(ISNUMBER(MATCH("*@*.?*",Data!C590,0)),0,1)+IF(COUNTIFS(Data!C$1:'Data'!C590,Data!C590)&gt;1,1,0)))</f>
        <v/>
      </c>
      <c r="D590" s="9" t="str">
        <f>IF(Data!B590="","",IF(ISNUMBER(Data!D590),IF(AND(Data!D590&gt;999999999,Data!D590&lt;=9999999999),IF(COUNTIFS(Data!D$1:'Data'!D590,Data!D590)&lt;=1,0,1),1),1))</f>
        <v/>
      </c>
      <c r="E590" s="9" t="str">
        <f>IF(Data!B590="","",IF(ISNUMBER(MATCH(Data!E590,Data_Val!$A$2:$A$3,0)),0,1))</f>
        <v/>
      </c>
      <c r="F590" s="9" t="str">
        <f ca="1">IF(Data!B590="","",IF(ISNUMBER(Data!F590),IF(AND(Data!F590&gt;(TODAY()-(Data_Val!$H$3*365.25)),Data!F590&lt;=(TODAY()-(Data_Val!$H$2*365.25))),0,1),1))</f>
        <v/>
      </c>
      <c r="G590" s="15" t="str">
        <f>IF(Data!B590="","",IF(AND(Data!G590="",Data!H590&lt;&gt;""),1,IF(Data!#REF!&lt;&gt;"",0,IF(ISNUMBER(MATCH(Data!G590,Data_Val!$C$2:$C$5,0)),0,1))))</f>
        <v/>
      </c>
      <c r="H590" s="15" t="str">
        <f>IF(Data!B590="","",IF(AND(Data!G590&lt;&gt;"",Data!H590=""),1,IF(Data!#REF!&lt;&gt;"",0,IF(Data!G590="",1,IF(ISNUMBER(MATCH(Data!H590,Data_Val!$D$2:$D$35,0)),0,1)))))</f>
        <v/>
      </c>
      <c r="I590" s="15" t="str">
        <f>IF(Data!B590="","",IF(Data!G590&lt;&gt;"",0,IF(ISNUMBER(MATCH(Data!#REF!,Data_Val!$E$2:$E$12,0)),0,1)))</f>
        <v/>
      </c>
      <c r="J590" s="16" t="e">
        <f>IF(OR(Data!B590="",Data!#REF!=""),"",IF(Data!#REF!="",1,0))</f>
        <v>#REF!</v>
      </c>
      <c r="K590" s="16" t="e">
        <f>IF(OR(Data!B590="",Data!#REF!=""),"",IF(Data!#REF!="",1,0))</f>
        <v>#REF!</v>
      </c>
      <c r="L590" s="16" t="e">
        <f>IF(OR(Data!B590="",Data!#REF!=""),"",IF(ISNUMBER(Data!#REF!),IF(AND(Data!#REF!&gt;Data_Val!$G$2,Data!#REF!&lt;=Data_Val!$G$3),0,1),1))</f>
        <v>#REF!</v>
      </c>
      <c r="M590" s="9" t="e">
        <f>IF(OR(Data!B590="",Data!#REF!=""),"",IF(ISNUMBER(MATCH(Data!#REF!,Data_Val!$F$1:$F$38,0)),0,1))</f>
        <v>#REF!</v>
      </c>
      <c r="N590" s="9" t="e">
        <f>IF(OR(Data!B590="",Data!#REF!=""),"",IF(Data!#REF!="",1,0))</f>
        <v>#REF!</v>
      </c>
      <c r="O590" s="17" t="e">
        <f>IF(Data!#REF!="","",IF(Data!#REF!="",1,0))</f>
        <v>#REF!</v>
      </c>
      <c r="P590" s="17" t="e">
        <f>IF(Data!#REF!="","",IF(ISNUMBER(MATCH(Data!#REF!,Data_Val!$A$2:$A$3,0)),0,1))</f>
        <v>#REF!</v>
      </c>
      <c r="Q590" s="25" t="e">
        <f ca="1">IF(Data!#REF!="","",IF(ISNUMBER(Data!#REF!),IF(AND(Data!#REF!&gt;(TODAY()-(Data_Val!$J$3*365.25)),Data!#REF!&lt;=(TODAY()-(Data_Val!$J$2*365.25))),0,1),1))</f>
        <v>#REF!</v>
      </c>
      <c r="R590" s="17" t="e">
        <f>IF(Data!#REF!="","",IF(ISNUMBER(MATCH(Data!#REF!,Data_Val!$B$2:$B$15,0)),0,1))</f>
        <v>#REF!</v>
      </c>
      <c r="S590" s="11" t="str">
        <f>IF(Data!G590="","",IF(Data!G590=Data_Val!$C$2,IF(Data!M590="",0,1),0))</f>
        <v/>
      </c>
      <c r="T590" s="11" t="str">
        <f>IF(Data!M590="","",IF(ISNUMBER(MATCH(Data!N590,Data_Val!$A$2:$A$3,0)),0,1))</f>
        <v/>
      </c>
      <c r="U590" s="11" t="str">
        <f ca="1">IF(Data!M590="","",IF(ISNUMBER(Data!O590),IF(AND(Data!O590&gt;(TODAY()-(Data_Val!$K$3*365.25)),Data!O590&lt;=(TODAY()-(Data_Val!$K$2*365.25))),0,1),1))</f>
        <v/>
      </c>
      <c r="V590" s="12" t="str">
        <f>IF(Data!G590="","",IF(Data!G590=Data_Val!$C$2,IF(Data!P590="",0,1),0))</f>
        <v/>
      </c>
      <c r="W590" s="12" t="str">
        <f>IF(Data!P590="","",IF(ISNUMBER(MATCH(Data!Q590,Data_Val!$A$2:$A$3,0)),0,1))</f>
        <v/>
      </c>
      <c r="X590" s="26" t="str">
        <f ca="1">IF(Data!P590="","",IF(ISNUMBER(Data!R590),IF(AND(Data!R590&gt;(TODAY()-(Data_Val!$L$3*365.25)),Data!R590&lt;=(TODAY()-(Data_Val!$L$2*365.25))),0,1),1))</f>
        <v/>
      </c>
      <c r="Y590" s="13" t="str">
        <f>IF(Data!$G590="","",IF(Data!$G590=Data_Val!$C$2,IF(Data!S590="",0,1),0))</f>
        <v/>
      </c>
      <c r="Z590" s="13" t="str">
        <f>IF(Data!S590="","",IF(ISNUMBER(MATCH(Data!T590,Data_Val!$A$2:$A$3,0)),0,1))</f>
        <v/>
      </c>
      <c r="AA590" s="28" t="str">
        <f ca="1">IF(Data!S590="","",IF(ISNUMBER(Data!U590),IF(AND(Data!U590&gt;(TODAY()-(Data_Val!$L$3*365.25)),Data!U590&lt;=(TODAY()-(Data_Val!$L$2*365.25))),0,1),1))</f>
        <v/>
      </c>
      <c r="AB590" s="11"/>
      <c r="AC590" s="11" t="e">
        <f>IF(Data!#REF!="","",IF(ISNUMBER(MATCH(Data!#REF!,Data_Val!$A$2:$A$3,0)),0,1))</f>
        <v>#REF!</v>
      </c>
      <c r="AD590" s="11" t="e">
        <f ca="1">IF(Data!#REF!="","",IF(ISNUMBER(Data!#REF!),IF(AND(Data!#REF!&gt;(TODAY()-(Data_Val!$L$3*365.25)),Data!#REF!&lt;=(TODAY()-(Data_Val!$L$2*365.25))),0,1),1))</f>
        <v>#REF!</v>
      </c>
      <c r="AE590" s="11" t="e">
        <f>IF(Data!#REF!="","",IF(Data!$G590="",1,IF(ISNUMBER(MATCH(Data!#REF!,Data_Val!$D$2:$D$10,0)),0,1)))</f>
        <v>#REF!</v>
      </c>
      <c r="AF590" s="12"/>
      <c r="AG590" s="12" t="e">
        <f>IF(Data!#REF!="","",IF(ISNUMBER(MATCH(Data!#REF!,Data_Val!$A$2:$A$3,0)),0,1))</f>
        <v>#REF!</v>
      </c>
      <c r="AH590" s="26" t="e">
        <f ca="1">IF(Data!#REF!="","",IF(ISNUMBER(Data!#REF!),IF(AND(Data!#REF!&gt;(TODAY()-(Data_Val!$L$3*365.25)),Data!#REF!&lt;=(TODAY()-(Data_Val!$L$2*365.25))),0,1),1))</f>
        <v>#REF!</v>
      </c>
      <c r="AI590" s="12" t="e">
        <f>IF(Data!#REF!="","",IF(Data!$G590="",1,IF(ISNUMBER(MATCH(Data!#REF!,Data_Val!$D$2:$D$10,0)),0,1)))</f>
        <v>#REF!</v>
      </c>
      <c r="AJ590" s="17"/>
      <c r="AK590" s="17" t="e">
        <f>IF(Data!#REF!="","",IF(ISNUMBER(MATCH(Data!#REF!,Data_Val!$A$2:$A$3,0)),0,1))</f>
        <v>#REF!</v>
      </c>
      <c r="AL590" s="25" t="e">
        <f ca="1">IF(Data!#REF!="","",IF(ISNUMBER(Data!#REF!),IF(AND(Data!#REF!&gt;(TODAY()-(Data_Val!$L$3*365.25)),Data!#REF!&lt;=(TODAY()-(Data_Val!$L$2*365.25))),0,1),1))</f>
        <v>#REF!</v>
      </c>
      <c r="AM590" s="17" t="e">
        <f>IF(Data!#REF!="","",IF(Data!$G590="",1,IF(ISNUMBER(MATCH(Data!#REF!,Data_Val!$D$2:$D$10,0)),0,1)))</f>
        <v>#REF!</v>
      </c>
      <c r="AN590" s="13"/>
      <c r="AO590" s="28" t="e">
        <f ca="1">IF(Data!#REF!="","",IF(ISNUMBER(Data!#REF!),IF(AND(Data!#REF!&gt;(TODAY()-(Data_Val!$I$3*365.25)),Data!#REF!&lt;=(TODAY()-(Data_Val!$I$2*365.25))),0,1),1))</f>
        <v>#REF!</v>
      </c>
      <c r="AP590" s="13" t="e">
        <f>IF(Data!#REF!="","",IF(Data!$G590="",1,IF(ISNUMBER(MATCH(Data!#REF!,Data_Val!$D$2:$D$10,0)),0,1)))</f>
        <v>#REF!</v>
      </c>
      <c r="AQ590" s="17"/>
      <c r="AR590" s="30" t="e">
        <f ca="1">IF(Data!#REF!="","",IF(ISNUMBER(Data!#REF!),IF(AND(Data!#REF!&gt;(TODAY()-(Data_Val!$I$3*365.25)),Data!#REF!&lt;=(TODAY()-(Data_Val!$I$2*365.25))),0,1),1))</f>
        <v>#REF!</v>
      </c>
      <c r="AS590" s="31" t="e">
        <f>IF(Data!#REF!="","",IF(Data!$G590="",1,IF(ISNUMBER(MATCH(Data!#REF!,Data_Val!$D$2:$D$10,0)),0,1)))</f>
        <v>#REF!</v>
      </c>
      <c r="AT590" s="11"/>
      <c r="AU590" s="11" t="e">
        <f ca="1">IF(Data!#REF!="","",IF(ISNUMBER(Data!#REF!),IF(AND(Data!#REF!&gt;(TODAY()-(Data_Val!$I$3*365.25)),Data!#REF!&lt;=(TODAY()-(Data_Val!$I$2*365.25))),0,1),1))</f>
        <v>#REF!</v>
      </c>
      <c r="AV590" s="11" t="e">
        <f>IF(Data!#REF!="","",IF(Data!$G590="",1,IF(ISNUMBER(MATCH(Data!#REF!,Data_Val!$D$2:$D$10,0)),0,1)))</f>
        <v>#REF!</v>
      </c>
      <c r="AW590" s="12"/>
      <c r="AX590" s="26" t="e">
        <f ca="1">IF(Data!#REF!="","",IF(ISNUMBER(Data!#REF!),IF(AND(Data!#REF!&gt;(TODAY()-(Data_Val!$I$3*365.25)),Data!#REF!&lt;=(TODAY()-(Data_Val!$I$2*365.25))),0,1),1))</f>
        <v>#REF!</v>
      </c>
      <c r="AY590" s="12" t="e">
        <f>IF(Data!#REF!="","",IF(Data!$G590="",1,IF(ISNUMBER(MATCH(Data!#REF!,Data_Val!$D$2:$D$10,0)),0,1)))</f>
        <v>#REF!</v>
      </c>
      <c r="AZ590" s="11"/>
      <c r="BA590" s="19" t="e">
        <f ca="1">IF(Data!#REF!="","",IF(ISNUMBER(Data!#REF!),IF(AND(Data!#REF!&gt;(TODAY()-(Data_Val!$M$3*365.25)),Data!#REF!&lt;=(TODAY()-(Data_Val!$M$2*365.25))),0,1),1))</f>
        <v>#REF!</v>
      </c>
      <c r="BB590" s="11" t="e">
        <f>IF(Data!#REF!="","",IF(Data!$G590="",1,IF(ISNUMBER(MATCH(Data!#REF!,Data_Val!$D$2:$D$10,0)),0,1)))</f>
        <v>#REF!</v>
      </c>
      <c r="BC590" s="12"/>
      <c r="BD590" s="20" t="e">
        <f ca="1">IF(Data!#REF!="","",IF(ISNUMBER(Data!#REF!),IF(AND(Data!#REF!&gt;(TODAY()-(Data_Val!$M$3*365.25)),Data!#REF!&lt;=(TODAY()-(Data_Val!$M$2*365.25))),0,1),1))</f>
        <v>#REF!</v>
      </c>
      <c r="BE590" s="12" t="e">
        <f>IF(Data!#REF!="","",IF(Data!$G590="",1,IF(ISNUMBER(MATCH(Data!#REF!,Data_Val!$D$2:$D$10,0)),0,1)))</f>
        <v>#REF!</v>
      </c>
      <c r="BF590" s="17"/>
      <c r="BG590" s="18" t="e">
        <f ca="1">IF(Data!#REF!="","",IF(ISNUMBER(Data!#REF!),IF(AND(Data!#REF!&gt;(TODAY()-(Data_Val!$M$3*365.25)),Data!#REF!&lt;=(TODAY()-(Data_Val!$M$2*365.25))),0,1),1))</f>
        <v>#REF!</v>
      </c>
      <c r="BH590" s="29" t="e">
        <f>IF(Data!#REF!="","",IF(Data!$G590="",1,IF(ISNUMBER(MATCH(Data!#REF!,Data_Val!$D$2:$D$10,0)),0,1)))</f>
        <v>#REF!</v>
      </c>
      <c r="BI590" s="13"/>
      <c r="BJ590" s="21" t="e">
        <f ca="1">IF(Data!#REF!="","",IF(ISNUMBER(Data!#REF!),IF(AND(Data!#REF!&gt;(TODAY()-(Data_Val!$M$3*365.25)),Data!#REF!&lt;=(TODAY()-(Data_Val!$M$2*365.25))),0,1),1))</f>
        <v>#REF!</v>
      </c>
      <c r="BK590" s="13" t="e">
        <f>IF(Data!#REF!="","",IF(Data!$G590="",1,IF(ISNUMBER(MATCH(Data!#REF!,Data_Val!$D$2:$D$10,0)),0,1)))</f>
        <v>#REF!</v>
      </c>
    </row>
    <row r="591" spans="1:63" x14ac:dyDescent="0.25">
      <c r="A591" s="9" t="str">
        <f>IF(Data!B591="","",IF(COUNTIFS(Data!A$1:'Data'!A591,Data!A591)&lt;=1,0,1))</f>
        <v/>
      </c>
      <c r="B591" s="9"/>
      <c r="C591" s="23" t="str">
        <f>IF(Data!C591="","",(IF(ISNUMBER(MATCH("*@*.?*",Data!C591,0)),0,1)+IF(COUNTIFS(Data!C$1:'Data'!C591,Data!C591)&gt;1,1,0)))</f>
        <v/>
      </c>
      <c r="D591" s="9" t="str">
        <f>IF(Data!B591="","",IF(ISNUMBER(Data!D591),IF(AND(Data!D591&gt;999999999,Data!D591&lt;=9999999999),IF(COUNTIFS(Data!D$1:'Data'!D591,Data!D591)&lt;=1,0,1),1),1))</f>
        <v/>
      </c>
      <c r="E591" s="9" t="str">
        <f>IF(Data!B591="","",IF(ISNUMBER(MATCH(Data!E591,Data_Val!$A$2:$A$3,0)),0,1))</f>
        <v/>
      </c>
      <c r="F591" s="9" t="str">
        <f ca="1">IF(Data!B591="","",IF(ISNUMBER(Data!F591),IF(AND(Data!F591&gt;(TODAY()-(Data_Val!$H$3*365.25)),Data!F591&lt;=(TODAY()-(Data_Val!$H$2*365.25))),0,1),1))</f>
        <v/>
      </c>
      <c r="G591" s="15" t="str">
        <f>IF(Data!B591="","",IF(AND(Data!G591="",Data!H591&lt;&gt;""),1,IF(Data!#REF!&lt;&gt;"",0,IF(ISNUMBER(MATCH(Data!G591,Data_Val!$C$2:$C$5,0)),0,1))))</f>
        <v/>
      </c>
      <c r="H591" s="15" t="str">
        <f>IF(Data!B591="","",IF(AND(Data!G591&lt;&gt;"",Data!H591=""),1,IF(Data!#REF!&lt;&gt;"",0,IF(Data!G591="",1,IF(ISNUMBER(MATCH(Data!H591,Data_Val!$D$2:$D$35,0)),0,1)))))</f>
        <v/>
      </c>
      <c r="I591" s="15" t="str">
        <f>IF(Data!B591="","",IF(Data!G591&lt;&gt;"",0,IF(ISNUMBER(MATCH(Data!#REF!,Data_Val!$E$2:$E$12,0)),0,1)))</f>
        <v/>
      </c>
      <c r="J591" s="16" t="e">
        <f>IF(OR(Data!B591="",Data!#REF!=""),"",IF(Data!#REF!="",1,0))</f>
        <v>#REF!</v>
      </c>
      <c r="K591" s="16" t="e">
        <f>IF(OR(Data!B591="",Data!#REF!=""),"",IF(Data!#REF!="",1,0))</f>
        <v>#REF!</v>
      </c>
      <c r="L591" s="16" t="e">
        <f>IF(OR(Data!B591="",Data!#REF!=""),"",IF(ISNUMBER(Data!#REF!),IF(AND(Data!#REF!&gt;Data_Val!$G$2,Data!#REF!&lt;=Data_Val!$G$3),0,1),1))</f>
        <v>#REF!</v>
      </c>
      <c r="M591" s="9" t="e">
        <f>IF(OR(Data!B591="",Data!#REF!=""),"",IF(ISNUMBER(MATCH(Data!#REF!,Data_Val!$F$1:$F$38,0)),0,1))</f>
        <v>#REF!</v>
      </c>
      <c r="N591" s="9" t="e">
        <f>IF(OR(Data!B591="",Data!#REF!=""),"",IF(Data!#REF!="",1,0))</f>
        <v>#REF!</v>
      </c>
      <c r="O591" s="17" t="e">
        <f>IF(Data!#REF!="","",IF(Data!#REF!="",1,0))</f>
        <v>#REF!</v>
      </c>
      <c r="P591" s="17" t="e">
        <f>IF(Data!#REF!="","",IF(ISNUMBER(MATCH(Data!#REF!,Data_Val!$A$2:$A$3,0)),0,1))</f>
        <v>#REF!</v>
      </c>
      <c r="Q591" s="25" t="e">
        <f ca="1">IF(Data!#REF!="","",IF(ISNUMBER(Data!#REF!),IF(AND(Data!#REF!&gt;(TODAY()-(Data_Val!$J$3*365.25)),Data!#REF!&lt;=(TODAY()-(Data_Val!$J$2*365.25))),0,1),1))</f>
        <v>#REF!</v>
      </c>
      <c r="R591" s="17" t="e">
        <f>IF(Data!#REF!="","",IF(ISNUMBER(MATCH(Data!#REF!,Data_Val!$B$2:$B$15,0)),0,1))</f>
        <v>#REF!</v>
      </c>
      <c r="S591" s="11" t="str">
        <f>IF(Data!G591="","",IF(Data!G591=Data_Val!$C$2,IF(Data!M591="",0,1),0))</f>
        <v/>
      </c>
      <c r="T591" s="11" t="str">
        <f>IF(Data!M591="","",IF(ISNUMBER(MATCH(Data!N591,Data_Val!$A$2:$A$3,0)),0,1))</f>
        <v/>
      </c>
      <c r="U591" s="11" t="str">
        <f ca="1">IF(Data!M591="","",IF(ISNUMBER(Data!O591),IF(AND(Data!O591&gt;(TODAY()-(Data_Val!$K$3*365.25)),Data!O591&lt;=(TODAY()-(Data_Val!$K$2*365.25))),0,1),1))</f>
        <v/>
      </c>
      <c r="V591" s="12" t="str">
        <f>IF(Data!G591="","",IF(Data!G591=Data_Val!$C$2,IF(Data!P591="",0,1),0))</f>
        <v/>
      </c>
      <c r="W591" s="12" t="str">
        <f>IF(Data!P591="","",IF(ISNUMBER(MATCH(Data!Q591,Data_Val!$A$2:$A$3,0)),0,1))</f>
        <v/>
      </c>
      <c r="X591" s="26" t="str">
        <f ca="1">IF(Data!P591="","",IF(ISNUMBER(Data!R591),IF(AND(Data!R591&gt;(TODAY()-(Data_Val!$L$3*365.25)),Data!R591&lt;=(TODAY()-(Data_Val!$L$2*365.25))),0,1),1))</f>
        <v/>
      </c>
      <c r="Y591" s="13" t="str">
        <f>IF(Data!$G591="","",IF(Data!$G591=Data_Val!$C$2,IF(Data!S591="",0,1),0))</f>
        <v/>
      </c>
      <c r="Z591" s="13" t="str">
        <f>IF(Data!S591="","",IF(ISNUMBER(MATCH(Data!T591,Data_Val!$A$2:$A$3,0)),0,1))</f>
        <v/>
      </c>
      <c r="AA591" s="28" t="str">
        <f ca="1">IF(Data!S591="","",IF(ISNUMBER(Data!U591),IF(AND(Data!U591&gt;(TODAY()-(Data_Val!$L$3*365.25)),Data!U591&lt;=(TODAY()-(Data_Val!$L$2*365.25))),0,1),1))</f>
        <v/>
      </c>
      <c r="AB591" s="11"/>
      <c r="AC591" s="11" t="e">
        <f>IF(Data!#REF!="","",IF(ISNUMBER(MATCH(Data!#REF!,Data_Val!$A$2:$A$3,0)),0,1))</f>
        <v>#REF!</v>
      </c>
      <c r="AD591" s="11" t="e">
        <f ca="1">IF(Data!#REF!="","",IF(ISNUMBER(Data!#REF!),IF(AND(Data!#REF!&gt;(TODAY()-(Data_Val!$L$3*365.25)),Data!#REF!&lt;=(TODAY()-(Data_Val!$L$2*365.25))),0,1),1))</f>
        <v>#REF!</v>
      </c>
      <c r="AE591" s="11" t="e">
        <f>IF(Data!#REF!="","",IF(Data!$G591="",1,IF(ISNUMBER(MATCH(Data!#REF!,Data_Val!$D$2:$D$10,0)),0,1)))</f>
        <v>#REF!</v>
      </c>
      <c r="AF591" s="12"/>
      <c r="AG591" s="12" t="e">
        <f>IF(Data!#REF!="","",IF(ISNUMBER(MATCH(Data!#REF!,Data_Val!$A$2:$A$3,0)),0,1))</f>
        <v>#REF!</v>
      </c>
      <c r="AH591" s="26" t="e">
        <f ca="1">IF(Data!#REF!="","",IF(ISNUMBER(Data!#REF!),IF(AND(Data!#REF!&gt;(TODAY()-(Data_Val!$L$3*365.25)),Data!#REF!&lt;=(TODAY()-(Data_Val!$L$2*365.25))),0,1),1))</f>
        <v>#REF!</v>
      </c>
      <c r="AI591" s="12" t="e">
        <f>IF(Data!#REF!="","",IF(Data!$G591="",1,IF(ISNUMBER(MATCH(Data!#REF!,Data_Val!$D$2:$D$10,0)),0,1)))</f>
        <v>#REF!</v>
      </c>
      <c r="AJ591" s="17"/>
      <c r="AK591" s="17" t="e">
        <f>IF(Data!#REF!="","",IF(ISNUMBER(MATCH(Data!#REF!,Data_Val!$A$2:$A$3,0)),0,1))</f>
        <v>#REF!</v>
      </c>
      <c r="AL591" s="25" t="e">
        <f ca="1">IF(Data!#REF!="","",IF(ISNUMBER(Data!#REF!),IF(AND(Data!#REF!&gt;(TODAY()-(Data_Val!$L$3*365.25)),Data!#REF!&lt;=(TODAY()-(Data_Val!$L$2*365.25))),0,1),1))</f>
        <v>#REF!</v>
      </c>
      <c r="AM591" s="17" t="e">
        <f>IF(Data!#REF!="","",IF(Data!$G591="",1,IF(ISNUMBER(MATCH(Data!#REF!,Data_Val!$D$2:$D$10,0)),0,1)))</f>
        <v>#REF!</v>
      </c>
      <c r="AN591" s="13"/>
      <c r="AO591" s="28" t="e">
        <f ca="1">IF(Data!#REF!="","",IF(ISNUMBER(Data!#REF!),IF(AND(Data!#REF!&gt;(TODAY()-(Data_Val!$I$3*365.25)),Data!#REF!&lt;=(TODAY()-(Data_Val!$I$2*365.25))),0,1),1))</f>
        <v>#REF!</v>
      </c>
      <c r="AP591" s="13" t="e">
        <f>IF(Data!#REF!="","",IF(Data!$G591="",1,IF(ISNUMBER(MATCH(Data!#REF!,Data_Val!$D$2:$D$10,0)),0,1)))</f>
        <v>#REF!</v>
      </c>
      <c r="AQ591" s="17"/>
      <c r="AR591" s="30" t="e">
        <f ca="1">IF(Data!#REF!="","",IF(ISNUMBER(Data!#REF!),IF(AND(Data!#REF!&gt;(TODAY()-(Data_Val!$I$3*365.25)),Data!#REF!&lt;=(TODAY()-(Data_Val!$I$2*365.25))),0,1),1))</f>
        <v>#REF!</v>
      </c>
      <c r="AS591" s="31" t="e">
        <f>IF(Data!#REF!="","",IF(Data!$G591="",1,IF(ISNUMBER(MATCH(Data!#REF!,Data_Val!$D$2:$D$10,0)),0,1)))</f>
        <v>#REF!</v>
      </c>
      <c r="AT591" s="11"/>
      <c r="AU591" s="11" t="e">
        <f ca="1">IF(Data!#REF!="","",IF(ISNUMBER(Data!#REF!),IF(AND(Data!#REF!&gt;(TODAY()-(Data_Val!$I$3*365.25)),Data!#REF!&lt;=(TODAY()-(Data_Val!$I$2*365.25))),0,1),1))</f>
        <v>#REF!</v>
      </c>
      <c r="AV591" s="11" t="e">
        <f>IF(Data!#REF!="","",IF(Data!$G591="",1,IF(ISNUMBER(MATCH(Data!#REF!,Data_Val!$D$2:$D$10,0)),0,1)))</f>
        <v>#REF!</v>
      </c>
      <c r="AW591" s="12"/>
      <c r="AX591" s="26" t="e">
        <f ca="1">IF(Data!#REF!="","",IF(ISNUMBER(Data!#REF!),IF(AND(Data!#REF!&gt;(TODAY()-(Data_Val!$I$3*365.25)),Data!#REF!&lt;=(TODAY()-(Data_Val!$I$2*365.25))),0,1),1))</f>
        <v>#REF!</v>
      </c>
      <c r="AY591" s="12" t="e">
        <f>IF(Data!#REF!="","",IF(Data!$G591="",1,IF(ISNUMBER(MATCH(Data!#REF!,Data_Val!$D$2:$D$10,0)),0,1)))</f>
        <v>#REF!</v>
      </c>
      <c r="AZ591" s="11"/>
      <c r="BA591" s="19" t="e">
        <f ca="1">IF(Data!#REF!="","",IF(ISNUMBER(Data!#REF!),IF(AND(Data!#REF!&gt;(TODAY()-(Data_Val!$M$3*365.25)),Data!#REF!&lt;=(TODAY()-(Data_Val!$M$2*365.25))),0,1),1))</f>
        <v>#REF!</v>
      </c>
      <c r="BB591" s="11" t="e">
        <f>IF(Data!#REF!="","",IF(Data!$G591="",1,IF(ISNUMBER(MATCH(Data!#REF!,Data_Val!$D$2:$D$10,0)),0,1)))</f>
        <v>#REF!</v>
      </c>
      <c r="BC591" s="12"/>
      <c r="BD591" s="20" t="e">
        <f ca="1">IF(Data!#REF!="","",IF(ISNUMBER(Data!#REF!),IF(AND(Data!#REF!&gt;(TODAY()-(Data_Val!$M$3*365.25)),Data!#REF!&lt;=(TODAY()-(Data_Val!$M$2*365.25))),0,1),1))</f>
        <v>#REF!</v>
      </c>
      <c r="BE591" s="12" t="e">
        <f>IF(Data!#REF!="","",IF(Data!$G591="",1,IF(ISNUMBER(MATCH(Data!#REF!,Data_Val!$D$2:$D$10,0)),0,1)))</f>
        <v>#REF!</v>
      </c>
      <c r="BF591" s="17"/>
      <c r="BG591" s="18" t="e">
        <f ca="1">IF(Data!#REF!="","",IF(ISNUMBER(Data!#REF!),IF(AND(Data!#REF!&gt;(TODAY()-(Data_Val!$M$3*365.25)),Data!#REF!&lt;=(TODAY()-(Data_Val!$M$2*365.25))),0,1),1))</f>
        <v>#REF!</v>
      </c>
      <c r="BH591" s="29" t="e">
        <f>IF(Data!#REF!="","",IF(Data!$G591="",1,IF(ISNUMBER(MATCH(Data!#REF!,Data_Val!$D$2:$D$10,0)),0,1)))</f>
        <v>#REF!</v>
      </c>
      <c r="BI591" s="13"/>
      <c r="BJ591" s="21" t="e">
        <f ca="1">IF(Data!#REF!="","",IF(ISNUMBER(Data!#REF!),IF(AND(Data!#REF!&gt;(TODAY()-(Data_Val!$M$3*365.25)),Data!#REF!&lt;=(TODAY()-(Data_Val!$M$2*365.25))),0,1),1))</f>
        <v>#REF!</v>
      </c>
      <c r="BK591" s="13" t="e">
        <f>IF(Data!#REF!="","",IF(Data!$G591="",1,IF(ISNUMBER(MATCH(Data!#REF!,Data_Val!$D$2:$D$10,0)),0,1)))</f>
        <v>#REF!</v>
      </c>
    </row>
    <row r="592" spans="1:63" x14ac:dyDescent="0.25">
      <c r="A592" s="9" t="str">
        <f>IF(Data!B592="","",IF(COUNTIFS(Data!A$1:'Data'!A592,Data!A592)&lt;=1,0,1))</f>
        <v/>
      </c>
      <c r="B592" s="9"/>
      <c r="C592" s="23" t="str">
        <f>IF(Data!C592="","",(IF(ISNUMBER(MATCH("*@*.?*",Data!C592,0)),0,1)+IF(COUNTIFS(Data!C$1:'Data'!C592,Data!C592)&gt;1,1,0)))</f>
        <v/>
      </c>
      <c r="D592" s="9" t="str">
        <f>IF(Data!B592="","",IF(ISNUMBER(Data!D592),IF(AND(Data!D592&gt;999999999,Data!D592&lt;=9999999999),IF(COUNTIFS(Data!D$1:'Data'!D592,Data!D592)&lt;=1,0,1),1),1))</f>
        <v/>
      </c>
      <c r="E592" s="9" t="str">
        <f>IF(Data!B592="","",IF(ISNUMBER(MATCH(Data!E592,Data_Val!$A$2:$A$3,0)),0,1))</f>
        <v/>
      </c>
      <c r="F592" s="9" t="str">
        <f ca="1">IF(Data!B592="","",IF(ISNUMBER(Data!F592),IF(AND(Data!F592&gt;(TODAY()-(Data_Val!$H$3*365.25)),Data!F592&lt;=(TODAY()-(Data_Val!$H$2*365.25))),0,1),1))</f>
        <v/>
      </c>
      <c r="G592" s="15" t="str">
        <f>IF(Data!B592="","",IF(AND(Data!G592="",Data!H592&lt;&gt;""),1,IF(Data!#REF!&lt;&gt;"",0,IF(ISNUMBER(MATCH(Data!G592,Data_Val!$C$2:$C$5,0)),0,1))))</f>
        <v/>
      </c>
      <c r="H592" s="15" t="str">
        <f>IF(Data!B592="","",IF(AND(Data!G592&lt;&gt;"",Data!H592=""),1,IF(Data!#REF!&lt;&gt;"",0,IF(Data!G592="",1,IF(ISNUMBER(MATCH(Data!H592,Data_Val!$D$2:$D$35,0)),0,1)))))</f>
        <v/>
      </c>
      <c r="I592" s="15" t="str">
        <f>IF(Data!B592="","",IF(Data!G592&lt;&gt;"",0,IF(ISNUMBER(MATCH(Data!#REF!,Data_Val!$E$2:$E$12,0)),0,1)))</f>
        <v/>
      </c>
      <c r="J592" s="16" t="e">
        <f>IF(OR(Data!B592="",Data!#REF!=""),"",IF(Data!#REF!="",1,0))</f>
        <v>#REF!</v>
      </c>
      <c r="K592" s="16" t="e">
        <f>IF(OR(Data!B592="",Data!#REF!=""),"",IF(Data!#REF!="",1,0))</f>
        <v>#REF!</v>
      </c>
      <c r="L592" s="16" t="e">
        <f>IF(OR(Data!B592="",Data!#REF!=""),"",IF(ISNUMBER(Data!#REF!),IF(AND(Data!#REF!&gt;Data_Val!$G$2,Data!#REF!&lt;=Data_Val!$G$3),0,1),1))</f>
        <v>#REF!</v>
      </c>
      <c r="M592" s="9" t="e">
        <f>IF(OR(Data!B592="",Data!#REF!=""),"",IF(ISNUMBER(MATCH(Data!#REF!,Data_Val!$F$1:$F$38,0)),0,1))</f>
        <v>#REF!</v>
      </c>
      <c r="N592" s="9" t="e">
        <f>IF(OR(Data!B592="",Data!#REF!=""),"",IF(Data!#REF!="",1,0))</f>
        <v>#REF!</v>
      </c>
      <c r="O592" s="17" t="e">
        <f>IF(Data!#REF!="","",IF(Data!#REF!="",1,0))</f>
        <v>#REF!</v>
      </c>
      <c r="P592" s="17" t="e">
        <f>IF(Data!#REF!="","",IF(ISNUMBER(MATCH(Data!#REF!,Data_Val!$A$2:$A$3,0)),0,1))</f>
        <v>#REF!</v>
      </c>
      <c r="Q592" s="25" t="e">
        <f ca="1">IF(Data!#REF!="","",IF(ISNUMBER(Data!#REF!),IF(AND(Data!#REF!&gt;(TODAY()-(Data_Val!$J$3*365.25)),Data!#REF!&lt;=(TODAY()-(Data_Val!$J$2*365.25))),0,1),1))</f>
        <v>#REF!</v>
      </c>
      <c r="R592" s="17" t="e">
        <f>IF(Data!#REF!="","",IF(ISNUMBER(MATCH(Data!#REF!,Data_Val!$B$2:$B$15,0)),0,1))</f>
        <v>#REF!</v>
      </c>
      <c r="S592" s="11" t="str">
        <f>IF(Data!G592="","",IF(Data!G592=Data_Val!$C$2,IF(Data!M592="",0,1),0))</f>
        <v/>
      </c>
      <c r="T592" s="11" t="str">
        <f>IF(Data!M592="","",IF(ISNUMBER(MATCH(Data!N592,Data_Val!$A$2:$A$3,0)),0,1))</f>
        <v/>
      </c>
      <c r="U592" s="11" t="str">
        <f ca="1">IF(Data!M592="","",IF(ISNUMBER(Data!O592),IF(AND(Data!O592&gt;(TODAY()-(Data_Val!$K$3*365.25)),Data!O592&lt;=(TODAY()-(Data_Val!$K$2*365.25))),0,1),1))</f>
        <v/>
      </c>
      <c r="V592" s="12" t="str">
        <f>IF(Data!G592="","",IF(Data!G592=Data_Val!$C$2,IF(Data!P592="",0,1),0))</f>
        <v/>
      </c>
      <c r="W592" s="12" t="str">
        <f>IF(Data!P592="","",IF(ISNUMBER(MATCH(Data!Q592,Data_Val!$A$2:$A$3,0)),0,1))</f>
        <v/>
      </c>
      <c r="X592" s="26" t="str">
        <f ca="1">IF(Data!P592="","",IF(ISNUMBER(Data!R592),IF(AND(Data!R592&gt;(TODAY()-(Data_Val!$L$3*365.25)),Data!R592&lt;=(TODAY()-(Data_Val!$L$2*365.25))),0,1),1))</f>
        <v/>
      </c>
      <c r="Y592" s="13" t="str">
        <f>IF(Data!$G592="","",IF(Data!$G592=Data_Val!$C$2,IF(Data!S592="",0,1),0))</f>
        <v/>
      </c>
      <c r="Z592" s="13" t="str">
        <f>IF(Data!S592="","",IF(ISNUMBER(MATCH(Data!T592,Data_Val!$A$2:$A$3,0)),0,1))</f>
        <v/>
      </c>
      <c r="AA592" s="28" t="str">
        <f ca="1">IF(Data!S592="","",IF(ISNUMBER(Data!U592),IF(AND(Data!U592&gt;(TODAY()-(Data_Val!$L$3*365.25)),Data!U592&lt;=(TODAY()-(Data_Val!$L$2*365.25))),0,1),1))</f>
        <v/>
      </c>
      <c r="AB592" s="11"/>
      <c r="AC592" s="11" t="e">
        <f>IF(Data!#REF!="","",IF(ISNUMBER(MATCH(Data!#REF!,Data_Val!$A$2:$A$3,0)),0,1))</f>
        <v>#REF!</v>
      </c>
      <c r="AD592" s="11" t="e">
        <f ca="1">IF(Data!#REF!="","",IF(ISNUMBER(Data!#REF!),IF(AND(Data!#REF!&gt;(TODAY()-(Data_Val!$L$3*365.25)),Data!#REF!&lt;=(TODAY()-(Data_Val!$L$2*365.25))),0,1),1))</f>
        <v>#REF!</v>
      </c>
      <c r="AE592" s="11" t="e">
        <f>IF(Data!#REF!="","",IF(Data!$G592="",1,IF(ISNUMBER(MATCH(Data!#REF!,Data_Val!$D$2:$D$10,0)),0,1)))</f>
        <v>#REF!</v>
      </c>
      <c r="AF592" s="12"/>
      <c r="AG592" s="12" t="e">
        <f>IF(Data!#REF!="","",IF(ISNUMBER(MATCH(Data!#REF!,Data_Val!$A$2:$A$3,0)),0,1))</f>
        <v>#REF!</v>
      </c>
      <c r="AH592" s="26" t="e">
        <f ca="1">IF(Data!#REF!="","",IF(ISNUMBER(Data!#REF!),IF(AND(Data!#REF!&gt;(TODAY()-(Data_Val!$L$3*365.25)),Data!#REF!&lt;=(TODAY()-(Data_Val!$L$2*365.25))),0,1),1))</f>
        <v>#REF!</v>
      </c>
      <c r="AI592" s="12" t="e">
        <f>IF(Data!#REF!="","",IF(Data!$G592="",1,IF(ISNUMBER(MATCH(Data!#REF!,Data_Val!$D$2:$D$10,0)),0,1)))</f>
        <v>#REF!</v>
      </c>
      <c r="AJ592" s="17"/>
      <c r="AK592" s="17" t="e">
        <f>IF(Data!#REF!="","",IF(ISNUMBER(MATCH(Data!#REF!,Data_Val!$A$2:$A$3,0)),0,1))</f>
        <v>#REF!</v>
      </c>
      <c r="AL592" s="25" t="e">
        <f ca="1">IF(Data!#REF!="","",IF(ISNUMBER(Data!#REF!),IF(AND(Data!#REF!&gt;(TODAY()-(Data_Val!$L$3*365.25)),Data!#REF!&lt;=(TODAY()-(Data_Val!$L$2*365.25))),0,1),1))</f>
        <v>#REF!</v>
      </c>
      <c r="AM592" s="17" t="e">
        <f>IF(Data!#REF!="","",IF(Data!$G592="",1,IF(ISNUMBER(MATCH(Data!#REF!,Data_Val!$D$2:$D$10,0)),0,1)))</f>
        <v>#REF!</v>
      </c>
      <c r="AN592" s="13"/>
      <c r="AO592" s="28" t="e">
        <f ca="1">IF(Data!#REF!="","",IF(ISNUMBER(Data!#REF!),IF(AND(Data!#REF!&gt;(TODAY()-(Data_Val!$I$3*365.25)),Data!#REF!&lt;=(TODAY()-(Data_Val!$I$2*365.25))),0,1),1))</f>
        <v>#REF!</v>
      </c>
      <c r="AP592" s="13" t="e">
        <f>IF(Data!#REF!="","",IF(Data!$G592="",1,IF(ISNUMBER(MATCH(Data!#REF!,Data_Val!$D$2:$D$10,0)),0,1)))</f>
        <v>#REF!</v>
      </c>
      <c r="AQ592" s="17"/>
      <c r="AR592" s="30" t="e">
        <f ca="1">IF(Data!#REF!="","",IF(ISNUMBER(Data!#REF!),IF(AND(Data!#REF!&gt;(TODAY()-(Data_Val!$I$3*365.25)),Data!#REF!&lt;=(TODAY()-(Data_Val!$I$2*365.25))),0,1),1))</f>
        <v>#REF!</v>
      </c>
      <c r="AS592" s="31" t="e">
        <f>IF(Data!#REF!="","",IF(Data!$G592="",1,IF(ISNUMBER(MATCH(Data!#REF!,Data_Val!$D$2:$D$10,0)),0,1)))</f>
        <v>#REF!</v>
      </c>
      <c r="AT592" s="11"/>
      <c r="AU592" s="11" t="e">
        <f ca="1">IF(Data!#REF!="","",IF(ISNUMBER(Data!#REF!),IF(AND(Data!#REF!&gt;(TODAY()-(Data_Val!$I$3*365.25)),Data!#REF!&lt;=(TODAY()-(Data_Val!$I$2*365.25))),0,1),1))</f>
        <v>#REF!</v>
      </c>
      <c r="AV592" s="11" t="e">
        <f>IF(Data!#REF!="","",IF(Data!$G592="",1,IF(ISNUMBER(MATCH(Data!#REF!,Data_Val!$D$2:$D$10,0)),0,1)))</f>
        <v>#REF!</v>
      </c>
      <c r="AW592" s="12"/>
      <c r="AX592" s="26" t="e">
        <f ca="1">IF(Data!#REF!="","",IF(ISNUMBER(Data!#REF!),IF(AND(Data!#REF!&gt;(TODAY()-(Data_Val!$I$3*365.25)),Data!#REF!&lt;=(TODAY()-(Data_Val!$I$2*365.25))),0,1),1))</f>
        <v>#REF!</v>
      </c>
      <c r="AY592" s="12" t="e">
        <f>IF(Data!#REF!="","",IF(Data!$G592="",1,IF(ISNUMBER(MATCH(Data!#REF!,Data_Val!$D$2:$D$10,0)),0,1)))</f>
        <v>#REF!</v>
      </c>
      <c r="AZ592" s="11"/>
      <c r="BA592" s="19" t="e">
        <f ca="1">IF(Data!#REF!="","",IF(ISNUMBER(Data!#REF!),IF(AND(Data!#REF!&gt;(TODAY()-(Data_Val!$M$3*365.25)),Data!#REF!&lt;=(TODAY()-(Data_Val!$M$2*365.25))),0,1),1))</f>
        <v>#REF!</v>
      </c>
      <c r="BB592" s="11" t="e">
        <f>IF(Data!#REF!="","",IF(Data!$G592="",1,IF(ISNUMBER(MATCH(Data!#REF!,Data_Val!$D$2:$D$10,0)),0,1)))</f>
        <v>#REF!</v>
      </c>
      <c r="BC592" s="12"/>
      <c r="BD592" s="20" t="e">
        <f ca="1">IF(Data!#REF!="","",IF(ISNUMBER(Data!#REF!),IF(AND(Data!#REF!&gt;(TODAY()-(Data_Val!$M$3*365.25)),Data!#REF!&lt;=(TODAY()-(Data_Val!$M$2*365.25))),0,1),1))</f>
        <v>#REF!</v>
      </c>
      <c r="BE592" s="12" t="e">
        <f>IF(Data!#REF!="","",IF(Data!$G592="",1,IF(ISNUMBER(MATCH(Data!#REF!,Data_Val!$D$2:$D$10,0)),0,1)))</f>
        <v>#REF!</v>
      </c>
      <c r="BF592" s="17"/>
      <c r="BG592" s="18" t="e">
        <f ca="1">IF(Data!#REF!="","",IF(ISNUMBER(Data!#REF!),IF(AND(Data!#REF!&gt;(TODAY()-(Data_Val!$M$3*365.25)),Data!#REF!&lt;=(TODAY()-(Data_Val!$M$2*365.25))),0,1),1))</f>
        <v>#REF!</v>
      </c>
      <c r="BH592" s="29" t="e">
        <f>IF(Data!#REF!="","",IF(Data!$G592="",1,IF(ISNUMBER(MATCH(Data!#REF!,Data_Val!$D$2:$D$10,0)),0,1)))</f>
        <v>#REF!</v>
      </c>
      <c r="BI592" s="13"/>
      <c r="BJ592" s="21" t="e">
        <f ca="1">IF(Data!#REF!="","",IF(ISNUMBER(Data!#REF!),IF(AND(Data!#REF!&gt;(TODAY()-(Data_Val!$M$3*365.25)),Data!#REF!&lt;=(TODAY()-(Data_Val!$M$2*365.25))),0,1),1))</f>
        <v>#REF!</v>
      </c>
      <c r="BK592" s="13" t="e">
        <f>IF(Data!#REF!="","",IF(Data!$G592="",1,IF(ISNUMBER(MATCH(Data!#REF!,Data_Val!$D$2:$D$10,0)),0,1)))</f>
        <v>#REF!</v>
      </c>
    </row>
    <row r="593" spans="1:63" x14ac:dyDescent="0.25">
      <c r="A593" s="9" t="str">
        <f>IF(Data!B593="","",IF(COUNTIFS(Data!A$1:'Data'!A593,Data!A593)&lt;=1,0,1))</f>
        <v/>
      </c>
      <c r="B593" s="9"/>
      <c r="C593" s="23" t="str">
        <f>IF(Data!C593="","",(IF(ISNUMBER(MATCH("*@*.?*",Data!C593,0)),0,1)+IF(COUNTIFS(Data!C$1:'Data'!C593,Data!C593)&gt;1,1,0)))</f>
        <v/>
      </c>
      <c r="D593" s="9" t="str">
        <f>IF(Data!B593="","",IF(ISNUMBER(Data!D593),IF(AND(Data!D593&gt;999999999,Data!D593&lt;=9999999999),IF(COUNTIFS(Data!D$1:'Data'!D593,Data!D593)&lt;=1,0,1),1),1))</f>
        <v/>
      </c>
      <c r="E593" s="9" t="str">
        <f>IF(Data!B593="","",IF(ISNUMBER(MATCH(Data!E593,Data_Val!$A$2:$A$3,0)),0,1))</f>
        <v/>
      </c>
      <c r="F593" s="9" t="str">
        <f ca="1">IF(Data!B593="","",IF(ISNUMBER(Data!F593),IF(AND(Data!F593&gt;(TODAY()-(Data_Val!$H$3*365.25)),Data!F593&lt;=(TODAY()-(Data_Val!$H$2*365.25))),0,1),1))</f>
        <v/>
      </c>
      <c r="G593" s="15" t="str">
        <f>IF(Data!B593="","",IF(AND(Data!G593="",Data!H593&lt;&gt;""),1,IF(Data!#REF!&lt;&gt;"",0,IF(ISNUMBER(MATCH(Data!G593,Data_Val!$C$2:$C$5,0)),0,1))))</f>
        <v/>
      </c>
      <c r="H593" s="15" t="str">
        <f>IF(Data!B593="","",IF(AND(Data!G593&lt;&gt;"",Data!H593=""),1,IF(Data!#REF!&lt;&gt;"",0,IF(Data!G593="",1,IF(ISNUMBER(MATCH(Data!H593,Data_Val!$D$2:$D$35,0)),0,1)))))</f>
        <v/>
      </c>
      <c r="I593" s="15" t="str">
        <f>IF(Data!B593="","",IF(Data!G593&lt;&gt;"",0,IF(ISNUMBER(MATCH(Data!#REF!,Data_Val!$E$2:$E$12,0)),0,1)))</f>
        <v/>
      </c>
      <c r="J593" s="16" t="e">
        <f>IF(OR(Data!B593="",Data!#REF!=""),"",IF(Data!#REF!="",1,0))</f>
        <v>#REF!</v>
      </c>
      <c r="K593" s="16" t="e">
        <f>IF(OR(Data!B593="",Data!#REF!=""),"",IF(Data!#REF!="",1,0))</f>
        <v>#REF!</v>
      </c>
      <c r="L593" s="16" t="e">
        <f>IF(OR(Data!B593="",Data!#REF!=""),"",IF(ISNUMBER(Data!#REF!),IF(AND(Data!#REF!&gt;Data_Val!$G$2,Data!#REF!&lt;=Data_Val!$G$3),0,1),1))</f>
        <v>#REF!</v>
      </c>
      <c r="M593" s="9" t="e">
        <f>IF(OR(Data!B593="",Data!#REF!=""),"",IF(ISNUMBER(MATCH(Data!#REF!,Data_Val!$F$1:$F$38,0)),0,1))</f>
        <v>#REF!</v>
      </c>
      <c r="N593" s="9" t="e">
        <f>IF(OR(Data!B593="",Data!#REF!=""),"",IF(Data!#REF!="",1,0))</f>
        <v>#REF!</v>
      </c>
      <c r="O593" s="17" t="e">
        <f>IF(Data!#REF!="","",IF(Data!#REF!="",1,0))</f>
        <v>#REF!</v>
      </c>
      <c r="P593" s="17" t="e">
        <f>IF(Data!#REF!="","",IF(ISNUMBER(MATCH(Data!#REF!,Data_Val!$A$2:$A$3,0)),0,1))</f>
        <v>#REF!</v>
      </c>
      <c r="Q593" s="25" t="e">
        <f ca="1">IF(Data!#REF!="","",IF(ISNUMBER(Data!#REF!),IF(AND(Data!#REF!&gt;(TODAY()-(Data_Val!$J$3*365.25)),Data!#REF!&lt;=(TODAY()-(Data_Val!$J$2*365.25))),0,1),1))</f>
        <v>#REF!</v>
      </c>
      <c r="R593" s="17" t="e">
        <f>IF(Data!#REF!="","",IF(ISNUMBER(MATCH(Data!#REF!,Data_Val!$B$2:$B$15,0)),0,1))</f>
        <v>#REF!</v>
      </c>
      <c r="S593" s="11" t="str">
        <f>IF(Data!G593="","",IF(Data!G593=Data_Val!$C$2,IF(Data!M593="",0,1),0))</f>
        <v/>
      </c>
      <c r="T593" s="11" t="str">
        <f>IF(Data!M593="","",IF(ISNUMBER(MATCH(Data!N593,Data_Val!$A$2:$A$3,0)),0,1))</f>
        <v/>
      </c>
      <c r="U593" s="11" t="str">
        <f ca="1">IF(Data!M593="","",IF(ISNUMBER(Data!O593),IF(AND(Data!O593&gt;(TODAY()-(Data_Val!$K$3*365.25)),Data!O593&lt;=(TODAY()-(Data_Val!$K$2*365.25))),0,1),1))</f>
        <v/>
      </c>
      <c r="V593" s="12" t="str">
        <f>IF(Data!G593="","",IF(Data!G593=Data_Val!$C$2,IF(Data!P593="",0,1),0))</f>
        <v/>
      </c>
      <c r="W593" s="12" t="str">
        <f>IF(Data!P593="","",IF(ISNUMBER(MATCH(Data!Q593,Data_Val!$A$2:$A$3,0)),0,1))</f>
        <v/>
      </c>
      <c r="X593" s="26" t="str">
        <f ca="1">IF(Data!P593="","",IF(ISNUMBER(Data!R593),IF(AND(Data!R593&gt;(TODAY()-(Data_Val!$L$3*365.25)),Data!R593&lt;=(TODAY()-(Data_Val!$L$2*365.25))),0,1),1))</f>
        <v/>
      </c>
      <c r="Y593" s="13" t="str">
        <f>IF(Data!$G593="","",IF(Data!$G593=Data_Val!$C$2,IF(Data!S593="",0,1),0))</f>
        <v/>
      </c>
      <c r="Z593" s="13" t="str">
        <f>IF(Data!S593="","",IF(ISNUMBER(MATCH(Data!T593,Data_Val!$A$2:$A$3,0)),0,1))</f>
        <v/>
      </c>
      <c r="AA593" s="28" t="str">
        <f ca="1">IF(Data!S593="","",IF(ISNUMBER(Data!U593),IF(AND(Data!U593&gt;(TODAY()-(Data_Val!$L$3*365.25)),Data!U593&lt;=(TODAY()-(Data_Val!$L$2*365.25))),0,1),1))</f>
        <v/>
      </c>
      <c r="AB593" s="11"/>
      <c r="AC593" s="11" t="e">
        <f>IF(Data!#REF!="","",IF(ISNUMBER(MATCH(Data!#REF!,Data_Val!$A$2:$A$3,0)),0,1))</f>
        <v>#REF!</v>
      </c>
      <c r="AD593" s="11" t="e">
        <f ca="1">IF(Data!#REF!="","",IF(ISNUMBER(Data!#REF!),IF(AND(Data!#REF!&gt;(TODAY()-(Data_Val!$L$3*365.25)),Data!#REF!&lt;=(TODAY()-(Data_Val!$L$2*365.25))),0,1),1))</f>
        <v>#REF!</v>
      </c>
      <c r="AE593" s="11" t="e">
        <f>IF(Data!#REF!="","",IF(Data!$G593="",1,IF(ISNUMBER(MATCH(Data!#REF!,Data_Val!$D$2:$D$10,0)),0,1)))</f>
        <v>#REF!</v>
      </c>
      <c r="AF593" s="12"/>
      <c r="AG593" s="12" t="e">
        <f>IF(Data!#REF!="","",IF(ISNUMBER(MATCH(Data!#REF!,Data_Val!$A$2:$A$3,0)),0,1))</f>
        <v>#REF!</v>
      </c>
      <c r="AH593" s="26" t="e">
        <f ca="1">IF(Data!#REF!="","",IF(ISNUMBER(Data!#REF!),IF(AND(Data!#REF!&gt;(TODAY()-(Data_Val!$L$3*365.25)),Data!#REF!&lt;=(TODAY()-(Data_Val!$L$2*365.25))),0,1),1))</f>
        <v>#REF!</v>
      </c>
      <c r="AI593" s="12" t="e">
        <f>IF(Data!#REF!="","",IF(Data!$G593="",1,IF(ISNUMBER(MATCH(Data!#REF!,Data_Val!$D$2:$D$10,0)),0,1)))</f>
        <v>#REF!</v>
      </c>
      <c r="AJ593" s="17"/>
      <c r="AK593" s="17" t="e">
        <f>IF(Data!#REF!="","",IF(ISNUMBER(MATCH(Data!#REF!,Data_Val!$A$2:$A$3,0)),0,1))</f>
        <v>#REF!</v>
      </c>
      <c r="AL593" s="25" t="e">
        <f ca="1">IF(Data!#REF!="","",IF(ISNUMBER(Data!#REF!),IF(AND(Data!#REF!&gt;(TODAY()-(Data_Val!$L$3*365.25)),Data!#REF!&lt;=(TODAY()-(Data_Val!$L$2*365.25))),0,1),1))</f>
        <v>#REF!</v>
      </c>
      <c r="AM593" s="17" t="e">
        <f>IF(Data!#REF!="","",IF(Data!$G593="",1,IF(ISNUMBER(MATCH(Data!#REF!,Data_Val!$D$2:$D$10,0)),0,1)))</f>
        <v>#REF!</v>
      </c>
      <c r="AN593" s="13"/>
      <c r="AO593" s="28" t="e">
        <f ca="1">IF(Data!#REF!="","",IF(ISNUMBER(Data!#REF!),IF(AND(Data!#REF!&gt;(TODAY()-(Data_Val!$I$3*365.25)),Data!#REF!&lt;=(TODAY()-(Data_Val!$I$2*365.25))),0,1),1))</f>
        <v>#REF!</v>
      </c>
      <c r="AP593" s="13" t="e">
        <f>IF(Data!#REF!="","",IF(Data!$G593="",1,IF(ISNUMBER(MATCH(Data!#REF!,Data_Val!$D$2:$D$10,0)),0,1)))</f>
        <v>#REF!</v>
      </c>
      <c r="AQ593" s="17"/>
      <c r="AR593" s="30" t="e">
        <f ca="1">IF(Data!#REF!="","",IF(ISNUMBER(Data!#REF!),IF(AND(Data!#REF!&gt;(TODAY()-(Data_Val!$I$3*365.25)),Data!#REF!&lt;=(TODAY()-(Data_Val!$I$2*365.25))),0,1),1))</f>
        <v>#REF!</v>
      </c>
      <c r="AS593" s="31" t="e">
        <f>IF(Data!#REF!="","",IF(Data!$G593="",1,IF(ISNUMBER(MATCH(Data!#REF!,Data_Val!$D$2:$D$10,0)),0,1)))</f>
        <v>#REF!</v>
      </c>
      <c r="AT593" s="11"/>
      <c r="AU593" s="11" t="e">
        <f ca="1">IF(Data!#REF!="","",IF(ISNUMBER(Data!#REF!),IF(AND(Data!#REF!&gt;(TODAY()-(Data_Val!$I$3*365.25)),Data!#REF!&lt;=(TODAY()-(Data_Val!$I$2*365.25))),0,1),1))</f>
        <v>#REF!</v>
      </c>
      <c r="AV593" s="11" t="e">
        <f>IF(Data!#REF!="","",IF(Data!$G593="",1,IF(ISNUMBER(MATCH(Data!#REF!,Data_Val!$D$2:$D$10,0)),0,1)))</f>
        <v>#REF!</v>
      </c>
      <c r="AW593" s="12"/>
      <c r="AX593" s="26" t="e">
        <f ca="1">IF(Data!#REF!="","",IF(ISNUMBER(Data!#REF!),IF(AND(Data!#REF!&gt;(TODAY()-(Data_Val!$I$3*365.25)),Data!#REF!&lt;=(TODAY()-(Data_Val!$I$2*365.25))),0,1),1))</f>
        <v>#REF!</v>
      </c>
      <c r="AY593" s="12" t="e">
        <f>IF(Data!#REF!="","",IF(Data!$G593="",1,IF(ISNUMBER(MATCH(Data!#REF!,Data_Val!$D$2:$D$10,0)),0,1)))</f>
        <v>#REF!</v>
      </c>
      <c r="AZ593" s="11"/>
      <c r="BA593" s="19" t="e">
        <f ca="1">IF(Data!#REF!="","",IF(ISNUMBER(Data!#REF!),IF(AND(Data!#REF!&gt;(TODAY()-(Data_Val!$M$3*365.25)),Data!#REF!&lt;=(TODAY()-(Data_Val!$M$2*365.25))),0,1),1))</f>
        <v>#REF!</v>
      </c>
      <c r="BB593" s="11" t="e">
        <f>IF(Data!#REF!="","",IF(Data!$G593="",1,IF(ISNUMBER(MATCH(Data!#REF!,Data_Val!$D$2:$D$10,0)),0,1)))</f>
        <v>#REF!</v>
      </c>
      <c r="BC593" s="12"/>
      <c r="BD593" s="20" t="e">
        <f ca="1">IF(Data!#REF!="","",IF(ISNUMBER(Data!#REF!),IF(AND(Data!#REF!&gt;(TODAY()-(Data_Val!$M$3*365.25)),Data!#REF!&lt;=(TODAY()-(Data_Val!$M$2*365.25))),0,1),1))</f>
        <v>#REF!</v>
      </c>
      <c r="BE593" s="12" t="e">
        <f>IF(Data!#REF!="","",IF(Data!$G593="",1,IF(ISNUMBER(MATCH(Data!#REF!,Data_Val!$D$2:$D$10,0)),0,1)))</f>
        <v>#REF!</v>
      </c>
      <c r="BF593" s="17"/>
      <c r="BG593" s="18" t="e">
        <f ca="1">IF(Data!#REF!="","",IF(ISNUMBER(Data!#REF!),IF(AND(Data!#REF!&gt;(TODAY()-(Data_Val!$M$3*365.25)),Data!#REF!&lt;=(TODAY()-(Data_Val!$M$2*365.25))),0,1),1))</f>
        <v>#REF!</v>
      </c>
      <c r="BH593" s="29" t="e">
        <f>IF(Data!#REF!="","",IF(Data!$G593="",1,IF(ISNUMBER(MATCH(Data!#REF!,Data_Val!$D$2:$D$10,0)),0,1)))</f>
        <v>#REF!</v>
      </c>
      <c r="BI593" s="13"/>
      <c r="BJ593" s="21" t="e">
        <f ca="1">IF(Data!#REF!="","",IF(ISNUMBER(Data!#REF!),IF(AND(Data!#REF!&gt;(TODAY()-(Data_Val!$M$3*365.25)),Data!#REF!&lt;=(TODAY()-(Data_Val!$M$2*365.25))),0,1),1))</f>
        <v>#REF!</v>
      </c>
      <c r="BK593" s="13" t="e">
        <f>IF(Data!#REF!="","",IF(Data!$G593="",1,IF(ISNUMBER(MATCH(Data!#REF!,Data_Val!$D$2:$D$10,0)),0,1)))</f>
        <v>#REF!</v>
      </c>
    </row>
    <row r="594" spans="1:63" x14ac:dyDescent="0.25">
      <c r="A594" s="9" t="str">
        <f>IF(Data!B594="","",IF(COUNTIFS(Data!A$1:'Data'!A594,Data!A594)&lt;=1,0,1))</f>
        <v/>
      </c>
      <c r="B594" s="9"/>
      <c r="C594" s="23" t="str">
        <f>IF(Data!C594="","",(IF(ISNUMBER(MATCH("*@*.?*",Data!C594,0)),0,1)+IF(COUNTIFS(Data!C$1:'Data'!C594,Data!C594)&gt;1,1,0)))</f>
        <v/>
      </c>
      <c r="D594" s="9" t="str">
        <f>IF(Data!B594="","",IF(ISNUMBER(Data!D594),IF(AND(Data!D594&gt;999999999,Data!D594&lt;=9999999999),IF(COUNTIFS(Data!D$1:'Data'!D594,Data!D594)&lt;=1,0,1),1),1))</f>
        <v/>
      </c>
      <c r="E594" s="9" t="str">
        <f>IF(Data!B594="","",IF(ISNUMBER(MATCH(Data!E594,Data_Val!$A$2:$A$3,0)),0,1))</f>
        <v/>
      </c>
      <c r="F594" s="9" t="str">
        <f ca="1">IF(Data!B594="","",IF(ISNUMBER(Data!F594),IF(AND(Data!F594&gt;(TODAY()-(Data_Val!$H$3*365.25)),Data!F594&lt;=(TODAY()-(Data_Val!$H$2*365.25))),0,1),1))</f>
        <v/>
      </c>
      <c r="G594" s="15" t="str">
        <f>IF(Data!B594="","",IF(AND(Data!G594="",Data!H594&lt;&gt;""),1,IF(Data!#REF!&lt;&gt;"",0,IF(ISNUMBER(MATCH(Data!G594,Data_Val!$C$2:$C$5,0)),0,1))))</f>
        <v/>
      </c>
      <c r="H594" s="15" t="str">
        <f>IF(Data!B594="","",IF(AND(Data!G594&lt;&gt;"",Data!H594=""),1,IF(Data!#REF!&lt;&gt;"",0,IF(Data!G594="",1,IF(ISNUMBER(MATCH(Data!H594,Data_Val!$D$2:$D$35,0)),0,1)))))</f>
        <v/>
      </c>
      <c r="I594" s="15" t="str">
        <f>IF(Data!B594="","",IF(Data!G594&lt;&gt;"",0,IF(ISNUMBER(MATCH(Data!#REF!,Data_Val!$E$2:$E$12,0)),0,1)))</f>
        <v/>
      </c>
      <c r="J594" s="16" t="e">
        <f>IF(OR(Data!B594="",Data!#REF!=""),"",IF(Data!#REF!="",1,0))</f>
        <v>#REF!</v>
      </c>
      <c r="K594" s="16" t="e">
        <f>IF(OR(Data!B594="",Data!#REF!=""),"",IF(Data!#REF!="",1,0))</f>
        <v>#REF!</v>
      </c>
      <c r="L594" s="16" t="e">
        <f>IF(OR(Data!B594="",Data!#REF!=""),"",IF(ISNUMBER(Data!#REF!),IF(AND(Data!#REF!&gt;Data_Val!$G$2,Data!#REF!&lt;=Data_Val!$G$3),0,1),1))</f>
        <v>#REF!</v>
      </c>
      <c r="M594" s="9" t="e">
        <f>IF(OR(Data!B594="",Data!#REF!=""),"",IF(ISNUMBER(MATCH(Data!#REF!,Data_Val!$F$1:$F$38,0)),0,1))</f>
        <v>#REF!</v>
      </c>
      <c r="N594" s="9" t="e">
        <f>IF(OR(Data!B594="",Data!#REF!=""),"",IF(Data!#REF!="",1,0))</f>
        <v>#REF!</v>
      </c>
      <c r="O594" s="17" t="e">
        <f>IF(Data!#REF!="","",IF(Data!#REF!="",1,0))</f>
        <v>#REF!</v>
      </c>
      <c r="P594" s="17" t="e">
        <f>IF(Data!#REF!="","",IF(ISNUMBER(MATCH(Data!#REF!,Data_Val!$A$2:$A$3,0)),0,1))</f>
        <v>#REF!</v>
      </c>
      <c r="Q594" s="25" t="e">
        <f ca="1">IF(Data!#REF!="","",IF(ISNUMBER(Data!#REF!),IF(AND(Data!#REF!&gt;(TODAY()-(Data_Val!$J$3*365.25)),Data!#REF!&lt;=(TODAY()-(Data_Val!$J$2*365.25))),0,1),1))</f>
        <v>#REF!</v>
      </c>
      <c r="R594" s="17" t="e">
        <f>IF(Data!#REF!="","",IF(ISNUMBER(MATCH(Data!#REF!,Data_Val!$B$2:$B$15,0)),0,1))</f>
        <v>#REF!</v>
      </c>
      <c r="S594" s="11" t="str">
        <f>IF(Data!G594="","",IF(Data!G594=Data_Val!$C$2,IF(Data!M594="",0,1),0))</f>
        <v/>
      </c>
      <c r="T594" s="11" t="str">
        <f>IF(Data!M594="","",IF(ISNUMBER(MATCH(Data!N594,Data_Val!$A$2:$A$3,0)),0,1))</f>
        <v/>
      </c>
      <c r="U594" s="11" t="str">
        <f ca="1">IF(Data!M594="","",IF(ISNUMBER(Data!O594),IF(AND(Data!O594&gt;(TODAY()-(Data_Val!$K$3*365.25)),Data!O594&lt;=(TODAY()-(Data_Val!$K$2*365.25))),0,1),1))</f>
        <v/>
      </c>
      <c r="V594" s="12" t="str">
        <f>IF(Data!G594="","",IF(Data!G594=Data_Val!$C$2,IF(Data!P594="",0,1),0))</f>
        <v/>
      </c>
      <c r="W594" s="12" t="str">
        <f>IF(Data!P594="","",IF(ISNUMBER(MATCH(Data!Q594,Data_Val!$A$2:$A$3,0)),0,1))</f>
        <v/>
      </c>
      <c r="X594" s="26" t="str">
        <f ca="1">IF(Data!P594="","",IF(ISNUMBER(Data!R594),IF(AND(Data!R594&gt;(TODAY()-(Data_Val!$L$3*365.25)),Data!R594&lt;=(TODAY()-(Data_Val!$L$2*365.25))),0,1),1))</f>
        <v/>
      </c>
      <c r="Y594" s="13" t="str">
        <f>IF(Data!$G594="","",IF(Data!$G594=Data_Val!$C$2,IF(Data!S594="",0,1),0))</f>
        <v/>
      </c>
      <c r="Z594" s="13" t="str">
        <f>IF(Data!S594="","",IF(ISNUMBER(MATCH(Data!T594,Data_Val!$A$2:$A$3,0)),0,1))</f>
        <v/>
      </c>
      <c r="AA594" s="28" t="str">
        <f ca="1">IF(Data!S594="","",IF(ISNUMBER(Data!U594),IF(AND(Data!U594&gt;(TODAY()-(Data_Val!$L$3*365.25)),Data!U594&lt;=(TODAY()-(Data_Val!$L$2*365.25))),0,1),1))</f>
        <v/>
      </c>
      <c r="AB594" s="11"/>
      <c r="AC594" s="11" t="e">
        <f>IF(Data!#REF!="","",IF(ISNUMBER(MATCH(Data!#REF!,Data_Val!$A$2:$A$3,0)),0,1))</f>
        <v>#REF!</v>
      </c>
      <c r="AD594" s="11" t="e">
        <f ca="1">IF(Data!#REF!="","",IF(ISNUMBER(Data!#REF!),IF(AND(Data!#REF!&gt;(TODAY()-(Data_Val!$L$3*365.25)),Data!#REF!&lt;=(TODAY()-(Data_Val!$L$2*365.25))),0,1),1))</f>
        <v>#REF!</v>
      </c>
      <c r="AE594" s="11" t="e">
        <f>IF(Data!#REF!="","",IF(Data!$G594="",1,IF(ISNUMBER(MATCH(Data!#REF!,Data_Val!$D$2:$D$10,0)),0,1)))</f>
        <v>#REF!</v>
      </c>
      <c r="AF594" s="12"/>
      <c r="AG594" s="12" t="e">
        <f>IF(Data!#REF!="","",IF(ISNUMBER(MATCH(Data!#REF!,Data_Val!$A$2:$A$3,0)),0,1))</f>
        <v>#REF!</v>
      </c>
      <c r="AH594" s="26" t="e">
        <f ca="1">IF(Data!#REF!="","",IF(ISNUMBER(Data!#REF!),IF(AND(Data!#REF!&gt;(TODAY()-(Data_Val!$L$3*365.25)),Data!#REF!&lt;=(TODAY()-(Data_Val!$L$2*365.25))),0,1),1))</f>
        <v>#REF!</v>
      </c>
      <c r="AI594" s="12" t="e">
        <f>IF(Data!#REF!="","",IF(Data!$G594="",1,IF(ISNUMBER(MATCH(Data!#REF!,Data_Val!$D$2:$D$10,0)),0,1)))</f>
        <v>#REF!</v>
      </c>
      <c r="AJ594" s="17"/>
      <c r="AK594" s="17" t="e">
        <f>IF(Data!#REF!="","",IF(ISNUMBER(MATCH(Data!#REF!,Data_Val!$A$2:$A$3,0)),0,1))</f>
        <v>#REF!</v>
      </c>
      <c r="AL594" s="25" t="e">
        <f ca="1">IF(Data!#REF!="","",IF(ISNUMBER(Data!#REF!),IF(AND(Data!#REF!&gt;(TODAY()-(Data_Val!$L$3*365.25)),Data!#REF!&lt;=(TODAY()-(Data_Val!$L$2*365.25))),0,1),1))</f>
        <v>#REF!</v>
      </c>
      <c r="AM594" s="17" t="e">
        <f>IF(Data!#REF!="","",IF(Data!$G594="",1,IF(ISNUMBER(MATCH(Data!#REF!,Data_Val!$D$2:$D$10,0)),0,1)))</f>
        <v>#REF!</v>
      </c>
      <c r="AN594" s="13"/>
      <c r="AO594" s="28" t="e">
        <f ca="1">IF(Data!#REF!="","",IF(ISNUMBER(Data!#REF!),IF(AND(Data!#REF!&gt;(TODAY()-(Data_Val!$I$3*365.25)),Data!#REF!&lt;=(TODAY()-(Data_Val!$I$2*365.25))),0,1),1))</f>
        <v>#REF!</v>
      </c>
      <c r="AP594" s="13" t="e">
        <f>IF(Data!#REF!="","",IF(Data!$G594="",1,IF(ISNUMBER(MATCH(Data!#REF!,Data_Val!$D$2:$D$10,0)),0,1)))</f>
        <v>#REF!</v>
      </c>
      <c r="AQ594" s="17"/>
      <c r="AR594" s="30" t="e">
        <f ca="1">IF(Data!#REF!="","",IF(ISNUMBER(Data!#REF!),IF(AND(Data!#REF!&gt;(TODAY()-(Data_Val!$I$3*365.25)),Data!#REF!&lt;=(TODAY()-(Data_Val!$I$2*365.25))),0,1),1))</f>
        <v>#REF!</v>
      </c>
      <c r="AS594" s="31" t="e">
        <f>IF(Data!#REF!="","",IF(Data!$G594="",1,IF(ISNUMBER(MATCH(Data!#REF!,Data_Val!$D$2:$D$10,0)),0,1)))</f>
        <v>#REF!</v>
      </c>
      <c r="AT594" s="11"/>
      <c r="AU594" s="11" t="e">
        <f ca="1">IF(Data!#REF!="","",IF(ISNUMBER(Data!#REF!),IF(AND(Data!#REF!&gt;(TODAY()-(Data_Val!$I$3*365.25)),Data!#REF!&lt;=(TODAY()-(Data_Val!$I$2*365.25))),0,1),1))</f>
        <v>#REF!</v>
      </c>
      <c r="AV594" s="11" t="e">
        <f>IF(Data!#REF!="","",IF(Data!$G594="",1,IF(ISNUMBER(MATCH(Data!#REF!,Data_Val!$D$2:$D$10,0)),0,1)))</f>
        <v>#REF!</v>
      </c>
      <c r="AW594" s="12"/>
      <c r="AX594" s="26" t="e">
        <f ca="1">IF(Data!#REF!="","",IF(ISNUMBER(Data!#REF!),IF(AND(Data!#REF!&gt;(TODAY()-(Data_Val!$I$3*365.25)),Data!#REF!&lt;=(TODAY()-(Data_Val!$I$2*365.25))),0,1),1))</f>
        <v>#REF!</v>
      </c>
      <c r="AY594" s="12" t="e">
        <f>IF(Data!#REF!="","",IF(Data!$G594="",1,IF(ISNUMBER(MATCH(Data!#REF!,Data_Val!$D$2:$D$10,0)),0,1)))</f>
        <v>#REF!</v>
      </c>
      <c r="AZ594" s="11"/>
      <c r="BA594" s="19" t="e">
        <f ca="1">IF(Data!#REF!="","",IF(ISNUMBER(Data!#REF!),IF(AND(Data!#REF!&gt;(TODAY()-(Data_Val!$M$3*365.25)),Data!#REF!&lt;=(TODAY()-(Data_Val!$M$2*365.25))),0,1),1))</f>
        <v>#REF!</v>
      </c>
      <c r="BB594" s="11" t="e">
        <f>IF(Data!#REF!="","",IF(Data!$G594="",1,IF(ISNUMBER(MATCH(Data!#REF!,Data_Val!$D$2:$D$10,0)),0,1)))</f>
        <v>#REF!</v>
      </c>
      <c r="BC594" s="12"/>
      <c r="BD594" s="20" t="e">
        <f ca="1">IF(Data!#REF!="","",IF(ISNUMBER(Data!#REF!),IF(AND(Data!#REF!&gt;(TODAY()-(Data_Val!$M$3*365.25)),Data!#REF!&lt;=(TODAY()-(Data_Val!$M$2*365.25))),0,1),1))</f>
        <v>#REF!</v>
      </c>
      <c r="BE594" s="12" t="e">
        <f>IF(Data!#REF!="","",IF(Data!$G594="",1,IF(ISNUMBER(MATCH(Data!#REF!,Data_Val!$D$2:$D$10,0)),0,1)))</f>
        <v>#REF!</v>
      </c>
      <c r="BF594" s="17"/>
      <c r="BG594" s="18" t="e">
        <f ca="1">IF(Data!#REF!="","",IF(ISNUMBER(Data!#REF!),IF(AND(Data!#REF!&gt;(TODAY()-(Data_Val!$M$3*365.25)),Data!#REF!&lt;=(TODAY()-(Data_Val!$M$2*365.25))),0,1),1))</f>
        <v>#REF!</v>
      </c>
      <c r="BH594" s="29" t="e">
        <f>IF(Data!#REF!="","",IF(Data!$G594="",1,IF(ISNUMBER(MATCH(Data!#REF!,Data_Val!$D$2:$D$10,0)),0,1)))</f>
        <v>#REF!</v>
      </c>
      <c r="BI594" s="13"/>
      <c r="BJ594" s="21" t="e">
        <f ca="1">IF(Data!#REF!="","",IF(ISNUMBER(Data!#REF!),IF(AND(Data!#REF!&gt;(TODAY()-(Data_Val!$M$3*365.25)),Data!#REF!&lt;=(TODAY()-(Data_Val!$M$2*365.25))),0,1),1))</f>
        <v>#REF!</v>
      </c>
      <c r="BK594" s="13" t="e">
        <f>IF(Data!#REF!="","",IF(Data!$G594="",1,IF(ISNUMBER(MATCH(Data!#REF!,Data_Val!$D$2:$D$10,0)),0,1)))</f>
        <v>#REF!</v>
      </c>
    </row>
    <row r="595" spans="1:63" x14ac:dyDescent="0.25">
      <c r="A595" s="9" t="str">
        <f>IF(Data!B595="","",IF(COUNTIFS(Data!A$1:'Data'!A595,Data!A595)&lt;=1,0,1))</f>
        <v/>
      </c>
      <c r="B595" s="9"/>
      <c r="C595" s="23" t="str">
        <f>IF(Data!C595="","",(IF(ISNUMBER(MATCH("*@*.?*",Data!C595,0)),0,1)+IF(COUNTIFS(Data!C$1:'Data'!C595,Data!C595)&gt;1,1,0)))</f>
        <v/>
      </c>
      <c r="D595" s="9" t="str">
        <f>IF(Data!B595="","",IF(ISNUMBER(Data!D595),IF(AND(Data!D595&gt;999999999,Data!D595&lt;=9999999999),IF(COUNTIFS(Data!D$1:'Data'!D595,Data!D595)&lt;=1,0,1),1),1))</f>
        <v/>
      </c>
      <c r="E595" s="9" t="str">
        <f>IF(Data!B595="","",IF(ISNUMBER(MATCH(Data!E595,Data_Val!$A$2:$A$3,0)),0,1))</f>
        <v/>
      </c>
      <c r="F595" s="9" t="str">
        <f ca="1">IF(Data!B595="","",IF(ISNUMBER(Data!F595),IF(AND(Data!F595&gt;(TODAY()-(Data_Val!$H$3*365.25)),Data!F595&lt;=(TODAY()-(Data_Val!$H$2*365.25))),0,1),1))</f>
        <v/>
      </c>
      <c r="G595" s="15" t="str">
        <f>IF(Data!B595="","",IF(AND(Data!G595="",Data!H595&lt;&gt;""),1,IF(Data!#REF!&lt;&gt;"",0,IF(ISNUMBER(MATCH(Data!G595,Data_Val!$C$2:$C$5,0)),0,1))))</f>
        <v/>
      </c>
      <c r="H595" s="15" t="str">
        <f>IF(Data!B595="","",IF(AND(Data!G595&lt;&gt;"",Data!H595=""),1,IF(Data!#REF!&lt;&gt;"",0,IF(Data!G595="",1,IF(ISNUMBER(MATCH(Data!H595,Data_Val!$D$2:$D$35,0)),0,1)))))</f>
        <v/>
      </c>
      <c r="I595" s="15" t="str">
        <f>IF(Data!B595="","",IF(Data!G595&lt;&gt;"",0,IF(ISNUMBER(MATCH(Data!#REF!,Data_Val!$E$2:$E$12,0)),0,1)))</f>
        <v/>
      </c>
      <c r="J595" s="16" t="e">
        <f>IF(OR(Data!B595="",Data!#REF!=""),"",IF(Data!#REF!="",1,0))</f>
        <v>#REF!</v>
      </c>
      <c r="K595" s="16" t="e">
        <f>IF(OR(Data!B595="",Data!#REF!=""),"",IF(Data!#REF!="",1,0))</f>
        <v>#REF!</v>
      </c>
      <c r="L595" s="16" t="e">
        <f>IF(OR(Data!B595="",Data!#REF!=""),"",IF(ISNUMBER(Data!#REF!),IF(AND(Data!#REF!&gt;Data_Val!$G$2,Data!#REF!&lt;=Data_Val!$G$3),0,1),1))</f>
        <v>#REF!</v>
      </c>
      <c r="M595" s="9" t="e">
        <f>IF(OR(Data!B595="",Data!#REF!=""),"",IF(ISNUMBER(MATCH(Data!#REF!,Data_Val!$F$1:$F$38,0)),0,1))</f>
        <v>#REF!</v>
      </c>
      <c r="N595" s="9" t="e">
        <f>IF(OR(Data!B595="",Data!#REF!=""),"",IF(Data!#REF!="",1,0))</f>
        <v>#REF!</v>
      </c>
      <c r="O595" s="17" t="e">
        <f>IF(Data!#REF!="","",IF(Data!#REF!="",1,0))</f>
        <v>#REF!</v>
      </c>
      <c r="P595" s="17" t="e">
        <f>IF(Data!#REF!="","",IF(ISNUMBER(MATCH(Data!#REF!,Data_Val!$A$2:$A$3,0)),0,1))</f>
        <v>#REF!</v>
      </c>
      <c r="Q595" s="25" t="e">
        <f ca="1">IF(Data!#REF!="","",IF(ISNUMBER(Data!#REF!),IF(AND(Data!#REF!&gt;(TODAY()-(Data_Val!$J$3*365.25)),Data!#REF!&lt;=(TODAY()-(Data_Val!$J$2*365.25))),0,1),1))</f>
        <v>#REF!</v>
      </c>
      <c r="R595" s="17" t="e">
        <f>IF(Data!#REF!="","",IF(ISNUMBER(MATCH(Data!#REF!,Data_Val!$B$2:$B$15,0)),0,1))</f>
        <v>#REF!</v>
      </c>
      <c r="S595" s="11" t="str">
        <f>IF(Data!G595="","",IF(Data!G595=Data_Val!$C$2,IF(Data!M595="",0,1),0))</f>
        <v/>
      </c>
      <c r="T595" s="11" t="str">
        <f>IF(Data!M595="","",IF(ISNUMBER(MATCH(Data!N595,Data_Val!$A$2:$A$3,0)),0,1))</f>
        <v/>
      </c>
      <c r="U595" s="11" t="str">
        <f ca="1">IF(Data!M595="","",IF(ISNUMBER(Data!O595),IF(AND(Data!O595&gt;(TODAY()-(Data_Val!$K$3*365.25)),Data!O595&lt;=(TODAY()-(Data_Val!$K$2*365.25))),0,1),1))</f>
        <v/>
      </c>
      <c r="V595" s="12" t="str">
        <f>IF(Data!G595="","",IF(Data!G595=Data_Val!$C$2,IF(Data!P595="",0,1),0))</f>
        <v/>
      </c>
      <c r="W595" s="12" t="str">
        <f>IF(Data!P595="","",IF(ISNUMBER(MATCH(Data!Q595,Data_Val!$A$2:$A$3,0)),0,1))</f>
        <v/>
      </c>
      <c r="X595" s="26" t="str">
        <f ca="1">IF(Data!P595="","",IF(ISNUMBER(Data!R595),IF(AND(Data!R595&gt;(TODAY()-(Data_Val!$L$3*365.25)),Data!R595&lt;=(TODAY()-(Data_Val!$L$2*365.25))),0,1),1))</f>
        <v/>
      </c>
      <c r="Y595" s="13" t="str">
        <f>IF(Data!$G595="","",IF(Data!$G595=Data_Val!$C$2,IF(Data!S595="",0,1),0))</f>
        <v/>
      </c>
      <c r="Z595" s="13" t="str">
        <f>IF(Data!S595="","",IF(ISNUMBER(MATCH(Data!T595,Data_Val!$A$2:$A$3,0)),0,1))</f>
        <v/>
      </c>
      <c r="AA595" s="28" t="str">
        <f ca="1">IF(Data!S595="","",IF(ISNUMBER(Data!U595),IF(AND(Data!U595&gt;(TODAY()-(Data_Val!$L$3*365.25)),Data!U595&lt;=(TODAY()-(Data_Val!$L$2*365.25))),0,1),1))</f>
        <v/>
      </c>
      <c r="AB595" s="11"/>
      <c r="AC595" s="11" t="e">
        <f>IF(Data!#REF!="","",IF(ISNUMBER(MATCH(Data!#REF!,Data_Val!$A$2:$A$3,0)),0,1))</f>
        <v>#REF!</v>
      </c>
      <c r="AD595" s="11" t="e">
        <f ca="1">IF(Data!#REF!="","",IF(ISNUMBER(Data!#REF!),IF(AND(Data!#REF!&gt;(TODAY()-(Data_Val!$L$3*365.25)),Data!#REF!&lt;=(TODAY()-(Data_Val!$L$2*365.25))),0,1),1))</f>
        <v>#REF!</v>
      </c>
      <c r="AE595" s="11" t="e">
        <f>IF(Data!#REF!="","",IF(Data!$G595="",1,IF(ISNUMBER(MATCH(Data!#REF!,Data_Val!$D$2:$D$10,0)),0,1)))</f>
        <v>#REF!</v>
      </c>
      <c r="AF595" s="12"/>
      <c r="AG595" s="12" t="e">
        <f>IF(Data!#REF!="","",IF(ISNUMBER(MATCH(Data!#REF!,Data_Val!$A$2:$A$3,0)),0,1))</f>
        <v>#REF!</v>
      </c>
      <c r="AH595" s="26" t="e">
        <f ca="1">IF(Data!#REF!="","",IF(ISNUMBER(Data!#REF!),IF(AND(Data!#REF!&gt;(TODAY()-(Data_Val!$L$3*365.25)),Data!#REF!&lt;=(TODAY()-(Data_Val!$L$2*365.25))),0,1),1))</f>
        <v>#REF!</v>
      </c>
      <c r="AI595" s="12" t="e">
        <f>IF(Data!#REF!="","",IF(Data!$G595="",1,IF(ISNUMBER(MATCH(Data!#REF!,Data_Val!$D$2:$D$10,0)),0,1)))</f>
        <v>#REF!</v>
      </c>
      <c r="AJ595" s="17"/>
      <c r="AK595" s="17" t="e">
        <f>IF(Data!#REF!="","",IF(ISNUMBER(MATCH(Data!#REF!,Data_Val!$A$2:$A$3,0)),0,1))</f>
        <v>#REF!</v>
      </c>
      <c r="AL595" s="25" t="e">
        <f ca="1">IF(Data!#REF!="","",IF(ISNUMBER(Data!#REF!),IF(AND(Data!#REF!&gt;(TODAY()-(Data_Val!$L$3*365.25)),Data!#REF!&lt;=(TODAY()-(Data_Val!$L$2*365.25))),0,1),1))</f>
        <v>#REF!</v>
      </c>
      <c r="AM595" s="17" t="e">
        <f>IF(Data!#REF!="","",IF(Data!$G595="",1,IF(ISNUMBER(MATCH(Data!#REF!,Data_Val!$D$2:$D$10,0)),0,1)))</f>
        <v>#REF!</v>
      </c>
      <c r="AN595" s="13"/>
      <c r="AO595" s="28" t="e">
        <f ca="1">IF(Data!#REF!="","",IF(ISNUMBER(Data!#REF!),IF(AND(Data!#REF!&gt;(TODAY()-(Data_Val!$I$3*365.25)),Data!#REF!&lt;=(TODAY()-(Data_Val!$I$2*365.25))),0,1),1))</f>
        <v>#REF!</v>
      </c>
      <c r="AP595" s="13" t="e">
        <f>IF(Data!#REF!="","",IF(Data!$G595="",1,IF(ISNUMBER(MATCH(Data!#REF!,Data_Val!$D$2:$D$10,0)),0,1)))</f>
        <v>#REF!</v>
      </c>
      <c r="AQ595" s="17"/>
      <c r="AR595" s="30" t="e">
        <f ca="1">IF(Data!#REF!="","",IF(ISNUMBER(Data!#REF!),IF(AND(Data!#REF!&gt;(TODAY()-(Data_Val!$I$3*365.25)),Data!#REF!&lt;=(TODAY()-(Data_Val!$I$2*365.25))),0,1),1))</f>
        <v>#REF!</v>
      </c>
      <c r="AS595" s="31" t="e">
        <f>IF(Data!#REF!="","",IF(Data!$G595="",1,IF(ISNUMBER(MATCH(Data!#REF!,Data_Val!$D$2:$D$10,0)),0,1)))</f>
        <v>#REF!</v>
      </c>
      <c r="AT595" s="11"/>
      <c r="AU595" s="11" t="e">
        <f ca="1">IF(Data!#REF!="","",IF(ISNUMBER(Data!#REF!),IF(AND(Data!#REF!&gt;(TODAY()-(Data_Val!$I$3*365.25)),Data!#REF!&lt;=(TODAY()-(Data_Val!$I$2*365.25))),0,1),1))</f>
        <v>#REF!</v>
      </c>
      <c r="AV595" s="11" t="e">
        <f>IF(Data!#REF!="","",IF(Data!$G595="",1,IF(ISNUMBER(MATCH(Data!#REF!,Data_Val!$D$2:$D$10,0)),0,1)))</f>
        <v>#REF!</v>
      </c>
      <c r="AW595" s="12"/>
      <c r="AX595" s="26" t="e">
        <f ca="1">IF(Data!#REF!="","",IF(ISNUMBER(Data!#REF!),IF(AND(Data!#REF!&gt;(TODAY()-(Data_Val!$I$3*365.25)),Data!#REF!&lt;=(TODAY()-(Data_Val!$I$2*365.25))),0,1),1))</f>
        <v>#REF!</v>
      </c>
      <c r="AY595" s="12" t="e">
        <f>IF(Data!#REF!="","",IF(Data!$G595="",1,IF(ISNUMBER(MATCH(Data!#REF!,Data_Val!$D$2:$D$10,0)),0,1)))</f>
        <v>#REF!</v>
      </c>
      <c r="AZ595" s="11"/>
      <c r="BA595" s="19" t="e">
        <f ca="1">IF(Data!#REF!="","",IF(ISNUMBER(Data!#REF!),IF(AND(Data!#REF!&gt;(TODAY()-(Data_Val!$M$3*365.25)),Data!#REF!&lt;=(TODAY()-(Data_Val!$M$2*365.25))),0,1),1))</f>
        <v>#REF!</v>
      </c>
      <c r="BB595" s="11" t="e">
        <f>IF(Data!#REF!="","",IF(Data!$G595="",1,IF(ISNUMBER(MATCH(Data!#REF!,Data_Val!$D$2:$D$10,0)),0,1)))</f>
        <v>#REF!</v>
      </c>
      <c r="BC595" s="12"/>
      <c r="BD595" s="20" t="e">
        <f ca="1">IF(Data!#REF!="","",IF(ISNUMBER(Data!#REF!),IF(AND(Data!#REF!&gt;(TODAY()-(Data_Val!$M$3*365.25)),Data!#REF!&lt;=(TODAY()-(Data_Val!$M$2*365.25))),0,1),1))</f>
        <v>#REF!</v>
      </c>
      <c r="BE595" s="12" t="e">
        <f>IF(Data!#REF!="","",IF(Data!$G595="",1,IF(ISNUMBER(MATCH(Data!#REF!,Data_Val!$D$2:$D$10,0)),0,1)))</f>
        <v>#REF!</v>
      </c>
      <c r="BF595" s="17"/>
      <c r="BG595" s="18" t="e">
        <f ca="1">IF(Data!#REF!="","",IF(ISNUMBER(Data!#REF!),IF(AND(Data!#REF!&gt;(TODAY()-(Data_Val!$M$3*365.25)),Data!#REF!&lt;=(TODAY()-(Data_Val!$M$2*365.25))),0,1),1))</f>
        <v>#REF!</v>
      </c>
      <c r="BH595" s="29" t="e">
        <f>IF(Data!#REF!="","",IF(Data!$G595="",1,IF(ISNUMBER(MATCH(Data!#REF!,Data_Val!$D$2:$D$10,0)),0,1)))</f>
        <v>#REF!</v>
      </c>
      <c r="BI595" s="13"/>
      <c r="BJ595" s="21" t="e">
        <f ca="1">IF(Data!#REF!="","",IF(ISNUMBER(Data!#REF!),IF(AND(Data!#REF!&gt;(TODAY()-(Data_Val!$M$3*365.25)),Data!#REF!&lt;=(TODAY()-(Data_Val!$M$2*365.25))),0,1),1))</f>
        <v>#REF!</v>
      </c>
      <c r="BK595" s="13" t="e">
        <f>IF(Data!#REF!="","",IF(Data!$G595="",1,IF(ISNUMBER(MATCH(Data!#REF!,Data_Val!$D$2:$D$10,0)),0,1)))</f>
        <v>#REF!</v>
      </c>
    </row>
    <row r="596" spans="1:63" x14ac:dyDescent="0.25">
      <c r="A596" s="9" t="str">
        <f>IF(Data!B596="","",IF(COUNTIFS(Data!A$1:'Data'!A596,Data!A596)&lt;=1,0,1))</f>
        <v/>
      </c>
      <c r="B596" s="9"/>
      <c r="C596" s="23" t="str">
        <f>IF(Data!C596="","",(IF(ISNUMBER(MATCH("*@*.?*",Data!C596,0)),0,1)+IF(COUNTIFS(Data!C$1:'Data'!C596,Data!C596)&gt;1,1,0)))</f>
        <v/>
      </c>
      <c r="D596" s="9" t="str">
        <f>IF(Data!B596="","",IF(ISNUMBER(Data!D596),IF(AND(Data!D596&gt;999999999,Data!D596&lt;=9999999999),IF(COUNTIFS(Data!D$1:'Data'!D596,Data!D596)&lt;=1,0,1),1),1))</f>
        <v/>
      </c>
      <c r="E596" s="9" t="str">
        <f>IF(Data!B596="","",IF(ISNUMBER(MATCH(Data!E596,Data_Val!$A$2:$A$3,0)),0,1))</f>
        <v/>
      </c>
      <c r="F596" s="9" t="str">
        <f ca="1">IF(Data!B596="","",IF(ISNUMBER(Data!F596),IF(AND(Data!F596&gt;(TODAY()-(Data_Val!$H$3*365.25)),Data!F596&lt;=(TODAY()-(Data_Val!$H$2*365.25))),0,1),1))</f>
        <v/>
      </c>
      <c r="G596" s="15" t="str">
        <f>IF(Data!B596="","",IF(AND(Data!G596="",Data!H596&lt;&gt;""),1,IF(Data!#REF!&lt;&gt;"",0,IF(ISNUMBER(MATCH(Data!G596,Data_Val!$C$2:$C$5,0)),0,1))))</f>
        <v/>
      </c>
      <c r="H596" s="15" t="str">
        <f>IF(Data!B596="","",IF(AND(Data!G596&lt;&gt;"",Data!H596=""),1,IF(Data!#REF!&lt;&gt;"",0,IF(Data!G596="",1,IF(ISNUMBER(MATCH(Data!H596,Data_Val!$D$2:$D$35,0)),0,1)))))</f>
        <v/>
      </c>
      <c r="I596" s="15" t="str">
        <f>IF(Data!B596="","",IF(Data!G596&lt;&gt;"",0,IF(ISNUMBER(MATCH(Data!#REF!,Data_Val!$E$2:$E$12,0)),0,1)))</f>
        <v/>
      </c>
      <c r="J596" s="16" t="e">
        <f>IF(OR(Data!B596="",Data!#REF!=""),"",IF(Data!#REF!="",1,0))</f>
        <v>#REF!</v>
      </c>
      <c r="K596" s="16" t="e">
        <f>IF(OR(Data!B596="",Data!#REF!=""),"",IF(Data!#REF!="",1,0))</f>
        <v>#REF!</v>
      </c>
      <c r="L596" s="16" t="e">
        <f>IF(OR(Data!B596="",Data!#REF!=""),"",IF(ISNUMBER(Data!#REF!),IF(AND(Data!#REF!&gt;Data_Val!$G$2,Data!#REF!&lt;=Data_Val!$G$3),0,1),1))</f>
        <v>#REF!</v>
      </c>
      <c r="M596" s="9" t="e">
        <f>IF(OR(Data!B596="",Data!#REF!=""),"",IF(ISNUMBER(MATCH(Data!#REF!,Data_Val!$F$1:$F$38,0)),0,1))</f>
        <v>#REF!</v>
      </c>
      <c r="N596" s="9" t="e">
        <f>IF(OR(Data!B596="",Data!#REF!=""),"",IF(Data!#REF!="",1,0))</f>
        <v>#REF!</v>
      </c>
      <c r="O596" s="17" t="e">
        <f>IF(Data!#REF!="","",IF(Data!#REF!="",1,0))</f>
        <v>#REF!</v>
      </c>
      <c r="P596" s="17" t="e">
        <f>IF(Data!#REF!="","",IF(ISNUMBER(MATCH(Data!#REF!,Data_Val!$A$2:$A$3,0)),0,1))</f>
        <v>#REF!</v>
      </c>
      <c r="Q596" s="25" t="e">
        <f ca="1">IF(Data!#REF!="","",IF(ISNUMBER(Data!#REF!),IF(AND(Data!#REF!&gt;(TODAY()-(Data_Val!$J$3*365.25)),Data!#REF!&lt;=(TODAY()-(Data_Val!$J$2*365.25))),0,1),1))</f>
        <v>#REF!</v>
      </c>
      <c r="R596" s="17" t="e">
        <f>IF(Data!#REF!="","",IF(ISNUMBER(MATCH(Data!#REF!,Data_Val!$B$2:$B$15,0)),0,1))</f>
        <v>#REF!</v>
      </c>
      <c r="S596" s="11" t="str">
        <f>IF(Data!G596="","",IF(Data!G596=Data_Val!$C$2,IF(Data!M596="",0,1),0))</f>
        <v/>
      </c>
      <c r="T596" s="11" t="str">
        <f>IF(Data!M596="","",IF(ISNUMBER(MATCH(Data!N596,Data_Val!$A$2:$A$3,0)),0,1))</f>
        <v/>
      </c>
      <c r="U596" s="11" t="str">
        <f ca="1">IF(Data!M596="","",IF(ISNUMBER(Data!O596),IF(AND(Data!O596&gt;(TODAY()-(Data_Val!$K$3*365.25)),Data!O596&lt;=(TODAY()-(Data_Val!$K$2*365.25))),0,1),1))</f>
        <v/>
      </c>
      <c r="V596" s="12" t="str">
        <f>IF(Data!G596="","",IF(Data!G596=Data_Val!$C$2,IF(Data!P596="",0,1),0))</f>
        <v/>
      </c>
      <c r="W596" s="12" t="str">
        <f>IF(Data!P596="","",IF(ISNUMBER(MATCH(Data!Q596,Data_Val!$A$2:$A$3,0)),0,1))</f>
        <v/>
      </c>
      <c r="X596" s="26" t="str">
        <f ca="1">IF(Data!P596="","",IF(ISNUMBER(Data!R596),IF(AND(Data!R596&gt;(TODAY()-(Data_Val!$L$3*365.25)),Data!R596&lt;=(TODAY()-(Data_Val!$L$2*365.25))),0,1),1))</f>
        <v/>
      </c>
      <c r="Y596" s="13" t="str">
        <f>IF(Data!$G596="","",IF(Data!$G596=Data_Val!$C$2,IF(Data!S596="",0,1),0))</f>
        <v/>
      </c>
      <c r="Z596" s="13" t="str">
        <f>IF(Data!S596="","",IF(ISNUMBER(MATCH(Data!T596,Data_Val!$A$2:$A$3,0)),0,1))</f>
        <v/>
      </c>
      <c r="AA596" s="28" t="str">
        <f ca="1">IF(Data!S596="","",IF(ISNUMBER(Data!U596),IF(AND(Data!U596&gt;(TODAY()-(Data_Val!$L$3*365.25)),Data!U596&lt;=(TODAY()-(Data_Val!$L$2*365.25))),0,1),1))</f>
        <v/>
      </c>
      <c r="AB596" s="11"/>
      <c r="AC596" s="11" t="e">
        <f>IF(Data!#REF!="","",IF(ISNUMBER(MATCH(Data!#REF!,Data_Val!$A$2:$A$3,0)),0,1))</f>
        <v>#REF!</v>
      </c>
      <c r="AD596" s="11" t="e">
        <f ca="1">IF(Data!#REF!="","",IF(ISNUMBER(Data!#REF!),IF(AND(Data!#REF!&gt;(TODAY()-(Data_Val!$L$3*365.25)),Data!#REF!&lt;=(TODAY()-(Data_Val!$L$2*365.25))),0,1),1))</f>
        <v>#REF!</v>
      </c>
      <c r="AE596" s="11" t="e">
        <f>IF(Data!#REF!="","",IF(Data!$G596="",1,IF(ISNUMBER(MATCH(Data!#REF!,Data_Val!$D$2:$D$10,0)),0,1)))</f>
        <v>#REF!</v>
      </c>
      <c r="AF596" s="12"/>
      <c r="AG596" s="12" t="e">
        <f>IF(Data!#REF!="","",IF(ISNUMBER(MATCH(Data!#REF!,Data_Val!$A$2:$A$3,0)),0,1))</f>
        <v>#REF!</v>
      </c>
      <c r="AH596" s="26" t="e">
        <f ca="1">IF(Data!#REF!="","",IF(ISNUMBER(Data!#REF!),IF(AND(Data!#REF!&gt;(TODAY()-(Data_Val!$L$3*365.25)),Data!#REF!&lt;=(TODAY()-(Data_Val!$L$2*365.25))),0,1),1))</f>
        <v>#REF!</v>
      </c>
      <c r="AI596" s="12" t="e">
        <f>IF(Data!#REF!="","",IF(Data!$G596="",1,IF(ISNUMBER(MATCH(Data!#REF!,Data_Val!$D$2:$D$10,0)),0,1)))</f>
        <v>#REF!</v>
      </c>
      <c r="AJ596" s="17"/>
      <c r="AK596" s="17" t="e">
        <f>IF(Data!#REF!="","",IF(ISNUMBER(MATCH(Data!#REF!,Data_Val!$A$2:$A$3,0)),0,1))</f>
        <v>#REF!</v>
      </c>
      <c r="AL596" s="25" t="e">
        <f ca="1">IF(Data!#REF!="","",IF(ISNUMBER(Data!#REF!),IF(AND(Data!#REF!&gt;(TODAY()-(Data_Val!$L$3*365.25)),Data!#REF!&lt;=(TODAY()-(Data_Val!$L$2*365.25))),0,1),1))</f>
        <v>#REF!</v>
      </c>
      <c r="AM596" s="17" t="e">
        <f>IF(Data!#REF!="","",IF(Data!$G596="",1,IF(ISNUMBER(MATCH(Data!#REF!,Data_Val!$D$2:$D$10,0)),0,1)))</f>
        <v>#REF!</v>
      </c>
      <c r="AN596" s="13"/>
      <c r="AO596" s="28" t="e">
        <f ca="1">IF(Data!#REF!="","",IF(ISNUMBER(Data!#REF!),IF(AND(Data!#REF!&gt;(TODAY()-(Data_Val!$I$3*365.25)),Data!#REF!&lt;=(TODAY()-(Data_Val!$I$2*365.25))),0,1),1))</f>
        <v>#REF!</v>
      </c>
      <c r="AP596" s="13" t="e">
        <f>IF(Data!#REF!="","",IF(Data!$G596="",1,IF(ISNUMBER(MATCH(Data!#REF!,Data_Val!$D$2:$D$10,0)),0,1)))</f>
        <v>#REF!</v>
      </c>
      <c r="AQ596" s="17"/>
      <c r="AR596" s="30" t="e">
        <f ca="1">IF(Data!#REF!="","",IF(ISNUMBER(Data!#REF!),IF(AND(Data!#REF!&gt;(TODAY()-(Data_Val!$I$3*365.25)),Data!#REF!&lt;=(TODAY()-(Data_Val!$I$2*365.25))),0,1),1))</f>
        <v>#REF!</v>
      </c>
      <c r="AS596" s="31" t="e">
        <f>IF(Data!#REF!="","",IF(Data!$G596="",1,IF(ISNUMBER(MATCH(Data!#REF!,Data_Val!$D$2:$D$10,0)),0,1)))</f>
        <v>#REF!</v>
      </c>
      <c r="AT596" s="11"/>
      <c r="AU596" s="11" t="e">
        <f ca="1">IF(Data!#REF!="","",IF(ISNUMBER(Data!#REF!),IF(AND(Data!#REF!&gt;(TODAY()-(Data_Val!$I$3*365.25)),Data!#REF!&lt;=(TODAY()-(Data_Val!$I$2*365.25))),0,1),1))</f>
        <v>#REF!</v>
      </c>
      <c r="AV596" s="11" t="e">
        <f>IF(Data!#REF!="","",IF(Data!$G596="",1,IF(ISNUMBER(MATCH(Data!#REF!,Data_Val!$D$2:$D$10,0)),0,1)))</f>
        <v>#REF!</v>
      </c>
      <c r="AW596" s="12"/>
      <c r="AX596" s="26" t="e">
        <f ca="1">IF(Data!#REF!="","",IF(ISNUMBER(Data!#REF!),IF(AND(Data!#REF!&gt;(TODAY()-(Data_Val!$I$3*365.25)),Data!#REF!&lt;=(TODAY()-(Data_Val!$I$2*365.25))),0,1),1))</f>
        <v>#REF!</v>
      </c>
      <c r="AY596" s="12" t="e">
        <f>IF(Data!#REF!="","",IF(Data!$G596="",1,IF(ISNUMBER(MATCH(Data!#REF!,Data_Val!$D$2:$D$10,0)),0,1)))</f>
        <v>#REF!</v>
      </c>
      <c r="AZ596" s="11"/>
      <c r="BA596" s="19" t="e">
        <f ca="1">IF(Data!#REF!="","",IF(ISNUMBER(Data!#REF!),IF(AND(Data!#REF!&gt;(TODAY()-(Data_Val!$M$3*365.25)),Data!#REF!&lt;=(TODAY()-(Data_Val!$M$2*365.25))),0,1),1))</f>
        <v>#REF!</v>
      </c>
      <c r="BB596" s="11" t="e">
        <f>IF(Data!#REF!="","",IF(Data!$G596="",1,IF(ISNUMBER(MATCH(Data!#REF!,Data_Val!$D$2:$D$10,0)),0,1)))</f>
        <v>#REF!</v>
      </c>
      <c r="BC596" s="12"/>
      <c r="BD596" s="20" t="e">
        <f ca="1">IF(Data!#REF!="","",IF(ISNUMBER(Data!#REF!),IF(AND(Data!#REF!&gt;(TODAY()-(Data_Val!$M$3*365.25)),Data!#REF!&lt;=(TODAY()-(Data_Val!$M$2*365.25))),0,1),1))</f>
        <v>#REF!</v>
      </c>
      <c r="BE596" s="12" t="e">
        <f>IF(Data!#REF!="","",IF(Data!$G596="",1,IF(ISNUMBER(MATCH(Data!#REF!,Data_Val!$D$2:$D$10,0)),0,1)))</f>
        <v>#REF!</v>
      </c>
      <c r="BF596" s="17"/>
      <c r="BG596" s="18" t="e">
        <f ca="1">IF(Data!#REF!="","",IF(ISNUMBER(Data!#REF!),IF(AND(Data!#REF!&gt;(TODAY()-(Data_Val!$M$3*365.25)),Data!#REF!&lt;=(TODAY()-(Data_Val!$M$2*365.25))),0,1),1))</f>
        <v>#REF!</v>
      </c>
      <c r="BH596" s="29" t="e">
        <f>IF(Data!#REF!="","",IF(Data!$G596="",1,IF(ISNUMBER(MATCH(Data!#REF!,Data_Val!$D$2:$D$10,0)),0,1)))</f>
        <v>#REF!</v>
      </c>
      <c r="BI596" s="13"/>
      <c r="BJ596" s="21" t="e">
        <f ca="1">IF(Data!#REF!="","",IF(ISNUMBER(Data!#REF!),IF(AND(Data!#REF!&gt;(TODAY()-(Data_Val!$M$3*365.25)),Data!#REF!&lt;=(TODAY()-(Data_Val!$M$2*365.25))),0,1),1))</f>
        <v>#REF!</v>
      </c>
      <c r="BK596" s="13" t="e">
        <f>IF(Data!#REF!="","",IF(Data!$G596="",1,IF(ISNUMBER(MATCH(Data!#REF!,Data_Val!$D$2:$D$10,0)),0,1)))</f>
        <v>#REF!</v>
      </c>
    </row>
    <row r="597" spans="1:63" x14ac:dyDescent="0.25">
      <c r="A597" s="9" t="str">
        <f>IF(Data!B597="","",IF(COUNTIFS(Data!A$1:'Data'!A597,Data!A597)&lt;=1,0,1))</f>
        <v/>
      </c>
      <c r="B597" s="9"/>
      <c r="C597" s="23" t="str">
        <f>IF(Data!C597="","",(IF(ISNUMBER(MATCH("*@*.?*",Data!C597,0)),0,1)+IF(COUNTIFS(Data!C$1:'Data'!C597,Data!C597)&gt;1,1,0)))</f>
        <v/>
      </c>
      <c r="D597" s="9" t="str">
        <f>IF(Data!B597="","",IF(ISNUMBER(Data!D597),IF(AND(Data!D597&gt;999999999,Data!D597&lt;=9999999999),IF(COUNTIFS(Data!D$1:'Data'!D597,Data!D597)&lt;=1,0,1),1),1))</f>
        <v/>
      </c>
      <c r="E597" s="9" t="str">
        <f>IF(Data!B597="","",IF(ISNUMBER(MATCH(Data!E597,Data_Val!$A$2:$A$3,0)),0,1))</f>
        <v/>
      </c>
      <c r="F597" s="9" t="str">
        <f ca="1">IF(Data!B597="","",IF(ISNUMBER(Data!F597),IF(AND(Data!F597&gt;(TODAY()-(Data_Val!$H$3*365.25)),Data!F597&lt;=(TODAY()-(Data_Val!$H$2*365.25))),0,1),1))</f>
        <v/>
      </c>
      <c r="G597" s="15" t="str">
        <f>IF(Data!B597="","",IF(AND(Data!G597="",Data!H597&lt;&gt;""),1,IF(Data!#REF!&lt;&gt;"",0,IF(ISNUMBER(MATCH(Data!G597,Data_Val!$C$2:$C$5,0)),0,1))))</f>
        <v/>
      </c>
      <c r="H597" s="15" t="str">
        <f>IF(Data!B597="","",IF(AND(Data!G597&lt;&gt;"",Data!H597=""),1,IF(Data!#REF!&lt;&gt;"",0,IF(Data!G597="",1,IF(ISNUMBER(MATCH(Data!H597,Data_Val!$D$2:$D$35,0)),0,1)))))</f>
        <v/>
      </c>
      <c r="I597" s="15" t="str">
        <f>IF(Data!B597="","",IF(Data!G597&lt;&gt;"",0,IF(ISNUMBER(MATCH(Data!#REF!,Data_Val!$E$2:$E$12,0)),0,1)))</f>
        <v/>
      </c>
      <c r="J597" s="16" t="e">
        <f>IF(OR(Data!B597="",Data!#REF!=""),"",IF(Data!#REF!="",1,0))</f>
        <v>#REF!</v>
      </c>
      <c r="K597" s="16" t="e">
        <f>IF(OR(Data!B597="",Data!#REF!=""),"",IF(Data!#REF!="",1,0))</f>
        <v>#REF!</v>
      </c>
      <c r="L597" s="16" t="e">
        <f>IF(OR(Data!B597="",Data!#REF!=""),"",IF(ISNUMBER(Data!#REF!),IF(AND(Data!#REF!&gt;Data_Val!$G$2,Data!#REF!&lt;=Data_Val!$G$3),0,1),1))</f>
        <v>#REF!</v>
      </c>
      <c r="M597" s="9" t="e">
        <f>IF(OR(Data!B597="",Data!#REF!=""),"",IF(ISNUMBER(MATCH(Data!#REF!,Data_Val!$F$1:$F$38,0)),0,1))</f>
        <v>#REF!</v>
      </c>
      <c r="N597" s="9" t="e">
        <f>IF(OR(Data!B597="",Data!#REF!=""),"",IF(Data!#REF!="",1,0))</f>
        <v>#REF!</v>
      </c>
      <c r="O597" s="17" t="e">
        <f>IF(Data!#REF!="","",IF(Data!#REF!="",1,0))</f>
        <v>#REF!</v>
      </c>
      <c r="P597" s="17" t="e">
        <f>IF(Data!#REF!="","",IF(ISNUMBER(MATCH(Data!#REF!,Data_Val!$A$2:$A$3,0)),0,1))</f>
        <v>#REF!</v>
      </c>
      <c r="Q597" s="25" t="e">
        <f ca="1">IF(Data!#REF!="","",IF(ISNUMBER(Data!#REF!),IF(AND(Data!#REF!&gt;(TODAY()-(Data_Val!$J$3*365.25)),Data!#REF!&lt;=(TODAY()-(Data_Val!$J$2*365.25))),0,1),1))</f>
        <v>#REF!</v>
      </c>
      <c r="R597" s="17" t="e">
        <f>IF(Data!#REF!="","",IF(ISNUMBER(MATCH(Data!#REF!,Data_Val!$B$2:$B$15,0)),0,1))</f>
        <v>#REF!</v>
      </c>
      <c r="S597" s="11" t="str">
        <f>IF(Data!G597="","",IF(Data!G597=Data_Val!$C$2,IF(Data!M597="",0,1),0))</f>
        <v/>
      </c>
      <c r="T597" s="11" t="str">
        <f>IF(Data!M597="","",IF(ISNUMBER(MATCH(Data!N597,Data_Val!$A$2:$A$3,0)),0,1))</f>
        <v/>
      </c>
      <c r="U597" s="11" t="str">
        <f ca="1">IF(Data!M597="","",IF(ISNUMBER(Data!O597),IF(AND(Data!O597&gt;(TODAY()-(Data_Val!$K$3*365.25)),Data!O597&lt;=(TODAY()-(Data_Val!$K$2*365.25))),0,1),1))</f>
        <v/>
      </c>
      <c r="V597" s="12" t="str">
        <f>IF(Data!G597="","",IF(Data!G597=Data_Val!$C$2,IF(Data!P597="",0,1),0))</f>
        <v/>
      </c>
      <c r="W597" s="12" t="str">
        <f>IF(Data!P597="","",IF(ISNUMBER(MATCH(Data!Q597,Data_Val!$A$2:$A$3,0)),0,1))</f>
        <v/>
      </c>
      <c r="X597" s="26" t="str">
        <f ca="1">IF(Data!P597="","",IF(ISNUMBER(Data!R597),IF(AND(Data!R597&gt;(TODAY()-(Data_Val!$L$3*365.25)),Data!R597&lt;=(TODAY()-(Data_Val!$L$2*365.25))),0,1),1))</f>
        <v/>
      </c>
      <c r="Y597" s="13" t="str">
        <f>IF(Data!$G597="","",IF(Data!$G597=Data_Val!$C$2,IF(Data!S597="",0,1),0))</f>
        <v/>
      </c>
      <c r="Z597" s="13" t="str">
        <f>IF(Data!S597="","",IF(ISNUMBER(MATCH(Data!T597,Data_Val!$A$2:$A$3,0)),0,1))</f>
        <v/>
      </c>
      <c r="AA597" s="28" t="str">
        <f ca="1">IF(Data!S597="","",IF(ISNUMBER(Data!U597),IF(AND(Data!U597&gt;(TODAY()-(Data_Val!$L$3*365.25)),Data!U597&lt;=(TODAY()-(Data_Val!$L$2*365.25))),0,1),1))</f>
        <v/>
      </c>
      <c r="AB597" s="11"/>
      <c r="AC597" s="11" t="e">
        <f>IF(Data!#REF!="","",IF(ISNUMBER(MATCH(Data!#REF!,Data_Val!$A$2:$A$3,0)),0,1))</f>
        <v>#REF!</v>
      </c>
      <c r="AD597" s="11" t="e">
        <f ca="1">IF(Data!#REF!="","",IF(ISNUMBER(Data!#REF!),IF(AND(Data!#REF!&gt;(TODAY()-(Data_Val!$L$3*365.25)),Data!#REF!&lt;=(TODAY()-(Data_Val!$L$2*365.25))),0,1),1))</f>
        <v>#REF!</v>
      </c>
      <c r="AE597" s="11" t="e">
        <f>IF(Data!#REF!="","",IF(Data!$G597="",1,IF(ISNUMBER(MATCH(Data!#REF!,Data_Val!$D$2:$D$10,0)),0,1)))</f>
        <v>#REF!</v>
      </c>
      <c r="AF597" s="12"/>
      <c r="AG597" s="12" t="e">
        <f>IF(Data!#REF!="","",IF(ISNUMBER(MATCH(Data!#REF!,Data_Val!$A$2:$A$3,0)),0,1))</f>
        <v>#REF!</v>
      </c>
      <c r="AH597" s="26" t="e">
        <f ca="1">IF(Data!#REF!="","",IF(ISNUMBER(Data!#REF!),IF(AND(Data!#REF!&gt;(TODAY()-(Data_Val!$L$3*365.25)),Data!#REF!&lt;=(TODAY()-(Data_Val!$L$2*365.25))),0,1),1))</f>
        <v>#REF!</v>
      </c>
      <c r="AI597" s="12" t="e">
        <f>IF(Data!#REF!="","",IF(Data!$G597="",1,IF(ISNUMBER(MATCH(Data!#REF!,Data_Val!$D$2:$D$10,0)),0,1)))</f>
        <v>#REF!</v>
      </c>
      <c r="AJ597" s="17"/>
      <c r="AK597" s="17" t="e">
        <f>IF(Data!#REF!="","",IF(ISNUMBER(MATCH(Data!#REF!,Data_Val!$A$2:$A$3,0)),0,1))</f>
        <v>#REF!</v>
      </c>
      <c r="AL597" s="25" t="e">
        <f ca="1">IF(Data!#REF!="","",IF(ISNUMBER(Data!#REF!),IF(AND(Data!#REF!&gt;(TODAY()-(Data_Val!$L$3*365.25)),Data!#REF!&lt;=(TODAY()-(Data_Val!$L$2*365.25))),0,1),1))</f>
        <v>#REF!</v>
      </c>
      <c r="AM597" s="17" t="e">
        <f>IF(Data!#REF!="","",IF(Data!$G597="",1,IF(ISNUMBER(MATCH(Data!#REF!,Data_Val!$D$2:$D$10,0)),0,1)))</f>
        <v>#REF!</v>
      </c>
      <c r="AN597" s="13"/>
      <c r="AO597" s="28" t="e">
        <f ca="1">IF(Data!#REF!="","",IF(ISNUMBER(Data!#REF!),IF(AND(Data!#REF!&gt;(TODAY()-(Data_Val!$I$3*365.25)),Data!#REF!&lt;=(TODAY()-(Data_Val!$I$2*365.25))),0,1),1))</f>
        <v>#REF!</v>
      </c>
      <c r="AP597" s="13" t="e">
        <f>IF(Data!#REF!="","",IF(Data!$G597="",1,IF(ISNUMBER(MATCH(Data!#REF!,Data_Val!$D$2:$D$10,0)),0,1)))</f>
        <v>#REF!</v>
      </c>
      <c r="AQ597" s="17"/>
      <c r="AR597" s="30" t="e">
        <f ca="1">IF(Data!#REF!="","",IF(ISNUMBER(Data!#REF!),IF(AND(Data!#REF!&gt;(TODAY()-(Data_Val!$I$3*365.25)),Data!#REF!&lt;=(TODAY()-(Data_Val!$I$2*365.25))),0,1),1))</f>
        <v>#REF!</v>
      </c>
      <c r="AS597" s="31" t="e">
        <f>IF(Data!#REF!="","",IF(Data!$G597="",1,IF(ISNUMBER(MATCH(Data!#REF!,Data_Val!$D$2:$D$10,0)),0,1)))</f>
        <v>#REF!</v>
      </c>
      <c r="AT597" s="11"/>
      <c r="AU597" s="11" t="e">
        <f ca="1">IF(Data!#REF!="","",IF(ISNUMBER(Data!#REF!),IF(AND(Data!#REF!&gt;(TODAY()-(Data_Val!$I$3*365.25)),Data!#REF!&lt;=(TODAY()-(Data_Val!$I$2*365.25))),0,1),1))</f>
        <v>#REF!</v>
      </c>
      <c r="AV597" s="11" t="e">
        <f>IF(Data!#REF!="","",IF(Data!$G597="",1,IF(ISNUMBER(MATCH(Data!#REF!,Data_Val!$D$2:$D$10,0)),0,1)))</f>
        <v>#REF!</v>
      </c>
      <c r="AW597" s="12"/>
      <c r="AX597" s="26" t="e">
        <f ca="1">IF(Data!#REF!="","",IF(ISNUMBER(Data!#REF!),IF(AND(Data!#REF!&gt;(TODAY()-(Data_Val!$I$3*365.25)),Data!#REF!&lt;=(TODAY()-(Data_Val!$I$2*365.25))),0,1),1))</f>
        <v>#REF!</v>
      </c>
      <c r="AY597" s="12" t="e">
        <f>IF(Data!#REF!="","",IF(Data!$G597="",1,IF(ISNUMBER(MATCH(Data!#REF!,Data_Val!$D$2:$D$10,0)),0,1)))</f>
        <v>#REF!</v>
      </c>
      <c r="AZ597" s="11"/>
      <c r="BA597" s="19" t="e">
        <f ca="1">IF(Data!#REF!="","",IF(ISNUMBER(Data!#REF!),IF(AND(Data!#REF!&gt;(TODAY()-(Data_Val!$M$3*365.25)),Data!#REF!&lt;=(TODAY()-(Data_Val!$M$2*365.25))),0,1),1))</f>
        <v>#REF!</v>
      </c>
      <c r="BB597" s="11" t="e">
        <f>IF(Data!#REF!="","",IF(Data!$G597="",1,IF(ISNUMBER(MATCH(Data!#REF!,Data_Val!$D$2:$D$10,0)),0,1)))</f>
        <v>#REF!</v>
      </c>
      <c r="BC597" s="12"/>
      <c r="BD597" s="20" t="e">
        <f ca="1">IF(Data!#REF!="","",IF(ISNUMBER(Data!#REF!),IF(AND(Data!#REF!&gt;(TODAY()-(Data_Val!$M$3*365.25)),Data!#REF!&lt;=(TODAY()-(Data_Val!$M$2*365.25))),0,1),1))</f>
        <v>#REF!</v>
      </c>
      <c r="BE597" s="12" t="e">
        <f>IF(Data!#REF!="","",IF(Data!$G597="",1,IF(ISNUMBER(MATCH(Data!#REF!,Data_Val!$D$2:$D$10,0)),0,1)))</f>
        <v>#REF!</v>
      </c>
      <c r="BF597" s="17"/>
      <c r="BG597" s="18" t="e">
        <f ca="1">IF(Data!#REF!="","",IF(ISNUMBER(Data!#REF!),IF(AND(Data!#REF!&gt;(TODAY()-(Data_Val!$M$3*365.25)),Data!#REF!&lt;=(TODAY()-(Data_Val!$M$2*365.25))),0,1),1))</f>
        <v>#REF!</v>
      </c>
      <c r="BH597" s="29" t="e">
        <f>IF(Data!#REF!="","",IF(Data!$G597="",1,IF(ISNUMBER(MATCH(Data!#REF!,Data_Val!$D$2:$D$10,0)),0,1)))</f>
        <v>#REF!</v>
      </c>
      <c r="BI597" s="13"/>
      <c r="BJ597" s="21" t="e">
        <f ca="1">IF(Data!#REF!="","",IF(ISNUMBER(Data!#REF!),IF(AND(Data!#REF!&gt;(TODAY()-(Data_Val!$M$3*365.25)),Data!#REF!&lt;=(TODAY()-(Data_Val!$M$2*365.25))),0,1),1))</f>
        <v>#REF!</v>
      </c>
      <c r="BK597" s="13" t="e">
        <f>IF(Data!#REF!="","",IF(Data!$G597="",1,IF(ISNUMBER(MATCH(Data!#REF!,Data_Val!$D$2:$D$10,0)),0,1)))</f>
        <v>#REF!</v>
      </c>
    </row>
    <row r="598" spans="1:63" x14ac:dyDescent="0.25">
      <c r="A598" s="9" t="str">
        <f>IF(Data!B598="","",IF(COUNTIFS(Data!A$1:'Data'!A598,Data!A598)&lt;=1,0,1))</f>
        <v/>
      </c>
      <c r="B598" s="9"/>
      <c r="C598" s="23" t="str">
        <f>IF(Data!C598="","",(IF(ISNUMBER(MATCH("*@*.?*",Data!C598,0)),0,1)+IF(COUNTIFS(Data!C$1:'Data'!C598,Data!C598)&gt;1,1,0)))</f>
        <v/>
      </c>
      <c r="D598" s="9" t="str">
        <f>IF(Data!B598="","",IF(ISNUMBER(Data!D598),IF(AND(Data!D598&gt;999999999,Data!D598&lt;=9999999999),IF(COUNTIFS(Data!D$1:'Data'!D598,Data!D598)&lt;=1,0,1),1),1))</f>
        <v/>
      </c>
      <c r="E598" s="9" t="str">
        <f>IF(Data!B598="","",IF(ISNUMBER(MATCH(Data!E598,Data_Val!$A$2:$A$3,0)),0,1))</f>
        <v/>
      </c>
      <c r="F598" s="9" t="str">
        <f ca="1">IF(Data!B598="","",IF(ISNUMBER(Data!F598),IF(AND(Data!F598&gt;(TODAY()-(Data_Val!$H$3*365.25)),Data!F598&lt;=(TODAY()-(Data_Val!$H$2*365.25))),0,1),1))</f>
        <v/>
      </c>
      <c r="G598" s="15" t="str">
        <f>IF(Data!B598="","",IF(AND(Data!G598="",Data!H598&lt;&gt;""),1,IF(Data!#REF!&lt;&gt;"",0,IF(ISNUMBER(MATCH(Data!G598,Data_Val!$C$2:$C$5,0)),0,1))))</f>
        <v/>
      </c>
      <c r="H598" s="15" t="str">
        <f>IF(Data!B598="","",IF(AND(Data!G598&lt;&gt;"",Data!H598=""),1,IF(Data!#REF!&lt;&gt;"",0,IF(Data!G598="",1,IF(ISNUMBER(MATCH(Data!H598,Data_Val!$D$2:$D$35,0)),0,1)))))</f>
        <v/>
      </c>
      <c r="I598" s="15" t="str">
        <f>IF(Data!B598="","",IF(Data!G598&lt;&gt;"",0,IF(ISNUMBER(MATCH(Data!#REF!,Data_Val!$E$2:$E$12,0)),0,1)))</f>
        <v/>
      </c>
      <c r="J598" s="16" t="e">
        <f>IF(OR(Data!B598="",Data!#REF!=""),"",IF(Data!#REF!="",1,0))</f>
        <v>#REF!</v>
      </c>
      <c r="K598" s="16" t="e">
        <f>IF(OR(Data!B598="",Data!#REF!=""),"",IF(Data!#REF!="",1,0))</f>
        <v>#REF!</v>
      </c>
      <c r="L598" s="16" t="e">
        <f>IF(OR(Data!B598="",Data!#REF!=""),"",IF(ISNUMBER(Data!#REF!),IF(AND(Data!#REF!&gt;Data_Val!$G$2,Data!#REF!&lt;=Data_Val!$G$3),0,1),1))</f>
        <v>#REF!</v>
      </c>
      <c r="M598" s="9" t="e">
        <f>IF(OR(Data!B598="",Data!#REF!=""),"",IF(ISNUMBER(MATCH(Data!#REF!,Data_Val!$F$1:$F$38,0)),0,1))</f>
        <v>#REF!</v>
      </c>
      <c r="N598" s="9" t="e">
        <f>IF(OR(Data!B598="",Data!#REF!=""),"",IF(Data!#REF!="",1,0))</f>
        <v>#REF!</v>
      </c>
      <c r="O598" s="17" t="e">
        <f>IF(Data!#REF!="","",IF(Data!#REF!="",1,0))</f>
        <v>#REF!</v>
      </c>
      <c r="P598" s="17" t="e">
        <f>IF(Data!#REF!="","",IF(ISNUMBER(MATCH(Data!#REF!,Data_Val!$A$2:$A$3,0)),0,1))</f>
        <v>#REF!</v>
      </c>
      <c r="Q598" s="25" t="e">
        <f ca="1">IF(Data!#REF!="","",IF(ISNUMBER(Data!#REF!),IF(AND(Data!#REF!&gt;(TODAY()-(Data_Val!$J$3*365.25)),Data!#REF!&lt;=(TODAY()-(Data_Val!$J$2*365.25))),0,1),1))</f>
        <v>#REF!</v>
      </c>
      <c r="R598" s="17" t="e">
        <f>IF(Data!#REF!="","",IF(ISNUMBER(MATCH(Data!#REF!,Data_Val!$B$2:$B$15,0)),0,1))</f>
        <v>#REF!</v>
      </c>
      <c r="S598" s="11" t="str">
        <f>IF(Data!G598="","",IF(Data!G598=Data_Val!$C$2,IF(Data!M598="",0,1),0))</f>
        <v/>
      </c>
      <c r="T598" s="11" t="str">
        <f>IF(Data!M598="","",IF(ISNUMBER(MATCH(Data!N598,Data_Val!$A$2:$A$3,0)),0,1))</f>
        <v/>
      </c>
      <c r="U598" s="11" t="str">
        <f ca="1">IF(Data!M598="","",IF(ISNUMBER(Data!O598),IF(AND(Data!O598&gt;(TODAY()-(Data_Val!$K$3*365.25)),Data!O598&lt;=(TODAY()-(Data_Val!$K$2*365.25))),0,1),1))</f>
        <v/>
      </c>
      <c r="V598" s="12" t="str">
        <f>IF(Data!G598="","",IF(Data!G598=Data_Val!$C$2,IF(Data!P598="",0,1),0))</f>
        <v/>
      </c>
      <c r="W598" s="12" t="str">
        <f>IF(Data!P598="","",IF(ISNUMBER(MATCH(Data!Q598,Data_Val!$A$2:$A$3,0)),0,1))</f>
        <v/>
      </c>
      <c r="X598" s="26" t="str">
        <f ca="1">IF(Data!P598="","",IF(ISNUMBER(Data!R598),IF(AND(Data!R598&gt;(TODAY()-(Data_Val!$L$3*365.25)),Data!R598&lt;=(TODAY()-(Data_Val!$L$2*365.25))),0,1),1))</f>
        <v/>
      </c>
      <c r="Y598" s="13" t="str">
        <f>IF(Data!$G598="","",IF(Data!$G598=Data_Val!$C$2,IF(Data!S598="",0,1),0))</f>
        <v/>
      </c>
      <c r="Z598" s="13" t="str">
        <f>IF(Data!S598="","",IF(ISNUMBER(MATCH(Data!T598,Data_Val!$A$2:$A$3,0)),0,1))</f>
        <v/>
      </c>
      <c r="AA598" s="28" t="str">
        <f ca="1">IF(Data!S598="","",IF(ISNUMBER(Data!U598),IF(AND(Data!U598&gt;(TODAY()-(Data_Val!$L$3*365.25)),Data!U598&lt;=(TODAY()-(Data_Val!$L$2*365.25))),0,1),1))</f>
        <v/>
      </c>
      <c r="AB598" s="11"/>
      <c r="AC598" s="11" t="e">
        <f>IF(Data!#REF!="","",IF(ISNUMBER(MATCH(Data!#REF!,Data_Val!$A$2:$A$3,0)),0,1))</f>
        <v>#REF!</v>
      </c>
      <c r="AD598" s="11" t="e">
        <f ca="1">IF(Data!#REF!="","",IF(ISNUMBER(Data!#REF!),IF(AND(Data!#REF!&gt;(TODAY()-(Data_Val!$L$3*365.25)),Data!#REF!&lt;=(TODAY()-(Data_Val!$L$2*365.25))),0,1),1))</f>
        <v>#REF!</v>
      </c>
      <c r="AE598" s="11" t="e">
        <f>IF(Data!#REF!="","",IF(Data!$G598="",1,IF(ISNUMBER(MATCH(Data!#REF!,Data_Val!$D$2:$D$10,0)),0,1)))</f>
        <v>#REF!</v>
      </c>
      <c r="AF598" s="12"/>
      <c r="AG598" s="12" t="e">
        <f>IF(Data!#REF!="","",IF(ISNUMBER(MATCH(Data!#REF!,Data_Val!$A$2:$A$3,0)),0,1))</f>
        <v>#REF!</v>
      </c>
      <c r="AH598" s="26" t="e">
        <f ca="1">IF(Data!#REF!="","",IF(ISNUMBER(Data!#REF!),IF(AND(Data!#REF!&gt;(TODAY()-(Data_Val!$L$3*365.25)),Data!#REF!&lt;=(TODAY()-(Data_Val!$L$2*365.25))),0,1),1))</f>
        <v>#REF!</v>
      </c>
      <c r="AI598" s="12" t="e">
        <f>IF(Data!#REF!="","",IF(Data!$G598="",1,IF(ISNUMBER(MATCH(Data!#REF!,Data_Val!$D$2:$D$10,0)),0,1)))</f>
        <v>#REF!</v>
      </c>
      <c r="AJ598" s="17"/>
      <c r="AK598" s="17" t="e">
        <f>IF(Data!#REF!="","",IF(ISNUMBER(MATCH(Data!#REF!,Data_Val!$A$2:$A$3,0)),0,1))</f>
        <v>#REF!</v>
      </c>
      <c r="AL598" s="25" t="e">
        <f ca="1">IF(Data!#REF!="","",IF(ISNUMBER(Data!#REF!),IF(AND(Data!#REF!&gt;(TODAY()-(Data_Val!$L$3*365.25)),Data!#REF!&lt;=(TODAY()-(Data_Val!$L$2*365.25))),0,1),1))</f>
        <v>#REF!</v>
      </c>
      <c r="AM598" s="17" t="e">
        <f>IF(Data!#REF!="","",IF(Data!$G598="",1,IF(ISNUMBER(MATCH(Data!#REF!,Data_Val!$D$2:$D$10,0)),0,1)))</f>
        <v>#REF!</v>
      </c>
      <c r="AN598" s="13"/>
      <c r="AO598" s="28" t="e">
        <f ca="1">IF(Data!#REF!="","",IF(ISNUMBER(Data!#REF!),IF(AND(Data!#REF!&gt;(TODAY()-(Data_Val!$I$3*365.25)),Data!#REF!&lt;=(TODAY()-(Data_Val!$I$2*365.25))),0,1),1))</f>
        <v>#REF!</v>
      </c>
      <c r="AP598" s="13" t="e">
        <f>IF(Data!#REF!="","",IF(Data!$G598="",1,IF(ISNUMBER(MATCH(Data!#REF!,Data_Val!$D$2:$D$10,0)),0,1)))</f>
        <v>#REF!</v>
      </c>
      <c r="AQ598" s="17"/>
      <c r="AR598" s="30" t="e">
        <f ca="1">IF(Data!#REF!="","",IF(ISNUMBER(Data!#REF!),IF(AND(Data!#REF!&gt;(TODAY()-(Data_Val!$I$3*365.25)),Data!#REF!&lt;=(TODAY()-(Data_Val!$I$2*365.25))),0,1),1))</f>
        <v>#REF!</v>
      </c>
      <c r="AS598" s="31" t="e">
        <f>IF(Data!#REF!="","",IF(Data!$G598="",1,IF(ISNUMBER(MATCH(Data!#REF!,Data_Val!$D$2:$D$10,0)),0,1)))</f>
        <v>#REF!</v>
      </c>
      <c r="AT598" s="11"/>
      <c r="AU598" s="11" t="e">
        <f ca="1">IF(Data!#REF!="","",IF(ISNUMBER(Data!#REF!),IF(AND(Data!#REF!&gt;(TODAY()-(Data_Val!$I$3*365.25)),Data!#REF!&lt;=(TODAY()-(Data_Val!$I$2*365.25))),0,1),1))</f>
        <v>#REF!</v>
      </c>
      <c r="AV598" s="11" t="e">
        <f>IF(Data!#REF!="","",IF(Data!$G598="",1,IF(ISNUMBER(MATCH(Data!#REF!,Data_Val!$D$2:$D$10,0)),0,1)))</f>
        <v>#REF!</v>
      </c>
      <c r="AW598" s="12"/>
      <c r="AX598" s="26" t="e">
        <f ca="1">IF(Data!#REF!="","",IF(ISNUMBER(Data!#REF!),IF(AND(Data!#REF!&gt;(TODAY()-(Data_Val!$I$3*365.25)),Data!#REF!&lt;=(TODAY()-(Data_Val!$I$2*365.25))),0,1),1))</f>
        <v>#REF!</v>
      </c>
      <c r="AY598" s="12" t="e">
        <f>IF(Data!#REF!="","",IF(Data!$G598="",1,IF(ISNUMBER(MATCH(Data!#REF!,Data_Val!$D$2:$D$10,0)),0,1)))</f>
        <v>#REF!</v>
      </c>
      <c r="AZ598" s="11"/>
      <c r="BA598" s="19" t="e">
        <f ca="1">IF(Data!#REF!="","",IF(ISNUMBER(Data!#REF!),IF(AND(Data!#REF!&gt;(TODAY()-(Data_Val!$M$3*365.25)),Data!#REF!&lt;=(TODAY()-(Data_Val!$M$2*365.25))),0,1),1))</f>
        <v>#REF!</v>
      </c>
      <c r="BB598" s="11" t="e">
        <f>IF(Data!#REF!="","",IF(Data!$G598="",1,IF(ISNUMBER(MATCH(Data!#REF!,Data_Val!$D$2:$D$10,0)),0,1)))</f>
        <v>#REF!</v>
      </c>
      <c r="BC598" s="12"/>
      <c r="BD598" s="20" t="e">
        <f ca="1">IF(Data!#REF!="","",IF(ISNUMBER(Data!#REF!),IF(AND(Data!#REF!&gt;(TODAY()-(Data_Val!$M$3*365.25)),Data!#REF!&lt;=(TODAY()-(Data_Val!$M$2*365.25))),0,1),1))</f>
        <v>#REF!</v>
      </c>
      <c r="BE598" s="12" t="e">
        <f>IF(Data!#REF!="","",IF(Data!$G598="",1,IF(ISNUMBER(MATCH(Data!#REF!,Data_Val!$D$2:$D$10,0)),0,1)))</f>
        <v>#REF!</v>
      </c>
      <c r="BF598" s="17"/>
      <c r="BG598" s="18" t="e">
        <f ca="1">IF(Data!#REF!="","",IF(ISNUMBER(Data!#REF!),IF(AND(Data!#REF!&gt;(TODAY()-(Data_Val!$M$3*365.25)),Data!#REF!&lt;=(TODAY()-(Data_Val!$M$2*365.25))),0,1),1))</f>
        <v>#REF!</v>
      </c>
      <c r="BH598" s="29" t="e">
        <f>IF(Data!#REF!="","",IF(Data!$G598="",1,IF(ISNUMBER(MATCH(Data!#REF!,Data_Val!$D$2:$D$10,0)),0,1)))</f>
        <v>#REF!</v>
      </c>
      <c r="BI598" s="13"/>
      <c r="BJ598" s="21" t="e">
        <f ca="1">IF(Data!#REF!="","",IF(ISNUMBER(Data!#REF!),IF(AND(Data!#REF!&gt;(TODAY()-(Data_Val!$M$3*365.25)),Data!#REF!&lt;=(TODAY()-(Data_Val!$M$2*365.25))),0,1),1))</f>
        <v>#REF!</v>
      </c>
      <c r="BK598" s="13" t="e">
        <f>IF(Data!#REF!="","",IF(Data!$G598="",1,IF(ISNUMBER(MATCH(Data!#REF!,Data_Val!$D$2:$D$10,0)),0,1)))</f>
        <v>#REF!</v>
      </c>
    </row>
    <row r="599" spans="1:63" x14ac:dyDescent="0.25">
      <c r="A599" s="9" t="str">
        <f>IF(Data!B599="","",IF(COUNTIFS(Data!A$1:'Data'!A599,Data!A599)&lt;=1,0,1))</f>
        <v/>
      </c>
      <c r="B599" s="9"/>
      <c r="C599" s="23" t="str">
        <f>IF(Data!C599="","",(IF(ISNUMBER(MATCH("*@*.?*",Data!C599,0)),0,1)+IF(COUNTIFS(Data!C$1:'Data'!C599,Data!C599)&gt;1,1,0)))</f>
        <v/>
      </c>
      <c r="D599" s="9" t="str">
        <f>IF(Data!B599="","",IF(ISNUMBER(Data!D599),IF(AND(Data!D599&gt;999999999,Data!D599&lt;=9999999999),IF(COUNTIFS(Data!D$1:'Data'!D599,Data!D599)&lt;=1,0,1),1),1))</f>
        <v/>
      </c>
      <c r="E599" s="9" t="str">
        <f>IF(Data!B599="","",IF(ISNUMBER(MATCH(Data!E599,Data_Val!$A$2:$A$3,0)),0,1))</f>
        <v/>
      </c>
      <c r="F599" s="9" t="str">
        <f ca="1">IF(Data!B599="","",IF(ISNUMBER(Data!F599),IF(AND(Data!F599&gt;(TODAY()-(Data_Val!$H$3*365.25)),Data!F599&lt;=(TODAY()-(Data_Val!$H$2*365.25))),0,1),1))</f>
        <v/>
      </c>
      <c r="G599" s="15" t="str">
        <f>IF(Data!B599="","",IF(AND(Data!G599="",Data!H599&lt;&gt;""),1,IF(Data!#REF!&lt;&gt;"",0,IF(ISNUMBER(MATCH(Data!G599,Data_Val!$C$2:$C$5,0)),0,1))))</f>
        <v/>
      </c>
      <c r="H599" s="15" t="str">
        <f>IF(Data!B599="","",IF(AND(Data!G599&lt;&gt;"",Data!H599=""),1,IF(Data!#REF!&lt;&gt;"",0,IF(Data!G599="",1,IF(ISNUMBER(MATCH(Data!H599,Data_Val!$D$2:$D$35,0)),0,1)))))</f>
        <v/>
      </c>
      <c r="I599" s="15" t="str">
        <f>IF(Data!B599="","",IF(Data!G599&lt;&gt;"",0,IF(ISNUMBER(MATCH(Data!#REF!,Data_Val!$E$2:$E$12,0)),0,1)))</f>
        <v/>
      </c>
      <c r="J599" s="16" t="e">
        <f>IF(OR(Data!B599="",Data!#REF!=""),"",IF(Data!#REF!="",1,0))</f>
        <v>#REF!</v>
      </c>
      <c r="K599" s="16" t="e">
        <f>IF(OR(Data!B599="",Data!#REF!=""),"",IF(Data!#REF!="",1,0))</f>
        <v>#REF!</v>
      </c>
      <c r="L599" s="16" t="e">
        <f>IF(OR(Data!B599="",Data!#REF!=""),"",IF(ISNUMBER(Data!#REF!),IF(AND(Data!#REF!&gt;Data_Val!$G$2,Data!#REF!&lt;=Data_Val!$G$3),0,1),1))</f>
        <v>#REF!</v>
      </c>
      <c r="M599" s="9" t="e">
        <f>IF(OR(Data!B599="",Data!#REF!=""),"",IF(ISNUMBER(MATCH(Data!#REF!,Data_Val!$F$1:$F$38,0)),0,1))</f>
        <v>#REF!</v>
      </c>
      <c r="N599" s="9" t="e">
        <f>IF(OR(Data!B599="",Data!#REF!=""),"",IF(Data!#REF!="",1,0))</f>
        <v>#REF!</v>
      </c>
      <c r="O599" s="17" t="e">
        <f>IF(Data!#REF!="","",IF(Data!#REF!="",1,0))</f>
        <v>#REF!</v>
      </c>
      <c r="P599" s="17" t="e">
        <f>IF(Data!#REF!="","",IF(ISNUMBER(MATCH(Data!#REF!,Data_Val!$A$2:$A$3,0)),0,1))</f>
        <v>#REF!</v>
      </c>
      <c r="Q599" s="25" t="e">
        <f ca="1">IF(Data!#REF!="","",IF(ISNUMBER(Data!#REF!),IF(AND(Data!#REF!&gt;(TODAY()-(Data_Val!$J$3*365.25)),Data!#REF!&lt;=(TODAY()-(Data_Val!$J$2*365.25))),0,1),1))</f>
        <v>#REF!</v>
      </c>
      <c r="R599" s="17" t="e">
        <f>IF(Data!#REF!="","",IF(ISNUMBER(MATCH(Data!#REF!,Data_Val!$B$2:$B$15,0)),0,1))</f>
        <v>#REF!</v>
      </c>
      <c r="S599" s="11" t="str">
        <f>IF(Data!G599="","",IF(Data!G599=Data_Val!$C$2,IF(Data!M599="",0,1),0))</f>
        <v/>
      </c>
      <c r="T599" s="11" t="str">
        <f>IF(Data!M599="","",IF(ISNUMBER(MATCH(Data!N599,Data_Val!$A$2:$A$3,0)),0,1))</f>
        <v/>
      </c>
      <c r="U599" s="11" t="str">
        <f ca="1">IF(Data!M599="","",IF(ISNUMBER(Data!O599),IF(AND(Data!O599&gt;(TODAY()-(Data_Val!$K$3*365.25)),Data!O599&lt;=(TODAY()-(Data_Val!$K$2*365.25))),0,1),1))</f>
        <v/>
      </c>
      <c r="V599" s="12" t="str">
        <f>IF(Data!G599="","",IF(Data!G599=Data_Val!$C$2,IF(Data!P599="",0,1),0))</f>
        <v/>
      </c>
      <c r="W599" s="12" t="str">
        <f>IF(Data!P599="","",IF(ISNUMBER(MATCH(Data!Q599,Data_Val!$A$2:$A$3,0)),0,1))</f>
        <v/>
      </c>
      <c r="X599" s="26" t="str">
        <f ca="1">IF(Data!P599="","",IF(ISNUMBER(Data!R599),IF(AND(Data!R599&gt;(TODAY()-(Data_Val!$L$3*365.25)),Data!R599&lt;=(TODAY()-(Data_Val!$L$2*365.25))),0,1),1))</f>
        <v/>
      </c>
      <c r="Y599" s="13" t="str">
        <f>IF(Data!$G599="","",IF(Data!$G599=Data_Val!$C$2,IF(Data!S599="",0,1),0))</f>
        <v/>
      </c>
      <c r="Z599" s="13" t="str">
        <f>IF(Data!S599="","",IF(ISNUMBER(MATCH(Data!T599,Data_Val!$A$2:$A$3,0)),0,1))</f>
        <v/>
      </c>
      <c r="AA599" s="28" t="str">
        <f ca="1">IF(Data!S599="","",IF(ISNUMBER(Data!U599),IF(AND(Data!U599&gt;(TODAY()-(Data_Val!$L$3*365.25)),Data!U599&lt;=(TODAY()-(Data_Val!$L$2*365.25))),0,1),1))</f>
        <v/>
      </c>
      <c r="AB599" s="11"/>
      <c r="AC599" s="11" t="e">
        <f>IF(Data!#REF!="","",IF(ISNUMBER(MATCH(Data!#REF!,Data_Val!$A$2:$A$3,0)),0,1))</f>
        <v>#REF!</v>
      </c>
      <c r="AD599" s="11" t="e">
        <f ca="1">IF(Data!#REF!="","",IF(ISNUMBER(Data!#REF!),IF(AND(Data!#REF!&gt;(TODAY()-(Data_Val!$L$3*365.25)),Data!#REF!&lt;=(TODAY()-(Data_Val!$L$2*365.25))),0,1),1))</f>
        <v>#REF!</v>
      </c>
      <c r="AE599" s="11" t="e">
        <f>IF(Data!#REF!="","",IF(Data!$G599="",1,IF(ISNUMBER(MATCH(Data!#REF!,Data_Val!$D$2:$D$10,0)),0,1)))</f>
        <v>#REF!</v>
      </c>
      <c r="AF599" s="12"/>
      <c r="AG599" s="12" t="e">
        <f>IF(Data!#REF!="","",IF(ISNUMBER(MATCH(Data!#REF!,Data_Val!$A$2:$A$3,0)),0,1))</f>
        <v>#REF!</v>
      </c>
      <c r="AH599" s="26" t="e">
        <f ca="1">IF(Data!#REF!="","",IF(ISNUMBER(Data!#REF!),IF(AND(Data!#REF!&gt;(TODAY()-(Data_Val!$L$3*365.25)),Data!#REF!&lt;=(TODAY()-(Data_Val!$L$2*365.25))),0,1),1))</f>
        <v>#REF!</v>
      </c>
      <c r="AI599" s="12" t="e">
        <f>IF(Data!#REF!="","",IF(Data!$G599="",1,IF(ISNUMBER(MATCH(Data!#REF!,Data_Val!$D$2:$D$10,0)),0,1)))</f>
        <v>#REF!</v>
      </c>
      <c r="AJ599" s="17"/>
      <c r="AK599" s="17" t="e">
        <f>IF(Data!#REF!="","",IF(ISNUMBER(MATCH(Data!#REF!,Data_Val!$A$2:$A$3,0)),0,1))</f>
        <v>#REF!</v>
      </c>
      <c r="AL599" s="25" t="e">
        <f ca="1">IF(Data!#REF!="","",IF(ISNUMBER(Data!#REF!),IF(AND(Data!#REF!&gt;(TODAY()-(Data_Val!$L$3*365.25)),Data!#REF!&lt;=(TODAY()-(Data_Val!$L$2*365.25))),0,1),1))</f>
        <v>#REF!</v>
      </c>
      <c r="AM599" s="17" t="e">
        <f>IF(Data!#REF!="","",IF(Data!$G599="",1,IF(ISNUMBER(MATCH(Data!#REF!,Data_Val!$D$2:$D$10,0)),0,1)))</f>
        <v>#REF!</v>
      </c>
      <c r="AN599" s="13"/>
      <c r="AO599" s="28" t="e">
        <f ca="1">IF(Data!#REF!="","",IF(ISNUMBER(Data!#REF!),IF(AND(Data!#REF!&gt;(TODAY()-(Data_Val!$I$3*365.25)),Data!#REF!&lt;=(TODAY()-(Data_Val!$I$2*365.25))),0,1),1))</f>
        <v>#REF!</v>
      </c>
      <c r="AP599" s="13" t="e">
        <f>IF(Data!#REF!="","",IF(Data!$G599="",1,IF(ISNUMBER(MATCH(Data!#REF!,Data_Val!$D$2:$D$10,0)),0,1)))</f>
        <v>#REF!</v>
      </c>
      <c r="AQ599" s="17"/>
      <c r="AR599" s="30" t="e">
        <f ca="1">IF(Data!#REF!="","",IF(ISNUMBER(Data!#REF!),IF(AND(Data!#REF!&gt;(TODAY()-(Data_Val!$I$3*365.25)),Data!#REF!&lt;=(TODAY()-(Data_Val!$I$2*365.25))),0,1),1))</f>
        <v>#REF!</v>
      </c>
      <c r="AS599" s="31" t="e">
        <f>IF(Data!#REF!="","",IF(Data!$G599="",1,IF(ISNUMBER(MATCH(Data!#REF!,Data_Val!$D$2:$D$10,0)),0,1)))</f>
        <v>#REF!</v>
      </c>
      <c r="AT599" s="11"/>
      <c r="AU599" s="11" t="e">
        <f ca="1">IF(Data!#REF!="","",IF(ISNUMBER(Data!#REF!),IF(AND(Data!#REF!&gt;(TODAY()-(Data_Val!$I$3*365.25)),Data!#REF!&lt;=(TODAY()-(Data_Val!$I$2*365.25))),0,1),1))</f>
        <v>#REF!</v>
      </c>
      <c r="AV599" s="11" t="e">
        <f>IF(Data!#REF!="","",IF(Data!$G599="",1,IF(ISNUMBER(MATCH(Data!#REF!,Data_Val!$D$2:$D$10,0)),0,1)))</f>
        <v>#REF!</v>
      </c>
      <c r="AW599" s="12"/>
      <c r="AX599" s="26" t="e">
        <f ca="1">IF(Data!#REF!="","",IF(ISNUMBER(Data!#REF!),IF(AND(Data!#REF!&gt;(TODAY()-(Data_Val!$I$3*365.25)),Data!#REF!&lt;=(TODAY()-(Data_Val!$I$2*365.25))),0,1),1))</f>
        <v>#REF!</v>
      </c>
      <c r="AY599" s="12" t="e">
        <f>IF(Data!#REF!="","",IF(Data!$G599="",1,IF(ISNUMBER(MATCH(Data!#REF!,Data_Val!$D$2:$D$10,0)),0,1)))</f>
        <v>#REF!</v>
      </c>
      <c r="AZ599" s="11"/>
      <c r="BA599" s="19" t="e">
        <f ca="1">IF(Data!#REF!="","",IF(ISNUMBER(Data!#REF!),IF(AND(Data!#REF!&gt;(TODAY()-(Data_Val!$M$3*365.25)),Data!#REF!&lt;=(TODAY()-(Data_Val!$M$2*365.25))),0,1),1))</f>
        <v>#REF!</v>
      </c>
      <c r="BB599" s="11" t="e">
        <f>IF(Data!#REF!="","",IF(Data!$G599="",1,IF(ISNUMBER(MATCH(Data!#REF!,Data_Val!$D$2:$D$10,0)),0,1)))</f>
        <v>#REF!</v>
      </c>
      <c r="BC599" s="12"/>
      <c r="BD599" s="20" t="e">
        <f ca="1">IF(Data!#REF!="","",IF(ISNUMBER(Data!#REF!),IF(AND(Data!#REF!&gt;(TODAY()-(Data_Val!$M$3*365.25)),Data!#REF!&lt;=(TODAY()-(Data_Val!$M$2*365.25))),0,1),1))</f>
        <v>#REF!</v>
      </c>
      <c r="BE599" s="12" t="e">
        <f>IF(Data!#REF!="","",IF(Data!$G599="",1,IF(ISNUMBER(MATCH(Data!#REF!,Data_Val!$D$2:$D$10,0)),0,1)))</f>
        <v>#REF!</v>
      </c>
      <c r="BF599" s="17"/>
      <c r="BG599" s="18" t="e">
        <f ca="1">IF(Data!#REF!="","",IF(ISNUMBER(Data!#REF!),IF(AND(Data!#REF!&gt;(TODAY()-(Data_Val!$M$3*365.25)),Data!#REF!&lt;=(TODAY()-(Data_Val!$M$2*365.25))),0,1),1))</f>
        <v>#REF!</v>
      </c>
      <c r="BH599" s="29" t="e">
        <f>IF(Data!#REF!="","",IF(Data!$G599="",1,IF(ISNUMBER(MATCH(Data!#REF!,Data_Val!$D$2:$D$10,0)),0,1)))</f>
        <v>#REF!</v>
      </c>
      <c r="BI599" s="13"/>
      <c r="BJ599" s="21" t="e">
        <f ca="1">IF(Data!#REF!="","",IF(ISNUMBER(Data!#REF!),IF(AND(Data!#REF!&gt;(TODAY()-(Data_Val!$M$3*365.25)),Data!#REF!&lt;=(TODAY()-(Data_Val!$M$2*365.25))),0,1),1))</f>
        <v>#REF!</v>
      </c>
      <c r="BK599" s="13" t="e">
        <f>IF(Data!#REF!="","",IF(Data!$G599="",1,IF(ISNUMBER(MATCH(Data!#REF!,Data_Val!$D$2:$D$10,0)),0,1)))</f>
        <v>#REF!</v>
      </c>
    </row>
    <row r="600" spans="1:63" x14ac:dyDescent="0.25">
      <c r="A600" s="9" t="str">
        <f>IF(Data!B600="","",IF(COUNTIFS(Data!A$1:'Data'!A600,Data!A600)&lt;=1,0,1))</f>
        <v/>
      </c>
      <c r="B600" s="9"/>
      <c r="C600" s="23" t="str">
        <f>IF(Data!C600="","",(IF(ISNUMBER(MATCH("*@*.?*",Data!C600,0)),0,1)+IF(COUNTIFS(Data!C$1:'Data'!C600,Data!C600)&gt;1,1,0)))</f>
        <v/>
      </c>
      <c r="D600" s="9" t="str">
        <f>IF(Data!B600="","",IF(ISNUMBER(Data!D600),IF(AND(Data!D600&gt;999999999,Data!D600&lt;=9999999999),IF(COUNTIFS(Data!D$1:'Data'!D600,Data!D600)&lt;=1,0,1),1),1))</f>
        <v/>
      </c>
      <c r="E600" s="9" t="str">
        <f>IF(Data!B600="","",IF(ISNUMBER(MATCH(Data!E600,Data_Val!$A$2:$A$3,0)),0,1))</f>
        <v/>
      </c>
      <c r="F600" s="9" t="str">
        <f ca="1">IF(Data!B600="","",IF(ISNUMBER(Data!F600),IF(AND(Data!F600&gt;(TODAY()-(Data_Val!$H$3*365.25)),Data!F600&lt;=(TODAY()-(Data_Val!$H$2*365.25))),0,1),1))</f>
        <v/>
      </c>
      <c r="G600" s="15" t="str">
        <f>IF(Data!B600="","",IF(AND(Data!G600="",Data!H600&lt;&gt;""),1,IF(Data!#REF!&lt;&gt;"",0,IF(ISNUMBER(MATCH(Data!G600,Data_Val!$C$2:$C$5,0)),0,1))))</f>
        <v/>
      </c>
      <c r="H600" s="15" t="str">
        <f>IF(Data!B600="","",IF(AND(Data!G600&lt;&gt;"",Data!H600=""),1,IF(Data!#REF!&lt;&gt;"",0,IF(Data!G600="",1,IF(ISNUMBER(MATCH(Data!H600,Data_Val!$D$2:$D$35,0)),0,1)))))</f>
        <v/>
      </c>
      <c r="I600" s="15" t="str">
        <f>IF(Data!B600="","",IF(Data!G600&lt;&gt;"",0,IF(ISNUMBER(MATCH(Data!#REF!,Data_Val!$E$2:$E$12,0)),0,1)))</f>
        <v/>
      </c>
      <c r="J600" s="16" t="e">
        <f>IF(OR(Data!B600="",Data!#REF!=""),"",IF(Data!#REF!="",1,0))</f>
        <v>#REF!</v>
      </c>
      <c r="K600" s="16" t="e">
        <f>IF(OR(Data!B600="",Data!#REF!=""),"",IF(Data!#REF!="",1,0))</f>
        <v>#REF!</v>
      </c>
      <c r="L600" s="16" t="e">
        <f>IF(OR(Data!B600="",Data!#REF!=""),"",IF(ISNUMBER(Data!#REF!),IF(AND(Data!#REF!&gt;Data_Val!$G$2,Data!#REF!&lt;=Data_Val!$G$3),0,1),1))</f>
        <v>#REF!</v>
      </c>
      <c r="M600" s="9" t="e">
        <f>IF(OR(Data!B600="",Data!#REF!=""),"",IF(ISNUMBER(MATCH(Data!#REF!,Data_Val!$F$1:$F$38,0)),0,1))</f>
        <v>#REF!</v>
      </c>
      <c r="N600" s="9" t="e">
        <f>IF(OR(Data!B600="",Data!#REF!=""),"",IF(Data!#REF!="",1,0))</f>
        <v>#REF!</v>
      </c>
      <c r="O600" s="17" t="e">
        <f>IF(Data!#REF!="","",IF(Data!#REF!="",1,0))</f>
        <v>#REF!</v>
      </c>
      <c r="P600" s="17" t="e">
        <f>IF(Data!#REF!="","",IF(ISNUMBER(MATCH(Data!#REF!,Data_Val!$A$2:$A$3,0)),0,1))</f>
        <v>#REF!</v>
      </c>
      <c r="Q600" s="25" t="e">
        <f ca="1">IF(Data!#REF!="","",IF(ISNUMBER(Data!#REF!),IF(AND(Data!#REF!&gt;(TODAY()-(Data_Val!$J$3*365.25)),Data!#REF!&lt;=(TODAY()-(Data_Val!$J$2*365.25))),0,1),1))</f>
        <v>#REF!</v>
      </c>
      <c r="R600" s="17" t="e">
        <f>IF(Data!#REF!="","",IF(ISNUMBER(MATCH(Data!#REF!,Data_Val!$B$2:$B$15,0)),0,1))</f>
        <v>#REF!</v>
      </c>
      <c r="S600" s="11" t="str">
        <f>IF(Data!G600="","",IF(Data!G600=Data_Val!$C$2,IF(Data!M600="",0,1),0))</f>
        <v/>
      </c>
      <c r="T600" s="11" t="str">
        <f>IF(Data!M600="","",IF(ISNUMBER(MATCH(Data!N600,Data_Val!$A$2:$A$3,0)),0,1))</f>
        <v/>
      </c>
      <c r="U600" s="11" t="str">
        <f ca="1">IF(Data!M600="","",IF(ISNUMBER(Data!O600),IF(AND(Data!O600&gt;(TODAY()-(Data_Val!$K$3*365.25)),Data!O600&lt;=(TODAY()-(Data_Val!$K$2*365.25))),0,1),1))</f>
        <v/>
      </c>
      <c r="V600" s="12" t="str">
        <f>IF(Data!G600="","",IF(Data!G600=Data_Val!$C$2,IF(Data!P600="",0,1),0))</f>
        <v/>
      </c>
      <c r="W600" s="12" t="str">
        <f>IF(Data!P600="","",IF(ISNUMBER(MATCH(Data!Q600,Data_Val!$A$2:$A$3,0)),0,1))</f>
        <v/>
      </c>
      <c r="X600" s="26" t="str">
        <f ca="1">IF(Data!P600="","",IF(ISNUMBER(Data!R600),IF(AND(Data!R600&gt;(TODAY()-(Data_Val!$L$3*365.25)),Data!R600&lt;=(TODAY()-(Data_Val!$L$2*365.25))),0,1),1))</f>
        <v/>
      </c>
      <c r="Y600" s="13" t="str">
        <f>IF(Data!$G600="","",IF(Data!$G600=Data_Val!$C$2,IF(Data!S600="",0,1),0))</f>
        <v/>
      </c>
      <c r="Z600" s="13" t="str">
        <f>IF(Data!S600="","",IF(ISNUMBER(MATCH(Data!T600,Data_Val!$A$2:$A$3,0)),0,1))</f>
        <v/>
      </c>
      <c r="AA600" s="28" t="str">
        <f ca="1">IF(Data!S600="","",IF(ISNUMBER(Data!U600),IF(AND(Data!U600&gt;(TODAY()-(Data_Val!$L$3*365.25)),Data!U600&lt;=(TODAY()-(Data_Val!$L$2*365.25))),0,1),1))</f>
        <v/>
      </c>
      <c r="AB600" s="11"/>
      <c r="AC600" s="11" t="e">
        <f>IF(Data!#REF!="","",IF(ISNUMBER(MATCH(Data!#REF!,Data_Val!$A$2:$A$3,0)),0,1))</f>
        <v>#REF!</v>
      </c>
      <c r="AD600" s="11" t="e">
        <f ca="1">IF(Data!#REF!="","",IF(ISNUMBER(Data!#REF!),IF(AND(Data!#REF!&gt;(TODAY()-(Data_Val!$L$3*365.25)),Data!#REF!&lt;=(TODAY()-(Data_Val!$L$2*365.25))),0,1),1))</f>
        <v>#REF!</v>
      </c>
      <c r="AE600" s="11" t="e">
        <f>IF(Data!#REF!="","",IF(Data!$G600="",1,IF(ISNUMBER(MATCH(Data!#REF!,Data_Val!$D$2:$D$10,0)),0,1)))</f>
        <v>#REF!</v>
      </c>
      <c r="AF600" s="12"/>
      <c r="AG600" s="12" t="e">
        <f>IF(Data!#REF!="","",IF(ISNUMBER(MATCH(Data!#REF!,Data_Val!$A$2:$A$3,0)),0,1))</f>
        <v>#REF!</v>
      </c>
      <c r="AH600" s="26" t="e">
        <f ca="1">IF(Data!#REF!="","",IF(ISNUMBER(Data!#REF!),IF(AND(Data!#REF!&gt;(TODAY()-(Data_Val!$L$3*365.25)),Data!#REF!&lt;=(TODAY()-(Data_Val!$L$2*365.25))),0,1),1))</f>
        <v>#REF!</v>
      </c>
      <c r="AI600" s="12" t="e">
        <f>IF(Data!#REF!="","",IF(Data!$G600="",1,IF(ISNUMBER(MATCH(Data!#REF!,Data_Val!$D$2:$D$10,0)),0,1)))</f>
        <v>#REF!</v>
      </c>
      <c r="AJ600" s="17"/>
      <c r="AK600" s="17" t="e">
        <f>IF(Data!#REF!="","",IF(ISNUMBER(MATCH(Data!#REF!,Data_Val!$A$2:$A$3,0)),0,1))</f>
        <v>#REF!</v>
      </c>
      <c r="AL600" s="25" t="e">
        <f ca="1">IF(Data!#REF!="","",IF(ISNUMBER(Data!#REF!),IF(AND(Data!#REF!&gt;(TODAY()-(Data_Val!$L$3*365.25)),Data!#REF!&lt;=(TODAY()-(Data_Val!$L$2*365.25))),0,1),1))</f>
        <v>#REF!</v>
      </c>
      <c r="AM600" s="17" t="e">
        <f>IF(Data!#REF!="","",IF(Data!$G600="",1,IF(ISNUMBER(MATCH(Data!#REF!,Data_Val!$D$2:$D$10,0)),0,1)))</f>
        <v>#REF!</v>
      </c>
      <c r="AN600" s="13"/>
      <c r="AO600" s="28" t="e">
        <f ca="1">IF(Data!#REF!="","",IF(ISNUMBER(Data!#REF!),IF(AND(Data!#REF!&gt;(TODAY()-(Data_Val!$I$3*365.25)),Data!#REF!&lt;=(TODAY()-(Data_Val!$I$2*365.25))),0,1),1))</f>
        <v>#REF!</v>
      </c>
      <c r="AP600" s="13" t="e">
        <f>IF(Data!#REF!="","",IF(Data!$G600="",1,IF(ISNUMBER(MATCH(Data!#REF!,Data_Val!$D$2:$D$10,0)),0,1)))</f>
        <v>#REF!</v>
      </c>
      <c r="AQ600" s="17"/>
      <c r="AR600" s="30" t="e">
        <f ca="1">IF(Data!#REF!="","",IF(ISNUMBER(Data!#REF!),IF(AND(Data!#REF!&gt;(TODAY()-(Data_Val!$I$3*365.25)),Data!#REF!&lt;=(TODAY()-(Data_Val!$I$2*365.25))),0,1),1))</f>
        <v>#REF!</v>
      </c>
      <c r="AS600" s="31" t="e">
        <f>IF(Data!#REF!="","",IF(Data!$G600="",1,IF(ISNUMBER(MATCH(Data!#REF!,Data_Val!$D$2:$D$10,0)),0,1)))</f>
        <v>#REF!</v>
      </c>
      <c r="AT600" s="11"/>
      <c r="AU600" s="11" t="e">
        <f ca="1">IF(Data!#REF!="","",IF(ISNUMBER(Data!#REF!),IF(AND(Data!#REF!&gt;(TODAY()-(Data_Val!$I$3*365.25)),Data!#REF!&lt;=(TODAY()-(Data_Val!$I$2*365.25))),0,1),1))</f>
        <v>#REF!</v>
      </c>
      <c r="AV600" s="11" t="e">
        <f>IF(Data!#REF!="","",IF(Data!$G600="",1,IF(ISNUMBER(MATCH(Data!#REF!,Data_Val!$D$2:$D$10,0)),0,1)))</f>
        <v>#REF!</v>
      </c>
      <c r="AW600" s="12"/>
      <c r="AX600" s="26" t="e">
        <f ca="1">IF(Data!#REF!="","",IF(ISNUMBER(Data!#REF!),IF(AND(Data!#REF!&gt;(TODAY()-(Data_Val!$I$3*365.25)),Data!#REF!&lt;=(TODAY()-(Data_Val!$I$2*365.25))),0,1),1))</f>
        <v>#REF!</v>
      </c>
      <c r="AY600" s="12" t="e">
        <f>IF(Data!#REF!="","",IF(Data!$G600="",1,IF(ISNUMBER(MATCH(Data!#REF!,Data_Val!$D$2:$D$10,0)),0,1)))</f>
        <v>#REF!</v>
      </c>
      <c r="AZ600" s="11"/>
      <c r="BA600" s="19" t="e">
        <f ca="1">IF(Data!#REF!="","",IF(ISNUMBER(Data!#REF!),IF(AND(Data!#REF!&gt;(TODAY()-(Data_Val!$M$3*365.25)),Data!#REF!&lt;=(TODAY()-(Data_Val!$M$2*365.25))),0,1),1))</f>
        <v>#REF!</v>
      </c>
      <c r="BB600" s="11" t="e">
        <f>IF(Data!#REF!="","",IF(Data!$G600="",1,IF(ISNUMBER(MATCH(Data!#REF!,Data_Val!$D$2:$D$10,0)),0,1)))</f>
        <v>#REF!</v>
      </c>
      <c r="BC600" s="12"/>
      <c r="BD600" s="20" t="e">
        <f ca="1">IF(Data!#REF!="","",IF(ISNUMBER(Data!#REF!),IF(AND(Data!#REF!&gt;(TODAY()-(Data_Val!$M$3*365.25)),Data!#REF!&lt;=(TODAY()-(Data_Val!$M$2*365.25))),0,1),1))</f>
        <v>#REF!</v>
      </c>
      <c r="BE600" s="12" t="e">
        <f>IF(Data!#REF!="","",IF(Data!$G600="",1,IF(ISNUMBER(MATCH(Data!#REF!,Data_Val!$D$2:$D$10,0)),0,1)))</f>
        <v>#REF!</v>
      </c>
      <c r="BF600" s="17"/>
      <c r="BG600" s="18" t="e">
        <f ca="1">IF(Data!#REF!="","",IF(ISNUMBER(Data!#REF!),IF(AND(Data!#REF!&gt;(TODAY()-(Data_Val!$M$3*365.25)),Data!#REF!&lt;=(TODAY()-(Data_Val!$M$2*365.25))),0,1),1))</f>
        <v>#REF!</v>
      </c>
      <c r="BH600" s="29" t="e">
        <f>IF(Data!#REF!="","",IF(Data!$G600="",1,IF(ISNUMBER(MATCH(Data!#REF!,Data_Val!$D$2:$D$10,0)),0,1)))</f>
        <v>#REF!</v>
      </c>
      <c r="BI600" s="13"/>
      <c r="BJ600" s="21" t="e">
        <f ca="1">IF(Data!#REF!="","",IF(ISNUMBER(Data!#REF!),IF(AND(Data!#REF!&gt;(TODAY()-(Data_Val!$M$3*365.25)),Data!#REF!&lt;=(TODAY()-(Data_Val!$M$2*365.25))),0,1),1))</f>
        <v>#REF!</v>
      </c>
      <c r="BK600" s="13" t="e">
        <f>IF(Data!#REF!="","",IF(Data!$G600="",1,IF(ISNUMBER(MATCH(Data!#REF!,Data_Val!$D$2:$D$10,0)),0,1)))</f>
        <v>#REF!</v>
      </c>
    </row>
    <row r="601" spans="1:63" x14ac:dyDescent="0.25">
      <c r="A601" s="9" t="str">
        <f>IF(Data!B601="","",IF(COUNTIFS(Data!A$1:'Data'!A601,Data!A601)&lt;=1,0,1))</f>
        <v/>
      </c>
      <c r="B601" s="9"/>
      <c r="C601" s="23" t="str">
        <f>IF(Data!C601="","",(IF(ISNUMBER(MATCH("*@*.?*",Data!C601,0)),0,1)+IF(COUNTIFS(Data!C$1:'Data'!C601,Data!C601)&gt;1,1,0)))</f>
        <v/>
      </c>
      <c r="D601" s="9" t="str">
        <f>IF(Data!B601="","",IF(ISNUMBER(Data!D601),IF(AND(Data!D601&gt;999999999,Data!D601&lt;=9999999999),IF(COUNTIFS(Data!D$1:'Data'!D601,Data!D601)&lt;=1,0,1),1),1))</f>
        <v/>
      </c>
      <c r="E601" s="9" t="str">
        <f>IF(Data!B601="","",IF(ISNUMBER(MATCH(Data!E601,Data_Val!$A$2:$A$3,0)),0,1))</f>
        <v/>
      </c>
      <c r="F601" s="9" t="str">
        <f ca="1">IF(Data!B601="","",IF(ISNUMBER(Data!F601),IF(AND(Data!F601&gt;(TODAY()-(Data_Val!$H$3*365.25)),Data!F601&lt;=(TODAY()-(Data_Val!$H$2*365.25))),0,1),1))</f>
        <v/>
      </c>
      <c r="G601" s="15" t="str">
        <f>IF(Data!B601="","",IF(AND(Data!G601="",Data!H601&lt;&gt;""),1,IF(Data!#REF!&lt;&gt;"",0,IF(ISNUMBER(MATCH(Data!G601,Data_Val!$C$2:$C$5,0)),0,1))))</f>
        <v/>
      </c>
      <c r="H601" s="15" t="str">
        <f>IF(Data!B601="","",IF(AND(Data!G601&lt;&gt;"",Data!H601=""),1,IF(Data!#REF!&lt;&gt;"",0,IF(Data!G601="",1,IF(ISNUMBER(MATCH(Data!H601,Data_Val!$D$2:$D$35,0)),0,1)))))</f>
        <v/>
      </c>
      <c r="I601" s="15" t="str">
        <f>IF(Data!B601="","",IF(Data!G601&lt;&gt;"",0,IF(ISNUMBER(MATCH(Data!#REF!,Data_Val!$E$2:$E$12,0)),0,1)))</f>
        <v/>
      </c>
      <c r="J601" s="16" t="e">
        <f>IF(OR(Data!B601="",Data!#REF!=""),"",IF(Data!#REF!="",1,0))</f>
        <v>#REF!</v>
      </c>
      <c r="K601" s="16" t="e">
        <f>IF(OR(Data!B601="",Data!#REF!=""),"",IF(Data!#REF!="",1,0))</f>
        <v>#REF!</v>
      </c>
      <c r="L601" s="16" t="e">
        <f>IF(OR(Data!B601="",Data!#REF!=""),"",IF(ISNUMBER(Data!#REF!),IF(AND(Data!#REF!&gt;Data_Val!$G$2,Data!#REF!&lt;=Data_Val!$G$3),0,1),1))</f>
        <v>#REF!</v>
      </c>
      <c r="M601" s="9" t="e">
        <f>IF(OR(Data!B601="",Data!#REF!=""),"",IF(ISNUMBER(MATCH(Data!#REF!,Data_Val!$F$1:$F$38,0)),0,1))</f>
        <v>#REF!</v>
      </c>
      <c r="N601" s="9" t="e">
        <f>IF(OR(Data!B601="",Data!#REF!=""),"",IF(Data!#REF!="",1,0))</f>
        <v>#REF!</v>
      </c>
      <c r="O601" s="17" t="e">
        <f>IF(Data!#REF!="","",IF(Data!#REF!="",1,0))</f>
        <v>#REF!</v>
      </c>
      <c r="P601" s="17" t="e">
        <f>IF(Data!#REF!="","",IF(ISNUMBER(MATCH(Data!#REF!,Data_Val!$A$2:$A$3,0)),0,1))</f>
        <v>#REF!</v>
      </c>
      <c r="Q601" s="25" t="e">
        <f ca="1">IF(Data!#REF!="","",IF(ISNUMBER(Data!#REF!),IF(AND(Data!#REF!&gt;(TODAY()-(Data_Val!$J$3*365.25)),Data!#REF!&lt;=(TODAY()-(Data_Val!$J$2*365.25))),0,1),1))</f>
        <v>#REF!</v>
      </c>
      <c r="R601" s="17" t="e">
        <f>IF(Data!#REF!="","",IF(ISNUMBER(MATCH(Data!#REF!,Data_Val!$B$2:$B$15,0)),0,1))</f>
        <v>#REF!</v>
      </c>
      <c r="S601" s="11" t="str">
        <f>IF(Data!G601="","",IF(Data!G601=Data_Val!$C$2,IF(Data!M601="",0,1),0))</f>
        <v/>
      </c>
      <c r="T601" s="11" t="str">
        <f>IF(Data!M601="","",IF(ISNUMBER(MATCH(Data!N601,Data_Val!$A$2:$A$3,0)),0,1))</f>
        <v/>
      </c>
      <c r="U601" s="11" t="str">
        <f ca="1">IF(Data!M601="","",IF(ISNUMBER(Data!O601),IF(AND(Data!O601&gt;(TODAY()-(Data_Val!$K$3*365.25)),Data!O601&lt;=(TODAY()-(Data_Val!$K$2*365.25))),0,1),1))</f>
        <v/>
      </c>
      <c r="V601" s="12" t="str">
        <f>IF(Data!G601="","",IF(Data!G601=Data_Val!$C$2,IF(Data!P601="",0,1),0))</f>
        <v/>
      </c>
      <c r="W601" s="12" t="str">
        <f>IF(Data!P601="","",IF(ISNUMBER(MATCH(Data!Q601,Data_Val!$A$2:$A$3,0)),0,1))</f>
        <v/>
      </c>
      <c r="X601" s="26" t="str">
        <f ca="1">IF(Data!P601="","",IF(ISNUMBER(Data!R601),IF(AND(Data!R601&gt;(TODAY()-(Data_Val!$L$3*365.25)),Data!R601&lt;=(TODAY()-(Data_Val!$L$2*365.25))),0,1),1))</f>
        <v/>
      </c>
      <c r="Y601" s="13" t="str">
        <f>IF(Data!$G601="","",IF(Data!$G601=Data_Val!$C$2,IF(Data!S601="",0,1),0))</f>
        <v/>
      </c>
      <c r="Z601" s="13" t="str">
        <f>IF(Data!S601="","",IF(ISNUMBER(MATCH(Data!T601,Data_Val!$A$2:$A$3,0)),0,1))</f>
        <v/>
      </c>
      <c r="AA601" s="28" t="str">
        <f ca="1">IF(Data!S601="","",IF(ISNUMBER(Data!U601),IF(AND(Data!U601&gt;(TODAY()-(Data_Val!$L$3*365.25)),Data!U601&lt;=(TODAY()-(Data_Val!$L$2*365.25))),0,1),1))</f>
        <v/>
      </c>
      <c r="AB601" s="11"/>
      <c r="AC601" s="11" t="e">
        <f>IF(Data!#REF!="","",IF(ISNUMBER(MATCH(Data!#REF!,Data_Val!$A$2:$A$3,0)),0,1))</f>
        <v>#REF!</v>
      </c>
      <c r="AD601" s="11" t="e">
        <f ca="1">IF(Data!#REF!="","",IF(ISNUMBER(Data!#REF!),IF(AND(Data!#REF!&gt;(TODAY()-(Data_Val!$L$3*365.25)),Data!#REF!&lt;=(TODAY()-(Data_Val!$L$2*365.25))),0,1),1))</f>
        <v>#REF!</v>
      </c>
      <c r="AE601" s="11" t="e">
        <f>IF(Data!#REF!="","",IF(Data!$G601="",1,IF(ISNUMBER(MATCH(Data!#REF!,Data_Val!$D$2:$D$10,0)),0,1)))</f>
        <v>#REF!</v>
      </c>
      <c r="AF601" s="12"/>
      <c r="AG601" s="12" t="e">
        <f>IF(Data!#REF!="","",IF(ISNUMBER(MATCH(Data!#REF!,Data_Val!$A$2:$A$3,0)),0,1))</f>
        <v>#REF!</v>
      </c>
      <c r="AH601" s="26" t="e">
        <f ca="1">IF(Data!#REF!="","",IF(ISNUMBER(Data!#REF!),IF(AND(Data!#REF!&gt;(TODAY()-(Data_Val!$L$3*365.25)),Data!#REF!&lt;=(TODAY()-(Data_Val!$L$2*365.25))),0,1),1))</f>
        <v>#REF!</v>
      </c>
      <c r="AI601" s="12" t="e">
        <f>IF(Data!#REF!="","",IF(Data!$G601="",1,IF(ISNUMBER(MATCH(Data!#REF!,Data_Val!$D$2:$D$10,0)),0,1)))</f>
        <v>#REF!</v>
      </c>
      <c r="AJ601" s="17"/>
      <c r="AK601" s="17" t="e">
        <f>IF(Data!#REF!="","",IF(ISNUMBER(MATCH(Data!#REF!,Data_Val!$A$2:$A$3,0)),0,1))</f>
        <v>#REF!</v>
      </c>
      <c r="AL601" s="25" t="e">
        <f ca="1">IF(Data!#REF!="","",IF(ISNUMBER(Data!#REF!),IF(AND(Data!#REF!&gt;(TODAY()-(Data_Val!$L$3*365.25)),Data!#REF!&lt;=(TODAY()-(Data_Val!$L$2*365.25))),0,1),1))</f>
        <v>#REF!</v>
      </c>
      <c r="AM601" s="17" t="e">
        <f>IF(Data!#REF!="","",IF(Data!$G601="",1,IF(ISNUMBER(MATCH(Data!#REF!,Data_Val!$D$2:$D$10,0)),0,1)))</f>
        <v>#REF!</v>
      </c>
      <c r="AN601" s="13"/>
      <c r="AO601" s="28" t="e">
        <f ca="1">IF(Data!#REF!="","",IF(ISNUMBER(Data!#REF!),IF(AND(Data!#REF!&gt;(TODAY()-(Data_Val!$I$3*365.25)),Data!#REF!&lt;=(TODAY()-(Data_Val!$I$2*365.25))),0,1),1))</f>
        <v>#REF!</v>
      </c>
      <c r="AP601" s="13" t="e">
        <f>IF(Data!#REF!="","",IF(Data!$G601="",1,IF(ISNUMBER(MATCH(Data!#REF!,Data_Val!$D$2:$D$10,0)),0,1)))</f>
        <v>#REF!</v>
      </c>
      <c r="AQ601" s="17"/>
      <c r="AR601" s="30" t="e">
        <f ca="1">IF(Data!#REF!="","",IF(ISNUMBER(Data!#REF!),IF(AND(Data!#REF!&gt;(TODAY()-(Data_Val!$I$3*365.25)),Data!#REF!&lt;=(TODAY()-(Data_Val!$I$2*365.25))),0,1),1))</f>
        <v>#REF!</v>
      </c>
      <c r="AS601" s="31" t="e">
        <f>IF(Data!#REF!="","",IF(Data!$G601="",1,IF(ISNUMBER(MATCH(Data!#REF!,Data_Val!$D$2:$D$10,0)),0,1)))</f>
        <v>#REF!</v>
      </c>
      <c r="AT601" s="11"/>
      <c r="AU601" s="11" t="e">
        <f ca="1">IF(Data!#REF!="","",IF(ISNUMBER(Data!#REF!),IF(AND(Data!#REF!&gt;(TODAY()-(Data_Val!$I$3*365.25)),Data!#REF!&lt;=(TODAY()-(Data_Val!$I$2*365.25))),0,1),1))</f>
        <v>#REF!</v>
      </c>
      <c r="AV601" s="11" t="e">
        <f>IF(Data!#REF!="","",IF(Data!$G601="",1,IF(ISNUMBER(MATCH(Data!#REF!,Data_Val!$D$2:$D$10,0)),0,1)))</f>
        <v>#REF!</v>
      </c>
      <c r="AW601" s="12"/>
      <c r="AX601" s="26" t="e">
        <f ca="1">IF(Data!#REF!="","",IF(ISNUMBER(Data!#REF!),IF(AND(Data!#REF!&gt;(TODAY()-(Data_Val!$I$3*365.25)),Data!#REF!&lt;=(TODAY()-(Data_Val!$I$2*365.25))),0,1),1))</f>
        <v>#REF!</v>
      </c>
      <c r="AY601" s="12" t="e">
        <f>IF(Data!#REF!="","",IF(Data!$G601="",1,IF(ISNUMBER(MATCH(Data!#REF!,Data_Val!$D$2:$D$10,0)),0,1)))</f>
        <v>#REF!</v>
      </c>
      <c r="AZ601" s="11"/>
      <c r="BA601" s="19" t="e">
        <f ca="1">IF(Data!#REF!="","",IF(ISNUMBER(Data!#REF!),IF(AND(Data!#REF!&gt;(TODAY()-(Data_Val!$M$3*365.25)),Data!#REF!&lt;=(TODAY()-(Data_Val!$M$2*365.25))),0,1),1))</f>
        <v>#REF!</v>
      </c>
      <c r="BB601" s="11" t="e">
        <f>IF(Data!#REF!="","",IF(Data!$G601="",1,IF(ISNUMBER(MATCH(Data!#REF!,Data_Val!$D$2:$D$10,0)),0,1)))</f>
        <v>#REF!</v>
      </c>
      <c r="BC601" s="12"/>
      <c r="BD601" s="20" t="e">
        <f ca="1">IF(Data!#REF!="","",IF(ISNUMBER(Data!#REF!),IF(AND(Data!#REF!&gt;(TODAY()-(Data_Val!$M$3*365.25)),Data!#REF!&lt;=(TODAY()-(Data_Val!$M$2*365.25))),0,1),1))</f>
        <v>#REF!</v>
      </c>
      <c r="BE601" s="12" t="e">
        <f>IF(Data!#REF!="","",IF(Data!$G601="",1,IF(ISNUMBER(MATCH(Data!#REF!,Data_Val!$D$2:$D$10,0)),0,1)))</f>
        <v>#REF!</v>
      </c>
      <c r="BF601" s="17"/>
      <c r="BG601" s="18" t="e">
        <f ca="1">IF(Data!#REF!="","",IF(ISNUMBER(Data!#REF!),IF(AND(Data!#REF!&gt;(TODAY()-(Data_Val!$M$3*365.25)),Data!#REF!&lt;=(TODAY()-(Data_Val!$M$2*365.25))),0,1),1))</f>
        <v>#REF!</v>
      </c>
      <c r="BH601" s="29" t="e">
        <f>IF(Data!#REF!="","",IF(Data!$G601="",1,IF(ISNUMBER(MATCH(Data!#REF!,Data_Val!$D$2:$D$10,0)),0,1)))</f>
        <v>#REF!</v>
      </c>
      <c r="BI601" s="13"/>
      <c r="BJ601" s="21" t="e">
        <f ca="1">IF(Data!#REF!="","",IF(ISNUMBER(Data!#REF!),IF(AND(Data!#REF!&gt;(TODAY()-(Data_Val!$M$3*365.25)),Data!#REF!&lt;=(TODAY()-(Data_Val!$M$2*365.25))),0,1),1))</f>
        <v>#REF!</v>
      </c>
      <c r="BK601" s="13" t="e">
        <f>IF(Data!#REF!="","",IF(Data!$G601="",1,IF(ISNUMBER(MATCH(Data!#REF!,Data_Val!$D$2:$D$10,0)),0,1)))</f>
        <v>#REF!</v>
      </c>
    </row>
    <row r="602" spans="1:63" x14ac:dyDescent="0.25">
      <c r="A602" s="9" t="str">
        <f>IF(Data!B602="","",IF(COUNTIFS(Data!A$1:'Data'!A602,Data!A602)&lt;=1,0,1))</f>
        <v/>
      </c>
      <c r="B602" s="9"/>
      <c r="C602" s="23" t="str">
        <f>IF(Data!C602="","",(IF(ISNUMBER(MATCH("*@*.?*",Data!C602,0)),0,1)+IF(COUNTIFS(Data!C$1:'Data'!C602,Data!C602)&gt;1,1,0)))</f>
        <v/>
      </c>
      <c r="D602" s="9" t="str">
        <f>IF(Data!B602="","",IF(ISNUMBER(Data!D602),IF(AND(Data!D602&gt;999999999,Data!D602&lt;=9999999999),IF(COUNTIFS(Data!D$1:'Data'!D602,Data!D602)&lt;=1,0,1),1),1))</f>
        <v/>
      </c>
      <c r="E602" s="9" t="str">
        <f>IF(Data!B602="","",IF(ISNUMBER(MATCH(Data!E602,Data_Val!$A$2:$A$3,0)),0,1))</f>
        <v/>
      </c>
      <c r="F602" s="9" t="str">
        <f ca="1">IF(Data!B602="","",IF(ISNUMBER(Data!F602),IF(AND(Data!F602&gt;(TODAY()-(Data_Val!$H$3*365.25)),Data!F602&lt;=(TODAY()-(Data_Val!$H$2*365.25))),0,1),1))</f>
        <v/>
      </c>
      <c r="G602" s="15" t="str">
        <f>IF(Data!B602="","",IF(AND(Data!G602="",Data!H602&lt;&gt;""),1,IF(Data!#REF!&lt;&gt;"",0,IF(ISNUMBER(MATCH(Data!G602,Data_Val!$C$2:$C$5,0)),0,1))))</f>
        <v/>
      </c>
      <c r="H602" s="15" t="str">
        <f>IF(Data!B602="","",IF(AND(Data!G602&lt;&gt;"",Data!H602=""),1,IF(Data!#REF!&lt;&gt;"",0,IF(Data!G602="",1,IF(ISNUMBER(MATCH(Data!H602,Data_Val!$D$2:$D$35,0)),0,1)))))</f>
        <v/>
      </c>
      <c r="I602" s="15" t="str">
        <f>IF(Data!B602="","",IF(Data!G602&lt;&gt;"",0,IF(ISNUMBER(MATCH(Data!#REF!,Data_Val!$E$2:$E$12,0)),0,1)))</f>
        <v/>
      </c>
      <c r="J602" s="16" t="e">
        <f>IF(OR(Data!B602="",Data!#REF!=""),"",IF(Data!#REF!="",1,0))</f>
        <v>#REF!</v>
      </c>
      <c r="K602" s="16" t="e">
        <f>IF(OR(Data!B602="",Data!#REF!=""),"",IF(Data!#REF!="",1,0))</f>
        <v>#REF!</v>
      </c>
      <c r="L602" s="16" t="e">
        <f>IF(OR(Data!B602="",Data!#REF!=""),"",IF(ISNUMBER(Data!#REF!),IF(AND(Data!#REF!&gt;Data_Val!$G$2,Data!#REF!&lt;=Data_Val!$G$3),0,1),1))</f>
        <v>#REF!</v>
      </c>
      <c r="M602" s="9" t="e">
        <f>IF(OR(Data!B602="",Data!#REF!=""),"",IF(ISNUMBER(MATCH(Data!#REF!,Data_Val!$F$1:$F$38,0)),0,1))</f>
        <v>#REF!</v>
      </c>
      <c r="N602" s="9" t="e">
        <f>IF(OR(Data!B602="",Data!#REF!=""),"",IF(Data!#REF!="",1,0))</f>
        <v>#REF!</v>
      </c>
      <c r="O602" s="17" t="e">
        <f>IF(Data!#REF!="","",IF(Data!#REF!="",1,0))</f>
        <v>#REF!</v>
      </c>
      <c r="P602" s="17" t="e">
        <f>IF(Data!#REF!="","",IF(ISNUMBER(MATCH(Data!#REF!,Data_Val!$A$2:$A$3,0)),0,1))</f>
        <v>#REF!</v>
      </c>
      <c r="Q602" s="25" t="e">
        <f ca="1">IF(Data!#REF!="","",IF(ISNUMBER(Data!#REF!),IF(AND(Data!#REF!&gt;(TODAY()-(Data_Val!$J$3*365.25)),Data!#REF!&lt;=(TODAY()-(Data_Val!$J$2*365.25))),0,1),1))</f>
        <v>#REF!</v>
      </c>
      <c r="R602" s="17" t="e">
        <f>IF(Data!#REF!="","",IF(ISNUMBER(MATCH(Data!#REF!,Data_Val!$B$2:$B$15,0)),0,1))</f>
        <v>#REF!</v>
      </c>
      <c r="S602" s="11" t="str">
        <f>IF(Data!G602="","",IF(Data!G602=Data_Val!$C$2,IF(Data!M602="",0,1),0))</f>
        <v/>
      </c>
      <c r="T602" s="11" t="str">
        <f>IF(Data!M602="","",IF(ISNUMBER(MATCH(Data!N602,Data_Val!$A$2:$A$3,0)),0,1))</f>
        <v/>
      </c>
      <c r="U602" s="11" t="str">
        <f ca="1">IF(Data!M602="","",IF(ISNUMBER(Data!O602),IF(AND(Data!O602&gt;(TODAY()-(Data_Val!$K$3*365.25)),Data!O602&lt;=(TODAY()-(Data_Val!$K$2*365.25))),0,1),1))</f>
        <v/>
      </c>
      <c r="V602" s="12" t="str">
        <f>IF(Data!G602="","",IF(Data!G602=Data_Val!$C$2,IF(Data!P602="",0,1),0))</f>
        <v/>
      </c>
      <c r="W602" s="12" t="str">
        <f>IF(Data!P602="","",IF(ISNUMBER(MATCH(Data!Q602,Data_Val!$A$2:$A$3,0)),0,1))</f>
        <v/>
      </c>
      <c r="X602" s="26" t="str">
        <f ca="1">IF(Data!P602="","",IF(ISNUMBER(Data!R602),IF(AND(Data!R602&gt;(TODAY()-(Data_Val!$L$3*365.25)),Data!R602&lt;=(TODAY()-(Data_Val!$L$2*365.25))),0,1),1))</f>
        <v/>
      </c>
      <c r="Y602" s="13" t="str">
        <f>IF(Data!$G602="","",IF(Data!$G602=Data_Val!$C$2,IF(Data!S602="",0,1),0))</f>
        <v/>
      </c>
      <c r="Z602" s="13" t="str">
        <f>IF(Data!S602="","",IF(ISNUMBER(MATCH(Data!T602,Data_Val!$A$2:$A$3,0)),0,1))</f>
        <v/>
      </c>
      <c r="AA602" s="28" t="str">
        <f ca="1">IF(Data!S602="","",IF(ISNUMBER(Data!U602),IF(AND(Data!U602&gt;(TODAY()-(Data_Val!$L$3*365.25)),Data!U602&lt;=(TODAY()-(Data_Val!$L$2*365.25))),0,1),1))</f>
        <v/>
      </c>
      <c r="AB602" s="11"/>
      <c r="AC602" s="11" t="e">
        <f>IF(Data!#REF!="","",IF(ISNUMBER(MATCH(Data!#REF!,Data_Val!$A$2:$A$3,0)),0,1))</f>
        <v>#REF!</v>
      </c>
      <c r="AD602" s="11" t="e">
        <f ca="1">IF(Data!#REF!="","",IF(ISNUMBER(Data!#REF!),IF(AND(Data!#REF!&gt;(TODAY()-(Data_Val!$L$3*365.25)),Data!#REF!&lt;=(TODAY()-(Data_Val!$L$2*365.25))),0,1),1))</f>
        <v>#REF!</v>
      </c>
      <c r="AE602" s="11" t="e">
        <f>IF(Data!#REF!="","",IF(Data!$G602="",1,IF(ISNUMBER(MATCH(Data!#REF!,Data_Val!$D$2:$D$10,0)),0,1)))</f>
        <v>#REF!</v>
      </c>
      <c r="AF602" s="12"/>
      <c r="AG602" s="12" t="e">
        <f>IF(Data!#REF!="","",IF(ISNUMBER(MATCH(Data!#REF!,Data_Val!$A$2:$A$3,0)),0,1))</f>
        <v>#REF!</v>
      </c>
      <c r="AH602" s="26" t="e">
        <f ca="1">IF(Data!#REF!="","",IF(ISNUMBER(Data!#REF!),IF(AND(Data!#REF!&gt;(TODAY()-(Data_Val!$L$3*365.25)),Data!#REF!&lt;=(TODAY()-(Data_Val!$L$2*365.25))),0,1),1))</f>
        <v>#REF!</v>
      </c>
      <c r="AI602" s="12" t="e">
        <f>IF(Data!#REF!="","",IF(Data!$G602="",1,IF(ISNUMBER(MATCH(Data!#REF!,Data_Val!$D$2:$D$10,0)),0,1)))</f>
        <v>#REF!</v>
      </c>
      <c r="AJ602" s="17"/>
      <c r="AK602" s="17" t="e">
        <f>IF(Data!#REF!="","",IF(ISNUMBER(MATCH(Data!#REF!,Data_Val!$A$2:$A$3,0)),0,1))</f>
        <v>#REF!</v>
      </c>
      <c r="AL602" s="25" t="e">
        <f ca="1">IF(Data!#REF!="","",IF(ISNUMBER(Data!#REF!),IF(AND(Data!#REF!&gt;(TODAY()-(Data_Val!$L$3*365.25)),Data!#REF!&lt;=(TODAY()-(Data_Val!$L$2*365.25))),0,1),1))</f>
        <v>#REF!</v>
      </c>
      <c r="AM602" s="17" t="e">
        <f>IF(Data!#REF!="","",IF(Data!$G602="",1,IF(ISNUMBER(MATCH(Data!#REF!,Data_Val!$D$2:$D$10,0)),0,1)))</f>
        <v>#REF!</v>
      </c>
      <c r="AN602" s="13"/>
      <c r="AO602" s="28" t="e">
        <f ca="1">IF(Data!#REF!="","",IF(ISNUMBER(Data!#REF!),IF(AND(Data!#REF!&gt;(TODAY()-(Data_Val!$I$3*365.25)),Data!#REF!&lt;=(TODAY()-(Data_Val!$I$2*365.25))),0,1),1))</f>
        <v>#REF!</v>
      </c>
      <c r="AP602" s="13" t="e">
        <f>IF(Data!#REF!="","",IF(Data!$G602="",1,IF(ISNUMBER(MATCH(Data!#REF!,Data_Val!$D$2:$D$10,0)),0,1)))</f>
        <v>#REF!</v>
      </c>
      <c r="AQ602" s="17"/>
      <c r="AR602" s="30" t="e">
        <f ca="1">IF(Data!#REF!="","",IF(ISNUMBER(Data!#REF!),IF(AND(Data!#REF!&gt;(TODAY()-(Data_Val!$I$3*365.25)),Data!#REF!&lt;=(TODAY()-(Data_Val!$I$2*365.25))),0,1),1))</f>
        <v>#REF!</v>
      </c>
      <c r="AS602" s="31" t="e">
        <f>IF(Data!#REF!="","",IF(Data!$G602="",1,IF(ISNUMBER(MATCH(Data!#REF!,Data_Val!$D$2:$D$10,0)),0,1)))</f>
        <v>#REF!</v>
      </c>
      <c r="AT602" s="11"/>
      <c r="AU602" s="11" t="e">
        <f ca="1">IF(Data!#REF!="","",IF(ISNUMBER(Data!#REF!),IF(AND(Data!#REF!&gt;(TODAY()-(Data_Val!$I$3*365.25)),Data!#REF!&lt;=(TODAY()-(Data_Val!$I$2*365.25))),0,1),1))</f>
        <v>#REF!</v>
      </c>
      <c r="AV602" s="11" t="e">
        <f>IF(Data!#REF!="","",IF(Data!$G602="",1,IF(ISNUMBER(MATCH(Data!#REF!,Data_Val!$D$2:$D$10,0)),0,1)))</f>
        <v>#REF!</v>
      </c>
      <c r="AW602" s="12"/>
      <c r="AX602" s="26" t="e">
        <f ca="1">IF(Data!#REF!="","",IF(ISNUMBER(Data!#REF!),IF(AND(Data!#REF!&gt;(TODAY()-(Data_Val!$I$3*365.25)),Data!#REF!&lt;=(TODAY()-(Data_Val!$I$2*365.25))),0,1),1))</f>
        <v>#REF!</v>
      </c>
      <c r="AY602" s="12" t="e">
        <f>IF(Data!#REF!="","",IF(Data!$G602="",1,IF(ISNUMBER(MATCH(Data!#REF!,Data_Val!$D$2:$D$10,0)),0,1)))</f>
        <v>#REF!</v>
      </c>
      <c r="AZ602" s="11"/>
      <c r="BA602" s="19" t="e">
        <f ca="1">IF(Data!#REF!="","",IF(ISNUMBER(Data!#REF!),IF(AND(Data!#REF!&gt;(TODAY()-(Data_Val!$M$3*365.25)),Data!#REF!&lt;=(TODAY()-(Data_Val!$M$2*365.25))),0,1),1))</f>
        <v>#REF!</v>
      </c>
      <c r="BB602" s="11" t="e">
        <f>IF(Data!#REF!="","",IF(Data!$G602="",1,IF(ISNUMBER(MATCH(Data!#REF!,Data_Val!$D$2:$D$10,0)),0,1)))</f>
        <v>#REF!</v>
      </c>
      <c r="BC602" s="12"/>
      <c r="BD602" s="20" t="e">
        <f ca="1">IF(Data!#REF!="","",IF(ISNUMBER(Data!#REF!),IF(AND(Data!#REF!&gt;(TODAY()-(Data_Val!$M$3*365.25)),Data!#REF!&lt;=(TODAY()-(Data_Val!$M$2*365.25))),0,1),1))</f>
        <v>#REF!</v>
      </c>
      <c r="BE602" s="12" t="e">
        <f>IF(Data!#REF!="","",IF(Data!$G602="",1,IF(ISNUMBER(MATCH(Data!#REF!,Data_Val!$D$2:$D$10,0)),0,1)))</f>
        <v>#REF!</v>
      </c>
      <c r="BF602" s="17"/>
      <c r="BG602" s="18" t="e">
        <f ca="1">IF(Data!#REF!="","",IF(ISNUMBER(Data!#REF!),IF(AND(Data!#REF!&gt;(TODAY()-(Data_Val!$M$3*365.25)),Data!#REF!&lt;=(TODAY()-(Data_Val!$M$2*365.25))),0,1),1))</f>
        <v>#REF!</v>
      </c>
      <c r="BH602" s="29" t="e">
        <f>IF(Data!#REF!="","",IF(Data!$G602="",1,IF(ISNUMBER(MATCH(Data!#REF!,Data_Val!$D$2:$D$10,0)),0,1)))</f>
        <v>#REF!</v>
      </c>
      <c r="BI602" s="13"/>
      <c r="BJ602" s="21" t="e">
        <f ca="1">IF(Data!#REF!="","",IF(ISNUMBER(Data!#REF!),IF(AND(Data!#REF!&gt;(TODAY()-(Data_Val!$M$3*365.25)),Data!#REF!&lt;=(TODAY()-(Data_Val!$M$2*365.25))),0,1),1))</f>
        <v>#REF!</v>
      </c>
      <c r="BK602" s="13" t="e">
        <f>IF(Data!#REF!="","",IF(Data!$G602="",1,IF(ISNUMBER(MATCH(Data!#REF!,Data_Val!$D$2:$D$10,0)),0,1)))</f>
        <v>#REF!</v>
      </c>
    </row>
    <row r="603" spans="1:63" x14ac:dyDescent="0.25">
      <c r="A603" s="9" t="str">
        <f>IF(Data!B603="","",IF(COUNTIFS(Data!A$1:'Data'!A603,Data!A603)&lt;=1,0,1))</f>
        <v/>
      </c>
      <c r="B603" s="9"/>
      <c r="C603" s="23" t="str">
        <f>IF(Data!C603="","",(IF(ISNUMBER(MATCH("*@*.?*",Data!C603,0)),0,1)+IF(COUNTIFS(Data!C$1:'Data'!C603,Data!C603)&gt;1,1,0)))</f>
        <v/>
      </c>
      <c r="D603" s="9" t="str">
        <f>IF(Data!B603="","",IF(ISNUMBER(Data!D603),IF(AND(Data!D603&gt;999999999,Data!D603&lt;=9999999999),IF(COUNTIFS(Data!D$1:'Data'!D603,Data!D603)&lt;=1,0,1),1),1))</f>
        <v/>
      </c>
      <c r="E603" s="9" t="str">
        <f>IF(Data!B603="","",IF(ISNUMBER(MATCH(Data!E603,Data_Val!$A$2:$A$3,0)),0,1))</f>
        <v/>
      </c>
      <c r="F603" s="9" t="str">
        <f ca="1">IF(Data!B603="","",IF(ISNUMBER(Data!F603),IF(AND(Data!F603&gt;(TODAY()-(Data_Val!$H$3*365.25)),Data!F603&lt;=(TODAY()-(Data_Val!$H$2*365.25))),0,1),1))</f>
        <v/>
      </c>
      <c r="G603" s="15" t="str">
        <f>IF(Data!B603="","",IF(AND(Data!G603="",Data!H603&lt;&gt;""),1,IF(Data!#REF!&lt;&gt;"",0,IF(ISNUMBER(MATCH(Data!G603,Data_Val!$C$2:$C$5,0)),0,1))))</f>
        <v/>
      </c>
      <c r="H603" s="15" t="str">
        <f>IF(Data!B603="","",IF(AND(Data!G603&lt;&gt;"",Data!H603=""),1,IF(Data!#REF!&lt;&gt;"",0,IF(Data!G603="",1,IF(ISNUMBER(MATCH(Data!H603,Data_Val!$D$2:$D$35,0)),0,1)))))</f>
        <v/>
      </c>
      <c r="I603" s="15" t="str">
        <f>IF(Data!B603="","",IF(Data!G603&lt;&gt;"",0,IF(ISNUMBER(MATCH(Data!#REF!,Data_Val!$E$2:$E$12,0)),0,1)))</f>
        <v/>
      </c>
      <c r="J603" s="16" t="e">
        <f>IF(OR(Data!B603="",Data!#REF!=""),"",IF(Data!#REF!="",1,0))</f>
        <v>#REF!</v>
      </c>
      <c r="K603" s="16" t="e">
        <f>IF(OR(Data!B603="",Data!#REF!=""),"",IF(Data!#REF!="",1,0))</f>
        <v>#REF!</v>
      </c>
      <c r="L603" s="16" t="e">
        <f>IF(OR(Data!B603="",Data!#REF!=""),"",IF(ISNUMBER(Data!#REF!),IF(AND(Data!#REF!&gt;Data_Val!$G$2,Data!#REF!&lt;=Data_Val!$G$3),0,1),1))</f>
        <v>#REF!</v>
      </c>
      <c r="M603" s="9" t="e">
        <f>IF(OR(Data!B603="",Data!#REF!=""),"",IF(ISNUMBER(MATCH(Data!#REF!,Data_Val!$F$1:$F$38,0)),0,1))</f>
        <v>#REF!</v>
      </c>
      <c r="N603" s="9" t="e">
        <f>IF(OR(Data!B603="",Data!#REF!=""),"",IF(Data!#REF!="",1,0))</f>
        <v>#REF!</v>
      </c>
      <c r="O603" s="17" t="e">
        <f>IF(Data!#REF!="","",IF(Data!#REF!="",1,0))</f>
        <v>#REF!</v>
      </c>
      <c r="P603" s="17" t="e">
        <f>IF(Data!#REF!="","",IF(ISNUMBER(MATCH(Data!#REF!,Data_Val!$A$2:$A$3,0)),0,1))</f>
        <v>#REF!</v>
      </c>
      <c r="Q603" s="25" t="e">
        <f ca="1">IF(Data!#REF!="","",IF(ISNUMBER(Data!#REF!),IF(AND(Data!#REF!&gt;(TODAY()-(Data_Val!$J$3*365.25)),Data!#REF!&lt;=(TODAY()-(Data_Val!$J$2*365.25))),0,1),1))</f>
        <v>#REF!</v>
      </c>
      <c r="R603" s="17" t="e">
        <f>IF(Data!#REF!="","",IF(ISNUMBER(MATCH(Data!#REF!,Data_Val!$B$2:$B$15,0)),0,1))</f>
        <v>#REF!</v>
      </c>
      <c r="S603" s="11" t="str">
        <f>IF(Data!G603="","",IF(Data!G603=Data_Val!$C$2,IF(Data!M603="",0,1),0))</f>
        <v/>
      </c>
      <c r="T603" s="11" t="str">
        <f>IF(Data!M603="","",IF(ISNUMBER(MATCH(Data!N603,Data_Val!$A$2:$A$3,0)),0,1))</f>
        <v/>
      </c>
      <c r="U603" s="11" t="str">
        <f ca="1">IF(Data!M603="","",IF(ISNUMBER(Data!O603),IF(AND(Data!O603&gt;(TODAY()-(Data_Val!$K$3*365.25)),Data!O603&lt;=(TODAY()-(Data_Val!$K$2*365.25))),0,1),1))</f>
        <v/>
      </c>
      <c r="V603" s="12" t="str">
        <f>IF(Data!G603="","",IF(Data!G603=Data_Val!$C$2,IF(Data!P603="",0,1),0))</f>
        <v/>
      </c>
      <c r="W603" s="12" t="str">
        <f>IF(Data!P603="","",IF(ISNUMBER(MATCH(Data!Q603,Data_Val!$A$2:$A$3,0)),0,1))</f>
        <v/>
      </c>
      <c r="X603" s="26" t="str">
        <f ca="1">IF(Data!P603="","",IF(ISNUMBER(Data!R603),IF(AND(Data!R603&gt;(TODAY()-(Data_Val!$L$3*365.25)),Data!R603&lt;=(TODAY()-(Data_Val!$L$2*365.25))),0,1),1))</f>
        <v/>
      </c>
      <c r="Y603" s="13" t="str">
        <f>IF(Data!$G603="","",IF(Data!$G603=Data_Val!$C$2,IF(Data!S603="",0,1),0))</f>
        <v/>
      </c>
      <c r="Z603" s="13" t="str">
        <f>IF(Data!S603="","",IF(ISNUMBER(MATCH(Data!T603,Data_Val!$A$2:$A$3,0)),0,1))</f>
        <v/>
      </c>
      <c r="AA603" s="28" t="str">
        <f ca="1">IF(Data!S603="","",IF(ISNUMBER(Data!U603),IF(AND(Data!U603&gt;(TODAY()-(Data_Val!$L$3*365.25)),Data!U603&lt;=(TODAY()-(Data_Val!$L$2*365.25))),0,1),1))</f>
        <v/>
      </c>
      <c r="AB603" s="11"/>
      <c r="AC603" s="11" t="e">
        <f>IF(Data!#REF!="","",IF(ISNUMBER(MATCH(Data!#REF!,Data_Val!$A$2:$A$3,0)),0,1))</f>
        <v>#REF!</v>
      </c>
      <c r="AD603" s="11" t="e">
        <f ca="1">IF(Data!#REF!="","",IF(ISNUMBER(Data!#REF!),IF(AND(Data!#REF!&gt;(TODAY()-(Data_Val!$L$3*365.25)),Data!#REF!&lt;=(TODAY()-(Data_Val!$L$2*365.25))),0,1),1))</f>
        <v>#REF!</v>
      </c>
      <c r="AE603" s="11" t="e">
        <f>IF(Data!#REF!="","",IF(Data!$G603="",1,IF(ISNUMBER(MATCH(Data!#REF!,Data_Val!$D$2:$D$10,0)),0,1)))</f>
        <v>#REF!</v>
      </c>
      <c r="AF603" s="12"/>
      <c r="AG603" s="12" t="e">
        <f>IF(Data!#REF!="","",IF(ISNUMBER(MATCH(Data!#REF!,Data_Val!$A$2:$A$3,0)),0,1))</f>
        <v>#REF!</v>
      </c>
      <c r="AH603" s="26" t="e">
        <f ca="1">IF(Data!#REF!="","",IF(ISNUMBER(Data!#REF!),IF(AND(Data!#REF!&gt;(TODAY()-(Data_Val!$L$3*365.25)),Data!#REF!&lt;=(TODAY()-(Data_Val!$L$2*365.25))),0,1),1))</f>
        <v>#REF!</v>
      </c>
      <c r="AI603" s="12" t="e">
        <f>IF(Data!#REF!="","",IF(Data!$G603="",1,IF(ISNUMBER(MATCH(Data!#REF!,Data_Val!$D$2:$D$10,0)),0,1)))</f>
        <v>#REF!</v>
      </c>
      <c r="AJ603" s="17"/>
      <c r="AK603" s="17" t="e">
        <f>IF(Data!#REF!="","",IF(ISNUMBER(MATCH(Data!#REF!,Data_Val!$A$2:$A$3,0)),0,1))</f>
        <v>#REF!</v>
      </c>
      <c r="AL603" s="25" t="e">
        <f ca="1">IF(Data!#REF!="","",IF(ISNUMBER(Data!#REF!),IF(AND(Data!#REF!&gt;(TODAY()-(Data_Val!$L$3*365.25)),Data!#REF!&lt;=(TODAY()-(Data_Val!$L$2*365.25))),0,1),1))</f>
        <v>#REF!</v>
      </c>
      <c r="AM603" s="17" t="e">
        <f>IF(Data!#REF!="","",IF(Data!$G603="",1,IF(ISNUMBER(MATCH(Data!#REF!,Data_Val!$D$2:$D$10,0)),0,1)))</f>
        <v>#REF!</v>
      </c>
      <c r="AN603" s="13"/>
      <c r="AO603" s="28" t="e">
        <f ca="1">IF(Data!#REF!="","",IF(ISNUMBER(Data!#REF!),IF(AND(Data!#REF!&gt;(TODAY()-(Data_Val!$I$3*365.25)),Data!#REF!&lt;=(TODAY()-(Data_Val!$I$2*365.25))),0,1),1))</f>
        <v>#REF!</v>
      </c>
      <c r="AP603" s="13" t="e">
        <f>IF(Data!#REF!="","",IF(Data!$G603="",1,IF(ISNUMBER(MATCH(Data!#REF!,Data_Val!$D$2:$D$10,0)),0,1)))</f>
        <v>#REF!</v>
      </c>
      <c r="AQ603" s="17"/>
      <c r="AR603" s="30" t="e">
        <f ca="1">IF(Data!#REF!="","",IF(ISNUMBER(Data!#REF!),IF(AND(Data!#REF!&gt;(TODAY()-(Data_Val!$I$3*365.25)),Data!#REF!&lt;=(TODAY()-(Data_Val!$I$2*365.25))),0,1),1))</f>
        <v>#REF!</v>
      </c>
      <c r="AS603" s="31" t="e">
        <f>IF(Data!#REF!="","",IF(Data!$G603="",1,IF(ISNUMBER(MATCH(Data!#REF!,Data_Val!$D$2:$D$10,0)),0,1)))</f>
        <v>#REF!</v>
      </c>
      <c r="AT603" s="11"/>
      <c r="AU603" s="11" t="e">
        <f ca="1">IF(Data!#REF!="","",IF(ISNUMBER(Data!#REF!),IF(AND(Data!#REF!&gt;(TODAY()-(Data_Val!$I$3*365.25)),Data!#REF!&lt;=(TODAY()-(Data_Val!$I$2*365.25))),0,1),1))</f>
        <v>#REF!</v>
      </c>
      <c r="AV603" s="11" t="e">
        <f>IF(Data!#REF!="","",IF(Data!$G603="",1,IF(ISNUMBER(MATCH(Data!#REF!,Data_Val!$D$2:$D$10,0)),0,1)))</f>
        <v>#REF!</v>
      </c>
      <c r="AW603" s="12"/>
      <c r="AX603" s="26" t="e">
        <f ca="1">IF(Data!#REF!="","",IF(ISNUMBER(Data!#REF!),IF(AND(Data!#REF!&gt;(TODAY()-(Data_Val!$I$3*365.25)),Data!#REF!&lt;=(TODAY()-(Data_Val!$I$2*365.25))),0,1),1))</f>
        <v>#REF!</v>
      </c>
      <c r="AY603" s="12" t="e">
        <f>IF(Data!#REF!="","",IF(Data!$G603="",1,IF(ISNUMBER(MATCH(Data!#REF!,Data_Val!$D$2:$D$10,0)),0,1)))</f>
        <v>#REF!</v>
      </c>
      <c r="AZ603" s="11"/>
      <c r="BA603" s="19" t="e">
        <f ca="1">IF(Data!#REF!="","",IF(ISNUMBER(Data!#REF!),IF(AND(Data!#REF!&gt;(TODAY()-(Data_Val!$M$3*365.25)),Data!#REF!&lt;=(TODAY()-(Data_Val!$M$2*365.25))),0,1),1))</f>
        <v>#REF!</v>
      </c>
      <c r="BB603" s="11" t="e">
        <f>IF(Data!#REF!="","",IF(Data!$G603="",1,IF(ISNUMBER(MATCH(Data!#REF!,Data_Val!$D$2:$D$10,0)),0,1)))</f>
        <v>#REF!</v>
      </c>
      <c r="BC603" s="12"/>
      <c r="BD603" s="20" t="e">
        <f ca="1">IF(Data!#REF!="","",IF(ISNUMBER(Data!#REF!),IF(AND(Data!#REF!&gt;(TODAY()-(Data_Val!$M$3*365.25)),Data!#REF!&lt;=(TODAY()-(Data_Val!$M$2*365.25))),0,1),1))</f>
        <v>#REF!</v>
      </c>
      <c r="BE603" s="12" t="e">
        <f>IF(Data!#REF!="","",IF(Data!$G603="",1,IF(ISNUMBER(MATCH(Data!#REF!,Data_Val!$D$2:$D$10,0)),0,1)))</f>
        <v>#REF!</v>
      </c>
      <c r="BF603" s="17"/>
      <c r="BG603" s="18" t="e">
        <f ca="1">IF(Data!#REF!="","",IF(ISNUMBER(Data!#REF!),IF(AND(Data!#REF!&gt;(TODAY()-(Data_Val!$M$3*365.25)),Data!#REF!&lt;=(TODAY()-(Data_Val!$M$2*365.25))),0,1),1))</f>
        <v>#REF!</v>
      </c>
      <c r="BH603" s="29" t="e">
        <f>IF(Data!#REF!="","",IF(Data!$G603="",1,IF(ISNUMBER(MATCH(Data!#REF!,Data_Val!$D$2:$D$10,0)),0,1)))</f>
        <v>#REF!</v>
      </c>
      <c r="BI603" s="13"/>
      <c r="BJ603" s="21" t="e">
        <f ca="1">IF(Data!#REF!="","",IF(ISNUMBER(Data!#REF!),IF(AND(Data!#REF!&gt;(TODAY()-(Data_Val!$M$3*365.25)),Data!#REF!&lt;=(TODAY()-(Data_Val!$M$2*365.25))),0,1),1))</f>
        <v>#REF!</v>
      </c>
      <c r="BK603" s="13" t="e">
        <f>IF(Data!#REF!="","",IF(Data!$G603="",1,IF(ISNUMBER(MATCH(Data!#REF!,Data_Val!$D$2:$D$10,0)),0,1)))</f>
        <v>#REF!</v>
      </c>
    </row>
    <row r="604" spans="1:63" x14ac:dyDescent="0.25">
      <c r="A604" s="9" t="str">
        <f>IF(Data!B604="","",IF(COUNTIFS(Data!A$1:'Data'!A604,Data!A604)&lt;=1,0,1))</f>
        <v/>
      </c>
      <c r="B604" s="9"/>
      <c r="C604" s="23" t="str">
        <f>IF(Data!C604="","",(IF(ISNUMBER(MATCH("*@*.?*",Data!C604,0)),0,1)+IF(COUNTIFS(Data!C$1:'Data'!C604,Data!C604)&gt;1,1,0)))</f>
        <v/>
      </c>
      <c r="D604" s="9" t="str">
        <f>IF(Data!B604="","",IF(ISNUMBER(Data!D604),IF(AND(Data!D604&gt;999999999,Data!D604&lt;=9999999999),IF(COUNTIFS(Data!D$1:'Data'!D604,Data!D604)&lt;=1,0,1),1),1))</f>
        <v/>
      </c>
      <c r="E604" s="9" t="str">
        <f>IF(Data!B604="","",IF(ISNUMBER(MATCH(Data!E604,Data_Val!$A$2:$A$3,0)),0,1))</f>
        <v/>
      </c>
      <c r="F604" s="9" t="str">
        <f ca="1">IF(Data!B604="","",IF(ISNUMBER(Data!F604),IF(AND(Data!F604&gt;(TODAY()-(Data_Val!$H$3*365.25)),Data!F604&lt;=(TODAY()-(Data_Val!$H$2*365.25))),0,1),1))</f>
        <v/>
      </c>
      <c r="G604" s="15" t="str">
        <f>IF(Data!B604="","",IF(AND(Data!G604="",Data!H604&lt;&gt;""),1,IF(Data!#REF!&lt;&gt;"",0,IF(ISNUMBER(MATCH(Data!G604,Data_Val!$C$2:$C$5,0)),0,1))))</f>
        <v/>
      </c>
      <c r="H604" s="15" t="str">
        <f>IF(Data!B604="","",IF(AND(Data!G604&lt;&gt;"",Data!H604=""),1,IF(Data!#REF!&lt;&gt;"",0,IF(Data!G604="",1,IF(ISNUMBER(MATCH(Data!H604,Data_Val!$D$2:$D$35,0)),0,1)))))</f>
        <v/>
      </c>
      <c r="I604" s="15" t="str">
        <f>IF(Data!B604="","",IF(Data!G604&lt;&gt;"",0,IF(ISNUMBER(MATCH(Data!#REF!,Data_Val!$E$2:$E$12,0)),0,1)))</f>
        <v/>
      </c>
      <c r="J604" s="16" t="e">
        <f>IF(OR(Data!B604="",Data!#REF!=""),"",IF(Data!#REF!="",1,0))</f>
        <v>#REF!</v>
      </c>
      <c r="K604" s="16" t="e">
        <f>IF(OR(Data!B604="",Data!#REF!=""),"",IF(Data!#REF!="",1,0))</f>
        <v>#REF!</v>
      </c>
      <c r="L604" s="16" t="e">
        <f>IF(OR(Data!B604="",Data!#REF!=""),"",IF(ISNUMBER(Data!#REF!),IF(AND(Data!#REF!&gt;Data_Val!$G$2,Data!#REF!&lt;=Data_Val!$G$3),0,1),1))</f>
        <v>#REF!</v>
      </c>
      <c r="M604" s="9" t="e">
        <f>IF(OR(Data!B604="",Data!#REF!=""),"",IF(ISNUMBER(MATCH(Data!#REF!,Data_Val!$F$1:$F$38,0)),0,1))</f>
        <v>#REF!</v>
      </c>
      <c r="N604" s="9" t="e">
        <f>IF(OR(Data!B604="",Data!#REF!=""),"",IF(Data!#REF!="",1,0))</f>
        <v>#REF!</v>
      </c>
      <c r="O604" s="17" t="e">
        <f>IF(Data!#REF!="","",IF(Data!#REF!="",1,0))</f>
        <v>#REF!</v>
      </c>
      <c r="P604" s="17" t="e">
        <f>IF(Data!#REF!="","",IF(ISNUMBER(MATCH(Data!#REF!,Data_Val!$A$2:$A$3,0)),0,1))</f>
        <v>#REF!</v>
      </c>
      <c r="Q604" s="25" t="e">
        <f ca="1">IF(Data!#REF!="","",IF(ISNUMBER(Data!#REF!),IF(AND(Data!#REF!&gt;(TODAY()-(Data_Val!$J$3*365.25)),Data!#REF!&lt;=(TODAY()-(Data_Val!$J$2*365.25))),0,1),1))</f>
        <v>#REF!</v>
      </c>
      <c r="R604" s="17" t="e">
        <f>IF(Data!#REF!="","",IF(ISNUMBER(MATCH(Data!#REF!,Data_Val!$B$2:$B$15,0)),0,1))</f>
        <v>#REF!</v>
      </c>
      <c r="S604" s="11" t="str">
        <f>IF(Data!G604="","",IF(Data!G604=Data_Val!$C$2,IF(Data!M604="",0,1),0))</f>
        <v/>
      </c>
      <c r="T604" s="11" t="str">
        <f>IF(Data!M604="","",IF(ISNUMBER(MATCH(Data!N604,Data_Val!$A$2:$A$3,0)),0,1))</f>
        <v/>
      </c>
      <c r="U604" s="11" t="str">
        <f ca="1">IF(Data!M604="","",IF(ISNUMBER(Data!O604),IF(AND(Data!O604&gt;(TODAY()-(Data_Val!$K$3*365.25)),Data!O604&lt;=(TODAY()-(Data_Val!$K$2*365.25))),0,1),1))</f>
        <v/>
      </c>
      <c r="V604" s="12" t="str">
        <f>IF(Data!G604="","",IF(Data!G604=Data_Val!$C$2,IF(Data!P604="",0,1),0))</f>
        <v/>
      </c>
      <c r="W604" s="12" t="str">
        <f>IF(Data!P604="","",IF(ISNUMBER(MATCH(Data!Q604,Data_Val!$A$2:$A$3,0)),0,1))</f>
        <v/>
      </c>
      <c r="X604" s="26" t="str">
        <f ca="1">IF(Data!P604="","",IF(ISNUMBER(Data!R604),IF(AND(Data!R604&gt;(TODAY()-(Data_Val!$L$3*365.25)),Data!R604&lt;=(TODAY()-(Data_Val!$L$2*365.25))),0,1),1))</f>
        <v/>
      </c>
      <c r="Y604" s="13" t="str">
        <f>IF(Data!$G604="","",IF(Data!$G604=Data_Val!$C$2,IF(Data!S604="",0,1),0))</f>
        <v/>
      </c>
      <c r="Z604" s="13" t="str">
        <f>IF(Data!S604="","",IF(ISNUMBER(MATCH(Data!T604,Data_Val!$A$2:$A$3,0)),0,1))</f>
        <v/>
      </c>
      <c r="AA604" s="28" t="str">
        <f ca="1">IF(Data!S604="","",IF(ISNUMBER(Data!U604),IF(AND(Data!U604&gt;(TODAY()-(Data_Val!$L$3*365.25)),Data!U604&lt;=(TODAY()-(Data_Val!$L$2*365.25))),0,1),1))</f>
        <v/>
      </c>
      <c r="AB604" s="11"/>
      <c r="AC604" s="11" t="e">
        <f>IF(Data!#REF!="","",IF(ISNUMBER(MATCH(Data!#REF!,Data_Val!$A$2:$A$3,0)),0,1))</f>
        <v>#REF!</v>
      </c>
      <c r="AD604" s="11" t="e">
        <f ca="1">IF(Data!#REF!="","",IF(ISNUMBER(Data!#REF!),IF(AND(Data!#REF!&gt;(TODAY()-(Data_Val!$L$3*365.25)),Data!#REF!&lt;=(TODAY()-(Data_Val!$L$2*365.25))),0,1),1))</f>
        <v>#REF!</v>
      </c>
      <c r="AE604" s="11" t="e">
        <f>IF(Data!#REF!="","",IF(Data!$G604="",1,IF(ISNUMBER(MATCH(Data!#REF!,Data_Val!$D$2:$D$10,0)),0,1)))</f>
        <v>#REF!</v>
      </c>
      <c r="AF604" s="12"/>
      <c r="AG604" s="12" t="e">
        <f>IF(Data!#REF!="","",IF(ISNUMBER(MATCH(Data!#REF!,Data_Val!$A$2:$A$3,0)),0,1))</f>
        <v>#REF!</v>
      </c>
      <c r="AH604" s="26" t="e">
        <f ca="1">IF(Data!#REF!="","",IF(ISNUMBER(Data!#REF!),IF(AND(Data!#REF!&gt;(TODAY()-(Data_Val!$L$3*365.25)),Data!#REF!&lt;=(TODAY()-(Data_Val!$L$2*365.25))),0,1),1))</f>
        <v>#REF!</v>
      </c>
      <c r="AI604" s="12" t="e">
        <f>IF(Data!#REF!="","",IF(Data!$G604="",1,IF(ISNUMBER(MATCH(Data!#REF!,Data_Val!$D$2:$D$10,0)),0,1)))</f>
        <v>#REF!</v>
      </c>
      <c r="AJ604" s="17"/>
      <c r="AK604" s="17" t="e">
        <f>IF(Data!#REF!="","",IF(ISNUMBER(MATCH(Data!#REF!,Data_Val!$A$2:$A$3,0)),0,1))</f>
        <v>#REF!</v>
      </c>
      <c r="AL604" s="25" t="e">
        <f ca="1">IF(Data!#REF!="","",IF(ISNUMBER(Data!#REF!),IF(AND(Data!#REF!&gt;(TODAY()-(Data_Val!$L$3*365.25)),Data!#REF!&lt;=(TODAY()-(Data_Val!$L$2*365.25))),0,1),1))</f>
        <v>#REF!</v>
      </c>
      <c r="AM604" s="17" t="e">
        <f>IF(Data!#REF!="","",IF(Data!$G604="",1,IF(ISNUMBER(MATCH(Data!#REF!,Data_Val!$D$2:$D$10,0)),0,1)))</f>
        <v>#REF!</v>
      </c>
      <c r="AN604" s="13"/>
      <c r="AO604" s="28" t="e">
        <f ca="1">IF(Data!#REF!="","",IF(ISNUMBER(Data!#REF!),IF(AND(Data!#REF!&gt;(TODAY()-(Data_Val!$I$3*365.25)),Data!#REF!&lt;=(TODAY()-(Data_Val!$I$2*365.25))),0,1),1))</f>
        <v>#REF!</v>
      </c>
      <c r="AP604" s="13" t="e">
        <f>IF(Data!#REF!="","",IF(Data!$G604="",1,IF(ISNUMBER(MATCH(Data!#REF!,Data_Val!$D$2:$D$10,0)),0,1)))</f>
        <v>#REF!</v>
      </c>
      <c r="AQ604" s="17"/>
      <c r="AR604" s="30" t="e">
        <f ca="1">IF(Data!#REF!="","",IF(ISNUMBER(Data!#REF!),IF(AND(Data!#REF!&gt;(TODAY()-(Data_Val!$I$3*365.25)),Data!#REF!&lt;=(TODAY()-(Data_Val!$I$2*365.25))),0,1),1))</f>
        <v>#REF!</v>
      </c>
      <c r="AS604" s="31" t="e">
        <f>IF(Data!#REF!="","",IF(Data!$G604="",1,IF(ISNUMBER(MATCH(Data!#REF!,Data_Val!$D$2:$D$10,0)),0,1)))</f>
        <v>#REF!</v>
      </c>
      <c r="AT604" s="11"/>
      <c r="AU604" s="11" t="e">
        <f ca="1">IF(Data!#REF!="","",IF(ISNUMBER(Data!#REF!),IF(AND(Data!#REF!&gt;(TODAY()-(Data_Val!$I$3*365.25)),Data!#REF!&lt;=(TODAY()-(Data_Val!$I$2*365.25))),0,1),1))</f>
        <v>#REF!</v>
      </c>
      <c r="AV604" s="11" t="e">
        <f>IF(Data!#REF!="","",IF(Data!$G604="",1,IF(ISNUMBER(MATCH(Data!#REF!,Data_Val!$D$2:$D$10,0)),0,1)))</f>
        <v>#REF!</v>
      </c>
      <c r="AW604" s="12"/>
      <c r="AX604" s="26" t="e">
        <f ca="1">IF(Data!#REF!="","",IF(ISNUMBER(Data!#REF!),IF(AND(Data!#REF!&gt;(TODAY()-(Data_Val!$I$3*365.25)),Data!#REF!&lt;=(TODAY()-(Data_Val!$I$2*365.25))),0,1),1))</f>
        <v>#REF!</v>
      </c>
      <c r="AY604" s="12" t="e">
        <f>IF(Data!#REF!="","",IF(Data!$G604="",1,IF(ISNUMBER(MATCH(Data!#REF!,Data_Val!$D$2:$D$10,0)),0,1)))</f>
        <v>#REF!</v>
      </c>
      <c r="AZ604" s="11"/>
      <c r="BA604" s="19" t="e">
        <f ca="1">IF(Data!#REF!="","",IF(ISNUMBER(Data!#REF!),IF(AND(Data!#REF!&gt;(TODAY()-(Data_Val!$M$3*365.25)),Data!#REF!&lt;=(TODAY()-(Data_Val!$M$2*365.25))),0,1),1))</f>
        <v>#REF!</v>
      </c>
      <c r="BB604" s="11" t="e">
        <f>IF(Data!#REF!="","",IF(Data!$G604="",1,IF(ISNUMBER(MATCH(Data!#REF!,Data_Val!$D$2:$D$10,0)),0,1)))</f>
        <v>#REF!</v>
      </c>
      <c r="BC604" s="12"/>
      <c r="BD604" s="20" t="e">
        <f ca="1">IF(Data!#REF!="","",IF(ISNUMBER(Data!#REF!),IF(AND(Data!#REF!&gt;(TODAY()-(Data_Val!$M$3*365.25)),Data!#REF!&lt;=(TODAY()-(Data_Val!$M$2*365.25))),0,1),1))</f>
        <v>#REF!</v>
      </c>
      <c r="BE604" s="12" t="e">
        <f>IF(Data!#REF!="","",IF(Data!$G604="",1,IF(ISNUMBER(MATCH(Data!#REF!,Data_Val!$D$2:$D$10,0)),0,1)))</f>
        <v>#REF!</v>
      </c>
      <c r="BF604" s="17"/>
      <c r="BG604" s="18" t="e">
        <f ca="1">IF(Data!#REF!="","",IF(ISNUMBER(Data!#REF!),IF(AND(Data!#REF!&gt;(TODAY()-(Data_Val!$M$3*365.25)),Data!#REF!&lt;=(TODAY()-(Data_Val!$M$2*365.25))),0,1),1))</f>
        <v>#REF!</v>
      </c>
      <c r="BH604" s="29" t="e">
        <f>IF(Data!#REF!="","",IF(Data!$G604="",1,IF(ISNUMBER(MATCH(Data!#REF!,Data_Val!$D$2:$D$10,0)),0,1)))</f>
        <v>#REF!</v>
      </c>
      <c r="BI604" s="13"/>
      <c r="BJ604" s="21" t="e">
        <f ca="1">IF(Data!#REF!="","",IF(ISNUMBER(Data!#REF!),IF(AND(Data!#REF!&gt;(TODAY()-(Data_Val!$M$3*365.25)),Data!#REF!&lt;=(TODAY()-(Data_Val!$M$2*365.25))),0,1),1))</f>
        <v>#REF!</v>
      </c>
      <c r="BK604" s="13" t="e">
        <f>IF(Data!#REF!="","",IF(Data!$G604="",1,IF(ISNUMBER(MATCH(Data!#REF!,Data_Val!$D$2:$D$10,0)),0,1)))</f>
        <v>#REF!</v>
      </c>
    </row>
    <row r="605" spans="1:63" x14ac:dyDescent="0.25">
      <c r="A605" s="9" t="str">
        <f>IF(Data!B605="","",IF(COUNTIFS(Data!A$1:'Data'!A605,Data!A605)&lt;=1,0,1))</f>
        <v/>
      </c>
      <c r="B605" s="9"/>
      <c r="C605" s="23" t="str">
        <f>IF(Data!C605="","",(IF(ISNUMBER(MATCH("*@*.?*",Data!C605,0)),0,1)+IF(COUNTIFS(Data!C$1:'Data'!C605,Data!C605)&gt;1,1,0)))</f>
        <v/>
      </c>
      <c r="D605" s="9" t="str">
        <f>IF(Data!B605="","",IF(ISNUMBER(Data!D605),IF(AND(Data!D605&gt;999999999,Data!D605&lt;=9999999999),IF(COUNTIFS(Data!D$1:'Data'!D605,Data!D605)&lt;=1,0,1),1),1))</f>
        <v/>
      </c>
      <c r="E605" s="9" t="str">
        <f>IF(Data!B605="","",IF(ISNUMBER(MATCH(Data!E605,Data_Val!$A$2:$A$3,0)),0,1))</f>
        <v/>
      </c>
      <c r="F605" s="9" t="str">
        <f ca="1">IF(Data!B605="","",IF(ISNUMBER(Data!F605),IF(AND(Data!F605&gt;(TODAY()-(Data_Val!$H$3*365.25)),Data!F605&lt;=(TODAY()-(Data_Val!$H$2*365.25))),0,1),1))</f>
        <v/>
      </c>
      <c r="G605" s="15" t="str">
        <f>IF(Data!B605="","",IF(AND(Data!G605="",Data!H605&lt;&gt;""),1,IF(Data!#REF!&lt;&gt;"",0,IF(ISNUMBER(MATCH(Data!G605,Data_Val!$C$2:$C$5,0)),0,1))))</f>
        <v/>
      </c>
      <c r="H605" s="15" t="str">
        <f>IF(Data!B605="","",IF(AND(Data!G605&lt;&gt;"",Data!H605=""),1,IF(Data!#REF!&lt;&gt;"",0,IF(Data!G605="",1,IF(ISNUMBER(MATCH(Data!H605,Data_Val!$D$2:$D$35,0)),0,1)))))</f>
        <v/>
      </c>
      <c r="I605" s="15" t="str">
        <f>IF(Data!B605="","",IF(Data!G605&lt;&gt;"",0,IF(ISNUMBER(MATCH(Data!#REF!,Data_Val!$E$2:$E$12,0)),0,1)))</f>
        <v/>
      </c>
      <c r="J605" s="16" t="e">
        <f>IF(OR(Data!B605="",Data!#REF!=""),"",IF(Data!#REF!="",1,0))</f>
        <v>#REF!</v>
      </c>
      <c r="K605" s="16" t="e">
        <f>IF(OR(Data!B605="",Data!#REF!=""),"",IF(Data!#REF!="",1,0))</f>
        <v>#REF!</v>
      </c>
      <c r="L605" s="16" t="e">
        <f>IF(OR(Data!B605="",Data!#REF!=""),"",IF(ISNUMBER(Data!#REF!),IF(AND(Data!#REF!&gt;Data_Val!$G$2,Data!#REF!&lt;=Data_Val!$G$3),0,1),1))</f>
        <v>#REF!</v>
      </c>
      <c r="M605" s="9" t="e">
        <f>IF(OR(Data!B605="",Data!#REF!=""),"",IF(ISNUMBER(MATCH(Data!#REF!,Data_Val!$F$1:$F$38,0)),0,1))</f>
        <v>#REF!</v>
      </c>
      <c r="N605" s="9" t="e">
        <f>IF(OR(Data!B605="",Data!#REF!=""),"",IF(Data!#REF!="",1,0))</f>
        <v>#REF!</v>
      </c>
      <c r="O605" s="17" t="e">
        <f>IF(Data!#REF!="","",IF(Data!#REF!="",1,0))</f>
        <v>#REF!</v>
      </c>
      <c r="P605" s="17" t="e">
        <f>IF(Data!#REF!="","",IF(ISNUMBER(MATCH(Data!#REF!,Data_Val!$A$2:$A$3,0)),0,1))</f>
        <v>#REF!</v>
      </c>
      <c r="Q605" s="25" t="e">
        <f ca="1">IF(Data!#REF!="","",IF(ISNUMBER(Data!#REF!),IF(AND(Data!#REF!&gt;(TODAY()-(Data_Val!$J$3*365.25)),Data!#REF!&lt;=(TODAY()-(Data_Val!$J$2*365.25))),0,1),1))</f>
        <v>#REF!</v>
      </c>
      <c r="R605" s="17" t="e">
        <f>IF(Data!#REF!="","",IF(ISNUMBER(MATCH(Data!#REF!,Data_Val!$B$2:$B$15,0)),0,1))</f>
        <v>#REF!</v>
      </c>
      <c r="S605" s="11" t="str">
        <f>IF(Data!G605="","",IF(Data!G605=Data_Val!$C$2,IF(Data!M605="",0,1),0))</f>
        <v/>
      </c>
      <c r="T605" s="11" t="str">
        <f>IF(Data!M605="","",IF(ISNUMBER(MATCH(Data!N605,Data_Val!$A$2:$A$3,0)),0,1))</f>
        <v/>
      </c>
      <c r="U605" s="11" t="str">
        <f ca="1">IF(Data!M605="","",IF(ISNUMBER(Data!O605),IF(AND(Data!O605&gt;(TODAY()-(Data_Val!$K$3*365.25)),Data!O605&lt;=(TODAY()-(Data_Val!$K$2*365.25))),0,1),1))</f>
        <v/>
      </c>
      <c r="V605" s="12" t="str">
        <f>IF(Data!G605="","",IF(Data!G605=Data_Val!$C$2,IF(Data!P605="",0,1),0))</f>
        <v/>
      </c>
      <c r="W605" s="12" t="str">
        <f>IF(Data!P605="","",IF(ISNUMBER(MATCH(Data!Q605,Data_Val!$A$2:$A$3,0)),0,1))</f>
        <v/>
      </c>
      <c r="X605" s="26" t="str">
        <f ca="1">IF(Data!P605="","",IF(ISNUMBER(Data!R605),IF(AND(Data!R605&gt;(TODAY()-(Data_Val!$L$3*365.25)),Data!R605&lt;=(TODAY()-(Data_Val!$L$2*365.25))),0,1),1))</f>
        <v/>
      </c>
      <c r="Y605" s="13" t="str">
        <f>IF(Data!$G605="","",IF(Data!$G605=Data_Val!$C$2,IF(Data!S605="",0,1),0))</f>
        <v/>
      </c>
      <c r="Z605" s="13" t="str">
        <f>IF(Data!S605="","",IF(ISNUMBER(MATCH(Data!T605,Data_Val!$A$2:$A$3,0)),0,1))</f>
        <v/>
      </c>
      <c r="AA605" s="28" t="str">
        <f ca="1">IF(Data!S605="","",IF(ISNUMBER(Data!U605),IF(AND(Data!U605&gt;(TODAY()-(Data_Val!$L$3*365.25)),Data!U605&lt;=(TODAY()-(Data_Val!$L$2*365.25))),0,1),1))</f>
        <v/>
      </c>
      <c r="AB605" s="11"/>
      <c r="AC605" s="11" t="e">
        <f>IF(Data!#REF!="","",IF(ISNUMBER(MATCH(Data!#REF!,Data_Val!$A$2:$A$3,0)),0,1))</f>
        <v>#REF!</v>
      </c>
      <c r="AD605" s="11" t="e">
        <f ca="1">IF(Data!#REF!="","",IF(ISNUMBER(Data!#REF!),IF(AND(Data!#REF!&gt;(TODAY()-(Data_Val!$L$3*365.25)),Data!#REF!&lt;=(TODAY()-(Data_Val!$L$2*365.25))),0,1),1))</f>
        <v>#REF!</v>
      </c>
      <c r="AE605" s="11" t="e">
        <f>IF(Data!#REF!="","",IF(Data!$G605="",1,IF(ISNUMBER(MATCH(Data!#REF!,Data_Val!$D$2:$D$10,0)),0,1)))</f>
        <v>#REF!</v>
      </c>
      <c r="AF605" s="12"/>
      <c r="AG605" s="12" t="e">
        <f>IF(Data!#REF!="","",IF(ISNUMBER(MATCH(Data!#REF!,Data_Val!$A$2:$A$3,0)),0,1))</f>
        <v>#REF!</v>
      </c>
      <c r="AH605" s="26" t="e">
        <f ca="1">IF(Data!#REF!="","",IF(ISNUMBER(Data!#REF!),IF(AND(Data!#REF!&gt;(TODAY()-(Data_Val!$L$3*365.25)),Data!#REF!&lt;=(TODAY()-(Data_Val!$L$2*365.25))),0,1),1))</f>
        <v>#REF!</v>
      </c>
      <c r="AI605" s="12" t="e">
        <f>IF(Data!#REF!="","",IF(Data!$G605="",1,IF(ISNUMBER(MATCH(Data!#REF!,Data_Val!$D$2:$D$10,0)),0,1)))</f>
        <v>#REF!</v>
      </c>
      <c r="AJ605" s="17"/>
      <c r="AK605" s="17" t="e">
        <f>IF(Data!#REF!="","",IF(ISNUMBER(MATCH(Data!#REF!,Data_Val!$A$2:$A$3,0)),0,1))</f>
        <v>#REF!</v>
      </c>
      <c r="AL605" s="25" t="e">
        <f ca="1">IF(Data!#REF!="","",IF(ISNUMBER(Data!#REF!),IF(AND(Data!#REF!&gt;(TODAY()-(Data_Val!$L$3*365.25)),Data!#REF!&lt;=(TODAY()-(Data_Val!$L$2*365.25))),0,1),1))</f>
        <v>#REF!</v>
      </c>
      <c r="AM605" s="17" t="e">
        <f>IF(Data!#REF!="","",IF(Data!$G605="",1,IF(ISNUMBER(MATCH(Data!#REF!,Data_Val!$D$2:$D$10,0)),0,1)))</f>
        <v>#REF!</v>
      </c>
      <c r="AN605" s="13"/>
      <c r="AO605" s="28" t="e">
        <f ca="1">IF(Data!#REF!="","",IF(ISNUMBER(Data!#REF!),IF(AND(Data!#REF!&gt;(TODAY()-(Data_Val!$I$3*365.25)),Data!#REF!&lt;=(TODAY()-(Data_Val!$I$2*365.25))),0,1),1))</f>
        <v>#REF!</v>
      </c>
      <c r="AP605" s="13" t="e">
        <f>IF(Data!#REF!="","",IF(Data!$G605="",1,IF(ISNUMBER(MATCH(Data!#REF!,Data_Val!$D$2:$D$10,0)),0,1)))</f>
        <v>#REF!</v>
      </c>
      <c r="AQ605" s="17"/>
      <c r="AR605" s="30" t="e">
        <f ca="1">IF(Data!#REF!="","",IF(ISNUMBER(Data!#REF!),IF(AND(Data!#REF!&gt;(TODAY()-(Data_Val!$I$3*365.25)),Data!#REF!&lt;=(TODAY()-(Data_Val!$I$2*365.25))),0,1),1))</f>
        <v>#REF!</v>
      </c>
      <c r="AS605" s="31" t="e">
        <f>IF(Data!#REF!="","",IF(Data!$G605="",1,IF(ISNUMBER(MATCH(Data!#REF!,Data_Val!$D$2:$D$10,0)),0,1)))</f>
        <v>#REF!</v>
      </c>
      <c r="AT605" s="11"/>
      <c r="AU605" s="11" t="e">
        <f ca="1">IF(Data!#REF!="","",IF(ISNUMBER(Data!#REF!),IF(AND(Data!#REF!&gt;(TODAY()-(Data_Val!$I$3*365.25)),Data!#REF!&lt;=(TODAY()-(Data_Val!$I$2*365.25))),0,1),1))</f>
        <v>#REF!</v>
      </c>
      <c r="AV605" s="11" t="e">
        <f>IF(Data!#REF!="","",IF(Data!$G605="",1,IF(ISNUMBER(MATCH(Data!#REF!,Data_Val!$D$2:$D$10,0)),0,1)))</f>
        <v>#REF!</v>
      </c>
      <c r="AW605" s="12"/>
      <c r="AX605" s="26" t="e">
        <f ca="1">IF(Data!#REF!="","",IF(ISNUMBER(Data!#REF!),IF(AND(Data!#REF!&gt;(TODAY()-(Data_Val!$I$3*365.25)),Data!#REF!&lt;=(TODAY()-(Data_Val!$I$2*365.25))),0,1),1))</f>
        <v>#REF!</v>
      </c>
      <c r="AY605" s="12" t="e">
        <f>IF(Data!#REF!="","",IF(Data!$G605="",1,IF(ISNUMBER(MATCH(Data!#REF!,Data_Val!$D$2:$D$10,0)),0,1)))</f>
        <v>#REF!</v>
      </c>
      <c r="AZ605" s="11"/>
      <c r="BA605" s="19" t="e">
        <f ca="1">IF(Data!#REF!="","",IF(ISNUMBER(Data!#REF!),IF(AND(Data!#REF!&gt;(TODAY()-(Data_Val!$M$3*365.25)),Data!#REF!&lt;=(TODAY()-(Data_Val!$M$2*365.25))),0,1),1))</f>
        <v>#REF!</v>
      </c>
      <c r="BB605" s="11" t="e">
        <f>IF(Data!#REF!="","",IF(Data!$G605="",1,IF(ISNUMBER(MATCH(Data!#REF!,Data_Val!$D$2:$D$10,0)),0,1)))</f>
        <v>#REF!</v>
      </c>
      <c r="BC605" s="12"/>
      <c r="BD605" s="20" t="e">
        <f ca="1">IF(Data!#REF!="","",IF(ISNUMBER(Data!#REF!),IF(AND(Data!#REF!&gt;(TODAY()-(Data_Val!$M$3*365.25)),Data!#REF!&lt;=(TODAY()-(Data_Val!$M$2*365.25))),0,1),1))</f>
        <v>#REF!</v>
      </c>
      <c r="BE605" s="12" t="e">
        <f>IF(Data!#REF!="","",IF(Data!$G605="",1,IF(ISNUMBER(MATCH(Data!#REF!,Data_Val!$D$2:$D$10,0)),0,1)))</f>
        <v>#REF!</v>
      </c>
      <c r="BF605" s="17"/>
      <c r="BG605" s="18" t="e">
        <f ca="1">IF(Data!#REF!="","",IF(ISNUMBER(Data!#REF!),IF(AND(Data!#REF!&gt;(TODAY()-(Data_Val!$M$3*365.25)),Data!#REF!&lt;=(TODAY()-(Data_Val!$M$2*365.25))),0,1),1))</f>
        <v>#REF!</v>
      </c>
      <c r="BH605" s="29" t="e">
        <f>IF(Data!#REF!="","",IF(Data!$G605="",1,IF(ISNUMBER(MATCH(Data!#REF!,Data_Val!$D$2:$D$10,0)),0,1)))</f>
        <v>#REF!</v>
      </c>
      <c r="BI605" s="13"/>
      <c r="BJ605" s="21" t="e">
        <f ca="1">IF(Data!#REF!="","",IF(ISNUMBER(Data!#REF!),IF(AND(Data!#REF!&gt;(TODAY()-(Data_Val!$M$3*365.25)),Data!#REF!&lt;=(TODAY()-(Data_Val!$M$2*365.25))),0,1),1))</f>
        <v>#REF!</v>
      </c>
      <c r="BK605" s="13" t="e">
        <f>IF(Data!#REF!="","",IF(Data!$G605="",1,IF(ISNUMBER(MATCH(Data!#REF!,Data_Val!$D$2:$D$10,0)),0,1)))</f>
        <v>#REF!</v>
      </c>
    </row>
    <row r="606" spans="1:63" x14ac:dyDescent="0.25">
      <c r="A606" s="9" t="str">
        <f>IF(Data!B606="","",IF(COUNTIFS(Data!A$1:'Data'!A606,Data!A606)&lt;=1,0,1))</f>
        <v/>
      </c>
      <c r="B606" s="9"/>
      <c r="C606" s="23" t="str">
        <f>IF(Data!C606="","",(IF(ISNUMBER(MATCH("*@*.?*",Data!C606,0)),0,1)+IF(COUNTIFS(Data!C$1:'Data'!C606,Data!C606)&gt;1,1,0)))</f>
        <v/>
      </c>
      <c r="D606" s="9" t="str">
        <f>IF(Data!B606="","",IF(ISNUMBER(Data!D606),IF(AND(Data!D606&gt;999999999,Data!D606&lt;=9999999999),IF(COUNTIFS(Data!D$1:'Data'!D606,Data!D606)&lt;=1,0,1),1),1))</f>
        <v/>
      </c>
      <c r="E606" s="9" t="str">
        <f>IF(Data!B606="","",IF(ISNUMBER(MATCH(Data!E606,Data_Val!$A$2:$A$3,0)),0,1))</f>
        <v/>
      </c>
      <c r="F606" s="9" t="str">
        <f ca="1">IF(Data!B606="","",IF(ISNUMBER(Data!F606),IF(AND(Data!F606&gt;(TODAY()-(Data_Val!$H$3*365.25)),Data!F606&lt;=(TODAY()-(Data_Val!$H$2*365.25))),0,1),1))</f>
        <v/>
      </c>
      <c r="G606" s="15" t="str">
        <f>IF(Data!B606="","",IF(AND(Data!G606="",Data!H606&lt;&gt;""),1,IF(Data!#REF!&lt;&gt;"",0,IF(ISNUMBER(MATCH(Data!G606,Data_Val!$C$2:$C$5,0)),0,1))))</f>
        <v/>
      </c>
      <c r="H606" s="15" t="str">
        <f>IF(Data!B606="","",IF(AND(Data!G606&lt;&gt;"",Data!H606=""),1,IF(Data!#REF!&lt;&gt;"",0,IF(Data!G606="",1,IF(ISNUMBER(MATCH(Data!H606,Data_Val!$D$2:$D$35,0)),0,1)))))</f>
        <v/>
      </c>
      <c r="I606" s="15" t="str">
        <f>IF(Data!B606="","",IF(Data!G606&lt;&gt;"",0,IF(ISNUMBER(MATCH(Data!#REF!,Data_Val!$E$2:$E$12,0)),0,1)))</f>
        <v/>
      </c>
      <c r="J606" s="16" t="e">
        <f>IF(OR(Data!B606="",Data!#REF!=""),"",IF(Data!#REF!="",1,0))</f>
        <v>#REF!</v>
      </c>
      <c r="K606" s="16" t="e">
        <f>IF(OR(Data!B606="",Data!#REF!=""),"",IF(Data!#REF!="",1,0))</f>
        <v>#REF!</v>
      </c>
      <c r="L606" s="16" t="e">
        <f>IF(OR(Data!B606="",Data!#REF!=""),"",IF(ISNUMBER(Data!#REF!),IF(AND(Data!#REF!&gt;Data_Val!$G$2,Data!#REF!&lt;=Data_Val!$G$3),0,1),1))</f>
        <v>#REF!</v>
      </c>
      <c r="M606" s="9" t="e">
        <f>IF(OR(Data!B606="",Data!#REF!=""),"",IF(ISNUMBER(MATCH(Data!#REF!,Data_Val!$F$1:$F$38,0)),0,1))</f>
        <v>#REF!</v>
      </c>
      <c r="N606" s="9" t="e">
        <f>IF(OR(Data!B606="",Data!#REF!=""),"",IF(Data!#REF!="",1,0))</f>
        <v>#REF!</v>
      </c>
      <c r="O606" s="17" t="e">
        <f>IF(Data!#REF!="","",IF(Data!#REF!="",1,0))</f>
        <v>#REF!</v>
      </c>
      <c r="P606" s="17" t="e">
        <f>IF(Data!#REF!="","",IF(ISNUMBER(MATCH(Data!#REF!,Data_Val!$A$2:$A$3,0)),0,1))</f>
        <v>#REF!</v>
      </c>
      <c r="Q606" s="25" t="e">
        <f ca="1">IF(Data!#REF!="","",IF(ISNUMBER(Data!#REF!),IF(AND(Data!#REF!&gt;(TODAY()-(Data_Val!$J$3*365.25)),Data!#REF!&lt;=(TODAY()-(Data_Val!$J$2*365.25))),0,1),1))</f>
        <v>#REF!</v>
      </c>
      <c r="R606" s="17" t="e">
        <f>IF(Data!#REF!="","",IF(ISNUMBER(MATCH(Data!#REF!,Data_Val!$B$2:$B$15,0)),0,1))</f>
        <v>#REF!</v>
      </c>
      <c r="S606" s="11" t="str">
        <f>IF(Data!G606="","",IF(Data!G606=Data_Val!$C$2,IF(Data!M606="",0,1),0))</f>
        <v/>
      </c>
      <c r="T606" s="11" t="str">
        <f>IF(Data!M606="","",IF(ISNUMBER(MATCH(Data!N606,Data_Val!$A$2:$A$3,0)),0,1))</f>
        <v/>
      </c>
      <c r="U606" s="11" t="str">
        <f ca="1">IF(Data!M606="","",IF(ISNUMBER(Data!O606),IF(AND(Data!O606&gt;(TODAY()-(Data_Val!$K$3*365.25)),Data!O606&lt;=(TODAY()-(Data_Val!$K$2*365.25))),0,1),1))</f>
        <v/>
      </c>
      <c r="V606" s="12" t="str">
        <f>IF(Data!G606="","",IF(Data!G606=Data_Val!$C$2,IF(Data!P606="",0,1),0))</f>
        <v/>
      </c>
      <c r="W606" s="12" t="str">
        <f>IF(Data!P606="","",IF(ISNUMBER(MATCH(Data!Q606,Data_Val!$A$2:$A$3,0)),0,1))</f>
        <v/>
      </c>
      <c r="X606" s="26" t="str">
        <f ca="1">IF(Data!P606="","",IF(ISNUMBER(Data!R606),IF(AND(Data!R606&gt;(TODAY()-(Data_Val!$L$3*365.25)),Data!R606&lt;=(TODAY()-(Data_Val!$L$2*365.25))),0,1),1))</f>
        <v/>
      </c>
      <c r="Y606" s="13" t="str">
        <f>IF(Data!$G606="","",IF(Data!$G606=Data_Val!$C$2,IF(Data!S606="",0,1),0))</f>
        <v/>
      </c>
      <c r="Z606" s="13" t="str">
        <f>IF(Data!S606="","",IF(ISNUMBER(MATCH(Data!T606,Data_Val!$A$2:$A$3,0)),0,1))</f>
        <v/>
      </c>
      <c r="AA606" s="28" t="str">
        <f ca="1">IF(Data!S606="","",IF(ISNUMBER(Data!U606),IF(AND(Data!U606&gt;(TODAY()-(Data_Val!$L$3*365.25)),Data!U606&lt;=(TODAY()-(Data_Val!$L$2*365.25))),0,1),1))</f>
        <v/>
      </c>
      <c r="AB606" s="11"/>
      <c r="AC606" s="11" t="e">
        <f>IF(Data!#REF!="","",IF(ISNUMBER(MATCH(Data!#REF!,Data_Val!$A$2:$A$3,0)),0,1))</f>
        <v>#REF!</v>
      </c>
      <c r="AD606" s="11" t="e">
        <f ca="1">IF(Data!#REF!="","",IF(ISNUMBER(Data!#REF!),IF(AND(Data!#REF!&gt;(TODAY()-(Data_Val!$L$3*365.25)),Data!#REF!&lt;=(TODAY()-(Data_Val!$L$2*365.25))),0,1),1))</f>
        <v>#REF!</v>
      </c>
      <c r="AE606" s="11" t="e">
        <f>IF(Data!#REF!="","",IF(Data!$G606="",1,IF(ISNUMBER(MATCH(Data!#REF!,Data_Val!$D$2:$D$10,0)),0,1)))</f>
        <v>#REF!</v>
      </c>
      <c r="AF606" s="12"/>
      <c r="AG606" s="12" t="e">
        <f>IF(Data!#REF!="","",IF(ISNUMBER(MATCH(Data!#REF!,Data_Val!$A$2:$A$3,0)),0,1))</f>
        <v>#REF!</v>
      </c>
      <c r="AH606" s="26" t="e">
        <f ca="1">IF(Data!#REF!="","",IF(ISNUMBER(Data!#REF!),IF(AND(Data!#REF!&gt;(TODAY()-(Data_Val!$L$3*365.25)),Data!#REF!&lt;=(TODAY()-(Data_Val!$L$2*365.25))),0,1),1))</f>
        <v>#REF!</v>
      </c>
      <c r="AI606" s="12" t="e">
        <f>IF(Data!#REF!="","",IF(Data!$G606="",1,IF(ISNUMBER(MATCH(Data!#REF!,Data_Val!$D$2:$D$10,0)),0,1)))</f>
        <v>#REF!</v>
      </c>
      <c r="AJ606" s="17"/>
      <c r="AK606" s="17" t="e">
        <f>IF(Data!#REF!="","",IF(ISNUMBER(MATCH(Data!#REF!,Data_Val!$A$2:$A$3,0)),0,1))</f>
        <v>#REF!</v>
      </c>
      <c r="AL606" s="25" t="e">
        <f ca="1">IF(Data!#REF!="","",IF(ISNUMBER(Data!#REF!),IF(AND(Data!#REF!&gt;(TODAY()-(Data_Val!$L$3*365.25)),Data!#REF!&lt;=(TODAY()-(Data_Val!$L$2*365.25))),0,1),1))</f>
        <v>#REF!</v>
      </c>
      <c r="AM606" s="17" t="e">
        <f>IF(Data!#REF!="","",IF(Data!$G606="",1,IF(ISNUMBER(MATCH(Data!#REF!,Data_Val!$D$2:$D$10,0)),0,1)))</f>
        <v>#REF!</v>
      </c>
      <c r="AN606" s="13"/>
      <c r="AO606" s="28" t="e">
        <f ca="1">IF(Data!#REF!="","",IF(ISNUMBER(Data!#REF!),IF(AND(Data!#REF!&gt;(TODAY()-(Data_Val!$I$3*365.25)),Data!#REF!&lt;=(TODAY()-(Data_Val!$I$2*365.25))),0,1),1))</f>
        <v>#REF!</v>
      </c>
      <c r="AP606" s="13" t="e">
        <f>IF(Data!#REF!="","",IF(Data!$G606="",1,IF(ISNUMBER(MATCH(Data!#REF!,Data_Val!$D$2:$D$10,0)),0,1)))</f>
        <v>#REF!</v>
      </c>
      <c r="AQ606" s="17"/>
      <c r="AR606" s="30" t="e">
        <f ca="1">IF(Data!#REF!="","",IF(ISNUMBER(Data!#REF!),IF(AND(Data!#REF!&gt;(TODAY()-(Data_Val!$I$3*365.25)),Data!#REF!&lt;=(TODAY()-(Data_Val!$I$2*365.25))),0,1),1))</f>
        <v>#REF!</v>
      </c>
      <c r="AS606" s="31" t="e">
        <f>IF(Data!#REF!="","",IF(Data!$G606="",1,IF(ISNUMBER(MATCH(Data!#REF!,Data_Val!$D$2:$D$10,0)),0,1)))</f>
        <v>#REF!</v>
      </c>
      <c r="AT606" s="11"/>
      <c r="AU606" s="11" t="e">
        <f ca="1">IF(Data!#REF!="","",IF(ISNUMBER(Data!#REF!),IF(AND(Data!#REF!&gt;(TODAY()-(Data_Val!$I$3*365.25)),Data!#REF!&lt;=(TODAY()-(Data_Val!$I$2*365.25))),0,1),1))</f>
        <v>#REF!</v>
      </c>
      <c r="AV606" s="11" t="e">
        <f>IF(Data!#REF!="","",IF(Data!$G606="",1,IF(ISNUMBER(MATCH(Data!#REF!,Data_Val!$D$2:$D$10,0)),0,1)))</f>
        <v>#REF!</v>
      </c>
      <c r="AW606" s="12"/>
      <c r="AX606" s="26" t="e">
        <f ca="1">IF(Data!#REF!="","",IF(ISNUMBER(Data!#REF!),IF(AND(Data!#REF!&gt;(TODAY()-(Data_Val!$I$3*365.25)),Data!#REF!&lt;=(TODAY()-(Data_Val!$I$2*365.25))),0,1),1))</f>
        <v>#REF!</v>
      </c>
      <c r="AY606" s="12" t="e">
        <f>IF(Data!#REF!="","",IF(Data!$G606="",1,IF(ISNUMBER(MATCH(Data!#REF!,Data_Val!$D$2:$D$10,0)),0,1)))</f>
        <v>#REF!</v>
      </c>
      <c r="AZ606" s="11"/>
      <c r="BA606" s="19" t="e">
        <f ca="1">IF(Data!#REF!="","",IF(ISNUMBER(Data!#REF!),IF(AND(Data!#REF!&gt;(TODAY()-(Data_Val!$M$3*365.25)),Data!#REF!&lt;=(TODAY()-(Data_Val!$M$2*365.25))),0,1),1))</f>
        <v>#REF!</v>
      </c>
      <c r="BB606" s="11" t="e">
        <f>IF(Data!#REF!="","",IF(Data!$G606="",1,IF(ISNUMBER(MATCH(Data!#REF!,Data_Val!$D$2:$D$10,0)),0,1)))</f>
        <v>#REF!</v>
      </c>
      <c r="BC606" s="12"/>
      <c r="BD606" s="20" t="e">
        <f ca="1">IF(Data!#REF!="","",IF(ISNUMBER(Data!#REF!),IF(AND(Data!#REF!&gt;(TODAY()-(Data_Val!$M$3*365.25)),Data!#REF!&lt;=(TODAY()-(Data_Val!$M$2*365.25))),0,1),1))</f>
        <v>#REF!</v>
      </c>
      <c r="BE606" s="12" t="e">
        <f>IF(Data!#REF!="","",IF(Data!$G606="",1,IF(ISNUMBER(MATCH(Data!#REF!,Data_Val!$D$2:$D$10,0)),0,1)))</f>
        <v>#REF!</v>
      </c>
      <c r="BF606" s="17"/>
      <c r="BG606" s="18" t="e">
        <f ca="1">IF(Data!#REF!="","",IF(ISNUMBER(Data!#REF!),IF(AND(Data!#REF!&gt;(TODAY()-(Data_Val!$M$3*365.25)),Data!#REF!&lt;=(TODAY()-(Data_Val!$M$2*365.25))),0,1),1))</f>
        <v>#REF!</v>
      </c>
      <c r="BH606" s="29" t="e">
        <f>IF(Data!#REF!="","",IF(Data!$G606="",1,IF(ISNUMBER(MATCH(Data!#REF!,Data_Val!$D$2:$D$10,0)),0,1)))</f>
        <v>#REF!</v>
      </c>
      <c r="BI606" s="13"/>
      <c r="BJ606" s="21" t="e">
        <f ca="1">IF(Data!#REF!="","",IF(ISNUMBER(Data!#REF!),IF(AND(Data!#REF!&gt;(TODAY()-(Data_Val!$M$3*365.25)),Data!#REF!&lt;=(TODAY()-(Data_Val!$M$2*365.25))),0,1),1))</f>
        <v>#REF!</v>
      </c>
      <c r="BK606" s="13" t="e">
        <f>IF(Data!#REF!="","",IF(Data!$G606="",1,IF(ISNUMBER(MATCH(Data!#REF!,Data_Val!$D$2:$D$10,0)),0,1)))</f>
        <v>#REF!</v>
      </c>
    </row>
    <row r="607" spans="1:63" x14ac:dyDescent="0.25">
      <c r="A607" s="9" t="str">
        <f>IF(Data!B607="","",IF(COUNTIFS(Data!A$1:'Data'!A607,Data!A607)&lt;=1,0,1))</f>
        <v/>
      </c>
      <c r="B607" s="9"/>
      <c r="C607" s="23" t="str">
        <f>IF(Data!C607="","",(IF(ISNUMBER(MATCH("*@*.?*",Data!C607,0)),0,1)+IF(COUNTIFS(Data!C$1:'Data'!C607,Data!C607)&gt;1,1,0)))</f>
        <v/>
      </c>
      <c r="D607" s="9" t="str">
        <f>IF(Data!B607="","",IF(ISNUMBER(Data!D607),IF(AND(Data!D607&gt;999999999,Data!D607&lt;=9999999999),IF(COUNTIFS(Data!D$1:'Data'!D607,Data!D607)&lt;=1,0,1),1),1))</f>
        <v/>
      </c>
      <c r="E607" s="9" t="str">
        <f>IF(Data!B607="","",IF(ISNUMBER(MATCH(Data!E607,Data_Val!$A$2:$A$3,0)),0,1))</f>
        <v/>
      </c>
      <c r="F607" s="9" t="str">
        <f ca="1">IF(Data!B607="","",IF(ISNUMBER(Data!F607),IF(AND(Data!F607&gt;(TODAY()-(Data_Val!$H$3*365.25)),Data!F607&lt;=(TODAY()-(Data_Val!$H$2*365.25))),0,1),1))</f>
        <v/>
      </c>
      <c r="G607" s="15" t="str">
        <f>IF(Data!B607="","",IF(AND(Data!G607="",Data!H607&lt;&gt;""),1,IF(Data!#REF!&lt;&gt;"",0,IF(ISNUMBER(MATCH(Data!G607,Data_Val!$C$2:$C$5,0)),0,1))))</f>
        <v/>
      </c>
      <c r="H607" s="15" t="str">
        <f>IF(Data!B607="","",IF(AND(Data!G607&lt;&gt;"",Data!H607=""),1,IF(Data!#REF!&lt;&gt;"",0,IF(Data!G607="",1,IF(ISNUMBER(MATCH(Data!H607,Data_Val!$D$2:$D$35,0)),0,1)))))</f>
        <v/>
      </c>
      <c r="I607" s="15" t="str">
        <f>IF(Data!B607="","",IF(Data!G607&lt;&gt;"",0,IF(ISNUMBER(MATCH(Data!#REF!,Data_Val!$E$2:$E$12,0)),0,1)))</f>
        <v/>
      </c>
      <c r="J607" s="16" t="e">
        <f>IF(OR(Data!B607="",Data!#REF!=""),"",IF(Data!#REF!="",1,0))</f>
        <v>#REF!</v>
      </c>
      <c r="K607" s="16" t="e">
        <f>IF(OR(Data!B607="",Data!#REF!=""),"",IF(Data!#REF!="",1,0))</f>
        <v>#REF!</v>
      </c>
      <c r="L607" s="16" t="e">
        <f>IF(OR(Data!B607="",Data!#REF!=""),"",IF(ISNUMBER(Data!#REF!),IF(AND(Data!#REF!&gt;Data_Val!$G$2,Data!#REF!&lt;=Data_Val!$G$3),0,1),1))</f>
        <v>#REF!</v>
      </c>
      <c r="M607" s="9" t="e">
        <f>IF(OR(Data!B607="",Data!#REF!=""),"",IF(ISNUMBER(MATCH(Data!#REF!,Data_Val!$F$1:$F$38,0)),0,1))</f>
        <v>#REF!</v>
      </c>
      <c r="N607" s="9" t="e">
        <f>IF(OR(Data!B607="",Data!#REF!=""),"",IF(Data!#REF!="",1,0))</f>
        <v>#REF!</v>
      </c>
      <c r="O607" s="17" t="e">
        <f>IF(Data!#REF!="","",IF(Data!#REF!="",1,0))</f>
        <v>#REF!</v>
      </c>
      <c r="P607" s="17" t="e">
        <f>IF(Data!#REF!="","",IF(ISNUMBER(MATCH(Data!#REF!,Data_Val!$A$2:$A$3,0)),0,1))</f>
        <v>#REF!</v>
      </c>
      <c r="Q607" s="25" t="e">
        <f ca="1">IF(Data!#REF!="","",IF(ISNUMBER(Data!#REF!),IF(AND(Data!#REF!&gt;(TODAY()-(Data_Val!$J$3*365.25)),Data!#REF!&lt;=(TODAY()-(Data_Val!$J$2*365.25))),0,1),1))</f>
        <v>#REF!</v>
      </c>
      <c r="R607" s="17" t="e">
        <f>IF(Data!#REF!="","",IF(ISNUMBER(MATCH(Data!#REF!,Data_Val!$B$2:$B$15,0)),0,1))</f>
        <v>#REF!</v>
      </c>
      <c r="S607" s="11" t="str">
        <f>IF(Data!G607="","",IF(Data!G607=Data_Val!$C$2,IF(Data!M607="",0,1),0))</f>
        <v/>
      </c>
      <c r="T607" s="11" t="str">
        <f>IF(Data!M607="","",IF(ISNUMBER(MATCH(Data!N607,Data_Val!$A$2:$A$3,0)),0,1))</f>
        <v/>
      </c>
      <c r="U607" s="11" t="str">
        <f ca="1">IF(Data!M607="","",IF(ISNUMBER(Data!O607),IF(AND(Data!O607&gt;(TODAY()-(Data_Val!$K$3*365.25)),Data!O607&lt;=(TODAY()-(Data_Val!$K$2*365.25))),0,1),1))</f>
        <v/>
      </c>
      <c r="V607" s="12" t="str">
        <f>IF(Data!G607="","",IF(Data!G607=Data_Val!$C$2,IF(Data!P607="",0,1),0))</f>
        <v/>
      </c>
      <c r="W607" s="12" t="str">
        <f>IF(Data!P607="","",IF(ISNUMBER(MATCH(Data!Q607,Data_Val!$A$2:$A$3,0)),0,1))</f>
        <v/>
      </c>
      <c r="X607" s="26" t="str">
        <f ca="1">IF(Data!P607="","",IF(ISNUMBER(Data!R607),IF(AND(Data!R607&gt;(TODAY()-(Data_Val!$L$3*365.25)),Data!R607&lt;=(TODAY()-(Data_Val!$L$2*365.25))),0,1),1))</f>
        <v/>
      </c>
      <c r="Y607" s="13" t="str">
        <f>IF(Data!$G607="","",IF(Data!$G607=Data_Val!$C$2,IF(Data!S607="",0,1),0))</f>
        <v/>
      </c>
      <c r="Z607" s="13" t="str">
        <f>IF(Data!S607="","",IF(ISNUMBER(MATCH(Data!T607,Data_Val!$A$2:$A$3,0)),0,1))</f>
        <v/>
      </c>
      <c r="AA607" s="28" t="str">
        <f ca="1">IF(Data!S607="","",IF(ISNUMBER(Data!U607),IF(AND(Data!U607&gt;(TODAY()-(Data_Val!$L$3*365.25)),Data!U607&lt;=(TODAY()-(Data_Val!$L$2*365.25))),0,1),1))</f>
        <v/>
      </c>
      <c r="AB607" s="11"/>
      <c r="AC607" s="11" t="e">
        <f>IF(Data!#REF!="","",IF(ISNUMBER(MATCH(Data!#REF!,Data_Val!$A$2:$A$3,0)),0,1))</f>
        <v>#REF!</v>
      </c>
      <c r="AD607" s="11" t="e">
        <f ca="1">IF(Data!#REF!="","",IF(ISNUMBER(Data!#REF!),IF(AND(Data!#REF!&gt;(TODAY()-(Data_Val!$L$3*365.25)),Data!#REF!&lt;=(TODAY()-(Data_Val!$L$2*365.25))),0,1),1))</f>
        <v>#REF!</v>
      </c>
      <c r="AE607" s="11" t="e">
        <f>IF(Data!#REF!="","",IF(Data!$G607="",1,IF(ISNUMBER(MATCH(Data!#REF!,Data_Val!$D$2:$D$10,0)),0,1)))</f>
        <v>#REF!</v>
      </c>
      <c r="AF607" s="12"/>
      <c r="AG607" s="12" t="e">
        <f>IF(Data!#REF!="","",IF(ISNUMBER(MATCH(Data!#REF!,Data_Val!$A$2:$A$3,0)),0,1))</f>
        <v>#REF!</v>
      </c>
      <c r="AH607" s="26" t="e">
        <f ca="1">IF(Data!#REF!="","",IF(ISNUMBER(Data!#REF!),IF(AND(Data!#REF!&gt;(TODAY()-(Data_Val!$L$3*365.25)),Data!#REF!&lt;=(TODAY()-(Data_Val!$L$2*365.25))),0,1),1))</f>
        <v>#REF!</v>
      </c>
      <c r="AI607" s="12" t="e">
        <f>IF(Data!#REF!="","",IF(Data!$G607="",1,IF(ISNUMBER(MATCH(Data!#REF!,Data_Val!$D$2:$D$10,0)),0,1)))</f>
        <v>#REF!</v>
      </c>
      <c r="AJ607" s="17"/>
      <c r="AK607" s="17" t="e">
        <f>IF(Data!#REF!="","",IF(ISNUMBER(MATCH(Data!#REF!,Data_Val!$A$2:$A$3,0)),0,1))</f>
        <v>#REF!</v>
      </c>
      <c r="AL607" s="25" t="e">
        <f ca="1">IF(Data!#REF!="","",IF(ISNUMBER(Data!#REF!),IF(AND(Data!#REF!&gt;(TODAY()-(Data_Val!$L$3*365.25)),Data!#REF!&lt;=(TODAY()-(Data_Val!$L$2*365.25))),0,1),1))</f>
        <v>#REF!</v>
      </c>
      <c r="AM607" s="17" t="e">
        <f>IF(Data!#REF!="","",IF(Data!$G607="",1,IF(ISNUMBER(MATCH(Data!#REF!,Data_Val!$D$2:$D$10,0)),0,1)))</f>
        <v>#REF!</v>
      </c>
      <c r="AN607" s="13"/>
      <c r="AO607" s="28" t="e">
        <f ca="1">IF(Data!#REF!="","",IF(ISNUMBER(Data!#REF!),IF(AND(Data!#REF!&gt;(TODAY()-(Data_Val!$I$3*365.25)),Data!#REF!&lt;=(TODAY()-(Data_Val!$I$2*365.25))),0,1),1))</f>
        <v>#REF!</v>
      </c>
      <c r="AP607" s="13" t="e">
        <f>IF(Data!#REF!="","",IF(Data!$G607="",1,IF(ISNUMBER(MATCH(Data!#REF!,Data_Val!$D$2:$D$10,0)),0,1)))</f>
        <v>#REF!</v>
      </c>
      <c r="AQ607" s="17"/>
      <c r="AR607" s="30" t="e">
        <f ca="1">IF(Data!#REF!="","",IF(ISNUMBER(Data!#REF!),IF(AND(Data!#REF!&gt;(TODAY()-(Data_Val!$I$3*365.25)),Data!#REF!&lt;=(TODAY()-(Data_Val!$I$2*365.25))),0,1),1))</f>
        <v>#REF!</v>
      </c>
      <c r="AS607" s="31" t="e">
        <f>IF(Data!#REF!="","",IF(Data!$G607="",1,IF(ISNUMBER(MATCH(Data!#REF!,Data_Val!$D$2:$D$10,0)),0,1)))</f>
        <v>#REF!</v>
      </c>
      <c r="AT607" s="11"/>
      <c r="AU607" s="11" t="e">
        <f ca="1">IF(Data!#REF!="","",IF(ISNUMBER(Data!#REF!),IF(AND(Data!#REF!&gt;(TODAY()-(Data_Val!$I$3*365.25)),Data!#REF!&lt;=(TODAY()-(Data_Val!$I$2*365.25))),0,1),1))</f>
        <v>#REF!</v>
      </c>
      <c r="AV607" s="11" t="e">
        <f>IF(Data!#REF!="","",IF(Data!$G607="",1,IF(ISNUMBER(MATCH(Data!#REF!,Data_Val!$D$2:$D$10,0)),0,1)))</f>
        <v>#REF!</v>
      </c>
      <c r="AW607" s="12"/>
      <c r="AX607" s="26" t="e">
        <f ca="1">IF(Data!#REF!="","",IF(ISNUMBER(Data!#REF!),IF(AND(Data!#REF!&gt;(TODAY()-(Data_Val!$I$3*365.25)),Data!#REF!&lt;=(TODAY()-(Data_Val!$I$2*365.25))),0,1),1))</f>
        <v>#REF!</v>
      </c>
      <c r="AY607" s="12" t="e">
        <f>IF(Data!#REF!="","",IF(Data!$G607="",1,IF(ISNUMBER(MATCH(Data!#REF!,Data_Val!$D$2:$D$10,0)),0,1)))</f>
        <v>#REF!</v>
      </c>
      <c r="AZ607" s="11"/>
      <c r="BA607" s="19" t="e">
        <f ca="1">IF(Data!#REF!="","",IF(ISNUMBER(Data!#REF!),IF(AND(Data!#REF!&gt;(TODAY()-(Data_Val!$M$3*365.25)),Data!#REF!&lt;=(TODAY()-(Data_Val!$M$2*365.25))),0,1),1))</f>
        <v>#REF!</v>
      </c>
      <c r="BB607" s="11" t="e">
        <f>IF(Data!#REF!="","",IF(Data!$G607="",1,IF(ISNUMBER(MATCH(Data!#REF!,Data_Val!$D$2:$D$10,0)),0,1)))</f>
        <v>#REF!</v>
      </c>
      <c r="BC607" s="12"/>
      <c r="BD607" s="20" t="e">
        <f ca="1">IF(Data!#REF!="","",IF(ISNUMBER(Data!#REF!),IF(AND(Data!#REF!&gt;(TODAY()-(Data_Val!$M$3*365.25)),Data!#REF!&lt;=(TODAY()-(Data_Val!$M$2*365.25))),0,1),1))</f>
        <v>#REF!</v>
      </c>
      <c r="BE607" s="12" t="e">
        <f>IF(Data!#REF!="","",IF(Data!$G607="",1,IF(ISNUMBER(MATCH(Data!#REF!,Data_Val!$D$2:$D$10,0)),0,1)))</f>
        <v>#REF!</v>
      </c>
      <c r="BF607" s="17"/>
      <c r="BG607" s="18" t="e">
        <f ca="1">IF(Data!#REF!="","",IF(ISNUMBER(Data!#REF!),IF(AND(Data!#REF!&gt;(TODAY()-(Data_Val!$M$3*365.25)),Data!#REF!&lt;=(TODAY()-(Data_Val!$M$2*365.25))),0,1),1))</f>
        <v>#REF!</v>
      </c>
      <c r="BH607" s="29" t="e">
        <f>IF(Data!#REF!="","",IF(Data!$G607="",1,IF(ISNUMBER(MATCH(Data!#REF!,Data_Val!$D$2:$D$10,0)),0,1)))</f>
        <v>#REF!</v>
      </c>
      <c r="BI607" s="13"/>
      <c r="BJ607" s="21" t="e">
        <f ca="1">IF(Data!#REF!="","",IF(ISNUMBER(Data!#REF!),IF(AND(Data!#REF!&gt;(TODAY()-(Data_Val!$M$3*365.25)),Data!#REF!&lt;=(TODAY()-(Data_Val!$M$2*365.25))),0,1),1))</f>
        <v>#REF!</v>
      </c>
      <c r="BK607" s="13" t="e">
        <f>IF(Data!#REF!="","",IF(Data!$G607="",1,IF(ISNUMBER(MATCH(Data!#REF!,Data_Val!$D$2:$D$10,0)),0,1)))</f>
        <v>#REF!</v>
      </c>
    </row>
    <row r="608" spans="1:63" x14ac:dyDescent="0.25">
      <c r="A608" s="9" t="str">
        <f>IF(Data!B608="","",IF(COUNTIFS(Data!A$1:'Data'!A608,Data!A608)&lt;=1,0,1))</f>
        <v/>
      </c>
      <c r="B608" s="9"/>
      <c r="C608" s="23" t="str">
        <f>IF(Data!C608="","",(IF(ISNUMBER(MATCH("*@*.?*",Data!C608,0)),0,1)+IF(COUNTIFS(Data!C$1:'Data'!C608,Data!C608)&gt;1,1,0)))</f>
        <v/>
      </c>
      <c r="D608" s="9" t="str">
        <f>IF(Data!B608="","",IF(ISNUMBER(Data!D608),IF(AND(Data!D608&gt;999999999,Data!D608&lt;=9999999999),IF(COUNTIFS(Data!D$1:'Data'!D608,Data!D608)&lt;=1,0,1),1),1))</f>
        <v/>
      </c>
      <c r="E608" s="9" t="str">
        <f>IF(Data!B608="","",IF(ISNUMBER(MATCH(Data!E608,Data_Val!$A$2:$A$3,0)),0,1))</f>
        <v/>
      </c>
      <c r="F608" s="9" t="str">
        <f ca="1">IF(Data!B608="","",IF(ISNUMBER(Data!F608),IF(AND(Data!F608&gt;(TODAY()-(Data_Val!$H$3*365.25)),Data!F608&lt;=(TODAY()-(Data_Val!$H$2*365.25))),0,1),1))</f>
        <v/>
      </c>
      <c r="G608" s="15" t="str">
        <f>IF(Data!B608="","",IF(AND(Data!G608="",Data!H608&lt;&gt;""),1,IF(Data!#REF!&lt;&gt;"",0,IF(ISNUMBER(MATCH(Data!G608,Data_Val!$C$2:$C$5,0)),0,1))))</f>
        <v/>
      </c>
      <c r="H608" s="15" t="str">
        <f>IF(Data!B608="","",IF(AND(Data!G608&lt;&gt;"",Data!H608=""),1,IF(Data!#REF!&lt;&gt;"",0,IF(Data!G608="",1,IF(ISNUMBER(MATCH(Data!H608,Data_Val!$D$2:$D$35,0)),0,1)))))</f>
        <v/>
      </c>
      <c r="I608" s="15" t="str">
        <f>IF(Data!B608="","",IF(Data!G608&lt;&gt;"",0,IF(ISNUMBER(MATCH(Data!#REF!,Data_Val!$E$2:$E$12,0)),0,1)))</f>
        <v/>
      </c>
      <c r="J608" s="16" t="e">
        <f>IF(OR(Data!B608="",Data!#REF!=""),"",IF(Data!#REF!="",1,0))</f>
        <v>#REF!</v>
      </c>
      <c r="K608" s="16" t="e">
        <f>IF(OR(Data!B608="",Data!#REF!=""),"",IF(Data!#REF!="",1,0))</f>
        <v>#REF!</v>
      </c>
      <c r="L608" s="16" t="e">
        <f>IF(OR(Data!B608="",Data!#REF!=""),"",IF(ISNUMBER(Data!#REF!),IF(AND(Data!#REF!&gt;Data_Val!$G$2,Data!#REF!&lt;=Data_Val!$G$3),0,1),1))</f>
        <v>#REF!</v>
      </c>
      <c r="M608" s="9" t="e">
        <f>IF(OR(Data!B608="",Data!#REF!=""),"",IF(ISNUMBER(MATCH(Data!#REF!,Data_Val!$F$1:$F$38,0)),0,1))</f>
        <v>#REF!</v>
      </c>
      <c r="N608" s="9" t="e">
        <f>IF(OR(Data!B608="",Data!#REF!=""),"",IF(Data!#REF!="",1,0))</f>
        <v>#REF!</v>
      </c>
      <c r="O608" s="17" t="e">
        <f>IF(Data!#REF!="","",IF(Data!#REF!="",1,0))</f>
        <v>#REF!</v>
      </c>
      <c r="P608" s="17" t="e">
        <f>IF(Data!#REF!="","",IF(ISNUMBER(MATCH(Data!#REF!,Data_Val!$A$2:$A$3,0)),0,1))</f>
        <v>#REF!</v>
      </c>
      <c r="Q608" s="25" t="e">
        <f ca="1">IF(Data!#REF!="","",IF(ISNUMBER(Data!#REF!),IF(AND(Data!#REF!&gt;(TODAY()-(Data_Val!$J$3*365.25)),Data!#REF!&lt;=(TODAY()-(Data_Val!$J$2*365.25))),0,1),1))</f>
        <v>#REF!</v>
      </c>
      <c r="R608" s="17" t="e">
        <f>IF(Data!#REF!="","",IF(ISNUMBER(MATCH(Data!#REF!,Data_Val!$B$2:$B$15,0)),0,1))</f>
        <v>#REF!</v>
      </c>
      <c r="S608" s="11" t="str">
        <f>IF(Data!G608="","",IF(Data!G608=Data_Val!$C$2,IF(Data!M608="",0,1),0))</f>
        <v/>
      </c>
      <c r="T608" s="11" t="str">
        <f>IF(Data!M608="","",IF(ISNUMBER(MATCH(Data!N608,Data_Val!$A$2:$A$3,0)),0,1))</f>
        <v/>
      </c>
      <c r="U608" s="11" t="str">
        <f ca="1">IF(Data!M608="","",IF(ISNUMBER(Data!O608),IF(AND(Data!O608&gt;(TODAY()-(Data_Val!$K$3*365.25)),Data!O608&lt;=(TODAY()-(Data_Val!$K$2*365.25))),0,1),1))</f>
        <v/>
      </c>
      <c r="V608" s="12" t="str">
        <f>IF(Data!G608="","",IF(Data!G608=Data_Val!$C$2,IF(Data!P608="",0,1),0))</f>
        <v/>
      </c>
      <c r="W608" s="12" t="str">
        <f>IF(Data!P608="","",IF(ISNUMBER(MATCH(Data!Q608,Data_Val!$A$2:$A$3,0)),0,1))</f>
        <v/>
      </c>
      <c r="X608" s="26" t="str">
        <f ca="1">IF(Data!P608="","",IF(ISNUMBER(Data!R608),IF(AND(Data!R608&gt;(TODAY()-(Data_Val!$L$3*365.25)),Data!R608&lt;=(TODAY()-(Data_Val!$L$2*365.25))),0,1),1))</f>
        <v/>
      </c>
      <c r="Y608" s="13" t="str">
        <f>IF(Data!$G608="","",IF(Data!$G608=Data_Val!$C$2,IF(Data!S608="",0,1),0))</f>
        <v/>
      </c>
      <c r="Z608" s="13" t="str">
        <f>IF(Data!S608="","",IF(ISNUMBER(MATCH(Data!T608,Data_Val!$A$2:$A$3,0)),0,1))</f>
        <v/>
      </c>
      <c r="AA608" s="28" t="str">
        <f ca="1">IF(Data!S608="","",IF(ISNUMBER(Data!U608),IF(AND(Data!U608&gt;(TODAY()-(Data_Val!$L$3*365.25)),Data!U608&lt;=(TODAY()-(Data_Val!$L$2*365.25))),0,1),1))</f>
        <v/>
      </c>
      <c r="AB608" s="11"/>
      <c r="AC608" s="11" t="e">
        <f>IF(Data!#REF!="","",IF(ISNUMBER(MATCH(Data!#REF!,Data_Val!$A$2:$A$3,0)),0,1))</f>
        <v>#REF!</v>
      </c>
      <c r="AD608" s="11" t="e">
        <f ca="1">IF(Data!#REF!="","",IF(ISNUMBER(Data!#REF!),IF(AND(Data!#REF!&gt;(TODAY()-(Data_Val!$L$3*365.25)),Data!#REF!&lt;=(TODAY()-(Data_Val!$L$2*365.25))),0,1),1))</f>
        <v>#REF!</v>
      </c>
      <c r="AE608" s="11" t="e">
        <f>IF(Data!#REF!="","",IF(Data!$G608="",1,IF(ISNUMBER(MATCH(Data!#REF!,Data_Val!$D$2:$D$10,0)),0,1)))</f>
        <v>#REF!</v>
      </c>
      <c r="AF608" s="12"/>
      <c r="AG608" s="12" t="e">
        <f>IF(Data!#REF!="","",IF(ISNUMBER(MATCH(Data!#REF!,Data_Val!$A$2:$A$3,0)),0,1))</f>
        <v>#REF!</v>
      </c>
      <c r="AH608" s="26" t="e">
        <f ca="1">IF(Data!#REF!="","",IF(ISNUMBER(Data!#REF!),IF(AND(Data!#REF!&gt;(TODAY()-(Data_Val!$L$3*365.25)),Data!#REF!&lt;=(TODAY()-(Data_Val!$L$2*365.25))),0,1),1))</f>
        <v>#REF!</v>
      </c>
      <c r="AI608" s="12" t="e">
        <f>IF(Data!#REF!="","",IF(Data!$G608="",1,IF(ISNUMBER(MATCH(Data!#REF!,Data_Val!$D$2:$D$10,0)),0,1)))</f>
        <v>#REF!</v>
      </c>
      <c r="AJ608" s="17"/>
      <c r="AK608" s="17" t="e">
        <f>IF(Data!#REF!="","",IF(ISNUMBER(MATCH(Data!#REF!,Data_Val!$A$2:$A$3,0)),0,1))</f>
        <v>#REF!</v>
      </c>
      <c r="AL608" s="25" t="e">
        <f ca="1">IF(Data!#REF!="","",IF(ISNUMBER(Data!#REF!),IF(AND(Data!#REF!&gt;(TODAY()-(Data_Val!$L$3*365.25)),Data!#REF!&lt;=(TODAY()-(Data_Val!$L$2*365.25))),0,1),1))</f>
        <v>#REF!</v>
      </c>
      <c r="AM608" s="17" t="e">
        <f>IF(Data!#REF!="","",IF(Data!$G608="",1,IF(ISNUMBER(MATCH(Data!#REF!,Data_Val!$D$2:$D$10,0)),0,1)))</f>
        <v>#REF!</v>
      </c>
      <c r="AN608" s="13"/>
      <c r="AO608" s="28" t="e">
        <f ca="1">IF(Data!#REF!="","",IF(ISNUMBER(Data!#REF!),IF(AND(Data!#REF!&gt;(TODAY()-(Data_Val!$I$3*365.25)),Data!#REF!&lt;=(TODAY()-(Data_Val!$I$2*365.25))),0,1),1))</f>
        <v>#REF!</v>
      </c>
      <c r="AP608" s="13" t="e">
        <f>IF(Data!#REF!="","",IF(Data!$G608="",1,IF(ISNUMBER(MATCH(Data!#REF!,Data_Val!$D$2:$D$10,0)),0,1)))</f>
        <v>#REF!</v>
      </c>
      <c r="AQ608" s="17"/>
      <c r="AR608" s="30" t="e">
        <f ca="1">IF(Data!#REF!="","",IF(ISNUMBER(Data!#REF!),IF(AND(Data!#REF!&gt;(TODAY()-(Data_Val!$I$3*365.25)),Data!#REF!&lt;=(TODAY()-(Data_Val!$I$2*365.25))),0,1),1))</f>
        <v>#REF!</v>
      </c>
      <c r="AS608" s="31" t="e">
        <f>IF(Data!#REF!="","",IF(Data!$G608="",1,IF(ISNUMBER(MATCH(Data!#REF!,Data_Val!$D$2:$D$10,0)),0,1)))</f>
        <v>#REF!</v>
      </c>
      <c r="AT608" s="11"/>
      <c r="AU608" s="11" t="e">
        <f ca="1">IF(Data!#REF!="","",IF(ISNUMBER(Data!#REF!),IF(AND(Data!#REF!&gt;(TODAY()-(Data_Val!$I$3*365.25)),Data!#REF!&lt;=(TODAY()-(Data_Val!$I$2*365.25))),0,1),1))</f>
        <v>#REF!</v>
      </c>
      <c r="AV608" s="11" t="e">
        <f>IF(Data!#REF!="","",IF(Data!$G608="",1,IF(ISNUMBER(MATCH(Data!#REF!,Data_Val!$D$2:$D$10,0)),0,1)))</f>
        <v>#REF!</v>
      </c>
      <c r="AW608" s="12"/>
      <c r="AX608" s="26" t="e">
        <f ca="1">IF(Data!#REF!="","",IF(ISNUMBER(Data!#REF!),IF(AND(Data!#REF!&gt;(TODAY()-(Data_Val!$I$3*365.25)),Data!#REF!&lt;=(TODAY()-(Data_Val!$I$2*365.25))),0,1),1))</f>
        <v>#REF!</v>
      </c>
      <c r="AY608" s="12" t="e">
        <f>IF(Data!#REF!="","",IF(Data!$G608="",1,IF(ISNUMBER(MATCH(Data!#REF!,Data_Val!$D$2:$D$10,0)),0,1)))</f>
        <v>#REF!</v>
      </c>
      <c r="AZ608" s="11"/>
      <c r="BA608" s="19" t="e">
        <f ca="1">IF(Data!#REF!="","",IF(ISNUMBER(Data!#REF!),IF(AND(Data!#REF!&gt;(TODAY()-(Data_Val!$M$3*365.25)),Data!#REF!&lt;=(TODAY()-(Data_Val!$M$2*365.25))),0,1),1))</f>
        <v>#REF!</v>
      </c>
      <c r="BB608" s="11" t="e">
        <f>IF(Data!#REF!="","",IF(Data!$G608="",1,IF(ISNUMBER(MATCH(Data!#REF!,Data_Val!$D$2:$D$10,0)),0,1)))</f>
        <v>#REF!</v>
      </c>
      <c r="BC608" s="12"/>
      <c r="BD608" s="20" t="e">
        <f ca="1">IF(Data!#REF!="","",IF(ISNUMBER(Data!#REF!),IF(AND(Data!#REF!&gt;(TODAY()-(Data_Val!$M$3*365.25)),Data!#REF!&lt;=(TODAY()-(Data_Val!$M$2*365.25))),0,1),1))</f>
        <v>#REF!</v>
      </c>
      <c r="BE608" s="12" t="e">
        <f>IF(Data!#REF!="","",IF(Data!$G608="",1,IF(ISNUMBER(MATCH(Data!#REF!,Data_Val!$D$2:$D$10,0)),0,1)))</f>
        <v>#REF!</v>
      </c>
      <c r="BF608" s="17"/>
      <c r="BG608" s="18" t="e">
        <f ca="1">IF(Data!#REF!="","",IF(ISNUMBER(Data!#REF!),IF(AND(Data!#REF!&gt;(TODAY()-(Data_Val!$M$3*365.25)),Data!#REF!&lt;=(TODAY()-(Data_Val!$M$2*365.25))),0,1),1))</f>
        <v>#REF!</v>
      </c>
      <c r="BH608" s="29" t="e">
        <f>IF(Data!#REF!="","",IF(Data!$G608="",1,IF(ISNUMBER(MATCH(Data!#REF!,Data_Val!$D$2:$D$10,0)),0,1)))</f>
        <v>#REF!</v>
      </c>
      <c r="BI608" s="13"/>
      <c r="BJ608" s="21" t="e">
        <f ca="1">IF(Data!#REF!="","",IF(ISNUMBER(Data!#REF!),IF(AND(Data!#REF!&gt;(TODAY()-(Data_Val!$M$3*365.25)),Data!#REF!&lt;=(TODAY()-(Data_Val!$M$2*365.25))),0,1),1))</f>
        <v>#REF!</v>
      </c>
      <c r="BK608" s="13" t="e">
        <f>IF(Data!#REF!="","",IF(Data!$G608="",1,IF(ISNUMBER(MATCH(Data!#REF!,Data_Val!$D$2:$D$10,0)),0,1)))</f>
        <v>#REF!</v>
      </c>
    </row>
    <row r="609" spans="1:63" x14ac:dyDescent="0.25">
      <c r="A609" s="9" t="str">
        <f>IF(Data!B609="","",IF(COUNTIFS(Data!A$1:'Data'!A609,Data!A609)&lt;=1,0,1))</f>
        <v/>
      </c>
      <c r="B609" s="9"/>
      <c r="C609" s="23" t="str">
        <f>IF(Data!C609="","",(IF(ISNUMBER(MATCH("*@*.?*",Data!C609,0)),0,1)+IF(COUNTIFS(Data!C$1:'Data'!C609,Data!C609)&gt;1,1,0)))</f>
        <v/>
      </c>
      <c r="D609" s="9" t="str">
        <f>IF(Data!B609="","",IF(ISNUMBER(Data!D609),IF(AND(Data!D609&gt;999999999,Data!D609&lt;=9999999999),IF(COUNTIFS(Data!D$1:'Data'!D609,Data!D609)&lt;=1,0,1),1),1))</f>
        <v/>
      </c>
      <c r="E609" s="9" t="str">
        <f>IF(Data!B609="","",IF(ISNUMBER(MATCH(Data!E609,Data_Val!$A$2:$A$3,0)),0,1))</f>
        <v/>
      </c>
      <c r="F609" s="9" t="str">
        <f ca="1">IF(Data!B609="","",IF(ISNUMBER(Data!F609),IF(AND(Data!F609&gt;(TODAY()-(Data_Val!$H$3*365.25)),Data!F609&lt;=(TODAY()-(Data_Val!$H$2*365.25))),0,1),1))</f>
        <v/>
      </c>
      <c r="G609" s="15" t="str">
        <f>IF(Data!B609="","",IF(AND(Data!G609="",Data!H609&lt;&gt;""),1,IF(Data!#REF!&lt;&gt;"",0,IF(ISNUMBER(MATCH(Data!G609,Data_Val!$C$2:$C$5,0)),0,1))))</f>
        <v/>
      </c>
      <c r="H609" s="15" t="str">
        <f>IF(Data!B609="","",IF(AND(Data!G609&lt;&gt;"",Data!H609=""),1,IF(Data!#REF!&lt;&gt;"",0,IF(Data!G609="",1,IF(ISNUMBER(MATCH(Data!H609,Data_Val!$D$2:$D$35,0)),0,1)))))</f>
        <v/>
      </c>
      <c r="I609" s="15" t="str">
        <f>IF(Data!B609="","",IF(Data!G609&lt;&gt;"",0,IF(ISNUMBER(MATCH(Data!#REF!,Data_Val!$E$2:$E$12,0)),0,1)))</f>
        <v/>
      </c>
      <c r="J609" s="16" t="e">
        <f>IF(OR(Data!B609="",Data!#REF!=""),"",IF(Data!#REF!="",1,0))</f>
        <v>#REF!</v>
      </c>
      <c r="K609" s="16" t="e">
        <f>IF(OR(Data!B609="",Data!#REF!=""),"",IF(Data!#REF!="",1,0))</f>
        <v>#REF!</v>
      </c>
      <c r="L609" s="16" t="e">
        <f>IF(OR(Data!B609="",Data!#REF!=""),"",IF(ISNUMBER(Data!#REF!),IF(AND(Data!#REF!&gt;Data_Val!$G$2,Data!#REF!&lt;=Data_Val!$G$3),0,1),1))</f>
        <v>#REF!</v>
      </c>
      <c r="M609" s="9" t="e">
        <f>IF(OR(Data!B609="",Data!#REF!=""),"",IF(ISNUMBER(MATCH(Data!#REF!,Data_Val!$F$1:$F$38,0)),0,1))</f>
        <v>#REF!</v>
      </c>
      <c r="N609" s="9" t="e">
        <f>IF(OR(Data!B609="",Data!#REF!=""),"",IF(Data!#REF!="",1,0))</f>
        <v>#REF!</v>
      </c>
      <c r="O609" s="17" t="e">
        <f>IF(Data!#REF!="","",IF(Data!#REF!="",1,0))</f>
        <v>#REF!</v>
      </c>
      <c r="P609" s="17" t="e">
        <f>IF(Data!#REF!="","",IF(ISNUMBER(MATCH(Data!#REF!,Data_Val!$A$2:$A$3,0)),0,1))</f>
        <v>#REF!</v>
      </c>
      <c r="Q609" s="25" t="e">
        <f ca="1">IF(Data!#REF!="","",IF(ISNUMBER(Data!#REF!),IF(AND(Data!#REF!&gt;(TODAY()-(Data_Val!$J$3*365.25)),Data!#REF!&lt;=(TODAY()-(Data_Val!$J$2*365.25))),0,1),1))</f>
        <v>#REF!</v>
      </c>
      <c r="R609" s="17" t="e">
        <f>IF(Data!#REF!="","",IF(ISNUMBER(MATCH(Data!#REF!,Data_Val!$B$2:$B$15,0)),0,1))</f>
        <v>#REF!</v>
      </c>
      <c r="S609" s="11" t="str">
        <f>IF(Data!G609="","",IF(Data!G609=Data_Val!$C$2,IF(Data!M609="",0,1),0))</f>
        <v/>
      </c>
      <c r="T609" s="11" t="str">
        <f>IF(Data!M609="","",IF(ISNUMBER(MATCH(Data!N609,Data_Val!$A$2:$A$3,0)),0,1))</f>
        <v/>
      </c>
      <c r="U609" s="11" t="str">
        <f ca="1">IF(Data!M609="","",IF(ISNUMBER(Data!O609),IF(AND(Data!O609&gt;(TODAY()-(Data_Val!$K$3*365.25)),Data!O609&lt;=(TODAY()-(Data_Val!$K$2*365.25))),0,1),1))</f>
        <v/>
      </c>
      <c r="V609" s="12" t="str">
        <f>IF(Data!G609="","",IF(Data!G609=Data_Val!$C$2,IF(Data!P609="",0,1),0))</f>
        <v/>
      </c>
      <c r="W609" s="12" t="str">
        <f>IF(Data!P609="","",IF(ISNUMBER(MATCH(Data!Q609,Data_Val!$A$2:$A$3,0)),0,1))</f>
        <v/>
      </c>
      <c r="X609" s="26" t="str">
        <f ca="1">IF(Data!P609="","",IF(ISNUMBER(Data!R609),IF(AND(Data!R609&gt;(TODAY()-(Data_Val!$L$3*365.25)),Data!R609&lt;=(TODAY()-(Data_Val!$L$2*365.25))),0,1),1))</f>
        <v/>
      </c>
      <c r="Y609" s="13" t="str">
        <f>IF(Data!$G609="","",IF(Data!$G609=Data_Val!$C$2,IF(Data!S609="",0,1),0))</f>
        <v/>
      </c>
      <c r="Z609" s="13" t="str">
        <f>IF(Data!S609="","",IF(ISNUMBER(MATCH(Data!T609,Data_Val!$A$2:$A$3,0)),0,1))</f>
        <v/>
      </c>
      <c r="AA609" s="28" t="str">
        <f ca="1">IF(Data!S609="","",IF(ISNUMBER(Data!U609),IF(AND(Data!U609&gt;(TODAY()-(Data_Val!$L$3*365.25)),Data!U609&lt;=(TODAY()-(Data_Val!$L$2*365.25))),0,1),1))</f>
        <v/>
      </c>
      <c r="AB609" s="11"/>
      <c r="AC609" s="11" t="e">
        <f>IF(Data!#REF!="","",IF(ISNUMBER(MATCH(Data!#REF!,Data_Val!$A$2:$A$3,0)),0,1))</f>
        <v>#REF!</v>
      </c>
      <c r="AD609" s="11" t="e">
        <f ca="1">IF(Data!#REF!="","",IF(ISNUMBER(Data!#REF!),IF(AND(Data!#REF!&gt;(TODAY()-(Data_Val!$L$3*365.25)),Data!#REF!&lt;=(TODAY()-(Data_Val!$L$2*365.25))),0,1),1))</f>
        <v>#REF!</v>
      </c>
      <c r="AE609" s="11" t="e">
        <f>IF(Data!#REF!="","",IF(Data!$G609="",1,IF(ISNUMBER(MATCH(Data!#REF!,Data_Val!$D$2:$D$10,0)),0,1)))</f>
        <v>#REF!</v>
      </c>
      <c r="AF609" s="12"/>
      <c r="AG609" s="12" t="e">
        <f>IF(Data!#REF!="","",IF(ISNUMBER(MATCH(Data!#REF!,Data_Val!$A$2:$A$3,0)),0,1))</f>
        <v>#REF!</v>
      </c>
      <c r="AH609" s="26" t="e">
        <f ca="1">IF(Data!#REF!="","",IF(ISNUMBER(Data!#REF!),IF(AND(Data!#REF!&gt;(TODAY()-(Data_Val!$L$3*365.25)),Data!#REF!&lt;=(TODAY()-(Data_Val!$L$2*365.25))),0,1),1))</f>
        <v>#REF!</v>
      </c>
      <c r="AI609" s="12" t="e">
        <f>IF(Data!#REF!="","",IF(Data!$G609="",1,IF(ISNUMBER(MATCH(Data!#REF!,Data_Val!$D$2:$D$10,0)),0,1)))</f>
        <v>#REF!</v>
      </c>
      <c r="AJ609" s="17"/>
      <c r="AK609" s="17" t="e">
        <f>IF(Data!#REF!="","",IF(ISNUMBER(MATCH(Data!#REF!,Data_Val!$A$2:$A$3,0)),0,1))</f>
        <v>#REF!</v>
      </c>
      <c r="AL609" s="25" t="e">
        <f ca="1">IF(Data!#REF!="","",IF(ISNUMBER(Data!#REF!),IF(AND(Data!#REF!&gt;(TODAY()-(Data_Val!$L$3*365.25)),Data!#REF!&lt;=(TODAY()-(Data_Val!$L$2*365.25))),0,1),1))</f>
        <v>#REF!</v>
      </c>
      <c r="AM609" s="17" t="e">
        <f>IF(Data!#REF!="","",IF(Data!$G609="",1,IF(ISNUMBER(MATCH(Data!#REF!,Data_Val!$D$2:$D$10,0)),0,1)))</f>
        <v>#REF!</v>
      </c>
      <c r="AN609" s="13"/>
      <c r="AO609" s="28" t="e">
        <f ca="1">IF(Data!#REF!="","",IF(ISNUMBER(Data!#REF!),IF(AND(Data!#REF!&gt;(TODAY()-(Data_Val!$I$3*365.25)),Data!#REF!&lt;=(TODAY()-(Data_Val!$I$2*365.25))),0,1),1))</f>
        <v>#REF!</v>
      </c>
      <c r="AP609" s="13" t="e">
        <f>IF(Data!#REF!="","",IF(Data!$G609="",1,IF(ISNUMBER(MATCH(Data!#REF!,Data_Val!$D$2:$D$10,0)),0,1)))</f>
        <v>#REF!</v>
      </c>
      <c r="AQ609" s="17"/>
      <c r="AR609" s="30" t="e">
        <f ca="1">IF(Data!#REF!="","",IF(ISNUMBER(Data!#REF!),IF(AND(Data!#REF!&gt;(TODAY()-(Data_Val!$I$3*365.25)),Data!#REF!&lt;=(TODAY()-(Data_Val!$I$2*365.25))),0,1),1))</f>
        <v>#REF!</v>
      </c>
      <c r="AS609" s="31" t="e">
        <f>IF(Data!#REF!="","",IF(Data!$G609="",1,IF(ISNUMBER(MATCH(Data!#REF!,Data_Val!$D$2:$D$10,0)),0,1)))</f>
        <v>#REF!</v>
      </c>
      <c r="AT609" s="11"/>
      <c r="AU609" s="11" t="e">
        <f ca="1">IF(Data!#REF!="","",IF(ISNUMBER(Data!#REF!),IF(AND(Data!#REF!&gt;(TODAY()-(Data_Val!$I$3*365.25)),Data!#REF!&lt;=(TODAY()-(Data_Val!$I$2*365.25))),0,1),1))</f>
        <v>#REF!</v>
      </c>
      <c r="AV609" s="11" t="e">
        <f>IF(Data!#REF!="","",IF(Data!$G609="",1,IF(ISNUMBER(MATCH(Data!#REF!,Data_Val!$D$2:$D$10,0)),0,1)))</f>
        <v>#REF!</v>
      </c>
      <c r="AW609" s="12"/>
      <c r="AX609" s="26" t="e">
        <f ca="1">IF(Data!#REF!="","",IF(ISNUMBER(Data!#REF!),IF(AND(Data!#REF!&gt;(TODAY()-(Data_Val!$I$3*365.25)),Data!#REF!&lt;=(TODAY()-(Data_Val!$I$2*365.25))),0,1),1))</f>
        <v>#REF!</v>
      </c>
      <c r="AY609" s="12" t="e">
        <f>IF(Data!#REF!="","",IF(Data!$G609="",1,IF(ISNUMBER(MATCH(Data!#REF!,Data_Val!$D$2:$D$10,0)),0,1)))</f>
        <v>#REF!</v>
      </c>
      <c r="AZ609" s="11"/>
      <c r="BA609" s="19" t="e">
        <f ca="1">IF(Data!#REF!="","",IF(ISNUMBER(Data!#REF!),IF(AND(Data!#REF!&gt;(TODAY()-(Data_Val!$M$3*365.25)),Data!#REF!&lt;=(TODAY()-(Data_Val!$M$2*365.25))),0,1),1))</f>
        <v>#REF!</v>
      </c>
      <c r="BB609" s="11" t="e">
        <f>IF(Data!#REF!="","",IF(Data!$G609="",1,IF(ISNUMBER(MATCH(Data!#REF!,Data_Val!$D$2:$D$10,0)),0,1)))</f>
        <v>#REF!</v>
      </c>
      <c r="BC609" s="12"/>
      <c r="BD609" s="20" t="e">
        <f ca="1">IF(Data!#REF!="","",IF(ISNUMBER(Data!#REF!),IF(AND(Data!#REF!&gt;(TODAY()-(Data_Val!$M$3*365.25)),Data!#REF!&lt;=(TODAY()-(Data_Val!$M$2*365.25))),0,1),1))</f>
        <v>#REF!</v>
      </c>
      <c r="BE609" s="12" t="e">
        <f>IF(Data!#REF!="","",IF(Data!$G609="",1,IF(ISNUMBER(MATCH(Data!#REF!,Data_Val!$D$2:$D$10,0)),0,1)))</f>
        <v>#REF!</v>
      </c>
      <c r="BF609" s="17"/>
      <c r="BG609" s="18" t="e">
        <f ca="1">IF(Data!#REF!="","",IF(ISNUMBER(Data!#REF!),IF(AND(Data!#REF!&gt;(TODAY()-(Data_Val!$M$3*365.25)),Data!#REF!&lt;=(TODAY()-(Data_Val!$M$2*365.25))),0,1),1))</f>
        <v>#REF!</v>
      </c>
      <c r="BH609" s="29" t="e">
        <f>IF(Data!#REF!="","",IF(Data!$G609="",1,IF(ISNUMBER(MATCH(Data!#REF!,Data_Val!$D$2:$D$10,0)),0,1)))</f>
        <v>#REF!</v>
      </c>
      <c r="BI609" s="13"/>
      <c r="BJ609" s="21" t="e">
        <f ca="1">IF(Data!#REF!="","",IF(ISNUMBER(Data!#REF!),IF(AND(Data!#REF!&gt;(TODAY()-(Data_Val!$M$3*365.25)),Data!#REF!&lt;=(TODAY()-(Data_Val!$M$2*365.25))),0,1),1))</f>
        <v>#REF!</v>
      </c>
      <c r="BK609" s="13" t="e">
        <f>IF(Data!#REF!="","",IF(Data!$G609="",1,IF(ISNUMBER(MATCH(Data!#REF!,Data_Val!$D$2:$D$10,0)),0,1)))</f>
        <v>#REF!</v>
      </c>
    </row>
    <row r="610" spans="1:63" x14ac:dyDescent="0.25">
      <c r="A610" s="9" t="str">
        <f>IF(Data!B610="","",IF(COUNTIFS(Data!A$1:'Data'!A610,Data!A610)&lt;=1,0,1))</f>
        <v/>
      </c>
      <c r="B610" s="9"/>
      <c r="C610" s="23" t="str">
        <f>IF(Data!C610="","",(IF(ISNUMBER(MATCH("*@*.?*",Data!C610,0)),0,1)+IF(COUNTIFS(Data!C$1:'Data'!C610,Data!C610)&gt;1,1,0)))</f>
        <v/>
      </c>
      <c r="D610" s="9" t="str">
        <f>IF(Data!B610="","",IF(ISNUMBER(Data!D610),IF(AND(Data!D610&gt;999999999,Data!D610&lt;=9999999999),IF(COUNTIFS(Data!D$1:'Data'!D610,Data!D610)&lt;=1,0,1),1),1))</f>
        <v/>
      </c>
      <c r="E610" s="9" t="str">
        <f>IF(Data!B610="","",IF(ISNUMBER(MATCH(Data!E610,Data_Val!$A$2:$A$3,0)),0,1))</f>
        <v/>
      </c>
      <c r="F610" s="9" t="str">
        <f ca="1">IF(Data!B610="","",IF(ISNUMBER(Data!F610),IF(AND(Data!F610&gt;(TODAY()-(Data_Val!$H$3*365.25)),Data!F610&lt;=(TODAY()-(Data_Val!$H$2*365.25))),0,1),1))</f>
        <v/>
      </c>
      <c r="G610" s="15" t="str">
        <f>IF(Data!B610="","",IF(AND(Data!G610="",Data!H610&lt;&gt;""),1,IF(Data!#REF!&lt;&gt;"",0,IF(ISNUMBER(MATCH(Data!G610,Data_Val!$C$2:$C$5,0)),0,1))))</f>
        <v/>
      </c>
      <c r="H610" s="15" t="str">
        <f>IF(Data!B610="","",IF(AND(Data!G610&lt;&gt;"",Data!H610=""),1,IF(Data!#REF!&lt;&gt;"",0,IF(Data!G610="",1,IF(ISNUMBER(MATCH(Data!H610,Data_Val!$D$2:$D$35,0)),0,1)))))</f>
        <v/>
      </c>
      <c r="I610" s="15" t="str">
        <f>IF(Data!B610="","",IF(Data!G610&lt;&gt;"",0,IF(ISNUMBER(MATCH(Data!#REF!,Data_Val!$E$2:$E$12,0)),0,1)))</f>
        <v/>
      </c>
      <c r="J610" s="16" t="e">
        <f>IF(OR(Data!B610="",Data!#REF!=""),"",IF(Data!#REF!="",1,0))</f>
        <v>#REF!</v>
      </c>
      <c r="K610" s="16" t="e">
        <f>IF(OR(Data!B610="",Data!#REF!=""),"",IF(Data!#REF!="",1,0))</f>
        <v>#REF!</v>
      </c>
      <c r="L610" s="16" t="e">
        <f>IF(OR(Data!B610="",Data!#REF!=""),"",IF(ISNUMBER(Data!#REF!),IF(AND(Data!#REF!&gt;Data_Val!$G$2,Data!#REF!&lt;=Data_Val!$G$3),0,1),1))</f>
        <v>#REF!</v>
      </c>
      <c r="M610" s="9" t="e">
        <f>IF(OR(Data!B610="",Data!#REF!=""),"",IF(ISNUMBER(MATCH(Data!#REF!,Data_Val!$F$1:$F$38,0)),0,1))</f>
        <v>#REF!</v>
      </c>
      <c r="N610" s="9" t="e">
        <f>IF(OR(Data!B610="",Data!#REF!=""),"",IF(Data!#REF!="",1,0))</f>
        <v>#REF!</v>
      </c>
      <c r="O610" s="17" t="e">
        <f>IF(Data!#REF!="","",IF(Data!#REF!="",1,0))</f>
        <v>#REF!</v>
      </c>
      <c r="P610" s="17" t="e">
        <f>IF(Data!#REF!="","",IF(ISNUMBER(MATCH(Data!#REF!,Data_Val!$A$2:$A$3,0)),0,1))</f>
        <v>#REF!</v>
      </c>
      <c r="Q610" s="25" t="e">
        <f ca="1">IF(Data!#REF!="","",IF(ISNUMBER(Data!#REF!),IF(AND(Data!#REF!&gt;(TODAY()-(Data_Val!$J$3*365.25)),Data!#REF!&lt;=(TODAY()-(Data_Val!$J$2*365.25))),0,1),1))</f>
        <v>#REF!</v>
      </c>
      <c r="R610" s="17" t="e">
        <f>IF(Data!#REF!="","",IF(ISNUMBER(MATCH(Data!#REF!,Data_Val!$B$2:$B$15,0)),0,1))</f>
        <v>#REF!</v>
      </c>
      <c r="S610" s="11" t="str">
        <f>IF(Data!G610="","",IF(Data!G610=Data_Val!$C$2,IF(Data!M610="",0,1),0))</f>
        <v/>
      </c>
      <c r="T610" s="11" t="str">
        <f>IF(Data!M610="","",IF(ISNUMBER(MATCH(Data!N610,Data_Val!$A$2:$A$3,0)),0,1))</f>
        <v/>
      </c>
      <c r="U610" s="11" t="str">
        <f ca="1">IF(Data!M610="","",IF(ISNUMBER(Data!O610),IF(AND(Data!O610&gt;(TODAY()-(Data_Val!$K$3*365.25)),Data!O610&lt;=(TODAY()-(Data_Val!$K$2*365.25))),0,1),1))</f>
        <v/>
      </c>
      <c r="V610" s="12" t="str">
        <f>IF(Data!G610="","",IF(Data!G610=Data_Val!$C$2,IF(Data!P610="",0,1),0))</f>
        <v/>
      </c>
      <c r="W610" s="12" t="str">
        <f>IF(Data!P610="","",IF(ISNUMBER(MATCH(Data!Q610,Data_Val!$A$2:$A$3,0)),0,1))</f>
        <v/>
      </c>
      <c r="X610" s="26" t="str">
        <f ca="1">IF(Data!P610="","",IF(ISNUMBER(Data!R610),IF(AND(Data!R610&gt;(TODAY()-(Data_Val!$L$3*365.25)),Data!R610&lt;=(TODAY()-(Data_Val!$L$2*365.25))),0,1),1))</f>
        <v/>
      </c>
      <c r="Y610" s="13" t="str">
        <f>IF(Data!$G610="","",IF(Data!$G610=Data_Val!$C$2,IF(Data!S610="",0,1),0))</f>
        <v/>
      </c>
      <c r="Z610" s="13" t="str">
        <f>IF(Data!S610="","",IF(ISNUMBER(MATCH(Data!T610,Data_Val!$A$2:$A$3,0)),0,1))</f>
        <v/>
      </c>
      <c r="AA610" s="28" t="str">
        <f ca="1">IF(Data!S610="","",IF(ISNUMBER(Data!U610),IF(AND(Data!U610&gt;(TODAY()-(Data_Val!$L$3*365.25)),Data!U610&lt;=(TODAY()-(Data_Val!$L$2*365.25))),0,1),1))</f>
        <v/>
      </c>
      <c r="AB610" s="11"/>
      <c r="AC610" s="11" t="e">
        <f>IF(Data!#REF!="","",IF(ISNUMBER(MATCH(Data!#REF!,Data_Val!$A$2:$A$3,0)),0,1))</f>
        <v>#REF!</v>
      </c>
      <c r="AD610" s="11" t="e">
        <f ca="1">IF(Data!#REF!="","",IF(ISNUMBER(Data!#REF!),IF(AND(Data!#REF!&gt;(TODAY()-(Data_Val!$L$3*365.25)),Data!#REF!&lt;=(TODAY()-(Data_Val!$L$2*365.25))),0,1),1))</f>
        <v>#REF!</v>
      </c>
      <c r="AE610" s="11" t="e">
        <f>IF(Data!#REF!="","",IF(Data!$G610="",1,IF(ISNUMBER(MATCH(Data!#REF!,Data_Val!$D$2:$D$10,0)),0,1)))</f>
        <v>#REF!</v>
      </c>
      <c r="AF610" s="12"/>
      <c r="AG610" s="12" t="e">
        <f>IF(Data!#REF!="","",IF(ISNUMBER(MATCH(Data!#REF!,Data_Val!$A$2:$A$3,0)),0,1))</f>
        <v>#REF!</v>
      </c>
      <c r="AH610" s="26" t="e">
        <f ca="1">IF(Data!#REF!="","",IF(ISNUMBER(Data!#REF!),IF(AND(Data!#REF!&gt;(TODAY()-(Data_Val!$L$3*365.25)),Data!#REF!&lt;=(TODAY()-(Data_Val!$L$2*365.25))),0,1),1))</f>
        <v>#REF!</v>
      </c>
      <c r="AI610" s="12" t="e">
        <f>IF(Data!#REF!="","",IF(Data!$G610="",1,IF(ISNUMBER(MATCH(Data!#REF!,Data_Val!$D$2:$D$10,0)),0,1)))</f>
        <v>#REF!</v>
      </c>
      <c r="AJ610" s="17"/>
      <c r="AK610" s="17" t="e">
        <f>IF(Data!#REF!="","",IF(ISNUMBER(MATCH(Data!#REF!,Data_Val!$A$2:$A$3,0)),0,1))</f>
        <v>#REF!</v>
      </c>
      <c r="AL610" s="25" t="e">
        <f ca="1">IF(Data!#REF!="","",IF(ISNUMBER(Data!#REF!),IF(AND(Data!#REF!&gt;(TODAY()-(Data_Val!$L$3*365.25)),Data!#REF!&lt;=(TODAY()-(Data_Val!$L$2*365.25))),0,1),1))</f>
        <v>#REF!</v>
      </c>
      <c r="AM610" s="17" t="e">
        <f>IF(Data!#REF!="","",IF(Data!$G610="",1,IF(ISNUMBER(MATCH(Data!#REF!,Data_Val!$D$2:$D$10,0)),0,1)))</f>
        <v>#REF!</v>
      </c>
      <c r="AN610" s="13"/>
      <c r="AO610" s="28" t="e">
        <f ca="1">IF(Data!#REF!="","",IF(ISNUMBER(Data!#REF!),IF(AND(Data!#REF!&gt;(TODAY()-(Data_Val!$I$3*365.25)),Data!#REF!&lt;=(TODAY()-(Data_Val!$I$2*365.25))),0,1),1))</f>
        <v>#REF!</v>
      </c>
      <c r="AP610" s="13" t="e">
        <f>IF(Data!#REF!="","",IF(Data!$G610="",1,IF(ISNUMBER(MATCH(Data!#REF!,Data_Val!$D$2:$D$10,0)),0,1)))</f>
        <v>#REF!</v>
      </c>
      <c r="AQ610" s="17"/>
      <c r="AR610" s="30" t="e">
        <f ca="1">IF(Data!#REF!="","",IF(ISNUMBER(Data!#REF!),IF(AND(Data!#REF!&gt;(TODAY()-(Data_Val!$I$3*365.25)),Data!#REF!&lt;=(TODAY()-(Data_Val!$I$2*365.25))),0,1),1))</f>
        <v>#REF!</v>
      </c>
      <c r="AS610" s="31" t="e">
        <f>IF(Data!#REF!="","",IF(Data!$G610="",1,IF(ISNUMBER(MATCH(Data!#REF!,Data_Val!$D$2:$D$10,0)),0,1)))</f>
        <v>#REF!</v>
      </c>
      <c r="AT610" s="11"/>
      <c r="AU610" s="11" t="e">
        <f ca="1">IF(Data!#REF!="","",IF(ISNUMBER(Data!#REF!),IF(AND(Data!#REF!&gt;(TODAY()-(Data_Val!$I$3*365.25)),Data!#REF!&lt;=(TODAY()-(Data_Val!$I$2*365.25))),0,1),1))</f>
        <v>#REF!</v>
      </c>
      <c r="AV610" s="11" t="e">
        <f>IF(Data!#REF!="","",IF(Data!$G610="",1,IF(ISNUMBER(MATCH(Data!#REF!,Data_Val!$D$2:$D$10,0)),0,1)))</f>
        <v>#REF!</v>
      </c>
      <c r="AW610" s="12"/>
      <c r="AX610" s="26" t="e">
        <f ca="1">IF(Data!#REF!="","",IF(ISNUMBER(Data!#REF!),IF(AND(Data!#REF!&gt;(TODAY()-(Data_Val!$I$3*365.25)),Data!#REF!&lt;=(TODAY()-(Data_Val!$I$2*365.25))),0,1),1))</f>
        <v>#REF!</v>
      </c>
      <c r="AY610" s="12" t="e">
        <f>IF(Data!#REF!="","",IF(Data!$G610="",1,IF(ISNUMBER(MATCH(Data!#REF!,Data_Val!$D$2:$D$10,0)),0,1)))</f>
        <v>#REF!</v>
      </c>
      <c r="AZ610" s="11"/>
      <c r="BA610" s="19" t="e">
        <f ca="1">IF(Data!#REF!="","",IF(ISNUMBER(Data!#REF!),IF(AND(Data!#REF!&gt;(TODAY()-(Data_Val!$M$3*365.25)),Data!#REF!&lt;=(TODAY()-(Data_Val!$M$2*365.25))),0,1),1))</f>
        <v>#REF!</v>
      </c>
      <c r="BB610" s="11" t="e">
        <f>IF(Data!#REF!="","",IF(Data!$G610="",1,IF(ISNUMBER(MATCH(Data!#REF!,Data_Val!$D$2:$D$10,0)),0,1)))</f>
        <v>#REF!</v>
      </c>
      <c r="BC610" s="12"/>
      <c r="BD610" s="20" t="e">
        <f ca="1">IF(Data!#REF!="","",IF(ISNUMBER(Data!#REF!),IF(AND(Data!#REF!&gt;(TODAY()-(Data_Val!$M$3*365.25)),Data!#REF!&lt;=(TODAY()-(Data_Val!$M$2*365.25))),0,1),1))</f>
        <v>#REF!</v>
      </c>
      <c r="BE610" s="12" t="e">
        <f>IF(Data!#REF!="","",IF(Data!$G610="",1,IF(ISNUMBER(MATCH(Data!#REF!,Data_Val!$D$2:$D$10,0)),0,1)))</f>
        <v>#REF!</v>
      </c>
      <c r="BF610" s="17"/>
      <c r="BG610" s="18" t="e">
        <f ca="1">IF(Data!#REF!="","",IF(ISNUMBER(Data!#REF!),IF(AND(Data!#REF!&gt;(TODAY()-(Data_Val!$M$3*365.25)),Data!#REF!&lt;=(TODAY()-(Data_Val!$M$2*365.25))),0,1),1))</f>
        <v>#REF!</v>
      </c>
      <c r="BH610" s="29" t="e">
        <f>IF(Data!#REF!="","",IF(Data!$G610="",1,IF(ISNUMBER(MATCH(Data!#REF!,Data_Val!$D$2:$D$10,0)),0,1)))</f>
        <v>#REF!</v>
      </c>
      <c r="BI610" s="13"/>
      <c r="BJ610" s="21" t="e">
        <f ca="1">IF(Data!#REF!="","",IF(ISNUMBER(Data!#REF!),IF(AND(Data!#REF!&gt;(TODAY()-(Data_Val!$M$3*365.25)),Data!#REF!&lt;=(TODAY()-(Data_Val!$M$2*365.25))),0,1),1))</f>
        <v>#REF!</v>
      </c>
      <c r="BK610" s="13" t="e">
        <f>IF(Data!#REF!="","",IF(Data!$G610="",1,IF(ISNUMBER(MATCH(Data!#REF!,Data_Val!$D$2:$D$10,0)),0,1)))</f>
        <v>#REF!</v>
      </c>
    </row>
    <row r="611" spans="1:63" x14ac:dyDescent="0.25">
      <c r="A611" s="9" t="str">
        <f>IF(Data!B611="","",IF(COUNTIFS(Data!A$1:'Data'!A611,Data!A611)&lt;=1,0,1))</f>
        <v/>
      </c>
      <c r="B611" s="9"/>
      <c r="C611" s="23" t="str">
        <f>IF(Data!C611="","",(IF(ISNUMBER(MATCH("*@*.?*",Data!C611,0)),0,1)+IF(COUNTIFS(Data!C$1:'Data'!C611,Data!C611)&gt;1,1,0)))</f>
        <v/>
      </c>
      <c r="D611" s="9" t="str">
        <f>IF(Data!B611="","",IF(ISNUMBER(Data!D611),IF(AND(Data!D611&gt;999999999,Data!D611&lt;=9999999999),IF(COUNTIFS(Data!D$1:'Data'!D611,Data!D611)&lt;=1,0,1),1),1))</f>
        <v/>
      </c>
      <c r="E611" s="9" t="str">
        <f>IF(Data!B611="","",IF(ISNUMBER(MATCH(Data!E611,Data_Val!$A$2:$A$3,0)),0,1))</f>
        <v/>
      </c>
      <c r="F611" s="9" t="str">
        <f ca="1">IF(Data!B611="","",IF(ISNUMBER(Data!F611),IF(AND(Data!F611&gt;(TODAY()-(Data_Val!$H$3*365.25)),Data!F611&lt;=(TODAY()-(Data_Val!$H$2*365.25))),0,1),1))</f>
        <v/>
      </c>
      <c r="G611" s="15" t="str">
        <f>IF(Data!B611="","",IF(AND(Data!G611="",Data!H611&lt;&gt;""),1,IF(Data!#REF!&lt;&gt;"",0,IF(ISNUMBER(MATCH(Data!G611,Data_Val!$C$2:$C$5,0)),0,1))))</f>
        <v/>
      </c>
      <c r="H611" s="15" t="str">
        <f>IF(Data!B611="","",IF(AND(Data!G611&lt;&gt;"",Data!H611=""),1,IF(Data!#REF!&lt;&gt;"",0,IF(Data!G611="",1,IF(ISNUMBER(MATCH(Data!H611,Data_Val!$D$2:$D$35,0)),0,1)))))</f>
        <v/>
      </c>
      <c r="I611" s="15" t="str">
        <f>IF(Data!B611="","",IF(Data!G611&lt;&gt;"",0,IF(ISNUMBER(MATCH(Data!#REF!,Data_Val!$E$2:$E$12,0)),0,1)))</f>
        <v/>
      </c>
      <c r="J611" s="16" t="e">
        <f>IF(OR(Data!B611="",Data!#REF!=""),"",IF(Data!#REF!="",1,0))</f>
        <v>#REF!</v>
      </c>
      <c r="K611" s="16" t="e">
        <f>IF(OR(Data!B611="",Data!#REF!=""),"",IF(Data!#REF!="",1,0))</f>
        <v>#REF!</v>
      </c>
      <c r="L611" s="16" t="e">
        <f>IF(OR(Data!B611="",Data!#REF!=""),"",IF(ISNUMBER(Data!#REF!),IF(AND(Data!#REF!&gt;Data_Val!$G$2,Data!#REF!&lt;=Data_Val!$G$3),0,1),1))</f>
        <v>#REF!</v>
      </c>
      <c r="M611" s="9" t="e">
        <f>IF(OR(Data!B611="",Data!#REF!=""),"",IF(ISNUMBER(MATCH(Data!#REF!,Data_Val!$F$1:$F$38,0)),0,1))</f>
        <v>#REF!</v>
      </c>
      <c r="N611" s="9" t="e">
        <f>IF(OR(Data!B611="",Data!#REF!=""),"",IF(Data!#REF!="",1,0))</f>
        <v>#REF!</v>
      </c>
      <c r="O611" s="17" t="e">
        <f>IF(Data!#REF!="","",IF(Data!#REF!="",1,0))</f>
        <v>#REF!</v>
      </c>
      <c r="P611" s="17" t="e">
        <f>IF(Data!#REF!="","",IF(ISNUMBER(MATCH(Data!#REF!,Data_Val!$A$2:$A$3,0)),0,1))</f>
        <v>#REF!</v>
      </c>
      <c r="Q611" s="25" t="e">
        <f ca="1">IF(Data!#REF!="","",IF(ISNUMBER(Data!#REF!),IF(AND(Data!#REF!&gt;(TODAY()-(Data_Val!$J$3*365.25)),Data!#REF!&lt;=(TODAY()-(Data_Val!$J$2*365.25))),0,1),1))</f>
        <v>#REF!</v>
      </c>
      <c r="R611" s="17" t="e">
        <f>IF(Data!#REF!="","",IF(ISNUMBER(MATCH(Data!#REF!,Data_Val!$B$2:$B$15,0)),0,1))</f>
        <v>#REF!</v>
      </c>
      <c r="S611" s="11" t="str">
        <f>IF(Data!G611="","",IF(Data!G611=Data_Val!$C$2,IF(Data!M611="",0,1),0))</f>
        <v/>
      </c>
      <c r="T611" s="11" t="str">
        <f>IF(Data!M611="","",IF(ISNUMBER(MATCH(Data!N611,Data_Val!$A$2:$A$3,0)),0,1))</f>
        <v/>
      </c>
      <c r="U611" s="11" t="str">
        <f ca="1">IF(Data!M611="","",IF(ISNUMBER(Data!O611),IF(AND(Data!O611&gt;(TODAY()-(Data_Val!$K$3*365.25)),Data!O611&lt;=(TODAY()-(Data_Val!$K$2*365.25))),0,1),1))</f>
        <v/>
      </c>
      <c r="V611" s="12" t="str">
        <f>IF(Data!G611="","",IF(Data!G611=Data_Val!$C$2,IF(Data!P611="",0,1),0))</f>
        <v/>
      </c>
      <c r="W611" s="12" t="str">
        <f>IF(Data!P611="","",IF(ISNUMBER(MATCH(Data!Q611,Data_Val!$A$2:$A$3,0)),0,1))</f>
        <v/>
      </c>
      <c r="X611" s="26" t="str">
        <f ca="1">IF(Data!P611="","",IF(ISNUMBER(Data!R611),IF(AND(Data!R611&gt;(TODAY()-(Data_Val!$L$3*365.25)),Data!R611&lt;=(TODAY()-(Data_Val!$L$2*365.25))),0,1),1))</f>
        <v/>
      </c>
      <c r="Y611" s="13" t="str">
        <f>IF(Data!$G611="","",IF(Data!$G611=Data_Val!$C$2,IF(Data!S611="",0,1),0))</f>
        <v/>
      </c>
      <c r="Z611" s="13" t="str">
        <f>IF(Data!S611="","",IF(ISNUMBER(MATCH(Data!T611,Data_Val!$A$2:$A$3,0)),0,1))</f>
        <v/>
      </c>
      <c r="AA611" s="28" t="str">
        <f ca="1">IF(Data!S611="","",IF(ISNUMBER(Data!U611),IF(AND(Data!U611&gt;(TODAY()-(Data_Val!$L$3*365.25)),Data!U611&lt;=(TODAY()-(Data_Val!$L$2*365.25))),0,1),1))</f>
        <v/>
      </c>
      <c r="AB611" s="11"/>
      <c r="AC611" s="11" t="e">
        <f>IF(Data!#REF!="","",IF(ISNUMBER(MATCH(Data!#REF!,Data_Val!$A$2:$A$3,0)),0,1))</f>
        <v>#REF!</v>
      </c>
      <c r="AD611" s="11" t="e">
        <f ca="1">IF(Data!#REF!="","",IF(ISNUMBER(Data!#REF!),IF(AND(Data!#REF!&gt;(TODAY()-(Data_Val!$L$3*365.25)),Data!#REF!&lt;=(TODAY()-(Data_Val!$L$2*365.25))),0,1),1))</f>
        <v>#REF!</v>
      </c>
      <c r="AE611" s="11" t="e">
        <f>IF(Data!#REF!="","",IF(Data!$G611="",1,IF(ISNUMBER(MATCH(Data!#REF!,Data_Val!$D$2:$D$10,0)),0,1)))</f>
        <v>#REF!</v>
      </c>
      <c r="AF611" s="12"/>
      <c r="AG611" s="12" t="e">
        <f>IF(Data!#REF!="","",IF(ISNUMBER(MATCH(Data!#REF!,Data_Val!$A$2:$A$3,0)),0,1))</f>
        <v>#REF!</v>
      </c>
      <c r="AH611" s="26" t="e">
        <f ca="1">IF(Data!#REF!="","",IF(ISNUMBER(Data!#REF!),IF(AND(Data!#REF!&gt;(TODAY()-(Data_Val!$L$3*365.25)),Data!#REF!&lt;=(TODAY()-(Data_Val!$L$2*365.25))),0,1),1))</f>
        <v>#REF!</v>
      </c>
      <c r="AI611" s="12" t="e">
        <f>IF(Data!#REF!="","",IF(Data!$G611="",1,IF(ISNUMBER(MATCH(Data!#REF!,Data_Val!$D$2:$D$10,0)),0,1)))</f>
        <v>#REF!</v>
      </c>
      <c r="AJ611" s="17"/>
      <c r="AK611" s="17" t="e">
        <f>IF(Data!#REF!="","",IF(ISNUMBER(MATCH(Data!#REF!,Data_Val!$A$2:$A$3,0)),0,1))</f>
        <v>#REF!</v>
      </c>
      <c r="AL611" s="25" t="e">
        <f ca="1">IF(Data!#REF!="","",IF(ISNUMBER(Data!#REF!),IF(AND(Data!#REF!&gt;(TODAY()-(Data_Val!$L$3*365.25)),Data!#REF!&lt;=(TODAY()-(Data_Val!$L$2*365.25))),0,1),1))</f>
        <v>#REF!</v>
      </c>
      <c r="AM611" s="17" t="e">
        <f>IF(Data!#REF!="","",IF(Data!$G611="",1,IF(ISNUMBER(MATCH(Data!#REF!,Data_Val!$D$2:$D$10,0)),0,1)))</f>
        <v>#REF!</v>
      </c>
      <c r="AN611" s="13"/>
      <c r="AO611" s="28" t="e">
        <f ca="1">IF(Data!#REF!="","",IF(ISNUMBER(Data!#REF!),IF(AND(Data!#REF!&gt;(TODAY()-(Data_Val!$I$3*365.25)),Data!#REF!&lt;=(TODAY()-(Data_Val!$I$2*365.25))),0,1),1))</f>
        <v>#REF!</v>
      </c>
      <c r="AP611" s="13" t="e">
        <f>IF(Data!#REF!="","",IF(Data!$G611="",1,IF(ISNUMBER(MATCH(Data!#REF!,Data_Val!$D$2:$D$10,0)),0,1)))</f>
        <v>#REF!</v>
      </c>
      <c r="AQ611" s="17"/>
      <c r="AR611" s="30" t="e">
        <f ca="1">IF(Data!#REF!="","",IF(ISNUMBER(Data!#REF!),IF(AND(Data!#REF!&gt;(TODAY()-(Data_Val!$I$3*365.25)),Data!#REF!&lt;=(TODAY()-(Data_Val!$I$2*365.25))),0,1),1))</f>
        <v>#REF!</v>
      </c>
      <c r="AS611" s="31" t="e">
        <f>IF(Data!#REF!="","",IF(Data!$G611="",1,IF(ISNUMBER(MATCH(Data!#REF!,Data_Val!$D$2:$D$10,0)),0,1)))</f>
        <v>#REF!</v>
      </c>
      <c r="AT611" s="11"/>
      <c r="AU611" s="11" t="e">
        <f ca="1">IF(Data!#REF!="","",IF(ISNUMBER(Data!#REF!),IF(AND(Data!#REF!&gt;(TODAY()-(Data_Val!$I$3*365.25)),Data!#REF!&lt;=(TODAY()-(Data_Val!$I$2*365.25))),0,1),1))</f>
        <v>#REF!</v>
      </c>
      <c r="AV611" s="11" t="e">
        <f>IF(Data!#REF!="","",IF(Data!$G611="",1,IF(ISNUMBER(MATCH(Data!#REF!,Data_Val!$D$2:$D$10,0)),0,1)))</f>
        <v>#REF!</v>
      </c>
      <c r="AW611" s="12"/>
      <c r="AX611" s="26" t="e">
        <f ca="1">IF(Data!#REF!="","",IF(ISNUMBER(Data!#REF!),IF(AND(Data!#REF!&gt;(TODAY()-(Data_Val!$I$3*365.25)),Data!#REF!&lt;=(TODAY()-(Data_Val!$I$2*365.25))),0,1),1))</f>
        <v>#REF!</v>
      </c>
      <c r="AY611" s="12" t="e">
        <f>IF(Data!#REF!="","",IF(Data!$G611="",1,IF(ISNUMBER(MATCH(Data!#REF!,Data_Val!$D$2:$D$10,0)),0,1)))</f>
        <v>#REF!</v>
      </c>
      <c r="AZ611" s="11"/>
      <c r="BA611" s="19" t="e">
        <f ca="1">IF(Data!#REF!="","",IF(ISNUMBER(Data!#REF!),IF(AND(Data!#REF!&gt;(TODAY()-(Data_Val!$M$3*365.25)),Data!#REF!&lt;=(TODAY()-(Data_Val!$M$2*365.25))),0,1),1))</f>
        <v>#REF!</v>
      </c>
      <c r="BB611" s="11" t="e">
        <f>IF(Data!#REF!="","",IF(Data!$G611="",1,IF(ISNUMBER(MATCH(Data!#REF!,Data_Val!$D$2:$D$10,0)),0,1)))</f>
        <v>#REF!</v>
      </c>
      <c r="BC611" s="12"/>
      <c r="BD611" s="20" t="e">
        <f ca="1">IF(Data!#REF!="","",IF(ISNUMBER(Data!#REF!),IF(AND(Data!#REF!&gt;(TODAY()-(Data_Val!$M$3*365.25)),Data!#REF!&lt;=(TODAY()-(Data_Val!$M$2*365.25))),0,1),1))</f>
        <v>#REF!</v>
      </c>
      <c r="BE611" s="12" t="e">
        <f>IF(Data!#REF!="","",IF(Data!$G611="",1,IF(ISNUMBER(MATCH(Data!#REF!,Data_Val!$D$2:$D$10,0)),0,1)))</f>
        <v>#REF!</v>
      </c>
      <c r="BF611" s="17"/>
      <c r="BG611" s="18" t="e">
        <f ca="1">IF(Data!#REF!="","",IF(ISNUMBER(Data!#REF!),IF(AND(Data!#REF!&gt;(TODAY()-(Data_Val!$M$3*365.25)),Data!#REF!&lt;=(TODAY()-(Data_Val!$M$2*365.25))),0,1),1))</f>
        <v>#REF!</v>
      </c>
      <c r="BH611" s="29" t="e">
        <f>IF(Data!#REF!="","",IF(Data!$G611="",1,IF(ISNUMBER(MATCH(Data!#REF!,Data_Val!$D$2:$D$10,0)),0,1)))</f>
        <v>#REF!</v>
      </c>
      <c r="BI611" s="13"/>
      <c r="BJ611" s="21" t="e">
        <f ca="1">IF(Data!#REF!="","",IF(ISNUMBER(Data!#REF!),IF(AND(Data!#REF!&gt;(TODAY()-(Data_Val!$M$3*365.25)),Data!#REF!&lt;=(TODAY()-(Data_Val!$M$2*365.25))),0,1),1))</f>
        <v>#REF!</v>
      </c>
      <c r="BK611" s="13" t="e">
        <f>IF(Data!#REF!="","",IF(Data!$G611="",1,IF(ISNUMBER(MATCH(Data!#REF!,Data_Val!$D$2:$D$10,0)),0,1)))</f>
        <v>#REF!</v>
      </c>
    </row>
    <row r="612" spans="1:63" x14ac:dyDescent="0.25">
      <c r="A612" s="9" t="str">
        <f>IF(Data!B612="","",IF(COUNTIFS(Data!A$1:'Data'!A612,Data!A612)&lt;=1,0,1))</f>
        <v/>
      </c>
      <c r="B612" s="9"/>
      <c r="C612" s="23" t="str">
        <f>IF(Data!C612="","",(IF(ISNUMBER(MATCH("*@*.?*",Data!C612,0)),0,1)+IF(COUNTIFS(Data!C$1:'Data'!C612,Data!C612)&gt;1,1,0)))</f>
        <v/>
      </c>
      <c r="D612" s="9" t="str">
        <f>IF(Data!B612="","",IF(ISNUMBER(Data!D612),IF(AND(Data!D612&gt;999999999,Data!D612&lt;=9999999999),IF(COUNTIFS(Data!D$1:'Data'!D612,Data!D612)&lt;=1,0,1),1),1))</f>
        <v/>
      </c>
      <c r="E612" s="9" t="str">
        <f>IF(Data!B612="","",IF(ISNUMBER(MATCH(Data!E612,Data_Val!$A$2:$A$3,0)),0,1))</f>
        <v/>
      </c>
      <c r="F612" s="9" t="str">
        <f ca="1">IF(Data!B612="","",IF(ISNUMBER(Data!F612),IF(AND(Data!F612&gt;(TODAY()-(Data_Val!$H$3*365.25)),Data!F612&lt;=(TODAY()-(Data_Val!$H$2*365.25))),0,1),1))</f>
        <v/>
      </c>
      <c r="G612" s="15" t="str">
        <f>IF(Data!B612="","",IF(AND(Data!G612="",Data!H612&lt;&gt;""),1,IF(Data!#REF!&lt;&gt;"",0,IF(ISNUMBER(MATCH(Data!G612,Data_Val!$C$2:$C$5,0)),0,1))))</f>
        <v/>
      </c>
      <c r="H612" s="15" t="str">
        <f>IF(Data!B612="","",IF(AND(Data!G612&lt;&gt;"",Data!H612=""),1,IF(Data!#REF!&lt;&gt;"",0,IF(Data!G612="",1,IF(ISNUMBER(MATCH(Data!H612,Data_Val!$D$2:$D$35,0)),0,1)))))</f>
        <v/>
      </c>
      <c r="I612" s="15" t="str">
        <f>IF(Data!B612="","",IF(Data!G612&lt;&gt;"",0,IF(ISNUMBER(MATCH(Data!#REF!,Data_Val!$E$2:$E$12,0)),0,1)))</f>
        <v/>
      </c>
      <c r="J612" s="16" t="e">
        <f>IF(OR(Data!B612="",Data!#REF!=""),"",IF(Data!#REF!="",1,0))</f>
        <v>#REF!</v>
      </c>
      <c r="K612" s="16" t="e">
        <f>IF(OR(Data!B612="",Data!#REF!=""),"",IF(Data!#REF!="",1,0))</f>
        <v>#REF!</v>
      </c>
      <c r="L612" s="16" t="e">
        <f>IF(OR(Data!B612="",Data!#REF!=""),"",IF(ISNUMBER(Data!#REF!),IF(AND(Data!#REF!&gt;Data_Val!$G$2,Data!#REF!&lt;=Data_Val!$G$3),0,1),1))</f>
        <v>#REF!</v>
      </c>
      <c r="M612" s="9" t="e">
        <f>IF(OR(Data!B612="",Data!#REF!=""),"",IF(ISNUMBER(MATCH(Data!#REF!,Data_Val!$F$1:$F$38,0)),0,1))</f>
        <v>#REF!</v>
      </c>
      <c r="N612" s="9" t="e">
        <f>IF(OR(Data!B612="",Data!#REF!=""),"",IF(Data!#REF!="",1,0))</f>
        <v>#REF!</v>
      </c>
      <c r="O612" s="17" t="e">
        <f>IF(Data!#REF!="","",IF(Data!#REF!="",1,0))</f>
        <v>#REF!</v>
      </c>
      <c r="P612" s="17" t="e">
        <f>IF(Data!#REF!="","",IF(ISNUMBER(MATCH(Data!#REF!,Data_Val!$A$2:$A$3,0)),0,1))</f>
        <v>#REF!</v>
      </c>
      <c r="Q612" s="25" t="e">
        <f ca="1">IF(Data!#REF!="","",IF(ISNUMBER(Data!#REF!),IF(AND(Data!#REF!&gt;(TODAY()-(Data_Val!$J$3*365.25)),Data!#REF!&lt;=(TODAY()-(Data_Val!$J$2*365.25))),0,1),1))</f>
        <v>#REF!</v>
      </c>
      <c r="R612" s="17" t="e">
        <f>IF(Data!#REF!="","",IF(ISNUMBER(MATCH(Data!#REF!,Data_Val!$B$2:$B$15,0)),0,1))</f>
        <v>#REF!</v>
      </c>
      <c r="S612" s="11" t="str">
        <f>IF(Data!G612="","",IF(Data!G612=Data_Val!$C$2,IF(Data!M612="",0,1),0))</f>
        <v/>
      </c>
      <c r="T612" s="11" t="str">
        <f>IF(Data!M612="","",IF(ISNUMBER(MATCH(Data!N612,Data_Val!$A$2:$A$3,0)),0,1))</f>
        <v/>
      </c>
      <c r="U612" s="11" t="str">
        <f ca="1">IF(Data!M612="","",IF(ISNUMBER(Data!O612),IF(AND(Data!O612&gt;(TODAY()-(Data_Val!$K$3*365.25)),Data!O612&lt;=(TODAY()-(Data_Val!$K$2*365.25))),0,1),1))</f>
        <v/>
      </c>
      <c r="V612" s="12" t="str">
        <f>IF(Data!G612="","",IF(Data!G612=Data_Val!$C$2,IF(Data!P612="",0,1),0))</f>
        <v/>
      </c>
      <c r="W612" s="12" t="str">
        <f>IF(Data!P612="","",IF(ISNUMBER(MATCH(Data!Q612,Data_Val!$A$2:$A$3,0)),0,1))</f>
        <v/>
      </c>
      <c r="X612" s="26" t="str">
        <f ca="1">IF(Data!P612="","",IF(ISNUMBER(Data!R612),IF(AND(Data!R612&gt;(TODAY()-(Data_Val!$L$3*365.25)),Data!R612&lt;=(TODAY()-(Data_Val!$L$2*365.25))),0,1),1))</f>
        <v/>
      </c>
      <c r="Y612" s="13" t="str">
        <f>IF(Data!$G612="","",IF(Data!$G612=Data_Val!$C$2,IF(Data!S612="",0,1),0))</f>
        <v/>
      </c>
      <c r="Z612" s="13" t="str">
        <f>IF(Data!S612="","",IF(ISNUMBER(MATCH(Data!T612,Data_Val!$A$2:$A$3,0)),0,1))</f>
        <v/>
      </c>
      <c r="AA612" s="28" t="str">
        <f ca="1">IF(Data!S612="","",IF(ISNUMBER(Data!U612),IF(AND(Data!U612&gt;(TODAY()-(Data_Val!$L$3*365.25)),Data!U612&lt;=(TODAY()-(Data_Val!$L$2*365.25))),0,1),1))</f>
        <v/>
      </c>
      <c r="AB612" s="11"/>
      <c r="AC612" s="11" t="e">
        <f>IF(Data!#REF!="","",IF(ISNUMBER(MATCH(Data!#REF!,Data_Val!$A$2:$A$3,0)),0,1))</f>
        <v>#REF!</v>
      </c>
      <c r="AD612" s="11" t="e">
        <f ca="1">IF(Data!#REF!="","",IF(ISNUMBER(Data!#REF!),IF(AND(Data!#REF!&gt;(TODAY()-(Data_Val!$L$3*365.25)),Data!#REF!&lt;=(TODAY()-(Data_Val!$L$2*365.25))),0,1),1))</f>
        <v>#REF!</v>
      </c>
      <c r="AE612" s="11" t="e">
        <f>IF(Data!#REF!="","",IF(Data!$G612="",1,IF(ISNUMBER(MATCH(Data!#REF!,Data_Val!$D$2:$D$10,0)),0,1)))</f>
        <v>#REF!</v>
      </c>
      <c r="AF612" s="12"/>
      <c r="AG612" s="12" t="e">
        <f>IF(Data!#REF!="","",IF(ISNUMBER(MATCH(Data!#REF!,Data_Val!$A$2:$A$3,0)),0,1))</f>
        <v>#REF!</v>
      </c>
      <c r="AH612" s="26" t="e">
        <f ca="1">IF(Data!#REF!="","",IF(ISNUMBER(Data!#REF!),IF(AND(Data!#REF!&gt;(TODAY()-(Data_Val!$L$3*365.25)),Data!#REF!&lt;=(TODAY()-(Data_Val!$L$2*365.25))),0,1),1))</f>
        <v>#REF!</v>
      </c>
      <c r="AI612" s="12" t="e">
        <f>IF(Data!#REF!="","",IF(Data!$G612="",1,IF(ISNUMBER(MATCH(Data!#REF!,Data_Val!$D$2:$D$10,0)),0,1)))</f>
        <v>#REF!</v>
      </c>
      <c r="AJ612" s="17"/>
      <c r="AK612" s="17" t="e">
        <f>IF(Data!#REF!="","",IF(ISNUMBER(MATCH(Data!#REF!,Data_Val!$A$2:$A$3,0)),0,1))</f>
        <v>#REF!</v>
      </c>
      <c r="AL612" s="25" t="e">
        <f ca="1">IF(Data!#REF!="","",IF(ISNUMBER(Data!#REF!),IF(AND(Data!#REF!&gt;(TODAY()-(Data_Val!$L$3*365.25)),Data!#REF!&lt;=(TODAY()-(Data_Val!$L$2*365.25))),0,1),1))</f>
        <v>#REF!</v>
      </c>
      <c r="AM612" s="17" t="e">
        <f>IF(Data!#REF!="","",IF(Data!$G612="",1,IF(ISNUMBER(MATCH(Data!#REF!,Data_Val!$D$2:$D$10,0)),0,1)))</f>
        <v>#REF!</v>
      </c>
      <c r="AN612" s="13"/>
      <c r="AO612" s="28" t="e">
        <f ca="1">IF(Data!#REF!="","",IF(ISNUMBER(Data!#REF!),IF(AND(Data!#REF!&gt;(TODAY()-(Data_Val!$I$3*365.25)),Data!#REF!&lt;=(TODAY()-(Data_Val!$I$2*365.25))),0,1),1))</f>
        <v>#REF!</v>
      </c>
      <c r="AP612" s="13" t="e">
        <f>IF(Data!#REF!="","",IF(Data!$G612="",1,IF(ISNUMBER(MATCH(Data!#REF!,Data_Val!$D$2:$D$10,0)),0,1)))</f>
        <v>#REF!</v>
      </c>
      <c r="AQ612" s="17"/>
      <c r="AR612" s="30" t="e">
        <f ca="1">IF(Data!#REF!="","",IF(ISNUMBER(Data!#REF!),IF(AND(Data!#REF!&gt;(TODAY()-(Data_Val!$I$3*365.25)),Data!#REF!&lt;=(TODAY()-(Data_Val!$I$2*365.25))),0,1),1))</f>
        <v>#REF!</v>
      </c>
      <c r="AS612" s="31" t="e">
        <f>IF(Data!#REF!="","",IF(Data!$G612="",1,IF(ISNUMBER(MATCH(Data!#REF!,Data_Val!$D$2:$D$10,0)),0,1)))</f>
        <v>#REF!</v>
      </c>
      <c r="AT612" s="11"/>
      <c r="AU612" s="11" t="e">
        <f ca="1">IF(Data!#REF!="","",IF(ISNUMBER(Data!#REF!),IF(AND(Data!#REF!&gt;(TODAY()-(Data_Val!$I$3*365.25)),Data!#REF!&lt;=(TODAY()-(Data_Val!$I$2*365.25))),0,1),1))</f>
        <v>#REF!</v>
      </c>
      <c r="AV612" s="11" t="e">
        <f>IF(Data!#REF!="","",IF(Data!$G612="",1,IF(ISNUMBER(MATCH(Data!#REF!,Data_Val!$D$2:$D$10,0)),0,1)))</f>
        <v>#REF!</v>
      </c>
      <c r="AW612" s="12"/>
      <c r="AX612" s="26" t="e">
        <f ca="1">IF(Data!#REF!="","",IF(ISNUMBER(Data!#REF!),IF(AND(Data!#REF!&gt;(TODAY()-(Data_Val!$I$3*365.25)),Data!#REF!&lt;=(TODAY()-(Data_Val!$I$2*365.25))),0,1),1))</f>
        <v>#REF!</v>
      </c>
      <c r="AY612" s="12" t="e">
        <f>IF(Data!#REF!="","",IF(Data!$G612="",1,IF(ISNUMBER(MATCH(Data!#REF!,Data_Val!$D$2:$D$10,0)),0,1)))</f>
        <v>#REF!</v>
      </c>
      <c r="AZ612" s="11"/>
      <c r="BA612" s="19" t="e">
        <f ca="1">IF(Data!#REF!="","",IF(ISNUMBER(Data!#REF!),IF(AND(Data!#REF!&gt;(TODAY()-(Data_Val!$M$3*365.25)),Data!#REF!&lt;=(TODAY()-(Data_Val!$M$2*365.25))),0,1),1))</f>
        <v>#REF!</v>
      </c>
      <c r="BB612" s="11" t="e">
        <f>IF(Data!#REF!="","",IF(Data!$G612="",1,IF(ISNUMBER(MATCH(Data!#REF!,Data_Val!$D$2:$D$10,0)),0,1)))</f>
        <v>#REF!</v>
      </c>
      <c r="BC612" s="12"/>
      <c r="BD612" s="20" t="e">
        <f ca="1">IF(Data!#REF!="","",IF(ISNUMBER(Data!#REF!),IF(AND(Data!#REF!&gt;(TODAY()-(Data_Val!$M$3*365.25)),Data!#REF!&lt;=(TODAY()-(Data_Val!$M$2*365.25))),0,1),1))</f>
        <v>#REF!</v>
      </c>
      <c r="BE612" s="12" t="e">
        <f>IF(Data!#REF!="","",IF(Data!$G612="",1,IF(ISNUMBER(MATCH(Data!#REF!,Data_Val!$D$2:$D$10,0)),0,1)))</f>
        <v>#REF!</v>
      </c>
      <c r="BF612" s="17"/>
      <c r="BG612" s="18" t="e">
        <f ca="1">IF(Data!#REF!="","",IF(ISNUMBER(Data!#REF!),IF(AND(Data!#REF!&gt;(TODAY()-(Data_Val!$M$3*365.25)),Data!#REF!&lt;=(TODAY()-(Data_Val!$M$2*365.25))),0,1),1))</f>
        <v>#REF!</v>
      </c>
      <c r="BH612" s="29" t="e">
        <f>IF(Data!#REF!="","",IF(Data!$G612="",1,IF(ISNUMBER(MATCH(Data!#REF!,Data_Val!$D$2:$D$10,0)),0,1)))</f>
        <v>#REF!</v>
      </c>
      <c r="BI612" s="13"/>
      <c r="BJ612" s="21" t="e">
        <f ca="1">IF(Data!#REF!="","",IF(ISNUMBER(Data!#REF!),IF(AND(Data!#REF!&gt;(TODAY()-(Data_Val!$M$3*365.25)),Data!#REF!&lt;=(TODAY()-(Data_Val!$M$2*365.25))),0,1),1))</f>
        <v>#REF!</v>
      </c>
      <c r="BK612" s="13" t="e">
        <f>IF(Data!#REF!="","",IF(Data!$G612="",1,IF(ISNUMBER(MATCH(Data!#REF!,Data_Val!$D$2:$D$10,0)),0,1)))</f>
        <v>#REF!</v>
      </c>
    </row>
    <row r="613" spans="1:63" x14ac:dyDescent="0.25">
      <c r="A613" s="9" t="str">
        <f>IF(Data!B613="","",IF(COUNTIFS(Data!A$1:'Data'!A613,Data!A613)&lt;=1,0,1))</f>
        <v/>
      </c>
      <c r="B613" s="9"/>
      <c r="C613" s="23" t="str">
        <f>IF(Data!C613="","",(IF(ISNUMBER(MATCH("*@*.?*",Data!C613,0)),0,1)+IF(COUNTIFS(Data!C$1:'Data'!C613,Data!C613)&gt;1,1,0)))</f>
        <v/>
      </c>
      <c r="D613" s="9" t="str">
        <f>IF(Data!B613="","",IF(ISNUMBER(Data!D613),IF(AND(Data!D613&gt;999999999,Data!D613&lt;=9999999999),IF(COUNTIFS(Data!D$1:'Data'!D613,Data!D613)&lt;=1,0,1),1),1))</f>
        <v/>
      </c>
      <c r="E613" s="9" t="str">
        <f>IF(Data!B613="","",IF(ISNUMBER(MATCH(Data!E613,Data_Val!$A$2:$A$3,0)),0,1))</f>
        <v/>
      </c>
      <c r="F613" s="9" t="str">
        <f ca="1">IF(Data!B613="","",IF(ISNUMBER(Data!F613),IF(AND(Data!F613&gt;(TODAY()-(Data_Val!$H$3*365.25)),Data!F613&lt;=(TODAY()-(Data_Val!$H$2*365.25))),0,1),1))</f>
        <v/>
      </c>
      <c r="G613" s="15" t="str">
        <f>IF(Data!B613="","",IF(AND(Data!G613="",Data!H613&lt;&gt;""),1,IF(Data!#REF!&lt;&gt;"",0,IF(ISNUMBER(MATCH(Data!G613,Data_Val!$C$2:$C$5,0)),0,1))))</f>
        <v/>
      </c>
      <c r="H613" s="15" t="str">
        <f>IF(Data!B613="","",IF(AND(Data!G613&lt;&gt;"",Data!H613=""),1,IF(Data!#REF!&lt;&gt;"",0,IF(Data!G613="",1,IF(ISNUMBER(MATCH(Data!H613,Data_Val!$D$2:$D$35,0)),0,1)))))</f>
        <v/>
      </c>
      <c r="I613" s="15" t="str">
        <f>IF(Data!B613="","",IF(Data!G613&lt;&gt;"",0,IF(ISNUMBER(MATCH(Data!#REF!,Data_Val!$E$2:$E$12,0)),0,1)))</f>
        <v/>
      </c>
      <c r="J613" s="16" t="e">
        <f>IF(OR(Data!B613="",Data!#REF!=""),"",IF(Data!#REF!="",1,0))</f>
        <v>#REF!</v>
      </c>
      <c r="K613" s="16" t="e">
        <f>IF(OR(Data!B613="",Data!#REF!=""),"",IF(Data!#REF!="",1,0))</f>
        <v>#REF!</v>
      </c>
      <c r="L613" s="16" t="e">
        <f>IF(OR(Data!B613="",Data!#REF!=""),"",IF(ISNUMBER(Data!#REF!),IF(AND(Data!#REF!&gt;Data_Val!$G$2,Data!#REF!&lt;=Data_Val!$G$3),0,1),1))</f>
        <v>#REF!</v>
      </c>
      <c r="M613" s="9" t="e">
        <f>IF(OR(Data!B613="",Data!#REF!=""),"",IF(ISNUMBER(MATCH(Data!#REF!,Data_Val!$F$1:$F$38,0)),0,1))</f>
        <v>#REF!</v>
      </c>
      <c r="N613" s="9" t="e">
        <f>IF(OR(Data!B613="",Data!#REF!=""),"",IF(Data!#REF!="",1,0))</f>
        <v>#REF!</v>
      </c>
      <c r="O613" s="17" t="e">
        <f>IF(Data!#REF!="","",IF(Data!#REF!="",1,0))</f>
        <v>#REF!</v>
      </c>
      <c r="P613" s="17" t="e">
        <f>IF(Data!#REF!="","",IF(ISNUMBER(MATCH(Data!#REF!,Data_Val!$A$2:$A$3,0)),0,1))</f>
        <v>#REF!</v>
      </c>
      <c r="Q613" s="25" t="e">
        <f ca="1">IF(Data!#REF!="","",IF(ISNUMBER(Data!#REF!),IF(AND(Data!#REF!&gt;(TODAY()-(Data_Val!$J$3*365.25)),Data!#REF!&lt;=(TODAY()-(Data_Val!$J$2*365.25))),0,1),1))</f>
        <v>#REF!</v>
      </c>
      <c r="R613" s="17" t="e">
        <f>IF(Data!#REF!="","",IF(ISNUMBER(MATCH(Data!#REF!,Data_Val!$B$2:$B$15,0)),0,1))</f>
        <v>#REF!</v>
      </c>
      <c r="S613" s="11" t="str">
        <f>IF(Data!G613="","",IF(Data!G613=Data_Val!$C$2,IF(Data!M613="",0,1),0))</f>
        <v/>
      </c>
      <c r="T613" s="11" t="str">
        <f>IF(Data!M613="","",IF(ISNUMBER(MATCH(Data!N613,Data_Val!$A$2:$A$3,0)),0,1))</f>
        <v/>
      </c>
      <c r="U613" s="11" t="str">
        <f ca="1">IF(Data!M613="","",IF(ISNUMBER(Data!O613),IF(AND(Data!O613&gt;(TODAY()-(Data_Val!$K$3*365.25)),Data!O613&lt;=(TODAY()-(Data_Val!$K$2*365.25))),0,1),1))</f>
        <v/>
      </c>
      <c r="V613" s="12" t="str">
        <f>IF(Data!G613="","",IF(Data!G613=Data_Val!$C$2,IF(Data!P613="",0,1),0))</f>
        <v/>
      </c>
      <c r="W613" s="12" t="str">
        <f>IF(Data!P613="","",IF(ISNUMBER(MATCH(Data!Q613,Data_Val!$A$2:$A$3,0)),0,1))</f>
        <v/>
      </c>
      <c r="X613" s="26" t="str">
        <f ca="1">IF(Data!P613="","",IF(ISNUMBER(Data!R613),IF(AND(Data!R613&gt;(TODAY()-(Data_Val!$L$3*365.25)),Data!R613&lt;=(TODAY()-(Data_Val!$L$2*365.25))),0,1),1))</f>
        <v/>
      </c>
      <c r="Y613" s="13" t="str">
        <f>IF(Data!$G613="","",IF(Data!$G613=Data_Val!$C$2,IF(Data!S613="",0,1),0))</f>
        <v/>
      </c>
      <c r="Z613" s="13" t="str">
        <f>IF(Data!S613="","",IF(ISNUMBER(MATCH(Data!T613,Data_Val!$A$2:$A$3,0)),0,1))</f>
        <v/>
      </c>
      <c r="AA613" s="28" t="str">
        <f ca="1">IF(Data!S613="","",IF(ISNUMBER(Data!U613),IF(AND(Data!U613&gt;(TODAY()-(Data_Val!$L$3*365.25)),Data!U613&lt;=(TODAY()-(Data_Val!$L$2*365.25))),0,1),1))</f>
        <v/>
      </c>
      <c r="AB613" s="11"/>
      <c r="AC613" s="11" t="e">
        <f>IF(Data!#REF!="","",IF(ISNUMBER(MATCH(Data!#REF!,Data_Val!$A$2:$A$3,0)),0,1))</f>
        <v>#REF!</v>
      </c>
      <c r="AD613" s="11" t="e">
        <f ca="1">IF(Data!#REF!="","",IF(ISNUMBER(Data!#REF!),IF(AND(Data!#REF!&gt;(TODAY()-(Data_Val!$L$3*365.25)),Data!#REF!&lt;=(TODAY()-(Data_Val!$L$2*365.25))),0,1),1))</f>
        <v>#REF!</v>
      </c>
      <c r="AE613" s="11" t="e">
        <f>IF(Data!#REF!="","",IF(Data!$G613="",1,IF(ISNUMBER(MATCH(Data!#REF!,Data_Val!$D$2:$D$10,0)),0,1)))</f>
        <v>#REF!</v>
      </c>
      <c r="AF613" s="12"/>
      <c r="AG613" s="12" t="e">
        <f>IF(Data!#REF!="","",IF(ISNUMBER(MATCH(Data!#REF!,Data_Val!$A$2:$A$3,0)),0,1))</f>
        <v>#REF!</v>
      </c>
      <c r="AH613" s="26" t="e">
        <f ca="1">IF(Data!#REF!="","",IF(ISNUMBER(Data!#REF!),IF(AND(Data!#REF!&gt;(TODAY()-(Data_Val!$L$3*365.25)),Data!#REF!&lt;=(TODAY()-(Data_Val!$L$2*365.25))),0,1),1))</f>
        <v>#REF!</v>
      </c>
      <c r="AI613" s="12" t="e">
        <f>IF(Data!#REF!="","",IF(Data!$G613="",1,IF(ISNUMBER(MATCH(Data!#REF!,Data_Val!$D$2:$D$10,0)),0,1)))</f>
        <v>#REF!</v>
      </c>
      <c r="AJ613" s="17"/>
      <c r="AK613" s="17" t="e">
        <f>IF(Data!#REF!="","",IF(ISNUMBER(MATCH(Data!#REF!,Data_Val!$A$2:$A$3,0)),0,1))</f>
        <v>#REF!</v>
      </c>
      <c r="AL613" s="25" t="e">
        <f ca="1">IF(Data!#REF!="","",IF(ISNUMBER(Data!#REF!),IF(AND(Data!#REF!&gt;(TODAY()-(Data_Val!$L$3*365.25)),Data!#REF!&lt;=(TODAY()-(Data_Val!$L$2*365.25))),0,1),1))</f>
        <v>#REF!</v>
      </c>
      <c r="AM613" s="17" t="e">
        <f>IF(Data!#REF!="","",IF(Data!$G613="",1,IF(ISNUMBER(MATCH(Data!#REF!,Data_Val!$D$2:$D$10,0)),0,1)))</f>
        <v>#REF!</v>
      </c>
      <c r="AN613" s="13"/>
      <c r="AO613" s="28" t="e">
        <f ca="1">IF(Data!#REF!="","",IF(ISNUMBER(Data!#REF!),IF(AND(Data!#REF!&gt;(TODAY()-(Data_Val!$I$3*365.25)),Data!#REF!&lt;=(TODAY()-(Data_Val!$I$2*365.25))),0,1),1))</f>
        <v>#REF!</v>
      </c>
      <c r="AP613" s="13" t="e">
        <f>IF(Data!#REF!="","",IF(Data!$G613="",1,IF(ISNUMBER(MATCH(Data!#REF!,Data_Val!$D$2:$D$10,0)),0,1)))</f>
        <v>#REF!</v>
      </c>
      <c r="AQ613" s="17"/>
      <c r="AR613" s="30" t="e">
        <f ca="1">IF(Data!#REF!="","",IF(ISNUMBER(Data!#REF!),IF(AND(Data!#REF!&gt;(TODAY()-(Data_Val!$I$3*365.25)),Data!#REF!&lt;=(TODAY()-(Data_Val!$I$2*365.25))),0,1),1))</f>
        <v>#REF!</v>
      </c>
      <c r="AS613" s="31" t="e">
        <f>IF(Data!#REF!="","",IF(Data!$G613="",1,IF(ISNUMBER(MATCH(Data!#REF!,Data_Val!$D$2:$D$10,0)),0,1)))</f>
        <v>#REF!</v>
      </c>
      <c r="AT613" s="11"/>
      <c r="AU613" s="11" t="e">
        <f ca="1">IF(Data!#REF!="","",IF(ISNUMBER(Data!#REF!),IF(AND(Data!#REF!&gt;(TODAY()-(Data_Val!$I$3*365.25)),Data!#REF!&lt;=(TODAY()-(Data_Val!$I$2*365.25))),0,1),1))</f>
        <v>#REF!</v>
      </c>
      <c r="AV613" s="11" t="e">
        <f>IF(Data!#REF!="","",IF(Data!$G613="",1,IF(ISNUMBER(MATCH(Data!#REF!,Data_Val!$D$2:$D$10,0)),0,1)))</f>
        <v>#REF!</v>
      </c>
      <c r="AW613" s="12"/>
      <c r="AX613" s="26" t="e">
        <f ca="1">IF(Data!#REF!="","",IF(ISNUMBER(Data!#REF!),IF(AND(Data!#REF!&gt;(TODAY()-(Data_Val!$I$3*365.25)),Data!#REF!&lt;=(TODAY()-(Data_Val!$I$2*365.25))),0,1),1))</f>
        <v>#REF!</v>
      </c>
      <c r="AY613" s="12" t="e">
        <f>IF(Data!#REF!="","",IF(Data!$G613="",1,IF(ISNUMBER(MATCH(Data!#REF!,Data_Val!$D$2:$D$10,0)),0,1)))</f>
        <v>#REF!</v>
      </c>
      <c r="AZ613" s="11"/>
      <c r="BA613" s="19" t="e">
        <f ca="1">IF(Data!#REF!="","",IF(ISNUMBER(Data!#REF!),IF(AND(Data!#REF!&gt;(TODAY()-(Data_Val!$M$3*365.25)),Data!#REF!&lt;=(TODAY()-(Data_Val!$M$2*365.25))),0,1),1))</f>
        <v>#REF!</v>
      </c>
      <c r="BB613" s="11" t="e">
        <f>IF(Data!#REF!="","",IF(Data!$G613="",1,IF(ISNUMBER(MATCH(Data!#REF!,Data_Val!$D$2:$D$10,0)),0,1)))</f>
        <v>#REF!</v>
      </c>
      <c r="BC613" s="12"/>
      <c r="BD613" s="20" t="e">
        <f ca="1">IF(Data!#REF!="","",IF(ISNUMBER(Data!#REF!),IF(AND(Data!#REF!&gt;(TODAY()-(Data_Val!$M$3*365.25)),Data!#REF!&lt;=(TODAY()-(Data_Val!$M$2*365.25))),0,1),1))</f>
        <v>#REF!</v>
      </c>
      <c r="BE613" s="12" t="e">
        <f>IF(Data!#REF!="","",IF(Data!$G613="",1,IF(ISNUMBER(MATCH(Data!#REF!,Data_Val!$D$2:$D$10,0)),0,1)))</f>
        <v>#REF!</v>
      </c>
      <c r="BF613" s="17"/>
      <c r="BG613" s="18" t="e">
        <f ca="1">IF(Data!#REF!="","",IF(ISNUMBER(Data!#REF!),IF(AND(Data!#REF!&gt;(TODAY()-(Data_Val!$M$3*365.25)),Data!#REF!&lt;=(TODAY()-(Data_Val!$M$2*365.25))),0,1),1))</f>
        <v>#REF!</v>
      </c>
      <c r="BH613" s="29" t="e">
        <f>IF(Data!#REF!="","",IF(Data!$G613="",1,IF(ISNUMBER(MATCH(Data!#REF!,Data_Val!$D$2:$D$10,0)),0,1)))</f>
        <v>#REF!</v>
      </c>
      <c r="BI613" s="13"/>
      <c r="BJ613" s="21" t="e">
        <f ca="1">IF(Data!#REF!="","",IF(ISNUMBER(Data!#REF!),IF(AND(Data!#REF!&gt;(TODAY()-(Data_Val!$M$3*365.25)),Data!#REF!&lt;=(TODAY()-(Data_Val!$M$2*365.25))),0,1),1))</f>
        <v>#REF!</v>
      </c>
      <c r="BK613" s="13" t="e">
        <f>IF(Data!#REF!="","",IF(Data!$G613="",1,IF(ISNUMBER(MATCH(Data!#REF!,Data_Val!$D$2:$D$10,0)),0,1)))</f>
        <v>#REF!</v>
      </c>
    </row>
    <row r="614" spans="1:63" x14ac:dyDescent="0.25">
      <c r="A614" s="9" t="str">
        <f>IF(Data!B614="","",IF(COUNTIFS(Data!A$1:'Data'!A614,Data!A614)&lt;=1,0,1))</f>
        <v/>
      </c>
      <c r="B614" s="9"/>
      <c r="C614" s="23" t="str">
        <f>IF(Data!C614="","",(IF(ISNUMBER(MATCH("*@*.?*",Data!C614,0)),0,1)+IF(COUNTIFS(Data!C$1:'Data'!C614,Data!C614)&gt;1,1,0)))</f>
        <v/>
      </c>
      <c r="D614" s="9" t="str">
        <f>IF(Data!B614="","",IF(ISNUMBER(Data!D614),IF(AND(Data!D614&gt;999999999,Data!D614&lt;=9999999999),IF(COUNTIFS(Data!D$1:'Data'!D614,Data!D614)&lt;=1,0,1),1),1))</f>
        <v/>
      </c>
      <c r="E614" s="9" t="str">
        <f>IF(Data!B614="","",IF(ISNUMBER(MATCH(Data!E614,Data_Val!$A$2:$A$3,0)),0,1))</f>
        <v/>
      </c>
      <c r="F614" s="9" t="str">
        <f ca="1">IF(Data!B614="","",IF(ISNUMBER(Data!F614),IF(AND(Data!F614&gt;(TODAY()-(Data_Val!$H$3*365.25)),Data!F614&lt;=(TODAY()-(Data_Val!$H$2*365.25))),0,1),1))</f>
        <v/>
      </c>
      <c r="G614" s="15" t="str">
        <f>IF(Data!B614="","",IF(AND(Data!G614="",Data!H614&lt;&gt;""),1,IF(Data!#REF!&lt;&gt;"",0,IF(ISNUMBER(MATCH(Data!G614,Data_Val!$C$2:$C$5,0)),0,1))))</f>
        <v/>
      </c>
      <c r="H614" s="15" t="str">
        <f>IF(Data!B614="","",IF(AND(Data!G614&lt;&gt;"",Data!H614=""),1,IF(Data!#REF!&lt;&gt;"",0,IF(Data!G614="",1,IF(ISNUMBER(MATCH(Data!H614,Data_Val!$D$2:$D$35,0)),0,1)))))</f>
        <v/>
      </c>
      <c r="I614" s="15" t="str">
        <f>IF(Data!B614="","",IF(Data!G614&lt;&gt;"",0,IF(ISNUMBER(MATCH(Data!#REF!,Data_Val!$E$2:$E$12,0)),0,1)))</f>
        <v/>
      </c>
      <c r="J614" s="16" t="e">
        <f>IF(OR(Data!B614="",Data!#REF!=""),"",IF(Data!#REF!="",1,0))</f>
        <v>#REF!</v>
      </c>
      <c r="K614" s="16" t="e">
        <f>IF(OR(Data!B614="",Data!#REF!=""),"",IF(Data!#REF!="",1,0))</f>
        <v>#REF!</v>
      </c>
      <c r="L614" s="16" t="e">
        <f>IF(OR(Data!B614="",Data!#REF!=""),"",IF(ISNUMBER(Data!#REF!),IF(AND(Data!#REF!&gt;Data_Val!$G$2,Data!#REF!&lt;=Data_Val!$G$3),0,1),1))</f>
        <v>#REF!</v>
      </c>
      <c r="M614" s="9" t="e">
        <f>IF(OR(Data!B614="",Data!#REF!=""),"",IF(ISNUMBER(MATCH(Data!#REF!,Data_Val!$F$1:$F$38,0)),0,1))</f>
        <v>#REF!</v>
      </c>
      <c r="N614" s="9" t="e">
        <f>IF(OR(Data!B614="",Data!#REF!=""),"",IF(Data!#REF!="",1,0))</f>
        <v>#REF!</v>
      </c>
      <c r="O614" s="17" t="e">
        <f>IF(Data!#REF!="","",IF(Data!#REF!="",1,0))</f>
        <v>#REF!</v>
      </c>
      <c r="P614" s="17" t="e">
        <f>IF(Data!#REF!="","",IF(ISNUMBER(MATCH(Data!#REF!,Data_Val!$A$2:$A$3,0)),0,1))</f>
        <v>#REF!</v>
      </c>
      <c r="Q614" s="25" t="e">
        <f ca="1">IF(Data!#REF!="","",IF(ISNUMBER(Data!#REF!),IF(AND(Data!#REF!&gt;(TODAY()-(Data_Val!$J$3*365.25)),Data!#REF!&lt;=(TODAY()-(Data_Val!$J$2*365.25))),0,1),1))</f>
        <v>#REF!</v>
      </c>
      <c r="R614" s="17" t="e">
        <f>IF(Data!#REF!="","",IF(ISNUMBER(MATCH(Data!#REF!,Data_Val!$B$2:$B$15,0)),0,1))</f>
        <v>#REF!</v>
      </c>
      <c r="S614" s="11" t="str">
        <f>IF(Data!G614="","",IF(Data!G614=Data_Val!$C$2,IF(Data!M614="",0,1),0))</f>
        <v/>
      </c>
      <c r="T614" s="11" t="str">
        <f>IF(Data!M614="","",IF(ISNUMBER(MATCH(Data!N614,Data_Val!$A$2:$A$3,0)),0,1))</f>
        <v/>
      </c>
      <c r="U614" s="11" t="str">
        <f ca="1">IF(Data!M614="","",IF(ISNUMBER(Data!O614),IF(AND(Data!O614&gt;(TODAY()-(Data_Val!$K$3*365.25)),Data!O614&lt;=(TODAY()-(Data_Val!$K$2*365.25))),0,1),1))</f>
        <v/>
      </c>
      <c r="V614" s="12" t="str">
        <f>IF(Data!G614="","",IF(Data!G614=Data_Val!$C$2,IF(Data!P614="",0,1),0))</f>
        <v/>
      </c>
      <c r="W614" s="12" t="str">
        <f>IF(Data!P614="","",IF(ISNUMBER(MATCH(Data!Q614,Data_Val!$A$2:$A$3,0)),0,1))</f>
        <v/>
      </c>
      <c r="X614" s="26" t="str">
        <f ca="1">IF(Data!P614="","",IF(ISNUMBER(Data!R614),IF(AND(Data!R614&gt;(TODAY()-(Data_Val!$L$3*365.25)),Data!R614&lt;=(TODAY()-(Data_Val!$L$2*365.25))),0,1),1))</f>
        <v/>
      </c>
      <c r="Y614" s="13" t="str">
        <f>IF(Data!$G614="","",IF(Data!$G614=Data_Val!$C$2,IF(Data!S614="",0,1),0))</f>
        <v/>
      </c>
      <c r="Z614" s="13" t="str">
        <f>IF(Data!S614="","",IF(ISNUMBER(MATCH(Data!T614,Data_Val!$A$2:$A$3,0)),0,1))</f>
        <v/>
      </c>
      <c r="AA614" s="28" t="str">
        <f ca="1">IF(Data!S614="","",IF(ISNUMBER(Data!U614),IF(AND(Data!U614&gt;(TODAY()-(Data_Val!$L$3*365.25)),Data!U614&lt;=(TODAY()-(Data_Val!$L$2*365.25))),0,1),1))</f>
        <v/>
      </c>
      <c r="AB614" s="11"/>
      <c r="AC614" s="11" t="e">
        <f>IF(Data!#REF!="","",IF(ISNUMBER(MATCH(Data!#REF!,Data_Val!$A$2:$A$3,0)),0,1))</f>
        <v>#REF!</v>
      </c>
      <c r="AD614" s="11" t="e">
        <f ca="1">IF(Data!#REF!="","",IF(ISNUMBER(Data!#REF!),IF(AND(Data!#REF!&gt;(TODAY()-(Data_Val!$L$3*365.25)),Data!#REF!&lt;=(TODAY()-(Data_Val!$L$2*365.25))),0,1),1))</f>
        <v>#REF!</v>
      </c>
      <c r="AE614" s="11" t="e">
        <f>IF(Data!#REF!="","",IF(Data!$G614="",1,IF(ISNUMBER(MATCH(Data!#REF!,Data_Val!$D$2:$D$10,0)),0,1)))</f>
        <v>#REF!</v>
      </c>
      <c r="AF614" s="12"/>
      <c r="AG614" s="12" t="e">
        <f>IF(Data!#REF!="","",IF(ISNUMBER(MATCH(Data!#REF!,Data_Val!$A$2:$A$3,0)),0,1))</f>
        <v>#REF!</v>
      </c>
      <c r="AH614" s="26" t="e">
        <f ca="1">IF(Data!#REF!="","",IF(ISNUMBER(Data!#REF!),IF(AND(Data!#REF!&gt;(TODAY()-(Data_Val!$L$3*365.25)),Data!#REF!&lt;=(TODAY()-(Data_Val!$L$2*365.25))),0,1),1))</f>
        <v>#REF!</v>
      </c>
      <c r="AI614" s="12" t="e">
        <f>IF(Data!#REF!="","",IF(Data!$G614="",1,IF(ISNUMBER(MATCH(Data!#REF!,Data_Val!$D$2:$D$10,0)),0,1)))</f>
        <v>#REF!</v>
      </c>
      <c r="AJ614" s="17"/>
      <c r="AK614" s="17" t="e">
        <f>IF(Data!#REF!="","",IF(ISNUMBER(MATCH(Data!#REF!,Data_Val!$A$2:$A$3,0)),0,1))</f>
        <v>#REF!</v>
      </c>
      <c r="AL614" s="25" t="e">
        <f ca="1">IF(Data!#REF!="","",IF(ISNUMBER(Data!#REF!),IF(AND(Data!#REF!&gt;(TODAY()-(Data_Val!$L$3*365.25)),Data!#REF!&lt;=(TODAY()-(Data_Val!$L$2*365.25))),0,1),1))</f>
        <v>#REF!</v>
      </c>
      <c r="AM614" s="17" t="e">
        <f>IF(Data!#REF!="","",IF(Data!$G614="",1,IF(ISNUMBER(MATCH(Data!#REF!,Data_Val!$D$2:$D$10,0)),0,1)))</f>
        <v>#REF!</v>
      </c>
      <c r="AN614" s="13"/>
      <c r="AO614" s="28" t="e">
        <f ca="1">IF(Data!#REF!="","",IF(ISNUMBER(Data!#REF!),IF(AND(Data!#REF!&gt;(TODAY()-(Data_Val!$I$3*365.25)),Data!#REF!&lt;=(TODAY()-(Data_Val!$I$2*365.25))),0,1),1))</f>
        <v>#REF!</v>
      </c>
      <c r="AP614" s="13" t="e">
        <f>IF(Data!#REF!="","",IF(Data!$G614="",1,IF(ISNUMBER(MATCH(Data!#REF!,Data_Val!$D$2:$D$10,0)),0,1)))</f>
        <v>#REF!</v>
      </c>
      <c r="AQ614" s="17"/>
      <c r="AR614" s="30" t="e">
        <f ca="1">IF(Data!#REF!="","",IF(ISNUMBER(Data!#REF!),IF(AND(Data!#REF!&gt;(TODAY()-(Data_Val!$I$3*365.25)),Data!#REF!&lt;=(TODAY()-(Data_Val!$I$2*365.25))),0,1),1))</f>
        <v>#REF!</v>
      </c>
      <c r="AS614" s="31" t="e">
        <f>IF(Data!#REF!="","",IF(Data!$G614="",1,IF(ISNUMBER(MATCH(Data!#REF!,Data_Val!$D$2:$D$10,0)),0,1)))</f>
        <v>#REF!</v>
      </c>
      <c r="AT614" s="11"/>
      <c r="AU614" s="11" t="e">
        <f ca="1">IF(Data!#REF!="","",IF(ISNUMBER(Data!#REF!),IF(AND(Data!#REF!&gt;(TODAY()-(Data_Val!$I$3*365.25)),Data!#REF!&lt;=(TODAY()-(Data_Val!$I$2*365.25))),0,1),1))</f>
        <v>#REF!</v>
      </c>
      <c r="AV614" s="11" t="e">
        <f>IF(Data!#REF!="","",IF(Data!$G614="",1,IF(ISNUMBER(MATCH(Data!#REF!,Data_Val!$D$2:$D$10,0)),0,1)))</f>
        <v>#REF!</v>
      </c>
      <c r="AW614" s="12"/>
      <c r="AX614" s="26" t="e">
        <f ca="1">IF(Data!#REF!="","",IF(ISNUMBER(Data!#REF!),IF(AND(Data!#REF!&gt;(TODAY()-(Data_Val!$I$3*365.25)),Data!#REF!&lt;=(TODAY()-(Data_Val!$I$2*365.25))),0,1),1))</f>
        <v>#REF!</v>
      </c>
      <c r="AY614" s="12" t="e">
        <f>IF(Data!#REF!="","",IF(Data!$G614="",1,IF(ISNUMBER(MATCH(Data!#REF!,Data_Val!$D$2:$D$10,0)),0,1)))</f>
        <v>#REF!</v>
      </c>
      <c r="AZ614" s="11"/>
      <c r="BA614" s="19" t="e">
        <f ca="1">IF(Data!#REF!="","",IF(ISNUMBER(Data!#REF!),IF(AND(Data!#REF!&gt;(TODAY()-(Data_Val!$M$3*365.25)),Data!#REF!&lt;=(TODAY()-(Data_Val!$M$2*365.25))),0,1),1))</f>
        <v>#REF!</v>
      </c>
      <c r="BB614" s="11" t="e">
        <f>IF(Data!#REF!="","",IF(Data!$G614="",1,IF(ISNUMBER(MATCH(Data!#REF!,Data_Val!$D$2:$D$10,0)),0,1)))</f>
        <v>#REF!</v>
      </c>
      <c r="BC614" s="12"/>
      <c r="BD614" s="20" t="e">
        <f ca="1">IF(Data!#REF!="","",IF(ISNUMBER(Data!#REF!),IF(AND(Data!#REF!&gt;(TODAY()-(Data_Val!$M$3*365.25)),Data!#REF!&lt;=(TODAY()-(Data_Val!$M$2*365.25))),0,1),1))</f>
        <v>#REF!</v>
      </c>
      <c r="BE614" s="12" t="e">
        <f>IF(Data!#REF!="","",IF(Data!$G614="",1,IF(ISNUMBER(MATCH(Data!#REF!,Data_Val!$D$2:$D$10,0)),0,1)))</f>
        <v>#REF!</v>
      </c>
      <c r="BF614" s="17"/>
      <c r="BG614" s="18" t="e">
        <f ca="1">IF(Data!#REF!="","",IF(ISNUMBER(Data!#REF!),IF(AND(Data!#REF!&gt;(TODAY()-(Data_Val!$M$3*365.25)),Data!#REF!&lt;=(TODAY()-(Data_Val!$M$2*365.25))),0,1),1))</f>
        <v>#REF!</v>
      </c>
      <c r="BH614" s="29" t="e">
        <f>IF(Data!#REF!="","",IF(Data!$G614="",1,IF(ISNUMBER(MATCH(Data!#REF!,Data_Val!$D$2:$D$10,0)),0,1)))</f>
        <v>#REF!</v>
      </c>
      <c r="BI614" s="13"/>
      <c r="BJ614" s="21" t="e">
        <f ca="1">IF(Data!#REF!="","",IF(ISNUMBER(Data!#REF!),IF(AND(Data!#REF!&gt;(TODAY()-(Data_Val!$M$3*365.25)),Data!#REF!&lt;=(TODAY()-(Data_Val!$M$2*365.25))),0,1),1))</f>
        <v>#REF!</v>
      </c>
      <c r="BK614" s="13" t="e">
        <f>IF(Data!#REF!="","",IF(Data!$G614="",1,IF(ISNUMBER(MATCH(Data!#REF!,Data_Val!$D$2:$D$10,0)),0,1)))</f>
        <v>#REF!</v>
      </c>
    </row>
    <row r="615" spans="1:63" x14ac:dyDescent="0.25">
      <c r="A615" s="9" t="str">
        <f>IF(Data!B615="","",IF(COUNTIFS(Data!A$1:'Data'!A615,Data!A615)&lt;=1,0,1))</f>
        <v/>
      </c>
      <c r="B615" s="9"/>
      <c r="C615" s="23" t="str">
        <f>IF(Data!C615="","",(IF(ISNUMBER(MATCH("*@*.?*",Data!C615,0)),0,1)+IF(COUNTIFS(Data!C$1:'Data'!C615,Data!C615)&gt;1,1,0)))</f>
        <v/>
      </c>
      <c r="D615" s="9" t="str">
        <f>IF(Data!B615="","",IF(ISNUMBER(Data!D615),IF(AND(Data!D615&gt;999999999,Data!D615&lt;=9999999999),IF(COUNTIFS(Data!D$1:'Data'!D615,Data!D615)&lt;=1,0,1),1),1))</f>
        <v/>
      </c>
      <c r="E615" s="9" t="str">
        <f>IF(Data!B615="","",IF(ISNUMBER(MATCH(Data!E615,Data_Val!$A$2:$A$3,0)),0,1))</f>
        <v/>
      </c>
      <c r="F615" s="9" t="str">
        <f ca="1">IF(Data!B615="","",IF(ISNUMBER(Data!F615),IF(AND(Data!F615&gt;(TODAY()-(Data_Val!$H$3*365.25)),Data!F615&lt;=(TODAY()-(Data_Val!$H$2*365.25))),0,1),1))</f>
        <v/>
      </c>
      <c r="G615" s="15" t="str">
        <f>IF(Data!B615="","",IF(AND(Data!G615="",Data!H615&lt;&gt;""),1,IF(Data!#REF!&lt;&gt;"",0,IF(ISNUMBER(MATCH(Data!G615,Data_Val!$C$2:$C$5,0)),0,1))))</f>
        <v/>
      </c>
      <c r="H615" s="15" t="str">
        <f>IF(Data!B615="","",IF(AND(Data!G615&lt;&gt;"",Data!H615=""),1,IF(Data!#REF!&lt;&gt;"",0,IF(Data!G615="",1,IF(ISNUMBER(MATCH(Data!H615,Data_Val!$D$2:$D$35,0)),0,1)))))</f>
        <v/>
      </c>
      <c r="I615" s="15" t="str">
        <f>IF(Data!B615="","",IF(Data!G615&lt;&gt;"",0,IF(ISNUMBER(MATCH(Data!#REF!,Data_Val!$E$2:$E$12,0)),0,1)))</f>
        <v/>
      </c>
      <c r="J615" s="16" t="e">
        <f>IF(OR(Data!B615="",Data!#REF!=""),"",IF(Data!#REF!="",1,0))</f>
        <v>#REF!</v>
      </c>
      <c r="K615" s="16" t="e">
        <f>IF(OR(Data!B615="",Data!#REF!=""),"",IF(Data!#REF!="",1,0))</f>
        <v>#REF!</v>
      </c>
      <c r="L615" s="16" t="e">
        <f>IF(OR(Data!B615="",Data!#REF!=""),"",IF(ISNUMBER(Data!#REF!),IF(AND(Data!#REF!&gt;Data_Val!$G$2,Data!#REF!&lt;=Data_Val!$G$3),0,1),1))</f>
        <v>#REF!</v>
      </c>
      <c r="M615" s="9" t="e">
        <f>IF(OR(Data!B615="",Data!#REF!=""),"",IF(ISNUMBER(MATCH(Data!#REF!,Data_Val!$F$1:$F$38,0)),0,1))</f>
        <v>#REF!</v>
      </c>
      <c r="N615" s="9" t="e">
        <f>IF(OR(Data!B615="",Data!#REF!=""),"",IF(Data!#REF!="",1,0))</f>
        <v>#REF!</v>
      </c>
      <c r="O615" s="17" t="e">
        <f>IF(Data!#REF!="","",IF(Data!#REF!="",1,0))</f>
        <v>#REF!</v>
      </c>
      <c r="P615" s="17" t="e">
        <f>IF(Data!#REF!="","",IF(ISNUMBER(MATCH(Data!#REF!,Data_Val!$A$2:$A$3,0)),0,1))</f>
        <v>#REF!</v>
      </c>
      <c r="Q615" s="25" t="e">
        <f ca="1">IF(Data!#REF!="","",IF(ISNUMBER(Data!#REF!),IF(AND(Data!#REF!&gt;(TODAY()-(Data_Val!$J$3*365.25)),Data!#REF!&lt;=(TODAY()-(Data_Val!$J$2*365.25))),0,1),1))</f>
        <v>#REF!</v>
      </c>
      <c r="R615" s="17" t="e">
        <f>IF(Data!#REF!="","",IF(ISNUMBER(MATCH(Data!#REF!,Data_Val!$B$2:$B$15,0)),0,1))</f>
        <v>#REF!</v>
      </c>
      <c r="S615" s="11" t="str">
        <f>IF(Data!G615="","",IF(Data!G615=Data_Val!$C$2,IF(Data!M615="",0,1),0))</f>
        <v/>
      </c>
      <c r="T615" s="11" t="str">
        <f>IF(Data!M615="","",IF(ISNUMBER(MATCH(Data!N615,Data_Val!$A$2:$A$3,0)),0,1))</f>
        <v/>
      </c>
      <c r="U615" s="11" t="str">
        <f ca="1">IF(Data!M615="","",IF(ISNUMBER(Data!O615),IF(AND(Data!O615&gt;(TODAY()-(Data_Val!$K$3*365.25)),Data!O615&lt;=(TODAY()-(Data_Val!$K$2*365.25))),0,1),1))</f>
        <v/>
      </c>
      <c r="V615" s="12" t="str">
        <f>IF(Data!G615="","",IF(Data!G615=Data_Val!$C$2,IF(Data!P615="",0,1),0))</f>
        <v/>
      </c>
      <c r="W615" s="12" t="str">
        <f>IF(Data!P615="","",IF(ISNUMBER(MATCH(Data!Q615,Data_Val!$A$2:$A$3,0)),0,1))</f>
        <v/>
      </c>
      <c r="X615" s="26" t="str">
        <f ca="1">IF(Data!P615="","",IF(ISNUMBER(Data!R615),IF(AND(Data!R615&gt;(TODAY()-(Data_Val!$L$3*365.25)),Data!R615&lt;=(TODAY()-(Data_Val!$L$2*365.25))),0,1),1))</f>
        <v/>
      </c>
      <c r="Y615" s="13" t="str">
        <f>IF(Data!$G615="","",IF(Data!$G615=Data_Val!$C$2,IF(Data!S615="",0,1),0))</f>
        <v/>
      </c>
      <c r="Z615" s="13" t="str">
        <f>IF(Data!S615="","",IF(ISNUMBER(MATCH(Data!T615,Data_Val!$A$2:$A$3,0)),0,1))</f>
        <v/>
      </c>
      <c r="AA615" s="28" t="str">
        <f ca="1">IF(Data!S615="","",IF(ISNUMBER(Data!U615),IF(AND(Data!U615&gt;(TODAY()-(Data_Val!$L$3*365.25)),Data!U615&lt;=(TODAY()-(Data_Val!$L$2*365.25))),0,1),1))</f>
        <v/>
      </c>
      <c r="AB615" s="11"/>
      <c r="AC615" s="11" t="e">
        <f>IF(Data!#REF!="","",IF(ISNUMBER(MATCH(Data!#REF!,Data_Val!$A$2:$A$3,0)),0,1))</f>
        <v>#REF!</v>
      </c>
      <c r="AD615" s="11" t="e">
        <f ca="1">IF(Data!#REF!="","",IF(ISNUMBER(Data!#REF!),IF(AND(Data!#REF!&gt;(TODAY()-(Data_Val!$L$3*365.25)),Data!#REF!&lt;=(TODAY()-(Data_Val!$L$2*365.25))),0,1),1))</f>
        <v>#REF!</v>
      </c>
      <c r="AE615" s="11" t="e">
        <f>IF(Data!#REF!="","",IF(Data!$G615="",1,IF(ISNUMBER(MATCH(Data!#REF!,Data_Val!$D$2:$D$10,0)),0,1)))</f>
        <v>#REF!</v>
      </c>
      <c r="AF615" s="12"/>
      <c r="AG615" s="12" t="e">
        <f>IF(Data!#REF!="","",IF(ISNUMBER(MATCH(Data!#REF!,Data_Val!$A$2:$A$3,0)),0,1))</f>
        <v>#REF!</v>
      </c>
      <c r="AH615" s="26" t="e">
        <f ca="1">IF(Data!#REF!="","",IF(ISNUMBER(Data!#REF!),IF(AND(Data!#REF!&gt;(TODAY()-(Data_Val!$L$3*365.25)),Data!#REF!&lt;=(TODAY()-(Data_Val!$L$2*365.25))),0,1),1))</f>
        <v>#REF!</v>
      </c>
      <c r="AI615" s="12" t="e">
        <f>IF(Data!#REF!="","",IF(Data!$G615="",1,IF(ISNUMBER(MATCH(Data!#REF!,Data_Val!$D$2:$D$10,0)),0,1)))</f>
        <v>#REF!</v>
      </c>
      <c r="AJ615" s="17"/>
      <c r="AK615" s="17" t="e">
        <f>IF(Data!#REF!="","",IF(ISNUMBER(MATCH(Data!#REF!,Data_Val!$A$2:$A$3,0)),0,1))</f>
        <v>#REF!</v>
      </c>
      <c r="AL615" s="25" t="e">
        <f ca="1">IF(Data!#REF!="","",IF(ISNUMBER(Data!#REF!),IF(AND(Data!#REF!&gt;(TODAY()-(Data_Val!$L$3*365.25)),Data!#REF!&lt;=(TODAY()-(Data_Val!$L$2*365.25))),0,1),1))</f>
        <v>#REF!</v>
      </c>
      <c r="AM615" s="17" t="e">
        <f>IF(Data!#REF!="","",IF(Data!$G615="",1,IF(ISNUMBER(MATCH(Data!#REF!,Data_Val!$D$2:$D$10,0)),0,1)))</f>
        <v>#REF!</v>
      </c>
      <c r="AN615" s="13"/>
      <c r="AO615" s="28" t="e">
        <f ca="1">IF(Data!#REF!="","",IF(ISNUMBER(Data!#REF!),IF(AND(Data!#REF!&gt;(TODAY()-(Data_Val!$I$3*365.25)),Data!#REF!&lt;=(TODAY()-(Data_Val!$I$2*365.25))),0,1),1))</f>
        <v>#REF!</v>
      </c>
      <c r="AP615" s="13" t="e">
        <f>IF(Data!#REF!="","",IF(Data!$G615="",1,IF(ISNUMBER(MATCH(Data!#REF!,Data_Val!$D$2:$D$10,0)),0,1)))</f>
        <v>#REF!</v>
      </c>
      <c r="AQ615" s="17"/>
      <c r="AR615" s="30" t="e">
        <f ca="1">IF(Data!#REF!="","",IF(ISNUMBER(Data!#REF!),IF(AND(Data!#REF!&gt;(TODAY()-(Data_Val!$I$3*365.25)),Data!#REF!&lt;=(TODAY()-(Data_Val!$I$2*365.25))),0,1),1))</f>
        <v>#REF!</v>
      </c>
      <c r="AS615" s="31" t="e">
        <f>IF(Data!#REF!="","",IF(Data!$G615="",1,IF(ISNUMBER(MATCH(Data!#REF!,Data_Val!$D$2:$D$10,0)),0,1)))</f>
        <v>#REF!</v>
      </c>
      <c r="AT615" s="11"/>
      <c r="AU615" s="11" t="e">
        <f ca="1">IF(Data!#REF!="","",IF(ISNUMBER(Data!#REF!),IF(AND(Data!#REF!&gt;(TODAY()-(Data_Val!$I$3*365.25)),Data!#REF!&lt;=(TODAY()-(Data_Val!$I$2*365.25))),0,1),1))</f>
        <v>#REF!</v>
      </c>
      <c r="AV615" s="11" t="e">
        <f>IF(Data!#REF!="","",IF(Data!$G615="",1,IF(ISNUMBER(MATCH(Data!#REF!,Data_Val!$D$2:$D$10,0)),0,1)))</f>
        <v>#REF!</v>
      </c>
      <c r="AW615" s="12"/>
      <c r="AX615" s="26" t="e">
        <f ca="1">IF(Data!#REF!="","",IF(ISNUMBER(Data!#REF!),IF(AND(Data!#REF!&gt;(TODAY()-(Data_Val!$I$3*365.25)),Data!#REF!&lt;=(TODAY()-(Data_Val!$I$2*365.25))),0,1),1))</f>
        <v>#REF!</v>
      </c>
      <c r="AY615" s="12" t="e">
        <f>IF(Data!#REF!="","",IF(Data!$G615="",1,IF(ISNUMBER(MATCH(Data!#REF!,Data_Val!$D$2:$D$10,0)),0,1)))</f>
        <v>#REF!</v>
      </c>
      <c r="AZ615" s="11"/>
      <c r="BA615" s="19" t="e">
        <f ca="1">IF(Data!#REF!="","",IF(ISNUMBER(Data!#REF!),IF(AND(Data!#REF!&gt;(TODAY()-(Data_Val!$M$3*365.25)),Data!#REF!&lt;=(TODAY()-(Data_Val!$M$2*365.25))),0,1),1))</f>
        <v>#REF!</v>
      </c>
      <c r="BB615" s="11" t="e">
        <f>IF(Data!#REF!="","",IF(Data!$G615="",1,IF(ISNUMBER(MATCH(Data!#REF!,Data_Val!$D$2:$D$10,0)),0,1)))</f>
        <v>#REF!</v>
      </c>
      <c r="BC615" s="12"/>
      <c r="BD615" s="20" t="e">
        <f ca="1">IF(Data!#REF!="","",IF(ISNUMBER(Data!#REF!),IF(AND(Data!#REF!&gt;(TODAY()-(Data_Val!$M$3*365.25)),Data!#REF!&lt;=(TODAY()-(Data_Val!$M$2*365.25))),0,1),1))</f>
        <v>#REF!</v>
      </c>
      <c r="BE615" s="12" t="e">
        <f>IF(Data!#REF!="","",IF(Data!$G615="",1,IF(ISNUMBER(MATCH(Data!#REF!,Data_Val!$D$2:$D$10,0)),0,1)))</f>
        <v>#REF!</v>
      </c>
      <c r="BF615" s="17"/>
      <c r="BG615" s="18" t="e">
        <f ca="1">IF(Data!#REF!="","",IF(ISNUMBER(Data!#REF!),IF(AND(Data!#REF!&gt;(TODAY()-(Data_Val!$M$3*365.25)),Data!#REF!&lt;=(TODAY()-(Data_Val!$M$2*365.25))),0,1),1))</f>
        <v>#REF!</v>
      </c>
      <c r="BH615" s="29" t="e">
        <f>IF(Data!#REF!="","",IF(Data!$G615="",1,IF(ISNUMBER(MATCH(Data!#REF!,Data_Val!$D$2:$D$10,0)),0,1)))</f>
        <v>#REF!</v>
      </c>
      <c r="BI615" s="13"/>
      <c r="BJ615" s="21" t="e">
        <f ca="1">IF(Data!#REF!="","",IF(ISNUMBER(Data!#REF!),IF(AND(Data!#REF!&gt;(TODAY()-(Data_Val!$M$3*365.25)),Data!#REF!&lt;=(TODAY()-(Data_Val!$M$2*365.25))),0,1),1))</f>
        <v>#REF!</v>
      </c>
      <c r="BK615" s="13" t="e">
        <f>IF(Data!#REF!="","",IF(Data!$G615="",1,IF(ISNUMBER(MATCH(Data!#REF!,Data_Val!$D$2:$D$10,0)),0,1)))</f>
        <v>#REF!</v>
      </c>
    </row>
    <row r="616" spans="1:63" x14ac:dyDescent="0.25">
      <c r="A616" s="9" t="str">
        <f>IF(Data!B616="","",IF(COUNTIFS(Data!A$1:'Data'!A616,Data!A616)&lt;=1,0,1))</f>
        <v/>
      </c>
      <c r="B616" s="9"/>
      <c r="C616" s="23" t="str">
        <f>IF(Data!C616="","",(IF(ISNUMBER(MATCH("*@*.?*",Data!C616,0)),0,1)+IF(COUNTIFS(Data!C$1:'Data'!C616,Data!C616)&gt;1,1,0)))</f>
        <v/>
      </c>
      <c r="D616" s="9" t="str">
        <f>IF(Data!B616="","",IF(ISNUMBER(Data!D616),IF(AND(Data!D616&gt;999999999,Data!D616&lt;=9999999999),IF(COUNTIFS(Data!D$1:'Data'!D616,Data!D616)&lt;=1,0,1),1),1))</f>
        <v/>
      </c>
      <c r="E616" s="9" t="str">
        <f>IF(Data!B616="","",IF(ISNUMBER(MATCH(Data!E616,Data_Val!$A$2:$A$3,0)),0,1))</f>
        <v/>
      </c>
      <c r="F616" s="9" t="str">
        <f ca="1">IF(Data!B616="","",IF(ISNUMBER(Data!F616),IF(AND(Data!F616&gt;(TODAY()-(Data_Val!$H$3*365.25)),Data!F616&lt;=(TODAY()-(Data_Val!$H$2*365.25))),0,1),1))</f>
        <v/>
      </c>
      <c r="G616" s="15" t="str">
        <f>IF(Data!B616="","",IF(AND(Data!G616="",Data!H616&lt;&gt;""),1,IF(Data!#REF!&lt;&gt;"",0,IF(ISNUMBER(MATCH(Data!G616,Data_Val!$C$2:$C$5,0)),0,1))))</f>
        <v/>
      </c>
      <c r="H616" s="15" t="str">
        <f>IF(Data!B616="","",IF(AND(Data!G616&lt;&gt;"",Data!H616=""),1,IF(Data!#REF!&lt;&gt;"",0,IF(Data!G616="",1,IF(ISNUMBER(MATCH(Data!H616,Data_Val!$D$2:$D$35,0)),0,1)))))</f>
        <v/>
      </c>
      <c r="I616" s="15" t="str">
        <f>IF(Data!B616="","",IF(Data!G616&lt;&gt;"",0,IF(ISNUMBER(MATCH(Data!#REF!,Data_Val!$E$2:$E$12,0)),0,1)))</f>
        <v/>
      </c>
      <c r="J616" s="16" t="e">
        <f>IF(OR(Data!B616="",Data!#REF!=""),"",IF(Data!#REF!="",1,0))</f>
        <v>#REF!</v>
      </c>
      <c r="K616" s="16" t="e">
        <f>IF(OR(Data!B616="",Data!#REF!=""),"",IF(Data!#REF!="",1,0))</f>
        <v>#REF!</v>
      </c>
      <c r="L616" s="16" t="e">
        <f>IF(OR(Data!B616="",Data!#REF!=""),"",IF(ISNUMBER(Data!#REF!),IF(AND(Data!#REF!&gt;Data_Val!$G$2,Data!#REF!&lt;=Data_Val!$G$3),0,1),1))</f>
        <v>#REF!</v>
      </c>
      <c r="M616" s="9" t="e">
        <f>IF(OR(Data!B616="",Data!#REF!=""),"",IF(ISNUMBER(MATCH(Data!#REF!,Data_Val!$F$1:$F$38,0)),0,1))</f>
        <v>#REF!</v>
      </c>
      <c r="N616" s="9" t="e">
        <f>IF(OR(Data!B616="",Data!#REF!=""),"",IF(Data!#REF!="",1,0))</f>
        <v>#REF!</v>
      </c>
      <c r="O616" s="17" t="e">
        <f>IF(Data!#REF!="","",IF(Data!#REF!="",1,0))</f>
        <v>#REF!</v>
      </c>
      <c r="P616" s="17" t="e">
        <f>IF(Data!#REF!="","",IF(ISNUMBER(MATCH(Data!#REF!,Data_Val!$A$2:$A$3,0)),0,1))</f>
        <v>#REF!</v>
      </c>
      <c r="Q616" s="25" t="e">
        <f ca="1">IF(Data!#REF!="","",IF(ISNUMBER(Data!#REF!),IF(AND(Data!#REF!&gt;(TODAY()-(Data_Val!$J$3*365.25)),Data!#REF!&lt;=(TODAY()-(Data_Val!$J$2*365.25))),0,1),1))</f>
        <v>#REF!</v>
      </c>
      <c r="R616" s="17" t="e">
        <f>IF(Data!#REF!="","",IF(ISNUMBER(MATCH(Data!#REF!,Data_Val!$B$2:$B$15,0)),0,1))</f>
        <v>#REF!</v>
      </c>
      <c r="S616" s="11" t="str">
        <f>IF(Data!G616="","",IF(Data!G616=Data_Val!$C$2,IF(Data!M616="",0,1),0))</f>
        <v/>
      </c>
      <c r="T616" s="11" t="str">
        <f>IF(Data!M616="","",IF(ISNUMBER(MATCH(Data!N616,Data_Val!$A$2:$A$3,0)),0,1))</f>
        <v/>
      </c>
      <c r="U616" s="11" t="str">
        <f ca="1">IF(Data!M616="","",IF(ISNUMBER(Data!O616),IF(AND(Data!O616&gt;(TODAY()-(Data_Val!$K$3*365.25)),Data!O616&lt;=(TODAY()-(Data_Val!$K$2*365.25))),0,1),1))</f>
        <v/>
      </c>
      <c r="V616" s="12" t="str">
        <f>IF(Data!G616="","",IF(Data!G616=Data_Val!$C$2,IF(Data!P616="",0,1),0))</f>
        <v/>
      </c>
      <c r="W616" s="12" t="str">
        <f>IF(Data!P616="","",IF(ISNUMBER(MATCH(Data!Q616,Data_Val!$A$2:$A$3,0)),0,1))</f>
        <v/>
      </c>
      <c r="X616" s="26" t="str">
        <f ca="1">IF(Data!P616="","",IF(ISNUMBER(Data!R616),IF(AND(Data!R616&gt;(TODAY()-(Data_Val!$L$3*365.25)),Data!R616&lt;=(TODAY()-(Data_Val!$L$2*365.25))),0,1),1))</f>
        <v/>
      </c>
      <c r="Y616" s="13" t="str">
        <f>IF(Data!$G616="","",IF(Data!$G616=Data_Val!$C$2,IF(Data!S616="",0,1),0))</f>
        <v/>
      </c>
      <c r="Z616" s="13" t="str">
        <f>IF(Data!S616="","",IF(ISNUMBER(MATCH(Data!T616,Data_Val!$A$2:$A$3,0)),0,1))</f>
        <v/>
      </c>
      <c r="AA616" s="28" t="str">
        <f ca="1">IF(Data!S616="","",IF(ISNUMBER(Data!U616),IF(AND(Data!U616&gt;(TODAY()-(Data_Val!$L$3*365.25)),Data!U616&lt;=(TODAY()-(Data_Val!$L$2*365.25))),0,1),1))</f>
        <v/>
      </c>
      <c r="AB616" s="11"/>
      <c r="AC616" s="11" t="e">
        <f>IF(Data!#REF!="","",IF(ISNUMBER(MATCH(Data!#REF!,Data_Val!$A$2:$A$3,0)),0,1))</f>
        <v>#REF!</v>
      </c>
      <c r="AD616" s="11" t="e">
        <f ca="1">IF(Data!#REF!="","",IF(ISNUMBER(Data!#REF!),IF(AND(Data!#REF!&gt;(TODAY()-(Data_Val!$L$3*365.25)),Data!#REF!&lt;=(TODAY()-(Data_Val!$L$2*365.25))),0,1),1))</f>
        <v>#REF!</v>
      </c>
      <c r="AE616" s="11" t="e">
        <f>IF(Data!#REF!="","",IF(Data!$G616="",1,IF(ISNUMBER(MATCH(Data!#REF!,Data_Val!$D$2:$D$10,0)),0,1)))</f>
        <v>#REF!</v>
      </c>
      <c r="AF616" s="12"/>
      <c r="AG616" s="12" t="e">
        <f>IF(Data!#REF!="","",IF(ISNUMBER(MATCH(Data!#REF!,Data_Val!$A$2:$A$3,0)),0,1))</f>
        <v>#REF!</v>
      </c>
      <c r="AH616" s="26" t="e">
        <f ca="1">IF(Data!#REF!="","",IF(ISNUMBER(Data!#REF!),IF(AND(Data!#REF!&gt;(TODAY()-(Data_Val!$L$3*365.25)),Data!#REF!&lt;=(TODAY()-(Data_Val!$L$2*365.25))),0,1),1))</f>
        <v>#REF!</v>
      </c>
      <c r="AI616" s="12" t="e">
        <f>IF(Data!#REF!="","",IF(Data!$G616="",1,IF(ISNUMBER(MATCH(Data!#REF!,Data_Val!$D$2:$D$10,0)),0,1)))</f>
        <v>#REF!</v>
      </c>
      <c r="AJ616" s="17"/>
      <c r="AK616" s="17" t="e">
        <f>IF(Data!#REF!="","",IF(ISNUMBER(MATCH(Data!#REF!,Data_Val!$A$2:$A$3,0)),0,1))</f>
        <v>#REF!</v>
      </c>
      <c r="AL616" s="25" t="e">
        <f ca="1">IF(Data!#REF!="","",IF(ISNUMBER(Data!#REF!),IF(AND(Data!#REF!&gt;(TODAY()-(Data_Val!$L$3*365.25)),Data!#REF!&lt;=(TODAY()-(Data_Val!$L$2*365.25))),0,1),1))</f>
        <v>#REF!</v>
      </c>
      <c r="AM616" s="17" t="e">
        <f>IF(Data!#REF!="","",IF(Data!$G616="",1,IF(ISNUMBER(MATCH(Data!#REF!,Data_Val!$D$2:$D$10,0)),0,1)))</f>
        <v>#REF!</v>
      </c>
      <c r="AN616" s="13"/>
      <c r="AO616" s="28" t="e">
        <f ca="1">IF(Data!#REF!="","",IF(ISNUMBER(Data!#REF!),IF(AND(Data!#REF!&gt;(TODAY()-(Data_Val!$I$3*365.25)),Data!#REF!&lt;=(TODAY()-(Data_Val!$I$2*365.25))),0,1),1))</f>
        <v>#REF!</v>
      </c>
      <c r="AP616" s="13" t="e">
        <f>IF(Data!#REF!="","",IF(Data!$G616="",1,IF(ISNUMBER(MATCH(Data!#REF!,Data_Val!$D$2:$D$10,0)),0,1)))</f>
        <v>#REF!</v>
      </c>
      <c r="AQ616" s="17"/>
      <c r="AR616" s="30" t="e">
        <f ca="1">IF(Data!#REF!="","",IF(ISNUMBER(Data!#REF!),IF(AND(Data!#REF!&gt;(TODAY()-(Data_Val!$I$3*365.25)),Data!#REF!&lt;=(TODAY()-(Data_Val!$I$2*365.25))),0,1),1))</f>
        <v>#REF!</v>
      </c>
      <c r="AS616" s="31" t="e">
        <f>IF(Data!#REF!="","",IF(Data!$G616="",1,IF(ISNUMBER(MATCH(Data!#REF!,Data_Val!$D$2:$D$10,0)),0,1)))</f>
        <v>#REF!</v>
      </c>
      <c r="AT616" s="11"/>
      <c r="AU616" s="11" t="e">
        <f ca="1">IF(Data!#REF!="","",IF(ISNUMBER(Data!#REF!),IF(AND(Data!#REF!&gt;(TODAY()-(Data_Val!$I$3*365.25)),Data!#REF!&lt;=(TODAY()-(Data_Val!$I$2*365.25))),0,1),1))</f>
        <v>#REF!</v>
      </c>
      <c r="AV616" s="11" t="e">
        <f>IF(Data!#REF!="","",IF(Data!$G616="",1,IF(ISNUMBER(MATCH(Data!#REF!,Data_Val!$D$2:$D$10,0)),0,1)))</f>
        <v>#REF!</v>
      </c>
      <c r="AW616" s="12"/>
      <c r="AX616" s="26" t="e">
        <f ca="1">IF(Data!#REF!="","",IF(ISNUMBER(Data!#REF!),IF(AND(Data!#REF!&gt;(TODAY()-(Data_Val!$I$3*365.25)),Data!#REF!&lt;=(TODAY()-(Data_Val!$I$2*365.25))),0,1),1))</f>
        <v>#REF!</v>
      </c>
      <c r="AY616" s="12" t="e">
        <f>IF(Data!#REF!="","",IF(Data!$G616="",1,IF(ISNUMBER(MATCH(Data!#REF!,Data_Val!$D$2:$D$10,0)),0,1)))</f>
        <v>#REF!</v>
      </c>
      <c r="AZ616" s="11"/>
      <c r="BA616" s="19" t="e">
        <f ca="1">IF(Data!#REF!="","",IF(ISNUMBER(Data!#REF!),IF(AND(Data!#REF!&gt;(TODAY()-(Data_Val!$M$3*365.25)),Data!#REF!&lt;=(TODAY()-(Data_Val!$M$2*365.25))),0,1),1))</f>
        <v>#REF!</v>
      </c>
      <c r="BB616" s="11" t="e">
        <f>IF(Data!#REF!="","",IF(Data!$G616="",1,IF(ISNUMBER(MATCH(Data!#REF!,Data_Val!$D$2:$D$10,0)),0,1)))</f>
        <v>#REF!</v>
      </c>
      <c r="BC616" s="12"/>
      <c r="BD616" s="20" t="e">
        <f ca="1">IF(Data!#REF!="","",IF(ISNUMBER(Data!#REF!),IF(AND(Data!#REF!&gt;(TODAY()-(Data_Val!$M$3*365.25)),Data!#REF!&lt;=(TODAY()-(Data_Val!$M$2*365.25))),0,1),1))</f>
        <v>#REF!</v>
      </c>
      <c r="BE616" s="12" t="e">
        <f>IF(Data!#REF!="","",IF(Data!$G616="",1,IF(ISNUMBER(MATCH(Data!#REF!,Data_Val!$D$2:$D$10,0)),0,1)))</f>
        <v>#REF!</v>
      </c>
      <c r="BF616" s="17"/>
      <c r="BG616" s="18" t="e">
        <f ca="1">IF(Data!#REF!="","",IF(ISNUMBER(Data!#REF!),IF(AND(Data!#REF!&gt;(TODAY()-(Data_Val!$M$3*365.25)),Data!#REF!&lt;=(TODAY()-(Data_Val!$M$2*365.25))),0,1),1))</f>
        <v>#REF!</v>
      </c>
      <c r="BH616" s="29" t="e">
        <f>IF(Data!#REF!="","",IF(Data!$G616="",1,IF(ISNUMBER(MATCH(Data!#REF!,Data_Val!$D$2:$D$10,0)),0,1)))</f>
        <v>#REF!</v>
      </c>
      <c r="BI616" s="13"/>
      <c r="BJ616" s="21" t="e">
        <f ca="1">IF(Data!#REF!="","",IF(ISNUMBER(Data!#REF!),IF(AND(Data!#REF!&gt;(TODAY()-(Data_Val!$M$3*365.25)),Data!#REF!&lt;=(TODAY()-(Data_Val!$M$2*365.25))),0,1),1))</f>
        <v>#REF!</v>
      </c>
      <c r="BK616" s="13" t="e">
        <f>IF(Data!#REF!="","",IF(Data!$G616="",1,IF(ISNUMBER(MATCH(Data!#REF!,Data_Val!$D$2:$D$10,0)),0,1)))</f>
        <v>#REF!</v>
      </c>
    </row>
    <row r="617" spans="1:63" x14ac:dyDescent="0.25">
      <c r="A617" s="9" t="str">
        <f>IF(Data!B617="","",IF(COUNTIFS(Data!A$1:'Data'!A617,Data!A617)&lt;=1,0,1))</f>
        <v/>
      </c>
      <c r="B617" s="9"/>
      <c r="C617" s="23" t="str">
        <f>IF(Data!C617="","",(IF(ISNUMBER(MATCH("*@*.?*",Data!C617,0)),0,1)+IF(COUNTIFS(Data!C$1:'Data'!C617,Data!C617)&gt;1,1,0)))</f>
        <v/>
      </c>
      <c r="D617" s="9" t="str">
        <f>IF(Data!B617="","",IF(ISNUMBER(Data!D617),IF(AND(Data!D617&gt;999999999,Data!D617&lt;=9999999999),IF(COUNTIFS(Data!D$1:'Data'!D617,Data!D617)&lt;=1,0,1),1),1))</f>
        <v/>
      </c>
      <c r="E617" s="9" t="str">
        <f>IF(Data!B617="","",IF(ISNUMBER(MATCH(Data!E617,Data_Val!$A$2:$A$3,0)),0,1))</f>
        <v/>
      </c>
      <c r="F617" s="9" t="str">
        <f ca="1">IF(Data!B617="","",IF(ISNUMBER(Data!F617),IF(AND(Data!F617&gt;(TODAY()-(Data_Val!$H$3*365.25)),Data!F617&lt;=(TODAY()-(Data_Val!$H$2*365.25))),0,1),1))</f>
        <v/>
      </c>
      <c r="G617" s="15" t="str">
        <f>IF(Data!B617="","",IF(AND(Data!G617="",Data!H617&lt;&gt;""),1,IF(Data!#REF!&lt;&gt;"",0,IF(ISNUMBER(MATCH(Data!G617,Data_Val!$C$2:$C$5,0)),0,1))))</f>
        <v/>
      </c>
      <c r="H617" s="15" t="str">
        <f>IF(Data!B617="","",IF(AND(Data!G617&lt;&gt;"",Data!H617=""),1,IF(Data!#REF!&lt;&gt;"",0,IF(Data!G617="",1,IF(ISNUMBER(MATCH(Data!H617,Data_Val!$D$2:$D$35,0)),0,1)))))</f>
        <v/>
      </c>
      <c r="I617" s="15" t="str">
        <f>IF(Data!B617="","",IF(Data!G617&lt;&gt;"",0,IF(ISNUMBER(MATCH(Data!#REF!,Data_Val!$E$2:$E$12,0)),0,1)))</f>
        <v/>
      </c>
      <c r="J617" s="16" t="e">
        <f>IF(OR(Data!B617="",Data!#REF!=""),"",IF(Data!#REF!="",1,0))</f>
        <v>#REF!</v>
      </c>
      <c r="K617" s="16" t="e">
        <f>IF(OR(Data!B617="",Data!#REF!=""),"",IF(Data!#REF!="",1,0))</f>
        <v>#REF!</v>
      </c>
      <c r="L617" s="16" t="e">
        <f>IF(OR(Data!B617="",Data!#REF!=""),"",IF(ISNUMBER(Data!#REF!),IF(AND(Data!#REF!&gt;Data_Val!$G$2,Data!#REF!&lt;=Data_Val!$G$3),0,1),1))</f>
        <v>#REF!</v>
      </c>
      <c r="M617" s="9" t="e">
        <f>IF(OR(Data!B617="",Data!#REF!=""),"",IF(ISNUMBER(MATCH(Data!#REF!,Data_Val!$F$1:$F$38,0)),0,1))</f>
        <v>#REF!</v>
      </c>
      <c r="N617" s="9" t="e">
        <f>IF(OR(Data!B617="",Data!#REF!=""),"",IF(Data!#REF!="",1,0))</f>
        <v>#REF!</v>
      </c>
      <c r="O617" s="17" t="e">
        <f>IF(Data!#REF!="","",IF(Data!#REF!="",1,0))</f>
        <v>#REF!</v>
      </c>
      <c r="P617" s="17" t="e">
        <f>IF(Data!#REF!="","",IF(ISNUMBER(MATCH(Data!#REF!,Data_Val!$A$2:$A$3,0)),0,1))</f>
        <v>#REF!</v>
      </c>
      <c r="Q617" s="25" t="e">
        <f ca="1">IF(Data!#REF!="","",IF(ISNUMBER(Data!#REF!),IF(AND(Data!#REF!&gt;(TODAY()-(Data_Val!$J$3*365.25)),Data!#REF!&lt;=(TODAY()-(Data_Val!$J$2*365.25))),0,1),1))</f>
        <v>#REF!</v>
      </c>
      <c r="R617" s="17" t="e">
        <f>IF(Data!#REF!="","",IF(ISNUMBER(MATCH(Data!#REF!,Data_Val!$B$2:$B$15,0)),0,1))</f>
        <v>#REF!</v>
      </c>
      <c r="S617" s="11" t="str">
        <f>IF(Data!G617="","",IF(Data!G617=Data_Val!$C$2,IF(Data!M617="",0,1),0))</f>
        <v/>
      </c>
      <c r="T617" s="11" t="str">
        <f>IF(Data!M617="","",IF(ISNUMBER(MATCH(Data!N617,Data_Val!$A$2:$A$3,0)),0,1))</f>
        <v/>
      </c>
      <c r="U617" s="11" t="str">
        <f ca="1">IF(Data!M617="","",IF(ISNUMBER(Data!O617),IF(AND(Data!O617&gt;(TODAY()-(Data_Val!$K$3*365.25)),Data!O617&lt;=(TODAY()-(Data_Val!$K$2*365.25))),0,1),1))</f>
        <v/>
      </c>
      <c r="V617" s="12" t="str">
        <f>IF(Data!G617="","",IF(Data!G617=Data_Val!$C$2,IF(Data!P617="",0,1),0))</f>
        <v/>
      </c>
      <c r="W617" s="12" t="str">
        <f>IF(Data!P617="","",IF(ISNUMBER(MATCH(Data!Q617,Data_Val!$A$2:$A$3,0)),0,1))</f>
        <v/>
      </c>
      <c r="X617" s="26" t="str">
        <f ca="1">IF(Data!P617="","",IF(ISNUMBER(Data!R617),IF(AND(Data!R617&gt;(TODAY()-(Data_Val!$L$3*365.25)),Data!R617&lt;=(TODAY()-(Data_Val!$L$2*365.25))),0,1),1))</f>
        <v/>
      </c>
      <c r="Y617" s="13" t="str">
        <f>IF(Data!$G617="","",IF(Data!$G617=Data_Val!$C$2,IF(Data!S617="",0,1),0))</f>
        <v/>
      </c>
      <c r="Z617" s="13" t="str">
        <f>IF(Data!S617="","",IF(ISNUMBER(MATCH(Data!T617,Data_Val!$A$2:$A$3,0)),0,1))</f>
        <v/>
      </c>
      <c r="AA617" s="28" t="str">
        <f ca="1">IF(Data!S617="","",IF(ISNUMBER(Data!U617),IF(AND(Data!U617&gt;(TODAY()-(Data_Val!$L$3*365.25)),Data!U617&lt;=(TODAY()-(Data_Val!$L$2*365.25))),0,1),1))</f>
        <v/>
      </c>
      <c r="AB617" s="11"/>
      <c r="AC617" s="11" t="e">
        <f>IF(Data!#REF!="","",IF(ISNUMBER(MATCH(Data!#REF!,Data_Val!$A$2:$A$3,0)),0,1))</f>
        <v>#REF!</v>
      </c>
      <c r="AD617" s="11" t="e">
        <f ca="1">IF(Data!#REF!="","",IF(ISNUMBER(Data!#REF!),IF(AND(Data!#REF!&gt;(TODAY()-(Data_Val!$L$3*365.25)),Data!#REF!&lt;=(TODAY()-(Data_Val!$L$2*365.25))),0,1),1))</f>
        <v>#REF!</v>
      </c>
      <c r="AE617" s="11" t="e">
        <f>IF(Data!#REF!="","",IF(Data!$G617="",1,IF(ISNUMBER(MATCH(Data!#REF!,Data_Val!$D$2:$D$10,0)),0,1)))</f>
        <v>#REF!</v>
      </c>
      <c r="AF617" s="12"/>
      <c r="AG617" s="12" t="e">
        <f>IF(Data!#REF!="","",IF(ISNUMBER(MATCH(Data!#REF!,Data_Val!$A$2:$A$3,0)),0,1))</f>
        <v>#REF!</v>
      </c>
      <c r="AH617" s="26" t="e">
        <f ca="1">IF(Data!#REF!="","",IF(ISNUMBER(Data!#REF!),IF(AND(Data!#REF!&gt;(TODAY()-(Data_Val!$L$3*365.25)),Data!#REF!&lt;=(TODAY()-(Data_Val!$L$2*365.25))),0,1),1))</f>
        <v>#REF!</v>
      </c>
      <c r="AI617" s="12" t="e">
        <f>IF(Data!#REF!="","",IF(Data!$G617="",1,IF(ISNUMBER(MATCH(Data!#REF!,Data_Val!$D$2:$D$10,0)),0,1)))</f>
        <v>#REF!</v>
      </c>
      <c r="AJ617" s="17"/>
      <c r="AK617" s="17" t="e">
        <f>IF(Data!#REF!="","",IF(ISNUMBER(MATCH(Data!#REF!,Data_Val!$A$2:$A$3,0)),0,1))</f>
        <v>#REF!</v>
      </c>
      <c r="AL617" s="25" t="e">
        <f ca="1">IF(Data!#REF!="","",IF(ISNUMBER(Data!#REF!),IF(AND(Data!#REF!&gt;(TODAY()-(Data_Val!$L$3*365.25)),Data!#REF!&lt;=(TODAY()-(Data_Val!$L$2*365.25))),0,1),1))</f>
        <v>#REF!</v>
      </c>
      <c r="AM617" s="17" t="e">
        <f>IF(Data!#REF!="","",IF(Data!$G617="",1,IF(ISNUMBER(MATCH(Data!#REF!,Data_Val!$D$2:$D$10,0)),0,1)))</f>
        <v>#REF!</v>
      </c>
      <c r="AN617" s="13"/>
      <c r="AO617" s="28" t="e">
        <f ca="1">IF(Data!#REF!="","",IF(ISNUMBER(Data!#REF!),IF(AND(Data!#REF!&gt;(TODAY()-(Data_Val!$I$3*365.25)),Data!#REF!&lt;=(TODAY()-(Data_Val!$I$2*365.25))),0,1),1))</f>
        <v>#REF!</v>
      </c>
      <c r="AP617" s="13" t="e">
        <f>IF(Data!#REF!="","",IF(Data!$G617="",1,IF(ISNUMBER(MATCH(Data!#REF!,Data_Val!$D$2:$D$10,0)),0,1)))</f>
        <v>#REF!</v>
      </c>
      <c r="AQ617" s="17"/>
      <c r="AR617" s="30" t="e">
        <f ca="1">IF(Data!#REF!="","",IF(ISNUMBER(Data!#REF!),IF(AND(Data!#REF!&gt;(TODAY()-(Data_Val!$I$3*365.25)),Data!#REF!&lt;=(TODAY()-(Data_Val!$I$2*365.25))),0,1),1))</f>
        <v>#REF!</v>
      </c>
      <c r="AS617" s="31" t="e">
        <f>IF(Data!#REF!="","",IF(Data!$G617="",1,IF(ISNUMBER(MATCH(Data!#REF!,Data_Val!$D$2:$D$10,0)),0,1)))</f>
        <v>#REF!</v>
      </c>
      <c r="AT617" s="11"/>
      <c r="AU617" s="11" t="e">
        <f ca="1">IF(Data!#REF!="","",IF(ISNUMBER(Data!#REF!),IF(AND(Data!#REF!&gt;(TODAY()-(Data_Val!$I$3*365.25)),Data!#REF!&lt;=(TODAY()-(Data_Val!$I$2*365.25))),0,1),1))</f>
        <v>#REF!</v>
      </c>
      <c r="AV617" s="11" t="e">
        <f>IF(Data!#REF!="","",IF(Data!$G617="",1,IF(ISNUMBER(MATCH(Data!#REF!,Data_Val!$D$2:$D$10,0)),0,1)))</f>
        <v>#REF!</v>
      </c>
      <c r="AW617" s="12"/>
      <c r="AX617" s="26" t="e">
        <f ca="1">IF(Data!#REF!="","",IF(ISNUMBER(Data!#REF!),IF(AND(Data!#REF!&gt;(TODAY()-(Data_Val!$I$3*365.25)),Data!#REF!&lt;=(TODAY()-(Data_Val!$I$2*365.25))),0,1),1))</f>
        <v>#REF!</v>
      </c>
      <c r="AY617" s="12" t="e">
        <f>IF(Data!#REF!="","",IF(Data!$G617="",1,IF(ISNUMBER(MATCH(Data!#REF!,Data_Val!$D$2:$D$10,0)),0,1)))</f>
        <v>#REF!</v>
      </c>
      <c r="AZ617" s="11"/>
      <c r="BA617" s="19" t="e">
        <f ca="1">IF(Data!#REF!="","",IF(ISNUMBER(Data!#REF!),IF(AND(Data!#REF!&gt;(TODAY()-(Data_Val!$M$3*365.25)),Data!#REF!&lt;=(TODAY()-(Data_Val!$M$2*365.25))),0,1),1))</f>
        <v>#REF!</v>
      </c>
      <c r="BB617" s="11" t="e">
        <f>IF(Data!#REF!="","",IF(Data!$G617="",1,IF(ISNUMBER(MATCH(Data!#REF!,Data_Val!$D$2:$D$10,0)),0,1)))</f>
        <v>#REF!</v>
      </c>
      <c r="BC617" s="12"/>
      <c r="BD617" s="20" t="e">
        <f ca="1">IF(Data!#REF!="","",IF(ISNUMBER(Data!#REF!),IF(AND(Data!#REF!&gt;(TODAY()-(Data_Val!$M$3*365.25)),Data!#REF!&lt;=(TODAY()-(Data_Val!$M$2*365.25))),0,1),1))</f>
        <v>#REF!</v>
      </c>
      <c r="BE617" s="12" t="e">
        <f>IF(Data!#REF!="","",IF(Data!$G617="",1,IF(ISNUMBER(MATCH(Data!#REF!,Data_Val!$D$2:$D$10,0)),0,1)))</f>
        <v>#REF!</v>
      </c>
      <c r="BF617" s="17"/>
      <c r="BG617" s="18" t="e">
        <f ca="1">IF(Data!#REF!="","",IF(ISNUMBER(Data!#REF!),IF(AND(Data!#REF!&gt;(TODAY()-(Data_Val!$M$3*365.25)),Data!#REF!&lt;=(TODAY()-(Data_Val!$M$2*365.25))),0,1),1))</f>
        <v>#REF!</v>
      </c>
      <c r="BH617" s="29" t="e">
        <f>IF(Data!#REF!="","",IF(Data!$G617="",1,IF(ISNUMBER(MATCH(Data!#REF!,Data_Val!$D$2:$D$10,0)),0,1)))</f>
        <v>#REF!</v>
      </c>
      <c r="BI617" s="13"/>
      <c r="BJ617" s="21" t="e">
        <f ca="1">IF(Data!#REF!="","",IF(ISNUMBER(Data!#REF!),IF(AND(Data!#REF!&gt;(TODAY()-(Data_Val!$M$3*365.25)),Data!#REF!&lt;=(TODAY()-(Data_Val!$M$2*365.25))),0,1),1))</f>
        <v>#REF!</v>
      </c>
      <c r="BK617" s="13" t="e">
        <f>IF(Data!#REF!="","",IF(Data!$G617="",1,IF(ISNUMBER(MATCH(Data!#REF!,Data_Val!$D$2:$D$10,0)),0,1)))</f>
        <v>#REF!</v>
      </c>
    </row>
    <row r="618" spans="1:63" x14ac:dyDescent="0.25">
      <c r="A618" s="9" t="str">
        <f>IF(Data!B618="","",IF(COUNTIFS(Data!A$1:'Data'!A618,Data!A618)&lt;=1,0,1))</f>
        <v/>
      </c>
      <c r="B618" s="9"/>
      <c r="C618" s="23" t="str">
        <f>IF(Data!C618="","",(IF(ISNUMBER(MATCH("*@*.?*",Data!C618,0)),0,1)+IF(COUNTIFS(Data!C$1:'Data'!C618,Data!C618)&gt;1,1,0)))</f>
        <v/>
      </c>
      <c r="D618" s="9" t="str">
        <f>IF(Data!B618="","",IF(ISNUMBER(Data!D618),IF(AND(Data!D618&gt;999999999,Data!D618&lt;=9999999999),IF(COUNTIFS(Data!D$1:'Data'!D618,Data!D618)&lt;=1,0,1),1),1))</f>
        <v/>
      </c>
      <c r="E618" s="9" t="str">
        <f>IF(Data!B618="","",IF(ISNUMBER(MATCH(Data!E618,Data_Val!$A$2:$A$3,0)),0,1))</f>
        <v/>
      </c>
      <c r="F618" s="9" t="str">
        <f ca="1">IF(Data!B618="","",IF(ISNUMBER(Data!F618),IF(AND(Data!F618&gt;(TODAY()-(Data_Val!$H$3*365.25)),Data!F618&lt;=(TODAY()-(Data_Val!$H$2*365.25))),0,1),1))</f>
        <v/>
      </c>
      <c r="G618" s="15" t="str">
        <f>IF(Data!B618="","",IF(AND(Data!G618="",Data!H618&lt;&gt;""),1,IF(Data!#REF!&lt;&gt;"",0,IF(ISNUMBER(MATCH(Data!G618,Data_Val!$C$2:$C$5,0)),0,1))))</f>
        <v/>
      </c>
      <c r="H618" s="15" t="str">
        <f>IF(Data!B618="","",IF(AND(Data!G618&lt;&gt;"",Data!H618=""),1,IF(Data!#REF!&lt;&gt;"",0,IF(Data!G618="",1,IF(ISNUMBER(MATCH(Data!H618,Data_Val!$D$2:$D$35,0)),0,1)))))</f>
        <v/>
      </c>
      <c r="I618" s="15" t="str">
        <f>IF(Data!B618="","",IF(Data!G618&lt;&gt;"",0,IF(ISNUMBER(MATCH(Data!#REF!,Data_Val!$E$2:$E$12,0)),0,1)))</f>
        <v/>
      </c>
      <c r="J618" s="16" t="e">
        <f>IF(OR(Data!B618="",Data!#REF!=""),"",IF(Data!#REF!="",1,0))</f>
        <v>#REF!</v>
      </c>
      <c r="K618" s="16" t="e">
        <f>IF(OR(Data!B618="",Data!#REF!=""),"",IF(Data!#REF!="",1,0))</f>
        <v>#REF!</v>
      </c>
      <c r="L618" s="16" t="e">
        <f>IF(OR(Data!B618="",Data!#REF!=""),"",IF(ISNUMBER(Data!#REF!),IF(AND(Data!#REF!&gt;Data_Val!$G$2,Data!#REF!&lt;=Data_Val!$G$3),0,1),1))</f>
        <v>#REF!</v>
      </c>
      <c r="M618" s="9" t="e">
        <f>IF(OR(Data!B618="",Data!#REF!=""),"",IF(ISNUMBER(MATCH(Data!#REF!,Data_Val!$F$1:$F$38,0)),0,1))</f>
        <v>#REF!</v>
      </c>
      <c r="N618" s="9" t="e">
        <f>IF(OR(Data!B618="",Data!#REF!=""),"",IF(Data!#REF!="",1,0))</f>
        <v>#REF!</v>
      </c>
      <c r="O618" s="17" t="e">
        <f>IF(Data!#REF!="","",IF(Data!#REF!="",1,0))</f>
        <v>#REF!</v>
      </c>
      <c r="P618" s="17" t="e">
        <f>IF(Data!#REF!="","",IF(ISNUMBER(MATCH(Data!#REF!,Data_Val!$A$2:$A$3,0)),0,1))</f>
        <v>#REF!</v>
      </c>
      <c r="Q618" s="25" t="e">
        <f ca="1">IF(Data!#REF!="","",IF(ISNUMBER(Data!#REF!),IF(AND(Data!#REF!&gt;(TODAY()-(Data_Val!$J$3*365.25)),Data!#REF!&lt;=(TODAY()-(Data_Val!$J$2*365.25))),0,1),1))</f>
        <v>#REF!</v>
      </c>
      <c r="R618" s="17" t="e">
        <f>IF(Data!#REF!="","",IF(ISNUMBER(MATCH(Data!#REF!,Data_Val!$B$2:$B$15,0)),0,1))</f>
        <v>#REF!</v>
      </c>
      <c r="S618" s="11" t="str">
        <f>IF(Data!G618="","",IF(Data!G618=Data_Val!$C$2,IF(Data!M618="",0,1),0))</f>
        <v/>
      </c>
      <c r="T618" s="11" t="str">
        <f>IF(Data!M618="","",IF(ISNUMBER(MATCH(Data!N618,Data_Val!$A$2:$A$3,0)),0,1))</f>
        <v/>
      </c>
      <c r="U618" s="11" t="str">
        <f ca="1">IF(Data!M618="","",IF(ISNUMBER(Data!O618),IF(AND(Data!O618&gt;(TODAY()-(Data_Val!$K$3*365.25)),Data!O618&lt;=(TODAY()-(Data_Val!$K$2*365.25))),0,1),1))</f>
        <v/>
      </c>
      <c r="V618" s="12" t="str">
        <f>IF(Data!G618="","",IF(Data!G618=Data_Val!$C$2,IF(Data!P618="",0,1),0))</f>
        <v/>
      </c>
      <c r="W618" s="12" t="str">
        <f>IF(Data!P618="","",IF(ISNUMBER(MATCH(Data!Q618,Data_Val!$A$2:$A$3,0)),0,1))</f>
        <v/>
      </c>
      <c r="X618" s="26" t="str">
        <f ca="1">IF(Data!P618="","",IF(ISNUMBER(Data!R618),IF(AND(Data!R618&gt;(TODAY()-(Data_Val!$L$3*365.25)),Data!R618&lt;=(TODAY()-(Data_Val!$L$2*365.25))),0,1),1))</f>
        <v/>
      </c>
      <c r="Y618" s="13" t="str">
        <f>IF(Data!$G618="","",IF(Data!$G618=Data_Val!$C$2,IF(Data!S618="",0,1),0))</f>
        <v/>
      </c>
      <c r="Z618" s="13" t="str">
        <f>IF(Data!S618="","",IF(ISNUMBER(MATCH(Data!T618,Data_Val!$A$2:$A$3,0)),0,1))</f>
        <v/>
      </c>
      <c r="AA618" s="28" t="str">
        <f ca="1">IF(Data!S618="","",IF(ISNUMBER(Data!U618),IF(AND(Data!U618&gt;(TODAY()-(Data_Val!$L$3*365.25)),Data!U618&lt;=(TODAY()-(Data_Val!$L$2*365.25))),0,1),1))</f>
        <v/>
      </c>
      <c r="AB618" s="11"/>
      <c r="AC618" s="11" t="e">
        <f>IF(Data!#REF!="","",IF(ISNUMBER(MATCH(Data!#REF!,Data_Val!$A$2:$A$3,0)),0,1))</f>
        <v>#REF!</v>
      </c>
      <c r="AD618" s="11" t="e">
        <f ca="1">IF(Data!#REF!="","",IF(ISNUMBER(Data!#REF!),IF(AND(Data!#REF!&gt;(TODAY()-(Data_Val!$L$3*365.25)),Data!#REF!&lt;=(TODAY()-(Data_Val!$L$2*365.25))),0,1),1))</f>
        <v>#REF!</v>
      </c>
      <c r="AE618" s="11" t="e">
        <f>IF(Data!#REF!="","",IF(Data!$G618="",1,IF(ISNUMBER(MATCH(Data!#REF!,Data_Val!$D$2:$D$10,0)),0,1)))</f>
        <v>#REF!</v>
      </c>
      <c r="AF618" s="12"/>
      <c r="AG618" s="12" t="e">
        <f>IF(Data!#REF!="","",IF(ISNUMBER(MATCH(Data!#REF!,Data_Val!$A$2:$A$3,0)),0,1))</f>
        <v>#REF!</v>
      </c>
      <c r="AH618" s="26" t="e">
        <f ca="1">IF(Data!#REF!="","",IF(ISNUMBER(Data!#REF!),IF(AND(Data!#REF!&gt;(TODAY()-(Data_Val!$L$3*365.25)),Data!#REF!&lt;=(TODAY()-(Data_Val!$L$2*365.25))),0,1),1))</f>
        <v>#REF!</v>
      </c>
      <c r="AI618" s="12" t="e">
        <f>IF(Data!#REF!="","",IF(Data!$G618="",1,IF(ISNUMBER(MATCH(Data!#REF!,Data_Val!$D$2:$D$10,0)),0,1)))</f>
        <v>#REF!</v>
      </c>
      <c r="AJ618" s="17"/>
      <c r="AK618" s="17" t="e">
        <f>IF(Data!#REF!="","",IF(ISNUMBER(MATCH(Data!#REF!,Data_Val!$A$2:$A$3,0)),0,1))</f>
        <v>#REF!</v>
      </c>
      <c r="AL618" s="25" t="e">
        <f ca="1">IF(Data!#REF!="","",IF(ISNUMBER(Data!#REF!),IF(AND(Data!#REF!&gt;(TODAY()-(Data_Val!$L$3*365.25)),Data!#REF!&lt;=(TODAY()-(Data_Val!$L$2*365.25))),0,1),1))</f>
        <v>#REF!</v>
      </c>
      <c r="AM618" s="17" t="e">
        <f>IF(Data!#REF!="","",IF(Data!$G618="",1,IF(ISNUMBER(MATCH(Data!#REF!,Data_Val!$D$2:$D$10,0)),0,1)))</f>
        <v>#REF!</v>
      </c>
      <c r="AN618" s="13"/>
      <c r="AO618" s="28" t="e">
        <f ca="1">IF(Data!#REF!="","",IF(ISNUMBER(Data!#REF!),IF(AND(Data!#REF!&gt;(TODAY()-(Data_Val!$I$3*365.25)),Data!#REF!&lt;=(TODAY()-(Data_Val!$I$2*365.25))),0,1),1))</f>
        <v>#REF!</v>
      </c>
      <c r="AP618" s="13" t="e">
        <f>IF(Data!#REF!="","",IF(Data!$G618="",1,IF(ISNUMBER(MATCH(Data!#REF!,Data_Val!$D$2:$D$10,0)),0,1)))</f>
        <v>#REF!</v>
      </c>
      <c r="AQ618" s="17"/>
      <c r="AR618" s="30" t="e">
        <f ca="1">IF(Data!#REF!="","",IF(ISNUMBER(Data!#REF!),IF(AND(Data!#REF!&gt;(TODAY()-(Data_Val!$I$3*365.25)),Data!#REF!&lt;=(TODAY()-(Data_Val!$I$2*365.25))),0,1),1))</f>
        <v>#REF!</v>
      </c>
      <c r="AS618" s="31" t="e">
        <f>IF(Data!#REF!="","",IF(Data!$G618="",1,IF(ISNUMBER(MATCH(Data!#REF!,Data_Val!$D$2:$D$10,0)),0,1)))</f>
        <v>#REF!</v>
      </c>
      <c r="AT618" s="11"/>
      <c r="AU618" s="11" t="e">
        <f ca="1">IF(Data!#REF!="","",IF(ISNUMBER(Data!#REF!),IF(AND(Data!#REF!&gt;(TODAY()-(Data_Val!$I$3*365.25)),Data!#REF!&lt;=(TODAY()-(Data_Val!$I$2*365.25))),0,1),1))</f>
        <v>#REF!</v>
      </c>
      <c r="AV618" s="11" t="e">
        <f>IF(Data!#REF!="","",IF(Data!$G618="",1,IF(ISNUMBER(MATCH(Data!#REF!,Data_Val!$D$2:$D$10,0)),0,1)))</f>
        <v>#REF!</v>
      </c>
      <c r="AW618" s="12"/>
      <c r="AX618" s="26" t="e">
        <f ca="1">IF(Data!#REF!="","",IF(ISNUMBER(Data!#REF!),IF(AND(Data!#REF!&gt;(TODAY()-(Data_Val!$I$3*365.25)),Data!#REF!&lt;=(TODAY()-(Data_Val!$I$2*365.25))),0,1),1))</f>
        <v>#REF!</v>
      </c>
      <c r="AY618" s="12" t="e">
        <f>IF(Data!#REF!="","",IF(Data!$G618="",1,IF(ISNUMBER(MATCH(Data!#REF!,Data_Val!$D$2:$D$10,0)),0,1)))</f>
        <v>#REF!</v>
      </c>
      <c r="AZ618" s="11"/>
      <c r="BA618" s="19" t="e">
        <f ca="1">IF(Data!#REF!="","",IF(ISNUMBER(Data!#REF!),IF(AND(Data!#REF!&gt;(TODAY()-(Data_Val!$M$3*365.25)),Data!#REF!&lt;=(TODAY()-(Data_Val!$M$2*365.25))),0,1),1))</f>
        <v>#REF!</v>
      </c>
      <c r="BB618" s="11" t="e">
        <f>IF(Data!#REF!="","",IF(Data!$G618="",1,IF(ISNUMBER(MATCH(Data!#REF!,Data_Val!$D$2:$D$10,0)),0,1)))</f>
        <v>#REF!</v>
      </c>
      <c r="BC618" s="12"/>
      <c r="BD618" s="20" t="e">
        <f ca="1">IF(Data!#REF!="","",IF(ISNUMBER(Data!#REF!),IF(AND(Data!#REF!&gt;(TODAY()-(Data_Val!$M$3*365.25)),Data!#REF!&lt;=(TODAY()-(Data_Val!$M$2*365.25))),0,1),1))</f>
        <v>#REF!</v>
      </c>
      <c r="BE618" s="12" t="e">
        <f>IF(Data!#REF!="","",IF(Data!$G618="",1,IF(ISNUMBER(MATCH(Data!#REF!,Data_Val!$D$2:$D$10,0)),0,1)))</f>
        <v>#REF!</v>
      </c>
      <c r="BF618" s="17"/>
      <c r="BG618" s="18" t="e">
        <f ca="1">IF(Data!#REF!="","",IF(ISNUMBER(Data!#REF!),IF(AND(Data!#REF!&gt;(TODAY()-(Data_Val!$M$3*365.25)),Data!#REF!&lt;=(TODAY()-(Data_Val!$M$2*365.25))),0,1),1))</f>
        <v>#REF!</v>
      </c>
      <c r="BH618" s="29" t="e">
        <f>IF(Data!#REF!="","",IF(Data!$G618="",1,IF(ISNUMBER(MATCH(Data!#REF!,Data_Val!$D$2:$D$10,0)),0,1)))</f>
        <v>#REF!</v>
      </c>
      <c r="BI618" s="13"/>
      <c r="BJ618" s="21" t="e">
        <f ca="1">IF(Data!#REF!="","",IF(ISNUMBER(Data!#REF!),IF(AND(Data!#REF!&gt;(TODAY()-(Data_Val!$M$3*365.25)),Data!#REF!&lt;=(TODAY()-(Data_Val!$M$2*365.25))),0,1),1))</f>
        <v>#REF!</v>
      </c>
      <c r="BK618" s="13" t="e">
        <f>IF(Data!#REF!="","",IF(Data!$G618="",1,IF(ISNUMBER(MATCH(Data!#REF!,Data_Val!$D$2:$D$10,0)),0,1)))</f>
        <v>#REF!</v>
      </c>
    </row>
    <row r="619" spans="1:63" x14ac:dyDescent="0.25">
      <c r="A619" s="9" t="str">
        <f>IF(Data!B619="","",IF(COUNTIFS(Data!A$1:'Data'!A619,Data!A619)&lt;=1,0,1))</f>
        <v/>
      </c>
      <c r="B619" s="9"/>
      <c r="C619" s="23" t="str">
        <f>IF(Data!C619="","",(IF(ISNUMBER(MATCH("*@*.?*",Data!C619,0)),0,1)+IF(COUNTIFS(Data!C$1:'Data'!C619,Data!C619)&gt;1,1,0)))</f>
        <v/>
      </c>
      <c r="D619" s="9" t="str">
        <f>IF(Data!B619="","",IF(ISNUMBER(Data!D619),IF(AND(Data!D619&gt;999999999,Data!D619&lt;=9999999999),IF(COUNTIFS(Data!D$1:'Data'!D619,Data!D619)&lt;=1,0,1),1),1))</f>
        <v/>
      </c>
      <c r="E619" s="9" t="str">
        <f>IF(Data!B619="","",IF(ISNUMBER(MATCH(Data!E619,Data_Val!$A$2:$A$3,0)),0,1))</f>
        <v/>
      </c>
      <c r="F619" s="9" t="str">
        <f ca="1">IF(Data!B619="","",IF(ISNUMBER(Data!F619),IF(AND(Data!F619&gt;(TODAY()-(Data_Val!$H$3*365.25)),Data!F619&lt;=(TODAY()-(Data_Val!$H$2*365.25))),0,1),1))</f>
        <v/>
      </c>
      <c r="G619" s="15" t="str">
        <f>IF(Data!B619="","",IF(AND(Data!G619="",Data!H619&lt;&gt;""),1,IF(Data!#REF!&lt;&gt;"",0,IF(ISNUMBER(MATCH(Data!G619,Data_Val!$C$2:$C$5,0)),0,1))))</f>
        <v/>
      </c>
      <c r="H619" s="15" t="str">
        <f>IF(Data!B619="","",IF(AND(Data!G619&lt;&gt;"",Data!H619=""),1,IF(Data!#REF!&lt;&gt;"",0,IF(Data!G619="",1,IF(ISNUMBER(MATCH(Data!H619,Data_Val!$D$2:$D$35,0)),0,1)))))</f>
        <v/>
      </c>
      <c r="I619" s="15" t="str">
        <f>IF(Data!B619="","",IF(Data!G619&lt;&gt;"",0,IF(ISNUMBER(MATCH(Data!#REF!,Data_Val!$E$2:$E$12,0)),0,1)))</f>
        <v/>
      </c>
      <c r="J619" s="16" t="e">
        <f>IF(OR(Data!B619="",Data!#REF!=""),"",IF(Data!#REF!="",1,0))</f>
        <v>#REF!</v>
      </c>
      <c r="K619" s="16" t="e">
        <f>IF(OR(Data!B619="",Data!#REF!=""),"",IF(Data!#REF!="",1,0))</f>
        <v>#REF!</v>
      </c>
      <c r="L619" s="16" t="e">
        <f>IF(OR(Data!B619="",Data!#REF!=""),"",IF(ISNUMBER(Data!#REF!),IF(AND(Data!#REF!&gt;Data_Val!$G$2,Data!#REF!&lt;=Data_Val!$G$3),0,1),1))</f>
        <v>#REF!</v>
      </c>
      <c r="M619" s="9" t="e">
        <f>IF(OR(Data!B619="",Data!#REF!=""),"",IF(ISNUMBER(MATCH(Data!#REF!,Data_Val!$F$1:$F$38,0)),0,1))</f>
        <v>#REF!</v>
      </c>
      <c r="N619" s="9" t="e">
        <f>IF(OR(Data!B619="",Data!#REF!=""),"",IF(Data!#REF!="",1,0))</f>
        <v>#REF!</v>
      </c>
      <c r="O619" s="17" t="e">
        <f>IF(Data!#REF!="","",IF(Data!#REF!="",1,0))</f>
        <v>#REF!</v>
      </c>
      <c r="P619" s="17" t="e">
        <f>IF(Data!#REF!="","",IF(ISNUMBER(MATCH(Data!#REF!,Data_Val!$A$2:$A$3,0)),0,1))</f>
        <v>#REF!</v>
      </c>
      <c r="Q619" s="25" t="e">
        <f ca="1">IF(Data!#REF!="","",IF(ISNUMBER(Data!#REF!),IF(AND(Data!#REF!&gt;(TODAY()-(Data_Val!$J$3*365.25)),Data!#REF!&lt;=(TODAY()-(Data_Val!$J$2*365.25))),0,1),1))</f>
        <v>#REF!</v>
      </c>
      <c r="R619" s="17" t="e">
        <f>IF(Data!#REF!="","",IF(ISNUMBER(MATCH(Data!#REF!,Data_Val!$B$2:$B$15,0)),0,1))</f>
        <v>#REF!</v>
      </c>
      <c r="S619" s="11" t="str">
        <f>IF(Data!G619="","",IF(Data!G619=Data_Val!$C$2,IF(Data!M619="",0,1),0))</f>
        <v/>
      </c>
      <c r="T619" s="11" t="str">
        <f>IF(Data!M619="","",IF(ISNUMBER(MATCH(Data!N619,Data_Val!$A$2:$A$3,0)),0,1))</f>
        <v/>
      </c>
      <c r="U619" s="11" t="str">
        <f ca="1">IF(Data!M619="","",IF(ISNUMBER(Data!O619),IF(AND(Data!O619&gt;(TODAY()-(Data_Val!$K$3*365.25)),Data!O619&lt;=(TODAY()-(Data_Val!$K$2*365.25))),0,1),1))</f>
        <v/>
      </c>
      <c r="V619" s="12" t="str">
        <f>IF(Data!G619="","",IF(Data!G619=Data_Val!$C$2,IF(Data!P619="",0,1),0))</f>
        <v/>
      </c>
      <c r="W619" s="12" t="str">
        <f>IF(Data!P619="","",IF(ISNUMBER(MATCH(Data!Q619,Data_Val!$A$2:$A$3,0)),0,1))</f>
        <v/>
      </c>
      <c r="X619" s="26" t="str">
        <f ca="1">IF(Data!P619="","",IF(ISNUMBER(Data!R619),IF(AND(Data!R619&gt;(TODAY()-(Data_Val!$L$3*365.25)),Data!R619&lt;=(TODAY()-(Data_Val!$L$2*365.25))),0,1),1))</f>
        <v/>
      </c>
      <c r="Y619" s="13" t="str">
        <f>IF(Data!$G619="","",IF(Data!$G619=Data_Val!$C$2,IF(Data!S619="",0,1),0))</f>
        <v/>
      </c>
      <c r="Z619" s="13" t="str">
        <f>IF(Data!S619="","",IF(ISNUMBER(MATCH(Data!T619,Data_Val!$A$2:$A$3,0)),0,1))</f>
        <v/>
      </c>
      <c r="AA619" s="28" t="str">
        <f ca="1">IF(Data!S619="","",IF(ISNUMBER(Data!U619),IF(AND(Data!U619&gt;(TODAY()-(Data_Val!$L$3*365.25)),Data!U619&lt;=(TODAY()-(Data_Val!$L$2*365.25))),0,1),1))</f>
        <v/>
      </c>
      <c r="AB619" s="11"/>
      <c r="AC619" s="11" t="e">
        <f>IF(Data!#REF!="","",IF(ISNUMBER(MATCH(Data!#REF!,Data_Val!$A$2:$A$3,0)),0,1))</f>
        <v>#REF!</v>
      </c>
      <c r="AD619" s="11" t="e">
        <f ca="1">IF(Data!#REF!="","",IF(ISNUMBER(Data!#REF!),IF(AND(Data!#REF!&gt;(TODAY()-(Data_Val!$L$3*365.25)),Data!#REF!&lt;=(TODAY()-(Data_Val!$L$2*365.25))),0,1),1))</f>
        <v>#REF!</v>
      </c>
      <c r="AE619" s="11" t="e">
        <f>IF(Data!#REF!="","",IF(Data!$G619="",1,IF(ISNUMBER(MATCH(Data!#REF!,Data_Val!$D$2:$D$10,0)),0,1)))</f>
        <v>#REF!</v>
      </c>
      <c r="AF619" s="12"/>
      <c r="AG619" s="12" t="e">
        <f>IF(Data!#REF!="","",IF(ISNUMBER(MATCH(Data!#REF!,Data_Val!$A$2:$A$3,0)),0,1))</f>
        <v>#REF!</v>
      </c>
      <c r="AH619" s="26" t="e">
        <f ca="1">IF(Data!#REF!="","",IF(ISNUMBER(Data!#REF!),IF(AND(Data!#REF!&gt;(TODAY()-(Data_Val!$L$3*365.25)),Data!#REF!&lt;=(TODAY()-(Data_Val!$L$2*365.25))),0,1),1))</f>
        <v>#REF!</v>
      </c>
      <c r="AI619" s="12" t="e">
        <f>IF(Data!#REF!="","",IF(Data!$G619="",1,IF(ISNUMBER(MATCH(Data!#REF!,Data_Val!$D$2:$D$10,0)),0,1)))</f>
        <v>#REF!</v>
      </c>
      <c r="AJ619" s="17"/>
      <c r="AK619" s="17" t="e">
        <f>IF(Data!#REF!="","",IF(ISNUMBER(MATCH(Data!#REF!,Data_Val!$A$2:$A$3,0)),0,1))</f>
        <v>#REF!</v>
      </c>
      <c r="AL619" s="25" t="e">
        <f ca="1">IF(Data!#REF!="","",IF(ISNUMBER(Data!#REF!),IF(AND(Data!#REF!&gt;(TODAY()-(Data_Val!$L$3*365.25)),Data!#REF!&lt;=(TODAY()-(Data_Val!$L$2*365.25))),0,1),1))</f>
        <v>#REF!</v>
      </c>
      <c r="AM619" s="17" t="e">
        <f>IF(Data!#REF!="","",IF(Data!$G619="",1,IF(ISNUMBER(MATCH(Data!#REF!,Data_Val!$D$2:$D$10,0)),0,1)))</f>
        <v>#REF!</v>
      </c>
      <c r="AN619" s="13"/>
      <c r="AO619" s="28" t="e">
        <f ca="1">IF(Data!#REF!="","",IF(ISNUMBER(Data!#REF!),IF(AND(Data!#REF!&gt;(TODAY()-(Data_Val!$I$3*365.25)),Data!#REF!&lt;=(TODAY()-(Data_Val!$I$2*365.25))),0,1),1))</f>
        <v>#REF!</v>
      </c>
      <c r="AP619" s="13" t="e">
        <f>IF(Data!#REF!="","",IF(Data!$G619="",1,IF(ISNUMBER(MATCH(Data!#REF!,Data_Val!$D$2:$D$10,0)),0,1)))</f>
        <v>#REF!</v>
      </c>
      <c r="AQ619" s="17"/>
      <c r="AR619" s="30" t="e">
        <f ca="1">IF(Data!#REF!="","",IF(ISNUMBER(Data!#REF!),IF(AND(Data!#REF!&gt;(TODAY()-(Data_Val!$I$3*365.25)),Data!#REF!&lt;=(TODAY()-(Data_Val!$I$2*365.25))),0,1),1))</f>
        <v>#REF!</v>
      </c>
      <c r="AS619" s="31" t="e">
        <f>IF(Data!#REF!="","",IF(Data!$G619="",1,IF(ISNUMBER(MATCH(Data!#REF!,Data_Val!$D$2:$D$10,0)),0,1)))</f>
        <v>#REF!</v>
      </c>
      <c r="AT619" s="11"/>
      <c r="AU619" s="11" t="e">
        <f ca="1">IF(Data!#REF!="","",IF(ISNUMBER(Data!#REF!),IF(AND(Data!#REF!&gt;(TODAY()-(Data_Val!$I$3*365.25)),Data!#REF!&lt;=(TODAY()-(Data_Val!$I$2*365.25))),0,1),1))</f>
        <v>#REF!</v>
      </c>
      <c r="AV619" s="11" t="e">
        <f>IF(Data!#REF!="","",IF(Data!$G619="",1,IF(ISNUMBER(MATCH(Data!#REF!,Data_Val!$D$2:$D$10,0)),0,1)))</f>
        <v>#REF!</v>
      </c>
      <c r="AW619" s="12"/>
      <c r="AX619" s="26" t="e">
        <f ca="1">IF(Data!#REF!="","",IF(ISNUMBER(Data!#REF!),IF(AND(Data!#REF!&gt;(TODAY()-(Data_Val!$I$3*365.25)),Data!#REF!&lt;=(TODAY()-(Data_Val!$I$2*365.25))),0,1),1))</f>
        <v>#REF!</v>
      </c>
      <c r="AY619" s="12" t="e">
        <f>IF(Data!#REF!="","",IF(Data!$G619="",1,IF(ISNUMBER(MATCH(Data!#REF!,Data_Val!$D$2:$D$10,0)),0,1)))</f>
        <v>#REF!</v>
      </c>
      <c r="AZ619" s="11"/>
      <c r="BA619" s="19" t="e">
        <f ca="1">IF(Data!#REF!="","",IF(ISNUMBER(Data!#REF!),IF(AND(Data!#REF!&gt;(TODAY()-(Data_Val!$M$3*365.25)),Data!#REF!&lt;=(TODAY()-(Data_Val!$M$2*365.25))),0,1),1))</f>
        <v>#REF!</v>
      </c>
      <c r="BB619" s="11" t="e">
        <f>IF(Data!#REF!="","",IF(Data!$G619="",1,IF(ISNUMBER(MATCH(Data!#REF!,Data_Val!$D$2:$D$10,0)),0,1)))</f>
        <v>#REF!</v>
      </c>
      <c r="BC619" s="12"/>
      <c r="BD619" s="20" t="e">
        <f ca="1">IF(Data!#REF!="","",IF(ISNUMBER(Data!#REF!),IF(AND(Data!#REF!&gt;(TODAY()-(Data_Val!$M$3*365.25)),Data!#REF!&lt;=(TODAY()-(Data_Val!$M$2*365.25))),0,1),1))</f>
        <v>#REF!</v>
      </c>
      <c r="BE619" s="12" t="e">
        <f>IF(Data!#REF!="","",IF(Data!$G619="",1,IF(ISNUMBER(MATCH(Data!#REF!,Data_Val!$D$2:$D$10,0)),0,1)))</f>
        <v>#REF!</v>
      </c>
      <c r="BF619" s="17"/>
      <c r="BG619" s="18" t="e">
        <f ca="1">IF(Data!#REF!="","",IF(ISNUMBER(Data!#REF!),IF(AND(Data!#REF!&gt;(TODAY()-(Data_Val!$M$3*365.25)),Data!#REF!&lt;=(TODAY()-(Data_Val!$M$2*365.25))),0,1),1))</f>
        <v>#REF!</v>
      </c>
      <c r="BH619" s="29" t="e">
        <f>IF(Data!#REF!="","",IF(Data!$G619="",1,IF(ISNUMBER(MATCH(Data!#REF!,Data_Val!$D$2:$D$10,0)),0,1)))</f>
        <v>#REF!</v>
      </c>
      <c r="BI619" s="13"/>
      <c r="BJ619" s="21" t="e">
        <f ca="1">IF(Data!#REF!="","",IF(ISNUMBER(Data!#REF!),IF(AND(Data!#REF!&gt;(TODAY()-(Data_Val!$M$3*365.25)),Data!#REF!&lt;=(TODAY()-(Data_Val!$M$2*365.25))),0,1),1))</f>
        <v>#REF!</v>
      </c>
      <c r="BK619" s="13" t="e">
        <f>IF(Data!#REF!="","",IF(Data!$G619="",1,IF(ISNUMBER(MATCH(Data!#REF!,Data_Val!$D$2:$D$10,0)),0,1)))</f>
        <v>#REF!</v>
      </c>
    </row>
    <row r="620" spans="1:63" x14ac:dyDescent="0.25">
      <c r="A620" s="9" t="str">
        <f>IF(Data!B620="","",IF(COUNTIFS(Data!A$1:'Data'!A620,Data!A620)&lt;=1,0,1))</f>
        <v/>
      </c>
      <c r="B620" s="9"/>
      <c r="C620" s="23" t="str">
        <f>IF(Data!C620="","",(IF(ISNUMBER(MATCH("*@*.?*",Data!C620,0)),0,1)+IF(COUNTIFS(Data!C$1:'Data'!C620,Data!C620)&gt;1,1,0)))</f>
        <v/>
      </c>
      <c r="D620" s="9" t="str">
        <f>IF(Data!B620="","",IF(ISNUMBER(Data!D620),IF(AND(Data!D620&gt;999999999,Data!D620&lt;=9999999999),IF(COUNTIFS(Data!D$1:'Data'!D620,Data!D620)&lt;=1,0,1),1),1))</f>
        <v/>
      </c>
      <c r="E620" s="9" t="str">
        <f>IF(Data!B620="","",IF(ISNUMBER(MATCH(Data!E620,Data_Val!$A$2:$A$3,0)),0,1))</f>
        <v/>
      </c>
      <c r="F620" s="9" t="str">
        <f ca="1">IF(Data!B620="","",IF(ISNUMBER(Data!F620),IF(AND(Data!F620&gt;(TODAY()-(Data_Val!$H$3*365.25)),Data!F620&lt;=(TODAY()-(Data_Val!$H$2*365.25))),0,1),1))</f>
        <v/>
      </c>
      <c r="G620" s="15" t="str">
        <f>IF(Data!B620="","",IF(AND(Data!G620="",Data!H620&lt;&gt;""),1,IF(Data!#REF!&lt;&gt;"",0,IF(ISNUMBER(MATCH(Data!G620,Data_Val!$C$2:$C$5,0)),0,1))))</f>
        <v/>
      </c>
      <c r="H620" s="15" t="str">
        <f>IF(Data!B620="","",IF(AND(Data!G620&lt;&gt;"",Data!H620=""),1,IF(Data!#REF!&lt;&gt;"",0,IF(Data!G620="",1,IF(ISNUMBER(MATCH(Data!H620,Data_Val!$D$2:$D$35,0)),0,1)))))</f>
        <v/>
      </c>
      <c r="I620" s="15" t="str">
        <f>IF(Data!B620="","",IF(Data!G620&lt;&gt;"",0,IF(ISNUMBER(MATCH(Data!#REF!,Data_Val!$E$2:$E$12,0)),0,1)))</f>
        <v/>
      </c>
      <c r="J620" s="16" t="e">
        <f>IF(OR(Data!B620="",Data!#REF!=""),"",IF(Data!#REF!="",1,0))</f>
        <v>#REF!</v>
      </c>
      <c r="K620" s="16" t="e">
        <f>IF(OR(Data!B620="",Data!#REF!=""),"",IF(Data!#REF!="",1,0))</f>
        <v>#REF!</v>
      </c>
      <c r="L620" s="16" t="e">
        <f>IF(OR(Data!B620="",Data!#REF!=""),"",IF(ISNUMBER(Data!#REF!),IF(AND(Data!#REF!&gt;Data_Val!$G$2,Data!#REF!&lt;=Data_Val!$G$3),0,1),1))</f>
        <v>#REF!</v>
      </c>
      <c r="M620" s="9" t="e">
        <f>IF(OR(Data!B620="",Data!#REF!=""),"",IF(ISNUMBER(MATCH(Data!#REF!,Data_Val!$F$1:$F$38,0)),0,1))</f>
        <v>#REF!</v>
      </c>
      <c r="N620" s="9" t="e">
        <f>IF(OR(Data!B620="",Data!#REF!=""),"",IF(Data!#REF!="",1,0))</f>
        <v>#REF!</v>
      </c>
      <c r="O620" s="17" t="e">
        <f>IF(Data!#REF!="","",IF(Data!#REF!="",1,0))</f>
        <v>#REF!</v>
      </c>
      <c r="P620" s="17" t="e">
        <f>IF(Data!#REF!="","",IF(ISNUMBER(MATCH(Data!#REF!,Data_Val!$A$2:$A$3,0)),0,1))</f>
        <v>#REF!</v>
      </c>
      <c r="Q620" s="25" t="e">
        <f ca="1">IF(Data!#REF!="","",IF(ISNUMBER(Data!#REF!),IF(AND(Data!#REF!&gt;(TODAY()-(Data_Val!$J$3*365.25)),Data!#REF!&lt;=(TODAY()-(Data_Val!$J$2*365.25))),0,1),1))</f>
        <v>#REF!</v>
      </c>
      <c r="R620" s="17" t="e">
        <f>IF(Data!#REF!="","",IF(ISNUMBER(MATCH(Data!#REF!,Data_Val!$B$2:$B$15,0)),0,1))</f>
        <v>#REF!</v>
      </c>
      <c r="S620" s="11" t="str">
        <f>IF(Data!G620="","",IF(Data!G620=Data_Val!$C$2,IF(Data!M620="",0,1),0))</f>
        <v/>
      </c>
      <c r="T620" s="11" t="str">
        <f>IF(Data!M620="","",IF(ISNUMBER(MATCH(Data!N620,Data_Val!$A$2:$A$3,0)),0,1))</f>
        <v/>
      </c>
      <c r="U620" s="11" t="str">
        <f ca="1">IF(Data!M620="","",IF(ISNUMBER(Data!O620),IF(AND(Data!O620&gt;(TODAY()-(Data_Val!$K$3*365.25)),Data!O620&lt;=(TODAY()-(Data_Val!$K$2*365.25))),0,1),1))</f>
        <v/>
      </c>
      <c r="V620" s="12" t="str">
        <f>IF(Data!G620="","",IF(Data!G620=Data_Val!$C$2,IF(Data!P620="",0,1),0))</f>
        <v/>
      </c>
      <c r="W620" s="12" t="str">
        <f>IF(Data!P620="","",IF(ISNUMBER(MATCH(Data!Q620,Data_Val!$A$2:$A$3,0)),0,1))</f>
        <v/>
      </c>
      <c r="X620" s="26" t="str">
        <f ca="1">IF(Data!P620="","",IF(ISNUMBER(Data!R620),IF(AND(Data!R620&gt;(TODAY()-(Data_Val!$L$3*365.25)),Data!R620&lt;=(TODAY()-(Data_Val!$L$2*365.25))),0,1),1))</f>
        <v/>
      </c>
      <c r="Y620" s="13" t="str">
        <f>IF(Data!$G620="","",IF(Data!$G620=Data_Val!$C$2,IF(Data!S620="",0,1),0))</f>
        <v/>
      </c>
      <c r="Z620" s="13" t="str">
        <f>IF(Data!S620="","",IF(ISNUMBER(MATCH(Data!T620,Data_Val!$A$2:$A$3,0)),0,1))</f>
        <v/>
      </c>
      <c r="AA620" s="28" t="str">
        <f ca="1">IF(Data!S620="","",IF(ISNUMBER(Data!U620),IF(AND(Data!U620&gt;(TODAY()-(Data_Val!$L$3*365.25)),Data!U620&lt;=(TODAY()-(Data_Val!$L$2*365.25))),0,1),1))</f>
        <v/>
      </c>
      <c r="AB620" s="11"/>
      <c r="AC620" s="11" t="e">
        <f>IF(Data!#REF!="","",IF(ISNUMBER(MATCH(Data!#REF!,Data_Val!$A$2:$A$3,0)),0,1))</f>
        <v>#REF!</v>
      </c>
      <c r="AD620" s="11" t="e">
        <f ca="1">IF(Data!#REF!="","",IF(ISNUMBER(Data!#REF!),IF(AND(Data!#REF!&gt;(TODAY()-(Data_Val!$L$3*365.25)),Data!#REF!&lt;=(TODAY()-(Data_Val!$L$2*365.25))),0,1),1))</f>
        <v>#REF!</v>
      </c>
      <c r="AE620" s="11" t="e">
        <f>IF(Data!#REF!="","",IF(Data!$G620="",1,IF(ISNUMBER(MATCH(Data!#REF!,Data_Val!$D$2:$D$10,0)),0,1)))</f>
        <v>#REF!</v>
      </c>
      <c r="AF620" s="12"/>
      <c r="AG620" s="12" t="e">
        <f>IF(Data!#REF!="","",IF(ISNUMBER(MATCH(Data!#REF!,Data_Val!$A$2:$A$3,0)),0,1))</f>
        <v>#REF!</v>
      </c>
      <c r="AH620" s="26" t="e">
        <f ca="1">IF(Data!#REF!="","",IF(ISNUMBER(Data!#REF!),IF(AND(Data!#REF!&gt;(TODAY()-(Data_Val!$L$3*365.25)),Data!#REF!&lt;=(TODAY()-(Data_Val!$L$2*365.25))),0,1),1))</f>
        <v>#REF!</v>
      </c>
      <c r="AI620" s="12" t="e">
        <f>IF(Data!#REF!="","",IF(Data!$G620="",1,IF(ISNUMBER(MATCH(Data!#REF!,Data_Val!$D$2:$D$10,0)),0,1)))</f>
        <v>#REF!</v>
      </c>
      <c r="AJ620" s="17"/>
      <c r="AK620" s="17" t="e">
        <f>IF(Data!#REF!="","",IF(ISNUMBER(MATCH(Data!#REF!,Data_Val!$A$2:$A$3,0)),0,1))</f>
        <v>#REF!</v>
      </c>
      <c r="AL620" s="25" t="e">
        <f ca="1">IF(Data!#REF!="","",IF(ISNUMBER(Data!#REF!),IF(AND(Data!#REF!&gt;(TODAY()-(Data_Val!$L$3*365.25)),Data!#REF!&lt;=(TODAY()-(Data_Val!$L$2*365.25))),0,1),1))</f>
        <v>#REF!</v>
      </c>
      <c r="AM620" s="17" t="e">
        <f>IF(Data!#REF!="","",IF(Data!$G620="",1,IF(ISNUMBER(MATCH(Data!#REF!,Data_Val!$D$2:$D$10,0)),0,1)))</f>
        <v>#REF!</v>
      </c>
      <c r="AN620" s="13"/>
      <c r="AO620" s="28" t="e">
        <f ca="1">IF(Data!#REF!="","",IF(ISNUMBER(Data!#REF!),IF(AND(Data!#REF!&gt;(TODAY()-(Data_Val!$I$3*365.25)),Data!#REF!&lt;=(TODAY()-(Data_Val!$I$2*365.25))),0,1),1))</f>
        <v>#REF!</v>
      </c>
      <c r="AP620" s="13" t="e">
        <f>IF(Data!#REF!="","",IF(Data!$G620="",1,IF(ISNUMBER(MATCH(Data!#REF!,Data_Val!$D$2:$D$10,0)),0,1)))</f>
        <v>#REF!</v>
      </c>
      <c r="AQ620" s="17"/>
      <c r="AR620" s="30" t="e">
        <f ca="1">IF(Data!#REF!="","",IF(ISNUMBER(Data!#REF!),IF(AND(Data!#REF!&gt;(TODAY()-(Data_Val!$I$3*365.25)),Data!#REF!&lt;=(TODAY()-(Data_Val!$I$2*365.25))),0,1),1))</f>
        <v>#REF!</v>
      </c>
      <c r="AS620" s="31" t="e">
        <f>IF(Data!#REF!="","",IF(Data!$G620="",1,IF(ISNUMBER(MATCH(Data!#REF!,Data_Val!$D$2:$D$10,0)),0,1)))</f>
        <v>#REF!</v>
      </c>
      <c r="AT620" s="11"/>
      <c r="AU620" s="11" t="e">
        <f ca="1">IF(Data!#REF!="","",IF(ISNUMBER(Data!#REF!),IF(AND(Data!#REF!&gt;(TODAY()-(Data_Val!$I$3*365.25)),Data!#REF!&lt;=(TODAY()-(Data_Val!$I$2*365.25))),0,1),1))</f>
        <v>#REF!</v>
      </c>
      <c r="AV620" s="11" t="e">
        <f>IF(Data!#REF!="","",IF(Data!$G620="",1,IF(ISNUMBER(MATCH(Data!#REF!,Data_Val!$D$2:$D$10,0)),0,1)))</f>
        <v>#REF!</v>
      </c>
      <c r="AW620" s="12"/>
      <c r="AX620" s="26" t="e">
        <f ca="1">IF(Data!#REF!="","",IF(ISNUMBER(Data!#REF!),IF(AND(Data!#REF!&gt;(TODAY()-(Data_Val!$I$3*365.25)),Data!#REF!&lt;=(TODAY()-(Data_Val!$I$2*365.25))),0,1),1))</f>
        <v>#REF!</v>
      </c>
      <c r="AY620" s="12" t="e">
        <f>IF(Data!#REF!="","",IF(Data!$G620="",1,IF(ISNUMBER(MATCH(Data!#REF!,Data_Val!$D$2:$D$10,0)),0,1)))</f>
        <v>#REF!</v>
      </c>
      <c r="AZ620" s="11"/>
      <c r="BA620" s="19" t="e">
        <f ca="1">IF(Data!#REF!="","",IF(ISNUMBER(Data!#REF!),IF(AND(Data!#REF!&gt;(TODAY()-(Data_Val!$M$3*365.25)),Data!#REF!&lt;=(TODAY()-(Data_Val!$M$2*365.25))),0,1),1))</f>
        <v>#REF!</v>
      </c>
      <c r="BB620" s="11" t="e">
        <f>IF(Data!#REF!="","",IF(Data!$G620="",1,IF(ISNUMBER(MATCH(Data!#REF!,Data_Val!$D$2:$D$10,0)),0,1)))</f>
        <v>#REF!</v>
      </c>
      <c r="BC620" s="12"/>
      <c r="BD620" s="20" t="e">
        <f ca="1">IF(Data!#REF!="","",IF(ISNUMBER(Data!#REF!),IF(AND(Data!#REF!&gt;(TODAY()-(Data_Val!$M$3*365.25)),Data!#REF!&lt;=(TODAY()-(Data_Val!$M$2*365.25))),0,1),1))</f>
        <v>#REF!</v>
      </c>
      <c r="BE620" s="12" t="e">
        <f>IF(Data!#REF!="","",IF(Data!$G620="",1,IF(ISNUMBER(MATCH(Data!#REF!,Data_Val!$D$2:$D$10,0)),0,1)))</f>
        <v>#REF!</v>
      </c>
      <c r="BF620" s="17"/>
      <c r="BG620" s="18" t="e">
        <f ca="1">IF(Data!#REF!="","",IF(ISNUMBER(Data!#REF!),IF(AND(Data!#REF!&gt;(TODAY()-(Data_Val!$M$3*365.25)),Data!#REF!&lt;=(TODAY()-(Data_Val!$M$2*365.25))),0,1),1))</f>
        <v>#REF!</v>
      </c>
      <c r="BH620" s="29" t="e">
        <f>IF(Data!#REF!="","",IF(Data!$G620="",1,IF(ISNUMBER(MATCH(Data!#REF!,Data_Val!$D$2:$D$10,0)),0,1)))</f>
        <v>#REF!</v>
      </c>
      <c r="BI620" s="13"/>
      <c r="BJ620" s="21" t="e">
        <f ca="1">IF(Data!#REF!="","",IF(ISNUMBER(Data!#REF!),IF(AND(Data!#REF!&gt;(TODAY()-(Data_Val!$M$3*365.25)),Data!#REF!&lt;=(TODAY()-(Data_Val!$M$2*365.25))),0,1),1))</f>
        <v>#REF!</v>
      </c>
      <c r="BK620" s="13" t="e">
        <f>IF(Data!#REF!="","",IF(Data!$G620="",1,IF(ISNUMBER(MATCH(Data!#REF!,Data_Val!$D$2:$D$10,0)),0,1)))</f>
        <v>#REF!</v>
      </c>
    </row>
    <row r="621" spans="1:63" x14ac:dyDescent="0.25">
      <c r="A621" s="9" t="str">
        <f>IF(Data!B621="","",IF(COUNTIFS(Data!A$1:'Data'!A621,Data!A621)&lt;=1,0,1))</f>
        <v/>
      </c>
      <c r="B621" s="9"/>
      <c r="C621" s="23" t="str">
        <f>IF(Data!C621="","",(IF(ISNUMBER(MATCH("*@*.?*",Data!C621,0)),0,1)+IF(COUNTIFS(Data!C$1:'Data'!C621,Data!C621)&gt;1,1,0)))</f>
        <v/>
      </c>
      <c r="D621" s="9" t="str">
        <f>IF(Data!B621="","",IF(ISNUMBER(Data!D621),IF(AND(Data!D621&gt;999999999,Data!D621&lt;=9999999999),IF(COUNTIFS(Data!D$1:'Data'!D621,Data!D621)&lt;=1,0,1),1),1))</f>
        <v/>
      </c>
      <c r="E621" s="9" t="str">
        <f>IF(Data!B621="","",IF(ISNUMBER(MATCH(Data!E621,Data_Val!$A$2:$A$3,0)),0,1))</f>
        <v/>
      </c>
      <c r="F621" s="9" t="str">
        <f ca="1">IF(Data!B621="","",IF(ISNUMBER(Data!F621),IF(AND(Data!F621&gt;(TODAY()-(Data_Val!$H$3*365.25)),Data!F621&lt;=(TODAY()-(Data_Val!$H$2*365.25))),0,1),1))</f>
        <v/>
      </c>
      <c r="G621" s="15" t="str">
        <f>IF(Data!B621="","",IF(AND(Data!G621="",Data!H621&lt;&gt;""),1,IF(Data!#REF!&lt;&gt;"",0,IF(ISNUMBER(MATCH(Data!G621,Data_Val!$C$2:$C$5,0)),0,1))))</f>
        <v/>
      </c>
      <c r="H621" s="15" t="str">
        <f>IF(Data!B621="","",IF(AND(Data!G621&lt;&gt;"",Data!H621=""),1,IF(Data!#REF!&lt;&gt;"",0,IF(Data!G621="",1,IF(ISNUMBER(MATCH(Data!H621,Data_Val!$D$2:$D$35,0)),0,1)))))</f>
        <v/>
      </c>
      <c r="I621" s="15" t="str">
        <f>IF(Data!B621="","",IF(Data!G621&lt;&gt;"",0,IF(ISNUMBER(MATCH(Data!#REF!,Data_Val!$E$2:$E$12,0)),0,1)))</f>
        <v/>
      </c>
      <c r="J621" s="16" t="e">
        <f>IF(OR(Data!B621="",Data!#REF!=""),"",IF(Data!#REF!="",1,0))</f>
        <v>#REF!</v>
      </c>
      <c r="K621" s="16" t="e">
        <f>IF(OR(Data!B621="",Data!#REF!=""),"",IF(Data!#REF!="",1,0))</f>
        <v>#REF!</v>
      </c>
      <c r="L621" s="16" t="e">
        <f>IF(OR(Data!B621="",Data!#REF!=""),"",IF(ISNUMBER(Data!#REF!),IF(AND(Data!#REF!&gt;Data_Val!$G$2,Data!#REF!&lt;=Data_Val!$G$3),0,1),1))</f>
        <v>#REF!</v>
      </c>
      <c r="M621" s="9" t="e">
        <f>IF(OR(Data!B621="",Data!#REF!=""),"",IF(ISNUMBER(MATCH(Data!#REF!,Data_Val!$F$1:$F$38,0)),0,1))</f>
        <v>#REF!</v>
      </c>
      <c r="N621" s="9" t="e">
        <f>IF(OR(Data!B621="",Data!#REF!=""),"",IF(Data!#REF!="",1,0))</f>
        <v>#REF!</v>
      </c>
      <c r="O621" s="17" t="e">
        <f>IF(Data!#REF!="","",IF(Data!#REF!="",1,0))</f>
        <v>#REF!</v>
      </c>
      <c r="P621" s="17" t="e">
        <f>IF(Data!#REF!="","",IF(ISNUMBER(MATCH(Data!#REF!,Data_Val!$A$2:$A$3,0)),0,1))</f>
        <v>#REF!</v>
      </c>
      <c r="Q621" s="25" t="e">
        <f ca="1">IF(Data!#REF!="","",IF(ISNUMBER(Data!#REF!),IF(AND(Data!#REF!&gt;(TODAY()-(Data_Val!$J$3*365.25)),Data!#REF!&lt;=(TODAY()-(Data_Val!$J$2*365.25))),0,1),1))</f>
        <v>#REF!</v>
      </c>
      <c r="R621" s="17" t="e">
        <f>IF(Data!#REF!="","",IF(ISNUMBER(MATCH(Data!#REF!,Data_Val!$B$2:$B$15,0)),0,1))</f>
        <v>#REF!</v>
      </c>
      <c r="S621" s="11" t="str">
        <f>IF(Data!G621="","",IF(Data!G621=Data_Val!$C$2,IF(Data!M621="",0,1),0))</f>
        <v/>
      </c>
      <c r="T621" s="11" t="str">
        <f>IF(Data!M621="","",IF(ISNUMBER(MATCH(Data!N621,Data_Val!$A$2:$A$3,0)),0,1))</f>
        <v/>
      </c>
      <c r="U621" s="11" t="str">
        <f ca="1">IF(Data!M621="","",IF(ISNUMBER(Data!O621),IF(AND(Data!O621&gt;(TODAY()-(Data_Val!$K$3*365.25)),Data!O621&lt;=(TODAY()-(Data_Val!$K$2*365.25))),0,1),1))</f>
        <v/>
      </c>
      <c r="V621" s="12" t="str">
        <f>IF(Data!G621="","",IF(Data!G621=Data_Val!$C$2,IF(Data!P621="",0,1),0))</f>
        <v/>
      </c>
      <c r="W621" s="12" t="str">
        <f>IF(Data!P621="","",IF(ISNUMBER(MATCH(Data!Q621,Data_Val!$A$2:$A$3,0)),0,1))</f>
        <v/>
      </c>
      <c r="X621" s="26" t="str">
        <f ca="1">IF(Data!P621="","",IF(ISNUMBER(Data!R621),IF(AND(Data!R621&gt;(TODAY()-(Data_Val!$L$3*365.25)),Data!R621&lt;=(TODAY()-(Data_Val!$L$2*365.25))),0,1),1))</f>
        <v/>
      </c>
      <c r="Y621" s="13" t="str">
        <f>IF(Data!$G621="","",IF(Data!$G621=Data_Val!$C$2,IF(Data!S621="",0,1),0))</f>
        <v/>
      </c>
      <c r="Z621" s="13" t="str">
        <f>IF(Data!S621="","",IF(ISNUMBER(MATCH(Data!T621,Data_Val!$A$2:$A$3,0)),0,1))</f>
        <v/>
      </c>
      <c r="AA621" s="28" t="str">
        <f ca="1">IF(Data!S621="","",IF(ISNUMBER(Data!U621),IF(AND(Data!U621&gt;(TODAY()-(Data_Val!$L$3*365.25)),Data!U621&lt;=(TODAY()-(Data_Val!$L$2*365.25))),0,1),1))</f>
        <v/>
      </c>
      <c r="AB621" s="11"/>
      <c r="AC621" s="11" t="e">
        <f>IF(Data!#REF!="","",IF(ISNUMBER(MATCH(Data!#REF!,Data_Val!$A$2:$A$3,0)),0,1))</f>
        <v>#REF!</v>
      </c>
      <c r="AD621" s="11" t="e">
        <f ca="1">IF(Data!#REF!="","",IF(ISNUMBER(Data!#REF!),IF(AND(Data!#REF!&gt;(TODAY()-(Data_Val!$L$3*365.25)),Data!#REF!&lt;=(TODAY()-(Data_Val!$L$2*365.25))),0,1),1))</f>
        <v>#REF!</v>
      </c>
      <c r="AE621" s="11" t="e">
        <f>IF(Data!#REF!="","",IF(Data!$G621="",1,IF(ISNUMBER(MATCH(Data!#REF!,Data_Val!$D$2:$D$10,0)),0,1)))</f>
        <v>#REF!</v>
      </c>
      <c r="AF621" s="12"/>
      <c r="AG621" s="12" t="e">
        <f>IF(Data!#REF!="","",IF(ISNUMBER(MATCH(Data!#REF!,Data_Val!$A$2:$A$3,0)),0,1))</f>
        <v>#REF!</v>
      </c>
      <c r="AH621" s="26" t="e">
        <f ca="1">IF(Data!#REF!="","",IF(ISNUMBER(Data!#REF!),IF(AND(Data!#REF!&gt;(TODAY()-(Data_Val!$L$3*365.25)),Data!#REF!&lt;=(TODAY()-(Data_Val!$L$2*365.25))),0,1),1))</f>
        <v>#REF!</v>
      </c>
      <c r="AI621" s="12" t="e">
        <f>IF(Data!#REF!="","",IF(Data!$G621="",1,IF(ISNUMBER(MATCH(Data!#REF!,Data_Val!$D$2:$D$10,0)),0,1)))</f>
        <v>#REF!</v>
      </c>
      <c r="AJ621" s="17"/>
      <c r="AK621" s="17" t="e">
        <f>IF(Data!#REF!="","",IF(ISNUMBER(MATCH(Data!#REF!,Data_Val!$A$2:$A$3,0)),0,1))</f>
        <v>#REF!</v>
      </c>
      <c r="AL621" s="25" t="e">
        <f ca="1">IF(Data!#REF!="","",IF(ISNUMBER(Data!#REF!),IF(AND(Data!#REF!&gt;(TODAY()-(Data_Val!$L$3*365.25)),Data!#REF!&lt;=(TODAY()-(Data_Val!$L$2*365.25))),0,1),1))</f>
        <v>#REF!</v>
      </c>
      <c r="AM621" s="17" t="e">
        <f>IF(Data!#REF!="","",IF(Data!$G621="",1,IF(ISNUMBER(MATCH(Data!#REF!,Data_Val!$D$2:$D$10,0)),0,1)))</f>
        <v>#REF!</v>
      </c>
      <c r="AN621" s="13"/>
      <c r="AO621" s="28" t="e">
        <f ca="1">IF(Data!#REF!="","",IF(ISNUMBER(Data!#REF!),IF(AND(Data!#REF!&gt;(TODAY()-(Data_Val!$I$3*365.25)),Data!#REF!&lt;=(TODAY()-(Data_Val!$I$2*365.25))),0,1),1))</f>
        <v>#REF!</v>
      </c>
      <c r="AP621" s="13" t="e">
        <f>IF(Data!#REF!="","",IF(Data!$G621="",1,IF(ISNUMBER(MATCH(Data!#REF!,Data_Val!$D$2:$D$10,0)),0,1)))</f>
        <v>#REF!</v>
      </c>
      <c r="AQ621" s="17"/>
      <c r="AR621" s="30" t="e">
        <f ca="1">IF(Data!#REF!="","",IF(ISNUMBER(Data!#REF!),IF(AND(Data!#REF!&gt;(TODAY()-(Data_Val!$I$3*365.25)),Data!#REF!&lt;=(TODAY()-(Data_Val!$I$2*365.25))),0,1),1))</f>
        <v>#REF!</v>
      </c>
      <c r="AS621" s="31" t="e">
        <f>IF(Data!#REF!="","",IF(Data!$G621="",1,IF(ISNUMBER(MATCH(Data!#REF!,Data_Val!$D$2:$D$10,0)),0,1)))</f>
        <v>#REF!</v>
      </c>
      <c r="AT621" s="11"/>
      <c r="AU621" s="11" t="e">
        <f ca="1">IF(Data!#REF!="","",IF(ISNUMBER(Data!#REF!),IF(AND(Data!#REF!&gt;(TODAY()-(Data_Val!$I$3*365.25)),Data!#REF!&lt;=(TODAY()-(Data_Val!$I$2*365.25))),0,1),1))</f>
        <v>#REF!</v>
      </c>
      <c r="AV621" s="11" t="e">
        <f>IF(Data!#REF!="","",IF(Data!$G621="",1,IF(ISNUMBER(MATCH(Data!#REF!,Data_Val!$D$2:$D$10,0)),0,1)))</f>
        <v>#REF!</v>
      </c>
      <c r="AW621" s="12"/>
      <c r="AX621" s="26" t="e">
        <f ca="1">IF(Data!#REF!="","",IF(ISNUMBER(Data!#REF!),IF(AND(Data!#REF!&gt;(TODAY()-(Data_Val!$I$3*365.25)),Data!#REF!&lt;=(TODAY()-(Data_Val!$I$2*365.25))),0,1),1))</f>
        <v>#REF!</v>
      </c>
      <c r="AY621" s="12" t="e">
        <f>IF(Data!#REF!="","",IF(Data!$G621="",1,IF(ISNUMBER(MATCH(Data!#REF!,Data_Val!$D$2:$D$10,0)),0,1)))</f>
        <v>#REF!</v>
      </c>
      <c r="AZ621" s="11"/>
      <c r="BA621" s="19" t="e">
        <f ca="1">IF(Data!#REF!="","",IF(ISNUMBER(Data!#REF!),IF(AND(Data!#REF!&gt;(TODAY()-(Data_Val!$M$3*365.25)),Data!#REF!&lt;=(TODAY()-(Data_Val!$M$2*365.25))),0,1),1))</f>
        <v>#REF!</v>
      </c>
      <c r="BB621" s="11" t="e">
        <f>IF(Data!#REF!="","",IF(Data!$G621="",1,IF(ISNUMBER(MATCH(Data!#REF!,Data_Val!$D$2:$D$10,0)),0,1)))</f>
        <v>#REF!</v>
      </c>
      <c r="BC621" s="12"/>
      <c r="BD621" s="20" t="e">
        <f ca="1">IF(Data!#REF!="","",IF(ISNUMBER(Data!#REF!),IF(AND(Data!#REF!&gt;(TODAY()-(Data_Val!$M$3*365.25)),Data!#REF!&lt;=(TODAY()-(Data_Val!$M$2*365.25))),0,1),1))</f>
        <v>#REF!</v>
      </c>
      <c r="BE621" s="12" t="e">
        <f>IF(Data!#REF!="","",IF(Data!$G621="",1,IF(ISNUMBER(MATCH(Data!#REF!,Data_Val!$D$2:$D$10,0)),0,1)))</f>
        <v>#REF!</v>
      </c>
      <c r="BF621" s="17"/>
      <c r="BG621" s="18" t="e">
        <f ca="1">IF(Data!#REF!="","",IF(ISNUMBER(Data!#REF!),IF(AND(Data!#REF!&gt;(TODAY()-(Data_Val!$M$3*365.25)),Data!#REF!&lt;=(TODAY()-(Data_Val!$M$2*365.25))),0,1),1))</f>
        <v>#REF!</v>
      </c>
      <c r="BH621" s="29" t="e">
        <f>IF(Data!#REF!="","",IF(Data!$G621="",1,IF(ISNUMBER(MATCH(Data!#REF!,Data_Val!$D$2:$D$10,0)),0,1)))</f>
        <v>#REF!</v>
      </c>
      <c r="BI621" s="13"/>
      <c r="BJ621" s="21" t="e">
        <f ca="1">IF(Data!#REF!="","",IF(ISNUMBER(Data!#REF!),IF(AND(Data!#REF!&gt;(TODAY()-(Data_Val!$M$3*365.25)),Data!#REF!&lt;=(TODAY()-(Data_Val!$M$2*365.25))),0,1),1))</f>
        <v>#REF!</v>
      </c>
      <c r="BK621" s="13" t="e">
        <f>IF(Data!#REF!="","",IF(Data!$G621="",1,IF(ISNUMBER(MATCH(Data!#REF!,Data_Val!$D$2:$D$10,0)),0,1)))</f>
        <v>#REF!</v>
      </c>
    </row>
    <row r="622" spans="1:63" x14ac:dyDescent="0.25">
      <c r="A622" s="9" t="str">
        <f>IF(Data!B622="","",IF(COUNTIFS(Data!A$1:'Data'!A622,Data!A622)&lt;=1,0,1))</f>
        <v/>
      </c>
      <c r="B622" s="9"/>
      <c r="C622" s="23" t="str">
        <f>IF(Data!C622="","",(IF(ISNUMBER(MATCH("*@*.?*",Data!C622,0)),0,1)+IF(COUNTIFS(Data!C$1:'Data'!C622,Data!C622)&gt;1,1,0)))</f>
        <v/>
      </c>
      <c r="D622" s="9" t="str">
        <f>IF(Data!B622="","",IF(ISNUMBER(Data!D622),IF(AND(Data!D622&gt;999999999,Data!D622&lt;=9999999999),IF(COUNTIFS(Data!D$1:'Data'!D622,Data!D622)&lt;=1,0,1),1),1))</f>
        <v/>
      </c>
      <c r="E622" s="9" t="str">
        <f>IF(Data!B622="","",IF(ISNUMBER(MATCH(Data!E622,Data_Val!$A$2:$A$3,0)),0,1))</f>
        <v/>
      </c>
      <c r="F622" s="9" t="str">
        <f ca="1">IF(Data!B622="","",IF(ISNUMBER(Data!F622),IF(AND(Data!F622&gt;(TODAY()-(Data_Val!$H$3*365.25)),Data!F622&lt;=(TODAY()-(Data_Val!$H$2*365.25))),0,1),1))</f>
        <v/>
      </c>
      <c r="G622" s="15" t="str">
        <f>IF(Data!B622="","",IF(AND(Data!G622="",Data!H622&lt;&gt;""),1,IF(Data!#REF!&lt;&gt;"",0,IF(ISNUMBER(MATCH(Data!G622,Data_Val!$C$2:$C$5,0)),0,1))))</f>
        <v/>
      </c>
      <c r="H622" s="15" t="str">
        <f>IF(Data!B622="","",IF(AND(Data!G622&lt;&gt;"",Data!H622=""),1,IF(Data!#REF!&lt;&gt;"",0,IF(Data!G622="",1,IF(ISNUMBER(MATCH(Data!H622,Data_Val!$D$2:$D$35,0)),0,1)))))</f>
        <v/>
      </c>
      <c r="I622" s="15" t="str">
        <f>IF(Data!B622="","",IF(Data!G622&lt;&gt;"",0,IF(ISNUMBER(MATCH(Data!#REF!,Data_Val!$E$2:$E$12,0)),0,1)))</f>
        <v/>
      </c>
      <c r="J622" s="16" t="e">
        <f>IF(OR(Data!B622="",Data!#REF!=""),"",IF(Data!#REF!="",1,0))</f>
        <v>#REF!</v>
      </c>
      <c r="K622" s="16" t="e">
        <f>IF(OR(Data!B622="",Data!#REF!=""),"",IF(Data!#REF!="",1,0))</f>
        <v>#REF!</v>
      </c>
      <c r="L622" s="16" t="e">
        <f>IF(OR(Data!B622="",Data!#REF!=""),"",IF(ISNUMBER(Data!#REF!),IF(AND(Data!#REF!&gt;Data_Val!$G$2,Data!#REF!&lt;=Data_Val!$G$3),0,1),1))</f>
        <v>#REF!</v>
      </c>
      <c r="M622" s="9" t="e">
        <f>IF(OR(Data!B622="",Data!#REF!=""),"",IF(ISNUMBER(MATCH(Data!#REF!,Data_Val!$F$1:$F$38,0)),0,1))</f>
        <v>#REF!</v>
      </c>
      <c r="N622" s="9" t="e">
        <f>IF(OR(Data!B622="",Data!#REF!=""),"",IF(Data!#REF!="",1,0))</f>
        <v>#REF!</v>
      </c>
      <c r="O622" s="17" t="e">
        <f>IF(Data!#REF!="","",IF(Data!#REF!="",1,0))</f>
        <v>#REF!</v>
      </c>
      <c r="P622" s="17" t="e">
        <f>IF(Data!#REF!="","",IF(ISNUMBER(MATCH(Data!#REF!,Data_Val!$A$2:$A$3,0)),0,1))</f>
        <v>#REF!</v>
      </c>
      <c r="Q622" s="25" t="e">
        <f ca="1">IF(Data!#REF!="","",IF(ISNUMBER(Data!#REF!),IF(AND(Data!#REF!&gt;(TODAY()-(Data_Val!$J$3*365.25)),Data!#REF!&lt;=(TODAY()-(Data_Val!$J$2*365.25))),0,1),1))</f>
        <v>#REF!</v>
      </c>
      <c r="R622" s="17" t="e">
        <f>IF(Data!#REF!="","",IF(ISNUMBER(MATCH(Data!#REF!,Data_Val!$B$2:$B$15,0)),0,1))</f>
        <v>#REF!</v>
      </c>
      <c r="S622" s="11" t="str">
        <f>IF(Data!G622="","",IF(Data!G622=Data_Val!$C$2,IF(Data!M622="",0,1),0))</f>
        <v/>
      </c>
      <c r="T622" s="11" t="str">
        <f>IF(Data!M622="","",IF(ISNUMBER(MATCH(Data!N622,Data_Val!$A$2:$A$3,0)),0,1))</f>
        <v/>
      </c>
      <c r="U622" s="11" t="str">
        <f ca="1">IF(Data!M622="","",IF(ISNUMBER(Data!O622),IF(AND(Data!O622&gt;(TODAY()-(Data_Val!$K$3*365.25)),Data!O622&lt;=(TODAY()-(Data_Val!$K$2*365.25))),0,1),1))</f>
        <v/>
      </c>
      <c r="V622" s="12" t="str">
        <f>IF(Data!G622="","",IF(Data!G622=Data_Val!$C$2,IF(Data!P622="",0,1),0))</f>
        <v/>
      </c>
      <c r="W622" s="12" t="str">
        <f>IF(Data!P622="","",IF(ISNUMBER(MATCH(Data!Q622,Data_Val!$A$2:$A$3,0)),0,1))</f>
        <v/>
      </c>
      <c r="X622" s="26" t="str">
        <f ca="1">IF(Data!P622="","",IF(ISNUMBER(Data!R622),IF(AND(Data!R622&gt;(TODAY()-(Data_Val!$L$3*365.25)),Data!R622&lt;=(TODAY()-(Data_Val!$L$2*365.25))),0,1),1))</f>
        <v/>
      </c>
      <c r="Y622" s="13" t="str">
        <f>IF(Data!$G622="","",IF(Data!$G622=Data_Val!$C$2,IF(Data!S622="",0,1),0))</f>
        <v/>
      </c>
      <c r="Z622" s="13" t="str">
        <f>IF(Data!S622="","",IF(ISNUMBER(MATCH(Data!T622,Data_Val!$A$2:$A$3,0)),0,1))</f>
        <v/>
      </c>
      <c r="AA622" s="28" t="str">
        <f ca="1">IF(Data!S622="","",IF(ISNUMBER(Data!U622),IF(AND(Data!U622&gt;(TODAY()-(Data_Val!$L$3*365.25)),Data!U622&lt;=(TODAY()-(Data_Val!$L$2*365.25))),0,1),1))</f>
        <v/>
      </c>
      <c r="AB622" s="11"/>
      <c r="AC622" s="11" t="e">
        <f>IF(Data!#REF!="","",IF(ISNUMBER(MATCH(Data!#REF!,Data_Val!$A$2:$A$3,0)),0,1))</f>
        <v>#REF!</v>
      </c>
      <c r="AD622" s="11" t="e">
        <f ca="1">IF(Data!#REF!="","",IF(ISNUMBER(Data!#REF!),IF(AND(Data!#REF!&gt;(TODAY()-(Data_Val!$L$3*365.25)),Data!#REF!&lt;=(TODAY()-(Data_Val!$L$2*365.25))),0,1),1))</f>
        <v>#REF!</v>
      </c>
      <c r="AE622" s="11" t="e">
        <f>IF(Data!#REF!="","",IF(Data!$G622="",1,IF(ISNUMBER(MATCH(Data!#REF!,Data_Val!$D$2:$D$10,0)),0,1)))</f>
        <v>#REF!</v>
      </c>
      <c r="AF622" s="12"/>
      <c r="AG622" s="12" t="e">
        <f>IF(Data!#REF!="","",IF(ISNUMBER(MATCH(Data!#REF!,Data_Val!$A$2:$A$3,0)),0,1))</f>
        <v>#REF!</v>
      </c>
      <c r="AH622" s="26" t="e">
        <f ca="1">IF(Data!#REF!="","",IF(ISNUMBER(Data!#REF!),IF(AND(Data!#REF!&gt;(TODAY()-(Data_Val!$L$3*365.25)),Data!#REF!&lt;=(TODAY()-(Data_Val!$L$2*365.25))),0,1),1))</f>
        <v>#REF!</v>
      </c>
      <c r="AI622" s="12" t="e">
        <f>IF(Data!#REF!="","",IF(Data!$G622="",1,IF(ISNUMBER(MATCH(Data!#REF!,Data_Val!$D$2:$D$10,0)),0,1)))</f>
        <v>#REF!</v>
      </c>
      <c r="AJ622" s="17"/>
      <c r="AK622" s="17" t="e">
        <f>IF(Data!#REF!="","",IF(ISNUMBER(MATCH(Data!#REF!,Data_Val!$A$2:$A$3,0)),0,1))</f>
        <v>#REF!</v>
      </c>
      <c r="AL622" s="25" t="e">
        <f ca="1">IF(Data!#REF!="","",IF(ISNUMBER(Data!#REF!),IF(AND(Data!#REF!&gt;(TODAY()-(Data_Val!$L$3*365.25)),Data!#REF!&lt;=(TODAY()-(Data_Val!$L$2*365.25))),0,1),1))</f>
        <v>#REF!</v>
      </c>
      <c r="AM622" s="17" t="e">
        <f>IF(Data!#REF!="","",IF(Data!$G622="",1,IF(ISNUMBER(MATCH(Data!#REF!,Data_Val!$D$2:$D$10,0)),0,1)))</f>
        <v>#REF!</v>
      </c>
      <c r="AN622" s="13"/>
      <c r="AO622" s="28" t="e">
        <f ca="1">IF(Data!#REF!="","",IF(ISNUMBER(Data!#REF!),IF(AND(Data!#REF!&gt;(TODAY()-(Data_Val!$I$3*365.25)),Data!#REF!&lt;=(TODAY()-(Data_Val!$I$2*365.25))),0,1),1))</f>
        <v>#REF!</v>
      </c>
      <c r="AP622" s="13" t="e">
        <f>IF(Data!#REF!="","",IF(Data!$G622="",1,IF(ISNUMBER(MATCH(Data!#REF!,Data_Val!$D$2:$D$10,0)),0,1)))</f>
        <v>#REF!</v>
      </c>
      <c r="AQ622" s="17"/>
      <c r="AR622" s="30" t="e">
        <f ca="1">IF(Data!#REF!="","",IF(ISNUMBER(Data!#REF!),IF(AND(Data!#REF!&gt;(TODAY()-(Data_Val!$I$3*365.25)),Data!#REF!&lt;=(TODAY()-(Data_Val!$I$2*365.25))),0,1),1))</f>
        <v>#REF!</v>
      </c>
      <c r="AS622" s="31" t="e">
        <f>IF(Data!#REF!="","",IF(Data!$G622="",1,IF(ISNUMBER(MATCH(Data!#REF!,Data_Val!$D$2:$D$10,0)),0,1)))</f>
        <v>#REF!</v>
      </c>
      <c r="AT622" s="11"/>
      <c r="AU622" s="11" t="e">
        <f ca="1">IF(Data!#REF!="","",IF(ISNUMBER(Data!#REF!),IF(AND(Data!#REF!&gt;(TODAY()-(Data_Val!$I$3*365.25)),Data!#REF!&lt;=(TODAY()-(Data_Val!$I$2*365.25))),0,1),1))</f>
        <v>#REF!</v>
      </c>
      <c r="AV622" s="11" t="e">
        <f>IF(Data!#REF!="","",IF(Data!$G622="",1,IF(ISNUMBER(MATCH(Data!#REF!,Data_Val!$D$2:$D$10,0)),0,1)))</f>
        <v>#REF!</v>
      </c>
      <c r="AW622" s="12"/>
      <c r="AX622" s="26" t="e">
        <f ca="1">IF(Data!#REF!="","",IF(ISNUMBER(Data!#REF!),IF(AND(Data!#REF!&gt;(TODAY()-(Data_Val!$I$3*365.25)),Data!#REF!&lt;=(TODAY()-(Data_Val!$I$2*365.25))),0,1),1))</f>
        <v>#REF!</v>
      </c>
      <c r="AY622" s="12" t="e">
        <f>IF(Data!#REF!="","",IF(Data!$G622="",1,IF(ISNUMBER(MATCH(Data!#REF!,Data_Val!$D$2:$D$10,0)),0,1)))</f>
        <v>#REF!</v>
      </c>
      <c r="AZ622" s="11"/>
      <c r="BA622" s="19" t="e">
        <f ca="1">IF(Data!#REF!="","",IF(ISNUMBER(Data!#REF!),IF(AND(Data!#REF!&gt;(TODAY()-(Data_Val!$M$3*365.25)),Data!#REF!&lt;=(TODAY()-(Data_Val!$M$2*365.25))),0,1),1))</f>
        <v>#REF!</v>
      </c>
      <c r="BB622" s="11" t="e">
        <f>IF(Data!#REF!="","",IF(Data!$G622="",1,IF(ISNUMBER(MATCH(Data!#REF!,Data_Val!$D$2:$D$10,0)),0,1)))</f>
        <v>#REF!</v>
      </c>
      <c r="BC622" s="12"/>
      <c r="BD622" s="20" t="e">
        <f ca="1">IF(Data!#REF!="","",IF(ISNUMBER(Data!#REF!),IF(AND(Data!#REF!&gt;(TODAY()-(Data_Val!$M$3*365.25)),Data!#REF!&lt;=(TODAY()-(Data_Val!$M$2*365.25))),0,1),1))</f>
        <v>#REF!</v>
      </c>
      <c r="BE622" s="12" t="e">
        <f>IF(Data!#REF!="","",IF(Data!$G622="",1,IF(ISNUMBER(MATCH(Data!#REF!,Data_Val!$D$2:$D$10,0)),0,1)))</f>
        <v>#REF!</v>
      </c>
      <c r="BF622" s="17"/>
      <c r="BG622" s="18" t="e">
        <f ca="1">IF(Data!#REF!="","",IF(ISNUMBER(Data!#REF!),IF(AND(Data!#REF!&gt;(TODAY()-(Data_Val!$M$3*365.25)),Data!#REF!&lt;=(TODAY()-(Data_Val!$M$2*365.25))),0,1),1))</f>
        <v>#REF!</v>
      </c>
      <c r="BH622" s="29" t="e">
        <f>IF(Data!#REF!="","",IF(Data!$G622="",1,IF(ISNUMBER(MATCH(Data!#REF!,Data_Val!$D$2:$D$10,0)),0,1)))</f>
        <v>#REF!</v>
      </c>
      <c r="BI622" s="13"/>
      <c r="BJ622" s="21" t="e">
        <f ca="1">IF(Data!#REF!="","",IF(ISNUMBER(Data!#REF!),IF(AND(Data!#REF!&gt;(TODAY()-(Data_Val!$M$3*365.25)),Data!#REF!&lt;=(TODAY()-(Data_Val!$M$2*365.25))),0,1),1))</f>
        <v>#REF!</v>
      </c>
      <c r="BK622" s="13" t="e">
        <f>IF(Data!#REF!="","",IF(Data!$G622="",1,IF(ISNUMBER(MATCH(Data!#REF!,Data_Val!$D$2:$D$10,0)),0,1)))</f>
        <v>#REF!</v>
      </c>
    </row>
    <row r="623" spans="1:63" x14ac:dyDescent="0.25">
      <c r="A623" s="9" t="str">
        <f>IF(Data!B623="","",IF(COUNTIFS(Data!A$1:'Data'!A623,Data!A623)&lt;=1,0,1))</f>
        <v/>
      </c>
      <c r="B623" s="9"/>
      <c r="C623" s="23" t="str">
        <f>IF(Data!C623="","",(IF(ISNUMBER(MATCH("*@*.?*",Data!C623,0)),0,1)+IF(COUNTIFS(Data!C$1:'Data'!C623,Data!C623)&gt;1,1,0)))</f>
        <v/>
      </c>
      <c r="D623" s="9" t="str">
        <f>IF(Data!B623="","",IF(ISNUMBER(Data!D623),IF(AND(Data!D623&gt;999999999,Data!D623&lt;=9999999999),IF(COUNTIFS(Data!D$1:'Data'!D623,Data!D623)&lt;=1,0,1),1),1))</f>
        <v/>
      </c>
      <c r="E623" s="9" t="str">
        <f>IF(Data!B623="","",IF(ISNUMBER(MATCH(Data!E623,Data_Val!$A$2:$A$3,0)),0,1))</f>
        <v/>
      </c>
      <c r="F623" s="9" t="str">
        <f ca="1">IF(Data!B623="","",IF(ISNUMBER(Data!F623),IF(AND(Data!F623&gt;(TODAY()-(Data_Val!$H$3*365.25)),Data!F623&lt;=(TODAY()-(Data_Val!$H$2*365.25))),0,1),1))</f>
        <v/>
      </c>
      <c r="G623" s="15" t="str">
        <f>IF(Data!B623="","",IF(AND(Data!G623="",Data!H623&lt;&gt;""),1,IF(Data!#REF!&lt;&gt;"",0,IF(ISNUMBER(MATCH(Data!G623,Data_Val!$C$2:$C$5,0)),0,1))))</f>
        <v/>
      </c>
      <c r="H623" s="15" t="str">
        <f>IF(Data!B623="","",IF(AND(Data!G623&lt;&gt;"",Data!H623=""),1,IF(Data!#REF!&lt;&gt;"",0,IF(Data!G623="",1,IF(ISNUMBER(MATCH(Data!H623,Data_Val!$D$2:$D$35,0)),0,1)))))</f>
        <v/>
      </c>
      <c r="I623" s="15" t="str">
        <f>IF(Data!B623="","",IF(Data!G623&lt;&gt;"",0,IF(ISNUMBER(MATCH(Data!#REF!,Data_Val!$E$2:$E$12,0)),0,1)))</f>
        <v/>
      </c>
      <c r="J623" s="16" t="e">
        <f>IF(OR(Data!B623="",Data!#REF!=""),"",IF(Data!#REF!="",1,0))</f>
        <v>#REF!</v>
      </c>
      <c r="K623" s="16" t="e">
        <f>IF(OR(Data!B623="",Data!#REF!=""),"",IF(Data!#REF!="",1,0))</f>
        <v>#REF!</v>
      </c>
      <c r="L623" s="16" t="e">
        <f>IF(OR(Data!B623="",Data!#REF!=""),"",IF(ISNUMBER(Data!#REF!),IF(AND(Data!#REF!&gt;Data_Val!$G$2,Data!#REF!&lt;=Data_Val!$G$3),0,1),1))</f>
        <v>#REF!</v>
      </c>
      <c r="M623" s="9" t="e">
        <f>IF(OR(Data!B623="",Data!#REF!=""),"",IF(ISNUMBER(MATCH(Data!#REF!,Data_Val!$F$1:$F$38,0)),0,1))</f>
        <v>#REF!</v>
      </c>
      <c r="N623" s="9" t="e">
        <f>IF(OR(Data!B623="",Data!#REF!=""),"",IF(Data!#REF!="",1,0))</f>
        <v>#REF!</v>
      </c>
      <c r="O623" s="17" t="e">
        <f>IF(Data!#REF!="","",IF(Data!#REF!="",1,0))</f>
        <v>#REF!</v>
      </c>
      <c r="P623" s="17" t="e">
        <f>IF(Data!#REF!="","",IF(ISNUMBER(MATCH(Data!#REF!,Data_Val!$A$2:$A$3,0)),0,1))</f>
        <v>#REF!</v>
      </c>
      <c r="Q623" s="25" t="e">
        <f ca="1">IF(Data!#REF!="","",IF(ISNUMBER(Data!#REF!),IF(AND(Data!#REF!&gt;(TODAY()-(Data_Val!$J$3*365.25)),Data!#REF!&lt;=(TODAY()-(Data_Val!$J$2*365.25))),0,1),1))</f>
        <v>#REF!</v>
      </c>
      <c r="R623" s="17" t="e">
        <f>IF(Data!#REF!="","",IF(ISNUMBER(MATCH(Data!#REF!,Data_Val!$B$2:$B$15,0)),0,1))</f>
        <v>#REF!</v>
      </c>
      <c r="S623" s="11" t="str">
        <f>IF(Data!G623="","",IF(Data!G623=Data_Val!$C$2,IF(Data!M623="",0,1),0))</f>
        <v/>
      </c>
      <c r="T623" s="11" t="str">
        <f>IF(Data!M623="","",IF(ISNUMBER(MATCH(Data!N623,Data_Val!$A$2:$A$3,0)),0,1))</f>
        <v/>
      </c>
      <c r="U623" s="11" t="str">
        <f ca="1">IF(Data!M623="","",IF(ISNUMBER(Data!O623),IF(AND(Data!O623&gt;(TODAY()-(Data_Val!$K$3*365.25)),Data!O623&lt;=(TODAY()-(Data_Val!$K$2*365.25))),0,1),1))</f>
        <v/>
      </c>
      <c r="V623" s="12" t="str">
        <f>IF(Data!G623="","",IF(Data!G623=Data_Val!$C$2,IF(Data!P623="",0,1),0))</f>
        <v/>
      </c>
      <c r="W623" s="12" t="str">
        <f>IF(Data!P623="","",IF(ISNUMBER(MATCH(Data!Q623,Data_Val!$A$2:$A$3,0)),0,1))</f>
        <v/>
      </c>
      <c r="X623" s="26" t="str">
        <f ca="1">IF(Data!P623="","",IF(ISNUMBER(Data!R623),IF(AND(Data!R623&gt;(TODAY()-(Data_Val!$L$3*365.25)),Data!R623&lt;=(TODAY()-(Data_Val!$L$2*365.25))),0,1),1))</f>
        <v/>
      </c>
      <c r="Y623" s="13" t="str">
        <f>IF(Data!$G623="","",IF(Data!$G623=Data_Val!$C$2,IF(Data!S623="",0,1),0))</f>
        <v/>
      </c>
      <c r="Z623" s="13" t="str">
        <f>IF(Data!S623="","",IF(ISNUMBER(MATCH(Data!T623,Data_Val!$A$2:$A$3,0)),0,1))</f>
        <v/>
      </c>
      <c r="AA623" s="28" t="str">
        <f ca="1">IF(Data!S623="","",IF(ISNUMBER(Data!U623),IF(AND(Data!U623&gt;(TODAY()-(Data_Val!$L$3*365.25)),Data!U623&lt;=(TODAY()-(Data_Val!$L$2*365.25))),0,1),1))</f>
        <v/>
      </c>
      <c r="AB623" s="11"/>
      <c r="AC623" s="11" t="e">
        <f>IF(Data!#REF!="","",IF(ISNUMBER(MATCH(Data!#REF!,Data_Val!$A$2:$A$3,0)),0,1))</f>
        <v>#REF!</v>
      </c>
      <c r="AD623" s="11" t="e">
        <f ca="1">IF(Data!#REF!="","",IF(ISNUMBER(Data!#REF!),IF(AND(Data!#REF!&gt;(TODAY()-(Data_Val!$L$3*365.25)),Data!#REF!&lt;=(TODAY()-(Data_Val!$L$2*365.25))),0,1),1))</f>
        <v>#REF!</v>
      </c>
      <c r="AE623" s="11" t="e">
        <f>IF(Data!#REF!="","",IF(Data!$G623="",1,IF(ISNUMBER(MATCH(Data!#REF!,Data_Val!$D$2:$D$10,0)),0,1)))</f>
        <v>#REF!</v>
      </c>
      <c r="AF623" s="12"/>
      <c r="AG623" s="12" t="e">
        <f>IF(Data!#REF!="","",IF(ISNUMBER(MATCH(Data!#REF!,Data_Val!$A$2:$A$3,0)),0,1))</f>
        <v>#REF!</v>
      </c>
      <c r="AH623" s="26" t="e">
        <f ca="1">IF(Data!#REF!="","",IF(ISNUMBER(Data!#REF!),IF(AND(Data!#REF!&gt;(TODAY()-(Data_Val!$L$3*365.25)),Data!#REF!&lt;=(TODAY()-(Data_Val!$L$2*365.25))),0,1),1))</f>
        <v>#REF!</v>
      </c>
      <c r="AI623" s="12" t="e">
        <f>IF(Data!#REF!="","",IF(Data!$G623="",1,IF(ISNUMBER(MATCH(Data!#REF!,Data_Val!$D$2:$D$10,0)),0,1)))</f>
        <v>#REF!</v>
      </c>
      <c r="AJ623" s="17"/>
      <c r="AK623" s="17" t="e">
        <f>IF(Data!#REF!="","",IF(ISNUMBER(MATCH(Data!#REF!,Data_Val!$A$2:$A$3,0)),0,1))</f>
        <v>#REF!</v>
      </c>
      <c r="AL623" s="25" t="e">
        <f ca="1">IF(Data!#REF!="","",IF(ISNUMBER(Data!#REF!),IF(AND(Data!#REF!&gt;(TODAY()-(Data_Val!$L$3*365.25)),Data!#REF!&lt;=(TODAY()-(Data_Val!$L$2*365.25))),0,1),1))</f>
        <v>#REF!</v>
      </c>
      <c r="AM623" s="17" t="e">
        <f>IF(Data!#REF!="","",IF(Data!$G623="",1,IF(ISNUMBER(MATCH(Data!#REF!,Data_Val!$D$2:$D$10,0)),0,1)))</f>
        <v>#REF!</v>
      </c>
      <c r="AN623" s="13"/>
      <c r="AO623" s="28" t="e">
        <f ca="1">IF(Data!#REF!="","",IF(ISNUMBER(Data!#REF!),IF(AND(Data!#REF!&gt;(TODAY()-(Data_Val!$I$3*365.25)),Data!#REF!&lt;=(TODAY()-(Data_Val!$I$2*365.25))),0,1),1))</f>
        <v>#REF!</v>
      </c>
      <c r="AP623" s="13" t="e">
        <f>IF(Data!#REF!="","",IF(Data!$G623="",1,IF(ISNUMBER(MATCH(Data!#REF!,Data_Val!$D$2:$D$10,0)),0,1)))</f>
        <v>#REF!</v>
      </c>
      <c r="AQ623" s="17"/>
      <c r="AR623" s="30" t="e">
        <f ca="1">IF(Data!#REF!="","",IF(ISNUMBER(Data!#REF!),IF(AND(Data!#REF!&gt;(TODAY()-(Data_Val!$I$3*365.25)),Data!#REF!&lt;=(TODAY()-(Data_Val!$I$2*365.25))),0,1),1))</f>
        <v>#REF!</v>
      </c>
      <c r="AS623" s="31" t="e">
        <f>IF(Data!#REF!="","",IF(Data!$G623="",1,IF(ISNUMBER(MATCH(Data!#REF!,Data_Val!$D$2:$D$10,0)),0,1)))</f>
        <v>#REF!</v>
      </c>
      <c r="AT623" s="11"/>
      <c r="AU623" s="11" t="e">
        <f ca="1">IF(Data!#REF!="","",IF(ISNUMBER(Data!#REF!),IF(AND(Data!#REF!&gt;(TODAY()-(Data_Val!$I$3*365.25)),Data!#REF!&lt;=(TODAY()-(Data_Val!$I$2*365.25))),0,1),1))</f>
        <v>#REF!</v>
      </c>
      <c r="AV623" s="11" t="e">
        <f>IF(Data!#REF!="","",IF(Data!$G623="",1,IF(ISNUMBER(MATCH(Data!#REF!,Data_Val!$D$2:$D$10,0)),0,1)))</f>
        <v>#REF!</v>
      </c>
      <c r="AW623" s="12"/>
      <c r="AX623" s="26" t="e">
        <f ca="1">IF(Data!#REF!="","",IF(ISNUMBER(Data!#REF!),IF(AND(Data!#REF!&gt;(TODAY()-(Data_Val!$I$3*365.25)),Data!#REF!&lt;=(TODAY()-(Data_Val!$I$2*365.25))),0,1),1))</f>
        <v>#REF!</v>
      </c>
      <c r="AY623" s="12" t="e">
        <f>IF(Data!#REF!="","",IF(Data!$G623="",1,IF(ISNUMBER(MATCH(Data!#REF!,Data_Val!$D$2:$D$10,0)),0,1)))</f>
        <v>#REF!</v>
      </c>
      <c r="AZ623" s="11"/>
      <c r="BA623" s="19" t="e">
        <f ca="1">IF(Data!#REF!="","",IF(ISNUMBER(Data!#REF!),IF(AND(Data!#REF!&gt;(TODAY()-(Data_Val!$M$3*365.25)),Data!#REF!&lt;=(TODAY()-(Data_Val!$M$2*365.25))),0,1),1))</f>
        <v>#REF!</v>
      </c>
      <c r="BB623" s="11" t="e">
        <f>IF(Data!#REF!="","",IF(Data!$G623="",1,IF(ISNUMBER(MATCH(Data!#REF!,Data_Val!$D$2:$D$10,0)),0,1)))</f>
        <v>#REF!</v>
      </c>
      <c r="BC623" s="12"/>
      <c r="BD623" s="20" t="e">
        <f ca="1">IF(Data!#REF!="","",IF(ISNUMBER(Data!#REF!),IF(AND(Data!#REF!&gt;(TODAY()-(Data_Val!$M$3*365.25)),Data!#REF!&lt;=(TODAY()-(Data_Val!$M$2*365.25))),0,1),1))</f>
        <v>#REF!</v>
      </c>
      <c r="BE623" s="12" t="e">
        <f>IF(Data!#REF!="","",IF(Data!$G623="",1,IF(ISNUMBER(MATCH(Data!#REF!,Data_Val!$D$2:$D$10,0)),0,1)))</f>
        <v>#REF!</v>
      </c>
      <c r="BF623" s="17"/>
      <c r="BG623" s="18" t="e">
        <f ca="1">IF(Data!#REF!="","",IF(ISNUMBER(Data!#REF!),IF(AND(Data!#REF!&gt;(TODAY()-(Data_Val!$M$3*365.25)),Data!#REF!&lt;=(TODAY()-(Data_Val!$M$2*365.25))),0,1),1))</f>
        <v>#REF!</v>
      </c>
      <c r="BH623" s="29" t="e">
        <f>IF(Data!#REF!="","",IF(Data!$G623="",1,IF(ISNUMBER(MATCH(Data!#REF!,Data_Val!$D$2:$D$10,0)),0,1)))</f>
        <v>#REF!</v>
      </c>
      <c r="BI623" s="13"/>
      <c r="BJ623" s="21" t="e">
        <f ca="1">IF(Data!#REF!="","",IF(ISNUMBER(Data!#REF!),IF(AND(Data!#REF!&gt;(TODAY()-(Data_Val!$M$3*365.25)),Data!#REF!&lt;=(TODAY()-(Data_Val!$M$2*365.25))),0,1),1))</f>
        <v>#REF!</v>
      </c>
      <c r="BK623" s="13" t="e">
        <f>IF(Data!#REF!="","",IF(Data!$G623="",1,IF(ISNUMBER(MATCH(Data!#REF!,Data_Val!$D$2:$D$10,0)),0,1)))</f>
        <v>#REF!</v>
      </c>
    </row>
    <row r="624" spans="1:63" x14ac:dyDescent="0.25">
      <c r="A624" s="9" t="str">
        <f>IF(Data!B624="","",IF(COUNTIFS(Data!A$1:'Data'!A624,Data!A624)&lt;=1,0,1))</f>
        <v/>
      </c>
      <c r="B624" s="9"/>
      <c r="C624" s="23" t="str">
        <f>IF(Data!C624="","",(IF(ISNUMBER(MATCH("*@*.?*",Data!C624,0)),0,1)+IF(COUNTIFS(Data!C$1:'Data'!C624,Data!C624)&gt;1,1,0)))</f>
        <v/>
      </c>
      <c r="D624" s="9" t="str">
        <f>IF(Data!B624="","",IF(ISNUMBER(Data!D624),IF(AND(Data!D624&gt;999999999,Data!D624&lt;=9999999999),IF(COUNTIFS(Data!D$1:'Data'!D624,Data!D624)&lt;=1,0,1),1),1))</f>
        <v/>
      </c>
      <c r="E624" s="9" t="str">
        <f>IF(Data!B624="","",IF(ISNUMBER(MATCH(Data!E624,Data_Val!$A$2:$A$3,0)),0,1))</f>
        <v/>
      </c>
      <c r="F624" s="9" t="str">
        <f ca="1">IF(Data!B624="","",IF(ISNUMBER(Data!F624),IF(AND(Data!F624&gt;(TODAY()-(Data_Val!$H$3*365.25)),Data!F624&lt;=(TODAY()-(Data_Val!$H$2*365.25))),0,1),1))</f>
        <v/>
      </c>
      <c r="G624" s="15" t="str">
        <f>IF(Data!B624="","",IF(AND(Data!G624="",Data!H624&lt;&gt;""),1,IF(Data!#REF!&lt;&gt;"",0,IF(ISNUMBER(MATCH(Data!G624,Data_Val!$C$2:$C$5,0)),0,1))))</f>
        <v/>
      </c>
      <c r="H624" s="15" t="str">
        <f>IF(Data!B624="","",IF(AND(Data!G624&lt;&gt;"",Data!H624=""),1,IF(Data!#REF!&lt;&gt;"",0,IF(Data!G624="",1,IF(ISNUMBER(MATCH(Data!H624,Data_Val!$D$2:$D$35,0)),0,1)))))</f>
        <v/>
      </c>
      <c r="I624" s="15" t="str">
        <f>IF(Data!B624="","",IF(Data!G624&lt;&gt;"",0,IF(ISNUMBER(MATCH(Data!#REF!,Data_Val!$E$2:$E$12,0)),0,1)))</f>
        <v/>
      </c>
      <c r="J624" s="16" t="e">
        <f>IF(OR(Data!B624="",Data!#REF!=""),"",IF(Data!#REF!="",1,0))</f>
        <v>#REF!</v>
      </c>
      <c r="K624" s="16" t="e">
        <f>IF(OR(Data!B624="",Data!#REF!=""),"",IF(Data!#REF!="",1,0))</f>
        <v>#REF!</v>
      </c>
      <c r="L624" s="16" t="e">
        <f>IF(OR(Data!B624="",Data!#REF!=""),"",IF(ISNUMBER(Data!#REF!),IF(AND(Data!#REF!&gt;Data_Val!$G$2,Data!#REF!&lt;=Data_Val!$G$3),0,1),1))</f>
        <v>#REF!</v>
      </c>
      <c r="M624" s="9" t="e">
        <f>IF(OR(Data!B624="",Data!#REF!=""),"",IF(ISNUMBER(MATCH(Data!#REF!,Data_Val!$F$1:$F$38,0)),0,1))</f>
        <v>#REF!</v>
      </c>
      <c r="N624" s="9" t="e">
        <f>IF(OR(Data!B624="",Data!#REF!=""),"",IF(Data!#REF!="",1,0))</f>
        <v>#REF!</v>
      </c>
      <c r="O624" s="17" t="e">
        <f>IF(Data!#REF!="","",IF(Data!#REF!="",1,0))</f>
        <v>#REF!</v>
      </c>
      <c r="P624" s="17" t="e">
        <f>IF(Data!#REF!="","",IF(ISNUMBER(MATCH(Data!#REF!,Data_Val!$A$2:$A$3,0)),0,1))</f>
        <v>#REF!</v>
      </c>
      <c r="Q624" s="25" t="e">
        <f ca="1">IF(Data!#REF!="","",IF(ISNUMBER(Data!#REF!),IF(AND(Data!#REF!&gt;(TODAY()-(Data_Val!$J$3*365.25)),Data!#REF!&lt;=(TODAY()-(Data_Val!$J$2*365.25))),0,1),1))</f>
        <v>#REF!</v>
      </c>
      <c r="R624" s="17" t="e">
        <f>IF(Data!#REF!="","",IF(ISNUMBER(MATCH(Data!#REF!,Data_Val!$B$2:$B$15,0)),0,1))</f>
        <v>#REF!</v>
      </c>
      <c r="S624" s="11" t="str">
        <f>IF(Data!G624="","",IF(Data!G624=Data_Val!$C$2,IF(Data!M624="",0,1),0))</f>
        <v/>
      </c>
      <c r="T624" s="11" t="str">
        <f>IF(Data!M624="","",IF(ISNUMBER(MATCH(Data!N624,Data_Val!$A$2:$A$3,0)),0,1))</f>
        <v/>
      </c>
      <c r="U624" s="11" t="str">
        <f ca="1">IF(Data!M624="","",IF(ISNUMBER(Data!O624),IF(AND(Data!O624&gt;(TODAY()-(Data_Val!$K$3*365.25)),Data!O624&lt;=(TODAY()-(Data_Val!$K$2*365.25))),0,1),1))</f>
        <v/>
      </c>
      <c r="V624" s="12" t="str">
        <f>IF(Data!G624="","",IF(Data!G624=Data_Val!$C$2,IF(Data!P624="",0,1),0))</f>
        <v/>
      </c>
      <c r="W624" s="12" t="str">
        <f>IF(Data!P624="","",IF(ISNUMBER(MATCH(Data!Q624,Data_Val!$A$2:$A$3,0)),0,1))</f>
        <v/>
      </c>
      <c r="X624" s="26" t="str">
        <f ca="1">IF(Data!P624="","",IF(ISNUMBER(Data!R624),IF(AND(Data!R624&gt;(TODAY()-(Data_Val!$L$3*365.25)),Data!R624&lt;=(TODAY()-(Data_Val!$L$2*365.25))),0,1),1))</f>
        <v/>
      </c>
      <c r="Y624" s="13" t="str">
        <f>IF(Data!$G624="","",IF(Data!$G624=Data_Val!$C$2,IF(Data!S624="",0,1),0))</f>
        <v/>
      </c>
      <c r="Z624" s="13" t="str">
        <f>IF(Data!S624="","",IF(ISNUMBER(MATCH(Data!T624,Data_Val!$A$2:$A$3,0)),0,1))</f>
        <v/>
      </c>
      <c r="AA624" s="28" t="str">
        <f ca="1">IF(Data!S624="","",IF(ISNUMBER(Data!U624),IF(AND(Data!U624&gt;(TODAY()-(Data_Val!$L$3*365.25)),Data!U624&lt;=(TODAY()-(Data_Val!$L$2*365.25))),0,1),1))</f>
        <v/>
      </c>
      <c r="AB624" s="11"/>
      <c r="AC624" s="11" t="e">
        <f>IF(Data!#REF!="","",IF(ISNUMBER(MATCH(Data!#REF!,Data_Val!$A$2:$A$3,0)),0,1))</f>
        <v>#REF!</v>
      </c>
      <c r="AD624" s="11" t="e">
        <f ca="1">IF(Data!#REF!="","",IF(ISNUMBER(Data!#REF!),IF(AND(Data!#REF!&gt;(TODAY()-(Data_Val!$L$3*365.25)),Data!#REF!&lt;=(TODAY()-(Data_Val!$L$2*365.25))),0,1),1))</f>
        <v>#REF!</v>
      </c>
      <c r="AE624" s="11" t="e">
        <f>IF(Data!#REF!="","",IF(Data!$G624="",1,IF(ISNUMBER(MATCH(Data!#REF!,Data_Val!$D$2:$D$10,0)),0,1)))</f>
        <v>#REF!</v>
      </c>
      <c r="AF624" s="12"/>
      <c r="AG624" s="12" t="e">
        <f>IF(Data!#REF!="","",IF(ISNUMBER(MATCH(Data!#REF!,Data_Val!$A$2:$A$3,0)),0,1))</f>
        <v>#REF!</v>
      </c>
      <c r="AH624" s="26" t="e">
        <f ca="1">IF(Data!#REF!="","",IF(ISNUMBER(Data!#REF!),IF(AND(Data!#REF!&gt;(TODAY()-(Data_Val!$L$3*365.25)),Data!#REF!&lt;=(TODAY()-(Data_Val!$L$2*365.25))),0,1),1))</f>
        <v>#REF!</v>
      </c>
      <c r="AI624" s="12" t="e">
        <f>IF(Data!#REF!="","",IF(Data!$G624="",1,IF(ISNUMBER(MATCH(Data!#REF!,Data_Val!$D$2:$D$10,0)),0,1)))</f>
        <v>#REF!</v>
      </c>
      <c r="AJ624" s="17"/>
      <c r="AK624" s="17" t="e">
        <f>IF(Data!#REF!="","",IF(ISNUMBER(MATCH(Data!#REF!,Data_Val!$A$2:$A$3,0)),0,1))</f>
        <v>#REF!</v>
      </c>
      <c r="AL624" s="25" t="e">
        <f ca="1">IF(Data!#REF!="","",IF(ISNUMBER(Data!#REF!),IF(AND(Data!#REF!&gt;(TODAY()-(Data_Val!$L$3*365.25)),Data!#REF!&lt;=(TODAY()-(Data_Val!$L$2*365.25))),0,1),1))</f>
        <v>#REF!</v>
      </c>
      <c r="AM624" s="17" t="e">
        <f>IF(Data!#REF!="","",IF(Data!$G624="",1,IF(ISNUMBER(MATCH(Data!#REF!,Data_Val!$D$2:$D$10,0)),0,1)))</f>
        <v>#REF!</v>
      </c>
      <c r="AN624" s="13"/>
      <c r="AO624" s="28" t="e">
        <f ca="1">IF(Data!#REF!="","",IF(ISNUMBER(Data!#REF!),IF(AND(Data!#REF!&gt;(TODAY()-(Data_Val!$I$3*365.25)),Data!#REF!&lt;=(TODAY()-(Data_Val!$I$2*365.25))),0,1),1))</f>
        <v>#REF!</v>
      </c>
      <c r="AP624" s="13" t="e">
        <f>IF(Data!#REF!="","",IF(Data!$G624="",1,IF(ISNUMBER(MATCH(Data!#REF!,Data_Val!$D$2:$D$10,0)),0,1)))</f>
        <v>#REF!</v>
      </c>
      <c r="AQ624" s="17"/>
      <c r="AR624" s="30" t="e">
        <f ca="1">IF(Data!#REF!="","",IF(ISNUMBER(Data!#REF!),IF(AND(Data!#REF!&gt;(TODAY()-(Data_Val!$I$3*365.25)),Data!#REF!&lt;=(TODAY()-(Data_Val!$I$2*365.25))),0,1),1))</f>
        <v>#REF!</v>
      </c>
      <c r="AS624" s="31" t="e">
        <f>IF(Data!#REF!="","",IF(Data!$G624="",1,IF(ISNUMBER(MATCH(Data!#REF!,Data_Val!$D$2:$D$10,0)),0,1)))</f>
        <v>#REF!</v>
      </c>
      <c r="AT624" s="11"/>
      <c r="AU624" s="11" t="e">
        <f ca="1">IF(Data!#REF!="","",IF(ISNUMBER(Data!#REF!),IF(AND(Data!#REF!&gt;(TODAY()-(Data_Val!$I$3*365.25)),Data!#REF!&lt;=(TODAY()-(Data_Val!$I$2*365.25))),0,1),1))</f>
        <v>#REF!</v>
      </c>
      <c r="AV624" s="11" t="e">
        <f>IF(Data!#REF!="","",IF(Data!$G624="",1,IF(ISNUMBER(MATCH(Data!#REF!,Data_Val!$D$2:$D$10,0)),0,1)))</f>
        <v>#REF!</v>
      </c>
      <c r="AW624" s="12"/>
      <c r="AX624" s="26" t="e">
        <f ca="1">IF(Data!#REF!="","",IF(ISNUMBER(Data!#REF!),IF(AND(Data!#REF!&gt;(TODAY()-(Data_Val!$I$3*365.25)),Data!#REF!&lt;=(TODAY()-(Data_Val!$I$2*365.25))),0,1),1))</f>
        <v>#REF!</v>
      </c>
      <c r="AY624" s="12" t="e">
        <f>IF(Data!#REF!="","",IF(Data!$G624="",1,IF(ISNUMBER(MATCH(Data!#REF!,Data_Val!$D$2:$D$10,0)),0,1)))</f>
        <v>#REF!</v>
      </c>
      <c r="AZ624" s="11"/>
      <c r="BA624" s="19" t="e">
        <f ca="1">IF(Data!#REF!="","",IF(ISNUMBER(Data!#REF!),IF(AND(Data!#REF!&gt;(TODAY()-(Data_Val!$M$3*365.25)),Data!#REF!&lt;=(TODAY()-(Data_Val!$M$2*365.25))),0,1),1))</f>
        <v>#REF!</v>
      </c>
      <c r="BB624" s="11" t="e">
        <f>IF(Data!#REF!="","",IF(Data!$G624="",1,IF(ISNUMBER(MATCH(Data!#REF!,Data_Val!$D$2:$D$10,0)),0,1)))</f>
        <v>#REF!</v>
      </c>
      <c r="BC624" s="12"/>
      <c r="BD624" s="20" t="e">
        <f ca="1">IF(Data!#REF!="","",IF(ISNUMBER(Data!#REF!),IF(AND(Data!#REF!&gt;(TODAY()-(Data_Val!$M$3*365.25)),Data!#REF!&lt;=(TODAY()-(Data_Val!$M$2*365.25))),0,1),1))</f>
        <v>#REF!</v>
      </c>
      <c r="BE624" s="12" t="e">
        <f>IF(Data!#REF!="","",IF(Data!$G624="",1,IF(ISNUMBER(MATCH(Data!#REF!,Data_Val!$D$2:$D$10,0)),0,1)))</f>
        <v>#REF!</v>
      </c>
      <c r="BF624" s="17"/>
      <c r="BG624" s="18" t="e">
        <f ca="1">IF(Data!#REF!="","",IF(ISNUMBER(Data!#REF!),IF(AND(Data!#REF!&gt;(TODAY()-(Data_Val!$M$3*365.25)),Data!#REF!&lt;=(TODAY()-(Data_Val!$M$2*365.25))),0,1),1))</f>
        <v>#REF!</v>
      </c>
      <c r="BH624" s="29" t="e">
        <f>IF(Data!#REF!="","",IF(Data!$G624="",1,IF(ISNUMBER(MATCH(Data!#REF!,Data_Val!$D$2:$D$10,0)),0,1)))</f>
        <v>#REF!</v>
      </c>
      <c r="BI624" s="13"/>
      <c r="BJ624" s="21" t="e">
        <f ca="1">IF(Data!#REF!="","",IF(ISNUMBER(Data!#REF!),IF(AND(Data!#REF!&gt;(TODAY()-(Data_Val!$M$3*365.25)),Data!#REF!&lt;=(TODAY()-(Data_Val!$M$2*365.25))),0,1),1))</f>
        <v>#REF!</v>
      </c>
      <c r="BK624" s="13" t="e">
        <f>IF(Data!#REF!="","",IF(Data!$G624="",1,IF(ISNUMBER(MATCH(Data!#REF!,Data_Val!$D$2:$D$10,0)),0,1)))</f>
        <v>#REF!</v>
      </c>
    </row>
    <row r="625" spans="1:63" x14ac:dyDescent="0.25">
      <c r="A625" s="9" t="str">
        <f>IF(Data!B625="","",IF(COUNTIFS(Data!A$1:'Data'!A625,Data!A625)&lt;=1,0,1))</f>
        <v/>
      </c>
      <c r="B625" s="9"/>
      <c r="C625" s="23" t="str">
        <f>IF(Data!C625="","",(IF(ISNUMBER(MATCH("*@*.?*",Data!C625,0)),0,1)+IF(COUNTIFS(Data!C$1:'Data'!C625,Data!C625)&gt;1,1,0)))</f>
        <v/>
      </c>
      <c r="D625" s="9" t="str">
        <f>IF(Data!B625="","",IF(ISNUMBER(Data!D625),IF(AND(Data!D625&gt;999999999,Data!D625&lt;=9999999999),IF(COUNTIFS(Data!D$1:'Data'!D625,Data!D625)&lt;=1,0,1),1),1))</f>
        <v/>
      </c>
      <c r="E625" s="9" t="str">
        <f>IF(Data!B625="","",IF(ISNUMBER(MATCH(Data!E625,Data_Val!$A$2:$A$3,0)),0,1))</f>
        <v/>
      </c>
      <c r="F625" s="9" t="str">
        <f ca="1">IF(Data!B625="","",IF(ISNUMBER(Data!F625),IF(AND(Data!F625&gt;(TODAY()-(Data_Val!$H$3*365.25)),Data!F625&lt;=(TODAY()-(Data_Val!$H$2*365.25))),0,1),1))</f>
        <v/>
      </c>
      <c r="G625" s="15" t="str">
        <f>IF(Data!B625="","",IF(AND(Data!G625="",Data!H625&lt;&gt;""),1,IF(Data!#REF!&lt;&gt;"",0,IF(ISNUMBER(MATCH(Data!G625,Data_Val!$C$2:$C$5,0)),0,1))))</f>
        <v/>
      </c>
      <c r="H625" s="15" t="str">
        <f>IF(Data!B625="","",IF(AND(Data!G625&lt;&gt;"",Data!H625=""),1,IF(Data!#REF!&lt;&gt;"",0,IF(Data!G625="",1,IF(ISNUMBER(MATCH(Data!H625,Data_Val!$D$2:$D$35,0)),0,1)))))</f>
        <v/>
      </c>
      <c r="I625" s="15" t="str">
        <f>IF(Data!B625="","",IF(Data!G625&lt;&gt;"",0,IF(ISNUMBER(MATCH(Data!#REF!,Data_Val!$E$2:$E$12,0)),0,1)))</f>
        <v/>
      </c>
      <c r="J625" s="16" t="e">
        <f>IF(OR(Data!B625="",Data!#REF!=""),"",IF(Data!#REF!="",1,0))</f>
        <v>#REF!</v>
      </c>
      <c r="K625" s="16" t="e">
        <f>IF(OR(Data!B625="",Data!#REF!=""),"",IF(Data!#REF!="",1,0))</f>
        <v>#REF!</v>
      </c>
      <c r="L625" s="16" t="e">
        <f>IF(OR(Data!B625="",Data!#REF!=""),"",IF(ISNUMBER(Data!#REF!),IF(AND(Data!#REF!&gt;Data_Val!$G$2,Data!#REF!&lt;=Data_Val!$G$3),0,1),1))</f>
        <v>#REF!</v>
      </c>
      <c r="M625" s="9" t="e">
        <f>IF(OR(Data!B625="",Data!#REF!=""),"",IF(ISNUMBER(MATCH(Data!#REF!,Data_Val!$F$1:$F$38,0)),0,1))</f>
        <v>#REF!</v>
      </c>
      <c r="N625" s="9" t="e">
        <f>IF(OR(Data!B625="",Data!#REF!=""),"",IF(Data!#REF!="",1,0))</f>
        <v>#REF!</v>
      </c>
      <c r="O625" s="17" t="e">
        <f>IF(Data!#REF!="","",IF(Data!#REF!="",1,0))</f>
        <v>#REF!</v>
      </c>
      <c r="P625" s="17" t="e">
        <f>IF(Data!#REF!="","",IF(ISNUMBER(MATCH(Data!#REF!,Data_Val!$A$2:$A$3,0)),0,1))</f>
        <v>#REF!</v>
      </c>
      <c r="Q625" s="25" t="e">
        <f ca="1">IF(Data!#REF!="","",IF(ISNUMBER(Data!#REF!),IF(AND(Data!#REF!&gt;(TODAY()-(Data_Val!$J$3*365.25)),Data!#REF!&lt;=(TODAY()-(Data_Val!$J$2*365.25))),0,1),1))</f>
        <v>#REF!</v>
      </c>
      <c r="R625" s="17" t="e">
        <f>IF(Data!#REF!="","",IF(ISNUMBER(MATCH(Data!#REF!,Data_Val!$B$2:$B$15,0)),0,1))</f>
        <v>#REF!</v>
      </c>
      <c r="S625" s="11" t="str">
        <f>IF(Data!G625="","",IF(Data!G625=Data_Val!$C$2,IF(Data!M625="",0,1),0))</f>
        <v/>
      </c>
      <c r="T625" s="11" t="str">
        <f>IF(Data!M625="","",IF(ISNUMBER(MATCH(Data!N625,Data_Val!$A$2:$A$3,0)),0,1))</f>
        <v/>
      </c>
      <c r="U625" s="11" t="str">
        <f ca="1">IF(Data!M625="","",IF(ISNUMBER(Data!O625),IF(AND(Data!O625&gt;(TODAY()-(Data_Val!$K$3*365.25)),Data!O625&lt;=(TODAY()-(Data_Val!$K$2*365.25))),0,1),1))</f>
        <v/>
      </c>
      <c r="V625" s="12" t="str">
        <f>IF(Data!G625="","",IF(Data!G625=Data_Val!$C$2,IF(Data!P625="",0,1),0))</f>
        <v/>
      </c>
      <c r="W625" s="12" t="str">
        <f>IF(Data!P625="","",IF(ISNUMBER(MATCH(Data!Q625,Data_Val!$A$2:$A$3,0)),0,1))</f>
        <v/>
      </c>
      <c r="X625" s="26" t="str">
        <f ca="1">IF(Data!P625="","",IF(ISNUMBER(Data!R625),IF(AND(Data!R625&gt;(TODAY()-(Data_Val!$L$3*365.25)),Data!R625&lt;=(TODAY()-(Data_Val!$L$2*365.25))),0,1),1))</f>
        <v/>
      </c>
      <c r="Y625" s="13" t="str">
        <f>IF(Data!$G625="","",IF(Data!$G625=Data_Val!$C$2,IF(Data!S625="",0,1),0))</f>
        <v/>
      </c>
      <c r="Z625" s="13" t="str">
        <f>IF(Data!S625="","",IF(ISNUMBER(MATCH(Data!T625,Data_Val!$A$2:$A$3,0)),0,1))</f>
        <v/>
      </c>
      <c r="AA625" s="28" t="str">
        <f ca="1">IF(Data!S625="","",IF(ISNUMBER(Data!U625),IF(AND(Data!U625&gt;(TODAY()-(Data_Val!$L$3*365.25)),Data!U625&lt;=(TODAY()-(Data_Val!$L$2*365.25))),0,1),1))</f>
        <v/>
      </c>
      <c r="AB625" s="11"/>
      <c r="AC625" s="11" t="e">
        <f>IF(Data!#REF!="","",IF(ISNUMBER(MATCH(Data!#REF!,Data_Val!$A$2:$A$3,0)),0,1))</f>
        <v>#REF!</v>
      </c>
      <c r="AD625" s="11" t="e">
        <f ca="1">IF(Data!#REF!="","",IF(ISNUMBER(Data!#REF!),IF(AND(Data!#REF!&gt;(TODAY()-(Data_Val!$L$3*365.25)),Data!#REF!&lt;=(TODAY()-(Data_Val!$L$2*365.25))),0,1),1))</f>
        <v>#REF!</v>
      </c>
      <c r="AE625" s="11" t="e">
        <f>IF(Data!#REF!="","",IF(Data!$G625="",1,IF(ISNUMBER(MATCH(Data!#REF!,Data_Val!$D$2:$D$10,0)),0,1)))</f>
        <v>#REF!</v>
      </c>
      <c r="AF625" s="12"/>
      <c r="AG625" s="12" t="e">
        <f>IF(Data!#REF!="","",IF(ISNUMBER(MATCH(Data!#REF!,Data_Val!$A$2:$A$3,0)),0,1))</f>
        <v>#REF!</v>
      </c>
      <c r="AH625" s="26" t="e">
        <f ca="1">IF(Data!#REF!="","",IF(ISNUMBER(Data!#REF!),IF(AND(Data!#REF!&gt;(TODAY()-(Data_Val!$L$3*365.25)),Data!#REF!&lt;=(TODAY()-(Data_Val!$L$2*365.25))),0,1),1))</f>
        <v>#REF!</v>
      </c>
      <c r="AI625" s="12" t="e">
        <f>IF(Data!#REF!="","",IF(Data!$G625="",1,IF(ISNUMBER(MATCH(Data!#REF!,Data_Val!$D$2:$D$10,0)),0,1)))</f>
        <v>#REF!</v>
      </c>
      <c r="AJ625" s="17"/>
      <c r="AK625" s="17" t="e">
        <f>IF(Data!#REF!="","",IF(ISNUMBER(MATCH(Data!#REF!,Data_Val!$A$2:$A$3,0)),0,1))</f>
        <v>#REF!</v>
      </c>
      <c r="AL625" s="25" t="e">
        <f ca="1">IF(Data!#REF!="","",IF(ISNUMBER(Data!#REF!),IF(AND(Data!#REF!&gt;(TODAY()-(Data_Val!$L$3*365.25)),Data!#REF!&lt;=(TODAY()-(Data_Val!$L$2*365.25))),0,1),1))</f>
        <v>#REF!</v>
      </c>
      <c r="AM625" s="17" t="e">
        <f>IF(Data!#REF!="","",IF(Data!$G625="",1,IF(ISNUMBER(MATCH(Data!#REF!,Data_Val!$D$2:$D$10,0)),0,1)))</f>
        <v>#REF!</v>
      </c>
      <c r="AN625" s="13"/>
      <c r="AO625" s="28" t="e">
        <f ca="1">IF(Data!#REF!="","",IF(ISNUMBER(Data!#REF!),IF(AND(Data!#REF!&gt;(TODAY()-(Data_Val!$I$3*365.25)),Data!#REF!&lt;=(TODAY()-(Data_Val!$I$2*365.25))),0,1),1))</f>
        <v>#REF!</v>
      </c>
      <c r="AP625" s="13" t="e">
        <f>IF(Data!#REF!="","",IF(Data!$G625="",1,IF(ISNUMBER(MATCH(Data!#REF!,Data_Val!$D$2:$D$10,0)),0,1)))</f>
        <v>#REF!</v>
      </c>
      <c r="AQ625" s="17"/>
      <c r="AR625" s="30" t="e">
        <f ca="1">IF(Data!#REF!="","",IF(ISNUMBER(Data!#REF!),IF(AND(Data!#REF!&gt;(TODAY()-(Data_Val!$I$3*365.25)),Data!#REF!&lt;=(TODAY()-(Data_Val!$I$2*365.25))),0,1),1))</f>
        <v>#REF!</v>
      </c>
      <c r="AS625" s="31" t="e">
        <f>IF(Data!#REF!="","",IF(Data!$G625="",1,IF(ISNUMBER(MATCH(Data!#REF!,Data_Val!$D$2:$D$10,0)),0,1)))</f>
        <v>#REF!</v>
      </c>
      <c r="AT625" s="11"/>
      <c r="AU625" s="11" t="e">
        <f ca="1">IF(Data!#REF!="","",IF(ISNUMBER(Data!#REF!),IF(AND(Data!#REF!&gt;(TODAY()-(Data_Val!$I$3*365.25)),Data!#REF!&lt;=(TODAY()-(Data_Val!$I$2*365.25))),0,1),1))</f>
        <v>#REF!</v>
      </c>
      <c r="AV625" s="11" t="e">
        <f>IF(Data!#REF!="","",IF(Data!$G625="",1,IF(ISNUMBER(MATCH(Data!#REF!,Data_Val!$D$2:$D$10,0)),0,1)))</f>
        <v>#REF!</v>
      </c>
      <c r="AW625" s="12"/>
      <c r="AX625" s="26" t="e">
        <f ca="1">IF(Data!#REF!="","",IF(ISNUMBER(Data!#REF!),IF(AND(Data!#REF!&gt;(TODAY()-(Data_Val!$I$3*365.25)),Data!#REF!&lt;=(TODAY()-(Data_Val!$I$2*365.25))),0,1),1))</f>
        <v>#REF!</v>
      </c>
      <c r="AY625" s="12" t="e">
        <f>IF(Data!#REF!="","",IF(Data!$G625="",1,IF(ISNUMBER(MATCH(Data!#REF!,Data_Val!$D$2:$D$10,0)),0,1)))</f>
        <v>#REF!</v>
      </c>
      <c r="AZ625" s="11"/>
      <c r="BA625" s="19" t="e">
        <f ca="1">IF(Data!#REF!="","",IF(ISNUMBER(Data!#REF!),IF(AND(Data!#REF!&gt;(TODAY()-(Data_Val!$M$3*365.25)),Data!#REF!&lt;=(TODAY()-(Data_Val!$M$2*365.25))),0,1),1))</f>
        <v>#REF!</v>
      </c>
      <c r="BB625" s="11" t="e">
        <f>IF(Data!#REF!="","",IF(Data!$G625="",1,IF(ISNUMBER(MATCH(Data!#REF!,Data_Val!$D$2:$D$10,0)),0,1)))</f>
        <v>#REF!</v>
      </c>
      <c r="BC625" s="12"/>
      <c r="BD625" s="20" t="e">
        <f ca="1">IF(Data!#REF!="","",IF(ISNUMBER(Data!#REF!),IF(AND(Data!#REF!&gt;(TODAY()-(Data_Val!$M$3*365.25)),Data!#REF!&lt;=(TODAY()-(Data_Val!$M$2*365.25))),0,1),1))</f>
        <v>#REF!</v>
      </c>
      <c r="BE625" s="12" t="e">
        <f>IF(Data!#REF!="","",IF(Data!$G625="",1,IF(ISNUMBER(MATCH(Data!#REF!,Data_Val!$D$2:$D$10,0)),0,1)))</f>
        <v>#REF!</v>
      </c>
      <c r="BF625" s="17"/>
      <c r="BG625" s="18" t="e">
        <f ca="1">IF(Data!#REF!="","",IF(ISNUMBER(Data!#REF!),IF(AND(Data!#REF!&gt;(TODAY()-(Data_Val!$M$3*365.25)),Data!#REF!&lt;=(TODAY()-(Data_Val!$M$2*365.25))),0,1),1))</f>
        <v>#REF!</v>
      </c>
      <c r="BH625" s="29" t="e">
        <f>IF(Data!#REF!="","",IF(Data!$G625="",1,IF(ISNUMBER(MATCH(Data!#REF!,Data_Val!$D$2:$D$10,0)),0,1)))</f>
        <v>#REF!</v>
      </c>
      <c r="BI625" s="13"/>
      <c r="BJ625" s="21" t="e">
        <f ca="1">IF(Data!#REF!="","",IF(ISNUMBER(Data!#REF!),IF(AND(Data!#REF!&gt;(TODAY()-(Data_Val!$M$3*365.25)),Data!#REF!&lt;=(TODAY()-(Data_Val!$M$2*365.25))),0,1),1))</f>
        <v>#REF!</v>
      </c>
      <c r="BK625" s="13" t="e">
        <f>IF(Data!#REF!="","",IF(Data!$G625="",1,IF(ISNUMBER(MATCH(Data!#REF!,Data_Val!$D$2:$D$10,0)),0,1)))</f>
        <v>#REF!</v>
      </c>
    </row>
    <row r="626" spans="1:63" x14ac:dyDescent="0.25">
      <c r="A626" s="9" t="str">
        <f>IF(Data!B626="","",IF(COUNTIFS(Data!A$1:'Data'!A626,Data!A626)&lt;=1,0,1))</f>
        <v/>
      </c>
      <c r="B626" s="9"/>
      <c r="C626" s="23" t="str">
        <f>IF(Data!C626="","",(IF(ISNUMBER(MATCH("*@*.?*",Data!C626,0)),0,1)+IF(COUNTIFS(Data!C$1:'Data'!C626,Data!C626)&gt;1,1,0)))</f>
        <v/>
      </c>
      <c r="D626" s="9" t="str">
        <f>IF(Data!B626="","",IF(ISNUMBER(Data!D626),IF(AND(Data!D626&gt;999999999,Data!D626&lt;=9999999999),IF(COUNTIFS(Data!D$1:'Data'!D626,Data!D626)&lt;=1,0,1),1),1))</f>
        <v/>
      </c>
      <c r="E626" s="9" t="str">
        <f>IF(Data!B626="","",IF(ISNUMBER(MATCH(Data!E626,Data_Val!$A$2:$A$3,0)),0,1))</f>
        <v/>
      </c>
      <c r="F626" s="9" t="str">
        <f ca="1">IF(Data!B626="","",IF(ISNUMBER(Data!F626),IF(AND(Data!F626&gt;(TODAY()-(Data_Val!$H$3*365.25)),Data!F626&lt;=(TODAY()-(Data_Val!$H$2*365.25))),0,1),1))</f>
        <v/>
      </c>
      <c r="G626" s="15" t="str">
        <f>IF(Data!B626="","",IF(AND(Data!G626="",Data!H626&lt;&gt;""),1,IF(Data!#REF!&lt;&gt;"",0,IF(ISNUMBER(MATCH(Data!G626,Data_Val!$C$2:$C$5,0)),0,1))))</f>
        <v/>
      </c>
      <c r="H626" s="15" t="str">
        <f>IF(Data!B626="","",IF(AND(Data!G626&lt;&gt;"",Data!H626=""),1,IF(Data!#REF!&lt;&gt;"",0,IF(Data!G626="",1,IF(ISNUMBER(MATCH(Data!H626,Data_Val!$D$2:$D$35,0)),0,1)))))</f>
        <v/>
      </c>
      <c r="I626" s="15" t="str">
        <f>IF(Data!B626="","",IF(Data!G626&lt;&gt;"",0,IF(ISNUMBER(MATCH(Data!#REF!,Data_Val!$E$2:$E$12,0)),0,1)))</f>
        <v/>
      </c>
      <c r="J626" s="16" t="e">
        <f>IF(OR(Data!B626="",Data!#REF!=""),"",IF(Data!#REF!="",1,0))</f>
        <v>#REF!</v>
      </c>
      <c r="K626" s="16" t="e">
        <f>IF(OR(Data!B626="",Data!#REF!=""),"",IF(Data!#REF!="",1,0))</f>
        <v>#REF!</v>
      </c>
      <c r="L626" s="16" t="e">
        <f>IF(OR(Data!B626="",Data!#REF!=""),"",IF(ISNUMBER(Data!#REF!),IF(AND(Data!#REF!&gt;Data_Val!$G$2,Data!#REF!&lt;=Data_Val!$G$3),0,1),1))</f>
        <v>#REF!</v>
      </c>
      <c r="M626" s="9" t="e">
        <f>IF(OR(Data!B626="",Data!#REF!=""),"",IF(ISNUMBER(MATCH(Data!#REF!,Data_Val!$F$1:$F$38,0)),0,1))</f>
        <v>#REF!</v>
      </c>
      <c r="N626" s="9" t="e">
        <f>IF(OR(Data!B626="",Data!#REF!=""),"",IF(Data!#REF!="",1,0))</f>
        <v>#REF!</v>
      </c>
      <c r="O626" s="17" t="e">
        <f>IF(Data!#REF!="","",IF(Data!#REF!="",1,0))</f>
        <v>#REF!</v>
      </c>
      <c r="P626" s="17" t="e">
        <f>IF(Data!#REF!="","",IF(ISNUMBER(MATCH(Data!#REF!,Data_Val!$A$2:$A$3,0)),0,1))</f>
        <v>#REF!</v>
      </c>
      <c r="Q626" s="25" t="e">
        <f ca="1">IF(Data!#REF!="","",IF(ISNUMBER(Data!#REF!),IF(AND(Data!#REF!&gt;(TODAY()-(Data_Val!$J$3*365.25)),Data!#REF!&lt;=(TODAY()-(Data_Val!$J$2*365.25))),0,1),1))</f>
        <v>#REF!</v>
      </c>
      <c r="R626" s="17" t="e">
        <f>IF(Data!#REF!="","",IF(ISNUMBER(MATCH(Data!#REF!,Data_Val!$B$2:$B$15,0)),0,1))</f>
        <v>#REF!</v>
      </c>
      <c r="S626" s="11" t="str">
        <f>IF(Data!G626="","",IF(Data!G626=Data_Val!$C$2,IF(Data!M626="",0,1),0))</f>
        <v/>
      </c>
      <c r="T626" s="11" t="str">
        <f>IF(Data!M626="","",IF(ISNUMBER(MATCH(Data!N626,Data_Val!$A$2:$A$3,0)),0,1))</f>
        <v/>
      </c>
      <c r="U626" s="11" t="str">
        <f ca="1">IF(Data!M626="","",IF(ISNUMBER(Data!O626),IF(AND(Data!O626&gt;(TODAY()-(Data_Val!$K$3*365.25)),Data!O626&lt;=(TODAY()-(Data_Val!$K$2*365.25))),0,1),1))</f>
        <v/>
      </c>
      <c r="V626" s="12" t="str">
        <f>IF(Data!G626="","",IF(Data!G626=Data_Val!$C$2,IF(Data!P626="",0,1),0))</f>
        <v/>
      </c>
      <c r="W626" s="12" t="str">
        <f>IF(Data!P626="","",IF(ISNUMBER(MATCH(Data!Q626,Data_Val!$A$2:$A$3,0)),0,1))</f>
        <v/>
      </c>
      <c r="X626" s="26" t="str">
        <f ca="1">IF(Data!P626="","",IF(ISNUMBER(Data!R626),IF(AND(Data!R626&gt;(TODAY()-(Data_Val!$L$3*365.25)),Data!R626&lt;=(TODAY()-(Data_Val!$L$2*365.25))),0,1),1))</f>
        <v/>
      </c>
      <c r="Y626" s="13" t="str">
        <f>IF(Data!$G626="","",IF(Data!$G626=Data_Val!$C$2,IF(Data!S626="",0,1),0))</f>
        <v/>
      </c>
      <c r="Z626" s="13" t="str">
        <f>IF(Data!S626="","",IF(ISNUMBER(MATCH(Data!T626,Data_Val!$A$2:$A$3,0)),0,1))</f>
        <v/>
      </c>
      <c r="AA626" s="28" t="str">
        <f ca="1">IF(Data!S626="","",IF(ISNUMBER(Data!U626),IF(AND(Data!U626&gt;(TODAY()-(Data_Val!$L$3*365.25)),Data!U626&lt;=(TODAY()-(Data_Val!$L$2*365.25))),0,1),1))</f>
        <v/>
      </c>
      <c r="AB626" s="11"/>
      <c r="AC626" s="11" t="e">
        <f>IF(Data!#REF!="","",IF(ISNUMBER(MATCH(Data!#REF!,Data_Val!$A$2:$A$3,0)),0,1))</f>
        <v>#REF!</v>
      </c>
      <c r="AD626" s="11" t="e">
        <f ca="1">IF(Data!#REF!="","",IF(ISNUMBER(Data!#REF!),IF(AND(Data!#REF!&gt;(TODAY()-(Data_Val!$L$3*365.25)),Data!#REF!&lt;=(TODAY()-(Data_Val!$L$2*365.25))),0,1),1))</f>
        <v>#REF!</v>
      </c>
      <c r="AE626" s="11" t="e">
        <f>IF(Data!#REF!="","",IF(Data!$G626="",1,IF(ISNUMBER(MATCH(Data!#REF!,Data_Val!$D$2:$D$10,0)),0,1)))</f>
        <v>#REF!</v>
      </c>
      <c r="AF626" s="12"/>
      <c r="AG626" s="12" t="e">
        <f>IF(Data!#REF!="","",IF(ISNUMBER(MATCH(Data!#REF!,Data_Val!$A$2:$A$3,0)),0,1))</f>
        <v>#REF!</v>
      </c>
      <c r="AH626" s="26" t="e">
        <f ca="1">IF(Data!#REF!="","",IF(ISNUMBER(Data!#REF!),IF(AND(Data!#REF!&gt;(TODAY()-(Data_Val!$L$3*365.25)),Data!#REF!&lt;=(TODAY()-(Data_Val!$L$2*365.25))),0,1),1))</f>
        <v>#REF!</v>
      </c>
      <c r="AI626" s="12" t="e">
        <f>IF(Data!#REF!="","",IF(Data!$G626="",1,IF(ISNUMBER(MATCH(Data!#REF!,Data_Val!$D$2:$D$10,0)),0,1)))</f>
        <v>#REF!</v>
      </c>
      <c r="AJ626" s="17"/>
      <c r="AK626" s="17" t="e">
        <f>IF(Data!#REF!="","",IF(ISNUMBER(MATCH(Data!#REF!,Data_Val!$A$2:$A$3,0)),0,1))</f>
        <v>#REF!</v>
      </c>
      <c r="AL626" s="25" t="e">
        <f ca="1">IF(Data!#REF!="","",IF(ISNUMBER(Data!#REF!),IF(AND(Data!#REF!&gt;(TODAY()-(Data_Val!$L$3*365.25)),Data!#REF!&lt;=(TODAY()-(Data_Val!$L$2*365.25))),0,1),1))</f>
        <v>#REF!</v>
      </c>
      <c r="AM626" s="17" t="e">
        <f>IF(Data!#REF!="","",IF(Data!$G626="",1,IF(ISNUMBER(MATCH(Data!#REF!,Data_Val!$D$2:$D$10,0)),0,1)))</f>
        <v>#REF!</v>
      </c>
      <c r="AN626" s="13"/>
      <c r="AO626" s="28" t="e">
        <f ca="1">IF(Data!#REF!="","",IF(ISNUMBER(Data!#REF!),IF(AND(Data!#REF!&gt;(TODAY()-(Data_Val!$I$3*365.25)),Data!#REF!&lt;=(TODAY()-(Data_Val!$I$2*365.25))),0,1),1))</f>
        <v>#REF!</v>
      </c>
      <c r="AP626" s="13" t="e">
        <f>IF(Data!#REF!="","",IF(Data!$G626="",1,IF(ISNUMBER(MATCH(Data!#REF!,Data_Val!$D$2:$D$10,0)),0,1)))</f>
        <v>#REF!</v>
      </c>
      <c r="AQ626" s="17"/>
      <c r="AR626" s="30" t="e">
        <f ca="1">IF(Data!#REF!="","",IF(ISNUMBER(Data!#REF!),IF(AND(Data!#REF!&gt;(TODAY()-(Data_Val!$I$3*365.25)),Data!#REF!&lt;=(TODAY()-(Data_Val!$I$2*365.25))),0,1),1))</f>
        <v>#REF!</v>
      </c>
      <c r="AS626" s="31" t="e">
        <f>IF(Data!#REF!="","",IF(Data!$G626="",1,IF(ISNUMBER(MATCH(Data!#REF!,Data_Val!$D$2:$D$10,0)),0,1)))</f>
        <v>#REF!</v>
      </c>
      <c r="AT626" s="11"/>
      <c r="AU626" s="11" t="e">
        <f ca="1">IF(Data!#REF!="","",IF(ISNUMBER(Data!#REF!),IF(AND(Data!#REF!&gt;(TODAY()-(Data_Val!$I$3*365.25)),Data!#REF!&lt;=(TODAY()-(Data_Val!$I$2*365.25))),0,1),1))</f>
        <v>#REF!</v>
      </c>
      <c r="AV626" s="11" t="e">
        <f>IF(Data!#REF!="","",IF(Data!$G626="",1,IF(ISNUMBER(MATCH(Data!#REF!,Data_Val!$D$2:$D$10,0)),0,1)))</f>
        <v>#REF!</v>
      </c>
      <c r="AW626" s="12"/>
      <c r="AX626" s="26" t="e">
        <f ca="1">IF(Data!#REF!="","",IF(ISNUMBER(Data!#REF!),IF(AND(Data!#REF!&gt;(TODAY()-(Data_Val!$I$3*365.25)),Data!#REF!&lt;=(TODAY()-(Data_Val!$I$2*365.25))),0,1),1))</f>
        <v>#REF!</v>
      </c>
      <c r="AY626" s="12" t="e">
        <f>IF(Data!#REF!="","",IF(Data!$G626="",1,IF(ISNUMBER(MATCH(Data!#REF!,Data_Val!$D$2:$D$10,0)),0,1)))</f>
        <v>#REF!</v>
      </c>
      <c r="AZ626" s="11"/>
      <c r="BA626" s="19" t="e">
        <f ca="1">IF(Data!#REF!="","",IF(ISNUMBER(Data!#REF!),IF(AND(Data!#REF!&gt;(TODAY()-(Data_Val!$M$3*365.25)),Data!#REF!&lt;=(TODAY()-(Data_Val!$M$2*365.25))),0,1),1))</f>
        <v>#REF!</v>
      </c>
      <c r="BB626" s="11" t="e">
        <f>IF(Data!#REF!="","",IF(Data!$G626="",1,IF(ISNUMBER(MATCH(Data!#REF!,Data_Val!$D$2:$D$10,0)),0,1)))</f>
        <v>#REF!</v>
      </c>
      <c r="BC626" s="12"/>
      <c r="BD626" s="20" t="e">
        <f ca="1">IF(Data!#REF!="","",IF(ISNUMBER(Data!#REF!),IF(AND(Data!#REF!&gt;(TODAY()-(Data_Val!$M$3*365.25)),Data!#REF!&lt;=(TODAY()-(Data_Val!$M$2*365.25))),0,1),1))</f>
        <v>#REF!</v>
      </c>
      <c r="BE626" s="12" t="e">
        <f>IF(Data!#REF!="","",IF(Data!$G626="",1,IF(ISNUMBER(MATCH(Data!#REF!,Data_Val!$D$2:$D$10,0)),0,1)))</f>
        <v>#REF!</v>
      </c>
      <c r="BF626" s="17"/>
      <c r="BG626" s="18" t="e">
        <f ca="1">IF(Data!#REF!="","",IF(ISNUMBER(Data!#REF!),IF(AND(Data!#REF!&gt;(TODAY()-(Data_Val!$M$3*365.25)),Data!#REF!&lt;=(TODAY()-(Data_Val!$M$2*365.25))),0,1),1))</f>
        <v>#REF!</v>
      </c>
      <c r="BH626" s="29" t="e">
        <f>IF(Data!#REF!="","",IF(Data!$G626="",1,IF(ISNUMBER(MATCH(Data!#REF!,Data_Val!$D$2:$D$10,0)),0,1)))</f>
        <v>#REF!</v>
      </c>
      <c r="BI626" s="13"/>
      <c r="BJ626" s="21" t="e">
        <f ca="1">IF(Data!#REF!="","",IF(ISNUMBER(Data!#REF!),IF(AND(Data!#REF!&gt;(TODAY()-(Data_Val!$M$3*365.25)),Data!#REF!&lt;=(TODAY()-(Data_Val!$M$2*365.25))),0,1),1))</f>
        <v>#REF!</v>
      </c>
      <c r="BK626" s="13" t="e">
        <f>IF(Data!#REF!="","",IF(Data!$G626="",1,IF(ISNUMBER(MATCH(Data!#REF!,Data_Val!$D$2:$D$10,0)),0,1)))</f>
        <v>#REF!</v>
      </c>
    </row>
    <row r="627" spans="1:63" x14ac:dyDescent="0.25">
      <c r="A627" s="9" t="str">
        <f>IF(Data!B627="","",IF(COUNTIFS(Data!A$1:'Data'!A627,Data!A627)&lt;=1,0,1))</f>
        <v/>
      </c>
      <c r="B627" s="9"/>
      <c r="C627" s="23" t="str">
        <f>IF(Data!C627="","",(IF(ISNUMBER(MATCH("*@*.?*",Data!C627,0)),0,1)+IF(COUNTIFS(Data!C$1:'Data'!C627,Data!C627)&gt;1,1,0)))</f>
        <v/>
      </c>
      <c r="D627" s="9" t="str">
        <f>IF(Data!B627="","",IF(ISNUMBER(Data!D627),IF(AND(Data!D627&gt;999999999,Data!D627&lt;=9999999999),IF(COUNTIFS(Data!D$1:'Data'!D627,Data!D627)&lt;=1,0,1),1),1))</f>
        <v/>
      </c>
      <c r="E627" s="9" t="str">
        <f>IF(Data!B627="","",IF(ISNUMBER(MATCH(Data!E627,Data_Val!$A$2:$A$3,0)),0,1))</f>
        <v/>
      </c>
      <c r="F627" s="9" t="str">
        <f ca="1">IF(Data!B627="","",IF(ISNUMBER(Data!F627),IF(AND(Data!F627&gt;(TODAY()-(Data_Val!$H$3*365.25)),Data!F627&lt;=(TODAY()-(Data_Val!$H$2*365.25))),0,1),1))</f>
        <v/>
      </c>
      <c r="G627" s="15" t="str">
        <f>IF(Data!B627="","",IF(AND(Data!G627="",Data!H627&lt;&gt;""),1,IF(Data!#REF!&lt;&gt;"",0,IF(ISNUMBER(MATCH(Data!G627,Data_Val!$C$2:$C$5,0)),0,1))))</f>
        <v/>
      </c>
      <c r="H627" s="15" t="str">
        <f>IF(Data!B627="","",IF(AND(Data!G627&lt;&gt;"",Data!H627=""),1,IF(Data!#REF!&lt;&gt;"",0,IF(Data!G627="",1,IF(ISNUMBER(MATCH(Data!H627,Data_Val!$D$2:$D$35,0)),0,1)))))</f>
        <v/>
      </c>
      <c r="I627" s="15" t="str">
        <f>IF(Data!B627="","",IF(Data!G627&lt;&gt;"",0,IF(ISNUMBER(MATCH(Data!#REF!,Data_Val!$E$2:$E$12,0)),0,1)))</f>
        <v/>
      </c>
      <c r="J627" s="16" t="e">
        <f>IF(OR(Data!B627="",Data!#REF!=""),"",IF(Data!#REF!="",1,0))</f>
        <v>#REF!</v>
      </c>
      <c r="K627" s="16" t="e">
        <f>IF(OR(Data!B627="",Data!#REF!=""),"",IF(Data!#REF!="",1,0))</f>
        <v>#REF!</v>
      </c>
      <c r="L627" s="16" t="e">
        <f>IF(OR(Data!B627="",Data!#REF!=""),"",IF(ISNUMBER(Data!#REF!),IF(AND(Data!#REF!&gt;Data_Val!$G$2,Data!#REF!&lt;=Data_Val!$G$3),0,1),1))</f>
        <v>#REF!</v>
      </c>
      <c r="M627" s="9" t="e">
        <f>IF(OR(Data!B627="",Data!#REF!=""),"",IF(ISNUMBER(MATCH(Data!#REF!,Data_Val!$F$1:$F$38,0)),0,1))</f>
        <v>#REF!</v>
      </c>
      <c r="N627" s="9" t="e">
        <f>IF(OR(Data!B627="",Data!#REF!=""),"",IF(Data!#REF!="",1,0))</f>
        <v>#REF!</v>
      </c>
      <c r="O627" s="17" t="e">
        <f>IF(Data!#REF!="","",IF(Data!#REF!="",1,0))</f>
        <v>#REF!</v>
      </c>
      <c r="P627" s="17" t="e">
        <f>IF(Data!#REF!="","",IF(ISNUMBER(MATCH(Data!#REF!,Data_Val!$A$2:$A$3,0)),0,1))</f>
        <v>#REF!</v>
      </c>
      <c r="Q627" s="25" t="e">
        <f ca="1">IF(Data!#REF!="","",IF(ISNUMBER(Data!#REF!),IF(AND(Data!#REF!&gt;(TODAY()-(Data_Val!$J$3*365.25)),Data!#REF!&lt;=(TODAY()-(Data_Val!$J$2*365.25))),0,1),1))</f>
        <v>#REF!</v>
      </c>
      <c r="R627" s="17" t="e">
        <f>IF(Data!#REF!="","",IF(ISNUMBER(MATCH(Data!#REF!,Data_Val!$B$2:$B$15,0)),0,1))</f>
        <v>#REF!</v>
      </c>
      <c r="S627" s="11" t="str">
        <f>IF(Data!G627="","",IF(Data!G627=Data_Val!$C$2,IF(Data!M627="",0,1),0))</f>
        <v/>
      </c>
      <c r="T627" s="11" t="str">
        <f>IF(Data!M627="","",IF(ISNUMBER(MATCH(Data!N627,Data_Val!$A$2:$A$3,0)),0,1))</f>
        <v/>
      </c>
      <c r="U627" s="11" t="str">
        <f ca="1">IF(Data!M627="","",IF(ISNUMBER(Data!O627),IF(AND(Data!O627&gt;(TODAY()-(Data_Val!$K$3*365.25)),Data!O627&lt;=(TODAY()-(Data_Val!$K$2*365.25))),0,1),1))</f>
        <v/>
      </c>
      <c r="V627" s="12" t="str">
        <f>IF(Data!G627="","",IF(Data!G627=Data_Val!$C$2,IF(Data!P627="",0,1),0))</f>
        <v/>
      </c>
      <c r="W627" s="12" t="str">
        <f>IF(Data!P627="","",IF(ISNUMBER(MATCH(Data!Q627,Data_Val!$A$2:$A$3,0)),0,1))</f>
        <v/>
      </c>
      <c r="X627" s="26" t="str">
        <f ca="1">IF(Data!P627="","",IF(ISNUMBER(Data!R627),IF(AND(Data!R627&gt;(TODAY()-(Data_Val!$L$3*365.25)),Data!R627&lt;=(TODAY()-(Data_Val!$L$2*365.25))),0,1),1))</f>
        <v/>
      </c>
      <c r="Y627" s="13" t="str">
        <f>IF(Data!$G627="","",IF(Data!$G627=Data_Val!$C$2,IF(Data!S627="",0,1),0))</f>
        <v/>
      </c>
      <c r="Z627" s="13" t="str">
        <f>IF(Data!S627="","",IF(ISNUMBER(MATCH(Data!T627,Data_Val!$A$2:$A$3,0)),0,1))</f>
        <v/>
      </c>
      <c r="AA627" s="28" t="str">
        <f ca="1">IF(Data!S627="","",IF(ISNUMBER(Data!U627),IF(AND(Data!U627&gt;(TODAY()-(Data_Val!$L$3*365.25)),Data!U627&lt;=(TODAY()-(Data_Val!$L$2*365.25))),0,1),1))</f>
        <v/>
      </c>
      <c r="AB627" s="11"/>
      <c r="AC627" s="11" t="e">
        <f>IF(Data!#REF!="","",IF(ISNUMBER(MATCH(Data!#REF!,Data_Val!$A$2:$A$3,0)),0,1))</f>
        <v>#REF!</v>
      </c>
      <c r="AD627" s="11" t="e">
        <f ca="1">IF(Data!#REF!="","",IF(ISNUMBER(Data!#REF!),IF(AND(Data!#REF!&gt;(TODAY()-(Data_Val!$L$3*365.25)),Data!#REF!&lt;=(TODAY()-(Data_Val!$L$2*365.25))),0,1),1))</f>
        <v>#REF!</v>
      </c>
      <c r="AE627" s="11" t="e">
        <f>IF(Data!#REF!="","",IF(Data!$G627="",1,IF(ISNUMBER(MATCH(Data!#REF!,Data_Val!$D$2:$D$10,0)),0,1)))</f>
        <v>#REF!</v>
      </c>
      <c r="AF627" s="12"/>
      <c r="AG627" s="12" t="e">
        <f>IF(Data!#REF!="","",IF(ISNUMBER(MATCH(Data!#REF!,Data_Val!$A$2:$A$3,0)),0,1))</f>
        <v>#REF!</v>
      </c>
      <c r="AH627" s="26" t="e">
        <f ca="1">IF(Data!#REF!="","",IF(ISNUMBER(Data!#REF!),IF(AND(Data!#REF!&gt;(TODAY()-(Data_Val!$L$3*365.25)),Data!#REF!&lt;=(TODAY()-(Data_Val!$L$2*365.25))),0,1),1))</f>
        <v>#REF!</v>
      </c>
      <c r="AI627" s="12" t="e">
        <f>IF(Data!#REF!="","",IF(Data!$G627="",1,IF(ISNUMBER(MATCH(Data!#REF!,Data_Val!$D$2:$D$10,0)),0,1)))</f>
        <v>#REF!</v>
      </c>
      <c r="AJ627" s="17"/>
      <c r="AK627" s="17" t="e">
        <f>IF(Data!#REF!="","",IF(ISNUMBER(MATCH(Data!#REF!,Data_Val!$A$2:$A$3,0)),0,1))</f>
        <v>#REF!</v>
      </c>
      <c r="AL627" s="25" t="e">
        <f ca="1">IF(Data!#REF!="","",IF(ISNUMBER(Data!#REF!),IF(AND(Data!#REF!&gt;(TODAY()-(Data_Val!$L$3*365.25)),Data!#REF!&lt;=(TODAY()-(Data_Val!$L$2*365.25))),0,1),1))</f>
        <v>#REF!</v>
      </c>
      <c r="AM627" s="17" t="e">
        <f>IF(Data!#REF!="","",IF(Data!$G627="",1,IF(ISNUMBER(MATCH(Data!#REF!,Data_Val!$D$2:$D$10,0)),0,1)))</f>
        <v>#REF!</v>
      </c>
      <c r="AN627" s="13"/>
      <c r="AO627" s="28" t="e">
        <f ca="1">IF(Data!#REF!="","",IF(ISNUMBER(Data!#REF!),IF(AND(Data!#REF!&gt;(TODAY()-(Data_Val!$I$3*365.25)),Data!#REF!&lt;=(TODAY()-(Data_Val!$I$2*365.25))),0,1),1))</f>
        <v>#REF!</v>
      </c>
      <c r="AP627" s="13" t="e">
        <f>IF(Data!#REF!="","",IF(Data!$G627="",1,IF(ISNUMBER(MATCH(Data!#REF!,Data_Val!$D$2:$D$10,0)),0,1)))</f>
        <v>#REF!</v>
      </c>
      <c r="AQ627" s="17"/>
      <c r="AR627" s="30" t="e">
        <f ca="1">IF(Data!#REF!="","",IF(ISNUMBER(Data!#REF!),IF(AND(Data!#REF!&gt;(TODAY()-(Data_Val!$I$3*365.25)),Data!#REF!&lt;=(TODAY()-(Data_Val!$I$2*365.25))),0,1),1))</f>
        <v>#REF!</v>
      </c>
      <c r="AS627" s="31" t="e">
        <f>IF(Data!#REF!="","",IF(Data!$G627="",1,IF(ISNUMBER(MATCH(Data!#REF!,Data_Val!$D$2:$D$10,0)),0,1)))</f>
        <v>#REF!</v>
      </c>
      <c r="AT627" s="11"/>
      <c r="AU627" s="11" t="e">
        <f ca="1">IF(Data!#REF!="","",IF(ISNUMBER(Data!#REF!),IF(AND(Data!#REF!&gt;(TODAY()-(Data_Val!$I$3*365.25)),Data!#REF!&lt;=(TODAY()-(Data_Val!$I$2*365.25))),0,1),1))</f>
        <v>#REF!</v>
      </c>
      <c r="AV627" s="11" t="e">
        <f>IF(Data!#REF!="","",IF(Data!$G627="",1,IF(ISNUMBER(MATCH(Data!#REF!,Data_Val!$D$2:$D$10,0)),0,1)))</f>
        <v>#REF!</v>
      </c>
      <c r="AW627" s="12"/>
      <c r="AX627" s="26" t="e">
        <f ca="1">IF(Data!#REF!="","",IF(ISNUMBER(Data!#REF!),IF(AND(Data!#REF!&gt;(TODAY()-(Data_Val!$I$3*365.25)),Data!#REF!&lt;=(TODAY()-(Data_Val!$I$2*365.25))),0,1),1))</f>
        <v>#REF!</v>
      </c>
      <c r="AY627" s="12" t="e">
        <f>IF(Data!#REF!="","",IF(Data!$G627="",1,IF(ISNUMBER(MATCH(Data!#REF!,Data_Val!$D$2:$D$10,0)),0,1)))</f>
        <v>#REF!</v>
      </c>
      <c r="AZ627" s="11"/>
      <c r="BA627" s="19" t="e">
        <f ca="1">IF(Data!#REF!="","",IF(ISNUMBER(Data!#REF!),IF(AND(Data!#REF!&gt;(TODAY()-(Data_Val!$M$3*365.25)),Data!#REF!&lt;=(TODAY()-(Data_Val!$M$2*365.25))),0,1),1))</f>
        <v>#REF!</v>
      </c>
      <c r="BB627" s="11" t="e">
        <f>IF(Data!#REF!="","",IF(Data!$G627="",1,IF(ISNUMBER(MATCH(Data!#REF!,Data_Val!$D$2:$D$10,0)),0,1)))</f>
        <v>#REF!</v>
      </c>
      <c r="BC627" s="12"/>
      <c r="BD627" s="20" t="e">
        <f ca="1">IF(Data!#REF!="","",IF(ISNUMBER(Data!#REF!),IF(AND(Data!#REF!&gt;(TODAY()-(Data_Val!$M$3*365.25)),Data!#REF!&lt;=(TODAY()-(Data_Val!$M$2*365.25))),0,1),1))</f>
        <v>#REF!</v>
      </c>
      <c r="BE627" s="12" t="e">
        <f>IF(Data!#REF!="","",IF(Data!$G627="",1,IF(ISNUMBER(MATCH(Data!#REF!,Data_Val!$D$2:$D$10,0)),0,1)))</f>
        <v>#REF!</v>
      </c>
      <c r="BF627" s="17"/>
      <c r="BG627" s="18" t="e">
        <f ca="1">IF(Data!#REF!="","",IF(ISNUMBER(Data!#REF!),IF(AND(Data!#REF!&gt;(TODAY()-(Data_Val!$M$3*365.25)),Data!#REF!&lt;=(TODAY()-(Data_Val!$M$2*365.25))),0,1),1))</f>
        <v>#REF!</v>
      </c>
      <c r="BH627" s="29" t="e">
        <f>IF(Data!#REF!="","",IF(Data!$G627="",1,IF(ISNUMBER(MATCH(Data!#REF!,Data_Val!$D$2:$D$10,0)),0,1)))</f>
        <v>#REF!</v>
      </c>
      <c r="BI627" s="13"/>
      <c r="BJ627" s="21" t="e">
        <f ca="1">IF(Data!#REF!="","",IF(ISNUMBER(Data!#REF!),IF(AND(Data!#REF!&gt;(TODAY()-(Data_Val!$M$3*365.25)),Data!#REF!&lt;=(TODAY()-(Data_Val!$M$2*365.25))),0,1),1))</f>
        <v>#REF!</v>
      </c>
      <c r="BK627" s="13" t="e">
        <f>IF(Data!#REF!="","",IF(Data!$G627="",1,IF(ISNUMBER(MATCH(Data!#REF!,Data_Val!$D$2:$D$10,0)),0,1)))</f>
        <v>#REF!</v>
      </c>
    </row>
    <row r="628" spans="1:63" x14ac:dyDescent="0.25">
      <c r="A628" s="9" t="str">
        <f>IF(Data!B628="","",IF(COUNTIFS(Data!A$1:'Data'!A628,Data!A628)&lt;=1,0,1))</f>
        <v/>
      </c>
      <c r="B628" s="9"/>
      <c r="C628" s="23" t="str">
        <f>IF(Data!C628="","",(IF(ISNUMBER(MATCH("*@*.?*",Data!C628,0)),0,1)+IF(COUNTIFS(Data!C$1:'Data'!C628,Data!C628)&gt;1,1,0)))</f>
        <v/>
      </c>
      <c r="D628" s="9" t="str">
        <f>IF(Data!B628="","",IF(ISNUMBER(Data!D628),IF(AND(Data!D628&gt;999999999,Data!D628&lt;=9999999999),IF(COUNTIFS(Data!D$1:'Data'!D628,Data!D628)&lt;=1,0,1),1),1))</f>
        <v/>
      </c>
      <c r="E628" s="9" t="str">
        <f>IF(Data!B628="","",IF(ISNUMBER(MATCH(Data!E628,Data_Val!$A$2:$A$3,0)),0,1))</f>
        <v/>
      </c>
      <c r="F628" s="9" t="str">
        <f ca="1">IF(Data!B628="","",IF(ISNUMBER(Data!F628),IF(AND(Data!F628&gt;(TODAY()-(Data_Val!$H$3*365.25)),Data!F628&lt;=(TODAY()-(Data_Val!$H$2*365.25))),0,1),1))</f>
        <v/>
      </c>
      <c r="G628" s="15" t="str">
        <f>IF(Data!B628="","",IF(AND(Data!G628="",Data!H628&lt;&gt;""),1,IF(Data!#REF!&lt;&gt;"",0,IF(ISNUMBER(MATCH(Data!G628,Data_Val!$C$2:$C$5,0)),0,1))))</f>
        <v/>
      </c>
      <c r="H628" s="15" t="str">
        <f>IF(Data!B628="","",IF(AND(Data!G628&lt;&gt;"",Data!H628=""),1,IF(Data!#REF!&lt;&gt;"",0,IF(Data!G628="",1,IF(ISNUMBER(MATCH(Data!H628,Data_Val!$D$2:$D$35,0)),0,1)))))</f>
        <v/>
      </c>
      <c r="I628" s="15" t="str">
        <f>IF(Data!B628="","",IF(Data!G628&lt;&gt;"",0,IF(ISNUMBER(MATCH(Data!#REF!,Data_Val!$E$2:$E$12,0)),0,1)))</f>
        <v/>
      </c>
      <c r="J628" s="16" t="e">
        <f>IF(OR(Data!B628="",Data!#REF!=""),"",IF(Data!#REF!="",1,0))</f>
        <v>#REF!</v>
      </c>
      <c r="K628" s="16" t="e">
        <f>IF(OR(Data!B628="",Data!#REF!=""),"",IF(Data!#REF!="",1,0))</f>
        <v>#REF!</v>
      </c>
      <c r="L628" s="16" t="e">
        <f>IF(OR(Data!B628="",Data!#REF!=""),"",IF(ISNUMBER(Data!#REF!),IF(AND(Data!#REF!&gt;Data_Val!$G$2,Data!#REF!&lt;=Data_Val!$G$3),0,1),1))</f>
        <v>#REF!</v>
      </c>
      <c r="M628" s="9" t="e">
        <f>IF(OR(Data!B628="",Data!#REF!=""),"",IF(ISNUMBER(MATCH(Data!#REF!,Data_Val!$F$1:$F$38,0)),0,1))</f>
        <v>#REF!</v>
      </c>
      <c r="N628" s="9" t="e">
        <f>IF(OR(Data!B628="",Data!#REF!=""),"",IF(Data!#REF!="",1,0))</f>
        <v>#REF!</v>
      </c>
      <c r="O628" s="17" t="e">
        <f>IF(Data!#REF!="","",IF(Data!#REF!="",1,0))</f>
        <v>#REF!</v>
      </c>
      <c r="P628" s="17" t="e">
        <f>IF(Data!#REF!="","",IF(ISNUMBER(MATCH(Data!#REF!,Data_Val!$A$2:$A$3,0)),0,1))</f>
        <v>#REF!</v>
      </c>
      <c r="Q628" s="25" t="e">
        <f ca="1">IF(Data!#REF!="","",IF(ISNUMBER(Data!#REF!),IF(AND(Data!#REF!&gt;(TODAY()-(Data_Val!$J$3*365.25)),Data!#REF!&lt;=(TODAY()-(Data_Val!$J$2*365.25))),0,1),1))</f>
        <v>#REF!</v>
      </c>
      <c r="R628" s="17" t="e">
        <f>IF(Data!#REF!="","",IF(ISNUMBER(MATCH(Data!#REF!,Data_Val!$B$2:$B$15,0)),0,1))</f>
        <v>#REF!</v>
      </c>
      <c r="S628" s="11" t="str">
        <f>IF(Data!G628="","",IF(Data!G628=Data_Val!$C$2,IF(Data!M628="",0,1),0))</f>
        <v/>
      </c>
      <c r="T628" s="11" t="str">
        <f>IF(Data!M628="","",IF(ISNUMBER(MATCH(Data!N628,Data_Val!$A$2:$A$3,0)),0,1))</f>
        <v/>
      </c>
      <c r="U628" s="11" t="str">
        <f ca="1">IF(Data!M628="","",IF(ISNUMBER(Data!O628),IF(AND(Data!O628&gt;(TODAY()-(Data_Val!$K$3*365.25)),Data!O628&lt;=(TODAY()-(Data_Val!$K$2*365.25))),0,1),1))</f>
        <v/>
      </c>
      <c r="V628" s="12" t="str">
        <f>IF(Data!G628="","",IF(Data!G628=Data_Val!$C$2,IF(Data!P628="",0,1),0))</f>
        <v/>
      </c>
      <c r="W628" s="12" t="str">
        <f>IF(Data!P628="","",IF(ISNUMBER(MATCH(Data!Q628,Data_Val!$A$2:$A$3,0)),0,1))</f>
        <v/>
      </c>
      <c r="X628" s="26" t="str">
        <f ca="1">IF(Data!P628="","",IF(ISNUMBER(Data!R628),IF(AND(Data!R628&gt;(TODAY()-(Data_Val!$L$3*365.25)),Data!R628&lt;=(TODAY()-(Data_Val!$L$2*365.25))),0,1),1))</f>
        <v/>
      </c>
      <c r="Y628" s="13" t="str">
        <f>IF(Data!$G628="","",IF(Data!$G628=Data_Val!$C$2,IF(Data!S628="",0,1),0))</f>
        <v/>
      </c>
      <c r="Z628" s="13" t="str">
        <f>IF(Data!S628="","",IF(ISNUMBER(MATCH(Data!T628,Data_Val!$A$2:$A$3,0)),0,1))</f>
        <v/>
      </c>
      <c r="AA628" s="28" t="str">
        <f ca="1">IF(Data!S628="","",IF(ISNUMBER(Data!U628),IF(AND(Data!U628&gt;(TODAY()-(Data_Val!$L$3*365.25)),Data!U628&lt;=(TODAY()-(Data_Val!$L$2*365.25))),0,1),1))</f>
        <v/>
      </c>
      <c r="AB628" s="11"/>
      <c r="AC628" s="11" t="e">
        <f>IF(Data!#REF!="","",IF(ISNUMBER(MATCH(Data!#REF!,Data_Val!$A$2:$A$3,0)),0,1))</f>
        <v>#REF!</v>
      </c>
      <c r="AD628" s="11" t="e">
        <f ca="1">IF(Data!#REF!="","",IF(ISNUMBER(Data!#REF!),IF(AND(Data!#REF!&gt;(TODAY()-(Data_Val!$L$3*365.25)),Data!#REF!&lt;=(TODAY()-(Data_Val!$L$2*365.25))),0,1),1))</f>
        <v>#REF!</v>
      </c>
      <c r="AE628" s="11" t="e">
        <f>IF(Data!#REF!="","",IF(Data!$G628="",1,IF(ISNUMBER(MATCH(Data!#REF!,Data_Val!$D$2:$D$10,0)),0,1)))</f>
        <v>#REF!</v>
      </c>
      <c r="AF628" s="12"/>
      <c r="AG628" s="12" t="e">
        <f>IF(Data!#REF!="","",IF(ISNUMBER(MATCH(Data!#REF!,Data_Val!$A$2:$A$3,0)),0,1))</f>
        <v>#REF!</v>
      </c>
      <c r="AH628" s="26" t="e">
        <f ca="1">IF(Data!#REF!="","",IF(ISNUMBER(Data!#REF!),IF(AND(Data!#REF!&gt;(TODAY()-(Data_Val!$L$3*365.25)),Data!#REF!&lt;=(TODAY()-(Data_Val!$L$2*365.25))),0,1),1))</f>
        <v>#REF!</v>
      </c>
      <c r="AI628" s="12" t="e">
        <f>IF(Data!#REF!="","",IF(Data!$G628="",1,IF(ISNUMBER(MATCH(Data!#REF!,Data_Val!$D$2:$D$10,0)),0,1)))</f>
        <v>#REF!</v>
      </c>
      <c r="AJ628" s="17"/>
      <c r="AK628" s="17" t="e">
        <f>IF(Data!#REF!="","",IF(ISNUMBER(MATCH(Data!#REF!,Data_Val!$A$2:$A$3,0)),0,1))</f>
        <v>#REF!</v>
      </c>
      <c r="AL628" s="25" t="e">
        <f ca="1">IF(Data!#REF!="","",IF(ISNUMBER(Data!#REF!),IF(AND(Data!#REF!&gt;(TODAY()-(Data_Val!$L$3*365.25)),Data!#REF!&lt;=(TODAY()-(Data_Val!$L$2*365.25))),0,1),1))</f>
        <v>#REF!</v>
      </c>
      <c r="AM628" s="17" t="e">
        <f>IF(Data!#REF!="","",IF(Data!$G628="",1,IF(ISNUMBER(MATCH(Data!#REF!,Data_Val!$D$2:$D$10,0)),0,1)))</f>
        <v>#REF!</v>
      </c>
      <c r="AN628" s="13"/>
      <c r="AO628" s="28" t="e">
        <f ca="1">IF(Data!#REF!="","",IF(ISNUMBER(Data!#REF!),IF(AND(Data!#REF!&gt;(TODAY()-(Data_Val!$I$3*365.25)),Data!#REF!&lt;=(TODAY()-(Data_Val!$I$2*365.25))),0,1),1))</f>
        <v>#REF!</v>
      </c>
      <c r="AP628" s="13" t="e">
        <f>IF(Data!#REF!="","",IF(Data!$G628="",1,IF(ISNUMBER(MATCH(Data!#REF!,Data_Val!$D$2:$D$10,0)),0,1)))</f>
        <v>#REF!</v>
      </c>
      <c r="AQ628" s="17"/>
      <c r="AR628" s="30" t="e">
        <f ca="1">IF(Data!#REF!="","",IF(ISNUMBER(Data!#REF!),IF(AND(Data!#REF!&gt;(TODAY()-(Data_Val!$I$3*365.25)),Data!#REF!&lt;=(TODAY()-(Data_Val!$I$2*365.25))),0,1),1))</f>
        <v>#REF!</v>
      </c>
      <c r="AS628" s="31" t="e">
        <f>IF(Data!#REF!="","",IF(Data!$G628="",1,IF(ISNUMBER(MATCH(Data!#REF!,Data_Val!$D$2:$D$10,0)),0,1)))</f>
        <v>#REF!</v>
      </c>
      <c r="AT628" s="11"/>
      <c r="AU628" s="11" t="e">
        <f ca="1">IF(Data!#REF!="","",IF(ISNUMBER(Data!#REF!),IF(AND(Data!#REF!&gt;(TODAY()-(Data_Val!$I$3*365.25)),Data!#REF!&lt;=(TODAY()-(Data_Val!$I$2*365.25))),0,1),1))</f>
        <v>#REF!</v>
      </c>
      <c r="AV628" s="11" t="e">
        <f>IF(Data!#REF!="","",IF(Data!$G628="",1,IF(ISNUMBER(MATCH(Data!#REF!,Data_Val!$D$2:$D$10,0)),0,1)))</f>
        <v>#REF!</v>
      </c>
      <c r="AW628" s="12"/>
      <c r="AX628" s="26" t="e">
        <f ca="1">IF(Data!#REF!="","",IF(ISNUMBER(Data!#REF!),IF(AND(Data!#REF!&gt;(TODAY()-(Data_Val!$I$3*365.25)),Data!#REF!&lt;=(TODAY()-(Data_Val!$I$2*365.25))),0,1),1))</f>
        <v>#REF!</v>
      </c>
      <c r="AY628" s="12" t="e">
        <f>IF(Data!#REF!="","",IF(Data!$G628="",1,IF(ISNUMBER(MATCH(Data!#REF!,Data_Val!$D$2:$D$10,0)),0,1)))</f>
        <v>#REF!</v>
      </c>
      <c r="AZ628" s="11"/>
      <c r="BA628" s="19" t="e">
        <f ca="1">IF(Data!#REF!="","",IF(ISNUMBER(Data!#REF!),IF(AND(Data!#REF!&gt;(TODAY()-(Data_Val!$M$3*365.25)),Data!#REF!&lt;=(TODAY()-(Data_Val!$M$2*365.25))),0,1),1))</f>
        <v>#REF!</v>
      </c>
      <c r="BB628" s="11" t="e">
        <f>IF(Data!#REF!="","",IF(Data!$G628="",1,IF(ISNUMBER(MATCH(Data!#REF!,Data_Val!$D$2:$D$10,0)),0,1)))</f>
        <v>#REF!</v>
      </c>
      <c r="BC628" s="12"/>
      <c r="BD628" s="20" t="e">
        <f ca="1">IF(Data!#REF!="","",IF(ISNUMBER(Data!#REF!),IF(AND(Data!#REF!&gt;(TODAY()-(Data_Val!$M$3*365.25)),Data!#REF!&lt;=(TODAY()-(Data_Val!$M$2*365.25))),0,1),1))</f>
        <v>#REF!</v>
      </c>
      <c r="BE628" s="12" t="e">
        <f>IF(Data!#REF!="","",IF(Data!$G628="",1,IF(ISNUMBER(MATCH(Data!#REF!,Data_Val!$D$2:$D$10,0)),0,1)))</f>
        <v>#REF!</v>
      </c>
      <c r="BF628" s="17"/>
      <c r="BG628" s="18" t="e">
        <f ca="1">IF(Data!#REF!="","",IF(ISNUMBER(Data!#REF!),IF(AND(Data!#REF!&gt;(TODAY()-(Data_Val!$M$3*365.25)),Data!#REF!&lt;=(TODAY()-(Data_Val!$M$2*365.25))),0,1),1))</f>
        <v>#REF!</v>
      </c>
      <c r="BH628" s="29" t="e">
        <f>IF(Data!#REF!="","",IF(Data!$G628="",1,IF(ISNUMBER(MATCH(Data!#REF!,Data_Val!$D$2:$D$10,0)),0,1)))</f>
        <v>#REF!</v>
      </c>
      <c r="BI628" s="13"/>
      <c r="BJ628" s="21" t="e">
        <f ca="1">IF(Data!#REF!="","",IF(ISNUMBER(Data!#REF!),IF(AND(Data!#REF!&gt;(TODAY()-(Data_Val!$M$3*365.25)),Data!#REF!&lt;=(TODAY()-(Data_Val!$M$2*365.25))),0,1),1))</f>
        <v>#REF!</v>
      </c>
      <c r="BK628" s="13" t="e">
        <f>IF(Data!#REF!="","",IF(Data!$G628="",1,IF(ISNUMBER(MATCH(Data!#REF!,Data_Val!$D$2:$D$10,0)),0,1)))</f>
        <v>#REF!</v>
      </c>
    </row>
    <row r="629" spans="1:63" x14ac:dyDescent="0.25">
      <c r="A629" s="9" t="str">
        <f>IF(Data!B629="","",IF(COUNTIFS(Data!A$1:'Data'!A629,Data!A629)&lt;=1,0,1))</f>
        <v/>
      </c>
      <c r="B629" s="9"/>
      <c r="C629" s="23" t="str">
        <f>IF(Data!C629="","",(IF(ISNUMBER(MATCH("*@*.?*",Data!C629,0)),0,1)+IF(COUNTIFS(Data!C$1:'Data'!C629,Data!C629)&gt;1,1,0)))</f>
        <v/>
      </c>
      <c r="D629" s="9" t="str">
        <f>IF(Data!B629="","",IF(ISNUMBER(Data!D629),IF(AND(Data!D629&gt;999999999,Data!D629&lt;=9999999999),IF(COUNTIFS(Data!D$1:'Data'!D629,Data!D629)&lt;=1,0,1),1),1))</f>
        <v/>
      </c>
      <c r="E629" s="9" t="str">
        <f>IF(Data!B629="","",IF(ISNUMBER(MATCH(Data!E629,Data_Val!$A$2:$A$3,0)),0,1))</f>
        <v/>
      </c>
      <c r="F629" s="9" t="str">
        <f ca="1">IF(Data!B629="","",IF(ISNUMBER(Data!F629),IF(AND(Data!F629&gt;(TODAY()-(Data_Val!$H$3*365.25)),Data!F629&lt;=(TODAY()-(Data_Val!$H$2*365.25))),0,1),1))</f>
        <v/>
      </c>
      <c r="G629" s="15" t="str">
        <f>IF(Data!B629="","",IF(AND(Data!G629="",Data!H629&lt;&gt;""),1,IF(Data!#REF!&lt;&gt;"",0,IF(ISNUMBER(MATCH(Data!G629,Data_Val!$C$2:$C$5,0)),0,1))))</f>
        <v/>
      </c>
      <c r="H629" s="15" t="str">
        <f>IF(Data!B629="","",IF(AND(Data!G629&lt;&gt;"",Data!H629=""),1,IF(Data!#REF!&lt;&gt;"",0,IF(Data!G629="",1,IF(ISNUMBER(MATCH(Data!H629,Data_Val!$D$2:$D$35,0)),0,1)))))</f>
        <v/>
      </c>
      <c r="I629" s="15" t="str">
        <f>IF(Data!B629="","",IF(Data!G629&lt;&gt;"",0,IF(ISNUMBER(MATCH(Data!#REF!,Data_Val!$E$2:$E$12,0)),0,1)))</f>
        <v/>
      </c>
      <c r="J629" s="16" t="e">
        <f>IF(OR(Data!B629="",Data!#REF!=""),"",IF(Data!#REF!="",1,0))</f>
        <v>#REF!</v>
      </c>
      <c r="K629" s="16" t="e">
        <f>IF(OR(Data!B629="",Data!#REF!=""),"",IF(Data!#REF!="",1,0))</f>
        <v>#REF!</v>
      </c>
      <c r="L629" s="16" t="e">
        <f>IF(OR(Data!B629="",Data!#REF!=""),"",IF(ISNUMBER(Data!#REF!),IF(AND(Data!#REF!&gt;Data_Val!$G$2,Data!#REF!&lt;=Data_Val!$G$3),0,1),1))</f>
        <v>#REF!</v>
      </c>
      <c r="M629" s="9" t="e">
        <f>IF(OR(Data!B629="",Data!#REF!=""),"",IF(ISNUMBER(MATCH(Data!#REF!,Data_Val!$F$1:$F$38,0)),0,1))</f>
        <v>#REF!</v>
      </c>
      <c r="N629" s="9" t="e">
        <f>IF(OR(Data!B629="",Data!#REF!=""),"",IF(Data!#REF!="",1,0))</f>
        <v>#REF!</v>
      </c>
      <c r="O629" s="17" t="e">
        <f>IF(Data!#REF!="","",IF(Data!#REF!="",1,0))</f>
        <v>#REF!</v>
      </c>
      <c r="P629" s="17" t="e">
        <f>IF(Data!#REF!="","",IF(ISNUMBER(MATCH(Data!#REF!,Data_Val!$A$2:$A$3,0)),0,1))</f>
        <v>#REF!</v>
      </c>
      <c r="Q629" s="25" t="e">
        <f ca="1">IF(Data!#REF!="","",IF(ISNUMBER(Data!#REF!),IF(AND(Data!#REF!&gt;(TODAY()-(Data_Val!$J$3*365.25)),Data!#REF!&lt;=(TODAY()-(Data_Val!$J$2*365.25))),0,1),1))</f>
        <v>#REF!</v>
      </c>
      <c r="R629" s="17" t="e">
        <f>IF(Data!#REF!="","",IF(ISNUMBER(MATCH(Data!#REF!,Data_Val!$B$2:$B$15,0)),0,1))</f>
        <v>#REF!</v>
      </c>
      <c r="S629" s="11" t="str">
        <f>IF(Data!G629="","",IF(Data!G629=Data_Val!$C$2,IF(Data!M629="",0,1),0))</f>
        <v/>
      </c>
      <c r="T629" s="11" t="str">
        <f>IF(Data!M629="","",IF(ISNUMBER(MATCH(Data!N629,Data_Val!$A$2:$A$3,0)),0,1))</f>
        <v/>
      </c>
      <c r="U629" s="11" t="str">
        <f ca="1">IF(Data!M629="","",IF(ISNUMBER(Data!O629),IF(AND(Data!O629&gt;(TODAY()-(Data_Val!$K$3*365.25)),Data!O629&lt;=(TODAY()-(Data_Val!$K$2*365.25))),0,1),1))</f>
        <v/>
      </c>
      <c r="V629" s="12" t="str">
        <f>IF(Data!G629="","",IF(Data!G629=Data_Val!$C$2,IF(Data!P629="",0,1),0))</f>
        <v/>
      </c>
      <c r="W629" s="12" t="str">
        <f>IF(Data!P629="","",IF(ISNUMBER(MATCH(Data!Q629,Data_Val!$A$2:$A$3,0)),0,1))</f>
        <v/>
      </c>
      <c r="X629" s="26" t="str">
        <f ca="1">IF(Data!P629="","",IF(ISNUMBER(Data!R629),IF(AND(Data!R629&gt;(TODAY()-(Data_Val!$L$3*365.25)),Data!R629&lt;=(TODAY()-(Data_Val!$L$2*365.25))),0,1),1))</f>
        <v/>
      </c>
      <c r="Y629" s="13" t="str">
        <f>IF(Data!$G629="","",IF(Data!$G629=Data_Val!$C$2,IF(Data!S629="",0,1),0))</f>
        <v/>
      </c>
      <c r="Z629" s="13" t="str">
        <f>IF(Data!S629="","",IF(ISNUMBER(MATCH(Data!T629,Data_Val!$A$2:$A$3,0)),0,1))</f>
        <v/>
      </c>
      <c r="AA629" s="28" t="str">
        <f ca="1">IF(Data!S629="","",IF(ISNUMBER(Data!U629),IF(AND(Data!U629&gt;(TODAY()-(Data_Val!$L$3*365.25)),Data!U629&lt;=(TODAY()-(Data_Val!$L$2*365.25))),0,1),1))</f>
        <v/>
      </c>
      <c r="AB629" s="11"/>
      <c r="AC629" s="11" t="e">
        <f>IF(Data!#REF!="","",IF(ISNUMBER(MATCH(Data!#REF!,Data_Val!$A$2:$A$3,0)),0,1))</f>
        <v>#REF!</v>
      </c>
      <c r="AD629" s="11" t="e">
        <f ca="1">IF(Data!#REF!="","",IF(ISNUMBER(Data!#REF!),IF(AND(Data!#REF!&gt;(TODAY()-(Data_Val!$L$3*365.25)),Data!#REF!&lt;=(TODAY()-(Data_Val!$L$2*365.25))),0,1),1))</f>
        <v>#REF!</v>
      </c>
      <c r="AE629" s="11" t="e">
        <f>IF(Data!#REF!="","",IF(Data!$G629="",1,IF(ISNUMBER(MATCH(Data!#REF!,Data_Val!$D$2:$D$10,0)),0,1)))</f>
        <v>#REF!</v>
      </c>
      <c r="AF629" s="12"/>
      <c r="AG629" s="12" t="e">
        <f>IF(Data!#REF!="","",IF(ISNUMBER(MATCH(Data!#REF!,Data_Val!$A$2:$A$3,0)),0,1))</f>
        <v>#REF!</v>
      </c>
      <c r="AH629" s="26" t="e">
        <f ca="1">IF(Data!#REF!="","",IF(ISNUMBER(Data!#REF!),IF(AND(Data!#REF!&gt;(TODAY()-(Data_Val!$L$3*365.25)),Data!#REF!&lt;=(TODAY()-(Data_Val!$L$2*365.25))),0,1),1))</f>
        <v>#REF!</v>
      </c>
      <c r="AI629" s="12" t="e">
        <f>IF(Data!#REF!="","",IF(Data!$G629="",1,IF(ISNUMBER(MATCH(Data!#REF!,Data_Val!$D$2:$D$10,0)),0,1)))</f>
        <v>#REF!</v>
      </c>
      <c r="AJ629" s="17"/>
      <c r="AK629" s="17" t="e">
        <f>IF(Data!#REF!="","",IF(ISNUMBER(MATCH(Data!#REF!,Data_Val!$A$2:$A$3,0)),0,1))</f>
        <v>#REF!</v>
      </c>
      <c r="AL629" s="25" t="e">
        <f ca="1">IF(Data!#REF!="","",IF(ISNUMBER(Data!#REF!),IF(AND(Data!#REF!&gt;(TODAY()-(Data_Val!$L$3*365.25)),Data!#REF!&lt;=(TODAY()-(Data_Val!$L$2*365.25))),0,1),1))</f>
        <v>#REF!</v>
      </c>
      <c r="AM629" s="17" t="e">
        <f>IF(Data!#REF!="","",IF(Data!$G629="",1,IF(ISNUMBER(MATCH(Data!#REF!,Data_Val!$D$2:$D$10,0)),0,1)))</f>
        <v>#REF!</v>
      </c>
      <c r="AN629" s="13"/>
      <c r="AO629" s="28" t="e">
        <f ca="1">IF(Data!#REF!="","",IF(ISNUMBER(Data!#REF!),IF(AND(Data!#REF!&gt;(TODAY()-(Data_Val!$I$3*365.25)),Data!#REF!&lt;=(TODAY()-(Data_Val!$I$2*365.25))),0,1),1))</f>
        <v>#REF!</v>
      </c>
      <c r="AP629" s="13" t="e">
        <f>IF(Data!#REF!="","",IF(Data!$G629="",1,IF(ISNUMBER(MATCH(Data!#REF!,Data_Val!$D$2:$D$10,0)),0,1)))</f>
        <v>#REF!</v>
      </c>
      <c r="AQ629" s="17"/>
      <c r="AR629" s="30" t="e">
        <f ca="1">IF(Data!#REF!="","",IF(ISNUMBER(Data!#REF!),IF(AND(Data!#REF!&gt;(TODAY()-(Data_Val!$I$3*365.25)),Data!#REF!&lt;=(TODAY()-(Data_Val!$I$2*365.25))),0,1),1))</f>
        <v>#REF!</v>
      </c>
      <c r="AS629" s="31" t="e">
        <f>IF(Data!#REF!="","",IF(Data!$G629="",1,IF(ISNUMBER(MATCH(Data!#REF!,Data_Val!$D$2:$D$10,0)),0,1)))</f>
        <v>#REF!</v>
      </c>
      <c r="AT629" s="11"/>
      <c r="AU629" s="11" t="e">
        <f ca="1">IF(Data!#REF!="","",IF(ISNUMBER(Data!#REF!),IF(AND(Data!#REF!&gt;(TODAY()-(Data_Val!$I$3*365.25)),Data!#REF!&lt;=(TODAY()-(Data_Val!$I$2*365.25))),0,1),1))</f>
        <v>#REF!</v>
      </c>
      <c r="AV629" s="11" t="e">
        <f>IF(Data!#REF!="","",IF(Data!$G629="",1,IF(ISNUMBER(MATCH(Data!#REF!,Data_Val!$D$2:$D$10,0)),0,1)))</f>
        <v>#REF!</v>
      </c>
      <c r="AW629" s="12"/>
      <c r="AX629" s="26" t="e">
        <f ca="1">IF(Data!#REF!="","",IF(ISNUMBER(Data!#REF!),IF(AND(Data!#REF!&gt;(TODAY()-(Data_Val!$I$3*365.25)),Data!#REF!&lt;=(TODAY()-(Data_Val!$I$2*365.25))),0,1),1))</f>
        <v>#REF!</v>
      </c>
      <c r="AY629" s="12" t="e">
        <f>IF(Data!#REF!="","",IF(Data!$G629="",1,IF(ISNUMBER(MATCH(Data!#REF!,Data_Val!$D$2:$D$10,0)),0,1)))</f>
        <v>#REF!</v>
      </c>
      <c r="AZ629" s="11"/>
      <c r="BA629" s="19" t="e">
        <f ca="1">IF(Data!#REF!="","",IF(ISNUMBER(Data!#REF!),IF(AND(Data!#REF!&gt;(TODAY()-(Data_Val!$M$3*365.25)),Data!#REF!&lt;=(TODAY()-(Data_Val!$M$2*365.25))),0,1),1))</f>
        <v>#REF!</v>
      </c>
      <c r="BB629" s="11" t="e">
        <f>IF(Data!#REF!="","",IF(Data!$G629="",1,IF(ISNUMBER(MATCH(Data!#REF!,Data_Val!$D$2:$D$10,0)),0,1)))</f>
        <v>#REF!</v>
      </c>
      <c r="BC629" s="12"/>
      <c r="BD629" s="20" t="e">
        <f ca="1">IF(Data!#REF!="","",IF(ISNUMBER(Data!#REF!),IF(AND(Data!#REF!&gt;(TODAY()-(Data_Val!$M$3*365.25)),Data!#REF!&lt;=(TODAY()-(Data_Val!$M$2*365.25))),0,1),1))</f>
        <v>#REF!</v>
      </c>
      <c r="BE629" s="12" t="e">
        <f>IF(Data!#REF!="","",IF(Data!$G629="",1,IF(ISNUMBER(MATCH(Data!#REF!,Data_Val!$D$2:$D$10,0)),0,1)))</f>
        <v>#REF!</v>
      </c>
      <c r="BF629" s="17"/>
      <c r="BG629" s="18" t="e">
        <f ca="1">IF(Data!#REF!="","",IF(ISNUMBER(Data!#REF!),IF(AND(Data!#REF!&gt;(TODAY()-(Data_Val!$M$3*365.25)),Data!#REF!&lt;=(TODAY()-(Data_Val!$M$2*365.25))),0,1),1))</f>
        <v>#REF!</v>
      </c>
      <c r="BH629" s="29" t="e">
        <f>IF(Data!#REF!="","",IF(Data!$G629="",1,IF(ISNUMBER(MATCH(Data!#REF!,Data_Val!$D$2:$D$10,0)),0,1)))</f>
        <v>#REF!</v>
      </c>
      <c r="BI629" s="13"/>
      <c r="BJ629" s="21" t="e">
        <f ca="1">IF(Data!#REF!="","",IF(ISNUMBER(Data!#REF!),IF(AND(Data!#REF!&gt;(TODAY()-(Data_Val!$M$3*365.25)),Data!#REF!&lt;=(TODAY()-(Data_Val!$M$2*365.25))),0,1),1))</f>
        <v>#REF!</v>
      </c>
      <c r="BK629" s="13" t="e">
        <f>IF(Data!#REF!="","",IF(Data!$G629="",1,IF(ISNUMBER(MATCH(Data!#REF!,Data_Val!$D$2:$D$10,0)),0,1)))</f>
        <v>#REF!</v>
      </c>
    </row>
    <row r="630" spans="1:63" x14ac:dyDescent="0.25">
      <c r="A630" s="9" t="str">
        <f>IF(Data!B630="","",IF(COUNTIFS(Data!A$1:'Data'!A630,Data!A630)&lt;=1,0,1))</f>
        <v/>
      </c>
      <c r="B630" s="9"/>
      <c r="C630" s="23" t="str">
        <f>IF(Data!C630="","",(IF(ISNUMBER(MATCH("*@*.?*",Data!C630,0)),0,1)+IF(COUNTIFS(Data!C$1:'Data'!C630,Data!C630)&gt;1,1,0)))</f>
        <v/>
      </c>
      <c r="D630" s="9" t="str">
        <f>IF(Data!B630="","",IF(ISNUMBER(Data!D630),IF(AND(Data!D630&gt;999999999,Data!D630&lt;=9999999999),IF(COUNTIFS(Data!D$1:'Data'!D630,Data!D630)&lt;=1,0,1),1),1))</f>
        <v/>
      </c>
      <c r="E630" s="9" t="str">
        <f>IF(Data!B630="","",IF(ISNUMBER(MATCH(Data!E630,Data_Val!$A$2:$A$3,0)),0,1))</f>
        <v/>
      </c>
      <c r="F630" s="9" t="str">
        <f ca="1">IF(Data!B630="","",IF(ISNUMBER(Data!F630),IF(AND(Data!F630&gt;(TODAY()-(Data_Val!$H$3*365.25)),Data!F630&lt;=(TODAY()-(Data_Val!$H$2*365.25))),0,1),1))</f>
        <v/>
      </c>
      <c r="G630" s="15" t="str">
        <f>IF(Data!B630="","",IF(AND(Data!G630="",Data!H630&lt;&gt;""),1,IF(Data!#REF!&lt;&gt;"",0,IF(ISNUMBER(MATCH(Data!G630,Data_Val!$C$2:$C$5,0)),0,1))))</f>
        <v/>
      </c>
      <c r="H630" s="15" t="str">
        <f>IF(Data!B630="","",IF(AND(Data!G630&lt;&gt;"",Data!H630=""),1,IF(Data!#REF!&lt;&gt;"",0,IF(Data!G630="",1,IF(ISNUMBER(MATCH(Data!H630,Data_Val!$D$2:$D$35,0)),0,1)))))</f>
        <v/>
      </c>
      <c r="I630" s="15" t="str">
        <f>IF(Data!B630="","",IF(Data!G630&lt;&gt;"",0,IF(ISNUMBER(MATCH(Data!#REF!,Data_Val!$E$2:$E$12,0)),0,1)))</f>
        <v/>
      </c>
      <c r="J630" s="16" t="e">
        <f>IF(OR(Data!B630="",Data!#REF!=""),"",IF(Data!#REF!="",1,0))</f>
        <v>#REF!</v>
      </c>
      <c r="K630" s="16" t="e">
        <f>IF(OR(Data!B630="",Data!#REF!=""),"",IF(Data!#REF!="",1,0))</f>
        <v>#REF!</v>
      </c>
      <c r="L630" s="16" t="e">
        <f>IF(OR(Data!B630="",Data!#REF!=""),"",IF(ISNUMBER(Data!#REF!),IF(AND(Data!#REF!&gt;Data_Val!$G$2,Data!#REF!&lt;=Data_Val!$G$3),0,1),1))</f>
        <v>#REF!</v>
      </c>
      <c r="M630" s="9" t="e">
        <f>IF(OR(Data!B630="",Data!#REF!=""),"",IF(ISNUMBER(MATCH(Data!#REF!,Data_Val!$F$1:$F$38,0)),0,1))</f>
        <v>#REF!</v>
      </c>
      <c r="N630" s="9" t="e">
        <f>IF(OR(Data!B630="",Data!#REF!=""),"",IF(Data!#REF!="",1,0))</f>
        <v>#REF!</v>
      </c>
      <c r="O630" s="17" t="e">
        <f>IF(Data!#REF!="","",IF(Data!#REF!="",1,0))</f>
        <v>#REF!</v>
      </c>
      <c r="P630" s="17" t="e">
        <f>IF(Data!#REF!="","",IF(ISNUMBER(MATCH(Data!#REF!,Data_Val!$A$2:$A$3,0)),0,1))</f>
        <v>#REF!</v>
      </c>
      <c r="Q630" s="25" t="e">
        <f ca="1">IF(Data!#REF!="","",IF(ISNUMBER(Data!#REF!),IF(AND(Data!#REF!&gt;(TODAY()-(Data_Val!$J$3*365.25)),Data!#REF!&lt;=(TODAY()-(Data_Val!$J$2*365.25))),0,1),1))</f>
        <v>#REF!</v>
      </c>
      <c r="R630" s="17" t="e">
        <f>IF(Data!#REF!="","",IF(ISNUMBER(MATCH(Data!#REF!,Data_Val!$B$2:$B$15,0)),0,1))</f>
        <v>#REF!</v>
      </c>
      <c r="S630" s="11" t="str">
        <f>IF(Data!G630="","",IF(Data!G630=Data_Val!$C$2,IF(Data!M630="",0,1),0))</f>
        <v/>
      </c>
      <c r="T630" s="11" t="str">
        <f>IF(Data!M630="","",IF(ISNUMBER(MATCH(Data!N630,Data_Val!$A$2:$A$3,0)),0,1))</f>
        <v/>
      </c>
      <c r="U630" s="11" t="str">
        <f ca="1">IF(Data!M630="","",IF(ISNUMBER(Data!O630),IF(AND(Data!O630&gt;(TODAY()-(Data_Val!$K$3*365.25)),Data!O630&lt;=(TODAY()-(Data_Val!$K$2*365.25))),0,1),1))</f>
        <v/>
      </c>
      <c r="V630" s="12" t="str">
        <f>IF(Data!G630="","",IF(Data!G630=Data_Val!$C$2,IF(Data!P630="",0,1),0))</f>
        <v/>
      </c>
      <c r="W630" s="12" t="str">
        <f>IF(Data!P630="","",IF(ISNUMBER(MATCH(Data!Q630,Data_Val!$A$2:$A$3,0)),0,1))</f>
        <v/>
      </c>
      <c r="X630" s="26" t="str">
        <f ca="1">IF(Data!P630="","",IF(ISNUMBER(Data!R630),IF(AND(Data!R630&gt;(TODAY()-(Data_Val!$L$3*365.25)),Data!R630&lt;=(TODAY()-(Data_Val!$L$2*365.25))),0,1),1))</f>
        <v/>
      </c>
      <c r="Y630" s="13" t="str">
        <f>IF(Data!$G630="","",IF(Data!$G630=Data_Val!$C$2,IF(Data!S630="",0,1),0))</f>
        <v/>
      </c>
      <c r="Z630" s="13" t="str">
        <f>IF(Data!S630="","",IF(ISNUMBER(MATCH(Data!T630,Data_Val!$A$2:$A$3,0)),0,1))</f>
        <v/>
      </c>
      <c r="AA630" s="28" t="str">
        <f ca="1">IF(Data!S630="","",IF(ISNUMBER(Data!U630),IF(AND(Data!U630&gt;(TODAY()-(Data_Val!$L$3*365.25)),Data!U630&lt;=(TODAY()-(Data_Val!$L$2*365.25))),0,1),1))</f>
        <v/>
      </c>
      <c r="AB630" s="11"/>
      <c r="AC630" s="11" t="e">
        <f>IF(Data!#REF!="","",IF(ISNUMBER(MATCH(Data!#REF!,Data_Val!$A$2:$A$3,0)),0,1))</f>
        <v>#REF!</v>
      </c>
      <c r="AD630" s="11" t="e">
        <f ca="1">IF(Data!#REF!="","",IF(ISNUMBER(Data!#REF!),IF(AND(Data!#REF!&gt;(TODAY()-(Data_Val!$L$3*365.25)),Data!#REF!&lt;=(TODAY()-(Data_Val!$L$2*365.25))),0,1),1))</f>
        <v>#REF!</v>
      </c>
      <c r="AE630" s="11" t="e">
        <f>IF(Data!#REF!="","",IF(Data!$G630="",1,IF(ISNUMBER(MATCH(Data!#REF!,Data_Val!$D$2:$D$10,0)),0,1)))</f>
        <v>#REF!</v>
      </c>
      <c r="AF630" s="12"/>
      <c r="AG630" s="12" t="e">
        <f>IF(Data!#REF!="","",IF(ISNUMBER(MATCH(Data!#REF!,Data_Val!$A$2:$A$3,0)),0,1))</f>
        <v>#REF!</v>
      </c>
      <c r="AH630" s="26" t="e">
        <f ca="1">IF(Data!#REF!="","",IF(ISNUMBER(Data!#REF!),IF(AND(Data!#REF!&gt;(TODAY()-(Data_Val!$L$3*365.25)),Data!#REF!&lt;=(TODAY()-(Data_Val!$L$2*365.25))),0,1),1))</f>
        <v>#REF!</v>
      </c>
      <c r="AI630" s="12" t="e">
        <f>IF(Data!#REF!="","",IF(Data!$G630="",1,IF(ISNUMBER(MATCH(Data!#REF!,Data_Val!$D$2:$D$10,0)),0,1)))</f>
        <v>#REF!</v>
      </c>
      <c r="AJ630" s="17"/>
      <c r="AK630" s="17" t="e">
        <f>IF(Data!#REF!="","",IF(ISNUMBER(MATCH(Data!#REF!,Data_Val!$A$2:$A$3,0)),0,1))</f>
        <v>#REF!</v>
      </c>
      <c r="AL630" s="25" t="e">
        <f ca="1">IF(Data!#REF!="","",IF(ISNUMBER(Data!#REF!),IF(AND(Data!#REF!&gt;(TODAY()-(Data_Val!$L$3*365.25)),Data!#REF!&lt;=(TODAY()-(Data_Val!$L$2*365.25))),0,1),1))</f>
        <v>#REF!</v>
      </c>
      <c r="AM630" s="17" t="e">
        <f>IF(Data!#REF!="","",IF(Data!$G630="",1,IF(ISNUMBER(MATCH(Data!#REF!,Data_Val!$D$2:$D$10,0)),0,1)))</f>
        <v>#REF!</v>
      </c>
      <c r="AN630" s="13"/>
      <c r="AO630" s="28" t="e">
        <f ca="1">IF(Data!#REF!="","",IF(ISNUMBER(Data!#REF!),IF(AND(Data!#REF!&gt;(TODAY()-(Data_Val!$I$3*365.25)),Data!#REF!&lt;=(TODAY()-(Data_Val!$I$2*365.25))),0,1),1))</f>
        <v>#REF!</v>
      </c>
      <c r="AP630" s="13" t="e">
        <f>IF(Data!#REF!="","",IF(Data!$G630="",1,IF(ISNUMBER(MATCH(Data!#REF!,Data_Val!$D$2:$D$10,0)),0,1)))</f>
        <v>#REF!</v>
      </c>
      <c r="AQ630" s="17"/>
      <c r="AR630" s="30" t="e">
        <f ca="1">IF(Data!#REF!="","",IF(ISNUMBER(Data!#REF!),IF(AND(Data!#REF!&gt;(TODAY()-(Data_Val!$I$3*365.25)),Data!#REF!&lt;=(TODAY()-(Data_Val!$I$2*365.25))),0,1),1))</f>
        <v>#REF!</v>
      </c>
      <c r="AS630" s="31" t="e">
        <f>IF(Data!#REF!="","",IF(Data!$G630="",1,IF(ISNUMBER(MATCH(Data!#REF!,Data_Val!$D$2:$D$10,0)),0,1)))</f>
        <v>#REF!</v>
      </c>
      <c r="AT630" s="11"/>
      <c r="AU630" s="11" t="e">
        <f ca="1">IF(Data!#REF!="","",IF(ISNUMBER(Data!#REF!),IF(AND(Data!#REF!&gt;(TODAY()-(Data_Val!$I$3*365.25)),Data!#REF!&lt;=(TODAY()-(Data_Val!$I$2*365.25))),0,1),1))</f>
        <v>#REF!</v>
      </c>
      <c r="AV630" s="11" t="e">
        <f>IF(Data!#REF!="","",IF(Data!$G630="",1,IF(ISNUMBER(MATCH(Data!#REF!,Data_Val!$D$2:$D$10,0)),0,1)))</f>
        <v>#REF!</v>
      </c>
      <c r="AW630" s="12"/>
      <c r="AX630" s="26" t="e">
        <f ca="1">IF(Data!#REF!="","",IF(ISNUMBER(Data!#REF!),IF(AND(Data!#REF!&gt;(TODAY()-(Data_Val!$I$3*365.25)),Data!#REF!&lt;=(TODAY()-(Data_Val!$I$2*365.25))),0,1),1))</f>
        <v>#REF!</v>
      </c>
      <c r="AY630" s="12" t="e">
        <f>IF(Data!#REF!="","",IF(Data!$G630="",1,IF(ISNUMBER(MATCH(Data!#REF!,Data_Val!$D$2:$D$10,0)),0,1)))</f>
        <v>#REF!</v>
      </c>
      <c r="AZ630" s="11"/>
      <c r="BA630" s="19" t="e">
        <f ca="1">IF(Data!#REF!="","",IF(ISNUMBER(Data!#REF!),IF(AND(Data!#REF!&gt;(TODAY()-(Data_Val!$M$3*365.25)),Data!#REF!&lt;=(TODAY()-(Data_Val!$M$2*365.25))),0,1),1))</f>
        <v>#REF!</v>
      </c>
      <c r="BB630" s="11" t="e">
        <f>IF(Data!#REF!="","",IF(Data!$G630="",1,IF(ISNUMBER(MATCH(Data!#REF!,Data_Val!$D$2:$D$10,0)),0,1)))</f>
        <v>#REF!</v>
      </c>
      <c r="BC630" s="12"/>
      <c r="BD630" s="20" t="e">
        <f ca="1">IF(Data!#REF!="","",IF(ISNUMBER(Data!#REF!),IF(AND(Data!#REF!&gt;(TODAY()-(Data_Val!$M$3*365.25)),Data!#REF!&lt;=(TODAY()-(Data_Val!$M$2*365.25))),0,1),1))</f>
        <v>#REF!</v>
      </c>
      <c r="BE630" s="12" t="e">
        <f>IF(Data!#REF!="","",IF(Data!$G630="",1,IF(ISNUMBER(MATCH(Data!#REF!,Data_Val!$D$2:$D$10,0)),0,1)))</f>
        <v>#REF!</v>
      </c>
      <c r="BF630" s="17"/>
      <c r="BG630" s="18" t="e">
        <f ca="1">IF(Data!#REF!="","",IF(ISNUMBER(Data!#REF!),IF(AND(Data!#REF!&gt;(TODAY()-(Data_Val!$M$3*365.25)),Data!#REF!&lt;=(TODAY()-(Data_Val!$M$2*365.25))),0,1),1))</f>
        <v>#REF!</v>
      </c>
      <c r="BH630" s="29" t="e">
        <f>IF(Data!#REF!="","",IF(Data!$G630="",1,IF(ISNUMBER(MATCH(Data!#REF!,Data_Val!$D$2:$D$10,0)),0,1)))</f>
        <v>#REF!</v>
      </c>
      <c r="BI630" s="13"/>
      <c r="BJ630" s="21" t="e">
        <f ca="1">IF(Data!#REF!="","",IF(ISNUMBER(Data!#REF!),IF(AND(Data!#REF!&gt;(TODAY()-(Data_Val!$M$3*365.25)),Data!#REF!&lt;=(TODAY()-(Data_Val!$M$2*365.25))),0,1),1))</f>
        <v>#REF!</v>
      </c>
      <c r="BK630" s="13" t="e">
        <f>IF(Data!#REF!="","",IF(Data!$G630="",1,IF(ISNUMBER(MATCH(Data!#REF!,Data_Val!$D$2:$D$10,0)),0,1)))</f>
        <v>#REF!</v>
      </c>
    </row>
    <row r="631" spans="1:63" x14ac:dyDescent="0.25">
      <c r="A631" s="9" t="str">
        <f>IF(Data!B631="","",IF(COUNTIFS(Data!A$1:'Data'!A631,Data!A631)&lt;=1,0,1))</f>
        <v/>
      </c>
      <c r="B631" s="9"/>
      <c r="C631" s="23" t="str">
        <f>IF(Data!C631="","",(IF(ISNUMBER(MATCH("*@*.?*",Data!C631,0)),0,1)+IF(COUNTIFS(Data!C$1:'Data'!C631,Data!C631)&gt;1,1,0)))</f>
        <v/>
      </c>
      <c r="D631" s="9" t="str">
        <f>IF(Data!B631="","",IF(ISNUMBER(Data!D631),IF(AND(Data!D631&gt;999999999,Data!D631&lt;=9999999999),IF(COUNTIFS(Data!D$1:'Data'!D631,Data!D631)&lt;=1,0,1),1),1))</f>
        <v/>
      </c>
      <c r="E631" s="9" t="str">
        <f>IF(Data!B631="","",IF(ISNUMBER(MATCH(Data!E631,Data_Val!$A$2:$A$3,0)),0,1))</f>
        <v/>
      </c>
      <c r="F631" s="9" t="str">
        <f ca="1">IF(Data!B631="","",IF(ISNUMBER(Data!F631),IF(AND(Data!F631&gt;(TODAY()-(Data_Val!$H$3*365.25)),Data!F631&lt;=(TODAY()-(Data_Val!$H$2*365.25))),0,1),1))</f>
        <v/>
      </c>
      <c r="G631" s="15" t="str">
        <f>IF(Data!B631="","",IF(AND(Data!G631="",Data!H631&lt;&gt;""),1,IF(Data!#REF!&lt;&gt;"",0,IF(ISNUMBER(MATCH(Data!G631,Data_Val!$C$2:$C$5,0)),0,1))))</f>
        <v/>
      </c>
      <c r="H631" s="15" t="str">
        <f>IF(Data!B631="","",IF(AND(Data!G631&lt;&gt;"",Data!H631=""),1,IF(Data!#REF!&lt;&gt;"",0,IF(Data!G631="",1,IF(ISNUMBER(MATCH(Data!H631,Data_Val!$D$2:$D$35,0)),0,1)))))</f>
        <v/>
      </c>
      <c r="I631" s="15" t="str">
        <f>IF(Data!B631="","",IF(Data!G631&lt;&gt;"",0,IF(ISNUMBER(MATCH(Data!#REF!,Data_Val!$E$2:$E$12,0)),0,1)))</f>
        <v/>
      </c>
      <c r="J631" s="16" t="e">
        <f>IF(OR(Data!B631="",Data!#REF!=""),"",IF(Data!#REF!="",1,0))</f>
        <v>#REF!</v>
      </c>
      <c r="K631" s="16" t="e">
        <f>IF(OR(Data!B631="",Data!#REF!=""),"",IF(Data!#REF!="",1,0))</f>
        <v>#REF!</v>
      </c>
      <c r="L631" s="16" t="e">
        <f>IF(OR(Data!B631="",Data!#REF!=""),"",IF(ISNUMBER(Data!#REF!),IF(AND(Data!#REF!&gt;Data_Val!$G$2,Data!#REF!&lt;=Data_Val!$G$3),0,1),1))</f>
        <v>#REF!</v>
      </c>
      <c r="M631" s="9" t="e">
        <f>IF(OR(Data!B631="",Data!#REF!=""),"",IF(ISNUMBER(MATCH(Data!#REF!,Data_Val!$F$1:$F$38,0)),0,1))</f>
        <v>#REF!</v>
      </c>
      <c r="N631" s="9" t="e">
        <f>IF(OR(Data!B631="",Data!#REF!=""),"",IF(Data!#REF!="",1,0))</f>
        <v>#REF!</v>
      </c>
      <c r="O631" s="17" t="e">
        <f>IF(Data!#REF!="","",IF(Data!#REF!="",1,0))</f>
        <v>#REF!</v>
      </c>
      <c r="P631" s="17" t="e">
        <f>IF(Data!#REF!="","",IF(ISNUMBER(MATCH(Data!#REF!,Data_Val!$A$2:$A$3,0)),0,1))</f>
        <v>#REF!</v>
      </c>
      <c r="Q631" s="25" t="e">
        <f ca="1">IF(Data!#REF!="","",IF(ISNUMBER(Data!#REF!),IF(AND(Data!#REF!&gt;(TODAY()-(Data_Val!$J$3*365.25)),Data!#REF!&lt;=(TODAY()-(Data_Val!$J$2*365.25))),0,1),1))</f>
        <v>#REF!</v>
      </c>
      <c r="R631" s="17" t="e">
        <f>IF(Data!#REF!="","",IF(ISNUMBER(MATCH(Data!#REF!,Data_Val!$B$2:$B$15,0)),0,1))</f>
        <v>#REF!</v>
      </c>
      <c r="S631" s="11" t="str">
        <f>IF(Data!G631="","",IF(Data!G631=Data_Val!$C$2,IF(Data!M631="",0,1),0))</f>
        <v/>
      </c>
      <c r="T631" s="11" t="str">
        <f>IF(Data!M631="","",IF(ISNUMBER(MATCH(Data!N631,Data_Val!$A$2:$A$3,0)),0,1))</f>
        <v/>
      </c>
      <c r="U631" s="11" t="str">
        <f ca="1">IF(Data!M631="","",IF(ISNUMBER(Data!O631),IF(AND(Data!O631&gt;(TODAY()-(Data_Val!$K$3*365.25)),Data!O631&lt;=(TODAY()-(Data_Val!$K$2*365.25))),0,1),1))</f>
        <v/>
      </c>
      <c r="V631" s="12" t="str">
        <f>IF(Data!G631="","",IF(Data!G631=Data_Val!$C$2,IF(Data!P631="",0,1),0))</f>
        <v/>
      </c>
      <c r="W631" s="12" t="str">
        <f>IF(Data!P631="","",IF(ISNUMBER(MATCH(Data!Q631,Data_Val!$A$2:$A$3,0)),0,1))</f>
        <v/>
      </c>
      <c r="X631" s="26" t="str">
        <f ca="1">IF(Data!P631="","",IF(ISNUMBER(Data!R631),IF(AND(Data!R631&gt;(TODAY()-(Data_Val!$L$3*365.25)),Data!R631&lt;=(TODAY()-(Data_Val!$L$2*365.25))),0,1),1))</f>
        <v/>
      </c>
      <c r="Y631" s="13" t="str">
        <f>IF(Data!$G631="","",IF(Data!$G631=Data_Val!$C$2,IF(Data!S631="",0,1),0))</f>
        <v/>
      </c>
      <c r="Z631" s="13" t="str">
        <f>IF(Data!S631="","",IF(ISNUMBER(MATCH(Data!T631,Data_Val!$A$2:$A$3,0)),0,1))</f>
        <v/>
      </c>
      <c r="AA631" s="28" t="str">
        <f ca="1">IF(Data!S631="","",IF(ISNUMBER(Data!U631),IF(AND(Data!U631&gt;(TODAY()-(Data_Val!$L$3*365.25)),Data!U631&lt;=(TODAY()-(Data_Val!$L$2*365.25))),0,1),1))</f>
        <v/>
      </c>
      <c r="AB631" s="11"/>
      <c r="AC631" s="11" t="e">
        <f>IF(Data!#REF!="","",IF(ISNUMBER(MATCH(Data!#REF!,Data_Val!$A$2:$A$3,0)),0,1))</f>
        <v>#REF!</v>
      </c>
      <c r="AD631" s="11" t="e">
        <f ca="1">IF(Data!#REF!="","",IF(ISNUMBER(Data!#REF!),IF(AND(Data!#REF!&gt;(TODAY()-(Data_Val!$L$3*365.25)),Data!#REF!&lt;=(TODAY()-(Data_Val!$L$2*365.25))),0,1),1))</f>
        <v>#REF!</v>
      </c>
      <c r="AE631" s="11" t="e">
        <f>IF(Data!#REF!="","",IF(Data!$G631="",1,IF(ISNUMBER(MATCH(Data!#REF!,Data_Val!$D$2:$D$10,0)),0,1)))</f>
        <v>#REF!</v>
      </c>
      <c r="AF631" s="12"/>
      <c r="AG631" s="12" t="e">
        <f>IF(Data!#REF!="","",IF(ISNUMBER(MATCH(Data!#REF!,Data_Val!$A$2:$A$3,0)),0,1))</f>
        <v>#REF!</v>
      </c>
      <c r="AH631" s="26" t="e">
        <f ca="1">IF(Data!#REF!="","",IF(ISNUMBER(Data!#REF!),IF(AND(Data!#REF!&gt;(TODAY()-(Data_Val!$L$3*365.25)),Data!#REF!&lt;=(TODAY()-(Data_Val!$L$2*365.25))),0,1),1))</f>
        <v>#REF!</v>
      </c>
      <c r="AI631" s="12" t="e">
        <f>IF(Data!#REF!="","",IF(Data!$G631="",1,IF(ISNUMBER(MATCH(Data!#REF!,Data_Val!$D$2:$D$10,0)),0,1)))</f>
        <v>#REF!</v>
      </c>
      <c r="AJ631" s="17"/>
      <c r="AK631" s="17" t="e">
        <f>IF(Data!#REF!="","",IF(ISNUMBER(MATCH(Data!#REF!,Data_Val!$A$2:$A$3,0)),0,1))</f>
        <v>#REF!</v>
      </c>
      <c r="AL631" s="25" t="e">
        <f ca="1">IF(Data!#REF!="","",IF(ISNUMBER(Data!#REF!),IF(AND(Data!#REF!&gt;(TODAY()-(Data_Val!$L$3*365.25)),Data!#REF!&lt;=(TODAY()-(Data_Val!$L$2*365.25))),0,1),1))</f>
        <v>#REF!</v>
      </c>
      <c r="AM631" s="17" t="e">
        <f>IF(Data!#REF!="","",IF(Data!$G631="",1,IF(ISNUMBER(MATCH(Data!#REF!,Data_Val!$D$2:$D$10,0)),0,1)))</f>
        <v>#REF!</v>
      </c>
      <c r="AN631" s="13"/>
      <c r="AO631" s="28" t="e">
        <f ca="1">IF(Data!#REF!="","",IF(ISNUMBER(Data!#REF!),IF(AND(Data!#REF!&gt;(TODAY()-(Data_Val!$I$3*365.25)),Data!#REF!&lt;=(TODAY()-(Data_Val!$I$2*365.25))),0,1),1))</f>
        <v>#REF!</v>
      </c>
      <c r="AP631" s="13" t="e">
        <f>IF(Data!#REF!="","",IF(Data!$G631="",1,IF(ISNUMBER(MATCH(Data!#REF!,Data_Val!$D$2:$D$10,0)),0,1)))</f>
        <v>#REF!</v>
      </c>
      <c r="AQ631" s="17"/>
      <c r="AR631" s="30" t="e">
        <f ca="1">IF(Data!#REF!="","",IF(ISNUMBER(Data!#REF!),IF(AND(Data!#REF!&gt;(TODAY()-(Data_Val!$I$3*365.25)),Data!#REF!&lt;=(TODAY()-(Data_Val!$I$2*365.25))),0,1),1))</f>
        <v>#REF!</v>
      </c>
      <c r="AS631" s="31" t="e">
        <f>IF(Data!#REF!="","",IF(Data!$G631="",1,IF(ISNUMBER(MATCH(Data!#REF!,Data_Val!$D$2:$D$10,0)),0,1)))</f>
        <v>#REF!</v>
      </c>
      <c r="AT631" s="11"/>
      <c r="AU631" s="11" t="e">
        <f ca="1">IF(Data!#REF!="","",IF(ISNUMBER(Data!#REF!),IF(AND(Data!#REF!&gt;(TODAY()-(Data_Val!$I$3*365.25)),Data!#REF!&lt;=(TODAY()-(Data_Val!$I$2*365.25))),0,1),1))</f>
        <v>#REF!</v>
      </c>
      <c r="AV631" s="11" t="e">
        <f>IF(Data!#REF!="","",IF(Data!$G631="",1,IF(ISNUMBER(MATCH(Data!#REF!,Data_Val!$D$2:$D$10,0)),0,1)))</f>
        <v>#REF!</v>
      </c>
      <c r="AW631" s="12"/>
      <c r="AX631" s="26" t="e">
        <f ca="1">IF(Data!#REF!="","",IF(ISNUMBER(Data!#REF!),IF(AND(Data!#REF!&gt;(TODAY()-(Data_Val!$I$3*365.25)),Data!#REF!&lt;=(TODAY()-(Data_Val!$I$2*365.25))),0,1),1))</f>
        <v>#REF!</v>
      </c>
      <c r="AY631" s="12" t="e">
        <f>IF(Data!#REF!="","",IF(Data!$G631="",1,IF(ISNUMBER(MATCH(Data!#REF!,Data_Val!$D$2:$D$10,0)),0,1)))</f>
        <v>#REF!</v>
      </c>
      <c r="AZ631" s="11"/>
      <c r="BA631" s="19" t="e">
        <f ca="1">IF(Data!#REF!="","",IF(ISNUMBER(Data!#REF!),IF(AND(Data!#REF!&gt;(TODAY()-(Data_Val!$M$3*365.25)),Data!#REF!&lt;=(TODAY()-(Data_Val!$M$2*365.25))),0,1),1))</f>
        <v>#REF!</v>
      </c>
      <c r="BB631" s="11" t="e">
        <f>IF(Data!#REF!="","",IF(Data!$G631="",1,IF(ISNUMBER(MATCH(Data!#REF!,Data_Val!$D$2:$D$10,0)),0,1)))</f>
        <v>#REF!</v>
      </c>
      <c r="BC631" s="12"/>
      <c r="BD631" s="20" t="e">
        <f ca="1">IF(Data!#REF!="","",IF(ISNUMBER(Data!#REF!),IF(AND(Data!#REF!&gt;(TODAY()-(Data_Val!$M$3*365.25)),Data!#REF!&lt;=(TODAY()-(Data_Val!$M$2*365.25))),0,1),1))</f>
        <v>#REF!</v>
      </c>
      <c r="BE631" s="12" t="e">
        <f>IF(Data!#REF!="","",IF(Data!$G631="",1,IF(ISNUMBER(MATCH(Data!#REF!,Data_Val!$D$2:$D$10,0)),0,1)))</f>
        <v>#REF!</v>
      </c>
      <c r="BF631" s="17"/>
      <c r="BG631" s="18" t="e">
        <f ca="1">IF(Data!#REF!="","",IF(ISNUMBER(Data!#REF!),IF(AND(Data!#REF!&gt;(TODAY()-(Data_Val!$M$3*365.25)),Data!#REF!&lt;=(TODAY()-(Data_Val!$M$2*365.25))),0,1),1))</f>
        <v>#REF!</v>
      </c>
      <c r="BH631" s="29" t="e">
        <f>IF(Data!#REF!="","",IF(Data!$G631="",1,IF(ISNUMBER(MATCH(Data!#REF!,Data_Val!$D$2:$D$10,0)),0,1)))</f>
        <v>#REF!</v>
      </c>
      <c r="BI631" s="13"/>
      <c r="BJ631" s="21" t="e">
        <f ca="1">IF(Data!#REF!="","",IF(ISNUMBER(Data!#REF!),IF(AND(Data!#REF!&gt;(TODAY()-(Data_Val!$M$3*365.25)),Data!#REF!&lt;=(TODAY()-(Data_Val!$M$2*365.25))),0,1),1))</f>
        <v>#REF!</v>
      </c>
      <c r="BK631" s="13" t="e">
        <f>IF(Data!#REF!="","",IF(Data!$G631="",1,IF(ISNUMBER(MATCH(Data!#REF!,Data_Val!$D$2:$D$10,0)),0,1)))</f>
        <v>#REF!</v>
      </c>
    </row>
    <row r="632" spans="1:63" x14ac:dyDescent="0.25">
      <c r="A632" s="9" t="str">
        <f>IF(Data!B632="","",IF(COUNTIFS(Data!A$1:'Data'!A632,Data!A632)&lt;=1,0,1))</f>
        <v/>
      </c>
      <c r="B632" s="9"/>
      <c r="C632" s="23" t="str">
        <f>IF(Data!C632="","",(IF(ISNUMBER(MATCH("*@*.?*",Data!C632,0)),0,1)+IF(COUNTIFS(Data!C$1:'Data'!C632,Data!C632)&gt;1,1,0)))</f>
        <v/>
      </c>
      <c r="D632" s="9" t="str">
        <f>IF(Data!B632="","",IF(ISNUMBER(Data!D632),IF(AND(Data!D632&gt;999999999,Data!D632&lt;=9999999999),IF(COUNTIFS(Data!D$1:'Data'!D632,Data!D632)&lt;=1,0,1),1),1))</f>
        <v/>
      </c>
      <c r="E632" s="9" t="str">
        <f>IF(Data!B632="","",IF(ISNUMBER(MATCH(Data!E632,Data_Val!$A$2:$A$3,0)),0,1))</f>
        <v/>
      </c>
      <c r="F632" s="9" t="str">
        <f ca="1">IF(Data!B632="","",IF(ISNUMBER(Data!F632),IF(AND(Data!F632&gt;(TODAY()-(Data_Val!$H$3*365.25)),Data!F632&lt;=(TODAY()-(Data_Val!$H$2*365.25))),0,1),1))</f>
        <v/>
      </c>
      <c r="G632" s="15" t="str">
        <f>IF(Data!B632="","",IF(AND(Data!G632="",Data!H632&lt;&gt;""),1,IF(Data!#REF!&lt;&gt;"",0,IF(ISNUMBER(MATCH(Data!G632,Data_Val!$C$2:$C$5,0)),0,1))))</f>
        <v/>
      </c>
      <c r="H632" s="15" t="str">
        <f>IF(Data!B632="","",IF(AND(Data!G632&lt;&gt;"",Data!H632=""),1,IF(Data!#REF!&lt;&gt;"",0,IF(Data!G632="",1,IF(ISNUMBER(MATCH(Data!H632,Data_Val!$D$2:$D$35,0)),0,1)))))</f>
        <v/>
      </c>
      <c r="I632" s="15" t="str">
        <f>IF(Data!B632="","",IF(Data!G632&lt;&gt;"",0,IF(ISNUMBER(MATCH(Data!#REF!,Data_Val!$E$2:$E$12,0)),0,1)))</f>
        <v/>
      </c>
      <c r="J632" s="16" t="e">
        <f>IF(OR(Data!B632="",Data!#REF!=""),"",IF(Data!#REF!="",1,0))</f>
        <v>#REF!</v>
      </c>
      <c r="K632" s="16" t="e">
        <f>IF(OR(Data!B632="",Data!#REF!=""),"",IF(Data!#REF!="",1,0))</f>
        <v>#REF!</v>
      </c>
      <c r="L632" s="16" t="e">
        <f>IF(OR(Data!B632="",Data!#REF!=""),"",IF(ISNUMBER(Data!#REF!),IF(AND(Data!#REF!&gt;Data_Val!$G$2,Data!#REF!&lt;=Data_Val!$G$3),0,1),1))</f>
        <v>#REF!</v>
      </c>
      <c r="M632" s="9" t="e">
        <f>IF(OR(Data!B632="",Data!#REF!=""),"",IF(ISNUMBER(MATCH(Data!#REF!,Data_Val!$F$1:$F$38,0)),0,1))</f>
        <v>#REF!</v>
      </c>
      <c r="N632" s="9" t="e">
        <f>IF(OR(Data!B632="",Data!#REF!=""),"",IF(Data!#REF!="",1,0))</f>
        <v>#REF!</v>
      </c>
      <c r="O632" s="17" t="e">
        <f>IF(Data!#REF!="","",IF(Data!#REF!="",1,0))</f>
        <v>#REF!</v>
      </c>
      <c r="P632" s="17" t="e">
        <f>IF(Data!#REF!="","",IF(ISNUMBER(MATCH(Data!#REF!,Data_Val!$A$2:$A$3,0)),0,1))</f>
        <v>#REF!</v>
      </c>
      <c r="Q632" s="25" t="e">
        <f ca="1">IF(Data!#REF!="","",IF(ISNUMBER(Data!#REF!),IF(AND(Data!#REF!&gt;(TODAY()-(Data_Val!$J$3*365.25)),Data!#REF!&lt;=(TODAY()-(Data_Val!$J$2*365.25))),0,1),1))</f>
        <v>#REF!</v>
      </c>
      <c r="R632" s="17" t="e">
        <f>IF(Data!#REF!="","",IF(ISNUMBER(MATCH(Data!#REF!,Data_Val!$B$2:$B$15,0)),0,1))</f>
        <v>#REF!</v>
      </c>
      <c r="S632" s="11" t="str">
        <f>IF(Data!G632="","",IF(Data!G632=Data_Val!$C$2,IF(Data!M632="",0,1),0))</f>
        <v/>
      </c>
      <c r="T632" s="11" t="str">
        <f>IF(Data!M632="","",IF(ISNUMBER(MATCH(Data!N632,Data_Val!$A$2:$A$3,0)),0,1))</f>
        <v/>
      </c>
      <c r="U632" s="11" t="str">
        <f ca="1">IF(Data!M632="","",IF(ISNUMBER(Data!O632),IF(AND(Data!O632&gt;(TODAY()-(Data_Val!$K$3*365.25)),Data!O632&lt;=(TODAY()-(Data_Val!$K$2*365.25))),0,1),1))</f>
        <v/>
      </c>
      <c r="V632" s="12" t="str">
        <f>IF(Data!G632="","",IF(Data!G632=Data_Val!$C$2,IF(Data!P632="",0,1),0))</f>
        <v/>
      </c>
      <c r="W632" s="12" t="str">
        <f>IF(Data!P632="","",IF(ISNUMBER(MATCH(Data!Q632,Data_Val!$A$2:$A$3,0)),0,1))</f>
        <v/>
      </c>
      <c r="X632" s="26" t="str">
        <f ca="1">IF(Data!P632="","",IF(ISNUMBER(Data!R632),IF(AND(Data!R632&gt;(TODAY()-(Data_Val!$L$3*365.25)),Data!R632&lt;=(TODAY()-(Data_Val!$L$2*365.25))),0,1),1))</f>
        <v/>
      </c>
      <c r="Y632" s="13" t="str">
        <f>IF(Data!$G632="","",IF(Data!$G632=Data_Val!$C$2,IF(Data!S632="",0,1),0))</f>
        <v/>
      </c>
      <c r="Z632" s="13" t="str">
        <f>IF(Data!S632="","",IF(ISNUMBER(MATCH(Data!T632,Data_Val!$A$2:$A$3,0)),0,1))</f>
        <v/>
      </c>
      <c r="AA632" s="28" t="str">
        <f ca="1">IF(Data!S632="","",IF(ISNUMBER(Data!U632),IF(AND(Data!U632&gt;(TODAY()-(Data_Val!$L$3*365.25)),Data!U632&lt;=(TODAY()-(Data_Val!$L$2*365.25))),0,1),1))</f>
        <v/>
      </c>
      <c r="AB632" s="11"/>
      <c r="AC632" s="11" t="e">
        <f>IF(Data!#REF!="","",IF(ISNUMBER(MATCH(Data!#REF!,Data_Val!$A$2:$A$3,0)),0,1))</f>
        <v>#REF!</v>
      </c>
      <c r="AD632" s="11" t="e">
        <f ca="1">IF(Data!#REF!="","",IF(ISNUMBER(Data!#REF!),IF(AND(Data!#REF!&gt;(TODAY()-(Data_Val!$L$3*365.25)),Data!#REF!&lt;=(TODAY()-(Data_Val!$L$2*365.25))),0,1),1))</f>
        <v>#REF!</v>
      </c>
      <c r="AE632" s="11" t="e">
        <f>IF(Data!#REF!="","",IF(Data!$G632="",1,IF(ISNUMBER(MATCH(Data!#REF!,Data_Val!$D$2:$D$10,0)),0,1)))</f>
        <v>#REF!</v>
      </c>
      <c r="AF632" s="12"/>
      <c r="AG632" s="12" t="e">
        <f>IF(Data!#REF!="","",IF(ISNUMBER(MATCH(Data!#REF!,Data_Val!$A$2:$A$3,0)),0,1))</f>
        <v>#REF!</v>
      </c>
      <c r="AH632" s="26" t="e">
        <f ca="1">IF(Data!#REF!="","",IF(ISNUMBER(Data!#REF!),IF(AND(Data!#REF!&gt;(TODAY()-(Data_Val!$L$3*365.25)),Data!#REF!&lt;=(TODAY()-(Data_Val!$L$2*365.25))),0,1),1))</f>
        <v>#REF!</v>
      </c>
      <c r="AI632" s="12" t="e">
        <f>IF(Data!#REF!="","",IF(Data!$G632="",1,IF(ISNUMBER(MATCH(Data!#REF!,Data_Val!$D$2:$D$10,0)),0,1)))</f>
        <v>#REF!</v>
      </c>
      <c r="AJ632" s="17"/>
      <c r="AK632" s="17" t="e">
        <f>IF(Data!#REF!="","",IF(ISNUMBER(MATCH(Data!#REF!,Data_Val!$A$2:$A$3,0)),0,1))</f>
        <v>#REF!</v>
      </c>
      <c r="AL632" s="25" t="e">
        <f ca="1">IF(Data!#REF!="","",IF(ISNUMBER(Data!#REF!),IF(AND(Data!#REF!&gt;(TODAY()-(Data_Val!$L$3*365.25)),Data!#REF!&lt;=(TODAY()-(Data_Val!$L$2*365.25))),0,1),1))</f>
        <v>#REF!</v>
      </c>
      <c r="AM632" s="17" t="e">
        <f>IF(Data!#REF!="","",IF(Data!$G632="",1,IF(ISNUMBER(MATCH(Data!#REF!,Data_Val!$D$2:$D$10,0)),0,1)))</f>
        <v>#REF!</v>
      </c>
      <c r="AN632" s="13"/>
      <c r="AO632" s="28" t="e">
        <f ca="1">IF(Data!#REF!="","",IF(ISNUMBER(Data!#REF!),IF(AND(Data!#REF!&gt;(TODAY()-(Data_Val!$I$3*365.25)),Data!#REF!&lt;=(TODAY()-(Data_Val!$I$2*365.25))),0,1),1))</f>
        <v>#REF!</v>
      </c>
      <c r="AP632" s="13" t="e">
        <f>IF(Data!#REF!="","",IF(Data!$G632="",1,IF(ISNUMBER(MATCH(Data!#REF!,Data_Val!$D$2:$D$10,0)),0,1)))</f>
        <v>#REF!</v>
      </c>
      <c r="AQ632" s="17"/>
      <c r="AR632" s="30" t="e">
        <f ca="1">IF(Data!#REF!="","",IF(ISNUMBER(Data!#REF!),IF(AND(Data!#REF!&gt;(TODAY()-(Data_Val!$I$3*365.25)),Data!#REF!&lt;=(TODAY()-(Data_Val!$I$2*365.25))),0,1),1))</f>
        <v>#REF!</v>
      </c>
      <c r="AS632" s="31" t="e">
        <f>IF(Data!#REF!="","",IF(Data!$G632="",1,IF(ISNUMBER(MATCH(Data!#REF!,Data_Val!$D$2:$D$10,0)),0,1)))</f>
        <v>#REF!</v>
      </c>
      <c r="AT632" s="11"/>
      <c r="AU632" s="11" t="e">
        <f ca="1">IF(Data!#REF!="","",IF(ISNUMBER(Data!#REF!),IF(AND(Data!#REF!&gt;(TODAY()-(Data_Val!$I$3*365.25)),Data!#REF!&lt;=(TODAY()-(Data_Val!$I$2*365.25))),0,1),1))</f>
        <v>#REF!</v>
      </c>
      <c r="AV632" s="11" t="e">
        <f>IF(Data!#REF!="","",IF(Data!$G632="",1,IF(ISNUMBER(MATCH(Data!#REF!,Data_Val!$D$2:$D$10,0)),0,1)))</f>
        <v>#REF!</v>
      </c>
      <c r="AW632" s="12"/>
      <c r="AX632" s="26" t="e">
        <f ca="1">IF(Data!#REF!="","",IF(ISNUMBER(Data!#REF!),IF(AND(Data!#REF!&gt;(TODAY()-(Data_Val!$I$3*365.25)),Data!#REF!&lt;=(TODAY()-(Data_Val!$I$2*365.25))),0,1),1))</f>
        <v>#REF!</v>
      </c>
      <c r="AY632" s="12" t="e">
        <f>IF(Data!#REF!="","",IF(Data!$G632="",1,IF(ISNUMBER(MATCH(Data!#REF!,Data_Val!$D$2:$D$10,0)),0,1)))</f>
        <v>#REF!</v>
      </c>
      <c r="AZ632" s="11"/>
      <c r="BA632" s="19" t="e">
        <f ca="1">IF(Data!#REF!="","",IF(ISNUMBER(Data!#REF!),IF(AND(Data!#REF!&gt;(TODAY()-(Data_Val!$M$3*365.25)),Data!#REF!&lt;=(TODAY()-(Data_Val!$M$2*365.25))),0,1),1))</f>
        <v>#REF!</v>
      </c>
      <c r="BB632" s="11" t="e">
        <f>IF(Data!#REF!="","",IF(Data!$G632="",1,IF(ISNUMBER(MATCH(Data!#REF!,Data_Val!$D$2:$D$10,0)),0,1)))</f>
        <v>#REF!</v>
      </c>
      <c r="BC632" s="12"/>
      <c r="BD632" s="20" t="e">
        <f ca="1">IF(Data!#REF!="","",IF(ISNUMBER(Data!#REF!),IF(AND(Data!#REF!&gt;(TODAY()-(Data_Val!$M$3*365.25)),Data!#REF!&lt;=(TODAY()-(Data_Val!$M$2*365.25))),0,1),1))</f>
        <v>#REF!</v>
      </c>
      <c r="BE632" s="12" t="e">
        <f>IF(Data!#REF!="","",IF(Data!$G632="",1,IF(ISNUMBER(MATCH(Data!#REF!,Data_Val!$D$2:$D$10,0)),0,1)))</f>
        <v>#REF!</v>
      </c>
      <c r="BF632" s="17"/>
      <c r="BG632" s="18" t="e">
        <f ca="1">IF(Data!#REF!="","",IF(ISNUMBER(Data!#REF!),IF(AND(Data!#REF!&gt;(TODAY()-(Data_Val!$M$3*365.25)),Data!#REF!&lt;=(TODAY()-(Data_Val!$M$2*365.25))),0,1),1))</f>
        <v>#REF!</v>
      </c>
      <c r="BH632" s="29" t="e">
        <f>IF(Data!#REF!="","",IF(Data!$G632="",1,IF(ISNUMBER(MATCH(Data!#REF!,Data_Val!$D$2:$D$10,0)),0,1)))</f>
        <v>#REF!</v>
      </c>
      <c r="BI632" s="13"/>
      <c r="BJ632" s="21" t="e">
        <f ca="1">IF(Data!#REF!="","",IF(ISNUMBER(Data!#REF!),IF(AND(Data!#REF!&gt;(TODAY()-(Data_Val!$M$3*365.25)),Data!#REF!&lt;=(TODAY()-(Data_Val!$M$2*365.25))),0,1),1))</f>
        <v>#REF!</v>
      </c>
      <c r="BK632" s="13" t="e">
        <f>IF(Data!#REF!="","",IF(Data!$G632="",1,IF(ISNUMBER(MATCH(Data!#REF!,Data_Val!$D$2:$D$10,0)),0,1)))</f>
        <v>#REF!</v>
      </c>
    </row>
    <row r="633" spans="1:63" x14ac:dyDescent="0.25">
      <c r="A633" s="9" t="str">
        <f>IF(Data!B633="","",IF(COUNTIFS(Data!A$1:'Data'!A633,Data!A633)&lt;=1,0,1))</f>
        <v/>
      </c>
      <c r="B633" s="9"/>
      <c r="C633" s="23" t="str">
        <f>IF(Data!C633="","",(IF(ISNUMBER(MATCH("*@*.?*",Data!C633,0)),0,1)+IF(COUNTIFS(Data!C$1:'Data'!C633,Data!C633)&gt;1,1,0)))</f>
        <v/>
      </c>
      <c r="D633" s="9" t="str">
        <f>IF(Data!B633="","",IF(ISNUMBER(Data!D633),IF(AND(Data!D633&gt;999999999,Data!D633&lt;=9999999999),IF(COUNTIFS(Data!D$1:'Data'!D633,Data!D633)&lt;=1,0,1),1),1))</f>
        <v/>
      </c>
      <c r="E633" s="9" t="str">
        <f>IF(Data!B633="","",IF(ISNUMBER(MATCH(Data!E633,Data_Val!$A$2:$A$3,0)),0,1))</f>
        <v/>
      </c>
      <c r="F633" s="9" t="str">
        <f ca="1">IF(Data!B633="","",IF(ISNUMBER(Data!F633),IF(AND(Data!F633&gt;(TODAY()-(Data_Val!$H$3*365.25)),Data!F633&lt;=(TODAY()-(Data_Val!$H$2*365.25))),0,1),1))</f>
        <v/>
      </c>
      <c r="G633" s="15" t="str">
        <f>IF(Data!B633="","",IF(AND(Data!G633="",Data!H633&lt;&gt;""),1,IF(Data!#REF!&lt;&gt;"",0,IF(ISNUMBER(MATCH(Data!G633,Data_Val!$C$2:$C$5,0)),0,1))))</f>
        <v/>
      </c>
      <c r="H633" s="15" t="str">
        <f>IF(Data!B633="","",IF(AND(Data!G633&lt;&gt;"",Data!H633=""),1,IF(Data!#REF!&lt;&gt;"",0,IF(Data!G633="",1,IF(ISNUMBER(MATCH(Data!H633,Data_Val!$D$2:$D$35,0)),0,1)))))</f>
        <v/>
      </c>
      <c r="I633" s="15" t="str">
        <f>IF(Data!B633="","",IF(Data!G633&lt;&gt;"",0,IF(ISNUMBER(MATCH(Data!#REF!,Data_Val!$E$2:$E$12,0)),0,1)))</f>
        <v/>
      </c>
      <c r="J633" s="16" t="e">
        <f>IF(OR(Data!B633="",Data!#REF!=""),"",IF(Data!#REF!="",1,0))</f>
        <v>#REF!</v>
      </c>
      <c r="K633" s="16" t="e">
        <f>IF(OR(Data!B633="",Data!#REF!=""),"",IF(Data!#REF!="",1,0))</f>
        <v>#REF!</v>
      </c>
      <c r="L633" s="16" t="e">
        <f>IF(OR(Data!B633="",Data!#REF!=""),"",IF(ISNUMBER(Data!#REF!),IF(AND(Data!#REF!&gt;Data_Val!$G$2,Data!#REF!&lt;=Data_Val!$G$3),0,1),1))</f>
        <v>#REF!</v>
      </c>
      <c r="M633" s="9" t="e">
        <f>IF(OR(Data!B633="",Data!#REF!=""),"",IF(ISNUMBER(MATCH(Data!#REF!,Data_Val!$F$1:$F$38,0)),0,1))</f>
        <v>#REF!</v>
      </c>
      <c r="N633" s="9" t="e">
        <f>IF(OR(Data!B633="",Data!#REF!=""),"",IF(Data!#REF!="",1,0))</f>
        <v>#REF!</v>
      </c>
      <c r="O633" s="17" t="e">
        <f>IF(Data!#REF!="","",IF(Data!#REF!="",1,0))</f>
        <v>#REF!</v>
      </c>
      <c r="P633" s="17" t="e">
        <f>IF(Data!#REF!="","",IF(ISNUMBER(MATCH(Data!#REF!,Data_Val!$A$2:$A$3,0)),0,1))</f>
        <v>#REF!</v>
      </c>
      <c r="Q633" s="25" t="e">
        <f ca="1">IF(Data!#REF!="","",IF(ISNUMBER(Data!#REF!),IF(AND(Data!#REF!&gt;(TODAY()-(Data_Val!$J$3*365.25)),Data!#REF!&lt;=(TODAY()-(Data_Val!$J$2*365.25))),0,1),1))</f>
        <v>#REF!</v>
      </c>
      <c r="R633" s="17" t="e">
        <f>IF(Data!#REF!="","",IF(ISNUMBER(MATCH(Data!#REF!,Data_Val!$B$2:$B$15,0)),0,1))</f>
        <v>#REF!</v>
      </c>
      <c r="S633" s="11" t="str">
        <f>IF(Data!G633="","",IF(Data!G633=Data_Val!$C$2,IF(Data!M633="",0,1),0))</f>
        <v/>
      </c>
      <c r="T633" s="11" t="str">
        <f>IF(Data!M633="","",IF(ISNUMBER(MATCH(Data!N633,Data_Val!$A$2:$A$3,0)),0,1))</f>
        <v/>
      </c>
      <c r="U633" s="11" t="str">
        <f ca="1">IF(Data!M633="","",IF(ISNUMBER(Data!O633),IF(AND(Data!O633&gt;(TODAY()-(Data_Val!$K$3*365.25)),Data!O633&lt;=(TODAY()-(Data_Val!$K$2*365.25))),0,1),1))</f>
        <v/>
      </c>
      <c r="V633" s="12" t="str">
        <f>IF(Data!G633="","",IF(Data!G633=Data_Val!$C$2,IF(Data!P633="",0,1),0))</f>
        <v/>
      </c>
      <c r="W633" s="12" t="str">
        <f>IF(Data!P633="","",IF(ISNUMBER(MATCH(Data!Q633,Data_Val!$A$2:$A$3,0)),0,1))</f>
        <v/>
      </c>
      <c r="X633" s="26" t="str">
        <f ca="1">IF(Data!P633="","",IF(ISNUMBER(Data!R633),IF(AND(Data!R633&gt;(TODAY()-(Data_Val!$L$3*365.25)),Data!R633&lt;=(TODAY()-(Data_Val!$L$2*365.25))),0,1),1))</f>
        <v/>
      </c>
      <c r="Y633" s="13" t="str">
        <f>IF(Data!$G633="","",IF(Data!$G633=Data_Val!$C$2,IF(Data!S633="",0,1),0))</f>
        <v/>
      </c>
      <c r="Z633" s="13" t="str">
        <f>IF(Data!S633="","",IF(ISNUMBER(MATCH(Data!T633,Data_Val!$A$2:$A$3,0)),0,1))</f>
        <v/>
      </c>
      <c r="AA633" s="28" t="str">
        <f ca="1">IF(Data!S633="","",IF(ISNUMBER(Data!U633),IF(AND(Data!U633&gt;(TODAY()-(Data_Val!$L$3*365.25)),Data!U633&lt;=(TODAY()-(Data_Val!$L$2*365.25))),0,1),1))</f>
        <v/>
      </c>
      <c r="AB633" s="11"/>
      <c r="AC633" s="11" t="e">
        <f>IF(Data!#REF!="","",IF(ISNUMBER(MATCH(Data!#REF!,Data_Val!$A$2:$A$3,0)),0,1))</f>
        <v>#REF!</v>
      </c>
      <c r="AD633" s="11" t="e">
        <f ca="1">IF(Data!#REF!="","",IF(ISNUMBER(Data!#REF!),IF(AND(Data!#REF!&gt;(TODAY()-(Data_Val!$L$3*365.25)),Data!#REF!&lt;=(TODAY()-(Data_Val!$L$2*365.25))),0,1),1))</f>
        <v>#REF!</v>
      </c>
      <c r="AE633" s="11" t="e">
        <f>IF(Data!#REF!="","",IF(Data!$G633="",1,IF(ISNUMBER(MATCH(Data!#REF!,Data_Val!$D$2:$D$10,0)),0,1)))</f>
        <v>#REF!</v>
      </c>
      <c r="AF633" s="12"/>
      <c r="AG633" s="12" t="e">
        <f>IF(Data!#REF!="","",IF(ISNUMBER(MATCH(Data!#REF!,Data_Val!$A$2:$A$3,0)),0,1))</f>
        <v>#REF!</v>
      </c>
      <c r="AH633" s="26" t="e">
        <f ca="1">IF(Data!#REF!="","",IF(ISNUMBER(Data!#REF!),IF(AND(Data!#REF!&gt;(TODAY()-(Data_Val!$L$3*365.25)),Data!#REF!&lt;=(TODAY()-(Data_Val!$L$2*365.25))),0,1),1))</f>
        <v>#REF!</v>
      </c>
      <c r="AI633" s="12" t="e">
        <f>IF(Data!#REF!="","",IF(Data!$G633="",1,IF(ISNUMBER(MATCH(Data!#REF!,Data_Val!$D$2:$D$10,0)),0,1)))</f>
        <v>#REF!</v>
      </c>
      <c r="AJ633" s="17"/>
      <c r="AK633" s="17" t="e">
        <f>IF(Data!#REF!="","",IF(ISNUMBER(MATCH(Data!#REF!,Data_Val!$A$2:$A$3,0)),0,1))</f>
        <v>#REF!</v>
      </c>
      <c r="AL633" s="25" t="e">
        <f ca="1">IF(Data!#REF!="","",IF(ISNUMBER(Data!#REF!),IF(AND(Data!#REF!&gt;(TODAY()-(Data_Val!$L$3*365.25)),Data!#REF!&lt;=(TODAY()-(Data_Val!$L$2*365.25))),0,1),1))</f>
        <v>#REF!</v>
      </c>
      <c r="AM633" s="17" t="e">
        <f>IF(Data!#REF!="","",IF(Data!$G633="",1,IF(ISNUMBER(MATCH(Data!#REF!,Data_Val!$D$2:$D$10,0)),0,1)))</f>
        <v>#REF!</v>
      </c>
      <c r="AN633" s="13"/>
      <c r="AO633" s="28" t="e">
        <f ca="1">IF(Data!#REF!="","",IF(ISNUMBER(Data!#REF!),IF(AND(Data!#REF!&gt;(TODAY()-(Data_Val!$I$3*365.25)),Data!#REF!&lt;=(TODAY()-(Data_Val!$I$2*365.25))),0,1),1))</f>
        <v>#REF!</v>
      </c>
      <c r="AP633" s="13" t="e">
        <f>IF(Data!#REF!="","",IF(Data!$G633="",1,IF(ISNUMBER(MATCH(Data!#REF!,Data_Val!$D$2:$D$10,0)),0,1)))</f>
        <v>#REF!</v>
      </c>
      <c r="AQ633" s="17"/>
      <c r="AR633" s="30" t="e">
        <f ca="1">IF(Data!#REF!="","",IF(ISNUMBER(Data!#REF!),IF(AND(Data!#REF!&gt;(TODAY()-(Data_Val!$I$3*365.25)),Data!#REF!&lt;=(TODAY()-(Data_Val!$I$2*365.25))),0,1),1))</f>
        <v>#REF!</v>
      </c>
      <c r="AS633" s="31" t="e">
        <f>IF(Data!#REF!="","",IF(Data!$G633="",1,IF(ISNUMBER(MATCH(Data!#REF!,Data_Val!$D$2:$D$10,0)),0,1)))</f>
        <v>#REF!</v>
      </c>
      <c r="AT633" s="11"/>
      <c r="AU633" s="11" t="e">
        <f ca="1">IF(Data!#REF!="","",IF(ISNUMBER(Data!#REF!),IF(AND(Data!#REF!&gt;(TODAY()-(Data_Val!$I$3*365.25)),Data!#REF!&lt;=(TODAY()-(Data_Val!$I$2*365.25))),0,1),1))</f>
        <v>#REF!</v>
      </c>
      <c r="AV633" s="11" t="e">
        <f>IF(Data!#REF!="","",IF(Data!$G633="",1,IF(ISNUMBER(MATCH(Data!#REF!,Data_Val!$D$2:$D$10,0)),0,1)))</f>
        <v>#REF!</v>
      </c>
      <c r="AW633" s="12"/>
      <c r="AX633" s="26" t="e">
        <f ca="1">IF(Data!#REF!="","",IF(ISNUMBER(Data!#REF!),IF(AND(Data!#REF!&gt;(TODAY()-(Data_Val!$I$3*365.25)),Data!#REF!&lt;=(TODAY()-(Data_Val!$I$2*365.25))),0,1),1))</f>
        <v>#REF!</v>
      </c>
      <c r="AY633" s="12" t="e">
        <f>IF(Data!#REF!="","",IF(Data!$G633="",1,IF(ISNUMBER(MATCH(Data!#REF!,Data_Val!$D$2:$D$10,0)),0,1)))</f>
        <v>#REF!</v>
      </c>
      <c r="AZ633" s="11"/>
      <c r="BA633" s="19" t="e">
        <f ca="1">IF(Data!#REF!="","",IF(ISNUMBER(Data!#REF!),IF(AND(Data!#REF!&gt;(TODAY()-(Data_Val!$M$3*365.25)),Data!#REF!&lt;=(TODAY()-(Data_Val!$M$2*365.25))),0,1),1))</f>
        <v>#REF!</v>
      </c>
      <c r="BB633" s="11" t="e">
        <f>IF(Data!#REF!="","",IF(Data!$G633="",1,IF(ISNUMBER(MATCH(Data!#REF!,Data_Val!$D$2:$D$10,0)),0,1)))</f>
        <v>#REF!</v>
      </c>
      <c r="BC633" s="12"/>
      <c r="BD633" s="20" t="e">
        <f ca="1">IF(Data!#REF!="","",IF(ISNUMBER(Data!#REF!),IF(AND(Data!#REF!&gt;(TODAY()-(Data_Val!$M$3*365.25)),Data!#REF!&lt;=(TODAY()-(Data_Val!$M$2*365.25))),0,1),1))</f>
        <v>#REF!</v>
      </c>
      <c r="BE633" s="12" t="e">
        <f>IF(Data!#REF!="","",IF(Data!$G633="",1,IF(ISNUMBER(MATCH(Data!#REF!,Data_Val!$D$2:$D$10,0)),0,1)))</f>
        <v>#REF!</v>
      </c>
      <c r="BF633" s="17"/>
      <c r="BG633" s="18" t="e">
        <f ca="1">IF(Data!#REF!="","",IF(ISNUMBER(Data!#REF!),IF(AND(Data!#REF!&gt;(TODAY()-(Data_Val!$M$3*365.25)),Data!#REF!&lt;=(TODAY()-(Data_Val!$M$2*365.25))),0,1),1))</f>
        <v>#REF!</v>
      </c>
      <c r="BH633" s="29" t="e">
        <f>IF(Data!#REF!="","",IF(Data!$G633="",1,IF(ISNUMBER(MATCH(Data!#REF!,Data_Val!$D$2:$D$10,0)),0,1)))</f>
        <v>#REF!</v>
      </c>
      <c r="BI633" s="13"/>
      <c r="BJ633" s="21" t="e">
        <f ca="1">IF(Data!#REF!="","",IF(ISNUMBER(Data!#REF!),IF(AND(Data!#REF!&gt;(TODAY()-(Data_Val!$M$3*365.25)),Data!#REF!&lt;=(TODAY()-(Data_Val!$M$2*365.25))),0,1),1))</f>
        <v>#REF!</v>
      </c>
      <c r="BK633" s="13" t="e">
        <f>IF(Data!#REF!="","",IF(Data!$G633="",1,IF(ISNUMBER(MATCH(Data!#REF!,Data_Val!$D$2:$D$10,0)),0,1)))</f>
        <v>#REF!</v>
      </c>
    </row>
    <row r="634" spans="1:63" x14ac:dyDescent="0.25">
      <c r="A634" s="9" t="str">
        <f>IF(Data!B634="","",IF(COUNTIFS(Data!A$1:'Data'!A634,Data!A634)&lt;=1,0,1))</f>
        <v/>
      </c>
      <c r="B634" s="9"/>
      <c r="C634" s="23" t="str">
        <f>IF(Data!C634="","",(IF(ISNUMBER(MATCH("*@*.?*",Data!C634,0)),0,1)+IF(COUNTIFS(Data!C$1:'Data'!C634,Data!C634)&gt;1,1,0)))</f>
        <v/>
      </c>
      <c r="D634" s="9" t="str">
        <f>IF(Data!B634="","",IF(ISNUMBER(Data!D634),IF(AND(Data!D634&gt;999999999,Data!D634&lt;=9999999999),IF(COUNTIFS(Data!D$1:'Data'!D634,Data!D634)&lt;=1,0,1),1),1))</f>
        <v/>
      </c>
      <c r="E634" s="9" t="str">
        <f>IF(Data!B634="","",IF(ISNUMBER(MATCH(Data!E634,Data_Val!$A$2:$A$3,0)),0,1))</f>
        <v/>
      </c>
      <c r="F634" s="9" t="str">
        <f ca="1">IF(Data!B634="","",IF(ISNUMBER(Data!F634),IF(AND(Data!F634&gt;(TODAY()-(Data_Val!$H$3*365.25)),Data!F634&lt;=(TODAY()-(Data_Val!$H$2*365.25))),0,1),1))</f>
        <v/>
      </c>
      <c r="G634" s="15" t="str">
        <f>IF(Data!B634="","",IF(AND(Data!G634="",Data!H634&lt;&gt;""),1,IF(Data!#REF!&lt;&gt;"",0,IF(ISNUMBER(MATCH(Data!G634,Data_Val!$C$2:$C$5,0)),0,1))))</f>
        <v/>
      </c>
      <c r="H634" s="15" t="str">
        <f>IF(Data!B634="","",IF(AND(Data!G634&lt;&gt;"",Data!H634=""),1,IF(Data!#REF!&lt;&gt;"",0,IF(Data!G634="",1,IF(ISNUMBER(MATCH(Data!H634,Data_Val!$D$2:$D$35,0)),0,1)))))</f>
        <v/>
      </c>
      <c r="I634" s="15" t="str">
        <f>IF(Data!B634="","",IF(Data!G634&lt;&gt;"",0,IF(ISNUMBER(MATCH(Data!#REF!,Data_Val!$E$2:$E$12,0)),0,1)))</f>
        <v/>
      </c>
      <c r="J634" s="16" t="e">
        <f>IF(OR(Data!B634="",Data!#REF!=""),"",IF(Data!#REF!="",1,0))</f>
        <v>#REF!</v>
      </c>
      <c r="K634" s="16" t="e">
        <f>IF(OR(Data!B634="",Data!#REF!=""),"",IF(Data!#REF!="",1,0))</f>
        <v>#REF!</v>
      </c>
      <c r="L634" s="16" t="e">
        <f>IF(OR(Data!B634="",Data!#REF!=""),"",IF(ISNUMBER(Data!#REF!),IF(AND(Data!#REF!&gt;Data_Val!$G$2,Data!#REF!&lt;=Data_Val!$G$3),0,1),1))</f>
        <v>#REF!</v>
      </c>
      <c r="M634" s="9" t="e">
        <f>IF(OR(Data!B634="",Data!#REF!=""),"",IF(ISNUMBER(MATCH(Data!#REF!,Data_Val!$F$1:$F$38,0)),0,1))</f>
        <v>#REF!</v>
      </c>
      <c r="N634" s="9" t="e">
        <f>IF(OR(Data!B634="",Data!#REF!=""),"",IF(Data!#REF!="",1,0))</f>
        <v>#REF!</v>
      </c>
      <c r="O634" s="17" t="e">
        <f>IF(Data!#REF!="","",IF(Data!#REF!="",1,0))</f>
        <v>#REF!</v>
      </c>
      <c r="P634" s="17" t="e">
        <f>IF(Data!#REF!="","",IF(ISNUMBER(MATCH(Data!#REF!,Data_Val!$A$2:$A$3,0)),0,1))</f>
        <v>#REF!</v>
      </c>
      <c r="Q634" s="25" t="e">
        <f ca="1">IF(Data!#REF!="","",IF(ISNUMBER(Data!#REF!),IF(AND(Data!#REF!&gt;(TODAY()-(Data_Val!$J$3*365.25)),Data!#REF!&lt;=(TODAY()-(Data_Val!$J$2*365.25))),0,1),1))</f>
        <v>#REF!</v>
      </c>
      <c r="R634" s="17" t="e">
        <f>IF(Data!#REF!="","",IF(ISNUMBER(MATCH(Data!#REF!,Data_Val!$B$2:$B$15,0)),0,1))</f>
        <v>#REF!</v>
      </c>
      <c r="S634" s="11" t="str">
        <f>IF(Data!G634="","",IF(Data!G634=Data_Val!$C$2,IF(Data!M634="",0,1),0))</f>
        <v/>
      </c>
      <c r="T634" s="11" t="str">
        <f>IF(Data!M634="","",IF(ISNUMBER(MATCH(Data!N634,Data_Val!$A$2:$A$3,0)),0,1))</f>
        <v/>
      </c>
      <c r="U634" s="11" t="str">
        <f ca="1">IF(Data!M634="","",IF(ISNUMBER(Data!O634),IF(AND(Data!O634&gt;(TODAY()-(Data_Val!$K$3*365.25)),Data!O634&lt;=(TODAY()-(Data_Val!$K$2*365.25))),0,1),1))</f>
        <v/>
      </c>
      <c r="V634" s="12" t="str">
        <f>IF(Data!G634="","",IF(Data!G634=Data_Val!$C$2,IF(Data!P634="",0,1),0))</f>
        <v/>
      </c>
      <c r="W634" s="12" t="str">
        <f>IF(Data!P634="","",IF(ISNUMBER(MATCH(Data!Q634,Data_Val!$A$2:$A$3,0)),0,1))</f>
        <v/>
      </c>
      <c r="X634" s="26" t="str">
        <f ca="1">IF(Data!P634="","",IF(ISNUMBER(Data!R634),IF(AND(Data!R634&gt;(TODAY()-(Data_Val!$L$3*365.25)),Data!R634&lt;=(TODAY()-(Data_Val!$L$2*365.25))),0,1),1))</f>
        <v/>
      </c>
      <c r="Y634" s="13" t="str">
        <f>IF(Data!$G634="","",IF(Data!$G634=Data_Val!$C$2,IF(Data!S634="",0,1),0))</f>
        <v/>
      </c>
      <c r="Z634" s="13" t="str">
        <f>IF(Data!S634="","",IF(ISNUMBER(MATCH(Data!T634,Data_Val!$A$2:$A$3,0)),0,1))</f>
        <v/>
      </c>
      <c r="AA634" s="28" t="str">
        <f ca="1">IF(Data!S634="","",IF(ISNUMBER(Data!U634),IF(AND(Data!U634&gt;(TODAY()-(Data_Val!$L$3*365.25)),Data!U634&lt;=(TODAY()-(Data_Val!$L$2*365.25))),0,1),1))</f>
        <v/>
      </c>
      <c r="AB634" s="11"/>
      <c r="AC634" s="11" t="e">
        <f>IF(Data!#REF!="","",IF(ISNUMBER(MATCH(Data!#REF!,Data_Val!$A$2:$A$3,0)),0,1))</f>
        <v>#REF!</v>
      </c>
      <c r="AD634" s="11" t="e">
        <f ca="1">IF(Data!#REF!="","",IF(ISNUMBER(Data!#REF!),IF(AND(Data!#REF!&gt;(TODAY()-(Data_Val!$L$3*365.25)),Data!#REF!&lt;=(TODAY()-(Data_Val!$L$2*365.25))),0,1),1))</f>
        <v>#REF!</v>
      </c>
      <c r="AE634" s="11" t="e">
        <f>IF(Data!#REF!="","",IF(Data!$G634="",1,IF(ISNUMBER(MATCH(Data!#REF!,Data_Val!$D$2:$D$10,0)),0,1)))</f>
        <v>#REF!</v>
      </c>
      <c r="AF634" s="12"/>
      <c r="AG634" s="12" t="e">
        <f>IF(Data!#REF!="","",IF(ISNUMBER(MATCH(Data!#REF!,Data_Val!$A$2:$A$3,0)),0,1))</f>
        <v>#REF!</v>
      </c>
      <c r="AH634" s="26" t="e">
        <f ca="1">IF(Data!#REF!="","",IF(ISNUMBER(Data!#REF!),IF(AND(Data!#REF!&gt;(TODAY()-(Data_Val!$L$3*365.25)),Data!#REF!&lt;=(TODAY()-(Data_Val!$L$2*365.25))),0,1),1))</f>
        <v>#REF!</v>
      </c>
      <c r="AI634" s="12" t="e">
        <f>IF(Data!#REF!="","",IF(Data!$G634="",1,IF(ISNUMBER(MATCH(Data!#REF!,Data_Val!$D$2:$D$10,0)),0,1)))</f>
        <v>#REF!</v>
      </c>
      <c r="AJ634" s="17"/>
      <c r="AK634" s="17" t="e">
        <f>IF(Data!#REF!="","",IF(ISNUMBER(MATCH(Data!#REF!,Data_Val!$A$2:$A$3,0)),0,1))</f>
        <v>#REF!</v>
      </c>
      <c r="AL634" s="25" t="e">
        <f ca="1">IF(Data!#REF!="","",IF(ISNUMBER(Data!#REF!),IF(AND(Data!#REF!&gt;(TODAY()-(Data_Val!$L$3*365.25)),Data!#REF!&lt;=(TODAY()-(Data_Val!$L$2*365.25))),0,1),1))</f>
        <v>#REF!</v>
      </c>
      <c r="AM634" s="17" t="e">
        <f>IF(Data!#REF!="","",IF(Data!$G634="",1,IF(ISNUMBER(MATCH(Data!#REF!,Data_Val!$D$2:$D$10,0)),0,1)))</f>
        <v>#REF!</v>
      </c>
      <c r="AN634" s="13"/>
      <c r="AO634" s="28" t="e">
        <f ca="1">IF(Data!#REF!="","",IF(ISNUMBER(Data!#REF!),IF(AND(Data!#REF!&gt;(TODAY()-(Data_Val!$I$3*365.25)),Data!#REF!&lt;=(TODAY()-(Data_Val!$I$2*365.25))),0,1),1))</f>
        <v>#REF!</v>
      </c>
      <c r="AP634" s="13" t="e">
        <f>IF(Data!#REF!="","",IF(Data!$G634="",1,IF(ISNUMBER(MATCH(Data!#REF!,Data_Val!$D$2:$D$10,0)),0,1)))</f>
        <v>#REF!</v>
      </c>
      <c r="AQ634" s="17"/>
      <c r="AR634" s="30" t="e">
        <f ca="1">IF(Data!#REF!="","",IF(ISNUMBER(Data!#REF!),IF(AND(Data!#REF!&gt;(TODAY()-(Data_Val!$I$3*365.25)),Data!#REF!&lt;=(TODAY()-(Data_Val!$I$2*365.25))),0,1),1))</f>
        <v>#REF!</v>
      </c>
      <c r="AS634" s="31" t="e">
        <f>IF(Data!#REF!="","",IF(Data!$G634="",1,IF(ISNUMBER(MATCH(Data!#REF!,Data_Val!$D$2:$D$10,0)),0,1)))</f>
        <v>#REF!</v>
      </c>
      <c r="AT634" s="11"/>
      <c r="AU634" s="11" t="e">
        <f ca="1">IF(Data!#REF!="","",IF(ISNUMBER(Data!#REF!),IF(AND(Data!#REF!&gt;(TODAY()-(Data_Val!$I$3*365.25)),Data!#REF!&lt;=(TODAY()-(Data_Val!$I$2*365.25))),0,1),1))</f>
        <v>#REF!</v>
      </c>
      <c r="AV634" s="11" t="e">
        <f>IF(Data!#REF!="","",IF(Data!$G634="",1,IF(ISNUMBER(MATCH(Data!#REF!,Data_Val!$D$2:$D$10,0)),0,1)))</f>
        <v>#REF!</v>
      </c>
      <c r="AW634" s="12"/>
      <c r="AX634" s="26" t="e">
        <f ca="1">IF(Data!#REF!="","",IF(ISNUMBER(Data!#REF!),IF(AND(Data!#REF!&gt;(TODAY()-(Data_Val!$I$3*365.25)),Data!#REF!&lt;=(TODAY()-(Data_Val!$I$2*365.25))),0,1),1))</f>
        <v>#REF!</v>
      </c>
      <c r="AY634" s="12" t="e">
        <f>IF(Data!#REF!="","",IF(Data!$G634="",1,IF(ISNUMBER(MATCH(Data!#REF!,Data_Val!$D$2:$D$10,0)),0,1)))</f>
        <v>#REF!</v>
      </c>
      <c r="AZ634" s="11"/>
      <c r="BA634" s="19" t="e">
        <f ca="1">IF(Data!#REF!="","",IF(ISNUMBER(Data!#REF!),IF(AND(Data!#REF!&gt;(TODAY()-(Data_Val!$M$3*365.25)),Data!#REF!&lt;=(TODAY()-(Data_Val!$M$2*365.25))),0,1),1))</f>
        <v>#REF!</v>
      </c>
      <c r="BB634" s="11" t="e">
        <f>IF(Data!#REF!="","",IF(Data!$G634="",1,IF(ISNUMBER(MATCH(Data!#REF!,Data_Val!$D$2:$D$10,0)),0,1)))</f>
        <v>#REF!</v>
      </c>
      <c r="BC634" s="12"/>
      <c r="BD634" s="20" t="e">
        <f ca="1">IF(Data!#REF!="","",IF(ISNUMBER(Data!#REF!),IF(AND(Data!#REF!&gt;(TODAY()-(Data_Val!$M$3*365.25)),Data!#REF!&lt;=(TODAY()-(Data_Val!$M$2*365.25))),0,1),1))</f>
        <v>#REF!</v>
      </c>
      <c r="BE634" s="12" t="e">
        <f>IF(Data!#REF!="","",IF(Data!$G634="",1,IF(ISNUMBER(MATCH(Data!#REF!,Data_Val!$D$2:$D$10,0)),0,1)))</f>
        <v>#REF!</v>
      </c>
      <c r="BF634" s="17"/>
      <c r="BG634" s="18" t="e">
        <f ca="1">IF(Data!#REF!="","",IF(ISNUMBER(Data!#REF!),IF(AND(Data!#REF!&gt;(TODAY()-(Data_Val!$M$3*365.25)),Data!#REF!&lt;=(TODAY()-(Data_Val!$M$2*365.25))),0,1),1))</f>
        <v>#REF!</v>
      </c>
      <c r="BH634" s="29" t="e">
        <f>IF(Data!#REF!="","",IF(Data!$G634="",1,IF(ISNUMBER(MATCH(Data!#REF!,Data_Val!$D$2:$D$10,0)),0,1)))</f>
        <v>#REF!</v>
      </c>
      <c r="BI634" s="13"/>
      <c r="BJ634" s="21" t="e">
        <f ca="1">IF(Data!#REF!="","",IF(ISNUMBER(Data!#REF!),IF(AND(Data!#REF!&gt;(TODAY()-(Data_Val!$M$3*365.25)),Data!#REF!&lt;=(TODAY()-(Data_Val!$M$2*365.25))),0,1),1))</f>
        <v>#REF!</v>
      </c>
      <c r="BK634" s="13" t="e">
        <f>IF(Data!#REF!="","",IF(Data!$G634="",1,IF(ISNUMBER(MATCH(Data!#REF!,Data_Val!$D$2:$D$10,0)),0,1)))</f>
        <v>#REF!</v>
      </c>
    </row>
    <row r="635" spans="1:63" x14ac:dyDescent="0.25">
      <c r="A635" s="9" t="str">
        <f>IF(Data!B635="","",IF(COUNTIFS(Data!A$1:'Data'!A635,Data!A635)&lt;=1,0,1))</f>
        <v/>
      </c>
      <c r="B635" s="9"/>
      <c r="C635" s="23" t="str">
        <f>IF(Data!C635="","",(IF(ISNUMBER(MATCH("*@*.?*",Data!C635,0)),0,1)+IF(COUNTIFS(Data!C$1:'Data'!C635,Data!C635)&gt;1,1,0)))</f>
        <v/>
      </c>
      <c r="D635" s="9" t="str">
        <f>IF(Data!B635="","",IF(ISNUMBER(Data!D635),IF(AND(Data!D635&gt;999999999,Data!D635&lt;=9999999999),IF(COUNTIFS(Data!D$1:'Data'!D635,Data!D635)&lt;=1,0,1),1),1))</f>
        <v/>
      </c>
      <c r="E635" s="9" t="str">
        <f>IF(Data!B635="","",IF(ISNUMBER(MATCH(Data!E635,Data_Val!$A$2:$A$3,0)),0,1))</f>
        <v/>
      </c>
      <c r="F635" s="9" t="str">
        <f ca="1">IF(Data!B635="","",IF(ISNUMBER(Data!F635),IF(AND(Data!F635&gt;(TODAY()-(Data_Val!$H$3*365.25)),Data!F635&lt;=(TODAY()-(Data_Val!$H$2*365.25))),0,1),1))</f>
        <v/>
      </c>
      <c r="G635" s="15" t="str">
        <f>IF(Data!B635="","",IF(AND(Data!G635="",Data!H635&lt;&gt;""),1,IF(Data!#REF!&lt;&gt;"",0,IF(ISNUMBER(MATCH(Data!G635,Data_Val!$C$2:$C$5,0)),0,1))))</f>
        <v/>
      </c>
      <c r="H635" s="15" t="str">
        <f>IF(Data!B635="","",IF(AND(Data!G635&lt;&gt;"",Data!H635=""),1,IF(Data!#REF!&lt;&gt;"",0,IF(Data!G635="",1,IF(ISNUMBER(MATCH(Data!H635,Data_Val!$D$2:$D$35,0)),0,1)))))</f>
        <v/>
      </c>
      <c r="I635" s="15" t="str">
        <f>IF(Data!B635="","",IF(Data!G635&lt;&gt;"",0,IF(ISNUMBER(MATCH(Data!#REF!,Data_Val!$E$2:$E$12,0)),0,1)))</f>
        <v/>
      </c>
      <c r="J635" s="16" t="e">
        <f>IF(OR(Data!B635="",Data!#REF!=""),"",IF(Data!#REF!="",1,0))</f>
        <v>#REF!</v>
      </c>
      <c r="K635" s="16" t="e">
        <f>IF(OR(Data!B635="",Data!#REF!=""),"",IF(Data!#REF!="",1,0))</f>
        <v>#REF!</v>
      </c>
      <c r="L635" s="16" t="e">
        <f>IF(OR(Data!B635="",Data!#REF!=""),"",IF(ISNUMBER(Data!#REF!),IF(AND(Data!#REF!&gt;Data_Val!$G$2,Data!#REF!&lt;=Data_Val!$G$3),0,1),1))</f>
        <v>#REF!</v>
      </c>
      <c r="M635" s="9" t="e">
        <f>IF(OR(Data!B635="",Data!#REF!=""),"",IF(ISNUMBER(MATCH(Data!#REF!,Data_Val!$F$1:$F$38,0)),0,1))</f>
        <v>#REF!</v>
      </c>
      <c r="N635" s="9" t="e">
        <f>IF(OR(Data!B635="",Data!#REF!=""),"",IF(Data!#REF!="",1,0))</f>
        <v>#REF!</v>
      </c>
      <c r="O635" s="17" t="e">
        <f>IF(Data!#REF!="","",IF(Data!#REF!="",1,0))</f>
        <v>#REF!</v>
      </c>
      <c r="P635" s="17" t="e">
        <f>IF(Data!#REF!="","",IF(ISNUMBER(MATCH(Data!#REF!,Data_Val!$A$2:$A$3,0)),0,1))</f>
        <v>#REF!</v>
      </c>
      <c r="Q635" s="25" t="e">
        <f ca="1">IF(Data!#REF!="","",IF(ISNUMBER(Data!#REF!),IF(AND(Data!#REF!&gt;(TODAY()-(Data_Val!$J$3*365.25)),Data!#REF!&lt;=(TODAY()-(Data_Val!$J$2*365.25))),0,1),1))</f>
        <v>#REF!</v>
      </c>
      <c r="R635" s="17" t="e">
        <f>IF(Data!#REF!="","",IF(ISNUMBER(MATCH(Data!#REF!,Data_Val!$B$2:$B$15,0)),0,1))</f>
        <v>#REF!</v>
      </c>
      <c r="S635" s="11" t="str">
        <f>IF(Data!G635="","",IF(Data!G635=Data_Val!$C$2,IF(Data!M635="",0,1),0))</f>
        <v/>
      </c>
      <c r="T635" s="11" t="str">
        <f>IF(Data!M635="","",IF(ISNUMBER(MATCH(Data!N635,Data_Val!$A$2:$A$3,0)),0,1))</f>
        <v/>
      </c>
      <c r="U635" s="11" t="str">
        <f ca="1">IF(Data!M635="","",IF(ISNUMBER(Data!O635),IF(AND(Data!O635&gt;(TODAY()-(Data_Val!$K$3*365.25)),Data!O635&lt;=(TODAY()-(Data_Val!$K$2*365.25))),0,1),1))</f>
        <v/>
      </c>
      <c r="V635" s="12" t="str">
        <f>IF(Data!G635="","",IF(Data!G635=Data_Val!$C$2,IF(Data!P635="",0,1),0))</f>
        <v/>
      </c>
      <c r="W635" s="12" t="str">
        <f>IF(Data!P635="","",IF(ISNUMBER(MATCH(Data!Q635,Data_Val!$A$2:$A$3,0)),0,1))</f>
        <v/>
      </c>
      <c r="X635" s="26" t="str">
        <f ca="1">IF(Data!P635="","",IF(ISNUMBER(Data!R635),IF(AND(Data!R635&gt;(TODAY()-(Data_Val!$L$3*365.25)),Data!R635&lt;=(TODAY()-(Data_Val!$L$2*365.25))),0,1),1))</f>
        <v/>
      </c>
      <c r="Y635" s="13" t="str">
        <f>IF(Data!$G635="","",IF(Data!$G635=Data_Val!$C$2,IF(Data!S635="",0,1),0))</f>
        <v/>
      </c>
      <c r="Z635" s="13" t="str">
        <f>IF(Data!S635="","",IF(ISNUMBER(MATCH(Data!T635,Data_Val!$A$2:$A$3,0)),0,1))</f>
        <v/>
      </c>
      <c r="AA635" s="28" t="str">
        <f ca="1">IF(Data!S635="","",IF(ISNUMBER(Data!U635),IF(AND(Data!U635&gt;(TODAY()-(Data_Val!$L$3*365.25)),Data!U635&lt;=(TODAY()-(Data_Val!$L$2*365.25))),0,1),1))</f>
        <v/>
      </c>
      <c r="AB635" s="11"/>
      <c r="AC635" s="11" t="e">
        <f>IF(Data!#REF!="","",IF(ISNUMBER(MATCH(Data!#REF!,Data_Val!$A$2:$A$3,0)),0,1))</f>
        <v>#REF!</v>
      </c>
      <c r="AD635" s="11" t="e">
        <f ca="1">IF(Data!#REF!="","",IF(ISNUMBER(Data!#REF!),IF(AND(Data!#REF!&gt;(TODAY()-(Data_Val!$L$3*365.25)),Data!#REF!&lt;=(TODAY()-(Data_Val!$L$2*365.25))),0,1),1))</f>
        <v>#REF!</v>
      </c>
      <c r="AE635" s="11" t="e">
        <f>IF(Data!#REF!="","",IF(Data!$G635="",1,IF(ISNUMBER(MATCH(Data!#REF!,Data_Val!$D$2:$D$10,0)),0,1)))</f>
        <v>#REF!</v>
      </c>
      <c r="AF635" s="12"/>
      <c r="AG635" s="12" t="e">
        <f>IF(Data!#REF!="","",IF(ISNUMBER(MATCH(Data!#REF!,Data_Val!$A$2:$A$3,0)),0,1))</f>
        <v>#REF!</v>
      </c>
      <c r="AH635" s="26" t="e">
        <f ca="1">IF(Data!#REF!="","",IF(ISNUMBER(Data!#REF!),IF(AND(Data!#REF!&gt;(TODAY()-(Data_Val!$L$3*365.25)),Data!#REF!&lt;=(TODAY()-(Data_Val!$L$2*365.25))),0,1),1))</f>
        <v>#REF!</v>
      </c>
      <c r="AI635" s="12" t="e">
        <f>IF(Data!#REF!="","",IF(Data!$G635="",1,IF(ISNUMBER(MATCH(Data!#REF!,Data_Val!$D$2:$D$10,0)),0,1)))</f>
        <v>#REF!</v>
      </c>
      <c r="AJ635" s="17"/>
      <c r="AK635" s="17" t="e">
        <f>IF(Data!#REF!="","",IF(ISNUMBER(MATCH(Data!#REF!,Data_Val!$A$2:$A$3,0)),0,1))</f>
        <v>#REF!</v>
      </c>
      <c r="AL635" s="25" t="e">
        <f ca="1">IF(Data!#REF!="","",IF(ISNUMBER(Data!#REF!),IF(AND(Data!#REF!&gt;(TODAY()-(Data_Val!$L$3*365.25)),Data!#REF!&lt;=(TODAY()-(Data_Val!$L$2*365.25))),0,1),1))</f>
        <v>#REF!</v>
      </c>
      <c r="AM635" s="17" t="e">
        <f>IF(Data!#REF!="","",IF(Data!$G635="",1,IF(ISNUMBER(MATCH(Data!#REF!,Data_Val!$D$2:$D$10,0)),0,1)))</f>
        <v>#REF!</v>
      </c>
      <c r="AN635" s="13"/>
      <c r="AO635" s="28" t="e">
        <f ca="1">IF(Data!#REF!="","",IF(ISNUMBER(Data!#REF!),IF(AND(Data!#REF!&gt;(TODAY()-(Data_Val!$I$3*365.25)),Data!#REF!&lt;=(TODAY()-(Data_Val!$I$2*365.25))),0,1),1))</f>
        <v>#REF!</v>
      </c>
      <c r="AP635" s="13" t="e">
        <f>IF(Data!#REF!="","",IF(Data!$G635="",1,IF(ISNUMBER(MATCH(Data!#REF!,Data_Val!$D$2:$D$10,0)),0,1)))</f>
        <v>#REF!</v>
      </c>
      <c r="AQ635" s="17"/>
      <c r="AR635" s="30" t="e">
        <f ca="1">IF(Data!#REF!="","",IF(ISNUMBER(Data!#REF!),IF(AND(Data!#REF!&gt;(TODAY()-(Data_Val!$I$3*365.25)),Data!#REF!&lt;=(TODAY()-(Data_Val!$I$2*365.25))),0,1),1))</f>
        <v>#REF!</v>
      </c>
      <c r="AS635" s="31" t="e">
        <f>IF(Data!#REF!="","",IF(Data!$G635="",1,IF(ISNUMBER(MATCH(Data!#REF!,Data_Val!$D$2:$D$10,0)),0,1)))</f>
        <v>#REF!</v>
      </c>
      <c r="AT635" s="11"/>
      <c r="AU635" s="11" t="e">
        <f ca="1">IF(Data!#REF!="","",IF(ISNUMBER(Data!#REF!),IF(AND(Data!#REF!&gt;(TODAY()-(Data_Val!$I$3*365.25)),Data!#REF!&lt;=(TODAY()-(Data_Val!$I$2*365.25))),0,1),1))</f>
        <v>#REF!</v>
      </c>
      <c r="AV635" s="11" t="e">
        <f>IF(Data!#REF!="","",IF(Data!$G635="",1,IF(ISNUMBER(MATCH(Data!#REF!,Data_Val!$D$2:$D$10,0)),0,1)))</f>
        <v>#REF!</v>
      </c>
      <c r="AW635" s="12"/>
      <c r="AX635" s="26" t="e">
        <f ca="1">IF(Data!#REF!="","",IF(ISNUMBER(Data!#REF!),IF(AND(Data!#REF!&gt;(TODAY()-(Data_Val!$I$3*365.25)),Data!#REF!&lt;=(TODAY()-(Data_Val!$I$2*365.25))),0,1),1))</f>
        <v>#REF!</v>
      </c>
      <c r="AY635" s="12" t="e">
        <f>IF(Data!#REF!="","",IF(Data!$G635="",1,IF(ISNUMBER(MATCH(Data!#REF!,Data_Val!$D$2:$D$10,0)),0,1)))</f>
        <v>#REF!</v>
      </c>
      <c r="AZ635" s="11"/>
      <c r="BA635" s="19" t="e">
        <f ca="1">IF(Data!#REF!="","",IF(ISNUMBER(Data!#REF!),IF(AND(Data!#REF!&gt;(TODAY()-(Data_Val!$M$3*365.25)),Data!#REF!&lt;=(TODAY()-(Data_Val!$M$2*365.25))),0,1),1))</f>
        <v>#REF!</v>
      </c>
      <c r="BB635" s="11" t="e">
        <f>IF(Data!#REF!="","",IF(Data!$G635="",1,IF(ISNUMBER(MATCH(Data!#REF!,Data_Val!$D$2:$D$10,0)),0,1)))</f>
        <v>#REF!</v>
      </c>
      <c r="BC635" s="12"/>
      <c r="BD635" s="20" t="e">
        <f ca="1">IF(Data!#REF!="","",IF(ISNUMBER(Data!#REF!),IF(AND(Data!#REF!&gt;(TODAY()-(Data_Val!$M$3*365.25)),Data!#REF!&lt;=(TODAY()-(Data_Val!$M$2*365.25))),0,1),1))</f>
        <v>#REF!</v>
      </c>
      <c r="BE635" s="12" t="e">
        <f>IF(Data!#REF!="","",IF(Data!$G635="",1,IF(ISNUMBER(MATCH(Data!#REF!,Data_Val!$D$2:$D$10,0)),0,1)))</f>
        <v>#REF!</v>
      </c>
      <c r="BF635" s="17"/>
      <c r="BG635" s="18" t="e">
        <f ca="1">IF(Data!#REF!="","",IF(ISNUMBER(Data!#REF!),IF(AND(Data!#REF!&gt;(TODAY()-(Data_Val!$M$3*365.25)),Data!#REF!&lt;=(TODAY()-(Data_Val!$M$2*365.25))),0,1),1))</f>
        <v>#REF!</v>
      </c>
      <c r="BH635" s="29" t="e">
        <f>IF(Data!#REF!="","",IF(Data!$G635="",1,IF(ISNUMBER(MATCH(Data!#REF!,Data_Val!$D$2:$D$10,0)),0,1)))</f>
        <v>#REF!</v>
      </c>
      <c r="BI635" s="13"/>
      <c r="BJ635" s="21" t="e">
        <f ca="1">IF(Data!#REF!="","",IF(ISNUMBER(Data!#REF!),IF(AND(Data!#REF!&gt;(TODAY()-(Data_Val!$M$3*365.25)),Data!#REF!&lt;=(TODAY()-(Data_Val!$M$2*365.25))),0,1),1))</f>
        <v>#REF!</v>
      </c>
      <c r="BK635" s="13" t="e">
        <f>IF(Data!#REF!="","",IF(Data!$G635="",1,IF(ISNUMBER(MATCH(Data!#REF!,Data_Val!$D$2:$D$10,0)),0,1)))</f>
        <v>#REF!</v>
      </c>
    </row>
    <row r="636" spans="1:63" x14ac:dyDescent="0.25">
      <c r="A636" s="9" t="str">
        <f>IF(Data!B636="","",IF(COUNTIFS(Data!A$1:'Data'!A636,Data!A636)&lt;=1,0,1))</f>
        <v/>
      </c>
      <c r="B636" s="9"/>
      <c r="C636" s="23" t="str">
        <f>IF(Data!C636="","",(IF(ISNUMBER(MATCH("*@*.?*",Data!C636,0)),0,1)+IF(COUNTIFS(Data!C$1:'Data'!C636,Data!C636)&gt;1,1,0)))</f>
        <v/>
      </c>
      <c r="D636" s="9" t="str">
        <f>IF(Data!B636="","",IF(ISNUMBER(Data!D636),IF(AND(Data!D636&gt;999999999,Data!D636&lt;=9999999999),IF(COUNTIFS(Data!D$1:'Data'!D636,Data!D636)&lt;=1,0,1),1),1))</f>
        <v/>
      </c>
      <c r="E636" s="9" t="str">
        <f>IF(Data!B636="","",IF(ISNUMBER(MATCH(Data!E636,Data_Val!$A$2:$A$3,0)),0,1))</f>
        <v/>
      </c>
      <c r="F636" s="9" t="str">
        <f ca="1">IF(Data!B636="","",IF(ISNUMBER(Data!F636),IF(AND(Data!F636&gt;(TODAY()-(Data_Val!$H$3*365.25)),Data!F636&lt;=(TODAY()-(Data_Val!$H$2*365.25))),0,1),1))</f>
        <v/>
      </c>
      <c r="G636" s="15" t="str">
        <f>IF(Data!B636="","",IF(AND(Data!G636="",Data!H636&lt;&gt;""),1,IF(Data!#REF!&lt;&gt;"",0,IF(ISNUMBER(MATCH(Data!G636,Data_Val!$C$2:$C$5,0)),0,1))))</f>
        <v/>
      </c>
      <c r="H636" s="15" t="str">
        <f>IF(Data!B636="","",IF(AND(Data!G636&lt;&gt;"",Data!H636=""),1,IF(Data!#REF!&lt;&gt;"",0,IF(Data!G636="",1,IF(ISNUMBER(MATCH(Data!H636,Data_Val!$D$2:$D$35,0)),0,1)))))</f>
        <v/>
      </c>
      <c r="I636" s="15" t="str">
        <f>IF(Data!B636="","",IF(Data!G636&lt;&gt;"",0,IF(ISNUMBER(MATCH(Data!#REF!,Data_Val!$E$2:$E$12,0)),0,1)))</f>
        <v/>
      </c>
      <c r="J636" s="16" t="e">
        <f>IF(OR(Data!B636="",Data!#REF!=""),"",IF(Data!#REF!="",1,0))</f>
        <v>#REF!</v>
      </c>
      <c r="K636" s="16" t="e">
        <f>IF(OR(Data!B636="",Data!#REF!=""),"",IF(Data!#REF!="",1,0))</f>
        <v>#REF!</v>
      </c>
      <c r="L636" s="16" t="e">
        <f>IF(OR(Data!B636="",Data!#REF!=""),"",IF(ISNUMBER(Data!#REF!),IF(AND(Data!#REF!&gt;Data_Val!$G$2,Data!#REF!&lt;=Data_Val!$G$3),0,1),1))</f>
        <v>#REF!</v>
      </c>
      <c r="M636" s="9" t="e">
        <f>IF(OR(Data!B636="",Data!#REF!=""),"",IF(ISNUMBER(MATCH(Data!#REF!,Data_Val!$F$1:$F$38,0)),0,1))</f>
        <v>#REF!</v>
      </c>
      <c r="N636" s="9" t="e">
        <f>IF(OR(Data!B636="",Data!#REF!=""),"",IF(Data!#REF!="",1,0))</f>
        <v>#REF!</v>
      </c>
      <c r="O636" s="17" t="e">
        <f>IF(Data!#REF!="","",IF(Data!#REF!="",1,0))</f>
        <v>#REF!</v>
      </c>
      <c r="P636" s="17" t="e">
        <f>IF(Data!#REF!="","",IF(ISNUMBER(MATCH(Data!#REF!,Data_Val!$A$2:$A$3,0)),0,1))</f>
        <v>#REF!</v>
      </c>
      <c r="Q636" s="25" t="e">
        <f ca="1">IF(Data!#REF!="","",IF(ISNUMBER(Data!#REF!),IF(AND(Data!#REF!&gt;(TODAY()-(Data_Val!$J$3*365.25)),Data!#REF!&lt;=(TODAY()-(Data_Val!$J$2*365.25))),0,1),1))</f>
        <v>#REF!</v>
      </c>
      <c r="R636" s="17" t="e">
        <f>IF(Data!#REF!="","",IF(ISNUMBER(MATCH(Data!#REF!,Data_Val!$B$2:$B$15,0)),0,1))</f>
        <v>#REF!</v>
      </c>
      <c r="S636" s="11" t="str">
        <f>IF(Data!G636="","",IF(Data!G636=Data_Val!$C$2,IF(Data!M636="",0,1),0))</f>
        <v/>
      </c>
      <c r="T636" s="11" t="str">
        <f>IF(Data!M636="","",IF(ISNUMBER(MATCH(Data!N636,Data_Val!$A$2:$A$3,0)),0,1))</f>
        <v/>
      </c>
      <c r="U636" s="11" t="str">
        <f ca="1">IF(Data!M636="","",IF(ISNUMBER(Data!O636),IF(AND(Data!O636&gt;(TODAY()-(Data_Val!$K$3*365.25)),Data!O636&lt;=(TODAY()-(Data_Val!$K$2*365.25))),0,1),1))</f>
        <v/>
      </c>
      <c r="V636" s="12" t="str">
        <f>IF(Data!G636="","",IF(Data!G636=Data_Val!$C$2,IF(Data!P636="",0,1),0))</f>
        <v/>
      </c>
      <c r="W636" s="12" t="str">
        <f>IF(Data!P636="","",IF(ISNUMBER(MATCH(Data!Q636,Data_Val!$A$2:$A$3,0)),0,1))</f>
        <v/>
      </c>
      <c r="X636" s="26" t="str">
        <f ca="1">IF(Data!P636="","",IF(ISNUMBER(Data!R636),IF(AND(Data!R636&gt;(TODAY()-(Data_Val!$L$3*365.25)),Data!R636&lt;=(TODAY()-(Data_Val!$L$2*365.25))),0,1),1))</f>
        <v/>
      </c>
      <c r="Y636" s="13" t="str">
        <f>IF(Data!$G636="","",IF(Data!$G636=Data_Val!$C$2,IF(Data!S636="",0,1),0))</f>
        <v/>
      </c>
      <c r="Z636" s="13" t="str">
        <f>IF(Data!S636="","",IF(ISNUMBER(MATCH(Data!T636,Data_Val!$A$2:$A$3,0)),0,1))</f>
        <v/>
      </c>
      <c r="AA636" s="28" t="str">
        <f ca="1">IF(Data!S636="","",IF(ISNUMBER(Data!U636),IF(AND(Data!U636&gt;(TODAY()-(Data_Val!$L$3*365.25)),Data!U636&lt;=(TODAY()-(Data_Val!$L$2*365.25))),0,1),1))</f>
        <v/>
      </c>
      <c r="AB636" s="11"/>
      <c r="AC636" s="11" t="e">
        <f>IF(Data!#REF!="","",IF(ISNUMBER(MATCH(Data!#REF!,Data_Val!$A$2:$A$3,0)),0,1))</f>
        <v>#REF!</v>
      </c>
      <c r="AD636" s="11" t="e">
        <f ca="1">IF(Data!#REF!="","",IF(ISNUMBER(Data!#REF!),IF(AND(Data!#REF!&gt;(TODAY()-(Data_Val!$L$3*365.25)),Data!#REF!&lt;=(TODAY()-(Data_Val!$L$2*365.25))),0,1),1))</f>
        <v>#REF!</v>
      </c>
      <c r="AE636" s="11" t="e">
        <f>IF(Data!#REF!="","",IF(Data!$G636="",1,IF(ISNUMBER(MATCH(Data!#REF!,Data_Val!$D$2:$D$10,0)),0,1)))</f>
        <v>#REF!</v>
      </c>
      <c r="AF636" s="12"/>
      <c r="AG636" s="12" t="e">
        <f>IF(Data!#REF!="","",IF(ISNUMBER(MATCH(Data!#REF!,Data_Val!$A$2:$A$3,0)),0,1))</f>
        <v>#REF!</v>
      </c>
      <c r="AH636" s="26" t="e">
        <f ca="1">IF(Data!#REF!="","",IF(ISNUMBER(Data!#REF!),IF(AND(Data!#REF!&gt;(TODAY()-(Data_Val!$L$3*365.25)),Data!#REF!&lt;=(TODAY()-(Data_Val!$L$2*365.25))),0,1),1))</f>
        <v>#REF!</v>
      </c>
      <c r="AI636" s="12" t="e">
        <f>IF(Data!#REF!="","",IF(Data!$G636="",1,IF(ISNUMBER(MATCH(Data!#REF!,Data_Val!$D$2:$D$10,0)),0,1)))</f>
        <v>#REF!</v>
      </c>
      <c r="AJ636" s="17"/>
      <c r="AK636" s="17" t="e">
        <f>IF(Data!#REF!="","",IF(ISNUMBER(MATCH(Data!#REF!,Data_Val!$A$2:$A$3,0)),0,1))</f>
        <v>#REF!</v>
      </c>
      <c r="AL636" s="25" t="e">
        <f ca="1">IF(Data!#REF!="","",IF(ISNUMBER(Data!#REF!),IF(AND(Data!#REF!&gt;(TODAY()-(Data_Val!$L$3*365.25)),Data!#REF!&lt;=(TODAY()-(Data_Val!$L$2*365.25))),0,1),1))</f>
        <v>#REF!</v>
      </c>
      <c r="AM636" s="17" t="e">
        <f>IF(Data!#REF!="","",IF(Data!$G636="",1,IF(ISNUMBER(MATCH(Data!#REF!,Data_Val!$D$2:$D$10,0)),0,1)))</f>
        <v>#REF!</v>
      </c>
      <c r="AN636" s="13"/>
      <c r="AO636" s="28" t="e">
        <f ca="1">IF(Data!#REF!="","",IF(ISNUMBER(Data!#REF!),IF(AND(Data!#REF!&gt;(TODAY()-(Data_Val!$I$3*365.25)),Data!#REF!&lt;=(TODAY()-(Data_Val!$I$2*365.25))),0,1),1))</f>
        <v>#REF!</v>
      </c>
      <c r="AP636" s="13" t="e">
        <f>IF(Data!#REF!="","",IF(Data!$G636="",1,IF(ISNUMBER(MATCH(Data!#REF!,Data_Val!$D$2:$D$10,0)),0,1)))</f>
        <v>#REF!</v>
      </c>
      <c r="AQ636" s="17"/>
      <c r="AR636" s="30" t="e">
        <f ca="1">IF(Data!#REF!="","",IF(ISNUMBER(Data!#REF!),IF(AND(Data!#REF!&gt;(TODAY()-(Data_Val!$I$3*365.25)),Data!#REF!&lt;=(TODAY()-(Data_Val!$I$2*365.25))),0,1),1))</f>
        <v>#REF!</v>
      </c>
      <c r="AS636" s="31" t="e">
        <f>IF(Data!#REF!="","",IF(Data!$G636="",1,IF(ISNUMBER(MATCH(Data!#REF!,Data_Val!$D$2:$D$10,0)),0,1)))</f>
        <v>#REF!</v>
      </c>
      <c r="AT636" s="11"/>
      <c r="AU636" s="11" t="e">
        <f ca="1">IF(Data!#REF!="","",IF(ISNUMBER(Data!#REF!),IF(AND(Data!#REF!&gt;(TODAY()-(Data_Val!$I$3*365.25)),Data!#REF!&lt;=(TODAY()-(Data_Val!$I$2*365.25))),0,1),1))</f>
        <v>#REF!</v>
      </c>
      <c r="AV636" s="11" t="e">
        <f>IF(Data!#REF!="","",IF(Data!$G636="",1,IF(ISNUMBER(MATCH(Data!#REF!,Data_Val!$D$2:$D$10,0)),0,1)))</f>
        <v>#REF!</v>
      </c>
      <c r="AW636" s="12"/>
      <c r="AX636" s="26" t="e">
        <f ca="1">IF(Data!#REF!="","",IF(ISNUMBER(Data!#REF!),IF(AND(Data!#REF!&gt;(TODAY()-(Data_Val!$I$3*365.25)),Data!#REF!&lt;=(TODAY()-(Data_Val!$I$2*365.25))),0,1),1))</f>
        <v>#REF!</v>
      </c>
      <c r="AY636" s="12" t="e">
        <f>IF(Data!#REF!="","",IF(Data!$G636="",1,IF(ISNUMBER(MATCH(Data!#REF!,Data_Val!$D$2:$D$10,0)),0,1)))</f>
        <v>#REF!</v>
      </c>
      <c r="AZ636" s="11"/>
      <c r="BA636" s="19" t="e">
        <f ca="1">IF(Data!#REF!="","",IF(ISNUMBER(Data!#REF!),IF(AND(Data!#REF!&gt;(TODAY()-(Data_Val!$M$3*365.25)),Data!#REF!&lt;=(TODAY()-(Data_Val!$M$2*365.25))),0,1),1))</f>
        <v>#REF!</v>
      </c>
      <c r="BB636" s="11" t="e">
        <f>IF(Data!#REF!="","",IF(Data!$G636="",1,IF(ISNUMBER(MATCH(Data!#REF!,Data_Val!$D$2:$D$10,0)),0,1)))</f>
        <v>#REF!</v>
      </c>
      <c r="BC636" s="12"/>
      <c r="BD636" s="20" t="e">
        <f ca="1">IF(Data!#REF!="","",IF(ISNUMBER(Data!#REF!),IF(AND(Data!#REF!&gt;(TODAY()-(Data_Val!$M$3*365.25)),Data!#REF!&lt;=(TODAY()-(Data_Val!$M$2*365.25))),0,1),1))</f>
        <v>#REF!</v>
      </c>
      <c r="BE636" s="12" t="e">
        <f>IF(Data!#REF!="","",IF(Data!$G636="",1,IF(ISNUMBER(MATCH(Data!#REF!,Data_Val!$D$2:$D$10,0)),0,1)))</f>
        <v>#REF!</v>
      </c>
      <c r="BF636" s="17"/>
      <c r="BG636" s="18" t="e">
        <f ca="1">IF(Data!#REF!="","",IF(ISNUMBER(Data!#REF!),IF(AND(Data!#REF!&gt;(TODAY()-(Data_Val!$M$3*365.25)),Data!#REF!&lt;=(TODAY()-(Data_Val!$M$2*365.25))),0,1),1))</f>
        <v>#REF!</v>
      </c>
      <c r="BH636" s="29" t="e">
        <f>IF(Data!#REF!="","",IF(Data!$G636="",1,IF(ISNUMBER(MATCH(Data!#REF!,Data_Val!$D$2:$D$10,0)),0,1)))</f>
        <v>#REF!</v>
      </c>
      <c r="BI636" s="13"/>
      <c r="BJ636" s="21" t="e">
        <f ca="1">IF(Data!#REF!="","",IF(ISNUMBER(Data!#REF!),IF(AND(Data!#REF!&gt;(TODAY()-(Data_Val!$M$3*365.25)),Data!#REF!&lt;=(TODAY()-(Data_Val!$M$2*365.25))),0,1),1))</f>
        <v>#REF!</v>
      </c>
      <c r="BK636" s="13" t="e">
        <f>IF(Data!#REF!="","",IF(Data!$G636="",1,IF(ISNUMBER(MATCH(Data!#REF!,Data_Val!$D$2:$D$10,0)),0,1)))</f>
        <v>#REF!</v>
      </c>
    </row>
    <row r="637" spans="1:63" x14ac:dyDescent="0.25">
      <c r="A637" s="9" t="str">
        <f>IF(Data!B637="","",IF(COUNTIFS(Data!A$1:'Data'!A637,Data!A637)&lt;=1,0,1))</f>
        <v/>
      </c>
      <c r="B637" s="9"/>
      <c r="C637" s="23" t="str">
        <f>IF(Data!C637="","",(IF(ISNUMBER(MATCH("*@*.?*",Data!C637,0)),0,1)+IF(COUNTIFS(Data!C$1:'Data'!C637,Data!C637)&gt;1,1,0)))</f>
        <v/>
      </c>
      <c r="D637" s="9" t="str">
        <f>IF(Data!B637="","",IF(ISNUMBER(Data!D637),IF(AND(Data!D637&gt;999999999,Data!D637&lt;=9999999999),IF(COUNTIFS(Data!D$1:'Data'!D637,Data!D637)&lt;=1,0,1),1),1))</f>
        <v/>
      </c>
      <c r="E637" s="9" t="str">
        <f>IF(Data!B637="","",IF(ISNUMBER(MATCH(Data!E637,Data_Val!$A$2:$A$3,0)),0,1))</f>
        <v/>
      </c>
      <c r="F637" s="9" t="str">
        <f ca="1">IF(Data!B637="","",IF(ISNUMBER(Data!F637),IF(AND(Data!F637&gt;(TODAY()-(Data_Val!$H$3*365.25)),Data!F637&lt;=(TODAY()-(Data_Val!$H$2*365.25))),0,1),1))</f>
        <v/>
      </c>
      <c r="G637" s="15" t="str">
        <f>IF(Data!B637="","",IF(AND(Data!G637="",Data!H637&lt;&gt;""),1,IF(Data!#REF!&lt;&gt;"",0,IF(ISNUMBER(MATCH(Data!G637,Data_Val!$C$2:$C$5,0)),0,1))))</f>
        <v/>
      </c>
      <c r="H637" s="15" t="str">
        <f>IF(Data!B637="","",IF(AND(Data!G637&lt;&gt;"",Data!H637=""),1,IF(Data!#REF!&lt;&gt;"",0,IF(Data!G637="",1,IF(ISNUMBER(MATCH(Data!H637,Data_Val!$D$2:$D$35,0)),0,1)))))</f>
        <v/>
      </c>
      <c r="I637" s="15" t="str">
        <f>IF(Data!B637="","",IF(Data!G637&lt;&gt;"",0,IF(ISNUMBER(MATCH(Data!#REF!,Data_Val!$E$2:$E$12,0)),0,1)))</f>
        <v/>
      </c>
      <c r="J637" s="16" t="e">
        <f>IF(OR(Data!B637="",Data!#REF!=""),"",IF(Data!#REF!="",1,0))</f>
        <v>#REF!</v>
      </c>
      <c r="K637" s="16" t="e">
        <f>IF(OR(Data!B637="",Data!#REF!=""),"",IF(Data!#REF!="",1,0))</f>
        <v>#REF!</v>
      </c>
      <c r="L637" s="16" t="e">
        <f>IF(OR(Data!B637="",Data!#REF!=""),"",IF(ISNUMBER(Data!#REF!),IF(AND(Data!#REF!&gt;Data_Val!$G$2,Data!#REF!&lt;=Data_Val!$G$3),0,1),1))</f>
        <v>#REF!</v>
      </c>
      <c r="M637" s="9" t="e">
        <f>IF(OR(Data!B637="",Data!#REF!=""),"",IF(ISNUMBER(MATCH(Data!#REF!,Data_Val!$F$1:$F$38,0)),0,1))</f>
        <v>#REF!</v>
      </c>
      <c r="N637" s="9" t="e">
        <f>IF(OR(Data!B637="",Data!#REF!=""),"",IF(Data!#REF!="",1,0))</f>
        <v>#REF!</v>
      </c>
      <c r="O637" s="17" t="e">
        <f>IF(Data!#REF!="","",IF(Data!#REF!="",1,0))</f>
        <v>#REF!</v>
      </c>
      <c r="P637" s="17" t="e">
        <f>IF(Data!#REF!="","",IF(ISNUMBER(MATCH(Data!#REF!,Data_Val!$A$2:$A$3,0)),0,1))</f>
        <v>#REF!</v>
      </c>
      <c r="Q637" s="25" t="e">
        <f ca="1">IF(Data!#REF!="","",IF(ISNUMBER(Data!#REF!),IF(AND(Data!#REF!&gt;(TODAY()-(Data_Val!$J$3*365.25)),Data!#REF!&lt;=(TODAY()-(Data_Val!$J$2*365.25))),0,1),1))</f>
        <v>#REF!</v>
      </c>
      <c r="R637" s="17" t="e">
        <f>IF(Data!#REF!="","",IF(ISNUMBER(MATCH(Data!#REF!,Data_Val!$B$2:$B$15,0)),0,1))</f>
        <v>#REF!</v>
      </c>
      <c r="S637" s="11" t="str">
        <f>IF(Data!G637="","",IF(Data!G637=Data_Val!$C$2,IF(Data!M637="",0,1),0))</f>
        <v/>
      </c>
      <c r="T637" s="11" t="str">
        <f>IF(Data!M637="","",IF(ISNUMBER(MATCH(Data!N637,Data_Val!$A$2:$A$3,0)),0,1))</f>
        <v/>
      </c>
      <c r="U637" s="11" t="str">
        <f ca="1">IF(Data!M637="","",IF(ISNUMBER(Data!O637),IF(AND(Data!O637&gt;(TODAY()-(Data_Val!$K$3*365.25)),Data!O637&lt;=(TODAY()-(Data_Val!$K$2*365.25))),0,1),1))</f>
        <v/>
      </c>
      <c r="V637" s="12" t="str">
        <f>IF(Data!G637="","",IF(Data!G637=Data_Val!$C$2,IF(Data!P637="",0,1),0))</f>
        <v/>
      </c>
      <c r="W637" s="12" t="str">
        <f>IF(Data!P637="","",IF(ISNUMBER(MATCH(Data!Q637,Data_Val!$A$2:$A$3,0)),0,1))</f>
        <v/>
      </c>
      <c r="X637" s="26" t="str">
        <f ca="1">IF(Data!P637="","",IF(ISNUMBER(Data!R637),IF(AND(Data!R637&gt;(TODAY()-(Data_Val!$L$3*365.25)),Data!R637&lt;=(TODAY()-(Data_Val!$L$2*365.25))),0,1),1))</f>
        <v/>
      </c>
      <c r="Y637" s="13" t="str">
        <f>IF(Data!$G637="","",IF(Data!$G637=Data_Val!$C$2,IF(Data!S637="",0,1),0))</f>
        <v/>
      </c>
      <c r="Z637" s="13" t="str">
        <f>IF(Data!S637="","",IF(ISNUMBER(MATCH(Data!T637,Data_Val!$A$2:$A$3,0)),0,1))</f>
        <v/>
      </c>
      <c r="AA637" s="28" t="str">
        <f ca="1">IF(Data!S637="","",IF(ISNUMBER(Data!U637),IF(AND(Data!U637&gt;(TODAY()-(Data_Val!$L$3*365.25)),Data!U637&lt;=(TODAY()-(Data_Val!$L$2*365.25))),0,1),1))</f>
        <v/>
      </c>
      <c r="AB637" s="11"/>
      <c r="AC637" s="11" t="e">
        <f>IF(Data!#REF!="","",IF(ISNUMBER(MATCH(Data!#REF!,Data_Val!$A$2:$A$3,0)),0,1))</f>
        <v>#REF!</v>
      </c>
      <c r="AD637" s="11" t="e">
        <f ca="1">IF(Data!#REF!="","",IF(ISNUMBER(Data!#REF!),IF(AND(Data!#REF!&gt;(TODAY()-(Data_Val!$L$3*365.25)),Data!#REF!&lt;=(TODAY()-(Data_Val!$L$2*365.25))),0,1),1))</f>
        <v>#REF!</v>
      </c>
      <c r="AE637" s="11" t="e">
        <f>IF(Data!#REF!="","",IF(Data!$G637="",1,IF(ISNUMBER(MATCH(Data!#REF!,Data_Val!$D$2:$D$10,0)),0,1)))</f>
        <v>#REF!</v>
      </c>
      <c r="AF637" s="12"/>
      <c r="AG637" s="12" t="e">
        <f>IF(Data!#REF!="","",IF(ISNUMBER(MATCH(Data!#REF!,Data_Val!$A$2:$A$3,0)),0,1))</f>
        <v>#REF!</v>
      </c>
      <c r="AH637" s="26" t="e">
        <f ca="1">IF(Data!#REF!="","",IF(ISNUMBER(Data!#REF!),IF(AND(Data!#REF!&gt;(TODAY()-(Data_Val!$L$3*365.25)),Data!#REF!&lt;=(TODAY()-(Data_Val!$L$2*365.25))),0,1),1))</f>
        <v>#REF!</v>
      </c>
      <c r="AI637" s="12" t="e">
        <f>IF(Data!#REF!="","",IF(Data!$G637="",1,IF(ISNUMBER(MATCH(Data!#REF!,Data_Val!$D$2:$D$10,0)),0,1)))</f>
        <v>#REF!</v>
      </c>
      <c r="AJ637" s="17"/>
      <c r="AK637" s="17" t="e">
        <f>IF(Data!#REF!="","",IF(ISNUMBER(MATCH(Data!#REF!,Data_Val!$A$2:$A$3,0)),0,1))</f>
        <v>#REF!</v>
      </c>
      <c r="AL637" s="25" t="e">
        <f ca="1">IF(Data!#REF!="","",IF(ISNUMBER(Data!#REF!),IF(AND(Data!#REF!&gt;(TODAY()-(Data_Val!$L$3*365.25)),Data!#REF!&lt;=(TODAY()-(Data_Val!$L$2*365.25))),0,1),1))</f>
        <v>#REF!</v>
      </c>
      <c r="AM637" s="17" t="e">
        <f>IF(Data!#REF!="","",IF(Data!$G637="",1,IF(ISNUMBER(MATCH(Data!#REF!,Data_Val!$D$2:$D$10,0)),0,1)))</f>
        <v>#REF!</v>
      </c>
      <c r="AN637" s="13"/>
      <c r="AO637" s="28" t="e">
        <f ca="1">IF(Data!#REF!="","",IF(ISNUMBER(Data!#REF!),IF(AND(Data!#REF!&gt;(TODAY()-(Data_Val!$I$3*365.25)),Data!#REF!&lt;=(TODAY()-(Data_Val!$I$2*365.25))),0,1),1))</f>
        <v>#REF!</v>
      </c>
      <c r="AP637" s="13" t="e">
        <f>IF(Data!#REF!="","",IF(Data!$G637="",1,IF(ISNUMBER(MATCH(Data!#REF!,Data_Val!$D$2:$D$10,0)),0,1)))</f>
        <v>#REF!</v>
      </c>
      <c r="AQ637" s="17"/>
      <c r="AR637" s="30" t="e">
        <f ca="1">IF(Data!#REF!="","",IF(ISNUMBER(Data!#REF!),IF(AND(Data!#REF!&gt;(TODAY()-(Data_Val!$I$3*365.25)),Data!#REF!&lt;=(TODAY()-(Data_Val!$I$2*365.25))),0,1),1))</f>
        <v>#REF!</v>
      </c>
      <c r="AS637" s="31" t="e">
        <f>IF(Data!#REF!="","",IF(Data!$G637="",1,IF(ISNUMBER(MATCH(Data!#REF!,Data_Val!$D$2:$D$10,0)),0,1)))</f>
        <v>#REF!</v>
      </c>
      <c r="AT637" s="11"/>
      <c r="AU637" s="11" t="e">
        <f ca="1">IF(Data!#REF!="","",IF(ISNUMBER(Data!#REF!),IF(AND(Data!#REF!&gt;(TODAY()-(Data_Val!$I$3*365.25)),Data!#REF!&lt;=(TODAY()-(Data_Val!$I$2*365.25))),0,1),1))</f>
        <v>#REF!</v>
      </c>
      <c r="AV637" s="11" t="e">
        <f>IF(Data!#REF!="","",IF(Data!$G637="",1,IF(ISNUMBER(MATCH(Data!#REF!,Data_Val!$D$2:$D$10,0)),0,1)))</f>
        <v>#REF!</v>
      </c>
      <c r="AW637" s="12"/>
      <c r="AX637" s="26" t="e">
        <f ca="1">IF(Data!#REF!="","",IF(ISNUMBER(Data!#REF!),IF(AND(Data!#REF!&gt;(TODAY()-(Data_Val!$I$3*365.25)),Data!#REF!&lt;=(TODAY()-(Data_Val!$I$2*365.25))),0,1),1))</f>
        <v>#REF!</v>
      </c>
      <c r="AY637" s="12" t="e">
        <f>IF(Data!#REF!="","",IF(Data!$G637="",1,IF(ISNUMBER(MATCH(Data!#REF!,Data_Val!$D$2:$D$10,0)),0,1)))</f>
        <v>#REF!</v>
      </c>
      <c r="AZ637" s="11"/>
      <c r="BA637" s="19" t="e">
        <f ca="1">IF(Data!#REF!="","",IF(ISNUMBER(Data!#REF!),IF(AND(Data!#REF!&gt;(TODAY()-(Data_Val!$M$3*365.25)),Data!#REF!&lt;=(TODAY()-(Data_Val!$M$2*365.25))),0,1),1))</f>
        <v>#REF!</v>
      </c>
      <c r="BB637" s="11" t="e">
        <f>IF(Data!#REF!="","",IF(Data!$G637="",1,IF(ISNUMBER(MATCH(Data!#REF!,Data_Val!$D$2:$D$10,0)),0,1)))</f>
        <v>#REF!</v>
      </c>
      <c r="BC637" s="12"/>
      <c r="BD637" s="20" t="e">
        <f ca="1">IF(Data!#REF!="","",IF(ISNUMBER(Data!#REF!),IF(AND(Data!#REF!&gt;(TODAY()-(Data_Val!$M$3*365.25)),Data!#REF!&lt;=(TODAY()-(Data_Val!$M$2*365.25))),0,1),1))</f>
        <v>#REF!</v>
      </c>
      <c r="BE637" s="12" t="e">
        <f>IF(Data!#REF!="","",IF(Data!$G637="",1,IF(ISNUMBER(MATCH(Data!#REF!,Data_Val!$D$2:$D$10,0)),0,1)))</f>
        <v>#REF!</v>
      </c>
      <c r="BF637" s="17"/>
      <c r="BG637" s="18" t="e">
        <f ca="1">IF(Data!#REF!="","",IF(ISNUMBER(Data!#REF!),IF(AND(Data!#REF!&gt;(TODAY()-(Data_Val!$M$3*365.25)),Data!#REF!&lt;=(TODAY()-(Data_Val!$M$2*365.25))),0,1),1))</f>
        <v>#REF!</v>
      </c>
      <c r="BH637" s="29" t="e">
        <f>IF(Data!#REF!="","",IF(Data!$G637="",1,IF(ISNUMBER(MATCH(Data!#REF!,Data_Val!$D$2:$D$10,0)),0,1)))</f>
        <v>#REF!</v>
      </c>
      <c r="BI637" s="13"/>
      <c r="BJ637" s="21" t="e">
        <f ca="1">IF(Data!#REF!="","",IF(ISNUMBER(Data!#REF!),IF(AND(Data!#REF!&gt;(TODAY()-(Data_Val!$M$3*365.25)),Data!#REF!&lt;=(TODAY()-(Data_Val!$M$2*365.25))),0,1),1))</f>
        <v>#REF!</v>
      </c>
      <c r="BK637" s="13" t="e">
        <f>IF(Data!#REF!="","",IF(Data!$G637="",1,IF(ISNUMBER(MATCH(Data!#REF!,Data_Val!$D$2:$D$10,0)),0,1)))</f>
        <v>#REF!</v>
      </c>
    </row>
    <row r="638" spans="1:63" x14ac:dyDescent="0.25">
      <c r="A638" s="9" t="str">
        <f>IF(Data!B638="","",IF(COUNTIFS(Data!A$1:'Data'!A638,Data!A638)&lt;=1,0,1))</f>
        <v/>
      </c>
      <c r="B638" s="9"/>
      <c r="C638" s="23" t="str">
        <f>IF(Data!C638="","",(IF(ISNUMBER(MATCH("*@*.?*",Data!C638,0)),0,1)+IF(COUNTIFS(Data!C$1:'Data'!C638,Data!C638)&gt;1,1,0)))</f>
        <v/>
      </c>
      <c r="D638" s="9" t="str">
        <f>IF(Data!B638="","",IF(ISNUMBER(Data!D638),IF(AND(Data!D638&gt;999999999,Data!D638&lt;=9999999999),IF(COUNTIFS(Data!D$1:'Data'!D638,Data!D638)&lt;=1,0,1),1),1))</f>
        <v/>
      </c>
      <c r="E638" s="9" t="str">
        <f>IF(Data!B638="","",IF(ISNUMBER(MATCH(Data!E638,Data_Val!$A$2:$A$3,0)),0,1))</f>
        <v/>
      </c>
      <c r="F638" s="9" t="str">
        <f ca="1">IF(Data!B638="","",IF(ISNUMBER(Data!F638),IF(AND(Data!F638&gt;(TODAY()-(Data_Val!$H$3*365.25)),Data!F638&lt;=(TODAY()-(Data_Val!$H$2*365.25))),0,1),1))</f>
        <v/>
      </c>
      <c r="G638" s="15" t="str">
        <f>IF(Data!B638="","",IF(AND(Data!G638="",Data!H638&lt;&gt;""),1,IF(Data!#REF!&lt;&gt;"",0,IF(ISNUMBER(MATCH(Data!G638,Data_Val!$C$2:$C$5,0)),0,1))))</f>
        <v/>
      </c>
      <c r="H638" s="15" t="str">
        <f>IF(Data!B638="","",IF(AND(Data!G638&lt;&gt;"",Data!H638=""),1,IF(Data!#REF!&lt;&gt;"",0,IF(Data!G638="",1,IF(ISNUMBER(MATCH(Data!H638,Data_Val!$D$2:$D$35,0)),0,1)))))</f>
        <v/>
      </c>
      <c r="I638" s="15" t="str">
        <f>IF(Data!B638="","",IF(Data!G638&lt;&gt;"",0,IF(ISNUMBER(MATCH(Data!#REF!,Data_Val!$E$2:$E$12,0)),0,1)))</f>
        <v/>
      </c>
      <c r="J638" s="16" t="e">
        <f>IF(OR(Data!B638="",Data!#REF!=""),"",IF(Data!#REF!="",1,0))</f>
        <v>#REF!</v>
      </c>
      <c r="K638" s="16" t="e">
        <f>IF(OR(Data!B638="",Data!#REF!=""),"",IF(Data!#REF!="",1,0))</f>
        <v>#REF!</v>
      </c>
      <c r="L638" s="16" t="e">
        <f>IF(OR(Data!B638="",Data!#REF!=""),"",IF(ISNUMBER(Data!#REF!),IF(AND(Data!#REF!&gt;Data_Val!$G$2,Data!#REF!&lt;=Data_Val!$G$3),0,1),1))</f>
        <v>#REF!</v>
      </c>
      <c r="M638" s="9" t="e">
        <f>IF(OR(Data!B638="",Data!#REF!=""),"",IF(ISNUMBER(MATCH(Data!#REF!,Data_Val!$F$1:$F$38,0)),0,1))</f>
        <v>#REF!</v>
      </c>
      <c r="N638" s="9" t="e">
        <f>IF(OR(Data!B638="",Data!#REF!=""),"",IF(Data!#REF!="",1,0))</f>
        <v>#REF!</v>
      </c>
      <c r="O638" s="17" t="e">
        <f>IF(Data!#REF!="","",IF(Data!#REF!="",1,0))</f>
        <v>#REF!</v>
      </c>
      <c r="P638" s="17" t="e">
        <f>IF(Data!#REF!="","",IF(ISNUMBER(MATCH(Data!#REF!,Data_Val!$A$2:$A$3,0)),0,1))</f>
        <v>#REF!</v>
      </c>
      <c r="Q638" s="25" t="e">
        <f ca="1">IF(Data!#REF!="","",IF(ISNUMBER(Data!#REF!),IF(AND(Data!#REF!&gt;(TODAY()-(Data_Val!$J$3*365.25)),Data!#REF!&lt;=(TODAY()-(Data_Val!$J$2*365.25))),0,1),1))</f>
        <v>#REF!</v>
      </c>
      <c r="R638" s="17" t="e">
        <f>IF(Data!#REF!="","",IF(ISNUMBER(MATCH(Data!#REF!,Data_Val!$B$2:$B$15,0)),0,1))</f>
        <v>#REF!</v>
      </c>
      <c r="S638" s="11" t="str">
        <f>IF(Data!G638="","",IF(Data!G638=Data_Val!$C$2,IF(Data!M638="",0,1),0))</f>
        <v/>
      </c>
      <c r="T638" s="11" t="str">
        <f>IF(Data!M638="","",IF(ISNUMBER(MATCH(Data!N638,Data_Val!$A$2:$A$3,0)),0,1))</f>
        <v/>
      </c>
      <c r="U638" s="11" t="str">
        <f ca="1">IF(Data!M638="","",IF(ISNUMBER(Data!O638),IF(AND(Data!O638&gt;(TODAY()-(Data_Val!$K$3*365.25)),Data!O638&lt;=(TODAY()-(Data_Val!$K$2*365.25))),0,1),1))</f>
        <v/>
      </c>
      <c r="V638" s="12" t="str">
        <f>IF(Data!G638="","",IF(Data!G638=Data_Val!$C$2,IF(Data!P638="",0,1),0))</f>
        <v/>
      </c>
      <c r="W638" s="12" t="str">
        <f>IF(Data!P638="","",IF(ISNUMBER(MATCH(Data!Q638,Data_Val!$A$2:$A$3,0)),0,1))</f>
        <v/>
      </c>
      <c r="X638" s="26" t="str">
        <f ca="1">IF(Data!P638="","",IF(ISNUMBER(Data!R638),IF(AND(Data!R638&gt;(TODAY()-(Data_Val!$L$3*365.25)),Data!R638&lt;=(TODAY()-(Data_Val!$L$2*365.25))),0,1),1))</f>
        <v/>
      </c>
      <c r="Y638" s="13" t="str">
        <f>IF(Data!$G638="","",IF(Data!$G638=Data_Val!$C$2,IF(Data!S638="",0,1),0))</f>
        <v/>
      </c>
      <c r="Z638" s="13" t="str">
        <f>IF(Data!S638="","",IF(ISNUMBER(MATCH(Data!T638,Data_Val!$A$2:$A$3,0)),0,1))</f>
        <v/>
      </c>
      <c r="AA638" s="28" t="str">
        <f ca="1">IF(Data!S638="","",IF(ISNUMBER(Data!U638),IF(AND(Data!U638&gt;(TODAY()-(Data_Val!$L$3*365.25)),Data!U638&lt;=(TODAY()-(Data_Val!$L$2*365.25))),0,1),1))</f>
        <v/>
      </c>
      <c r="AB638" s="11"/>
      <c r="AC638" s="11" t="e">
        <f>IF(Data!#REF!="","",IF(ISNUMBER(MATCH(Data!#REF!,Data_Val!$A$2:$A$3,0)),0,1))</f>
        <v>#REF!</v>
      </c>
      <c r="AD638" s="11" t="e">
        <f ca="1">IF(Data!#REF!="","",IF(ISNUMBER(Data!#REF!),IF(AND(Data!#REF!&gt;(TODAY()-(Data_Val!$L$3*365.25)),Data!#REF!&lt;=(TODAY()-(Data_Val!$L$2*365.25))),0,1),1))</f>
        <v>#REF!</v>
      </c>
      <c r="AE638" s="11" t="e">
        <f>IF(Data!#REF!="","",IF(Data!$G638="",1,IF(ISNUMBER(MATCH(Data!#REF!,Data_Val!$D$2:$D$10,0)),0,1)))</f>
        <v>#REF!</v>
      </c>
      <c r="AF638" s="12"/>
      <c r="AG638" s="12" t="e">
        <f>IF(Data!#REF!="","",IF(ISNUMBER(MATCH(Data!#REF!,Data_Val!$A$2:$A$3,0)),0,1))</f>
        <v>#REF!</v>
      </c>
      <c r="AH638" s="26" t="e">
        <f ca="1">IF(Data!#REF!="","",IF(ISNUMBER(Data!#REF!),IF(AND(Data!#REF!&gt;(TODAY()-(Data_Val!$L$3*365.25)),Data!#REF!&lt;=(TODAY()-(Data_Val!$L$2*365.25))),0,1),1))</f>
        <v>#REF!</v>
      </c>
      <c r="AI638" s="12" t="e">
        <f>IF(Data!#REF!="","",IF(Data!$G638="",1,IF(ISNUMBER(MATCH(Data!#REF!,Data_Val!$D$2:$D$10,0)),0,1)))</f>
        <v>#REF!</v>
      </c>
      <c r="AJ638" s="17"/>
      <c r="AK638" s="17" t="e">
        <f>IF(Data!#REF!="","",IF(ISNUMBER(MATCH(Data!#REF!,Data_Val!$A$2:$A$3,0)),0,1))</f>
        <v>#REF!</v>
      </c>
      <c r="AL638" s="25" t="e">
        <f ca="1">IF(Data!#REF!="","",IF(ISNUMBER(Data!#REF!),IF(AND(Data!#REF!&gt;(TODAY()-(Data_Val!$L$3*365.25)),Data!#REF!&lt;=(TODAY()-(Data_Val!$L$2*365.25))),0,1),1))</f>
        <v>#REF!</v>
      </c>
      <c r="AM638" s="17" t="e">
        <f>IF(Data!#REF!="","",IF(Data!$G638="",1,IF(ISNUMBER(MATCH(Data!#REF!,Data_Val!$D$2:$D$10,0)),0,1)))</f>
        <v>#REF!</v>
      </c>
      <c r="AN638" s="13"/>
      <c r="AO638" s="28" t="e">
        <f ca="1">IF(Data!#REF!="","",IF(ISNUMBER(Data!#REF!),IF(AND(Data!#REF!&gt;(TODAY()-(Data_Val!$I$3*365.25)),Data!#REF!&lt;=(TODAY()-(Data_Val!$I$2*365.25))),0,1),1))</f>
        <v>#REF!</v>
      </c>
      <c r="AP638" s="13" t="e">
        <f>IF(Data!#REF!="","",IF(Data!$G638="",1,IF(ISNUMBER(MATCH(Data!#REF!,Data_Val!$D$2:$D$10,0)),0,1)))</f>
        <v>#REF!</v>
      </c>
      <c r="AQ638" s="17"/>
      <c r="AR638" s="30" t="e">
        <f ca="1">IF(Data!#REF!="","",IF(ISNUMBER(Data!#REF!),IF(AND(Data!#REF!&gt;(TODAY()-(Data_Val!$I$3*365.25)),Data!#REF!&lt;=(TODAY()-(Data_Val!$I$2*365.25))),0,1),1))</f>
        <v>#REF!</v>
      </c>
      <c r="AS638" s="31" t="e">
        <f>IF(Data!#REF!="","",IF(Data!$G638="",1,IF(ISNUMBER(MATCH(Data!#REF!,Data_Val!$D$2:$D$10,0)),0,1)))</f>
        <v>#REF!</v>
      </c>
      <c r="AT638" s="11"/>
      <c r="AU638" s="11" t="e">
        <f ca="1">IF(Data!#REF!="","",IF(ISNUMBER(Data!#REF!),IF(AND(Data!#REF!&gt;(TODAY()-(Data_Val!$I$3*365.25)),Data!#REF!&lt;=(TODAY()-(Data_Val!$I$2*365.25))),0,1),1))</f>
        <v>#REF!</v>
      </c>
      <c r="AV638" s="11" t="e">
        <f>IF(Data!#REF!="","",IF(Data!$G638="",1,IF(ISNUMBER(MATCH(Data!#REF!,Data_Val!$D$2:$D$10,0)),0,1)))</f>
        <v>#REF!</v>
      </c>
      <c r="AW638" s="12"/>
      <c r="AX638" s="26" t="e">
        <f ca="1">IF(Data!#REF!="","",IF(ISNUMBER(Data!#REF!),IF(AND(Data!#REF!&gt;(TODAY()-(Data_Val!$I$3*365.25)),Data!#REF!&lt;=(TODAY()-(Data_Val!$I$2*365.25))),0,1),1))</f>
        <v>#REF!</v>
      </c>
      <c r="AY638" s="12" t="e">
        <f>IF(Data!#REF!="","",IF(Data!$G638="",1,IF(ISNUMBER(MATCH(Data!#REF!,Data_Val!$D$2:$D$10,0)),0,1)))</f>
        <v>#REF!</v>
      </c>
      <c r="AZ638" s="11"/>
      <c r="BA638" s="19" t="e">
        <f ca="1">IF(Data!#REF!="","",IF(ISNUMBER(Data!#REF!),IF(AND(Data!#REF!&gt;(TODAY()-(Data_Val!$M$3*365.25)),Data!#REF!&lt;=(TODAY()-(Data_Val!$M$2*365.25))),0,1),1))</f>
        <v>#REF!</v>
      </c>
      <c r="BB638" s="11" t="e">
        <f>IF(Data!#REF!="","",IF(Data!$G638="",1,IF(ISNUMBER(MATCH(Data!#REF!,Data_Val!$D$2:$D$10,0)),0,1)))</f>
        <v>#REF!</v>
      </c>
      <c r="BC638" s="12"/>
      <c r="BD638" s="20" t="e">
        <f ca="1">IF(Data!#REF!="","",IF(ISNUMBER(Data!#REF!),IF(AND(Data!#REF!&gt;(TODAY()-(Data_Val!$M$3*365.25)),Data!#REF!&lt;=(TODAY()-(Data_Val!$M$2*365.25))),0,1),1))</f>
        <v>#REF!</v>
      </c>
      <c r="BE638" s="12" t="e">
        <f>IF(Data!#REF!="","",IF(Data!$G638="",1,IF(ISNUMBER(MATCH(Data!#REF!,Data_Val!$D$2:$D$10,0)),0,1)))</f>
        <v>#REF!</v>
      </c>
      <c r="BF638" s="17"/>
      <c r="BG638" s="18" t="e">
        <f ca="1">IF(Data!#REF!="","",IF(ISNUMBER(Data!#REF!),IF(AND(Data!#REF!&gt;(TODAY()-(Data_Val!$M$3*365.25)),Data!#REF!&lt;=(TODAY()-(Data_Val!$M$2*365.25))),0,1),1))</f>
        <v>#REF!</v>
      </c>
      <c r="BH638" s="29" t="e">
        <f>IF(Data!#REF!="","",IF(Data!$G638="",1,IF(ISNUMBER(MATCH(Data!#REF!,Data_Val!$D$2:$D$10,0)),0,1)))</f>
        <v>#REF!</v>
      </c>
      <c r="BI638" s="13"/>
      <c r="BJ638" s="21" t="e">
        <f ca="1">IF(Data!#REF!="","",IF(ISNUMBER(Data!#REF!),IF(AND(Data!#REF!&gt;(TODAY()-(Data_Val!$M$3*365.25)),Data!#REF!&lt;=(TODAY()-(Data_Val!$M$2*365.25))),0,1),1))</f>
        <v>#REF!</v>
      </c>
      <c r="BK638" s="13" t="e">
        <f>IF(Data!#REF!="","",IF(Data!$G638="",1,IF(ISNUMBER(MATCH(Data!#REF!,Data_Val!$D$2:$D$10,0)),0,1)))</f>
        <v>#REF!</v>
      </c>
    </row>
    <row r="639" spans="1:63" x14ac:dyDescent="0.25">
      <c r="A639" s="9" t="str">
        <f>IF(Data!B639="","",IF(COUNTIFS(Data!A$1:'Data'!A639,Data!A639)&lt;=1,0,1))</f>
        <v/>
      </c>
      <c r="B639" s="9"/>
      <c r="C639" s="23" t="str">
        <f>IF(Data!C639="","",(IF(ISNUMBER(MATCH("*@*.?*",Data!C639,0)),0,1)+IF(COUNTIFS(Data!C$1:'Data'!C639,Data!C639)&gt;1,1,0)))</f>
        <v/>
      </c>
      <c r="D639" s="9" t="str">
        <f>IF(Data!B639="","",IF(ISNUMBER(Data!D639),IF(AND(Data!D639&gt;999999999,Data!D639&lt;=9999999999),IF(COUNTIFS(Data!D$1:'Data'!D639,Data!D639)&lt;=1,0,1),1),1))</f>
        <v/>
      </c>
      <c r="E639" s="9" t="str">
        <f>IF(Data!B639="","",IF(ISNUMBER(MATCH(Data!E639,Data_Val!$A$2:$A$3,0)),0,1))</f>
        <v/>
      </c>
      <c r="F639" s="9" t="str">
        <f ca="1">IF(Data!B639="","",IF(ISNUMBER(Data!F639),IF(AND(Data!F639&gt;(TODAY()-(Data_Val!$H$3*365.25)),Data!F639&lt;=(TODAY()-(Data_Val!$H$2*365.25))),0,1),1))</f>
        <v/>
      </c>
      <c r="G639" s="15" t="str">
        <f>IF(Data!B639="","",IF(AND(Data!G639="",Data!H639&lt;&gt;""),1,IF(Data!#REF!&lt;&gt;"",0,IF(ISNUMBER(MATCH(Data!G639,Data_Val!$C$2:$C$5,0)),0,1))))</f>
        <v/>
      </c>
      <c r="H639" s="15" t="str">
        <f>IF(Data!B639="","",IF(AND(Data!G639&lt;&gt;"",Data!H639=""),1,IF(Data!#REF!&lt;&gt;"",0,IF(Data!G639="",1,IF(ISNUMBER(MATCH(Data!H639,Data_Val!$D$2:$D$35,0)),0,1)))))</f>
        <v/>
      </c>
      <c r="I639" s="15" t="str">
        <f>IF(Data!B639="","",IF(Data!G639&lt;&gt;"",0,IF(ISNUMBER(MATCH(Data!#REF!,Data_Val!$E$2:$E$12,0)),0,1)))</f>
        <v/>
      </c>
      <c r="J639" s="16" t="e">
        <f>IF(OR(Data!B639="",Data!#REF!=""),"",IF(Data!#REF!="",1,0))</f>
        <v>#REF!</v>
      </c>
      <c r="K639" s="16" t="e">
        <f>IF(OR(Data!B639="",Data!#REF!=""),"",IF(Data!#REF!="",1,0))</f>
        <v>#REF!</v>
      </c>
      <c r="L639" s="16" t="e">
        <f>IF(OR(Data!B639="",Data!#REF!=""),"",IF(ISNUMBER(Data!#REF!),IF(AND(Data!#REF!&gt;Data_Val!$G$2,Data!#REF!&lt;=Data_Val!$G$3),0,1),1))</f>
        <v>#REF!</v>
      </c>
      <c r="M639" s="9" t="e">
        <f>IF(OR(Data!B639="",Data!#REF!=""),"",IF(ISNUMBER(MATCH(Data!#REF!,Data_Val!$F$1:$F$38,0)),0,1))</f>
        <v>#REF!</v>
      </c>
      <c r="N639" s="9" t="e">
        <f>IF(OR(Data!B639="",Data!#REF!=""),"",IF(Data!#REF!="",1,0))</f>
        <v>#REF!</v>
      </c>
      <c r="O639" s="17" t="e">
        <f>IF(Data!#REF!="","",IF(Data!#REF!="",1,0))</f>
        <v>#REF!</v>
      </c>
      <c r="P639" s="17" t="e">
        <f>IF(Data!#REF!="","",IF(ISNUMBER(MATCH(Data!#REF!,Data_Val!$A$2:$A$3,0)),0,1))</f>
        <v>#REF!</v>
      </c>
      <c r="Q639" s="25" t="e">
        <f ca="1">IF(Data!#REF!="","",IF(ISNUMBER(Data!#REF!),IF(AND(Data!#REF!&gt;(TODAY()-(Data_Val!$J$3*365.25)),Data!#REF!&lt;=(TODAY()-(Data_Val!$J$2*365.25))),0,1),1))</f>
        <v>#REF!</v>
      </c>
      <c r="R639" s="17" t="e">
        <f>IF(Data!#REF!="","",IF(ISNUMBER(MATCH(Data!#REF!,Data_Val!$B$2:$B$15,0)),0,1))</f>
        <v>#REF!</v>
      </c>
      <c r="S639" s="11" t="str">
        <f>IF(Data!G639="","",IF(Data!G639=Data_Val!$C$2,IF(Data!M639="",0,1),0))</f>
        <v/>
      </c>
      <c r="T639" s="11" t="str">
        <f>IF(Data!M639="","",IF(ISNUMBER(MATCH(Data!N639,Data_Val!$A$2:$A$3,0)),0,1))</f>
        <v/>
      </c>
      <c r="U639" s="11" t="str">
        <f ca="1">IF(Data!M639="","",IF(ISNUMBER(Data!O639),IF(AND(Data!O639&gt;(TODAY()-(Data_Val!$K$3*365.25)),Data!O639&lt;=(TODAY()-(Data_Val!$K$2*365.25))),0,1),1))</f>
        <v/>
      </c>
      <c r="V639" s="12" t="str">
        <f>IF(Data!G639="","",IF(Data!G639=Data_Val!$C$2,IF(Data!P639="",0,1),0))</f>
        <v/>
      </c>
      <c r="W639" s="12" t="str">
        <f>IF(Data!P639="","",IF(ISNUMBER(MATCH(Data!Q639,Data_Val!$A$2:$A$3,0)),0,1))</f>
        <v/>
      </c>
      <c r="X639" s="26" t="str">
        <f ca="1">IF(Data!P639="","",IF(ISNUMBER(Data!R639),IF(AND(Data!R639&gt;(TODAY()-(Data_Val!$L$3*365.25)),Data!R639&lt;=(TODAY()-(Data_Val!$L$2*365.25))),0,1),1))</f>
        <v/>
      </c>
      <c r="Y639" s="13" t="str">
        <f>IF(Data!$G639="","",IF(Data!$G639=Data_Val!$C$2,IF(Data!S639="",0,1),0))</f>
        <v/>
      </c>
      <c r="Z639" s="13" t="str">
        <f>IF(Data!S639="","",IF(ISNUMBER(MATCH(Data!T639,Data_Val!$A$2:$A$3,0)),0,1))</f>
        <v/>
      </c>
      <c r="AA639" s="28" t="str">
        <f ca="1">IF(Data!S639="","",IF(ISNUMBER(Data!U639),IF(AND(Data!U639&gt;(TODAY()-(Data_Val!$L$3*365.25)),Data!U639&lt;=(TODAY()-(Data_Val!$L$2*365.25))),0,1),1))</f>
        <v/>
      </c>
      <c r="AB639" s="11"/>
      <c r="AC639" s="11" t="e">
        <f>IF(Data!#REF!="","",IF(ISNUMBER(MATCH(Data!#REF!,Data_Val!$A$2:$A$3,0)),0,1))</f>
        <v>#REF!</v>
      </c>
      <c r="AD639" s="11" t="e">
        <f ca="1">IF(Data!#REF!="","",IF(ISNUMBER(Data!#REF!),IF(AND(Data!#REF!&gt;(TODAY()-(Data_Val!$L$3*365.25)),Data!#REF!&lt;=(TODAY()-(Data_Val!$L$2*365.25))),0,1),1))</f>
        <v>#REF!</v>
      </c>
      <c r="AE639" s="11" t="e">
        <f>IF(Data!#REF!="","",IF(Data!$G639="",1,IF(ISNUMBER(MATCH(Data!#REF!,Data_Val!$D$2:$D$10,0)),0,1)))</f>
        <v>#REF!</v>
      </c>
      <c r="AF639" s="12"/>
      <c r="AG639" s="12" t="e">
        <f>IF(Data!#REF!="","",IF(ISNUMBER(MATCH(Data!#REF!,Data_Val!$A$2:$A$3,0)),0,1))</f>
        <v>#REF!</v>
      </c>
      <c r="AH639" s="26" t="e">
        <f ca="1">IF(Data!#REF!="","",IF(ISNUMBER(Data!#REF!),IF(AND(Data!#REF!&gt;(TODAY()-(Data_Val!$L$3*365.25)),Data!#REF!&lt;=(TODAY()-(Data_Val!$L$2*365.25))),0,1),1))</f>
        <v>#REF!</v>
      </c>
      <c r="AI639" s="12" t="e">
        <f>IF(Data!#REF!="","",IF(Data!$G639="",1,IF(ISNUMBER(MATCH(Data!#REF!,Data_Val!$D$2:$D$10,0)),0,1)))</f>
        <v>#REF!</v>
      </c>
      <c r="AJ639" s="17"/>
      <c r="AK639" s="17" t="e">
        <f>IF(Data!#REF!="","",IF(ISNUMBER(MATCH(Data!#REF!,Data_Val!$A$2:$A$3,0)),0,1))</f>
        <v>#REF!</v>
      </c>
      <c r="AL639" s="25" t="e">
        <f ca="1">IF(Data!#REF!="","",IF(ISNUMBER(Data!#REF!),IF(AND(Data!#REF!&gt;(TODAY()-(Data_Val!$L$3*365.25)),Data!#REF!&lt;=(TODAY()-(Data_Val!$L$2*365.25))),0,1),1))</f>
        <v>#REF!</v>
      </c>
      <c r="AM639" s="17" t="e">
        <f>IF(Data!#REF!="","",IF(Data!$G639="",1,IF(ISNUMBER(MATCH(Data!#REF!,Data_Val!$D$2:$D$10,0)),0,1)))</f>
        <v>#REF!</v>
      </c>
      <c r="AN639" s="13"/>
      <c r="AO639" s="28" t="e">
        <f ca="1">IF(Data!#REF!="","",IF(ISNUMBER(Data!#REF!),IF(AND(Data!#REF!&gt;(TODAY()-(Data_Val!$I$3*365.25)),Data!#REF!&lt;=(TODAY()-(Data_Val!$I$2*365.25))),0,1),1))</f>
        <v>#REF!</v>
      </c>
      <c r="AP639" s="13" t="e">
        <f>IF(Data!#REF!="","",IF(Data!$G639="",1,IF(ISNUMBER(MATCH(Data!#REF!,Data_Val!$D$2:$D$10,0)),0,1)))</f>
        <v>#REF!</v>
      </c>
      <c r="AQ639" s="17"/>
      <c r="AR639" s="30" t="e">
        <f ca="1">IF(Data!#REF!="","",IF(ISNUMBER(Data!#REF!),IF(AND(Data!#REF!&gt;(TODAY()-(Data_Val!$I$3*365.25)),Data!#REF!&lt;=(TODAY()-(Data_Val!$I$2*365.25))),0,1),1))</f>
        <v>#REF!</v>
      </c>
      <c r="AS639" s="31" t="e">
        <f>IF(Data!#REF!="","",IF(Data!$G639="",1,IF(ISNUMBER(MATCH(Data!#REF!,Data_Val!$D$2:$D$10,0)),0,1)))</f>
        <v>#REF!</v>
      </c>
      <c r="AT639" s="11"/>
      <c r="AU639" s="11" t="e">
        <f ca="1">IF(Data!#REF!="","",IF(ISNUMBER(Data!#REF!),IF(AND(Data!#REF!&gt;(TODAY()-(Data_Val!$I$3*365.25)),Data!#REF!&lt;=(TODAY()-(Data_Val!$I$2*365.25))),0,1),1))</f>
        <v>#REF!</v>
      </c>
      <c r="AV639" s="11" t="e">
        <f>IF(Data!#REF!="","",IF(Data!$G639="",1,IF(ISNUMBER(MATCH(Data!#REF!,Data_Val!$D$2:$D$10,0)),0,1)))</f>
        <v>#REF!</v>
      </c>
      <c r="AW639" s="12"/>
      <c r="AX639" s="26" t="e">
        <f ca="1">IF(Data!#REF!="","",IF(ISNUMBER(Data!#REF!),IF(AND(Data!#REF!&gt;(TODAY()-(Data_Val!$I$3*365.25)),Data!#REF!&lt;=(TODAY()-(Data_Val!$I$2*365.25))),0,1),1))</f>
        <v>#REF!</v>
      </c>
      <c r="AY639" s="12" t="e">
        <f>IF(Data!#REF!="","",IF(Data!$G639="",1,IF(ISNUMBER(MATCH(Data!#REF!,Data_Val!$D$2:$D$10,0)),0,1)))</f>
        <v>#REF!</v>
      </c>
      <c r="AZ639" s="11"/>
      <c r="BA639" s="19" t="e">
        <f ca="1">IF(Data!#REF!="","",IF(ISNUMBER(Data!#REF!),IF(AND(Data!#REF!&gt;(TODAY()-(Data_Val!$M$3*365.25)),Data!#REF!&lt;=(TODAY()-(Data_Val!$M$2*365.25))),0,1),1))</f>
        <v>#REF!</v>
      </c>
      <c r="BB639" s="11" t="e">
        <f>IF(Data!#REF!="","",IF(Data!$G639="",1,IF(ISNUMBER(MATCH(Data!#REF!,Data_Val!$D$2:$D$10,0)),0,1)))</f>
        <v>#REF!</v>
      </c>
      <c r="BC639" s="12"/>
      <c r="BD639" s="20" t="e">
        <f ca="1">IF(Data!#REF!="","",IF(ISNUMBER(Data!#REF!),IF(AND(Data!#REF!&gt;(TODAY()-(Data_Val!$M$3*365.25)),Data!#REF!&lt;=(TODAY()-(Data_Val!$M$2*365.25))),0,1),1))</f>
        <v>#REF!</v>
      </c>
      <c r="BE639" s="12" t="e">
        <f>IF(Data!#REF!="","",IF(Data!$G639="",1,IF(ISNUMBER(MATCH(Data!#REF!,Data_Val!$D$2:$D$10,0)),0,1)))</f>
        <v>#REF!</v>
      </c>
      <c r="BF639" s="17"/>
      <c r="BG639" s="18" t="e">
        <f ca="1">IF(Data!#REF!="","",IF(ISNUMBER(Data!#REF!),IF(AND(Data!#REF!&gt;(TODAY()-(Data_Val!$M$3*365.25)),Data!#REF!&lt;=(TODAY()-(Data_Val!$M$2*365.25))),0,1),1))</f>
        <v>#REF!</v>
      </c>
      <c r="BH639" s="29" t="e">
        <f>IF(Data!#REF!="","",IF(Data!$G639="",1,IF(ISNUMBER(MATCH(Data!#REF!,Data_Val!$D$2:$D$10,0)),0,1)))</f>
        <v>#REF!</v>
      </c>
      <c r="BI639" s="13"/>
      <c r="BJ639" s="21" t="e">
        <f ca="1">IF(Data!#REF!="","",IF(ISNUMBER(Data!#REF!),IF(AND(Data!#REF!&gt;(TODAY()-(Data_Val!$M$3*365.25)),Data!#REF!&lt;=(TODAY()-(Data_Val!$M$2*365.25))),0,1),1))</f>
        <v>#REF!</v>
      </c>
      <c r="BK639" s="13" t="e">
        <f>IF(Data!#REF!="","",IF(Data!$G639="",1,IF(ISNUMBER(MATCH(Data!#REF!,Data_Val!$D$2:$D$10,0)),0,1)))</f>
        <v>#REF!</v>
      </c>
    </row>
    <row r="640" spans="1:63" x14ac:dyDescent="0.25">
      <c r="A640" s="9" t="str">
        <f>IF(Data!B640="","",IF(COUNTIFS(Data!A$1:'Data'!A640,Data!A640)&lt;=1,0,1))</f>
        <v/>
      </c>
      <c r="B640" s="9"/>
      <c r="C640" s="23" t="str">
        <f>IF(Data!C640="","",(IF(ISNUMBER(MATCH("*@*.?*",Data!C640,0)),0,1)+IF(COUNTIFS(Data!C$1:'Data'!C640,Data!C640)&gt;1,1,0)))</f>
        <v/>
      </c>
      <c r="D640" s="9" t="str">
        <f>IF(Data!B640="","",IF(ISNUMBER(Data!D640),IF(AND(Data!D640&gt;999999999,Data!D640&lt;=9999999999),IF(COUNTIFS(Data!D$1:'Data'!D640,Data!D640)&lt;=1,0,1),1),1))</f>
        <v/>
      </c>
      <c r="E640" s="9" t="str">
        <f>IF(Data!B640="","",IF(ISNUMBER(MATCH(Data!E640,Data_Val!$A$2:$A$3,0)),0,1))</f>
        <v/>
      </c>
      <c r="F640" s="9" t="str">
        <f ca="1">IF(Data!B640="","",IF(ISNUMBER(Data!F640),IF(AND(Data!F640&gt;(TODAY()-(Data_Val!$H$3*365.25)),Data!F640&lt;=(TODAY()-(Data_Val!$H$2*365.25))),0,1),1))</f>
        <v/>
      </c>
      <c r="G640" s="15" t="str">
        <f>IF(Data!B640="","",IF(AND(Data!G640="",Data!H640&lt;&gt;""),1,IF(Data!#REF!&lt;&gt;"",0,IF(ISNUMBER(MATCH(Data!G640,Data_Val!$C$2:$C$5,0)),0,1))))</f>
        <v/>
      </c>
      <c r="H640" s="15" t="str">
        <f>IF(Data!B640="","",IF(AND(Data!G640&lt;&gt;"",Data!H640=""),1,IF(Data!#REF!&lt;&gt;"",0,IF(Data!G640="",1,IF(ISNUMBER(MATCH(Data!H640,Data_Val!$D$2:$D$35,0)),0,1)))))</f>
        <v/>
      </c>
      <c r="I640" s="15" t="str">
        <f>IF(Data!B640="","",IF(Data!G640&lt;&gt;"",0,IF(ISNUMBER(MATCH(Data!#REF!,Data_Val!$E$2:$E$12,0)),0,1)))</f>
        <v/>
      </c>
      <c r="J640" s="16" t="e">
        <f>IF(OR(Data!B640="",Data!#REF!=""),"",IF(Data!#REF!="",1,0))</f>
        <v>#REF!</v>
      </c>
      <c r="K640" s="16" t="e">
        <f>IF(OR(Data!B640="",Data!#REF!=""),"",IF(Data!#REF!="",1,0))</f>
        <v>#REF!</v>
      </c>
      <c r="L640" s="16" t="e">
        <f>IF(OR(Data!B640="",Data!#REF!=""),"",IF(ISNUMBER(Data!#REF!),IF(AND(Data!#REF!&gt;Data_Val!$G$2,Data!#REF!&lt;=Data_Val!$G$3),0,1),1))</f>
        <v>#REF!</v>
      </c>
      <c r="M640" s="9" t="e">
        <f>IF(OR(Data!B640="",Data!#REF!=""),"",IF(ISNUMBER(MATCH(Data!#REF!,Data_Val!$F$1:$F$38,0)),0,1))</f>
        <v>#REF!</v>
      </c>
      <c r="N640" s="9" t="e">
        <f>IF(OR(Data!B640="",Data!#REF!=""),"",IF(Data!#REF!="",1,0))</f>
        <v>#REF!</v>
      </c>
      <c r="O640" s="17" t="e">
        <f>IF(Data!#REF!="","",IF(Data!#REF!="",1,0))</f>
        <v>#REF!</v>
      </c>
      <c r="P640" s="17" t="e">
        <f>IF(Data!#REF!="","",IF(ISNUMBER(MATCH(Data!#REF!,Data_Val!$A$2:$A$3,0)),0,1))</f>
        <v>#REF!</v>
      </c>
      <c r="Q640" s="25" t="e">
        <f ca="1">IF(Data!#REF!="","",IF(ISNUMBER(Data!#REF!),IF(AND(Data!#REF!&gt;(TODAY()-(Data_Val!$J$3*365.25)),Data!#REF!&lt;=(TODAY()-(Data_Val!$J$2*365.25))),0,1),1))</f>
        <v>#REF!</v>
      </c>
      <c r="R640" s="17" t="e">
        <f>IF(Data!#REF!="","",IF(ISNUMBER(MATCH(Data!#REF!,Data_Val!$B$2:$B$15,0)),0,1))</f>
        <v>#REF!</v>
      </c>
      <c r="S640" s="11" t="str">
        <f>IF(Data!G640="","",IF(Data!G640=Data_Val!$C$2,IF(Data!M640="",0,1),0))</f>
        <v/>
      </c>
      <c r="T640" s="11" t="str">
        <f>IF(Data!M640="","",IF(ISNUMBER(MATCH(Data!N640,Data_Val!$A$2:$A$3,0)),0,1))</f>
        <v/>
      </c>
      <c r="U640" s="11" t="str">
        <f ca="1">IF(Data!M640="","",IF(ISNUMBER(Data!O640),IF(AND(Data!O640&gt;(TODAY()-(Data_Val!$K$3*365.25)),Data!O640&lt;=(TODAY()-(Data_Val!$K$2*365.25))),0,1),1))</f>
        <v/>
      </c>
      <c r="V640" s="12" t="str">
        <f>IF(Data!G640="","",IF(Data!G640=Data_Val!$C$2,IF(Data!P640="",0,1),0))</f>
        <v/>
      </c>
      <c r="W640" s="12" t="str">
        <f>IF(Data!P640="","",IF(ISNUMBER(MATCH(Data!Q640,Data_Val!$A$2:$A$3,0)),0,1))</f>
        <v/>
      </c>
      <c r="X640" s="26" t="str">
        <f ca="1">IF(Data!P640="","",IF(ISNUMBER(Data!R640),IF(AND(Data!R640&gt;(TODAY()-(Data_Val!$L$3*365.25)),Data!R640&lt;=(TODAY()-(Data_Val!$L$2*365.25))),0,1),1))</f>
        <v/>
      </c>
      <c r="Y640" s="13" t="str">
        <f>IF(Data!$G640="","",IF(Data!$G640=Data_Val!$C$2,IF(Data!S640="",0,1),0))</f>
        <v/>
      </c>
      <c r="Z640" s="13" t="str">
        <f>IF(Data!S640="","",IF(ISNUMBER(MATCH(Data!T640,Data_Val!$A$2:$A$3,0)),0,1))</f>
        <v/>
      </c>
      <c r="AA640" s="28" t="str">
        <f ca="1">IF(Data!S640="","",IF(ISNUMBER(Data!U640),IF(AND(Data!U640&gt;(TODAY()-(Data_Val!$L$3*365.25)),Data!U640&lt;=(TODAY()-(Data_Val!$L$2*365.25))),0,1),1))</f>
        <v/>
      </c>
      <c r="AB640" s="11"/>
      <c r="AC640" s="11" t="e">
        <f>IF(Data!#REF!="","",IF(ISNUMBER(MATCH(Data!#REF!,Data_Val!$A$2:$A$3,0)),0,1))</f>
        <v>#REF!</v>
      </c>
      <c r="AD640" s="11" t="e">
        <f ca="1">IF(Data!#REF!="","",IF(ISNUMBER(Data!#REF!),IF(AND(Data!#REF!&gt;(TODAY()-(Data_Val!$L$3*365.25)),Data!#REF!&lt;=(TODAY()-(Data_Val!$L$2*365.25))),0,1),1))</f>
        <v>#REF!</v>
      </c>
      <c r="AE640" s="11" t="e">
        <f>IF(Data!#REF!="","",IF(Data!$G640="",1,IF(ISNUMBER(MATCH(Data!#REF!,Data_Val!$D$2:$D$10,0)),0,1)))</f>
        <v>#REF!</v>
      </c>
      <c r="AF640" s="12"/>
      <c r="AG640" s="12" t="e">
        <f>IF(Data!#REF!="","",IF(ISNUMBER(MATCH(Data!#REF!,Data_Val!$A$2:$A$3,0)),0,1))</f>
        <v>#REF!</v>
      </c>
      <c r="AH640" s="26" t="e">
        <f ca="1">IF(Data!#REF!="","",IF(ISNUMBER(Data!#REF!),IF(AND(Data!#REF!&gt;(TODAY()-(Data_Val!$L$3*365.25)),Data!#REF!&lt;=(TODAY()-(Data_Val!$L$2*365.25))),0,1),1))</f>
        <v>#REF!</v>
      </c>
      <c r="AI640" s="12" t="e">
        <f>IF(Data!#REF!="","",IF(Data!$G640="",1,IF(ISNUMBER(MATCH(Data!#REF!,Data_Val!$D$2:$D$10,0)),0,1)))</f>
        <v>#REF!</v>
      </c>
      <c r="AJ640" s="17"/>
      <c r="AK640" s="17" t="e">
        <f>IF(Data!#REF!="","",IF(ISNUMBER(MATCH(Data!#REF!,Data_Val!$A$2:$A$3,0)),0,1))</f>
        <v>#REF!</v>
      </c>
      <c r="AL640" s="25" t="e">
        <f ca="1">IF(Data!#REF!="","",IF(ISNUMBER(Data!#REF!),IF(AND(Data!#REF!&gt;(TODAY()-(Data_Val!$L$3*365.25)),Data!#REF!&lt;=(TODAY()-(Data_Val!$L$2*365.25))),0,1),1))</f>
        <v>#REF!</v>
      </c>
      <c r="AM640" s="17" t="e">
        <f>IF(Data!#REF!="","",IF(Data!$G640="",1,IF(ISNUMBER(MATCH(Data!#REF!,Data_Val!$D$2:$D$10,0)),0,1)))</f>
        <v>#REF!</v>
      </c>
      <c r="AN640" s="13"/>
      <c r="AO640" s="28" t="e">
        <f ca="1">IF(Data!#REF!="","",IF(ISNUMBER(Data!#REF!),IF(AND(Data!#REF!&gt;(TODAY()-(Data_Val!$I$3*365.25)),Data!#REF!&lt;=(TODAY()-(Data_Val!$I$2*365.25))),0,1),1))</f>
        <v>#REF!</v>
      </c>
      <c r="AP640" s="13" t="e">
        <f>IF(Data!#REF!="","",IF(Data!$G640="",1,IF(ISNUMBER(MATCH(Data!#REF!,Data_Val!$D$2:$D$10,0)),0,1)))</f>
        <v>#REF!</v>
      </c>
      <c r="AQ640" s="17"/>
      <c r="AR640" s="30" t="e">
        <f ca="1">IF(Data!#REF!="","",IF(ISNUMBER(Data!#REF!),IF(AND(Data!#REF!&gt;(TODAY()-(Data_Val!$I$3*365.25)),Data!#REF!&lt;=(TODAY()-(Data_Val!$I$2*365.25))),0,1),1))</f>
        <v>#REF!</v>
      </c>
      <c r="AS640" s="31" t="e">
        <f>IF(Data!#REF!="","",IF(Data!$G640="",1,IF(ISNUMBER(MATCH(Data!#REF!,Data_Val!$D$2:$D$10,0)),0,1)))</f>
        <v>#REF!</v>
      </c>
      <c r="AT640" s="11"/>
      <c r="AU640" s="11" t="e">
        <f ca="1">IF(Data!#REF!="","",IF(ISNUMBER(Data!#REF!),IF(AND(Data!#REF!&gt;(TODAY()-(Data_Val!$I$3*365.25)),Data!#REF!&lt;=(TODAY()-(Data_Val!$I$2*365.25))),0,1),1))</f>
        <v>#REF!</v>
      </c>
      <c r="AV640" s="11" t="e">
        <f>IF(Data!#REF!="","",IF(Data!$G640="",1,IF(ISNUMBER(MATCH(Data!#REF!,Data_Val!$D$2:$D$10,0)),0,1)))</f>
        <v>#REF!</v>
      </c>
      <c r="AW640" s="12"/>
      <c r="AX640" s="26" t="e">
        <f ca="1">IF(Data!#REF!="","",IF(ISNUMBER(Data!#REF!),IF(AND(Data!#REF!&gt;(TODAY()-(Data_Val!$I$3*365.25)),Data!#REF!&lt;=(TODAY()-(Data_Val!$I$2*365.25))),0,1),1))</f>
        <v>#REF!</v>
      </c>
      <c r="AY640" s="12" t="e">
        <f>IF(Data!#REF!="","",IF(Data!$G640="",1,IF(ISNUMBER(MATCH(Data!#REF!,Data_Val!$D$2:$D$10,0)),0,1)))</f>
        <v>#REF!</v>
      </c>
      <c r="AZ640" s="11"/>
      <c r="BA640" s="19" t="e">
        <f ca="1">IF(Data!#REF!="","",IF(ISNUMBER(Data!#REF!),IF(AND(Data!#REF!&gt;(TODAY()-(Data_Val!$M$3*365.25)),Data!#REF!&lt;=(TODAY()-(Data_Val!$M$2*365.25))),0,1),1))</f>
        <v>#REF!</v>
      </c>
      <c r="BB640" s="11" t="e">
        <f>IF(Data!#REF!="","",IF(Data!$G640="",1,IF(ISNUMBER(MATCH(Data!#REF!,Data_Val!$D$2:$D$10,0)),0,1)))</f>
        <v>#REF!</v>
      </c>
      <c r="BC640" s="12"/>
      <c r="BD640" s="20" t="e">
        <f ca="1">IF(Data!#REF!="","",IF(ISNUMBER(Data!#REF!),IF(AND(Data!#REF!&gt;(TODAY()-(Data_Val!$M$3*365.25)),Data!#REF!&lt;=(TODAY()-(Data_Val!$M$2*365.25))),0,1),1))</f>
        <v>#REF!</v>
      </c>
      <c r="BE640" s="12" t="e">
        <f>IF(Data!#REF!="","",IF(Data!$G640="",1,IF(ISNUMBER(MATCH(Data!#REF!,Data_Val!$D$2:$D$10,0)),0,1)))</f>
        <v>#REF!</v>
      </c>
      <c r="BF640" s="17"/>
      <c r="BG640" s="18" t="e">
        <f ca="1">IF(Data!#REF!="","",IF(ISNUMBER(Data!#REF!),IF(AND(Data!#REF!&gt;(TODAY()-(Data_Val!$M$3*365.25)),Data!#REF!&lt;=(TODAY()-(Data_Val!$M$2*365.25))),0,1),1))</f>
        <v>#REF!</v>
      </c>
      <c r="BH640" s="29" t="e">
        <f>IF(Data!#REF!="","",IF(Data!$G640="",1,IF(ISNUMBER(MATCH(Data!#REF!,Data_Val!$D$2:$D$10,0)),0,1)))</f>
        <v>#REF!</v>
      </c>
      <c r="BI640" s="13"/>
      <c r="BJ640" s="21" t="e">
        <f ca="1">IF(Data!#REF!="","",IF(ISNUMBER(Data!#REF!),IF(AND(Data!#REF!&gt;(TODAY()-(Data_Val!$M$3*365.25)),Data!#REF!&lt;=(TODAY()-(Data_Val!$M$2*365.25))),0,1),1))</f>
        <v>#REF!</v>
      </c>
      <c r="BK640" s="13" t="e">
        <f>IF(Data!#REF!="","",IF(Data!$G640="",1,IF(ISNUMBER(MATCH(Data!#REF!,Data_Val!$D$2:$D$10,0)),0,1)))</f>
        <v>#REF!</v>
      </c>
    </row>
    <row r="641" spans="1:63" x14ac:dyDescent="0.25">
      <c r="A641" s="9" t="str">
        <f>IF(Data!B641="","",IF(COUNTIFS(Data!A$1:'Data'!A641,Data!A641)&lt;=1,0,1))</f>
        <v/>
      </c>
      <c r="B641" s="9"/>
      <c r="C641" s="23" t="str">
        <f>IF(Data!C641="","",(IF(ISNUMBER(MATCH("*@*.?*",Data!C641,0)),0,1)+IF(COUNTIFS(Data!C$1:'Data'!C641,Data!C641)&gt;1,1,0)))</f>
        <v/>
      </c>
      <c r="D641" s="9" t="str">
        <f>IF(Data!B641="","",IF(ISNUMBER(Data!D641),IF(AND(Data!D641&gt;999999999,Data!D641&lt;=9999999999),IF(COUNTIFS(Data!D$1:'Data'!D641,Data!D641)&lt;=1,0,1),1),1))</f>
        <v/>
      </c>
      <c r="E641" s="9" t="str">
        <f>IF(Data!B641="","",IF(ISNUMBER(MATCH(Data!E641,Data_Val!$A$2:$A$3,0)),0,1))</f>
        <v/>
      </c>
      <c r="F641" s="9" t="str">
        <f ca="1">IF(Data!B641="","",IF(ISNUMBER(Data!F641),IF(AND(Data!F641&gt;(TODAY()-(Data_Val!$H$3*365.25)),Data!F641&lt;=(TODAY()-(Data_Val!$H$2*365.25))),0,1),1))</f>
        <v/>
      </c>
      <c r="G641" s="15" t="str">
        <f>IF(Data!B641="","",IF(AND(Data!G641="",Data!H641&lt;&gt;""),1,IF(Data!#REF!&lt;&gt;"",0,IF(ISNUMBER(MATCH(Data!G641,Data_Val!$C$2:$C$5,0)),0,1))))</f>
        <v/>
      </c>
      <c r="H641" s="15" t="str">
        <f>IF(Data!B641="","",IF(AND(Data!G641&lt;&gt;"",Data!H641=""),1,IF(Data!#REF!&lt;&gt;"",0,IF(Data!G641="",1,IF(ISNUMBER(MATCH(Data!H641,Data_Val!$D$2:$D$35,0)),0,1)))))</f>
        <v/>
      </c>
      <c r="I641" s="15" t="str">
        <f>IF(Data!B641="","",IF(Data!G641&lt;&gt;"",0,IF(ISNUMBER(MATCH(Data!#REF!,Data_Val!$E$2:$E$12,0)),0,1)))</f>
        <v/>
      </c>
      <c r="J641" s="16" t="e">
        <f>IF(OR(Data!B641="",Data!#REF!=""),"",IF(Data!#REF!="",1,0))</f>
        <v>#REF!</v>
      </c>
      <c r="K641" s="16" t="e">
        <f>IF(OR(Data!B641="",Data!#REF!=""),"",IF(Data!#REF!="",1,0))</f>
        <v>#REF!</v>
      </c>
      <c r="L641" s="16" t="e">
        <f>IF(OR(Data!B641="",Data!#REF!=""),"",IF(ISNUMBER(Data!#REF!),IF(AND(Data!#REF!&gt;Data_Val!$G$2,Data!#REF!&lt;=Data_Val!$G$3),0,1),1))</f>
        <v>#REF!</v>
      </c>
      <c r="M641" s="9" t="e">
        <f>IF(OR(Data!B641="",Data!#REF!=""),"",IF(ISNUMBER(MATCH(Data!#REF!,Data_Val!$F$1:$F$38,0)),0,1))</f>
        <v>#REF!</v>
      </c>
      <c r="N641" s="9" t="e">
        <f>IF(OR(Data!B641="",Data!#REF!=""),"",IF(Data!#REF!="",1,0))</f>
        <v>#REF!</v>
      </c>
      <c r="O641" s="17" t="e">
        <f>IF(Data!#REF!="","",IF(Data!#REF!="",1,0))</f>
        <v>#REF!</v>
      </c>
      <c r="P641" s="17" t="e">
        <f>IF(Data!#REF!="","",IF(ISNUMBER(MATCH(Data!#REF!,Data_Val!$A$2:$A$3,0)),0,1))</f>
        <v>#REF!</v>
      </c>
      <c r="Q641" s="25" t="e">
        <f ca="1">IF(Data!#REF!="","",IF(ISNUMBER(Data!#REF!),IF(AND(Data!#REF!&gt;(TODAY()-(Data_Val!$J$3*365.25)),Data!#REF!&lt;=(TODAY()-(Data_Val!$J$2*365.25))),0,1),1))</f>
        <v>#REF!</v>
      </c>
      <c r="R641" s="17" t="e">
        <f>IF(Data!#REF!="","",IF(ISNUMBER(MATCH(Data!#REF!,Data_Val!$B$2:$B$15,0)),0,1))</f>
        <v>#REF!</v>
      </c>
      <c r="S641" s="11" t="str">
        <f>IF(Data!G641="","",IF(Data!G641=Data_Val!$C$2,IF(Data!M641="",0,1),0))</f>
        <v/>
      </c>
      <c r="T641" s="11" t="str">
        <f>IF(Data!M641="","",IF(ISNUMBER(MATCH(Data!N641,Data_Val!$A$2:$A$3,0)),0,1))</f>
        <v/>
      </c>
      <c r="U641" s="11" t="str">
        <f ca="1">IF(Data!M641="","",IF(ISNUMBER(Data!O641),IF(AND(Data!O641&gt;(TODAY()-(Data_Val!$K$3*365.25)),Data!O641&lt;=(TODAY()-(Data_Val!$K$2*365.25))),0,1),1))</f>
        <v/>
      </c>
      <c r="V641" s="12" t="str">
        <f>IF(Data!G641="","",IF(Data!G641=Data_Val!$C$2,IF(Data!P641="",0,1),0))</f>
        <v/>
      </c>
      <c r="W641" s="12" t="str">
        <f>IF(Data!P641="","",IF(ISNUMBER(MATCH(Data!Q641,Data_Val!$A$2:$A$3,0)),0,1))</f>
        <v/>
      </c>
      <c r="X641" s="26" t="str">
        <f ca="1">IF(Data!P641="","",IF(ISNUMBER(Data!R641),IF(AND(Data!R641&gt;(TODAY()-(Data_Val!$L$3*365.25)),Data!R641&lt;=(TODAY()-(Data_Val!$L$2*365.25))),0,1),1))</f>
        <v/>
      </c>
      <c r="Y641" s="13" t="str">
        <f>IF(Data!$G641="","",IF(Data!$G641=Data_Val!$C$2,IF(Data!S641="",0,1),0))</f>
        <v/>
      </c>
      <c r="Z641" s="13" t="str">
        <f>IF(Data!S641="","",IF(ISNUMBER(MATCH(Data!T641,Data_Val!$A$2:$A$3,0)),0,1))</f>
        <v/>
      </c>
      <c r="AA641" s="28" t="str">
        <f ca="1">IF(Data!S641="","",IF(ISNUMBER(Data!U641),IF(AND(Data!U641&gt;(TODAY()-(Data_Val!$L$3*365.25)),Data!U641&lt;=(TODAY()-(Data_Val!$L$2*365.25))),0,1),1))</f>
        <v/>
      </c>
      <c r="AB641" s="11"/>
      <c r="AC641" s="11" t="e">
        <f>IF(Data!#REF!="","",IF(ISNUMBER(MATCH(Data!#REF!,Data_Val!$A$2:$A$3,0)),0,1))</f>
        <v>#REF!</v>
      </c>
      <c r="AD641" s="11" t="e">
        <f ca="1">IF(Data!#REF!="","",IF(ISNUMBER(Data!#REF!),IF(AND(Data!#REF!&gt;(TODAY()-(Data_Val!$L$3*365.25)),Data!#REF!&lt;=(TODAY()-(Data_Val!$L$2*365.25))),0,1),1))</f>
        <v>#REF!</v>
      </c>
      <c r="AE641" s="11" t="e">
        <f>IF(Data!#REF!="","",IF(Data!$G641="",1,IF(ISNUMBER(MATCH(Data!#REF!,Data_Val!$D$2:$D$10,0)),0,1)))</f>
        <v>#REF!</v>
      </c>
      <c r="AF641" s="12"/>
      <c r="AG641" s="12" t="e">
        <f>IF(Data!#REF!="","",IF(ISNUMBER(MATCH(Data!#REF!,Data_Val!$A$2:$A$3,0)),0,1))</f>
        <v>#REF!</v>
      </c>
      <c r="AH641" s="26" t="e">
        <f ca="1">IF(Data!#REF!="","",IF(ISNUMBER(Data!#REF!),IF(AND(Data!#REF!&gt;(TODAY()-(Data_Val!$L$3*365.25)),Data!#REF!&lt;=(TODAY()-(Data_Val!$L$2*365.25))),0,1),1))</f>
        <v>#REF!</v>
      </c>
      <c r="AI641" s="12" t="e">
        <f>IF(Data!#REF!="","",IF(Data!$G641="",1,IF(ISNUMBER(MATCH(Data!#REF!,Data_Val!$D$2:$D$10,0)),0,1)))</f>
        <v>#REF!</v>
      </c>
      <c r="AJ641" s="17"/>
      <c r="AK641" s="17" t="e">
        <f>IF(Data!#REF!="","",IF(ISNUMBER(MATCH(Data!#REF!,Data_Val!$A$2:$A$3,0)),0,1))</f>
        <v>#REF!</v>
      </c>
      <c r="AL641" s="25" t="e">
        <f ca="1">IF(Data!#REF!="","",IF(ISNUMBER(Data!#REF!),IF(AND(Data!#REF!&gt;(TODAY()-(Data_Val!$L$3*365.25)),Data!#REF!&lt;=(TODAY()-(Data_Val!$L$2*365.25))),0,1),1))</f>
        <v>#REF!</v>
      </c>
      <c r="AM641" s="17" t="e">
        <f>IF(Data!#REF!="","",IF(Data!$G641="",1,IF(ISNUMBER(MATCH(Data!#REF!,Data_Val!$D$2:$D$10,0)),0,1)))</f>
        <v>#REF!</v>
      </c>
      <c r="AN641" s="13"/>
      <c r="AO641" s="28" t="e">
        <f ca="1">IF(Data!#REF!="","",IF(ISNUMBER(Data!#REF!),IF(AND(Data!#REF!&gt;(TODAY()-(Data_Val!$I$3*365.25)),Data!#REF!&lt;=(TODAY()-(Data_Val!$I$2*365.25))),0,1),1))</f>
        <v>#REF!</v>
      </c>
      <c r="AP641" s="13" t="e">
        <f>IF(Data!#REF!="","",IF(Data!$G641="",1,IF(ISNUMBER(MATCH(Data!#REF!,Data_Val!$D$2:$D$10,0)),0,1)))</f>
        <v>#REF!</v>
      </c>
      <c r="AQ641" s="17"/>
      <c r="AR641" s="30" t="e">
        <f ca="1">IF(Data!#REF!="","",IF(ISNUMBER(Data!#REF!),IF(AND(Data!#REF!&gt;(TODAY()-(Data_Val!$I$3*365.25)),Data!#REF!&lt;=(TODAY()-(Data_Val!$I$2*365.25))),0,1),1))</f>
        <v>#REF!</v>
      </c>
      <c r="AS641" s="31" t="e">
        <f>IF(Data!#REF!="","",IF(Data!$G641="",1,IF(ISNUMBER(MATCH(Data!#REF!,Data_Val!$D$2:$D$10,0)),0,1)))</f>
        <v>#REF!</v>
      </c>
      <c r="AT641" s="11"/>
      <c r="AU641" s="11" t="e">
        <f ca="1">IF(Data!#REF!="","",IF(ISNUMBER(Data!#REF!),IF(AND(Data!#REF!&gt;(TODAY()-(Data_Val!$I$3*365.25)),Data!#REF!&lt;=(TODAY()-(Data_Val!$I$2*365.25))),0,1),1))</f>
        <v>#REF!</v>
      </c>
      <c r="AV641" s="11" t="e">
        <f>IF(Data!#REF!="","",IF(Data!$G641="",1,IF(ISNUMBER(MATCH(Data!#REF!,Data_Val!$D$2:$D$10,0)),0,1)))</f>
        <v>#REF!</v>
      </c>
      <c r="AW641" s="12"/>
      <c r="AX641" s="26" t="e">
        <f ca="1">IF(Data!#REF!="","",IF(ISNUMBER(Data!#REF!),IF(AND(Data!#REF!&gt;(TODAY()-(Data_Val!$I$3*365.25)),Data!#REF!&lt;=(TODAY()-(Data_Val!$I$2*365.25))),0,1),1))</f>
        <v>#REF!</v>
      </c>
      <c r="AY641" s="12" t="e">
        <f>IF(Data!#REF!="","",IF(Data!$G641="",1,IF(ISNUMBER(MATCH(Data!#REF!,Data_Val!$D$2:$D$10,0)),0,1)))</f>
        <v>#REF!</v>
      </c>
      <c r="AZ641" s="11"/>
      <c r="BA641" s="19" t="e">
        <f ca="1">IF(Data!#REF!="","",IF(ISNUMBER(Data!#REF!),IF(AND(Data!#REF!&gt;(TODAY()-(Data_Val!$M$3*365.25)),Data!#REF!&lt;=(TODAY()-(Data_Val!$M$2*365.25))),0,1),1))</f>
        <v>#REF!</v>
      </c>
      <c r="BB641" s="11" t="e">
        <f>IF(Data!#REF!="","",IF(Data!$G641="",1,IF(ISNUMBER(MATCH(Data!#REF!,Data_Val!$D$2:$D$10,0)),0,1)))</f>
        <v>#REF!</v>
      </c>
      <c r="BC641" s="12"/>
      <c r="BD641" s="20" t="e">
        <f ca="1">IF(Data!#REF!="","",IF(ISNUMBER(Data!#REF!),IF(AND(Data!#REF!&gt;(TODAY()-(Data_Val!$M$3*365.25)),Data!#REF!&lt;=(TODAY()-(Data_Val!$M$2*365.25))),0,1),1))</f>
        <v>#REF!</v>
      </c>
      <c r="BE641" s="12" t="e">
        <f>IF(Data!#REF!="","",IF(Data!$G641="",1,IF(ISNUMBER(MATCH(Data!#REF!,Data_Val!$D$2:$D$10,0)),0,1)))</f>
        <v>#REF!</v>
      </c>
      <c r="BF641" s="17"/>
      <c r="BG641" s="18" t="e">
        <f ca="1">IF(Data!#REF!="","",IF(ISNUMBER(Data!#REF!),IF(AND(Data!#REF!&gt;(TODAY()-(Data_Val!$M$3*365.25)),Data!#REF!&lt;=(TODAY()-(Data_Val!$M$2*365.25))),0,1),1))</f>
        <v>#REF!</v>
      </c>
      <c r="BH641" s="29" t="e">
        <f>IF(Data!#REF!="","",IF(Data!$G641="",1,IF(ISNUMBER(MATCH(Data!#REF!,Data_Val!$D$2:$D$10,0)),0,1)))</f>
        <v>#REF!</v>
      </c>
      <c r="BI641" s="13"/>
      <c r="BJ641" s="21" t="e">
        <f ca="1">IF(Data!#REF!="","",IF(ISNUMBER(Data!#REF!),IF(AND(Data!#REF!&gt;(TODAY()-(Data_Val!$M$3*365.25)),Data!#REF!&lt;=(TODAY()-(Data_Val!$M$2*365.25))),0,1),1))</f>
        <v>#REF!</v>
      </c>
      <c r="BK641" s="13" t="e">
        <f>IF(Data!#REF!="","",IF(Data!$G641="",1,IF(ISNUMBER(MATCH(Data!#REF!,Data_Val!$D$2:$D$10,0)),0,1)))</f>
        <v>#REF!</v>
      </c>
    </row>
    <row r="642" spans="1:63" x14ac:dyDescent="0.25">
      <c r="A642" s="9" t="str">
        <f>IF(Data!B642="","",IF(COUNTIFS(Data!A$1:'Data'!A642,Data!A642)&lt;=1,0,1))</f>
        <v/>
      </c>
      <c r="B642" s="9"/>
      <c r="C642" s="23" t="str">
        <f>IF(Data!C642="","",(IF(ISNUMBER(MATCH("*@*.?*",Data!C642,0)),0,1)+IF(COUNTIFS(Data!C$1:'Data'!C642,Data!C642)&gt;1,1,0)))</f>
        <v/>
      </c>
      <c r="D642" s="9" t="str">
        <f>IF(Data!B642="","",IF(ISNUMBER(Data!D642),IF(AND(Data!D642&gt;999999999,Data!D642&lt;=9999999999),IF(COUNTIFS(Data!D$1:'Data'!D642,Data!D642)&lt;=1,0,1),1),1))</f>
        <v/>
      </c>
      <c r="E642" s="9" t="str">
        <f>IF(Data!B642="","",IF(ISNUMBER(MATCH(Data!E642,Data_Val!$A$2:$A$3,0)),0,1))</f>
        <v/>
      </c>
      <c r="F642" s="9" t="str">
        <f ca="1">IF(Data!B642="","",IF(ISNUMBER(Data!F642),IF(AND(Data!F642&gt;(TODAY()-(Data_Val!$H$3*365.25)),Data!F642&lt;=(TODAY()-(Data_Val!$H$2*365.25))),0,1),1))</f>
        <v/>
      </c>
      <c r="G642" s="15" t="str">
        <f>IF(Data!B642="","",IF(AND(Data!G642="",Data!H642&lt;&gt;""),1,IF(Data!#REF!&lt;&gt;"",0,IF(ISNUMBER(MATCH(Data!G642,Data_Val!$C$2:$C$5,0)),0,1))))</f>
        <v/>
      </c>
      <c r="H642" s="15" t="str">
        <f>IF(Data!B642="","",IF(AND(Data!G642&lt;&gt;"",Data!H642=""),1,IF(Data!#REF!&lt;&gt;"",0,IF(Data!G642="",1,IF(ISNUMBER(MATCH(Data!H642,Data_Val!$D$2:$D$35,0)),0,1)))))</f>
        <v/>
      </c>
      <c r="I642" s="15" t="str">
        <f>IF(Data!B642="","",IF(Data!G642&lt;&gt;"",0,IF(ISNUMBER(MATCH(Data!#REF!,Data_Val!$E$2:$E$12,0)),0,1)))</f>
        <v/>
      </c>
      <c r="J642" s="16" t="e">
        <f>IF(OR(Data!B642="",Data!#REF!=""),"",IF(Data!#REF!="",1,0))</f>
        <v>#REF!</v>
      </c>
      <c r="K642" s="16" t="e">
        <f>IF(OR(Data!B642="",Data!#REF!=""),"",IF(Data!#REF!="",1,0))</f>
        <v>#REF!</v>
      </c>
      <c r="L642" s="16" t="e">
        <f>IF(OR(Data!B642="",Data!#REF!=""),"",IF(ISNUMBER(Data!#REF!),IF(AND(Data!#REF!&gt;Data_Val!$G$2,Data!#REF!&lt;=Data_Val!$G$3),0,1),1))</f>
        <v>#REF!</v>
      </c>
      <c r="M642" s="9" t="e">
        <f>IF(OR(Data!B642="",Data!#REF!=""),"",IF(ISNUMBER(MATCH(Data!#REF!,Data_Val!$F$1:$F$38,0)),0,1))</f>
        <v>#REF!</v>
      </c>
      <c r="N642" s="9" t="e">
        <f>IF(OR(Data!B642="",Data!#REF!=""),"",IF(Data!#REF!="",1,0))</f>
        <v>#REF!</v>
      </c>
      <c r="O642" s="17" t="e">
        <f>IF(Data!#REF!="","",IF(Data!#REF!="",1,0))</f>
        <v>#REF!</v>
      </c>
      <c r="P642" s="17" t="e">
        <f>IF(Data!#REF!="","",IF(ISNUMBER(MATCH(Data!#REF!,Data_Val!$A$2:$A$3,0)),0,1))</f>
        <v>#REF!</v>
      </c>
      <c r="Q642" s="25" t="e">
        <f ca="1">IF(Data!#REF!="","",IF(ISNUMBER(Data!#REF!),IF(AND(Data!#REF!&gt;(TODAY()-(Data_Val!$J$3*365.25)),Data!#REF!&lt;=(TODAY()-(Data_Val!$J$2*365.25))),0,1),1))</f>
        <v>#REF!</v>
      </c>
      <c r="R642" s="17" t="e">
        <f>IF(Data!#REF!="","",IF(ISNUMBER(MATCH(Data!#REF!,Data_Val!$B$2:$B$15,0)),0,1))</f>
        <v>#REF!</v>
      </c>
      <c r="S642" s="11" t="str">
        <f>IF(Data!G642="","",IF(Data!G642=Data_Val!$C$2,IF(Data!M642="",0,1),0))</f>
        <v/>
      </c>
      <c r="T642" s="11" t="str">
        <f>IF(Data!M642="","",IF(ISNUMBER(MATCH(Data!N642,Data_Val!$A$2:$A$3,0)),0,1))</f>
        <v/>
      </c>
      <c r="U642" s="11" t="str">
        <f ca="1">IF(Data!M642="","",IF(ISNUMBER(Data!O642),IF(AND(Data!O642&gt;(TODAY()-(Data_Val!$K$3*365.25)),Data!O642&lt;=(TODAY()-(Data_Val!$K$2*365.25))),0,1),1))</f>
        <v/>
      </c>
      <c r="V642" s="12" t="str">
        <f>IF(Data!G642="","",IF(Data!G642=Data_Val!$C$2,IF(Data!P642="",0,1),0))</f>
        <v/>
      </c>
      <c r="W642" s="12" t="str">
        <f>IF(Data!P642="","",IF(ISNUMBER(MATCH(Data!Q642,Data_Val!$A$2:$A$3,0)),0,1))</f>
        <v/>
      </c>
      <c r="X642" s="26" t="str">
        <f ca="1">IF(Data!P642="","",IF(ISNUMBER(Data!R642),IF(AND(Data!R642&gt;(TODAY()-(Data_Val!$L$3*365.25)),Data!R642&lt;=(TODAY()-(Data_Val!$L$2*365.25))),0,1),1))</f>
        <v/>
      </c>
      <c r="Y642" s="13" t="str">
        <f>IF(Data!$G642="","",IF(Data!$G642=Data_Val!$C$2,IF(Data!S642="",0,1),0))</f>
        <v/>
      </c>
      <c r="Z642" s="13" t="str">
        <f>IF(Data!S642="","",IF(ISNUMBER(MATCH(Data!T642,Data_Val!$A$2:$A$3,0)),0,1))</f>
        <v/>
      </c>
      <c r="AA642" s="28" t="str">
        <f ca="1">IF(Data!S642="","",IF(ISNUMBER(Data!U642),IF(AND(Data!U642&gt;(TODAY()-(Data_Val!$L$3*365.25)),Data!U642&lt;=(TODAY()-(Data_Val!$L$2*365.25))),0,1),1))</f>
        <v/>
      </c>
      <c r="AB642" s="11"/>
      <c r="AC642" s="11" t="e">
        <f>IF(Data!#REF!="","",IF(ISNUMBER(MATCH(Data!#REF!,Data_Val!$A$2:$A$3,0)),0,1))</f>
        <v>#REF!</v>
      </c>
      <c r="AD642" s="11" t="e">
        <f ca="1">IF(Data!#REF!="","",IF(ISNUMBER(Data!#REF!),IF(AND(Data!#REF!&gt;(TODAY()-(Data_Val!$L$3*365.25)),Data!#REF!&lt;=(TODAY()-(Data_Val!$L$2*365.25))),0,1),1))</f>
        <v>#REF!</v>
      </c>
      <c r="AE642" s="11" t="e">
        <f>IF(Data!#REF!="","",IF(Data!$G642="",1,IF(ISNUMBER(MATCH(Data!#REF!,Data_Val!$D$2:$D$10,0)),0,1)))</f>
        <v>#REF!</v>
      </c>
      <c r="AF642" s="12"/>
      <c r="AG642" s="12" t="e">
        <f>IF(Data!#REF!="","",IF(ISNUMBER(MATCH(Data!#REF!,Data_Val!$A$2:$A$3,0)),0,1))</f>
        <v>#REF!</v>
      </c>
      <c r="AH642" s="26" t="e">
        <f ca="1">IF(Data!#REF!="","",IF(ISNUMBER(Data!#REF!),IF(AND(Data!#REF!&gt;(TODAY()-(Data_Val!$L$3*365.25)),Data!#REF!&lt;=(TODAY()-(Data_Val!$L$2*365.25))),0,1),1))</f>
        <v>#REF!</v>
      </c>
      <c r="AI642" s="12" t="e">
        <f>IF(Data!#REF!="","",IF(Data!$G642="",1,IF(ISNUMBER(MATCH(Data!#REF!,Data_Val!$D$2:$D$10,0)),0,1)))</f>
        <v>#REF!</v>
      </c>
      <c r="AJ642" s="17"/>
      <c r="AK642" s="17" t="e">
        <f>IF(Data!#REF!="","",IF(ISNUMBER(MATCH(Data!#REF!,Data_Val!$A$2:$A$3,0)),0,1))</f>
        <v>#REF!</v>
      </c>
      <c r="AL642" s="25" t="e">
        <f ca="1">IF(Data!#REF!="","",IF(ISNUMBER(Data!#REF!),IF(AND(Data!#REF!&gt;(TODAY()-(Data_Val!$L$3*365.25)),Data!#REF!&lt;=(TODAY()-(Data_Val!$L$2*365.25))),0,1),1))</f>
        <v>#REF!</v>
      </c>
      <c r="AM642" s="17" t="e">
        <f>IF(Data!#REF!="","",IF(Data!$G642="",1,IF(ISNUMBER(MATCH(Data!#REF!,Data_Val!$D$2:$D$10,0)),0,1)))</f>
        <v>#REF!</v>
      </c>
      <c r="AN642" s="13"/>
      <c r="AO642" s="28" t="e">
        <f ca="1">IF(Data!#REF!="","",IF(ISNUMBER(Data!#REF!),IF(AND(Data!#REF!&gt;(TODAY()-(Data_Val!$I$3*365.25)),Data!#REF!&lt;=(TODAY()-(Data_Val!$I$2*365.25))),0,1),1))</f>
        <v>#REF!</v>
      </c>
      <c r="AP642" s="13" t="e">
        <f>IF(Data!#REF!="","",IF(Data!$G642="",1,IF(ISNUMBER(MATCH(Data!#REF!,Data_Val!$D$2:$D$10,0)),0,1)))</f>
        <v>#REF!</v>
      </c>
      <c r="AQ642" s="17"/>
      <c r="AR642" s="30" t="e">
        <f ca="1">IF(Data!#REF!="","",IF(ISNUMBER(Data!#REF!),IF(AND(Data!#REF!&gt;(TODAY()-(Data_Val!$I$3*365.25)),Data!#REF!&lt;=(TODAY()-(Data_Val!$I$2*365.25))),0,1),1))</f>
        <v>#REF!</v>
      </c>
      <c r="AS642" s="31" t="e">
        <f>IF(Data!#REF!="","",IF(Data!$G642="",1,IF(ISNUMBER(MATCH(Data!#REF!,Data_Val!$D$2:$D$10,0)),0,1)))</f>
        <v>#REF!</v>
      </c>
      <c r="AT642" s="11"/>
      <c r="AU642" s="11" t="e">
        <f ca="1">IF(Data!#REF!="","",IF(ISNUMBER(Data!#REF!),IF(AND(Data!#REF!&gt;(TODAY()-(Data_Val!$I$3*365.25)),Data!#REF!&lt;=(TODAY()-(Data_Val!$I$2*365.25))),0,1),1))</f>
        <v>#REF!</v>
      </c>
      <c r="AV642" s="11" t="e">
        <f>IF(Data!#REF!="","",IF(Data!$G642="",1,IF(ISNUMBER(MATCH(Data!#REF!,Data_Val!$D$2:$D$10,0)),0,1)))</f>
        <v>#REF!</v>
      </c>
      <c r="AW642" s="12"/>
      <c r="AX642" s="26" t="e">
        <f ca="1">IF(Data!#REF!="","",IF(ISNUMBER(Data!#REF!),IF(AND(Data!#REF!&gt;(TODAY()-(Data_Val!$I$3*365.25)),Data!#REF!&lt;=(TODAY()-(Data_Val!$I$2*365.25))),0,1),1))</f>
        <v>#REF!</v>
      </c>
      <c r="AY642" s="12" t="e">
        <f>IF(Data!#REF!="","",IF(Data!$G642="",1,IF(ISNUMBER(MATCH(Data!#REF!,Data_Val!$D$2:$D$10,0)),0,1)))</f>
        <v>#REF!</v>
      </c>
      <c r="AZ642" s="11"/>
      <c r="BA642" s="19" t="e">
        <f ca="1">IF(Data!#REF!="","",IF(ISNUMBER(Data!#REF!),IF(AND(Data!#REF!&gt;(TODAY()-(Data_Val!$M$3*365.25)),Data!#REF!&lt;=(TODAY()-(Data_Val!$M$2*365.25))),0,1),1))</f>
        <v>#REF!</v>
      </c>
      <c r="BB642" s="11" t="e">
        <f>IF(Data!#REF!="","",IF(Data!$G642="",1,IF(ISNUMBER(MATCH(Data!#REF!,Data_Val!$D$2:$D$10,0)),0,1)))</f>
        <v>#REF!</v>
      </c>
      <c r="BC642" s="12"/>
      <c r="BD642" s="20" t="e">
        <f ca="1">IF(Data!#REF!="","",IF(ISNUMBER(Data!#REF!),IF(AND(Data!#REF!&gt;(TODAY()-(Data_Val!$M$3*365.25)),Data!#REF!&lt;=(TODAY()-(Data_Val!$M$2*365.25))),0,1),1))</f>
        <v>#REF!</v>
      </c>
      <c r="BE642" s="12" t="e">
        <f>IF(Data!#REF!="","",IF(Data!$G642="",1,IF(ISNUMBER(MATCH(Data!#REF!,Data_Val!$D$2:$D$10,0)),0,1)))</f>
        <v>#REF!</v>
      </c>
      <c r="BF642" s="17"/>
      <c r="BG642" s="18" t="e">
        <f ca="1">IF(Data!#REF!="","",IF(ISNUMBER(Data!#REF!),IF(AND(Data!#REF!&gt;(TODAY()-(Data_Val!$M$3*365.25)),Data!#REF!&lt;=(TODAY()-(Data_Val!$M$2*365.25))),0,1),1))</f>
        <v>#REF!</v>
      </c>
      <c r="BH642" s="29" t="e">
        <f>IF(Data!#REF!="","",IF(Data!$G642="",1,IF(ISNUMBER(MATCH(Data!#REF!,Data_Val!$D$2:$D$10,0)),0,1)))</f>
        <v>#REF!</v>
      </c>
      <c r="BI642" s="13"/>
      <c r="BJ642" s="21" t="e">
        <f ca="1">IF(Data!#REF!="","",IF(ISNUMBER(Data!#REF!),IF(AND(Data!#REF!&gt;(TODAY()-(Data_Val!$M$3*365.25)),Data!#REF!&lt;=(TODAY()-(Data_Val!$M$2*365.25))),0,1),1))</f>
        <v>#REF!</v>
      </c>
      <c r="BK642" s="13" t="e">
        <f>IF(Data!#REF!="","",IF(Data!$G642="",1,IF(ISNUMBER(MATCH(Data!#REF!,Data_Val!$D$2:$D$10,0)),0,1)))</f>
        <v>#REF!</v>
      </c>
    </row>
    <row r="643" spans="1:63" x14ac:dyDescent="0.25">
      <c r="A643" s="9" t="str">
        <f>IF(Data!B643="","",IF(COUNTIFS(Data!A$1:'Data'!A643,Data!A643)&lt;=1,0,1))</f>
        <v/>
      </c>
      <c r="B643" s="9"/>
      <c r="C643" s="23" t="str">
        <f>IF(Data!C643="","",(IF(ISNUMBER(MATCH("*@*.?*",Data!C643,0)),0,1)+IF(COUNTIFS(Data!C$1:'Data'!C643,Data!C643)&gt;1,1,0)))</f>
        <v/>
      </c>
      <c r="D643" s="9" t="str">
        <f>IF(Data!B643="","",IF(ISNUMBER(Data!D643),IF(AND(Data!D643&gt;999999999,Data!D643&lt;=9999999999),IF(COUNTIFS(Data!D$1:'Data'!D643,Data!D643)&lt;=1,0,1),1),1))</f>
        <v/>
      </c>
      <c r="E643" s="9" t="str">
        <f>IF(Data!B643="","",IF(ISNUMBER(MATCH(Data!E643,Data_Val!$A$2:$A$3,0)),0,1))</f>
        <v/>
      </c>
      <c r="F643" s="9" t="str">
        <f ca="1">IF(Data!B643="","",IF(ISNUMBER(Data!F643),IF(AND(Data!F643&gt;(TODAY()-(Data_Val!$H$3*365.25)),Data!F643&lt;=(TODAY()-(Data_Val!$H$2*365.25))),0,1),1))</f>
        <v/>
      </c>
      <c r="G643" s="15" t="str">
        <f>IF(Data!B643="","",IF(AND(Data!G643="",Data!H643&lt;&gt;""),1,IF(Data!#REF!&lt;&gt;"",0,IF(ISNUMBER(MATCH(Data!G643,Data_Val!$C$2:$C$5,0)),0,1))))</f>
        <v/>
      </c>
      <c r="H643" s="15" t="str">
        <f>IF(Data!B643="","",IF(AND(Data!G643&lt;&gt;"",Data!H643=""),1,IF(Data!#REF!&lt;&gt;"",0,IF(Data!G643="",1,IF(ISNUMBER(MATCH(Data!H643,Data_Val!$D$2:$D$35,0)),0,1)))))</f>
        <v/>
      </c>
      <c r="I643" s="15" t="str">
        <f>IF(Data!B643="","",IF(Data!G643&lt;&gt;"",0,IF(ISNUMBER(MATCH(Data!#REF!,Data_Val!$E$2:$E$12,0)),0,1)))</f>
        <v/>
      </c>
      <c r="J643" s="16" t="e">
        <f>IF(OR(Data!B643="",Data!#REF!=""),"",IF(Data!#REF!="",1,0))</f>
        <v>#REF!</v>
      </c>
      <c r="K643" s="16" t="e">
        <f>IF(OR(Data!B643="",Data!#REF!=""),"",IF(Data!#REF!="",1,0))</f>
        <v>#REF!</v>
      </c>
      <c r="L643" s="16" t="e">
        <f>IF(OR(Data!B643="",Data!#REF!=""),"",IF(ISNUMBER(Data!#REF!),IF(AND(Data!#REF!&gt;Data_Val!$G$2,Data!#REF!&lt;=Data_Val!$G$3),0,1),1))</f>
        <v>#REF!</v>
      </c>
      <c r="M643" s="9" t="e">
        <f>IF(OR(Data!B643="",Data!#REF!=""),"",IF(ISNUMBER(MATCH(Data!#REF!,Data_Val!$F$1:$F$38,0)),0,1))</f>
        <v>#REF!</v>
      </c>
      <c r="N643" s="9" t="e">
        <f>IF(OR(Data!B643="",Data!#REF!=""),"",IF(Data!#REF!="",1,0))</f>
        <v>#REF!</v>
      </c>
      <c r="O643" s="17" t="e">
        <f>IF(Data!#REF!="","",IF(Data!#REF!="",1,0))</f>
        <v>#REF!</v>
      </c>
      <c r="P643" s="17" t="e">
        <f>IF(Data!#REF!="","",IF(ISNUMBER(MATCH(Data!#REF!,Data_Val!$A$2:$A$3,0)),0,1))</f>
        <v>#REF!</v>
      </c>
      <c r="Q643" s="25" t="e">
        <f ca="1">IF(Data!#REF!="","",IF(ISNUMBER(Data!#REF!),IF(AND(Data!#REF!&gt;(TODAY()-(Data_Val!$J$3*365.25)),Data!#REF!&lt;=(TODAY()-(Data_Val!$J$2*365.25))),0,1),1))</f>
        <v>#REF!</v>
      </c>
      <c r="R643" s="17" t="e">
        <f>IF(Data!#REF!="","",IF(ISNUMBER(MATCH(Data!#REF!,Data_Val!$B$2:$B$15,0)),0,1))</f>
        <v>#REF!</v>
      </c>
      <c r="S643" s="11" t="str">
        <f>IF(Data!G643="","",IF(Data!G643=Data_Val!$C$2,IF(Data!M643="",0,1),0))</f>
        <v/>
      </c>
      <c r="T643" s="11" t="str">
        <f>IF(Data!M643="","",IF(ISNUMBER(MATCH(Data!N643,Data_Val!$A$2:$A$3,0)),0,1))</f>
        <v/>
      </c>
      <c r="U643" s="11" t="str">
        <f ca="1">IF(Data!M643="","",IF(ISNUMBER(Data!O643),IF(AND(Data!O643&gt;(TODAY()-(Data_Val!$K$3*365.25)),Data!O643&lt;=(TODAY()-(Data_Val!$K$2*365.25))),0,1),1))</f>
        <v/>
      </c>
      <c r="V643" s="12" t="str">
        <f>IF(Data!G643="","",IF(Data!G643=Data_Val!$C$2,IF(Data!P643="",0,1),0))</f>
        <v/>
      </c>
      <c r="W643" s="12" t="str">
        <f>IF(Data!P643="","",IF(ISNUMBER(MATCH(Data!Q643,Data_Val!$A$2:$A$3,0)),0,1))</f>
        <v/>
      </c>
      <c r="X643" s="26" t="str">
        <f ca="1">IF(Data!P643="","",IF(ISNUMBER(Data!R643),IF(AND(Data!R643&gt;(TODAY()-(Data_Val!$L$3*365.25)),Data!R643&lt;=(TODAY()-(Data_Val!$L$2*365.25))),0,1),1))</f>
        <v/>
      </c>
      <c r="Y643" s="13" t="str">
        <f>IF(Data!$G643="","",IF(Data!$G643=Data_Val!$C$2,IF(Data!S643="",0,1),0))</f>
        <v/>
      </c>
      <c r="Z643" s="13" t="str">
        <f>IF(Data!S643="","",IF(ISNUMBER(MATCH(Data!T643,Data_Val!$A$2:$A$3,0)),0,1))</f>
        <v/>
      </c>
      <c r="AA643" s="28" t="str">
        <f ca="1">IF(Data!S643="","",IF(ISNUMBER(Data!U643),IF(AND(Data!U643&gt;(TODAY()-(Data_Val!$L$3*365.25)),Data!U643&lt;=(TODAY()-(Data_Val!$L$2*365.25))),0,1),1))</f>
        <v/>
      </c>
      <c r="AB643" s="11"/>
      <c r="AC643" s="11" t="e">
        <f>IF(Data!#REF!="","",IF(ISNUMBER(MATCH(Data!#REF!,Data_Val!$A$2:$A$3,0)),0,1))</f>
        <v>#REF!</v>
      </c>
      <c r="AD643" s="11" t="e">
        <f ca="1">IF(Data!#REF!="","",IF(ISNUMBER(Data!#REF!),IF(AND(Data!#REF!&gt;(TODAY()-(Data_Val!$L$3*365.25)),Data!#REF!&lt;=(TODAY()-(Data_Val!$L$2*365.25))),0,1),1))</f>
        <v>#REF!</v>
      </c>
      <c r="AE643" s="11" t="e">
        <f>IF(Data!#REF!="","",IF(Data!$G643="",1,IF(ISNUMBER(MATCH(Data!#REF!,Data_Val!$D$2:$D$10,0)),0,1)))</f>
        <v>#REF!</v>
      </c>
      <c r="AF643" s="12"/>
      <c r="AG643" s="12" t="e">
        <f>IF(Data!#REF!="","",IF(ISNUMBER(MATCH(Data!#REF!,Data_Val!$A$2:$A$3,0)),0,1))</f>
        <v>#REF!</v>
      </c>
      <c r="AH643" s="26" t="e">
        <f ca="1">IF(Data!#REF!="","",IF(ISNUMBER(Data!#REF!),IF(AND(Data!#REF!&gt;(TODAY()-(Data_Val!$L$3*365.25)),Data!#REF!&lt;=(TODAY()-(Data_Val!$L$2*365.25))),0,1),1))</f>
        <v>#REF!</v>
      </c>
      <c r="AI643" s="12" t="e">
        <f>IF(Data!#REF!="","",IF(Data!$G643="",1,IF(ISNUMBER(MATCH(Data!#REF!,Data_Val!$D$2:$D$10,0)),0,1)))</f>
        <v>#REF!</v>
      </c>
      <c r="AJ643" s="17"/>
      <c r="AK643" s="17" t="e">
        <f>IF(Data!#REF!="","",IF(ISNUMBER(MATCH(Data!#REF!,Data_Val!$A$2:$A$3,0)),0,1))</f>
        <v>#REF!</v>
      </c>
      <c r="AL643" s="25" t="e">
        <f ca="1">IF(Data!#REF!="","",IF(ISNUMBER(Data!#REF!),IF(AND(Data!#REF!&gt;(TODAY()-(Data_Val!$L$3*365.25)),Data!#REF!&lt;=(TODAY()-(Data_Val!$L$2*365.25))),0,1),1))</f>
        <v>#REF!</v>
      </c>
      <c r="AM643" s="17" t="e">
        <f>IF(Data!#REF!="","",IF(Data!$G643="",1,IF(ISNUMBER(MATCH(Data!#REF!,Data_Val!$D$2:$D$10,0)),0,1)))</f>
        <v>#REF!</v>
      </c>
      <c r="AN643" s="13"/>
      <c r="AO643" s="28" t="e">
        <f ca="1">IF(Data!#REF!="","",IF(ISNUMBER(Data!#REF!),IF(AND(Data!#REF!&gt;(TODAY()-(Data_Val!$I$3*365.25)),Data!#REF!&lt;=(TODAY()-(Data_Val!$I$2*365.25))),0,1),1))</f>
        <v>#REF!</v>
      </c>
      <c r="AP643" s="13" t="e">
        <f>IF(Data!#REF!="","",IF(Data!$G643="",1,IF(ISNUMBER(MATCH(Data!#REF!,Data_Val!$D$2:$D$10,0)),0,1)))</f>
        <v>#REF!</v>
      </c>
      <c r="AQ643" s="17"/>
      <c r="AR643" s="30" t="e">
        <f ca="1">IF(Data!#REF!="","",IF(ISNUMBER(Data!#REF!),IF(AND(Data!#REF!&gt;(TODAY()-(Data_Val!$I$3*365.25)),Data!#REF!&lt;=(TODAY()-(Data_Val!$I$2*365.25))),0,1),1))</f>
        <v>#REF!</v>
      </c>
      <c r="AS643" s="31" t="e">
        <f>IF(Data!#REF!="","",IF(Data!$G643="",1,IF(ISNUMBER(MATCH(Data!#REF!,Data_Val!$D$2:$D$10,0)),0,1)))</f>
        <v>#REF!</v>
      </c>
      <c r="AT643" s="11"/>
      <c r="AU643" s="11" t="e">
        <f ca="1">IF(Data!#REF!="","",IF(ISNUMBER(Data!#REF!),IF(AND(Data!#REF!&gt;(TODAY()-(Data_Val!$I$3*365.25)),Data!#REF!&lt;=(TODAY()-(Data_Val!$I$2*365.25))),0,1),1))</f>
        <v>#REF!</v>
      </c>
      <c r="AV643" s="11" t="e">
        <f>IF(Data!#REF!="","",IF(Data!$G643="",1,IF(ISNUMBER(MATCH(Data!#REF!,Data_Val!$D$2:$D$10,0)),0,1)))</f>
        <v>#REF!</v>
      </c>
      <c r="AW643" s="12"/>
      <c r="AX643" s="26" t="e">
        <f ca="1">IF(Data!#REF!="","",IF(ISNUMBER(Data!#REF!),IF(AND(Data!#REF!&gt;(TODAY()-(Data_Val!$I$3*365.25)),Data!#REF!&lt;=(TODAY()-(Data_Val!$I$2*365.25))),0,1),1))</f>
        <v>#REF!</v>
      </c>
      <c r="AY643" s="12" t="e">
        <f>IF(Data!#REF!="","",IF(Data!$G643="",1,IF(ISNUMBER(MATCH(Data!#REF!,Data_Val!$D$2:$D$10,0)),0,1)))</f>
        <v>#REF!</v>
      </c>
      <c r="AZ643" s="11"/>
      <c r="BA643" s="19" t="e">
        <f ca="1">IF(Data!#REF!="","",IF(ISNUMBER(Data!#REF!),IF(AND(Data!#REF!&gt;(TODAY()-(Data_Val!$M$3*365.25)),Data!#REF!&lt;=(TODAY()-(Data_Val!$M$2*365.25))),0,1),1))</f>
        <v>#REF!</v>
      </c>
      <c r="BB643" s="11" t="e">
        <f>IF(Data!#REF!="","",IF(Data!$G643="",1,IF(ISNUMBER(MATCH(Data!#REF!,Data_Val!$D$2:$D$10,0)),0,1)))</f>
        <v>#REF!</v>
      </c>
      <c r="BC643" s="12"/>
      <c r="BD643" s="20" t="e">
        <f ca="1">IF(Data!#REF!="","",IF(ISNUMBER(Data!#REF!),IF(AND(Data!#REF!&gt;(TODAY()-(Data_Val!$M$3*365.25)),Data!#REF!&lt;=(TODAY()-(Data_Val!$M$2*365.25))),0,1),1))</f>
        <v>#REF!</v>
      </c>
      <c r="BE643" s="12" t="e">
        <f>IF(Data!#REF!="","",IF(Data!$G643="",1,IF(ISNUMBER(MATCH(Data!#REF!,Data_Val!$D$2:$D$10,0)),0,1)))</f>
        <v>#REF!</v>
      </c>
      <c r="BF643" s="17"/>
      <c r="BG643" s="18" t="e">
        <f ca="1">IF(Data!#REF!="","",IF(ISNUMBER(Data!#REF!),IF(AND(Data!#REF!&gt;(TODAY()-(Data_Val!$M$3*365.25)),Data!#REF!&lt;=(TODAY()-(Data_Val!$M$2*365.25))),0,1),1))</f>
        <v>#REF!</v>
      </c>
      <c r="BH643" s="29" t="e">
        <f>IF(Data!#REF!="","",IF(Data!$G643="",1,IF(ISNUMBER(MATCH(Data!#REF!,Data_Val!$D$2:$D$10,0)),0,1)))</f>
        <v>#REF!</v>
      </c>
      <c r="BI643" s="13"/>
      <c r="BJ643" s="21" t="e">
        <f ca="1">IF(Data!#REF!="","",IF(ISNUMBER(Data!#REF!),IF(AND(Data!#REF!&gt;(TODAY()-(Data_Val!$M$3*365.25)),Data!#REF!&lt;=(TODAY()-(Data_Val!$M$2*365.25))),0,1),1))</f>
        <v>#REF!</v>
      </c>
      <c r="BK643" s="13" t="e">
        <f>IF(Data!#REF!="","",IF(Data!$G643="",1,IF(ISNUMBER(MATCH(Data!#REF!,Data_Val!$D$2:$D$10,0)),0,1)))</f>
        <v>#REF!</v>
      </c>
    </row>
    <row r="644" spans="1:63" x14ac:dyDescent="0.25">
      <c r="A644" s="9" t="str">
        <f>IF(Data!B644="","",IF(COUNTIFS(Data!A$1:'Data'!A644,Data!A644)&lt;=1,0,1))</f>
        <v/>
      </c>
      <c r="B644" s="9"/>
      <c r="C644" s="23" t="str">
        <f>IF(Data!C644="","",(IF(ISNUMBER(MATCH("*@*.?*",Data!C644,0)),0,1)+IF(COUNTIFS(Data!C$1:'Data'!C644,Data!C644)&gt;1,1,0)))</f>
        <v/>
      </c>
      <c r="D644" s="9" t="str">
        <f>IF(Data!B644="","",IF(ISNUMBER(Data!D644),IF(AND(Data!D644&gt;999999999,Data!D644&lt;=9999999999),IF(COUNTIFS(Data!D$1:'Data'!D644,Data!D644)&lt;=1,0,1),1),1))</f>
        <v/>
      </c>
      <c r="E644" s="9" t="str">
        <f>IF(Data!B644="","",IF(ISNUMBER(MATCH(Data!E644,Data_Val!$A$2:$A$3,0)),0,1))</f>
        <v/>
      </c>
      <c r="F644" s="9" t="str">
        <f ca="1">IF(Data!B644="","",IF(ISNUMBER(Data!F644),IF(AND(Data!F644&gt;(TODAY()-(Data_Val!$H$3*365.25)),Data!F644&lt;=(TODAY()-(Data_Val!$H$2*365.25))),0,1),1))</f>
        <v/>
      </c>
      <c r="G644" s="15" t="str">
        <f>IF(Data!B644="","",IF(AND(Data!G644="",Data!H644&lt;&gt;""),1,IF(Data!#REF!&lt;&gt;"",0,IF(ISNUMBER(MATCH(Data!G644,Data_Val!$C$2:$C$5,0)),0,1))))</f>
        <v/>
      </c>
      <c r="H644" s="15" t="str">
        <f>IF(Data!B644="","",IF(AND(Data!G644&lt;&gt;"",Data!H644=""),1,IF(Data!#REF!&lt;&gt;"",0,IF(Data!G644="",1,IF(ISNUMBER(MATCH(Data!H644,Data_Val!$D$2:$D$35,0)),0,1)))))</f>
        <v/>
      </c>
      <c r="I644" s="15" t="str">
        <f>IF(Data!B644="","",IF(Data!G644&lt;&gt;"",0,IF(ISNUMBER(MATCH(Data!#REF!,Data_Val!$E$2:$E$12,0)),0,1)))</f>
        <v/>
      </c>
      <c r="J644" s="16" t="e">
        <f>IF(OR(Data!B644="",Data!#REF!=""),"",IF(Data!#REF!="",1,0))</f>
        <v>#REF!</v>
      </c>
      <c r="K644" s="16" t="e">
        <f>IF(OR(Data!B644="",Data!#REF!=""),"",IF(Data!#REF!="",1,0))</f>
        <v>#REF!</v>
      </c>
      <c r="L644" s="16" t="e">
        <f>IF(OR(Data!B644="",Data!#REF!=""),"",IF(ISNUMBER(Data!#REF!),IF(AND(Data!#REF!&gt;Data_Val!$G$2,Data!#REF!&lt;=Data_Val!$G$3),0,1),1))</f>
        <v>#REF!</v>
      </c>
      <c r="M644" s="9" t="e">
        <f>IF(OR(Data!B644="",Data!#REF!=""),"",IF(ISNUMBER(MATCH(Data!#REF!,Data_Val!$F$1:$F$38,0)),0,1))</f>
        <v>#REF!</v>
      </c>
      <c r="N644" s="9" t="e">
        <f>IF(OR(Data!B644="",Data!#REF!=""),"",IF(Data!#REF!="",1,0))</f>
        <v>#REF!</v>
      </c>
      <c r="O644" s="17" t="e">
        <f>IF(Data!#REF!="","",IF(Data!#REF!="",1,0))</f>
        <v>#REF!</v>
      </c>
      <c r="P644" s="17" t="e">
        <f>IF(Data!#REF!="","",IF(ISNUMBER(MATCH(Data!#REF!,Data_Val!$A$2:$A$3,0)),0,1))</f>
        <v>#REF!</v>
      </c>
      <c r="Q644" s="25" t="e">
        <f ca="1">IF(Data!#REF!="","",IF(ISNUMBER(Data!#REF!),IF(AND(Data!#REF!&gt;(TODAY()-(Data_Val!$J$3*365.25)),Data!#REF!&lt;=(TODAY()-(Data_Val!$J$2*365.25))),0,1),1))</f>
        <v>#REF!</v>
      </c>
      <c r="R644" s="17" t="e">
        <f>IF(Data!#REF!="","",IF(ISNUMBER(MATCH(Data!#REF!,Data_Val!$B$2:$B$15,0)),0,1))</f>
        <v>#REF!</v>
      </c>
      <c r="S644" s="11" t="str">
        <f>IF(Data!G644="","",IF(Data!G644=Data_Val!$C$2,IF(Data!M644="",0,1),0))</f>
        <v/>
      </c>
      <c r="T644" s="11" t="str">
        <f>IF(Data!M644="","",IF(ISNUMBER(MATCH(Data!N644,Data_Val!$A$2:$A$3,0)),0,1))</f>
        <v/>
      </c>
      <c r="U644" s="11" t="str">
        <f ca="1">IF(Data!M644="","",IF(ISNUMBER(Data!O644),IF(AND(Data!O644&gt;(TODAY()-(Data_Val!$K$3*365.25)),Data!O644&lt;=(TODAY()-(Data_Val!$K$2*365.25))),0,1),1))</f>
        <v/>
      </c>
      <c r="V644" s="12" t="str">
        <f>IF(Data!G644="","",IF(Data!G644=Data_Val!$C$2,IF(Data!P644="",0,1),0))</f>
        <v/>
      </c>
      <c r="W644" s="12" t="str">
        <f>IF(Data!P644="","",IF(ISNUMBER(MATCH(Data!Q644,Data_Val!$A$2:$A$3,0)),0,1))</f>
        <v/>
      </c>
      <c r="X644" s="26" t="str">
        <f ca="1">IF(Data!P644="","",IF(ISNUMBER(Data!R644),IF(AND(Data!R644&gt;(TODAY()-(Data_Val!$L$3*365.25)),Data!R644&lt;=(TODAY()-(Data_Val!$L$2*365.25))),0,1),1))</f>
        <v/>
      </c>
      <c r="Y644" s="13" t="str">
        <f>IF(Data!$G644="","",IF(Data!$G644=Data_Val!$C$2,IF(Data!S644="",0,1),0))</f>
        <v/>
      </c>
      <c r="Z644" s="13" t="str">
        <f>IF(Data!S644="","",IF(ISNUMBER(MATCH(Data!T644,Data_Val!$A$2:$A$3,0)),0,1))</f>
        <v/>
      </c>
      <c r="AA644" s="28" t="str">
        <f ca="1">IF(Data!S644="","",IF(ISNUMBER(Data!U644),IF(AND(Data!U644&gt;(TODAY()-(Data_Val!$L$3*365.25)),Data!U644&lt;=(TODAY()-(Data_Val!$L$2*365.25))),0,1),1))</f>
        <v/>
      </c>
      <c r="AB644" s="11"/>
      <c r="AC644" s="11" t="e">
        <f>IF(Data!#REF!="","",IF(ISNUMBER(MATCH(Data!#REF!,Data_Val!$A$2:$A$3,0)),0,1))</f>
        <v>#REF!</v>
      </c>
      <c r="AD644" s="11" t="e">
        <f ca="1">IF(Data!#REF!="","",IF(ISNUMBER(Data!#REF!),IF(AND(Data!#REF!&gt;(TODAY()-(Data_Val!$L$3*365.25)),Data!#REF!&lt;=(TODAY()-(Data_Val!$L$2*365.25))),0,1),1))</f>
        <v>#REF!</v>
      </c>
      <c r="AE644" s="11" t="e">
        <f>IF(Data!#REF!="","",IF(Data!$G644="",1,IF(ISNUMBER(MATCH(Data!#REF!,Data_Val!$D$2:$D$10,0)),0,1)))</f>
        <v>#REF!</v>
      </c>
      <c r="AF644" s="12"/>
      <c r="AG644" s="12" t="e">
        <f>IF(Data!#REF!="","",IF(ISNUMBER(MATCH(Data!#REF!,Data_Val!$A$2:$A$3,0)),0,1))</f>
        <v>#REF!</v>
      </c>
      <c r="AH644" s="26" t="e">
        <f ca="1">IF(Data!#REF!="","",IF(ISNUMBER(Data!#REF!),IF(AND(Data!#REF!&gt;(TODAY()-(Data_Val!$L$3*365.25)),Data!#REF!&lt;=(TODAY()-(Data_Val!$L$2*365.25))),0,1),1))</f>
        <v>#REF!</v>
      </c>
      <c r="AI644" s="12" t="e">
        <f>IF(Data!#REF!="","",IF(Data!$G644="",1,IF(ISNUMBER(MATCH(Data!#REF!,Data_Val!$D$2:$D$10,0)),0,1)))</f>
        <v>#REF!</v>
      </c>
      <c r="AJ644" s="17"/>
      <c r="AK644" s="17" t="e">
        <f>IF(Data!#REF!="","",IF(ISNUMBER(MATCH(Data!#REF!,Data_Val!$A$2:$A$3,0)),0,1))</f>
        <v>#REF!</v>
      </c>
      <c r="AL644" s="25" t="e">
        <f ca="1">IF(Data!#REF!="","",IF(ISNUMBER(Data!#REF!),IF(AND(Data!#REF!&gt;(TODAY()-(Data_Val!$L$3*365.25)),Data!#REF!&lt;=(TODAY()-(Data_Val!$L$2*365.25))),0,1),1))</f>
        <v>#REF!</v>
      </c>
      <c r="AM644" s="17" t="e">
        <f>IF(Data!#REF!="","",IF(Data!$G644="",1,IF(ISNUMBER(MATCH(Data!#REF!,Data_Val!$D$2:$D$10,0)),0,1)))</f>
        <v>#REF!</v>
      </c>
      <c r="AN644" s="13"/>
      <c r="AO644" s="28" t="e">
        <f ca="1">IF(Data!#REF!="","",IF(ISNUMBER(Data!#REF!),IF(AND(Data!#REF!&gt;(TODAY()-(Data_Val!$I$3*365.25)),Data!#REF!&lt;=(TODAY()-(Data_Val!$I$2*365.25))),0,1),1))</f>
        <v>#REF!</v>
      </c>
      <c r="AP644" s="13" t="e">
        <f>IF(Data!#REF!="","",IF(Data!$G644="",1,IF(ISNUMBER(MATCH(Data!#REF!,Data_Val!$D$2:$D$10,0)),0,1)))</f>
        <v>#REF!</v>
      </c>
      <c r="AQ644" s="17"/>
      <c r="AR644" s="30" t="e">
        <f ca="1">IF(Data!#REF!="","",IF(ISNUMBER(Data!#REF!),IF(AND(Data!#REF!&gt;(TODAY()-(Data_Val!$I$3*365.25)),Data!#REF!&lt;=(TODAY()-(Data_Val!$I$2*365.25))),0,1),1))</f>
        <v>#REF!</v>
      </c>
      <c r="AS644" s="31" t="e">
        <f>IF(Data!#REF!="","",IF(Data!$G644="",1,IF(ISNUMBER(MATCH(Data!#REF!,Data_Val!$D$2:$D$10,0)),0,1)))</f>
        <v>#REF!</v>
      </c>
      <c r="AT644" s="11"/>
      <c r="AU644" s="11" t="e">
        <f ca="1">IF(Data!#REF!="","",IF(ISNUMBER(Data!#REF!),IF(AND(Data!#REF!&gt;(TODAY()-(Data_Val!$I$3*365.25)),Data!#REF!&lt;=(TODAY()-(Data_Val!$I$2*365.25))),0,1),1))</f>
        <v>#REF!</v>
      </c>
      <c r="AV644" s="11" t="e">
        <f>IF(Data!#REF!="","",IF(Data!$G644="",1,IF(ISNUMBER(MATCH(Data!#REF!,Data_Val!$D$2:$D$10,0)),0,1)))</f>
        <v>#REF!</v>
      </c>
      <c r="AW644" s="12"/>
      <c r="AX644" s="26" t="e">
        <f ca="1">IF(Data!#REF!="","",IF(ISNUMBER(Data!#REF!),IF(AND(Data!#REF!&gt;(TODAY()-(Data_Val!$I$3*365.25)),Data!#REF!&lt;=(TODAY()-(Data_Val!$I$2*365.25))),0,1),1))</f>
        <v>#REF!</v>
      </c>
      <c r="AY644" s="12" t="e">
        <f>IF(Data!#REF!="","",IF(Data!$G644="",1,IF(ISNUMBER(MATCH(Data!#REF!,Data_Val!$D$2:$D$10,0)),0,1)))</f>
        <v>#REF!</v>
      </c>
      <c r="AZ644" s="11"/>
      <c r="BA644" s="19" t="e">
        <f ca="1">IF(Data!#REF!="","",IF(ISNUMBER(Data!#REF!),IF(AND(Data!#REF!&gt;(TODAY()-(Data_Val!$M$3*365.25)),Data!#REF!&lt;=(TODAY()-(Data_Val!$M$2*365.25))),0,1),1))</f>
        <v>#REF!</v>
      </c>
      <c r="BB644" s="11" t="e">
        <f>IF(Data!#REF!="","",IF(Data!$G644="",1,IF(ISNUMBER(MATCH(Data!#REF!,Data_Val!$D$2:$D$10,0)),0,1)))</f>
        <v>#REF!</v>
      </c>
      <c r="BC644" s="12"/>
      <c r="BD644" s="20" t="e">
        <f ca="1">IF(Data!#REF!="","",IF(ISNUMBER(Data!#REF!),IF(AND(Data!#REF!&gt;(TODAY()-(Data_Val!$M$3*365.25)),Data!#REF!&lt;=(TODAY()-(Data_Val!$M$2*365.25))),0,1),1))</f>
        <v>#REF!</v>
      </c>
      <c r="BE644" s="12" t="e">
        <f>IF(Data!#REF!="","",IF(Data!$G644="",1,IF(ISNUMBER(MATCH(Data!#REF!,Data_Val!$D$2:$D$10,0)),0,1)))</f>
        <v>#REF!</v>
      </c>
      <c r="BF644" s="17"/>
      <c r="BG644" s="18" t="e">
        <f ca="1">IF(Data!#REF!="","",IF(ISNUMBER(Data!#REF!),IF(AND(Data!#REF!&gt;(TODAY()-(Data_Val!$M$3*365.25)),Data!#REF!&lt;=(TODAY()-(Data_Val!$M$2*365.25))),0,1),1))</f>
        <v>#REF!</v>
      </c>
      <c r="BH644" s="29" t="e">
        <f>IF(Data!#REF!="","",IF(Data!$G644="",1,IF(ISNUMBER(MATCH(Data!#REF!,Data_Val!$D$2:$D$10,0)),0,1)))</f>
        <v>#REF!</v>
      </c>
      <c r="BI644" s="13"/>
      <c r="BJ644" s="21" t="e">
        <f ca="1">IF(Data!#REF!="","",IF(ISNUMBER(Data!#REF!),IF(AND(Data!#REF!&gt;(TODAY()-(Data_Val!$M$3*365.25)),Data!#REF!&lt;=(TODAY()-(Data_Val!$M$2*365.25))),0,1),1))</f>
        <v>#REF!</v>
      </c>
      <c r="BK644" s="13" t="e">
        <f>IF(Data!#REF!="","",IF(Data!$G644="",1,IF(ISNUMBER(MATCH(Data!#REF!,Data_Val!$D$2:$D$10,0)),0,1)))</f>
        <v>#REF!</v>
      </c>
    </row>
    <row r="645" spans="1:63" x14ac:dyDescent="0.25">
      <c r="A645" s="9" t="str">
        <f>IF(Data!B645="","",IF(COUNTIFS(Data!A$1:'Data'!A645,Data!A645)&lt;=1,0,1))</f>
        <v/>
      </c>
      <c r="B645" s="9"/>
      <c r="C645" s="23" t="str">
        <f>IF(Data!C645="","",(IF(ISNUMBER(MATCH("*@*.?*",Data!C645,0)),0,1)+IF(COUNTIFS(Data!C$1:'Data'!C645,Data!C645)&gt;1,1,0)))</f>
        <v/>
      </c>
      <c r="D645" s="9" t="str">
        <f>IF(Data!B645="","",IF(ISNUMBER(Data!D645),IF(AND(Data!D645&gt;999999999,Data!D645&lt;=9999999999),IF(COUNTIFS(Data!D$1:'Data'!D645,Data!D645)&lt;=1,0,1),1),1))</f>
        <v/>
      </c>
      <c r="E645" s="9" t="str">
        <f>IF(Data!B645="","",IF(ISNUMBER(MATCH(Data!E645,Data_Val!$A$2:$A$3,0)),0,1))</f>
        <v/>
      </c>
      <c r="F645" s="9" t="str">
        <f ca="1">IF(Data!B645="","",IF(ISNUMBER(Data!F645),IF(AND(Data!F645&gt;(TODAY()-(Data_Val!$H$3*365.25)),Data!F645&lt;=(TODAY()-(Data_Val!$H$2*365.25))),0,1),1))</f>
        <v/>
      </c>
      <c r="G645" s="15" t="str">
        <f>IF(Data!B645="","",IF(AND(Data!G645="",Data!H645&lt;&gt;""),1,IF(Data!#REF!&lt;&gt;"",0,IF(ISNUMBER(MATCH(Data!G645,Data_Val!$C$2:$C$5,0)),0,1))))</f>
        <v/>
      </c>
      <c r="H645" s="15" t="str">
        <f>IF(Data!B645="","",IF(AND(Data!G645&lt;&gt;"",Data!H645=""),1,IF(Data!#REF!&lt;&gt;"",0,IF(Data!G645="",1,IF(ISNUMBER(MATCH(Data!H645,Data_Val!$D$2:$D$35,0)),0,1)))))</f>
        <v/>
      </c>
      <c r="I645" s="15" t="str">
        <f>IF(Data!B645="","",IF(Data!G645&lt;&gt;"",0,IF(ISNUMBER(MATCH(Data!#REF!,Data_Val!$E$2:$E$12,0)),0,1)))</f>
        <v/>
      </c>
      <c r="J645" s="16" t="e">
        <f>IF(OR(Data!B645="",Data!#REF!=""),"",IF(Data!#REF!="",1,0))</f>
        <v>#REF!</v>
      </c>
      <c r="K645" s="16" t="e">
        <f>IF(OR(Data!B645="",Data!#REF!=""),"",IF(Data!#REF!="",1,0))</f>
        <v>#REF!</v>
      </c>
      <c r="L645" s="16" t="e">
        <f>IF(OR(Data!B645="",Data!#REF!=""),"",IF(ISNUMBER(Data!#REF!),IF(AND(Data!#REF!&gt;Data_Val!$G$2,Data!#REF!&lt;=Data_Val!$G$3),0,1),1))</f>
        <v>#REF!</v>
      </c>
      <c r="M645" s="9" t="e">
        <f>IF(OR(Data!B645="",Data!#REF!=""),"",IF(ISNUMBER(MATCH(Data!#REF!,Data_Val!$F$1:$F$38,0)),0,1))</f>
        <v>#REF!</v>
      </c>
      <c r="N645" s="9" t="e">
        <f>IF(OR(Data!B645="",Data!#REF!=""),"",IF(Data!#REF!="",1,0))</f>
        <v>#REF!</v>
      </c>
      <c r="O645" s="17" t="e">
        <f>IF(Data!#REF!="","",IF(Data!#REF!="",1,0))</f>
        <v>#REF!</v>
      </c>
      <c r="P645" s="17" t="e">
        <f>IF(Data!#REF!="","",IF(ISNUMBER(MATCH(Data!#REF!,Data_Val!$A$2:$A$3,0)),0,1))</f>
        <v>#REF!</v>
      </c>
      <c r="Q645" s="25" t="e">
        <f ca="1">IF(Data!#REF!="","",IF(ISNUMBER(Data!#REF!),IF(AND(Data!#REF!&gt;(TODAY()-(Data_Val!$J$3*365.25)),Data!#REF!&lt;=(TODAY()-(Data_Val!$J$2*365.25))),0,1),1))</f>
        <v>#REF!</v>
      </c>
      <c r="R645" s="17" t="e">
        <f>IF(Data!#REF!="","",IF(ISNUMBER(MATCH(Data!#REF!,Data_Val!$B$2:$B$15,0)),0,1))</f>
        <v>#REF!</v>
      </c>
      <c r="S645" s="11" t="str">
        <f>IF(Data!G645="","",IF(Data!G645=Data_Val!$C$2,IF(Data!M645="",0,1),0))</f>
        <v/>
      </c>
      <c r="T645" s="11" t="str">
        <f>IF(Data!M645="","",IF(ISNUMBER(MATCH(Data!N645,Data_Val!$A$2:$A$3,0)),0,1))</f>
        <v/>
      </c>
      <c r="U645" s="11" t="str">
        <f ca="1">IF(Data!M645="","",IF(ISNUMBER(Data!O645),IF(AND(Data!O645&gt;(TODAY()-(Data_Val!$K$3*365.25)),Data!O645&lt;=(TODAY()-(Data_Val!$K$2*365.25))),0,1),1))</f>
        <v/>
      </c>
      <c r="V645" s="12" t="str">
        <f>IF(Data!G645="","",IF(Data!G645=Data_Val!$C$2,IF(Data!P645="",0,1),0))</f>
        <v/>
      </c>
      <c r="W645" s="12" t="str">
        <f>IF(Data!P645="","",IF(ISNUMBER(MATCH(Data!Q645,Data_Val!$A$2:$A$3,0)),0,1))</f>
        <v/>
      </c>
      <c r="X645" s="26" t="str">
        <f ca="1">IF(Data!P645="","",IF(ISNUMBER(Data!R645),IF(AND(Data!R645&gt;(TODAY()-(Data_Val!$L$3*365.25)),Data!R645&lt;=(TODAY()-(Data_Val!$L$2*365.25))),0,1),1))</f>
        <v/>
      </c>
      <c r="Y645" s="13" t="str">
        <f>IF(Data!$G645="","",IF(Data!$G645=Data_Val!$C$2,IF(Data!S645="",0,1),0))</f>
        <v/>
      </c>
      <c r="Z645" s="13" t="str">
        <f>IF(Data!S645="","",IF(ISNUMBER(MATCH(Data!T645,Data_Val!$A$2:$A$3,0)),0,1))</f>
        <v/>
      </c>
      <c r="AA645" s="28" t="str">
        <f ca="1">IF(Data!S645="","",IF(ISNUMBER(Data!U645),IF(AND(Data!U645&gt;(TODAY()-(Data_Val!$L$3*365.25)),Data!U645&lt;=(TODAY()-(Data_Val!$L$2*365.25))),0,1),1))</f>
        <v/>
      </c>
      <c r="AB645" s="11"/>
      <c r="AC645" s="11" t="e">
        <f>IF(Data!#REF!="","",IF(ISNUMBER(MATCH(Data!#REF!,Data_Val!$A$2:$A$3,0)),0,1))</f>
        <v>#REF!</v>
      </c>
      <c r="AD645" s="11" t="e">
        <f ca="1">IF(Data!#REF!="","",IF(ISNUMBER(Data!#REF!),IF(AND(Data!#REF!&gt;(TODAY()-(Data_Val!$L$3*365.25)),Data!#REF!&lt;=(TODAY()-(Data_Val!$L$2*365.25))),0,1),1))</f>
        <v>#REF!</v>
      </c>
      <c r="AE645" s="11" t="e">
        <f>IF(Data!#REF!="","",IF(Data!$G645="",1,IF(ISNUMBER(MATCH(Data!#REF!,Data_Val!$D$2:$D$10,0)),0,1)))</f>
        <v>#REF!</v>
      </c>
      <c r="AF645" s="12"/>
      <c r="AG645" s="12" t="e">
        <f>IF(Data!#REF!="","",IF(ISNUMBER(MATCH(Data!#REF!,Data_Val!$A$2:$A$3,0)),0,1))</f>
        <v>#REF!</v>
      </c>
      <c r="AH645" s="26" t="e">
        <f ca="1">IF(Data!#REF!="","",IF(ISNUMBER(Data!#REF!),IF(AND(Data!#REF!&gt;(TODAY()-(Data_Val!$L$3*365.25)),Data!#REF!&lt;=(TODAY()-(Data_Val!$L$2*365.25))),0,1),1))</f>
        <v>#REF!</v>
      </c>
      <c r="AI645" s="12" t="e">
        <f>IF(Data!#REF!="","",IF(Data!$G645="",1,IF(ISNUMBER(MATCH(Data!#REF!,Data_Val!$D$2:$D$10,0)),0,1)))</f>
        <v>#REF!</v>
      </c>
      <c r="AJ645" s="17"/>
      <c r="AK645" s="17" t="e">
        <f>IF(Data!#REF!="","",IF(ISNUMBER(MATCH(Data!#REF!,Data_Val!$A$2:$A$3,0)),0,1))</f>
        <v>#REF!</v>
      </c>
      <c r="AL645" s="25" t="e">
        <f ca="1">IF(Data!#REF!="","",IF(ISNUMBER(Data!#REF!),IF(AND(Data!#REF!&gt;(TODAY()-(Data_Val!$L$3*365.25)),Data!#REF!&lt;=(TODAY()-(Data_Val!$L$2*365.25))),0,1),1))</f>
        <v>#REF!</v>
      </c>
      <c r="AM645" s="17" t="e">
        <f>IF(Data!#REF!="","",IF(Data!$G645="",1,IF(ISNUMBER(MATCH(Data!#REF!,Data_Val!$D$2:$D$10,0)),0,1)))</f>
        <v>#REF!</v>
      </c>
      <c r="AN645" s="13"/>
      <c r="AO645" s="28" t="e">
        <f ca="1">IF(Data!#REF!="","",IF(ISNUMBER(Data!#REF!),IF(AND(Data!#REF!&gt;(TODAY()-(Data_Val!$I$3*365.25)),Data!#REF!&lt;=(TODAY()-(Data_Val!$I$2*365.25))),0,1),1))</f>
        <v>#REF!</v>
      </c>
      <c r="AP645" s="13" t="e">
        <f>IF(Data!#REF!="","",IF(Data!$G645="",1,IF(ISNUMBER(MATCH(Data!#REF!,Data_Val!$D$2:$D$10,0)),0,1)))</f>
        <v>#REF!</v>
      </c>
      <c r="AQ645" s="17"/>
      <c r="AR645" s="30" t="e">
        <f ca="1">IF(Data!#REF!="","",IF(ISNUMBER(Data!#REF!),IF(AND(Data!#REF!&gt;(TODAY()-(Data_Val!$I$3*365.25)),Data!#REF!&lt;=(TODAY()-(Data_Val!$I$2*365.25))),0,1),1))</f>
        <v>#REF!</v>
      </c>
      <c r="AS645" s="31" t="e">
        <f>IF(Data!#REF!="","",IF(Data!$G645="",1,IF(ISNUMBER(MATCH(Data!#REF!,Data_Val!$D$2:$D$10,0)),0,1)))</f>
        <v>#REF!</v>
      </c>
      <c r="AT645" s="11"/>
      <c r="AU645" s="11" t="e">
        <f ca="1">IF(Data!#REF!="","",IF(ISNUMBER(Data!#REF!),IF(AND(Data!#REF!&gt;(TODAY()-(Data_Val!$I$3*365.25)),Data!#REF!&lt;=(TODAY()-(Data_Val!$I$2*365.25))),0,1),1))</f>
        <v>#REF!</v>
      </c>
      <c r="AV645" s="11" t="e">
        <f>IF(Data!#REF!="","",IF(Data!$G645="",1,IF(ISNUMBER(MATCH(Data!#REF!,Data_Val!$D$2:$D$10,0)),0,1)))</f>
        <v>#REF!</v>
      </c>
      <c r="AW645" s="12"/>
      <c r="AX645" s="26" t="e">
        <f ca="1">IF(Data!#REF!="","",IF(ISNUMBER(Data!#REF!),IF(AND(Data!#REF!&gt;(TODAY()-(Data_Val!$I$3*365.25)),Data!#REF!&lt;=(TODAY()-(Data_Val!$I$2*365.25))),0,1),1))</f>
        <v>#REF!</v>
      </c>
      <c r="AY645" s="12" t="e">
        <f>IF(Data!#REF!="","",IF(Data!$G645="",1,IF(ISNUMBER(MATCH(Data!#REF!,Data_Val!$D$2:$D$10,0)),0,1)))</f>
        <v>#REF!</v>
      </c>
      <c r="AZ645" s="11"/>
      <c r="BA645" s="19" t="e">
        <f ca="1">IF(Data!#REF!="","",IF(ISNUMBER(Data!#REF!),IF(AND(Data!#REF!&gt;(TODAY()-(Data_Val!$M$3*365.25)),Data!#REF!&lt;=(TODAY()-(Data_Val!$M$2*365.25))),0,1),1))</f>
        <v>#REF!</v>
      </c>
      <c r="BB645" s="11" t="e">
        <f>IF(Data!#REF!="","",IF(Data!$G645="",1,IF(ISNUMBER(MATCH(Data!#REF!,Data_Val!$D$2:$D$10,0)),0,1)))</f>
        <v>#REF!</v>
      </c>
      <c r="BC645" s="12"/>
      <c r="BD645" s="20" t="e">
        <f ca="1">IF(Data!#REF!="","",IF(ISNUMBER(Data!#REF!),IF(AND(Data!#REF!&gt;(TODAY()-(Data_Val!$M$3*365.25)),Data!#REF!&lt;=(TODAY()-(Data_Val!$M$2*365.25))),0,1),1))</f>
        <v>#REF!</v>
      </c>
      <c r="BE645" s="12" t="e">
        <f>IF(Data!#REF!="","",IF(Data!$G645="",1,IF(ISNUMBER(MATCH(Data!#REF!,Data_Val!$D$2:$D$10,0)),0,1)))</f>
        <v>#REF!</v>
      </c>
      <c r="BF645" s="17"/>
      <c r="BG645" s="18" t="e">
        <f ca="1">IF(Data!#REF!="","",IF(ISNUMBER(Data!#REF!),IF(AND(Data!#REF!&gt;(TODAY()-(Data_Val!$M$3*365.25)),Data!#REF!&lt;=(TODAY()-(Data_Val!$M$2*365.25))),0,1),1))</f>
        <v>#REF!</v>
      </c>
      <c r="BH645" s="29" t="e">
        <f>IF(Data!#REF!="","",IF(Data!$G645="",1,IF(ISNUMBER(MATCH(Data!#REF!,Data_Val!$D$2:$D$10,0)),0,1)))</f>
        <v>#REF!</v>
      </c>
      <c r="BI645" s="13"/>
      <c r="BJ645" s="21" t="e">
        <f ca="1">IF(Data!#REF!="","",IF(ISNUMBER(Data!#REF!),IF(AND(Data!#REF!&gt;(TODAY()-(Data_Val!$M$3*365.25)),Data!#REF!&lt;=(TODAY()-(Data_Val!$M$2*365.25))),0,1),1))</f>
        <v>#REF!</v>
      </c>
      <c r="BK645" s="13" t="e">
        <f>IF(Data!#REF!="","",IF(Data!$G645="",1,IF(ISNUMBER(MATCH(Data!#REF!,Data_Val!$D$2:$D$10,0)),0,1)))</f>
        <v>#REF!</v>
      </c>
    </row>
    <row r="646" spans="1:63" x14ac:dyDescent="0.25">
      <c r="A646" s="9" t="str">
        <f>IF(Data!B646="","",IF(COUNTIFS(Data!A$1:'Data'!A646,Data!A646)&lt;=1,0,1))</f>
        <v/>
      </c>
      <c r="B646" s="9"/>
      <c r="C646" s="23" t="str">
        <f>IF(Data!C646="","",(IF(ISNUMBER(MATCH("*@*.?*",Data!C646,0)),0,1)+IF(COUNTIFS(Data!C$1:'Data'!C646,Data!C646)&gt;1,1,0)))</f>
        <v/>
      </c>
      <c r="D646" s="9" t="str">
        <f>IF(Data!B646="","",IF(ISNUMBER(Data!D646),IF(AND(Data!D646&gt;999999999,Data!D646&lt;=9999999999),IF(COUNTIFS(Data!D$1:'Data'!D646,Data!D646)&lt;=1,0,1),1),1))</f>
        <v/>
      </c>
      <c r="E646" s="9" t="str">
        <f>IF(Data!B646="","",IF(ISNUMBER(MATCH(Data!E646,Data_Val!$A$2:$A$3,0)),0,1))</f>
        <v/>
      </c>
      <c r="F646" s="9" t="str">
        <f ca="1">IF(Data!B646="","",IF(ISNUMBER(Data!F646),IF(AND(Data!F646&gt;(TODAY()-(Data_Val!$H$3*365.25)),Data!F646&lt;=(TODAY()-(Data_Val!$H$2*365.25))),0,1),1))</f>
        <v/>
      </c>
      <c r="G646" s="15" t="str">
        <f>IF(Data!B646="","",IF(AND(Data!G646="",Data!H646&lt;&gt;""),1,IF(Data!#REF!&lt;&gt;"",0,IF(ISNUMBER(MATCH(Data!G646,Data_Val!$C$2:$C$5,0)),0,1))))</f>
        <v/>
      </c>
      <c r="H646" s="15" t="str">
        <f>IF(Data!B646="","",IF(AND(Data!G646&lt;&gt;"",Data!H646=""),1,IF(Data!#REF!&lt;&gt;"",0,IF(Data!G646="",1,IF(ISNUMBER(MATCH(Data!H646,Data_Val!$D$2:$D$35,0)),0,1)))))</f>
        <v/>
      </c>
      <c r="I646" s="15" t="str">
        <f>IF(Data!B646="","",IF(Data!G646&lt;&gt;"",0,IF(ISNUMBER(MATCH(Data!#REF!,Data_Val!$E$2:$E$12,0)),0,1)))</f>
        <v/>
      </c>
      <c r="J646" s="16" t="e">
        <f>IF(OR(Data!B646="",Data!#REF!=""),"",IF(Data!#REF!="",1,0))</f>
        <v>#REF!</v>
      </c>
      <c r="K646" s="16" t="e">
        <f>IF(OR(Data!B646="",Data!#REF!=""),"",IF(Data!#REF!="",1,0))</f>
        <v>#REF!</v>
      </c>
      <c r="L646" s="16" t="e">
        <f>IF(OR(Data!B646="",Data!#REF!=""),"",IF(ISNUMBER(Data!#REF!),IF(AND(Data!#REF!&gt;Data_Val!$G$2,Data!#REF!&lt;=Data_Val!$G$3),0,1),1))</f>
        <v>#REF!</v>
      </c>
      <c r="M646" s="9" t="e">
        <f>IF(OR(Data!B646="",Data!#REF!=""),"",IF(ISNUMBER(MATCH(Data!#REF!,Data_Val!$F$1:$F$38,0)),0,1))</f>
        <v>#REF!</v>
      </c>
      <c r="N646" s="9" t="e">
        <f>IF(OR(Data!B646="",Data!#REF!=""),"",IF(Data!#REF!="",1,0))</f>
        <v>#REF!</v>
      </c>
      <c r="O646" s="17" t="e">
        <f>IF(Data!#REF!="","",IF(Data!#REF!="",1,0))</f>
        <v>#REF!</v>
      </c>
      <c r="P646" s="17" t="e">
        <f>IF(Data!#REF!="","",IF(ISNUMBER(MATCH(Data!#REF!,Data_Val!$A$2:$A$3,0)),0,1))</f>
        <v>#REF!</v>
      </c>
      <c r="Q646" s="25" t="e">
        <f ca="1">IF(Data!#REF!="","",IF(ISNUMBER(Data!#REF!),IF(AND(Data!#REF!&gt;(TODAY()-(Data_Val!$J$3*365.25)),Data!#REF!&lt;=(TODAY()-(Data_Val!$J$2*365.25))),0,1),1))</f>
        <v>#REF!</v>
      </c>
      <c r="R646" s="17" t="e">
        <f>IF(Data!#REF!="","",IF(ISNUMBER(MATCH(Data!#REF!,Data_Val!$B$2:$B$15,0)),0,1))</f>
        <v>#REF!</v>
      </c>
      <c r="S646" s="11" t="str">
        <f>IF(Data!G646="","",IF(Data!G646=Data_Val!$C$2,IF(Data!M646="",0,1),0))</f>
        <v/>
      </c>
      <c r="T646" s="11" t="str">
        <f>IF(Data!M646="","",IF(ISNUMBER(MATCH(Data!N646,Data_Val!$A$2:$A$3,0)),0,1))</f>
        <v/>
      </c>
      <c r="U646" s="11" t="str">
        <f ca="1">IF(Data!M646="","",IF(ISNUMBER(Data!O646),IF(AND(Data!O646&gt;(TODAY()-(Data_Val!$K$3*365.25)),Data!O646&lt;=(TODAY()-(Data_Val!$K$2*365.25))),0,1),1))</f>
        <v/>
      </c>
      <c r="V646" s="12" t="str">
        <f>IF(Data!G646="","",IF(Data!G646=Data_Val!$C$2,IF(Data!P646="",0,1),0))</f>
        <v/>
      </c>
      <c r="W646" s="12" t="str">
        <f>IF(Data!P646="","",IF(ISNUMBER(MATCH(Data!Q646,Data_Val!$A$2:$A$3,0)),0,1))</f>
        <v/>
      </c>
      <c r="X646" s="26" t="str">
        <f ca="1">IF(Data!P646="","",IF(ISNUMBER(Data!R646),IF(AND(Data!R646&gt;(TODAY()-(Data_Val!$L$3*365.25)),Data!R646&lt;=(TODAY()-(Data_Val!$L$2*365.25))),0,1),1))</f>
        <v/>
      </c>
      <c r="Y646" s="13" t="str">
        <f>IF(Data!$G646="","",IF(Data!$G646=Data_Val!$C$2,IF(Data!S646="",0,1),0))</f>
        <v/>
      </c>
      <c r="Z646" s="13" t="str">
        <f>IF(Data!S646="","",IF(ISNUMBER(MATCH(Data!T646,Data_Val!$A$2:$A$3,0)),0,1))</f>
        <v/>
      </c>
      <c r="AA646" s="28" t="str">
        <f ca="1">IF(Data!S646="","",IF(ISNUMBER(Data!U646),IF(AND(Data!U646&gt;(TODAY()-(Data_Val!$L$3*365.25)),Data!U646&lt;=(TODAY()-(Data_Val!$L$2*365.25))),0,1),1))</f>
        <v/>
      </c>
      <c r="AB646" s="11"/>
      <c r="AC646" s="11" t="e">
        <f>IF(Data!#REF!="","",IF(ISNUMBER(MATCH(Data!#REF!,Data_Val!$A$2:$A$3,0)),0,1))</f>
        <v>#REF!</v>
      </c>
      <c r="AD646" s="11" t="e">
        <f ca="1">IF(Data!#REF!="","",IF(ISNUMBER(Data!#REF!),IF(AND(Data!#REF!&gt;(TODAY()-(Data_Val!$L$3*365.25)),Data!#REF!&lt;=(TODAY()-(Data_Val!$L$2*365.25))),0,1),1))</f>
        <v>#REF!</v>
      </c>
      <c r="AE646" s="11" t="e">
        <f>IF(Data!#REF!="","",IF(Data!$G646="",1,IF(ISNUMBER(MATCH(Data!#REF!,Data_Val!$D$2:$D$10,0)),0,1)))</f>
        <v>#REF!</v>
      </c>
      <c r="AF646" s="12"/>
      <c r="AG646" s="12" t="e">
        <f>IF(Data!#REF!="","",IF(ISNUMBER(MATCH(Data!#REF!,Data_Val!$A$2:$A$3,0)),0,1))</f>
        <v>#REF!</v>
      </c>
      <c r="AH646" s="26" t="e">
        <f ca="1">IF(Data!#REF!="","",IF(ISNUMBER(Data!#REF!),IF(AND(Data!#REF!&gt;(TODAY()-(Data_Val!$L$3*365.25)),Data!#REF!&lt;=(TODAY()-(Data_Val!$L$2*365.25))),0,1),1))</f>
        <v>#REF!</v>
      </c>
      <c r="AI646" s="12" t="e">
        <f>IF(Data!#REF!="","",IF(Data!$G646="",1,IF(ISNUMBER(MATCH(Data!#REF!,Data_Val!$D$2:$D$10,0)),0,1)))</f>
        <v>#REF!</v>
      </c>
      <c r="AJ646" s="17"/>
      <c r="AK646" s="17" t="e">
        <f>IF(Data!#REF!="","",IF(ISNUMBER(MATCH(Data!#REF!,Data_Val!$A$2:$A$3,0)),0,1))</f>
        <v>#REF!</v>
      </c>
      <c r="AL646" s="25" t="e">
        <f ca="1">IF(Data!#REF!="","",IF(ISNUMBER(Data!#REF!),IF(AND(Data!#REF!&gt;(TODAY()-(Data_Val!$L$3*365.25)),Data!#REF!&lt;=(TODAY()-(Data_Val!$L$2*365.25))),0,1),1))</f>
        <v>#REF!</v>
      </c>
      <c r="AM646" s="17" t="e">
        <f>IF(Data!#REF!="","",IF(Data!$G646="",1,IF(ISNUMBER(MATCH(Data!#REF!,Data_Val!$D$2:$D$10,0)),0,1)))</f>
        <v>#REF!</v>
      </c>
      <c r="AN646" s="13"/>
      <c r="AO646" s="28" t="e">
        <f ca="1">IF(Data!#REF!="","",IF(ISNUMBER(Data!#REF!),IF(AND(Data!#REF!&gt;(TODAY()-(Data_Val!$I$3*365.25)),Data!#REF!&lt;=(TODAY()-(Data_Val!$I$2*365.25))),0,1),1))</f>
        <v>#REF!</v>
      </c>
      <c r="AP646" s="13" t="e">
        <f>IF(Data!#REF!="","",IF(Data!$G646="",1,IF(ISNUMBER(MATCH(Data!#REF!,Data_Val!$D$2:$D$10,0)),0,1)))</f>
        <v>#REF!</v>
      </c>
      <c r="AQ646" s="17"/>
      <c r="AR646" s="30" t="e">
        <f ca="1">IF(Data!#REF!="","",IF(ISNUMBER(Data!#REF!),IF(AND(Data!#REF!&gt;(TODAY()-(Data_Val!$I$3*365.25)),Data!#REF!&lt;=(TODAY()-(Data_Val!$I$2*365.25))),0,1),1))</f>
        <v>#REF!</v>
      </c>
      <c r="AS646" s="31" t="e">
        <f>IF(Data!#REF!="","",IF(Data!$G646="",1,IF(ISNUMBER(MATCH(Data!#REF!,Data_Val!$D$2:$D$10,0)),0,1)))</f>
        <v>#REF!</v>
      </c>
      <c r="AT646" s="11"/>
      <c r="AU646" s="11" t="e">
        <f ca="1">IF(Data!#REF!="","",IF(ISNUMBER(Data!#REF!),IF(AND(Data!#REF!&gt;(TODAY()-(Data_Val!$I$3*365.25)),Data!#REF!&lt;=(TODAY()-(Data_Val!$I$2*365.25))),0,1),1))</f>
        <v>#REF!</v>
      </c>
      <c r="AV646" s="11" t="e">
        <f>IF(Data!#REF!="","",IF(Data!$G646="",1,IF(ISNUMBER(MATCH(Data!#REF!,Data_Val!$D$2:$D$10,0)),0,1)))</f>
        <v>#REF!</v>
      </c>
      <c r="AW646" s="12"/>
      <c r="AX646" s="26" t="e">
        <f ca="1">IF(Data!#REF!="","",IF(ISNUMBER(Data!#REF!),IF(AND(Data!#REF!&gt;(TODAY()-(Data_Val!$I$3*365.25)),Data!#REF!&lt;=(TODAY()-(Data_Val!$I$2*365.25))),0,1),1))</f>
        <v>#REF!</v>
      </c>
      <c r="AY646" s="12" t="e">
        <f>IF(Data!#REF!="","",IF(Data!$G646="",1,IF(ISNUMBER(MATCH(Data!#REF!,Data_Val!$D$2:$D$10,0)),0,1)))</f>
        <v>#REF!</v>
      </c>
      <c r="AZ646" s="11"/>
      <c r="BA646" s="19" t="e">
        <f ca="1">IF(Data!#REF!="","",IF(ISNUMBER(Data!#REF!),IF(AND(Data!#REF!&gt;(TODAY()-(Data_Val!$M$3*365.25)),Data!#REF!&lt;=(TODAY()-(Data_Val!$M$2*365.25))),0,1),1))</f>
        <v>#REF!</v>
      </c>
      <c r="BB646" s="11" t="e">
        <f>IF(Data!#REF!="","",IF(Data!$G646="",1,IF(ISNUMBER(MATCH(Data!#REF!,Data_Val!$D$2:$D$10,0)),0,1)))</f>
        <v>#REF!</v>
      </c>
      <c r="BC646" s="12"/>
      <c r="BD646" s="20" t="e">
        <f ca="1">IF(Data!#REF!="","",IF(ISNUMBER(Data!#REF!),IF(AND(Data!#REF!&gt;(TODAY()-(Data_Val!$M$3*365.25)),Data!#REF!&lt;=(TODAY()-(Data_Val!$M$2*365.25))),0,1),1))</f>
        <v>#REF!</v>
      </c>
      <c r="BE646" s="12" t="e">
        <f>IF(Data!#REF!="","",IF(Data!$G646="",1,IF(ISNUMBER(MATCH(Data!#REF!,Data_Val!$D$2:$D$10,0)),0,1)))</f>
        <v>#REF!</v>
      </c>
      <c r="BF646" s="17"/>
      <c r="BG646" s="18" t="e">
        <f ca="1">IF(Data!#REF!="","",IF(ISNUMBER(Data!#REF!),IF(AND(Data!#REF!&gt;(TODAY()-(Data_Val!$M$3*365.25)),Data!#REF!&lt;=(TODAY()-(Data_Val!$M$2*365.25))),0,1),1))</f>
        <v>#REF!</v>
      </c>
      <c r="BH646" s="29" t="e">
        <f>IF(Data!#REF!="","",IF(Data!$G646="",1,IF(ISNUMBER(MATCH(Data!#REF!,Data_Val!$D$2:$D$10,0)),0,1)))</f>
        <v>#REF!</v>
      </c>
      <c r="BI646" s="13"/>
      <c r="BJ646" s="21" t="e">
        <f ca="1">IF(Data!#REF!="","",IF(ISNUMBER(Data!#REF!),IF(AND(Data!#REF!&gt;(TODAY()-(Data_Val!$M$3*365.25)),Data!#REF!&lt;=(TODAY()-(Data_Val!$M$2*365.25))),0,1),1))</f>
        <v>#REF!</v>
      </c>
      <c r="BK646" s="13" t="e">
        <f>IF(Data!#REF!="","",IF(Data!$G646="",1,IF(ISNUMBER(MATCH(Data!#REF!,Data_Val!$D$2:$D$10,0)),0,1)))</f>
        <v>#REF!</v>
      </c>
    </row>
    <row r="647" spans="1:63" x14ac:dyDescent="0.25">
      <c r="A647" s="9" t="str">
        <f>IF(Data!B647="","",IF(COUNTIFS(Data!A$1:'Data'!A647,Data!A647)&lt;=1,0,1))</f>
        <v/>
      </c>
      <c r="B647" s="9"/>
      <c r="C647" s="23" t="str">
        <f>IF(Data!C647="","",(IF(ISNUMBER(MATCH("*@*.?*",Data!C647,0)),0,1)+IF(COUNTIFS(Data!C$1:'Data'!C647,Data!C647)&gt;1,1,0)))</f>
        <v/>
      </c>
      <c r="D647" s="9" t="str">
        <f>IF(Data!B647="","",IF(ISNUMBER(Data!D647),IF(AND(Data!D647&gt;999999999,Data!D647&lt;=9999999999),IF(COUNTIFS(Data!D$1:'Data'!D647,Data!D647)&lt;=1,0,1),1),1))</f>
        <v/>
      </c>
      <c r="E647" s="9" t="str">
        <f>IF(Data!B647="","",IF(ISNUMBER(MATCH(Data!E647,Data_Val!$A$2:$A$3,0)),0,1))</f>
        <v/>
      </c>
      <c r="F647" s="9" t="str">
        <f ca="1">IF(Data!B647="","",IF(ISNUMBER(Data!F647),IF(AND(Data!F647&gt;(TODAY()-(Data_Val!$H$3*365.25)),Data!F647&lt;=(TODAY()-(Data_Val!$H$2*365.25))),0,1),1))</f>
        <v/>
      </c>
      <c r="G647" s="15" t="str">
        <f>IF(Data!B647="","",IF(AND(Data!G647="",Data!H647&lt;&gt;""),1,IF(Data!#REF!&lt;&gt;"",0,IF(ISNUMBER(MATCH(Data!G647,Data_Val!$C$2:$C$5,0)),0,1))))</f>
        <v/>
      </c>
      <c r="H647" s="15" t="str">
        <f>IF(Data!B647="","",IF(AND(Data!G647&lt;&gt;"",Data!H647=""),1,IF(Data!#REF!&lt;&gt;"",0,IF(Data!G647="",1,IF(ISNUMBER(MATCH(Data!H647,Data_Val!$D$2:$D$35,0)),0,1)))))</f>
        <v/>
      </c>
      <c r="I647" s="15" t="str">
        <f>IF(Data!B647="","",IF(Data!G647&lt;&gt;"",0,IF(ISNUMBER(MATCH(Data!#REF!,Data_Val!$E$2:$E$12,0)),0,1)))</f>
        <v/>
      </c>
      <c r="J647" s="16" t="e">
        <f>IF(OR(Data!B647="",Data!#REF!=""),"",IF(Data!#REF!="",1,0))</f>
        <v>#REF!</v>
      </c>
      <c r="K647" s="16" t="e">
        <f>IF(OR(Data!B647="",Data!#REF!=""),"",IF(Data!#REF!="",1,0))</f>
        <v>#REF!</v>
      </c>
      <c r="L647" s="16" t="e">
        <f>IF(OR(Data!B647="",Data!#REF!=""),"",IF(ISNUMBER(Data!#REF!),IF(AND(Data!#REF!&gt;Data_Val!$G$2,Data!#REF!&lt;=Data_Val!$G$3),0,1),1))</f>
        <v>#REF!</v>
      </c>
      <c r="M647" s="9" t="e">
        <f>IF(OR(Data!B647="",Data!#REF!=""),"",IF(ISNUMBER(MATCH(Data!#REF!,Data_Val!$F$1:$F$38,0)),0,1))</f>
        <v>#REF!</v>
      </c>
      <c r="N647" s="9" t="e">
        <f>IF(OR(Data!B647="",Data!#REF!=""),"",IF(Data!#REF!="",1,0))</f>
        <v>#REF!</v>
      </c>
      <c r="O647" s="17" t="e">
        <f>IF(Data!#REF!="","",IF(Data!#REF!="",1,0))</f>
        <v>#REF!</v>
      </c>
      <c r="P647" s="17" t="e">
        <f>IF(Data!#REF!="","",IF(ISNUMBER(MATCH(Data!#REF!,Data_Val!$A$2:$A$3,0)),0,1))</f>
        <v>#REF!</v>
      </c>
      <c r="Q647" s="25" t="e">
        <f ca="1">IF(Data!#REF!="","",IF(ISNUMBER(Data!#REF!),IF(AND(Data!#REF!&gt;(TODAY()-(Data_Val!$J$3*365.25)),Data!#REF!&lt;=(TODAY()-(Data_Val!$J$2*365.25))),0,1),1))</f>
        <v>#REF!</v>
      </c>
      <c r="R647" s="17" t="e">
        <f>IF(Data!#REF!="","",IF(ISNUMBER(MATCH(Data!#REF!,Data_Val!$B$2:$B$15,0)),0,1))</f>
        <v>#REF!</v>
      </c>
      <c r="S647" s="11" t="str">
        <f>IF(Data!G647="","",IF(Data!G647=Data_Val!$C$2,IF(Data!M647="",0,1),0))</f>
        <v/>
      </c>
      <c r="T647" s="11" t="str">
        <f>IF(Data!M647="","",IF(ISNUMBER(MATCH(Data!N647,Data_Val!$A$2:$A$3,0)),0,1))</f>
        <v/>
      </c>
      <c r="U647" s="11" t="str">
        <f ca="1">IF(Data!M647="","",IF(ISNUMBER(Data!O647),IF(AND(Data!O647&gt;(TODAY()-(Data_Val!$K$3*365.25)),Data!O647&lt;=(TODAY()-(Data_Val!$K$2*365.25))),0,1),1))</f>
        <v/>
      </c>
      <c r="V647" s="12" t="str">
        <f>IF(Data!G647="","",IF(Data!G647=Data_Val!$C$2,IF(Data!P647="",0,1),0))</f>
        <v/>
      </c>
      <c r="W647" s="12" t="str">
        <f>IF(Data!P647="","",IF(ISNUMBER(MATCH(Data!Q647,Data_Val!$A$2:$A$3,0)),0,1))</f>
        <v/>
      </c>
      <c r="X647" s="26" t="str">
        <f ca="1">IF(Data!P647="","",IF(ISNUMBER(Data!R647),IF(AND(Data!R647&gt;(TODAY()-(Data_Val!$L$3*365.25)),Data!R647&lt;=(TODAY()-(Data_Val!$L$2*365.25))),0,1),1))</f>
        <v/>
      </c>
      <c r="Y647" s="13" t="str">
        <f>IF(Data!$G647="","",IF(Data!$G647=Data_Val!$C$2,IF(Data!S647="",0,1),0))</f>
        <v/>
      </c>
      <c r="Z647" s="13" t="str">
        <f>IF(Data!S647="","",IF(ISNUMBER(MATCH(Data!T647,Data_Val!$A$2:$A$3,0)),0,1))</f>
        <v/>
      </c>
      <c r="AA647" s="28" t="str">
        <f ca="1">IF(Data!S647="","",IF(ISNUMBER(Data!U647),IF(AND(Data!U647&gt;(TODAY()-(Data_Val!$L$3*365.25)),Data!U647&lt;=(TODAY()-(Data_Val!$L$2*365.25))),0,1),1))</f>
        <v/>
      </c>
      <c r="AB647" s="11"/>
      <c r="AC647" s="11" t="e">
        <f>IF(Data!#REF!="","",IF(ISNUMBER(MATCH(Data!#REF!,Data_Val!$A$2:$A$3,0)),0,1))</f>
        <v>#REF!</v>
      </c>
      <c r="AD647" s="11" t="e">
        <f ca="1">IF(Data!#REF!="","",IF(ISNUMBER(Data!#REF!),IF(AND(Data!#REF!&gt;(TODAY()-(Data_Val!$L$3*365.25)),Data!#REF!&lt;=(TODAY()-(Data_Val!$L$2*365.25))),0,1),1))</f>
        <v>#REF!</v>
      </c>
      <c r="AE647" s="11" t="e">
        <f>IF(Data!#REF!="","",IF(Data!$G647="",1,IF(ISNUMBER(MATCH(Data!#REF!,Data_Val!$D$2:$D$10,0)),0,1)))</f>
        <v>#REF!</v>
      </c>
      <c r="AF647" s="12"/>
      <c r="AG647" s="12" t="e">
        <f>IF(Data!#REF!="","",IF(ISNUMBER(MATCH(Data!#REF!,Data_Val!$A$2:$A$3,0)),0,1))</f>
        <v>#REF!</v>
      </c>
      <c r="AH647" s="26" t="e">
        <f ca="1">IF(Data!#REF!="","",IF(ISNUMBER(Data!#REF!),IF(AND(Data!#REF!&gt;(TODAY()-(Data_Val!$L$3*365.25)),Data!#REF!&lt;=(TODAY()-(Data_Val!$L$2*365.25))),0,1),1))</f>
        <v>#REF!</v>
      </c>
      <c r="AI647" s="12" t="e">
        <f>IF(Data!#REF!="","",IF(Data!$G647="",1,IF(ISNUMBER(MATCH(Data!#REF!,Data_Val!$D$2:$D$10,0)),0,1)))</f>
        <v>#REF!</v>
      </c>
      <c r="AJ647" s="17"/>
      <c r="AK647" s="17" t="e">
        <f>IF(Data!#REF!="","",IF(ISNUMBER(MATCH(Data!#REF!,Data_Val!$A$2:$A$3,0)),0,1))</f>
        <v>#REF!</v>
      </c>
      <c r="AL647" s="25" t="e">
        <f ca="1">IF(Data!#REF!="","",IF(ISNUMBER(Data!#REF!),IF(AND(Data!#REF!&gt;(TODAY()-(Data_Val!$L$3*365.25)),Data!#REF!&lt;=(TODAY()-(Data_Val!$L$2*365.25))),0,1),1))</f>
        <v>#REF!</v>
      </c>
      <c r="AM647" s="17" t="e">
        <f>IF(Data!#REF!="","",IF(Data!$G647="",1,IF(ISNUMBER(MATCH(Data!#REF!,Data_Val!$D$2:$D$10,0)),0,1)))</f>
        <v>#REF!</v>
      </c>
      <c r="AN647" s="13"/>
      <c r="AO647" s="28" t="e">
        <f ca="1">IF(Data!#REF!="","",IF(ISNUMBER(Data!#REF!),IF(AND(Data!#REF!&gt;(TODAY()-(Data_Val!$I$3*365.25)),Data!#REF!&lt;=(TODAY()-(Data_Val!$I$2*365.25))),0,1),1))</f>
        <v>#REF!</v>
      </c>
      <c r="AP647" s="13" t="e">
        <f>IF(Data!#REF!="","",IF(Data!$G647="",1,IF(ISNUMBER(MATCH(Data!#REF!,Data_Val!$D$2:$D$10,0)),0,1)))</f>
        <v>#REF!</v>
      </c>
      <c r="AQ647" s="17"/>
      <c r="AR647" s="30" t="e">
        <f ca="1">IF(Data!#REF!="","",IF(ISNUMBER(Data!#REF!),IF(AND(Data!#REF!&gt;(TODAY()-(Data_Val!$I$3*365.25)),Data!#REF!&lt;=(TODAY()-(Data_Val!$I$2*365.25))),0,1),1))</f>
        <v>#REF!</v>
      </c>
      <c r="AS647" s="31" t="e">
        <f>IF(Data!#REF!="","",IF(Data!$G647="",1,IF(ISNUMBER(MATCH(Data!#REF!,Data_Val!$D$2:$D$10,0)),0,1)))</f>
        <v>#REF!</v>
      </c>
      <c r="AT647" s="11"/>
      <c r="AU647" s="11" t="e">
        <f ca="1">IF(Data!#REF!="","",IF(ISNUMBER(Data!#REF!),IF(AND(Data!#REF!&gt;(TODAY()-(Data_Val!$I$3*365.25)),Data!#REF!&lt;=(TODAY()-(Data_Val!$I$2*365.25))),0,1),1))</f>
        <v>#REF!</v>
      </c>
      <c r="AV647" s="11" t="e">
        <f>IF(Data!#REF!="","",IF(Data!$G647="",1,IF(ISNUMBER(MATCH(Data!#REF!,Data_Val!$D$2:$D$10,0)),0,1)))</f>
        <v>#REF!</v>
      </c>
      <c r="AW647" s="12"/>
      <c r="AX647" s="26" t="e">
        <f ca="1">IF(Data!#REF!="","",IF(ISNUMBER(Data!#REF!),IF(AND(Data!#REF!&gt;(TODAY()-(Data_Val!$I$3*365.25)),Data!#REF!&lt;=(TODAY()-(Data_Val!$I$2*365.25))),0,1),1))</f>
        <v>#REF!</v>
      </c>
      <c r="AY647" s="12" t="e">
        <f>IF(Data!#REF!="","",IF(Data!$G647="",1,IF(ISNUMBER(MATCH(Data!#REF!,Data_Val!$D$2:$D$10,0)),0,1)))</f>
        <v>#REF!</v>
      </c>
      <c r="AZ647" s="11"/>
      <c r="BA647" s="19" t="e">
        <f ca="1">IF(Data!#REF!="","",IF(ISNUMBER(Data!#REF!),IF(AND(Data!#REF!&gt;(TODAY()-(Data_Val!$M$3*365.25)),Data!#REF!&lt;=(TODAY()-(Data_Val!$M$2*365.25))),0,1),1))</f>
        <v>#REF!</v>
      </c>
      <c r="BB647" s="11" t="e">
        <f>IF(Data!#REF!="","",IF(Data!$G647="",1,IF(ISNUMBER(MATCH(Data!#REF!,Data_Val!$D$2:$D$10,0)),0,1)))</f>
        <v>#REF!</v>
      </c>
      <c r="BC647" s="12"/>
      <c r="BD647" s="20" t="e">
        <f ca="1">IF(Data!#REF!="","",IF(ISNUMBER(Data!#REF!),IF(AND(Data!#REF!&gt;(TODAY()-(Data_Val!$M$3*365.25)),Data!#REF!&lt;=(TODAY()-(Data_Val!$M$2*365.25))),0,1),1))</f>
        <v>#REF!</v>
      </c>
      <c r="BE647" s="12" t="e">
        <f>IF(Data!#REF!="","",IF(Data!$G647="",1,IF(ISNUMBER(MATCH(Data!#REF!,Data_Val!$D$2:$D$10,0)),0,1)))</f>
        <v>#REF!</v>
      </c>
      <c r="BF647" s="17"/>
      <c r="BG647" s="18" t="e">
        <f ca="1">IF(Data!#REF!="","",IF(ISNUMBER(Data!#REF!),IF(AND(Data!#REF!&gt;(TODAY()-(Data_Val!$M$3*365.25)),Data!#REF!&lt;=(TODAY()-(Data_Val!$M$2*365.25))),0,1),1))</f>
        <v>#REF!</v>
      </c>
      <c r="BH647" s="29" t="e">
        <f>IF(Data!#REF!="","",IF(Data!$G647="",1,IF(ISNUMBER(MATCH(Data!#REF!,Data_Val!$D$2:$D$10,0)),0,1)))</f>
        <v>#REF!</v>
      </c>
      <c r="BI647" s="13"/>
      <c r="BJ647" s="21" t="e">
        <f ca="1">IF(Data!#REF!="","",IF(ISNUMBER(Data!#REF!),IF(AND(Data!#REF!&gt;(TODAY()-(Data_Val!$M$3*365.25)),Data!#REF!&lt;=(TODAY()-(Data_Val!$M$2*365.25))),0,1),1))</f>
        <v>#REF!</v>
      </c>
      <c r="BK647" s="13" t="e">
        <f>IF(Data!#REF!="","",IF(Data!$G647="",1,IF(ISNUMBER(MATCH(Data!#REF!,Data_Val!$D$2:$D$10,0)),0,1)))</f>
        <v>#REF!</v>
      </c>
    </row>
    <row r="648" spans="1:63" x14ac:dyDescent="0.25">
      <c r="A648" s="9" t="str">
        <f>IF(Data!B648="","",IF(COUNTIFS(Data!A$1:'Data'!A648,Data!A648)&lt;=1,0,1))</f>
        <v/>
      </c>
      <c r="B648" s="9"/>
      <c r="C648" s="23" t="str">
        <f>IF(Data!C648="","",(IF(ISNUMBER(MATCH("*@*.?*",Data!C648,0)),0,1)+IF(COUNTIFS(Data!C$1:'Data'!C648,Data!C648)&gt;1,1,0)))</f>
        <v/>
      </c>
      <c r="D648" s="9" t="str">
        <f>IF(Data!B648="","",IF(ISNUMBER(Data!D648),IF(AND(Data!D648&gt;999999999,Data!D648&lt;=9999999999),IF(COUNTIFS(Data!D$1:'Data'!D648,Data!D648)&lt;=1,0,1),1),1))</f>
        <v/>
      </c>
      <c r="E648" s="9" t="str">
        <f>IF(Data!B648="","",IF(ISNUMBER(MATCH(Data!E648,Data_Val!$A$2:$A$3,0)),0,1))</f>
        <v/>
      </c>
      <c r="F648" s="9" t="str">
        <f ca="1">IF(Data!B648="","",IF(ISNUMBER(Data!F648),IF(AND(Data!F648&gt;(TODAY()-(Data_Val!$H$3*365.25)),Data!F648&lt;=(TODAY()-(Data_Val!$H$2*365.25))),0,1),1))</f>
        <v/>
      </c>
      <c r="G648" s="15" t="str">
        <f>IF(Data!B648="","",IF(AND(Data!G648="",Data!H648&lt;&gt;""),1,IF(Data!#REF!&lt;&gt;"",0,IF(ISNUMBER(MATCH(Data!G648,Data_Val!$C$2:$C$5,0)),0,1))))</f>
        <v/>
      </c>
      <c r="H648" s="15" t="str">
        <f>IF(Data!B648="","",IF(AND(Data!G648&lt;&gt;"",Data!H648=""),1,IF(Data!#REF!&lt;&gt;"",0,IF(Data!G648="",1,IF(ISNUMBER(MATCH(Data!H648,Data_Val!$D$2:$D$35,0)),0,1)))))</f>
        <v/>
      </c>
      <c r="I648" s="15" t="str">
        <f>IF(Data!B648="","",IF(Data!G648&lt;&gt;"",0,IF(ISNUMBER(MATCH(Data!#REF!,Data_Val!$E$2:$E$12,0)),0,1)))</f>
        <v/>
      </c>
      <c r="J648" s="16" t="e">
        <f>IF(OR(Data!B648="",Data!#REF!=""),"",IF(Data!#REF!="",1,0))</f>
        <v>#REF!</v>
      </c>
      <c r="K648" s="16" t="e">
        <f>IF(OR(Data!B648="",Data!#REF!=""),"",IF(Data!#REF!="",1,0))</f>
        <v>#REF!</v>
      </c>
      <c r="L648" s="16" t="e">
        <f>IF(OR(Data!B648="",Data!#REF!=""),"",IF(ISNUMBER(Data!#REF!),IF(AND(Data!#REF!&gt;Data_Val!$G$2,Data!#REF!&lt;=Data_Val!$G$3),0,1),1))</f>
        <v>#REF!</v>
      </c>
      <c r="M648" s="9" t="e">
        <f>IF(OR(Data!B648="",Data!#REF!=""),"",IF(ISNUMBER(MATCH(Data!#REF!,Data_Val!$F$1:$F$38,0)),0,1))</f>
        <v>#REF!</v>
      </c>
      <c r="N648" s="9" t="e">
        <f>IF(OR(Data!B648="",Data!#REF!=""),"",IF(Data!#REF!="",1,0))</f>
        <v>#REF!</v>
      </c>
      <c r="O648" s="17" t="e">
        <f>IF(Data!#REF!="","",IF(Data!#REF!="",1,0))</f>
        <v>#REF!</v>
      </c>
      <c r="P648" s="17" t="e">
        <f>IF(Data!#REF!="","",IF(ISNUMBER(MATCH(Data!#REF!,Data_Val!$A$2:$A$3,0)),0,1))</f>
        <v>#REF!</v>
      </c>
      <c r="Q648" s="25" t="e">
        <f ca="1">IF(Data!#REF!="","",IF(ISNUMBER(Data!#REF!),IF(AND(Data!#REF!&gt;(TODAY()-(Data_Val!$J$3*365.25)),Data!#REF!&lt;=(TODAY()-(Data_Val!$J$2*365.25))),0,1),1))</f>
        <v>#REF!</v>
      </c>
      <c r="R648" s="17" t="e">
        <f>IF(Data!#REF!="","",IF(ISNUMBER(MATCH(Data!#REF!,Data_Val!$B$2:$B$15,0)),0,1))</f>
        <v>#REF!</v>
      </c>
      <c r="S648" s="11" t="str">
        <f>IF(Data!G648="","",IF(Data!G648=Data_Val!$C$2,IF(Data!M648="",0,1),0))</f>
        <v/>
      </c>
      <c r="T648" s="11" t="str">
        <f>IF(Data!M648="","",IF(ISNUMBER(MATCH(Data!N648,Data_Val!$A$2:$A$3,0)),0,1))</f>
        <v/>
      </c>
      <c r="U648" s="11" t="str">
        <f ca="1">IF(Data!M648="","",IF(ISNUMBER(Data!O648),IF(AND(Data!O648&gt;(TODAY()-(Data_Val!$K$3*365.25)),Data!O648&lt;=(TODAY()-(Data_Val!$K$2*365.25))),0,1),1))</f>
        <v/>
      </c>
      <c r="V648" s="12" t="str">
        <f>IF(Data!G648="","",IF(Data!G648=Data_Val!$C$2,IF(Data!P648="",0,1),0))</f>
        <v/>
      </c>
      <c r="W648" s="12" t="str">
        <f>IF(Data!P648="","",IF(ISNUMBER(MATCH(Data!Q648,Data_Val!$A$2:$A$3,0)),0,1))</f>
        <v/>
      </c>
      <c r="X648" s="26" t="str">
        <f ca="1">IF(Data!P648="","",IF(ISNUMBER(Data!R648),IF(AND(Data!R648&gt;(TODAY()-(Data_Val!$L$3*365.25)),Data!R648&lt;=(TODAY()-(Data_Val!$L$2*365.25))),0,1),1))</f>
        <v/>
      </c>
      <c r="Y648" s="13" t="str">
        <f>IF(Data!$G648="","",IF(Data!$G648=Data_Val!$C$2,IF(Data!S648="",0,1),0))</f>
        <v/>
      </c>
      <c r="Z648" s="13" t="str">
        <f>IF(Data!S648="","",IF(ISNUMBER(MATCH(Data!T648,Data_Val!$A$2:$A$3,0)),0,1))</f>
        <v/>
      </c>
      <c r="AA648" s="28" t="str">
        <f ca="1">IF(Data!S648="","",IF(ISNUMBER(Data!U648),IF(AND(Data!U648&gt;(TODAY()-(Data_Val!$L$3*365.25)),Data!U648&lt;=(TODAY()-(Data_Val!$L$2*365.25))),0,1),1))</f>
        <v/>
      </c>
      <c r="AB648" s="11"/>
      <c r="AC648" s="11" t="e">
        <f>IF(Data!#REF!="","",IF(ISNUMBER(MATCH(Data!#REF!,Data_Val!$A$2:$A$3,0)),0,1))</f>
        <v>#REF!</v>
      </c>
      <c r="AD648" s="11" t="e">
        <f ca="1">IF(Data!#REF!="","",IF(ISNUMBER(Data!#REF!),IF(AND(Data!#REF!&gt;(TODAY()-(Data_Val!$L$3*365.25)),Data!#REF!&lt;=(TODAY()-(Data_Val!$L$2*365.25))),0,1),1))</f>
        <v>#REF!</v>
      </c>
      <c r="AE648" s="11" t="e">
        <f>IF(Data!#REF!="","",IF(Data!$G648="",1,IF(ISNUMBER(MATCH(Data!#REF!,Data_Val!$D$2:$D$10,0)),0,1)))</f>
        <v>#REF!</v>
      </c>
      <c r="AF648" s="12"/>
      <c r="AG648" s="12" t="e">
        <f>IF(Data!#REF!="","",IF(ISNUMBER(MATCH(Data!#REF!,Data_Val!$A$2:$A$3,0)),0,1))</f>
        <v>#REF!</v>
      </c>
      <c r="AH648" s="26" t="e">
        <f ca="1">IF(Data!#REF!="","",IF(ISNUMBER(Data!#REF!),IF(AND(Data!#REF!&gt;(TODAY()-(Data_Val!$L$3*365.25)),Data!#REF!&lt;=(TODAY()-(Data_Val!$L$2*365.25))),0,1),1))</f>
        <v>#REF!</v>
      </c>
      <c r="AI648" s="12" t="e">
        <f>IF(Data!#REF!="","",IF(Data!$G648="",1,IF(ISNUMBER(MATCH(Data!#REF!,Data_Val!$D$2:$D$10,0)),0,1)))</f>
        <v>#REF!</v>
      </c>
      <c r="AJ648" s="17"/>
      <c r="AK648" s="17" t="e">
        <f>IF(Data!#REF!="","",IF(ISNUMBER(MATCH(Data!#REF!,Data_Val!$A$2:$A$3,0)),0,1))</f>
        <v>#REF!</v>
      </c>
      <c r="AL648" s="25" t="e">
        <f ca="1">IF(Data!#REF!="","",IF(ISNUMBER(Data!#REF!),IF(AND(Data!#REF!&gt;(TODAY()-(Data_Val!$L$3*365.25)),Data!#REF!&lt;=(TODAY()-(Data_Val!$L$2*365.25))),0,1),1))</f>
        <v>#REF!</v>
      </c>
      <c r="AM648" s="17" t="e">
        <f>IF(Data!#REF!="","",IF(Data!$G648="",1,IF(ISNUMBER(MATCH(Data!#REF!,Data_Val!$D$2:$D$10,0)),0,1)))</f>
        <v>#REF!</v>
      </c>
      <c r="AN648" s="13"/>
      <c r="AO648" s="28" t="e">
        <f ca="1">IF(Data!#REF!="","",IF(ISNUMBER(Data!#REF!),IF(AND(Data!#REF!&gt;(TODAY()-(Data_Val!$I$3*365.25)),Data!#REF!&lt;=(TODAY()-(Data_Val!$I$2*365.25))),0,1),1))</f>
        <v>#REF!</v>
      </c>
      <c r="AP648" s="13" t="e">
        <f>IF(Data!#REF!="","",IF(Data!$G648="",1,IF(ISNUMBER(MATCH(Data!#REF!,Data_Val!$D$2:$D$10,0)),0,1)))</f>
        <v>#REF!</v>
      </c>
      <c r="AQ648" s="17"/>
      <c r="AR648" s="30" t="e">
        <f ca="1">IF(Data!#REF!="","",IF(ISNUMBER(Data!#REF!),IF(AND(Data!#REF!&gt;(TODAY()-(Data_Val!$I$3*365.25)),Data!#REF!&lt;=(TODAY()-(Data_Val!$I$2*365.25))),0,1),1))</f>
        <v>#REF!</v>
      </c>
      <c r="AS648" s="31" t="e">
        <f>IF(Data!#REF!="","",IF(Data!$G648="",1,IF(ISNUMBER(MATCH(Data!#REF!,Data_Val!$D$2:$D$10,0)),0,1)))</f>
        <v>#REF!</v>
      </c>
      <c r="AT648" s="11"/>
      <c r="AU648" s="11" t="e">
        <f ca="1">IF(Data!#REF!="","",IF(ISNUMBER(Data!#REF!),IF(AND(Data!#REF!&gt;(TODAY()-(Data_Val!$I$3*365.25)),Data!#REF!&lt;=(TODAY()-(Data_Val!$I$2*365.25))),0,1),1))</f>
        <v>#REF!</v>
      </c>
      <c r="AV648" s="11" t="e">
        <f>IF(Data!#REF!="","",IF(Data!$G648="",1,IF(ISNUMBER(MATCH(Data!#REF!,Data_Val!$D$2:$D$10,0)),0,1)))</f>
        <v>#REF!</v>
      </c>
      <c r="AW648" s="12"/>
      <c r="AX648" s="26" t="e">
        <f ca="1">IF(Data!#REF!="","",IF(ISNUMBER(Data!#REF!),IF(AND(Data!#REF!&gt;(TODAY()-(Data_Val!$I$3*365.25)),Data!#REF!&lt;=(TODAY()-(Data_Val!$I$2*365.25))),0,1),1))</f>
        <v>#REF!</v>
      </c>
      <c r="AY648" s="12" t="e">
        <f>IF(Data!#REF!="","",IF(Data!$G648="",1,IF(ISNUMBER(MATCH(Data!#REF!,Data_Val!$D$2:$D$10,0)),0,1)))</f>
        <v>#REF!</v>
      </c>
      <c r="AZ648" s="11"/>
      <c r="BA648" s="19" t="e">
        <f ca="1">IF(Data!#REF!="","",IF(ISNUMBER(Data!#REF!),IF(AND(Data!#REF!&gt;(TODAY()-(Data_Val!$M$3*365.25)),Data!#REF!&lt;=(TODAY()-(Data_Val!$M$2*365.25))),0,1),1))</f>
        <v>#REF!</v>
      </c>
      <c r="BB648" s="11" t="e">
        <f>IF(Data!#REF!="","",IF(Data!$G648="",1,IF(ISNUMBER(MATCH(Data!#REF!,Data_Val!$D$2:$D$10,0)),0,1)))</f>
        <v>#REF!</v>
      </c>
      <c r="BC648" s="12"/>
      <c r="BD648" s="20" t="e">
        <f ca="1">IF(Data!#REF!="","",IF(ISNUMBER(Data!#REF!),IF(AND(Data!#REF!&gt;(TODAY()-(Data_Val!$M$3*365.25)),Data!#REF!&lt;=(TODAY()-(Data_Val!$M$2*365.25))),0,1),1))</f>
        <v>#REF!</v>
      </c>
      <c r="BE648" s="12" t="e">
        <f>IF(Data!#REF!="","",IF(Data!$G648="",1,IF(ISNUMBER(MATCH(Data!#REF!,Data_Val!$D$2:$D$10,0)),0,1)))</f>
        <v>#REF!</v>
      </c>
      <c r="BF648" s="17"/>
      <c r="BG648" s="18" t="e">
        <f ca="1">IF(Data!#REF!="","",IF(ISNUMBER(Data!#REF!),IF(AND(Data!#REF!&gt;(TODAY()-(Data_Val!$M$3*365.25)),Data!#REF!&lt;=(TODAY()-(Data_Val!$M$2*365.25))),0,1),1))</f>
        <v>#REF!</v>
      </c>
      <c r="BH648" s="29" t="e">
        <f>IF(Data!#REF!="","",IF(Data!$G648="",1,IF(ISNUMBER(MATCH(Data!#REF!,Data_Val!$D$2:$D$10,0)),0,1)))</f>
        <v>#REF!</v>
      </c>
      <c r="BI648" s="13"/>
      <c r="BJ648" s="21" t="e">
        <f ca="1">IF(Data!#REF!="","",IF(ISNUMBER(Data!#REF!),IF(AND(Data!#REF!&gt;(TODAY()-(Data_Val!$M$3*365.25)),Data!#REF!&lt;=(TODAY()-(Data_Val!$M$2*365.25))),0,1),1))</f>
        <v>#REF!</v>
      </c>
      <c r="BK648" s="13" t="e">
        <f>IF(Data!#REF!="","",IF(Data!$G648="",1,IF(ISNUMBER(MATCH(Data!#REF!,Data_Val!$D$2:$D$10,0)),0,1)))</f>
        <v>#REF!</v>
      </c>
    </row>
    <row r="649" spans="1:63" x14ac:dyDescent="0.25">
      <c r="A649" s="9" t="str">
        <f>IF(Data!B649="","",IF(COUNTIFS(Data!A$1:'Data'!A649,Data!A649)&lt;=1,0,1))</f>
        <v/>
      </c>
      <c r="B649" s="9"/>
      <c r="C649" s="23" t="str">
        <f>IF(Data!C649="","",(IF(ISNUMBER(MATCH("*@*.?*",Data!C649,0)),0,1)+IF(COUNTIFS(Data!C$1:'Data'!C649,Data!C649)&gt;1,1,0)))</f>
        <v/>
      </c>
      <c r="D649" s="9" t="str">
        <f>IF(Data!B649="","",IF(ISNUMBER(Data!D649),IF(AND(Data!D649&gt;999999999,Data!D649&lt;=9999999999),IF(COUNTIFS(Data!D$1:'Data'!D649,Data!D649)&lt;=1,0,1),1),1))</f>
        <v/>
      </c>
      <c r="E649" s="9" t="str">
        <f>IF(Data!B649="","",IF(ISNUMBER(MATCH(Data!E649,Data_Val!$A$2:$A$3,0)),0,1))</f>
        <v/>
      </c>
      <c r="F649" s="9" t="str">
        <f ca="1">IF(Data!B649="","",IF(ISNUMBER(Data!F649),IF(AND(Data!F649&gt;(TODAY()-(Data_Val!$H$3*365.25)),Data!F649&lt;=(TODAY()-(Data_Val!$H$2*365.25))),0,1),1))</f>
        <v/>
      </c>
      <c r="G649" s="15" t="str">
        <f>IF(Data!B649="","",IF(AND(Data!G649="",Data!H649&lt;&gt;""),1,IF(Data!#REF!&lt;&gt;"",0,IF(ISNUMBER(MATCH(Data!G649,Data_Val!$C$2:$C$5,0)),0,1))))</f>
        <v/>
      </c>
      <c r="H649" s="15" t="str">
        <f>IF(Data!B649="","",IF(AND(Data!G649&lt;&gt;"",Data!H649=""),1,IF(Data!#REF!&lt;&gt;"",0,IF(Data!G649="",1,IF(ISNUMBER(MATCH(Data!H649,Data_Val!$D$2:$D$35,0)),0,1)))))</f>
        <v/>
      </c>
      <c r="I649" s="15" t="str">
        <f>IF(Data!B649="","",IF(Data!G649&lt;&gt;"",0,IF(ISNUMBER(MATCH(Data!#REF!,Data_Val!$E$2:$E$12,0)),0,1)))</f>
        <v/>
      </c>
      <c r="J649" s="16" t="e">
        <f>IF(OR(Data!B649="",Data!#REF!=""),"",IF(Data!#REF!="",1,0))</f>
        <v>#REF!</v>
      </c>
      <c r="K649" s="16" t="e">
        <f>IF(OR(Data!B649="",Data!#REF!=""),"",IF(Data!#REF!="",1,0))</f>
        <v>#REF!</v>
      </c>
      <c r="L649" s="16" t="e">
        <f>IF(OR(Data!B649="",Data!#REF!=""),"",IF(ISNUMBER(Data!#REF!),IF(AND(Data!#REF!&gt;Data_Val!$G$2,Data!#REF!&lt;=Data_Val!$G$3),0,1),1))</f>
        <v>#REF!</v>
      </c>
      <c r="M649" s="9" t="e">
        <f>IF(OR(Data!B649="",Data!#REF!=""),"",IF(ISNUMBER(MATCH(Data!#REF!,Data_Val!$F$1:$F$38,0)),0,1))</f>
        <v>#REF!</v>
      </c>
      <c r="N649" s="9" t="e">
        <f>IF(OR(Data!B649="",Data!#REF!=""),"",IF(Data!#REF!="",1,0))</f>
        <v>#REF!</v>
      </c>
      <c r="O649" s="17" t="e">
        <f>IF(Data!#REF!="","",IF(Data!#REF!="",1,0))</f>
        <v>#REF!</v>
      </c>
      <c r="P649" s="17" t="e">
        <f>IF(Data!#REF!="","",IF(ISNUMBER(MATCH(Data!#REF!,Data_Val!$A$2:$A$3,0)),0,1))</f>
        <v>#REF!</v>
      </c>
      <c r="Q649" s="25" t="e">
        <f ca="1">IF(Data!#REF!="","",IF(ISNUMBER(Data!#REF!),IF(AND(Data!#REF!&gt;(TODAY()-(Data_Val!$J$3*365.25)),Data!#REF!&lt;=(TODAY()-(Data_Val!$J$2*365.25))),0,1),1))</f>
        <v>#REF!</v>
      </c>
      <c r="R649" s="17" t="e">
        <f>IF(Data!#REF!="","",IF(ISNUMBER(MATCH(Data!#REF!,Data_Val!$B$2:$B$15,0)),0,1))</f>
        <v>#REF!</v>
      </c>
      <c r="S649" s="11" t="str">
        <f>IF(Data!G649="","",IF(Data!G649=Data_Val!$C$2,IF(Data!M649="",0,1),0))</f>
        <v/>
      </c>
      <c r="T649" s="11" t="str">
        <f>IF(Data!M649="","",IF(ISNUMBER(MATCH(Data!N649,Data_Val!$A$2:$A$3,0)),0,1))</f>
        <v/>
      </c>
      <c r="U649" s="11" t="str">
        <f ca="1">IF(Data!M649="","",IF(ISNUMBER(Data!O649),IF(AND(Data!O649&gt;(TODAY()-(Data_Val!$K$3*365.25)),Data!O649&lt;=(TODAY()-(Data_Val!$K$2*365.25))),0,1),1))</f>
        <v/>
      </c>
      <c r="V649" s="12" t="str">
        <f>IF(Data!G649="","",IF(Data!G649=Data_Val!$C$2,IF(Data!P649="",0,1),0))</f>
        <v/>
      </c>
      <c r="W649" s="12" t="str">
        <f>IF(Data!P649="","",IF(ISNUMBER(MATCH(Data!Q649,Data_Val!$A$2:$A$3,0)),0,1))</f>
        <v/>
      </c>
      <c r="X649" s="26" t="str">
        <f ca="1">IF(Data!P649="","",IF(ISNUMBER(Data!R649),IF(AND(Data!R649&gt;(TODAY()-(Data_Val!$L$3*365.25)),Data!R649&lt;=(TODAY()-(Data_Val!$L$2*365.25))),0,1),1))</f>
        <v/>
      </c>
      <c r="Y649" s="13" t="str">
        <f>IF(Data!$G649="","",IF(Data!$G649=Data_Val!$C$2,IF(Data!S649="",0,1),0))</f>
        <v/>
      </c>
      <c r="Z649" s="13" t="str">
        <f>IF(Data!S649="","",IF(ISNUMBER(MATCH(Data!T649,Data_Val!$A$2:$A$3,0)),0,1))</f>
        <v/>
      </c>
      <c r="AA649" s="28" t="str">
        <f ca="1">IF(Data!S649="","",IF(ISNUMBER(Data!U649),IF(AND(Data!U649&gt;(TODAY()-(Data_Val!$L$3*365.25)),Data!U649&lt;=(TODAY()-(Data_Val!$L$2*365.25))),0,1),1))</f>
        <v/>
      </c>
      <c r="AB649" s="11"/>
      <c r="AC649" s="11" t="e">
        <f>IF(Data!#REF!="","",IF(ISNUMBER(MATCH(Data!#REF!,Data_Val!$A$2:$A$3,0)),0,1))</f>
        <v>#REF!</v>
      </c>
      <c r="AD649" s="11" t="e">
        <f ca="1">IF(Data!#REF!="","",IF(ISNUMBER(Data!#REF!),IF(AND(Data!#REF!&gt;(TODAY()-(Data_Val!$L$3*365.25)),Data!#REF!&lt;=(TODAY()-(Data_Val!$L$2*365.25))),0,1),1))</f>
        <v>#REF!</v>
      </c>
      <c r="AE649" s="11" t="e">
        <f>IF(Data!#REF!="","",IF(Data!$G649="",1,IF(ISNUMBER(MATCH(Data!#REF!,Data_Val!$D$2:$D$10,0)),0,1)))</f>
        <v>#REF!</v>
      </c>
      <c r="AF649" s="12"/>
      <c r="AG649" s="12" t="e">
        <f>IF(Data!#REF!="","",IF(ISNUMBER(MATCH(Data!#REF!,Data_Val!$A$2:$A$3,0)),0,1))</f>
        <v>#REF!</v>
      </c>
      <c r="AH649" s="26" t="e">
        <f ca="1">IF(Data!#REF!="","",IF(ISNUMBER(Data!#REF!),IF(AND(Data!#REF!&gt;(TODAY()-(Data_Val!$L$3*365.25)),Data!#REF!&lt;=(TODAY()-(Data_Val!$L$2*365.25))),0,1),1))</f>
        <v>#REF!</v>
      </c>
      <c r="AI649" s="12" t="e">
        <f>IF(Data!#REF!="","",IF(Data!$G649="",1,IF(ISNUMBER(MATCH(Data!#REF!,Data_Val!$D$2:$D$10,0)),0,1)))</f>
        <v>#REF!</v>
      </c>
      <c r="AJ649" s="17"/>
      <c r="AK649" s="17" t="e">
        <f>IF(Data!#REF!="","",IF(ISNUMBER(MATCH(Data!#REF!,Data_Val!$A$2:$A$3,0)),0,1))</f>
        <v>#REF!</v>
      </c>
      <c r="AL649" s="25" t="e">
        <f ca="1">IF(Data!#REF!="","",IF(ISNUMBER(Data!#REF!),IF(AND(Data!#REF!&gt;(TODAY()-(Data_Val!$L$3*365.25)),Data!#REF!&lt;=(TODAY()-(Data_Val!$L$2*365.25))),0,1),1))</f>
        <v>#REF!</v>
      </c>
      <c r="AM649" s="17" t="e">
        <f>IF(Data!#REF!="","",IF(Data!$G649="",1,IF(ISNUMBER(MATCH(Data!#REF!,Data_Val!$D$2:$D$10,0)),0,1)))</f>
        <v>#REF!</v>
      </c>
      <c r="AN649" s="13"/>
      <c r="AO649" s="28" t="e">
        <f ca="1">IF(Data!#REF!="","",IF(ISNUMBER(Data!#REF!),IF(AND(Data!#REF!&gt;(TODAY()-(Data_Val!$I$3*365.25)),Data!#REF!&lt;=(TODAY()-(Data_Val!$I$2*365.25))),0,1),1))</f>
        <v>#REF!</v>
      </c>
      <c r="AP649" s="13" t="e">
        <f>IF(Data!#REF!="","",IF(Data!$G649="",1,IF(ISNUMBER(MATCH(Data!#REF!,Data_Val!$D$2:$D$10,0)),0,1)))</f>
        <v>#REF!</v>
      </c>
      <c r="AQ649" s="17"/>
      <c r="AR649" s="30" t="e">
        <f ca="1">IF(Data!#REF!="","",IF(ISNUMBER(Data!#REF!),IF(AND(Data!#REF!&gt;(TODAY()-(Data_Val!$I$3*365.25)),Data!#REF!&lt;=(TODAY()-(Data_Val!$I$2*365.25))),0,1),1))</f>
        <v>#REF!</v>
      </c>
      <c r="AS649" s="31" t="e">
        <f>IF(Data!#REF!="","",IF(Data!$G649="",1,IF(ISNUMBER(MATCH(Data!#REF!,Data_Val!$D$2:$D$10,0)),0,1)))</f>
        <v>#REF!</v>
      </c>
      <c r="AT649" s="11"/>
      <c r="AU649" s="11" t="e">
        <f ca="1">IF(Data!#REF!="","",IF(ISNUMBER(Data!#REF!),IF(AND(Data!#REF!&gt;(TODAY()-(Data_Val!$I$3*365.25)),Data!#REF!&lt;=(TODAY()-(Data_Val!$I$2*365.25))),0,1),1))</f>
        <v>#REF!</v>
      </c>
      <c r="AV649" s="11" t="e">
        <f>IF(Data!#REF!="","",IF(Data!$G649="",1,IF(ISNUMBER(MATCH(Data!#REF!,Data_Val!$D$2:$D$10,0)),0,1)))</f>
        <v>#REF!</v>
      </c>
      <c r="AW649" s="12"/>
      <c r="AX649" s="26" t="e">
        <f ca="1">IF(Data!#REF!="","",IF(ISNUMBER(Data!#REF!),IF(AND(Data!#REF!&gt;(TODAY()-(Data_Val!$I$3*365.25)),Data!#REF!&lt;=(TODAY()-(Data_Val!$I$2*365.25))),0,1),1))</f>
        <v>#REF!</v>
      </c>
      <c r="AY649" s="12" t="e">
        <f>IF(Data!#REF!="","",IF(Data!$G649="",1,IF(ISNUMBER(MATCH(Data!#REF!,Data_Val!$D$2:$D$10,0)),0,1)))</f>
        <v>#REF!</v>
      </c>
      <c r="AZ649" s="11"/>
      <c r="BA649" s="19" t="e">
        <f ca="1">IF(Data!#REF!="","",IF(ISNUMBER(Data!#REF!),IF(AND(Data!#REF!&gt;(TODAY()-(Data_Val!$M$3*365.25)),Data!#REF!&lt;=(TODAY()-(Data_Val!$M$2*365.25))),0,1),1))</f>
        <v>#REF!</v>
      </c>
      <c r="BB649" s="11" t="e">
        <f>IF(Data!#REF!="","",IF(Data!$G649="",1,IF(ISNUMBER(MATCH(Data!#REF!,Data_Val!$D$2:$D$10,0)),0,1)))</f>
        <v>#REF!</v>
      </c>
      <c r="BC649" s="12"/>
      <c r="BD649" s="20" t="e">
        <f ca="1">IF(Data!#REF!="","",IF(ISNUMBER(Data!#REF!),IF(AND(Data!#REF!&gt;(TODAY()-(Data_Val!$M$3*365.25)),Data!#REF!&lt;=(TODAY()-(Data_Val!$M$2*365.25))),0,1),1))</f>
        <v>#REF!</v>
      </c>
      <c r="BE649" s="12" t="e">
        <f>IF(Data!#REF!="","",IF(Data!$G649="",1,IF(ISNUMBER(MATCH(Data!#REF!,Data_Val!$D$2:$D$10,0)),0,1)))</f>
        <v>#REF!</v>
      </c>
      <c r="BF649" s="17"/>
      <c r="BG649" s="18" t="e">
        <f ca="1">IF(Data!#REF!="","",IF(ISNUMBER(Data!#REF!),IF(AND(Data!#REF!&gt;(TODAY()-(Data_Val!$M$3*365.25)),Data!#REF!&lt;=(TODAY()-(Data_Val!$M$2*365.25))),0,1),1))</f>
        <v>#REF!</v>
      </c>
      <c r="BH649" s="29" t="e">
        <f>IF(Data!#REF!="","",IF(Data!$G649="",1,IF(ISNUMBER(MATCH(Data!#REF!,Data_Val!$D$2:$D$10,0)),0,1)))</f>
        <v>#REF!</v>
      </c>
      <c r="BI649" s="13"/>
      <c r="BJ649" s="21" t="e">
        <f ca="1">IF(Data!#REF!="","",IF(ISNUMBER(Data!#REF!),IF(AND(Data!#REF!&gt;(TODAY()-(Data_Val!$M$3*365.25)),Data!#REF!&lt;=(TODAY()-(Data_Val!$M$2*365.25))),0,1),1))</f>
        <v>#REF!</v>
      </c>
      <c r="BK649" s="13" t="e">
        <f>IF(Data!#REF!="","",IF(Data!$G649="",1,IF(ISNUMBER(MATCH(Data!#REF!,Data_Val!$D$2:$D$10,0)),0,1)))</f>
        <v>#REF!</v>
      </c>
    </row>
    <row r="650" spans="1:63" x14ac:dyDescent="0.25">
      <c r="A650" s="9" t="str">
        <f>IF(Data!B650="","",IF(COUNTIFS(Data!A$1:'Data'!A650,Data!A650)&lt;=1,0,1))</f>
        <v/>
      </c>
      <c r="B650" s="9"/>
      <c r="C650" s="23" t="str">
        <f>IF(Data!C650="","",(IF(ISNUMBER(MATCH("*@*.?*",Data!C650,0)),0,1)+IF(COUNTIFS(Data!C$1:'Data'!C650,Data!C650)&gt;1,1,0)))</f>
        <v/>
      </c>
      <c r="D650" s="9" t="str">
        <f>IF(Data!B650="","",IF(ISNUMBER(Data!D650),IF(AND(Data!D650&gt;999999999,Data!D650&lt;=9999999999),IF(COUNTIFS(Data!D$1:'Data'!D650,Data!D650)&lt;=1,0,1),1),1))</f>
        <v/>
      </c>
      <c r="E650" s="9" t="str">
        <f>IF(Data!B650="","",IF(ISNUMBER(MATCH(Data!E650,Data_Val!$A$2:$A$3,0)),0,1))</f>
        <v/>
      </c>
      <c r="F650" s="9" t="str">
        <f ca="1">IF(Data!B650="","",IF(ISNUMBER(Data!F650),IF(AND(Data!F650&gt;(TODAY()-(Data_Val!$H$3*365.25)),Data!F650&lt;=(TODAY()-(Data_Val!$H$2*365.25))),0,1),1))</f>
        <v/>
      </c>
      <c r="G650" s="15" t="str">
        <f>IF(Data!B650="","",IF(AND(Data!G650="",Data!H650&lt;&gt;""),1,IF(Data!#REF!&lt;&gt;"",0,IF(ISNUMBER(MATCH(Data!G650,Data_Val!$C$2:$C$5,0)),0,1))))</f>
        <v/>
      </c>
      <c r="H650" s="15" t="str">
        <f>IF(Data!B650="","",IF(AND(Data!G650&lt;&gt;"",Data!H650=""),1,IF(Data!#REF!&lt;&gt;"",0,IF(Data!G650="",1,IF(ISNUMBER(MATCH(Data!H650,Data_Val!$D$2:$D$35,0)),0,1)))))</f>
        <v/>
      </c>
      <c r="I650" s="15" t="str">
        <f>IF(Data!B650="","",IF(Data!G650&lt;&gt;"",0,IF(ISNUMBER(MATCH(Data!#REF!,Data_Val!$E$2:$E$12,0)),0,1)))</f>
        <v/>
      </c>
      <c r="J650" s="16" t="e">
        <f>IF(OR(Data!B650="",Data!#REF!=""),"",IF(Data!#REF!="",1,0))</f>
        <v>#REF!</v>
      </c>
      <c r="K650" s="16" t="e">
        <f>IF(OR(Data!B650="",Data!#REF!=""),"",IF(Data!#REF!="",1,0))</f>
        <v>#REF!</v>
      </c>
      <c r="L650" s="16" t="e">
        <f>IF(OR(Data!B650="",Data!#REF!=""),"",IF(ISNUMBER(Data!#REF!),IF(AND(Data!#REF!&gt;Data_Val!$G$2,Data!#REF!&lt;=Data_Val!$G$3),0,1),1))</f>
        <v>#REF!</v>
      </c>
      <c r="M650" s="9" t="e">
        <f>IF(OR(Data!B650="",Data!#REF!=""),"",IF(ISNUMBER(MATCH(Data!#REF!,Data_Val!$F$1:$F$38,0)),0,1))</f>
        <v>#REF!</v>
      </c>
      <c r="N650" s="9" t="e">
        <f>IF(OR(Data!B650="",Data!#REF!=""),"",IF(Data!#REF!="",1,0))</f>
        <v>#REF!</v>
      </c>
      <c r="O650" s="17" t="e">
        <f>IF(Data!#REF!="","",IF(Data!#REF!="",1,0))</f>
        <v>#REF!</v>
      </c>
      <c r="P650" s="17" t="e">
        <f>IF(Data!#REF!="","",IF(ISNUMBER(MATCH(Data!#REF!,Data_Val!$A$2:$A$3,0)),0,1))</f>
        <v>#REF!</v>
      </c>
      <c r="Q650" s="25" t="e">
        <f ca="1">IF(Data!#REF!="","",IF(ISNUMBER(Data!#REF!),IF(AND(Data!#REF!&gt;(TODAY()-(Data_Val!$J$3*365.25)),Data!#REF!&lt;=(TODAY()-(Data_Val!$J$2*365.25))),0,1),1))</f>
        <v>#REF!</v>
      </c>
      <c r="R650" s="17" t="e">
        <f>IF(Data!#REF!="","",IF(ISNUMBER(MATCH(Data!#REF!,Data_Val!$B$2:$B$15,0)),0,1))</f>
        <v>#REF!</v>
      </c>
      <c r="S650" s="11" t="str">
        <f>IF(Data!G650="","",IF(Data!G650=Data_Val!$C$2,IF(Data!M650="",0,1),0))</f>
        <v/>
      </c>
      <c r="T650" s="11" t="str">
        <f>IF(Data!M650="","",IF(ISNUMBER(MATCH(Data!N650,Data_Val!$A$2:$A$3,0)),0,1))</f>
        <v/>
      </c>
      <c r="U650" s="11" t="str">
        <f ca="1">IF(Data!M650="","",IF(ISNUMBER(Data!O650),IF(AND(Data!O650&gt;(TODAY()-(Data_Val!$K$3*365.25)),Data!O650&lt;=(TODAY()-(Data_Val!$K$2*365.25))),0,1),1))</f>
        <v/>
      </c>
      <c r="V650" s="12" t="str">
        <f>IF(Data!G650="","",IF(Data!G650=Data_Val!$C$2,IF(Data!P650="",0,1),0))</f>
        <v/>
      </c>
      <c r="W650" s="12" t="str">
        <f>IF(Data!P650="","",IF(ISNUMBER(MATCH(Data!Q650,Data_Val!$A$2:$A$3,0)),0,1))</f>
        <v/>
      </c>
      <c r="X650" s="26" t="str">
        <f ca="1">IF(Data!P650="","",IF(ISNUMBER(Data!R650),IF(AND(Data!R650&gt;(TODAY()-(Data_Val!$L$3*365.25)),Data!R650&lt;=(TODAY()-(Data_Val!$L$2*365.25))),0,1),1))</f>
        <v/>
      </c>
      <c r="Y650" s="13" t="str">
        <f>IF(Data!$G650="","",IF(Data!$G650=Data_Val!$C$2,IF(Data!S650="",0,1),0))</f>
        <v/>
      </c>
      <c r="Z650" s="13" t="str">
        <f>IF(Data!S650="","",IF(ISNUMBER(MATCH(Data!T650,Data_Val!$A$2:$A$3,0)),0,1))</f>
        <v/>
      </c>
      <c r="AA650" s="28" t="str">
        <f ca="1">IF(Data!S650="","",IF(ISNUMBER(Data!U650),IF(AND(Data!U650&gt;(TODAY()-(Data_Val!$L$3*365.25)),Data!U650&lt;=(TODAY()-(Data_Val!$L$2*365.25))),0,1),1))</f>
        <v/>
      </c>
      <c r="AB650" s="11"/>
      <c r="AC650" s="11" t="e">
        <f>IF(Data!#REF!="","",IF(ISNUMBER(MATCH(Data!#REF!,Data_Val!$A$2:$A$3,0)),0,1))</f>
        <v>#REF!</v>
      </c>
      <c r="AD650" s="11" t="e">
        <f ca="1">IF(Data!#REF!="","",IF(ISNUMBER(Data!#REF!),IF(AND(Data!#REF!&gt;(TODAY()-(Data_Val!$L$3*365.25)),Data!#REF!&lt;=(TODAY()-(Data_Val!$L$2*365.25))),0,1),1))</f>
        <v>#REF!</v>
      </c>
      <c r="AE650" s="11" t="e">
        <f>IF(Data!#REF!="","",IF(Data!$G650="",1,IF(ISNUMBER(MATCH(Data!#REF!,Data_Val!$D$2:$D$10,0)),0,1)))</f>
        <v>#REF!</v>
      </c>
      <c r="AF650" s="12"/>
      <c r="AG650" s="12" t="e">
        <f>IF(Data!#REF!="","",IF(ISNUMBER(MATCH(Data!#REF!,Data_Val!$A$2:$A$3,0)),0,1))</f>
        <v>#REF!</v>
      </c>
      <c r="AH650" s="26" t="e">
        <f ca="1">IF(Data!#REF!="","",IF(ISNUMBER(Data!#REF!),IF(AND(Data!#REF!&gt;(TODAY()-(Data_Val!$L$3*365.25)),Data!#REF!&lt;=(TODAY()-(Data_Val!$L$2*365.25))),0,1),1))</f>
        <v>#REF!</v>
      </c>
      <c r="AI650" s="12" t="e">
        <f>IF(Data!#REF!="","",IF(Data!$G650="",1,IF(ISNUMBER(MATCH(Data!#REF!,Data_Val!$D$2:$D$10,0)),0,1)))</f>
        <v>#REF!</v>
      </c>
      <c r="AJ650" s="17"/>
      <c r="AK650" s="17" t="e">
        <f>IF(Data!#REF!="","",IF(ISNUMBER(MATCH(Data!#REF!,Data_Val!$A$2:$A$3,0)),0,1))</f>
        <v>#REF!</v>
      </c>
      <c r="AL650" s="25" t="e">
        <f ca="1">IF(Data!#REF!="","",IF(ISNUMBER(Data!#REF!),IF(AND(Data!#REF!&gt;(TODAY()-(Data_Val!$L$3*365.25)),Data!#REF!&lt;=(TODAY()-(Data_Val!$L$2*365.25))),0,1),1))</f>
        <v>#REF!</v>
      </c>
      <c r="AM650" s="17" t="e">
        <f>IF(Data!#REF!="","",IF(Data!$G650="",1,IF(ISNUMBER(MATCH(Data!#REF!,Data_Val!$D$2:$D$10,0)),0,1)))</f>
        <v>#REF!</v>
      </c>
      <c r="AN650" s="13"/>
      <c r="AO650" s="28" t="e">
        <f ca="1">IF(Data!#REF!="","",IF(ISNUMBER(Data!#REF!),IF(AND(Data!#REF!&gt;(TODAY()-(Data_Val!$I$3*365.25)),Data!#REF!&lt;=(TODAY()-(Data_Val!$I$2*365.25))),0,1),1))</f>
        <v>#REF!</v>
      </c>
      <c r="AP650" s="13" t="e">
        <f>IF(Data!#REF!="","",IF(Data!$G650="",1,IF(ISNUMBER(MATCH(Data!#REF!,Data_Val!$D$2:$D$10,0)),0,1)))</f>
        <v>#REF!</v>
      </c>
      <c r="AQ650" s="17"/>
      <c r="AR650" s="30" t="e">
        <f ca="1">IF(Data!#REF!="","",IF(ISNUMBER(Data!#REF!),IF(AND(Data!#REF!&gt;(TODAY()-(Data_Val!$I$3*365.25)),Data!#REF!&lt;=(TODAY()-(Data_Val!$I$2*365.25))),0,1),1))</f>
        <v>#REF!</v>
      </c>
      <c r="AS650" s="31" t="e">
        <f>IF(Data!#REF!="","",IF(Data!$G650="",1,IF(ISNUMBER(MATCH(Data!#REF!,Data_Val!$D$2:$D$10,0)),0,1)))</f>
        <v>#REF!</v>
      </c>
      <c r="AT650" s="11"/>
      <c r="AU650" s="11" t="e">
        <f ca="1">IF(Data!#REF!="","",IF(ISNUMBER(Data!#REF!),IF(AND(Data!#REF!&gt;(TODAY()-(Data_Val!$I$3*365.25)),Data!#REF!&lt;=(TODAY()-(Data_Val!$I$2*365.25))),0,1),1))</f>
        <v>#REF!</v>
      </c>
      <c r="AV650" s="11" t="e">
        <f>IF(Data!#REF!="","",IF(Data!$G650="",1,IF(ISNUMBER(MATCH(Data!#REF!,Data_Val!$D$2:$D$10,0)),0,1)))</f>
        <v>#REF!</v>
      </c>
      <c r="AW650" s="12"/>
      <c r="AX650" s="26" t="e">
        <f ca="1">IF(Data!#REF!="","",IF(ISNUMBER(Data!#REF!),IF(AND(Data!#REF!&gt;(TODAY()-(Data_Val!$I$3*365.25)),Data!#REF!&lt;=(TODAY()-(Data_Val!$I$2*365.25))),0,1),1))</f>
        <v>#REF!</v>
      </c>
      <c r="AY650" s="12" t="e">
        <f>IF(Data!#REF!="","",IF(Data!$G650="",1,IF(ISNUMBER(MATCH(Data!#REF!,Data_Val!$D$2:$D$10,0)),0,1)))</f>
        <v>#REF!</v>
      </c>
      <c r="AZ650" s="11"/>
      <c r="BA650" s="19" t="e">
        <f ca="1">IF(Data!#REF!="","",IF(ISNUMBER(Data!#REF!),IF(AND(Data!#REF!&gt;(TODAY()-(Data_Val!$M$3*365.25)),Data!#REF!&lt;=(TODAY()-(Data_Val!$M$2*365.25))),0,1),1))</f>
        <v>#REF!</v>
      </c>
      <c r="BB650" s="11" t="e">
        <f>IF(Data!#REF!="","",IF(Data!$G650="",1,IF(ISNUMBER(MATCH(Data!#REF!,Data_Val!$D$2:$D$10,0)),0,1)))</f>
        <v>#REF!</v>
      </c>
      <c r="BC650" s="12"/>
      <c r="BD650" s="20" t="e">
        <f ca="1">IF(Data!#REF!="","",IF(ISNUMBER(Data!#REF!),IF(AND(Data!#REF!&gt;(TODAY()-(Data_Val!$M$3*365.25)),Data!#REF!&lt;=(TODAY()-(Data_Val!$M$2*365.25))),0,1),1))</f>
        <v>#REF!</v>
      </c>
      <c r="BE650" s="12" t="e">
        <f>IF(Data!#REF!="","",IF(Data!$G650="",1,IF(ISNUMBER(MATCH(Data!#REF!,Data_Val!$D$2:$D$10,0)),0,1)))</f>
        <v>#REF!</v>
      </c>
      <c r="BF650" s="17"/>
      <c r="BG650" s="18" t="e">
        <f ca="1">IF(Data!#REF!="","",IF(ISNUMBER(Data!#REF!),IF(AND(Data!#REF!&gt;(TODAY()-(Data_Val!$M$3*365.25)),Data!#REF!&lt;=(TODAY()-(Data_Val!$M$2*365.25))),0,1),1))</f>
        <v>#REF!</v>
      </c>
      <c r="BH650" s="29" t="e">
        <f>IF(Data!#REF!="","",IF(Data!$G650="",1,IF(ISNUMBER(MATCH(Data!#REF!,Data_Val!$D$2:$D$10,0)),0,1)))</f>
        <v>#REF!</v>
      </c>
      <c r="BI650" s="13"/>
      <c r="BJ650" s="21" t="e">
        <f ca="1">IF(Data!#REF!="","",IF(ISNUMBER(Data!#REF!),IF(AND(Data!#REF!&gt;(TODAY()-(Data_Val!$M$3*365.25)),Data!#REF!&lt;=(TODAY()-(Data_Val!$M$2*365.25))),0,1),1))</f>
        <v>#REF!</v>
      </c>
      <c r="BK650" s="13" t="e">
        <f>IF(Data!#REF!="","",IF(Data!$G650="",1,IF(ISNUMBER(MATCH(Data!#REF!,Data_Val!$D$2:$D$10,0)),0,1)))</f>
        <v>#REF!</v>
      </c>
    </row>
    <row r="651" spans="1:63" x14ac:dyDescent="0.25">
      <c r="A651" s="9" t="str">
        <f>IF(Data!B651="","",IF(COUNTIFS(Data!A$1:'Data'!A651,Data!A651)&lt;=1,0,1))</f>
        <v/>
      </c>
      <c r="B651" s="9"/>
      <c r="C651" s="23" t="str">
        <f>IF(Data!C651="","",(IF(ISNUMBER(MATCH("*@*.?*",Data!C651,0)),0,1)+IF(COUNTIFS(Data!C$1:'Data'!C651,Data!C651)&gt;1,1,0)))</f>
        <v/>
      </c>
      <c r="D651" s="9" t="str">
        <f>IF(Data!B651="","",IF(ISNUMBER(Data!D651),IF(AND(Data!D651&gt;999999999,Data!D651&lt;=9999999999),IF(COUNTIFS(Data!D$1:'Data'!D651,Data!D651)&lt;=1,0,1),1),1))</f>
        <v/>
      </c>
      <c r="E651" s="9" t="str">
        <f>IF(Data!B651="","",IF(ISNUMBER(MATCH(Data!E651,Data_Val!$A$2:$A$3,0)),0,1))</f>
        <v/>
      </c>
      <c r="F651" s="9" t="str">
        <f ca="1">IF(Data!B651="","",IF(ISNUMBER(Data!F651),IF(AND(Data!F651&gt;(TODAY()-(Data_Val!$H$3*365.25)),Data!F651&lt;=(TODAY()-(Data_Val!$H$2*365.25))),0,1),1))</f>
        <v/>
      </c>
      <c r="G651" s="15" t="str">
        <f>IF(Data!B651="","",IF(AND(Data!G651="",Data!H651&lt;&gt;""),1,IF(Data!#REF!&lt;&gt;"",0,IF(ISNUMBER(MATCH(Data!G651,Data_Val!$C$2:$C$5,0)),0,1))))</f>
        <v/>
      </c>
      <c r="H651" s="15" t="str">
        <f>IF(Data!B651="","",IF(AND(Data!G651&lt;&gt;"",Data!H651=""),1,IF(Data!#REF!&lt;&gt;"",0,IF(Data!G651="",1,IF(ISNUMBER(MATCH(Data!H651,Data_Val!$D$2:$D$35,0)),0,1)))))</f>
        <v/>
      </c>
      <c r="I651" s="15" t="str">
        <f>IF(Data!B651="","",IF(Data!G651&lt;&gt;"",0,IF(ISNUMBER(MATCH(Data!#REF!,Data_Val!$E$2:$E$12,0)),0,1)))</f>
        <v/>
      </c>
      <c r="J651" s="16" t="e">
        <f>IF(OR(Data!B651="",Data!#REF!=""),"",IF(Data!#REF!="",1,0))</f>
        <v>#REF!</v>
      </c>
      <c r="K651" s="16" t="e">
        <f>IF(OR(Data!B651="",Data!#REF!=""),"",IF(Data!#REF!="",1,0))</f>
        <v>#REF!</v>
      </c>
      <c r="L651" s="16" t="e">
        <f>IF(OR(Data!B651="",Data!#REF!=""),"",IF(ISNUMBER(Data!#REF!),IF(AND(Data!#REF!&gt;Data_Val!$G$2,Data!#REF!&lt;=Data_Val!$G$3),0,1),1))</f>
        <v>#REF!</v>
      </c>
      <c r="M651" s="9" t="e">
        <f>IF(OR(Data!B651="",Data!#REF!=""),"",IF(ISNUMBER(MATCH(Data!#REF!,Data_Val!$F$1:$F$38,0)),0,1))</f>
        <v>#REF!</v>
      </c>
      <c r="N651" s="9" t="e">
        <f>IF(OR(Data!B651="",Data!#REF!=""),"",IF(Data!#REF!="",1,0))</f>
        <v>#REF!</v>
      </c>
      <c r="O651" s="17" t="e">
        <f>IF(Data!#REF!="","",IF(Data!#REF!="",1,0))</f>
        <v>#REF!</v>
      </c>
      <c r="P651" s="17" t="e">
        <f>IF(Data!#REF!="","",IF(ISNUMBER(MATCH(Data!#REF!,Data_Val!$A$2:$A$3,0)),0,1))</f>
        <v>#REF!</v>
      </c>
      <c r="Q651" s="25" t="e">
        <f ca="1">IF(Data!#REF!="","",IF(ISNUMBER(Data!#REF!),IF(AND(Data!#REF!&gt;(TODAY()-(Data_Val!$J$3*365.25)),Data!#REF!&lt;=(TODAY()-(Data_Val!$J$2*365.25))),0,1),1))</f>
        <v>#REF!</v>
      </c>
      <c r="R651" s="17" t="e">
        <f>IF(Data!#REF!="","",IF(ISNUMBER(MATCH(Data!#REF!,Data_Val!$B$2:$B$15,0)),0,1))</f>
        <v>#REF!</v>
      </c>
      <c r="S651" s="11" t="str">
        <f>IF(Data!G651="","",IF(Data!G651=Data_Val!$C$2,IF(Data!M651="",0,1),0))</f>
        <v/>
      </c>
      <c r="T651" s="11" t="str">
        <f>IF(Data!M651="","",IF(ISNUMBER(MATCH(Data!N651,Data_Val!$A$2:$A$3,0)),0,1))</f>
        <v/>
      </c>
      <c r="U651" s="11" t="str">
        <f ca="1">IF(Data!M651="","",IF(ISNUMBER(Data!O651),IF(AND(Data!O651&gt;(TODAY()-(Data_Val!$K$3*365.25)),Data!O651&lt;=(TODAY()-(Data_Val!$K$2*365.25))),0,1),1))</f>
        <v/>
      </c>
      <c r="V651" s="12" t="str">
        <f>IF(Data!G651="","",IF(Data!G651=Data_Val!$C$2,IF(Data!P651="",0,1),0))</f>
        <v/>
      </c>
      <c r="W651" s="12" t="str">
        <f>IF(Data!P651="","",IF(ISNUMBER(MATCH(Data!Q651,Data_Val!$A$2:$A$3,0)),0,1))</f>
        <v/>
      </c>
      <c r="X651" s="26" t="str">
        <f ca="1">IF(Data!P651="","",IF(ISNUMBER(Data!R651),IF(AND(Data!R651&gt;(TODAY()-(Data_Val!$L$3*365.25)),Data!R651&lt;=(TODAY()-(Data_Val!$L$2*365.25))),0,1),1))</f>
        <v/>
      </c>
      <c r="Y651" s="13" t="str">
        <f>IF(Data!$G651="","",IF(Data!$G651=Data_Val!$C$2,IF(Data!S651="",0,1),0))</f>
        <v/>
      </c>
      <c r="Z651" s="13" t="str">
        <f>IF(Data!S651="","",IF(ISNUMBER(MATCH(Data!T651,Data_Val!$A$2:$A$3,0)),0,1))</f>
        <v/>
      </c>
      <c r="AA651" s="28" t="str">
        <f ca="1">IF(Data!S651="","",IF(ISNUMBER(Data!U651),IF(AND(Data!U651&gt;(TODAY()-(Data_Val!$L$3*365.25)),Data!U651&lt;=(TODAY()-(Data_Val!$L$2*365.25))),0,1),1))</f>
        <v/>
      </c>
      <c r="AB651" s="11"/>
      <c r="AC651" s="11" t="e">
        <f>IF(Data!#REF!="","",IF(ISNUMBER(MATCH(Data!#REF!,Data_Val!$A$2:$A$3,0)),0,1))</f>
        <v>#REF!</v>
      </c>
      <c r="AD651" s="11" t="e">
        <f ca="1">IF(Data!#REF!="","",IF(ISNUMBER(Data!#REF!),IF(AND(Data!#REF!&gt;(TODAY()-(Data_Val!$L$3*365.25)),Data!#REF!&lt;=(TODAY()-(Data_Val!$L$2*365.25))),0,1),1))</f>
        <v>#REF!</v>
      </c>
      <c r="AE651" s="11" t="e">
        <f>IF(Data!#REF!="","",IF(Data!$G651="",1,IF(ISNUMBER(MATCH(Data!#REF!,Data_Val!$D$2:$D$10,0)),0,1)))</f>
        <v>#REF!</v>
      </c>
      <c r="AF651" s="12"/>
      <c r="AG651" s="12" t="e">
        <f>IF(Data!#REF!="","",IF(ISNUMBER(MATCH(Data!#REF!,Data_Val!$A$2:$A$3,0)),0,1))</f>
        <v>#REF!</v>
      </c>
      <c r="AH651" s="26" t="e">
        <f ca="1">IF(Data!#REF!="","",IF(ISNUMBER(Data!#REF!),IF(AND(Data!#REF!&gt;(TODAY()-(Data_Val!$L$3*365.25)),Data!#REF!&lt;=(TODAY()-(Data_Val!$L$2*365.25))),0,1),1))</f>
        <v>#REF!</v>
      </c>
      <c r="AI651" s="12" t="e">
        <f>IF(Data!#REF!="","",IF(Data!$G651="",1,IF(ISNUMBER(MATCH(Data!#REF!,Data_Val!$D$2:$D$10,0)),0,1)))</f>
        <v>#REF!</v>
      </c>
      <c r="AJ651" s="17"/>
      <c r="AK651" s="17" t="e">
        <f>IF(Data!#REF!="","",IF(ISNUMBER(MATCH(Data!#REF!,Data_Val!$A$2:$A$3,0)),0,1))</f>
        <v>#REF!</v>
      </c>
      <c r="AL651" s="25" t="e">
        <f ca="1">IF(Data!#REF!="","",IF(ISNUMBER(Data!#REF!),IF(AND(Data!#REF!&gt;(TODAY()-(Data_Val!$L$3*365.25)),Data!#REF!&lt;=(TODAY()-(Data_Val!$L$2*365.25))),0,1),1))</f>
        <v>#REF!</v>
      </c>
      <c r="AM651" s="17" t="e">
        <f>IF(Data!#REF!="","",IF(Data!$G651="",1,IF(ISNUMBER(MATCH(Data!#REF!,Data_Val!$D$2:$D$10,0)),0,1)))</f>
        <v>#REF!</v>
      </c>
      <c r="AN651" s="13"/>
      <c r="AO651" s="28" t="e">
        <f ca="1">IF(Data!#REF!="","",IF(ISNUMBER(Data!#REF!),IF(AND(Data!#REF!&gt;(TODAY()-(Data_Val!$I$3*365.25)),Data!#REF!&lt;=(TODAY()-(Data_Val!$I$2*365.25))),0,1),1))</f>
        <v>#REF!</v>
      </c>
      <c r="AP651" s="13" t="e">
        <f>IF(Data!#REF!="","",IF(Data!$G651="",1,IF(ISNUMBER(MATCH(Data!#REF!,Data_Val!$D$2:$D$10,0)),0,1)))</f>
        <v>#REF!</v>
      </c>
      <c r="AQ651" s="17"/>
      <c r="AR651" s="30" t="e">
        <f ca="1">IF(Data!#REF!="","",IF(ISNUMBER(Data!#REF!),IF(AND(Data!#REF!&gt;(TODAY()-(Data_Val!$I$3*365.25)),Data!#REF!&lt;=(TODAY()-(Data_Val!$I$2*365.25))),0,1),1))</f>
        <v>#REF!</v>
      </c>
      <c r="AS651" s="31" t="e">
        <f>IF(Data!#REF!="","",IF(Data!$G651="",1,IF(ISNUMBER(MATCH(Data!#REF!,Data_Val!$D$2:$D$10,0)),0,1)))</f>
        <v>#REF!</v>
      </c>
      <c r="AT651" s="11"/>
      <c r="AU651" s="11" t="e">
        <f ca="1">IF(Data!#REF!="","",IF(ISNUMBER(Data!#REF!),IF(AND(Data!#REF!&gt;(TODAY()-(Data_Val!$I$3*365.25)),Data!#REF!&lt;=(TODAY()-(Data_Val!$I$2*365.25))),0,1),1))</f>
        <v>#REF!</v>
      </c>
      <c r="AV651" s="11" t="e">
        <f>IF(Data!#REF!="","",IF(Data!$G651="",1,IF(ISNUMBER(MATCH(Data!#REF!,Data_Val!$D$2:$D$10,0)),0,1)))</f>
        <v>#REF!</v>
      </c>
      <c r="AW651" s="12"/>
      <c r="AX651" s="26" t="e">
        <f ca="1">IF(Data!#REF!="","",IF(ISNUMBER(Data!#REF!),IF(AND(Data!#REF!&gt;(TODAY()-(Data_Val!$I$3*365.25)),Data!#REF!&lt;=(TODAY()-(Data_Val!$I$2*365.25))),0,1),1))</f>
        <v>#REF!</v>
      </c>
      <c r="AY651" s="12" t="e">
        <f>IF(Data!#REF!="","",IF(Data!$G651="",1,IF(ISNUMBER(MATCH(Data!#REF!,Data_Val!$D$2:$D$10,0)),0,1)))</f>
        <v>#REF!</v>
      </c>
      <c r="AZ651" s="11"/>
      <c r="BA651" s="19" t="e">
        <f ca="1">IF(Data!#REF!="","",IF(ISNUMBER(Data!#REF!),IF(AND(Data!#REF!&gt;(TODAY()-(Data_Val!$M$3*365.25)),Data!#REF!&lt;=(TODAY()-(Data_Val!$M$2*365.25))),0,1),1))</f>
        <v>#REF!</v>
      </c>
      <c r="BB651" s="11" t="e">
        <f>IF(Data!#REF!="","",IF(Data!$G651="",1,IF(ISNUMBER(MATCH(Data!#REF!,Data_Val!$D$2:$D$10,0)),0,1)))</f>
        <v>#REF!</v>
      </c>
      <c r="BC651" s="12"/>
      <c r="BD651" s="20" t="e">
        <f ca="1">IF(Data!#REF!="","",IF(ISNUMBER(Data!#REF!),IF(AND(Data!#REF!&gt;(TODAY()-(Data_Val!$M$3*365.25)),Data!#REF!&lt;=(TODAY()-(Data_Val!$M$2*365.25))),0,1),1))</f>
        <v>#REF!</v>
      </c>
      <c r="BE651" s="12" t="e">
        <f>IF(Data!#REF!="","",IF(Data!$G651="",1,IF(ISNUMBER(MATCH(Data!#REF!,Data_Val!$D$2:$D$10,0)),0,1)))</f>
        <v>#REF!</v>
      </c>
      <c r="BF651" s="17"/>
      <c r="BG651" s="18" t="e">
        <f ca="1">IF(Data!#REF!="","",IF(ISNUMBER(Data!#REF!),IF(AND(Data!#REF!&gt;(TODAY()-(Data_Val!$M$3*365.25)),Data!#REF!&lt;=(TODAY()-(Data_Val!$M$2*365.25))),0,1),1))</f>
        <v>#REF!</v>
      </c>
      <c r="BH651" s="29" t="e">
        <f>IF(Data!#REF!="","",IF(Data!$G651="",1,IF(ISNUMBER(MATCH(Data!#REF!,Data_Val!$D$2:$D$10,0)),0,1)))</f>
        <v>#REF!</v>
      </c>
      <c r="BI651" s="13"/>
      <c r="BJ651" s="21" t="e">
        <f ca="1">IF(Data!#REF!="","",IF(ISNUMBER(Data!#REF!),IF(AND(Data!#REF!&gt;(TODAY()-(Data_Val!$M$3*365.25)),Data!#REF!&lt;=(TODAY()-(Data_Val!$M$2*365.25))),0,1),1))</f>
        <v>#REF!</v>
      </c>
      <c r="BK651" s="13" t="e">
        <f>IF(Data!#REF!="","",IF(Data!$G651="",1,IF(ISNUMBER(MATCH(Data!#REF!,Data_Val!$D$2:$D$10,0)),0,1)))</f>
        <v>#REF!</v>
      </c>
    </row>
    <row r="652" spans="1:63" x14ac:dyDescent="0.25">
      <c r="A652" s="9" t="str">
        <f>IF(Data!B652="","",IF(COUNTIFS(Data!A$1:'Data'!A652,Data!A652)&lt;=1,0,1))</f>
        <v/>
      </c>
      <c r="B652" s="9"/>
      <c r="C652" s="23" t="str">
        <f>IF(Data!C652="","",(IF(ISNUMBER(MATCH("*@*.?*",Data!C652,0)),0,1)+IF(COUNTIFS(Data!C$1:'Data'!C652,Data!C652)&gt;1,1,0)))</f>
        <v/>
      </c>
      <c r="D652" s="9" t="str">
        <f>IF(Data!B652="","",IF(ISNUMBER(Data!D652),IF(AND(Data!D652&gt;999999999,Data!D652&lt;=9999999999),IF(COUNTIFS(Data!D$1:'Data'!D652,Data!D652)&lt;=1,0,1),1),1))</f>
        <v/>
      </c>
      <c r="E652" s="9" t="str">
        <f>IF(Data!B652="","",IF(ISNUMBER(MATCH(Data!E652,Data_Val!$A$2:$A$3,0)),0,1))</f>
        <v/>
      </c>
      <c r="F652" s="9" t="str">
        <f ca="1">IF(Data!B652="","",IF(ISNUMBER(Data!F652),IF(AND(Data!F652&gt;(TODAY()-(Data_Val!$H$3*365.25)),Data!F652&lt;=(TODAY()-(Data_Val!$H$2*365.25))),0,1),1))</f>
        <v/>
      </c>
      <c r="G652" s="15" t="str">
        <f>IF(Data!B652="","",IF(AND(Data!G652="",Data!H652&lt;&gt;""),1,IF(Data!#REF!&lt;&gt;"",0,IF(ISNUMBER(MATCH(Data!G652,Data_Val!$C$2:$C$5,0)),0,1))))</f>
        <v/>
      </c>
      <c r="H652" s="15" t="str">
        <f>IF(Data!B652="","",IF(AND(Data!G652&lt;&gt;"",Data!H652=""),1,IF(Data!#REF!&lt;&gt;"",0,IF(Data!G652="",1,IF(ISNUMBER(MATCH(Data!H652,Data_Val!$D$2:$D$35,0)),0,1)))))</f>
        <v/>
      </c>
      <c r="I652" s="15" t="str">
        <f>IF(Data!B652="","",IF(Data!G652&lt;&gt;"",0,IF(ISNUMBER(MATCH(Data!#REF!,Data_Val!$E$2:$E$12,0)),0,1)))</f>
        <v/>
      </c>
      <c r="J652" s="16" t="e">
        <f>IF(OR(Data!B652="",Data!#REF!=""),"",IF(Data!#REF!="",1,0))</f>
        <v>#REF!</v>
      </c>
      <c r="K652" s="16" t="e">
        <f>IF(OR(Data!B652="",Data!#REF!=""),"",IF(Data!#REF!="",1,0))</f>
        <v>#REF!</v>
      </c>
      <c r="L652" s="16" t="e">
        <f>IF(OR(Data!B652="",Data!#REF!=""),"",IF(ISNUMBER(Data!#REF!),IF(AND(Data!#REF!&gt;Data_Val!$G$2,Data!#REF!&lt;=Data_Val!$G$3),0,1),1))</f>
        <v>#REF!</v>
      </c>
      <c r="M652" s="9" t="e">
        <f>IF(OR(Data!B652="",Data!#REF!=""),"",IF(ISNUMBER(MATCH(Data!#REF!,Data_Val!$F$1:$F$38,0)),0,1))</f>
        <v>#REF!</v>
      </c>
      <c r="N652" s="9" t="e">
        <f>IF(OR(Data!B652="",Data!#REF!=""),"",IF(Data!#REF!="",1,0))</f>
        <v>#REF!</v>
      </c>
      <c r="O652" s="17" t="e">
        <f>IF(Data!#REF!="","",IF(Data!#REF!="",1,0))</f>
        <v>#REF!</v>
      </c>
      <c r="P652" s="17" t="e">
        <f>IF(Data!#REF!="","",IF(ISNUMBER(MATCH(Data!#REF!,Data_Val!$A$2:$A$3,0)),0,1))</f>
        <v>#REF!</v>
      </c>
      <c r="Q652" s="25" t="e">
        <f ca="1">IF(Data!#REF!="","",IF(ISNUMBER(Data!#REF!),IF(AND(Data!#REF!&gt;(TODAY()-(Data_Val!$J$3*365.25)),Data!#REF!&lt;=(TODAY()-(Data_Val!$J$2*365.25))),0,1),1))</f>
        <v>#REF!</v>
      </c>
      <c r="R652" s="17" t="e">
        <f>IF(Data!#REF!="","",IF(ISNUMBER(MATCH(Data!#REF!,Data_Val!$B$2:$B$15,0)),0,1))</f>
        <v>#REF!</v>
      </c>
      <c r="S652" s="11" t="str">
        <f>IF(Data!G652="","",IF(Data!G652=Data_Val!$C$2,IF(Data!M652="",0,1),0))</f>
        <v/>
      </c>
      <c r="T652" s="11" t="str">
        <f>IF(Data!M652="","",IF(ISNUMBER(MATCH(Data!N652,Data_Val!$A$2:$A$3,0)),0,1))</f>
        <v/>
      </c>
      <c r="U652" s="11" t="str">
        <f ca="1">IF(Data!M652="","",IF(ISNUMBER(Data!O652),IF(AND(Data!O652&gt;(TODAY()-(Data_Val!$K$3*365.25)),Data!O652&lt;=(TODAY()-(Data_Val!$K$2*365.25))),0,1),1))</f>
        <v/>
      </c>
      <c r="V652" s="12" t="str">
        <f>IF(Data!G652="","",IF(Data!G652=Data_Val!$C$2,IF(Data!P652="",0,1),0))</f>
        <v/>
      </c>
      <c r="W652" s="12" t="str">
        <f>IF(Data!P652="","",IF(ISNUMBER(MATCH(Data!Q652,Data_Val!$A$2:$A$3,0)),0,1))</f>
        <v/>
      </c>
      <c r="X652" s="26" t="str">
        <f ca="1">IF(Data!P652="","",IF(ISNUMBER(Data!R652),IF(AND(Data!R652&gt;(TODAY()-(Data_Val!$L$3*365.25)),Data!R652&lt;=(TODAY()-(Data_Val!$L$2*365.25))),0,1),1))</f>
        <v/>
      </c>
      <c r="Y652" s="13" t="str">
        <f>IF(Data!$G652="","",IF(Data!$G652=Data_Val!$C$2,IF(Data!S652="",0,1),0))</f>
        <v/>
      </c>
      <c r="Z652" s="13" t="str">
        <f>IF(Data!S652="","",IF(ISNUMBER(MATCH(Data!T652,Data_Val!$A$2:$A$3,0)),0,1))</f>
        <v/>
      </c>
      <c r="AA652" s="28" t="str">
        <f ca="1">IF(Data!S652="","",IF(ISNUMBER(Data!U652),IF(AND(Data!U652&gt;(TODAY()-(Data_Val!$L$3*365.25)),Data!U652&lt;=(TODAY()-(Data_Val!$L$2*365.25))),0,1),1))</f>
        <v/>
      </c>
      <c r="AB652" s="11"/>
      <c r="AC652" s="11" t="e">
        <f>IF(Data!#REF!="","",IF(ISNUMBER(MATCH(Data!#REF!,Data_Val!$A$2:$A$3,0)),0,1))</f>
        <v>#REF!</v>
      </c>
      <c r="AD652" s="11" t="e">
        <f ca="1">IF(Data!#REF!="","",IF(ISNUMBER(Data!#REF!),IF(AND(Data!#REF!&gt;(TODAY()-(Data_Val!$L$3*365.25)),Data!#REF!&lt;=(TODAY()-(Data_Val!$L$2*365.25))),0,1),1))</f>
        <v>#REF!</v>
      </c>
      <c r="AE652" s="11" t="e">
        <f>IF(Data!#REF!="","",IF(Data!$G652="",1,IF(ISNUMBER(MATCH(Data!#REF!,Data_Val!$D$2:$D$10,0)),0,1)))</f>
        <v>#REF!</v>
      </c>
      <c r="AF652" s="12"/>
      <c r="AG652" s="12" t="e">
        <f>IF(Data!#REF!="","",IF(ISNUMBER(MATCH(Data!#REF!,Data_Val!$A$2:$A$3,0)),0,1))</f>
        <v>#REF!</v>
      </c>
      <c r="AH652" s="26" t="e">
        <f ca="1">IF(Data!#REF!="","",IF(ISNUMBER(Data!#REF!),IF(AND(Data!#REF!&gt;(TODAY()-(Data_Val!$L$3*365.25)),Data!#REF!&lt;=(TODAY()-(Data_Val!$L$2*365.25))),0,1),1))</f>
        <v>#REF!</v>
      </c>
      <c r="AI652" s="12" t="e">
        <f>IF(Data!#REF!="","",IF(Data!$G652="",1,IF(ISNUMBER(MATCH(Data!#REF!,Data_Val!$D$2:$D$10,0)),0,1)))</f>
        <v>#REF!</v>
      </c>
      <c r="AJ652" s="17"/>
      <c r="AK652" s="17" t="e">
        <f>IF(Data!#REF!="","",IF(ISNUMBER(MATCH(Data!#REF!,Data_Val!$A$2:$A$3,0)),0,1))</f>
        <v>#REF!</v>
      </c>
      <c r="AL652" s="25" t="e">
        <f ca="1">IF(Data!#REF!="","",IF(ISNUMBER(Data!#REF!),IF(AND(Data!#REF!&gt;(TODAY()-(Data_Val!$L$3*365.25)),Data!#REF!&lt;=(TODAY()-(Data_Val!$L$2*365.25))),0,1),1))</f>
        <v>#REF!</v>
      </c>
      <c r="AM652" s="17" t="e">
        <f>IF(Data!#REF!="","",IF(Data!$G652="",1,IF(ISNUMBER(MATCH(Data!#REF!,Data_Val!$D$2:$D$10,0)),0,1)))</f>
        <v>#REF!</v>
      </c>
      <c r="AN652" s="13"/>
      <c r="AO652" s="28" t="e">
        <f ca="1">IF(Data!#REF!="","",IF(ISNUMBER(Data!#REF!),IF(AND(Data!#REF!&gt;(TODAY()-(Data_Val!$I$3*365.25)),Data!#REF!&lt;=(TODAY()-(Data_Val!$I$2*365.25))),0,1),1))</f>
        <v>#REF!</v>
      </c>
      <c r="AP652" s="13" t="e">
        <f>IF(Data!#REF!="","",IF(Data!$G652="",1,IF(ISNUMBER(MATCH(Data!#REF!,Data_Val!$D$2:$D$10,0)),0,1)))</f>
        <v>#REF!</v>
      </c>
      <c r="AQ652" s="17"/>
      <c r="AR652" s="30" t="e">
        <f ca="1">IF(Data!#REF!="","",IF(ISNUMBER(Data!#REF!),IF(AND(Data!#REF!&gt;(TODAY()-(Data_Val!$I$3*365.25)),Data!#REF!&lt;=(TODAY()-(Data_Val!$I$2*365.25))),0,1),1))</f>
        <v>#REF!</v>
      </c>
      <c r="AS652" s="31" t="e">
        <f>IF(Data!#REF!="","",IF(Data!$G652="",1,IF(ISNUMBER(MATCH(Data!#REF!,Data_Val!$D$2:$D$10,0)),0,1)))</f>
        <v>#REF!</v>
      </c>
      <c r="AT652" s="11"/>
      <c r="AU652" s="11" t="e">
        <f ca="1">IF(Data!#REF!="","",IF(ISNUMBER(Data!#REF!),IF(AND(Data!#REF!&gt;(TODAY()-(Data_Val!$I$3*365.25)),Data!#REF!&lt;=(TODAY()-(Data_Val!$I$2*365.25))),0,1),1))</f>
        <v>#REF!</v>
      </c>
      <c r="AV652" s="11" t="e">
        <f>IF(Data!#REF!="","",IF(Data!$G652="",1,IF(ISNUMBER(MATCH(Data!#REF!,Data_Val!$D$2:$D$10,0)),0,1)))</f>
        <v>#REF!</v>
      </c>
      <c r="AW652" s="12"/>
      <c r="AX652" s="26" t="e">
        <f ca="1">IF(Data!#REF!="","",IF(ISNUMBER(Data!#REF!),IF(AND(Data!#REF!&gt;(TODAY()-(Data_Val!$I$3*365.25)),Data!#REF!&lt;=(TODAY()-(Data_Val!$I$2*365.25))),0,1),1))</f>
        <v>#REF!</v>
      </c>
      <c r="AY652" s="12" t="e">
        <f>IF(Data!#REF!="","",IF(Data!$G652="",1,IF(ISNUMBER(MATCH(Data!#REF!,Data_Val!$D$2:$D$10,0)),0,1)))</f>
        <v>#REF!</v>
      </c>
      <c r="AZ652" s="11"/>
      <c r="BA652" s="19" t="e">
        <f ca="1">IF(Data!#REF!="","",IF(ISNUMBER(Data!#REF!),IF(AND(Data!#REF!&gt;(TODAY()-(Data_Val!$M$3*365.25)),Data!#REF!&lt;=(TODAY()-(Data_Val!$M$2*365.25))),0,1),1))</f>
        <v>#REF!</v>
      </c>
      <c r="BB652" s="11" t="e">
        <f>IF(Data!#REF!="","",IF(Data!$G652="",1,IF(ISNUMBER(MATCH(Data!#REF!,Data_Val!$D$2:$D$10,0)),0,1)))</f>
        <v>#REF!</v>
      </c>
      <c r="BC652" s="12"/>
      <c r="BD652" s="20" t="e">
        <f ca="1">IF(Data!#REF!="","",IF(ISNUMBER(Data!#REF!),IF(AND(Data!#REF!&gt;(TODAY()-(Data_Val!$M$3*365.25)),Data!#REF!&lt;=(TODAY()-(Data_Val!$M$2*365.25))),0,1),1))</f>
        <v>#REF!</v>
      </c>
      <c r="BE652" s="12" t="e">
        <f>IF(Data!#REF!="","",IF(Data!$G652="",1,IF(ISNUMBER(MATCH(Data!#REF!,Data_Val!$D$2:$D$10,0)),0,1)))</f>
        <v>#REF!</v>
      </c>
      <c r="BF652" s="17"/>
      <c r="BG652" s="18" t="e">
        <f ca="1">IF(Data!#REF!="","",IF(ISNUMBER(Data!#REF!),IF(AND(Data!#REF!&gt;(TODAY()-(Data_Val!$M$3*365.25)),Data!#REF!&lt;=(TODAY()-(Data_Val!$M$2*365.25))),0,1),1))</f>
        <v>#REF!</v>
      </c>
      <c r="BH652" s="29" t="e">
        <f>IF(Data!#REF!="","",IF(Data!$G652="",1,IF(ISNUMBER(MATCH(Data!#REF!,Data_Val!$D$2:$D$10,0)),0,1)))</f>
        <v>#REF!</v>
      </c>
      <c r="BI652" s="13"/>
      <c r="BJ652" s="21" t="e">
        <f ca="1">IF(Data!#REF!="","",IF(ISNUMBER(Data!#REF!),IF(AND(Data!#REF!&gt;(TODAY()-(Data_Val!$M$3*365.25)),Data!#REF!&lt;=(TODAY()-(Data_Val!$M$2*365.25))),0,1),1))</f>
        <v>#REF!</v>
      </c>
      <c r="BK652" s="13" t="e">
        <f>IF(Data!#REF!="","",IF(Data!$G652="",1,IF(ISNUMBER(MATCH(Data!#REF!,Data_Val!$D$2:$D$10,0)),0,1)))</f>
        <v>#REF!</v>
      </c>
    </row>
    <row r="653" spans="1:63" x14ac:dyDescent="0.25">
      <c r="A653" s="9" t="str">
        <f>IF(Data!B653="","",IF(COUNTIFS(Data!A$1:'Data'!A653,Data!A653)&lt;=1,0,1))</f>
        <v/>
      </c>
      <c r="B653" s="9"/>
      <c r="C653" s="23" t="str">
        <f>IF(Data!C653="","",(IF(ISNUMBER(MATCH("*@*.?*",Data!C653,0)),0,1)+IF(COUNTIFS(Data!C$1:'Data'!C653,Data!C653)&gt;1,1,0)))</f>
        <v/>
      </c>
      <c r="D653" s="9" t="str">
        <f>IF(Data!B653="","",IF(ISNUMBER(Data!D653),IF(AND(Data!D653&gt;999999999,Data!D653&lt;=9999999999),IF(COUNTIFS(Data!D$1:'Data'!D653,Data!D653)&lt;=1,0,1),1),1))</f>
        <v/>
      </c>
      <c r="E653" s="9" t="str">
        <f>IF(Data!B653="","",IF(ISNUMBER(MATCH(Data!E653,Data_Val!$A$2:$A$3,0)),0,1))</f>
        <v/>
      </c>
      <c r="F653" s="9" t="str">
        <f ca="1">IF(Data!B653="","",IF(ISNUMBER(Data!F653),IF(AND(Data!F653&gt;(TODAY()-(Data_Val!$H$3*365.25)),Data!F653&lt;=(TODAY()-(Data_Val!$H$2*365.25))),0,1),1))</f>
        <v/>
      </c>
      <c r="G653" s="15" t="str">
        <f>IF(Data!B653="","",IF(AND(Data!G653="",Data!H653&lt;&gt;""),1,IF(Data!#REF!&lt;&gt;"",0,IF(ISNUMBER(MATCH(Data!G653,Data_Val!$C$2:$C$5,0)),0,1))))</f>
        <v/>
      </c>
      <c r="H653" s="15" t="str">
        <f>IF(Data!B653="","",IF(AND(Data!G653&lt;&gt;"",Data!H653=""),1,IF(Data!#REF!&lt;&gt;"",0,IF(Data!G653="",1,IF(ISNUMBER(MATCH(Data!H653,Data_Val!$D$2:$D$35,0)),0,1)))))</f>
        <v/>
      </c>
      <c r="I653" s="15" t="str">
        <f>IF(Data!B653="","",IF(Data!G653&lt;&gt;"",0,IF(ISNUMBER(MATCH(Data!#REF!,Data_Val!$E$2:$E$12,0)),0,1)))</f>
        <v/>
      </c>
      <c r="J653" s="16" t="e">
        <f>IF(OR(Data!B653="",Data!#REF!=""),"",IF(Data!#REF!="",1,0))</f>
        <v>#REF!</v>
      </c>
      <c r="K653" s="16" t="e">
        <f>IF(OR(Data!B653="",Data!#REF!=""),"",IF(Data!#REF!="",1,0))</f>
        <v>#REF!</v>
      </c>
      <c r="L653" s="16" t="e">
        <f>IF(OR(Data!B653="",Data!#REF!=""),"",IF(ISNUMBER(Data!#REF!),IF(AND(Data!#REF!&gt;Data_Val!$G$2,Data!#REF!&lt;=Data_Val!$G$3),0,1),1))</f>
        <v>#REF!</v>
      </c>
      <c r="M653" s="9" t="e">
        <f>IF(OR(Data!B653="",Data!#REF!=""),"",IF(ISNUMBER(MATCH(Data!#REF!,Data_Val!$F$1:$F$38,0)),0,1))</f>
        <v>#REF!</v>
      </c>
      <c r="N653" s="9" t="e">
        <f>IF(OR(Data!B653="",Data!#REF!=""),"",IF(Data!#REF!="",1,0))</f>
        <v>#REF!</v>
      </c>
      <c r="O653" s="17" t="e">
        <f>IF(Data!#REF!="","",IF(Data!#REF!="",1,0))</f>
        <v>#REF!</v>
      </c>
      <c r="P653" s="17" t="e">
        <f>IF(Data!#REF!="","",IF(ISNUMBER(MATCH(Data!#REF!,Data_Val!$A$2:$A$3,0)),0,1))</f>
        <v>#REF!</v>
      </c>
      <c r="Q653" s="25" t="e">
        <f ca="1">IF(Data!#REF!="","",IF(ISNUMBER(Data!#REF!),IF(AND(Data!#REF!&gt;(TODAY()-(Data_Val!$J$3*365.25)),Data!#REF!&lt;=(TODAY()-(Data_Val!$J$2*365.25))),0,1),1))</f>
        <v>#REF!</v>
      </c>
      <c r="R653" s="17" t="e">
        <f>IF(Data!#REF!="","",IF(ISNUMBER(MATCH(Data!#REF!,Data_Val!$B$2:$B$15,0)),0,1))</f>
        <v>#REF!</v>
      </c>
      <c r="S653" s="11" t="str">
        <f>IF(Data!G653="","",IF(Data!G653=Data_Val!$C$2,IF(Data!M653="",0,1),0))</f>
        <v/>
      </c>
      <c r="T653" s="11" t="str">
        <f>IF(Data!M653="","",IF(ISNUMBER(MATCH(Data!N653,Data_Val!$A$2:$A$3,0)),0,1))</f>
        <v/>
      </c>
      <c r="U653" s="11" t="str">
        <f ca="1">IF(Data!M653="","",IF(ISNUMBER(Data!O653),IF(AND(Data!O653&gt;(TODAY()-(Data_Val!$K$3*365.25)),Data!O653&lt;=(TODAY()-(Data_Val!$K$2*365.25))),0,1),1))</f>
        <v/>
      </c>
      <c r="V653" s="12" t="str">
        <f>IF(Data!G653="","",IF(Data!G653=Data_Val!$C$2,IF(Data!P653="",0,1),0))</f>
        <v/>
      </c>
      <c r="W653" s="12" t="str">
        <f>IF(Data!P653="","",IF(ISNUMBER(MATCH(Data!Q653,Data_Val!$A$2:$A$3,0)),0,1))</f>
        <v/>
      </c>
      <c r="X653" s="26" t="str">
        <f ca="1">IF(Data!P653="","",IF(ISNUMBER(Data!R653),IF(AND(Data!R653&gt;(TODAY()-(Data_Val!$L$3*365.25)),Data!R653&lt;=(TODAY()-(Data_Val!$L$2*365.25))),0,1),1))</f>
        <v/>
      </c>
      <c r="Y653" s="13" t="str">
        <f>IF(Data!$G653="","",IF(Data!$G653=Data_Val!$C$2,IF(Data!S653="",0,1),0))</f>
        <v/>
      </c>
      <c r="Z653" s="13" t="str">
        <f>IF(Data!S653="","",IF(ISNUMBER(MATCH(Data!T653,Data_Val!$A$2:$A$3,0)),0,1))</f>
        <v/>
      </c>
      <c r="AA653" s="28" t="str">
        <f ca="1">IF(Data!S653="","",IF(ISNUMBER(Data!U653),IF(AND(Data!U653&gt;(TODAY()-(Data_Val!$L$3*365.25)),Data!U653&lt;=(TODAY()-(Data_Val!$L$2*365.25))),0,1),1))</f>
        <v/>
      </c>
      <c r="AB653" s="11"/>
      <c r="AC653" s="11" t="e">
        <f>IF(Data!#REF!="","",IF(ISNUMBER(MATCH(Data!#REF!,Data_Val!$A$2:$A$3,0)),0,1))</f>
        <v>#REF!</v>
      </c>
      <c r="AD653" s="11" t="e">
        <f ca="1">IF(Data!#REF!="","",IF(ISNUMBER(Data!#REF!),IF(AND(Data!#REF!&gt;(TODAY()-(Data_Val!$L$3*365.25)),Data!#REF!&lt;=(TODAY()-(Data_Val!$L$2*365.25))),0,1),1))</f>
        <v>#REF!</v>
      </c>
      <c r="AE653" s="11" t="e">
        <f>IF(Data!#REF!="","",IF(Data!$G653="",1,IF(ISNUMBER(MATCH(Data!#REF!,Data_Val!$D$2:$D$10,0)),0,1)))</f>
        <v>#REF!</v>
      </c>
      <c r="AF653" s="12"/>
      <c r="AG653" s="12" t="e">
        <f>IF(Data!#REF!="","",IF(ISNUMBER(MATCH(Data!#REF!,Data_Val!$A$2:$A$3,0)),0,1))</f>
        <v>#REF!</v>
      </c>
      <c r="AH653" s="26" t="e">
        <f ca="1">IF(Data!#REF!="","",IF(ISNUMBER(Data!#REF!),IF(AND(Data!#REF!&gt;(TODAY()-(Data_Val!$L$3*365.25)),Data!#REF!&lt;=(TODAY()-(Data_Val!$L$2*365.25))),0,1),1))</f>
        <v>#REF!</v>
      </c>
      <c r="AI653" s="12" t="e">
        <f>IF(Data!#REF!="","",IF(Data!$G653="",1,IF(ISNUMBER(MATCH(Data!#REF!,Data_Val!$D$2:$D$10,0)),0,1)))</f>
        <v>#REF!</v>
      </c>
      <c r="AJ653" s="17"/>
      <c r="AK653" s="17" t="e">
        <f>IF(Data!#REF!="","",IF(ISNUMBER(MATCH(Data!#REF!,Data_Val!$A$2:$A$3,0)),0,1))</f>
        <v>#REF!</v>
      </c>
      <c r="AL653" s="25" t="e">
        <f ca="1">IF(Data!#REF!="","",IF(ISNUMBER(Data!#REF!),IF(AND(Data!#REF!&gt;(TODAY()-(Data_Val!$L$3*365.25)),Data!#REF!&lt;=(TODAY()-(Data_Val!$L$2*365.25))),0,1),1))</f>
        <v>#REF!</v>
      </c>
      <c r="AM653" s="17" t="e">
        <f>IF(Data!#REF!="","",IF(Data!$G653="",1,IF(ISNUMBER(MATCH(Data!#REF!,Data_Val!$D$2:$D$10,0)),0,1)))</f>
        <v>#REF!</v>
      </c>
      <c r="AN653" s="13"/>
      <c r="AO653" s="28" t="e">
        <f ca="1">IF(Data!#REF!="","",IF(ISNUMBER(Data!#REF!),IF(AND(Data!#REF!&gt;(TODAY()-(Data_Val!$I$3*365.25)),Data!#REF!&lt;=(TODAY()-(Data_Val!$I$2*365.25))),0,1),1))</f>
        <v>#REF!</v>
      </c>
      <c r="AP653" s="13" t="e">
        <f>IF(Data!#REF!="","",IF(Data!$G653="",1,IF(ISNUMBER(MATCH(Data!#REF!,Data_Val!$D$2:$D$10,0)),0,1)))</f>
        <v>#REF!</v>
      </c>
      <c r="AQ653" s="17"/>
      <c r="AR653" s="30" t="e">
        <f ca="1">IF(Data!#REF!="","",IF(ISNUMBER(Data!#REF!),IF(AND(Data!#REF!&gt;(TODAY()-(Data_Val!$I$3*365.25)),Data!#REF!&lt;=(TODAY()-(Data_Val!$I$2*365.25))),0,1),1))</f>
        <v>#REF!</v>
      </c>
      <c r="AS653" s="31" t="e">
        <f>IF(Data!#REF!="","",IF(Data!$G653="",1,IF(ISNUMBER(MATCH(Data!#REF!,Data_Val!$D$2:$D$10,0)),0,1)))</f>
        <v>#REF!</v>
      </c>
      <c r="AT653" s="11"/>
      <c r="AU653" s="11" t="e">
        <f ca="1">IF(Data!#REF!="","",IF(ISNUMBER(Data!#REF!),IF(AND(Data!#REF!&gt;(TODAY()-(Data_Val!$I$3*365.25)),Data!#REF!&lt;=(TODAY()-(Data_Val!$I$2*365.25))),0,1),1))</f>
        <v>#REF!</v>
      </c>
      <c r="AV653" s="11" t="e">
        <f>IF(Data!#REF!="","",IF(Data!$G653="",1,IF(ISNUMBER(MATCH(Data!#REF!,Data_Val!$D$2:$D$10,0)),0,1)))</f>
        <v>#REF!</v>
      </c>
      <c r="AW653" s="12"/>
      <c r="AX653" s="26" t="e">
        <f ca="1">IF(Data!#REF!="","",IF(ISNUMBER(Data!#REF!),IF(AND(Data!#REF!&gt;(TODAY()-(Data_Val!$I$3*365.25)),Data!#REF!&lt;=(TODAY()-(Data_Val!$I$2*365.25))),0,1),1))</f>
        <v>#REF!</v>
      </c>
      <c r="AY653" s="12" t="e">
        <f>IF(Data!#REF!="","",IF(Data!$G653="",1,IF(ISNUMBER(MATCH(Data!#REF!,Data_Val!$D$2:$D$10,0)),0,1)))</f>
        <v>#REF!</v>
      </c>
      <c r="AZ653" s="11"/>
      <c r="BA653" s="19" t="e">
        <f ca="1">IF(Data!#REF!="","",IF(ISNUMBER(Data!#REF!),IF(AND(Data!#REF!&gt;(TODAY()-(Data_Val!$M$3*365.25)),Data!#REF!&lt;=(TODAY()-(Data_Val!$M$2*365.25))),0,1),1))</f>
        <v>#REF!</v>
      </c>
      <c r="BB653" s="11" t="e">
        <f>IF(Data!#REF!="","",IF(Data!$G653="",1,IF(ISNUMBER(MATCH(Data!#REF!,Data_Val!$D$2:$D$10,0)),0,1)))</f>
        <v>#REF!</v>
      </c>
      <c r="BC653" s="12"/>
      <c r="BD653" s="20" t="e">
        <f ca="1">IF(Data!#REF!="","",IF(ISNUMBER(Data!#REF!),IF(AND(Data!#REF!&gt;(TODAY()-(Data_Val!$M$3*365.25)),Data!#REF!&lt;=(TODAY()-(Data_Val!$M$2*365.25))),0,1),1))</f>
        <v>#REF!</v>
      </c>
      <c r="BE653" s="12" t="e">
        <f>IF(Data!#REF!="","",IF(Data!$G653="",1,IF(ISNUMBER(MATCH(Data!#REF!,Data_Val!$D$2:$D$10,0)),0,1)))</f>
        <v>#REF!</v>
      </c>
      <c r="BF653" s="17"/>
      <c r="BG653" s="18" t="e">
        <f ca="1">IF(Data!#REF!="","",IF(ISNUMBER(Data!#REF!),IF(AND(Data!#REF!&gt;(TODAY()-(Data_Val!$M$3*365.25)),Data!#REF!&lt;=(TODAY()-(Data_Val!$M$2*365.25))),0,1),1))</f>
        <v>#REF!</v>
      </c>
      <c r="BH653" s="29" t="e">
        <f>IF(Data!#REF!="","",IF(Data!$G653="",1,IF(ISNUMBER(MATCH(Data!#REF!,Data_Val!$D$2:$D$10,0)),0,1)))</f>
        <v>#REF!</v>
      </c>
      <c r="BI653" s="13"/>
      <c r="BJ653" s="21" t="e">
        <f ca="1">IF(Data!#REF!="","",IF(ISNUMBER(Data!#REF!),IF(AND(Data!#REF!&gt;(TODAY()-(Data_Val!$M$3*365.25)),Data!#REF!&lt;=(TODAY()-(Data_Val!$M$2*365.25))),0,1),1))</f>
        <v>#REF!</v>
      </c>
      <c r="BK653" s="13" t="e">
        <f>IF(Data!#REF!="","",IF(Data!$G653="",1,IF(ISNUMBER(MATCH(Data!#REF!,Data_Val!$D$2:$D$10,0)),0,1)))</f>
        <v>#REF!</v>
      </c>
    </row>
    <row r="654" spans="1:63" x14ac:dyDescent="0.25">
      <c r="A654" s="9" t="str">
        <f>IF(Data!B654="","",IF(COUNTIFS(Data!A$1:'Data'!A654,Data!A654)&lt;=1,0,1))</f>
        <v/>
      </c>
      <c r="B654" s="9"/>
      <c r="C654" s="23" t="str">
        <f>IF(Data!C654="","",(IF(ISNUMBER(MATCH("*@*.?*",Data!C654,0)),0,1)+IF(COUNTIFS(Data!C$1:'Data'!C654,Data!C654)&gt;1,1,0)))</f>
        <v/>
      </c>
      <c r="D654" s="9" t="str">
        <f>IF(Data!B654="","",IF(ISNUMBER(Data!D654),IF(AND(Data!D654&gt;999999999,Data!D654&lt;=9999999999),IF(COUNTIFS(Data!D$1:'Data'!D654,Data!D654)&lt;=1,0,1),1),1))</f>
        <v/>
      </c>
      <c r="E654" s="9" t="str">
        <f>IF(Data!B654="","",IF(ISNUMBER(MATCH(Data!E654,Data_Val!$A$2:$A$3,0)),0,1))</f>
        <v/>
      </c>
      <c r="F654" s="9" t="str">
        <f ca="1">IF(Data!B654="","",IF(ISNUMBER(Data!F654),IF(AND(Data!F654&gt;(TODAY()-(Data_Val!$H$3*365.25)),Data!F654&lt;=(TODAY()-(Data_Val!$H$2*365.25))),0,1),1))</f>
        <v/>
      </c>
      <c r="G654" s="15" t="str">
        <f>IF(Data!B654="","",IF(AND(Data!G654="",Data!H654&lt;&gt;""),1,IF(Data!#REF!&lt;&gt;"",0,IF(ISNUMBER(MATCH(Data!G654,Data_Val!$C$2:$C$5,0)),0,1))))</f>
        <v/>
      </c>
      <c r="H654" s="15" t="str">
        <f>IF(Data!B654="","",IF(AND(Data!G654&lt;&gt;"",Data!H654=""),1,IF(Data!#REF!&lt;&gt;"",0,IF(Data!G654="",1,IF(ISNUMBER(MATCH(Data!H654,Data_Val!$D$2:$D$35,0)),0,1)))))</f>
        <v/>
      </c>
      <c r="I654" s="15" t="str">
        <f>IF(Data!B654="","",IF(Data!G654&lt;&gt;"",0,IF(ISNUMBER(MATCH(Data!#REF!,Data_Val!$E$2:$E$12,0)),0,1)))</f>
        <v/>
      </c>
      <c r="J654" s="16" t="e">
        <f>IF(OR(Data!B654="",Data!#REF!=""),"",IF(Data!#REF!="",1,0))</f>
        <v>#REF!</v>
      </c>
      <c r="K654" s="16" t="e">
        <f>IF(OR(Data!B654="",Data!#REF!=""),"",IF(Data!#REF!="",1,0))</f>
        <v>#REF!</v>
      </c>
      <c r="L654" s="16" t="e">
        <f>IF(OR(Data!B654="",Data!#REF!=""),"",IF(ISNUMBER(Data!#REF!),IF(AND(Data!#REF!&gt;Data_Val!$G$2,Data!#REF!&lt;=Data_Val!$G$3),0,1),1))</f>
        <v>#REF!</v>
      </c>
      <c r="M654" s="9" t="e">
        <f>IF(OR(Data!B654="",Data!#REF!=""),"",IF(ISNUMBER(MATCH(Data!#REF!,Data_Val!$F$1:$F$38,0)),0,1))</f>
        <v>#REF!</v>
      </c>
      <c r="N654" s="9" t="e">
        <f>IF(OR(Data!B654="",Data!#REF!=""),"",IF(Data!#REF!="",1,0))</f>
        <v>#REF!</v>
      </c>
      <c r="O654" s="17" t="e">
        <f>IF(Data!#REF!="","",IF(Data!#REF!="",1,0))</f>
        <v>#REF!</v>
      </c>
      <c r="P654" s="17" t="e">
        <f>IF(Data!#REF!="","",IF(ISNUMBER(MATCH(Data!#REF!,Data_Val!$A$2:$A$3,0)),0,1))</f>
        <v>#REF!</v>
      </c>
      <c r="Q654" s="25" t="e">
        <f ca="1">IF(Data!#REF!="","",IF(ISNUMBER(Data!#REF!),IF(AND(Data!#REF!&gt;(TODAY()-(Data_Val!$J$3*365.25)),Data!#REF!&lt;=(TODAY()-(Data_Val!$J$2*365.25))),0,1),1))</f>
        <v>#REF!</v>
      </c>
      <c r="R654" s="17" t="e">
        <f>IF(Data!#REF!="","",IF(ISNUMBER(MATCH(Data!#REF!,Data_Val!$B$2:$B$15,0)),0,1))</f>
        <v>#REF!</v>
      </c>
      <c r="S654" s="11" t="str">
        <f>IF(Data!G654="","",IF(Data!G654=Data_Val!$C$2,IF(Data!M654="",0,1),0))</f>
        <v/>
      </c>
      <c r="T654" s="11" t="str">
        <f>IF(Data!M654="","",IF(ISNUMBER(MATCH(Data!N654,Data_Val!$A$2:$A$3,0)),0,1))</f>
        <v/>
      </c>
      <c r="U654" s="11" t="str">
        <f ca="1">IF(Data!M654="","",IF(ISNUMBER(Data!O654),IF(AND(Data!O654&gt;(TODAY()-(Data_Val!$K$3*365.25)),Data!O654&lt;=(TODAY()-(Data_Val!$K$2*365.25))),0,1),1))</f>
        <v/>
      </c>
      <c r="V654" s="12" t="str">
        <f>IF(Data!G654="","",IF(Data!G654=Data_Val!$C$2,IF(Data!P654="",0,1),0))</f>
        <v/>
      </c>
      <c r="W654" s="12" t="str">
        <f>IF(Data!P654="","",IF(ISNUMBER(MATCH(Data!Q654,Data_Val!$A$2:$A$3,0)),0,1))</f>
        <v/>
      </c>
      <c r="X654" s="26" t="str">
        <f ca="1">IF(Data!P654="","",IF(ISNUMBER(Data!R654),IF(AND(Data!R654&gt;(TODAY()-(Data_Val!$L$3*365.25)),Data!R654&lt;=(TODAY()-(Data_Val!$L$2*365.25))),0,1),1))</f>
        <v/>
      </c>
      <c r="Y654" s="13" t="str">
        <f>IF(Data!$G654="","",IF(Data!$G654=Data_Val!$C$2,IF(Data!S654="",0,1),0))</f>
        <v/>
      </c>
      <c r="Z654" s="13" t="str">
        <f>IF(Data!S654="","",IF(ISNUMBER(MATCH(Data!T654,Data_Val!$A$2:$A$3,0)),0,1))</f>
        <v/>
      </c>
      <c r="AA654" s="28" t="str">
        <f ca="1">IF(Data!S654="","",IF(ISNUMBER(Data!U654),IF(AND(Data!U654&gt;(TODAY()-(Data_Val!$L$3*365.25)),Data!U654&lt;=(TODAY()-(Data_Val!$L$2*365.25))),0,1),1))</f>
        <v/>
      </c>
      <c r="AB654" s="11"/>
      <c r="AC654" s="11" t="e">
        <f>IF(Data!#REF!="","",IF(ISNUMBER(MATCH(Data!#REF!,Data_Val!$A$2:$A$3,0)),0,1))</f>
        <v>#REF!</v>
      </c>
      <c r="AD654" s="11" t="e">
        <f ca="1">IF(Data!#REF!="","",IF(ISNUMBER(Data!#REF!),IF(AND(Data!#REF!&gt;(TODAY()-(Data_Val!$L$3*365.25)),Data!#REF!&lt;=(TODAY()-(Data_Val!$L$2*365.25))),0,1),1))</f>
        <v>#REF!</v>
      </c>
      <c r="AE654" s="11" t="e">
        <f>IF(Data!#REF!="","",IF(Data!$G654="",1,IF(ISNUMBER(MATCH(Data!#REF!,Data_Val!$D$2:$D$10,0)),0,1)))</f>
        <v>#REF!</v>
      </c>
      <c r="AF654" s="12"/>
      <c r="AG654" s="12" t="e">
        <f>IF(Data!#REF!="","",IF(ISNUMBER(MATCH(Data!#REF!,Data_Val!$A$2:$A$3,0)),0,1))</f>
        <v>#REF!</v>
      </c>
      <c r="AH654" s="26" t="e">
        <f ca="1">IF(Data!#REF!="","",IF(ISNUMBER(Data!#REF!),IF(AND(Data!#REF!&gt;(TODAY()-(Data_Val!$L$3*365.25)),Data!#REF!&lt;=(TODAY()-(Data_Val!$L$2*365.25))),0,1),1))</f>
        <v>#REF!</v>
      </c>
      <c r="AI654" s="12" t="e">
        <f>IF(Data!#REF!="","",IF(Data!$G654="",1,IF(ISNUMBER(MATCH(Data!#REF!,Data_Val!$D$2:$D$10,0)),0,1)))</f>
        <v>#REF!</v>
      </c>
      <c r="AJ654" s="17"/>
      <c r="AK654" s="17" t="e">
        <f>IF(Data!#REF!="","",IF(ISNUMBER(MATCH(Data!#REF!,Data_Val!$A$2:$A$3,0)),0,1))</f>
        <v>#REF!</v>
      </c>
      <c r="AL654" s="25" t="e">
        <f ca="1">IF(Data!#REF!="","",IF(ISNUMBER(Data!#REF!),IF(AND(Data!#REF!&gt;(TODAY()-(Data_Val!$L$3*365.25)),Data!#REF!&lt;=(TODAY()-(Data_Val!$L$2*365.25))),0,1),1))</f>
        <v>#REF!</v>
      </c>
      <c r="AM654" s="17" t="e">
        <f>IF(Data!#REF!="","",IF(Data!$G654="",1,IF(ISNUMBER(MATCH(Data!#REF!,Data_Val!$D$2:$D$10,0)),0,1)))</f>
        <v>#REF!</v>
      </c>
      <c r="AN654" s="13"/>
      <c r="AO654" s="28" t="e">
        <f ca="1">IF(Data!#REF!="","",IF(ISNUMBER(Data!#REF!),IF(AND(Data!#REF!&gt;(TODAY()-(Data_Val!$I$3*365.25)),Data!#REF!&lt;=(TODAY()-(Data_Val!$I$2*365.25))),0,1),1))</f>
        <v>#REF!</v>
      </c>
      <c r="AP654" s="13" t="e">
        <f>IF(Data!#REF!="","",IF(Data!$G654="",1,IF(ISNUMBER(MATCH(Data!#REF!,Data_Val!$D$2:$D$10,0)),0,1)))</f>
        <v>#REF!</v>
      </c>
      <c r="AQ654" s="17"/>
      <c r="AR654" s="30" t="e">
        <f ca="1">IF(Data!#REF!="","",IF(ISNUMBER(Data!#REF!),IF(AND(Data!#REF!&gt;(TODAY()-(Data_Val!$I$3*365.25)),Data!#REF!&lt;=(TODAY()-(Data_Val!$I$2*365.25))),0,1),1))</f>
        <v>#REF!</v>
      </c>
      <c r="AS654" s="31" t="e">
        <f>IF(Data!#REF!="","",IF(Data!$G654="",1,IF(ISNUMBER(MATCH(Data!#REF!,Data_Val!$D$2:$D$10,0)),0,1)))</f>
        <v>#REF!</v>
      </c>
      <c r="AT654" s="11"/>
      <c r="AU654" s="11" t="e">
        <f ca="1">IF(Data!#REF!="","",IF(ISNUMBER(Data!#REF!),IF(AND(Data!#REF!&gt;(TODAY()-(Data_Val!$I$3*365.25)),Data!#REF!&lt;=(TODAY()-(Data_Val!$I$2*365.25))),0,1),1))</f>
        <v>#REF!</v>
      </c>
      <c r="AV654" s="11" t="e">
        <f>IF(Data!#REF!="","",IF(Data!$G654="",1,IF(ISNUMBER(MATCH(Data!#REF!,Data_Val!$D$2:$D$10,0)),0,1)))</f>
        <v>#REF!</v>
      </c>
      <c r="AW654" s="12"/>
      <c r="AX654" s="26" t="e">
        <f ca="1">IF(Data!#REF!="","",IF(ISNUMBER(Data!#REF!),IF(AND(Data!#REF!&gt;(TODAY()-(Data_Val!$I$3*365.25)),Data!#REF!&lt;=(TODAY()-(Data_Val!$I$2*365.25))),0,1),1))</f>
        <v>#REF!</v>
      </c>
      <c r="AY654" s="12" t="e">
        <f>IF(Data!#REF!="","",IF(Data!$G654="",1,IF(ISNUMBER(MATCH(Data!#REF!,Data_Val!$D$2:$D$10,0)),0,1)))</f>
        <v>#REF!</v>
      </c>
      <c r="AZ654" s="11"/>
      <c r="BA654" s="19" t="e">
        <f ca="1">IF(Data!#REF!="","",IF(ISNUMBER(Data!#REF!),IF(AND(Data!#REF!&gt;(TODAY()-(Data_Val!$M$3*365.25)),Data!#REF!&lt;=(TODAY()-(Data_Val!$M$2*365.25))),0,1),1))</f>
        <v>#REF!</v>
      </c>
      <c r="BB654" s="11" t="e">
        <f>IF(Data!#REF!="","",IF(Data!$G654="",1,IF(ISNUMBER(MATCH(Data!#REF!,Data_Val!$D$2:$D$10,0)),0,1)))</f>
        <v>#REF!</v>
      </c>
      <c r="BC654" s="12"/>
      <c r="BD654" s="20" t="e">
        <f ca="1">IF(Data!#REF!="","",IF(ISNUMBER(Data!#REF!),IF(AND(Data!#REF!&gt;(TODAY()-(Data_Val!$M$3*365.25)),Data!#REF!&lt;=(TODAY()-(Data_Val!$M$2*365.25))),0,1),1))</f>
        <v>#REF!</v>
      </c>
      <c r="BE654" s="12" t="e">
        <f>IF(Data!#REF!="","",IF(Data!$G654="",1,IF(ISNUMBER(MATCH(Data!#REF!,Data_Val!$D$2:$D$10,0)),0,1)))</f>
        <v>#REF!</v>
      </c>
      <c r="BF654" s="17"/>
      <c r="BG654" s="18" t="e">
        <f ca="1">IF(Data!#REF!="","",IF(ISNUMBER(Data!#REF!),IF(AND(Data!#REF!&gt;(TODAY()-(Data_Val!$M$3*365.25)),Data!#REF!&lt;=(TODAY()-(Data_Val!$M$2*365.25))),0,1),1))</f>
        <v>#REF!</v>
      </c>
      <c r="BH654" s="29" t="e">
        <f>IF(Data!#REF!="","",IF(Data!$G654="",1,IF(ISNUMBER(MATCH(Data!#REF!,Data_Val!$D$2:$D$10,0)),0,1)))</f>
        <v>#REF!</v>
      </c>
      <c r="BI654" s="13"/>
      <c r="BJ654" s="21" t="e">
        <f ca="1">IF(Data!#REF!="","",IF(ISNUMBER(Data!#REF!),IF(AND(Data!#REF!&gt;(TODAY()-(Data_Val!$M$3*365.25)),Data!#REF!&lt;=(TODAY()-(Data_Val!$M$2*365.25))),0,1),1))</f>
        <v>#REF!</v>
      </c>
      <c r="BK654" s="13" t="e">
        <f>IF(Data!#REF!="","",IF(Data!$G654="",1,IF(ISNUMBER(MATCH(Data!#REF!,Data_Val!$D$2:$D$10,0)),0,1)))</f>
        <v>#REF!</v>
      </c>
    </row>
    <row r="655" spans="1:63" x14ac:dyDescent="0.25">
      <c r="A655" s="9" t="str">
        <f>IF(Data!B655="","",IF(COUNTIFS(Data!A$1:'Data'!A655,Data!A655)&lt;=1,0,1))</f>
        <v/>
      </c>
      <c r="B655" s="9"/>
      <c r="C655" s="23" t="str">
        <f>IF(Data!C655="","",(IF(ISNUMBER(MATCH("*@*.?*",Data!C655,0)),0,1)+IF(COUNTIFS(Data!C$1:'Data'!C655,Data!C655)&gt;1,1,0)))</f>
        <v/>
      </c>
      <c r="D655" s="9" t="str">
        <f>IF(Data!B655="","",IF(ISNUMBER(Data!D655),IF(AND(Data!D655&gt;999999999,Data!D655&lt;=9999999999),IF(COUNTIFS(Data!D$1:'Data'!D655,Data!D655)&lt;=1,0,1),1),1))</f>
        <v/>
      </c>
      <c r="E655" s="9" t="str">
        <f>IF(Data!B655="","",IF(ISNUMBER(MATCH(Data!E655,Data_Val!$A$2:$A$3,0)),0,1))</f>
        <v/>
      </c>
      <c r="F655" s="9" t="str">
        <f ca="1">IF(Data!B655="","",IF(ISNUMBER(Data!F655),IF(AND(Data!F655&gt;(TODAY()-(Data_Val!$H$3*365.25)),Data!F655&lt;=(TODAY()-(Data_Val!$H$2*365.25))),0,1),1))</f>
        <v/>
      </c>
      <c r="G655" s="15" t="str">
        <f>IF(Data!B655="","",IF(AND(Data!G655="",Data!H655&lt;&gt;""),1,IF(Data!#REF!&lt;&gt;"",0,IF(ISNUMBER(MATCH(Data!G655,Data_Val!$C$2:$C$5,0)),0,1))))</f>
        <v/>
      </c>
      <c r="H655" s="15" t="str">
        <f>IF(Data!B655="","",IF(AND(Data!G655&lt;&gt;"",Data!H655=""),1,IF(Data!#REF!&lt;&gt;"",0,IF(Data!G655="",1,IF(ISNUMBER(MATCH(Data!H655,Data_Val!$D$2:$D$35,0)),0,1)))))</f>
        <v/>
      </c>
      <c r="I655" s="15" t="str">
        <f>IF(Data!B655="","",IF(Data!G655&lt;&gt;"",0,IF(ISNUMBER(MATCH(Data!#REF!,Data_Val!$E$2:$E$12,0)),0,1)))</f>
        <v/>
      </c>
      <c r="J655" s="16" t="e">
        <f>IF(OR(Data!B655="",Data!#REF!=""),"",IF(Data!#REF!="",1,0))</f>
        <v>#REF!</v>
      </c>
      <c r="K655" s="16" t="e">
        <f>IF(OR(Data!B655="",Data!#REF!=""),"",IF(Data!#REF!="",1,0))</f>
        <v>#REF!</v>
      </c>
      <c r="L655" s="16" t="e">
        <f>IF(OR(Data!B655="",Data!#REF!=""),"",IF(ISNUMBER(Data!#REF!),IF(AND(Data!#REF!&gt;Data_Val!$G$2,Data!#REF!&lt;=Data_Val!$G$3),0,1),1))</f>
        <v>#REF!</v>
      </c>
      <c r="M655" s="9" t="e">
        <f>IF(OR(Data!B655="",Data!#REF!=""),"",IF(ISNUMBER(MATCH(Data!#REF!,Data_Val!$F$1:$F$38,0)),0,1))</f>
        <v>#REF!</v>
      </c>
      <c r="N655" s="9" t="e">
        <f>IF(OR(Data!B655="",Data!#REF!=""),"",IF(Data!#REF!="",1,0))</f>
        <v>#REF!</v>
      </c>
      <c r="O655" s="17" t="e">
        <f>IF(Data!#REF!="","",IF(Data!#REF!="",1,0))</f>
        <v>#REF!</v>
      </c>
      <c r="P655" s="17" t="e">
        <f>IF(Data!#REF!="","",IF(ISNUMBER(MATCH(Data!#REF!,Data_Val!$A$2:$A$3,0)),0,1))</f>
        <v>#REF!</v>
      </c>
      <c r="Q655" s="25" t="e">
        <f ca="1">IF(Data!#REF!="","",IF(ISNUMBER(Data!#REF!),IF(AND(Data!#REF!&gt;(TODAY()-(Data_Val!$J$3*365.25)),Data!#REF!&lt;=(TODAY()-(Data_Val!$J$2*365.25))),0,1),1))</f>
        <v>#REF!</v>
      </c>
      <c r="R655" s="17" t="e">
        <f>IF(Data!#REF!="","",IF(ISNUMBER(MATCH(Data!#REF!,Data_Val!$B$2:$B$15,0)),0,1))</f>
        <v>#REF!</v>
      </c>
      <c r="S655" s="11" t="str">
        <f>IF(Data!G655="","",IF(Data!G655=Data_Val!$C$2,IF(Data!M655="",0,1),0))</f>
        <v/>
      </c>
      <c r="T655" s="11" t="str">
        <f>IF(Data!M655="","",IF(ISNUMBER(MATCH(Data!N655,Data_Val!$A$2:$A$3,0)),0,1))</f>
        <v/>
      </c>
      <c r="U655" s="11" t="str">
        <f ca="1">IF(Data!M655="","",IF(ISNUMBER(Data!O655),IF(AND(Data!O655&gt;(TODAY()-(Data_Val!$K$3*365.25)),Data!O655&lt;=(TODAY()-(Data_Val!$K$2*365.25))),0,1),1))</f>
        <v/>
      </c>
      <c r="V655" s="12" t="str">
        <f>IF(Data!G655="","",IF(Data!G655=Data_Val!$C$2,IF(Data!P655="",0,1),0))</f>
        <v/>
      </c>
      <c r="W655" s="12" t="str">
        <f>IF(Data!P655="","",IF(ISNUMBER(MATCH(Data!Q655,Data_Val!$A$2:$A$3,0)),0,1))</f>
        <v/>
      </c>
      <c r="X655" s="26" t="str">
        <f ca="1">IF(Data!P655="","",IF(ISNUMBER(Data!R655),IF(AND(Data!R655&gt;(TODAY()-(Data_Val!$L$3*365.25)),Data!R655&lt;=(TODAY()-(Data_Val!$L$2*365.25))),0,1),1))</f>
        <v/>
      </c>
      <c r="Y655" s="13" t="str">
        <f>IF(Data!$G655="","",IF(Data!$G655=Data_Val!$C$2,IF(Data!S655="",0,1),0))</f>
        <v/>
      </c>
      <c r="Z655" s="13" t="str">
        <f>IF(Data!S655="","",IF(ISNUMBER(MATCH(Data!T655,Data_Val!$A$2:$A$3,0)),0,1))</f>
        <v/>
      </c>
      <c r="AA655" s="28" t="str">
        <f ca="1">IF(Data!S655="","",IF(ISNUMBER(Data!U655),IF(AND(Data!U655&gt;(TODAY()-(Data_Val!$L$3*365.25)),Data!U655&lt;=(TODAY()-(Data_Val!$L$2*365.25))),0,1),1))</f>
        <v/>
      </c>
      <c r="AB655" s="11"/>
      <c r="AC655" s="11" t="e">
        <f>IF(Data!#REF!="","",IF(ISNUMBER(MATCH(Data!#REF!,Data_Val!$A$2:$A$3,0)),0,1))</f>
        <v>#REF!</v>
      </c>
      <c r="AD655" s="11" t="e">
        <f ca="1">IF(Data!#REF!="","",IF(ISNUMBER(Data!#REF!),IF(AND(Data!#REF!&gt;(TODAY()-(Data_Val!$L$3*365.25)),Data!#REF!&lt;=(TODAY()-(Data_Val!$L$2*365.25))),0,1),1))</f>
        <v>#REF!</v>
      </c>
      <c r="AE655" s="11" t="e">
        <f>IF(Data!#REF!="","",IF(Data!$G655="",1,IF(ISNUMBER(MATCH(Data!#REF!,Data_Val!$D$2:$D$10,0)),0,1)))</f>
        <v>#REF!</v>
      </c>
      <c r="AF655" s="12"/>
      <c r="AG655" s="12" t="e">
        <f>IF(Data!#REF!="","",IF(ISNUMBER(MATCH(Data!#REF!,Data_Val!$A$2:$A$3,0)),0,1))</f>
        <v>#REF!</v>
      </c>
      <c r="AH655" s="26" t="e">
        <f ca="1">IF(Data!#REF!="","",IF(ISNUMBER(Data!#REF!),IF(AND(Data!#REF!&gt;(TODAY()-(Data_Val!$L$3*365.25)),Data!#REF!&lt;=(TODAY()-(Data_Val!$L$2*365.25))),0,1),1))</f>
        <v>#REF!</v>
      </c>
      <c r="AI655" s="12" t="e">
        <f>IF(Data!#REF!="","",IF(Data!$G655="",1,IF(ISNUMBER(MATCH(Data!#REF!,Data_Val!$D$2:$D$10,0)),0,1)))</f>
        <v>#REF!</v>
      </c>
      <c r="AJ655" s="17"/>
      <c r="AK655" s="17" t="e">
        <f>IF(Data!#REF!="","",IF(ISNUMBER(MATCH(Data!#REF!,Data_Val!$A$2:$A$3,0)),0,1))</f>
        <v>#REF!</v>
      </c>
      <c r="AL655" s="25" t="e">
        <f ca="1">IF(Data!#REF!="","",IF(ISNUMBER(Data!#REF!),IF(AND(Data!#REF!&gt;(TODAY()-(Data_Val!$L$3*365.25)),Data!#REF!&lt;=(TODAY()-(Data_Val!$L$2*365.25))),0,1),1))</f>
        <v>#REF!</v>
      </c>
      <c r="AM655" s="17" t="e">
        <f>IF(Data!#REF!="","",IF(Data!$G655="",1,IF(ISNUMBER(MATCH(Data!#REF!,Data_Val!$D$2:$D$10,0)),0,1)))</f>
        <v>#REF!</v>
      </c>
      <c r="AN655" s="13"/>
      <c r="AO655" s="28" t="e">
        <f ca="1">IF(Data!#REF!="","",IF(ISNUMBER(Data!#REF!),IF(AND(Data!#REF!&gt;(TODAY()-(Data_Val!$I$3*365.25)),Data!#REF!&lt;=(TODAY()-(Data_Val!$I$2*365.25))),0,1),1))</f>
        <v>#REF!</v>
      </c>
      <c r="AP655" s="13" t="e">
        <f>IF(Data!#REF!="","",IF(Data!$G655="",1,IF(ISNUMBER(MATCH(Data!#REF!,Data_Val!$D$2:$D$10,0)),0,1)))</f>
        <v>#REF!</v>
      </c>
      <c r="AQ655" s="17"/>
      <c r="AR655" s="30" t="e">
        <f ca="1">IF(Data!#REF!="","",IF(ISNUMBER(Data!#REF!),IF(AND(Data!#REF!&gt;(TODAY()-(Data_Val!$I$3*365.25)),Data!#REF!&lt;=(TODAY()-(Data_Val!$I$2*365.25))),0,1),1))</f>
        <v>#REF!</v>
      </c>
      <c r="AS655" s="31" t="e">
        <f>IF(Data!#REF!="","",IF(Data!$G655="",1,IF(ISNUMBER(MATCH(Data!#REF!,Data_Val!$D$2:$D$10,0)),0,1)))</f>
        <v>#REF!</v>
      </c>
      <c r="AT655" s="11"/>
      <c r="AU655" s="11" t="e">
        <f ca="1">IF(Data!#REF!="","",IF(ISNUMBER(Data!#REF!),IF(AND(Data!#REF!&gt;(TODAY()-(Data_Val!$I$3*365.25)),Data!#REF!&lt;=(TODAY()-(Data_Val!$I$2*365.25))),0,1),1))</f>
        <v>#REF!</v>
      </c>
      <c r="AV655" s="11" t="e">
        <f>IF(Data!#REF!="","",IF(Data!$G655="",1,IF(ISNUMBER(MATCH(Data!#REF!,Data_Val!$D$2:$D$10,0)),0,1)))</f>
        <v>#REF!</v>
      </c>
      <c r="AW655" s="12"/>
      <c r="AX655" s="26" t="e">
        <f ca="1">IF(Data!#REF!="","",IF(ISNUMBER(Data!#REF!),IF(AND(Data!#REF!&gt;(TODAY()-(Data_Val!$I$3*365.25)),Data!#REF!&lt;=(TODAY()-(Data_Val!$I$2*365.25))),0,1),1))</f>
        <v>#REF!</v>
      </c>
      <c r="AY655" s="12" t="e">
        <f>IF(Data!#REF!="","",IF(Data!$G655="",1,IF(ISNUMBER(MATCH(Data!#REF!,Data_Val!$D$2:$D$10,0)),0,1)))</f>
        <v>#REF!</v>
      </c>
      <c r="AZ655" s="11"/>
      <c r="BA655" s="19" t="e">
        <f ca="1">IF(Data!#REF!="","",IF(ISNUMBER(Data!#REF!),IF(AND(Data!#REF!&gt;(TODAY()-(Data_Val!$M$3*365.25)),Data!#REF!&lt;=(TODAY()-(Data_Val!$M$2*365.25))),0,1),1))</f>
        <v>#REF!</v>
      </c>
      <c r="BB655" s="11" t="e">
        <f>IF(Data!#REF!="","",IF(Data!$G655="",1,IF(ISNUMBER(MATCH(Data!#REF!,Data_Val!$D$2:$D$10,0)),0,1)))</f>
        <v>#REF!</v>
      </c>
      <c r="BC655" s="12"/>
      <c r="BD655" s="20" t="e">
        <f ca="1">IF(Data!#REF!="","",IF(ISNUMBER(Data!#REF!),IF(AND(Data!#REF!&gt;(TODAY()-(Data_Val!$M$3*365.25)),Data!#REF!&lt;=(TODAY()-(Data_Val!$M$2*365.25))),0,1),1))</f>
        <v>#REF!</v>
      </c>
      <c r="BE655" s="12" t="e">
        <f>IF(Data!#REF!="","",IF(Data!$G655="",1,IF(ISNUMBER(MATCH(Data!#REF!,Data_Val!$D$2:$D$10,0)),0,1)))</f>
        <v>#REF!</v>
      </c>
      <c r="BF655" s="17"/>
      <c r="BG655" s="18" t="e">
        <f ca="1">IF(Data!#REF!="","",IF(ISNUMBER(Data!#REF!),IF(AND(Data!#REF!&gt;(TODAY()-(Data_Val!$M$3*365.25)),Data!#REF!&lt;=(TODAY()-(Data_Val!$M$2*365.25))),0,1),1))</f>
        <v>#REF!</v>
      </c>
      <c r="BH655" s="29" t="e">
        <f>IF(Data!#REF!="","",IF(Data!$G655="",1,IF(ISNUMBER(MATCH(Data!#REF!,Data_Val!$D$2:$D$10,0)),0,1)))</f>
        <v>#REF!</v>
      </c>
      <c r="BI655" s="13"/>
      <c r="BJ655" s="21" t="e">
        <f ca="1">IF(Data!#REF!="","",IF(ISNUMBER(Data!#REF!),IF(AND(Data!#REF!&gt;(TODAY()-(Data_Val!$M$3*365.25)),Data!#REF!&lt;=(TODAY()-(Data_Val!$M$2*365.25))),0,1),1))</f>
        <v>#REF!</v>
      </c>
      <c r="BK655" s="13" t="e">
        <f>IF(Data!#REF!="","",IF(Data!$G655="",1,IF(ISNUMBER(MATCH(Data!#REF!,Data_Val!$D$2:$D$10,0)),0,1)))</f>
        <v>#REF!</v>
      </c>
    </row>
    <row r="656" spans="1:63" x14ac:dyDescent="0.25">
      <c r="A656" s="9" t="str">
        <f>IF(Data!B656="","",IF(COUNTIFS(Data!A$1:'Data'!A656,Data!A656)&lt;=1,0,1))</f>
        <v/>
      </c>
      <c r="B656" s="9"/>
      <c r="C656" s="23" t="str">
        <f>IF(Data!C656="","",(IF(ISNUMBER(MATCH("*@*.?*",Data!C656,0)),0,1)+IF(COUNTIFS(Data!C$1:'Data'!C656,Data!C656)&gt;1,1,0)))</f>
        <v/>
      </c>
      <c r="D656" s="9" t="str">
        <f>IF(Data!B656="","",IF(ISNUMBER(Data!D656),IF(AND(Data!D656&gt;999999999,Data!D656&lt;=9999999999),IF(COUNTIFS(Data!D$1:'Data'!D656,Data!D656)&lt;=1,0,1),1),1))</f>
        <v/>
      </c>
      <c r="E656" s="9" t="str">
        <f>IF(Data!B656="","",IF(ISNUMBER(MATCH(Data!E656,Data_Val!$A$2:$A$3,0)),0,1))</f>
        <v/>
      </c>
      <c r="F656" s="9" t="str">
        <f ca="1">IF(Data!B656="","",IF(ISNUMBER(Data!F656),IF(AND(Data!F656&gt;(TODAY()-(Data_Val!$H$3*365.25)),Data!F656&lt;=(TODAY()-(Data_Val!$H$2*365.25))),0,1),1))</f>
        <v/>
      </c>
      <c r="G656" s="15" t="str">
        <f>IF(Data!B656="","",IF(AND(Data!G656="",Data!H656&lt;&gt;""),1,IF(Data!#REF!&lt;&gt;"",0,IF(ISNUMBER(MATCH(Data!G656,Data_Val!$C$2:$C$5,0)),0,1))))</f>
        <v/>
      </c>
      <c r="H656" s="15" t="str">
        <f>IF(Data!B656="","",IF(AND(Data!G656&lt;&gt;"",Data!H656=""),1,IF(Data!#REF!&lt;&gt;"",0,IF(Data!G656="",1,IF(ISNUMBER(MATCH(Data!H656,Data_Val!$D$2:$D$35,0)),0,1)))))</f>
        <v/>
      </c>
      <c r="I656" s="15" t="str">
        <f>IF(Data!B656="","",IF(Data!G656&lt;&gt;"",0,IF(ISNUMBER(MATCH(Data!#REF!,Data_Val!$E$2:$E$12,0)),0,1)))</f>
        <v/>
      </c>
      <c r="J656" s="16" t="e">
        <f>IF(OR(Data!B656="",Data!#REF!=""),"",IF(Data!#REF!="",1,0))</f>
        <v>#REF!</v>
      </c>
      <c r="K656" s="16" t="e">
        <f>IF(OR(Data!B656="",Data!#REF!=""),"",IF(Data!#REF!="",1,0))</f>
        <v>#REF!</v>
      </c>
      <c r="L656" s="16" t="e">
        <f>IF(OR(Data!B656="",Data!#REF!=""),"",IF(ISNUMBER(Data!#REF!),IF(AND(Data!#REF!&gt;Data_Val!$G$2,Data!#REF!&lt;=Data_Val!$G$3),0,1),1))</f>
        <v>#REF!</v>
      </c>
      <c r="M656" s="9" t="e">
        <f>IF(OR(Data!B656="",Data!#REF!=""),"",IF(ISNUMBER(MATCH(Data!#REF!,Data_Val!$F$1:$F$38,0)),0,1))</f>
        <v>#REF!</v>
      </c>
      <c r="N656" s="9" t="e">
        <f>IF(OR(Data!B656="",Data!#REF!=""),"",IF(Data!#REF!="",1,0))</f>
        <v>#REF!</v>
      </c>
      <c r="O656" s="17" t="e">
        <f>IF(Data!#REF!="","",IF(Data!#REF!="",1,0))</f>
        <v>#REF!</v>
      </c>
      <c r="P656" s="17" t="e">
        <f>IF(Data!#REF!="","",IF(ISNUMBER(MATCH(Data!#REF!,Data_Val!$A$2:$A$3,0)),0,1))</f>
        <v>#REF!</v>
      </c>
      <c r="Q656" s="25" t="e">
        <f ca="1">IF(Data!#REF!="","",IF(ISNUMBER(Data!#REF!),IF(AND(Data!#REF!&gt;(TODAY()-(Data_Val!$J$3*365.25)),Data!#REF!&lt;=(TODAY()-(Data_Val!$J$2*365.25))),0,1),1))</f>
        <v>#REF!</v>
      </c>
      <c r="R656" s="17" t="e">
        <f>IF(Data!#REF!="","",IF(ISNUMBER(MATCH(Data!#REF!,Data_Val!$B$2:$B$15,0)),0,1))</f>
        <v>#REF!</v>
      </c>
      <c r="S656" s="11" t="str">
        <f>IF(Data!G656="","",IF(Data!G656=Data_Val!$C$2,IF(Data!M656="",0,1),0))</f>
        <v/>
      </c>
      <c r="T656" s="11" t="str">
        <f>IF(Data!M656="","",IF(ISNUMBER(MATCH(Data!N656,Data_Val!$A$2:$A$3,0)),0,1))</f>
        <v/>
      </c>
      <c r="U656" s="11" t="str">
        <f ca="1">IF(Data!M656="","",IF(ISNUMBER(Data!O656),IF(AND(Data!O656&gt;(TODAY()-(Data_Val!$K$3*365.25)),Data!O656&lt;=(TODAY()-(Data_Val!$K$2*365.25))),0,1),1))</f>
        <v/>
      </c>
      <c r="V656" s="12" t="str">
        <f>IF(Data!G656="","",IF(Data!G656=Data_Val!$C$2,IF(Data!P656="",0,1),0))</f>
        <v/>
      </c>
      <c r="W656" s="12" t="str">
        <f>IF(Data!P656="","",IF(ISNUMBER(MATCH(Data!Q656,Data_Val!$A$2:$A$3,0)),0,1))</f>
        <v/>
      </c>
      <c r="X656" s="26" t="str">
        <f ca="1">IF(Data!P656="","",IF(ISNUMBER(Data!R656),IF(AND(Data!R656&gt;(TODAY()-(Data_Val!$L$3*365.25)),Data!R656&lt;=(TODAY()-(Data_Val!$L$2*365.25))),0,1),1))</f>
        <v/>
      </c>
      <c r="Y656" s="13" t="str">
        <f>IF(Data!$G656="","",IF(Data!$G656=Data_Val!$C$2,IF(Data!S656="",0,1),0))</f>
        <v/>
      </c>
      <c r="Z656" s="13" t="str">
        <f>IF(Data!S656="","",IF(ISNUMBER(MATCH(Data!T656,Data_Val!$A$2:$A$3,0)),0,1))</f>
        <v/>
      </c>
      <c r="AA656" s="28" t="str">
        <f ca="1">IF(Data!S656="","",IF(ISNUMBER(Data!U656),IF(AND(Data!U656&gt;(TODAY()-(Data_Val!$L$3*365.25)),Data!U656&lt;=(TODAY()-(Data_Val!$L$2*365.25))),0,1),1))</f>
        <v/>
      </c>
      <c r="AB656" s="11"/>
      <c r="AC656" s="11" t="e">
        <f>IF(Data!#REF!="","",IF(ISNUMBER(MATCH(Data!#REF!,Data_Val!$A$2:$A$3,0)),0,1))</f>
        <v>#REF!</v>
      </c>
      <c r="AD656" s="11" t="e">
        <f ca="1">IF(Data!#REF!="","",IF(ISNUMBER(Data!#REF!),IF(AND(Data!#REF!&gt;(TODAY()-(Data_Val!$L$3*365.25)),Data!#REF!&lt;=(TODAY()-(Data_Val!$L$2*365.25))),0,1),1))</f>
        <v>#REF!</v>
      </c>
      <c r="AE656" s="11" t="e">
        <f>IF(Data!#REF!="","",IF(Data!$G656="",1,IF(ISNUMBER(MATCH(Data!#REF!,Data_Val!$D$2:$D$10,0)),0,1)))</f>
        <v>#REF!</v>
      </c>
      <c r="AF656" s="12"/>
      <c r="AG656" s="12" t="e">
        <f>IF(Data!#REF!="","",IF(ISNUMBER(MATCH(Data!#REF!,Data_Val!$A$2:$A$3,0)),0,1))</f>
        <v>#REF!</v>
      </c>
      <c r="AH656" s="26" t="e">
        <f ca="1">IF(Data!#REF!="","",IF(ISNUMBER(Data!#REF!),IF(AND(Data!#REF!&gt;(TODAY()-(Data_Val!$L$3*365.25)),Data!#REF!&lt;=(TODAY()-(Data_Val!$L$2*365.25))),0,1),1))</f>
        <v>#REF!</v>
      </c>
      <c r="AI656" s="12" t="e">
        <f>IF(Data!#REF!="","",IF(Data!$G656="",1,IF(ISNUMBER(MATCH(Data!#REF!,Data_Val!$D$2:$D$10,0)),0,1)))</f>
        <v>#REF!</v>
      </c>
      <c r="AJ656" s="17"/>
      <c r="AK656" s="17" t="e">
        <f>IF(Data!#REF!="","",IF(ISNUMBER(MATCH(Data!#REF!,Data_Val!$A$2:$A$3,0)),0,1))</f>
        <v>#REF!</v>
      </c>
      <c r="AL656" s="25" t="e">
        <f ca="1">IF(Data!#REF!="","",IF(ISNUMBER(Data!#REF!),IF(AND(Data!#REF!&gt;(TODAY()-(Data_Val!$L$3*365.25)),Data!#REF!&lt;=(TODAY()-(Data_Val!$L$2*365.25))),0,1),1))</f>
        <v>#REF!</v>
      </c>
      <c r="AM656" s="17" t="e">
        <f>IF(Data!#REF!="","",IF(Data!$G656="",1,IF(ISNUMBER(MATCH(Data!#REF!,Data_Val!$D$2:$D$10,0)),0,1)))</f>
        <v>#REF!</v>
      </c>
      <c r="AN656" s="13"/>
      <c r="AO656" s="28" t="e">
        <f ca="1">IF(Data!#REF!="","",IF(ISNUMBER(Data!#REF!),IF(AND(Data!#REF!&gt;(TODAY()-(Data_Val!$I$3*365.25)),Data!#REF!&lt;=(TODAY()-(Data_Val!$I$2*365.25))),0,1),1))</f>
        <v>#REF!</v>
      </c>
      <c r="AP656" s="13" t="e">
        <f>IF(Data!#REF!="","",IF(Data!$G656="",1,IF(ISNUMBER(MATCH(Data!#REF!,Data_Val!$D$2:$D$10,0)),0,1)))</f>
        <v>#REF!</v>
      </c>
      <c r="AQ656" s="17"/>
      <c r="AR656" s="30" t="e">
        <f ca="1">IF(Data!#REF!="","",IF(ISNUMBER(Data!#REF!),IF(AND(Data!#REF!&gt;(TODAY()-(Data_Val!$I$3*365.25)),Data!#REF!&lt;=(TODAY()-(Data_Val!$I$2*365.25))),0,1),1))</f>
        <v>#REF!</v>
      </c>
      <c r="AS656" s="31" t="e">
        <f>IF(Data!#REF!="","",IF(Data!$G656="",1,IF(ISNUMBER(MATCH(Data!#REF!,Data_Val!$D$2:$D$10,0)),0,1)))</f>
        <v>#REF!</v>
      </c>
      <c r="AT656" s="11"/>
      <c r="AU656" s="11" t="e">
        <f ca="1">IF(Data!#REF!="","",IF(ISNUMBER(Data!#REF!),IF(AND(Data!#REF!&gt;(TODAY()-(Data_Val!$I$3*365.25)),Data!#REF!&lt;=(TODAY()-(Data_Val!$I$2*365.25))),0,1),1))</f>
        <v>#REF!</v>
      </c>
      <c r="AV656" s="11" t="e">
        <f>IF(Data!#REF!="","",IF(Data!$G656="",1,IF(ISNUMBER(MATCH(Data!#REF!,Data_Val!$D$2:$D$10,0)),0,1)))</f>
        <v>#REF!</v>
      </c>
      <c r="AW656" s="12"/>
      <c r="AX656" s="26" t="e">
        <f ca="1">IF(Data!#REF!="","",IF(ISNUMBER(Data!#REF!),IF(AND(Data!#REF!&gt;(TODAY()-(Data_Val!$I$3*365.25)),Data!#REF!&lt;=(TODAY()-(Data_Val!$I$2*365.25))),0,1),1))</f>
        <v>#REF!</v>
      </c>
      <c r="AY656" s="12" t="e">
        <f>IF(Data!#REF!="","",IF(Data!$G656="",1,IF(ISNUMBER(MATCH(Data!#REF!,Data_Val!$D$2:$D$10,0)),0,1)))</f>
        <v>#REF!</v>
      </c>
      <c r="AZ656" s="11"/>
      <c r="BA656" s="19" t="e">
        <f ca="1">IF(Data!#REF!="","",IF(ISNUMBER(Data!#REF!),IF(AND(Data!#REF!&gt;(TODAY()-(Data_Val!$M$3*365.25)),Data!#REF!&lt;=(TODAY()-(Data_Val!$M$2*365.25))),0,1),1))</f>
        <v>#REF!</v>
      </c>
      <c r="BB656" s="11" t="e">
        <f>IF(Data!#REF!="","",IF(Data!$G656="",1,IF(ISNUMBER(MATCH(Data!#REF!,Data_Val!$D$2:$D$10,0)),0,1)))</f>
        <v>#REF!</v>
      </c>
      <c r="BC656" s="12"/>
      <c r="BD656" s="20" t="e">
        <f ca="1">IF(Data!#REF!="","",IF(ISNUMBER(Data!#REF!),IF(AND(Data!#REF!&gt;(TODAY()-(Data_Val!$M$3*365.25)),Data!#REF!&lt;=(TODAY()-(Data_Val!$M$2*365.25))),0,1),1))</f>
        <v>#REF!</v>
      </c>
      <c r="BE656" s="12" t="e">
        <f>IF(Data!#REF!="","",IF(Data!$G656="",1,IF(ISNUMBER(MATCH(Data!#REF!,Data_Val!$D$2:$D$10,0)),0,1)))</f>
        <v>#REF!</v>
      </c>
      <c r="BF656" s="17"/>
      <c r="BG656" s="18" t="e">
        <f ca="1">IF(Data!#REF!="","",IF(ISNUMBER(Data!#REF!),IF(AND(Data!#REF!&gt;(TODAY()-(Data_Val!$M$3*365.25)),Data!#REF!&lt;=(TODAY()-(Data_Val!$M$2*365.25))),0,1),1))</f>
        <v>#REF!</v>
      </c>
      <c r="BH656" s="29" t="e">
        <f>IF(Data!#REF!="","",IF(Data!$G656="",1,IF(ISNUMBER(MATCH(Data!#REF!,Data_Val!$D$2:$D$10,0)),0,1)))</f>
        <v>#REF!</v>
      </c>
      <c r="BI656" s="13"/>
      <c r="BJ656" s="21" t="e">
        <f ca="1">IF(Data!#REF!="","",IF(ISNUMBER(Data!#REF!),IF(AND(Data!#REF!&gt;(TODAY()-(Data_Val!$M$3*365.25)),Data!#REF!&lt;=(TODAY()-(Data_Val!$M$2*365.25))),0,1),1))</f>
        <v>#REF!</v>
      </c>
      <c r="BK656" s="13" t="e">
        <f>IF(Data!#REF!="","",IF(Data!$G656="",1,IF(ISNUMBER(MATCH(Data!#REF!,Data_Val!$D$2:$D$10,0)),0,1)))</f>
        <v>#REF!</v>
      </c>
    </row>
    <row r="657" spans="1:63" x14ac:dyDescent="0.25">
      <c r="A657" s="9" t="str">
        <f>IF(Data!B657="","",IF(COUNTIFS(Data!A$1:'Data'!A657,Data!A657)&lt;=1,0,1))</f>
        <v/>
      </c>
      <c r="B657" s="9"/>
      <c r="C657" s="23" t="str">
        <f>IF(Data!C657="","",(IF(ISNUMBER(MATCH("*@*.?*",Data!C657,0)),0,1)+IF(COUNTIFS(Data!C$1:'Data'!C657,Data!C657)&gt;1,1,0)))</f>
        <v/>
      </c>
      <c r="D657" s="9" t="str">
        <f>IF(Data!B657="","",IF(ISNUMBER(Data!D657),IF(AND(Data!D657&gt;999999999,Data!D657&lt;=9999999999),IF(COUNTIFS(Data!D$1:'Data'!D657,Data!D657)&lt;=1,0,1),1),1))</f>
        <v/>
      </c>
      <c r="E657" s="9" t="str">
        <f>IF(Data!B657="","",IF(ISNUMBER(MATCH(Data!E657,Data_Val!$A$2:$A$3,0)),0,1))</f>
        <v/>
      </c>
      <c r="F657" s="9" t="str">
        <f ca="1">IF(Data!B657="","",IF(ISNUMBER(Data!F657),IF(AND(Data!F657&gt;(TODAY()-(Data_Val!$H$3*365.25)),Data!F657&lt;=(TODAY()-(Data_Val!$H$2*365.25))),0,1),1))</f>
        <v/>
      </c>
      <c r="G657" s="15" t="str">
        <f>IF(Data!B657="","",IF(AND(Data!G657="",Data!H657&lt;&gt;""),1,IF(Data!#REF!&lt;&gt;"",0,IF(ISNUMBER(MATCH(Data!G657,Data_Val!$C$2:$C$5,0)),0,1))))</f>
        <v/>
      </c>
      <c r="H657" s="15" t="str">
        <f>IF(Data!B657="","",IF(AND(Data!G657&lt;&gt;"",Data!H657=""),1,IF(Data!#REF!&lt;&gt;"",0,IF(Data!G657="",1,IF(ISNUMBER(MATCH(Data!H657,Data_Val!$D$2:$D$35,0)),0,1)))))</f>
        <v/>
      </c>
      <c r="I657" s="15" t="str">
        <f>IF(Data!B657="","",IF(Data!G657&lt;&gt;"",0,IF(ISNUMBER(MATCH(Data!#REF!,Data_Val!$E$2:$E$12,0)),0,1)))</f>
        <v/>
      </c>
      <c r="J657" s="16" t="e">
        <f>IF(OR(Data!B657="",Data!#REF!=""),"",IF(Data!#REF!="",1,0))</f>
        <v>#REF!</v>
      </c>
      <c r="K657" s="16" t="e">
        <f>IF(OR(Data!B657="",Data!#REF!=""),"",IF(Data!#REF!="",1,0))</f>
        <v>#REF!</v>
      </c>
      <c r="L657" s="16" t="e">
        <f>IF(OR(Data!B657="",Data!#REF!=""),"",IF(ISNUMBER(Data!#REF!),IF(AND(Data!#REF!&gt;Data_Val!$G$2,Data!#REF!&lt;=Data_Val!$G$3),0,1),1))</f>
        <v>#REF!</v>
      </c>
      <c r="M657" s="9" t="e">
        <f>IF(OR(Data!B657="",Data!#REF!=""),"",IF(ISNUMBER(MATCH(Data!#REF!,Data_Val!$F$1:$F$38,0)),0,1))</f>
        <v>#REF!</v>
      </c>
      <c r="N657" s="9" t="e">
        <f>IF(OR(Data!B657="",Data!#REF!=""),"",IF(Data!#REF!="",1,0))</f>
        <v>#REF!</v>
      </c>
      <c r="O657" s="17" t="e">
        <f>IF(Data!#REF!="","",IF(Data!#REF!="",1,0))</f>
        <v>#REF!</v>
      </c>
      <c r="P657" s="17" t="e">
        <f>IF(Data!#REF!="","",IF(ISNUMBER(MATCH(Data!#REF!,Data_Val!$A$2:$A$3,0)),0,1))</f>
        <v>#REF!</v>
      </c>
      <c r="Q657" s="25" t="e">
        <f ca="1">IF(Data!#REF!="","",IF(ISNUMBER(Data!#REF!),IF(AND(Data!#REF!&gt;(TODAY()-(Data_Val!$J$3*365.25)),Data!#REF!&lt;=(TODAY()-(Data_Val!$J$2*365.25))),0,1),1))</f>
        <v>#REF!</v>
      </c>
      <c r="R657" s="17" t="e">
        <f>IF(Data!#REF!="","",IF(ISNUMBER(MATCH(Data!#REF!,Data_Val!$B$2:$B$15,0)),0,1))</f>
        <v>#REF!</v>
      </c>
      <c r="S657" s="11" t="str">
        <f>IF(Data!G657="","",IF(Data!G657=Data_Val!$C$2,IF(Data!M657="",0,1),0))</f>
        <v/>
      </c>
      <c r="T657" s="11" t="str">
        <f>IF(Data!M657="","",IF(ISNUMBER(MATCH(Data!N657,Data_Val!$A$2:$A$3,0)),0,1))</f>
        <v/>
      </c>
      <c r="U657" s="11" t="str">
        <f ca="1">IF(Data!M657="","",IF(ISNUMBER(Data!O657),IF(AND(Data!O657&gt;(TODAY()-(Data_Val!$K$3*365.25)),Data!O657&lt;=(TODAY()-(Data_Val!$K$2*365.25))),0,1),1))</f>
        <v/>
      </c>
      <c r="V657" s="12" t="str">
        <f>IF(Data!G657="","",IF(Data!G657=Data_Val!$C$2,IF(Data!P657="",0,1),0))</f>
        <v/>
      </c>
      <c r="W657" s="12" t="str">
        <f>IF(Data!P657="","",IF(ISNUMBER(MATCH(Data!Q657,Data_Val!$A$2:$A$3,0)),0,1))</f>
        <v/>
      </c>
      <c r="X657" s="26" t="str">
        <f ca="1">IF(Data!P657="","",IF(ISNUMBER(Data!R657),IF(AND(Data!R657&gt;(TODAY()-(Data_Val!$L$3*365.25)),Data!R657&lt;=(TODAY()-(Data_Val!$L$2*365.25))),0,1),1))</f>
        <v/>
      </c>
      <c r="Y657" s="13" t="str">
        <f>IF(Data!$G657="","",IF(Data!$G657=Data_Val!$C$2,IF(Data!S657="",0,1),0))</f>
        <v/>
      </c>
      <c r="Z657" s="13" t="str">
        <f>IF(Data!S657="","",IF(ISNUMBER(MATCH(Data!T657,Data_Val!$A$2:$A$3,0)),0,1))</f>
        <v/>
      </c>
      <c r="AA657" s="28" t="str">
        <f ca="1">IF(Data!S657="","",IF(ISNUMBER(Data!U657),IF(AND(Data!U657&gt;(TODAY()-(Data_Val!$L$3*365.25)),Data!U657&lt;=(TODAY()-(Data_Val!$L$2*365.25))),0,1),1))</f>
        <v/>
      </c>
      <c r="AB657" s="11"/>
      <c r="AC657" s="11" t="e">
        <f>IF(Data!#REF!="","",IF(ISNUMBER(MATCH(Data!#REF!,Data_Val!$A$2:$A$3,0)),0,1))</f>
        <v>#REF!</v>
      </c>
      <c r="AD657" s="11" t="e">
        <f ca="1">IF(Data!#REF!="","",IF(ISNUMBER(Data!#REF!),IF(AND(Data!#REF!&gt;(TODAY()-(Data_Val!$L$3*365.25)),Data!#REF!&lt;=(TODAY()-(Data_Val!$L$2*365.25))),0,1),1))</f>
        <v>#REF!</v>
      </c>
      <c r="AE657" s="11" t="e">
        <f>IF(Data!#REF!="","",IF(Data!$G657="",1,IF(ISNUMBER(MATCH(Data!#REF!,Data_Val!$D$2:$D$10,0)),0,1)))</f>
        <v>#REF!</v>
      </c>
      <c r="AF657" s="12"/>
      <c r="AG657" s="12" t="e">
        <f>IF(Data!#REF!="","",IF(ISNUMBER(MATCH(Data!#REF!,Data_Val!$A$2:$A$3,0)),0,1))</f>
        <v>#REF!</v>
      </c>
      <c r="AH657" s="26" t="e">
        <f ca="1">IF(Data!#REF!="","",IF(ISNUMBER(Data!#REF!),IF(AND(Data!#REF!&gt;(TODAY()-(Data_Val!$L$3*365.25)),Data!#REF!&lt;=(TODAY()-(Data_Val!$L$2*365.25))),0,1),1))</f>
        <v>#REF!</v>
      </c>
      <c r="AI657" s="12" t="e">
        <f>IF(Data!#REF!="","",IF(Data!$G657="",1,IF(ISNUMBER(MATCH(Data!#REF!,Data_Val!$D$2:$D$10,0)),0,1)))</f>
        <v>#REF!</v>
      </c>
      <c r="AJ657" s="17"/>
      <c r="AK657" s="17" t="e">
        <f>IF(Data!#REF!="","",IF(ISNUMBER(MATCH(Data!#REF!,Data_Val!$A$2:$A$3,0)),0,1))</f>
        <v>#REF!</v>
      </c>
      <c r="AL657" s="25" t="e">
        <f ca="1">IF(Data!#REF!="","",IF(ISNUMBER(Data!#REF!),IF(AND(Data!#REF!&gt;(TODAY()-(Data_Val!$L$3*365.25)),Data!#REF!&lt;=(TODAY()-(Data_Val!$L$2*365.25))),0,1),1))</f>
        <v>#REF!</v>
      </c>
      <c r="AM657" s="17" t="e">
        <f>IF(Data!#REF!="","",IF(Data!$G657="",1,IF(ISNUMBER(MATCH(Data!#REF!,Data_Val!$D$2:$D$10,0)),0,1)))</f>
        <v>#REF!</v>
      </c>
      <c r="AN657" s="13"/>
      <c r="AO657" s="28" t="e">
        <f ca="1">IF(Data!#REF!="","",IF(ISNUMBER(Data!#REF!),IF(AND(Data!#REF!&gt;(TODAY()-(Data_Val!$I$3*365.25)),Data!#REF!&lt;=(TODAY()-(Data_Val!$I$2*365.25))),0,1),1))</f>
        <v>#REF!</v>
      </c>
      <c r="AP657" s="13" t="e">
        <f>IF(Data!#REF!="","",IF(Data!$G657="",1,IF(ISNUMBER(MATCH(Data!#REF!,Data_Val!$D$2:$D$10,0)),0,1)))</f>
        <v>#REF!</v>
      </c>
      <c r="AQ657" s="17"/>
      <c r="AR657" s="30" t="e">
        <f ca="1">IF(Data!#REF!="","",IF(ISNUMBER(Data!#REF!),IF(AND(Data!#REF!&gt;(TODAY()-(Data_Val!$I$3*365.25)),Data!#REF!&lt;=(TODAY()-(Data_Val!$I$2*365.25))),0,1),1))</f>
        <v>#REF!</v>
      </c>
      <c r="AS657" s="31" t="e">
        <f>IF(Data!#REF!="","",IF(Data!$G657="",1,IF(ISNUMBER(MATCH(Data!#REF!,Data_Val!$D$2:$D$10,0)),0,1)))</f>
        <v>#REF!</v>
      </c>
      <c r="AT657" s="11"/>
      <c r="AU657" s="11" t="e">
        <f ca="1">IF(Data!#REF!="","",IF(ISNUMBER(Data!#REF!),IF(AND(Data!#REF!&gt;(TODAY()-(Data_Val!$I$3*365.25)),Data!#REF!&lt;=(TODAY()-(Data_Val!$I$2*365.25))),0,1),1))</f>
        <v>#REF!</v>
      </c>
      <c r="AV657" s="11" t="e">
        <f>IF(Data!#REF!="","",IF(Data!$G657="",1,IF(ISNUMBER(MATCH(Data!#REF!,Data_Val!$D$2:$D$10,0)),0,1)))</f>
        <v>#REF!</v>
      </c>
      <c r="AW657" s="12"/>
      <c r="AX657" s="26" t="e">
        <f ca="1">IF(Data!#REF!="","",IF(ISNUMBER(Data!#REF!),IF(AND(Data!#REF!&gt;(TODAY()-(Data_Val!$I$3*365.25)),Data!#REF!&lt;=(TODAY()-(Data_Val!$I$2*365.25))),0,1),1))</f>
        <v>#REF!</v>
      </c>
      <c r="AY657" s="12" t="e">
        <f>IF(Data!#REF!="","",IF(Data!$G657="",1,IF(ISNUMBER(MATCH(Data!#REF!,Data_Val!$D$2:$D$10,0)),0,1)))</f>
        <v>#REF!</v>
      </c>
      <c r="AZ657" s="11"/>
      <c r="BA657" s="19" t="e">
        <f ca="1">IF(Data!#REF!="","",IF(ISNUMBER(Data!#REF!),IF(AND(Data!#REF!&gt;(TODAY()-(Data_Val!$M$3*365.25)),Data!#REF!&lt;=(TODAY()-(Data_Val!$M$2*365.25))),0,1),1))</f>
        <v>#REF!</v>
      </c>
      <c r="BB657" s="11" t="e">
        <f>IF(Data!#REF!="","",IF(Data!$G657="",1,IF(ISNUMBER(MATCH(Data!#REF!,Data_Val!$D$2:$D$10,0)),0,1)))</f>
        <v>#REF!</v>
      </c>
      <c r="BC657" s="12"/>
      <c r="BD657" s="20" t="e">
        <f ca="1">IF(Data!#REF!="","",IF(ISNUMBER(Data!#REF!),IF(AND(Data!#REF!&gt;(TODAY()-(Data_Val!$M$3*365.25)),Data!#REF!&lt;=(TODAY()-(Data_Val!$M$2*365.25))),0,1),1))</f>
        <v>#REF!</v>
      </c>
      <c r="BE657" s="12" t="e">
        <f>IF(Data!#REF!="","",IF(Data!$G657="",1,IF(ISNUMBER(MATCH(Data!#REF!,Data_Val!$D$2:$D$10,0)),0,1)))</f>
        <v>#REF!</v>
      </c>
      <c r="BF657" s="17"/>
      <c r="BG657" s="18" t="e">
        <f ca="1">IF(Data!#REF!="","",IF(ISNUMBER(Data!#REF!),IF(AND(Data!#REF!&gt;(TODAY()-(Data_Val!$M$3*365.25)),Data!#REF!&lt;=(TODAY()-(Data_Val!$M$2*365.25))),0,1),1))</f>
        <v>#REF!</v>
      </c>
      <c r="BH657" s="29" t="e">
        <f>IF(Data!#REF!="","",IF(Data!$G657="",1,IF(ISNUMBER(MATCH(Data!#REF!,Data_Val!$D$2:$D$10,0)),0,1)))</f>
        <v>#REF!</v>
      </c>
      <c r="BI657" s="13"/>
      <c r="BJ657" s="21" t="e">
        <f ca="1">IF(Data!#REF!="","",IF(ISNUMBER(Data!#REF!),IF(AND(Data!#REF!&gt;(TODAY()-(Data_Val!$M$3*365.25)),Data!#REF!&lt;=(TODAY()-(Data_Val!$M$2*365.25))),0,1),1))</f>
        <v>#REF!</v>
      </c>
      <c r="BK657" s="13" t="e">
        <f>IF(Data!#REF!="","",IF(Data!$G657="",1,IF(ISNUMBER(MATCH(Data!#REF!,Data_Val!$D$2:$D$10,0)),0,1)))</f>
        <v>#REF!</v>
      </c>
    </row>
    <row r="658" spans="1:63" x14ac:dyDescent="0.25">
      <c r="A658" s="9" t="str">
        <f>IF(Data!B658="","",IF(COUNTIFS(Data!A$1:'Data'!A658,Data!A658)&lt;=1,0,1))</f>
        <v/>
      </c>
      <c r="B658" s="9"/>
      <c r="C658" s="23" t="str">
        <f>IF(Data!C658="","",(IF(ISNUMBER(MATCH("*@*.?*",Data!C658,0)),0,1)+IF(COUNTIFS(Data!C$1:'Data'!C658,Data!C658)&gt;1,1,0)))</f>
        <v/>
      </c>
      <c r="D658" s="9" t="str">
        <f>IF(Data!B658="","",IF(ISNUMBER(Data!D658),IF(AND(Data!D658&gt;999999999,Data!D658&lt;=9999999999),IF(COUNTIFS(Data!D$1:'Data'!D658,Data!D658)&lt;=1,0,1),1),1))</f>
        <v/>
      </c>
      <c r="E658" s="9" t="str">
        <f>IF(Data!B658="","",IF(ISNUMBER(MATCH(Data!E658,Data_Val!$A$2:$A$3,0)),0,1))</f>
        <v/>
      </c>
      <c r="F658" s="9" t="str">
        <f ca="1">IF(Data!B658="","",IF(ISNUMBER(Data!F658),IF(AND(Data!F658&gt;(TODAY()-(Data_Val!$H$3*365.25)),Data!F658&lt;=(TODAY()-(Data_Val!$H$2*365.25))),0,1),1))</f>
        <v/>
      </c>
      <c r="G658" s="15" t="str">
        <f>IF(Data!B658="","",IF(AND(Data!G658="",Data!H658&lt;&gt;""),1,IF(Data!#REF!&lt;&gt;"",0,IF(ISNUMBER(MATCH(Data!G658,Data_Val!$C$2:$C$5,0)),0,1))))</f>
        <v/>
      </c>
      <c r="H658" s="15" t="str">
        <f>IF(Data!B658="","",IF(AND(Data!G658&lt;&gt;"",Data!H658=""),1,IF(Data!#REF!&lt;&gt;"",0,IF(Data!G658="",1,IF(ISNUMBER(MATCH(Data!H658,Data_Val!$D$2:$D$35,0)),0,1)))))</f>
        <v/>
      </c>
      <c r="I658" s="15" t="str">
        <f>IF(Data!B658="","",IF(Data!G658&lt;&gt;"",0,IF(ISNUMBER(MATCH(Data!#REF!,Data_Val!$E$2:$E$12,0)),0,1)))</f>
        <v/>
      </c>
      <c r="J658" s="16" t="e">
        <f>IF(OR(Data!B658="",Data!#REF!=""),"",IF(Data!#REF!="",1,0))</f>
        <v>#REF!</v>
      </c>
      <c r="K658" s="16" t="e">
        <f>IF(OR(Data!B658="",Data!#REF!=""),"",IF(Data!#REF!="",1,0))</f>
        <v>#REF!</v>
      </c>
      <c r="L658" s="16" t="e">
        <f>IF(OR(Data!B658="",Data!#REF!=""),"",IF(ISNUMBER(Data!#REF!),IF(AND(Data!#REF!&gt;Data_Val!$G$2,Data!#REF!&lt;=Data_Val!$G$3),0,1),1))</f>
        <v>#REF!</v>
      </c>
      <c r="M658" s="9" t="e">
        <f>IF(OR(Data!B658="",Data!#REF!=""),"",IF(ISNUMBER(MATCH(Data!#REF!,Data_Val!$F$1:$F$38,0)),0,1))</f>
        <v>#REF!</v>
      </c>
      <c r="N658" s="9" t="e">
        <f>IF(OR(Data!B658="",Data!#REF!=""),"",IF(Data!#REF!="",1,0))</f>
        <v>#REF!</v>
      </c>
      <c r="O658" s="17" t="e">
        <f>IF(Data!#REF!="","",IF(Data!#REF!="",1,0))</f>
        <v>#REF!</v>
      </c>
      <c r="P658" s="17" t="e">
        <f>IF(Data!#REF!="","",IF(ISNUMBER(MATCH(Data!#REF!,Data_Val!$A$2:$A$3,0)),0,1))</f>
        <v>#REF!</v>
      </c>
      <c r="Q658" s="25" t="e">
        <f ca="1">IF(Data!#REF!="","",IF(ISNUMBER(Data!#REF!),IF(AND(Data!#REF!&gt;(TODAY()-(Data_Val!$J$3*365.25)),Data!#REF!&lt;=(TODAY()-(Data_Val!$J$2*365.25))),0,1),1))</f>
        <v>#REF!</v>
      </c>
      <c r="R658" s="17" t="e">
        <f>IF(Data!#REF!="","",IF(ISNUMBER(MATCH(Data!#REF!,Data_Val!$B$2:$B$15,0)),0,1))</f>
        <v>#REF!</v>
      </c>
      <c r="S658" s="11" t="str">
        <f>IF(Data!G658="","",IF(Data!G658=Data_Val!$C$2,IF(Data!M658="",0,1),0))</f>
        <v/>
      </c>
      <c r="T658" s="11" t="str">
        <f>IF(Data!M658="","",IF(ISNUMBER(MATCH(Data!N658,Data_Val!$A$2:$A$3,0)),0,1))</f>
        <v/>
      </c>
      <c r="U658" s="11" t="str">
        <f ca="1">IF(Data!M658="","",IF(ISNUMBER(Data!O658),IF(AND(Data!O658&gt;(TODAY()-(Data_Val!$K$3*365.25)),Data!O658&lt;=(TODAY()-(Data_Val!$K$2*365.25))),0,1),1))</f>
        <v/>
      </c>
      <c r="V658" s="12" t="str">
        <f>IF(Data!G658="","",IF(Data!G658=Data_Val!$C$2,IF(Data!P658="",0,1),0))</f>
        <v/>
      </c>
      <c r="W658" s="12" t="str">
        <f>IF(Data!P658="","",IF(ISNUMBER(MATCH(Data!Q658,Data_Val!$A$2:$A$3,0)),0,1))</f>
        <v/>
      </c>
      <c r="X658" s="26" t="str">
        <f ca="1">IF(Data!P658="","",IF(ISNUMBER(Data!R658),IF(AND(Data!R658&gt;(TODAY()-(Data_Val!$L$3*365.25)),Data!R658&lt;=(TODAY()-(Data_Val!$L$2*365.25))),0,1),1))</f>
        <v/>
      </c>
      <c r="Y658" s="13" t="str">
        <f>IF(Data!$G658="","",IF(Data!$G658=Data_Val!$C$2,IF(Data!S658="",0,1),0))</f>
        <v/>
      </c>
      <c r="Z658" s="13" t="str">
        <f>IF(Data!S658="","",IF(ISNUMBER(MATCH(Data!T658,Data_Val!$A$2:$A$3,0)),0,1))</f>
        <v/>
      </c>
      <c r="AA658" s="28" t="str">
        <f ca="1">IF(Data!S658="","",IF(ISNUMBER(Data!U658),IF(AND(Data!U658&gt;(TODAY()-(Data_Val!$L$3*365.25)),Data!U658&lt;=(TODAY()-(Data_Val!$L$2*365.25))),0,1),1))</f>
        <v/>
      </c>
      <c r="AB658" s="11"/>
      <c r="AC658" s="11" t="e">
        <f>IF(Data!#REF!="","",IF(ISNUMBER(MATCH(Data!#REF!,Data_Val!$A$2:$A$3,0)),0,1))</f>
        <v>#REF!</v>
      </c>
      <c r="AD658" s="11" t="e">
        <f ca="1">IF(Data!#REF!="","",IF(ISNUMBER(Data!#REF!),IF(AND(Data!#REF!&gt;(TODAY()-(Data_Val!$L$3*365.25)),Data!#REF!&lt;=(TODAY()-(Data_Val!$L$2*365.25))),0,1),1))</f>
        <v>#REF!</v>
      </c>
      <c r="AE658" s="11" t="e">
        <f>IF(Data!#REF!="","",IF(Data!$G658="",1,IF(ISNUMBER(MATCH(Data!#REF!,Data_Val!$D$2:$D$10,0)),0,1)))</f>
        <v>#REF!</v>
      </c>
      <c r="AF658" s="12"/>
      <c r="AG658" s="12" t="e">
        <f>IF(Data!#REF!="","",IF(ISNUMBER(MATCH(Data!#REF!,Data_Val!$A$2:$A$3,0)),0,1))</f>
        <v>#REF!</v>
      </c>
      <c r="AH658" s="26" t="e">
        <f ca="1">IF(Data!#REF!="","",IF(ISNUMBER(Data!#REF!),IF(AND(Data!#REF!&gt;(TODAY()-(Data_Val!$L$3*365.25)),Data!#REF!&lt;=(TODAY()-(Data_Val!$L$2*365.25))),0,1),1))</f>
        <v>#REF!</v>
      </c>
      <c r="AI658" s="12" t="e">
        <f>IF(Data!#REF!="","",IF(Data!$G658="",1,IF(ISNUMBER(MATCH(Data!#REF!,Data_Val!$D$2:$D$10,0)),0,1)))</f>
        <v>#REF!</v>
      </c>
      <c r="AJ658" s="17"/>
      <c r="AK658" s="17" t="e">
        <f>IF(Data!#REF!="","",IF(ISNUMBER(MATCH(Data!#REF!,Data_Val!$A$2:$A$3,0)),0,1))</f>
        <v>#REF!</v>
      </c>
      <c r="AL658" s="25" t="e">
        <f ca="1">IF(Data!#REF!="","",IF(ISNUMBER(Data!#REF!),IF(AND(Data!#REF!&gt;(TODAY()-(Data_Val!$L$3*365.25)),Data!#REF!&lt;=(TODAY()-(Data_Val!$L$2*365.25))),0,1),1))</f>
        <v>#REF!</v>
      </c>
      <c r="AM658" s="17" t="e">
        <f>IF(Data!#REF!="","",IF(Data!$G658="",1,IF(ISNUMBER(MATCH(Data!#REF!,Data_Val!$D$2:$D$10,0)),0,1)))</f>
        <v>#REF!</v>
      </c>
      <c r="AN658" s="13"/>
      <c r="AO658" s="28" t="e">
        <f ca="1">IF(Data!#REF!="","",IF(ISNUMBER(Data!#REF!),IF(AND(Data!#REF!&gt;(TODAY()-(Data_Val!$I$3*365.25)),Data!#REF!&lt;=(TODAY()-(Data_Val!$I$2*365.25))),0,1),1))</f>
        <v>#REF!</v>
      </c>
      <c r="AP658" s="13" t="e">
        <f>IF(Data!#REF!="","",IF(Data!$G658="",1,IF(ISNUMBER(MATCH(Data!#REF!,Data_Val!$D$2:$D$10,0)),0,1)))</f>
        <v>#REF!</v>
      </c>
      <c r="AQ658" s="17"/>
      <c r="AR658" s="30" t="e">
        <f ca="1">IF(Data!#REF!="","",IF(ISNUMBER(Data!#REF!),IF(AND(Data!#REF!&gt;(TODAY()-(Data_Val!$I$3*365.25)),Data!#REF!&lt;=(TODAY()-(Data_Val!$I$2*365.25))),0,1),1))</f>
        <v>#REF!</v>
      </c>
      <c r="AS658" s="31" t="e">
        <f>IF(Data!#REF!="","",IF(Data!$G658="",1,IF(ISNUMBER(MATCH(Data!#REF!,Data_Val!$D$2:$D$10,0)),0,1)))</f>
        <v>#REF!</v>
      </c>
      <c r="AT658" s="11"/>
      <c r="AU658" s="11" t="e">
        <f ca="1">IF(Data!#REF!="","",IF(ISNUMBER(Data!#REF!),IF(AND(Data!#REF!&gt;(TODAY()-(Data_Val!$I$3*365.25)),Data!#REF!&lt;=(TODAY()-(Data_Val!$I$2*365.25))),0,1),1))</f>
        <v>#REF!</v>
      </c>
      <c r="AV658" s="11" t="e">
        <f>IF(Data!#REF!="","",IF(Data!$G658="",1,IF(ISNUMBER(MATCH(Data!#REF!,Data_Val!$D$2:$D$10,0)),0,1)))</f>
        <v>#REF!</v>
      </c>
      <c r="AW658" s="12"/>
      <c r="AX658" s="26" t="e">
        <f ca="1">IF(Data!#REF!="","",IF(ISNUMBER(Data!#REF!),IF(AND(Data!#REF!&gt;(TODAY()-(Data_Val!$I$3*365.25)),Data!#REF!&lt;=(TODAY()-(Data_Val!$I$2*365.25))),0,1),1))</f>
        <v>#REF!</v>
      </c>
      <c r="AY658" s="12" t="e">
        <f>IF(Data!#REF!="","",IF(Data!$G658="",1,IF(ISNUMBER(MATCH(Data!#REF!,Data_Val!$D$2:$D$10,0)),0,1)))</f>
        <v>#REF!</v>
      </c>
      <c r="AZ658" s="11"/>
      <c r="BA658" s="19" t="e">
        <f ca="1">IF(Data!#REF!="","",IF(ISNUMBER(Data!#REF!),IF(AND(Data!#REF!&gt;(TODAY()-(Data_Val!$M$3*365.25)),Data!#REF!&lt;=(TODAY()-(Data_Val!$M$2*365.25))),0,1),1))</f>
        <v>#REF!</v>
      </c>
      <c r="BB658" s="11" t="e">
        <f>IF(Data!#REF!="","",IF(Data!$G658="",1,IF(ISNUMBER(MATCH(Data!#REF!,Data_Val!$D$2:$D$10,0)),0,1)))</f>
        <v>#REF!</v>
      </c>
      <c r="BC658" s="12"/>
      <c r="BD658" s="20" t="e">
        <f ca="1">IF(Data!#REF!="","",IF(ISNUMBER(Data!#REF!),IF(AND(Data!#REF!&gt;(TODAY()-(Data_Val!$M$3*365.25)),Data!#REF!&lt;=(TODAY()-(Data_Val!$M$2*365.25))),0,1),1))</f>
        <v>#REF!</v>
      </c>
      <c r="BE658" s="12" t="e">
        <f>IF(Data!#REF!="","",IF(Data!$G658="",1,IF(ISNUMBER(MATCH(Data!#REF!,Data_Val!$D$2:$D$10,0)),0,1)))</f>
        <v>#REF!</v>
      </c>
      <c r="BF658" s="17"/>
      <c r="BG658" s="18" t="e">
        <f ca="1">IF(Data!#REF!="","",IF(ISNUMBER(Data!#REF!),IF(AND(Data!#REF!&gt;(TODAY()-(Data_Val!$M$3*365.25)),Data!#REF!&lt;=(TODAY()-(Data_Val!$M$2*365.25))),0,1),1))</f>
        <v>#REF!</v>
      </c>
      <c r="BH658" s="29" t="e">
        <f>IF(Data!#REF!="","",IF(Data!$G658="",1,IF(ISNUMBER(MATCH(Data!#REF!,Data_Val!$D$2:$D$10,0)),0,1)))</f>
        <v>#REF!</v>
      </c>
      <c r="BI658" s="13"/>
      <c r="BJ658" s="21" t="e">
        <f ca="1">IF(Data!#REF!="","",IF(ISNUMBER(Data!#REF!),IF(AND(Data!#REF!&gt;(TODAY()-(Data_Val!$M$3*365.25)),Data!#REF!&lt;=(TODAY()-(Data_Val!$M$2*365.25))),0,1),1))</f>
        <v>#REF!</v>
      </c>
      <c r="BK658" s="13" t="e">
        <f>IF(Data!#REF!="","",IF(Data!$G658="",1,IF(ISNUMBER(MATCH(Data!#REF!,Data_Val!$D$2:$D$10,0)),0,1)))</f>
        <v>#REF!</v>
      </c>
    </row>
    <row r="659" spans="1:63" x14ac:dyDescent="0.25">
      <c r="A659" s="9" t="str">
        <f>IF(Data!B659="","",IF(COUNTIFS(Data!A$1:'Data'!A659,Data!A659)&lt;=1,0,1))</f>
        <v/>
      </c>
      <c r="B659" s="9"/>
      <c r="C659" s="23" t="str">
        <f>IF(Data!C659="","",(IF(ISNUMBER(MATCH("*@*.?*",Data!C659,0)),0,1)+IF(COUNTIFS(Data!C$1:'Data'!C659,Data!C659)&gt;1,1,0)))</f>
        <v/>
      </c>
      <c r="D659" s="9" t="str">
        <f>IF(Data!B659="","",IF(ISNUMBER(Data!D659),IF(AND(Data!D659&gt;999999999,Data!D659&lt;=9999999999),IF(COUNTIFS(Data!D$1:'Data'!D659,Data!D659)&lt;=1,0,1),1),1))</f>
        <v/>
      </c>
      <c r="E659" s="9" t="str">
        <f>IF(Data!B659="","",IF(ISNUMBER(MATCH(Data!E659,Data_Val!$A$2:$A$3,0)),0,1))</f>
        <v/>
      </c>
      <c r="F659" s="9" t="str">
        <f ca="1">IF(Data!B659="","",IF(ISNUMBER(Data!F659),IF(AND(Data!F659&gt;(TODAY()-(Data_Val!$H$3*365.25)),Data!F659&lt;=(TODAY()-(Data_Val!$H$2*365.25))),0,1),1))</f>
        <v/>
      </c>
      <c r="G659" s="15" t="str">
        <f>IF(Data!B659="","",IF(AND(Data!G659="",Data!H659&lt;&gt;""),1,IF(Data!#REF!&lt;&gt;"",0,IF(ISNUMBER(MATCH(Data!G659,Data_Val!$C$2:$C$5,0)),0,1))))</f>
        <v/>
      </c>
      <c r="H659" s="15" t="str">
        <f>IF(Data!B659="","",IF(AND(Data!G659&lt;&gt;"",Data!H659=""),1,IF(Data!#REF!&lt;&gt;"",0,IF(Data!G659="",1,IF(ISNUMBER(MATCH(Data!H659,Data_Val!$D$2:$D$35,0)),0,1)))))</f>
        <v/>
      </c>
      <c r="I659" s="15" t="str">
        <f>IF(Data!B659="","",IF(Data!G659&lt;&gt;"",0,IF(ISNUMBER(MATCH(Data!#REF!,Data_Val!$E$2:$E$12,0)),0,1)))</f>
        <v/>
      </c>
      <c r="J659" s="16" t="e">
        <f>IF(OR(Data!B659="",Data!#REF!=""),"",IF(Data!#REF!="",1,0))</f>
        <v>#REF!</v>
      </c>
      <c r="K659" s="16" t="e">
        <f>IF(OR(Data!B659="",Data!#REF!=""),"",IF(Data!#REF!="",1,0))</f>
        <v>#REF!</v>
      </c>
      <c r="L659" s="16" t="e">
        <f>IF(OR(Data!B659="",Data!#REF!=""),"",IF(ISNUMBER(Data!#REF!),IF(AND(Data!#REF!&gt;Data_Val!$G$2,Data!#REF!&lt;=Data_Val!$G$3),0,1),1))</f>
        <v>#REF!</v>
      </c>
      <c r="M659" s="9" t="e">
        <f>IF(OR(Data!B659="",Data!#REF!=""),"",IF(ISNUMBER(MATCH(Data!#REF!,Data_Val!$F$1:$F$38,0)),0,1))</f>
        <v>#REF!</v>
      </c>
      <c r="N659" s="9" t="e">
        <f>IF(OR(Data!B659="",Data!#REF!=""),"",IF(Data!#REF!="",1,0))</f>
        <v>#REF!</v>
      </c>
      <c r="O659" s="17" t="e">
        <f>IF(Data!#REF!="","",IF(Data!#REF!="",1,0))</f>
        <v>#REF!</v>
      </c>
      <c r="P659" s="17" t="e">
        <f>IF(Data!#REF!="","",IF(ISNUMBER(MATCH(Data!#REF!,Data_Val!$A$2:$A$3,0)),0,1))</f>
        <v>#REF!</v>
      </c>
      <c r="Q659" s="25" t="e">
        <f ca="1">IF(Data!#REF!="","",IF(ISNUMBER(Data!#REF!),IF(AND(Data!#REF!&gt;(TODAY()-(Data_Val!$J$3*365.25)),Data!#REF!&lt;=(TODAY()-(Data_Val!$J$2*365.25))),0,1),1))</f>
        <v>#REF!</v>
      </c>
      <c r="R659" s="17" t="e">
        <f>IF(Data!#REF!="","",IF(ISNUMBER(MATCH(Data!#REF!,Data_Val!$B$2:$B$15,0)),0,1))</f>
        <v>#REF!</v>
      </c>
      <c r="S659" s="11" t="str">
        <f>IF(Data!G659="","",IF(Data!G659=Data_Val!$C$2,IF(Data!M659="",0,1),0))</f>
        <v/>
      </c>
      <c r="T659" s="11" t="str">
        <f>IF(Data!M659="","",IF(ISNUMBER(MATCH(Data!N659,Data_Val!$A$2:$A$3,0)),0,1))</f>
        <v/>
      </c>
      <c r="U659" s="11" t="str">
        <f ca="1">IF(Data!M659="","",IF(ISNUMBER(Data!O659),IF(AND(Data!O659&gt;(TODAY()-(Data_Val!$K$3*365.25)),Data!O659&lt;=(TODAY()-(Data_Val!$K$2*365.25))),0,1),1))</f>
        <v/>
      </c>
      <c r="V659" s="12" t="str">
        <f>IF(Data!G659="","",IF(Data!G659=Data_Val!$C$2,IF(Data!P659="",0,1),0))</f>
        <v/>
      </c>
      <c r="W659" s="12" t="str">
        <f>IF(Data!P659="","",IF(ISNUMBER(MATCH(Data!Q659,Data_Val!$A$2:$A$3,0)),0,1))</f>
        <v/>
      </c>
      <c r="X659" s="26" t="str">
        <f ca="1">IF(Data!P659="","",IF(ISNUMBER(Data!R659),IF(AND(Data!R659&gt;(TODAY()-(Data_Val!$L$3*365.25)),Data!R659&lt;=(TODAY()-(Data_Val!$L$2*365.25))),0,1),1))</f>
        <v/>
      </c>
      <c r="Y659" s="13" t="str">
        <f>IF(Data!$G659="","",IF(Data!$G659=Data_Val!$C$2,IF(Data!S659="",0,1),0))</f>
        <v/>
      </c>
      <c r="Z659" s="13" t="str">
        <f>IF(Data!S659="","",IF(ISNUMBER(MATCH(Data!T659,Data_Val!$A$2:$A$3,0)),0,1))</f>
        <v/>
      </c>
      <c r="AA659" s="28" t="str">
        <f ca="1">IF(Data!S659="","",IF(ISNUMBER(Data!U659),IF(AND(Data!U659&gt;(TODAY()-(Data_Val!$L$3*365.25)),Data!U659&lt;=(TODAY()-(Data_Val!$L$2*365.25))),0,1),1))</f>
        <v/>
      </c>
      <c r="AB659" s="11"/>
      <c r="AC659" s="11" t="e">
        <f>IF(Data!#REF!="","",IF(ISNUMBER(MATCH(Data!#REF!,Data_Val!$A$2:$A$3,0)),0,1))</f>
        <v>#REF!</v>
      </c>
      <c r="AD659" s="11" t="e">
        <f ca="1">IF(Data!#REF!="","",IF(ISNUMBER(Data!#REF!),IF(AND(Data!#REF!&gt;(TODAY()-(Data_Val!$L$3*365.25)),Data!#REF!&lt;=(TODAY()-(Data_Val!$L$2*365.25))),0,1),1))</f>
        <v>#REF!</v>
      </c>
      <c r="AE659" s="11" t="e">
        <f>IF(Data!#REF!="","",IF(Data!$G659="",1,IF(ISNUMBER(MATCH(Data!#REF!,Data_Val!$D$2:$D$10,0)),0,1)))</f>
        <v>#REF!</v>
      </c>
      <c r="AF659" s="12"/>
      <c r="AG659" s="12" t="e">
        <f>IF(Data!#REF!="","",IF(ISNUMBER(MATCH(Data!#REF!,Data_Val!$A$2:$A$3,0)),0,1))</f>
        <v>#REF!</v>
      </c>
      <c r="AH659" s="26" t="e">
        <f ca="1">IF(Data!#REF!="","",IF(ISNUMBER(Data!#REF!),IF(AND(Data!#REF!&gt;(TODAY()-(Data_Val!$L$3*365.25)),Data!#REF!&lt;=(TODAY()-(Data_Val!$L$2*365.25))),0,1),1))</f>
        <v>#REF!</v>
      </c>
      <c r="AI659" s="12" t="e">
        <f>IF(Data!#REF!="","",IF(Data!$G659="",1,IF(ISNUMBER(MATCH(Data!#REF!,Data_Val!$D$2:$D$10,0)),0,1)))</f>
        <v>#REF!</v>
      </c>
      <c r="AJ659" s="17"/>
      <c r="AK659" s="17" t="e">
        <f>IF(Data!#REF!="","",IF(ISNUMBER(MATCH(Data!#REF!,Data_Val!$A$2:$A$3,0)),0,1))</f>
        <v>#REF!</v>
      </c>
      <c r="AL659" s="25" t="e">
        <f ca="1">IF(Data!#REF!="","",IF(ISNUMBER(Data!#REF!),IF(AND(Data!#REF!&gt;(TODAY()-(Data_Val!$L$3*365.25)),Data!#REF!&lt;=(TODAY()-(Data_Val!$L$2*365.25))),0,1),1))</f>
        <v>#REF!</v>
      </c>
      <c r="AM659" s="17" t="e">
        <f>IF(Data!#REF!="","",IF(Data!$G659="",1,IF(ISNUMBER(MATCH(Data!#REF!,Data_Val!$D$2:$D$10,0)),0,1)))</f>
        <v>#REF!</v>
      </c>
      <c r="AN659" s="13"/>
      <c r="AO659" s="28" t="e">
        <f ca="1">IF(Data!#REF!="","",IF(ISNUMBER(Data!#REF!),IF(AND(Data!#REF!&gt;(TODAY()-(Data_Val!$I$3*365.25)),Data!#REF!&lt;=(TODAY()-(Data_Val!$I$2*365.25))),0,1),1))</f>
        <v>#REF!</v>
      </c>
      <c r="AP659" s="13" t="e">
        <f>IF(Data!#REF!="","",IF(Data!$G659="",1,IF(ISNUMBER(MATCH(Data!#REF!,Data_Val!$D$2:$D$10,0)),0,1)))</f>
        <v>#REF!</v>
      </c>
      <c r="AQ659" s="17"/>
      <c r="AR659" s="30" t="e">
        <f ca="1">IF(Data!#REF!="","",IF(ISNUMBER(Data!#REF!),IF(AND(Data!#REF!&gt;(TODAY()-(Data_Val!$I$3*365.25)),Data!#REF!&lt;=(TODAY()-(Data_Val!$I$2*365.25))),0,1),1))</f>
        <v>#REF!</v>
      </c>
      <c r="AS659" s="31" t="e">
        <f>IF(Data!#REF!="","",IF(Data!$G659="",1,IF(ISNUMBER(MATCH(Data!#REF!,Data_Val!$D$2:$D$10,0)),0,1)))</f>
        <v>#REF!</v>
      </c>
      <c r="AT659" s="11"/>
      <c r="AU659" s="11" t="e">
        <f ca="1">IF(Data!#REF!="","",IF(ISNUMBER(Data!#REF!),IF(AND(Data!#REF!&gt;(TODAY()-(Data_Val!$I$3*365.25)),Data!#REF!&lt;=(TODAY()-(Data_Val!$I$2*365.25))),0,1),1))</f>
        <v>#REF!</v>
      </c>
      <c r="AV659" s="11" t="e">
        <f>IF(Data!#REF!="","",IF(Data!$G659="",1,IF(ISNUMBER(MATCH(Data!#REF!,Data_Val!$D$2:$D$10,0)),0,1)))</f>
        <v>#REF!</v>
      </c>
      <c r="AW659" s="12"/>
      <c r="AX659" s="26" t="e">
        <f ca="1">IF(Data!#REF!="","",IF(ISNUMBER(Data!#REF!),IF(AND(Data!#REF!&gt;(TODAY()-(Data_Val!$I$3*365.25)),Data!#REF!&lt;=(TODAY()-(Data_Val!$I$2*365.25))),0,1),1))</f>
        <v>#REF!</v>
      </c>
      <c r="AY659" s="12" t="e">
        <f>IF(Data!#REF!="","",IF(Data!$G659="",1,IF(ISNUMBER(MATCH(Data!#REF!,Data_Val!$D$2:$D$10,0)),0,1)))</f>
        <v>#REF!</v>
      </c>
      <c r="AZ659" s="11"/>
      <c r="BA659" s="19" t="e">
        <f ca="1">IF(Data!#REF!="","",IF(ISNUMBER(Data!#REF!),IF(AND(Data!#REF!&gt;(TODAY()-(Data_Val!$M$3*365.25)),Data!#REF!&lt;=(TODAY()-(Data_Val!$M$2*365.25))),0,1),1))</f>
        <v>#REF!</v>
      </c>
      <c r="BB659" s="11" t="e">
        <f>IF(Data!#REF!="","",IF(Data!$G659="",1,IF(ISNUMBER(MATCH(Data!#REF!,Data_Val!$D$2:$D$10,0)),0,1)))</f>
        <v>#REF!</v>
      </c>
      <c r="BC659" s="12"/>
      <c r="BD659" s="20" t="e">
        <f ca="1">IF(Data!#REF!="","",IF(ISNUMBER(Data!#REF!),IF(AND(Data!#REF!&gt;(TODAY()-(Data_Val!$M$3*365.25)),Data!#REF!&lt;=(TODAY()-(Data_Val!$M$2*365.25))),0,1),1))</f>
        <v>#REF!</v>
      </c>
      <c r="BE659" s="12" t="e">
        <f>IF(Data!#REF!="","",IF(Data!$G659="",1,IF(ISNUMBER(MATCH(Data!#REF!,Data_Val!$D$2:$D$10,0)),0,1)))</f>
        <v>#REF!</v>
      </c>
      <c r="BF659" s="17"/>
      <c r="BG659" s="18" t="e">
        <f ca="1">IF(Data!#REF!="","",IF(ISNUMBER(Data!#REF!),IF(AND(Data!#REF!&gt;(TODAY()-(Data_Val!$M$3*365.25)),Data!#REF!&lt;=(TODAY()-(Data_Val!$M$2*365.25))),0,1),1))</f>
        <v>#REF!</v>
      </c>
      <c r="BH659" s="29" t="e">
        <f>IF(Data!#REF!="","",IF(Data!$G659="",1,IF(ISNUMBER(MATCH(Data!#REF!,Data_Val!$D$2:$D$10,0)),0,1)))</f>
        <v>#REF!</v>
      </c>
      <c r="BI659" s="13"/>
      <c r="BJ659" s="21" t="e">
        <f ca="1">IF(Data!#REF!="","",IF(ISNUMBER(Data!#REF!),IF(AND(Data!#REF!&gt;(TODAY()-(Data_Val!$M$3*365.25)),Data!#REF!&lt;=(TODAY()-(Data_Val!$M$2*365.25))),0,1),1))</f>
        <v>#REF!</v>
      </c>
      <c r="BK659" s="13" t="e">
        <f>IF(Data!#REF!="","",IF(Data!$G659="",1,IF(ISNUMBER(MATCH(Data!#REF!,Data_Val!$D$2:$D$10,0)),0,1)))</f>
        <v>#REF!</v>
      </c>
    </row>
    <row r="660" spans="1:63" x14ac:dyDescent="0.25">
      <c r="A660" s="9" t="str">
        <f>IF(Data!B660="","",IF(COUNTIFS(Data!A$1:'Data'!A660,Data!A660)&lt;=1,0,1))</f>
        <v/>
      </c>
      <c r="B660" s="9"/>
      <c r="C660" s="23" t="str">
        <f>IF(Data!C660="","",(IF(ISNUMBER(MATCH("*@*.?*",Data!C660,0)),0,1)+IF(COUNTIFS(Data!C$1:'Data'!C660,Data!C660)&gt;1,1,0)))</f>
        <v/>
      </c>
      <c r="D660" s="9" t="str">
        <f>IF(Data!B660="","",IF(ISNUMBER(Data!D660),IF(AND(Data!D660&gt;999999999,Data!D660&lt;=9999999999),IF(COUNTIFS(Data!D$1:'Data'!D660,Data!D660)&lt;=1,0,1),1),1))</f>
        <v/>
      </c>
      <c r="E660" s="9" t="str">
        <f>IF(Data!B660="","",IF(ISNUMBER(MATCH(Data!E660,Data_Val!$A$2:$A$3,0)),0,1))</f>
        <v/>
      </c>
      <c r="F660" s="9" t="str">
        <f ca="1">IF(Data!B660="","",IF(ISNUMBER(Data!F660),IF(AND(Data!F660&gt;(TODAY()-(Data_Val!$H$3*365.25)),Data!F660&lt;=(TODAY()-(Data_Val!$H$2*365.25))),0,1),1))</f>
        <v/>
      </c>
      <c r="G660" s="15" t="str">
        <f>IF(Data!B660="","",IF(AND(Data!G660="",Data!H660&lt;&gt;""),1,IF(Data!#REF!&lt;&gt;"",0,IF(ISNUMBER(MATCH(Data!G660,Data_Val!$C$2:$C$5,0)),0,1))))</f>
        <v/>
      </c>
      <c r="H660" s="15" t="str">
        <f>IF(Data!B660="","",IF(AND(Data!G660&lt;&gt;"",Data!H660=""),1,IF(Data!#REF!&lt;&gt;"",0,IF(Data!G660="",1,IF(ISNUMBER(MATCH(Data!H660,Data_Val!$D$2:$D$35,0)),0,1)))))</f>
        <v/>
      </c>
      <c r="I660" s="15" t="str">
        <f>IF(Data!B660="","",IF(Data!G660&lt;&gt;"",0,IF(ISNUMBER(MATCH(Data!#REF!,Data_Val!$E$2:$E$12,0)),0,1)))</f>
        <v/>
      </c>
      <c r="J660" s="16" t="e">
        <f>IF(OR(Data!B660="",Data!#REF!=""),"",IF(Data!#REF!="",1,0))</f>
        <v>#REF!</v>
      </c>
      <c r="K660" s="16" t="e">
        <f>IF(OR(Data!B660="",Data!#REF!=""),"",IF(Data!#REF!="",1,0))</f>
        <v>#REF!</v>
      </c>
      <c r="L660" s="16" t="e">
        <f>IF(OR(Data!B660="",Data!#REF!=""),"",IF(ISNUMBER(Data!#REF!),IF(AND(Data!#REF!&gt;Data_Val!$G$2,Data!#REF!&lt;=Data_Val!$G$3),0,1),1))</f>
        <v>#REF!</v>
      </c>
      <c r="M660" s="9" t="e">
        <f>IF(OR(Data!B660="",Data!#REF!=""),"",IF(ISNUMBER(MATCH(Data!#REF!,Data_Val!$F$1:$F$38,0)),0,1))</f>
        <v>#REF!</v>
      </c>
      <c r="N660" s="9" t="e">
        <f>IF(OR(Data!B660="",Data!#REF!=""),"",IF(Data!#REF!="",1,0))</f>
        <v>#REF!</v>
      </c>
      <c r="O660" s="17" t="e">
        <f>IF(Data!#REF!="","",IF(Data!#REF!="",1,0))</f>
        <v>#REF!</v>
      </c>
      <c r="P660" s="17" t="e">
        <f>IF(Data!#REF!="","",IF(ISNUMBER(MATCH(Data!#REF!,Data_Val!$A$2:$A$3,0)),0,1))</f>
        <v>#REF!</v>
      </c>
      <c r="Q660" s="25" t="e">
        <f ca="1">IF(Data!#REF!="","",IF(ISNUMBER(Data!#REF!),IF(AND(Data!#REF!&gt;(TODAY()-(Data_Val!$J$3*365.25)),Data!#REF!&lt;=(TODAY()-(Data_Val!$J$2*365.25))),0,1),1))</f>
        <v>#REF!</v>
      </c>
      <c r="R660" s="17" t="e">
        <f>IF(Data!#REF!="","",IF(ISNUMBER(MATCH(Data!#REF!,Data_Val!$B$2:$B$15,0)),0,1))</f>
        <v>#REF!</v>
      </c>
      <c r="S660" s="11" t="str">
        <f>IF(Data!G660="","",IF(Data!G660=Data_Val!$C$2,IF(Data!M660="",0,1),0))</f>
        <v/>
      </c>
      <c r="T660" s="11" t="str">
        <f>IF(Data!M660="","",IF(ISNUMBER(MATCH(Data!N660,Data_Val!$A$2:$A$3,0)),0,1))</f>
        <v/>
      </c>
      <c r="U660" s="11" t="str">
        <f ca="1">IF(Data!M660="","",IF(ISNUMBER(Data!O660),IF(AND(Data!O660&gt;(TODAY()-(Data_Val!$K$3*365.25)),Data!O660&lt;=(TODAY()-(Data_Val!$K$2*365.25))),0,1),1))</f>
        <v/>
      </c>
      <c r="V660" s="12" t="str">
        <f>IF(Data!G660="","",IF(Data!G660=Data_Val!$C$2,IF(Data!P660="",0,1),0))</f>
        <v/>
      </c>
      <c r="W660" s="12" t="str">
        <f>IF(Data!P660="","",IF(ISNUMBER(MATCH(Data!Q660,Data_Val!$A$2:$A$3,0)),0,1))</f>
        <v/>
      </c>
      <c r="X660" s="26" t="str">
        <f ca="1">IF(Data!P660="","",IF(ISNUMBER(Data!R660),IF(AND(Data!R660&gt;(TODAY()-(Data_Val!$L$3*365.25)),Data!R660&lt;=(TODAY()-(Data_Val!$L$2*365.25))),0,1),1))</f>
        <v/>
      </c>
      <c r="Y660" s="13" t="str">
        <f>IF(Data!$G660="","",IF(Data!$G660=Data_Val!$C$2,IF(Data!S660="",0,1),0))</f>
        <v/>
      </c>
      <c r="Z660" s="13" t="str">
        <f>IF(Data!S660="","",IF(ISNUMBER(MATCH(Data!T660,Data_Val!$A$2:$A$3,0)),0,1))</f>
        <v/>
      </c>
      <c r="AA660" s="28" t="str">
        <f ca="1">IF(Data!S660="","",IF(ISNUMBER(Data!U660),IF(AND(Data!U660&gt;(TODAY()-(Data_Val!$L$3*365.25)),Data!U660&lt;=(TODAY()-(Data_Val!$L$2*365.25))),0,1),1))</f>
        <v/>
      </c>
      <c r="AB660" s="11"/>
      <c r="AC660" s="11" t="e">
        <f>IF(Data!#REF!="","",IF(ISNUMBER(MATCH(Data!#REF!,Data_Val!$A$2:$A$3,0)),0,1))</f>
        <v>#REF!</v>
      </c>
      <c r="AD660" s="11" t="e">
        <f ca="1">IF(Data!#REF!="","",IF(ISNUMBER(Data!#REF!),IF(AND(Data!#REF!&gt;(TODAY()-(Data_Val!$L$3*365.25)),Data!#REF!&lt;=(TODAY()-(Data_Val!$L$2*365.25))),0,1),1))</f>
        <v>#REF!</v>
      </c>
      <c r="AE660" s="11" t="e">
        <f>IF(Data!#REF!="","",IF(Data!$G660="",1,IF(ISNUMBER(MATCH(Data!#REF!,Data_Val!$D$2:$D$10,0)),0,1)))</f>
        <v>#REF!</v>
      </c>
      <c r="AF660" s="12"/>
      <c r="AG660" s="12" t="e">
        <f>IF(Data!#REF!="","",IF(ISNUMBER(MATCH(Data!#REF!,Data_Val!$A$2:$A$3,0)),0,1))</f>
        <v>#REF!</v>
      </c>
      <c r="AH660" s="26" t="e">
        <f ca="1">IF(Data!#REF!="","",IF(ISNUMBER(Data!#REF!),IF(AND(Data!#REF!&gt;(TODAY()-(Data_Val!$L$3*365.25)),Data!#REF!&lt;=(TODAY()-(Data_Val!$L$2*365.25))),0,1),1))</f>
        <v>#REF!</v>
      </c>
      <c r="AI660" s="12" t="e">
        <f>IF(Data!#REF!="","",IF(Data!$G660="",1,IF(ISNUMBER(MATCH(Data!#REF!,Data_Val!$D$2:$D$10,0)),0,1)))</f>
        <v>#REF!</v>
      </c>
      <c r="AJ660" s="17"/>
      <c r="AK660" s="17" t="e">
        <f>IF(Data!#REF!="","",IF(ISNUMBER(MATCH(Data!#REF!,Data_Val!$A$2:$A$3,0)),0,1))</f>
        <v>#REF!</v>
      </c>
      <c r="AL660" s="25" t="e">
        <f ca="1">IF(Data!#REF!="","",IF(ISNUMBER(Data!#REF!),IF(AND(Data!#REF!&gt;(TODAY()-(Data_Val!$L$3*365.25)),Data!#REF!&lt;=(TODAY()-(Data_Val!$L$2*365.25))),0,1),1))</f>
        <v>#REF!</v>
      </c>
      <c r="AM660" s="17" t="e">
        <f>IF(Data!#REF!="","",IF(Data!$G660="",1,IF(ISNUMBER(MATCH(Data!#REF!,Data_Val!$D$2:$D$10,0)),0,1)))</f>
        <v>#REF!</v>
      </c>
      <c r="AN660" s="13"/>
      <c r="AO660" s="28" t="e">
        <f ca="1">IF(Data!#REF!="","",IF(ISNUMBER(Data!#REF!),IF(AND(Data!#REF!&gt;(TODAY()-(Data_Val!$I$3*365.25)),Data!#REF!&lt;=(TODAY()-(Data_Val!$I$2*365.25))),0,1),1))</f>
        <v>#REF!</v>
      </c>
      <c r="AP660" s="13" t="e">
        <f>IF(Data!#REF!="","",IF(Data!$G660="",1,IF(ISNUMBER(MATCH(Data!#REF!,Data_Val!$D$2:$D$10,0)),0,1)))</f>
        <v>#REF!</v>
      </c>
      <c r="AQ660" s="17"/>
      <c r="AR660" s="30" t="e">
        <f ca="1">IF(Data!#REF!="","",IF(ISNUMBER(Data!#REF!),IF(AND(Data!#REF!&gt;(TODAY()-(Data_Val!$I$3*365.25)),Data!#REF!&lt;=(TODAY()-(Data_Val!$I$2*365.25))),0,1),1))</f>
        <v>#REF!</v>
      </c>
      <c r="AS660" s="31" t="e">
        <f>IF(Data!#REF!="","",IF(Data!$G660="",1,IF(ISNUMBER(MATCH(Data!#REF!,Data_Val!$D$2:$D$10,0)),0,1)))</f>
        <v>#REF!</v>
      </c>
      <c r="AT660" s="11"/>
      <c r="AU660" s="11" t="e">
        <f ca="1">IF(Data!#REF!="","",IF(ISNUMBER(Data!#REF!),IF(AND(Data!#REF!&gt;(TODAY()-(Data_Val!$I$3*365.25)),Data!#REF!&lt;=(TODAY()-(Data_Val!$I$2*365.25))),0,1),1))</f>
        <v>#REF!</v>
      </c>
      <c r="AV660" s="11" t="e">
        <f>IF(Data!#REF!="","",IF(Data!$G660="",1,IF(ISNUMBER(MATCH(Data!#REF!,Data_Val!$D$2:$D$10,0)),0,1)))</f>
        <v>#REF!</v>
      </c>
      <c r="AW660" s="12"/>
      <c r="AX660" s="26" t="e">
        <f ca="1">IF(Data!#REF!="","",IF(ISNUMBER(Data!#REF!),IF(AND(Data!#REF!&gt;(TODAY()-(Data_Val!$I$3*365.25)),Data!#REF!&lt;=(TODAY()-(Data_Val!$I$2*365.25))),0,1),1))</f>
        <v>#REF!</v>
      </c>
      <c r="AY660" s="12" t="e">
        <f>IF(Data!#REF!="","",IF(Data!$G660="",1,IF(ISNUMBER(MATCH(Data!#REF!,Data_Val!$D$2:$D$10,0)),0,1)))</f>
        <v>#REF!</v>
      </c>
      <c r="AZ660" s="11"/>
      <c r="BA660" s="19" t="e">
        <f ca="1">IF(Data!#REF!="","",IF(ISNUMBER(Data!#REF!),IF(AND(Data!#REF!&gt;(TODAY()-(Data_Val!$M$3*365.25)),Data!#REF!&lt;=(TODAY()-(Data_Val!$M$2*365.25))),0,1),1))</f>
        <v>#REF!</v>
      </c>
      <c r="BB660" s="11" t="e">
        <f>IF(Data!#REF!="","",IF(Data!$G660="",1,IF(ISNUMBER(MATCH(Data!#REF!,Data_Val!$D$2:$D$10,0)),0,1)))</f>
        <v>#REF!</v>
      </c>
      <c r="BC660" s="12"/>
      <c r="BD660" s="20" t="e">
        <f ca="1">IF(Data!#REF!="","",IF(ISNUMBER(Data!#REF!),IF(AND(Data!#REF!&gt;(TODAY()-(Data_Val!$M$3*365.25)),Data!#REF!&lt;=(TODAY()-(Data_Val!$M$2*365.25))),0,1),1))</f>
        <v>#REF!</v>
      </c>
      <c r="BE660" s="12" t="e">
        <f>IF(Data!#REF!="","",IF(Data!$G660="",1,IF(ISNUMBER(MATCH(Data!#REF!,Data_Val!$D$2:$D$10,0)),0,1)))</f>
        <v>#REF!</v>
      </c>
      <c r="BF660" s="17"/>
      <c r="BG660" s="18" t="e">
        <f ca="1">IF(Data!#REF!="","",IF(ISNUMBER(Data!#REF!),IF(AND(Data!#REF!&gt;(TODAY()-(Data_Val!$M$3*365.25)),Data!#REF!&lt;=(TODAY()-(Data_Val!$M$2*365.25))),0,1),1))</f>
        <v>#REF!</v>
      </c>
      <c r="BH660" s="29" t="e">
        <f>IF(Data!#REF!="","",IF(Data!$G660="",1,IF(ISNUMBER(MATCH(Data!#REF!,Data_Val!$D$2:$D$10,0)),0,1)))</f>
        <v>#REF!</v>
      </c>
      <c r="BI660" s="13"/>
      <c r="BJ660" s="21" t="e">
        <f ca="1">IF(Data!#REF!="","",IF(ISNUMBER(Data!#REF!),IF(AND(Data!#REF!&gt;(TODAY()-(Data_Val!$M$3*365.25)),Data!#REF!&lt;=(TODAY()-(Data_Val!$M$2*365.25))),0,1),1))</f>
        <v>#REF!</v>
      </c>
      <c r="BK660" s="13" t="e">
        <f>IF(Data!#REF!="","",IF(Data!$G660="",1,IF(ISNUMBER(MATCH(Data!#REF!,Data_Val!$D$2:$D$10,0)),0,1)))</f>
        <v>#REF!</v>
      </c>
    </row>
    <row r="661" spans="1:63" x14ac:dyDescent="0.25">
      <c r="A661" s="9" t="str">
        <f>IF(Data!B661="","",IF(COUNTIFS(Data!A$1:'Data'!A661,Data!A661)&lt;=1,0,1))</f>
        <v/>
      </c>
      <c r="B661" s="9"/>
      <c r="C661" s="23" t="str">
        <f>IF(Data!C661="","",(IF(ISNUMBER(MATCH("*@*.?*",Data!C661,0)),0,1)+IF(COUNTIFS(Data!C$1:'Data'!C661,Data!C661)&gt;1,1,0)))</f>
        <v/>
      </c>
      <c r="D661" s="9" t="str">
        <f>IF(Data!B661="","",IF(ISNUMBER(Data!D661),IF(AND(Data!D661&gt;999999999,Data!D661&lt;=9999999999),IF(COUNTIFS(Data!D$1:'Data'!D661,Data!D661)&lt;=1,0,1),1),1))</f>
        <v/>
      </c>
      <c r="E661" s="9" t="str">
        <f>IF(Data!B661="","",IF(ISNUMBER(MATCH(Data!E661,Data_Val!$A$2:$A$3,0)),0,1))</f>
        <v/>
      </c>
      <c r="F661" s="9" t="str">
        <f ca="1">IF(Data!B661="","",IF(ISNUMBER(Data!F661),IF(AND(Data!F661&gt;(TODAY()-(Data_Val!$H$3*365.25)),Data!F661&lt;=(TODAY()-(Data_Val!$H$2*365.25))),0,1),1))</f>
        <v/>
      </c>
      <c r="G661" s="15" t="str">
        <f>IF(Data!B661="","",IF(AND(Data!G661="",Data!H661&lt;&gt;""),1,IF(Data!#REF!&lt;&gt;"",0,IF(ISNUMBER(MATCH(Data!G661,Data_Val!$C$2:$C$5,0)),0,1))))</f>
        <v/>
      </c>
      <c r="H661" s="15" t="str">
        <f>IF(Data!B661="","",IF(AND(Data!G661&lt;&gt;"",Data!H661=""),1,IF(Data!#REF!&lt;&gt;"",0,IF(Data!G661="",1,IF(ISNUMBER(MATCH(Data!H661,Data_Val!$D$2:$D$35,0)),0,1)))))</f>
        <v/>
      </c>
      <c r="I661" s="15" t="str">
        <f>IF(Data!B661="","",IF(Data!G661&lt;&gt;"",0,IF(ISNUMBER(MATCH(Data!#REF!,Data_Val!$E$2:$E$12,0)),0,1)))</f>
        <v/>
      </c>
      <c r="J661" s="16" t="e">
        <f>IF(OR(Data!B661="",Data!#REF!=""),"",IF(Data!#REF!="",1,0))</f>
        <v>#REF!</v>
      </c>
      <c r="K661" s="16" t="e">
        <f>IF(OR(Data!B661="",Data!#REF!=""),"",IF(Data!#REF!="",1,0))</f>
        <v>#REF!</v>
      </c>
      <c r="L661" s="16" t="e">
        <f>IF(OR(Data!B661="",Data!#REF!=""),"",IF(ISNUMBER(Data!#REF!),IF(AND(Data!#REF!&gt;Data_Val!$G$2,Data!#REF!&lt;=Data_Val!$G$3),0,1),1))</f>
        <v>#REF!</v>
      </c>
      <c r="M661" s="9" t="e">
        <f>IF(OR(Data!B661="",Data!#REF!=""),"",IF(ISNUMBER(MATCH(Data!#REF!,Data_Val!$F$1:$F$38,0)),0,1))</f>
        <v>#REF!</v>
      </c>
      <c r="N661" s="9" t="e">
        <f>IF(OR(Data!B661="",Data!#REF!=""),"",IF(Data!#REF!="",1,0))</f>
        <v>#REF!</v>
      </c>
      <c r="O661" s="17" t="e">
        <f>IF(Data!#REF!="","",IF(Data!#REF!="",1,0))</f>
        <v>#REF!</v>
      </c>
      <c r="P661" s="17" t="e">
        <f>IF(Data!#REF!="","",IF(ISNUMBER(MATCH(Data!#REF!,Data_Val!$A$2:$A$3,0)),0,1))</f>
        <v>#REF!</v>
      </c>
      <c r="Q661" s="25" t="e">
        <f ca="1">IF(Data!#REF!="","",IF(ISNUMBER(Data!#REF!),IF(AND(Data!#REF!&gt;(TODAY()-(Data_Val!$J$3*365.25)),Data!#REF!&lt;=(TODAY()-(Data_Val!$J$2*365.25))),0,1),1))</f>
        <v>#REF!</v>
      </c>
      <c r="R661" s="17" t="e">
        <f>IF(Data!#REF!="","",IF(ISNUMBER(MATCH(Data!#REF!,Data_Val!$B$2:$B$15,0)),0,1))</f>
        <v>#REF!</v>
      </c>
      <c r="S661" s="11" t="str">
        <f>IF(Data!G661="","",IF(Data!G661=Data_Val!$C$2,IF(Data!M661="",0,1),0))</f>
        <v/>
      </c>
      <c r="T661" s="11" t="str">
        <f>IF(Data!M661="","",IF(ISNUMBER(MATCH(Data!N661,Data_Val!$A$2:$A$3,0)),0,1))</f>
        <v/>
      </c>
      <c r="U661" s="11" t="str">
        <f ca="1">IF(Data!M661="","",IF(ISNUMBER(Data!O661),IF(AND(Data!O661&gt;(TODAY()-(Data_Val!$K$3*365.25)),Data!O661&lt;=(TODAY()-(Data_Val!$K$2*365.25))),0,1),1))</f>
        <v/>
      </c>
      <c r="V661" s="12" t="str">
        <f>IF(Data!G661="","",IF(Data!G661=Data_Val!$C$2,IF(Data!P661="",0,1),0))</f>
        <v/>
      </c>
      <c r="W661" s="12" t="str">
        <f>IF(Data!P661="","",IF(ISNUMBER(MATCH(Data!Q661,Data_Val!$A$2:$A$3,0)),0,1))</f>
        <v/>
      </c>
      <c r="X661" s="26" t="str">
        <f ca="1">IF(Data!P661="","",IF(ISNUMBER(Data!R661),IF(AND(Data!R661&gt;(TODAY()-(Data_Val!$L$3*365.25)),Data!R661&lt;=(TODAY()-(Data_Val!$L$2*365.25))),0,1),1))</f>
        <v/>
      </c>
      <c r="Y661" s="13" t="str">
        <f>IF(Data!$G661="","",IF(Data!$G661=Data_Val!$C$2,IF(Data!S661="",0,1),0))</f>
        <v/>
      </c>
      <c r="Z661" s="13" t="str">
        <f>IF(Data!S661="","",IF(ISNUMBER(MATCH(Data!T661,Data_Val!$A$2:$A$3,0)),0,1))</f>
        <v/>
      </c>
      <c r="AA661" s="28" t="str">
        <f ca="1">IF(Data!S661="","",IF(ISNUMBER(Data!U661),IF(AND(Data!U661&gt;(TODAY()-(Data_Val!$L$3*365.25)),Data!U661&lt;=(TODAY()-(Data_Val!$L$2*365.25))),0,1),1))</f>
        <v/>
      </c>
      <c r="AB661" s="11"/>
      <c r="AC661" s="11" t="e">
        <f>IF(Data!#REF!="","",IF(ISNUMBER(MATCH(Data!#REF!,Data_Val!$A$2:$A$3,0)),0,1))</f>
        <v>#REF!</v>
      </c>
      <c r="AD661" s="11" t="e">
        <f ca="1">IF(Data!#REF!="","",IF(ISNUMBER(Data!#REF!),IF(AND(Data!#REF!&gt;(TODAY()-(Data_Val!$L$3*365.25)),Data!#REF!&lt;=(TODAY()-(Data_Val!$L$2*365.25))),0,1),1))</f>
        <v>#REF!</v>
      </c>
      <c r="AE661" s="11" t="e">
        <f>IF(Data!#REF!="","",IF(Data!$G661="",1,IF(ISNUMBER(MATCH(Data!#REF!,Data_Val!$D$2:$D$10,0)),0,1)))</f>
        <v>#REF!</v>
      </c>
      <c r="AF661" s="12"/>
      <c r="AG661" s="12" t="e">
        <f>IF(Data!#REF!="","",IF(ISNUMBER(MATCH(Data!#REF!,Data_Val!$A$2:$A$3,0)),0,1))</f>
        <v>#REF!</v>
      </c>
      <c r="AH661" s="26" t="e">
        <f ca="1">IF(Data!#REF!="","",IF(ISNUMBER(Data!#REF!),IF(AND(Data!#REF!&gt;(TODAY()-(Data_Val!$L$3*365.25)),Data!#REF!&lt;=(TODAY()-(Data_Val!$L$2*365.25))),0,1),1))</f>
        <v>#REF!</v>
      </c>
      <c r="AI661" s="12" t="e">
        <f>IF(Data!#REF!="","",IF(Data!$G661="",1,IF(ISNUMBER(MATCH(Data!#REF!,Data_Val!$D$2:$D$10,0)),0,1)))</f>
        <v>#REF!</v>
      </c>
      <c r="AJ661" s="17"/>
      <c r="AK661" s="17" t="e">
        <f>IF(Data!#REF!="","",IF(ISNUMBER(MATCH(Data!#REF!,Data_Val!$A$2:$A$3,0)),0,1))</f>
        <v>#REF!</v>
      </c>
      <c r="AL661" s="25" t="e">
        <f ca="1">IF(Data!#REF!="","",IF(ISNUMBER(Data!#REF!),IF(AND(Data!#REF!&gt;(TODAY()-(Data_Val!$L$3*365.25)),Data!#REF!&lt;=(TODAY()-(Data_Val!$L$2*365.25))),0,1),1))</f>
        <v>#REF!</v>
      </c>
      <c r="AM661" s="17" t="e">
        <f>IF(Data!#REF!="","",IF(Data!$G661="",1,IF(ISNUMBER(MATCH(Data!#REF!,Data_Val!$D$2:$D$10,0)),0,1)))</f>
        <v>#REF!</v>
      </c>
      <c r="AN661" s="13"/>
      <c r="AO661" s="28" t="e">
        <f ca="1">IF(Data!#REF!="","",IF(ISNUMBER(Data!#REF!),IF(AND(Data!#REF!&gt;(TODAY()-(Data_Val!$I$3*365.25)),Data!#REF!&lt;=(TODAY()-(Data_Val!$I$2*365.25))),0,1),1))</f>
        <v>#REF!</v>
      </c>
      <c r="AP661" s="13" t="e">
        <f>IF(Data!#REF!="","",IF(Data!$G661="",1,IF(ISNUMBER(MATCH(Data!#REF!,Data_Val!$D$2:$D$10,0)),0,1)))</f>
        <v>#REF!</v>
      </c>
      <c r="AQ661" s="17"/>
      <c r="AR661" s="30" t="e">
        <f ca="1">IF(Data!#REF!="","",IF(ISNUMBER(Data!#REF!),IF(AND(Data!#REF!&gt;(TODAY()-(Data_Val!$I$3*365.25)),Data!#REF!&lt;=(TODAY()-(Data_Val!$I$2*365.25))),0,1),1))</f>
        <v>#REF!</v>
      </c>
      <c r="AS661" s="31" t="e">
        <f>IF(Data!#REF!="","",IF(Data!$G661="",1,IF(ISNUMBER(MATCH(Data!#REF!,Data_Val!$D$2:$D$10,0)),0,1)))</f>
        <v>#REF!</v>
      </c>
      <c r="AT661" s="11"/>
      <c r="AU661" s="11" t="e">
        <f ca="1">IF(Data!#REF!="","",IF(ISNUMBER(Data!#REF!),IF(AND(Data!#REF!&gt;(TODAY()-(Data_Val!$I$3*365.25)),Data!#REF!&lt;=(TODAY()-(Data_Val!$I$2*365.25))),0,1),1))</f>
        <v>#REF!</v>
      </c>
      <c r="AV661" s="11" t="e">
        <f>IF(Data!#REF!="","",IF(Data!$G661="",1,IF(ISNUMBER(MATCH(Data!#REF!,Data_Val!$D$2:$D$10,0)),0,1)))</f>
        <v>#REF!</v>
      </c>
      <c r="AW661" s="12"/>
      <c r="AX661" s="26" t="e">
        <f ca="1">IF(Data!#REF!="","",IF(ISNUMBER(Data!#REF!),IF(AND(Data!#REF!&gt;(TODAY()-(Data_Val!$I$3*365.25)),Data!#REF!&lt;=(TODAY()-(Data_Val!$I$2*365.25))),0,1),1))</f>
        <v>#REF!</v>
      </c>
      <c r="AY661" s="12" t="e">
        <f>IF(Data!#REF!="","",IF(Data!$G661="",1,IF(ISNUMBER(MATCH(Data!#REF!,Data_Val!$D$2:$D$10,0)),0,1)))</f>
        <v>#REF!</v>
      </c>
      <c r="AZ661" s="11"/>
      <c r="BA661" s="19" t="e">
        <f ca="1">IF(Data!#REF!="","",IF(ISNUMBER(Data!#REF!),IF(AND(Data!#REF!&gt;(TODAY()-(Data_Val!$M$3*365.25)),Data!#REF!&lt;=(TODAY()-(Data_Val!$M$2*365.25))),0,1),1))</f>
        <v>#REF!</v>
      </c>
      <c r="BB661" s="11" t="e">
        <f>IF(Data!#REF!="","",IF(Data!$G661="",1,IF(ISNUMBER(MATCH(Data!#REF!,Data_Val!$D$2:$D$10,0)),0,1)))</f>
        <v>#REF!</v>
      </c>
      <c r="BC661" s="12"/>
      <c r="BD661" s="20" t="e">
        <f ca="1">IF(Data!#REF!="","",IF(ISNUMBER(Data!#REF!),IF(AND(Data!#REF!&gt;(TODAY()-(Data_Val!$M$3*365.25)),Data!#REF!&lt;=(TODAY()-(Data_Val!$M$2*365.25))),0,1),1))</f>
        <v>#REF!</v>
      </c>
      <c r="BE661" s="12" t="e">
        <f>IF(Data!#REF!="","",IF(Data!$G661="",1,IF(ISNUMBER(MATCH(Data!#REF!,Data_Val!$D$2:$D$10,0)),0,1)))</f>
        <v>#REF!</v>
      </c>
      <c r="BF661" s="17"/>
      <c r="BG661" s="18" t="e">
        <f ca="1">IF(Data!#REF!="","",IF(ISNUMBER(Data!#REF!),IF(AND(Data!#REF!&gt;(TODAY()-(Data_Val!$M$3*365.25)),Data!#REF!&lt;=(TODAY()-(Data_Val!$M$2*365.25))),0,1),1))</f>
        <v>#REF!</v>
      </c>
      <c r="BH661" s="29" t="e">
        <f>IF(Data!#REF!="","",IF(Data!$G661="",1,IF(ISNUMBER(MATCH(Data!#REF!,Data_Val!$D$2:$D$10,0)),0,1)))</f>
        <v>#REF!</v>
      </c>
      <c r="BI661" s="13"/>
      <c r="BJ661" s="21" t="e">
        <f ca="1">IF(Data!#REF!="","",IF(ISNUMBER(Data!#REF!),IF(AND(Data!#REF!&gt;(TODAY()-(Data_Val!$M$3*365.25)),Data!#REF!&lt;=(TODAY()-(Data_Val!$M$2*365.25))),0,1),1))</f>
        <v>#REF!</v>
      </c>
      <c r="BK661" s="13" t="e">
        <f>IF(Data!#REF!="","",IF(Data!$G661="",1,IF(ISNUMBER(MATCH(Data!#REF!,Data_Val!$D$2:$D$10,0)),0,1)))</f>
        <v>#REF!</v>
      </c>
    </row>
    <row r="662" spans="1:63" x14ac:dyDescent="0.25">
      <c r="A662" s="9" t="str">
        <f>IF(Data!B662="","",IF(COUNTIFS(Data!A$1:'Data'!A662,Data!A662)&lt;=1,0,1))</f>
        <v/>
      </c>
      <c r="B662" s="9"/>
      <c r="C662" s="23" t="str">
        <f>IF(Data!C662="","",(IF(ISNUMBER(MATCH("*@*.?*",Data!C662,0)),0,1)+IF(COUNTIFS(Data!C$1:'Data'!C662,Data!C662)&gt;1,1,0)))</f>
        <v/>
      </c>
      <c r="D662" s="9" t="str">
        <f>IF(Data!B662="","",IF(ISNUMBER(Data!D662),IF(AND(Data!D662&gt;999999999,Data!D662&lt;=9999999999),IF(COUNTIFS(Data!D$1:'Data'!D662,Data!D662)&lt;=1,0,1),1),1))</f>
        <v/>
      </c>
      <c r="E662" s="9" t="str">
        <f>IF(Data!B662="","",IF(ISNUMBER(MATCH(Data!E662,Data_Val!$A$2:$A$3,0)),0,1))</f>
        <v/>
      </c>
      <c r="F662" s="9" t="str">
        <f ca="1">IF(Data!B662="","",IF(ISNUMBER(Data!F662),IF(AND(Data!F662&gt;(TODAY()-(Data_Val!$H$3*365.25)),Data!F662&lt;=(TODAY()-(Data_Val!$H$2*365.25))),0,1),1))</f>
        <v/>
      </c>
      <c r="G662" s="15" t="str">
        <f>IF(Data!B662="","",IF(AND(Data!G662="",Data!H662&lt;&gt;""),1,IF(Data!#REF!&lt;&gt;"",0,IF(ISNUMBER(MATCH(Data!G662,Data_Val!$C$2:$C$5,0)),0,1))))</f>
        <v/>
      </c>
      <c r="H662" s="15" t="str">
        <f>IF(Data!B662="","",IF(AND(Data!G662&lt;&gt;"",Data!H662=""),1,IF(Data!#REF!&lt;&gt;"",0,IF(Data!G662="",1,IF(ISNUMBER(MATCH(Data!H662,Data_Val!$D$2:$D$35,0)),0,1)))))</f>
        <v/>
      </c>
      <c r="I662" s="15" t="str">
        <f>IF(Data!B662="","",IF(Data!G662&lt;&gt;"",0,IF(ISNUMBER(MATCH(Data!#REF!,Data_Val!$E$2:$E$12,0)),0,1)))</f>
        <v/>
      </c>
      <c r="J662" s="16" t="e">
        <f>IF(OR(Data!B662="",Data!#REF!=""),"",IF(Data!#REF!="",1,0))</f>
        <v>#REF!</v>
      </c>
      <c r="K662" s="16" t="e">
        <f>IF(OR(Data!B662="",Data!#REF!=""),"",IF(Data!#REF!="",1,0))</f>
        <v>#REF!</v>
      </c>
      <c r="L662" s="16" t="e">
        <f>IF(OR(Data!B662="",Data!#REF!=""),"",IF(ISNUMBER(Data!#REF!),IF(AND(Data!#REF!&gt;Data_Val!$G$2,Data!#REF!&lt;=Data_Val!$G$3),0,1),1))</f>
        <v>#REF!</v>
      </c>
      <c r="M662" s="9" t="e">
        <f>IF(OR(Data!B662="",Data!#REF!=""),"",IF(ISNUMBER(MATCH(Data!#REF!,Data_Val!$F$1:$F$38,0)),0,1))</f>
        <v>#REF!</v>
      </c>
      <c r="N662" s="9" t="e">
        <f>IF(OR(Data!B662="",Data!#REF!=""),"",IF(Data!#REF!="",1,0))</f>
        <v>#REF!</v>
      </c>
      <c r="O662" s="17" t="e">
        <f>IF(Data!#REF!="","",IF(Data!#REF!="",1,0))</f>
        <v>#REF!</v>
      </c>
      <c r="P662" s="17" t="e">
        <f>IF(Data!#REF!="","",IF(ISNUMBER(MATCH(Data!#REF!,Data_Val!$A$2:$A$3,0)),0,1))</f>
        <v>#REF!</v>
      </c>
      <c r="Q662" s="25" t="e">
        <f ca="1">IF(Data!#REF!="","",IF(ISNUMBER(Data!#REF!),IF(AND(Data!#REF!&gt;(TODAY()-(Data_Val!$J$3*365.25)),Data!#REF!&lt;=(TODAY()-(Data_Val!$J$2*365.25))),0,1),1))</f>
        <v>#REF!</v>
      </c>
      <c r="R662" s="17" t="e">
        <f>IF(Data!#REF!="","",IF(ISNUMBER(MATCH(Data!#REF!,Data_Val!$B$2:$B$15,0)),0,1))</f>
        <v>#REF!</v>
      </c>
      <c r="S662" s="11" t="str">
        <f>IF(Data!G662="","",IF(Data!G662=Data_Val!$C$2,IF(Data!M662="",0,1),0))</f>
        <v/>
      </c>
      <c r="T662" s="11" t="str">
        <f>IF(Data!M662="","",IF(ISNUMBER(MATCH(Data!N662,Data_Val!$A$2:$A$3,0)),0,1))</f>
        <v/>
      </c>
      <c r="U662" s="11" t="str">
        <f ca="1">IF(Data!M662="","",IF(ISNUMBER(Data!O662),IF(AND(Data!O662&gt;(TODAY()-(Data_Val!$K$3*365.25)),Data!O662&lt;=(TODAY()-(Data_Val!$K$2*365.25))),0,1),1))</f>
        <v/>
      </c>
      <c r="V662" s="12" t="str">
        <f>IF(Data!G662="","",IF(Data!G662=Data_Val!$C$2,IF(Data!P662="",0,1),0))</f>
        <v/>
      </c>
      <c r="W662" s="12" t="str">
        <f>IF(Data!P662="","",IF(ISNUMBER(MATCH(Data!Q662,Data_Val!$A$2:$A$3,0)),0,1))</f>
        <v/>
      </c>
      <c r="X662" s="26" t="str">
        <f ca="1">IF(Data!P662="","",IF(ISNUMBER(Data!R662),IF(AND(Data!R662&gt;(TODAY()-(Data_Val!$L$3*365.25)),Data!R662&lt;=(TODAY()-(Data_Val!$L$2*365.25))),0,1),1))</f>
        <v/>
      </c>
      <c r="Y662" s="13" t="str">
        <f>IF(Data!$G662="","",IF(Data!$G662=Data_Val!$C$2,IF(Data!S662="",0,1),0))</f>
        <v/>
      </c>
      <c r="Z662" s="13" t="str">
        <f>IF(Data!S662="","",IF(ISNUMBER(MATCH(Data!T662,Data_Val!$A$2:$A$3,0)),0,1))</f>
        <v/>
      </c>
      <c r="AA662" s="28" t="str">
        <f ca="1">IF(Data!S662="","",IF(ISNUMBER(Data!U662),IF(AND(Data!U662&gt;(TODAY()-(Data_Val!$L$3*365.25)),Data!U662&lt;=(TODAY()-(Data_Val!$L$2*365.25))),0,1),1))</f>
        <v/>
      </c>
      <c r="AB662" s="11"/>
      <c r="AC662" s="11" t="e">
        <f>IF(Data!#REF!="","",IF(ISNUMBER(MATCH(Data!#REF!,Data_Val!$A$2:$A$3,0)),0,1))</f>
        <v>#REF!</v>
      </c>
      <c r="AD662" s="11" t="e">
        <f ca="1">IF(Data!#REF!="","",IF(ISNUMBER(Data!#REF!),IF(AND(Data!#REF!&gt;(TODAY()-(Data_Val!$L$3*365.25)),Data!#REF!&lt;=(TODAY()-(Data_Val!$L$2*365.25))),0,1),1))</f>
        <v>#REF!</v>
      </c>
      <c r="AE662" s="11" t="e">
        <f>IF(Data!#REF!="","",IF(Data!$G662="",1,IF(ISNUMBER(MATCH(Data!#REF!,Data_Val!$D$2:$D$10,0)),0,1)))</f>
        <v>#REF!</v>
      </c>
      <c r="AF662" s="12"/>
      <c r="AG662" s="12" t="e">
        <f>IF(Data!#REF!="","",IF(ISNUMBER(MATCH(Data!#REF!,Data_Val!$A$2:$A$3,0)),0,1))</f>
        <v>#REF!</v>
      </c>
      <c r="AH662" s="26" t="e">
        <f ca="1">IF(Data!#REF!="","",IF(ISNUMBER(Data!#REF!),IF(AND(Data!#REF!&gt;(TODAY()-(Data_Val!$L$3*365.25)),Data!#REF!&lt;=(TODAY()-(Data_Val!$L$2*365.25))),0,1),1))</f>
        <v>#REF!</v>
      </c>
      <c r="AI662" s="12" t="e">
        <f>IF(Data!#REF!="","",IF(Data!$G662="",1,IF(ISNUMBER(MATCH(Data!#REF!,Data_Val!$D$2:$D$10,0)),0,1)))</f>
        <v>#REF!</v>
      </c>
      <c r="AJ662" s="17"/>
      <c r="AK662" s="17" t="e">
        <f>IF(Data!#REF!="","",IF(ISNUMBER(MATCH(Data!#REF!,Data_Val!$A$2:$A$3,0)),0,1))</f>
        <v>#REF!</v>
      </c>
      <c r="AL662" s="25" t="e">
        <f ca="1">IF(Data!#REF!="","",IF(ISNUMBER(Data!#REF!),IF(AND(Data!#REF!&gt;(TODAY()-(Data_Val!$L$3*365.25)),Data!#REF!&lt;=(TODAY()-(Data_Val!$L$2*365.25))),0,1),1))</f>
        <v>#REF!</v>
      </c>
      <c r="AM662" s="17" t="e">
        <f>IF(Data!#REF!="","",IF(Data!$G662="",1,IF(ISNUMBER(MATCH(Data!#REF!,Data_Val!$D$2:$D$10,0)),0,1)))</f>
        <v>#REF!</v>
      </c>
      <c r="AN662" s="13"/>
      <c r="AO662" s="28" t="e">
        <f ca="1">IF(Data!#REF!="","",IF(ISNUMBER(Data!#REF!),IF(AND(Data!#REF!&gt;(TODAY()-(Data_Val!$I$3*365.25)),Data!#REF!&lt;=(TODAY()-(Data_Val!$I$2*365.25))),0,1),1))</f>
        <v>#REF!</v>
      </c>
      <c r="AP662" s="13" t="e">
        <f>IF(Data!#REF!="","",IF(Data!$G662="",1,IF(ISNUMBER(MATCH(Data!#REF!,Data_Val!$D$2:$D$10,0)),0,1)))</f>
        <v>#REF!</v>
      </c>
      <c r="AQ662" s="17"/>
      <c r="AR662" s="30" t="e">
        <f ca="1">IF(Data!#REF!="","",IF(ISNUMBER(Data!#REF!),IF(AND(Data!#REF!&gt;(TODAY()-(Data_Val!$I$3*365.25)),Data!#REF!&lt;=(TODAY()-(Data_Val!$I$2*365.25))),0,1),1))</f>
        <v>#REF!</v>
      </c>
      <c r="AS662" s="31" t="e">
        <f>IF(Data!#REF!="","",IF(Data!$G662="",1,IF(ISNUMBER(MATCH(Data!#REF!,Data_Val!$D$2:$D$10,0)),0,1)))</f>
        <v>#REF!</v>
      </c>
      <c r="AT662" s="11"/>
      <c r="AU662" s="11" t="e">
        <f ca="1">IF(Data!#REF!="","",IF(ISNUMBER(Data!#REF!),IF(AND(Data!#REF!&gt;(TODAY()-(Data_Val!$I$3*365.25)),Data!#REF!&lt;=(TODAY()-(Data_Val!$I$2*365.25))),0,1),1))</f>
        <v>#REF!</v>
      </c>
      <c r="AV662" s="11" t="e">
        <f>IF(Data!#REF!="","",IF(Data!$G662="",1,IF(ISNUMBER(MATCH(Data!#REF!,Data_Val!$D$2:$D$10,0)),0,1)))</f>
        <v>#REF!</v>
      </c>
      <c r="AW662" s="12"/>
      <c r="AX662" s="26" t="e">
        <f ca="1">IF(Data!#REF!="","",IF(ISNUMBER(Data!#REF!),IF(AND(Data!#REF!&gt;(TODAY()-(Data_Val!$I$3*365.25)),Data!#REF!&lt;=(TODAY()-(Data_Val!$I$2*365.25))),0,1),1))</f>
        <v>#REF!</v>
      </c>
      <c r="AY662" s="12" t="e">
        <f>IF(Data!#REF!="","",IF(Data!$G662="",1,IF(ISNUMBER(MATCH(Data!#REF!,Data_Val!$D$2:$D$10,0)),0,1)))</f>
        <v>#REF!</v>
      </c>
      <c r="AZ662" s="11"/>
      <c r="BA662" s="19" t="e">
        <f ca="1">IF(Data!#REF!="","",IF(ISNUMBER(Data!#REF!),IF(AND(Data!#REF!&gt;(TODAY()-(Data_Val!$M$3*365.25)),Data!#REF!&lt;=(TODAY()-(Data_Val!$M$2*365.25))),0,1),1))</f>
        <v>#REF!</v>
      </c>
      <c r="BB662" s="11" t="e">
        <f>IF(Data!#REF!="","",IF(Data!$G662="",1,IF(ISNUMBER(MATCH(Data!#REF!,Data_Val!$D$2:$D$10,0)),0,1)))</f>
        <v>#REF!</v>
      </c>
      <c r="BC662" s="12"/>
      <c r="BD662" s="20" t="e">
        <f ca="1">IF(Data!#REF!="","",IF(ISNUMBER(Data!#REF!),IF(AND(Data!#REF!&gt;(TODAY()-(Data_Val!$M$3*365.25)),Data!#REF!&lt;=(TODAY()-(Data_Val!$M$2*365.25))),0,1),1))</f>
        <v>#REF!</v>
      </c>
      <c r="BE662" s="12" t="e">
        <f>IF(Data!#REF!="","",IF(Data!$G662="",1,IF(ISNUMBER(MATCH(Data!#REF!,Data_Val!$D$2:$D$10,0)),0,1)))</f>
        <v>#REF!</v>
      </c>
      <c r="BF662" s="17"/>
      <c r="BG662" s="18" t="e">
        <f ca="1">IF(Data!#REF!="","",IF(ISNUMBER(Data!#REF!),IF(AND(Data!#REF!&gt;(TODAY()-(Data_Val!$M$3*365.25)),Data!#REF!&lt;=(TODAY()-(Data_Val!$M$2*365.25))),0,1),1))</f>
        <v>#REF!</v>
      </c>
      <c r="BH662" s="29" t="e">
        <f>IF(Data!#REF!="","",IF(Data!$G662="",1,IF(ISNUMBER(MATCH(Data!#REF!,Data_Val!$D$2:$D$10,0)),0,1)))</f>
        <v>#REF!</v>
      </c>
      <c r="BI662" s="13"/>
      <c r="BJ662" s="21" t="e">
        <f ca="1">IF(Data!#REF!="","",IF(ISNUMBER(Data!#REF!),IF(AND(Data!#REF!&gt;(TODAY()-(Data_Val!$M$3*365.25)),Data!#REF!&lt;=(TODAY()-(Data_Val!$M$2*365.25))),0,1),1))</f>
        <v>#REF!</v>
      </c>
      <c r="BK662" s="13" t="e">
        <f>IF(Data!#REF!="","",IF(Data!$G662="",1,IF(ISNUMBER(MATCH(Data!#REF!,Data_Val!$D$2:$D$10,0)),0,1)))</f>
        <v>#REF!</v>
      </c>
    </row>
    <row r="663" spans="1:63" x14ac:dyDescent="0.25">
      <c r="A663" s="9" t="str">
        <f>IF(Data!B663="","",IF(COUNTIFS(Data!A$1:'Data'!A663,Data!A663)&lt;=1,0,1))</f>
        <v/>
      </c>
      <c r="B663" s="9"/>
      <c r="C663" s="23" t="str">
        <f>IF(Data!C663="","",(IF(ISNUMBER(MATCH("*@*.?*",Data!C663,0)),0,1)+IF(COUNTIFS(Data!C$1:'Data'!C663,Data!C663)&gt;1,1,0)))</f>
        <v/>
      </c>
      <c r="D663" s="9" t="str">
        <f>IF(Data!B663="","",IF(ISNUMBER(Data!D663),IF(AND(Data!D663&gt;999999999,Data!D663&lt;=9999999999),IF(COUNTIFS(Data!D$1:'Data'!D663,Data!D663)&lt;=1,0,1),1),1))</f>
        <v/>
      </c>
      <c r="E663" s="9" t="str">
        <f>IF(Data!B663="","",IF(ISNUMBER(MATCH(Data!E663,Data_Val!$A$2:$A$3,0)),0,1))</f>
        <v/>
      </c>
      <c r="F663" s="9" t="str">
        <f ca="1">IF(Data!B663="","",IF(ISNUMBER(Data!F663),IF(AND(Data!F663&gt;(TODAY()-(Data_Val!$H$3*365.25)),Data!F663&lt;=(TODAY()-(Data_Val!$H$2*365.25))),0,1),1))</f>
        <v/>
      </c>
      <c r="G663" s="15" t="str">
        <f>IF(Data!B663="","",IF(AND(Data!G663="",Data!H663&lt;&gt;""),1,IF(Data!#REF!&lt;&gt;"",0,IF(ISNUMBER(MATCH(Data!G663,Data_Val!$C$2:$C$5,0)),0,1))))</f>
        <v/>
      </c>
      <c r="H663" s="15" t="str">
        <f>IF(Data!B663="","",IF(AND(Data!G663&lt;&gt;"",Data!H663=""),1,IF(Data!#REF!&lt;&gt;"",0,IF(Data!G663="",1,IF(ISNUMBER(MATCH(Data!H663,Data_Val!$D$2:$D$35,0)),0,1)))))</f>
        <v/>
      </c>
      <c r="I663" s="15" t="str">
        <f>IF(Data!B663="","",IF(Data!G663&lt;&gt;"",0,IF(ISNUMBER(MATCH(Data!#REF!,Data_Val!$E$2:$E$12,0)),0,1)))</f>
        <v/>
      </c>
      <c r="J663" s="16" t="e">
        <f>IF(OR(Data!B663="",Data!#REF!=""),"",IF(Data!#REF!="",1,0))</f>
        <v>#REF!</v>
      </c>
      <c r="K663" s="16" t="e">
        <f>IF(OR(Data!B663="",Data!#REF!=""),"",IF(Data!#REF!="",1,0))</f>
        <v>#REF!</v>
      </c>
      <c r="L663" s="16" t="e">
        <f>IF(OR(Data!B663="",Data!#REF!=""),"",IF(ISNUMBER(Data!#REF!),IF(AND(Data!#REF!&gt;Data_Val!$G$2,Data!#REF!&lt;=Data_Val!$G$3),0,1),1))</f>
        <v>#REF!</v>
      </c>
      <c r="M663" s="9" t="e">
        <f>IF(OR(Data!B663="",Data!#REF!=""),"",IF(ISNUMBER(MATCH(Data!#REF!,Data_Val!$F$1:$F$38,0)),0,1))</f>
        <v>#REF!</v>
      </c>
      <c r="N663" s="9" t="e">
        <f>IF(OR(Data!B663="",Data!#REF!=""),"",IF(Data!#REF!="",1,0))</f>
        <v>#REF!</v>
      </c>
      <c r="O663" s="17" t="e">
        <f>IF(Data!#REF!="","",IF(Data!#REF!="",1,0))</f>
        <v>#REF!</v>
      </c>
      <c r="P663" s="17" t="e">
        <f>IF(Data!#REF!="","",IF(ISNUMBER(MATCH(Data!#REF!,Data_Val!$A$2:$A$3,0)),0,1))</f>
        <v>#REF!</v>
      </c>
      <c r="Q663" s="25" t="e">
        <f ca="1">IF(Data!#REF!="","",IF(ISNUMBER(Data!#REF!),IF(AND(Data!#REF!&gt;(TODAY()-(Data_Val!$J$3*365.25)),Data!#REF!&lt;=(TODAY()-(Data_Val!$J$2*365.25))),0,1),1))</f>
        <v>#REF!</v>
      </c>
      <c r="R663" s="17" t="e">
        <f>IF(Data!#REF!="","",IF(ISNUMBER(MATCH(Data!#REF!,Data_Val!$B$2:$B$15,0)),0,1))</f>
        <v>#REF!</v>
      </c>
      <c r="S663" s="11" t="str">
        <f>IF(Data!G663="","",IF(Data!G663=Data_Val!$C$2,IF(Data!M663="",0,1),0))</f>
        <v/>
      </c>
      <c r="T663" s="11" t="str">
        <f>IF(Data!M663="","",IF(ISNUMBER(MATCH(Data!N663,Data_Val!$A$2:$A$3,0)),0,1))</f>
        <v/>
      </c>
      <c r="U663" s="11" t="str">
        <f ca="1">IF(Data!M663="","",IF(ISNUMBER(Data!O663),IF(AND(Data!O663&gt;(TODAY()-(Data_Val!$K$3*365.25)),Data!O663&lt;=(TODAY()-(Data_Val!$K$2*365.25))),0,1),1))</f>
        <v/>
      </c>
      <c r="V663" s="12" t="str">
        <f>IF(Data!G663="","",IF(Data!G663=Data_Val!$C$2,IF(Data!P663="",0,1),0))</f>
        <v/>
      </c>
      <c r="W663" s="12" t="str">
        <f>IF(Data!P663="","",IF(ISNUMBER(MATCH(Data!Q663,Data_Val!$A$2:$A$3,0)),0,1))</f>
        <v/>
      </c>
      <c r="X663" s="26" t="str">
        <f ca="1">IF(Data!P663="","",IF(ISNUMBER(Data!R663),IF(AND(Data!R663&gt;(TODAY()-(Data_Val!$L$3*365.25)),Data!R663&lt;=(TODAY()-(Data_Val!$L$2*365.25))),0,1),1))</f>
        <v/>
      </c>
      <c r="Y663" s="13" t="str">
        <f>IF(Data!$G663="","",IF(Data!$G663=Data_Val!$C$2,IF(Data!S663="",0,1),0))</f>
        <v/>
      </c>
      <c r="Z663" s="13" t="str">
        <f>IF(Data!S663="","",IF(ISNUMBER(MATCH(Data!T663,Data_Val!$A$2:$A$3,0)),0,1))</f>
        <v/>
      </c>
      <c r="AA663" s="28" t="str">
        <f ca="1">IF(Data!S663="","",IF(ISNUMBER(Data!U663),IF(AND(Data!U663&gt;(TODAY()-(Data_Val!$L$3*365.25)),Data!U663&lt;=(TODAY()-(Data_Val!$L$2*365.25))),0,1),1))</f>
        <v/>
      </c>
      <c r="AB663" s="11"/>
      <c r="AC663" s="11" t="e">
        <f>IF(Data!#REF!="","",IF(ISNUMBER(MATCH(Data!#REF!,Data_Val!$A$2:$A$3,0)),0,1))</f>
        <v>#REF!</v>
      </c>
      <c r="AD663" s="11" t="e">
        <f ca="1">IF(Data!#REF!="","",IF(ISNUMBER(Data!#REF!),IF(AND(Data!#REF!&gt;(TODAY()-(Data_Val!$L$3*365.25)),Data!#REF!&lt;=(TODAY()-(Data_Val!$L$2*365.25))),0,1),1))</f>
        <v>#REF!</v>
      </c>
      <c r="AE663" s="11" t="e">
        <f>IF(Data!#REF!="","",IF(Data!$G663="",1,IF(ISNUMBER(MATCH(Data!#REF!,Data_Val!$D$2:$D$10,0)),0,1)))</f>
        <v>#REF!</v>
      </c>
      <c r="AF663" s="12"/>
      <c r="AG663" s="12" t="e">
        <f>IF(Data!#REF!="","",IF(ISNUMBER(MATCH(Data!#REF!,Data_Val!$A$2:$A$3,0)),0,1))</f>
        <v>#REF!</v>
      </c>
      <c r="AH663" s="26" t="e">
        <f ca="1">IF(Data!#REF!="","",IF(ISNUMBER(Data!#REF!),IF(AND(Data!#REF!&gt;(TODAY()-(Data_Val!$L$3*365.25)),Data!#REF!&lt;=(TODAY()-(Data_Val!$L$2*365.25))),0,1),1))</f>
        <v>#REF!</v>
      </c>
      <c r="AI663" s="12" t="e">
        <f>IF(Data!#REF!="","",IF(Data!$G663="",1,IF(ISNUMBER(MATCH(Data!#REF!,Data_Val!$D$2:$D$10,0)),0,1)))</f>
        <v>#REF!</v>
      </c>
      <c r="AJ663" s="17"/>
      <c r="AK663" s="17" t="e">
        <f>IF(Data!#REF!="","",IF(ISNUMBER(MATCH(Data!#REF!,Data_Val!$A$2:$A$3,0)),0,1))</f>
        <v>#REF!</v>
      </c>
      <c r="AL663" s="25" t="e">
        <f ca="1">IF(Data!#REF!="","",IF(ISNUMBER(Data!#REF!),IF(AND(Data!#REF!&gt;(TODAY()-(Data_Val!$L$3*365.25)),Data!#REF!&lt;=(TODAY()-(Data_Val!$L$2*365.25))),0,1),1))</f>
        <v>#REF!</v>
      </c>
      <c r="AM663" s="17" t="e">
        <f>IF(Data!#REF!="","",IF(Data!$G663="",1,IF(ISNUMBER(MATCH(Data!#REF!,Data_Val!$D$2:$D$10,0)),0,1)))</f>
        <v>#REF!</v>
      </c>
      <c r="AN663" s="13"/>
      <c r="AO663" s="28" t="e">
        <f ca="1">IF(Data!#REF!="","",IF(ISNUMBER(Data!#REF!),IF(AND(Data!#REF!&gt;(TODAY()-(Data_Val!$I$3*365.25)),Data!#REF!&lt;=(TODAY()-(Data_Val!$I$2*365.25))),0,1),1))</f>
        <v>#REF!</v>
      </c>
      <c r="AP663" s="13" t="e">
        <f>IF(Data!#REF!="","",IF(Data!$G663="",1,IF(ISNUMBER(MATCH(Data!#REF!,Data_Val!$D$2:$D$10,0)),0,1)))</f>
        <v>#REF!</v>
      </c>
      <c r="AQ663" s="17"/>
      <c r="AR663" s="30" t="e">
        <f ca="1">IF(Data!#REF!="","",IF(ISNUMBER(Data!#REF!),IF(AND(Data!#REF!&gt;(TODAY()-(Data_Val!$I$3*365.25)),Data!#REF!&lt;=(TODAY()-(Data_Val!$I$2*365.25))),0,1),1))</f>
        <v>#REF!</v>
      </c>
      <c r="AS663" s="31" t="e">
        <f>IF(Data!#REF!="","",IF(Data!$G663="",1,IF(ISNUMBER(MATCH(Data!#REF!,Data_Val!$D$2:$D$10,0)),0,1)))</f>
        <v>#REF!</v>
      </c>
      <c r="AT663" s="11"/>
      <c r="AU663" s="11" t="e">
        <f ca="1">IF(Data!#REF!="","",IF(ISNUMBER(Data!#REF!),IF(AND(Data!#REF!&gt;(TODAY()-(Data_Val!$I$3*365.25)),Data!#REF!&lt;=(TODAY()-(Data_Val!$I$2*365.25))),0,1),1))</f>
        <v>#REF!</v>
      </c>
      <c r="AV663" s="11" t="e">
        <f>IF(Data!#REF!="","",IF(Data!$G663="",1,IF(ISNUMBER(MATCH(Data!#REF!,Data_Val!$D$2:$D$10,0)),0,1)))</f>
        <v>#REF!</v>
      </c>
      <c r="AW663" s="12"/>
      <c r="AX663" s="26" t="e">
        <f ca="1">IF(Data!#REF!="","",IF(ISNUMBER(Data!#REF!),IF(AND(Data!#REF!&gt;(TODAY()-(Data_Val!$I$3*365.25)),Data!#REF!&lt;=(TODAY()-(Data_Val!$I$2*365.25))),0,1),1))</f>
        <v>#REF!</v>
      </c>
      <c r="AY663" s="12" t="e">
        <f>IF(Data!#REF!="","",IF(Data!$G663="",1,IF(ISNUMBER(MATCH(Data!#REF!,Data_Val!$D$2:$D$10,0)),0,1)))</f>
        <v>#REF!</v>
      </c>
      <c r="AZ663" s="11"/>
      <c r="BA663" s="19" t="e">
        <f ca="1">IF(Data!#REF!="","",IF(ISNUMBER(Data!#REF!),IF(AND(Data!#REF!&gt;(TODAY()-(Data_Val!$M$3*365.25)),Data!#REF!&lt;=(TODAY()-(Data_Val!$M$2*365.25))),0,1),1))</f>
        <v>#REF!</v>
      </c>
      <c r="BB663" s="11" t="e">
        <f>IF(Data!#REF!="","",IF(Data!$G663="",1,IF(ISNUMBER(MATCH(Data!#REF!,Data_Val!$D$2:$D$10,0)),0,1)))</f>
        <v>#REF!</v>
      </c>
      <c r="BC663" s="12"/>
      <c r="BD663" s="20" t="e">
        <f ca="1">IF(Data!#REF!="","",IF(ISNUMBER(Data!#REF!),IF(AND(Data!#REF!&gt;(TODAY()-(Data_Val!$M$3*365.25)),Data!#REF!&lt;=(TODAY()-(Data_Val!$M$2*365.25))),0,1),1))</f>
        <v>#REF!</v>
      </c>
      <c r="BE663" s="12" t="e">
        <f>IF(Data!#REF!="","",IF(Data!$G663="",1,IF(ISNUMBER(MATCH(Data!#REF!,Data_Val!$D$2:$D$10,0)),0,1)))</f>
        <v>#REF!</v>
      </c>
      <c r="BF663" s="17"/>
      <c r="BG663" s="18" t="e">
        <f ca="1">IF(Data!#REF!="","",IF(ISNUMBER(Data!#REF!),IF(AND(Data!#REF!&gt;(TODAY()-(Data_Val!$M$3*365.25)),Data!#REF!&lt;=(TODAY()-(Data_Val!$M$2*365.25))),0,1),1))</f>
        <v>#REF!</v>
      </c>
      <c r="BH663" s="29" t="e">
        <f>IF(Data!#REF!="","",IF(Data!$G663="",1,IF(ISNUMBER(MATCH(Data!#REF!,Data_Val!$D$2:$D$10,0)),0,1)))</f>
        <v>#REF!</v>
      </c>
      <c r="BI663" s="13"/>
      <c r="BJ663" s="21" t="e">
        <f ca="1">IF(Data!#REF!="","",IF(ISNUMBER(Data!#REF!),IF(AND(Data!#REF!&gt;(TODAY()-(Data_Val!$M$3*365.25)),Data!#REF!&lt;=(TODAY()-(Data_Val!$M$2*365.25))),0,1),1))</f>
        <v>#REF!</v>
      </c>
      <c r="BK663" s="13" t="e">
        <f>IF(Data!#REF!="","",IF(Data!$G663="",1,IF(ISNUMBER(MATCH(Data!#REF!,Data_Val!$D$2:$D$10,0)),0,1)))</f>
        <v>#REF!</v>
      </c>
    </row>
    <row r="664" spans="1:63" x14ac:dyDescent="0.25">
      <c r="A664" s="9" t="str">
        <f>IF(Data!B664="","",IF(COUNTIFS(Data!A$1:'Data'!A664,Data!A664)&lt;=1,0,1))</f>
        <v/>
      </c>
      <c r="B664" s="9"/>
      <c r="C664" s="23" t="str">
        <f>IF(Data!C664="","",(IF(ISNUMBER(MATCH("*@*.?*",Data!C664,0)),0,1)+IF(COUNTIFS(Data!C$1:'Data'!C664,Data!C664)&gt;1,1,0)))</f>
        <v/>
      </c>
      <c r="D664" s="9" t="str">
        <f>IF(Data!B664="","",IF(ISNUMBER(Data!D664),IF(AND(Data!D664&gt;999999999,Data!D664&lt;=9999999999),IF(COUNTIFS(Data!D$1:'Data'!D664,Data!D664)&lt;=1,0,1),1),1))</f>
        <v/>
      </c>
      <c r="E664" s="9" t="str">
        <f>IF(Data!B664="","",IF(ISNUMBER(MATCH(Data!E664,Data_Val!$A$2:$A$3,0)),0,1))</f>
        <v/>
      </c>
      <c r="F664" s="9" t="str">
        <f ca="1">IF(Data!B664="","",IF(ISNUMBER(Data!F664),IF(AND(Data!F664&gt;(TODAY()-(Data_Val!$H$3*365.25)),Data!F664&lt;=(TODAY()-(Data_Val!$H$2*365.25))),0,1),1))</f>
        <v/>
      </c>
      <c r="G664" s="15" t="str">
        <f>IF(Data!B664="","",IF(AND(Data!G664="",Data!H664&lt;&gt;""),1,IF(Data!#REF!&lt;&gt;"",0,IF(ISNUMBER(MATCH(Data!G664,Data_Val!$C$2:$C$5,0)),0,1))))</f>
        <v/>
      </c>
      <c r="H664" s="15" t="str">
        <f>IF(Data!B664="","",IF(AND(Data!G664&lt;&gt;"",Data!H664=""),1,IF(Data!#REF!&lt;&gt;"",0,IF(Data!G664="",1,IF(ISNUMBER(MATCH(Data!H664,Data_Val!$D$2:$D$35,0)),0,1)))))</f>
        <v/>
      </c>
      <c r="I664" s="15" t="str">
        <f>IF(Data!B664="","",IF(Data!G664&lt;&gt;"",0,IF(ISNUMBER(MATCH(Data!#REF!,Data_Val!$E$2:$E$12,0)),0,1)))</f>
        <v/>
      </c>
      <c r="J664" s="16" t="e">
        <f>IF(OR(Data!B664="",Data!#REF!=""),"",IF(Data!#REF!="",1,0))</f>
        <v>#REF!</v>
      </c>
      <c r="K664" s="16" t="e">
        <f>IF(OR(Data!B664="",Data!#REF!=""),"",IF(Data!#REF!="",1,0))</f>
        <v>#REF!</v>
      </c>
      <c r="L664" s="16" t="e">
        <f>IF(OR(Data!B664="",Data!#REF!=""),"",IF(ISNUMBER(Data!#REF!),IF(AND(Data!#REF!&gt;Data_Val!$G$2,Data!#REF!&lt;=Data_Val!$G$3),0,1),1))</f>
        <v>#REF!</v>
      </c>
      <c r="M664" s="9" t="e">
        <f>IF(OR(Data!B664="",Data!#REF!=""),"",IF(ISNUMBER(MATCH(Data!#REF!,Data_Val!$F$1:$F$38,0)),0,1))</f>
        <v>#REF!</v>
      </c>
      <c r="N664" s="9" t="e">
        <f>IF(OR(Data!B664="",Data!#REF!=""),"",IF(Data!#REF!="",1,0))</f>
        <v>#REF!</v>
      </c>
      <c r="O664" s="17" t="e">
        <f>IF(Data!#REF!="","",IF(Data!#REF!="",1,0))</f>
        <v>#REF!</v>
      </c>
      <c r="P664" s="17" t="e">
        <f>IF(Data!#REF!="","",IF(ISNUMBER(MATCH(Data!#REF!,Data_Val!$A$2:$A$3,0)),0,1))</f>
        <v>#REF!</v>
      </c>
      <c r="Q664" s="25" t="e">
        <f ca="1">IF(Data!#REF!="","",IF(ISNUMBER(Data!#REF!),IF(AND(Data!#REF!&gt;(TODAY()-(Data_Val!$J$3*365.25)),Data!#REF!&lt;=(TODAY()-(Data_Val!$J$2*365.25))),0,1),1))</f>
        <v>#REF!</v>
      </c>
      <c r="R664" s="17" t="e">
        <f>IF(Data!#REF!="","",IF(ISNUMBER(MATCH(Data!#REF!,Data_Val!$B$2:$B$15,0)),0,1))</f>
        <v>#REF!</v>
      </c>
      <c r="S664" s="11" t="str">
        <f>IF(Data!G664="","",IF(Data!G664=Data_Val!$C$2,IF(Data!M664="",0,1),0))</f>
        <v/>
      </c>
      <c r="T664" s="11" t="str">
        <f>IF(Data!M664="","",IF(ISNUMBER(MATCH(Data!N664,Data_Val!$A$2:$A$3,0)),0,1))</f>
        <v/>
      </c>
      <c r="U664" s="11" t="str">
        <f ca="1">IF(Data!M664="","",IF(ISNUMBER(Data!O664),IF(AND(Data!O664&gt;(TODAY()-(Data_Val!$K$3*365.25)),Data!O664&lt;=(TODAY()-(Data_Val!$K$2*365.25))),0,1),1))</f>
        <v/>
      </c>
      <c r="V664" s="12" t="str">
        <f>IF(Data!G664="","",IF(Data!G664=Data_Val!$C$2,IF(Data!P664="",0,1),0))</f>
        <v/>
      </c>
      <c r="W664" s="12" t="str">
        <f>IF(Data!P664="","",IF(ISNUMBER(MATCH(Data!Q664,Data_Val!$A$2:$A$3,0)),0,1))</f>
        <v/>
      </c>
      <c r="X664" s="26" t="str">
        <f ca="1">IF(Data!P664="","",IF(ISNUMBER(Data!R664),IF(AND(Data!R664&gt;(TODAY()-(Data_Val!$L$3*365.25)),Data!R664&lt;=(TODAY()-(Data_Val!$L$2*365.25))),0,1),1))</f>
        <v/>
      </c>
      <c r="Y664" s="13" t="str">
        <f>IF(Data!$G664="","",IF(Data!$G664=Data_Val!$C$2,IF(Data!S664="",0,1),0))</f>
        <v/>
      </c>
      <c r="Z664" s="13" t="str">
        <f>IF(Data!S664="","",IF(ISNUMBER(MATCH(Data!T664,Data_Val!$A$2:$A$3,0)),0,1))</f>
        <v/>
      </c>
      <c r="AA664" s="28" t="str">
        <f ca="1">IF(Data!S664="","",IF(ISNUMBER(Data!U664),IF(AND(Data!U664&gt;(TODAY()-(Data_Val!$L$3*365.25)),Data!U664&lt;=(TODAY()-(Data_Val!$L$2*365.25))),0,1),1))</f>
        <v/>
      </c>
      <c r="AB664" s="11"/>
      <c r="AC664" s="11" t="e">
        <f>IF(Data!#REF!="","",IF(ISNUMBER(MATCH(Data!#REF!,Data_Val!$A$2:$A$3,0)),0,1))</f>
        <v>#REF!</v>
      </c>
      <c r="AD664" s="11" t="e">
        <f ca="1">IF(Data!#REF!="","",IF(ISNUMBER(Data!#REF!),IF(AND(Data!#REF!&gt;(TODAY()-(Data_Val!$L$3*365.25)),Data!#REF!&lt;=(TODAY()-(Data_Val!$L$2*365.25))),0,1),1))</f>
        <v>#REF!</v>
      </c>
      <c r="AE664" s="11" t="e">
        <f>IF(Data!#REF!="","",IF(Data!$G664="",1,IF(ISNUMBER(MATCH(Data!#REF!,Data_Val!$D$2:$D$10,0)),0,1)))</f>
        <v>#REF!</v>
      </c>
      <c r="AF664" s="12"/>
      <c r="AG664" s="12" t="e">
        <f>IF(Data!#REF!="","",IF(ISNUMBER(MATCH(Data!#REF!,Data_Val!$A$2:$A$3,0)),0,1))</f>
        <v>#REF!</v>
      </c>
      <c r="AH664" s="26" t="e">
        <f ca="1">IF(Data!#REF!="","",IF(ISNUMBER(Data!#REF!),IF(AND(Data!#REF!&gt;(TODAY()-(Data_Val!$L$3*365.25)),Data!#REF!&lt;=(TODAY()-(Data_Val!$L$2*365.25))),0,1),1))</f>
        <v>#REF!</v>
      </c>
      <c r="AI664" s="12" t="e">
        <f>IF(Data!#REF!="","",IF(Data!$G664="",1,IF(ISNUMBER(MATCH(Data!#REF!,Data_Val!$D$2:$D$10,0)),0,1)))</f>
        <v>#REF!</v>
      </c>
      <c r="AJ664" s="17"/>
      <c r="AK664" s="17" t="e">
        <f>IF(Data!#REF!="","",IF(ISNUMBER(MATCH(Data!#REF!,Data_Val!$A$2:$A$3,0)),0,1))</f>
        <v>#REF!</v>
      </c>
      <c r="AL664" s="25" t="e">
        <f ca="1">IF(Data!#REF!="","",IF(ISNUMBER(Data!#REF!),IF(AND(Data!#REF!&gt;(TODAY()-(Data_Val!$L$3*365.25)),Data!#REF!&lt;=(TODAY()-(Data_Val!$L$2*365.25))),0,1),1))</f>
        <v>#REF!</v>
      </c>
      <c r="AM664" s="17" t="e">
        <f>IF(Data!#REF!="","",IF(Data!$G664="",1,IF(ISNUMBER(MATCH(Data!#REF!,Data_Val!$D$2:$D$10,0)),0,1)))</f>
        <v>#REF!</v>
      </c>
      <c r="AN664" s="13"/>
      <c r="AO664" s="28" t="e">
        <f ca="1">IF(Data!#REF!="","",IF(ISNUMBER(Data!#REF!),IF(AND(Data!#REF!&gt;(TODAY()-(Data_Val!$I$3*365.25)),Data!#REF!&lt;=(TODAY()-(Data_Val!$I$2*365.25))),0,1),1))</f>
        <v>#REF!</v>
      </c>
      <c r="AP664" s="13" t="e">
        <f>IF(Data!#REF!="","",IF(Data!$G664="",1,IF(ISNUMBER(MATCH(Data!#REF!,Data_Val!$D$2:$D$10,0)),0,1)))</f>
        <v>#REF!</v>
      </c>
      <c r="AQ664" s="17"/>
      <c r="AR664" s="30" t="e">
        <f ca="1">IF(Data!#REF!="","",IF(ISNUMBER(Data!#REF!),IF(AND(Data!#REF!&gt;(TODAY()-(Data_Val!$I$3*365.25)),Data!#REF!&lt;=(TODAY()-(Data_Val!$I$2*365.25))),0,1),1))</f>
        <v>#REF!</v>
      </c>
      <c r="AS664" s="31" t="e">
        <f>IF(Data!#REF!="","",IF(Data!$G664="",1,IF(ISNUMBER(MATCH(Data!#REF!,Data_Val!$D$2:$D$10,0)),0,1)))</f>
        <v>#REF!</v>
      </c>
      <c r="AT664" s="11"/>
      <c r="AU664" s="11" t="e">
        <f ca="1">IF(Data!#REF!="","",IF(ISNUMBER(Data!#REF!),IF(AND(Data!#REF!&gt;(TODAY()-(Data_Val!$I$3*365.25)),Data!#REF!&lt;=(TODAY()-(Data_Val!$I$2*365.25))),0,1),1))</f>
        <v>#REF!</v>
      </c>
      <c r="AV664" s="11" t="e">
        <f>IF(Data!#REF!="","",IF(Data!$G664="",1,IF(ISNUMBER(MATCH(Data!#REF!,Data_Val!$D$2:$D$10,0)),0,1)))</f>
        <v>#REF!</v>
      </c>
      <c r="AW664" s="12"/>
      <c r="AX664" s="26" t="e">
        <f ca="1">IF(Data!#REF!="","",IF(ISNUMBER(Data!#REF!),IF(AND(Data!#REF!&gt;(TODAY()-(Data_Val!$I$3*365.25)),Data!#REF!&lt;=(TODAY()-(Data_Val!$I$2*365.25))),0,1),1))</f>
        <v>#REF!</v>
      </c>
      <c r="AY664" s="12" t="e">
        <f>IF(Data!#REF!="","",IF(Data!$G664="",1,IF(ISNUMBER(MATCH(Data!#REF!,Data_Val!$D$2:$D$10,0)),0,1)))</f>
        <v>#REF!</v>
      </c>
      <c r="AZ664" s="11"/>
      <c r="BA664" s="19" t="e">
        <f ca="1">IF(Data!#REF!="","",IF(ISNUMBER(Data!#REF!),IF(AND(Data!#REF!&gt;(TODAY()-(Data_Val!$M$3*365.25)),Data!#REF!&lt;=(TODAY()-(Data_Val!$M$2*365.25))),0,1),1))</f>
        <v>#REF!</v>
      </c>
      <c r="BB664" s="11" t="e">
        <f>IF(Data!#REF!="","",IF(Data!$G664="",1,IF(ISNUMBER(MATCH(Data!#REF!,Data_Val!$D$2:$D$10,0)),0,1)))</f>
        <v>#REF!</v>
      </c>
      <c r="BC664" s="12"/>
      <c r="BD664" s="20" t="e">
        <f ca="1">IF(Data!#REF!="","",IF(ISNUMBER(Data!#REF!),IF(AND(Data!#REF!&gt;(TODAY()-(Data_Val!$M$3*365.25)),Data!#REF!&lt;=(TODAY()-(Data_Val!$M$2*365.25))),0,1),1))</f>
        <v>#REF!</v>
      </c>
      <c r="BE664" s="12" t="e">
        <f>IF(Data!#REF!="","",IF(Data!$G664="",1,IF(ISNUMBER(MATCH(Data!#REF!,Data_Val!$D$2:$D$10,0)),0,1)))</f>
        <v>#REF!</v>
      </c>
      <c r="BF664" s="17"/>
      <c r="BG664" s="18" t="e">
        <f ca="1">IF(Data!#REF!="","",IF(ISNUMBER(Data!#REF!),IF(AND(Data!#REF!&gt;(TODAY()-(Data_Val!$M$3*365.25)),Data!#REF!&lt;=(TODAY()-(Data_Val!$M$2*365.25))),0,1),1))</f>
        <v>#REF!</v>
      </c>
      <c r="BH664" s="29" t="e">
        <f>IF(Data!#REF!="","",IF(Data!$G664="",1,IF(ISNUMBER(MATCH(Data!#REF!,Data_Val!$D$2:$D$10,0)),0,1)))</f>
        <v>#REF!</v>
      </c>
      <c r="BI664" s="13"/>
      <c r="BJ664" s="21" t="e">
        <f ca="1">IF(Data!#REF!="","",IF(ISNUMBER(Data!#REF!),IF(AND(Data!#REF!&gt;(TODAY()-(Data_Val!$M$3*365.25)),Data!#REF!&lt;=(TODAY()-(Data_Val!$M$2*365.25))),0,1),1))</f>
        <v>#REF!</v>
      </c>
      <c r="BK664" s="13" t="e">
        <f>IF(Data!#REF!="","",IF(Data!$G664="",1,IF(ISNUMBER(MATCH(Data!#REF!,Data_Val!$D$2:$D$10,0)),0,1)))</f>
        <v>#REF!</v>
      </c>
    </row>
    <row r="665" spans="1:63" x14ac:dyDescent="0.25">
      <c r="A665" s="9" t="str">
        <f>IF(Data!B665="","",IF(COUNTIFS(Data!A$1:'Data'!A665,Data!A665)&lt;=1,0,1))</f>
        <v/>
      </c>
      <c r="B665" s="9"/>
      <c r="C665" s="23" t="str">
        <f>IF(Data!C665="","",(IF(ISNUMBER(MATCH("*@*.?*",Data!C665,0)),0,1)+IF(COUNTIFS(Data!C$1:'Data'!C665,Data!C665)&gt;1,1,0)))</f>
        <v/>
      </c>
      <c r="D665" s="9" t="str">
        <f>IF(Data!B665="","",IF(ISNUMBER(Data!D665),IF(AND(Data!D665&gt;999999999,Data!D665&lt;=9999999999),IF(COUNTIFS(Data!D$1:'Data'!D665,Data!D665)&lt;=1,0,1),1),1))</f>
        <v/>
      </c>
      <c r="E665" s="9" t="str">
        <f>IF(Data!B665="","",IF(ISNUMBER(MATCH(Data!E665,Data_Val!$A$2:$A$3,0)),0,1))</f>
        <v/>
      </c>
      <c r="F665" s="9" t="str">
        <f ca="1">IF(Data!B665="","",IF(ISNUMBER(Data!F665),IF(AND(Data!F665&gt;(TODAY()-(Data_Val!$H$3*365.25)),Data!F665&lt;=(TODAY()-(Data_Val!$H$2*365.25))),0,1),1))</f>
        <v/>
      </c>
      <c r="G665" s="15" t="str">
        <f>IF(Data!B665="","",IF(AND(Data!G665="",Data!H665&lt;&gt;""),1,IF(Data!#REF!&lt;&gt;"",0,IF(ISNUMBER(MATCH(Data!G665,Data_Val!$C$2:$C$5,0)),0,1))))</f>
        <v/>
      </c>
      <c r="H665" s="15" t="str">
        <f>IF(Data!B665="","",IF(AND(Data!G665&lt;&gt;"",Data!H665=""),1,IF(Data!#REF!&lt;&gt;"",0,IF(Data!G665="",1,IF(ISNUMBER(MATCH(Data!H665,Data_Val!$D$2:$D$35,0)),0,1)))))</f>
        <v/>
      </c>
      <c r="I665" s="15" t="str">
        <f>IF(Data!B665="","",IF(Data!G665&lt;&gt;"",0,IF(ISNUMBER(MATCH(Data!#REF!,Data_Val!$E$2:$E$12,0)),0,1)))</f>
        <v/>
      </c>
      <c r="J665" s="16" t="e">
        <f>IF(OR(Data!B665="",Data!#REF!=""),"",IF(Data!#REF!="",1,0))</f>
        <v>#REF!</v>
      </c>
      <c r="K665" s="16" t="e">
        <f>IF(OR(Data!B665="",Data!#REF!=""),"",IF(Data!#REF!="",1,0))</f>
        <v>#REF!</v>
      </c>
      <c r="L665" s="16" t="e">
        <f>IF(OR(Data!B665="",Data!#REF!=""),"",IF(ISNUMBER(Data!#REF!),IF(AND(Data!#REF!&gt;Data_Val!$G$2,Data!#REF!&lt;=Data_Val!$G$3),0,1),1))</f>
        <v>#REF!</v>
      </c>
      <c r="M665" s="9" t="e">
        <f>IF(OR(Data!B665="",Data!#REF!=""),"",IF(ISNUMBER(MATCH(Data!#REF!,Data_Val!$F$1:$F$38,0)),0,1))</f>
        <v>#REF!</v>
      </c>
      <c r="N665" s="9" t="e">
        <f>IF(OR(Data!B665="",Data!#REF!=""),"",IF(Data!#REF!="",1,0))</f>
        <v>#REF!</v>
      </c>
      <c r="O665" s="17" t="e">
        <f>IF(Data!#REF!="","",IF(Data!#REF!="",1,0))</f>
        <v>#REF!</v>
      </c>
      <c r="P665" s="17" t="e">
        <f>IF(Data!#REF!="","",IF(ISNUMBER(MATCH(Data!#REF!,Data_Val!$A$2:$A$3,0)),0,1))</f>
        <v>#REF!</v>
      </c>
      <c r="Q665" s="25" t="e">
        <f ca="1">IF(Data!#REF!="","",IF(ISNUMBER(Data!#REF!),IF(AND(Data!#REF!&gt;(TODAY()-(Data_Val!$J$3*365.25)),Data!#REF!&lt;=(TODAY()-(Data_Val!$J$2*365.25))),0,1),1))</f>
        <v>#REF!</v>
      </c>
      <c r="R665" s="17" t="e">
        <f>IF(Data!#REF!="","",IF(ISNUMBER(MATCH(Data!#REF!,Data_Val!$B$2:$B$15,0)),0,1))</f>
        <v>#REF!</v>
      </c>
      <c r="S665" s="11" t="str">
        <f>IF(Data!G665="","",IF(Data!G665=Data_Val!$C$2,IF(Data!M665="",0,1),0))</f>
        <v/>
      </c>
      <c r="T665" s="11" t="str">
        <f>IF(Data!M665="","",IF(ISNUMBER(MATCH(Data!N665,Data_Val!$A$2:$A$3,0)),0,1))</f>
        <v/>
      </c>
      <c r="U665" s="11" t="str">
        <f ca="1">IF(Data!M665="","",IF(ISNUMBER(Data!O665),IF(AND(Data!O665&gt;(TODAY()-(Data_Val!$K$3*365.25)),Data!O665&lt;=(TODAY()-(Data_Val!$K$2*365.25))),0,1),1))</f>
        <v/>
      </c>
      <c r="V665" s="12" t="str">
        <f>IF(Data!G665="","",IF(Data!G665=Data_Val!$C$2,IF(Data!P665="",0,1),0))</f>
        <v/>
      </c>
      <c r="W665" s="12" t="str">
        <f>IF(Data!P665="","",IF(ISNUMBER(MATCH(Data!Q665,Data_Val!$A$2:$A$3,0)),0,1))</f>
        <v/>
      </c>
      <c r="X665" s="26" t="str">
        <f ca="1">IF(Data!P665="","",IF(ISNUMBER(Data!R665),IF(AND(Data!R665&gt;(TODAY()-(Data_Val!$L$3*365.25)),Data!R665&lt;=(TODAY()-(Data_Val!$L$2*365.25))),0,1),1))</f>
        <v/>
      </c>
      <c r="Y665" s="13" t="str">
        <f>IF(Data!$G665="","",IF(Data!$G665=Data_Val!$C$2,IF(Data!S665="",0,1),0))</f>
        <v/>
      </c>
      <c r="Z665" s="13" t="str">
        <f>IF(Data!S665="","",IF(ISNUMBER(MATCH(Data!T665,Data_Val!$A$2:$A$3,0)),0,1))</f>
        <v/>
      </c>
      <c r="AA665" s="28" t="str">
        <f ca="1">IF(Data!S665="","",IF(ISNUMBER(Data!U665),IF(AND(Data!U665&gt;(TODAY()-(Data_Val!$L$3*365.25)),Data!U665&lt;=(TODAY()-(Data_Val!$L$2*365.25))),0,1),1))</f>
        <v/>
      </c>
      <c r="AB665" s="11"/>
      <c r="AC665" s="11" t="e">
        <f>IF(Data!#REF!="","",IF(ISNUMBER(MATCH(Data!#REF!,Data_Val!$A$2:$A$3,0)),0,1))</f>
        <v>#REF!</v>
      </c>
      <c r="AD665" s="11" t="e">
        <f ca="1">IF(Data!#REF!="","",IF(ISNUMBER(Data!#REF!),IF(AND(Data!#REF!&gt;(TODAY()-(Data_Val!$L$3*365.25)),Data!#REF!&lt;=(TODAY()-(Data_Val!$L$2*365.25))),0,1),1))</f>
        <v>#REF!</v>
      </c>
      <c r="AE665" s="11" t="e">
        <f>IF(Data!#REF!="","",IF(Data!$G665="",1,IF(ISNUMBER(MATCH(Data!#REF!,Data_Val!$D$2:$D$10,0)),0,1)))</f>
        <v>#REF!</v>
      </c>
      <c r="AF665" s="12"/>
      <c r="AG665" s="12" t="e">
        <f>IF(Data!#REF!="","",IF(ISNUMBER(MATCH(Data!#REF!,Data_Val!$A$2:$A$3,0)),0,1))</f>
        <v>#REF!</v>
      </c>
      <c r="AH665" s="26" t="e">
        <f ca="1">IF(Data!#REF!="","",IF(ISNUMBER(Data!#REF!),IF(AND(Data!#REF!&gt;(TODAY()-(Data_Val!$L$3*365.25)),Data!#REF!&lt;=(TODAY()-(Data_Val!$L$2*365.25))),0,1),1))</f>
        <v>#REF!</v>
      </c>
      <c r="AI665" s="12" t="e">
        <f>IF(Data!#REF!="","",IF(Data!$G665="",1,IF(ISNUMBER(MATCH(Data!#REF!,Data_Val!$D$2:$D$10,0)),0,1)))</f>
        <v>#REF!</v>
      </c>
      <c r="AJ665" s="17"/>
      <c r="AK665" s="17" t="e">
        <f>IF(Data!#REF!="","",IF(ISNUMBER(MATCH(Data!#REF!,Data_Val!$A$2:$A$3,0)),0,1))</f>
        <v>#REF!</v>
      </c>
      <c r="AL665" s="25" t="e">
        <f ca="1">IF(Data!#REF!="","",IF(ISNUMBER(Data!#REF!),IF(AND(Data!#REF!&gt;(TODAY()-(Data_Val!$L$3*365.25)),Data!#REF!&lt;=(TODAY()-(Data_Val!$L$2*365.25))),0,1),1))</f>
        <v>#REF!</v>
      </c>
      <c r="AM665" s="17" t="e">
        <f>IF(Data!#REF!="","",IF(Data!$G665="",1,IF(ISNUMBER(MATCH(Data!#REF!,Data_Val!$D$2:$D$10,0)),0,1)))</f>
        <v>#REF!</v>
      </c>
      <c r="AN665" s="13"/>
      <c r="AO665" s="28" t="e">
        <f ca="1">IF(Data!#REF!="","",IF(ISNUMBER(Data!#REF!),IF(AND(Data!#REF!&gt;(TODAY()-(Data_Val!$I$3*365.25)),Data!#REF!&lt;=(TODAY()-(Data_Val!$I$2*365.25))),0,1),1))</f>
        <v>#REF!</v>
      </c>
      <c r="AP665" s="13" t="e">
        <f>IF(Data!#REF!="","",IF(Data!$G665="",1,IF(ISNUMBER(MATCH(Data!#REF!,Data_Val!$D$2:$D$10,0)),0,1)))</f>
        <v>#REF!</v>
      </c>
      <c r="AQ665" s="17"/>
      <c r="AR665" s="30" t="e">
        <f ca="1">IF(Data!#REF!="","",IF(ISNUMBER(Data!#REF!),IF(AND(Data!#REF!&gt;(TODAY()-(Data_Val!$I$3*365.25)),Data!#REF!&lt;=(TODAY()-(Data_Val!$I$2*365.25))),0,1),1))</f>
        <v>#REF!</v>
      </c>
      <c r="AS665" s="31" t="e">
        <f>IF(Data!#REF!="","",IF(Data!$G665="",1,IF(ISNUMBER(MATCH(Data!#REF!,Data_Val!$D$2:$D$10,0)),0,1)))</f>
        <v>#REF!</v>
      </c>
      <c r="AT665" s="11"/>
      <c r="AU665" s="11" t="e">
        <f ca="1">IF(Data!#REF!="","",IF(ISNUMBER(Data!#REF!),IF(AND(Data!#REF!&gt;(TODAY()-(Data_Val!$I$3*365.25)),Data!#REF!&lt;=(TODAY()-(Data_Val!$I$2*365.25))),0,1),1))</f>
        <v>#REF!</v>
      </c>
      <c r="AV665" s="11" t="e">
        <f>IF(Data!#REF!="","",IF(Data!$G665="",1,IF(ISNUMBER(MATCH(Data!#REF!,Data_Val!$D$2:$D$10,0)),0,1)))</f>
        <v>#REF!</v>
      </c>
      <c r="AW665" s="12"/>
      <c r="AX665" s="26" t="e">
        <f ca="1">IF(Data!#REF!="","",IF(ISNUMBER(Data!#REF!),IF(AND(Data!#REF!&gt;(TODAY()-(Data_Val!$I$3*365.25)),Data!#REF!&lt;=(TODAY()-(Data_Val!$I$2*365.25))),0,1),1))</f>
        <v>#REF!</v>
      </c>
      <c r="AY665" s="12" t="e">
        <f>IF(Data!#REF!="","",IF(Data!$G665="",1,IF(ISNUMBER(MATCH(Data!#REF!,Data_Val!$D$2:$D$10,0)),0,1)))</f>
        <v>#REF!</v>
      </c>
      <c r="AZ665" s="11"/>
      <c r="BA665" s="19" t="e">
        <f ca="1">IF(Data!#REF!="","",IF(ISNUMBER(Data!#REF!),IF(AND(Data!#REF!&gt;(TODAY()-(Data_Val!$M$3*365.25)),Data!#REF!&lt;=(TODAY()-(Data_Val!$M$2*365.25))),0,1),1))</f>
        <v>#REF!</v>
      </c>
      <c r="BB665" s="11" t="e">
        <f>IF(Data!#REF!="","",IF(Data!$G665="",1,IF(ISNUMBER(MATCH(Data!#REF!,Data_Val!$D$2:$D$10,0)),0,1)))</f>
        <v>#REF!</v>
      </c>
      <c r="BC665" s="12"/>
      <c r="BD665" s="20" t="e">
        <f ca="1">IF(Data!#REF!="","",IF(ISNUMBER(Data!#REF!),IF(AND(Data!#REF!&gt;(TODAY()-(Data_Val!$M$3*365.25)),Data!#REF!&lt;=(TODAY()-(Data_Val!$M$2*365.25))),0,1),1))</f>
        <v>#REF!</v>
      </c>
      <c r="BE665" s="12" t="e">
        <f>IF(Data!#REF!="","",IF(Data!$G665="",1,IF(ISNUMBER(MATCH(Data!#REF!,Data_Val!$D$2:$D$10,0)),0,1)))</f>
        <v>#REF!</v>
      </c>
      <c r="BF665" s="17"/>
      <c r="BG665" s="18" t="e">
        <f ca="1">IF(Data!#REF!="","",IF(ISNUMBER(Data!#REF!),IF(AND(Data!#REF!&gt;(TODAY()-(Data_Val!$M$3*365.25)),Data!#REF!&lt;=(TODAY()-(Data_Val!$M$2*365.25))),0,1),1))</f>
        <v>#REF!</v>
      </c>
      <c r="BH665" s="29" t="e">
        <f>IF(Data!#REF!="","",IF(Data!$G665="",1,IF(ISNUMBER(MATCH(Data!#REF!,Data_Val!$D$2:$D$10,0)),0,1)))</f>
        <v>#REF!</v>
      </c>
      <c r="BI665" s="13"/>
      <c r="BJ665" s="21" t="e">
        <f ca="1">IF(Data!#REF!="","",IF(ISNUMBER(Data!#REF!),IF(AND(Data!#REF!&gt;(TODAY()-(Data_Val!$M$3*365.25)),Data!#REF!&lt;=(TODAY()-(Data_Val!$M$2*365.25))),0,1),1))</f>
        <v>#REF!</v>
      </c>
      <c r="BK665" s="13" t="e">
        <f>IF(Data!#REF!="","",IF(Data!$G665="",1,IF(ISNUMBER(MATCH(Data!#REF!,Data_Val!$D$2:$D$10,0)),0,1)))</f>
        <v>#REF!</v>
      </c>
    </row>
    <row r="666" spans="1:63" x14ac:dyDescent="0.25">
      <c r="A666" s="9" t="str">
        <f>IF(Data!B666="","",IF(COUNTIFS(Data!A$1:'Data'!A666,Data!A666)&lt;=1,0,1))</f>
        <v/>
      </c>
      <c r="B666" s="9"/>
      <c r="C666" s="23" t="str">
        <f>IF(Data!C666="","",(IF(ISNUMBER(MATCH("*@*.?*",Data!C666,0)),0,1)+IF(COUNTIFS(Data!C$1:'Data'!C666,Data!C666)&gt;1,1,0)))</f>
        <v/>
      </c>
      <c r="D666" s="9" t="str">
        <f>IF(Data!B666="","",IF(ISNUMBER(Data!D666),IF(AND(Data!D666&gt;999999999,Data!D666&lt;=9999999999),IF(COUNTIFS(Data!D$1:'Data'!D666,Data!D666)&lt;=1,0,1),1),1))</f>
        <v/>
      </c>
      <c r="E666" s="9" t="str">
        <f>IF(Data!B666="","",IF(ISNUMBER(MATCH(Data!E666,Data_Val!$A$2:$A$3,0)),0,1))</f>
        <v/>
      </c>
      <c r="F666" s="9" t="str">
        <f ca="1">IF(Data!B666="","",IF(ISNUMBER(Data!F666),IF(AND(Data!F666&gt;(TODAY()-(Data_Val!$H$3*365.25)),Data!F666&lt;=(TODAY()-(Data_Val!$H$2*365.25))),0,1),1))</f>
        <v/>
      </c>
      <c r="G666" s="15" t="str">
        <f>IF(Data!B666="","",IF(AND(Data!G666="",Data!H666&lt;&gt;""),1,IF(Data!#REF!&lt;&gt;"",0,IF(ISNUMBER(MATCH(Data!G666,Data_Val!$C$2:$C$5,0)),0,1))))</f>
        <v/>
      </c>
      <c r="H666" s="15" t="str">
        <f>IF(Data!B666="","",IF(AND(Data!G666&lt;&gt;"",Data!H666=""),1,IF(Data!#REF!&lt;&gt;"",0,IF(Data!G666="",1,IF(ISNUMBER(MATCH(Data!H666,Data_Val!$D$2:$D$35,0)),0,1)))))</f>
        <v/>
      </c>
      <c r="I666" s="15" t="str">
        <f>IF(Data!B666="","",IF(Data!G666&lt;&gt;"",0,IF(ISNUMBER(MATCH(Data!#REF!,Data_Val!$E$2:$E$12,0)),0,1)))</f>
        <v/>
      </c>
      <c r="J666" s="16" t="e">
        <f>IF(OR(Data!B666="",Data!#REF!=""),"",IF(Data!#REF!="",1,0))</f>
        <v>#REF!</v>
      </c>
      <c r="K666" s="16" t="e">
        <f>IF(OR(Data!B666="",Data!#REF!=""),"",IF(Data!#REF!="",1,0))</f>
        <v>#REF!</v>
      </c>
      <c r="L666" s="16" t="e">
        <f>IF(OR(Data!B666="",Data!#REF!=""),"",IF(ISNUMBER(Data!#REF!),IF(AND(Data!#REF!&gt;Data_Val!$G$2,Data!#REF!&lt;=Data_Val!$G$3),0,1),1))</f>
        <v>#REF!</v>
      </c>
      <c r="M666" s="9" t="e">
        <f>IF(OR(Data!B666="",Data!#REF!=""),"",IF(ISNUMBER(MATCH(Data!#REF!,Data_Val!$F$1:$F$38,0)),0,1))</f>
        <v>#REF!</v>
      </c>
      <c r="N666" s="9" t="e">
        <f>IF(OR(Data!B666="",Data!#REF!=""),"",IF(Data!#REF!="",1,0))</f>
        <v>#REF!</v>
      </c>
      <c r="O666" s="17" t="e">
        <f>IF(Data!#REF!="","",IF(Data!#REF!="",1,0))</f>
        <v>#REF!</v>
      </c>
      <c r="P666" s="17" t="e">
        <f>IF(Data!#REF!="","",IF(ISNUMBER(MATCH(Data!#REF!,Data_Val!$A$2:$A$3,0)),0,1))</f>
        <v>#REF!</v>
      </c>
      <c r="Q666" s="25" t="e">
        <f ca="1">IF(Data!#REF!="","",IF(ISNUMBER(Data!#REF!),IF(AND(Data!#REF!&gt;(TODAY()-(Data_Val!$J$3*365.25)),Data!#REF!&lt;=(TODAY()-(Data_Val!$J$2*365.25))),0,1),1))</f>
        <v>#REF!</v>
      </c>
      <c r="R666" s="17" t="e">
        <f>IF(Data!#REF!="","",IF(ISNUMBER(MATCH(Data!#REF!,Data_Val!$B$2:$B$15,0)),0,1))</f>
        <v>#REF!</v>
      </c>
      <c r="S666" s="11" t="str">
        <f>IF(Data!G666="","",IF(Data!G666=Data_Val!$C$2,IF(Data!M666="",0,1),0))</f>
        <v/>
      </c>
      <c r="T666" s="11" t="str">
        <f>IF(Data!M666="","",IF(ISNUMBER(MATCH(Data!N666,Data_Val!$A$2:$A$3,0)),0,1))</f>
        <v/>
      </c>
      <c r="U666" s="11" t="str">
        <f ca="1">IF(Data!M666="","",IF(ISNUMBER(Data!O666),IF(AND(Data!O666&gt;(TODAY()-(Data_Val!$K$3*365.25)),Data!O666&lt;=(TODAY()-(Data_Val!$K$2*365.25))),0,1),1))</f>
        <v/>
      </c>
      <c r="V666" s="12" t="str">
        <f>IF(Data!G666="","",IF(Data!G666=Data_Val!$C$2,IF(Data!P666="",0,1),0))</f>
        <v/>
      </c>
      <c r="W666" s="12" t="str">
        <f>IF(Data!P666="","",IF(ISNUMBER(MATCH(Data!Q666,Data_Val!$A$2:$A$3,0)),0,1))</f>
        <v/>
      </c>
      <c r="X666" s="26" t="str">
        <f ca="1">IF(Data!P666="","",IF(ISNUMBER(Data!R666),IF(AND(Data!R666&gt;(TODAY()-(Data_Val!$L$3*365.25)),Data!R666&lt;=(TODAY()-(Data_Val!$L$2*365.25))),0,1),1))</f>
        <v/>
      </c>
      <c r="Y666" s="13" t="str">
        <f>IF(Data!$G666="","",IF(Data!$G666=Data_Val!$C$2,IF(Data!S666="",0,1),0))</f>
        <v/>
      </c>
      <c r="Z666" s="13" t="str">
        <f>IF(Data!S666="","",IF(ISNUMBER(MATCH(Data!T666,Data_Val!$A$2:$A$3,0)),0,1))</f>
        <v/>
      </c>
      <c r="AA666" s="28" t="str">
        <f ca="1">IF(Data!S666="","",IF(ISNUMBER(Data!U666),IF(AND(Data!U666&gt;(TODAY()-(Data_Val!$L$3*365.25)),Data!U666&lt;=(TODAY()-(Data_Val!$L$2*365.25))),0,1),1))</f>
        <v/>
      </c>
      <c r="AB666" s="11"/>
      <c r="AC666" s="11" t="e">
        <f>IF(Data!#REF!="","",IF(ISNUMBER(MATCH(Data!#REF!,Data_Val!$A$2:$A$3,0)),0,1))</f>
        <v>#REF!</v>
      </c>
      <c r="AD666" s="11" t="e">
        <f ca="1">IF(Data!#REF!="","",IF(ISNUMBER(Data!#REF!),IF(AND(Data!#REF!&gt;(TODAY()-(Data_Val!$L$3*365.25)),Data!#REF!&lt;=(TODAY()-(Data_Val!$L$2*365.25))),0,1),1))</f>
        <v>#REF!</v>
      </c>
      <c r="AE666" s="11" t="e">
        <f>IF(Data!#REF!="","",IF(Data!$G666="",1,IF(ISNUMBER(MATCH(Data!#REF!,Data_Val!$D$2:$D$10,0)),0,1)))</f>
        <v>#REF!</v>
      </c>
      <c r="AF666" s="12"/>
      <c r="AG666" s="12" t="e">
        <f>IF(Data!#REF!="","",IF(ISNUMBER(MATCH(Data!#REF!,Data_Val!$A$2:$A$3,0)),0,1))</f>
        <v>#REF!</v>
      </c>
      <c r="AH666" s="26" t="e">
        <f ca="1">IF(Data!#REF!="","",IF(ISNUMBER(Data!#REF!),IF(AND(Data!#REF!&gt;(TODAY()-(Data_Val!$L$3*365.25)),Data!#REF!&lt;=(TODAY()-(Data_Val!$L$2*365.25))),0,1),1))</f>
        <v>#REF!</v>
      </c>
      <c r="AI666" s="12" t="e">
        <f>IF(Data!#REF!="","",IF(Data!$G666="",1,IF(ISNUMBER(MATCH(Data!#REF!,Data_Val!$D$2:$D$10,0)),0,1)))</f>
        <v>#REF!</v>
      </c>
      <c r="AJ666" s="17"/>
      <c r="AK666" s="17" t="e">
        <f>IF(Data!#REF!="","",IF(ISNUMBER(MATCH(Data!#REF!,Data_Val!$A$2:$A$3,0)),0,1))</f>
        <v>#REF!</v>
      </c>
      <c r="AL666" s="25" t="e">
        <f ca="1">IF(Data!#REF!="","",IF(ISNUMBER(Data!#REF!),IF(AND(Data!#REF!&gt;(TODAY()-(Data_Val!$L$3*365.25)),Data!#REF!&lt;=(TODAY()-(Data_Val!$L$2*365.25))),0,1),1))</f>
        <v>#REF!</v>
      </c>
      <c r="AM666" s="17" t="e">
        <f>IF(Data!#REF!="","",IF(Data!$G666="",1,IF(ISNUMBER(MATCH(Data!#REF!,Data_Val!$D$2:$D$10,0)),0,1)))</f>
        <v>#REF!</v>
      </c>
      <c r="AN666" s="13"/>
      <c r="AO666" s="28" t="e">
        <f ca="1">IF(Data!#REF!="","",IF(ISNUMBER(Data!#REF!),IF(AND(Data!#REF!&gt;(TODAY()-(Data_Val!$I$3*365.25)),Data!#REF!&lt;=(TODAY()-(Data_Val!$I$2*365.25))),0,1),1))</f>
        <v>#REF!</v>
      </c>
      <c r="AP666" s="13" t="e">
        <f>IF(Data!#REF!="","",IF(Data!$G666="",1,IF(ISNUMBER(MATCH(Data!#REF!,Data_Val!$D$2:$D$10,0)),0,1)))</f>
        <v>#REF!</v>
      </c>
      <c r="AQ666" s="17"/>
      <c r="AR666" s="30" t="e">
        <f ca="1">IF(Data!#REF!="","",IF(ISNUMBER(Data!#REF!),IF(AND(Data!#REF!&gt;(TODAY()-(Data_Val!$I$3*365.25)),Data!#REF!&lt;=(TODAY()-(Data_Val!$I$2*365.25))),0,1),1))</f>
        <v>#REF!</v>
      </c>
      <c r="AS666" s="31" t="e">
        <f>IF(Data!#REF!="","",IF(Data!$G666="",1,IF(ISNUMBER(MATCH(Data!#REF!,Data_Val!$D$2:$D$10,0)),0,1)))</f>
        <v>#REF!</v>
      </c>
      <c r="AT666" s="11"/>
      <c r="AU666" s="11" t="e">
        <f ca="1">IF(Data!#REF!="","",IF(ISNUMBER(Data!#REF!),IF(AND(Data!#REF!&gt;(TODAY()-(Data_Val!$I$3*365.25)),Data!#REF!&lt;=(TODAY()-(Data_Val!$I$2*365.25))),0,1),1))</f>
        <v>#REF!</v>
      </c>
      <c r="AV666" s="11" t="e">
        <f>IF(Data!#REF!="","",IF(Data!$G666="",1,IF(ISNUMBER(MATCH(Data!#REF!,Data_Val!$D$2:$D$10,0)),0,1)))</f>
        <v>#REF!</v>
      </c>
      <c r="AW666" s="12"/>
      <c r="AX666" s="26" t="e">
        <f ca="1">IF(Data!#REF!="","",IF(ISNUMBER(Data!#REF!),IF(AND(Data!#REF!&gt;(TODAY()-(Data_Val!$I$3*365.25)),Data!#REF!&lt;=(TODAY()-(Data_Val!$I$2*365.25))),0,1),1))</f>
        <v>#REF!</v>
      </c>
      <c r="AY666" s="12" t="e">
        <f>IF(Data!#REF!="","",IF(Data!$G666="",1,IF(ISNUMBER(MATCH(Data!#REF!,Data_Val!$D$2:$D$10,0)),0,1)))</f>
        <v>#REF!</v>
      </c>
      <c r="AZ666" s="11"/>
      <c r="BA666" s="19" t="e">
        <f ca="1">IF(Data!#REF!="","",IF(ISNUMBER(Data!#REF!),IF(AND(Data!#REF!&gt;(TODAY()-(Data_Val!$M$3*365.25)),Data!#REF!&lt;=(TODAY()-(Data_Val!$M$2*365.25))),0,1),1))</f>
        <v>#REF!</v>
      </c>
      <c r="BB666" s="11" t="e">
        <f>IF(Data!#REF!="","",IF(Data!$G666="",1,IF(ISNUMBER(MATCH(Data!#REF!,Data_Val!$D$2:$D$10,0)),0,1)))</f>
        <v>#REF!</v>
      </c>
      <c r="BC666" s="12"/>
      <c r="BD666" s="20" t="e">
        <f ca="1">IF(Data!#REF!="","",IF(ISNUMBER(Data!#REF!),IF(AND(Data!#REF!&gt;(TODAY()-(Data_Val!$M$3*365.25)),Data!#REF!&lt;=(TODAY()-(Data_Val!$M$2*365.25))),0,1),1))</f>
        <v>#REF!</v>
      </c>
      <c r="BE666" s="12" t="e">
        <f>IF(Data!#REF!="","",IF(Data!$G666="",1,IF(ISNUMBER(MATCH(Data!#REF!,Data_Val!$D$2:$D$10,0)),0,1)))</f>
        <v>#REF!</v>
      </c>
      <c r="BF666" s="17"/>
      <c r="BG666" s="18" t="e">
        <f ca="1">IF(Data!#REF!="","",IF(ISNUMBER(Data!#REF!),IF(AND(Data!#REF!&gt;(TODAY()-(Data_Val!$M$3*365.25)),Data!#REF!&lt;=(TODAY()-(Data_Val!$M$2*365.25))),0,1),1))</f>
        <v>#REF!</v>
      </c>
      <c r="BH666" s="29" t="e">
        <f>IF(Data!#REF!="","",IF(Data!$G666="",1,IF(ISNUMBER(MATCH(Data!#REF!,Data_Val!$D$2:$D$10,0)),0,1)))</f>
        <v>#REF!</v>
      </c>
      <c r="BI666" s="13"/>
      <c r="BJ666" s="21" t="e">
        <f ca="1">IF(Data!#REF!="","",IF(ISNUMBER(Data!#REF!),IF(AND(Data!#REF!&gt;(TODAY()-(Data_Val!$M$3*365.25)),Data!#REF!&lt;=(TODAY()-(Data_Val!$M$2*365.25))),0,1),1))</f>
        <v>#REF!</v>
      </c>
      <c r="BK666" s="13" t="e">
        <f>IF(Data!#REF!="","",IF(Data!$G666="",1,IF(ISNUMBER(MATCH(Data!#REF!,Data_Val!$D$2:$D$10,0)),0,1)))</f>
        <v>#REF!</v>
      </c>
    </row>
    <row r="667" spans="1:63" x14ac:dyDescent="0.25">
      <c r="A667" s="9" t="str">
        <f>IF(Data!B667="","",IF(COUNTIFS(Data!A$1:'Data'!A667,Data!A667)&lt;=1,0,1))</f>
        <v/>
      </c>
      <c r="B667" s="9"/>
      <c r="C667" s="23" t="str">
        <f>IF(Data!C667="","",(IF(ISNUMBER(MATCH("*@*.?*",Data!C667,0)),0,1)+IF(COUNTIFS(Data!C$1:'Data'!C667,Data!C667)&gt;1,1,0)))</f>
        <v/>
      </c>
      <c r="D667" s="9" t="str">
        <f>IF(Data!B667="","",IF(ISNUMBER(Data!D667),IF(AND(Data!D667&gt;999999999,Data!D667&lt;=9999999999),IF(COUNTIFS(Data!D$1:'Data'!D667,Data!D667)&lt;=1,0,1),1),1))</f>
        <v/>
      </c>
      <c r="E667" s="9" t="str">
        <f>IF(Data!B667="","",IF(ISNUMBER(MATCH(Data!E667,Data_Val!$A$2:$A$3,0)),0,1))</f>
        <v/>
      </c>
      <c r="F667" s="9" t="str">
        <f ca="1">IF(Data!B667="","",IF(ISNUMBER(Data!F667),IF(AND(Data!F667&gt;(TODAY()-(Data_Val!$H$3*365.25)),Data!F667&lt;=(TODAY()-(Data_Val!$H$2*365.25))),0,1),1))</f>
        <v/>
      </c>
      <c r="G667" s="15" t="str">
        <f>IF(Data!B667="","",IF(AND(Data!G667="",Data!H667&lt;&gt;""),1,IF(Data!#REF!&lt;&gt;"",0,IF(ISNUMBER(MATCH(Data!G667,Data_Val!$C$2:$C$5,0)),0,1))))</f>
        <v/>
      </c>
      <c r="H667" s="15" t="str">
        <f>IF(Data!B667="","",IF(AND(Data!G667&lt;&gt;"",Data!H667=""),1,IF(Data!#REF!&lt;&gt;"",0,IF(Data!G667="",1,IF(ISNUMBER(MATCH(Data!H667,Data_Val!$D$2:$D$35,0)),0,1)))))</f>
        <v/>
      </c>
      <c r="I667" s="15" t="str">
        <f>IF(Data!B667="","",IF(Data!G667&lt;&gt;"",0,IF(ISNUMBER(MATCH(Data!#REF!,Data_Val!$E$2:$E$12,0)),0,1)))</f>
        <v/>
      </c>
      <c r="J667" s="16" t="e">
        <f>IF(OR(Data!B667="",Data!#REF!=""),"",IF(Data!#REF!="",1,0))</f>
        <v>#REF!</v>
      </c>
      <c r="K667" s="16" t="e">
        <f>IF(OR(Data!B667="",Data!#REF!=""),"",IF(Data!#REF!="",1,0))</f>
        <v>#REF!</v>
      </c>
      <c r="L667" s="16" t="e">
        <f>IF(OR(Data!B667="",Data!#REF!=""),"",IF(ISNUMBER(Data!#REF!),IF(AND(Data!#REF!&gt;Data_Val!$G$2,Data!#REF!&lt;=Data_Val!$G$3),0,1),1))</f>
        <v>#REF!</v>
      </c>
      <c r="M667" s="9" t="e">
        <f>IF(OR(Data!B667="",Data!#REF!=""),"",IF(ISNUMBER(MATCH(Data!#REF!,Data_Val!$F$1:$F$38,0)),0,1))</f>
        <v>#REF!</v>
      </c>
      <c r="N667" s="9" t="e">
        <f>IF(OR(Data!B667="",Data!#REF!=""),"",IF(Data!#REF!="",1,0))</f>
        <v>#REF!</v>
      </c>
      <c r="O667" s="17" t="e">
        <f>IF(Data!#REF!="","",IF(Data!#REF!="",1,0))</f>
        <v>#REF!</v>
      </c>
      <c r="P667" s="17" t="e">
        <f>IF(Data!#REF!="","",IF(ISNUMBER(MATCH(Data!#REF!,Data_Val!$A$2:$A$3,0)),0,1))</f>
        <v>#REF!</v>
      </c>
      <c r="Q667" s="25" t="e">
        <f ca="1">IF(Data!#REF!="","",IF(ISNUMBER(Data!#REF!),IF(AND(Data!#REF!&gt;(TODAY()-(Data_Val!$J$3*365.25)),Data!#REF!&lt;=(TODAY()-(Data_Val!$J$2*365.25))),0,1),1))</f>
        <v>#REF!</v>
      </c>
      <c r="R667" s="17" t="e">
        <f>IF(Data!#REF!="","",IF(ISNUMBER(MATCH(Data!#REF!,Data_Val!$B$2:$B$15,0)),0,1))</f>
        <v>#REF!</v>
      </c>
      <c r="S667" s="11" t="str">
        <f>IF(Data!G667="","",IF(Data!G667=Data_Val!$C$2,IF(Data!M667="",0,1),0))</f>
        <v/>
      </c>
      <c r="T667" s="11" t="str">
        <f>IF(Data!M667="","",IF(ISNUMBER(MATCH(Data!N667,Data_Val!$A$2:$A$3,0)),0,1))</f>
        <v/>
      </c>
      <c r="U667" s="11" t="str">
        <f ca="1">IF(Data!M667="","",IF(ISNUMBER(Data!O667),IF(AND(Data!O667&gt;(TODAY()-(Data_Val!$K$3*365.25)),Data!O667&lt;=(TODAY()-(Data_Val!$K$2*365.25))),0,1),1))</f>
        <v/>
      </c>
      <c r="V667" s="12" t="str">
        <f>IF(Data!G667="","",IF(Data!G667=Data_Val!$C$2,IF(Data!P667="",0,1),0))</f>
        <v/>
      </c>
      <c r="W667" s="12" t="str">
        <f>IF(Data!P667="","",IF(ISNUMBER(MATCH(Data!Q667,Data_Val!$A$2:$A$3,0)),0,1))</f>
        <v/>
      </c>
      <c r="X667" s="26" t="str">
        <f ca="1">IF(Data!P667="","",IF(ISNUMBER(Data!R667),IF(AND(Data!R667&gt;(TODAY()-(Data_Val!$L$3*365.25)),Data!R667&lt;=(TODAY()-(Data_Val!$L$2*365.25))),0,1),1))</f>
        <v/>
      </c>
      <c r="Y667" s="13" t="str">
        <f>IF(Data!$G667="","",IF(Data!$G667=Data_Val!$C$2,IF(Data!S667="",0,1),0))</f>
        <v/>
      </c>
      <c r="Z667" s="13" t="str">
        <f>IF(Data!S667="","",IF(ISNUMBER(MATCH(Data!T667,Data_Val!$A$2:$A$3,0)),0,1))</f>
        <v/>
      </c>
      <c r="AA667" s="28" t="str">
        <f ca="1">IF(Data!S667="","",IF(ISNUMBER(Data!U667),IF(AND(Data!U667&gt;(TODAY()-(Data_Val!$L$3*365.25)),Data!U667&lt;=(TODAY()-(Data_Val!$L$2*365.25))),0,1),1))</f>
        <v/>
      </c>
      <c r="AB667" s="11"/>
      <c r="AC667" s="11" t="e">
        <f>IF(Data!#REF!="","",IF(ISNUMBER(MATCH(Data!#REF!,Data_Val!$A$2:$A$3,0)),0,1))</f>
        <v>#REF!</v>
      </c>
      <c r="AD667" s="11" t="e">
        <f ca="1">IF(Data!#REF!="","",IF(ISNUMBER(Data!#REF!),IF(AND(Data!#REF!&gt;(TODAY()-(Data_Val!$L$3*365.25)),Data!#REF!&lt;=(TODAY()-(Data_Val!$L$2*365.25))),0,1),1))</f>
        <v>#REF!</v>
      </c>
      <c r="AE667" s="11" t="e">
        <f>IF(Data!#REF!="","",IF(Data!$G667="",1,IF(ISNUMBER(MATCH(Data!#REF!,Data_Val!$D$2:$D$10,0)),0,1)))</f>
        <v>#REF!</v>
      </c>
      <c r="AF667" s="12"/>
      <c r="AG667" s="12" t="e">
        <f>IF(Data!#REF!="","",IF(ISNUMBER(MATCH(Data!#REF!,Data_Val!$A$2:$A$3,0)),0,1))</f>
        <v>#REF!</v>
      </c>
      <c r="AH667" s="26" t="e">
        <f ca="1">IF(Data!#REF!="","",IF(ISNUMBER(Data!#REF!),IF(AND(Data!#REF!&gt;(TODAY()-(Data_Val!$L$3*365.25)),Data!#REF!&lt;=(TODAY()-(Data_Val!$L$2*365.25))),0,1),1))</f>
        <v>#REF!</v>
      </c>
      <c r="AI667" s="12" t="e">
        <f>IF(Data!#REF!="","",IF(Data!$G667="",1,IF(ISNUMBER(MATCH(Data!#REF!,Data_Val!$D$2:$D$10,0)),0,1)))</f>
        <v>#REF!</v>
      </c>
      <c r="AJ667" s="17"/>
      <c r="AK667" s="17" t="e">
        <f>IF(Data!#REF!="","",IF(ISNUMBER(MATCH(Data!#REF!,Data_Val!$A$2:$A$3,0)),0,1))</f>
        <v>#REF!</v>
      </c>
      <c r="AL667" s="25" t="e">
        <f ca="1">IF(Data!#REF!="","",IF(ISNUMBER(Data!#REF!),IF(AND(Data!#REF!&gt;(TODAY()-(Data_Val!$L$3*365.25)),Data!#REF!&lt;=(TODAY()-(Data_Val!$L$2*365.25))),0,1),1))</f>
        <v>#REF!</v>
      </c>
      <c r="AM667" s="17" t="e">
        <f>IF(Data!#REF!="","",IF(Data!$G667="",1,IF(ISNUMBER(MATCH(Data!#REF!,Data_Val!$D$2:$D$10,0)),0,1)))</f>
        <v>#REF!</v>
      </c>
      <c r="AN667" s="13"/>
      <c r="AO667" s="28" t="e">
        <f ca="1">IF(Data!#REF!="","",IF(ISNUMBER(Data!#REF!),IF(AND(Data!#REF!&gt;(TODAY()-(Data_Val!$I$3*365.25)),Data!#REF!&lt;=(TODAY()-(Data_Val!$I$2*365.25))),0,1),1))</f>
        <v>#REF!</v>
      </c>
      <c r="AP667" s="13" t="e">
        <f>IF(Data!#REF!="","",IF(Data!$G667="",1,IF(ISNUMBER(MATCH(Data!#REF!,Data_Val!$D$2:$D$10,0)),0,1)))</f>
        <v>#REF!</v>
      </c>
      <c r="AQ667" s="17"/>
      <c r="AR667" s="30" t="e">
        <f ca="1">IF(Data!#REF!="","",IF(ISNUMBER(Data!#REF!),IF(AND(Data!#REF!&gt;(TODAY()-(Data_Val!$I$3*365.25)),Data!#REF!&lt;=(TODAY()-(Data_Val!$I$2*365.25))),0,1),1))</f>
        <v>#REF!</v>
      </c>
      <c r="AS667" s="31" t="e">
        <f>IF(Data!#REF!="","",IF(Data!$G667="",1,IF(ISNUMBER(MATCH(Data!#REF!,Data_Val!$D$2:$D$10,0)),0,1)))</f>
        <v>#REF!</v>
      </c>
      <c r="AT667" s="11"/>
      <c r="AU667" s="11" t="e">
        <f ca="1">IF(Data!#REF!="","",IF(ISNUMBER(Data!#REF!),IF(AND(Data!#REF!&gt;(TODAY()-(Data_Val!$I$3*365.25)),Data!#REF!&lt;=(TODAY()-(Data_Val!$I$2*365.25))),0,1),1))</f>
        <v>#REF!</v>
      </c>
      <c r="AV667" s="11" t="e">
        <f>IF(Data!#REF!="","",IF(Data!$G667="",1,IF(ISNUMBER(MATCH(Data!#REF!,Data_Val!$D$2:$D$10,0)),0,1)))</f>
        <v>#REF!</v>
      </c>
      <c r="AW667" s="12"/>
      <c r="AX667" s="26" t="e">
        <f ca="1">IF(Data!#REF!="","",IF(ISNUMBER(Data!#REF!),IF(AND(Data!#REF!&gt;(TODAY()-(Data_Val!$I$3*365.25)),Data!#REF!&lt;=(TODAY()-(Data_Val!$I$2*365.25))),0,1),1))</f>
        <v>#REF!</v>
      </c>
      <c r="AY667" s="12" t="e">
        <f>IF(Data!#REF!="","",IF(Data!$G667="",1,IF(ISNUMBER(MATCH(Data!#REF!,Data_Val!$D$2:$D$10,0)),0,1)))</f>
        <v>#REF!</v>
      </c>
      <c r="AZ667" s="11"/>
      <c r="BA667" s="19" t="e">
        <f ca="1">IF(Data!#REF!="","",IF(ISNUMBER(Data!#REF!),IF(AND(Data!#REF!&gt;(TODAY()-(Data_Val!$M$3*365.25)),Data!#REF!&lt;=(TODAY()-(Data_Val!$M$2*365.25))),0,1),1))</f>
        <v>#REF!</v>
      </c>
      <c r="BB667" s="11" t="e">
        <f>IF(Data!#REF!="","",IF(Data!$G667="",1,IF(ISNUMBER(MATCH(Data!#REF!,Data_Val!$D$2:$D$10,0)),0,1)))</f>
        <v>#REF!</v>
      </c>
      <c r="BC667" s="12"/>
      <c r="BD667" s="20" t="e">
        <f ca="1">IF(Data!#REF!="","",IF(ISNUMBER(Data!#REF!),IF(AND(Data!#REF!&gt;(TODAY()-(Data_Val!$M$3*365.25)),Data!#REF!&lt;=(TODAY()-(Data_Val!$M$2*365.25))),0,1),1))</f>
        <v>#REF!</v>
      </c>
      <c r="BE667" s="12" t="e">
        <f>IF(Data!#REF!="","",IF(Data!$G667="",1,IF(ISNUMBER(MATCH(Data!#REF!,Data_Val!$D$2:$D$10,0)),0,1)))</f>
        <v>#REF!</v>
      </c>
      <c r="BF667" s="17"/>
      <c r="BG667" s="18" t="e">
        <f ca="1">IF(Data!#REF!="","",IF(ISNUMBER(Data!#REF!),IF(AND(Data!#REF!&gt;(TODAY()-(Data_Val!$M$3*365.25)),Data!#REF!&lt;=(TODAY()-(Data_Val!$M$2*365.25))),0,1),1))</f>
        <v>#REF!</v>
      </c>
      <c r="BH667" s="29" t="e">
        <f>IF(Data!#REF!="","",IF(Data!$G667="",1,IF(ISNUMBER(MATCH(Data!#REF!,Data_Val!$D$2:$D$10,0)),0,1)))</f>
        <v>#REF!</v>
      </c>
      <c r="BI667" s="13"/>
      <c r="BJ667" s="21" t="e">
        <f ca="1">IF(Data!#REF!="","",IF(ISNUMBER(Data!#REF!),IF(AND(Data!#REF!&gt;(TODAY()-(Data_Val!$M$3*365.25)),Data!#REF!&lt;=(TODAY()-(Data_Val!$M$2*365.25))),0,1),1))</f>
        <v>#REF!</v>
      </c>
      <c r="BK667" s="13" t="e">
        <f>IF(Data!#REF!="","",IF(Data!$G667="",1,IF(ISNUMBER(MATCH(Data!#REF!,Data_Val!$D$2:$D$10,0)),0,1)))</f>
        <v>#REF!</v>
      </c>
    </row>
    <row r="668" spans="1:63" x14ac:dyDescent="0.25">
      <c r="A668" s="9" t="str">
        <f>IF(Data!B668="","",IF(COUNTIFS(Data!A$1:'Data'!A668,Data!A668)&lt;=1,0,1))</f>
        <v/>
      </c>
      <c r="B668" s="9"/>
      <c r="C668" s="23" t="str">
        <f>IF(Data!C668="","",(IF(ISNUMBER(MATCH("*@*.?*",Data!C668,0)),0,1)+IF(COUNTIFS(Data!C$1:'Data'!C668,Data!C668)&gt;1,1,0)))</f>
        <v/>
      </c>
      <c r="D668" s="9" t="str">
        <f>IF(Data!B668="","",IF(ISNUMBER(Data!D668),IF(AND(Data!D668&gt;999999999,Data!D668&lt;=9999999999),IF(COUNTIFS(Data!D$1:'Data'!D668,Data!D668)&lt;=1,0,1),1),1))</f>
        <v/>
      </c>
      <c r="E668" s="9" t="str">
        <f>IF(Data!B668="","",IF(ISNUMBER(MATCH(Data!E668,Data_Val!$A$2:$A$3,0)),0,1))</f>
        <v/>
      </c>
      <c r="F668" s="9" t="str">
        <f ca="1">IF(Data!B668="","",IF(ISNUMBER(Data!F668),IF(AND(Data!F668&gt;(TODAY()-(Data_Val!$H$3*365.25)),Data!F668&lt;=(TODAY()-(Data_Val!$H$2*365.25))),0,1),1))</f>
        <v/>
      </c>
      <c r="G668" s="15" t="str">
        <f>IF(Data!B668="","",IF(AND(Data!G668="",Data!H668&lt;&gt;""),1,IF(Data!#REF!&lt;&gt;"",0,IF(ISNUMBER(MATCH(Data!G668,Data_Val!$C$2:$C$5,0)),0,1))))</f>
        <v/>
      </c>
      <c r="H668" s="15" t="str">
        <f>IF(Data!B668="","",IF(AND(Data!G668&lt;&gt;"",Data!H668=""),1,IF(Data!#REF!&lt;&gt;"",0,IF(Data!G668="",1,IF(ISNUMBER(MATCH(Data!H668,Data_Val!$D$2:$D$35,0)),0,1)))))</f>
        <v/>
      </c>
      <c r="I668" s="15" t="str">
        <f>IF(Data!B668="","",IF(Data!G668&lt;&gt;"",0,IF(ISNUMBER(MATCH(Data!#REF!,Data_Val!$E$2:$E$12,0)),0,1)))</f>
        <v/>
      </c>
      <c r="J668" s="16" t="e">
        <f>IF(OR(Data!B668="",Data!#REF!=""),"",IF(Data!#REF!="",1,0))</f>
        <v>#REF!</v>
      </c>
      <c r="K668" s="16" t="e">
        <f>IF(OR(Data!B668="",Data!#REF!=""),"",IF(Data!#REF!="",1,0))</f>
        <v>#REF!</v>
      </c>
      <c r="L668" s="16" t="e">
        <f>IF(OR(Data!B668="",Data!#REF!=""),"",IF(ISNUMBER(Data!#REF!),IF(AND(Data!#REF!&gt;Data_Val!$G$2,Data!#REF!&lt;=Data_Val!$G$3),0,1),1))</f>
        <v>#REF!</v>
      </c>
      <c r="M668" s="9" t="e">
        <f>IF(OR(Data!B668="",Data!#REF!=""),"",IF(ISNUMBER(MATCH(Data!#REF!,Data_Val!$F$1:$F$38,0)),0,1))</f>
        <v>#REF!</v>
      </c>
      <c r="N668" s="9" t="e">
        <f>IF(OR(Data!B668="",Data!#REF!=""),"",IF(Data!#REF!="",1,0))</f>
        <v>#REF!</v>
      </c>
      <c r="O668" s="17" t="e">
        <f>IF(Data!#REF!="","",IF(Data!#REF!="",1,0))</f>
        <v>#REF!</v>
      </c>
      <c r="P668" s="17" t="e">
        <f>IF(Data!#REF!="","",IF(ISNUMBER(MATCH(Data!#REF!,Data_Val!$A$2:$A$3,0)),0,1))</f>
        <v>#REF!</v>
      </c>
      <c r="Q668" s="25" t="e">
        <f ca="1">IF(Data!#REF!="","",IF(ISNUMBER(Data!#REF!),IF(AND(Data!#REF!&gt;(TODAY()-(Data_Val!$J$3*365.25)),Data!#REF!&lt;=(TODAY()-(Data_Val!$J$2*365.25))),0,1),1))</f>
        <v>#REF!</v>
      </c>
      <c r="R668" s="17" t="e">
        <f>IF(Data!#REF!="","",IF(ISNUMBER(MATCH(Data!#REF!,Data_Val!$B$2:$B$15,0)),0,1))</f>
        <v>#REF!</v>
      </c>
      <c r="S668" s="11" t="str">
        <f>IF(Data!G668="","",IF(Data!G668=Data_Val!$C$2,IF(Data!M668="",0,1),0))</f>
        <v/>
      </c>
      <c r="T668" s="11" t="str">
        <f>IF(Data!M668="","",IF(ISNUMBER(MATCH(Data!N668,Data_Val!$A$2:$A$3,0)),0,1))</f>
        <v/>
      </c>
      <c r="U668" s="11" t="str">
        <f ca="1">IF(Data!M668="","",IF(ISNUMBER(Data!O668),IF(AND(Data!O668&gt;(TODAY()-(Data_Val!$K$3*365.25)),Data!O668&lt;=(TODAY()-(Data_Val!$K$2*365.25))),0,1),1))</f>
        <v/>
      </c>
      <c r="V668" s="12" t="str">
        <f>IF(Data!G668="","",IF(Data!G668=Data_Val!$C$2,IF(Data!P668="",0,1),0))</f>
        <v/>
      </c>
      <c r="W668" s="12" t="str">
        <f>IF(Data!P668="","",IF(ISNUMBER(MATCH(Data!Q668,Data_Val!$A$2:$A$3,0)),0,1))</f>
        <v/>
      </c>
      <c r="X668" s="26" t="str">
        <f ca="1">IF(Data!P668="","",IF(ISNUMBER(Data!R668),IF(AND(Data!R668&gt;(TODAY()-(Data_Val!$L$3*365.25)),Data!R668&lt;=(TODAY()-(Data_Val!$L$2*365.25))),0,1),1))</f>
        <v/>
      </c>
      <c r="Y668" s="13" t="str">
        <f>IF(Data!$G668="","",IF(Data!$G668=Data_Val!$C$2,IF(Data!S668="",0,1),0))</f>
        <v/>
      </c>
      <c r="Z668" s="13" t="str">
        <f>IF(Data!S668="","",IF(ISNUMBER(MATCH(Data!T668,Data_Val!$A$2:$A$3,0)),0,1))</f>
        <v/>
      </c>
      <c r="AA668" s="28" t="str">
        <f ca="1">IF(Data!S668="","",IF(ISNUMBER(Data!U668),IF(AND(Data!U668&gt;(TODAY()-(Data_Val!$L$3*365.25)),Data!U668&lt;=(TODAY()-(Data_Val!$L$2*365.25))),0,1),1))</f>
        <v/>
      </c>
      <c r="AB668" s="11"/>
      <c r="AC668" s="11" t="e">
        <f>IF(Data!#REF!="","",IF(ISNUMBER(MATCH(Data!#REF!,Data_Val!$A$2:$A$3,0)),0,1))</f>
        <v>#REF!</v>
      </c>
      <c r="AD668" s="11" t="e">
        <f ca="1">IF(Data!#REF!="","",IF(ISNUMBER(Data!#REF!),IF(AND(Data!#REF!&gt;(TODAY()-(Data_Val!$L$3*365.25)),Data!#REF!&lt;=(TODAY()-(Data_Val!$L$2*365.25))),0,1),1))</f>
        <v>#REF!</v>
      </c>
      <c r="AE668" s="11" t="e">
        <f>IF(Data!#REF!="","",IF(Data!$G668="",1,IF(ISNUMBER(MATCH(Data!#REF!,Data_Val!$D$2:$D$10,0)),0,1)))</f>
        <v>#REF!</v>
      </c>
      <c r="AF668" s="12"/>
      <c r="AG668" s="12" t="e">
        <f>IF(Data!#REF!="","",IF(ISNUMBER(MATCH(Data!#REF!,Data_Val!$A$2:$A$3,0)),0,1))</f>
        <v>#REF!</v>
      </c>
      <c r="AH668" s="26" t="e">
        <f ca="1">IF(Data!#REF!="","",IF(ISNUMBER(Data!#REF!),IF(AND(Data!#REF!&gt;(TODAY()-(Data_Val!$L$3*365.25)),Data!#REF!&lt;=(TODAY()-(Data_Val!$L$2*365.25))),0,1),1))</f>
        <v>#REF!</v>
      </c>
      <c r="AI668" s="12" t="e">
        <f>IF(Data!#REF!="","",IF(Data!$G668="",1,IF(ISNUMBER(MATCH(Data!#REF!,Data_Val!$D$2:$D$10,0)),0,1)))</f>
        <v>#REF!</v>
      </c>
      <c r="AJ668" s="17"/>
      <c r="AK668" s="17" t="e">
        <f>IF(Data!#REF!="","",IF(ISNUMBER(MATCH(Data!#REF!,Data_Val!$A$2:$A$3,0)),0,1))</f>
        <v>#REF!</v>
      </c>
      <c r="AL668" s="25" t="e">
        <f ca="1">IF(Data!#REF!="","",IF(ISNUMBER(Data!#REF!),IF(AND(Data!#REF!&gt;(TODAY()-(Data_Val!$L$3*365.25)),Data!#REF!&lt;=(TODAY()-(Data_Val!$L$2*365.25))),0,1),1))</f>
        <v>#REF!</v>
      </c>
      <c r="AM668" s="17" t="e">
        <f>IF(Data!#REF!="","",IF(Data!$G668="",1,IF(ISNUMBER(MATCH(Data!#REF!,Data_Val!$D$2:$D$10,0)),0,1)))</f>
        <v>#REF!</v>
      </c>
      <c r="AN668" s="13"/>
      <c r="AO668" s="28" t="e">
        <f ca="1">IF(Data!#REF!="","",IF(ISNUMBER(Data!#REF!),IF(AND(Data!#REF!&gt;(TODAY()-(Data_Val!$I$3*365.25)),Data!#REF!&lt;=(TODAY()-(Data_Val!$I$2*365.25))),0,1),1))</f>
        <v>#REF!</v>
      </c>
      <c r="AP668" s="13" t="e">
        <f>IF(Data!#REF!="","",IF(Data!$G668="",1,IF(ISNUMBER(MATCH(Data!#REF!,Data_Val!$D$2:$D$10,0)),0,1)))</f>
        <v>#REF!</v>
      </c>
      <c r="AQ668" s="17"/>
      <c r="AR668" s="30" t="e">
        <f ca="1">IF(Data!#REF!="","",IF(ISNUMBER(Data!#REF!),IF(AND(Data!#REF!&gt;(TODAY()-(Data_Val!$I$3*365.25)),Data!#REF!&lt;=(TODAY()-(Data_Val!$I$2*365.25))),0,1),1))</f>
        <v>#REF!</v>
      </c>
      <c r="AS668" s="31" t="e">
        <f>IF(Data!#REF!="","",IF(Data!$G668="",1,IF(ISNUMBER(MATCH(Data!#REF!,Data_Val!$D$2:$D$10,0)),0,1)))</f>
        <v>#REF!</v>
      </c>
      <c r="AT668" s="11"/>
      <c r="AU668" s="11" t="e">
        <f ca="1">IF(Data!#REF!="","",IF(ISNUMBER(Data!#REF!),IF(AND(Data!#REF!&gt;(TODAY()-(Data_Val!$I$3*365.25)),Data!#REF!&lt;=(TODAY()-(Data_Val!$I$2*365.25))),0,1),1))</f>
        <v>#REF!</v>
      </c>
      <c r="AV668" s="11" t="e">
        <f>IF(Data!#REF!="","",IF(Data!$G668="",1,IF(ISNUMBER(MATCH(Data!#REF!,Data_Val!$D$2:$D$10,0)),0,1)))</f>
        <v>#REF!</v>
      </c>
      <c r="AW668" s="12"/>
      <c r="AX668" s="26" t="e">
        <f ca="1">IF(Data!#REF!="","",IF(ISNUMBER(Data!#REF!),IF(AND(Data!#REF!&gt;(TODAY()-(Data_Val!$I$3*365.25)),Data!#REF!&lt;=(TODAY()-(Data_Val!$I$2*365.25))),0,1),1))</f>
        <v>#REF!</v>
      </c>
      <c r="AY668" s="12" t="e">
        <f>IF(Data!#REF!="","",IF(Data!$G668="",1,IF(ISNUMBER(MATCH(Data!#REF!,Data_Val!$D$2:$D$10,0)),0,1)))</f>
        <v>#REF!</v>
      </c>
      <c r="AZ668" s="11"/>
      <c r="BA668" s="19" t="e">
        <f ca="1">IF(Data!#REF!="","",IF(ISNUMBER(Data!#REF!),IF(AND(Data!#REF!&gt;(TODAY()-(Data_Val!$M$3*365.25)),Data!#REF!&lt;=(TODAY()-(Data_Val!$M$2*365.25))),0,1),1))</f>
        <v>#REF!</v>
      </c>
      <c r="BB668" s="11" t="e">
        <f>IF(Data!#REF!="","",IF(Data!$G668="",1,IF(ISNUMBER(MATCH(Data!#REF!,Data_Val!$D$2:$D$10,0)),0,1)))</f>
        <v>#REF!</v>
      </c>
      <c r="BC668" s="12"/>
      <c r="BD668" s="20" t="e">
        <f ca="1">IF(Data!#REF!="","",IF(ISNUMBER(Data!#REF!),IF(AND(Data!#REF!&gt;(TODAY()-(Data_Val!$M$3*365.25)),Data!#REF!&lt;=(TODAY()-(Data_Val!$M$2*365.25))),0,1),1))</f>
        <v>#REF!</v>
      </c>
      <c r="BE668" s="12" t="e">
        <f>IF(Data!#REF!="","",IF(Data!$G668="",1,IF(ISNUMBER(MATCH(Data!#REF!,Data_Val!$D$2:$D$10,0)),0,1)))</f>
        <v>#REF!</v>
      </c>
      <c r="BF668" s="17"/>
      <c r="BG668" s="18" t="e">
        <f ca="1">IF(Data!#REF!="","",IF(ISNUMBER(Data!#REF!),IF(AND(Data!#REF!&gt;(TODAY()-(Data_Val!$M$3*365.25)),Data!#REF!&lt;=(TODAY()-(Data_Val!$M$2*365.25))),0,1),1))</f>
        <v>#REF!</v>
      </c>
      <c r="BH668" s="29" t="e">
        <f>IF(Data!#REF!="","",IF(Data!$G668="",1,IF(ISNUMBER(MATCH(Data!#REF!,Data_Val!$D$2:$D$10,0)),0,1)))</f>
        <v>#REF!</v>
      </c>
      <c r="BI668" s="13"/>
      <c r="BJ668" s="21" t="e">
        <f ca="1">IF(Data!#REF!="","",IF(ISNUMBER(Data!#REF!),IF(AND(Data!#REF!&gt;(TODAY()-(Data_Val!$M$3*365.25)),Data!#REF!&lt;=(TODAY()-(Data_Val!$M$2*365.25))),0,1),1))</f>
        <v>#REF!</v>
      </c>
      <c r="BK668" s="13" t="e">
        <f>IF(Data!#REF!="","",IF(Data!$G668="",1,IF(ISNUMBER(MATCH(Data!#REF!,Data_Val!$D$2:$D$10,0)),0,1)))</f>
        <v>#REF!</v>
      </c>
    </row>
    <row r="669" spans="1:63" x14ac:dyDescent="0.25">
      <c r="A669" s="9" t="str">
        <f>IF(Data!B669="","",IF(COUNTIFS(Data!A$1:'Data'!A669,Data!A669)&lt;=1,0,1))</f>
        <v/>
      </c>
      <c r="B669" s="9"/>
      <c r="C669" s="23" t="str">
        <f>IF(Data!C669="","",(IF(ISNUMBER(MATCH("*@*.?*",Data!C669,0)),0,1)+IF(COUNTIFS(Data!C$1:'Data'!C669,Data!C669)&gt;1,1,0)))</f>
        <v/>
      </c>
      <c r="D669" s="9" t="str">
        <f>IF(Data!B669="","",IF(ISNUMBER(Data!D669),IF(AND(Data!D669&gt;999999999,Data!D669&lt;=9999999999),IF(COUNTIFS(Data!D$1:'Data'!D669,Data!D669)&lt;=1,0,1),1),1))</f>
        <v/>
      </c>
      <c r="E669" s="9" t="str">
        <f>IF(Data!B669="","",IF(ISNUMBER(MATCH(Data!E669,Data_Val!$A$2:$A$3,0)),0,1))</f>
        <v/>
      </c>
      <c r="F669" s="9" t="str">
        <f ca="1">IF(Data!B669="","",IF(ISNUMBER(Data!F669),IF(AND(Data!F669&gt;(TODAY()-(Data_Val!$H$3*365.25)),Data!F669&lt;=(TODAY()-(Data_Val!$H$2*365.25))),0,1),1))</f>
        <v/>
      </c>
      <c r="G669" s="15" t="str">
        <f>IF(Data!B669="","",IF(AND(Data!G669="",Data!H669&lt;&gt;""),1,IF(Data!#REF!&lt;&gt;"",0,IF(ISNUMBER(MATCH(Data!G669,Data_Val!$C$2:$C$5,0)),0,1))))</f>
        <v/>
      </c>
      <c r="H669" s="15" t="str">
        <f>IF(Data!B669="","",IF(AND(Data!G669&lt;&gt;"",Data!H669=""),1,IF(Data!#REF!&lt;&gt;"",0,IF(Data!G669="",1,IF(ISNUMBER(MATCH(Data!H669,Data_Val!$D$2:$D$35,0)),0,1)))))</f>
        <v/>
      </c>
      <c r="I669" s="15" t="str">
        <f>IF(Data!B669="","",IF(Data!G669&lt;&gt;"",0,IF(ISNUMBER(MATCH(Data!#REF!,Data_Val!$E$2:$E$12,0)),0,1)))</f>
        <v/>
      </c>
      <c r="J669" s="16" t="e">
        <f>IF(OR(Data!B669="",Data!#REF!=""),"",IF(Data!#REF!="",1,0))</f>
        <v>#REF!</v>
      </c>
      <c r="K669" s="16" t="e">
        <f>IF(OR(Data!B669="",Data!#REF!=""),"",IF(Data!#REF!="",1,0))</f>
        <v>#REF!</v>
      </c>
      <c r="L669" s="16" t="e">
        <f>IF(OR(Data!B669="",Data!#REF!=""),"",IF(ISNUMBER(Data!#REF!),IF(AND(Data!#REF!&gt;Data_Val!$G$2,Data!#REF!&lt;=Data_Val!$G$3),0,1),1))</f>
        <v>#REF!</v>
      </c>
      <c r="M669" s="9" t="e">
        <f>IF(OR(Data!B669="",Data!#REF!=""),"",IF(ISNUMBER(MATCH(Data!#REF!,Data_Val!$F$1:$F$38,0)),0,1))</f>
        <v>#REF!</v>
      </c>
      <c r="N669" s="9" t="e">
        <f>IF(OR(Data!B669="",Data!#REF!=""),"",IF(Data!#REF!="",1,0))</f>
        <v>#REF!</v>
      </c>
      <c r="O669" s="17" t="e">
        <f>IF(Data!#REF!="","",IF(Data!#REF!="",1,0))</f>
        <v>#REF!</v>
      </c>
      <c r="P669" s="17" t="e">
        <f>IF(Data!#REF!="","",IF(ISNUMBER(MATCH(Data!#REF!,Data_Val!$A$2:$A$3,0)),0,1))</f>
        <v>#REF!</v>
      </c>
      <c r="Q669" s="25" t="e">
        <f ca="1">IF(Data!#REF!="","",IF(ISNUMBER(Data!#REF!),IF(AND(Data!#REF!&gt;(TODAY()-(Data_Val!$J$3*365.25)),Data!#REF!&lt;=(TODAY()-(Data_Val!$J$2*365.25))),0,1),1))</f>
        <v>#REF!</v>
      </c>
      <c r="R669" s="17" t="e">
        <f>IF(Data!#REF!="","",IF(ISNUMBER(MATCH(Data!#REF!,Data_Val!$B$2:$B$15,0)),0,1))</f>
        <v>#REF!</v>
      </c>
      <c r="S669" s="11" t="str">
        <f>IF(Data!G669="","",IF(Data!G669=Data_Val!$C$2,IF(Data!M669="",0,1),0))</f>
        <v/>
      </c>
      <c r="T669" s="11" t="str">
        <f>IF(Data!M669="","",IF(ISNUMBER(MATCH(Data!N669,Data_Val!$A$2:$A$3,0)),0,1))</f>
        <v/>
      </c>
      <c r="U669" s="11" t="str">
        <f ca="1">IF(Data!M669="","",IF(ISNUMBER(Data!O669),IF(AND(Data!O669&gt;(TODAY()-(Data_Val!$K$3*365.25)),Data!O669&lt;=(TODAY()-(Data_Val!$K$2*365.25))),0,1),1))</f>
        <v/>
      </c>
      <c r="V669" s="12" t="str">
        <f>IF(Data!G669="","",IF(Data!G669=Data_Val!$C$2,IF(Data!P669="",0,1),0))</f>
        <v/>
      </c>
      <c r="W669" s="12" t="str">
        <f>IF(Data!P669="","",IF(ISNUMBER(MATCH(Data!Q669,Data_Val!$A$2:$A$3,0)),0,1))</f>
        <v/>
      </c>
      <c r="X669" s="26" t="str">
        <f ca="1">IF(Data!P669="","",IF(ISNUMBER(Data!R669),IF(AND(Data!R669&gt;(TODAY()-(Data_Val!$L$3*365.25)),Data!R669&lt;=(TODAY()-(Data_Val!$L$2*365.25))),0,1),1))</f>
        <v/>
      </c>
      <c r="Y669" s="13" t="str">
        <f>IF(Data!$G669="","",IF(Data!$G669=Data_Val!$C$2,IF(Data!S669="",0,1),0))</f>
        <v/>
      </c>
      <c r="Z669" s="13" t="str">
        <f>IF(Data!S669="","",IF(ISNUMBER(MATCH(Data!T669,Data_Val!$A$2:$A$3,0)),0,1))</f>
        <v/>
      </c>
      <c r="AA669" s="28" t="str">
        <f ca="1">IF(Data!S669="","",IF(ISNUMBER(Data!U669),IF(AND(Data!U669&gt;(TODAY()-(Data_Val!$L$3*365.25)),Data!U669&lt;=(TODAY()-(Data_Val!$L$2*365.25))),0,1),1))</f>
        <v/>
      </c>
      <c r="AB669" s="11"/>
      <c r="AC669" s="11" t="e">
        <f>IF(Data!#REF!="","",IF(ISNUMBER(MATCH(Data!#REF!,Data_Val!$A$2:$A$3,0)),0,1))</f>
        <v>#REF!</v>
      </c>
      <c r="AD669" s="11" t="e">
        <f ca="1">IF(Data!#REF!="","",IF(ISNUMBER(Data!#REF!),IF(AND(Data!#REF!&gt;(TODAY()-(Data_Val!$L$3*365.25)),Data!#REF!&lt;=(TODAY()-(Data_Val!$L$2*365.25))),0,1),1))</f>
        <v>#REF!</v>
      </c>
      <c r="AE669" s="11" t="e">
        <f>IF(Data!#REF!="","",IF(Data!$G669="",1,IF(ISNUMBER(MATCH(Data!#REF!,Data_Val!$D$2:$D$10,0)),0,1)))</f>
        <v>#REF!</v>
      </c>
      <c r="AF669" s="12"/>
      <c r="AG669" s="12" t="e">
        <f>IF(Data!#REF!="","",IF(ISNUMBER(MATCH(Data!#REF!,Data_Val!$A$2:$A$3,0)),0,1))</f>
        <v>#REF!</v>
      </c>
      <c r="AH669" s="26" t="e">
        <f ca="1">IF(Data!#REF!="","",IF(ISNUMBER(Data!#REF!),IF(AND(Data!#REF!&gt;(TODAY()-(Data_Val!$L$3*365.25)),Data!#REF!&lt;=(TODAY()-(Data_Val!$L$2*365.25))),0,1),1))</f>
        <v>#REF!</v>
      </c>
      <c r="AI669" s="12" t="e">
        <f>IF(Data!#REF!="","",IF(Data!$G669="",1,IF(ISNUMBER(MATCH(Data!#REF!,Data_Val!$D$2:$D$10,0)),0,1)))</f>
        <v>#REF!</v>
      </c>
      <c r="AJ669" s="17"/>
      <c r="AK669" s="17" t="e">
        <f>IF(Data!#REF!="","",IF(ISNUMBER(MATCH(Data!#REF!,Data_Val!$A$2:$A$3,0)),0,1))</f>
        <v>#REF!</v>
      </c>
      <c r="AL669" s="25" t="e">
        <f ca="1">IF(Data!#REF!="","",IF(ISNUMBER(Data!#REF!),IF(AND(Data!#REF!&gt;(TODAY()-(Data_Val!$L$3*365.25)),Data!#REF!&lt;=(TODAY()-(Data_Val!$L$2*365.25))),0,1),1))</f>
        <v>#REF!</v>
      </c>
      <c r="AM669" s="17" t="e">
        <f>IF(Data!#REF!="","",IF(Data!$G669="",1,IF(ISNUMBER(MATCH(Data!#REF!,Data_Val!$D$2:$D$10,0)),0,1)))</f>
        <v>#REF!</v>
      </c>
      <c r="AN669" s="13"/>
      <c r="AO669" s="28" t="e">
        <f ca="1">IF(Data!#REF!="","",IF(ISNUMBER(Data!#REF!),IF(AND(Data!#REF!&gt;(TODAY()-(Data_Val!$I$3*365.25)),Data!#REF!&lt;=(TODAY()-(Data_Val!$I$2*365.25))),0,1),1))</f>
        <v>#REF!</v>
      </c>
      <c r="AP669" s="13" t="e">
        <f>IF(Data!#REF!="","",IF(Data!$G669="",1,IF(ISNUMBER(MATCH(Data!#REF!,Data_Val!$D$2:$D$10,0)),0,1)))</f>
        <v>#REF!</v>
      </c>
      <c r="AQ669" s="17"/>
      <c r="AR669" s="30" t="e">
        <f ca="1">IF(Data!#REF!="","",IF(ISNUMBER(Data!#REF!),IF(AND(Data!#REF!&gt;(TODAY()-(Data_Val!$I$3*365.25)),Data!#REF!&lt;=(TODAY()-(Data_Val!$I$2*365.25))),0,1),1))</f>
        <v>#REF!</v>
      </c>
      <c r="AS669" s="31" t="e">
        <f>IF(Data!#REF!="","",IF(Data!$G669="",1,IF(ISNUMBER(MATCH(Data!#REF!,Data_Val!$D$2:$D$10,0)),0,1)))</f>
        <v>#REF!</v>
      </c>
      <c r="AT669" s="11"/>
      <c r="AU669" s="11" t="e">
        <f ca="1">IF(Data!#REF!="","",IF(ISNUMBER(Data!#REF!),IF(AND(Data!#REF!&gt;(TODAY()-(Data_Val!$I$3*365.25)),Data!#REF!&lt;=(TODAY()-(Data_Val!$I$2*365.25))),0,1),1))</f>
        <v>#REF!</v>
      </c>
      <c r="AV669" s="11" t="e">
        <f>IF(Data!#REF!="","",IF(Data!$G669="",1,IF(ISNUMBER(MATCH(Data!#REF!,Data_Val!$D$2:$D$10,0)),0,1)))</f>
        <v>#REF!</v>
      </c>
      <c r="AW669" s="12"/>
      <c r="AX669" s="26" t="e">
        <f ca="1">IF(Data!#REF!="","",IF(ISNUMBER(Data!#REF!),IF(AND(Data!#REF!&gt;(TODAY()-(Data_Val!$I$3*365.25)),Data!#REF!&lt;=(TODAY()-(Data_Val!$I$2*365.25))),0,1),1))</f>
        <v>#REF!</v>
      </c>
      <c r="AY669" s="12" t="e">
        <f>IF(Data!#REF!="","",IF(Data!$G669="",1,IF(ISNUMBER(MATCH(Data!#REF!,Data_Val!$D$2:$D$10,0)),0,1)))</f>
        <v>#REF!</v>
      </c>
      <c r="AZ669" s="11"/>
      <c r="BA669" s="19" t="e">
        <f ca="1">IF(Data!#REF!="","",IF(ISNUMBER(Data!#REF!),IF(AND(Data!#REF!&gt;(TODAY()-(Data_Val!$M$3*365.25)),Data!#REF!&lt;=(TODAY()-(Data_Val!$M$2*365.25))),0,1),1))</f>
        <v>#REF!</v>
      </c>
      <c r="BB669" s="11" t="e">
        <f>IF(Data!#REF!="","",IF(Data!$G669="",1,IF(ISNUMBER(MATCH(Data!#REF!,Data_Val!$D$2:$D$10,0)),0,1)))</f>
        <v>#REF!</v>
      </c>
      <c r="BC669" s="12"/>
      <c r="BD669" s="20" t="e">
        <f ca="1">IF(Data!#REF!="","",IF(ISNUMBER(Data!#REF!),IF(AND(Data!#REF!&gt;(TODAY()-(Data_Val!$M$3*365.25)),Data!#REF!&lt;=(TODAY()-(Data_Val!$M$2*365.25))),0,1),1))</f>
        <v>#REF!</v>
      </c>
      <c r="BE669" s="12" t="e">
        <f>IF(Data!#REF!="","",IF(Data!$G669="",1,IF(ISNUMBER(MATCH(Data!#REF!,Data_Val!$D$2:$D$10,0)),0,1)))</f>
        <v>#REF!</v>
      </c>
      <c r="BF669" s="17"/>
      <c r="BG669" s="18" t="e">
        <f ca="1">IF(Data!#REF!="","",IF(ISNUMBER(Data!#REF!),IF(AND(Data!#REF!&gt;(TODAY()-(Data_Val!$M$3*365.25)),Data!#REF!&lt;=(TODAY()-(Data_Val!$M$2*365.25))),0,1),1))</f>
        <v>#REF!</v>
      </c>
      <c r="BH669" s="29" t="e">
        <f>IF(Data!#REF!="","",IF(Data!$G669="",1,IF(ISNUMBER(MATCH(Data!#REF!,Data_Val!$D$2:$D$10,0)),0,1)))</f>
        <v>#REF!</v>
      </c>
      <c r="BI669" s="13"/>
      <c r="BJ669" s="21" t="e">
        <f ca="1">IF(Data!#REF!="","",IF(ISNUMBER(Data!#REF!),IF(AND(Data!#REF!&gt;(TODAY()-(Data_Val!$M$3*365.25)),Data!#REF!&lt;=(TODAY()-(Data_Val!$M$2*365.25))),0,1),1))</f>
        <v>#REF!</v>
      </c>
      <c r="BK669" s="13" t="e">
        <f>IF(Data!#REF!="","",IF(Data!$G669="",1,IF(ISNUMBER(MATCH(Data!#REF!,Data_Val!$D$2:$D$10,0)),0,1)))</f>
        <v>#REF!</v>
      </c>
    </row>
    <row r="670" spans="1:63" x14ac:dyDescent="0.25">
      <c r="A670" s="9" t="str">
        <f>IF(Data!B670="","",IF(COUNTIFS(Data!A$1:'Data'!A670,Data!A670)&lt;=1,0,1))</f>
        <v/>
      </c>
      <c r="B670" s="9"/>
      <c r="C670" s="23" t="str">
        <f>IF(Data!C670="","",(IF(ISNUMBER(MATCH("*@*.?*",Data!C670,0)),0,1)+IF(COUNTIFS(Data!C$1:'Data'!C670,Data!C670)&gt;1,1,0)))</f>
        <v/>
      </c>
      <c r="D670" s="9" t="str">
        <f>IF(Data!B670="","",IF(ISNUMBER(Data!D670),IF(AND(Data!D670&gt;999999999,Data!D670&lt;=9999999999),IF(COUNTIFS(Data!D$1:'Data'!D670,Data!D670)&lt;=1,0,1),1),1))</f>
        <v/>
      </c>
      <c r="E670" s="9" t="str">
        <f>IF(Data!B670="","",IF(ISNUMBER(MATCH(Data!E670,Data_Val!$A$2:$A$3,0)),0,1))</f>
        <v/>
      </c>
      <c r="F670" s="9" t="str">
        <f ca="1">IF(Data!B670="","",IF(ISNUMBER(Data!F670),IF(AND(Data!F670&gt;(TODAY()-(Data_Val!$H$3*365.25)),Data!F670&lt;=(TODAY()-(Data_Val!$H$2*365.25))),0,1),1))</f>
        <v/>
      </c>
      <c r="G670" s="15" t="str">
        <f>IF(Data!B670="","",IF(AND(Data!G670="",Data!H670&lt;&gt;""),1,IF(Data!#REF!&lt;&gt;"",0,IF(ISNUMBER(MATCH(Data!G670,Data_Val!$C$2:$C$5,0)),0,1))))</f>
        <v/>
      </c>
      <c r="H670" s="15" t="str">
        <f>IF(Data!B670="","",IF(AND(Data!G670&lt;&gt;"",Data!H670=""),1,IF(Data!#REF!&lt;&gt;"",0,IF(Data!G670="",1,IF(ISNUMBER(MATCH(Data!H670,Data_Val!$D$2:$D$35,0)),0,1)))))</f>
        <v/>
      </c>
      <c r="I670" s="15" t="str">
        <f>IF(Data!B670="","",IF(Data!G670&lt;&gt;"",0,IF(ISNUMBER(MATCH(Data!#REF!,Data_Val!$E$2:$E$12,0)),0,1)))</f>
        <v/>
      </c>
      <c r="J670" s="16" t="e">
        <f>IF(OR(Data!B670="",Data!#REF!=""),"",IF(Data!#REF!="",1,0))</f>
        <v>#REF!</v>
      </c>
      <c r="K670" s="16" t="e">
        <f>IF(OR(Data!B670="",Data!#REF!=""),"",IF(Data!#REF!="",1,0))</f>
        <v>#REF!</v>
      </c>
      <c r="L670" s="16" t="e">
        <f>IF(OR(Data!B670="",Data!#REF!=""),"",IF(ISNUMBER(Data!#REF!),IF(AND(Data!#REF!&gt;Data_Val!$G$2,Data!#REF!&lt;=Data_Val!$G$3),0,1),1))</f>
        <v>#REF!</v>
      </c>
      <c r="M670" s="9" t="e">
        <f>IF(OR(Data!B670="",Data!#REF!=""),"",IF(ISNUMBER(MATCH(Data!#REF!,Data_Val!$F$1:$F$38,0)),0,1))</f>
        <v>#REF!</v>
      </c>
      <c r="N670" s="9" t="e">
        <f>IF(OR(Data!B670="",Data!#REF!=""),"",IF(Data!#REF!="",1,0))</f>
        <v>#REF!</v>
      </c>
      <c r="O670" s="17" t="e">
        <f>IF(Data!#REF!="","",IF(Data!#REF!="",1,0))</f>
        <v>#REF!</v>
      </c>
      <c r="P670" s="17" t="e">
        <f>IF(Data!#REF!="","",IF(ISNUMBER(MATCH(Data!#REF!,Data_Val!$A$2:$A$3,0)),0,1))</f>
        <v>#REF!</v>
      </c>
      <c r="Q670" s="25" t="e">
        <f ca="1">IF(Data!#REF!="","",IF(ISNUMBER(Data!#REF!),IF(AND(Data!#REF!&gt;(TODAY()-(Data_Val!$J$3*365.25)),Data!#REF!&lt;=(TODAY()-(Data_Val!$J$2*365.25))),0,1),1))</f>
        <v>#REF!</v>
      </c>
      <c r="R670" s="17" t="e">
        <f>IF(Data!#REF!="","",IF(ISNUMBER(MATCH(Data!#REF!,Data_Val!$B$2:$B$15,0)),0,1))</f>
        <v>#REF!</v>
      </c>
      <c r="S670" s="11" t="str">
        <f>IF(Data!G670="","",IF(Data!G670=Data_Val!$C$2,IF(Data!M670="",0,1),0))</f>
        <v/>
      </c>
      <c r="T670" s="11" t="str">
        <f>IF(Data!M670="","",IF(ISNUMBER(MATCH(Data!N670,Data_Val!$A$2:$A$3,0)),0,1))</f>
        <v/>
      </c>
      <c r="U670" s="11" t="str">
        <f ca="1">IF(Data!M670="","",IF(ISNUMBER(Data!O670),IF(AND(Data!O670&gt;(TODAY()-(Data_Val!$K$3*365.25)),Data!O670&lt;=(TODAY()-(Data_Val!$K$2*365.25))),0,1),1))</f>
        <v/>
      </c>
      <c r="V670" s="12" t="str">
        <f>IF(Data!G670="","",IF(Data!G670=Data_Val!$C$2,IF(Data!P670="",0,1),0))</f>
        <v/>
      </c>
      <c r="W670" s="12" t="str">
        <f>IF(Data!P670="","",IF(ISNUMBER(MATCH(Data!Q670,Data_Val!$A$2:$A$3,0)),0,1))</f>
        <v/>
      </c>
      <c r="X670" s="26" t="str">
        <f ca="1">IF(Data!P670="","",IF(ISNUMBER(Data!R670),IF(AND(Data!R670&gt;(TODAY()-(Data_Val!$L$3*365.25)),Data!R670&lt;=(TODAY()-(Data_Val!$L$2*365.25))),0,1),1))</f>
        <v/>
      </c>
      <c r="Y670" s="13" t="str">
        <f>IF(Data!$G670="","",IF(Data!$G670=Data_Val!$C$2,IF(Data!S670="",0,1),0))</f>
        <v/>
      </c>
      <c r="Z670" s="13" t="str">
        <f>IF(Data!S670="","",IF(ISNUMBER(MATCH(Data!T670,Data_Val!$A$2:$A$3,0)),0,1))</f>
        <v/>
      </c>
      <c r="AA670" s="28" t="str">
        <f ca="1">IF(Data!S670="","",IF(ISNUMBER(Data!U670),IF(AND(Data!U670&gt;(TODAY()-(Data_Val!$L$3*365.25)),Data!U670&lt;=(TODAY()-(Data_Val!$L$2*365.25))),0,1),1))</f>
        <v/>
      </c>
      <c r="AB670" s="11"/>
      <c r="AC670" s="11" t="e">
        <f>IF(Data!#REF!="","",IF(ISNUMBER(MATCH(Data!#REF!,Data_Val!$A$2:$A$3,0)),0,1))</f>
        <v>#REF!</v>
      </c>
      <c r="AD670" s="11" t="e">
        <f ca="1">IF(Data!#REF!="","",IF(ISNUMBER(Data!#REF!),IF(AND(Data!#REF!&gt;(TODAY()-(Data_Val!$L$3*365.25)),Data!#REF!&lt;=(TODAY()-(Data_Val!$L$2*365.25))),0,1),1))</f>
        <v>#REF!</v>
      </c>
      <c r="AE670" s="11" t="e">
        <f>IF(Data!#REF!="","",IF(Data!$G670="",1,IF(ISNUMBER(MATCH(Data!#REF!,Data_Val!$D$2:$D$10,0)),0,1)))</f>
        <v>#REF!</v>
      </c>
      <c r="AF670" s="12"/>
      <c r="AG670" s="12" t="e">
        <f>IF(Data!#REF!="","",IF(ISNUMBER(MATCH(Data!#REF!,Data_Val!$A$2:$A$3,0)),0,1))</f>
        <v>#REF!</v>
      </c>
      <c r="AH670" s="26" t="e">
        <f ca="1">IF(Data!#REF!="","",IF(ISNUMBER(Data!#REF!),IF(AND(Data!#REF!&gt;(TODAY()-(Data_Val!$L$3*365.25)),Data!#REF!&lt;=(TODAY()-(Data_Val!$L$2*365.25))),0,1),1))</f>
        <v>#REF!</v>
      </c>
      <c r="AI670" s="12" t="e">
        <f>IF(Data!#REF!="","",IF(Data!$G670="",1,IF(ISNUMBER(MATCH(Data!#REF!,Data_Val!$D$2:$D$10,0)),0,1)))</f>
        <v>#REF!</v>
      </c>
      <c r="AJ670" s="17"/>
      <c r="AK670" s="17" t="e">
        <f>IF(Data!#REF!="","",IF(ISNUMBER(MATCH(Data!#REF!,Data_Val!$A$2:$A$3,0)),0,1))</f>
        <v>#REF!</v>
      </c>
      <c r="AL670" s="25" t="e">
        <f ca="1">IF(Data!#REF!="","",IF(ISNUMBER(Data!#REF!),IF(AND(Data!#REF!&gt;(TODAY()-(Data_Val!$L$3*365.25)),Data!#REF!&lt;=(TODAY()-(Data_Val!$L$2*365.25))),0,1),1))</f>
        <v>#REF!</v>
      </c>
      <c r="AM670" s="17" t="e">
        <f>IF(Data!#REF!="","",IF(Data!$G670="",1,IF(ISNUMBER(MATCH(Data!#REF!,Data_Val!$D$2:$D$10,0)),0,1)))</f>
        <v>#REF!</v>
      </c>
      <c r="AN670" s="13"/>
      <c r="AO670" s="28" t="e">
        <f ca="1">IF(Data!#REF!="","",IF(ISNUMBER(Data!#REF!),IF(AND(Data!#REF!&gt;(TODAY()-(Data_Val!$I$3*365.25)),Data!#REF!&lt;=(TODAY()-(Data_Val!$I$2*365.25))),0,1),1))</f>
        <v>#REF!</v>
      </c>
      <c r="AP670" s="13" t="e">
        <f>IF(Data!#REF!="","",IF(Data!$G670="",1,IF(ISNUMBER(MATCH(Data!#REF!,Data_Val!$D$2:$D$10,0)),0,1)))</f>
        <v>#REF!</v>
      </c>
      <c r="AQ670" s="17"/>
      <c r="AR670" s="30" t="e">
        <f ca="1">IF(Data!#REF!="","",IF(ISNUMBER(Data!#REF!),IF(AND(Data!#REF!&gt;(TODAY()-(Data_Val!$I$3*365.25)),Data!#REF!&lt;=(TODAY()-(Data_Val!$I$2*365.25))),0,1),1))</f>
        <v>#REF!</v>
      </c>
      <c r="AS670" s="31" t="e">
        <f>IF(Data!#REF!="","",IF(Data!$G670="",1,IF(ISNUMBER(MATCH(Data!#REF!,Data_Val!$D$2:$D$10,0)),0,1)))</f>
        <v>#REF!</v>
      </c>
      <c r="AT670" s="11"/>
      <c r="AU670" s="11" t="e">
        <f ca="1">IF(Data!#REF!="","",IF(ISNUMBER(Data!#REF!),IF(AND(Data!#REF!&gt;(TODAY()-(Data_Val!$I$3*365.25)),Data!#REF!&lt;=(TODAY()-(Data_Val!$I$2*365.25))),0,1),1))</f>
        <v>#REF!</v>
      </c>
      <c r="AV670" s="11" t="e">
        <f>IF(Data!#REF!="","",IF(Data!$G670="",1,IF(ISNUMBER(MATCH(Data!#REF!,Data_Val!$D$2:$D$10,0)),0,1)))</f>
        <v>#REF!</v>
      </c>
      <c r="AW670" s="12"/>
      <c r="AX670" s="26" t="e">
        <f ca="1">IF(Data!#REF!="","",IF(ISNUMBER(Data!#REF!),IF(AND(Data!#REF!&gt;(TODAY()-(Data_Val!$I$3*365.25)),Data!#REF!&lt;=(TODAY()-(Data_Val!$I$2*365.25))),0,1),1))</f>
        <v>#REF!</v>
      </c>
      <c r="AY670" s="12" t="e">
        <f>IF(Data!#REF!="","",IF(Data!$G670="",1,IF(ISNUMBER(MATCH(Data!#REF!,Data_Val!$D$2:$D$10,0)),0,1)))</f>
        <v>#REF!</v>
      </c>
      <c r="AZ670" s="11"/>
      <c r="BA670" s="19" t="e">
        <f ca="1">IF(Data!#REF!="","",IF(ISNUMBER(Data!#REF!),IF(AND(Data!#REF!&gt;(TODAY()-(Data_Val!$M$3*365.25)),Data!#REF!&lt;=(TODAY()-(Data_Val!$M$2*365.25))),0,1),1))</f>
        <v>#REF!</v>
      </c>
      <c r="BB670" s="11" t="e">
        <f>IF(Data!#REF!="","",IF(Data!$G670="",1,IF(ISNUMBER(MATCH(Data!#REF!,Data_Val!$D$2:$D$10,0)),0,1)))</f>
        <v>#REF!</v>
      </c>
      <c r="BC670" s="12"/>
      <c r="BD670" s="20" t="e">
        <f ca="1">IF(Data!#REF!="","",IF(ISNUMBER(Data!#REF!),IF(AND(Data!#REF!&gt;(TODAY()-(Data_Val!$M$3*365.25)),Data!#REF!&lt;=(TODAY()-(Data_Val!$M$2*365.25))),0,1),1))</f>
        <v>#REF!</v>
      </c>
      <c r="BE670" s="12" t="e">
        <f>IF(Data!#REF!="","",IF(Data!$G670="",1,IF(ISNUMBER(MATCH(Data!#REF!,Data_Val!$D$2:$D$10,0)),0,1)))</f>
        <v>#REF!</v>
      </c>
      <c r="BF670" s="17"/>
      <c r="BG670" s="18" t="e">
        <f ca="1">IF(Data!#REF!="","",IF(ISNUMBER(Data!#REF!),IF(AND(Data!#REF!&gt;(TODAY()-(Data_Val!$M$3*365.25)),Data!#REF!&lt;=(TODAY()-(Data_Val!$M$2*365.25))),0,1),1))</f>
        <v>#REF!</v>
      </c>
      <c r="BH670" s="29" t="e">
        <f>IF(Data!#REF!="","",IF(Data!$G670="",1,IF(ISNUMBER(MATCH(Data!#REF!,Data_Val!$D$2:$D$10,0)),0,1)))</f>
        <v>#REF!</v>
      </c>
      <c r="BI670" s="13"/>
      <c r="BJ670" s="21" t="e">
        <f ca="1">IF(Data!#REF!="","",IF(ISNUMBER(Data!#REF!),IF(AND(Data!#REF!&gt;(TODAY()-(Data_Val!$M$3*365.25)),Data!#REF!&lt;=(TODAY()-(Data_Val!$M$2*365.25))),0,1),1))</f>
        <v>#REF!</v>
      </c>
      <c r="BK670" s="13" t="e">
        <f>IF(Data!#REF!="","",IF(Data!$G670="",1,IF(ISNUMBER(MATCH(Data!#REF!,Data_Val!$D$2:$D$10,0)),0,1)))</f>
        <v>#REF!</v>
      </c>
    </row>
    <row r="671" spans="1:63" x14ac:dyDescent="0.25">
      <c r="A671" s="9" t="str">
        <f>IF(Data!B671="","",IF(COUNTIFS(Data!A$1:'Data'!A671,Data!A671)&lt;=1,0,1))</f>
        <v/>
      </c>
      <c r="B671" s="9"/>
      <c r="C671" s="23" t="str">
        <f>IF(Data!C671="","",(IF(ISNUMBER(MATCH("*@*.?*",Data!C671,0)),0,1)+IF(COUNTIFS(Data!C$1:'Data'!C671,Data!C671)&gt;1,1,0)))</f>
        <v/>
      </c>
      <c r="D671" s="9" t="str">
        <f>IF(Data!B671="","",IF(ISNUMBER(Data!D671),IF(AND(Data!D671&gt;999999999,Data!D671&lt;=9999999999),IF(COUNTIFS(Data!D$1:'Data'!D671,Data!D671)&lt;=1,0,1),1),1))</f>
        <v/>
      </c>
      <c r="E671" s="9" t="str">
        <f>IF(Data!B671="","",IF(ISNUMBER(MATCH(Data!E671,Data_Val!$A$2:$A$3,0)),0,1))</f>
        <v/>
      </c>
      <c r="F671" s="9" t="str">
        <f ca="1">IF(Data!B671="","",IF(ISNUMBER(Data!F671),IF(AND(Data!F671&gt;(TODAY()-(Data_Val!$H$3*365.25)),Data!F671&lt;=(TODAY()-(Data_Val!$H$2*365.25))),0,1),1))</f>
        <v/>
      </c>
      <c r="G671" s="15" t="str">
        <f>IF(Data!B671="","",IF(AND(Data!G671="",Data!H671&lt;&gt;""),1,IF(Data!#REF!&lt;&gt;"",0,IF(ISNUMBER(MATCH(Data!G671,Data_Val!$C$2:$C$5,0)),0,1))))</f>
        <v/>
      </c>
      <c r="H671" s="15" t="str">
        <f>IF(Data!B671="","",IF(AND(Data!G671&lt;&gt;"",Data!H671=""),1,IF(Data!#REF!&lt;&gt;"",0,IF(Data!G671="",1,IF(ISNUMBER(MATCH(Data!H671,Data_Val!$D$2:$D$35,0)),0,1)))))</f>
        <v/>
      </c>
      <c r="I671" s="15" t="str">
        <f>IF(Data!B671="","",IF(Data!G671&lt;&gt;"",0,IF(ISNUMBER(MATCH(Data!#REF!,Data_Val!$E$2:$E$12,0)),0,1)))</f>
        <v/>
      </c>
      <c r="J671" s="16" t="e">
        <f>IF(OR(Data!B671="",Data!#REF!=""),"",IF(Data!#REF!="",1,0))</f>
        <v>#REF!</v>
      </c>
      <c r="K671" s="16" t="e">
        <f>IF(OR(Data!B671="",Data!#REF!=""),"",IF(Data!#REF!="",1,0))</f>
        <v>#REF!</v>
      </c>
      <c r="L671" s="16" t="e">
        <f>IF(OR(Data!B671="",Data!#REF!=""),"",IF(ISNUMBER(Data!#REF!),IF(AND(Data!#REF!&gt;Data_Val!$G$2,Data!#REF!&lt;=Data_Val!$G$3),0,1),1))</f>
        <v>#REF!</v>
      </c>
      <c r="M671" s="9" t="e">
        <f>IF(OR(Data!B671="",Data!#REF!=""),"",IF(ISNUMBER(MATCH(Data!#REF!,Data_Val!$F$1:$F$38,0)),0,1))</f>
        <v>#REF!</v>
      </c>
      <c r="N671" s="9" t="e">
        <f>IF(OR(Data!B671="",Data!#REF!=""),"",IF(Data!#REF!="",1,0))</f>
        <v>#REF!</v>
      </c>
      <c r="O671" s="17" t="e">
        <f>IF(Data!#REF!="","",IF(Data!#REF!="",1,0))</f>
        <v>#REF!</v>
      </c>
      <c r="P671" s="17" t="e">
        <f>IF(Data!#REF!="","",IF(ISNUMBER(MATCH(Data!#REF!,Data_Val!$A$2:$A$3,0)),0,1))</f>
        <v>#REF!</v>
      </c>
      <c r="Q671" s="25" t="e">
        <f ca="1">IF(Data!#REF!="","",IF(ISNUMBER(Data!#REF!),IF(AND(Data!#REF!&gt;(TODAY()-(Data_Val!$J$3*365.25)),Data!#REF!&lt;=(TODAY()-(Data_Val!$J$2*365.25))),0,1),1))</f>
        <v>#REF!</v>
      </c>
      <c r="R671" s="17" t="e">
        <f>IF(Data!#REF!="","",IF(ISNUMBER(MATCH(Data!#REF!,Data_Val!$B$2:$B$15,0)),0,1))</f>
        <v>#REF!</v>
      </c>
      <c r="S671" s="11" t="str">
        <f>IF(Data!G671="","",IF(Data!G671=Data_Val!$C$2,IF(Data!M671="",0,1),0))</f>
        <v/>
      </c>
      <c r="T671" s="11" t="str">
        <f>IF(Data!M671="","",IF(ISNUMBER(MATCH(Data!N671,Data_Val!$A$2:$A$3,0)),0,1))</f>
        <v/>
      </c>
      <c r="U671" s="11" t="str">
        <f ca="1">IF(Data!M671="","",IF(ISNUMBER(Data!O671),IF(AND(Data!O671&gt;(TODAY()-(Data_Val!$K$3*365.25)),Data!O671&lt;=(TODAY()-(Data_Val!$K$2*365.25))),0,1),1))</f>
        <v/>
      </c>
      <c r="V671" s="12" t="str">
        <f>IF(Data!G671="","",IF(Data!G671=Data_Val!$C$2,IF(Data!P671="",0,1),0))</f>
        <v/>
      </c>
      <c r="W671" s="12" t="str">
        <f>IF(Data!P671="","",IF(ISNUMBER(MATCH(Data!Q671,Data_Val!$A$2:$A$3,0)),0,1))</f>
        <v/>
      </c>
      <c r="X671" s="26" t="str">
        <f ca="1">IF(Data!P671="","",IF(ISNUMBER(Data!R671),IF(AND(Data!R671&gt;(TODAY()-(Data_Val!$L$3*365.25)),Data!R671&lt;=(TODAY()-(Data_Val!$L$2*365.25))),0,1),1))</f>
        <v/>
      </c>
      <c r="Y671" s="13" t="str">
        <f>IF(Data!$G671="","",IF(Data!$G671=Data_Val!$C$2,IF(Data!S671="",0,1),0))</f>
        <v/>
      </c>
      <c r="Z671" s="13" t="str">
        <f>IF(Data!S671="","",IF(ISNUMBER(MATCH(Data!T671,Data_Val!$A$2:$A$3,0)),0,1))</f>
        <v/>
      </c>
      <c r="AA671" s="28" t="str">
        <f ca="1">IF(Data!S671="","",IF(ISNUMBER(Data!U671),IF(AND(Data!U671&gt;(TODAY()-(Data_Val!$L$3*365.25)),Data!U671&lt;=(TODAY()-(Data_Val!$L$2*365.25))),0,1),1))</f>
        <v/>
      </c>
      <c r="AB671" s="11"/>
      <c r="AC671" s="11" t="e">
        <f>IF(Data!#REF!="","",IF(ISNUMBER(MATCH(Data!#REF!,Data_Val!$A$2:$A$3,0)),0,1))</f>
        <v>#REF!</v>
      </c>
      <c r="AD671" s="11" t="e">
        <f ca="1">IF(Data!#REF!="","",IF(ISNUMBER(Data!#REF!),IF(AND(Data!#REF!&gt;(TODAY()-(Data_Val!$L$3*365.25)),Data!#REF!&lt;=(TODAY()-(Data_Val!$L$2*365.25))),0,1),1))</f>
        <v>#REF!</v>
      </c>
      <c r="AE671" s="11" t="e">
        <f>IF(Data!#REF!="","",IF(Data!$G671="",1,IF(ISNUMBER(MATCH(Data!#REF!,Data_Val!$D$2:$D$10,0)),0,1)))</f>
        <v>#REF!</v>
      </c>
      <c r="AF671" s="12"/>
      <c r="AG671" s="12" t="e">
        <f>IF(Data!#REF!="","",IF(ISNUMBER(MATCH(Data!#REF!,Data_Val!$A$2:$A$3,0)),0,1))</f>
        <v>#REF!</v>
      </c>
      <c r="AH671" s="26" t="e">
        <f ca="1">IF(Data!#REF!="","",IF(ISNUMBER(Data!#REF!),IF(AND(Data!#REF!&gt;(TODAY()-(Data_Val!$L$3*365.25)),Data!#REF!&lt;=(TODAY()-(Data_Val!$L$2*365.25))),0,1),1))</f>
        <v>#REF!</v>
      </c>
      <c r="AI671" s="12" t="e">
        <f>IF(Data!#REF!="","",IF(Data!$G671="",1,IF(ISNUMBER(MATCH(Data!#REF!,Data_Val!$D$2:$D$10,0)),0,1)))</f>
        <v>#REF!</v>
      </c>
      <c r="AJ671" s="17"/>
      <c r="AK671" s="17" t="e">
        <f>IF(Data!#REF!="","",IF(ISNUMBER(MATCH(Data!#REF!,Data_Val!$A$2:$A$3,0)),0,1))</f>
        <v>#REF!</v>
      </c>
      <c r="AL671" s="25" t="e">
        <f ca="1">IF(Data!#REF!="","",IF(ISNUMBER(Data!#REF!),IF(AND(Data!#REF!&gt;(TODAY()-(Data_Val!$L$3*365.25)),Data!#REF!&lt;=(TODAY()-(Data_Val!$L$2*365.25))),0,1),1))</f>
        <v>#REF!</v>
      </c>
      <c r="AM671" s="17" t="e">
        <f>IF(Data!#REF!="","",IF(Data!$G671="",1,IF(ISNUMBER(MATCH(Data!#REF!,Data_Val!$D$2:$D$10,0)),0,1)))</f>
        <v>#REF!</v>
      </c>
      <c r="AN671" s="13"/>
      <c r="AO671" s="28" t="e">
        <f ca="1">IF(Data!#REF!="","",IF(ISNUMBER(Data!#REF!),IF(AND(Data!#REF!&gt;(TODAY()-(Data_Val!$I$3*365.25)),Data!#REF!&lt;=(TODAY()-(Data_Val!$I$2*365.25))),0,1),1))</f>
        <v>#REF!</v>
      </c>
      <c r="AP671" s="13" t="e">
        <f>IF(Data!#REF!="","",IF(Data!$G671="",1,IF(ISNUMBER(MATCH(Data!#REF!,Data_Val!$D$2:$D$10,0)),0,1)))</f>
        <v>#REF!</v>
      </c>
      <c r="AQ671" s="17"/>
      <c r="AR671" s="30" t="e">
        <f ca="1">IF(Data!#REF!="","",IF(ISNUMBER(Data!#REF!),IF(AND(Data!#REF!&gt;(TODAY()-(Data_Val!$I$3*365.25)),Data!#REF!&lt;=(TODAY()-(Data_Val!$I$2*365.25))),0,1),1))</f>
        <v>#REF!</v>
      </c>
      <c r="AS671" s="31" t="e">
        <f>IF(Data!#REF!="","",IF(Data!$G671="",1,IF(ISNUMBER(MATCH(Data!#REF!,Data_Val!$D$2:$D$10,0)),0,1)))</f>
        <v>#REF!</v>
      </c>
      <c r="AT671" s="11"/>
      <c r="AU671" s="11" t="e">
        <f ca="1">IF(Data!#REF!="","",IF(ISNUMBER(Data!#REF!),IF(AND(Data!#REF!&gt;(TODAY()-(Data_Val!$I$3*365.25)),Data!#REF!&lt;=(TODAY()-(Data_Val!$I$2*365.25))),0,1),1))</f>
        <v>#REF!</v>
      </c>
      <c r="AV671" s="11" t="e">
        <f>IF(Data!#REF!="","",IF(Data!$G671="",1,IF(ISNUMBER(MATCH(Data!#REF!,Data_Val!$D$2:$D$10,0)),0,1)))</f>
        <v>#REF!</v>
      </c>
      <c r="AW671" s="12"/>
      <c r="AX671" s="26" t="e">
        <f ca="1">IF(Data!#REF!="","",IF(ISNUMBER(Data!#REF!),IF(AND(Data!#REF!&gt;(TODAY()-(Data_Val!$I$3*365.25)),Data!#REF!&lt;=(TODAY()-(Data_Val!$I$2*365.25))),0,1),1))</f>
        <v>#REF!</v>
      </c>
      <c r="AY671" s="12" t="e">
        <f>IF(Data!#REF!="","",IF(Data!$G671="",1,IF(ISNUMBER(MATCH(Data!#REF!,Data_Val!$D$2:$D$10,0)),0,1)))</f>
        <v>#REF!</v>
      </c>
      <c r="AZ671" s="11"/>
      <c r="BA671" s="19" t="e">
        <f ca="1">IF(Data!#REF!="","",IF(ISNUMBER(Data!#REF!),IF(AND(Data!#REF!&gt;(TODAY()-(Data_Val!$M$3*365.25)),Data!#REF!&lt;=(TODAY()-(Data_Val!$M$2*365.25))),0,1),1))</f>
        <v>#REF!</v>
      </c>
      <c r="BB671" s="11" t="e">
        <f>IF(Data!#REF!="","",IF(Data!$G671="",1,IF(ISNUMBER(MATCH(Data!#REF!,Data_Val!$D$2:$D$10,0)),0,1)))</f>
        <v>#REF!</v>
      </c>
      <c r="BC671" s="12"/>
      <c r="BD671" s="20" t="e">
        <f ca="1">IF(Data!#REF!="","",IF(ISNUMBER(Data!#REF!),IF(AND(Data!#REF!&gt;(TODAY()-(Data_Val!$M$3*365.25)),Data!#REF!&lt;=(TODAY()-(Data_Val!$M$2*365.25))),0,1),1))</f>
        <v>#REF!</v>
      </c>
      <c r="BE671" s="12" t="e">
        <f>IF(Data!#REF!="","",IF(Data!$G671="",1,IF(ISNUMBER(MATCH(Data!#REF!,Data_Val!$D$2:$D$10,0)),0,1)))</f>
        <v>#REF!</v>
      </c>
      <c r="BF671" s="17"/>
      <c r="BG671" s="18" t="e">
        <f ca="1">IF(Data!#REF!="","",IF(ISNUMBER(Data!#REF!),IF(AND(Data!#REF!&gt;(TODAY()-(Data_Val!$M$3*365.25)),Data!#REF!&lt;=(TODAY()-(Data_Val!$M$2*365.25))),0,1),1))</f>
        <v>#REF!</v>
      </c>
      <c r="BH671" s="29" t="e">
        <f>IF(Data!#REF!="","",IF(Data!$G671="",1,IF(ISNUMBER(MATCH(Data!#REF!,Data_Val!$D$2:$D$10,0)),0,1)))</f>
        <v>#REF!</v>
      </c>
      <c r="BI671" s="13"/>
      <c r="BJ671" s="21" t="e">
        <f ca="1">IF(Data!#REF!="","",IF(ISNUMBER(Data!#REF!),IF(AND(Data!#REF!&gt;(TODAY()-(Data_Val!$M$3*365.25)),Data!#REF!&lt;=(TODAY()-(Data_Val!$M$2*365.25))),0,1),1))</f>
        <v>#REF!</v>
      </c>
      <c r="BK671" s="13" t="e">
        <f>IF(Data!#REF!="","",IF(Data!$G671="",1,IF(ISNUMBER(MATCH(Data!#REF!,Data_Val!$D$2:$D$10,0)),0,1)))</f>
        <v>#REF!</v>
      </c>
    </row>
    <row r="672" spans="1:63" x14ac:dyDescent="0.25">
      <c r="A672" s="9" t="str">
        <f>IF(Data!B672="","",IF(COUNTIFS(Data!A$1:'Data'!A672,Data!A672)&lt;=1,0,1))</f>
        <v/>
      </c>
      <c r="B672" s="9"/>
      <c r="C672" s="23" t="str">
        <f>IF(Data!C672="","",(IF(ISNUMBER(MATCH("*@*.?*",Data!C672,0)),0,1)+IF(COUNTIFS(Data!C$1:'Data'!C672,Data!C672)&gt;1,1,0)))</f>
        <v/>
      </c>
      <c r="D672" s="9" t="str">
        <f>IF(Data!B672="","",IF(ISNUMBER(Data!D672),IF(AND(Data!D672&gt;999999999,Data!D672&lt;=9999999999),IF(COUNTIFS(Data!D$1:'Data'!D672,Data!D672)&lt;=1,0,1),1),1))</f>
        <v/>
      </c>
      <c r="E672" s="9" t="str">
        <f>IF(Data!B672="","",IF(ISNUMBER(MATCH(Data!E672,Data_Val!$A$2:$A$3,0)),0,1))</f>
        <v/>
      </c>
      <c r="F672" s="9" t="str">
        <f ca="1">IF(Data!B672="","",IF(ISNUMBER(Data!F672),IF(AND(Data!F672&gt;(TODAY()-(Data_Val!$H$3*365.25)),Data!F672&lt;=(TODAY()-(Data_Val!$H$2*365.25))),0,1),1))</f>
        <v/>
      </c>
      <c r="G672" s="15" t="str">
        <f>IF(Data!B672="","",IF(AND(Data!G672="",Data!H672&lt;&gt;""),1,IF(Data!#REF!&lt;&gt;"",0,IF(ISNUMBER(MATCH(Data!G672,Data_Val!$C$2:$C$5,0)),0,1))))</f>
        <v/>
      </c>
      <c r="H672" s="15" t="str">
        <f>IF(Data!B672="","",IF(AND(Data!G672&lt;&gt;"",Data!H672=""),1,IF(Data!#REF!&lt;&gt;"",0,IF(Data!G672="",1,IF(ISNUMBER(MATCH(Data!H672,Data_Val!$D$2:$D$35,0)),0,1)))))</f>
        <v/>
      </c>
      <c r="I672" s="15" t="str">
        <f>IF(Data!B672="","",IF(Data!G672&lt;&gt;"",0,IF(ISNUMBER(MATCH(Data!#REF!,Data_Val!$E$2:$E$12,0)),0,1)))</f>
        <v/>
      </c>
      <c r="J672" s="16" t="e">
        <f>IF(OR(Data!B672="",Data!#REF!=""),"",IF(Data!#REF!="",1,0))</f>
        <v>#REF!</v>
      </c>
      <c r="K672" s="16" t="e">
        <f>IF(OR(Data!B672="",Data!#REF!=""),"",IF(Data!#REF!="",1,0))</f>
        <v>#REF!</v>
      </c>
      <c r="L672" s="16" t="e">
        <f>IF(OR(Data!B672="",Data!#REF!=""),"",IF(ISNUMBER(Data!#REF!),IF(AND(Data!#REF!&gt;Data_Val!$G$2,Data!#REF!&lt;=Data_Val!$G$3),0,1),1))</f>
        <v>#REF!</v>
      </c>
      <c r="M672" s="9" t="e">
        <f>IF(OR(Data!B672="",Data!#REF!=""),"",IF(ISNUMBER(MATCH(Data!#REF!,Data_Val!$F$1:$F$38,0)),0,1))</f>
        <v>#REF!</v>
      </c>
      <c r="N672" s="9" t="e">
        <f>IF(OR(Data!B672="",Data!#REF!=""),"",IF(Data!#REF!="",1,0))</f>
        <v>#REF!</v>
      </c>
      <c r="O672" s="17" t="e">
        <f>IF(Data!#REF!="","",IF(Data!#REF!="",1,0))</f>
        <v>#REF!</v>
      </c>
      <c r="P672" s="17" t="e">
        <f>IF(Data!#REF!="","",IF(ISNUMBER(MATCH(Data!#REF!,Data_Val!$A$2:$A$3,0)),0,1))</f>
        <v>#REF!</v>
      </c>
      <c r="Q672" s="25" t="e">
        <f ca="1">IF(Data!#REF!="","",IF(ISNUMBER(Data!#REF!),IF(AND(Data!#REF!&gt;(TODAY()-(Data_Val!$J$3*365.25)),Data!#REF!&lt;=(TODAY()-(Data_Val!$J$2*365.25))),0,1),1))</f>
        <v>#REF!</v>
      </c>
      <c r="R672" s="17" t="e">
        <f>IF(Data!#REF!="","",IF(ISNUMBER(MATCH(Data!#REF!,Data_Val!$B$2:$B$15,0)),0,1))</f>
        <v>#REF!</v>
      </c>
      <c r="S672" s="11" t="str">
        <f>IF(Data!G672="","",IF(Data!G672=Data_Val!$C$2,IF(Data!M672="",0,1),0))</f>
        <v/>
      </c>
      <c r="T672" s="11" t="str">
        <f>IF(Data!M672="","",IF(ISNUMBER(MATCH(Data!N672,Data_Val!$A$2:$A$3,0)),0,1))</f>
        <v/>
      </c>
      <c r="U672" s="11" t="str">
        <f ca="1">IF(Data!M672="","",IF(ISNUMBER(Data!O672),IF(AND(Data!O672&gt;(TODAY()-(Data_Val!$K$3*365.25)),Data!O672&lt;=(TODAY()-(Data_Val!$K$2*365.25))),0,1),1))</f>
        <v/>
      </c>
      <c r="V672" s="12" t="str">
        <f>IF(Data!G672="","",IF(Data!G672=Data_Val!$C$2,IF(Data!P672="",0,1),0))</f>
        <v/>
      </c>
      <c r="W672" s="12" t="str">
        <f>IF(Data!P672="","",IF(ISNUMBER(MATCH(Data!Q672,Data_Val!$A$2:$A$3,0)),0,1))</f>
        <v/>
      </c>
      <c r="X672" s="26" t="str">
        <f ca="1">IF(Data!P672="","",IF(ISNUMBER(Data!R672),IF(AND(Data!R672&gt;(TODAY()-(Data_Val!$L$3*365.25)),Data!R672&lt;=(TODAY()-(Data_Val!$L$2*365.25))),0,1),1))</f>
        <v/>
      </c>
      <c r="Y672" s="13" t="str">
        <f>IF(Data!$G672="","",IF(Data!$G672=Data_Val!$C$2,IF(Data!S672="",0,1),0))</f>
        <v/>
      </c>
      <c r="Z672" s="13" t="str">
        <f>IF(Data!S672="","",IF(ISNUMBER(MATCH(Data!T672,Data_Val!$A$2:$A$3,0)),0,1))</f>
        <v/>
      </c>
      <c r="AA672" s="28" t="str">
        <f ca="1">IF(Data!S672="","",IF(ISNUMBER(Data!U672),IF(AND(Data!U672&gt;(TODAY()-(Data_Val!$L$3*365.25)),Data!U672&lt;=(TODAY()-(Data_Val!$L$2*365.25))),0,1),1))</f>
        <v/>
      </c>
      <c r="AB672" s="11"/>
      <c r="AC672" s="11" t="e">
        <f>IF(Data!#REF!="","",IF(ISNUMBER(MATCH(Data!#REF!,Data_Val!$A$2:$A$3,0)),0,1))</f>
        <v>#REF!</v>
      </c>
      <c r="AD672" s="11" t="e">
        <f ca="1">IF(Data!#REF!="","",IF(ISNUMBER(Data!#REF!),IF(AND(Data!#REF!&gt;(TODAY()-(Data_Val!$L$3*365.25)),Data!#REF!&lt;=(TODAY()-(Data_Val!$L$2*365.25))),0,1),1))</f>
        <v>#REF!</v>
      </c>
      <c r="AE672" s="11" t="e">
        <f>IF(Data!#REF!="","",IF(Data!$G672="",1,IF(ISNUMBER(MATCH(Data!#REF!,Data_Val!$D$2:$D$10,0)),0,1)))</f>
        <v>#REF!</v>
      </c>
      <c r="AF672" s="12"/>
      <c r="AG672" s="12" t="e">
        <f>IF(Data!#REF!="","",IF(ISNUMBER(MATCH(Data!#REF!,Data_Val!$A$2:$A$3,0)),0,1))</f>
        <v>#REF!</v>
      </c>
      <c r="AH672" s="26" t="e">
        <f ca="1">IF(Data!#REF!="","",IF(ISNUMBER(Data!#REF!),IF(AND(Data!#REF!&gt;(TODAY()-(Data_Val!$L$3*365.25)),Data!#REF!&lt;=(TODAY()-(Data_Val!$L$2*365.25))),0,1),1))</f>
        <v>#REF!</v>
      </c>
      <c r="AI672" s="12" t="e">
        <f>IF(Data!#REF!="","",IF(Data!$G672="",1,IF(ISNUMBER(MATCH(Data!#REF!,Data_Val!$D$2:$D$10,0)),0,1)))</f>
        <v>#REF!</v>
      </c>
      <c r="AJ672" s="17"/>
      <c r="AK672" s="17" t="e">
        <f>IF(Data!#REF!="","",IF(ISNUMBER(MATCH(Data!#REF!,Data_Val!$A$2:$A$3,0)),0,1))</f>
        <v>#REF!</v>
      </c>
      <c r="AL672" s="25" t="e">
        <f ca="1">IF(Data!#REF!="","",IF(ISNUMBER(Data!#REF!),IF(AND(Data!#REF!&gt;(TODAY()-(Data_Val!$L$3*365.25)),Data!#REF!&lt;=(TODAY()-(Data_Val!$L$2*365.25))),0,1),1))</f>
        <v>#REF!</v>
      </c>
      <c r="AM672" s="17" t="e">
        <f>IF(Data!#REF!="","",IF(Data!$G672="",1,IF(ISNUMBER(MATCH(Data!#REF!,Data_Val!$D$2:$D$10,0)),0,1)))</f>
        <v>#REF!</v>
      </c>
      <c r="AN672" s="13"/>
      <c r="AO672" s="28" t="e">
        <f ca="1">IF(Data!#REF!="","",IF(ISNUMBER(Data!#REF!),IF(AND(Data!#REF!&gt;(TODAY()-(Data_Val!$I$3*365.25)),Data!#REF!&lt;=(TODAY()-(Data_Val!$I$2*365.25))),0,1),1))</f>
        <v>#REF!</v>
      </c>
      <c r="AP672" s="13" t="e">
        <f>IF(Data!#REF!="","",IF(Data!$G672="",1,IF(ISNUMBER(MATCH(Data!#REF!,Data_Val!$D$2:$D$10,0)),0,1)))</f>
        <v>#REF!</v>
      </c>
      <c r="AQ672" s="17"/>
      <c r="AR672" s="30" t="e">
        <f ca="1">IF(Data!#REF!="","",IF(ISNUMBER(Data!#REF!),IF(AND(Data!#REF!&gt;(TODAY()-(Data_Val!$I$3*365.25)),Data!#REF!&lt;=(TODAY()-(Data_Val!$I$2*365.25))),0,1),1))</f>
        <v>#REF!</v>
      </c>
      <c r="AS672" s="31" t="e">
        <f>IF(Data!#REF!="","",IF(Data!$G672="",1,IF(ISNUMBER(MATCH(Data!#REF!,Data_Val!$D$2:$D$10,0)),0,1)))</f>
        <v>#REF!</v>
      </c>
      <c r="AT672" s="11"/>
      <c r="AU672" s="11" t="e">
        <f ca="1">IF(Data!#REF!="","",IF(ISNUMBER(Data!#REF!),IF(AND(Data!#REF!&gt;(TODAY()-(Data_Val!$I$3*365.25)),Data!#REF!&lt;=(TODAY()-(Data_Val!$I$2*365.25))),0,1),1))</f>
        <v>#REF!</v>
      </c>
      <c r="AV672" s="11" t="e">
        <f>IF(Data!#REF!="","",IF(Data!$G672="",1,IF(ISNUMBER(MATCH(Data!#REF!,Data_Val!$D$2:$D$10,0)),0,1)))</f>
        <v>#REF!</v>
      </c>
      <c r="AW672" s="12"/>
      <c r="AX672" s="26" t="e">
        <f ca="1">IF(Data!#REF!="","",IF(ISNUMBER(Data!#REF!),IF(AND(Data!#REF!&gt;(TODAY()-(Data_Val!$I$3*365.25)),Data!#REF!&lt;=(TODAY()-(Data_Val!$I$2*365.25))),0,1),1))</f>
        <v>#REF!</v>
      </c>
      <c r="AY672" s="12" t="e">
        <f>IF(Data!#REF!="","",IF(Data!$G672="",1,IF(ISNUMBER(MATCH(Data!#REF!,Data_Val!$D$2:$D$10,0)),0,1)))</f>
        <v>#REF!</v>
      </c>
      <c r="AZ672" s="11"/>
      <c r="BA672" s="19" t="e">
        <f ca="1">IF(Data!#REF!="","",IF(ISNUMBER(Data!#REF!),IF(AND(Data!#REF!&gt;(TODAY()-(Data_Val!$M$3*365.25)),Data!#REF!&lt;=(TODAY()-(Data_Val!$M$2*365.25))),0,1),1))</f>
        <v>#REF!</v>
      </c>
      <c r="BB672" s="11" t="e">
        <f>IF(Data!#REF!="","",IF(Data!$G672="",1,IF(ISNUMBER(MATCH(Data!#REF!,Data_Val!$D$2:$D$10,0)),0,1)))</f>
        <v>#REF!</v>
      </c>
      <c r="BC672" s="12"/>
      <c r="BD672" s="20" t="e">
        <f ca="1">IF(Data!#REF!="","",IF(ISNUMBER(Data!#REF!),IF(AND(Data!#REF!&gt;(TODAY()-(Data_Val!$M$3*365.25)),Data!#REF!&lt;=(TODAY()-(Data_Val!$M$2*365.25))),0,1),1))</f>
        <v>#REF!</v>
      </c>
      <c r="BE672" s="12" t="e">
        <f>IF(Data!#REF!="","",IF(Data!$G672="",1,IF(ISNUMBER(MATCH(Data!#REF!,Data_Val!$D$2:$D$10,0)),0,1)))</f>
        <v>#REF!</v>
      </c>
      <c r="BF672" s="17"/>
      <c r="BG672" s="18" t="e">
        <f ca="1">IF(Data!#REF!="","",IF(ISNUMBER(Data!#REF!),IF(AND(Data!#REF!&gt;(TODAY()-(Data_Val!$M$3*365.25)),Data!#REF!&lt;=(TODAY()-(Data_Val!$M$2*365.25))),0,1),1))</f>
        <v>#REF!</v>
      </c>
      <c r="BH672" s="29" t="e">
        <f>IF(Data!#REF!="","",IF(Data!$G672="",1,IF(ISNUMBER(MATCH(Data!#REF!,Data_Val!$D$2:$D$10,0)),0,1)))</f>
        <v>#REF!</v>
      </c>
      <c r="BI672" s="13"/>
      <c r="BJ672" s="21" t="e">
        <f ca="1">IF(Data!#REF!="","",IF(ISNUMBER(Data!#REF!),IF(AND(Data!#REF!&gt;(TODAY()-(Data_Val!$M$3*365.25)),Data!#REF!&lt;=(TODAY()-(Data_Val!$M$2*365.25))),0,1),1))</f>
        <v>#REF!</v>
      </c>
      <c r="BK672" s="13" t="e">
        <f>IF(Data!#REF!="","",IF(Data!$G672="",1,IF(ISNUMBER(MATCH(Data!#REF!,Data_Val!$D$2:$D$10,0)),0,1)))</f>
        <v>#REF!</v>
      </c>
    </row>
    <row r="673" spans="1:63" x14ac:dyDescent="0.25">
      <c r="A673" s="9" t="str">
        <f>IF(Data!B673="","",IF(COUNTIFS(Data!A$1:'Data'!A673,Data!A673)&lt;=1,0,1))</f>
        <v/>
      </c>
      <c r="B673" s="9"/>
      <c r="C673" s="23" t="str">
        <f>IF(Data!C673="","",(IF(ISNUMBER(MATCH("*@*.?*",Data!C673,0)),0,1)+IF(COUNTIFS(Data!C$1:'Data'!C673,Data!C673)&gt;1,1,0)))</f>
        <v/>
      </c>
      <c r="D673" s="9" t="str">
        <f>IF(Data!B673="","",IF(ISNUMBER(Data!D673),IF(AND(Data!D673&gt;999999999,Data!D673&lt;=9999999999),IF(COUNTIFS(Data!D$1:'Data'!D673,Data!D673)&lt;=1,0,1),1),1))</f>
        <v/>
      </c>
      <c r="E673" s="9" t="str">
        <f>IF(Data!B673="","",IF(ISNUMBER(MATCH(Data!E673,Data_Val!$A$2:$A$3,0)),0,1))</f>
        <v/>
      </c>
      <c r="F673" s="9" t="str">
        <f ca="1">IF(Data!B673="","",IF(ISNUMBER(Data!F673),IF(AND(Data!F673&gt;(TODAY()-(Data_Val!$H$3*365.25)),Data!F673&lt;=(TODAY()-(Data_Val!$H$2*365.25))),0,1),1))</f>
        <v/>
      </c>
      <c r="G673" s="15" t="str">
        <f>IF(Data!B673="","",IF(AND(Data!G673="",Data!H673&lt;&gt;""),1,IF(Data!#REF!&lt;&gt;"",0,IF(ISNUMBER(MATCH(Data!G673,Data_Val!$C$2:$C$5,0)),0,1))))</f>
        <v/>
      </c>
      <c r="H673" s="15" t="str">
        <f>IF(Data!B673="","",IF(AND(Data!G673&lt;&gt;"",Data!H673=""),1,IF(Data!#REF!&lt;&gt;"",0,IF(Data!G673="",1,IF(ISNUMBER(MATCH(Data!H673,Data_Val!$D$2:$D$35,0)),0,1)))))</f>
        <v/>
      </c>
      <c r="I673" s="15" t="str">
        <f>IF(Data!B673="","",IF(Data!G673&lt;&gt;"",0,IF(ISNUMBER(MATCH(Data!#REF!,Data_Val!$E$2:$E$12,0)),0,1)))</f>
        <v/>
      </c>
      <c r="J673" s="16" t="e">
        <f>IF(OR(Data!B673="",Data!#REF!=""),"",IF(Data!#REF!="",1,0))</f>
        <v>#REF!</v>
      </c>
      <c r="K673" s="16" t="e">
        <f>IF(OR(Data!B673="",Data!#REF!=""),"",IF(Data!#REF!="",1,0))</f>
        <v>#REF!</v>
      </c>
      <c r="L673" s="16" t="e">
        <f>IF(OR(Data!B673="",Data!#REF!=""),"",IF(ISNUMBER(Data!#REF!),IF(AND(Data!#REF!&gt;Data_Val!$G$2,Data!#REF!&lt;=Data_Val!$G$3),0,1),1))</f>
        <v>#REF!</v>
      </c>
      <c r="M673" s="9" t="e">
        <f>IF(OR(Data!B673="",Data!#REF!=""),"",IF(ISNUMBER(MATCH(Data!#REF!,Data_Val!$F$1:$F$38,0)),0,1))</f>
        <v>#REF!</v>
      </c>
      <c r="N673" s="9" t="e">
        <f>IF(OR(Data!B673="",Data!#REF!=""),"",IF(Data!#REF!="",1,0))</f>
        <v>#REF!</v>
      </c>
      <c r="O673" s="17" t="e">
        <f>IF(Data!#REF!="","",IF(Data!#REF!="",1,0))</f>
        <v>#REF!</v>
      </c>
      <c r="P673" s="17" t="e">
        <f>IF(Data!#REF!="","",IF(ISNUMBER(MATCH(Data!#REF!,Data_Val!$A$2:$A$3,0)),0,1))</f>
        <v>#REF!</v>
      </c>
      <c r="Q673" s="25" t="e">
        <f ca="1">IF(Data!#REF!="","",IF(ISNUMBER(Data!#REF!),IF(AND(Data!#REF!&gt;(TODAY()-(Data_Val!$J$3*365.25)),Data!#REF!&lt;=(TODAY()-(Data_Val!$J$2*365.25))),0,1),1))</f>
        <v>#REF!</v>
      </c>
      <c r="R673" s="17" t="e">
        <f>IF(Data!#REF!="","",IF(ISNUMBER(MATCH(Data!#REF!,Data_Val!$B$2:$B$15,0)),0,1))</f>
        <v>#REF!</v>
      </c>
      <c r="S673" s="11" t="str">
        <f>IF(Data!G673="","",IF(Data!G673=Data_Val!$C$2,IF(Data!M673="",0,1),0))</f>
        <v/>
      </c>
      <c r="T673" s="11" t="str">
        <f>IF(Data!M673="","",IF(ISNUMBER(MATCH(Data!N673,Data_Val!$A$2:$A$3,0)),0,1))</f>
        <v/>
      </c>
      <c r="U673" s="11" t="str">
        <f ca="1">IF(Data!M673="","",IF(ISNUMBER(Data!O673),IF(AND(Data!O673&gt;(TODAY()-(Data_Val!$K$3*365.25)),Data!O673&lt;=(TODAY()-(Data_Val!$K$2*365.25))),0,1),1))</f>
        <v/>
      </c>
      <c r="V673" s="12" t="str">
        <f>IF(Data!G673="","",IF(Data!G673=Data_Val!$C$2,IF(Data!P673="",0,1),0))</f>
        <v/>
      </c>
      <c r="W673" s="12" t="str">
        <f>IF(Data!P673="","",IF(ISNUMBER(MATCH(Data!Q673,Data_Val!$A$2:$A$3,0)),0,1))</f>
        <v/>
      </c>
      <c r="X673" s="26" t="str">
        <f ca="1">IF(Data!P673="","",IF(ISNUMBER(Data!R673),IF(AND(Data!R673&gt;(TODAY()-(Data_Val!$L$3*365.25)),Data!R673&lt;=(TODAY()-(Data_Val!$L$2*365.25))),0,1),1))</f>
        <v/>
      </c>
      <c r="Y673" s="13" t="str">
        <f>IF(Data!$G673="","",IF(Data!$G673=Data_Val!$C$2,IF(Data!S673="",0,1),0))</f>
        <v/>
      </c>
      <c r="Z673" s="13" t="str">
        <f>IF(Data!S673="","",IF(ISNUMBER(MATCH(Data!T673,Data_Val!$A$2:$A$3,0)),0,1))</f>
        <v/>
      </c>
      <c r="AA673" s="28" t="str">
        <f ca="1">IF(Data!S673="","",IF(ISNUMBER(Data!U673),IF(AND(Data!U673&gt;(TODAY()-(Data_Val!$L$3*365.25)),Data!U673&lt;=(TODAY()-(Data_Val!$L$2*365.25))),0,1),1))</f>
        <v/>
      </c>
      <c r="AB673" s="11"/>
      <c r="AC673" s="11" t="e">
        <f>IF(Data!#REF!="","",IF(ISNUMBER(MATCH(Data!#REF!,Data_Val!$A$2:$A$3,0)),0,1))</f>
        <v>#REF!</v>
      </c>
      <c r="AD673" s="11" t="e">
        <f ca="1">IF(Data!#REF!="","",IF(ISNUMBER(Data!#REF!),IF(AND(Data!#REF!&gt;(TODAY()-(Data_Val!$L$3*365.25)),Data!#REF!&lt;=(TODAY()-(Data_Val!$L$2*365.25))),0,1),1))</f>
        <v>#REF!</v>
      </c>
      <c r="AE673" s="11" t="e">
        <f>IF(Data!#REF!="","",IF(Data!$G673="",1,IF(ISNUMBER(MATCH(Data!#REF!,Data_Val!$D$2:$D$10,0)),0,1)))</f>
        <v>#REF!</v>
      </c>
      <c r="AF673" s="12"/>
      <c r="AG673" s="12" t="e">
        <f>IF(Data!#REF!="","",IF(ISNUMBER(MATCH(Data!#REF!,Data_Val!$A$2:$A$3,0)),0,1))</f>
        <v>#REF!</v>
      </c>
      <c r="AH673" s="26" t="e">
        <f ca="1">IF(Data!#REF!="","",IF(ISNUMBER(Data!#REF!),IF(AND(Data!#REF!&gt;(TODAY()-(Data_Val!$L$3*365.25)),Data!#REF!&lt;=(TODAY()-(Data_Val!$L$2*365.25))),0,1),1))</f>
        <v>#REF!</v>
      </c>
      <c r="AI673" s="12" t="e">
        <f>IF(Data!#REF!="","",IF(Data!$G673="",1,IF(ISNUMBER(MATCH(Data!#REF!,Data_Val!$D$2:$D$10,0)),0,1)))</f>
        <v>#REF!</v>
      </c>
      <c r="AJ673" s="17"/>
      <c r="AK673" s="17" t="e">
        <f>IF(Data!#REF!="","",IF(ISNUMBER(MATCH(Data!#REF!,Data_Val!$A$2:$A$3,0)),0,1))</f>
        <v>#REF!</v>
      </c>
      <c r="AL673" s="25" t="e">
        <f ca="1">IF(Data!#REF!="","",IF(ISNUMBER(Data!#REF!),IF(AND(Data!#REF!&gt;(TODAY()-(Data_Val!$L$3*365.25)),Data!#REF!&lt;=(TODAY()-(Data_Val!$L$2*365.25))),0,1),1))</f>
        <v>#REF!</v>
      </c>
      <c r="AM673" s="17" t="e">
        <f>IF(Data!#REF!="","",IF(Data!$G673="",1,IF(ISNUMBER(MATCH(Data!#REF!,Data_Val!$D$2:$D$10,0)),0,1)))</f>
        <v>#REF!</v>
      </c>
      <c r="AN673" s="13"/>
      <c r="AO673" s="28" t="e">
        <f ca="1">IF(Data!#REF!="","",IF(ISNUMBER(Data!#REF!),IF(AND(Data!#REF!&gt;(TODAY()-(Data_Val!$I$3*365.25)),Data!#REF!&lt;=(TODAY()-(Data_Val!$I$2*365.25))),0,1),1))</f>
        <v>#REF!</v>
      </c>
      <c r="AP673" s="13" t="e">
        <f>IF(Data!#REF!="","",IF(Data!$G673="",1,IF(ISNUMBER(MATCH(Data!#REF!,Data_Val!$D$2:$D$10,0)),0,1)))</f>
        <v>#REF!</v>
      </c>
      <c r="AQ673" s="17"/>
      <c r="AR673" s="30" t="e">
        <f ca="1">IF(Data!#REF!="","",IF(ISNUMBER(Data!#REF!),IF(AND(Data!#REF!&gt;(TODAY()-(Data_Val!$I$3*365.25)),Data!#REF!&lt;=(TODAY()-(Data_Val!$I$2*365.25))),0,1),1))</f>
        <v>#REF!</v>
      </c>
      <c r="AS673" s="31" t="e">
        <f>IF(Data!#REF!="","",IF(Data!$G673="",1,IF(ISNUMBER(MATCH(Data!#REF!,Data_Val!$D$2:$D$10,0)),0,1)))</f>
        <v>#REF!</v>
      </c>
      <c r="AT673" s="11"/>
      <c r="AU673" s="11" t="e">
        <f ca="1">IF(Data!#REF!="","",IF(ISNUMBER(Data!#REF!),IF(AND(Data!#REF!&gt;(TODAY()-(Data_Val!$I$3*365.25)),Data!#REF!&lt;=(TODAY()-(Data_Val!$I$2*365.25))),0,1),1))</f>
        <v>#REF!</v>
      </c>
      <c r="AV673" s="11" t="e">
        <f>IF(Data!#REF!="","",IF(Data!$G673="",1,IF(ISNUMBER(MATCH(Data!#REF!,Data_Val!$D$2:$D$10,0)),0,1)))</f>
        <v>#REF!</v>
      </c>
      <c r="AW673" s="12"/>
      <c r="AX673" s="26" t="e">
        <f ca="1">IF(Data!#REF!="","",IF(ISNUMBER(Data!#REF!),IF(AND(Data!#REF!&gt;(TODAY()-(Data_Val!$I$3*365.25)),Data!#REF!&lt;=(TODAY()-(Data_Val!$I$2*365.25))),0,1),1))</f>
        <v>#REF!</v>
      </c>
      <c r="AY673" s="12" t="e">
        <f>IF(Data!#REF!="","",IF(Data!$G673="",1,IF(ISNUMBER(MATCH(Data!#REF!,Data_Val!$D$2:$D$10,0)),0,1)))</f>
        <v>#REF!</v>
      </c>
      <c r="AZ673" s="11"/>
      <c r="BA673" s="19" t="e">
        <f ca="1">IF(Data!#REF!="","",IF(ISNUMBER(Data!#REF!),IF(AND(Data!#REF!&gt;(TODAY()-(Data_Val!$M$3*365.25)),Data!#REF!&lt;=(TODAY()-(Data_Val!$M$2*365.25))),0,1),1))</f>
        <v>#REF!</v>
      </c>
      <c r="BB673" s="11" t="e">
        <f>IF(Data!#REF!="","",IF(Data!$G673="",1,IF(ISNUMBER(MATCH(Data!#REF!,Data_Val!$D$2:$D$10,0)),0,1)))</f>
        <v>#REF!</v>
      </c>
      <c r="BC673" s="12"/>
      <c r="BD673" s="20" t="e">
        <f ca="1">IF(Data!#REF!="","",IF(ISNUMBER(Data!#REF!),IF(AND(Data!#REF!&gt;(TODAY()-(Data_Val!$M$3*365.25)),Data!#REF!&lt;=(TODAY()-(Data_Val!$M$2*365.25))),0,1),1))</f>
        <v>#REF!</v>
      </c>
      <c r="BE673" s="12" t="e">
        <f>IF(Data!#REF!="","",IF(Data!$G673="",1,IF(ISNUMBER(MATCH(Data!#REF!,Data_Val!$D$2:$D$10,0)),0,1)))</f>
        <v>#REF!</v>
      </c>
      <c r="BF673" s="17"/>
      <c r="BG673" s="18" t="e">
        <f ca="1">IF(Data!#REF!="","",IF(ISNUMBER(Data!#REF!),IF(AND(Data!#REF!&gt;(TODAY()-(Data_Val!$M$3*365.25)),Data!#REF!&lt;=(TODAY()-(Data_Val!$M$2*365.25))),0,1),1))</f>
        <v>#REF!</v>
      </c>
      <c r="BH673" s="29" t="e">
        <f>IF(Data!#REF!="","",IF(Data!$G673="",1,IF(ISNUMBER(MATCH(Data!#REF!,Data_Val!$D$2:$D$10,0)),0,1)))</f>
        <v>#REF!</v>
      </c>
      <c r="BI673" s="13"/>
      <c r="BJ673" s="21" t="e">
        <f ca="1">IF(Data!#REF!="","",IF(ISNUMBER(Data!#REF!),IF(AND(Data!#REF!&gt;(TODAY()-(Data_Val!$M$3*365.25)),Data!#REF!&lt;=(TODAY()-(Data_Val!$M$2*365.25))),0,1),1))</f>
        <v>#REF!</v>
      </c>
      <c r="BK673" s="13" t="e">
        <f>IF(Data!#REF!="","",IF(Data!$G673="",1,IF(ISNUMBER(MATCH(Data!#REF!,Data_Val!$D$2:$D$10,0)),0,1)))</f>
        <v>#REF!</v>
      </c>
    </row>
    <row r="674" spans="1:63" x14ac:dyDescent="0.25">
      <c r="A674" s="9" t="str">
        <f>IF(Data!B674="","",IF(COUNTIFS(Data!A$1:'Data'!A674,Data!A674)&lt;=1,0,1))</f>
        <v/>
      </c>
      <c r="B674" s="9"/>
      <c r="C674" s="23" t="str">
        <f>IF(Data!C674="","",(IF(ISNUMBER(MATCH("*@*.?*",Data!C674,0)),0,1)+IF(COUNTIFS(Data!C$1:'Data'!C674,Data!C674)&gt;1,1,0)))</f>
        <v/>
      </c>
      <c r="D674" s="9" t="str">
        <f>IF(Data!B674="","",IF(ISNUMBER(Data!D674),IF(AND(Data!D674&gt;999999999,Data!D674&lt;=9999999999),IF(COUNTIFS(Data!D$1:'Data'!D674,Data!D674)&lt;=1,0,1),1),1))</f>
        <v/>
      </c>
      <c r="E674" s="9" t="str">
        <f>IF(Data!B674="","",IF(ISNUMBER(MATCH(Data!E674,Data_Val!$A$2:$A$3,0)),0,1))</f>
        <v/>
      </c>
      <c r="F674" s="9" t="str">
        <f ca="1">IF(Data!B674="","",IF(ISNUMBER(Data!F674),IF(AND(Data!F674&gt;(TODAY()-(Data_Val!$H$3*365.25)),Data!F674&lt;=(TODAY()-(Data_Val!$H$2*365.25))),0,1),1))</f>
        <v/>
      </c>
      <c r="G674" s="15" t="str">
        <f>IF(Data!B674="","",IF(AND(Data!G674="",Data!H674&lt;&gt;""),1,IF(Data!#REF!&lt;&gt;"",0,IF(ISNUMBER(MATCH(Data!G674,Data_Val!$C$2:$C$5,0)),0,1))))</f>
        <v/>
      </c>
      <c r="H674" s="15" t="str">
        <f>IF(Data!B674="","",IF(AND(Data!G674&lt;&gt;"",Data!H674=""),1,IF(Data!#REF!&lt;&gt;"",0,IF(Data!G674="",1,IF(ISNUMBER(MATCH(Data!H674,Data_Val!$D$2:$D$35,0)),0,1)))))</f>
        <v/>
      </c>
      <c r="I674" s="15" t="str">
        <f>IF(Data!B674="","",IF(Data!G674&lt;&gt;"",0,IF(ISNUMBER(MATCH(Data!#REF!,Data_Val!$E$2:$E$12,0)),0,1)))</f>
        <v/>
      </c>
      <c r="J674" s="16" t="e">
        <f>IF(OR(Data!B674="",Data!#REF!=""),"",IF(Data!#REF!="",1,0))</f>
        <v>#REF!</v>
      </c>
      <c r="K674" s="16" t="e">
        <f>IF(OR(Data!B674="",Data!#REF!=""),"",IF(Data!#REF!="",1,0))</f>
        <v>#REF!</v>
      </c>
      <c r="L674" s="16" t="e">
        <f>IF(OR(Data!B674="",Data!#REF!=""),"",IF(ISNUMBER(Data!#REF!),IF(AND(Data!#REF!&gt;Data_Val!$G$2,Data!#REF!&lt;=Data_Val!$G$3),0,1),1))</f>
        <v>#REF!</v>
      </c>
      <c r="M674" s="9" t="e">
        <f>IF(OR(Data!B674="",Data!#REF!=""),"",IF(ISNUMBER(MATCH(Data!#REF!,Data_Val!$F$1:$F$38,0)),0,1))</f>
        <v>#REF!</v>
      </c>
      <c r="N674" s="9" t="e">
        <f>IF(OR(Data!B674="",Data!#REF!=""),"",IF(Data!#REF!="",1,0))</f>
        <v>#REF!</v>
      </c>
      <c r="O674" s="17" t="e">
        <f>IF(Data!#REF!="","",IF(Data!#REF!="",1,0))</f>
        <v>#REF!</v>
      </c>
      <c r="P674" s="17" t="e">
        <f>IF(Data!#REF!="","",IF(ISNUMBER(MATCH(Data!#REF!,Data_Val!$A$2:$A$3,0)),0,1))</f>
        <v>#REF!</v>
      </c>
      <c r="Q674" s="25" t="e">
        <f ca="1">IF(Data!#REF!="","",IF(ISNUMBER(Data!#REF!),IF(AND(Data!#REF!&gt;(TODAY()-(Data_Val!$J$3*365.25)),Data!#REF!&lt;=(TODAY()-(Data_Val!$J$2*365.25))),0,1),1))</f>
        <v>#REF!</v>
      </c>
      <c r="R674" s="17" t="e">
        <f>IF(Data!#REF!="","",IF(ISNUMBER(MATCH(Data!#REF!,Data_Val!$B$2:$B$15,0)),0,1))</f>
        <v>#REF!</v>
      </c>
      <c r="S674" s="11" t="str">
        <f>IF(Data!G674="","",IF(Data!G674=Data_Val!$C$2,IF(Data!M674="",0,1),0))</f>
        <v/>
      </c>
      <c r="T674" s="11" t="str">
        <f>IF(Data!M674="","",IF(ISNUMBER(MATCH(Data!N674,Data_Val!$A$2:$A$3,0)),0,1))</f>
        <v/>
      </c>
      <c r="U674" s="11" t="str">
        <f ca="1">IF(Data!M674="","",IF(ISNUMBER(Data!O674),IF(AND(Data!O674&gt;(TODAY()-(Data_Val!$K$3*365.25)),Data!O674&lt;=(TODAY()-(Data_Val!$K$2*365.25))),0,1),1))</f>
        <v/>
      </c>
      <c r="V674" s="12" t="str">
        <f>IF(Data!G674="","",IF(Data!G674=Data_Val!$C$2,IF(Data!P674="",0,1),0))</f>
        <v/>
      </c>
      <c r="W674" s="12" t="str">
        <f>IF(Data!P674="","",IF(ISNUMBER(MATCH(Data!Q674,Data_Val!$A$2:$A$3,0)),0,1))</f>
        <v/>
      </c>
      <c r="X674" s="26" t="str">
        <f ca="1">IF(Data!P674="","",IF(ISNUMBER(Data!R674),IF(AND(Data!R674&gt;(TODAY()-(Data_Val!$L$3*365.25)),Data!R674&lt;=(TODAY()-(Data_Val!$L$2*365.25))),0,1),1))</f>
        <v/>
      </c>
      <c r="Y674" s="13" t="str">
        <f>IF(Data!$G674="","",IF(Data!$G674=Data_Val!$C$2,IF(Data!S674="",0,1),0))</f>
        <v/>
      </c>
      <c r="Z674" s="13" t="str">
        <f>IF(Data!S674="","",IF(ISNUMBER(MATCH(Data!T674,Data_Val!$A$2:$A$3,0)),0,1))</f>
        <v/>
      </c>
      <c r="AA674" s="28" t="str">
        <f ca="1">IF(Data!S674="","",IF(ISNUMBER(Data!U674),IF(AND(Data!U674&gt;(TODAY()-(Data_Val!$L$3*365.25)),Data!U674&lt;=(TODAY()-(Data_Val!$L$2*365.25))),0,1),1))</f>
        <v/>
      </c>
      <c r="AB674" s="11"/>
      <c r="AC674" s="11" t="e">
        <f>IF(Data!#REF!="","",IF(ISNUMBER(MATCH(Data!#REF!,Data_Val!$A$2:$A$3,0)),0,1))</f>
        <v>#REF!</v>
      </c>
      <c r="AD674" s="11" t="e">
        <f ca="1">IF(Data!#REF!="","",IF(ISNUMBER(Data!#REF!),IF(AND(Data!#REF!&gt;(TODAY()-(Data_Val!$L$3*365.25)),Data!#REF!&lt;=(TODAY()-(Data_Val!$L$2*365.25))),0,1),1))</f>
        <v>#REF!</v>
      </c>
      <c r="AE674" s="11" t="e">
        <f>IF(Data!#REF!="","",IF(Data!$G674="",1,IF(ISNUMBER(MATCH(Data!#REF!,Data_Val!$D$2:$D$10,0)),0,1)))</f>
        <v>#REF!</v>
      </c>
      <c r="AF674" s="12"/>
      <c r="AG674" s="12" t="e">
        <f>IF(Data!#REF!="","",IF(ISNUMBER(MATCH(Data!#REF!,Data_Val!$A$2:$A$3,0)),0,1))</f>
        <v>#REF!</v>
      </c>
      <c r="AH674" s="26" t="e">
        <f ca="1">IF(Data!#REF!="","",IF(ISNUMBER(Data!#REF!),IF(AND(Data!#REF!&gt;(TODAY()-(Data_Val!$L$3*365.25)),Data!#REF!&lt;=(TODAY()-(Data_Val!$L$2*365.25))),0,1),1))</f>
        <v>#REF!</v>
      </c>
      <c r="AI674" s="12" t="e">
        <f>IF(Data!#REF!="","",IF(Data!$G674="",1,IF(ISNUMBER(MATCH(Data!#REF!,Data_Val!$D$2:$D$10,0)),0,1)))</f>
        <v>#REF!</v>
      </c>
      <c r="AJ674" s="17"/>
      <c r="AK674" s="17" t="e">
        <f>IF(Data!#REF!="","",IF(ISNUMBER(MATCH(Data!#REF!,Data_Val!$A$2:$A$3,0)),0,1))</f>
        <v>#REF!</v>
      </c>
      <c r="AL674" s="25" t="e">
        <f ca="1">IF(Data!#REF!="","",IF(ISNUMBER(Data!#REF!),IF(AND(Data!#REF!&gt;(TODAY()-(Data_Val!$L$3*365.25)),Data!#REF!&lt;=(TODAY()-(Data_Val!$L$2*365.25))),0,1),1))</f>
        <v>#REF!</v>
      </c>
      <c r="AM674" s="17" t="e">
        <f>IF(Data!#REF!="","",IF(Data!$G674="",1,IF(ISNUMBER(MATCH(Data!#REF!,Data_Val!$D$2:$D$10,0)),0,1)))</f>
        <v>#REF!</v>
      </c>
      <c r="AN674" s="13"/>
      <c r="AO674" s="28" t="e">
        <f ca="1">IF(Data!#REF!="","",IF(ISNUMBER(Data!#REF!),IF(AND(Data!#REF!&gt;(TODAY()-(Data_Val!$I$3*365.25)),Data!#REF!&lt;=(TODAY()-(Data_Val!$I$2*365.25))),0,1),1))</f>
        <v>#REF!</v>
      </c>
      <c r="AP674" s="13" t="e">
        <f>IF(Data!#REF!="","",IF(Data!$G674="",1,IF(ISNUMBER(MATCH(Data!#REF!,Data_Val!$D$2:$D$10,0)),0,1)))</f>
        <v>#REF!</v>
      </c>
      <c r="AQ674" s="17"/>
      <c r="AR674" s="30" t="e">
        <f ca="1">IF(Data!#REF!="","",IF(ISNUMBER(Data!#REF!),IF(AND(Data!#REF!&gt;(TODAY()-(Data_Val!$I$3*365.25)),Data!#REF!&lt;=(TODAY()-(Data_Val!$I$2*365.25))),0,1),1))</f>
        <v>#REF!</v>
      </c>
      <c r="AS674" s="31" t="e">
        <f>IF(Data!#REF!="","",IF(Data!$G674="",1,IF(ISNUMBER(MATCH(Data!#REF!,Data_Val!$D$2:$D$10,0)),0,1)))</f>
        <v>#REF!</v>
      </c>
      <c r="AT674" s="11"/>
      <c r="AU674" s="11" t="e">
        <f ca="1">IF(Data!#REF!="","",IF(ISNUMBER(Data!#REF!),IF(AND(Data!#REF!&gt;(TODAY()-(Data_Val!$I$3*365.25)),Data!#REF!&lt;=(TODAY()-(Data_Val!$I$2*365.25))),0,1),1))</f>
        <v>#REF!</v>
      </c>
      <c r="AV674" s="11" t="e">
        <f>IF(Data!#REF!="","",IF(Data!$G674="",1,IF(ISNUMBER(MATCH(Data!#REF!,Data_Val!$D$2:$D$10,0)),0,1)))</f>
        <v>#REF!</v>
      </c>
      <c r="AW674" s="12"/>
      <c r="AX674" s="26" t="e">
        <f ca="1">IF(Data!#REF!="","",IF(ISNUMBER(Data!#REF!),IF(AND(Data!#REF!&gt;(TODAY()-(Data_Val!$I$3*365.25)),Data!#REF!&lt;=(TODAY()-(Data_Val!$I$2*365.25))),0,1),1))</f>
        <v>#REF!</v>
      </c>
      <c r="AY674" s="12" t="e">
        <f>IF(Data!#REF!="","",IF(Data!$G674="",1,IF(ISNUMBER(MATCH(Data!#REF!,Data_Val!$D$2:$D$10,0)),0,1)))</f>
        <v>#REF!</v>
      </c>
      <c r="AZ674" s="11"/>
      <c r="BA674" s="19" t="e">
        <f ca="1">IF(Data!#REF!="","",IF(ISNUMBER(Data!#REF!),IF(AND(Data!#REF!&gt;(TODAY()-(Data_Val!$M$3*365.25)),Data!#REF!&lt;=(TODAY()-(Data_Val!$M$2*365.25))),0,1),1))</f>
        <v>#REF!</v>
      </c>
      <c r="BB674" s="11" t="e">
        <f>IF(Data!#REF!="","",IF(Data!$G674="",1,IF(ISNUMBER(MATCH(Data!#REF!,Data_Val!$D$2:$D$10,0)),0,1)))</f>
        <v>#REF!</v>
      </c>
      <c r="BC674" s="12"/>
      <c r="BD674" s="20" t="e">
        <f ca="1">IF(Data!#REF!="","",IF(ISNUMBER(Data!#REF!),IF(AND(Data!#REF!&gt;(TODAY()-(Data_Val!$M$3*365.25)),Data!#REF!&lt;=(TODAY()-(Data_Val!$M$2*365.25))),0,1),1))</f>
        <v>#REF!</v>
      </c>
      <c r="BE674" s="12" t="e">
        <f>IF(Data!#REF!="","",IF(Data!$G674="",1,IF(ISNUMBER(MATCH(Data!#REF!,Data_Val!$D$2:$D$10,0)),0,1)))</f>
        <v>#REF!</v>
      </c>
      <c r="BF674" s="17"/>
      <c r="BG674" s="18" t="e">
        <f ca="1">IF(Data!#REF!="","",IF(ISNUMBER(Data!#REF!),IF(AND(Data!#REF!&gt;(TODAY()-(Data_Val!$M$3*365.25)),Data!#REF!&lt;=(TODAY()-(Data_Val!$M$2*365.25))),0,1),1))</f>
        <v>#REF!</v>
      </c>
      <c r="BH674" s="29" t="e">
        <f>IF(Data!#REF!="","",IF(Data!$G674="",1,IF(ISNUMBER(MATCH(Data!#REF!,Data_Val!$D$2:$D$10,0)),0,1)))</f>
        <v>#REF!</v>
      </c>
      <c r="BI674" s="13"/>
      <c r="BJ674" s="21" t="e">
        <f ca="1">IF(Data!#REF!="","",IF(ISNUMBER(Data!#REF!),IF(AND(Data!#REF!&gt;(TODAY()-(Data_Val!$M$3*365.25)),Data!#REF!&lt;=(TODAY()-(Data_Val!$M$2*365.25))),0,1),1))</f>
        <v>#REF!</v>
      </c>
      <c r="BK674" s="13" t="e">
        <f>IF(Data!#REF!="","",IF(Data!$G674="",1,IF(ISNUMBER(MATCH(Data!#REF!,Data_Val!$D$2:$D$10,0)),0,1)))</f>
        <v>#REF!</v>
      </c>
    </row>
    <row r="675" spans="1:63" x14ac:dyDescent="0.25">
      <c r="A675" s="9" t="str">
        <f>IF(Data!B675="","",IF(COUNTIFS(Data!A$1:'Data'!A675,Data!A675)&lt;=1,0,1))</f>
        <v/>
      </c>
      <c r="B675" s="9"/>
      <c r="C675" s="23" t="str">
        <f>IF(Data!C675="","",(IF(ISNUMBER(MATCH("*@*.?*",Data!C675,0)),0,1)+IF(COUNTIFS(Data!C$1:'Data'!C675,Data!C675)&gt;1,1,0)))</f>
        <v/>
      </c>
      <c r="D675" s="9" t="str">
        <f>IF(Data!B675="","",IF(ISNUMBER(Data!D675),IF(AND(Data!D675&gt;999999999,Data!D675&lt;=9999999999),IF(COUNTIFS(Data!D$1:'Data'!D675,Data!D675)&lt;=1,0,1),1),1))</f>
        <v/>
      </c>
      <c r="E675" s="9" t="str">
        <f>IF(Data!B675="","",IF(ISNUMBER(MATCH(Data!E675,Data_Val!$A$2:$A$3,0)),0,1))</f>
        <v/>
      </c>
      <c r="F675" s="9" t="str">
        <f ca="1">IF(Data!B675="","",IF(ISNUMBER(Data!F675),IF(AND(Data!F675&gt;(TODAY()-(Data_Val!$H$3*365.25)),Data!F675&lt;=(TODAY()-(Data_Val!$H$2*365.25))),0,1),1))</f>
        <v/>
      </c>
      <c r="G675" s="15" t="str">
        <f>IF(Data!B675="","",IF(AND(Data!G675="",Data!H675&lt;&gt;""),1,IF(Data!#REF!&lt;&gt;"",0,IF(ISNUMBER(MATCH(Data!G675,Data_Val!$C$2:$C$5,0)),0,1))))</f>
        <v/>
      </c>
      <c r="H675" s="15" t="str">
        <f>IF(Data!B675="","",IF(AND(Data!G675&lt;&gt;"",Data!H675=""),1,IF(Data!#REF!&lt;&gt;"",0,IF(Data!G675="",1,IF(ISNUMBER(MATCH(Data!H675,Data_Val!$D$2:$D$35,0)),0,1)))))</f>
        <v/>
      </c>
      <c r="I675" s="15" t="str">
        <f>IF(Data!B675="","",IF(Data!G675&lt;&gt;"",0,IF(ISNUMBER(MATCH(Data!#REF!,Data_Val!$E$2:$E$12,0)),0,1)))</f>
        <v/>
      </c>
      <c r="J675" s="16" t="e">
        <f>IF(OR(Data!B675="",Data!#REF!=""),"",IF(Data!#REF!="",1,0))</f>
        <v>#REF!</v>
      </c>
      <c r="K675" s="16" t="e">
        <f>IF(OR(Data!B675="",Data!#REF!=""),"",IF(Data!#REF!="",1,0))</f>
        <v>#REF!</v>
      </c>
      <c r="L675" s="16" t="e">
        <f>IF(OR(Data!B675="",Data!#REF!=""),"",IF(ISNUMBER(Data!#REF!),IF(AND(Data!#REF!&gt;Data_Val!$G$2,Data!#REF!&lt;=Data_Val!$G$3),0,1),1))</f>
        <v>#REF!</v>
      </c>
      <c r="M675" s="9" t="e">
        <f>IF(OR(Data!B675="",Data!#REF!=""),"",IF(ISNUMBER(MATCH(Data!#REF!,Data_Val!$F$1:$F$38,0)),0,1))</f>
        <v>#REF!</v>
      </c>
      <c r="N675" s="9" t="e">
        <f>IF(OR(Data!B675="",Data!#REF!=""),"",IF(Data!#REF!="",1,0))</f>
        <v>#REF!</v>
      </c>
      <c r="O675" s="17" t="e">
        <f>IF(Data!#REF!="","",IF(Data!#REF!="",1,0))</f>
        <v>#REF!</v>
      </c>
      <c r="P675" s="17" t="e">
        <f>IF(Data!#REF!="","",IF(ISNUMBER(MATCH(Data!#REF!,Data_Val!$A$2:$A$3,0)),0,1))</f>
        <v>#REF!</v>
      </c>
      <c r="Q675" s="25" t="e">
        <f ca="1">IF(Data!#REF!="","",IF(ISNUMBER(Data!#REF!),IF(AND(Data!#REF!&gt;(TODAY()-(Data_Val!$J$3*365.25)),Data!#REF!&lt;=(TODAY()-(Data_Val!$J$2*365.25))),0,1),1))</f>
        <v>#REF!</v>
      </c>
      <c r="R675" s="17" t="e">
        <f>IF(Data!#REF!="","",IF(ISNUMBER(MATCH(Data!#REF!,Data_Val!$B$2:$B$15,0)),0,1))</f>
        <v>#REF!</v>
      </c>
      <c r="S675" s="11" t="str">
        <f>IF(Data!G675="","",IF(Data!G675=Data_Val!$C$2,IF(Data!M675="",0,1),0))</f>
        <v/>
      </c>
      <c r="T675" s="11" t="str">
        <f>IF(Data!M675="","",IF(ISNUMBER(MATCH(Data!N675,Data_Val!$A$2:$A$3,0)),0,1))</f>
        <v/>
      </c>
      <c r="U675" s="11" t="str">
        <f ca="1">IF(Data!M675="","",IF(ISNUMBER(Data!O675),IF(AND(Data!O675&gt;(TODAY()-(Data_Val!$K$3*365.25)),Data!O675&lt;=(TODAY()-(Data_Val!$K$2*365.25))),0,1),1))</f>
        <v/>
      </c>
      <c r="V675" s="12" t="str">
        <f>IF(Data!G675="","",IF(Data!G675=Data_Val!$C$2,IF(Data!P675="",0,1),0))</f>
        <v/>
      </c>
      <c r="W675" s="12" t="str">
        <f>IF(Data!P675="","",IF(ISNUMBER(MATCH(Data!Q675,Data_Val!$A$2:$A$3,0)),0,1))</f>
        <v/>
      </c>
      <c r="X675" s="26" t="str">
        <f ca="1">IF(Data!P675="","",IF(ISNUMBER(Data!R675),IF(AND(Data!R675&gt;(TODAY()-(Data_Val!$L$3*365.25)),Data!R675&lt;=(TODAY()-(Data_Val!$L$2*365.25))),0,1),1))</f>
        <v/>
      </c>
      <c r="Y675" s="13" t="str">
        <f>IF(Data!$G675="","",IF(Data!$G675=Data_Val!$C$2,IF(Data!S675="",0,1),0))</f>
        <v/>
      </c>
      <c r="Z675" s="13" t="str">
        <f>IF(Data!S675="","",IF(ISNUMBER(MATCH(Data!T675,Data_Val!$A$2:$A$3,0)),0,1))</f>
        <v/>
      </c>
      <c r="AA675" s="28" t="str">
        <f ca="1">IF(Data!S675="","",IF(ISNUMBER(Data!U675),IF(AND(Data!U675&gt;(TODAY()-(Data_Val!$L$3*365.25)),Data!U675&lt;=(TODAY()-(Data_Val!$L$2*365.25))),0,1),1))</f>
        <v/>
      </c>
      <c r="AB675" s="11"/>
      <c r="AC675" s="11" t="e">
        <f>IF(Data!#REF!="","",IF(ISNUMBER(MATCH(Data!#REF!,Data_Val!$A$2:$A$3,0)),0,1))</f>
        <v>#REF!</v>
      </c>
      <c r="AD675" s="11" t="e">
        <f ca="1">IF(Data!#REF!="","",IF(ISNUMBER(Data!#REF!),IF(AND(Data!#REF!&gt;(TODAY()-(Data_Val!$L$3*365.25)),Data!#REF!&lt;=(TODAY()-(Data_Val!$L$2*365.25))),0,1),1))</f>
        <v>#REF!</v>
      </c>
      <c r="AE675" s="11" t="e">
        <f>IF(Data!#REF!="","",IF(Data!$G675="",1,IF(ISNUMBER(MATCH(Data!#REF!,Data_Val!$D$2:$D$10,0)),0,1)))</f>
        <v>#REF!</v>
      </c>
      <c r="AF675" s="12"/>
      <c r="AG675" s="12" t="e">
        <f>IF(Data!#REF!="","",IF(ISNUMBER(MATCH(Data!#REF!,Data_Val!$A$2:$A$3,0)),0,1))</f>
        <v>#REF!</v>
      </c>
      <c r="AH675" s="26" t="e">
        <f ca="1">IF(Data!#REF!="","",IF(ISNUMBER(Data!#REF!),IF(AND(Data!#REF!&gt;(TODAY()-(Data_Val!$L$3*365.25)),Data!#REF!&lt;=(TODAY()-(Data_Val!$L$2*365.25))),0,1),1))</f>
        <v>#REF!</v>
      </c>
      <c r="AI675" s="12" t="e">
        <f>IF(Data!#REF!="","",IF(Data!$G675="",1,IF(ISNUMBER(MATCH(Data!#REF!,Data_Val!$D$2:$D$10,0)),0,1)))</f>
        <v>#REF!</v>
      </c>
      <c r="AJ675" s="17"/>
      <c r="AK675" s="17" t="e">
        <f>IF(Data!#REF!="","",IF(ISNUMBER(MATCH(Data!#REF!,Data_Val!$A$2:$A$3,0)),0,1))</f>
        <v>#REF!</v>
      </c>
      <c r="AL675" s="25" t="e">
        <f ca="1">IF(Data!#REF!="","",IF(ISNUMBER(Data!#REF!),IF(AND(Data!#REF!&gt;(TODAY()-(Data_Val!$L$3*365.25)),Data!#REF!&lt;=(TODAY()-(Data_Val!$L$2*365.25))),0,1),1))</f>
        <v>#REF!</v>
      </c>
      <c r="AM675" s="17" t="e">
        <f>IF(Data!#REF!="","",IF(Data!$G675="",1,IF(ISNUMBER(MATCH(Data!#REF!,Data_Val!$D$2:$D$10,0)),0,1)))</f>
        <v>#REF!</v>
      </c>
      <c r="AN675" s="13"/>
      <c r="AO675" s="28" t="e">
        <f ca="1">IF(Data!#REF!="","",IF(ISNUMBER(Data!#REF!),IF(AND(Data!#REF!&gt;(TODAY()-(Data_Val!$I$3*365.25)),Data!#REF!&lt;=(TODAY()-(Data_Val!$I$2*365.25))),0,1),1))</f>
        <v>#REF!</v>
      </c>
      <c r="AP675" s="13" t="e">
        <f>IF(Data!#REF!="","",IF(Data!$G675="",1,IF(ISNUMBER(MATCH(Data!#REF!,Data_Val!$D$2:$D$10,0)),0,1)))</f>
        <v>#REF!</v>
      </c>
      <c r="AQ675" s="17"/>
      <c r="AR675" s="30" t="e">
        <f ca="1">IF(Data!#REF!="","",IF(ISNUMBER(Data!#REF!),IF(AND(Data!#REF!&gt;(TODAY()-(Data_Val!$I$3*365.25)),Data!#REF!&lt;=(TODAY()-(Data_Val!$I$2*365.25))),0,1),1))</f>
        <v>#REF!</v>
      </c>
      <c r="AS675" s="31" t="e">
        <f>IF(Data!#REF!="","",IF(Data!$G675="",1,IF(ISNUMBER(MATCH(Data!#REF!,Data_Val!$D$2:$D$10,0)),0,1)))</f>
        <v>#REF!</v>
      </c>
      <c r="AT675" s="11"/>
      <c r="AU675" s="11" t="e">
        <f ca="1">IF(Data!#REF!="","",IF(ISNUMBER(Data!#REF!),IF(AND(Data!#REF!&gt;(TODAY()-(Data_Val!$I$3*365.25)),Data!#REF!&lt;=(TODAY()-(Data_Val!$I$2*365.25))),0,1),1))</f>
        <v>#REF!</v>
      </c>
      <c r="AV675" s="11" t="e">
        <f>IF(Data!#REF!="","",IF(Data!$G675="",1,IF(ISNUMBER(MATCH(Data!#REF!,Data_Val!$D$2:$D$10,0)),0,1)))</f>
        <v>#REF!</v>
      </c>
      <c r="AW675" s="12"/>
      <c r="AX675" s="26" t="e">
        <f ca="1">IF(Data!#REF!="","",IF(ISNUMBER(Data!#REF!),IF(AND(Data!#REF!&gt;(TODAY()-(Data_Val!$I$3*365.25)),Data!#REF!&lt;=(TODAY()-(Data_Val!$I$2*365.25))),0,1),1))</f>
        <v>#REF!</v>
      </c>
      <c r="AY675" s="12" t="e">
        <f>IF(Data!#REF!="","",IF(Data!$G675="",1,IF(ISNUMBER(MATCH(Data!#REF!,Data_Val!$D$2:$D$10,0)),0,1)))</f>
        <v>#REF!</v>
      </c>
      <c r="AZ675" s="11"/>
      <c r="BA675" s="19" t="e">
        <f ca="1">IF(Data!#REF!="","",IF(ISNUMBER(Data!#REF!),IF(AND(Data!#REF!&gt;(TODAY()-(Data_Val!$M$3*365.25)),Data!#REF!&lt;=(TODAY()-(Data_Val!$M$2*365.25))),0,1),1))</f>
        <v>#REF!</v>
      </c>
      <c r="BB675" s="11" t="e">
        <f>IF(Data!#REF!="","",IF(Data!$G675="",1,IF(ISNUMBER(MATCH(Data!#REF!,Data_Val!$D$2:$D$10,0)),0,1)))</f>
        <v>#REF!</v>
      </c>
      <c r="BC675" s="12"/>
      <c r="BD675" s="20" t="e">
        <f ca="1">IF(Data!#REF!="","",IF(ISNUMBER(Data!#REF!),IF(AND(Data!#REF!&gt;(TODAY()-(Data_Val!$M$3*365.25)),Data!#REF!&lt;=(TODAY()-(Data_Val!$M$2*365.25))),0,1),1))</f>
        <v>#REF!</v>
      </c>
      <c r="BE675" s="12" t="e">
        <f>IF(Data!#REF!="","",IF(Data!$G675="",1,IF(ISNUMBER(MATCH(Data!#REF!,Data_Val!$D$2:$D$10,0)),0,1)))</f>
        <v>#REF!</v>
      </c>
      <c r="BF675" s="17"/>
      <c r="BG675" s="18" t="e">
        <f ca="1">IF(Data!#REF!="","",IF(ISNUMBER(Data!#REF!),IF(AND(Data!#REF!&gt;(TODAY()-(Data_Val!$M$3*365.25)),Data!#REF!&lt;=(TODAY()-(Data_Val!$M$2*365.25))),0,1),1))</f>
        <v>#REF!</v>
      </c>
      <c r="BH675" s="29" t="e">
        <f>IF(Data!#REF!="","",IF(Data!$G675="",1,IF(ISNUMBER(MATCH(Data!#REF!,Data_Val!$D$2:$D$10,0)),0,1)))</f>
        <v>#REF!</v>
      </c>
      <c r="BI675" s="13"/>
      <c r="BJ675" s="21" t="e">
        <f ca="1">IF(Data!#REF!="","",IF(ISNUMBER(Data!#REF!),IF(AND(Data!#REF!&gt;(TODAY()-(Data_Val!$M$3*365.25)),Data!#REF!&lt;=(TODAY()-(Data_Val!$M$2*365.25))),0,1),1))</f>
        <v>#REF!</v>
      </c>
      <c r="BK675" s="13" t="e">
        <f>IF(Data!#REF!="","",IF(Data!$G675="",1,IF(ISNUMBER(MATCH(Data!#REF!,Data_Val!$D$2:$D$10,0)),0,1)))</f>
        <v>#REF!</v>
      </c>
    </row>
    <row r="676" spans="1:63" x14ac:dyDescent="0.25">
      <c r="A676" s="9" t="str">
        <f>IF(Data!B676="","",IF(COUNTIFS(Data!A$1:'Data'!A676,Data!A676)&lt;=1,0,1))</f>
        <v/>
      </c>
      <c r="B676" s="9"/>
      <c r="C676" s="23" t="str">
        <f>IF(Data!C676="","",(IF(ISNUMBER(MATCH("*@*.?*",Data!C676,0)),0,1)+IF(COUNTIFS(Data!C$1:'Data'!C676,Data!C676)&gt;1,1,0)))</f>
        <v/>
      </c>
      <c r="D676" s="9" t="str">
        <f>IF(Data!B676="","",IF(ISNUMBER(Data!D676),IF(AND(Data!D676&gt;999999999,Data!D676&lt;=9999999999),IF(COUNTIFS(Data!D$1:'Data'!D676,Data!D676)&lt;=1,0,1),1),1))</f>
        <v/>
      </c>
      <c r="E676" s="9" t="str">
        <f>IF(Data!B676="","",IF(ISNUMBER(MATCH(Data!E676,Data_Val!$A$2:$A$3,0)),0,1))</f>
        <v/>
      </c>
      <c r="F676" s="9" t="str">
        <f ca="1">IF(Data!B676="","",IF(ISNUMBER(Data!F676),IF(AND(Data!F676&gt;(TODAY()-(Data_Val!$H$3*365.25)),Data!F676&lt;=(TODAY()-(Data_Val!$H$2*365.25))),0,1),1))</f>
        <v/>
      </c>
      <c r="G676" s="15" t="str">
        <f>IF(Data!B676="","",IF(AND(Data!G676="",Data!H676&lt;&gt;""),1,IF(Data!#REF!&lt;&gt;"",0,IF(ISNUMBER(MATCH(Data!G676,Data_Val!$C$2:$C$5,0)),0,1))))</f>
        <v/>
      </c>
      <c r="H676" s="15" t="str">
        <f>IF(Data!B676="","",IF(AND(Data!G676&lt;&gt;"",Data!H676=""),1,IF(Data!#REF!&lt;&gt;"",0,IF(Data!G676="",1,IF(ISNUMBER(MATCH(Data!H676,Data_Val!$D$2:$D$35,0)),0,1)))))</f>
        <v/>
      </c>
      <c r="I676" s="15" t="str">
        <f>IF(Data!B676="","",IF(Data!G676&lt;&gt;"",0,IF(ISNUMBER(MATCH(Data!#REF!,Data_Val!$E$2:$E$12,0)),0,1)))</f>
        <v/>
      </c>
      <c r="J676" s="16" t="e">
        <f>IF(OR(Data!B676="",Data!#REF!=""),"",IF(Data!#REF!="",1,0))</f>
        <v>#REF!</v>
      </c>
      <c r="K676" s="16" t="e">
        <f>IF(OR(Data!B676="",Data!#REF!=""),"",IF(Data!#REF!="",1,0))</f>
        <v>#REF!</v>
      </c>
      <c r="L676" s="16" t="e">
        <f>IF(OR(Data!B676="",Data!#REF!=""),"",IF(ISNUMBER(Data!#REF!),IF(AND(Data!#REF!&gt;Data_Val!$G$2,Data!#REF!&lt;=Data_Val!$G$3),0,1),1))</f>
        <v>#REF!</v>
      </c>
      <c r="M676" s="9" t="e">
        <f>IF(OR(Data!B676="",Data!#REF!=""),"",IF(ISNUMBER(MATCH(Data!#REF!,Data_Val!$F$1:$F$38,0)),0,1))</f>
        <v>#REF!</v>
      </c>
      <c r="N676" s="9" t="e">
        <f>IF(OR(Data!B676="",Data!#REF!=""),"",IF(Data!#REF!="",1,0))</f>
        <v>#REF!</v>
      </c>
      <c r="O676" s="17" t="e">
        <f>IF(Data!#REF!="","",IF(Data!#REF!="",1,0))</f>
        <v>#REF!</v>
      </c>
      <c r="P676" s="17" t="e">
        <f>IF(Data!#REF!="","",IF(ISNUMBER(MATCH(Data!#REF!,Data_Val!$A$2:$A$3,0)),0,1))</f>
        <v>#REF!</v>
      </c>
      <c r="Q676" s="25" t="e">
        <f ca="1">IF(Data!#REF!="","",IF(ISNUMBER(Data!#REF!),IF(AND(Data!#REF!&gt;(TODAY()-(Data_Val!$J$3*365.25)),Data!#REF!&lt;=(TODAY()-(Data_Val!$J$2*365.25))),0,1),1))</f>
        <v>#REF!</v>
      </c>
      <c r="R676" s="17" t="e">
        <f>IF(Data!#REF!="","",IF(ISNUMBER(MATCH(Data!#REF!,Data_Val!$B$2:$B$15,0)),0,1))</f>
        <v>#REF!</v>
      </c>
      <c r="S676" s="11" t="str">
        <f>IF(Data!G676="","",IF(Data!G676=Data_Val!$C$2,IF(Data!M676="",0,1),0))</f>
        <v/>
      </c>
      <c r="T676" s="11" t="str">
        <f>IF(Data!M676="","",IF(ISNUMBER(MATCH(Data!N676,Data_Val!$A$2:$A$3,0)),0,1))</f>
        <v/>
      </c>
      <c r="U676" s="11" t="str">
        <f ca="1">IF(Data!M676="","",IF(ISNUMBER(Data!O676),IF(AND(Data!O676&gt;(TODAY()-(Data_Val!$K$3*365.25)),Data!O676&lt;=(TODAY()-(Data_Val!$K$2*365.25))),0,1),1))</f>
        <v/>
      </c>
      <c r="V676" s="12" t="str">
        <f>IF(Data!G676="","",IF(Data!G676=Data_Val!$C$2,IF(Data!P676="",0,1),0))</f>
        <v/>
      </c>
      <c r="W676" s="12" t="str">
        <f>IF(Data!P676="","",IF(ISNUMBER(MATCH(Data!Q676,Data_Val!$A$2:$A$3,0)),0,1))</f>
        <v/>
      </c>
      <c r="X676" s="26" t="str">
        <f ca="1">IF(Data!P676="","",IF(ISNUMBER(Data!R676),IF(AND(Data!R676&gt;(TODAY()-(Data_Val!$L$3*365.25)),Data!R676&lt;=(TODAY()-(Data_Val!$L$2*365.25))),0,1),1))</f>
        <v/>
      </c>
      <c r="Y676" s="13" t="str">
        <f>IF(Data!$G676="","",IF(Data!$G676=Data_Val!$C$2,IF(Data!S676="",0,1),0))</f>
        <v/>
      </c>
      <c r="Z676" s="13" t="str">
        <f>IF(Data!S676="","",IF(ISNUMBER(MATCH(Data!T676,Data_Val!$A$2:$A$3,0)),0,1))</f>
        <v/>
      </c>
      <c r="AA676" s="28" t="str">
        <f ca="1">IF(Data!S676="","",IF(ISNUMBER(Data!U676),IF(AND(Data!U676&gt;(TODAY()-(Data_Val!$L$3*365.25)),Data!U676&lt;=(TODAY()-(Data_Val!$L$2*365.25))),0,1),1))</f>
        <v/>
      </c>
      <c r="AB676" s="11"/>
      <c r="AC676" s="11" t="e">
        <f>IF(Data!#REF!="","",IF(ISNUMBER(MATCH(Data!#REF!,Data_Val!$A$2:$A$3,0)),0,1))</f>
        <v>#REF!</v>
      </c>
      <c r="AD676" s="11" t="e">
        <f ca="1">IF(Data!#REF!="","",IF(ISNUMBER(Data!#REF!),IF(AND(Data!#REF!&gt;(TODAY()-(Data_Val!$L$3*365.25)),Data!#REF!&lt;=(TODAY()-(Data_Val!$L$2*365.25))),0,1),1))</f>
        <v>#REF!</v>
      </c>
      <c r="AE676" s="11" t="e">
        <f>IF(Data!#REF!="","",IF(Data!$G676="",1,IF(ISNUMBER(MATCH(Data!#REF!,Data_Val!$D$2:$D$10,0)),0,1)))</f>
        <v>#REF!</v>
      </c>
      <c r="AF676" s="12"/>
      <c r="AG676" s="12" t="e">
        <f>IF(Data!#REF!="","",IF(ISNUMBER(MATCH(Data!#REF!,Data_Val!$A$2:$A$3,0)),0,1))</f>
        <v>#REF!</v>
      </c>
      <c r="AH676" s="26" t="e">
        <f ca="1">IF(Data!#REF!="","",IF(ISNUMBER(Data!#REF!),IF(AND(Data!#REF!&gt;(TODAY()-(Data_Val!$L$3*365.25)),Data!#REF!&lt;=(TODAY()-(Data_Val!$L$2*365.25))),0,1),1))</f>
        <v>#REF!</v>
      </c>
      <c r="AI676" s="12" t="e">
        <f>IF(Data!#REF!="","",IF(Data!$G676="",1,IF(ISNUMBER(MATCH(Data!#REF!,Data_Val!$D$2:$D$10,0)),0,1)))</f>
        <v>#REF!</v>
      </c>
      <c r="AJ676" s="17"/>
      <c r="AK676" s="17" t="e">
        <f>IF(Data!#REF!="","",IF(ISNUMBER(MATCH(Data!#REF!,Data_Val!$A$2:$A$3,0)),0,1))</f>
        <v>#REF!</v>
      </c>
      <c r="AL676" s="25" t="e">
        <f ca="1">IF(Data!#REF!="","",IF(ISNUMBER(Data!#REF!),IF(AND(Data!#REF!&gt;(TODAY()-(Data_Val!$L$3*365.25)),Data!#REF!&lt;=(TODAY()-(Data_Val!$L$2*365.25))),0,1),1))</f>
        <v>#REF!</v>
      </c>
      <c r="AM676" s="17" t="e">
        <f>IF(Data!#REF!="","",IF(Data!$G676="",1,IF(ISNUMBER(MATCH(Data!#REF!,Data_Val!$D$2:$D$10,0)),0,1)))</f>
        <v>#REF!</v>
      </c>
      <c r="AN676" s="13"/>
      <c r="AO676" s="28" t="e">
        <f ca="1">IF(Data!#REF!="","",IF(ISNUMBER(Data!#REF!),IF(AND(Data!#REF!&gt;(TODAY()-(Data_Val!$I$3*365.25)),Data!#REF!&lt;=(TODAY()-(Data_Val!$I$2*365.25))),0,1),1))</f>
        <v>#REF!</v>
      </c>
      <c r="AP676" s="13" t="e">
        <f>IF(Data!#REF!="","",IF(Data!$G676="",1,IF(ISNUMBER(MATCH(Data!#REF!,Data_Val!$D$2:$D$10,0)),0,1)))</f>
        <v>#REF!</v>
      </c>
      <c r="AQ676" s="17"/>
      <c r="AR676" s="30" t="e">
        <f ca="1">IF(Data!#REF!="","",IF(ISNUMBER(Data!#REF!),IF(AND(Data!#REF!&gt;(TODAY()-(Data_Val!$I$3*365.25)),Data!#REF!&lt;=(TODAY()-(Data_Val!$I$2*365.25))),0,1),1))</f>
        <v>#REF!</v>
      </c>
      <c r="AS676" s="31" t="e">
        <f>IF(Data!#REF!="","",IF(Data!$G676="",1,IF(ISNUMBER(MATCH(Data!#REF!,Data_Val!$D$2:$D$10,0)),0,1)))</f>
        <v>#REF!</v>
      </c>
      <c r="AT676" s="11"/>
      <c r="AU676" s="11" t="e">
        <f ca="1">IF(Data!#REF!="","",IF(ISNUMBER(Data!#REF!),IF(AND(Data!#REF!&gt;(TODAY()-(Data_Val!$I$3*365.25)),Data!#REF!&lt;=(TODAY()-(Data_Val!$I$2*365.25))),0,1),1))</f>
        <v>#REF!</v>
      </c>
      <c r="AV676" s="11" t="e">
        <f>IF(Data!#REF!="","",IF(Data!$G676="",1,IF(ISNUMBER(MATCH(Data!#REF!,Data_Val!$D$2:$D$10,0)),0,1)))</f>
        <v>#REF!</v>
      </c>
      <c r="AW676" s="12"/>
      <c r="AX676" s="26" t="e">
        <f ca="1">IF(Data!#REF!="","",IF(ISNUMBER(Data!#REF!),IF(AND(Data!#REF!&gt;(TODAY()-(Data_Val!$I$3*365.25)),Data!#REF!&lt;=(TODAY()-(Data_Val!$I$2*365.25))),0,1),1))</f>
        <v>#REF!</v>
      </c>
      <c r="AY676" s="12" t="e">
        <f>IF(Data!#REF!="","",IF(Data!$G676="",1,IF(ISNUMBER(MATCH(Data!#REF!,Data_Val!$D$2:$D$10,0)),0,1)))</f>
        <v>#REF!</v>
      </c>
      <c r="AZ676" s="11"/>
      <c r="BA676" s="19" t="e">
        <f ca="1">IF(Data!#REF!="","",IF(ISNUMBER(Data!#REF!),IF(AND(Data!#REF!&gt;(TODAY()-(Data_Val!$M$3*365.25)),Data!#REF!&lt;=(TODAY()-(Data_Val!$M$2*365.25))),0,1),1))</f>
        <v>#REF!</v>
      </c>
      <c r="BB676" s="11" t="e">
        <f>IF(Data!#REF!="","",IF(Data!$G676="",1,IF(ISNUMBER(MATCH(Data!#REF!,Data_Val!$D$2:$D$10,0)),0,1)))</f>
        <v>#REF!</v>
      </c>
      <c r="BC676" s="12"/>
      <c r="BD676" s="20" t="e">
        <f ca="1">IF(Data!#REF!="","",IF(ISNUMBER(Data!#REF!),IF(AND(Data!#REF!&gt;(TODAY()-(Data_Val!$M$3*365.25)),Data!#REF!&lt;=(TODAY()-(Data_Val!$M$2*365.25))),0,1),1))</f>
        <v>#REF!</v>
      </c>
      <c r="BE676" s="12" t="e">
        <f>IF(Data!#REF!="","",IF(Data!$G676="",1,IF(ISNUMBER(MATCH(Data!#REF!,Data_Val!$D$2:$D$10,0)),0,1)))</f>
        <v>#REF!</v>
      </c>
      <c r="BF676" s="17"/>
      <c r="BG676" s="18" t="e">
        <f ca="1">IF(Data!#REF!="","",IF(ISNUMBER(Data!#REF!),IF(AND(Data!#REF!&gt;(TODAY()-(Data_Val!$M$3*365.25)),Data!#REF!&lt;=(TODAY()-(Data_Val!$M$2*365.25))),0,1),1))</f>
        <v>#REF!</v>
      </c>
      <c r="BH676" s="29" t="e">
        <f>IF(Data!#REF!="","",IF(Data!$G676="",1,IF(ISNUMBER(MATCH(Data!#REF!,Data_Val!$D$2:$D$10,0)),0,1)))</f>
        <v>#REF!</v>
      </c>
      <c r="BI676" s="13"/>
      <c r="BJ676" s="21" t="e">
        <f ca="1">IF(Data!#REF!="","",IF(ISNUMBER(Data!#REF!),IF(AND(Data!#REF!&gt;(TODAY()-(Data_Val!$M$3*365.25)),Data!#REF!&lt;=(TODAY()-(Data_Val!$M$2*365.25))),0,1),1))</f>
        <v>#REF!</v>
      </c>
      <c r="BK676" s="13" t="e">
        <f>IF(Data!#REF!="","",IF(Data!$G676="",1,IF(ISNUMBER(MATCH(Data!#REF!,Data_Val!$D$2:$D$10,0)),0,1)))</f>
        <v>#REF!</v>
      </c>
    </row>
    <row r="677" spans="1:63" x14ac:dyDescent="0.25">
      <c r="A677" s="9" t="str">
        <f>IF(Data!B677="","",IF(COUNTIFS(Data!A$1:'Data'!A677,Data!A677)&lt;=1,0,1))</f>
        <v/>
      </c>
      <c r="B677" s="9"/>
      <c r="C677" s="23" t="str">
        <f>IF(Data!C677="","",(IF(ISNUMBER(MATCH("*@*.?*",Data!C677,0)),0,1)+IF(COUNTIFS(Data!C$1:'Data'!C677,Data!C677)&gt;1,1,0)))</f>
        <v/>
      </c>
      <c r="D677" s="9" t="str">
        <f>IF(Data!B677="","",IF(ISNUMBER(Data!D677),IF(AND(Data!D677&gt;999999999,Data!D677&lt;=9999999999),IF(COUNTIFS(Data!D$1:'Data'!D677,Data!D677)&lt;=1,0,1),1),1))</f>
        <v/>
      </c>
      <c r="E677" s="9" t="str">
        <f>IF(Data!B677="","",IF(ISNUMBER(MATCH(Data!E677,Data_Val!$A$2:$A$3,0)),0,1))</f>
        <v/>
      </c>
      <c r="F677" s="9" t="str">
        <f ca="1">IF(Data!B677="","",IF(ISNUMBER(Data!F677),IF(AND(Data!F677&gt;(TODAY()-(Data_Val!$H$3*365.25)),Data!F677&lt;=(TODAY()-(Data_Val!$H$2*365.25))),0,1),1))</f>
        <v/>
      </c>
      <c r="G677" s="15" t="str">
        <f>IF(Data!B677="","",IF(AND(Data!G677="",Data!H677&lt;&gt;""),1,IF(Data!#REF!&lt;&gt;"",0,IF(ISNUMBER(MATCH(Data!G677,Data_Val!$C$2:$C$5,0)),0,1))))</f>
        <v/>
      </c>
      <c r="H677" s="15" t="str">
        <f>IF(Data!B677="","",IF(AND(Data!G677&lt;&gt;"",Data!H677=""),1,IF(Data!#REF!&lt;&gt;"",0,IF(Data!G677="",1,IF(ISNUMBER(MATCH(Data!H677,Data_Val!$D$2:$D$35,0)),0,1)))))</f>
        <v/>
      </c>
      <c r="I677" s="15" t="str">
        <f>IF(Data!B677="","",IF(Data!G677&lt;&gt;"",0,IF(ISNUMBER(MATCH(Data!#REF!,Data_Val!$E$2:$E$12,0)),0,1)))</f>
        <v/>
      </c>
      <c r="J677" s="16" t="e">
        <f>IF(OR(Data!B677="",Data!#REF!=""),"",IF(Data!#REF!="",1,0))</f>
        <v>#REF!</v>
      </c>
      <c r="K677" s="16" t="e">
        <f>IF(OR(Data!B677="",Data!#REF!=""),"",IF(Data!#REF!="",1,0))</f>
        <v>#REF!</v>
      </c>
      <c r="L677" s="16" t="e">
        <f>IF(OR(Data!B677="",Data!#REF!=""),"",IF(ISNUMBER(Data!#REF!),IF(AND(Data!#REF!&gt;Data_Val!$G$2,Data!#REF!&lt;=Data_Val!$G$3),0,1),1))</f>
        <v>#REF!</v>
      </c>
      <c r="M677" s="9" t="e">
        <f>IF(OR(Data!B677="",Data!#REF!=""),"",IF(ISNUMBER(MATCH(Data!#REF!,Data_Val!$F$1:$F$38,0)),0,1))</f>
        <v>#REF!</v>
      </c>
      <c r="N677" s="9" t="e">
        <f>IF(OR(Data!B677="",Data!#REF!=""),"",IF(Data!#REF!="",1,0))</f>
        <v>#REF!</v>
      </c>
      <c r="O677" s="17" t="e">
        <f>IF(Data!#REF!="","",IF(Data!#REF!="",1,0))</f>
        <v>#REF!</v>
      </c>
      <c r="P677" s="17" t="e">
        <f>IF(Data!#REF!="","",IF(ISNUMBER(MATCH(Data!#REF!,Data_Val!$A$2:$A$3,0)),0,1))</f>
        <v>#REF!</v>
      </c>
      <c r="Q677" s="25" t="e">
        <f ca="1">IF(Data!#REF!="","",IF(ISNUMBER(Data!#REF!),IF(AND(Data!#REF!&gt;(TODAY()-(Data_Val!$J$3*365.25)),Data!#REF!&lt;=(TODAY()-(Data_Val!$J$2*365.25))),0,1),1))</f>
        <v>#REF!</v>
      </c>
      <c r="R677" s="17" t="e">
        <f>IF(Data!#REF!="","",IF(ISNUMBER(MATCH(Data!#REF!,Data_Val!$B$2:$B$15,0)),0,1))</f>
        <v>#REF!</v>
      </c>
      <c r="S677" s="11" t="str">
        <f>IF(Data!G677="","",IF(Data!G677=Data_Val!$C$2,IF(Data!M677="",0,1),0))</f>
        <v/>
      </c>
      <c r="T677" s="11" t="str">
        <f>IF(Data!M677="","",IF(ISNUMBER(MATCH(Data!N677,Data_Val!$A$2:$A$3,0)),0,1))</f>
        <v/>
      </c>
      <c r="U677" s="11" t="str">
        <f ca="1">IF(Data!M677="","",IF(ISNUMBER(Data!O677),IF(AND(Data!O677&gt;(TODAY()-(Data_Val!$K$3*365.25)),Data!O677&lt;=(TODAY()-(Data_Val!$K$2*365.25))),0,1),1))</f>
        <v/>
      </c>
      <c r="V677" s="12" t="str">
        <f>IF(Data!G677="","",IF(Data!G677=Data_Val!$C$2,IF(Data!P677="",0,1),0))</f>
        <v/>
      </c>
      <c r="W677" s="12" t="str">
        <f>IF(Data!P677="","",IF(ISNUMBER(MATCH(Data!Q677,Data_Val!$A$2:$A$3,0)),0,1))</f>
        <v/>
      </c>
      <c r="X677" s="26" t="str">
        <f ca="1">IF(Data!P677="","",IF(ISNUMBER(Data!R677),IF(AND(Data!R677&gt;(TODAY()-(Data_Val!$L$3*365.25)),Data!R677&lt;=(TODAY()-(Data_Val!$L$2*365.25))),0,1),1))</f>
        <v/>
      </c>
      <c r="Y677" s="13" t="str">
        <f>IF(Data!$G677="","",IF(Data!$G677=Data_Val!$C$2,IF(Data!S677="",0,1),0))</f>
        <v/>
      </c>
      <c r="Z677" s="13" t="str">
        <f>IF(Data!S677="","",IF(ISNUMBER(MATCH(Data!T677,Data_Val!$A$2:$A$3,0)),0,1))</f>
        <v/>
      </c>
      <c r="AA677" s="28" t="str">
        <f ca="1">IF(Data!S677="","",IF(ISNUMBER(Data!U677),IF(AND(Data!U677&gt;(TODAY()-(Data_Val!$L$3*365.25)),Data!U677&lt;=(TODAY()-(Data_Val!$L$2*365.25))),0,1),1))</f>
        <v/>
      </c>
      <c r="AB677" s="11"/>
      <c r="AC677" s="11" t="e">
        <f>IF(Data!#REF!="","",IF(ISNUMBER(MATCH(Data!#REF!,Data_Val!$A$2:$A$3,0)),0,1))</f>
        <v>#REF!</v>
      </c>
      <c r="AD677" s="11" t="e">
        <f ca="1">IF(Data!#REF!="","",IF(ISNUMBER(Data!#REF!),IF(AND(Data!#REF!&gt;(TODAY()-(Data_Val!$L$3*365.25)),Data!#REF!&lt;=(TODAY()-(Data_Val!$L$2*365.25))),0,1),1))</f>
        <v>#REF!</v>
      </c>
      <c r="AE677" s="11" t="e">
        <f>IF(Data!#REF!="","",IF(Data!$G677="",1,IF(ISNUMBER(MATCH(Data!#REF!,Data_Val!$D$2:$D$10,0)),0,1)))</f>
        <v>#REF!</v>
      </c>
      <c r="AF677" s="12"/>
      <c r="AG677" s="12" t="e">
        <f>IF(Data!#REF!="","",IF(ISNUMBER(MATCH(Data!#REF!,Data_Val!$A$2:$A$3,0)),0,1))</f>
        <v>#REF!</v>
      </c>
      <c r="AH677" s="26" t="e">
        <f ca="1">IF(Data!#REF!="","",IF(ISNUMBER(Data!#REF!),IF(AND(Data!#REF!&gt;(TODAY()-(Data_Val!$L$3*365.25)),Data!#REF!&lt;=(TODAY()-(Data_Val!$L$2*365.25))),0,1),1))</f>
        <v>#REF!</v>
      </c>
      <c r="AI677" s="12" t="e">
        <f>IF(Data!#REF!="","",IF(Data!$G677="",1,IF(ISNUMBER(MATCH(Data!#REF!,Data_Val!$D$2:$D$10,0)),0,1)))</f>
        <v>#REF!</v>
      </c>
      <c r="AJ677" s="17"/>
      <c r="AK677" s="17" t="e">
        <f>IF(Data!#REF!="","",IF(ISNUMBER(MATCH(Data!#REF!,Data_Val!$A$2:$A$3,0)),0,1))</f>
        <v>#REF!</v>
      </c>
      <c r="AL677" s="25" t="e">
        <f ca="1">IF(Data!#REF!="","",IF(ISNUMBER(Data!#REF!),IF(AND(Data!#REF!&gt;(TODAY()-(Data_Val!$L$3*365.25)),Data!#REF!&lt;=(TODAY()-(Data_Val!$L$2*365.25))),0,1),1))</f>
        <v>#REF!</v>
      </c>
      <c r="AM677" s="17" t="e">
        <f>IF(Data!#REF!="","",IF(Data!$G677="",1,IF(ISNUMBER(MATCH(Data!#REF!,Data_Val!$D$2:$D$10,0)),0,1)))</f>
        <v>#REF!</v>
      </c>
      <c r="AN677" s="13"/>
      <c r="AO677" s="28" t="e">
        <f ca="1">IF(Data!#REF!="","",IF(ISNUMBER(Data!#REF!),IF(AND(Data!#REF!&gt;(TODAY()-(Data_Val!$I$3*365.25)),Data!#REF!&lt;=(TODAY()-(Data_Val!$I$2*365.25))),0,1),1))</f>
        <v>#REF!</v>
      </c>
      <c r="AP677" s="13" t="e">
        <f>IF(Data!#REF!="","",IF(Data!$G677="",1,IF(ISNUMBER(MATCH(Data!#REF!,Data_Val!$D$2:$D$10,0)),0,1)))</f>
        <v>#REF!</v>
      </c>
      <c r="AQ677" s="17"/>
      <c r="AR677" s="30" t="e">
        <f ca="1">IF(Data!#REF!="","",IF(ISNUMBER(Data!#REF!),IF(AND(Data!#REF!&gt;(TODAY()-(Data_Val!$I$3*365.25)),Data!#REF!&lt;=(TODAY()-(Data_Val!$I$2*365.25))),0,1),1))</f>
        <v>#REF!</v>
      </c>
      <c r="AS677" s="31" t="e">
        <f>IF(Data!#REF!="","",IF(Data!$G677="",1,IF(ISNUMBER(MATCH(Data!#REF!,Data_Val!$D$2:$D$10,0)),0,1)))</f>
        <v>#REF!</v>
      </c>
      <c r="AT677" s="11"/>
      <c r="AU677" s="11" t="e">
        <f ca="1">IF(Data!#REF!="","",IF(ISNUMBER(Data!#REF!),IF(AND(Data!#REF!&gt;(TODAY()-(Data_Val!$I$3*365.25)),Data!#REF!&lt;=(TODAY()-(Data_Val!$I$2*365.25))),0,1),1))</f>
        <v>#REF!</v>
      </c>
      <c r="AV677" s="11" t="e">
        <f>IF(Data!#REF!="","",IF(Data!$G677="",1,IF(ISNUMBER(MATCH(Data!#REF!,Data_Val!$D$2:$D$10,0)),0,1)))</f>
        <v>#REF!</v>
      </c>
      <c r="AW677" s="12"/>
      <c r="AX677" s="26" t="e">
        <f ca="1">IF(Data!#REF!="","",IF(ISNUMBER(Data!#REF!),IF(AND(Data!#REF!&gt;(TODAY()-(Data_Val!$I$3*365.25)),Data!#REF!&lt;=(TODAY()-(Data_Val!$I$2*365.25))),0,1),1))</f>
        <v>#REF!</v>
      </c>
      <c r="AY677" s="12" t="e">
        <f>IF(Data!#REF!="","",IF(Data!$G677="",1,IF(ISNUMBER(MATCH(Data!#REF!,Data_Val!$D$2:$D$10,0)),0,1)))</f>
        <v>#REF!</v>
      </c>
      <c r="AZ677" s="11"/>
      <c r="BA677" s="19" t="e">
        <f ca="1">IF(Data!#REF!="","",IF(ISNUMBER(Data!#REF!),IF(AND(Data!#REF!&gt;(TODAY()-(Data_Val!$M$3*365.25)),Data!#REF!&lt;=(TODAY()-(Data_Val!$M$2*365.25))),0,1),1))</f>
        <v>#REF!</v>
      </c>
      <c r="BB677" s="11" t="e">
        <f>IF(Data!#REF!="","",IF(Data!$G677="",1,IF(ISNUMBER(MATCH(Data!#REF!,Data_Val!$D$2:$D$10,0)),0,1)))</f>
        <v>#REF!</v>
      </c>
      <c r="BC677" s="12"/>
      <c r="BD677" s="20" t="e">
        <f ca="1">IF(Data!#REF!="","",IF(ISNUMBER(Data!#REF!),IF(AND(Data!#REF!&gt;(TODAY()-(Data_Val!$M$3*365.25)),Data!#REF!&lt;=(TODAY()-(Data_Val!$M$2*365.25))),0,1),1))</f>
        <v>#REF!</v>
      </c>
      <c r="BE677" s="12" t="e">
        <f>IF(Data!#REF!="","",IF(Data!$G677="",1,IF(ISNUMBER(MATCH(Data!#REF!,Data_Val!$D$2:$D$10,0)),0,1)))</f>
        <v>#REF!</v>
      </c>
      <c r="BF677" s="17"/>
      <c r="BG677" s="18" t="e">
        <f ca="1">IF(Data!#REF!="","",IF(ISNUMBER(Data!#REF!),IF(AND(Data!#REF!&gt;(TODAY()-(Data_Val!$M$3*365.25)),Data!#REF!&lt;=(TODAY()-(Data_Val!$M$2*365.25))),0,1),1))</f>
        <v>#REF!</v>
      </c>
      <c r="BH677" s="29" t="e">
        <f>IF(Data!#REF!="","",IF(Data!$G677="",1,IF(ISNUMBER(MATCH(Data!#REF!,Data_Val!$D$2:$D$10,0)),0,1)))</f>
        <v>#REF!</v>
      </c>
      <c r="BI677" s="13"/>
      <c r="BJ677" s="21" t="e">
        <f ca="1">IF(Data!#REF!="","",IF(ISNUMBER(Data!#REF!),IF(AND(Data!#REF!&gt;(TODAY()-(Data_Val!$M$3*365.25)),Data!#REF!&lt;=(TODAY()-(Data_Val!$M$2*365.25))),0,1),1))</f>
        <v>#REF!</v>
      </c>
      <c r="BK677" s="13" t="e">
        <f>IF(Data!#REF!="","",IF(Data!$G677="",1,IF(ISNUMBER(MATCH(Data!#REF!,Data_Val!$D$2:$D$10,0)),0,1)))</f>
        <v>#REF!</v>
      </c>
    </row>
    <row r="678" spans="1:63" x14ac:dyDescent="0.25">
      <c r="A678" s="9" t="str">
        <f>IF(Data!B678="","",IF(COUNTIFS(Data!A$1:'Data'!A678,Data!A678)&lt;=1,0,1))</f>
        <v/>
      </c>
      <c r="B678" s="9"/>
      <c r="C678" s="23" t="str">
        <f>IF(Data!C678="","",(IF(ISNUMBER(MATCH("*@*.?*",Data!C678,0)),0,1)+IF(COUNTIFS(Data!C$1:'Data'!C678,Data!C678)&gt;1,1,0)))</f>
        <v/>
      </c>
      <c r="D678" s="9" t="str">
        <f>IF(Data!B678="","",IF(ISNUMBER(Data!D678),IF(AND(Data!D678&gt;999999999,Data!D678&lt;=9999999999),IF(COUNTIFS(Data!D$1:'Data'!D678,Data!D678)&lt;=1,0,1),1),1))</f>
        <v/>
      </c>
      <c r="E678" s="9" t="str">
        <f>IF(Data!B678="","",IF(ISNUMBER(MATCH(Data!E678,Data_Val!$A$2:$A$3,0)),0,1))</f>
        <v/>
      </c>
      <c r="F678" s="9" t="str">
        <f ca="1">IF(Data!B678="","",IF(ISNUMBER(Data!F678),IF(AND(Data!F678&gt;(TODAY()-(Data_Val!$H$3*365.25)),Data!F678&lt;=(TODAY()-(Data_Val!$H$2*365.25))),0,1),1))</f>
        <v/>
      </c>
      <c r="G678" s="15" t="str">
        <f>IF(Data!B678="","",IF(AND(Data!G678="",Data!H678&lt;&gt;""),1,IF(Data!#REF!&lt;&gt;"",0,IF(ISNUMBER(MATCH(Data!G678,Data_Val!$C$2:$C$5,0)),0,1))))</f>
        <v/>
      </c>
      <c r="H678" s="15" t="str">
        <f>IF(Data!B678="","",IF(AND(Data!G678&lt;&gt;"",Data!H678=""),1,IF(Data!#REF!&lt;&gt;"",0,IF(Data!G678="",1,IF(ISNUMBER(MATCH(Data!H678,Data_Val!$D$2:$D$35,0)),0,1)))))</f>
        <v/>
      </c>
      <c r="I678" s="15" t="str">
        <f>IF(Data!B678="","",IF(Data!G678&lt;&gt;"",0,IF(ISNUMBER(MATCH(Data!#REF!,Data_Val!$E$2:$E$12,0)),0,1)))</f>
        <v/>
      </c>
      <c r="J678" s="16" t="e">
        <f>IF(OR(Data!B678="",Data!#REF!=""),"",IF(Data!#REF!="",1,0))</f>
        <v>#REF!</v>
      </c>
      <c r="K678" s="16" t="e">
        <f>IF(OR(Data!B678="",Data!#REF!=""),"",IF(Data!#REF!="",1,0))</f>
        <v>#REF!</v>
      </c>
      <c r="L678" s="16" t="e">
        <f>IF(OR(Data!B678="",Data!#REF!=""),"",IF(ISNUMBER(Data!#REF!),IF(AND(Data!#REF!&gt;Data_Val!$G$2,Data!#REF!&lt;=Data_Val!$G$3),0,1),1))</f>
        <v>#REF!</v>
      </c>
      <c r="M678" s="9" t="e">
        <f>IF(OR(Data!B678="",Data!#REF!=""),"",IF(ISNUMBER(MATCH(Data!#REF!,Data_Val!$F$1:$F$38,0)),0,1))</f>
        <v>#REF!</v>
      </c>
      <c r="N678" s="9" t="e">
        <f>IF(OR(Data!B678="",Data!#REF!=""),"",IF(Data!#REF!="",1,0))</f>
        <v>#REF!</v>
      </c>
      <c r="O678" s="17" t="e">
        <f>IF(Data!#REF!="","",IF(Data!#REF!="",1,0))</f>
        <v>#REF!</v>
      </c>
      <c r="P678" s="17" t="e">
        <f>IF(Data!#REF!="","",IF(ISNUMBER(MATCH(Data!#REF!,Data_Val!$A$2:$A$3,0)),0,1))</f>
        <v>#REF!</v>
      </c>
      <c r="Q678" s="25" t="e">
        <f ca="1">IF(Data!#REF!="","",IF(ISNUMBER(Data!#REF!),IF(AND(Data!#REF!&gt;(TODAY()-(Data_Val!$J$3*365.25)),Data!#REF!&lt;=(TODAY()-(Data_Val!$J$2*365.25))),0,1),1))</f>
        <v>#REF!</v>
      </c>
      <c r="R678" s="17" t="e">
        <f>IF(Data!#REF!="","",IF(ISNUMBER(MATCH(Data!#REF!,Data_Val!$B$2:$B$15,0)),0,1))</f>
        <v>#REF!</v>
      </c>
      <c r="S678" s="11" t="str">
        <f>IF(Data!G678="","",IF(Data!G678=Data_Val!$C$2,IF(Data!M678="",0,1),0))</f>
        <v/>
      </c>
      <c r="T678" s="11" t="str">
        <f>IF(Data!M678="","",IF(ISNUMBER(MATCH(Data!N678,Data_Val!$A$2:$A$3,0)),0,1))</f>
        <v/>
      </c>
      <c r="U678" s="11" t="str">
        <f ca="1">IF(Data!M678="","",IF(ISNUMBER(Data!O678),IF(AND(Data!O678&gt;(TODAY()-(Data_Val!$K$3*365.25)),Data!O678&lt;=(TODAY()-(Data_Val!$K$2*365.25))),0,1),1))</f>
        <v/>
      </c>
      <c r="V678" s="12" t="str">
        <f>IF(Data!G678="","",IF(Data!G678=Data_Val!$C$2,IF(Data!P678="",0,1),0))</f>
        <v/>
      </c>
      <c r="W678" s="12" t="str">
        <f>IF(Data!P678="","",IF(ISNUMBER(MATCH(Data!Q678,Data_Val!$A$2:$A$3,0)),0,1))</f>
        <v/>
      </c>
      <c r="X678" s="26" t="str">
        <f ca="1">IF(Data!P678="","",IF(ISNUMBER(Data!R678),IF(AND(Data!R678&gt;(TODAY()-(Data_Val!$L$3*365.25)),Data!R678&lt;=(TODAY()-(Data_Val!$L$2*365.25))),0,1),1))</f>
        <v/>
      </c>
      <c r="Y678" s="13" t="str">
        <f>IF(Data!$G678="","",IF(Data!$G678=Data_Val!$C$2,IF(Data!S678="",0,1),0))</f>
        <v/>
      </c>
      <c r="Z678" s="13" t="str">
        <f>IF(Data!S678="","",IF(ISNUMBER(MATCH(Data!T678,Data_Val!$A$2:$A$3,0)),0,1))</f>
        <v/>
      </c>
      <c r="AA678" s="28" t="str">
        <f ca="1">IF(Data!S678="","",IF(ISNUMBER(Data!U678),IF(AND(Data!U678&gt;(TODAY()-(Data_Val!$L$3*365.25)),Data!U678&lt;=(TODAY()-(Data_Val!$L$2*365.25))),0,1),1))</f>
        <v/>
      </c>
      <c r="AB678" s="11"/>
      <c r="AC678" s="11" t="e">
        <f>IF(Data!#REF!="","",IF(ISNUMBER(MATCH(Data!#REF!,Data_Val!$A$2:$A$3,0)),0,1))</f>
        <v>#REF!</v>
      </c>
      <c r="AD678" s="11" t="e">
        <f ca="1">IF(Data!#REF!="","",IF(ISNUMBER(Data!#REF!),IF(AND(Data!#REF!&gt;(TODAY()-(Data_Val!$L$3*365.25)),Data!#REF!&lt;=(TODAY()-(Data_Val!$L$2*365.25))),0,1),1))</f>
        <v>#REF!</v>
      </c>
      <c r="AE678" s="11" t="e">
        <f>IF(Data!#REF!="","",IF(Data!$G678="",1,IF(ISNUMBER(MATCH(Data!#REF!,Data_Val!$D$2:$D$10,0)),0,1)))</f>
        <v>#REF!</v>
      </c>
      <c r="AF678" s="12"/>
      <c r="AG678" s="12" t="e">
        <f>IF(Data!#REF!="","",IF(ISNUMBER(MATCH(Data!#REF!,Data_Val!$A$2:$A$3,0)),0,1))</f>
        <v>#REF!</v>
      </c>
      <c r="AH678" s="26" t="e">
        <f ca="1">IF(Data!#REF!="","",IF(ISNUMBER(Data!#REF!),IF(AND(Data!#REF!&gt;(TODAY()-(Data_Val!$L$3*365.25)),Data!#REF!&lt;=(TODAY()-(Data_Val!$L$2*365.25))),0,1),1))</f>
        <v>#REF!</v>
      </c>
      <c r="AI678" s="12" t="e">
        <f>IF(Data!#REF!="","",IF(Data!$G678="",1,IF(ISNUMBER(MATCH(Data!#REF!,Data_Val!$D$2:$D$10,0)),0,1)))</f>
        <v>#REF!</v>
      </c>
      <c r="AJ678" s="17"/>
      <c r="AK678" s="17" t="e">
        <f>IF(Data!#REF!="","",IF(ISNUMBER(MATCH(Data!#REF!,Data_Val!$A$2:$A$3,0)),0,1))</f>
        <v>#REF!</v>
      </c>
      <c r="AL678" s="25" t="e">
        <f ca="1">IF(Data!#REF!="","",IF(ISNUMBER(Data!#REF!),IF(AND(Data!#REF!&gt;(TODAY()-(Data_Val!$L$3*365.25)),Data!#REF!&lt;=(TODAY()-(Data_Val!$L$2*365.25))),0,1),1))</f>
        <v>#REF!</v>
      </c>
      <c r="AM678" s="17" t="e">
        <f>IF(Data!#REF!="","",IF(Data!$G678="",1,IF(ISNUMBER(MATCH(Data!#REF!,Data_Val!$D$2:$D$10,0)),0,1)))</f>
        <v>#REF!</v>
      </c>
      <c r="AN678" s="13"/>
      <c r="AO678" s="28" t="e">
        <f ca="1">IF(Data!#REF!="","",IF(ISNUMBER(Data!#REF!),IF(AND(Data!#REF!&gt;(TODAY()-(Data_Val!$I$3*365.25)),Data!#REF!&lt;=(TODAY()-(Data_Val!$I$2*365.25))),0,1),1))</f>
        <v>#REF!</v>
      </c>
      <c r="AP678" s="13" t="e">
        <f>IF(Data!#REF!="","",IF(Data!$G678="",1,IF(ISNUMBER(MATCH(Data!#REF!,Data_Val!$D$2:$D$10,0)),0,1)))</f>
        <v>#REF!</v>
      </c>
      <c r="AQ678" s="17"/>
      <c r="AR678" s="30" t="e">
        <f ca="1">IF(Data!#REF!="","",IF(ISNUMBER(Data!#REF!),IF(AND(Data!#REF!&gt;(TODAY()-(Data_Val!$I$3*365.25)),Data!#REF!&lt;=(TODAY()-(Data_Val!$I$2*365.25))),0,1),1))</f>
        <v>#REF!</v>
      </c>
      <c r="AS678" s="31" t="e">
        <f>IF(Data!#REF!="","",IF(Data!$G678="",1,IF(ISNUMBER(MATCH(Data!#REF!,Data_Val!$D$2:$D$10,0)),0,1)))</f>
        <v>#REF!</v>
      </c>
      <c r="AT678" s="11"/>
      <c r="AU678" s="11" t="e">
        <f ca="1">IF(Data!#REF!="","",IF(ISNUMBER(Data!#REF!),IF(AND(Data!#REF!&gt;(TODAY()-(Data_Val!$I$3*365.25)),Data!#REF!&lt;=(TODAY()-(Data_Val!$I$2*365.25))),0,1),1))</f>
        <v>#REF!</v>
      </c>
      <c r="AV678" s="11" t="e">
        <f>IF(Data!#REF!="","",IF(Data!$G678="",1,IF(ISNUMBER(MATCH(Data!#REF!,Data_Val!$D$2:$D$10,0)),0,1)))</f>
        <v>#REF!</v>
      </c>
      <c r="AW678" s="12"/>
      <c r="AX678" s="26" t="e">
        <f ca="1">IF(Data!#REF!="","",IF(ISNUMBER(Data!#REF!),IF(AND(Data!#REF!&gt;(TODAY()-(Data_Val!$I$3*365.25)),Data!#REF!&lt;=(TODAY()-(Data_Val!$I$2*365.25))),0,1),1))</f>
        <v>#REF!</v>
      </c>
      <c r="AY678" s="12" t="e">
        <f>IF(Data!#REF!="","",IF(Data!$G678="",1,IF(ISNUMBER(MATCH(Data!#REF!,Data_Val!$D$2:$D$10,0)),0,1)))</f>
        <v>#REF!</v>
      </c>
      <c r="AZ678" s="11"/>
      <c r="BA678" s="19" t="e">
        <f ca="1">IF(Data!#REF!="","",IF(ISNUMBER(Data!#REF!),IF(AND(Data!#REF!&gt;(TODAY()-(Data_Val!$M$3*365.25)),Data!#REF!&lt;=(TODAY()-(Data_Val!$M$2*365.25))),0,1),1))</f>
        <v>#REF!</v>
      </c>
      <c r="BB678" s="11" t="e">
        <f>IF(Data!#REF!="","",IF(Data!$G678="",1,IF(ISNUMBER(MATCH(Data!#REF!,Data_Val!$D$2:$D$10,0)),0,1)))</f>
        <v>#REF!</v>
      </c>
      <c r="BC678" s="12"/>
      <c r="BD678" s="20" t="e">
        <f ca="1">IF(Data!#REF!="","",IF(ISNUMBER(Data!#REF!),IF(AND(Data!#REF!&gt;(TODAY()-(Data_Val!$M$3*365.25)),Data!#REF!&lt;=(TODAY()-(Data_Val!$M$2*365.25))),0,1),1))</f>
        <v>#REF!</v>
      </c>
      <c r="BE678" s="12" t="e">
        <f>IF(Data!#REF!="","",IF(Data!$G678="",1,IF(ISNUMBER(MATCH(Data!#REF!,Data_Val!$D$2:$D$10,0)),0,1)))</f>
        <v>#REF!</v>
      </c>
      <c r="BF678" s="17"/>
      <c r="BG678" s="18" t="e">
        <f ca="1">IF(Data!#REF!="","",IF(ISNUMBER(Data!#REF!),IF(AND(Data!#REF!&gt;(TODAY()-(Data_Val!$M$3*365.25)),Data!#REF!&lt;=(TODAY()-(Data_Val!$M$2*365.25))),0,1),1))</f>
        <v>#REF!</v>
      </c>
      <c r="BH678" s="29" t="e">
        <f>IF(Data!#REF!="","",IF(Data!$G678="",1,IF(ISNUMBER(MATCH(Data!#REF!,Data_Val!$D$2:$D$10,0)),0,1)))</f>
        <v>#REF!</v>
      </c>
      <c r="BI678" s="13"/>
      <c r="BJ678" s="21" t="e">
        <f ca="1">IF(Data!#REF!="","",IF(ISNUMBER(Data!#REF!),IF(AND(Data!#REF!&gt;(TODAY()-(Data_Val!$M$3*365.25)),Data!#REF!&lt;=(TODAY()-(Data_Val!$M$2*365.25))),0,1),1))</f>
        <v>#REF!</v>
      </c>
      <c r="BK678" s="13" t="e">
        <f>IF(Data!#REF!="","",IF(Data!$G678="",1,IF(ISNUMBER(MATCH(Data!#REF!,Data_Val!$D$2:$D$10,0)),0,1)))</f>
        <v>#REF!</v>
      </c>
    </row>
    <row r="679" spans="1:63" x14ac:dyDescent="0.25">
      <c r="A679" s="9" t="str">
        <f>IF(Data!B679="","",IF(COUNTIFS(Data!A$1:'Data'!A679,Data!A679)&lt;=1,0,1))</f>
        <v/>
      </c>
      <c r="B679" s="9"/>
      <c r="C679" s="23" t="str">
        <f>IF(Data!C679="","",(IF(ISNUMBER(MATCH("*@*.?*",Data!C679,0)),0,1)+IF(COUNTIFS(Data!C$1:'Data'!C679,Data!C679)&gt;1,1,0)))</f>
        <v/>
      </c>
      <c r="D679" s="9" t="str">
        <f>IF(Data!B679="","",IF(ISNUMBER(Data!D679),IF(AND(Data!D679&gt;999999999,Data!D679&lt;=9999999999),IF(COUNTIFS(Data!D$1:'Data'!D679,Data!D679)&lt;=1,0,1),1),1))</f>
        <v/>
      </c>
      <c r="E679" s="9" t="str">
        <f>IF(Data!B679="","",IF(ISNUMBER(MATCH(Data!E679,Data_Val!$A$2:$A$3,0)),0,1))</f>
        <v/>
      </c>
      <c r="F679" s="9" t="str">
        <f ca="1">IF(Data!B679="","",IF(ISNUMBER(Data!F679),IF(AND(Data!F679&gt;(TODAY()-(Data_Val!$H$3*365.25)),Data!F679&lt;=(TODAY()-(Data_Val!$H$2*365.25))),0,1),1))</f>
        <v/>
      </c>
      <c r="G679" s="15" t="str">
        <f>IF(Data!B679="","",IF(AND(Data!G679="",Data!H679&lt;&gt;""),1,IF(Data!#REF!&lt;&gt;"",0,IF(ISNUMBER(MATCH(Data!G679,Data_Val!$C$2:$C$5,0)),0,1))))</f>
        <v/>
      </c>
      <c r="H679" s="15" t="str">
        <f>IF(Data!B679="","",IF(AND(Data!G679&lt;&gt;"",Data!H679=""),1,IF(Data!#REF!&lt;&gt;"",0,IF(Data!G679="",1,IF(ISNUMBER(MATCH(Data!H679,Data_Val!$D$2:$D$35,0)),0,1)))))</f>
        <v/>
      </c>
      <c r="I679" s="15" t="str">
        <f>IF(Data!B679="","",IF(Data!G679&lt;&gt;"",0,IF(ISNUMBER(MATCH(Data!#REF!,Data_Val!$E$2:$E$12,0)),0,1)))</f>
        <v/>
      </c>
      <c r="J679" s="16" t="e">
        <f>IF(OR(Data!B679="",Data!#REF!=""),"",IF(Data!#REF!="",1,0))</f>
        <v>#REF!</v>
      </c>
      <c r="K679" s="16" t="e">
        <f>IF(OR(Data!B679="",Data!#REF!=""),"",IF(Data!#REF!="",1,0))</f>
        <v>#REF!</v>
      </c>
      <c r="L679" s="16" t="e">
        <f>IF(OR(Data!B679="",Data!#REF!=""),"",IF(ISNUMBER(Data!#REF!),IF(AND(Data!#REF!&gt;Data_Val!$G$2,Data!#REF!&lt;=Data_Val!$G$3),0,1),1))</f>
        <v>#REF!</v>
      </c>
      <c r="M679" s="9" t="e">
        <f>IF(OR(Data!B679="",Data!#REF!=""),"",IF(ISNUMBER(MATCH(Data!#REF!,Data_Val!$F$1:$F$38,0)),0,1))</f>
        <v>#REF!</v>
      </c>
      <c r="N679" s="9" t="e">
        <f>IF(OR(Data!B679="",Data!#REF!=""),"",IF(Data!#REF!="",1,0))</f>
        <v>#REF!</v>
      </c>
      <c r="O679" s="17" t="e">
        <f>IF(Data!#REF!="","",IF(Data!#REF!="",1,0))</f>
        <v>#REF!</v>
      </c>
      <c r="P679" s="17" t="e">
        <f>IF(Data!#REF!="","",IF(ISNUMBER(MATCH(Data!#REF!,Data_Val!$A$2:$A$3,0)),0,1))</f>
        <v>#REF!</v>
      </c>
      <c r="Q679" s="25" t="e">
        <f ca="1">IF(Data!#REF!="","",IF(ISNUMBER(Data!#REF!),IF(AND(Data!#REF!&gt;(TODAY()-(Data_Val!$J$3*365.25)),Data!#REF!&lt;=(TODAY()-(Data_Val!$J$2*365.25))),0,1),1))</f>
        <v>#REF!</v>
      </c>
      <c r="R679" s="17" t="e">
        <f>IF(Data!#REF!="","",IF(ISNUMBER(MATCH(Data!#REF!,Data_Val!$B$2:$B$15,0)),0,1))</f>
        <v>#REF!</v>
      </c>
      <c r="S679" s="11" t="str">
        <f>IF(Data!G679="","",IF(Data!G679=Data_Val!$C$2,IF(Data!M679="",0,1),0))</f>
        <v/>
      </c>
      <c r="T679" s="11" t="str">
        <f>IF(Data!M679="","",IF(ISNUMBER(MATCH(Data!N679,Data_Val!$A$2:$A$3,0)),0,1))</f>
        <v/>
      </c>
      <c r="U679" s="11" t="str">
        <f ca="1">IF(Data!M679="","",IF(ISNUMBER(Data!O679),IF(AND(Data!O679&gt;(TODAY()-(Data_Val!$K$3*365.25)),Data!O679&lt;=(TODAY()-(Data_Val!$K$2*365.25))),0,1),1))</f>
        <v/>
      </c>
      <c r="V679" s="12" t="str">
        <f>IF(Data!G679="","",IF(Data!G679=Data_Val!$C$2,IF(Data!P679="",0,1),0))</f>
        <v/>
      </c>
      <c r="W679" s="12" t="str">
        <f>IF(Data!P679="","",IF(ISNUMBER(MATCH(Data!Q679,Data_Val!$A$2:$A$3,0)),0,1))</f>
        <v/>
      </c>
      <c r="X679" s="26" t="str">
        <f ca="1">IF(Data!P679="","",IF(ISNUMBER(Data!R679),IF(AND(Data!R679&gt;(TODAY()-(Data_Val!$L$3*365.25)),Data!R679&lt;=(TODAY()-(Data_Val!$L$2*365.25))),0,1),1))</f>
        <v/>
      </c>
      <c r="Y679" s="13" t="str">
        <f>IF(Data!$G679="","",IF(Data!$G679=Data_Val!$C$2,IF(Data!S679="",0,1),0))</f>
        <v/>
      </c>
      <c r="Z679" s="13" t="str">
        <f>IF(Data!S679="","",IF(ISNUMBER(MATCH(Data!T679,Data_Val!$A$2:$A$3,0)),0,1))</f>
        <v/>
      </c>
      <c r="AA679" s="28" t="str">
        <f ca="1">IF(Data!S679="","",IF(ISNUMBER(Data!U679),IF(AND(Data!U679&gt;(TODAY()-(Data_Val!$L$3*365.25)),Data!U679&lt;=(TODAY()-(Data_Val!$L$2*365.25))),0,1),1))</f>
        <v/>
      </c>
      <c r="AB679" s="11"/>
      <c r="AC679" s="11" t="e">
        <f>IF(Data!#REF!="","",IF(ISNUMBER(MATCH(Data!#REF!,Data_Val!$A$2:$A$3,0)),0,1))</f>
        <v>#REF!</v>
      </c>
      <c r="AD679" s="11" t="e">
        <f ca="1">IF(Data!#REF!="","",IF(ISNUMBER(Data!#REF!),IF(AND(Data!#REF!&gt;(TODAY()-(Data_Val!$L$3*365.25)),Data!#REF!&lt;=(TODAY()-(Data_Val!$L$2*365.25))),0,1),1))</f>
        <v>#REF!</v>
      </c>
      <c r="AE679" s="11" t="e">
        <f>IF(Data!#REF!="","",IF(Data!$G679="",1,IF(ISNUMBER(MATCH(Data!#REF!,Data_Val!$D$2:$D$10,0)),0,1)))</f>
        <v>#REF!</v>
      </c>
      <c r="AF679" s="12"/>
      <c r="AG679" s="12" t="e">
        <f>IF(Data!#REF!="","",IF(ISNUMBER(MATCH(Data!#REF!,Data_Val!$A$2:$A$3,0)),0,1))</f>
        <v>#REF!</v>
      </c>
      <c r="AH679" s="26" t="e">
        <f ca="1">IF(Data!#REF!="","",IF(ISNUMBER(Data!#REF!),IF(AND(Data!#REF!&gt;(TODAY()-(Data_Val!$L$3*365.25)),Data!#REF!&lt;=(TODAY()-(Data_Val!$L$2*365.25))),0,1),1))</f>
        <v>#REF!</v>
      </c>
      <c r="AI679" s="12" t="e">
        <f>IF(Data!#REF!="","",IF(Data!$G679="",1,IF(ISNUMBER(MATCH(Data!#REF!,Data_Val!$D$2:$D$10,0)),0,1)))</f>
        <v>#REF!</v>
      </c>
      <c r="AJ679" s="17"/>
      <c r="AK679" s="17" t="e">
        <f>IF(Data!#REF!="","",IF(ISNUMBER(MATCH(Data!#REF!,Data_Val!$A$2:$A$3,0)),0,1))</f>
        <v>#REF!</v>
      </c>
      <c r="AL679" s="25" t="e">
        <f ca="1">IF(Data!#REF!="","",IF(ISNUMBER(Data!#REF!),IF(AND(Data!#REF!&gt;(TODAY()-(Data_Val!$L$3*365.25)),Data!#REF!&lt;=(TODAY()-(Data_Val!$L$2*365.25))),0,1),1))</f>
        <v>#REF!</v>
      </c>
      <c r="AM679" s="17" t="e">
        <f>IF(Data!#REF!="","",IF(Data!$G679="",1,IF(ISNUMBER(MATCH(Data!#REF!,Data_Val!$D$2:$D$10,0)),0,1)))</f>
        <v>#REF!</v>
      </c>
      <c r="AN679" s="13"/>
      <c r="AO679" s="28" t="e">
        <f ca="1">IF(Data!#REF!="","",IF(ISNUMBER(Data!#REF!),IF(AND(Data!#REF!&gt;(TODAY()-(Data_Val!$I$3*365.25)),Data!#REF!&lt;=(TODAY()-(Data_Val!$I$2*365.25))),0,1),1))</f>
        <v>#REF!</v>
      </c>
      <c r="AP679" s="13" t="e">
        <f>IF(Data!#REF!="","",IF(Data!$G679="",1,IF(ISNUMBER(MATCH(Data!#REF!,Data_Val!$D$2:$D$10,0)),0,1)))</f>
        <v>#REF!</v>
      </c>
      <c r="AQ679" s="17"/>
      <c r="AR679" s="30" t="e">
        <f ca="1">IF(Data!#REF!="","",IF(ISNUMBER(Data!#REF!),IF(AND(Data!#REF!&gt;(TODAY()-(Data_Val!$I$3*365.25)),Data!#REF!&lt;=(TODAY()-(Data_Val!$I$2*365.25))),0,1),1))</f>
        <v>#REF!</v>
      </c>
      <c r="AS679" s="31" t="e">
        <f>IF(Data!#REF!="","",IF(Data!$G679="",1,IF(ISNUMBER(MATCH(Data!#REF!,Data_Val!$D$2:$D$10,0)),0,1)))</f>
        <v>#REF!</v>
      </c>
      <c r="AT679" s="11"/>
      <c r="AU679" s="11" t="e">
        <f ca="1">IF(Data!#REF!="","",IF(ISNUMBER(Data!#REF!),IF(AND(Data!#REF!&gt;(TODAY()-(Data_Val!$I$3*365.25)),Data!#REF!&lt;=(TODAY()-(Data_Val!$I$2*365.25))),0,1),1))</f>
        <v>#REF!</v>
      </c>
      <c r="AV679" s="11" t="e">
        <f>IF(Data!#REF!="","",IF(Data!$G679="",1,IF(ISNUMBER(MATCH(Data!#REF!,Data_Val!$D$2:$D$10,0)),0,1)))</f>
        <v>#REF!</v>
      </c>
      <c r="AW679" s="12"/>
      <c r="AX679" s="26" t="e">
        <f ca="1">IF(Data!#REF!="","",IF(ISNUMBER(Data!#REF!),IF(AND(Data!#REF!&gt;(TODAY()-(Data_Val!$I$3*365.25)),Data!#REF!&lt;=(TODAY()-(Data_Val!$I$2*365.25))),0,1),1))</f>
        <v>#REF!</v>
      </c>
      <c r="AY679" s="12" t="e">
        <f>IF(Data!#REF!="","",IF(Data!$G679="",1,IF(ISNUMBER(MATCH(Data!#REF!,Data_Val!$D$2:$D$10,0)),0,1)))</f>
        <v>#REF!</v>
      </c>
      <c r="AZ679" s="11"/>
      <c r="BA679" s="19" t="e">
        <f ca="1">IF(Data!#REF!="","",IF(ISNUMBER(Data!#REF!),IF(AND(Data!#REF!&gt;(TODAY()-(Data_Val!$M$3*365.25)),Data!#REF!&lt;=(TODAY()-(Data_Val!$M$2*365.25))),0,1),1))</f>
        <v>#REF!</v>
      </c>
      <c r="BB679" s="11" t="e">
        <f>IF(Data!#REF!="","",IF(Data!$G679="",1,IF(ISNUMBER(MATCH(Data!#REF!,Data_Val!$D$2:$D$10,0)),0,1)))</f>
        <v>#REF!</v>
      </c>
      <c r="BC679" s="12"/>
      <c r="BD679" s="20" t="e">
        <f ca="1">IF(Data!#REF!="","",IF(ISNUMBER(Data!#REF!),IF(AND(Data!#REF!&gt;(TODAY()-(Data_Val!$M$3*365.25)),Data!#REF!&lt;=(TODAY()-(Data_Val!$M$2*365.25))),0,1),1))</f>
        <v>#REF!</v>
      </c>
      <c r="BE679" s="12" t="e">
        <f>IF(Data!#REF!="","",IF(Data!$G679="",1,IF(ISNUMBER(MATCH(Data!#REF!,Data_Val!$D$2:$D$10,0)),0,1)))</f>
        <v>#REF!</v>
      </c>
      <c r="BF679" s="17"/>
      <c r="BG679" s="18" t="e">
        <f ca="1">IF(Data!#REF!="","",IF(ISNUMBER(Data!#REF!),IF(AND(Data!#REF!&gt;(TODAY()-(Data_Val!$M$3*365.25)),Data!#REF!&lt;=(TODAY()-(Data_Val!$M$2*365.25))),0,1),1))</f>
        <v>#REF!</v>
      </c>
      <c r="BH679" s="29" t="e">
        <f>IF(Data!#REF!="","",IF(Data!$G679="",1,IF(ISNUMBER(MATCH(Data!#REF!,Data_Val!$D$2:$D$10,0)),0,1)))</f>
        <v>#REF!</v>
      </c>
      <c r="BI679" s="13"/>
      <c r="BJ679" s="21" t="e">
        <f ca="1">IF(Data!#REF!="","",IF(ISNUMBER(Data!#REF!),IF(AND(Data!#REF!&gt;(TODAY()-(Data_Val!$M$3*365.25)),Data!#REF!&lt;=(TODAY()-(Data_Val!$M$2*365.25))),0,1),1))</f>
        <v>#REF!</v>
      </c>
      <c r="BK679" s="13" t="e">
        <f>IF(Data!#REF!="","",IF(Data!$G679="",1,IF(ISNUMBER(MATCH(Data!#REF!,Data_Val!$D$2:$D$10,0)),0,1)))</f>
        <v>#REF!</v>
      </c>
    </row>
    <row r="680" spans="1:63" x14ac:dyDescent="0.25">
      <c r="A680" s="9" t="str">
        <f>IF(Data!B680="","",IF(COUNTIFS(Data!A$1:'Data'!A680,Data!A680)&lt;=1,0,1))</f>
        <v/>
      </c>
      <c r="B680" s="9"/>
      <c r="C680" s="23" t="str">
        <f>IF(Data!C680="","",(IF(ISNUMBER(MATCH("*@*.?*",Data!C680,0)),0,1)+IF(COUNTIFS(Data!C$1:'Data'!C680,Data!C680)&gt;1,1,0)))</f>
        <v/>
      </c>
      <c r="D680" s="9" t="str">
        <f>IF(Data!B680="","",IF(ISNUMBER(Data!D680),IF(AND(Data!D680&gt;999999999,Data!D680&lt;=9999999999),IF(COUNTIFS(Data!D$1:'Data'!D680,Data!D680)&lt;=1,0,1),1),1))</f>
        <v/>
      </c>
      <c r="E680" s="9" t="str">
        <f>IF(Data!B680="","",IF(ISNUMBER(MATCH(Data!E680,Data_Val!$A$2:$A$3,0)),0,1))</f>
        <v/>
      </c>
      <c r="F680" s="9" t="str">
        <f ca="1">IF(Data!B680="","",IF(ISNUMBER(Data!F680),IF(AND(Data!F680&gt;(TODAY()-(Data_Val!$H$3*365.25)),Data!F680&lt;=(TODAY()-(Data_Val!$H$2*365.25))),0,1),1))</f>
        <v/>
      </c>
      <c r="G680" s="15" t="str">
        <f>IF(Data!B680="","",IF(AND(Data!G680="",Data!H680&lt;&gt;""),1,IF(Data!#REF!&lt;&gt;"",0,IF(ISNUMBER(MATCH(Data!G680,Data_Val!$C$2:$C$5,0)),0,1))))</f>
        <v/>
      </c>
      <c r="H680" s="15" t="str">
        <f>IF(Data!B680="","",IF(AND(Data!G680&lt;&gt;"",Data!H680=""),1,IF(Data!#REF!&lt;&gt;"",0,IF(Data!G680="",1,IF(ISNUMBER(MATCH(Data!H680,Data_Val!$D$2:$D$35,0)),0,1)))))</f>
        <v/>
      </c>
      <c r="I680" s="15" t="str">
        <f>IF(Data!B680="","",IF(Data!G680&lt;&gt;"",0,IF(ISNUMBER(MATCH(Data!#REF!,Data_Val!$E$2:$E$12,0)),0,1)))</f>
        <v/>
      </c>
      <c r="J680" s="16" t="e">
        <f>IF(OR(Data!B680="",Data!#REF!=""),"",IF(Data!#REF!="",1,0))</f>
        <v>#REF!</v>
      </c>
      <c r="K680" s="16" t="e">
        <f>IF(OR(Data!B680="",Data!#REF!=""),"",IF(Data!#REF!="",1,0))</f>
        <v>#REF!</v>
      </c>
      <c r="L680" s="16" t="e">
        <f>IF(OR(Data!B680="",Data!#REF!=""),"",IF(ISNUMBER(Data!#REF!),IF(AND(Data!#REF!&gt;Data_Val!$G$2,Data!#REF!&lt;=Data_Val!$G$3),0,1),1))</f>
        <v>#REF!</v>
      </c>
      <c r="M680" s="9" t="e">
        <f>IF(OR(Data!B680="",Data!#REF!=""),"",IF(ISNUMBER(MATCH(Data!#REF!,Data_Val!$F$1:$F$38,0)),0,1))</f>
        <v>#REF!</v>
      </c>
      <c r="N680" s="9" t="e">
        <f>IF(OR(Data!B680="",Data!#REF!=""),"",IF(Data!#REF!="",1,0))</f>
        <v>#REF!</v>
      </c>
      <c r="O680" s="17" t="e">
        <f>IF(Data!#REF!="","",IF(Data!#REF!="",1,0))</f>
        <v>#REF!</v>
      </c>
      <c r="P680" s="17" t="e">
        <f>IF(Data!#REF!="","",IF(ISNUMBER(MATCH(Data!#REF!,Data_Val!$A$2:$A$3,0)),0,1))</f>
        <v>#REF!</v>
      </c>
      <c r="Q680" s="25" t="e">
        <f ca="1">IF(Data!#REF!="","",IF(ISNUMBER(Data!#REF!),IF(AND(Data!#REF!&gt;(TODAY()-(Data_Val!$J$3*365.25)),Data!#REF!&lt;=(TODAY()-(Data_Val!$J$2*365.25))),0,1),1))</f>
        <v>#REF!</v>
      </c>
      <c r="R680" s="17" t="e">
        <f>IF(Data!#REF!="","",IF(ISNUMBER(MATCH(Data!#REF!,Data_Val!$B$2:$B$15,0)),0,1))</f>
        <v>#REF!</v>
      </c>
      <c r="S680" s="11" t="str">
        <f>IF(Data!G680="","",IF(Data!G680=Data_Val!$C$2,IF(Data!M680="",0,1),0))</f>
        <v/>
      </c>
      <c r="T680" s="11" t="str">
        <f>IF(Data!M680="","",IF(ISNUMBER(MATCH(Data!N680,Data_Val!$A$2:$A$3,0)),0,1))</f>
        <v/>
      </c>
      <c r="U680" s="11" t="str">
        <f ca="1">IF(Data!M680="","",IF(ISNUMBER(Data!O680),IF(AND(Data!O680&gt;(TODAY()-(Data_Val!$K$3*365.25)),Data!O680&lt;=(TODAY()-(Data_Val!$K$2*365.25))),0,1),1))</f>
        <v/>
      </c>
      <c r="V680" s="12" t="str">
        <f>IF(Data!G680="","",IF(Data!G680=Data_Val!$C$2,IF(Data!P680="",0,1),0))</f>
        <v/>
      </c>
      <c r="W680" s="12" t="str">
        <f>IF(Data!P680="","",IF(ISNUMBER(MATCH(Data!Q680,Data_Val!$A$2:$A$3,0)),0,1))</f>
        <v/>
      </c>
      <c r="X680" s="26" t="str">
        <f ca="1">IF(Data!P680="","",IF(ISNUMBER(Data!R680),IF(AND(Data!R680&gt;(TODAY()-(Data_Val!$L$3*365.25)),Data!R680&lt;=(TODAY()-(Data_Val!$L$2*365.25))),0,1),1))</f>
        <v/>
      </c>
      <c r="Y680" s="13" t="str">
        <f>IF(Data!$G680="","",IF(Data!$G680=Data_Val!$C$2,IF(Data!S680="",0,1),0))</f>
        <v/>
      </c>
      <c r="Z680" s="13" t="str">
        <f>IF(Data!S680="","",IF(ISNUMBER(MATCH(Data!T680,Data_Val!$A$2:$A$3,0)),0,1))</f>
        <v/>
      </c>
      <c r="AA680" s="28" t="str">
        <f ca="1">IF(Data!S680="","",IF(ISNUMBER(Data!U680),IF(AND(Data!U680&gt;(TODAY()-(Data_Val!$L$3*365.25)),Data!U680&lt;=(TODAY()-(Data_Val!$L$2*365.25))),0,1),1))</f>
        <v/>
      </c>
      <c r="AB680" s="11"/>
      <c r="AC680" s="11" t="e">
        <f>IF(Data!#REF!="","",IF(ISNUMBER(MATCH(Data!#REF!,Data_Val!$A$2:$A$3,0)),0,1))</f>
        <v>#REF!</v>
      </c>
      <c r="AD680" s="11" t="e">
        <f ca="1">IF(Data!#REF!="","",IF(ISNUMBER(Data!#REF!),IF(AND(Data!#REF!&gt;(TODAY()-(Data_Val!$L$3*365.25)),Data!#REF!&lt;=(TODAY()-(Data_Val!$L$2*365.25))),0,1),1))</f>
        <v>#REF!</v>
      </c>
      <c r="AE680" s="11" t="e">
        <f>IF(Data!#REF!="","",IF(Data!$G680="",1,IF(ISNUMBER(MATCH(Data!#REF!,Data_Val!$D$2:$D$10,0)),0,1)))</f>
        <v>#REF!</v>
      </c>
      <c r="AF680" s="12"/>
      <c r="AG680" s="12" t="e">
        <f>IF(Data!#REF!="","",IF(ISNUMBER(MATCH(Data!#REF!,Data_Val!$A$2:$A$3,0)),0,1))</f>
        <v>#REF!</v>
      </c>
      <c r="AH680" s="26" t="e">
        <f ca="1">IF(Data!#REF!="","",IF(ISNUMBER(Data!#REF!),IF(AND(Data!#REF!&gt;(TODAY()-(Data_Val!$L$3*365.25)),Data!#REF!&lt;=(TODAY()-(Data_Val!$L$2*365.25))),0,1),1))</f>
        <v>#REF!</v>
      </c>
      <c r="AI680" s="12" t="e">
        <f>IF(Data!#REF!="","",IF(Data!$G680="",1,IF(ISNUMBER(MATCH(Data!#REF!,Data_Val!$D$2:$D$10,0)),0,1)))</f>
        <v>#REF!</v>
      </c>
      <c r="AJ680" s="17"/>
      <c r="AK680" s="17" t="e">
        <f>IF(Data!#REF!="","",IF(ISNUMBER(MATCH(Data!#REF!,Data_Val!$A$2:$A$3,0)),0,1))</f>
        <v>#REF!</v>
      </c>
      <c r="AL680" s="25" t="e">
        <f ca="1">IF(Data!#REF!="","",IF(ISNUMBER(Data!#REF!),IF(AND(Data!#REF!&gt;(TODAY()-(Data_Val!$L$3*365.25)),Data!#REF!&lt;=(TODAY()-(Data_Val!$L$2*365.25))),0,1),1))</f>
        <v>#REF!</v>
      </c>
      <c r="AM680" s="17" t="e">
        <f>IF(Data!#REF!="","",IF(Data!$G680="",1,IF(ISNUMBER(MATCH(Data!#REF!,Data_Val!$D$2:$D$10,0)),0,1)))</f>
        <v>#REF!</v>
      </c>
      <c r="AN680" s="13"/>
      <c r="AO680" s="28" t="e">
        <f ca="1">IF(Data!#REF!="","",IF(ISNUMBER(Data!#REF!),IF(AND(Data!#REF!&gt;(TODAY()-(Data_Val!$I$3*365.25)),Data!#REF!&lt;=(TODAY()-(Data_Val!$I$2*365.25))),0,1),1))</f>
        <v>#REF!</v>
      </c>
      <c r="AP680" s="13" t="e">
        <f>IF(Data!#REF!="","",IF(Data!$G680="",1,IF(ISNUMBER(MATCH(Data!#REF!,Data_Val!$D$2:$D$10,0)),0,1)))</f>
        <v>#REF!</v>
      </c>
      <c r="AQ680" s="17"/>
      <c r="AR680" s="30" t="e">
        <f ca="1">IF(Data!#REF!="","",IF(ISNUMBER(Data!#REF!),IF(AND(Data!#REF!&gt;(TODAY()-(Data_Val!$I$3*365.25)),Data!#REF!&lt;=(TODAY()-(Data_Val!$I$2*365.25))),0,1),1))</f>
        <v>#REF!</v>
      </c>
      <c r="AS680" s="31" t="e">
        <f>IF(Data!#REF!="","",IF(Data!$G680="",1,IF(ISNUMBER(MATCH(Data!#REF!,Data_Val!$D$2:$D$10,0)),0,1)))</f>
        <v>#REF!</v>
      </c>
      <c r="AT680" s="11"/>
      <c r="AU680" s="11" t="e">
        <f ca="1">IF(Data!#REF!="","",IF(ISNUMBER(Data!#REF!),IF(AND(Data!#REF!&gt;(TODAY()-(Data_Val!$I$3*365.25)),Data!#REF!&lt;=(TODAY()-(Data_Val!$I$2*365.25))),0,1),1))</f>
        <v>#REF!</v>
      </c>
      <c r="AV680" s="11" t="e">
        <f>IF(Data!#REF!="","",IF(Data!$G680="",1,IF(ISNUMBER(MATCH(Data!#REF!,Data_Val!$D$2:$D$10,0)),0,1)))</f>
        <v>#REF!</v>
      </c>
      <c r="AW680" s="12"/>
      <c r="AX680" s="26" t="e">
        <f ca="1">IF(Data!#REF!="","",IF(ISNUMBER(Data!#REF!),IF(AND(Data!#REF!&gt;(TODAY()-(Data_Val!$I$3*365.25)),Data!#REF!&lt;=(TODAY()-(Data_Val!$I$2*365.25))),0,1),1))</f>
        <v>#REF!</v>
      </c>
      <c r="AY680" s="12" t="e">
        <f>IF(Data!#REF!="","",IF(Data!$G680="",1,IF(ISNUMBER(MATCH(Data!#REF!,Data_Val!$D$2:$D$10,0)),0,1)))</f>
        <v>#REF!</v>
      </c>
      <c r="AZ680" s="11"/>
      <c r="BA680" s="19" t="e">
        <f ca="1">IF(Data!#REF!="","",IF(ISNUMBER(Data!#REF!),IF(AND(Data!#REF!&gt;(TODAY()-(Data_Val!$M$3*365.25)),Data!#REF!&lt;=(TODAY()-(Data_Val!$M$2*365.25))),0,1),1))</f>
        <v>#REF!</v>
      </c>
      <c r="BB680" s="11" t="e">
        <f>IF(Data!#REF!="","",IF(Data!$G680="",1,IF(ISNUMBER(MATCH(Data!#REF!,Data_Val!$D$2:$D$10,0)),0,1)))</f>
        <v>#REF!</v>
      </c>
      <c r="BC680" s="12"/>
      <c r="BD680" s="20" t="e">
        <f ca="1">IF(Data!#REF!="","",IF(ISNUMBER(Data!#REF!),IF(AND(Data!#REF!&gt;(TODAY()-(Data_Val!$M$3*365.25)),Data!#REF!&lt;=(TODAY()-(Data_Val!$M$2*365.25))),0,1),1))</f>
        <v>#REF!</v>
      </c>
      <c r="BE680" s="12" t="e">
        <f>IF(Data!#REF!="","",IF(Data!$G680="",1,IF(ISNUMBER(MATCH(Data!#REF!,Data_Val!$D$2:$D$10,0)),0,1)))</f>
        <v>#REF!</v>
      </c>
      <c r="BF680" s="17"/>
      <c r="BG680" s="18" t="e">
        <f ca="1">IF(Data!#REF!="","",IF(ISNUMBER(Data!#REF!),IF(AND(Data!#REF!&gt;(TODAY()-(Data_Val!$M$3*365.25)),Data!#REF!&lt;=(TODAY()-(Data_Val!$M$2*365.25))),0,1),1))</f>
        <v>#REF!</v>
      </c>
      <c r="BH680" s="29" t="e">
        <f>IF(Data!#REF!="","",IF(Data!$G680="",1,IF(ISNUMBER(MATCH(Data!#REF!,Data_Val!$D$2:$D$10,0)),0,1)))</f>
        <v>#REF!</v>
      </c>
      <c r="BI680" s="13"/>
      <c r="BJ680" s="21" t="e">
        <f ca="1">IF(Data!#REF!="","",IF(ISNUMBER(Data!#REF!),IF(AND(Data!#REF!&gt;(TODAY()-(Data_Val!$M$3*365.25)),Data!#REF!&lt;=(TODAY()-(Data_Val!$M$2*365.25))),0,1),1))</f>
        <v>#REF!</v>
      </c>
      <c r="BK680" s="13" t="e">
        <f>IF(Data!#REF!="","",IF(Data!$G680="",1,IF(ISNUMBER(MATCH(Data!#REF!,Data_Val!$D$2:$D$10,0)),0,1)))</f>
        <v>#REF!</v>
      </c>
    </row>
    <row r="681" spans="1:63" x14ac:dyDescent="0.25">
      <c r="A681" s="9" t="str">
        <f>IF(Data!B681="","",IF(COUNTIFS(Data!A$1:'Data'!A681,Data!A681)&lt;=1,0,1))</f>
        <v/>
      </c>
      <c r="B681" s="9"/>
      <c r="C681" s="23" t="str">
        <f>IF(Data!C681="","",(IF(ISNUMBER(MATCH("*@*.?*",Data!C681,0)),0,1)+IF(COUNTIFS(Data!C$1:'Data'!C681,Data!C681)&gt;1,1,0)))</f>
        <v/>
      </c>
      <c r="D681" s="9" t="str">
        <f>IF(Data!B681="","",IF(ISNUMBER(Data!D681),IF(AND(Data!D681&gt;999999999,Data!D681&lt;=9999999999),IF(COUNTIFS(Data!D$1:'Data'!D681,Data!D681)&lt;=1,0,1),1),1))</f>
        <v/>
      </c>
      <c r="E681" s="9" t="str">
        <f>IF(Data!B681="","",IF(ISNUMBER(MATCH(Data!E681,Data_Val!$A$2:$A$3,0)),0,1))</f>
        <v/>
      </c>
      <c r="F681" s="9" t="str">
        <f ca="1">IF(Data!B681="","",IF(ISNUMBER(Data!F681),IF(AND(Data!F681&gt;(TODAY()-(Data_Val!$H$3*365.25)),Data!F681&lt;=(TODAY()-(Data_Val!$H$2*365.25))),0,1),1))</f>
        <v/>
      </c>
      <c r="G681" s="15" t="str">
        <f>IF(Data!B681="","",IF(AND(Data!G681="",Data!H681&lt;&gt;""),1,IF(Data!#REF!&lt;&gt;"",0,IF(ISNUMBER(MATCH(Data!G681,Data_Val!$C$2:$C$5,0)),0,1))))</f>
        <v/>
      </c>
      <c r="H681" s="15" t="str">
        <f>IF(Data!B681="","",IF(AND(Data!G681&lt;&gt;"",Data!H681=""),1,IF(Data!#REF!&lt;&gt;"",0,IF(Data!G681="",1,IF(ISNUMBER(MATCH(Data!H681,Data_Val!$D$2:$D$35,0)),0,1)))))</f>
        <v/>
      </c>
      <c r="I681" s="15" t="str">
        <f>IF(Data!B681="","",IF(Data!G681&lt;&gt;"",0,IF(ISNUMBER(MATCH(Data!#REF!,Data_Val!$E$2:$E$12,0)),0,1)))</f>
        <v/>
      </c>
      <c r="J681" s="16" t="e">
        <f>IF(OR(Data!B681="",Data!#REF!=""),"",IF(Data!#REF!="",1,0))</f>
        <v>#REF!</v>
      </c>
      <c r="K681" s="16" t="e">
        <f>IF(OR(Data!B681="",Data!#REF!=""),"",IF(Data!#REF!="",1,0))</f>
        <v>#REF!</v>
      </c>
      <c r="L681" s="16" t="e">
        <f>IF(OR(Data!B681="",Data!#REF!=""),"",IF(ISNUMBER(Data!#REF!),IF(AND(Data!#REF!&gt;Data_Val!$G$2,Data!#REF!&lt;=Data_Val!$G$3),0,1),1))</f>
        <v>#REF!</v>
      </c>
      <c r="M681" s="9" t="e">
        <f>IF(OR(Data!B681="",Data!#REF!=""),"",IF(ISNUMBER(MATCH(Data!#REF!,Data_Val!$F$1:$F$38,0)),0,1))</f>
        <v>#REF!</v>
      </c>
      <c r="N681" s="9" t="e">
        <f>IF(OR(Data!B681="",Data!#REF!=""),"",IF(Data!#REF!="",1,0))</f>
        <v>#REF!</v>
      </c>
      <c r="O681" s="17" t="e">
        <f>IF(Data!#REF!="","",IF(Data!#REF!="",1,0))</f>
        <v>#REF!</v>
      </c>
      <c r="P681" s="17" t="e">
        <f>IF(Data!#REF!="","",IF(ISNUMBER(MATCH(Data!#REF!,Data_Val!$A$2:$A$3,0)),0,1))</f>
        <v>#REF!</v>
      </c>
      <c r="Q681" s="25" t="e">
        <f ca="1">IF(Data!#REF!="","",IF(ISNUMBER(Data!#REF!),IF(AND(Data!#REF!&gt;(TODAY()-(Data_Val!$J$3*365.25)),Data!#REF!&lt;=(TODAY()-(Data_Val!$J$2*365.25))),0,1),1))</f>
        <v>#REF!</v>
      </c>
      <c r="R681" s="17" t="e">
        <f>IF(Data!#REF!="","",IF(ISNUMBER(MATCH(Data!#REF!,Data_Val!$B$2:$B$15,0)),0,1))</f>
        <v>#REF!</v>
      </c>
      <c r="S681" s="11" t="str">
        <f>IF(Data!G681="","",IF(Data!G681=Data_Val!$C$2,IF(Data!M681="",0,1),0))</f>
        <v/>
      </c>
      <c r="T681" s="11" t="str">
        <f>IF(Data!M681="","",IF(ISNUMBER(MATCH(Data!N681,Data_Val!$A$2:$A$3,0)),0,1))</f>
        <v/>
      </c>
      <c r="U681" s="11" t="str">
        <f ca="1">IF(Data!M681="","",IF(ISNUMBER(Data!O681),IF(AND(Data!O681&gt;(TODAY()-(Data_Val!$K$3*365.25)),Data!O681&lt;=(TODAY()-(Data_Val!$K$2*365.25))),0,1),1))</f>
        <v/>
      </c>
      <c r="V681" s="12" t="str">
        <f>IF(Data!G681="","",IF(Data!G681=Data_Val!$C$2,IF(Data!P681="",0,1),0))</f>
        <v/>
      </c>
      <c r="W681" s="12" t="str">
        <f>IF(Data!P681="","",IF(ISNUMBER(MATCH(Data!Q681,Data_Val!$A$2:$A$3,0)),0,1))</f>
        <v/>
      </c>
      <c r="X681" s="26" t="str">
        <f ca="1">IF(Data!P681="","",IF(ISNUMBER(Data!R681),IF(AND(Data!R681&gt;(TODAY()-(Data_Val!$L$3*365.25)),Data!R681&lt;=(TODAY()-(Data_Val!$L$2*365.25))),0,1),1))</f>
        <v/>
      </c>
      <c r="Y681" s="13" t="str">
        <f>IF(Data!$G681="","",IF(Data!$G681=Data_Val!$C$2,IF(Data!S681="",0,1),0))</f>
        <v/>
      </c>
      <c r="Z681" s="13" t="str">
        <f>IF(Data!S681="","",IF(ISNUMBER(MATCH(Data!T681,Data_Val!$A$2:$A$3,0)),0,1))</f>
        <v/>
      </c>
      <c r="AA681" s="28" t="str">
        <f ca="1">IF(Data!S681="","",IF(ISNUMBER(Data!U681),IF(AND(Data!U681&gt;(TODAY()-(Data_Val!$L$3*365.25)),Data!U681&lt;=(TODAY()-(Data_Val!$L$2*365.25))),0,1),1))</f>
        <v/>
      </c>
      <c r="AB681" s="11"/>
      <c r="AC681" s="11" t="e">
        <f>IF(Data!#REF!="","",IF(ISNUMBER(MATCH(Data!#REF!,Data_Val!$A$2:$A$3,0)),0,1))</f>
        <v>#REF!</v>
      </c>
      <c r="AD681" s="11" t="e">
        <f ca="1">IF(Data!#REF!="","",IF(ISNUMBER(Data!#REF!),IF(AND(Data!#REF!&gt;(TODAY()-(Data_Val!$L$3*365.25)),Data!#REF!&lt;=(TODAY()-(Data_Val!$L$2*365.25))),0,1),1))</f>
        <v>#REF!</v>
      </c>
      <c r="AE681" s="11" t="e">
        <f>IF(Data!#REF!="","",IF(Data!$G681="",1,IF(ISNUMBER(MATCH(Data!#REF!,Data_Val!$D$2:$D$10,0)),0,1)))</f>
        <v>#REF!</v>
      </c>
      <c r="AF681" s="12"/>
      <c r="AG681" s="12" t="e">
        <f>IF(Data!#REF!="","",IF(ISNUMBER(MATCH(Data!#REF!,Data_Val!$A$2:$A$3,0)),0,1))</f>
        <v>#REF!</v>
      </c>
      <c r="AH681" s="26" t="e">
        <f ca="1">IF(Data!#REF!="","",IF(ISNUMBER(Data!#REF!),IF(AND(Data!#REF!&gt;(TODAY()-(Data_Val!$L$3*365.25)),Data!#REF!&lt;=(TODAY()-(Data_Val!$L$2*365.25))),0,1),1))</f>
        <v>#REF!</v>
      </c>
      <c r="AI681" s="12" t="e">
        <f>IF(Data!#REF!="","",IF(Data!$G681="",1,IF(ISNUMBER(MATCH(Data!#REF!,Data_Val!$D$2:$D$10,0)),0,1)))</f>
        <v>#REF!</v>
      </c>
      <c r="AJ681" s="17"/>
      <c r="AK681" s="17" t="e">
        <f>IF(Data!#REF!="","",IF(ISNUMBER(MATCH(Data!#REF!,Data_Val!$A$2:$A$3,0)),0,1))</f>
        <v>#REF!</v>
      </c>
      <c r="AL681" s="25" t="e">
        <f ca="1">IF(Data!#REF!="","",IF(ISNUMBER(Data!#REF!),IF(AND(Data!#REF!&gt;(TODAY()-(Data_Val!$L$3*365.25)),Data!#REF!&lt;=(TODAY()-(Data_Val!$L$2*365.25))),0,1),1))</f>
        <v>#REF!</v>
      </c>
      <c r="AM681" s="17" t="e">
        <f>IF(Data!#REF!="","",IF(Data!$G681="",1,IF(ISNUMBER(MATCH(Data!#REF!,Data_Val!$D$2:$D$10,0)),0,1)))</f>
        <v>#REF!</v>
      </c>
      <c r="AN681" s="13"/>
      <c r="AO681" s="28" t="e">
        <f ca="1">IF(Data!#REF!="","",IF(ISNUMBER(Data!#REF!),IF(AND(Data!#REF!&gt;(TODAY()-(Data_Val!$I$3*365.25)),Data!#REF!&lt;=(TODAY()-(Data_Val!$I$2*365.25))),0,1),1))</f>
        <v>#REF!</v>
      </c>
      <c r="AP681" s="13" t="e">
        <f>IF(Data!#REF!="","",IF(Data!$G681="",1,IF(ISNUMBER(MATCH(Data!#REF!,Data_Val!$D$2:$D$10,0)),0,1)))</f>
        <v>#REF!</v>
      </c>
      <c r="AQ681" s="17"/>
      <c r="AR681" s="30" t="e">
        <f ca="1">IF(Data!#REF!="","",IF(ISNUMBER(Data!#REF!),IF(AND(Data!#REF!&gt;(TODAY()-(Data_Val!$I$3*365.25)),Data!#REF!&lt;=(TODAY()-(Data_Val!$I$2*365.25))),0,1),1))</f>
        <v>#REF!</v>
      </c>
      <c r="AS681" s="31" t="e">
        <f>IF(Data!#REF!="","",IF(Data!$G681="",1,IF(ISNUMBER(MATCH(Data!#REF!,Data_Val!$D$2:$D$10,0)),0,1)))</f>
        <v>#REF!</v>
      </c>
      <c r="AT681" s="11"/>
      <c r="AU681" s="11" t="e">
        <f ca="1">IF(Data!#REF!="","",IF(ISNUMBER(Data!#REF!),IF(AND(Data!#REF!&gt;(TODAY()-(Data_Val!$I$3*365.25)),Data!#REF!&lt;=(TODAY()-(Data_Val!$I$2*365.25))),0,1),1))</f>
        <v>#REF!</v>
      </c>
      <c r="AV681" s="11" t="e">
        <f>IF(Data!#REF!="","",IF(Data!$G681="",1,IF(ISNUMBER(MATCH(Data!#REF!,Data_Val!$D$2:$D$10,0)),0,1)))</f>
        <v>#REF!</v>
      </c>
      <c r="AW681" s="12"/>
      <c r="AX681" s="26" t="e">
        <f ca="1">IF(Data!#REF!="","",IF(ISNUMBER(Data!#REF!),IF(AND(Data!#REF!&gt;(TODAY()-(Data_Val!$I$3*365.25)),Data!#REF!&lt;=(TODAY()-(Data_Val!$I$2*365.25))),0,1),1))</f>
        <v>#REF!</v>
      </c>
      <c r="AY681" s="12" t="e">
        <f>IF(Data!#REF!="","",IF(Data!$G681="",1,IF(ISNUMBER(MATCH(Data!#REF!,Data_Val!$D$2:$D$10,0)),0,1)))</f>
        <v>#REF!</v>
      </c>
      <c r="AZ681" s="11"/>
      <c r="BA681" s="19" t="e">
        <f ca="1">IF(Data!#REF!="","",IF(ISNUMBER(Data!#REF!),IF(AND(Data!#REF!&gt;(TODAY()-(Data_Val!$M$3*365.25)),Data!#REF!&lt;=(TODAY()-(Data_Val!$M$2*365.25))),0,1),1))</f>
        <v>#REF!</v>
      </c>
      <c r="BB681" s="11" t="e">
        <f>IF(Data!#REF!="","",IF(Data!$G681="",1,IF(ISNUMBER(MATCH(Data!#REF!,Data_Val!$D$2:$D$10,0)),0,1)))</f>
        <v>#REF!</v>
      </c>
      <c r="BC681" s="12"/>
      <c r="BD681" s="20" t="e">
        <f ca="1">IF(Data!#REF!="","",IF(ISNUMBER(Data!#REF!),IF(AND(Data!#REF!&gt;(TODAY()-(Data_Val!$M$3*365.25)),Data!#REF!&lt;=(TODAY()-(Data_Val!$M$2*365.25))),0,1),1))</f>
        <v>#REF!</v>
      </c>
      <c r="BE681" s="12" t="e">
        <f>IF(Data!#REF!="","",IF(Data!$G681="",1,IF(ISNUMBER(MATCH(Data!#REF!,Data_Val!$D$2:$D$10,0)),0,1)))</f>
        <v>#REF!</v>
      </c>
      <c r="BF681" s="17"/>
      <c r="BG681" s="18" t="e">
        <f ca="1">IF(Data!#REF!="","",IF(ISNUMBER(Data!#REF!),IF(AND(Data!#REF!&gt;(TODAY()-(Data_Val!$M$3*365.25)),Data!#REF!&lt;=(TODAY()-(Data_Val!$M$2*365.25))),0,1),1))</f>
        <v>#REF!</v>
      </c>
      <c r="BH681" s="29" t="e">
        <f>IF(Data!#REF!="","",IF(Data!$G681="",1,IF(ISNUMBER(MATCH(Data!#REF!,Data_Val!$D$2:$D$10,0)),0,1)))</f>
        <v>#REF!</v>
      </c>
      <c r="BI681" s="13"/>
      <c r="BJ681" s="21" t="e">
        <f ca="1">IF(Data!#REF!="","",IF(ISNUMBER(Data!#REF!),IF(AND(Data!#REF!&gt;(TODAY()-(Data_Val!$M$3*365.25)),Data!#REF!&lt;=(TODAY()-(Data_Val!$M$2*365.25))),0,1),1))</f>
        <v>#REF!</v>
      </c>
      <c r="BK681" s="13" t="e">
        <f>IF(Data!#REF!="","",IF(Data!$G681="",1,IF(ISNUMBER(MATCH(Data!#REF!,Data_Val!$D$2:$D$10,0)),0,1)))</f>
        <v>#REF!</v>
      </c>
    </row>
    <row r="682" spans="1:63" x14ac:dyDescent="0.25">
      <c r="A682" s="9" t="str">
        <f>IF(Data!B682="","",IF(COUNTIFS(Data!A$1:'Data'!A682,Data!A682)&lt;=1,0,1))</f>
        <v/>
      </c>
      <c r="B682" s="9"/>
      <c r="C682" s="23" t="str">
        <f>IF(Data!C682="","",(IF(ISNUMBER(MATCH("*@*.?*",Data!C682,0)),0,1)+IF(COUNTIFS(Data!C$1:'Data'!C682,Data!C682)&gt;1,1,0)))</f>
        <v/>
      </c>
      <c r="D682" s="9" t="str">
        <f>IF(Data!B682="","",IF(ISNUMBER(Data!D682),IF(AND(Data!D682&gt;999999999,Data!D682&lt;=9999999999),IF(COUNTIFS(Data!D$1:'Data'!D682,Data!D682)&lt;=1,0,1),1),1))</f>
        <v/>
      </c>
      <c r="E682" s="9" t="str">
        <f>IF(Data!B682="","",IF(ISNUMBER(MATCH(Data!E682,Data_Val!$A$2:$A$3,0)),0,1))</f>
        <v/>
      </c>
      <c r="F682" s="9" t="str">
        <f ca="1">IF(Data!B682="","",IF(ISNUMBER(Data!F682),IF(AND(Data!F682&gt;(TODAY()-(Data_Val!$H$3*365.25)),Data!F682&lt;=(TODAY()-(Data_Val!$H$2*365.25))),0,1),1))</f>
        <v/>
      </c>
      <c r="G682" s="15" t="str">
        <f>IF(Data!B682="","",IF(AND(Data!G682="",Data!H682&lt;&gt;""),1,IF(Data!#REF!&lt;&gt;"",0,IF(ISNUMBER(MATCH(Data!G682,Data_Val!$C$2:$C$5,0)),0,1))))</f>
        <v/>
      </c>
      <c r="H682" s="15" t="str">
        <f>IF(Data!B682="","",IF(AND(Data!G682&lt;&gt;"",Data!H682=""),1,IF(Data!#REF!&lt;&gt;"",0,IF(Data!G682="",1,IF(ISNUMBER(MATCH(Data!H682,Data_Val!$D$2:$D$35,0)),0,1)))))</f>
        <v/>
      </c>
      <c r="I682" s="15" t="str">
        <f>IF(Data!B682="","",IF(Data!G682&lt;&gt;"",0,IF(ISNUMBER(MATCH(Data!#REF!,Data_Val!$E$2:$E$12,0)),0,1)))</f>
        <v/>
      </c>
      <c r="J682" s="16" t="e">
        <f>IF(OR(Data!B682="",Data!#REF!=""),"",IF(Data!#REF!="",1,0))</f>
        <v>#REF!</v>
      </c>
      <c r="K682" s="16" t="e">
        <f>IF(OR(Data!B682="",Data!#REF!=""),"",IF(Data!#REF!="",1,0))</f>
        <v>#REF!</v>
      </c>
      <c r="L682" s="16" t="e">
        <f>IF(OR(Data!B682="",Data!#REF!=""),"",IF(ISNUMBER(Data!#REF!),IF(AND(Data!#REF!&gt;Data_Val!$G$2,Data!#REF!&lt;=Data_Val!$G$3),0,1),1))</f>
        <v>#REF!</v>
      </c>
      <c r="M682" s="9" t="e">
        <f>IF(OR(Data!B682="",Data!#REF!=""),"",IF(ISNUMBER(MATCH(Data!#REF!,Data_Val!$F$1:$F$38,0)),0,1))</f>
        <v>#REF!</v>
      </c>
      <c r="N682" s="9" t="e">
        <f>IF(OR(Data!B682="",Data!#REF!=""),"",IF(Data!#REF!="",1,0))</f>
        <v>#REF!</v>
      </c>
      <c r="O682" s="17" t="e">
        <f>IF(Data!#REF!="","",IF(Data!#REF!="",1,0))</f>
        <v>#REF!</v>
      </c>
      <c r="P682" s="17" t="e">
        <f>IF(Data!#REF!="","",IF(ISNUMBER(MATCH(Data!#REF!,Data_Val!$A$2:$A$3,0)),0,1))</f>
        <v>#REF!</v>
      </c>
      <c r="Q682" s="25" t="e">
        <f ca="1">IF(Data!#REF!="","",IF(ISNUMBER(Data!#REF!),IF(AND(Data!#REF!&gt;(TODAY()-(Data_Val!$J$3*365.25)),Data!#REF!&lt;=(TODAY()-(Data_Val!$J$2*365.25))),0,1),1))</f>
        <v>#REF!</v>
      </c>
      <c r="R682" s="17" t="e">
        <f>IF(Data!#REF!="","",IF(ISNUMBER(MATCH(Data!#REF!,Data_Val!$B$2:$B$15,0)),0,1))</f>
        <v>#REF!</v>
      </c>
      <c r="S682" s="11" t="str">
        <f>IF(Data!G682="","",IF(Data!G682=Data_Val!$C$2,IF(Data!M682="",0,1),0))</f>
        <v/>
      </c>
      <c r="T682" s="11" t="str">
        <f>IF(Data!M682="","",IF(ISNUMBER(MATCH(Data!N682,Data_Val!$A$2:$A$3,0)),0,1))</f>
        <v/>
      </c>
      <c r="U682" s="11" t="str">
        <f ca="1">IF(Data!M682="","",IF(ISNUMBER(Data!O682),IF(AND(Data!O682&gt;(TODAY()-(Data_Val!$K$3*365.25)),Data!O682&lt;=(TODAY()-(Data_Val!$K$2*365.25))),0,1),1))</f>
        <v/>
      </c>
      <c r="V682" s="12" t="str">
        <f>IF(Data!G682="","",IF(Data!G682=Data_Val!$C$2,IF(Data!P682="",0,1),0))</f>
        <v/>
      </c>
      <c r="W682" s="12" t="str">
        <f>IF(Data!P682="","",IF(ISNUMBER(MATCH(Data!Q682,Data_Val!$A$2:$A$3,0)),0,1))</f>
        <v/>
      </c>
      <c r="X682" s="26" t="str">
        <f ca="1">IF(Data!P682="","",IF(ISNUMBER(Data!R682),IF(AND(Data!R682&gt;(TODAY()-(Data_Val!$L$3*365.25)),Data!R682&lt;=(TODAY()-(Data_Val!$L$2*365.25))),0,1),1))</f>
        <v/>
      </c>
      <c r="Y682" s="13" t="str">
        <f>IF(Data!$G682="","",IF(Data!$G682=Data_Val!$C$2,IF(Data!S682="",0,1),0))</f>
        <v/>
      </c>
      <c r="Z682" s="13" t="str">
        <f>IF(Data!S682="","",IF(ISNUMBER(MATCH(Data!T682,Data_Val!$A$2:$A$3,0)),0,1))</f>
        <v/>
      </c>
      <c r="AA682" s="28" t="str">
        <f ca="1">IF(Data!S682="","",IF(ISNUMBER(Data!U682),IF(AND(Data!U682&gt;(TODAY()-(Data_Val!$L$3*365.25)),Data!U682&lt;=(TODAY()-(Data_Val!$L$2*365.25))),0,1),1))</f>
        <v/>
      </c>
      <c r="AB682" s="11"/>
      <c r="AC682" s="11" t="e">
        <f>IF(Data!#REF!="","",IF(ISNUMBER(MATCH(Data!#REF!,Data_Val!$A$2:$A$3,0)),0,1))</f>
        <v>#REF!</v>
      </c>
      <c r="AD682" s="11" t="e">
        <f ca="1">IF(Data!#REF!="","",IF(ISNUMBER(Data!#REF!),IF(AND(Data!#REF!&gt;(TODAY()-(Data_Val!$L$3*365.25)),Data!#REF!&lt;=(TODAY()-(Data_Val!$L$2*365.25))),0,1),1))</f>
        <v>#REF!</v>
      </c>
      <c r="AE682" s="11" t="e">
        <f>IF(Data!#REF!="","",IF(Data!$G682="",1,IF(ISNUMBER(MATCH(Data!#REF!,Data_Val!$D$2:$D$10,0)),0,1)))</f>
        <v>#REF!</v>
      </c>
      <c r="AF682" s="12"/>
      <c r="AG682" s="12" t="e">
        <f>IF(Data!#REF!="","",IF(ISNUMBER(MATCH(Data!#REF!,Data_Val!$A$2:$A$3,0)),0,1))</f>
        <v>#REF!</v>
      </c>
      <c r="AH682" s="26" t="e">
        <f ca="1">IF(Data!#REF!="","",IF(ISNUMBER(Data!#REF!),IF(AND(Data!#REF!&gt;(TODAY()-(Data_Val!$L$3*365.25)),Data!#REF!&lt;=(TODAY()-(Data_Val!$L$2*365.25))),0,1),1))</f>
        <v>#REF!</v>
      </c>
      <c r="AI682" s="12" t="e">
        <f>IF(Data!#REF!="","",IF(Data!$G682="",1,IF(ISNUMBER(MATCH(Data!#REF!,Data_Val!$D$2:$D$10,0)),0,1)))</f>
        <v>#REF!</v>
      </c>
      <c r="AJ682" s="17"/>
      <c r="AK682" s="17" t="e">
        <f>IF(Data!#REF!="","",IF(ISNUMBER(MATCH(Data!#REF!,Data_Val!$A$2:$A$3,0)),0,1))</f>
        <v>#REF!</v>
      </c>
      <c r="AL682" s="25" t="e">
        <f ca="1">IF(Data!#REF!="","",IF(ISNUMBER(Data!#REF!),IF(AND(Data!#REF!&gt;(TODAY()-(Data_Val!$L$3*365.25)),Data!#REF!&lt;=(TODAY()-(Data_Val!$L$2*365.25))),0,1),1))</f>
        <v>#REF!</v>
      </c>
      <c r="AM682" s="17" t="e">
        <f>IF(Data!#REF!="","",IF(Data!$G682="",1,IF(ISNUMBER(MATCH(Data!#REF!,Data_Val!$D$2:$D$10,0)),0,1)))</f>
        <v>#REF!</v>
      </c>
      <c r="AN682" s="13"/>
      <c r="AO682" s="28" t="e">
        <f ca="1">IF(Data!#REF!="","",IF(ISNUMBER(Data!#REF!),IF(AND(Data!#REF!&gt;(TODAY()-(Data_Val!$I$3*365.25)),Data!#REF!&lt;=(TODAY()-(Data_Val!$I$2*365.25))),0,1),1))</f>
        <v>#REF!</v>
      </c>
      <c r="AP682" s="13" t="e">
        <f>IF(Data!#REF!="","",IF(Data!$G682="",1,IF(ISNUMBER(MATCH(Data!#REF!,Data_Val!$D$2:$D$10,0)),0,1)))</f>
        <v>#REF!</v>
      </c>
      <c r="AQ682" s="17"/>
      <c r="AR682" s="30" t="e">
        <f ca="1">IF(Data!#REF!="","",IF(ISNUMBER(Data!#REF!),IF(AND(Data!#REF!&gt;(TODAY()-(Data_Val!$I$3*365.25)),Data!#REF!&lt;=(TODAY()-(Data_Val!$I$2*365.25))),0,1),1))</f>
        <v>#REF!</v>
      </c>
      <c r="AS682" s="31" t="e">
        <f>IF(Data!#REF!="","",IF(Data!$G682="",1,IF(ISNUMBER(MATCH(Data!#REF!,Data_Val!$D$2:$D$10,0)),0,1)))</f>
        <v>#REF!</v>
      </c>
      <c r="AT682" s="11"/>
      <c r="AU682" s="11" t="e">
        <f ca="1">IF(Data!#REF!="","",IF(ISNUMBER(Data!#REF!),IF(AND(Data!#REF!&gt;(TODAY()-(Data_Val!$I$3*365.25)),Data!#REF!&lt;=(TODAY()-(Data_Val!$I$2*365.25))),0,1),1))</f>
        <v>#REF!</v>
      </c>
      <c r="AV682" s="11" t="e">
        <f>IF(Data!#REF!="","",IF(Data!$G682="",1,IF(ISNUMBER(MATCH(Data!#REF!,Data_Val!$D$2:$D$10,0)),0,1)))</f>
        <v>#REF!</v>
      </c>
      <c r="AW682" s="12"/>
      <c r="AX682" s="26" t="e">
        <f ca="1">IF(Data!#REF!="","",IF(ISNUMBER(Data!#REF!),IF(AND(Data!#REF!&gt;(TODAY()-(Data_Val!$I$3*365.25)),Data!#REF!&lt;=(TODAY()-(Data_Val!$I$2*365.25))),0,1),1))</f>
        <v>#REF!</v>
      </c>
      <c r="AY682" s="12" t="e">
        <f>IF(Data!#REF!="","",IF(Data!$G682="",1,IF(ISNUMBER(MATCH(Data!#REF!,Data_Val!$D$2:$D$10,0)),0,1)))</f>
        <v>#REF!</v>
      </c>
      <c r="AZ682" s="11"/>
      <c r="BA682" s="19" t="e">
        <f ca="1">IF(Data!#REF!="","",IF(ISNUMBER(Data!#REF!),IF(AND(Data!#REF!&gt;(TODAY()-(Data_Val!$M$3*365.25)),Data!#REF!&lt;=(TODAY()-(Data_Val!$M$2*365.25))),0,1),1))</f>
        <v>#REF!</v>
      </c>
      <c r="BB682" s="11" t="e">
        <f>IF(Data!#REF!="","",IF(Data!$G682="",1,IF(ISNUMBER(MATCH(Data!#REF!,Data_Val!$D$2:$D$10,0)),0,1)))</f>
        <v>#REF!</v>
      </c>
      <c r="BC682" s="12"/>
      <c r="BD682" s="20" t="e">
        <f ca="1">IF(Data!#REF!="","",IF(ISNUMBER(Data!#REF!),IF(AND(Data!#REF!&gt;(TODAY()-(Data_Val!$M$3*365.25)),Data!#REF!&lt;=(TODAY()-(Data_Val!$M$2*365.25))),0,1),1))</f>
        <v>#REF!</v>
      </c>
      <c r="BE682" s="12" t="e">
        <f>IF(Data!#REF!="","",IF(Data!$G682="",1,IF(ISNUMBER(MATCH(Data!#REF!,Data_Val!$D$2:$D$10,0)),0,1)))</f>
        <v>#REF!</v>
      </c>
      <c r="BF682" s="17"/>
      <c r="BG682" s="18" t="e">
        <f ca="1">IF(Data!#REF!="","",IF(ISNUMBER(Data!#REF!),IF(AND(Data!#REF!&gt;(TODAY()-(Data_Val!$M$3*365.25)),Data!#REF!&lt;=(TODAY()-(Data_Val!$M$2*365.25))),0,1),1))</f>
        <v>#REF!</v>
      </c>
      <c r="BH682" s="29" t="e">
        <f>IF(Data!#REF!="","",IF(Data!$G682="",1,IF(ISNUMBER(MATCH(Data!#REF!,Data_Val!$D$2:$D$10,0)),0,1)))</f>
        <v>#REF!</v>
      </c>
      <c r="BI682" s="13"/>
      <c r="BJ682" s="21" t="e">
        <f ca="1">IF(Data!#REF!="","",IF(ISNUMBER(Data!#REF!),IF(AND(Data!#REF!&gt;(TODAY()-(Data_Val!$M$3*365.25)),Data!#REF!&lt;=(TODAY()-(Data_Val!$M$2*365.25))),0,1),1))</f>
        <v>#REF!</v>
      </c>
      <c r="BK682" s="13" t="e">
        <f>IF(Data!#REF!="","",IF(Data!$G682="",1,IF(ISNUMBER(MATCH(Data!#REF!,Data_Val!$D$2:$D$10,0)),0,1)))</f>
        <v>#REF!</v>
      </c>
    </row>
    <row r="683" spans="1:63" x14ac:dyDescent="0.25">
      <c r="A683" s="9" t="str">
        <f>IF(Data!B683="","",IF(COUNTIFS(Data!A$1:'Data'!A683,Data!A683)&lt;=1,0,1))</f>
        <v/>
      </c>
      <c r="B683" s="9"/>
      <c r="C683" s="23" t="str">
        <f>IF(Data!C683="","",(IF(ISNUMBER(MATCH("*@*.?*",Data!C683,0)),0,1)+IF(COUNTIFS(Data!C$1:'Data'!C683,Data!C683)&gt;1,1,0)))</f>
        <v/>
      </c>
      <c r="D683" s="9" t="str">
        <f>IF(Data!B683="","",IF(ISNUMBER(Data!D683),IF(AND(Data!D683&gt;999999999,Data!D683&lt;=9999999999),IF(COUNTIFS(Data!D$1:'Data'!D683,Data!D683)&lt;=1,0,1),1),1))</f>
        <v/>
      </c>
      <c r="E683" s="9" t="str">
        <f>IF(Data!B683="","",IF(ISNUMBER(MATCH(Data!E683,Data_Val!$A$2:$A$3,0)),0,1))</f>
        <v/>
      </c>
      <c r="F683" s="9" t="str">
        <f ca="1">IF(Data!B683="","",IF(ISNUMBER(Data!F683),IF(AND(Data!F683&gt;(TODAY()-(Data_Val!$H$3*365.25)),Data!F683&lt;=(TODAY()-(Data_Val!$H$2*365.25))),0,1),1))</f>
        <v/>
      </c>
      <c r="G683" s="15" t="str">
        <f>IF(Data!B683="","",IF(AND(Data!G683="",Data!H683&lt;&gt;""),1,IF(Data!#REF!&lt;&gt;"",0,IF(ISNUMBER(MATCH(Data!G683,Data_Val!$C$2:$C$5,0)),0,1))))</f>
        <v/>
      </c>
      <c r="H683" s="15" t="str">
        <f>IF(Data!B683="","",IF(AND(Data!G683&lt;&gt;"",Data!H683=""),1,IF(Data!#REF!&lt;&gt;"",0,IF(Data!G683="",1,IF(ISNUMBER(MATCH(Data!H683,Data_Val!$D$2:$D$35,0)),0,1)))))</f>
        <v/>
      </c>
      <c r="I683" s="15" t="str">
        <f>IF(Data!B683="","",IF(Data!G683&lt;&gt;"",0,IF(ISNUMBER(MATCH(Data!#REF!,Data_Val!$E$2:$E$12,0)),0,1)))</f>
        <v/>
      </c>
      <c r="J683" s="16" t="e">
        <f>IF(OR(Data!B683="",Data!#REF!=""),"",IF(Data!#REF!="",1,0))</f>
        <v>#REF!</v>
      </c>
      <c r="K683" s="16" t="e">
        <f>IF(OR(Data!B683="",Data!#REF!=""),"",IF(Data!#REF!="",1,0))</f>
        <v>#REF!</v>
      </c>
      <c r="L683" s="16" t="e">
        <f>IF(OR(Data!B683="",Data!#REF!=""),"",IF(ISNUMBER(Data!#REF!),IF(AND(Data!#REF!&gt;Data_Val!$G$2,Data!#REF!&lt;=Data_Val!$G$3),0,1),1))</f>
        <v>#REF!</v>
      </c>
      <c r="M683" s="9" t="e">
        <f>IF(OR(Data!B683="",Data!#REF!=""),"",IF(ISNUMBER(MATCH(Data!#REF!,Data_Val!$F$1:$F$38,0)),0,1))</f>
        <v>#REF!</v>
      </c>
      <c r="N683" s="9" t="e">
        <f>IF(OR(Data!B683="",Data!#REF!=""),"",IF(Data!#REF!="",1,0))</f>
        <v>#REF!</v>
      </c>
      <c r="O683" s="17" t="e">
        <f>IF(Data!#REF!="","",IF(Data!#REF!="",1,0))</f>
        <v>#REF!</v>
      </c>
      <c r="P683" s="17" t="e">
        <f>IF(Data!#REF!="","",IF(ISNUMBER(MATCH(Data!#REF!,Data_Val!$A$2:$A$3,0)),0,1))</f>
        <v>#REF!</v>
      </c>
      <c r="Q683" s="25" t="e">
        <f ca="1">IF(Data!#REF!="","",IF(ISNUMBER(Data!#REF!),IF(AND(Data!#REF!&gt;(TODAY()-(Data_Val!$J$3*365.25)),Data!#REF!&lt;=(TODAY()-(Data_Val!$J$2*365.25))),0,1),1))</f>
        <v>#REF!</v>
      </c>
      <c r="R683" s="17" t="e">
        <f>IF(Data!#REF!="","",IF(ISNUMBER(MATCH(Data!#REF!,Data_Val!$B$2:$B$15,0)),0,1))</f>
        <v>#REF!</v>
      </c>
      <c r="S683" s="11" t="str">
        <f>IF(Data!G683="","",IF(Data!G683=Data_Val!$C$2,IF(Data!M683="",0,1),0))</f>
        <v/>
      </c>
      <c r="T683" s="11" t="str">
        <f>IF(Data!M683="","",IF(ISNUMBER(MATCH(Data!N683,Data_Val!$A$2:$A$3,0)),0,1))</f>
        <v/>
      </c>
      <c r="U683" s="11" t="str">
        <f ca="1">IF(Data!M683="","",IF(ISNUMBER(Data!O683),IF(AND(Data!O683&gt;(TODAY()-(Data_Val!$K$3*365.25)),Data!O683&lt;=(TODAY()-(Data_Val!$K$2*365.25))),0,1),1))</f>
        <v/>
      </c>
      <c r="V683" s="12" t="str">
        <f>IF(Data!G683="","",IF(Data!G683=Data_Val!$C$2,IF(Data!P683="",0,1),0))</f>
        <v/>
      </c>
      <c r="W683" s="12" t="str">
        <f>IF(Data!P683="","",IF(ISNUMBER(MATCH(Data!Q683,Data_Val!$A$2:$A$3,0)),0,1))</f>
        <v/>
      </c>
      <c r="X683" s="26" t="str">
        <f ca="1">IF(Data!P683="","",IF(ISNUMBER(Data!R683),IF(AND(Data!R683&gt;(TODAY()-(Data_Val!$L$3*365.25)),Data!R683&lt;=(TODAY()-(Data_Val!$L$2*365.25))),0,1),1))</f>
        <v/>
      </c>
      <c r="Y683" s="13" t="str">
        <f>IF(Data!$G683="","",IF(Data!$G683=Data_Val!$C$2,IF(Data!S683="",0,1),0))</f>
        <v/>
      </c>
      <c r="Z683" s="13" t="str">
        <f>IF(Data!S683="","",IF(ISNUMBER(MATCH(Data!T683,Data_Val!$A$2:$A$3,0)),0,1))</f>
        <v/>
      </c>
      <c r="AA683" s="28" t="str">
        <f ca="1">IF(Data!S683="","",IF(ISNUMBER(Data!U683),IF(AND(Data!U683&gt;(TODAY()-(Data_Val!$L$3*365.25)),Data!U683&lt;=(TODAY()-(Data_Val!$L$2*365.25))),0,1),1))</f>
        <v/>
      </c>
      <c r="AB683" s="11"/>
      <c r="AC683" s="11" t="e">
        <f>IF(Data!#REF!="","",IF(ISNUMBER(MATCH(Data!#REF!,Data_Val!$A$2:$A$3,0)),0,1))</f>
        <v>#REF!</v>
      </c>
      <c r="AD683" s="11" t="e">
        <f ca="1">IF(Data!#REF!="","",IF(ISNUMBER(Data!#REF!),IF(AND(Data!#REF!&gt;(TODAY()-(Data_Val!$L$3*365.25)),Data!#REF!&lt;=(TODAY()-(Data_Val!$L$2*365.25))),0,1),1))</f>
        <v>#REF!</v>
      </c>
      <c r="AE683" s="11" t="e">
        <f>IF(Data!#REF!="","",IF(Data!$G683="",1,IF(ISNUMBER(MATCH(Data!#REF!,Data_Val!$D$2:$D$10,0)),0,1)))</f>
        <v>#REF!</v>
      </c>
      <c r="AF683" s="12"/>
      <c r="AG683" s="12" t="e">
        <f>IF(Data!#REF!="","",IF(ISNUMBER(MATCH(Data!#REF!,Data_Val!$A$2:$A$3,0)),0,1))</f>
        <v>#REF!</v>
      </c>
      <c r="AH683" s="26" t="e">
        <f ca="1">IF(Data!#REF!="","",IF(ISNUMBER(Data!#REF!),IF(AND(Data!#REF!&gt;(TODAY()-(Data_Val!$L$3*365.25)),Data!#REF!&lt;=(TODAY()-(Data_Val!$L$2*365.25))),0,1),1))</f>
        <v>#REF!</v>
      </c>
      <c r="AI683" s="12" t="e">
        <f>IF(Data!#REF!="","",IF(Data!$G683="",1,IF(ISNUMBER(MATCH(Data!#REF!,Data_Val!$D$2:$D$10,0)),0,1)))</f>
        <v>#REF!</v>
      </c>
      <c r="AJ683" s="17"/>
      <c r="AK683" s="17" t="e">
        <f>IF(Data!#REF!="","",IF(ISNUMBER(MATCH(Data!#REF!,Data_Val!$A$2:$A$3,0)),0,1))</f>
        <v>#REF!</v>
      </c>
      <c r="AL683" s="25" t="e">
        <f ca="1">IF(Data!#REF!="","",IF(ISNUMBER(Data!#REF!),IF(AND(Data!#REF!&gt;(TODAY()-(Data_Val!$L$3*365.25)),Data!#REF!&lt;=(TODAY()-(Data_Val!$L$2*365.25))),0,1),1))</f>
        <v>#REF!</v>
      </c>
      <c r="AM683" s="17" t="e">
        <f>IF(Data!#REF!="","",IF(Data!$G683="",1,IF(ISNUMBER(MATCH(Data!#REF!,Data_Val!$D$2:$D$10,0)),0,1)))</f>
        <v>#REF!</v>
      </c>
      <c r="AN683" s="13"/>
      <c r="AO683" s="28" t="e">
        <f ca="1">IF(Data!#REF!="","",IF(ISNUMBER(Data!#REF!),IF(AND(Data!#REF!&gt;(TODAY()-(Data_Val!$I$3*365.25)),Data!#REF!&lt;=(TODAY()-(Data_Val!$I$2*365.25))),0,1),1))</f>
        <v>#REF!</v>
      </c>
      <c r="AP683" s="13" t="e">
        <f>IF(Data!#REF!="","",IF(Data!$G683="",1,IF(ISNUMBER(MATCH(Data!#REF!,Data_Val!$D$2:$D$10,0)),0,1)))</f>
        <v>#REF!</v>
      </c>
      <c r="AQ683" s="17"/>
      <c r="AR683" s="30" t="e">
        <f ca="1">IF(Data!#REF!="","",IF(ISNUMBER(Data!#REF!),IF(AND(Data!#REF!&gt;(TODAY()-(Data_Val!$I$3*365.25)),Data!#REF!&lt;=(TODAY()-(Data_Val!$I$2*365.25))),0,1),1))</f>
        <v>#REF!</v>
      </c>
      <c r="AS683" s="31" t="e">
        <f>IF(Data!#REF!="","",IF(Data!$G683="",1,IF(ISNUMBER(MATCH(Data!#REF!,Data_Val!$D$2:$D$10,0)),0,1)))</f>
        <v>#REF!</v>
      </c>
      <c r="AT683" s="11"/>
      <c r="AU683" s="11" t="e">
        <f ca="1">IF(Data!#REF!="","",IF(ISNUMBER(Data!#REF!),IF(AND(Data!#REF!&gt;(TODAY()-(Data_Val!$I$3*365.25)),Data!#REF!&lt;=(TODAY()-(Data_Val!$I$2*365.25))),0,1),1))</f>
        <v>#REF!</v>
      </c>
      <c r="AV683" s="11" t="e">
        <f>IF(Data!#REF!="","",IF(Data!$G683="",1,IF(ISNUMBER(MATCH(Data!#REF!,Data_Val!$D$2:$D$10,0)),0,1)))</f>
        <v>#REF!</v>
      </c>
      <c r="AW683" s="12"/>
      <c r="AX683" s="26" t="e">
        <f ca="1">IF(Data!#REF!="","",IF(ISNUMBER(Data!#REF!),IF(AND(Data!#REF!&gt;(TODAY()-(Data_Val!$I$3*365.25)),Data!#REF!&lt;=(TODAY()-(Data_Val!$I$2*365.25))),0,1),1))</f>
        <v>#REF!</v>
      </c>
      <c r="AY683" s="12" t="e">
        <f>IF(Data!#REF!="","",IF(Data!$G683="",1,IF(ISNUMBER(MATCH(Data!#REF!,Data_Val!$D$2:$D$10,0)),0,1)))</f>
        <v>#REF!</v>
      </c>
      <c r="AZ683" s="11"/>
      <c r="BA683" s="19" t="e">
        <f ca="1">IF(Data!#REF!="","",IF(ISNUMBER(Data!#REF!),IF(AND(Data!#REF!&gt;(TODAY()-(Data_Val!$M$3*365.25)),Data!#REF!&lt;=(TODAY()-(Data_Val!$M$2*365.25))),0,1),1))</f>
        <v>#REF!</v>
      </c>
      <c r="BB683" s="11" t="e">
        <f>IF(Data!#REF!="","",IF(Data!$G683="",1,IF(ISNUMBER(MATCH(Data!#REF!,Data_Val!$D$2:$D$10,0)),0,1)))</f>
        <v>#REF!</v>
      </c>
      <c r="BC683" s="12"/>
      <c r="BD683" s="20" t="e">
        <f ca="1">IF(Data!#REF!="","",IF(ISNUMBER(Data!#REF!),IF(AND(Data!#REF!&gt;(TODAY()-(Data_Val!$M$3*365.25)),Data!#REF!&lt;=(TODAY()-(Data_Val!$M$2*365.25))),0,1),1))</f>
        <v>#REF!</v>
      </c>
      <c r="BE683" s="12" t="e">
        <f>IF(Data!#REF!="","",IF(Data!$G683="",1,IF(ISNUMBER(MATCH(Data!#REF!,Data_Val!$D$2:$D$10,0)),0,1)))</f>
        <v>#REF!</v>
      </c>
      <c r="BF683" s="17"/>
      <c r="BG683" s="18" t="e">
        <f ca="1">IF(Data!#REF!="","",IF(ISNUMBER(Data!#REF!),IF(AND(Data!#REF!&gt;(TODAY()-(Data_Val!$M$3*365.25)),Data!#REF!&lt;=(TODAY()-(Data_Val!$M$2*365.25))),0,1),1))</f>
        <v>#REF!</v>
      </c>
      <c r="BH683" s="29" t="e">
        <f>IF(Data!#REF!="","",IF(Data!$G683="",1,IF(ISNUMBER(MATCH(Data!#REF!,Data_Val!$D$2:$D$10,0)),0,1)))</f>
        <v>#REF!</v>
      </c>
      <c r="BI683" s="13"/>
      <c r="BJ683" s="21" t="e">
        <f ca="1">IF(Data!#REF!="","",IF(ISNUMBER(Data!#REF!),IF(AND(Data!#REF!&gt;(TODAY()-(Data_Val!$M$3*365.25)),Data!#REF!&lt;=(TODAY()-(Data_Val!$M$2*365.25))),0,1),1))</f>
        <v>#REF!</v>
      </c>
      <c r="BK683" s="13" t="e">
        <f>IF(Data!#REF!="","",IF(Data!$G683="",1,IF(ISNUMBER(MATCH(Data!#REF!,Data_Val!$D$2:$D$10,0)),0,1)))</f>
        <v>#REF!</v>
      </c>
    </row>
    <row r="684" spans="1:63" x14ac:dyDescent="0.25">
      <c r="A684" s="9" t="str">
        <f>IF(Data!B684="","",IF(COUNTIFS(Data!A$1:'Data'!A684,Data!A684)&lt;=1,0,1))</f>
        <v/>
      </c>
      <c r="B684" s="9"/>
      <c r="C684" s="23" t="str">
        <f>IF(Data!C684="","",(IF(ISNUMBER(MATCH("*@*.?*",Data!C684,0)),0,1)+IF(COUNTIFS(Data!C$1:'Data'!C684,Data!C684)&gt;1,1,0)))</f>
        <v/>
      </c>
      <c r="D684" s="9" t="str">
        <f>IF(Data!B684="","",IF(ISNUMBER(Data!D684),IF(AND(Data!D684&gt;999999999,Data!D684&lt;=9999999999),IF(COUNTIFS(Data!D$1:'Data'!D684,Data!D684)&lt;=1,0,1),1),1))</f>
        <v/>
      </c>
      <c r="E684" s="9" t="str">
        <f>IF(Data!B684="","",IF(ISNUMBER(MATCH(Data!E684,Data_Val!$A$2:$A$3,0)),0,1))</f>
        <v/>
      </c>
      <c r="F684" s="9" t="str">
        <f ca="1">IF(Data!B684="","",IF(ISNUMBER(Data!F684),IF(AND(Data!F684&gt;(TODAY()-(Data_Val!$H$3*365.25)),Data!F684&lt;=(TODAY()-(Data_Val!$H$2*365.25))),0,1),1))</f>
        <v/>
      </c>
      <c r="G684" s="15" t="str">
        <f>IF(Data!B684="","",IF(AND(Data!G684="",Data!H684&lt;&gt;""),1,IF(Data!#REF!&lt;&gt;"",0,IF(ISNUMBER(MATCH(Data!G684,Data_Val!$C$2:$C$5,0)),0,1))))</f>
        <v/>
      </c>
      <c r="H684" s="15" t="str">
        <f>IF(Data!B684="","",IF(AND(Data!G684&lt;&gt;"",Data!H684=""),1,IF(Data!#REF!&lt;&gt;"",0,IF(Data!G684="",1,IF(ISNUMBER(MATCH(Data!H684,Data_Val!$D$2:$D$35,0)),0,1)))))</f>
        <v/>
      </c>
      <c r="I684" s="15" t="str">
        <f>IF(Data!B684="","",IF(Data!G684&lt;&gt;"",0,IF(ISNUMBER(MATCH(Data!#REF!,Data_Val!$E$2:$E$12,0)),0,1)))</f>
        <v/>
      </c>
      <c r="J684" s="16" t="e">
        <f>IF(OR(Data!B684="",Data!#REF!=""),"",IF(Data!#REF!="",1,0))</f>
        <v>#REF!</v>
      </c>
      <c r="K684" s="16" t="e">
        <f>IF(OR(Data!B684="",Data!#REF!=""),"",IF(Data!#REF!="",1,0))</f>
        <v>#REF!</v>
      </c>
      <c r="L684" s="16" t="e">
        <f>IF(OR(Data!B684="",Data!#REF!=""),"",IF(ISNUMBER(Data!#REF!),IF(AND(Data!#REF!&gt;Data_Val!$G$2,Data!#REF!&lt;=Data_Val!$G$3),0,1),1))</f>
        <v>#REF!</v>
      </c>
      <c r="M684" s="9" t="e">
        <f>IF(OR(Data!B684="",Data!#REF!=""),"",IF(ISNUMBER(MATCH(Data!#REF!,Data_Val!$F$1:$F$38,0)),0,1))</f>
        <v>#REF!</v>
      </c>
      <c r="N684" s="9" t="e">
        <f>IF(OR(Data!B684="",Data!#REF!=""),"",IF(Data!#REF!="",1,0))</f>
        <v>#REF!</v>
      </c>
      <c r="O684" s="17" t="e">
        <f>IF(Data!#REF!="","",IF(Data!#REF!="",1,0))</f>
        <v>#REF!</v>
      </c>
      <c r="P684" s="17" t="e">
        <f>IF(Data!#REF!="","",IF(ISNUMBER(MATCH(Data!#REF!,Data_Val!$A$2:$A$3,0)),0,1))</f>
        <v>#REF!</v>
      </c>
      <c r="Q684" s="25" t="e">
        <f ca="1">IF(Data!#REF!="","",IF(ISNUMBER(Data!#REF!),IF(AND(Data!#REF!&gt;(TODAY()-(Data_Val!$J$3*365.25)),Data!#REF!&lt;=(TODAY()-(Data_Val!$J$2*365.25))),0,1),1))</f>
        <v>#REF!</v>
      </c>
      <c r="R684" s="17" t="e">
        <f>IF(Data!#REF!="","",IF(ISNUMBER(MATCH(Data!#REF!,Data_Val!$B$2:$B$15,0)),0,1))</f>
        <v>#REF!</v>
      </c>
      <c r="S684" s="11" t="str">
        <f>IF(Data!G684="","",IF(Data!G684=Data_Val!$C$2,IF(Data!M684="",0,1),0))</f>
        <v/>
      </c>
      <c r="T684" s="11" t="str">
        <f>IF(Data!M684="","",IF(ISNUMBER(MATCH(Data!N684,Data_Val!$A$2:$A$3,0)),0,1))</f>
        <v/>
      </c>
      <c r="U684" s="11" t="str">
        <f ca="1">IF(Data!M684="","",IF(ISNUMBER(Data!O684),IF(AND(Data!O684&gt;(TODAY()-(Data_Val!$K$3*365.25)),Data!O684&lt;=(TODAY()-(Data_Val!$K$2*365.25))),0,1),1))</f>
        <v/>
      </c>
      <c r="V684" s="12" t="str">
        <f>IF(Data!G684="","",IF(Data!G684=Data_Val!$C$2,IF(Data!P684="",0,1),0))</f>
        <v/>
      </c>
      <c r="W684" s="12" t="str">
        <f>IF(Data!P684="","",IF(ISNUMBER(MATCH(Data!Q684,Data_Val!$A$2:$A$3,0)),0,1))</f>
        <v/>
      </c>
      <c r="X684" s="26" t="str">
        <f ca="1">IF(Data!P684="","",IF(ISNUMBER(Data!R684),IF(AND(Data!R684&gt;(TODAY()-(Data_Val!$L$3*365.25)),Data!R684&lt;=(TODAY()-(Data_Val!$L$2*365.25))),0,1),1))</f>
        <v/>
      </c>
      <c r="Y684" s="13" t="str">
        <f>IF(Data!$G684="","",IF(Data!$G684=Data_Val!$C$2,IF(Data!S684="",0,1),0))</f>
        <v/>
      </c>
      <c r="Z684" s="13" t="str">
        <f>IF(Data!S684="","",IF(ISNUMBER(MATCH(Data!T684,Data_Val!$A$2:$A$3,0)),0,1))</f>
        <v/>
      </c>
      <c r="AA684" s="28" t="str">
        <f ca="1">IF(Data!S684="","",IF(ISNUMBER(Data!U684),IF(AND(Data!U684&gt;(TODAY()-(Data_Val!$L$3*365.25)),Data!U684&lt;=(TODAY()-(Data_Val!$L$2*365.25))),0,1),1))</f>
        <v/>
      </c>
      <c r="AB684" s="11"/>
      <c r="AC684" s="11" t="e">
        <f>IF(Data!#REF!="","",IF(ISNUMBER(MATCH(Data!#REF!,Data_Val!$A$2:$A$3,0)),0,1))</f>
        <v>#REF!</v>
      </c>
      <c r="AD684" s="11" t="e">
        <f ca="1">IF(Data!#REF!="","",IF(ISNUMBER(Data!#REF!),IF(AND(Data!#REF!&gt;(TODAY()-(Data_Val!$L$3*365.25)),Data!#REF!&lt;=(TODAY()-(Data_Val!$L$2*365.25))),0,1),1))</f>
        <v>#REF!</v>
      </c>
      <c r="AE684" s="11" t="e">
        <f>IF(Data!#REF!="","",IF(Data!$G684="",1,IF(ISNUMBER(MATCH(Data!#REF!,Data_Val!$D$2:$D$10,0)),0,1)))</f>
        <v>#REF!</v>
      </c>
      <c r="AF684" s="12"/>
      <c r="AG684" s="12" t="e">
        <f>IF(Data!#REF!="","",IF(ISNUMBER(MATCH(Data!#REF!,Data_Val!$A$2:$A$3,0)),0,1))</f>
        <v>#REF!</v>
      </c>
      <c r="AH684" s="26" t="e">
        <f ca="1">IF(Data!#REF!="","",IF(ISNUMBER(Data!#REF!),IF(AND(Data!#REF!&gt;(TODAY()-(Data_Val!$L$3*365.25)),Data!#REF!&lt;=(TODAY()-(Data_Val!$L$2*365.25))),0,1),1))</f>
        <v>#REF!</v>
      </c>
      <c r="AI684" s="12" t="e">
        <f>IF(Data!#REF!="","",IF(Data!$G684="",1,IF(ISNUMBER(MATCH(Data!#REF!,Data_Val!$D$2:$D$10,0)),0,1)))</f>
        <v>#REF!</v>
      </c>
      <c r="AJ684" s="17"/>
      <c r="AK684" s="17" t="e">
        <f>IF(Data!#REF!="","",IF(ISNUMBER(MATCH(Data!#REF!,Data_Val!$A$2:$A$3,0)),0,1))</f>
        <v>#REF!</v>
      </c>
      <c r="AL684" s="25" t="e">
        <f ca="1">IF(Data!#REF!="","",IF(ISNUMBER(Data!#REF!),IF(AND(Data!#REF!&gt;(TODAY()-(Data_Val!$L$3*365.25)),Data!#REF!&lt;=(TODAY()-(Data_Val!$L$2*365.25))),0,1),1))</f>
        <v>#REF!</v>
      </c>
      <c r="AM684" s="17" t="e">
        <f>IF(Data!#REF!="","",IF(Data!$G684="",1,IF(ISNUMBER(MATCH(Data!#REF!,Data_Val!$D$2:$D$10,0)),0,1)))</f>
        <v>#REF!</v>
      </c>
      <c r="AN684" s="13"/>
      <c r="AO684" s="28" t="e">
        <f ca="1">IF(Data!#REF!="","",IF(ISNUMBER(Data!#REF!),IF(AND(Data!#REF!&gt;(TODAY()-(Data_Val!$I$3*365.25)),Data!#REF!&lt;=(TODAY()-(Data_Val!$I$2*365.25))),0,1),1))</f>
        <v>#REF!</v>
      </c>
      <c r="AP684" s="13" t="e">
        <f>IF(Data!#REF!="","",IF(Data!$G684="",1,IF(ISNUMBER(MATCH(Data!#REF!,Data_Val!$D$2:$D$10,0)),0,1)))</f>
        <v>#REF!</v>
      </c>
      <c r="AQ684" s="17"/>
      <c r="AR684" s="30" t="e">
        <f ca="1">IF(Data!#REF!="","",IF(ISNUMBER(Data!#REF!),IF(AND(Data!#REF!&gt;(TODAY()-(Data_Val!$I$3*365.25)),Data!#REF!&lt;=(TODAY()-(Data_Val!$I$2*365.25))),0,1),1))</f>
        <v>#REF!</v>
      </c>
      <c r="AS684" s="31" t="e">
        <f>IF(Data!#REF!="","",IF(Data!$G684="",1,IF(ISNUMBER(MATCH(Data!#REF!,Data_Val!$D$2:$D$10,0)),0,1)))</f>
        <v>#REF!</v>
      </c>
      <c r="AT684" s="11"/>
      <c r="AU684" s="11" t="e">
        <f ca="1">IF(Data!#REF!="","",IF(ISNUMBER(Data!#REF!),IF(AND(Data!#REF!&gt;(TODAY()-(Data_Val!$I$3*365.25)),Data!#REF!&lt;=(TODAY()-(Data_Val!$I$2*365.25))),0,1),1))</f>
        <v>#REF!</v>
      </c>
      <c r="AV684" s="11" t="e">
        <f>IF(Data!#REF!="","",IF(Data!$G684="",1,IF(ISNUMBER(MATCH(Data!#REF!,Data_Val!$D$2:$D$10,0)),0,1)))</f>
        <v>#REF!</v>
      </c>
      <c r="AW684" s="12"/>
      <c r="AX684" s="26" t="e">
        <f ca="1">IF(Data!#REF!="","",IF(ISNUMBER(Data!#REF!),IF(AND(Data!#REF!&gt;(TODAY()-(Data_Val!$I$3*365.25)),Data!#REF!&lt;=(TODAY()-(Data_Val!$I$2*365.25))),0,1),1))</f>
        <v>#REF!</v>
      </c>
      <c r="AY684" s="12" t="e">
        <f>IF(Data!#REF!="","",IF(Data!$G684="",1,IF(ISNUMBER(MATCH(Data!#REF!,Data_Val!$D$2:$D$10,0)),0,1)))</f>
        <v>#REF!</v>
      </c>
      <c r="AZ684" s="11"/>
      <c r="BA684" s="19" t="e">
        <f ca="1">IF(Data!#REF!="","",IF(ISNUMBER(Data!#REF!),IF(AND(Data!#REF!&gt;(TODAY()-(Data_Val!$M$3*365.25)),Data!#REF!&lt;=(TODAY()-(Data_Val!$M$2*365.25))),0,1),1))</f>
        <v>#REF!</v>
      </c>
      <c r="BB684" s="11" t="e">
        <f>IF(Data!#REF!="","",IF(Data!$G684="",1,IF(ISNUMBER(MATCH(Data!#REF!,Data_Val!$D$2:$D$10,0)),0,1)))</f>
        <v>#REF!</v>
      </c>
      <c r="BC684" s="12"/>
      <c r="BD684" s="20" t="e">
        <f ca="1">IF(Data!#REF!="","",IF(ISNUMBER(Data!#REF!),IF(AND(Data!#REF!&gt;(TODAY()-(Data_Val!$M$3*365.25)),Data!#REF!&lt;=(TODAY()-(Data_Val!$M$2*365.25))),0,1),1))</f>
        <v>#REF!</v>
      </c>
      <c r="BE684" s="12" t="e">
        <f>IF(Data!#REF!="","",IF(Data!$G684="",1,IF(ISNUMBER(MATCH(Data!#REF!,Data_Val!$D$2:$D$10,0)),0,1)))</f>
        <v>#REF!</v>
      </c>
      <c r="BF684" s="17"/>
      <c r="BG684" s="18" t="e">
        <f ca="1">IF(Data!#REF!="","",IF(ISNUMBER(Data!#REF!),IF(AND(Data!#REF!&gt;(TODAY()-(Data_Val!$M$3*365.25)),Data!#REF!&lt;=(TODAY()-(Data_Val!$M$2*365.25))),0,1),1))</f>
        <v>#REF!</v>
      </c>
      <c r="BH684" s="29" t="e">
        <f>IF(Data!#REF!="","",IF(Data!$G684="",1,IF(ISNUMBER(MATCH(Data!#REF!,Data_Val!$D$2:$D$10,0)),0,1)))</f>
        <v>#REF!</v>
      </c>
      <c r="BI684" s="13"/>
      <c r="BJ684" s="21" t="e">
        <f ca="1">IF(Data!#REF!="","",IF(ISNUMBER(Data!#REF!),IF(AND(Data!#REF!&gt;(TODAY()-(Data_Val!$M$3*365.25)),Data!#REF!&lt;=(TODAY()-(Data_Val!$M$2*365.25))),0,1),1))</f>
        <v>#REF!</v>
      </c>
      <c r="BK684" s="13" t="e">
        <f>IF(Data!#REF!="","",IF(Data!$G684="",1,IF(ISNUMBER(MATCH(Data!#REF!,Data_Val!$D$2:$D$10,0)),0,1)))</f>
        <v>#REF!</v>
      </c>
    </row>
    <row r="685" spans="1:63" x14ac:dyDescent="0.25">
      <c r="A685" s="9" t="str">
        <f>IF(Data!B685="","",IF(COUNTIFS(Data!A$1:'Data'!A685,Data!A685)&lt;=1,0,1))</f>
        <v/>
      </c>
      <c r="B685" s="9"/>
      <c r="C685" s="23" t="str">
        <f>IF(Data!C685="","",(IF(ISNUMBER(MATCH("*@*.?*",Data!C685,0)),0,1)+IF(COUNTIFS(Data!C$1:'Data'!C685,Data!C685)&gt;1,1,0)))</f>
        <v/>
      </c>
      <c r="D685" s="9" t="str">
        <f>IF(Data!B685="","",IF(ISNUMBER(Data!D685),IF(AND(Data!D685&gt;999999999,Data!D685&lt;=9999999999),IF(COUNTIFS(Data!D$1:'Data'!D685,Data!D685)&lt;=1,0,1),1),1))</f>
        <v/>
      </c>
      <c r="E685" s="9" t="str">
        <f>IF(Data!B685="","",IF(ISNUMBER(MATCH(Data!E685,Data_Val!$A$2:$A$3,0)),0,1))</f>
        <v/>
      </c>
      <c r="F685" s="9" t="str">
        <f ca="1">IF(Data!B685="","",IF(ISNUMBER(Data!F685),IF(AND(Data!F685&gt;(TODAY()-(Data_Val!$H$3*365.25)),Data!F685&lt;=(TODAY()-(Data_Val!$H$2*365.25))),0,1),1))</f>
        <v/>
      </c>
      <c r="G685" s="15" t="str">
        <f>IF(Data!B685="","",IF(AND(Data!G685="",Data!H685&lt;&gt;""),1,IF(Data!#REF!&lt;&gt;"",0,IF(ISNUMBER(MATCH(Data!G685,Data_Val!$C$2:$C$5,0)),0,1))))</f>
        <v/>
      </c>
      <c r="H685" s="15" t="str">
        <f>IF(Data!B685="","",IF(AND(Data!G685&lt;&gt;"",Data!H685=""),1,IF(Data!#REF!&lt;&gt;"",0,IF(Data!G685="",1,IF(ISNUMBER(MATCH(Data!H685,Data_Val!$D$2:$D$35,0)),0,1)))))</f>
        <v/>
      </c>
      <c r="I685" s="15" t="str">
        <f>IF(Data!B685="","",IF(Data!G685&lt;&gt;"",0,IF(ISNUMBER(MATCH(Data!#REF!,Data_Val!$E$2:$E$12,0)),0,1)))</f>
        <v/>
      </c>
      <c r="J685" s="16" t="e">
        <f>IF(OR(Data!B685="",Data!#REF!=""),"",IF(Data!#REF!="",1,0))</f>
        <v>#REF!</v>
      </c>
      <c r="K685" s="16" t="e">
        <f>IF(OR(Data!B685="",Data!#REF!=""),"",IF(Data!#REF!="",1,0))</f>
        <v>#REF!</v>
      </c>
      <c r="L685" s="16" t="e">
        <f>IF(OR(Data!B685="",Data!#REF!=""),"",IF(ISNUMBER(Data!#REF!),IF(AND(Data!#REF!&gt;Data_Val!$G$2,Data!#REF!&lt;=Data_Val!$G$3),0,1),1))</f>
        <v>#REF!</v>
      </c>
      <c r="M685" s="9" t="e">
        <f>IF(OR(Data!B685="",Data!#REF!=""),"",IF(ISNUMBER(MATCH(Data!#REF!,Data_Val!$F$1:$F$38,0)),0,1))</f>
        <v>#REF!</v>
      </c>
      <c r="N685" s="9" t="e">
        <f>IF(OR(Data!B685="",Data!#REF!=""),"",IF(Data!#REF!="",1,0))</f>
        <v>#REF!</v>
      </c>
      <c r="O685" s="17" t="e">
        <f>IF(Data!#REF!="","",IF(Data!#REF!="",1,0))</f>
        <v>#REF!</v>
      </c>
      <c r="P685" s="17" t="e">
        <f>IF(Data!#REF!="","",IF(ISNUMBER(MATCH(Data!#REF!,Data_Val!$A$2:$A$3,0)),0,1))</f>
        <v>#REF!</v>
      </c>
      <c r="Q685" s="25" t="e">
        <f ca="1">IF(Data!#REF!="","",IF(ISNUMBER(Data!#REF!),IF(AND(Data!#REF!&gt;(TODAY()-(Data_Val!$J$3*365.25)),Data!#REF!&lt;=(TODAY()-(Data_Val!$J$2*365.25))),0,1),1))</f>
        <v>#REF!</v>
      </c>
      <c r="R685" s="17" t="e">
        <f>IF(Data!#REF!="","",IF(ISNUMBER(MATCH(Data!#REF!,Data_Val!$B$2:$B$15,0)),0,1))</f>
        <v>#REF!</v>
      </c>
      <c r="S685" s="11" t="str">
        <f>IF(Data!G685="","",IF(Data!G685=Data_Val!$C$2,IF(Data!M685="",0,1),0))</f>
        <v/>
      </c>
      <c r="T685" s="11" t="str">
        <f>IF(Data!M685="","",IF(ISNUMBER(MATCH(Data!N685,Data_Val!$A$2:$A$3,0)),0,1))</f>
        <v/>
      </c>
      <c r="U685" s="11" t="str">
        <f ca="1">IF(Data!M685="","",IF(ISNUMBER(Data!O685),IF(AND(Data!O685&gt;(TODAY()-(Data_Val!$K$3*365.25)),Data!O685&lt;=(TODAY()-(Data_Val!$K$2*365.25))),0,1),1))</f>
        <v/>
      </c>
      <c r="V685" s="12" t="str">
        <f>IF(Data!G685="","",IF(Data!G685=Data_Val!$C$2,IF(Data!P685="",0,1),0))</f>
        <v/>
      </c>
      <c r="W685" s="12" t="str">
        <f>IF(Data!P685="","",IF(ISNUMBER(MATCH(Data!Q685,Data_Val!$A$2:$A$3,0)),0,1))</f>
        <v/>
      </c>
      <c r="X685" s="26" t="str">
        <f ca="1">IF(Data!P685="","",IF(ISNUMBER(Data!R685),IF(AND(Data!R685&gt;(TODAY()-(Data_Val!$L$3*365.25)),Data!R685&lt;=(TODAY()-(Data_Val!$L$2*365.25))),0,1),1))</f>
        <v/>
      </c>
      <c r="Y685" s="13" t="str">
        <f>IF(Data!$G685="","",IF(Data!$G685=Data_Val!$C$2,IF(Data!S685="",0,1),0))</f>
        <v/>
      </c>
      <c r="Z685" s="13" t="str">
        <f>IF(Data!S685="","",IF(ISNUMBER(MATCH(Data!T685,Data_Val!$A$2:$A$3,0)),0,1))</f>
        <v/>
      </c>
      <c r="AA685" s="28" t="str">
        <f ca="1">IF(Data!S685="","",IF(ISNUMBER(Data!U685),IF(AND(Data!U685&gt;(TODAY()-(Data_Val!$L$3*365.25)),Data!U685&lt;=(TODAY()-(Data_Val!$L$2*365.25))),0,1),1))</f>
        <v/>
      </c>
      <c r="AB685" s="11"/>
      <c r="AC685" s="11" t="e">
        <f>IF(Data!#REF!="","",IF(ISNUMBER(MATCH(Data!#REF!,Data_Val!$A$2:$A$3,0)),0,1))</f>
        <v>#REF!</v>
      </c>
      <c r="AD685" s="11" t="e">
        <f ca="1">IF(Data!#REF!="","",IF(ISNUMBER(Data!#REF!),IF(AND(Data!#REF!&gt;(TODAY()-(Data_Val!$L$3*365.25)),Data!#REF!&lt;=(TODAY()-(Data_Val!$L$2*365.25))),0,1),1))</f>
        <v>#REF!</v>
      </c>
      <c r="AE685" s="11" t="e">
        <f>IF(Data!#REF!="","",IF(Data!$G685="",1,IF(ISNUMBER(MATCH(Data!#REF!,Data_Val!$D$2:$D$10,0)),0,1)))</f>
        <v>#REF!</v>
      </c>
      <c r="AF685" s="12"/>
      <c r="AG685" s="12" t="e">
        <f>IF(Data!#REF!="","",IF(ISNUMBER(MATCH(Data!#REF!,Data_Val!$A$2:$A$3,0)),0,1))</f>
        <v>#REF!</v>
      </c>
      <c r="AH685" s="26" t="e">
        <f ca="1">IF(Data!#REF!="","",IF(ISNUMBER(Data!#REF!),IF(AND(Data!#REF!&gt;(TODAY()-(Data_Val!$L$3*365.25)),Data!#REF!&lt;=(TODAY()-(Data_Val!$L$2*365.25))),0,1),1))</f>
        <v>#REF!</v>
      </c>
      <c r="AI685" s="12" t="e">
        <f>IF(Data!#REF!="","",IF(Data!$G685="",1,IF(ISNUMBER(MATCH(Data!#REF!,Data_Val!$D$2:$D$10,0)),0,1)))</f>
        <v>#REF!</v>
      </c>
      <c r="AJ685" s="17"/>
      <c r="AK685" s="17" t="e">
        <f>IF(Data!#REF!="","",IF(ISNUMBER(MATCH(Data!#REF!,Data_Val!$A$2:$A$3,0)),0,1))</f>
        <v>#REF!</v>
      </c>
      <c r="AL685" s="25" t="e">
        <f ca="1">IF(Data!#REF!="","",IF(ISNUMBER(Data!#REF!),IF(AND(Data!#REF!&gt;(TODAY()-(Data_Val!$L$3*365.25)),Data!#REF!&lt;=(TODAY()-(Data_Val!$L$2*365.25))),0,1),1))</f>
        <v>#REF!</v>
      </c>
      <c r="AM685" s="17" t="e">
        <f>IF(Data!#REF!="","",IF(Data!$G685="",1,IF(ISNUMBER(MATCH(Data!#REF!,Data_Val!$D$2:$D$10,0)),0,1)))</f>
        <v>#REF!</v>
      </c>
      <c r="AN685" s="13"/>
      <c r="AO685" s="28" t="e">
        <f ca="1">IF(Data!#REF!="","",IF(ISNUMBER(Data!#REF!),IF(AND(Data!#REF!&gt;(TODAY()-(Data_Val!$I$3*365.25)),Data!#REF!&lt;=(TODAY()-(Data_Val!$I$2*365.25))),0,1),1))</f>
        <v>#REF!</v>
      </c>
      <c r="AP685" s="13" t="e">
        <f>IF(Data!#REF!="","",IF(Data!$G685="",1,IF(ISNUMBER(MATCH(Data!#REF!,Data_Val!$D$2:$D$10,0)),0,1)))</f>
        <v>#REF!</v>
      </c>
      <c r="AQ685" s="17"/>
      <c r="AR685" s="30" t="e">
        <f ca="1">IF(Data!#REF!="","",IF(ISNUMBER(Data!#REF!),IF(AND(Data!#REF!&gt;(TODAY()-(Data_Val!$I$3*365.25)),Data!#REF!&lt;=(TODAY()-(Data_Val!$I$2*365.25))),0,1),1))</f>
        <v>#REF!</v>
      </c>
      <c r="AS685" s="31" t="e">
        <f>IF(Data!#REF!="","",IF(Data!$G685="",1,IF(ISNUMBER(MATCH(Data!#REF!,Data_Val!$D$2:$D$10,0)),0,1)))</f>
        <v>#REF!</v>
      </c>
      <c r="AT685" s="11"/>
      <c r="AU685" s="11" t="e">
        <f ca="1">IF(Data!#REF!="","",IF(ISNUMBER(Data!#REF!),IF(AND(Data!#REF!&gt;(TODAY()-(Data_Val!$I$3*365.25)),Data!#REF!&lt;=(TODAY()-(Data_Val!$I$2*365.25))),0,1),1))</f>
        <v>#REF!</v>
      </c>
      <c r="AV685" s="11" t="e">
        <f>IF(Data!#REF!="","",IF(Data!$G685="",1,IF(ISNUMBER(MATCH(Data!#REF!,Data_Val!$D$2:$D$10,0)),0,1)))</f>
        <v>#REF!</v>
      </c>
      <c r="AW685" s="12"/>
      <c r="AX685" s="26" t="e">
        <f ca="1">IF(Data!#REF!="","",IF(ISNUMBER(Data!#REF!),IF(AND(Data!#REF!&gt;(TODAY()-(Data_Val!$I$3*365.25)),Data!#REF!&lt;=(TODAY()-(Data_Val!$I$2*365.25))),0,1),1))</f>
        <v>#REF!</v>
      </c>
      <c r="AY685" s="12" t="e">
        <f>IF(Data!#REF!="","",IF(Data!$G685="",1,IF(ISNUMBER(MATCH(Data!#REF!,Data_Val!$D$2:$D$10,0)),0,1)))</f>
        <v>#REF!</v>
      </c>
      <c r="AZ685" s="11"/>
      <c r="BA685" s="19" t="e">
        <f ca="1">IF(Data!#REF!="","",IF(ISNUMBER(Data!#REF!),IF(AND(Data!#REF!&gt;(TODAY()-(Data_Val!$M$3*365.25)),Data!#REF!&lt;=(TODAY()-(Data_Val!$M$2*365.25))),0,1),1))</f>
        <v>#REF!</v>
      </c>
      <c r="BB685" s="11" t="e">
        <f>IF(Data!#REF!="","",IF(Data!$G685="",1,IF(ISNUMBER(MATCH(Data!#REF!,Data_Val!$D$2:$D$10,0)),0,1)))</f>
        <v>#REF!</v>
      </c>
      <c r="BC685" s="12"/>
      <c r="BD685" s="20" t="e">
        <f ca="1">IF(Data!#REF!="","",IF(ISNUMBER(Data!#REF!),IF(AND(Data!#REF!&gt;(TODAY()-(Data_Val!$M$3*365.25)),Data!#REF!&lt;=(TODAY()-(Data_Val!$M$2*365.25))),0,1),1))</f>
        <v>#REF!</v>
      </c>
      <c r="BE685" s="12" t="e">
        <f>IF(Data!#REF!="","",IF(Data!$G685="",1,IF(ISNUMBER(MATCH(Data!#REF!,Data_Val!$D$2:$D$10,0)),0,1)))</f>
        <v>#REF!</v>
      </c>
      <c r="BF685" s="17"/>
      <c r="BG685" s="18" t="e">
        <f ca="1">IF(Data!#REF!="","",IF(ISNUMBER(Data!#REF!),IF(AND(Data!#REF!&gt;(TODAY()-(Data_Val!$M$3*365.25)),Data!#REF!&lt;=(TODAY()-(Data_Val!$M$2*365.25))),0,1),1))</f>
        <v>#REF!</v>
      </c>
      <c r="BH685" s="29" t="e">
        <f>IF(Data!#REF!="","",IF(Data!$G685="",1,IF(ISNUMBER(MATCH(Data!#REF!,Data_Val!$D$2:$D$10,0)),0,1)))</f>
        <v>#REF!</v>
      </c>
      <c r="BI685" s="13"/>
      <c r="BJ685" s="21" t="e">
        <f ca="1">IF(Data!#REF!="","",IF(ISNUMBER(Data!#REF!),IF(AND(Data!#REF!&gt;(TODAY()-(Data_Val!$M$3*365.25)),Data!#REF!&lt;=(TODAY()-(Data_Val!$M$2*365.25))),0,1),1))</f>
        <v>#REF!</v>
      </c>
      <c r="BK685" s="13" t="e">
        <f>IF(Data!#REF!="","",IF(Data!$G685="",1,IF(ISNUMBER(MATCH(Data!#REF!,Data_Val!$D$2:$D$10,0)),0,1)))</f>
        <v>#REF!</v>
      </c>
    </row>
    <row r="686" spans="1:63" x14ac:dyDescent="0.25">
      <c r="A686" s="9" t="str">
        <f>IF(Data!B686="","",IF(COUNTIFS(Data!A$1:'Data'!A686,Data!A686)&lt;=1,0,1))</f>
        <v/>
      </c>
      <c r="B686" s="9"/>
      <c r="C686" s="23" t="str">
        <f>IF(Data!C686="","",(IF(ISNUMBER(MATCH("*@*.?*",Data!C686,0)),0,1)+IF(COUNTIFS(Data!C$1:'Data'!C686,Data!C686)&gt;1,1,0)))</f>
        <v/>
      </c>
      <c r="D686" s="9" t="str">
        <f>IF(Data!B686="","",IF(ISNUMBER(Data!D686),IF(AND(Data!D686&gt;999999999,Data!D686&lt;=9999999999),IF(COUNTIFS(Data!D$1:'Data'!D686,Data!D686)&lt;=1,0,1),1),1))</f>
        <v/>
      </c>
      <c r="E686" s="9" t="str">
        <f>IF(Data!B686="","",IF(ISNUMBER(MATCH(Data!E686,Data_Val!$A$2:$A$3,0)),0,1))</f>
        <v/>
      </c>
      <c r="F686" s="9" t="str">
        <f ca="1">IF(Data!B686="","",IF(ISNUMBER(Data!F686),IF(AND(Data!F686&gt;(TODAY()-(Data_Val!$H$3*365.25)),Data!F686&lt;=(TODAY()-(Data_Val!$H$2*365.25))),0,1),1))</f>
        <v/>
      </c>
      <c r="G686" s="15" t="str">
        <f>IF(Data!B686="","",IF(AND(Data!G686="",Data!H686&lt;&gt;""),1,IF(Data!#REF!&lt;&gt;"",0,IF(ISNUMBER(MATCH(Data!G686,Data_Val!$C$2:$C$5,0)),0,1))))</f>
        <v/>
      </c>
      <c r="H686" s="15" t="str">
        <f>IF(Data!B686="","",IF(AND(Data!G686&lt;&gt;"",Data!H686=""),1,IF(Data!#REF!&lt;&gt;"",0,IF(Data!G686="",1,IF(ISNUMBER(MATCH(Data!H686,Data_Val!$D$2:$D$35,0)),0,1)))))</f>
        <v/>
      </c>
      <c r="I686" s="15" t="str">
        <f>IF(Data!B686="","",IF(Data!G686&lt;&gt;"",0,IF(ISNUMBER(MATCH(Data!#REF!,Data_Val!$E$2:$E$12,0)),0,1)))</f>
        <v/>
      </c>
      <c r="J686" s="16" t="e">
        <f>IF(OR(Data!B686="",Data!#REF!=""),"",IF(Data!#REF!="",1,0))</f>
        <v>#REF!</v>
      </c>
      <c r="K686" s="16" t="e">
        <f>IF(OR(Data!B686="",Data!#REF!=""),"",IF(Data!#REF!="",1,0))</f>
        <v>#REF!</v>
      </c>
      <c r="L686" s="16" t="e">
        <f>IF(OR(Data!B686="",Data!#REF!=""),"",IF(ISNUMBER(Data!#REF!),IF(AND(Data!#REF!&gt;Data_Val!$G$2,Data!#REF!&lt;=Data_Val!$G$3),0,1),1))</f>
        <v>#REF!</v>
      </c>
      <c r="M686" s="9" t="e">
        <f>IF(OR(Data!B686="",Data!#REF!=""),"",IF(ISNUMBER(MATCH(Data!#REF!,Data_Val!$F$1:$F$38,0)),0,1))</f>
        <v>#REF!</v>
      </c>
      <c r="N686" s="9" t="e">
        <f>IF(OR(Data!B686="",Data!#REF!=""),"",IF(Data!#REF!="",1,0))</f>
        <v>#REF!</v>
      </c>
      <c r="O686" s="17" t="e">
        <f>IF(Data!#REF!="","",IF(Data!#REF!="",1,0))</f>
        <v>#REF!</v>
      </c>
      <c r="P686" s="17" t="e">
        <f>IF(Data!#REF!="","",IF(ISNUMBER(MATCH(Data!#REF!,Data_Val!$A$2:$A$3,0)),0,1))</f>
        <v>#REF!</v>
      </c>
      <c r="Q686" s="25" t="e">
        <f ca="1">IF(Data!#REF!="","",IF(ISNUMBER(Data!#REF!),IF(AND(Data!#REF!&gt;(TODAY()-(Data_Val!$J$3*365.25)),Data!#REF!&lt;=(TODAY()-(Data_Val!$J$2*365.25))),0,1),1))</f>
        <v>#REF!</v>
      </c>
      <c r="R686" s="17" t="e">
        <f>IF(Data!#REF!="","",IF(ISNUMBER(MATCH(Data!#REF!,Data_Val!$B$2:$B$15,0)),0,1))</f>
        <v>#REF!</v>
      </c>
      <c r="S686" s="11" t="str">
        <f>IF(Data!G686="","",IF(Data!G686=Data_Val!$C$2,IF(Data!M686="",0,1),0))</f>
        <v/>
      </c>
      <c r="T686" s="11" t="str">
        <f>IF(Data!M686="","",IF(ISNUMBER(MATCH(Data!N686,Data_Val!$A$2:$A$3,0)),0,1))</f>
        <v/>
      </c>
      <c r="U686" s="11" t="str">
        <f ca="1">IF(Data!M686="","",IF(ISNUMBER(Data!O686),IF(AND(Data!O686&gt;(TODAY()-(Data_Val!$K$3*365.25)),Data!O686&lt;=(TODAY()-(Data_Val!$K$2*365.25))),0,1),1))</f>
        <v/>
      </c>
      <c r="V686" s="12" t="str">
        <f>IF(Data!G686="","",IF(Data!G686=Data_Val!$C$2,IF(Data!P686="",0,1),0))</f>
        <v/>
      </c>
      <c r="W686" s="12" t="str">
        <f>IF(Data!P686="","",IF(ISNUMBER(MATCH(Data!Q686,Data_Val!$A$2:$A$3,0)),0,1))</f>
        <v/>
      </c>
      <c r="X686" s="26" t="str">
        <f ca="1">IF(Data!P686="","",IF(ISNUMBER(Data!R686),IF(AND(Data!R686&gt;(TODAY()-(Data_Val!$L$3*365.25)),Data!R686&lt;=(TODAY()-(Data_Val!$L$2*365.25))),0,1),1))</f>
        <v/>
      </c>
      <c r="Y686" s="13" t="str">
        <f>IF(Data!$G686="","",IF(Data!$G686=Data_Val!$C$2,IF(Data!S686="",0,1),0))</f>
        <v/>
      </c>
      <c r="Z686" s="13" t="str">
        <f>IF(Data!S686="","",IF(ISNUMBER(MATCH(Data!T686,Data_Val!$A$2:$A$3,0)),0,1))</f>
        <v/>
      </c>
      <c r="AA686" s="28" t="str">
        <f ca="1">IF(Data!S686="","",IF(ISNUMBER(Data!U686),IF(AND(Data!U686&gt;(TODAY()-(Data_Val!$L$3*365.25)),Data!U686&lt;=(TODAY()-(Data_Val!$L$2*365.25))),0,1),1))</f>
        <v/>
      </c>
      <c r="AB686" s="11"/>
      <c r="AC686" s="11" t="e">
        <f>IF(Data!#REF!="","",IF(ISNUMBER(MATCH(Data!#REF!,Data_Val!$A$2:$A$3,0)),0,1))</f>
        <v>#REF!</v>
      </c>
      <c r="AD686" s="11" t="e">
        <f ca="1">IF(Data!#REF!="","",IF(ISNUMBER(Data!#REF!),IF(AND(Data!#REF!&gt;(TODAY()-(Data_Val!$L$3*365.25)),Data!#REF!&lt;=(TODAY()-(Data_Val!$L$2*365.25))),0,1),1))</f>
        <v>#REF!</v>
      </c>
      <c r="AE686" s="11" t="e">
        <f>IF(Data!#REF!="","",IF(Data!$G686="",1,IF(ISNUMBER(MATCH(Data!#REF!,Data_Val!$D$2:$D$10,0)),0,1)))</f>
        <v>#REF!</v>
      </c>
      <c r="AF686" s="12"/>
      <c r="AG686" s="12" t="e">
        <f>IF(Data!#REF!="","",IF(ISNUMBER(MATCH(Data!#REF!,Data_Val!$A$2:$A$3,0)),0,1))</f>
        <v>#REF!</v>
      </c>
      <c r="AH686" s="26" t="e">
        <f ca="1">IF(Data!#REF!="","",IF(ISNUMBER(Data!#REF!),IF(AND(Data!#REF!&gt;(TODAY()-(Data_Val!$L$3*365.25)),Data!#REF!&lt;=(TODAY()-(Data_Val!$L$2*365.25))),0,1),1))</f>
        <v>#REF!</v>
      </c>
      <c r="AI686" s="12" t="e">
        <f>IF(Data!#REF!="","",IF(Data!$G686="",1,IF(ISNUMBER(MATCH(Data!#REF!,Data_Val!$D$2:$D$10,0)),0,1)))</f>
        <v>#REF!</v>
      </c>
      <c r="AJ686" s="17"/>
      <c r="AK686" s="17" t="e">
        <f>IF(Data!#REF!="","",IF(ISNUMBER(MATCH(Data!#REF!,Data_Val!$A$2:$A$3,0)),0,1))</f>
        <v>#REF!</v>
      </c>
      <c r="AL686" s="25" t="e">
        <f ca="1">IF(Data!#REF!="","",IF(ISNUMBER(Data!#REF!),IF(AND(Data!#REF!&gt;(TODAY()-(Data_Val!$L$3*365.25)),Data!#REF!&lt;=(TODAY()-(Data_Val!$L$2*365.25))),0,1),1))</f>
        <v>#REF!</v>
      </c>
      <c r="AM686" s="17" t="e">
        <f>IF(Data!#REF!="","",IF(Data!$G686="",1,IF(ISNUMBER(MATCH(Data!#REF!,Data_Val!$D$2:$D$10,0)),0,1)))</f>
        <v>#REF!</v>
      </c>
      <c r="AN686" s="13"/>
      <c r="AO686" s="28" t="e">
        <f ca="1">IF(Data!#REF!="","",IF(ISNUMBER(Data!#REF!),IF(AND(Data!#REF!&gt;(TODAY()-(Data_Val!$I$3*365.25)),Data!#REF!&lt;=(TODAY()-(Data_Val!$I$2*365.25))),0,1),1))</f>
        <v>#REF!</v>
      </c>
      <c r="AP686" s="13" t="e">
        <f>IF(Data!#REF!="","",IF(Data!$G686="",1,IF(ISNUMBER(MATCH(Data!#REF!,Data_Val!$D$2:$D$10,0)),0,1)))</f>
        <v>#REF!</v>
      </c>
      <c r="AQ686" s="17"/>
      <c r="AR686" s="30" t="e">
        <f ca="1">IF(Data!#REF!="","",IF(ISNUMBER(Data!#REF!),IF(AND(Data!#REF!&gt;(TODAY()-(Data_Val!$I$3*365.25)),Data!#REF!&lt;=(TODAY()-(Data_Val!$I$2*365.25))),0,1),1))</f>
        <v>#REF!</v>
      </c>
      <c r="AS686" s="31" t="e">
        <f>IF(Data!#REF!="","",IF(Data!$G686="",1,IF(ISNUMBER(MATCH(Data!#REF!,Data_Val!$D$2:$D$10,0)),0,1)))</f>
        <v>#REF!</v>
      </c>
      <c r="AT686" s="11"/>
      <c r="AU686" s="11" t="e">
        <f ca="1">IF(Data!#REF!="","",IF(ISNUMBER(Data!#REF!),IF(AND(Data!#REF!&gt;(TODAY()-(Data_Val!$I$3*365.25)),Data!#REF!&lt;=(TODAY()-(Data_Val!$I$2*365.25))),0,1),1))</f>
        <v>#REF!</v>
      </c>
      <c r="AV686" s="11" t="e">
        <f>IF(Data!#REF!="","",IF(Data!$G686="",1,IF(ISNUMBER(MATCH(Data!#REF!,Data_Val!$D$2:$D$10,0)),0,1)))</f>
        <v>#REF!</v>
      </c>
      <c r="AW686" s="12"/>
      <c r="AX686" s="26" t="e">
        <f ca="1">IF(Data!#REF!="","",IF(ISNUMBER(Data!#REF!),IF(AND(Data!#REF!&gt;(TODAY()-(Data_Val!$I$3*365.25)),Data!#REF!&lt;=(TODAY()-(Data_Val!$I$2*365.25))),0,1),1))</f>
        <v>#REF!</v>
      </c>
      <c r="AY686" s="12" t="e">
        <f>IF(Data!#REF!="","",IF(Data!$G686="",1,IF(ISNUMBER(MATCH(Data!#REF!,Data_Val!$D$2:$D$10,0)),0,1)))</f>
        <v>#REF!</v>
      </c>
      <c r="AZ686" s="11"/>
      <c r="BA686" s="19" t="e">
        <f ca="1">IF(Data!#REF!="","",IF(ISNUMBER(Data!#REF!),IF(AND(Data!#REF!&gt;(TODAY()-(Data_Val!$M$3*365.25)),Data!#REF!&lt;=(TODAY()-(Data_Val!$M$2*365.25))),0,1),1))</f>
        <v>#REF!</v>
      </c>
      <c r="BB686" s="11" t="e">
        <f>IF(Data!#REF!="","",IF(Data!$G686="",1,IF(ISNUMBER(MATCH(Data!#REF!,Data_Val!$D$2:$D$10,0)),0,1)))</f>
        <v>#REF!</v>
      </c>
      <c r="BC686" s="12"/>
      <c r="BD686" s="20" t="e">
        <f ca="1">IF(Data!#REF!="","",IF(ISNUMBER(Data!#REF!),IF(AND(Data!#REF!&gt;(TODAY()-(Data_Val!$M$3*365.25)),Data!#REF!&lt;=(TODAY()-(Data_Val!$M$2*365.25))),0,1),1))</f>
        <v>#REF!</v>
      </c>
      <c r="BE686" s="12" t="e">
        <f>IF(Data!#REF!="","",IF(Data!$G686="",1,IF(ISNUMBER(MATCH(Data!#REF!,Data_Val!$D$2:$D$10,0)),0,1)))</f>
        <v>#REF!</v>
      </c>
      <c r="BF686" s="17"/>
      <c r="BG686" s="18" t="e">
        <f ca="1">IF(Data!#REF!="","",IF(ISNUMBER(Data!#REF!),IF(AND(Data!#REF!&gt;(TODAY()-(Data_Val!$M$3*365.25)),Data!#REF!&lt;=(TODAY()-(Data_Val!$M$2*365.25))),0,1),1))</f>
        <v>#REF!</v>
      </c>
      <c r="BH686" s="29" t="e">
        <f>IF(Data!#REF!="","",IF(Data!$G686="",1,IF(ISNUMBER(MATCH(Data!#REF!,Data_Val!$D$2:$D$10,0)),0,1)))</f>
        <v>#REF!</v>
      </c>
      <c r="BI686" s="13"/>
      <c r="BJ686" s="21" t="e">
        <f ca="1">IF(Data!#REF!="","",IF(ISNUMBER(Data!#REF!),IF(AND(Data!#REF!&gt;(TODAY()-(Data_Val!$M$3*365.25)),Data!#REF!&lt;=(TODAY()-(Data_Val!$M$2*365.25))),0,1),1))</f>
        <v>#REF!</v>
      </c>
      <c r="BK686" s="13" t="e">
        <f>IF(Data!#REF!="","",IF(Data!$G686="",1,IF(ISNUMBER(MATCH(Data!#REF!,Data_Val!$D$2:$D$10,0)),0,1)))</f>
        <v>#REF!</v>
      </c>
    </row>
    <row r="687" spans="1:63" x14ac:dyDescent="0.25">
      <c r="A687" s="9" t="str">
        <f>IF(Data!B687="","",IF(COUNTIFS(Data!A$1:'Data'!A687,Data!A687)&lt;=1,0,1))</f>
        <v/>
      </c>
      <c r="B687" s="9"/>
      <c r="C687" s="23" t="str">
        <f>IF(Data!C687="","",(IF(ISNUMBER(MATCH("*@*.?*",Data!C687,0)),0,1)+IF(COUNTIFS(Data!C$1:'Data'!C687,Data!C687)&gt;1,1,0)))</f>
        <v/>
      </c>
      <c r="D687" s="9" t="str">
        <f>IF(Data!B687="","",IF(ISNUMBER(Data!D687),IF(AND(Data!D687&gt;999999999,Data!D687&lt;=9999999999),IF(COUNTIFS(Data!D$1:'Data'!D687,Data!D687)&lt;=1,0,1),1),1))</f>
        <v/>
      </c>
      <c r="E687" s="9" t="str">
        <f>IF(Data!B687="","",IF(ISNUMBER(MATCH(Data!E687,Data_Val!$A$2:$A$3,0)),0,1))</f>
        <v/>
      </c>
      <c r="F687" s="9" t="str">
        <f ca="1">IF(Data!B687="","",IF(ISNUMBER(Data!F687),IF(AND(Data!F687&gt;(TODAY()-(Data_Val!$H$3*365.25)),Data!F687&lt;=(TODAY()-(Data_Val!$H$2*365.25))),0,1),1))</f>
        <v/>
      </c>
      <c r="G687" s="15" t="str">
        <f>IF(Data!B687="","",IF(AND(Data!G687="",Data!H687&lt;&gt;""),1,IF(Data!#REF!&lt;&gt;"",0,IF(ISNUMBER(MATCH(Data!G687,Data_Val!$C$2:$C$5,0)),0,1))))</f>
        <v/>
      </c>
      <c r="H687" s="15" t="str">
        <f>IF(Data!B687="","",IF(AND(Data!G687&lt;&gt;"",Data!H687=""),1,IF(Data!#REF!&lt;&gt;"",0,IF(Data!G687="",1,IF(ISNUMBER(MATCH(Data!H687,Data_Val!$D$2:$D$35,0)),0,1)))))</f>
        <v/>
      </c>
      <c r="I687" s="15" t="str">
        <f>IF(Data!B687="","",IF(Data!G687&lt;&gt;"",0,IF(ISNUMBER(MATCH(Data!#REF!,Data_Val!$E$2:$E$12,0)),0,1)))</f>
        <v/>
      </c>
      <c r="J687" s="16" t="e">
        <f>IF(OR(Data!B687="",Data!#REF!=""),"",IF(Data!#REF!="",1,0))</f>
        <v>#REF!</v>
      </c>
      <c r="K687" s="16" t="e">
        <f>IF(OR(Data!B687="",Data!#REF!=""),"",IF(Data!#REF!="",1,0))</f>
        <v>#REF!</v>
      </c>
      <c r="L687" s="16" t="e">
        <f>IF(OR(Data!B687="",Data!#REF!=""),"",IF(ISNUMBER(Data!#REF!),IF(AND(Data!#REF!&gt;Data_Val!$G$2,Data!#REF!&lt;=Data_Val!$G$3),0,1),1))</f>
        <v>#REF!</v>
      </c>
      <c r="M687" s="9" t="e">
        <f>IF(OR(Data!B687="",Data!#REF!=""),"",IF(ISNUMBER(MATCH(Data!#REF!,Data_Val!$F$1:$F$38,0)),0,1))</f>
        <v>#REF!</v>
      </c>
      <c r="N687" s="9" t="e">
        <f>IF(OR(Data!B687="",Data!#REF!=""),"",IF(Data!#REF!="",1,0))</f>
        <v>#REF!</v>
      </c>
      <c r="O687" s="17" t="e">
        <f>IF(Data!#REF!="","",IF(Data!#REF!="",1,0))</f>
        <v>#REF!</v>
      </c>
      <c r="P687" s="17" t="e">
        <f>IF(Data!#REF!="","",IF(ISNUMBER(MATCH(Data!#REF!,Data_Val!$A$2:$A$3,0)),0,1))</f>
        <v>#REF!</v>
      </c>
      <c r="Q687" s="25" t="e">
        <f ca="1">IF(Data!#REF!="","",IF(ISNUMBER(Data!#REF!),IF(AND(Data!#REF!&gt;(TODAY()-(Data_Val!$J$3*365.25)),Data!#REF!&lt;=(TODAY()-(Data_Val!$J$2*365.25))),0,1),1))</f>
        <v>#REF!</v>
      </c>
      <c r="R687" s="17" t="e">
        <f>IF(Data!#REF!="","",IF(ISNUMBER(MATCH(Data!#REF!,Data_Val!$B$2:$B$15,0)),0,1))</f>
        <v>#REF!</v>
      </c>
      <c r="S687" s="11" t="str">
        <f>IF(Data!G687="","",IF(Data!G687=Data_Val!$C$2,IF(Data!M687="",0,1),0))</f>
        <v/>
      </c>
      <c r="T687" s="11" t="str">
        <f>IF(Data!M687="","",IF(ISNUMBER(MATCH(Data!N687,Data_Val!$A$2:$A$3,0)),0,1))</f>
        <v/>
      </c>
      <c r="U687" s="11" t="str">
        <f ca="1">IF(Data!M687="","",IF(ISNUMBER(Data!O687),IF(AND(Data!O687&gt;(TODAY()-(Data_Val!$K$3*365.25)),Data!O687&lt;=(TODAY()-(Data_Val!$K$2*365.25))),0,1),1))</f>
        <v/>
      </c>
      <c r="V687" s="12" t="str">
        <f>IF(Data!G687="","",IF(Data!G687=Data_Val!$C$2,IF(Data!P687="",0,1),0))</f>
        <v/>
      </c>
      <c r="W687" s="12" t="str">
        <f>IF(Data!P687="","",IF(ISNUMBER(MATCH(Data!Q687,Data_Val!$A$2:$A$3,0)),0,1))</f>
        <v/>
      </c>
      <c r="X687" s="26" t="str">
        <f ca="1">IF(Data!P687="","",IF(ISNUMBER(Data!R687),IF(AND(Data!R687&gt;(TODAY()-(Data_Val!$L$3*365.25)),Data!R687&lt;=(TODAY()-(Data_Val!$L$2*365.25))),0,1),1))</f>
        <v/>
      </c>
      <c r="Y687" s="13" t="str">
        <f>IF(Data!$G687="","",IF(Data!$G687=Data_Val!$C$2,IF(Data!S687="",0,1),0))</f>
        <v/>
      </c>
      <c r="Z687" s="13" t="str">
        <f>IF(Data!S687="","",IF(ISNUMBER(MATCH(Data!T687,Data_Val!$A$2:$A$3,0)),0,1))</f>
        <v/>
      </c>
      <c r="AA687" s="28" t="str">
        <f ca="1">IF(Data!S687="","",IF(ISNUMBER(Data!U687),IF(AND(Data!U687&gt;(TODAY()-(Data_Val!$L$3*365.25)),Data!U687&lt;=(TODAY()-(Data_Val!$L$2*365.25))),0,1),1))</f>
        <v/>
      </c>
      <c r="AB687" s="11"/>
      <c r="AC687" s="11" t="e">
        <f>IF(Data!#REF!="","",IF(ISNUMBER(MATCH(Data!#REF!,Data_Val!$A$2:$A$3,0)),0,1))</f>
        <v>#REF!</v>
      </c>
      <c r="AD687" s="11" t="e">
        <f ca="1">IF(Data!#REF!="","",IF(ISNUMBER(Data!#REF!),IF(AND(Data!#REF!&gt;(TODAY()-(Data_Val!$L$3*365.25)),Data!#REF!&lt;=(TODAY()-(Data_Val!$L$2*365.25))),0,1),1))</f>
        <v>#REF!</v>
      </c>
      <c r="AE687" s="11" t="e">
        <f>IF(Data!#REF!="","",IF(Data!$G687="",1,IF(ISNUMBER(MATCH(Data!#REF!,Data_Val!$D$2:$D$10,0)),0,1)))</f>
        <v>#REF!</v>
      </c>
      <c r="AF687" s="12"/>
      <c r="AG687" s="12" t="e">
        <f>IF(Data!#REF!="","",IF(ISNUMBER(MATCH(Data!#REF!,Data_Val!$A$2:$A$3,0)),0,1))</f>
        <v>#REF!</v>
      </c>
      <c r="AH687" s="26" t="e">
        <f ca="1">IF(Data!#REF!="","",IF(ISNUMBER(Data!#REF!),IF(AND(Data!#REF!&gt;(TODAY()-(Data_Val!$L$3*365.25)),Data!#REF!&lt;=(TODAY()-(Data_Val!$L$2*365.25))),0,1),1))</f>
        <v>#REF!</v>
      </c>
      <c r="AI687" s="12" t="e">
        <f>IF(Data!#REF!="","",IF(Data!$G687="",1,IF(ISNUMBER(MATCH(Data!#REF!,Data_Val!$D$2:$D$10,0)),0,1)))</f>
        <v>#REF!</v>
      </c>
      <c r="AJ687" s="17"/>
      <c r="AK687" s="17" t="e">
        <f>IF(Data!#REF!="","",IF(ISNUMBER(MATCH(Data!#REF!,Data_Val!$A$2:$A$3,0)),0,1))</f>
        <v>#REF!</v>
      </c>
      <c r="AL687" s="25" t="e">
        <f ca="1">IF(Data!#REF!="","",IF(ISNUMBER(Data!#REF!),IF(AND(Data!#REF!&gt;(TODAY()-(Data_Val!$L$3*365.25)),Data!#REF!&lt;=(TODAY()-(Data_Val!$L$2*365.25))),0,1),1))</f>
        <v>#REF!</v>
      </c>
      <c r="AM687" s="17" t="e">
        <f>IF(Data!#REF!="","",IF(Data!$G687="",1,IF(ISNUMBER(MATCH(Data!#REF!,Data_Val!$D$2:$D$10,0)),0,1)))</f>
        <v>#REF!</v>
      </c>
      <c r="AN687" s="13"/>
      <c r="AO687" s="28" t="e">
        <f ca="1">IF(Data!#REF!="","",IF(ISNUMBER(Data!#REF!),IF(AND(Data!#REF!&gt;(TODAY()-(Data_Val!$I$3*365.25)),Data!#REF!&lt;=(TODAY()-(Data_Val!$I$2*365.25))),0,1),1))</f>
        <v>#REF!</v>
      </c>
      <c r="AP687" s="13" t="e">
        <f>IF(Data!#REF!="","",IF(Data!$G687="",1,IF(ISNUMBER(MATCH(Data!#REF!,Data_Val!$D$2:$D$10,0)),0,1)))</f>
        <v>#REF!</v>
      </c>
      <c r="AQ687" s="17"/>
      <c r="AR687" s="30" t="e">
        <f ca="1">IF(Data!#REF!="","",IF(ISNUMBER(Data!#REF!),IF(AND(Data!#REF!&gt;(TODAY()-(Data_Val!$I$3*365.25)),Data!#REF!&lt;=(TODAY()-(Data_Val!$I$2*365.25))),0,1),1))</f>
        <v>#REF!</v>
      </c>
      <c r="AS687" s="31" t="e">
        <f>IF(Data!#REF!="","",IF(Data!$G687="",1,IF(ISNUMBER(MATCH(Data!#REF!,Data_Val!$D$2:$D$10,0)),0,1)))</f>
        <v>#REF!</v>
      </c>
      <c r="AT687" s="11"/>
      <c r="AU687" s="11" t="e">
        <f ca="1">IF(Data!#REF!="","",IF(ISNUMBER(Data!#REF!),IF(AND(Data!#REF!&gt;(TODAY()-(Data_Val!$I$3*365.25)),Data!#REF!&lt;=(TODAY()-(Data_Val!$I$2*365.25))),0,1),1))</f>
        <v>#REF!</v>
      </c>
      <c r="AV687" s="11" t="e">
        <f>IF(Data!#REF!="","",IF(Data!$G687="",1,IF(ISNUMBER(MATCH(Data!#REF!,Data_Val!$D$2:$D$10,0)),0,1)))</f>
        <v>#REF!</v>
      </c>
      <c r="AW687" s="12"/>
      <c r="AX687" s="26" t="e">
        <f ca="1">IF(Data!#REF!="","",IF(ISNUMBER(Data!#REF!),IF(AND(Data!#REF!&gt;(TODAY()-(Data_Val!$I$3*365.25)),Data!#REF!&lt;=(TODAY()-(Data_Val!$I$2*365.25))),0,1),1))</f>
        <v>#REF!</v>
      </c>
      <c r="AY687" s="12" t="e">
        <f>IF(Data!#REF!="","",IF(Data!$G687="",1,IF(ISNUMBER(MATCH(Data!#REF!,Data_Val!$D$2:$D$10,0)),0,1)))</f>
        <v>#REF!</v>
      </c>
      <c r="AZ687" s="11"/>
      <c r="BA687" s="19" t="e">
        <f ca="1">IF(Data!#REF!="","",IF(ISNUMBER(Data!#REF!),IF(AND(Data!#REF!&gt;(TODAY()-(Data_Val!$M$3*365.25)),Data!#REF!&lt;=(TODAY()-(Data_Val!$M$2*365.25))),0,1),1))</f>
        <v>#REF!</v>
      </c>
      <c r="BB687" s="11" t="e">
        <f>IF(Data!#REF!="","",IF(Data!$G687="",1,IF(ISNUMBER(MATCH(Data!#REF!,Data_Val!$D$2:$D$10,0)),0,1)))</f>
        <v>#REF!</v>
      </c>
      <c r="BC687" s="12"/>
      <c r="BD687" s="20" t="e">
        <f ca="1">IF(Data!#REF!="","",IF(ISNUMBER(Data!#REF!),IF(AND(Data!#REF!&gt;(TODAY()-(Data_Val!$M$3*365.25)),Data!#REF!&lt;=(TODAY()-(Data_Val!$M$2*365.25))),0,1),1))</f>
        <v>#REF!</v>
      </c>
      <c r="BE687" s="12" t="e">
        <f>IF(Data!#REF!="","",IF(Data!$G687="",1,IF(ISNUMBER(MATCH(Data!#REF!,Data_Val!$D$2:$D$10,0)),0,1)))</f>
        <v>#REF!</v>
      </c>
      <c r="BF687" s="17"/>
      <c r="BG687" s="18" t="e">
        <f ca="1">IF(Data!#REF!="","",IF(ISNUMBER(Data!#REF!),IF(AND(Data!#REF!&gt;(TODAY()-(Data_Val!$M$3*365.25)),Data!#REF!&lt;=(TODAY()-(Data_Val!$M$2*365.25))),0,1),1))</f>
        <v>#REF!</v>
      </c>
      <c r="BH687" s="29" t="e">
        <f>IF(Data!#REF!="","",IF(Data!$G687="",1,IF(ISNUMBER(MATCH(Data!#REF!,Data_Val!$D$2:$D$10,0)),0,1)))</f>
        <v>#REF!</v>
      </c>
      <c r="BI687" s="13"/>
      <c r="BJ687" s="21" t="e">
        <f ca="1">IF(Data!#REF!="","",IF(ISNUMBER(Data!#REF!),IF(AND(Data!#REF!&gt;(TODAY()-(Data_Val!$M$3*365.25)),Data!#REF!&lt;=(TODAY()-(Data_Val!$M$2*365.25))),0,1),1))</f>
        <v>#REF!</v>
      </c>
      <c r="BK687" s="13" t="e">
        <f>IF(Data!#REF!="","",IF(Data!$G687="",1,IF(ISNUMBER(MATCH(Data!#REF!,Data_Val!$D$2:$D$10,0)),0,1)))</f>
        <v>#REF!</v>
      </c>
    </row>
    <row r="688" spans="1:63" x14ac:dyDescent="0.25">
      <c r="A688" s="9" t="str">
        <f>IF(Data!B688="","",IF(COUNTIFS(Data!A$1:'Data'!A688,Data!A688)&lt;=1,0,1))</f>
        <v/>
      </c>
      <c r="B688" s="9"/>
      <c r="C688" s="23" t="str">
        <f>IF(Data!C688="","",(IF(ISNUMBER(MATCH("*@*.?*",Data!C688,0)),0,1)+IF(COUNTIFS(Data!C$1:'Data'!C688,Data!C688)&gt;1,1,0)))</f>
        <v/>
      </c>
      <c r="D688" s="9" t="str">
        <f>IF(Data!B688="","",IF(ISNUMBER(Data!D688),IF(AND(Data!D688&gt;999999999,Data!D688&lt;=9999999999),IF(COUNTIFS(Data!D$1:'Data'!D688,Data!D688)&lt;=1,0,1),1),1))</f>
        <v/>
      </c>
      <c r="E688" s="9" t="str">
        <f>IF(Data!B688="","",IF(ISNUMBER(MATCH(Data!E688,Data_Val!$A$2:$A$3,0)),0,1))</f>
        <v/>
      </c>
      <c r="F688" s="9" t="str">
        <f ca="1">IF(Data!B688="","",IF(ISNUMBER(Data!F688),IF(AND(Data!F688&gt;(TODAY()-(Data_Val!$H$3*365.25)),Data!F688&lt;=(TODAY()-(Data_Val!$H$2*365.25))),0,1),1))</f>
        <v/>
      </c>
      <c r="G688" s="15" t="str">
        <f>IF(Data!B688="","",IF(AND(Data!G688="",Data!H688&lt;&gt;""),1,IF(Data!#REF!&lt;&gt;"",0,IF(ISNUMBER(MATCH(Data!G688,Data_Val!$C$2:$C$5,0)),0,1))))</f>
        <v/>
      </c>
      <c r="H688" s="15" t="str">
        <f>IF(Data!B688="","",IF(AND(Data!G688&lt;&gt;"",Data!H688=""),1,IF(Data!#REF!&lt;&gt;"",0,IF(Data!G688="",1,IF(ISNUMBER(MATCH(Data!H688,Data_Val!$D$2:$D$35,0)),0,1)))))</f>
        <v/>
      </c>
      <c r="I688" s="15" t="str">
        <f>IF(Data!B688="","",IF(Data!G688&lt;&gt;"",0,IF(ISNUMBER(MATCH(Data!#REF!,Data_Val!$E$2:$E$12,0)),0,1)))</f>
        <v/>
      </c>
      <c r="J688" s="16" t="e">
        <f>IF(OR(Data!B688="",Data!#REF!=""),"",IF(Data!#REF!="",1,0))</f>
        <v>#REF!</v>
      </c>
      <c r="K688" s="16" t="e">
        <f>IF(OR(Data!B688="",Data!#REF!=""),"",IF(Data!#REF!="",1,0))</f>
        <v>#REF!</v>
      </c>
      <c r="L688" s="16" t="e">
        <f>IF(OR(Data!B688="",Data!#REF!=""),"",IF(ISNUMBER(Data!#REF!),IF(AND(Data!#REF!&gt;Data_Val!$G$2,Data!#REF!&lt;=Data_Val!$G$3),0,1),1))</f>
        <v>#REF!</v>
      </c>
      <c r="M688" s="9" t="e">
        <f>IF(OR(Data!B688="",Data!#REF!=""),"",IF(ISNUMBER(MATCH(Data!#REF!,Data_Val!$F$1:$F$38,0)),0,1))</f>
        <v>#REF!</v>
      </c>
      <c r="N688" s="9" t="e">
        <f>IF(OR(Data!B688="",Data!#REF!=""),"",IF(Data!#REF!="",1,0))</f>
        <v>#REF!</v>
      </c>
      <c r="O688" s="17" t="e">
        <f>IF(Data!#REF!="","",IF(Data!#REF!="",1,0))</f>
        <v>#REF!</v>
      </c>
      <c r="P688" s="17" t="e">
        <f>IF(Data!#REF!="","",IF(ISNUMBER(MATCH(Data!#REF!,Data_Val!$A$2:$A$3,0)),0,1))</f>
        <v>#REF!</v>
      </c>
      <c r="Q688" s="25" t="e">
        <f ca="1">IF(Data!#REF!="","",IF(ISNUMBER(Data!#REF!),IF(AND(Data!#REF!&gt;(TODAY()-(Data_Val!$J$3*365.25)),Data!#REF!&lt;=(TODAY()-(Data_Val!$J$2*365.25))),0,1),1))</f>
        <v>#REF!</v>
      </c>
      <c r="R688" s="17" t="e">
        <f>IF(Data!#REF!="","",IF(ISNUMBER(MATCH(Data!#REF!,Data_Val!$B$2:$B$15,0)),0,1))</f>
        <v>#REF!</v>
      </c>
      <c r="S688" s="11" t="str">
        <f>IF(Data!G688="","",IF(Data!G688=Data_Val!$C$2,IF(Data!M688="",0,1),0))</f>
        <v/>
      </c>
      <c r="T688" s="11" t="str">
        <f>IF(Data!M688="","",IF(ISNUMBER(MATCH(Data!N688,Data_Val!$A$2:$A$3,0)),0,1))</f>
        <v/>
      </c>
      <c r="U688" s="11" t="str">
        <f ca="1">IF(Data!M688="","",IF(ISNUMBER(Data!O688),IF(AND(Data!O688&gt;(TODAY()-(Data_Val!$K$3*365.25)),Data!O688&lt;=(TODAY()-(Data_Val!$K$2*365.25))),0,1),1))</f>
        <v/>
      </c>
      <c r="V688" s="12" t="str">
        <f>IF(Data!G688="","",IF(Data!G688=Data_Val!$C$2,IF(Data!P688="",0,1),0))</f>
        <v/>
      </c>
      <c r="W688" s="12" t="str">
        <f>IF(Data!P688="","",IF(ISNUMBER(MATCH(Data!Q688,Data_Val!$A$2:$A$3,0)),0,1))</f>
        <v/>
      </c>
      <c r="X688" s="26" t="str">
        <f ca="1">IF(Data!P688="","",IF(ISNUMBER(Data!R688),IF(AND(Data!R688&gt;(TODAY()-(Data_Val!$L$3*365.25)),Data!R688&lt;=(TODAY()-(Data_Val!$L$2*365.25))),0,1),1))</f>
        <v/>
      </c>
      <c r="Y688" s="13" t="str">
        <f>IF(Data!$G688="","",IF(Data!$G688=Data_Val!$C$2,IF(Data!S688="",0,1),0))</f>
        <v/>
      </c>
      <c r="Z688" s="13" t="str">
        <f>IF(Data!S688="","",IF(ISNUMBER(MATCH(Data!T688,Data_Val!$A$2:$A$3,0)),0,1))</f>
        <v/>
      </c>
      <c r="AA688" s="28" t="str">
        <f ca="1">IF(Data!S688="","",IF(ISNUMBER(Data!U688),IF(AND(Data!U688&gt;(TODAY()-(Data_Val!$L$3*365.25)),Data!U688&lt;=(TODAY()-(Data_Val!$L$2*365.25))),0,1),1))</f>
        <v/>
      </c>
      <c r="AB688" s="11"/>
      <c r="AC688" s="11" t="e">
        <f>IF(Data!#REF!="","",IF(ISNUMBER(MATCH(Data!#REF!,Data_Val!$A$2:$A$3,0)),0,1))</f>
        <v>#REF!</v>
      </c>
      <c r="AD688" s="11" t="e">
        <f ca="1">IF(Data!#REF!="","",IF(ISNUMBER(Data!#REF!),IF(AND(Data!#REF!&gt;(TODAY()-(Data_Val!$L$3*365.25)),Data!#REF!&lt;=(TODAY()-(Data_Val!$L$2*365.25))),0,1),1))</f>
        <v>#REF!</v>
      </c>
      <c r="AE688" s="11" t="e">
        <f>IF(Data!#REF!="","",IF(Data!$G688="",1,IF(ISNUMBER(MATCH(Data!#REF!,Data_Val!$D$2:$D$10,0)),0,1)))</f>
        <v>#REF!</v>
      </c>
      <c r="AF688" s="12"/>
      <c r="AG688" s="12" t="e">
        <f>IF(Data!#REF!="","",IF(ISNUMBER(MATCH(Data!#REF!,Data_Val!$A$2:$A$3,0)),0,1))</f>
        <v>#REF!</v>
      </c>
      <c r="AH688" s="26" t="e">
        <f ca="1">IF(Data!#REF!="","",IF(ISNUMBER(Data!#REF!),IF(AND(Data!#REF!&gt;(TODAY()-(Data_Val!$L$3*365.25)),Data!#REF!&lt;=(TODAY()-(Data_Val!$L$2*365.25))),0,1),1))</f>
        <v>#REF!</v>
      </c>
      <c r="AI688" s="12" t="e">
        <f>IF(Data!#REF!="","",IF(Data!$G688="",1,IF(ISNUMBER(MATCH(Data!#REF!,Data_Val!$D$2:$D$10,0)),0,1)))</f>
        <v>#REF!</v>
      </c>
      <c r="AJ688" s="17"/>
      <c r="AK688" s="17" t="e">
        <f>IF(Data!#REF!="","",IF(ISNUMBER(MATCH(Data!#REF!,Data_Val!$A$2:$A$3,0)),0,1))</f>
        <v>#REF!</v>
      </c>
      <c r="AL688" s="25" t="e">
        <f ca="1">IF(Data!#REF!="","",IF(ISNUMBER(Data!#REF!),IF(AND(Data!#REF!&gt;(TODAY()-(Data_Val!$L$3*365.25)),Data!#REF!&lt;=(TODAY()-(Data_Val!$L$2*365.25))),0,1),1))</f>
        <v>#REF!</v>
      </c>
      <c r="AM688" s="17" t="e">
        <f>IF(Data!#REF!="","",IF(Data!$G688="",1,IF(ISNUMBER(MATCH(Data!#REF!,Data_Val!$D$2:$D$10,0)),0,1)))</f>
        <v>#REF!</v>
      </c>
      <c r="AN688" s="13"/>
      <c r="AO688" s="28" t="e">
        <f ca="1">IF(Data!#REF!="","",IF(ISNUMBER(Data!#REF!),IF(AND(Data!#REF!&gt;(TODAY()-(Data_Val!$I$3*365.25)),Data!#REF!&lt;=(TODAY()-(Data_Val!$I$2*365.25))),0,1),1))</f>
        <v>#REF!</v>
      </c>
      <c r="AP688" s="13" t="e">
        <f>IF(Data!#REF!="","",IF(Data!$G688="",1,IF(ISNUMBER(MATCH(Data!#REF!,Data_Val!$D$2:$D$10,0)),0,1)))</f>
        <v>#REF!</v>
      </c>
      <c r="AQ688" s="17"/>
      <c r="AR688" s="30" t="e">
        <f ca="1">IF(Data!#REF!="","",IF(ISNUMBER(Data!#REF!),IF(AND(Data!#REF!&gt;(TODAY()-(Data_Val!$I$3*365.25)),Data!#REF!&lt;=(TODAY()-(Data_Val!$I$2*365.25))),0,1),1))</f>
        <v>#REF!</v>
      </c>
      <c r="AS688" s="31" t="e">
        <f>IF(Data!#REF!="","",IF(Data!$G688="",1,IF(ISNUMBER(MATCH(Data!#REF!,Data_Val!$D$2:$D$10,0)),0,1)))</f>
        <v>#REF!</v>
      </c>
      <c r="AT688" s="11"/>
      <c r="AU688" s="11" t="e">
        <f ca="1">IF(Data!#REF!="","",IF(ISNUMBER(Data!#REF!),IF(AND(Data!#REF!&gt;(TODAY()-(Data_Val!$I$3*365.25)),Data!#REF!&lt;=(TODAY()-(Data_Val!$I$2*365.25))),0,1),1))</f>
        <v>#REF!</v>
      </c>
      <c r="AV688" s="11" t="e">
        <f>IF(Data!#REF!="","",IF(Data!$G688="",1,IF(ISNUMBER(MATCH(Data!#REF!,Data_Val!$D$2:$D$10,0)),0,1)))</f>
        <v>#REF!</v>
      </c>
      <c r="AW688" s="12"/>
      <c r="AX688" s="26" t="e">
        <f ca="1">IF(Data!#REF!="","",IF(ISNUMBER(Data!#REF!),IF(AND(Data!#REF!&gt;(TODAY()-(Data_Val!$I$3*365.25)),Data!#REF!&lt;=(TODAY()-(Data_Val!$I$2*365.25))),0,1),1))</f>
        <v>#REF!</v>
      </c>
      <c r="AY688" s="12" t="e">
        <f>IF(Data!#REF!="","",IF(Data!$G688="",1,IF(ISNUMBER(MATCH(Data!#REF!,Data_Val!$D$2:$D$10,0)),0,1)))</f>
        <v>#REF!</v>
      </c>
      <c r="AZ688" s="11"/>
      <c r="BA688" s="19" t="e">
        <f ca="1">IF(Data!#REF!="","",IF(ISNUMBER(Data!#REF!),IF(AND(Data!#REF!&gt;(TODAY()-(Data_Val!$M$3*365.25)),Data!#REF!&lt;=(TODAY()-(Data_Val!$M$2*365.25))),0,1),1))</f>
        <v>#REF!</v>
      </c>
      <c r="BB688" s="11" t="e">
        <f>IF(Data!#REF!="","",IF(Data!$G688="",1,IF(ISNUMBER(MATCH(Data!#REF!,Data_Val!$D$2:$D$10,0)),0,1)))</f>
        <v>#REF!</v>
      </c>
      <c r="BC688" s="12"/>
      <c r="BD688" s="20" t="e">
        <f ca="1">IF(Data!#REF!="","",IF(ISNUMBER(Data!#REF!),IF(AND(Data!#REF!&gt;(TODAY()-(Data_Val!$M$3*365.25)),Data!#REF!&lt;=(TODAY()-(Data_Val!$M$2*365.25))),0,1),1))</f>
        <v>#REF!</v>
      </c>
      <c r="BE688" s="12" t="e">
        <f>IF(Data!#REF!="","",IF(Data!$G688="",1,IF(ISNUMBER(MATCH(Data!#REF!,Data_Val!$D$2:$D$10,0)),0,1)))</f>
        <v>#REF!</v>
      </c>
      <c r="BF688" s="17"/>
      <c r="BG688" s="18" t="e">
        <f ca="1">IF(Data!#REF!="","",IF(ISNUMBER(Data!#REF!),IF(AND(Data!#REF!&gt;(TODAY()-(Data_Val!$M$3*365.25)),Data!#REF!&lt;=(TODAY()-(Data_Val!$M$2*365.25))),0,1),1))</f>
        <v>#REF!</v>
      </c>
      <c r="BH688" s="29" t="e">
        <f>IF(Data!#REF!="","",IF(Data!$G688="",1,IF(ISNUMBER(MATCH(Data!#REF!,Data_Val!$D$2:$D$10,0)),0,1)))</f>
        <v>#REF!</v>
      </c>
      <c r="BI688" s="13"/>
      <c r="BJ688" s="21" t="e">
        <f ca="1">IF(Data!#REF!="","",IF(ISNUMBER(Data!#REF!),IF(AND(Data!#REF!&gt;(TODAY()-(Data_Val!$M$3*365.25)),Data!#REF!&lt;=(TODAY()-(Data_Val!$M$2*365.25))),0,1),1))</f>
        <v>#REF!</v>
      </c>
      <c r="BK688" s="13" t="e">
        <f>IF(Data!#REF!="","",IF(Data!$G688="",1,IF(ISNUMBER(MATCH(Data!#REF!,Data_Val!$D$2:$D$10,0)),0,1)))</f>
        <v>#REF!</v>
      </c>
    </row>
    <row r="689" spans="1:63" x14ac:dyDescent="0.25">
      <c r="A689" s="9" t="str">
        <f>IF(Data!B689="","",IF(COUNTIFS(Data!A$1:'Data'!A689,Data!A689)&lt;=1,0,1))</f>
        <v/>
      </c>
      <c r="B689" s="9"/>
      <c r="C689" s="23" t="str">
        <f>IF(Data!C689="","",(IF(ISNUMBER(MATCH("*@*.?*",Data!C689,0)),0,1)+IF(COUNTIFS(Data!C$1:'Data'!C689,Data!C689)&gt;1,1,0)))</f>
        <v/>
      </c>
      <c r="D689" s="9" t="str">
        <f>IF(Data!B689="","",IF(ISNUMBER(Data!D689),IF(AND(Data!D689&gt;999999999,Data!D689&lt;=9999999999),IF(COUNTIFS(Data!D$1:'Data'!D689,Data!D689)&lt;=1,0,1),1),1))</f>
        <v/>
      </c>
      <c r="E689" s="9" t="str">
        <f>IF(Data!B689="","",IF(ISNUMBER(MATCH(Data!E689,Data_Val!$A$2:$A$3,0)),0,1))</f>
        <v/>
      </c>
      <c r="F689" s="9" t="str">
        <f ca="1">IF(Data!B689="","",IF(ISNUMBER(Data!F689),IF(AND(Data!F689&gt;(TODAY()-(Data_Val!$H$3*365.25)),Data!F689&lt;=(TODAY()-(Data_Val!$H$2*365.25))),0,1),1))</f>
        <v/>
      </c>
      <c r="G689" s="15" t="str">
        <f>IF(Data!B689="","",IF(AND(Data!G689="",Data!H689&lt;&gt;""),1,IF(Data!#REF!&lt;&gt;"",0,IF(ISNUMBER(MATCH(Data!G689,Data_Val!$C$2:$C$5,0)),0,1))))</f>
        <v/>
      </c>
      <c r="H689" s="15" t="str">
        <f>IF(Data!B689="","",IF(AND(Data!G689&lt;&gt;"",Data!H689=""),1,IF(Data!#REF!&lt;&gt;"",0,IF(Data!G689="",1,IF(ISNUMBER(MATCH(Data!H689,Data_Val!$D$2:$D$35,0)),0,1)))))</f>
        <v/>
      </c>
      <c r="I689" s="15" t="str">
        <f>IF(Data!B689="","",IF(Data!G689&lt;&gt;"",0,IF(ISNUMBER(MATCH(Data!#REF!,Data_Val!$E$2:$E$12,0)),0,1)))</f>
        <v/>
      </c>
      <c r="J689" s="16" t="e">
        <f>IF(OR(Data!B689="",Data!#REF!=""),"",IF(Data!#REF!="",1,0))</f>
        <v>#REF!</v>
      </c>
      <c r="K689" s="16" t="e">
        <f>IF(OR(Data!B689="",Data!#REF!=""),"",IF(Data!#REF!="",1,0))</f>
        <v>#REF!</v>
      </c>
      <c r="L689" s="16" t="e">
        <f>IF(OR(Data!B689="",Data!#REF!=""),"",IF(ISNUMBER(Data!#REF!),IF(AND(Data!#REF!&gt;Data_Val!$G$2,Data!#REF!&lt;=Data_Val!$G$3),0,1),1))</f>
        <v>#REF!</v>
      </c>
      <c r="M689" s="9" t="e">
        <f>IF(OR(Data!B689="",Data!#REF!=""),"",IF(ISNUMBER(MATCH(Data!#REF!,Data_Val!$F$1:$F$38,0)),0,1))</f>
        <v>#REF!</v>
      </c>
      <c r="N689" s="9" t="e">
        <f>IF(OR(Data!B689="",Data!#REF!=""),"",IF(Data!#REF!="",1,0))</f>
        <v>#REF!</v>
      </c>
      <c r="O689" s="17" t="e">
        <f>IF(Data!#REF!="","",IF(Data!#REF!="",1,0))</f>
        <v>#REF!</v>
      </c>
      <c r="P689" s="17" t="e">
        <f>IF(Data!#REF!="","",IF(ISNUMBER(MATCH(Data!#REF!,Data_Val!$A$2:$A$3,0)),0,1))</f>
        <v>#REF!</v>
      </c>
      <c r="Q689" s="25" t="e">
        <f ca="1">IF(Data!#REF!="","",IF(ISNUMBER(Data!#REF!),IF(AND(Data!#REF!&gt;(TODAY()-(Data_Val!$J$3*365.25)),Data!#REF!&lt;=(TODAY()-(Data_Val!$J$2*365.25))),0,1),1))</f>
        <v>#REF!</v>
      </c>
      <c r="R689" s="17" t="e">
        <f>IF(Data!#REF!="","",IF(ISNUMBER(MATCH(Data!#REF!,Data_Val!$B$2:$B$15,0)),0,1))</f>
        <v>#REF!</v>
      </c>
      <c r="S689" s="11" t="str">
        <f>IF(Data!G689="","",IF(Data!G689=Data_Val!$C$2,IF(Data!M689="",0,1),0))</f>
        <v/>
      </c>
      <c r="T689" s="11" t="str">
        <f>IF(Data!M689="","",IF(ISNUMBER(MATCH(Data!N689,Data_Val!$A$2:$A$3,0)),0,1))</f>
        <v/>
      </c>
      <c r="U689" s="11" t="str">
        <f ca="1">IF(Data!M689="","",IF(ISNUMBER(Data!O689),IF(AND(Data!O689&gt;(TODAY()-(Data_Val!$K$3*365.25)),Data!O689&lt;=(TODAY()-(Data_Val!$K$2*365.25))),0,1),1))</f>
        <v/>
      </c>
      <c r="V689" s="12" t="str">
        <f>IF(Data!G689="","",IF(Data!G689=Data_Val!$C$2,IF(Data!P689="",0,1),0))</f>
        <v/>
      </c>
      <c r="W689" s="12" t="str">
        <f>IF(Data!P689="","",IF(ISNUMBER(MATCH(Data!Q689,Data_Val!$A$2:$A$3,0)),0,1))</f>
        <v/>
      </c>
      <c r="X689" s="26" t="str">
        <f ca="1">IF(Data!P689="","",IF(ISNUMBER(Data!R689),IF(AND(Data!R689&gt;(TODAY()-(Data_Val!$L$3*365.25)),Data!R689&lt;=(TODAY()-(Data_Val!$L$2*365.25))),0,1),1))</f>
        <v/>
      </c>
      <c r="Y689" s="13" t="str">
        <f>IF(Data!$G689="","",IF(Data!$G689=Data_Val!$C$2,IF(Data!S689="",0,1),0))</f>
        <v/>
      </c>
      <c r="Z689" s="13" t="str">
        <f>IF(Data!S689="","",IF(ISNUMBER(MATCH(Data!T689,Data_Val!$A$2:$A$3,0)),0,1))</f>
        <v/>
      </c>
      <c r="AA689" s="28" t="str">
        <f ca="1">IF(Data!S689="","",IF(ISNUMBER(Data!U689),IF(AND(Data!U689&gt;(TODAY()-(Data_Val!$L$3*365.25)),Data!U689&lt;=(TODAY()-(Data_Val!$L$2*365.25))),0,1),1))</f>
        <v/>
      </c>
      <c r="AB689" s="11"/>
      <c r="AC689" s="11" t="e">
        <f>IF(Data!#REF!="","",IF(ISNUMBER(MATCH(Data!#REF!,Data_Val!$A$2:$A$3,0)),0,1))</f>
        <v>#REF!</v>
      </c>
      <c r="AD689" s="11" t="e">
        <f ca="1">IF(Data!#REF!="","",IF(ISNUMBER(Data!#REF!),IF(AND(Data!#REF!&gt;(TODAY()-(Data_Val!$L$3*365.25)),Data!#REF!&lt;=(TODAY()-(Data_Val!$L$2*365.25))),0,1),1))</f>
        <v>#REF!</v>
      </c>
      <c r="AE689" s="11" t="e">
        <f>IF(Data!#REF!="","",IF(Data!$G689="",1,IF(ISNUMBER(MATCH(Data!#REF!,Data_Val!$D$2:$D$10,0)),0,1)))</f>
        <v>#REF!</v>
      </c>
      <c r="AF689" s="12"/>
      <c r="AG689" s="12" t="e">
        <f>IF(Data!#REF!="","",IF(ISNUMBER(MATCH(Data!#REF!,Data_Val!$A$2:$A$3,0)),0,1))</f>
        <v>#REF!</v>
      </c>
      <c r="AH689" s="26" t="e">
        <f ca="1">IF(Data!#REF!="","",IF(ISNUMBER(Data!#REF!),IF(AND(Data!#REF!&gt;(TODAY()-(Data_Val!$L$3*365.25)),Data!#REF!&lt;=(TODAY()-(Data_Val!$L$2*365.25))),0,1),1))</f>
        <v>#REF!</v>
      </c>
      <c r="AI689" s="12" t="e">
        <f>IF(Data!#REF!="","",IF(Data!$G689="",1,IF(ISNUMBER(MATCH(Data!#REF!,Data_Val!$D$2:$D$10,0)),0,1)))</f>
        <v>#REF!</v>
      </c>
      <c r="AJ689" s="17"/>
      <c r="AK689" s="17" t="e">
        <f>IF(Data!#REF!="","",IF(ISNUMBER(MATCH(Data!#REF!,Data_Val!$A$2:$A$3,0)),0,1))</f>
        <v>#REF!</v>
      </c>
      <c r="AL689" s="25" t="e">
        <f ca="1">IF(Data!#REF!="","",IF(ISNUMBER(Data!#REF!),IF(AND(Data!#REF!&gt;(TODAY()-(Data_Val!$L$3*365.25)),Data!#REF!&lt;=(TODAY()-(Data_Val!$L$2*365.25))),0,1),1))</f>
        <v>#REF!</v>
      </c>
      <c r="AM689" s="17" t="e">
        <f>IF(Data!#REF!="","",IF(Data!$G689="",1,IF(ISNUMBER(MATCH(Data!#REF!,Data_Val!$D$2:$D$10,0)),0,1)))</f>
        <v>#REF!</v>
      </c>
      <c r="AN689" s="13"/>
      <c r="AO689" s="28" t="e">
        <f ca="1">IF(Data!#REF!="","",IF(ISNUMBER(Data!#REF!),IF(AND(Data!#REF!&gt;(TODAY()-(Data_Val!$I$3*365.25)),Data!#REF!&lt;=(TODAY()-(Data_Val!$I$2*365.25))),0,1),1))</f>
        <v>#REF!</v>
      </c>
      <c r="AP689" s="13" t="e">
        <f>IF(Data!#REF!="","",IF(Data!$G689="",1,IF(ISNUMBER(MATCH(Data!#REF!,Data_Val!$D$2:$D$10,0)),0,1)))</f>
        <v>#REF!</v>
      </c>
      <c r="AQ689" s="17"/>
      <c r="AR689" s="30" t="e">
        <f ca="1">IF(Data!#REF!="","",IF(ISNUMBER(Data!#REF!),IF(AND(Data!#REF!&gt;(TODAY()-(Data_Val!$I$3*365.25)),Data!#REF!&lt;=(TODAY()-(Data_Val!$I$2*365.25))),0,1),1))</f>
        <v>#REF!</v>
      </c>
      <c r="AS689" s="31" t="e">
        <f>IF(Data!#REF!="","",IF(Data!$G689="",1,IF(ISNUMBER(MATCH(Data!#REF!,Data_Val!$D$2:$D$10,0)),0,1)))</f>
        <v>#REF!</v>
      </c>
      <c r="AT689" s="11"/>
      <c r="AU689" s="11" t="e">
        <f ca="1">IF(Data!#REF!="","",IF(ISNUMBER(Data!#REF!),IF(AND(Data!#REF!&gt;(TODAY()-(Data_Val!$I$3*365.25)),Data!#REF!&lt;=(TODAY()-(Data_Val!$I$2*365.25))),0,1),1))</f>
        <v>#REF!</v>
      </c>
      <c r="AV689" s="11" t="e">
        <f>IF(Data!#REF!="","",IF(Data!$G689="",1,IF(ISNUMBER(MATCH(Data!#REF!,Data_Val!$D$2:$D$10,0)),0,1)))</f>
        <v>#REF!</v>
      </c>
      <c r="AW689" s="12"/>
      <c r="AX689" s="26" t="e">
        <f ca="1">IF(Data!#REF!="","",IF(ISNUMBER(Data!#REF!),IF(AND(Data!#REF!&gt;(TODAY()-(Data_Val!$I$3*365.25)),Data!#REF!&lt;=(TODAY()-(Data_Val!$I$2*365.25))),0,1),1))</f>
        <v>#REF!</v>
      </c>
      <c r="AY689" s="12" t="e">
        <f>IF(Data!#REF!="","",IF(Data!$G689="",1,IF(ISNUMBER(MATCH(Data!#REF!,Data_Val!$D$2:$D$10,0)),0,1)))</f>
        <v>#REF!</v>
      </c>
      <c r="AZ689" s="11"/>
      <c r="BA689" s="19" t="e">
        <f ca="1">IF(Data!#REF!="","",IF(ISNUMBER(Data!#REF!),IF(AND(Data!#REF!&gt;(TODAY()-(Data_Val!$M$3*365.25)),Data!#REF!&lt;=(TODAY()-(Data_Val!$M$2*365.25))),0,1),1))</f>
        <v>#REF!</v>
      </c>
      <c r="BB689" s="11" t="e">
        <f>IF(Data!#REF!="","",IF(Data!$G689="",1,IF(ISNUMBER(MATCH(Data!#REF!,Data_Val!$D$2:$D$10,0)),0,1)))</f>
        <v>#REF!</v>
      </c>
      <c r="BC689" s="12"/>
      <c r="BD689" s="20" t="e">
        <f ca="1">IF(Data!#REF!="","",IF(ISNUMBER(Data!#REF!),IF(AND(Data!#REF!&gt;(TODAY()-(Data_Val!$M$3*365.25)),Data!#REF!&lt;=(TODAY()-(Data_Val!$M$2*365.25))),0,1),1))</f>
        <v>#REF!</v>
      </c>
      <c r="BE689" s="12" t="e">
        <f>IF(Data!#REF!="","",IF(Data!$G689="",1,IF(ISNUMBER(MATCH(Data!#REF!,Data_Val!$D$2:$D$10,0)),0,1)))</f>
        <v>#REF!</v>
      </c>
      <c r="BF689" s="17"/>
      <c r="BG689" s="18" t="e">
        <f ca="1">IF(Data!#REF!="","",IF(ISNUMBER(Data!#REF!),IF(AND(Data!#REF!&gt;(TODAY()-(Data_Val!$M$3*365.25)),Data!#REF!&lt;=(TODAY()-(Data_Val!$M$2*365.25))),0,1),1))</f>
        <v>#REF!</v>
      </c>
      <c r="BH689" s="29" t="e">
        <f>IF(Data!#REF!="","",IF(Data!$G689="",1,IF(ISNUMBER(MATCH(Data!#REF!,Data_Val!$D$2:$D$10,0)),0,1)))</f>
        <v>#REF!</v>
      </c>
      <c r="BI689" s="13"/>
      <c r="BJ689" s="21" t="e">
        <f ca="1">IF(Data!#REF!="","",IF(ISNUMBER(Data!#REF!),IF(AND(Data!#REF!&gt;(TODAY()-(Data_Val!$M$3*365.25)),Data!#REF!&lt;=(TODAY()-(Data_Val!$M$2*365.25))),0,1),1))</f>
        <v>#REF!</v>
      </c>
      <c r="BK689" s="13" t="e">
        <f>IF(Data!#REF!="","",IF(Data!$G689="",1,IF(ISNUMBER(MATCH(Data!#REF!,Data_Val!$D$2:$D$10,0)),0,1)))</f>
        <v>#REF!</v>
      </c>
    </row>
    <row r="690" spans="1:63" x14ac:dyDescent="0.25">
      <c r="A690" s="9" t="str">
        <f>IF(Data!B690="","",IF(COUNTIFS(Data!A$1:'Data'!A690,Data!A690)&lt;=1,0,1))</f>
        <v/>
      </c>
      <c r="B690" s="9"/>
      <c r="C690" s="23" t="str">
        <f>IF(Data!C690="","",(IF(ISNUMBER(MATCH("*@*.?*",Data!C690,0)),0,1)+IF(COUNTIFS(Data!C$1:'Data'!C690,Data!C690)&gt;1,1,0)))</f>
        <v/>
      </c>
      <c r="D690" s="9" t="str">
        <f>IF(Data!B690="","",IF(ISNUMBER(Data!D690),IF(AND(Data!D690&gt;999999999,Data!D690&lt;=9999999999),IF(COUNTIFS(Data!D$1:'Data'!D690,Data!D690)&lt;=1,0,1),1),1))</f>
        <v/>
      </c>
      <c r="E690" s="9" t="str">
        <f>IF(Data!B690="","",IF(ISNUMBER(MATCH(Data!E690,Data_Val!$A$2:$A$3,0)),0,1))</f>
        <v/>
      </c>
      <c r="F690" s="9" t="str">
        <f ca="1">IF(Data!B690="","",IF(ISNUMBER(Data!F690),IF(AND(Data!F690&gt;(TODAY()-(Data_Val!$H$3*365.25)),Data!F690&lt;=(TODAY()-(Data_Val!$H$2*365.25))),0,1),1))</f>
        <v/>
      </c>
      <c r="G690" s="15" t="str">
        <f>IF(Data!B690="","",IF(AND(Data!G690="",Data!H690&lt;&gt;""),1,IF(Data!#REF!&lt;&gt;"",0,IF(ISNUMBER(MATCH(Data!G690,Data_Val!$C$2:$C$5,0)),0,1))))</f>
        <v/>
      </c>
      <c r="H690" s="15" t="str">
        <f>IF(Data!B690="","",IF(AND(Data!G690&lt;&gt;"",Data!H690=""),1,IF(Data!#REF!&lt;&gt;"",0,IF(Data!G690="",1,IF(ISNUMBER(MATCH(Data!H690,Data_Val!$D$2:$D$35,0)),0,1)))))</f>
        <v/>
      </c>
      <c r="I690" s="15" t="str">
        <f>IF(Data!B690="","",IF(Data!G690&lt;&gt;"",0,IF(ISNUMBER(MATCH(Data!#REF!,Data_Val!$E$2:$E$12,0)),0,1)))</f>
        <v/>
      </c>
      <c r="J690" s="16" t="e">
        <f>IF(OR(Data!B690="",Data!#REF!=""),"",IF(Data!#REF!="",1,0))</f>
        <v>#REF!</v>
      </c>
      <c r="K690" s="16" t="e">
        <f>IF(OR(Data!B690="",Data!#REF!=""),"",IF(Data!#REF!="",1,0))</f>
        <v>#REF!</v>
      </c>
      <c r="L690" s="16" t="e">
        <f>IF(OR(Data!B690="",Data!#REF!=""),"",IF(ISNUMBER(Data!#REF!),IF(AND(Data!#REF!&gt;Data_Val!$G$2,Data!#REF!&lt;=Data_Val!$G$3),0,1),1))</f>
        <v>#REF!</v>
      </c>
      <c r="M690" s="9" t="e">
        <f>IF(OR(Data!B690="",Data!#REF!=""),"",IF(ISNUMBER(MATCH(Data!#REF!,Data_Val!$F$1:$F$38,0)),0,1))</f>
        <v>#REF!</v>
      </c>
      <c r="N690" s="9" t="e">
        <f>IF(OR(Data!B690="",Data!#REF!=""),"",IF(Data!#REF!="",1,0))</f>
        <v>#REF!</v>
      </c>
      <c r="O690" s="17" t="e">
        <f>IF(Data!#REF!="","",IF(Data!#REF!="",1,0))</f>
        <v>#REF!</v>
      </c>
      <c r="P690" s="17" t="e">
        <f>IF(Data!#REF!="","",IF(ISNUMBER(MATCH(Data!#REF!,Data_Val!$A$2:$A$3,0)),0,1))</f>
        <v>#REF!</v>
      </c>
      <c r="Q690" s="25" t="e">
        <f ca="1">IF(Data!#REF!="","",IF(ISNUMBER(Data!#REF!),IF(AND(Data!#REF!&gt;(TODAY()-(Data_Val!$J$3*365.25)),Data!#REF!&lt;=(TODAY()-(Data_Val!$J$2*365.25))),0,1),1))</f>
        <v>#REF!</v>
      </c>
      <c r="R690" s="17" t="e">
        <f>IF(Data!#REF!="","",IF(ISNUMBER(MATCH(Data!#REF!,Data_Val!$B$2:$B$15,0)),0,1))</f>
        <v>#REF!</v>
      </c>
      <c r="S690" s="11" t="str">
        <f>IF(Data!G690="","",IF(Data!G690=Data_Val!$C$2,IF(Data!M690="",0,1),0))</f>
        <v/>
      </c>
      <c r="T690" s="11" t="str">
        <f>IF(Data!M690="","",IF(ISNUMBER(MATCH(Data!N690,Data_Val!$A$2:$A$3,0)),0,1))</f>
        <v/>
      </c>
      <c r="U690" s="11" t="str">
        <f ca="1">IF(Data!M690="","",IF(ISNUMBER(Data!O690),IF(AND(Data!O690&gt;(TODAY()-(Data_Val!$K$3*365.25)),Data!O690&lt;=(TODAY()-(Data_Val!$K$2*365.25))),0,1),1))</f>
        <v/>
      </c>
      <c r="V690" s="12" t="str">
        <f>IF(Data!G690="","",IF(Data!G690=Data_Val!$C$2,IF(Data!P690="",0,1),0))</f>
        <v/>
      </c>
      <c r="W690" s="12" t="str">
        <f>IF(Data!P690="","",IF(ISNUMBER(MATCH(Data!Q690,Data_Val!$A$2:$A$3,0)),0,1))</f>
        <v/>
      </c>
      <c r="X690" s="26" t="str">
        <f ca="1">IF(Data!P690="","",IF(ISNUMBER(Data!R690),IF(AND(Data!R690&gt;(TODAY()-(Data_Val!$L$3*365.25)),Data!R690&lt;=(TODAY()-(Data_Val!$L$2*365.25))),0,1),1))</f>
        <v/>
      </c>
      <c r="Y690" s="13" t="str">
        <f>IF(Data!$G690="","",IF(Data!$G690=Data_Val!$C$2,IF(Data!S690="",0,1),0))</f>
        <v/>
      </c>
      <c r="Z690" s="13" t="str">
        <f>IF(Data!S690="","",IF(ISNUMBER(MATCH(Data!T690,Data_Val!$A$2:$A$3,0)),0,1))</f>
        <v/>
      </c>
      <c r="AA690" s="28" t="str">
        <f ca="1">IF(Data!S690="","",IF(ISNUMBER(Data!U690),IF(AND(Data!U690&gt;(TODAY()-(Data_Val!$L$3*365.25)),Data!U690&lt;=(TODAY()-(Data_Val!$L$2*365.25))),0,1),1))</f>
        <v/>
      </c>
      <c r="AB690" s="11"/>
      <c r="AC690" s="11" t="e">
        <f>IF(Data!#REF!="","",IF(ISNUMBER(MATCH(Data!#REF!,Data_Val!$A$2:$A$3,0)),0,1))</f>
        <v>#REF!</v>
      </c>
      <c r="AD690" s="11" t="e">
        <f ca="1">IF(Data!#REF!="","",IF(ISNUMBER(Data!#REF!),IF(AND(Data!#REF!&gt;(TODAY()-(Data_Val!$L$3*365.25)),Data!#REF!&lt;=(TODAY()-(Data_Val!$L$2*365.25))),0,1),1))</f>
        <v>#REF!</v>
      </c>
      <c r="AE690" s="11" t="e">
        <f>IF(Data!#REF!="","",IF(Data!$G690="",1,IF(ISNUMBER(MATCH(Data!#REF!,Data_Val!$D$2:$D$10,0)),0,1)))</f>
        <v>#REF!</v>
      </c>
      <c r="AF690" s="12"/>
      <c r="AG690" s="12" t="e">
        <f>IF(Data!#REF!="","",IF(ISNUMBER(MATCH(Data!#REF!,Data_Val!$A$2:$A$3,0)),0,1))</f>
        <v>#REF!</v>
      </c>
      <c r="AH690" s="26" t="e">
        <f ca="1">IF(Data!#REF!="","",IF(ISNUMBER(Data!#REF!),IF(AND(Data!#REF!&gt;(TODAY()-(Data_Val!$L$3*365.25)),Data!#REF!&lt;=(TODAY()-(Data_Val!$L$2*365.25))),0,1),1))</f>
        <v>#REF!</v>
      </c>
      <c r="AI690" s="12" t="e">
        <f>IF(Data!#REF!="","",IF(Data!$G690="",1,IF(ISNUMBER(MATCH(Data!#REF!,Data_Val!$D$2:$D$10,0)),0,1)))</f>
        <v>#REF!</v>
      </c>
      <c r="AJ690" s="17"/>
      <c r="AK690" s="17" t="e">
        <f>IF(Data!#REF!="","",IF(ISNUMBER(MATCH(Data!#REF!,Data_Val!$A$2:$A$3,0)),0,1))</f>
        <v>#REF!</v>
      </c>
      <c r="AL690" s="25" t="e">
        <f ca="1">IF(Data!#REF!="","",IF(ISNUMBER(Data!#REF!),IF(AND(Data!#REF!&gt;(TODAY()-(Data_Val!$L$3*365.25)),Data!#REF!&lt;=(TODAY()-(Data_Val!$L$2*365.25))),0,1),1))</f>
        <v>#REF!</v>
      </c>
      <c r="AM690" s="17" t="e">
        <f>IF(Data!#REF!="","",IF(Data!$G690="",1,IF(ISNUMBER(MATCH(Data!#REF!,Data_Val!$D$2:$D$10,0)),0,1)))</f>
        <v>#REF!</v>
      </c>
      <c r="AN690" s="13"/>
      <c r="AO690" s="28" t="e">
        <f ca="1">IF(Data!#REF!="","",IF(ISNUMBER(Data!#REF!),IF(AND(Data!#REF!&gt;(TODAY()-(Data_Val!$I$3*365.25)),Data!#REF!&lt;=(TODAY()-(Data_Val!$I$2*365.25))),0,1),1))</f>
        <v>#REF!</v>
      </c>
      <c r="AP690" s="13" t="e">
        <f>IF(Data!#REF!="","",IF(Data!$G690="",1,IF(ISNUMBER(MATCH(Data!#REF!,Data_Val!$D$2:$D$10,0)),0,1)))</f>
        <v>#REF!</v>
      </c>
      <c r="AQ690" s="17"/>
      <c r="AR690" s="30" t="e">
        <f ca="1">IF(Data!#REF!="","",IF(ISNUMBER(Data!#REF!),IF(AND(Data!#REF!&gt;(TODAY()-(Data_Val!$I$3*365.25)),Data!#REF!&lt;=(TODAY()-(Data_Val!$I$2*365.25))),0,1),1))</f>
        <v>#REF!</v>
      </c>
      <c r="AS690" s="31" t="e">
        <f>IF(Data!#REF!="","",IF(Data!$G690="",1,IF(ISNUMBER(MATCH(Data!#REF!,Data_Val!$D$2:$D$10,0)),0,1)))</f>
        <v>#REF!</v>
      </c>
      <c r="AT690" s="11"/>
      <c r="AU690" s="11" t="e">
        <f ca="1">IF(Data!#REF!="","",IF(ISNUMBER(Data!#REF!),IF(AND(Data!#REF!&gt;(TODAY()-(Data_Val!$I$3*365.25)),Data!#REF!&lt;=(TODAY()-(Data_Val!$I$2*365.25))),0,1),1))</f>
        <v>#REF!</v>
      </c>
      <c r="AV690" s="11" t="e">
        <f>IF(Data!#REF!="","",IF(Data!$G690="",1,IF(ISNUMBER(MATCH(Data!#REF!,Data_Val!$D$2:$D$10,0)),0,1)))</f>
        <v>#REF!</v>
      </c>
      <c r="AW690" s="12"/>
      <c r="AX690" s="26" t="e">
        <f ca="1">IF(Data!#REF!="","",IF(ISNUMBER(Data!#REF!),IF(AND(Data!#REF!&gt;(TODAY()-(Data_Val!$I$3*365.25)),Data!#REF!&lt;=(TODAY()-(Data_Val!$I$2*365.25))),0,1),1))</f>
        <v>#REF!</v>
      </c>
      <c r="AY690" s="12" t="e">
        <f>IF(Data!#REF!="","",IF(Data!$G690="",1,IF(ISNUMBER(MATCH(Data!#REF!,Data_Val!$D$2:$D$10,0)),0,1)))</f>
        <v>#REF!</v>
      </c>
      <c r="AZ690" s="11"/>
      <c r="BA690" s="19" t="e">
        <f ca="1">IF(Data!#REF!="","",IF(ISNUMBER(Data!#REF!),IF(AND(Data!#REF!&gt;(TODAY()-(Data_Val!$M$3*365.25)),Data!#REF!&lt;=(TODAY()-(Data_Val!$M$2*365.25))),0,1),1))</f>
        <v>#REF!</v>
      </c>
      <c r="BB690" s="11" t="e">
        <f>IF(Data!#REF!="","",IF(Data!$G690="",1,IF(ISNUMBER(MATCH(Data!#REF!,Data_Val!$D$2:$D$10,0)),0,1)))</f>
        <v>#REF!</v>
      </c>
      <c r="BC690" s="12"/>
      <c r="BD690" s="20" t="e">
        <f ca="1">IF(Data!#REF!="","",IF(ISNUMBER(Data!#REF!),IF(AND(Data!#REF!&gt;(TODAY()-(Data_Val!$M$3*365.25)),Data!#REF!&lt;=(TODAY()-(Data_Val!$M$2*365.25))),0,1),1))</f>
        <v>#REF!</v>
      </c>
      <c r="BE690" s="12" t="e">
        <f>IF(Data!#REF!="","",IF(Data!$G690="",1,IF(ISNUMBER(MATCH(Data!#REF!,Data_Val!$D$2:$D$10,0)),0,1)))</f>
        <v>#REF!</v>
      </c>
      <c r="BF690" s="17"/>
      <c r="BG690" s="18" t="e">
        <f ca="1">IF(Data!#REF!="","",IF(ISNUMBER(Data!#REF!),IF(AND(Data!#REF!&gt;(TODAY()-(Data_Val!$M$3*365.25)),Data!#REF!&lt;=(TODAY()-(Data_Val!$M$2*365.25))),0,1),1))</f>
        <v>#REF!</v>
      </c>
      <c r="BH690" s="29" t="e">
        <f>IF(Data!#REF!="","",IF(Data!$G690="",1,IF(ISNUMBER(MATCH(Data!#REF!,Data_Val!$D$2:$D$10,0)),0,1)))</f>
        <v>#REF!</v>
      </c>
      <c r="BI690" s="13"/>
      <c r="BJ690" s="21" t="e">
        <f ca="1">IF(Data!#REF!="","",IF(ISNUMBER(Data!#REF!),IF(AND(Data!#REF!&gt;(TODAY()-(Data_Val!$M$3*365.25)),Data!#REF!&lt;=(TODAY()-(Data_Val!$M$2*365.25))),0,1),1))</f>
        <v>#REF!</v>
      </c>
      <c r="BK690" s="13" t="e">
        <f>IF(Data!#REF!="","",IF(Data!$G690="",1,IF(ISNUMBER(MATCH(Data!#REF!,Data_Val!$D$2:$D$10,0)),0,1)))</f>
        <v>#REF!</v>
      </c>
    </row>
    <row r="691" spans="1:63" x14ac:dyDescent="0.25">
      <c r="A691" s="9" t="str">
        <f>IF(Data!B691="","",IF(COUNTIFS(Data!A$1:'Data'!A691,Data!A691)&lt;=1,0,1))</f>
        <v/>
      </c>
      <c r="B691" s="9"/>
      <c r="C691" s="23" t="str">
        <f>IF(Data!C691="","",(IF(ISNUMBER(MATCH("*@*.?*",Data!C691,0)),0,1)+IF(COUNTIFS(Data!C$1:'Data'!C691,Data!C691)&gt;1,1,0)))</f>
        <v/>
      </c>
      <c r="D691" s="9" t="str">
        <f>IF(Data!B691="","",IF(ISNUMBER(Data!D691),IF(AND(Data!D691&gt;999999999,Data!D691&lt;=9999999999),IF(COUNTIFS(Data!D$1:'Data'!D691,Data!D691)&lt;=1,0,1),1),1))</f>
        <v/>
      </c>
      <c r="E691" s="9" t="str">
        <f>IF(Data!B691="","",IF(ISNUMBER(MATCH(Data!E691,Data_Val!$A$2:$A$3,0)),0,1))</f>
        <v/>
      </c>
      <c r="F691" s="9" t="str">
        <f ca="1">IF(Data!B691="","",IF(ISNUMBER(Data!F691),IF(AND(Data!F691&gt;(TODAY()-(Data_Val!$H$3*365.25)),Data!F691&lt;=(TODAY()-(Data_Val!$H$2*365.25))),0,1),1))</f>
        <v/>
      </c>
      <c r="G691" s="15" t="str">
        <f>IF(Data!B691="","",IF(AND(Data!G691="",Data!H691&lt;&gt;""),1,IF(Data!#REF!&lt;&gt;"",0,IF(ISNUMBER(MATCH(Data!G691,Data_Val!$C$2:$C$5,0)),0,1))))</f>
        <v/>
      </c>
      <c r="H691" s="15" t="str">
        <f>IF(Data!B691="","",IF(AND(Data!G691&lt;&gt;"",Data!H691=""),1,IF(Data!#REF!&lt;&gt;"",0,IF(Data!G691="",1,IF(ISNUMBER(MATCH(Data!H691,Data_Val!$D$2:$D$35,0)),0,1)))))</f>
        <v/>
      </c>
      <c r="I691" s="15" t="str">
        <f>IF(Data!B691="","",IF(Data!G691&lt;&gt;"",0,IF(ISNUMBER(MATCH(Data!#REF!,Data_Val!$E$2:$E$12,0)),0,1)))</f>
        <v/>
      </c>
      <c r="J691" s="16" t="e">
        <f>IF(OR(Data!B691="",Data!#REF!=""),"",IF(Data!#REF!="",1,0))</f>
        <v>#REF!</v>
      </c>
      <c r="K691" s="16" t="e">
        <f>IF(OR(Data!B691="",Data!#REF!=""),"",IF(Data!#REF!="",1,0))</f>
        <v>#REF!</v>
      </c>
      <c r="L691" s="16" t="e">
        <f>IF(OR(Data!B691="",Data!#REF!=""),"",IF(ISNUMBER(Data!#REF!),IF(AND(Data!#REF!&gt;Data_Val!$G$2,Data!#REF!&lt;=Data_Val!$G$3),0,1),1))</f>
        <v>#REF!</v>
      </c>
      <c r="M691" s="9" t="e">
        <f>IF(OR(Data!B691="",Data!#REF!=""),"",IF(ISNUMBER(MATCH(Data!#REF!,Data_Val!$F$1:$F$38,0)),0,1))</f>
        <v>#REF!</v>
      </c>
      <c r="N691" s="9" t="e">
        <f>IF(OR(Data!B691="",Data!#REF!=""),"",IF(Data!#REF!="",1,0))</f>
        <v>#REF!</v>
      </c>
      <c r="O691" s="17" t="e">
        <f>IF(Data!#REF!="","",IF(Data!#REF!="",1,0))</f>
        <v>#REF!</v>
      </c>
      <c r="P691" s="17" t="e">
        <f>IF(Data!#REF!="","",IF(ISNUMBER(MATCH(Data!#REF!,Data_Val!$A$2:$A$3,0)),0,1))</f>
        <v>#REF!</v>
      </c>
      <c r="Q691" s="25" t="e">
        <f ca="1">IF(Data!#REF!="","",IF(ISNUMBER(Data!#REF!),IF(AND(Data!#REF!&gt;(TODAY()-(Data_Val!$J$3*365.25)),Data!#REF!&lt;=(TODAY()-(Data_Val!$J$2*365.25))),0,1),1))</f>
        <v>#REF!</v>
      </c>
      <c r="R691" s="17" t="e">
        <f>IF(Data!#REF!="","",IF(ISNUMBER(MATCH(Data!#REF!,Data_Val!$B$2:$B$15,0)),0,1))</f>
        <v>#REF!</v>
      </c>
      <c r="S691" s="11" t="str">
        <f>IF(Data!G691="","",IF(Data!G691=Data_Val!$C$2,IF(Data!M691="",0,1),0))</f>
        <v/>
      </c>
      <c r="T691" s="11" t="str">
        <f>IF(Data!M691="","",IF(ISNUMBER(MATCH(Data!N691,Data_Val!$A$2:$A$3,0)),0,1))</f>
        <v/>
      </c>
      <c r="U691" s="11" t="str">
        <f ca="1">IF(Data!M691="","",IF(ISNUMBER(Data!O691),IF(AND(Data!O691&gt;(TODAY()-(Data_Val!$K$3*365.25)),Data!O691&lt;=(TODAY()-(Data_Val!$K$2*365.25))),0,1),1))</f>
        <v/>
      </c>
      <c r="V691" s="12" t="str">
        <f>IF(Data!G691="","",IF(Data!G691=Data_Val!$C$2,IF(Data!P691="",0,1),0))</f>
        <v/>
      </c>
      <c r="W691" s="12" t="str">
        <f>IF(Data!P691="","",IF(ISNUMBER(MATCH(Data!Q691,Data_Val!$A$2:$A$3,0)),0,1))</f>
        <v/>
      </c>
      <c r="X691" s="26" t="str">
        <f ca="1">IF(Data!P691="","",IF(ISNUMBER(Data!R691),IF(AND(Data!R691&gt;(TODAY()-(Data_Val!$L$3*365.25)),Data!R691&lt;=(TODAY()-(Data_Val!$L$2*365.25))),0,1),1))</f>
        <v/>
      </c>
      <c r="Y691" s="13" t="str">
        <f>IF(Data!$G691="","",IF(Data!$G691=Data_Val!$C$2,IF(Data!S691="",0,1),0))</f>
        <v/>
      </c>
      <c r="Z691" s="13" t="str">
        <f>IF(Data!S691="","",IF(ISNUMBER(MATCH(Data!T691,Data_Val!$A$2:$A$3,0)),0,1))</f>
        <v/>
      </c>
      <c r="AA691" s="28" t="str">
        <f ca="1">IF(Data!S691="","",IF(ISNUMBER(Data!U691),IF(AND(Data!U691&gt;(TODAY()-(Data_Val!$L$3*365.25)),Data!U691&lt;=(TODAY()-(Data_Val!$L$2*365.25))),0,1),1))</f>
        <v/>
      </c>
      <c r="AB691" s="11"/>
      <c r="AC691" s="11" t="e">
        <f>IF(Data!#REF!="","",IF(ISNUMBER(MATCH(Data!#REF!,Data_Val!$A$2:$A$3,0)),0,1))</f>
        <v>#REF!</v>
      </c>
      <c r="AD691" s="11" t="e">
        <f ca="1">IF(Data!#REF!="","",IF(ISNUMBER(Data!#REF!),IF(AND(Data!#REF!&gt;(TODAY()-(Data_Val!$L$3*365.25)),Data!#REF!&lt;=(TODAY()-(Data_Val!$L$2*365.25))),0,1),1))</f>
        <v>#REF!</v>
      </c>
      <c r="AE691" s="11" t="e">
        <f>IF(Data!#REF!="","",IF(Data!$G691="",1,IF(ISNUMBER(MATCH(Data!#REF!,Data_Val!$D$2:$D$10,0)),0,1)))</f>
        <v>#REF!</v>
      </c>
      <c r="AF691" s="12"/>
      <c r="AG691" s="12" t="e">
        <f>IF(Data!#REF!="","",IF(ISNUMBER(MATCH(Data!#REF!,Data_Val!$A$2:$A$3,0)),0,1))</f>
        <v>#REF!</v>
      </c>
      <c r="AH691" s="26" t="e">
        <f ca="1">IF(Data!#REF!="","",IF(ISNUMBER(Data!#REF!),IF(AND(Data!#REF!&gt;(TODAY()-(Data_Val!$L$3*365.25)),Data!#REF!&lt;=(TODAY()-(Data_Val!$L$2*365.25))),0,1),1))</f>
        <v>#REF!</v>
      </c>
      <c r="AI691" s="12" t="e">
        <f>IF(Data!#REF!="","",IF(Data!$G691="",1,IF(ISNUMBER(MATCH(Data!#REF!,Data_Val!$D$2:$D$10,0)),0,1)))</f>
        <v>#REF!</v>
      </c>
      <c r="AJ691" s="17"/>
      <c r="AK691" s="17" t="e">
        <f>IF(Data!#REF!="","",IF(ISNUMBER(MATCH(Data!#REF!,Data_Val!$A$2:$A$3,0)),0,1))</f>
        <v>#REF!</v>
      </c>
      <c r="AL691" s="25" t="e">
        <f ca="1">IF(Data!#REF!="","",IF(ISNUMBER(Data!#REF!),IF(AND(Data!#REF!&gt;(TODAY()-(Data_Val!$L$3*365.25)),Data!#REF!&lt;=(TODAY()-(Data_Val!$L$2*365.25))),0,1),1))</f>
        <v>#REF!</v>
      </c>
      <c r="AM691" s="17" t="e">
        <f>IF(Data!#REF!="","",IF(Data!$G691="",1,IF(ISNUMBER(MATCH(Data!#REF!,Data_Val!$D$2:$D$10,0)),0,1)))</f>
        <v>#REF!</v>
      </c>
      <c r="AN691" s="13"/>
      <c r="AO691" s="28" t="e">
        <f ca="1">IF(Data!#REF!="","",IF(ISNUMBER(Data!#REF!),IF(AND(Data!#REF!&gt;(TODAY()-(Data_Val!$I$3*365.25)),Data!#REF!&lt;=(TODAY()-(Data_Val!$I$2*365.25))),0,1),1))</f>
        <v>#REF!</v>
      </c>
      <c r="AP691" s="13" t="e">
        <f>IF(Data!#REF!="","",IF(Data!$G691="",1,IF(ISNUMBER(MATCH(Data!#REF!,Data_Val!$D$2:$D$10,0)),0,1)))</f>
        <v>#REF!</v>
      </c>
      <c r="AQ691" s="17"/>
      <c r="AR691" s="30" t="e">
        <f ca="1">IF(Data!#REF!="","",IF(ISNUMBER(Data!#REF!),IF(AND(Data!#REF!&gt;(TODAY()-(Data_Val!$I$3*365.25)),Data!#REF!&lt;=(TODAY()-(Data_Val!$I$2*365.25))),0,1),1))</f>
        <v>#REF!</v>
      </c>
      <c r="AS691" s="31" t="e">
        <f>IF(Data!#REF!="","",IF(Data!$G691="",1,IF(ISNUMBER(MATCH(Data!#REF!,Data_Val!$D$2:$D$10,0)),0,1)))</f>
        <v>#REF!</v>
      </c>
      <c r="AT691" s="11"/>
      <c r="AU691" s="11" t="e">
        <f ca="1">IF(Data!#REF!="","",IF(ISNUMBER(Data!#REF!),IF(AND(Data!#REF!&gt;(TODAY()-(Data_Val!$I$3*365.25)),Data!#REF!&lt;=(TODAY()-(Data_Val!$I$2*365.25))),0,1),1))</f>
        <v>#REF!</v>
      </c>
      <c r="AV691" s="11" t="e">
        <f>IF(Data!#REF!="","",IF(Data!$G691="",1,IF(ISNUMBER(MATCH(Data!#REF!,Data_Val!$D$2:$D$10,0)),0,1)))</f>
        <v>#REF!</v>
      </c>
      <c r="AW691" s="12"/>
      <c r="AX691" s="26" t="e">
        <f ca="1">IF(Data!#REF!="","",IF(ISNUMBER(Data!#REF!),IF(AND(Data!#REF!&gt;(TODAY()-(Data_Val!$I$3*365.25)),Data!#REF!&lt;=(TODAY()-(Data_Val!$I$2*365.25))),0,1),1))</f>
        <v>#REF!</v>
      </c>
      <c r="AY691" s="12" t="e">
        <f>IF(Data!#REF!="","",IF(Data!$G691="",1,IF(ISNUMBER(MATCH(Data!#REF!,Data_Val!$D$2:$D$10,0)),0,1)))</f>
        <v>#REF!</v>
      </c>
      <c r="AZ691" s="11"/>
      <c r="BA691" s="19" t="e">
        <f ca="1">IF(Data!#REF!="","",IF(ISNUMBER(Data!#REF!),IF(AND(Data!#REF!&gt;(TODAY()-(Data_Val!$M$3*365.25)),Data!#REF!&lt;=(TODAY()-(Data_Val!$M$2*365.25))),0,1),1))</f>
        <v>#REF!</v>
      </c>
      <c r="BB691" s="11" t="e">
        <f>IF(Data!#REF!="","",IF(Data!$G691="",1,IF(ISNUMBER(MATCH(Data!#REF!,Data_Val!$D$2:$D$10,0)),0,1)))</f>
        <v>#REF!</v>
      </c>
      <c r="BC691" s="12"/>
      <c r="BD691" s="20" t="e">
        <f ca="1">IF(Data!#REF!="","",IF(ISNUMBER(Data!#REF!),IF(AND(Data!#REF!&gt;(TODAY()-(Data_Val!$M$3*365.25)),Data!#REF!&lt;=(TODAY()-(Data_Val!$M$2*365.25))),0,1),1))</f>
        <v>#REF!</v>
      </c>
      <c r="BE691" s="12" t="e">
        <f>IF(Data!#REF!="","",IF(Data!$G691="",1,IF(ISNUMBER(MATCH(Data!#REF!,Data_Val!$D$2:$D$10,0)),0,1)))</f>
        <v>#REF!</v>
      </c>
      <c r="BF691" s="17"/>
      <c r="BG691" s="18" t="e">
        <f ca="1">IF(Data!#REF!="","",IF(ISNUMBER(Data!#REF!),IF(AND(Data!#REF!&gt;(TODAY()-(Data_Val!$M$3*365.25)),Data!#REF!&lt;=(TODAY()-(Data_Val!$M$2*365.25))),0,1),1))</f>
        <v>#REF!</v>
      </c>
      <c r="BH691" s="29" t="e">
        <f>IF(Data!#REF!="","",IF(Data!$G691="",1,IF(ISNUMBER(MATCH(Data!#REF!,Data_Val!$D$2:$D$10,0)),0,1)))</f>
        <v>#REF!</v>
      </c>
      <c r="BI691" s="13"/>
      <c r="BJ691" s="21" t="e">
        <f ca="1">IF(Data!#REF!="","",IF(ISNUMBER(Data!#REF!),IF(AND(Data!#REF!&gt;(TODAY()-(Data_Val!$M$3*365.25)),Data!#REF!&lt;=(TODAY()-(Data_Val!$M$2*365.25))),0,1),1))</f>
        <v>#REF!</v>
      </c>
      <c r="BK691" s="13" t="e">
        <f>IF(Data!#REF!="","",IF(Data!$G691="",1,IF(ISNUMBER(MATCH(Data!#REF!,Data_Val!$D$2:$D$10,0)),0,1)))</f>
        <v>#REF!</v>
      </c>
    </row>
    <row r="692" spans="1:63" x14ac:dyDescent="0.25">
      <c r="A692" s="9" t="str">
        <f>IF(Data!B692="","",IF(COUNTIFS(Data!A$1:'Data'!A692,Data!A692)&lt;=1,0,1))</f>
        <v/>
      </c>
      <c r="B692" s="9"/>
      <c r="C692" s="23" t="str">
        <f>IF(Data!C692="","",(IF(ISNUMBER(MATCH("*@*.?*",Data!C692,0)),0,1)+IF(COUNTIFS(Data!C$1:'Data'!C692,Data!C692)&gt;1,1,0)))</f>
        <v/>
      </c>
      <c r="D692" s="9" t="str">
        <f>IF(Data!B692="","",IF(ISNUMBER(Data!D692),IF(AND(Data!D692&gt;999999999,Data!D692&lt;=9999999999),IF(COUNTIFS(Data!D$1:'Data'!D692,Data!D692)&lt;=1,0,1),1),1))</f>
        <v/>
      </c>
      <c r="E692" s="9" t="str">
        <f>IF(Data!B692="","",IF(ISNUMBER(MATCH(Data!E692,Data_Val!$A$2:$A$3,0)),0,1))</f>
        <v/>
      </c>
      <c r="F692" s="9" t="str">
        <f ca="1">IF(Data!B692="","",IF(ISNUMBER(Data!F692),IF(AND(Data!F692&gt;(TODAY()-(Data_Val!$H$3*365.25)),Data!F692&lt;=(TODAY()-(Data_Val!$H$2*365.25))),0,1),1))</f>
        <v/>
      </c>
      <c r="G692" s="15" t="str">
        <f>IF(Data!B692="","",IF(AND(Data!G692="",Data!H692&lt;&gt;""),1,IF(Data!#REF!&lt;&gt;"",0,IF(ISNUMBER(MATCH(Data!G692,Data_Val!$C$2:$C$5,0)),0,1))))</f>
        <v/>
      </c>
      <c r="H692" s="15" t="str">
        <f>IF(Data!B692="","",IF(AND(Data!G692&lt;&gt;"",Data!H692=""),1,IF(Data!#REF!&lt;&gt;"",0,IF(Data!G692="",1,IF(ISNUMBER(MATCH(Data!H692,Data_Val!$D$2:$D$35,0)),0,1)))))</f>
        <v/>
      </c>
      <c r="I692" s="15" t="str">
        <f>IF(Data!B692="","",IF(Data!G692&lt;&gt;"",0,IF(ISNUMBER(MATCH(Data!#REF!,Data_Val!$E$2:$E$12,0)),0,1)))</f>
        <v/>
      </c>
      <c r="J692" s="16" t="e">
        <f>IF(OR(Data!B692="",Data!#REF!=""),"",IF(Data!#REF!="",1,0))</f>
        <v>#REF!</v>
      </c>
      <c r="K692" s="16" t="e">
        <f>IF(OR(Data!B692="",Data!#REF!=""),"",IF(Data!#REF!="",1,0))</f>
        <v>#REF!</v>
      </c>
      <c r="L692" s="16" t="e">
        <f>IF(OR(Data!B692="",Data!#REF!=""),"",IF(ISNUMBER(Data!#REF!),IF(AND(Data!#REF!&gt;Data_Val!$G$2,Data!#REF!&lt;=Data_Val!$G$3),0,1),1))</f>
        <v>#REF!</v>
      </c>
      <c r="M692" s="9" t="e">
        <f>IF(OR(Data!B692="",Data!#REF!=""),"",IF(ISNUMBER(MATCH(Data!#REF!,Data_Val!$F$1:$F$38,0)),0,1))</f>
        <v>#REF!</v>
      </c>
      <c r="N692" s="9" t="e">
        <f>IF(OR(Data!B692="",Data!#REF!=""),"",IF(Data!#REF!="",1,0))</f>
        <v>#REF!</v>
      </c>
      <c r="O692" s="17" t="e">
        <f>IF(Data!#REF!="","",IF(Data!#REF!="",1,0))</f>
        <v>#REF!</v>
      </c>
      <c r="P692" s="17" t="e">
        <f>IF(Data!#REF!="","",IF(ISNUMBER(MATCH(Data!#REF!,Data_Val!$A$2:$A$3,0)),0,1))</f>
        <v>#REF!</v>
      </c>
      <c r="Q692" s="25" t="e">
        <f ca="1">IF(Data!#REF!="","",IF(ISNUMBER(Data!#REF!),IF(AND(Data!#REF!&gt;(TODAY()-(Data_Val!$J$3*365.25)),Data!#REF!&lt;=(TODAY()-(Data_Val!$J$2*365.25))),0,1),1))</f>
        <v>#REF!</v>
      </c>
      <c r="R692" s="17" t="e">
        <f>IF(Data!#REF!="","",IF(ISNUMBER(MATCH(Data!#REF!,Data_Val!$B$2:$B$15,0)),0,1))</f>
        <v>#REF!</v>
      </c>
      <c r="S692" s="11" t="str">
        <f>IF(Data!G692="","",IF(Data!G692=Data_Val!$C$2,IF(Data!M692="",0,1),0))</f>
        <v/>
      </c>
      <c r="T692" s="11" t="str">
        <f>IF(Data!M692="","",IF(ISNUMBER(MATCH(Data!N692,Data_Val!$A$2:$A$3,0)),0,1))</f>
        <v/>
      </c>
      <c r="U692" s="11" t="str">
        <f ca="1">IF(Data!M692="","",IF(ISNUMBER(Data!O692),IF(AND(Data!O692&gt;(TODAY()-(Data_Val!$K$3*365.25)),Data!O692&lt;=(TODAY()-(Data_Val!$K$2*365.25))),0,1),1))</f>
        <v/>
      </c>
      <c r="V692" s="12" t="str">
        <f>IF(Data!G692="","",IF(Data!G692=Data_Val!$C$2,IF(Data!P692="",0,1),0))</f>
        <v/>
      </c>
      <c r="W692" s="12" t="str">
        <f>IF(Data!P692="","",IF(ISNUMBER(MATCH(Data!Q692,Data_Val!$A$2:$A$3,0)),0,1))</f>
        <v/>
      </c>
      <c r="X692" s="26" t="str">
        <f ca="1">IF(Data!P692="","",IF(ISNUMBER(Data!R692),IF(AND(Data!R692&gt;(TODAY()-(Data_Val!$L$3*365.25)),Data!R692&lt;=(TODAY()-(Data_Val!$L$2*365.25))),0,1),1))</f>
        <v/>
      </c>
      <c r="Y692" s="13" t="str">
        <f>IF(Data!$G692="","",IF(Data!$G692=Data_Val!$C$2,IF(Data!S692="",0,1),0))</f>
        <v/>
      </c>
      <c r="Z692" s="13" t="str">
        <f>IF(Data!S692="","",IF(ISNUMBER(MATCH(Data!T692,Data_Val!$A$2:$A$3,0)),0,1))</f>
        <v/>
      </c>
      <c r="AA692" s="28" t="str">
        <f ca="1">IF(Data!S692="","",IF(ISNUMBER(Data!U692),IF(AND(Data!U692&gt;(TODAY()-(Data_Val!$L$3*365.25)),Data!U692&lt;=(TODAY()-(Data_Val!$L$2*365.25))),0,1),1))</f>
        <v/>
      </c>
      <c r="AB692" s="11"/>
      <c r="AC692" s="11" t="e">
        <f>IF(Data!#REF!="","",IF(ISNUMBER(MATCH(Data!#REF!,Data_Val!$A$2:$A$3,0)),0,1))</f>
        <v>#REF!</v>
      </c>
      <c r="AD692" s="11" t="e">
        <f ca="1">IF(Data!#REF!="","",IF(ISNUMBER(Data!#REF!),IF(AND(Data!#REF!&gt;(TODAY()-(Data_Val!$L$3*365.25)),Data!#REF!&lt;=(TODAY()-(Data_Val!$L$2*365.25))),0,1),1))</f>
        <v>#REF!</v>
      </c>
      <c r="AE692" s="11" t="e">
        <f>IF(Data!#REF!="","",IF(Data!$G692="",1,IF(ISNUMBER(MATCH(Data!#REF!,Data_Val!$D$2:$D$10,0)),0,1)))</f>
        <v>#REF!</v>
      </c>
      <c r="AF692" s="12"/>
      <c r="AG692" s="12" t="e">
        <f>IF(Data!#REF!="","",IF(ISNUMBER(MATCH(Data!#REF!,Data_Val!$A$2:$A$3,0)),0,1))</f>
        <v>#REF!</v>
      </c>
      <c r="AH692" s="26" t="e">
        <f ca="1">IF(Data!#REF!="","",IF(ISNUMBER(Data!#REF!),IF(AND(Data!#REF!&gt;(TODAY()-(Data_Val!$L$3*365.25)),Data!#REF!&lt;=(TODAY()-(Data_Val!$L$2*365.25))),0,1),1))</f>
        <v>#REF!</v>
      </c>
      <c r="AI692" s="12" t="e">
        <f>IF(Data!#REF!="","",IF(Data!$G692="",1,IF(ISNUMBER(MATCH(Data!#REF!,Data_Val!$D$2:$D$10,0)),0,1)))</f>
        <v>#REF!</v>
      </c>
      <c r="AJ692" s="17"/>
      <c r="AK692" s="17" t="e">
        <f>IF(Data!#REF!="","",IF(ISNUMBER(MATCH(Data!#REF!,Data_Val!$A$2:$A$3,0)),0,1))</f>
        <v>#REF!</v>
      </c>
      <c r="AL692" s="25" t="e">
        <f ca="1">IF(Data!#REF!="","",IF(ISNUMBER(Data!#REF!),IF(AND(Data!#REF!&gt;(TODAY()-(Data_Val!$L$3*365.25)),Data!#REF!&lt;=(TODAY()-(Data_Val!$L$2*365.25))),0,1),1))</f>
        <v>#REF!</v>
      </c>
      <c r="AM692" s="17" t="e">
        <f>IF(Data!#REF!="","",IF(Data!$G692="",1,IF(ISNUMBER(MATCH(Data!#REF!,Data_Val!$D$2:$D$10,0)),0,1)))</f>
        <v>#REF!</v>
      </c>
      <c r="AN692" s="13"/>
      <c r="AO692" s="28" t="e">
        <f ca="1">IF(Data!#REF!="","",IF(ISNUMBER(Data!#REF!),IF(AND(Data!#REF!&gt;(TODAY()-(Data_Val!$I$3*365.25)),Data!#REF!&lt;=(TODAY()-(Data_Val!$I$2*365.25))),0,1),1))</f>
        <v>#REF!</v>
      </c>
      <c r="AP692" s="13" t="e">
        <f>IF(Data!#REF!="","",IF(Data!$G692="",1,IF(ISNUMBER(MATCH(Data!#REF!,Data_Val!$D$2:$D$10,0)),0,1)))</f>
        <v>#REF!</v>
      </c>
      <c r="AQ692" s="17"/>
      <c r="AR692" s="30" t="e">
        <f ca="1">IF(Data!#REF!="","",IF(ISNUMBER(Data!#REF!),IF(AND(Data!#REF!&gt;(TODAY()-(Data_Val!$I$3*365.25)),Data!#REF!&lt;=(TODAY()-(Data_Val!$I$2*365.25))),0,1),1))</f>
        <v>#REF!</v>
      </c>
      <c r="AS692" s="31" t="e">
        <f>IF(Data!#REF!="","",IF(Data!$G692="",1,IF(ISNUMBER(MATCH(Data!#REF!,Data_Val!$D$2:$D$10,0)),0,1)))</f>
        <v>#REF!</v>
      </c>
      <c r="AT692" s="11"/>
      <c r="AU692" s="11" t="e">
        <f ca="1">IF(Data!#REF!="","",IF(ISNUMBER(Data!#REF!),IF(AND(Data!#REF!&gt;(TODAY()-(Data_Val!$I$3*365.25)),Data!#REF!&lt;=(TODAY()-(Data_Val!$I$2*365.25))),0,1),1))</f>
        <v>#REF!</v>
      </c>
      <c r="AV692" s="11" t="e">
        <f>IF(Data!#REF!="","",IF(Data!$G692="",1,IF(ISNUMBER(MATCH(Data!#REF!,Data_Val!$D$2:$D$10,0)),0,1)))</f>
        <v>#REF!</v>
      </c>
      <c r="AW692" s="12"/>
      <c r="AX692" s="26" t="e">
        <f ca="1">IF(Data!#REF!="","",IF(ISNUMBER(Data!#REF!),IF(AND(Data!#REF!&gt;(TODAY()-(Data_Val!$I$3*365.25)),Data!#REF!&lt;=(TODAY()-(Data_Val!$I$2*365.25))),0,1),1))</f>
        <v>#REF!</v>
      </c>
      <c r="AY692" s="12" t="e">
        <f>IF(Data!#REF!="","",IF(Data!$G692="",1,IF(ISNUMBER(MATCH(Data!#REF!,Data_Val!$D$2:$D$10,0)),0,1)))</f>
        <v>#REF!</v>
      </c>
      <c r="AZ692" s="11"/>
      <c r="BA692" s="19" t="e">
        <f ca="1">IF(Data!#REF!="","",IF(ISNUMBER(Data!#REF!),IF(AND(Data!#REF!&gt;(TODAY()-(Data_Val!$M$3*365.25)),Data!#REF!&lt;=(TODAY()-(Data_Val!$M$2*365.25))),0,1),1))</f>
        <v>#REF!</v>
      </c>
      <c r="BB692" s="11" t="e">
        <f>IF(Data!#REF!="","",IF(Data!$G692="",1,IF(ISNUMBER(MATCH(Data!#REF!,Data_Val!$D$2:$D$10,0)),0,1)))</f>
        <v>#REF!</v>
      </c>
      <c r="BC692" s="12"/>
      <c r="BD692" s="20" t="e">
        <f ca="1">IF(Data!#REF!="","",IF(ISNUMBER(Data!#REF!),IF(AND(Data!#REF!&gt;(TODAY()-(Data_Val!$M$3*365.25)),Data!#REF!&lt;=(TODAY()-(Data_Val!$M$2*365.25))),0,1),1))</f>
        <v>#REF!</v>
      </c>
      <c r="BE692" s="12" t="e">
        <f>IF(Data!#REF!="","",IF(Data!$G692="",1,IF(ISNUMBER(MATCH(Data!#REF!,Data_Val!$D$2:$D$10,0)),0,1)))</f>
        <v>#REF!</v>
      </c>
      <c r="BF692" s="17"/>
      <c r="BG692" s="18" t="e">
        <f ca="1">IF(Data!#REF!="","",IF(ISNUMBER(Data!#REF!),IF(AND(Data!#REF!&gt;(TODAY()-(Data_Val!$M$3*365.25)),Data!#REF!&lt;=(TODAY()-(Data_Val!$M$2*365.25))),0,1),1))</f>
        <v>#REF!</v>
      </c>
      <c r="BH692" s="29" t="e">
        <f>IF(Data!#REF!="","",IF(Data!$G692="",1,IF(ISNUMBER(MATCH(Data!#REF!,Data_Val!$D$2:$D$10,0)),0,1)))</f>
        <v>#REF!</v>
      </c>
      <c r="BI692" s="13"/>
      <c r="BJ692" s="21" t="e">
        <f ca="1">IF(Data!#REF!="","",IF(ISNUMBER(Data!#REF!),IF(AND(Data!#REF!&gt;(TODAY()-(Data_Val!$M$3*365.25)),Data!#REF!&lt;=(TODAY()-(Data_Val!$M$2*365.25))),0,1),1))</f>
        <v>#REF!</v>
      </c>
      <c r="BK692" s="13" t="e">
        <f>IF(Data!#REF!="","",IF(Data!$G692="",1,IF(ISNUMBER(MATCH(Data!#REF!,Data_Val!$D$2:$D$10,0)),0,1)))</f>
        <v>#REF!</v>
      </c>
    </row>
    <row r="693" spans="1:63" x14ac:dyDescent="0.25">
      <c r="A693" s="9" t="str">
        <f>IF(Data!B693="","",IF(COUNTIFS(Data!A$1:'Data'!A693,Data!A693)&lt;=1,0,1))</f>
        <v/>
      </c>
      <c r="B693" s="9"/>
      <c r="C693" s="23" t="str">
        <f>IF(Data!C693="","",(IF(ISNUMBER(MATCH("*@*.?*",Data!C693,0)),0,1)+IF(COUNTIFS(Data!C$1:'Data'!C693,Data!C693)&gt;1,1,0)))</f>
        <v/>
      </c>
      <c r="D693" s="9" t="str">
        <f>IF(Data!B693="","",IF(ISNUMBER(Data!D693),IF(AND(Data!D693&gt;999999999,Data!D693&lt;=9999999999),IF(COUNTIFS(Data!D$1:'Data'!D693,Data!D693)&lt;=1,0,1),1),1))</f>
        <v/>
      </c>
      <c r="E693" s="9" t="str">
        <f>IF(Data!B693="","",IF(ISNUMBER(MATCH(Data!E693,Data_Val!$A$2:$A$3,0)),0,1))</f>
        <v/>
      </c>
      <c r="F693" s="9" t="str">
        <f ca="1">IF(Data!B693="","",IF(ISNUMBER(Data!F693),IF(AND(Data!F693&gt;(TODAY()-(Data_Val!$H$3*365.25)),Data!F693&lt;=(TODAY()-(Data_Val!$H$2*365.25))),0,1),1))</f>
        <v/>
      </c>
      <c r="G693" s="15" t="str">
        <f>IF(Data!B693="","",IF(AND(Data!G693="",Data!H693&lt;&gt;""),1,IF(Data!#REF!&lt;&gt;"",0,IF(ISNUMBER(MATCH(Data!G693,Data_Val!$C$2:$C$5,0)),0,1))))</f>
        <v/>
      </c>
      <c r="H693" s="15" t="str">
        <f>IF(Data!B693="","",IF(AND(Data!G693&lt;&gt;"",Data!H693=""),1,IF(Data!#REF!&lt;&gt;"",0,IF(Data!G693="",1,IF(ISNUMBER(MATCH(Data!H693,Data_Val!$D$2:$D$35,0)),0,1)))))</f>
        <v/>
      </c>
      <c r="I693" s="15" t="str">
        <f>IF(Data!B693="","",IF(Data!G693&lt;&gt;"",0,IF(ISNUMBER(MATCH(Data!#REF!,Data_Val!$E$2:$E$12,0)),0,1)))</f>
        <v/>
      </c>
      <c r="J693" s="16" t="e">
        <f>IF(OR(Data!B693="",Data!#REF!=""),"",IF(Data!#REF!="",1,0))</f>
        <v>#REF!</v>
      </c>
      <c r="K693" s="16" t="e">
        <f>IF(OR(Data!B693="",Data!#REF!=""),"",IF(Data!#REF!="",1,0))</f>
        <v>#REF!</v>
      </c>
      <c r="L693" s="16" t="e">
        <f>IF(OR(Data!B693="",Data!#REF!=""),"",IF(ISNUMBER(Data!#REF!),IF(AND(Data!#REF!&gt;Data_Val!$G$2,Data!#REF!&lt;=Data_Val!$G$3),0,1),1))</f>
        <v>#REF!</v>
      </c>
      <c r="M693" s="9" t="e">
        <f>IF(OR(Data!B693="",Data!#REF!=""),"",IF(ISNUMBER(MATCH(Data!#REF!,Data_Val!$F$1:$F$38,0)),0,1))</f>
        <v>#REF!</v>
      </c>
      <c r="N693" s="9" t="e">
        <f>IF(OR(Data!B693="",Data!#REF!=""),"",IF(Data!#REF!="",1,0))</f>
        <v>#REF!</v>
      </c>
      <c r="O693" s="17" t="e">
        <f>IF(Data!#REF!="","",IF(Data!#REF!="",1,0))</f>
        <v>#REF!</v>
      </c>
      <c r="P693" s="17" t="e">
        <f>IF(Data!#REF!="","",IF(ISNUMBER(MATCH(Data!#REF!,Data_Val!$A$2:$A$3,0)),0,1))</f>
        <v>#REF!</v>
      </c>
      <c r="Q693" s="25" t="e">
        <f ca="1">IF(Data!#REF!="","",IF(ISNUMBER(Data!#REF!),IF(AND(Data!#REF!&gt;(TODAY()-(Data_Val!$J$3*365.25)),Data!#REF!&lt;=(TODAY()-(Data_Val!$J$2*365.25))),0,1),1))</f>
        <v>#REF!</v>
      </c>
      <c r="R693" s="17" t="e">
        <f>IF(Data!#REF!="","",IF(ISNUMBER(MATCH(Data!#REF!,Data_Val!$B$2:$B$15,0)),0,1))</f>
        <v>#REF!</v>
      </c>
      <c r="S693" s="11" t="str">
        <f>IF(Data!G693="","",IF(Data!G693=Data_Val!$C$2,IF(Data!M693="",0,1),0))</f>
        <v/>
      </c>
      <c r="T693" s="11" t="str">
        <f>IF(Data!M693="","",IF(ISNUMBER(MATCH(Data!N693,Data_Val!$A$2:$A$3,0)),0,1))</f>
        <v/>
      </c>
      <c r="U693" s="11" t="str">
        <f ca="1">IF(Data!M693="","",IF(ISNUMBER(Data!O693),IF(AND(Data!O693&gt;(TODAY()-(Data_Val!$K$3*365.25)),Data!O693&lt;=(TODAY()-(Data_Val!$K$2*365.25))),0,1),1))</f>
        <v/>
      </c>
      <c r="V693" s="12" t="str">
        <f>IF(Data!G693="","",IF(Data!G693=Data_Val!$C$2,IF(Data!P693="",0,1),0))</f>
        <v/>
      </c>
      <c r="W693" s="12" t="str">
        <f>IF(Data!P693="","",IF(ISNUMBER(MATCH(Data!Q693,Data_Val!$A$2:$A$3,0)),0,1))</f>
        <v/>
      </c>
      <c r="X693" s="26" t="str">
        <f ca="1">IF(Data!P693="","",IF(ISNUMBER(Data!R693),IF(AND(Data!R693&gt;(TODAY()-(Data_Val!$L$3*365.25)),Data!R693&lt;=(TODAY()-(Data_Val!$L$2*365.25))),0,1),1))</f>
        <v/>
      </c>
      <c r="Y693" s="13" t="str">
        <f>IF(Data!$G693="","",IF(Data!$G693=Data_Val!$C$2,IF(Data!S693="",0,1),0))</f>
        <v/>
      </c>
      <c r="Z693" s="13" t="str">
        <f>IF(Data!S693="","",IF(ISNUMBER(MATCH(Data!T693,Data_Val!$A$2:$A$3,0)),0,1))</f>
        <v/>
      </c>
      <c r="AA693" s="28" t="str">
        <f ca="1">IF(Data!S693="","",IF(ISNUMBER(Data!U693),IF(AND(Data!U693&gt;(TODAY()-(Data_Val!$L$3*365.25)),Data!U693&lt;=(TODAY()-(Data_Val!$L$2*365.25))),0,1),1))</f>
        <v/>
      </c>
      <c r="AB693" s="11"/>
      <c r="AC693" s="11" t="e">
        <f>IF(Data!#REF!="","",IF(ISNUMBER(MATCH(Data!#REF!,Data_Val!$A$2:$A$3,0)),0,1))</f>
        <v>#REF!</v>
      </c>
      <c r="AD693" s="11" t="e">
        <f ca="1">IF(Data!#REF!="","",IF(ISNUMBER(Data!#REF!),IF(AND(Data!#REF!&gt;(TODAY()-(Data_Val!$L$3*365.25)),Data!#REF!&lt;=(TODAY()-(Data_Val!$L$2*365.25))),0,1),1))</f>
        <v>#REF!</v>
      </c>
      <c r="AE693" s="11" t="e">
        <f>IF(Data!#REF!="","",IF(Data!$G693="",1,IF(ISNUMBER(MATCH(Data!#REF!,Data_Val!$D$2:$D$10,0)),0,1)))</f>
        <v>#REF!</v>
      </c>
      <c r="AF693" s="12"/>
      <c r="AG693" s="12" t="e">
        <f>IF(Data!#REF!="","",IF(ISNUMBER(MATCH(Data!#REF!,Data_Val!$A$2:$A$3,0)),0,1))</f>
        <v>#REF!</v>
      </c>
      <c r="AH693" s="26" t="e">
        <f ca="1">IF(Data!#REF!="","",IF(ISNUMBER(Data!#REF!),IF(AND(Data!#REF!&gt;(TODAY()-(Data_Val!$L$3*365.25)),Data!#REF!&lt;=(TODAY()-(Data_Val!$L$2*365.25))),0,1),1))</f>
        <v>#REF!</v>
      </c>
      <c r="AI693" s="12" t="e">
        <f>IF(Data!#REF!="","",IF(Data!$G693="",1,IF(ISNUMBER(MATCH(Data!#REF!,Data_Val!$D$2:$D$10,0)),0,1)))</f>
        <v>#REF!</v>
      </c>
      <c r="AJ693" s="17"/>
      <c r="AK693" s="17" t="e">
        <f>IF(Data!#REF!="","",IF(ISNUMBER(MATCH(Data!#REF!,Data_Val!$A$2:$A$3,0)),0,1))</f>
        <v>#REF!</v>
      </c>
      <c r="AL693" s="25" t="e">
        <f ca="1">IF(Data!#REF!="","",IF(ISNUMBER(Data!#REF!),IF(AND(Data!#REF!&gt;(TODAY()-(Data_Val!$L$3*365.25)),Data!#REF!&lt;=(TODAY()-(Data_Val!$L$2*365.25))),0,1),1))</f>
        <v>#REF!</v>
      </c>
      <c r="AM693" s="17" t="e">
        <f>IF(Data!#REF!="","",IF(Data!$G693="",1,IF(ISNUMBER(MATCH(Data!#REF!,Data_Val!$D$2:$D$10,0)),0,1)))</f>
        <v>#REF!</v>
      </c>
      <c r="AN693" s="13"/>
      <c r="AO693" s="28" t="e">
        <f ca="1">IF(Data!#REF!="","",IF(ISNUMBER(Data!#REF!),IF(AND(Data!#REF!&gt;(TODAY()-(Data_Val!$I$3*365.25)),Data!#REF!&lt;=(TODAY()-(Data_Val!$I$2*365.25))),0,1),1))</f>
        <v>#REF!</v>
      </c>
      <c r="AP693" s="13" t="e">
        <f>IF(Data!#REF!="","",IF(Data!$G693="",1,IF(ISNUMBER(MATCH(Data!#REF!,Data_Val!$D$2:$D$10,0)),0,1)))</f>
        <v>#REF!</v>
      </c>
      <c r="AQ693" s="17"/>
      <c r="AR693" s="30" t="e">
        <f ca="1">IF(Data!#REF!="","",IF(ISNUMBER(Data!#REF!),IF(AND(Data!#REF!&gt;(TODAY()-(Data_Val!$I$3*365.25)),Data!#REF!&lt;=(TODAY()-(Data_Val!$I$2*365.25))),0,1),1))</f>
        <v>#REF!</v>
      </c>
      <c r="AS693" s="31" t="e">
        <f>IF(Data!#REF!="","",IF(Data!$G693="",1,IF(ISNUMBER(MATCH(Data!#REF!,Data_Val!$D$2:$D$10,0)),0,1)))</f>
        <v>#REF!</v>
      </c>
      <c r="AT693" s="11"/>
      <c r="AU693" s="11" t="e">
        <f ca="1">IF(Data!#REF!="","",IF(ISNUMBER(Data!#REF!),IF(AND(Data!#REF!&gt;(TODAY()-(Data_Val!$I$3*365.25)),Data!#REF!&lt;=(TODAY()-(Data_Val!$I$2*365.25))),0,1),1))</f>
        <v>#REF!</v>
      </c>
      <c r="AV693" s="11" t="e">
        <f>IF(Data!#REF!="","",IF(Data!$G693="",1,IF(ISNUMBER(MATCH(Data!#REF!,Data_Val!$D$2:$D$10,0)),0,1)))</f>
        <v>#REF!</v>
      </c>
      <c r="AW693" s="12"/>
      <c r="AX693" s="26" t="e">
        <f ca="1">IF(Data!#REF!="","",IF(ISNUMBER(Data!#REF!),IF(AND(Data!#REF!&gt;(TODAY()-(Data_Val!$I$3*365.25)),Data!#REF!&lt;=(TODAY()-(Data_Val!$I$2*365.25))),0,1),1))</f>
        <v>#REF!</v>
      </c>
      <c r="AY693" s="12" t="e">
        <f>IF(Data!#REF!="","",IF(Data!$G693="",1,IF(ISNUMBER(MATCH(Data!#REF!,Data_Val!$D$2:$D$10,0)),0,1)))</f>
        <v>#REF!</v>
      </c>
      <c r="AZ693" s="11"/>
      <c r="BA693" s="19" t="e">
        <f ca="1">IF(Data!#REF!="","",IF(ISNUMBER(Data!#REF!),IF(AND(Data!#REF!&gt;(TODAY()-(Data_Val!$M$3*365.25)),Data!#REF!&lt;=(TODAY()-(Data_Val!$M$2*365.25))),0,1),1))</f>
        <v>#REF!</v>
      </c>
      <c r="BB693" s="11" t="e">
        <f>IF(Data!#REF!="","",IF(Data!$G693="",1,IF(ISNUMBER(MATCH(Data!#REF!,Data_Val!$D$2:$D$10,0)),0,1)))</f>
        <v>#REF!</v>
      </c>
      <c r="BC693" s="12"/>
      <c r="BD693" s="20" t="e">
        <f ca="1">IF(Data!#REF!="","",IF(ISNUMBER(Data!#REF!),IF(AND(Data!#REF!&gt;(TODAY()-(Data_Val!$M$3*365.25)),Data!#REF!&lt;=(TODAY()-(Data_Val!$M$2*365.25))),0,1),1))</f>
        <v>#REF!</v>
      </c>
      <c r="BE693" s="12" t="e">
        <f>IF(Data!#REF!="","",IF(Data!$G693="",1,IF(ISNUMBER(MATCH(Data!#REF!,Data_Val!$D$2:$D$10,0)),0,1)))</f>
        <v>#REF!</v>
      </c>
      <c r="BF693" s="17"/>
      <c r="BG693" s="18" t="e">
        <f ca="1">IF(Data!#REF!="","",IF(ISNUMBER(Data!#REF!),IF(AND(Data!#REF!&gt;(TODAY()-(Data_Val!$M$3*365.25)),Data!#REF!&lt;=(TODAY()-(Data_Val!$M$2*365.25))),0,1),1))</f>
        <v>#REF!</v>
      </c>
      <c r="BH693" s="29" t="e">
        <f>IF(Data!#REF!="","",IF(Data!$G693="",1,IF(ISNUMBER(MATCH(Data!#REF!,Data_Val!$D$2:$D$10,0)),0,1)))</f>
        <v>#REF!</v>
      </c>
      <c r="BI693" s="13"/>
      <c r="BJ693" s="21" t="e">
        <f ca="1">IF(Data!#REF!="","",IF(ISNUMBER(Data!#REF!),IF(AND(Data!#REF!&gt;(TODAY()-(Data_Val!$M$3*365.25)),Data!#REF!&lt;=(TODAY()-(Data_Val!$M$2*365.25))),0,1),1))</f>
        <v>#REF!</v>
      </c>
      <c r="BK693" s="13" t="e">
        <f>IF(Data!#REF!="","",IF(Data!$G693="",1,IF(ISNUMBER(MATCH(Data!#REF!,Data_Val!$D$2:$D$10,0)),0,1)))</f>
        <v>#REF!</v>
      </c>
    </row>
    <row r="694" spans="1:63" x14ac:dyDescent="0.25">
      <c r="A694" s="9" t="str">
        <f>IF(Data!B694="","",IF(COUNTIFS(Data!A$1:'Data'!A694,Data!A694)&lt;=1,0,1))</f>
        <v/>
      </c>
      <c r="B694" s="9"/>
      <c r="C694" s="23" t="str">
        <f>IF(Data!C694="","",(IF(ISNUMBER(MATCH("*@*.?*",Data!C694,0)),0,1)+IF(COUNTIFS(Data!C$1:'Data'!C694,Data!C694)&gt;1,1,0)))</f>
        <v/>
      </c>
      <c r="D694" s="9" t="str">
        <f>IF(Data!B694="","",IF(ISNUMBER(Data!D694),IF(AND(Data!D694&gt;999999999,Data!D694&lt;=9999999999),IF(COUNTIFS(Data!D$1:'Data'!D694,Data!D694)&lt;=1,0,1),1),1))</f>
        <v/>
      </c>
      <c r="E694" s="9" t="str">
        <f>IF(Data!B694="","",IF(ISNUMBER(MATCH(Data!E694,Data_Val!$A$2:$A$3,0)),0,1))</f>
        <v/>
      </c>
      <c r="F694" s="9" t="str">
        <f ca="1">IF(Data!B694="","",IF(ISNUMBER(Data!F694),IF(AND(Data!F694&gt;(TODAY()-(Data_Val!$H$3*365.25)),Data!F694&lt;=(TODAY()-(Data_Val!$H$2*365.25))),0,1),1))</f>
        <v/>
      </c>
      <c r="G694" s="15" t="str">
        <f>IF(Data!B694="","",IF(AND(Data!G694="",Data!H694&lt;&gt;""),1,IF(Data!#REF!&lt;&gt;"",0,IF(ISNUMBER(MATCH(Data!G694,Data_Val!$C$2:$C$5,0)),0,1))))</f>
        <v/>
      </c>
      <c r="H694" s="15" t="str">
        <f>IF(Data!B694="","",IF(AND(Data!G694&lt;&gt;"",Data!H694=""),1,IF(Data!#REF!&lt;&gt;"",0,IF(Data!G694="",1,IF(ISNUMBER(MATCH(Data!H694,Data_Val!$D$2:$D$35,0)),0,1)))))</f>
        <v/>
      </c>
      <c r="I694" s="15" t="str">
        <f>IF(Data!B694="","",IF(Data!G694&lt;&gt;"",0,IF(ISNUMBER(MATCH(Data!#REF!,Data_Val!$E$2:$E$12,0)),0,1)))</f>
        <v/>
      </c>
      <c r="J694" s="16" t="e">
        <f>IF(OR(Data!B694="",Data!#REF!=""),"",IF(Data!#REF!="",1,0))</f>
        <v>#REF!</v>
      </c>
      <c r="K694" s="16" t="e">
        <f>IF(OR(Data!B694="",Data!#REF!=""),"",IF(Data!#REF!="",1,0))</f>
        <v>#REF!</v>
      </c>
      <c r="L694" s="16" t="e">
        <f>IF(OR(Data!B694="",Data!#REF!=""),"",IF(ISNUMBER(Data!#REF!),IF(AND(Data!#REF!&gt;Data_Val!$G$2,Data!#REF!&lt;=Data_Val!$G$3),0,1),1))</f>
        <v>#REF!</v>
      </c>
      <c r="M694" s="9" t="e">
        <f>IF(OR(Data!B694="",Data!#REF!=""),"",IF(ISNUMBER(MATCH(Data!#REF!,Data_Val!$F$1:$F$38,0)),0,1))</f>
        <v>#REF!</v>
      </c>
      <c r="N694" s="9" t="e">
        <f>IF(OR(Data!B694="",Data!#REF!=""),"",IF(Data!#REF!="",1,0))</f>
        <v>#REF!</v>
      </c>
      <c r="O694" s="17" t="e">
        <f>IF(Data!#REF!="","",IF(Data!#REF!="",1,0))</f>
        <v>#REF!</v>
      </c>
      <c r="P694" s="17" t="e">
        <f>IF(Data!#REF!="","",IF(ISNUMBER(MATCH(Data!#REF!,Data_Val!$A$2:$A$3,0)),0,1))</f>
        <v>#REF!</v>
      </c>
      <c r="Q694" s="25" t="e">
        <f ca="1">IF(Data!#REF!="","",IF(ISNUMBER(Data!#REF!),IF(AND(Data!#REF!&gt;(TODAY()-(Data_Val!$J$3*365.25)),Data!#REF!&lt;=(TODAY()-(Data_Val!$J$2*365.25))),0,1),1))</f>
        <v>#REF!</v>
      </c>
      <c r="R694" s="17" t="e">
        <f>IF(Data!#REF!="","",IF(ISNUMBER(MATCH(Data!#REF!,Data_Val!$B$2:$B$15,0)),0,1))</f>
        <v>#REF!</v>
      </c>
      <c r="S694" s="11" t="str">
        <f>IF(Data!G694="","",IF(Data!G694=Data_Val!$C$2,IF(Data!M694="",0,1),0))</f>
        <v/>
      </c>
      <c r="T694" s="11" t="str">
        <f>IF(Data!M694="","",IF(ISNUMBER(MATCH(Data!N694,Data_Val!$A$2:$A$3,0)),0,1))</f>
        <v/>
      </c>
      <c r="U694" s="11" t="str">
        <f ca="1">IF(Data!M694="","",IF(ISNUMBER(Data!O694),IF(AND(Data!O694&gt;(TODAY()-(Data_Val!$K$3*365.25)),Data!O694&lt;=(TODAY()-(Data_Val!$K$2*365.25))),0,1),1))</f>
        <v/>
      </c>
      <c r="V694" s="12" t="str">
        <f>IF(Data!G694="","",IF(Data!G694=Data_Val!$C$2,IF(Data!P694="",0,1),0))</f>
        <v/>
      </c>
      <c r="W694" s="12" t="str">
        <f>IF(Data!P694="","",IF(ISNUMBER(MATCH(Data!Q694,Data_Val!$A$2:$A$3,0)),0,1))</f>
        <v/>
      </c>
      <c r="X694" s="26" t="str">
        <f ca="1">IF(Data!P694="","",IF(ISNUMBER(Data!R694),IF(AND(Data!R694&gt;(TODAY()-(Data_Val!$L$3*365.25)),Data!R694&lt;=(TODAY()-(Data_Val!$L$2*365.25))),0,1),1))</f>
        <v/>
      </c>
      <c r="Y694" s="13" t="str">
        <f>IF(Data!$G694="","",IF(Data!$G694=Data_Val!$C$2,IF(Data!S694="",0,1),0))</f>
        <v/>
      </c>
      <c r="Z694" s="13" t="str">
        <f>IF(Data!S694="","",IF(ISNUMBER(MATCH(Data!T694,Data_Val!$A$2:$A$3,0)),0,1))</f>
        <v/>
      </c>
      <c r="AA694" s="28" t="str">
        <f ca="1">IF(Data!S694="","",IF(ISNUMBER(Data!U694),IF(AND(Data!U694&gt;(TODAY()-(Data_Val!$L$3*365.25)),Data!U694&lt;=(TODAY()-(Data_Val!$L$2*365.25))),0,1),1))</f>
        <v/>
      </c>
      <c r="AB694" s="11"/>
      <c r="AC694" s="11" t="e">
        <f>IF(Data!#REF!="","",IF(ISNUMBER(MATCH(Data!#REF!,Data_Val!$A$2:$A$3,0)),0,1))</f>
        <v>#REF!</v>
      </c>
      <c r="AD694" s="11" t="e">
        <f ca="1">IF(Data!#REF!="","",IF(ISNUMBER(Data!#REF!),IF(AND(Data!#REF!&gt;(TODAY()-(Data_Val!$L$3*365.25)),Data!#REF!&lt;=(TODAY()-(Data_Val!$L$2*365.25))),0,1),1))</f>
        <v>#REF!</v>
      </c>
      <c r="AE694" s="11" t="e">
        <f>IF(Data!#REF!="","",IF(Data!$G694="",1,IF(ISNUMBER(MATCH(Data!#REF!,Data_Val!$D$2:$D$10,0)),0,1)))</f>
        <v>#REF!</v>
      </c>
      <c r="AF694" s="12"/>
      <c r="AG694" s="12" t="e">
        <f>IF(Data!#REF!="","",IF(ISNUMBER(MATCH(Data!#REF!,Data_Val!$A$2:$A$3,0)),0,1))</f>
        <v>#REF!</v>
      </c>
      <c r="AH694" s="26" t="e">
        <f ca="1">IF(Data!#REF!="","",IF(ISNUMBER(Data!#REF!),IF(AND(Data!#REF!&gt;(TODAY()-(Data_Val!$L$3*365.25)),Data!#REF!&lt;=(TODAY()-(Data_Val!$L$2*365.25))),0,1),1))</f>
        <v>#REF!</v>
      </c>
      <c r="AI694" s="12" t="e">
        <f>IF(Data!#REF!="","",IF(Data!$G694="",1,IF(ISNUMBER(MATCH(Data!#REF!,Data_Val!$D$2:$D$10,0)),0,1)))</f>
        <v>#REF!</v>
      </c>
      <c r="AJ694" s="17"/>
      <c r="AK694" s="17" t="e">
        <f>IF(Data!#REF!="","",IF(ISNUMBER(MATCH(Data!#REF!,Data_Val!$A$2:$A$3,0)),0,1))</f>
        <v>#REF!</v>
      </c>
      <c r="AL694" s="25" t="e">
        <f ca="1">IF(Data!#REF!="","",IF(ISNUMBER(Data!#REF!),IF(AND(Data!#REF!&gt;(TODAY()-(Data_Val!$L$3*365.25)),Data!#REF!&lt;=(TODAY()-(Data_Val!$L$2*365.25))),0,1),1))</f>
        <v>#REF!</v>
      </c>
      <c r="AM694" s="17" t="e">
        <f>IF(Data!#REF!="","",IF(Data!$G694="",1,IF(ISNUMBER(MATCH(Data!#REF!,Data_Val!$D$2:$D$10,0)),0,1)))</f>
        <v>#REF!</v>
      </c>
      <c r="AN694" s="13"/>
      <c r="AO694" s="28" t="e">
        <f ca="1">IF(Data!#REF!="","",IF(ISNUMBER(Data!#REF!),IF(AND(Data!#REF!&gt;(TODAY()-(Data_Val!$I$3*365.25)),Data!#REF!&lt;=(TODAY()-(Data_Val!$I$2*365.25))),0,1),1))</f>
        <v>#REF!</v>
      </c>
      <c r="AP694" s="13" t="e">
        <f>IF(Data!#REF!="","",IF(Data!$G694="",1,IF(ISNUMBER(MATCH(Data!#REF!,Data_Val!$D$2:$D$10,0)),0,1)))</f>
        <v>#REF!</v>
      </c>
      <c r="AQ694" s="17"/>
      <c r="AR694" s="30" t="e">
        <f ca="1">IF(Data!#REF!="","",IF(ISNUMBER(Data!#REF!),IF(AND(Data!#REF!&gt;(TODAY()-(Data_Val!$I$3*365.25)),Data!#REF!&lt;=(TODAY()-(Data_Val!$I$2*365.25))),0,1),1))</f>
        <v>#REF!</v>
      </c>
      <c r="AS694" s="31" t="e">
        <f>IF(Data!#REF!="","",IF(Data!$G694="",1,IF(ISNUMBER(MATCH(Data!#REF!,Data_Val!$D$2:$D$10,0)),0,1)))</f>
        <v>#REF!</v>
      </c>
      <c r="AT694" s="11"/>
      <c r="AU694" s="11" t="e">
        <f ca="1">IF(Data!#REF!="","",IF(ISNUMBER(Data!#REF!),IF(AND(Data!#REF!&gt;(TODAY()-(Data_Val!$I$3*365.25)),Data!#REF!&lt;=(TODAY()-(Data_Val!$I$2*365.25))),0,1),1))</f>
        <v>#REF!</v>
      </c>
      <c r="AV694" s="11" t="e">
        <f>IF(Data!#REF!="","",IF(Data!$G694="",1,IF(ISNUMBER(MATCH(Data!#REF!,Data_Val!$D$2:$D$10,0)),0,1)))</f>
        <v>#REF!</v>
      </c>
      <c r="AW694" s="12"/>
      <c r="AX694" s="26" t="e">
        <f ca="1">IF(Data!#REF!="","",IF(ISNUMBER(Data!#REF!),IF(AND(Data!#REF!&gt;(TODAY()-(Data_Val!$I$3*365.25)),Data!#REF!&lt;=(TODAY()-(Data_Val!$I$2*365.25))),0,1),1))</f>
        <v>#REF!</v>
      </c>
      <c r="AY694" s="12" t="e">
        <f>IF(Data!#REF!="","",IF(Data!$G694="",1,IF(ISNUMBER(MATCH(Data!#REF!,Data_Val!$D$2:$D$10,0)),0,1)))</f>
        <v>#REF!</v>
      </c>
      <c r="AZ694" s="11"/>
      <c r="BA694" s="19" t="e">
        <f ca="1">IF(Data!#REF!="","",IF(ISNUMBER(Data!#REF!),IF(AND(Data!#REF!&gt;(TODAY()-(Data_Val!$M$3*365.25)),Data!#REF!&lt;=(TODAY()-(Data_Val!$M$2*365.25))),0,1),1))</f>
        <v>#REF!</v>
      </c>
      <c r="BB694" s="11" t="e">
        <f>IF(Data!#REF!="","",IF(Data!$G694="",1,IF(ISNUMBER(MATCH(Data!#REF!,Data_Val!$D$2:$D$10,0)),0,1)))</f>
        <v>#REF!</v>
      </c>
      <c r="BC694" s="12"/>
      <c r="BD694" s="20" t="e">
        <f ca="1">IF(Data!#REF!="","",IF(ISNUMBER(Data!#REF!),IF(AND(Data!#REF!&gt;(TODAY()-(Data_Val!$M$3*365.25)),Data!#REF!&lt;=(TODAY()-(Data_Val!$M$2*365.25))),0,1),1))</f>
        <v>#REF!</v>
      </c>
      <c r="BE694" s="12" t="e">
        <f>IF(Data!#REF!="","",IF(Data!$G694="",1,IF(ISNUMBER(MATCH(Data!#REF!,Data_Val!$D$2:$D$10,0)),0,1)))</f>
        <v>#REF!</v>
      </c>
      <c r="BF694" s="17"/>
      <c r="BG694" s="18" t="e">
        <f ca="1">IF(Data!#REF!="","",IF(ISNUMBER(Data!#REF!),IF(AND(Data!#REF!&gt;(TODAY()-(Data_Val!$M$3*365.25)),Data!#REF!&lt;=(TODAY()-(Data_Val!$M$2*365.25))),0,1),1))</f>
        <v>#REF!</v>
      </c>
      <c r="BH694" s="29" t="e">
        <f>IF(Data!#REF!="","",IF(Data!$G694="",1,IF(ISNUMBER(MATCH(Data!#REF!,Data_Val!$D$2:$D$10,0)),0,1)))</f>
        <v>#REF!</v>
      </c>
      <c r="BI694" s="13"/>
      <c r="BJ694" s="21" t="e">
        <f ca="1">IF(Data!#REF!="","",IF(ISNUMBER(Data!#REF!),IF(AND(Data!#REF!&gt;(TODAY()-(Data_Val!$M$3*365.25)),Data!#REF!&lt;=(TODAY()-(Data_Val!$M$2*365.25))),0,1),1))</f>
        <v>#REF!</v>
      </c>
      <c r="BK694" s="13" t="e">
        <f>IF(Data!#REF!="","",IF(Data!$G694="",1,IF(ISNUMBER(MATCH(Data!#REF!,Data_Val!$D$2:$D$10,0)),0,1)))</f>
        <v>#REF!</v>
      </c>
    </row>
    <row r="695" spans="1:63" x14ac:dyDescent="0.25">
      <c r="A695" s="9" t="str">
        <f>IF(Data!B695="","",IF(COUNTIFS(Data!A$1:'Data'!A695,Data!A695)&lt;=1,0,1))</f>
        <v/>
      </c>
      <c r="B695" s="9"/>
      <c r="C695" s="23" t="str">
        <f>IF(Data!C695="","",(IF(ISNUMBER(MATCH("*@*.?*",Data!C695,0)),0,1)+IF(COUNTIFS(Data!C$1:'Data'!C695,Data!C695)&gt;1,1,0)))</f>
        <v/>
      </c>
      <c r="D695" s="9" t="str">
        <f>IF(Data!B695="","",IF(ISNUMBER(Data!D695),IF(AND(Data!D695&gt;999999999,Data!D695&lt;=9999999999),IF(COUNTIFS(Data!D$1:'Data'!D695,Data!D695)&lt;=1,0,1),1),1))</f>
        <v/>
      </c>
      <c r="E695" s="9" t="str">
        <f>IF(Data!B695="","",IF(ISNUMBER(MATCH(Data!E695,Data_Val!$A$2:$A$3,0)),0,1))</f>
        <v/>
      </c>
      <c r="F695" s="9" t="str">
        <f ca="1">IF(Data!B695="","",IF(ISNUMBER(Data!F695),IF(AND(Data!F695&gt;(TODAY()-(Data_Val!$H$3*365.25)),Data!F695&lt;=(TODAY()-(Data_Val!$H$2*365.25))),0,1),1))</f>
        <v/>
      </c>
      <c r="G695" s="15" t="str">
        <f>IF(Data!B695="","",IF(AND(Data!G695="",Data!H695&lt;&gt;""),1,IF(Data!#REF!&lt;&gt;"",0,IF(ISNUMBER(MATCH(Data!G695,Data_Val!$C$2:$C$5,0)),0,1))))</f>
        <v/>
      </c>
      <c r="H695" s="15" t="str">
        <f>IF(Data!B695="","",IF(AND(Data!G695&lt;&gt;"",Data!H695=""),1,IF(Data!#REF!&lt;&gt;"",0,IF(Data!G695="",1,IF(ISNUMBER(MATCH(Data!H695,Data_Val!$D$2:$D$35,0)),0,1)))))</f>
        <v/>
      </c>
      <c r="I695" s="15" t="str">
        <f>IF(Data!B695="","",IF(Data!G695&lt;&gt;"",0,IF(ISNUMBER(MATCH(Data!#REF!,Data_Val!$E$2:$E$12,0)),0,1)))</f>
        <v/>
      </c>
      <c r="J695" s="16" t="e">
        <f>IF(OR(Data!B695="",Data!#REF!=""),"",IF(Data!#REF!="",1,0))</f>
        <v>#REF!</v>
      </c>
      <c r="K695" s="16" t="e">
        <f>IF(OR(Data!B695="",Data!#REF!=""),"",IF(Data!#REF!="",1,0))</f>
        <v>#REF!</v>
      </c>
      <c r="L695" s="16" t="e">
        <f>IF(OR(Data!B695="",Data!#REF!=""),"",IF(ISNUMBER(Data!#REF!),IF(AND(Data!#REF!&gt;Data_Val!$G$2,Data!#REF!&lt;=Data_Val!$G$3),0,1),1))</f>
        <v>#REF!</v>
      </c>
      <c r="M695" s="9" t="e">
        <f>IF(OR(Data!B695="",Data!#REF!=""),"",IF(ISNUMBER(MATCH(Data!#REF!,Data_Val!$F$1:$F$38,0)),0,1))</f>
        <v>#REF!</v>
      </c>
      <c r="N695" s="9" t="e">
        <f>IF(OR(Data!B695="",Data!#REF!=""),"",IF(Data!#REF!="",1,0))</f>
        <v>#REF!</v>
      </c>
      <c r="O695" s="17" t="e">
        <f>IF(Data!#REF!="","",IF(Data!#REF!="",1,0))</f>
        <v>#REF!</v>
      </c>
      <c r="P695" s="17" t="e">
        <f>IF(Data!#REF!="","",IF(ISNUMBER(MATCH(Data!#REF!,Data_Val!$A$2:$A$3,0)),0,1))</f>
        <v>#REF!</v>
      </c>
      <c r="Q695" s="25" t="e">
        <f ca="1">IF(Data!#REF!="","",IF(ISNUMBER(Data!#REF!),IF(AND(Data!#REF!&gt;(TODAY()-(Data_Val!$J$3*365.25)),Data!#REF!&lt;=(TODAY()-(Data_Val!$J$2*365.25))),0,1),1))</f>
        <v>#REF!</v>
      </c>
      <c r="R695" s="17" t="e">
        <f>IF(Data!#REF!="","",IF(ISNUMBER(MATCH(Data!#REF!,Data_Val!$B$2:$B$15,0)),0,1))</f>
        <v>#REF!</v>
      </c>
      <c r="S695" s="11" t="str">
        <f>IF(Data!G695="","",IF(Data!G695=Data_Val!$C$2,IF(Data!M695="",0,1),0))</f>
        <v/>
      </c>
      <c r="T695" s="11" t="str">
        <f>IF(Data!M695="","",IF(ISNUMBER(MATCH(Data!N695,Data_Val!$A$2:$A$3,0)),0,1))</f>
        <v/>
      </c>
      <c r="U695" s="11" t="str">
        <f ca="1">IF(Data!M695="","",IF(ISNUMBER(Data!O695),IF(AND(Data!O695&gt;(TODAY()-(Data_Val!$K$3*365.25)),Data!O695&lt;=(TODAY()-(Data_Val!$K$2*365.25))),0,1),1))</f>
        <v/>
      </c>
      <c r="V695" s="12" t="str">
        <f>IF(Data!G695="","",IF(Data!G695=Data_Val!$C$2,IF(Data!P695="",0,1),0))</f>
        <v/>
      </c>
      <c r="W695" s="12" t="str">
        <f>IF(Data!P695="","",IF(ISNUMBER(MATCH(Data!Q695,Data_Val!$A$2:$A$3,0)),0,1))</f>
        <v/>
      </c>
      <c r="X695" s="26" t="str">
        <f ca="1">IF(Data!P695="","",IF(ISNUMBER(Data!R695),IF(AND(Data!R695&gt;(TODAY()-(Data_Val!$L$3*365.25)),Data!R695&lt;=(TODAY()-(Data_Val!$L$2*365.25))),0,1),1))</f>
        <v/>
      </c>
      <c r="Y695" s="13" t="str">
        <f>IF(Data!$G695="","",IF(Data!$G695=Data_Val!$C$2,IF(Data!S695="",0,1),0))</f>
        <v/>
      </c>
      <c r="Z695" s="13" t="str">
        <f>IF(Data!S695="","",IF(ISNUMBER(MATCH(Data!T695,Data_Val!$A$2:$A$3,0)),0,1))</f>
        <v/>
      </c>
      <c r="AA695" s="28" t="str">
        <f ca="1">IF(Data!S695="","",IF(ISNUMBER(Data!U695),IF(AND(Data!U695&gt;(TODAY()-(Data_Val!$L$3*365.25)),Data!U695&lt;=(TODAY()-(Data_Val!$L$2*365.25))),0,1),1))</f>
        <v/>
      </c>
      <c r="AB695" s="11"/>
      <c r="AC695" s="11" t="e">
        <f>IF(Data!#REF!="","",IF(ISNUMBER(MATCH(Data!#REF!,Data_Val!$A$2:$A$3,0)),0,1))</f>
        <v>#REF!</v>
      </c>
      <c r="AD695" s="11" t="e">
        <f ca="1">IF(Data!#REF!="","",IF(ISNUMBER(Data!#REF!),IF(AND(Data!#REF!&gt;(TODAY()-(Data_Val!$L$3*365.25)),Data!#REF!&lt;=(TODAY()-(Data_Val!$L$2*365.25))),0,1),1))</f>
        <v>#REF!</v>
      </c>
      <c r="AE695" s="11" t="e">
        <f>IF(Data!#REF!="","",IF(Data!$G695="",1,IF(ISNUMBER(MATCH(Data!#REF!,Data_Val!$D$2:$D$10,0)),0,1)))</f>
        <v>#REF!</v>
      </c>
      <c r="AF695" s="12"/>
      <c r="AG695" s="12" t="e">
        <f>IF(Data!#REF!="","",IF(ISNUMBER(MATCH(Data!#REF!,Data_Val!$A$2:$A$3,0)),0,1))</f>
        <v>#REF!</v>
      </c>
      <c r="AH695" s="26" t="e">
        <f ca="1">IF(Data!#REF!="","",IF(ISNUMBER(Data!#REF!),IF(AND(Data!#REF!&gt;(TODAY()-(Data_Val!$L$3*365.25)),Data!#REF!&lt;=(TODAY()-(Data_Val!$L$2*365.25))),0,1),1))</f>
        <v>#REF!</v>
      </c>
      <c r="AI695" s="12" t="e">
        <f>IF(Data!#REF!="","",IF(Data!$G695="",1,IF(ISNUMBER(MATCH(Data!#REF!,Data_Val!$D$2:$D$10,0)),0,1)))</f>
        <v>#REF!</v>
      </c>
      <c r="AJ695" s="17"/>
      <c r="AK695" s="17" t="e">
        <f>IF(Data!#REF!="","",IF(ISNUMBER(MATCH(Data!#REF!,Data_Val!$A$2:$A$3,0)),0,1))</f>
        <v>#REF!</v>
      </c>
      <c r="AL695" s="25" t="e">
        <f ca="1">IF(Data!#REF!="","",IF(ISNUMBER(Data!#REF!),IF(AND(Data!#REF!&gt;(TODAY()-(Data_Val!$L$3*365.25)),Data!#REF!&lt;=(TODAY()-(Data_Val!$L$2*365.25))),0,1),1))</f>
        <v>#REF!</v>
      </c>
      <c r="AM695" s="17" t="e">
        <f>IF(Data!#REF!="","",IF(Data!$G695="",1,IF(ISNUMBER(MATCH(Data!#REF!,Data_Val!$D$2:$D$10,0)),0,1)))</f>
        <v>#REF!</v>
      </c>
      <c r="AN695" s="13"/>
      <c r="AO695" s="28" t="e">
        <f ca="1">IF(Data!#REF!="","",IF(ISNUMBER(Data!#REF!),IF(AND(Data!#REF!&gt;(TODAY()-(Data_Val!$I$3*365.25)),Data!#REF!&lt;=(TODAY()-(Data_Val!$I$2*365.25))),0,1),1))</f>
        <v>#REF!</v>
      </c>
      <c r="AP695" s="13" t="e">
        <f>IF(Data!#REF!="","",IF(Data!$G695="",1,IF(ISNUMBER(MATCH(Data!#REF!,Data_Val!$D$2:$D$10,0)),0,1)))</f>
        <v>#REF!</v>
      </c>
      <c r="AQ695" s="17"/>
      <c r="AR695" s="30" t="e">
        <f ca="1">IF(Data!#REF!="","",IF(ISNUMBER(Data!#REF!),IF(AND(Data!#REF!&gt;(TODAY()-(Data_Val!$I$3*365.25)),Data!#REF!&lt;=(TODAY()-(Data_Val!$I$2*365.25))),0,1),1))</f>
        <v>#REF!</v>
      </c>
      <c r="AS695" s="31" t="e">
        <f>IF(Data!#REF!="","",IF(Data!$G695="",1,IF(ISNUMBER(MATCH(Data!#REF!,Data_Val!$D$2:$D$10,0)),0,1)))</f>
        <v>#REF!</v>
      </c>
      <c r="AT695" s="11"/>
      <c r="AU695" s="11" t="e">
        <f ca="1">IF(Data!#REF!="","",IF(ISNUMBER(Data!#REF!),IF(AND(Data!#REF!&gt;(TODAY()-(Data_Val!$I$3*365.25)),Data!#REF!&lt;=(TODAY()-(Data_Val!$I$2*365.25))),0,1),1))</f>
        <v>#REF!</v>
      </c>
      <c r="AV695" s="11" t="e">
        <f>IF(Data!#REF!="","",IF(Data!$G695="",1,IF(ISNUMBER(MATCH(Data!#REF!,Data_Val!$D$2:$D$10,0)),0,1)))</f>
        <v>#REF!</v>
      </c>
      <c r="AW695" s="12"/>
      <c r="AX695" s="26" t="e">
        <f ca="1">IF(Data!#REF!="","",IF(ISNUMBER(Data!#REF!),IF(AND(Data!#REF!&gt;(TODAY()-(Data_Val!$I$3*365.25)),Data!#REF!&lt;=(TODAY()-(Data_Val!$I$2*365.25))),0,1),1))</f>
        <v>#REF!</v>
      </c>
      <c r="AY695" s="12" t="e">
        <f>IF(Data!#REF!="","",IF(Data!$G695="",1,IF(ISNUMBER(MATCH(Data!#REF!,Data_Val!$D$2:$D$10,0)),0,1)))</f>
        <v>#REF!</v>
      </c>
      <c r="AZ695" s="11"/>
      <c r="BA695" s="19" t="e">
        <f ca="1">IF(Data!#REF!="","",IF(ISNUMBER(Data!#REF!),IF(AND(Data!#REF!&gt;(TODAY()-(Data_Val!$M$3*365.25)),Data!#REF!&lt;=(TODAY()-(Data_Val!$M$2*365.25))),0,1),1))</f>
        <v>#REF!</v>
      </c>
      <c r="BB695" s="11" t="e">
        <f>IF(Data!#REF!="","",IF(Data!$G695="",1,IF(ISNUMBER(MATCH(Data!#REF!,Data_Val!$D$2:$D$10,0)),0,1)))</f>
        <v>#REF!</v>
      </c>
      <c r="BC695" s="12"/>
      <c r="BD695" s="20" t="e">
        <f ca="1">IF(Data!#REF!="","",IF(ISNUMBER(Data!#REF!),IF(AND(Data!#REF!&gt;(TODAY()-(Data_Val!$M$3*365.25)),Data!#REF!&lt;=(TODAY()-(Data_Val!$M$2*365.25))),0,1),1))</f>
        <v>#REF!</v>
      </c>
      <c r="BE695" s="12" t="e">
        <f>IF(Data!#REF!="","",IF(Data!$G695="",1,IF(ISNUMBER(MATCH(Data!#REF!,Data_Val!$D$2:$D$10,0)),0,1)))</f>
        <v>#REF!</v>
      </c>
      <c r="BF695" s="17"/>
      <c r="BG695" s="18" t="e">
        <f ca="1">IF(Data!#REF!="","",IF(ISNUMBER(Data!#REF!),IF(AND(Data!#REF!&gt;(TODAY()-(Data_Val!$M$3*365.25)),Data!#REF!&lt;=(TODAY()-(Data_Val!$M$2*365.25))),0,1),1))</f>
        <v>#REF!</v>
      </c>
      <c r="BH695" s="29" t="e">
        <f>IF(Data!#REF!="","",IF(Data!$G695="",1,IF(ISNUMBER(MATCH(Data!#REF!,Data_Val!$D$2:$D$10,0)),0,1)))</f>
        <v>#REF!</v>
      </c>
      <c r="BI695" s="13"/>
      <c r="BJ695" s="21" t="e">
        <f ca="1">IF(Data!#REF!="","",IF(ISNUMBER(Data!#REF!),IF(AND(Data!#REF!&gt;(TODAY()-(Data_Val!$M$3*365.25)),Data!#REF!&lt;=(TODAY()-(Data_Val!$M$2*365.25))),0,1),1))</f>
        <v>#REF!</v>
      </c>
      <c r="BK695" s="13" t="e">
        <f>IF(Data!#REF!="","",IF(Data!$G695="",1,IF(ISNUMBER(MATCH(Data!#REF!,Data_Val!$D$2:$D$10,0)),0,1)))</f>
        <v>#REF!</v>
      </c>
    </row>
    <row r="696" spans="1:63" x14ac:dyDescent="0.25">
      <c r="A696" s="9" t="str">
        <f>IF(Data!B696="","",IF(COUNTIFS(Data!A$1:'Data'!A696,Data!A696)&lt;=1,0,1))</f>
        <v/>
      </c>
      <c r="B696" s="9"/>
      <c r="C696" s="23" t="str">
        <f>IF(Data!C696="","",(IF(ISNUMBER(MATCH("*@*.?*",Data!C696,0)),0,1)+IF(COUNTIFS(Data!C$1:'Data'!C696,Data!C696)&gt;1,1,0)))</f>
        <v/>
      </c>
      <c r="D696" s="9" t="str">
        <f>IF(Data!B696="","",IF(ISNUMBER(Data!D696),IF(AND(Data!D696&gt;999999999,Data!D696&lt;=9999999999),IF(COUNTIFS(Data!D$1:'Data'!D696,Data!D696)&lt;=1,0,1),1),1))</f>
        <v/>
      </c>
      <c r="E696" s="9" t="str">
        <f>IF(Data!B696="","",IF(ISNUMBER(MATCH(Data!E696,Data_Val!$A$2:$A$3,0)),0,1))</f>
        <v/>
      </c>
      <c r="F696" s="9" t="str">
        <f ca="1">IF(Data!B696="","",IF(ISNUMBER(Data!F696),IF(AND(Data!F696&gt;(TODAY()-(Data_Val!$H$3*365.25)),Data!F696&lt;=(TODAY()-(Data_Val!$H$2*365.25))),0,1),1))</f>
        <v/>
      </c>
      <c r="G696" s="15" t="str">
        <f>IF(Data!B696="","",IF(AND(Data!G696="",Data!H696&lt;&gt;""),1,IF(Data!#REF!&lt;&gt;"",0,IF(ISNUMBER(MATCH(Data!G696,Data_Val!$C$2:$C$5,0)),0,1))))</f>
        <v/>
      </c>
      <c r="H696" s="15" t="str">
        <f>IF(Data!B696="","",IF(AND(Data!G696&lt;&gt;"",Data!H696=""),1,IF(Data!#REF!&lt;&gt;"",0,IF(Data!G696="",1,IF(ISNUMBER(MATCH(Data!H696,Data_Val!$D$2:$D$35,0)),0,1)))))</f>
        <v/>
      </c>
      <c r="I696" s="15" t="str">
        <f>IF(Data!B696="","",IF(Data!G696&lt;&gt;"",0,IF(ISNUMBER(MATCH(Data!#REF!,Data_Val!$E$2:$E$12,0)),0,1)))</f>
        <v/>
      </c>
      <c r="J696" s="16" t="e">
        <f>IF(OR(Data!B696="",Data!#REF!=""),"",IF(Data!#REF!="",1,0))</f>
        <v>#REF!</v>
      </c>
      <c r="K696" s="16" t="e">
        <f>IF(OR(Data!B696="",Data!#REF!=""),"",IF(Data!#REF!="",1,0))</f>
        <v>#REF!</v>
      </c>
      <c r="L696" s="16" t="e">
        <f>IF(OR(Data!B696="",Data!#REF!=""),"",IF(ISNUMBER(Data!#REF!),IF(AND(Data!#REF!&gt;Data_Val!$G$2,Data!#REF!&lt;=Data_Val!$G$3),0,1),1))</f>
        <v>#REF!</v>
      </c>
      <c r="M696" s="9" t="e">
        <f>IF(OR(Data!B696="",Data!#REF!=""),"",IF(ISNUMBER(MATCH(Data!#REF!,Data_Val!$F$1:$F$38,0)),0,1))</f>
        <v>#REF!</v>
      </c>
      <c r="N696" s="9" t="e">
        <f>IF(OR(Data!B696="",Data!#REF!=""),"",IF(Data!#REF!="",1,0))</f>
        <v>#REF!</v>
      </c>
      <c r="O696" s="17" t="e">
        <f>IF(Data!#REF!="","",IF(Data!#REF!="",1,0))</f>
        <v>#REF!</v>
      </c>
      <c r="P696" s="17" t="e">
        <f>IF(Data!#REF!="","",IF(ISNUMBER(MATCH(Data!#REF!,Data_Val!$A$2:$A$3,0)),0,1))</f>
        <v>#REF!</v>
      </c>
      <c r="Q696" s="25" t="e">
        <f ca="1">IF(Data!#REF!="","",IF(ISNUMBER(Data!#REF!),IF(AND(Data!#REF!&gt;(TODAY()-(Data_Val!$J$3*365.25)),Data!#REF!&lt;=(TODAY()-(Data_Val!$J$2*365.25))),0,1),1))</f>
        <v>#REF!</v>
      </c>
      <c r="R696" s="17" t="e">
        <f>IF(Data!#REF!="","",IF(ISNUMBER(MATCH(Data!#REF!,Data_Val!$B$2:$B$15,0)),0,1))</f>
        <v>#REF!</v>
      </c>
      <c r="S696" s="11" t="str">
        <f>IF(Data!G696="","",IF(Data!G696=Data_Val!$C$2,IF(Data!M696="",0,1),0))</f>
        <v/>
      </c>
      <c r="T696" s="11" t="str">
        <f>IF(Data!M696="","",IF(ISNUMBER(MATCH(Data!N696,Data_Val!$A$2:$A$3,0)),0,1))</f>
        <v/>
      </c>
      <c r="U696" s="11" t="str">
        <f ca="1">IF(Data!M696="","",IF(ISNUMBER(Data!O696),IF(AND(Data!O696&gt;(TODAY()-(Data_Val!$K$3*365.25)),Data!O696&lt;=(TODAY()-(Data_Val!$K$2*365.25))),0,1),1))</f>
        <v/>
      </c>
      <c r="V696" s="12" t="str">
        <f>IF(Data!G696="","",IF(Data!G696=Data_Val!$C$2,IF(Data!P696="",0,1),0))</f>
        <v/>
      </c>
      <c r="W696" s="12" t="str">
        <f>IF(Data!P696="","",IF(ISNUMBER(MATCH(Data!Q696,Data_Val!$A$2:$A$3,0)),0,1))</f>
        <v/>
      </c>
      <c r="X696" s="26" t="str">
        <f ca="1">IF(Data!P696="","",IF(ISNUMBER(Data!R696),IF(AND(Data!R696&gt;(TODAY()-(Data_Val!$L$3*365.25)),Data!R696&lt;=(TODAY()-(Data_Val!$L$2*365.25))),0,1),1))</f>
        <v/>
      </c>
      <c r="Y696" s="13" t="str">
        <f>IF(Data!$G696="","",IF(Data!$G696=Data_Val!$C$2,IF(Data!S696="",0,1),0))</f>
        <v/>
      </c>
      <c r="Z696" s="13" t="str">
        <f>IF(Data!S696="","",IF(ISNUMBER(MATCH(Data!T696,Data_Val!$A$2:$A$3,0)),0,1))</f>
        <v/>
      </c>
      <c r="AA696" s="28" t="str">
        <f ca="1">IF(Data!S696="","",IF(ISNUMBER(Data!U696),IF(AND(Data!U696&gt;(TODAY()-(Data_Val!$L$3*365.25)),Data!U696&lt;=(TODAY()-(Data_Val!$L$2*365.25))),0,1),1))</f>
        <v/>
      </c>
      <c r="AB696" s="11"/>
      <c r="AC696" s="11" t="e">
        <f>IF(Data!#REF!="","",IF(ISNUMBER(MATCH(Data!#REF!,Data_Val!$A$2:$A$3,0)),0,1))</f>
        <v>#REF!</v>
      </c>
      <c r="AD696" s="11" t="e">
        <f ca="1">IF(Data!#REF!="","",IF(ISNUMBER(Data!#REF!),IF(AND(Data!#REF!&gt;(TODAY()-(Data_Val!$L$3*365.25)),Data!#REF!&lt;=(TODAY()-(Data_Val!$L$2*365.25))),0,1),1))</f>
        <v>#REF!</v>
      </c>
      <c r="AE696" s="11" t="e">
        <f>IF(Data!#REF!="","",IF(Data!$G696="",1,IF(ISNUMBER(MATCH(Data!#REF!,Data_Val!$D$2:$D$10,0)),0,1)))</f>
        <v>#REF!</v>
      </c>
      <c r="AF696" s="12"/>
      <c r="AG696" s="12" t="e">
        <f>IF(Data!#REF!="","",IF(ISNUMBER(MATCH(Data!#REF!,Data_Val!$A$2:$A$3,0)),0,1))</f>
        <v>#REF!</v>
      </c>
      <c r="AH696" s="26" t="e">
        <f ca="1">IF(Data!#REF!="","",IF(ISNUMBER(Data!#REF!),IF(AND(Data!#REF!&gt;(TODAY()-(Data_Val!$L$3*365.25)),Data!#REF!&lt;=(TODAY()-(Data_Val!$L$2*365.25))),0,1),1))</f>
        <v>#REF!</v>
      </c>
      <c r="AI696" s="12" t="e">
        <f>IF(Data!#REF!="","",IF(Data!$G696="",1,IF(ISNUMBER(MATCH(Data!#REF!,Data_Val!$D$2:$D$10,0)),0,1)))</f>
        <v>#REF!</v>
      </c>
      <c r="AJ696" s="17"/>
      <c r="AK696" s="17" t="e">
        <f>IF(Data!#REF!="","",IF(ISNUMBER(MATCH(Data!#REF!,Data_Val!$A$2:$A$3,0)),0,1))</f>
        <v>#REF!</v>
      </c>
      <c r="AL696" s="25" t="e">
        <f ca="1">IF(Data!#REF!="","",IF(ISNUMBER(Data!#REF!),IF(AND(Data!#REF!&gt;(TODAY()-(Data_Val!$L$3*365.25)),Data!#REF!&lt;=(TODAY()-(Data_Val!$L$2*365.25))),0,1),1))</f>
        <v>#REF!</v>
      </c>
      <c r="AM696" s="17" t="e">
        <f>IF(Data!#REF!="","",IF(Data!$G696="",1,IF(ISNUMBER(MATCH(Data!#REF!,Data_Val!$D$2:$D$10,0)),0,1)))</f>
        <v>#REF!</v>
      </c>
      <c r="AN696" s="13"/>
      <c r="AO696" s="28" t="e">
        <f ca="1">IF(Data!#REF!="","",IF(ISNUMBER(Data!#REF!),IF(AND(Data!#REF!&gt;(TODAY()-(Data_Val!$I$3*365.25)),Data!#REF!&lt;=(TODAY()-(Data_Val!$I$2*365.25))),0,1),1))</f>
        <v>#REF!</v>
      </c>
      <c r="AP696" s="13" t="e">
        <f>IF(Data!#REF!="","",IF(Data!$G696="",1,IF(ISNUMBER(MATCH(Data!#REF!,Data_Val!$D$2:$D$10,0)),0,1)))</f>
        <v>#REF!</v>
      </c>
      <c r="AQ696" s="17"/>
      <c r="AR696" s="30" t="e">
        <f ca="1">IF(Data!#REF!="","",IF(ISNUMBER(Data!#REF!),IF(AND(Data!#REF!&gt;(TODAY()-(Data_Val!$I$3*365.25)),Data!#REF!&lt;=(TODAY()-(Data_Val!$I$2*365.25))),0,1),1))</f>
        <v>#REF!</v>
      </c>
      <c r="AS696" s="31" t="e">
        <f>IF(Data!#REF!="","",IF(Data!$G696="",1,IF(ISNUMBER(MATCH(Data!#REF!,Data_Val!$D$2:$D$10,0)),0,1)))</f>
        <v>#REF!</v>
      </c>
      <c r="AT696" s="11"/>
      <c r="AU696" s="11" t="e">
        <f ca="1">IF(Data!#REF!="","",IF(ISNUMBER(Data!#REF!),IF(AND(Data!#REF!&gt;(TODAY()-(Data_Val!$I$3*365.25)),Data!#REF!&lt;=(TODAY()-(Data_Val!$I$2*365.25))),0,1),1))</f>
        <v>#REF!</v>
      </c>
      <c r="AV696" s="11" t="e">
        <f>IF(Data!#REF!="","",IF(Data!$G696="",1,IF(ISNUMBER(MATCH(Data!#REF!,Data_Val!$D$2:$D$10,0)),0,1)))</f>
        <v>#REF!</v>
      </c>
      <c r="AW696" s="12"/>
      <c r="AX696" s="26" t="e">
        <f ca="1">IF(Data!#REF!="","",IF(ISNUMBER(Data!#REF!),IF(AND(Data!#REF!&gt;(TODAY()-(Data_Val!$I$3*365.25)),Data!#REF!&lt;=(TODAY()-(Data_Val!$I$2*365.25))),0,1),1))</f>
        <v>#REF!</v>
      </c>
      <c r="AY696" s="12" t="e">
        <f>IF(Data!#REF!="","",IF(Data!$G696="",1,IF(ISNUMBER(MATCH(Data!#REF!,Data_Val!$D$2:$D$10,0)),0,1)))</f>
        <v>#REF!</v>
      </c>
      <c r="AZ696" s="11"/>
      <c r="BA696" s="19" t="e">
        <f ca="1">IF(Data!#REF!="","",IF(ISNUMBER(Data!#REF!),IF(AND(Data!#REF!&gt;(TODAY()-(Data_Val!$M$3*365.25)),Data!#REF!&lt;=(TODAY()-(Data_Val!$M$2*365.25))),0,1),1))</f>
        <v>#REF!</v>
      </c>
      <c r="BB696" s="11" t="e">
        <f>IF(Data!#REF!="","",IF(Data!$G696="",1,IF(ISNUMBER(MATCH(Data!#REF!,Data_Val!$D$2:$D$10,0)),0,1)))</f>
        <v>#REF!</v>
      </c>
      <c r="BC696" s="12"/>
      <c r="BD696" s="20" t="e">
        <f ca="1">IF(Data!#REF!="","",IF(ISNUMBER(Data!#REF!),IF(AND(Data!#REF!&gt;(TODAY()-(Data_Val!$M$3*365.25)),Data!#REF!&lt;=(TODAY()-(Data_Val!$M$2*365.25))),0,1),1))</f>
        <v>#REF!</v>
      </c>
      <c r="BE696" s="12" t="e">
        <f>IF(Data!#REF!="","",IF(Data!$G696="",1,IF(ISNUMBER(MATCH(Data!#REF!,Data_Val!$D$2:$D$10,0)),0,1)))</f>
        <v>#REF!</v>
      </c>
      <c r="BF696" s="17"/>
      <c r="BG696" s="18" t="e">
        <f ca="1">IF(Data!#REF!="","",IF(ISNUMBER(Data!#REF!),IF(AND(Data!#REF!&gt;(TODAY()-(Data_Val!$M$3*365.25)),Data!#REF!&lt;=(TODAY()-(Data_Val!$M$2*365.25))),0,1),1))</f>
        <v>#REF!</v>
      </c>
      <c r="BH696" s="29" t="e">
        <f>IF(Data!#REF!="","",IF(Data!$G696="",1,IF(ISNUMBER(MATCH(Data!#REF!,Data_Val!$D$2:$D$10,0)),0,1)))</f>
        <v>#REF!</v>
      </c>
      <c r="BI696" s="13"/>
      <c r="BJ696" s="21" t="e">
        <f ca="1">IF(Data!#REF!="","",IF(ISNUMBER(Data!#REF!),IF(AND(Data!#REF!&gt;(TODAY()-(Data_Val!$M$3*365.25)),Data!#REF!&lt;=(TODAY()-(Data_Val!$M$2*365.25))),0,1),1))</f>
        <v>#REF!</v>
      </c>
      <c r="BK696" s="13" t="e">
        <f>IF(Data!#REF!="","",IF(Data!$G696="",1,IF(ISNUMBER(MATCH(Data!#REF!,Data_Val!$D$2:$D$10,0)),0,1)))</f>
        <v>#REF!</v>
      </c>
    </row>
    <row r="697" spans="1:63" x14ac:dyDescent="0.25">
      <c r="A697" s="9" t="str">
        <f>IF(Data!B697="","",IF(COUNTIFS(Data!A$1:'Data'!A697,Data!A697)&lt;=1,0,1))</f>
        <v/>
      </c>
      <c r="B697" s="9"/>
      <c r="C697" s="23" t="str">
        <f>IF(Data!C697="","",(IF(ISNUMBER(MATCH("*@*.?*",Data!C697,0)),0,1)+IF(COUNTIFS(Data!C$1:'Data'!C697,Data!C697)&gt;1,1,0)))</f>
        <v/>
      </c>
      <c r="D697" s="9" t="str">
        <f>IF(Data!B697="","",IF(ISNUMBER(Data!D697),IF(AND(Data!D697&gt;999999999,Data!D697&lt;=9999999999),IF(COUNTIFS(Data!D$1:'Data'!D697,Data!D697)&lt;=1,0,1),1),1))</f>
        <v/>
      </c>
      <c r="E697" s="9" t="str">
        <f>IF(Data!B697="","",IF(ISNUMBER(MATCH(Data!E697,Data_Val!$A$2:$A$3,0)),0,1))</f>
        <v/>
      </c>
      <c r="F697" s="9" t="str">
        <f ca="1">IF(Data!B697="","",IF(ISNUMBER(Data!F697),IF(AND(Data!F697&gt;(TODAY()-(Data_Val!$H$3*365.25)),Data!F697&lt;=(TODAY()-(Data_Val!$H$2*365.25))),0,1),1))</f>
        <v/>
      </c>
      <c r="G697" s="15" t="str">
        <f>IF(Data!B697="","",IF(AND(Data!G697="",Data!H697&lt;&gt;""),1,IF(Data!#REF!&lt;&gt;"",0,IF(ISNUMBER(MATCH(Data!G697,Data_Val!$C$2:$C$5,0)),0,1))))</f>
        <v/>
      </c>
      <c r="H697" s="15" t="str">
        <f>IF(Data!B697="","",IF(AND(Data!G697&lt;&gt;"",Data!H697=""),1,IF(Data!#REF!&lt;&gt;"",0,IF(Data!G697="",1,IF(ISNUMBER(MATCH(Data!H697,Data_Val!$D$2:$D$35,0)),0,1)))))</f>
        <v/>
      </c>
      <c r="I697" s="15" t="str">
        <f>IF(Data!B697="","",IF(Data!G697&lt;&gt;"",0,IF(ISNUMBER(MATCH(Data!#REF!,Data_Val!$E$2:$E$12,0)),0,1)))</f>
        <v/>
      </c>
      <c r="J697" s="16" t="e">
        <f>IF(OR(Data!B697="",Data!#REF!=""),"",IF(Data!#REF!="",1,0))</f>
        <v>#REF!</v>
      </c>
      <c r="K697" s="16" t="e">
        <f>IF(OR(Data!B697="",Data!#REF!=""),"",IF(Data!#REF!="",1,0))</f>
        <v>#REF!</v>
      </c>
      <c r="L697" s="16" t="e">
        <f>IF(OR(Data!B697="",Data!#REF!=""),"",IF(ISNUMBER(Data!#REF!),IF(AND(Data!#REF!&gt;Data_Val!$G$2,Data!#REF!&lt;=Data_Val!$G$3),0,1),1))</f>
        <v>#REF!</v>
      </c>
      <c r="M697" s="9" t="e">
        <f>IF(OR(Data!B697="",Data!#REF!=""),"",IF(ISNUMBER(MATCH(Data!#REF!,Data_Val!$F$1:$F$38,0)),0,1))</f>
        <v>#REF!</v>
      </c>
      <c r="N697" s="9" t="e">
        <f>IF(OR(Data!B697="",Data!#REF!=""),"",IF(Data!#REF!="",1,0))</f>
        <v>#REF!</v>
      </c>
      <c r="O697" s="17" t="e">
        <f>IF(Data!#REF!="","",IF(Data!#REF!="",1,0))</f>
        <v>#REF!</v>
      </c>
      <c r="P697" s="17" t="e">
        <f>IF(Data!#REF!="","",IF(ISNUMBER(MATCH(Data!#REF!,Data_Val!$A$2:$A$3,0)),0,1))</f>
        <v>#REF!</v>
      </c>
      <c r="Q697" s="25" t="e">
        <f ca="1">IF(Data!#REF!="","",IF(ISNUMBER(Data!#REF!),IF(AND(Data!#REF!&gt;(TODAY()-(Data_Val!$J$3*365.25)),Data!#REF!&lt;=(TODAY()-(Data_Val!$J$2*365.25))),0,1),1))</f>
        <v>#REF!</v>
      </c>
      <c r="R697" s="17" t="e">
        <f>IF(Data!#REF!="","",IF(ISNUMBER(MATCH(Data!#REF!,Data_Val!$B$2:$B$15,0)),0,1))</f>
        <v>#REF!</v>
      </c>
      <c r="S697" s="11" t="str">
        <f>IF(Data!G697="","",IF(Data!G697=Data_Val!$C$2,IF(Data!M697="",0,1),0))</f>
        <v/>
      </c>
      <c r="T697" s="11" t="str">
        <f>IF(Data!M697="","",IF(ISNUMBER(MATCH(Data!N697,Data_Val!$A$2:$A$3,0)),0,1))</f>
        <v/>
      </c>
      <c r="U697" s="11" t="str">
        <f ca="1">IF(Data!M697="","",IF(ISNUMBER(Data!O697),IF(AND(Data!O697&gt;(TODAY()-(Data_Val!$K$3*365.25)),Data!O697&lt;=(TODAY()-(Data_Val!$K$2*365.25))),0,1),1))</f>
        <v/>
      </c>
      <c r="V697" s="12" t="str">
        <f>IF(Data!G697="","",IF(Data!G697=Data_Val!$C$2,IF(Data!P697="",0,1),0))</f>
        <v/>
      </c>
      <c r="W697" s="12" t="str">
        <f>IF(Data!P697="","",IF(ISNUMBER(MATCH(Data!Q697,Data_Val!$A$2:$A$3,0)),0,1))</f>
        <v/>
      </c>
      <c r="X697" s="26" t="str">
        <f ca="1">IF(Data!P697="","",IF(ISNUMBER(Data!R697),IF(AND(Data!R697&gt;(TODAY()-(Data_Val!$L$3*365.25)),Data!R697&lt;=(TODAY()-(Data_Val!$L$2*365.25))),0,1),1))</f>
        <v/>
      </c>
      <c r="Y697" s="13" t="str">
        <f>IF(Data!$G697="","",IF(Data!$G697=Data_Val!$C$2,IF(Data!S697="",0,1),0))</f>
        <v/>
      </c>
      <c r="Z697" s="13" t="str">
        <f>IF(Data!S697="","",IF(ISNUMBER(MATCH(Data!T697,Data_Val!$A$2:$A$3,0)),0,1))</f>
        <v/>
      </c>
      <c r="AA697" s="28" t="str">
        <f ca="1">IF(Data!S697="","",IF(ISNUMBER(Data!U697),IF(AND(Data!U697&gt;(TODAY()-(Data_Val!$L$3*365.25)),Data!U697&lt;=(TODAY()-(Data_Val!$L$2*365.25))),0,1),1))</f>
        <v/>
      </c>
      <c r="AB697" s="11"/>
      <c r="AC697" s="11" t="e">
        <f>IF(Data!#REF!="","",IF(ISNUMBER(MATCH(Data!#REF!,Data_Val!$A$2:$A$3,0)),0,1))</f>
        <v>#REF!</v>
      </c>
      <c r="AD697" s="11" t="e">
        <f ca="1">IF(Data!#REF!="","",IF(ISNUMBER(Data!#REF!),IF(AND(Data!#REF!&gt;(TODAY()-(Data_Val!$L$3*365.25)),Data!#REF!&lt;=(TODAY()-(Data_Val!$L$2*365.25))),0,1),1))</f>
        <v>#REF!</v>
      </c>
      <c r="AE697" s="11" t="e">
        <f>IF(Data!#REF!="","",IF(Data!$G697="",1,IF(ISNUMBER(MATCH(Data!#REF!,Data_Val!$D$2:$D$10,0)),0,1)))</f>
        <v>#REF!</v>
      </c>
      <c r="AF697" s="12"/>
      <c r="AG697" s="12" t="e">
        <f>IF(Data!#REF!="","",IF(ISNUMBER(MATCH(Data!#REF!,Data_Val!$A$2:$A$3,0)),0,1))</f>
        <v>#REF!</v>
      </c>
      <c r="AH697" s="26" t="e">
        <f ca="1">IF(Data!#REF!="","",IF(ISNUMBER(Data!#REF!),IF(AND(Data!#REF!&gt;(TODAY()-(Data_Val!$L$3*365.25)),Data!#REF!&lt;=(TODAY()-(Data_Val!$L$2*365.25))),0,1),1))</f>
        <v>#REF!</v>
      </c>
      <c r="AI697" s="12" t="e">
        <f>IF(Data!#REF!="","",IF(Data!$G697="",1,IF(ISNUMBER(MATCH(Data!#REF!,Data_Val!$D$2:$D$10,0)),0,1)))</f>
        <v>#REF!</v>
      </c>
      <c r="AJ697" s="17"/>
      <c r="AK697" s="17" t="e">
        <f>IF(Data!#REF!="","",IF(ISNUMBER(MATCH(Data!#REF!,Data_Val!$A$2:$A$3,0)),0,1))</f>
        <v>#REF!</v>
      </c>
      <c r="AL697" s="25" t="e">
        <f ca="1">IF(Data!#REF!="","",IF(ISNUMBER(Data!#REF!),IF(AND(Data!#REF!&gt;(TODAY()-(Data_Val!$L$3*365.25)),Data!#REF!&lt;=(TODAY()-(Data_Val!$L$2*365.25))),0,1),1))</f>
        <v>#REF!</v>
      </c>
      <c r="AM697" s="17" t="e">
        <f>IF(Data!#REF!="","",IF(Data!$G697="",1,IF(ISNUMBER(MATCH(Data!#REF!,Data_Val!$D$2:$D$10,0)),0,1)))</f>
        <v>#REF!</v>
      </c>
      <c r="AN697" s="13"/>
      <c r="AO697" s="28" t="e">
        <f ca="1">IF(Data!#REF!="","",IF(ISNUMBER(Data!#REF!),IF(AND(Data!#REF!&gt;(TODAY()-(Data_Val!$I$3*365.25)),Data!#REF!&lt;=(TODAY()-(Data_Val!$I$2*365.25))),0,1),1))</f>
        <v>#REF!</v>
      </c>
      <c r="AP697" s="13" t="e">
        <f>IF(Data!#REF!="","",IF(Data!$G697="",1,IF(ISNUMBER(MATCH(Data!#REF!,Data_Val!$D$2:$D$10,0)),0,1)))</f>
        <v>#REF!</v>
      </c>
      <c r="AQ697" s="17"/>
      <c r="AR697" s="30" t="e">
        <f ca="1">IF(Data!#REF!="","",IF(ISNUMBER(Data!#REF!),IF(AND(Data!#REF!&gt;(TODAY()-(Data_Val!$I$3*365.25)),Data!#REF!&lt;=(TODAY()-(Data_Val!$I$2*365.25))),0,1),1))</f>
        <v>#REF!</v>
      </c>
      <c r="AS697" s="31" t="e">
        <f>IF(Data!#REF!="","",IF(Data!$G697="",1,IF(ISNUMBER(MATCH(Data!#REF!,Data_Val!$D$2:$D$10,0)),0,1)))</f>
        <v>#REF!</v>
      </c>
      <c r="AT697" s="11"/>
      <c r="AU697" s="11" t="e">
        <f ca="1">IF(Data!#REF!="","",IF(ISNUMBER(Data!#REF!),IF(AND(Data!#REF!&gt;(TODAY()-(Data_Val!$I$3*365.25)),Data!#REF!&lt;=(TODAY()-(Data_Val!$I$2*365.25))),0,1),1))</f>
        <v>#REF!</v>
      </c>
      <c r="AV697" s="11" t="e">
        <f>IF(Data!#REF!="","",IF(Data!$G697="",1,IF(ISNUMBER(MATCH(Data!#REF!,Data_Val!$D$2:$D$10,0)),0,1)))</f>
        <v>#REF!</v>
      </c>
      <c r="AW697" s="12"/>
      <c r="AX697" s="26" t="e">
        <f ca="1">IF(Data!#REF!="","",IF(ISNUMBER(Data!#REF!),IF(AND(Data!#REF!&gt;(TODAY()-(Data_Val!$I$3*365.25)),Data!#REF!&lt;=(TODAY()-(Data_Val!$I$2*365.25))),0,1),1))</f>
        <v>#REF!</v>
      </c>
      <c r="AY697" s="12" t="e">
        <f>IF(Data!#REF!="","",IF(Data!$G697="",1,IF(ISNUMBER(MATCH(Data!#REF!,Data_Val!$D$2:$D$10,0)),0,1)))</f>
        <v>#REF!</v>
      </c>
      <c r="AZ697" s="11"/>
      <c r="BA697" s="19" t="e">
        <f ca="1">IF(Data!#REF!="","",IF(ISNUMBER(Data!#REF!),IF(AND(Data!#REF!&gt;(TODAY()-(Data_Val!$M$3*365.25)),Data!#REF!&lt;=(TODAY()-(Data_Val!$M$2*365.25))),0,1),1))</f>
        <v>#REF!</v>
      </c>
      <c r="BB697" s="11" t="e">
        <f>IF(Data!#REF!="","",IF(Data!$G697="",1,IF(ISNUMBER(MATCH(Data!#REF!,Data_Val!$D$2:$D$10,0)),0,1)))</f>
        <v>#REF!</v>
      </c>
      <c r="BC697" s="12"/>
      <c r="BD697" s="20" t="e">
        <f ca="1">IF(Data!#REF!="","",IF(ISNUMBER(Data!#REF!),IF(AND(Data!#REF!&gt;(TODAY()-(Data_Val!$M$3*365.25)),Data!#REF!&lt;=(TODAY()-(Data_Val!$M$2*365.25))),0,1),1))</f>
        <v>#REF!</v>
      </c>
      <c r="BE697" s="12" t="e">
        <f>IF(Data!#REF!="","",IF(Data!$G697="",1,IF(ISNUMBER(MATCH(Data!#REF!,Data_Val!$D$2:$D$10,0)),0,1)))</f>
        <v>#REF!</v>
      </c>
      <c r="BF697" s="17"/>
      <c r="BG697" s="18" t="e">
        <f ca="1">IF(Data!#REF!="","",IF(ISNUMBER(Data!#REF!),IF(AND(Data!#REF!&gt;(TODAY()-(Data_Val!$M$3*365.25)),Data!#REF!&lt;=(TODAY()-(Data_Val!$M$2*365.25))),0,1),1))</f>
        <v>#REF!</v>
      </c>
      <c r="BH697" s="29" t="e">
        <f>IF(Data!#REF!="","",IF(Data!$G697="",1,IF(ISNUMBER(MATCH(Data!#REF!,Data_Val!$D$2:$D$10,0)),0,1)))</f>
        <v>#REF!</v>
      </c>
      <c r="BI697" s="13"/>
      <c r="BJ697" s="21" t="e">
        <f ca="1">IF(Data!#REF!="","",IF(ISNUMBER(Data!#REF!),IF(AND(Data!#REF!&gt;(TODAY()-(Data_Val!$M$3*365.25)),Data!#REF!&lt;=(TODAY()-(Data_Val!$M$2*365.25))),0,1),1))</f>
        <v>#REF!</v>
      </c>
      <c r="BK697" s="13" t="e">
        <f>IF(Data!#REF!="","",IF(Data!$G697="",1,IF(ISNUMBER(MATCH(Data!#REF!,Data_Val!$D$2:$D$10,0)),0,1)))</f>
        <v>#REF!</v>
      </c>
    </row>
    <row r="698" spans="1:63" x14ac:dyDescent="0.25">
      <c r="A698" s="9" t="str">
        <f>IF(Data!B698="","",IF(COUNTIFS(Data!A$1:'Data'!A698,Data!A698)&lt;=1,0,1))</f>
        <v/>
      </c>
      <c r="B698" s="9"/>
      <c r="C698" s="23" t="str">
        <f>IF(Data!C698="","",(IF(ISNUMBER(MATCH("*@*.?*",Data!C698,0)),0,1)+IF(COUNTIFS(Data!C$1:'Data'!C698,Data!C698)&gt;1,1,0)))</f>
        <v/>
      </c>
      <c r="D698" s="9" t="str">
        <f>IF(Data!B698="","",IF(ISNUMBER(Data!D698),IF(AND(Data!D698&gt;999999999,Data!D698&lt;=9999999999),IF(COUNTIFS(Data!D$1:'Data'!D698,Data!D698)&lt;=1,0,1),1),1))</f>
        <v/>
      </c>
      <c r="E698" s="9" t="str">
        <f>IF(Data!B698="","",IF(ISNUMBER(MATCH(Data!E698,Data_Val!$A$2:$A$3,0)),0,1))</f>
        <v/>
      </c>
      <c r="F698" s="9" t="str">
        <f ca="1">IF(Data!B698="","",IF(ISNUMBER(Data!F698),IF(AND(Data!F698&gt;(TODAY()-(Data_Val!$H$3*365.25)),Data!F698&lt;=(TODAY()-(Data_Val!$H$2*365.25))),0,1),1))</f>
        <v/>
      </c>
      <c r="G698" s="15" t="str">
        <f>IF(Data!B698="","",IF(AND(Data!G698="",Data!H698&lt;&gt;""),1,IF(Data!#REF!&lt;&gt;"",0,IF(ISNUMBER(MATCH(Data!G698,Data_Val!$C$2:$C$5,0)),0,1))))</f>
        <v/>
      </c>
      <c r="H698" s="15" t="str">
        <f>IF(Data!B698="","",IF(AND(Data!G698&lt;&gt;"",Data!H698=""),1,IF(Data!#REF!&lt;&gt;"",0,IF(Data!G698="",1,IF(ISNUMBER(MATCH(Data!H698,Data_Val!$D$2:$D$35,0)),0,1)))))</f>
        <v/>
      </c>
      <c r="I698" s="15" t="str">
        <f>IF(Data!B698="","",IF(Data!G698&lt;&gt;"",0,IF(ISNUMBER(MATCH(Data!#REF!,Data_Val!$E$2:$E$12,0)),0,1)))</f>
        <v/>
      </c>
      <c r="J698" s="16" t="e">
        <f>IF(OR(Data!B698="",Data!#REF!=""),"",IF(Data!#REF!="",1,0))</f>
        <v>#REF!</v>
      </c>
      <c r="K698" s="16" t="e">
        <f>IF(OR(Data!B698="",Data!#REF!=""),"",IF(Data!#REF!="",1,0))</f>
        <v>#REF!</v>
      </c>
      <c r="L698" s="16" t="e">
        <f>IF(OR(Data!B698="",Data!#REF!=""),"",IF(ISNUMBER(Data!#REF!),IF(AND(Data!#REF!&gt;Data_Val!$G$2,Data!#REF!&lt;=Data_Val!$G$3),0,1),1))</f>
        <v>#REF!</v>
      </c>
      <c r="M698" s="9" t="e">
        <f>IF(OR(Data!B698="",Data!#REF!=""),"",IF(ISNUMBER(MATCH(Data!#REF!,Data_Val!$F$1:$F$38,0)),0,1))</f>
        <v>#REF!</v>
      </c>
      <c r="N698" s="9" t="e">
        <f>IF(OR(Data!B698="",Data!#REF!=""),"",IF(Data!#REF!="",1,0))</f>
        <v>#REF!</v>
      </c>
      <c r="O698" s="17" t="e">
        <f>IF(Data!#REF!="","",IF(Data!#REF!="",1,0))</f>
        <v>#REF!</v>
      </c>
      <c r="P698" s="17" t="e">
        <f>IF(Data!#REF!="","",IF(ISNUMBER(MATCH(Data!#REF!,Data_Val!$A$2:$A$3,0)),0,1))</f>
        <v>#REF!</v>
      </c>
      <c r="Q698" s="25" t="e">
        <f ca="1">IF(Data!#REF!="","",IF(ISNUMBER(Data!#REF!),IF(AND(Data!#REF!&gt;(TODAY()-(Data_Val!$J$3*365.25)),Data!#REF!&lt;=(TODAY()-(Data_Val!$J$2*365.25))),0,1),1))</f>
        <v>#REF!</v>
      </c>
      <c r="R698" s="17" t="e">
        <f>IF(Data!#REF!="","",IF(ISNUMBER(MATCH(Data!#REF!,Data_Val!$B$2:$B$15,0)),0,1))</f>
        <v>#REF!</v>
      </c>
      <c r="S698" s="11" t="str">
        <f>IF(Data!G698="","",IF(Data!G698=Data_Val!$C$2,IF(Data!M698="",0,1),0))</f>
        <v/>
      </c>
      <c r="T698" s="11" t="str">
        <f>IF(Data!M698="","",IF(ISNUMBER(MATCH(Data!N698,Data_Val!$A$2:$A$3,0)),0,1))</f>
        <v/>
      </c>
      <c r="U698" s="11" t="str">
        <f ca="1">IF(Data!M698="","",IF(ISNUMBER(Data!O698),IF(AND(Data!O698&gt;(TODAY()-(Data_Val!$K$3*365.25)),Data!O698&lt;=(TODAY()-(Data_Val!$K$2*365.25))),0,1),1))</f>
        <v/>
      </c>
      <c r="V698" s="12" t="str">
        <f>IF(Data!G698="","",IF(Data!G698=Data_Val!$C$2,IF(Data!P698="",0,1),0))</f>
        <v/>
      </c>
      <c r="W698" s="12" t="str">
        <f>IF(Data!P698="","",IF(ISNUMBER(MATCH(Data!Q698,Data_Val!$A$2:$A$3,0)),0,1))</f>
        <v/>
      </c>
      <c r="X698" s="26" t="str">
        <f ca="1">IF(Data!P698="","",IF(ISNUMBER(Data!R698),IF(AND(Data!R698&gt;(TODAY()-(Data_Val!$L$3*365.25)),Data!R698&lt;=(TODAY()-(Data_Val!$L$2*365.25))),0,1),1))</f>
        <v/>
      </c>
      <c r="Y698" s="13" t="str">
        <f>IF(Data!$G698="","",IF(Data!$G698=Data_Val!$C$2,IF(Data!S698="",0,1),0))</f>
        <v/>
      </c>
      <c r="Z698" s="13" t="str">
        <f>IF(Data!S698="","",IF(ISNUMBER(MATCH(Data!T698,Data_Val!$A$2:$A$3,0)),0,1))</f>
        <v/>
      </c>
      <c r="AA698" s="28" t="str">
        <f ca="1">IF(Data!S698="","",IF(ISNUMBER(Data!U698),IF(AND(Data!U698&gt;(TODAY()-(Data_Val!$L$3*365.25)),Data!U698&lt;=(TODAY()-(Data_Val!$L$2*365.25))),0,1),1))</f>
        <v/>
      </c>
      <c r="AB698" s="11"/>
      <c r="AC698" s="11" t="e">
        <f>IF(Data!#REF!="","",IF(ISNUMBER(MATCH(Data!#REF!,Data_Val!$A$2:$A$3,0)),0,1))</f>
        <v>#REF!</v>
      </c>
      <c r="AD698" s="11" t="e">
        <f ca="1">IF(Data!#REF!="","",IF(ISNUMBER(Data!#REF!),IF(AND(Data!#REF!&gt;(TODAY()-(Data_Val!$L$3*365.25)),Data!#REF!&lt;=(TODAY()-(Data_Val!$L$2*365.25))),0,1),1))</f>
        <v>#REF!</v>
      </c>
      <c r="AE698" s="11" t="e">
        <f>IF(Data!#REF!="","",IF(Data!$G698="",1,IF(ISNUMBER(MATCH(Data!#REF!,Data_Val!$D$2:$D$10,0)),0,1)))</f>
        <v>#REF!</v>
      </c>
      <c r="AF698" s="12"/>
      <c r="AG698" s="12" t="e">
        <f>IF(Data!#REF!="","",IF(ISNUMBER(MATCH(Data!#REF!,Data_Val!$A$2:$A$3,0)),0,1))</f>
        <v>#REF!</v>
      </c>
      <c r="AH698" s="26" t="e">
        <f ca="1">IF(Data!#REF!="","",IF(ISNUMBER(Data!#REF!),IF(AND(Data!#REF!&gt;(TODAY()-(Data_Val!$L$3*365.25)),Data!#REF!&lt;=(TODAY()-(Data_Val!$L$2*365.25))),0,1),1))</f>
        <v>#REF!</v>
      </c>
      <c r="AI698" s="12" t="e">
        <f>IF(Data!#REF!="","",IF(Data!$G698="",1,IF(ISNUMBER(MATCH(Data!#REF!,Data_Val!$D$2:$D$10,0)),0,1)))</f>
        <v>#REF!</v>
      </c>
      <c r="AJ698" s="17"/>
      <c r="AK698" s="17" t="e">
        <f>IF(Data!#REF!="","",IF(ISNUMBER(MATCH(Data!#REF!,Data_Val!$A$2:$A$3,0)),0,1))</f>
        <v>#REF!</v>
      </c>
      <c r="AL698" s="25" t="e">
        <f ca="1">IF(Data!#REF!="","",IF(ISNUMBER(Data!#REF!),IF(AND(Data!#REF!&gt;(TODAY()-(Data_Val!$L$3*365.25)),Data!#REF!&lt;=(TODAY()-(Data_Val!$L$2*365.25))),0,1),1))</f>
        <v>#REF!</v>
      </c>
      <c r="AM698" s="17" t="e">
        <f>IF(Data!#REF!="","",IF(Data!$G698="",1,IF(ISNUMBER(MATCH(Data!#REF!,Data_Val!$D$2:$D$10,0)),0,1)))</f>
        <v>#REF!</v>
      </c>
      <c r="AN698" s="13"/>
      <c r="AO698" s="28" t="e">
        <f ca="1">IF(Data!#REF!="","",IF(ISNUMBER(Data!#REF!),IF(AND(Data!#REF!&gt;(TODAY()-(Data_Val!$I$3*365.25)),Data!#REF!&lt;=(TODAY()-(Data_Val!$I$2*365.25))),0,1),1))</f>
        <v>#REF!</v>
      </c>
      <c r="AP698" s="13" t="e">
        <f>IF(Data!#REF!="","",IF(Data!$G698="",1,IF(ISNUMBER(MATCH(Data!#REF!,Data_Val!$D$2:$D$10,0)),0,1)))</f>
        <v>#REF!</v>
      </c>
      <c r="AQ698" s="17"/>
      <c r="AR698" s="30" t="e">
        <f ca="1">IF(Data!#REF!="","",IF(ISNUMBER(Data!#REF!),IF(AND(Data!#REF!&gt;(TODAY()-(Data_Val!$I$3*365.25)),Data!#REF!&lt;=(TODAY()-(Data_Val!$I$2*365.25))),0,1),1))</f>
        <v>#REF!</v>
      </c>
      <c r="AS698" s="31" t="e">
        <f>IF(Data!#REF!="","",IF(Data!$G698="",1,IF(ISNUMBER(MATCH(Data!#REF!,Data_Val!$D$2:$D$10,0)),0,1)))</f>
        <v>#REF!</v>
      </c>
      <c r="AT698" s="11"/>
      <c r="AU698" s="11" t="e">
        <f ca="1">IF(Data!#REF!="","",IF(ISNUMBER(Data!#REF!),IF(AND(Data!#REF!&gt;(TODAY()-(Data_Val!$I$3*365.25)),Data!#REF!&lt;=(TODAY()-(Data_Val!$I$2*365.25))),0,1),1))</f>
        <v>#REF!</v>
      </c>
      <c r="AV698" s="11" t="e">
        <f>IF(Data!#REF!="","",IF(Data!$G698="",1,IF(ISNUMBER(MATCH(Data!#REF!,Data_Val!$D$2:$D$10,0)),0,1)))</f>
        <v>#REF!</v>
      </c>
      <c r="AW698" s="12"/>
      <c r="AX698" s="26" t="e">
        <f ca="1">IF(Data!#REF!="","",IF(ISNUMBER(Data!#REF!),IF(AND(Data!#REF!&gt;(TODAY()-(Data_Val!$I$3*365.25)),Data!#REF!&lt;=(TODAY()-(Data_Val!$I$2*365.25))),0,1),1))</f>
        <v>#REF!</v>
      </c>
      <c r="AY698" s="12" t="e">
        <f>IF(Data!#REF!="","",IF(Data!$G698="",1,IF(ISNUMBER(MATCH(Data!#REF!,Data_Val!$D$2:$D$10,0)),0,1)))</f>
        <v>#REF!</v>
      </c>
      <c r="AZ698" s="11"/>
      <c r="BA698" s="19" t="e">
        <f ca="1">IF(Data!#REF!="","",IF(ISNUMBER(Data!#REF!),IF(AND(Data!#REF!&gt;(TODAY()-(Data_Val!$M$3*365.25)),Data!#REF!&lt;=(TODAY()-(Data_Val!$M$2*365.25))),0,1),1))</f>
        <v>#REF!</v>
      </c>
      <c r="BB698" s="11" t="e">
        <f>IF(Data!#REF!="","",IF(Data!$G698="",1,IF(ISNUMBER(MATCH(Data!#REF!,Data_Val!$D$2:$D$10,0)),0,1)))</f>
        <v>#REF!</v>
      </c>
      <c r="BC698" s="12"/>
      <c r="BD698" s="20" t="e">
        <f ca="1">IF(Data!#REF!="","",IF(ISNUMBER(Data!#REF!),IF(AND(Data!#REF!&gt;(TODAY()-(Data_Val!$M$3*365.25)),Data!#REF!&lt;=(TODAY()-(Data_Val!$M$2*365.25))),0,1),1))</f>
        <v>#REF!</v>
      </c>
      <c r="BE698" s="12" t="e">
        <f>IF(Data!#REF!="","",IF(Data!$G698="",1,IF(ISNUMBER(MATCH(Data!#REF!,Data_Val!$D$2:$D$10,0)),0,1)))</f>
        <v>#REF!</v>
      </c>
      <c r="BF698" s="17"/>
      <c r="BG698" s="18" t="e">
        <f ca="1">IF(Data!#REF!="","",IF(ISNUMBER(Data!#REF!),IF(AND(Data!#REF!&gt;(TODAY()-(Data_Val!$M$3*365.25)),Data!#REF!&lt;=(TODAY()-(Data_Val!$M$2*365.25))),0,1),1))</f>
        <v>#REF!</v>
      </c>
      <c r="BH698" s="29" t="e">
        <f>IF(Data!#REF!="","",IF(Data!$G698="",1,IF(ISNUMBER(MATCH(Data!#REF!,Data_Val!$D$2:$D$10,0)),0,1)))</f>
        <v>#REF!</v>
      </c>
      <c r="BI698" s="13"/>
      <c r="BJ698" s="21" t="e">
        <f ca="1">IF(Data!#REF!="","",IF(ISNUMBER(Data!#REF!),IF(AND(Data!#REF!&gt;(TODAY()-(Data_Val!$M$3*365.25)),Data!#REF!&lt;=(TODAY()-(Data_Val!$M$2*365.25))),0,1),1))</f>
        <v>#REF!</v>
      </c>
      <c r="BK698" s="13" t="e">
        <f>IF(Data!#REF!="","",IF(Data!$G698="",1,IF(ISNUMBER(MATCH(Data!#REF!,Data_Val!$D$2:$D$10,0)),0,1)))</f>
        <v>#REF!</v>
      </c>
    </row>
    <row r="699" spans="1:63" x14ac:dyDescent="0.25">
      <c r="A699" s="9" t="str">
        <f>IF(Data!B699="","",IF(COUNTIFS(Data!A$1:'Data'!A699,Data!A699)&lt;=1,0,1))</f>
        <v/>
      </c>
      <c r="B699" s="9"/>
      <c r="C699" s="23" t="str">
        <f>IF(Data!C699="","",(IF(ISNUMBER(MATCH("*@*.?*",Data!C699,0)),0,1)+IF(COUNTIFS(Data!C$1:'Data'!C699,Data!C699)&gt;1,1,0)))</f>
        <v/>
      </c>
      <c r="D699" s="9" t="str">
        <f>IF(Data!B699="","",IF(ISNUMBER(Data!D699),IF(AND(Data!D699&gt;999999999,Data!D699&lt;=9999999999),IF(COUNTIFS(Data!D$1:'Data'!D699,Data!D699)&lt;=1,0,1),1),1))</f>
        <v/>
      </c>
      <c r="E699" s="9" t="str">
        <f>IF(Data!B699="","",IF(ISNUMBER(MATCH(Data!E699,Data_Val!$A$2:$A$3,0)),0,1))</f>
        <v/>
      </c>
      <c r="F699" s="9" t="str">
        <f ca="1">IF(Data!B699="","",IF(ISNUMBER(Data!F699),IF(AND(Data!F699&gt;(TODAY()-(Data_Val!$H$3*365.25)),Data!F699&lt;=(TODAY()-(Data_Val!$H$2*365.25))),0,1),1))</f>
        <v/>
      </c>
      <c r="G699" s="15" t="str">
        <f>IF(Data!B699="","",IF(AND(Data!G699="",Data!H699&lt;&gt;""),1,IF(Data!#REF!&lt;&gt;"",0,IF(ISNUMBER(MATCH(Data!G699,Data_Val!$C$2:$C$5,0)),0,1))))</f>
        <v/>
      </c>
      <c r="H699" s="15" t="str">
        <f>IF(Data!B699="","",IF(AND(Data!G699&lt;&gt;"",Data!H699=""),1,IF(Data!#REF!&lt;&gt;"",0,IF(Data!G699="",1,IF(ISNUMBER(MATCH(Data!H699,Data_Val!$D$2:$D$35,0)),0,1)))))</f>
        <v/>
      </c>
      <c r="I699" s="15" t="str">
        <f>IF(Data!B699="","",IF(Data!G699&lt;&gt;"",0,IF(ISNUMBER(MATCH(Data!#REF!,Data_Val!$E$2:$E$12,0)),0,1)))</f>
        <v/>
      </c>
      <c r="J699" s="16" t="e">
        <f>IF(OR(Data!B699="",Data!#REF!=""),"",IF(Data!#REF!="",1,0))</f>
        <v>#REF!</v>
      </c>
      <c r="K699" s="16" t="e">
        <f>IF(OR(Data!B699="",Data!#REF!=""),"",IF(Data!#REF!="",1,0))</f>
        <v>#REF!</v>
      </c>
      <c r="L699" s="16" t="e">
        <f>IF(OR(Data!B699="",Data!#REF!=""),"",IF(ISNUMBER(Data!#REF!),IF(AND(Data!#REF!&gt;Data_Val!$G$2,Data!#REF!&lt;=Data_Val!$G$3),0,1),1))</f>
        <v>#REF!</v>
      </c>
      <c r="M699" s="9" t="e">
        <f>IF(OR(Data!B699="",Data!#REF!=""),"",IF(ISNUMBER(MATCH(Data!#REF!,Data_Val!$F$1:$F$38,0)),0,1))</f>
        <v>#REF!</v>
      </c>
      <c r="N699" s="9" t="e">
        <f>IF(OR(Data!B699="",Data!#REF!=""),"",IF(Data!#REF!="",1,0))</f>
        <v>#REF!</v>
      </c>
      <c r="O699" s="17" t="e">
        <f>IF(Data!#REF!="","",IF(Data!#REF!="",1,0))</f>
        <v>#REF!</v>
      </c>
      <c r="P699" s="17" t="e">
        <f>IF(Data!#REF!="","",IF(ISNUMBER(MATCH(Data!#REF!,Data_Val!$A$2:$A$3,0)),0,1))</f>
        <v>#REF!</v>
      </c>
      <c r="Q699" s="25" t="e">
        <f ca="1">IF(Data!#REF!="","",IF(ISNUMBER(Data!#REF!),IF(AND(Data!#REF!&gt;(TODAY()-(Data_Val!$J$3*365.25)),Data!#REF!&lt;=(TODAY()-(Data_Val!$J$2*365.25))),0,1),1))</f>
        <v>#REF!</v>
      </c>
      <c r="R699" s="17" t="e">
        <f>IF(Data!#REF!="","",IF(ISNUMBER(MATCH(Data!#REF!,Data_Val!$B$2:$B$15,0)),0,1))</f>
        <v>#REF!</v>
      </c>
      <c r="S699" s="11" t="str">
        <f>IF(Data!G699="","",IF(Data!G699=Data_Val!$C$2,IF(Data!M699="",0,1),0))</f>
        <v/>
      </c>
      <c r="T699" s="11" t="str">
        <f>IF(Data!M699="","",IF(ISNUMBER(MATCH(Data!N699,Data_Val!$A$2:$A$3,0)),0,1))</f>
        <v/>
      </c>
      <c r="U699" s="11" t="str">
        <f ca="1">IF(Data!M699="","",IF(ISNUMBER(Data!O699),IF(AND(Data!O699&gt;(TODAY()-(Data_Val!$K$3*365.25)),Data!O699&lt;=(TODAY()-(Data_Val!$K$2*365.25))),0,1),1))</f>
        <v/>
      </c>
      <c r="V699" s="12" t="str">
        <f>IF(Data!G699="","",IF(Data!G699=Data_Val!$C$2,IF(Data!P699="",0,1),0))</f>
        <v/>
      </c>
      <c r="W699" s="12" t="str">
        <f>IF(Data!P699="","",IF(ISNUMBER(MATCH(Data!Q699,Data_Val!$A$2:$A$3,0)),0,1))</f>
        <v/>
      </c>
      <c r="X699" s="26" t="str">
        <f ca="1">IF(Data!P699="","",IF(ISNUMBER(Data!R699),IF(AND(Data!R699&gt;(TODAY()-(Data_Val!$L$3*365.25)),Data!R699&lt;=(TODAY()-(Data_Val!$L$2*365.25))),0,1),1))</f>
        <v/>
      </c>
      <c r="Y699" s="13" t="str">
        <f>IF(Data!$G699="","",IF(Data!$G699=Data_Val!$C$2,IF(Data!S699="",0,1),0))</f>
        <v/>
      </c>
      <c r="Z699" s="13" t="str">
        <f>IF(Data!S699="","",IF(ISNUMBER(MATCH(Data!T699,Data_Val!$A$2:$A$3,0)),0,1))</f>
        <v/>
      </c>
      <c r="AA699" s="28" t="str">
        <f ca="1">IF(Data!S699="","",IF(ISNUMBER(Data!U699),IF(AND(Data!U699&gt;(TODAY()-(Data_Val!$L$3*365.25)),Data!U699&lt;=(TODAY()-(Data_Val!$L$2*365.25))),0,1),1))</f>
        <v/>
      </c>
      <c r="AB699" s="11"/>
      <c r="AC699" s="11" t="e">
        <f>IF(Data!#REF!="","",IF(ISNUMBER(MATCH(Data!#REF!,Data_Val!$A$2:$A$3,0)),0,1))</f>
        <v>#REF!</v>
      </c>
      <c r="AD699" s="11" t="e">
        <f ca="1">IF(Data!#REF!="","",IF(ISNUMBER(Data!#REF!),IF(AND(Data!#REF!&gt;(TODAY()-(Data_Val!$L$3*365.25)),Data!#REF!&lt;=(TODAY()-(Data_Val!$L$2*365.25))),0,1),1))</f>
        <v>#REF!</v>
      </c>
      <c r="AE699" s="11" t="e">
        <f>IF(Data!#REF!="","",IF(Data!$G699="",1,IF(ISNUMBER(MATCH(Data!#REF!,Data_Val!$D$2:$D$10,0)),0,1)))</f>
        <v>#REF!</v>
      </c>
      <c r="AF699" s="12"/>
      <c r="AG699" s="12" t="e">
        <f>IF(Data!#REF!="","",IF(ISNUMBER(MATCH(Data!#REF!,Data_Val!$A$2:$A$3,0)),0,1))</f>
        <v>#REF!</v>
      </c>
      <c r="AH699" s="26" t="e">
        <f ca="1">IF(Data!#REF!="","",IF(ISNUMBER(Data!#REF!),IF(AND(Data!#REF!&gt;(TODAY()-(Data_Val!$L$3*365.25)),Data!#REF!&lt;=(TODAY()-(Data_Val!$L$2*365.25))),0,1),1))</f>
        <v>#REF!</v>
      </c>
      <c r="AI699" s="12" t="e">
        <f>IF(Data!#REF!="","",IF(Data!$G699="",1,IF(ISNUMBER(MATCH(Data!#REF!,Data_Val!$D$2:$D$10,0)),0,1)))</f>
        <v>#REF!</v>
      </c>
      <c r="AJ699" s="17"/>
      <c r="AK699" s="17" t="e">
        <f>IF(Data!#REF!="","",IF(ISNUMBER(MATCH(Data!#REF!,Data_Val!$A$2:$A$3,0)),0,1))</f>
        <v>#REF!</v>
      </c>
      <c r="AL699" s="25" t="e">
        <f ca="1">IF(Data!#REF!="","",IF(ISNUMBER(Data!#REF!),IF(AND(Data!#REF!&gt;(TODAY()-(Data_Val!$L$3*365.25)),Data!#REF!&lt;=(TODAY()-(Data_Val!$L$2*365.25))),0,1),1))</f>
        <v>#REF!</v>
      </c>
      <c r="AM699" s="17" t="e">
        <f>IF(Data!#REF!="","",IF(Data!$G699="",1,IF(ISNUMBER(MATCH(Data!#REF!,Data_Val!$D$2:$D$10,0)),0,1)))</f>
        <v>#REF!</v>
      </c>
      <c r="AN699" s="13"/>
      <c r="AO699" s="28" t="e">
        <f ca="1">IF(Data!#REF!="","",IF(ISNUMBER(Data!#REF!),IF(AND(Data!#REF!&gt;(TODAY()-(Data_Val!$I$3*365.25)),Data!#REF!&lt;=(TODAY()-(Data_Val!$I$2*365.25))),0,1),1))</f>
        <v>#REF!</v>
      </c>
      <c r="AP699" s="13" t="e">
        <f>IF(Data!#REF!="","",IF(Data!$G699="",1,IF(ISNUMBER(MATCH(Data!#REF!,Data_Val!$D$2:$D$10,0)),0,1)))</f>
        <v>#REF!</v>
      </c>
      <c r="AQ699" s="17"/>
      <c r="AR699" s="30" t="e">
        <f ca="1">IF(Data!#REF!="","",IF(ISNUMBER(Data!#REF!),IF(AND(Data!#REF!&gt;(TODAY()-(Data_Val!$I$3*365.25)),Data!#REF!&lt;=(TODAY()-(Data_Val!$I$2*365.25))),0,1),1))</f>
        <v>#REF!</v>
      </c>
      <c r="AS699" s="31" t="e">
        <f>IF(Data!#REF!="","",IF(Data!$G699="",1,IF(ISNUMBER(MATCH(Data!#REF!,Data_Val!$D$2:$D$10,0)),0,1)))</f>
        <v>#REF!</v>
      </c>
      <c r="AT699" s="11"/>
      <c r="AU699" s="11" t="e">
        <f ca="1">IF(Data!#REF!="","",IF(ISNUMBER(Data!#REF!),IF(AND(Data!#REF!&gt;(TODAY()-(Data_Val!$I$3*365.25)),Data!#REF!&lt;=(TODAY()-(Data_Val!$I$2*365.25))),0,1),1))</f>
        <v>#REF!</v>
      </c>
      <c r="AV699" s="11" t="e">
        <f>IF(Data!#REF!="","",IF(Data!$G699="",1,IF(ISNUMBER(MATCH(Data!#REF!,Data_Val!$D$2:$D$10,0)),0,1)))</f>
        <v>#REF!</v>
      </c>
      <c r="AW699" s="12"/>
      <c r="AX699" s="26" t="e">
        <f ca="1">IF(Data!#REF!="","",IF(ISNUMBER(Data!#REF!),IF(AND(Data!#REF!&gt;(TODAY()-(Data_Val!$I$3*365.25)),Data!#REF!&lt;=(TODAY()-(Data_Val!$I$2*365.25))),0,1),1))</f>
        <v>#REF!</v>
      </c>
      <c r="AY699" s="12" t="e">
        <f>IF(Data!#REF!="","",IF(Data!$G699="",1,IF(ISNUMBER(MATCH(Data!#REF!,Data_Val!$D$2:$D$10,0)),0,1)))</f>
        <v>#REF!</v>
      </c>
      <c r="AZ699" s="11"/>
      <c r="BA699" s="19" t="e">
        <f ca="1">IF(Data!#REF!="","",IF(ISNUMBER(Data!#REF!),IF(AND(Data!#REF!&gt;(TODAY()-(Data_Val!$M$3*365.25)),Data!#REF!&lt;=(TODAY()-(Data_Val!$M$2*365.25))),0,1),1))</f>
        <v>#REF!</v>
      </c>
      <c r="BB699" s="11" t="e">
        <f>IF(Data!#REF!="","",IF(Data!$G699="",1,IF(ISNUMBER(MATCH(Data!#REF!,Data_Val!$D$2:$D$10,0)),0,1)))</f>
        <v>#REF!</v>
      </c>
      <c r="BC699" s="12"/>
      <c r="BD699" s="20" t="e">
        <f ca="1">IF(Data!#REF!="","",IF(ISNUMBER(Data!#REF!),IF(AND(Data!#REF!&gt;(TODAY()-(Data_Val!$M$3*365.25)),Data!#REF!&lt;=(TODAY()-(Data_Val!$M$2*365.25))),0,1),1))</f>
        <v>#REF!</v>
      </c>
      <c r="BE699" s="12" t="e">
        <f>IF(Data!#REF!="","",IF(Data!$G699="",1,IF(ISNUMBER(MATCH(Data!#REF!,Data_Val!$D$2:$D$10,0)),0,1)))</f>
        <v>#REF!</v>
      </c>
      <c r="BF699" s="17"/>
      <c r="BG699" s="18" t="e">
        <f ca="1">IF(Data!#REF!="","",IF(ISNUMBER(Data!#REF!),IF(AND(Data!#REF!&gt;(TODAY()-(Data_Val!$M$3*365.25)),Data!#REF!&lt;=(TODAY()-(Data_Val!$M$2*365.25))),0,1),1))</f>
        <v>#REF!</v>
      </c>
      <c r="BH699" s="29" t="e">
        <f>IF(Data!#REF!="","",IF(Data!$G699="",1,IF(ISNUMBER(MATCH(Data!#REF!,Data_Val!$D$2:$D$10,0)),0,1)))</f>
        <v>#REF!</v>
      </c>
      <c r="BI699" s="13"/>
      <c r="BJ699" s="21" t="e">
        <f ca="1">IF(Data!#REF!="","",IF(ISNUMBER(Data!#REF!),IF(AND(Data!#REF!&gt;(TODAY()-(Data_Val!$M$3*365.25)),Data!#REF!&lt;=(TODAY()-(Data_Val!$M$2*365.25))),0,1),1))</f>
        <v>#REF!</v>
      </c>
      <c r="BK699" s="13" t="e">
        <f>IF(Data!#REF!="","",IF(Data!$G699="",1,IF(ISNUMBER(MATCH(Data!#REF!,Data_Val!$D$2:$D$10,0)),0,1)))</f>
        <v>#REF!</v>
      </c>
    </row>
    <row r="700" spans="1:63" x14ac:dyDescent="0.25">
      <c r="A700" s="9" t="str">
        <f>IF(Data!B700="","",IF(COUNTIFS(Data!A$1:'Data'!A700,Data!A700)&lt;=1,0,1))</f>
        <v/>
      </c>
      <c r="B700" s="9"/>
      <c r="C700" s="23" t="str">
        <f>IF(Data!C700="","",(IF(ISNUMBER(MATCH("*@*.?*",Data!C700,0)),0,1)+IF(COUNTIFS(Data!C$1:'Data'!C700,Data!C700)&gt;1,1,0)))</f>
        <v/>
      </c>
      <c r="D700" s="9" t="str">
        <f>IF(Data!B700="","",IF(ISNUMBER(Data!D700),IF(AND(Data!D700&gt;999999999,Data!D700&lt;=9999999999),IF(COUNTIFS(Data!D$1:'Data'!D700,Data!D700)&lt;=1,0,1),1),1))</f>
        <v/>
      </c>
      <c r="E700" s="9" t="str">
        <f>IF(Data!B700="","",IF(ISNUMBER(MATCH(Data!E700,Data_Val!$A$2:$A$3,0)),0,1))</f>
        <v/>
      </c>
      <c r="F700" s="9" t="str">
        <f ca="1">IF(Data!B700="","",IF(ISNUMBER(Data!F700),IF(AND(Data!F700&gt;(TODAY()-(Data_Val!$H$3*365.25)),Data!F700&lt;=(TODAY()-(Data_Val!$H$2*365.25))),0,1),1))</f>
        <v/>
      </c>
      <c r="G700" s="15" t="str">
        <f>IF(Data!B700="","",IF(AND(Data!G700="",Data!H700&lt;&gt;""),1,IF(Data!#REF!&lt;&gt;"",0,IF(ISNUMBER(MATCH(Data!G700,Data_Val!$C$2:$C$5,0)),0,1))))</f>
        <v/>
      </c>
      <c r="H700" s="15" t="str">
        <f>IF(Data!B700="","",IF(AND(Data!G700&lt;&gt;"",Data!H700=""),1,IF(Data!#REF!&lt;&gt;"",0,IF(Data!G700="",1,IF(ISNUMBER(MATCH(Data!H700,Data_Val!$D$2:$D$35,0)),0,1)))))</f>
        <v/>
      </c>
      <c r="I700" s="15" t="str">
        <f>IF(Data!B700="","",IF(Data!G700&lt;&gt;"",0,IF(ISNUMBER(MATCH(Data!#REF!,Data_Val!$E$2:$E$12,0)),0,1)))</f>
        <v/>
      </c>
      <c r="J700" s="16" t="e">
        <f>IF(OR(Data!B700="",Data!#REF!=""),"",IF(Data!#REF!="",1,0))</f>
        <v>#REF!</v>
      </c>
      <c r="K700" s="16" t="e">
        <f>IF(OR(Data!B700="",Data!#REF!=""),"",IF(Data!#REF!="",1,0))</f>
        <v>#REF!</v>
      </c>
      <c r="L700" s="16" t="e">
        <f>IF(OR(Data!B700="",Data!#REF!=""),"",IF(ISNUMBER(Data!#REF!),IF(AND(Data!#REF!&gt;Data_Val!$G$2,Data!#REF!&lt;=Data_Val!$G$3),0,1),1))</f>
        <v>#REF!</v>
      </c>
      <c r="M700" s="9" t="e">
        <f>IF(OR(Data!B700="",Data!#REF!=""),"",IF(ISNUMBER(MATCH(Data!#REF!,Data_Val!$F$1:$F$38,0)),0,1))</f>
        <v>#REF!</v>
      </c>
      <c r="N700" s="9" t="e">
        <f>IF(OR(Data!B700="",Data!#REF!=""),"",IF(Data!#REF!="",1,0))</f>
        <v>#REF!</v>
      </c>
      <c r="O700" s="17" t="e">
        <f>IF(Data!#REF!="","",IF(Data!#REF!="",1,0))</f>
        <v>#REF!</v>
      </c>
      <c r="P700" s="17" t="e">
        <f>IF(Data!#REF!="","",IF(ISNUMBER(MATCH(Data!#REF!,Data_Val!$A$2:$A$3,0)),0,1))</f>
        <v>#REF!</v>
      </c>
      <c r="Q700" s="25" t="e">
        <f ca="1">IF(Data!#REF!="","",IF(ISNUMBER(Data!#REF!),IF(AND(Data!#REF!&gt;(TODAY()-(Data_Val!$J$3*365.25)),Data!#REF!&lt;=(TODAY()-(Data_Val!$J$2*365.25))),0,1),1))</f>
        <v>#REF!</v>
      </c>
      <c r="R700" s="17" t="e">
        <f>IF(Data!#REF!="","",IF(ISNUMBER(MATCH(Data!#REF!,Data_Val!$B$2:$B$15,0)),0,1))</f>
        <v>#REF!</v>
      </c>
      <c r="S700" s="11" t="str">
        <f>IF(Data!G700="","",IF(Data!G700=Data_Val!$C$2,IF(Data!M700="",0,1),0))</f>
        <v/>
      </c>
      <c r="T700" s="11" t="str">
        <f>IF(Data!M700="","",IF(ISNUMBER(MATCH(Data!N700,Data_Val!$A$2:$A$3,0)),0,1))</f>
        <v/>
      </c>
      <c r="U700" s="11" t="str">
        <f ca="1">IF(Data!M700="","",IF(ISNUMBER(Data!O700),IF(AND(Data!O700&gt;(TODAY()-(Data_Val!$K$3*365.25)),Data!O700&lt;=(TODAY()-(Data_Val!$K$2*365.25))),0,1),1))</f>
        <v/>
      </c>
      <c r="V700" s="12" t="str">
        <f>IF(Data!G700="","",IF(Data!G700=Data_Val!$C$2,IF(Data!P700="",0,1),0))</f>
        <v/>
      </c>
      <c r="W700" s="12" t="str">
        <f>IF(Data!P700="","",IF(ISNUMBER(MATCH(Data!Q700,Data_Val!$A$2:$A$3,0)),0,1))</f>
        <v/>
      </c>
      <c r="X700" s="26" t="str">
        <f ca="1">IF(Data!P700="","",IF(ISNUMBER(Data!R700),IF(AND(Data!R700&gt;(TODAY()-(Data_Val!$L$3*365.25)),Data!R700&lt;=(TODAY()-(Data_Val!$L$2*365.25))),0,1),1))</f>
        <v/>
      </c>
      <c r="Y700" s="13" t="str">
        <f>IF(Data!$G700="","",IF(Data!$G700=Data_Val!$C$2,IF(Data!S700="",0,1),0))</f>
        <v/>
      </c>
      <c r="Z700" s="13" t="str">
        <f>IF(Data!S700="","",IF(ISNUMBER(MATCH(Data!T700,Data_Val!$A$2:$A$3,0)),0,1))</f>
        <v/>
      </c>
      <c r="AA700" s="28" t="str">
        <f ca="1">IF(Data!S700="","",IF(ISNUMBER(Data!U700),IF(AND(Data!U700&gt;(TODAY()-(Data_Val!$L$3*365.25)),Data!U700&lt;=(TODAY()-(Data_Val!$L$2*365.25))),0,1),1))</f>
        <v/>
      </c>
      <c r="AB700" s="11"/>
      <c r="AC700" s="11" t="e">
        <f>IF(Data!#REF!="","",IF(ISNUMBER(MATCH(Data!#REF!,Data_Val!$A$2:$A$3,0)),0,1))</f>
        <v>#REF!</v>
      </c>
      <c r="AD700" s="11" t="e">
        <f ca="1">IF(Data!#REF!="","",IF(ISNUMBER(Data!#REF!),IF(AND(Data!#REF!&gt;(TODAY()-(Data_Val!$L$3*365.25)),Data!#REF!&lt;=(TODAY()-(Data_Val!$L$2*365.25))),0,1),1))</f>
        <v>#REF!</v>
      </c>
      <c r="AE700" s="11" t="e">
        <f>IF(Data!#REF!="","",IF(Data!$G700="",1,IF(ISNUMBER(MATCH(Data!#REF!,Data_Val!$D$2:$D$10,0)),0,1)))</f>
        <v>#REF!</v>
      </c>
      <c r="AF700" s="12"/>
      <c r="AG700" s="12" t="e">
        <f>IF(Data!#REF!="","",IF(ISNUMBER(MATCH(Data!#REF!,Data_Val!$A$2:$A$3,0)),0,1))</f>
        <v>#REF!</v>
      </c>
      <c r="AH700" s="26" t="e">
        <f ca="1">IF(Data!#REF!="","",IF(ISNUMBER(Data!#REF!),IF(AND(Data!#REF!&gt;(TODAY()-(Data_Val!$L$3*365.25)),Data!#REF!&lt;=(TODAY()-(Data_Val!$L$2*365.25))),0,1),1))</f>
        <v>#REF!</v>
      </c>
      <c r="AI700" s="12" t="e">
        <f>IF(Data!#REF!="","",IF(Data!$G700="",1,IF(ISNUMBER(MATCH(Data!#REF!,Data_Val!$D$2:$D$10,0)),0,1)))</f>
        <v>#REF!</v>
      </c>
      <c r="AJ700" s="17"/>
      <c r="AK700" s="17" t="e">
        <f>IF(Data!#REF!="","",IF(ISNUMBER(MATCH(Data!#REF!,Data_Val!$A$2:$A$3,0)),0,1))</f>
        <v>#REF!</v>
      </c>
      <c r="AL700" s="25" t="e">
        <f ca="1">IF(Data!#REF!="","",IF(ISNUMBER(Data!#REF!),IF(AND(Data!#REF!&gt;(TODAY()-(Data_Val!$L$3*365.25)),Data!#REF!&lt;=(TODAY()-(Data_Val!$L$2*365.25))),0,1),1))</f>
        <v>#REF!</v>
      </c>
      <c r="AM700" s="17" t="e">
        <f>IF(Data!#REF!="","",IF(Data!$G700="",1,IF(ISNUMBER(MATCH(Data!#REF!,Data_Val!$D$2:$D$10,0)),0,1)))</f>
        <v>#REF!</v>
      </c>
      <c r="AN700" s="13"/>
      <c r="AO700" s="28" t="e">
        <f ca="1">IF(Data!#REF!="","",IF(ISNUMBER(Data!#REF!),IF(AND(Data!#REF!&gt;(TODAY()-(Data_Val!$I$3*365.25)),Data!#REF!&lt;=(TODAY()-(Data_Val!$I$2*365.25))),0,1),1))</f>
        <v>#REF!</v>
      </c>
      <c r="AP700" s="13" t="e">
        <f>IF(Data!#REF!="","",IF(Data!$G700="",1,IF(ISNUMBER(MATCH(Data!#REF!,Data_Val!$D$2:$D$10,0)),0,1)))</f>
        <v>#REF!</v>
      </c>
      <c r="AQ700" s="17"/>
      <c r="AR700" s="30" t="e">
        <f ca="1">IF(Data!#REF!="","",IF(ISNUMBER(Data!#REF!),IF(AND(Data!#REF!&gt;(TODAY()-(Data_Val!$I$3*365.25)),Data!#REF!&lt;=(TODAY()-(Data_Val!$I$2*365.25))),0,1),1))</f>
        <v>#REF!</v>
      </c>
      <c r="AS700" s="31" t="e">
        <f>IF(Data!#REF!="","",IF(Data!$G700="",1,IF(ISNUMBER(MATCH(Data!#REF!,Data_Val!$D$2:$D$10,0)),0,1)))</f>
        <v>#REF!</v>
      </c>
      <c r="AT700" s="11"/>
      <c r="AU700" s="11" t="e">
        <f ca="1">IF(Data!#REF!="","",IF(ISNUMBER(Data!#REF!),IF(AND(Data!#REF!&gt;(TODAY()-(Data_Val!$I$3*365.25)),Data!#REF!&lt;=(TODAY()-(Data_Val!$I$2*365.25))),0,1),1))</f>
        <v>#REF!</v>
      </c>
      <c r="AV700" s="11" t="e">
        <f>IF(Data!#REF!="","",IF(Data!$G700="",1,IF(ISNUMBER(MATCH(Data!#REF!,Data_Val!$D$2:$D$10,0)),0,1)))</f>
        <v>#REF!</v>
      </c>
      <c r="AW700" s="12"/>
      <c r="AX700" s="26" t="e">
        <f ca="1">IF(Data!#REF!="","",IF(ISNUMBER(Data!#REF!),IF(AND(Data!#REF!&gt;(TODAY()-(Data_Val!$I$3*365.25)),Data!#REF!&lt;=(TODAY()-(Data_Val!$I$2*365.25))),0,1),1))</f>
        <v>#REF!</v>
      </c>
      <c r="AY700" s="12" t="e">
        <f>IF(Data!#REF!="","",IF(Data!$G700="",1,IF(ISNUMBER(MATCH(Data!#REF!,Data_Val!$D$2:$D$10,0)),0,1)))</f>
        <v>#REF!</v>
      </c>
      <c r="AZ700" s="11"/>
      <c r="BA700" s="19" t="e">
        <f ca="1">IF(Data!#REF!="","",IF(ISNUMBER(Data!#REF!),IF(AND(Data!#REF!&gt;(TODAY()-(Data_Val!$M$3*365.25)),Data!#REF!&lt;=(TODAY()-(Data_Val!$M$2*365.25))),0,1),1))</f>
        <v>#REF!</v>
      </c>
      <c r="BB700" s="11" t="e">
        <f>IF(Data!#REF!="","",IF(Data!$G700="",1,IF(ISNUMBER(MATCH(Data!#REF!,Data_Val!$D$2:$D$10,0)),0,1)))</f>
        <v>#REF!</v>
      </c>
      <c r="BC700" s="12"/>
      <c r="BD700" s="20" t="e">
        <f ca="1">IF(Data!#REF!="","",IF(ISNUMBER(Data!#REF!),IF(AND(Data!#REF!&gt;(TODAY()-(Data_Val!$M$3*365.25)),Data!#REF!&lt;=(TODAY()-(Data_Val!$M$2*365.25))),0,1),1))</f>
        <v>#REF!</v>
      </c>
      <c r="BE700" s="12" t="e">
        <f>IF(Data!#REF!="","",IF(Data!$G700="",1,IF(ISNUMBER(MATCH(Data!#REF!,Data_Val!$D$2:$D$10,0)),0,1)))</f>
        <v>#REF!</v>
      </c>
      <c r="BF700" s="17"/>
      <c r="BG700" s="18" t="e">
        <f ca="1">IF(Data!#REF!="","",IF(ISNUMBER(Data!#REF!),IF(AND(Data!#REF!&gt;(TODAY()-(Data_Val!$M$3*365.25)),Data!#REF!&lt;=(TODAY()-(Data_Val!$M$2*365.25))),0,1),1))</f>
        <v>#REF!</v>
      </c>
      <c r="BH700" s="29" t="e">
        <f>IF(Data!#REF!="","",IF(Data!$G700="",1,IF(ISNUMBER(MATCH(Data!#REF!,Data_Val!$D$2:$D$10,0)),0,1)))</f>
        <v>#REF!</v>
      </c>
      <c r="BI700" s="13"/>
      <c r="BJ700" s="21" t="e">
        <f ca="1">IF(Data!#REF!="","",IF(ISNUMBER(Data!#REF!),IF(AND(Data!#REF!&gt;(TODAY()-(Data_Val!$M$3*365.25)),Data!#REF!&lt;=(TODAY()-(Data_Val!$M$2*365.25))),0,1),1))</f>
        <v>#REF!</v>
      </c>
      <c r="BK700" s="13" t="e">
        <f>IF(Data!#REF!="","",IF(Data!$G700="",1,IF(ISNUMBER(MATCH(Data!#REF!,Data_Val!$D$2:$D$10,0)),0,1)))</f>
        <v>#REF!</v>
      </c>
    </row>
    <row r="701" spans="1:63" x14ac:dyDescent="0.25">
      <c r="A701" s="9" t="str">
        <f>IF(Data!B701="","",IF(COUNTIFS(Data!A$1:'Data'!A701,Data!A701)&lt;=1,0,1))</f>
        <v/>
      </c>
      <c r="B701" s="9"/>
      <c r="C701" s="23" t="str">
        <f>IF(Data!C701="","",(IF(ISNUMBER(MATCH("*@*.?*",Data!C701,0)),0,1)+IF(COUNTIFS(Data!C$1:'Data'!C701,Data!C701)&gt;1,1,0)))</f>
        <v/>
      </c>
      <c r="D701" s="9" t="str">
        <f>IF(Data!B701="","",IF(ISNUMBER(Data!D701),IF(AND(Data!D701&gt;999999999,Data!D701&lt;=9999999999),IF(COUNTIFS(Data!D$1:'Data'!D701,Data!D701)&lt;=1,0,1),1),1))</f>
        <v/>
      </c>
      <c r="E701" s="9" t="str">
        <f>IF(Data!B701="","",IF(ISNUMBER(MATCH(Data!E701,Data_Val!$A$2:$A$3,0)),0,1))</f>
        <v/>
      </c>
      <c r="F701" s="9" t="str">
        <f ca="1">IF(Data!B701="","",IF(ISNUMBER(Data!F701),IF(AND(Data!F701&gt;(TODAY()-(Data_Val!$H$3*365.25)),Data!F701&lt;=(TODAY()-(Data_Val!$H$2*365.25))),0,1),1))</f>
        <v/>
      </c>
      <c r="G701" s="15" t="str">
        <f>IF(Data!B701="","",IF(AND(Data!G701="",Data!H701&lt;&gt;""),1,IF(Data!#REF!&lt;&gt;"",0,IF(ISNUMBER(MATCH(Data!G701,Data_Val!$C$2:$C$5,0)),0,1))))</f>
        <v/>
      </c>
      <c r="H701" s="15" t="str">
        <f>IF(Data!B701="","",IF(AND(Data!G701&lt;&gt;"",Data!H701=""),1,IF(Data!#REF!&lt;&gt;"",0,IF(Data!G701="",1,IF(ISNUMBER(MATCH(Data!H701,Data_Val!$D$2:$D$35,0)),0,1)))))</f>
        <v/>
      </c>
      <c r="I701" s="15" t="str">
        <f>IF(Data!B701="","",IF(Data!G701&lt;&gt;"",0,IF(ISNUMBER(MATCH(Data!#REF!,Data_Val!$E$2:$E$12,0)),0,1)))</f>
        <v/>
      </c>
      <c r="J701" s="16" t="e">
        <f>IF(OR(Data!B701="",Data!#REF!=""),"",IF(Data!#REF!="",1,0))</f>
        <v>#REF!</v>
      </c>
      <c r="K701" s="16" t="e">
        <f>IF(OR(Data!B701="",Data!#REF!=""),"",IF(Data!#REF!="",1,0))</f>
        <v>#REF!</v>
      </c>
      <c r="L701" s="16" t="e">
        <f>IF(OR(Data!B701="",Data!#REF!=""),"",IF(ISNUMBER(Data!#REF!),IF(AND(Data!#REF!&gt;Data_Val!$G$2,Data!#REF!&lt;=Data_Val!$G$3),0,1),1))</f>
        <v>#REF!</v>
      </c>
      <c r="M701" s="9" t="e">
        <f>IF(OR(Data!B701="",Data!#REF!=""),"",IF(ISNUMBER(MATCH(Data!#REF!,Data_Val!$F$1:$F$38,0)),0,1))</f>
        <v>#REF!</v>
      </c>
      <c r="N701" s="9" t="e">
        <f>IF(OR(Data!B701="",Data!#REF!=""),"",IF(Data!#REF!="",1,0))</f>
        <v>#REF!</v>
      </c>
      <c r="O701" s="17" t="e">
        <f>IF(Data!#REF!="","",IF(Data!#REF!="",1,0))</f>
        <v>#REF!</v>
      </c>
      <c r="P701" s="17" t="e">
        <f>IF(Data!#REF!="","",IF(ISNUMBER(MATCH(Data!#REF!,Data_Val!$A$2:$A$3,0)),0,1))</f>
        <v>#REF!</v>
      </c>
      <c r="Q701" s="25" t="e">
        <f ca="1">IF(Data!#REF!="","",IF(ISNUMBER(Data!#REF!),IF(AND(Data!#REF!&gt;(TODAY()-(Data_Val!$J$3*365.25)),Data!#REF!&lt;=(TODAY()-(Data_Val!$J$2*365.25))),0,1),1))</f>
        <v>#REF!</v>
      </c>
      <c r="R701" s="17" t="e">
        <f>IF(Data!#REF!="","",IF(ISNUMBER(MATCH(Data!#REF!,Data_Val!$B$2:$B$15,0)),0,1))</f>
        <v>#REF!</v>
      </c>
      <c r="S701" s="11" t="str">
        <f>IF(Data!G701="","",IF(Data!G701=Data_Val!$C$2,IF(Data!M701="",0,1),0))</f>
        <v/>
      </c>
      <c r="T701" s="11" t="str">
        <f>IF(Data!M701="","",IF(ISNUMBER(MATCH(Data!N701,Data_Val!$A$2:$A$3,0)),0,1))</f>
        <v/>
      </c>
      <c r="U701" s="11" t="str">
        <f ca="1">IF(Data!M701="","",IF(ISNUMBER(Data!O701),IF(AND(Data!O701&gt;(TODAY()-(Data_Val!$K$3*365.25)),Data!O701&lt;=(TODAY()-(Data_Val!$K$2*365.25))),0,1),1))</f>
        <v/>
      </c>
      <c r="V701" s="12" t="str">
        <f>IF(Data!G701="","",IF(Data!G701=Data_Val!$C$2,IF(Data!P701="",0,1),0))</f>
        <v/>
      </c>
      <c r="W701" s="12" t="str">
        <f>IF(Data!P701="","",IF(ISNUMBER(MATCH(Data!Q701,Data_Val!$A$2:$A$3,0)),0,1))</f>
        <v/>
      </c>
      <c r="X701" s="26" t="str">
        <f ca="1">IF(Data!P701="","",IF(ISNUMBER(Data!R701),IF(AND(Data!R701&gt;(TODAY()-(Data_Val!$L$3*365.25)),Data!R701&lt;=(TODAY()-(Data_Val!$L$2*365.25))),0,1),1))</f>
        <v/>
      </c>
      <c r="Y701" s="13" t="str">
        <f>IF(Data!$G701="","",IF(Data!$G701=Data_Val!$C$2,IF(Data!S701="",0,1),0))</f>
        <v/>
      </c>
      <c r="Z701" s="13" t="str">
        <f>IF(Data!S701="","",IF(ISNUMBER(MATCH(Data!T701,Data_Val!$A$2:$A$3,0)),0,1))</f>
        <v/>
      </c>
      <c r="AA701" s="28" t="str">
        <f ca="1">IF(Data!S701="","",IF(ISNUMBER(Data!U701),IF(AND(Data!U701&gt;(TODAY()-(Data_Val!$L$3*365.25)),Data!U701&lt;=(TODAY()-(Data_Val!$L$2*365.25))),0,1),1))</f>
        <v/>
      </c>
      <c r="AB701" s="11"/>
      <c r="AC701" s="11" t="e">
        <f>IF(Data!#REF!="","",IF(ISNUMBER(MATCH(Data!#REF!,Data_Val!$A$2:$A$3,0)),0,1))</f>
        <v>#REF!</v>
      </c>
      <c r="AD701" s="11" t="e">
        <f ca="1">IF(Data!#REF!="","",IF(ISNUMBER(Data!#REF!),IF(AND(Data!#REF!&gt;(TODAY()-(Data_Val!$L$3*365.25)),Data!#REF!&lt;=(TODAY()-(Data_Val!$L$2*365.25))),0,1),1))</f>
        <v>#REF!</v>
      </c>
      <c r="AE701" s="11" t="e">
        <f>IF(Data!#REF!="","",IF(Data!$G701="",1,IF(ISNUMBER(MATCH(Data!#REF!,Data_Val!$D$2:$D$10,0)),0,1)))</f>
        <v>#REF!</v>
      </c>
      <c r="AF701" s="12"/>
      <c r="AG701" s="12" t="e">
        <f>IF(Data!#REF!="","",IF(ISNUMBER(MATCH(Data!#REF!,Data_Val!$A$2:$A$3,0)),0,1))</f>
        <v>#REF!</v>
      </c>
      <c r="AH701" s="26" t="e">
        <f ca="1">IF(Data!#REF!="","",IF(ISNUMBER(Data!#REF!),IF(AND(Data!#REF!&gt;(TODAY()-(Data_Val!$L$3*365.25)),Data!#REF!&lt;=(TODAY()-(Data_Val!$L$2*365.25))),0,1),1))</f>
        <v>#REF!</v>
      </c>
      <c r="AI701" s="12" t="e">
        <f>IF(Data!#REF!="","",IF(Data!$G701="",1,IF(ISNUMBER(MATCH(Data!#REF!,Data_Val!$D$2:$D$10,0)),0,1)))</f>
        <v>#REF!</v>
      </c>
      <c r="AJ701" s="17"/>
      <c r="AK701" s="17" t="e">
        <f>IF(Data!#REF!="","",IF(ISNUMBER(MATCH(Data!#REF!,Data_Val!$A$2:$A$3,0)),0,1))</f>
        <v>#REF!</v>
      </c>
      <c r="AL701" s="25" t="e">
        <f ca="1">IF(Data!#REF!="","",IF(ISNUMBER(Data!#REF!),IF(AND(Data!#REF!&gt;(TODAY()-(Data_Val!$L$3*365.25)),Data!#REF!&lt;=(TODAY()-(Data_Val!$L$2*365.25))),0,1),1))</f>
        <v>#REF!</v>
      </c>
      <c r="AM701" s="17" t="e">
        <f>IF(Data!#REF!="","",IF(Data!$G701="",1,IF(ISNUMBER(MATCH(Data!#REF!,Data_Val!$D$2:$D$10,0)),0,1)))</f>
        <v>#REF!</v>
      </c>
      <c r="AN701" s="13"/>
      <c r="AO701" s="28" t="e">
        <f ca="1">IF(Data!#REF!="","",IF(ISNUMBER(Data!#REF!),IF(AND(Data!#REF!&gt;(TODAY()-(Data_Val!$I$3*365.25)),Data!#REF!&lt;=(TODAY()-(Data_Val!$I$2*365.25))),0,1),1))</f>
        <v>#REF!</v>
      </c>
      <c r="AP701" s="13" t="e">
        <f>IF(Data!#REF!="","",IF(Data!$G701="",1,IF(ISNUMBER(MATCH(Data!#REF!,Data_Val!$D$2:$D$10,0)),0,1)))</f>
        <v>#REF!</v>
      </c>
      <c r="AQ701" s="17"/>
      <c r="AR701" s="30" t="e">
        <f ca="1">IF(Data!#REF!="","",IF(ISNUMBER(Data!#REF!),IF(AND(Data!#REF!&gt;(TODAY()-(Data_Val!$I$3*365.25)),Data!#REF!&lt;=(TODAY()-(Data_Val!$I$2*365.25))),0,1),1))</f>
        <v>#REF!</v>
      </c>
      <c r="AS701" s="31" t="e">
        <f>IF(Data!#REF!="","",IF(Data!$G701="",1,IF(ISNUMBER(MATCH(Data!#REF!,Data_Val!$D$2:$D$10,0)),0,1)))</f>
        <v>#REF!</v>
      </c>
      <c r="AT701" s="11"/>
      <c r="AU701" s="11" t="e">
        <f ca="1">IF(Data!#REF!="","",IF(ISNUMBER(Data!#REF!),IF(AND(Data!#REF!&gt;(TODAY()-(Data_Val!$I$3*365.25)),Data!#REF!&lt;=(TODAY()-(Data_Val!$I$2*365.25))),0,1),1))</f>
        <v>#REF!</v>
      </c>
      <c r="AV701" s="11" t="e">
        <f>IF(Data!#REF!="","",IF(Data!$G701="",1,IF(ISNUMBER(MATCH(Data!#REF!,Data_Val!$D$2:$D$10,0)),0,1)))</f>
        <v>#REF!</v>
      </c>
      <c r="AW701" s="12"/>
      <c r="AX701" s="26" t="e">
        <f ca="1">IF(Data!#REF!="","",IF(ISNUMBER(Data!#REF!),IF(AND(Data!#REF!&gt;(TODAY()-(Data_Val!$I$3*365.25)),Data!#REF!&lt;=(TODAY()-(Data_Val!$I$2*365.25))),0,1),1))</f>
        <v>#REF!</v>
      </c>
      <c r="AY701" s="12" t="e">
        <f>IF(Data!#REF!="","",IF(Data!$G701="",1,IF(ISNUMBER(MATCH(Data!#REF!,Data_Val!$D$2:$D$10,0)),0,1)))</f>
        <v>#REF!</v>
      </c>
      <c r="AZ701" s="11"/>
      <c r="BA701" s="19" t="e">
        <f ca="1">IF(Data!#REF!="","",IF(ISNUMBER(Data!#REF!),IF(AND(Data!#REF!&gt;(TODAY()-(Data_Val!$M$3*365.25)),Data!#REF!&lt;=(TODAY()-(Data_Val!$M$2*365.25))),0,1),1))</f>
        <v>#REF!</v>
      </c>
      <c r="BB701" s="11" t="e">
        <f>IF(Data!#REF!="","",IF(Data!$G701="",1,IF(ISNUMBER(MATCH(Data!#REF!,Data_Val!$D$2:$D$10,0)),0,1)))</f>
        <v>#REF!</v>
      </c>
      <c r="BC701" s="12"/>
      <c r="BD701" s="20" t="e">
        <f ca="1">IF(Data!#REF!="","",IF(ISNUMBER(Data!#REF!),IF(AND(Data!#REF!&gt;(TODAY()-(Data_Val!$M$3*365.25)),Data!#REF!&lt;=(TODAY()-(Data_Val!$M$2*365.25))),0,1),1))</f>
        <v>#REF!</v>
      </c>
      <c r="BE701" s="12" t="e">
        <f>IF(Data!#REF!="","",IF(Data!$G701="",1,IF(ISNUMBER(MATCH(Data!#REF!,Data_Val!$D$2:$D$10,0)),0,1)))</f>
        <v>#REF!</v>
      </c>
      <c r="BF701" s="17"/>
      <c r="BG701" s="18" t="e">
        <f ca="1">IF(Data!#REF!="","",IF(ISNUMBER(Data!#REF!),IF(AND(Data!#REF!&gt;(TODAY()-(Data_Val!$M$3*365.25)),Data!#REF!&lt;=(TODAY()-(Data_Val!$M$2*365.25))),0,1),1))</f>
        <v>#REF!</v>
      </c>
      <c r="BH701" s="29" t="e">
        <f>IF(Data!#REF!="","",IF(Data!$G701="",1,IF(ISNUMBER(MATCH(Data!#REF!,Data_Val!$D$2:$D$10,0)),0,1)))</f>
        <v>#REF!</v>
      </c>
      <c r="BI701" s="13"/>
      <c r="BJ701" s="21" t="e">
        <f ca="1">IF(Data!#REF!="","",IF(ISNUMBER(Data!#REF!),IF(AND(Data!#REF!&gt;(TODAY()-(Data_Val!$M$3*365.25)),Data!#REF!&lt;=(TODAY()-(Data_Val!$M$2*365.25))),0,1),1))</f>
        <v>#REF!</v>
      </c>
      <c r="BK701" s="13" t="e">
        <f>IF(Data!#REF!="","",IF(Data!$G701="",1,IF(ISNUMBER(MATCH(Data!#REF!,Data_Val!$D$2:$D$10,0)),0,1)))</f>
        <v>#REF!</v>
      </c>
    </row>
    <row r="702" spans="1:63" x14ac:dyDescent="0.25">
      <c r="A702" s="9" t="str">
        <f>IF(Data!B702="","",IF(COUNTIFS(Data!A$1:'Data'!A702,Data!A702)&lt;=1,0,1))</f>
        <v/>
      </c>
      <c r="B702" s="9"/>
      <c r="C702" s="23" t="str">
        <f>IF(Data!C702="","",(IF(ISNUMBER(MATCH("*@*.?*",Data!C702,0)),0,1)+IF(COUNTIFS(Data!C$1:'Data'!C702,Data!C702)&gt;1,1,0)))</f>
        <v/>
      </c>
      <c r="D702" s="9" t="str">
        <f>IF(Data!B702="","",IF(ISNUMBER(Data!D702),IF(AND(Data!D702&gt;999999999,Data!D702&lt;=9999999999),IF(COUNTIFS(Data!D$1:'Data'!D702,Data!D702)&lt;=1,0,1),1),1))</f>
        <v/>
      </c>
      <c r="E702" s="9" t="str">
        <f>IF(Data!B702="","",IF(ISNUMBER(MATCH(Data!E702,Data_Val!$A$2:$A$3,0)),0,1))</f>
        <v/>
      </c>
      <c r="F702" s="9" t="str">
        <f ca="1">IF(Data!B702="","",IF(ISNUMBER(Data!F702),IF(AND(Data!F702&gt;(TODAY()-(Data_Val!$H$3*365.25)),Data!F702&lt;=(TODAY()-(Data_Val!$H$2*365.25))),0,1),1))</f>
        <v/>
      </c>
      <c r="G702" s="15" t="str">
        <f>IF(Data!B702="","",IF(AND(Data!G702="",Data!H702&lt;&gt;""),1,IF(Data!#REF!&lt;&gt;"",0,IF(ISNUMBER(MATCH(Data!G702,Data_Val!$C$2:$C$5,0)),0,1))))</f>
        <v/>
      </c>
      <c r="H702" s="15" t="str">
        <f>IF(Data!B702="","",IF(AND(Data!G702&lt;&gt;"",Data!H702=""),1,IF(Data!#REF!&lt;&gt;"",0,IF(Data!G702="",1,IF(ISNUMBER(MATCH(Data!H702,Data_Val!$D$2:$D$35,0)),0,1)))))</f>
        <v/>
      </c>
      <c r="I702" s="15" t="str">
        <f>IF(Data!B702="","",IF(Data!G702&lt;&gt;"",0,IF(ISNUMBER(MATCH(Data!#REF!,Data_Val!$E$2:$E$12,0)),0,1)))</f>
        <v/>
      </c>
      <c r="J702" s="16" t="e">
        <f>IF(OR(Data!B702="",Data!#REF!=""),"",IF(Data!#REF!="",1,0))</f>
        <v>#REF!</v>
      </c>
      <c r="K702" s="16" t="e">
        <f>IF(OR(Data!B702="",Data!#REF!=""),"",IF(Data!#REF!="",1,0))</f>
        <v>#REF!</v>
      </c>
      <c r="L702" s="16" t="e">
        <f>IF(OR(Data!B702="",Data!#REF!=""),"",IF(ISNUMBER(Data!#REF!),IF(AND(Data!#REF!&gt;Data_Val!$G$2,Data!#REF!&lt;=Data_Val!$G$3),0,1),1))</f>
        <v>#REF!</v>
      </c>
      <c r="M702" s="9" t="e">
        <f>IF(OR(Data!B702="",Data!#REF!=""),"",IF(ISNUMBER(MATCH(Data!#REF!,Data_Val!$F$1:$F$38,0)),0,1))</f>
        <v>#REF!</v>
      </c>
      <c r="N702" s="9" t="e">
        <f>IF(OR(Data!B702="",Data!#REF!=""),"",IF(Data!#REF!="",1,0))</f>
        <v>#REF!</v>
      </c>
      <c r="O702" s="17" t="e">
        <f>IF(Data!#REF!="","",IF(Data!#REF!="",1,0))</f>
        <v>#REF!</v>
      </c>
      <c r="P702" s="17" t="e">
        <f>IF(Data!#REF!="","",IF(ISNUMBER(MATCH(Data!#REF!,Data_Val!$A$2:$A$3,0)),0,1))</f>
        <v>#REF!</v>
      </c>
      <c r="Q702" s="25" t="e">
        <f ca="1">IF(Data!#REF!="","",IF(ISNUMBER(Data!#REF!),IF(AND(Data!#REF!&gt;(TODAY()-(Data_Val!$J$3*365.25)),Data!#REF!&lt;=(TODAY()-(Data_Val!$J$2*365.25))),0,1),1))</f>
        <v>#REF!</v>
      </c>
      <c r="R702" s="17" t="e">
        <f>IF(Data!#REF!="","",IF(ISNUMBER(MATCH(Data!#REF!,Data_Val!$B$2:$B$15,0)),0,1))</f>
        <v>#REF!</v>
      </c>
      <c r="S702" s="11" t="str">
        <f>IF(Data!G702="","",IF(Data!G702=Data_Val!$C$2,IF(Data!M702="",0,1),0))</f>
        <v/>
      </c>
      <c r="T702" s="11" t="str">
        <f>IF(Data!M702="","",IF(ISNUMBER(MATCH(Data!N702,Data_Val!$A$2:$A$3,0)),0,1))</f>
        <v/>
      </c>
      <c r="U702" s="11" t="str">
        <f ca="1">IF(Data!M702="","",IF(ISNUMBER(Data!O702),IF(AND(Data!O702&gt;(TODAY()-(Data_Val!$K$3*365.25)),Data!O702&lt;=(TODAY()-(Data_Val!$K$2*365.25))),0,1),1))</f>
        <v/>
      </c>
      <c r="V702" s="12" t="str">
        <f>IF(Data!G702="","",IF(Data!G702=Data_Val!$C$2,IF(Data!P702="",0,1),0))</f>
        <v/>
      </c>
      <c r="W702" s="12" t="str">
        <f>IF(Data!P702="","",IF(ISNUMBER(MATCH(Data!Q702,Data_Val!$A$2:$A$3,0)),0,1))</f>
        <v/>
      </c>
      <c r="X702" s="26" t="str">
        <f ca="1">IF(Data!P702="","",IF(ISNUMBER(Data!R702),IF(AND(Data!R702&gt;(TODAY()-(Data_Val!$L$3*365.25)),Data!R702&lt;=(TODAY()-(Data_Val!$L$2*365.25))),0,1),1))</f>
        <v/>
      </c>
      <c r="Y702" s="13" t="str">
        <f>IF(Data!$G702="","",IF(Data!$G702=Data_Val!$C$2,IF(Data!S702="",0,1),0))</f>
        <v/>
      </c>
      <c r="Z702" s="13" t="str">
        <f>IF(Data!S702="","",IF(ISNUMBER(MATCH(Data!T702,Data_Val!$A$2:$A$3,0)),0,1))</f>
        <v/>
      </c>
      <c r="AA702" s="28" t="str">
        <f ca="1">IF(Data!S702="","",IF(ISNUMBER(Data!U702),IF(AND(Data!U702&gt;(TODAY()-(Data_Val!$L$3*365.25)),Data!U702&lt;=(TODAY()-(Data_Val!$L$2*365.25))),0,1),1))</f>
        <v/>
      </c>
      <c r="AB702" s="11"/>
      <c r="AC702" s="11" t="e">
        <f>IF(Data!#REF!="","",IF(ISNUMBER(MATCH(Data!#REF!,Data_Val!$A$2:$A$3,0)),0,1))</f>
        <v>#REF!</v>
      </c>
      <c r="AD702" s="11" t="e">
        <f ca="1">IF(Data!#REF!="","",IF(ISNUMBER(Data!#REF!),IF(AND(Data!#REF!&gt;(TODAY()-(Data_Val!$L$3*365.25)),Data!#REF!&lt;=(TODAY()-(Data_Val!$L$2*365.25))),0,1),1))</f>
        <v>#REF!</v>
      </c>
      <c r="AE702" s="11" t="e">
        <f>IF(Data!#REF!="","",IF(Data!$G702="",1,IF(ISNUMBER(MATCH(Data!#REF!,Data_Val!$D$2:$D$10,0)),0,1)))</f>
        <v>#REF!</v>
      </c>
      <c r="AF702" s="12"/>
      <c r="AG702" s="12" t="e">
        <f>IF(Data!#REF!="","",IF(ISNUMBER(MATCH(Data!#REF!,Data_Val!$A$2:$A$3,0)),0,1))</f>
        <v>#REF!</v>
      </c>
      <c r="AH702" s="26" t="e">
        <f ca="1">IF(Data!#REF!="","",IF(ISNUMBER(Data!#REF!),IF(AND(Data!#REF!&gt;(TODAY()-(Data_Val!$L$3*365.25)),Data!#REF!&lt;=(TODAY()-(Data_Val!$L$2*365.25))),0,1),1))</f>
        <v>#REF!</v>
      </c>
      <c r="AI702" s="12" t="e">
        <f>IF(Data!#REF!="","",IF(Data!$G702="",1,IF(ISNUMBER(MATCH(Data!#REF!,Data_Val!$D$2:$D$10,0)),0,1)))</f>
        <v>#REF!</v>
      </c>
      <c r="AJ702" s="17"/>
      <c r="AK702" s="17" t="e">
        <f>IF(Data!#REF!="","",IF(ISNUMBER(MATCH(Data!#REF!,Data_Val!$A$2:$A$3,0)),0,1))</f>
        <v>#REF!</v>
      </c>
      <c r="AL702" s="25" t="e">
        <f ca="1">IF(Data!#REF!="","",IF(ISNUMBER(Data!#REF!),IF(AND(Data!#REF!&gt;(TODAY()-(Data_Val!$L$3*365.25)),Data!#REF!&lt;=(TODAY()-(Data_Val!$L$2*365.25))),0,1),1))</f>
        <v>#REF!</v>
      </c>
      <c r="AM702" s="17" t="e">
        <f>IF(Data!#REF!="","",IF(Data!$G702="",1,IF(ISNUMBER(MATCH(Data!#REF!,Data_Val!$D$2:$D$10,0)),0,1)))</f>
        <v>#REF!</v>
      </c>
      <c r="AN702" s="13"/>
      <c r="AO702" s="28" t="e">
        <f ca="1">IF(Data!#REF!="","",IF(ISNUMBER(Data!#REF!),IF(AND(Data!#REF!&gt;(TODAY()-(Data_Val!$I$3*365.25)),Data!#REF!&lt;=(TODAY()-(Data_Val!$I$2*365.25))),0,1),1))</f>
        <v>#REF!</v>
      </c>
      <c r="AP702" s="13" t="e">
        <f>IF(Data!#REF!="","",IF(Data!$G702="",1,IF(ISNUMBER(MATCH(Data!#REF!,Data_Val!$D$2:$D$10,0)),0,1)))</f>
        <v>#REF!</v>
      </c>
      <c r="AQ702" s="17"/>
      <c r="AR702" s="30" t="e">
        <f ca="1">IF(Data!#REF!="","",IF(ISNUMBER(Data!#REF!),IF(AND(Data!#REF!&gt;(TODAY()-(Data_Val!$I$3*365.25)),Data!#REF!&lt;=(TODAY()-(Data_Val!$I$2*365.25))),0,1),1))</f>
        <v>#REF!</v>
      </c>
      <c r="AS702" s="31" t="e">
        <f>IF(Data!#REF!="","",IF(Data!$G702="",1,IF(ISNUMBER(MATCH(Data!#REF!,Data_Val!$D$2:$D$10,0)),0,1)))</f>
        <v>#REF!</v>
      </c>
      <c r="AT702" s="11"/>
      <c r="AU702" s="11" t="e">
        <f ca="1">IF(Data!#REF!="","",IF(ISNUMBER(Data!#REF!),IF(AND(Data!#REF!&gt;(TODAY()-(Data_Val!$I$3*365.25)),Data!#REF!&lt;=(TODAY()-(Data_Val!$I$2*365.25))),0,1),1))</f>
        <v>#REF!</v>
      </c>
      <c r="AV702" s="11" t="e">
        <f>IF(Data!#REF!="","",IF(Data!$G702="",1,IF(ISNUMBER(MATCH(Data!#REF!,Data_Val!$D$2:$D$10,0)),0,1)))</f>
        <v>#REF!</v>
      </c>
      <c r="AW702" s="12"/>
      <c r="AX702" s="26" t="e">
        <f ca="1">IF(Data!#REF!="","",IF(ISNUMBER(Data!#REF!),IF(AND(Data!#REF!&gt;(TODAY()-(Data_Val!$I$3*365.25)),Data!#REF!&lt;=(TODAY()-(Data_Val!$I$2*365.25))),0,1),1))</f>
        <v>#REF!</v>
      </c>
      <c r="AY702" s="12" t="e">
        <f>IF(Data!#REF!="","",IF(Data!$G702="",1,IF(ISNUMBER(MATCH(Data!#REF!,Data_Val!$D$2:$D$10,0)),0,1)))</f>
        <v>#REF!</v>
      </c>
      <c r="AZ702" s="11"/>
      <c r="BA702" s="19" t="e">
        <f ca="1">IF(Data!#REF!="","",IF(ISNUMBER(Data!#REF!),IF(AND(Data!#REF!&gt;(TODAY()-(Data_Val!$M$3*365.25)),Data!#REF!&lt;=(TODAY()-(Data_Val!$M$2*365.25))),0,1),1))</f>
        <v>#REF!</v>
      </c>
      <c r="BB702" s="11" t="e">
        <f>IF(Data!#REF!="","",IF(Data!$G702="",1,IF(ISNUMBER(MATCH(Data!#REF!,Data_Val!$D$2:$D$10,0)),0,1)))</f>
        <v>#REF!</v>
      </c>
      <c r="BC702" s="12"/>
      <c r="BD702" s="20" t="e">
        <f ca="1">IF(Data!#REF!="","",IF(ISNUMBER(Data!#REF!),IF(AND(Data!#REF!&gt;(TODAY()-(Data_Val!$M$3*365.25)),Data!#REF!&lt;=(TODAY()-(Data_Val!$M$2*365.25))),0,1),1))</f>
        <v>#REF!</v>
      </c>
      <c r="BE702" s="12" t="e">
        <f>IF(Data!#REF!="","",IF(Data!$G702="",1,IF(ISNUMBER(MATCH(Data!#REF!,Data_Val!$D$2:$D$10,0)),0,1)))</f>
        <v>#REF!</v>
      </c>
      <c r="BF702" s="17"/>
      <c r="BG702" s="18" t="e">
        <f ca="1">IF(Data!#REF!="","",IF(ISNUMBER(Data!#REF!),IF(AND(Data!#REF!&gt;(TODAY()-(Data_Val!$M$3*365.25)),Data!#REF!&lt;=(TODAY()-(Data_Val!$M$2*365.25))),0,1),1))</f>
        <v>#REF!</v>
      </c>
      <c r="BH702" s="29" t="e">
        <f>IF(Data!#REF!="","",IF(Data!$G702="",1,IF(ISNUMBER(MATCH(Data!#REF!,Data_Val!$D$2:$D$10,0)),0,1)))</f>
        <v>#REF!</v>
      </c>
      <c r="BI702" s="13"/>
      <c r="BJ702" s="21" t="e">
        <f ca="1">IF(Data!#REF!="","",IF(ISNUMBER(Data!#REF!),IF(AND(Data!#REF!&gt;(TODAY()-(Data_Val!$M$3*365.25)),Data!#REF!&lt;=(TODAY()-(Data_Val!$M$2*365.25))),0,1),1))</f>
        <v>#REF!</v>
      </c>
      <c r="BK702" s="13" t="e">
        <f>IF(Data!#REF!="","",IF(Data!$G702="",1,IF(ISNUMBER(MATCH(Data!#REF!,Data_Val!$D$2:$D$10,0)),0,1)))</f>
        <v>#REF!</v>
      </c>
    </row>
    <row r="703" spans="1:63" x14ac:dyDescent="0.25">
      <c r="A703" s="9" t="str">
        <f>IF(Data!B703="","",IF(COUNTIFS(Data!A$1:'Data'!A703,Data!A703)&lt;=1,0,1))</f>
        <v/>
      </c>
      <c r="B703" s="9"/>
      <c r="C703" s="23" t="str">
        <f>IF(Data!C703="","",(IF(ISNUMBER(MATCH("*@*.?*",Data!C703,0)),0,1)+IF(COUNTIFS(Data!C$1:'Data'!C703,Data!C703)&gt;1,1,0)))</f>
        <v/>
      </c>
      <c r="D703" s="9" t="str">
        <f>IF(Data!B703="","",IF(ISNUMBER(Data!D703),IF(AND(Data!D703&gt;999999999,Data!D703&lt;=9999999999),IF(COUNTIFS(Data!D$1:'Data'!D703,Data!D703)&lt;=1,0,1),1),1))</f>
        <v/>
      </c>
      <c r="E703" s="9" t="str">
        <f>IF(Data!B703="","",IF(ISNUMBER(MATCH(Data!E703,Data_Val!$A$2:$A$3,0)),0,1))</f>
        <v/>
      </c>
      <c r="F703" s="9" t="str">
        <f ca="1">IF(Data!B703="","",IF(ISNUMBER(Data!F703),IF(AND(Data!F703&gt;(TODAY()-(Data_Val!$H$3*365.25)),Data!F703&lt;=(TODAY()-(Data_Val!$H$2*365.25))),0,1),1))</f>
        <v/>
      </c>
      <c r="G703" s="15" t="str">
        <f>IF(Data!B703="","",IF(AND(Data!G703="",Data!H703&lt;&gt;""),1,IF(Data!#REF!&lt;&gt;"",0,IF(ISNUMBER(MATCH(Data!G703,Data_Val!$C$2:$C$5,0)),0,1))))</f>
        <v/>
      </c>
      <c r="H703" s="15" t="str">
        <f>IF(Data!B703="","",IF(AND(Data!G703&lt;&gt;"",Data!H703=""),1,IF(Data!#REF!&lt;&gt;"",0,IF(Data!G703="",1,IF(ISNUMBER(MATCH(Data!H703,Data_Val!$D$2:$D$35,0)),0,1)))))</f>
        <v/>
      </c>
      <c r="I703" s="15" t="str">
        <f>IF(Data!B703="","",IF(Data!G703&lt;&gt;"",0,IF(ISNUMBER(MATCH(Data!#REF!,Data_Val!$E$2:$E$12,0)),0,1)))</f>
        <v/>
      </c>
      <c r="J703" s="16" t="e">
        <f>IF(OR(Data!B703="",Data!#REF!=""),"",IF(Data!#REF!="",1,0))</f>
        <v>#REF!</v>
      </c>
      <c r="K703" s="16" t="e">
        <f>IF(OR(Data!B703="",Data!#REF!=""),"",IF(Data!#REF!="",1,0))</f>
        <v>#REF!</v>
      </c>
      <c r="L703" s="16" t="e">
        <f>IF(OR(Data!B703="",Data!#REF!=""),"",IF(ISNUMBER(Data!#REF!),IF(AND(Data!#REF!&gt;Data_Val!$G$2,Data!#REF!&lt;=Data_Val!$G$3),0,1),1))</f>
        <v>#REF!</v>
      </c>
      <c r="M703" s="9" t="e">
        <f>IF(OR(Data!B703="",Data!#REF!=""),"",IF(ISNUMBER(MATCH(Data!#REF!,Data_Val!$F$1:$F$38,0)),0,1))</f>
        <v>#REF!</v>
      </c>
      <c r="N703" s="9" t="e">
        <f>IF(OR(Data!B703="",Data!#REF!=""),"",IF(Data!#REF!="",1,0))</f>
        <v>#REF!</v>
      </c>
      <c r="O703" s="17" t="e">
        <f>IF(Data!#REF!="","",IF(Data!#REF!="",1,0))</f>
        <v>#REF!</v>
      </c>
      <c r="P703" s="17" t="e">
        <f>IF(Data!#REF!="","",IF(ISNUMBER(MATCH(Data!#REF!,Data_Val!$A$2:$A$3,0)),0,1))</f>
        <v>#REF!</v>
      </c>
      <c r="Q703" s="25" t="e">
        <f ca="1">IF(Data!#REF!="","",IF(ISNUMBER(Data!#REF!),IF(AND(Data!#REF!&gt;(TODAY()-(Data_Val!$J$3*365.25)),Data!#REF!&lt;=(TODAY()-(Data_Val!$J$2*365.25))),0,1),1))</f>
        <v>#REF!</v>
      </c>
      <c r="R703" s="17" t="e">
        <f>IF(Data!#REF!="","",IF(ISNUMBER(MATCH(Data!#REF!,Data_Val!$B$2:$B$15,0)),0,1))</f>
        <v>#REF!</v>
      </c>
      <c r="S703" s="11" t="str">
        <f>IF(Data!G703="","",IF(Data!G703=Data_Val!$C$2,IF(Data!M703="",0,1),0))</f>
        <v/>
      </c>
      <c r="T703" s="11" t="str">
        <f>IF(Data!M703="","",IF(ISNUMBER(MATCH(Data!N703,Data_Val!$A$2:$A$3,0)),0,1))</f>
        <v/>
      </c>
      <c r="U703" s="11" t="str">
        <f ca="1">IF(Data!M703="","",IF(ISNUMBER(Data!O703),IF(AND(Data!O703&gt;(TODAY()-(Data_Val!$K$3*365.25)),Data!O703&lt;=(TODAY()-(Data_Val!$K$2*365.25))),0,1),1))</f>
        <v/>
      </c>
      <c r="V703" s="12" t="str">
        <f>IF(Data!G703="","",IF(Data!G703=Data_Val!$C$2,IF(Data!P703="",0,1),0))</f>
        <v/>
      </c>
      <c r="W703" s="12" t="str">
        <f>IF(Data!P703="","",IF(ISNUMBER(MATCH(Data!Q703,Data_Val!$A$2:$A$3,0)),0,1))</f>
        <v/>
      </c>
      <c r="X703" s="26" t="str">
        <f ca="1">IF(Data!P703="","",IF(ISNUMBER(Data!R703),IF(AND(Data!R703&gt;(TODAY()-(Data_Val!$L$3*365.25)),Data!R703&lt;=(TODAY()-(Data_Val!$L$2*365.25))),0,1),1))</f>
        <v/>
      </c>
      <c r="Y703" s="13" t="str">
        <f>IF(Data!$G703="","",IF(Data!$G703=Data_Val!$C$2,IF(Data!S703="",0,1),0))</f>
        <v/>
      </c>
      <c r="Z703" s="13" t="str">
        <f>IF(Data!S703="","",IF(ISNUMBER(MATCH(Data!T703,Data_Val!$A$2:$A$3,0)),0,1))</f>
        <v/>
      </c>
      <c r="AA703" s="28" t="str">
        <f ca="1">IF(Data!S703="","",IF(ISNUMBER(Data!U703),IF(AND(Data!U703&gt;(TODAY()-(Data_Val!$L$3*365.25)),Data!U703&lt;=(TODAY()-(Data_Val!$L$2*365.25))),0,1),1))</f>
        <v/>
      </c>
      <c r="AB703" s="11"/>
      <c r="AC703" s="11" t="e">
        <f>IF(Data!#REF!="","",IF(ISNUMBER(MATCH(Data!#REF!,Data_Val!$A$2:$A$3,0)),0,1))</f>
        <v>#REF!</v>
      </c>
      <c r="AD703" s="11" t="e">
        <f ca="1">IF(Data!#REF!="","",IF(ISNUMBER(Data!#REF!),IF(AND(Data!#REF!&gt;(TODAY()-(Data_Val!$L$3*365.25)),Data!#REF!&lt;=(TODAY()-(Data_Val!$L$2*365.25))),0,1),1))</f>
        <v>#REF!</v>
      </c>
      <c r="AE703" s="11" t="e">
        <f>IF(Data!#REF!="","",IF(Data!$G703="",1,IF(ISNUMBER(MATCH(Data!#REF!,Data_Val!$D$2:$D$10,0)),0,1)))</f>
        <v>#REF!</v>
      </c>
      <c r="AF703" s="12"/>
      <c r="AG703" s="12" t="e">
        <f>IF(Data!#REF!="","",IF(ISNUMBER(MATCH(Data!#REF!,Data_Val!$A$2:$A$3,0)),0,1))</f>
        <v>#REF!</v>
      </c>
      <c r="AH703" s="26" t="e">
        <f ca="1">IF(Data!#REF!="","",IF(ISNUMBER(Data!#REF!),IF(AND(Data!#REF!&gt;(TODAY()-(Data_Val!$L$3*365.25)),Data!#REF!&lt;=(TODAY()-(Data_Val!$L$2*365.25))),0,1),1))</f>
        <v>#REF!</v>
      </c>
      <c r="AI703" s="12" t="e">
        <f>IF(Data!#REF!="","",IF(Data!$G703="",1,IF(ISNUMBER(MATCH(Data!#REF!,Data_Val!$D$2:$D$10,0)),0,1)))</f>
        <v>#REF!</v>
      </c>
      <c r="AJ703" s="17"/>
      <c r="AK703" s="17" t="e">
        <f>IF(Data!#REF!="","",IF(ISNUMBER(MATCH(Data!#REF!,Data_Val!$A$2:$A$3,0)),0,1))</f>
        <v>#REF!</v>
      </c>
      <c r="AL703" s="25" t="e">
        <f ca="1">IF(Data!#REF!="","",IF(ISNUMBER(Data!#REF!),IF(AND(Data!#REF!&gt;(TODAY()-(Data_Val!$L$3*365.25)),Data!#REF!&lt;=(TODAY()-(Data_Val!$L$2*365.25))),0,1),1))</f>
        <v>#REF!</v>
      </c>
      <c r="AM703" s="17" t="e">
        <f>IF(Data!#REF!="","",IF(Data!$G703="",1,IF(ISNUMBER(MATCH(Data!#REF!,Data_Val!$D$2:$D$10,0)),0,1)))</f>
        <v>#REF!</v>
      </c>
      <c r="AN703" s="13"/>
      <c r="AO703" s="28" t="e">
        <f ca="1">IF(Data!#REF!="","",IF(ISNUMBER(Data!#REF!),IF(AND(Data!#REF!&gt;(TODAY()-(Data_Val!$I$3*365.25)),Data!#REF!&lt;=(TODAY()-(Data_Val!$I$2*365.25))),0,1),1))</f>
        <v>#REF!</v>
      </c>
      <c r="AP703" s="13" t="e">
        <f>IF(Data!#REF!="","",IF(Data!$G703="",1,IF(ISNUMBER(MATCH(Data!#REF!,Data_Val!$D$2:$D$10,0)),0,1)))</f>
        <v>#REF!</v>
      </c>
      <c r="AQ703" s="17"/>
      <c r="AR703" s="30" t="e">
        <f ca="1">IF(Data!#REF!="","",IF(ISNUMBER(Data!#REF!),IF(AND(Data!#REF!&gt;(TODAY()-(Data_Val!$I$3*365.25)),Data!#REF!&lt;=(TODAY()-(Data_Val!$I$2*365.25))),0,1),1))</f>
        <v>#REF!</v>
      </c>
      <c r="AS703" s="31" t="e">
        <f>IF(Data!#REF!="","",IF(Data!$G703="",1,IF(ISNUMBER(MATCH(Data!#REF!,Data_Val!$D$2:$D$10,0)),0,1)))</f>
        <v>#REF!</v>
      </c>
      <c r="AT703" s="11"/>
      <c r="AU703" s="11" t="e">
        <f ca="1">IF(Data!#REF!="","",IF(ISNUMBER(Data!#REF!),IF(AND(Data!#REF!&gt;(TODAY()-(Data_Val!$I$3*365.25)),Data!#REF!&lt;=(TODAY()-(Data_Val!$I$2*365.25))),0,1),1))</f>
        <v>#REF!</v>
      </c>
      <c r="AV703" s="11" t="e">
        <f>IF(Data!#REF!="","",IF(Data!$G703="",1,IF(ISNUMBER(MATCH(Data!#REF!,Data_Val!$D$2:$D$10,0)),0,1)))</f>
        <v>#REF!</v>
      </c>
      <c r="AW703" s="12"/>
      <c r="AX703" s="26" t="e">
        <f ca="1">IF(Data!#REF!="","",IF(ISNUMBER(Data!#REF!),IF(AND(Data!#REF!&gt;(TODAY()-(Data_Val!$I$3*365.25)),Data!#REF!&lt;=(TODAY()-(Data_Val!$I$2*365.25))),0,1),1))</f>
        <v>#REF!</v>
      </c>
      <c r="AY703" s="12" t="e">
        <f>IF(Data!#REF!="","",IF(Data!$G703="",1,IF(ISNUMBER(MATCH(Data!#REF!,Data_Val!$D$2:$D$10,0)),0,1)))</f>
        <v>#REF!</v>
      </c>
      <c r="AZ703" s="11"/>
      <c r="BA703" s="19" t="e">
        <f ca="1">IF(Data!#REF!="","",IF(ISNUMBER(Data!#REF!),IF(AND(Data!#REF!&gt;(TODAY()-(Data_Val!$M$3*365.25)),Data!#REF!&lt;=(TODAY()-(Data_Val!$M$2*365.25))),0,1),1))</f>
        <v>#REF!</v>
      </c>
      <c r="BB703" s="11" t="e">
        <f>IF(Data!#REF!="","",IF(Data!$G703="",1,IF(ISNUMBER(MATCH(Data!#REF!,Data_Val!$D$2:$D$10,0)),0,1)))</f>
        <v>#REF!</v>
      </c>
      <c r="BC703" s="12"/>
      <c r="BD703" s="20" t="e">
        <f ca="1">IF(Data!#REF!="","",IF(ISNUMBER(Data!#REF!),IF(AND(Data!#REF!&gt;(TODAY()-(Data_Val!$M$3*365.25)),Data!#REF!&lt;=(TODAY()-(Data_Val!$M$2*365.25))),0,1),1))</f>
        <v>#REF!</v>
      </c>
      <c r="BE703" s="12" t="e">
        <f>IF(Data!#REF!="","",IF(Data!$G703="",1,IF(ISNUMBER(MATCH(Data!#REF!,Data_Val!$D$2:$D$10,0)),0,1)))</f>
        <v>#REF!</v>
      </c>
      <c r="BF703" s="17"/>
      <c r="BG703" s="18" t="e">
        <f ca="1">IF(Data!#REF!="","",IF(ISNUMBER(Data!#REF!),IF(AND(Data!#REF!&gt;(TODAY()-(Data_Val!$M$3*365.25)),Data!#REF!&lt;=(TODAY()-(Data_Val!$M$2*365.25))),0,1),1))</f>
        <v>#REF!</v>
      </c>
      <c r="BH703" s="29" t="e">
        <f>IF(Data!#REF!="","",IF(Data!$G703="",1,IF(ISNUMBER(MATCH(Data!#REF!,Data_Val!$D$2:$D$10,0)),0,1)))</f>
        <v>#REF!</v>
      </c>
      <c r="BI703" s="13"/>
      <c r="BJ703" s="21" t="e">
        <f ca="1">IF(Data!#REF!="","",IF(ISNUMBER(Data!#REF!),IF(AND(Data!#REF!&gt;(TODAY()-(Data_Val!$M$3*365.25)),Data!#REF!&lt;=(TODAY()-(Data_Val!$M$2*365.25))),0,1),1))</f>
        <v>#REF!</v>
      </c>
      <c r="BK703" s="13" t="e">
        <f>IF(Data!#REF!="","",IF(Data!$G703="",1,IF(ISNUMBER(MATCH(Data!#REF!,Data_Val!$D$2:$D$10,0)),0,1)))</f>
        <v>#REF!</v>
      </c>
    </row>
    <row r="704" spans="1:63" x14ac:dyDescent="0.25">
      <c r="A704" s="9" t="str">
        <f>IF(Data!B704="","",IF(COUNTIFS(Data!A$1:'Data'!A704,Data!A704)&lt;=1,0,1))</f>
        <v/>
      </c>
      <c r="B704" s="9"/>
      <c r="C704" s="23" t="str">
        <f>IF(Data!C704="","",(IF(ISNUMBER(MATCH("*@*.?*",Data!C704,0)),0,1)+IF(COUNTIFS(Data!C$1:'Data'!C704,Data!C704)&gt;1,1,0)))</f>
        <v/>
      </c>
      <c r="D704" s="9" t="str">
        <f>IF(Data!B704="","",IF(ISNUMBER(Data!D704),IF(AND(Data!D704&gt;999999999,Data!D704&lt;=9999999999),IF(COUNTIFS(Data!D$1:'Data'!D704,Data!D704)&lt;=1,0,1),1),1))</f>
        <v/>
      </c>
      <c r="E704" s="9" t="str">
        <f>IF(Data!B704="","",IF(ISNUMBER(MATCH(Data!E704,Data_Val!$A$2:$A$3,0)),0,1))</f>
        <v/>
      </c>
      <c r="F704" s="9" t="str">
        <f ca="1">IF(Data!B704="","",IF(ISNUMBER(Data!F704),IF(AND(Data!F704&gt;(TODAY()-(Data_Val!$H$3*365.25)),Data!F704&lt;=(TODAY()-(Data_Val!$H$2*365.25))),0,1),1))</f>
        <v/>
      </c>
      <c r="G704" s="15" t="str">
        <f>IF(Data!B704="","",IF(AND(Data!G704="",Data!H704&lt;&gt;""),1,IF(Data!#REF!&lt;&gt;"",0,IF(ISNUMBER(MATCH(Data!G704,Data_Val!$C$2:$C$5,0)),0,1))))</f>
        <v/>
      </c>
      <c r="H704" s="15" t="str">
        <f>IF(Data!B704="","",IF(AND(Data!G704&lt;&gt;"",Data!H704=""),1,IF(Data!#REF!&lt;&gt;"",0,IF(Data!G704="",1,IF(ISNUMBER(MATCH(Data!H704,Data_Val!$D$2:$D$35,0)),0,1)))))</f>
        <v/>
      </c>
      <c r="I704" s="15" t="str">
        <f>IF(Data!B704="","",IF(Data!G704&lt;&gt;"",0,IF(ISNUMBER(MATCH(Data!#REF!,Data_Val!$E$2:$E$12,0)),0,1)))</f>
        <v/>
      </c>
      <c r="J704" s="16" t="e">
        <f>IF(OR(Data!B704="",Data!#REF!=""),"",IF(Data!#REF!="",1,0))</f>
        <v>#REF!</v>
      </c>
      <c r="K704" s="16" t="e">
        <f>IF(OR(Data!B704="",Data!#REF!=""),"",IF(Data!#REF!="",1,0))</f>
        <v>#REF!</v>
      </c>
      <c r="L704" s="16" t="e">
        <f>IF(OR(Data!B704="",Data!#REF!=""),"",IF(ISNUMBER(Data!#REF!),IF(AND(Data!#REF!&gt;Data_Val!$G$2,Data!#REF!&lt;=Data_Val!$G$3),0,1),1))</f>
        <v>#REF!</v>
      </c>
      <c r="M704" s="9" t="e">
        <f>IF(OR(Data!B704="",Data!#REF!=""),"",IF(ISNUMBER(MATCH(Data!#REF!,Data_Val!$F$1:$F$38,0)),0,1))</f>
        <v>#REF!</v>
      </c>
      <c r="N704" s="9" t="e">
        <f>IF(OR(Data!B704="",Data!#REF!=""),"",IF(Data!#REF!="",1,0))</f>
        <v>#REF!</v>
      </c>
      <c r="O704" s="17" t="e">
        <f>IF(Data!#REF!="","",IF(Data!#REF!="",1,0))</f>
        <v>#REF!</v>
      </c>
      <c r="P704" s="17" t="e">
        <f>IF(Data!#REF!="","",IF(ISNUMBER(MATCH(Data!#REF!,Data_Val!$A$2:$A$3,0)),0,1))</f>
        <v>#REF!</v>
      </c>
      <c r="Q704" s="25" t="e">
        <f ca="1">IF(Data!#REF!="","",IF(ISNUMBER(Data!#REF!),IF(AND(Data!#REF!&gt;(TODAY()-(Data_Val!$J$3*365.25)),Data!#REF!&lt;=(TODAY()-(Data_Val!$J$2*365.25))),0,1),1))</f>
        <v>#REF!</v>
      </c>
      <c r="R704" s="17" t="e">
        <f>IF(Data!#REF!="","",IF(ISNUMBER(MATCH(Data!#REF!,Data_Val!$B$2:$B$15,0)),0,1))</f>
        <v>#REF!</v>
      </c>
      <c r="S704" s="11" t="str">
        <f>IF(Data!G704="","",IF(Data!G704=Data_Val!$C$2,IF(Data!M704="",0,1),0))</f>
        <v/>
      </c>
      <c r="T704" s="11" t="str">
        <f>IF(Data!M704="","",IF(ISNUMBER(MATCH(Data!N704,Data_Val!$A$2:$A$3,0)),0,1))</f>
        <v/>
      </c>
      <c r="U704" s="11" t="str">
        <f ca="1">IF(Data!M704="","",IF(ISNUMBER(Data!O704),IF(AND(Data!O704&gt;(TODAY()-(Data_Val!$K$3*365.25)),Data!O704&lt;=(TODAY()-(Data_Val!$K$2*365.25))),0,1),1))</f>
        <v/>
      </c>
      <c r="V704" s="12" t="str">
        <f>IF(Data!G704="","",IF(Data!G704=Data_Val!$C$2,IF(Data!P704="",0,1),0))</f>
        <v/>
      </c>
      <c r="W704" s="12" t="str">
        <f>IF(Data!P704="","",IF(ISNUMBER(MATCH(Data!Q704,Data_Val!$A$2:$A$3,0)),0,1))</f>
        <v/>
      </c>
      <c r="X704" s="26" t="str">
        <f ca="1">IF(Data!P704="","",IF(ISNUMBER(Data!R704),IF(AND(Data!R704&gt;(TODAY()-(Data_Val!$L$3*365.25)),Data!R704&lt;=(TODAY()-(Data_Val!$L$2*365.25))),0,1),1))</f>
        <v/>
      </c>
      <c r="Y704" s="13" t="str">
        <f>IF(Data!$G704="","",IF(Data!$G704=Data_Val!$C$2,IF(Data!S704="",0,1),0))</f>
        <v/>
      </c>
      <c r="Z704" s="13" t="str">
        <f>IF(Data!S704="","",IF(ISNUMBER(MATCH(Data!T704,Data_Val!$A$2:$A$3,0)),0,1))</f>
        <v/>
      </c>
      <c r="AA704" s="28" t="str">
        <f ca="1">IF(Data!S704="","",IF(ISNUMBER(Data!U704),IF(AND(Data!U704&gt;(TODAY()-(Data_Val!$L$3*365.25)),Data!U704&lt;=(TODAY()-(Data_Val!$L$2*365.25))),0,1),1))</f>
        <v/>
      </c>
      <c r="AB704" s="11"/>
      <c r="AC704" s="11" t="e">
        <f>IF(Data!#REF!="","",IF(ISNUMBER(MATCH(Data!#REF!,Data_Val!$A$2:$A$3,0)),0,1))</f>
        <v>#REF!</v>
      </c>
      <c r="AD704" s="11" t="e">
        <f ca="1">IF(Data!#REF!="","",IF(ISNUMBER(Data!#REF!),IF(AND(Data!#REF!&gt;(TODAY()-(Data_Val!$L$3*365.25)),Data!#REF!&lt;=(TODAY()-(Data_Val!$L$2*365.25))),0,1),1))</f>
        <v>#REF!</v>
      </c>
      <c r="AE704" s="11" t="e">
        <f>IF(Data!#REF!="","",IF(Data!$G704="",1,IF(ISNUMBER(MATCH(Data!#REF!,Data_Val!$D$2:$D$10,0)),0,1)))</f>
        <v>#REF!</v>
      </c>
      <c r="AF704" s="12"/>
      <c r="AG704" s="12" t="e">
        <f>IF(Data!#REF!="","",IF(ISNUMBER(MATCH(Data!#REF!,Data_Val!$A$2:$A$3,0)),0,1))</f>
        <v>#REF!</v>
      </c>
      <c r="AH704" s="26" t="e">
        <f ca="1">IF(Data!#REF!="","",IF(ISNUMBER(Data!#REF!),IF(AND(Data!#REF!&gt;(TODAY()-(Data_Val!$L$3*365.25)),Data!#REF!&lt;=(TODAY()-(Data_Val!$L$2*365.25))),0,1),1))</f>
        <v>#REF!</v>
      </c>
      <c r="AI704" s="12" t="e">
        <f>IF(Data!#REF!="","",IF(Data!$G704="",1,IF(ISNUMBER(MATCH(Data!#REF!,Data_Val!$D$2:$D$10,0)),0,1)))</f>
        <v>#REF!</v>
      </c>
      <c r="AJ704" s="17"/>
      <c r="AK704" s="17" t="e">
        <f>IF(Data!#REF!="","",IF(ISNUMBER(MATCH(Data!#REF!,Data_Val!$A$2:$A$3,0)),0,1))</f>
        <v>#REF!</v>
      </c>
      <c r="AL704" s="25" t="e">
        <f ca="1">IF(Data!#REF!="","",IF(ISNUMBER(Data!#REF!),IF(AND(Data!#REF!&gt;(TODAY()-(Data_Val!$L$3*365.25)),Data!#REF!&lt;=(TODAY()-(Data_Val!$L$2*365.25))),0,1),1))</f>
        <v>#REF!</v>
      </c>
      <c r="AM704" s="17" t="e">
        <f>IF(Data!#REF!="","",IF(Data!$G704="",1,IF(ISNUMBER(MATCH(Data!#REF!,Data_Val!$D$2:$D$10,0)),0,1)))</f>
        <v>#REF!</v>
      </c>
      <c r="AN704" s="13"/>
      <c r="AO704" s="28" t="e">
        <f ca="1">IF(Data!#REF!="","",IF(ISNUMBER(Data!#REF!),IF(AND(Data!#REF!&gt;(TODAY()-(Data_Val!$I$3*365.25)),Data!#REF!&lt;=(TODAY()-(Data_Val!$I$2*365.25))),0,1),1))</f>
        <v>#REF!</v>
      </c>
      <c r="AP704" s="13" t="e">
        <f>IF(Data!#REF!="","",IF(Data!$G704="",1,IF(ISNUMBER(MATCH(Data!#REF!,Data_Val!$D$2:$D$10,0)),0,1)))</f>
        <v>#REF!</v>
      </c>
      <c r="AQ704" s="17"/>
      <c r="AR704" s="30" t="e">
        <f ca="1">IF(Data!#REF!="","",IF(ISNUMBER(Data!#REF!),IF(AND(Data!#REF!&gt;(TODAY()-(Data_Val!$I$3*365.25)),Data!#REF!&lt;=(TODAY()-(Data_Val!$I$2*365.25))),0,1),1))</f>
        <v>#REF!</v>
      </c>
      <c r="AS704" s="31" t="e">
        <f>IF(Data!#REF!="","",IF(Data!$G704="",1,IF(ISNUMBER(MATCH(Data!#REF!,Data_Val!$D$2:$D$10,0)),0,1)))</f>
        <v>#REF!</v>
      </c>
      <c r="AT704" s="11"/>
      <c r="AU704" s="11" t="e">
        <f ca="1">IF(Data!#REF!="","",IF(ISNUMBER(Data!#REF!),IF(AND(Data!#REF!&gt;(TODAY()-(Data_Val!$I$3*365.25)),Data!#REF!&lt;=(TODAY()-(Data_Val!$I$2*365.25))),0,1),1))</f>
        <v>#REF!</v>
      </c>
      <c r="AV704" s="11" t="e">
        <f>IF(Data!#REF!="","",IF(Data!$G704="",1,IF(ISNUMBER(MATCH(Data!#REF!,Data_Val!$D$2:$D$10,0)),0,1)))</f>
        <v>#REF!</v>
      </c>
      <c r="AW704" s="12"/>
      <c r="AX704" s="26" t="e">
        <f ca="1">IF(Data!#REF!="","",IF(ISNUMBER(Data!#REF!),IF(AND(Data!#REF!&gt;(TODAY()-(Data_Val!$I$3*365.25)),Data!#REF!&lt;=(TODAY()-(Data_Val!$I$2*365.25))),0,1),1))</f>
        <v>#REF!</v>
      </c>
      <c r="AY704" s="12" t="e">
        <f>IF(Data!#REF!="","",IF(Data!$G704="",1,IF(ISNUMBER(MATCH(Data!#REF!,Data_Val!$D$2:$D$10,0)),0,1)))</f>
        <v>#REF!</v>
      </c>
      <c r="AZ704" s="11"/>
      <c r="BA704" s="19" t="e">
        <f ca="1">IF(Data!#REF!="","",IF(ISNUMBER(Data!#REF!),IF(AND(Data!#REF!&gt;(TODAY()-(Data_Val!$M$3*365.25)),Data!#REF!&lt;=(TODAY()-(Data_Val!$M$2*365.25))),0,1),1))</f>
        <v>#REF!</v>
      </c>
      <c r="BB704" s="11" t="e">
        <f>IF(Data!#REF!="","",IF(Data!$G704="",1,IF(ISNUMBER(MATCH(Data!#REF!,Data_Val!$D$2:$D$10,0)),0,1)))</f>
        <v>#REF!</v>
      </c>
      <c r="BC704" s="12"/>
      <c r="BD704" s="20" t="e">
        <f ca="1">IF(Data!#REF!="","",IF(ISNUMBER(Data!#REF!),IF(AND(Data!#REF!&gt;(TODAY()-(Data_Val!$M$3*365.25)),Data!#REF!&lt;=(TODAY()-(Data_Val!$M$2*365.25))),0,1),1))</f>
        <v>#REF!</v>
      </c>
      <c r="BE704" s="12" t="e">
        <f>IF(Data!#REF!="","",IF(Data!$G704="",1,IF(ISNUMBER(MATCH(Data!#REF!,Data_Val!$D$2:$D$10,0)),0,1)))</f>
        <v>#REF!</v>
      </c>
      <c r="BF704" s="17"/>
      <c r="BG704" s="18" t="e">
        <f ca="1">IF(Data!#REF!="","",IF(ISNUMBER(Data!#REF!),IF(AND(Data!#REF!&gt;(TODAY()-(Data_Val!$M$3*365.25)),Data!#REF!&lt;=(TODAY()-(Data_Val!$M$2*365.25))),0,1),1))</f>
        <v>#REF!</v>
      </c>
      <c r="BH704" s="29" t="e">
        <f>IF(Data!#REF!="","",IF(Data!$G704="",1,IF(ISNUMBER(MATCH(Data!#REF!,Data_Val!$D$2:$D$10,0)),0,1)))</f>
        <v>#REF!</v>
      </c>
      <c r="BI704" s="13"/>
      <c r="BJ704" s="21" t="e">
        <f ca="1">IF(Data!#REF!="","",IF(ISNUMBER(Data!#REF!),IF(AND(Data!#REF!&gt;(TODAY()-(Data_Val!$M$3*365.25)),Data!#REF!&lt;=(TODAY()-(Data_Val!$M$2*365.25))),0,1),1))</f>
        <v>#REF!</v>
      </c>
      <c r="BK704" s="13" t="e">
        <f>IF(Data!#REF!="","",IF(Data!$G704="",1,IF(ISNUMBER(MATCH(Data!#REF!,Data_Val!$D$2:$D$10,0)),0,1)))</f>
        <v>#REF!</v>
      </c>
    </row>
    <row r="705" spans="1:63" x14ac:dyDescent="0.25">
      <c r="A705" s="9" t="str">
        <f>IF(Data!B705="","",IF(COUNTIFS(Data!A$1:'Data'!A705,Data!A705)&lt;=1,0,1))</f>
        <v/>
      </c>
      <c r="B705" s="9"/>
      <c r="C705" s="23" t="str">
        <f>IF(Data!C705="","",(IF(ISNUMBER(MATCH("*@*.?*",Data!C705,0)),0,1)+IF(COUNTIFS(Data!C$1:'Data'!C705,Data!C705)&gt;1,1,0)))</f>
        <v/>
      </c>
      <c r="D705" s="9" t="str">
        <f>IF(Data!B705="","",IF(ISNUMBER(Data!D705),IF(AND(Data!D705&gt;999999999,Data!D705&lt;=9999999999),IF(COUNTIFS(Data!D$1:'Data'!D705,Data!D705)&lt;=1,0,1),1),1))</f>
        <v/>
      </c>
      <c r="E705" s="9" t="str">
        <f>IF(Data!B705="","",IF(ISNUMBER(MATCH(Data!E705,Data_Val!$A$2:$A$3,0)),0,1))</f>
        <v/>
      </c>
      <c r="F705" s="9" t="str">
        <f ca="1">IF(Data!B705="","",IF(ISNUMBER(Data!F705),IF(AND(Data!F705&gt;(TODAY()-(Data_Val!$H$3*365.25)),Data!F705&lt;=(TODAY()-(Data_Val!$H$2*365.25))),0,1),1))</f>
        <v/>
      </c>
      <c r="G705" s="15" t="str">
        <f>IF(Data!B705="","",IF(AND(Data!G705="",Data!H705&lt;&gt;""),1,IF(Data!#REF!&lt;&gt;"",0,IF(ISNUMBER(MATCH(Data!G705,Data_Val!$C$2:$C$5,0)),0,1))))</f>
        <v/>
      </c>
      <c r="H705" s="15" t="str">
        <f>IF(Data!B705="","",IF(AND(Data!G705&lt;&gt;"",Data!H705=""),1,IF(Data!#REF!&lt;&gt;"",0,IF(Data!G705="",1,IF(ISNUMBER(MATCH(Data!H705,Data_Val!$D$2:$D$35,0)),0,1)))))</f>
        <v/>
      </c>
      <c r="I705" s="15" t="str">
        <f>IF(Data!B705="","",IF(Data!G705&lt;&gt;"",0,IF(ISNUMBER(MATCH(Data!#REF!,Data_Val!$E$2:$E$12,0)),0,1)))</f>
        <v/>
      </c>
      <c r="J705" s="16" t="e">
        <f>IF(OR(Data!B705="",Data!#REF!=""),"",IF(Data!#REF!="",1,0))</f>
        <v>#REF!</v>
      </c>
      <c r="K705" s="16" t="e">
        <f>IF(OR(Data!B705="",Data!#REF!=""),"",IF(Data!#REF!="",1,0))</f>
        <v>#REF!</v>
      </c>
      <c r="L705" s="16" t="e">
        <f>IF(OR(Data!B705="",Data!#REF!=""),"",IF(ISNUMBER(Data!#REF!),IF(AND(Data!#REF!&gt;Data_Val!$G$2,Data!#REF!&lt;=Data_Val!$G$3),0,1),1))</f>
        <v>#REF!</v>
      </c>
      <c r="M705" s="9" t="e">
        <f>IF(OR(Data!B705="",Data!#REF!=""),"",IF(ISNUMBER(MATCH(Data!#REF!,Data_Val!$F$1:$F$38,0)),0,1))</f>
        <v>#REF!</v>
      </c>
      <c r="N705" s="9" t="e">
        <f>IF(OR(Data!B705="",Data!#REF!=""),"",IF(Data!#REF!="",1,0))</f>
        <v>#REF!</v>
      </c>
      <c r="O705" s="17" t="e">
        <f>IF(Data!#REF!="","",IF(Data!#REF!="",1,0))</f>
        <v>#REF!</v>
      </c>
      <c r="P705" s="17" t="e">
        <f>IF(Data!#REF!="","",IF(ISNUMBER(MATCH(Data!#REF!,Data_Val!$A$2:$A$3,0)),0,1))</f>
        <v>#REF!</v>
      </c>
      <c r="Q705" s="25" t="e">
        <f ca="1">IF(Data!#REF!="","",IF(ISNUMBER(Data!#REF!),IF(AND(Data!#REF!&gt;(TODAY()-(Data_Val!$J$3*365.25)),Data!#REF!&lt;=(TODAY()-(Data_Val!$J$2*365.25))),0,1),1))</f>
        <v>#REF!</v>
      </c>
      <c r="R705" s="17" t="e">
        <f>IF(Data!#REF!="","",IF(ISNUMBER(MATCH(Data!#REF!,Data_Val!$B$2:$B$15,0)),0,1))</f>
        <v>#REF!</v>
      </c>
      <c r="S705" s="11" t="str">
        <f>IF(Data!G705="","",IF(Data!G705=Data_Val!$C$2,IF(Data!M705="",0,1),0))</f>
        <v/>
      </c>
      <c r="T705" s="11" t="str">
        <f>IF(Data!M705="","",IF(ISNUMBER(MATCH(Data!N705,Data_Val!$A$2:$A$3,0)),0,1))</f>
        <v/>
      </c>
      <c r="U705" s="11" t="str">
        <f ca="1">IF(Data!M705="","",IF(ISNUMBER(Data!O705),IF(AND(Data!O705&gt;(TODAY()-(Data_Val!$K$3*365.25)),Data!O705&lt;=(TODAY()-(Data_Val!$K$2*365.25))),0,1),1))</f>
        <v/>
      </c>
      <c r="V705" s="12" t="str">
        <f>IF(Data!G705="","",IF(Data!G705=Data_Val!$C$2,IF(Data!P705="",0,1),0))</f>
        <v/>
      </c>
      <c r="W705" s="12" t="str">
        <f>IF(Data!P705="","",IF(ISNUMBER(MATCH(Data!Q705,Data_Val!$A$2:$A$3,0)),0,1))</f>
        <v/>
      </c>
      <c r="X705" s="26" t="str">
        <f ca="1">IF(Data!P705="","",IF(ISNUMBER(Data!R705),IF(AND(Data!R705&gt;(TODAY()-(Data_Val!$L$3*365.25)),Data!R705&lt;=(TODAY()-(Data_Val!$L$2*365.25))),0,1),1))</f>
        <v/>
      </c>
      <c r="Y705" s="13" t="str">
        <f>IF(Data!$G705="","",IF(Data!$G705=Data_Val!$C$2,IF(Data!S705="",0,1),0))</f>
        <v/>
      </c>
      <c r="Z705" s="13" t="str">
        <f>IF(Data!S705="","",IF(ISNUMBER(MATCH(Data!T705,Data_Val!$A$2:$A$3,0)),0,1))</f>
        <v/>
      </c>
      <c r="AA705" s="28" t="str">
        <f ca="1">IF(Data!S705="","",IF(ISNUMBER(Data!U705),IF(AND(Data!U705&gt;(TODAY()-(Data_Val!$L$3*365.25)),Data!U705&lt;=(TODAY()-(Data_Val!$L$2*365.25))),0,1),1))</f>
        <v/>
      </c>
      <c r="AB705" s="11"/>
      <c r="AC705" s="11" t="e">
        <f>IF(Data!#REF!="","",IF(ISNUMBER(MATCH(Data!#REF!,Data_Val!$A$2:$A$3,0)),0,1))</f>
        <v>#REF!</v>
      </c>
      <c r="AD705" s="11" t="e">
        <f ca="1">IF(Data!#REF!="","",IF(ISNUMBER(Data!#REF!),IF(AND(Data!#REF!&gt;(TODAY()-(Data_Val!$L$3*365.25)),Data!#REF!&lt;=(TODAY()-(Data_Val!$L$2*365.25))),0,1),1))</f>
        <v>#REF!</v>
      </c>
      <c r="AE705" s="11" t="e">
        <f>IF(Data!#REF!="","",IF(Data!$G705="",1,IF(ISNUMBER(MATCH(Data!#REF!,Data_Val!$D$2:$D$10,0)),0,1)))</f>
        <v>#REF!</v>
      </c>
      <c r="AF705" s="12"/>
      <c r="AG705" s="12" t="e">
        <f>IF(Data!#REF!="","",IF(ISNUMBER(MATCH(Data!#REF!,Data_Val!$A$2:$A$3,0)),0,1))</f>
        <v>#REF!</v>
      </c>
      <c r="AH705" s="26" t="e">
        <f ca="1">IF(Data!#REF!="","",IF(ISNUMBER(Data!#REF!),IF(AND(Data!#REF!&gt;(TODAY()-(Data_Val!$L$3*365.25)),Data!#REF!&lt;=(TODAY()-(Data_Val!$L$2*365.25))),0,1),1))</f>
        <v>#REF!</v>
      </c>
      <c r="AI705" s="12" t="e">
        <f>IF(Data!#REF!="","",IF(Data!$G705="",1,IF(ISNUMBER(MATCH(Data!#REF!,Data_Val!$D$2:$D$10,0)),0,1)))</f>
        <v>#REF!</v>
      </c>
      <c r="AJ705" s="17"/>
      <c r="AK705" s="17" t="e">
        <f>IF(Data!#REF!="","",IF(ISNUMBER(MATCH(Data!#REF!,Data_Val!$A$2:$A$3,0)),0,1))</f>
        <v>#REF!</v>
      </c>
      <c r="AL705" s="25" t="e">
        <f ca="1">IF(Data!#REF!="","",IF(ISNUMBER(Data!#REF!),IF(AND(Data!#REF!&gt;(TODAY()-(Data_Val!$L$3*365.25)),Data!#REF!&lt;=(TODAY()-(Data_Val!$L$2*365.25))),0,1),1))</f>
        <v>#REF!</v>
      </c>
      <c r="AM705" s="17" t="e">
        <f>IF(Data!#REF!="","",IF(Data!$G705="",1,IF(ISNUMBER(MATCH(Data!#REF!,Data_Val!$D$2:$D$10,0)),0,1)))</f>
        <v>#REF!</v>
      </c>
      <c r="AN705" s="13"/>
      <c r="AO705" s="28" t="e">
        <f ca="1">IF(Data!#REF!="","",IF(ISNUMBER(Data!#REF!),IF(AND(Data!#REF!&gt;(TODAY()-(Data_Val!$I$3*365.25)),Data!#REF!&lt;=(TODAY()-(Data_Val!$I$2*365.25))),0,1),1))</f>
        <v>#REF!</v>
      </c>
      <c r="AP705" s="13" t="e">
        <f>IF(Data!#REF!="","",IF(Data!$G705="",1,IF(ISNUMBER(MATCH(Data!#REF!,Data_Val!$D$2:$D$10,0)),0,1)))</f>
        <v>#REF!</v>
      </c>
      <c r="AQ705" s="17"/>
      <c r="AR705" s="30" t="e">
        <f ca="1">IF(Data!#REF!="","",IF(ISNUMBER(Data!#REF!),IF(AND(Data!#REF!&gt;(TODAY()-(Data_Val!$I$3*365.25)),Data!#REF!&lt;=(TODAY()-(Data_Val!$I$2*365.25))),0,1),1))</f>
        <v>#REF!</v>
      </c>
      <c r="AS705" s="31" t="e">
        <f>IF(Data!#REF!="","",IF(Data!$G705="",1,IF(ISNUMBER(MATCH(Data!#REF!,Data_Val!$D$2:$D$10,0)),0,1)))</f>
        <v>#REF!</v>
      </c>
      <c r="AT705" s="11"/>
      <c r="AU705" s="11" t="e">
        <f ca="1">IF(Data!#REF!="","",IF(ISNUMBER(Data!#REF!),IF(AND(Data!#REF!&gt;(TODAY()-(Data_Val!$I$3*365.25)),Data!#REF!&lt;=(TODAY()-(Data_Val!$I$2*365.25))),0,1),1))</f>
        <v>#REF!</v>
      </c>
      <c r="AV705" s="11" t="e">
        <f>IF(Data!#REF!="","",IF(Data!$G705="",1,IF(ISNUMBER(MATCH(Data!#REF!,Data_Val!$D$2:$D$10,0)),0,1)))</f>
        <v>#REF!</v>
      </c>
      <c r="AW705" s="12"/>
      <c r="AX705" s="26" t="e">
        <f ca="1">IF(Data!#REF!="","",IF(ISNUMBER(Data!#REF!),IF(AND(Data!#REF!&gt;(TODAY()-(Data_Val!$I$3*365.25)),Data!#REF!&lt;=(TODAY()-(Data_Val!$I$2*365.25))),0,1),1))</f>
        <v>#REF!</v>
      </c>
      <c r="AY705" s="12" t="e">
        <f>IF(Data!#REF!="","",IF(Data!$G705="",1,IF(ISNUMBER(MATCH(Data!#REF!,Data_Val!$D$2:$D$10,0)),0,1)))</f>
        <v>#REF!</v>
      </c>
      <c r="AZ705" s="11"/>
      <c r="BA705" s="19" t="e">
        <f ca="1">IF(Data!#REF!="","",IF(ISNUMBER(Data!#REF!),IF(AND(Data!#REF!&gt;(TODAY()-(Data_Val!$M$3*365.25)),Data!#REF!&lt;=(TODAY()-(Data_Val!$M$2*365.25))),0,1),1))</f>
        <v>#REF!</v>
      </c>
      <c r="BB705" s="11" t="e">
        <f>IF(Data!#REF!="","",IF(Data!$G705="",1,IF(ISNUMBER(MATCH(Data!#REF!,Data_Val!$D$2:$D$10,0)),0,1)))</f>
        <v>#REF!</v>
      </c>
      <c r="BC705" s="12"/>
      <c r="BD705" s="20" t="e">
        <f ca="1">IF(Data!#REF!="","",IF(ISNUMBER(Data!#REF!),IF(AND(Data!#REF!&gt;(TODAY()-(Data_Val!$M$3*365.25)),Data!#REF!&lt;=(TODAY()-(Data_Val!$M$2*365.25))),0,1),1))</f>
        <v>#REF!</v>
      </c>
      <c r="BE705" s="12" t="e">
        <f>IF(Data!#REF!="","",IF(Data!$G705="",1,IF(ISNUMBER(MATCH(Data!#REF!,Data_Val!$D$2:$D$10,0)),0,1)))</f>
        <v>#REF!</v>
      </c>
      <c r="BF705" s="17"/>
      <c r="BG705" s="18" t="e">
        <f ca="1">IF(Data!#REF!="","",IF(ISNUMBER(Data!#REF!),IF(AND(Data!#REF!&gt;(TODAY()-(Data_Val!$M$3*365.25)),Data!#REF!&lt;=(TODAY()-(Data_Val!$M$2*365.25))),0,1),1))</f>
        <v>#REF!</v>
      </c>
      <c r="BH705" s="29" t="e">
        <f>IF(Data!#REF!="","",IF(Data!$G705="",1,IF(ISNUMBER(MATCH(Data!#REF!,Data_Val!$D$2:$D$10,0)),0,1)))</f>
        <v>#REF!</v>
      </c>
      <c r="BI705" s="13"/>
      <c r="BJ705" s="21" t="e">
        <f ca="1">IF(Data!#REF!="","",IF(ISNUMBER(Data!#REF!),IF(AND(Data!#REF!&gt;(TODAY()-(Data_Val!$M$3*365.25)),Data!#REF!&lt;=(TODAY()-(Data_Val!$M$2*365.25))),0,1),1))</f>
        <v>#REF!</v>
      </c>
      <c r="BK705" s="13" t="e">
        <f>IF(Data!#REF!="","",IF(Data!$G705="",1,IF(ISNUMBER(MATCH(Data!#REF!,Data_Val!$D$2:$D$10,0)),0,1)))</f>
        <v>#REF!</v>
      </c>
    </row>
    <row r="706" spans="1:63" x14ac:dyDescent="0.25">
      <c r="A706" s="9" t="str">
        <f>IF(Data!B706="","",IF(COUNTIFS(Data!A$1:'Data'!A706,Data!A706)&lt;=1,0,1))</f>
        <v/>
      </c>
      <c r="B706" s="9"/>
      <c r="C706" s="23" t="str">
        <f>IF(Data!C706="","",(IF(ISNUMBER(MATCH("*@*.?*",Data!C706,0)),0,1)+IF(COUNTIFS(Data!C$1:'Data'!C706,Data!C706)&gt;1,1,0)))</f>
        <v/>
      </c>
      <c r="D706" s="9" t="str">
        <f>IF(Data!B706="","",IF(ISNUMBER(Data!D706),IF(AND(Data!D706&gt;999999999,Data!D706&lt;=9999999999),IF(COUNTIFS(Data!D$1:'Data'!D706,Data!D706)&lt;=1,0,1),1),1))</f>
        <v/>
      </c>
      <c r="E706" s="9" t="str">
        <f>IF(Data!B706="","",IF(ISNUMBER(MATCH(Data!E706,Data_Val!$A$2:$A$3,0)),0,1))</f>
        <v/>
      </c>
      <c r="F706" s="9" t="str">
        <f ca="1">IF(Data!B706="","",IF(ISNUMBER(Data!F706),IF(AND(Data!F706&gt;(TODAY()-(Data_Val!$H$3*365.25)),Data!F706&lt;=(TODAY()-(Data_Val!$H$2*365.25))),0,1),1))</f>
        <v/>
      </c>
      <c r="G706" s="15" t="str">
        <f>IF(Data!B706="","",IF(AND(Data!G706="",Data!H706&lt;&gt;""),1,IF(Data!#REF!&lt;&gt;"",0,IF(ISNUMBER(MATCH(Data!G706,Data_Val!$C$2:$C$5,0)),0,1))))</f>
        <v/>
      </c>
      <c r="H706" s="15" t="str">
        <f>IF(Data!B706="","",IF(AND(Data!G706&lt;&gt;"",Data!H706=""),1,IF(Data!#REF!&lt;&gt;"",0,IF(Data!G706="",1,IF(ISNUMBER(MATCH(Data!H706,Data_Val!$D$2:$D$35,0)),0,1)))))</f>
        <v/>
      </c>
      <c r="I706" s="15" t="str">
        <f>IF(Data!B706="","",IF(Data!G706&lt;&gt;"",0,IF(ISNUMBER(MATCH(Data!#REF!,Data_Val!$E$2:$E$12,0)),0,1)))</f>
        <v/>
      </c>
      <c r="J706" s="16" t="e">
        <f>IF(OR(Data!B706="",Data!#REF!=""),"",IF(Data!#REF!="",1,0))</f>
        <v>#REF!</v>
      </c>
      <c r="K706" s="16" t="e">
        <f>IF(OR(Data!B706="",Data!#REF!=""),"",IF(Data!#REF!="",1,0))</f>
        <v>#REF!</v>
      </c>
      <c r="L706" s="16" t="e">
        <f>IF(OR(Data!B706="",Data!#REF!=""),"",IF(ISNUMBER(Data!#REF!),IF(AND(Data!#REF!&gt;Data_Val!$G$2,Data!#REF!&lt;=Data_Val!$G$3),0,1),1))</f>
        <v>#REF!</v>
      </c>
      <c r="M706" s="9" t="e">
        <f>IF(OR(Data!B706="",Data!#REF!=""),"",IF(ISNUMBER(MATCH(Data!#REF!,Data_Val!$F$1:$F$38,0)),0,1))</f>
        <v>#REF!</v>
      </c>
      <c r="N706" s="9" t="e">
        <f>IF(OR(Data!B706="",Data!#REF!=""),"",IF(Data!#REF!="",1,0))</f>
        <v>#REF!</v>
      </c>
      <c r="O706" s="17" t="e">
        <f>IF(Data!#REF!="","",IF(Data!#REF!="",1,0))</f>
        <v>#REF!</v>
      </c>
      <c r="P706" s="17" t="e">
        <f>IF(Data!#REF!="","",IF(ISNUMBER(MATCH(Data!#REF!,Data_Val!$A$2:$A$3,0)),0,1))</f>
        <v>#REF!</v>
      </c>
      <c r="Q706" s="25" t="e">
        <f ca="1">IF(Data!#REF!="","",IF(ISNUMBER(Data!#REF!),IF(AND(Data!#REF!&gt;(TODAY()-(Data_Val!$J$3*365.25)),Data!#REF!&lt;=(TODAY()-(Data_Val!$J$2*365.25))),0,1),1))</f>
        <v>#REF!</v>
      </c>
      <c r="R706" s="17" t="e">
        <f>IF(Data!#REF!="","",IF(ISNUMBER(MATCH(Data!#REF!,Data_Val!$B$2:$B$15,0)),0,1))</f>
        <v>#REF!</v>
      </c>
      <c r="S706" s="11" t="str">
        <f>IF(Data!G706="","",IF(Data!G706=Data_Val!$C$2,IF(Data!M706="",0,1),0))</f>
        <v/>
      </c>
      <c r="T706" s="11" t="str">
        <f>IF(Data!M706="","",IF(ISNUMBER(MATCH(Data!N706,Data_Val!$A$2:$A$3,0)),0,1))</f>
        <v/>
      </c>
      <c r="U706" s="11" t="str">
        <f ca="1">IF(Data!M706="","",IF(ISNUMBER(Data!O706),IF(AND(Data!O706&gt;(TODAY()-(Data_Val!$K$3*365.25)),Data!O706&lt;=(TODAY()-(Data_Val!$K$2*365.25))),0,1),1))</f>
        <v/>
      </c>
      <c r="V706" s="12" t="str">
        <f>IF(Data!G706="","",IF(Data!G706=Data_Val!$C$2,IF(Data!P706="",0,1),0))</f>
        <v/>
      </c>
      <c r="W706" s="12" t="str">
        <f>IF(Data!P706="","",IF(ISNUMBER(MATCH(Data!Q706,Data_Val!$A$2:$A$3,0)),0,1))</f>
        <v/>
      </c>
      <c r="X706" s="26" t="str">
        <f ca="1">IF(Data!P706="","",IF(ISNUMBER(Data!R706),IF(AND(Data!R706&gt;(TODAY()-(Data_Val!$L$3*365.25)),Data!R706&lt;=(TODAY()-(Data_Val!$L$2*365.25))),0,1),1))</f>
        <v/>
      </c>
      <c r="Y706" s="13" t="str">
        <f>IF(Data!$G706="","",IF(Data!$G706=Data_Val!$C$2,IF(Data!S706="",0,1),0))</f>
        <v/>
      </c>
      <c r="Z706" s="13" t="str">
        <f>IF(Data!S706="","",IF(ISNUMBER(MATCH(Data!T706,Data_Val!$A$2:$A$3,0)),0,1))</f>
        <v/>
      </c>
      <c r="AA706" s="28" t="str">
        <f ca="1">IF(Data!S706="","",IF(ISNUMBER(Data!U706),IF(AND(Data!U706&gt;(TODAY()-(Data_Val!$L$3*365.25)),Data!U706&lt;=(TODAY()-(Data_Val!$L$2*365.25))),0,1),1))</f>
        <v/>
      </c>
      <c r="AB706" s="11"/>
      <c r="AC706" s="11" t="e">
        <f>IF(Data!#REF!="","",IF(ISNUMBER(MATCH(Data!#REF!,Data_Val!$A$2:$A$3,0)),0,1))</f>
        <v>#REF!</v>
      </c>
      <c r="AD706" s="11" t="e">
        <f ca="1">IF(Data!#REF!="","",IF(ISNUMBER(Data!#REF!),IF(AND(Data!#REF!&gt;(TODAY()-(Data_Val!$L$3*365.25)),Data!#REF!&lt;=(TODAY()-(Data_Val!$L$2*365.25))),0,1),1))</f>
        <v>#REF!</v>
      </c>
      <c r="AE706" s="11" t="e">
        <f>IF(Data!#REF!="","",IF(Data!$G706="",1,IF(ISNUMBER(MATCH(Data!#REF!,Data_Val!$D$2:$D$10,0)),0,1)))</f>
        <v>#REF!</v>
      </c>
      <c r="AF706" s="12"/>
      <c r="AG706" s="12" t="e">
        <f>IF(Data!#REF!="","",IF(ISNUMBER(MATCH(Data!#REF!,Data_Val!$A$2:$A$3,0)),0,1))</f>
        <v>#REF!</v>
      </c>
      <c r="AH706" s="26" t="e">
        <f ca="1">IF(Data!#REF!="","",IF(ISNUMBER(Data!#REF!),IF(AND(Data!#REF!&gt;(TODAY()-(Data_Val!$L$3*365.25)),Data!#REF!&lt;=(TODAY()-(Data_Val!$L$2*365.25))),0,1),1))</f>
        <v>#REF!</v>
      </c>
      <c r="AI706" s="12" t="e">
        <f>IF(Data!#REF!="","",IF(Data!$G706="",1,IF(ISNUMBER(MATCH(Data!#REF!,Data_Val!$D$2:$D$10,0)),0,1)))</f>
        <v>#REF!</v>
      </c>
      <c r="AJ706" s="17"/>
      <c r="AK706" s="17" t="e">
        <f>IF(Data!#REF!="","",IF(ISNUMBER(MATCH(Data!#REF!,Data_Val!$A$2:$A$3,0)),0,1))</f>
        <v>#REF!</v>
      </c>
      <c r="AL706" s="25" t="e">
        <f ca="1">IF(Data!#REF!="","",IF(ISNUMBER(Data!#REF!),IF(AND(Data!#REF!&gt;(TODAY()-(Data_Val!$L$3*365.25)),Data!#REF!&lt;=(TODAY()-(Data_Val!$L$2*365.25))),0,1),1))</f>
        <v>#REF!</v>
      </c>
      <c r="AM706" s="17" t="e">
        <f>IF(Data!#REF!="","",IF(Data!$G706="",1,IF(ISNUMBER(MATCH(Data!#REF!,Data_Val!$D$2:$D$10,0)),0,1)))</f>
        <v>#REF!</v>
      </c>
      <c r="AN706" s="13"/>
      <c r="AO706" s="28" t="e">
        <f ca="1">IF(Data!#REF!="","",IF(ISNUMBER(Data!#REF!),IF(AND(Data!#REF!&gt;(TODAY()-(Data_Val!$I$3*365.25)),Data!#REF!&lt;=(TODAY()-(Data_Val!$I$2*365.25))),0,1),1))</f>
        <v>#REF!</v>
      </c>
      <c r="AP706" s="13" t="e">
        <f>IF(Data!#REF!="","",IF(Data!$G706="",1,IF(ISNUMBER(MATCH(Data!#REF!,Data_Val!$D$2:$D$10,0)),0,1)))</f>
        <v>#REF!</v>
      </c>
      <c r="AQ706" s="17"/>
      <c r="AR706" s="30" t="e">
        <f ca="1">IF(Data!#REF!="","",IF(ISNUMBER(Data!#REF!),IF(AND(Data!#REF!&gt;(TODAY()-(Data_Val!$I$3*365.25)),Data!#REF!&lt;=(TODAY()-(Data_Val!$I$2*365.25))),0,1),1))</f>
        <v>#REF!</v>
      </c>
      <c r="AS706" s="31" t="e">
        <f>IF(Data!#REF!="","",IF(Data!$G706="",1,IF(ISNUMBER(MATCH(Data!#REF!,Data_Val!$D$2:$D$10,0)),0,1)))</f>
        <v>#REF!</v>
      </c>
      <c r="AT706" s="11"/>
      <c r="AU706" s="11" t="e">
        <f ca="1">IF(Data!#REF!="","",IF(ISNUMBER(Data!#REF!),IF(AND(Data!#REF!&gt;(TODAY()-(Data_Val!$I$3*365.25)),Data!#REF!&lt;=(TODAY()-(Data_Val!$I$2*365.25))),0,1),1))</f>
        <v>#REF!</v>
      </c>
      <c r="AV706" s="11" t="e">
        <f>IF(Data!#REF!="","",IF(Data!$G706="",1,IF(ISNUMBER(MATCH(Data!#REF!,Data_Val!$D$2:$D$10,0)),0,1)))</f>
        <v>#REF!</v>
      </c>
      <c r="AW706" s="12"/>
      <c r="AX706" s="26" t="e">
        <f ca="1">IF(Data!#REF!="","",IF(ISNUMBER(Data!#REF!),IF(AND(Data!#REF!&gt;(TODAY()-(Data_Val!$I$3*365.25)),Data!#REF!&lt;=(TODAY()-(Data_Val!$I$2*365.25))),0,1),1))</f>
        <v>#REF!</v>
      </c>
      <c r="AY706" s="12" t="e">
        <f>IF(Data!#REF!="","",IF(Data!$G706="",1,IF(ISNUMBER(MATCH(Data!#REF!,Data_Val!$D$2:$D$10,0)),0,1)))</f>
        <v>#REF!</v>
      </c>
      <c r="AZ706" s="11"/>
      <c r="BA706" s="19" t="e">
        <f ca="1">IF(Data!#REF!="","",IF(ISNUMBER(Data!#REF!),IF(AND(Data!#REF!&gt;(TODAY()-(Data_Val!$M$3*365.25)),Data!#REF!&lt;=(TODAY()-(Data_Val!$M$2*365.25))),0,1),1))</f>
        <v>#REF!</v>
      </c>
      <c r="BB706" s="11" t="e">
        <f>IF(Data!#REF!="","",IF(Data!$G706="",1,IF(ISNUMBER(MATCH(Data!#REF!,Data_Val!$D$2:$D$10,0)),0,1)))</f>
        <v>#REF!</v>
      </c>
      <c r="BC706" s="12"/>
      <c r="BD706" s="20" t="e">
        <f ca="1">IF(Data!#REF!="","",IF(ISNUMBER(Data!#REF!),IF(AND(Data!#REF!&gt;(TODAY()-(Data_Val!$M$3*365.25)),Data!#REF!&lt;=(TODAY()-(Data_Val!$M$2*365.25))),0,1),1))</f>
        <v>#REF!</v>
      </c>
      <c r="BE706" s="12" t="e">
        <f>IF(Data!#REF!="","",IF(Data!$G706="",1,IF(ISNUMBER(MATCH(Data!#REF!,Data_Val!$D$2:$D$10,0)),0,1)))</f>
        <v>#REF!</v>
      </c>
      <c r="BF706" s="17"/>
      <c r="BG706" s="18" t="e">
        <f ca="1">IF(Data!#REF!="","",IF(ISNUMBER(Data!#REF!),IF(AND(Data!#REF!&gt;(TODAY()-(Data_Val!$M$3*365.25)),Data!#REF!&lt;=(TODAY()-(Data_Val!$M$2*365.25))),0,1),1))</f>
        <v>#REF!</v>
      </c>
      <c r="BH706" s="29" t="e">
        <f>IF(Data!#REF!="","",IF(Data!$G706="",1,IF(ISNUMBER(MATCH(Data!#REF!,Data_Val!$D$2:$D$10,0)),0,1)))</f>
        <v>#REF!</v>
      </c>
      <c r="BI706" s="13"/>
      <c r="BJ706" s="21" t="e">
        <f ca="1">IF(Data!#REF!="","",IF(ISNUMBER(Data!#REF!),IF(AND(Data!#REF!&gt;(TODAY()-(Data_Val!$M$3*365.25)),Data!#REF!&lt;=(TODAY()-(Data_Val!$M$2*365.25))),0,1),1))</f>
        <v>#REF!</v>
      </c>
      <c r="BK706" s="13" t="e">
        <f>IF(Data!#REF!="","",IF(Data!$G706="",1,IF(ISNUMBER(MATCH(Data!#REF!,Data_Val!$D$2:$D$10,0)),0,1)))</f>
        <v>#REF!</v>
      </c>
    </row>
    <row r="707" spans="1:63" x14ac:dyDescent="0.25">
      <c r="A707" s="9" t="str">
        <f>IF(Data!B707="","",IF(COUNTIFS(Data!A$1:'Data'!A707,Data!A707)&lt;=1,0,1))</f>
        <v/>
      </c>
      <c r="B707" s="9"/>
      <c r="C707" s="23" t="str">
        <f>IF(Data!C707="","",(IF(ISNUMBER(MATCH("*@*.?*",Data!C707,0)),0,1)+IF(COUNTIFS(Data!C$1:'Data'!C707,Data!C707)&gt;1,1,0)))</f>
        <v/>
      </c>
      <c r="D707" s="9" t="str">
        <f>IF(Data!B707="","",IF(ISNUMBER(Data!D707),IF(AND(Data!D707&gt;999999999,Data!D707&lt;=9999999999),IF(COUNTIFS(Data!D$1:'Data'!D707,Data!D707)&lt;=1,0,1),1),1))</f>
        <v/>
      </c>
      <c r="E707" s="9" t="str">
        <f>IF(Data!B707="","",IF(ISNUMBER(MATCH(Data!E707,Data_Val!$A$2:$A$3,0)),0,1))</f>
        <v/>
      </c>
      <c r="F707" s="9" t="str">
        <f ca="1">IF(Data!B707="","",IF(ISNUMBER(Data!F707),IF(AND(Data!F707&gt;(TODAY()-(Data_Val!$H$3*365.25)),Data!F707&lt;=(TODAY()-(Data_Val!$H$2*365.25))),0,1),1))</f>
        <v/>
      </c>
      <c r="G707" s="15" t="str">
        <f>IF(Data!B707="","",IF(AND(Data!G707="",Data!H707&lt;&gt;""),1,IF(Data!#REF!&lt;&gt;"",0,IF(ISNUMBER(MATCH(Data!G707,Data_Val!$C$2:$C$5,0)),0,1))))</f>
        <v/>
      </c>
      <c r="H707" s="15" t="str">
        <f>IF(Data!B707="","",IF(AND(Data!G707&lt;&gt;"",Data!H707=""),1,IF(Data!#REF!&lt;&gt;"",0,IF(Data!G707="",1,IF(ISNUMBER(MATCH(Data!H707,Data_Val!$D$2:$D$35,0)),0,1)))))</f>
        <v/>
      </c>
      <c r="I707" s="15" t="str">
        <f>IF(Data!B707="","",IF(Data!G707&lt;&gt;"",0,IF(ISNUMBER(MATCH(Data!#REF!,Data_Val!$E$2:$E$12,0)),0,1)))</f>
        <v/>
      </c>
      <c r="J707" s="16" t="e">
        <f>IF(OR(Data!B707="",Data!#REF!=""),"",IF(Data!#REF!="",1,0))</f>
        <v>#REF!</v>
      </c>
      <c r="K707" s="16" t="e">
        <f>IF(OR(Data!B707="",Data!#REF!=""),"",IF(Data!#REF!="",1,0))</f>
        <v>#REF!</v>
      </c>
      <c r="L707" s="16" t="e">
        <f>IF(OR(Data!B707="",Data!#REF!=""),"",IF(ISNUMBER(Data!#REF!),IF(AND(Data!#REF!&gt;Data_Val!$G$2,Data!#REF!&lt;=Data_Val!$G$3),0,1),1))</f>
        <v>#REF!</v>
      </c>
      <c r="M707" s="9" t="e">
        <f>IF(OR(Data!B707="",Data!#REF!=""),"",IF(ISNUMBER(MATCH(Data!#REF!,Data_Val!$F$1:$F$38,0)),0,1))</f>
        <v>#REF!</v>
      </c>
      <c r="N707" s="9" t="e">
        <f>IF(OR(Data!B707="",Data!#REF!=""),"",IF(Data!#REF!="",1,0))</f>
        <v>#REF!</v>
      </c>
      <c r="O707" s="17" t="e">
        <f>IF(Data!#REF!="","",IF(Data!#REF!="",1,0))</f>
        <v>#REF!</v>
      </c>
      <c r="P707" s="17" t="e">
        <f>IF(Data!#REF!="","",IF(ISNUMBER(MATCH(Data!#REF!,Data_Val!$A$2:$A$3,0)),0,1))</f>
        <v>#REF!</v>
      </c>
      <c r="Q707" s="25" t="e">
        <f ca="1">IF(Data!#REF!="","",IF(ISNUMBER(Data!#REF!),IF(AND(Data!#REF!&gt;(TODAY()-(Data_Val!$J$3*365.25)),Data!#REF!&lt;=(TODAY()-(Data_Val!$J$2*365.25))),0,1),1))</f>
        <v>#REF!</v>
      </c>
      <c r="R707" s="17" t="e">
        <f>IF(Data!#REF!="","",IF(ISNUMBER(MATCH(Data!#REF!,Data_Val!$B$2:$B$15,0)),0,1))</f>
        <v>#REF!</v>
      </c>
      <c r="S707" s="11" t="str">
        <f>IF(Data!G707="","",IF(Data!G707=Data_Val!$C$2,IF(Data!M707="",0,1),0))</f>
        <v/>
      </c>
      <c r="T707" s="11" t="str">
        <f>IF(Data!M707="","",IF(ISNUMBER(MATCH(Data!N707,Data_Val!$A$2:$A$3,0)),0,1))</f>
        <v/>
      </c>
      <c r="U707" s="11" t="str">
        <f ca="1">IF(Data!M707="","",IF(ISNUMBER(Data!O707),IF(AND(Data!O707&gt;(TODAY()-(Data_Val!$K$3*365.25)),Data!O707&lt;=(TODAY()-(Data_Val!$K$2*365.25))),0,1),1))</f>
        <v/>
      </c>
      <c r="V707" s="12" t="str">
        <f>IF(Data!G707="","",IF(Data!G707=Data_Val!$C$2,IF(Data!P707="",0,1),0))</f>
        <v/>
      </c>
      <c r="W707" s="12" t="str">
        <f>IF(Data!P707="","",IF(ISNUMBER(MATCH(Data!Q707,Data_Val!$A$2:$A$3,0)),0,1))</f>
        <v/>
      </c>
      <c r="X707" s="26" t="str">
        <f ca="1">IF(Data!P707="","",IF(ISNUMBER(Data!R707),IF(AND(Data!R707&gt;(TODAY()-(Data_Val!$L$3*365.25)),Data!R707&lt;=(TODAY()-(Data_Val!$L$2*365.25))),0,1),1))</f>
        <v/>
      </c>
      <c r="Y707" s="13" t="str">
        <f>IF(Data!$G707="","",IF(Data!$G707=Data_Val!$C$2,IF(Data!S707="",0,1),0))</f>
        <v/>
      </c>
      <c r="Z707" s="13" t="str">
        <f>IF(Data!S707="","",IF(ISNUMBER(MATCH(Data!T707,Data_Val!$A$2:$A$3,0)),0,1))</f>
        <v/>
      </c>
      <c r="AA707" s="28" t="str">
        <f ca="1">IF(Data!S707="","",IF(ISNUMBER(Data!U707),IF(AND(Data!U707&gt;(TODAY()-(Data_Val!$L$3*365.25)),Data!U707&lt;=(TODAY()-(Data_Val!$L$2*365.25))),0,1),1))</f>
        <v/>
      </c>
      <c r="AB707" s="11"/>
      <c r="AC707" s="11" t="e">
        <f>IF(Data!#REF!="","",IF(ISNUMBER(MATCH(Data!#REF!,Data_Val!$A$2:$A$3,0)),0,1))</f>
        <v>#REF!</v>
      </c>
      <c r="AD707" s="11" t="e">
        <f ca="1">IF(Data!#REF!="","",IF(ISNUMBER(Data!#REF!),IF(AND(Data!#REF!&gt;(TODAY()-(Data_Val!$L$3*365.25)),Data!#REF!&lt;=(TODAY()-(Data_Val!$L$2*365.25))),0,1),1))</f>
        <v>#REF!</v>
      </c>
      <c r="AE707" s="11" t="e">
        <f>IF(Data!#REF!="","",IF(Data!$G707="",1,IF(ISNUMBER(MATCH(Data!#REF!,Data_Val!$D$2:$D$10,0)),0,1)))</f>
        <v>#REF!</v>
      </c>
      <c r="AF707" s="12"/>
      <c r="AG707" s="12" t="e">
        <f>IF(Data!#REF!="","",IF(ISNUMBER(MATCH(Data!#REF!,Data_Val!$A$2:$A$3,0)),0,1))</f>
        <v>#REF!</v>
      </c>
      <c r="AH707" s="26" t="e">
        <f ca="1">IF(Data!#REF!="","",IF(ISNUMBER(Data!#REF!),IF(AND(Data!#REF!&gt;(TODAY()-(Data_Val!$L$3*365.25)),Data!#REF!&lt;=(TODAY()-(Data_Val!$L$2*365.25))),0,1),1))</f>
        <v>#REF!</v>
      </c>
      <c r="AI707" s="12" t="e">
        <f>IF(Data!#REF!="","",IF(Data!$G707="",1,IF(ISNUMBER(MATCH(Data!#REF!,Data_Val!$D$2:$D$10,0)),0,1)))</f>
        <v>#REF!</v>
      </c>
      <c r="AJ707" s="17"/>
      <c r="AK707" s="17" t="e">
        <f>IF(Data!#REF!="","",IF(ISNUMBER(MATCH(Data!#REF!,Data_Val!$A$2:$A$3,0)),0,1))</f>
        <v>#REF!</v>
      </c>
      <c r="AL707" s="25" t="e">
        <f ca="1">IF(Data!#REF!="","",IF(ISNUMBER(Data!#REF!),IF(AND(Data!#REF!&gt;(TODAY()-(Data_Val!$L$3*365.25)),Data!#REF!&lt;=(TODAY()-(Data_Val!$L$2*365.25))),0,1),1))</f>
        <v>#REF!</v>
      </c>
      <c r="AM707" s="17" t="e">
        <f>IF(Data!#REF!="","",IF(Data!$G707="",1,IF(ISNUMBER(MATCH(Data!#REF!,Data_Val!$D$2:$D$10,0)),0,1)))</f>
        <v>#REF!</v>
      </c>
      <c r="AN707" s="13"/>
      <c r="AO707" s="28" t="e">
        <f ca="1">IF(Data!#REF!="","",IF(ISNUMBER(Data!#REF!),IF(AND(Data!#REF!&gt;(TODAY()-(Data_Val!$I$3*365.25)),Data!#REF!&lt;=(TODAY()-(Data_Val!$I$2*365.25))),0,1),1))</f>
        <v>#REF!</v>
      </c>
      <c r="AP707" s="13" t="e">
        <f>IF(Data!#REF!="","",IF(Data!$G707="",1,IF(ISNUMBER(MATCH(Data!#REF!,Data_Val!$D$2:$D$10,0)),0,1)))</f>
        <v>#REF!</v>
      </c>
      <c r="AQ707" s="17"/>
      <c r="AR707" s="30" t="e">
        <f ca="1">IF(Data!#REF!="","",IF(ISNUMBER(Data!#REF!),IF(AND(Data!#REF!&gt;(TODAY()-(Data_Val!$I$3*365.25)),Data!#REF!&lt;=(TODAY()-(Data_Val!$I$2*365.25))),0,1),1))</f>
        <v>#REF!</v>
      </c>
      <c r="AS707" s="31" t="e">
        <f>IF(Data!#REF!="","",IF(Data!$G707="",1,IF(ISNUMBER(MATCH(Data!#REF!,Data_Val!$D$2:$D$10,0)),0,1)))</f>
        <v>#REF!</v>
      </c>
      <c r="AT707" s="11"/>
      <c r="AU707" s="11" t="e">
        <f ca="1">IF(Data!#REF!="","",IF(ISNUMBER(Data!#REF!),IF(AND(Data!#REF!&gt;(TODAY()-(Data_Val!$I$3*365.25)),Data!#REF!&lt;=(TODAY()-(Data_Val!$I$2*365.25))),0,1),1))</f>
        <v>#REF!</v>
      </c>
      <c r="AV707" s="11" t="e">
        <f>IF(Data!#REF!="","",IF(Data!$G707="",1,IF(ISNUMBER(MATCH(Data!#REF!,Data_Val!$D$2:$D$10,0)),0,1)))</f>
        <v>#REF!</v>
      </c>
      <c r="AW707" s="12"/>
      <c r="AX707" s="26" t="e">
        <f ca="1">IF(Data!#REF!="","",IF(ISNUMBER(Data!#REF!),IF(AND(Data!#REF!&gt;(TODAY()-(Data_Val!$I$3*365.25)),Data!#REF!&lt;=(TODAY()-(Data_Val!$I$2*365.25))),0,1),1))</f>
        <v>#REF!</v>
      </c>
      <c r="AY707" s="12" t="e">
        <f>IF(Data!#REF!="","",IF(Data!$G707="",1,IF(ISNUMBER(MATCH(Data!#REF!,Data_Val!$D$2:$D$10,0)),0,1)))</f>
        <v>#REF!</v>
      </c>
      <c r="AZ707" s="11"/>
      <c r="BA707" s="19" t="e">
        <f ca="1">IF(Data!#REF!="","",IF(ISNUMBER(Data!#REF!),IF(AND(Data!#REF!&gt;(TODAY()-(Data_Val!$M$3*365.25)),Data!#REF!&lt;=(TODAY()-(Data_Val!$M$2*365.25))),0,1),1))</f>
        <v>#REF!</v>
      </c>
      <c r="BB707" s="11" t="e">
        <f>IF(Data!#REF!="","",IF(Data!$G707="",1,IF(ISNUMBER(MATCH(Data!#REF!,Data_Val!$D$2:$D$10,0)),0,1)))</f>
        <v>#REF!</v>
      </c>
      <c r="BC707" s="12"/>
      <c r="BD707" s="20" t="e">
        <f ca="1">IF(Data!#REF!="","",IF(ISNUMBER(Data!#REF!),IF(AND(Data!#REF!&gt;(TODAY()-(Data_Val!$M$3*365.25)),Data!#REF!&lt;=(TODAY()-(Data_Val!$M$2*365.25))),0,1),1))</f>
        <v>#REF!</v>
      </c>
      <c r="BE707" s="12" t="e">
        <f>IF(Data!#REF!="","",IF(Data!$G707="",1,IF(ISNUMBER(MATCH(Data!#REF!,Data_Val!$D$2:$D$10,0)),0,1)))</f>
        <v>#REF!</v>
      </c>
      <c r="BF707" s="17"/>
      <c r="BG707" s="18" t="e">
        <f ca="1">IF(Data!#REF!="","",IF(ISNUMBER(Data!#REF!),IF(AND(Data!#REF!&gt;(TODAY()-(Data_Val!$M$3*365.25)),Data!#REF!&lt;=(TODAY()-(Data_Val!$M$2*365.25))),0,1),1))</f>
        <v>#REF!</v>
      </c>
      <c r="BH707" s="29" t="e">
        <f>IF(Data!#REF!="","",IF(Data!$G707="",1,IF(ISNUMBER(MATCH(Data!#REF!,Data_Val!$D$2:$D$10,0)),0,1)))</f>
        <v>#REF!</v>
      </c>
      <c r="BI707" s="13"/>
      <c r="BJ707" s="21" t="e">
        <f ca="1">IF(Data!#REF!="","",IF(ISNUMBER(Data!#REF!),IF(AND(Data!#REF!&gt;(TODAY()-(Data_Val!$M$3*365.25)),Data!#REF!&lt;=(TODAY()-(Data_Val!$M$2*365.25))),0,1),1))</f>
        <v>#REF!</v>
      </c>
      <c r="BK707" s="13" t="e">
        <f>IF(Data!#REF!="","",IF(Data!$G707="",1,IF(ISNUMBER(MATCH(Data!#REF!,Data_Val!$D$2:$D$10,0)),0,1)))</f>
        <v>#REF!</v>
      </c>
    </row>
    <row r="708" spans="1:63" x14ac:dyDescent="0.25">
      <c r="A708" s="9" t="str">
        <f>IF(Data!B708="","",IF(COUNTIFS(Data!A$1:'Data'!A708,Data!A708)&lt;=1,0,1))</f>
        <v/>
      </c>
      <c r="B708" s="9"/>
      <c r="C708" s="23" t="str">
        <f>IF(Data!C708="","",(IF(ISNUMBER(MATCH("*@*.?*",Data!C708,0)),0,1)+IF(COUNTIFS(Data!C$1:'Data'!C708,Data!C708)&gt;1,1,0)))</f>
        <v/>
      </c>
      <c r="D708" s="9" t="str">
        <f>IF(Data!B708="","",IF(ISNUMBER(Data!D708),IF(AND(Data!D708&gt;999999999,Data!D708&lt;=9999999999),IF(COUNTIFS(Data!D$1:'Data'!D708,Data!D708)&lt;=1,0,1),1),1))</f>
        <v/>
      </c>
      <c r="E708" s="9" t="str">
        <f>IF(Data!B708="","",IF(ISNUMBER(MATCH(Data!E708,Data_Val!$A$2:$A$3,0)),0,1))</f>
        <v/>
      </c>
      <c r="F708" s="9" t="str">
        <f ca="1">IF(Data!B708="","",IF(ISNUMBER(Data!F708),IF(AND(Data!F708&gt;(TODAY()-(Data_Val!$H$3*365.25)),Data!F708&lt;=(TODAY()-(Data_Val!$H$2*365.25))),0,1),1))</f>
        <v/>
      </c>
      <c r="G708" s="15" t="str">
        <f>IF(Data!B708="","",IF(AND(Data!G708="",Data!H708&lt;&gt;""),1,IF(Data!#REF!&lt;&gt;"",0,IF(ISNUMBER(MATCH(Data!G708,Data_Val!$C$2:$C$5,0)),0,1))))</f>
        <v/>
      </c>
      <c r="H708" s="15" t="str">
        <f>IF(Data!B708="","",IF(AND(Data!G708&lt;&gt;"",Data!H708=""),1,IF(Data!#REF!&lt;&gt;"",0,IF(Data!G708="",1,IF(ISNUMBER(MATCH(Data!H708,Data_Val!$D$2:$D$35,0)),0,1)))))</f>
        <v/>
      </c>
      <c r="I708" s="15" t="str">
        <f>IF(Data!B708="","",IF(Data!G708&lt;&gt;"",0,IF(ISNUMBER(MATCH(Data!#REF!,Data_Val!$E$2:$E$12,0)),0,1)))</f>
        <v/>
      </c>
      <c r="J708" s="16" t="e">
        <f>IF(OR(Data!B708="",Data!#REF!=""),"",IF(Data!#REF!="",1,0))</f>
        <v>#REF!</v>
      </c>
      <c r="K708" s="16" t="e">
        <f>IF(OR(Data!B708="",Data!#REF!=""),"",IF(Data!#REF!="",1,0))</f>
        <v>#REF!</v>
      </c>
      <c r="L708" s="16" t="e">
        <f>IF(OR(Data!B708="",Data!#REF!=""),"",IF(ISNUMBER(Data!#REF!),IF(AND(Data!#REF!&gt;Data_Val!$G$2,Data!#REF!&lt;=Data_Val!$G$3),0,1),1))</f>
        <v>#REF!</v>
      </c>
      <c r="M708" s="9" t="e">
        <f>IF(OR(Data!B708="",Data!#REF!=""),"",IF(ISNUMBER(MATCH(Data!#REF!,Data_Val!$F$1:$F$38,0)),0,1))</f>
        <v>#REF!</v>
      </c>
      <c r="N708" s="9" t="e">
        <f>IF(OR(Data!B708="",Data!#REF!=""),"",IF(Data!#REF!="",1,0))</f>
        <v>#REF!</v>
      </c>
      <c r="O708" s="17" t="e">
        <f>IF(Data!#REF!="","",IF(Data!#REF!="",1,0))</f>
        <v>#REF!</v>
      </c>
      <c r="P708" s="17" t="e">
        <f>IF(Data!#REF!="","",IF(ISNUMBER(MATCH(Data!#REF!,Data_Val!$A$2:$A$3,0)),0,1))</f>
        <v>#REF!</v>
      </c>
      <c r="Q708" s="25" t="e">
        <f ca="1">IF(Data!#REF!="","",IF(ISNUMBER(Data!#REF!),IF(AND(Data!#REF!&gt;(TODAY()-(Data_Val!$J$3*365.25)),Data!#REF!&lt;=(TODAY()-(Data_Val!$J$2*365.25))),0,1),1))</f>
        <v>#REF!</v>
      </c>
      <c r="R708" s="17" t="e">
        <f>IF(Data!#REF!="","",IF(ISNUMBER(MATCH(Data!#REF!,Data_Val!$B$2:$B$15,0)),0,1))</f>
        <v>#REF!</v>
      </c>
      <c r="S708" s="11" t="str">
        <f>IF(Data!G708="","",IF(Data!G708=Data_Val!$C$2,IF(Data!M708="",0,1),0))</f>
        <v/>
      </c>
      <c r="T708" s="11" t="str">
        <f>IF(Data!M708="","",IF(ISNUMBER(MATCH(Data!N708,Data_Val!$A$2:$A$3,0)),0,1))</f>
        <v/>
      </c>
      <c r="U708" s="11" t="str">
        <f ca="1">IF(Data!M708="","",IF(ISNUMBER(Data!O708),IF(AND(Data!O708&gt;(TODAY()-(Data_Val!$K$3*365.25)),Data!O708&lt;=(TODAY()-(Data_Val!$K$2*365.25))),0,1),1))</f>
        <v/>
      </c>
      <c r="V708" s="12" t="str">
        <f>IF(Data!G708="","",IF(Data!G708=Data_Val!$C$2,IF(Data!P708="",0,1),0))</f>
        <v/>
      </c>
      <c r="W708" s="12" t="str">
        <f>IF(Data!P708="","",IF(ISNUMBER(MATCH(Data!Q708,Data_Val!$A$2:$A$3,0)),0,1))</f>
        <v/>
      </c>
      <c r="X708" s="26" t="str">
        <f ca="1">IF(Data!P708="","",IF(ISNUMBER(Data!R708),IF(AND(Data!R708&gt;(TODAY()-(Data_Val!$L$3*365.25)),Data!R708&lt;=(TODAY()-(Data_Val!$L$2*365.25))),0,1),1))</f>
        <v/>
      </c>
      <c r="Y708" s="13" t="str">
        <f>IF(Data!$G708="","",IF(Data!$G708=Data_Val!$C$2,IF(Data!S708="",0,1),0))</f>
        <v/>
      </c>
      <c r="Z708" s="13" t="str">
        <f>IF(Data!S708="","",IF(ISNUMBER(MATCH(Data!T708,Data_Val!$A$2:$A$3,0)),0,1))</f>
        <v/>
      </c>
      <c r="AA708" s="28" t="str">
        <f ca="1">IF(Data!S708="","",IF(ISNUMBER(Data!U708),IF(AND(Data!U708&gt;(TODAY()-(Data_Val!$L$3*365.25)),Data!U708&lt;=(TODAY()-(Data_Val!$L$2*365.25))),0,1),1))</f>
        <v/>
      </c>
      <c r="AB708" s="11"/>
      <c r="AC708" s="11" t="e">
        <f>IF(Data!#REF!="","",IF(ISNUMBER(MATCH(Data!#REF!,Data_Val!$A$2:$A$3,0)),0,1))</f>
        <v>#REF!</v>
      </c>
      <c r="AD708" s="11" t="e">
        <f ca="1">IF(Data!#REF!="","",IF(ISNUMBER(Data!#REF!),IF(AND(Data!#REF!&gt;(TODAY()-(Data_Val!$L$3*365.25)),Data!#REF!&lt;=(TODAY()-(Data_Val!$L$2*365.25))),0,1),1))</f>
        <v>#REF!</v>
      </c>
      <c r="AE708" s="11" t="e">
        <f>IF(Data!#REF!="","",IF(Data!$G708="",1,IF(ISNUMBER(MATCH(Data!#REF!,Data_Val!$D$2:$D$10,0)),0,1)))</f>
        <v>#REF!</v>
      </c>
      <c r="AF708" s="12"/>
      <c r="AG708" s="12" t="e">
        <f>IF(Data!#REF!="","",IF(ISNUMBER(MATCH(Data!#REF!,Data_Val!$A$2:$A$3,0)),0,1))</f>
        <v>#REF!</v>
      </c>
      <c r="AH708" s="26" t="e">
        <f ca="1">IF(Data!#REF!="","",IF(ISNUMBER(Data!#REF!),IF(AND(Data!#REF!&gt;(TODAY()-(Data_Val!$L$3*365.25)),Data!#REF!&lt;=(TODAY()-(Data_Val!$L$2*365.25))),0,1),1))</f>
        <v>#REF!</v>
      </c>
      <c r="AI708" s="12" t="e">
        <f>IF(Data!#REF!="","",IF(Data!$G708="",1,IF(ISNUMBER(MATCH(Data!#REF!,Data_Val!$D$2:$D$10,0)),0,1)))</f>
        <v>#REF!</v>
      </c>
      <c r="AJ708" s="17"/>
      <c r="AK708" s="17" t="e">
        <f>IF(Data!#REF!="","",IF(ISNUMBER(MATCH(Data!#REF!,Data_Val!$A$2:$A$3,0)),0,1))</f>
        <v>#REF!</v>
      </c>
      <c r="AL708" s="25" t="e">
        <f ca="1">IF(Data!#REF!="","",IF(ISNUMBER(Data!#REF!),IF(AND(Data!#REF!&gt;(TODAY()-(Data_Val!$L$3*365.25)),Data!#REF!&lt;=(TODAY()-(Data_Val!$L$2*365.25))),0,1),1))</f>
        <v>#REF!</v>
      </c>
      <c r="AM708" s="17" t="e">
        <f>IF(Data!#REF!="","",IF(Data!$G708="",1,IF(ISNUMBER(MATCH(Data!#REF!,Data_Val!$D$2:$D$10,0)),0,1)))</f>
        <v>#REF!</v>
      </c>
      <c r="AN708" s="13"/>
      <c r="AO708" s="28" t="e">
        <f ca="1">IF(Data!#REF!="","",IF(ISNUMBER(Data!#REF!),IF(AND(Data!#REF!&gt;(TODAY()-(Data_Val!$I$3*365.25)),Data!#REF!&lt;=(TODAY()-(Data_Val!$I$2*365.25))),0,1),1))</f>
        <v>#REF!</v>
      </c>
      <c r="AP708" s="13" t="e">
        <f>IF(Data!#REF!="","",IF(Data!$G708="",1,IF(ISNUMBER(MATCH(Data!#REF!,Data_Val!$D$2:$D$10,0)),0,1)))</f>
        <v>#REF!</v>
      </c>
      <c r="AQ708" s="17"/>
      <c r="AR708" s="30" t="e">
        <f ca="1">IF(Data!#REF!="","",IF(ISNUMBER(Data!#REF!),IF(AND(Data!#REF!&gt;(TODAY()-(Data_Val!$I$3*365.25)),Data!#REF!&lt;=(TODAY()-(Data_Val!$I$2*365.25))),0,1),1))</f>
        <v>#REF!</v>
      </c>
      <c r="AS708" s="31" t="e">
        <f>IF(Data!#REF!="","",IF(Data!$G708="",1,IF(ISNUMBER(MATCH(Data!#REF!,Data_Val!$D$2:$D$10,0)),0,1)))</f>
        <v>#REF!</v>
      </c>
      <c r="AT708" s="11"/>
      <c r="AU708" s="11" t="e">
        <f ca="1">IF(Data!#REF!="","",IF(ISNUMBER(Data!#REF!),IF(AND(Data!#REF!&gt;(TODAY()-(Data_Val!$I$3*365.25)),Data!#REF!&lt;=(TODAY()-(Data_Val!$I$2*365.25))),0,1),1))</f>
        <v>#REF!</v>
      </c>
      <c r="AV708" s="11" t="e">
        <f>IF(Data!#REF!="","",IF(Data!$G708="",1,IF(ISNUMBER(MATCH(Data!#REF!,Data_Val!$D$2:$D$10,0)),0,1)))</f>
        <v>#REF!</v>
      </c>
      <c r="AW708" s="12"/>
      <c r="AX708" s="26" t="e">
        <f ca="1">IF(Data!#REF!="","",IF(ISNUMBER(Data!#REF!),IF(AND(Data!#REF!&gt;(TODAY()-(Data_Val!$I$3*365.25)),Data!#REF!&lt;=(TODAY()-(Data_Val!$I$2*365.25))),0,1),1))</f>
        <v>#REF!</v>
      </c>
      <c r="AY708" s="12" t="e">
        <f>IF(Data!#REF!="","",IF(Data!$G708="",1,IF(ISNUMBER(MATCH(Data!#REF!,Data_Val!$D$2:$D$10,0)),0,1)))</f>
        <v>#REF!</v>
      </c>
      <c r="AZ708" s="11"/>
      <c r="BA708" s="19" t="e">
        <f ca="1">IF(Data!#REF!="","",IF(ISNUMBER(Data!#REF!),IF(AND(Data!#REF!&gt;(TODAY()-(Data_Val!$M$3*365.25)),Data!#REF!&lt;=(TODAY()-(Data_Val!$M$2*365.25))),0,1),1))</f>
        <v>#REF!</v>
      </c>
      <c r="BB708" s="11" t="e">
        <f>IF(Data!#REF!="","",IF(Data!$G708="",1,IF(ISNUMBER(MATCH(Data!#REF!,Data_Val!$D$2:$D$10,0)),0,1)))</f>
        <v>#REF!</v>
      </c>
      <c r="BC708" s="12"/>
      <c r="BD708" s="20" t="e">
        <f ca="1">IF(Data!#REF!="","",IF(ISNUMBER(Data!#REF!),IF(AND(Data!#REF!&gt;(TODAY()-(Data_Val!$M$3*365.25)),Data!#REF!&lt;=(TODAY()-(Data_Val!$M$2*365.25))),0,1),1))</f>
        <v>#REF!</v>
      </c>
      <c r="BE708" s="12" t="e">
        <f>IF(Data!#REF!="","",IF(Data!$G708="",1,IF(ISNUMBER(MATCH(Data!#REF!,Data_Val!$D$2:$D$10,0)),0,1)))</f>
        <v>#REF!</v>
      </c>
      <c r="BF708" s="17"/>
      <c r="BG708" s="18" t="e">
        <f ca="1">IF(Data!#REF!="","",IF(ISNUMBER(Data!#REF!),IF(AND(Data!#REF!&gt;(TODAY()-(Data_Val!$M$3*365.25)),Data!#REF!&lt;=(TODAY()-(Data_Val!$M$2*365.25))),0,1),1))</f>
        <v>#REF!</v>
      </c>
      <c r="BH708" s="29" t="e">
        <f>IF(Data!#REF!="","",IF(Data!$G708="",1,IF(ISNUMBER(MATCH(Data!#REF!,Data_Val!$D$2:$D$10,0)),0,1)))</f>
        <v>#REF!</v>
      </c>
      <c r="BI708" s="13"/>
      <c r="BJ708" s="21" t="e">
        <f ca="1">IF(Data!#REF!="","",IF(ISNUMBER(Data!#REF!),IF(AND(Data!#REF!&gt;(TODAY()-(Data_Val!$M$3*365.25)),Data!#REF!&lt;=(TODAY()-(Data_Val!$M$2*365.25))),0,1),1))</f>
        <v>#REF!</v>
      </c>
      <c r="BK708" s="13" t="e">
        <f>IF(Data!#REF!="","",IF(Data!$G708="",1,IF(ISNUMBER(MATCH(Data!#REF!,Data_Val!$D$2:$D$10,0)),0,1)))</f>
        <v>#REF!</v>
      </c>
    </row>
    <row r="709" spans="1:63" x14ac:dyDescent="0.25">
      <c r="A709" s="9" t="str">
        <f>IF(Data!B709="","",IF(COUNTIFS(Data!A$1:'Data'!A709,Data!A709)&lt;=1,0,1))</f>
        <v/>
      </c>
      <c r="B709" s="9"/>
      <c r="C709" s="23" t="str">
        <f>IF(Data!C709="","",(IF(ISNUMBER(MATCH("*@*.?*",Data!C709,0)),0,1)+IF(COUNTIFS(Data!C$1:'Data'!C709,Data!C709)&gt;1,1,0)))</f>
        <v/>
      </c>
      <c r="D709" s="9" t="str">
        <f>IF(Data!B709="","",IF(ISNUMBER(Data!D709),IF(AND(Data!D709&gt;999999999,Data!D709&lt;=9999999999),IF(COUNTIFS(Data!D$1:'Data'!D709,Data!D709)&lt;=1,0,1),1),1))</f>
        <v/>
      </c>
      <c r="E709" s="9" t="str">
        <f>IF(Data!B709="","",IF(ISNUMBER(MATCH(Data!E709,Data_Val!$A$2:$A$3,0)),0,1))</f>
        <v/>
      </c>
      <c r="F709" s="9" t="str">
        <f ca="1">IF(Data!B709="","",IF(ISNUMBER(Data!F709),IF(AND(Data!F709&gt;(TODAY()-(Data_Val!$H$3*365.25)),Data!F709&lt;=(TODAY()-(Data_Val!$H$2*365.25))),0,1),1))</f>
        <v/>
      </c>
      <c r="G709" s="15" t="str">
        <f>IF(Data!B709="","",IF(AND(Data!G709="",Data!H709&lt;&gt;""),1,IF(Data!#REF!&lt;&gt;"",0,IF(ISNUMBER(MATCH(Data!G709,Data_Val!$C$2:$C$5,0)),0,1))))</f>
        <v/>
      </c>
      <c r="H709" s="15" t="str">
        <f>IF(Data!B709="","",IF(AND(Data!G709&lt;&gt;"",Data!H709=""),1,IF(Data!#REF!&lt;&gt;"",0,IF(Data!G709="",1,IF(ISNUMBER(MATCH(Data!H709,Data_Val!$D$2:$D$35,0)),0,1)))))</f>
        <v/>
      </c>
      <c r="I709" s="15" t="str">
        <f>IF(Data!B709="","",IF(Data!G709&lt;&gt;"",0,IF(ISNUMBER(MATCH(Data!#REF!,Data_Val!$E$2:$E$12,0)),0,1)))</f>
        <v/>
      </c>
      <c r="J709" s="16" t="e">
        <f>IF(OR(Data!B709="",Data!#REF!=""),"",IF(Data!#REF!="",1,0))</f>
        <v>#REF!</v>
      </c>
      <c r="K709" s="16" t="e">
        <f>IF(OR(Data!B709="",Data!#REF!=""),"",IF(Data!#REF!="",1,0))</f>
        <v>#REF!</v>
      </c>
      <c r="L709" s="16" t="e">
        <f>IF(OR(Data!B709="",Data!#REF!=""),"",IF(ISNUMBER(Data!#REF!),IF(AND(Data!#REF!&gt;Data_Val!$G$2,Data!#REF!&lt;=Data_Val!$G$3),0,1),1))</f>
        <v>#REF!</v>
      </c>
      <c r="M709" s="9" t="e">
        <f>IF(OR(Data!B709="",Data!#REF!=""),"",IF(ISNUMBER(MATCH(Data!#REF!,Data_Val!$F$1:$F$38,0)),0,1))</f>
        <v>#REF!</v>
      </c>
      <c r="N709" s="9" t="e">
        <f>IF(OR(Data!B709="",Data!#REF!=""),"",IF(Data!#REF!="",1,0))</f>
        <v>#REF!</v>
      </c>
      <c r="O709" s="17" t="e">
        <f>IF(Data!#REF!="","",IF(Data!#REF!="",1,0))</f>
        <v>#REF!</v>
      </c>
      <c r="P709" s="17" t="e">
        <f>IF(Data!#REF!="","",IF(ISNUMBER(MATCH(Data!#REF!,Data_Val!$A$2:$A$3,0)),0,1))</f>
        <v>#REF!</v>
      </c>
      <c r="Q709" s="25" t="e">
        <f ca="1">IF(Data!#REF!="","",IF(ISNUMBER(Data!#REF!),IF(AND(Data!#REF!&gt;(TODAY()-(Data_Val!$J$3*365.25)),Data!#REF!&lt;=(TODAY()-(Data_Val!$J$2*365.25))),0,1),1))</f>
        <v>#REF!</v>
      </c>
      <c r="R709" s="17" t="e">
        <f>IF(Data!#REF!="","",IF(ISNUMBER(MATCH(Data!#REF!,Data_Val!$B$2:$B$15,0)),0,1))</f>
        <v>#REF!</v>
      </c>
      <c r="S709" s="11" t="str">
        <f>IF(Data!G709="","",IF(Data!G709=Data_Val!$C$2,IF(Data!M709="",0,1),0))</f>
        <v/>
      </c>
      <c r="T709" s="11" t="str">
        <f>IF(Data!M709="","",IF(ISNUMBER(MATCH(Data!N709,Data_Val!$A$2:$A$3,0)),0,1))</f>
        <v/>
      </c>
      <c r="U709" s="11" t="str">
        <f ca="1">IF(Data!M709="","",IF(ISNUMBER(Data!O709),IF(AND(Data!O709&gt;(TODAY()-(Data_Val!$K$3*365.25)),Data!O709&lt;=(TODAY()-(Data_Val!$K$2*365.25))),0,1),1))</f>
        <v/>
      </c>
      <c r="V709" s="12" t="str">
        <f>IF(Data!G709="","",IF(Data!G709=Data_Val!$C$2,IF(Data!P709="",0,1),0))</f>
        <v/>
      </c>
      <c r="W709" s="12" t="str">
        <f>IF(Data!P709="","",IF(ISNUMBER(MATCH(Data!Q709,Data_Val!$A$2:$A$3,0)),0,1))</f>
        <v/>
      </c>
      <c r="X709" s="26" t="str">
        <f ca="1">IF(Data!P709="","",IF(ISNUMBER(Data!R709),IF(AND(Data!R709&gt;(TODAY()-(Data_Val!$L$3*365.25)),Data!R709&lt;=(TODAY()-(Data_Val!$L$2*365.25))),0,1),1))</f>
        <v/>
      </c>
      <c r="Y709" s="13" t="str">
        <f>IF(Data!$G709="","",IF(Data!$G709=Data_Val!$C$2,IF(Data!S709="",0,1),0))</f>
        <v/>
      </c>
      <c r="Z709" s="13" t="str">
        <f>IF(Data!S709="","",IF(ISNUMBER(MATCH(Data!T709,Data_Val!$A$2:$A$3,0)),0,1))</f>
        <v/>
      </c>
      <c r="AA709" s="28" t="str">
        <f ca="1">IF(Data!S709="","",IF(ISNUMBER(Data!U709),IF(AND(Data!U709&gt;(TODAY()-(Data_Val!$L$3*365.25)),Data!U709&lt;=(TODAY()-(Data_Val!$L$2*365.25))),0,1),1))</f>
        <v/>
      </c>
      <c r="AB709" s="11"/>
      <c r="AC709" s="11" t="e">
        <f>IF(Data!#REF!="","",IF(ISNUMBER(MATCH(Data!#REF!,Data_Val!$A$2:$A$3,0)),0,1))</f>
        <v>#REF!</v>
      </c>
      <c r="AD709" s="11" t="e">
        <f ca="1">IF(Data!#REF!="","",IF(ISNUMBER(Data!#REF!),IF(AND(Data!#REF!&gt;(TODAY()-(Data_Val!$L$3*365.25)),Data!#REF!&lt;=(TODAY()-(Data_Val!$L$2*365.25))),0,1),1))</f>
        <v>#REF!</v>
      </c>
      <c r="AE709" s="11" t="e">
        <f>IF(Data!#REF!="","",IF(Data!$G709="",1,IF(ISNUMBER(MATCH(Data!#REF!,Data_Val!$D$2:$D$10,0)),0,1)))</f>
        <v>#REF!</v>
      </c>
      <c r="AF709" s="12"/>
      <c r="AG709" s="12" t="e">
        <f>IF(Data!#REF!="","",IF(ISNUMBER(MATCH(Data!#REF!,Data_Val!$A$2:$A$3,0)),0,1))</f>
        <v>#REF!</v>
      </c>
      <c r="AH709" s="26" t="e">
        <f ca="1">IF(Data!#REF!="","",IF(ISNUMBER(Data!#REF!),IF(AND(Data!#REF!&gt;(TODAY()-(Data_Val!$L$3*365.25)),Data!#REF!&lt;=(TODAY()-(Data_Val!$L$2*365.25))),0,1),1))</f>
        <v>#REF!</v>
      </c>
      <c r="AI709" s="12" t="e">
        <f>IF(Data!#REF!="","",IF(Data!$G709="",1,IF(ISNUMBER(MATCH(Data!#REF!,Data_Val!$D$2:$D$10,0)),0,1)))</f>
        <v>#REF!</v>
      </c>
      <c r="AJ709" s="17"/>
      <c r="AK709" s="17" t="e">
        <f>IF(Data!#REF!="","",IF(ISNUMBER(MATCH(Data!#REF!,Data_Val!$A$2:$A$3,0)),0,1))</f>
        <v>#REF!</v>
      </c>
      <c r="AL709" s="25" t="e">
        <f ca="1">IF(Data!#REF!="","",IF(ISNUMBER(Data!#REF!),IF(AND(Data!#REF!&gt;(TODAY()-(Data_Val!$L$3*365.25)),Data!#REF!&lt;=(TODAY()-(Data_Val!$L$2*365.25))),0,1),1))</f>
        <v>#REF!</v>
      </c>
      <c r="AM709" s="17" t="e">
        <f>IF(Data!#REF!="","",IF(Data!$G709="",1,IF(ISNUMBER(MATCH(Data!#REF!,Data_Val!$D$2:$D$10,0)),0,1)))</f>
        <v>#REF!</v>
      </c>
      <c r="AN709" s="13"/>
      <c r="AO709" s="28" t="e">
        <f ca="1">IF(Data!#REF!="","",IF(ISNUMBER(Data!#REF!),IF(AND(Data!#REF!&gt;(TODAY()-(Data_Val!$I$3*365.25)),Data!#REF!&lt;=(TODAY()-(Data_Val!$I$2*365.25))),0,1),1))</f>
        <v>#REF!</v>
      </c>
      <c r="AP709" s="13" t="e">
        <f>IF(Data!#REF!="","",IF(Data!$G709="",1,IF(ISNUMBER(MATCH(Data!#REF!,Data_Val!$D$2:$D$10,0)),0,1)))</f>
        <v>#REF!</v>
      </c>
      <c r="AQ709" s="17"/>
      <c r="AR709" s="30" t="e">
        <f ca="1">IF(Data!#REF!="","",IF(ISNUMBER(Data!#REF!),IF(AND(Data!#REF!&gt;(TODAY()-(Data_Val!$I$3*365.25)),Data!#REF!&lt;=(TODAY()-(Data_Val!$I$2*365.25))),0,1),1))</f>
        <v>#REF!</v>
      </c>
      <c r="AS709" s="31" t="e">
        <f>IF(Data!#REF!="","",IF(Data!$G709="",1,IF(ISNUMBER(MATCH(Data!#REF!,Data_Val!$D$2:$D$10,0)),0,1)))</f>
        <v>#REF!</v>
      </c>
      <c r="AT709" s="11"/>
      <c r="AU709" s="11" t="e">
        <f ca="1">IF(Data!#REF!="","",IF(ISNUMBER(Data!#REF!),IF(AND(Data!#REF!&gt;(TODAY()-(Data_Val!$I$3*365.25)),Data!#REF!&lt;=(TODAY()-(Data_Val!$I$2*365.25))),0,1),1))</f>
        <v>#REF!</v>
      </c>
      <c r="AV709" s="11" t="e">
        <f>IF(Data!#REF!="","",IF(Data!$G709="",1,IF(ISNUMBER(MATCH(Data!#REF!,Data_Val!$D$2:$D$10,0)),0,1)))</f>
        <v>#REF!</v>
      </c>
      <c r="AW709" s="12"/>
      <c r="AX709" s="26" t="e">
        <f ca="1">IF(Data!#REF!="","",IF(ISNUMBER(Data!#REF!),IF(AND(Data!#REF!&gt;(TODAY()-(Data_Val!$I$3*365.25)),Data!#REF!&lt;=(TODAY()-(Data_Val!$I$2*365.25))),0,1),1))</f>
        <v>#REF!</v>
      </c>
      <c r="AY709" s="12" t="e">
        <f>IF(Data!#REF!="","",IF(Data!$G709="",1,IF(ISNUMBER(MATCH(Data!#REF!,Data_Val!$D$2:$D$10,0)),0,1)))</f>
        <v>#REF!</v>
      </c>
      <c r="AZ709" s="11"/>
      <c r="BA709" s="19" t="e">
        <f ca="1">IF(Data!#REF!="","",IF(ISNUMBER(Data!#REF!),IF(AND(Data!#REF!&gt;(TODAY()-(Data_Val!$M$3*365.25)),Data!#REF!&lt;=(TODAY()-(Data_Val!$M$2*365.25))),0,1),1))</f>
        <v>#REF!</v>
      </c>
      <c r="BB709" s="11" t="e">
        <f>IF(Data!#REF!="","",IF(Data!$G709="",1,IF(ISNUMBER(MATCH(Data!#REF!,Data_Val!$D$2:$D$10,0)),0,1)))</f>
        <v>#REF!</v>
      </c>
      <c r="BC709" s="12"/>
      <c r="BD709" s="20" t="e">
        <f ca="1">IF(Data!#REF!="","",IF(ISNUMBER(Data!#REF!),IF(AND(Data!#REF!&gt;(TODAY()-(Data_Val!$M$3*365.25)),Data!#REF!&lt;=(TODAY()-(Data_Val!$M$2*365.25))),0,1),1))</f>
        <v>#REF!</v>
      </c>
      <c r="BE709" s="12" t="e">
        <f>IF(Data!#REF!="","",IF(Data!$G709="",1,IF(ISNUMBER(MATCH(Data!#REF!,Data_Val!$D$2:$D$10,0)),0,1)))</f>
        <v>#REF!</v>
      </c>
      <c r="BF709" s="17"/>
      <c r="BG709" s="18" t="e">
        <f ca="1">IF(Data!#REF!="","",IF(ISNUMBER(Data!#REF!),IF(AND(Data!#REF!&gt;(TODAY()-(Data_Val!$M$3*365.25)),Data!#REF!&lt;=(TODAY()-(Data_Val!$M$2*365.25))),0,1),1))</f>
        <v>#REF!</v>
      </c>
      <c r="BH709" s="29" t="e">
        <f>IF(Data!#REF!="","",IF(Data!$G709="",1,IF(ISNUMBER(MATCH(Data!#REF!,Data_Val!$D$2:$D$10,0)),0,1)))</f>
        <v>#REF!</v>
      </c>
      <c r="BI709" s="13"/>
      <c r="BJ709" s="21" t="e">
        <f ca="1">IF(Data!#REF!="","",IF(ISNUMBER(Data!#REF!),IF(AND(Data!#REF!&gt;(TODAY()-(Data_Val!$M$3*365.25)),Data!#REF!&lt;=(TODAY()-(Data_Val!$M$2*365.25))),0,1),1))</f>
        <v>#REF!</v>
      </c>
      <c r="BK709" s="13" t="e">
        <f>IF(Data!#REF!="","",IF(Data!$G709="",1,IF(ISNUMBER(MATCH(Data!#REF!,Data_Val!$D$2:$D$10,0)),0,1)))</f>
        <v>#REF!</v>
      </c>
    </row>
    <row r="710" spans="1:63" x14ac:dyDescent="0.25">
      <c r="A710" s="9" t="str">
        <f>IF(Data!B710="","",IF(COUNTIFS(Data!A$1:'Data'!A710,Data!A710)&lt;=1,0,1))</f>
        <v/>
      </c>
      <c r="B710" s="9"/>
      <c r="C710" s="23" t="str">
        <f>IF(Data!C710="","",(IF(ISNUMBER(MATCH("*@*.?*",Data!C710,0)),0,1)+IF(COUNTIFS(Data!C$1:'Data'!C710,Data!C710)&gt;1,1,0)))</f>
        <v/>
      </c>
      <c r="D710" s="9" t="str">
        <f>IF(Data!B710="","",IF(ISNUMBER(Data!D710),IF(AND(Data!D710&gt;999999999,Data!D710&lt;=9999999999),IF(COUNTIFS(Data!D$1:'Data'!D710,Data!D710)&lt;=1,0,1),1),1))</f>
        <v/>
      </c>
      <c r="E710" s="9" t="str">
        <f>IF(Data!B710="","",IF(ISNUMBER(MATCH(Data!E710,Data_Val!$A$2:$A$3,0)),0,1))</f>
        <v/>
      </c>
      <c r="F710" s="9" t="str">
        <f ca="1">IF(Data!B710="","",IF(ISNUMBER(Data!F710),IF(AND(Data!F710&gt;(TODAY()-(Data_Val!$H$3*365.25)),Data!F710&lt;=(TODAY()-(Data_Val!$H$2*365.25))),0,1),1))</f>
        <v/>
      </c>
      <c r="G710" s="15" t="str">
        <f>IF(Data!B710="","",IF(AND(Data!G710="",Data!H710&lt;&gt;""),1,IF(Data!#REF!&lt;&gt;"",0,IF(ISNUMBER(MATCH(Data!G710,Data_Val!$C$2:$C$5,0)),0,1))))</f>
        <v/>
      </c>
      <c r="H710" s="15" t="str">
        <f>IF(Data!B710="","",IF(AND(Data!G710&lt;&gt;"",Data!H710=""),1,IF(Data!#REF!&lt;&gt;"",0,IF(Data!G710="",1,IF(ISNUMBER(MATCH(Data!H710,Data_Val!$D$2:$D$35,0)),0,1)))))</f>
        <v/>
      </c>
      <c r="I710" s="15" t="str">
        <f>IF(Data!B710="","",IF(Data!G710&lt;&gt;"",0,IF(ISNUMBER(MATCH(Data!#REF!,Data_Val!$E$2:$E$12,0)),0,1)))</f>
        <v/>
      </c>
      <c r="J710" s="16" t="e">
        <f>IF(OR(Data!B710="",Data!#REF!=""),"",IF(Data!#REF!="",1,0))</f>
        <v>#REF!</v>
      </c>
      <c r="K710" s="16" t="e">
        <f>IF(OR(Data!B710="",Data!#REF!=""),"",IF(Data!#REF!="",1,0))</f>
        <v>#REF!</v>
      </c>
      <c r="L710" s="16" t="e">
        <f>IF(OR(Data!B710="",Data!#REF!=""),"",IF(ISNUMBER(Data!#REF!),IF(AND(Data!#REF!&gt;Data_Val!$G$2,Data!#REF!&lt;=Data_Val!$G$3),0,1),1))</f>
        <v>#REF!</v>
      </c>
      <c r="M710" s="9" t="e">
        <f>IF(OR(Data!B710="",Data!#REF!=""),"",IF(ISNUMBER(MATCH(Data!#REF!,Data_Val!$F$1:$F$38,0)),0,1))</f>
        <v>#REF!</v>
      </c>
      <c r="N710" s="9" t="e">
        <f>IF(OR(Data!B710="",Data!#REF!=""),"",IF(Data!#REF!="",1,0))</f>
        <v>#REF!</v>
      </c>
      <c r="O710" s="17" t="e">
        <f>IF(Data!#REF!="","",IF(Data!#REF!="",1,0))</f>
        <v>#REF!</v>
      </c>
      <c r="P710" s="17" t="e">
        <f>IF(Data!#REF!="","",IF(ISNUMBER(MATCH(Data!#REF!,Data_Val!$A$2:$A$3,0)),0,1))</f>
        <v>#REF!</v>
      </c>
      <c r="Q710" s="25" t="e">
        <f ca="1">IF(Data!#REF!="","",IF(ISNUMBER(Data!#REF!),IF(AND(Data!#REF!&gt;(TODAY()-(Data_Val!$J$3*365.25)),Data!#REF!&lt;=(TODAY()-(Data_Val!$J$2*365.25))),0,1),1))</f>
        <v>#REF!</v>
      </c>
      <c r="R710" s="17" t="e">
        <f>IF(Data!#REF!="","",IF(ISNUMBER(MATCH(Data!#REF!,Data_Val!$B$2:$B$15,0)),0,1))</f>
        <v>#REF!</v>
      </c>
      <c r="S710" s="11" t="str">
        <f>IF(Data!G710="","",IF(Data!G710=Data_Val!$C$2,IF(Data!M710="",0,1),0))</f>
        <v/>
      </c>
      <c r="T710" s="11" t="str">
        <f>IF(Data!M710="","",IF(ISNUMBER(MATCH(Data!N710,Data_Val!$A$2:$A$3,0)),0,1))</f>
        <v/>
      </c>
      <c r="U710" s="11" t="str">
        <f ca="1">IF(Data!M710="","",IF(ISNUMBER(Data!O710),IF(AND(Data!O710&gt;(TODAY()-(Data_Val!$K$3*365.25)),Data!O710&lt;=(TODAY()-(Data_Val!$K$2*365.25))),0,1),1))</f>
        <v/>
      </c>
      <c r="V710" s="12" t="str">
        <f>IF(Data!G710="","",IF(Data!G710=Data_Val!$C$2,IF(Data!P710="",0,1),0))</f>
        <v/>
      </c>
      <c r="W710" s="12" t="str">
        <f>IF(Data!P710="","",IF(ISNUMBER(MATCH(Data!Q710,Data_Val!$A$2:$A$3,0)),0,1))</f>
        <v/>
      </c>
      <c r="X710" s="26" t="str">
        <f ca="1">IF(Data!P710="","",IF(ISNUMBER(Data!R710),IF(AND(Data!R710&gt;(TODAY()-(Data_Val!$L$3*365.25)),Data!R710&lt;=(TODAY()-(Data_Val!$L$2*365.25))),0,1),1))</f>
        <v/>
      </c>
      <c r="Y710" s="13" t="str">
        <f>IF(Data!$G710="","",IF(Data!$G710=Data_Val!$C$2,IF(Data!S710="",0,1),0))</f>
        <v/>
      </c>
      <c r="Z710" s="13" t="str">
        <f>IF(Data!S710="","",IF(ISNUMBER(MATCH(Data!T710,Data_Val!$A$2:$A$3,0)),0,1))</f>
        <v/>
      </c>
      <c r="AA710" s="28" t="str">
        <f ca="1">IF(Data!S710="","",IF(ISNUMBER(Data!U710),IF(AND(Data!U710&gt;(TODAY()-(Data_Val!$L$3*365.25)),Data!U710&lt;=(TODAY()-(Data_Val!$L$2*365.25))),0,1),1))</f>
        <v/>
      </c>
      <c r="AB710" s="11"/>
      <c r="AC710" s="11" t="e">
        <f>IF(Data!#REF!="","",IF(ISNUMBER(MATCH(Data!#REF!,Data_Val!$A$2:$A$3,0)),0,1))</f>
        <v>#REF!</v>
      </c>
      <c r="AD710" s="11" t="e">
        <f ca="1">IF(Data!#REF!="","",IF(ISNUMBER(Data!#REF!),IF(AND(Data!#REF!&gt;(TODAY()-(Data_Val!$L$3*365.25)),Data!#REF!&lt;=(TODAY()-(Data_Val!$L$2*365.25))),0,1),1))</f>
        <v>#REF!</v>
      </c>
      <c r="AE710" s="11" t="e">
        <f>IF(Data!#REF!="","",IF(Data!$G710="",1,IF(ISNUMBER(MATCH(Data!#REF!,Data_Val!$D$2:$D$10,0)),0,1)))</f>
        <v>#REF!</v>
      </c>
      <c r="AF710" s="12"/>
      <c r="AG710" s="12" t="e">
        <f>IF(Data!#REF!="","",IF(ISNUMBER(MATCH(Data!#REF!,Data_Val!$A$2:$A$3,0)),0,1))</f>
        <v>#REF!</v>
      </c>
      <c r="AH710" s="26" t="e">
        <f ca="1">IF(Data!#REF!="","",IF(ISNUMBER(Data!#REF!),IF(AND(Data!#REF!&gt;(TODAY()-(Data_Val!$L$3*365.25)),Data!#REF!&lt;=(TODAY()-(Data_Val!$L$2*365.25))),0,1),1))</f>
        <v>#REF!</v>
      </c>
      <c r="AI710" s="12" t="e">
        <f>IF(Data!#REF!="","",IF(Data!$G710="",1,IF(ISNUMBER(MATCH(Data!#REF!,Data_Val!$D$2:$D$10,0)),0,1)))</f>
        <v>#REF!</v>
      </c>
      <c r="AJ710" s="17"/>
      <c r="AK710" s="17" t="e">
        <f>IF(Data!#REF!="","",IF(ISNUMBER(MATCH(Data!#REF!,Data_Val!$A$2:$A$3,0)),0,1))</f>
        <v>#REF!</v>
      </c>
      <c r="AL710" s="25" t="e">
        <f ca="1">IF(Data!#REF!="","",IF(ISNUMBER(Data!#REF!),IF(AND(Data!#REF!&gt;(TODAY()-(Data_Val!$L$3*365.25)),Data!#REF!&lt;=(TODAY()-(Data_Val!$L$2*365.25))),0,1),1))</f>
        <v>#REF!</v>
      </c>
      <c r="AM710" s="17" t="e">
        <f>IF(Data!#REF!="","",IF(Data!$G710="",1,IF(ISNUMBER(MATCH(Data!#REF!,Data_Val!$D$2:$D$10,0)),0,1)))</f>
        <v>#REF!</v>
      </c>
      <c r="AN710" s="13"/>
      <c r="AO710" s="28" t="e">
        <f ca="1">IF(Data!#REF!="","",IF(ISNUMBER(Data!#REF!),IF(AND(Data!#REF!&gt;(TODAY()-(Data_Val!$I$3*365.25)),Data!#REF!&lt;=(TODAY()-(Data_Val!$I$2*365.25))),0,1),1))</f>
        <v>#REF!</v>
      </c>
      <c r="AP710" s="13" t="e">
        <f>IF(Data!#REF!="","",IF(Data!$G710="",1,IF(ISNUMBER(MATCH(Data!#REF!,Data_Val!$D$2:$D$10,0)),0,1)))</f>
        <v>#REF!</v>
      </c>
      <c r="AQ710" s="17"/>
      <c r="AR710" s="30" t="e">
        <f ca="1">IF(Data!#REF!="","",IF(ISNUMBER(Data!#REF!),IF(AND(Data!#REF!&gt;(TODAY()-(Data_Val!$I$3*365.25)),Data!#REF!&lt;=(TODAY()-(Data_Val!$I$2*365.25))),0,1),1))</f>
        <v>#REF!</v>
      </c>
      <c r="AS710" s="31" t="e">
        <f>IF(Data!#REF!="","",IF(Data!$G710="",1,IF(ISNUMBER(MATCH(Data!#REF!,Data_Val!$D$2:$D$10,0)),0,1)))</f>
        <v>#REF!</v>
      </c>
      <c r="AT710" s="11"/>
      <c r="AU710" s="11" t="e">
        <f ca="1">IF(Data!#REF!="","",IF(ISNUMBER(Data!#REF!),IF(AND(Data!#REF!&gt;(TODAY()-(Data_Val!$I$3*365.25)),Data!#REF!&lt;=(TODAY()-(Data_Val!$I$2*365.25))),0,1),1))</f>
        <v>#REF!</v>
      </c>
      <c r="AV710" s="11" t="e">
        <f>IF(Data!#REF!="","",IF(Data!$G710="",1,IF(ISNUMBER(MATCH(Data!#REF!,Data_Val!$D$2:$D$10,0)),0,1)))</f>
        <v>#REF!</v>
      </c>
      <c r="AW710" s="12"/>
      <c r="AX710" s="26" t="e">
        <f ca="1">IF(Data!#REF!="","",IF(ISNUMBER(Data!#REF!),IF(AND(Data!#REF!&gt;(TODAY()-(Data_Val!$I$3*365.25)),Data!#REF!&lt;=(TODAY()-(Data_Val!$I$2*365.25))),0,1),1))</f>
        <v>#REF!</v>
      </c>
      <c r="AY710" s="12" t="e">
        <f>IF(Data!#REF!="","",IF(Data!$G710="",1,IF(ISNUMBER(MATCH(Data!#REF!,Data_Val!$D$2:$D$10,0)),0,1)))</f>
        <v>#REF!</v>
      </c>
      <c r="AZ710" s="11"/>
      <c r="BA710" s="19" t="e">
        <f ca="1">IF(Data!#REF!="","",IF(ISNUMBER(Data!#REF!),IF(AND(Data!#REF!&gt;(TODAY()-(Data_Val!$M$3*365.25)),Data!#REF!&lt;=(TODAY()-(Data_Val!$M$2*365.25))),0,1),1))</f>
        <v>#REF!</v>
      </c>
      <c r="BB710" s="11" t="e">
        <f>IF(Data!#REF!="","",IF(Data!$G710="",1,IF(ISNUMBER(MATCH(Data!#REF!,Data_Val!$D$2:$D$10,0)),0,1)))</f>
        <v>#REF!</v>
      </c>
      <c r="BC710" s="12"/>
      <c r="BD710" s="20" t="e">
        <f ca="1">IF(Data!#REF!="","",IF(ISNUMBER(Data!#REF!),IF(AND(Data!#REF!&gt;(TODAY()-(Data_Val!$M$3*365.25)),Data!#REF!&lt;=(TODAY()-(Data_Val!$M$2*365.25))),0,1),1))</f>
        <v>#REF!</v>
      </c>
      <c r="BE710" s="12" t="e">
        <f>IF(Data!#REF!="","",IF(Data!$G710="",1,IF(ISNUMBER(MATCH(Data!#REF!,Data_Val!$D$2:$D$10,0)),0,1)))</f>
        <v>#REF!</v>
      </c>
      <c r="BF710" s="17"/>
      <c r="BG710" s="18" t="e">
        <f ca="1">IF(Data!#REF!="","",IF(ISNUMBER(Data!#REF!),IF(AND(Data!#REF!&gt;(TODAY()-(Data_Val!$M$3*365.25)),Data!#REF!&lt;=(TODAY()-(Data_Val!$M$2*365.25))),0,1),1))</f>
        <v>#REF!</v>
      </c>
      <c r="BH710" s="29" t="e">
        <f>IF(Data!#REF!="","",IF(Data!$G710="",1,IF(ISNUMBER(MATCH(Data!#REF!,Data_Val!$D$2:$D$10,0)),0,1)))</f>
        <v>#REF!</v>
      </c>
      <c r="BI710" s="13"/>
      <c r="BJ710" s="21" t="e">
        <f ca="1">IF(Data!#REF!="","",IF(ISNUMBER(Data!#REF!),IF(AND(Data!#REF!&gt;(TODAY()-(Data_Val!$M$3*365.25)),Data!#REF!&lt;=(TODAY()-(Data_Val!$M$2*365.25))),0,1),1))</f>
        <v>#REF!</v>
      </c>
      <c r="BK710" s="13" t="e">
        <f>IF(Data!#REF!="","",IF(Data!$G710="",1,IF(ISNUMBER(MATCH(Data!#REF!,Data_Val!$D$2:$D$10,0)),0,1)))</f>
        <v>#REF!</v>
      </c>
    </row>
    <row r="711" spans="1:63" x14ac:dyDescent="0.25">
      <c r="A711" s="9" t="str">
        <f>IF(Data!B711="","",IF(COUNTIFS(Data!A$1:'Data'!A711,Data!A711)&lt;=1,0,1))</f>
        <v/>
      </c>
      <c r="B711" s="9"/>
      <c r="C711" s="23" t="str">
        <f>IF(Data!C711="","",(IF(ISNUMBER(MATCH("*@*.?*",Data!C711,0)),0,1)+IF(COUNTIFS(Data!C$1:'Data'!C711,Data!C711)&gt;1,1,0)))</f>
        <v/>
      </c>
      <c r="D711" s="9" t="str">
        <f>IF(Data!B711="","",IF(ISNUMBER(Data!D711),IF(AND(Data!D711&gt;999999999,Data!D711&lt;=9999999999),IF(COUNTIFS(Data!D$1:'Data'!D711,Data!D711)&lt;=1,0,1),1),1))</f>
        <v/>
      </c>
      <c r="E711" s="9" t="str">
        <f>IF(Data!B711="","",IF(ISNUMBER(MATCH(Data!E711,Data_Val!$A$2:$A$3,0)),0,1))</f>
        <v/>
      </c>
      <c r="F711" s="9" t="str">
        <f ca="1">IF(Data!B711="","",IF(ISNUMBER(Data!F711),IF(AND(Data!F711&gt;(TODAY()-(Data_Val!$H$3*365.25)),Data!F711&lt;=(TODAY()-(Data_Val!$H$2*365.25))),0,1),1))</f>
        <v/>
      </c>
      <c r="G711" s="15" t="str">
        <f>IF(Data!B711="","",IF(AND(Data!G711="",Data!H711&lt;&gt;""),1,IF(Data!#REF!&lt;&gt;"",0,IF(ISNUMBER(MATCH(Data!G711,Data_Val!$C$2:$C$5,0)),0,1))))</f>
        <v/>
      </c>
      <c r="H711" s="15" t="str">
        <f>IF(Data!B711="","",IF(AND(Data!G711&lt;&gt;"",Data!H711=""),1,IF(Data!#REF!&lt;&gt;"",0,IF(Data!G711="",1,IF(ISNUMBER(MATCH(Data!H711,Data_Val!$D$2:$D$35,0)),0,1)))))</f>
        <v/>
      </c>
      <c r="I711" s="15" t="str">
        <f>IF(Data!B711="","",IF(Data!G711&lt;&gt;"",0,IF(ISNUMBER(MATCH(Data!#REF!,Data_Val!$E$2:$E$12,0)),0,1)))</f>
        <v/>
      </c>
      <c r="J711" s="16" t="e">
        <f>IF(OR(Data!B711="",Data!#REF!=""),"",IF(Data!#REF!="",1,0))</f>
        <v>#REF!</v>
      </c>
      <c r="K711" s="16" t="e">
        <f>IF(OR(Data!B711="",Data!#REF!=""),"",IF(Data!#REF!="",1,0))</f>
        <v>#REF!</v>
      </c>
      <c r="L711" s="16" t="e">
        <f>IF(OR(Data!B711="",Data!#REF!=""),"",IF(ISNUMBER(Data!#REF!),IF(AND(Data!#REF!&gt;Data_Val!$G$2,Data!#REF!&lt;=Data_Val!$G$3),0,1),1))</f>
        <v>#REF!</v>
      </c>
      <c r="M711" s="9" t="e">
        <f>IF(OR(Data!B711="",Data!#REF!=""),"",IF(ISNUMBER(MATCH(Data!#REF!,Data_Val!$F$1:$F$38,0)),0,1))</f>
        <v>#REF!</v>
      </c>
      <c r="N711" s="9" t="e">
        <f>IF(OR(Data!B711="",Data!#REF!=""),"",IF(Data!#REF!="",1,0))</f>
        <v>#REF!</v>
      </c>
      <c r="O711" s="17" t="e">
        <f>IF(Data!#REF!="","",IF(Data!#REF!="",1,0))</f>
        <v>#REF!</v>
      </c>
      <c r="P711" s="17" t="e">
        <f>IF(Data!#REF!="","",IF(ISNUMBER(MATCH(Data!#REF!,Data_Val!$A$2:$A$3,0)),0,1))</f>
        <v>#REF!</v>
      </c>
      <c r="Q711" s="25" t="e">
        <f ca="1">IF(Data!#REF!="","",IF(ISNUMBER(Data!#REF!),IF(AND(Data!#REF!&gt;(TODAY()-(Data_Val!$J$3*365.25)),Data!#REF!&lt;=(TODAY()-(Data_Val!$J$2*365.25))),0,1),1))</f>
        <v>#REF!</v>
      </c>
      <c r="R711" s="17" t="e">
        <f>IF(Data!#REF!="","",IF(ISNUMBER(MATCH(Data!#REF!,Data_Val!$B$2:$B$15,0)),0,1))</f>
        <v>#REF!</v>
      </c>
      <c r="S711" s="11" t="str">
        <f>IF(Data!G711="","",IF(Data!G711=Data_Val!$C$2,IF(Data!M711="",0,1),0))</f>
        <v/>
      </c>
      <c r="T711" s="11" t="str">
        <f>IF(Data!M711="","",IF(ISNUMBER(MATCH(Data!N711,Data_Val!$A$2:$A$3,0)),0,1))</f>
        <v/>
      </c>
      <c r="U711" s="11" t="str">
        <f ca="1">IF(Data!M711="","",IF(ISNUMBER(Data!O711),IF(AND(Data!O711&gt;(TODAY()-(Data_Val!$K$3*365.25)),Data!O711&lt;=(TODAY()-(Data_Val!$K$2*365.25))),0,1),1))</f>
        <v/>
      </c>
      <c r="V711" s="12" t="str">
        <f>IF(Data!G711="","",IF(Data!G711=Data_Val!$C$2,IF(Data!P711="",0,1),0))</f>
        <v/>
      </c>
      <c r="W711" s="12" t="str">
        <f>IF(Data!P711="","",IF(ISNUMBER(MATCH(Data!Q711,Data_Val!$A$2:$A$3,0)),0,1))</f>
        <v/>
      </c>
      <c r="X711" s="26" t="str">
        <f ca="1">IF(Data!P711="","",IF(ISNUMBER(Data!R711),IF(AND(Data!R711&gt;(TODAY()-(Data_Val!$L$3*365.25)),Data!R711&lt;=(TODAY()-(Data_Val!$L$2*365.25))),0,1),1))</f>
        <v/>
      </c>
      <c r="Y711" s="13" t="str">
        <f>IF(Data!$G711="","",IF(Data!$G711=Data_Val!$C$2,IF(Data!S711="",0,1),0))</f>
        <v/>
      </c>
      <c r="Z711" s="13" t="str">
        <f>IF(Data!S711="","",IF(ISNUMBER(MATCH(Data!T711,Data_Val!$A$2:$A$3,0)),0,1))</f>
        <v/>
      </c>
      <c r="AA711" s="28" t="str">
        <f ca="1">IF(Data!S711="","",IF(ISNUMBER(Data!U711),IF(AND(Data!U711&gt;(TODAY()-(Data_Val!$L$3*365.25)),Data!U711&lt;=(TODAY()-(Data_Val!$L$2*365.25))),0,1),1))</f>
        <v/>
      </c>
      <c r="AB711" s="11"/>
      <c r="AC711" s="11" t="e">
        <f>IF(Data!#REF!="","",IF(ISNUMBER(MATCH(Data!#REF!,Data_Val!$A$2:$A$3,0)),0,1))</f>
        <v>#REF!</v>
      </c>
      <c r="AD711" s="11" t="e">
        <f ca="1">IF(Data!#REF!="","",IF(ISNUMBER(Data!#REF!),IF(AND(Data!#REF!&gt;(TODAY()-(Data_Val!$L$3*365.25)),Data!#REF!&lt;=(TODAY()-(Data_Val!$L$2*365.25))),0,1),1))</f>
        <v>#REF!</v>
      </c>
      <c r="AE711" s="11" t="e">
        <f>IF(Data!#REF!="","",IF(Data!$G711="",1,IF(ISNUMBER(MATCH(Data!#REF!,Data_Val!$D$2:$D$10,0)),0,1)))</f>
        <v>#REF!</v>
      </c>
      <c r="AF711" s="12"/>
      <c r="AG711" s="12" t="e">
        <f>IF(Data!#REF!="","",IF(ISNUMBER(MATCH(Data!#REF!,Data_Val!$A$2:$A$3,0)),0,1))</f>
        <v>#REF!</v>
      </c>
      <c r="AH711" s="26" t="e">
        <f ca="1">IF(Data!#REF!="","",IF(ISNUMBER(Data!#REF!),IF(AND(Data!#REF!&gt;(TODAY()-(Data_Val!$L$3*365.25)),Data!#REF!&lt;=(TODAY()-(Data_Val!$L$2*365.25))),0,1),1))</f>
        <v>#REF!</v>
      </c>
      <c r="AI711" s="12" t="e">
        <f>IF(Data!#REF!="","",IF(Data!$G711="",1,IF(ISNUMBER(MATCH(Data!#REF!,Data_Val!$D$2:$D$10,0)),0,1)))</f>
        <v>#REF!</v>
      </c>
      <c r="AJ711" s="17"/>
      <c r="AK711" s="17" t="e">
        <f>IF(Data!#REF!="","",IF(ISNUMBER(MATCH(Data!#REF!,Data_Val!$A$2:$A$3,0)),0,1))</f>
        <v>#REF!</v>
      </c>
      <c r="AL711" s="25" t="e">
        <f ca="1">IF(Data!#REF!="","",IF(ISNUMBER(Data!#REF!),IF(AND(Data!#REF!&gt;(TODAY()-(Data_Val!$L$3*365.25)),Data!#REF!&lt;=(TODAY()-(Data_Val!$L$2*365.25))),0,1),1))</f>
        <v>#REF!</v>
      </c>
      <c r="AM711" s="17" t="e">
        <f>IF(Data!#REF!="","",IF(Data!$G711="",1,IF(ISNUMBER(MATCH(Data!#REF!,Data_Val!$D$2:$D$10,0)),0,1)))</f>
        <v>#REF!</v>
      </c>
      <c r="AN711" s="13"/>
      <c r="AO711" s="28" t="e">
        <f ca="1">IF(Data!#REF!="","",IF(ISNUMBER(Data!#REF!),IF(AND(Data!#REF!&gt;(TODAY()-(Data_Val!$I$3*365.25)),Data!#REF!&lt;=(TODAY()-(Data_Val!$I$2*365.25))),0,1),1))</f>
        <v>#REF!</v>
      </c>
      <c r="AP711" s="13" t="e">
        <f>IF(Data!#REF!="","",IF(Data!$G711="",1,IF(ISNUMBER(MATCH(Data!#REF!,Data_Val!$D$2:$D$10,0)),0,1)))</f>
        <v>#REF!</v>
      </c>
      <c r="AQ711" s="17"/>
      <c r="AR711" s="30" t="e">
        <f ca="1">IF(Data!#REF!="","",IF(ISNUMBER(Data!#REF!),IF(AND(Data!#REF!&gt;(TODAY()-(Data_Val!$I$3*365.25)),Data!#REF!&lt;=(TODAY()-(Data_Val!$I$2*365.25))),0,1),1))</f>
        <v>#REF!</v>
      </c>
      <c r="AS711" s="31" t="e">
        <f>IF(Data!#REF!="","",IF(Data!$G711="",1,IF(ISNUMBER(MATCH(Data!#REF!,Data_Val!$D$2:$D$10,0)),0,1)))</f>
        <v>#REF!</v>
      </c>
      <c r="AT711" s="11"/>
      <c r="AU711" s="11" t="e">
        <f ca="1">IF(Data!#REF!="","",IF(ISNUMBER(Data!#REF!),IF(AND(Data!#REF!&gt;(TODAY()-(Data_Val!$I$3*365.25)),Data!#REF!&lt;=(TODAY()-(Data_Val!$I$2*365.25))),0,1),1))</f>
        <v>#REF!</v>
      </c>
      <c r="AV711" s="11" t="e">
        <f>IF(Data!#REF!="","",IF(Data!$G711="",1,IF(ISNUMBER(MATCH(Data!#REF!,Data_Val!$D$2:$D$10,0)),0,1)))</f>
        <v>#REF!</v>
      </c>
      <c r="AW711" s="12"/>
      <c r="AX711" s="26" t="e">
        <f ca="1">IF(Data!#REF!="","",IF(ISNUMBER(Data!#REF!),IF(AND(Data!#REF!&gt;(TODAY()-(Data_Val!$I$3*365.25)),Data!#REF!&lt;=(TODAY()-(Data_Val!$I$2*365.25))),0,1),1))</f>
        <v>#REF!</v>
      </c>
      <c r="AY711" s="12" t="e">
        <f>IF(Data!#REF!="","",IF(Data!$G711="",1,IF(ISNUMBER(MATCH(Data!#REF!,Data_Val!$D$2:$D$10,0)),0,1)))</f>
        <v>#REF!</v>
      </c>
      <c r="AZ711" s="11"/>
      <c r="BA711" s="19" t="e">
        <f ca="1">IF(Data!#REF!="","",IF(ISNUMBER(Data!#REF!),IF(AND(Data!#REF!&gt;(TODAY()-(Data_Val!$M$3*365.25)),Data!#REF!&lt;=(TODAY()-(Data_Val!$M$2*365.25))),0,1),1))</f>
        <v>#REF!</v>
      </c>
      <c r="BB711" s="11" t="e">
        <f>IF(Data!#REF!="","",IF(Data!$G711="",1,IF(ISNUMBER(MATCH(Data!#REF!,Data_Val!$D$2:$D$10,0)),0,1)))</f>
        <v>#REF!</v>
      </c>
      <c r="BC711" s="12"/>
      <c r="BD711" s="20" t="e">
        <f ca="1">IF(Data!#REF!="","",IF(ISNUMBER(Data!#REF!),IF(AND(Data!#REF!&gt;(TODAY()-(Data_Val!$M$3*365.25)),Data!#REF!&lt;=(TODAY()-(Data_Val!$M$2*365.25))),0,1),1))</f>
        <v>#REF!</v>
      </c>
      <c r="BE711" s="12" t="e">
        <f>IF(Data!#REF!="","",IF(Data!$G711="",1,IF(ISNUMBER(MATCH(Data!#REF!,Data_Val!$D$2:$D$10,0)),0,1)))</f>
        <v>#REF!</v>
      </c>
      <c r="BF711" s="17"/>
      <c r="BG711" s="18" t="e">
        <f ca="1">IF(Data!#REF!="","",IF(ISNUMBER(Data!#REF!),IF(AND(Data!#REF!&gt;(TODAY()-(Data_Val!$M$3*365.25)),Data!#REF!&lt;=(TODAY()-(Data_Val!$M$2*365.25))),0,1),1))</f>
        <v>#REF!</v>
      </c>
      <c r="BH711" s="29" t="e">
        <f>IF(Data!#REF!="","",IF(Data!$G711="",1,IF(ISNUMBER(MATCH(Data!#REF!,Data_Val!$D$2:$D$10,0)),0,1)))</f>
        <v>#REF!</v>
      </c>
      <c r="BI711" s="13"/>
      <c r="BJ711" s="21" t="e">
        <f ca="1">IF(Data!#REF!="","",IF(ISNUMBER(Data!#REF!),IF(AND(Data!#REF!&gt;(TODAY()-(Data_Val!$M$3*365.25)),Data!#REF!&lt;=(TODAY()-(Data_Val!$M$2*365.25))),0,1),1))</f>
        <v>#REF!</v>
      </c>
      <c r="BK711" s="13" t="e">
        <f>IF(Data!#REF!="","",IF(Data!$G711="",1,IF(ISNUMBER(MATCH(Data!#REF!,Data_Val!$D$2:$D$10,0)),0,1)))</f>
        <v>#REF!</v>
      </c>
    </row>
    <row r="712" spans="1:63" x14ac:dyDescent="0.25">
      <c r="A712" s="9" t="str">
        <f>IF(Data!B712="","",IF(COUNTIFS(Data!A$1:'Data'!A712,Data!A712)&lt;=1,0,1))</f>
        <v/>
      </c>
      <c r="B712" s="9"/>
      <c r="C712" s="23" t="str">
        <f>IF(Data!C712="","",(IF(ISNUMBER(MATCH("*@*.?*",Data!C712,0)),0,1)+IF(COUNTIFS(Data!C$1:'Data'!C712,Data!C712)&gt;1,1,0)))</f>
        <v/>
      </c>
      <c r="D712" s="9" t="str">
        <f>IF(Data!B712="","",IF(ISNUMBER(Data!D712),IF(AND(Data!D712&gt;999999999,Data!D712&lt;=9999999999),IF(COUNTIFS(Data!D$1:'Data'!D712,Data!D712)&lt;=1,0,1),1),1))</f>
        <v/>
      </c>
      <c r="E712" s="9" t="str">
        <f>IF(Data!B712="","",IF(ISNUMBER(MATCH(Data!E712,Data_Val!$A$2:$A$3,0)),0,1))</f>
        <v/>
      </c>
      <c r="F712" s="9" t="str">
        <f ca="1">IF(Data!B712="","",IF(ISNUMBER(Data!F712),IF(AND(Data!F712&gt;(TODAY()-(Data_Val!$H$3*365.25)),Data!F712&lt;=(TODAY()-(Data_Val!$H$2*365.25))),0,1),1))</f>
        <v/>
      </c>
      <c r="G712" s="15" t="str">
        <f>IF(Data!B712="","",IF(AND(Data!G712="",Data!H712&lt;&gt;""),1,IF(Data!#REF!&lt;&gt;"",0,IF(ISNUMBER(MATCH(Data!G712,Data_Val!$C$2:$C$5,0)),0,1))))</f>
        <v/>
      </c>
      <c r="H712" s="15" t="str">
        <f>IF(Data!B712="","",IF(AND(Data!G712&lt;&gt;"",Data!H712=""),1,IF(Data!#REF!&lt;&gt;"",0,IF(Data!G712="",1,IF(ISNUMBER(MATCH(Data!H712,Data_Val!$D$2:$D$35,0)),0,1)))))</f>
        <v/>
      </c>
      <c r="I712" s="15" t="str">
        <f>IF(Data!B712="","",IF(Data!G712&lt;&gt;"",0,IF(ISNUMBER(MATCH(Data!#REF!,Data_Val!$E$2:$E$12,0)),0,1)))</f>
        <v/>
      </c>
      <c r="J712" s="16" t="e">
        <f>IF(OR(Data!B712="",Data!#REF!=""),"",IF(Data!#REF!="",1,0))</f>
        <v>#REF!</v>
      </c>
      <c r="K712" s="16" t="e">
        <f>IF(OR(Data!B712="",Data!#REF!=""),"",IF(Data!#REF!="",1,0))</f>
        <v>#REF!</v>
      </c>
      <c r="L712" s="16" t="e">
        <f>IF(OR(Data!B712="",Data!#REF!=""),"",IF(ISNUMBER(Data!#REF!),IF(AND(Data!#REF!&gt;Data_Val!$G$2,Data!#REF!&lt;=Data_Val!$G$3),0,1),1))</f>
        <v>#REF!</v>
      </c>
      <c r="M712" s="9" t="e">
        <f>IF(OR(Data!B712="",Data!#REF!=""),"",IF(ISNUMBER(MATCH(Data!#REF!,Data_Val!$F$1:$F$38,0)),0,1))</f>
        <v>#REF!</v>
      </c>
      <c r="N712" s="9" t="e">
        <f>IF(OR(Data!B712="",Data!#REF!=""),"",IF(Data!#REF!="",1,0))</f>
        <v>#REF!</v>
      </c>
      <c r="O712" s="17" t="e">
        <f>IF(Data!#REF!="","",IF(Data!#REF!="",1,0))</f>
        <v>#REF!</v>
      </c>
      <c r="P712" s="17" t="e">
        <f>IF(Data!#REF!="","",IF(ISNUMBER(MATCH(Data!#REF!,Data_Val!$A$2:$A$3,0)),0,1))</f>
        <v>#REF!</v>
      </c>
      <c r="Q712" s="25" t="e">
        <f ca="1">IF(Data!#REF!="","",IF(ISNUMBER(Data!#REF!),IF(AND(Data!#REF!&gt;(TODAY()-(Data_Val!$J$3*365.25)),Data!#REF!&lt;=(TODAY()-(Data_Val!$J$2*365.25))),0,1),1))</f>
        <v>#REF!</v>
      </c>
      <c r="R712" s="17" t="e">
        <f>IF(Data!#REF!="","",IF(ISNUMBER(MATCH(Data!#REF!,Data_Val!$B$2:$B$15,0)),0,1))</f>
        <v>#REF!</v>
      </c>
      <c r="S712" s="11" t="str">
        <f>IF(Data!G712="","",IF(Data!G712=Data_Val!$C$2,IF(Data!M712="",0,1),0))</f>
        <v/>
      </c>
      <c r="T712" s="11" t="str">
        <f>IF(Data!M712="","",IF(ISNUMBER(MATCH(Data!N712,Data_Val!$A$2:$A$3,0)),0,1))</f>
        <v/>
      </c>
      <c r="U712" s="11" t="str">
        <f ca="1">IF(Data!M712="","",IF(ISNUMBER(Data!O712),IF(AND(Data!O712&gt;(TODAY()-(Data_Val!$K$3*365.25)),Data!O712&lt;=(TODAY()-(Data_Val!$K$2*365.25))),0,1),1))</f>
        <v/>
      </c>
      <c r="V712" s="12" t="str">
        <f>IF(Data!G712="","",IF(Data!G712=Data_Val!$C$2,IF(Data!P712="",0,1),0))</f>
        <v/>
      </c>
      <c r="W712" s="12" t="str">
        <f>IF(Data!P712="","",IF(ISNUMBER(MATCH(Data!Q712,Data_Val!$A$2:$A$3,0)),0,1))</f>
        <v/>
      </c>
      <c r="X712" s="26" t="str">
        <f ca="1">IF(Data!P712="","",IF(ISNUMBER(Data!R712),IF(AND(Data!R712&gt;(TODAY()-(Data_Val!$L$3*365.25)),Data!R712&lt;=(TODAY()-(Data_Val!$L$2*365.25))),0,1),1))</f>
        <v/>
      </c>
      <c r="Y712" s="13" t="str">
        <f>IF(Data!$G712="","",IF(Data!$G712=Data_Val!$C$2,IF(Data!S712="",0,1),0))</f>
        <v/>
      </c>
      <c r="Z712" s="13" t="str">
        <f>IF(Data!S712="","",IF(ISNUMBER(MATCH(Data!T712,Data_Val!$A$2:$A$3,0)),0,1))</f>
        <v/>
      </c>
      <c r="AA712" s="28" t="str">
        <f ca="1">IF(Data!S712="","",IF(ISNUMBER(Data!U712),IF(AND(Data!U712&gt;(TODAY()-(Data_Val!$L$3*365.25)),Data!U712&lt;=(TODAY()-(Data_Val!$L$2*365.25))),0,1),1))</f>
        <v/>
      </c>
      <c r="AB712" s="11"/>
      <c r="AC712" s="11" t="e">
        <f>IF(Data!#REF!="","",IF(ISNUMBER(MATCH(Data!#REF!,Data_Val!$A$2:$A$3,0)),0,1))</f>
        <v>#REF!</v>
      </c>
      <c r="AD712" s="11" t="e">
        <f ca="1">IF(Data!#REF!="","",IF(ISNUMBER(Data!#REF!),IF(AND(Data!#REF!&gt;(TODAY()-(Data_Val!$L$3*365.25)),Data!#REF!&lt;=(TODAY()-(Data_Val!$L$2*365.25))),0,1),1))</f>
        <v>#REF!</v>
      </c>
      <c r="AE712" s="11" t="e">
        <f>IF(Data!#REF!="","",IF(Data!$G712="",1,IF(ISNUMBER(MATCH(Data!#REF!,Data_Val!$D$2:$D$10,0)),0,1)))</f>
        <v>#REF!</v>
      </c>
      <c r="AF712" s="12"/>
      <c r="AG712" s="12" t="e">
        <f>IF(Data!#REF!="","",IF(ISNUMBER(MATCH(Data!#REF!,Data_Val!$A$2:$A$3,0)),0,1))</f>
        <v>#REF!</v>
      </c>
      <c r="AH712" s="26" t="e">
        <f ca="1">IF(Data!#REF!="","",IF(ISNUMBER(Data!#REF!),IF(AND(Data!#REF!&gt;(TODAY()-(Data_Val!$L$3*365.25)),Data!#REF!&lt;=(TODAY()-(Data_Val!$L$2*365.25))),0,1),1))</f>
        <v>#REF!</v>
      </c>
      <c r="AI712" s="12" t="e">
        <f>IF(Data!#REF!="","",IF(Data!$G712="",1,IF(ISNUMBER(MATCH(Data!#REF!,Data_Val!$D$2:$D$10,0)),0,1)))</f>
        <v>#REF!</v>
      </c>
      <c r="AJ712" s="17"/>
      <c r="AK712" s="17" t="e">
        <f>IF(Data!#REF!="","",IF(ISNUMBER(MATCH(Data!#REF!,Data_Val!$A$2:$A$3,0)),0,1))</f>
        <v>#REF!</v>
      </c>
      <c r="AL712" s="25" t="e">
        <f ca="1">IF(Data!#REF!="","",IF(ISNUMBER(Data!#REF!),IF(AND(Data!#REF!&gt;(TODAY()-(Data_Val!$L$3*365.25)),Data!#REF!&lt;=(TODAY()-(Data_Val!$L$2*365.25))),0,1),1))</f>
        <v>#REF!</v>
      </c>
      <c r="AM712" s="17" t="e">
        <f>IF(Data!#REF!="","",IF(Data!$G712="",1,IF(ISNUMBER(MATCH(Data!#REF!,Data_Val!$D$2:$D$10,0)),0,1)))</f>
        <v>#REF!</v>
      </c>
      <c r="AN712" s="13"/>
      <c r="AO712" s="28" t="e">
        <f ca="1">IF(Data!#REF!="","",IF(ISNUMBER(Data!#REF!),IF(AND(Data!#REF!&gt;(TODAY()-(Data_Val!$I$3*365.25)),Data!#REF!&lt;=(TODAY()-(Data_Val!$I$2*365.25))),0,1),1))</f>
        <v>#REF!</v>
      </c>
      <c r="AP712" s="13" t="e">
        <f>IF(Data!#REF!="","",IF(Data!$G712="",1,IF(ISNUMBER(MATCH(Data!#REF!,Data_Val!$D$2:$D$10,0)),0,1)))</f>
        <v>#REF!</v>
      </c>
      <c r="AQ712" s="17"/>
      <c r="AR712" s="30" t="e">
        <f ca="1">IF(Data!#REF!="","",IF(ISNUMBER(Data!#REF!),IF(AND(Data!#REF!&gt;(TODAY()-(Data_Val!$I$3*365.25)),Data!#REF!&lt;=(TODAY()-(Data_Val!$I$2*365.25))),0,1),1))</f>
        <v>#REF!</v>
      </c>
      <c r="AS712" s="31" t="e">
        <f>IF(Data!#REF!="","",IF(Data!$G712="",1,IF(ISNUMBER(MATCH(Data!#REF!,Data_Val!$D$2:$D$10,0)),0,1)))</f>
        <v>#REF!</v>
      </c>
      <c r="AT712" s="11"/>
      <c r="AU712" s="11" t="e">
        <f ca="1">IF(Data!#REF!="","",IF(ISNUMBER(Data!#REF!),IF(AND(Data!#REF!&gt;(TODAY()-(Data_Val!$I$3*365.25)),Data!#REF!&lt;=(TODAY()-(Data_Val!$I$2*365.25))),0,1),1))</f>
        <v>#REF!</v>
      </c>
      <c r="AV712" s="11" t="e">
        <f>IF(Data!#REF!="","",IF(Data!$G712="",1,IF(ISNUMBER(MATCH(Data!#REF!,Data_Val!$D$2:$D$10,0)),0,1)))</f>
        <v>#REF!</v>
      </c>
      <c r="AW712" s="12"/>
      <c r="AX712" s="26" t="e">
        <f ca="1">IF(Data!#REF!="","",IF(ISNUMBER(Data!#REF!),IF(AND(Data!#REF!&gt;(TODAY()-(Data_Val!$I$3*365.25)),Data!#REF!&lt;=(TODAY()-(Data_Val!$I$2*365.25))),0,1),1))</f>
        <v>#REF!</v>
      </c>
      <c r="AY712" s="12" t="e">
        <f>IF(Data!#REF!="","",IF(Data!$G712="",1,IF(ISNUMBER(MATCH(Data!#REF!,Data_Val!$D$2:$D$10,0)),0,1)))</f>
        <v>#REF!</v>
      </c>
      <c r="AZ712" s="11"/>
      <c r="BA712" s="19" t="e">
        <f ca="1">IF(Data!#REF!="","",IF(ISNUMBER(Data!#REF!),IF(AND(Data!#REF!&gt;(TODAY()-(Data_Val!$M$3*365.25)),Data!#REF!&lt;=(TODAY()-(Data_Val!$M$2*365.25))),0,1),1))</f>
        <v>#REF!</v>
      </c>
      <c r="BB712" s="11" t="e">
        <f>IF(Data!#REF!="","",IF(Data!$G712="",1,IF(ISNUMBER(MATCH(Data!#REF!,Data_Val!$D$2:$D$10,0)),0,1)))</f>
        <v>#REF!</v>
      </c>
      <c r="BC712" s="12"/>
      <c r="BD712" s="20" t="e">
        <f ca="1">IF(Data!#REF!="","",IF(ISNUMBER(Data!#REF!),IF(AND(Data!#REF!&gt;(TODAY()-(Data_Val!$M$3*365.25)),Data!#REF!&lt;=(TODAY()-(Data_Val!$M$2*365.25))),0,1),1))</f>
        <v>#REF!</v>
      </c>
      <c r="BE712" s="12" t="e">
        <f>IF(Data!#REF!="","",IF(Data!$G712="",1,IF(ISNUMBER(MATCH(Data!#REF!,Data_Val!$D$2:$D$10,0)),0,1)))</f>
        <v>#REF!</v>
      </c>
      <c r="BF712" s="17"/>
      <c r="BG712" s="18" t="e">
        <f ca="1">IF(Data!#REF!="","",IF(ISNUMBER(Data!#REF!),IF(AND(Data!#REF!&gt;(TODAY()-(Data_Val!$M$3*365.25)),Data!#REF!&lt;=(TODAY()-(Data_Val!$M$2*365.25))),0,1),1))</f>
        <v>#REF!</v>
      </c>
      <c r="BH712" s="29" t="e">
        <f>IF(Data!#REF!="","",IF(Data!$G712="",1,IF(ISNUMBER(MATCH(Data!#REF!,Data_Val!$D$2:$D$10,0)),0,1)))</f>
        <v>#REF!</v>
      </c>
      <c r="BI712" s="13"/>
      <c r="BJ712" s="21" t="e">
        <f ca="1">IF(Data!#REF!="","",IF(ISNUMBER(Data!#REF!),IF(AND(Data!#REF!&gt;(TODAY()-(Data_Val!$M$3*365.25)),Data!#REF!&lt;=(TODAY()-(Data_Val!$M$2*365.25))),0,1),1))</f>
        <v>#REF!</v>
      </c>
      <c r="BK712" s="13" t="e">
        <f>IF(Data!#REF!="","",IF(Data!$G712="",1,IF(ISNUMBER(MATCH(Data!#REF!,Data_Val!$D$2:$D$10,0)),0,1)))</f>
        <v>#REF!</v>
      </c>
    </row>
    <row r="713" spans="1:63" x14ac:dyDescent="0.25">
      <c r="A713" s="9" t="str">
        <f>IF(Data!B713="","",IF(COUNTIFS(Data!A$1:'Data'!A713,Data!A713)&lt;=1,0,1))</f>
        <v/>
      </c>
      <c r="B713" s="9"/>
      <c r="C713" s="23" t="str">
        <f>IF(Data!C713="","",(IF(ISNUMBER(MATCH("*@*.?*",Data!C713,0)),0,1)+IF(COUNTIFS(Data!C$1:'Data'!C713,Data!C713)&gt;1,1,0)))</f>
        <v/>
      </c>
      <c r="D713" s="9" t="str">
        <f>IF(Data!B713="","",IF(ISNUMBER(Data!D713),IF(AND(Data!D713&gt;999999999,Data!D713&lt;=9999999999),IF(COUNTIFS(Data!D$1:'Data'!D713,Data!D713)&lt;=1,0,1),1),1))</f>
        <v/>
      </c>
      <c r="E713" s="9" t="str">
        <f>IF(Data!B713="","",IF(ISNUMBER(MATCH(Data!E713,Data_Val!$A$2:$A$3,0)),0,1))</f>
        <v/>
      </c>
      <c r="F713" s="9" t="str">
        <f ca="1">IF(Data!B713="","",IF(ISNUMBER(Data!F713),IF(AND(Data!F713&gt;(TODAY()-(Data_Val!$H$3*365.25)),Data!F713&lt;=(TODAY()-(Data_Val!$H$2*365.25))),0,1),1))</f>
        <v/>
      </c>
      <c r="G713" s="15" t="str">
        <f>IF(Data!B713="","",IF(AND(Data!G713="",Data!H713&lt;&gt;""),1,IF(Data!#REF!&lt;&gt;"",0,IF(ISNUMBER(MATCH(Data!G713,Data_Val!$C$2:$C$5,0)),0,1))))</f>
        <v/>
      </c>
      <c r="H713" s="15" t="str">
        <f>IF(Data!B713="","",IF(AND(Data!G713&lt;&gt;"",Data!H713=""),1,IF(Data!#REF!&lt;&gt;"",0,IF(Data!G713="",1,IF(ISNUMBER(MATCH(Data!H713,Data_Val!$D$2:$D$35,0)),0,1)))))</f>
        <v/>
      </c>
      <c r="I713" s="15" t="str">
        <f>IF(Data!B713="","",IF(Data!G713&lt;&gt;"",0,IF(ISNUMBER(MATCH(Data!#REF!,Data_Val!$E$2:$E$12,0)),0,1)))</f>
        <v/>
      </c>
      <c r="J713" s="16" t="e">
        <f>IF(OR(Data!B713="",Data!#REF!=""),"",IF(Data!#REF!="",1,0))</f>
        <v>#REF!</v>
      </c>
      <c r="K713" s="16" t="e">
        <f>IF(OR(Data!B713="",Data!#REF!=""),"",IF(Data!#REF!="",1,0))</f>
        <v>#REF!</v>
      </c>
      <c r="L713" s="16" t="e">
        <f>IF(OR(Data!B713="",Data!#REF!=""),"",IF(ISNUMBER(Data!#REF!),IF(AND(Data!#REF!&gt;Data_Val!$G$2,Data!#REF!&lt;=Data_Val!$G$3),0,1),1))</f>
        <v>#REF!</v>
      </c>
      <c r="M713" s="9" t="e">
        <f>IF(OR(Data!B713="",Data!#REF!=""),"",IF(ISNUMBER(MATCH(Data!#REF!,Data_Val!$F$1:$F$38,0)),0,1))</f>
        <v>#REF!</v>
      </c>
      <c r="N713" s="9" t="e">
        <f>IF(OR(Data!B713="",Data!#REF!=""),"",IF(Data!#REF!="",1,0))</f>
        <v>#REF!</v>
      </c>
      <c r="O713" s="17" t="e">
        <f>IF(Data!#REF!="","",IF(Data!#REF!="",1,0))</f>
        <v>#REF!</v>
      </c>
      <c r="P713" s="17" t="e">
        <f>IF(Data!#REF!="","",IF(ISNUMBER(MATCH(Data!#REF!,Data_Val!$A$2:$A$3,0)),0,1))</f>
        <v>#REF!</v>
      </c>
      <c r="Q713" s="25" t="e">
        <f ca="1">IF(Data!#REF!="","",IF(ISNUMBER(Data!#REF!),IF(AND(Data!#REF!&gt;(TODAY()-(Data_Val!$J$3*365.25)),Data!#REF!&lt;=(TODAY()-(Data_Val!$J$2*365.25))),0,1),1))</f>
        <v>#REF!</v>
      </c>
      <c r="R713" s="17" t="e">
        <f>IF(Data!#REF!="","",IF(ISNUMBER(MATCH(Data!#REF!,Data_Val!$B$2:$B$15,0)),0,1))</f>
        <v>#REF!</v>
      </c>
      <c r="S713" s="11" t="str">
        <f>IF(Data!G713="","",IF(Data!G713=Data_Val!$C$2,IF(Data!M713="",0,1),0))</f>
        <v/>
      </c>
      <c r="T713" s="11" t="str">
        <f>IF(Data!M713="","",IF(ISNUMBER(MATCH(Data!N713,Data_Val!$A$2:$A$3,0)),0,1))</f>
        <v/>
      </c>
      <c r="U713" s="11" t="str">
        <f ca="1">IF(Data!M713="","",IF(ISNUMBER(Data!O713),IF(AND(Data!O713&gt;(TODAY()-(Data_Val!$K$3*365.25)),Data!O713&lt;=(TODAY()-(Data_Val!$K$2*365.25))),0,1),1))</f>
        <v/>
      </c>
      <c r="V713" s="12" t="str">
        <f>IF(Data!G713="","",IF(Data!G713=Data_Val!$C$2,IF(Data!P713="",0,1),0))</f>
        <v/>
      </c>
      <c r="W713" s="12" t="str">
        <f>IF(Data!P713="","",IF(ISNUMBER(MATCH(Data!Q713,Data_Val!$A$2:$A$3,0)),0,1))</f>
        <v/>
      </c>
      <c r="X713" s="26" t="str">
        <f ca="1">IF(Data!P713="","",IF(ISNUMBER(Data!R713),IF(AND(Data!R713&gt;(TODAY()-(Data_Val!$L$3*365.25)),Data!R713&lt;=(TODAY()-(Data_Val!$L$2*365.25))),0,1),1))</f>
        <v/>
      </c>
      <c r="Y713" s="13" t="str">
        <f>IF(Data!$G713="","",IF(Data!$G713=Data_Val!$C$2,IF(Data!S713="",0,1),0))</f>
        <v/>
      </c>
      <c r="Z713" s="13" t="str">
        <f>IF(Data!S713="","",IF(ISNUMBER(MATCH(Data!T713,Data_Val!$A$2:$A$3,0)),0,1))</f>
        <v/>
      </c>
      <c r="AA713" s="28" t="str">
        <f ca="1">IF(Data!S713="","",IF(ISNUMBER(Data!U713),IF(AND(Data!U713&gt;(TODAY()-(Data_Val!$L$3*365.25)),Data!U713&lt;=(TODAY()-(Data_Val!$L$2*365.25))),0,1),1))</f>
        <v/>
      </c>
      <c r="AB713" s="11"/>
      <c r="AC713" s="11" t="e">
        <f>IF(Data!#REF!="","",IF(ISNUMBER(MATCH(Data!#REF!,Data_Val!$A$2:$A$3,0)),0,1))</f>
        <v>#REF!</v>
      </c>
      <c r="AD713" s="11" t="e">
        <f ca="1">IF(Data!#REF!="","",IF(ISNUMBER(Data!#REF!),IF(AND(Data!#REF!&gt;(TODAY()-(Data_Val!$L$3*365.25)),Data!#REF!&lt;=(TODAY()-(Data_Val!$L$2*365.25))),0,1),1))</f>
        <v>#REF!</v>
      </c>
      <c r="AE713" s="11" t="e">
        <f>IF(Data!#REF!="","",IF(Data!$G713="",1,IF(ISNUMBER(MATCH(Data!#REF!,Data_Val!$D$2:$D$10,0)),0,1)))</f>
        <v>#REF!</v>
      </c>
      <c r="AF713" s="12"/>
      <c r="AG713" s="12" t="e">
        <f>IF(Data!#REF!="","",IF(ISNUMBER(MATCH(Data!#REF!,Data_Val!$A$2:$A$3,0)),0,1))</f>
        <v>#REF!</v>
      </c>
      <c r="AH713" s="26" t="e">
        <f ca="1">IF(Data!#REF!="","",IF(ISNUMBER(Data!#REF!),IF(AND(Data!#REF!&gt;(TODAY()-(Data_Val!$L$3*365.25)),Data!#REF!&lt;=(TODAY()-(Data_Val!$L$2*365.25))),0,1),1))</f>
        <v>#REF!</v>
      </c>
      <c r="AI713" s="12" t="e">
        <f>IF(Data!#REF!="","",IF(Data!$G713="",1,IF(ISNUMBER(MATCH(Data!#REF!,Data_Val!$D$2:$D$10,0)),0,1)))</f>
        <v>#REF!</v>
      </c>
      <c r="AJ713" s="17"/>
      <c r="AK713" s="17" t="e">
        <f>IF(Data!#REF!="","",IF(ISNUMBER(MATCH(Data!#REF!,Data_Val!$A$2:$A$3,0)),0,1))</f>
        <v>#REF!</v>
      </c>
      <c r="AL713" s="25" t="e">
        <f ca="1">IF(Data!#REF!="","",IF(ISNUMBER(Data!#REF!),IF(AND(Data!#REF!&gt;(TODAY()-(Data_Val!$L$3*365.25)),Data!#REF!&lt;=(TODAY()-(Data_Val!$L$2*365.25))),0,1),1))</f>
        <v>#REF!</v>
      </c>
      <c r="AM713" s="17" t="e">
        <f>IF(Data!#REF!="","",IF(Data!$G713="",1,IF(ISNUMBER(MATCH(Data!#REF!,Data_Val!$D$2:$D$10,0)),0,1)))</f>
        <v>#REF!</v>
      </c>
      <c r="AN713" s="13"/>
      <c r="AO713" s="28" t="e">
        <f ca="1">IF(Data!#REF!="","",IF(ISNUMBER(Data!#REF!),IF(AND(Data!#REF!&gt;(TODAY()-(Data_Val!$I$3*365.25)),Data!#REF!&lt;=(TODAY()-(Data_Val!$I$2*365.25))),0,1),1))</f>
        <v>#REF!</v>
      </c>
      <c r="AP713" s="13" t="e">
        <f>IF(Data!#REF!="","",IF(Data!$G713="",1,IF(ISNUMBER(MATCH(Data!#REF!,Data_Val!$D$2:$D$10,0)),0,1)))</f>
        <v>#REF!</v>
      </c>
      <c r="AQ713" s="17"/>
      <c r="AR713" s="30" t="e">
        <f ca="1">IF(Data!#REF!="","",IF(ISNUMBER(Data!#REF!),IF(AND(Data!#REF!&gt;(TODAY()-(Data_Val!$I$3*365.25)),Data!#REF!&lt;=(TODAY()-(Data_Val!$I$2*365.25))),0,1),1))</f>
        <v>#REF!</v>
      </c>
      <c r="AS713" s="31" t="e">
        <f>IF(Data!#REF!="","",IF(Data!$G713="",1,IF(ISNUMBER(MATCH(Data!#REF!,Data_Val!$D$2:$D$10,0)),0,1)))</f>
        <v>#REF!</v>
      </c>
      <c r="AT713" s="11"/>
      <c r="AU713" s="11" t="e">
        <f ca="1">IF(Data!#REF!="","",IF(ISNUMBER(Data!#REF!),IF(AND(Data!#REF!&gt;(TODAY()-(Data_Val!$I$3*365.25)),Data!#REF!&lt;=(TODAY()-(Data_Val!$I$2*365.25))),0,1),1))</f>
        <v>#REF!</v>
      </c>
      <c r="AV713" s="11" t="e">
        <f>IF(Data!#REF!="","",IF(Data!$G713="",1,IF(ISNUMBER(MATCH(Data!#REF!,Data_Val!$D$2:$D$10,0)),0,1)))</f>
        <v>#REF!</v>
      </c>
      <c r="AW713" s="12"/>
      <c r="AX713" s="26" t="e">
        <f ca="1">IF(Data!#REF!="","",IF(ISNUMBER(Data!#REF!),IF(AND(Data!#REF!&gt;(TODAY()-(Data_Val!$I$3*365.25)),Data!#REF!&lt;=(TODAY()-(Data_Val!$I$2*365.25))),0,1),1))</f>
        <v>#REF!</v>
      </c>
      <c r="AY713" s="12" t="e">
        <f>IF(Data!#REF!="","",IF(Data!$G713="",1,IF(ISNUMBER(MATCH(Data!#REF!,Data_Val!$D$2:$D$10,0)),0,1)))</f>
        <v>#REF!</v>
      </c>
      <c r="AZ713" s="11"/>
      <c r="BA713" s="19" t="e">
        <f ca="1">IF(Data!#REF!="","",IF(ISNUMBER(Data!#REF!),IF(AND(Data!#REF!&gt;(TODAY()-(Data_Val!$M$3*365.25)),Data!#REF!&lt;=(TODAY()-(Data_Val!$M$2*365.25))),0,1),1))</f>
        <v>#REF!</v>
      </c>
      <c r="BB713" s="11" t="e">
        <f>IF(Data!#REF!="","",IF(Data!$G713="",1,IF(ISNUMBER(MATCH(Data!#REF!,Data_Val!$D$2:$D$10,0)),0,1)))</f>
        <v>#REF!</v>
      </c>
      <c r="BC713" s="12"/>
      <c r="BD713" s="20" t="e">
        <f ca="1">IF(Data!#REF!="","",IF(ISNUMBER(Data!#REF!),IF(AND(Data!#REF!&gt;(TODAY()-(Data_Val!$M$3*365.25)),Data!#REF!&lt;=(TODAY()-(Data_Val!$M$2*365.25))),0,1),1))</f>
        <v>#REF!</v>
      </c>
      <c r="BE713" s="12" t="e">
        <f>IF(Data!#REF!="","",IF(Data!$G713="",1,IF(ISNUMBER(MATCH(Data!#REF!,Data_Val!$D$2:$D$10,0)),0,1)))</f>
        <v>#REF!</v>
      </c>
      <c r="BF713" s="17"/>
      <c r="BG713" s="18" t="e">
        <f ca="1">IF(Data!#REF!="","",IF(ISNUMBER(Data!#REF!),IF(AND(Data!#REF!&gt;(TODAY()-(Data_Val!$M$3*365.25)),Data!#REF!&lt;=(TODAY()-(Data_Val!$M$2*365.25))),0,1),1))</f>
        <v>#REF!</v>
      </c>
      <c r="BH713" s="29" t="e">
        <f>IF(Data!#REF!="","",IF(Data!$G713="",1,IF(ISNUMBER(MATCH(Data!#REF!,Data_Val!$D$2:$D$10,0)),0,1)))</f>
        <v>#REF!</v>
      </c>
      <c r="BI713" s="13"/>
      <c r="BJ713" s="21" t="e">
        <f ca="1">IF(Data!#REF!="","",IF(ISNUMBER(Data!#REF!),IF(AND(Data!#REF!&gt;(TODAY()-(Data_Val!$M$3*365.25)),Data!#REF!&lt;=(TODAY()-(Data_Val!$M$2*365.25))),0,1),1))</f>
        <v>#REF!</v>
      </c>
      <c r="BK713" s="13" t="e">
        <f>IF(Data!#REF!="","",IF(Data!$G713="",1,IF(ISNUMBER(MATCH(Data!#REF!,Data_Val!$D$2:$D$10,0)),0,1)))</f>
        <v>#REF!</v>
      </c>
    </row>
    <row r="714" spans="1:63" x14ac:dyDescent="0.25">
      <c r="A714" s="9" t="str">
        <f>IF(Data!B714="","",IF(COUNTIFS(Data!A$1:'Data'!A714,Data!A714)&lt;=1,0,1))</f>
        <v/>
      </c>
      <c r="B714" s="9"/>
      <c r="C714" s="23" t="str">
        <f>IF(Data!C714="","",(IF(ISNUMBER(MATCH("*@*.?*",Data!C714,0)),0,1)+IF(COUNTIFS(Data!C$1:'Data'!C714,Data!C714)&gt;1,1,0)))</f>
        <v/>
      </c>
      <c r="D714" s="9" t="str">
        <f>IF(Data!B714="","",IF(ISNUMBER(Data!D714),IF(AND(Data!D714&gt;999999999,Data!D714&lt;=9999999999),IF(COUNTIFS(Data!D$1:'Data'!D714,Data!D714)&lt;=1,0,1),1),1))</f>
        <v/>
      </c>
      <c r="E714" s="9" t="str">
        <f>IF(Data!B714="","",IF(ISNUMBER(MATCH(Data!E714,Data_Val!$A$2:$A$3,0)),0,1))</f>
        <v/>
      </c>
      <c r="F714" s="9" t="str">
        <f ca="1">IF(Data!B714="","",IF(ISNUMBER(Data!F714),IF(AND(Data!F714&gt;(TODAY()-(Data_Val!$H$3*365.25)),Data!F714&lt;=(TODAY()-(Data_Val!$H$2*365.25))),0,1),1))</f>
        <v/>
      </c>
      <c r="G714" s="15" t="str">
        <f>IF(Data!B714="","",IF(AND(Data!G714="",Data!H714&lt;&gt;""),1,IF(Data!#REF!&lt;&gt;"",0,IF(ISNUMBER(MATCH(Data!G714,Data_Val!$C$2:$C$5,0)),0,1))))</f>
        <v/>
      </c>
      <c r="H714" s="15" t="str">
        <f>IF(Data!B714="","",IF(AND(Data!G714&lt;&gt;"",Data!H714=""),1,IF(Data!#REF!&lt;&gt;"",0,IF(Data!G714="",1,IF(ISNUMBER(MATCH(Data!H714,Data_Val!$D$2:$D$35,0)),0,1)))))</f>
        <v/>
      </c>
      <c r="I714" s="15" t="str">
        <f>IF(Data!B714="","",IF(Data!G714&lt;&gt;"",0,IF(ISNUMBER(MATCH(Data!#REF!,Data_Val!$E$2:$E$12,0)),0,1)))</f>
        <v/>
      </c>
      <c r="J714" s="16" t="e">
        <f>IF(OR(Data!B714="",Data!#REF!=""),"",IF(Data!#REF!="",1,0))</f>
        <v>#REF!</v>
      </c>
      <c r="K714" s="16" t="e">
        <f>IF(OR(Data!B714="",Data!#REF!=""),"",IF(Data!#REF!="",1,0))</f>
        <v>#REF!</v>
      </c>
      <c r="L714" s="16" t="e">
        <f>IF(OR(Data!B714="",Data!#REF!=""),"",IF(ISNUMBER(Data!#REF!),IF(AND(Data!#REF!&gt;Data_Val!$G$2,Data!#REF!&lt;=Data_Val!$G$3),0,1),1))</f>
        <v>#REF!</v>
      </c>
      <c r="M714" s="9" t="e">
        <f>IF(OR(Data!B714="",Data!#REF!=""),"",IF(ISNUMBER(MATCH(Data!#REF!,Data_Val!$F$1:$F$38,0)),0,1))</f>
        <v>#REF!</v>
      </c>
      <c r="N714" s="9" t="e">
        <f>IF(OR(Data!B714="",Data!#REF!=""),"",IF(Data!#REF!="",1,0))</f>
        <v>#REF!</v>
      </c>
      <c r="O714" s="17" t="e">
        <f>IF(Data!#REF!="","",IF(Data!#REF!="",1,0))</f>
        <v>#REF!</v>
      </c>
      <c r="P714" s="17" t="e">
        <f>IF(Data!#REF!="","",IF(ISNUMBER(MATCH(Data!#REF!,Data_Val!$A$2:$A$3,0)),0,1))</f>
        <v>#REF!</v>
      </c>
      <c r="Q714" s="25" t="e">
        <f ca="1">IF(Data!#REF!="","",IF(ISNUMBER(Data!#REF!),IF(AND(Data!#REF!&gt;(TODAY()-(Data_Val!$J$3*365.25)),Data!#REF!&lt;=(TODAY()-(Data_Val!$J$2*365.25))),0,1),1))</f>
        <v>#REF!</v>
      </c>
      <c r="R714" s="17" t="e">
        <f>IF(Data!#REF!="","",IF(ISNUMBER(MATCH(Data!#REF!,Data_Val!$B$2:$B$15,0)),0,1))</f>
        <v>#REF!</v>
      </c>
      <c r="S714" s="11" t="str">
        <f>IF(Data!G714="","",IF(Data!G714=Data_Val!$C$2,IF(Data!M714="",0,1),0))</f>
        <v/>
      </c>
      <c r="T714" s="11" t="str">
        <f>IF(Data!M714="","",IF(ISNUMBER(MATCH(Data!N714,Data_Val!$A$2:$A$3,0)),0,1))</f>
        <v/>
      </c>
      <c r="U714" s="11" t="str">
        <f ca="1">IF(Data!M714="","",IF(ISNUMBER(Data!O714),IF(AND(Data!O714&gt;(TODAY()-(Data_Val!$K$3*365.25)),Data!O714&lt;=(TODAY()-(Data_Val!$K$2*365.25))),0,1),1))</f>
        <v/>
      </c>
      <c r="V714" s="12" t="str">
        <f>IF(Data!G714="","",IF(Data!G714=Data_Val!$C$2,IF(Data!P714="",0,1),0))</f>
        <v/>
      </c>
      <c r="W714" s="12" t="str">
        <f>IF(Data!P714="","",IF(ISNUMBER(MATCH(Data!Q714,Data_Val!$A$2:$A$3,0)),0,1))</f>
        <v/>
      </c>
      <c r="X714" s="26" t="str">
        <f ca="1">IF(Data!P714="","",IF(ISNUMBER(Data!R714),IF(AND(Data!R714&gt;(TODAY()-(Data_Val!$L$3*365.25)),Data!R714&lt;=(TODAY()-(Data_Val!$L$2*365.25))),0,1),1))</f>
        <v/>
      </c>
      <c r="Y714" s="13" t="str">
        <f>IF(Data!$G714="","",IF(Data!$G714=Data_Val!$C$2,IF(Data!S714="",0,1),0))</f>
        <v/>
      </c>
      <c r="Z714" s="13" t="str">
        <f>IF(Data!S714="","",IF(ISNUMBER(MATCH(Data!T714,Data_Val!$A$2:$A$3,0)),0,1))</f>
        <v/>
      </c>
      <c r="AA714" s="28" t="str">
        <f ca="1">IF(Data!S714="","",IF(ISNUMBER(Data!U714),IF(AND(Data!U714&gt;(TODAY()-(Data_Val!$L$3*365.25)),Data!U714&lt;=(TODAY()-(Data_Val!$L$2*365.25))),0,1),1))</f>
        <v/>
      </c>
      <c r="AB714" s="11"/>
      <c r="AC714" s="11" t="e">
        <f>IF(Data!#REF!="","",IF(ISNUMBER(MATCH(Data!#REF!,Data_Val!$A$2:$A$3,0)),0,1))</f>
        <v>#REF!</v>
      </c>
      <c r="AD714" s="11" t="e">
        <f ca="1">IF(Data!#REF!="","",IF(ISNUMBER(Data!#REF!),IF(AND(Data!#REF!&gt;(TODAY()-(Data_Val!$L$3*365.25)),Data!#REF!&lt;=(TODAY()-(Data_Val!$L$2*365.25))),0,1),1))</f>
        <v>#REF!</v>
      </c>
      <c r="AE714" s="11" t="e">
        <f>IF(Data!#REF!="","",IF(Data!$G714="",1,IF(ISNUMBER(MATCH(Data!#REF!,Data_Val!$D$2:$D$10,0)),0,1)))</f>
        <v>#REF!</v>
      </c>
      <c r="AF714" s="12"/>
      <c r="AG714" s="12" t="e">
        <f>IF(Data!#REF!="","",IF(ISNUMBER(MATCH(Data!#REF!,Data_Val!$A$2:$A$3,0)),0,1))</f>
        <v>#REF!</v>
      </c>
      <c r="AH714" s="26" t="e">
        <f ca="1">IF(Data!#REF!="","",IF(ISNUMBER(Data!#REF!),IF(AND(Data!#REF!&gt;(TODAY()-(Data_Val!$L$3*365.25)),Data!#REF!&lt;=(TODAY()-(Data_Val!$L$2*365.25))),0,1),1))</f>
        <v>#REF!</v>
      </c>
      <c r="AI714" s="12" t="e">
        <f>IF(Data!#REF!="","",IF(Data!$G714="",1,IF(ISNUMBER(MATCH(Data!#REF!,Data_Val!$D$2:$D$10,0)),0,1)))</f>
        <v>#REF!</v>
      </c>
      <c r="AJ714" s="17"/>
      <c r="AK714" s="17" t="e">
        <f>IF(Data!#REF!="","",IF(ISNUMBER(MATCH(Data!#REF!,Data_Val!$A$2:$A$3,0)),0,1))</f>
        <v>#REF!</v>
      </c>
      <c r="AL714" s="25" t="e">
        <f ca="1">IF(Data!#REF!="","",IF(ISNUMBER(Data!#REF!),IF(AND(Data!#REF!&gt;(TODAY()-(Data_Val!$L$3*365.25)),Data!#REF!&lt;=(TODAY()-(Data_Val!$L$2*365.25))),0,1),1))</f>
        <v>#REF!</v>
      </c>
      <c r="AM714" s="17" t="e">
        <f>IF(Data!#REF!="","",IF(Data!$G714="",1,IF(ISNUMBER(MATCH(Data!#REF!,Data_Val!$D$2:$D$10,0)),0,1)))</f>
        <v>#REF!</v>
      </c>
      <c r="AN714" s="13"/>
      <c r="AO714" s="28" t="e">
        <f ca="1">IF(Data!#REF!="","",IF(ISNUMBER(Data!#REF!),IF(AND(Data!#REF!&gt;(TODAY()-(Data_Val!$I$3*365.25)),Data!#REF!&lt;=(TODAY()-(Data_Val!$I$2*365.25))),0,1),1))</f>
        <v>#REF!</v>
      </c>
      <c r="AP714" s="13" t="e">
        <f>IF(Data!#REF!="","",IF(Data!$G714="",1,IF(ISNUMBER(MATCH(Data!#REF!,Data_Val!$D$2:$D$10,0)),0,1)))</f>
        <v>#REF!</v>
      </c>
      <c r="AQ714" s="17"/>
      <c r="AR714" s="30" t="e">
        <f ca="1">IF(Data!#REF!="","",IF(ISNUMBER(Data!#REF!),IF(AND(Data!#REF!&gt;(TODAY()-(Data_Val!$I$3*365.25)),Data!#REF!&lt;=(TODAY()-(Data_Val!$I$2*365.25))),0,1),1))</f>
        <v>#REF!</v>
      </c>
      <c r="AS714" s="31" t="e">
        <f>IF(Data!#REF!="","",IF(Data!$G714="",1,IF(ISNUMBER(MATCH(Data!#REF!,Data_Val!$D$2:$D$10,0)),0,1)))</f>
        <v>#REF!</v>
      </c>
      <c r="AT714" s="11"/>
      <c r="AU714" s="11" t="e">
        <f ca="1">IF(Data!#REF!="","",IF(ISNUMBER(Data!#REF!),IF(AND(Data!#REF!&gt;(TODAY()-(Data_Val!$I$3*365.25)),Data!#REF!&lt;=(TODAY()-(Data_Val!$I$2*365.25))),0,1),1))</f>
        <v>#REF!</v>
      </c>
      <c r="AV714" s="11" t="e">
        <f>IF(Data!#REF!="","",IF(Data!$G714="",1,IF(ISNUMBER(MATCH(Data!#REF!,Data_Val!$D$2:$D$10,0)),0,1)))</f>
        <v>#REF!</v>
      </c>
      <c r="AW714" s="12"/>
      <c r="AX714" s="26" t="e">
        <f ca="1">IF(Data!#REF!="","",IF(ISNUMBER(Data!#REF!),IF(AND(Data!#REF!&gt;(TODAY()-(Data_Val!$I$3*365.25)),Data!#REF!&lt;=(TODAY()-(Data_Val!$I$2*365.25))),0,1),1))</f>
        <v>#REF!</v>
      </c>
      <c r="AY714" s="12" t="e">
        <f>IF(Data!#REF!="","",IF(Data!$G714="",1,IF(ISNUMBER(MATCH(Data!#REF!,Data_Val!$D$2:$D$10,0)),0,1)))</f>
        <v>#REF!</v>
      </c>
      <c r="AZ714" s="11"/>
      <c r="BA714" s="19" t="e">
        <f ca="1">IF(Data!#REF!="","",IF(ISNUMBER(Data!#REF!),IF(AND(Data!#REF!&gt;(TODAY()-(Data_Val!$M$3*365.25)),Data!#REF!&lt;=(TODAY()-(Data_Val!$M$2*365.25))),0,1),1))</f>
        <v>#REF!</v>
      </c>
      <c r="BB714" s="11" t="e">
        <f>IF(Data!#REF!="","",IF(Data!$G714="",1,IF(ISNUMBER(MATCH(Data!#REF!,Data_Val!$D$2:$D$10,0)),0,1)))</f>
        <v>#REF!</v>
      </c>
      <c r="BC714" s="12"/>
      <c r="BD714" s="20" t="e">
        <f ca="1">IF(Data!#REF!="","",IF(ISNUMBER(Data!#REF!),IF(AND(Data!#REF!&gt;(TODAY()-(Data_Val!$M$3*365.25)),Data!#REF!&lt;=(TODAY()-(Data_Val!$M$2*365.25))),0,1),1))</f>
        <v>#REF!</v>
      </c>
      <c r="BE714" s="12" t="e">
        <f>IF(Data!#REF!="","",IF(Data!$G714="",1,IF(ISNUMBER(MATCH(Data!#REF!,Data_Val!$D$2:$D$10,0)),0,1)))</f>
        <v>#REF!</v>
      </c>
      <c r="BF714" s="17"/>
      <c r="BG714" s="18" t="e">
        <f ca="1">IF(Data!#REF!="","",IF(ISNUMBER(Data!#REF!),IF(AND(Data!#REF!&gt;(TODAY()-(Data_Val!$M$3*365.25)),Data!#REF!&lt;=(TODAY()-(Data_Val!$M$2*365.25))),0,1),1))</f>
        <v>#REF!</v>
      </c>
      <c r="BH714" s="29" t="e">
        <f>IF(Data!#REF!="","",IF(Data!$G714="",1,IF(ISNUMBER(MATCH(Data!#REF!,Data_Val!$D$2:$D$10,0)),0,1)))</f>
        <v>#REF!</v>
      </c>
      <c r="BI714" s="13"/>
      <c r="BJ714" s="21" t="e">
        <f ca="1">IF(Data!#REF!="","",IF(ISNUMBER(Data!#REF!),IF(AND(Data!#REF!&gt;(TODAY()-(Data_Val!$M$3*365.25)),Data!#REF!&lt;=(TODAY()-(Data_Val!$M$2*365.25))),0,1),1))</f>
        <v>#REF!</v>
      </c>
      <c r="BK714" s="13" t="e">
        <f>IF(Data!#REF!="","",IF(Data!$G714="",1,IF(ISNUMBER(MATCH(Data!#REF!,Data_Val!$D$2:$D$10,0)),0,1)))</f>
        <v>#REF!</v>
      </c>
    </row>
    <row r="715" spans="1:63" x14ac:dyDescent="0.25">
      <c r="A715" s="9" t="str">
        <f>IF(Data!B715="","",IF(COUNTIFS(Data!A$1:'Data'!A715,Data!A715)&lt;=1,0,1))</f>
        <v/>
      </c>
      <c r="B715" s="9"/>
      <c r="C715" s="23" t="str">
        <f>IF(Data!C715="","",(IF(ISNUMBER(MATCH("*@*.?*",Data!C715,0)),0,1)+IF(COUNTIFS(Data!C$1:'Data'!C715,Data!C715)&gt;1,1,0)))</f>
        <v/>
      </c>
      <c r="D715" s="9" t="str">
        <f>IF(Data!B715="","",IF(ISNUMBER(Data!D715),IF(AND(Data!D715&gt;999999999,Data!D715&lt;=9999999999),IF(COUNTIFS(Data!D$1:'Data'!D715,Data!D715)&lt;=1,0,1),1),1))</f>
        <v/>
      </c>
      <c r="E715" s="9" t="str">
        <f>IF(Data!B715="","",IF(ISNUMBER(MATCH(Data!E715,Data_Val!$A$2:$A$3,0)),0,1))</f>
        <v/>
      </c>
      <c r="F715" s="9" t="str">
        <f ca="1">IF(Data!B715="","",IF(ISNUMBER(Data!F715),IF(AND(Data!F715&gt;(TODAY()-(Data_Val!$H$3*365.25)),Data!F715&lt;=(TODAY()-(Data_Val!$H$2*365.25))),0,1),1))</f>
        <v/>
      </c>
      <c r="G715" s="15" t="str">
        <f>IF(Data!B715="","",IF(AND(Data!G715="",Data!H715&lt;&gt;""),1,IF(Data!#REF!&lt;&gt;"",0,IF(ISNUMBER(MATCH(Data!G715,Data_Val!$C$2:$C$5,0)),0,1))))</f>
        <v/>
      </c>
      <c r="H715" s="15" t="str">
        <f>IF(Data!B715="","",IF(AND(Data!G715&lt;&gt;"",Data!H715=""),1,IF(Data!#REF!&lt;&gt;"",0,IF(Data!G715="",1,IF(ISNUMBER(MATCH(Data!H715,Data_Val!$D$2:$D$35,0)),0,1)))))</f>
        <v/>
      </c>
      <c r="I715" s="15" t="str">
        <f>IF(Data!B715="","",IF(Data!G715&lt;&gt;"",0,IF(ISNUMBER(MATCH(Data!#REF!,Data_Val!$E$2:$E$12,0)),0,1)))</f>
        <v/>
      </c>
      <c r="J715" s="16" t="e">
        <f>IF(OR(Data!B715="",Data!#REF!=""),"",IF(Data!#REF!="",1,0))</f>
        <v>#REF!</v>
      </c>
      <c r="K715" s="16" t="e">
        <f>IF(OR(Data!B715="",Data!#REF!=""),"",IF(Data!#REF!="",1,0))</f>
        <v>#REF!</v>
      </c>
      <c r="L715" s="16" t="e">
        <f>IF(OR(Data!B715="",Data!#REF!=""),"",IF(ISNUMBER(Data!#REF!),IF(AND(Data!#REF!&gt;Data_Val!$G$2,Data!#REF!&lt;=Data_Val!$G$3),0,1),1))</f>
        <v>#REF!</v>
      </c>
      <c r="M715" s="9" t="e">
        <f>IF(OR(Data!B715="",Data!#REF!=""),"",IF(ISNUMBER(MATCH(Data!#REF!,Data_Val!$F$1:$F$38,0)),0,1))</f>
        <v>#REF!</v>
      </c>
      <c r="N715" s="9" t="e">
        <f>IF(OR(Data!B715="",Data!#REF!=""),"",IF(Data!#REF!="",1,0))</f>
        <v>#REF!</v>
      </c>
      <c r="O715" s="17" t="e">
        <f>IF(Data!#REF!="","",IF(Data!#REF!="",1,0))</f>
        <v>#REF!</v>
      </c>
      <c r="P715" s="17" t="e">
        <f>IF(Data!#REF!="","",IF(ISNUMBER(MATCH(Data!#REF!,Data_Val!$A$2:$A$3,0)),0,1))</f>
        <v>#REF!</v>
      </c>
      <c r="Q715" s="25" t="e">
        <f ca="1">IF(Data!#REF!="","",IF(ISNUMBER(Data!#REF!),IF(AND(Data!#REF!&gt;(TODAY()-(Data_Val!$J$3*365.25)),Data!#REF!&lt;=(TODAY()-(Data_Val!$J$2*365.25))),0,1),1))</f>
        <v>#REF!</v>
      </c>
      <c r="R715" s="17" t="e">
        <f>IF(Data!#REF!="","",IF(ISNUMBER(MATCH(Data!#REF!,Data_Val!$B$2:$B$15,0)),0,1))</f>
        <v>#REF!</v>
      </c>
      <c r="S715" s="11" t="str">
        <f>IF(Data!G715="","",IF(Data!G715=Data_Val!$C$2,IF(Data!M715="",0,1),0))</f>
        <v/>
      </c>
      <c r="T715" s="11" t="str">
        <f>IF(Data!M715="","",IF(ISNUMBER(MATCH(Data!N715,Data_Val!$A$2:$A$3,0)),0,1))</f>
        <v/>
      </c>
      <c r="U715" s="11" t="str">
        <f ca="1">IF(Data!M715="","",IF(ISNUMBER(Data!O715),IF(AND(Data!O715&gt;(TODAY()-(Data_Val!$K$3*365.25)),Data!O715&lt;=(TODAY()-(Data_Val!$K$2*365.25))),0,1),1))</f>
        <v/>
      </c>
      <c r="V715" s="12" t="str">
        <f>IF(Data!G715="","",IF(Data!G715=Data_Val!$C$2,IF(Data!P715="",0,1),0))</f>
        <v/>
      </c>
      <c r="W715" s="12" t="str">
        <f>IF(Data!P715="","",IF(ISNUMBER(MATCH(Data!Q715,Data_Val!$A$2:$A$3,0)),0,1))</f>
        <v/>
      </c>
      <c r="X715" s="26" t="str">
        <f ca="1">IF(Data!P715="","",IF(ISNUMBER(Data!R715),IF(AND(Data!R715&gt;(TODAY()-(Data_Val!$L$3*365.25)),Data!R715&lt;=(TODAY()-(Data_Val!$L$2*365.25))),0,1),1))</f>
        <v/>
      </c>
      <c r="Y715" s="13" t="str">
        <f>IF(Data!$G715="","",IF(Data!$G715=Data_Val!$C$2,IF(Data!S715="",0,1),0))</f>
        <v/>
      </c>
      <c r="Z715" s="13" t="str">
        <f>IF(Data!S715="","",IF(ISNUMBER(MATCH(Data!T715,Data_Val!$A$2:$A$3,0)),0,1))</f>
        <v/>
      </c>
      <c r="AA715" s="28" t="str">
        <f ca="1">IF(Data!S715="","",IF(ISNUMBER(Data!U715),IF(AND(Data!U715&gt;(TODAY()-(Data_Val!$L$3*365.25)),Data!U715&lt;=(TODAY()-(Data_Val!$L$2*365.25))),0,1),1))</f>
        <v/>
      </c>
      <c r="AB715" s="11"/>
      <c r="AC715" s="11" t="e">
        <f>IF(Data!#REF!="","",IF(ISNUMBER(MATCH(Data!#REF!,Data_Val!$A$2:$A$3,0)),0,1))</f>
        <v>#REF!</v>
      </c>
      <c r="AD715" s="11" t="e">
        <f ca="1">IF(Data!#REF!="","",IF(ISNUMBER(Data!#REF!),IF(AND(Data!#REF!&gt;(TODAY()-(Data_Val!$L$3*365.25)),Data!#REF!&lt;=(TODAY()-(Data_Val!$L$2*365.25))),0,1),1))</f>
        <v>#REF!</v>
      </c>
      <c r="AE715" s="11" t="e">
        <f>IF(Data!#REF!="","",IF(Data!$G715="",1,IF(ISNUMBER(MATCH(Data!#REF!,Data_Val!$D$2:$D$10,0)),0,1)))</f>
        <v>#REF!</v>
      </c>
      <c r="AF715" s="12"/>
      <c r="AG715" s="12" t="e">
        <f>IF(Data!#REF!="","",IF(ISNUMBER(MATCH(Data!#REF!,Data_Val!$A$2:$A$3,0)),0,1))</f>
        <v>#REF!</v>
      </c>
      <c r="AH715" s="26" t="e">
        <f ca="1">IF(Data!#REF!="","",IF(ISNUMBER(Data!#REF!),IF(AND(Data!#REF!&gt;(TODAY()-(Data_Val!$L$3*365.25)),Data!#REF!&lt;=(TODAY()-(Data_Val!$L$2*365.25))),0,1),1))</f>
        <v>#REF!</v>
      </c>
      <c r="AI715" s="12" t="e">
        <f>IF(Data!#REF!="","",IF(Data!$G715="",1,IF(ISNUMBER(MATCH(Data!#REF!,Data_Val!$D$2:$D$10,0)),0,1)))</f>
        <v>#REF!</v>
      </c>
      <c r="AJ715" s="17"/>
      <c r="AK715" s="17" t="e">
        <f>IF(Data!#REF!="","",IF(ISNUMBER(MATCH(Data!#REF!,Data_Val!$A$2:$A$3,0)),0,1))</f>
        <v>#REF!</v>
      </c>
      <c r="AL715" s="25" t="e">
        <f ca="1">IF(Data!#REF!="","",IF(ISNUMBER(Data!#REF!),IF(AND(Data!#REF!&gt;(TODAY()-(Data_Val!$L$3*365.25)),Data!#REF!&lt;=(TODAY()-(Data_Val!$L$2*365.25))),0,1),1))</f>
        <v>#REF!</v>
      </c>
      <c r="AM715" s="17" t="e">
        <f>IF(Data!#REF!="","",IF(Data!$G715="",1,IF(ISNUMBER(MATCH(Data!#REF!,Data_Val!$D$2:$D$10,0)),0,1)))</f>
        <v>#REF!</v>
      </c>
      <c r="AN715" s="13"/>
      <c r="AO715" s="28" t="e">
        <f ca="1">IF(Data!#REF!="","",IF(ISNUMBER(Data!#REF!),IF(AND(Data!#REF!&gt;(TODAY()-(Data_Val!$I$3*365.25)),Data!#REF!&lt;=(TODAY()-(Data_Val!$I$2*365.25))),0,1),1))</f>
        <v>#REF!</v>
      </c>
      <c r="AP715" s="13" t="e">
        <f>IF(Data!#REF!="","",IF(Data!$G715="",1,IF(ISNUMBER(MATCH(Data!#REF!,Data_Val!$D$2:$D$10,0)),0,1)))</f>
        <v>#REF!</v>
      </c>
      <c r="AQ715" s="17"/>
      <c r="AR715" s="30" t="e">
        <f ca="1">IF(Data!#REF!="","",IF(ISNUMBER(Data!#REF!),IF(AND(Data!#REF!&gt;(TODAY()-(Data_Val!$I$3*365.25)),Data!#REF!&lt;=(TODAY()-(Data_Val!$I$2*365.25))),0,1),1))</f>
        <v>#REF!</v>
      </c>
      <c r="AS715" s="31" t="e">
        <f>IF(Data!#REF!="","",IF(Data!$G715="",1,IF(ISNUMBER(MATCH(Data!#REF!,Data_Val!$D$2:$D$10,0)),0,1)))</f>
        <v>#REF!</v>
      </c>
      <c r="AT715" s="11"/>
      <c r="AU715" s="11" t="e">
        <f ca="1">IF(Data!#REF!="","",IF(ISNUMBER(Data!#REF!),IF(AND(Data!#REF!&gt;(TODAY()-(Data_Val!$I$3*365.25)),Data!#REF!&lt;=(TODAY()-(Data_Val!$I$2*365.25))),0,1),1))</f>
        <v>#REF!</v>
      </c>
      <c r="AV715" s="11" t="e">
        <f>IF(Data!#REF!="","",IF(Data!$G715="",1,IF(ISNUMBER(MATCH(Data!#REF!,Data_Val!$D$2:$D$10,0)),0,1)))</f>
        <v>#REF!</v>
      </c>
      <c r="AW715" s="12"/>
      <c r="AX715" s="26" t="e">
        <f ca="1">IF(Data!#REF!="","",IF(ISNUMBER(Data!#REF!),IF(AND(Data!#REF!&gt;(TODAY()-(Data_Val!$I$3*365.25)),Data!#REF!&lt;=(TODAY()-(Data_Val!$I$2*365.25))),0,1),1))</f>
        <v>#REF!</v>
      </c>
      <c r="AY715" s="12" t="e">
        <f>IF(Data!#REF!="","",IF(Data!$G715="",1,IF(ISNUMBER(MATCH(Data!#REF!,Data_Val!$D$2:$D$10,0)),0,1)))</f>
        <v>#REF!</v>
      </c>
      <c r="AZ715" s="11"/>
      <c r="BA715" s="19" t="e">
        <f ca="1">IF(Data!#REF!="","",IF(ISNUMBER(Data!#REF!),IF(AND(Data!#REF!&gt;(TODAY()-(Data_Val!$M$3*365.25)),Data!#REF!&lt;=(TODAY()-(Data_Val!$M$2*365.25))),0,1),1))</f>
        <v>#REF!</v>
      </c>
      <c r="BB715" s="11" t="e">
        <f>IF(Data!#REF!="","",IF(Data!$G715="",1,IF(ISNUMBER(MATCH(Data!#REF!,Data_Val!$D$2:$D$10,0)),0,1)))</f>
        <v>#REF!</v>
      </c>
      <c r="BC715" s="12"/>
      <c r="BD715" s="20" t="e">
        <f ca="1">IF(Data!#REF!="","",IF(ISNUMBER(Data!#REF!),IF(AND(Data!#REF!&gt;(TODAY()-(Data_Val!$M$3*365.25)),Data!#REF!&lt;=(TODAY()-(Data_Val!$M$2*365.25))),0,1),1))</f>
        <v>#REF!</v>
      </c>
      <c r="BE715" s="12" t="e">
        <f>IF(Data!#REF!="","",IF(Data!$G715="",1,IF(ISNUMBER(MATCH(Data!#REF!,Data_Val!$D$2:$D$10,0)),0,1)))</f>
        <v>#REF!</v>
      </c>
      <c r="BF715" s="17"/>
      <c r="BG715" s="18" t="e">
        <f ca="1">IF(Data!#REF!="","",IF(ISNUMBER(Data!#REF!),IF(AND(Data!#REF!&gt;(TODAY()-(Data_Val!$M$3*365.25)),Data!#REF!&lt;=(TODAY()-(Data_Val!$M$2*365.25))),0,1),1))</f>
        <v>#REF!</v>
      </c>
      <c r="BH715" s="29" t="e">
        <f>IF(Data!#REF!="","",IF(Data!$G715="",1,IF(ISNUMBER(MATCH(Data!#REF!,Data_Val!$D$2:$D$10,0)),0,1)))</f>
        <v>#REF!</v>
      </c>
      <c r="BI715" s="13"/>
      <c r="BJ715" s="21" t="e">
        <f ca="1">IF(Data!#REF!="","",IF(ISNUMBER(Data!#REF!),IF(AND(Data!#REF!&gt;(TODAY()-(Data_Val!$M$3*365.25)),Data!#REF!&lt;=(TODAY()-(Data_Val!$M$2*365.25))),0,1),1))</f>
        <v>#REF!</v>
      </c>
      <c r="BK715" s="13" t="e">
        <f>IF(Data!#REF!="","",IF(Data!$G715="",1,IF(ISNUMBER(MATCH(Data!#REF!,Data_Val!$D$2:$D$10,0)),0,1)))</f>
        <v>#REF!</v>
      </c>
    </row>
    <row r="716" spans="1:63" x14ac:dyDescent="0.25">
      <c r="A716" s="9" t="str">
        <f>IF(Data!B716="","",IF(COUNTIFS(Data!A$1:'Data'!A716,Data!A716)&lt;=1,0,1))</f>
        <v/>
      </c>
      <c r="B716" s="9"/>
      <c r="C716" s="23" t="str">
        <f>IF(Data!C716="","",(IF(ISNUMBER(MATCH("*@*.?*",Data!C716,0)),0,1)+IF(COUNTIFS(Data!C$1:'Data'!C716,Data!C716)&gt;1,1,0)))</f>
        <v/>
      </c>
      <c r="D716" s="9" t="str">
        <f>IF(Data!B716="","",IF(ISNUMBER(Data!D716),IF(AND(Data!D716&gt;999999999,Data!D716&lt;=9999999999),IF(COUNTIFS(Data!D$1:'Data'!D716,Data!D716)&lt;=1,0,1),1),1))</f>
        <v/>
      </c>
      <c r="E716" s="9" t="str">
        <f>IF(Data!B716="","",IF(ISNUMBER(MATCH(Data!E716,Data_Val!$A$2:$A$3,0)),0,1))</f>
        <v/>
      </c>
      <c r="F716" s="9" t="str">
        <f ca="1">IF(Data!B716="","",IF(ISNUMBER(Data!F716),IF(AND(Data!F716&gt;(TODAY()-(Data_Val!$H$3*365.25)),Data!F716&lt;=(TODAY()-(Data_Val!$H$2*365.25))),0,1),1))</f>
        <v/>
      </c>
      <c r="G716" s="15" t="str">
        <f>IF(Data!B716="","",IF(AND(Data!G716="",Data!H716&lt;&gt;""),1,IF(Data!#REF!&lt;&gt;"",0,IF(ISNUMBER(MATCH(Data!G716,Data_Val!$C$2:$C$5,0)),0,1))))</f>
        <v/>
      </c>
      <c r="H716" s="15" t="str">
        <f>IF(Data!B716="","",IF(AND(Data!G716&lt;&gt;"",Data!H716=""),1,IF(Data!#REF!&lt;&gt;"",0,IF(Data!G716="",1,IF(ISNUMBER(MATCH(Data!H716,Data_Val!$D$2:$D$35,0)),0,1)))))</f>
        <v/>
      </c>
      <c r="I716" s="15" t="str">
        <f>IF(Data!B716="","",IF(Data!G716&lt;&gt;"",0,IF(ISNUMBER(MATCH(Data!#REF!,Data_Val!$E$2:$E$12,0)),0,1)))</f>
        <v/>
      </c>
      <c r="J716" s="16" t="e">
        <f>IF(OR(Data!B716="",Data!#REF!=""),"",IF(Data!#REF!="",1,0))</f>
        <v>#REF!</v>
      </c>
      <c r="K716" s="16" t="e">
        <f>IF(OR(Data!B716="",Data!#REF!=""),"",IF(Data!#REF!="",1,0))</f>
        <v>#REF!</v>
      </c>
      <c r="L716" s="16" t="e">
        <f>IF(OR(Data!B716="",Data!#REF!=""),"",IF(ISNUMBER(Data!#REF!),IF(AND(Data!#REF!&gt;Data_Val!$G$2,Data!#REF!&lt;=Data_Val!$G$3),0,1),1))</f>
        <v>#REF!</v>
      </c>
      <c r="M716" s="9" t="e">
        <f>IF(OR(Data!B716="",Data!#REF!=""),"",IF(ISNUMBER(MATCH(Data!#REF!,Data_Val!$F$1:$F$38,0)),0,1))</f>
        <v>#REF!</v>
      </c>
      <c r="N716" s="9" t="e">
        <f>IF(OR(Data!B716="",Data!#REF!=""),"",IF(Data!#REF!="",1,0))</f>
        <v>#REF!</v>
      </c>
      <c r="O716" s="17" t="e">
        <f>IF(Data!#REF!="","",IF(Data!#REF!="",1,0))</f>
        <v>#REF!</v>
      </c>
      <c r="P716" s="17" t="e">
        <f>IF(Data!#REF!="","",IF(ISNUMBER(MATCH(Data!#REF!,Data_Val!$A$2:$A$3,0)),0,1))</f>
        <v>#REF!</v>
      </c>
      <c r="Q716" s="25" t="e">
        <f ca="1">IF(Data!#REF!="","",IF(ISNUMBER(Data!#REF!),IF(AND(Data!#REF!&gt;(TODAY()-(Data_Val!$J$3*365.25)),Data!#REF!&lt;=(TODAY()-(Data_Val!$J$2*365.25))),0,1),1))</f>
        <v>#REF!</v>
      </c>
      <c r="R716" s="17" t="e">
        <f>IF(Data!#REF!="","",IF(ISNUMBER(MATCH(Data!#REF!,Data_Val!$B$2:$B$15,0)),0,1))</f>
        <v>#REF!</v>
      </c>
      <c r="S716" s="11" t="str">
        <f>IF(Data!G716="","",IF(Data!G716=Data_Val!$C$2,IF(Data!M716="",0,1),0))</f>
        <v/>
      </c>
      <c r="T716" s="11" t="str">
        <f>IF(Data!M716="","",IF(ISNUMBER(MATCH(Data!N716,Data_Val!$A$2:$A$3,0)),0,1))</f>
        <v/>
      </c>
      <c r="U716" s="11" t="str">
        <f ca="1">IF(Data!M716="","",IF(ISNUMBER(Data!O716),IF(AND(Data!O716&gt;(TODAY()-(Data_Val!$K$3*365.25)),Data!O716&lt;=(TODAY()-(Data_Val!$K$2*365.25))),0,1),1))</f>
        <v/>
      </c>
      <c r="V716" s="12" t="str">
        <f>IF(Data!G716="","",IF(Data!G716=Data_Val!$C$2,IF(Data!P716="",0,1),0))</f>
        <v/>
      </c>
      <c r="W716" s="12" t="str">
        <f>IF(Data!P716="","",IF(ISNUMBER(MATCH(Data!Q716,Data_Val!$A$2:$A$3,0)),0,1))</f>
        <v/>
      </c>
      <c r="X716" s="26" t="str">
        <f ca="1">IF(Data!P716="","",IF(ISNUMBER(Data!R716),IF(AND(Data!R716&gt;(TODAY()-(Data_Val!$L$3*365.25)),Data!R716&lt;=(TODAY()-(Data_Val!$L$2*365.25))),0,1),1))</f>
        <v/>
      </c>
      <c r="Y716" s="13" t="str">
        <f>IF(Data!$G716="","",IF(Data!$G716=Data_Val!$C$2,IF(Data!S716="",0,1),0))</f>
        <v/>
      </c>
      <c r="Z716" s="13" t="str">
        <f>IF(Data!S716="","",IF(ISNUMBER(MATCH(Data!T716,Data_Val!$A$2:$A$3,0)),0,1))</f>
        <v/>
      </c>
      <c r="AA716" s="28" t="str">
        <f ca="1">IF(Data!S716="","",IF(ISNUMBER(Data!U716),IF(AND(Data!U716&gt;(TODAY()-(Data_Val!$L$3*365.25)),Data!U716&lt;=(TODAY()-(Data_Val!$L$2*365.25))),0,1),1))</f>
        <v/>
      </c>
      <c r="AB716" s="11"/>
      <c r="AC716" s="11" t="e">
        <f>IF(Data!#REF!="","",IF(ISNUMBER(MATCH(Data!#REF!,Data_Val!$A$2:$A$3,0)),0,1))</f>
        <v>#REF!</v>
      </c>
      <c r="AD716" s="11" t="e">
        <f ca="1">IF(Data!#REF!="","",IF(ISNUMBER(Data!#REF!),IF(AND(Data!#REF!&gt;(TODAY()-(Data_Val!$L$3*365.25)),Data!#REF!&lt;=(TODAY()-(Data_Val!$L$2*365.25))),0,1),1))</f>
        <v>#REF!</v>
      </c>
      <c r="AE716" s="11" t="e">
        <f>IF(Data!#REF!="","",IF(Data!$G716="",1,IF(ISNUMBER(MATCH(Data!#REF!,Data_Val!$D$2:$D$10,0)),0,1)))</f>
        <v>#REF!</v>
      </c>
      <c r="AF716" s="12"/>
      <c r="AG716" s="12" t="e">
        <f>IF(Data!#REF!="","",IF(ISNUMBER(MATCH(Data!#REF!,Data_Val!$A$2:$A$3,0)),0,1))</f>
        <v>#REF!</v>
      </c>
      <c r="AH716" s="26" t="e">
        <f ca="1">IF(Data!#REF!="","",IF(ISNUMBER(Data!#REF!),IF(AND(Data!#REF!&gt;(TODAY()-(Data_Val!$L$3*365.25)),Data!#REF!&lt;=(TODAY()-(Data_Val!$L$2*365.25))),0,1),1))</f>
        <v>#REF!</v>
      </c>
      <c r="AI716" s="12" t="e">
        <f>IF(Data!#REF!="","",IF(Data!$G716="",1,IF(ISNUMBER(MATCH(Data!#REF!,Data_Val!$D$2:$D$10,0)),0,1)))</f>
        <v>#REF!</v>
      </c>
      <c r="AJ716" s="17"/>
      <c r="AK716" s="17" t="e">
        <f>IF(Data!#REF!="","",IF(ISNUMBER(MATCH(Data!#REF!,Data_Val!$A$2:$A$3,0)),0,1))</f>
        <v>#REF!</v>
      </c>
      <c r="AL716" s="25" t="e">
        <f ca="1">IF(Data!#REF!="","",IF(ISNUMBER(Data!#REF!),IF(AND(Data!#REF!&gt;(TODAY()-(Data_Val!$L$3*365.25)),Data!#REF!&lt;=(TODAY()-(Data_Val!$L$2*365.25))),0,1),1))</f>
        <v>#REF!</v>
      </c>
      <c r="AM716" s="17" t="e">
        <f>IF(Data!#REF!="","",IF(Data!$G716="",1,IF(ISNUMBER(MATCH(Data!#REF!,Data_Val!$D$2:$D$10,0)),0,1)))</f>
        <v>#REF!</v>
      </c>
      <c r="AN716" s="13"/>
      <c r="AO716" s="28" t="e">
        <f ca="1">IF(Data!#REF!="","",IF(ISNUMBER(Data!#REF!),IF(AND(Data!#REF!&gt;(TODAY()-(Data_Val!$I$3*365.25)),Data!#REF!&lt;=(TODAY()-(Data_Val!$I$2*365.25))),0,1),1))</f>
        <v>#REF!</v>
      </c>
      <c r="AP716" s="13" t="e">
        <f>IF(Data!#REF!="","",IF(Data!$G716="",1,IF(ISNUMBER(MATCH(Data!#REF!,Data_Val!$D$2:$D$10,0)),0,1)))</f>
        <v>#REF!</v>
      </c>
      <c r="AQ716" s="17"/>
      <c r="AR716" s="30" t="e">
        <f ca="1">IF(Data!#REF!="","",IF(ISNUMBER(Data!#REF!),IF(AND(Data!#REF!&gt;(TODAY()-(Data_Val!$I$3*365.25)),Data!#REF!&lt;=(TODAY()-(Data_Val!$I$2*365.25))),0,1),1))</f>
        <v>#REF!</v>
      </c>
      <c r="AS716" s="31" t="e">
        <f>IF(Data!#REF!="","",IF(Data!$G716="",1,IF(ISNUMBER(MATCH(Data!#REF!,Data_Val!$D$2:$D$10,0)),0,1)))</f>
        <v>#REF!</v>
      </c>
      <c r="AT716" s="11"/>
      <c r="AU716" s="11" t="e">
        <f ca="1">IF(Data!#REF!="","",IF(ISNUMBER(Data!#REF!),IF(AND(Data!#REF!&gt;(TODAY()-(Data_Val!$I$3*365.25)),Data!#REF!&lt;=(TODAY()-(Data_Val!$I$2*365.25))),0,1),1))</f>
        <v>#REF!</v>
      </c>
      <c r="AV716" s="11" t="e">
        <f>IF(Data!#REF!="","",IF(Data!$G716="",1,IF(ISNUMBER(MATCH(Data!#REF!,Data_Val!$D$2:$D$10,0)),0,1)))</f>
        <v>#REF!</v>
      </c>
      <c r="AW716" s="12"/>
      <c r="AX716" s="26" t="e">
        <f ca="1">IF(Data!#REF!="","",IF(ISNUMBER(Data!#REF!),IF(AND(Data!#REF!&gt;(TODAY()-(Data_Val!$I$3*365.25)),Data!#REF!&lt;=(TODAY()-(Data_Val!$I$2*365.25))),0,1),1))</f>
        <v>#REF!</v>
      </c>
      <c r="AY716" s="12" t="e">
        <f>IF(Data!#REF!="","",IF(Data!$G716="",1,IF(ISNUMBER(MATCH(Data!#REF!,Data_Val!$D$2:$D$10,0)),0,1)))</f>
        <v>#REF!</v>
      </c>
      <c r="AZ716" s="11"/>
      <c r="BA716" s="19" t="e">
        <f ca="1">IF(Data!#REF!="","",IF(ISNUMBER(Data!#REF!),IF(AND(Data!#REF!&gt;(TODAY()-(Data_Val!$M$3*365.25)),Data!#REF!&lt;=(TODAY()-(Data_Val!$M$2*365.25))),0,1),1))</f>
        <v>#REF!</v>
      </c>
      <c r="BB716" s="11" t="e">
        <f>IF(Data!#REF!="","",IF(Data!$G716="",1,IF(ISNUMBER(MATCH(Data!#REF!,Data_Val!$D$2:$D$10,0)),0,1)))</f>
        <v>#REF!</v>
      </c>
      <c r="BC716" s="12"/>
      <c r="BD716" s="20" t="e">
        <f ca="1">IF(Data!#REF!="","",IF(ISNUMBER(Data!#REF!),IF(AND(Data!#REF!&gt;(TODAY()-(Data_Val!$M$3*365.25)),Data!#REF!&lt;=(TODAY()-(Data_Val!$M$2*365.25))),0,1),1))</f>
        <v>#REF!</v>
      </c>
      <c r="BE716" s="12" t="e">
        <f>IF(Data!#REF!="","",IF(Data!$G716="",1,IF(ISNUMBER(MATCH(Data!#REF!,Data_Val!$D$2:$D$10,0)),0,1)))</f>
        <v>#REF!</v>
      </c>
      <c r="BF716" s="17"/>
      <c r="BG716" s="18" t="e">
        <f ca="1">IF(Data!#REF!="","",IF(ISNUMBER(Data!#REF!),IF(AND(Data!#REF!&gt;(TODAY()-(Data_Val!$M$3*365.25)),Data!#REF!&lt;=(TODAY()-(Data_Val!$M$2*365.25))),0,1),1))</f>
        <v>#REF!</v>
      </c>
      <c r="BH716" s="29" t="e">
        <f>IF(Data!#REF!="","",IF(Data!$G716="",1,IF(ISNUMBER(MATCH(Data!#REF!,Data_Val!$D$2:$D$10,0)),0,1)))</f>
        <v>#REF!</v>
      </c>
      <c r="BI716" s="13"/>
      <c r="BJ716" s="21" t="e">
        <f ca="1">IF(Data!#REF!="","",IF(ISNUMBER(Data!#REF!),IF(AND(Data!#REF!&gt;(TODAY()-(Data_Val!$M$3*365.25)),Data!#REF!&lt;=(TODAY()-(Data_Val!$M$2*365.25))),0,1),1))</f>
        <v>#REF!</v>
      </c>
      <c r="BK716" s="13" t="e">
        <f>IF(Data!#REF!="","",IF(Data!$G716="",1,IF(ISNUMBER(MATCH(Data!#REF!,Data_Val!$D$2:$D$10,0)),0,1)))</f>
        <v>#REF!</v>
      </c>
    </row>
    <row r="717" spans="1:63" x14ac:dyDescent="0.25">
      <c r="A717" s="9" t="str">
        <f>IF(Data!B717="","",IF(COUNTIFS(Data!A$1:'Data'!A717,Data!A717)&lt;=1,0,1))</f>
        <v/>
      </c>
      <c r="B717" s="9"/>
      <c r="C717" s="23" t="str">
        <f>IF(Data!C717="","",(IF(ISNUMBER(MATCH("*@*.?*",Data!C717,0)),0,1)+IF(COUNTIFS(Data!C$1:'Data'!C717,Data!C717)&gt;1,1,0)))</f>
        <v/>
      </c>
      <c r="D717" s="9" t="str">
        <f>IF(Data!B717="","",IF(ISNUMBER(Data!D717),IF(AND(Data!D717&gt;999999999,Data!D717&lt;=9999999999),IF(COUNTIFS(Data!D$1:'Data'!D717,Data!D717)&lt;=1,0,1),1),1))</f>
        <v/>
      </c>
      <c r="E717" s="9" t="str">
        <f>IF(Data!B717="","",IF(ISNUMBER(MATCH(Data!E717,Data_Val!$A$2:$A$3,0)),0,1))</f>
        <v/>
      </c>
      <c r="F717" s="9" t="str">
        <f ca="1">IF(Data!B717="","",IF(ISNUMBER(Data!F717),IF(AND(Data!F717&gt;(TODAY()-(Data_Val!$H$3*365.25)),Data!F717&lt;=(TODAY()-(Data_Val!$H$2*365.25))),0,1),1))</f>
        <v/>
      </c>
      <c r="G717" s="15" t="str">
        <f>IF(Data!B717="","",IF(AND(Data!G717="",Data!H717&lt;&gt;""),1,IF(Data!#REF!&lt;&gt;"",0,IF(ISNUMBER(MATCH(Data!G717,Data_Val!$C$2:$C$5,0)),0,1))))</f>
        <v/>
      </c>
      <c r="H717" s="15" t="str">
        <f>IF(Data!B717="","",IF(AND(Data!G717&lt;&gt;"",Data!H717=""),1,IF(Data!#REF!&lt;&gt;"",0,IF(Data!G717="",1,IF(ISNUMBER(MATCH(Data!H717,Data_Val!$D$2:$D$35,0)),0,1)))))</f>
        <v/>
      </c>
      <c r="I717" s="15" t="str">
        <f>IF(Data!B717="","",IF(Data!G717&lt;&gt;"",0,IF(ISNUMBER(MATCH(Data!#REF!,Data_Val!$E$2:$E$12,0)),0,1)))</f>
        <v/>
      </c>
      <c r="J717" s="16" t="e">
        <f>IF(OR(Data!B717="",Data!#REF!=""),"",IF(Data!#REF!="",1,0))</f>
        <v>#REF!</v>
      </c>
      <c r="K717" s="16" t="e">
        <f>IF(OR(Data!B717="",Data!#REF!=""),"",IF(Data!#REF!="",1,0))</f>
        <v>#REF!</v>
      </c>
      <c r="L717" s="16" t="e">
        <f>IF(OR(Data!B717="",Data!#REF!=""),"",IF(ISNUMBER(Data!#REF!),IF(AND(Data!#REF!&gt;Data_Val!$G$2,Data!#REF!&lt;=Data_Val!$G$3),0,1),1))</f>
        <v>#REF!</v>
      </c>
      <c r="M717" s="9" t="e">
        <f>IF(OR(Data!B717="",Data!#REF!=""),"",IF(ISNUMBER(MATCH(Data!#REF!,Data_Val!$F$1:$F$38,0)),0,1))</f>
        <v>#REF!</v>
      </c>
      <c r="N717" s="9" t="e">
        <f>IF(OR(Data!B717="",Data!#REF!=""),"",IF(Data!#REF!="",1,0))</f>
        <v>#REF!</v>
      </c>
      <c r="O717" s="17" t="e">
        <f>IF(Data!#REF!="","",IF(Data!#REF!="",1,0))</f>
        <v>#REF!</v>
      </c>
      <c r="P717" s="17" t="e">
        <f>IF(Data!#REF!="","",IF(ISNUMBER(MATCH(Data!#REF!,Data_Val!$A$2:$A$3,0)),0,1))</f>
        <v>#REF!</v>
      </c>
      <c r="Q717" s="25" t="e">
        <f ca="1">IF(Data!#REF!="","",IF(ISNUMBER(Data!#REF!),IF(AND(Data!#REF!&gt;(TODAY()-(Data_Val!$J$3*365.25)),Data!#REF!&lt;=(TODAY()-(Data_Val!$J$2*365.25))),0,1),1))</f>
        <v>#REF!</v>
      </c>
      <c r="R717" s="17" t="e">
        <f>IF(Data!#REF!="","",IF(ISNUMBER(MATCH(Data!#REF!,Data_Val!$B$2:$B$15,0)),0,1))</f>
        <v>#REF!</v>
      </c>
      <c r="S717" s="11" t="str">
        <f>IF(Data!G717="","",IF(Data!G717=Data_Val!$C$2,IF(Data!M717="",0,1),0))</f>
        <v/>
      </c>
      <c r="T717" s="11" t="str">
        <f>IF(Data!M717="","",IF(ISNUMBER(MATCH(Data!N717,Data_Val!$A$2:$A$3,0)),0,1))</f>
        <v/>
      </c>
      <c r="U717" s="11" t="str">
        <f ca="1">IF(Data!M717="","",IF(ISNUMBER(Data!O717),IF(AND(Data!O717&gt;(TODAY()-(Data_Val!$K$3*365.25)),Data!O717&lt;=(TODAY()-(Data_Val!$K$2*365.25))),0,1),1))</f>
        <v/>
      </c>
      <c r="V717" s="12" t="str">
        <f>IF(Data!G717="","",IF(Data!G717=Data_Val!$C$2,IF(Data!P717="",0,1),0))</f>
        <v/>
      </c>
      <c r="W717" s="12" t="str">
        <f>IF(Data!P717="","",IF(ISNUMBER(MATCH(Data!Q717,Data_Val!$A$2:$A$3,0)),0,1))</f>
        <v/>
      </c>
      <c r="X717" s="26" t="str">
        <f ca="1">IF(Data!P717="","",IF(ISNUMBER(Data!R717),IF(AND(Data!R717&gt;(TODAY()-(Data_Val!$L$3*365.25)),Data!R717&lt;=(TODAY()-(Data_Val!$L$2*365.25))),0,1),1))</f>
        <v/>
      </c>
      <c r="Y717" s="13" t="str">
        <f>IF(Data!$G717="","",IF(Data!$G717=Data_Val!$C$2,IF(Data!S717="",0,1),0))</f>
        <v/>
      </c>
      <c r="Z717" s="13" t="str">
        <f>IF(Data!S717="","",IF(ISNUMBER(MATCH(Data!T717,Data_Val!$A$2:$A$3,0)),0,1))</f>
        <v/>
      </c>
      <c r="AA717" s="28" t="str">
        <f ca="1">IF(Data!S717="","",IF(ISNUMBER(Data!U717),IF(AND(Data!U717&gt;(TODAY()-(Data_Val!$L$3*365.25)),Data!U717&lt;=(TODAY()-(Data_Val!$L$2*365.25))),0,1),1))</f>
        <v/>
      </c>
      <c r="AB717" s="11"/>
      <c r="AC717" s="11" t="e">
        <f>IF(Data!#REF!="","",IF(ISNUMBER(MATCH(Data!#REF!,Data_Val!$A$2:$A$3,0)),0,1))</f>
        <v>#REF!</v>
      </c>
      <c r="AD717" s="11" t="e">
        <f ca="1">IF(Data!#REF!="","",IF(ISNUMBER(Data!#REF!),IF(AND(Data!#REF!&gt;(TODAY()-(Data_Val!$L$3*365.25)),Data!#REF!&lt;=(TODAY()-(Data_Val!$L$2*365.25))),0,1),1))</f>
        <v>#REF!</v>
      </c>
      <c r="AE717" s="11" t="e">
        <f>IF(Data!#REF!="","",IF(Data!$G717="",1,IF(ISNUMBER(MATCH(Data!#REF!,Data_Val!$D$2:$D$10,0)),0,1)))</f>
        <v>#REF!</v>
      </c>
      <c r="AF717" s="12"/>
      <c r="AG717" s="12" t="e">
        <f>IF(Data!#REF!="","",IF(ISNUMBER(MATCH(Data!#REF!,Data_Val!$A$2:$A$3,0)),0,1))</f>
        <v>#REF!</v>
      </c>
      <c r="AH717" s="26" t="e">
        <f ca="1">IF(Data!#REF!="","",IF(ISNUMBER(Data!#REF!),IF(AND(Data!#REF!&gt;(TODAY()-(Data_Val!$L$3*365.25)),Data!#REF!&lt;=(TODAY()-(Data_Val!$L$2*365.25))),0,1),1))</f>
        <v>#REF!</v>
      </c>
      <c r="AI717" s="12" t="e">
        <f>IF(Data!#REF!="","",IF(Data!$G717="",1,IF(ISNUMBER(MATCH(Data!#REF!,Data_Val!$D$2:$D$10,0)),0,1)))</f>
        <v>#REF!</v>
      </c>
      <c r="AJ717" s="17"/>
      <c r="AK717" s="17" t="e">
        <f>IF(Data!#REF!="","",IF(ISNUMBER(MATCH(Data!#REF!,Data_Val!$A$2:$A$3,0)),0,1))</f>
        <v>#REF!</v>
      </c>
      <c r="AL717" s="25" t="e">
        <f ca="1">IF(Data!#REF!="","",IF(ISNUMBER(Data!#REF!),IF(AND(Data!#REF!&gt;(TODAY()-(Data_Val!$L$3*365.25)),Data!#REF!&lt;=(TODAY()-(Data_Val!$L$2*365.25))),0,1),1))</f>
        <v>#REF!</v>
      </c>
      <c r="AM717" s="17" t="e">
        <f>IF(Data!#REF!="","",IF(Data!$G717="",1,IF(ISNUMBER(MATCH(Data!#REF!,Data_Val!$D$2:$D$10,0)),0,1)))</f>
        <v>#REF!</v>
      </c>
      <c r="AN717" s="13"/>
      <c r="AO717" s="28" t="e">
        <f ca="1">IF(Data!#REF!="","",IF(ISNUMBER(Data!#REF!),IF(AND(Data!#REF!&gt;(TODAY()-(Data_Val!$I$3*365.25)),Data!#REF!&lt;=(TODAY()-(Data_Val!$I$2*365.25))),0,1),1))</f>
        <v>#REF!</v>
      </c>
      <c r="AP717" s="13" t="e">
        <f>IF(Data!#REF!="","",IF(Data!$G717="",1,IF(ISNUMBER(MATCH(Data!#REF!,Data_Val!$D$2:$D$10,0)),0,1)))</f>
        <v>#REF!</v>
      </c>
      <c r="AQ717" s="17"/>
      <c r="AR717" s="30" t="e">
        <f ca="1">IF(Data!#REF!="","",IF(ISNUMBER(Data!#REF!),IF(AND(Data!#REF!&gt;(TODAY()-(Data_Val!$I$3*365.25)),Data!#REF!&lt;=(TODAY()-(Data_Val!$I$2*365.25))),0,1),1))</f>
        <v>#REF!</v>
      </c>
      <c r="AS717" s="31" t="e">
        <f>IF(Data!#REF!="","",IF(Data!$G717="",1,IF(ISNUMBER(MATCH(Data!#REF!,Data_Val!$D$2:$D$10,0)),0,1)))</f>
        <v>#REF!</v>
      </c>
      <c r="AT717" s="11"/>
      <c r="AU717" s="11" t="e">
        <f ca="1">IF(Data!#REF!="","",IF(ISNUMBER(Data!#REF!),IF(AND(Data!#REF!&gt;(TODAY()-(Data_Val!$I$3*365.25)),Data!#REF!&lt;=(TODAY()-(Data_Val!$I$2*365.25))),0,1),1))</f>
        <v>#REF!</v>
      </c>
      <c r="AV717" s="11" t="e">
        <f>IF(Data!#REF!="","",IF(Data!$G717="",1,IF(ISNUMBER(MATCH(Data!#REF!,Data_Val!$D$2:$D$10,0)),0,1)))</f>
        <v>#REF!</v>
      </c>
      <c r="AW717" s="12"/>
      <c r="AX717" s="26" t="e">
        <f ca="1">IF(Data!#REF!="","",IF(ISNUMBER(Data!#REF!),IF(AND(Data!#REF!&gt;(TODAY()-(Data_Val!$I$3*365.25)),Data!#REF!&lt;=(TODAY()-(Data_Val!$I$2*365.25))),0,1),1))</f>
        <v>#REF!</v>
      </c>
      <c r="AY717" s="12" t="e">
        <f>IF(Data!#REF!="","",IF(Data!$G717="",1,IF(ISNUMBER(MATCH(Data!#REF!,Data_Val!$D$2:$D$10,0)),0,1)))</f>
        <v>#REF!</v>
      </c>
      <c r="AZ717" s="11"/>
      <c r="BA717" s="19" t="e">
        <f ca="1">IF(Data!#REF!="","",IF(ISNUMBER(Data!#REF!),IF(AND(Data!#REF!&gt;(TODAY()-(Data_Val!$M$3*365.25)),Data!#REF!&lt;=(TODAY()-(Data_Val!$M$2*365.25))),0,1),1))</f>
        <v>#REF!</v>
      </c>
      <c r="BB717" s="11" t="e">
        <f>IF(Data!#REF!="","",IF(Data!$G717="",1,IF(ISNUMBER(MATCH(Data!#REF!,Data_Val!$D$2:$D$10,0)),0,1)))</f>
        <v>#REF!</v>
      </c>
      <c r="BC717" s="12"/>
      <c r="BD717" s="20" t="e">
        <f ca="1">IF(Data!#REF!="","",IF(ISNUMBER(Data!#REF!),IF(AND(Data!#REF!&gt;(TODAY()-(Data_Val!$M$3*365.25)),Data!#REF!&lt;=(TODAY()-(Data_Val!$M$2*365.25))),0,1),1))</f>
        <v>#REF!</v>
      </c>
      <c r="BE717" s="12" t="e">
        <f>IF(Data!#REF!="","",IF(Data!$G717="",1,IF(ISNUMBER(MATCH(Data!#REF!,Data_Val!$D$2:$D$10,0)),0,1)))</f>
        <v>#REF!</v>
      </c>
      <c r="BF717" s="17"/>
      <c r="BG717" s="18" t="e">
        <f ca="1">IF(Data!#REF!="","",IF(ISNUMBER(Data!#REF!),IF(AND(Data!#REF!&gt;(TODAY()-(Data_Val!$M$3*365.25)),Data!#REF!&lt;=(TODAY()-(Data_Val!$M$2*365.25))),0,1),1))</f>
        <v>#REF!</v>
      </c>
      <c r="BH717" s="29" t="e">
        <f>IF(Data!#REF!="","",IF(Data!$G717="",1,IF(ISNUMBER(MATCH(Data!#REF!,Data_Val!$D$2:$D$10,0)),0,1)))</f>
        <v>#REF!</v>
      </c>
      <c r="BI717" s="13"/>
      <c r="BJ717" s="21" t="e">
        <f ca="1">IF(Data!#REF!="","",IF(ISNUMBER(Data!#REF!),IF(AND(Data!#REF!&gt;(TODAY()-(Data_Val!$M$3*365.25)),Data!#REF!&lt;=(TODAY()-(Data_Val!$M$2*365.25))),0,1),1))</f>
        <v>#REF!</v>
      </c>
      <c r="BK717" s="13" t="e">
        <f>IF(Data!#REF!="","",IF(Data!$G717="",1,IF(ISNUMBER(MATCH(Data!#REF!,Data_Val!$D$2:$D$10,0)),0,1)))</f>
        <v>#REF!</v>
      </c>
    </row>
    <row r="718" spans="1:63" x14ac:dyDescent="0.25">
      <c r="A718" s="9" t="str">
        <f>IF(Data!B718="","",IF(COUNTIFS(Data!A$1:'Data'!A718,Data!A718)&lt;=1,0,1))</f>
        <v/>
      </c>
      <c r="B718" s="9"/>
      <c r="C718" s="23" t="str">
        <f>IF(Data!C718="","",(IF(ISNUMBER(MATCH("*@*.?*",Data!C718,0)),0,1)+IF(COUNTIFS(Data!C$1:'Data'!C718,Data!C718)&gt;1,1,0)))</f>
        <v/>
      </c>
      <c r="D718" s="9" t="str">
        <f>IF(Data!B718="","",IF(ISNUMBER(Data!D718),IF(AND(Data!D718&gt;999999999,Data!D718&lt;=9999999999),IF(COUNTIFS(Data!D$1:'Data'!D718,Data!D718)&lt;=1,0,1),1),1))</f>
        <v/>
      </c>
      <c r="E718" s="9" t="str">
        <f>IF(Data!B718="","",IF(ISNUMBER(MATCH(Data!E718,Data_Val!$A$2:$A$3,0)),0,1))</f>
        <v/>
      </c>
      <c r="F718" s="9" t="str">
        <f ca="1">IF(Data!B718="","",IF(ISNUMBER(Data!F718),IF(AND(Data!F718&gt;(TODAY()-(Data_Val!$H$3*365.25)),Data!F718&lt;=(TODAY()-(Data_Val!$H$2*365.25))),0,1),1))</f>
        <v/>
      </c>
      <c r="G718" s="15" t="str">
        <f>IF(Data!B718="","",IF(AND(Data!G718="",Data!H718&lt;&gt;""),1,IF(Data!#REF!&lt;&gt;"",0,IF(ISNUMBER(MATCH(Data!G718,Data_Val!$C$2:$C$5,0)),0,1))))</f>
        <v/>
      </c>
      <c r="H718" s="15" t="str">
        <f>IF(Data!B718="","",IF(AND(Data!G718&lt;&gt;"",Data!H718=""),1,IF(Data!#REF!&lt;&gt;"",0,IF(Data!G718="",1,IF(ISNUMBER(MATCH(Data!H718,Data_Val!$D$2:$D$35,0)),0,1)))))</f>
        <v/>
      </c>
      <c r="I718" s="15" t="str">
        <f>IF(Data!B718="","",IF(Data!G718&lt;&gt;"",0,IF(ISNUMBER(MATCH(Data!#REF!,Data_Val!$E$2:$E$12,0)),0,1)))</f>
        <v/>
      </c>
      <c r="J718" s="16" t="e">
        <f>IF(OR(Data!B718="",Data!#REF!=""),"",IF(Data!#REF!="",1,0))</f>
        <v>#REF!</v>
      </c>
      <c r="K718" s="16" t="e">
        <f>IF(OR(Data!B718="",Data!#REF!=""),"",IF(Data!#REF!="",1,0))</f>
        <v>#REF!</v>
      </c>
      <c r="L718" s="16" t="e">
        <f>IF(OR(Data!B718="",Data!#REF!=""),"",IF(ISNUMBER(Data!#REF!),IF(AND(Data!#REF!&gt;Data_Val!$G$2,Data!#REF!&lt;=Data_Val!$G$3),0,1),1))</f>
        <v>#REF!</v>
      </c>
      <c r="M718" s="9" t="e">
        <f>IF(OR(Data!B718="",Data!#REF!=""),"",IF(ISNUMBER(MATCH(Data!#REF!,Data_Val!$F$1:$F$38,0)),0,1))</f>
        <v>#REF!</v>
      </c>
      <c r="N718" s="9" t="e">
        <f>IF(OR(Data!B718="",Data!#REF!=""),"",IF(Data!#REF!="",1,0))</f>
        <v>#REF!</v>
      </c>
      <c r="O718" s="17" t="e">
        <f>IF(Data!#REF!="","",IF(Data!#REF!="",1,0))</f>
        <v>#REF!</v>
      </c>
      <c r="P718" s="17" t="e">
        <f>IF(Data!#REF!="","",IF(ISNUMBER(MATCH(Data!#REF!,Data_Val!$A$2:$A$3,0)),0,1))</f>
        <v>#REF!</v>
      </c>
      <c r="Q718" s="25" t="e">
        <f ca="1">IF(Data!#REF!="","",IF(ISNUMBER(Data!#REF!),IF(AND(Data!#REF!&gt;(TODAY()-(Data_Val!$J$3*365.25)),Data!#REF!&lt;=(TODAY()-(Data_Val!$J$2*365.25))),0,1),1))</f>
        <v>#REF!</v>
      </c>
      <c r="R718" s="17" t="e">
        <f>IF(Data!#REF!="","",IF(ISNUMBER(MATCH(Data!#REF!,Data_Val!$B$2:$B$15,0)),0,1))</f>
        <v>#REF!</v>
      </c>
      <c r="S718" s="11" t="str">
        <f>IF(Data!G718="","",IF(Data!G718=Data_Val!$C$2,IF(Data!M718="",0,1),0))</f>
        <v/>
      </c>
      <c r="T718" s="11" t="str">
        <f>IF(Data!M718="","",IF(ISNUMBER(MATCH(Data!N718,Data_Val!$A$2:$A$3,0)),0,1))</f>
        <v/>
      </c>
      <c r="U718" s="11" t="str">
        <f ca="1">IF(Data!M718="","",IF(ISNUMBER(Data!O718),IF(AND(Data!O718&gt;(TODAY()-(Data_Val!$K$3*365.25)),Data!O718&lt;=(TODAY()-(Data_Val!$K$2*365.25))),0,1),1))</f>
        <v/>
      </c>
      <c r="V718" s="12" t="str">
        <f>IF(Data!G718="","",IF(Data!G718=Data_Val!$C$2,IF(Data!P718="",0,1),0))</f>
        <v/>
      </c>
      <c r="W718" s="12" t="str">
        <f>IF(Data!P718="","",IF(ISNUMBER(MATCH(Data!Q718,Data_Val!$A$2:$A$3,0)),0,1))</f>
        <v/>
      </c>
      <c r="X718" s="26" t="str">
        <f ca="1">IF(Data!P718="","",IF(ISNUMBER(Data!R718),IF(AND(Data!R718&gt;(TODAY()-(Data_Val!$L$3*365.25)),Data!R718&lt;=(TODAY()-(Data_Val!$L$2*365.25))),0,1),1))</f>
        <v/>
      </c>
      <c r="Y718" s="13" t="str">
        <f>IF(Data!$G718="","",IF(Data!$G718=Data_Val!$C$2,IF(Data!S718="",0,1),0))</f>
        <v/>
      </c>
      <c r="Z718" s="13" t="str">
        <f>IF(Data!S718="","",IF(ISNUMBER(MATCH(Data!T718,Data_Val!$A$2:$A$3,0)),0,1))</f>
        <v/>
      </c>
      <c r="AA718" s="28" t="str">
        <f ca="1">IF(Data!S718="","",IF(ISNUMBER(Data!U718),IF(AND(Data!U718&gt;(TODAY()-(Data_Val!$L$3*365.25)),Data!U718&lt;=(TODAY()-(Data_Val!$L$2*365.25))),0,1),1))</f>
        <v/>
      </c>
      <c r="AB718" s="11"/>
      <c r="AC718" s="11" t="e">
        <f>IF(Data!#REF!="","",IF(ISNUMBER(MATCH(Data!#REF!,Data_Val!$A$2:$A$3,0)),0,1))</f>
        <v>#REF!</v>
      </c>
      <c r="AD718" s="11" t="e">
        <f ca="1">IF(Data!#REF!="","",IF(ISNUMBER(Data!#REF!),IF(AND(Data!#REF!&gt;(TODAY()-(Data_Val!$L$3*365.25)),Data!#REF!&lt;=(TODAY()-(Data_Val!$L$2*365.25))),0,1),1))</f>
        <v>#REF!</v>
      </c>
      <c r="AE718" s="11" t="e">
        <f>IF(Data!#REF!="","",IF(Data!$G718="",1,IF(ISNUMBER(MATCH(Data!#REF!,Data_Val!$D$2:$D$10,0)),0,1)))</f>
        <v>#REF!</v>
      </c>
      <c r="AF718" s="12"/>
      <c r="AG718" s="12" t="e">
        <f>IF(Data!#REF!="","",IF(ISNUMBER(MATCH(Data!#REF!,Data_Val!$A$2:$A$3,0)),0,1))</f>
        <v>#REF!</v>
      </c>
      <c r="AH718" s="26" t="e">
        <f ca="1">IF(Data!#REF!="","",IF(ISNUMBER(Data!#REF!),IF(AND(Data!#REF!&gt;(TODAY()-(Data_Val!$L$3*365.25)),Data!#REF!&lt;=(TODAY()-(Data_Val!$L$2*365.25))),0,1),1))</f>
        <v>#REF!</v>
      </c>
      <c r="AI718" s="12" t="e">
        <f>IF(Data!#REF!="","",IF(Data!$G718="",1,IF(ISNUMBER(MATCH(Data!#REF!,Data_Val!$D$2:$D$10,0)),0,1)))</f>
        <v>#REF!</v>
      </c>
      <c r="AJ718" s="17"/>
      <c r="AK718" s="17" t="e">
        <f>IF(Data!#REF!="","",IF(ISNUMBER(MATCH(Data!#REF!,Data_Val!$A$2:$A$3,0)),0,1))</f>
        <v>#REF!</v>
      </c>
      <c r="AL718" s="25" t="e">
        <f ca="1">IF(Data!#REF!="","",IF(ISNUMBER(Data!#REF!),IF(AND(Data!#REF!&gt;(TODAY()-(Data_Val!$L$3*365.25)),Data!#REF!&lt;=(TODAY()-(Data_Val!$L$2*365.25))),0,1),1))</f>
        <v>#REF!</v>
      </c>
      <c r="AM718" s="17" t="e">
        <f>IF(Data!#REF!="","",IF(Data!$G718="",1,IF(ISNUMBER(MATCH(Data!#REF!,Data_Val!$D$2:$D$10,0)),0,1)))</f>
        <v>#REF!</v>
      </c>
      <c r="AN718" s="13"/>
      <c r="AO718" s="28" t="e">
        <f ca="1">IF(Data!#REF!="","",IF(ISNUMBER(Data!#REF!),IF(AND(Data!#REF!&gt;(TODAY()-(Data_Val!$I$3*365.25)),Data!#REF!&lt;=(TODAY()-(Data_Val!$I$2*365.25))),0,1),1))</f>
        <v>#REF!</v>
      </c>
      <c r="AP718" s="13" t="e">
        <f>IF(Data!#REF!="","",IF(Data!$G718="",1,IF(ISNUMBER(MATCH(Data!#REF!,Data_Val!$D$2:$D$10,0)),0,1)))</f>
        <v>#REF!</v>
      </c>
      <c r="AQ718" s="17"/>
      <c r="AR718" s="30" t="e">
        <f ca="1">IF(Data!#REF!="","",IF(ISNUMBER(Data!#REF!),IF(AND(Data!#REF!&gt;(TODAY()-(Data_Val!$I$3*365.25)),Data!#REF!&lt;=(TODAY()-(Data_Val!$I$2*365.25))),0,1),1))</f>
        <v>#REF!</v>
      </c>
      <c r="AS718" s="31" t="e">
        <f>IF(Data!#REF!="","",IF(Data!$G718="",1,IF(ISNUMBER(MATCH(Data!#REF!,Data_Val!$D$2:$D$10,0)),0,1)))</f>
        <v>#REF!</v>
      </c>
      <c r="AT718" s="11"/>
      <c r="AU718" s="11" t="e">
        <f ca="1">IF(Data!#REF!="","",IF(ISNUMBER(Data!#REF!),IF(AND(Data!#REF!&gt;(TODAY()-(Data_Val!$I$3*365.25)),Data!#REF!&lt;=(TODAY()-(Data_Val!$I$2*365.25))),0,1),1))</f>
        <v>#REF!</v>
      </c>
      <c r="AV718" s="11" t="e">
        <f>IF(Data!#REF!="","",IF(Data!$G718="",1,IF(ISNUMBER(MATCH(Data!#REF!,Data_Val!$D$2:$D$10,0)),0,1)))</f>
        <v>#REF!</v>
      </c>
      <c r="AW718" s="12"/>
      <c r="AX718" s="26" t="e">
        <f ca="1">IF(Data!#REF!="","",IF(ISNUMBER(Data!#REF!),IF(AND(Data!#REF!&gt;(TODAY()-(Data_Val!$I$3*365.25)),Data!#REF!&lt;=(TODAY()-(Data_Val!$I$2*365.25))),0,1),1))</f>
        <v>#REF!</v>
      </c>
      <c r="AY718" s="12" t="e">
        <f>IF(Data!#REF!="","",IF(Data!$G718="",1,IF(ISNUMBER(MATCH(Data!#REF!,Data_Val!$D$2:$D$10,0)),0,1)))</f>
        <v>#REF!</v>
      </c>
      <c r="AZ718" s="11"/>
      <c r="BA718" s="19" t="e">
        <f ca="1">IF(Data!#REF!="","",IF(ISNUMBER(Data!#REF!),IF(AND(Data!#REF!&gt;(TODAY()-(Data_Val!$M$3*365.25)),Data!#REF!&lt;=(TODAY()-(Data_Val!$M$2*365.25))),0,1),1))</f>
        <v>#REF!</v>
      </c>
      <c r="BB718" s="11" t="e">
        <f>IF(Data!#REF!="","",IF(Data!$G718="",1,IF(ISNUMBER(MATCH(Data!#REF!,Data_Val!$D$2:$D$10,0)),0,1)))</f>
        <v>#REF!</v>
      </c>
      <c r="BC718" s="12"/>
      <c r="BD718" s="20" t="e">
        <f ca="1">IF(Data!#REF!="","",IF(ISNUMBER(Data!#REF!),IF(AND(Data!#REF!&gt;(TODAY()-(Data_Val!$M$3*365.25)),Data!#REF!&lt;=(TODAY()-(Data_Val!$M$2*365.25))),0,1),1))</f>
        <v>#REF!</v>
      </c>
      <c r="BE718" s="12" t="e">
        <f>IF(Data!#REF!="","",IF(Data!$G718="",1,IF(ISNUMBER(MATCH(Data!#REF!,Data_Val!$D$2:$D$10,0)),0,1)))</f>
        <v>#REF!</v>
      </c>
      <c r="BF718" s="17"/>
      <c r="BG718" s="18" t="e">
        <f ca="1">IF(Data!#REF!="","",IF(ISNUMBER(Data!#REF!),IF(AND(Data!#REF!&gt;(TODAY()-(Data_Val!$M$3*365.25)),Data!#REF!&lt;=(TODAY()-(Data_Val!$M$2*365.25))),0,1),1))</f>
        <v>#REF!</v>
      </c>
      <c r="BH718" s="29" t="e">
        <f>IF(Data!#REF!="","",IF(Data!$G718="",1,IF(ISNUMBER(MATCH(Data!#REF!,Data_Val!$D$2:$D$10,0)),0,1)))</f>
        <v>#REF!</v>
      </c>
      <c r="BI718" s="13"/>
      <c r="BJ718" s="21" t="e">
        <f ca="1">IF(Data!#REF!="","",IF(ISNUMBER(Data!#REF!),IF(AND(Data!#REF!&gt;(TODAY()-(Data_Val!$M$3*365.25)),Data!#REF!&lt;=(TODAY()-(Data_Val!$M$2*365.25))),0,1),1))</f>
        <v>#REF!</v>
      </c>
      <c r="BK718" s="13" t="e">
        <f>IF(Data!#REF!="","",IF(Data!$G718="",1,IF(ISNUMBER(MATCH(Data!#REF!,Data_Val!$D$2:$D$10,0)),0,1)))</f>
        <v>#REF!</v>
      </c>
    </row>
    <row r="719" spans="1:63" x14ac:dyDescent="0.25">
      <c r="A719" s="9" t="str">
        <f>IF(Data!B719="","",IF(COUNTIFS(Data!A$1:'Data'!A719,Data!A719)&lt;=1,0,1))</f>
        <v/>
      </c>
      <c r="B719" s="9"/>
      <c r="C719" s="23" t="str">
        <f>IF(Data!C719="","",(IF(ISNUMBER(MATCH("*@*.?*",Data!C719,0)),0,1)+IF(COUNTIFS(Data!C$1:'Data'!C719,Data!C719)&gt;1,1,0)))</f>
        <v/>
      </c>
      <c r="D719" s="9" t="str">
        <f>IF(Data!B719="","",IF(ISNUMBER(Data!D719),IF(AND(Data!D719&gt;999999999,Data!D719&lt;=9999999999),IF(COUNTIFS(Data!D$1:'Data'!D719,Data!D719)&lt;=1,0,1),1),1))</f>
        <v/>
      </c>
      <c r="E719" s="9" t="str">
        <f>IF(Data!B719="","",IF(ISNUMBER(MATCH(Data!E719,Data_Val!$A$2:$A$3,0)),0,1))</f>
        <v/>
      </c>
      <c r="F719" s="9" t="str">
        <f ca="1">IF(Data!B719="","",IF(ISNUMBER(Data!F719),IF(AND(Data!F719&gt;(TODAY()-(Data_Val!$H$3*365.25)),Data!F719&lt;=(TODAY()-(Data_Val!$H$2*365.25))),0,1),1))</f>
        <v/>
      </c>
      <c r="G719" s="15" t="str">
        <f>IF(Data!B719="","",IF(AND(Data!G719="",Data!H719&lt;&gt;""),1,IF(Data!#REF!&lt;&gt;"",0,IF(ISNUMBER(MATCH(Data!G719,Data_Val!$C$2:$C$5,0)),0,1))))</f>
        <v/>
      </c>
      <c r="H719" s="15" t="str">
        <f>IF(Data!B719="","",IF(AND(Data!G719&lt;&gt;"",Data!H719=""),1,IF(Data!#REF!&lt;&gt;"",0,IF(Data!G719="",1,IF(ISNUMBER(MATCH(Data!H719,Data_Val!$D$2:$D$35,0)),0,1)))))</f>
        <v/>
      </c>
      <c r="I719" s="15" t="str">
        <f>IF(Data!B719="","",IF(Data!G719&lt;&gt;"",0,IF(ISNUMBER(MATCH(Data!#REF!,Data_Val!$E$2:$E$12,0)),0,1)))</f>
        <v/>
      </c>
      <c r="J719" s="16" t="e">
        <f>IF(OR(Data!B719="",Data!#REF!=""),"",IF(Data!#REF!="",1,0))</f>
        <v>#REF!</v>
      </c>
      <c r="K719" s="16" t="e">
        <f>IF(OR(Data!B719="",Data!#REF!=""),"",IF(Data!#REF!="",1,0))</f>
        <v>#REF!</v>
      </c>
      <c r="L719" s="16" t="e">
        <f>IF(OR(Data!B719="",Data!#REF!=""),"",IF(ISNUMBER(Data!#REF!),IF(AND(Data!#REF!&gt;Data_Val!$G$2,Data!#REF!&lt;=Data_Val!$G$3),0,1),1))</f>
        <v>#REF!</v>
      </c>
      <c r="M719" s="9" t="e">
        <f>IF(OR(Data!B719="",Data!#REF!=""),"",IF(ISNUMBER(MATCH(Data!#REF!,Data_Val!$F$1:$F$38,0)),0,1))</f>
        <v>#REF!</v>
      </c>
      <c r="N719" s="9" t="e">
        <f>IF(OR(Data!B719="",Data!#REF!=""),"",IF(Data!#REF!="",1,0))</f>
        <v>#REF!</v>
      </c>
      <c r="O719" s="17" t="e">
        <f>IF(Data!#REF!="","",IF(Data!#REF!="",1,0))</f>
        <v>#REF!</v>
      </c>
      <c r="P719" s="17" t="e">
        <f>IF(Data!#REF!="","",IF(ISNUMBER(MATCH(Data!#REF!,Data_Val!$A$2:$A$3,0)),0,1))</f>
        <v>#REF!</v>
      </c>
      <c r="Q719" s="25" t="e">
        <f ca="1">IF(Data!#REF!="","",IF(ISNUMBER(Data!#REF!),IF(AND(Data!#REF!&gt;(TODAY()-(Data_Val!$J$3*365.25)),Data!#REF!&lt;=(TODAY()-(Data_Val!$J$2*365.25))),0,1),1))</f>
        <v>#REF!</v>
      </c>
      <c r="R719" s="17" t="e">
        <f>IF(Data!#REF!="","",IF(ISNUMBER(MATCH(Data!#REF!,Data_Val!$B$2:$B$15,0)),0,1))</f>
        <v>#REF!</v>
      </c>
      <c r="S719" s="11" t="str">
        <f>IF(Data!G719="","",IF(Data!G719=Data_Val!$C$2,IF(Data!M719="",0,1),0))</f>
        <v/>
      </c>
      <c r="T719" s="11" t="str">
        <f>IF(Data!M719="","",IF(ISNUMBER(MATCH(Data!N719,Data_Val!$A$2:$A$3,0)),0,1))</f>
        <v/>
      </c>
      <c r="U719" s="11" t="str">
        <f ca="1">IF(Data!M719="","",IF(ISNUMBER(Data!O719),IF(AND(Data!O719&gt;(TODAY()-(Data_Val!$K$3*365.25)),Data!O719&lt;=(TODAY()-(Data_Val!$K$2*365.25))),0,1),1))</f>
        <v/>
      </c>
      <c r="V719" s="12" t="str">
        <f>IF(Data!G719="","",IF(Data!G719=Data_Val!$C$2,IF(Data!P719="",0,1),0))</f>
        <v/>
      </c>
      <c r="W719" s="12" t="str">
        <f>IF(Data!P719="","",IF(ISNUMBER(MATCH(Data!Q719,Data_Val!$A$2:$A$3,0)),0,1))</f>
        <v/>
      </c>
      <c r="X719" s="26" t="str">
        <f ca="1">IF(Data!P719="","",IF(ISNUMBER(Data!R719),IF(AND(Data!R719&gt;(TODAY()-(Data_Val!$L$3*365.25)),Data!R719&lt;=(TODAY()-(Data_Val!$L$2*365.25))),0,1),1))</f>
        <v/>
      </c>
      <c r="Y719" s="13" t="str">
        <f>IF(Data!$G719="","",IF(Data!$G719=Data_Val!$C$2,IF(Data!S719="",0,1),0))</f>
        <v/>
      </c>
      <c r="Z719" s="13" t="str">
        <f>IF(Data!S719="","",IF(ISNUMBER(MATCH(Data!T719,Data_Val!$A$2:$A$3,0)),0,1))</f>
        <v/>
      </c>
      <c r="AA719" s="28" t="str">
        <f ca="1">IF(Data!S719="","",IF(ISNUMBER(Data!U719),IF(AND(Data!U719&gt;(TODAY()-(Data_Val!$L$3*365.25)),Data!U719&lt;=(TODAY()-(Data_Val!$L$2*365.25))),0,1),1))</f>
        <v/>
      </c>
      <c r="AB719" s="11"/>
      <c r="AC719" s="11" t="e">
        <f>IF(Data!#REF!="","",IF(ISNUMBER(MATCH(Data!#REF!,Data_Val!$A$2:$A$3,0)),0,1))</f>
        <v>#REF!</v>
      </c>
      <c r="AD719" s="11" t="e">
        <f ca="1">IF(Data!#REF!="","",IF(ISNUMBER(Data!#REF!),IF(AND(Data!#REF!&gt;(TODAY()-(Data_Val!$L$3*365.25)),Data!#REF!&lt;=(TODAY()-(Data_Val!$L$2*365.25))),0,1),1))</f>
        <v>#REF!</v>
      </c>
      <c r="AE719" s="11" t="e">
        <f>IF(Data!#REF!="","",IF(Data!$G719="",1,IF(ISNUMBER(MATCH(Data!#REF!,Data_Val!$D$2:$D$10,0)),0,1)))</f>
        <v>#REF!</v>
      </c>
      <c r="AF719" s="12"/>
      <c r="AG719" s="12" t="e">
        <f>IF(Data!#REF!="","",IF(ISNUMBER(MATCH(Data!#REF!,Data_Val!$A$2:$A$3,0)),0,1))</f>
        <v>#REF!</v>
      </c>
      <c r="AH719" s="26" t="e">
        <f ca="1">IF(Data!#REF!="","",IF(ISNUMBER(Data!#REF!),IF(AND(Data!#REF!&gt;(TODAY()-(Data_Val!$L$3*365.25)),Data!#REF!&lt;=(TODAY()-(Data_Val!$L$2*365.25))),0,1),1))</f>
        <v>#REF!</v>
      </c>
      <c r="AI719" s="12" t="e">
        <f>IF(Data!#REF!="","",IF(Data!$G719="",1,IF(ISNUMBER(MATCH(Data!#REF!,Data_Val!$D$2:$D$10,0)),0,1)))</f>
        <v>#REF!</v>
      </c>
      <c r="AJ719" s="17"/>
      <c r="AK719" s="17" t="e">
        <f>IF(Data!#REF!="","",IF(ISNUMBER(MATCH(Data!#REF!,Data_Val!$A$2:$A$3,0)),0,1))</f>
        <v>#REF!</v>
      </c>
      <c r="AL719" s="25" t="e">
        <f ca="1">IF(Data!#REF!="","",IF(ISNUMBER(Data!#REF!),IF(AND(Data!#REF!&gt;(TODAY()-(Data_Val!$L$3*365.25)),Data!#REF!&lt;=(TODAY()-(Data_Val!$L$2*365.25))),0,1),1))</f>
        <v>#REF!</v>
      </c>
      <c r="AM719" s="17" t="e">
        <f>IF(Data!#REF!="","",IF(Data!$G719="",1,IF(ISNUMBER(MATCH(Data!#REF!,Data_Val!$D$2:$D$10,0)),0,1)))</f>
        <v>#REF!</v>
      </c>
      <c r="AN719" s="13"/>
      <c r="AO719" s="28" t="e">
        <f ca="1">IF(Data!#REF!="","",IF(ISNUMBER(Data!#REF!),IF(AND(Data!#REF!&gt;(TODAY()-(Data_Val!$I$3*365.25)),Data!#REF!&lt;=(TODAY()-(Data_Val!$I$2*365.25))),0,1),1))</f>
        <v>#REF!</v>
      </c>
      <c r="AP719" s="13" t="e">
        <f>IF(Data!#REF!="","",IF(Data!$G719="",1,IF(ISNUMBER(MATCH(Data!#REF!,Data_Val!$D$2:$D$10,0)),0,1)))</f>
        <v>#REF!</v>
      </c>
      <c r="AQ719" s="17"/>
      <c r="AR719" s="30" t="e">
        <f ca="1">IF(Data!#REF!="","",IF(ISNUMBER(Data!#REF!),IF(AND(Data!#REF!&gt;(TODAY()-(Data_Val!$I$3*365.25)),Data!#REF!&lt;=(TODAY()-(Data_Val!$I$2*365.25))),0,1),1))</f>
        <v>#REF!</v>
      </c>
      <c r="AS719" s="31" t="e">
        <f>IF(Data!#REF!="","",IF(Data!$G719="",1,IF(ISNUMBER(MATCH(Data!#REF!,Data_Val!$D$2:$D$10,0)),0,1)))</f>
        <v>#REF!</v>
      </c>
      <c r="AT719" s="11"/>
      <c r="AU719" s="11" t="e">
        <f ca="1">IF(Data!#REF!="","",IF(ISNUMBER(Data!#REF!),IF(AND(Data!#REF!&gt;(TODAY()-(Data_Val!$I$3*365.25)),Data!#REF!&lt;=(TODAY()-(Data_Val!$I$2*365.25))),0,1),1))</f>
        <v>#REF!</v>
      </c>
      <c r="AV719" s="11" t="e">
        <f>IF(Data!#REF!="","",IF(Data!$G719="",1,IF(ISNUMBER(MATCH(Data!#REF!,Data_Val!$D$2:$D$10,0)),0,1)))</f>
        <v>#REF!</v>
      </c>
      <c r="AW719" s="12"/>
      <c r="AX719" s="26" t="e">
        <f ca="1">IF(Data!#REF!="","",IF(ISNUMBER(Data!#REF!),IF(AND(Data!#REF!&gt;(TODAY()-(Data_Val!$I$3*365.25)),Data!#REF!&lt;=(TODAY()-(Data_Val!$I$2*365.25))),0,1),1))</f>
        <v>#REF!</v>
      </c>
      <c r="AY719" s="12" t="e">
        <f>IF(Data!#REF!="","",IF(Data!$G719="",1,IF(ISNUMBER(MATCH(Data!#REF!,Data_Val!$D$2:$D$10,0)),0,1)))</f>
        <v>#REF!</v>
      </c>
      <c r="AZ719" s="11"/>
      <c r="BA719" s="19" t="e">
        <f ca="1">IF(Data!#REF!="","",IF(ISNUMBER(Data!#REF!),IF(AND(Data!#REF!&gt;(TODAY()-(Data_Val!$M$3*365.25)),Data!#REF!&lt;=(TODAY()-(Data_Val!$M$2*365.25))),0,1),1))</f>
        <v>#REF!</v>
      </c>
      <c r="BB719" s="11" t="e">
        <f>IF(Data!#REF!="","",IF(Data!$G719="",1,IF(ISNUMBER(MATCH(Data!#REF!,Data_Val!$D$2:$D$10,0)),0,1)))</f>
        <v>#REF!</v>
      </c>
      <c r="BC719" s="12"/>
      <c r="BD719" s="20" t="e">
        <f ca="1">IF(Data!#REF!="","",IF(ISNUMBER(Data!#REF!),IF(AND(Data!#REF!&gt;(TODAY()-(Data_Val!$M$3*365.25)),Data!#REF!&lt;=(TODAY()-(Data_Val!$M$2*365.25))),0,1),1))</f>
        <v>#REF!</v>
      </c>
      <c r="BE719" s="12" t="e">
        <f>IF(Data!#REF!="","",IF(Data!$G719="",1,IF(ISNUMBER(MATCH(Data!#REF!,Data_Val!$D$2:$D$10,0)),0,1)))</f>
        <v>#REF!</v>
      </c>
      <c r="BF719" s="17"/>
      <c r="BG719" s="18" t="e">
        <f ca="1">IF(Data!#REF!="","",IF(ISNUMBER(Data!#REF!),IF(AND(Data!#REF!&gt;(TODAY()-(Data_Val!$M$3*365.25)),Data!#REF!&lt;=(TODAY()-(Data_Val!$M$2*365.25))),0,1),1))</f>
        <v>#REF!</v>
      </c>
      <c r="BH719" s="29" t="e">
        <f>IF(Data!#REF!="","",IF(Data!$G719="",1,IF(ISNUMBER(MATCH(Data!#REF!,Data_Val!$D$2:$D$10,0)),0,1)))</f>
        <v>#REF!</v>
      </c>
      <c r="BI719" s="13"/>
      <c r="BJ719" s="21" t="e">
        <f ca="1">IF(Data!#REF!="","",IF(ISNUMBER(Data!#REF!),IF(AND(Data!#REF!&gt;(TODAY()-(Data_Val!$M$3*365.25)),Data!#REF!&lt;=(TODAY()-(Data_Val!$M$2*365.25))),0,1),1))</f>
        <v>#REF!</v>
      </c>
      <c r="BK719" s="13" t="e">
        <f>IF(Data!#REF!="","",IF(Data!$G719="",1,IF(ISNUMBER(MATCH(Data!#REF!,Data_Val!$D$2:$D$10,0)),0,1)))</f>
        <v>#REF!</v>
      </c>
    </row>
    <row r="720" spans="1:63" x14ac:dyDescent="0.25">
      <c r="A720" s="9" t="str">
        <f>IF(Data!B720="","",IF(COUNTIFS(Data!A$1:'Data'!A720,Data!A720)&lt;=1,0,1))</f>
        <v/>
      </c>
      <c r="B720" s="9"/>
      <c r="C720" s="23" t="str">
        <f>IF(Data!C720="","",(IF(ISNUMBER(MATCH("*@*.?*",Data!C720,0)),0,1)+IF(COUNTIFS(Data!C$1:'Data'!C720,Data!C720)&gt;1,1,0)))</f>
        <v/>
      </c>
      <c r="D720" s="9" t="str">
        <f>IF(Data!B720="","",IF(ISNUMBER(Data!D720),IF(AND(Data!D720&gt;999999999,Data!D720&lt;=9999999999),IF(COUNTIFS(Data!D$1:'Data'!D720,Data!D720)&lt;=1,0,1),1),1))</f>
        <v/>
      </c>
      <c r="E720" s="9" t="str">
        <f>IF(Data!B720="","",IF(ISNUMBER(MATCH(Data!E720,Data_Val!$A$2:$A$3,0)),0,1))</f>
        <v/>
      </c>
      <c r="F720" s="9" t="str">
        <f ca="1">IF(Data!B720="","",IF(ISNUMBER(Data!F720),IF(AND(Data!F720&gt;(TODAY()-(Data_Val!$H$3*365.25)),Data!F720&lt;=(TODAY()-(Data_Val!$H$2*365.25))),0,1),1))</f>
        <v/>
      </c>
      <c r="G720" s="15" t="str">
        <f>IF(Data!B720="","",IF(AND(Data!G720="",Data!H720&lt;&gt;""),1,IF(Data!#REF!&lt;&gt;"",0,IF(ISNUMBER(MATCH(Data!G720,Data_Val!$C$2:$C$5,0)),0,1))))</f>
        <v/>
      </c>
      <c r="H720" s="15" t="str">
        <f>IF(Data!B720="","",IF(AND(Data!G720&lt;&gt;"",Data!H720=""),1,IF(Data!#REF!&lt;&gt;"",0,IF(Data!G720="",1,IF(ISNUMBER(MATCH(Data!H720,Data_Val!$D$2:$D$35,0)),0,1)))))</f>
        <v/>
      </c>
      <c r="I720" s="15" t="str">
        <f>IF(Data!B720="","",IF(Data!G720&lt;&gt;"",0,IF(ISNUMBER(MATCH(Data!#REF!,Data_Val!$E$2:$E$12,0)),0,1)))</f>
        <v/>
      </c>
      <c r="J720" s="16" t="e">
        <f>IF(OR(Data!B720="",Data!#REF!=""),"",IF(Data!#REF!="",1,0))</f>
        <v>#REF!</v>
      </c>
      <c r="K720" s="16" t="e">
        <f>IF(OR(Data!B720="",Data!#REF!=""),"",IF(Data!#REF!="",1,0))</f>
        <v>#REF!</v>
      </c>
      <c r="L720" s="16" t="e">
        <f>IF(OR(Data!B720="",Data!#REF!=""),"",IF(ISNUMBER(Data!#REF!),IF(AND(Data!#REF!&gt;Data_Val!$G$2,Data!#REF!&lt;=Data_Val!$G$3),0,1),1))</f>
        <v>#REF!</v>
      </c>
      <c r="M720" s="9" t="e">
        <f>IF(OR(Data!B720="",Data!#REF!=""),"",IF(ISNUMBER(MATCH(Data!#REF!,Data_Val!$F$1:$F$38,0)),0,1))</f>
        <v>#REF!</v>
      </c>
      <c r="N720" s="9" t="e">
        <f>IF(OR(Data!B720="",Data!#REF!=""),"",IF(Data!#REF!="",1,0))</f>
        <v>#REF!</v>
      </c>
      <c r="O720" s="17" t="e">
        <f>IF(Data!#REF!="","",IF(Data!#REF!="",1,0))</f>
        <v>#REF!</v>
      </c>
      <c r="P720" s="17" t="e">
        <f>IF(Data!#REF!="","",IF(ISNUMBER(MATCH(Data!#REF!,Data_Val!$A$2:$A$3,0)),0,1))</f>
        <v>#REF!</v>
      </c>
      <c r="Q720" s="25" t="e">
        <f ca="1">IF(Data!#REF!="","",IF(ISNUMBER(Data!#REF!),IF(AND(Data!#REF!&gt;(TODAY()-(Data_Val!$J$3*365.25)),Data!#REF!&lt;=(TODAY()-(Data_Val!$J$2*365.25))),0,1),1))</f>
        <v>#REF!</v>
      </c>
      <c r="R720" s="17" t="e">
        <f>IF(Data!#REF!="","",IF(ISNUMBER(MATCH(Data!#REF!,Data_Val!$B$2:$B$15,0)),0,1))</f>
        <v>#REF!</v>
      </c>
      <c r="S720" s="11" t="str">
        <f>IF(Data!G720="","",IF(Data!G720=Data_Val!$C$2,IF(Data!M720="",0,1),0))</f>
        <v/>
      </c>
      <c r="T720" s="11" t="str">
        <f>IF(Data!M720="","",IF(ISNUMBER(MATCH(Data!N720,Data_Val!$A$2:$A$3,0)),0,1))</f>
        <v/>
      </c>
      <c r="U720" s="11" t="str">
        <f ca="1">IF(Data!M720="","",IF(ISNUMBER(Data!O720),IF(AND(Data!O720&gt;(TODAY()-(Data_Val!$K$3*365.25)),Data!O720&lt;=(TODAY()-(Data_Val!$K$2*365.25))),0,1),1))</f>
        <v/>
      </c>
      <c r="V720" s="12" t="str">
        <f>IF(Data!G720="","",IF(Data!G720=Data_Val!$C$2,IF(Data!P720="",0,1),0))</f>
        <v/>
      </c>
      <c r="W720" s="12" t="str">
        <f>IF(Data!P720="","",IF(ISNUMBER(MATCH(Data!Q720,Data_Val!$A$2:$A$3,0)),0,1))</f>
        <v/>
      </c>
      <c r="X720" s="26" t="str">
        <f ca="1">IF(Data!P720="","",IF(ISNUMBER(Data!R720),IF(AND(Data!R720&gt;(TODAY()-(Data_Val!$L$3*365.25)),Data!R720&lt;=(TODAY()-(Data_Val!$L$2*365.25))),0,1),1))</f>
        <v/>
      </c>
      <c r="Y720" s="13" t="str">
        <f>IF(Data!$G720="","",IF(Data!$G720=Data_Val!$C$2,IF(Data!S720="",0,1),0))</f>
        <v/>
      </c>
      <c r="Z720" s="13" t="str">
        <f>IF(Data!S720="","",IF(ISNUMBER(MATCH(Data!T720,Data_Val!$A$2:$A$3,0)),0,1))</f>
        <v/>
      </c>
      <c r="AA720" s="28" t="str">
        <f ca="1">IF(Data!S720="","",IF(ISNUMBER(Data!U720),IF(AND(Data!U720&gt;(TODAY()-(Data_Val!$L$3*365.25)),Data!U720&lt;=(TODAY()-(Data_Val!$L$2*365.25))),0,1),1))</f>
        <v/>
      </c>
      <c r="AB720" s="11"/>
      <c r="AC720" s="11" t="e">
        <f>IF(Data!#REF!="","",IF(ISNUMBER(MATCH(Data!#REF!,Data_Val!$A$2:$A$3,0)),0,1))</f>
        <v>#REF!</v>
      </c>
      <c r="AD720" s="11" t="e">
        <f ca="1">IF(Data!#REF!="","",IF(ISNUMBER(Data!#REF!),IF(AND(Data!#REF!&gt;(TODAY()-(Data_Val!$L$3*365.25)),Data!#REF!&lt;=(TODAY()-(Data_Val!$L$2*365.25))),0,1),1))</f>
        <v>#REF!</v>
      </c>
      <c r="AE720" s="11" t="e">
        <f>IF(Data!#REF!="","",IF(Data!$G720="",1,IF(ISNUMBER(MATCH(Data!#REF!,Data_Val!$D$2:$D$10,0)),0,1)))</f>
        <v>#REF!</v>
      </c>
      <c r="AF720" s="12"/>
      <c r="AG720" s="12" t="e">
        <f>IF(Data!#REF!="","",IF(ISNUMBER(MATCH(Data!#REF!,Data_Val!$A$2:$A$3,0)),0,1))</f>
        <v>#REF!</v>
      </c>
      <c r="AH720" s="26" t="e">
        <f ca="1">IF(Data!#REF!="","",IF(ISNUMBER(Data!#REF!),IF(AND(Data!#REF!&gt;(TODAY()-(Data_Val!$L$3*365.25)),Data!#REF!&lt;=(TODAY()-(Data_Val!$L$2*365.25))),0,1),1))</f>
        <v>#REF!</v>
      </c>
      <c r="AI720" s="12" t="e">
        <f>IF(Data!#REF!="","",IF(Data!$G720="",1,IF(ISNUMBER(MATCH(Data!#REF!,Data_Val!$D$2:$D$10,0)),0,1)))</f>
        <v>#REF!</v>
      </c>
      <c r="AJ720" s="17"/>
      <c r="AK720" s="17" t="e">
        <f>IF(Data!#REF!="","",IF(ISNUMBER(MATCH(Data!#REF!,Data_Val!$A$2:$A$3,0)),0,1))</f>
        <v>#REF!</v>
      </c>
      <c r="AL720" s="25" t="e">
        <f ca="1">IF(Data!#REF!="","",IF(ISNUMBER(Data!#REF!),IF(AND(Data!#REF!&gt;(TODAY()-(Data_Val!$L$3*365.25)),Data!#REF!&lt;=(TODAY()-(Data_Val!$L$2*365.25))),0,1),1))</f>
        <v>#REF!</v>
      </c>
      <c r="AM720" s="17" t="e">
        <f>IF(Data!#REF!="","",IF(Data!$G720="",1,IF(ISNUMBER(MATCH(Data!#REF!,Data_Val!$D$2:$D$10,0)),0,1)))</f>
        <v>#REF!</v>
      </c>
      <c r="AN720" s="13"/>
      <c r="AO720" s="28" t="e">
        <f ca="1">IF(Data!#REF!="","",IF(ISNUMBER(Data!#REF!),IF(AND(Data!#REF!&gt;(TODAY()-(Data_Val!$I$3*365.25)),Data!#REF!&lt;=(TODAY()-(Data_Val!$I$2*365.25))),0,1),1))</f>
        <v>#REF!</v>
      </c>
      <c r="AP720" s="13" t="e">
        <f>IF(Data!#REF!="","",IF(Data!$G720="",1,IF(ISNUMBER(MATCH(Data!#REF!,Data_Val!$D$2:$D$10,0)),0,1)))</f>
        <v>#REF!</v>
      </c>
      <c r="AQ720" s="17"/>
      <c r="AR720" s="30" t="e">
        <f ca="1">IF(Data!#REF!="","",IF(ISNUMBER(Data!#REF!),IF(AND(Data!#REF!&gt;(TODAY()-(Data_Val!$I$3*365.25)),Data!#REF!&lt;=(TODAY()-(Data_Val!$I$2*365.25))),0,1),1))</f>
        <v>#REF!</v>
      </c>
      <c r="AS720" s="31" t="e">
        <f>IF(Data!#REF!="","",IF(Data!$G720="",1,IF(ISNUMBER(MATCH(Data!#REF!,Data_Val!$D$2:$D$10,0)),0,1)))</f>
        <v>#REF!</v>
      </c>
      <c r="AT720" s="11"/>
      <c r="AU720" s="11" t="e">
        <f ca="1">IF(Data!#REF!="","",IF(ISNUMBER(Data!#REF!),IF(AND(Data!#REF!&gt;(TODAY()-(Data_Val!$I$3*365.25)),Data!#REF!&lt;=(TODAY()-(Data_Val!$I$2*365.25))),0,1),1))</f>
        <v>#REF!</v>
      </c>
      <c r="AV720" s="11" t="e">
        <f>IF(Data!#REF!="","",IF(Data!$G720="",1,IF(ISNUMBER(MATCH(Data!#REF!,Data_Val!$D$2:$D$10,0)),0,1)))</f>
        <v>#REF!</v>
      </c>
      <c r="AW720" s="12"/>
      <c r="AX720" s="26" t="e">
        <f ca="1">IF(Data!#REF!="","",IF(ISNUMBER(Data!#REF!),IF(AND(Data!#REF!&gt;(TODAY()-(Data_Val!$I$3*365.25)),Data!#REF!&lt;=(TODAY()-(Data_Val!$I$2*365.25))),0,1),1))</f>
        <v>#REF!</v>
      </c>
      <c r="AY720" s="12" t="e">
        <f>IF(Data!#REF!="","",IF(Data!$G720="",1,IF(ISNUMBER(MATCH(Data!#REF!,Data_Val!$D$2:$D$10,0)),0,1)))</f>
        <v>#REF!</v>
      </c>
      <c r="AZ720" s="11"/>
      <c r="BA720" s="19" t="e">
        <f ca="1">IF(Data!#REF!="","",IF(ISNUMBER(Data!#REF!),IF(AND(Data!#REF!&gt;(TODAY()-(Data_Val!$M$3*365.25)),Data!#REF!&lt;=(TODAY()-(Data_Val!$M$2*365.25))),0,1),1))</f>
        <v>#REF!</v>
      </c>
      <c r="BB720" s="11" t="e">
        <f>IF(Data!#REF!="","",IF(Data!$G720="",1,IF(ISNUMBER(MATCH(Data!#REF!,Data_Val!$D$2:$D$10,0)),0,1)))</f>
        <v>#REF!</v>
      </c>
      <c r="BC720" s="12"/>
      <c r="BD720" s="20" t="e">
        <f ca="1">IF(Data!#REF!="","",IF(ISNUMBER(Data!#REF!),IF(AND(Data!#REF!&gt;(TODAY()-(Data_Val!$M$3*365.25)),Data!#REF!&lt;=(TODAY()-(Data_Val!$M$2*365.25))),0,1),1))</f>
        <v>#REF!</v>
      </c>
      <c r="BE720" s="12" t="e">
        <f>IF(Data!#REF!="","",IF(Data!$G720="",1,IF(ISNUMBER(MATCH(Data!#REF!,Data_Val!$D$2:$D$10,0)),0,1)))</f>
        <v>#REF!</v>
      </c>
      <c r="BF720" s="17"/>
      <c r="BG720" s="18" t="e">
        <f ca="1">IF(Data!#REF!="","",IF(ISNUMBER(Data!#REF!),IF(AND(Data!#REF!&gt;(TODAY()-(Data_Val!$M$3*365.25)),Data!#REF!&lt;=(TODAY()-(Data_Val!$M$2*365.25))),0,1),1))</f>
        <v>#REF!</v>
      </c>
      <c r="BH720" s="29" t="e">
        <f>IF(Data!#REF!="","",IF(Data!$G720="",1,IF(ISNUMBER(MATCH(Data!#REF!,Data_Val!$D$2:$D$10,0)),0,1)))</f>
        <v>#REF!</v>
      </c>
      <c r="BI720" s="13"/>
      <c r="BJ720" s="21" t="e">
        <f ca="1">IF(Data!#REF!="","",IF(ISNUMBER(Data!#REF!),IF(AND(Data!#REF!&gt;(TODAY()-(Data_Val!$M$3*365.25)),Data!#REF!&lt;=(TODAY()-(Data_Val!$M$2*365.25))),0,1),1))</f>
        <v>#REF!</v>
      </c>
      <c r="BK720" s="13" t="e">
        <f>IF(Data!#REF!="","",IF(Data!$G720="",1,IF(ISNUMBER(MATCH(Data!#REF!,Data_Val!$D$2:$D$10,0)),0,1)))</f>
        <v>#REF!</v>
      </c>
    </row>
    <row r="721" spans="1:63" x14ac:dyDescent="0.25">
      <c r="A721" s="9" t="str">
        <f>IF(Data!B721="","",IF(COUNTIFS(Data!A$1:'Data'!A721,Data!A721)&lt;=1,0,1))</f>
        <v/>
      </c>
      <c r="B721" s="9"/>
      <c r="C721" s="23" t="str">
        <f>IF(Data!C721="","",(IF(ISNUMBER(MATCH("*@*.?*",Data!C721,0)),0,1)+IF(COUNTIFS(Data!C$1:'Data'!C721,Data!C721)&gt;1,1,0)))</f>
        <v/>
      </c>
      <c r="D721" s="9" t="str">
        <f>IF(Data!B721="","",IF(ISNUMBER(Data!D721),IF(AND(Data!D721&gt;999999999,Data!D721&lt;=9999999999),IF(COUNTIFS(Data!D$1:'Data'!D721,Data!D721)&lt;=1,0,1),1),1))</f>
        <v/>
      </c>
      <c r="E721" s="9" t="str">
        <f>IF(Data!B721="","",IF(ISNUMBER(MATCH(Data!E721,Data_Val!$A$2:$A$3,0)),0,1))</f>
        <v/>
      </c>
      <c r="F721" s="9" t="str">
        <f ca="1">IF(Data!B721="","",IF(ISNUMBER(Data!F721),IF(AND(Data!F721&gt;(TODAY()-(Data_Val!$H$3*365.25)),Data!F721&lt;=(TODAY()-(Data_Val!$H$2*365.25))),0,1),1))</f>
        <v/>
      </c>
      <c r="G721" s="15" t="str">
        <f>IF(Data!B721="","",IF(AND(Data!G721="",Data!H721&lt;&gt;""),1,IF(Data!#REF!&lt;&gt;"",0,IF(ISNUMBER(MATCH(Data!G721,Data_Val!$C$2:$C$5,0)),0,1))))</f>
        <v/>
      </c>
      <c r="H721" s="15" t="str">
        <f>IF(Data!B721="","",IF(AND(Data!G721&lt;&gt;"",Data!H721=""),1,IF(Data!#REF!&lt;&gt;"",0,IF(Data!G721="",1,IF(ISNUMBER(MATCH(Data!H721,Data_Val!$D$2:$D$35,0)),0,1)))))</f>
        <v/>
      </c>
      <c r="I721" s="15" t="str">
        <f>IF(Data!B721="","",IF(Data!G721&lt;&gt;"",0,IF(ISNUMBER(MATCH(Data!#REF!,Data_Val!$E$2:$E$12,0)),0,1)))</f>
        <v/>
      </c>
      <c r="J721" s="16" t="e">
        <f>IF(OR(Data!B721="",Data!#REF!=""),"",IF(Data!#REF!="",1,0))</f>
        <v>#REF!</v>
      </c>
      <c r="K721" s="16" t="e">
        <f>IF(OR(Data!B721="",Data!#REF!=""),"",IF(Data!#REF!="",1,0))</f>
        <v>#REF!</v>
      </c>
      <c r="L721" s="16" t="e">
        <f>IF(OR(Data!B721="",Data!#REF!=""),"",IF(ISNUMBER(Data!#REF!),IF(AND(Data!#REF!&gt;Data_Val!$G$2,Data!#REF!&lt;=Data_Val!$G$3),0,1),1))</f>
        <v>#REF!</v>
      </c>
      <c r="M721" s="9" t="e">
        <f>IF(OR(Data!B721="",Data!#REF!=""),"",IF(ISNUMBER(MATCH(Data!#REF!,Data_Val!$F$1:$F$38,0)),0,1))</f>
        <v>#REF!</v>
      </c>
      <c r="N721" s="9" t="e">
        <f>IF(OR(Data!B721="",Data!#REF!=""),"",IF(Data!#REF!="",1,0))</f>
        <v>#REF!</v>
      </c>
      <c r="O721" s="17" t="e">
        <f>IF(Data!#REF!="","",IF(Data!#REF!="",1,0))</f>
        <v>#REF!</v>
      </c>
      <c r="P721" s="17" t="e">
        <f>IF(Data!#REF!="","",IF(ISNUMBER(MATCH(Data!#REF!,Data_Val!$A$2:$A$3,0)),0,1))</f>
        <v>#REF!</v>
      </c>
      <c r="Q721" s="25" t="e">
        <f ca="1">IF(Data!#REF!="","",IF(ISNUMBER(Data!#REF!),IF(AND(Data!#REF!&gt;(TODAY()-(Data_Val!$J$3*365.25)),Data!#REF!&lt;=(TODAY()-(Data_Val!$J$2*365.25))),0,1),1))</f>
        <v>#REF!</v>
      </c>
      <c r="R721" s="17" t="e">
        <f>IF(Data!#REF!="","",IF(ISNUMBER(MATCH(Data!#REF!,Data_Val!$B$2:$B$15,0)),0,1))</f>
        <v>#REF!</v>
      </c>
      <c r="S721" s="11" t="str">
        <f>IF(Data!G721="","",IF(Data!G721=Data_Val!$C$2,IF(Data!M721="",0,1),0))</f>
        <v/>
      </c>
      <c r="T721" s="11" t="str">
        <f>IF(Data!M721="","",IF(ISNUMBER(MATCH(Data!N721,Data_Val!$A$2:$A$3,0)),0,1))</f>
        <v/>
      </c>
      <c r="U721" s="11" t="str">
        <f ca="1">IF(Data!M721="","",IF(ISNUMBER(Data!O721),IF(AND(Data!O721&gt;(TODAY()-(Data_Val!$K$3*365.25)),Data!O721&lt;=(TODAY()-(Data_Val!$K$2*365.25))),0,1),1))</f>
        <v/>
      </c>
      <c r="V721" s="12" t="str">
        <f>IF(Data!G721="","",IF(Data!G721=Data_Val!$C$2,IF(Data!P721="",0,1),0))</f>
        <v/>
      </c>
      <c r="W721" s="12" t="str">
        <f>IF(Data!P721="","",IF(ISNUMBER(MATCH(Data!Q721,Data_Val!$A$2:$A$3,0)),0,1))</f>
        <v/>
      </c>
      <c r="X721" s="26" t="str">
        <f ca="1">IF(Data!P721="","",IF(ISNUMBER(Data!R721),IF(AND(Data!R721&gt;(TODAY()-(Data_Val!$L$3*365.25)),Data!R721&lt;=(TODAY()-(Data_Val!$L$2*365.25))),0,1),1))</f>
        <v/>
      </c>
      <c r="Y721" s="13" t="str">
        <f>IF(Data!$G721="","",IF(Data!$G721=Data_Val!$C$2,IF(Data!S721="",0,1),0))</f>
        <v/>
      </c>
      <c r="Z721" s="13" t="str">
        <f>IF(Data!S721="","",IF(ISNUMBER(MATCH(Data!T721,Data_Val!$A$2:$A$3,0)),0,1))</f>
        <v/>
      </c>
      <c r="AA721" s="28" t="str">
        <f ca="1">IF(Data!S721="","",IF(ISNUMBER(Data!U721),IF(AND(Data!U721&gt;(TODAY()-(Data_Val!$L$3*365.25)),Data!U721&lt;=(TODAY()-(Data_Val!$L$2*365.25))),0,1),1))</f>
        <v/>
      </c>
      <c r="AB721" s="11"/>
      <c r="AC721" s="11" t="e">
        <f>IF(Data!#REF!="","",IF(ISNUMBER(MATCH(Data!#REF!,Data_Val!$A$2:$A$3,0)),0,1))</f>
        <v>#REF!</v>
      </c>
      <c r="AD721" s="11" t="e">
        <f ca="1">IF(Data!#REF!="","",IF(ISNUMBER(Data!#REF!),IF(AND(Data!#REF!&gt;(TODAY()-(Data_Val!$L$3*365.25)),Data!#REF!&lt;=(TODAY()-(Data_Val!$L$2*365.25))),0,1),1))</f>
        <v>#REF!</v>
      </c>
      <c r="AE721" s="11" t="e">
        <f>IF(Data!#REF!="","",IF(Data!$G721="",1,IF(ISNUMBER(MATCH(Data!#REF!,Data_Val!$D$2:$D$10,0)),0,1)))</f>
        <v>#REF!</v>
      </c>
      <c r="AF721" s="12"/>
      <c r="AG721" s="12" t="e">
        <f>IF(Data!#REF!="","",IF(ISNUMBER(MATCH(Data!#REF!,Data_Val!$A$2:$A$3,0)),0,1))</f>
        <v>#REF!</v>
      </c>
      <c r="AH721" s="26" t="e">
        <f ca="1">IF(Data!#REF!="","",IF(ISNUMBER(Data!#REF!),IF(AND(Data!#REF!&gt;(TODAY()-(Data_Val!$L$3*365.25)),Data!#REF!&lt;=(TODAY()-(Data_Val!$L$2*365.25))),0,1),1))</f>
        <v>#REF!</v>
      </c>
      <c r="AI721" s="12" t="e">
        <f>IF(Data!#REF!="","",IF(Data!$G721="",1,IF(ISNUMBER(MATCH(Data!#REF!,Data_Val!$D$2:$D$10,0)),0,1)))</f>
        <v>#REF!</v>
      </c>
      <c r="AJ721" s="17"/>
      <c r="AK721" s="17" t="e">
        <f>IF(Data!#REF!="","",IF(ISNUMBER(MATCH(Data!#REF!,Data_Val!$A$2:$A$3,0)),0,1))</f>
        <v>#REF!</v>
      </c>
      <c r="AL721" s="25" t="e">
        <f ca="1">IF(Data!#REF!="","",IF(ISNUMBER(Data!#REF!),IF(AND(Data!#REF!&gt;(TODAY()-(Data_Val!$L$3*365.25)),Data!#REF!&lt;=(TODAY()-(Data_Val!$L$2*365.25))),0,1),1))</f>
        <v>#REF!</v>
      </c>
      <c r="AM721" s="17" t="e">
        <f>IF(Data!#REF!="","",IF(Data!$G721="",1,IF(ISNUMBER(MATCH(Data!#REF!,Data_Val!$D$2:$D$10,0)),0,1)))</f>
        <v>#REF!</v>
      </c>
      <c r="AN721" s="13"/>
      <c r="AO721" s="28" t="e">
        <f ca="1">IF(Data!#REF!="","",IF(ISNUMBER(Data!#REF!),IF(AND(Data!#REF!&gt;(TODAY()-(Data_Val!$I$3*365.25)),Data!#REF!&lt;=(TODAY()-(Data_Val!$I$2*365.25))),0,1),1))</f>
        <v>#REF!</v>
      </c>
      <c r="AP721" s="13" t="e">
        <f>IF(Data!#REF!="","",IF(Data!$G721="",1,IF(ISNUMBER(MATCH(Data!#REF!,Data_Val!$D$2:$D$10,0)),0,1)))</f>
        <v>#REF!</v>
      </c>
      <c r="AQ721" s="17"/>
      <c r="AR721" s="30" t="e">
        <f ca="1">IF(Data!#REF!="","",IF(ISNUMBER(Data!#REF!),IF(AND(Data!#REF!&gt;(TODAY()-(Data_Val!$I$3*365.25)),Data!#REF!&lt;=(TODAY()-(Data_Val!$I$2*365.25))),0,1),1))</f>
        <v>#REF!</v>
      </c>
      <c r="AS721" s="31" t="e">
        <f>IF(Data!#REF!="","",IF(Data!$G721="",1,IF(ISNUMBER(MATCH(Data!#REF!,Data_Val!$D$2:$D$10,0)),0,1)))</f>
        <v>#REF!</v>
      </c>
      <c r="AT721" s="11"/>
      <c r="AU721" s="11" t="e">
        <f ca="1">IF(Data!#REF!="","",IF(ISNUMBER(Data!#REF!),IF(AND(Data!#REF!&gt;(TODAY()-(Data_Val!$I$3*365.25)),Data!#REF!&lt;=(TODAY()-(Data_Val!$I$2*365.25))),0,1),1))</f>
        <v>#REF!</v>
      </c>
      <c r="AV721" s="11" t="e">
        <f>IF(Data!#REF!="","",IF(Data!$G721="",1,IF(ISNUMBER(MATCH(Data!#REF!,Data_Val!$D$2:$D$10,0)),0,1)))</f>
        <v>#REF!</v>
      </c>
      <c r="AW721" s="12"/>
      <c r="AX721" s="26" t="e">
        <f ca="1">IF(Data!#REF!="","",IF(ISNUMBER(Data!#REF!),IF(AND(Data!#REF!&gt;(TODAY()-(Data_Val!$I$3*365.25)),Data!#REF!&lt;=(TODAY()-(Data_Val!$I$2*365.25))),0,1),1))</f>
        <v>#REF!</v>
      </c>
      <c r="AY721" s="12" t="e">
        <f>IF(Data!#REF!="","",IF(Data!$G721="",1,IF(ISNUMBER(MATCH(Data!#REF!,Data_Val!$D$2:$D$10,0)),0,1)))</f>
        <v>#REF!</v>
      </c>
      <c r="AZ721" s="11"/>
      <c r="BA721" s="19" t="e">
        <f ca="1">IF(Data!#REF!="","",IF(ISNUMBER(Data!#REF!),IF(AND(Data!#REF!&gt;(TODAY()-(Data_Val!$M$3*365.25)),Data!#REF!&lt;=(TODAY()-(Data_Val!$M$2*365.25))),0,1),1))</f>
        <v>#REF!</v>
      </c>
      <c r="BB721" s="11" t="e">
        <f>IF(Data!#REF!="","",IF(Data!$G721="",1,IF(ISNUMBER(MATCH(Data!#REF!,Data_Val!$D$2:$D$10,0)),0,1)))</f>
        <v>#REF!</v>
      </c>
      <c r="BC721" s="12"/>
      <c r="BD721" s="20" t="e">
        <f ca="1">IF(Data!#REF!="","",IF(ISNUMBER(Data!#REF!),IF(AND(Data!#REF!&gt;(TODAY()-(Data_Val!$M$3*365.25)),Data!#REF!&lt;=(TODAY()-(Data_Val!$M$2*365.25))),0,1),1))</f>
        <v>#REF!</v>
      </c>
      <c r="BE721" s="12" t="e">
        <f>IF(Data!#REF!="","",IF(Data!$G721="",1,IF(ISNUMBER(MATCH(Data!#REF!,Data_Val!$D$2:$D$10,0)),0,1)))</f>
        <v>#REF!</v>
      </c>
      <c r="BF721" s="17"/>
      <c r="BG721" s="18" t="e">
        <f ca="1">IF(Data!#REF!="","",IF(ISNUMBER(Data!#REF!),IF(AND(Data!#REF!&gt;(TODAY()-(Data_Val!$M$3*365.25)),Data!#REF!&lt;=(TODAY()-(Data_Val!$M$2*365.25))),0,1),1))</f>
        <v>#REF!</v>
      </c>
      <c r="BH721" s="29" t="e">
        <f>IF(Data!#REF!="","",IF(Data!$G721="",1,IF(ISNUMBER(MATCH(Data!#REF!,Data_Val!$D$2:$D$10,0)),0,1)))</f>
        <v>#REF!</v>
      </c>
      <c r="BI721" s="13"/>
      <c r="BJ721" s="21" t="e">
        <f ca="1">IF(Data!#REF!="","",IF(ISNUMBER(Data!#REF!),IF(AND(Data!#REF!&gt;(TODAY()-(Data_Val!$M$3*365.25)),Data!#REF!&lt;=(TODAY()-(Data_Val!$M$2*365.25))),0,1),1))</f>
        <v>#REF!</v>
      </c>
      <c r="BK721" s="13" t="e">
        <f>IF(Data!#REF!="","",IF(Data!$G721="",1,IF(ISNUMBER(MATCH(Data!#REF!,Data_Val!$D$2:$D$10,0)),0,1)))</f>
        <v>#REF!</v>
      </c>
    </row>
    <row r="722" spans="1:63" x14ac:dyDescent="0.25">
      <c r="A722" s="9" t="str">
        <f>IF(Data!B722="","",IF(COUNTIFS(Data!A$1:'Data'!A722,Data!A722)&lt;=1,0,1))</f>
        <v/>
      </c>
      <c r="B722" s="9"/>
      <c r="C722" s="23" t="str">
        <f>IF(Data!C722="","",(IF(ISNUMBER(MATCH("*@*.?*",Data!C722,0)),0,1)+IF(COUNTIFS(Data!C$1:'Data'!C722,Data!C722)&gt;1,1,0)))</f>
        <v/>
      </c>
      <c r="D722" s="9" t="str">
        <f>IF(Data!B722="","",IF(ISNUMBER(Data!D722),IF(AND(Data!D722&gt;999999999,Data!D722&lt;=9999999999),IF(COUNTIFS(Data!D$1:'Data'!D722,Data!D722)&lt;=1,0,1),1),1))</f>
        <v/>
      </c>
      <c r="E722" s="9" t="str">
        <f>IF(Data!B722="","",IF(ISNUMBER(MATCH(Data!E722,Data_Val!$A$2:$A$3,0)),0,1))</f>
        <v/>
      </c>
      <c r="F722" s="9" t="str">
        <f ca="1">IF(Data!B722="","",IF(ISNUMBER(Data!F722),IF(AND(Data!F722&gt;(TODAY()-(Data_Val!$H$3*365.25)),Data!F722&lt;=(TODAY()-(Data_Val!$H$2*365.25))),0,1),1))</f>
        <v/>
      </c>
      <c r="G722" s="15" t="str">
        <f>IF(Data!B722="","",IF(AND(Data!G722="",Data!H722&lt;&gt;""),1,IF(Data!#REF!&lt;&gt;"",0,IF(ISNUMBER(MATCH(Data!G722,Data_Val!$C$2:$C$5,0)),0,1))))</f>
        <v/>
      </c>
      <c r="H722" s="15" t="str">
        <f>IF(Data!B722="","",IF(AND(Data!G722&lt;&gt;"",Data!H722=""),1,IF(Data!#REF!&lt;&gt;"",0,IF(Data!G722="",1,IF(ISNUMBER(MATCH(Data!H722,Data_Val!$D$2:$D$35,0)),0,1)))))</f>
        <v/>
      </c>
      <c r="I722" s="15" t="str">
        <f>IF(Data!B722="","",IF(Data!G722&lt;&gt;"",0,IF(ISNUMBER(MATCH(Data!#REF!,Data_Val!$E$2:$E$12,0)),0,1)))</f>
        <v/>
      </c>
      <c r="J722" s="16" t="e">
        <f>IF(OR(Data!B722="",Data!#REF!=""),"",IF(Data!#REF!="",1,0))</f>
        <v>#REF!</v>
      </c>
      <c r="K722" s="16" t="e">
        <f>IF(OR(Data!B722="",Data!#REF!=""),"",IF(Data!#REF!="",1,0))</f>
        <v>#REF!</v>
      </c>
      <c r="L722" s="16" t="e">
        <f>IF(OR(Data!B722="",Data!#REF!=""),"",IF(ISNUMBER(Data!#REF!),IF(AND(Data!#REF!&gt;Data_Val!$G$2,Data!#REF!&lt;=Data_Val!$G$3),0,1),1))</f>
        <v>#REF!</v>
      </c>
      <c r="M722" s="9" t="e">
        <f>IF(OR(Data!B722="",Data!#REF!=""),"",IF(ISNUMBER(MATCH(Data!#REF!,Data_Val!$F$1:$F$38,0)),0,1))</f>
        <v>#REF!</v>
      </c>
      <c r="N722" s="9" t="e">
        <f>IF(OR(Data!B722="",Data!#REF!=""),"",IF(Data!#REF!="",1,0))</f>
        <v>#REF!</v>
      </c>
      <c r="O722" s="17" t="e">
        <f>IF(Data!#REF!="","",IF(Data!#REF!="",1,0))</f>
        <v>#REF!</v>
      </c>
      <c r="P722" s="17" t="e">
        <f>IF(Data!#REF!="","",IF(ISNUMBER(MATCH(Data!#REF!,Data_Val!$A$2:$A$3,0)),0,1))</f>
        <v>#REF!</v>
      </c>
      <c r="Q722" s="25" t="e">
        <f ca="1">IF(Data!#REF!="","",IF(ISNUMBER(Data!#REF!),IF(AND(Data!#REF!&gt;(TODAY()-(Data_Val!$J$3*365.25)),Data!#REF!&lt;=(TODAY()-(Data_Val!$J$2*365.25))),0,1),1))</f>
        <v>#REF!</v>
      </c>
      <c r="R722" s="17" t="e">
        <f>IF(Data!#REF!="","",IF(ISNUMBER(MATCH(Data!#REF!,Data_Val!$B$2:$B$15,0)),0,1))</f>
        <v>#REF!</v>
      </c>
      <c r="S722" s="11" t="str">
        <f>IF(Data!G722="","",IF(Data!G722=Data_Val!$C$2,IF(Data!M722="",0,1),0))</f>
        <v/>
      </c>
      <c r="T722" s="11" t="str">
        <f>IF(Data!M722="","",IF(ISNUMBER(MATCH(Data!N722,Data_Val!$A$2:$A$3,0)),0,1))</f>
        <v/>
      </c>
      <c r="U722" s="11" t="str">
        <f ca="1">IF(Data!M722="","",IF(ISNUMBER(Data!O722),IF(AND(Data!O722&gt;(TODAY()-(Data_Val!$K$3*365.25)),Data!O722&lt;=(TODAY()-(Data_Val!$K$2*365.25))),0,1),1))</f>
        <v/>
      </c>
      <c r="V722" s="12" t="str">
        <f>IF(Data!G722="","",IF(Data!G722=Data_Val!$C$2,IF(Data!P722="",0,1),0))</f>
        <v/>
      </c>
      <c r="W722" s="12" t="str">
        <f>IF(Data!P722="","",IF(ISNUMBER(MATCH(Data!Q722,Data_Val!$A$2:$A$3,0)),0,1))</f>
        <v/>
      </c>
      <c r="X722" s="26" t="str">
        <f ca="1">IF(Data!P722="","",IF(ISNUMBER(Data!R722),IF(AND(Data!R722&gt;(TODAY()-(Data_Val!$L$3*365.25)),Data!R722&lt;=(TODAY()-(Data_Val!$L$2*365.25))),0,1),1))</f>
        <v/>
      </c>
      <c r="Y722" s="13" t="str">
        <f>IF(Data!$G722="","",IF(Data!$G722=Data_Val!$C$2,IF(Data!S722="",0,1),0))</f>
        <v/>
      </c>
      <c r="Z722" s="13" t="str">
        <f>IF(Data!S722="","",IF(ISNUMBER(MATCH(Data!T722,Data_Val!$A$2:$A$3,0)),0,1))</f>
        <v/>
      </c>
      <c r="AA722" s="28" t="str">
        <f ca="1">IF(Data!S722="","",IF(ISNUMBER(Data!U722),IF(AND(Data!U722&gt;(TODAY()-(Data_Val!$L$3*365.25)),Data!U722&lt;=(TODAY()-(Data_Val!$L$2*365.25))),0,1),1))</f>
        <v/>
      </c>
      <c r="AB722" s="11"/>
      <c r="AC722" s="11" t="e">
        <f>IF(Data!#REF!="","",IF(ISNUMBER(MATCH(Data!#REF!,Data_Val!$A$2:$A$3,0)),0,1))</f>
        <v>#REF!</v>
      </c>
      <c r="AD722" s="11" t="e">
        <f ca="1">IF(Data!#REF!="","",IF(ISNUMBER(Data!#REF!),IF(AND(Data!#REF!&gt;(TODAY()-(Data_Val!$L$3*365.25)),Data!#REF!&lt;=(TODAY()-(Data_Val!$L$2*365.25))),0,1),1))</f>
        <v>#REF!</v>
      </c>
      <c r="AE722" s="11" t="e">
        <f>IF(Data!#REF!="","",IF(Data!$G722="",1,IF(ISNUMBER(MATCH(Data!#REF!,Data_Val!$D$2:$D$10,0)),0,1)))</f>
        <v>#REF!</v>
      </c>
      <c r="AF722" s="12"/>
      <c r="AG722" s="12" t="e">
        <f>IF(Data!#REF!="","",IF(ISNUMBER(MATCH(Data!#REF!,Data_Val!$A$2:$A$3,0)),0,1))</f>
        <v>#REF!</v>
      </c>
      <c r="AH722" s="26" t="e">
        <f ca="1">IF(Data!#REF!="","",IF(ISNUMBER(Data!#REF!),IF(AND(Data!#REF!&gt;(TODAY()-(Data_Val!$L$3*365.25)),Data!#REF!&lt;=(TODAY()-(Data_Val!$L$2*365.25))),0,1),1))</f>
        <v>#REF!</v>
      </c>
      <c r="AI722" s="12" t="e">
        <f>IF(Data!#REF!="","",IF(Data!$G722="",1,IF(ISNUMBER(MATCH(Data!#REF!,Data_Val!$D$2:$D$10,0)),0,1)))</f>
        <v>#REF!</v>
      </c>
      <c r="AJ722" s="17"/>
      <c r="AK722" s="17" t="e">
        <f>IF(Data!#REF!="","",IF(ISNUMBER(MATCH(Data!#REF!,Data_Val!$A$2:$A$3,0)),0,1))</f>
        <v>#REF!</v>
      </c>
      <c r="AL722" s="25" t="e">
        <f ca="1">IF(Data!#REF!="","",IF(ISNUMBER(Data!#REF!),IF(AND(Data!#REF!&gt;(TODAY()-(Data_Val!$L$3*365.25)),Data!#REF!&lt;=(TODAY()-(Data_Val!$L$2*365.25))),0,1),1))</f>
        <v>#REF!</v>
      </c>
      <c r="AM722" s="17" t="e">
        <f>IF(Data!#REF!="","",IF(Data!$G722="",1,IF(ISNUMBER(MATCH(Data!#REF!,Data_Val!$D$2:$D$10,0)),0,1)))</f>
        <v>#REF!</v>
      </c>
      <c r="AN722" s="13"/>
      <c r="AO722" s="28" t="e">
        <f ca="1">IF(Data!#REF!="","",IF(ISNUMBER(Data!#REF!),IF(AND(Data!#REF!&gt;(TODAY()-(Data_Val!$I$3*365.25)),Data!#REF!&lt;=(TODAY()-(Data_Val!$I$2*365.25))),0,1),1))</f>
        <v>#REF!</v>
      </c>
      <c r="AP722" s="13" t="e">
        <f>IF(Data!#REF!="","",IF(Data!$G722="",1,IF(ISNUMBER(MATCH(Data!#REF!,Data_Val!$D$2:$D$10,0)),0,1)))</f>
        <v>#REF!</v>
      </c>
      <c r="AQ722" s="17"/>
      <c r="AR722" s="30" t="e">
        <f ca="1">IF(Data!#REF!="","",IF(ISNUMBER(Data!#REF!),IF(AND(Data!#REF!&gt;(TODAY()-(Data_Val!$I$3*365.25)),Data!#REF!&lt;=(TODAY()-(Data_Val!$I$2*365.25))),0,1),1))</f>
        <v>#REF!</v>
      </c>
      <c r="AS722" s="31" t="e">
        <f>IF(Data!#REF!="","",IF(Data!$G722="",1,IF(ISNUMBER(MATCH(Data!#REF!,Data_Val!$D$2:$D$10,0)),0,1)))</f>
        <v>#REF!</v>
      </c>
      <c r="AT722" s="11"/>
      <c r="AU722" s="11" t="e">
        <f ca="1">IF(Data!#REF!="","",IF(ISNUMBER(Data!#REF!),IF(AND(Data!#REF!&gt;(TODAY()-(Data_Val!$I$3*365.25)),Data!#REF!&lt;=(TODAY()-(Data_Val!$I$2*365.25))),0,1),1))</f>
        <v>#REF!</v>
      </c>
      <c r="AV722" s="11" t="e">
        <f>IF(Data!#REF!="","",IF(Data!$G722="",1,IF(ISNUMBER(MATCH(Data!#REF!,Data_Val!$D$2:$D$10,0)),0,1)))</f>
        <v>#REF!</v>
      </c>
      <c r="AW722" s="12"/>
      <c r="AX722" s="26" t="e">
        <f ca="1">IF(Data!#REF!="","",IF(ISNUMBER(Data!#REF!),IF(AND(Data!#REF!&gt;(TODAY()-(Data_Val!$I$3*365.25)),Data!#REF!&lt;=(TODAY()-(Data_Val!$I$2*365.25))),0,1),1))</f>
        <v>#REF!</v>
      </c>
      <c r="AY722" s="12" t="e">
        <f>IF(Data!#REF!="","",IF(Data!$G722="",1,IF(ISNUMBER(MATCH(Data!#REF!,Data_Val!$D$2:$D$10,0)),0,1)))</f>
        <v>#REF!</v>
      </c>
      <c r="AZ722" s="11"/>
      <c r="BA722" s="19" t="e">
        <f ca="1">IF(Data!#REF!="","",IF(ISNUMBER(Data!#REF!),IF(AND(Data!#REF!&gt;(TODAY()-(Data_Val!$M$3*365.25)),Data!#REF!&lt;=(TODAY()-(Data_Val!$M$2*365.25))),0,1),1))</f>
        <v>#REF!</v>
      </c>
      <c r="BB722" s="11" t="e">
        <f>IF(Data!#REF!="","",IF(Data!$G722="",1,IF(ISNUMBER(MATCH(Data!#REF!,Data_Val!$D$2:$D$10,0)),0,1)))</f>
        <v>#REF!</v>
      </c>
      <c r="BC722" s="12"/>
      <c r="BD722" s="20" t="e">
        <f ca="1">IF(Data!#REF!="","",IF(ISNUMBER(Data!#REF!),IF(AND(Data!#REF!&gt;(TODAY()-(Data_Val!$M$3*365.25)),Data!#REF!&lt;=(TODAY()-(Data_Val!$M$2*365.25))),0,1),1))</f>
        <v>#REF!</v>
      </c>
      <c r="BE722" s="12" t="e">
        <f>IF(Data!#REF!="","",IF(Data!$G722="",1,IF(ISNUMBER(MATCH(Data!#REF!,Data_Val!$D$2:$D$10,0)),0,1)))</f>
        <v>#REF!</v>
      </c>
      <c r="BF722" s="17"/>
      <c r="BG722" s="18" t="e">
        <f ca="1">IF(Data!#REF!="","",IF(ISNUMBER(Data!#REF!),IF(AND(Data!#REF!&gt;(TODAY()-(Data_Val!$M$3*365.25)),Data!#REF!&lt;=(TODAY()-(Data_Val!$M$2*365.25))),0,1),1))</f>
        <v>#REF!</v>
      </c>
      <c r="BH722" s="29" t="e">
        <f>IF(Data!#REF!="","",IF(Data!$G722="",1,IF(ISNUMBER(MATCH(Data!#REF!,Data_Val!$D$2:$D$10,0)),0,1)))</f>
        <v>#REF!</v>
      </c>
      <c r="BI722" s="13"/>
      <c r="BJ722" s="21" t="e">
        <f ca="1">IF(Data!#REF!="","",IF(ISNUMBER(Data!#REF!),IF(AND(Data!#REF!&gt;(TODAY()-(Data_Val!$M$3*365.25)),Data!#REF!&lt;=(TODAY()-(Data_Val!$M$2*365.25))),0,1),1))</f>
        <v>#REF!</v>
      </c>
      <c r="BK722" s="13" t="e">
        <f>IF(Data!#REF!="","",IF(Data!$G722="",1,IF(ISNUMBER(MATCH(Data!#REF!,Data_Val!$D$2:$D$10,0)),0,1)))</f>
        <v>#REF!</v>
      </c>
    </row>
    <row r="723" spans="1:63" x14ac:dyDescent="0.25">
      <c r="A723" s="9" t="str">
        <f>IF(Data!B723="","",IF(COUNTIFS(Data!A$1:'Data'!A723,Data!A723)&lt;=1,0,1))</f>
        <v/>
      </c>
      <c r="B723" s="9"/>
      <c r="C723" s="23" t="str">
        <f>IF(Data!C723="","",(IF(ISNUMBER(MATCH("*@*.?*",Data!C723,0)),0,1)+IF(COUNTIFS(Data!C$1:'Data'!C723,Data!C723)&gt;1,1,0)))</f>
        <v/>
      </c>
      <c r="D723" s="9" t="str">
        <f>IF(Data!B723="","",IF(ISNUMBER(Data!D723),IF(AND(Data!D723&gt;999999999,Data!D723&lt;=9999999999),IF(COUNTIFS(Data!D$1:'Data'!D723,Data!D723)&lt;=1,0,1),1),1))</f>
        <v/>
      </c>
      <c r="E723" s="9" t="str">
        <f>IF(Data!B723="","",IF(ISNUMBER(MATCH(Data!E723,Data_Val!$A$2:$A$3,0)),0,1))</f>
        <v/>
      </c>
      <c r="F723" s="9" t="str">
        <f ca="1">IF(Data!B723="","",IF(ISNUMBER(Data!F723),IF(AND(Data!F723&gt;(TODAY()-(Data_Val!$H$3*365.25)),Data!F723&lt;=(TODAY()-(Data_Val!$H$2*365.25))),0,1),1))</f>
        <v/>
      </c>
      <c r="G723" s="15" t="str">
        <f>IF(Data!B723="","",IF(AND(Data!G723="",Data!H723&lt;&gt;""),1,IF(Data!#REF!&lt;&gt;"",0,IF(ISNUMBER(MATCH(Data!G723,Data_Val!$C$2:$C$5,0)),0,1))))</f>
        <v/>
      </c>
      <c r="H723" s="15" t="str">
        <f>IF(Data!B723="","",IF(AND(Data!G723&lt;&gt;"",Data!H723=""),1,IF(Data!#REF!&lt;&gt;"",0,IF(Data!G723="",1,IF(ISNUMBER(MATCH(Data!H723,Data_Val!$D$2:$D$35,0)),0,1)))))</f>
        <v/>
      </c>
      <c r="I723" s="15" t="str">
        <f>IF(Data!B723="","",IF(Data!G723&lt;&gt;"",0,IF(ISNUMBER(MATCH(Data!#REF!,Data_Val!$E$2:$E$12,0)),0,1)))</f>
        <v/>
      </c>
      <c r="J723" s="16" t="e">
        <f>IF(OR(Data!B723="",Data!#REF!=""),"",IF(Data!#REF!="",1,0))</f>
        <v>#REF!</v>
      </c>
      <c r="K723" s="16" t="e">
        <f>IF(OR(Data!B723="",Data!#REF!=""),"",IF(Data!#REF!="",1,0))</f>
        <v>#REF!</v>
      </c>
      <c r="L723" s="16" t="e">
        <f>IF(OR(Data!B723="",Data!#REF!=""),"",IF(ISNUMBER(Data!#REF!),IF(AND(Data!#REF!&gt;Data_Val!$G$2,Data!#REF!&lt;=Data_Val!$G$3),0,1),1))</f>
        <v>#REF!</v>
      </c>
      <c r="M723" s="9" t="e">
        <f>IF(OR(Data!B723="",Data!#REF!=""),"",IF(ISNUMBER(MATCH(Data!#REF!,Data_Val!$F$1:$F$38,0)),0,1))</f>
        <v>#REF!</v>
      </c>
      <c r="N723" s="9" t="e">
        <f>IF(OR(Data!B723="",Data!#REF!=""),"",IF(Data!#REF!="",1,0))</f>
        <v>#REF!</v>
      </c>
      <c r="O723" s="17" t="e">
        <f>IF(Data!#REF!="","",IF(Data!#REF!="",1,0))</f>
        <v>#REF!</v>
      </c>
      <c r="P723" s="17" t="e">
        <f>IF(Data!#REF!="","",IF(ISNUMBER(MATCH(Data!#REF!,Data_Val!$A$2:$A$3,0)),0,1))</f>
        <v>#REF!</v>
      </c>
      <c r="Q723" s="25" t="e">
        <f ca="1">IF(Data!#REF!="","",IF(ISNUMBER(Data!#REF!),IF(AND(Data!#REF!&gt;(TODAY()-(Data_Val!$J$3*365.25)),Data!#REF!&lt;=(TODAY()-(Data_Val!$J$2*365.25))),0,1),1))</f>
        <v>#REF!</v>
      </c>
      <c r="R723" s="17" t="e">
        <f>IF(Data!#REF!="","",IF(ISNUMBER(MATCH(Data!#REF!,Data_Val!$B$2:$B$15,0)),0,1))</f>
        <v>#REF!</v>
      </c>
      <c r="S723" s="11" t="str">
        <f>IF(Data!G723="","",IF(Data!G723=Data_Val!$C$2,IF(Data!M723="",0,1),0))</f>
        <v/>
      </c>
      <c r="T723" s="11" t="str">
        <f>IF(Data!M723="","",IF(ISNUMBER(MATCH(Data!N723,Data_Val!$A$2:$A$3,0)),0,1))</f>
        <v/>
      </c>
      <c r="U723" s="11" t="str">
        <f ca="1">IF(Data!M723="","",IF(ISNUMBER(Data!O723),IF(AND(Data!O723&gt;(TODAY()-(Data_Val!$K$3*365.25)),Data!O723&lt;=(TODAY()-(Data_Val!$K$2*365.25))),0,1),1))</f>
        <v/>
      </c>
      <c r="V723" s="12" t="str">
        <f>IF(Data!G723="","",IF(Data!G723=Data_Val!$C$2,IF(Data!P723="",0,1),0))</f>
        <v/>
      </c>
      <c r="W723" s="12" t="str">
        <f>IF(Data!P723="","",IF(ISNUMBER(MATCH(Data!Q723,Data_Val!$A$2:$A$3,0)),0,1))</f>
        <v/>
      </c>
      <c r="X723" s="26" t="str">
        <f ca="1">IF(Data!P723="","",IF(ISNUMBER(Data!R723),IF(AND(Data!R723&gt;(TODAY()-(Data_Val!$L$3*365.25)),Data!R723&lt;=(TODAY()-(Data_Val!$L$2*365.25))),0,1),1))</f>
        <v/>
      </c>
      <c r="Y723" s="13" t="str">
        <f>IF(Data!$G723="","",IF(Data!$G723=Data_Val!$C$2,IF(Data!S723="",0,1),0))</f>
        <v/>
      </c>
      <c r="Z723" s="13" t="str">
        <f>IF(Data!S723="","",IF(ISNUMBER(MATCH(Data!T723,Data_Val!$A$2:$A$3,0)),0,1))</f>
        <v/>
      </c>
      <c r="AA723" s="28" t="str">
        <f ca="1">IF(Data!S723="","",IF(ISNUMBER(Data!U723),IF(AND(Data!U723&gt;(TODAY()-(Data_Val!$L$3*365.25)),Data!U723&lt;=(TODAY()-(Data_Val!$L$2*365.25))),0,1),1))</f>
        <v/>
      </c>
      <c r="AB723" s="11"/>
      <c r="AC723" s="11" t="e">
        <f>IF(Data!#REF!="","",IF(ISNUMBER(MATCH(Data!#REF!,Data_Val!$A$2:$A$3,0)),0,1))</f>
        <v>#REF!</v>
      </c>
      <c r="AD723" s="11" t="e">
        <f ca="1">IF(Data!#REF!="","",IF(ISNUMBER(Data!#REF!),IF(AND(Data!#REF!&gt;(TODAY()-(Data_Val!$L$3*365.25)),Data!#REF!&lt;=(TODAY()-(Data_Val!$L$2*365.25))),0,1),1))</f>
        <v>#REF!</v>
      </c>
      <c r="AE723" s="11" t="e">
        <f>IF(Data!#REF!="","",IF(Data!$G723="",1,IF(ISNUMBER(MATCH(Data!#REF!,Data_Val!$D$2:$D$10,0)),0,1)))</f>
        <v>#REF!</v>
      </c>
      <c r="AF723" s="12"/>
      <c r="AG723" s="12" t="e">
        <f>IF(Data!#REF!="","",IF(ISNUMBER(MATCH(Data!#REF!,Data_Val!$A$2:$A$3,0)),0,1))</f>
        <v>#REF!</v>
      </c>
      <c r="AH723" s="26" t="e">
        <f ca="1">IF(Data!#REF!="","",IF(ISNUMBER(Data!#REF!),IF(AND(Data!#REF!&gt;(TODAY()-(Data_Val!$L$3*365.25)),Data!#REF!&lt;=(TODAY()-(Data_Val!$L$2*365.25))),0,1),1))</f>
        <v>#REF!</v>
      </c>
      <c r="AI723" s="12" t="e">
        <f>IF(Data!#REF!="","",IF(Data!$G723="",1,IF(ISNUMBER(MATCH(Data!#REF!,Data_Val!$D$2:$D$10,0)),0,1)))</f>
        <v>#REF!</v>
      </c>
      <c r="AJ723" s="17"/>
      <c r="AK723" s="17" t="e">
        <f>IF(Data!#REF!="","",IF(ISNUMBER(MATCH(Data!#REF!,Data_Val!$A$2:$A$3,0)),0,1))</f>
        <v>#REF!</v>
      </c>
      <c r="AL723" s="25" t="e">
        <f ca="1">IF(Data!#REF!="","",IF(ISNUMBER(Data!#REF!),IF(AND(Data!#REF!&gt;(TODAY()-(Data_Val!$L$3*365.25)),Data!#REF!&lt;=(TODAY()-(Data_Val!$L$2*365.25))),0,1),1))</f>
        <v>#REF!</v>
      </c>
      <c r="AM723" s="17" t="e">
        <f>IF(Data!#REF!="","",IF(Data!$G723="",1,IF(ISNUMBER(MATCH(Data!#REF!,Data_Val!$D$2:$D$10,0)),0,1)))</f>
        <v>#REF!</v>
      </c>
      <c r="AN723" s="13"/>
      <c r="AO723" s="28" t="e">
        <f ca="1">IF(Data!#REF!="","",IF(ISNUMBER(Data!#REF!),IF(AND(Data!#REF!&gt;(TODAY()-(Data_Val!$I$3*365.25)),Data!#REF!&lt;=(TODAY()-(Data_Val!$I$2*365.25))),0,1),1))</f>
        <v>#REF!</v>
      </c>
      <c r="AP723" s="13" t="e">
        <f>IF(Data!#REF!="","",IF(Data!$G723="",1,IF(ISNUMBER(MATCH(Data!#REF!,Data_Val!$D$2:$D$10,0)),0,1)))</f>
        <v>#REF!</v>
      </c>
      <c r="AQ723" s="17"/>
      <c r="AR723" s="30" t="e">
        <f ca="1">IF(Data!#REF!="","",IF(ISNUMBER(Data!#REF!),IF(AND(Data!#REF!&gt;(TODAY()-(Data_Val!$I$3*365.25)),Data!#REF!&lt;=(TODAY()-(Data_Val!$I$2*365.25))),0,1),1))</f>
        <v>#REF!</v>
      </c>
      <c r="AS723" s="31" t="e">
        <f>IF(Data!#REF!="","",IF(Data!$G723="",1,IF(ISNUMBER(MATCH(Data!#REF!,Data_Val!$D$2:$D$10,0)),0,1)))</f>
        <v>#REF!</v>
      </c>
      <c r="AT723" s="11"/>
      <c r="AU723" s="11" t="e">
        <f ca="1">IF(Data!#REF!="","",IF(ISNUMBER(Data!#REF!),IF(AND(Data!#REF!&gt;(TODAY()-(Data_Val!$I$3*365.25)),Data!#REF!&lt;=(TODAY()-(Data_Val!$I$2*365.25))),0,1),1))</f>
        <v>#REF!</v>
      </c>
      <c r="AV723" s="11" t="e">
        <f>IF(Data!#REF!="","",IF(Data!$G723="",1,IF(ISNUMBER(MATCH(Data!#REF!,Data_Val!$D$2:$D$10,0)),0,1)))</f>
        <v>#REF!</v>
      </c>
      <c r="AW723" s="12"/>
      <c r="AX723" s="26" t="e">
        <f ca="1">IF(Data!#REF!="","",IF(ISNUMBER(Data!#REF!),IF(AND(Data!#REF!&gt;(TODAY()-(Data_Val!$I$3*365.25)),Data!#REF!&lt;=(TODAY()-(Data_Val!$I$2*365.25))),0,1),1))</f>
        <v>#REF!</v>
      </c>
      <c r="AY723" s="12" t="e">
        <f>IF(Data!#REF!="","",IF(Data!$G723="",1,IF(ISNUMBER(MATCH(Data!#REF!,Data_Val!$D$2:$D$10,0)),0,1)))</f>
        <v>#REF!</v>
      </c>
      <c r="AZ723" s="11"/>
      <c r="BA723" s="19" t="e">
        <f ca="1">IF(Data!#REF!="","",IF(ISNUMBER(Data!#REF!),IF(AND(Data!#REF!&gt;(TODAY()-(Data_Val!$M$3*365.25)),Data!#REF!&lt;=(TODAY()-(Data_Val!$M$2*365.25))),0,1),1))</f>
        <v>#REF!</v>
      </c>
      <c r="BB723" s="11" t="e">
        <f>IF(Data!#REF!="","",IF(Data!$G723="",1,IF(ISNUMBER(MATCH(Data!#REF!,Data_Val!$D$2:$D$10,0)),0,1)))</f>
        <v>#REF!</v>
      </c>
      <c r="BC723" s="12"/>
      <c r="BD723" s="20" t="e">
        <f ca="1">IF(Data!#REF!="","",IF(ISNUMBER(Data!#REF!),IF(AND(Data!#REF!&gt;(TODAY()-(Data_Val!$M$3*365.25)),Data!#REF!&lt;=(TODAY()-(Data_Val!$M$2*365.25))),0,1),1))</f>
        <v>#REF!</v>
      </c>
      <c r="BE723" s="12" t="e">
        <f>IF(Data!#REF!="","",IF(Data!$G723="",1,IF(ISNUMBER(MATCH(Data!#REF!,Data_Val!$D$2:$D$10,0)),0,1)))</f>
        <v>#REF!</v>
      </c>
      <c r="BF723" s="17"/>
      <c r="BG723" s="18" t="e">
        <f ca="1">IF(Data!#REF!="","",IF(ISNUMBER(Data!#REF!),IF(AND(Data!#REF!&gt;(TODAY()-(Data_Val!$M$3*365.25)),Data!#REF!&lt;=(TODAY()-(Data_Val!$M$2*365.25))),0,1),1))</f>
        <v>#REF!</v>
      </c>
      <c r="BH723" s="29" t="e">
        <f>IF(Data!#REF!="","",IF(Data!$G723="",1,IF(ISNUMBER(MATCH(Data!#REF!,Data_Val!$D$2:$D$10,0)),0,1)))</f>
        <v>#REF!</v>
      </c>
      <c r="BI723" s="13"/>
      <c r="BJ723" s="21" t="e">
        <f ca="1">IF(Data!#REF!="","",IF(ISNUMBER(Data!#REF!),IF(AND(Data!#REF!&gt;(TODAY()-(Data_Val!$M$3*365.25)),Data!#REF!&lt;=(TODAY()-(Data_Val!$M$2*365.25))),0,1),1))</f>
        <v>#REF!</v>
      </c>
      <c r="BK723" s="13" t="e">
        <f>IF(Data!#REF!="","",IF(Data!$G723="",1,IF(ISNUMBER(MATCH(Data!#REF!,Data_Val!$D$2:$D$10,0)),0,1)))</f>
        <v>#REF!</v>
      </c>
    </row>
    <row r="724" spans="1:63" x14ac:dyDescent="0.25">
      <c r="A724" s="9" t="str">
        <f>IF(Data!B724="","",IF(COUNTIFS(Data!A$1:'Data'!A724,Data!A724)&lt;=1,0,1))</f>
        <v/>
      </c>
      <c r="B724" s="9"/>
      <c r="C724" s="23" t="str">
        <f>IF(Data!C724="","",(IF(ISNUMBER(MATCH("*@*.?*",Data!C724,0)),0,1)+IF(COUNTIFS(Data!C$1:'Data'!C724,Data!C724)&gt;1,1,0)))</f>
        <v/>
      </c>
      <c r="D724" s="9" t="str">
        <f>IF(Data!B724="","",IF(ISNUMBER(Data!D724),IF(AND(Data!D724&gt;999999999,Data!D724&lt;=9999999999),IF(COUNTIFS(Data!D$1:'Data'!D724,Data!D724)&lt;=1,0,1),1),1))</f>
        <v/>
      </c>
      <c r="E724" s="9" t="str">
        <f>IF(Data!B724="","",IF(ISNUMBER(MATCH(Data!E724,Data_Val!$A$2:$A$3,0)),0,1))</f>
        <v/>
      </c>
      <c r="F724" s="9" t="str">
        <f ca="1">IF(Data!B724="","",IF(ISNUMBER(Data!F724),IF(AND(Data!F724&gt;(TODAY()-(Data_Val!$H$3*365.25)),Data!F724&lt;=(TODAY()-(Data_Val!$H$2*365.25))),0,1),1))</f>
        <v/>
      </c>
      <c r="G724" s="15" t="str">
        <f>IF(Data!B724="","",IF(AND(Data!G724="",Data!H724&lt;&gt;""),1,IF(Data!#REF!&lt;&gt;"",0,IF(ISNUMBER(MATCH(Data!G724,Data_Val!$C$2:$C$5,0)),0,1))))</f>
        <v/>
      </c>
      <c r="H724" s="15" t="str">
        <f>IF(Data!B724="","",IF(AND(Data!G724&lt;&gt;"",Data!H724=""),1,IF(Data!#REF!&lt;&gt;"",0,IF(Data!G724="",1,IF(ISNUMBER(MATCH(Data!H724,Data_Val!$D$2:$D$35,0)),0,1)))))</f>
        <v/>
      </c>
      <c r="I724" s="15" t="str">
        <f>IF(Data!B724="","",IF(Data!G724&lt;&gt;"",0,IF(ISNUMBER(MATCH(Data!#REF!,Data_Val!$E$2:$E$12,0)),0,1)))</f>
        <v/>
      </c>
      <c r="J724" s="16" t="e">
        <f>IF(OR(Data!B724="",Data!#REF!=""),"",IF(Data!#REF!="",1,0))</f>
        <v>#REF!</v>
      </c>
      <c r="K724" s="16" t="e">
        <f>IF(OR(Data!B724="",Data!#REF!=""),"",IF(Data!#REF!="",1,0))</f>
        <v>#REF!</v>
      </c>
      <c r="L724" s="16" t="e">
        <f>IF(OR(Data!B724="",Data!#REF!=""),"",IF(ISNUMBER(Data!#REF!),IF(AND(Data!#REF!&gt;Data_Val!$G$2,Data!#REF!&lt;=Data_Val!$G$3),0,1),1))</f>
        <v>#REF!</v>
      </c>
      <c r="M724" s="9" t="e">
        <f>IF(OR(Data!B724="",Data!#REF!=""),"",IF(ISNUMBER(MATCH(Data!#REF!,Data_Val!$F$1:$F$38,0)),0,1))</f>
        <v>#REF!</v>
      </c>
      <c r="N724" s="9" t="e">
        <f>IF(OR(Data!B724="",Data!#REF!=""),"",IF(Data!#REF!="",1,0))</f>
        <v>#REF!</v>
      </c>
      <c r="O724" s="17" t="e">
        <f>IF(Data!#REF!="","",IF(Data!#REF!="",1,0))</f>
        <v>#REF!</v>
      </c>
      <c r="P724" s="17" t="e">
        <f>IF(Data!#REF!="","",IF(ISNUMBER(MATCH(Data!#REF!,Data_Val!$A$2:$A$3,0)),0,1))</f>
        <v>#REF!</v>
      </c>
      <c r="Q724" s="25" t="e">
        <f ca="1">IF(Data!#REF!="","",IF(ISNUMBER(Data!#REF!),IF(AND(Data!#REF!&gt;(TODAY()-(Data_Val!$J$3*365.25)),Data!#REF!&lt;=(TODAY()-(Data_Val!$J$2*365.25))),0,1),1))</f>
        <v>#REF!</v>
      </c>
      <c r="R724" s="17" t="e">
        <f>IF(Data!#REF!="","",IF(ISNUMBER(MATCH(Data!#REF!,Data_Val!$B$2:$B$15,0)),0,1))</f>
        <v>#REF!</v>
      </c>
      <c r="S724" s="11" t="str">
        <f>IF(Data!G724="","",IF(Data!G724=Data_Val!$C$2,IF(Data!M724="",0,1),0))</f>
        <v/>
      </c>
      <c r="T724" s="11" t="str">
        <f>IF(Data!M724="","",IF(ISNUMBER(MATCH(Data!N724,Data_Val!$A$2:$A$3,0)),0,1))</f>
        <v/>
      </c>
      <c r="U724" s="11" t="str">
        <f ca="1">IF(Data!M724="","",IF(ISNUMBER(Data!O724),IF(AND(Data!O724&gt;(TODAY()-(Data_Val!$K$3*365.25)),Data!O724&lt;=(TODAY()-(Data_Val!$K$2*365.25))),0,1),1))</f>
        <v/>
      </c>
      <c r="V724" s="12" t="str">
        <f>IF(Data!G724="","",IF(Data!G724=Data_Val!$C$2,IF(Data!P724="",0,1),0))</f>
        <v/>
      </c>
      <c r="W724" s="12" t="str">
        <f>IF(Data!P724="","",IF(ISNUMBER(MATCH(Data!Q724,Data_Val!$A$2:$A$3,0)),0,1))</f>
        <v/>
      </c>
      <c r="X724" s="26" t="str">
        <f ca="1">IF(Data!P724="","",IF(ISNUMBER(Data!R724),IF(AND(Data!R724&gt;(TODAY()-(Data_Val!$L$3*365.25)),Data!R724&lt;=(TODAY()-(Data_Val!$L$2*365.25))),0,1),1))</f>
        <v/>
      </c>
      <c r="Y724" s="13" t="str">
        <f>IF(Data!$G724="","",IF(Data!$G724=Data_Val!$C$2,IF(Data!S724="",0,1),0))</f>
        <v/>
      </c>
      <c r="Z724" s="13" t="str">
        <f>IF(Data!S724="","",IF(ISNUMBER(MATCH(Data!T724,Data_Val!$A$2:$A$3,0)),0,1))</f>
        <v/>
      </c>
      <c r="AA724" s="28" t="str">
        <f ca="1">IF(Data!S724="","",IF(ISNUMBER(Data!U724),IF(AND(Data!U724&gt;(TODAY()-(Data_Val!$L$3*365.25)),Data!U724&lt;=(TODAY()-(Data_Val!$L$2*365.25))),0,1),1))</f>
        <v/>
      </c>
      <c r="AB724" s="11"/>
      <c r="AC724" s="11" t="e">
        <f>IF(Data!#REF!="","",IF(ISNUMBER(MATCH(Data!#REF!,Data_Val!$A$2:$A$3,0)),0,1))</f>
        <v>#REF!</v>
      </c>
      <c r="AD724" s="11" t="e">
        <f ca="1">IF(Data!#REF!="","",IF(ISNUMBER(Data!#REF!),IF(AND(Data!#REF!&gt;(TODAY()-(Data_Val!$L$3*365.25)),Data!#REF!&lt;=(TODAY()-(Data_Val!$L$2*365.25))),0,1),1))</f>
        <v>#REF!</v>
      </c>
      <c r="AE724" s="11" t="e">
        <f>IF(Data!#REF!="","",IF(Data!$G724="",1,IF(ISNUMBER(MATCH(Data!#REF!,Data_Val!$D$2:$D$10,0)),0,1)))</f>
        <v>#REF!</v>
      </c>
      <c r="AF724" s="12"/>
      <c r="AG724" s="12" t="e">
        <f>IF(Data!#REF!="","",IF(ISNUMBER(MATCH(Data!#REF!,Data_Val!$A$2:$A$3,0)),0,1))</f>
        <v>#REF!</v>
      </c>
      <c r="AH724" s="26" t="e">
        <f ca="1">IF(Data!#REF!="","",IF(ISNUMBER(Data!#REF!),IF(AND(Data!#REF!&gt;(TODAY()-(Data_Val!$L$3*365.25)),Data!#REF!&lt;=(TODAY()-(Data_Val!$L$2*365.25))),0,1),1))</f>
        <v>#REF!</v>
      </c>
      <c r="AI724" s="12" t="e">
        <f>IF(Data!#REF!="","",IF(Data!$G724="",1,IF(ISNUMBER(MATCH(Data!#REF!,Data_Val!$D$2:$D$10,0)),0,1)))</f>
        <v>#REF!</v>
      </c>
      <c r="AJ724" s="17"/>
      <c r="AK724" s="17" t="e">
        <f>IF(Data!#REF!="","",IF(ISNUMBER(MATCH(Data!#REF!,Data_Val!$A$2:$A$3,0)),0,1))</f>
        <v>#REF!</v>
      </c>
      <c r="AL724" s="25" t="e">
        <f ca="1">IF(Data!#REF!="","",IF(ISNUMBER(Data!#REF!),IF(AND(Data!#REF!&gt;(TODAY()-(Data_Val!$L$3*365.25)),Data!#REF!&lt;=(TODAY()-(Data_Val!$L$2*365.25))),0,1),1))</f>
        <v>#REF!</v>
      </c>
      <c r="AM724" s="17" t="e">
        <f>IF(Data!#REF!="","",IF(Data!$G724="",1,IF(ISNUMBER(MATCH(Data!#REF!,Data_Val!$D$2:$D$10,0)),0,1)))</f>
        <v>#REF!</v>
      </c>
      <c r="AN724" s="13"/>
      <c r="AO724" s="28" t="e">
        <f ca="1">IF(Data!#REF!="","",IF(ISNUMBER(Data!#REF!),IF(AND(Data!#REF!&gt;(TODAY()-(Data_Val!$I$3*365.25)),Data!#REF!&lt;=(TODAY()-(Data_Val!$I$2*365.25))),0,1),1))</f>
        <v>#REF!</v>
      </c>
      <c r="AP724" s="13" t="e">
        <f>IF(Data!#REF!="","",IF(Data!$G724="",1,IF(ISNUMBER(MATCH(Data!#REF!,Data_Val!$D$2:$D$10,0)),0,1)))</f>
        <v>#REF!</v>
      </c>
      <c r="AQ724" s="17"/>
      <c r="AR724" s="30" t="e">
        <f ca="1">IF(Data!#REF!="","",IF(ISNUMBER(Data!#REF!),IF(AND(Data!#REF!&gt;(TODAY()-(Data_Val!$I$3*365.25)),Data!#REF!&lt;=(TODAY()-(Data_Val!$I$2*365.25))),0,1),1))</f>
        <v>#REF!</v>
      </c>
      <c r="AS724" s="31" t="e">
        <f>IF(Data!#REF!="","",IF(Data!$G724="",1,IF(ISNUMBER(MATCH(Data!#REF!,Data_Val!$D$2:$D$10,0)),0,1)))</f>
        <v>#REF!</v>
      </c>
      <c r="AT724" s="11"/>
      <c r="AU724" s="11" t="e">
        <f ca="1">IF(Data!#REF!="","",IF(ISNUMBER(Data!#REF!),IF(AND(Data!#REF!&gt;(TODAY()-(Data_Val!$I$3*365.25)),Data!#REF!&lt;=(TODAY()-(Data_Val!$I$2*365.25))),0,1),1))</f>
        <v>#REF!</v>
      </c>
      <c r="AV724" s="11" t="e">
        <f>IF(Data!#REF!="","",IF(Data!$G724="",1,IF(ISNUMBER(MATCH(Data!#REF!,Data_Val!$D$2:$D$10,0)),0,1)))</f>
        <v>#REF!</v>
      </c>
      <c r="AW724" s="12"/>
      <c r="AX724" s="26" t="e">
        <f ca="1">IF(Data!#REF!="","",IF(ISNUMBER(Data!#REF!),IF(AND(Data!#REF!&gt;(TODAY()-(Data_Val!$I$3*365.25)),Data!#REF!&lt;=(TODAY()-(Data_Val!$I$2*365.25))),0,1),1))</f>
        <v>#REF!</v>
      </c>
      <c r="AY724" s="12" t="e">
        <f>IF(Data!#REF!="","",IF(Data!$G724="",1,IF(ISNUMBER(MATCH(Data!#REF!,Data_Val!$D$2:$D$10,0)),0,1)))</f>
        <v>#REF!</v>
      </c>
      <c r="AZ724" s="11"/>
      <c r="BA724" s="19" t="e">
        <f ca="1">IF(Data!#REF!="","",IF(ISNUMBER(Data!#REF!),IF(AND(Data!#REF!&gt;(TODAY()-(Data_Val!$M$3*365.25)),Data!#REF!&lt;=(TODAY()-(Data_Val!$M$2*365.25))),0,1),1))</f>
        <v>#REF!</v>
      </c>
      <c r="BB724" s="11" t="e">
        <f>IF(Data!#REF!="","",IF(Data!$G724="",1,IF(ISNUMBER(MATCH(Data!#REF!,Data_Val!$D$2:$D$10,0)),0,1)))</f>
        <v>#REF!</v>
      </c>
      <c r="BC724" s="12"/>
      <c r="BD724" s="20" t="e">
        <f ca="1">IF(Data!#REF!="","",IF(ISNUMBER(Data!#REF!),IF(AND(Data!#REF!&gt;(TODAY()-(Data_Val!$M$3*365.25)),Data!#REF!&lt;=(TODAY()-(Data_Val!$M$2*365.25))),0,1),1))</f>
        <v>#REF!</v>
      </c>
      <c r="BE724" s="12" t="e">
        <f>IF(Data!#REF!="","",IF(Data!$G724="",1,IF(ISNUMBER(MATCH(Data!#REF!,Data_Val!$D$2:$D$10,0)),0,1)))</f>
        <v>#REF!</v>
      </c>
      <c r="BF724" s="17"/>
      <c r="BG724" s="18" t="e">
        <f ca="1">IF(Data!#REF!="","",IF(ISNUMBER(Data!#REF!),IF(AND(Data!#REF!&gt;(TODAY()-(Data_Val!$M$3*365.25)),Data!#REF!&lt;=(TODAY()-(Data_Val!$M$2*365.25))),0,1),1))</f>
        <v>#REF!</v>
      </c>
      <c r="BH724" s="29" t="e">
        <f>IF(Data!#REF!="","",IF(Data!$G724="",1,IF(ISNUMBER(MATCH(Data!#REF!,Data_Val!$D$2:$D$10,0)),0,1)))</f>
        <v>#REF!</v>
      </c>
      <c r="BI724" s="13"/>
      <c r="BJ724" s="21" t="e">
        <f ca="1">IF(Data!#REF!="","",IF(ISNUMBER(Data!#REF!),IF(AND(Data!#REF!&gt;(TODAY()-(Data_Val!$M$3*365.25)),Data!#REF!&lt;=(TODAY()-(Data_Val!$M$2*365.25))),0,1),1))</f>
        <v>#REF!</v>
      </c>
      <c r="BK724" s="13" t="e">
        <f>IF(Data!#REF!="","",IF(Data!$G724="",1,IF(ISNUMBER(MATCH(Data!#REF!,Data_Val!$D$2:$D$10,0)),0,1)))</f>
        <v>#REF!</v>
      </c>
    </row>
    <row r="725" spans="1:63" x14ac:dyDescent="0.25">
      <c r="A725" s="9" t="str">
        <f>IF(Data!B725="","",IF(COUNTIFS(Data!A$1:'Data'!A725,Data!A725)&lt;=1,0,1))</f>
        <v/>
      </c>
      <c r="B725" s="9"/>
      <c r="C725" s="23" t="str">
        <f>IF(Data!C725="","",(IF(ISNUMBER(MATCH("*@*.?*",Data!C725,0)),0,1)+IF(COUNTIFS(Data!C$1:'Data'!C725,Data!C725)&gt;1,1,0)))</f>
        <v/>
      </c>
      <c r="D725" s="9" t="str">
        <f>IF(Data!B725="","",IF(ISNUMBER(Data!D725),IF(AND(Data!D725&gt;999999999,Data!D725&lt;=9999999999),IF(COUNTIFS(Data!D$1:'Data'!D725,Data!D725)&lt;=1,0,1),1),1))</f>
        <v/>
      </c>
      <c r="E725" s="9" t="str">
        <f>IF(Data!B725="","",IF(ISNUMBER(MATCH(Data!E725,Data_Val!$A$2:$A$3,0)),0,1))</f>
        <v/>
      </c>
      <c r="F725" s="9" t="str">
        <f ca="1">IF(Data!B725="","",IF(ISNUMBER(Data!F725),IF(AND(Data!F725&gt;(TODAY()-(Data_Val!$H$3*365.25)),Data!F725&lt;=(TODAY()-(Data_Val!$H$2*365.25))),0,1),1))</f>
        <v/>
      </c>
      <c r="G725" s="15" t="str">
        <f>IF(Data!B725="","",IF(AND(Data!G725="",Data!H725&lt;&gt;""),1,IF(Data!#REF!&lt;&gt;"",0,IF(ISNUMBER(MATCH(Data!G725,Data_Val!$C$2:$C$5,0)),0,1))))</f>
        <v/>
      </c>
      <c r="H725" s="15" t="str">
        <f>IF(Data!B725="","",IF(AND(Data!G725&lt;&gt;"",Data!H725=""),1,IF(Data!#REF!&lt;&gt;"",0,IF(Data!G725="",1,IF(ISNUMBER(MATCH(Data!H725,Data_Val!$D$2:$D$35,0)),0,1)))))</f>
        <v/>
      </c>
      <c r="I725" s="15" t="str">
        <f>IF(Data!B725="","",IF(Data!G725&lt;&gt;"",0,IF(ISNUMBER(MATCH(Data!#REF!,Data_Val!$E$2:$E$12,0)),0,1)))</f>
        <v/>
      </c>
      <c r="J725" s="16" t="e">
        <f>IF(OR(Data!B725="",Data!#REF!=""),"",IF(Data!#REF!="",1,0))</f>
        <v>#REF!</v>
      </c>
      <c r="K725" s="16" t="e">
        <f>IF(OR(Data!B725="",Data!#REF!=""),"",IF(Data!#REF!="",1,0))</f>
        <v>#REF!</v>
      </c>
      <c r="L725" s="16" t="e">
        <f>IF(OR(Data!B725="",Data!#REF!=""),"",IF(ISNUMBER(Data!#REF!),IF(AND(Data!#REF!&gt;Data_Val!$G$2,Data!#REF!&lt;=Data_Val!$G$3),0,1),1))</f>
        <v>#REF!</v>
      </c>
      <c r="M725" s="9" t="e">
        <f>IF(OR(Data!B725="",Data!#REF!=""),"",IF(ISNUMBER(MATCH(Data!#REF!,Data_Val!$F$1:$F$38,0)),0,1))</f>
        <v>#REF!</v>
      </c>
      <c r="N725" s="9" t="e">
        <f>IF(OR(Data!B725="",Data!#REF!=""),"",IF(Data!#REF!="",1,0))</f>
        <v>#REF!</v>
      </c>
      <c r="O725" s="17" t="e">
        <f>IF(Data!#REF!="","",IF(Data!#REF!="",1,0))</f>
        <v>#REF!</v>
      </c>
      <c r="P725" s="17" t="e">
        <f>IF(Data!#REF!="","",IF(ISNUMBER(MATCH(Data!#REF!,Data_Val!$A$2:$A$3,0)),0,1))</f>
        <v>#REF!</v>
      </c>
      <c r="Q725" s="25" t="e">
        <f ca="1">IF(Data!#REF!="","",IF(ISNUMBER(Data!#REF!),IF(AND(Data!#REF!&gt;(TODAY()-(Data_Val!$J$3*365.25)),Data!#REF!&lt;=(TODAY()-(Data_Val!$J$2*365.25))),0,1),1))</f>
        <v>#REF!</v>
      </c>
      <c r="R725" s="17" t="e">
        <f>IF(Data!#REF!="","",IF(ISNUMBER(MATCH(Data!#REF!,Data_Val!$B$2:$B$15,0)),0,1))</f>
        <v>#REF!</v>
      </c>
      <c r="S725" s="11" t="str">
        <f>IF(Data!G725="","",IF(Data!G725=Data_Val!$C$2,IF(Data!M725="",0,1),0))</f>
        <v/>
      </c>
      <c r="T725" s="11" t="str">
        <f>IF(Data!M725="","",IF(ISNUMBER(MATCH(Data!N725,Data_Val!$A$2:$A$3,0)),0,1))</f>
        <v/>
      </c>
      <c r="U725" s="11" t="str">
        <f ca="1">IF(Data!M725="","",IF(ISNUMBER(Data!O725),IF(AND(Data!O725&gt;(TODAY()-(Data_Val!$K$3*365.25)),Data!O725&lt;=(TODAY()-(Data_Val!$K$2*365.25))),0,1),1))</f>
        <v/>
      </c>
      <c r="V725" s="12" t="str">
        <f>IF(Data!G725="","",IF(Data!G725=Data_Val!$C$2,IF(Data!P725="",0,1),0))</f>
        <v/>
      </c>
      <c r="W725" s="12" t="str">
        <f>IF(Data!P725="","",IF(ISNUMBER(MATCH(Data!Q725,Data_Val!$A$2:$A$3,0)),0,1))</f>
        <v/>
      </c>
      <c r="X725" s="26" t="str">
        <f ca="1">IF(Data!P725="","",IF(ISNUMBER(Data!R725),IF(AND(Data!R725&gt;(TODAY()-(Data_Val!$L$3*365.25)),Data!R725&lt;=(TODAY()-(Data_Val!$L$2*365.25))),0,1),1))</f>
        <v/>
      </c>
      <c r="Y725" s="13" t="str">
        <f>IF(Data!$G725="","",IF(Data!$G725=Data_Val!$C$2,IF(Data!S725="",0,1),0))</f>
        <v/>
      </c>
      <c r="Z725" s="13" t="str">
        <f>IF(Data!S725="","",IF(ISNUMBER(MATCH(Data!T725,Data_Val!$A$2:$A$3,0)),0,1))</f>
        <v/>
      </c>
      <c r="AA725" s="28" t="str">
        <f ca="1">IF(Data!S725="","",IF(ISNUMBER(Data!U725),IF(AND(Data!U725&gt;(TODAY()-(Data_Val!$L$3*365.25)),Data!U725&lt;=(TODAY()-(Data_Val!$L$2*365.25))),0,1),1))</f>
        <v/>
      </c>
      <c r="AB725" s="11"/>
      <c r="AC725" s="11" t="e">
        <f>IF(Data!#REF!="","",IF(ISNUMBER(MATCH(Data!#REF!,Data_Val!$A$2:$A$3,0)),0,1))</f>
        <v>#REF!</v>
      </c>
      <c r="AD725" s="11" t="e">
        <f ca="1">IF(Data!#REF!="","",IF(ISNUMBER(Data!#REF!),IF(AND(Data!#REF!&gt;(TODAY()-(Data_Val!$L$3*365.25)),Data!#REF!&lt;=(TODAY()-(Data_Val!$L$2*365.25))),0,1),1))</f>
        <v>#REF!</v>
      </c>
      <c r="AE725" s="11" t="e">
        <f>IF(Data!#REF!="","",IF(Data!$G725="",1,IF(ISNUMBER(MATCH(Data!#REF!,Data_Val!$D$2:$D$10,0)),0,1)))</f>
        <v>#REF!</v>
      </c>
      <c r="AF725" s="12"/>
      <c r="AG725" s="12" t="e">
        <f>IF(Data!#REF!="","",IF(ISNUMBER(MATCH(Data!#REF!,Data_Val!$A$2:$A$3,0)),0,1))</f>
        <v>#REF!</v>
      </c>
      <c r="AH725" s="26" t="e">
        <f ca="1">IF(Data!#REF!="","",IF(ISNUMBER(Data!#REF!),IF(AND(Data!#REF!&gt;(TODAY()-(Data_Val!$L$3*365.25)),Data!#REF!&lt;=(TODAY()-(Data_Val!$L$2*365.25))),0,1),1))</f>
        <v>#REF!</v>
      </c>
      <c r="AI725" s="12" t="e">
        <f>IF(Data!#REF!="","",IF(Data!$G725="",1,IF(ISNUMBER(MATCH(Data!#REF!,Data_Val!$D$2:$D$10,0)),0,1)))</f>
        <v>#REF!</v>
      </c>
      <c r="AJ725" s="17"/>
      <c r="AK725" s="17" t="e">
        <f>IF(Data!#REF!="","",IF(ISNUMBER(MATCH(Data!#REF!,Data_Val!$A$2:$A$3,0)),0,1))</f>
        <v>#REF!</v>
      </c>
      <c r="AL725" s="25" t="e">
        <f ca="1">IF(Data!#REF!="","",IF(ISNUMBER(Data!#REF!),IF(AND(Data!#REF!&gt;(TODAY()-(Data_Val!$L$3*365.25)),Data!#REF!&lt;=(TODAY()-(Data_Val!$L$2*365.25))),0,1),1))</f>
        <v>#REF!</v>
      </c>
      <c r="AM725" s="17" t="e">
        <f>IF(Data!#REF!="","",IF(Data!$G725="",1,IF(ISNUMBER(MATCH(Data!#REF!,Data_Val!$D$2:$D$10,0)),0,1)))</f>
        <v>#REF!</v>
      </c>
      <c r="AN725" s="13"/>
      <c r="AO725" s="28" t="e">
        <f ca="1">IF(Data!#REF!="","",IF(ISNUMBER(Data!#REF!),IF(AND(Data!#REF!&gt;(TODAY()-(Data_Val!$I$3*365.25)),Data!#REF!&lt;=(TODAY()-(Data_Val!$I$2*365.25))),0,1),1))</f>
        <v>#REF!</v>
      </c>
      <c r="AP725" s="13" t="e">
        <f>IF(Data!#REF!="","",IF(Data!$G725="",1,IF(ISNUMBER(MATCH(Data!#REF!,Data_Val!$D$2:$D$10,0)),0,1)))</f>
        <v>#REF!</v>
      </c>
      <c r="AQ725" s="17"/>
      <c r="AR725" s="30" t="e">
        <f ca="1">IF(Data!#REF!="","",IF(ISNUMBER(Data!#REF!),IF(AND(Data!#REF!&gt;(TODAY()-(Data_Val!$I$3*365.25)),Data!#REF!&lt;=(TODAY()-(Data_Val!$I$2*365.25))),0,1),1))</f>
        <v>#REF!</v>
      </c>
      <c r="AS725" s="31" t="e">
        <f>IF(Data!#REF!="","",IF(Data!$G725="",1,IF(ISNUMBER(MATCH(Data!#REF!,Data_Val!$D$2:$D$10,0)),0,1)))</f>
        <v>#REF!</v>
      </c>
      <c r="AT725" s="11"/>
      <c r="AU725" s="11" t="e">
        <f ca="1">IF(Data!#REF!="","",IF(ISNUMBER(Data!#REF!),IF(AND(Data!#REF!&gt;(TODAY()-(Data_Val!$I$3*365.25)),Data!#REF!&lt;=(TODAY()-(Data_Val!$I$2*365.25))),0,1),1))</f>
        <v>#REF!</v>
      </c>
      <c r="AV725" s="11" t="e">
        <f>IF(Data!#REF!="","",IF(Data!$G725="",1,IF(ISNUMBER(MATCH(Data!#REF!,Data_Val!$D$2:$D$10,0)),0,1)))</f>
        <v>#REF!</v>
      </c>
      <c r="AW725" s="12"/>
      <c r="AX725" s="26" t="e">
        <f ca="1">IF(Data!#REF!="","",IF(ISNUMBER(Data!#REF!),IF(AND(Data!#REF!&gt;(TODAY()-(Data_Val!$I$3*365.25)),Data!#REF!&lt;=(TODAY()-(Data_Val!$I$2*365.25))),0,1),1))</f>
        <v>#REF!</v>
      </c>
      <c r="AY725" s="12" t="e">
        <f>IF(Data!#REF!="","",IF(Data!$G725="",1,IF(ISNUMBER(MATCH(Data!#REF!,Data_Val!$D$2:$D$10,0)),0,1)))</f>
        <v>#REF!</v>
      </c>
      <c r="AZ725" s="11"/>
      <c r="BA725" s="19" t="e">
        <f ca="1">IF(Data!#REF!="","",IF(ISNUMBER(Data!#REF!),IF(AND(Data!#REF!&gt;(TODAY()-(Data_Val!$M$3*365.25)),Data!#REF!&lt;=(TODAY()-(Data_Val!$M$2*365.25))),0,1),1))</f>
        <v>#REF!</v>
      </c>
      <c r="BB725" s="11" t="e">
        <f>IF(Data!#REF!="","",IF(Data!$G725="",1,IF(ISNUMBER(MATCH(Data!#REF!,Data_Val!$D$2:$D$10,0)),0,1)))</f>
        <v>#REF!</v>
      </c>
      <c r="BC725" s="12"/>
      <c r="BD725" s="20" t="e">
        <f ca="1">IF(Data!#REF!="","",IF(ISNUMBER(Data!#REF!),IF(AND(Data!#REF!&gt;(TODAY()-(Data_Val!$M$3*365.25)),Data!#REF!&lt;=(TODAY()-(Data_Val!$M$2*365.25))),0,1),1))</f>
        <v>#REF!</v>
      </c>
      <c r="BE725" s="12" t="e">
        <f>IF(Data!#REF!="","",IF(Data!$G725="",1,IF(ISNUMBER(MATCH(Data!#REF!,Data_Val!$D$2:$D$10,0)),0,1)))</f>
        <v>#REF!</v>
      </c>
      <c r="BF725" s="17"/>
      <c r="BG725" s="18" t="e">
        <f ca="1">IF(Data!#REF!="","",IF(ISNUMBER(Data!#REF!),IF(AND(Data!#REF!&gt;(TODAY()-(Data_Val!$M$3*365.25)),Data!#REF!&lt;=(TODAY()-(Data_Val!$M$2*365.25))),0,1),1))</f>
        <v>#REF!</v>
      </c>
      <c r="BH725" s="29" t="e">
        <f>IF(Data!#REF!="","",IF(Data!$G725="",1,IF(ISNUMBER(MATCH(Data!#REF!,Data_Val!$D$2:$D$10,0)),0,1)))</f>
        <v>#REF!</v>
      </c>
      <c r="BI725" s="13"/>
      <c r="BJ725" s="21" t="e">
        <f ca="1">IF(Data!#REF!="","",IF(ISNUMBER(Data!#REF!),IF(AND(Data!#REF!&gt;(TODAY()-(Data_Val!$M$3*365.25)),Data!#REF!&lt;=(TODAY()-(Data_Val!$M$2*365.25))),0,1),1))</f>
        <v>#REF!</v>
      </c>
      <c r="BK725" s="13" t="e">
        <f>IF(Data!#REF!="","",IF(Data!$G725="",1,IF(ISNUMBER(MATCH(Data!#REF!,Data_Val!$D$2:$D$10,0)),0,1)))</f>
        <v>#REF!</v>
      </c>
    </row>
    <row r="726" spans="1:63" x14ac:dyDescent="0.25">
      <c r="A726" s="9" t="str">
        <f>IF(Data!B726="","",IF(COUNTIFS(Data!A$1:'Data'!A726,Data!A726)&lt;=1,0,1))</f>
        <v/>
      </c>
      <c r="B726" s="9"/>
      <c r="C726" s="23" t="str">
        <f>IF(Data!C726="","",(IF(ISNUMBER(MATCH("*@*.?*",Data!C726,0)),0,1)+IF(COUNTIFS(Data!C$1:'Data'!C726,Data!C726)&gt;1,1,0)))</f>
        <v/>
      </c>
      <c r="D726" s="9" t="str">
        <f>IF(Data!B726="","",IF(ISNUMBER(Data!D726),IF(AND(Data!D726&gt;999999999,Data!D726&lt;=9999999999),IF(COUNTIFS(Data!D$1:'Data'!D726,Data!D726)&lt;=1,0,1),1),1))</f>
        <v/>
      </c>
      <c r="E726" s="9" t="str">
        <f>IF(Data!B726="","",IF(ISNUMBER(MATCH(Data!E726,Data_Val!$A$2:$A$3,0)),0,1))</f>
        <v/>
      </c>
      <c r="F726" s="9" t="str">
        <f ca="1">IF(Data!B726="","",IF(ISNUMBER(Data!F726),IF(AND(Data!F726&gt;(TODAY()-(Data_Val!$H$3*365.25)),Data!F726&lt;=(TODAY()-(Data_Val!$H$2*365.25))),0,1),1))</f>
        <v/>
      </c>
      <c r="G726" s="15" t="str">
        <f>IF(Data!B726="","",IF(AND(Data!G726="",Data!H726&lt;&gt;""),1,IF(Data!#REF!&lt;&gt;"",0,IF(ISNUMBER(MATCH(Data!G726,Data_Val!$C$2:$C$5,0)),0,1))))</f>
        <v/>
      </c>
      <c r="H726" s="15" t="str">
        <f>IF(Data!B726="","",IF(AND(Data!G726&lt;&gt;"",Data!H726=""),1,IF(Data!#REF!&lt;&gt;"",0,IF(Data!G726="",1,IF(ISNUMBER(MATCH(Data!H726,Data_Val!$D$2:$D$35,0)),0,1)))))</f>
        <v/>
      </c>
      <c r="I726" s="15" t="str">
        <f>IF(Data!B726="","",IF(Data!G726&lt;&gt;"",0,IF(ISNUMBER(MATCH(Data!#REF!,Data_Val!$E$2:$E$12,0)),0,1)))</f>
        <v/>
      </c>
      <c r="J726" s="16" t="e">
        <f>IF(OR(Data!B726="",Data!#REF!=""),"",IF(Data!#REF!="",1,0))</f>
        <v>#REF!</v>
      </c>
      <c r="K726" s="16" t="e">
        <f>IF(OR(Data!B726="",Data!#REF!=""),"",IF(Data!#REF!="",1,0))</f>
        <v>#REF!</v>
      </c>
      <c r="L726" s="16" t="e">
        <f>IF(OR(Data!B726="",Data!#REF!=""),"",IF(ISNUMBER(Data!#REF!),IF(AND(Data!#REF!&gt;Data_Val!$G$2,Data!#REF!&lt;=Data_Val!$G$3),0,1),1))</f>
        <v>#REF!</v>
      </c>
      <c r="M726" s="9" t="e">
        <f>IF(OR(Data!B726="",Data!#REF!=""),"",IF(ISNUMBER(MATCH(Data!#REF!,Data_Val!$F$1:$F$38,0)),0,1))</f>
        <v>#REF!</v>
      </c>
      <c r="N726" s="9" t="e">
        <f>IF(OR(Data!B726="",Data!#REF!=""),"",IF(Data!#REF!="",1,0))</f>
        <v>#REF!</v>
      </c>
      <c r="O726" s="17" t="e">
        <f>IF(Data!#REF!="","",IF(Data!#REF!="",1,0))</f>
        <v>#REF!</v>
      </c>
      <c r="P726" s="17" t="e">
        <f>IF(Data!#REF!="","",IF(ISNUMBER(MATCH(Data!#REF!,Data_Val!$A$2:$A$3,0)),0,1))</f>
        <v>#REF!</v>
      </c>
      <c r="Q726" s="25" t="e">
        <f ca="1">IF(Data!#REF!="","",IF(ISNUMBER(Data!#REF!),IF(AND(Data!#REF!&gt;(TODAY()-(Data_Val!$J$3*365.25)),Data!#REF!&lt;=(TODAY()-(Data_Val!$J$2*365.25))),0,1),1))</f>
        <v>#REF!</v>
      </c>
      <c r="R726" s="17" t="e">
        <f>IF(Data!#REF!="","",IF(ISNUMBER(MATCH(Data!#REF!,Data_Val!$B$2:$B$15,0)),0,1))</f>
        <v>#REF!</v>
      </c>
      <c r="S726" s="11" t="str">
        <f>IF(Data!G726="","",IF(Data!G726=Data_Val!$C$2,IF(Data!M726="",0,1),0))</f>
        <v/>
      </c>
      <c r="T726" s="11" t="str">
        <f>IF(Data!M726="","",IF(ISNUMBER(MATCH(Data!N726,Data_Val!$A$2:$A$3,0)),0,1))</f>
        <v/>
      </c>
      <c r="U726" s="11" t="str">
        <f ca="1">IF(Data!M726="","",IF(ISNUMBER(Data!O726),IF(AND(Data!O726&gt;(TODAY()-(Data_Val!$K$3*365.25)),Data!O726&lt;=(TODAY()-(Data_Val!$K$2*365.25))),0,1),1))</f>
        <v/>
      </c>
      <c r="V726" s="12" t="str">
        <f>IF(Data!G726="","",IF(Data!G726=Data_Val!$C$2,IF(Data!P726="",0,1),0))</f>
        <v/>
      </c>
      <c r="W726" s="12" t="str">
        <f>IF(Data!P726="","",IF(ISNUMBER(MATCH(Data!Q726,Data_Val!$A$2:$A$3,0)),0,1))</f>
        <v/>
      </c>
      <c r="X726" s="26" t="str">
        <f ca="1">IF(Data!P726="","",IF(ISNUMBER(Data!R726),IF(AND(Data!R726&gt;(TODAY()-(Data_Val!$L$3*365.25)),Data!R726&lt;=(TODAY()-(Data_Val!$L$2*365.25))),0,1),1))</f>
        <v/>
      </c>
      <c r="Y726" s="13" t="str">
        <f>IF(Data!$G726="","",IF(Data!$G726=Data_Val!$C$2,IF(Data!S726="",0,1),0))</f>
        <v/>
      </c>
      <c r="Z726" s="13" t="str">
        <f>IF(Data!S726="","",IF(ISNUMBER(MATCH(Data!T726,Data_Val!$A$2:$A$3,0)),0,1))</f>
        <v/>
      </c>
      <c r="AA726" s="28" t="str">
        <f ca="1">IF(Data!S726="","",IF(ISNUMBER(Data!U726),IF(AND(Data!U726&gt;(TODAY()-(Data_Val!$L$3*365.25)),Data!U726&lt;=(TODAY()-(Data_Val!$L$2*365.25))),0,1),1))</f>
        <v/>
      </c>
      <c r="AB726" s="11"/>
      <c r="AC726" s="11" t="e">
        <f>IF(Data!#REF!="","",IF(ISNUMBER(MATCH(Data!#REF!,Data_Val!$A$2:$A$3,0)),0,1))</f>
        <v>#REF!</v>
      </c>
      <c r="AD726" s="11" t="e">
        <f ca="1">IF(Data!#REF!="","",IF(ISNUMBER(Data!#REF!),IF(AND(Data!#REF!&gt;(TODAY()-(Data_Val!$L$3*365.25)),Data!#REF!&lt;=(TODAY()-(Data_Val!$L$2*365.25))),0,1),1))</f>
        <v>#REF!</v>
      </c>
      <c r="AE726" s="11" t="e">
        <f>IF(Data!#REF!="","",IF(Data!$G726="",1,IF(ISNUMBER(MATCH(Data!#REF!,Data_Val!$D$2:$D$10,0)),0,1)))</f>
        <v>#REF!</v>
      </c>
      <c r="AF726" s="12"/>
      <c r="AG726" s="12" t="e">
        <f>IF(Data!#REF!="","",IF(ISNUMBER(MATCH(Data!#REF!,Data_Val!$A$2:$A$3,0)),0,1))</f>
        <v>#REF!</v>
      </c>
      <c r="AH726" s="26" t="e">
        <f ca="1">IF(Data!#REF!="","",IF(ISNUMBER(Data!#REF!),IF(AND(Data!#REF!&gt;(TODAY()-(Data_Val!$L$3*365.25)),Data!#REF!&lt;=(TODAY()-(Data_Val!$L$2*365.25))),0,1),1))</f>
        <v>#REF!</v>
      </c>
      <c r="AI726" s="12" t="e">
        <f>IF(Data!#REF!="","",IF(Data!$G726="",1,IF(ISNUMBER(MATCH(Data!#REF!,Data_Val!$D$2:$D$10,0)),0,1)))</f>
        <v>#REF!</v>
      </c>
      <c r="AJ726" s="17"/>
      <c r="AK726" s="17" t="e">
        <f>IF(Data!#REF!="","",IF(ISNUMBER(MATCH(Data!#REF!,Data_Val!$A$2:$A$3,0)),0,1))</f>
        <v>#REF!</v>
      </c>
      <c r="AL726" s="25" t="e">
        <f ca="1">IF(Data!#REF!="","",IF(ISNUMBER(Data!#REF!),IF(AND(Data!#REF!&gt;(TODAY()-(Data_Val!$L$3*365.25)),Data!#REF!&lt;=(TODAY()-(Data_Val!$L$2*365.25))),0,1),1))</f>
        <v>#REF!</v>
      </c>
      <c r="AM726" s="17" t="e">
        <f>IF(Data!#REF!="","",IF(Data!$G726="",1,IF(ISNUMBER(MATCH(Data!#REF!,Data_Val!$D$2:$D$10,0)),0,1)))</f>
        <v>#REF!</v>
      </c>
      <c r="AN726" s="13"/>
      <c r="AO726" s="28" t="e">
        <f ca="1">IF(Data!#REF!="","",IF(ISNUMBER(Data!#REF!),IF(AND(Data!#REF!&gt;(TODAY()-(Data_Val!$I$3*365.25)),Data!#REF!&lt;=(TODAY()-(Data_Val!$I$2*365.25))),0,1),1))</f>
        <v>#REF!</v>
      </c>
      <c r="AP726" s="13" t="e">
        <f>IF(Data!#REF!="","",IF(Data!$G726="",1,IF(ISNUMBER(MATCH(Data!#REF!,Data_Val!$D$2:$D$10,0)),0,1)))</f>
        <v>#REF!</v>
      </c>
      <c r="AQ726" s="17"/>
      <c r="AR726" s="30" t="e">
        <f ca="1">IF(Data!#REF!="","",IF(ISNUMBER(Data!#REF!),IF(AND(Data!#REF!&gt;(TODAY()-(Data_Val!$I$3*365.25)),Data!#REF!&lt;=(TODAY()-(Data_Val!$I$2*365.25))),0,1),1))</f>
        <v>#REF!</v>
      </c>
      <c r="AS726" s="31" t="e">
        <f>IF(Data!#REF!="","",IF(Data!$G726="",1,IF(ISNUMBER(MATCH(Data!#REF!,Data_Val!$D$2:$D$10,0)),0,1)))</f>
        <v>#REF!</v>
      </c>
      <c r="AT726" s="11"/>
      <c r="AU726" s="11" t="e">
        <f ca="1">IF(Data!#REF!="","",IF(ISNUMBER(Data!#REF!),IF(AND(Data!#REF!&gt;(TODAY()-(Data_Val!$I$3*365.25)),Data!#REF!&lt;=(TODAY()-(Data_Val!$I$2*365.25))),0,1),1))</f>
        <v>#REF!</v>
      </c>
      <c r="AV726" s="11" t="e">
        <f>IF(Data!#REF!="","",IF(Data!$G726="",1,IF(ISNUMBER(MATCH(Data!#REF!,Data_Val!$D$2:$D$10,0)),0,1)))</f>
        <v>#REF!</v>
      </c>
      <c r="AW726" s="12"/>
      <c r="AX726" s="26" t="e">
        <f ca="1">IF(Data!#REF!="","",IF(ISNUMBER(Data!#REF!),IF(AND(Data!#REF!&gt;(TODAY()-(Data_Val!$I$3*365.25)),Data!#REF!&lt;=(TODAY()-(Data_Val!$I$2*365.25))),0,1),1))</f>
        <v>#REF!</v>
      </c>
      <c r="AY726" s="12" t="e">
        <f>IF(Data!#REF!="","",IF(Data!$G726="",1,IF(ISNUMBER(MATCH(Data!#REF!,Data_Val!$D$2:$D$10,0)),0,1)))</f>
        <v>#REF!</v>
      </c>
      <c r="AZ726" s="11"/>
      <c r="BA726" s="19" t="e">
        <f ca="1">IF(Data!#REF!="","",IF(ISNUMBER(Data!#REF!),IF(AND(Data!#REF!&gt;(TODAY()-(Data_Val!$M$3*365.25)),Data!#REF!&lt;=(TODAY()-(Data_Val!$M$2*365.25))),0,1),1))</f>
        <v>#REF!</v>
      </c>
      <c r="BB726" s="11" t="e">
        <f>IF(Data!#REF!="","",IF(Data!$G726="",1,IF(ISNUMBER(MATCH(Data!#REF!,Data_Val!$D$2:$D$10,0)),0,1)))</f>
        <v>#REF!</v>
      </c>
      <c r="BC726" s="12"/>
      <c r="BD726" s="20" t="e">
        <f ca="1">IF(Data!#REF!="","",IF(ISNUMBER(Data!#REF!),IF(AND(Data!#REF!&gt;(TODAY()-(Data_Val!$M$3*365.25)),Data!#REF!&lt;=(TODAY()-(Data_Val!$M$2*365.25))),0,1),1))</f>
        <v>#REF!</v>
      </c>
      <c r="BE726" s="12" t="e">
        <f>IF(Data!#REF!="","",IF(Data!$G726="",1,IF(ISNUMBER(MATCH(Data!#REF!,Data_Val!$D$2:$D$10,0)),0,1)))</f>
        <v>#REF!</v>
      </c>
      <c r="BF726" s="17"/>
      <c r="BG726" s="18" t="e">
        <f ca="1">IF(Data!#REF!="","",IF(ISNUMBER(Data!#REF!),IF(AND(Data!#REF!&gt;(TODAY()-(Data_Val!$M$3*365.25)),Data!#REF!&lt;=(TODAY()-(Data_Val!$M$2*365.25))),0,1),1))</f>
        <v>#REF!</v>
      </c>
      <c r="BH726" s="29" t="e">
        <f>IF(Data!#REF!="","",IF(Data!$G726="",1,IF(ISNUMBER(MATCH(Data!#REF!,Data_Val!$D$2:$D$10,0)),0,1)))</f>
        <v>#REF!</v>
      </c>
      <c r="BI726" s="13"/>
      <c r="BJ726" s="21" t="e">
        <f ca="1">IF(Data!#REF!="","",IF(ISNUMBER(Data!#REF!),IF(AND(Data!#REF!&gt;(TODAY()-(Data_Val!$M$3*365.25)),Data!#REF!&lt;=(TODAY()-(Data_Val!$M$2*365.25))),0,1),1))</f>
        <v>#REF!</v>
      </c>
      <c r="BK726" s="13" t="e">
        <f>IF(Data!#REF!="","",IF(Data!$G726="",1,IF(ISNUMBER(MATCH(Data!#REF!,Data_Val!$D$2:$D$10,0)),0,1)))</f>
        <v>#REF!</v>
      </c>
    </row>
    <row r="727" spans="1:63" x14ac:dyDescent="0.25">
      <c r="A727" s="9" t="str">
        <f>IF(Data!B727="","",IF(COUNTIFS(Data!A$1:'Data'!A727,Data!A727)&lt;=1,0,1))</f>
        <v/>
      </c>
      <c r="B727" s="9"/>
      <c r="C727" s="23" t="str">
        <f>IF(Data!C727="","",(IF(ISNUMBER(MATCH("*@*.?*",Data!C727,0)),0,1)+IF(COUNTIFS(Data!C$1:'Data'!C727,Data!C727)&gt;1,1,0)))</f>
        <v/>
      </c>
      <c r="D727" s="9" t="str">
        <f>IF(Data!B727="","",IF(ISNUMBER(Data!D727),IF(AND(Data!D727&gt;999999999,Data!D727&lt;=9999999999),IF(COUNTIFS(Data!D$1:'Data'!D727,Data!D727)&lt;=1,0,1),1),1))</f>
        <v/>
      </c>
      <c r="E727" s="9" t="str">
        <f>IF(Data!B727="","",IF(ISNUMBER(MATCH(Data!E727,Data_Val!$A$2:$A$3,0)),0,1))</f>
        <v/>
      </c>
      <c r="F727" s="9" t="str">
        <f ca="1">IF(Data!B727="","",IF(ISNUMBER(Data!F727),IF(AND(Data!F727&gt;(TODAY()-(Data_Val!$H$3*365.25)),Data!F727&lt;=(TODAY()-(Data_Val!$H$2*365.25))),0,1),1))</f>
        <v/>
      </c>
      <c r="G727" s="15" t="str">
        <f>IF(Data!B727="","",IF(AND(Data!G727="",Data!H727&lt;&gt;""),1,IF(Data!#REF!&lt;&gt;"",0,IF(ISNUMBER(MATCH(Data!G727,Data_Val!$C$2:$C$5,0)),0,1))))</f>
        <v/>
      </c>
      <c r="H727" s="15" t="str">
        <f>IF(Data!B727="","",IF(AND(Data!G727&lt;&gt;"",Data!H727=""),1,IF(Data!#REF!&lt;&gt;"",0,IF(Data!G727="",1,IF(ISNUMBER(MATCH(Data!H727,Data_Val!$D$2:$D$35,0)),0,1)))))</f>
        <v/>
      </c>
      <c r="I727" s="15" t="str">
        <f>IF(Data!B727="","",IF(Data!G727&lt;&gt;"",0,IF(ISNUMBER(MATCH(Data!#REF!,Data_Val!$E$2:$E$12,0)),0,1)))</f>
        <v/>
      </c>
      <c r="J727" s="16" t="e">
        <f>IF(OR(Data!B727="",Data!#REF!=""),"",IF(Data!#REF!="",1,0))</f>
        <v>#REF!</v>
      </c>
      <c r="K727" s="16" t="e">
        <f>IF(OR(Data!B727="",Data!#REF!=""),"",IF(Data!#REF!="",1,0))</f>
        <v>#REF!</v>
      </c>
      <c r="L727" s="16" t="e">
        <f>IF(OR(Data!B727="",Data!#REF!=""),"",IF(ISNUMBER(Data!#REF!),IF(AND(Data!#REF!&gt;Data_Val!$G$2,Data!#REF!&lt;=Data_Val!$G$3),0,1),1))</f>
        <v>#REF!</v>
      </c>
      <c r="M727" s="9" t="e">
        <f>IF(OR(Data!B727="",Data!#REF!=""),"",IF(ISNUMBER(MATCH(Data!#REF!,Data_Val!$F$1:$F$38,0)),0,1))</f>
        <v>#REF!</v>
      </c>
      <c r="N727" s="9" t="e">
        <f>IF(OR(Data!B727="",Data!#REF!=""),"",IF(Data!#REF!="",1,0))</f>
        <v>#REF!</v>
      </c>
      <c r="O727" s="17" t="e">
        <f>IF(Data!#REF!="","",IF(Data!#REF!="",1,0))</f>
        <v>#REF!</v>
      </c>
      <c r="P727" s="17" t="e">
        <f>IF(Data!#REF!="","",IF(ISNUMBER(MATCH(Data!#REF!,Data_Val!$A$2:$A$3,0)),0,1))</f>
        <v>#REF!</v>
      </c>
      <c r="Q727" s="25" t="e">
        <f ca="1">IF(Data!#REF!="","",IF(ISNUMBER(Data!#REF!),IF(AND(Data!#REF!&gt;(TODAY()-(Data_Val!$J$3*365.25)),Data!#REF!&lt;=(TODAY()-(Data_Val!$J$2*365.25))),0,1),1))</f>
        <v>#REF!</v>
      </c>
      <c r="R727" s="17" t="e">
        <f>IF(Data!#REF!="","",IF(ISNUMBER(MATCH(Data!#REF!,Data_Val!$B$2:$B$15,0)),0,1))</f>
        <v>#REF!</v>
      </c>
      <c r="S727" s="11" t="str">
        <f>IF(Data!G727="","",IF(Data!G727=Data_Val!$C$2,IF(Data!M727="",0,1),0))</f>
        <v/>
      </c>
      <c r="T727" s="11" t="str">
        <f>IF(Data!M727="","",IF(ISNUMBER(MATCH(Data!N727,Data_Val!$A$2:$A$3,0)),0,1))</f>
        <v/>
      </c>
      <c r="U727" s="11" t="str">
        <f ca="1">IF(Data!M727="","",IF(ISNUMBER(Data!O727),IF(AND(Data!O727&gt;(TODAY()-(Data_Val!$K$3*365.25)),Data!O727&lt;=(TODAY()-(Data_Val!$K$2*365.25))),0,1),1))</f>
        <v/>
      </c>
      <c r="V727" s="12" t="str">
        <f>IF(Data!G727="","",IF(Data!G727=Data_Val!$C$2,IF(Data!P727="",0,1),0))</f>
        <v/>
      </c>
      <c r="W727" s="12" t="str">
        <f>IF(Data!P727="","",IF(ISNUMBER(MATCH(Data!Q727,Data_Val!$A$2:$A$3,0)),0,1))</f>
        <v/>
      </c>
      <c r="X727" s="26" t="str">
        <f ca="1">IF(Data!P727="","",IF(ISNUMBER(Data!R727),IF(AND(Data!R727&gt;(TODAY()-(Data_Val!$L$3*365.25)),Data!R727&lt;=(TODAY()-(Data_Val!$L$2*365.25))),0,1),1))</f>
        <v/>
      </c>
      <c r="Y727" s="13" t="str">
        <f>IF(Data!$G727="","",IF(Data!$G727=Data_Val!$C$2,IF(Data!S727="",0,1),0))</f>
        <v/>
      </c>
      <c r="Z727" s="13" t="str">
        <f>IF(Data!S727="","",IF(ISNUMBER(MATCH(Data!T727,Data_Val!$A$2:$A$3,0)),0,1))</f>
        <v/>
      </c>
      <c r="AA727" s="28" t="str">
        <f ca="1">IF(Data!S727="","",IF(ISNUMBER(Data!U727),IF(AND(Data!U727&gt;(TODAY()-(Data_Val!$L$3*365.25)),Data!U727&lt;=(TODAY()-(Data_Val!$L$2*365.25))),0,1),1))</f>
        <v/>
      </c>
      <c r="AB727" s="11"/>
      <c r="AC727" s="11" t="e">
        <f>IF(Data!#REF!="","",IF(ISNUMBER(MATCH(Data!#REF!,Data_Val!$A$2:$A$3,0)),0,1))</f>
        <v>#REF!</v>
      </c>
      <c r="AD727" s="11" t="e">
        <f ca="1">IF(Data!#REF!="","",IF(ISNUMBER(Data!#REF!),IF(AND(Data!#REF!&gt;(TODAY()-(Data_Val!$L$3*365.25)),Data!#REF!&lt;=(TODAY()-(Data_Val!$L$2*365.25))),0,1),1))</f>
        <v>#REF!</v>
      </c>
      <c r="AE727" s="11" t="e">
        <f>IF(Data!#REF!="","",IF(Data!$G727="",1,IF(ISNUMBER(MATCH(Data!#REF!,Data_Val!$D$2:$D$10,0)),0,1)))</f>
        <v>#REF!</v>
      </c>
      <c r="AF727" s="12"/>
      <c r="AG727" s="12" t="e">
        <f>IF(Data!#REF!="","",IF(ISNUMBER(MATCH(Data!#REF!,Data_Val!$A$2:$A$3,0)),0,1))</f>
        <v>#REF!</v>
      </c>
      <c r="AH727" s="26" t="e">
        <f ca="1">IF(Data!#REF!="","",IF(ISNUMBER(Data!#REF!),IF(AND(Data!#REF!&gt;(TODAY()-(Data_Val!$L$3*365.25)),Data!#REF!&lt;=(TODAY()-(Data_Val!$L$2*365.25))),0,1),1))</f>
        <v>#REF!</v>
      </c>
      <c r="AI727" s="12" t="e">
        <f>IF(Data!#REF!="","",IF(Data!$G727="",1,IF(ISNUMBER(MATCH(Data!#REF!,Data_Val!$D$2:$D$10,0)),0,1)))</f>
        <v>#REF!</v>
      </c>
      <c r="AJ727" s="17"/>
      <c r="AK727" s="17" t="e">
        <f>IF(Data!#REF!="","",IF(ISNUMBER(MATCH(Data!#REF!,Data_Val!$A$2:$A$3,0)),0,1))</f>
        <v>#REF!</v>
      </c>
      <c r="AL727" s="25" t="e">
        <f ca="1">IF(Data!#REF!="","",IF(ISNUMBER(Data!#REF!),IF(AND(Data!#REF!&gt;(TODAY()-(Data_Val!$L$3*365.25)),Data!#REF!&lt;=(TODAY()-(Data_Val!$L$2*365.25))),0,1),1))</f>
        <v>#REF!</v>
      </c>
      <c r="AM727" s="17" t="e">
        <f>IF(Data!#REF!="","",IF(Data!$G727="",1,IF(ISNUMBER(MATCH(Data!#REF!,Data_Val!$D$2:$D$10,0)),0,1)))</f>
        <v>#REF!</v>
      </c>
      <c r="AN727" s="13"/>
      <c r="AO727" s="28" t="e">
        <f ca="1">IF(Data!#REF!="","",IF(ISNUMBER(Data!#REF!),IF(AND(Data!#REF!&gt;(TODAY()-(Data_Val!$I$3*365.25)),Data!#REF!&lt;=(TODAY()-(Data_Val!$I$2*365.25))),0,1),1))</f>
        <v>#REF!</v>
      </c>
      <c r="AP727" s="13" t="e">
        <f>IF(Data!#REF!="","",IF(Data!$G727="",1,IF(ISNUMBER(MATCH(Data!#REF!,Data_Val!$D$2:$D$10,0)),0,1)))</f>
        <v>#REF!</v>
      </c>
      <c r="AQ727" s="17"/>
      <c r="AR727" s="30" t="e">
        <f ca="1">IF(Data!#REF!="","",IF(ISNUMBER(Data!#REF!),IF(AND(Data!#REF!&gt;(TODAY()-(Data_Val!$I$3*365.25)),Data!#REF!&lt;=(TODAY()-(Data_Val!$I$2*365.25))),0,1),1))</f>
        <v>#REF!</v>
      </c>
      <c r="AS727" s="31" t="e">
        <f>IF(Data!#REF!="","",IF(Data!$G727="",1,IF(ISNUMBER(MATCH(Data!#REF!,Data_Val!$D$2:$D$10,0)),0,1)))</f>
        <v>#REF!</v>
      </c>
      <c r="AT727" s="11"/>
      <c r="AU727" s="11" t="e">
        <f ca="1">IF(Data!#REF!="","",IF(ISNUMBER(Data!#REF!),IF(AND(Data!#REF!&gt;(TODAY()-(Data_Val!$I$3*365.25)),Data!#REF!&lt;=(TODAY()-(Data_Val!$I$2*365.25))),0,1),1))</f>
        <v>#REF!</v>
      </c>
      <c r="AV727" s="11" t="e">
        <f>IF(Data!#REF!="","",IF(Data!$G727="",1,IF(ISNUMBER(MATCH(Data!#REF!,Data_Val!$D$2:$D$10,0)),0,1)))</f>
        <v>#REF!</v>
      </c>
      <c r="AW727" s="12"/>
      <c r="AX727" s="26" t="e">
        <f ca="1">IF(Data!#REF!="","",IF(ISNUMBER(Data!#REF!),IF(AND(Data!#REF!&gt;(TODAY()-(Data_Val!$I$3*365.25)),Data!#REF!&lt;=(TODAY()-(Data_Val!$I$2*365.25))),0,1),1))</f>
        <v>#REF!</v>
      </c>
      <c r="AY727" s="12" t="e">
        <f>IF(Data!#REF!="","",IF(Data!$G727="",1,IF(ISNUMBER(MATCH(Data!#REF!,Data_Val!$D$2:$D$10,0)),0,1)))</f>
        <v>#REF!</v>
      </c>
      <c r="AZ727" s="11"/>
      <c r="BA727" s="19" t="e">
        <f ca="1">IF(Data!#REF!="","",IF(ISNUMBER(Data!#REF!),IF(AND(Data!#REF!&gt;(TODAY()-(Data_Val!$M$3*365.25)),Data!#REF!&lt;=(TODAY()-(Data_Val!$M$2*365.25))),0,1),1))</f>
        <v>#REF!</v>
      </c>
      <c r="BB727" s="11" t="e">
        <f>IF(Data!#REF!="","",IF(Data!$G727="",1,IF(ISNUMBER(MATCH(Data!#REF!,Data_Val!$D$2:$D$10,0)),0,1)))</f>
        <v>#REF!</v>
      </c>
      <c r="BC727" s="12"/>
      <c r="BD727" s="20" t="e">
        <f ca="1">IF(Data!#REF!="","",IF(ISNUMBER(Data!#REF!),IF(AND(Data!#REF!&gt;(TODAY()-(Data_Val!$M$3*365.25)),Data!#REF!&lt;=(TODAY()-(Data_Val!$M$2*365.25))),0,1),1))</f>
        <v>#REF!</v>
      </c>
      <c r="BE727" s="12" t="e">
        <f>IF(Data!#REF!="","",IF(Data!$G727="",1,IF(ISNUMBER(MATCH(Data!#REF!,Data_Val!$D$2:$D$10,0)),0,1)))</f>
        <v>#REF!</v>
      </c>
      <c r="BF727" s="17"/>
      <c r="BG727" s="18" t="e">
        <f ca="1">IF(Data!#REF!="","",IF(ISNUMBER(Data!#REF!),IF(AND(Data!#REF!&gt;(TODAY()-(Data_Val!$M$3*365.25)),Data!#REF!&lt;=(TODAY()-(Data_Val!$M$2*365.25))),0,1),1))</f>
        <v>#REF!</v>
      </c>
      <c r="BH727" s="29" t="e">
        <f>IF(Data!#REF!="","",IF(Data!$G727="",1,IF(ISNUMBER(MATCH(Data!#REF!,Data_Val!$D$2:$D$10,0)),0,1)))</f>
        <v>#REF!</v>
      </c>
      <c r="BI727" s="13"/>
      <c r="BJ727" s="21" t="e">
        <f ca="1">IF(Data!#REF!="","",IF(ISNUMBER(Data!#REF!),IF(AND(Data!#REF!&gt;(TODAY()-(Data_Val!$M$3*365.25)),Data!#REF!&lt;=(TODAY()-(Data_Val!$M$2*365.25))),0,1),1))</f>
        <v>#REF!</v>
      </c>
      <c r="BK727" s="13" t="e">
        <f>IF(Data!#REF!="","",IF(Data!$G727="",1,IF(ISNUMBER(MATCH(Data!#REF!,Data_Val!$D$2:$D$10,0)),0,1)))</f>
        <v>#REF!</v>
      </c>
    </row>
    <row r="728" spans="1:63" x14ac:dyDescent="0.25">
      <c r="A728" s="9" t="str">
        <f>IF(Data!B728="","",IF(COUNTIFS(Data!A$1:'Data'!A728,Data!A728)&lt;=1,0,1))</f>
        <v/>
      </c>
      <c r="B728" s="9"/>
      <c r="C728" s="23" t="str">
        <f>IF(Data!C728="","",(IF(ISNUMBER(MATCH("*@*.?*",Data!C728,0)),0,1)+IF(COUNTIFS(Data!C$1:'Data'!C728,Data!C728)&gt;1,1,0)))</f>
        <v/>
      </c>
      <c r="D728" s="9" t="str">
        <f>IF(Data!B728="","",IF(ISNUMBER(Data!D728),IF(AND(Data!D728&gt;999999999,Data!D728&lt;=9999999999),IF(COUNTIFS(Data!D$1:'Data'!D728,Data!D728)&lt;=1,0,1),1),1))</f>
        <v/>
      </c>
      <c r="E728" s="9" t="str">
        <f>IF(Data!B728="","",IF(ISNUMBER(MATCH(Data!E728,Data_Val!$A$2:$A$3,0)),0,1))</f>
        <v/>
      </c>
      <c r="F728" s="9" t="str">
        <f ca="1">IF(Data!B728="","",IF(ISNUMBER(Data!F728),IF(AND(Data!F728&gt;(TODAY()-(Data_Val!$H$3*365.25)),Data!F728&lt;=(TODAY()-(Data_Val!$H$2*365.25))),0,1),1))</f>
        <v/>
      </c>
      <c r="G728" s="15" t="str">
        <f>IF(Data!B728="","",IF(AND(Data!G728="",Data!H728&lt;&gt;""),1,IF(Data!#REF!&lt;&gt;"",0,IF(ISNUMBER(MATCH(Data!G728,Data_Val!$C$2:$C$5,0)),0,1))))</f>
        <v/>
      </c>
      <c r="H728" s="15" t="str">
        <f>IF(Data!B728="","",IF(AND(Data!G728&lt;&gt;"",Data!H728=""),1,IF(Data!#REF!&lt;&gt;"",0,IF(Data!G728="",1,IF(ISNUMBER(MATCH(Data!H728,Data_Val!$D$2:$D$35,0)),0,1)))))</f>
        <v/>
      </c>
      <c r="I728" s="15" t="str">
        <f>IF(Data!B728="","",IF(Data!G728&lt;&gt;"",0,IF(ISNUMBER(MATCH(Data!#REF!,Data_Val!$E$2:$E$12,0)),0,1)))</f>
        <v/>
      </c>
      <c r="J728" s="16" t="e">
        <f>IF(OR(Data!B728="",Data!#REF!=""),"",IF(Data!#REF!="",1,0))</f>
        <v>#REF!</v>
      </c>
      <c r="K728" s="16" t="e">
        <f>IF(OR(Data!B728="",Data!#REF!=""),"",IF(Data!#REF!="",1,0))</f>
        <v>#REF!</v>
      </c>
      <c r="L728" s="16" t="e">
        <f>IF(OR(Data!B728="",Data!#REF!=""),"",IF(ISNUMBER(Data!#REF!),IF(AND(Data!#REF!&gt;Data_Val!$G$2,Data!#REF!&lt;=Data_Val!$G$3),0,1),1))</f>
        <v>#REF!</v>
      </c>
      <c r="M728" s="9" t="e">
        <f>IF(OR(Data!B728="",Data!#REF!=""),"",IF(ISNUMBER(MATCH(Data!#REF!,Data_Val!$F$1:$F$38,0)),0,1))</f>
        <v>#REF!</v>
      </c>
      <c r="N728" s="9" t="e">
        <f>IF(OR(Data!B728="",Data!#REF!=""),"",IF(Data!#REF!="",1,0))</f>
        <v>#REF!</v>
      </c>
      <c r="O728" s="17" t="e">
        <f>IF(Data!#REF!="","",IF(Data!#REF!="",1,0))</f>
        <v>#REF!</v>
      </c>
      <c r="P728" s="17" t="e">
        <f>IF(Data!#REF!="","",IF(ISNUMBER(MATCH(Data!#REF!,Data_Val!$A$2:$A$3,0)),0,1))</f>
        <v>#REF!</v>
      </c>
      <c r="Q728" s="25" t="e">
        <f ca="1">IF(Data!#REF!="","",IF(ISNUMBER(Data!#REF!),IF(AND(Data!#REF!&gt;(TODAY()-(Data_Val!$J$3*365.25)),Data!#REF!&lt;=(TODAY()-(Data_Val!$J$2*365.25))),0,1),1))</f>
        <v>#REF!</v>
      </c>
      <c r="R728" s="17" t="e">
        <f>IF(Data!#REF!="","",IF(ISNUMBER(MATCH(Data!#REF!,Data_Val!$B$2:$B$15,0)),0,1))</f>
        <v>#REF!</v>
      </c>
      <c r="S728" s="11" t="str">
        <f>IF(Data!G728="","",IF(Data!G728=Data_Val!$C$2,IF(Data!M728="",0,1),0))</f>
        <v/>
      </c>
      <c r="T728" s="11" t="str">
        <f>IF(Data!M728="","",IF(ISNUMBER(MATCH(Data!N728,Data_Val!$A$2:$A$3,0)),0,1))</f>
        <v/>
      </c>
      <c r="U728" s="11" t="str">
        <f ca="1">IF(Data!M728="","",IF(ISNUMBER(Data!O728),IF(AND(Data!O728&gt;(TODAY()-(Data_Val!$K$3*365.25)),Data!O728&lt;=(TODAY()-(Data_Val!$K$2*365.25))),0,1),1))</f>
        <v/>
      </c>
      <c r="V728" s="12" t="str">
        <f>IF(Data!G728="","",IF(Data!G728=Data_Val!$C$2,IF(Data!P728="",0,1),0))</f>
        <v/>
      </c>
      <c r="W728" s="12" t="str">
        <f>IF(Data!P728="","",IF(ISNUMBER(MATCH(Data!Q728,Data_Val!$A$2:$A$3,0)),0,1))</f>
        <v/>
      </c>
      <c r="X728" s="26" t="str">
        <f ca="1">IF(Data!P728="","",IF(ISNUMBER(Data!R728),IF(AND(Data!R728&gt;(TODAY()-(Data_Val!$L$3*365.25)),Data!R728&lt;=(TODAY()-(Data_Val!$L$2*365.25))),0,1),1))</f>
        <v/>
      </c>
      <c r="Y728" s="13" t="str">
        <f>IF(Data!$G728="","",IF(Data!$G728=Data_Val!$C$2,IF(Data!S728="",0,1),0))</f>
        <v/>
      </c>
      <c r="Z728" s="13" t="str">
        <f>IF(Data!S728="","",IF(ISNUMBER(MATCH(Data!T728,Data_Val!$A$2:$A$3,0)),0,1))</f>
        <v/>
      </c>
      <c r="AA728" s="28" t="str">
        <f ca="1">IF(Data!S728="","",IF(ISNUMBER(Data!U728),IF(AND(Data!U728&gt;(TODAY()-(Data_Val!$L$3*365.25)),Data!U728&lt;=(TODAY()-(Data_Val!$L$2*365.25))),0,1),1))</f>
        <v/>
      </c>
      <c r="AB728" s="11"/>
      <c r="AC728" s="11" t="e">
        <f>IF(Data!#REF!="","",IF(ISNUMBER(MATCH(Data!#REF!,Data_Val!$A$2:$A$3,0)),0,1))</f>
        <v>#REF!</v>
      </c>
      <c r="AD728" s="11" t="e">
        <f ca="1">IF(Data!#REF!="","",IF(ISNUMBER(Data!#REF!),IF(AND(Data!#REF!&gt;(TODAY()-(Data_Val!$L$3*365.25)),Data!#REF!&lt;=(TODAY()-(Data_Val!$L$2*365.25))),0,1),1))</f>
        <v>#REF!</v>
      </c>
      <c r="AE728" s="11" t="e">
        <f>IF(Data!#REF!="","",IF(Data!$G728="",1,IF(ISNUMBER(MATCH(Data!#REF!,Data_Val!$D$2:$D$10,0)),0,1)))</f>
        <v>#REF!</v>
      </c>
      <c r="AF728" s="12"/>
      <c r="AG728" s="12" t="e">
        <f>IF(Data!#REF!="","",IF(ISNUMBER(MATCH(Data!#REF!,Data_Val!$A$2:$A$3,0)),0,1))</f>
        <v>#REF!</v>
      </c>
      <c r="AH728" s="26" t="e">
        <f ca="1">IF(Data!#REF!="","",IF(ISNUMBER(Data!#REF!),IF(AND(Data!#REF!&gt;(TODAY()-(Data_Val!$L$3*365.25)),Data!#REF!&lt;=(TODAY()-(Data_Val!$L$2*365.25))),0,1),1))</f>
        <v>#REF!</v>
      </c>
      <c r="AI728" s="12" t="e">
        <f>IF(Data!#REF!="","",IF(Data!$G728="",1,IF(ISNUMBER(MATCH(Data!#REF!,Data_Val!$D$2:$D$10,0)),0,1)))</f>
        <v>#REF!</v>
      </c>
      <c r="AJ728" s="17"/>
      <c r="AK728" s="17" t="e">
        <f>IF(Data!#REF!="","",IF(ISNUMBER(MATCH(Data!#REF!,Data_Val!$A$2:$A$3,0)),0,1))</f>
        <v>#REF!</v>
      </c>
      <c r="AL728" s="25" t="e">
        <f ca="1">IF(Data!#REF!="","",IF(ISNUMBER(Data!#REF!),IF(AND(Data!#REF!&gt;(TODAY()-(Data_Val!$L$3*365.25)),Data!#REF!&lt;=(TODAY()-(Data_Val!$L$2*365.25))),0,1),1))</f>
        <v>#REF!</v>
      </c>
      <c r="AM728" s="17" t="e">
        <f>IF(Data!#REF!="","",IF(Data!$G728="",1,IF(ISNUMBER(MATCH(Data!#REF!,Data_Val!$D$2:$D$10,0)),0,1)))</f>
        <v>#REF!</v>
      </c>
      <c r="AN728" s="13"/>
      <c r="AO728" s="28" t="e">
        <f ca="1">IF(Data!#REF!="","",IF(ISNUMBER(Data!#REF!),IF(AND(Data!#REF!&gt;(TODAY()-(Data_Val!$I$3*365.25)),Data!#REF!&lt;=(TODAY()-(Data_Val!$I$2*365.25))),0,1),1))</f>
        <v>#REF!</v>
      </c>
      <c r="AP728" s="13" t="e">
        <f>IF(Data!#REF!="","",IF(Data!$G728="",1,IF(ISNUMBER(MATCH(Data!#REF!,Data_Val!$D$2:$D$10,0)),0,1)))</f>
        <v>#REF!</v>
      </c>
      <c r="AQ728" s="17"/>
      <c r="AR728" s="30" t="e">
        <f ca="1">IF(Data!#REF!="","",IF(ISNUMBER(Data!#REF!),IF(AND(Data!#REF!&gt;(TODAY()-(Data_Val!$I$3*365.25)),Data!#REF!&lt;=(TODAY()-(Data_Val!$I$2*365.25))),0,1),1))</f>
        <v>#REF!</v>
      </c>
      <c r="AS728" s="31" t="e">
        <f>IF(Data!#REF!="","",IF(Data!$G728="",1,IF(ISNUMBER(MATCH(Data!#REF!,Data_Val!$D$2:$D$10,0)),0,1)))</f>
        <v>#REF!</v>
      </c>
      <c r="AT728" s="11"/>
      <c r="AU728" s="11" t="e">
        <f ca="1">IF(Data!#REF!="","",IF(ISNUMBER(Data!#REF!),IF(AND(Data!#REF!&gt;(TODAY()-(Data_Val!$I$3*365.25)),Data!#REF!&lt;=(TODAY()-(Data_Val!$I$2*365.25))),0,1),1))</f>
        <v>#REF!</v>
      </c>
      <c r="AV728" s="11" t="e">
        <f>IF(Data!#REF!="","",IF(Data!$G728="",1,IF(ISNUMBER(MATCH(Data!#REF!,Data_Val!$D$2:$D$10,0)),0,1)))</f>
        <v>#REF!</v>
      </c>
      <c r="AW728" s="12"/>
      <c r="AX728" s="26" t="e">
        <f ca="1">IF(Data!#REF!="","",IF(ISNUMBER(Data!#REF!),IF(AND(Data!#REF!&gt;(TODAY()-(Data_Val!$I$3*365.25)),Data!#REF!&lt;=(TODAY()-(Data_Val!$I$2*365.25))),0,1),1))</f>
        <v>#REF!</v>
      </c>
      <c r="AY728" s="12" t="e">
        <f>IF(Data!#REF!="","",IF(Data!$G728="",1,IF(ISNUMBER(MATCH(Data!#REF!,Data_Val!$D$2:$D$10,0)),0,1)))</f>
        <v>#REF!</v>
      </c>
      <c r="AZ728" s="11"/>
      <c r="BA728" s="19" t="e">
        <f ca="1">IF(Data!#REF!="","",IF(ISNUMBER(Data!#REF!),IF(AND(Data!#REF!&gt;(TODAY()-(Data_Val!$M$3*365.25)),Data!#REF!&lt;=(TODAY()-(Data_Val!$M$2*365.25))),0,1),1))</f>
        <v>#REF!</v>
      </c>
      <c r="BB728" s="11" t="e">
        <f>IF(Data!#REF!="","",IF(Data!$G728="",1,IF(ISNUMBER(MATCH(Data!#REF!,Data_Val!$D$2:$D$10,0)),0,1)))</f>
        <v>#REF!</v>
      </c>
      <c r="BC728" s="12"/>
      <c r="BD728" s="20" t="e">
        <f ca="1">IF(Data!#REF!="","",IF(ISNUMBER(Data!#REF!),IF(AND(Data!#REF!&gt;(TODAY()-(Data_Val!$M$3*365.25)),Data!#REF!&lt;=(TODAY()-(Data_Val!$M$2*365.25))),0,1),1))</f>
        <v>#REF!</v>
      </c>
      <c r="BE728" s="12" t="e">
        <f>IF(Data!#REF!="","",IF(Data!$G728="",1,IF(ISNUMBER(MATCH(Data!#REF!,Data_Val!$D$2:$D$10,0)),0,1)))</f>
        <v>#REF!</v>
      </c>
      <c r="BF728" s="17"/>
      <c r="BG728" s="18" t="e">
        <f ca="1">IF(Data!#REF!="","",IF(ISNUMBER(Data!#REF!),IF(AND(Data!#REF!&gt;(TODAY()-(Data_Val!$M$3*365.25)),Data!#REF!&lt;=(TODAY()-(Data_Val!$M$2*365.25))),0,1),1))</f>
        <v>#REF!</v>
      </c>
      <c r="BH728" s="29" t="e">
        <f>IF(Data!#REF!="","",IF(Data!$G728="",1,IF(ISNUMBER(MATCH(Data!#REF!,Data_Val!$D$2:$D$10,0)),0,1)))</f>
        <v>#REF!</v>
      </c>
      <c r="BI728" s="13"/>
      <c r="BJ728" s="21" t="e">
        <f ca="1">IF(Data!#REF!="","",IF(ISNUMBER(Data!#REF!),IF(AND(Data!#REF!&gt;(TODAY()-(Data_Val!$M$3*365.25)),Data!#REF!&lt;=(TODAY()-(Data_Val!$M$2*365.25))),0,1),1))</f>
        <v>#REF!</v>
      </c>
      <c r="BK728" s="13" t="e">
        <f>IF(Data!#REF!="","",IF(Data!$G728="",1,IF(ISNUMBER(MATCH(Data!#REF!,Data_Val!$D$2:$D$10,0)),0,1)))</f>
        <v>#REF!</v>
      </c>
    </row>
    <row r="729" spans="1:63" x14ac:dyDescent="0.25">
      <c r="A729" s="9" t="str">
        <f>IF(Data!B729="","",IF(COUNTIFS(Data!A$1:'Data'!A729,Data!A729)&lt;=1,0,1))</f>
        <v/>
      </c>
      <c r="B729" s="9"/>
      <c r="C729" s="23" t="str">
        <f>IF(Data!C729="","",(IF(ISNUMBER(MATCH("*@*.?*",Data!C729,0)),0,1)+IF(COUNTIFS(Data!C$1:'Data'!C729,Data!C729)&gt;1,1,0)))</f>
        <v/>
      </c>
      <c r="D729" s="9" t="str">
        <f>IF(Data!B729="","",IF(ISNUMBER(Data!D729),IF(AND(Data!D729&gt;999999999,Data!D729&lt;=9999999999),IF(COUNTIFS(Data!D$1:'Data'!D729,Data!D729)&lt;=1,0,1),1),1))</f>
        <v/>
      </c>
      <c r="E729" s="9" t="str">
        <f>IF(Data!B729="","",IF(ISNUMBER(MATCH(Data!E729,Data_Val!$A$2:$A$3,0)),0,1))</f>
        <v/>
      </c>
      <c r="F729" s="9" t="str">
        <f ca="1">IF(Data!B729="","",IF(ISNUMBER(Data!F729),IF(AND(Data!F729&gt;(TODAY()-(Data_Val!$H$3*365.25)),Data!F729&lt;=(TODAY()-(Data_Val!$H$2*365.25))),0,1),1))</f>
        <v/>
      </c>
      <c r="G729" s="15" t="str">
        <f>IF(Data!B729="","",IF(AND(Data!G729="",Data!H729&lt;&gt;""),1,IF(Data!#REF!&lt;&gt;"",0,IF(ISNUMBER(MATCH(Data!G729,Data_Val!$C$2:$C$5,0)),0,1))))</f>
        <v/>
      </c>
      <c r="H729" s="15" t="str">
        <f>IF(Data!B729="","",IF(AND(Data!G729&lt;&gt;"",Data!H729=""),1,IF(Data!#REF!&lt;&gt;"",0,IF(Data!G729="",1,IF(ISNUMBER(MATCH(Data!H729,Data_Val!$D$2:$D$35,0)),0,1)))))</f>
        <v/>
      </c>
      <c r="I729" s="15" t="str">
        <f>IF(Data!B729="","",IF(Data!G729&lt;&gt;"",0,IF(ISNUMBER(MATCH(Data!#REF!,Data_Val!$E$2:$E$12,0)),0,1)))</f>
        <v/>
      </c>
      <c r="J729" s="16" t="e">
        <f>IF(OR(Data!B729="",Data!#REF!=""),"",IF(Data!#REF!="",1,0))</f>
        <v>#REF!</v>
      </c>
      <c r="K729" s="16" t="e">
        <f>IF(OR(Data!B729="",Data!#REF!=""),"",IF(Data!#REF!="",1,0))</f>
        <v>#REF!</v>
      </c>
      <c r="L729" s="16" t="e">
        <f>IF(OR(Data!B729="",Data!#REF!=""),"",IF(ISNUMBER(Data!#REF!),IF(AND(Data!#REF!&gt;Data_Val!$G$2,Data!#REF!&lt;=Data_Val!$G$3),0,1),1))</f>
        <v>#REF!</v>
      </c>
      <c r="M729" s="9" t="e">
        <f>IF(OR(Data!B729="",Data!#REF!=""),"",IF(ISNUMBER(MATCH(Data!#REF!,Data_Val!$F$1:$F$38,0)),0,1))</f>
        <v>#REF!</v>
      </c>
      <c r="N729" s="9" t="e">
        <f>IF(OR(Data!B729="",Data!#REF!=""),"",IF(Data!#REF!="",1,0))</f>
        <v>#REF!</v>
      </c>
      <c r="O729" s="17" t="e">
        <f>IF(Data!#REF!="","",IF(Data!#REF!="",1,0))</f>
        <v>#REF!</v>
      </c>
      <c r="P729" s="17" t="e">
        <f>IF(Data!#REF!="","",IF(ISNUMBER(MATCH(Data!#REF!,Data_Val!$A$2:$A$3,0)),0,1))</f>
        <v>#REF!</v>
      </c>
      <c r="Q729" s="25" t="e">
        <f ca="1">IF(Data!#REF!="","",IF(ISNUMBER(Data!#REF!),IF(AND(Data!#REF!&gt;(TODAY()-(Data_Val!$J$3*365.25)),Data!#REF!&lt;=(TODAY()-(Data_Val!$J$2*365.25))),0,1),1))</f>
        <v>#REF!</v>
      </c>
      <c r="R729" s="17" t="e">
        <f>IF(Data!#REF!="","",IF(ISNUMBER(MATCH(Data!#REF!,Data_Val!$B$2:$B$15,0)),0,1))</f>
        <v>#REF!</v>
      </c>
      <c r="S729" s="11" t="str">
        <f>IF(Data!G729="","",IF(Data!G729=Data_Val!$C$2,IF(Data!M729="",0,1),0))</f>
        <v/>
      </c>
      <c r="T729" s="11" t="str">
        <f>IF(Data!M729="","",IF(ISNUMBER(MATCH(Data!N729,Data_Val!$A$2:$A$3,0)),0,1))</f>
        <v/>
      </c>
      <c r="U729" s="11" t="str">
        <f ca="1">IF(Data!M729="","",IF(ISNUMBER(Data!O729),IF(AND(Data!O729&gt;(TODAY()-(Data_Val!$K$3*365.25)),Data!O729&lt;=(TODAY()-(Data_Val!$K$2*365.25))),0,1),1))</f>
        <v/>
      </c>
      <c r="V729" s="12" t="str">
        <f>IF(Data!G729="","",IF(Data!G729=Data_Val!$C$2,IF(Data!P729="",0,1),0))</f>
        <v/>
      </c>
      <c r="W729" s="12" t="str">
        <f>IF(Data!P729="","",IF(ISNUMBER(MATCH(Data!Q729,Data_Val!$A$2:$A$3,0)),0,1))</f>
        <v/>
      </c>
      <c r="X729" s="26" t="str">
        <f ca="1">IF(Data!P729="","",IF(ISNUMBER(Data!R729),IF(AND(Data!R729&gt;(TODAY()-(Data_Val!$L$3*365.25)),Data!R729&lt;=(TODAY()-(Data_Val!$L$2*365.25))),0,1),1))</f>
        <v/>
      </c>
      <c r="Y729" s="13" t="str">
        <f>IF(Data!$G729="","",IF(Data!$G729=Data_Val!$C$2,IF(Data!S729="",0,1),0))</f>
        <v/>
      </c>
      <c r="Z729" s="13" t="str">
        <f>IF(Data!S729="","",IF(ISNUMBER(MATCH(Data!T729,Data_Val!$A$2:$A$3,0)),0,1))</f>
        <v/>
      </c>
      <c r="AA729" s="28" t="str">
        <f ca="1">IF(Data!S729="","",IF(ISNUMBER(Data!U729),IF(AND(Data!U729&gt;(TODAY()-(Data_Val!$L$3*365.25)),Data!U729&lt;=(TODAY()-(Data_Val!$L$2*365.25))),0,1),1))</f>
        <v/>
      </c>
      <c r="AB729" s="11"/>
      <c r="AC729" s="11" t="e">
        <f>IF(Data!#REF!="","",IF(ISNUMBER(MATCH(Data!#REF!,Data_Val!$A$2:$A$3,0)),0,1))</f>
        <v>#REF!</v>
      </c>
      <c r="AD729" s="11" t="e">
        <f ca="1">IF(Data!#REF!="","",IF(ISNUMBER(Data!#REF!),IF(AND(Data!#REF!&gt;(TODAY()-(Data_Val!$L$3*365.25)),Data!#REF!&lt;=(TODAY()-(Data_Val!$L$2*365.25))),0,1),1))</f>
        <v>#REF!</v>
      </c>
      <c r="AE729" s="11" t="e">
        <f>IF(Data!#REF!="","",IF(Data!$G729="",1,IF(ISNUMBER(MATCH(Data!#REF!,Data_Val!$D$2:$D$10,0)),0,1)))</f>
        <v>#REF!</v>
      </c>
      <c r="AF729" s="12"/>
      <c r="AG729" s="12" t="e">
        <f>IF(Data!#REF!="","",IF(ISNUMBER(MATCH(Data!#REF!,Data_Val!$A$2:$A$3,0)),0,1))</f>
        <v>#REF!</v>
      </c>
      <c r="AH729" s="26" t="e">
        <f ca="1">IF(Data!#REF!="","",IF(ISNUMBER(Data!#REF!),IF(AND(Data!#REF!&gt;(TODAY()-(Data_Val!$L$3*365.25)),Data!#REF!&lt;=(TODAY()-(Data_Val!$L$2*365.25))),0,1),1))</f>
        <v>#REF!</v>
      </c>
      <c r="AI729" s="12" t="e">
        <f>IF(Data!#REF!="","",IF(Data!$G729="",1,IF(ISNUMBER(MATCH(Data!#REF!,Data_Val!$D$2:$D$10,0)),0,1)))</f>
        <v>#REF!</v>
      </c>
      <c r="AJ729" s="17"/>
      <c r="AK729" s="17" t="e">
        <f>IF(Data!#REF!="","",IF(ISNUMBER(MATCH(Data!#REF!,Data_Val!$A$2:$A$3,0)),0,1))</f>
        <v>#REF!</v>
      </c>
      <c r="AL729" s="25" t="e">
        <f ca="1">IF(Data!#REF!="","",IF(ISNUMBER(Data!#REF!),IF(AND(Data!#REF!&gt;(TODAY()-(Data_Val!$L$3*365.25)),Data!#REF!&lt;=(TODAY()-(Data_Val!$L$2*365.25))),0,1),1))</f>
        <v>#REF!</v>
      </c>
      <c r="AM729" s="17" t="e">
        <f>IF(Data!#REF!="","",IF(Data!$G729="",1,IF(ISNUMBER(MATCH(Data!#REF!,Data_Val!$D$2:$D$10,0)),0,1)))</f>
        <v>#REF!</v>
      </c>
      <c r="AN729" s="13"/>
      <c r="AO729" s="28" t="e">
        <f ca="1">IF(Data!#REF!="","",IF(ISNUMBER(Data!#REF!),IF(AND(Data!#REF!&gt;(TODAY()-(Data_Val!$I$3*365.25)),Data!#REF!&lt;=(TODAY()-(Data_Val!$I$2*365.25))),0,1),1))</f>
        <v>#REF!</v>
      </c>
      <c r="AP729" s="13" t="e">
        <f>IF(Data!#REF!="","",IF(Data!$G729="",1,IF(ISNUMBER(MATCH(Data!#REF!,Data_Val!$D$2:$D$10,0)),0,1)))</f>
        <v>#REF!</v>
      </c>
      <c r="AQ729" s="17"/>
      <c r="AR729" s="30" t="e">
        <f ca="1">IF(Data!#REF!="","",IF(ISNUMBER(Data!#REF!),IF(AND(Data!#REF!&gt;(TODAY()-(Data_Val!$I$3*365.25)),Data!#REF!&lt;=(TODAY()-(Data_Val!$I$2*365.25))),0,1),1))</f>
        <v>#REF!</v>
      </c>
      <c r="AS729" s="31" t="e">
        <f>IF(Data!#REF!="","",IF(Data!$G729="",1,IF(ISNUMBER(MATCH(Data!#REF!,Data_Val!$D$2:$D$10,0)),0,1)))</f>
        <v>#REF!</v>
      </c>
      <c r="AT729" s="11"/>
      <c r="AU729" s="11" t="e">
        <f ca="1">IF(Data!#REF!="","",IF(ISNUMBER(Data!#REF!),IF(AND(Data!#REF!&gt;(TODAY()-(Data_Val!$I$3*365.25)),Data!#REF!&lt;=(TODAY()-(Data_Val!$I$2*365.25))),0,1),1))</f>
        <v>#REF!</v>
      </c>
      <c r="AV729" s="11" t="e">
        <f>IF(Data!#REF!="","",IF(Data!$G729="",1,IF(ISNUMBER(MATCH(Data!#REF!,Data_Val!$D$2:$D$10,0)),0,1)))</f>
        <v>#REF!</v>
      </c>
      <c r="AW729" s="12"/>
      <c r="AX729" s="26" t="e">
        <f ca="1">IF(Data!#REF!="","",IF(ISNUMBER(Data!#REF!),IF(AND(Data!#REF!&gt;(TODAY()-(Data_Val!$I$3*365.25)),Data!#REF!&lt;=(TODAY()-(Data_Val!$I$2*365.25))),0,1),1))</f>
        <v>#REF!</v>
      </c>
      <c r="AY729" s="12" t="e">
        <f>IF(Data!#REF!="","",IF(Data!$G729="",1,IF(ISNUMBER(MATCH(Data!#REF!,Data_Val!$D$2:$D$10,0)),0,1)))</f>
        <v>#REF!</v>
      </c>
      <c r="AZ729" s="11"/>
      <c r="BA729" s="19" t="e">
        <f ca="1">IF(Data!#REF!="","",IF(ISNUMBER(Data!#REF!),IF(AND(Data!#REF!&gt;(TODAY()-(Data_Val!$M$3*365.25)),Data!#REF!&lt;=(TODAY()-(Data_Val!$M$2*365.25))),0,1),1))</f>
        <v>#REF!</v>
      </c>
      <c r="BB729" s="11" t="e">
        <f>IF(Data!#REF!="","",IF(Data!$G729="",1,IF(ISNUMBER(MATCH(Data!#REF!,Data_Val!$D$2:$D$10,0)),0,1)))</f>
        <v>#REF!</v>
      </c>
      <c r="BC729" s="12"/>
      <c r="BD729" s="20" t="e">
        <f ca="1">IF(Data!#REF!="","",IF(ISNUMBER(Data!#REF!),IF(AND(Data!#REF!&gt;(TODAY()-(Data_Val!$M$3*365.25)),Data!#REF!&lt;=(TODAY()-(Data_Val!$M$2*365.25))),0,1),1))</f>
        <v>#REF!</v>
      </c>
      <c r="BE729" s="12" t="e">
        <f>IF(Data!#REF!="","",IF(Data!$G729="",1,IF(ISNUMBER(MATCH(Data!#REF!,Data_Val!$D$2:$D$10,0)),0,1)))</f>
        <v>#REF!</v>
      </c>
      <c r="BF729" s="17"/>
      <c r="BG729" s="18" t="e">
        <f ca="1">IF(Data!#REF!="","",IF(ISNUMBER(Data!#REF!),IF(AND(Data!#REF!&gt;(TODAY()-(Data_Val!$M$3*365.25)),Data!#REF!&lt;=(TODAY()-(Data_Val!$M$2*365.25))),0,1),1))</f>
        <v>#REF!</v>
      </c>
      <c r="BH729" s="29" t="e">
        <f>IF(Data!#REF!="","",IF(Data!$G729="",1,IF(ISNUMBER(MATCH(Data!#REF!,Data_Val!$D$2:$D$10,0)),0,1)))</f>
        <v>#REF!</v>
      </c>
      <c r="BI729" s="13"/>
      <c r="BJ729" s="21" t="e">
        <f ca="1">IF(Data!#REF!="","",IF(ISNUMBER(Data!#REF!),IF(AND(Data!#REF!&gt;(TODAY()-(Data_Val!$M$3*365.25)),Data!#REF!&lt;=(TODAY()-(Data_Val!$M$2*365.25))),0,1),1))</f>
        <v>#REF!</v>
      </c>
      <c r="BK729" s="13" t="e">
        <f>IF(Data!#REF!="","",IF(Data!$G729="",1,IF(ISNUMBER(MATCH(Data!#REF!,Data_Val!$D$2:$D$10,0)),0,1)))</f>
        <v>#REF!</v>
      </c>
    </row>
    <row r="730" spans="1:63" x14ac:dyDescent="0.25">
      <c r="A730" s="9" t="str">
        <f>IF(Data!B730="","",IF(COUNTIFS(Data!A$1:'Data'!A730,Data!A730)&lt;=1,0,1))</f>
        <v/>
      </c>
      <c r="B730" s="9"/>
      <c r="C730" s="23" t="str">
        <f>IF(Data!C730="","",(IF(ISNUMBER(MATCH("*@*.?*",Data!C730,0)),0,1)+IF(COUNTIFS(Data!C$1:'Data'!C730,Data!C730)&gt;1,1,0)))</f>
        <v/>
      </c>
      <c r="D730" s="9" t="str">
        <f>IF(Data!B730="","",IF(ISNUMBER(Data!D730),IF(AND(Data!D730&gt;999999999,Data!D730&lt;=9999999999),IF(COUNTIFS(Data!D$1:'Data'!D730,Data!D730)&lt;=1,0,1),1),1))</f>
        <v/>
      </c>
      <c r="E730" s="9" t="str">
        <f>IF(Data!B730="","",IF(ISNUMBER(MATCH(Data!E730,Data_Val!$A$2:$A$3,0)),0,1))</f>
        <v/>
      </c>
      <c r="F730" s="9" t="str">
        <f ca="1">IF(Data!B730="","",IF(ISNUMBER(Data!F730),IF(AND(Data!F730&gt;(TODAY()-(Data_Val!$H$3*365.25)),Data!F730&lt;=(TODAY()-(Data_Val!$H$2*365.25))),0,1),1))</f>
        <v/>
      </c>
      <c r="G730" s="15" t="str">
        <f>IF(Data!B730="","",IF(AND(Data!G730="",Data!H730&lt;&gt;""),1,IF(Data!#REF!&lt;&gt;"",0,IF(ISNUMBER(MATCH(Data!G730,Data_Val!$C$2:$C$5,0)),0,1))))</f>
        <v/>
      </c>
      <c r="H730" s="15" t="str">
        <f>IF(Data!B730="","",IF(AND(Data!G730&lt;&gt;"",Data!H730=""),1,IF(Data!#REF!&lt;&gt;"",0,IF(Data!G730="",1,IF(ISNUMBER(MATCH(Data!H730,Data_Val!$D$2:$D$35,0)),0,1)))))</f>
        <v/>
      </c>
      <c r="I730" s="15" t="str">
        <f>IF(Data!B730="","",IF(Data!G730&lt;&gt;"",0,IF(ISNUMBER(MATCH(Data!#REF!,Data_Val!$E$2:$E$12,0)),0,1)))</f>
        <v/>
      </c>
      <c r="J730" s="16" t="e">
        <f>IF(OR(Data!B730="",Data!#REF!=""),"",IF(Data!#REF!="",1,0))</f>
        <v>#REF!</v>
      </c>
      <c r="K730" s="16" t="e">
        <f>IF(OR(Data!B730="",Data!#REF!=""),"",IF(Data!#REF!="",1,0))</f>
        <v>#REF!</v>
      </c>
      <c r="L730" s="16" t="e">
        <f>IF(OR(Data!B730="",Data!#REF!=""),"",IF(ISNUMBER(Data!#REF!),IF(AND(Data!#REF!&gt;Data_Val!$G$2,Data!#REF!&lt;=Data_Val!$G$3),0,1),1))</f>
        <v>#REF!</v>
      </c>
      <c r="M730" s="9" t="e">
        <f>IF(OR(Data!B730="",Data!#REF!=""),"",IF(ISNUMBER(MATCH(Data!#REF!,Data_Val!$F$1:$F$38,0)),0,1))</f>
        <v>#REF!</v>
      </c>
      <c r="N730" s="9" t="e">
        <f>IF(OR(Data!B730="",Data!#REF!=""),"",IF(Data!#REF!="",1,0))</f>
        <v>#REF!</v>
      </c>
      <c r="O730" s="17" t="e">
        <f>IF(Data!#REF!="","",IF(Data!#REF!="",1,0))</f>
        <v>#REF!</v>
      </c>
      <c r="P730" s="17" t="e">
        <f>IF(Data!#REF!="","",IF(ISNUMBER(MATCH(Data!#REF!,Data_Val!$A$2:$A$3,0)),0,1))</f>
        <v>#REF!</v>
      </c>
      <c r="Q730" s="25" t="e">
        <f ca="1">IF(Data!#REF!="","",IF(ISNUMBER(Data!#REF!),IF(AND(Data!#REF!&gt;(TODAY()-(Data_Val!$J$3*365.25)),Data!#REF!&lt;=(TODAY()-(Data_Val!$J$2*365.25))),0,1),1))</f>
        <v>#REF!</v>
      </c>
      <c r="R730" s="17" t="e">
        <f>IF(Data!#REF!="","",IF(ISNUMBER(MATCH(Data!#REF!,Data_Val!$B$2:$B$15,0)),0,1))</f>
        <v>#REF!</v>
      </c>
      <c r="S730" s="11" t="str">
        <f>IF(Data!G730="","",IF(Data!G730=Data_Val!$C$2,IF(Data!M730="",0,1),0))</f>
        <v/>
      </c>
      <c r="T730" s="11" t="str">
        <f>IF(Data!M730="","",IF(ISNUMBER(MATCH(Data!N730,Data_Val!$A$2:$A$3,0)),0,1))</f>
        <v/>
      </c>
      <c r="U730" s="11" t="str">
        <f ca="1">IF(Data!M730="","",IF(ISNUMBER(Data!O730),IF(AND(Data!O730&gt;(TODAY()-(Data_Val!$K$3*365.25)),Data!O730&lt;=(TODAY()-(Data_Val!$K$2*365.25))),0,1),1))</f>
        <v/>
      </c>
      <c r="V730" s="12" t="str">
        <f>IF(Data!G730="","",IF(Data!G730=Data_Val!$C$2,IF(Data!P730="",0,1),0))</f>
        <v/>
      </c>
      <c r="W730" s="12" t="str">
        <f>IF(Data!P730="","",IF(ISNUMBER(MATCH(Data!Q730,Data_Val!$A$2:$A$3,0)),0,1))</f>
        <v/>
      </c>
      <c r="X730" s="26" t="str">
        <f ca="1">IF(Data!P730="","",IF(ISNUMBER(Data!R730),IF(AND(Data!R730&gt;(TODAY()-(Data_Val!$L$3*365.25)),Data!R730&lt;=(TODAY()-(Data_Val!$L$2*365.25))),0,1),1))</f>
        <v/>
      </c>
      <c r="Y730" s="13" t="str">
        <f>IF(Data!$G730="","",IF(Data!$G730=Data_Val!$C$2,IF(Data!S730="",0,1),0))</f>
        <v/>
      </c>
      <c r="Z730" s="13" t="str">
        <f>IF(Data!S730="","",IF(ISNUMBER(MATCH(Data!T730,Data_Val!$A$2:$A$3,0)),0,1))</f>
        <v/>
      </c>
      <c r="AA730" s="28" t="str">
        <f ca="1">IF(Data!S730="","",IF(ISNUMBER(Data!U730),IF(AND(Data!U730&gt;(TODAY()-(Data_Val!$L$3*365.25)),Data!U730&lt;=(TODAY()-(Data_Val!$L$2*365.25))),0,1),1))</f>
        <v/>
      </c>
      <c r="AB730" s="11"/>
      <c r="AC730" s="11" t="e">
        <f>IF(Data!#REF!="","",IF(ISNUMBER(MATCH(Data!#REF!,Data_Val!$A$2:$A$3,0)),0,1))</f>
        <v>#REF!</v>
      </c>
      <c r="AD730" s="11" t="e">
        <f ca="1">IF(Data!#REF!="","",IF(ISNUMBER(Data!#REF!),IF(AND(Data!#REF!&gt;(TODAY()-(Data_Val!$L$3*365.25)),Data!#REF!&lt;=(TODAY()-(Data_Val!$L$2*365.25))),0,1),1))</f>
        <v>#REF!</v>
      </c>
      <c r="AE730" s="11" t="e">
        <f>IF(Data!#REF!="","",IF(Data!$G730="",1,IF(ISNUMBER(MATCH(Data!#REF!,Data_Val!$D$2:$D$10,0)),0,1)))</f>
        <v>#REF!</v>
      </c>
      <c r="AF730" s="12"/>
      <c r="AG730" s="12" t="e">
        <f>IF(Data!#REF!="","",IF(ISNUMBER(MATCH(Data!#REF!,Data_Val!$A$2:$A$3,0)),0,1))</f>
        <v>#REF!</v>
      </c>
      <c r="AH730" s="26" t="e">
        <f ca="1">IF(Data!#REF!="","",IF(ISNUMBER(Data!#REF!),IF(AND(Data!#REF!&gt;(TODAY()-(Data_Val!$L$3*365.25)),Data!#REF!&lt;=(TODAY()-(Data_Val!$L$2*365.25))),0,1),1))</f>
        <v>#REF!</v>
      </c>
      <c r="AI730" s="12" t="e">
        <f>IF(Data!#REF!="","",IF(Data!$G730="",1,IF(ISNUMBER(MATCH(Data!#REF!,Data_Val!$D$2:$D$10,0)),0,1)))</f>
        <v>#REF!</v>
      </c>
      <c r="AJ730" s="17"/>
      <c r="AK730" s="17" t="e">
        <f>IF(Data!#REF!="","",IF(ISNUMBER(MATCH(Data!#REF!,Data_Val!$A$2:$A$3,0)),0,1))</f>
        <v>#REF!</v>
      </c>
      <c r="AL730" s="25" t="e">
        <f ca="1">IF(Data!#REF!="","",IF(ISNUMBER(Data!#REF!),IF(AND(Data!#REF!&gt;(TODAY()-(Data_Val!$L$3*365.25)),Data!#REF!&lt;=(TODAY()-(Data_Val!$L$2*365.25))),0,1),1))</f>
        <v>#REF!</v>
      </c>
      <c r="AM730" s="17" t="e">
        <f>IF(Data!#REF!="","",IF(Data!$G730="",1,IF(ISNUMBER(MATCH(Data!#REF!,Data_Val!$D$2:$D$10,0)),0,1)))</f>
        <v>#REF!</v>
      </c>
      <c r="AN730" s="13"/>
      <c r="AO730" s="28" t="e">
        <f ca="1">IF(Data!#REF!="","",IF(ISNUMBER(Data!#REF!),IF(AND(Data!#REF!&gt;(TODAY()-(Data_Val!$I$3*365.25)),Data!#REF!&lt;=(TODAY()-(Data_Val!$I$2*365.25))),0,1),1))</f>
        <v>#REF!</v>
      </c>
      <c r="AP730" s="13" t="e">
        <f>IF(Data!#REF!="","",IF(Data!$G730="",1,IF(ISNUMBER(MATCH(Data!#REF!,Data_Val!$D$2:$D$10,0)),0,1)))</f>
        <v>#REF!</v>
      </c>
      <c r="AQ730" s="17"/>
      <c r="AR730" s="30" t="e">
        <f ca="1">IF(Data!#REF!="","",IF(ISNUMBER(Data!#REF!),IF(AND(Data!#REF!&gt;(TODAY()-(Data_Val!$I$3*365.25)),Data!#REF!&lt;=(TODAY()-(Data_Val!$I$2*365.25))),0,1),1))</f>
        <v>#REF!</v>
      </c>
      <c r="AS730" s="31" t="e">
        <f>IF(Data!#REF!="","",IF(Data!$G730="",1,IF(ISNUMBER(MATCH(Data!#REF!,Data_Val!$D$2:$D$10,0)),0,1)))</f>
        <v>#REF!</v>
      </c>
      <c r="AT730" s="11"/>
      <c r="AU730" s="11" t="e">
        <f ca="1">IF(Data!#REF!="","",IF(ISNUMBER(Data!#REF!),IF(AND(Data!#REF!&gt;(TODAY()-(Data_Val!$I$3*365.25)),Data!#REF!&lt;=(TODAY()-(Data_Val!$I$2*365.25))),0,1),1))</f>
        <v>#REF!</v>
      </c>
      <c r="AV730" s="11" t="e">
        <f>IF(Data!#REF!="","",IF(Data!$G730="",1,IF(ISNUMBER(MATCH(Data!#REF!,Data_Val!$D$2:$D$10,0)),0,1)))</f>
        <v>#REF!</v>
      </c>
      <c r="AW730" s="12"/>
      <c r="AX730" s="26" t="e">
        <f ca="1">IF(Data!#REF!="","",IF(ISNUMBER(Data!#REF!),IF(AND(Data!#REF!&gt;(TODAY()-(Data_Val!$I$3*365.25)),Data!#REF!&lt;=(TODAY()-(Data_Val!$I$2*365.25))),0,1),1))</f>
        <v>#REF!</v>
      </c>
      <c r="AY730" s="12" t="e">
        <f>IF(Data!#REF!="","",IF(Data!$G730="",1,IF(ISNUMBER(MATCH(Data!#REF!,Data_Val!$D$2:$D$10,0)),0,1)))</f>
        <v>#REF!</v>
      </c>
      <c r="AZ730" s="11"/>
      <c r="BA730" s="19" t="e">
        <f ca="1">IF(Data!#REF!="","",IF(ISNUMBER(Data!#REF!),IF(AND(Data!#REF!&gt;(TODAY()-(Data_Val!$M$3*365.25)),Data!#REF!&lt;=(TODAY()-(Data_Val!$M$2*365.25))),0,1),1))</f>
        <v>#REF!</v>
      </c>
      <c r="BB730" s="11" t="e">
        <f>IF(Data!#REF!="","",IF(Data!$G730="",1,IF(ISNUMBER(MATCH(Data!#REF!,Data_Val!$D$2:$D$10,0)),0,1)))</f>
        <v>#REF!</v>
      </c>
      <c r="BC730" s="12"/>
      <c r="BD730" s="20" t="e">
        <f ca="1">IF(Data!#REF!="","",IF(ISNUMBER(Data!#REF!),IF(AND(Data!#REF!&gt;(TODAY()-(Data_Val!$M$3*365.25)),Data!#REF!&lt;=(TODAY()-(Data_Val!$M$2*365.25))),0,1),1))</f>
        <v>#REF!</v>
      </c>
      <c r="BE730" s="12" t="e">
        <f>IF(Data!#REF!="","",IF(Data!$G730="",1,IF(ISNUMBER(MATCH(Data!#REF!,Data_Val!$D$2:$D$10,0)),0,1)))</f>
        <v>#REF!</v>
      </c>
      <c r="BF730" s="17"/>
      <c r="BG730" s="18" t="e">
        <f ca="1">IF(Data!#REF!="","",IF(ISNUMBER(Data!#REF!),IF(AND(Data!#REF!&gt;(TODAY()-(Data_Val!$M$3*365.25)),Data!#REF!&lt;=(TODAY()-(Data_Val!$M$2*365.25))),0,1),1))</f>
        <v>#REF!</v>
      </c>
      <c r="BH730" s="29" t="e">
        <f>IF(Data!#REF!="","",IF(Data!$G730="",1,IF(ISNUMBER(MATCH(Data!#REF!,Data_Val!$D$2:$D$10,0)),0,1)))</f>
        <v>#REF!</v>
      </c>
      <c r="BI730" s="13"/>
      <c r="BJ730" s="21" t="e">
        <f ca="1">IF(Data!#REF!="","",IF(ISNUMBER(Data!#REF!),IF(AND(Data!#REF!&gt;(TODAY()-(Data_Val!$M$3*365.25)),Data!#REF!&lt;=(TODAY()-(Data_Val!$M$2*365.25))),0,1),1))</f>
        <v>#REF!</v>
      </c>
      <c r="BK730" s="13" t="e">
        <f>IF(Data!#REF!="","",IF(Data!$G730="",1,IF(ISNUMBER(MATCH(Data!#REF!,Data_Val!$D$2:$D$10,0)),0,1)))</f>
        <v>#REF!</v>
      </c>
    </row>
    <row r="731" spans="1:63" x14ac:dyDescent="0.25">
      <c r="A731" s="9" t="str">
        <f>IF(Data!B731="","",IF(COUNTIFS(Data!A$1:'Data'!A731,Data!A731)&lt;=1,0,1))</f>
        <v/>
      </c>
      <c r="B731" s="9"/>
      <c r="C731" s="23" t="str">
        <f>IF(Data!C731="","",(IF(ISNUMBER(MATCH("*@*.?*",Data!C731,0)),0,1)+IF(COUNTIFS(Data!C$1:'Data'!C731,Data!C731)&gt;1,1,0)))</f>
        <v/>
      </c>
      <c r="D731" s="9" t="str">
        <f>IF(Data!B731="","",IF(ISNUMBER(Data!D731),IF(AND(Data!D731&gt;999999999,Data!D731&lt;=9999999999),IF(COUNTIFS(Data!D$1:'Data'!D731,Data!D731)&lt;=1,0,1),1),1))</f>
        <v/>
      </c>
      <c r="E731" s="9" t="str">
        <f>IF(Data!B731="","",IF(ISNUMBER(MATCH(Data!E731,Data_Val!$A$2:$A$3,0)),0,1))</f>
        <v/>
      </c>
      <c r="F731" s="9" t="str">
        <f ca="1">IF(Data!B731="","",IF(ISNUMBER(Data!F731),IF(AND(Data!F731&gt;(TODAY()-(Data_Val!$H$3*365.25)),Data!F731&lt;=(TODAY()-(Data_Val!$H$2*365.25))),0,1),1))</f>
        <v/>
      </c>
      <c r="G731" s="15" t="str">
        <f>IF(Data!B731="","",IF(AND(Data!G731="",Data!H731&lt;&gt;""),1,IF(Data!#REF!&lt;&gt;"",0,IF(ISNUMBER(MATCH(Data!G731,Data_Val!$C$2:$C$5,0)),0,1))))</f>
        <v/>
      </c>
      <c r="H731" s="15" t="str">
        <f>IF(Data!B731="","",IF(AND(Data!G731&lt;&gt;"",Data!H731=""),1,IF(Data!#REF!&lt;&gt;"",0,IF(Data!G731="",1,IF(ISNUMBER(MATCH(Data!H731,Data_Val!$D$2:$D$35,0)),0,1)))))</f>
        <v/>
      </c>
      <c r="I731" s="15" t="str">
        <f>IF(Data!B731="","",IF(Data!G731&lt;&gt;"",0,IF(ISNUMBER(MATCH(Data!#REF!,Data_Val!$E$2:$E$12,0)),0,1)))</f>
        <v/>
      </c>
      <c r="J731" s="16" t="e">
        <f>IF(OR(Data!B731="",Data!#REF!=""),"",IF(Data!#REF!="",1,0))</f>
        <v>#REF!</v>
      </c>
      <c r="K731" s="16" t="e">
        <f>IF(OR(Data!B731="",Data!#REF!=""),"",IF(Data!#REF!="",1,0))</f>
        <v>#REF!</v>
      </c>
      <c r="L731" s="16" t="e">
        <f>IF(OR(Data!B731="",Data!#REF!=""),"",IF(ISNUMBER(Data!#REF!),IF(AND(Data!#REF!&gt;Data_Val!$G$2,Data!#REF!&lt;=Data_Val!$G$3),0,1),1))</f>
        <v>#REF!</v>
      </c>
      <c r="M731" s="9" t="e">
        <f>IF(OR(Data!B731="",Data!#REF!=""),"",IF(ISNUMBER(MATCH(Data!#REF!,Data_Val!$F$1:$F$38,0)),0,1))</f>
        <v>#REF!</v>
      </c>
      <c r="N731" s="9" t="e">
        <f>IF(OR(Data!B731="",Data!#REF!=""),"",IF(Data!#REF!="",1,0))</f>
        <v>#REF!</v>
      </c>
      <c r="O731" s="17" t="e">
        <f>IF(Data!#REF!="","",IF(Data!#REF!="",1,0))</f>
        <v>#REF!</v>
      </c>
      <c r="P731" s="17" t="e">
        <f>IF(Data!#REF!="","",IF(ISNUMBER(MATCH(Data!#REF!,Data_Val!$A$2:$A$3,0)),0,1))</f>
        <v>#REF!</v>
      </c>
      <c r="Q731" s="25" t="e">
        <f ca="1">IF(Data!#REF!="","",IF(ISNUMBER(Data!#REF!),IF(AND(Data!#REF!&gt;(TODAY()-(Data_Val!$J$3*365.25)),Data!#REF!&lt;=(TODAY()-(Data_Val!$J$2*365.25))),0,1),1))</f>
        <v>#REF!</v>
      </c>
      <c r="R731" s="17" t="e">
        <f>IF(Data!#REF!="","",IF(ISNUMBER(MATCH(Data!#REF!,Data_Val!$B$2:$B$15,0)),0,1))</f>
        <v>#REF!</v>
      </c>
      <c r="S731" s="11" t="str">
        <f>IF(Data!G731="","",IF(Data!G731=Data_Val!$C$2,IF(Data!M731="",0,1),0))</f>
        <v/>
      </c>
      <c r="T731" s="11" t="str">
        <f>IF(Data!M731="","",IF(ISNUMBER(MATCH(Data!N731,Data_Val!$A$2:$A$3,0)),0,1))</f>
        <v/>
      </c>
      <c r="U731" s="11" t="str">
        <f ca="1">IF(Data!M731="","",IF(ISNUMBER(Data!O731),IF(AND(Data!O731&gt;(TODAY()-(Data_Val!$K$3*365.25)),Data!O731&lt;=(TODAY()-(Data_Val!$K$2*365.25))),0,1),1))</f>
        <v/>
      </c>
      <c r="V731" s="12" t="str">
        <f>IF(Data!G731="","",IF(Data!G731=Data_Val!$C$2,IF(Data!P731="",0,1),0))</f>
        <v/>
      </c>
      <c r="W731" s="12" t="str">
        <f>IF(Data!P731="","",IF(ISNUMBER(MATCH(Data!Q731,Data_Val!$A$2:$A$3,0)),0,1))</f>
        <v/>
      </c>
      <c r="X731" s="26" t="str">
        <f ca="1">IF(Data!P731="","",IF(ISNUMBER(Data!R731),IF(AND(Data!R731&gt;(TODAY()-(Data_Val!$L$3*365.25)),Data!R731&lt;=(TODAY()-(Data_Val!$L$2*365.25))),0,1),1))</f>
        <v/>
      </c>
      <c r="Y731" s="13" t="str">
        <f>IF(Data!$G731="","",IF(Data!$G731=Data_Val!$C$2,IF(Data!S731="",0,1),0))</f>
        <v/>
      </c>
      <c r="Z731" s="13" t="str">
        <f>IF(Data!S731="","",IF(ISNUMBER(MATCH(Data!T731,Data_Val!$A$2:$A$3,0)),0,1))</f>
        <v/>
      </c>
      <c r="AA731" s="28" t="str">
        <f ca="1">IF(Data!S731="","",IF(ISNUMBER(Data!U731),IF(AND(Data!U731&gt;(TODAY()-(Data_Val!$L$3*365.25)),Data!U731&lt;=(TODAY()-(Data_Val!$L$2*365.25))),0,1),1))</f>
        <v/>
      </c>
      <c r="AB731" s="11"/>
      <c r="AC731" s="11" t="e">
        <f>IF(Data!#REF!="","",IF(ISNUMBER(MATCH(Data!#REF!,Data_Val!$A$2:$A$3,0)),0,1))</f>
        <v>#REF!</v>
      </c>
      <c r="AD731" s="11" t="e">
        <f ca="1">IF(Data!#REF!="","",IF(ISNUMBER(Data!#REF!),IF(AND(Data!#REF!&gt;(TODAY()-(Data_Val!$L$3*365.25)),Data!#REF!&lt;=(TODAY()-(Data_Val!$L$2*365.25))),0,1),1))</f>
        <v>#REF!</v>
      </c>
      <c r="AE731" s="11" t="e">
        <f>IF(Data!#REF!="","",IF(Data!$G731="",1,IF(ISNUMBER(MATCH(Data!#REF!,Data_Val!$D$2:$D$10,0)),0,1)))</f>
        <v>#REF!</v>
      </c>
      <c r="AF731" s="12"/>
      <c r="AG731" s="12" t="e">
        <f>IF(Data!#REF!="","",IF(ISNUMBER(MATCH(Data!#REF!,Data_Val!$A$2:$A$3,0)),0,1))</f>
        <v>#REF!</v>
      </c>
      <c r="AH731" s="26" t="e">
        <f ca="1">IF(Data!#REF!="","",IF(ISNUMBER(Data!#REF!),IF(AND(Data!#REF!&gt;(TODAY()-(Data_Val!$L$3*365.25)),Data!#REF!&lt;=(TODAY()-(Data_Val!$L$2*365.25))),0,1),1))</f>
        <v>#REF!</v>
      </c>
      <c r="AI731" s="12" t="e">
        <f>IF(Data!#REF!="","",IF(Data!$G731="",1,IF(ISNUMBER(MATCH(Data!#REF!,Data_Val!$D$2:$D$10,0)),0,1)))</f>
        <v>#REF!</v>
      </c>
      <c r="AJ731" s="17"/>
      <c r="AK731" s="17" t="e">
        <f>IF(Data!#REF!="","",IF(ISNUMBER(MATCH(Data!#REF!,Data_Val!$A$2:$A$3,0)),0,1))</f>
        <v>#REF!</v>
      </c>
      <c r="AL731" s="25" t="e">
        <f ca="1">IF(Data!#REF!="","",IF(ISNUMBER(Data!#REF!),IF(AND(Data!#REF!&gt;(TODAY()-(Data_Val!$L$3*365.25)),Data!#REF!&lt;=(TODAY()-(Data_Val!$L$2*365.25))),0,1),1))</f>
        <v>#REF!</v>
      </c>
      <c r="AM731" s="17" t="e">
        <f>IF(Data!#REF!="","",IF(Data!$G731="",1,IF(ISNUMBER(MATCH(Data!#REF!,Data_Val!$D$2:$D$10,0)),0,1)))</f>
        <v>#REF!</v>
      </c>
      <c r="AN731" s="13"/>
      <c r="AO731" s="28" t="e">
        <f ca="1">IF(Data!#REF!="","",IF(ISNUMBER(Data!#REF!),IF(AND(Data!#REF!&gt;(TODAY()-(Data_Val!$I$3*365.25)),Data!#REF!&lt;=(TODAY()-(Data_Val!$I$2*365.25))),0,1),1))</f>
        <v>#REF!</v>
      </c>
      <c r="AP731" s="13" t="e">
        <f>IF(Data!#REF!="","",IF(Data!$G731="",1,IF(ISNUMBER(MATCH(Data!#REF!,Data_Val!$D$2:$D$10,0)),0,1)))</f>
        <v>#REF!</v>
      </c>
      <c r="AQ731" s="17"/>
      <c r="AR731" s="30" t="e">
        <f ca="1">IF(Data!#REF!="","",IF(ISNUMBER(Data!#REF!),IF(AND(Data!#REF!&gt;(TODAY()-(Data_Val!$I$3*365.25)),Data!#REF!&lt;=(TODAY()-(Data_Val!$I$2*365.25))),0,1),1))</f>
        <v>#REF!</v>
      </c>
      <c r="AS731" s="31" t="e">
        <f>IF(Data!#REF!="","",IF(Data!$G731="",1,IF(ISNUMBER(MATCH(Data!#REF!,Data_Val!$D$2:$D$10,0)),0,1)))</f>
        <v>#REF!</v>
      </c>
      <c r="AT731" s="11"/>
      <c r="AU731" s="11" t="e">
        <f ca="1">IF(Data!#REF!="","",IF(ISNUMBER(Data!#REF!),IF(AND(Data!#REF!&gt;(TODAY()-(Data_Val!$I$3*365.25)),Data!#REF!&lt;=(TODAY()-(Data_Val!$I$2*365.25))),0,1),1))</f>
        <v>#REF!</v>
      </c>
      <c r="AV731" s="11" t="e">
        <f>IF(Data!#REF!="","",IF(Data!$G731="",1,IF(ISNUMBER(MATCH(Data!#REF!,Data_Val!$D$2:$D$10,0)),0,1)))</f>
        <v>#REF!</v>
      </c>
      <c r="AW731" s="12"/>
      <c r="AX731" s="26" t="e">
        <f ca="1">IF(Data!#REF!="","",IF(ISNUMBER(Data!#REF!),IF(AND(Data!#REF!&gt;(TODAY()-(Data_Val!$I$3*365.25)),Data!#REF!&lt;=(TODAY()-(Data_Val!$I$2*365.25))),0,1),1))</f>
        <v>#REF!</v>
      </c>
      <c r="AY731" s="12" t="e">
        <f>IF(Data!#REF!="","",IF(Data!$G731="",1,IF(ISNUMBER(MATCH(Data!#REF!,Data_Val!$D$2:$D$10,0)),0,1)))</f>
        <v>#REF!</v>
      </c>
      <c r="AZ731" s="11"/>
      <c r="BA731" s="19" t="e">
        <f ca="1">IF(Data!#REF!="","",IF(ISNUMBER(Data!#REF!),IF(AND(Data!#REF!&gt;(TODAY()-(Data_Val!$M$3*365.25)),Data!#REF!&lt;=(TODAY()-(Data_Val!$M$2*365.25))),0,1),1))</f>
        <v>#REF!</v>
      </c>
      <c r="BB731" s="11" t="e">
        <f>IF(Data!#REF!="","",IF(Data!$G731="",1,IF(ISNUMBER(MATCH(Data!#REF!,Data_Val!$D$2:$D$10,0)),0,1)))</f>
        <v>#REF!</v>
      </c>
      <c r="BC731" s="12"/>
      <c r="BD731" s="20" t="e">
        <f ca="1">IF(Data!#REF!="","",IF(ISNUMBER(Data!#REF!),IF(AND(Data!#REF!&gt;(TODAY()-(Data_Val!$M$3*365.25)),Data!#REF!&lt;=(TODAY()-(Data_Val!$M$2*365.25))),0,1),1))</f>
        <v>#REF!</v>
      </c>
      <c r="BE731" s="12" t="e">
        <f>IF(Data!#REF!="","",IF(Data!$G731="",1,IF(ISNUMBER(MATCH(Data!#REF!,Data_Val!$D$2:$D$10,0)),0,1)))</f>
        <v>#REF!</v>
      </c>
      <c r="BF731" s="17"/>
      <c r="BG731" s="18" t="e">
        <f ca="1">IF(Data!#REF!="","",IF(ISNUMBER(Data!#REF!),IF(AND(Data!#REF!&gt;(TODAY()-(Data_Val!$M$3*365.25)),Data!#REF!&lt;=(TODAY()-(Data_Val!$M$2*365.25))),0,1),1))</f>
        <v>#REF!</v>
      </c>
      <c r="BH731" s="29" t="e">
        <f>IF(Data!#REF!="","",IF(Data!$G731="",1,IF(ISNUMBER(MATCH(Data!#REF!,Data_Val!$D$2:$D$10,0)),0,1)))</f>
        <v>#REF!</v>
      </c>
      <c r="BI731" s="13"/>
      <c r="BJ731" s="21" t="e">
        <f ca="1">IF(Data!#REF!="","",IF(ISNUMBER(Data!#REF!),IF(AND(Data!#REF!&gt;(TODAY()-(Data_Val!$M$3*365.25)),Data!#REF!&lt;=(TODAY()-(Data_Val!$M$2*365.25))),0,1),1))</f>
        <v>#REF!</v>
      </c>
      <c r="BK731" s="13" t="e">
        <f>IF(Data!#REF!="","",IF(Data!$G731="",1,IF(ISNUMBER(MATCH(Data!#REF!,Data_Val!$D$2:$D$10,0)),0,1)))</f>
        <v>#REF!</v>
      </c>
    </row>
    <row r="732" spans="1:63" x14ac:dyDescent="0.25">
      <c r="A732" s="9" t="str">
        <f>IF(Data!B732="","",IF(COUNTIFS(Data!A$1:'Data'!A732,Data!A732)&lt;=1,0,1))</f>
        <v/>
      </c>
      <c r="B732" s="9"/>
      <c r="C732" s="23" t="str">
        <f>IF(Data!C732="","",(IF(ISNUMBER(MATCH("*@*.?*",Data!C732,0)),0,1)+IF(COUNTIFS(Data!C$1:'Data'!C732,Data!C732)&gt;1,1,0)))</f>
        <v/>
      </c>
      <c r="D732" s="9" t="str">
        <f>IF(Data!B732="","",IF(ISNUMBER(Data!D732),IF(AND(Data!D732&gt;999999999,Data!D732&lt;=9999999999),IF(COUNTIFS(Data!D$1:'Data'!D732,Data!D732)&lt;=1,0,1),1),1))</f>
        <v/>
      </c>
      <c r="E732" s="9" t="str">
        <f>IF(Data!B732="","",IF(ISNUMBER(MATCH(Data!E732,Data_Val!$A$2:$A$3,0)),0,1))</f>
        <v/>
      </c>
      <c r="F732" s="9" t="str">
        <f ca="1">IF(Data!B732="","",IF(ISNUMBER(Data!F732),IF(AND(Data!F732&gt;(TODAY()-(Data_Val!$H$3*365.25)),Data!F732&lt;=(TODAY()-(Data_Val!$H$2*365.25))),0,1),1))</f>
        <v/>
      </c>
      <c r="G732" s="15" t="str">
        <f>IF(Data!B732="","",IF(AND(Data!G732="",Data!H732&lt;&gt;""),1,IF(Data!#REF!&lt;&gt;"",0,IF(ISNUMBER(MATCH(Data!G732,Data_Val!$C$2:$C$5,0)),0,1))))</f>
        <v/>
      </c>
      <c r="H732" s="15" t="str">
        <f>IF(Data!B732="","",IF(AND(Data!G732&lt;&gt;"",Data!H732=""),1,IF(Data!#REF!&lt;&gt;"",0,IF(Data!G732="",1,IF(ISNUMBER(MATCH(Data!H732,Data_Val!$D$2:$D$35,0)),0,1)))))</f>
        <v/>
      </c>
      <c r="I732" s="15" t="str">
        <f>IF(Data!B732="","",IF(Data!G732&lt;&gt;"",0,IF(ISNUMBER(MATCH(Data!#REF!,Data_Val!$E$2:$E$12,0)),0,1)))</f>
        <v/>
      </c>
      <c r="J732" s="16" t="e">
        <f>IF(OR(Data!B732="",Data!#REF!=""),"",IF(Data!#REF!="",1,0))</f>
        <v>#REF!</v>
      </c>
      <c r="K732" s="16" t="e">
        <f>IF(OR(Data!B732="",Data!#REF!=""),"",IF(Data!#REF!="",1,0))</f>
        <v>#REF!</v>
      </c>
      <c r="L732" s="16" t="e">
        <f>IF(OR(Data!B732="",Data!#REF!=""),"",IF(ISNUMBER(Data!#REF!),IF(AND(Data!#REF!&gt;Data_Val!$G$2,Data!#REF!&lt;=Data_Val!$G$3),0,1),1))</f>
        <v>#REF!</v>
      </c>
      <c r="M732" s="9" t="e">
        <f>IF(OR(Data!B732="",Data!#REF!=""),"",IF(ISNUMBER(MATCH(Data!#REF!,Data_Val!$F$1:$F$38,0)),0,1))</f>
        <v>#REF!</v>
      </c>
      <c r="N732" s="9" t="e">
        <f>IF(OR(Data!B732="",Data!#REF!=""),"",IF(Data!#REF!="",1,0))</f>
        <v>#REF!</v>
      </c>
      <c r="O732" s="17" t="e">
        <f>IF(Data!#REF!="","",IF(Data!#REF!="",1,0))</f>
        <v>#REF!</v>
      </c>
      <c r="P732" s="17" t="e">
        <f>IF(Data!#REF!="","",IF(ISNUMBER(MATCH(Data!#REF!,Data_Val!$A$2:$A$3,0)),0,1))</f>
        <v>#REF!</v>
      </c>
      <c r="Q732" s="25" t="e">
        <f ca="1">IF(Data!#REF!="","",IF(ISNUMBER(Data!#REF!),IF(AND(Data!#REF!&gt;(TODAY()-(Data_Val!$J$3*365.25)),Data!#REF!&lt;=(TODAY()-(Data_Val!$J$2*365.25))),0,1),1))</f>
        <v>#REF!</v>
      </c>
      <c r="R732" s="17" t="e">
        <f>IF(Data!#REF!="","",IF(ISNUMBER(MATCH(Data!#REF!,Data_Val!$B$2:$B$15,0)),0,1))</f>
        <v>#REF!</v>
      </c>
      <c r="S732" s="11" t="str">
        <f>IF(Data!G732="","",IF(Data!G732=Data_Val!$C$2,IF(Data!M732="",0,1),0))</f>
        <v/>
      </c>
      <c r="T732" s="11" t="str">
        <f>IF(Data!M732="","",IF(ISNUMBER(MATCH(Data!N732,Data_Val!$A$2:$A$3,0)),0,1))</f>
        <v/>
      </c>
      <c r="U732" s="11" t="str">
        <f ca="1">IF(Data!M732="","",IF(ISNUMBER(Data!O732),IF(AND(Data!O732&gt;(TODAY()-(Data_Val!$K$3*365.25)),Data!O732&lt;=(TODAY()-(Data_Val!$K$2*365.25))),0,1),1))</f>
        <v/>
      </c>
      <c r="V732" s="12" t="str">
        <f>IF(Data!G732="","",IF(Data!G732=Data_Val!$C$2,IF(Data!P732="",0,1),0))</f>
        <v/>
      </c>
      <c r="W732" s="12" t="str">
        <f>IF(Data!P732="","",IF(ISNUMBER(MATCH(Data!Q732,Data_Val!$A$2:$A$3,0)),0,1))</f>
        <v/>
      </c>
      <c r="X732" s="26" t="str">
        <f ca="1">IF(Data!P732="","",IF(ISNUMBER(Data!R732),IF(AND(Data!R732&gt;(TODAY()-(Data_Val!$L$3*365.25)),Data!R732&lt;=(TODAY()-(Data_Val!$L$2*365.25))),0,1),1))</f>
        <v/>
      </c>
      <c r="Y732" s="13" t="str">
        <f>IF(Data!$G732="","",IF(Data!$G732=Data_Val!$C$2,IF(Data!S732="",0,1),0))</f>
        <v/>
      </c>
      <c r="Z732" s="13" t="str">
        <f>IF(Data!S732="","",IF(ISNUMBER(MATCH(Data!T732,Data_Val!$A$2:$A$3,0)),0,1))</f>
        <v/>
      </c>
      <c r="AA732" s="28" t="str">
        <f ca="1">IF(Data!S732="","",IF(ISNUMBER(Data!U732),IF(AND(Data!U732&gt;(TODAY()-(Data_Val!$L$3*365.25)),Data!U732&lt;=(TODAY()-(Data_Val!$L$2*365.25))),0,1),1))</f>
        <v/>
      </c>
      <c r="AB732" s="11"/>
      <c r="AC732" s="11" t="e">
        <f>IF(Data!#REF!="","",IF(ISNUMBER(MATCH(Data!#REF!,Data_Val!$A$2:$A$3,0)),0,1))</f>
        <v>#REF!</v>
      </c>
      <c r="AD732" s="11" t="e">
        <f ca="1">IF(Data!#REF!="","",IF(ISNUMBER(Data!#REF!),IF(AND(Data!#REF!&gt;(TODAY()-(Data_Val!$L$3*365.25)),Data!#REF!&lt;=(TODAY()-(Data_Val!$L$2*365.25))),0,1),1))</f>
        <v>#REF!</v>
      </c>
      <c r="AE732" s="11" t="e">
        <f>IF(Data!#REF!="","",IF(Data!$G732="",1,IF(ISNUMBER(MATCH(Data!#REF!,Data_Val!$D$2:$D$10,0)),0,1)))</f>
        <v>#REF!</v>
      </c>
      <c r="AF732" s="12"/>
      <c r="AG732" s="12" t="e">
        <f>IF(Data!#REF!="","",IF(ISNUMBER(MATCH(Data!#REF!,Data_Val!$A$2:$A$3,0)),0,1))</f>
        <v>#REF!</v>
      </c>
      <c r="AH732" s="26" t="e">
        <f ca="1">IF(Data!#REF!="","",IF(ISNUMBER(Data!#REF!),IF(AND(Data!#REF!&gt;(TODAY()-(Data_Val!$L$3*365.25)),Data!#REF!&lt;=(TODAY()-(Data_Val!$L$2*365.25))),0,1),1))</f>
        <v>#REF!</v>
      </c>
      <c r="AI732" s="12" t="e">
        <f>IF(Data!#REF!="","",IF(Data!$G732="",1,IF(ISNUMBER(MATCH(Data!#REF!,Data_Val!$D$2:$D$10,0)),0,1)))</f>
        <v>#REF!</v>
      </c>
      <c r="AJ732" s="17"/>
      <c r="AK732" s="17" t="e">
        <f>IF(Data!#REF!="","",IF(ISNUMBER(MATCH(Data!#REF!,Data_Val!$A$2:$A$3,0)),0,1))</f>
        <v>#REF!</v>
      </c>
      <c r="AL732" s="25" t="e">
        <f ca="1">IF(Data!#REF!="","",IF(ISNUMBER(Data!#REF!),IF(AND(Data!#REF!&gt;(TODAY()-(Data_Val!$L$3*365.25)),Data!#REF!&lt;=(TODAY()-(Data_Val!$L$2*365.25))),0,1),1))</f>
        <v>#REF!</v>
      </c>
      <c r="AM732" s="17" t="e">
        <f>IF(Data!#REF!="","",IF(Data!$G732="",1,IF(ISNUMBER(MATCH(Data!#REF!,Data_Val!$D$2:$D$10,0)),0,1)))</f>
        <v>#REF!</v>
      </c>
      <c r="AN732" s="13"/>
      <c r="AO732" s="28" t="e">
        <f ca="1">IF(Data!#REF!="","",IF(ISNUMBER(Data!#REF!),IF(AND(Data!#REF!&gt;(TODAY()-(Data_Val!$I$3*365.25)),Data!#REF!&lt;=(TODAY()-(Data_Val!$I$2*365.25))),0,1),1))</f>
        <v>#REF!</v>
      </c>
      <c r="AP732" s="13" t="e">
        <f>IF(Data!#REF!="","",IF(Data!$G732="",1,IF(ISNUMBER(MATCH(Data!#REF!,Data_Val!$D$2:$D$10,0)),0,1)))</f>
        <v>#REF!</v>
      </c>
      <c r="AQ732" s="17"/>
      <c r="AR732" s="30" t="e">
        <f ca="1">IF(Data!#REF!="","",IF(ISNUMBER(Data!#REF!),IF(AND(Data!#REF!&gt;(TODAY()-(Data_Val!$I$3*365.25)),Data!#REF!&lt;=(TODAY()-(Data_Val!$I$2*365.25))),0,1),1))</f>
        <v>#REF!</v>
      </c>
      <c r="AS732" s="31" t="e">
        <f>IF(Data!#REF!="","",IF(Data!$G732="",1,IF(ISNUMBER(MATCH(Data!#REF!,Data_Val!$D$2:$D$10,0)),0,1)))</f>
        <v>#REF!</v>
      </c>
      <c r="AT732" s="11"/>
      <c r="AU732" s="11" t="e">
        <f ca="1">IF(Data!#REF!="","",IF(ISNUMBER(Data!#REF!),IF(AND(Data!#REF!&gt;(TODAY()-(Data_Val!$I$3*365.25)),Data!#REF!&lt;=(TODAY()-(Data_Val!$I$2*365.25))),0,1),1))</f>
        <v>#REF!</v>
      </c>
      <c r="AV732" s="11" t="e">
        <f>IF(Data!#REF!="","",IF(Data!$G732="",1,IF(ISNUMBER(MATCH(Data!#REF!,Data_Val!$D$2:$D$10,0)),0,1)))</f>
        <v>#REF!</v>
      </c>
      <c r="AW732" s="12"/>
      <c r="AX732" s="26" t="e">
        <f ca="1">IF(Data!#REF!="","",IF(ISNUMBER(Data!#REF!),IF(AND(Data!#REF!&gt;(TODAY()-(Data_Val!$I$3*365.25)),Data!#REF!&lt;=(TODAY()-(Data_Val!$I$2*365.25))),0,1),1))</f>
        <v>#REF!</v>
      </c>
      <c r="AY732" s="12" t="e">
        <f>IF(Data!#REF!="","",IF(Data!$G732="",1,IF(ISNUMBER(MATCH(Data!#REF!,Data_Val!$D$2:$D$10,0)),0,1)))</f>
        <v>#REF!</v>
      </c>
      <c r="AZ732" s="11"/>
      <c r="BA732" s="19" t="e">
        <f ca="1">IF(Data!#REF!="","",IF(ISNUMBER(Data!#REF!),IF(AND(Data!#REF!&gt;(TODAY()-(Data_Val!$M$3*365.25)),Data!#REF!&lt;=(TODAY()-(Data_Val!$M$2*365.25))),0,1),1))</f>
        <v>#REF!</v>
      </c>
      <c r="BB732" s="11" t="e">
        <f>IF(Data!#REF!="","",IF(Data!$G732="",1,IF(ISNUMBER(MATCH(Data!#REF!,Data_Val!$D$2:$D$10,0)),0,1)))</f>
        <v>#REF!</v>
      </c>
      <c r="BC732" s="12"/>
      <c r="BD732" s="20" t="e">
        <f ca="1">IF(Data!#REF!="","",IF(ISNUMBER(Data!#REF!),IF(AND(Data!#REF!&gt;(TODAY()-(Data_Val!$M$3*365.25)),Data!#REF!&lt;=(TODAY()-(Data_Val!$M$2*365.25))),0,1),1))</f>
        <v>#REF!</v>
      </c>
      <c r="BE732" s="12" t="e">
        <f>IF(Data!#REF!="","",IF(Data!$G732="",1,IF(ISNUMBER(MATCH(Data!#REF!,Data_Val!$D$2:$D$10,0)),0,1)))</f>
        <v>#REF!</v>
      </c>
      <c r="BF732" s="17"/>
      <c r="BG732" s="18" t="e">
        <f ca="1">IF(Data!#REF!="","",IF(ISNUMBER(Data!#REF!),IF(AND(Data!#REF!&gt;(TODAY()-(Data_Val!$M$3*365.25)),Data!#REF!&lt;=(TODAY()-(Data_Val!$M$2*365.25))),0,1),1))</f>
        <v>#REF!</v>
      </c>
      <c r="BH732" s="29" t="e">
        <f>IF(Data!#REF!="","",IF(Data!$G732="",1,IF(ISNUMBER(MATCH(Data!#REF!,Data_Val!$D$2:$D$10,0)),0,1)))</f>
        <v>#REF!</v>
      </c>
      <c r="BI732" s="13"/>
      <c r="BJ732" s="21" t="e">
        <f ca="1">IF(Data!#REF!="","",IF(ISNUMBER(Data!#REF!),IF(AND(Data!#REF!&gt;(TODAY()-(Data_Val!$M$3*365.25)),Data!#REF!&lt;=(TODAY()-(Data_Val!$M$2*365.25))),0,1),1))</f>
        <v>#REF!</v>
      </c>
      <c r="BK732" s="13" t="e">
        <f>IF(Data!#REF!="","",IF(Data!$G732="",1,IF(ISNUMBER(MATCH(Data!#REF!,Data_Val!$D$2:$D$10,0)),0,1)))</f>
        <v>#REF!</v>
      </c>
    </row>
    <row r="733" spans="1:63" x14ac:dyDescent="0.25">
      <c r="A733" s="9" t="str">
        <f>IF(Data!B733="","",IF(COUNTIFS(Data!A$1:'Data'!A733,Data!A733)&lt;=1,0,1))</f>
        <v/>
      </c>
      <c r="B733" s="9"/>
      <c r="C733" s="23" t="str">
        <f>IF(Data!C733="","",(IF(ISNUMBER(MATCH("*@*.?*",Data!C733,0)),0,1)+IF(COUNTIFS(Data!C$1:'Data'!C733,Data!C733)&gt;1,1,0)))</f>
        <v/>
      </c>
      <c r="D733" s="9" t="str">
        <f>IF(Data!B733="","",IF(ISNUMBER(Data!D733),IF(AND(Data!D733&gt;999999999,Data!D733&lt;=9999999999),IF(COUNTIFS(Data!D$1:'Data'!D733,Data!D733)&lt;=1,0,1),1),1))</f>
        <v/>
      </c>
      <c r="E733" s="9" t="str">
        <f>IF(Data!B733="","",IF(ISNUMBER(MATCH(Data!E733,Data_Val!$A$2:$A$3,0)),0,1))</f>
        <v/>
      </c>
      <c r="F733" s="9" t="str">
        <f ca="1">IF(Data!B733="","",IF(ISNUMBER(Data!F733),IF(AND(Data!F733&gt;(TODAY()-(Data_Val!$H$3*365.25)),Data!F733&lt;=(TODAY()-(Data_Val!$H$2*365.25))),0,1),1))</f>
        <v/>
      </c>
      <c r="G733" s="15" t="str">
        <f>IF(Data!B733="","",IF(AND(Data!G733="",Data!H733&lt;&gt;""),1,IF(Data!#REF!&lt;&gt;"",0,IF(ISNUMBER(MATCH(Data!G733,Data_Val!$C$2:$C$5,0)),0,1))))</f>
        <v/>
      </c>
      <c r="H733" s="15" t="str">
        <f>IF(Data!B733="","",IF(AND(Data!G733&lt;&gt;"",Data!H733=""),1,IF(Data!#REF!&lt;&gt;"",0,IF(Data!G733="",1,IF(ISNUMBER(MATCH(Data!H733,Data_Val!$D$2:$D$35,0)),0,1)))))</f>
        <v/>
      </c>
      <c r="I733" s="15" t="str">
        <f>IF(Data!B733="","",IF(Data!G733&lt;&gt;"",0,IF(ISNUMBER(MATCH(Data!#REF!,Data_Val!$E$2:$E$12,0)),0,1)))</f>
        <v/>
      </c>
      <c r="J733" s="16" t="e">
        <f>IF(OR(Data!B733="",Data!#REF!=""),"",IF(Data!#REF!="",1,0))</f>
        <v>#REF!</v>
      </c>
      <c r="K733" s="16" t="e">
        <f>IF(OR(Data!B733="",Data!#REF!=""),"",IF(Data!#REF!="",1,0))</f>
        <v>#REF!</v>
      </c>
      <c r="L733" s="16" t="e">
        <f>IF(OR(Data!B733="",Data!#REF!=""),"",IF(ISNUMBER(Data!#REF!),IF(AND(Data!#REF!&gt;Data_Val!$G$2,Data!#REF!&lt;=Data_Val!$G$3),0,1),1))</f>
        <v>#REF!</v>
      </c>
      <c r="M733" s="9" t="e">
        <f>IF(OR(Data!B733="",Data!#REF!=""),"",IF(ISNUMBER(MATCH(Data!#REF!,Data_Val!$F$1:$F$38,0)),0,1))</f>
        <v>#REF!</v>
      </c>
      <c r="N733" s="9" t="e">
        <f>IF(OR(Data!B733="",Data!#REF!=""),"",IF(Data!#REF!="",1,0))</f>
        <v>#REF!</v>
      </c>
      <c r="O733" s="17" t="e">
        <f>IF(Data!#REF!="","",IF(Data!#REF!="",1,0))</f>
        <v>#REF!</v>
      </c>
      <c r="P733" s="17" t="e">
        <f>IF(Data!#REF!="","",IF(ISNUMBER(MATCH(Data!#REF!,Data_Val!$A$2:$A$3,0)),0,1))</f>
        <v>#REF!</v>
      </c>
      <c r="Q733" s="25" t="e">
        <f ca="1">IF(Data!#REF!="","",IF(ISNUMBER(Data!#REF!),IF(AND(Data!#REF!&gt;(TODAY()-(Data_Val!$J$3*365.25)),Data!#REF!&lt;=(TODAY()-(Data_Val!$J$2*365.25))),0,1),1))</f>
        <v>#REF!</v>
      </c>
      <c r="R733" s="17" t="e">
        <f>IF(Data!#REF!="","",IF(ISNUMBER(MATCH(Data!#REF!,Data_Val!$B$2:$B$15,0)),0,1))</f>
        <v>#REF!</v>
      </c>
      <c r="S733" s="11" t="str">
        <f>IF(Data!G733="","",IF(Data!G733=Data_Val!$C$2,IF(Data!M733="",0,1),0))</f>
        <v/>
      </c>
      <c r="T733" s="11" t="str">
        <f>IF(Data!M733="","",IF(ISNUMBER(MATCH(Data!N733,Data_Val!$A$2:$A$3,0)),0,1))</f>
        <v/>
      </c>
      <c r="U733" s="11" t="str">
        <f ca="1">IF(Data!M733="","",IF(ISNUMBER(Data!O733),IF(AND(Data!O733&gt;(TODAY()-(Data_Val!$K$3*365.25)),Data!O733&lt;=(TODAY()-(Data_Val!$K$2*365.25))),0,1),1))</f>
        <v/>
      </c>
      <c r="V733" s="12" t="str">
        <f>IF(Data!G733="","",IF(Data!G733=Data_Val!$C$2,IF(Data!P733="",0,1),0))</f>
        <v/>
      </c>
      <c r="W733" s="12" t="str">
        <f>IF(Data!P733="","",IF(ISNUMBER(MATCH(Data!Q733,Data_Val!$A$2:$A$3,0)),0,1))</f>
        <v/>
      </c>
      <c r="X733" s="26" t="str">
        <f ca="1">IF(Data!P733="","",IF(ISNUMBER(Data!R733),IF(AND(Data!R733&gt;(TODAY()-(Data_Val!$L$3*365.25)),Data!R733&lt;=(TODAY()-(Data_Val!$L$2*365.25))),0,1),1))</f>
        <v/>
      </c>
      <c r="Y733" s="13" t="str">
        <f>IF(Data!$G733="","",IF(Data!$G733=Data_Val!$C$2,IF(Data!S733="",0,1),0))</f>
        <v/>
      </c>
      <c r="Z733" s="13" t="str">
        <f>IF(Data!S733="","",IF(ISNUMBER(MATCH(Data!T733,Data_Val!$A$2:$A$3,0)),0,1))</f>
        <v/>
      </c>
      <c r="AA733" s="28" t="str">
        <f ca="1">IF(Data!S733="","",IF(ISNUMBER(Data!U733),IF(AND(Data!U733&gt;(TODAY()-(Data_Val!$L$3*365.25)),Data!U733&lt;=(TODAY()-(Data_Val!$L$2*365.25))),0,1),1))</f>
        <v/>
      </c>
      <c r="AB733" s="11"/>
      <c r="AC733" s="11" t="e">
        <f>IF(Data!#REF!="","",IF(ISNUMBER(MATCH(Data!#REF!,Data_Val!$A$2:$A$3,0)),0,1))</f>
        <v>#REF!</v>
      </c>
      <c r="AD733" s="11" t="e">
        <f ca="1">IF(Data!#REF!="","",IF(ISNUMBER(Data!#REF!),IF(AND(Data!#REF!&gt;(TODAY()-(Data_Val!$L$3*365.25)),Data!#REF!&lt;=(TODAY()-(Data_Val!$L$2*365.25))),0,1),1))</f>
        <v>#REF!</v>
      </c>
      <c r="AE733" s="11" t="e">
        <f>IF(Data!#REF!="","",IF(Data!$G733="",1,IF(ISNUMBER(MATCH(Data!#REF!,Data_Val!$D$2:$D$10,0)),0,1)))</f>
        <v>#REF!</v>
      </c>
      <c r="AF733" s="12"/>
      <c r="AG733" s="12" t="e">
        <f>IF(Data!#REF!="","",IF(ISNUMBER(MATCH(Data!#REF!,Data_Val!$A$2:$A$3,0)),0,1))</f>
        <v>#REF!</v>
      </c>
      <c r="AH733" s="26" t="e">
        <f ca="1">IF(Data!#REF!="","",IF(ISNUMBER(Data!#REF!),IF(AND(Data!#REF!&gt;(TODAY()-(Data_Val!$L$3*365.25)),Data!#REF!&lt;=(TODAY()-(Data_Val!$L$2*365.25))),0,1),1))</f>
        <v>#REF!</v>
      </c>
      <c r="AI733" s="12" t="e">
        <f>IF(Data!#REF!="","",IF(Data!$G733="",1,IF(ISNUMBER(MATCH(Data!#REF!,Data_Val!$D$2:$D$10,0)),0,1)))</f>
        <v>#REF!</v>
      </c>
      <c r="AJ733" s="17"/>
      <c r="AK733" s="17" t="e">
        <f>IF(Data!#REF!="","",IF(ISNUMBER(MATCH(Data!#REF!,Data_Val!$A$2:$A$3,0)),0,1))</f>
        <v>#REF!</v>
      </c>
      <c r="AL733" s="25" t="e">
        <f ca="1">IF(Data!#REF!="","",IF(ISNUMBER(Data!#REF!),IF(AND(Data!#REF!&gt;(TODAY()-(Data_Val!$L$3*365.25)),Data!#REF!&lt;=(TODAY()-(Data_Val!$L$2*365.25))),0,1),1))</f>
        <v>#REF!</v>
      </c>
      <c r="AM733" s="17" t="e">
        <f>IF(Data!#REF!="","",IF(Data!$G733="",1,IF(ISNUMBER(MATCH(Data!#REF!,Data_Val!$D$2:$D$10,0)),0,1)))</f>
        <v>#REF!</v>
      </c>
      <c r="AN733" s="13"/>
      <c r="AO733" s="28" t="e">
        <f ca="1">IF(Data!#REF!="","",IF(ISNUMBER(Data!#REF!),IF(AND(Data!#REF!&gt;(TODAY()-(Data_Val!$I$3*365.25)),Data!#REF!&lt;=(TODAY()-(Data_Val!$I$2*365.25))),0,1),1))</f>
        <v>#REF!</v>
      </c>
      <c r="AP733" s="13" t="e">
        <f>IF(Data!#REF!="","",IF(Data!$G733="",1,IF(ISNUMBER(MATCH(Data!#REF!,Data_Val!$D$2:$D$10,0)),0,1)))</f>
        <v>#REF!</v>
      </c>
      <c r="AQ733" s="17"/>
      <c r="AR733" s="30" t="e">
        <f ca="1">IF(Data!#REF!="","",IF(ISNUMBER(Data!#REF!),IF(AND(Data!#REF!&gt;(TODAY()-(Data_Val!$I$3*365.25)),Data!#REF!&lt;=(TODAY()-(Data_Val!$I$2*365.25))),0,1),1))</f>
        <v>#REF!</v>
      </c>
      <c r="AS733" s="31" t="e">
        <f>IF(Data!#REF!="","",IF(Data!$G733="",1,IF(ISNUMBER(MATCH(Data!#REF!,Data_Val!$D$2:$D$10,0)),0,1)))</f>
        <v>#REF!</v>
      </c>
      <c r="AT733" s="11"/>
      <c r="AU733" s="11" t="e">
        <f ca="1">IF(Data!#REF!="","",IF(ISNUMBER(Data!#REF!),IF(AND(Data!#REF!&gt;(TODAY()-(Data_Val!$I$3*365.25)),Data!#REF!&lt;=(TODAY()-(Data_Val!$I$2*365.25))),0,1),1))</f>
        <v>#REF!</v>
      </c>
      <c r="AV733" s="11" t="e">
        <f>IF(Data!#REF!="","",IF(Data!$G733="",1,IF(ISNUMBER(MATCH(Data!#REF!,Data_Val!$D$2:$D$10,0)),0,1)))</f>
        <v>#REF!</v>
      </c>
      <c r="AW733" s="12"/>
      <c r="AX733" s="26" t="e">
        <f ca="1">IF(Data!#REF!="","",IF(ISNUMBER(Data!#REF!),IF(AND(Data!#REF!&gt;(TODAY()-(Data_Val!$I$3*365.25)),Data!#REF!&lt;=(TODAY()-(Data_Val!$I$2*365.25))),0,1),1))</f>
        <v>#REF!</v>
      </c>
      <c r="AY733" s="12" t="e">
        <f>IF(Data!#REF!="","",IF(Data!$G733="",1,IF(ISNUMBER(MATCH(Data!#REF!,Data_Val!$D$2:$D$10,0)),0,1)))</f>
        <v>#REF!</v>
      </c>
      <c r="AZ733" s="11"/>
      <c r="BA733" s="19" t="e">
        <f ca="1">IF(Data!#REF!="","",IF(ISNUMBER(Data!#REF!),IF(AND(Data!#REF!&gt;(TODAY()-(Data_Val!$M$3*365.25)),Data!#REF!&lt;=(TODAY()-(Data_Val!$M$2*365.25))),0,1),1))</f>
        <v>#REF!</v>
      </c>
      <c r="BB733" s="11" t="e">
        <f>IF(Data!#REF!="","",IF(Data!$G733="",1,IF(ISNUMBER(MATCH(Data!#REF!,Data_Val!$D$2:$D$10,0)),0,1)))</f>
        <v>#REF!</v>
      </c>
      <c r="BC733" s="12"/>
      <c r="BD733" s="20" t="e">
        <f ca="1">IF(Data!#REF!="","",IF(ISNUMBER(Data!#REF!),IF(AND(Data!#REF!&gt;(TODAY()-(Data_Val!$M$3*365.25)),Data!#REF!&lt;=(TODAY()-(Data_Val!$M$2*365.25))),0,1),1))</f>
        <v>#REF!</v>
      </c>
      <c r="BE733" s="12" t="e">
        <f>IF(Data!#REF!="","",IF(Data!$G733="",1,IF(ISNUMBER(MATCH(Data!#REF!,Data_Val!$D$2:$D$10,0)),0,1)))</f>
        <v>#REF!</v>
      </c>
      <c r="BF733" s="17"/>
      <c r="BG733" s="18" t="e">
        <f ca="1">IF(Data!#REF!="","",IF(ISNUMBER(Data!#REF!),IF(AND(Data!#REF!&gt;(TODAY()-(Data_Val!$M$3*365.25)),Data!#REF!&lt;=(TODAY()-(Data_Val!$M$2*365.25))),0,1),1))</f>
        <v>#REF!</v>
      </c>
      <c r="BH733" s="29" t="e">
        <f>IF(Data!#REF!="","",IF(Data!$G733="",1,IF(ISNUMBER(MATCH(Data!#REF!,Data_Val!$D$2:$D$10,0)),0,1)))</f>
        <v>#REF!</v>
      </c>
      <c r="BI733" s="13"/>
      <c r="BJ733" s="21" t="e">
        <f ca="1">IF(Data!#REF!="","",IF(ISNUMBER(Data!#REF!),IF(AND(Data!#REF!&gt;(TODAY()-(Data_Val!$M$3*365.25)),Data!#REF!&lt;=(TODAY()-(Data_Val!$M$2*365.25))),0,1),1))</f>
        <v>#REF!</v>
      </c>
      <c r="BK733" s="13" t="e">
        <f>IF(Data!#REF!="","",IF(Data!$G733="",1,IF(ISNUMBER(MATCH(Data!#REF!,Data_Val!$D$2:$D$10,0)),0,1)))</f>
        <v>#REF!</v>
      </c>
    </row>
    <row r="734" spans="1:63" x14ac:dyDescent="0.25">
      <c r="A734" s="9" t="str">
        <f>IF(Data!B734="","",IF(COUNTIFS(Data!A$1:'Data'!A734,Data!A734)&lt;=1,0,1))</f>
        <v/>
      </c>
      <c r="B734" s="9"/>
      <c r="C734" s="23" t="str">
        <f>IF(Data!C734="","",(IF(ISNUMBER(MATCH("*@*.?*",Data!C734,0)),0,1)+IF(COUNTIFS(Data!C$1:'Data'!C734,Data!C734)&gt;1,1,0)))</f>
        <v/>
      </c>
      <c r="D734" s="9" t="str">
        <f>IF(Data!B734="","",IF(ISNUMBER(Data!D734),IF(AND(Data!D734&gt;999999999,Data!D734&lt;=9999999999),IF(COUNTIFS(Data!D$1:'Data'!D734,Data!D734)&lt;=1,0,1),1),1))</f>
        <v/>
      </c>
      <c r="E734" s="9" t="str">
        <f>IF(Data!B734="","",IF(ISNUMBER(MATCH(Data!E734,Data_Val!$A$2:$A$3,0)),0,1))</f>
        <v/>
      </c>
      <c r="F734" s="9" t="str">
        <f ca="1">IF(Data!B734="","",IF(ISNUMBER(Data!F734),IF(AND(Data!F734&gt;(TODAY()-(Data_Val!$H$3*365.25)),Data!F734&lt;=(TODAY()-(Data_Val!$H$2*365.25))),0,1),1))</f>
        <v/>
      </c>
      <c r="G734" s="15" t="str">
        <f>IF(Data!B734="","",IF(AND(Data!G734="",Data!H734&lt;&gt;""),1,IF(Data!#REF!&lt;&gt;"",0,IF(ISNUMBER(MATCH(Data!G734,Data_Val!$C$2:$C$5,0)),0,1))))</f>
        <v/>
      </c>
      <c r="H734" s="15" t="str">
        <f>IF(Data!B734="","",IF(AND(Data!G734&lt;&gt;"",Data!H734=""),1,IF(Data!#REF!&lt;&gt;"",0,IF(Data!G734="",1,IF(ISNUMBER(MATCH(Data!H734,Data_Val!$D$2:$D$35,0)),0,1)))))</f>
        <v/>
      </c>
      <c r="I734" s="15" t="str">
        <f>IF(Data!B734="","",IF(Data!G734&lt;&gt;"",0,IF(ISNUMBER(MATCH(Data!#REF!,Data_Val!$E$2:$E$12,0)),0,1)))</f>
        <v/>
      </c>
      <c r="J734" s="16" t="e">
        <f>IF(OR(Data!B734="",Data!#REF!=""),"",IF(Data!#REF!="",1,0))</f>
        <v>#REF!</v>
      </c>
      <c r="K734" s="16" t="e">
        <f>IF(OR(Data!B734="",Data!#REF!=""),"",IF(Data!#REF!="",1,0))</f>
        <v>#REF!</v>
      </c>
      <c r="L734" s="16" t="e">
        <f>IF(OR(Data!B734="",Data!#REF!=""),"",IF(ISNUMBER(Data!#REF!),IF(AND(Data!#REF!&gt;Data_Val!$G$2,Data!#REF!&lt;=Data_Val!$G$3),0,1),1))</f>
        <v>#REF!</v>
      </c>
      <c r="M734" s="9" t="e">
        <f>IF(OR(Data!B734="",Data!#REF!=""),"",IF(ISNUMBER(MATCH(Data!#REF!,Data_Val!$F$1:$F$38,0)),0,1))</f>
        <v>#REF!</v>
      </c>
      <c r="N734" s="9" t="e">
        <f>IF(OR(Data!B734="",Data!#REF!=""),"",IF(Data!#REF!="",1,0))</f>
        <v>#REF!</v>
      </c>
      <c r="O734" s="17" t="e">
        <f>IF(Data!#REF!="","",IF(Data!#REF!="",1,0))</f>
        <v>#REF!</v>
      </c>
      <c r="P734" s="17" t="e">
        <f>IF(Data!#REF!="","",IF(ISNUMBER(MATCH(Data!#REF!,Data_Val!$A$2:$A$3,0)),0,1))</f>
        <v>#REF!</v>
      </c>
      <c r="Q734" s="25" t="e">
        <f ca="1">IF(Data!#REF!="","",IF(ISNUMBER(Data!#REF!),IF(AND(Data!#REF!&gt;(TODAY()-(Data_Val!$J$3*365.25)),Data!#REF!&lt;=(TODAY()-(Data_Val!$J$2*365.25))),0,1),1))</f>
        <v>#REF!</v>
      </c>
      <c r="R734" s="17" t="e">
        <f>IF(Data!#REF!="","",IF(ISNUMBER(MATCH(Data!#REF!,Data_Val!$B$2:$B$15,0)),0,1))</f>
        <v>#REF!</v>
      </c>
      <c r="S734" s="11" t="str">
        <f>IF(Data!G734="","",IF(Data!G734=Data_Val!$C$2,IF(Data!M734="",0,1),0))</f>
        <v/>
      </c>
      <c r="T734" s="11" t="str">
        <f>IF(Data!M734="","",IF(ISNUMBER(MATCH(Data!N734,Data_Val!$A$2:$A$3,0)),0,1))</f>
        <v/>
      </c>
      <c r="U734" s="11" t="str">
        <f ca="1">IF(Data!M734="","",IF(ISNUMBER(Data!O734),IF(AND(Data!O734&gt;(TODAY()-(Data_Val!$K$3*365.25)),Data!O734&lt;=(TODAY()-(Data_Val!$K$2*365.25))),0,1),1))</f>
        <v/>
      </c>
      <c r="V734" s="12" t="str">
        <f>IF(Data!G734="","",IF(Data!G734=Data_Val!$C$2,IF(Data!P734="",0,1),0))</f>
        <v/>
      </c>
      <c r="W734" s="12" t="str">
        <f>IF(Data!P734="","",IF(ISNUMBER(MATCH(Data!Q734,Data_Val!$A$2:$A$3,0)),0,1))</f>
        <v/>
      </c>
      <c r="X734" s="26" t="str">
        <f ca="1">IF(Data!P734="","",IF(ISNUMBER(Data!R734),IF(AND(Data!R734&gt;(TODAY()-(Data_Val!$L$3*365.25)),Data!R734&lt;=(TODAY()-(Data_Val!$L$2*365.25))),0,1),1))</f>
        <v/>
      </c>
      <c r="Y734" s="13" t="str">
        <f>IF(Data!$G734="","",IF(Data!$G734=Data_Val!$C$2,IF(Data!S734="",0,1),0))</f>
        <v/>
      </c>
      <c r="Z734" s="13" t="str">
        <f>IF(Data!S734="","",IF(ISNUMBER(MATCH(Data!T734,Data_Val!$A$2:$A$3,0)),0,1))</f>
        <v/>
      </c>
      <c r="AA734" s="28" t="str">
        <f ca="1">IF(Data!S734="","",IF(ISNUMBER(Data!U734),IF(AND(Data!U734&gt;(TODAY()-(Data_Val!$L$3*365.25)),Data!U734&lt;=(TODAY()-(Data_Val!$L$2*365.25))),0,1),1))</f>
        <v/>
      </c>
      <c r="AB734" s="11"/>
      <c r="AC734" s="11" t="e">
        <f>IF(Data!#REF!="","",IF(ISNUMBER(MATCH(Data!#REF!,Data_Val!$A$2:$A$3,0)),0,1))</f>
        <v>#REF!</v>
      </c>
      <c r="AD734" s="11" t="e">
        <f ca="1">IF(Data!#REF!="","",IF(ISNUMBER(Data!#REF!),IF(AND(Data!#REF!&gt;(TODAY()-(Data_Val!$L$3*365.25)),Data!#REF!&lt;=(TODAY()-(Data_Val!$L$2*365.25))),0,1),1))</f>
        <v>#REF!</v>
      </c>
      <c r="AE734" s="11" t="e">
        <f>IF(Data!#REF!="","",IF(Data!$G734="",1,IF(ISNUMBER(MATCH(Data!#REF!,Data_Val!$D$2:$D$10,0)),0,1)))</f>
        <v>#REF!</v>
      </c>
      <c r="AF734" s="12"/>
      <c r="AG734" s="12" t="e">
        <f>IF(Data!#REF!="","",IF(ISNUMBER(MATCH(Data!#REF!,Data_Val!$A$2:$A$3,0)),0,1))</f>
        <v>#REF!</v>
      </c>
      <c r="AH734" s="26" t="e">
        <f ca="1">IF(Data!#REF!="","",IF(ISNUMBER(Data!#REF!),IF(AND(Data!#REF!&gt;(TODAY()-(Data_Val!$L$3*365.25)),Data!#REF!&lt;=(TODAY()-(Data_Val!$L$2*365.25))),0,1),1))</f>
        <v>#REF!</v>
      </c>
      <c r="AI734" s="12" t="e">
        <f>IF(Data!#REF!="","",IF(Data!$G734="",1,IF(ISNUMBER(MATCH(Data!#REF!,Data_Val!$D$2:$D$10,0)),0,1)))</f>
        <v>#REF!</v>
      </c>
      <c r="AJ734" s="17"/>
      <c r="AK734" s="17" t="e">
        <f>IF(Data!#REF!="","",IF(ISNUMBER(MATCH(Data!#REF!,Data_Val!$A$2:$A$3,0)),0,1))</f>
        <v>#REF!</v>
      </c>
      <c r="AL734" s="25" t="e">
        <f ca="1">IF(Data!#REF!="","",IF(ISNUMBER(Data!#REF!),IF(AND(Data!#REF!&gt;(TODAY()-(Data_Val!$L$3*365.25)),Data!#REF!&lt;=(TODAY()-(Data_Val!$L$2*365.25))),0,1),1))</f>
        <v>#REF!</v>
      </c>
      <c r="AM734" s="17" t="e">
        <f>IF(Data!#REF!="","",IF(Data!$G734="",1,IF(ISNUMBER(MATCH(Data!#REF!,Data_Val!$D$2:$D$10,0)),0,1)))</f>
        <v>#REF!</v>
      </c>
      <c r="AN734" s="13"/>
      <c r="AO734" s="28" t="e">
        <f ca="1">IF(Data!#REF!="","",IF(ISNUMBER(Data!#REF!),IF(AND(Data!#REF!&gt;(TODAY()-(Data_Val!$I$3*365.25)),Data!#REF!&lt;=(TODAY()-(Data_Val!$I$2*365.25))),0,1),1))</f>
        <v>#REF!</v>
      </c>
      <c r="AP734" s="13" t="e">
        <f>IF(Data!#REF!="","",IF(Data!$G734="",1,IF(ISNUMBER(MATCH(Data!#REF!,Data_Val!$D$2:$D$10,0)),0,1)))</f>
        <v>#REF!</v>
      </c>
      <c r="AQ734" s="17"/>
      <c r="AR734" s="30" t="e">
        <f ca="1">IF(Data!#REF!="","",IF(ISNUMBER(Data!#REF!),IF(AND(Data!#REF!&gt;(TODAY()-(Data_Val!$I$3*365.25)),Data!#REF!&lt;=(TODAY()-(Data_Val!$I$2*365.25))),0,1),1))</f>
        <v>#REF!</v>
      </c>
      <c r="AS734" s="31" t="e">
        <f>IF(Data!#REF!="","",IF(Data!$G734="",1,IF(ISNUMBER(MATCH(Data!#REF!,Data_Val!$D$2:$D$10,0)),0,1)))</f>
        <v>#REF!</v>
      </c>
      <c r="AT734" s="11"/>
      <c r="AU734" s="11" t="e">
        <f ca="1">IF(Data!#REF!="","",IF(ISNUMBER(Data!#REF!),IF(AND(Data!#REF!&gt;(TODAY()-(Data_Val!$I$3*365.25)),Data!#REF!&lt;=(TODAY()-(Data_Val!$I$2*365.25))),0,1),1))</f>
        <v>#REF!</v>
      </c>
      <c r="AV734" s="11" t="e">
        <f>IF(Data!#REF!="","",IF(Data!$G734="",1,IF(ISNUMBER(MATCH(Data!#REF!,Data_Val!$D$2:$D$10,0)),0,1)))</f>
        <v>#REF!</v>
      </c>
      <c r="AW734" s="12"/>
      <c r="AX734" s="26" t="e">
        <f ca="1">IF(Data!#REF!="","",IF(ISNUMBER(Data!#REF!),IF(AND(Data!#REF!&gt;(TODAY()-(Data_Val!$I$3*365.25)),Data!#REF!&lt;=(TODAY()-(Data_Val!$I$2*365.25))),0,1),1))</f>
        <v>#REF!</v>
      </c>
      <c r="AY734" s="12" t="e">
        <f>IF(Data!#REF!="","",IF(Data!$G734="",1,IF(ISNUMBER(MATCH(Data!#REF!,Data_Val!$D$2:$D$10,0)),0,1)))</f>
        <v>#REF!</v>
      </c>
      <c r="AZ734" s="11"/>
      <c r="BA734" s="19" t="e">
        <f ca="1">IF(Data!#REF!="","",IF(ISNUMBER(Data!#REF!),IF(AND(Data!#REF!&gt;(TODAY()-(Data_Val!$M$3*365.25)),Data!#REF!&lt;=(TODAY()-(Data_Val!$M$2*365.25))),0,1),1))</f>
        <v>#REF!</v>
      </c>
      <c r="BB734" s="11" t="e">
        <f>IF(Data!#REF!="","",IF(Data!$G734="",1,IF(ISNUMBER(MATCH(Data!#REF!,Data_Val!$D$2:$D$10,0)),0,1)))</f>
        <v>#REF!</v>
      </c>
      <c r="BC734" s="12"/>
      <c r="BD734" s="20" t="e">
        <f ca="1">IF(Data!#REF!="","",IF(ISNUMBER(Data!#REF!),IF(AND(Data!#REF!&gt;(TODAY()-(Data_Val!$M$3*365.25)),Data!#REF!&lt;=(TODAY()-(Data_Val!$M$2*365.25))),0,1),1))</f>
        <v>#REF!</v>
      </c>
      <c r="BE734" s="12" t="e">
        <f>IF(Data!#REF!="","",IF(Data!$G734="",1,IF(ISNUMBER(MATCH(Data!#REF!,Data_Val!$D$2:$D$10,0)),0,1)))</f>
        <v>#REF!</v>
      </c>
      <c r="BF734" s="17"/>
      <c r="BG734" s="18" t="e">
        <f ca="1">IF(Data!#REF!="","",IF(ISNUMBER(Data!#REF!),IF(AND(Data!#REF!&gt;(TODAY()-(Data_Val!$M$3*365.25)),Data!#REF!&lt;=(TODAY()-(Data_Val!$M$2*365.25))),0,1),1))</f>
        <v>#REF!</v>
      </c>
      <c r="BH734" s="29" t="e">
        <f>IF(Data!#REF!="","",IF(Data!$G734="",1,IF(ISNUMBER(MATCH(Data!#REF!,Data_Val!$D$2:$D$10,0)),0,1)))</f>
        <v>#REF!</v>
      </c>
      <c r="BI734" s="13"/>
      <c r="BJ734" s="21" t="e">
        <f ca="1">IF(Data!#REF!="","",IF(ISNUMBER(Data!#REF!),IF(AND(Data!#REF!&gt;(TODAY()-(Data_Val!$M$3*365.25)),Data!#REF!&lt;=(TODAY()-(Data_Val!$M$2*365.25))),0,1),1))</f>
        <v>#REF!</v>
      </c>
      <c r="BK734" s="13" t="e">
        <f>IF(Data!#REF!="","",IF(Data!$G734="",1,IF(ISNUMBER(MATCH(Data!#REF!,Data_Val!$D$2:$D$10,0)),0,1)))</f>
        <v>#REF!</v>
      </c>
    </row>
    <row r="735" spans="1:63" x14ac:dyDescent="0.25">
      <c r="A735" s="9" t="str">
        <f>IF(Data!B735="","",IF(COUNTIFS(Data!A$1:'Data'!A735,Data!A735)&lt;=1,0,1))</f>
        <v/>
      </c>
      <c r="B735" s="9"/>
      <c r="C735" s="23" t="str">
        <f>IF(Data!C735="","",(IF(ISNUMBER(MATCH("*@*.?*",Data!C735,0)),0,1)+IF(COUNTIFS(Data!C$1:'Data'!C735,Data!C735)&gt;1,1,0)))</f>
        <v/>
      </c>
      <c r="D735" s="9" t="str">
        <f>IF(Data!B735="","",IF(ISNUMBER(Data!D735),IF(AND(Data!D735&gt;999999999,Data!D735&lt;=9999999999),IF(COUNTIFS(Data!D$1:'Data'!D735,Data!D735)&lt;=1,0,1),1),1))</f>
        <v/>
      </c>
      <c r="E735" s="9" t="str">
        <f>IF(Data!B735="","",IF(ISNUMBER(MATCH(Data!E735,Data_Val!$A$2:$A$3,0)),0,1))</f>
        <v/>
      </c>
      <c r="F735" s="9" t="str">
        <f ca="1">IF(Data!B735="","",IF(ISNUMBER(Data!F735),IF(AND(Data!F735&gt;(TODAY()-(Data_Val!$H$3*365.25)),Data!F735&lt;=(TODAY()-(Data_Val!$H$2*365.25))),0,1),1))</f>
        <v/>
      </c>
      <c r="G735" s="15" t="str">
        <f>IF(Data!B735="","",IF(AND(Data!G735="",Data!H735&lt;&gt;""),1,IF(Data!#REF!&lt;&gt;"",0,IF(ISNUMBER(MATCH(Data!G735,Data_Val!$C$2:$C$5,0)),0,1))))</f>
        <v/>
      </c>
      <c r="H735" s="15" t="str">
        <f>IF(Data!B735="","",IF(AND(Data!G735&lt;&gt;"",Data!H735=""),1,IF(Data!#REF!&lt;&gt;"",0,IF(Data!G735="",1,IF(ISNUMBER(MATCH(Data!H735,Data_Val!$D$2:$D$35,0)),0,1)))))</f>
        <v/>
      </c>
      <c r="I735" s="15" t="str">
        <f>IF(Data!B735="","",IF(Data!G735&lt;&gt;"",0,IF(ISNUMBER(MATCH(Data!#REF!,Data_Val!$E$2:$E$12,0)),0,1)))</f>
        <v/>
      </c>
      <c r="J735" s="16" t="e">
        <f>IF(OR(Data!B735="",Data!#REF!=""),"",IF(Data!#REF!="",1,0))</f>
        <v>#REF!</v>
      </c>
      <c r="K735" s="16" t="e">
        <f>IF(OR(Data!B735="",Data!#REF!=""),"",IF(Data!#REF!="",1,0))</f>
        <v>#REF!</v>
      </c>
      <c r="L735" s="16" t="e">
        <f>IF(OR(Data!B735="",Data!#REF!=""),"",IF(ISNUMBER(Data!#REF!),IF(AND(Data!#REF!&gt;Data_Val!$G$2,Data!#REF!&lt;=Data_Val!$G$3),0,1),1))</f>
        <v>#REF!</v>
      </c>
      <c r="M735" s="9" t="e">
        <f>IF(OR(Data!B735="",Data!#REF!=""),"",IF(ISNUMBER(MATCH(Data!#REF!,Data_Val!$F$1:$F$38,0)),0,1))</f>
        <v>#REF!</v>
      </c>
      <c r="N735" s="9" t="e">
        <f>IF(OR(Data!B735="",Data!#REF!=""),"",IF(Data!#REF!="",1,0))</f>
        <v>#REF!</v>
      </c>
      <c r="O735" s="17" t="e">
        <f>IF(Data!#REF!="","",IF(Data!#REF!="",1,0))</f>
        <v>#REF!</v>
      </c>
      <c r="P735" s="17" t="e">
        <f>IF(Data!#REF!="","",IF(ISNUMBER(MATCH(Data!#REF!,Data_Val!$A$2:$A$3,0)),0,1))</f>
        <v>#REF!</v>
      </c>
      <c r="Q735" s="25" t="e">
        <f ca="1">IF(Data!#REF!="","",IF(ISNUMBER(Data!#REF!),IF(AND(Data!#REF!&gt;(TODAY()-(Data_Val!$J$3*365.25)),Data!#REF!&lt;=(TODAY()-(Data_Val!$J$2*365.25))),0,1),1))</f>
        <v>#REF!</v>
      </c>
      <c r="R735" s="17" t="e">
        <f>IF(Data!#REF!="","",IF(ISNUMBER(MATCH(Data!#REF!,Data_Val!$B$2:$B$15,0)),0,1))</f>
        <v>#REF!</v>
      </c>
      <c r="S735" s="11" t="str">
        <f>IF(Data!G735="","",IF(Data!G735=Data_Val!$C$2,IF(Data!M735="",0,1),0))</f>
        <v/>
      </c>
      <c r="T735" s="11" t="str">
        <f>IF(Data!M735="","",IF(ISNUMBER(MATCH(Data!N735,Data_Val!$A$2:$A$3,0)),0,1))</f>
        <v/>
      </c>
      <c r="U735" s="11" t="str">
        <f ca="1">IF(Data!M735="","",IF(ISNUMBER(Data!O735),IF(AND(Data!O735&gt;(TODAY()-(Data_Val!$K$3*365.25)),Data!O735&lt;=(TODAY()-(Data_Val!$K$2*365.25))),0,1),1))</f>
        <v/>
      </c>
      <c r="V735" s="12" t="str">
        <f>IF(Data!G735="","",IF(Data!G735=Data_Val!$C$2,IF(Data!P735="",0,1),0))</f>
        <v/>
      </c>
      <c r="W735" s="12" t="str">
        <f>IF(Data!P735="","",IF(ISNUMBER(MATCH(Data!Q735,Data_Val!$A$2:$A$3,0)),0,1))</f>
        <v/>
      </c>
      <c r="X735" s="26" t="str">
        <f ca="1">IF(Data!P735="","",IF(ISNUMBER(Data!R735),IF(AND(Data!R735&gt;(TODAY()-(Data_Val!$L$3*365.25)),Data!R735&lt;=(TODAY()-(Data_Val!$L$2*365.25))),0,1),1))</f>
        <v/>
      </c>
      <c r="Y735" s="13" t="str">
        <f>IF(Data!$G735="","",IF(Data!$G735=Data_Val!$C$2,IF(Data!S735="",0,1),0))</f>
        <v/>
      </c>
      <c r="Z735" s="13" t="str">
        <f>IF(Data!S735="","",IF(ISNUMBER(MATCH(Data!T735,Data_Val!$A$2:$A$3,0)),0,1))</f>
        <v/>
      </c>
      <c r="AA735" s="28" t="str">
        <f ca="1">IF(Data!S735="","",IF(ISNUMBER(Data!U735),IF(AND(Data!U735&gt;(TODAY()-(Data_Val!$L$3*365.25)),Data!U735&lt;=(TODAY()-(Data_Val!$L$2*365.25))),0,1),1))</f>
        <v/>
      </c>
      <c r="AB735" s="11"/>
      <c r="AC735" s="11" t="e">
        <f>IF(Data!#REF!="","",IF(ISNUMBER(MATCH(Data!#REF!,Data_Val!$A$2:$A$3,0)),0,1))</f>
        <v>#REF!</v>
      </c>
      <c r="AD735" s="11" t="e">
        <f ca="1">IF(Data!#REF!="","",IF(ISNUMBER(Data!#REF!),IF(AND(Data!#REF!&gt;(TODAY()-(Data_Val!$L$3*365.25)),Data!#REF!&lt;=(TODAY()-(Data_Val!$L$2*365.25))),0,1),1))</f>
        <v>#REF!</v>
      </c>
      <c r="AE735" s="11" t="e">
        <f>IF(Data!#REF!="","",IF(Data!$G735="",1,IF(ISNUMBER(MATCH(Data!#REF!,Data_Val!$D$2:$D$10,0)),0,1)))</f>
        <v>#REF!</v>
      </c>
      <c r="AF735" s="12"/>
      <c r="AG735" s="12" t="e">
        <f>IF(Data!#REF!="","",IF(ISNUMBER(MATCH(Data!#REF!,Data_Val!$A$2:$A$3,0)),0,1))</f>
        <v>#REF!</v>
      </c>
      <c r="AH735" s="26" t="e">
        <f ca="1">IF(Data!#REF!="","",IF(ISNUMBER(Data!#REF!),IF(AND(Data!#REF!&gt;(TODAY()-(Data_Val!$L$3*365.25)),Data!#REF!&lt;=(TODAY()-(Data_Val!$L$2*365.25))),0,1),1))</f>
        <v>#REF!</v>
      </c>
      <c r="AI735" s="12" t="e">
        <f>IF(Data!#REF!="","",IF(Data!$G735="",1,IF(ISNUMBER(MATCH(Data!#REF!,Data_Val!$D$2:$D$10,0)),0,1)))</f>
        <v>#REF!</v>
      </c>
      <c r="AJ735" s="17"/>
      <c r="AK735" s="17" t="e">
        <f>IF(Data!#REF!="","",IF(ISNUMBER(MATCH(Data!#REF!,Data_Val!$A$2:$A$3,0)),0,1))</f>
        <v>#REF!</v>
      </c>
      <c r="AL735" s="25" t="e">
        <f ca="1">IF(Data!#REF!="","",IF(ISNUMBER(Data!#REF!),IF(AND(Data!#REF!&gt;(TODAY()-(Data_Val!$L$3*365.25)),Data!#REF!&lt;=(TODAY()-(Data_Val!$L$2*365.25))),0,1),1))</f>
        <v>#REF!</v>
      </c>
      <c r="AM735" s="17" t="e">
        <f>IF(Data!#REF!="","",IF(Data!$G735="",1,IF(ISNUMBER(MATCH(Data!#REF!,Data_Val!$D$2:$D$10,0)),0,1)))</f>
        <v>#REF!</v>
      </c>
      <c r="AN735" s="13"/>
      <c r="AO735" s="28" t="e">
        <f ca="1">IF(Data!#REF!="","",IF(ISNUMBER(Data!#REF!),IF(AND(Data!#REF!&gt;(TODAY()-(Data_Val!$I$3*365.25)),Data!#REF!&lt;=(TODAY()-(Data_Val!$I$2*365.25))),0,1),1))</f>
        <v>#REF!</v>
      </c>
      <c r="AP735" s="13" t="e">
        <f>IF(Data!#REF!="","",IF(Data!$G735="",1,IF(ISNUMBER(MATCH(Data!#REF!,Data_Val!$D$2:$D$10,0)),0,1)))</f>
        <v>#REF!</v>
      </c>
      <c r="AQ735" s="17"/>
      <c r="AR735" s="30" t="e">
        <f ca="1">IF(Data!#REF!="","",IF(ISNUMBER(Data!#REF!),IF(AND(Data!#REF!&gt;(TODAY()-(Data_Val!$I$3*365.25)),Data!#REF!&lt;=(TODAY()-(Data_Val!$I$2*365.25))),0,1),1))</f>
        <v>#REF!</v>
      </c>
      <c r="AS735" s="31" t="e">
        <f>IF(Data!#REF!="","",IF(Data!$G735="",1,IF(ISNUMBER(MATCH(Data!#REF!,Data_Val!$D$2:$D$10,0)),0,1)))</f>
        <v>#REF!</v>
      </c>
      <c r="AT735" s="11"/>
      <c r="AU735" s="11" t="e">
        <f ca="1">IF(Data!#REF!="","",IF(ISNUMBER(Data!#REF!),IF(AND(Data!#REF!&gt;(TODAY()-(Data_Val!$I$3*365.25)),Data!#REF!&lt;=(TODAY()-(Data_Val!$I$2*365.25))),0,1),1))</f>
        <v>#REF!</v>
      </c>
      <c r="AV735" s="11" t="e">
        <f>IF(Data!#REF!="","",IF(Data!$G735="",1,IF(ISNUMBER(MATCH(Data!#REF!,Data_Val!$D$2:$D$10,0)),0,1)))</f>
        <v>#REF!</v>
      </c>
      <c r="AW735" s="12"/>
      <c r="AX735" s="26" t="e">
        <f ca="1">IF(Data!#REF!="","",IF(ISNUMBER(Data!#REF!),IF(AND(Data!#REF!&gt;(TODAY()-(Data_Val!$I$3*365.25)),Data!#REF!&lt;=(TODAY()-(Data_Val!$I$2*365.25))),0,1),1))</f>
        <v>#REF!</v>
      </c>
      <c r="AY735" s="12" t="e">
        <f>IF(Data!#REF!="","",IF(Data!$G735="",1,IF(ISNUMBER(MATCH(Data!#REF!,Data_Val!$D$2:$D$10,0)),0,1)))</f>
        <v>#REF!</v>
      </c>
      <c r="AZ735" s="11"/>
      <c r="BA735" s="19" t="e">
        <f ca="1">IF(Data!#REF!="","",IF(ISNUMBER(Data!#REF!),IF(AND(Data!#REF!&gt;(TODAY()-(Data_Val!$M$3*365.25)),Data!#REF!&lt;=(TODAY()-(Data_Val!$M$2*365.25))),0,1),1))</f>
        <v>#REF!</v>
      </c>
      <c r="BB735" s="11" t="e">
        <f>IF(Data!#REF!="","",IF(Data!$G735="",1,IF(ISNUMBER(MATCH(Data!#REF!,Data_Val!$D$2:$D$10,0)),0,1)))</f>
        <v>#REF!</v>
      </c>
      <c r="BC735" s="12"/>
      <c r="BD735" s="20" t="e">
        <f ca="1">IF(Data!#REF!="","",IF(ISNUMBER(Data!#REF!),IF(AND(Data!#REF!&gt;(TODAY()-(Data_Val!$M$3*365.25)),Data!#REF!&lt;=(TODAY()-(Data_Val!$M$2*365.25))),0,1),1))</f>
        <v>#REF!</v>
      </c>
      <c r="BE735" s="12" t="e">
        <f>IF(Data!#REF!="","",IF(Data!$G735="",1,IF(ISNUMBER(MATCH(Data!#REF!,Data_Val!$D$2:$D$10,0)),0,1)))</f>
        <v>#REF!</v>
      </c>
      <c r="BF735" s="17"/>
      <c r="BG735" s="18" t="e">
        <f ca="1">IF(Data!#REF!="","",IF(ISNUMBER(Data!#REF!),IF(AND(Data!#REF!&gt;(TODAY()-(Data_Val!$M$3*365.25)),Data!#REF!&lt;=(TODAY()-(Data_Val!$M$2*365.25))),0,1),1))</f>
        <v>#REF!</v>
      </c>
      <c r="BH735" s="29" t="e">
        <f>IF(Data!#REF!="","",IF(Data!$G735="",1,IF(ISNUMBER(MATCH(Data!#REF!,Data_Val!$D$2:$D$10,0)),0,1)))</f>
        <v>#REF!</v>
      </c>
      <c r="BI735" s="13"/>
      <c r="BJ735" s="21" t="e">
        <f ca="1">IF(Data!#REF!="","",IF(ISNUMBER(Data!#REF!),IF(AND(Data!#REF!&gt;(TODAY()-(Data_Val!$M$3*365.25)),Data!#REF!&lt;=(TODAY()-(Data_Val!$M$2*365.25))),0,1),1))</f>
        <v>#REF!</v>
      </c>
      <c r="BK735" s="13" t="e">
        <f>IF(Data!#REF!="","",IF(Data!$G735="",1,IF(ISNUMBER(MATCH(Data!#REF!,Data_Val!$D$2:$D$10,0)),0,1)))</f>
        <v>#REF!</v>
      </c>
    </row>
    <row r="736" spans="1:63" x14ac:dyDescent="0.25">
      <c r="A736" s="9" t="str">
        <f>IF(Data!B736="","",IF(COUNTIFS(Data!A$1:'Data'!A736,Data!A736)&lt;=1,0,1))</f>
        <v/>
      </c>
      <c r="B736" s="9"/>
      <c r="C736" s="23" t="str">
        <f>IF(Data!C736="","",(IF(ISNUMBER(MATCH("*@*.?*",Data!C736,0)),0,1)+IF(COUNTIFS(Data!C$1:'Data'!C736,Data!C736)&gt;1,1,0)))</f>
        <v/>
      </c>
      <c r="D736" s="9" t="str">
        <f>IF(Data!B736="","",IF(ISNUMBER(Data!D736),IF(AND(Data!D736&gt;999999999,Data!D736&lt;=9999999999),IF(COUNTIFS(Data!D$1:'Data'!D736,Data!D736)&lt;=1,0,1),1),1))</f>
        <v/>
      </c>
      <c r="E736" s="9" t="str">
        <f>IF(Data!B736="","",IF(ISNUMBER(MATCH(Data!E736,Data_Val!$A$2:$A$3,0)),0,1))</f>
        <v/>
      </c>
      <c r="F736" s="9" t="str">
        <f ca="1">IF(Data!B736="","",IF(ISNUMBER(Data!F736),IF(AND(Data!F736&gt;(TODAY()-(Data_Val!$H$3*365.25)),Data!F736&lt;=(TODAY()-(Data_Val!$H$2*365.25))),0,1),1))</f>
        <v/>
      </c>
      <c r="G736" s="15" t="str">
        <f>IF(Data!B736="","",IF(AND(Data!G736="",Data!H736&lt;&gt;""),1,IF(Data!#REF!&lt;&gt;"",0,IF(ISNUMBER(MATCH(Data!G736,Data_Val!$C$2:$C$5,0)),0,1))))</f>
        <v/>
      </c>
      <c r="H736" s="15" t="str">
        <f>IF(Data!B736="","",IF(AND(Data!G736&lt;&gt;"",Data!H736=""),1,IF(Data!#REF!&lt;&gt;"",0,IF(Data!G736="",1,IF(ISNUMBER(MATCH(Data!H736,Data_Val!$D$2:$D$35,0)),0,1)))))</f>
        <v/>
      </c>
      <c r="I736" s="15" t="str">
        <f>IF(Data!B736="","",IF(Data!G736&lt;&gt;"",0,IF(ISNUMBER(MATCH(Data!#REF!,Data_Val!$E$2:$E$12,0)),0,1)))</f>
        <v/>
      </c>
      <c r="J736" s="16" t="e">
        <f>IF(OR(Data!B736="",Data!#REF!=""),"",IF(Data!#REF!="",1,0))</f>
        <v>#REF!</v>
      </c>
      <c r="K736" s="16" t="e">
        <f>IF(OR(Data!B736="",Data!#REF!=""),"",IF(Data!#REF!="",1,0))</f>
        <v>#REF!</v>
      </c>
      <c r="L736" s="16" t="e">
        <f>IF(OR(Data!B736="",Data!#REF!=""),"",IF(ISNUMBER(Data!#REF!),IF(AND(Data!#REF!&gt;Data_Val!$G$2,Data!#REF!&lt;=Data_Val!$G$3),0,1),1))</f>
        <v>#REF!</v>
      </c>
      <c r="M736" s="9" t="e">
        <f>IF(OR(Data!B736="",Data!#REF!=""),"",IF(ISNUMBER(MATCH(Data!#REF!,Data_Val!$F$1:$F$38,0)),0,1))</f>
        <v>#REF!</v>
      </c>
      <c r="N736" s="9" t="e">
        <f>IF(OR(Data!B736="",Data!#REF!=""),"",IF(Data!#REF!="",1,0))</f>
        <v>#REF!</v>
      </c>
      <c r="O736" s="17" t="e">
        <f>IF(Data!#REF!="","",IF(Data!#REF!="",1,0))</f>
        <v>#REF!</v>
      </c>
      <c r="P736" s="17" t="e">
        <f>IF(Data!#REF!="","",IF(ISNUMBER(MATCH(Data!#REF!,Data_Val!$A$2:$A$3,0)),0,1))</f>
        <v>#REF!</v>
      </c>
      <c r="Q736" s="25" t="e">
        <f ca="1">IF(Data!#REF!="","",IF(ISNUMBER(Data!#REF!),IF(AND(Data!#REF!&gt;(TODAY()-(Data_Val!$J$3*365.25)),Data!#REF!&lt;=(TODAY()-(Data_Val!$J$2*365.25))),0,1),1))</f>
        <v>#REF!</v>
      </c>
      <c r="R736" s="17" t="e">
        <f>IF(Data!#REF!="","",IF(ISNUMBER(MATCH(Data!#REF!,Data_Val!$B$2:$B$15,0)),0,1))</f>
        <v>#REF!</v>
      </c>
      <c r="S736" s="11" t="str">
        <f>IF(Data!G736="","",IF(Data!G736=Data_Val!$C$2,IF(Data!M736="",0,1),0))</f>
        <v/>
      </c>
      <c r="T736" s="11" t="str">
        <f>IF(Data!M736="","",IF(ISNUMBER(MATCH(Data!N736,Data_Val!$A$2:$A$3,0)),0,1))</f>
        <v/>
      </c>
      <c r="U736" s="11" t="str">
        <f ca="1">IF(Data!M736="","",IF(ISNUMBER(Data!O736),IF(AND(Data!O736&gt;(TODAY()-(Data_Val!$K$3*365.25)),Data!O736&lt;=(TODAY()-(Data_Val!$K$2*365.25))),0,1),1))</f>
        <v/>
      </c>
      <c r="V736" s="12" t="str">
        <f>IF(Data!G736="","",IF(Data!G736=Data_Val!$C$2,IF(Data!P736="",0,1),0))</f>
        <v/>
      </c>
      <c r="W736" s="12" t="str">
        <f>IF(Data!P736="","",IF(ISNUMBER(MATCH(Data!Q736,Data_Val!$A$2:$A$3,0)),0,1))</f>
        <v/>
      </c>
      <c r="X736" s="26" t="str">
        <f ca="1">IF(Data!P736="","",IF(ISNUMBER(Data!R736),IF(AND(Data!R736&gt;(TODAY()-(Data_Val!$L$3*365.25)),Data!R736&lt;=(TODAY()-(Data_Val!$L$2*365.25))),0,1),1))</f>
        <v/>
      </c>
      <c r="Y736" s="13" t="str">
        <f>IF(Data!$G736="","",IF(Data!$G736=Data_Val!$C$2,IF(Data!S736="",0,1),0))</f>
        <v/>
      </c>
      <c r="Z736" s="13" t="str">
        <f>IF(Data!S736="","",IF(ISNUMBER(MATCH(Data!T736,Data_Val!$A$2:$A$3,0)),0,1))</f>
        <v/>
      </c>
      <c r="AA736" s="28" t="str">
        <f ca="1">IF(Data!S736="","",IF(ISNUMBER(Data!U736),IF(AND(Data!U736&gt;(TODAY()-(Data_Val!$L$3*365.25)),Data!U736&lt;=(TODAY()-(Data_Val!$L$2*365.25))),0,1),1))</f>
        <v/>
      </c>
      <c r="AB736" s="11"/>
      <c r="AC736" s="11" t="e">
        <f>IF(Data!#REF!="","",IF(ISNUMBER(MATCH(Data!#REF!,Data_Val!$A$2:$A$3,0)),0,1))</f>
        <v>#REF!</v>
      </c>
      <c r="AD736" s="11" t="e">
        <f ca="1">IF(Data!#REF!="","",IF(ISNUMBER(Data!#REF!),IF(AND(Data!#REF!&gt;(TODAY()-(Data_Val!$L$3*365.25)),Data!#REF!&lt;=(TODAY()-(Data_Val!$L$2*365.25))),0,1),1))</f>
        <v>#REF!</v>
      </c>
      <c r="AE736" s="11" t="e">
        <f>IF(Data!#REF!="","",IF(Data!$G736="",1,IF(ISNUMBER(MATCH(Data!#REF!,Data_Val!$D$2:$D$10,0)),0,1)))</f>
        <v>#REF!</v>
      </c>
      <c r="AF736" s="12"/>
      <c r="AG736" s="12" t="e">
        <f>IF(Data!#REF!="","",IF(ISNUMBER(MATCH(Data!#REF!,Data_Val!$A$2:$A$3,0)),0,1))</f>
        <v>#REF!</v>
      </c>
      <c r="AH736" s="26" t="e">
        <f ca="1">IF(Data!#REF!="","",IF(ISNUMBER(Data!#REF!),IF(AND(Data!#REF!&gt;(TODAY()-(Data_Val!$L$3*365.25)),Data!#REF!&lt;=(TODAY()-(Data_Val!$L$2*365.25))),0,1),1))</f>
        <v>#REF!</v>
      </c>
      <c r="AI736" s="12" t="e">
        <f>IF(Data!#REF!="","",IF(Data!$G736="",1,IF(ISNUMBER(MATCH(Data!#REF!,Data_Val!$D$2:$D$10,0)),0,1)))</f>
        <v>#REF!</v>
      </c>
      <c r="AJ736" s="17"/>
      <c r="AK736" s="17" t="e">
        <f>IF(Data!#REF!="","",IF(ISNUMBER(MATCH(Data!#REF!,Data_Val!$A$2:$A$3,0)),0,1))</f>
        <v>#REF!</v>
      </c>
      <c r="AL736" s="25" t="e">
        <f ca="1">IF(Data!#REF!="","",IF(ISNUMBER(Data!#REF!),IF(AND(Data!#REF!&gt;(TODAY()-(Data_Val!$L$3*365.25)),Data!#REF!&lt;=(TODAY()-(Data_Val!$L$2*365.25))),0,1),1))</f>
        <v>#REF!</v>
      </c>
      <c r="AM736" s="17" t="e">
        <f>IF(Data!#REF!="","",IF(Data!$G736="",1,IF(ISNUMBER(MATCH(Data!#REF!,Data_Val!$D$2:$D$10,0)),0,1)))</f>
        <v>#REF!</v>
      </c>
      <c r="AN736" s="13"/>
      <c r="AO736" s="28" t="e">
        <f ca="1">IF(Data!#REF!="","",IF(ISNUMBER(Data!#REF!),IF(AND(Data!#REF!&gt;(TODAY()-(Data_Val!$I$3*365.25)),Data!#REF!&lt;=(TODAY()-(Data_Val!$I$2*365.25))),0,1),1))</f>
        <v>#REF!</v>
      </c>
      <c r="AP736" s="13" t="e">
        <f>IF(Data!#REF!="","",IF(Data!$G736="",1,IF(ISNUMBER(MATCH(Data!#REF!,Data_Val!$D$2:$D$10,0)),0,1)))</f>
        <v>#REF!</v>
      </c>
      <c r="AQ736" s="17"/>
      <c r="AR736" s="30" t="e">
        <f ca="1">IF(Data!#REF!="","",IF(ISNUMBER(Data!#REF!),IF(AND(Data!#REF!&gt;(TODAY()-(Data_Val!$I$3*365.25)),Data!#REF!&lt;=(TODAY()-(Data_Val!$I$2*365.25))),0,1),1))</f>
        <v>#REF!</v>
      </c>
      <c r="AS736" s="31" t="e">
        <f>IF(Data!#REF!="","",IF(Data!$G736="",1,IF(ISNUMBER(MATCH(Data!#REF!,Data_Val!$D$2:$D$10,0)),0,1)))</f>
        <v>#REF!</v>
      </c>
      <c r="AT736" s="11"/>
      <c r="AU736" s="11" t="e">
        <f ca="1">IF(Data!#REF!="","",IF(ISNUMBER(Data!#REF!),IF(AND(Data!#REF!&gt;(TODAY()-(Data_Val!$I$3*365.25)),Data!#REF!&lt;=(TODAY()-(Data_Val!$I$2*365.25))),0,1),1))</f>
        <v>#REF!</v>
      </c>
      <c r="AV736" s="11" t="e">
        <f>IF(Data!#REF!="","",IF(Data!$G736="",1,IF(ISNUMBER(MATCH(Data!#REF!,Data_Val!$D$2:$D$10,0)),0,1)))</f>
        <v>#REF!</v>
      </c>
      <c r="AW736" s="12"/>
      <c r="AX736" s="26" t="e">
        <f ca="1">IF(Data!#REF!="","",IF(ISNUMBER(Data!#REF!),IF(AND(Data!#REF!&gt;(TODAY()-(Data_Val!$I$3*365.25)),Data!#REF!&lt;=(TODAY()-(Data_Val!$I$2*365.25))),0,1),1))</f>
        <v>#REF!</v>
      </c>
      <c r="AY736" s="12" t="e">
        <f>IF(Data!#REF!="","",IF(Data!$G736="",1,IF(ISNUMBER(MATCH(Data!#REF!,Data_Val!$D$2:$D$10,0)),0,1)))</f>
        <v>#REF!</v>
      </c>
      <c r="AZ736" s="11"/>
      <c r="BA736" s="19" t="e">
        <f ca="1">IF(Data!#REF!="","",IF(ISNUMBER(Data!#REF!),IF(AND(Data!#REF!&gt;(TODAY()-(Data_Val!$M$3*365.25)),Data!#REF!&lt;=(TODAY()-(Data_Val!$M$2*365.25))),0,1),1))</f>
        <v>#REF!</v>
      </c>
      <c r="BB736" s="11" t="e">
        <f>IF(Data!#REF!="","",IF(Data!$G736="",1,IF(ISNUMBER(MATCH(Data!#REF!,Data_Val!$D$2:$D$10,0)),0,1)))</f>
        <v>#REF!</v>
      </c>
      <c r="BC736" s="12"/>
      <c r="BD736" s="20" t="e">
        <f ca="1">IF(Data!#REF!="","",IF(ISNUMBER(Data!#REF!),IF(AND(Data!#REF!&gt;(TODAY()-(Data_Val!$M$3*365.25)),Data!#REF!&lt;=(TODAY()-(Data_Val!$M$2*365.25))),0,1),1))</f>
        <v>#REF!</v>
      </c>
      <c r="BE736" s="12" t="e">
        <f>IF(Data!#REF!="","",IF(Data!$G736="",1,IF(ISNUMBER(MATCH(Data!#REF!,Data_Val!$D$2:$D$10,0)),0,1)))</f>
        <v>#REF!</v>
      </c>
      <c r="BF736" s="17"/>
      <c r="BG736" s="18" t="e">
        <f ca="1">IF(Data!#REF!="","",IF(ISNUMBER(Data!#REF!),IF(AND(Data!#REF!&gt;(TODAY()-(Data_Val!$M$3*365.25)),Data!#REF!&lt;=(TODAY()-(Data_Val!$M$2*365.25))),0,1),1))</f>
        <v>#REF!</v>
      </c>
      <c r="BH736" s="29" t="e">
        <f>IF(Data!#REF!="","",IF(Data!$G736="",1,IF(ISNUMBER(MATCH(Data!#REF!,Data_Val!$D$2:$D$10,0)),0,1)))</f>
        <v>#REF!</v>
      </c>
      <c r="BI736" s="13"/>
      <c r="BJ736" s="21" t="e">
        <f ca="1">IF(Data!#REF!="","",IF(ISNUMBER(Data!#REF!),IF(AND(Data!#REF!&gt;(TODAY()-(Data_Val!$M$3*365.25)),Data!#REF!&lt;=(TODAY()-(Data_Val!$M$2*365.25))),0,1),1))</f>
        <v>#REF!</v>
      </c>
      <c r="BK736" s="13" t="e">
        <f>IF(Data!#REF!="","",IF(Data!$G736="",1,IF(ISNUMBER(MATCH(Data!#REF!,Data_Val!$D$2:$D$10,0)),0,1)))</f>
        <v>#REF!</v>
      </c>
    </row>
    <row r="737" spans="1:63" x14ac:dyDescent="0.25">
      <c r="A737" s="9" t="str">
        <f>IF(Data!B737="","",IF(COUNTIFS(Data!A$1:'Data'!A737,Data!A737)&lt;=1,0,1))</f>
        <v/>
      </c>
      <c r="B737" s="9"/>
      <c r="C737" s="23" t="str">
        <f>IF(Data!C737="","",(IF(ISNUMBER(MATCH("*@*.?*",Data!C737,0)),0,1)+IF(COUNTIFS(Data!C$1:'Data'!C737,Data!C737)&gt;1,1,0)))</f>
        <v/>
      </c>
      <c r="D737" s="9" t="str">
        <f>IF(Data!B737="","",IF(ISNUMBER(Data!D737),IF(AND(Data!D737&gt;999999999,Data!D737&lt;=9999999999),IF(COUNTIFS(Data!D$1:'Data'!D737,Data!D737)&lt;=1,0,1),1),1))</f>
        <v/>
      </c>
      <c r="E737" s="9" t="str">
        <f>IF(Data!B737="","",IF(ISNUMBER(MATCH(Data!E737,Data_Val!$A$2:$A$3,0)),0,1))</f>
        <v/>
      </c>
      <c r="F737" s="9" t="str">
        <f ca="1">IF(Data!B737="","",IF(ISNUMBER(Data!F737),IF(AND(Data!F737&gt;(TODAY()-(Data_Val!$H$3*365.25)),Data!F737&lt;=(TODAY()-(Data_Val!$H$2*365.25))),0,1),1))</f>
        <v/>
      </c>
      <c r="G737" s="15" t="str">
        <f>IF(Data!B737="","",IF(AND(Data!G737="",Data!H737&lt;&gt;""),1,IF(Data!#REF!&lt;&gt;"",0,IF(ISNUMBER(MATCH(Data!G737,Data_Val!$C$2:$C$5,0)),0,1))))</f>
        <v/>
      </c>
      <c r="H737" s="15" t="str">
        <f>IF(Data!B737="","",IF(AND(Data!G737&lt;&gt;"",Data!H737=""),1,IF(Data!#REF!&lt;&gt;"",0,IF(Data!G737="",1,IF(ISNUMBER(MATCH(Data!H737,Data_Val!$D$2:$D$35,0)),0,1)))))</f>
        <v/>
      </c>
      <c r="I737" s="15" t="str">
        <f>IF(Data!B737="","",IF(Data!G737&lt;&gt;"",0,IF(ISNUMBER(MATCH(Data!#REF!,Data_Val!$E$2:$E$12,0)),0,1)))</f>
        <v/>
      </c>
      <c r="J737" s="16" t="e">
        <f>IF(OR(Data!B737="",Data!#REF!=""),"",IF(Data!#REF!="",1,0))</f>
        <v>#REF!</v>
      </c>
      <c r="K737" s="16" t="e">
        <f>IF(OR(Data!B737="",Data!#REF!=""),"",IF(Data!#REF!="",1,0))</f>
        <v>#REF!</v>
      </c>
      <c r="L737" s="16" t="e">
        <f>IF(OR(Data!B737="",Data!#REF!=""),"",IF(ISNUMBER(Data!#REF!),IF(AND(Data!#REF!&gt;Data_Val!$G$2,Data!#REF!&lt;=Data_Val!$G$3),0,1),1))</f>
        <v>#REF!</v>
      </c>
      <c r="M737" s="9" t="e">
        <f>IF(OR(Data!B737="",Data!#REF!=""),"",IF(ISNUMBER(MATCH(Data!#REF!,Data_Val!$F$1:$F$38,0)),0,1))</f>
        <v>#REF!</v>
      </c>
      <c r="N737" s="9" t="e">
        <f>IF(OR(Data!B737="",Data!#REF!=""),"",IF(Data!#REF!="",1,0))</f>
        <v>#REF!</v>
      </c>
      <c r="O737" s="17" t="e">
        <f>IF(Data!#REF!="","",IF(Data!#REF!="",1,0))</f>
        <v>#REF!</v>
      </c>
      <c r="P737" s="17" t="e">
        <f>IF(Data!#REF!="","",IF(ISNUMBER(MATCH(Data!#REF!,Data_Val!$A$2:$A$3,0)),0,1))</f>
        <v>#REF!</v>
      </c>
      <c r="Q737" s="25" t="e">
        <f ca="1">IF(Data!#REF!="","",IF(ISNUMBER(Data!#REF!),IF(AND(Data!#REF!&gt;(TODAY()-(Data_Val!$J$3*365.25)),Data!#REF!&lt;=(TODAY()-(Data_Val!$J$2*365.25))),0,1),1))</f>
        <v>#REF!</v>
      </c>
      <c r="R737" s="17" t="e">
        <f>IF(Data!#REF!="","",IF(ISNUMBER(MATCH(Data!#REF!,Data_Val!$B$2:$B$15,0)),0,1))</f>
        <v>#REF!</v>
      </c>
      <c r="S737" s="11" t="str">
        <f>IF(Data!G737="","",IF(Data!G737=Data_Val!$C$2,IF(Data!M737="",0,1),0))</f>
        <v/>
      </c>
      <c r="T737" s="11" t="str">
        <f>IF(Data!M737="","",IF(ISNUMBER(MATCH(Data!N737,Data_Val!$A$2:$A$3,0)),0,1))</f>
        <v/>
      </c>
      <c r="U737" s="11" t="str">
        <f ca="1">IF(Data!M737="","",IF(ISNUMBER(Data!O737),IF(AND(Data!O737&gt;(TODAY()-(Data_Val!$K$3*365.25)),Data!O737&lt;=(TODAY()-(Data_Val!$K$2*365.25))),0,1),1))</f>
        <v/>
      </c>
      <c r="V737" s="12" t="str">
        <f>IF(Data!G737="","",IF(Data!G737=Data_Val!$C$2,IF(Data!P737="",0,1),0))</f>
        <v/>
      </c>
      <c r="W737" s="12" t="str">
        <f>IF(Data!P737="","",IF(ISNUMBER(MATCH(Data!Q737,Data_Val!$A$2:$A$3,0)),0,1))</f>
        <v/>
      </c>
      <c r="X737" s="26" t="str">
        <f ca="1">IF(Data!P737="","",IF(ISNUMBER(Data!R737),IF(AND(Data!R737&gt;(TODAY()-(Data_Val!$L$3*365.25)),Data!R737&lt;=(TODAY()-(Data_Val!$L$2*365.25))),0,1),1))</f>
        <v/>
      </c>
      <c r="Y737" s="13" t="str">
        <f>IF(Data!$G737="","",IF(Data!$G737=Data_Val!$C$2,IF(Data!S737="",0,1),0))</f>
        <v/>
      </c>
      <c r="Z737" s="13" t="str">
        <f>IF(Data!S737="","",IF(ISNUMBER(MATCH(Data!T737,Data_Val!$A$2:$A$3,0)),0,1))</f>
        <v/>
      </c>
      <c r="AA737" s="28" t="str">
        <f ca="1">IF(Data!S737="","",IF(ISNUMBER(Data!U737),IF(AND(Data!U737&gt;(TODAY()-(Data_Val!$L$3*365.25)),Data!U737&lt;=(TODAY()-(Data_Val!$L$2*365.25))),0,1),1))</f>
        <v/>
      </c>
      <c r="AB737" s="11"/>
      <c r="AC737" s="11" t="e">
        <f>IF(Data!#REF!="","",IF(ISNUMBER(MATCH(Data!#REF!,Data_Val!$A$2:$A$3,0)),0,1))</f>
        <v>#REF!</v>
      </c>
      <c r="AD737" s="11" t="e">
        <f ca="1">IF(Data!#REF!="","",IF(ISNUMBER(Data!#REF!),IF(AND(Data!#REF!&gt;(TODAY()-(Data_Val!$L$3*365.25)),Data!#REF!&lt;=(TODAY()-(Data_Val!$L$2*365.25))),0,1),1))</f>
        <v>#REF!</v>
      </c>
      <c r="AE737" s="11" t="e">
        <f>IF(Data!#REF!="","",IF(Data!$G737="",1,IF(ISNUMBER(MATCH(Data!#REF!,Data_Val!$D$2:$D$10,0)),0,1)))</f>
        <v>#REF!</v>
      </c>
      <c r="AF737" s="12"/>
      <c r="AG737" s="12" t="e">
        <f>IF(Data!#REF!="","",IF(ISNUMBER(MATCH(Data!#REF!,Data_Val!$A$2:$A$3,0)),0,1))</f>
        <v>#REF!</v>
      </c>
      <c r="AH737" s="26" t="e">
        <f ca="1">IF(Data!#REF!="","",IF(ISNUMBER(Data!#REF!),IF(AND(Data!#REF!&gt;(TODAY()-(Data_Val!$L$3*365.25)),Data!#REF!&lt;=(TODAY()-(Data_Val!$L$2*365.25))),0,1),1))</f>
        <v>#REF!</v>
      </c>
      <c r="AI737" s="12" t="e">
        <f>IF(Data!#REF!="","",IF(Data!$G737="",1,IF(ISNUMBER(MATCH(Data!#REF!,Data_Val!$D$2:$D$10,0)),0,1)))</f>
        <v>#REF!</v>
      </c>
      <c r="AJ737" s="17"/>
      <c r="AK737" s="17" t="e">
        <f>IF(Data!#REF!="","",IF(ISNUMBER(MATCH(Data!#REF!,Data_Val!$A$2:$A$3,0)),0,1))</f>
        <v>#REF!</v>
      </c>
      <c r="AL737" s="25" t="e">
        <f ca="1">IF(Data!#REF!="","",IF(ISNUMBER(Data!#REF!),IF(AND(Data!#REF!&gt;(TODAY()-(Data_Val!$L$3*365.25)),Data!#REF!&lt;=(TODAY()-(Data_Val!$L$2*365.25))),0,1),1))</f>
        <v>#REF!</v>
      </c>
      <c r="AM737" s="17" t="e">
        <f>IF(Data!#REF!="","",IF(Data!$G737="",1,IF(ISNUMBER(MATCH(Data!#REF!,Data_Val!$D$2:$D$10,0)),0,1)))</f>
        <v>#REF!</v>
      </c>
      <c r="AN737" s="13"/>
      <c r="AO737" s="28" t="e">
        <f ca="1">IF(Data!#REF!="","",IF(ISNUMBER(Data!#REF!),IF(AND(Data!#REF!&gt;(TODAY()-(Data_Val!$I$3*365.25)),Data!#REF!&lt;=(TODAY()-(Data_Val!$I$2*365.25))),0,1),1))</f>
        <v>#REF!</v>
      </c>
      <c r="AP737" s="13" t="e">
        <f>IF(Data!#REF!="","",IF(Data!$G737="",1,IF(ISNUMBER(MATCH(Data!#REF!,Data_Val!$D$2:$D$10,0)),0,1)))</f>
        <v>#REF!</v>
      </c>
      <c r="AQ737" s="17"/>
      <c r="AR737" s="30" t="e">
        <f ca="1">IF(Data!#REF!="","",IF(ISNUMBER(Data!#REF!),IF(AND(Data!#REF!&gt;(TODAY()-(Data_Val!$I$3*365.25)),Data!#REF!&lt;=(TODAY()-(Data_Val!$I$2*365.25))),0,1),1))</f>
        <v>#REF!</v>
      </c>
      <c r="AS737" s="31" t="e">
        <f>IF(Data!#REF!="","",IF(Data!$G737="",1,IF(ISNUMBER(MATCH(Data!#REF!,Data_Val!$D$2:$D$10,0)),0,1)))</f>
        <v>#REF!</v>
      </c>
      <c r="AT737" s="11"/>
      <c r="AU737" s="11" t="e">
        <f ca="1">IF(Data!#REF!="","",IF(ISNUMBER(Data!#REF!),IF(AND(Data!#REF!&gt;(TODAY()-(Data_Val!$I$3*365.25)),Data!#REF!&lt;=(TODAY()-(Data_Val!$I$2*365.25))),0,1),1))</f>
        <v>#REF!</v>
      </c>
      <c r="AV737" s="11" t="e">
        <f>IF(Data!#REF!="","",IF(Data!$G737="",1,IF(ISNUMBER(MATCH(Data!#REF!,Data_Val!$D$2:$D$10,0)),0,1)))</f>
        <v>#REF!</v>
      </c>
      <c r="AW737" s="12"/>
      <c r="AX737" s="26" t="e">
        <f ca="1">IF(Data!#REF!="","",IF(ISNUMBER(Data!#REF!),IF(AND(Data!#REF!&gt;(TODAY()-(Data_Val!$I$3*365.25)),Data!#REF!&lt;=(TODAY()-(Data_Val!$I$2*365.25))),0,1),1))</f>
        <v>#REF!</v>
      </c>
      <c r="AY737" s="12" t="e">
        <f>IF(Data!#REF!="","",IF(Data!$G737="",1,IF(ISNUMBER(MATCH(Data!#REF!,Data_Val!$D$2:$D$10,0)),0,1)))</f>
        <v>#REF!</v>
      </c>
      <c r="AZ737" s="11"/>
      <c r="BA737" s="19" t="e">
        <f ca="1">IF(Data!#REF!="","",IF(ISNUMBER(Data!#REF!),IF(AND(Data!#REF!&gt;(TODAY()-(Data_Val!$M$3*365.25)),Data!#REF!&lt;=(TODAY()-(Data_Val!$M$2*365.25))),0,1),1))</f>
        <v>#REF!</v>
      </c>
      <c r="BB737" s="11" t="e">
        <f>IF(Data!#REF!="","",IF(Data!$G737="",1,IF(ISNUMBER(MATCH(Data!#REF!,Data_Val!$D$2:$D$10,0)),0,1)))</f>
        <v>#REF!</v>
      </c>
      <c r="BC737" s="12"/>
      <c r="BD737" s="20" t="e">
        <f ca="1">IF(Data!#REF!="","",IF(ISNUMBER(Data!#REF!),IF(AND(Data!#REF!&gt;(TODAY()-(Data_Val!$M$3*365.25)),Data!#REF!&lt;=(TODAY()-(Data_Val!$M$2*365.25))),0,1),1))</f>
        <v>#REF!</v>
      </c>
      <c r="BE737" s="12" t="e">
        <f>IF(Data!#REF!="","",IF(Data!$G737="",1,IF(ISNUMBER(MATCH(Data!#REF!,Data_Val!$D$2:$D$10,0)),0,1)))</f>
        <v>#REF!</v>
      </c>
      <c r="BF737" s="17"/>
      <c r="BG737" s="18" t="e">
        <f ca="1">IF(Data!#REF!="","",IF(ISNUMBER(Data!#REF!),IF(AND(Data!#REF!&gt;(TODAY()-(Data_Val!$M$3*365.25)),Data!#REF!&lt;=(TODAY()-(Data_Val!$M$2*365.25))),0,1),1))</f>
        <v>#REF!</v>
      </c>
      <c r="BH737" s="29" t="e">
        <f>IF(Data!#REF!="","",IF(Data!$G737="",1,IF(ISNUMBER(MATCH(Data!#REF!,Data_Val!$D$2:$D$10,0)),0,1)))</f>
        <v>#REF!</v>
      </c>
      <c r="BI737" s="13"/>
      <c r="BJ737" s="21" t="e">
        <f ca="1">IF(Data!#REF!="","",IF(ISNUMBER(Data!#REF!),IF(AND(Data!#REF!&gt;(TODAY()-(Data_Val!$M$3*365.25)),Data!#REF!&lt;=(TODAY()-(Data_Val!$M$2*365.25))),0,1),1))</f>
        <v>#REF!</v>
      </c>
      <c r="BK737" s="13" t="e">
        <f>IF(Data!#REF!="","",IF(Data!$G737="",1,IF(ISNUMBER(MATCH(Data!#REF!,Data_Val!$D$2:$D$10,0)),0,1)))</f>
        <v>#REF!</v>
      </c>
    </row>
    <row r="738" spans="1:63" x14ac:dyDescent="0.25">
      <c r="A738" s="9" t="str">
        <f>IF(Data!B738="","",IF(COUNTIFS(Data!A$1:'Data'!A738,Data!A738)&lt;=1,0,1))</f>
        <v/>
      </c>
      <c r="B738" s="9"/>
      <c r="C738" s="23" t="str">
        <f>IF(Data!C738="","",(IF(ISNUMBER(MATCH("*@*.?*",Data!C738,0)),0,1)+IF(COUNTIFS(Data!C$1:'Data'!C738,Data!C738)&gt;1,1,0)))</f>
        <v/>
      </c>
      <c r="D738" s="9" t="str">
        <f>IF(Data!B738="","",IF(ISNUMBER(Data!D738),IF(AND(Data!D738&gt;999999999,Data!D738&lt;=9999999999),IF(COUNTIFS(Data!D$1:'Data'!D738,Data!D738)&lt;=1,0,1),1),1))</f>
        <v/>
      </c>
      <c r="E738" s="9" t="str">
        <f>IF(Data!B738="","",IF(ISNUMBER(MATCH(Data!E738,Data_Val!$A$2:$A$3,0)),0,1))</f>
        <v/>
      </c>
      <c r="F738" s="9" t="str">
        <f ca="1">IF(Data!B738="","",IF(ISNUMBER(Data!F738),IF(AND(Data!F738&gt;(TODAY()-(Data_Val!$H$3*365.25)),Data!F738&lt;=(TODAY()-(Data_Val!$H$2*365.25))),0,1),1))</f>
        <v/>
      </c>
      <c r="G738" s="15" t="str">
        <f>IF(Data!B738="","",IF(AND(Data!G738="",Data!H738&lt;&gt;""),1,IF(Data!#REF!&lt;&gt;"",0,IF(ISNUMBER(MATCH(Data!G738,Data_Val!$C$2:$C$5,0)),0,1))))</f>
        <v/>
      </c>
      <c r="H738" s="15" t="str">
        <f>IF(Data!B738="","",IF(AND(Data!G738&lt;&gt;"",Data!H738=""),1,IF(Data!#REF!&lt;&gt;"",0,IF(Data!G738="",1,IF(ISNUMBER(MATCH(Data!H738,Data_Val!$D$2:$D$35,0)),0,1)))))</f>
        <v/>
      </c>
      <c r="I738" s="15" t="str">
        <f>IF(Data!B738="","",IF(Data!G738&lt;&gt;"",0,IF(ISNUMBER(MATCH(Data!#REF!,Data_Val!$E$2:$E$12,0)),0,1)))</f>
        <v/>
      </c>
      <c r="J738" s="16" t="e">
        <f>IF(OR(Data!B738="",Data!#REF!=""),"",IF(Data!#REF!="",1,0))</f>
        <v>#REF!</v>
      </c>
      <c r="K738" s="16" t="e">
        <f>IF(OR(Data!B738="",Data!#REF!=""),"",IF(Data!#REF!="",1,0))</f>
        <v>#REF!</v>
      </c>
      <c r="L738" s="16" t="e">
        <f>IF(OR(Data!B738="",Data!#REF!=""),"",IF(ISNUMBER(Data!#REF!),IF(AND(Data!#REF!&gt;Data_Val!$G$2,Data!#REF!&lt;=Data_Val!$G$3),0,1),1))</f>
        <v>#REF!</v>
      </c>
      <c r="M738" s="9" t="e">
        <f>IF(OR(Data!B738="",Data!#REF!=""),"",IF(ISNUMBER(MATCH(Data!#REF!,Data_Val!$F$1:$F$38,0)),0,1))</f>
        <v>#REF!</v>
      </c>
      <c r="N738" s="9" t="e">
        <f>IF(OR(Data!B738="",Data!#REF!=""),"",IF(Data!#REF!="",1,0))</f>
        <v>#REF!</v>
      </c>
      <c r="O738" s="17" t="e">
        <f>IF(Data!#REF!="","",IF(Data!#REF!="",1,0))</f>
        <v>#REF!</v>
      </c>
      <c r="P738" s="17" t="e">
        <f>IF(Data!#REF!="","",IF(ISNUMBER(MATCH(Data!#REF!,Data_Val!$A$2:$A$3,0)),0,1))</f>
        <v>#REF!</v>
      </c>
      <c r="Q738" s="25" t="e">
        <f ca="1">IF(Data!#REF!="","",IF(ISNUMBER(Data!#REF!),IF(AND(Data!#REF!&gt;(TODAY()-(Data_Val!$J$3*365.25)),Data!#REF!&lt;=(TODAY()-(Data_Val!$J$2*365.25))),0,1),1))</f>
        <v>#REF!</v>
      </c>
      <c r="R738" s="17" t="e">
        <f>IF(Data!#REF!="","",IF(ISNUMBER(MATCH(Data!#REF!,Data_Val!$B$2:$B$15,0)),0,1))</f>
        <v>#REF!</v>
      </c>
      <c r="S738" s="11" t="str">
        <f>IF(Data!G738="","",IF(Data!G738=Data_Val!$C$2,IF(Data!M738="",0,1),0))</f>
        <v/>
      </c>
      <c r="T738" s="11" t="str">
        <f>IF(Data!M738="","",IF(ISNUMBER(MATCH(Data!N738,Data_Val!$A$2:$A$3,0)),0,1))</f>
        <v/>
      </c>
      <c r="U738" s="11" t="str">
        <f ca="1">IF(Data!M738="","",IF(ISNUMBER(Data!O738),IF(AND(Data!O738&gt;(TODAY()-(Data_Val!$K$3*365.25)),Data!O738&lt;=(TODAY()-(Data_Val!$K$2*365.25))),0,1),1))</f>
        <v/>
      </c>
      <c r="V738" s="12" t="str">
        <f>IF(Data!G738="","",IF(Data!G738=Data_Val!$C$2,IF(Data!P738="",0,1),0))</f>
        <v/>
      </c>
      <c r="W738" s="12" t="str">
        <f>IF(Data!P738="","",IF(ISNUMBER(MATCH(Data!Q738,Data_Val!$A$2:$A$3,0)),0,1))</f>
        <v/>
      </c>
      <c r="X738" s="26" t="str">
        <f ca="1">IF(Data!P738="","",IF(ISNUMBER(Data!R738),IF(AND(Data!R738&gt;(TODAY()-(Data_Val!$L$3*365.25)),Data!R738&lt;=(TODAY()-(Data_Val!$L$2*365.25))),0,1),1))</f>
        <v/>
      </c>
      <c r="Y738" s="13" t="str">
        <f>IF(Data!$G738="","",IF(Data!$G738=Data_Val!$C$2,IF(Data!S738="",0,1),0))</f>
        <v/>
      </c>
      <c r="Z738" s="13" t="str">
        <f>IF(Data!S738="","",IF(ISNUMBER(MATCH(Data!T738,Data_Val!$A$2:$A$3,0)),0,1))</f>
        <v/>
      </c>
      <c r="AA738" s="28" t="str">
        <f ca="1">IF(Data!S738="","",IF(ISNUMBER(Data!U738),IF(AND(Data!U738&gt;(TODAY()-(Data_Val!$L$3*365.25)),Data!U738&lt;=(TODAY()-(Data_Val!$L$2*365.25))),0,1),1))</f>
        <v/>
      </c>
      <c r="AB738" s="11"/>
      <c r="AC738" s="11" t="e">
        <f>IF(Data!#REF!="","",IF(ISNUMBER(MATCH(Data!#REF!,Data_Val!$A$2:$A$3,0)),0,1))</f>
        <v>#REF!</v>
      </c>
      <c r="AD738" s="11" t="e">
        <f ca="1">IF(Data!#REF!="","",IF(ISNUMBER(Data!#REF!),IF(AND(Data!#REF!&gt;(TODAY()-(Data_Val!$L$3*365.25)),Data!#REF!&lt;=(TODAY()-(Data_Val!$L$2*365.25))),0,1),1))</f>
        <v>#REF!</v>
      </c>
      <c r="AE738" s="11" t="e">
        <f>IF(Data!#REF!="","",IF(Data!$G738="",1,IF(ISNUMBER(MATCH(Data!#REF!,Data_Val!$D$2:$D$10,0)),0,1)))</f>
        <v>#REF!</v>
      </c>
      <c r="AF738" s="12"/>
      <c r="AG738" s="12" t="e">
        <f>IF(Data!#REF!="","",IF(ISNUMBER(MATCH(Data!#REF!,Data_Val!$A$2:$A$3,0)),0,1))</f>
        <v>#REF!</v>
      </c>
      <c r="AH738" s="26" t="e">
        <f ca="1">IF(Data!#REF!="","",IF(ISNUMBER(Data!#REF!),IF(AND(Data!#REF!&gt;(TODAY()-(Data_Val!$L$3*365.25)),Data!#REF!&lt;=(TODAY()-(Data_Val!$L$2*365.25))),0,1),1))</f>
        <v>#REF!</v>
      </c>
      <c r="AI738" s="12" t="e">
        <f>IF(Data!#REF!="","",IF(Data!$G738="",1,IF(ISNUMBER(MATCH(Data!#REF!,Data_Val!$D$2:$D$10,0)),0,1)))</f>
        <v>#REF!</v>
      </c>
      <c r="AJ738" s="17"/>
      <c r="AK738" s="17" t="e">
        <f>IF(Data!#REF!="","",IF(ISNUMBER(MATCH(Data!#REF!,Data_Val!$A$2:$A$3,0)),0,1))</f>
        <v>#REF!</v>
      </c>
      <c r="AL738" s="25" t="e">
        <f ca="1">IF(Data!#REF!="","",IF(ISNUMBER(Data!#REF!),IF(AND(Data!#REF!&gt;(TODAY()-(Data_Val!$L$3*365.25)),Data!#REF!&lt;=(TODAY()-(Data_Val!$L$2*365.25))),0,1),1))</f>
        <v>#REF!</v>
      </c>
      <c r="AM738" s="17" t="e">
        <f>IF(Data!#REF!="","",IF(Data!$G738="",1,IF(ISNUMBER(MATCH(Data!#REF!,Data_Val!$D$2:$D$10,0)),0,1)))</f>
        <v>#REF!</v>
      </c>
      <c r="AN738" s="13"/>
      <c r="AO738" s="28" t="e">
        <f ca="1">IF(Data!#REF!="","",IF(ISNUMBER(Data!#REF!),IF(AND(Data!#REF!&gt;(TODAY()-(Data_Val!$I$3*365.25)),Data!#REF!&lt;=(TODAY()-(Data_Val!$I$2*365.25))),0,1),1))</f>
        <v>#REF!</v>
      </c>
      <c r="AP738" s="13" t="e">
        <f>IF(Data!#REF!="","",IF(Data!$G738="",1,IF(ISNUMBER(MATCH(Data!#REF!,Data_Val!$D$2:$D$10,0)),0,1)))</f>
        <v>#REF!</v>
      </c>
      <c r="AQ738" s="17"/>
      <c r="AR738" s="30" t="e">
        <f ca="1">IF(Data!#REF!="","",IF(ISNUMBER(Data!#REF!),IF(AND(Data!#REF!&gt;(TODAY()-(Data_Val!$I$3*365.25)),Data!#REF!&lt;=(TODAY()-(Data_Val!$I$2*365.25))),0,1),1))</f>
        <v>#REF!</v>
      </c>
      <c r="AS738" s="31" t="e">
        <f>IF(Data!#REF!="","",IF(Data!$G738="",1,IF(ISNUMBER(MATCH(Data!#REF!,Data_Val!$D$2:$D$10,0)),0,1)))</f>
        <v>#REF!</v>
      </c>
      <c r="AT738" s="11"/>
      <c r="AU738" s="11" t="e">
        <f ca="1">IF(Data!#REF!="","",IF(ISNUMBER(Data!#REF!),IF(AND(Data!#REF!&gt;(TODAY()-(Data_Val!$I$3*365.25)),Data!#REF!&lt;=(TODAY()-(Data_Val!$I$2*365.25))),0,1),1))</f>
        <v>#REF!</v>
      </c>
      <c r="AV738" s="11" t="e">
        <f>IF(Data!#REF!="","",IF(Data!$G738="",1,IF(ISNUMBER(MATCH(Data!#REF!,Data_Val!$D$2:$D$10,0)),0,1)))</f>
        <v>#REF!</v>
      </c>
      <c r="AW738" s="12"/>
      <c r="AX738" s="26" t="e">
        <f ca="1">IF(Data!#REF!="","",IF(ISNUMBER(Data!#REF!),IF(AND(Data!#REF!&gt;(TODAY()-(Data_Val!$I$3*365.25)),Data!#REF!&lt;=(TODAY()-(Data_Val!$I$2*365.25))),0,1),1))</f>
        <v>#REF!</v>
      </c>
      <c r="AY738" s="12" t="e">
        <f>IF(Data!#REF!="","",IF(Data!$G738="",1,IF(ISNUMBER(MATCH(Data!#REF!,Data_Val!$D$2:$D$10,0)),0,1)))</f>
        <v>#REF!</v>
      </c>
      <c r="AZ738" s="11"/>
      <c r="BA738" s="19" t="e">
        <f ca="1">IF(Data!#REF!="","",IF(ISNUMBER(Data!#REF!),IF(AND(Data!#REF!&gt;(TODAY()-(Data_Val!$M$3*365.25)),Data!#REF!&lt;=(TODAY()-(Data_Val!$M$2*365.25))),0,1),1))</f>
        <v>#REF!</v>
      </c>
      <c r="BB738" s="11" t="e">
        <f>IF(Data!#REF!="","",IF(Data!$G738="",1,IF(ISNUMBER(MATCH(Data!#REF!,Data_Val!$D$2:$D$10,0)),0,1)))</f>
        <v>#REF!</v>
      </c>
      <c r="BC738" s="12"/>
      <c r="BD738" s="20" t="e">
        <f ca="1">IF(Data!#REF!="","",IF(ISNUMBER(Data!#REF!),IF(AND(Data!#REF!&gt;(TODAY()-(Data_Val!$M$3*365.25)),Data!#REF!&lt;=(TODAY()-(Data_Val!$M$2*365.25))),0,1),1))</f>
        <v>#REF!</v>
      </c>
      <c r="BE738" s="12" t="e">
        <f>IF(Data!#REF!="","",IF(Data!$G738="",1,IF(ISNUMBER(MATCH(Data!#REF!,Data_Val!$D$2:$D$10,0)),0,1)))</f>
        <v>#REF!</v>
      </c>
      <c r="BF738" s="17"/>
      <c r="BG738" s="18" t="e">
        <f ca="1">IF(Data!#REF!="","",IF(ISNUMBER(Data!#REF!),IF(AND(Data!#REF!&gt;(TODAY()-(Data_Val!$M$3*365.25)),Data!#REF!&lt;=(TODAY()-(Data_Val!$M$2*365.25))),0,1),1))</f>
        <v>#REF!</v>
      </c>
      <c r="BH738" s="29" t="e">
        <f>IF(Data!#REF!="","",IF(Data!$G738="",1,IF(ISNUMBER(MATCH(Data!#REF!,Data_Val!$D$2:$D$10,0)),0,1)))</f>
        <v>#REF!</v>
      </c>
      <c r="BI738" s="13"/>
      <c r="BJ738" s="21" t="e">
        <f ca="1">IF(Data!#REF!="","",IF(ISNUMBER(Data!#REF!),IF(AND(Data!#REF!&gt;(TODAY()-(Data_Val!$M$3*365.25)),Data!#REF!&lt;=(TODAY()-(Data_Val!$M$2*365.25))),0,1),1))</f>
        <v>#REF!</v>
      </c>
      <c r="BK738" s="13" t="e">
        <f>IF(Data!#REF!="","",IF(Data!$G738="",1,IF(ISNUMBER(MATCH(Data!#REF!,Data_Val!$D$2:$D$10,0)),0,1)))</f>
        <v>#REF!</v>
      </c>
    </row>
    <row r="739" spans="1:63" x14ac:dyDescent="0.25">
      <c r="A739" s="9" t="str">
        <f>IF(Data!B739="","",IF(COUNTIFS(Data!A$1:'Data'!A739,Data!A739)&lt;=1,0,1))</f>
        <v/>
      </c>
      <c r="B739" s="9"/>
      <c r="C739" s="23" t="str">
        <f>IF(Data!C739="","",(IF(ISNUMBER(MATCH("*@*.?*",Data!C739,0)),0,1)+IF(COUNTIFS(Data!C$1:'Data'!C739,Data!C739)&gt;1,1,0)))</f>
        <v/>
      </c>
      <c r="D739" s="9" t="str">
        <f>IF(Data!B739="","",IF(ISNUMBER(Data!D739),IF(AND(Data!D739&gt;999999999,Data!D739&lt;=9999999999),IF(COUNTIFS(Data!D$1:'Data'!D739,Data!D739)&lt;=1,0,1),1),1))</f>
        <v/>
      </c>
      <c r="E739" s="9" t="str">
        <f>IF(Data!B739="","",IF(ISNUMBER(MATCH(Data!E739,Data_Val!$A$2:$A$3,0)),0,1))</f>
        <v/>
      </c>
      <c r="F739" s="9" t="str">
        <f ca="1">IF(Data!B739="","",IF(ISNUMBER(Data!F739),IF(AND(Data!F739&gt;(TODAY()-(Data_Val!$H$3*365.25)),Data!F739&lt;=(TODAY()-(Data_Val!$H$2*365.25))),0,1),1))</f>
        <v/>
      </c>
      <c r="G739" s="15" t="str">
        <f>IF(Data!B739="","",IF(AND(Data!G739="",Data!H739&lt;&gt;""),1,IF(Data!#REF!&lt;&gt;"",0,IF(ISNUMBER(MATCH(Data!G739,Data_Val!$C$2:$C$5,0)),0,1))))</f>
        <v/>
      </c>
      <c r="H739" s="15" t="str">
        <f>IF(Data!B739="","",IF(AND(Data!G739&lt;&gt;"",Data!H739=""),1,IF(Data!#REF!&lt;&gt;"",0,IF(Data!G739="",1,IF(ISNUMBER(MATCH(Data!H739,Data_Val!$D$2:$D$35,0)),0,1)))))</f>
        <v/>
      </c>
      <c r="I739" s="15" t="str">
        <f>IF(Data!B739="","",IF(Data!G739&lt;&gt;"",0,IF(ISNUMBER(MATCH(Data!#REF!,Data_Val!$E$2:$E$12,0)),0,1)))</f>
        <v/>
      </c>
      <c r="J739" s="16" t="e">
        <f>IF(OR(Data!B739="",Data!#REF!=""),"",IF(Data!#REF!="",1,0))</f>
        <v>#REF!</v>
      </c>
      <c r="K739" s="16" t="e">
        <f>IF(OR(Data!B739="",Data!#REF!=""),"",IF(Data!#REF!="",1,0))</f>
        <v>#REF!</v>
      </c>
      <c r="L739" s="16" t="e">
        <f>IF(OR(Data!B739="",Data!#REF!=""),"",IF(ISNUMBER(Data!#REF!),IF(AND(Data!#REF!&gt;Data_Val!$G$2,Data!#REF!&lt;=Data_Val!$G$3),0,1),1))</f>
        <v>#REF!</v>
      </c>
      <c r="M739" s="9" t="e">
        <f>IF(OR(Data!B739="",Data!#REF!=""),"",IF(ISNUMBER(MATCH(Data!#REF!,Data_Val!$F$1:$F$38,0)),0,1))</f>
        <v>#REF!</v>
      </c>
      <c r="N739" s="9" t="e">
        <f>IF(OR(Data!B739="",Data!#REF!=""),"",IF(Data!#REF!="",1,0))</f>
        <v>#REF!</v>
      </c>
      <c r="O739" s="17" t="e">
        <f>IF(Data!#REF!="","",IF(Data!#REF!="",1,0))</f>
        <v>#REF!</v>
      </c>
      <c r="P739" s="17" t="e">
        <f>IF(Data!#REF!="","",IF(ISNUMBER(MATCH(Data!#REF!,Data_Val!$A$2:$A$3,0)),0,1))</f>
        <v>#REF!</v>
      </c>
      <c r="Q739" s="25" t="e">
        <f ca="1">IF(Data!#REF!="","",IF(ISNUMBER(Data!#REF!),IF(AND(Data!#REF!&gt;(TODAY()-(Data_Val!$J$3*365.25)),Data!#REF!&lt;=(TODAY()-(Data_Val!$J$2*365.25))),0,1),1))</f>
        <v>#REF!</v>
      </c>
      <c r="R739" s="17" t="e">
        <f>IF(Data!#REF!="","",IF(ISNUMBER(MATCH(Data!#REF!,Data_Val!$B$2:$B$15,0)),0,1))</f>
        <v>#REF!</v>
      </c>
      <c r="S739" s="11" t="str">
        <f>IF(Data!G739="","",IF(Data!G739=Data_Val!$C$2,IF(Data!M739="",0,1),0))</f>
        <v/>
      </c>
      <c r="T739" s="11" t="str">
        <f>IF(Data!M739="","",IF(ISNUMBER(MATCH(Data!N739,Data_Val!$A$2:$A$3,0)),0,1))</f>
        <v/>
      </c>
      <c r="U739" s="11" t="str">
        <f ca="1">IF(Data!M739="","",IF(ISNUMBER(Data!O739),IF(AND(Data!O739&gt;(TODAY()-(Data_Val!$K$3*365.25)),Data!O739&lt;=(TODAY()-(Data_Val!$K$2*365.25))),0,1),1))</f>
        <v/>
      </c>
      <c r="V739" s="12" t="str">
        <f>IF(Data!G739="","",IF(Data!G739=Data_Val!$C$2,IF(Data!P739="",0,1),0))</f>
        <v/>
      </c>
      <c r="W739" s="12" t="str">
        <f>IF(Data!P739="","",IF(ISNUMBER(MATCH(Data!Q739,Data_Val!$A$2:$A$3,0)),0,1))</f>
        <v/>
      </c>
      <c r="X739" s="26" t="str">
        <f ca="1">IF(Data!P739="","",IF(ISNUMBER(Data!R739),IF(AND(Data!R739&gt;(TODAY()-(Data_Val!$L$3*365.25)),Data!R739&lt;=(TODAY()-(Data_Val!$L$2*365.25))),0,1),1))</f>
        <v/>
      </c>
      <c r="Y739" s="13" t="str">
        <f>IF(Data!$G739="","",IF(Data!$G739=Data_Val!$C$2,IF(Data!S739="",0,1),0))</f>
        <v/>
      </c>
      <c r="Z739" s="13" t="str">
        <f>IF(Data!S739="","",IF(ISNUMBER(MATCH(Data!T739,Data_Val!$A$2:$A$3,0)),0,1))</f>
        <v/>
      </c>
      <c r="AA739" s="28" t="str">
        <f ca="1">IF(Data!S739="","",IF(ISNUMBER(Data!U739),IF(AND(Data!U739&gt;(TODAY()-(Data_Val!$L$3*365.25)),Data!U739&lt;=(TODAY()-(Data_Val!$L$2*365.25))),0,1),1))</f>
        <v/>
      </c>
      <c r="AB739" s="11"/>
      <c r="AC739" s="11" t="e">
        <f>IF(Data!#REF!="","",IF(ISNUMBER(MATCH(Data!#REF!,Data_Val!$A$2:$A$3,0)),0,1))</f>
        <v>#REF!</v>
      </c>
      <c r="AD739" s="11" t="e">
        <f ca="1">IF(Data!#REF!="","",IF(ISNUMBER(Data!#REF!),IF(AND(Data!#REF!&gt;(TODAY()-(Data_Val!$L$3*365.25)),Data!#REF!&lt;=(TODAY()-(Data_Val!$L$2*365.25))),0,1),1))</f>
        <v>#REF!</v>
      </c>
      <c r="AE739" s="11" t="e">
        <f>IF(Data!#REF!="","",IF(Data!$G739="",1,IF(ISNUMBER(MATCH(Data!#REF!,Data_Val!$D$2:$D$10,0)),0,1)))</f>
        <v>#REF!</v>
      </c>
      <c r="AF739" s="12"/>
      <c r="AG739" s="12" t="e">
        <f>IF(Data!#REF!="","",IF(ISNUMBER(MATCH(Data!#REF!,Data_Val!$A$2:$A$3,0)),0,1))</f>
        <v>#REF!</v>
      </c>
      <c r="AH739" s="26" t="e">
        <f ca="1">IF(Data!#REF!="","",IF(ISNUMBER(Data!#REF!),IF(AND(Data!#REF!&gt;(TODAY()-(Data_Val!$L$3*365.25)),Data!#REF!&lt;=(TODAY()-(Data_Val!$L$2*365.25))),0,1),1))</f>
        <v>#REF!</v>
      </c>
      <c r="AI739" s="12" t="e">
        <f>IF(Data!#REF!="","",IF(Data!$G739="",1,IF(ISNUMBER(MATCH(Data!#REF!,Data_Val!$D$2:$D$10,0)),0,1)))</f>
        <v>#REF!</v>
      </c>
      <c r="AJ739" s="17"/>
      <c r="AK739" s="17" t="e">
        <f>IF(Data!#REF!="","",IF(ISNUMBER(MATCH(Data!#REF!,Data_Val!$A$2:$A$3,0)),0,1))</f>
        <v>#REF!</v>
      </c>
      <c r="AL739" s="25" t="e">
        <f ca="1">IF(Data!#REF!="","",IF(ISNUMBER(Data!#REF!),IF(AND(Data!#REF!&gt;(TODAY()-(Data_Val!$L$3*365.25)),Data!#REF!&lt;=(TODAY()-(Data_Val!$L$2*365.25))),0,1),1))</f>
        <v>#REF!</v>
      </c>
      <c r="AM739" s="17" t="e">
        <f>IF(Data!#REF!="","",IF(Data!$G739="",1,IF(ISNUMBER(MATCH(Data!#REF!,Data_Val!$D$2:$D$10,0)),0,1)))</f>
        <v>#REF!</v>
      </c>
      <c r="AN739" s="13"/>
      <c r="AO739" s="28" t="e">
        <f ca="1">IF(Data!#REF!="","",IF(ISNUMBER(Data!#REF!),IF(AND(Data!#REF!&gt;(TODAY()-(Data_Val!$I$3*365.25)),Data!#REF!&lt;=(TODAY()-(Data_Val!$I$2*365.25))),0,1),1))</f>
        <v>#REF!</v>
      </c>
      <c r="AP739" s="13" t="e">
        <f>IF(Data!#REF!="","",IF(Data!$G739="",1,IF(ISNUMBER(MATCH(Data!#REF!,Data_Val!$D$2:$D$10,0)),0,1)))</f>
        <v>#REF!</v>
      </c>
      <c r="AQ739" s="17"/>
      <c r="AR739" s="30" t="e">
        <f ca="1">IF(Data!#REF!="","",IF(ISNUMBER(Data!#REF!),IF(AND(Data!#REF!&gt;(TODAY()-(Data_Val!$I$3*365.25)),Data!#REF!&lt;=(TODAY()-(Data_Val!$I$2*365.25))),0,1),1))</f>
        <v>#REF!</v>
      </c>
      <c r="AS739" s="31" t="e">
        <f>IF(Data!#REF!="","",IF(Data!$G739="",1,IF(ISNUMBER(MATCH(Data!#REF!,Data_Val!$D$2:$D$10,0)),0,1)))</f>
        <v>#REF!</v>
      </c>
      <c r="AT739" s="11"/>
      <c r="AU739" s="11" t="e">
        <f ca="1">IF(Data!#REF!="","",IF(ISNUMBER(Data!#REF!),IF(AND(Data!#REF!&gt;(TODAY()-(Data_Val!$I$3*365.25)),Data!#REF!&lt;=(TODAY()-(Data_Val!$I$2*365.25))),0,1),1))</f>
        <v>#REF!</v>
      </c>
      <c r="AV739" s="11" t="e">
        <f>IF(Data!#REF!="","",IF(Data!$G739="",1,IF(ISNUMBER(MATCH(Data!#REF!,Data_Val!$D$2:$D$10,0)),0,1)))</f>
        <v>#REF!</v>
      </c>
      <c r="AW739" s="12"/>
      <c r="AX739" s="26" t="e">
        <f ca="1">IF(Data!#REF!="","",IF(ISNUMBER(Data!#REF!),IF(AND(Data!#REF!&gt;(TODAY()-(Data_Val!$I$3*365.25)),Data!#REF!&lt;=(TODAY()-(Data_Val!$I$2*365.25))),0,1),1))</f>
        <v>#REF!</v>
      </c>
      <c r="AY739" s="12" t="e">
        <f>IF(Data!#REF!="","",IF(Data!$G739="",1,IF(ISNUMBER(MATCH(Data!#REF!,Data_Val!$D$2:$D$10,0)),0,1)))</f>
        <v>#REF!</v>
      </c>
      <c r="AZ739" s="11"/>
      <c r="BA739" s="19" t="e">
        <f ca="1">IF(Data!#REF!="","",IF(ISNUMBER(Data!#REF!),IF(AND(Data!#REF!&gt;(TODAY()-(Data_Val!$M$3*365.25)),Data!#REF!&lt;=(TODAY()-(Data_Val!$M$2*365.25))),0,1),1))</f>
        <v>#REF!</v>
      </c>
      <c r="BB739" s="11" t="e">
        <f>IF(Data!#REF!="","",IF(Data!$G739="",1,IF(ISNUMBER(MATCH(Data!#REF!,Data_Val!$D$2:$D$10,0)),0,1)))</f>
        <v>#REF!</v>
      </c>
      <c r="BC739" s="12"/>
      <c r="BD739" s="20" t="e">
        <f ca="1">IF(Data!#REF!="","",IF(ISNUMBER(Data!#REF!),IF(AND(Data!#REF!&gt;(TODAY()-(Data_Val!$M$3*365.25)),Data!#REF!&lt;=(TODAY()-(Data_Val!$M$2*365.25))),0,1),1))</f>
        <v>#REF!</v>
      </c>
      <c r="BE739" s="12" t="e">
        <f>IF(Data!#REF!="","",IF(Data!$G739="",1,IF(ISNUMBER(MATCH(Data!#REF!,Data_Val!$D$2:$D$10,0)),0,1)))</f>
        <v>#REF!</v>
      </c>
      <c r="BF739" s="17"/>
      <c r="BG739" s="18" t="e">
        <f ca="1">IF(Data!#REF!="","",IF(ISNUMBER(Data!#REF!),IF(AND(Data!#REF!&gt;(TODAY()-(Data_Val!$M$3*365.25)),Data!#REF!&lt;=(TODAY()-(Data_Val!$M$2*365.25))),0,1),1))</f>
        <v>#REF!</v>
      </c>
      <c r="BH739" s="29" t="e">
        <f>IF(Data!#REF!="","",IF(Data!$G739="",1,IF(ISNUMBER(MATCH(Data!#REF!,Data_Val!$D$2:$D$10,0)),0,1)))</f>
        <v>#REF!</v>
      </c>
      <c r="BI739" s="13"/>
      <c r="BJ739" s="21" t="e">
        <f ca="1">IF(Data!#REF!="","",IF(ISNUMBER(Data!#REF!),IF(AND(Data!#REF!&gt;(TODAY()-(Data_Val!$M$3*365.25)),Data!#REF!&lt;=(TODAY()-(Data_Val!$M$2*365.25))),0,1),1))</f>
        <v>#REF!</v>
      </c>
      <c r="BK739" s="13" t="e">
        <f>IF(Data!#REF!="","",IF(Data!$G739="",1,IF(ISNUMBER(MATCH(Data!#REF!,Data_Val!$D$2:$D$10,0)),0,1)))</f>
        <v>#REF!</v>
      </c>
    </row>
    <row r="740" spans="1:63" x14ac:dyDescent="0.25">
      <c r="A740" s="9" t="str">
        <f>IF(Data!B740="","",IF(COUNTIFS(Data!A$1:'Data'!A740,Data!A740)&lt;=1,0,1))</f>
        <v/>
      </c>
      <c r="B740" s="9"/>
      <c r="C740" s="23" t="str">
        <f>IF(Data!C740="","",(IF(ISNUMBER(MATCH("*@*.?*",Data!C740,0)),0,1)+IF(COUNTIFS(Data!C$1:'Data'!C740,Data!C740)&gt;1,1,0)))</f>
        <v/>
      </c>
      <c r="D740" s="9" t="str">
        <f>IF(Data!B740="","",IF(ISNUMBER(Data!D740),IF(AND(Data!D740&gt;999999999,Data!D740&lt;=9999999999),IF(COUNTIFS(Data!D$1:'Data'!D740,Data!D740)&lt;=1,0,1),1),1))</f>
        <v/>
      </c>
      <c r="E740" s="9" t="str">
        <f>IF(Data!B740="","",IF(ISNUMBER(MATCH(Data!E740,Data_Val!$A$2:$A$3,0)),0,1))</f>
        <v/>
      </c>
      <c r="F740" s="9" t="str">
        <f ca="1">IF(Data!B740="","",IF(ISNUMBER(Data!F740),IF(AND(Data!F740&gt;(TODAY()-(Data_Val!$H$3*365.25)),Data!F740&lt;=(TODAY()-(Data_Val!$H$2*365.25))),0,1),1))</f>
        <v/>
      </c>
      <c r="G740" s="15" t="str">
        <f>IF(Data!B740="","",IF(AND(Data!G740="",Data!H740&lt;&gt;""),1,IF(Data!#REF!&lt;&gt;"",0,IF(ISNUMBER(MATCH(Data!G740,Data_Val!$C$2:$C$5,0)),0,1))))</f>
        <v/>
      </c>
      <c r="H740" s="15" t="str">
        <f>IF(Data!B740="","",IF(AND(Data!G740&lt;&gt;"",Data!H740=""),1,IF(Data!#REF!&lt;&gt;"",0,IF(Data!G740="",1,IF(ISNUMBER(MATCH(Data!H740,Data_Val!$D$2:$D$35,0)),0,1)))))</f>
        <v/>
      </c>
      <c r="I740" s="15" t="str">
        <f>IF(Data!B740="","",IF(Data!G740&lt;&gt;"",0,IF(ISNUMBER(MATCH(Data!#REF!,Data_Val!$E$2:$E$12,0)),0,1)))</f>
        <v/>
      </c>
      <c r="J740" s="16" t="e">
        <f>IF(OR(Data!B740="",Data!#REF!=""),"",IF(Data!#REF!="",1,0))</f>
        <v>#REF!</v>
      </c>
      <c r="K740" s="16" t="e">
        <f>IF(OR(Data!B740="",Data!#REF!=""),"",IF(Data!#REF!="",1,0))</f>
        <v>#REF!</v>
      </c>
      <c r="L740" s="16" t="e">
        <f>IF(OR(Data!B740="",Data!#REF!=""),"",IF(ISNUMBER(Data!#REF!),IF(AND(Data!#REF!&gt;Data_Val!$G$2,Data!#REF!&lt;=Data_Val!$G$3),0,1),1))</f>
        <v>#REF!</v>
      </c>
      <c r="M740" s="9" t="e">
        <f>IF(OR(Data!B740="",Data!#REF!=""),"",IF(ISNUMBER(MATCH(Data!#REF!,Data_Val!$F$1:$F$38,0)),0,1))</f>
        <v>#REF!</v>
      </c>
      <c r="N740" s="9" t="e">
        <f>IF(OR(Data!B740="",Data!#REF!=""),"",IF(Data!#REF!="",1,0))</f>
        <v>#REF!</v>
      </c>
      <c r="O740" s="17" t="e">
        <f>IF(Data!#REF!="","",IF(Data!#REF!="",1,0))</f>
        <v>#REF!</v>
      </c>
      <c r="P740" s="17" t="e">
        <f>IF(Data!#REF!="","",IF(ISNUMBER(MATCH(Data!#REF!,Data_Val!$A$2:$A$3,0)),0,1))</f>
        <v>#REF!</v>
      </c>
      <c r="Q740" s="25" t="e">
        <f ca="1">IF(Data!#REF!="","",IF(ISNUMBER(Data!#REF!),IF(AND(Data!#REF!&gt;(TODAY()-(Data_Val!$J$3*365.25)),Data!#REF!&lt;=(TODAY()-(Data_Val!$J$2*365.25))),0,1),1))</f>
        <v>#REF!</v>
      </c>
      <c r="R740" s="17" t="e">
        <f>IF(Data!#REF!="","",IF(ISNUMBER(MATCH(Data!#REF!,Data_Val!$B$2:$B$15,0)),0,1))</f>
        <v>#REF!</v>
      </c>
      <c r="S740" s="11" t="str">
        <f>IF(Data!G740="","",IF(Data!G740=Data_Val!$C$2,IF(Data!M740="",0,1),0))</f>
        <v/>
      </c>
      <c r="T740" s="11" t="str">
        <f>IF(Data!M740="","",IF(ISNUMBER(MATCH(Data!N740,Data_Val!$A$2:$A$3,0)),0,1))</f>
        <v/>
      </c>
      <c r="U740" s="11" t="str">
        <f ca="1">IF(Data!M740="","",IF(ISNUMBER(Data!O740),IF(AND(Data!O740&gt;(TODAY()-(Data_Val!$K$3*365.25)),Data!O740&lt;=(TODAY()-(Data_Val!$K$2*365.25))),0,1),1))</f>
        <v/>
      </c>
      <c r="V740" s="12" t="str">
        <f>IF(Data!G740="","",IF(Data!G740=Data_Val!$C$2,IF(Data!P740="",0,1),0))</f>
        <v/>
      </c>
      <c r="W740" s="12" t="str">
        <f>IF(Data!P740="","",IF(ISNUMBER(MATCH(Data!Q740,Data_Val!$A$2:$A$3,0)),0,1))</f>
        <v/>
      </c>
      <c r="X740" s="26" t="str">
        <f ca="1">IF(Data!P740="","",IF(ISNUMBER(Data!R740),IF(AND(Data!R740&gt;(TODAY()-(Data_Val!$L$3*365.25)),Data!R740&lt;=(TODAY()-(Data_Val!$L$2*365.25))),0,1),1))</f>
        <v/>
      </c>
      <c r="Y740" s="13" t="str">
        <f>IF(Data!$G740="","",IF(Data!$G740=Data_Val!$C$2,IF(Data!S740="",0,1),0))</f>
        <v/>
      </c>
      <c r="Z740" s="13" t="str">
        <f>IF(Data!S740="","",IF(ISNUMBER(MATCH(Data!T740,Data_Val!$A$2:$A$3,0)),0,1))</f>
        <v/>
      </c>
      <c r="AA740" s="28" t="str">
        <f ca="1">IF(Data!S740="","",IF(ISNUMBER(Data!U740),IF(AND(Data!U740&gt;(TODAY()-(Data_Val!$L$3*365.25)),Data!U740&lt;=(TODAY()-(Data_Val!$L$2*365.25))),0,1),1))</f>
        <v/>
      </c>
      <c r="AB740" s="11"/>
      <c r="AC740" s="11" t="e">
        <f>IF(Data!#REF!="","",IF(ISNUMBER(MATCH(Data!#REF!,Data_Val!$A$2:$A$3,0)),0,1))</f>
        <v>#REF!</v>
      </c>
      <c r="AD740" s="11" t="e">
        <f ca="1">IF(Data!#REF!="","",IF(ISNUMBER(Data!#REF!),IF(AND(Data!#REF!&gt;(TODAY()-(Data_Val!$L$3*365.25)),Data!#REF!&lt;=(TODAY()-(Data_Val!$L$2*365.25))),0,1),1))</f>
        <v>#REF!</v>
      </c>
      <c r="AE740" s="11" t="e">
        <f>IF(Data!#REF!="","",IF(Data!$G740="",1,IF(ISNUMBER(MATCH(Data!#REF!,Data_Val!$D$2:$D$10,0)),0,1)))</f>
        <v>#REF!</v>
      </c>
      <c r="AF740" s="12"/>
      <c r="AG740" s="12" t="e">
        <f>IF(Data!#REF!="","",IF(ISNUMBER(MATCH(Data!#REF!,Data_Val!$A$2:$A$3,0)),0,1))</f>
        <v>#REF!</v>
      </c>
      <c r="AH740" s="26" t="e">
        <f ca="1">IF(Data!#REF!="","",IF(ISNUMBER(Data!#REF!),IF(AND(Data!#REF!&gt;(TODAY()-(Data_Val!$L$3*365.25)),Data!#REF!&lt;=(TODAY()-(Data_Val!$L$2*365.25))),0,1),1))</f>
        <v>#REF!</v>
      </c>
      <c r="AI740" s="12" t="e">
        <f>IF(Data!#REF!="","",IF(Data!$G740="",1,IF(ISNUMBER(MATCH(Data!#REF!,Data_Val!$D$2:$D$10,0)),0,1)))</f>
        <v>#REF!</v>
      </c>
      <c r="AJ740" s="17"/>
      <c r="AK740" s="17" t="e">
        <f>IF(Data!#REF!="","",IF(ISNUMBER(MATCH(Data!#REF!,Data_Val!$A$2:$A$3,0)),0,1))</f>
        <v>#REF!</v>
      </c>
      <c r="AL740" s="25" t="e">
        <f ca="1">IF(Data!#REF!="","",IF(ISNUMBER(Data!#REF!),IF(AND(Data!#REF!&gt;(TODAY()-(Data_Val!$L$3*365.25)),Data!#REF!&lt;=(TODAY()-(Data_Val!$L$2*365.25))),0,1),1))</f>
        <v>#REF!</v>
      </c>
      <c r="AM740" s="17" t="e">
        <f>IF(Data!#REF!="","",IF(Data!$G740="",1,IF(ISNUMBER(MATCH(Data!#REF!,Data_Val!$D$2:$D$10,0)),0,1)))</f>
        <v>#REF!</v>
      </c>
      <c r="AN740" s="13"/>
      <c r="AO740" s="28" t="e">
        <f ca="1">IF(Data!#REF!="","",IF(ISNUMBER(Data!#REF!),IF(AND(Data!#REF!&gt;(TODAY()-(Data_Val!$I$3*365.25)),Data!#REF!&lt;=(TODAY()-(Data_Val!$I$2*365.25))),0,1),1))</f>
        <v>#REF!</v>
      </c>
      <c r="AP740" s="13" t="e">
        <f>IF(Data!#REF!="","",IF(Data!$G740="",1,IF(ISNUMBER(MATCH(Data!#REF!,Data_Val!$D$2:$D$10,0)),0,1)))</f>
        <v>#REF!</v>
      </c>
      <c r="AQ740" s="17"/>
      <c r="AR740" s="30" t="e">
        <f ca="1">IF(Data!#REF!="","",IF(ISNUMBER(Data!#REF!),IF(AND(Data!#REF!&gt;(TODAY()-(Data_Val!$I$3*365.25)),Data!#REF!&lt;=(TODAY()-(Data_Val!$I$2*365.25))),0,1),1))</f>
        <v>#REF!</v>
      </c>
      <c r="AS740" s="31" t="e">
        <f>IF(Data!#REF!="","",IF(Data!$G740="",1,IF(ISNUMBER(MATCH(Data!#REF!,Data_Val!$D$2:$D$10,0)),0,1)))</f>
        <v>#REF!</v>
      </c>
      <c r="AT740" s="11"/>
      <c r="AU740" s="11" t="e">
        <f ca="1">IF(Data!#REF!="","",IF(ISNUMBER(Data!#REF!),IF(AND(Data!#REF!&gt;(TODAY()-(Data_Val!$I$3*365.25)),Data!#REF!&lt;=(TODAY()-(Data_Val!$I$2*365.25))),0,1),1))</f>
        <v>#REF!</v>
      </c>
      <c r="AV740" s="11" t="e">
        <f>IF(Data!#REF!="","",IF(Data!$G740="",1,IF(ISNUMBER(MATCH(Data!#REF!,Data_Val!$D$2:$D$10,0)),0,1)))</f>
        <v>#REF!</v>
      </c>
      <c r="AW740" s="12"/>
      <c r="AX740" s="26" t="e">
        <f ca="1">IF(Data!#REF!="","",IF(ISNUMBER(Data!#REF!),IF(AND(Data!#REF!&gt;(TODAY()-(Data_Val!$I$3*365.25)),Data!#REF!&lt;=(TODAY()-(Data_Val!$I$2*365.25))),0,1),1))</f>
        <v>#REF!</v>
      </c>
      <c r="AY740" s="12" t="e">
        <f>IF(Data!#REF!="","",IF(Data!$G740="",1,IF(ISNUMBER(MATCH(Data!#REF!,Data_Val!$D$2:$D$10,0)),0,1)))</f>
        <v>#REF!</v>
      </c>
      <c r="AZ740" s="11"/>
      <c r="BA740" s="19" t="e">
        <f ca="1">IF(Data!#REF!="","",IF(ISNUMBER(Data!#REF!),IF(AND(Data!#REF!&gt;(TODAY()-(Data_Val!$M$3*365.25)),Data!#REF!&lt;=(TODAY()-(Data_Val!$M$2*365.25))),0,1),1))</f>
        <v>#REF!</v>
      </c>
      <c r="BB740" s="11" t="e">
        <f>IF(Data!#REF!="","",IF(Data!$G740="",1,IF(ISNUMBER(MATCH(Data!#REF!,Data_Val!$D$2:$D$10,0)),0,1)))</f>
        <v>#REF!</v>
      </c>
      <c r="BC740" s="12"/>
      <c r="BD740" s="20" t="e">
        <f ca="1">IF(Data!#REF!="","",IF(ISNUMBER(Data!#REF!),IF(AND(Data!#REF!&gt;(TODAY()-(Data_Val!$M$3*365.25)),Data!#REF!&lt;=(TODAY()-(Data_Val!$M$2*365.25))),0,1),1))</f>
        <v>#REF!</v>
      </c>
      <c r="BE740" s="12" t="e">
        <f>IF(Data!#REF!="","",IF(Data!$G740="",1,IF(ISNUMBER(MATCH(Data!#REF!,Data_Val!$D$2:$D$10,0)),0,1)))</f>
        <v>#REF!</v>
      </c>
      <c r="BF740" s="17"/>
      <c r="BG740" s="18" t="e">
        <f ca="1">IF(Data!#REF!="","",IF(ISNUMBER(Data!#REF!),IF(AND(Data!#REF!&gt;(TODAY()-(Data_Val!$M$3*365.25)),Data!#REF!&lt;=(TODAY()-(Data_Val!$M$2*365.25))),0,1),1))</f>
        <v>#REF!</v>
      </c>
      <c r="BH740" s="29" t="e">
        <f>IF(Data!#REF!="","",IF(Data!$G740="",1,IF(ISNUMBER(MATCH(Data!#REF!,Data_Val!$D$2:$D$10,0)),0,1)))</f>
        <v>#REF!</v>
      </c>
      <c r="BI740" s="13"/>
      <c r="BJ740" s="21" t="e">
        <f ca="1">IF(Data!#REF!="","",IF(ISNUMBER(Data!#REF!),IF(AND(Data!#REF!&gt;(TODAY()-(Data_Val!$M$3*365.25)),Data!#REF!&lt;=(TODAY()-(Data_Val!$M$2*365.25))),0,1),1))</f>
        <v>#REF!</v>
      </c>
      <c r="BK740" s="13" t="e">
        <f>IF(Data!#REF!="","",IF(Data!$G740="",1,IF(ISNUMBER(MATCH(Data!#REF!,Data_Val!$D$2:$D$10,0)),0,1)))</f>
        <v>#REF!</v>
      </c>
    </row>
    <row r="741" spans="1:63" x14ac:dyDescent="0.25">
      <c r="A741" s="9" t="str">
        <f>IF(Data!B741="","",IF(COUNTIFS(Data!A$1:'Data'!A741,Data!A741)&lt;=1,0,1))</f>
        <v/>
      </c>
      <c r="B741" s="9"/>
      <c r="C741" s="23" t="str">
        <f>IF(Data!C741="","",(IF(ISNUMBER(MATCH("*@*.?*",Data!C741,0)),0,1)+IF(COUNTIFS(Data!C$1:'Data'!C741,Data!C741)&gt;1,1,0)))</f>
        <v/>
      </c>
      <c r="D741" s="9" t="str">
        <f>IF(Data!B741="","",IF(ISNUMBER(Data!D741),IF(AND(Data!D741&gt;999999999,Data!D741&lt;=9999999999),IF(COUNTIFS(Data!D$1:'Data'!D741,Data!D741)&lt;=1,0,1),1),1))</f>
        <v/>
      </c>
      <c r="E741" s="9" t="str">
        <f>IF(Data!B741="","",IF(ISNUMBER(MATCH(Data!E741,Data_Val!$A$2:$A$3,0)),0,1))</f>
        <v/>
      </c>
      <c r="F741" s="9" t="str">
        <f ca="1">IF(Data!B741="","",IF(ISNUMBER(Data!F741),IF(AND(Data!F741&gt;(TODAY()-(Data_Val!$H$3*365.25)),Data!F741&lt;=(TODAY()-(Data_Val!$H$2*365.25))),0,1),1))</f>
        <v/>
      </c>
      <c r="G741" s="15" t="str">
        <f>IF(Data!B741="","",IF(AND(Data!G741="",Data!H741&lt;&gt;""),1,IF(Data!#REF!&lt;&gt;"",0,IF(ISNUMBER(MATCH(Data!G741,Data_Val!$C$2:$C$5,0)),0,1))))</f>
        <v/>
      </c>
      <c r="H741" s="15" t="str">
        <f>IF(Data!B741="","",IF(AND(Data!G741&lt;&gt;"",Data!H741=""),1,IF(Data!#REF!&lt;&gt;"",0,IF(Data!G741="",1,IF(ISNUMBER(MATCH(Data!H741,Data_Val!$D$2:$D$35,0)),0,1)))))</f>
        <v/>
      </c>
      <c r="I741" s="15" t="str">
        <f>IF(Data!B741="","",IF(Data!G741&lt;&gt;"",0,IF(ISNUMBER(MATCH(Data!#REF!,Data_Val!$E$2:$E$12,0)),0,1)))</f>
        <v/>
      </c>
      <c r="J741" s="16" t="e">
        <f>IF(OR(Data!B741="",Data!#REF!=""),"",IF(Data!#REF!="",1,0))</f>
        <v>#REF!</v>
      </c>
      <c r="K741" s="16" t="e">
        <f>IF(OR(Data!B741="",Data!#REF!=""),"",IF(Data!#REF!="",1,0))</f>
        <v>#REF!</v>
      </c>
      <c r="L741" s="16" t="e">
        <f>IF(OR(Data!B741="",Data!#REF!=""),"",IF(ISNUMBER(Data!#REF!),IF(AND(Data!#REF!&gt;Data_Val!$G$2,Data!#REF!&lt;=Data_Val!$G$3),0,1),1))</f>
        <v>#REF!</v>
      </c>
      <c r="M741" s="9" t="e">
        <f>IF(OR(Data!B741="",Data!#REF!=""),"",IF(ISNUMBER(MATCH(Data!#REF!,Data_Val!$F$1:$F$38,0)),0,1))</f>
        <v>#REF!</v>
      </c>
      <c r="N741" s="9" t="e">
        <f>IF(OR(Data!B741="",Data!#REF!=""),"",IF(Data!#REF!="",1,0))</f>
        <v>#REF!</v>
      </c>
      <c r="O741" s="17" t="e">
        <f>IF(Data!#REF!="","",IF(Data!#REF!="",1,0))</f>
        <v>#REF!</v>
      </c>
      <c r="P741" s="17" t="e">
        <f>IF(Data!#REF!="","",IF(ISNUMBER(MATCH(Data!#REF!,Data_Val!$A$2:$A$3,0)),0,1))</f>
        <v>#REF!</v>
      </c>
      <c r="Q741" s="25" t="e">
        <f ca="1">IF(Data!#REF!="","",IF(ISNUMBER(Data!#REF!),IF(AND(Data!#REF!&gt;(TODAY()-(Data_Val!$J$3*365.25)),Data!#REF!&lt;=(TODAY()-(Data_Val!$J$2*365.25))),0,1),1))</f>
        <v>#REF!</v>
      </c>
      <c r="R741" s="17" t="e">
        <f>IF(Data!#REF!="","",IF(ISNUMBER(MATCH(Data!#REF!,Data_Val!$B$2:$B$15,0)),0,1))</f>
        <v>#REF!</v>
      </c>
      <c r="S741" s="11" t="str">
        <f>IF(Data!G741="","",IF(Data!G741=Data_Val!$C$2,IF(Data!M741="",0,1),0))</f>
        <v/>
      </c>
      <c r="T741" s="11" t="str">
        <f>IF(Data!M741="","",IF(ISNUMBER(MATCH(Data!N741,Data_Val!$A$2:$A$3,0)),0,1))</f>
        <v/>
      </c>
      <c r="U741" s="11" t="str">
        <f ca="1">IF(Data!M741="","",IF(ISNUMBER(Data!O741),IF(AND(Data!O741&gt;(TODAY()-(Data_Val!$K$3*365.25)),Data!O741&lt;=(TODAY()-(Data_Val!$K$2*365.25))),0,1),1))</f>
        <v/>
      </c>
      <c r="V741" s="12" t="str">
        <f>IF(Data!G741="","",IF(Data!G741=Data_Val!$C$2,IF(Data!P741="",0,1),0))</f>
        <v/>
      </c>
      <c r="W741" s="12" t="str">
        <f>IF(Data!P741="","",IF(ISNUMBER(MATCH(Data!Q741,Data_Val!$A$2:$A$3,0)),0,1))</f>
        <v/>
      </c>
      <c r="X741" s="26" t="str">
        <f ca="1">IF(Data!P741="","",IF(ISNUMBER(Data!R741),IF(AND(Data!R741&gt;(TODAY()-(Data_Val!$L$3*365.25)),Data!R741&lt;=(TODAY()-(Data_Val!$L$2*365.25))),0,1),1))</f>
        <v/>
      </c>
      <c r="Y741" s="13" t="str">
        <f>IF(Data!$G741="","",IF(Data!$G741=Data_Val!$C$2,IF(Data!S741="",0,1),0))</f>
        <v/>
      </c>
      <c r="Z741" s="13" t="str">
        <f>IF(Data!S741="","",IF(ISNUMBER(MATCH(Data!T741,Data_Val!$A$2:$A$3,0)),0,1))</f>
        <v/>
      </c>
      <c r="AA741" s="28" t="str">
        <f ca="1">IF(Data!S741="","",IF(ISNUMBER(Data!U741),IF(AND(Data!U741&gt;(TODAY()-(Data_Val!$L$3*365.25)),Data!U741&lt;=(TODAY()-(Data_Val!$L$2*365.25))),0,1),1))</f>
        <v/>
      </c>
      <c r="AB741" s="11"/>
      <c r="AC741" s="11" t="e">
        <f>IF(Data!#REF!="","",IF(ISNUMBER(MATCH(Data!#REF!,Data_Val!$A$2:$A$3,0)),0,1))</f>
        <v>#REF!</v>
      </c>
      <c r="AD741" s="11" t="e">
        <f ca="1">IF(Data!#REF!="","",IF(ISNUMBER(Data!#REF!),IF(AND(Data!#REF!&gt;(TODAY()-(Data_Val!$L$3*365.25)),Data!#REF!&lt;=(TODAY()-(Data_Val!$L$2*365.25))),0,1),1))</f>
        <v>#REF!</v>
      </c>
      <c r="AE741" s="11" t="e">
        <f>IF(Data!#REF!="","",IF(Data!$G741="",1,IF(ISNUMBER(MATCH(Data!#REF!,Data_Val!$D$2:$D$10,0)),0,1)))</f>
        <v>#REF!</v>
      </c>
      <c r="AF741" s="12"/>
      <c r="AG741" s="12" t="e">
        <f>IF(Data!#REF!="","",IF(ISNUMBER(MATCH(Data!#REF!,Data_Val!$A$2:$A$3,0)),0,1))</f>
        <v>#REF!</v>
      </c>
      <c r="AH741" s="26" t="e">
        <f ca="1">IF(Data!#REF!="","",IF(ISNUMBER(Data!#REF!),IF(AND(Data!#REF!&gt;(TODAY()-(Data_Val!$L$3*365.25)),Data!#REF!&lt;=(TODAY()-(Data_Val!$L$2*365.25))),0,1),1))</f>
        <v>#REF!</v>
      </c>
      <c r="AI741" s="12" t="e">
        <f>IF(Data!#REF!="","",IF(Data!$G741="",1,IF(ISNUMBER(MATCH(Data!#REF!,Data_Val!$D$2:$D$10,0)),0,1)))</f>
        <v>#REF!</v>
      </c>
      <c r="AJ741" s="17"/>
      <c r="AK741" s="17" t="e">
        <f>IF(Data!#REF!="","",IF(ISNUMBER(MATCH(Data!#REF!,Data_Val!$A$2:$A$3,0)),0,1))</f>
        <v>#REF!</v>
      </c>
      <c r="AL741" s="25" t="e">
        <f ca="1">IF(Data!#REF!="","",IF(ISNUMBER(Data!#REF!),IF(AND(Data!#REF!&gt;(TODAY()-(Data_Val!$L$3*365.25)),Data!#REF!&lt;=(TODAY()-(Data_Val!$L$2*365.25))),0,1),1))</f>
        <v>#REF!</v>
      </c>
      <c r="AM741" s="17" t="e">
        <f>IF(Data!#REF!="","",IF(Data!$G741="",1,IF(ISNUMBER(MATCH(Data!#REF!,Data_Val!$D$2:$D$10,0)),0,1)))</f>
        <v>#REF!</v>
      </c>
      <c r="AN741" s="13"/>
      <c r="AO741" s="28" t="e">
        <f ca="1">IF(Data!#REF!="","",IF(ISNUMBER(Data!#REF!),IF(AND(Data!#REF!&gt;(TODAY()-(Data_Val!$I$3*365.25)),Data!#REF!&lt;=(TODAY()-(Data_Val!$I$2*365.25))),0,1),1))</f>
        <v>#REF!</v>
      </c>
      <c r="AP741" s="13" t="e">
        <f>IF(Data!#REF!="","",IF(Data!$G741="",1,IF(ISNUMBER(MATCH(Data!#REF!,Data_Val!$D$2:$D$10,0)),0,1)))</f>
        <v>#REF!</v>
      </c>
      <c r="AQ741" s="17"/>
      <c r="AR741" s="30" t="e">
        <f ca="1">IF(Data!#REF!="","",IF(ISNUMBER(Data!#REF!),IF(AND(Data!#REF!&gt;(TODAY()-(Data_Val!$I$3*365.25)),Data!#REF!&lt;=(TODAY()-(Data_Val!$I$2*365.25))),0,1),1))</f>
        <v>#REF!</v>
      </c>
      <c r="AS741" s="31" t="e">
        <f>IF(Data!#REF!="","",IF(Data!$G741="",1,IF(ISNUMBER(MATCH(Data!#REF!,Data_Val!$D$2:$D$10,0)),0,1)))</f>
        <v>#REF!</v>
      </c>
      <c r="AT741" s="11"/>
      <c r="AU741" s="11" t="e">
        <f ca="1">IF(Data!#REF!="","",IF(ISNUMBER(Data!#REF!),IF(AND(Data!#REF!&gt;(TODAY()-(Data_Val!$I$3*365.25)),Data!#REF!&lt;=(TODAY()-(Data_Val!$I$2*365.25))),0,1),1))</f>
        <v>#REF!</v>
      </c>
      <c r="AV741" s="11" t="e">
        <f>IF(Data!#REF!="","",IF(Data!$G741="",1,IF(ISNUMBER(MATCH(Data!#REF!,Data_Val!$D$2:$D$10,0)),0,1)))</f>
        <v>#REF!</v>
      </c>
      <c r="AW741" s="12"/>
      <c r="AX741" s="26" t="e">
        <f ca="1">IF(Data!#REF!="","",IF(ISNUMBER(Data!#REF!),IF(AND(Data!#REF!&gt;(TODAY()-(Data_Val!$I$3*365.25)),Data!#REF!&lt;=(TODAY()-(Data_Val!$I$2*365.25))),0,1),1))</f>
        <v>#REF!</v>
      </c>
      <c r="AY741" s="12" t="e">
        <f>IF(Data!#REF!="","",IF(Data!$G741="",1,IF(ISNUMBER(MATCH(Data!#REF!,Data_Val!$D$2:$D$10,0)),0,1)))</f>
        <v>#REF!</v>
      </c>
      <c r="AZ741" s="11"/>
      <c r="BA741" s="19" t="e">
        <f ca="1">IF(Data!#REF!="","",IF(ISNUMBER(Data!#REF!),IF(AND(Data!#REF!&gt;(TODAY()-(Data_Val!$M$3*365.25)),Data!#REF!&lt;=(TODAY()-(Data_Val!$M$2*365.25))),0,1),1))</f>
        <v>#REF!</v>
      </c>
      <c r="BB741" s="11" t="e">
        <f>IF(Data!#REF!="","",IF(Data!$G741="",1,IF(ISNUMBER(MATCH(Data!#REF!,Data_Val!$D$2:$D$10,0)),0,1)))</f>
        <v>#REF!</v>
      </c>
      <c r="BC741" s="12"/>
      <c r="BD741" s="20" t="e">
        <f ca="1">IF(Data!#REF!="","",IF(ISNUMBER(Data!#REF!),IF(AND(Data!#REF!&gt;(TODAY()-(Data_Val!$M$3*365.25)),Data!#REF!&lt;=(TODAY()-(Data_Val!$M$2*365.25))),0,1),1))</f>
        <v>#REF!</v>
      </c>
      <c r="BE741" s="12" t="e">
        <f>IF(Data!#REF!="","",IF(Data!$G741="",1,IF(ISNUMBER(MATCH(Data!#REF!,Data_Val!$D$2:$D$10,0)),0,1)))</f>
        <v>#REF!</v>
      </c>
      <c r="BF741" s="17"/>
      <c r="BG741" s="18" t="e">
        <f ca="1">IF(Data!#REF!="","",IF(ISNUMBER(Data!#REF!),IF(AND(Data!#REF!&gt;(TODAY()-(Data_Val!$M$3*365.25)),Data!#REF!&lt;=(TODAY()-(Data_Val!$M$2*365.25))),0,1),1))</f>
        <v>#REF!</v>
      </c>
      <c r="BH741" s="29" t="e">
        <f>IF(Data!#REF!="","",IF(Data!$G741="",1,IF(ISNUMBER(MATCH(Data!#REF!,Data_Val!$D$2:$D$10,0)),0,1)))</f>
        <v>#REF!</v>
      </c>
      <c r="BI741" s="13"/>
      <c r="BJ741" s="21" t="e">
        <f ca="1">IF(Data!#REF!="","",IF(ISNUMBER(Data!#REF!),IF(AND(Data!#REF!&gt;(TODAY()-(Data_Val!$M$3*365.25)),Data!#REF!&lt;=(TODAY()-(Data_Val!$M$2*365.25))),0,1),1))</f>
        <v>#REF!</v>
      </c>
      <c r="BK741" s="13" t="e">
        <f>IF(Data!#REF!="","",IF(Data!$G741="",1,IF(ISNUMBER(MATCH(Data!#REF!,Data_Val!$D$2:$D$10,0)),0,1)))</f>
        <v>#REF!</v>
      </c>
    </row>
    <row r="742" spans="1:63" x14ac:dyDescent="0.25">
      <c r="A742" s="9" t="str">
        <f>IF(Data!B742="","",IF(COUNTIFS(Data!A$1:'Data'!A742,Data!A742)&lt;=1,0,1))</f>
        <v/>
      </c>
      <c r="B742" s="9"/>
      <c r="C742" s="23" t="str">
        <f>IF(Data!C742="","",(IF(ISNUMBER(MATCH("*@*.?*",Data!C742,0)),0,1)+IF(COUNTIFS(Data!C$1:'Data'!C742,Data!C742)&gt;1,1,0)))</f>
        <v/>
      </c>
      <c r="D742" s="9" t="str">
        <f>IF(Data!B742="","",IF(ISNUMBER(Data!D742),IF(AND(Data!D742&gt;999999999,Data!D742&lt;=9999999999),IF(COUNTIFS(Data!D$1:'Data'!D742,Data!D742)&lt;=1,0,1),1),1))</f>
        <v/>
      </c>
      <c r="E742" s="9" t="str">
        <f>IF(Data!B742="","",IF(ISNUMBER(MATCH(Data!E742,Data_Val!$A$2:$A$3,0)),0,1))</f>
        <v/>
      </c>
      <c r="F742" s="9" t="str">
        <f ca="1">IF(Data!B742="","",IF(ISNUMBER(Data!F742),IF(AND(Data!F742&gt;(TODAY()-(Data_Val!$H$3*365.25)),Data!F742&lt;=(TODAY()-(Data_Val!$H$2*365.25))),0,1),1))</f>
        <v/>
      </c>
      <c r="G742" s="15" t="str">
        <f>IF(Data!B742="","",IF(AND(Data!G742="",Data!H742&lt;&gt;""),1,IF(Data!#REF!&lt;&gt;"",0,IF(ISNUMBER(MATCH(Data!G742,Data_Val!$C$2:$C$5,0)),0,1))))</f>
        <v/>
      </c>
      <c r="H742" s="15" t="str">
        <f>IF(Data!B742="","",IF(AND(Data!G742&lt;&gt;"",Data!H742=""),1,IF(Data!#REF!&lt;&gt;"",0,IF(Data!G742="",1,IF(ISNUMBER(MATCH(Data!H742,Data_Val!$D$2:$D$35,0)),0,1)))))</f>
        <v/>
      </c>
      <c r="I742" s="15" t="str">
        <f>IF(Data!B742="","",IF(Data!G742&lt;&gt;"",0,IF(ISNUMBER(MATCH(Data!#REF!,Data_Val!$E$2:$E$12,0)),0,1)))</f>
        <v/>
      </c>
      <c r="J742" s="16" t="e">
        <f>IF(OR(Data!B742="",Data!#REF!=""),"",IF(Data!#REF!="",1,0))</f>
        <v>#REF!</v>
      </c>
      <c r="K742" s="16" t="e">
        <f>IF(OR(Data!B742="",Data!#REF!=""),"",IF(Data!#REF!="",1,0))</f>
        <v>#REF!</v>
      </c>
      <c r="L742" s="16" t="e">
        <f>IF(OR(Data!B742="",Data!#REF!=""),"",IF(ISNUMBER(Data!#REF!),IF(AND(Data!#REF!&gt;Data_Val!$G$2,Data!#REF!&lt;=Data_Val!$G$3),0,1),1))</f>
        <v>#REF!</v>
      </c>
      <c r="M742" s="9" t="e">
        <f>IF(OR(Data!B742="",Data!#REF!=""),"",IF(ISNUMBER(MATCH(Data!#REF!,Data_Val!$F$1:$F$38,0)),0,1))</f>
        <v>#REF!</v>
      </c>
      <c r="N742" s="9" t="e">
        <f>IF(OR(Data!B742="",Data!#REF!=""),"",IF(Data!#REF!="",1,0))</f>
        <v>#REF!</v>
      </c>
      <c r="O742" s="17" t="e">
        <f>IF(Data!#REF!="","",IF(Data!#REF!="",1,0))</f>
        <v>#REF!</v>
      </c>
      <c r="P742" s="17" t="e">
        <f>IF(Data!#REF!="","",IF(ISNUMBER(MATCH(Data!#REF!,Data_Val!$A$2:$A$3,0)),0,1))</f>
        <v>#REF!</v>
      </c>
      <c r="Q742" s="25" t="e">
        <f ca="1">IF(Data!#REF!="","",IF(ISNUMBER(Data!#REF!),IF(AND(Data!#REF!&gt;(TODAY()-(Data_Val!$J$3*365.25)),Data!#REF!&lt;=(TODAY()-(Data_Val!$J$2*365.25))),0,1),1))</f>
        <v>#REF!</v>
      </c>
      <c r="R742" s="17" t="e">
        <f>IF(Data!#REF!="","",IF(ISNUMBER(MATCH(Data!#REF!,Data_Val!$B$2:$B$15,0)),0,1))</f>
        <v>#REF!</v>
      </c>
      <c r="S742" s="11" t="str">
        <f>IF(Data!G742="","",IF(Data!G742=Data_Val!$C$2,IF(Data!M742="",0,1),0))</f>
        <v/>
      </c>
      <c r="T742" s="11" t="str">
        <f>IF(Data!M742="","",IF(ISNUMBER(MATCH(Data!N742,Data_Val!$A$2:$A$3,0)),0,1))</f>
        <v/>
      </c>
      <c r="U742" s="11" t="str">
        <f ca="1">IF(Data!M742="","",IF(ISNUMBER(Data!O742),IF(AND(Data!O742&gt;(TODAY()-(Data_Val!$K$3*365.25)),Data!O742&lt;=(TODAY()-(Data_Val!$K$2*365.25))),0,1),1))</f>
        <v/>
      </c>
      <c r="V742" s="12" t="str">
        <f>IF(Data!G742="","",IF(Data!G742=Data_Val!$C$2,IF(Data!P742="",0,1),0))</f>
        <v/>
      </c>
      <c r="W742" s="12" t="str">
        <f>IF(Data!P742="","",IF(ISNUMBER(MATCH(Data!Q742,Data_Val!$A$2:$A$3,0)),0,1))</f>
        <v/>
      </c>
      <c r="X742" s="26" t="str">
        <f ca="1">IF(Data!P742="","",IF(ISNUMBER(Data!R742),IF(AND(Data!R742&gt;(TODAY()-(Data_Val!$L$3*365.25)),Data!R742&lt;=(TODAY()-(Data_Val!$L$2*365.25))),0,1),1))</f>
        <v/>
      </c>
      <c r="Y742" s="13" t="str">
        <f>IF(Data!$G742="","",IF(Data!$G742=Data_Val!$C$2,IF(Data!S742="",0,1),0))</f>
        <v/>
      </c>
      <c r="Z742" s="13" t="str">
        <f>IF(Data!S742="","",IF(ISNUMBER(MATCH(Data!T742,Data_Val!$A$2:$A$3,0)),0,1))</f>
        <v/>
      </c>
      <c r="AA742" s="28" t="str">
        <f ca="1">IF(Data!S742="","",IF(ISNUMBER(Data!U742),IF(AND(Data!U742&gt;(TODAY()-(Data_Val!$L$3*365.25)),Data!U742&lt;=(TODAY()-(Data_Val!$L$2*365.25))),0,1),1))</f>
        <v/>
      </c>
      <c r="AB742" s="11"/>
      <c r="AC742" s="11" t="e">
        <f>IF(Data!#REF!="","",IF(ISNUMBER(MATCH(Data!#REF!,Data_Val!$A$2:$A$3,0)),0,1))</f>
        <v>#REF!</v>
      </c>
      <c r="AD742" s="11" t="e">
        <f ca="1">IF(Data!#REF!="","",IF(ISNUMBER(Data!#REF!),IF(AND(Data!#REF!&gt;(TODAY()-(Data_Val!$L$3*365.25)),Data!#REF!&lt;=(TODAY()-(Data_Val!$L$2*365.25))),0,1),1))</f>
        <v>#REF!</v>
      </c>
      <c r="AE742" s="11" t="e">
        <f>IF(Data!#REF!="","",IF(Data!$G742="",1,IF(ISNUMBER(MATCH(Data!#REF!,Data_Val!$D$2:$D$10,0)),0,1)))</f>
        <v>#REF!</v>
      </c>
      <c r="AF742" s="12"/>
      <c r="AG742" s="12" t="e">
        <f>IF(Data!#REF!="","",IF(ISNUMBER(MATCH(Data!#REF!,Data_Val!$A$2:$A$3,0)),0,1))</f>
        <v>#REF!</v>
      </c>
      <c r="AH742" s="26" t="e">
        <f ca="1">IF(Data!#REF!="","",IF(ISNUMBER(Data!#REF!),IF(AND(Data!#REF!&gt;(TODAY()-(Data_Val!$L$3*365.25)),Data!#REF!&lt;=(TODAY()-(Data_Val!$L$2*365.25))),0,1),1))</f>
        <v>#REF!</v>
      </c>
      <c r="AI742" s="12" t="e">
        <f>IF(Data!#REF!="","",IF(Data!$G742="",1,IF(ISNUMBER(MATCH(Data!#REF!,Data_Val!$D$2:$D$10,0)),0,1)))</f>
        <v>#REF!</v>
      </c>
      <c r="AJ742" s="17"/>
      <c r="AK742" s="17" t="e">
        <f>IF(Data!#REF!="","",IF(ISNUMBER(MATCH(Data!#REF!,Data_Val!$A$2:$A$3,0)),0,1))</f>
        <v>#REF!</v>
      </c>
      <c r="AL742" s="25" t="e">
        <f ca="1">IF(Data!#REF!="","",IF(ISNUMBER(Data!#REF!),IF(AND(Data!#REF!&gt;(TODAY()-(Data_Val!$L$3*365.25)),Data!#REF!&lt;=(TODAY()-(Data_Val!$L$2*365.25))),0,1),1))</f>
        <v>#REF!</v>
      </c>
      <c r="AM742" s="17" t="e">
        <f>IF(Data!#REF!="","",IF(Data!$G742="",1,IF(ISNUMBER(MATCH(Data!#REF!,Data_Val!$D$2:$D$10,0)),0,1)))</f>
        <v>#REF!</v>
      </c>
      <c r="AN742" s="13"/>
      <c r="AO742" s="28" t="e">
        <f ca="1">IF(Data!#REF!="","",IF(ISNUMBER(Data!#REF!),IF(AND(Data!#REF!&gt;(TODAY()-(Data_Val!$I$3*365.25)),Data!#REF!&lt;=(TODAY()-(Data_Val!$I$2*365.25))),0,1),1))</f>
        <v>#REF!</v>
      </c>
      <c r="AP742" s="13" t="e">
        <f>IF(Data!#REF!="","",IF(Data!$G742="",1,IF(ISNUMBER(MATCH(Data!#REF!,Data_Val!$D$2:$D$10,0)),0,1)))</f>
        <v>#REF!</v>
      </c>
      <c r="AQ742" s="17"/>
      <c r="AR742" s="30" t="e">
        <f ca="1">IF(Data!#REF!="","",IF(ISNUMBER(Data!#REF!),IF(AND(Data!#REF!&gt;(TODAY()-(Data_Val!$I$3*365.25)),Data!#REF!&lt;=(TODAY()-(Data_Val!$I$2*365.25))),0,1),1))</f>
        <v>#REF!</v>
      </c>
      <c r="AS742" s="31" t="e">
        <f>IF(Data!#REF!="","",IF(Data!$G742="",1,IF(ISNUMBER(MATCH(Data!#REF!,Data_Val!$D$2:$D$10,0)),0,1)))</f>
        <v>#REF!</v>
      </c>
      <c r="AT742" s="11"/>
      <c r="AU742" s="11" t="e">
        <f ca="1">IF(Data!#REF!="","",IF(ISNUMBER(Data!#REF!),IF(AND(Data!#REF!&gt;(TODAY()-(Data_Val!$I$3*365.25)),Data!#REF!&lt;=(TODAY()-(Data_Val!$I$2*365.25))),0,1),1))</f>
        <v>#REF!</v>
      </c>
      <c r="AV742" s="11" t="e">
        <f>IF(Data!#REF!="","",IF(Data!$G742="",1,IF(ISNUMBER(MATCH(Data!#REF!,Data_Val!$D$2:$D$10,0)),0,1)))</f>
        <v>#REF!</v>
      </c>
      <c r="AW742" s="12"/>
      <c r="AX742" s="26" t="e">
        <f ca="1">IF(Data!#REF!="","",IF(ISNUMBER(Data!#REF!),IF(AND(Data!#REF!&gt;(TODAY()-(Data_Val!$I$3*365.25)),Data!#REF!&lt;=(TODAY()-(Data_Val!$I$2*365.25))),0,1),1))</f>
        <v>#REF!</v>
      </c>
      <c r="AY742" s="12" t="e">
        <f>IF(Data!#REF!="","",IF(Data!$G742="",1,IF(ISNUMBER(MATCH(Data!#REF!,Data_Val!$D$2:$D$10,0)),0,1)))</f>
        <v>#REF!</v>
      </c>
      <c r="AZ742" s="11"/>
      <c r="BA742" s="19" t="e">
        <f ca="1">IF(Data!#REF!="","",IF(ISNUMBER(Data!#REF!),IF(AND(Data!#REF!&gt;(TODAY()-(Data_Val!$M$3*365.25)),Data!#REF!&lt;=(TODAY()-(Data_Val!$M$2*365.25))),0,1),1))</f>
        <v>#REF!</v>
      </c>
      <c r="BB742" s="11" t="e">
        <f>IF(Data!#REF!="","",IF(Data!$G742="",1,IF(ISNUMBER(MATCH(Data!#REF!,Data_Val!$D$2:$D$10,0)),0,1)))</f>
        <v>#REF!</v>
      </c>
      <c r="BC742" s="12"/>
      <c r="BD742" s="20" t="e">
        <f ca="1">IF(Data!#REF!="","",IF(ISNUMBER(Data!#REF!),IF(AND(Data!#REF!&gt;(TODAY()-(Data_Val!$M$3*365.25)),Data!#REF!&lt;=(TODAY()-(Data_Val!$M$2*365.25))),0,1),1))</f>
        <v>#REF!</v>
      </c>
      <c r="BE742" s="12" t="e">
        <f>IF(Data!#REF!="","",IF(Data!$G742="",1,IF(ISNUMBER(MATCH(Data!#REF!,Data_Val!$D$2:$D$10,0)),0,1)))</f>
        <v>#REF!</v>
      </c>
      <c r="BF742" s="17"/>
      <c r="BG742" s="18" t="e">
        <f ca="1">IF(Data!#REF!="","",IF(ISNUMBER(Data!#REF!),IF(AND(Data!#REF!&gt;(TODAY()-(Data_Val!$M$3*365.25)),Data!#REF!&lt;=(TODAY()-(Data_Val!$M$2*365.25))),0,1),1))</f>
        <v>#REF!</v>
      </c>
      <c r="BH742" s="29" t="e">
        <f>IF(Data!#REF!="","",IF(Data!$G742="",1,IF(ISNUMBER(MATCH(Data!#REF!,Data_Val!$D$2:$D$10,0)),0,1)))</f>
        <v>#REF!</v>
      </c>
      <c r="BI742" s="13"/>
      <c r="BJ742" s="21" t="e">
        <f ca="1">IF(Data!#REF!="","",IF(ISNUMBER(Data!#REF!),IF(AND(Data!#REF!&gt;(TODAY()-(Data_Val!$M$3*365.25)),Data!#REF!&lt;=(TODAY()-(Data_Val!$M$2*365.25))),0,1),1))</f>
        <v>#REF!</v>
      </c>
      <c r="BK742" s="13" t="e">
        <f>IF(Data!#REF!="","",IF(Data!$G742="",1,IF(ISNUMBER(MATCH(Data!#REF!,Data_Val!$D$2:$D$10,0)),0,1)))</f>
        <v>#REF!</v>
      </c>
    </row>
    <row r="743" spans="1:63" x14ac:dyDescent="0.25">
      <c r="A743" s="9" t="str">
        <f>IF(Data!B743="","",IF(COUNTIFS(Data!A$1:'Data'!A743,Data!A743)&lt;=1,0,1))</f>
        <v/>
      </c>
      <c r="B743" s="9"/>
      <c r="C743" s="23" t="str">
        <f>IF(Data!C743="","",(IF(ISNUMBER(MATCH("*@*.?*",Data!C743,0)),0,1)+IF(COUNTIFS(Data!C$1:'Data'!C743,Data!C743)&gt;1,1,0)))</f>
        <v/>
      </c>
      <c r="D743" s="9" t="str">
        <f>IF(Data!B743="","",IF(ISNUMBER(Data!D743),IF(AND(Data!D743&gt;999999999,Data!D743&lt;=9999999999),IF(COUNTIFS(Data!D$1:'Data'!D743,Data!D743)&lt;=1,0,1),1),1))</f>
        <v/>
      </c>
      <c r="E743" s="9" t="str">
        <f>IF(Data!B743="","",IF(ISNUMBER(MATCH(Data!E743,Data_Val!$A$2:$A$3,0)),0,1))</f>
        <v/>
      </c>
      <c r="F743" s="9" t="str">
        <f ca="1">IF(Data!B743="","",IF(ISNUMBER(Data!F743),IF(AND(Data!F743&gt;(TODAY()-(Data_Val!$H$3*365.25)),Data!F743&lt;=(TODAY()-(Data_Val!$H$2*365.25))),0,1),1))</f>
        <v/>
      </c>
      <c r="G743" s="15" t="str">
        <f>IF(Data!B743="","",IF(AND(Data!G743="",Data!H743&lt;&gt;""),1,IF(Data!#REF!&lt;&gt;"",0,IF(ISNUMBER(MATCH(Data!G743,Data_Val!$C$2:$C$5,0)),0,1))))</f>
        <v/>
      </c>
      <c r="H743" s="15" t="str">
        <f>IF(Data!B743="","",IF(AND(Data!G743&lt;&gt;"",Data!H743=""),1,IF(Data!#REF!&lt;&gt;"",0,IF(Data!G743="",1,IF(ISNUMBER(MATCH(Data!H743,Data_Val!$D$2:$D$35,0)),0,1)))))</f>
        <v/>
      </c>
      <c r="I743" s="15" t="str">
        <f>IF(Data!B743="","",IF(Data!G743&lt;&gt;"",0,IF(ISNUMBER(MATCH(Data!#REF!,Data_Val!$E$2:$E$12,0)),0,1)))</f>
        <v/>
      </c>
      <c r="J743" s="16" t="e">
        <f>IF(OR(Data!B743="",Data!#REF!=""),"",IF(Data!#REF!="",1,0))</f>
        <v>#REF!</v>
      </c>
      <c r="K743" s="16" t="e">
        <f>IF(OR(Data!B743="",Data!#REF!=""),"",IF(Data!#REF!="",1,0))</f>
        <v>#REF!</v>
      </c>
      <c r="L743" s="16" t="e">
        <f>IF(OR(Data!B743="",Data!#REF!=""),"",IF(ISNUMBER(Data!#REF!),IF(AND(Data!#REF!&gt;Data_Val!$G$2,Data!#REF!&lt;=Data_Val!$G$3),0,1),1))</f>
        <v>#REF!</v>
      </c>
      <c r="M743" s="9" t="e">
        <f>IF(OR(Data!B743="",Data!#REF!=""),"",IF(ISNUMBER(MATCH(Data!#REF!,Data_Val!$F$1:$F$38,0)),0,1))</f>
        <v>#REF!</v>
      </c>
      <c r="N743" s="9" t="e">
        <f>IF(OR(Data!B743="",Data!#REF!=""),"",IF(Data!#REF!="",1,0))</f>
        <v>#REF!</v>
      </c>
      <c r="O743" s="17" t="e">
        <f>IF(Data!#REF!="","",IF(Data!#REF!="",1,0))</f>
        <v>#REF!</v>
      </c>
      <c r="P743" s="17" t="e">
        <f>IF(Data!#REF!="","",IF(ISNUMBER(MATCH(Data!#REF!,Data_Val!$A$2:$A$3,0)),0,1))</f>
        <v>#REF!</v>
      </c>
      <c r="Q743" s="25" t="e">
        <f ca="1">IF(Data!#REF!="","",IF(ISNUMBER(Data!#REF!),IF(AND(Data!#REF!&gt;(TODAY()-(Data_Val!$J$3*365.25)),Data!#REF!&lt;=(TODAY()-(Data_Val!$J$2*365.25))),0,1),1))</f>
        <v>#REF!</v>
      </c>
      <c r="R743" s="17" t="e">
        <f>IF(Data!#REF!="","",IF(ISNUMBER(MATCH(Data!#REF!,Data_Val!$B$2:$B$15,0)),0,1))</f>
        <v>#REF!</v>
      </c>
      <c r="S743" s="11" t="str">
        <f>IF(Data!G743="","",IF(Data!G743=Data_Val!$C$2,IF(Data!M743="",0,1),0))</f>
        <v/>
      </c>
      <c r="T743" s="11" t="str">
        <f>IF(Data!M743="","",IF(ISNUMBER(MATCH(Data!N743,Data_Val!$A$2:$A$3,0)),0,1))</f>
        <v/>
      </c>
      <c r="U743" s="11" t="str">
        <f ca="1">IF(Data!M743="","",IF(ISNUMBER(Data!O743),IF(AND(Data!O743&gt;(TODAY()-(Data_Val!$K$3*365.25)),Data!O743&lt;=(TODAY()-(Data_Val!$K$2*365.25))),0,1),1))</f>
        <v/>
      </c>
      <c r="V743" s="12" t="str">
        <f>IF(Data!G743="","",IF(Data!G743=Data_Val!$C$2,IF(Data!P743="",0,1),0))</f>
        <v/>
      </c>
      <c r="W743" s="12" t="str">
        <f>IF(Data!P743="","",IF(ISNUMBER(MATCH(Data!Q743,Data_Val!$A$2:$A$3,0)),0,1))</f>
        <v/>
      </c>
      <c r="X743" s="26" t="str">
        <f ca="1">IF(Data!P743="","",IF(ISNUMBER(Data!R743),IF(AND(Data!R743&gt;(TODAY()-(Data_Val!$L$3*365.25)),Data!R743&lt;=(TODAY()-(Data_Val!$L$2*365.25))),0,1),1))</f>
        <v/>
      </c>
      <c r="Y743" s="13" t="str">
        <f>IF(Data!$G743="","",IF(Data!$G743=Data_Val!$C$2,IF(Data!S743="",0,1),0))</f>
        <v/>
      </c>
      <c r="Z743" s="13" t="str">
        <f>IF(Data!S743="","",IF(ISNUMBER(MATCH(Data!T743,Data_Val!$A$2:$A$3,0)),0,1))</f>
        <v/>
      </c>
      <c r="AA743" s="28" t="str">
        <f ca="1">IF(Data!S743="","",IF(ISNUMBER(Data!U743),IF(AND(Data!U743&gt;(TODAY()-(Data_Val!$L$3*365.25)),Data!U743&lt;=(TODAY()-(Data_Val!$L$2*365.25))),0,1),1))</f>
        <v/>
      </c>
      <c r="AB743" s="11"/>
      <c r="AC743" s="11" t="e">
        <f>IF(Data!#REF!="","",IF(ISNUMBER(MATCH(Data!#REF!,Data_Val!$A$2:$A$3,0)),0,1))</f>
        <v>#REF!</v>
      </c>
      <c r="AD743" s="11" t="e">
        <f ca="1">IF(Data!#REF!="","",IF(ISNUMBER(Data!#REF!),IF(AND(Data!#REF!&gt;(TODAY()-(Data_Val!$L$3*365.25)),Data!#REF!&lt;=(TODAY()-(Data_Val!$L$2*365.25))),0,1),1))</f>
        <v>#REF!</v>
      </c>
      <c r="AE743" s="11" t="e">
        <f>IF(Data!#REF!="","",IF(Data!$G743="",1,IF(ISNUMBER(MATCH(Data!#REF!,Data_Val!$D$2:$D$10,0)),0,1)))</f>
        <v>#REF!</v>
      </c>
      <c r="AF743" s="12"/>
      <c r="AG743" s="12" t="e">
        <f>IF(Data!#REF!="","",IF(ISNUMBER(MATCH(Data!#REF!,Data_Val!$A$2:$A$3,0)),0,1))</f>
        <v>#REF!</v>
      </c>
      <c r="AH743" s="26" t="e">
        <f ca="1">IF(Data!#REF!="","",IF(ISNUMBER(Data!#REF!),IF(AND(Data!#REF!&gt;(TODAY()-(Data_Val!$L$3*365.25)),Data!#REF!&lt;=(TODAY()-(Data_Val!$L$2*365.25))),0,1),1))</f>
        <v>#REF!</v>
      </c>
      <c r="AI743" s="12" t="e">
        <f>IF(Data!#REF!="","",IF(Data!$G743="",1,IF(ISNUMBER(MATCH(Data!#REF!,Data_Val!$D$2:$D$10,0)),0,1)))</f>
        <v>#REF!</v>
      </c>
      <c r="AJ743" s="17"/>
      <c r="AK743" s="17" t="e">
        <f>IF(Data!#REF!="","",IF(ISNUMBER(MATCH(Data!#REF!,Data_Val!$A$2:$A$3,0)),0,1))</f>
        <v>#REF!</v>
      </c>
      <c r="AL743" s="25" t="e">
        <f ca="1">IF(Data!#REF!="","",IF(ISNUMBER(Data!#REF!),IF(AND(Data!#REF!&gt;(TODAY()-(Data_Val!$L$3*365.25)),Data!#REF!&lt;=(TODAY()-(Data_Val!$L$2*365.25))),0,1),1))</f>
        <v>#REF!</v>
      </c>
      <c r="AM743" s="17" t="e">
        <f>IF(Data!#REF!="","",IF(Data!$G743="",1,IF(ISNUMBER(MATCH(Data!#REF!,Data_Val!$D$2:$D$10,0)),0,1)))</f>
        <v>#REF!</v>
      </c>
      <c r="AN743" s="13"/>
      <c r="AO743" s="28" t="e">
        <f ca="1">IF(Data!#REF!="","",IF(ISNUMBER(Data!#REF!),IF(AND(Data!#REF!&gt;(TODAY()-(Data_Val!$I$3*365.25)),Data!#REF!&lt;=(TODAY()-(Data_Val!$I$2*365.25))),0,1),1))</f>
        <v>#REF!</v>
      </c>
      <c r="AP743" s="13" t="e">
        <f>IF(Data!#REF!="","",IF(Data!$G743="",1,IF(ISNUMBER(MATCH(Data!#REF!,Data_Val!$D$2:$D$10,0)),0,1)))</f>
        <v>#REF!</v>
      </c>
      <c r="AQ743" s="17"/>
      <c r="AR743" s="30" t="e">
        <f ca="1">IF(Data!#REF!="","",IF(ISNUMBER(Data!#REF!),IF(AND(Data!#REF!&gt;(TODAY()-(Data_Val!$I$3*365.25)),Data!#REF!&lt;=(TODAY()-(Data_Val!$I$2*365.25))),0,1),1))</f>
        <v>#REF!</v>
      </c>
      <c r="AS743" s="31" t="e">
        <f>IF(Data!#REF!="","",IF(Data!$G743="",1,IF(ISNUMBER(MATCH(Data!#REF!,Data_Val!$D$2:$D$10,0)),0,1)))</f>
        <v>#REF!</v>
      </c>
      <c r="AT743" s="11"/>
      <c r="AU743" s="11" t="e">
        <f ca="1">IF(Data!#REF!="","",IF(ISNUMBER(Data!#REF!),IF(AND(Data!#REF!&gt;(TODAY()-(Data_Val!$I$3*365.25)),Data!#REF!&lt;=(TODAY()-(Data_Val!$I$2*365.25))),0,1),1))</f>
        <v>#REF!</v>
      </c>
      <c r="AV743" s="11" t="e">
        <f>IF(Data!#REF!="","",IF(Data!$G743="",1,IF(ISNUMBER(MATCH(Data!#REF!,Data_Val!$D$2:$D$10,0)),0,1)))</f>
        <v>#REF!</v>
      </c>
      <c r="AW743" s="12"/>
      <c r="AX743" s="26" t="e">
        <f ca="1">IF(Data!#REF!="","",IF(ISNUMBER(Data!#REF!),IF(AND(Data!#REF!&gt;(TODAY()-(Data_Val!$I$3*365.25)),Data!#REF!&lt;=(TODAY()-(Data_Val!$I$2*365.25))),0,1),1))</f>
        <v>#REF!</v>
      </c>
      <c r="AY743" s="12" t="e">
        <f>IF(Data!#REF!="","",IF(Data!$G743="",1,IF(ISNUMBER(MATCH(Data!#REF!,Data_Val!$D$2:$D$10,0)),0,1)))</f>
        <v>#REF!</v>
      </c>
      <c r="AZ743" s="11"/>
      <c r="BA743" s="19" t="e">
        <f ca="1">IF(Data!#REF!="","",IF(ISNUMBER(Data!#REF!),IF(AND(Data!#REF!&gt;(TODAY()-(Data_Val!$M$3*365.25)),Data!#REF!&lt;=(TODAY()-(Data_Val!$M$2*365.25))),0,1),1))</f>
        <v>#REF!</v>
      </c>
      <c r="BB743" s="11" t="e">
        <f>IF(Data!#REF!="","",IF(Data!$G743="",1,IF(ISNUMBER(MATCH(Data!#REF!,Data_Val!$D$2:$D$10,0)),0,1)))</f>
        <v>#REF!</v>
      </c>
      <c r="BC743" s="12"/>
      <c r="BD743" s="20" t="e">
        <f ca="1">IF(Data!#REF!="","",IF(ISNUMBER(Data!#REF!),IF(AND(Data!#REF!&gt;(TODAY()-(Data_Val!$M$3*365.25)),Data!#REF!&lt;=(TODAY()-(Data_Val!$M$2*365.25))),0,1),1))</f>
        <v>#REF!</v>
      </c>
      <c r="BE743" s="12" t="e">
        <f>IF(Data!#REF!="","",IF(Data!$G743="",1,IF(ISNUMBER(MATCH(Data!#REF!,Data_Val!$D$2:$D$10,0)),0,1)))</f>
        <v>#REF!</v>
      </c>
      <c r="BF743" s="17"/>
      <c r="BG743" s="18" t="e">
        <f ca="1">IF(Data!#REF!="","",IF(ISNUMBER(Data!#REF!),IF(AND(Data!#REF!&gt;(TODAY()-(Data_Val!$M$3*365.25)),Data!#REF!&lt;=(TODAY()-(Data_Val!$M$2*365.25))),0,1),1))</f>
        <v>#REF!</v>
      </c>
      <c r="BH743" s="29" t="e">
        <f>IF(Data!#REF!="","",IF(Data!$G743="",1,IF(ISNUMBER(MATCH(Data!#REF!,Data_Val!$D$2:$D$10,0)),0,1)))</f>
        <v>#REF!</v>
      </c>
      <c r="BI743" s="13"/>
      <c r="BJ743" s="21" t="e">
        <f ca="1">IF(Data!#REF!="","",IF(ISNUMBER(Data!#REF!),IF(AND(Data!#REF!&gt;(TODAY()-(Data_Val!$M$3*365.25)),Data!#REF!&lt;=(TODAY()-(Data_Val!$M$2*365.25))),0,1),1))</f>
        <v>#REF!</v>
      </c>
      <c r="BK743" s="13" t="e">
        <f>IF(Data!#REF!="","",IF(Data!$G743="",1,IF(ISNUMBER(MATCH(Data!#REF!,Data_Val!$D$2:$D$10,0)),0,1)))</f>
        <v>#REF!</v>
      </c>
    </row>
    <row r="744" spans="1:63" x14ac:dyDescent="0.25">
      <c r="A744" s="9" t="str">
        <f>IF(Data!B744="","",IF(COUNTIFS(Data!A$1:'Data'!A744,Data!A744)&lt;=1,0,1))</f>
        <v/>
      </c>
      <c r="B744" s="9"/>
      <c r="C744" s="23" t="str">
        <f>IF(Data!C744="","",(IF(ISNUMBER(MATCH("*@*.?*",Data!C744,0)),0,1)+IF(COUNTIFS(Data!C$1:'Data'!C744,Data!C744)&gt;1,1,0)))</f>
        <v/>
      </c>
      <c r="D744" s="9" t="str">
        <f>IF(Data!B744="","",IF(ISNUMBER(Data!D744),IF(AND(Data!D744&gt;999999999,Data!D744&lt;=9999999999),IF(COUNTIFS(Data!D$1:'Data'!D744,Data!D744)&lt;=1,0,1),1),1))</f>
        <v/>
      </c>
      <c r="E744" s="9" t="str">
        <f>IF(Data!B744="","",IF(ISNUMBER(MATCH(Data!E744,Data_Val!$A$2:$A$3,0)),0,1))</f>
        <v/>
      </c>
      <c r="F744" s="9" t="str">
        <f ca="1">IF(Data!B744="","",IF(ISNUMBER(Data!F744),IF(AND(Data!F744&gt;(TODAY()-(Data_Val!$H$3*365.25)),Data!F744&lt;=(TODAY()-(Data_Val!$H$2*365.25))),0,1),1))</f>
        <v/>
      </c>
      <c r="G744" s="15" t="str">
        <f>IF(Data!B744="","",IF(AND(Data!G744="",Data!H744&lt;&gt;""),1,IF(Data!#REF!&lt;&gt;"",0,IF(ISNUMBER(MATCH(Data!G744,Data_Val!$C$2:$C$5,0)),0,1))))</f>
        <v/>
      </c>
      <c r="H744" s="15" t="str">
        <f>IF(Data!B744="","",IF(AND(Data!G744&lt;&gt;"",Data!H744=""),1,IF(Data!#REF!&lt;&gt;"",0,IF(Data!G744="",1,IF(ISNUMBER(MATCH(Data!H744,Data_Val!$D$2:$D$35,0)),0,1)))))</f>
        <v/>
      </c>
      <c r="I744" s="15" t="str">
        <f>IF(Data!B744="","",IF(Data!G744&lt;&gt;"",0,IF(ISNUMBER(MATCH(Data!#REF!,Data_Val!$E$2:$E$12,0)),0,1)))</f>
        <v/>
      </c>
      <c r="J744" s="16" t="e">
        <f>IF(OR(Data!B744="",Data!#REF!=""),"",IF(Data!#REF!="",1,0))</f>
        <v>#REF!</v>
      </c>
      <c r="K744" s="16" t="e">
        <f>IF(OR(Data!B744="",Data!#REF!=""),"",IF(Data!#REF!="",1,0))</f>
        <v>#REF!</v>
      </c>
      <c r="L744" s="16" t="e">
        <f>IF(OR(Data!B744="",Data!#REF!=""),"",IF(ISNUMBER(Data!#REF!),IF(AND(Data!#REF!&gt;Data_Val!$G$2,Data!#REF!&lt;=Data_Val!$G$3),0,1),1))</f>
        <v>#REF!</v>
      </c>
      <c r="M744" s="9" t="e">
        <f>IF(OR(Data!B744="",Data!#REF!=""),"",IF(ISNUMBER(MATCH(Data!#REF!,Data_Val!$F$1:$F$38,0)),0,1))</f>
        <v>#REF!</v>
      </c>
      <c r="N744" s="9" t="e">
        <f>IF(OR(Data!B744="",Data!#REF!=""),"",IF(Data!#REF!="",1,0))</f>
        <v>#REF!</v>
      </c>
      <c r="O744" s="17" t="e">
        <f>IF(Data!#REF!="","",IF(Data!#REF!="",1,0))</f>
        <v>#REF!</v>
      </c>
      <c r="P744" s="17" t="e">
        <f>IF(Data!#REF!="","",IF(ISNUMBER(MATCH(Data!#REF!,Data_Val!$A$2:$A$3,0)),0,1))</f>
        <v>#REF!</v>
      </c>
      <c r="Q744" s="25" t="e">
        <f ca="1">IF(Data!#REF!="","",IF(ISNUMBER(Data!#REF!),IF(AND(Data!#REF!&gt;(TODAY()-(Data_Val!$J$3*365.25)),Data!#REF!&lt;=(TODAY()-(Data_Val!$J$2*365.25))),0,1),1))</f>
        <v>#REF!</v>
      </c>
      <c r="R744" s="17" t="e">
        <f>IF(Data!#REF!="","",IF(ISNUMBER(MATCH(Data!#REF!,Data_Val!$B$2:$B$15,0)),0,1))</f>
        <v>#REF!</v>
      </c>
      <c r="S744" s="11" t="str">
        <f>IF(Data!G744="","",IF(Data!G744=Data_Val!$C$2,IF(Data!M744="",0,1),0))</f>
        <v/>
      </c>
      <c r="T744" s="11" t="str">
        <f>IF(Data!M744="","",IF(ISNUMBER(MATCH(Data!N744,Data_Val!$A$2:$A$3,0)),0,1))</f>
        <v/>
      </c>
      <c r="U744" s="11" t="str">
        <f ca="1">IF(Data!M744="","",IF(ISNUMBER(Data!O744),IF(AND(Data!O744&gt;(TODAY()-(Data_Val!$K$3*365.25)),Data!O744&lt;=(TODAY()-(Data_Val!$K$2*365.25))),0,1),1))</f>
        <v/>
      </c>
      <c r="V744" s="12" t="str">
        <f>IF(Data!G744="","",IF(Data!G744=Data_Val!$C$2,IF(Data!P744="",0,1),0))</f>
        <v/>
      </c>
      <c r="W744" s="12" t="str">
        <f>IF(Data!P744="","",IF(ISNUMBER(MATCH(Data!Q744,Data_Val!$A$2:$A$3,0)),0,1))</f>
        <v/>
      </c>
      <c r="X744" s="26" t="str">
        <f ca="1">IF(Data!P744="","",IF(ISNUMBER(Data!R744),IF(AND(Data!R744&gt;(TODAY()-(Data_Val!$L$3*365.25)),Data!R744&lt;=(TODAY()-(Data_Val!$L$2*365.25))),0,1),1))</f>
        <v/>
      </c>
      <c r="Y744" s="13" t="str">
        <f>IF(Data!$G744="","",IF(Data!$G744=Data_Val!$C$2,IF(Data!S744="",0,1),0))</f>
        <v/>
      </c>
      <c r="Z744" s="13" t="str">
        <f>IF(Data!S744="","",IF(ISNUMBER(MATCH(Data!T744,Data_Val!$A$2:$A$3,0)),0,1))</f>
        <v/>
      </c>
      <c r="AA744" s="28" t="str">
        <f ca="1">IF(Data!S744="","",IF(ISNUMBER(Data!U744),IF(AND(Data!U744&gt;(TODAY()-(Data_Val!$L$3*365.25)),Data!U744&lt;=(TODAY()-(Data_Val!$L$2*365.25))),0,1),1))</f>
        <v/>
      </c>
      <c r="AB744" s="11"/>
      <c r="AC744" s="11" t="e">
        <f>IF(Data!#REF!="","",IF(ISNUMBER(MATCH(Data!#REF!,Data_Val!$A$2:$A$3,0)),0,1))</f>
        <v>#REF!</v>
      </c>
      <c r="AD744" s="11" t="e">
        <f ca="1">IF(Data!#REF!="","",IF(ISNUMBER(Data!#REF!),IF(AND(Data!#REF!&gt;(TODAY()-(Data_Val!$L$3*365.25)),Data!#REF!&lt;=(TODAY()-(Data_Val!$L$2*365.25))),0,1),1))</f>
        <v>#REF!</v>
      </c>
      <c r="AE744" s="11" t="e">
        <f>IF(Data!#REF!="","",IF(Data!$G744="",1,IF(ISNUMBER(MATCH(Data!#REF!,Data_Val!$D$2:$D$10,0)),0,1)))</f>
        <v>#REF!</v>
      </c>
      <c r="AF744" s="12"/>
      <c r="AG744" s="12" t="e">
        <f>IF(Data!#REF!="","",IF(ISNUMBER(MATCH(Data!#REF!,Data_Val!$A$2:$A$3,0)),0,1))</f>
        <v>#REF!</v>
      </c>
      <c r="AH744" s="26" t="e">
        <f ca="1">IF(Data!#REF!="","",IF(ISNUMBER(Data!#REF!),IF(AND(Data!#REF!&gt;(TODAY()-(Data_Val!$L$3*365.25)),Data!#REF!&lt;=(TODAY()-(Data_Val!$L$2*365.25))),0,1),1))</f>
        <v>#REF!</v>
      </c>
      <c r="AI744" s="12" t="e">
        <f>IF(Data!#REF!="","",IF(Data!$G744="",1,IF(ISNUMBER(MATCH(Data!#REF!,Data_Val!$D$2:$D$10,0)),0,1)))</f>
        <v>#REF!</v>
      </c>
      <c r="AJ744" s="17"/>
      <c r="AK744" s="17" t="e">
        <f>IF(Data!#REF!="","",IF(ISNUMBER(MATCH(Data!#REF!,Data_Val!$A$2:$A$3,0)),0,1))</f>
        <v>#REF!</v>
      </c>
      <c r="AL744" s="25" t="e">
        <f ca="1">IF(Data!#REF!="","",IF(ISNUMBER(Data!#REF!),IF(AND(Data!#REF!&gt;(TODAY()-(Data_Val!$L$3*365.25)),Data!#REF!&lt;=(TODAY()-(Data_Val!$L$2*365.25))),0,1),1))</f>
        <v>#REF!</v>
      </c>
      <c r="AM744" s="17" t="e">
        <f>IF(Data!#REF!="","",IF(Data!$G744="",1,IF(ISNUMBER(MATCH(Data!#REF!,Data_Val!$D$2:$D$10,0)),0,1)))</f>
        <v>#REF!</v>
      </c>
      <c r="AN744" s="13"/>
      <c r="AO744" s="28" t="e">
        <f ca="1">IF(Data!#REF!="","",IF(ISNUMBER(Data!#REF!),IF(AND(Data!#REF!&gt;(TODAY()-(Data_Val!$I$3*365.25)),Data!#REF!&lt;=(TODAY()-(Data_Val!$I$2*365.25))),0,1),1))</f>
        <v>#REF!</v>
      </c>
      <c r="AP744" s="13" t="e">
        <f>IF(Data!#REF!="","",IF(Data!$G744="",1,IF(ISNUMBER(MATCH(Data!#REF!,Data_Val!$D$2:$D$10,0)),0,1)))</f>
        <v>#REF!</v>
      </c>
      <c r="AQ744" s="17"/>
      <c r="AR744" s="30" t="e">
        <f ca="1">IF(Data!#REF!="","",IF(ISNUMBER(Data!#REF!),IF(AND(Data!#REF!&gt;(TODAY()-(Data_Val!$I$3*365.25)),Data!#REF!&lt;=(TODAY()-(Data_Val!$I$2*365.25))),0,1),1))</f>
        <v>#REF!</v>
      </c>
      <c r="AS744" s="31" t="e">
        <f>IF(Data!#REF!="","",IF(Data!$G744="",1,IF(ISNUMBER(MATCH(Data!#REF!,Data_Val!$D$2:$D$10,0)),0,1)))</f>
        <v>#REF!</v>
      </c>
      <c r="AT744" s="11"/>
      <c r="AU744" s="11" t="e">
        <f ca="1">IF(Data!#REF!="","",IF(ISNUMBER(Data!#REF!),IF(AND(Data!#REF!&gt;(TODAY()-(Data_Val!$I$3*365.25)),Data!#REF!&lt;=(TODAY()-(Data_Val!$I$2*365.25))),0,1),1))</f>
        <v>#REF!</v>
      </c>
      <c r="AV744" s="11" t="e">
        <f>IF(Data!#REF!="","",IF(Data!$G744="",1,IF(ISNUMBER(MATCH(Data!#REF!,Data_Val!$D$2:$D$10,0)),0,1)))</f>
        <v>#REF!</v>
      </c>
      <c r="AW744" s="12"/>
      <c r="AX744" s="26" t="e">
        <f ca="1">IF(Data!#REF!="","",IF(ISNUMBER(Data!#REF!),IF(AND(Data!#REF!&gt;(TODAY()-(Data_Val!$I$3*365.25)),Data!#REF!&lt;=(TODAY()-(Data_Val!$I$2*365.25))),0,1),1))</f>
        <v>#REF!</v>
      </c>
      <c r="AY744" s="12" t="e">
        <f>IF(Data!#REF!="","",IF(Data!$G744="",1,IF(ISNUMBER(MATCH(Data!#REF!,Data_Val!$D$2:$D$10,0)),0,1)))</f>
        <v>#REF!</v>
      </c>
      <c r="AZ744" s="11"/>
      <c r="BA744" s="19" t="e">
        <f ca="1">IF(Data!#REF!="","",IF(ISNUMBER(Data!#REF!),IF(AND(Data!#REF!&gt;(TODAY()-(Data_Val!$M$3*365.25)),Data!#REF!&lt;=(TODAY()-(Data_Val!$M$2*365.25))),0,1),1))</f>
        <v>#REF!</v>
      </c>
      <c r="BB744" s="11" t="e">
        <f>IF(Data!#REF!="","",IF(Data!$G744="",1,IF(ISNUMBER(MATCH(Data!#REF!,Data_Val!$D$2:$D$10,0)),0,1)))</f>
        <v>#REF!</v>
      </c>
      <c r="BC744" s="12"/>
      <c r="BD744" s="20" t="e">
        <f ca="1">IF(Data!#REF!="","",IF(ISNUMBER(Data!#REF!),IF(AND(Data!#REF!&gt;(TODAY()-(Data_Val!$M$3*365.25)),Data!#REF!&lt;=(TODAY()-(Data_Val!$M$2*365.25))),0,1),1))</f>
        <v>#REF!</v>
      </c>
      <c r="BE744" s="12" t="e">
        <f>IF(Data!#REF!="","",IF(Data!$G744="",1,IF(ISNUMBER(MATCH(Data!#REF!,Data_Val!$D$2:$D$10,0)),0,1)))</f>
        <v>#REF!</v>
      </c>
      <c r="BF744" s="17"/>
      <c r="BG744" s="18" t="e">
        <f ca="1">IF(Data!#REF!="","",IF(ISNUMBER(Data!#REF!),IF(AND(Data!#REF!&gt;(TODAY()-(Data_Val!$M$3*365.25)),Data!#REF!&lt;=(TODAY()-(Data_Val!$M$2*365.25))),0,1),1))</f>
        <v>#REF!</v>
      </c>
      <c r="BH744" s="29" t="e">
        <f>IF(Data!#REF!="","",IF(Data!$G744="",1,IF(ISNUMBER(MATCH(Data!#REF!,Data_Val!$D$2:$D$10,0)),0,1)))</f>
        <v>#REF!</v>
      </c>
      <c r="BI744" s="13"/>
      <c r="BJ744" s="21" t="e">
        <f ca="1">IF(Data!#REF!="","",IF(ISNUMBER(Data!#REF!),IF(AND(Data!#REF!&gt;(TODAY()-(Data_Val!$M$3*365.25)),Data!#REF!&lt;=(TODAY()-(Data_Val!$M$2*365.25))),0,1),1))</f>
        <v>#REF!</v>
      </c>
      <c r="BK744" s="13" t="e">
        <f>IF(Data!#REF!="","",IF(Data!$G744="",1,IF(ISNUMBER(MATCH(Data!#REF!,Data_Val!$D$2:$D$10,0)),0,1)))</f>
        <v>#REF!</v>
      </c>
    </row>
    <row r="745" spans="1:63" x14ac:dyDescent="0.25">
      <c r="A745" s="9" t="str">
        <f>IF(Data!B745="","",IF(COUNTIFS(Data!A$1:'Data'!A745,Data!A745)&lt;=1,0,1))</f>
        <v/>
      </c>
      <c r="B745" s="9"/>
      <c r="C745" s="23" t="str">
        <f>IF(Data!C745="","",(IF(ISNUMBER(MATCH("*@*.?*",Data!C745,0)),0,1)+IF(COUNTIFS(Data!C$1:'Data'!C745,Data!C745)&gt;1,1,0)))</f>
        <v/>
      </c>
      <c r="D745" s="9" t="str">
        <f>IF(Data!B745="","",IF(ISNUMBER(Data!D745),IF(AND(Data!D745&gt;999999999,Data!D745&lt;=9999999999),IF(COUNTIFS(Data!D$1:'Data'!D745,Data!D745)&lt;=1,0,1),1),1))</f>
        <v/>
      </c>
      <c r="E745" s="9" t="str">
        <f>IF(Data!B745="","",IF(ISNUMBER(MATCH(Data!E745,Data_Val!$A$2:$A$3,0)),0,1))</f>
        <v/>
      </c>
      <c r="F745" s="9" t="str">
        <f ca="1">IF(Data!B745="","",IF(ISNUMBER(Data!F745),IF(AND(Data!F745&gt;(TODAY()-(Data_Val!$H$3*365.25)),Data!F745&lt;=(TODAY()-(Data_Val!$H$2*365.25))),0,1),1))</f>
        <v/>
      </c>
      <c r="G745" s="15" t="str">
        <f>IF(Data!B745="","",IF(AND(Data!G745="",Data!H745&lt;&gt;""),1,IF(Data!#REF!&lt;&gt;"",0,IF(ISNUMBER(MATCH(Data!G745,Data_Val!$C$2:$C$5,0)),0,1))))</f>
        <v/>
      </c>
      <c r="H745" s="15" t="str">
        <f>IF(Data!B745="","",IF(AND(Data!G745&lt;&gt;"",Data!H745=""),1,IF(Data!#REF!&lt;&gt;"",0,IF(Data!G745="",1,IF(ISNUMBER(MATCH(Data!H745,Data_Val!$D$2:$D$35,0)),0,1)))))</f>
        <v/>
      </c>
      <c r="I745" s="15" t="str">
        <f>IF(Data!B745="","",IF(Data!G745&lt;&gt;"",0,IF(ISNUMBER(MATCH(Data!#REF!,Data_Val!$E$2:$E$12,0)),0,1)))</f>
        <v/>
      </c>
      <c r="J745" s="16" t="e">
        <f>IF(OR(Data!B745="",Data!#REF!=""),"",IF(Data!#REF!="",1,0))</f>
        <v>#REF!</v>
      </c>
      <c r="K745" s="16" t="e">
        <f>IF(OR(Data!B745="",Data!#REF!=""),"",IF(Data!#REF!="",1,0))</f>
        <v>#REF!</v>
      </c>
      <c r="L745" s="16" t="e">
        <f>IF(OR(Data!B745="",Data!#REF!=""),"",IF(ISNUMBER(Data!#REF!),IF(AND(Data!#REF!&gt;Data_Val!$G$2,Data!#REF!&lt;=Data_Val!$G$3),0,1),1))</f>
        <v>#REF!</v>
      </c>
      <c r="M745" s="9" t="e">
        <f>IF(OR(Data!B745="",Data!#REF!=""),"",IF(ISNUMBER(MATCH(Data!#REF!,Data_Val!$F$1:$F$38,0)),0,1))</f>
        <v>#REF!</v>
      </c>
      <c r="N745" s="9" t="e">
        <f>IF(OR(Data!B745="",Data!#REF!=""),"",IF(Data!#REF!="",1,0))</f>
        <v>#REF!</v>
      </c>
      <c r="O745" s="17" t="e">
        <f>IF(Data!#REF!="","",IF(Data!#REF!="",1,0))</f>
        <v>#REF!</v>
      </c>
      <c r="P745" s="17" t="e">
        <f>IF(Data!#REF!="","",IF(ISNUMBER(MATCH(Data!#REF!,Data_Val!$A$2:$A$3,0)),0,1))</f>
        <v>#REF!</v>
      </c>
      <c r="Q745" s="25" t="e">
        <f ca="1">IF(Data!#REF!="","",IF(ISNUMBER(Data!#REF!),IF(AND(Data!#REF!&gt;(TODAY()-(Data_Val!$J$3*365.25)),Data!#REF!&lt;=(TODAY()-(Data_Val!$J$2*365.25))),0,1),1))</f>
        <v>#REF!</v>
      </c>
      <c r="R745" s="17" t="e">
        <f>IF(Data!#REF!="","",IF(ISNUMBER(MATCH(Data!#REF!,Data_Val!$B$2:$B$15,0)),0,1))</f>
        <v>#REF!</v>
      </c>
      <c r="S745" s="11" t="str">
        <f>IF(Data!G745="","",IF(Data!G745=Data_Val!$C$2,IF(Data!M745="",0,1),0))</f>
        <v/>
      </c>
      <c r="T745" s="11" t="str">
        <f>IF(Data!M745="","",IF(ISNUMBER(MATCH(Data!N745,Data_Val!$A$2:$A$3,0)),0,1))</f>
        <v/>
      </c>
      <c r="U745" s="11" t="str">
        <f ca="1">IF(Data!M745="","",IF(ISNUMBER(Data!O745),IF(AND(Data!O745&gt;(TODAY()-(Data_Val!$K$3*365.25)),Data!O745&lt;=(TODAY()-(Data_Val!$K$2*365.25))),0,1),1))</f>
        <v/>
      </c>
      <c r="V745" s="12" t="str">
        <f>IF(Data!G745="","",IF(Data!G745=Data_Val!$C$2,IF(Data!P745="",0,1),0))</f>
        <v/>
      </c>
      <c r="W745" s="12" t="str">
        <f>IF(Data!P745="","",IF(ISNUMBER(MATCH(Data!Q745,Data_Val!$A$2:$A$3,0)),0,1))</f>
        <v/>
      </c>
      <c r="X745" s="26" t="str">
        <f ca="1">IF(Data!P745="","",IF(ISNUMBER(Data!R745),IF(AND(Data!R745&gt;(TODAY()-(Data_Val!$L$3*365.25)),Data!R745&lt;=(TODAY()-(Data_Val!$L$2*365.25))),0,1),1))</f>
        <v/>
      </c>
      <c r="Y745" s="13" t="str">
        <f>IF(Data!$G745="","",IF(Data!$G745=Data_Val!$C$2,IF(Data!S745="",0,1),0))</f>
        <v/>
      </c>
      <c r="Z745" s="13" t="str">
        <f>IF(Data!S745="","",IF(ISNUMBER(MATCH(Data!T745,Data_Val!$A$2:$A$3,0)),0,1))</f>
        <v/>
      </c>
      <c r="AA745" s="28" t="str">
        <f ca="1">IF(Data!S745="","",IF(ISNUMBER(Data!U745),IF(AND(Data!U745&gt;(TODAY()-(Data_Val!$L$3*365.25)),Data!U745&lt;=(TODAY()-(Data_Val!$L$2*365.25))),0,1),1))</f>
        <v/>
      </c>
      <c r="AB745" s="11"/>
      <c r="AC745" s="11" t="e">
        <f>IF(Data!#REF!="","",IF(ISNUMBER(MATCH(Data!#REF!,Data_Val!$A$2:$A$3,0)),0,1))</f>
        <v>#REF!</v>
      </c>
      <c r="AD745" s="11" t="e">
        <f ca="1">IF(Data!#REF!="","",IF(ISNUMBER(Data!#REF!),IF(AND(Data!#REF!&gt;(TODAY()-(Data_Val!$L$3*365.25)),Data!#REF!&lt;=(TODAY()-(Data_Val!$L$2*365.25))),0,1),1))</f>
        <v>#REF!</v>
      </c>
      <c r="AE745" s="11" t="e">
        <f>IF(Data!#REF!="","",IF(Data!$G745="",1,IF(ISNUMBER(MATCH(Data!#REF!,Data_Val!$D$2:$D$10,0)),0,1)))</f>
        <v>#REF!</v>
      </c>
      <c r="AF745" s="12"/>
      <c r="AG745" s="12" t="e">
        <f>IF(Data!#REF!="","",IF(ISNUMBER(MATCH(Data!#REF!,Data_Val!$A$2:$A$3,0)),0,1))</f>
        <v>#REF!</v>
      </c>
      <c r="AH745" s="26" t="e">
        <f ca="1">IF(Data!#REF!="","",IF(ISNUMBER(Data!#REF!),IF(AND(Data!#REF!&gt;(TODAY()-(Data_Val!$L$3*365.25)),Data!#REF!&lt;=(TODAY()-(Data_Val!$L$2*365.25))),0,1),1))</f>
        <v>#REF!</v>
      </c>
      <c r="AI745" s="12" t="e">
        <f>IF(Data!#REF!="","",IF(Data!$G745="",1,IF(ISNUMBER(MATCH(Data!#REF!,Data_Val!$D$2:$D$10,0)),0,1)))</f>
        <v>#REF!</v>
      </c>
      <c r="AJ745" s="17"/>
      <c r="AK745" s="17" t="e">
        <f>IF(Data!#REF!="","",IF(ISNUMBER(MATCH(Data!#REF!,Data_Val!$A$2:$A$3,0)),0,1))</f>
        <v>#REF!</v>
      </c>
      <c r="AL745" s="25" t="e">
        <f ca="1">IF(Data!#REF!="","",IF(ISNUMBER(Data!#REF!),IF(AND(Data!#REF!&gt;(TODAY()-(Data_Val!$L$3*365.25)),Data!#REF!&lt;=(TODAY()-(Data_Val!$L$2*365.25))),0,1),1))</f>
        <v>#REF!</v>
      </c>
      <c r="AM745" s="17" t="e">
        <f>IF(Data!#REF!="","",IF(Data!$G745="",1,IF(ISNUMBER(MATCH(Data!#REF!,Data_Val!$D$2:$D$10,0)),0,1)))</f>
        <v>#REF!</v>
      </c>
      <c r="AN745" s="13"/>
      <c r="AO745" s="28" t="e">
        <f ca="1">IF(Data!#REF!="","",IF(ISNUMBER(Data!#REF!),IF(AND(Data!#REF!&gt;(TODAY()-(Data_Val!$I$3*365.25)),Data!#REF!&lt;=(TODAY()-(Data_Val!$I$2*365.25))),0,1),1))</f>
        <v>#REF!</v>
      </c>
      <c r="AP745" s="13" t="e">
        <f>IF(Data!#REF!="","",IF(Data!$G745="",1,IF(ISNUMBER(MATCH(Data!#REF!,Data_Val!$D$2:$D$10,0)),0,1)))</f>
        <v>#REF!</v>
      </c>
      <c r="AQ745" s="17"/>
      <c r="AR745" s="30" t="e">
        <f ca="1">IF(Data!#REF!="","",IF(ISNUMBER(Data!#REF!),IF(AND(Data!#REF!&gt;(TODAY()-(Data_Val!$I$3*365.25)),Data!#REF!&lt;=(TODAY()-(Data_Val!$I$2*365.25))),0,1),1))</f>
        <v>#REF!</v>
      </c>
      <c r="AS745" s="31" t="e">
        <f>IF(Data!#REF!="","",IF(Data!$G745="",1,IF(ISNUMBER(MATCH(Data!#REF!,Data_Val!$D$2:$D$10,0)),0,1)))</f>
        <v>#REF!</v>
      </c>
      <c r="AT745" s="11"/>
      <c r="AU745" s="11" t="e">
        <f ca="1">IF(Data!#REF!="","",IF(ISNUMBER(Data!#REF!),IF(AND(Data!#REF!&gt;(TODAY()-(Data_Val!$I$3*365.25)),Data!#REF!&lt;=(TODAY()-(Data_Val!$I$2*365.25))),0,1),1))</f>
        <v>#REF!</v>
      </c>
      <c r="AV745" s="11" t="e">
        <f>IF(Data!#REF!="","",IF(Data!$G745="",1,IF(ISNUMBER(MATCH(Data!#REF!,Data_Val!$D$2:$D$10,0)),0,1)))</f>
        <v>#REF!</v>
      </c>
      <c r="AW745" s="12"/>
      <c r="AX745" s="26" t="e">
        <f ca="1">IF(Data!#REF!="","",IF(ISNUMBER(Data!#REF!),IF(AND(Data!#REF!&gt;(TODAY()-(Data_Val!$I$3*365.25)),Data!#REF!&lt;=(TODAY()-(Data_Val!$I$2*365.25))),0,1),1))</f>
        <v>#REF!</v>
      </c>
      <c r="AY745" s="12" t="e">
        <f>IF(Data!#REF!="","",IF(Data!$G745="",1,IF(ISNUMBER(MATCH(Data!#REF!,Data_Val!$D$2:$D$10,0)),0,1)))</f>
        <v>#REF!</v>
      </c>
      <c r="AZ745" s="11"/>
      <c r="BA745" s="19" t="e">
        <f ca="1">IF(Data!#REF!="","",IF(ISNUMBER(Data!#REF!),IF(AND(Data!#REF!&gt;(TODAY()-(Data_Val!$M$3*365.25)),Data!#REF!&lt;=(TODAY()-(Data_Val!$M$2*365.25))),0,1),1))</f>
        <v>#REF!</v>
      </c>
      <c r="BB745" s="11" t="e">
        <f>IF(Data!#REF!="","",IF(Data!$G745="",1,IF(ISNUMBER(MATCH(Data!#REF!,Data_Val!$D$2:$D$10,0)),0,1)))</f>
        <v>#REF!</v>
      </c>
      <c r="BC745" s="12"/>
      <c r="BD745" s="20" t="e">
        <f ca="1">IF(Data!#REF!="","",IF(ISNUMBER(Data!#REF!),IF(AND(Data!#REF!&gt;(TODAY()-(Data_Val!$M$3*365.25)),Data!#REF!&lt;=(TODAY()-(Data_Val!$M$2*365.25))),0,1),1))</f>
        <v>#REF!</v>
      </c>
      <c r="BE745" s="12" t="e">
        <f>IF(Data!#REF!="","",IF(Data!$G745="",1,IF(ISNUMBER(MATCH(Data!#REF!,Data_Val!$D$2:$D$10,0)),0,1)))</f>
        <v>#REF!</v>
      </c>
      <c r="BF745" s="17"/>
      <c r="BG745" s="18" t="e">
        <f ca="1">IF(Data!#REF!="","",IF(ISNUMBER(Data!#REF!),IF(AND(Data!#REF!&gt;(TODAY()-(Data_Val!$M$3*365.25)),Data!#REF!&lt;=(TODAY()-(Data_Val!$M$2*365.25))),0,1),1))</f>
        <v>#REF!</v>
      </c>
      <c r="BH745" s="29" t="e">
        <f>IF(Data!#REF!="","",IF(Data!$G745="",1,IF(ISNUMBER(MATCH(Data!#REF!,Data_Val!$D$2:$D$10,0)),0,1)))</f>
        <v>#REF!</v>
      </c>
      <c r="BI745" s="13"/>
      <c r="BJ745" s="21" t="e">
        <f ca="1">IF(Data!#REF!="","",IF(ISNUMBER(Data!#REF!),IF(AND(Data!#REF!&gt;(TODAY()-(Data_Val!$M$3*365.25)),Data!#REF!&lt;=(TODAY()-(Data_Val!$M$2*365.25))),0,1),1))</f>
        <v>#REF!</v>
      </c>
      <c r="BK745" s="13" t="e">
        <f>IF(Data!#REF!="","",IF(Data!$G745="",1,IF(ISNUMBER(MATCH(Data!#REF!,Data_Val!$D$2:$D$10,0)),0,1)))</f>
        <v>#REF!</v>
      </c>
    </row>
    <row r="746" spans="1:63" x14ac:dyDescent="0.25">
      <c r="A746" s="9" t="str">
        <f>IF(Data!B746="","",IF(COUNTIFS(Data!A$1:'Data'!A746,Data!A746)&lt;=1,0,1))</f>
        <v/>
      </c>
      <c r="B746" s="9"/>
      <c r="C746" s="23" t="str">
        <f>IF(Data!C746="","",(IF(ISNUMBER(MATCH("*@*.?*",Data!C746,0)),0,1)+IF(COUNTIFS(Data!C$1:'Data'!C746,Data!C746)&gt;1,1,0)))</f>
        <v/>
      </c>
      <c r="D746" s="9" t="str">
        <f>IF(Data!B746="","",IF(ISNUMBER(Data!D746),IF(AND(Data!D746&gt;999999999,Data!D746&lt;=9999999999),IF(COUNTIFS(Data!D$1:'Data'!D746,Data!D746)&lt;=1,0,1),1),1))</f>
        <v/>
      </c>
      <c r="E746" s="9" t="str">
        <f>IF(Data!B746="","",IF(ISNUMBER(MATCH(Data!E746,Data_Val!$A$2:$A$3,0)),0,1))</f>
        <v/>
      </c>
      <c r="F746" s="9" t="str">
        <f ca="1">IF(Data!B746="","",IF(ISNUMBER(Data!F746),IF(AND(Data!F746&gt;(TODAY()-(Data_Val!$H$3*365.25)),Data!F746&lt;=(TODAY()-(Data_Val!$H$2*365.25))),0,1),1))</f>
        <v/>
      </c>
      <c r="G746" s="15" t="str">
        <f>IF(Data!B746="","",IF(AND(Data!G746="",Data!H746&lt;&gt;""),1,IF(Data!#REF!&lt;&gt;"",0,IF(ISNUMBER(MATCH(Data!G746,Data_Val!$C$2:$C$5,0)),0,1))))</f>
        <v/>
      </c>
      <c r="H746" s="15" t="str">
        <f>IF(Data!B746="","",IF(AND(Data!G746&lt;&gt;"",Data!H746=""),1,IF(Data!#REF!&lt;&gt;"",0,IF(Data!G746="",1,IF(ISNUMBER(MATCH(Data!H746,Data_Val!$D$2:$D$35,0)),0,1)))))</f>
        <v/>
      </c>
      <c r="I746" s="15" t="str">
        <f>IF(Data!B746="","",IF(Data!G746&lt;&gt;"",0,IF(ISNUMBER(MATCH(Data!#REF!,Data_Val!$E$2:$E$12,0)),0,1)))</f>
        <v/>
      </c>
      <c r="J746" s="16" t="e">
        <f>IF(OR(Data!B746="",Data!#REF!=""),"",IF(Data!#REF!="",1,0))</f>
        <v>#REF!</v>
      </c>
      <c r="K746" s="16" t="e">
        <f>IF(OR(Data!B746="",Data!#REF!=""),"",IF(Data!#REF!="",1,0))</f>
        <v>#REF!</v>
      </c>
      <c r="L746" s="16" t="e">
        <f>IF(OR(Data!B746="",Data!#REF!=""),"",IF(ISNUMBER(Data!#REF!),IF(AND(Data!#REF!&gt;Data_Val!$G$2,Data!#REF!&lt;=Data_Val!$G$3),0,1),1))</f>
        <v>#REF!</v>
      </c>
      <c r="M746" s="9" t="e">
        <f>IF(OR(Data!B746="",Data!#REF!=""),"",IF(ISNUMBER(MATCH(Data!#REF!,Data_Val!$F$1:$F$38,0)),0,1))</f>
        <v>#REF!</v>
      </c>
      <c r="N746" s="9" t="e">
        <f>IF(OR(Data!B746="",Data!#REF!=""),"",IF(Data!#REF!="",1,0))</f>
        <v>#REF!</v>
      </c>
      <c r="O746" s="17" t="e">
        <f>IF(Data!#REF!="","",IF(Data!#REF!="",1,0))</f>
        <v>#REF!</v>
      </c>
      <c r="P746" s="17" t="e">
        <f>IF(Data!#REF!="","",IF(ISNUMBER(MATCH(Data!#REF!,Data_Val!$A$2:$A$3,0)),0,1))</f>
        <v>#REF!</v>
      </c>
      <c r="Q746" s="25" t="e">
        <f ca="1">IF(Data!#REF!="","",IF(ISNUMBER(Data!#REF!),IF(AND(Data!#REF!&gt;(TODAY()-(Data_Val!$J$3*365.25)),Data!#REF!&lt;=(TODAY()-(Data_Val!$J$2*365.25))),0,1),1))</f>
        <v>#REF!</v>
      </c>
      <c r="R746" s="17" t="e">
        <f>IF(Data!#REF!="","",IF(ISNUMBER(MATCH(Data!#REF!,Data_Val!$B$2:$B$15,0)),0,1))</f>
        <v>#REF!</v>
      </c>
      <c r="S746" s="11" t="str">
        <f>IF(Data!G746="","",IF(Data!G746=Data_Val!$C$2,IF(Data!M746="",0,1),0))</f>
        <v/>
      </c>
      <c r="T746" s="11" t="str">
        <f>IF(Data!M746="","",IF(ISNUMBER(MATCH(Data!N746,Data_Val!$A$2:$A$3,0)),0,1))</f>
        <v/>
      </c>
      <c r="U746" s="11" t="str">
        <f ca="1">IF(Data!M746="","",IF(ISNUMBER(Data!O746),IF(AND(Data!O746&gt;(TODAY()-(Data_Val!$K$3*365.25)),Data!O746&lt;=(TODAY()-(Data_Val!$K$2*365.25))),0,1),1))</f>
        <v/>
      </c>
      <c r="V746" s="12" t="str">
        <f>IF(Data!G746="","",IF(Data!G746=Data_Val!$C$2,IF(Data!P746="",0,1),0))</f>
        <v/>
      </c>
      <c r="W746" s="12" t="str">
        <f>IF(Data!P746="","",IF(ISNUMBER(MATCH(Data!Q746,Data_Val!$A$2:$A$3,0)),0,1))</f>
        <v/>
      </c>
      <c r="X746" s="26" t="str">
        <f ca="1">IF(Data!P746="","",IF(ISNUMBER(Data!R746),IF(AND(Data!R746&gt;(TODAY()-(Data_Val!$L$3*365.25)),Data!R746&lt;=(TODAY()-(Data_Val!$L$2*365.25))),0,1),1))</f>
        <v/>
      </c>
      <c r="Y746" s="13" t="str">
        <f>IF(Data!$G746="","",IF(Data!$G746=Data_Val!$C$2,IF(Data!S746="",0,1),0))</f>
        <v/>
      </c>
      <c r="Z746" s="13" t="str">
        <f>IF(Data!S746="","",IF(ISNUMBER(MATCH(Data!T746,Data_Val!$A$2:$A$3,0)),0,1))</f>
        <v/>
      </c>
      <c r="AA746" s="28" t="str">
        <f ca="1">IF(Data!S746="","",IF(ISNUMBER(Data!U746),IF(AND(Data!U746&gt;(TODAY()-(Data_Val!$L$3*365.25)),Data!U746&lt;=(TODAY()-(Data_Val!$L$2*365.25))),0,1),1))</f>
        <v/>
      </c>
      <c r="AB746" s="11"/>
      <c r="AC746" s="11" t="e">
        <f>IF(Data!#REF!="","",IF(ISNUMBER(MATCH(Data!#REF!,Data_Val!$A$2:$A$3,0)),0,1))</f>
        <v>#REF!</v>
      </c>
      <c r="AD746" s="11" t="e">
        <f ca="1">IF(Data!#REF!="","",IF(ISNUMBER(Data!#REF!),IF(AND(Data!#REF!&gt;(TODAY()-(Data_Val!$L$3*365.25)),Data!#REF!&lt;=(TODAY()-(Data_Val!$L$2*365.25))),0,1),1))</f>
        <v>#REF!</v>
      </c>
      <c r="AE746" s="11" t="e">
        <f>IF(Data!#REF!="","",IF(Data!$G746="",1,IF(ISNUMBER(MATCH(Data!#REF!,Data_Val!$D$2:$D$10,0)),0,1)))</f>
        <v>#REF!</v>
      </c>
      <c r="AF746" s="12"/>
      <c r="AG746" s="12" t="e">
        <f>IF(Data!#REF!="","",IF(ISNUMBER(MATCH(Data!#REF!,Data_Val!$A$2:$A$3,0)),0,1))</f>
        <v>#REF!</v>
      </c>
      <c r="AH746" s="26" t="e">
        <f ca="1">IF(Data!#REF!="","",IF(ISNUMBER(Data!#REF!),IF(AND(Data!#REF!&gt;(TODAY()-(Data_Val!$L$3*365.25)),Data!#REF!&lt;=(TODAY()-(Data_Val!$L$2*365.25))),0,1),1))</f>
        <v>#REF!</v>
      </c>
      <c r="AI746" s="12" t="e">
        <f>IF(Data!#REF!="","",IF(Data!$G746="",1,IF(ISNUMBER(MATCH(Data!#REF!,Data_Val!$D$2:$D$10,0)),0,1)))</f>
        <v>#REF!</v>
      </c>
      <c r="AJ746" s="17"/>
      <c r="AK746" s="17" t="e">
        <f>IF(Data!#REF!="","",IF(ISNUMBER(MATCH(Data!#REF!,Data_Val!$A$2:$A$3,0)),0,1))</f>
        <v>#REF!</v>
      </c>
      <c r="AL746" s="25" t="e">
        <f ca="1">IF(Data!#REF!="","",IF(ISNUMBER(Data!#REF!),IF(AND(Data!#REF!&gt;(TODAY()-(Data_Val!$L$3*365.25)),Data!#REF!&lt;=(TODAY()-(Data_Val!$L$2*365.25))),0,1),1))</f>
        <v>#REF!</v>
      </c>
      <c r="AM746" s="17" t="e">
        <f>IF(Data!#REF!="","",IF(Data!$G746="",1,IF(ISNUMBER(MATCH(Data!#REF!,Data_Val!$D$2:$D$10,0)),0,1)))</f>
        <v>#REF!</v>
      </c>
      <c r="AN746" s="13"/>
      <c r="AO746" s="28" t="e">
        <f ca="1">IF(Data!#REF!="","",IF(ISNUMBER(Data!#REF!),IF(AND(Data!#REF!&gt;(TODAY()-(Data_Val!$I$3*365.25)),Data!#REF!&lt;=(TODAY()-(Data_Val!$I$2*365.25))),0,1),1))</f>
        <v>#REF!</v>
      </c>
      <c r="AP746" s="13" t="e">
        <f>IF(Data!#REF!="","",IF(Data!$G746="",1,IF(ISNUMBER(MATCH(Data!#REF!,Data_Val!$D$2:$D$10,0)),0,1)))</f>
        <v>#REF!</v>
      </c>
      <c r="AQ746" s="17"/>
      <c r="AR746" s="30" t="e">
        <f ca="1">IF(Data!#REF!="","",IF(ISNUMBER(Data!#REF!),IF(AND(Data!#REF!&gt;(TODAY()-(Data_Val!$I$3*365.25)),Data!#REF!&lt;=(TODAY()-(Data_Val!$I$2*365.25))),0,1),1))</f>
        <v>#REF!</v>
      </c>
      <c r="AS746" s="31" t="e">
        <f>IF(Data!#REF!="","",IF(Data!$G746="",1,IF(ISNUMBER(MATCH(Data!#REF!,Data_Val!$D$2:$D$10,0)),0,1)))</f>
        <v>#REF!</v>
      </c>
      <c r="AT746" s="11"/>
      <c r="AU746" s="11" t="e">
        <f ca="1">IF(Data!#REF!="","",IF(ISNUMBER(Data!#REF!),IF(AND(Data!#REF!&gt;(TODAY()-(Data_Val!$I$3*365.25)),Data!#REF!&lt;=(TODAY()-(Data_Val!$I$2*365.25))),0,1),1))</f>
        <v>#REF!</v>
      </c>
      <c r="AV746" s="11" t="e">
        <f>IF(Data!#REF!="","",IF(Data!$G746="",1,IF(ISNUMBER(MATCH(Data!#REF!,Data_Val!$D$2:$D$10,0)),0,1)))</f>
        <v>#REF!</v>
      </c>
      <c r="AW746" s="12"/>
      <c r="AX746" s="26" t="e">
        <f ca="1">IF(Data!#REF!="","",IF(ISNUMBER(Data!#REF!),IF(AND(Data!#REF!&gt;(TODAY()-(Data_Val!$I$3*365.25)),Data!#REF!&lt;=(TODAY()-(Data_Val!$I$2*365.25))),0,1),1))</f>
        <v>#REF!</v>
      </c>
      <c r="AY746" s="12" t="e">
        <f>IF(Data!#REF!="","",IF(Data!$G746="",1,IF(ISNUMBER(MATCH(Data!#REF!,Data_Val!$D$2:$D$10,0)),0,1)))</f>
        <v>#REF!</v>
      </c>
      <c r="AZ746" s="11"/>
      <c r="BA746" s="19" t="e">
        <f ca="1">IF(Data!#REF!="","",IF(ISNUMBER(Data!#REF!),IF(AND(Data!#REF!&gt;(TODAY()-(Data_Val!$M$3*365.25)),Data!#REF!&lt;=(TODAY()-(Data_Val!$M$2*365.25))),0,1),1))</f>
        <v>#REF!</v>
      </c>
      <c r="BB746" s="11" t="e">
        <f>IF(Data!#REF!="","",IF(Data!$G746="",1,IF(ISNUMBER(MATCH(Data!#REF!,Data_Val!$D$2:$D$10,0)),0,1)))</f>
        <v>#REF!</v>
      </c>
      <c r="BC746" s="12"/>
      <c r="BD746" s="20" t="e">
        <f ca="1">IF(Data!#REF!="","",IF(ISNUMBER(Data!#REF!),IF(AND(Data!#REF!&gt;(TODAY()-(Data_Val!$M$3*365.25)),Data!#REF!&lt;=(TODAY()-(Data_Val!$M$2*365.25))),0,1),1))</f>
        <v>#REF!</v>
      </c>
      <c r="BE746" s="12" t="e">
        <f>IF(Data!#REF!="","",IF(Data!$G746="",1,IF(ISNUMBER(MATCH(Data!#REF!,Data_Val!$D$2:$D$10,0)),0,1)))</f>
        <v>#REF!</v>
      </c>
      <c r="BF746" s="17"/>
      <c r="BG746" s="18" t="e">
        <f ca="1">IF(Data!#REF!="","",IF(ISNUMBER(Data!#REF!),IF(AND(Data!#REF!&gt;(TODAY()-(Data_Val!$M$3*365.25)),Data!#REF!&lt;=(TODAY()-(Data_Val!$M$2*365.25))),0,1),1))</f>
        <v>#REF!</v>
      </c>
      <c r="BH746" s="29" t="e">
        <f>IF(Data!#REF!="","",IF(Data!$G746="",1,IF(ISNUMBER(MATCH(Data!#REF!,Data_Val!$D$2:$D$10,0)),0,1)))</f>
        <v>#REF!</v>
      </c>
      <c r="BI746" s="13"/>
      <c r="BJ746" s="21" t="e">
        <f ca="1">IF(Data!#REF!="","",IF(ISNUMBER(Data!#REF!),IF(AND(Data!#REF!&gt;(TODAY()-(Data_Val!$M$3*365.25)),Data!#REF!&lt;=(TODAY()-(Data_Val!$M$2*365.25))),0,1),1))</f>
        <v>#REF!</v>
      </c>
      <c r="BK746" s="13" t="e">
        <f>IF(Data!#REF!="","",IF(Data!$G746="",1,IF(ISNUMBER(MATCH(Data!#REF!,Data_Val!$D$2:$D$10,0)),0,1)))</f>
        <v>#REF!</v>
      </c>
    </row>
    <row r="747" spans="1:63" x14ac:dyDescent="0.25">
      <c r="A747" s="9" t="str">
        <f>IF(Data!B747="","",IF(COUNTIFS(Data!A$1:'Data'!A747,Data!A747)&lt;=1,0,1))</f>
        <v/>
      </c>
      <c r="B747" s="9"/>
      <c r="C747" s="23" t="str">
        <f>IF(Data!C747="","",(IF(ISNUMBER(MATCH("*@*.?*",Data!C747,0)),0,1)+IF(COUNTIFS(Data!C$1:'Data'!C747,Data!C747)&gt;1,1,0)))</f>
        <v/>
      </c>
      <c r="D747" s="9" t="str">
        <f>IF(Data!B747="","",IF(ISNUMBER(Data!D747),IF(AND(Data!D747&gt;999999999,Data!D747&lt;=9999999999),IF(COUNTIFS(Data!D$1:'Data'!D747,Data!D747)&lt;=1,0,1),1),1))</f>
        <v/>
      </c>
      <c r="E747" s="9" t="str">
        <f>IF(Data!B747="","",IF(ISNUMBER(MATCH(Data!E747,Data_Val!$A$2:$A$3,0)),0,1))</f>
        <v/>
      </c>
      <c r="F747" s="9" t="str">
        <f ca="1">IF(Data!B747="","",IF(ISNUMBER(Data!F747),IF(AND(Data!F747&gt;(TODAY()-(Data_Val!$H$3*365.25)),Data!F747&lt;=(TODAY()-(Data_Val!$H$2*365.25))),0,1),1))</f>
        <v/>
      </c>
      <c r="G747" s="15" t="str">
        <f>IF(Data!B747="","",IF(AND(Data!G747="",Data!H747&lt;&gt;""),1,IF(Data!#REF!&lt;&gt;"",0,IF(ISNUMBER(MATCH(Data!G747,Data_Val!$C$2:$C$5,0)),0,1))))</f>
        <v/>
      </c>
      <c r="H747" s="15" t="str">
        <f>IF(Data!B747="","",IF(AND(Data!G747&lt;&gt;"",Data!H747=""),1,IF(Data!#REF!&lt;&gt;"",0,IF(Data!G747="",1,IF(ISNUMBER(MATCH(Data!H747,Data_Val!$D$2:$D$35,0)),0,1)))))</f>
        <v/>
      </c>
      <c r="I747" s="15" t="str">
        <f>IF(Data!B747="","",IF(Data!G747&lt;&gt;"",0,IF(ISNUMBER(MATCH(Data!#REF!,Data_Val!$E$2:$E$12,0)),0,1)))</f>
        <v/>
      </c>
      <c r="J747" s="16" t="e">
        <f>IF(OR(Data!B747="",Data!#REF!=""),"",IF(Data!#REF!="",1,0))</f>
        <v>#REF!</v>
      </c>
      <c r="K747" s="16" t="e">
        <f>IF(OR(Data!B747="",Data!#REF!=""),"",IF(Data!#REF!="",1,0))</f>
        <v>#REF!</v>
      </c>
      <c r="L747" s="16" t="e">
        <f>IF(OR(Data!B747="",Data!#REF!=""),"",IF(ISNUMBER(Data!#REF!),IF(AND(Data!#REF!&gt;Data_Val!$G$2,Data!#REF!&lt;=Data_Val!$G$3),0,1),1))</f>
        <v>#REF!</v>
      </c>
      <c r="M747" s="9" t="e">
        <f>IF(OR(Data!B747="",Data!#REF!=""),"",IF(ISNUMBER(MATCH(Data!#REF!,Data_Val!$F$1:$F$38,0)),0,1))</f>
        <v>#REF!</v>
      </c>
      <c r="N747" s="9" t="e">
        <f>IF(OR(Data!B747="",Data!#REF!=""),"",IF(Data!#REF!="",1,0))</f>
        <v>#REF!</v>
      </c>
      <c r="O747" s="17" t="e">
        <f>IF(Data!#REF!="","",IF(Data!#REF!="",1,0))</f>
        <v>#REF!</v>
      </c>
      <c r="P747" s="17" t="e">
        <f>IF(Data!#REF!="","",IF(ISNUMBER(MATCH(Data!#REF!,Data_Val!$A$2:$A$3,0)),0,1))</f>
        <v>#REF!</v>
      </c>
      <c r="Q747" s="25" t="e">
        <f ca="1">IF(Data!#REF!="","",IF(ISNUMBER(Data!#REF!),IF(AND(Data!#REF!&gt;(TODAY()-(Data_Val!$J$3*365.25)),Data!#REF!&lt;=(TODAY()-(Data_Val!$J$2*365.25))),0,1),1))</f>
        <v>#REF!</v>
      </c>
      <c r="R747" s="17" t="e">
        <f>IF(Data!#REF!="","",IF(ISNUMBER(MATCH(Data!#REF!,Data_Val!$B$2:$B$15,0)),0,1))</f>
        <v>#REF!</v>
      </c>
      <c r="S747" s="11" t="str">
        <f>IF(Data!G747="","",IF(Data!G747=Data_Val!$C$2,IF(Data!M747="",0,1),0))</f>
        <v/>
      </c>
      <c r="T747" s="11" t="str">
        <f>IF(Data!M747="","",IF(ISNUMBER(MATCH(Data!N747,Data_Val!$A$2:$A$3,0)),0,1))</f>
        <v/>
      </c>
      <c r="U747" s="11" t="str">
        <f ca="1">IF(Data!M747="","",IF(ISNUMBER(Data!O747),IF(AND(Data!O747&gt;(TODAY()-(Data_Val!$K$3*365.25)),Data!O747&lt;=(TODAY()-(Data_Val!$K$2*365.25))),0,1),1))</f>
        <v/>
      </c>
      <c r="V747" s="12" t="str">
        <f>IF(Data!G747="","",IF(Data!G747=Data_Val!$C$2,IF(Data!P747="",0,1),0))</f>
        <v/>
      </c>
      <c r="W747" s="12" t="str">
        <f>IF(Data!P747="","",IF(ISNUMBER(MATCH(Data!Q747,Data_Val!$A$2:$A$3,0)),0,1))</f>
        <v/>
      </c>
      <c r="X747" s="26" t="str">
        <f ca="1">IF(Data!P747="","",IF(ISNUMBER(Data!R747),IF(AND(Data!R747&gt;(TODAY()-(Data_Val!$L$3*365.25)),Data!R747&lt;=(TODAY()-(Data_Val!$L$2*365.25))),0,1),1))</f>
        <v/>
      </c>
      <c r="Y747" s="13" t="str">
        <f>IF(Data!$G747="","",IF(Data!$G747=Data_Val!$C$2,IF(Data!S747="",0,1),0))</f>
        <v/>
      </c>
      <c r="Z747" s="13" t="str">
        <f>IF(Data!S747="","",IF(ISNUMBER(MATCH(Data!T747,Data_Val!$A$2:$A$3,0)),0,1))</f>
        <v/>
      </c>
      <c r="AA747" s="28" t="str">
        <f ca="1">IF(Data!S747="","",IF(ISNUMBER(Data!U747),IF(AND(Data!U747&gt;(TODAY()-(Data_Val!$L$3*365.25)),Data!U747&lt;=(TODAY()-(Data_Val!$L$2*365.25))),0,1),1))</f>
        <v/>
      </c>
      <c r="AB747" s="11"/>
      <c r="AC747" s="11" t="e">
        <f>IF(Data!#REF!="","",IF(ISNUMBER(MATCH(Data!#REF!,Data_Val!$A$2:$A$3,0)),0,1))</f>
        <v>#REF!</v>
      </c>
      <c r="AD747" s="11" t="e">
        <f ca="1">IF(Data!#REF!="","",IF(ISNUMBER(Data!#REF!),IF(AND(Data!#REF!&gt;(TODAY()-(Data_Val!$L$3*365.25)),Data!#REF!&lt;=(TODAY()-(Data_Val!$L$2*365.25))),0,1),1))</f>
        <v>#REF!</v>
      </c>
      <c r="AE747" s="11" t="e">
        <f>IF(Data!#REF!="","",IF(Data!$G747="",1,IF(ISNUMBER(MATCH(Data!#REF!,Data_Val!$D$2:$D$10,0)),0,1)))</f>
        <v>#REF!</v>
      </c>
      <c r="AF747" s="12"/>
      <c r="AG747" s="12" t="e">
        <f>IF(Data!#REF!="","",IF(ISNUMBER(MATCH(Data!#REF!,Data_Val!$A$2:$A$3,0)),0,1))</f>
        <v>#REF!</v>
      </c>
      <c r="AH747" s="26" t="e">
        <f ca="1">IF(Data!#REF!="","",IF(ISNUMBER(Data!#REF!),IF(AND(Data!#REF!&gt;(TODAY()-(Data_Val!$L$3*365.25)),Data!#REF!&lt;=(TODAY()-(Data_Val!$L$2*365.25))),0,1),1))</f>
        <v>#REF!</v>
      </c>
      <c r="AI747" s="12" t="e">
        <f>IF(Data!#REF!="","",IF(Data!$G747="",1,IF(ISNUMBER(MATCH(Data!#REF!,Data_Val!$D$2:$D$10,0)),0,1)))</f>
        <v>#REF!</v>
      </c>
      <c r="AJ747" s="17"/>
      <c r="AK747" s="17" t="e">
        <f>IF(Data!#REF!="","",IF(ISNUMBER(MATCH(Data!#REF!,Data_Val!$A$2:$A$3,0)),0,1))</f>
        <v>#REF!</v>
      </c>
      <c r="AL747" s="25" t="e">
        <f ca="1">IF(Data!#REF!="","",IF(ISNUMBER(Data!#REF!),IF(AND(Data!#REF!&gt;(TODAY()-(Data_Val!$L$3*365.25)),Data!#REF!&lt;=(TODAY()-(Data_Val!$L$2*365.25))),0,1),1))</f>
        <v>#REF!</v>
      </c>
      <c r="AM747" s="17" t="e">
        <f>IF(Data!#REF!="","",IF(Data!$G747="",1,IF(ISNUMBER(MATCH(Data!#REF!,Data_Val!$D$2:$D$10,0)),0,1)))</f>
        <v>#REF!</v>
      </c>
      <c r="AN747" s="13"/>
      <c r="AO747" s="28" t="e">
        <f ca="1">IF(Data!#REF!="","",IF(ISNUMBER(Data!#REF!),IF(AND(Data!#REF!&gt;(TODAY()-(Data_Val!$I$3*365.25)),Data!#REF!&lt;=(TODAY()-(Data_Val!$I$2*365.25))),0,1),1))</f>
        <v>#REF!</v>
      </c>
      <c r="AP747" s="13" t="e">
        <f>IF(Data!#REF!="","",IF(Data!$G747="",1,IF(ISNUMBER(MATCH(Data!#REF!,Data_Val!$D$2:$D$10,0)),0,1)))</f>
        <v>#REF!</v>
      </c>
      <c r="AQ747" s="17"/>
      <c r="AR747" s="30" t="e">
        <f ca="1">IF(Data!#REF!="","",IF(ISNUMBER(Data!#REF!),IF(AND(Data!#REF!&gt;(TODAY()-(Data_Val!$I$3*365.25)),Data!#REF!&lt;=(TODAY()-(Data_Val!$I$2*365.25))),0,1),1))</f>
        <v>#REF!</v>
      </c>
      <c r="AS747" s="31" t="e">
        <f>IF(Data!#REF!="","",IF(Data!$G747="",1,IF(ISNUMBER(MATCH(Data!#REF!,Data_Val!$D$2:$D$10,0)),0,1)))</f>
        <v>#REF!</v>
      </c>
      <c r="AT747" s="11"/>
      <c r="AU747" s="11" t="e">
        <f ca="1">IF(Data!#REF!="","",IF(ISNUMBER(Data!#REF!),IF(AND(Data!#REF!&gt;(TODAY()-(Data_Val!$I$3*365.25)),Data!#REF!&lt;=(TODAY()-(Data_Val!$I$2*365.25))),0,1),1))</f>
        <v>#REF!</v>
      </c>
      <c r="AV747" s="11" t="e">
        <f>IF(Data!#REF!="","",IF(Data!$G747="",1,IF(ISNUMBER(MATCH(Data!#REF!,Data_Val!$D$2:$D$10,0)),0,1)))</f>
        <v>#REF!</v>
      </c>
      <c r="AW747" s="12"/>
      <c r="AX747" s="26" t="e">
        <f ca="1">IF(Data!#REF!="","",IF(ISNUMBER(Data!#REF!),IF(AND(Data!#REF!&gt;(TODAY()-(Data_Val!$I$3*365.25)),Data!#REF!&lt;=(TODAY()-(Data_Val!$I$2*365.25))),0,1),1))</f>
        <v>#REF!</v>
      </c>
      <c r="AY747" s="12" t="e">
        <f>IF(Data!#REF!="","",IF(Data!$G747="",1,IF(ISNUMBER(MATCH(Data!#REF!,Data_Val!$D$2:$D$10,0)),0,1)))</f>
        <v>#REF!</v>
      </c>
      <c r="AZ747" s="11"/>
      <c r="BA747" s="19" t="e">
        <f ca="1">IF(Data!#REF!="","",IF(ISNUMBER(Data!#REF!),IF(AND(Data!#REF!&gt;(TODAY()-(Data_Val!$M$3*365.25)),Data!#REF!&lt;=(TODAY()-(Data_Val!$M$2*365.25))),0,1),1))</f>
        <v>#REF!</v>
      </c>
      <c r="BB747" s="11" t="e">
        <f>IF(Data!#REF!="","",IF(Data!$G747="",1,IF(ISNUMBER(MATCH(Data!#REF!,Data_Val!$D$2:$D$10,0)),0,1)))</f>
        <v>#REF!</v>
      </c>
      <c r="BC747" s="12"/>
      <c r="BD747" s="20" t="e">
        <f ca="1">IF(Data!#REF!="","",IF(ISNUMBER(Data!#REF!),IF(AND(Data!#REF!&gt;(TODAY()-(Data_Val!$M$3*365.25)),Data!#REF!&lt;=(TODAY()-(Data_Val!$M$2*365.25))),0,1),1))</f>
        <v>#REF!</v>
      </c>
      <c r="BE747" s="12" t="e">
        <f>IF(Data!#REF!="","",IF(Data!$G747="",1,IF(ISNUMBER(MATCH(Data!#REF!,Data_Val!$D$2:$D$10,0)),0,1)))</f>
        <v>#REF!</v>
      </c>
      <c r="BF747" s="17"/>
      <c r="BG747" s="18" t="e">
        <f ca="1">IF(Data!#REF!="","",IF(ISNUMBER(Data!#REF!),IF(AND(Data!#REF!&gt;(TODAY()-(Data_Val!$M$3*365.25)),Data!#REF!&lt;=(TODAY()-(Data_Val!$M$2*365.25))),0,1),1))</f>
        <v>#REF!</v>
      </c>
      <c r="BH747" s="29" t="e">
        <f>IF(Data!#REF!="","",IF(Data!$G747="",1,IF(ISNUMBER(MATCH(Data!#REF!,Data_Val!$D$2:$D$10,0)),0,1)))</f>
        <v>#REF!</v>
      </c>
      <c r="BI747" s="13"/>
      <c r="BJ747" s="21" t="e">
        <f ca="1">IF(Data!#REF!="","",IF(ISNUMBER(Data!#REF!),IF(AND(Data!#REF!&gt;(TODAY()-(Data_Val!$M$3*365.25)),Data!#REF!&lt;=(TODAY()-(Data_Val!$M$2*365.25))),0,1),1))</f>
        <v>#REF!</v>
      </c>
      <c r="BK747" s="13" t="e">
        <f>IF(Data!#REF!="","",IF(Data!$G747="",1,IF(ISNUMBER(MATCH(Data!#REF!,Data_Val!$D$2:$D$10,0)),0,1)))</f>
        <v>#REF!</v>
      </c>
    </row>
    <row r="748" spans="1:63" x14ac:dyDescent="0.25">
      <c r="A748" s="9" t="str">
        <f>IF(Data!B748="","",IF(COUNTIFS(Data!A$1:'Data'!A748,Data!A748)&lt;=1,0,1))</f>
        <v/>
      </c>
      <c r="B748" s="9"/>
      <c r="C748" s="23" t="str">
        <f>IF(Data!C748="","",(IF(ISNUMBER(MATCH("*@*.?*",Data!C748,0)),0,1)+IF(COUNTIFS(Data!C$1:'Data'!C748,Data!C748)&gt;1,1,0)))</f>
        <v/>
      </c>
      <c r="D748" s="9" t="str">
        <f>IF(Data!B748="","",IF(ISNUMBER(Data!D748),IF(AND(Data!D748&gt;999999999,Data!D748&lt;=9999999999),IF(COUNTIFS(Data!D$1:'Data'!D748,Data!D748)&lt;=1,0,1),1),1))</f>
        <v/>
      </c>
      <c r="E748" s="9" t="str">
        <f>IF(Data!B748="","",IF(ISNUMBER(MATCH(Data!E748,Data_Val!$A$2:$A$3,0)),0,1))</f>
        <v/>
      </c>
      <c r="F748" s="9" t="str">
        <f ca="1">IF(Data!B748="","",IF(ISNUMBER(Data!F748),IF(AND(Data!F748&gt;(TODAY()-(Data_Val!$H$3*365.25)),Data!F748&lt;=(TODAY()-(Data_Val!$H$2*365.25))),0,1),1))</f>
        <v/>
      </c>
      <c r="G748" s="15" t="str">
        <f>IF(Data!B748="","",IF(AND(Data!G748="",Data!H748&lt;&gt;""),1,IF(Data!#REF!&lt;&gt;"",0,IF(ISNUMBER(MATCH(Data!G748,Data_Val!$C$2:$C$5,0)),0,1))))</f>
        <v/>
      </c>
      <c r="H748" s="15" t="str">
        <f>IF(Data!B748="","",IF(AND(Data!G748&lt;&gt;"",Data!H748=""),1,IF(Data!#REF!&lt;&gt;"",0,IF(Data!G748="",1,IF(ISNUMBER(MATCH(Data!H748,Data_Val!$D$2:$D$35,0)),0,1)))))</f>
        <v/>
      </c>
      <c r="I748" s="15" t="str">
        <f>IF(Data!B748="","",IF(Data!G748&lt;&gt;"",0,IF(ISNUMBER(MATCH(Data!#REF!,Data_Val!$E$2:$E$12,0)),0,1)))</f>
        <v/>
      </c>
      <c r="J748" s="16" t="e">
        <f>IF(OR(Data!B748="",Data!#REF!=""),"",IF(Data!#REF!="",1,0))</f>
        <v>#REF!</v>
      </c>
      <c r="K748" s="16" t="e">
        <f>IF(OR(Data!B748="",Data!#REF!=""),"",IF(Data!#REF!="",1,0))</f>
        <v>#REF!</v>
      </c>
      <c r="L748" s="16" t="e">
        <f>IF(OR(Data!B748="",Data!#REF!=""),"",IF(ISNUMBER(Data!#REF!),IF(AND(Data!#REF!&gt;Data_Val!$G$2,Data!#REF!&lt;=Data_Val!$G$3),0,1),1))</f>
        <v>#REF!</v>
      </c>
      <c r="M748" s="9" t="e">
        <f>IF(OR(Data!B748="",Data!#REF!=""),"",IF(ISNUMBER(MATCH(Data!#REF!,Data_Val!$F$1:$F$38,0)),0,1))</f>
        <v>#REF!</v>
      </c>
      <c r="N748" s="9" t="e">
        <f>IF(OR(Data!B748="",Data!#REF!=""),"",IF(Data!#REF!="",1,0))</f>
        <v>#REF!</v>
      </c>
      <c r="O748" s="17" t="e">
        <f>IF(Data!#REF!="","",IF(Data!#REF!="",1,0))</f>
        <v>#REF!</v>
      </c>
      <c r="P748" s="17" t="e">
        <f>IF(Data!#REF!="","",IF(ISNUMBER(MATCH(Data!#REF!,Data_Val!$A$2:$A$3,0)),0,1))</f>
        <v>#REF!</v>
      </c>
      <c r="Q748" s="25" t="e">
        <f ca="1">IF(Data!#REF!="","",IF(ISNUMBER(Data!#REF!),IF(AND(Data!#REF!&gt;(TODAY()-(Data_Val!$J$3*365.25)),Data!#REF!&lt;=(TODAY()-(Data_Val!$J$2*365.25))),0,1),1))</f>
        <v>#REF!</v>
      </c>
      <c r="R748" s="17" t="e">
        <f>IF(Data!#REF!="","",IF(ISNUMBER(MATCH(Data!#REF!,Data_Val!$B$2:$B$15,0)),0,1))</f>
        <v>#REF!</v>
      </c>
      <c r="S748" s="11" t="str">
        <f>IF(Data!G748="","",IF(Data!G748=Data_Val!$C$2,IF(Data!M748="",0,1),0))</f>
        <v/>
      </c>
      <c r="T748" s="11" t="str">
        <f>IF(Data!M748="","",IF(ISNUMBER(MATCH(Data!N748,Data_Val!$A$2:$A$3,0)),0,1))</f>
        <v/>
      </c>
      <c r="U748" s="11" t="str">
        <f ca="1">IF(Data!M748="","",IF(ISNUMBER(Data!O748),IF(AND(Data!O748&gt;(TODAY()-(Data_Val!$K$3*365.25)),Data!O748&lt;=(TODAY()-(Data_Val!$K$2*365.25))),0,1),1))</f>
        <v/>
      </c>
      <c r="V748" s="12" t="str">
        <f>IF(Data!G748="","",IF(Data!G748=Data_Val!$C$2,IF(Data!P748="",0,1),0))</f>
        <v/>
      </c>
      <c r="W748" s="12" t="str">
        <f>IF(Data!P748="","",IF(ISNUMBER(MATCH(Data!Q748,Data_Val!$A$2:$A$3,0)),0,1))</f>
        <v/>
      </c>
      <c r="X748" s="26" t="str">
        <f ca="1">IF(Data!P748="","",IF(ISNUMBER(Data!R748),IF(AND(Data!R748&gt;(TODAY()-(Data_Val!$L$3*365.25)),Data!R748&lt;=(TODAY()-(Data_Val!$L$2*365.25))),0,1),1))</f>
        <v/>
      </c>
      <c r="Y748" s="13" t="str">
        <f>IF(Data!$G748="","",IF(Data!$G748=Data_Val!$C$2,IF(Data!S748="",0,1),0))</f>
        <v/>
      </c>
      <c r="Z748" s="13" t="str">
        <f>IF(Data!S748="","",IF(ISNUMBER(MATCH(Data!T748,Data_Val!$A$2:$A$3,0)),0,1))</f>
        <v/>
      </c>
      <c r="AA748" s="28" t="str">
        <f ca="1">IF(Data!S748="","",IF(ISNUMBER(Data!U748),IF(AND(Data!U748&gt;(TODAY()-(Data_Val!$L$3*365.25)),Data!U748&lt;=(TODAY()-(Data_Val!$L$2*365.25))),0,1),1))</f>
        <v/>
      </c>
      <c r="AB748" s="11"/>
      <c r="AC748" s="11" t="e">
        <f>IF(Data!#REF!="","",IF(ISNUMBER(MATCH(Data!#REF!,Data_Val!$A$2:$A$3,0)),0,1))</f>
        <v>#REF!</v>
      </c>
      <c r="AD748" s="11" t="e">
        <f ca="1">IF(Data!#REF!="","",IF(ISNUMBER(Data!#REF!),IF(AND(Data!#REF!&gt;(TODAY()-(Data_Val!$L$3*365.25)),Data!#REF!&lt;=(TODAY()-(Data_Val!$L$2*365.25))),0,1),1))</f>
        <v>#REF!</v>
      </c>
      <c r="AE748" s="11" t="e">
        <f>IF(Data!#REF!="","",IF(Data!$G748="",1,IF(ISNUMBER(MATCH(Data!#REF!,Data_Val!$D$2:$D$10,0)),0,1)))</f>
        <v>#REF!</v>
      </c>
      <c r="AF748" s="12"/>
      <c r="AG748" s="12" t="e">
        <f>IF(Data!#REF!="","",IF(ISNUMBER(MATCH(Data!#REF!,Data_Val!$A$2:$A$3,0)),0,1))</f>
        <v>#REF!</v>
      </c>
      <c r="AH748" s="26" t="e">
        <f ca="1">IF(Data!#REF!="","",IF(ISNUMBER(Data!#REF!),IF(AND(Data!#REF!&gt;(TODAY()-(Data_Val!$L$3*365.25)),Data!#REF!&lt;=(TODAY()-(Data_Val!$L$2*365.25))),0,1),1))</f>
        <v>#REF!</v>
      </c>
      <c r="AI748" s="12" t="e">
        <f>IF(Data!#REF!="","",IF(Data!$G748="",1,IF(ISNUMBER(MATCH(Data!#REF!,Data_Val!$D$2:$D$10,0)),0,1)))</f>
        <v>#REF!</v>
      </c>
      <c r="AJ748" s="17"/>
      <c r="AK748" s="17" t="e">
        <f>IF(Data!#REF!="","",IF(ISNUMBER(MATCH(Data!#REF!,Data_Val!$A$2:$A$3,0)),0,1))</f>
        <v>#REF!</v>
      </c>
      <c r="AL748" s="25" t="e">
        <f ca="1">IF(Data!#REF!="","",IF(ISNUMBER(Data!#REF!),IF(AND(Data!#REF!&gt;(TODAY()-(Data_Val!$L$3*365.25)),Data!#REF!&lt;=(TODAY()-(Data_Val!$L$2*365.25))),0,1),1))</f>
        <v>#REF!</v>
      </c>
      <c r="AM748" s="17" t="e">
        <f>IF(Data!#REF!="","",IF(Data!$G748="",1,IF(ISNUMBER(MATCH(Data!#REF!,Data_Val!$D$2:$D$10,0)),0,1)))</f>
        <v>#REF!</v>
      </c>
      <c r="AN748" s="13"/>
      <c r="AO748" s="28" t="e">
        <f ca="1">IF(Data!#REF!="","",IF(ISNUMBER(Data!#REF!),IF(AND(Data!#REF!&gt;(TODAY()-(Data_Val!$I$3*365.25)),Data!#REF!&lt;=(TODAY()-(Data_Val!$I$2*365.25))),0,1),1))</f>
        <v>#REF!</v>
      </c>
      <c r="AP748" s="13" t="e">
        <f>IF(Data!#REF!="","",IF(Data!$G748="",1,IF(ISNUMBER(MATCH(Data!#REF!,Data_Val!$D$2:$D$10,0)),0,1)))</f>
        <v>#REF!</v>
      </c>
      <c r="AQ748" s="17"/>
      <c r="AR748" s="30" t="e">
        <f ca="1">IF(Data!#REF!="","",IF(ISNUMBER(Data!#REF!),IF(AND(Data!#REF!&gt;(TODAY()-(Data_Val!$I$3*365.25)),Data!#REF!&lt;=(TODAY()-(Data_Val!$I$2*365.25))),0,1),1))</f>
        <v>#REF!</v>
      </c>
      <c r="AS748" s="31" t="e">
        <f>IF(Data!#REF!="","",IF(Data!$G748="",1,IF(ISNUMBER(MATCH(Data!#REF!,Data_Val!$D$2:$D$10,0)),0,1)))</f>
        <v>#REF!</v>
      </c>
      <c r="AT748" s="11"/>
      <c r="AU748" s="11" t="e">
        <f ca="1">IF(Data!#REF!="","",IF(ISNUMBER(Data!#REF!),IF(AND(Data!#REF!&gt;(TODAY()-(Data_Val!$I$3*365.25)),Data!#REF!&lt;=(TODAY()-(Data_Val!$I$2*365.25))),0,1),1))</f>
        <v>#REF!</v>
      </c>
      <c r="AV748" s="11" t="e">
        <f>IF(Data!#REF!="","",IF(Data!$G748="",1,IF(ISNUMBER(MATCH(Data!#REF!,Data_Val!$D$2:$D$10,0)),0,1)))</f>
        <v>#REF!</v>
      </c>
      <c r="AW748" s="12"/>
      <c r="AX748" s="26" t="e">
        <f ca="1">IF(Data!#REF!="","",IF(ISNUMBER(Data!#REF!),IF(AND(Data!#REF!&gt;(TODAY()-(Data_Val!$I$3*365.25)),Data!#REF!&lt;=(TODAY()-(Data_Val!$I$2*365.25))),0,1),1))</f>
        <v>#REF!</v>
      </c>
      <c r="AY748" s="12" t="e">
        <f>IF(Data!#REF!="","",IF(Data!$G748="",1,IF(ISNUMBER(MATCH(Data!#REF!,Data_Val!$D$2:$D$10,0)),0,1)))</f>
        <v>#REF!</v>
      </c>
      <c r="AZ748" s="11"/>
      <c r="BA748" s="19" t="e">
        <f ca="1">IF(Data!#REF!="","",IF(ISNUMBER(Data!#REF!),IF(AND(Data!#REF!&gt;(TODAY()-(Data_Val!$M$3*365.25)),Data!#REF!&lt;=(TODAY()-(Data_Val!$M$2*365.25))),0,1),1))</f>
        <v>#REF!</v>
      </c>
      <c r="BB748" s="11" t="e">
        <f>IF(Data!#REF!="","",IF(Data!$G748="",1,IF(ISNUMBER(MATCH(Data!#REF!,Data_Val!$D$2:$D$10,0)),0,1)))</f>
        <v>#REF!</v>
      </c>
      <c r="BC748" s="12"/>
      <c r="BD748" s="20" t="e">
        <f ca="1">IF(Data!#REF!="","",IF(ISNUMBER(Data!#REF!),IF(AND(Data!#REF!&gt;(TODAY()-(Data_Val!$M$3*365.25)),Data!#REF!&lt;=(TODAY()-(Data_Val!$M$2*365.25))),0,1),1))</f>
        <v>#REF!</v>
      </c>
      <c r="BE748" s="12" t="e">
        <f>IF(Data!#REF!="","",IF(Data!$G748="",1,IF(ISNUMBER(MATCH(Data!#REF!,Data_Val!$D$2:$D$10,0)),0,1)))</f>
        <v>#REF!</v>
      </c>
      <c r="BF748" s="17"/>
      <c r="BG748" s="18" t="e">
        <f ca="1">IF(Data!#REF!="","",IF(ISNUMBER(Data!#REF!),IF(AND(Data!#REF!&gt;(TODAY()-(Data_Val!$M$3*365.25)),Data!#REF!&lt;=(TODAY()-(Data_Val!$M$2*365.25))),0,1),1))</f>
        <v>#REF!</v>
      </c>
      <c r="BH748" s="29" t="e">
        <f>IF(Data!#REF!="","",IF(Data!$G748="",1,IF(ISNUMBER(MATCH(Data!#REF!,Data_Val!$D$2:$D$10,0)),0,1)))</f>
        <v>#REF!</v>
      </c>
      <c r="BI748" s="13"/>
      <c r="BJ748" s="21" t="e">
        <f ca="1">IF(Data!#REF!="","",IF(ISNUMBER(Data!#REF!),IF(AND(Data!#REF!&gt;(TODAY()-(Data_Val!$M$3*365.25)),Data!#REF!&lt;=(TODAY()-(Data_Val!$M$2*365.25))),0,1),1))</f>
        <v>#REF!</v>
      </c>
      <c r="BK748" s="13" t="e">
        <f>IF(Data!#REF!="","",IF(Data!$G748="",1,IF(ISNUMBER(MATCH(Data!#REF!,Data_Val!$D$2:$D$10,0)),0,1)))</f>
        <v>#REF!</v>
      </c>
    </row>
    <row r="749" spans="1:63" x14ac:dyDescent="0.25">
      <c r="A749" s="9" t="str">
        <f>IF(Data!B749="","",IF(COUNTIFS(Data!A$1:'Data'!A749,Data!A749)&lt;=1,0,1))</f>
        <v/>
      </c>
      <c r="B749" s="9"/>
      <c r="C749" s="23" t="str">
        <f>IF(Data!C749="","",(IF(ISNUMBER(MATCH("*@*.?*",Data!C749,0)),0,1)+IF(COUNTIFS(Data!C$1:'Data'!C749,Data!C749)&gt;1,1,0)))</f>
        <v/>
      </c>
      <c r="D749" s="9" t="str">
        <f>IF(Data!B749="","",IF(ISNUMBER(Data!D749),IF(AND(Data!D749&gt;999999999,Data!D749&lt;=9999999999),IF(COUNTIFS(Data!D$1:'Data'!D749,Data!D749)&lt;=1,0,1),1),1))</f>
        <v/>
      </c>
      <c r="E749" s="9" t="str">
        <f>IF(Data!B749="","",IF(ISNUMBER(MATCH(Data!E749,Data_Val!$A$2:$A$3,0)),0,1))</f>
        <v/>
      </c>
      <c r="F749" s="9" t="str">
        <f ca="1">IF(Data!B749="","",IF(ISNUMBER(Data!F749),IF(AND(Data!F749&gt;(TODAY()-(Data_Val!$H$3*365.25)),Data!F749&lt;=(TODAY()-(Data_Val!$H$2*365.25))),0,1),1))</f>
        <v/>
      </c>
      <c r="G749" s="15" t="str">
        <f>IF(Data!B749="","",IF(AND(Data!G749="",Data!H749&lt;&gt;""),1,IF(Data!#REF!&lt;&gt;"",0,IF(ISNUMBER(MATCH(Data!G749,Data_Val!$C$2:$C$5,0)),0,1))))</f>
        <v/>
      </c>
      <c r="H749" s="15" t="str">
        <f>IF(Data!B749="","",IF(AND(Data!G749&lt;&gt;"",Data!H749=""),1,IF(Data!#REF!&lt;&gt;"",0,IF(Data!G749="",1,IF(ISNUMBER(MATCH(Data!H749,Data_Val!$D$2:$D$35,0)),0,1)))))</f>
        <v/>
      </c>
      <c r="I749" s="15" t="str">
        <f>IF(Data!B749="","",IF(Data!G749&lt;&gt;"",0,IF(ISNUMBER(MATCH(Data!#REF!,Data_Val!$E$2:$E$12,0)),0,1)))</f>
        <v/>
      </c>
      <c r="J749" s="16" t="e">
        <f>IF(OR(Data!B749="",Data!#REF!=""),"",IF(Data!#REF!="",1,0))</f>
        <v>#REF!</v>
      </c>
      <c r="K749" s="16" t="e">
        <f>IF(OR(Data!B749="",Data!#REF!=""),"",IF(Data!#REF!="",1,0))</f>
        <v>#REF!</v>
      </c>
      <c r="L749" s="16" t="e">
        <f>IF(OR(Data!B749="",Data!#REF!=""),"",IF(ISNUMBER(Data!#REF!),IF(AND(Data!#REF!&gt;Data_Val!$G$2,Data!#REF!&lt;=Data_Val!$G$3),0,1),1))</f>
        <v>#REF!</v>
      </c>
      <c r="M749" s="9" t="e">
        <f>IF(OR(Data!B749="",Data!#REF!=""),"",IF(ISNUMBER(MATCH(Data!#REF!,Data_Val!$F$1:$F$38,0)),0,1))</f>
        <v>#REF!</v>
      </c>
      <c r="N749" s="9" t="e">
        <f>IF(OR(Data!B749="",Data!#REF!=""),"",IF(Data!#REF!="",1,0))</f>
        <v>#REF!</v>
      </c>
      <c r="O749" s="17" t="e">
        <f>IF(Data!#REF!="","",IF(Data!#REF!="",1,0))</f>
        <v>#REF!</v>
      </c>
      <c r="P749" s="17" t="e">
        <f>IF(Data!#REF!="","",IF(ISNUMBER(MATCH(Data!#REF!,Data_Val!$A$2:$A$3,0)),0,1))</f>
        <v>#REF!</v>
      </c>
      <c r="Q749" s="25" t="e">
        <f ca="1">IF(Data!#REF!="","",IF(ISNUMBER(Data!#REF!),IF(AND(Data!#REF!&gt;(TODAY()-(Data_Val!$J$3*365.25)),Data!#REF!&lt;=(TODAY()-(Data_Val!$J$2*365.25))),0,1),1))</f>
        <v>#REF!</v>
      </c>
      <c r="R749" s="17" t="e">
        <f>IF(Data!#REF!="","",IF(ISNUMBER(MATCH(Data!#REF!,Data_Val!$B$2:$B$15,0)),0,1))</f>
        <v>#REF!</v>
      </c>
      <c r="S749" s="11" t="str">
        <f>IF(Data!G749="","",IF(Data!G749=Data_Val!$C$2,IF(Data!M749="",0,1),0))</f>
        <v/>
      </c>
      <c r="T749" s="11" t="str">
        <f>IF(Data!M749="","",IF(ISNUMBER(MATCH(Data!N749,Data_Val!$A$2:$A$3,0)),0,1))</f>
        <v/>
      </c>
      <c r="U749" s="11" t="str">
        <f ca="1">IF(Data!M749="","",IF(ISNUMBER(Data!O749),IF(AND(Data!O749&gt;(TODAY()-(Data_Val!$K$3*365.25)),Data!O749&lt;=(TODAY()-(Data_Val!$K$2*365.25))),0,1),1))</f>
        <v/>
      </c>
      <c r="V749" s="12" t="str">
        <f>IF(Data!G749="","",IF(Data!G749=Data_Val!$C$2,IF(Data!P749="",0,1),0))</f>
        <v/>
      </c>
      <c r="W749" s="12" t="str">
        <f>IF(Data!P749="","",IF(ISNUMBER(MATCH(Data!Q749,Data_Val!$A$2:$A$3,0)),0,1))</f>
        <v/>
      </c>
      <c r="X749" s="26" t="str">
        <f ca="1">IF(Data!P749="","",IF(ISNUMBER(Data!R749),IF(AND(Data!R749&gt;(TODAY()-(Data_Val!$L$3*365.25)),Data!R749&lt;=(TODAY()-(Data_Val!$L$2*365.25))),0,1),1))</f>
        <v/>
      </c>
      <c r="Y749" s="13" t="str">
        <f>IF(Data!$G749="","",IF(Data!$G749=Data_Val!$C$2,IF(Data!S749="",0,1),0))</f>
        <v/>
      </c>
      <c r="Z749" s="13" t="str">
        <f>IF(Data!S749="","",IF(ISNUMBER(MATCH(Data!T749,Data_Val!$A$2:$A$3,0)),0,1))</f>
        <v/>
      </c>
      <c r="AA749" s="28" t="str">
        <f ca="1">IF(Data!S749="","",IF(ISNUMBER(Data!U749),IF(AND(Data!U749&gt;(TODAY()-(Data_Val!$L$3*365.25)),Data!U749&lt;=(TODAY()-(Data_Val!$L$2*365.25))),0,1),1))</f>
        <v/>
      </c>
      <c r="AB749" s="11"/>
      <c r="AC749" s="11" t="e">
        <f>IF(Data!#REF!="","",IF(ISNUMBER(MATCH(Data!#REF!,Data_Val!$A$2:$A$3,0)),0,1))</f>
        <v>#REF!</v>
      </c>
      <c r="AD749" s="11" t="e">
        <f ca="1">IF(Data!#REF!="","",IF(ISNUMBER(Data!#REF!),IF(AND(Data!#REF!&gt;(TODAY()-(Data_Val!$L$3*365.25)),Data!#REF!&lt;=(TODAY()-(Data_Val!$L$2*365.25))),0,1),1))</f>
        <v>#REF!</v>
      </c>
      <c r="AE749" s="11" t="e">
        <f>IF(Data!#REF!="","",IF(Data!$G749="",1,IF(ISNUMBER(MATCH(Data!#REF!,Data_Val!$D$2:$D$10,0)),0,1)))</f>
        <v>#REF!</v>
      </c>
      <c r="AF749" s="12"/>
      <c r="AG749" s="12" t="e">
        <f>IF(Data!#REF!="","",IF(ISNUMBER(MATCH(Data!#REF!,Data_Val!$A$2:$A$3,0)),0,1))</f>
        <v>#REF!</v>
      </c>
      <c r="AH749" s="26" t="e">
        <f ca="1">IF(Data!#REF!="","",IF(ISNUMBER(Data!#REF!),IF(AND(Data!#REF!&gt;(TODAY()-(Data_Val!$L$3*365.25)),Data!#REF!&lt;=(TODAY()-(Data_Val!$L$2*365.25))),0,1),1))</f>
        <v>#REF!</v>
      </c>
      <c r="AI749" s="12" t="e">
        <f>IF(Data!#REF!="","",IF(Data!$G749="",1,IF(ISNUMBER(MATCH(Data!#REF!,Data_Val!$D$2:$D$10,0)),0,1)))</f>
        <v>#REF!</v>
      </c>
      <c r="AJ749" s="17"/>
      <c r="AK749" s="17" t="e">
        <f>IF(Data!#REF!="","",IF(ISNUMBER(MATCH(Data!#REF!,Data_Val!$A$2:$A$3,0)),0,1))</f>
        <v>#REF!</v>
      </c>
      <c r="AL749" s="25" t="e">
        <f ca="1">IF(Data!#REF!="","",IF(ISNUMBER(Data!#REF!),IF(AND(Data!#REF!&gt;(TODAY()-(Data_Val!$L$3*365.25)),Data!#REF!&lt;=(TODAY()-(Data_Val!$L$2*365.25))),0,1),1))</f>
        <v>#REF!</v>
      </c>
      <c r="AM749" s="17" t="e">
        <f>IF(Data!#REF!="","",IF(Data!$G749="",1,IF(ISNUMBER(MATCH(Data!#REF!,Data_Val!$D$2:$D$10,0)),0,1)))</f>
        <v>#REF!</v>
      </c>
      <c r="AN749" s="13"/>
      <c r="AO749" s="28" t="e">
        <f ca="1">IF(Data!#REF!="","",IF(ISNUMBER(Data!#REF!),IF(AND(Data!#REF!&gt;(TODAY()-(Data_Val!$I$3*365.25)),Data!#REF!&lt;=(TODAY()-(Data_Val!$I$2*365.25))),0,1),1))</f>
        <v>#REF!</v>
      </c>
      <c r="AP749" s="13" t="e">
        <f>IF(Data!#REF!="","",IF(Data!$G749="",1,IF(ISNUMBER(MATCH(Data!#REF!,Data_Val!$D$2:$D$10,0)),0,1)))</f>
        <v>#REF!</v>
      </c>
      <c r="AQ749" s="17"/>
      <c r="AR749" s="30" t="e">
        <f ca="1">IF(Data!#REF!="","",IF(ISNUMBER(Data!#REF!),IF(AND(Data!#REF!&gt;(TODAY()-(Data_Val!$I$3*365.25)),Data!#REF!&lt;=(TODAY()-(Data_Val!$I$2*365.25))),0,1),1))</f>
        <v>#REF!</v>
      </c>
      <c r="AS749" s="31" t="e">
        <f>IF(Data!#REF!="","",IF(Data!$G749="",1,IF(ISNUMBER(MATCH(Data!#REF!,Data_Val!$D$2:$D$10,0)),0,1)))</f>
        <v>#REF!</v>
      </c>
      <c r="AT749" s="11"/>
      <c r="AU749" s="11" t="e">
        <f ca="1">IF(Data!#REF!="","",IF(ISNUMBER(Data!#REF!),IF(AND(Data!#REF!&gt;(TODAY()-(Data_Val!$I$3*365.25)),Data!#REF!&lt;=(TODAY()-(Data_Val!$I$2*365.25))),0,1),1))</f>
        <v>#REF!</v>
      </c>
      <c r="AV749" s="11" t="e">
        <f>IF(Data!#REF!="","",IF(Data!$G749="",1,IF(ISNUMBER(MATCH(Data!#REF!,Data_Val!$D$2:$D$10,0)),0,1)))</f>
        <v>#REF!</v>
      </c>
      <c r="AW749" s="12"/>
      <c r="AX749" s="26" t="e">
        <f ca="1">IF(Data!#REF!="","",IF(ISNUMBER(Data!#REF!),IF(AND(Data!#REF!&gt;(TODAY()-(Data_Val!$I$3*365.25)),Data!#REF!&lt;=(TODAY()-(Data_Val!$I$2*365.25))),0,1),1))</f>
        <v>#REF!</v>
      </c>
      <c r="AY749" s="12" t="e">
        <f>IF(Data!#REF!="","",IF(Data!$G749="",1,IF(ISNUMBER(MATCH(Data!#REF!,Data_Val!$D$2:$D$10,0)),0,1)))</f>
        <v>#REF!</v>
      </c>
      <c r="AZ749" s="11"/>
      <c r="BA749" s="19" t="e">
        <f ca="1">IF(Data!#REF!="","",IF(ISNUMBER(Data!#REF!),IF(AND(Data!#REF!&gt;(TODAY()-(Data_Val!$M$3*365.25)),Data!#REF!&lt;=(TODAY()-(Data_Val!$M$2*365.25))),0,1),1))</f>
        <v>#REF!</v>
      </c>
      <c r="BB749" s="11" t="e">
        <f>IF(Data!#REF!="","",IF(Data!$G749="",1,IF(ISNUMBER(MATCH(Data!#REF!,Data_Val!$D$2:$D$10,0)),0,1)))</f>
        <v>#REF!</v>
      </c>
      <c r="BC749" s="12"/>
      <c r="BD749" s="20" t="e">
        <f ca="1">IF(Data!#REF!="","",IF(ISNUMBER(Data!#REF!),IF(AND(Data!#REF!&gt;(TODAY()-(Data_Val!$M$3*365.25)),Data!#REF!&lt;=(TODAY()-(Data_Val!$M$2*365.25))),0,1),1))</f>
        <v>#REF!</v>
      </c>
      <c r="BE749" s="12" t="e">
        <f>IF(Data!#REF!="","",IF(Data!$G749="",1,IF(ISNUMBER(MATCH(Data!#REF!,Data_Val!$D$2:$D$10,0)),0,1)))</f>
        <v>#REF!</v>
      </c>
      <c r="BF749" s="17"/>
      <c r="BG749" s="18" t="e">
        <f ca="1">IF(Data!#REF!="","",IF(ISNUMBER(Data!#REF!),IF(AND(Data!#REF!&gt;(TODAY()-(Data_Val!$M$3*365.25)),Data!#REF!&lt;=(TODAY()-(Data_Val!$M$2*365.25))),0,1),1))</f>
        <v>#REF!</v>
      </c>
      <c r="BH749" s="29" t="e">
        <f>IF(Data!#REF!="","",IF(Data!$G749="",1,IF(ISNUMBER(MATCH(Data!#REF!,Data_Val!$D$2:$D$10,0)),0,1)))</f>
        <v>#REF!</v>
      </c>
      <c r="BI749" s="13"/>
      <c r="BJ749" s="21" t="e">
        <f ca="1">IF(Data!#REF!="","",IF(ISNUMBER(Data!#REF!),IF(AND(Data!#REF!&gt;(TODAY()-(Data_Val!$M$3*365.25)),Data!#REF!&lt;=(TODAY()-(Data_Val!$M$2*365.25))),0,1),1))</f>
        <v>#REF!</v>
      </c>
      <c r="BK749" s="13" t="e">
        <f>IF(Data!#REF!="","",IF(Data!$G749="",1,IF(ISNUMBER(MATCH(Data!#REF!,Data_Val!$D$2:$D$10,0)),0,1)))</f>
        <v>#REF!</v>
      </c>
    </row>
    <row r="750" spans="1:63" x14ac:dyDescent="0.25">
      <c r="A750" s="9" t="str">
        <f>IF(Data!B750="","",IF(COUNTIFS(Data!A$1:'Data'!A750,Data!A750)&lt;=1,0,1))</f>
        <v/>
      </c>
      <c r="B750" s="9"/>
      <c r="C750" s="23" t="str">
        <f>IF(Data!C750="","",(IF(ISNUMBER(MATCH("*@*.?*",Data!C750,0)),0,1)+IF(COUNTIFS(Data!C$1:'Data'!C750,Data!C750)&gt;1,1,0)))</f>
        <v/>
      </c>
      <c r="D750" s="9" t="str">
        <f>IF(Data!B750="","",IF(ISNUMBER(Data!D750),IF(AND(Data!D750&gt;999999999,Data!D750&lt;=9999999999),IF(COUNTIFS(Data!D$1:'Data'!D750,Data!D750)&lt;=1,0,1),1),1))</f>
        <v/>
      </c>
      <c r="E750" s="9" t="str">
        <f>IF(Data!B750="","",IF(ISNUMBER(MATCH(Data!E750,Data_Val!$A$2:$A$3,0)),0,1))</f>
        <v/>
      </c>
      <c r="F750" s="9" t="str">
        <f ca="1">IF(Data!B750="","",IF(ISNUMBER(Data!F750),IF(AND(Data!F750&gt;(TODAY()-(Data_Val!$H$3*365.25)),Data!F750&lt;=(TODAY()-(Data_Val!$H$2*365.25))),0,1),1))</f>
        <v/>
      </c>
      <c r="G750" s="15" t="str">
        <f>IF(Data!B750="","",IF(AND(Data!G750="",Data!H750&lt;&gt;""),1,IF(Data!#REF!&lt;&gt;"",0,IF(ISNUMBER(MATCH(Data!G750,Data_Val!$C$2:$C$5,0)),0,1))))</f>
        <v/>
      </c>
      <c r="H750" s="15" t="str">
        <f>IF(Data!B750="","",IF(AND(Data!G750&lt;&gt;"",Data!H750=""),1,IF(Data!#REF!&lt;&gt;"",0,IF(Data!G750="",1,IF(ISNUMBER(MATCH(Data!H750,Data_Val!$D$2:$D$35,0)),0,1)))))</f>
        <v/>
      </c>
      <c r="I750" s="15" t="str">
        <f>IF(Data!B750="","",IF(Data!G750&lt;&gt;"",0,IF(ISNUMBER(MATCH(Data!#REF!,Data_Val!$E$2:$E$12,0)),0,1)))</f>
        <v/>
      </c>
      <c r="J750" s="16" t="e">
        <f>IF(OR(Data!B750="",Data!#REF!=""),"",IF(Data!#REF!="",1,0))</f>
        <v>#REF!</v>
      </c>
      <c r="K750" s="16" t="e">
        <f>IF(OR(Data!B750="",Data!#REF!=""),"",IF(Data!#REF!="",1,0))</f>
        <v>#REF!</v>
      </c>
      <c r="L750" s="16" t="e">
        <f>IF(OR(Data!B750="",Data!#REF!=""),"",IF(ISNUMBER(Data!#REF!),IF(AND(Data!#REF!&gt;Data_Val!$G$2,Data!#REF!&lt;=Data_Val!$G$3),0,1),1))</f>
        <v>#REF!</v>
      </c>
      <c r="M750" s="9" t="e">
        <f>IF(OR(Data!B750="",Data!#REF!=""),"",IF(ISNUMBER(MATCH(Data!#REF!,Data_Val!$F$1:$F$38,0)),0,1))</f>
        <v>#REF!</v>
      </c>
      <c r="N750" s="9" t="e">
        <f>IF(OR(Data!B750="",Data!#REF!=""),"",IF(Data!#REF!="",1,0))</f>
        <v>#REF!</v>
      </c>
      <c r="O750" s="17" t="e">
        <f>IF(Data!#REF!="","",IF(Data!#REF!="",1,0))</f>
        <v>#REF!</v>
      </c>
      <c r="P750" s="17" t="e">
        <f>IF(Data!#REF!="","",IF(ISNUMBER(MATCH(Data!#REF!,Data_Val!$A$2:$A$3,0)),0,1))</f>
        <v>#REF!</v>
      </c>
      <c r="Q750" s="25" t="e">
        <f ca="1">IF(Data!#REF!="","",IF(ISNUMBER(Data!#REF!),IF(AND(Data!#REF!&gt;(TODAY()-(Data_Val!$J$3*365.25)),Data!#REF!&lt;=(TODAY()-(Data_Val!$J$2*365.25))),0,1),1))</f>
        <v>#REF!</v>
      </c>
      <c r="R750" s="17" t="e">
        <f>IF(Data!#REF!="","",IF(ISNUMBER(MATCH(Data!#REF!,Data_Val!$B$2:$B$15,0)),0,1))</f>
        <v>#REF!</v>
      </c>
      <c r="S750" s="11" t="str">
        <f>IF(Data!G750="","",IF(Data!G750=Data_Val!$C$2,IF(Data!M750="",0,1),0))</f>
        <v/>
      </c>
      <c r="T750" s="11" t="str">
        <f>IF(Data!M750="","",IF(ISNUMBER(MATCH(Data!N750,Data_Val!$A$2:$A$3,0)),0,1))</f>
        <v/>
      </c>
      <c r="U750" s="11" t="str">
        <f ca="1">IF(Data!M750="","",IF(ISNUMBER(Data!O750),IF(AND(Data!O750&gt;(TODAY()-(Data_Val!$K$3*365.25)),Data!O750&lt;=(TODAY()-(Data_Val!$K$2*365.25))),0,1),1))</f>
        <v/>
      </c>
      <c r="V750" s="12" t="str">
        <f>IF(Data!G750="","",IF(Data!G750=Data_Val!$C$2,IF(Data!P750="",0,1),0))</f>
        <v/>
      </c>
      <c r="W750" s="12" t="str">
        <f>IF(Data!P750="","",IF(ISNUMBER(MATCH(Data!Q750,Data_Val!$A$2:$A$3,0)),0,1))</f>
        <v/>
      </c>
      <c r="X750" s="26" t="str">
        <f ca="1">IF(Data!P750="","",IF(ISNUMBER(Data!R750),IF(AND(Data!R750&gt;(TODAY()-(Data_Val!$L$3*365.25)),Data!R750&lt;=(TODAY()-(Data_Val!$L$2*365.25))),0,1),1))</f>
        <v/>
      </c>
      <c r="Y750" s="13" t="str">
        <f>IF(Data!$G750="","",IF(Data!$G750=Data_Val!$C$2,IF(Data!S750="",0,1),0))</f>
        <v/>
      </c>
      <c r="Z750" s="13" t="str">
        <f>IF(Data!S750="","",IF(ISNUMBER(MATCH(Data!T750,Data_Val!$A$2:$A$3,0)),0,1))</f>
        <v/>
      </c>
      <c r="AA750" s="28" t="str">
        <f ca="1">IF(Data!S750="","",IF(ISNUMBER(Data!U750),IF(AND(Data!U750&gt;(TODAY()-(Data_Val!$L$3*365.25)),Data!U750&lt;=(TODAY()-(Data_Val!$L$2*365.25))),0,1),1))</f>
        <v/>
      </c>
      <c r="AB750" s="11"/>
      <c r="AC750" s="11" t="e">
        <f>IF(Data!#REF!="","",IF(ISNUMBER(MATCH(Data!#REF!,Data_Val!$A$2:$A$3,0)),0,1))</f>
        <v>#REF!</v>
      </c>
      <c r="AD750" s="11" t="e">
        <f ca="1">IF(Data!#REF!="","",IF(ISNUMBER(Data!#REF!),IF(AND(Data!#REF!&gt;(TODAY()-(Data_Val!$L$3*365.25)),Data!#REF!&lt;=(TODAY()-(Data_Val!$L$2*365.25))),0,1),1))</f>
        <v>#REF!</v>
      </c>
      <c r="AE750" s="11" t="e">
        <f>IF(Data!#REF!="","",IF(Data!$G750="",1,IF(ISNUMBER(MATCH(Data!#REF!,Data_Val!$D$2:$D$10,0)),0,1)))</f>
        <v>#REF!</v>
      </c>
      <c r="AF750" s="12"/>
      <c r="AG750" s="12" t="e">
        <f>IF(Data!#REF!="","",IF(ISNUMBER(MATCH(Data!#REF!,Data_Val!$A$2:$A$3,0)),0,1))</f>
        <v>#REF!</v>
      </c>
      <c r="AH750" s="26" t="e">
        <f ca="1">IF(Data!#REF!="","",IF(ISNUMBER(Data!#REF!),IF(AND(Data!#REF!&gt;(TODAY()-(Data_Val!$L$3*365.25)),Data!#REF!&lt;=(TODAY()-(Data_Val!$L$2*365.25))),0,1),1))</f>
        <v>#REF!</v>
      </c>
      <c r="AI750" s="12" t="e">
        <f>IF(Data!#REF!="","",IF(Data!$G750="",1,IF(ISNUMBER(MATCH(Data!#REF!,Data_Val!$D$2:$D$10,0)),0,1)))</f>
        <v>#REF!</v>
      </c>
      <c r="AJ750" s="17"/>
      <c r="AK750" s="17" t="e">
        <f>IF(Data!#REF!="","",IF(ISNUMBER(MATCH(Data!#REF!,Data_Val!$A$2:$A$3,0)),0,1))</f>
        <v>#REF!</v>
      </c>
      <c r="AL750" s="25" t="e">
        <f ca="1">IF(Data!#REF!="","",IF(ISNUMBER(Data!#REF!),IF(AND(Data!#REF!&gt;(TODAY()-(Data_Val!$L$3*365.25)),Data!#REF!&lt;=(TODAY()-(Data_Val!$L$2*365.25))),0,1),1))</f>
        <v>#REF!</v>
      </c>
      <c r="AM750" s="17" t="e">
        <f>IF(Data!#REF!="","",IF(Data!$G750="",1,IF(ISNUMBER(MATCH(Data!#REF!,Data_Val!$D$2:$D$10,0)),0,1)))</f>
        <v>#REF!</v>
      </c>
      <c r="AN750" s="13"/>
      <c r="AO750" s="28" t="e">
        <f ca="1">IF(Data!#REF!="","",IF(ISNUMBER(Data!#REF!),IF(AND(Data!#REF!&gt;(TODAY()-(Data_Val!$I$3*365.25)),Data!#REF!&lt;=(TODAY()-(Data_Val!$I$2*365.25))),0,1),1))</f>
        <v>#REF!</v>
      </c>
      <c r="AP750" s="13" t="e">
        <f>IF(Data!#REF!="","",IF(Data!$G750="",1,IF(ISNUMBER(MATCH(Data!#REF!,Data_Val!$D$2:$D$10,0)),0,1)))</f>
        <v>#REF!</v>
      </c>
      <c r="AQ750" s="17"/>
      <c r="AR750" s="30" t="e">
        <f ca="1">IF(Data!#REF!="","",IF(ISNUMBER(Data!#REF!),IF(AND(Data!#REF!&gt;(TODAY()-(Data_Val!$I$3*365.25)),Data!#REF!&lt;=(TODAY()-(Data_Val!$I$2*365.25))),0,1),1))</f>
        <v>#REF!</v>
      </c>
      <c r="AS750" s="31" t="e">
        <f>IF(Data!#REF!="","",IF(Data!$G750="",1,IF(ISNUMBER(MATCH(Data!#REF!,Data_Val!$D$2:$D$10,0)),0,1)))</f>
        <v>#REF!</v>
      </c>
      <c r="AT750" s="11"/>
      <c r="AU750" s="11" t="e">
        <f ca="1">IF(Data!#REF!="","",IF(ISNUMBER(Data!#REF!),IF(AND(Data!#REF!&gt;(TODAY()-(Data_Val!$I$3*365.25)),Data!#REF!&lt;=(TODAY()-(Data_Val!$I$2*365.25))),0,1),1))</f>
        <v>#REF!</v>
      </c>
      <c r="AV750" s="11" t="e">
        <f>IF(Data!#REF!="","",IF(Data!$G750="",1,IF(ISNUMBER(MATCH(Data!#REF!,Data_Val!$D$2:$D$10,0)),0,1)))</f>
        <v>#REF!</v>
      </c>
      <c r="AW750" s="12"/>
      <c r="AX750" s="26" t="e">
        <f ca="1">IF(Data!#REF!="","",IF(ISNUMBER(Data!#REF!),IF(AND(Data!#REF!&gt;(TODAY()-(Data_Val!$I$3*365.25)),Data!#REF!&lt;=(TODAY()-(Data_Val!$I$2*365.25))),0,1),1))</f>
        <v>#REF!</v>
      </c>
      <c r="AY750" s="12" t="e">
        <f>IF(Data!#REF!="","",IF(Data!$G750="",1,IF(ISNUMBER(MATCH(Data!#REF!,Data_Val!$D$2:$D$10,0)),0,1)))</f>
        <v>#REF!</v>
      </c>
      <c r="AZ750" s="11"/>
      <c r="BA750" s="19" t="e">
        <f ca="1">IF(Data!#REF!="","",IF(ISNUMBER(Data!#REF!),IF(AND(Data!#REF!&gt;(TODAY()-(Data_Val!$M$3*365.25)),Data!#REF!&lt;=(TODAY()-(Data_Val!$M$2*365.25))),0,1),1))</f>
        <v>#REF!</v>
      </c>
      <c r="BB750" s="11" t="e">
        <f>IF(Data!#REF!="","",IF(Data!$G750="",1,IF(ISNUMBER(MATCH(Data!#REF!,Data_Val!$D$2:$D$10,0)),0,1)))</f>
        <v>#REF!</v>
      </c>
      <c r="BC750" s="12"/>
      <c r="BD750" s="20" t="e">
        <f ca="1">IF(Data!#REF!="","",IF(ISNUMBER(Data!#REF!),IF(AND(Data!#REF!&gt;(TODAY()-(Data_Val!$M$3*365.25)),Data!#REF!&lt;=(TODAY()-(Data_Val!$M$2*365.25))),0,1),1))</f>
        <v>#REF!</v>
      </c>
      <c r="BE750" s="12" t="e">
        <f>IF(Data!#REF!="","",IF(Data!$G750="",1,IF(ISNUMBER(MATCH(Data!#REF!,Data_Val!$D$2:$D$10,0)),0,1)))</f>
        <v>#REF!</v>
      </c>
      <c r="BF750" s="17"/>
      <c r="BG750" s="18" t="e">
        <f ca="1">IF(Data!#REF!="","",IF(ISNUMBER(Data!#REF!),IF(AND(Data!#REF!&gt;(TODAY()-(Data_Val!$M$3*365.25)),Data!#REF!&lt;=(TODAY()-(Data_Val!$M$2*365.25))),0,1),1))</f>
        <v>#REF!</v>
      </c>
      <c r="BH750" s="29" t="e">
        <f>IF(Data!#REF!="","",IF(Data!$G750="",1,IF(ISNUMBER(MATCH(Data!#REF!,Data_Val!$D$2:$D$10,0)),0,1)))</f>
        <v>#REF!</v>
      </c>
      <c r="BI750" s="13"/>
      <c r="BJ750" s="21" t="e">
        <f ca="1">IF(Data!#REF!="","",IF(ISNUMBER(Data!#REF!),IF(AND(Data!#REF!&gt;(TODAY()-(Data_Val!$M$3*365.25)),Data!#REF!&lt;=(TODAY()-(Data_Val!$M$2*365.25))),0,1),1))</f>
        <v>#REF!</v>
      </c>
      <c r="BK750" s="13" t="e">
        <f>IF(Data!#REF!="","",IF(Data!$G750="",1,IF(ISNUMBER(MATCH(Data!#REF!,Data_Val!$D$2:$D$10,0)),0,1)))</f>
        <v>#REF!</v>
      </c>
    </row>
    <row r="751" spans="1:63" x14ac:dyDescent="0.25">
      <c r="A751" s="9" t="str">
        <f>IF(Data!B751="","",IF(COUNTIFS(Data!A$1:'Data'!A751,Data!A751)&lt;=1,0,1))</f>
        <v/>
      </c>
      <c r="B751" s="9"/>
      <c r="C751" s="23" t="str">
        <f>IF(Data!C751="","",(IF(ISNUMBER(MATCH("*@*.?*",Data!C751,0)),0,1)+IF(COUNTIFS(Data!C$1:'Data'!C751,Data!C751)&gt;1,1,0)))</f>
        <v/>
      </c>
      <c r="D751" s="9" t="str">
        <f>IF(Data!B751="","",IF(ISNUMBER(Data!D751),IF(AND(Data!D751&gt;999999999,Data!D751&lt;=9999999999),IF(COUNTIFS(Data!D$1:'Data'!D751,Data!D751)&lt;=1,0,1),1),1))</f>
        <v/>
      </c>
      <c r="E751" s="9" t="str">
        <f>IF(Data!B751="","",IF(ISNUMBER(MATCH(Data!E751,Data_Val!$A$2:$A$3,0)),0,1))</f>
        <v/>
      </c>
      <c r="F751" s="9" t="str">
        <f ca="1">IF(Data!B751="","",IF(ISNUMBER(Data!F751),IF(AND(Data!F751&gt;(TODAY()-(Data_Val!$H$3*365.25)),Data!F751&lt;=(TODAY()-(Data_Val!$H$2*365.25))),0,1),1))</f>
        <v/>
      </c>
      <c r="G751" s="15" t="str">
        <f>IF(Data!B751="","",IF(AND(Data!G751="",Data!H751&lt;&gt;""),1,IF(Data!#REF!&lt;&gt;"",0,IF(ISNUMBER(MATCH(Data!G751,Data_Val!$C$2:$C$5,0)),0,1))))</f>
        <v/>
      </c>
      <c r="H751" s="15" t="str">
        <f>IF(Data!B751="","",IF(AND(Data!G751&lt;&gt;"",Data!H751=""),1,IF(Data!#REF!&lt;&gt;"",0,IF(Data!G751="",1,IF(ISNUMBER(MATCH(Data!H751,Data_Val!$D$2:$D$35,0)),0,1)))))</f>
        <v/>
      </c>
      <c r="I751" s="15" t="str">
        <f>IF(Data!B751="","",IF(Data!G751&lt;&gt;"",0,IF(ISNUMBER(MATCH(Data!#REF!,Data_Val!$E$2:$E$12,0)),0,1)))</f>
        <v/>
      </c>
      <c r="J751" s="16" t="e">
        <f>IF(OR(Data!B751="",Data!#REF!=""),"",IF(Data!#REF!="",1,0))</f>
        <v>#REF!</v>
      </c>
      <c r="K751" s="16" t="e">
        <f>IF(OR(Data!B751="",Data!#REF!=""),"",IF(Data!#REF!="",1,0))</f>
        <v>#REF!</v>
      </c>
      <c r="L751" s="16" t="e">
        <f>IF(OR(Data!B751="",Data!#REF!=""),"",IF(ISNUMBER(Data!#REF!),IF(AND(Data!#REF!&gt;Data_Val!$G$2,Data!#REF!&lt;=Data_Val!$G$3),0,1),1))</f>
        <v>#REF!</v>
      </c>
      <c r="M751" s="9" t="e">
        <f>IF(OR(Data!B751="",Data!#REF!=""),"",IF(ISNUMBER(MATCH(Data!#REF!,Data_Val!$F$1:$F$38,0)),0,1))</f>
        <v>#REF!</v>
      </c>
      <c r="N751" s="9" t="e">
        <f>IF(OR(Data!B751="",Data!#REF!=""),"",IF(Data!#REF!="",1,0))</f>
        <v>#REF!</v>
      </c>
      <c r="O751" s="17" t="e">
        <f>IF(Data!#REF!="","",IF(Data!#REF!="",1,0))</f>
        <v>#REF!</v>
      </c>
      <c r="P751" s="17" t="e">
        <f>IF(Data!#REF!="","",IF(ISNUMBER(MATCH(Data!#REF!,Data_Val!$A$2:$A$3,0)),0,1))</f>
        <v>#REF!</v>
      </c>
      <c r="Q751" s="25" t="e">
        <f ca="1">IF(Data!#REF!="","",IF(ISNUMBER(Data!#REF!),IF(AND(Data!#REF!&gt;(TODAY()-(Data_Val!$J$3*365.25)),Data!#REF!&lt;=(TODAY()-(Data_Val!$J$2*365.25))),0,1),1))</f>
        <v>#REF!</v>
      </c>
      <c r="R751" s="17" t="e">
        <f>IF(Data!#REF!="","",IF(ISNUMBER(MATCH(Data!#REF!,Data_Val!$B$2:$B$15,0)),0,1))</f>
        <v>#REF!</v>
      </c>
      <c r="S751" s="11" t="str">
        <f>IF(Data!G751="","",IF(Data!G751=Data_Val!$C$2,IF(Data!M751="",0,1),0))</f>
        <v/>
      </c>
      <c r="T751" s="11" t="str">
        <f>IF(Data!M751="","",IF(ISNUMBER(MATCH(Data!N751,Data_Val!$A$2:$A$3,0)),0,1))</f>
        <v/>
      </c>
      <c r="U751" s="11" t="str">
        <f ca="1">IF(Data!M751="","",IF(ISNUMBER(Data!O751),IF(AND(Data!O751&gt;(TODAY()-(Data_Val!$K$3*365.25)),Data!O751&lt;=(TODAY()-(Data_Val!$K$2*365.25))),0,1),1))</f>
        <v/>
      </c>
      <c r="V751" s="12" t="str">
        <f>IF(Data!G751="","",IF(Data!G751=Data_Val!$C$2,IF(Data!P751="",0,1),0))</f>
        <v/>
      </c>
      <c r="W751" s="12" t="str">
        <f>IF(Data!P751="","",IF(ISNUMBER(MATCH(Data!Q751,Data_Val!$A$2:$A$3,0)),0,1))</f>
        <v/>
      </c>
      <c r="X751" s="26" t="str">
        <f ca="1">IF(Data!P751="","",IF(ISNUMBER(Data!R751),IF(AND(Data!R751&gt;(TODAY()-(Data_Val!$L$3*365.25)),Data!R751&lt;=(TODAY()-(Data_Val!$L$2*365.25))),0,1),1))</f>
        <v/>
      </c>
      <c r="Y751" s="13" t="str">
        <f>IF(Data!$G751="","",IF(Data!$G751=Data_Val!$C$2,IF(Data!S751="",0,1),0))</f>
        <v/>
      </c>
      <c r="Z751" s="13" t="str">
        <f>IF(Data!S751="","",IF(ISNUMBER(MATCH(Data!T751,Data_Val!$A$2:$A$3,0)),0,1))</f>
        <v/>
      </c>
      <c r="AA751" s="28" t="str">
        <f ca="1">IF(Data!S751="","",IF(ISNUMBER(Data!U751),IF(AND(Data!U751&gt;(TODAY()-(Data_Val!$L$3*365.25)),Data!U751&lt;=(TODAY()-(Data_Val!$L$2*365.25))),0,1),1))</f>
        <v/>
      </c>
      <c r="AB751" s="11"/>
      <c r="AC751" s="11" t="e">
        <f>IF(Data!#REF!="","",IF(ISNUMBER(MATCH(Data!#REF!,Data_Val!$A$2:$A$3,0)),0,1))</f>
        <v>#REF!</v>
      </c>
      <c r="AD751" s="11" t="e">
        <f ca="1">IF(Data!#REF!="","",IF(ISNUMBER(Data!#REF!),IF(AND(Data!#REF!&gt;(TODAY()-(Data_Val!$L$3*365.25)),Data!#REF!&lt;=(TODAY()-(Data_Val!$L$2*365.25))),0,1),1))</f>
        <v>#REF!</v>
      </c>
      <c r="AE751" s="11" t="e">
        <f>IF(Data!#REF!="","",IF(Data!$G751="",1,IF(ISNUMBER(MATCH(Data!#REF!,Data_Val!$D$2:$D$10,0)),0,1)))</f>
        <v>#REF!</v>
      </c>
      <c r="AF751" s="12"/>
      <c r="AG751" s="12" t="e">
        <f>IF(Data!#REF!="","",IF(ISNUMBER(MATCH(Data!#REF!,Data_Val!$A$2:$A$3,0)),0,1))</f>
        <v>#REF!</v>
      </c>
      <c r="AH751" s="26" t="e">
        <f ca="1">IF(Data!#REF!="","",IF(ISNUMBER(Data!#REF!),IF(AND(Data!#REF!&gt;(TODAY()-(Data_Val!$L$3*365.25)),Data!#REF!&lt;=(TODAY()-(Data_Val!$L$2*365.25))),0,1),1))</f>
        <v>#REF!</v>
      </c>
      <c r="AI751" s="12" t="e">
        <f>IF(Data!#REF!="","",IF(Data!$G751="",1,IF(ISNUMBER(MATCH(Data!#REF!,Data_Val!$D$2:$D$10,0)),0,1)))</f>
        <v>#REF!</v>
      </c>
      <c r="AJ751" s="17"/>
      <c r="AK751" s="17" t="e">
        <f>IF(Data!#REF!="","",IF(ISNUMBER(MATCH(Data!#REF!,Data_Val!$A$2:$A$3,0)),0,1))</f>
        <v>#REF!</v>
      </c>
      <c r="AL751" s="25" t="e">
        <f ca="1">IF(Data!#REF!="","",IF(ISNUMBER(Data!#REF!),IF(AND(Data!#REF!&gt;(TODAY()-(Data_Val!$L$3*365.25)),Data!#REF!&lt;=(TODAY()-(Data_Val!$L$2*365.25))),0,1),1))</f>
        <v>#REF!</v>
      </c>
      <c r="AM751" s="17" t="e">
        <f>IF(Data!#REF!="","",IF(Data!$G751="",1,IF(ISNUMBER(MATCH(Data!#REF!,Data_Val!$D$2:$D$10,0)),0,1)))</f>
        <v>#REF!</v>
      </c>
      <c r="AN751" s="13"/>
      <c r="AO751" s="28" t="e">
        <f ca="1">IF(Data!#REF!="","",IF(ISNUMBER(Data!#REF!),IF(AND(Data!#REF!&gt;(TODAY()-(Data_Val!$I$3*365.25)),Data!#REF!&lt;=(TODAY()-(Data_Val!$I$2*365.25))),0,1),1))</f>
        <v>#REF!</v>
      </c>
      <c r="AP751" s="13" t="e">
        <f>IF(Data!#REF!="","",IF(Data!$G751="",1,IF(ISNUMBER(MATCH(Data!#REF!,Data_Val!$D$2:$D$10,0)),0,1)))</f>
        <v>#REF!</v>
      </c>
      <c r="AQ751" s="17"/>
      <c r="AR751" s="30" t="e">
        <f ca="1">IF(Data!#REF!="","",IF(ISNUMBER(Data!#REF!),IF(AND(Data!#REF!&gt;(TODAY()-(Data_Val!$I$3*365.25)),Data!#REF!&lt;=(TODAY()-(Data_Val!$I$2*365.25))),0,1),1))</f>
        <v>#REF!</v>
      </c>
      <c r="AS751" s="31" t="e">
        <f>IF(Data!#REF!="","",IF(Data!$G751="",1,IF(ISNUMBER(MATCH(Data!#REF!,Data_Val!$D$2:$D$10,0)),0,1)))</f>
        <v>#REF!</v>
      </c>
      <c r="AT751" s="11"/>
      <c r="AU751" s="11" t="e">
        <f ca="1">IF(Data!#REF!="","",IF(ISNUMBER(Data!#REF!),IF(AND(Data!#REF!&gt;(TODAY()-(Data_Val!$I$3*365.25)),Data!#REF!&lt;=(TODAY()-(Data_Val!$I$2*365.25))),0,1),1))</f>
        <v>#REF!</v>
      </c>
      <c r="AV751" s="11" t="e">
        <f>IF(Data!#REF!="","",IF(Data!$G751="",1,IF(ISNUMBER(MATCH(Data!#REF!,Data_Val!$D$2:$D$10,0)),0,1)))</f>
        <v>#REF!</v>
      </c>
      <c r="AW751" s="12"/>
      <c r="AX751" s="26" t="e">
        <f ca="1">IF(Data!#REF!="","",IF(ISNUMBER(Data!#REF!),IF(AND(Data!#REF!&gt;(TODAY()-(Data_Val!$I$3*365.25)),Data!#REF!&lt;=(TODAY()-(Data_Val!$I$2*365.25))),0,1),1))</f>
        <v>#REF!</v>
      </c>
      <c r="AY751" s="12" t="e">
        <f>IF(Data!#REF!="","",IF(Data!$G751="",1,IF(ISNUMBER(MATCH(Data!#REF!,Data_Val!$D$2:$D$10,0)),0,1)))</f>
        <v>#REF!</v>
      </c>
      <c r="AZ751" s="11"/>
      <c r="BA751" s="19" t="e">
        <f ca="1">IF(Data!#REF!="","",IF(ISNUMBER(Data!#REF!),IF(AND(Data!#REF!&gt;(TODAY()-(Data_Val!$M$3*365.25)),Data!#REF!&lt;=(TODAY()-(Data_Val!$M$2*365.25))),0,1),1))</f>
        <v>#REF!</v>
      </c>
      <c r="BB751" s="11" t="e">
        <f>IF(Data!#REF!="","",IF(Data!$G751="",1,IF(ISNUMBER(MATCH(Data!#REF!,Data_Val!$D$2:$D$10,0)),0,1)))</f>
        <v>#REF!</v>
      </c>
      <c r="BC751" s="12"/>
      <c r="BD751" s="20" t="e">
        <f ca="1">IF(Data!#REF!="","",IF(ISNUMBER(Data!#REF!),IF(AND(Data!#REF!&gt;(TODAY()-(Data_Val!$M$3*365.25)),Data!#REF!&lt;=(TODAY()-(Data_Val!$M$2*365.25))),0,1),1))</f>
        <v>#REF!</v>
      </c>
      <c r="BE751" s="12" t="e">
        <f>IF(Data!#REF!="","",IF(Data!$G751="",1,IF(ISNUMBER(MATCH(Data!#REF!,Data_Val!$D$2:$D$10,0)),0,1)))</f>
        <v>#REF!</v>
      </c>
      <c r="BF751" s="17"/>
      <c r="BG751" s="18" t="e">
        <f ca="1">IF(Data!#REF!="","",IF(ISNUMBER(Data!#REF!),IF(AND(Data!#REF!&gt;(TODAY()-(Data_Val!$M$3*365.25)),Data!#REF!&lt;=(TODAY()-(Data_Val!$M$2*365.25))),0,1),1))</f>
        <v>#REF!</v>
      </c>
      <c r="BH751" s="29" t="e">
        <f>IF(Data!#REF!="","",IF(Data!$G751="",1,IF(ISNUMBER(MATCH(Data!#REF!,Data_Val!$D$2:$D$10,0)),0,1)))</f>
        <v>#REF!</v>
      </c>
      <c r="BI751" s="13"/>
      <c r="BJ751" s="21" t="e">
        <f ca="1">IF(Data!#REF!="","",IF(ISNUMBER(Data!#REF!),IF(AND(Data!#REF!&gt;(TODAY()-(Data_Val!$M$3*365.25)),Data!#REF!&lt;=(TODAY()-(Data_Val!$M$2*365.25))),0,1),1))</f>
        <v>#REF!</v>
      </c>
      <c r="BK751" s="13" t="e">
        <f>IF(Data!#REF!="","",IF(Data!$G751="",1,IF(ISNUMBER(MATCH(Data!#REF!,Data_Val!$D$2:$D$10,0)),0,1)))</f>
        <v>#REF!</v>
      </c>
    </row>
    <row r="752" spans="1:63" x14ac:dyDescent="0.25">
      <c r="A752" s="9" t="str">
        <f>IF(Data!B752="","",IF(COUNTIFS(Data!A$1:'Data'!A752,Data!A752)&lt;=1,0,1))</f>
        <v/>
      </c>
      <c r="B752" s="9"/>
      <c r="C752" s="23" t="str">
        <f>IF(Data!C752="","",(IF(ISNUMBER(MATCH("*@*.?*",Data!C752,0)),0,1)+IF(COUNTIFS(Data!C$1:'Data'!C752,Data!C752)&gt;1,1,0)))</f>
        <v/>
      </c>
      <c r="D752" s="9" t="str">
        <f>IF(Data!B752="","",IF(ISNUMBER(Data!D752),IF(AND(Data!D752&gt;999999999,Data!D752&lt;=9999999999),IF(COUNTIFS(Data!D$1:'Data'!D752,Data!D752)&lt;=1,0,1),1),1))</f>
        <v/>
      </c>
      <c r="E752" s="9" t="str">
        <f>IF(Data!B752="","",IF(ISNUMBER(MATCH(Data!E752,Data_Val!$A$2:$A$3,0)),0,1))</f>
        <v/>
      </c>
      <c r="F752" s="9" t="str">
        <f ca="1">IF(Data!B752="","",IF(ISNUMBER(Data!F752),IF(AND(Data!F752&gt;(TODAY()-(Data_Val!$H$3*365.25)),Data!F752&lt;=(TODAY()-(Data_Val!$H$2*365.25))),0,1),1))</f>
        <v/>
      </c>
      <c r="G752" s="15" t="str">
        <f>IF(Data!B752="","",IF(AND(Data!G752="",Data!H752&lt;&gt;""),1,IF(Data!#REF!&lt;&gt;"",0,IF(ISNUMBER(MATCH(Data!G752,Data_Val!$C$2:$C$5,0)),0,1))))</f>
        <v/>
      </c>
      <c r="H752" s="15" t="str">
        <f>IF(Data!B752="","",IF(AND(Data!G752&lt;&gt;"",Data!H752=""),1,IF(Data!#REF!&lt;&gt;"",0,IF(Data!G752="",1,IF(ISNUMBER(MATCH(Data!H752,Data_Val!$D$2:$D$35,0)),0,1)))))</f>
        <v/>
      </c>
      <c r="I752" s="15" t="str">
        <f>IF(Data!B752="","",IF(Data!G752&lt;&gt;"",0,IF(ISNUMBER(MATCH(Data!#REF!,Data_Val!$E$2:$E$12,0)),0,1)))</f>
        <v/>
      </c>
      <c r="J752" s="16" t="e">
        <f>IF(OR(Data!B752="",Data!#REF!=""),"",IF(Data!#REF!="",1,0))</f>
        <v>#REF!</v>
      </c>
      <c r="K752" s="16" t="e">
        <f>IF(OR(Data!B752="",Data!#REF!=""),"",IF(Data!#REF!="",1,0))</f>
        <v>#REF!</v>
      </c>
      <c r="L752" s="16" t="e">
        <f>IF(OR(Data!B752="",Data!#REF!=""),"",IF(ISNUMBER(Data!#REF!),IF(AND(Data!#REF!&gt;Data_Val!$G$2,Data!#REF!&lt;=Data_Val!$G$3),0,1),1))</f>
        <v>#REF!</v>
      </c>
      <c r="M752" s="9" t="e">
        <f>IF(OR(Data!B752="",Data!#REF!=""),"",IF(ISNUMBER(MATCH(Data!#REF!,Data_Val!$F$1:$F$38,0)),0,1))</f>
        <v>#REF!</v>
      </c>
      <c r="N752" s="9" t="e">
        <f>IF(OR(Data!B752="",Data!#REF!=""),"",IF(Data!#REF!="",1,0))</f>
        <v>#REF!</v>
      </c>
      <c r="O752" s="17" t="e">
        <f>IF(Data!#REF!="","",IF(Data!#REF!="",1,0))</f>
        <v>#REF!</v>
      </c>
      <c r="P752" s="17" t="e">
        <f>IF(Data!#REF!="","",IF(ISNUMBER(MATCH(Data!#REF!,Data_Val!$A$2:$A$3,0)),0,1))</f>
        <v>#REF!</v>
      </c>
      <c r="Q752" s="25" t="e">
        <f ca="1">IF(Data!#REF!="","",IF(ISNUMBER(Data!#REF!),IF(AND(Data!#REF!&gt;(TODAY()-(Data_Val!$J$3*365.25)),Data!#REF!&lt;=(TODAY()-(Data_Val!$J$2*365.25))),0,1),1))</f>
        <v>#REF!</v>
      </c>
      <c r="R752" s="17" t="e">
        <f>IF(Data!#REF!="","",IF(ISNUMBER(MATCH(Data!#REF!,Data_Val!$B$2:$B$15,0)),0,1))</f>
        <v>#REF!</v>
      </c>
      <c r="S752" s="11" t="str">
        <f>IF(Data!G752="","",IF(Data!G752=Data_Val!$C$2,IF(Data!M752="",0,1),0))</f>
        <v/>
      </c>
      <c r="T752" s="11" t="str">
        <f>IF(Data!M752="","",IF(ISNUMBER(MATCH(Data!N752,Data_Val!$A$2:$A$3,0)),0,1))</f>
        <v/>
      </c>
      <c r="U752" s="11" t="str">
        <f ca="1">IF(Data!M752="","",IF(ISNUMBER(Data!O752),IF(AND(Data!O752&gt;(TODAY()-(Data_Val!$K$3*365.25)),Data!O752&lt;=(TODAY()-(Data_Val!$K$2*365.25))),0,1),1))</f>
        <v/>
      </c>
      <c r="V752" s="12" t="str">
        <f>IF(Data!G752="","",IF(Data!G752=Data_Val!$C$2,IF(Data!P752="",0,1),0))</f>
        <v/>
      </c>
      <c r="W752" s="12" t="str">
        <f>IF(Data!P752="","",IF(ISNUMBER(MATCH(Data!Q752,Data_Val!$A$2:$A$3,0)),0,1))</f>
        <v/>
      </c>
      <c r="X752" s="26" t="str">
        <f ca="1">IF(Data!P752="","",IF(ISNUMBER(Data!R752),IF(AND(Data!R752&gt;(TODAY()-(Data_Val!$L$3*365.25)),Data!R752&lt;=(TODAY()-(Data_Val!$L$2*365.25))),0,1),1))</f>
        <v/>
      </c>
      <c r="Y752" s="13" t="str">
        <f>IF(Data!$G752="","",IF(Data!$G752=Data_Val!$C$2,IF(Data!S752="",0,1),0))</f>
        <v/>
      </c>
      <c r="Z752" s="13" t="str">
        <f>IF(Data!S752="","",IF(ISNUMBER(MATCH(Data!T752,Data_Val!$A$2:$A$3,0)),0,1))</f>
        <v/>
      </c>
      <c r="AA752" s="28" t="str">
        <f ca="1">IF(Data!S752="","",IF(ISNUMBER(Data!U752),IF(AND(Data!U752&gt;(TODAY()-(Data_Val!$L$3*365.25)),Data!U752&lt;=(TODAY()-(Data_Val!$L$2*365.25))),0,1),1))</f>
        <v/>
      </c>
      <c r="AB752" s="11"/>
      <c r="AC752" s="11" t="e">
        <f>IF(Data!#REF!="","",IF(ISNUMBER(MATCH(Data!#REF!,Data_Val!$A$2:$A$3,0)),0,1))</f>
        <v>#REF!</v>
      </c>
      <c r="AD752" s="11" t="e">
        <f ca="1">IF(Data!#REF!="","",IF(ISNUMBER(Data!#REF!),IF(AND(Data!#REF!&gt;(TODAY()-(Data_Val!$L$3*365.25)),Data!#REF!&lt;=(TODAY()-(Data_Val!$L$2*365.25))),0,1),1))</f>
        <v>#REF!</v>
      </c>
      <c r="AE752" s="11" t="e">
        <f>IF(Data!#REF!="","",IF(Data!$G752="",1,IF(ISNUMBER(MATCH(Data!#REF!,Data_Val!$D$2:$D$10,0)),0,1)))</f>
        <v>#REF!</v>
      </c>
      <c r="AF752" s="12"/>
      <c r="AG752" s="12" t="e">
        <f>IF(Data!#REF!="","",IF(ISNUMBER(MATCH(Data!#REF!,Data_Val!$A$2:$A$3,0)),0,1))</f>
        <v>#REF!</v>
      </c>
      <c r="AH752" s="26" t="e">
        <f ca="1">IF(Data!#REF!="","",IF(ISNUMBER(Data!#REF!),IF(AND(Data!#REF!&gt;(TODAY()-(Data_Val!$L$3*365.25)),Data!#REF!&lt;=(TODAY()-(Data_Val!$L$2*365.25))),0,1),1))</f>
        <v>#REF!</v>
      </c>
      <c r="AI752" s="12" t="e">
        <f>IF(Data!#REF!="","",IF(Data!$G752="",1,IF(ISNUMBER(MATCH(Data!#REF!,Data_Val!$D$2:$D$10,0)),0,1)))</f>
        <v>#REF!</v>
      </c>
      <c r="AJ752" s="17"/>
      <c r="AK752" s="17" t="e">
        <f>IF(Data!#REF!="","",IF(ISNUMBER(MATCH(Data!#REF!,Data_Val!$A$2:$A$3,0)),0,1))</f>
        <v>#REF!</v>
      </c>
      <c r="AL752" s="25" t="e">
        <f ca="1">IF(Data!#REF!="","",IF(ISNUMBER(Data!#REF!),IF(AND(Data!#REF!&gt;(TODAY()-(Data_Val!$L$3*365.25)),Data!#REF!&lt;=(TODAY()-(Data_Val!$L$2*365.25))),0,1),1))</f>
        <v>#REF!</v>
      </c>
      <c r="AM752" s="17" t="e">
        <f>IF(Data!#REF!="","",IF(Data!$G752="",1,IF(ISNUMBER(MATCH(Data!#REF!,Data_Val!$D$2:$D$10,0)),0,1)))</f>
        <v>#REF!</v>
      </c>
      <c r="AN752" s="13"/>
      <c r="AO752" s="28" t="e">
        <f ca="1">IF(Data!#REF!="","",IF(ISNUMBER(Data!#REF!),IF(AND(Data!#REF!&gt;(TODAY()-(Data_Val!$I$3*365.25)),Data!#REF!&lt;=(TODAY()-(Data_Val!$I$2*365.25))),0,1),1))</f>
        <v>#REF!</v>
      </c>
      <c r="AP752" s="13" t="e">
        <f>IF(Data!#REF!="","",IF(Data!$G752="",1,IF(ISNUMBER(MATCH(Data!#REF!,Data_Val!$D$2:$D$10,0)),0,1)))</f>
        <v>#REF!</v>
      </c>
      <c r="AQ752" s="17"/>
      <c r="AR752" s="30" t="e">
        <f ca="1">IF(Data!#REF!="","",IF(ISNUMBER(Data!#REF!),IF(AND(Data!#REF!&gt;(TODAY()-(Data_Val!$I$3*365.25)),Data!#REF!&lt;=(TODAY()-(Data_Val!$I$2*365.25))),0,1),1))</f>
        <v>#REF!</v>
      </c>
      <c r="AS752" s="31" t="e">
        <f>IF(Data!#REF!="","",IF(Data!$G752="",1,IF(ISNUMBER(MATCH(Data!#REF!,Data_Val!$D$2:$D$10,0)),0,1)))</f>
        <v>#REF!</v>
      </c>
      <c r="AT752" s="11"/>
      <c r="AU752" s="11" t="e">
        <f ca="1">IF(Data!#REF!="","",IF(ISNUMBER(Data!#REF!),IF(AND(Data!#REF!&gt;(TODAY()-(Data_Val!$I$3*365.25)),Data!#REF!&lt;=(TODAY()-(Data_Val!$I$2*365.25))),0,1),1))</f>
        <v>#REF!</v>
      </c>
      <c r="AV752" s="11" t="e">
        <f>IF(Data!#REF!="","",IF(Data!$G752="",1,IF(ISNUMBER(MATCH(Data!#REF!,Data_Val!$D$2:$D$10,0)),0,1)))</f>
        <v>#REF!</v>
      </c>
      <c r="AW752" s="12"/>
      <c r="AX752" s="26" t="e">
        <f ca="1">IF(Data!#REF!="","",IF(ISNUMBER(Data!#REF!),IF(AND(Data!#REF!&gt;(TODAY()-(Data_Val!$I$3*365.25)),Data!#REF!&lt;=(TODAY()-(Data_Val!$I$2*365.25))),0,1),1))</f>
        <v>#REF!</v>
      </c>
      <c r="AY752" s="12" t="e">
        <f>IF(Data!#REF!="","",IF(Data!$G752="",1,IF(ISNUMBER(MATCH(Data!#REF!,Data_Val!$D$2:$D$10,0)),0,1)))</f>
        <v>#REF!</v>
      </c>
      <c r="AZ752" s="11"/>
      <c r="BA752" s="19" t="e">
        <f ca="1">IF(Data!#REF!="","",IF(ISNUMBER(Data!#REF!),IF(AND(Data!#REF!&gt;(TODAY()-(Data_Val!$M$3*365.25)),Data!#REF!&lt;=(TODAY()-(Data_Val!$M$2*365.25))),0,1),1))</f>
        <v>#REF!</v>
      </c>
      <c r="BB752" s="11" t="e">
        <f>IF(Data!#REF!="","",IF(Data!$G752="",1,IF(ISNUMBER(MATCH(Data!#REF!,Data_Val!$D$2:$D$10,0)),0,1)))</f>
        <v>#REF!</v>
      </c>
      <c r="BC752" s="12"/>
      <c r="BD752" s="20" t="e">
        <f ca="1">IF(Data!#REF!="","",IF(ISNUMBER(Data!#REF!),IF(AND(Data!#REF!&gt;(TODAY()-(Data_Val!$M$3*365.25)),Data!#REF!&lt;=(TODAY()-(Data_Val!$M$2*365.25))),0,1),1))</f>
        <v>#REF!</v>
      </c>
      <c r="BE752" s="12" t="e">
        <f>IF(Data!#REF!="","",IF(Data!$G752="",1,IF(ISNUMBER(MATCH(Data!#REF!,Data_Val!$D$2:$D$10,0)),0,1)))</f>
        <v>#REF!</v>
      </c>
      <c r="BF752" s="17"/>
      <c r="BG752" s="18" t="e">
        <f ca="1">IF(Data!#REF!="","",IF(ISNUMBER(Data!#REF!),IF(AND(Data!#REF!&gt;(TODAY()-(Data_Val!$M$3*365.25)),Data!#REF!&lt;=(TODAY()-(Data_Val!$M$2*365.25))),0,1),1))</f>
        <v>#REF!</v>
      </c>
      <c r="BH752" s="29" t="e">
        <f>IF(Data!#REF!="","",IF(Data!$G752="",1,IF(ISNUMBER(MATCH(Data!#REF!,Data_Val!$D$2:$D$10,0)),0,1)))</f>
        <v>#REF!</v>
      </c>
      <c r="BI752" s="13"/>
      <c r="BJ752" s="21" t="e">
        <f ca="1">IF(Data!#REF!="","",IF(ISNUMBER(Data!#REF!),IF(AND(Data!#REF!&gt;(TODAY()-(Data_Val!$M$3*365.25)),Data!#REF!&lt;=(TODAY()-(Data_Val!$M$2*365.25))),0,1),1))</f>
        <v>#REF!</v>
      </c>
      <c r="BK752" s="13" t="e">
        <f>IF(Data!#REF!="","",IF(Data!$G752="",1,IF(ISNUMBER(MATCH(Data!#REF!,Data_Val!$D$2:$D$10,0)),0,1)))</f>
        <v>#REF!</v>
      </c>
    </row>
    <row r="753" spans="1:63" x14ac:dyDescent="0.25">
      <c r="A753" s="9" t="str">
        <f>IF(Data!B753="","",IF(COUNTIFS(Data!A$1:'Data'!A753,Data!A753)&lt;=1,0,1))</f>
        <v/>
      </c>
      <c r="B753" s="9"/>
      <c r="C753" s="23" t="str">
        <f>IF(Data!C753="","",(IF(ISNUMBER(MATCH("*@*.?*",Data!C753,0)),0,1)+IF(COUNTIFS(Data!C$1:'Data'!C753,Data!C753)&gt;1,1,0)))</f>
        <v/>
      </c>
      <c r="D753" s="9" t="str">
        <f>IF(Data!B753="","",IF(ISNUMBER(Data!D753),IF(AND(Data!D753&gt;999999999,Data!D753&lt;=9999999999),IF(COUNTIFS(Data!D$1:'Data'!D753,Data!D753)&lt;=1,0,1),1),1))</f>
        <v/>
      </c>
      <c r="E753" s="9" t="str">
        <f>IF(Data!B753="","",IF(ISNUMBER(MATCH(Data!E753,Data_Val!$A$2:$A$3,0)),0,1))</f>
        <v/>
      </c>
      <c r="F753" s="9" t="str">
        <f ca="1">IF(Data!B753="","",IF(ISNUMBER(Data!F753),IF(AND(Data!F753&gt;(TODAY()-(Data_Val!$H$3*365.25)),Data!F753&lt;=(TODAY()-(Data_Val!$H$2*365.25))),0,1),1))</f>
        <v/>
      </c>
      <c r="G753" s="15" t="str">
        <f>IF(Data!B753="","",IF(AND(Data!G753="",Data!H753&lt;&gt;""),1,IF(Data!#REF!&lt;&gt;"",0,IF(ISNUMBER(MATCH(Data!G753,Data_Val!$C$2:$C$5,0)),0,1))))</f>
        <v/>
      </c>
      <c r="H753" s="15" t="str">
        <f>IF(Data!B753="","",IF(AND(Data!G753&lt;&gt;"",Data!H753=""),1,IF(Data!#REF!&lt;&gt;"",0,IF(Data!G753="",1,IF(ISNUMBER(MATCH(Data!H753,Data_Val!$D$2:$D$35,0)),0,1)))))</f>
        <v/>
      </c>
      <c r="I753" s="15" t="str">
        <f>IF(Data!B753="","",IF(Data!G753&lt;&gt;"",0,IF(ISNUMBER(MATCH(Data!#REF!,Data_Val!$E$2:$E$12,0)),0,1)))</f>
        <v/>
      </c>
      <c r="J753" s="16" t="e">
        <f>IF(OR(Data!B753="",Data!#REF!=""),"",IF(Data!#REF!="",1,0))</f>
        <v>#REF!</v>
      </c>
      <c r="K753" s="16" t="e">
        <f>IF(OR(Data!B753="",Data!#REF!=""),"",IF(Data!#REF!="",1,0))</f>
        <v>#REF!</v>
      </c>
      <c r="L753" s="16" t="e">
        <f>IF(OR(Data!B753="",Data!#REF!=""),"",IF(ISNUMBER(Data!#REF!),IF(AND(Data!#REF!&gt;Data_Val!$G$2,Data!#REF!&lt;=Data_Val!$G$3),0,1),1))</f>
        <v>#REF!</v>
      </c>
      <c r="M753" s="9" t="e">
        <f>IF(OR(Data!B753="",Data!#REF!=""),"",IF(ISNUMBER(MATCH(Data!#REF!,Data_Val!$F$1:$F$38,0)),0,1))</f>
        <v>#REF!</v>
      </c>
      <c r="N753" s="9" t="e">
        <f>IF(OR(Data!B753="",Data!#REF!=""),"",IF(Data!#REF!="",1,0))</f>
        <v>#REF!</v>
      </c>
      <c r="O753" s="17" t="e">
        <f>IF(Data!#REF!="","",IF(Data!#REF!="",1,0))</f>
        <v>#REF!</v>
      </c>
      <c r="P753" s="17" t="e">
        <f>IF(Data!#REF!="","",IF(ISNUMBER(MATCH(Data!#REF!,Data_Val!$A$2:$A$3,0)),0,1))</f>
        <v>#REF!</v>
      </c>
      <c r="Q753" s="25" t="e">
        <f ca="1">IF(Data!#REF!="","",IF(ISNUMBER(Data!#REF!),IF(AND(Data!#REF!&gt;(TODAY()-(Data_Val!$J$3*365.25)),Data!#REF!&lt;=(TODAY()-(Data_Val!$J$2*365.25))),0,1),1))</f>
        <v>#REF!</v>
      </c>
      <c r="R753" s="17" t="e">
        <f>IF(Data!#REF!="","",IF(ISNUMBER(MATCH(Data!#REF!,Data_Val!$B$2:$B$15,0)),0,1))</f>
        <v>#REF!</v>
      </c>
      <c r="S753" s="11" t="str">
        <f>IF(Data!G753="","",IF(Data!G753=Data_Val!$C$2,IF(Data!M753="",0,1),0))</f>
        <v/>
      </c>
      <c r="T753" s="11" t="str">
        <f>IF(Data!M753="","",IF(ISNUMBER(MATCH(Data!N753,Data_Val!$A$2:$A$3,0)),0,1))</f>
        <v/>
      </c>
      <c r="U753" s="11" t="str">
        <f ca="1">IF(Data!M753="","",IF(ISNUMBER(Data!O753),IF(AND(Data!O753&gt;(TODAY()-(Data_Val!$K$3*365.25)),Data!O753&lt;=(TODAY()-(Data_Val!$K$2*365.25))),0,1),1))</f>
        <v/>
      </c>
      <c r="V753" s="12" t="str">
        <f>IF(Data!G753="","",IF(Data!G753=Data_Val!$C$2,IF(Data!P753="",0,1),0))</f>
        <v/>
      </c>
      <c r="W753" s="12" t="str">
        <f>IF(Data!P753="","",IF(ISNUMBER(MATCH(Data!Q753,Data_Val!$A$2:$A$3,0)),0,1))</f>
        <v/>
      </c>
      <c r="X753" s="26" t="str">
        <f ca="1">IF(Data!P753="","",IF(ISNUMBER(Data!R753),IF(AND(Data!R753&gt;(TODAY()-(Data_Val!$L$3*365.25)),Data!R753&lt;=(TODAY()-(Data_Val!$L$2*365.25))),0,1),1))</f>
        <v/>
      </c>
      <c r="Y753" s="13" t="str">
        <f>IF(Data!$G753="","",IF(Data!$G753=Data_Val!$C$2,IF(Data!S753="",0,1),0))</f>
        <v/>
      </c>
      <c r="Z753" s="13" t="str">
        <f>IF(Data!S753="","",IF(ISNUMBER(MATCH(Data!T753,Data_Val!$A$2:$A$3,0)),0,1))</f>
        <v/>
      </c>
      <c r="AA753" s="28" t="str">
        <f ca="1">IF(Data!S753="","",IF(ISNUMBER(Data!U753),IF(AND(Data!U753&gt;(TODAY()-(Data_Val!$L$3*365.25)),Data!U753&lt;=(TODAY()-(Data_Val!$L$2*365.25))),0,1),1))</f>
        <v/>
      </c>
      <c r="AB753" s="11"/>
      <c r="AC753" s="11" t="e">
        <f>IF(Data!#REF!="","",IF(ISNUMBER(MATCH(Data!#REF!,Data_Val!$A$2:$A$3,0)),0,1))</f>
        <v>#REF!</v>
      </c>
      <c r="AD753" s="11" t="e">
        <f ca="1">IF(Data!#REF!="","",IF(ISNUMBER(Data!#REF!),IF(AND(Data!#REF!&gt;(TODAY()-(Data_Val!$L$3*365.25)),Data!#REF!&lt;=(TODAY()-(Data_Val!$L$2*365.25))),0,1),1))</f>
        <v>#REF!</v>
      </c>
      <c r="AE753" s="11" t="e">
        <f>IF(Data!#REF!="","",IF(Data!$G753="",1,IF(ISNUMBER(MATCH(Data!#REF!,Data_Val!$D$2:$D$10,0)),0,1)))</f>
        <v>#REF!</v>
      </c>
      <c r="AF753" s="12"/>
      <c r="AG753" s="12" t="e">
        <f>IF(Data!#REF!="","",IF(ISNUMBER(MATCH(Data!#REF!,Data_Val!$A$2:$A$3,0)),0,1))</f>
        <v>#REF!</v>
      </c>
      <c r="AH753" s="26" t="e">
        <f ca="1">IF(Data!#REF!="","",IF(ISNUMBER(Data!#REF!),IF(AND(Data!#REF!&gt;(TODAY()-(Data_Val!$L$3*365.25)),Data!#REF!&lt;=(TODAY()-(Data_Val!$L$2*365.25))),0,1),1))</f>
        <v>#REF!</v>
      </c>
      <c r="AI753" s="12" t="e">
        <f>IF(Data!#REF!="","",IF(Data!$G753="",1,IF(ISNUMBER(MATCH(Data!#REF!,Data_Val!$D$2:$D$10,0)),0,1)))</f>
        <v>#REF!</v>
      </c>
      <c r="AJ753" s="17"/>
      <c r="AK753" s="17" t="e">
        <f>IF(Data!#REF!="","",IF(ISNUMBER(MATCH(Data!#REF!,Data_Val!$A$2:$A$3,0)),0,1))</f>
        <v>#REF!</v>
      </c>
      <c r="AL753" s="25" t="e">
        <f ca="1">IF(Data!#REF!="","",IF(ISNUMBER(Data!#REF!),IF(AND(Data!#REF!&gt;(TODAY()-(Data_Val!$L$3*365.25)),Data!#REF!&lt;=(TODAY()-(Data_Val!$L$2*365.25))),0,1),1))</f>
        <v>#REF!</v>
      </c>
      <c r="AM753" s="17" t="e">
        <f>IF(Data!#REF!="","",IF(Data!$G753="",1,IF(ISNUMBER(MATCH(Data!#REF!,Data_Val!$D$2:$D$10,0)),0,1)))</f>
        <v>#REF!</v>
      </c>
      <c r="AN753" s="13"/>
      <c r="AO753" s="28" t="e">
        <f ca="1">IF(Data!#REF!="","",IF(ISNUMBER(Data!#REF!),IF(AND(Data!#REF!&gt;(TODAY()-(Data_Val!$I$3*365.25)),Data!#REF!&lt;=(TODAY()-(Data_Val!$I$2*365.25))),0,1),1))</f>
        <v>#REF!</v>
      </c>
      <c r="AP753" s="13" t="e">
        <f>IF(Data!#REF!="","",IF(Data!$G753="",1,IF(ISNUMBER(MATCH(Data!#REF!,Data_Val!$D$2:$D$10,0)),0,1)))</f>
        <v>#REF!</v>
      </c>
      <c r="AQ753" s="17"/>
      <c r="AR753" s="30" t="e">
        <f ca="1">IF(Data!#REF!="","",IF(ISNUMBER(Data!#REF!),IF(AND(Data!#REF!&gt;(TODAY()-(Data_Val!$I$3*365.25)),Data!#REF!&lt;=(TODAY()-(Data_Val!$I$2*365.25))),0,1),1))</f>
        <v>#REF!</v>
      </c>
      <c r="AS753" s="31" t="e">
        <f>IF(Data!#REF!="","",IF(Data!$G753="",1,IF(ISNUMBER(MATCH(Data!#REF!,Data_Val!$D$2:$D$10,0)),0,1)))</f>
        <v>#REF!</v>
      </c>
      <c r="AT753" s="11"/>
      <c r="AU753" s="11" t="e">
        <f ca="1">IF(Data!#REF!="","",IF(ISNUMBER(Data!#REF!),IF(AND(Data!#REF!&gt;(TODAY()-(Data_Val!$I$3*365.25)),Data!#REF!&lt;=(TODAY()-(Data_Val!$I$2*365.25))),0,1),1))</f>
        <v>#REF!</v>
      </c>
      <c r="AV753" s="11" t="e">
        <f>IF(Data!#REF!="","",IF(Data!$G753="",1,IF(ISNUMBER(MATCH(Data!#REF!,Data_Val!$D$2:$D$10,0)),0,1)))</f>
        <v>#REF!</v>
      </c>
      <c r="AW753" s="12"/>
      <c r="AX753" s="26" t="e">
        <f ca="1">IF(Data!#REF!="","",IF(ISNUMBER(Data!#REF!),IF(AND(Data!#REF!&gt;(TODAY()-(Data_Val!$I$3*365.25)),Data!#REF!&lt;=(TODAY()-(Data_Val!$I$2*365.25))),0,1),1))</f>
        <v>#REF!</v>
      </c>
      <c r="AY753" s="12" t="e">
        <f>IF(Data!#REF!="","",IF(Data!$G753="",1,IF(ISNUMBER(MATCH(Data!#REF!,Data_Val!$D$2:$D$10,0)),0,1)))</f>
        <v>#REF!</v>
      </c>
      <c r="AZ753" s="11"/>
      <c r="BA753" s="19" t="e">
        <f ca="1">IF(Data!#REF!="","",IF(ISNUMBER(Data!#REF!),IF(AND(Data!#REF!&gt;(TODAY()-(Data_Val!$M$3*365.25)),Data!#REF!&lt;=(TODAY()-(Data_Val!$M$2*365.25))),0,1),1))</f>
        <v>#REF!</v>
      </c>
      <c r="BB753" s="11" t="e">
        <f>IF(Data!#REF!="","",IF(Data!$G753="",1,IF(ISNUMBER(MATCH(Data!#REF!,Data_Val!$D$2:$D$10,0)),0,1)))</f>
        <v>#REF!</v>
      </c>
      <c r="BC753" s="12"/>
      <c r="BD753" s="20" t="e">
        <f ca="1">IF(Data!#REF!="","",IF(ISNUMBER(Data!#REF!),IF(AND(Data!#REF!&gt;(TODAY()-(Data_Val!$M$3*365.25)),Data!#REF!&lt;=(TODAY()-(Data_Val!$M$2*365.25))),0,1),1))</f>
        <v>#REF!</v>
      </c>
      <c r="BE753" s="12" t="e">
        <f>IF(Data!#REF!="","",IF(Data!$G753="",1,IF(ISNUMBER(MATCH(Data!#REF!,Data_Val!$D$2:$D$10,0)),0,1)))</f>
        <v>#REF!</v>
      </c>
      <c r="BF753" s="17"/>
      <c r="BG753" s="18" t="e">
        <f ca="1">IF(Data!#REF!="","",IF(ISNUMBER(Data!#REF!),IF(AND(Data!#REF!&gt;(TODAY()-(Data_Val!$M$3*365.25)),Data!#REF!&lt;=(TODAY()-(Data_Val!$M$2*365.25))),0,1),1))</f>
        <v>#REF!</v>
      </c>
      <c r="BH753" s="29" t="e">
        <f>IF(Data!#REF!="","",IF(Data!$G753="",1,IF(ISNUMBER(MATCH(Data!#REF!,Data_Val!$D$2:$D$10,0)),0,1)))</f>
        <v>#REF!</v>
      </c>
      <c r="BI753" s="13"/>
      <c r="BJ753" s="21" t="e">
        <f ca="1">IF(Data!#REF!="","",IF(ISNUMBER(Data!#REF!),IF(AND(Data!#REF!&gt;(TODAY()-(Data_Val!$M$3*365.25)),Data!#REF!&lt;=(TODAY()-(Data_Val!$M$2*365.25))),0,1),1))</f>
        <v>#REF!</v>
      </c>
      <c r="BK753" s="13" t="e">
        <f>IF(Data!#REF!="","",IF(Data!$G753="",1,IF(ISNUMBER(MATCH(Data!#REF!,Data_Val!$D$2:$D$10,0)),0,1)))</f>
        <v>#REF!</v>
      </c>
    </row>
    <row r="754" spans="1:63" x14ac:dyDescent="0.25">
      <c r="A754" s="9" t="str">
        <f>IF(Data!B754="","",IF(COUNTIFS(Data!A$1:'Data'!A754,Data!A754)&lt;=1,0,1))</f>
        <v/>
      </c>
      <c r="B754" s="9"/>
      <c r="C754" s="23" t="str">
        <f>IF(Data!C754="","",(IF(ISNUMBER(MATCH("*@*.?*",Data!C754,0)),0,1)+IF(COUNTIFS(Data!C$1:'Data'!C754,Data!C754)&gt;1,1,0)))</f>
        <v/>
      </c>
      <c r="D754" s="9" t="str">
        <f>IF(Data!B754="","",IF(ISNUMBER(Data!D754),IF(AND(Data!D754&gt;999999999,Data!D754&lt;=9999999999),IF(COUNTIFS(Data!D$1:'Data'!D754,Data!D754)&lt;=1,0,1),1),1))</f>
        <v/>
      </c>
      <c r="E754" s="9" t="str">
        <f>IF(Data!B754="","",IF(ISNUMBER(MATCH(Data!E754,Data_Val!$A$2:$A$3,0)),0,1))</f>
        <v/>
      </c>
      <c r="F754" s="9" t="str">
        <f ca="1">IF(Data!B754="","",IF(ISNUMBER(Data!F754),IF(AND(Data!F754&gt;(TODAY()-(Data_Val!$H$3*365.25)),Data!F754&lt;=(TODAY()-(Data_Val!$H$2*365.25))),0,1),1))</f>
        <v/>
      </c>
      <c r="G754" s="15" t="str">
        <f>IF(Data!B754="","",IF(AND(Data!G754="",Data!H754&lt;&gt;""),1,IF(Data!#REF!&lt;&gt;"",0,IF(ISNUMBER(MATCH(Data!G754,Data_Val!$C$2:$C$5,0)),0,1))))</f>
        <v/>
      </c>
      <c r="H754" s="15" t="str">
        <f>IF(Data!B754="","",IF(AND(Data!G754&lt;&gt;"",Data!H754=""),1,IF(Data!#REF!&lt;&gt;"",0,IF(Data!G754="",1,IF(ISNUMBER(MATCH(Data!H754,Data_Val!$D$2:$D$35,0)),0,1)))))</f>
        <v/>
      </c>
      <c r="I754" s="15" t="str">
        <f>IF(Data!B754="","",IF(Data!G754&lt;&gt;"",0,IF(ISNUMBER(MATCH(Data!#REF!,Data_Val!$E$2:$E$12,0)),0,1)))</f>
        <v/>
      </c>
      <c r="J754" s="16" t="e">
        <f>IF(OR(Data!B754="",Data!#REF!=""),"",IF(Data!#REF!="",1,0))</f>
        <v>#REF!</v>
      </c>
      <c r="K754" s="16" t="e">
        <f>IF(OR(Data!B754="",Data!#REF!=""),"",IF(Data!#REF!="",1,0))</f>
        <v>#REF!</v>
      </c>
      <c r="L754" s="16" t="e">
        <f>IF(OR(Data!B754="",Data!#REF!=""),"",IF(ISNUMBER(Data!#REF!),IF(AND(Data!#REF!&gt;Data_Val!$G$2,Data!#REF!&lt;=Data_Val!$G$3),0,1),1))</f>
        <v>#REF!</v>
      </c>
      <c r="M754" s="9" t="e">
        <f>IF(OR(Data!B754="",Data!#REF!=""),"",IF(ISNUMBER(MATCH(Data!#REF!,Data_Val!$F$1:$F$38,0)),0,1))</f>
        <v>#REF!</v>
      </c>
      <c r="N754" s="9" t="e">
        <f>IF(OR(Data!B754="",Data!#REF!=""),"",IF(Data!#REF!="",1,0))</f>
        <v>#REF!</v>
      </c>
      <c r="O754" s="17" t="e">
        <f>IF(Data!#REF!="","",IF(Data!#REF!="",1,0))</f>
        <v>#REF!</v>
      </c>
      <c r="P754" s="17" t="e">
        <f>IF(Data!#REF!="","",IF(ISNUMBER(MATCH(Data!#REF!,Data_Val!$A$2:$A$3,0)),0,1))</f>
        <v>#REF!</v>
      </c>
      <c r="Q754" s="25" t="e">
        <f ca="1">IF(Data!#REF!="","",IF(ISNUMBER(Data!#REF!),IF(AND(Data!#REF!&gt;(TODAY()-(Data_Val!$J$3*365.25)),Data!#REF!&lt;=(TODAY()-(Data_Val!$J$2*365.25))),0,1),1))</f>
        <v>#REF!</v>
      </c>
      <c r="R754" s="17" t="e">
        <f>IF(Data!#REF!="","",IF(ISNUMBER(MATCH(Data!#REF!,Data_Val!$B$2:$B$15,0)),0,1))</f>
        <v>#REF!</v>
      </c>
      <c r="S754" s="11" t="str">
        <f>IF(Data!G754="","",IF(Data!G754=Data_Val!$C$2,IF(Data!M754="",0,1),0))</f>
        <v/>
      </c>
      <c r="T754" s="11" t="str">
        <f>IF(Data!M754="","",IF(ISNUMBER(MATCH(Data!N754,Data_Val!$A$2:$A$3,0)),0,1))</f>
        <v/>
      </c>
      <c r="U754" s="11" t="str">
        <f ca="1">IF(Data!M754="","",IF(ISNUMBER(Data!O754),IF(AND(Data!O754&gt;(TODAY()-(Data_Val!$K$3*365.25)),Data!O754&lt;=(TODAY()-(Data_Val!$K$2*365.25))),0,1),1))</f>
        <v/>
      </c>
      <c r="V754" s="12" t="str">
        <f>IF(Data!G754="","",IF(Data!G754=Data_Val!$C$2,IF(Data!P754="",0,1),0))</f>
        <v/>
      </c>
      <c r="W754" s="12" t="str">
        <f>IF(Data!P754="","",IF(ISNUMBER(MATCH(Data!Q754,Data_Val!$A$2:$A$3,0)),0,1))</f>
        <v/>
      </c>
      <c r="X754" s="26" t="str">
        <f ca="1">IF(Data!P754="","",IF(ISNUMBER(Data!R754),IF(AND(Data!R754&gt;(TODAY()-(Data_Val!$L$3*365.25)),Data!R754&lt;=(TODAY()-(Data_Val!$L$2*365.25))),0,1),1))</f>
        <v/>
      </c>
      <c r="Y754" s="13" t="str">
        <f>IF(Data!$G754="","",IF(Data!$G754=Data_Val!$C$2,IF(Data!S754="",0,1),0))</f>
        <v/>
      </c>
      <c r="Z754" s="13" t="str">
        <f>IF(Data!S754="","",IF(ISNUMBER(MATCH(Data!T754,Data_Val!$A$2:$A$3,0)),0,1))</f>
        <v/>
      </c>
      <c r="AA754" s="28" t="str">
        <f ca="1">IF(Data!S754="","",IF(ISNUMBER(Data!U754),IF(AND(Data!U754&gt;(TODAY()-(Data_Val!$L$3*365.25)),Data!U754&lt;=(TODAY()-(Data_Val!$L$2*365.25))),0,1),1))</f>
        <v/>
      </c>
      <c r="AB754" s="11"/>
      <c r="AC754" s="11" t="e">
        <f>IF(Data!#REF!="","",IF(ISNUMBER(MATCH(Data!#REF!,Data_Val!$A$2:$A$3,0)),0,1))</f>
        <v>#REF!</v>
      </c>
      <c r="AD754" s="11" t="e">
        <f ca="1">IF(Data!#REF!="","",IF(ISNUMBER(Data!#REF!),IF(AND(Data!#REF!&gt;(TODAY()-(Data_Val!$L$3*365.25)),Data!#REF!&lt;=(TODAY()-(Data_Val!$L$2*365.25))),0,1),1))</f>
        <v>#REF!</v>
      </c>
      <c r="AE754" s="11" t="e">
        <f>IF(Data!#REF!="","",IF(Data!$G754="",1,IF(ISNUMBER(MATCH(Data!#REF!,Data_Val!$D$2:$D$10,0)),0,1)))</f>
        <v>#REF!</v>
      </c>
      <c r="AF754" s="12"/>
      <c r="AG754" s="12" t="e">
        <f>IF(Data!#REF!="","",IF(ISNUMBER(MATCH(Data!#REF!,Data_Val!$A$2:$A$3,0)),0,1))</f>
        <v>#REF!</v>
      </c>
      <c r="AH754" s="26" t="e">
        <f ca="1">IF(Data!#REF!="","",IF(ISNUMBER(Data!#REF!),IF(AND(Data!#REF!&gt;(TODAY()-(Data_Val!$L$3*365.25)),Data!#REF!&lt;=(TODAY()-(Data_Val!$L$2*365.25))),0,1),1))</f>
        <v>#REF!</v>
      </c>
      <c r="AI754" s="12" t="e">
        <f>IF(Data!#REF!="","",IF(Data!$G754="",1,IF(ISNUMBER(MATCH(Data!#REF!,Data_Val!$D$2:$D$10,0)),0,1)))</f>
        <v>#REF!</v>
      </c>
      <c r="AJ754" s="17"/>
      <c r="AK754" s="17" t="e">
        <f>IF(Data!#REF!="","",IF(ISNUMBER(MATCH(Data!#REF!,Data_Val!$A$2:$A$3,0)),0,1))</f>
        <v>#REF!</v>
      </c>
      <c r="AL754" s="25" t="e">
        <f ca="1">IF(Data!#REF!="","",IF(ISNUMBER(Data!#REF!),IF(AND(Data!#REF!&gt;(TODAY()-(Data_Val!$L$3*365.25)),Data!#REF!&lt;=(TODAY()-(Data_Val!$L$2*365.25))),0,1),1))</f>
        <v>#REF!</v>
      </c>
      <c r="AM754" s="17" t="e">
        <f>IF(Data!#REF!="","",IF(Data!$G754="",1,IF(ISNUMBER(MATCH(Data!#REF!,Data_Val!$D$2:$D$10,0)),0,1)))</f>
        <v>#REF!</v>
      </c>
      <c r="AN754" s="13"/>
      <c r="AO754" s="28" t="e">
        <f ca="1">IF(Data!#REF!="","",IF(ISNUMBER(Data!#REF!),IF(AND(Data!#REF!&gt;(TODAY()-(Data_Val!$I$3*365.25)),Data!#REF!&lt;=(TODAY()-(Data_Val!$I$2*365.25))),0,1),1))</f>
        <v>#REF!</v>
      </c>
      <c r="AP754" s="13" t="e">
        <f>IF(Data!#REF!="","",IF(Data!$G754="",1,IF(ISNUMBER(MATCH(Data!#REF!,Data_Val!$D$2:$D$10,0)),0,1)))</f>
        <v>#REF!</v>
      </c>
      <c r="AQ754" s="17"/>
      <c r="AR754" s="30" t="e">
        <f ca="1">IF(Data!#REF!="","",IF(ISNUMBER(Data!#REF!),IF(AND(Data!#REF!&gt;(TODAY()-(Data_Val!$I$3*365.25)),Data!#REF!&lt;=(TODAY()-(Data_Val!$I$2*365.25))),0,1),1))</f>
        <v>#REF!</v>
      </c>
      <c r="AS754" s="31" t="e">
        <f>IF(Data!#REF!="","",IF(Data!$G754="",1,IF(ISNUMBER(MATCH(Data!#REF!,Data_Val!$D$2:$D$10,0)),0,1)))</f>
        <v>#REF!</v>
      </c>
      <c r="AT754" s="11"/>
      <c r="AU754" s="11" t="e">
        <f ca="1">IF(Data!#REF!="","",IF(ISNUMBER(Data!#REF!),IF(AND(Data!#REF!&gt;(TODAY()-(Data_Val!$I$3*365.25)),Data!#REF!&lt;=(TODAY()-(Data_Val!$I$2*365.25))),0,1),1))</f>
        <v>#REF!</v>
      </c>
      <c r="AV754" s="11" t="e">
        <f>IF(Data!#REF!="","",IF(Data!$G754="",1,IF(ISNUMBER(MATCH(Data!#REF!,Data_Val!$D$2:$D$10,0)),0,1)))</f>
        <v>#REF!</v>
      </c>
      <c r="AW754" s="12"/>
      <c r="AX754" s="26" t="e">
        <f ca="1">IF(Data!#REF!="","",IF(ISNUMBER(Data!#REF!),IF(AND(Data!#REF!&gt;(TODAY()-(Data_Val!$I$3*365.25)),Data!#REF!&lt;=(TODAY()-(Data_Val!$I$2*365.25))),0,1),1))</f>
        <v>#REF!</v>
      </c>
      <c r="AY754" s="12" t="e">
        <f>IF(Data!#REF!="","",IF(Data!$G754="",1,IF(ISNUMBER(MATCH(Data!#REF!,Data_Val!$D$2:$D$10,0)),0,1)))</f>
        <v>#REF!</v>
      </c>
      <c r="AZ754" s="11"/>
      <c r="BA754" s="19" t="e">
        <f ca="1">IF(Data!#REF!="","",IF(ISNUMBER(Data!#REF!),IF(AND(Data!#REF!&gt;(TODAY()-(Data_Val!$M$3*365.25)),Data!#REF!&lt;=(TODAY()-(Data_Val!$M$2*365.25))),0,1),1))</f>
        <v>#REF!</v>
      </c>
      <c r="BB754" s="11" t="e">
        <f>IF(Data!#REF!="","",IF(Data!$G754="",1,IF(ISNUMBER(MATCH(Data!#REF!,Data_Val!$D$2:$D$10,0)),0,1)))</f>
        <v>#REF!</v>
      </c>
      <c r="BC754" s="12"/>
      <c r="BD754" s="20" t="e">
        <f ca="1">IF(Data!#REF!="","",IF(ISNUMBER(Data!#REF!),IF(AND(Data!#REF!&gt;(TODAY()-(Data_Val!$M$3*365.25)),Data!#REF!&lt;=(TODAY()-(Data_Val!$M$2*365.25))),0,1),1))</f>
        <v>#REF!</v>
      </c>
      <c r="BE754" s="12" t="e">
        <f>IF(Data!#REF!="","",IF(Data!$G754="",1,IF(ISNUMBER(MATCH(Data!#REF!,Data_Val!$D$2:$D$10,0)),0,1)))</f>
        <v>#REF!</v>
      </c>
      <c r="BF754" s="17"/>
      <c r="BG754" s="18" t="e">
        <f ca="1">IF(Data!#REF!="","",IF(ISNUMBER(Data!#REF!),IF(AND(Data!#REF!&gt;(TODAY()-(Data_Val!$M$3*365.25)),Data!#REF!&lt;=(TODAY()-(Data_Val!$M$2*365.25))),0,1),1))</f>
        <v>#REF!</v>
      </c>
      <c r="BH754" s="29" t="e">
        <f>IF(Data!#REF!="","",IF(Data!$G754="",1,IF(ISNUMBER(MATCH(Data!#REF!,Data_Val!$D$2:$D$10,0)),0,1)))</f>
        <v>#REF!</v>
      </c>
      <c r="BI754" s="13"/>
      <c r="BJ754" s="21" t="e">
        <f ca="1">IF(Data!#REF!="","",IF(ISNUMBER(Data!#REF!),IF(AND(Data!#REF!&gt;(TODAY()-(Data_Val!$M$3*365.25)),Data!#REF!&lt;=(TODAY()-(Data_Val!$M$2*365.25))),0,1),1))</f>
        <v>#REF!</v>
      </c>
      <c r="BK754" s="13" t="e">
        <f>IF(Data!#REF!="","",IF(Data!$G754="",1,IF(ISNUMBER(MATCH(Data!#REF!,Data_Val!$D$2:$D$10,0)),0,1)))</f>
        <v>#REF!</v>
      </c>
    </row>
    <row r="755" spans="1:63" x14ac:dyDescent="0.25">
      <c r="A755" s="9" t="str">
        <f>IF(Data!B755="","",IF(COUNTIFS(Data!A$1:'Data'!A755,Data!A755)&lt;=1,0,1))</f>
        <v/>
      </c>
      <c r="B755" s="9"/>
      <c r="C755" s="23" t="str">
        <f>IF(Data!C755="","",(IF(ISNUMBER(MATCH("*@*.?*",Data!C755,0)),0,1)+IF(COUNTIFS(Data!C$1:'Data'!C755,Data!C755)&gt;1,1,0)))</f>
        <v/>
      </c>
      <c r="D755" s="9" t="str">
        <f>IF(Data!B755="","",IF(ISNUMBER(Data!D755),IF(AND(Data!D755&gt;999999999,Data!D755&lt;=9999999999),IF(COUNTIFS(Data!D$1:'Data'!D755,Data!D755)&lt;=1,0,1),1),1))</f>
        <v/>
      </c>
      <c r="E755" s="9" t="str">
        <f>IF(Data!B755="","",IF(ISNUMBER(MATCH(Data!E755,Data_Val!$A$2:$A$3,0)),0,1))</f>
        <v/>
      </c>
      <c r="F755" s="9" t="str">
        <f ca="1">IF(Data!B755="","",IF(ISNUMBER(Data!F755),IF(AND(Data!F755&gt;(TODAY()-(Data_Val!$H$3*365.25)),Data!F755&lt;=(TODAY()-(Data_Val!$H$2*365.25))),0,1),1))</f>
        <v/>
      </c>
      <c r="G755" s="15" t="str">
        <f>IF(Data!B755="","",IF(AND(Data!G755="",Data!H755&lt;&gt;""),1,IF(Data!#REF!&lt;&gt;"",0,IF(ISNUMBER(MATCH(Data!G755,Data_Val!$C$2:$C$5,0)),0,1))))</f>
        <v/>
      </c>
      <c r="H755" s="15" t="str">
        <f>IF(Data!B755="","",IF(AND(Data!G755&lt;&gt;"",Data!H755=""),1,IF(Data!#REF!&lt;&gt;"",0,IF(Data!G755="",1,IF(ISNUMBER(MATCH(Data!H755,Data_Val!$D$2:$D$35,0)),0,1)))))</f>
        <v/>
      </c>
      <c r="I755" s="15" t="str">
        <f>IF(Data!B755="","",IF(Data!G755&lt;&gt;"",0,IF(ISNUMBER(MATCH(Data!#REF!,Data_Val!$E$2:$E$12,0)),0,1)))</f>
        <v/>
      </c>
      <c r="J755" s="16" t="e">
        <f>IF(OR(Data!B755="",Data!#REF!=""),"",IF(Data!#REF!="",1,0))</f>
        <v>#REF!</v>
      </c>
      <c r="K755" s="16" t="e">
        <f>IF(OR(Data!B755="",Data!#REF!=""),"",IF(Data!#REF!="",1,0))</f>
        <v>#REF!</v>
      </c>
      <c r="L755" s="16" t="e">
        <f>IF(OR(Data!B755="",Data!#REF!=""),"",IF(ISNUMBER(Data!#REF!),IF(AND(Data!#REF!&gt;Data_Val!$G$2,Data!#REF!&lt;=Data_Val!$G$3),0,1),1))</f>
        <v>#REF!</v>
      </c>
      <c r="M755" s="9" t="e">
        <f>IF(OR(Data!B755="",Data!#REF!=""),"",IF(ISNUMBER(MATCH(Data!#REF!,Data_Val!$F$1:$F$38,0)),0,1))</f>
        <v>#REF!</v>
      </c>
      <c r="N755" s="9" t="e">
        <f>IF(OR(Data!B755="",Data!#REF!=""),"",IF(Data!#REF!="",1,0))</f>
        <v>#REF!</v>
      </c>
      <c r="O755" s="17" t="e">
        <f>IF(Data!#REF!="","",IF(Data!#REF!="",1,0))</f>
        <v>#REF!</v>
      </c>
      <c r="P755" s="17" t="e">
        <f>IF(Data!#REF!="","",IF(ISNUMBER(MATCH(Data!#REF!,Data_Val!$A$2:$A$3,0)),0,1))</f>
        <v>#REF!</v>
      </c>
      <c r="Q755" s="25" t="e">
        <f ca="1">IF(Data!#REF!="","",IF(ISNUMBER(Data!#REF!),IF(AND(Data!#REF!&gt;(TODAY()-(Data_Val!$J$3*365.25)),Data!#REF!&lt;=(TODAY()-(Data_Val!$J$2*365.25))),0,1),1))</f>
        <v>#REF!</v>
      </c>
      <c r="R755" s="17" t="e">
        <f>IF(Data!#REF!="","",IF(ISNUMBER(MATCH(Data!#REF!,Data_Val!$B$2:$B$15,0)),0,1))</f>
        <v>#REF!</v>
      </c>
      <c r="S755" s="11" t="str">
        <f>IF(Data!G755="","",IF(Data!G755=Data_Val!$C$2,IF(Data!M755="",0,1),0))</f>
        <v/>
      </c>
      <c r="T755" s="11" t="str">
        <f>IF(Data!M755="","",IF(ISNUMBER(MATCH(Data!N755,Data_Val!$A$2:$A$3,0)),0,1))</f>
        <v/>
      </c>
      <c r="U755" s="11" t="str">
        <f ca="1">IF(Data!M755="","",IF(ISNUMBER(Data!O755),IF(AND(Data!O755&gt;(TODAY()-(Data_Val!$K$3*365.25)),Data!O755&lt;=(TODAY()-(Data_Val!$K$2*365.25))),0,1),1))</f>
        <v/>
      </c>
      <c r="V755" s="12" t="str">
        <f>IF(Data!G755="","",IF(Data!G755=Data_Val!$C$2,IF(Data!P755="",0,1),0))</f>
        <v/>
      </c>
      <c r="W755" s="12" t="str">
        <f>IF(Data!P755="","",IF(ISNUMBER(MATCH(Data!Q755,Data_Val!$A$2:$A$3,0)),0,1))</f>
        <v/>
      </c>
      <c r="X755" s="26" t="str">
        <f ca="1">IF(Data!P755="","",IF(ISNUMBER(Data!R755),IF(AND(Data!R755&gt;(TODAY()-(Data_Val!$L$3*365.25)),Data!R755&lt;=(TODAY()-(Data_Val!$L$2*365.25))),0,1),1))</f>
        <v/>
      </c>
      <c r="Y755" s="13" t="str">
        <f>IF(Data!$G755="","",IF(Data!$G755=Data_Val!$C$2,IF(Data!S755="",0,1),0))</f>
        <v/>
      </c>
      <c r="Z755" s="13" t="str">
        <f>IF(Data!S755="","",IF(ISNUMBER(MATCH(Data!T755,Data_Val!$A$2:$A$3,0)),0,1))</f>
        <v/>
      </c>
      <c r="AA755" s="28" t="str">
        <f ca="1">IF(Data!S755="","",IF(ISNUMBER(Data!U755),IF(AND(Data!U755&gt;(TODAY()-(Data_Val!$L$3*365.25)),Data!U755&lt;=(TODAY()-(Data_Val!$L$2*365.25))),0,1),1))</f>
        <v/>
      </c>
      <c r="AB755" s="11"/>
      <c r="AC755" s="11" t="e">
        <f>IF(Data!#REF!="","",IF(ISNUMBER(MATCH(Data!#REF!,Data_Val!$A$2:$A$3,0)),0,1))</f>
        <v>#REF!</v>
      </c>
      <c r="AD755" s="11" t="e">
        <f ca="1">IF(Data!#REF!="","",IF(ISNUMBER(Data!#REF!),IF(AND(Data!#REF!&gt;(TODAY()-(Data_Val!$L$3*365.25)),Data!#REF!&lt;=(TODAY()-(Data_Val!$L$2*365.25))),0,1),1))</f>
        <v>#REF!</v>
      </c>
      <c r="AE755" s="11" t="e">
        <f>IF(Data!#REF!="","",IF(Data!$G755="",1,IF(ISNUMBER(MATCH(Data!#REF!,Data_Val!$D$2:$D$10,0)),0,1)))</f>
        <v>#REF!</v>
      </c>
      <c r="AF755" s="12"/>
      <c r="AG755" s="12" t="e">
        <f>IF(Data!#REF!="","",IF(ISNUMBER(MATCH(Data!#REF!,Data_Val!$A$2:$A$3,0)),0,1))</f>
        <v>#REF!</v>
      </c>
      <c r="AH755" s="26" t="e">
        <f ca="1">IF(Data!#REF!="","",IF(ISNUMBER(Data!#REF!),IF(AND(Data!#REF!&gt;(TODAY()-(Data_Val!$L$3*365.25)),Data!#REF!&lt;=(TODAY()-(Data_Val!$L$2*365.25))),0,1),1))</f>
        <v>#REF!</v>
      </c>
      <c r="AI755" s="12" t="e">
        <f>IF(Data!#REF!="","",IF(Data!$G755="",1,IF(ISNUMBER(MATCH(Data!#REF!,Data_Val!$D$2:$D$10,0)),0,1)))</f>
        <v>#REF!</v>
      </c>
      <c r="AJ755" s="17"/>
      <c r="AK755" s="17" t="e">
        <f>IF(Data!#REF!="","",IF(ISNUMBER(MATCH(Data!#REF!,Data_Val!$A$2:$A$3,0)),0,1))</f>
        <v>#REF!</v>
      </c>
      <c r="AL755" s="25" t="e">
        <f ca="1">IF(Data!#REF!="","",IF(ISNUMBER(Data!#REF!),IF(AND(Data!#REF!&gt;(TODAY()-(Data_Val!$L$3*365.25)),Data!#REF!&lt;=(TODAY()-(Data_Val!$L$2*365.25))),0,1),1))</f>
        <v>#REF!</v>
      </c>
      <c r="AM755" s="17" t="e">
        <f>IF(Data!#REF!="","",IF(Data!$G755="",1,IF(ISNUMBER(MATCH(Data!#REF!,Data_Val!$D$2:$D$10,0)),0,1)))</f>
        <v>#REF!</v>
      </c>
      <c r="AN755" s="13"/>
      <c r="AO755" s="28" t="e">
        <f ca="1">IF(Data!#REF!="","",IF(ISNUMBER(Data!#REF!),IF(AND(Data!#REF!&gt;(TODAY()-(Data_Val!$I$3*365.25)),Data!#REF!&lt;=(TODAY()-(Data_Val!$I$2*365.25))),0,1),1))</f>
        <v>#REF!</v>
      </c>
      <c r="AP755" s="13" t="e">
        <f>IF(Data!#REF!="","",IF(Data!$G755="",1,IF(ISNUMBER(MATCH(Data!#REF!,Data_Val!$D$2:$D$10,0)),0,1)))</f>
        <v>#REF!</v>
      </c>
      <c r="AQ755" s="17"/>
      <c r="AR755" s="30" t="e">
        <f ca="1">IF(Data!#REF!="","",IF(ISNUMBER(Data!#REF!),IF(AND(Data!#REF!&gt;(TODAY()-(Data_Val!$I$3*365.25)),Data!#REF!&lt;=(TODAY()-(Data_Val!$I$2*365.25))),0,1),1))</f>
        <v>#REF!</v>
      </c>
      <c r="AS755" s="31" t="e">
        <f>IF(Data!#REF!="","",IF(Data!$G755="",1,IF(ISNUMBER(MATCH(Data!#REF!,Data_Val!$D$2:$D$10,0)),0,1)))</f>
        <v>#REF!</v>
      </c>
      <c r="AT755" s="11"/>
      <c r="AU755" s="11" t="e">
        <f ca="1">IF(Data!#REF!="","",IF(ISNUMBER(Data!#REF!),IF(AND(Data!#REF!&gt;(TODAY()-(Data_Val!$I$3*365.25)),Data!#REF!&lt;=(TODAY()-(Data_Val!$I$2*365.25))),0,1),1))</f>
        <v>#REF!</v>
      </c>
      <c r="AV755" s="11" t="e">
        <f>IF(Data!#REF!="","",IF(Data!$G755="",1,IF(ISNUMBER(MATCH(Data!#REF!,Data_Val!$D$2:$D$10,0)),0,1)))</f>
        <v>#REF!</v>
      </c>
      <c r="AW755" s="12"/>
      <c r="AX755" s="26" t="e">
        <f ca="1">IF(Data!#REF!="","",IF(ISNUMBER(Data!#REF!),IF(AND(Data!#REF!&gt;(TODAY()-(Data_Val!$I$3*365.25)),Data!#REF!&lt;=(TODAY()-(Data_Val!$I$2*365.25))),0,1),1))</f>
        <v>#REF!</v>
      </c>
      <c r="AY755" s="12" t="e">
        <f>IF(Data!#REF!="","",IF(Data!$G755="",1,IF(ISNUMBER(MATCH(Data!#REF!,Data_Val!$D$2:$D$10,0)),0,1)))</f>
        <v>#REF!</v>
      </c>
      <c r="AZ755" s="11"/>
      <c r="BA755" s="19" t="e">
        <f ca="1">IF(Data!#REF!="","",IF(ISNUMBER(Data!#REF!),IF(AND(Data!#REF!&gt;(TODAY()-(Data_Val!$M$3*365.25)),Data!#REF!&lt;=(TODAY()-(Data_Val!$M$2*365.25))),0,1),1))</f>
        <v>#REF!</v>
      </c>
      <c r="BB755" s="11" t="e">
        <f>IF(Data!#REF!="","",IF(Data!$G755="",1,IF(ISNUMBER(MATCH(Data!#REF!,Data_Val!$D$2:$D$10,0)),0,1)))</f>
        <v>#REF!</v>
      </c>
      <c r="BC755" s="12"/>
      <c r="BD755" s="20" t="e">
        <f ca="1">IF(Data!#REF!="","",IF(ISNUMBER(Data!#REF!),IF(AND(Data!#REF!&gt;(TODAY()-(Data_Val!$M$3*365.25)),Data!#REF!&lt;=(TODAY()-(Data_Val!$M$2*365.25))),0,1),1))</f>
        <v>#REF!</v>
      </c>
      <c r="BE755" s="12" t="e">
        <f>IF(Data!#REF!="","",IF(Data!$G755="",1,IF(ISNUMBER(MATCH(Data!#REF!,Data_Val!$D$2:$D$10,0)),0,1)))</f>
        <v>#REF!</v>
      </c>
      <c r="BF755" s="17"/>
      <c r="BG755" s="18" t="e">
        <f ca="1">IF(Data!#REF!="","",IF(ISNUMBER(Data!#REF!),IF(AND(Data!#REF!&gt;(TODAY()-(Data_Val!$M$3*365.25)),Data!#REF!&lt;=(TODAY()-(Data_Val!$M$2*365.25))),0,1),1))</f>
        <v>#REF!</v>
      </c>
      <c r="BH755" s="29" t="e">
        <f>IF(Data!#REF!="","",IF(Data!$G755="",1,IF(ISNUMBER(MATCH(Data!#REF!,Data_Val!$D$2:$D$10,0)),0,1)))</f>
        <v>#REF!</v>
      </c>
      <c r="BI755" s="13"/>
      <c r="BJ755" s="21" t="e">
        <f ca="1">IF(Data!#REF!="","",IF(ISNUMBER(Data!#REF!),IF(AND(Data!#REF!&gt;(TODAY()-(Data_Val!$M$3*365.25)),Data!#REF!&lt;=(TODAY()-(Data_Val!$M$2*365.25))),0,1),1))</f>
        <v>#REF!</v>
      </c>
      <c r="BK755" s="13" t="e">
        <f>IF(Data!#REF!="","",IF(Data!$G755="",1,IF(ISNUMBER(MATCH(Data!#REF!,Data_Val!$D$2:$D$10,0)),0,1)))</f>
        <v>#REF!</v>
      </c>
    </row>
    <row r="756" spans="1:63" x14ac:dyDescent="0.25">
      <c r="A756" s="9" t="str">
        <f>IF(Data!B756="","",IF(COUNTIFS(Data!A$1:'Data'!A756,Data!A756)&lt;=1,0,1))</f>
        <v/>
      </c>
      <c r="B756" s="9"/>
      <c r="C756" s="23" t="str">
        <f>IF(Data!C756="","",(IF(ISNUMBER(MATCH("*@*.?*",Data!C756,0)),0,1)+IF(COUNTIFS(Data!C$1:'Data'!C756,Data!C756)&gt;1,1,0)))</f>
        <v/>
      </c>
      <c r="D756" s="9" t="str">
        <f>IF(Data!B756="","",IF(ISNUMBER(Data!D756),IF(AND(Data!D756&gt;999999999,Data!D756&lt;=9999999999),IF(COUNTIFS(Data!D$1:'Data'!D756,Data!D756)&lt;=1,0,1),1),1))</f>
        <v/>
      </c>
      <c r="E756" s="9" t="str">
        <f>IF(Data!B756="","",IF(ISNUMBER(MATCH(Data!E756,Data_Val!$A$2:$A$3,0)),0,1))</f>
        <v/>
      </c>
      <c r="F756" s="9" t="str">
        <f ca="1">IF(Data!B756="","",IF(ISNUMBER(Data!F756),IF(AND(Data!F756&gt;(TODAY()-(Data_Val!$H$3*365.25)),Data!F756&lt;=(TODAY()-(Data_Val!$H$2*365.25))),0,1),1))</f>
        <v/>
      </c>
      <c r="G756" s="15" t="str">
        <f>IF(Data!B756="","",IF(AND(Data!G756="",Data!H756&lt;&gt;""),1,IF(Data!#REF!&lt;&gt;"",0,IF(ISNUMBER(MATCH(Data!G756,Data_Val!$C$2:$C$5,0)),0,1))))</f>
        <v/>
      </c>
      <c r="H756" s="15" t="str">
        <f>IF(Data!B756="","",IF(AND(Data!G756&lt;&gt;"",Data!H756=""),1,IF(Data!#REF!&lt;&gt;"",0,IF(Data!G756="",1,IF(ISNUMBER(MATCH(Data!H756,Data_Val!$D$2:$D$35,0)),0,1)))))</f>
        <v/>
      </c>
      <c r="I756" s="15" t="str">
        <f>IF(Data!B756="","",IF(Data!G756&lt;&gt;"",0,IF(ISNUMBER(MATCH(Data!#REF!,Data_Val!$E$2:$E$12,0)),0,1)))</f>
        <v/>
      </c>
      <c r="J756" s="16" t="e">
        <f>IF(OR(Data!B756="",Data!#REF!=""),"",IF(Data!#REF!="",1,0))</f>
        <v>#REF!</v>
      </c>
      <c r="K756" s="16" t="e">
        <f>IF(OR(Data!B756="",Data!#REF!=""),"",IF(Data!#REF!="",1,0))</f>
        <v>#REF!</v>
      </c>
      <c r="L756" s="16" t="e">
        <f>IF(OR(Data!B756="",Data!#REF!=""),"",IF(ISNUMBER(Data!#REF!),IF(AND(Data!#REF!&gt;Data_Val!$G$2,Data!#REF!&lt;=Data_Val!$G$3),0,1),1))</f>
        <v>#REF!</v>
      </c>
      <c r="M756" s="9" t="e">
        <f>IF(OR(Data!B756="",Data!#REF!=""),"",IF(ISNUMBER(MATCH(Data!#REF!,Data_Val!$F$1:$F$38,0)),0,1))</f>
        <v>#REF!</v>
      </c>
      <c r="N756" s="9" t="e">
        <f>IF(OR(Data!B756="",Data!#REF!=""),"",IF(Data!#REF!="",1,0))</f>
        <v>#REF!</v>
      </c>
      <c r="O756" s="17" t="e">
        <f>IF(Data!#REF!="","",IF(Data!#REF!="",1,0))</f>
        <v>#REF!</v>
      </c>
      <c r="P756" s="17" t="e">
        <f>IF(Data!#REF!="","",IF(ISNUMBER(MATCH(Data!#REF!,Data_Val!$A$2:$A$3,0)),0,1))</f>
        <v>#REF!</v>
      </c>
      <c r="Q756" s="25" t="e">
        <f ca="1">IF(Data!#REF!="","",IF(ISNUMBER(Data!#REF!),IF(AND(Data!#REF!&gt;(TODAY()-(Data_Val!$J$3*365.25)),Data!#REF!&lt;=(TODAY()-(Data_Val!$J$2*365.25))),0,1),1))</f>
        <v>#REF!</v>
      </c>
      <c r="R756" s="17" t="e">
        <f>IF(Data!#REF!="","",IF(ISNUMBER(MATCH(Data!#REF!,Data_Val!$B$2:$B$15,0)),0,1))</f>
        <v>#REF!</v>
      </c>
      <c r="S756" s="11" t="str">
        <f>IF(Data!G756="","",IF(Data!G756=Data_Val!$C$2,IF(Data!M756="",0,1),0))</f>
        <v/>
      </c>
      <c r="T756" s="11" t="str">
        <f>IF(Data!M756="","",IF(ISNUMBER(MATCH(Data!N756,Data_Val!$A$2:$A$3,0)),0,1))</f>
        <v/>
      </c>
      <c r="U756" s="11" t="str">
        <f ca="1">IF(Data!M756="","",IF(ISNUMBER(Data!O756),IF(AND(Data!O756&gt;(TODAY()-(Data_Val!$K$3*365.25)),Data!O756&lt;=(TODAY()-(Data_Val!$K$2*365.25))),0,1),1))</f>
        <v/>
      </c>
      <c r="V756" s="12" t="str">
        <f>IF(Data!G756="","",IF(Data!G756=Data_Val!$C$2,IF(Data!P756="",0,1),0))</f>
        <v/>
      </c>
      <c r="W756" s="12" t="str">
        <f>IF(Data!P756="","",IF(ISNUMBER(MATCH(Data!Q756,Data_Val!$A$2:$A$3,0)),0,1))</f>
        <v/>
      </c>
      <c r="X756" s="26" t="str">
        <f ca="1">IF(Data!P756="","",IF(ISNUMBER(Data!R756),IF(AND(Data!R756&gt;(TODAY()-(Data_Val!$L$3*365.25)),Data!R756&lt;=(TODAY()-(Data_Val!$L$2*365.25))),0,1),1))</f>
        <v/>
      </c>
      <c r="Y756" s="13" t="str">
        <f>IF(Data!$G756="","",IF(Data!$G756=Data_Val!$C$2,IF(Data!S756="",0,1),0))</f>
        <v/>
      </c>
      <c r="Z756" s="13" t="str">
        <f>IF(Data!S756="","",IF(ISNUMBER(MATCH(Data!T756,Data_Val!$A$2:$A$3,0)),0,1))</f>
        <v/>
      </c>
      <c r="AA756" s="28" t="str">
        <f ca="1">IF(Data!S756="","",IF(ISNUMBER(Data!U756),IF(AND(Data!U756&gt;(TODAY()-(Data_Val!$L$3*365.25)),Data!U756&lt;=(TODAY()-(Data_Val!$L$2*365.25))),0,1),1))</f>
        <v/>
      </c>
      <c r="AB756" s="11"/>
      <c r="AC756" s="11" t="e">
        <f>IF(Data!#REF!="","",IF(ISNUMBER(MATCH(Data!#REF!,Data_Val!$A$2:$A$3,0)),0,1))</f>
        <v>#REF!</v>
      </c>
      <c r="AD756" s="11" t="e">
        <f ca="1">IF(Data!#REF!="","",IF(ISNUMBER(Data!#REF!),IF(AND(Data!#REF!&gt;(TODAY()-(Data_Val!$L$3*365.25)),Data!#REF!&lt;=(TODAY()-(Data_Val!$L$2*365.25))),0,1),1))</f>
        <v>#REF!</v>
      </c>
      <c r="AE756" s="11" t="e">
        <f>IF(Data!#REF!="","",IF(Data!$G756="",1,IF(ISNUMBER(MATCH(Data!#REF!,Data_Val!$D$2:$D$10,0)),0,1)))</f>
        <v>#REF!</v>
      </c>
      <c r="AF756" s="12"/>
      <c r="AG756" s="12" t="e">
        <f>IF(Data!#REF!="","",IF(ISNUMBER(MATCH(Data!#REF!,Data_Val!$A$2:$A$3,0)),0,1))</f>
        <v>#REF!</v>
      </c>
      <c r="AH756" s="26" t="e">
        <f ca="1">IF(Data!#REF!="","",IF(ISNUMBER(Data!#REF!),IF(AND(Data!#REF!&gt;(TODAY()-(Data_Val!$L$3*365.25)),Data!#REF!&lt;=(TODAY()-(Data_Val!$L$2*365.25))),0,1),1))</f>
        <v>#REF!</v>
      </c>
      <c r="AI756" s="12" t="e">
        <f>IF(Data!#REF!="","",IF(Data!$G756="",1,IF(ISNUMBER(MATCH(Data!#REF!,Data_Val!$D$2:$D$10,0)),0,1)))</f>
        <v>#REF!</v>
      </c>
      <c r="AJ756" s="17"/>
      <c r="AK756" s="17" t="e">
        <f>IF(Data!#REF!="","",IF(ISNUMBER(MATCH(Data!#REF!,Data_Val!$A$2:$A$3,0)),0,1))</f>
        <v>#REF!</v>
      </c>
      <c r="AL756" s="25" t="e">
        <f ca="1">IF(Data!#REF!="","",IF(ISNUMBER(Data!#REF!),IF(AND(Data!#REF!&gt;(TODAY()-(Data_Val!$L$3*365.25)),Data!#REF!&lt;=(TODAY()-(Data_Val!$L$2*365.25))),0,1),1))</f>
        <v>#REF!</v>
      </c>
      <c r="AM756" s="17" t="e">
        <f>IF(Data!#REF!="","",IF(Data!$G756="",1,IF(ISNUMBER(MATCH(Data!#REF!,Data_Val!$D$2:$D$10,0)),0,1)))</f>
        <v>#REF!</v>
      </c>
      <c r="AN756" s="13"/>
      <c r="AO756" s="28" t="e">
        <f ca="1">IF(Data!#REF!="","",IF(ISNUMBER(Data!#REF!),IF(AND(Data!#REF!&gt;(TODAY()-(Data_Val!$I$3*365.25)),Data!#REF!&lt;=(TODAY()-(Data_Val!$I$2*365.25))),0,1),1))</f>
        <v>#REF!</v>
      </c>
      <c r="AP756" s="13" t="e">
        <f>IF(Data!#REF!="","",IF(Data!$G756="",1,IF(ISNUMBER(MATCH(Data!#REF!,Data_Val!$D$2:$D$10,0)),0,1)))</f>
        <v>#REF!</v>
      </c>
      <c r="AQ756" s="17"/>
      <c r="AR756" s="30" t="e">
        <f ca="1">IF(Data!#REF!="","",IF(ISNUMBER(Data!#REF!),IF(AND(Data!#REF!&gt;(TODAY()-(Data_Val!$I$3*365.25)),Data!#REF!&lt;=(TODAY()-(Data_Val!$I$2*365.25))),0,1),1))</f>
        <v>#REF!</v>
      </c>
      <c r="AS756" s="31" t="e">
        <f>IF(Data!#REF!="","",IF(Data!$G756="",1,IF(ISNUMBER(MATCH(Data!#REF!,Data_Val!$D$2:$D$10,0)),0,1)))</f>
        <v>#REF!</v>
      </c>
      <c r="AT756" s="11"/>
      <c r="AU756" s="11" t="e">
        <f ca="1">IF(Data!#REF!="","",IF(ISNUMBER(Data!#REF!),IF(AND(Data!#REF!&gt;(TODAY()-(Data_Val!$I$3*365.25)),Data!#REF!&lt;=(TODAY()-(Data_Val!$I$2*365.25))),0,1),1))</f>
        <v>#REF!</v>
      </c>
      <c r="AV756" s="11" t="e">
        <f>IF(Data!#REF!="","",IF(Data!$G756="",1,IF(ISNUMBER(MATCH(Data!#REF!,Data_Val!$D$2:$D$10,0)),0,1)))</f>
        <v>#REF!</v>
      </c>
      <c r="AW756" s="12"/>
      <c r="AX756" s="26" t="e">
        <f ca="1">IF(Data!#REF!="","",IF(ISNUMBER(Data!#REF!),IF(AND(Data!#REF!&gt;(TODAY()-(Data_Val!$I$3*365.25)),Data!#REF!&lt;=(TODAY()-(Data_Val!$I$2*365.25))),0,1),1))</f>
        <v>#REF!</v>
      </c>
      <c r="AY756" s="12" t="e">
        <f>IF(Data!#REF!="","",IF(Data!$G756="",1,IF(ISNUMBER(MATCH(Data!#REF!,Data_Val!$D$2:$D$10,0)),0,1)))</f>
        <v>#REF!</v>
      </c>
      <c r="AZ756" s="11"/>
      <c r="BA756" s="19" t="e">
        <f ca="1">IF(Data!#REF!="","",IF(ISNUMBER(Data!#REF!),IF(AND(Data!#REF!&gt;(TODAY()-(Data_Val!$M$3*365.25)),Data!#REF!&lt;=(TODAY()-(Data_Val!$M$2*365.25))),0,1),1))</f>
        <v>#REF!</v>
      </c>
      <c r="BB756" s="11" t="e">
        <f>IF(Data!#REF!="","",IF(Data!$G756="",1,IF(ISNUMBER(MATCH(Data!#REF!,Data_Val!$D$2:$D$10,0)),0,1)))</f>
        <v>#REF!</v>
      </c>
      <c r="BC756" s="12"/>
      <c r="BD756" s="20" t="e">
        <f ca="1">IF(Data!#REF!="","",IF(ISNUMBER(Data!#REF!),IF(AND(Data!#REF!&gt;(TODAY()-(Data_Val!$M$3*365.25)),Data!#REF!&lt;=(TODAY()-(Data_Val!$M$2*365.25))),0,1),1))</f>
        <v>#REF!</v>
      </c>
      <c r="BE756" s="12" t="e">
        <f>IF(Data!#REF!="","",IF(Data!$G756="",1,IF(ISNUMBER(MATCH(Data!#REF!,Data_Val!$D$2:$D$10,0)),0,1)))</f>
        <v>#REF!</v>
      </c>
      <c r="BF756" s="17"/>
      <c r="BG756" s="18" t="e">
        <f ca="1">IF(Data!#REF!="","",IF(ISNUMBER(Data!#REF!),IF(AND(Data!#REF!&gt;(TODAY()-(Data_Val!$M$3*365.25)),Data!#REF!&lt;=(TODAY()-(Data_Val!$M$2*365.25))),0,1),1))</f>
        <v>#REF!</v>
      </c>
      <c r="BH756" s="29" t="e">
        <f>IF(Data!#REF!="","",IF(Data!$G756="",1,IF(ISNUMBER(MATCH(Data!#REF!,Data_Val!$D$2:$D$10,0)),0,1)))</f>
        <v>#REF!</v>
      </c>
      <c r="BI756" s="13"/>
      <c r="BJ756" s="21" t="e">
        <f ca="1">IF(Data!#REF!="","",IF(ISNUMBER(Data!#REF!),IF(AND(Data!#REF!&gt;(TODAY()-(Data_Val!$M$3*365.25)),Data!#REF!&lt;=(TODAY()-(Data_Val!$M$2*365.25))),0,1),1))</f>
        <v>#REF!</v>
      </c>
      <c r="BK756" s="13" t="e">
        <f>IF(Data!#REF!="","",IF(Data!$G756="",1,IF(ISNUMBER(MATCH(Data!#REF!,Data_Val!$D$2:$D$10,0)),0,1)))</f>
        <v>#REF!</v>
      </c>
    </row>
    <row r="757" spans="1:63" x14ac:dyDescent="0.25">
      <c r="A757" s="9" t="str">
        <f>IF(Data!B757="","",IF(COUNTIFS(Data!A$1:'Data'!A757,Data!A757)&lt;=1,0,1))</f>
        <v/>
      </c>
      <c r="B757" s="9"/>
      <c r="C757" s="23" t="str">
        <f>IF(Data!C757="","",(IF(ISNUMBER(MATCH("*@*.?*",Data!C757,0)),0,1)+IF(COUNTIFS(Data!C$1:'Data'!C757,Data!C757)&gt;1,1,0)))</f>
        <v/>
      </c>
      <c r="D757" s="9" t="str">
        <f>IF(Data!B757="","",IF(ISNUMBER(Data!D757),IF(AND(Data!D757&gt;999999999,Data!D757&lt;=9999999999),IF(COUNTIFS(Data!D$1:'Data'!D757,Data!D757)&lt;=1,0,1),1),1))</f>
        <v/>
      </c>
      <c r="E757" s="9" t="str">
        <f>IF(Data!B757="","",IF(ISNUMBER(MATCH(Data!E757,Data_Val!$A$2:$A$3,0)),0,1))</f>
        <v/>
      </c>
      <c r="F757" s="9" t="str">
        <f ca="1">IF(Data!B757="","",IF(ISNUMBER(Data!F757),IF(AND(Data!F757&gt;(TODAY()-(Data_Val!$H$3*365.25)),Data!F757&lt;=(TODAY()-(Data_Val!$H$2*365.25))),0,1),1))</f>
        <v/>
      </c>
      <c r="G757" s="15" t="str">
        <f>IF(Data!B757="","",IF(AND(Data!G757="",Data!H757&lt;&gt;""),1,IF(Data!#REF!&lt;&gt;"",0,IF(ISNUMBER(MATCH(Data!G757,Data_Val!$C$2:$C$5,0)),0,1))))</f>
        <v/>
      </c>
      <c r="H757" s="15" t="str">
        <f>IF(Data!B757="","",IF(AND(Data!G757&lt;&gt;"",Data!H757=""),1,IF(Data!#REF!&lt;&gt;"",0,IF(Data!G757="",1,IF(ISNUMBER(MATCH(Data!H757,Data_Val!$D$2:$D$35,0)),0,1)))))</f>
        <v/>
      </c>
      <c r="I757" s="15" t="str">
        <f>IF(Data!B757="","",IF(Data!G757&lt;&gt;"",0,IF(ISNUMBER(MATCH(Data!#REF!,Data_Val!$E$2:$E$12,0)),0,1)))</f>
        <v/>
      </c>
      <c r="J757" s="16" t="e">
        <f>IF(OR(Data!B757="",Data!#REF!=""),"",IF(Data!#REF!="",1,0))</f>
        <v>#REF!</v>
      </c>
      <c r="K757" s="16" t="e">
        <f>IF(OR(Data!B757="",Data!#REF!=""),"",IF(Data!#REF!="",1,0))</f>
        <v>#REF!</v>
      </c>
      <c r="L757" s="16" t="e">
        <f>IF(OR(Data!B757="",Data!#REF!=""),"",IF(ISNUMBER(Data!#REF!),IF(AND(Data!#REF!&gt;Data_Val!$G$2,Data!#REF!&lt;=Data_Val!$G$3),0,1),1))</f>
        <v>#REF!</v>
      </c>
      <c r="M757" s="9" t="e">
        <f>IF(OR(Data!B757="",Data!#REF!=""),"",IF(ISNUMBER(MATCH(Data!#REF!,Data_Val!$F$1:$F$38,0)),0,1))</f>
        <v>#REF!</v>
      </c>
      <c r="N757" s="9" t="e">
        <f>IF(OR(Data!B757="",Data!#REF!=""),"",IF(Data!#REF!="",1,0))</f>
        <v>#REF!</v>
      </c>
      <c r="O757" s="17" t="e">
        <f>IF(Data!#REF!="","",IF(Data!#REF!="",1,0))</f>
        <v>#REF!</v>
      </c>
      <c r="P757" s="17" t="e">
        <f>IF(Data!#REF!="","",IF(ISNUMBER(MATCH(Data!#REF!,Data_Val!$A$2:$A$3,0)),0,1))</f>
        <v>#REF!</v>
      </c>
      <c r="Q757" s="25" t="e">
        <f ca="1">IF(Data!#REF!="","",IF(ISNUMBER(Data!#REF!),IF(AND(Data!#REF!&gt;(TODAY()-(Data_Val!$J$3*365.25)),Data!#REF!&lt;=(TODAY()-(Data_Val!$J$2*365.25))),0,1),1))</f>
        <v>#REF!</v>
      </c>
      <c r="R757" s="17" t="e">
        <f>IF(Data!#REF!="","",IF(ISNUMBER(MATCH(Data!#REF!,Data_Val!$B$2:$B$15,0)),0,1))</f>
        <v>#REF!</v>
      </c>
      <c r="S757" s="11" t="str">
        <f>IF(Data!G757="","",IF(Data!G757=Data_Val!$C$2,IF(Data!M757="",0,1),0))</f>
        <v/>
      </c>
      <c r="T757" s="11" t="str">
        <f>IF(Data!M757="","",IF(ISNUMBER(MATCH(Data!N757,Data_Val!$A$2:$A$3,0)),0,1))</f>
        <v/>
      </c>
      <c r="U757" s="11" t="str">
        <f ca="1">IF(Data!M757="","",IF(ISNUMBER(Data!O757),IF(AND(Data!O757&gt;(TODAY()-(Data_Val!$K$3*365.25)),Data!O757&lt;=(TODAY()-(Data_Val!$K$2*365.25))),0,1),1))</f>
        <v/>
      </c>
      <c r="V757" s="12" t="str">
        <f>IF(Data!G757="","",IF(Data!G757=Data_Val!$C$2,IF(Data!P757="",0,1),0))</f>
        <v/>
      </c>
      <c r="W757" s="12" t="str">
        <f>IF(Data!P757="","",IF(ISNUMBER(MATCH(Data!Q757,Data_Val!$A$2:$A$3,0)),0,1))</f>
        <v/>
      </c>
      <c r="X757" s="26" t="str">
        <f ca="1">IF(Data!P757="","",IF(ISNUMBER(Data!R757),IF(AND(Data!R757&gt;(TODAY()-(Data_Val!$L$3*365.25)),Data!R757&lt;=(TODAY()-(Data_Val!$L$2*365.25))),0,1),1))</f>
        <v/>
      </c>
      <c r="Y757" s="13" t="str">
        <f>IF(Data!$G757="","",IF(Data!$G757=Data_Val!$C$2,IF(Data!S757="",0,1),0))</f>
        <v/>
      </c>
      <c r="Z757" s="13" t="str">
        <f>IF(Data!S757="","",IF(ISNUMBER(MATCH(Data!T757,Data_Val!$A$2:$A$3,0)),0,1))</f>
        <v/>
      </c>
      <c r="AA757" s="28" t="str">
        <f ca="1">IF(Data!S757="","",IF(ISNUMBER(Data!U757),IF(AND(Data!U757&gt;(TODAY()-(Data_Val!$L$3*365.25)),Data!U757&lt;=(TODAY()-(Data_Val!$L$2*365.25))),0,1),1))</f>
        <v/>
      </c>
      <c r="AB757" s="11"/>
      <c r="AC757" s="11" t="e">
        <f>IF(Data!#REF!="","",IF(ISNUMBER(MATCH(Data!#REF!,Data_Val!$A$2:$A$3,0)),0,1))</f>
        <v>#REF!</v>
      </c>
      <c r="AD757" s="11" t="e">
        <f ca="1">IF(Data!#REF!="","",IF(ISNUMBER(Data!#REF!),IF(AND(Data!#REF!&gt;(TODAY()-(Data_Val!$L$3*365.25)),Data!#REF!&lt;=(TODAY()-(Data_Val!$L$2*365.25))),0,1),1))</f>
        <v>#REF!</v>
      </c>
      <c r="AE757" s="11" t="e">
        <f>IF(Data!#REF!="","",IF(Data!$G757="",1,IF(ISNUMBER(MATCH(Data!#REF!,Data_Val!$D$2:$D$10,0)),0,1)))</f>
        <v>#REF!</v>
      </c>
      <c r="AF757" s="12"/>
      <c r="AG757" s="12" t="e">
        <f>IF(Data!#REF!="","",IF(ISNUMBER(MATCH(Data!#REF!,Data_Val!$A$2:$A$3,0)),0,1))</f>
        <v>#REF!</v>
      </c>
      <c r="AH757" s="26" t="e">
        <f ca="1">IF(Data!#REF!="","",IF(ISNUMBER(Data!#REF!),IF(AND(Data!#REF!&gt;(TODAY()-(Data_Val!$L$3*365.25)),Data!#REF!&lt;=(TODAY()-(Data_Val!$L$2*365.25))),0,1),1))</f>
        <v>#REF!</v>
      </c>
      <c r="AI757" s="12" t="e">
        <f>IF(Data!#REF!="","",IF(Data!$G757="",1,IF(ISNUMBER(MATCH(Data!#REF!,Data_Val!$D$2:$D$10,0)),0,1)))</f>
        <v>#REF!</v>
      </c>
      <c r="AJ757" s="17"/>
      <c r="AK757" s="17" t="e">
        <f>IF(Data!#REF!="","",IF(ISNUMBER(MATCH(Data!#REF!,Data_Val!$A$2:$A$3,0)),0,1))</f>
        <v>#REF!</v>
      </c>
      <c r="AL757" s="25" t="e">
        <f ca="1">IF(Data!#REF!="","",IF(ISNUMBER(Data!#REF!),IF(AND(Data!#REF!&gt;(TODAY()-(Data_Val!$L$3*365.25)),Data!#REF!&lt;=(TODAY()-(Data_Val!$L$2*365.25))),0,1),1))</f>
        <v>#REF!</v>
      </c>
      <c r="AM757" s="17" t="e">
        <f>IF(Data!#REF!="","",IF(Data!$G757="",1,IF(ISNUMBER(MATCH(Data!#REF!,Data_Val!$D$2:$D$10,0)),0,1)))</f>
        <v>#REF!</v>
      </c>
      <c r="AN757" s="13"/>
      <c r="AO757" s="28" t="e">
        <f ca="1">IF(Data!#REF!="","",IF(ISNUMBER(Data!#REF!),IF(AND(Data!#REF!&gt;(TODAY()-(Data_Val!$I$3*365.25)),Data!#REF!&lt;=(TODAY()-(Data_Val!$I$2*365.25))),0,1),1))</f>
        <v>#REF!</v>
      </c>
      <c r="AP757" s="13" t="e">
        <f>IF(Data!#REF!="","",IF(Data!$G757="",1,IF(ISNUMBER(MATCH(Data!#REF!,Data_Val!$D$2:$D$10,0)),0,1)))</f>
        <v>#REF!</v>
      </c>
      <c r="AQ757" s="17"/>
      <c r="AR757" s="30" t="e">
        <f ca="1">IF(Data!#REF!="","",IF(ISNUMBER(Data!#REF!),IF(AND(Data!#REF!&gt;(TODAY()-(Data_Val!$I$3*365.25)),Data!#REF!&lt;=(TODAY()-(Data_Val!$I$2*365.25))),0,1),1))</f>
        <v>#REF!</v>
      </c>
      <c r="AS757" s="31" t="e">
        <f>IF(Data!#REF!="","",IF(Data!$G757="",1,IF(ISNUMBER(MATCH(Data!#REF!,Data_Val!$D$2:$D$10,0)),0,1)))</f>
        <v>#REF!</v>
      </c>
      <c r="AT757" s="11"/>
      <c r="AU757" s="11" t="e">
        <f ca="1">IF(Data!#REF!="","",IF(ISNUMBER(Data!#REF!),IF(AND(Data!#REF!&gt;(TODAY()-(Data_Val!$I$3*365.25)),Data!#REF!&lt;=(TODAY()-(Data_Val!$I$2*365.25))),0,1),1))</f>
        <v>#REF!</v>
      </c>
      <c r="AV757" s="11" t="e">
        <f>IF(Data!#REF!="","",IF(Data!$G757="",1,IF(ISNUMBER(MATCH(Data!#REF!,Data_Val!$D$2:$D$10,0)),0,1)))</f>
        <v>#REF!</v>
      </c>
      <c r="AW757" s="12"/>
      <c r="AX757" s="26" t="e">
        <f ca="1">IF(Data!#REF!="","",IF(ISNUMBER(Data!#REF!),IF(AND(Data!#REF!&gt;(TODAY()-(Data_Val!$I$3*365.25)),Data!#REF!&lt;=(TODAY()-(Data_Val!$I$2*365.25))),0,1),1))</f>
        <v>#REF!</v>
      </c>
      <c r="AY757" s="12" t="e">
        <f>IF(Data!#REF!="","",IF(Data!$G757="",1,IF(ISNUMBER(MATCH(Data!#REF!,Data_Val!$D$2:$D$10,0)),0,1)))</f>
        <v>#REF!</v>
      </c>
      <c r="AZ757" s="11"/>
      <c r="BA757" s="19" t="e">
        <f ca="1">IF(Data!#REF!="","",IF(ISNUMBER(Data!#REF!),IF(AND(Data!#REF!&gt;(TODAY()-(Data_Val!$M$3*365.25)),Data!#REF!&lt;=(TODAY()-(Data_Val!$M$2*365.25))),0,1),1))</f>
        <v>#REF!</v>
      </c>
      <c r="BB757" s="11" t="e">
        <f>IF(Data!#REF!="","",IF(Data!$G757="",1,IF(ISNUMBER(MATCH(Data!#REF!,Data_Val!$D$2:$D$10,0)),0,1)))</f>
        <v>#REF!</v>
      </c>
      <c r="BC757" s="12"/>
      <c r="BD757" s="20" t="e">
        <f ca="1">IF(Data!#REF!="","",IF(ISNUMBER(Data!#REF!),IF(AND(Data!#REF!&gt;(TODAY()-(Data_Val!$M$3*365.25)),Data!#REF!&lt;=(TODAY()-(Data_Val!$M$2*365.25))),0,1),1))</f>
        <v>#REF!</v>
      </c>
      <c r="BE757" s="12" t="e">
        <f>IF(Data!#REF!="","",IF(Data!$G757="",1,IF(ISNUMBER(MATCH(Data!#REF!,Data_Val!$D$2:$D$10,0)),0,1)))</f>
        <v>#REF!</v>
      </c>
      <c r="BF757" s="17"/>
      <c r="BG757" s="18" t="e">
        <f ca="1">IF(Data!#REF!="","",IF(ISNUMBER(Data!#REF!),IF(AND(Data!#REF!&gt;(TODAY()-(Data_Val!$M$3*365.25)),Data!#REF!&lt;=(TODAY()-(Data_Val!$M$2*365.25))),0,1),1))</f>
        <v>#REF!</v>
      </c>
      <c r="BH757" s="29" t="e">
        <f>IF(Data!#REF!="","",IF(Data!$G757="",1,IF(ISNUMBER(MATCH(Data!#REF!,Data_Val!$D$2:$D$10,0)),0,1)))</f>
        <v>#REF!</v>
      </c>
      <c r="BI757" s="13"/>
      <c r="BJ757" s="21" t="e">
        <f ca="1">IF(Data!#REF!="","",IF(ISNUMBER(Data!#REF!),IF(AND(Data!#REF!&gt;(TODAY()-(Data_Val!$M$3*365.25)),Data!#REF!&lt;=(TODAY()-(Data_Val!$M$2*365.25))),0,1),1))</f>
        <v>#REF!</v>
      </c>
      <c r="BK757" s="13" t="e">
        <f>IF(Data!#REF!="","",IF(Data!$G757="",1,IF(ISNUMBER(MATCH(Data!#REF!,Data_Val!$D$2:$D$10,0)),0,1)))</f>
        <v>#REF!</v>
      </c>
    </row>
    <row r="758" spans="1:63" x14ac:dyDescent="0.25">
      <c r="A758" s="9" t="str">
        <f>IF(Data!B758="","",IF(COUNTIFS(Data!A$1:'Data'!A758,Data!A758)&lt;=1,0,1))</f>
        <v/>
      </c>
      <c r="B758" s="9"/>
      <c r="C758" s="23" t="str">
        <f>IF(Data!C758="","",(IF(ISNUMBER(MATCH("*@*.?*",Data!C758,0)),0,1)+IF(COUNTIFS(Data!C$1:'Data'!C758,Data!C758)&gt;1,1,0)))</f>
        <v/>
      </c>
      <c r="D758" s="9" t="str">
        <f>IF(Data!B758="","",IF(ISNUMBER(Data!D758),IF(AND(Data!D758&gt;999999999,Data!D758&lt;=9999999999),IF(COUNTIFS(Data!D$1:'Data'!D758,Data!D758)&lt;=1,0,1),1),1))</f>
        <v/>
      </c>
      <c r="E758" s="9" t="str">
        <f>IF(Data!B758="","",IF(ISNUMBER(MATCH(Data!E758,Data_Val!$A$2:$A$3,0)),0,1))</f>
        <v/>
      </c>
      <c r="F758" s="9" t="str">
        <f ca="1">IF(Data!B758="","",IF(ISNUMBER(Data!F758),IF(AND(Data!F758&gt;(TODAY()-(Data_Val!$H$3*365.25)),Data!F758&lt;=(TODAY()-(Data_Val!$H$2*365.25))),0,1),1))</f>
        <v/>
      </c>
      <c r="G758" s="15" t="str">
        <f>IF(Data!B758="","",IF(AND(Data!G758="",Data!H758&lt;&gt;""),1,IF(Data!#REF!&lt;&gt;"",0,IF(ISNUMBER(MATCH(Data!G758,Data_Val!$C$2:$C$5,0)),0,1))))</f>
        <v/>
      </c>
      <c r="H758" s="15" t="str">
        <f>IF(Data!B758="","",IF(AND(Data!G758&lt;&gt;"",Data!H758=""),1,IF(Data!#REF!&lt;&gt;"",0,IF(Data!G758="",1,IF(ISNUMBER(MATCH(Data!H758,Data_Val!$D$2:$D$35,0)),0,1)))))</f>
        <v/>
      </c>
      <c r="I758" s="15" t="str">
        <f>IF(Data!B758="","",IF(Data!G758&lt;&gt;"",0,IF(ISNUMBER(MATCH(Data!#REF!,Data_Val!$E$2:$E$12,0)),0,1)))</f>
        <v/>
      </c>
      <c r="J758" s="16" t="e">
        <f>IF(OR(Data!B758="",Data!#REF!=""),"",IF(Data!#REF!="",1,0))</f>
        <v>#REF!</v>
      </c>
      <c r="K758" s="16" t="e">
        <f>IF(OR(Data!B758="",Data!#REF!=""),"",IF(Data!#REF!="",1,0))</f>
        <v>#REF!</v>
      </c>
      <c r="L758" s="16" t="e">
        <f>IF(OR(Data!B758="",Data!#REF!=""),"",IF(ISNUMBER(Data!#REF!),IF(AND(Data!#REF!&gt;Data_Val!$G$2,Data!#REF!&lt;=Data_Val!$G$3),0,1),1))</f>
        <v>#REF!</v>
      </c>
      <c r="M758" s="9" t="e">
        <f>IF(OR(Data!B758="",Data!#REF!=""),"",IF(ISNUMBER(MATCH(Data!#REF!,Data_Val!$F$1:$F$38,0)),0,1))</f>
        <v>#REF!</v>
      </c>
      <c r="N758" s="9" t="e">
        <f>IF(OR(Data!B758="",Data!#REF!=""),"",IF(Data!#REF!="",1,0))</f>
        <v>#REF!</v>
      </c>
      <c r="O758" s="17" t="e">
        <f>IF(Data!#REF!="","",IF(Data!#REF!="",1,0))</f>
        <v>#REF!</v>
      </c>
      <c r="P758" s="17" t="e">
        <f>IF(Data!#REF!="","",IF(ISNUMBER(MATCH(Data!#REF!,Data_Val!$A$2:$A$3,0)),0,1))</f>
        <v>#REF!</v>
      </c>
      <c r="Q758" s="25" t="e">
        <f ca="1">IF(Data!#REF!="","",IF(ISNUMBER(Data!#REF!),IF(AND(Data!#REF!&gt;(TODAY()-(Data_Val!$J$3*365.25)),Data!#REF!&lt;=(TODAY()-(Data_Val!$J$2*365.25))),0,1),1))</f>
        <v>#REF!</v>
      </c>
      <c r="R758" s="17" t="e">
        <f>IF(Data!#REF!="","",IF(ISNUMBER(MATCH(Data!#REF!,Data_Val!$B$2:$B$15,0)),0,1))</f>
        <v>#REF!</v>
      </c>
      <c r="S758" s="11" t="str">
        <f>IF(Data!G758="","",IF(Data!G758=Data_Val!$C$2,IF(Data!M758="",0,1),0))</f>
        <v/>
      </c>
      <c r="T758" s="11" t="str">
        <f>IF(Data!M758="","",IF(ISNUMBER(MATCH(Data!N758,Data_Val!$A$2:$A$3,0)),0,1))</f>
        <v/>
      </c>
      <c r="U758" s="11" t="str">
        <f ca="1">IF(Data!M758="","",IF(ISNUMBER(Data!O758),IF(AND(Data!O758&gt;(TODAY()-(Data_Val!$K$3*365.25)),Data!O758&lt;=(TODAY()-(Data_Val!$K$2*365.25))),0,1),1))</f>
        <v/>
      </c>
      <c r="V758" s="12" t="str">
        <f>IF(Data!G758="","",IF(Data!G758=Data_Val!$C$2,IF(Data!P758="",0,1),0))</f>
        <v/>
      </c>
      <c r="W758" s="12" t="str">
        <f>IF(Data!P758="","",IF(ISNUMBER(MATCH(Data!Q758,Data_Val!$A$2:$A$3,0)),0,1))</f>
        <v/>
      </c>
      <c r="X758" s="26" t="str">
        <f ca="1">IF(Data!P758="","",IF(ISNUMBER(Data!R758),IF(AND(Data!R758&gt;(TODAY()-(Data_Val!$L$3*365.25)),Data!R758&lt;=(TODAY()-(Data_Val!$L$2*365.25))),0,1),1))</f>
        <v/>
      </c>
      <c r="Y758" s="13" t="str">
        <f>IF(Data!$G758="","",IF(Data!$G758=Data_Val!$C$2,IF(Data!S758="",0,1),0))</f>
        <v/>
      </c>
      <c r="Z758" s="13" t="str">
        <f>IF(Data!S758="","",IF(ISNUMBER(MATCH(Data!T758,Data_Val!$A$2:$A$3,0)),0,1))</f>
        <v/>
      </c>
      <c r="AA758" s="28" t="str">
        <f ca="1">IF(Data!S758="","",IF(ISNUMBER(Data!U758),IF(AND(Data!U758&gt;(TODAY()-(Data_Val!$L$3*365.25)),Data!U758&lt;=(TODAY()-(Data_Val!$L$2*365.25))),0,1),1))</f>
        <v/>
      </c>
      <c r="AB758" s="11"/>
      <c r="AC758" s="11" t="e">
        <f>IF(Data!#REF!="","",IF(ISNUMBER(MATCH(Data!#REF!,Data_Val!$A$2:$A$3,0)),0,1))</f>
        <v>#REF!</v>
      </c>
      <c r="AD758" s="11" t="e">
        <f ca="1">IF(Data!#REF!="","",IF(ISNUMBER(Data!#REF!),IF(AND(Data!#REF!&gt;(TODAY()-(Data_Val!$L$3*365.25)),Data!#REF!&lt;=(TODAY()-(Data_Val!$L$2*365.25))),0,1),1))</f>
        <v>#REF!</v>
      </c>
      <c r="AE758" s="11" t="e">
        <f>IF(Data!#REF!="","",IF(Data!$G758="",1,IF(ISNUMBER(MATCH(Data!#REF!,Data_Val!$D$2:$D$10,0)),0,1)))</f>
        <v>#REF!</v>
      </c>
      <c r="AF758" s="12"/>
      <c r="AG758" s="12" t="e">
        <f>IF(Data!#REF!="","",IF(ISNUMBER(MATCH(Data!#REF!,Data_Val!$A$2:$A$3,0)),0,1))</f>
        <v>#REF!</v>
      </c>
      <c r="AH758" s="26" t="e">
        <f ca="1">IF(Data!#REF!="","",IF(ISNUMBER(Data!#REF!),IF(AND(Data!#REF!&gt;(TODAY()-(Data_Val!$L$3*365.25)),Data!#REF!&lt;=(TODAY()-(Data_Val!$L$2*365.25))),0,1),1))</f>
        <v>#REF!</v>
      </c>
      <c r="AI758" s="12" t="e">
        <f>IF(Data!#REF!="","",IF(Data!$G758="",1,IF(ISNUMBER(MATCH(Data!#REF!,Data_Val!$D$2:$D$10,0)),0,1)))</f>
        <v>#REF!</v>
      </c>
      <c r="AJ758" s="17"/>
      <c r="AK758" s="17" t="e">
        <f>IF(Data!#REF!="","",IF(ISNUMBER(MATCH(Data!#REF!,Data_Val!$A$2:$A$3,0)),0,1))</f>
        <v>#REF!</v>
      </c>
      <c r="AL758" s="25" t="e">
        <f ca="1">IF(Data!#REF!="","",IF(ISNUMBER(Data!#REF!),IF(AND(Data!#REF!&gt;(TODAY()-(Data_Val!$L$3*365.25)),Data!#REF!&lt;=(TODAY()-(Data_Val!$L$2*365.25))),0,1),1))</f>
        <v>#REF!</v>
      </c>
      <c r="AM758" s="17" t="e">
        <f>IF(Data!#REF!="","",IF(Data!$G758="",1,IF(ISNUMBER(MATCH(Data!#REF!,Data_Val!$D$2:$D$10,0)),0,1)))</f>
        <v>#REF!</v>
      </c>
      <c r="AN758" s="13"/>
      <c r="AO758" s="28" t="e">
        <f ca="1">IF(Data!#REF!="","",IF(ISNUMBER(Data!#REF!),IF(AND(Data!#REF!&gt;(TODAY()-(Data_Val!$I$3*365.25)),Data!#REF!&lt;=(TODAY()-(Data_Val!$I$2*365.25))),0,1),1))</f>
        <v>#REF!</v>
      </c>
      <c r="AP758" s="13" t="e">
        <f>IF(Data!#REF!="","",IF(Data!$G758="",1,IF(ISNUMBER(MATCH(Data!#REF!,Data_Val!$D$2:$D$10,0)),0,1)))</f>
        <v>#REF!</v>
      </c>
      <c r="AQ758" s="17"/>
      <c r="AR758" s="30" t="e">
        <f ca="1">IF(Data!#REF!="","",IF(ISNUMBER(Data!#REF!),IF(AND(Data!#REF!&gt;(TODAY()-(Data_Val!$I$3*365.25)),Data!#REF!&lt;=(TODAY()-(Data_Val!$I$2*365.25))),0,1),1))</f>
        <v>#REF!</v>
      </c>
      <c r="AS758" s="31" t="e">
        <f>IF(Data!#REF!="","",IF(Data!$G758="",1,IF(ISNUMBER(MATCH(Data!#REF!,Data_Val!$D$2:$D$10,0)),0,1)))</f>
        <v>#REF!</v>
      </c>
      <c r="AT758" s="11"/>
      <c r="AU758" s="11" t="e">
        <f ca="1">IF(Data!#REF!="","",IF(ISNUMBER(Data!#REF!),IF(AND(Data!#REF!&gt;(TODAY()-(Data_Val!$I$3*365.25)),Data!#REF!&lt;=(TODAY()-(Data_Val!$I$2*365.25))),0,1),1))</f>
        <v>#REF!</v>
      </c>
      <c r="AV758" s="11" t="e">
        <f>IF(Data!#REF!="","",IF(Data!$G758="",1,IF(ISNUMBER(MATCH(Data!#REF!,Data_Val!$D$2:$D$10,0)),0,1)))</f>
        <v>#REF!</v>
      </c>
      <c r="AW758" s="12"/>
      <c r="AX758" s="26" t="e">
        <f ca="1">IF(Data!#REF!="","",IF(ISNUMBER(Data!#REF!),IF(AND(Data!#REF!&gt;(TODAY()-(Data_Val!$I$3*365.25)),Data!#REF!&lt;=(TODAY()-(Data_Val!$I$2*365.25))),0,1),1))</f>
        <v>#REF!</v>
      </c>
      <c r="AY758" s="12" t="e">
        <f>IF(Data!#REF!="","",IF(Data!$G758="",1,IF(ISNUMBER(MATCH(Data!#REF!,Data_Val!$D$2:$D$10,0)),0,1)))</f>
        <v>#REF!</v>
      </c>
      <c r="AZ758" s="11"/>
      <c r="BA758" s="19" t="e">
        <f ca="1">IF(Data!#REF!="","",IF(ISNUMBER(Data!#REF!),IF(AND(Data!#REF!&gt;(TODAY()-(Data_Val!$M$3*365.25)),Data!#REF!&lt;=(TODAY()-(Data_Val!$M$2*365.25))),0,1),1))</f>
        <v>#REF!</v>
      </c>
      <c r="BB758" s="11" t="e">
        <f>IF(Data!#REF!="","",IF(Data!$G758="",1,IF(ISNUMBER(MATCH(Data!#REF!,Data_Val!$D$2:$D$10,0)),0,1)))</f>
        <v>#REF!</v>
      </c>
      <c r="BC758" s="12"/>
      <c r="BD758" s="20" t="e">
        <f ca="1">IF(Data!#REF!="","",IF(ISNUMBER(Data!#REF!),IF(AND(Data!#REF!&gt;(TODAY()-(Data_Val!$M$3*365.25)),Data!#REF!&lt;=(TODAY()-(Data_Val!$M$2*365.25))),0,1),1))</f>
        <v>#REF!</v>
      </c>
      <c r="BE758" s="12" t="e">
        <f>IF(Data!#REF!="","",IF(Data!$G758="",1,IF(ISNUMBER(MATCH(Data!#REF!,Data_Val!$D$2:$D$10,0)),0,1)))</f>
        <v>#REF!</v>
      </c>
      <c r="BF758" s="17"/>
      <c r="BG758" s="18" t="e">
        <f ca="1">IF(Data!#REF!="","",IF(ISNUMBER(Data!#REF!),IF(AND(Data!#REF!&gt;(TODAY()-(Data_Val!$M$3*365.25)),Data!#REF!&lt;=(TODAY()-(Data_Val!$M$2*365.25))),0,1),1))</f>
        <v>#REF!</v>
      </c>
      <c r="BH758" s="29" t="e">
        <f>IF(Data!#REF!="","",IF(Data!$G758="",1,IF(ISNUMBER(MATCH(Data!#REF!,Data_Val!$D$2:$D$10,0)),0,1)))</f>
        <v>#REF!</v>
      </c>
      <c r="BI758" s="13"/>
      <c r="BJ758" s="21" t="e">
        <f ca="1">IF(Data!#REF!="","",IF(ISNUMBER(Data!#REF!),IF(AND(Data!#REF!&gt;(TODAY()-(Data_Val!$M$3*365.25)),Data!#REF!&lt;=(TODAY()-(Data_Val!$M$2*365.25))),0,1),1))</f>
        <v>#REF!</v>
      </c>
      <c r="BK758" s="13" t="e">
        <f>IF(Data!#REF!="","",IF(Data!$G758="",1,IF(ISNUMBER(MATCH(Data!#REF!,Data_Val!$D$2:$D$10,0)),0,1)))</f>
        <v>#REF!</v>
      </c>
    </row>
    <row r="759" spans="1:63" x14ac:dyDescent="0.25">
      <c r="A759" s="9" t="str">
        <f>IF(Data!B759="","",IF(COUNTIFS(Data!A$1:'Data'!A759,Data!A759)&lt;=1,0,1))</f>
        <v/>
      </c>
      <c r="B759" s="9"/>
      <c r="C759" s="23" t="str">
        <f>IF(Data!C759="","",(IF(ISNUMBER(MATCH("*@*.?*",Data!C759,0)),0,1)+IF(COUNTIFS(Data!C$1:'Data'!C759,Data!C759)&gt;1,1,0)))</f>
        <v/>
      </c>
      <c r="D759" s="9" t="str">
        <f>IF(Data!B759="","",IF(ISNUMBER(Data!D759),IF(AND(Data!D759&gt;999999999,Data!D759&lt;=9999999999),IF(COUNTIFS(Data!D$1:'Data'!D759,Data!D759)&lt;=1,0,1),1),1))</f>
        <v/>
      </c>
      <c r="E759" s="9" t="str">
        <f>IF(Data!B759="","",IF(ISNUMBER(MATCH(Data!E759,Data_Val!$A$2:$A$3,0)),0,1))</f>
        <v/>
      </c>
      <c r="F759" s="9" t="str">
        <f ca="1">IF(Data!B759="","",IF(ISNUMBER(Data!F759),IF(AND(Data!F759&gt;(TODAY()-(Data_Val!$H$3*365.25)),Data!F759&lt;=(TODAY()-(Data_Val!$H$2*365.25))),0,1),1))</f>
        <v/>
      </c>
      <c r="G759" s="15" t="str">
        <f>IF(Data!B759="","",IF(AND(Data!G759="",Data!H759&lt;&gt;""),1,IF(Data!#REF!&lt;&gt;"",0,IF(ISNUMBER(MATCH(Data!G759,Data_Val!$C$2:$C$5,0)),0,1))))</f>
        <v/>
      </c>
      <c r="H759" s="15" t="str">
        <f>IF(Data!B759="","",IF(AND(Data!G759&lt;&gt;"",Data!H759=""),1,IF(Data!#REF!&lt;&gt;"",0,IF(Data!G759="",1,IF(ISNUMBER(MATCH(Data!H759,Data_Val!$D$2:$D$35,0)),0,1)))))</f>
        <v/>
      </c>
      <c r="I759" s="15" t="str">
        <f>IF(Data!B759="","",IF(Data!G759&lt;&gt;"",0,IF(ISNUMBER(MATCH(Data!#REF!,Data_Val!$E$2:$E$12,0)),0,1)))</f>
        <v/>
      </c>
      <c r="J759" s="16" t="e">
        <f>IF(OR(Data!B759="",Data!#REF!=""),"",IF(Data!#REF!="",1,0))</f>
        <v>#REF!</v>
      </c>
      <c r="K759" s="16" t="e">
        <f>IF(OR(Data!B759="",Data!#REF!=""),"",IF(Data!#REF!="",1,0))</f>
        <v>#REF!</v>
      </c>
      <c r="L759" s="16" t="e">
        <f>IF(OR(Data!B759="",Data!#REF!=""),"",IF(ISNUMBER(Data!#REF!),IF(AND(Data!#REF!&gt;Data_Val!$G$2,Data!#REF!&lt;=Data_Val!$G$3),0,1),1))</f>
        <v>#REF!</v>
      </c>
      <c r="M759" s="9" t="e">
        <f>IF(OR(Data!B759="",Data!#REF!=""),"",IF(ISNUMBER(MATCH(Data!#REF!,Data_Val!$F$1:$F$38,0)),0,1))</f>
        <v>#REF!</v>
      </c>
      <c r="N759" s="9" t="e">
        <f>IF(OR(Data!B759="",Data!#REF!=""),"",IF(Data!#REF!="",1,0))</f>
        <v>#REF!</v>
      </c>
      <c r="O759" s="17" t="e">
        <f>IF(Data!#REF!="","",IF(Data!#REF!="",1,0))</f>
        <v>#REF!</v>
      </c>
      <c r="P759" s="17" t="e">
        <f>IF(Data!#REF!="","",IF(ISNUMBER(MATCH(Data!#REF!,Data_Val!$A$2:$A$3,0)),0,1))</f>
        <v>#REF!</v>
      </c>
      <c r="Q759" s="25" t="e">
        <f ca="1">IF(Data!#REF!="","",IF(ISNUMBER(Data!#REF!),IF(AND(Data!#REF!&gt;(TODAY()-(Data_Val!$J$3*365.25)),Data!#REF!&lt;=(TODAY()-(Data_Val!$J$2*365.25))),0,1),1))</f>
        <v>#REF!</v>
      </c>
      <c r="R759" s="17" t="e">
        <f>IF(Data!#REF!="","",IF(ISNUMBER(MATCH(Data!#REF!,Data_Val!$B$2:$B$15,0)),0,1))</f>
        <v>#REF!</v>
      </c>
      <c r="S759" s="11" t="str">
        <f>IF(Data!G759="","",IF(Data!G759=Data_Val!$C$2,IF(Data!M759="",0,1),0))</f>
        <v/>
      </c>
      <c r="T759" s="11" t="str">
        <f>IF(Data!M759="","",IF(ISNUMBER(MATCH(Data!N759,Data_Val!$A$2:$A$3,0)),0,1))</f>
        <v/>
      </c>
      <c r="U759" s="11" t="str">
        <f ca="1">IF(Data!M759="","",IF(ISNUMBER(Data!O759),IF(AND(Data!O759&gt;(TODAY()-(Data_Val!$K$3*365.25)),Data!O759&lt;=(TODAY()-(Data_Val!$K$2*365.25))),0,1),1))</f>
        <v/>
      </c>
      <c r="V759" s="12" t="str">
        <f>IF(Data!G759="","",IF(Data!G759=Data_Val!$C$2,IF(Data!P759="",0,1),0))</f>
        <v/>
      </c>
      <c r="W759" s="12" t="str">
        <f>IF(Data!P759="","",IF(ISNUMBER(MATCH(Data!Q759,Data_Val!$A$2:$A$3,0)),0,1))</f>
        <v/>
      </c>
      <c r="X759" s="26" t="str">
        <f ca="1">IF(Data!P759="","",IF(ISNUMBER(Data!R759),IF(AND(Data!R759&gt;(TODAY()-(Data_Val!$L$3*365.25)),Data!R759&lt;=(TODAY()-(Data_Val!$L$2*365.25))),0,1),1))</f>
        <v/>
      </c>
      <c r="Y759" s="13" t="str">
        <f>IF(Data!$G759="","",IF(Data!$G759=Data_Val!$C$2,IF(Data!S759="",0,1),0))</f>
        <v/>
      </c>
      <c r="Z759" s="13" t="str">
        <f>IF(Data!S759="","",IF(ISNUMBER(MATCH(Data!T759,Data_Val!$A$2:$A$3,0)),0,1))</f>
        <v/>
      </c>
      <c r="AA759" s="28" t="str">
        <f ca="1">IF(Data!S759="","",IF(ISNUMBER(Data!U759),IF(AND(Data!U759&gt;(TODAY()-(Data_Val!$L$3*365.25)),Data!U759&lt;=(TODAY()-(Data_Val!$L$2*365.25))),0,1),1))</f>
        <v/>
      </c>
      <c r="AB759" s="11"/>
      <c r="AC759" s="11" t="e">
        <f>IF(Data!#REF!="","",IF(ISNUMBER(MATCH(Data!#REF!,Data_Val!$A$2:$A$3,0)),0,1))</f>
        <v>#REF!</v>
      </c>
      <c r="AD759" s="11" t="e">
        <f ca="1">IF(Data!#REF!="","",IF(ISNUMBER(Data!#REF!),IF(AND(Data!#REF!&gt;(TODAY()-(Data_Val!$L$3*365.25)),Data!#REF!&lt;=(TODAY()-(Data_Val!$L$2*365.25))),0,1),1))</f>
        <v>#REF!</v>
      </c>
      <c r="AE759" s="11" t="e">
        <f>IF(Data!#REF!="","",IF(Data!$G759="",1,IF(ISNUMBER(MATCH(Data!#REF!,Data_Val!$D$2:$D$10,0)),0,1)))</f>
        <v>#REF!</v>
      </c>
      <c r="AF759" s="12"/>
      <c r="AG759" s="12" t="e">
        <f>IF(Data!#REF!="","",IF(ISNUMBER(MATCH(Data!#REF!,Data_Val!$A$2:$A$3,0)),0,1))</f>
        <v>#REF!</v>
      </c>
      <c r="AH759" s="26" t="e">
        <f ca="1">IF(Data!#REF!="","",IF(ISNUMBER(Data!#REF!),IF(AND(Data!#REF!&gt;(TODAY()-(Data_Val!$L$3*365.25)),Data!#REF!&lt;=(TODAY()-(Data_Val!$L$2*365.25))),0,1),1))</f>
        <v>#REF!</v>
      </c>
      <c r="AI759" s="12" t="e">
        <f>IF(Data!#REF!="","",IF(Data!$G759="",1,IF(ISNUMBER(MATCH(Data!#REF!,Data_Val!$D$2:$D$10,0)),0,1)))</f>
        <v>#REF!</v>
      </c>
      <c r="AJ759" s="17"/>
      <c r="AK759" s="17" t="e">
        <f>IF(Data!#REF!="","",IF(ISNUMBER(MATCH(Data!#REF!,Data_Val!$A$2:$A$3,0)),0,1))</f>
        <v>#REF!</v>
      </c>
      <c r="AL759" s="25" t="e">
        <f ca="1">IF(Data!#REF!="","",IF(ISNUMBER(Data!#REF!),IF(AND(Data!#REF!&gt;(TODAY()-(Data_Val!$L$3*365.25)),Data!#REF!&lt;=(TODAY()-(Data_Val!$L$2*365.25))),0,1),1))</f>
        <v>#REF!</v>
      </c>
      <c r="AM759" s="17" t="e">
        <f>IF(Data!#REF!="","",IF(Data!$G759="",1,IF(ISNUMBER(MATCH(Data!#REF!,Data_Val!$D$2:$D$10,0)),0,1)))</f>
        <v>#REF!</v>
      </c>
      <c r="AN759" s="13"/>
      <c r="AO759" s="28" t="e">
        <f ca="1">IF(Data!#REF!="","",IF(ISNUMBER(Data!#REF!),IF(AND(Data!#REF!&gt;(TODAY()-(Data_Val!$I$3*365.25)),Data!#REF!&lt;=(TODAY()-(Data_Val!$I$2*365.25))),0,1),1))</f>
        <v>#REF!</v>
      </c>
      <c r="AP759" s="13" t="e">
        <f>IF(Data!#REF!="","",IF(Data!$G759="",1,IF(ISNUMBER(MATCH(Data!#REF!,Data_Val!$D$2:$D$10,0)),0,1)))</f>
        <v>#REF!</v>
      </c>
      <c r="AQ759" s="17"/>
      <c r="AR759" s="30" t="e">
        <f ca="1">IF(Data!#REF!="","",IF(ISNUMBER(Data!#REF!),IF(AND(Data!#REF!&gt;(TODAY()-(Data_Val!$I$3*365.25)),Data!#REF!&lt;=(TODAY()-(Data_Val!$I$2*365.25))),0,1),1))</f>
        <v>#REF!</v>
      </c>
      <c r="AS759" s="31" t="e">
        <f>IF(Data!#REF!="","",IF(Data!$G759="",1,IF(ISNUMBER(MATCH(Data!#REF!,Data_Val!$D$2:$D$10,0)),0,1)))</f>
        <v>#REF!</v>
      </c>
      <c r="AT759" s="11"/>
      <c r="AU759" s="11" t="e">
        <f ca="1">IF(Data!#REF!="","",IF(ISNUMBER(Data!#REF!),IF(AND(Data!#REF!&gt;(TODAY()-(Data_Val!$I$3*365.25)),Data!#REF!&lt;=(TODAY()-(Data_Val!$I$2*365.25))),0,1),1))</f>
        <v>#REF!</v>
      </c>
      <c r="AV759" s="11" t="e">
        <f>IF(Data!#REF!="","",IF(Data!$G759="",1,IF(ISNUMBER(MATCH(Data!#REF!,Data_Val!$D$2:$D$10,0)),0,1)))</f>
        <v>#REF!</v>
      </c>
      <c r="AW759" s="12"/>
      <c r="AX759" s="26" t="e">
        <f ca="1">IF(Data!#REF!="","",IF(ISNUMBER(Data!#REF!),IF(AND(Data!#REF!&gt;(TODAY()-(Data_Val!$I$3*365.25)),Data!#REF!&lt;=(TODAY()-(Data_Val!$I$2*365.25))),0,1),1))</f>
        <v>#REF!</v>
      </c>
      <c r="AY759" s="12" t="e">
        <f>IF(Data!#REF!="","",IF(Data!$G759="",1,IF(ISNUMBER(MATCH(Data!#REF!,Data_Val!$D$2:$D$10,0)),0,1)))</f>
        <v>#REF!</v>
      </c>
      <c r="AZ759" s="11"/>
      <c r="BA759" s="19" t="e">
        <f ca="1">IF(Data!#REF!="","",IF(ISNUMBER(Data!#REF!),IF(AND(Data!#REF!&gt;(TODAY()-(Data_Val!$M$3*365.25)),Data!#REF!&lt;=(TODAY()-(Data_Val!$M$2*365.25))),0,1),1))</f>
        <v>#REF!</v>
      </c>
      <c r="BB759" s="11" t="e">
        <f>IF(Data!#REF!="","",IF(Data!$G759="",1,IF(ISNUMBER(MATCH(Data!#REF!,Data_Val!$D$2:$D$10,0)),0,1)))</f>
        <v>#REF!</v>
      </c>
      <c r="BC759" s="12"/>
      <c r="BD759" s="20" t="e">
        <f ca="1">IF(Data!#REF!="","",IF(ISNUMBER(Data!#REF!),IF(AND(Data!#REF!&gt;(TODAY()-(Data_Val!$M$3*365.25)),Data!#REF!&lt;=(TODAY()-(Data_Val!$M$2*365.25))),0,1),1))</f>
        <v>#REF!</v>
      </c>
      <c r="BE759" s="12" t="e">
        <f>IF(Data!#REF!="","",IF(Data!$G759="",1,IF(ISNUMBER(MATCH(Data!#REF!,Data_Val!$D$2:$D$10,0)),0,1)))</f>
        <v>#REF!</v>
      </c>
      <c r="BF759" s="17"/>
      <c r="BG759" s="18" t="e">
        <f ca="1">IF(Data!#REF!="","",IF(ISNUMBER(Data!#REF!),IF(AND(Data!#REF!&gt;(TODAY()-(Data_Val!$M$3*365.25)),Data!#REF!&lt;=(TODAY()-(Data_Val!$M$2*365.25))),0,1),1))</f>
        <v>#REF!</v>
      </c>
      <c r="BH759" s="29" t="e">
        <f>IF(Data!#REF!="","",IF(Data!$G759="",1,IF(ISNUMBER(MATCH(Data!#REF!,Data_Val!$D$2:$D$10,0)),0,1)))</f>
        <v>#REF!</v>
      </c>
      <c r="BI759" s="13"/>
      <c r="BJ759" s="21" t="e">
        <f ca="1">IF(Data!#REF!="","",IF(ISNUMBER(Data!#REF!),IF(AND(Data!#REF!&gt;(TODAY()-(Data_Val!$M$3*365.25)),Data!#REF!&lt;=(TODAY()-(Data_Val!$M$2*365.25))),0,1),1))</f>
        <v>#REF!</v>
      </c>
      <c r="BK759" s="13" t="e">
        <f>IF(Data!#REF!="","",IF(Data!$G759="",1,IF(ISNUMBER(MATCH(Data!#REF!,Data_Val!$D$2:$D$10,0)),0,1)))</f>
        <v>#REF!</v>
      </c>
    </row>
    <row r="760" spans="1:63" x14ac:dyDescent="0.25">
      <c r="A760" s="9" t="str">
        <f>IF(Data!B760="","",IF(COUNTIFS(Data!A$1:'Data'!A760,Data!A760)&lt;=1,0,1))</f>
        <v/>
      </c>
      <c r="B760" s="9"/>
      <c r="C760" s="23" t="str">
        <f>IF(Data!C760="","",(IF(ISNUMBER(MATCH("*@*.?*",Data!C760,0)),0,1)+IF(COUNTIFS(Data!C$1:'Data'!C760,Data!C760)&gt;1,1,0)))</f>
        <v/>
      </c>
      <c r="D760" s="9" t="str">
        <f>IF(Data!B760="","",IF(ISNUMBER(Data!D760),IF(AND(Data!D760&gt;999999999,Data!D760&lt;=9999999999),IF(COUNTIFS(Data!D$1:'Data'!D760,Data!D760)&lt;=1,0,1),1),1))</f>
        <v/>
      </c>
      <c r="E760" s="9" t="str">
        <f>IF(Data!B760="","",IF(ISNUMBER(MATCH(Data!E760,Data_Val!$A$2:$A$3,0)),0,1))</f>
        <v/>
      </c>
      <c r="F760" s="9" t="str">
        <f ca="1">IF(Data!B760="","",IF(ISNUMBER(Data!F760),IF(AND(Data!F760&gt;(TODAY()-(Data_Val!$H$3*365.25)),Data!F760&lt;=(TODAY()-(Data_Val!$H$2*365.25))),0,1),1))</f>
        <v/>
      </c>
      <c r="G760" s="15" t="str">
        <f>IF(Data!B760="","",IF(AND(Data!G760="",Data!H760&lt;&gt;""),1,IF(Data!#REF!&lt;&gt;"",0,IF(ISNUMBER(MATCH(Data!G760,Data_Val!$C$2:$C$5,0)),0,1))))</f>
        <v/>
      </c>
      <c r="H760" s="15" t="str">
        <f>IF(Data!B760="","",IF(AND(Data!G760&lt;&gt;"",Data!H760=""),1,IF(Data!#REF!&lt;&gt;"",0,IF(Data!G760="",1,IF(ISNUMBER(MATCH(Data!H760,Data_Val!$D$2:$D$35,0)),0,1)))))</f>
        <v/>
      </c>
      <c r="I760" s="15" t="str">
        <f>IF(Data!B760="","",IF(Data!G760&lt;&gt;"",0,IF(ISNUMBER(MATCH(Data!#REF!,Data_Val!$E$2:$E$12,0)),0,1)))</f>
        <v/>
      </c>
      <c r="J760" s="16" t="e">
        <f>IF(OR(Data!B760="",Data!#REF!=""),"",IF(Data!#REF!="",1,0))</f>
        <v>#REF!</v>
      </c>
      <c r="K760" s="16" t="e">
        <f>IF(OR(Data!B760="",Data!#REF!=""),"",IF(Data!#REF!="",1,0))</f>
        <v>#REF!</v>
      </c>
      <c r="L760" s="16" t="e">
        <f>IF(OR(Data!B760="",Data!#REF!=""),"",IF(ISNUMBER(Data!#REF!),IF(AND(Data!#REF!&gt;Data_Val!$G$2,Data!#REF!&lt;=Data_Val!$G$3),0,1),1))</f>
        <v>#REF!</v>
      </c>
      <c r="M760" s="9" t="e">
        <f>IF(OR(Data!B760="",Data!#REF!=""),"",IF(ISNUMBER(MATCH(Data!#REF!,Data_Val!$F$1:$F$38,0)),0,1))</f>
        <v>#REF!</v>
      </c>
      <c r="N760" s="9" t="e">
        <f>IF(OR(Data!B760="",Data!#REF!=""),"",IF(Data!#REF!="",1,0))</f>
        <v>#REF!</v>
      </c>
      <c r="O760" s="17" t="e">
        <f>IF(Data!#REF!="","",IF(Data!#REF!="",1,0))</f>
        <v>#REF!</v>
      </c>
      <c r="P760" s="17" t="e">
        <f>IF(Data!#REF!="","",IF(ISNUMBER(MATCH(Data!#REF!,Data_Val!$A$2:$A$3,0)),0,1))</f>
        <v>#REF!</v>
      </c>
      <c r="Q760" s="25" t="e">
        <f ca="1">IF(Data!#REF!="","",IF(ISNUMBER(Data!#REF!),IF(AND(Data!#REF!&gt;(TODAY()-(Data_Val!$J$3*365.25)),Data!#REF!&lt;=(TODAY()-(Data_Val!$J$2*365.25))),0,1),1))</f>
        <v>#REF!</v>
      </c>
      <c r="R760" s="17" t="e">
        <f>IF(Data!#REF!="","",IF(ISNUMBER(MATCH(Data!#REF!,Data_Val!$B$2:$B$15,0)),0,1))</f>
        <v>#REF!</v>
      </c>
      <c r="S760" s="11" t="str">
        <f>IF(Data!G760="","",IF(Data!G760=Data_Val!$C$2,IF(Data!M760="",0,1),0))</f>
        <v/>
      </c>
      <c r="T760" s="11" t="str">
        <f>IF(Data!M760="","",IF(ISNUMBER(MATCH(Data!N760,Data_Val!$A$2:$A$3,0)),0,1))</f>
        <v/>
      </c>
      <c r="U760" s="11" t="str">
        <f ca="1">IF(Data!M760="","",IF(ISNUMBER(Data!O760),IF(AND(Data!O760&gt;(TODAY()-(Data_Val!$K$3*365.25)),Data!O760&lt;=(TODAY()-(Data_Val!$K$2*365.25))),0,1),1))</f>
        <v/>
      </c>
      <c r="V760" s="12" t="str">
        <f>IF(Data!G760="","",IF(Data!G760=Data_Val!$C$2,IF(Data!P760="",0,1),0))</f>
        <v/>
      </c>
      <c r="W760" s="12" t="str">
        <f>IF(Data!P760="","",IF(ISNUMBER(MATCH(Data!Q760,Data_Val!$A$2:$A$3,0)),0,1))</f>
        <v/>
      </c>
      <c r="X760" s="26" t="str">
        <f ca="1">IF(Data!P760="","",IF(ISNUMBER(Data!R760),IF(AND(Data!R760&gt;(TODAY()-(Data_Val!$L$3*365.25)),Data!R760&lt;=(TODAY()-(Data_Val!$L$2*365.25))),0,1),1))</f>
        <v/>
      </c>
      <c r="Y760" s="13" t="str">
        <f>IF(Data!$G760="","",IF(Data!$G760=Data_Val!$C$2,IF(Data!S760="",0,1),0))</f>
        <v/>
      </c>
      <c r="Z760" s="13" t="str">
        <f>IF(Data!S760="","",IF(ISNUMBER(MATCH(Data!T760,Data_Val!$A$2:$A$3,0)),0,1))</f>
        <v/>
      </c>
      <c r="AA760" s="28" t="str">
        <f ca="1">IF(Data!S760="","",IF(ISNUMBER(Data!U760),IF(AND(Data!U760&gt;(TODAY()-(Data_Val!$L$3*365.25)),Data!U760&lt;=(TODAY()-(Data_Val!$L$2*365.25))),0,1),1))</f>
        <v/>
      </c>
      <c r="AB760" s="11"/>
      <c r="AC760" s="11" t="e">
        <f>IF(Data!#REF!="","",IF(ISNUMBER(MATCH(Data!#REF!,Data_Val!$A$2:$A$3,0)),0,1))</f>
        <v>#REF!</v>
      </c>
      <c r="AD760" s="11" t="e">
        <f ca="1">IF(Data!#REF!="","",IF(ISNUMBER(Data!#REF!),IF(AND(Data!#REF!&gt;(TODAY()-(Data_Val!$L$3*365.25)),Data!#REF!&lt;=(TODAY()-(Data_Val!$L$2*365.25))),0,1),1))</f>
        <v>#REF!</v>
      </c>
      <c r="AE760" s="11" t="e">
        <f>IF(Data!#REF!="","",IF(Data!$G760="",1,IF(ISNUMBER(MATCH(Data!#REF!,Data_Val!$D$2:$D$10,0)),0,1)))</f>
        <v>#REF!</v>
      </c>
      <c r="AF760" s="12"/>
      <c r="AG760" s="12" t="e">
        <f>IF(Data!#REF!="","",IF(ISNUMBER(MATCH(Data!#REF!,Data_Val!$A$2:$A$3,0)),0,1))</f>
        <v>#REF!</v>
      </c>
      <c r="AH760" s="26" t="e">
        <f ca="1">IF(Data!#REF!="","",IF(ISNUMBER(Data!#REF!),IF(AND(Data!#REF!&gt;(TODAY()-(Data_Val!$L$3*365.25)),Data!#REF!&lt;=(TODAY()-(Data_Val!$L$2*365.25))),0,1),1))</f>
        <v>#REF!</v>
      </c>
      <c r="AI760" s="12" t="e">
        <f>IF(Data!#REF!="","",IF(Data!$G760="",1,IF(ISNUMBER(MATCH(Data!#REF!,Data_Val!$D$2:$D$10,0)),0,1)))</f>
        <v>#REF!</v>
      </c>
      <c r="AJ760" s="17"/>
      <c r="AK760" s="17" t="e">
        <f>IF(Data!#REF!="","",IF(ISNUMBER(MATCH(Data!#REF!,Data_Val!$A$2:$A$3,0)),0,1))</f>
        <v>#REF!</v>
      </c>
      <c r="AL760" s="25" t="e">
        <f ca="1">IF(Data!#REF!="","",IF(ISNUMBER(Data!#REF!),IF(AND(Data!#REF!&gt;(TODAY()-(Data_Val!$L$3*365.25)),Data!#REF!&lt;=(TODAY()-(Data_Val!$L$2*365.25))),0,1),1))</f>
        <v>#REF!</v>
      </c>
      <c r="AM760" s="17" t="e">
        <f>IF(Data!#REF!="","",IF(Data!$G760="",1,IF(ISNUMBER(MATCH(Data!#REF!,Data_Val!$D$2:$D$10,0)),0,1)))</f>
        <v>#REF!</v>
      </c>
      <c r="AN760" s="13"/>
      <c r="AO760" s="28" t="e">
        <f ca="1">IF(Data!#REF!="","",IF(ISNUMBER(Data!#REF!),IF(AND(Data!#REF!&gt;(TODAY()-(Data_Val!$I$3*365.25)),Data!#REF!&lt;=(TODAY()-(Data_Val!$I$2*365.25))),0,1),1))</f>
        <v>#REF!</v>
      </c>
      <c r="AP760" s="13" t="e">
        <f>IF(Data!#REF!="","",IF(Data!$G760="",1,IF(ISNUMBER(MATCH(Data!#REF!,Data_Val!$D$2:$D$10,0)),0,1)))</f>
        <v>#REF!</v>
      </c>
      <c r="AQ760" s="17"/>
      <c r="AR760" s="30" t="e">
        <f ca="1">IF(Data!#REF!="","",IF(ISNUMBER(Data!#REF!),IF(AND(Data!#REF!&gt;(TODAY()-(Data_Val!$I$3*365.25)),Data!#REF!&lt;=(TODAY()-(Data_Val!$I$2*365.25))),0,1),1))</f>
        <v>#REF!</v>
      </c>
      <c r="AS760" s="31" t="e">
        <f>IF(Data!#REF!="","",IF(Data!$G760="",1,IF(ISNUMBER(MATCH(Data!#REF!,Data_Val!$D$2:$D$10,0)),0,1)))</f>
        <v>#REF!</v>
      </c>
      <c r="AT760" s="11"/>
      <c r="AU760" s="11" t="e">
        <f ca="1">IF(Data!#REF!="","",IF(ISNUMBER(Data!#REF!),IF(AND(Data!#REF!&gt;(TODAY()-(Data_Val!$I$3*365.25)),Data!#REF!&lt;=(TODAY()-(Data_Val!$I$2*365.25))),0,1),1))</f>
        <v>#REF!</v>
      </c>
      <c r="AV760" s="11" t="e">
        <f>IF(Data!#REF!="","",IF(Data!$G760="",1,IF(ISNUMBER(MATCH(Data!#REF!,Data_Val!$D$2:$D$10,0)),0,1)))</f>
        <v>#REF!</v>
      </c>
      <c r="AW760" s="12"/>
      <c r="AX760" s="26" t="e">
        <f ca="1">IF(Data!#REF!="","",IF(ISNUMBER(Data!#REF!),IF(AND(Data!#REF!&gt;(TODAY()-(Data_Val!$I$3*365.25)),Data!#REF!&lt;=(TODAY()-(Data_Val!$I$2*365.25))),0,1),1))</f>
        <v>#REF!</v>
      </c>
      <c r="AY760" s="12" t="e">
        <f>IF(Data!#REF!="","",IF(Data!$G760="",1,IF(ISNUMBER(MATCH(Data!#REF!,Data_Val!$D$2:$D$10,0)),0,1)))</f>
        <v>#REF!</v>
      </c>
      <c r="AZ760" s="11"/>
      <c r="BA760" s="19" t="e">
        <f ca="1">IF(Data!#REF!="","",IF(ISNUMBER(Data!#REF!),IF(AND(Data!#REF!&gt;(TODAY()-(Data_Val!$M$3*365.25)),Data!#REF!&lt;=(TODAY()-(Data_Val!$M$2*365.25))),0,1),1))</f>
        <v>#REF!</v>
      </c>
      <c r="BB760" s="11" t="e">
        <f>IF(Data!#REF!="","",IF(Data!$G760="",1,IF(ISNUMBER(MATCH(Data!#REF!,Data_Val!$D$2:$D$10,0)),0,1)))</f>
        <v>#REF!</v>
      </c>
      <c r="BC760" s="12"/>
      <c r="BD760" s="20" t="e">
        <f ca="1">IF(Data!#REF!="","",IF(ISNUMBER(Data!#REF!),IF(AND(Data!#REF!&gt;(TODAY()-(Data_Val!$M$3*365.25)),Data!#REF!&lt;=(TODAY()-(Data_Val!$M$2*365.25))),0,1),1))</f>
        <v>#REF!</v>
      </c>
      <c r="BE760" s="12" t="e">
        <f>IF(Data!#REF!="","",IF(Data!$G760="",1,IF(ISNUMBER(MATCH(Data!#REF!,Data_Val!$D$2:$D$10,0)),0,1)))</f>
        <v>#REF!</v>
      </c>
      <c r="BF760" s="17"/>
      <c r="BG760" s="18" t="e">
        <f ca="1">IF(Data!#REF!="","",IF(ISNUMBER(Data!#REF!),IF(AND(Data!#REF!&gt;(TODAY()-(Data_Val!$M$3*365.25)),Data!#REF!&lt;=(TODAY()-(Data_Val!$M$2*365.25))),0,1),1))</f>
        <v>#REF!</v>
      </c>
      <c r="BH760" s="29" t="e">
        <f>IF(Data!#REF!="","",IF(Data!$G760="",1,IF(ISNUMBER(MATCH(Data!#REF!,Data_Val!$D$2:$D$10,0)),0,1)))</f>
        <v>#REF!</v>
      </c>
      <c r="BI760" s="13"/>
      <c r="BJ760" s="21" t="e">
        <f ca="1">IF(Data!#REF!="","",IF(ISNUMBER(Data!#REF!),IF(AND(Data!#REF!&gt;(TODAY()-(Data_Val!$M$3*365.25)),Data!#REF!&lt;=(TODAY()-(Data_Val!$M$2*365.25))),0,1),1))</f>
        <v>#REF!</v>
      </c>
      <c r="BK760" s="13" t="e">
        <f>IF(Data!#REF!="","",IF(Data!$G760="",1,IF(ISNUMBER(MATCH(Data!#REF!,Data_Val!$D$2:$D$10,0)),0,1)))</f>
        <v>#REF!</v>
      </c>
    </row>
    <row r="761" spans="1:63" x14ac:dyDescent="0.25">
      <c r="A761" s="9" t="str">
        <f>IF(Data!B761="","",IF(COUNTIFS(Data!A$1:'Data'!A761,Data!A761)&lt;=1,0,1))</f>
        <v/>
      </c>
      <c r="B761" s="9"/>
      <c r="C761" s="23" t="str">
        <f>IF(Data!C761="","",(IF(ISNUMBER(MATCH("*@*.?*",Data!C761,0)),0,1)+IF(COUNTIFS(Data!C$1:'Data'!C761,Data!C761)&gt;1,1,0)))</f>
        <v/>
      </c>
      <c r="D761" s="9" t="str">
        <f>IF(Data!B761="","",IF(ISNUMBER(Data!D761),IF(AND(Data!D761&gt;999999999,Data!D761&lt;=9999999999),IF(COUNTIFS(Data!D$1:'Data'!D761,Data!D761)&lt;=1,0,1),1),1))</f>
        <v/>
      </c>
      <c r="E761" s="9" t="str">
        <f>IF(Data!B761="","",IF(ISNUMBER(MATCH(Data!E761,Data_Val!$A$2:$A$3,0)),0,1))</f>
        <v/>
      </c>
      <c r="F761" s="9" t="str">
        <f ca="1">IF(Data!B761="","",IF(ISNUMBER(Data!F761),IF(AND(Data!F761&gt;(TODAY()-(Data_Val!$H$3*365.25)),Data!F761&lt;=(TODAY()-(Data_Val!$H$2*365.25))),0,1),1))</f>
        <v/>
      </c>
      <c r="G761" s="15" t="str">
        <f>IF(Data!B761="","",IF(AND(Data!G761="",Data!H761&lt;&gt;""),1,IF(Data!#REF!&lt;&gt;"",0,IF(ISNUMBER(MATCH(Data!G761,Data_Val!$C$2:$C$5,0)),0,1))))</f>
        <v/>
      </c>
      <c r="H761" s="15" t="str">
        <f>IF(Data!B761="","",IF(AND(Data!G761&lt;&gt;"",Data!H761=""),1,IF(Data!#REF!&lt;&gt;"",0,IF(Data!G761="",1,IF(ISNUMBER(MATCH(Data!H761,Data_Val!$D$2:$D$35,0)),0,1)))))</f>
        <v/>
      </c>
      <c r="I761" s="15" t="str">
        <f>IF(Data!B761="","",IF(Data!G761&lt;&gt;"",0,IF(ISNUMBER(MATCH(Data!#REF!,Data_Val!$E$2:$E$12,0)),0,1)))</f>
        <v/>
      </c>
      <c r="J761" s="16" t="e">
        <f>IF(OR(Data!B761="",Data!#REF!=""),"",IF(Data!#REF!="",1,0))</f>
        <v>#REF!</v>
      </c>
      <c r="K761" s="16" t="e">
        <f>IF(OR(Data!B761="",Data!#REF!=""),"",IF(Data!#REF!="",1,0))</f>
        <v>#REF!</v>
      </c>
      <c r="L761" s="16" t="e">
        <f>IF(OR(Data!B761="",Data!#REF!=""),"",IF(ISNUMBER(Data!#REF!),IF(AND(Data!#REF!&gt;Data_Val!$G$2,Data!#REF!&lt;=Data_Val!$G$3),0,1),1))</f>
        <v>#REF!</v>
      </c>
      <c r="M761" s="9" t="e">
        <f>IF(OR(Data!B761="",Data!#REF!=""),"",IF(ISNUMBER(MATCH(Data!#REF!,Data_Val!$F$1:$F$38,0)),0,1))</f>
        <v>#REF!</v>
      </c>
      <c r="N761" s="9" t="e">
        <f>IF(OR(Data!B761="",Data!#REF!=""),"",IF(Data!#REF!="",1,0))</f>
        <v>#REF!</v>
      </c>
      <c r="O761" s="17" t="e">
        <f>IF(Data!#REF!="","",IF(Data!#REF!="",1,0))</f>
        <v>#REF!</v>
      </c>
      <c r="P761" s="17" t="e">
        <f>IF(Data!#REF!="","",IF(ISNUMBER(MATCH(Data!#REF!,Data_Val!$A$2:$A$3,0)),0,1))</f>
        <v>#REF!</v>
      </c>
      <c r="Q761" s="25" t="e">
        <f ca="1">IF(Data!#REF!="","",IF(ISNUMBER(Data!#REF!),IF(AND(Data!#REF!&gt;(TODAY()-(Data_Val!$J$3*365.25)),Data!#REF!&lt;=(TODAY()-(Data_Val!$J$2*365.25))),0,1),1))</f>
        <v>#REF!</v>
      </c>
      <c r="R761" s="17" t="e">
        <f>IF(Data!#REF!="","",IF(ISNUMBER(MATCH(Data!#REF!,Data_Val!$B$2:$B$15,0)),0,1))</f>
        <v>#REF!</v>
      </c>
      <c r="S761" s="11" t="str">
        <f>IF(Data!G761="","",IF(Data!G761=Data_Val!$C$2,IF(Data!M761="",0,1),0))</f>
        <v/>
      </c>
      <c r="T761" s="11" t="str">
        <f>IF(Data!M761="","",IF(ISNUMBER(MATCH(Data!N761,Data_Val!$A$2:$A$3,0)),0,1))</f>
        <v/>
      </c>
      <c r="U761" s="11" t="str">
        <f ca="1">IF(Data!M761="","",IF(ISNUMBER(Data!O761),IF(AND(Data!O761&gt;(TODAY()-(Data_Val!$K$3*365.25)),Data!O761&lt;=(TODAY()-(Data_Val!$K$2*365.25))),0,1),1))</f>
        <v/>
      </c>
      <c r="V761" s="12" t="str">
        <f>IF(Data!G761="","",IF(Data!G761=Data_Val!$C$2,IF(Data!P761="",0,1),0))</f>
        <v/>
      </c>
      <c r="W761" s="12" t="str">
        <f>IF(Data!P761="","",IF(ISNUMBER(MATCH(Data!Q761,Data_Val!$A$2:$A$3,0)),0,1))</f>
        <v/>
      </c>
      <c r="X761" s="26" t="str">
        <f ca="1">IF(Data!P761="","",IF(ISNUMBER(Data!R761),IF(AND(Data!R761&gt;(TODAY()-(Data_Val!$L$3*365.25)),Data!R761&lt;=(TODAY()-(Data_Val!$L$2*365.25))),0,1),1))</f>
        <v/>
      </c>
      <c r="Y761" s="13" t="str">
        <f>IF(Data!$G761="","",IF(Data!$G761=Data_Val!$C$2,IF(Data!S761="",0,1),0))</f>
        <v/>
      </c>
      <c r="Z761" s="13" t="str">
        <f>IF(Data!S761="","",IF(ISNUMBER(MATCH(Data!T761,Data_Val!$A$2:$A$3,0)),0,1))</f>
        <v/>
      </c>
      <c r="AA761" s="28" t="str">
        <f ca="1">IF(Data!S761="","",IF(ISNUMBER(Data!U761),IF(AND(Data!U761&gt;(TODAY()-(Data_Val!$L$3*365.25)),Data!U761&lt;=(TODAY()-(Data_Val!$L$2*365.25))),0,1),1))</f>
        <v/>
      </c>
      <c r="AB761" s="11"/>
      <c r="AC761" s="11" t="e">
        <f>IF(Data!#REF!="","",IF(ISNUMBER(MATCH(Data!#REF!,Data_Val!$A$2:$A$3,0)),0,1))</f>
        <v>#REF!</v>
      </c>
      <c r="AD761" s="11" t="e">
        <f ca="1">IF(Data!#REF!="","",IF(ISNUMBER(Data!#REF!),IF(AND(Data!#REF!&gt;(TODAY()-(Data_Val!$L$3*365.25)),Data!#REF!&lt;=(TODAY()-(Data_Val!$L$2*365.25))),0,1),1))</f>
        <v>#REF!</v>
      </c>
      <c r="AE761" s="11" t="e">
        <f>IF(Data!#REF!="","",IF(Data!$G761="",1,IF(ISNUMBER(MATCH(Data!#REF!,Data_Val!$D$2:$D$10,0)),0,1)))</f>
        <v>#REF!</v>
      </c>
      <c r="AF761" s="12"/>
      <c r="AG761" s="12" t="e">
        <f>IF(Data!#REF!="","",IF(ISNUMBER(MATCH(Data!#REF!,Data_Val!$A$2:$A$3,0)),0,1))</f>
        <v>#REF!</v>
      </c>
      <c r="AH761" s="26" t="e">
        <f ca="1">IF(Data!#REF!="","",IF(ISNUMBER(Data!#REF!),IF(AND(Data!#REF!&gt;(TODAY()-(Data_Val!$L$3*365.25)),Data!#REF!&lt;=(TODAY()-(Data_Val!$L$2*365.25))),0,1),1))</f>
        <v>#REF!</v>
      </c>
      <c r="AI761" s="12" t="e">
        <f>IF(Data!#REF!="","",IF(Data!$G761="",1,IF(ISNUMBER(MATCH(Data!#REF!,Data_Val!$D$2:$D$10,0)),0,1)))</f>
        <v>#REF!</v>
      </c>
      <c r="AJ761" s="17"/>
      <c r="AK761" s="17" t="e">
        <f>IF(Data!#REF!="","",IF(ISNUMBER(MATCH(Data!#REF!,Data_Val!$A$2:$A$3,0)),0,1))</f>
        <v>#REF!</v>
      </c>
      <c r="AL761" s="25" t="e">
        <f ca="1">IF(Data!#REF!="","",IF(ISNUMBER(Data!#REF!),IF(AND(Data!#REF!&gt;(TODAY()-(Data_Val!$L$3*365.25)),Data!#REF!&lt;=(TODAY()-(Data_Val!$L$2*365.25))),0,1),1))</f>
        <v>#REF!</v>
      </c>
      <c r="AM761" s="17" t="e">
        <f>IF(Data!#REF!="","",IF(Data!$G761="",1,IF(ISNUMBER(MATCH(Data!#REF!,Data_Val!$D$2:$D$10,0)),0,1)))</f>
        <v>#REF!</v>
      </c>
      <c r="AN761" s="13"/>
      <c r="AO761" s="28" t="e">
        <f ca="1">IF(Data!#REF!="","",IF(ISNUMBER(Data!#REF!),IF(AND(Data!#REF!&gt;(TODAY()-(Data_Val!$I$3*365.25)),Data!#REF!&lt;=(TODAY()-(Data_Val!$I$2*365.25))),0,1),1))</f>
        <v>#REF!</v>
      </c>
      <c r="AP761" s="13" t="e">
        <f>IF(Data!#REF!="","",IF(Data!$G761="",1,IF(ISNUMBER(MATCH(Data!#REF!,Data_Val!$D$2:$D$10,0)),0,1)))</f>
        <v>#REF!</v>
      </c>
      <c r="AQ761" s="17"/>
      <c r="AR761" s="30" t="e">
        <f ca="1">IF(Data!#REF!="","",IF(ISNUMBER(Data!#REF!),IF(AND(Data!#REF!&gt;(TODAY()-(Data_Val!$I$3*365.25)),Data!#REF!&lt;=(TODAY()-(Data_Val!$I$2*365.25))),0,1),1))</f>
        <v>#REF!</v>
      </c>
      <c r="AS761" s="31" t="e">
        <f>IF(Data!#REF!="","",IF(Data!$G761="",1,IF(ISNUMBER(MATCH(Data!#REF!,Data_Val!$D$2:$D$10,0)),0,1)))</f>
        <v>#REF!</v>
      </c>
      <c r="AT761" s="11"/>
      <c r="AU761" s="11" t="e">
        <f ca="1">IF(Data!#REF!="","",IF(ISNUMBER(Data!#REF!),IF(AND(Data!#REF!&gt;(TODAY()-(Data_Val!$I$3*365.25)),Data!#REF!&lt;=(TODAY()-(Data_Val!$I$2*365.25))),0,1),1))</f>
        <v>#REF!</v>
      </c>
      <c r="AV761" s="11" t="e">
        <f>IF(Data!#REF!="","",IF(Data!$G761="",1,IF(ISNUMBER(MATCH(Data!#REF!,Data_Val!$D$2:$D$10,0)),0,1)))</f>
        <v>#REF!</v>
      </c>
      <c r="AW761" s="12"/>
      <c r="AX761" s="26" t="e">
        <f ca="1">IF(Data!#REF!="","",IF(ISNUMBER(Data!#REF!),IF(AND(Data!#REF!&gt;(TODAY()-(Data_Val!$I$3*365.25)),Data!#REF!&lt;=(TODAY()-(Data_Val!$I$2*365.25))),0,1),1))</f>
        <v>#REF!</v>
      </c>
      <c r="AY761" s="12" t="e">
        <f>IF(Data!#REF!="","",IF(Data!$G761="",1,IF(ISNUMBER(MATCH(Data!#REF!,Data_Val!$D$2:$D$10,0)),0,1)))</f>
        <v>#REF!</v>
      </c>
      <c r="AZ761" s="11"/>
      <c r="BA761" s="19" t="e">
        <f ca="1">IF(Data!#REF!="","",IF(ISNUMBER(Data!#REF!),IF(AND(Data!#REF!&gt;(TODAY()-(Data_Val!$M$3*365.25)),Data!#REF!&lt;=(TODAY()-(Data_Val!$M$2*365.25))),0,1),1))</f>
        <v>#REF!</v>
      </c>
      <c r="BB761" s="11" t="e">
        <f>IF(Data!#REF!="","",IF(Data!$G761="",1,IF(ISNUMBER(MATCH(Data!#REF!,Data_Val!$D$2:$D$10,0)),0,1)))</f>
        <v>#REF!</v>
      </c>
      <c r="BC761" s="12"/>
      <c r="BD761" s="20" t="e">
        <f ca="1">IF(Data!#REF!="","",IF(ISNUMBER(Data!#REF!),IF(AND(Data!#REF!&gt;(TODAY()-(Data_Val!$M$3*365.25)),Data!#REF!&lt;=(TODAY()-(Data_Val!$M$2*365.25))),0,1),1))</f>
        <v>#REF!</v>
      </c>
      <c r="BE761" s="12" t="e">
        <f>IF(Data!#REF!="","",IF(Data!$G761="",1,IF(ISNUMBER(MATCH(Data!#REF!,Data_Val!$D$2:$D$10,0)),0,1)))</f>
        <v>#REF!</v>
      </c>
      <c r="BF761" s="17"/>
      <c r="BG761" s="18" t="e">
        <f ca="1">IF(Data!#REF!="","",IF(ISNUMBER(Data!#REF!),IF(AND(Data!#REF!&gt;(TODAY()-(Data_Val!$M$3*365.25)),Data!#REF!&lt;=(TODAY()-(Data_Val!$M$2*365.25))),0,1),1))</f>
        <v>#REF!</v>
      </c>
      <c r="BH761" s="29" t="e">
        <f>IF(Data!#REF!="","",IF(Data!$G761="",1,IF(ISNUMBER(MATCH(Data!#REF!,Data_Val!$D$2:$D$10,0)),0,1)))</f>
        <v>#REF!</v>
      </c>
      <c r="BI761" s="13"/>
      <c r="BJ761" s="21" t="e">
        <f ca="1">IF(Data!#REF!="","",IF(ISNUMBER(Data!#REF!),IF(AND(Data!#REF!&gt;(TODAY()-(Data_Val!$M$3*365.25)),Data!#REF!&lt;=(TODAY()-(Data_Val!$M$2*365.25))),0,1),1))</f>
        <v>#REF!</v>
      </c>
      <c r="BK761" s="13" t="e">
        <f>IF(Data!#REF!="","",IF(Data!$G761="",1,IF(ISNUMBER(MATCH(Data!#REF!,Data_Val!$D$2:$D$10,0)),0,1)))</f>
        <v>#REF!</v>
      </c>
    </row>
    <row r="762" spans="1:63" x14ac:dyDescent="0.25">
      <c r="A762" s="9" t="str">
        <f>IF(Data!B762="","",IF(COUNTIFS(Data!A$1:'Data'!A762,Data!A762)&lt;=1,0,1))</f>
        <v/>
      </c>
      <c r="B762" s="9"/>
      <c r="C762" s="23" t="str">
        <f>IF(Data!C762="","",(IF(ISNUMBER(MATCH("*@*.?*",Data!C762,0)),0,1)+IF(COUNTIFS(Data!C$1:'Data'!C762,Data!C762)&gt;1,1,0)))</f>
        <v/>
      </c>
      <c r="D762" s="9" t="str">
        <f>IF(Data!B762="","",IF(ISNUMBER(Data!D762),IF(AND(Data!D762&gt;999999999,Data!D762&lt;=9999999999),IF(COUNTIFS(Data!D$1:'Data'!D762,Data!D762)&lt;=1,0,1),1),1))</f>
        <v/>
      </c>
      <c r="E762" s="9" t="str">
        <f>IF(Data!B762="","",IF(ISNUMBER(MATCH(Data!E762,Data_Val!$A$2:$A$3,0)),0,1))</f>
        <v/>
      </c>
      <c r="F762" s="9" t="str">
        <f ca="1">IF(Data!B762="","",IF(ISNUMBER(Data!F762),IF(AND(Data!F762&gt;(TODAY()-(Data_Val!$H$3*365.25)),Data!F762&lt;=(TODAY()-(Data_Val!$H$2*365.25))),0,1),1))</f>
        <v/>
      </c>
      <c r="G762" s="15" t="str">
        <f>IF(Data!B762="","",IF(AND(Data!G762="",Data!H762&lt;&gt;""),1,IF(Data!#REF!&lt;&gt;"",0,IF(ISNUMBER(MATCH(Data!G762,Data_Val!$C$2:$C$5,0)),0,1))))</f>
        <v/>
      </c>
      <c r="H762" s="15" t="str">
        <f>IF(Data!B762="","",IF(AND(Data!G762&lt;&gt;"",Data!H762=""),1,IF(Data!#REF!&lt;&gt;"",0,IF(Data!G762="",1,IF(ISNUMBER(MATCH(Data!H762,Data_Val!$D$2:$D$35,0)),0,1)))))</f>
        <v/>
      </c>
      <c r="I762" s="15" t="str">
        <f>IF(Data!B762="","",IF(Data!G762&lt;&gt;"",0,IF(ISNUMBER(MATCH(Data!#REF!,Data_Val!$E$2:$E$12,0)),0,1)))</f>
        <v/>
      </c>
      <c r="J762" s="16" t="e">
        <f>IF(OR(Data!B762="",Data!#REF!=""),"",IF(Data!#REF!="",1,0))</f>
        <v>#REF!</v>
      </c>
      <c r="K762" s="16" t="e">
        <f>IF(OR(Data!B762="",Data!#REF!=""),"",IF(Data!#REF!="",1,0))</f>
        <v>#REF!</v>
      </c>
      <c r="L762" s="16" t="e">
        <f>IF(OR(Data!B762="",Data!#REF!=""),"",IF(ISNUMBER(Data!#REF!),IF(AND(Data!#REF!&gt;Data_Val!$G$2,Data!#REF!&lt;=Data_Val!$G$3),0,1),1))</f>
        <v>#REF!</v>
      </c>
      <c r="M762" s="9" t="e">
        <f>IF(OR(Data!B762="",Data!#REF!=""),"",IF(ISNUMBER(MATCH(Data!#REF!,Data_Val!$F$1:$F$38,0)),0,1))</f>
        <v>#REF!</v>
      </c>
      <c r="N762" s="9" t="e">
        <f>IF(OR(Data!B762="",Data!#REF!=""),"",IF(Data!#REF!="",1,0))</f>
        <v>#REF!</v>
      </c>
      <c r="O762" s="17" t="e">
        <f>IF(Data!#REF!="","",IF(Data!#REF!="",1,0))</f>
        <v>#REF!</v>
      </c>
      <c r="P762" s="17" t="e">
        <f>IF(Data!#REF!="","",IF(ISNUMBER(MATCH(Data!#REF!,Data_Val!$A$2:$A$3,0)),0,1))</f>
        <v>#REF!</v>
      </c>
      <c r="Q762" s="25" t="e">
        <f ca="1">IF(Data!#REF!="","",IF(ISNUMBER(Data!#REF!),IF(AND(Data!#REF!&gt;(TODAY()-(Data_Val!$J$3*365.25)),Data!#REF!&lt;=(TODAY()-(Data_Val!$J$2*365.25))),0,1),1))</f>
        <v>#REF!</v>
      </c>
      <c r="R762" s="17" t="e">
        <f>IF(Data!#REF!="","",IF(ISNUMBER(MATCH(Data!#REF!,Data_Val!$B$2:$B$15,0)),0,1))</f>
        <v>#REF!</v>
      </c>
      <c r="S762" s="11" t="str">
        <f>IF(Data!G762="","",IF(Data!G762=Data_Val!$C$2,IF(Data!M762="",0,1),0))</f>
        <v/>
      </c>
      <c r="T762" s="11" t="str">
        <f>IF(Data!M762="","",IF(ISNUMBER(MATCH(Data!N762,Data_Val!$A$2:$A$3,0)),0,1))</f>
        <v/>
      </c>
      <c r="U762" s="11" t="str">
        <f ca="1">IF(Data!M762="","",IF(ISNUMBER(Data!O762),IF(AND(Data!O762&gt;(TODAY()-(Data_Val!$K$3*365.25)),Data!O762&lt;=(TODAY()-(Data_Val!$K$2*365.25))),0,1),1))</f>
        <v/>
      </c>
      <c r="V762" s="12" t="str">
        <f>IF(Data!G762="","",IF(Data!G762=Data_Val!$C$2,IF(Data!P762="",0,1),0))</f>
        <v/>
      </c>
      <c r="W762" s="12" t="str">
        <f>IF(Data!P762="","",IF(ISNUMBER(MATCH(Data!Q762,Data_Val!$A$2:$A$3,0)),0,1))</f>
        <v/>
      </c>
      <c r="X762" s="26" t="str">
        <f ca="1">IF(Data!P762="","",IF(ISNUMBER(Data!R762),IF(AND(Data!R762&gt;(TODAY()-(Data_Val!$L$3*365.25)),Data!R762&lt;=(TODAY()-(Data_Val!$L$2*365.25))),0,1),1))</f>
        <v/>
      </c>
      <c r="Y762" s="13" t="str">
        <f>IF(Data!$G762="","",IF(Data!$G762=Data_Val!$C$2,IF(Data!S762="",0,1),0))</f>
        <v/>
      </c>
      <c r="Z762" s="13" t="str">
        <f>IF(Data!S762="","",IF(ISNUMBER(MATCH(Data!T762,Data_Val!$A$2:$A$3,0)),0,1))</f>
        <v/>
      </c>
      <c r="AA762" s="28" t="str">
        <f ca="1">IF(Data!S762="","",IF(ISNUMBER(Data!U762),IF(AND(Data!U762&gt;(TODAY()-(Data_Val!$L$3*365.25)),Data!U762&lt;=(TODAY()-(Data_Val!$L$2*365.25))),0,1),1))</f>
        <v/>
      </c>
      <c r="AB762" s="11"/>
      <c r="AC762" s="11" t="e">
        <f>IF(Data!#REF!="","",IF(ISNUMBER(MATCH(Data!#REF!,Data_Val!$A$2:$A$3,0)),0,1))</f>
        <v>#REF!</v>
      </c>
      <c r="AD762" s="11" t="e">
        <f ca="1">IF(Data!#REF!="","",IF(ISNUMBER(Data!#REF!),IF(AND(Data!#REF!&gt;(TODAY()-(Data_Val!$L$3*365.25)),Data!#REF!&lt;=(TODAY()-(Data_Val!$L$2*365.25))),0,1),1))</f>
        <v>#REF!</v>
      </c>
      <c r="AE762" s="11" t="e">
        <f>IF(Data!#REF!="","",IF(Data!$G762="",1,IF(ISNUMBER(MATCH(Data!#REF!,Data_Val!$D$2:$D$10,0)),0,1)))</f>
        <v>#REF!</v>
      </c>
      <c r="AF762" s="12"/>
      <c r="AG762" s="12" t="e">
        <f>IF(Data!#REF!="","",IF(ISNUMBER(MATCH(Data!#REF!,Data_Val!$A$2:$A$3,0)),0,1))</f>
        <v>#REF!</v>
      </c>
      <c r="AH762" s="26" t="e">
        <f ca="1">IF(Data!#REF!="","",IF(ISNUMBER(Data!#REF!),IF(AND(Data!#REF!&gt;(TODAY()-(Data_Val!$L$3*365.25)),Data!#REF!&lt;=(TODAY()-(Data_Val!$L$2*365.25))),0,1),1))</f>
        <v>#REF!</v>
      </c>
      <c r="AI762" s="12" t="e">
        <f>IF(Data!#REF!="","",IF(Data!$G762="",1,IF(ISNUMBER(MATCH(Data!#REF!,Data_Val!$D$2:$D$10,0)),0,1)))</f>
        <v>#REF!</v>
      </c>
      <c r="AJ762" s="17"/>
      <c r="AK762" s="17" t="e">
        <f>IF(Data!#REF!="","",IF(ISNUMBER(MATCH(Data!#REF!,Data_Val!$A$2:$A$3,0)),0,1))</f>
        <v>#REF!</v>
      </c>
      <c r="AL762" s="25" t="e">
        <f ca="1">IF(Data!#REF!="","",IF(ISNUMBER(Data!#REF!),IF(AND(Data!#REF!&gt;(TODAY()-(Data_Val!$L$3*365.25)),Data!#REF!&lt;=(TODAY()-(Data_Val!$L$2*365.25))),0,1),1))</f>
        <v>#REF!</v>
      </c>
      <c r="AM762" s="17" t="e">
        <f>IF(Data!#REF!="","",IF(Data!$G762="",1,IF(ISNUMBER(MATCH(Data!#REF!,Data_Val!$D$2:$D$10,0)),0,1)))</f>
        <v>#REF!</v>
      </c>
      <c r="AN762" s="13"/>
      <c r="AO762" s="28" t="e">
        <f ca="1">IF(Data!#REF!="","",IF(ISNUMBER(Data!#REF!),IF(AND(Data!#REF!&gt;(TODAY()-(Data_Val!$I$3*365.25)),Data!#REF!&lt;=(TODAY()-(Data_Val!$I$2*365.25))),0,1),1))</f>
        <v>#REF!</v>
      </c>
      <c r="AP762" s="13" t="e">
        <f>IF(Data!#REF!="","",IF(Data!$G762="",1,IF(ISNUMBER(MATCH(Data!#REF!,Data_Val!$D$2:$D$10,0)),0,1)))</f>
        <v>#REF!</v>
      </c>
      <c r="AQ762" s="17"/>
      <c r="AR762" s="30" t="e">
        <f ca="1">IF(Data!#REF!="","",IF(ISNUMBER(Data!#REF!),IF(AND(Data!#REF!&gt;(TODAY()-(Data_Val!$I$3*365.25)),Data!#REF!&lt;=(TODAY()-(Data_Val!$I$2*365.25))),0,1),1))</f>
        <v>#REF!</v>
      </c>
      <c r="AS762" s="31" t="e">
        <f>IF(Data!#REF!="","",IF(Data!$G762="",1,IF(ISNUMBER(MATCH(Data!#REF!,Data_Val!$D$2:$D$10,0)),0,1)))</f>
        <v>#REF!</v>
      </c>
      <c r="AT762" s="11"/>
      <c r="AU762" s="11" t="e">
        <f ca="1">IF(Data!#REF!="","",IF(ISNUMBER(Data!#REF!),IF(AND(Data!#REF!&gt;(TODAY()-(Data_Val!$I$3*365.25)),Data!#REF!&lt;=(TODAY()-(Data_Val!$I$2*365.25))),0,1),1))</f>
        <v>#REF!</v>
      </c>
      <c r="AV762" s="11" t="e">
        <f>IF(Data!#REF!="","",IF(Data!$G762="",1,IF(ISNUMBER(MATCH(Data!#REF!,Data_Val!$D$2:$D$10,0)),0,1)))</f>
        <v>#REF!</v>
      </c>
      <c r="AW762" s="12"/>
      <c r="AX762" s="26" t="e">
        <f ca="1">IF(Data!#REF!="","",IF(ISNUMBER(Data!#REF!),IF(AND(Data!#REF!&gt;(TODAY()-(Data_Val!$I$3*365.25)),Data!#REF!&lt;=(TODAY()-(Data_Val!$I$2*365.25))),0,1),1))</f>
        <v>#REF!</v>
      </c>
      <c r="AY762" s="12" t="e">
        <f>IF(Data!#REF!="","",IF(Data!$G762="",1,IF(ISNUMBER(MATCH(Data!#REF!,Data_Val!$D$2:$D$10,0)),0,1)))</f>
        <v>#REF!</v>
      </c>
      <c r="AZ762" s="11"/>
      <c r="BA762" s="19" t="e">
        <f ca="1">IF(Data!#REF!="","",IF(ISNUMBER(Data!#REF!),IF(AND(Data!#REF!&gt;(TODAY()-(Data_Val!$M$3*365.25)),Data!#REF!&lt;=(TODAY()-(Data_Val!$M$2*365.25))),0,1),1))</f>
        <v>#REF!</v>
      </c>
      <c r="BB762" s="11" t="e">
        <f>IF(Data!#REF!="","",IF(Data!$G762="",1,IF(ISNUMBER(MATCH(Data!#REF!,Data_Val!$D$2:$D$10,0)),0,1)))</f>
        <v>#REF!</v>
      </c>
      <c r="BC762" s="12"/>
      <c r="BD762" s="20" t="e">
        <f ca="1">IF(Data!#REF!="","",IF(ISNUMBER(Data!#REF!),IF(AND(Data!#REF!&gt;(TODAY()-(Data_Val!$M$3*365.25)),Data!#REF!&lt;=(TODAY()-(Data_Val!$M$2*365.25))),0,1),1))</f>
        <v>#REF!</v>
      </c>
      <c r="BE762" s="12" t="e">
        <f>IF(Data!#REF!="","",IF(Data!$G762="",1,IF(ISNUMBER(MATCH(Data!#REF!,Data_Val!$D$2:$D$10,0)),0,1)))</f>
        <v>#REF!</v>
      </c>
      <c r="BF762" s="17"/>
      <c r="BG762" s="18" t="e">
        <f ca="1">IF(Data!#REF!="","",IF(ISNUMBER(Data!#REF!),IF(AND(Data!#REF!&gt;(TODAY()-(Data_Val!$M$3*365.25)),Data!#REF!&lt;=(TODAY()-(Data_Val!$M$2*365.25))),0,1),1))</f>
        <v>#REF!</v>
      </c>
      <c r="BH762" s="29" t="e">
        <f>IF(Data!#REF!="","",IF(Data!$G762="",1,IF(ISNUMBER(MATCH(Data!#REF!,Data_Val!$D$2:$D$10,0)),0,1)))</f>
        <v>#REF!</v>
      </c>
      <c r="BI762" s="13"/>
      <c r="BJ762" s="21" t="e">
        <f ca="1">IF(Data!#REF!="","",IF(ISNUMBER(Data!#REF!),IF(AND(Data!#REF!&gt;(TODAY()-(Data_Val!$M$3*365.25)),Data!#REF!&lt;=(TODAY()-(Data_Val!$M$2*365.25))),0,1),1))</f>
        <v>#REF!</v>
      </c>
      <c r="BK762" s="13" t="e">
        <f>IF(Data!#REF!="","",IF(Data!$G762="",1,IF(ISNUMBER(MATCH(Data!#REF!,Data_Val!$D$2:$D$10,0)),0,1)))</f>
        <v>#REF!</v>
      </c>
    </row>
    <row r="763" spans="1:63" x14ac:dyDescent="0.25">
      <c r="A763" s="9" t="str">
        <f>IF(Data!B763="","",IF(COUNTIFS(Data!A$1:'Data'!A763,Data!A763)&lt;=1,0,1))</f>
        <v/>
      </c>
      <c r="B763" s="9"/>
      <c r="C763" s="23" t="str">
        <f>IF(Data!C763="","",(IF(ISNUMBER(MATCH("*@*.?*",Data!C763,0)),0,1)+IF(COUNTIFS(Data!C$1:'Data'!C763,Data!C763)&gt;1,1,0)))</f>
        <v/>
      </c>
      <c r="D763" s="9" t="str">
        <f>IF(Data!B763="","",IF(ISNUMBER(Data!D763),IF(AND(Data!D763&gt;999999999,Data!D763&lt;=9999999999),IF(COUNTIFS(Data!D$1:'Data'!D763,Data!D763)&lt;=1,0,1),1),1))</f>
        <v/>
      </c>
      <c r="E763" s="9" t="str">
        <f>IF(Data!B763="","",IF(ISNUMBER(MATCH(Data!E763,Data_Val!$A$2:$A$3,0)),0,1))</f>
        <v/>
      </c>
      <c r="F763" s="9" t="str">
        <f ca="1">IF(Data!B763="","",IF(ISNUMBER(Data!F763),IF(AND(Data!F763&gt;(TODAY()-(Data_Val!$H$3*365.25)),Data!F763&lt;=(TODAY()-(Data_Val!$H$2*365.25))),0,1),1))</f>
        <v/>
      </c>
      <c r="G763" s="15" t="str">
        <f>IF(Data!B763="","",IF(AND(Data!G763="",Data!H763&lt;&gt;""),1,IF(Data!#REF!&lt;&gt;"",0,IF(ISNUMBER(MATCH(Data!G763,Data_Val!$C$2:$C$5,0)),0,1))))</f>
        <v/>
      </c>
      <c r="H763" s="15" t="str">
        <f>IF(Data!B763="","",IF(AND(Data!G763&lt;&gt;"",Data!H763=""),1,IF(Data!#REF!&lt;&gt;"",0,IF(Data!G763="",1,IF(ISNUMBER(MATCH(Data!H763,Data_Val!$D$2:$D$35,0)),0,1)))))</f>
        <v/>
      </c>
      <c r="I763" s="15" t="str">
        <f>IF(Data!B763="","",IF(Data!G763&lt;&gt;"",0,IF(ISNUMBER(MATCH(Data!#REF!,Data_Val!$E$2:$E$12,0)),0,1)))</f>
        <v/>
      </c>
      <c r="J763" s="16" t="e">
        <f>IF(OR(Data!B763="",Data!#REF!=""),"",IF(Data!#REF!="",1,0))</f>
        <v>#REF!</v>
      </c>
      <c r="K763" s="16" t="e">
        <f>IF(OR(Data!B763="",Data!#REF!=""),"",IF(Data!#REF!="",1,0))</f>
        <v>#REF!</v>
      </c>
      <c r="L763" s="16" t="e">
        <f>IF(OR(Data!B763="",Data!#REF!=""),"",IF(ISNUMBER(Data!#REF!),IF(AND(Data!#REF!&gt;Data_Val!$G$2,Data!#REF!&lt;=Data_Val!$G$3),0,1),1))</f>
        <v>#REF!</v>
      </c>
      <c r="M763" s="9" t="e">
        <f>IF(OR(Data!B763="",Data!#REF!=""),"",IF(ISNUMBER(MATCH(Data!#REF!,Data_Val!$F$1:$F$38,0)),0,1))</f>
        <v>#REF!</v>
      </c>
      <c r="N763" s="9" t="e">
        <f>IF(OR(Data!B763="",Data!#REF!=""),"",IF(Data!#REF!="",1,0))</f>
        <v>#REF!</v>
      </c>
      <c r="O763" s="17" t="e">
        <f>IF(Data!#REF!="","",IF(Data!#REF!="",1,0))</f>
        <v>#REF!</v>
      </c>
      <c r="P763" s="17" t="e">
        <f>IF(Data!#REF!="","",IF(ISNUMBER(MATCH(Data!#REF!,Data_Val!$A$2:$A$3,0)),0,1))</f>
        <v>#REF!</v>
      </c>
      <c r="Q763" s="25" t="e">
        <f ca="1">IF(Data!#REF!="","",IF(ISNUMBER(Data!#REF!),IF(AND(Data!#REF!&gt;(TODAY()-(Data_Val!$J$3*365.25)),Data!#REF!&lt;=(TODAY()-(Data_Val!$J$2*365.25))),0,1),1))</f>
        <v>#REF!</v>
      </c>
      <c r="R763" s="17" t="e">
        <f>IF(Data!#REF!="","",IF(ISNUMBER(MATCH(Data!#REF!,Data_Val!$B$2:$B$15,0)),0,1))</f>
        <v>#REF!</v>
      </c>
      <c r="S763" s="11" t="str">
        <f>IF(Data!G763="","",IF(Data!G763=Data_Val!$C$2,IF(Data!M763="",0,1),0))</f>
        <v/>
      </c>
      <c r="T763" s="11" t="str">
        <f>IF(Data!M763="","",IF(ISNUMBER(MATCH(Data!N763,Data_Val!$A$2:$A$3,0)),0,1))</f>
        <v/>
      </c>
      <c r="U763" s="11" t="str">
        <f ca="1">IF(Data!M763="","",IF(ISNUMBER(Data!O763),IF(AND(Data!O763&gt;(TODAY()-(Data_Val!$K$3*365.25)),Data!O763&lt;=(TODAY()-(Data_Val!$K$2*365.25))),0,1),1))</f>
        <v/>
      </c>
      <c r="V763" s="12" t="str">
        <f>IF(Data!G763="","",IF(Data!G763=Data_Val!$C$2,IF(Data!P763="",0,1),0))</f>
        <v/>
      </c>
      <c r="W763" s="12" t="str">
        <f>IF(Data!P763="","",IF(ISNUMBER(MATCH(Data!Q763,Data_Val!$A$2:$A$3,0)),0,1))</f>
        <v/>
      </c>
      <c r="X763" s="26" t="str">
        <f ca="1">IF(Data!P763="","",IF(ISNUMBER(Data!R763),IF(AND(Data!R763&gt;(TODAY()-(Data_Val!$L$3*365.25)),Data!R763&lt;=(TODAY()-(Data_Val!$L$2*365.25))),0,1),1))</f>
        <v/>
      </c>
      <c r="Y763" s="13" t="str">
        <f>IF(Data!$G763="","",IF(Data!$G763=Data_Val!$C$2,IF(Data!S763="",0,1),0))</f>
        <v/>
      </c>
      <c r="Z763" s="13" t="str">
        <f>IF(Data!S763="","",IF(ISNUMBER(MATCH(Data!T763,Data_Val!$A$2:$A$3,0)),0,1))</f>
        <v/>
      </c>
      <c r="AA763" s="28" t="str">
        <f ca="1">IF(Data!S763="","",IF(ISNUMBER(Data!U763),IF(AND(Data!U763&gt;(TODAY()-(Data_Val!$L$3*365.25)),Data!U763&lt;=(TODAY()-(Data_Val!$L$2*365.25))),0,1),1))</f>
        <v/>
      </c>
      <c r="AB763" s="11"/>
      <c r="AC763" s="11" t="e">
        <f>IF(Data!#REF!="","",IF(ISNUMBER(MATCH(Data!#REF!,Data_Val!$A$2:$A$3,0)),0,1))</f>
        <v>#REF!</v>
      </c>
      <c r="AD763" s="11" t="e">
        <f ca="1">IF(Data!#REF!="","",IF(ISNUMBER(Data!#REF!),IF(AND(Data!#REF!&gt;(TODAY()-(Data_Val!$L$3*365.25)),Data!#REF!&lt;=(TODAY()-(Data_Val!$L$2*365.25))),0,1),1))</f>
        <v>#REF!</v>
      </c>
      <c r="AE763" s="11" t="e">
        <f>IF(Data!#REF!="","",IF(Data!$G763="",1,IF(ISNUMBER(MATCH(Data!#REF!,Data_Val!$D$2:$D$10,0)),0,1)))</f>
        <v>#REF!</v>
      </c>
      <c r="AF763" s="12"/>
      <c r="AG763" s="12" t="e">
        <f>IF(Data!#REF!="","",IF(ISNUMBER(MATCH(Data!#REF!,Data_Val!$A$2:$A$3,0)),0,1))</f>
        <v>#REF!</v>
      </c>
      <c r="AH763" s="26" t="e">
        <f ca="1">IF(Data!#REF!="","",IF(ISNUMBER(Data!#REF!),IF(AND(Data!#REF!&gt;(TODAY()-(Data_Val!$L$3*365.25)),Data!#REF!&lt;=(TODAY()-(Data_Val!$L$2*365.25))),0,1),1))</f>
        <v>#REF!</v>
      </c>
      <c r="AI763" s="12" t="e">
        <f>IF(Data!#REF!="","",IF(Data!$G763="",1,IF(ISNUMBER(MATCH(Data!#REF!,Data_Val!$D$2:$D$10,0)),0,1)))</f>
        <v>#REF!</v>
      </c>
      <c r="AJ763" s="17"/>
      <c r="AK763" s="17" t="e">
        <f>IF(Data!#REF!="","",IF(ISNUMBER(MATCH(Data!#REF!,Data_Val!$A$2:$A$3,0)),0,1))</f>
        <v>#REF!</v>
      </c>
      <c r="AL763" s="25" t="e">
        <f ca="1">IF(Data!#REF!="","",IF(ISNUMBER(Data!#REF!),IF(AND(Data!#REF!&gt;(TODAY()-(Data_Val!$L$3*365.25)),Data!#REF!&lt;=(TODAY()-(Data_Val!$L$2*365.25))),0,1),1))</f>
        <v>#REF!</v>
      </c>
      <c r="AM763" s="17" t="e">
        <f>IF(Data!#REF!="","",IF(Data!$G763="",1,IF(ISNUMBER(MATCH(Data!#REF!,Data_Val!$D$2:$D$10,0)),0,1)))</f>
        <v>#REF!</v>
      </c>
      <c r="AN763" s="13"/>
      <c r="AO763" s="28" t="e">
        <f ca="1">IF(Data!#REF!="","",IF(ISNUMBER(Data!#REF!),IF(AND(Data!#REF!&gt;(TODAY()-(Data_Val!$I$3*365.25)),Data!#REF!&lt;=(TODAY()-(Data_Val!$I$2*365.25))),0,1),1))</f>
        <v>#REF!</v>
      </c>
      <c r="AP763" s="13" t="e">
        <f>IF(Data!#REF!="","",IF(Data!$G763="",1,IF(ISNUMBER(MATCH(Data!#REF!,Data_Val!$D$2:$D$10,0)),0,1)))</f>
        <v>#REF!</v>
      </c>
      <c r="AQ763" s="17"/>
      <c r="AR763" s="30" t="e">
        <f ca="1">IF(Data!#REF!="","",IF(ISNUMBER(Data!#REF!),IF(AND(Data!#REF!&gt;(TODAY()-(Data_Val!$I$3*365.25)),Data!#REF!&lt;=(TODAY()-(Data_Val!$I$2*365.25))),0,1),1))</f>
        <v>#REF!</v>
      </c>
      <c r="AS763" s="31" t="e">
        <f>IF(Data!#REF!="","",IF(Data!$G763="",1,IF(ISNUMBER(MATCH(Data!#REF!,Data_Val!$D$2:$D$10,0)),0,1)))</f>
        <v>#REF!</v>
      </c>
      <c r="AT763" s="11"/>
      <c r="AU763" s="11" t="e">
        <f ca="1">IF(Data!#REF!="","",IF(ISNUMBER(Data!#REF!),IF(AND(Data!#REF!&gt;(TODAY()-(Data_Val!$I$3*365.25)),Data!#REF!&lt;=(TODAY()-(Data_Val!$I$2*365.25))),0,1),1))</f>
        <v>#REF!</v>
      </c>
      <c r="AV763" s="11" t="e">
        <f>IF(Data!#REF!="","",IF(Data!$G763="",1,IF(ISNUMBER(MATCH(Data!#REF!,Data_Val!$D$2:$D$10,0)),0,1)))</f>
        <v>#REF!</v>
      </c>
      <c r="AW763" s="12"/>
      <c r="AX763" s="26" t="e">
        <f ca="1">IF(Data!#REF!="","",IF(ISNUMBER(Data!#REF!),IF(AND(Data!#REF!&gt;(TODAY()-(Data_Val!$I$3*365.25)),Data!#REF!&lt;=(TODAY()-(Data_Val!$I$2*365.25))),0,1),1))</f>
        <v>#REF!</v>
      </c>
      <c r="AY763" s="12" t="e">
        <f>IF(Data!#REF!="","",IF(Data!$G763="",1,IF(ISNUMBER(MATCH(Data!#REF!,Data_Val!$D$2:$D$10,0)),0,1)))</f>
        <v>#REF!</v>
      </c>
      <c r="AZ763" s="11"/>
      <c r="BA763" s="19" t="e">
        <f ca="1">IF(Data!#REF!="","",IF(ISNUMBER(Data!#REF!),IF(AND(Data!#REF!&gt;(TODAY()-(Data_Val!$M$3*365.25)),Data!#REF!&lt;=(TODAY()-(Data_Val!$M$2*365.25))),0,1),1))</f>
        <v>#REF!</v>
      </c>
      <c r="BB763" s="11" t="e">
        <f>IF(Data!#REF!="","",IF(Data!$G763="",1,IF(ISNUMBER(MATCH(Data!#REF!,Data_Val!$D$2:$D$10,0)),0,1)))</f>
        <v>#REF!</v>
      </c>
      <c r="BC763" s="12"/>
      <c r="BD763" s="20" t="e">
        <f ca="1">IF(Data!#REF!="","",IF(ISNUMBER(Data!#REF!),IF(AND(Data!#REF!&gt;(TODAY()-(Data_Val!$M$3*365.25)),Data!#REF!&lt;=(TODAY()-(Data_Val!$M$2*365.25))),0,1),1))</f>
        <v>#REF!</v>
      </c>
      <c r="BE763" s="12" t="e">
        <f>IF(Data!#REF!="","",IF(Data!$G763="",1,IF(ISNUMBER(MATCH(Data!#REF!,Data_Val!$D$2:$D$10,0)),0,1)))</f>
        <v>#REF!</v>
      </c>
      <c r="BF763" s="17"/>
      <c r="BG763" s="18" t="e">
        <f ca="1">IF(Data!#REF!="","",IF(ISNUMBER(Data!#REF!),IF(AND(Data!#REF!&gt;(TODAY()-(Data_Val!$M$3*365.25)),Data!#REF!&lt;=(TODAY()-(Data_Val!$M$2*365.25))),0,1),1))</f>
        <v>#REF!</v>
      </c>
      <c r="BH763" s="29" t="e">
        <f>IF(Data!#REF!="","",IF(Data!$G763="",1,IF(ISNUMBER(MATCH(Data!#REF!,Data_Val!$D$2:$D$10,0)),0,1)))</f>
        <v>#REF!</v>
      </c>
      <c r="BI763" s="13"/>
      <c r="BJ763" s="21" t="e">
        <f ca="1">IF(Data!#REF!="","",IF(ISNUMBER(Data!#REF!),IF(AND(Data!#REF!&gt;(TODAY()-(Data_Val!$M$3*365.25)),Data!#REF!&lt;=(TODAY()-(Data_Val!$M$2*365.25))),0,1),1))</f>
        <v>#REF!</v>
      </c>
      <c r="BK763" s="13" t="e">
        <f>IF(Data!#REF!="","",IF(Data!$G763="",1,IF(ISNUMBER(MATCH(Data!#REF!,Data_Val!$D$2:$D$10,0)),0,1)))</f>
        <v>#REF!</v>
      </c>
    </row>
    <row r="764" spans="1:63" x14ac:dyDescent="0.25">
      <c r="A764" s="9" t="str">
        <f>IF(Data!B764="","",IF(COUNTIFS(Data!A$1:'Data'!A764,Data!A764)&lt;=1,0,1))</f>
        <v/>
      </c>
      <c r="B764" s="9"/>
      <c r="C764" s="23" t="str">
        <f>IF(Data!C764="","",(IF(ISNUMBER(MATCH("*@*.?*",Data!C764,0)),0,1)+IF(COUNTIFS(Data!C$1:'Data'!C764,Data!C764)&gt;1,1,0)))</f>
        <v/>
      </c>
      <c r="D764" s="9" t="str">
        <f>IF(Data!B764="","",IF(ISNUMBER(Data!D764),IF(AND(Data!D764&gt;999999999,Data!D764&lt;=9999999999),IF(COUNTIFS(Data!D$1:'Data'!D764,Data!D764)&lt;=1,0,1),1),1))</f>
        <v/>
      </c>
      <c r="E764" s="9" t="str">
        <f>IF(Data!B764="","",IF(ISNUMBER(MATCH(Data!E764,Data_Val!$A$2:$A$3,0)),0,1))</f>
        <v/>
      </c>
      <c r="F764" s="9" t="str">
        <f ca="1">IF(Data!B764="","",IF(ISNUMBER(Data!F764),IF(AND(Data!F764&gt;(TODAY()-(Data_Val!$H$3*365.25)),Data!F764&lt;=(TODAY()-(Data_Val!$H$2*365.25))),0,1),1))</f>
        <v/>
      </c>
      <c r="G764" s="15" t="str">
        <f>IF(Data!B764="","",IF(AND(Data!G764="",Data!H764&lt;&gt;""),1,IF(Data!#REF!&lt;&gt;"",0,IF(ISNUMBER(MATCH(Data!G764,Data_Val!$C$2:$C$5,0)),0,1))))</f>
        <v/>
      </c>
      <c r="H764" s="15" t="str">
        <f>IF(Data!B764="","",IF(AND(Data!G764&lt;&gt;"",Data!H764=""),1,IF(Data!#REF!&lt;&gt;"",0,IF(Data!G764="",1,IF(ISNUMBER(MATCH(Data!H764,Data_Val!$D$2:$D$35,0)),0,1)))))</f>
        <v/>
      </c>
      <c r="I764" s="15" t="str">
        <f>IF(Data!B764="","",IF(Data!G764&lt;&gt;"",0,IF(ISNUMBER(MATCH(Data!#REF!,Data_Val!$E$2:$E$12,0)),0,1)))</f>
        <v/>
      </c>
      <c r="J764" s="16" t="e">
        <f>IF(OR(Data!B764="",Data!#REF!=""),"",IF(Data!#REF!="",1,0))</f>
        <v>#REF!</v>
      </c>
      <c r="K764" s="16" t="e">
        <f>IF(OR(Data!B764="",Data!#REF!=""),"",IF(Data!#REF!="",1,0))</f>
        <v>#REF!</v>
      </c>
      <c r="L764" s="16" t="e">
        <f>IF(OR(Data!B764="",Data!#REF!=""),"",IF(ISNUMBER(Data!#REF!),IF(AND(Data!#REF!&gt;Data_Val!$G$2,Data!#REF!&lt;=Data_Val!$G$3),0,1),1))</f>
        <v>#REF!</v>
      </c>
      <c r="M764" s="9" t="e">
        <f>IF(OR(Data!B764="",Data!#REF!=""),"",IF(ISNUMBER(MATCH(Data!#REF!,Data_Val!$F$1:$F$38,0)),0,1))</f>
        <v>#REF!</v>
      </c>
      <c r="N764" s="9" t="e">
        <f>IF(OR(Data!B764="",Data!#REF!=""),"",IF(Data!#REF!="",1,0))</f>
        <v>#REF!</v>
      </c>
      <c r="O764" s="17" t="e">
        <f>IF(Data!#REF!="","",IF(Data!#REF!="",1,0))</f>
        <v>#REF!</v>
      </c>
      <c r="P764" s="17" t="e">
        <f>IF(Data!#REF!="","",IF(ISNUMBER(MATCH(Data!#REF!,Data_Val!$A$2:$A$3,0)),0,1))</f>
        <v>#REF!</v>
      </c>
      <c r="Q764" s="25" t="e">
        <f ca="1">IF(Data!#REF!="","",IF(ISNUMBER(Data!#REF!),IF(AND(Data!#REF!&gt;(TODAY()-(Data_Val!$J$3*365.25)),Data!#REF!&lt;=(TODAY()-(Data_Val!$J$2*365.25))),0,1),1))</f>
        <v>#REF!</v>
      </c>
      <c r="R764" s="17" t="e">
        <f>IF(Data!#REF!="","",IF(ISNUMBER(MATCH(Data!#REF!,Data_Val!$B$2:$B$15,0)),0,1))</f>
        <v>#REF!</v>
      </c>
      <c r="S764" s="11" t="str">
        <f>IF(Data!G764="","",IF(Data!G764=Data_Val!$C$2,IF(Data!M764="",0,1),0))</f>
        <v/>
      </c>
      <c r="T764" s="11" t="str">
        <f>IF(Data!M764="","",IF(ISNUMBER(MATCH(Data!N764,Data_Val!$A$2:$A$3,0)),0,1))</f>
        <v/>
      </c>
      <c r="U764" s="11" t="str">
        <f ca="1">IF(Data!M764="","",IF(ISNUMBER(Data!O764),IF(AND(Data!O764&gt;(TODAY()-(Data_Val!$K$3*365.25)),Data!O764&lt;=(TODAY()-(Data_Val!$K$2*365.25))),0,1),1))</f>
        <v/>
      </c>
      <c r="V764" s="12" t="str">
        <f>IF(Data!G764="","",IF(Data!G764=Data_Val!$C$2,IF(Data!P764="",0,1),0))</f>
        <v/>
      </c>
      <c r="W764" s="12" t="str">
        <f>IF(Data!P764="","",IF(ISNUMBER(MATCH(Data!Q764,Data_Val!$A$2:$A$3,0)),0,1))</f>
        <v/>
      </c>
      <c r="X764" s="26" t="str">
        <f ca="1">IF(Data!P764="","",IF(ISNUMBER(Data!R764),IF(AND(Data!R764&gt;(TODAY()-(Data_Val!$L$3*365.25)),Data!R764&lt;=(TODAY()-(Data_Val!$L$2*365.25))),0,1),1))</f>
        <v/>
      </c>
      <c r="Y764" s="13" t="str">
        <f>IF(Data!$G764="","",IF(Data!$G764=Data_Val!$C$2,IF(Data!S764="",0,1),0))</f>
        <v/>
      </c>
      <c r="Z764" s="13" t="str">
        <f>IF(Data!S764="","",IF(ISNUMBER(MATCH(Data!T764,Data_Val!$A$2:$A$3,0)),0,1))</f>
        <v/>
      </c>
      <c r="AA764" s="28" t="str">
        <f ca="1">IF(Data!S764="","",IF(ISNUMBER(Data!U764),IF(AND(Data!U764&gt;(TODAY()-(Data_Val!$L$3*365.25)),Data!U764&lt;=(TODAY()-(Data_Val!$L$2*365.25))),0,1),1))</f>
        <v/>
      </c>
      <c r="AB764" s="11"/>
      <c r="AC764" s="11" t="e">
        <f>IF(Data!#REF!="","",IF(ISNUMBER(MATCH(Data!#REF!,Data_Val!$A$2:$A$3,0)),0,1))</f>
        <v>#REF!</v>
      </c>
      <c r="AD764" s="11" t="e">
        <f ca="1">IF(Data!#REF!="","",IF(ISNUMBER(Data!#REF!),IF(AND(Data!#REF!&gt;(TODAY()-(Data_Val!$L$3*365.25)),Data!#REF!&lt;=(TODAY()-(Data_Val!$L$2*365.25))),0,1),1))</f>
        <v>#REF!</v>
      </c>
      <c r="AE764" s="11" t="e">
        <f>IF(Data!#REF!="","",IF(Data!$G764="",1,IF(ISNUMBER(MATCH(Data!#REF!,Data_Val!$D$2:$D$10,0)),0,1)))</f>
        <v>#REF!</v>
      </c>
      <c r="AF764" s="12"/>
      <c r="AG764" s="12" t="e">
        <f>IF(Data!#REF!="","",IF(ISNUMBER(MATCH(Data!#REF!,Data_Val!$A$2:$A$3,0)),0,1))</f>
        <v>#REF!</v>
      </c>
      <c r="AH764" s="26" t="e">
        <f ca="1">IF(Data!#REF!="","",IF(ISNUMBER(Data!#REF!),IF(AND(Data!#REF!&gt;(TODAY()-(Data_Val!$L$3*365.25)),Data!#REF!&lt;=(TODAY()-(Data_Val!$L$2*365.25))),0,1),1))</f>
        <v>#REF!</v>
      </c>
      <c r="AI764" s="12" t="e">
        <f>IF(Data!#REF!="","",IF(Data!$G764="",1,IF(ISNUMBER(MATCH(Data!#REF!,Data_Val!$D$2:$D$10,0)),0,1)))</f>
        <v>#REF!</v>
      </c>
      <c r="AJ764" s="17"/>
      <c r="AK764" s="17" t="e">
        <f>IF(Data!#REF!="","",IF(ISNUMBER(MATCH(Data!#REF!,Data_Val!$A$2:$A$3,0)),0,1))</f>
        <v>#REF!</v>
      </c>
      <c r="AL764" s="25" t="e">
        <f ca="1">IF(Data!#REF!="","",IF(ISNUMBER(Data!#REF!),IF(AND(Data!#REF!&gt;(TODAY()-(Data_Val!$L$3*365.25)),Data!#REF!&lt;=(TODAY()-(Data_Val!$L$2*365.25))),0,1),1))</f>
        <v>#REF!</v>
      </c>
      <c r="AM764" s="17" t="e">
        <f>IF(Data!#REF!="","",IF(Data!$G764="",1,IF(ISNUMBER(MATCH(Data!#REF!,Data_Val!$D$2:$D$10,0)),0,1)))</f>
        <v>#REF!</v>
      </c>
      <c r="AN764" s="13"/>
      <c r="AO764" s="28" t="e">
        <f ca="1">IF(Data!#REF!="","",IF(ISNUMBER(Data!#REF!),IF(AND(Data!#REF!&gt;(TODAY()-(Data_Val!$I$3*365.25)),Data!#REF!&lt;=(TODAY()-(Data_Val!$I$2*365.25))),0,1),1))</f>
        <v>#REF!</v>
      </c>
      <c r="AP764" s="13" t="e">
        <f>IF(Data!#REF!="","",IF(Data!$G764="",1,IF(ISNUMBER(MATCH(Data!#REF!,Data_Val!$D$2:$D$10,0)),0,1)))</f>
        <v>#REF!</v>
      </c>
      <c r="AQ764" s="17"/>
      <c r="AR764" s="30" t="e">
        <f ca="1">IF(Data!#REF!="","",IF(ISNUMBER(Data!#REF!),IF(AND(Data!#REF!&gt;(TODAY()-(Data_Val!$I$3*365.25)),Data!#REF!&lt;=(TODAY()-(Data_Val!$I$2*365.25))),0,1),1))</f>
        <v>#REF!</v>
      </c>
      <c r="AS764" s="31" t="e">
        <f>IF(Data!#REF!="","",IF(Data!$G764="",1,IF(ISNUMBER(MATCH(Data!#REF!,Data_Val!$D$2:$D$10,0)),0,1)))</f>
        <v>#REF!</v>
      </c>
      <c r="AT764" s="11"/>
      <c r="AU764" s="11" t="e">
        <f ca="1">IF(Data!#REF!="","",IF(ISNUMBER(Data!#REF!),IF(AND(Data!#REF!&gt;(TODAY()-(Data_Val!$I$3*365.25)),Data!#REF!&lt;=(TODAY()-(Data_Val!$I$2*365.25))),0,1),1))</f>
        <v>#REF!</v>
      </c>
      <c r="AV764" s="11" t="e">
        <f>IF(Data!#REF!="","",IF(Data!$G764="",1,IF(ISNUMBER(MATCH(Data!#REF!,Data_Val!$D$2:$D$10,0)),0,1)))</f>
        <v>#REF!</v>
      </c>
      <c r="AW764" s="12"/>
      <c r="AX764" s="26" t="e">
        <f ca="1">IF(Data!#REF!="","",IF(ISNUMBER(Data!#REF!),IF(AND(Data!#REF!&gt;(TODAY()-(Data_Val!$I$3*365.25)),Data!#REF!&lt;=(TODAY()-(Data_Val!$I$2*365.25))),0,1),1))</f>
        <v>#REF!</v>
      </c>
      <c r="AY764" s="12" t="e">
        <f>IF(Data!#REF!="","",IF(Data!$G764="",1,IF(ISNUMBER(MATCH(Data!#REF!,Data_Val!$D$2:$D$10,0)),0,1)))</f>
        <v>#REF!</v>
      </c>
      <c r="AZ764" s="11"/>
      <c r="BA764" s="19" t="e">
        <f ca="1">IF(Data!#REF!="","",IF(ISNUMBER(Data!#REF!),IF(AND(Data!#REF!&gt;(TODAY()-(Data_Val!$M$3*365.25)),Data!#REF!&lt;=(TODAY()-(Data_Val!$M$2*365.25))),0,1),1))</f>
        <v>#REF!</v>
      </c>
      <c r="BB764" s="11" t="e">
        <f>IF(Data!#REF!="","",IF(Data!$G764="",1,IF(ISNUMBER(MATCH(Data!#REF!,Data_Val!$D$2:$D$10,0)),0,1)))</f>
        <v>#REF!</v>
      </c>
      <c r="BC764" s="12"/>
      <c r="BD764" s="20" t="e">
        <f ca="1">IF(Data!#REF!="","",IF(ISNUMBER(Data!#REF!),IF(AND(Data!#REF!&gt;(TODAY()-(Data_Val!$M$3*365.25)),Data!#REF!&lt;=(TODAY()-(Data_Val!$M$2*365.25))),0,1),1))</f>
        <v>#REF!</v>
      </c>
      <c r="BE764" s="12" t="e">
        <f>IF(Data!#REF!="","",IF(Data!$G764="",1,IF(ISNUMBER(MATCH(Data!#REF!,Data_Val!$D$2:$D$10,0)),0,1)))</f>
        <v>#REF!</v>
      </c>
      <c r="BF764" s="17"/>
      <c r="BG764" s="18" t="e">
        <f ca="1">IF(Data!#REF!="","",IF(ISNUMBER(Data!#REF!),IF(AND(Data!#REF!&gt;(TODAY()-(Data_Val!$M$3*365.25)),Data!#REF!&lt;=(TODAY()-(Data_Val!$M$2*365.25))),0,1),1))</f>
        <v>#REF!</v>
      </c>
      <c r="BH764" s="29" t="e">
        <f>IF(Data!#REF!="","",IF(Data!$G764="",1,IF(ISNUMBER(MATCH(Data!#REF!,Data_Val!$D$2:$D$10,0)),0,1)))</f>
        <v>#REF!</v>
      </c>
      <c r="BI764" s="13"/>
      <c r="BJ764" s="21" t="e">
        <f ca="1">IF(Data!#REF!="","",IF(ISNUMBER(Data!#REF!),IF(AND(Data!#REF!&gt;(TODAY()-(Data_Val!$M$3*365.25)),Data!#REF!&lt;=(TODAY()-(Data_Val!$M$2*365.25))),0,1),1))</f>
        <v>#REF!</v>
      </c>
      <c r="BK764" s="13" t="e">
        <f>IF(Data!#REF!="","",IF(Data!$G764="",1,IF(ISNUMBER(MATCH(Data!#REF!,Data_Val!$D$2:$D$10,0)),0,1)))</f>
        <v>#REF!</v>
      </c>
    </row>
    <row r="765" spans="1:63" x14ac:dyDescent="0.25">
      <c r="A765" s="9" t="str">
        <f>IF(Data!B765="","",IF(COUNTIFS(Data!A$1:'Data'!A765,Data!A765)&lt;=1,0,1))</f>
        <v/>
      </c>
      <c r="B765" s="9"/>
      <c r="C765" s="23" t="str">
        <f>IF(Data!C765="","",(IF(ISNUMBER(MATCH("*@*.?*",Data!C765,0)),0,1)+IF(COUNTIFS(Data!C$1:'Data'!C765,Data!C765)&gt;1,1,0)))</f>
        <v/>
      </c>
      <c r="D765" s="9" t="str">
        <f>IF(Data!B765="","",IF(ISNUMBER(Data!D765),IF(AND(Data!D765&gt;999999999,Data!D765&lt;=9999999999),IF(COUNTIFS(Data!D$1:'Data'!D765,Data!D765)&lt;=1,0,1),1),1))</f>
        <v/>
      </c>
      <c r="E765" s="9" t="str">
        <f>IF(Data!B765="","",IF(ISNUMBER(MATCH(Data!E765,Data_Val!$A$2:$A$3,0)),0,1))</f>
        <v/>
      </c>
      <c r="F765" s="9" t="str">
        <f ca="1">IF(Data!B765="","",IF(ISNUMBER(Data!F765),IF(AND(Data!F765&gt;(TODAY()-(Data_Val!$H$3*365.25)),Data!F765&lt;=(TODAY()-(Data_Val!$H$2*365.25))),0,1),1))</f>
        <v/>
      </c>
      <c r="G765" s="15" t="str">
        <f>IF(Data!B765="","",IF(AND(Data!G765="",Data!H765&lt;&gt;""),1,IF(Data!#REF!&lt;&gt;"",0,IF(ISNUMBER(MATCH(Data!G765,Data_Val!$C$2:$C$5,0)),0,1))))</f>
        <v/>
      </c>
      <c r="H765" s="15" t="str">
        <f>IF(Data!B765="","",IF(AND(Data!G765&lt;&gt;"",Data!H765=""),1,IF(Data!#REF!&lt;&gt;"",0,IF(Data!G765="",1,IF(ISNUMBER(MATCH(Data!H765,Data_Val!$D$2:$D$35,0)),0,1)))))</f>
        <v/>
      </c>
      <c r="I765" s="15" t="str">
        <f>IF(Data!B765="","",IF(Data!G765&lt;&gt;"",0,IF(ISNUMBER(MATCH(Data!#REF!,Data_Val!$E$2:$E$12,0)),0,1)))</f>
        <v/>
      </c>
      <c r="J765" s="16" t="e">
        <f>IF(OR(Data!B765="",Data!#REF!=""),"",IF(Data!#REF!="",1,0))</f>
        <v>#REF!</v>
      </c>
      <c r="K765" s="16" t="e">
        <f>IF(OR(Data!B765="",Data!#REF!=""),"",IF(Data!#REF!="",1,0))</f>
        <v>#REF!</v>
      </c>
      <c r="L765" s="16" t="e">
        <f>IF(OR(Data!B765="",Data!#REF!=""),"",IF(ISNUMBER(Data!#REF!),IF(AND(Data!#REF!&gt;Data_Val!$G$2,Data!#REF!&lt;=Data_Val!$G$3),0,1),1))</f>
        <v>#REF!</v>
      </c>
      <c r="M765" s="9" t="e">
        <f>IF(OR(Data!B765="",Data!#REF!=""),"",IF(ISNUMBER(MATCH(Data!#REF!,Data_Val!$F$1:$F$38,0)),0,1))</f>
        <v>#REF!</v>
      </c>
      <c r="N765" s="9" t="e">
        <f>IF(OR(Data!B765="",Data!#REF!=""),"",IF(Data!#REF!="",1,0))</f>
        <v>#REF!</v>
      </c>
      <c r="O765" s="17" t="e">
        <f>IF(Data!#REF!="","",IF(Data!#REF!="",1,0))</f>
        <v>#REF!</v>
      </c>
      <c r="P765" s="17" t="e">
        <f>IF(Data!#REF!="","",IF(ISNUMBER(MATCH(Data!#REF!,Data_Val!$A$2:$A$3,0)),0,1))</f>
        <v>#REF!</v>
      </c>
      <c r="Q765" s="25" t="e">
        <f ca="1">IF(Data!#REF!="","",IF(ISNUMBER(Data!#REF!),IF(AND(Data!#REF!&gt;(TODAY()-(Data_Val!$J$3*365.25)),Data!#REF!&lt;=(TODAY()-(Data_Val!$J$2*365.25))),0,1),1))</f>
        <v>#REF!</v>
      </c>
      <c r="R765" s="17" t="e">
        <f>IF(Data!#REF!="","",IF(ISNUMBER(MATCH(Data!#REF!,Data_Val!$B$2:$B$15,0)),0,1))</f>
        <v>#REF!</v>
      </c>
      <c r="S765" s="11" t="str">
        <f>IF(Data!G765="","",IF(Data!G765=Data_Val!$C$2,IF(Data!M765="",0,1),0))</f>
        <v/>
      </c>
      <c r="T765" s="11" t="str">
        <f>IF(Data!M765="","",IF(ISNUMBER(MATCH(Data!N765,Data_Val!$A$2:$A$3,0)),0,1))</f>
        <v/>
      </c>
      <c r="U765" s="11" t="str">
        <f ca="1">IF(Data!M765="","",IF(ISNUMBER(Data!O765),IF(AND(Data!O765&gt;(TODAY()-(Data_Val!$K$3*365.25)),Data!O765&lt;=(TODAY()-(Data_Val!$K$2*365.25))),0,1),1))</f>
        <v/>
      </c>
      <c r="V765" s="12" t="str">
        <f>IF(Data!G765="","",IF(Data!G765=Data_Val!$C$2,IF(Data!P765="",0,1),0))</f>
        <v/>
      </c>
      <c r="W765" s="12" t="str">
        <f>IF(Data!P765="","",IF(ISNUMBER(MATCH(Data!Q765,Data_Val!$A$2:$A$3,0)),0,1))</f>
        <v/>
      </c>
      <c r="X765" s="26" t="str">
        <f ca="1">IF(Data!P765="","",IF(ISNUMBER(Data!R765),IF(AND(Data!R765&gt;(TODAY()-(Data_Val!$L$3*365.25)),Data!R765&lt;=(TODAY()-(Data_Val!$L$2*365.25))),0,1),1))</f>
        <v/>
      </c>
      <c r="Y765" s="13" t="str">
        <f>IF(Data!$G765="","",IF(Data!$G765=Data_Val!$C$2,IF(Data!S765="",0,1),0))</f>
        <v/>
      </c>
      <c r="Z765" s="13" t="str">
        <f>IF(Data!S765="","",IF(ISNUMBER(MATCH(Data!T765,Data_Val!$A$2:$A$3,0)),0,1))</f>
        <v/>
      </c>
      <c r="AA765" s="28" t="str">
        <f ca="1">IF(Data!S765="","",IF(ISNUMBER(Data!U765),IF(AND(Data!U765&gt;(TODAY()-(Data_Val!$L$3*365.25)),Data!U765&lt;=(TODAY()-(Data_Val!$L$2*365.25))),0,1),1))</f>
        <v/>
      </c>
      <c r="AB765" s="11"/>
      <c r="AC765" s="11" t="e">
        <f>IF(Data!#REF!="","",IF(ISNUMBER(MATCH(Data!#REF!,Data_Val!$A$2:$A$3,0)),0,1))</f>
        <v>#REF!</v>
      </c>
      <c r="AD765" s="11" t="e">
        <f ca="1">IF(Data!#REF!="","",IF(ISNUMBER(Data!#REF!),IF(AND(Data!#REF!&gt;(TODAY()-(Data_Val!$L$3*365.25)),Data!#REF!&lt;=(TODAY()-(Data_Val!$L$2*365.25))),0,1),1))</f>
        <v>#REF!</v>
      </c>
      <c r="AE765" s="11" t="e">
        <f>IF(Data!#REF!="","",IF(Data!$G765="",1,IF(ISNUMBER(MATCH(Data!#REF!,Data_Val!$D$2:$D$10,0)),0,1)))</f>
        <v>#REF!</v>
      </c>
      <c r="AF765" s="12"/>
      <c r="AG765" s="12" t="e">
        <f>IF(Data!#REF!="","",IF(ISNUMBER(MATCH(Data!#REF!,Data_Val!$A$2:$A$3,0)),0,1))</f>
        <v>#REF!</v>
      </c>
      <c r="AH765" s="26" t="e">
        <f ca="1">IF(Data!#REF!="","",IF(ISNUMBER(Data!#REF!),IF(AND(Data!#REF!&gt;(TODAY()-(Data_Val!$L$3*365.25)),Data!#REF!&lt;=(TODAY()-(Data_Val!$L$2*365.25))),0,1),1))</f>
        <v>#REF!</v>
      </c>
      <c r="AI765" s="12" t="e">
        <f>IF(Data!#REF!="","",IF(Data!$G765="",1,IF(ISNUMBER(MATCH(Data!#REF!,Data_Val!$D$2:$D$10,0)),0,1)))</f>
        <v>#REF!</v>
      </c>
      <c r="AJ765" s="17"/>
      <c r="AK765" s="17" t="e">
        <f>IF(Data!#REF!="","",IF(ISNUMBER(MATCH(Data!#REF!,Data_Val!$A$2:$A$3,0)),0,1))</f>
        <v>#REF!</v>
      </c>
      <c r="AL765" s="25" t="e">
        <f ca="1">IF(Data!#REF!="","",IF(ISNUMBER(Data!#REF!),IF(AND(Data!#REF!&gt;(TODAY()-(Data_Val!$L$3*365.25)),Data!#REF!&lt;=(TODAY()-(Data_Val!$L$2*365.25))),0,1),1))</f>
        <v>#REF!</v>
      </c>
      <c r="AM765" s="17" t="e">
        <f>IF(Data!#REF!="","",IF(Data!$G765="",1,IF(ISNUMBER(MATCH(Data!#REF!,Data_Val!$D$2:$D$10,0)),0,1)))</f>
        <v>#REF!</v>
      </c>
      <c r="AN765" s="13"/>
      <c r="AO765" s="28" t="e">
        <f ca="1">IF(Data!#REF!="","",IF(ISNUMBER(Data!#REF!),IF(AND(Data!#REF!&gt;(TODAY()-(Data_Val!$I$3*365.25)),Data!#REF!&lt;=(TODAY()-(Data_Val!$I$2*365.25))),0,1),1))</f>
        <v>#REF!</v>
      </c>
      <c r="AP765" s="13" t="e">
        <f>IF(Data!#REF!="","",IF(Data!$G765="",1,IF(ISNUMBER(MATCH(Data!#REF!,Data_Val!$D$2:$D$10,0)),0,1)))</f>
        <v>#REF!</v>
      </c>
      <c r="AQ765" s="17"/>
      <c r="AR765" s="30" t="e">
        <f ca="1">IF(Data!#REF!="","",IF(ISNUMBER(Data!#REF!),IF(AND(Data!#REF!&gt;(TODAY()-(Data_Val!$I$3*365.25)),Data!#REF!&lt;=(TODAY()-(Data_Val!$I$2*365.25))),0,1),1))</f>
        <v>#REF!</v>
      </c>
      <c r="AS765" s="31" t="e">
        <f>IF(Data!#REF!="","",IF(Data!$G765="",1,IF(ISNUMBER(MATCH(Data!#REF!,Data_Val!$D$2:$D$10,0)),0,1)))</f>
        <v>#REF!</v>
      </c>
      <c r="AT765" s="11"/>
      <c r="AU765" s="11" t="e">
        <f ca="1">IF(Data!#REF!="","",IF(ISNUMBER(Data!#REF!),IF(AND(Data!#REF!&gt;(TODAY()-(Data_Val!$I$3*365.25)),Data!#REF!&lt;=(TODAY()-(Data_Val!$I$2*365.25))),0,1),1))</f>
        <v>#REF!</v>
      </c>
      <c r="AV765" s="11" t="e">
        <f>IF(Data!#REF!="","",IF(Data!$G765="",1,IF(ISNUMBER(MATCH(Data!#REF!,Data_Val!$D$2:$D$10,0)),0,1)))</f>
        <v>#REF!</v>
      </c>
      <c r="AW765" s="12"/>
      <c r="AX765" s="26" t="e">
        <f ca="1">IF(Data!#REF!="","",IF(ISNUMBER(Data!#REF!),IF(AND(Data!#REF!&gt;(TODAY()-(Data_Val!$I$3*365.25)),Data!#REF!&lt;=(TODAY()-(Data_Val!$I$2*365.25))),0,1),1))</f>
        <v>#REF!</v>
      </c>
      <c r="AY765" s="12" t="e">
        <f>IF(Data!#REF!="","",IF(Data!$G765="",1,IF(ISNUMBER(MATCH(Data!#REF!,Data_Val!$D$2:$D$10,0)),0,1)))</f>
        <v>#REF!</v>
      </c>
      <c r="AZ765" s="11"/>
      <c r="BA765" s="19" t="e">
        <f ca="1">IF(Data!#REF!="","",IF(ISNUMBER(Data!#REF!),IF(AND(Data!#REF!&gt;(TODAY()-(Data_Val!$M$3*365.25)),Data!#REF!&lt;=(TODAY()-(Data_Val!$M$2*365.25))),0,1),1))</f>
        <v>#REF!</v>
      </c>
      <c r="BB765" s="11" t="e">
        <f>IF(Data!#REF!="","",IF(Data!$G765="",1,IF(ISNUMBER(MATCH(Data!#REF!,Data_Val!$D$2:$D$10,0)),0,1)))</f>
        <v>#REF!</v>
      </c>
      <c r="BC765" s="12"/>
      <c r="BD765" s="20" t="e">
        <f ca="1">IF(Data!#REF!="","",IF(ISNUMBER(Data!#REF!),IF(AND(Data!#REF!&gt;(TODAY()-(Data_Val!$M$3*365.25)),Data!#REF!&lt;=(TODAY()-(Data_Val!$M$2*365.25))),0,1),1))</f>
        <v>#REF!</v>
      </c>
      <c r="BE765" s="12" t="e">
        <f>IF(Data!#REF!="","",IF(Data!$G765="",1,IF(ISNUMBER(MATCH(Data!#REF!,Data_Val!$D$2:$D$10,0)),0,1)))</f>
        <v>#REF!</v>
      </c>
      <c r="BF765" s="17"/>
      <c r="BG765" s="18" t="e">
        <f ca="1">IF(Data!#REF!="","",IF(ISNUMBER(Data!#REF!),IF(AND(Data!#REF!&gt;(TODAY()-(Data_Val!$M$3*365.25)),Data!#REF!&lt;=(TODAY()-(Data_Val!$M$2*365.25))),0,1),1))</f>
        <v>#REF!</v>
      </c>
      <c r="BH765" s="29" t="e">
        <f>IF(Data!#REF!="","",IF(Data!$G765="",1,IF(ISNUMBER(MATCH(Data!#REF!,Data_Val!$D$2:$D$10,0)),0,1)))</f>
        <v>#REF!</v>
      </c>
      <c r="BI765" s="13"/>
      <c r="BJ765" s="21" t="e">
        <f ca="1">IF(Data!#REF!="","",IF(ISNUMBER(Data!#REF!),IF(AND(Data!#REF!&gt;(TODAY()-(Data_Val!$M$3*365.25)),Data!#REF!&lt;=(TODAY()-(Data_Val!$M$2*365.25))),0,1),1))</f>
        <v>#REF!</v>
      </c>
      <c r="BK765" s="13" t="e">
        <f>IF(Data!#REF!="","",IF(Data!$G765="",1,IF(ISNUMBER(MATCH(Data!#REF!,Data_Val!$D$2:$D$10,0)),0,1)))</f>
        <v>#REF!</v>
      </c>
    </row>
    <row r="766" spans="1:63" x14ac:dyDescent="0.25">
      <c r="A766" s="9" t="str">
        <f>IF(Data!B766="","",IF(COUNTIFS(Data!A$1:'Data'!A766,Data!A766)&lt;=1,0,1))</f>
        <v/>
      </c>
      <c r="B766" s="9"/>
      <c r="C766" s="23" t="str">
        <f>IF(Data!C766="","",(IF(ISNUMBER(MATCH("*@*.?*",Data!C766,0)),0,1)+IF(COUNTIFS(Data!C$1:'Data'!C766,Data!C766)&gt;1,1,0)))</f>
        <v/>
      </c>
      <c r="D766" s="9" t="str">
        <f>IF(Data!B766="","",IF(ISNUMBER(Data!D766),IF(AND(Data!D766&gt;999999999,Data!D766&lt;=9999999999),IF(COUNTIFS(Data!D$1:'Data'!D766,Data!D766)&lt;=1,0,1),1),1))</f>
        <v/>
      </c>
      <c r="E766" s="9" t="str">
        <f>IF(Data!B766="","",IF(ISNUMBER(MATCH(Data!E766,Data_Val!$A$2:$A$3,0)),0,1))</f>
        <v/>
      </c>
      <c r="F766" s="9" t="str">
        <f ca="1">IF(Data!B766="","",IF(ISNUMBER(Data!F766),IF(AND(Data!F766&gt;(TODAY()-(Data_Val!$H$3*365.25)),Data!F766&lt;=(TODAY()-(Data_Val!$H$2*365.25))),0,1),1))</f>
        <v/>
      </c>
      <c r="G766" s="15" t="str">
        <f>IF(Data!B766="","",IF(AND(Data!G766="",Data!H766&lt;&gt;""),1,IF(Data!#REF!&lt;&gt;"",0,IF(ISNUMBER(MATCH(Data!G766,Data_Val!$C$2:$C$5,0)),0,1))))</f>
        <v/>
      </c>
      <c r="H766" s="15" t="str">
        <f>IF(Data!B766="","",IF(AND(Data!G766&lt;&gt;"",Data!H766=""),1,IF(Data!#REF!&lt;&gt;"",0,IF(Data!G766="",1,IF(ISNUMBER(MATCH(Data!H766,Data_Val!$D$2:$D$35,0)),0,1)))))</f>
        <v/>
      </c>
      <c r="I766" s="15" t="str">
        <f>IF(Data!B766="","",IF(Data!G766&lt;&gt;"",0,IF(ISNUMBER(MATCH(Data!#REF!,Data_Val!$E$2:$E$12,0)),0,1)))</f>
        <v/>
      </c>
      <c r="J766" s="16" t="e">
        <f>IF(OR(Data!B766="",Data!#REF!=""),"",IF(Data!#REF!="",1,0))</f>
        <v>#REF!</v>
      </c>
      <c r="K766" s="16" t="e">
        <f>IF(OR(Data!B766="",Data!#REF!=""),"",IF(Data!#REF!="",1,0))</f>
        <v>#REF!</v>
      </c>
      <c r="L766" s="16" t="e">
        <f>IF(OR(Data!B766="",Data!#REF!=""),"",IF(ISNUMBER(Data!#REF!),IF(AND(Data!#REF!&gt;Data_Val!$G$2,Data!#REF!&lt;=Data_Val!$G$3),0,1),1))</f>
        <v>#REF!</v>
      </c>
      <c r="M766" s="9" t="e">
        <f>IF(OR(Data!B766="",Data!#REF!=""),"",IF(ISNUMBER(MATCH(Data!#REF!,Data_Val!$F$1:$F$38,0)),0,1))</f>
        <v>#REF!</v>
      </c>
      <c r="N766" s="9" t="e">
        <f>IF(OR(Data!B766="",Data!#REF!=""),"",IF(Data!#REF!="",1,0))</f>
        <v>#REF!</v>
      </c>
      <c r="O766" s="17" t="e">
        <f>IF(Data!#REF!="","",IF(Data!#REF!="",1,0))</f>
        <v>#REF!</v>
      </c>
      <c r="P766" s="17" t="e">
        <f>IF(Data!#REF!="","",IF(ISNUMBER(MATCH(Data!#REF!,Data_Val!$A$2:$A$3,0)),0,1))</f>
        <v>#REF!</v>
      </c>
      <c r="Q766" s="25" t="e">
        <f ca="1">IF(Data!#REF!="","",IF(ISNUMBER(Data!#REF!),IF(AND(Data!#REF!&gt;(TODAY()-(Data_Val!$J$3*365.25)),Data!#REF!&lt;=(TODAY()-(Data_Val!$J$2*365.25))),0,1),1))</f>
        <v>#REF!</v>
      </c>
      <c r="R766" s="17" t="e">
        <f>IF(Data!#REF!="","",IF(ISNUMBER(MATCH(Data!#REF!,Data_Val!$B$2:$B$15,0)),0,1))</f>
        <v>#REF!</v>
      </c>
      <c r="S766" s="11" t="str">
        <f>IF(Data!G766="","",IF(Data!G766=Data_Val!$C$2,IF(Data!M766="",0,1),0))</f>
        <v/>
      </c>
      <c r="T766" s="11" t="str">
        <f>IF(Data!M766="","",IF(ISNUMBER(MATCH(Data!N766,Data_Val!$A$2:$A$3,0)),0,1))</f>
        <v/>
      </c>
      <c r="U766" s="11" t="str">
        <f ca="1">IF(Data!M766="","",IF(ISNUMBER(Data!O766),IF(AND(Data!O766&gt;(TODAY()-(Data_Val!$K$3*365.25)),Data!O766&lt;=(TODAY()-(Data_Val!$K$2*365.25))),0,1),1))</f>
        <v/>
      </c>
      <c r="V766" s="12" t="str">
        <f>IF(Data!G766="","",IF(Data!G766=Data_Val!$C$2,IF(Data!P766="",0,1),0))</f>
        <v/>
      </c>
      <c r="W766" s="12" t="str">
        <f>IF(Data!P766="","",IF(ISNUMBER(MATCH(Data!Q766,Data_Val!$A$2:$A$3,0)),0,1))</f>
        <v/>
      </c>
      <c r="X766" s="26" t="str">
        <f ca="1">IF(Data!P766="","",IF(ISNUMBER(Data!R766),IF(AND(Data!R766&gt;(TODAY()-(Data_Val!$L$3*365.25)),Data!R766&lt;=(TODAY()-(Data_Val!$L$2*365.25))),0,1),1))</f>
        <v/>
      </c>
      <c r="Y766" s="13" t="str">
        <f>IF(Data!$G766="","",IF(Data!$G766=Data_Val!$C$2,IF(Data!S766="",0,1),0))</f>
        <v/>
      </c>
      <c r="Z766" s="13" t="str">
        <f>IF(Data!S766="","",IF(ISNUMBER(MATCH(Data!T766,Data_Val!$A$2:$A$3,0)),0,1))</f>
        <v/>
      </c>
      <c r="AA766" s="28" t="str">
        <f ca="1">IF(Data!S766="","",IF(ISNUMBER(Data!U766),IF(AND(Data!U766&gt;(TODAY()-(Data_Val!$L$3*365.25)),Data!U766&lt;=(TODAY()-(Data_Val!$L$2*365.25))),0,1),1))</f>
        <v/>
      </c>
      <c r="AB766" s="11"/>
      <c r="AC766" s="11" t="e">
        <f>IF(Data!#REF!="","",IF(ISNUMBER(MATCH(Data!#REF!,Data_Val!$A$2:$A$3,0)),0,1))</f>
        <v>#REF!</v>
      </c>
      <c r="AD766" s="11" t="e">
        <f ca="1">IF(Data!#REF!="","",IF(ISNUMBER(Data!#REF!),IF(AND(Data!#REF!&gt;(TODAY()-(Data_Val!$L$3*365.25)),Data!#REF!&lt;=(TODAY()-(Data_Val!$L$2*365.25))),0,1),1))</f>
        <v>#REF!</v>
      </c>
      <c r="AE766" s="11" t="e">
        <f>IF(Data!#REF!="","",IF(Data!$G766="",1,IF(ISNUMBER(MATCH(Data!#REF!,Data_Val!$D$2:$D$10,0)),0,1)))</f>
        <v>#REF!</v>
      </c>
      <c r="AF766" s="12"/>
      <c r="AG766" s="12" t="e">
        <f>IF(Data!#REF!="","",IF(ISNUMBER(MATCH(Data!#REF!,Data_Val!$A$2:$A$3,0)),0,1))</f>
        <v>#REF!</v>
      </c>
      <c r="AH766" s="26" t="e">
        <f ca="1">IF(Data!#REF!="","",IF(ISNUMBER(Data!#REF!),IF(AND(Data!#REF!&gt;(TODAY()-(Data_Val!$L$3*365.25)),Data!#REF!&lt;=(TODAY()-(Data_Val!$L$2*365.25))),0,1),1))</f>
        <v>#REF!</v>
      </c>
      <c r="AI766" s="12" t="e">
        <f>IF(Data!#REF!="","",IF(Data!$G766="",1,IF(ISNUMBER(MATCH(Data!#REF!,Data_Val!$D$2:$D$10,0)),0,1)))</f>
        <v>#REF!</v>
      </c>
      <c r="AJ766" s="17"/>
      <c r="AK766" s="17" t="e">
        <f>IF(Data!#REF!="","",IF(ISNUMBER(MATCH(Data!#REF!,Data_Val!$A$2:$A$3,0)),0,1))</f>
        <v>#REF!</v>
      </c>
      <c r="AL766" s="25" t="e">
        <f ca="1">IF(Data!#REF!="","",IF(ISNUMBER(Data!#REF!),IF(AND(Data!#REF!&gt;(TODAY()-(Data_Val!$L$3*365.25)),Data!#REF!&lt;=(TODAY()-(Data_Val!$L$2*365.25))),0,1),1))</f>
        <v>#REF!</v>
      </c>
      <c r="AM766" s="17" t="e">
        <f>IF(Data!#REF!="","",IF(Data!$G766="",1,IF(ISNUMBER(MATCH(Data!#REF!,Data_Val!$D$2:$D$10,0)),0,1)))</f>
        <v>#REF!</v>
      </c>
      <c r="AN766" s="13"/>
      <c r="AO766" s="28" t="e">
        <f ca="1">IF(Data!#REF!="","",IF(ISNUMBER(Data!#REF!),IF(AND(Data!#REF!&gt;(TODAY()-(Data_Val!$I$3*365.25)),Data!#REF!&lt;=(TODAY()-(Data_Val!$I$2*365.25))),0,1),1))</f>
        <v>#REF!</v>
      </c>
      <c r="AP766" s="13" t="e">
        <f>IF(Data!#REF!="","",IF(Data!$G766="",1,IF(ISNUMBER(MATCH(Data!#REF!,Data_Val!$D$2:$D$10,0)),0,1)))</f>
        <v>#REF!</v>
      </c>
      <c r="AQ766" s="17"/>
      <c r="AR766" s="30" t="e">
        <f ca="1">IF(Data!#REF!="","",IF(ISNUMBER(Data!#REF!),IF(AND(Data!#REF!&gt;(TODAY()-(Data_Val!$I$3*365.25)),Data!#REF!&lt;=(TODAY()-(Data_Val!$I$2*365.25))),0,1),1))</f>
        <v>#REF!</v>
      </c>
      <c r="AS766" s="31" t="e">
        <f>IF(Data!#REF!="","",IF(Data!$G766="",1,IF(ISNUMBER(MATCH(Data!#REF!,Data_Val!$D$2:$D$10,0)),0,1)))</f>
        <v>#REF!</v>
      </c>
      <c r="AT766" s="11"/>
      <c r="AU766" s="11" t="e">
        <f ca="1">IF(Data!#REF!="","",IF(ISNUMBER(Data!#REF!),IF(AND(Data!#REF!&gt;(TODAY()-(Data_Val!$I$3*365.25)),Data!#REF!&lt;=(TODAY()-(Data_Val!$I$2*365.25))),0,1),1))</f>
        <v>#REF!</v>
      </c>
      <c r="AV766" s="11" t="e">
        <f>IF(Data!#REF!="","",IF(Data!$G766="",1,IF(ISNUMBER(MATCH(Data!#REF!,Data_Val!$D$2:$D$10,0)),0,1)))</f>
        <v>#REF!</v>
      </c>
      <c r="AW766" s="12"/>
      <c r="AX766" s="26" t="e">
        <f ca="1">IF(Data!#REF!="","",IF(ISNUMBER(Data!#REF!),IF(AND(Data!#REF!&gt;(TODAY()-(Data_Val!$I$3*365.25)),Data!#REF!&lt;=(TODAY()-(Data_Val!$I$2*365.25))),0,1),1))</f>
        <v>#REF!</v>
      </c>
      <c r="AY766" s="12" t="e">
        <f>IF(Data!#REF!="","",IF(Data!$G766="",1,IF(ISNUMBER(MATCH(Data!#REF!,Data_Val!$D$2:$D$10,0)),0,1)))</f>
        <v>#REF!</v>
      </c>
      <c r="AZ766" s="11"/>
      <c r="BA766" s="19" t="e">
        <f ca="1">IF(Data!#REF!="","",IF(ISNUMBER(Data!#REF!),IF(AND(Data!#REF!&gt;(TODAY()-(Data_Val!$M$3*365.25)),Data!#REF!&lt;=(TODAY()-(Data_Val!$M$2*365.25))),0,1),1))</f>
        <v>#REF!</v>
      </c>
      <c r="BB766" s="11" t="e">
        <f>IF(Data!#REF!="","",IF(Data!$G766="",1,IF(ISNUMBER(MATCH(Data!#REF!,Data_Val!$D$2:$D$10,0)),0,1)))</f>
        <v>#REF!</v>
      </c>
      <c r="BC766" s="12"/>
      <c r="BD766" s="20" t="e">
        <f ca="1">IF(Data!#REF!="","",IF(ISNUMBER(Data!#REF!),IF(AND(Data!#REF!&gt;(TODAY()-(Data_Val!$M$3*365.25)),Data!#REF!&lt;=(TODAY()-(Data_Val!$M$2*365.25))),0,1),1))</f>
        <v>#REF!</v>
      </c>
      <c r="BE766" s="12" t="e">
        <f>IF(Data!#REF!="","",IF(Data!$G766="",1,IF(ISNUMBER(MATCH(Data!#REF!,Data_Val!$D$2:$D$10,0)),0,1)))</f>
        <v>#REF!</v>
      </c>
      <c r="BF766" s="17"/>
      <c r="BG766" s="18" t="e">
        <f ca="1">IF(Data!#REF!="","",IF(ISNUMBER(Data!#REF!),IF(AND(Data!#REF!&gt;(TODAY()-(Data_Val!$M$3*365.25)),Data!#REF!&lt;=(TODAY()-(Data_Val!$M$2*365.25))),0,1),1))</f>
        <v>#REF!</v>
      </c>
      <c r="BH766" s="29" t="e">
        <f>IF(Data!#REF!="","",IF(Data!$G766="",1,IF(ISNUMBER(MATCH(Data!#REF!,Data_Val!$D$2:$D$10,0)),0,1)))</f>
        <v>#REF!</v>
      </c>
      <c r="BI766" s="13"/>
      <c r="BJ766" s="21" t="e">
        <f ca="1">IF(Data!#REF!="","",IF(ISNUMBER(Data!#REF!),IF(AND(Data!#REF!&gt;(TODAY()-(Data_Val!$M$3*365.25)),Data!#REF!&lt;=(TODAY()-(Data_Val!$M$2*365.25))),0,1),1))</f>
        <v>#REF!</v>
      </c>
      <c r="BK766" s="13" t="e">
        <f>IF(Data!#REF!="","",IF(Data!$G766="",1,IF(ISNUMBER(MATCH(Data!#REF!,Data_Val!$D$2:$D$10,0)),0,1)))</f>
        <v>#REF!</v>
      </c>
    </row>
    <row r="767" spans="1:63" x14ac:dyDescent="0.25">
      <c r="A767" s="9" t="str">
        <f>IF(Data!B767="","",IF(COUNTIFS(Data!A$1:'Data'!A767,Data!A767)&lt;=1,0,1))</f>
        <v/>
      </c>
      <c r="B767" s="9"/>
      <c r="C767" s="23" t="str">
        <f>IF(Data!C767="","",(IF(ISNUMBER(MATCH("*@*.?*",Data!C767,0)),0,1)+IF(COUNTIFS(Data!C$1:'Data'!C767,Data!C767)&gt;1,1,0)))</f>
        <v/>
      </c>
      <c r="D767" s="9" t="str">
        <f>IF(Data!B767="","",IF(ISNUMBER(Data!D767),IF(AND(Data!D767&gt;999999999,Data!D767&lt;=9999999999),IF(COUNTIFS(Data!D$1:'Data'!D767,Data!D767)&lt;=1,0,1),1),1))</f>
        <v/>
      </c>
      <c r="E767" s="9" t="str">
        <f>IF(Data!B767="","",IF(ISNUMBER(MATCH(Data!E767,Data_Val!$A$2:$A$3,0)),0,1))</f>
        <v/>
      </c>
      <c r="F767" s="9" t="str">
        <f ca="1">IF(Data!B767="","",IF(ISNUMBER(Data!F767),IF(AND(Data!F767&gt;(TODAY()-(Data_Val!$H$3*365.25)),Data!F767&lt;=(TODAY()-(Data_Val!$H$2*365.25))),0,1),1))</f>
        <v/>
      </c>
      <c r="G767" s="15" t="str">
        <f>IF(Data!B767="","",IF(AND(Data!G767="",Data!H767&lt;&gt;""),1,IF(Data!#REF!&lt;&gt;"",0,IF(ISNUMBER(MATCH(Data!G767,Data_Val!$C$2:$C$5,0)),0,1))))</f>
        <v/>
      </c>
      <c r="H767" s="15" t="str">
        <f>IF(Data!B767="","",IF(AND(Data!G767&lt;&gt;"",Data!H767=""),1,IF(Data!#REF!&lt;&gt;"",0,IF(Data!G767="",1,IF(ISNUMBER(MATCH(Data!H767,Data_Val!$D$2:$D$35,0)),0,1)))))</f>
        <v/>
      </c>
      <c r="I767" s="15" t="str">
        <f>IF(Data!B767="","",IF(Data!G767&lt;&gt;"",0,IF(ISNUMBER(MATCH(Data!#REF!,Data_Val!$E$2:$E$12,0)),0,1)))</f>
        <v/>
      </c>
      <c r="J767" s="16" t="e">
        <f>IF(OR(Data!B767="",Data!#REF!=""),"",IF(Data!#REF!="",1,0))</f>
        <v>#REF!</v>
      </c>
      <c r="K767" s="16" t="e">
        <f>IF(OR(Data!B767="",Data!#REF!=""),"",IF(Data!#REF!="",1,0))</f>
        <v>#REF!</v>
      </c>
      <c r="L767" s="16" t="e">
        <f>IF(OR(Data!B767="",Data!#REF!=""),"",IF(ISNUMBER(Data!#REF!),IF(AND(Data!#REF!&gt;Data_Val!$G$2,Data!#REF!&lt;=Data_Val!$G$3),0,1),1))</f>
        <v>#REF!</v>
      </c>
      <c r="M767" s="9" t="e">
        <f>IF(OR(Data!B767="",Data!#REF!=""),"",IF(ISNUMBER(MATCH(Data!#REF!,Data_Val!$F$1:$F$38,0)),0,1))</f>
        <v>#REF!</v>
      </c>
      <c r="N767" s="9" t="e">
        <f>IF(OR(Data!B767="",Data!#REF!=""),"",IF(Data!#REF!="",1,0))</f>
        <v>#REF!</v>
      </c>
      <c r="O767" s="17" t="e">
        <f>IF(Data!#REF!="","",IF(Data!#REF!="",1,0))</f>
        <v>#REF!</v>
      </c>
      <c r="P767" s="17" t="e">
        <f>IF(Data!#REF!="","",IF(ISNUMBER(MATCH(Data!#REF!,Data_Val!$A$2:$A$3,0)),0,1))</f>
        <v>#REF!</v>
      </c>
      <c r="Q767" s="25" t="e">
        <f ca="1">IF(Data!#REF!="","",IF(ISNUMBER(Data!#REF!),IF(AND(Data!#REF!&gt;(TODAY()-(Data_Val!$J$3*365.25)),Data!#REF!&lt;=(TODAY()-(Data_Val!$J$2*365.25))),0,1),1))</f>
        <v>#REF!</v>
      </c>
      <c r="R767" s="17" t="e">
        <f>IF(Data!#REF!="","",IF(ISNUMBER(MATCH(Data!#REF!,Data_Val!$B$2:$B$15,0)),0,1))</f>
        <v>#REF!</v>
      </c>
      <c r="S767" s="11" t="str">
        <f>IF(Data!G767="","",IF(Data!G767=Data_Val!$C$2,IF(Data!M767="",0,1),0))</f>
        <v/>
      </c>
      <c r="T767" s="11" t="str">
        <f>IF(Data!M767="","",IF(ISNUMBER(MATCH(Data!N767,Data_Val!$A$2:$A$3,0)),0,1))</f>
        <v/>
      </c>
      <c r="U767" s="11" t="str">
        <f ca="1">IF(Data!M767="","",IF(ISNUMBER(Data!O767),IF(AND(Data!O767&gt;(TODAY()-(Data_Val!$K$3*365.25)),Data!O767&lt;=(TODAY()-(Data_Val!$K$2*365.25))),0,1),1))</f>
        <v/>
      </c>
      <c r="V767" s="12" t="str">
        <f>IF(Data!G767="","",IF(Data!G767=Data_Val!$C$2,IF(Data!P767="",0,1),0))</f>
        <v/>
      </c>
      <c r="W767" s="12" t="str">
        <f>IF(Data!P767="","",IF(ISNUMBER(MATCH(Data!Q767,Data_Val!$A$2:$A$3,0)),0,1))</f>
        <v/>
      </c>
      <c r="X767" s="26" t="str">
        <f ca="1">IF(Data!P767="","",IF(ISNUMBER(Data!R767),IF(AND(Data!R767&gt;(TODAY()-(Data_Val!$L$3*365.25)),Data!R767&lt;=(TODAY()-(Data_Val!$L$2*365.25))),0,1),1))</f>
        <v/>
      </c>
      <c r="Y767" s="13" t="str">
        <f>IF(Data!$G767="","",IF(Data!$G767=Data_Val!$C$2,IF(Data!S767="",0,1),0))</f>
        <v/>
      </c>
      <c r="Z767" s="13" t="str">
        <f>IF(Data!S767="","",IF(ISNUMBER(MATCH(Data!T767,Data_Val!$A$2:$A$3,0)),0,1))</f>
        <v/>
      </c>
      <c r="AA767" s="28" t="str">
        <f ca="1">IF(Data!S767="","",IF(ISNUMBER(Data!U767),IF(AND(Data!U767&gt;(TODAY()-(Data_Val!$L$3*365.25)),Data!U767&lt;=(TODAY()-(Data_Val!$L$2*365.25))),0,1),1))</f>
        <v/>
      </c>
      <c r="AB767" s="11"/>
      <c r="AC767" s="11" t="e">
        <f>IF(Data!#REF!="","",IF(ISNUMBER(MATCH(Data!#REF!,Data_Val!$A$2:$A$3,0)),0,1))</f>
        <v>#REF!</v>
      </c>
      <c r="AD767" s="11" t="e">
        <f ca="1">IF(Data!#REF!="","",IF(ISNUMBER(Data!#REF!),IF(AND(Data!#REF!&gt;(TODAY()-(Data_Val!$L$3*365.25)),Data!#REF!&lt;=(TODAY()-(Data_Val!$L$2*365.25))),0,1),1))</f>
        <v>#REF!</v>
      </c>
      <c r="AE767" s="11" t="e">
        <f>IF(Data!#REF!="","",IF(Data!$G767="",1,IF(ISNUMBER(MATCH(Data!#REF!,Data_Val!$D$2:$D$10,0)),0,1)))</f>
        <v>#REF!</v>
      </c>
      <c r="AF767" s="12"/>
      <c r="AG767" s="12" t="e">
        <f>IF(Data!#REF!="","",IF(ISNUMBER(MATCH(Data!#REF!,Data_Val!$A$2:$A$3,0)),0,1))</f>
        <v>#REF!</v>
      </c>
      <c r="AH767" s="26" t="e">
        <f ca="1">IF(Data!#REF!="","",IF(ISNUMBER(Data!#REF!),IF(AND(Data!#REF!&gt;(TODAY()-(Data_Val!$L$3*365.25)),Data!#REF!&lt;=(TODAY()-(Data_Val!$L$2*365.25))),0,1),1))</f>
        <v>#REF!</v>
      </c>
      <c r="AI767" s="12" t="e">
        <f>IF(Data!#REF!="","",IF(Data!$G767="",1,IF(ISNUMBER(MATCH(Data!#REF!,Data_Val!$D$2:$D$10,0)),0,1)))</f>
        <v>#REF!</v>
      </c>
      <c r="AJ767" s="17"/>
      <c r="AK767" s="17" t="e">
        <f>IF(Data!#REF!="","",IF(ISNUMBER(MATCH(Data!#REF!,Data_Val!$A$2:$A$3,0)),0,1))</f>
        <v>#REF!</v>
      </c>
      <c r="AL767" s="25" t="e">
        <f ca="1">IF(Data!#REF!="","",IF(ISNUMBER(Data!#REF!),IF(AND(Data!#REF!&gt;(TODAY()-(Data_Val!$L$3*365.25)),Data!#REF!&lt;=(TODAY()-(Data_Val!$L$2*365.25))),0,1),1))</f>
        <v>#REF!</v>
      </c>
      <c r="AM767" s="17" t="e">
        <f>IF(Data!#REF!="","",IF(Data!$G767="",1,IF(ISNUMBER(MATCH(Data!#REF!,Data_Val!$D$2:$D$10,0)),0,1)))</f>
        <v>#REF!</v>
      </c>
      <c r="AN767" s="13"/>
      <c r="AO767" s="28" t="e">
        <f ca="1">IF(Data!#REF!="","",IF(ISNUMBER(Data!#REF!),IF(AND(Data!#REF!&gt;(TODAY()-(Data_Val!$I$3*365.25)),Data!#REF!&lt;=(TODAY()-(Data_Val!$I$2*365.25))),0,1),1))</f>
        <v>#REF!</v>
      </c>
      <c r="AP767" s="13" t="e">
        <f>IF(Data!#REF!="","",IF(Data!$G767="",1,IF(ISNUMBER(MATCH(Data!#REF!,Data_Val!$D$2:$D$10,0)),0,1)))</f>
        <v>#REF!</v>
      </c>
      <c r="AQ767" s="17"/>
      <c r="AR767" s="30" t="e">
        <f ca="1">IF(Data!#REF!="","",IF(ISNUMBER(Data!#REF!),IF(AND(Data!#REF!&gt;(TODAY()-(Data_Val!$I$3*365.25)),Data!#REF!&lt;=(TODAY()-(Data_Val!$I$2*365.25))),0,1),1))</f>
        <v>#REF!</v>
      </c>
      <c r="AS767" s="31" t="e">
        <f>IF(Data!#REF!="","",IF(Data!$G767="",1,IF(ISNUMBER(MATCH(Data!#REF!,Data_Val!$D$2:$D$10,0)),0,1)))</f>
        <v>#REF!</v>
      </c>
      <c r="AT767" s="11"/>
      <c r="AU767" s="11" t="e">
        <f ca="1">IF(Data!#REF!="","",IF(ISNUMBER(Data!#REF!),IF(AND(Data!#REF!&gt;(TODAY()-(Data_Val!$I$3*365.25)),Data!#REF!&lt;=(TODAY()-(Data_Val!$I$2*365.25))),0,1),1))</f>
        <v>#REF!</v>
      </c>
      <c r="AV767" s="11" t="e">
        <f>IF(Data!#REF!="","",IF(Data!$G767="",1,IF(ISNUMBER(MATCH(Data!#REF!,Data_Val!$D$2:$D$10,0)),0,1)))</f>
        <v>#REF!</v>
      </c>
      <c r="AW767" s="12"/>
      <c r="AX767" s="26" t="e">
        <f ca="1">IF(Data!#REF!="","",IF(ISNUMBER(Data!#REF!),IF(AND(Data!#REF!&gt;(TODAY()-(Data_Val!$I$3*365.25)),Data!#REF!&lt;=(TODAY()-(Data_Val!$I$2*365.25))),0,1),1))</f>
        <v>#REF!</v>
      </c>
      <c r="AY767" s="12" t="e">
        <f>IF(Data!#REF!="","",IF(Data!$G767="",1,IF(ISNUMBER(MATCH(Data!#REF!,Data_Val!$D$2:$D$10,0)),0,1)))</f>
        <v>#REF!</v>
      </c>
      <c r="AZ767" s="11"/>
      <c r="BA767" s="19" t="e">
        <f ca="1">IF(Data!#REF!="","",IF(ISNUMBER(Data!#REF!),IF(AND(Data!#REF!&gt;(TODAY()-(Data_Val!$M$3*365.25)),Data!#REF!&lt;=(TODAY()-(Data_Val!$M$2*365.25))),0,1),1))</f>
        <v>#REF!</v>
      </c>
      <c r="BB767" s="11" t="e">
        <f>IF(Data!#REF!="","",IF(Data!$G767="",1,IF(ISNUMBER(MATCH(Data!#REF!,Data_Val!$D$2:$D$10,0)),0,1)))</f>
        <v>#REF!</v>
      </c>
      <c r="BC767" s="12"/>
      <c r="BD767" s="20" t="e">
        <f ca="1">IF(Data!#REF!="","",IF(ISNUMBER(Data!#REF!),IF(AND(Data!#REF!&gt;(TODAY()-(Data_Val!$M$3*365.25)),Data!#REF!&lt;=(TODAY()-(Data_Val!$M$2*365.25))),0,1),1))</f>
        <v>#REF!</v>
      </c>
      <c r="BE767" s="12" t="e">
        <f>IF(Data!#REF!="","",IF(Data!$G767="",1,IF(ISNUMBER(MATCH(Data!#REF!,Data_Val!$D$2:$D$10,0)),0,1)))</f>
        <v>#REF!</v>
      </c>
      <c r="BF767" s="17"/>
      <c r="BG767" s="18" t="e">
        <f ca="1">IF(Data!#REF!="","",IF(ISNUMBER(Data!#REF!),IF(AND(Data!#REF!&gt;(TODAY()-(Data_Val!$M$3*365.25)),Data!#REF!&lt;=(TODAY()-(Data_Val!$M$2*365.25))),0,1),1))</f>
        <v>#REF!</v>
      </c>
      <c r="BH767" s="29" t="e">
        <f>IF(Data!#REF!="","",IF(Data!$G767="",1,IF(ISNUMBER(MATCH(Data!#REF!,Data_Val!$D$2:$D$10,0)),0,1)))</f>
        <v>#REF!</v>
      </c>
      <c r="BI767" s="13"/>
      <c r="BJ767" s="21" t="e">
        <f ca="1">IF(Data!#REF!="","",IF(ISNUMBER(Data!#REF!),IF(AND(Data!#REF!&gt;(TODAY()-(Data_Val!$M$3*365.25)),Data!#REF!&lt;=(TODAY()-(Data_Val!$M$2*365.25))),0,1),1))</f>
        <v>#REF!</v>
      </c>
      <c r="BK767" s="13" t="e">
        <f>IF(Data!#REF!="","",IF(Data!$G767="",1,IF(ISNUMBER(MATCH(Data!#REF!,Data_Val!$D$2:$D$10,0)),0,1)))</f>
        <v>#REF!</v>
      </c>
    </row>
    <row r="768" spans="1:63" x14ac:dyDescent="0.25">
      <c r="A768" s="9" t="str">
        <f>IF(Data!B768="","",IF(COUNTIFS(Data!A$1:'Data'!A768,Data!A768)&lt;=1,0,1))</f>
        <v/>
      </c>
      <c r="B768" s="9"/>
      <c r="C768" s="23" t="str">
        <f>IF(Data!C768="","",(IF(ISNUMBER(MATCH("*@*.?*",Data!C768,0)),0,1)+IF(COUNTIFS(Data!C$1:'Data'!C768,Data!C768)&gt;1,1,0)))</f>
        <v/>
      </c>
      <c r="D768" s="9" t="str">
        <f>IF(Data!B768="","",IF(ISNUMBER(Data!D768),IF(AND(Data!D768&gt;999999999,Data!D768&lt;=9999999999),IF(COUNTIFS(Data!D$1:'Data'!D768,Data!D768)&lt;=1,0,1),1),1))</f>
        <v/>
      </c>
      <c r="E768" s="9" t="str">
        <f>IF(Data!B768="","",IF(ISNUMBER(MATCH(Data!E768,Data_Val!$A$2:$A$3,0)),0,1))</f>
        <v/>
      </c>
      <c r="F768" s="9" t="str">
        <f ca="1">IF(Data!B768="","",IF(ISNUMBER(Data!F768),IF(AND(Data!F768&gt;(TODAY()-(Data_Val!$H$3*365.25)),Data!F768&lt;=(TODAY()-(Data_Val!$H$2*365.25))),0,1),1))</f>
        <v/>
      </c>
      <c r="G768" s="15" t="str">
        <f>IF(Data!B768="","",IF(AND(Data!G768="",Data!H768&lt;&gt;""),1,IF(Data!#REF!&lt;&gt;"",0,IF(ISNUMBER(MATCH(Data!G768,Data_Val!$C$2:$C$5,0)),0,1))))</f>
        <v/>
      </c>
      <c r="H768" s="15" t="str">
        <f>IF(Data!B768="","",IF(AND(Data!G768&lt;&gt;"",Data!H768=""),1,IF(Data!#REF!&lt;&gt;"",0,IF(Data!G768="",1,IF(ISNUMBER(MATCH(Data!H768,Data_Val!$D$2:$D$35,0)),0,1)))))</f>
        <v/>
      </c>
      <c r="I768" s="15" t="str">
        <f>IF(Data!B768="","",IF(Data!G768&lt;&gt;"",0,IF(ISNUMBER(MATCH(Data!#REF!,Data_Val!$E$2:$E$12,0)),0,1)))</f>
        <v/>
      </c>
      <c r="J768" s="16" t="e">
        <f>IF(OR(Data!B768="",Data!#REF!=""),"",IF(Data!#REF!="",1,0))</f>
        <v>#REF!</v>
      </c>
      <c r="K768" s="16" t="e">
        <f>IF(OR(Data!B768="",Data!#REF!=""),"",IF(Data!#REF!="",1,0))</f>
        <v>#REF!</v>
      </c>
      <c r="L768" s="16" t="e">
        <f>IF(OR(Data!B768="",Data!#REF!=""),"",IF(ISNUMBER(Data!#REF!),IF(AND(Data!#REF!&gt;Data_Val!$G$2,Data!#REF!&lt;=Data_Val!$G$3),0,1),1))</f>
        <v>#REF!</v>
      </c>
      <c r="M768" s="9" t="e">
        <f>IF(OR(Data!B768="",Data!#REF!=""),"",IF(ISNUMBER(MATCH(Data!#REF!,Data_Val!$F$1:$F$38,0)),0,1))</f>
        <v>#REF!</v>
      </c>
      <c r="N768" s="9" t="e">
        <f>IF(OR(Data!B768="",Data!#REF!=""),"",IF(Data!#REF!="",1,0))</f>
        <v>#REF!</v>
      </c>
      <c r="O768" s="17" t="e">
        <f>IF(Data!#REF!="","",IF(Data!#REF!="",1,0))</f>
        <v>#REF!</v>
      </c>
      <c r="P768" s="17" t="e">
        <f>IF(Data!#REF!="","",IF(ISNUMBER(MATCH(Data!#REF!,Data_Val!$A$2:$A$3,0)),0,1))</f>
        <v>#REF!</v>
      </c>
      <c r="Q768" s="25" t="e">
        <f ca="1">IF(Data!#REF!="","",IF(ISNUMBER(Data!#REF!),IF(AND(Data!#REF!&gt;(TODAY()-(Data_Val!$J$3*365.25)),Data!#REF!&lt;=(TODAY()-(Data_Val!$J$2*365.25))),0,1),1))</f>
        <v>#REF!</v>
      </c>
      <c r="R768" s="17" t="e">
        <f>IF(Data!#REF!="","",IF(ISNUMBER(MATCH(Data!#REF!,Data_Val!$B$2:$B$15,0)),0,1))</f>
        <v>#REF!</v>
      </c>
      <c r="S768" s="11" t="str">
        <f>IF(Data!G768="","",IF(Data!G768=Data_Val!$C$2,IF(Data!M768="",0,1),0))</f>
        <v/>
      </c>
      <c r="T768" s="11" t="str">
        <f>IF(Data!M768="","",IF(ISNUMBER(MATCH(Data!N768,Data_Val!$A$2:$A$3,0)),0,1))</f>
        <v/>
      </c>
      <c r="U768" s="11" t="str">
        <f ca="1">IF(Data!M768="","",IF(ISNUMBER(Data!O768),IF(AND(Data!O768&gt;(TODAY()-(Data_Val!$K$3*365.25)),Data!O768&lt;=(TODAY()-(Data_Val!$K$2*365.25))),0,1),1))</f>
        <v/>
      </c>
      <c r="V768" s="12" t="str">
        <f>IF(Data!G768="","",IF(Data!G768=Data_Val!$C$2,IF(Data!P768="",0,1),0))</f>
        <v/>
      </c>
      <c r="W768" s="12" t="str">
        <f>IF(Data!P768="","",IF(ISNUMBER(MATCH(Data!Q768,Data_Val!$A$2:$A$3,0)),0,1))</f>
        <v/>
      </c>
      <c r="X768" s="26" t="str">
        <f ca="1">IF(Data!P768="","",IF(ISNUMBER(Data!R768),IF(AND(Data!R768&gt;(TODAY()-(Data_Val!$L$3*365.25)),Data!R768&lt;=(TODAY()-(Data_Val!$L$2*365.25))),0,1),1))</f>
        <v/>
      </c>
      <c r="Y768" s="13" t="str">
        <f>IF(Data!$G768="","",IF(Data!$G768=Data_Val!$C$2,IF(Data!S768="",0,1),0))</f>
        <v/>
      </c>
      <c r="Z768" s="13" t="str">
        <f>IF(Data!S768="","",IF(ISNUMBER(MATCH(Data!T768,Data_Val!$A$2:$A$3,0)),0,1))</f>
        <v/>
      </c>
      <c r="AA768" s="28" t="str">
        <f ca="1">IF(Data!S768="","",IF(ISNUMBER(Data!U768),IF(AND(Data!U768&gt;(TODAY()-(Data_Val!$L$3*365.25)),Data!U768&lt;=(TODAY()-(Data_Val!$L$2*365.25))),0,1),1))</f>
        <v/>
      </c>
      <c r="AB768" s="11"/>
      <c r="AC768" s="11" t="e">
        <f>IF(Data!#REF!="","",IF(ISNUMBER(MATCH(Data!#REF!,Data_Val!$A$2:$A$3,0)),0,1))</f>
        <v>#REF!</v>
      </c>
      <c r="AD768" s="11" t="e">
        <f ca="1">IF(Data!#REF!="","",IF(ISNUMBER(Data!#REF!),IF(AND(Data!#REF!&gt;(TODAY()-(Data_Val!$L$3*365.25)),Data!#REF!&lt;=(TODAY()-(Data_Val!$L$2*365.25))),0,1),1))</f>
        <v>#REF!</v>
      </c>
      <c r="AE768" s="11" t="e">
        <f>IF(Data!#REF!="","",IF(Data!$G768="",1,IF(ISNUMBER(MATCH(Data!#REF!,Data_Val!$D$2:$D$10,0)),0,1)))</f>
        <v>#REF!</v>
      </c>
      <c r="AF768" s="12"/>
      <c r="AG768" s="12" t="e">
        <f>IF(Data!#REF!="","",IF(ISNUMBER(MATCH(Data!#REF!,Data_Val!$A$2:$A$3,0)),0,1))</f>
        <v>#REF!</v>
      </c>
      <c r="AH768" s="26" t="e">
        <f ca="1">IF(Data!#REF!="","",IF(ISNUMBER(Data!#REF!),IF(AND(Data!#REF!&gt;(TODAY()-(Data_Val!$L$3*365.25)),Data!#REF!&lt;=(TODAY()-(Data_Val!$L$2*365.25))),0,1),1))</f>
        <v>#REF!</v>
      </c>
      <c r="AI768" s="12" t="e">
        <f>IF(Data!#REF!="","",IF(Data!$G768="",1,IF(ISNUMBER(MATCH(Data!#REF!,Data_Val!$D$2:$D$10,0)),0,1)))</f>
        <v>#REF!</v>
      </c>
      <c r="AJ768" s="17"/>
      <c r="AK768" s="17" t="e">
        <f>IF(Data!#REF!="","",IF(ISNUMBER(MATCH(Data!#REF!,Data_Val!$A$2:$A$3,0)),0,1))</f>
        <v>#REF!</v>
      </c>
      <c r="AL768" s="25" t="e">
        <f ca="1">IF(Data!#REF!="","",IF(ISNUMBER(Data!#REF!),IF(AND(Data!#REF!&gt;(TODAY()-(Data_Val!$L$3*365.25)),Data!#REF!&lt;=(TODAY()-(Data_Val!$L$2*365.25))),0,1),1))</f>
        <v>#REF!</v>
      </c>
      <c r="AM768" s="17" t="e">
        <f>IF(Data!#REF!="","",IF(Data!$G768="",1,IF(ISNUMBER(MATCH(Data!#REF!,Data_Val!$D$2:$D$10,0)),0,1)))</f>
        <v>#REF!</v>
      </c>
      <c r="AN768" s="13"/>
      <c r="AO768" s="28" t="e">
        <f ca="1">IF(Data!#REF!="","",IF(ISNUMBER(Data!#REF!),IF(AND(Data!#REF!&gt;(TODAY()-(Data_Val!$I$3*365.25)),Data!#REF!&lt;=(TODAY()-(Data_Val!$I$2*365.25))),0,1),1))</f>
        <v>#REF!</v>
      </c>
      <c r="AP768" s="13" t="e">
        <f>IF(Data!#REF!="","",IF(Data!$G768="",1,IF(ISNUMBER(MATCH(Data!#REF!,Data_Val!$D$2:$D$10,0)),0,1)))</f>
        <v>#REF!</v>
      </c>
      <c r="AQ768" s="17"/>
      <c r="AR768" s="30" t="e">
        <f ca="1">IF(Data!#REF!="","",IF(ISNUMBER(Data!#REF!),IF(AND(Data!#REF!&gt;(TODAY()-(Data_Val!$I$3*365.25)),Data!#REF!&lt;=(TODAY()-(Data_Val!$I$2*365.25))),0,1),1))</f>
        <v>#REF!</v>
      </c>
      <c r="AS768" s="31" t="e">
        <f>IF(Data!#REF!="","",IF(Data!$G768="",1,IF(ISNUMBER(MATCH(Data!#REF!,Data_Val!$D$2:$D$10,0)),0,1)))</f>
        <v>#REF!</v>
      </c>
      <c r="AT768" s="11"/>
      <c r="AU768" s="11" t="e">
        <f ca="1">IF(Data!#REF!="","",IF(ISNUMBER(Data!#REF!),IF(AND(Data!#REF!&gt;(TODAY()-(Data_Val!$I$3*365.25)),Data!#REF!&lt;=(TODAY()-(Data_Val!$I$2*365.25))),0,1),1))</f>
        <v>#REF!</v>
      </c>
      <c r="AV768" s="11" t="e">
        <f>IF(Data!#REF!="","",IF(Data!$G768="",1,IF(ISNUMBER(MATCH(Data!#REF!,Data_Val!$D$2:$D$10,0)),0,1)))</f>
        <v>#REF!</v>
      </c>
      <c r="AW768" s="12"/>
      <c r="AX768" s="26" t="e">
        <f ca="1">IF(Data!#REF!="","",IF(ISNUMBER(Data!#REF!),IF(AND(Data!#REF!&gt;(TODAY()-(Data_Val!$I$3*365.25)),Data!#REF!&lt;=(TODAY()-(Data_Val!$I$2*365.25))),0,1),1))</f>
        <v>#REF!</v>
      </c>
      <c r="AY768" s="12" t="e">
        <f>IF(Data!#REF!="","",IF(Data!$G768="",1,IF(ISNUMBER(MATCH(Data!#REF!,Data_Val!$D$2:$D$10,0)),0,1)))</f>
        <v>#REF!</v>
      </c>
      <c r="AZ768" s="11"/>
      <c r="BA768" s="19" t="e">
        <f ca="1">IF(Data!#REF!="","",IF(ISNUMBER(Data!#REF!),IF(AND(Data!#REF!&gt;(TODAY()-(Data_Val!$M$3*365.25)),Data!#REF!&lt;=(TODAY()-(Data_Val!$M$2*365.25))),0,1),1))</f>
        <v>#REF!</v>
      </c>
      <c r="BB768" s="11" t="e">
        <f>IF(Data!#REF!="","",IF(Data!$G768="",1,IF(ISNUMBER(MATCH(Data!#REF!,Data_Val!$D$2:$D$10,0)),0,1)))</f>
        <v>#REF!</v>
      </c>
      <c r="BC768" s="12"/>
      <c r="BD768" s="20" t="e">
        <f ca="1">IF(Data!#REF!="","",IF(ISNUMBER(Data!#REF!),IF(AND(Data!#REF!&gt;(TODAY()-(Data_Val!$M$3*365.25)),Data!#REF!&lt;=(TODAY()-(Data_Val!$M$2*365.25))),0,1),1))</f>
        <v>#REF!</v>
      </c>
      <c r="BE768" s="12" t="e">
        <f>IF(Data!#REF!="","",IF(Data!$G768="",1,IF(ISNUMBER(MATCH(Data!#REF!,Data_Val!$D$2:$D$10,0)),0,1)))</f>
        <v>#REF!</v>
      </c>
      <c r="BF768" s="17"/>
      <c r="BG768" s="18" t="e">
        <f ca="1">IF(Data!#REF!="","",IF(ISNUMBER(Data!#REF!),IF(AND(Data!#REF!&gt;(TODAY()-(Data_Val!$M$3*365.25)),Data!#REF!&lt;=(TODAY()-(Data_Val!$M$2*365.25))),0,1),1))</f>
        <v>#REF!</v>
      </c>
      <c r="BH768" s="29" t="e">
        <f>IF(Data!#REF!="","",IF(Data!$G768="",1,IF(ISNUMBER(MATCH(Data!#REF!,Data_Val!$D$2:$D$10,0)),0,1)))</f>
        <v>#REF!</v>
      </c>
      <c r="BI768" s="13"/>
      <c r="BJ768" s="21" t="e">
        <f ca="1">IF(Data!#REF!="","",IF(ISNUMBER(Data!#REF!),IF(AND(Data!#REF!&gt;(TODAY()-(Data_Val!$M$3*365.25)),Data!#REF!&lt;=(TODAY()-(Data_Val!$M$2*365.25))),0,1),1))</f>
        <v>#REF!</v>
      </c>
      <c r="BK768" s="13" t="e">
        <f>IF(Data!#REF!="","",IF(Data!$G768="",1,IF(ISNUMBER(MATCH(Data!#REF!,Data_Val!$D$2:$D$10,0)),0,1)))</f>
        <v>#REF!</v>
      </c>
    </row>
    <row r="769" spans="1:63" x14ac:dyDescent="0.25">
      <c r="A769" s="9" t="str">
        <f>IF(Data!B769="","",IF(COUNTIFS(Data!A$1:'Data'!A769,Data!A769)&lt;=1,0,1))</f>
        <v/>
      </c>
      <c r="B769" s="9"/>
      <c r="C769" s="23" t="str">
        <f>IF(Data!C769="","",(IF(ISNUMBER(MATCH("*@*.?*",Data!C769,0)),0,1)+IF(COUNTIFS(Data!C$1:'Data'!C769,Data!C769)&gt;1,1,0)))</f>
        <v/>
      </c>
      <c r="D769" s="9" t="str">
        <f>IF(Data!B769="","",IF(ISNUMBER(Data!D769),IF(AND(Data!D769&gt;999999999,Data!D769&lt;=9999999999),IF(COUNTIFS(Data!D$1:'Data'!D769,Data!D769)&lt;=1,0,1),1),1))</f>
        <v/>
      </c>
      <c r="E769" s="9" t="str">
        <f>IF(Data!B769="","",IF(ISNUMBER(MATCH(Data!E769,Data_Val!$A$2:$A$3,0)),0,1))</f>
        <v/>
      </c>
      <c r="F769" s="9" t="str">
        <f ca="1">IF(Data!B769="","",IF(ISNUMBER(Data!F769),IF(AND(Data!F769&gt;(TODAY()-(Data_Val!$H$3*365.25)),Data!F769&lt;=(TODAY()-(Data_Val!$H$2*365.25))),0,1),1))</f>
        <v/>
      </c>
      <c r="G769" s="15" t="str">
        <f>IF(Data!B769="","",IF(AND(Data!G769="",Data!H769&lt;&gt;""),1,IF(Data!#REF!&lt;&gt;"",0,IF(ISNUMBER(MATCH(Data!G769,Data_Val!$C$2:$C$5,0)),0,1))))</f>
        <v/>
      </c>
      <c r="H769" s="15" t="str">
        <f>IF(Data!B769="","",IF(AND(Data!G769&lt;&gt;"",Data!H769=""),1,IF(Data!#REF!&lt;&gt;"",0,IF(Data!G769="",1,IF(ISNUMBER(MATCH(Data!H769,Data_Val!$D$2:$D$35,0)),0,1)))))</f>
        <v/>
      </c>
      <c r="I769" s="15" t="str">
        <f>IF(Data!B769="","",IF(Data!G769&lt;&gt;"",0,IF(ISNUMBER(MATCH(Data!#REF!,Data_Val!$E$2:$E$12,0)),0,1)))</f>
        <v/>
      </c>
      <c r="J769" s="16" t="e">
        <f>IF(OR(Data!B769="",Data!#REF!=""),"",IF(Data!#REF!="",1,0))</f>
        <v>#REF!</v>
      </c>
      <c r="K769" s="16" t="e">
        <f>IF(OR(Data!B769="",Data!#REF!=""),"",IF(Data!#REF!="",1,0))</f>
        <v>#REF!</v>
      </c>
      <c r="L769" s="16" t="e">
        <f>IF(OR(Data!B769="",Data!#REF!=""),"",IF(ISNUMBER(Data!#REF!),IF(AND(Data!#REF!&gt;Data_Val!$G$2,Data!#REF!&lt;=Data_Val!$G$3),0,1),1))</f>
        <v>#REF!</v>
      </c>
      <c r="M769" s="9" t="e">
        <f>IF(OR(Data!B769="",Data!#REF!=""),"",IF(ISNUMBER(MATCH(Data!#REF!,Data_Val!$F$1:$F$38,0)),0,1))</f>
        <v>#REF!</v>
      </c>
      <c r="N769" s="9" t="e">
        <f>IF(OR(Data!B769="",Data!#REF!=""),"",IF(Data!#REF!="",1,0))</f>
        <v>#REF!</v>
      </c>
      <c r="O769" s="17" t="e">
        <f>IF(Data!#REF!="","",IF(Data!#REF!="",1,0))</f>
        <v>#REF!</v>
      </c>
      <c r="P769" s="17" t="e">
        <f>IF(Data!#REF!="","",IF(ISNUMBER(MATCH(Data!#REF!,Data_Val!$A$2:$A$3,0)),0,1))</f>
        <v>#REF!</v>
      </c>
      <c r="Q769" s="25" t="e">
        <f ca="1">IF(Data!#REF!="","",IF(ISNUMBER(Data!#REF!),IF(AND(Data!#REF!&gt;(TODAY()-(Data_Val!$J$3*365.25)),Data!#REF!&lt;=(TODAY()-(Data_Val!$J$2*365.25))),0,1),1))</f>
        <v>#REF!</v>
      </c>
      <c r="R769" s="17" t="e">
        <f>IF(Data!#REF!="","",IF(ISNUMBER(MATCH(Data!#REF!,Data_Val!$B$2:$B$15,0)),0,1))</f>
        <v>#REF!</v>
      </c>
      <c r="S769" s="11" t="str">
        <f>IF(Data!G769="","",IF(Data!G769=Data_Val!$C$2,IF(Data!M769="",0,1),0))</f>
        <v/>
      </c>
      <c r="T769" s="11" t="str">
        <f>IF(Data!M769="","",IF(ISNUMBER(MATCH(Data!N769,Data_Val!$A$2:$A$3,0)),0,1))</f>
        <v/>
      </c>
      <c r="U769" s="11" t="str">
        <f ca="1">IF(Data!M769="","",IF(ISNUMBER(Data!O769),IF(AND(Data!O769&gt;(TODAY()-(Data_Val!$K$3*365.25)),Data!O769&lt;=(TODAY()-(Data_Val!$K$2*365.25))),0,1),1))</f>
        <v/>
      </c>
      <c r="V769" s="12" t="str">
        <f>IF(Data!G769="","",IF(Data!G769=Data_Val!$C$2,IF(Data!P769="",0,1),0))</f>
        <v/>
      </c>
      <c r="W769" s="12" t="str">
        <f>IF(Data!P769="","",IF(ISNUMBER(MATCH(Data!Q769,Data_Val!$A$2:$A$3,0)),0,1))</f>
        <v/>
      </c>
      <c r="X769" s="26" t="str">
        <f ca="1">IF(Data!P769="","",IF(ISNUMBER(Data!R769),IF(AND(Data!R769&gt;(TODAY()-(Data_Val!$L$3*365.25)),Data!R769&lt;=(TODAY()-(Data_Val!$L$2*365.25))),0,1),1))</f>
        <v/>
      </c>
      <c r="Y769" s="13" t="str">
        <f>IF(Data!$G769="","",IF(Data!$G769=Data_Val!$C$2,IF(Data!S769="",0,1),0))</f>
        <v/>
      </c>
      <c r="Z769" s="13" t="str">
        <f>IF(Data!S769="","",IF(ISNUMBER(MATCH(Data!T769,Data_Val!$A$2:$A$3,0)),0,1))</f>
        <v/>
      </c>
      <c r="AA769" s="28" t="str">
        <f ca="1">IF(Data!S769="","",IF(ISNUMBER(Data!U769),IF(AND(Data!U769&gt;(TODAY()-(Data_Val!$L$3*365.25)),Data!U769&lt;=(TODAY()-(Data_Val!$L$2*365.25))),0,1),1))</f>
        <v/>
      </c>
      <c r="AB769" s="11"/>
      <c r="AC769" s="11" t="e">
        <f>IF(Data!#REF!="","",IF(ISNUMBER(MATCH(Data!#REF!,Data_Val!$A$2:$A$3,0)),0,1))</f>
        <v>#REF!</v>
      </c>
      <c r="AD769" s="11" t="e">
        <f ca="1">IF(Data!#REF!="","",IF(ISNUMBER(Data!#REF!),IF(AND(Data!#REF!&gt;(TODAY()-(Data_Val!$L$3*365.25)),Data!#REF!&lt;=(TODAY()-(Data_Val!$L$2*365.25))),0,1),1))</f>
        <v>#REF!</v>
      </c>
      <c r="AE769" s="11" t="e">
        <f>IF(Data!#REF!="","",IF(Data!$G769="",1,IF(ISNUMBER(MATCH(Data!#REF!,Data_Val!$D$2:$D$10,0)),0,1)))</f>
        <v>#REF!</v>
      </c>
      <c r="AF769" s="12"/>
      <c r="AG769" s="12" t="e">
        <f>IF(Data!#REF!="","",IF(ISNUMBER(MATCH(Data!#REF!,Data_Val!$A$2:$A$3,0)),0,1))</f>
        <v>#REF!</v>
      </c>
      <c r="AH769" s="26" t="e">
        <f ca="1">IF(Data!#REF!="","",IF(ISNUMBER(Data!#REF!),IF(AND(Data!#REF!&gt;(TODAY()-(Data_Val!$L$3*365.25)),Data!#REF!&lt;=(TODAY()-(Data_Val!$L$2*365.25))),0,1),1))</f>
        <v>#REF!</v>
      </c>
      <c r="AI769" s="12" t="e">
        <f>IF(Data!#REF!="","",IF(Data!$G769="",1,IF(ISNUMBER(MATCH(Data!#REF!,Data_Val!$D$2:$D$10,0)),0,1)))</f>
        <v>#REF!</v>
      </c>
      <c r="AJ769" s="17"/>
      <c r="AK769" s="17" t="e">
        <f>IF(Data!#REF!="","",IF(ISNUMBER(MATCH(Data!#REF!,Data_Val!$A$2:$A$3,0)),0,1))</f>
        <v>#REF!</v>
      </c>
      <c r="AL769" s="25" t="e">
        <f ca="1">IF(Data!#REF!="","",IF(ISNUMBER(Data!#REF!),IF(AND(Data!#REF!&gt;(TODAY()-(Data_Val!$L$3*365.25)),Data!#REF!&lt;=(TODAY()-(Data_Val!$L$2*365.25))),0,1),1))</f>
        <v>#REF!</v>
      </c>
      <c r="AM769" s="17" t="e">
        <f>IF(Data!#REF!="","",IF(Data!$G769="",1,IF(ISNUMBER(MATCH(Data!#REF!,Data_Val!$D$2:$D$10,0)),0,1)))</f>
        <v>#REF!</v>
      </c>
      <c r="AN769" s="13"/>
      <c r="AO769" s="28" t="e">
        <f ca="1">IF(Data!#REF!="","",IF(ISNUMBER(Data!#REF!),IF(AND(Data!#REF!&gt;(TODAY()-(Data_Val!$I$3*365.25)),Data!#REF!&lt;=(TODAY()-(Data_Val!$I$2*365.25))),0,1),1))</f>
        <v>#REF!</v>
      </c>
      <c r="AP769" s="13" t="e">
        <f>IF(Data!#REF!="","",IF(Data!$G769="",1,IF(ISNUMBER(MATCH(Data!#REF!,Data_Val!$D$2:$D$10,0)),0,1)))</f>
        <v>#REF!</v>
      </c>
      <c r="AQ769" s="17"/>
      <c r="AR769" s="30" t="e">
        <f ca="1">IF(Data!#REF!="","",IF(ISNUMBER(Data!#REF!),IF(AND(Data!#REF!&gt;(TODAY()-(Data_Val!$I$3*365.25)),Data!#REF!&lt;=(TODAY()-(Data_Val!$I$2*365.25))),0,1),1))</f>
        <v>#REF!</v>
      </c>
      <c r="AS769" s="31" t="e">
        <f>IF(Data!#REF!="","",IF(Data!$G769="",1,IF(ISNUMBER(MATCH(Data!#REF!,Data_Val!$D$2:$D$10,0)),0,1)))</f>
        <v>#REF!</v>
      </c>
      <c r="AT769" s="11"/>
      <c r="AU769" s="11" t="e">
        <f ca="1">IF(Data!#REF!="","",IF(ISNUMBER(Data!#REF!),IF(AND(Data!#REF!&gt;(TODAY()-(Data_Val!$I$3*365.25)),Data!#REF!&lt;=(TODAY()-(Data_Val!$I$2*365.25))),0,1),1))</f>
        <v>#REF!</v>
      </c>
      <c r="AV769" s="11" t="e">
        <f>IF(Data!#REF!="","",IF(Data!$G769="",1,IF(ISNUMBER(MATCH(Data!#REF!,Data_Val!$D$2:$D$10,0)),0,1)))</f>
        <v>#REF!</v>
      </c>
      <c r="AW769" s="12"/>
      <c r="AX769" s="26" t="e">
        <f ca="1">IF(Data!#REF!="","",IF(ISNUMBER(Data!#REF!),IF(AND(Data!#REF!&gt;(TODAY()-(Data_Val!$I$3*365.25)),Data!#REF!&lt;=(TODAY()-(Data_Val!$I$2*365.25))),0,1),1))</f>
        <v>#REF!</v>
      </c>
      <c r="AY769" s="12" t="e">
        <f>IF(Data!#REF!="","",IF(Data!$G769="",1,IF(ISNUMBER(MATCH(Data!#REF!,Data_Val!$D$2:$D$10,0)),0,1)))</f>
        <v>#REF!</v>
      </c>
      <c r="AZ769" s="11"/>
      <c r="BA769" s="19" t="e">
        <f ca="1">IF(Data!#REF!="","",IF(ISNUMBER(Data!#REF!),IF(AND(Data!#REF!&gt;(TODAY()-(Data_Val!$M$3*365.25)),Data!#REF!&lt;=(TODAY()-(Data_Val!$M$2*365.25))),0,1),1))</f>
        <v>#REF!</v>
      </c>
      <c r="BB769" s="11" t="e">
        <f>IF(Data!#REF!="","",IF(Data!$G769="",1,IF(ISNUMBER(MATCH(Data!#REF!,Data_Val!$D$2:$D$10,0)),0,1)))</f>
        <v>#REF!</v>
      </c>
      <c r="BC769" s="12"/>
      <c r="BD769" s="20" t="e">
        <f ca="1">IF(Data!#REF!="","",IF(ISNUMBER(Data!#REF!),IF(AND(Data!#REF!&gt;(TODAY()-(Data_Val!$M$3*365.25)),Data!#REF!&lt;=(TODAY()-(Data_Val!$M$2*365.25))),0,1),1))</f>
        <v>#REF!</v>
      </c>
      <c r="BE769" s="12" t="e">
        <f>IF(Data!#REF!="","",IF(Data!$G769="",1,IF(ISNUMBER(MATCH(Data!#REF!,Data_Val!$D$2:$D$10,0)),0,1)))</f>
        <v>#REF!</v>
      </c>
      <c r="BF769" s="17"/>
      <c r="BG769" s="18" t="e">
        <f ca="1">IF(Data!#REF!="","",IF(ISNUMBER(Data!#REF!),IF(AND(Data!#REF!&gt;(TODAY()-(Data_Val!$M$3*365.25)),Data!#REF!&lt;=(TODAY()-(Data_Val!$M$2*365.25))),0,1),1))</f>
        <v>#REF!</v>
      </c>
      <c r="BH769" s="29" t="e">
        <f>IF(Data!#REF!="","",IF(Data!$G769="",1,IF(ISNUMBER(MATCH(Data!#REF!,Data_Val!$D$2:$D$10,0)),0,1)))</f>
        <v>#REF!</v>
      </c>
      <c r="BI769" s="13"/>
      <c r="BJ769" s="21" t="e">
        <f ca="1">IF(Data!#REF!="","",IF(ISNUMBER(Data!#REF!),IF(AND(Data!#REF!&gt;(TODAY()-(Data_Val!$M$3*365.25)),Data!#REF!&lt;=(TODAY()-(Data_Val!$M$2*365.25))),0,1),1))</f>
        <v>#REF!</v>
      </c>
      <c r="BK769" s="13" t="e">
        <f>IF(Data!#REF!="","",IF(Data!$G769="",1,IF(ISNUMBER(MATCH(Data!#REF!,Data_Val!$D$2:$D$10,0)),0,1)))</f>
        <v>#REF!</v>
      </c>
    </row>
    <row r="770" spans="1:63" x14ac:dyDescent="0.25">
      <c r="A770" s="9" t="str">
        <f>IF(Data!B770="","",IF(COUNTIFS(Data!A$1:'Data'!A770,Data!A770)&lt;=1,0,1))</f>
        <v/>
      </c>
      <c r="B770" s="9"/>
      <c r="C770" s="23" t="str">
        <f>IF(Data!C770="","",(IF(ISNUMBER(MATCH("*@*.?*",Data!C770,0)),0,1)+IF(COUNTIFS(Data!C$1:'Data'!C770,Data!C770)&gt;1,1,0)))</f>
        <v/>
      </c>
      <c r="D770" s="9" t="str">
        <f>IF(Data!B770="","",IF(ISNUMBER(Data!D770),IF(AND(Data!D770&gt;999999999,Data!D770&lt;=9999999999),IF(COUNTIFS(Data!D$1:'Data'!D770,Data!D770)&lt;=1,0,1),1),1))</f>
        <v/>
      </c>
      <c r="E770" s="9" t="str">
        <f>IF(Data!B770="","",IF(ISNUMBER(MATCH(Data!E770,Data_Val!$A$2:$A$3,0)),0,1))</f>
        <v/>
      </c>
      <c r="F770" s="9" t="str">
        <f ca="1">IF(Data!B770="","",IF(ISNUMBER(Data!F770),IF(AND(Data!F770&gt;(TODAY()-(Data_Val!$H$3*365.25)),Data!F770&lt;=(TODAY()-(Data_Val!$H$2*365.25))),0,1),1))</f>
        <v/>
      </c>
      <c r="G770" s="15" t="str">
        <f>IF(Data!B770="","",IF(AND(Data!G770="",Data!H770&lt;&gt;""),1,IF(Data!#REF!&lt;&gt;"",0,IF(ISNUMBER(MATCH(Data!G770,Data_Val!$C$2:$C$5,0)),0,1))))</f>
        <v/>
      </c>
      <c r="H770" s="15" t="str">
        <f>IF(Data!B770="","",IF(AND(Data!G770&lt;&gt;"",Data!H770=""),1,IF(Data!#REF!&lt;&gt;"",0,IF(Data!G770="",1,IF(ISNUMBER(MATCH(Data!H770,Data_Val!$D$2:$D$35,0)),0,1)))))</f>
        <v/>
      </c>
      <c r="I770" s="15" t="str">
        <f>IF(Data!B770="","",IF(Data!G770&lt;&gt;"",0,IF(ISNUMBER(MATCH(Data!#REF!,Data_Val!$E$2:$E$12,0)),0,1)))</f>
        <v/>
      </c>
      <c r="J770" s="16" t="e">
        <f>IF(OR(Data!B770="",Data!#REF!=""),"",IF(Data!#REF!="",1,0))</f>
        <v>#REF!</v>
      </c>
      <c r="K770" s="16" t="e">
        <f>IF(OR(Data!B770="",Data!#REF!=""),"",IF(Data!#REF!="",1,0))</f>
        <v>#REF!</v>
      </c>
      <c r="L770" s="16" t="e">
        <f>IF(OR(Data!B770="",Data!#REF!=""),"",IF(ISNUMBER(Data!#REF!),IF(AND(Data!#REF!&gt;Data_Val!$G$2,Data!#REF!&lt;=Data_Val!$G$3),0,1),1))</f>
        <v>#REF!</v>
      </c>
      <c r="M770" s="9" t="e">
        <f>IF(OR(Data!B770="",Data!#REF!=""),"",IF(ISNUMBER(MATCH(Data!#REF!,Data_Val!$F$1:$F$38,0)),0,1))</f>
        <v>#REF!</v>
      </c>
      <c r="N770" s="9" t="e">
        <f>IF(OR(Data!B770="",Data!#REF!=""),"",IF(Data!#REF!="",1,0))</f>
        <v>#REF!</v>
      </c>
      <c r="O770" s="17" t="e">
        <f>IF(Data!#REF!="","",IF(Data!#REF!="",1,0))</f>
        <v>#REF!</v>
      </c>
      <c r="P770" s="17" t="e">
        <f>IF(Data!#REF!="","",IF(ISNUMBER(MATCH(Data!#REF!,Data_Val!$A$2:$A$3,0)),0,1))</f>
        <v>#REF!</v>
      </c>
      <c r="Q770" s="25" t="e">
        <f ca="1">IF(Data!#REF!="","",IF(ISNUMBER(Data!#REF!),IF(AND(Data!#REF!&gt;(TODAY()-(Data_Val!$J$3*365.25)),Data!#REF!&lt;=(TODAY()-(Data_Val!$J$2*365.25))),0,1),1))</f>
        <v>#REF!</v>
      </c>
      <c r="R770" s="17" t="e">
        <f>IF(Data!#REF!="","",IF(ISNUMBER(MATCH(Data!#REF!,Data_Val!$B$2:$B$15,0)),0,1))</f>
        <v>#REF!</v>
      </c>
      <c r="S770" s="11" t="str">
        <f>IF(Data!G770="","",IF(Data!G770=Data_Val!$C$2,IF(Data!M770="",0,1),0))</f>
        <v/>
      </c>
      <c r="T770" s="11" t="str">
        <f>IF(Data!M770="","",IF(ISNUMBER(MATCH(Data!N770,Data_Val!$A$2:$A$3,0)),0,1))</f>
        <v/>
      </c>
      <c r="U770" s="11" t="str">
        <f ca="1">IF(Data!M770="","",IF(ISNUMBER(Data!O770),IF(AND(Data!O770&gt;(TODAY()-(Data_Val!$K$3*365.25)),Data!O770&lt;=(TODAY()-(Data_Val!$K$2*365.25))),0,1),1))</f>
        <v/>
      </c>
      <c r="V770" s="12" t="str">
        <f>IF(Data!G770="","",IF(Data!G770=Data_Val!$C$2,IF(Data!P770="",0,1),0))</f>
        <v/>
      </c>
      <c r="W770" s="12" t="str">
        <f>IF(Data!P770="","",IF(ISNUMBER(MATCH(Data!Q770,Data_Val!$A$2:$A$3,0)),0,1))</f>
        <v/>
      </c>
      <c r="X770" s="26" t="str">
        <f ca="1">IF(Data!P770="","",IF(ISNUMBER(Data!R770),IF(AND(Data!R770&gt;(TODAY()-(Data_Val!$L$3*365.25)),Data!R770&lt;=(TODAY()-(Data_Val!$L$2*365.25))),0,1),1))</f>
        <v/>
      </c>
      <c r="Y770" s="13" t="str">
        <f>IF(Data!$G770="","",IF(Data!$G770=Data_Val!$C$2,IF(Data!S770="",0,1),0))</f>
        <v/>
      </c>
      <c r="Z770" s="13" t="str">
        <f>IF(Data!S770="","",IF(ISNUMBER(MATCH(Data!T770,Data_Val!$A$2:$A$3,0)),0,1))</f>
        <v/>
      </c>
      <c r="AA770" s="28" t="str">
        <f ca="1">IF(Data!S770="","",IF(ISNUMBER(Data!U770),IF(AND(Data!U770&gt;(TODAY()-(Data_Val!$L$3*365.25)),Data!U770&lt;=(TODAY()-(Data_Val!$L$2*365.25))),0,1),1))</f>
        <v/>
      </c>
      <c r="AB770" s="11"/>
      <c r="AC770" s="11" t="e">
        <f>IF(Data!#REF!="","",IF(ISNUMBER(MATCH(Data!#REF!,Data_Val!$A$2:$A$3,0)),0,1))</f>
        <v>#REF!</v>
      </c>
      <c r="AD770" s="11" t="e">
        <f ca="1">IF(Data!#REF!="","",IF(ISNUMBER(Data!#REF!),IF(AND(Data!#REF!&gt;(TODAY()-(Data_Val!$L$3*365.25)),Data!#REF!&lt;=(TODAY()-(Data_Val!$L$2*365.25))),0,1),1))</f>
        <v>#REF!</v>
      </c>
      <c r="AE770" s="11" t="e">
        <f>IF(Data!#REF!="","",IF(Data!$G770="",1,IF(ISNUMBER(MATCH(Data!#REF!,Data_Val!$D$2:$D$10,0)),0,1)))</f>
        <v>#REF!</v>
      </c>
      <c r="AF770" s="12"/>
      <c r="AG770" s="12" t="e">
        <f>IF(Data!#REF!="","",IF(ISNUMBER(MATCH(Data!#REF!,Data_Val!$A$2:$A$3,0)),0,1))</f>
        <v>#REF!</v>
      </c>
      <c r="AH770" s="26" t="e">
        <f ca="1">IF(Data!#REF!="","",IF(ISNUMBER(Data!#REF!),IF(AND(Data!#REF!&gt;(TODAY()-(Data_Val!$L$3*365.25)),Data!#REF!&lt;=(TODAY()-(Data_Val!$L$2*365.25))),0,1),1))</f>
        <v>#REF!</v>
      </c>
      <c r="AI770" s="12" t="e">
        <f>IF(Data!#REF!="","",IF(Data!$G770="",1,IF(ISNUMBER(MATCH(Data!#REF!,Data_Val!$D$2:$D$10,0)),0,1)))</f>
        <v>#REF!</v>
      </c>
      <c r="AJ770" s="17"/>
      <c r="AK770" s="17" t="e">
        <f>IF(Data!#REF!="","",IF(ISNUMBER(MATCH(Data!#REF!,Data_Val!$A$2:$A$3,0)),0,1))</f>
        <v>#REF!</v>
      </c>
      <c r="AL770" s="25" t="e">
        <f ca="1">IF(Data!#REF!="","",IF(ISNUMBER(Data!#REF!),IF(AND(Data!#REF!&gt;(TODAY()-(Data_Val!$L$3*365.25)),Data!#REF!&lt;=(TODAY()-(Data_Val!$L$2*365.25))),0,1),1))</f>
        <v>#REF!</v>
      </c>
      <c r="AM770" s="17" t="e">
        <f>IF(Data!#REF!="","",IF(Data!$G770="",1,IF(ISNUMBER(MATCH(Data!#REF!,Data_Val!$D$2:$D$10,0)),0,1)))</f>
        <v>#REF!</v>
      </c>
      <c r="AN770" s="13"/>
      <c r="AO770" s="28" t="e">
        <f ca="1">IF(Data!#REF!="","",IF(ISNUMBER(Data!#REF!),IF(AND(Data!#REF!&gt;(TODAY()-(Data_Val!$I$3*365.25)),Data!#REF!&lt;=(TODAY()-(Data_Val!$I$2*365.25))),0,1),1))</f>
        <v>#REF!</v>
      </c>
      <c r="AP770" s="13" t="e">
        <f>IF(Data!#REF!="","",IF(Data!$G770="",1,IF(ISNUMBER(MATCH(Data!#REF!,Data_Val!$D$2:$D$10,0)),0,1)))</f>
        <v>#REF!</v>
      </c>
      <c r="AQ770" s="17"/>
      <c r="AR770" s="30" t="e">
        <f ca="1">IF(Data!#REF!="","",IF(ISNUMBER(Data!#REF!),IF(AND(Data!#REF!&gt;(TODAY()-(Data_Val!$I$3*365.25)),Data!#REF!&lt;=(TODAY()-(Data_Val!$I$2*365.25))),0,1),1))</f>
        <v>#REF!</v>
      </c>
      <c r="AS770" s="31" t="e">
        <f>IF(Data!#REF!="","",IF(Data!$G770="",1,IF(ISNUMBER(MATCH(Data!#REF!,Data_Val!$D$2:$D$10,0)),0,1)))</f>
        <v>#REF!</v>
      </c>
      <c r="AT770" s="11"/>
      <c r="AU770" s="11" t="e">
        <f ca="1">IF(Data!#REF!="","",IF(ISNUMBER(Data!#REF!),IF(AND(Data!#REF!&gt;(TODAY()-(Data_Val!$I$3*365.25)),Data!#REF!&lt;=(TODAY()-(Data_Val!$I$2*365.25))),0,1),1))</f>
        <v>#REF!</v>
      </c>
      <c r="AV770" s="11" t="e">
        <f>IF(Data!#REF!="","",IF(Data!$G770="",1,IF(ISNUMBER(MATCH(Data!#REF!,Data_Val!$D$2:$D$10,0)),0,1)))</f>
        <v>#REF!</v>
      </c>
      <c r="AW770" s="12"/>
      <c r="AX770" s="26" t="e">
        <f ca="1">IF(Data!#REF!="","",IF(ISNUMBER(Data!#REF!),IF(AND(Data!#REF!&gt;(TODAY()-(Data_Val!$I$3*365.25)),Data!#REF!&lt;=(TODAY()-(Data_Val!$I$2*365.25))),0,1),1))</f>
        <v>#REF!</v>
      </c>
      <c r="AY770" s="12" t="e">
        <f>IF(Data!#REF!="","",IF(Data!$G770="",1,IF(ISNUMBER(MATCH(Data!#REF!,Data_Val!$D$2:$D$10,0)),0,1)))</f>
        <v>#REF!</v>
      </c>
      <c r="AZ770" s="11"/>
      <c r="BA770" s="19" t="e">
        <f ca="1">IF(Data!#REF!="","",IF(ISNUMBER(Data!#REF!),IF(AND(Data!#REF!&gt;(TODAY()-(Data_Val!$M$3*365.25)),Data!#REF!&lt;=(TODAY()-(Data_Val!$M$2*365.25))),0,1),1))</f>
        <v>#REF!</v>
      </c>
      <c r="BB770" s="11" t="e">
        <f>IF(Data!#REF!="","",IF(Data!$G770="",1,IF(ISNUMBER(MATCH(Data!#REF!,Data_Val!$D$2:$D$10,0)),0,1)))</f>
        <v>#REF!</v>
      </c>
      <c r="BC770" s="12"/>
      <c r="BD770" s="20" t="e">
        <f ca="1">IF(Data!#REF!="","",IF(ISNUMBER(Data!#REF!),IF(AND(Data!#REF!&gt;(TODAY()-(Data_Val!$M$3*365.25)),Data!#REF!&lt;=(TODAY()-(Data_Val!$M$2*365.25))),0,1),1))</f>
        <v>#REF!</v>
      </c>
      <c r="BE770" s="12" t="e">
        <f>IF(Data!#REF!="","",IF(Data!$G770="",1,IF(ISNUMBER(MATCH(Data!#REF!,Data_Val!$D$2:$D$10,0)),0,1)))</f>
        <v>#REF!</v>
      </c>
      <c r="BF770" s="17"/>
      <c r="BG770" s="18" t="e">
        <f ca="1">IF(Data!#REF!="","",IF(ISNUMBER(Data!#REF!),IF(AND(Data!#REF!&gt;(TODAY()-(Data_Val!$M$3*365.25)),Data!#REF!&lt;=(TODAY()-(Data_Val!$M$2*365.25))),0,1),1))</f>
        <v>#REF!</v>
      </c>
      <c r="BH770" s="29" t="e">
        <f>IF(Data!#REF!="","",IF(Data!$G770="",1,IF(ISNUMBER(MATCH(Data!#REF!,Data_Val!$D$2:$D$10,0)),0,1)))</f>
        <v>#REF!</v>
      </c>
      <c r="BI770" s="13"/>
      <c r="BJ770" s="21" t="e">
        <f ca="1">IF(Data!#REF!="","",IF(ISNUMBER(Data!#REF!),IF(AND(Data!#REF!&gt;(TODAY()-(Data_Val!$M$3*365.25)),Data!#REF!&lt;=(TODAY()-(Data_Val!$M$2*365.25))),0,1),1))</f>
        <v>#REF!</v>
      </c>
      <c r="BK770" s="13" t="e">
        <f>IF(Data!#REF!="","",IF(Data!$G770="",1,IF(ISNUMBER(MATCH(Data!#REF!,Data_Val!$D$2:$D$10,0)),0,1)))</f>
        <v>#REF!</v>
      </c>
    </row>
    <row r="771" spans="1:63" x14ac:dyDescent="0.25">
      <c r="A771" s="9" t="str">
        <f>IF(Data!B771="","",IF(COUNTIFS(Data!A$1:'Data'!A771,Data!A771)&lt;=1,0,1))</f>
        <v/>
      </c>
      <c r="B771" s="9"/>
      <c r="C771" s="23" t="str">
        <f>IF(Data!C771="","",(IF(ISNUMBER(MATCH("*@*.?*",Data!C771,0)),0,1)+IF(COUNTIFS(Data!C$1:'Data'!C771,Data!C771)&gt;1,1,0)))</f>
        <v/>
      </c>
      <c r="D771" s="9" t="str">
        <f>IF(Data!B771="","",IF(ISNUMBER(Data!D771),IF(AND(Data!D771&gt;999999999,Data!D771&lt;=9999999999),IF(COUNTIFS(Data!D$1:'Data'!D771,Data!D771)&lt;=1,0,1),1),1))</f>
        <v/>
      </c>
      <c r="E771" s="9" t="str">
        <f>IF(Data!B771="","",IF(ISNUMBER(MATCH(Data!E771,Data_Val!$A$2:$A$3,0)),0,1))</f>
        <v/>
      </c>
      <c r="F771" s="9" t="str">
        <f ca="1">IF(Data!B771="","",IF(ISNUMBER(Data!F771),IF(AND(Data!F771&gt;(TODAY()-(Data_Val!$H$3*365.25)),Data!F771&lt;=(TODAY()-(Data_Val!$H$2*365.25))),0,1),1))</f>
        <v/>
      </c>
      <c r="G771" s="15" t="str">
        <f>IF(Data!B771="","",IF(AND(Data!G771="",Data!H771&lt;&gt;""),1,IF(Data!#REF!&lt;&gt;"",0,IF(ISNUMBER(MATCH(Data!G771,Data_Val!$C$2:$C$5,0)),0,1))))</f>
        <v/>
      </c>
      <c r="H771" s="15" t="str">
        <f>IF(Data!B771="","",IF(AND(Data!G771&lt;&gt;"",Data!H771=""),1,IF(Data!#REF!&lt;&gt;"",0,IF(Data!G771="",1,IF(ISNUMBER(MATCH(Data!H771,Data_Val!$D$2:$D$35,0)),0,1)))))</f>
        <v/>
      </c>
      <c r="I771" s="15" t="str">
        <f>IF(Data!B771="","",IF(Data!G771&lt;&gt;"",0,IF(ISNUMBER(MATCH(Data!#REF!,Data_Val!$E$2:$E$12,0)),0,1)))</f>
        <v/>
      </c>
      <c r="J771" s="16" t="e">
        <f>IF(OR(Data!B771="",Data!#REF!=""),"",IF(Data!#REF!="",1,0))</f>
        <v>#REF!</v>
      </c>
      <c r="K771" s="16" t="e">
        <f>IF(OR(Data!B771="",Data!#REF!=""),"",IF(Data!#REF!="",1,0))</f>
        <v>#REF!</v>
      </c>
      <c r="L771" s="16" t="e">
        <f>IF(OR(Data!B771="",Data!#REF!=""),"",IF(ISNUMBER(Data!#REF!),IF(AND(Data!#REF!&gt;Data_Val!$G$2,Data!#REF!&lt;=Data_Val!$G$3),0,1),1))</f>
        <v>#REF!</v>
      </c>
      <c r="M771" s="9" t="e">
        <f>IF(OR(Data!B771="",Data!#REF!=""),"",IF(ISNUMBER(MATCH(Data!#REF!,Data_Val!$F$1:$F$38,0)),0,1))</f>
        <v>#REF!</v>
      </c>
      <c r="N771" s="9" t="e">
        <f>IF(OR(Data!B771="",Data!#REF!=""),"",IF(Data!#REF!="",1,0))</f>
        <v>#REF!</v>
      </c>
      <c r="O771" s="17" t="e">
        <f>IF(Data!#REF!="","",IF(Data!#REF!="",1,0))</f>
        <v>#REF!</v>
      </c>
      <c r="P771" s="17" t="e">
        <f>IF(Data!#REF!="","",IF(ISNUMBER(MATCH(Data!#REF!,Data_Val!$A$2:$A$3,0)),0,1))</f>
        <v>#REF!</v>
      </c>
      <c r="Q771" s="25" t="e">
        <f ca="1">IF(Data!#REF!="","",IF(ISNUMBER(Data!#REF!),IF(AND(Data!#REF!&gt;(TODAY()-(Data_Val!$J$3*365.25)),Data!#REF!&lt;=(TODAY()-(Data_Val!$J$2*365.25))),0,1),1))</f>
        <v>#REF!</v>
      </c>
      <c r="R771" s="17" t="e">
        <f>IF(Data!#REF!="","",IF(ISNUMBER(MATCH(Data!#REF!,Data_Val!$B$2:$B$15,0)),0,1))</f>
        <v>#REF!</v>
      </c>
      <c r="S771" s="11" t="str">
        <f>IF(Data!G771="","",IF(Data!G771=Data_Val!$C$2,IF(Data!M771="",0,1),0))</f>
        <v/>
      </c>
      <c r="T771" s="11" t="str">
        <f>IF(Data!M771="","",IF(ISNUMBER(MATCH(Data!N771,Data_Val!$A$2:$A$3,0)),0,1))</f>
        <v/>
      </c>
      <c r="U771" s="11" t="str">
        <f ca="1">IF(Data!M771="","",IF(ISNUMBER(Data!O771),IF(AND(Data!O771&gt;(TODAY()-(Data_Val!$K$3*365.25)),Data!O771&lt;=(TODAY()-(Data_Val!$K$2*365.25))),0,1),1))</f>
        <v/>
      </c>
      <c r="V771" s="12" t="str">
        <f>IF(Data!G771="","",IF(Data!G771=Data_Val!$C$2,IF(Data!P771="",0,1),0))</f>
        <v/>
      </c>
      <c r="W771" s="12" t="str">
        <f>IF(Data!P771="","",IF(ISNUMBER(MATCH(Data!Q771,Data_Val!$A$2:$A$3,0)),0,1))</f>
        <v/>
      </c>
      <c r="X771" s="26" t="str">
        <f ca="1">IF(Data!P771="","",IF(ISNUMBER(Data!R771),IF(AND(Data!R771&gt;(TODAY()-(Data_Val!$L$3*365.25)),Data!R771&lt;=(TODAY()-(Data_Val!$L$2*365.25))),0,1),1))</f>
        <v/>
      </c>
      <c r="Y771" s="13" t="str">
        <f>IF(Data!$G771="","",IF(Data!$G771=Data_Val!$C$2,IF(Data!S771="",0,1),0))</f>
        <v/>
      </c>
      <c r="Z771" s="13" t="str">
        <f>IF(Data!S771="","",IF(ISNUMBER(MATCH(Data!T771,Data_Val!$A$2:$A$3,0)),0,1))</f>
        <v/>
      </c>
      <c r="AA771" s="28" t="str">
        <f ca="1">IF(Data!S771="","",IF(ISNUMBER(Data!U771),IF(AND(Data!U771&gt;(TODAY()-(Data_Val!$L$3*365.25)),Data!U771&lt;=(TODAY()-(Data_Val!$L$2*365.25))),0,1),1))</f>
        <v/>
      </c>
      <c r="AB771" s="11"/>
      <c r="AC771" s="11" t="e">
        <f>IF(Data!#REF!="","",IF(ISNUMBER(MATCH(Data!#REF!,Data_Val!$A$2:$A$3,0)),0,1))</f>
        <v>#REF!</v>
      </c>
      <c r="AD771" s="11" t="e">
        <f ca="1">IF(Data!#REF!="","",IF(ISNUMBER(Data!#REF!),IF(AND(Data!#REF!&gt;(TODAY()-(Data_Val!$L$3*365.25)),Data!#REF!&lt;=(TODAY()-(Data_Val!$L$2*365.25))),0,1),1))</f>
        <v>#REF!</v>
      </c>
      <c r="AE771" s="11" t="e">
        <f>IF(Data!#REF!="","",IF(Data!$G771="",1,IF(ISNUMBER(MATCH(Data!#REF!,Data_Val!$D$2:$D$10,0)),0,1)))</f>
        <v>#REF!</v>
      </c>
      <c r="AF771" s="12"/>
      <c r="AG771" s="12" t="e">
        <f>IF(Data!#REF!="","",IF(ISNUMBER(MATCH(Data!#REF!,Data_Val!$A$2:$A$3,0)),0,1))</f>
        <v>#REF!</v>
      </c>
      <c r="AH771" s="26" t="e">
        <f ca="1">IF(Data!#REF!="","",IF(ISNUMBER(Data!#REF!),IF(AND(Data!#REF!&gt;(TODAY()-(Data_Val!$L$3*365.25)),Data!#REF!&lt;=(TODAY()-(Data_Val!$L$2*365.25))),0,1),1))</f>
        <v>#REF!</v>
      </c>
      <c r="AI771" s="12" t="e">
        <f>IF(Data!#REF!="","",IF(Data!$G771="",1,IF(ISNUMBER(MATCH(Data!#REF!,Data_Val!$D$2:$D$10,0)),0,1)))</f>
        <v>#REF!</v>
      </c>
      <c r="AJ771" s="17"/>
      <c r="AK771" s="17" t="e">
        <f>IF(Data!#REF!="","",IF(ISNUMBER(MATCH(Data!#REF!,Data_Val!$A$2:$A$3,0)),0,1))</f>
        <v>#REF!</v>
      </c>
      <c r="AL771" s="25" t="e">
        <f ca="1">IF(Data!#REF!="","",IF(ISNUMBER(Data!#REF!),IF(AND(Data!#REF!&gt;(TODAY()-(Data_Val!$L$3*365.25)),Data!#REF!&lt;=(TODAY()-(Data_Val!$L$2*365.25))),0,1),1))</f>
        <v>#REF!</v>
      </c>
      <c r="AM771" s="17" t="e">
        <f>IF(Data!#REF!="","",IF(Data!$G771="",1,IF(ISNUMBER(MATCH(Data!#REF!,Data_Val!$D$2:$D$10,0)),0,1)))</f>
        <v>#REF!</v>
      </c>
      <c r="AN771" s="13"/>
      <c r="AO771" s="28" t="e">
        <f ca="1">IF(Data!#REF!="","",IF(ISNUMBER(Data!#REF!),IF(AND(Data!#REF!&gt;(TODAY()-(Data_Val!$I$3*365.25)),Data!#REF!&lt;=(TODAY()-(Data_Val!$I$2*365.25))),0,1),1))</f>
        <v>#REF!</v>
      </c>
      <c r="AP771" s="13" t="e">
        <f>IF(Data!#REF!="","",IF(Data!$G771="",1,IF(ISNUMBER(MATCH(Data!#REF!,Data_Val!$D$2:$D$10,0)),0,1)))</f>
        <v>#REF!</v>
      </c>
      <c r="AQ771" s="17"/>
      <c r="AR771" s="30" t="e">
        <f ca="1">IF(Data!#REF!="","",IF(ISNUMBER(Data!#REF!),IF(AND(Data!#REF!&gt;(TODAY()-(Data_Val!$I$3*365.25)),Data!#REF!&lt;=(TODAY()-(Data_Val!$I$2*365.25))),0,1),1))</f>
        <v>#REF!</v>
      </c>
      <c r="AS771" s="31" t="e">
        <f>IF(Data!#REF!="","",IF(Data!$G771="",1,IF(ISNUMBER(MATCH(Data!#REF!,Data_Val!$D$2:$D$10,0)),0,1)))</f>
        <v>#REF!</v>
      </c>
      <c r="AT771" s="11"/>
      <c r="AU771" s="11" t="e">
        <f ca="1">IF(Data!#REF!="","",IF(ISNUMBER(Data!#REF!),IF(AND(Data!#REF!&gt;(TODAY()-(Data_Val!$I$3*365.25)),Data!#REF!&lt;=(TODAY()-(Data_Val!$I$2*365.25))),0,1),1))</f>
        <v>#REF!</v>
      </c>
      <c r="AV771" s="11" t="e">
        <f>IF(Data!#REF!="","",IF(Data!$G771="",1,IF(ISNUMBER(MATCH(Data!#REF!,Data_Val!$D$2:$D$10,0)),0,1)))</f>
        <v>#REF!</v>
      </c>
      <c r="AW771" s="12"/>
      <c r="AX771" s="26" t="e">
        <f ca="1">IF(Data!#REF!="","",IF(ISNUMBER(Data!#REF!),IF(AND(Data!#REF!&gt;(TODAY()-(Data_Val!$I$3*365.25)),Data!#REF!&lt;=(TODAY()-(Data_Val!$I$2*365.25))),0,1),1))</f>
        <v>#REF!</v>
      </c>
      <c r="AY771" s="12" t="e">
        <f>IF(Data!#REF!="","",IF(Data!$G771="",1,IF(ISNUMBER(MATCH(Data!#REF!,Data_Val!$D$2:$D$10,0)),0,1)))</f>
        <v>#REF!</v>
      </c>
      <c r="AZ771" s="11"/>
      <c r="BA771" s="19" t="e">
        <f ca="1">IF(Data!#REF!="","",IF(ISNUMBER(Data!#REF!),IF(AND(Data!#REF!&gt;(TODAY()-(Data_Val!$M$3*365.25)),Data!#REF!&lt;=(TODAY()-(Data_Val!$M$2*365.25))),0,1),1))</f>
        <v>#REF!</v>
      </c>
      <c r="BB771" s="11" t="e">
        <f>IF(Data!#REF!="","",IF(Data!$G771="",1,IF(ISNUMBER(MATCH(Data!#REF!,Data_Val!$D$2:$D$10,0)),0,1)))</f>
        <v>#REF!</v>
      </c>
      <c r="BC771" s="12"/>
      <c r="BD771" s="20" t="e">
        <f ca="1">IF(Data!#REF!="","",IF(ISNUMBER(Data!#REF!),IF(AND(Data!#REF!&gt;(TODAY()-(Data_Val!$M$3*365.25)),Data!#REF!&lt;=(TODAY()-(Data_Val!$M$2*365.25))),0,1),1))</f>
        <v>#REF!</v>
      </c>
      <c r="BE771" s="12" t="e">
        <f>IF(Data!#REF!="","",IF(Data!$G771="",1,IF(ISNUMBER(MATCH(Data!#REF!,Data_Val!$D$2:$D$10,0)),0,1)))</f>
        <v>#REF!</v>
      </c>
      <c r="BF771" s="17"/>
      <c r="BG771" s="18" t="e">
        <f ca="1">IF(Data!#REF!="","",IF(ISNUMBER(Data!#REF!),IF(AND(Data!#REF!&gt;(TODAY()-(Data_Val!$M$3*365.25)),Data!#REF!&lt;=(TODAY()-(Data_Val!$M$2*365.25))),0,1),1))</f>
        <v>#REF!</v>
      </c>
      <c r="BH771" s="29" t="e">
        <f>IF(Data!#REF!="","",IF(Data!$G771="",1,IF(ISNUMBER(MATCH(Data!#REF!,Data_Val!$D$2:$D$10,0)),0,1)))</f>
        <v>#REF!</v>
      </c>
      <c r="BI771" s="13"/>
      <c r="BJ771" s="21" t="e">
        <f ca="1">IF(Data!#REF!="","",IF(ISNUMBER(Data!#REF!),IF(AND(Data!#REF!&gt;(TODAY()-(Data_Val!$M$3*365.25)),Data!#REF!&lt;=(TODAY()-(Data_Val!$M$2*365.25))),0,1),1))</f>
        <v>#REF!</v>
      </c>
      <c r="BK771" s="13" t="e">
        <f>IF(Data!#REF!="","",IF(Data!$G771="",1,IF(ISNUMBER(MATCH(Data!#REF!,Data_Val!$D$2:$D$10,0)),0,1)))</f>
        <v>#REF!</v>
      </c>
    </row>
    <row r="772" spans="1:63" x14ac:dyDescent="0.25">
      <c r="A772" s="9" t="str">
        <f>IF(Data!B772="","",IF(COUNTIFS(Data!A$1:'Data'!A772,Data!A772)&lt;=1,0,1))</f>
        <v/>
      </c>
      <c r="B772" s="9"/>
      <c r="C772" s="23" t="str">
        <f>IF(Data!C772="","",(IF(ISNUMBER(MATCH("*@*.?*",Data!C772,0)),0,1)+IF(COUNTIFS(Data!C$1:'Data'!C772,Data!C772)&gt;1,1,0)))</f>
        <v/>
      </c>
      <c r="D772" s="9" t="str">
        <f>IF(Data!B772="","",IF(ISNUMBER(Data!D772),IF(AND(Data!D772&gt;999999999,Data!D772&lt;=9999999999),IF(COUNTIFS(Data!D$1:'Data'!D772,Data!D772)&lt;=1,0,1),1),1))</f>
        <v/>
      </c>
      <c r="E772" s="9" t="str">
        <f>IF(Data!B772="","",IF(ISNUMBER(MATCH(Data!E772,Data_Val!$A$2:$A$3,0)),0,1))</f>
        <v/>
      </c>
      <c r="F772" s="9" t="str">
        <f ca="1">IF(Data!B772="","",IF(ISNUMBER(Data!F772),IF(AND(Data!F772&gt;(TODAY()-(Data_Val!$H$3*365.25)),Data!F772&lt;=(TODAY()-(Data_Val!$H$2*365.25))),0,1),1))</f>
        <v/>
      </c>
      <c r="G772" s="15" t="str">
        <f>IF(Data!B772="","",IF(AND(Data!G772="",Data!H772&lt;&gt;""),1,IF(Data!#REF!&lt;&gt;"",0,IF(ISNUMBER(MATCH(Data!G772,Data_Val!$C$2:$C$5,0)),0,1))))</f>
        <v/>
      </c>
      <c r="H772" s="15" t="str">
        <f>IF(Data!B772="","",IF(AND(Data!G772&lt;&gt;"",Data!H772=""),1,IF(Data!#REF!&lt;&gt;"",0,IF(Data!G772="",1,IF(ISNUMBER(MATCH(Data!H772,Data_Val!$D$2:$D$35,0)),0,1)))))</f>
        <v/>
      </c>
      <c r="I772" s="15" t="str">
        <f>IF(Data!B772="","",IF(Data!G772&lt;&gt;"",0,IF(ISNUMBER(MATCH(Data!#REF!,Data_Val!$E$2:$E$12,0)),0,1)))</f>
        <v/>
      </c>
      <c r="J772" s="16" t="e">
        <f>IF(OR(Data!B772="",Data!#REF!=""),"",IF(Data!#REF!="",1,0))</f>
        <v>#REF!</v>
      </c>
      <c r="K772" s="16" t="e">
        <f>IF(OR(Data!B772="",Data!#REF!=""),"",IF(Data!#REF!="",1,0))</f>
        <v>#REF!</v>
      </c>
      <c r="L772" s="16" t="e">
        <f>IF(OR(Data!B772="",Data!#REF!=""),"",IF(ISNUMBER(Data!#REF!),IF(AND(Data!#REF!&gt;Data_Val!$G$2,Data!#REF!&lt;=Data_Val!$G$3),0,1),1))</f>
        <v>#REF!</v>
      </c>
      <c r="M772" s="9" t="e">
        <f>IF(OR(Data!B772="",Data!#REF!=""),"",IF(ISNUMBER(MATCH(Data!#REF!,Data_Val!$F$1:$F$38,0)),0,1))</f>
        <v>#REF!</v>
      </c>
      <c r="N772" s="9" t="e">
        <f>IF(OR(Data!B772="",Data!#REF!=""),"",IF(Data!#REF!="",1,0))</f>
        <v>#REF!</v>
      </c>
      <c r="O772" s="17" t="e">
        <f>IF(Data!#REF!="","",IF(Data!#REF!="",1,0))</f>
        <v>#REF!</v>
      </c>
      <c r="P772" s="17" t="e">
        <f>IF(Data!#REF!="","",IF(ISNUMBER(MATCH(Data!#REF!,Data_Val!$A$2:$A$3,0)),0,1))</f>
        <v>#REF!</v>
      </c>
      <c r="Q772" s="25" t="e">
        <f ca="1">IF(Data!#REF!="","",IF(ISNUMBER(Data!#REF!),IF(AND(Data!#REF!&gt;(TODAY()-(Data_Val!$J$3*365.25)),Data!#REF!&lt;=(TODAY()-(Data_Val!$J$2*365.25))),0,1),1))</f>
        <v>#REF!</v>
      </c>
      <c r="R772" s="17" t="e">
        <f>IF(Data!#REF!="","",IF(ISNUMBER(MATCH(Data!#REF!,Data_Val!$B$2:$B$15,0)),0,1))</f>
        <v>#REF!</v>
      </c>
      <c r="S772" s="11" t="str">
        <f>IF(Data!G772="","",IF(Data!G772=Data_Val!$C$2,IF(Data!M772="",0,1),0))</f>
        <v/>
      </c>
      <c r="T772" s="11" t="str">
        <f>IF(Data!M772="","",IF(ISNUMBER(MATCH(Data!N772,Data_Val!$A$2:$A$3,0)),0,1))</f>
        <v/>
      </c>
      <c r="U772" s="11" t="str">
        <f ca="1">IF(Data!M772="","",IF(ISNUMBER(Data!O772),IF(AND(Data!O772&gt;(TODAY()-(Data_Val!$K$3*365.25)),Data!O772&lt;=(TODAY()-(Data_Val!$K$2*365.25))),0,1),1))</f>
        <v/>
      </c>
      <c r="V772" s="12" t="str">
        <f>IF(Data!G772="","",IF(Data!G772=Data_Val!$C$2,IF(Data!P772="",0,1),0))</f>
        <v/>
      </c>
      <c r="W772" s="12" t="str">
        <f>IF(Data!P772="","",IF(ISNUMBER(MATCH(Data!Q772,Data_Val!$A$2:$A$3,0)),0,1))</f>
        <v/>
      </c>
      <c r="X772" s="26" t="str">
        <f ca="1">IF(Data!P772="","",IF(ISNUMBER(Data!R772),IF(AND(Data!R772&gt;(TODAY()-(Data_Val!$L$3*365.25)),Data!R772&lt;=(TODAY()-(Data_Val!$L$2*365.25))),0,1),1))</f>
        <v/>
      </c>
      <c r="Y772" s="13" t="str">
        <f>IF(Data!$G772="","",IF(Data!$G772=Data_Val!$C$2,IF(Data!S772="",0,1),0))</f>
        <v/>
      </c>
      <c r="Z772" s="13" t="str">
        <f>IF(Data!S772="","",IF(ISNUMBER(MATCH(Data!T772,Data_Val!$A$2:$A$3,0)),0,1))</f>
        <v/>
      </c>
      <c r="AA772" s="28" t="str">
        <f ca="1">IF(Data!S772="","",IF(ISNUMBER(Data!U772),IF(AND(Data!U772&gt;(TODAY()-(Data_Val!$L$3*365.25)),Data!U772&lt;=(TODAY()-(Data_Val!$L$2*365.25))),0,1),1))</f>
        <v/>
      </c>
      <c r="AB772" s="11"/>
      <c r="AC772" s="11" t="e">
        <f>IF(Data!#REF!="","",IF(ISNUMBER(MATCH(Data!#REF!,Data_Val!$A$2:$A$3,0)),0,1))</f>
        <v>#REF!</v>
      </c>
      <c r="AD772" s="11" t="e">
        <f ca="1">IF(Data!#REF!="","",IF(ISNUMBER(Data!#REF!),IF(AND(Data!#REF!&gt;(TODAY()-(Data_Val!$L$3*365.25)),Data!#REF!&lt;=(TODAY()-(Data_Val!$L$2*365.25))),0,1),1))</f>
        <v>#REF!</v>
      </c>
      <c r="AE772" s="11" t="e">
        <f>IF(Data!#REF!="","",IF(Data!$G772="",1,IF(ISNUMBER(MATCH(Data!#REF!,Data_Val!$D$2:$D$10,0)),0,1)))</f>
        <v>#REF!</v>
      </c>
      <c r="AF772" s="12"/>
      <c r="AG772" s="12" t="e">
        <f>IF(Data!#REF!="","",IF(ISNUMBER(MATCH(Data!#REF!,Data_Val!$A$2:$A$3,0)),0,1))</f>
        <v>#REF!</v>
      </c>
      <c r="AH772" s="26" t="e">
        <f ca="1">IF(Data!#REF!="","",IF(ISNUMBER(Data!#REF!),IF(AND(Data!#REF!&gt;(TODAY()-(Data_Val!$L$3*365.25)),Data!#REF!&lt;=(TODAY()-(Data_Val!$L$2*365.25))),0,1),1))</f>
        <v>#REF!</v>
      </c>
      <c r="AI772" s="12" t="e">
        <f>IF(Data!#REF!="","",IF(Data!$G772="",1,IF(ISNUMBER(MATCH(Data!#REF!,Data_Val!$D$2:$D$10,0)),0,1)))</f>
        <v>#REF!</v>
      </c>
      <c r="AJ772" s="17"/>
      <c r="AK772" s="17" t="e">
        <f>IF(Data!#REF!="","",IF(ISNUMBER(MATCH(Data!#REF!,Data_Val!$A$2:$A$3,0)),0,1))</f>
        <v>#REF!</v>
      </c>
      <c r="AL772" s="25" t="e">
        <f ca="1">IF(Data!#REF!="","",IF(ISNUMBER(Data!#REF!),IF(AND(Data!#REF!&gt;(TODAY()-(Data_Val!$L$3*365.25)),Data!#REF!&lt;=(TODAY()-(Data_Val!$L$2*365.25))),0,1),1))</f>
        <v>#REF!</v>
      </c>
      <c r="AM772" s="17" t="e">
        <f>IF(Data!#REF!="","",IF(Data!$G772="",1,IF(ISNUMBER(MATCH(Data!#REF!,Data_Val!$D$2:$D$10,0)),0,1)))</f>
        <v>#REF!</v>
      </c>
      <c r="AN772" s="13"/>
      <c r="AO772" s="28" t="e">
        <f ca="1">IF(Data!#REF!="","",IF(ISNUMBER(Data!#REF!),IF(AND(Data!#REF!&gt;(TODAY()-(Data_Val!$I$3*365.25)),Data!#REF!&lt;=(TODAY()-(Data_Val!$I$2*365.25))),0,1),1))</f>
        <v>#REF!</v>
      </c>
      <c r="AP772" s="13" t="e">
        <f>IF(Data!#REF!="","",IF(Data!$G772="",1,IF(ISNUMBER(MATCH(Data!#REF!,Data_Val!$D$2:$D$10,0)),0,1)))</f>
        <v>#REF!</v>
      </c>
      <c r="AQ772" s="17"/>
      <c r="AR772" s="30" t="e">
        <f ca="1">IF(Data!#REF!="","",IF(ISNUMBER(Data!#REF!),IF(AND(Data!#REF!&gt;(TODAY()-(Data_Val!$I$3*365.25)),Data!#REF!&lt;=(TODAY()-(Data_Val!$I$2*365.25))),0,1),1))</f>
        <v>#REF!</v>
      </c>
      <c r="AS772" s="31" t="e">
        <f>IF(Data!#REF!="","",IF(Data!$G772="",1,IF(ISNUMBER(MATCH(Data!#REF!,Data_Val!$D$2:$D$10,0)),0,1)))</f>
        <v>#REF!</v>
      </c>
      <c r="AT772" s="11"/>
      <c r="AU772" s="11" t="e">
        <f ca="1">IF(Data!#REF!="","",IF(ISNUMBER(Data!#REF!),IF(AND(Data!#REF!&gt;(TODAY()-(Data_Val!$I$3*365.25)),Data!#REF!&lt;=(TODAY()-(Data_Val!$I$2*365.25))),0,1),1))</f>
        <v>#REF!</v>
      </c>
      <c r="AV772" s="11" t="e">
        <f>IF(Data!#REF!="","",IF(Data!$G772="",1,IF(ISNUMBER(MATCH(Data!#REF!,Data_Val!$D$2:$D$10,0)),0,1)))</f>
        <v>#REF!</v>
      </c>
      <c r="AW772" s="12"/>
      <c r="AX772" s="26" t="e">
        <f ca="1">IF(Data!#REF!="","",IF(ISNUMBER(Data!#REF!),IF(AND(Data!#REF!&gt;(TODAY()-(Data_Val!$I$3*365.25)),Data!#REF!&lt;=(TODAY()-(Data_Val!$I$2*365.25))),0,1),1))</f>
        <v>#REF!</v>
      </c>
      <c r="AY772" s="12" t="e">
        <f>IF(Data!#REF!="","",IF(Data!$G772="",1,IF(ISNUMBER(MATCH(Data!#REF!,Data_Val!$D$2:$D$10,0)),0,1)))</f>
        <v>#REF!</v>
      </c>
      <c r="AZ772" s="11"/>
      <c r="BA772" s="19" t="e">
        <f ca="1">IF(Data!#REF!="","",IF(ISNUMBER(Data!#REF!),IF(AND(Data!#REF!&gt;(TODAY()-(Data_Val!$M$3*365.25)),Data!#REF!&lt;=(TODAY()-(Data_Val!$M$2*365.25))),0,1),1))</f>
        <v>#REF!</v>
      </c>
      <c r="BB772" s="11" t="e">
        <f>IF(Data!#REF!="","",IF(Data!$G772="",1,IF(ISNUMBER(MATCH(Data!#REF!,Data_Val!$D$2:$D$10,0)),0,1)))</f>
        <v>#REF!</v>
      </c>
      <c r="BC772" s="12"/>
      <c r="BD772" s="20" t="e">
        <f ca="1">IF(Data!#REF!="","",IF(ISNUMBER(Data!#REF!),IF(AND(Data!#REF!&gt;(TODAY()-(Data_Val!$M$3*365.25)),Data!#REF!&lt;=(TODAY()-(Data_Val!$M$2*365.25))),0,1),1))</f>
        <v>#REF!</v>
      </c>
      <c r="BE772" s="12" t="e">
        <f>IF(Data!#REF!="","",IF(Data!$G772="",1,IF(ISNUMBER(MATCH(Data!#REF!,Data_Val!$D$2:$D$10,0)),0,1)))</f>
        <v>#REF!</v>
      </c>
      <c r="BF772" s="17"/>
      <c r="BG772" s="18" t="e">
        <f ca="1">IF(Data!#REF!="","",IF(ISNUMBER(Data!#REF!),IF(AND(Data!#REF!&gt;(TODAY()-(Data_Val!$M$3*365.25)),Data!#REF!&lt;=(TODAY()-(Data_Val!$M$2*365.25))),0,1),1))</f>
        <v>#REF!</v>
      </c>
      <c r="BH772" s="29" t="e">
        <f>IF(Data!#REF!="","",IF(Data!$G772="",1,IF(ISNUMBER(MATCH(Data!#REF!,Data_Val!$D$2:$D$10,0)),0,1)))</f>
        <v>#REF!</v>
      </c>
      <c r="BI772" s="13"/>
      <c r="BJ772" s="21" t="e">
        <f ca="1">IF(Data!#REF!="","",IF(ISNUMBER(Data!#REF!),IF(AND(Data!#REF!&gt;(TODAY()-(Data_Val!$M$3*365.25)),Data!#REF!&lt;=(TODAY()-(Data_Val!$M$2*365.25))),0,1),1))</f>
        <v>#REF!</v>
      </c>
      <c r="BK772" s="13" t="e">
        <f>IF(Data!#REF!="","",IF(Data!$G772="",1,IF(ISNUMBER(MATCH(Data!#REF!,Data_Val!$D$2:$D$10,0)),0,1)))</f>
        <v>#REF!</v>
      </c>
    </row>
    <row r="773" spans="1:63" x14ac:dyDescent="0.25">
      <c r="A773" s="9" t="str">
        <f>IF(Data!B773="","",IF(COUNTIFS(Data!A$1:'Data'!A773,Data!A773)&lt;=1,0,1))</f>
        <v/>
      </c>
      <c r="B773" s="9"/>
      <c r="C773" s="23" t="str">
        <f>IF(Data!C773="","",(IF(ISNUMBER(MATCH("*@*.?*",Data!C773,0)),0,1)+IF(COUNTIFS(Data!C$1:'Data'!C773,Data!C773)&gt;1,1,0)))</f>
        <v/>
      </c>
      <c r="D773" s="9" t="str">
        <f>IF(Data!B773="","",IF(ISNUMBER(Data!D773),IF(AND(Data!D773&gt;999999999,Data!D773&lt;=9999999999),IF(COUNTIFS(Data!D$1:'Data'!D773,Data!D773)&lt;=1,0,1),1),1))</f>
        <v/>
      </c>
      <c r="E773" s="9" t="str">
        <f>IF(Data!B773="","",IF(ISNUMBER(MATCH(Data!E773,Data_Val!$A$2:$A$3,0)),0,1))</f>
        <v/>
      </c>
      <c r="F773" s="9" t="str">
        <f ca="1">IF(Data!B773="","",IF(ISNUMBER(Data!F773),IF(AND(Data!F773&gt;(TODAY()-(Data_Val!$H$3*365.25)),Data!F773&lt;=(TODAY()-(Data_Val!$H$2*365.25))),0,1),1))</f>
        <v/>
      </c>
      <c r="G773" s="15" t="str">
        <f>IF(Data!B773="","",IF(AND(Data!G773="",Data!H773&lt;&gt;""),1,IF(Data!#REF!&lt;&gt;"",0,IF(ISNUMBER(MATCH(Data!G773,Data_Val!$C$2:$C$5,0)),0,1))))</f>
        <v/>
      </c>
      <c r="H773" s="15" t="str">
        <f>IF(Data!B773="","",IF(AND(Data!G773&lt;&gt;"",Data!H773=""),1,IF(Data!#REF!&lt;&gt;"",0,IF(Data!G773="",1,IF(ISNUMBER(MATCH(Data!H773,Data_Val!$D$2:$D$35,0)),0,1)))))</f>
        <v/>
      </c>
      <c r="I773" s="15" t="str">
        <f>IF(Data!B773="","",IF(Data!G773&lt;&gt;"",0,IF(ISNUMBER(MATCH(Data!#REF!,Data_Val!$E$2:$E$12,0)),0,1)))</f>
        <v/>
      </c>
      <c r="J773" s="16" t="e">
        <f>IF(OR(Data!B773="",Data!#REF!=""),"",IF(Data!#REF!="",1,0))</f>
        <v>#REF!</v>
      </c>
      <c r="K773" s="16" t="e">
        <f>IF(OR(Data!B773="",Data!#REF!=""),"",IF(Data!#REF!="",1,0))</f>
        <v>#REF!</v>
      </c>
      <c r="L773" s="16" t="e">
        <f>IF(OR(Data!B773="",Data!#REF!=""),"",IF(ISNUMBER(Data!#REF!),IF(AND(Data!#REF!&gt;Data_Val!$G$2,Data!#REF!&lt;=Data_Val!$G$3),0,1),1))</f>
        <v>#REF!</v>
      </c>
      <c r="M773" s="9" t="e">
        <f>IF(OR(Data!B773="",Data!#REF!=""),"",IF(ISNUMBER(MATCH(Data!#REF!,Data_Val!$F$1:$F$38,0)),0,1))</f>
        <v>#REF!</v>
      </c>
      <c r="N773" s="9" t="e">
        <f>IF(OR(Data!B773="",Data!#REF!=""),"",IF(Data!#REF!="",1,0))</f>
        <v>#REF!</v>
      </c>
      <c r="O773" s="17" t="e">
        <f>IF(Data!#REF!="","",IF(Data!#REF!="",1,0))</f>
        <v>#REF!</v>
      </c>
      <c r="P773" s="17" t="e">
        <f>IF(Data!#REF!="","",IF(ISNUMBER(MATCH(Data!#REF!,Data_Val!$A$2:$A$3,0)),0,1))</f>
        <v>#REF!</v>
      </c>
      <c r="Q773" s="25" t="e">
        <f ca="1">IF(Data!#REF!="","",IF(ISNUMBER(Data!#REF!),IF(AND(Data!#REF!&gt;(TODAY()-(Data_Val!$J$3*365.25)),Data!#REF!&lt;=(TODAY()-(Data_Val!$J$2*365.25))),0,1),1))</f>
        <v>#REF!</v>
      </c>
      <c r="R773" s="17" t="e">
        <f>IF(Data!#REF!="","",IF(ISNUMBER(MATCH(Data!#REF!,Data_Val!$B$2:$B$15,0)),0,1))</f>
        <v>#REF!</v>
      </c>
      <c r="S773" s="11" t="str">
        <f>IF(Data!G773="","",IF(Data!G773=Data_Val!$C$2,IF(Data!M773="",0,1),0))</f>
        <v/>
      </c>
      <c r="T773" s="11" t="str">
        <f>IF(Data!M773="","",IF(ISNUMBER(MATCH(Data!N773,Data_Val!$A$2:$A$3,0)),0,1))</f>
        <v/>
      </c>
      <c r="U773" s="11" t="str">
        <f ca="1">IF(Data!M773="","",IF(ISNUMBER(Data!O773),IF(AND(Data!O773&gt;(TODAY()-(Data_Val!$K$3*365.25)),Data!O773&lt;=(TODAY()-(Data_Val!$K$2*365.25))),0,1),1))</f>
        <v/>
      </c>
      <c r="V773" s="12" t="str">
        <f>IF(Data!G773="","",IF(Data!G773=Data_Val!$C$2,IF(Data!P773="",0,1),0))</f>
        <v/>
      </c>
      <c r="W773" s="12" t="str">
        <f>IF(Data!P773="","",IF(ISNUMBER(MATCH(Data!Q773,Data_Val!$A$2:$A$3,0)),0,1))</f>
        <v/>
      </c>
      <c r="X773" s="26" t="str">
        <f ca="1">IF(Data!P773="","",IF(ISNUMBER(Data!R773),IF(AND(Data!R773&gt;(TODAY()-(Data_Val!$L$3*365.25)),Data!R773&lt;=(TODAY()-(Data_Val!$L$2*365.25))),0,1),1))</f>
        <v/>
      </c>
      <c r="Y773" s="13" t="str">
        <f>IF(Data!$G773="","",IF(Data!$G773=Data_Val!$C$2,IF(Data!S773="",0,1),0))</f>
        <v/>
      </c>
      <c r="Z773" s="13" t="str">
        <f>IF(Data!S773="","",IF(ISNUMBER(MATCH(Data!T773,Data_Val!$A$2:$A$3,0)),0,1))</f>
        <v/>
      </c>
      <c r="AA773" s="28" t="str">
        <f ca="1">IF(Data!S773="","",IF(ISNUMBER(Data!U773),IF(AND(Data!U773&gt;(TODAY()-(Data_Val!$L$3*365.25)),Data!U773&lt;=(TODAY()-(Data_Val!$L$2*365.25))),0,1),1))</f>
        <v/>
      </c>
      <c r="AB773" s="11"/>
      <c r="AC773" s="11" t="e">
        <f>IF(Data!#REF!="","",IF(ISNUMBER(MATCH(Data!#REF!,Data_Val!$A$2:$A$3,0)),0,1))</f>
        <v>#REF!</v>
      </c>
      <c r="AD773" s="11" t="e">
        <f ca="1">IF(Data!#REF!="","",IF(ISNUMBER(Data!#REF!),IF(AND(Data!#REF!&gt;(TODAY()-(Data_Val!$L$3*365.25)),Data!#REF!&lt;=(TODAY()-(Data_Val!$L$2*365.25))),0,1),1))</f>
        <v>#REF!</v>
      </c>
      <c r="AE773" s="11" t="e">
        <f>IF(Data!#REF!="","",IF(Data!$G773="",1,IF(ISNUMBER(MATCH(Data!#REF!,Data_Val!$D$2:$D$10,0)),0,1)))</f>
        <v>#REF!</v>
      </c>
      <c r="AF773" s="12"/>
      <c r="AG773" s="12" t="e">
        <f>IF(Data!#REF!="","",IF(ISNUMBER(MATCH(Data!#REF!,Data_Val!$A$2:$A$3,0)),0,1))</f>
        <v>#REF!</v>
      </c>
      <c r="AH773" s="26" t="e">
        <f ca="1">IF(Data!#REF!="","",IF(ISNUMBER(Data!#REF!),IF(AND(Data!#REF!&gt;(TODAY()-(Data_Val!$L$3*365.25)),Data!#REF!&lt;=(TODAY()-(Data_Val!$L$2*365.25))),0,1),1))</f>
        <v>#REF!</v>
      </c>
      <c r="AI773" s="12" t="e">
        <f>IF(Data!#REF!="","",IF(Data!$G773="",1,IF(ISNUMBER(MATCH(Data!#REF!,Data_Val!$D$2:$D$10,0)),0,1)))</f>
        <v>#REF!</v>
      </c>
      <c r="AJ773" s="17"/>
      <c r="AK773" s="17" t="e">
        <f>IF(Data!#REF!="","",IF(ISNUMBER(MATCH(Data!#REF!,Data_Val!$A$2:$A$3,0)),0,1))</f>
        <v>#REF!</v>
      </c>
      <c r="AL773" s="25" t="e">
        <f ca="1">IF(Data!#REF!="","",IF(ISNUMBER(Data!#REF!),IF(AND(Data!#REF!&gt;(TODAY()-(Data_Val!$L$3*365.25)),Data!#REF!&lt;=(TODAY()-(Data_Val!$L$2*365.25))),0,1),1))</f>
        <v>#REF!</v>
      </c>
      <c r="AM773" s="17" t="e">
        <f>IF(Data!#REF!="","",IF(Data!$G773="",1,IF(ISNUMBER(MATCH(Data!#REF!,Data_Val!$D$2:$D$10,0)),0,1)))</f>
        <v>#REF!</v>
      </c>
      <c r="AN773" s="13"/>
      <c r="AO773" s="28" t="e">
        <f ca="1">IF(Data!#REF!="","",IF(ISNUMBER(Data!#REF!),IF(AND(Data!#REF!&gt;(TODAY()-(Data_Val!$I$3*365.25)),Data!#REF!&lt;=(TODAY()-(Data_Val!$I$2*365.25))),0,1),1))</f>
        <v>#REF!</v>
      </c>
      <c r="AP773" s="13" t="e">
        <f>IF(Data!#REF!="","",IF(Data!$G773="",1,IF(ISNUMBER(MATCH(Data!#REF!,Data_Val!$D$2:$D$10,0)),0,1)))</f>
        <v>#REF!</v>
      </c>
      <c r="AQ773" s="17"/>
      <c r="AR773" s="30" t="e">
        <f ca="1">IF(Data!#REF!="","",IF(ISNUMBER(Data!#REF!),IF(AND(Data!#REF!&gt;(TODAY()-(Data_Val!$I$3*365.25)),Data!#REF!&lt;=(TODAY()-(Data_Val!$I$2*365.25))),0,1),1))</f>
        <v>#REF!</v>
      </c>
      <c r="AS773" s="31" t="e">
        <f>IF(Data!#REF!="","",IF(Data!$G773="",1,IF(ISNUMBER(MATCH(Data!#REF!,Data_Val!$D$2:$D$10,0)),0,1)))</f>
        <v>#REF!</v>
      </c>
      <c r="AT773" s="11"/>
      <c r="AU773" s="11" t="e">
        <f ca="1">IF(Data!#REF!="","",IF(ISNUMBER(Data!#REF!),IF(AND(Data!#REF!&gt;(TODAY()-(Data_Val!$I$3*365.25)),Data!#REF!&lt;=(TODAY()-(Data_Val!$I$2*365.25))),0,1),1))</f>
        <v>#REF!</v>
      </c>
      <c r="AV773" s="11" t="e">
        <f>IF(Data!#REF!="","",IF(Data!$G773="",1,IF(ISNUMBER(MATCH(Data!#REF!,Data_Val!$D$2:$D$10,0)),0,1)))</f>
        <v>#REF!</v>
      </c>
      <c r="AW773" s="12"/>
      <c r="AX773" s="26" t="e">
        <f ca="1">IF(Data!#REF!="","",IF(ISNUMBER(Data!#REF!),IF(AND(Data!#REF!&gt;(TODAY()-(Data_Val!$I$3*365.25)),Data!#REF!&lt;=(TODAY()-(Data_Val!$I$2*365.25))),0,1),1))</f>
        <v>#REF!</v>
      </c>
      <c r="AY773" s="12" t="e">
        <f>IF(Data!#REF!="","",IF(Data!$G773="",1,IF(ISNUMBER(MATCH(Data!#REF!,Data_Val!$D$2:$D$10,0)),0,1)))</f>
        <v>#REF!</v>
      </c>
      <c r="AZ773" s="11"/>
      <c r="BA773" s="19" t="e">
        <f ca="1">IF(Data!#REF!="","",IF(ISNUMBER(Data!#REF!),IF(AND(Data!#REF!&gt;(TODAY()-(Data_Val!$M$3*365.25)),Data!#REF!&lt;=(TODAY()-(Data_Val!$M$2*365.25))),0,1),1))</f>
        <v>#REF!</v>
      </c>
      <c r="BB773" s="11" t="e">
        <f>IF(Data!#REF!="","",IF(Data!$G773="",1,IF(ISNUMBER(MATCH(Data!#REF!,Data_Val!$D$2:$D$10,0)),0,1)))</f>
        <v>#REF!</v>
      </c>
      <c r="BC773" s="12"/>
      <c r="BD773" s="20" t="e">
        <f ca="1">IF(Data!#REF!="","",IF(ISNUMBER(Data!#REF!),IF(AND(Data!#REF!&gt;(TODAY()-(Data_Val!$M$3*365.25)),Data!#REF!&lt;=(TODAY()-(Data_Val!$M$2*365.25))),0,1),1))</f>
        <v>#REF!</v>
      </c>
      <c r="BE773" s="12" t="e">
        <f>IF(Data!#REF!="","",IF(Data!$G773="",1,IF(ISNUMBER(MATCH(Data!#REF!,Data_Val!$D$2:$D$10,0)),0,1)))</f>
        <v>#REF!</v>
      </c>
      <c r="BF773" s="17"/>
      <c r="BG773" s="18" t="e">
        <f ca="1">IF(Data!#REF!="","",IF(ISNUMBER(Data!#REF!),IF(AND(Data!#REF!&gt;(TODAY()-(Data_Val!$M$3*365.25)),Data!#REF!&lt;=(TODAY()-(Data_Val!$M$2*365.25))),0,1),1))</f>
        <v>#REF!</v>
      </c>
      <c r="BH773" s="29" t="e">
        <f>IF(Data!#REF!="","",IF(Data!$G773="",1,IF(ISNUMBER(MATCH(Data!#REF!,Data_Val!$D$2:$D$10,0)),0,1)))</f>
        <v>#REF!</v>
      </c>
      <c r="BI773" s="13"/>
      <c r="BJ773" s="21" t="e">
        <f ca="1">IF(Data!#REF!="","",IF(ISNUMBER(Data!#REF!),IF(AND(Data!#REF!&gt;(TODAY()-(Data_Val!$M$3*365.25)),Data!#REF!&lt;=(TODAY()-(Data_Val!$M$2*365.25))),0,1),1))</f>
        <v>#REF!</v>
      </c>
      <c r="BK773" s="13" t="e">
        <f>IF(Data!#REF!="","",IF(Data!$G773="",1,IF(ISNUMBER(MATCH(Data!#REF!,Data_Val!$D$2:$D$10,0)),0,1)))</f>
        <v>#REF!</v>
      </c>
    </row>
    <row r="774" spans="1:63" x14ac:dyDescent="0.25">
      <c r="A774" s="9" t="str">
        <f>IF(Data!B774="","",IF(COUNTIFS(Data!A$1:'Data'!A774,Data!A774)&lt;=1,0,1))</f>
        <v/>
      </c>
      <c r="B774" s="9"/>
      <c r="C774" s="23" t="str">
        <f>IF(Data!C774="","",(IF(ISNUMBER(MATCH("*@*.?*",Data!C774,0)),0,1)+IF(COUNTIFS(Data!C$1:'Data'!C774,Data!C774)&gt;1,1,0)))</f>
        <v/>
      </c>
      <c r="D774" s="9" t="str">
        <f>IF(Data!B774="","",IF(ISNUMBER(Data!D774),IF(AND(Data!D774&gt;999999999,Data!D774&lt;=9999999999),IF(COUNTIFS(Data!D$1:'Data'!D774,Data!D774)&lt;=1,0,1),1),1))</f>
        <v/>
      </c>
      <c r="E774" s="9" t="str">
        <f>IF(Data!B774="","",IF(ISNUMBER(MATCH(Data!E774,Data_Val!$A$2:$A$3,0)),0,1))</f>
        <v/>
      </c>
      <c r="F774" s="9" t="str">
        <f ca="1">IF(Data!B774="","",IF(ISNUMBER(Data!F774),IF(AND(Data!F774&gt;(TODAY()-(Data_Val!$H$3*365.25)),Data!F774&lt;=(TODAY()-(Data_Val!$H$2*365.25))),0,1),1))</f>
        <v/>
      </c>
      <c r="G774" s="15" t="str">
        <f>IF(Data!B774="","",IF(AND(Data!G774="",Data!H774&lt;&gt;""),1,IF(Data!#REF!&lt;&gt;"",0,IF(ISNUMBER(MATCH(Data!G774,Data_Val!$C$2:$C$5,0)),0,1))))</f>
        <v/>
      </c>
      <c r="H774" s="15" t="str">
        <f>IF(Data!B774="","",IF(AND(Data!G774&lt;&gt;"",Data!H774=""),1,IF(Data!#REF!&lt;&gt;"",0,IF(Data!G774="",1,IF(ISNUMBER(MATCH(Data!H774,Data_Val!$D$2:$D$35,0)),0,1)))))</f>
        <v/>
      </c>
      <c r="I774" s="15" t="str">
        <f>IF(Data!B774="","",IF(Data!G774&lt;&gt;"",0,IF(ISNUMBER(MATCH(Data!#REF!,Data_Val!$E$2:$E$12,0)),0,1)))</f>
        <v/>
      </c>
      <c r="J774" s="16" t="e">
        <f>IF(OR(Data!B774="",Data!#REF!=""),"",IF(Data!#REF!="",1,0))</f>
        <v>#REF!</v>
      </c>
      <c r="K774" s="16" t="e">
        <f>IF(OR(Data!B774="",Data!#REF!=""),"",IF(Data!#REF!="",1,0))</f>
        <v>#REF!</v>
      </c>
      <c r="L774" s="16" t="e">
        <f>IF(OR(Data!B774="",Data!#REF!=""),"",IF(ISNUMBER(Data!#REF!),IF(AND(Data!#REF!&gt;Data_Val!$G$2,Data!#REF!&lt;=Data_Val!$G$3),0,1),1))</f>
        <v>#REF!</v>
      </c>
      <c r="M774" s="9" t="e">
        <f>IF(OR(Data!B774="",Data!#REF!=""),"",IF(ISNUMBER(MATCH(Data!#REF!,Data_Val!$F$1:$F$38,0)),0,1))</f>
        <v>#REF!</v>
      </c>
      <c r="N774" s="9" t="e">
        <f>IF(OR(Data!B774="",Data!#REF!=""),"",IF(Data!#REF!="",1,0))</f>
        <v>#REF!</v>
      </c>
      <c r="O774" s="17" t="e">
        <f>IF(Data!#REF!="","",IF(Data!#REF!="",1,0))</f>
        <v>#REF!</v>
      </c>
      <c r="P774" s="17" t="e">
        <f>IF(Data!#REF!="","",IF(ISNUMBER(MATCH(Data!#REF!,Data_Val!$A$2:$A$3,0)),0,1))</f>
        <v>#REF!</v>
      </c>
      <c r="Q774" s="25" t="e">
        <f ca="1">IF(Data!#REF!="","",IF(ISNUMBER(Data!#REF!),IF(AND(Data!#REF!&gt;(TODAY()-(Data_Val!$J$3*365.25)),Data!#REF!&lt;=(TODAY()-(Data_Val!$J$2*365.25))),0,1),1))</f>
        <v>#REF!</v>
      </c>
      <c r="R774" s="17" t="e">
        <f>IF(Data!#REF!="","",IF(ISNUMBER(MATCH(Data!#REF!,Data_Val!$B$2:$B$15,0)),0,1))</f>
        <v>#REF!</v>
      </c>
      <c r="S774" s="11" t="str">
        <f>IF(Data!G774="","",IF(Data!G774=Data_Val!$C$2,IF(Data!M774="",0,1),0))</f>
        <v/>
      </c>
      <c r="T774" s="11" t="str">
        <f>IF(Data!M774="","",IF(ISNUMBER(MATCH(Data!N774,Data_Val!$A$2:$A$3,0)),0,1))</f>
        <v/>
      </c>
      <c r="U774" s="11" t="str">
        <f ca="1">IF(Data!M774="","",IF(ISNUMBER(Data!O774),IF(AND(Data!O774&gt;(TODAY()-(Data_Val!$K$3*365.25)),Data!O774&lt;=(TODAY()-(Data_Val!$K$2*365.25))),0,1),1))</f>
        <v/>
      </c>
      <c r="V774" s="12" t="str">
        <f>IF(Data!G774="","",IF(Data!G774=Data_Val!$C$2,IF(Data!P774="",0,1),0))</f>
        <v/>
      </c>
      <c r="W774" s="12" t="str">
        <f>IF(Data!P774="","",IF(ISNUMBER(MATCH(Data!Q774,Data_Val!$A$2:$A$3,0)),0,1))</f>
        <v/>
      </c>
      <c r="X774" s="26" t="str">
        <f ca="1">IF(Data!P774="","",IF(ISNUMBER(Data!R774),IF(AND(Data!R774&gt;(TODAY()-(Data_Val!$L$3*365.25)),Data!R774&lt;=(TODAY()-(Data_Val!$L$2*365.25))),0,1),1))</f>
        <v/>
      </c>
      <c r="Y774" s="13" t="str">
        <f>IF(Data!$G774="","",IF(Data!$G774=Data_Val!$C$2,IF(Data!S774="",0,1),0))</f>
        <v/>
      </c>
      <c r="Z774" s="13" t="str">
        <f>IF(Data!S774="","",IF(ISNUMBER(MATCH(Data!T774,Data_Val!$A$2:$A$3,0)),0,1))</f>
        <v/>
      </c>
      <c r="AA774" s="28" t="str">
        <f ca="1">IF(Data!S774="","",IF(ISNUMBER(Data!U774),IF(AND(Data!U774&gt;(TODAY()-(Data_Val!$L$3*365.25)),Data!U774&lt;=(TODAY()-(Data_Val!$L$2*365.25))),0,1),1))</f>
        <v/>
      </c>
      <c r="AB774" s="11"/>
      <c r="AC774" s="11" t="e">
        <f>IF(Data!#REF!="","",IF(ISNUMBER(MATCH(Data!#REF!,Data_Val!$A$2:$A$3,0)),0,1))</f>
        <v>#REF!</v>
      </c>
      <c r="AD774" s="11" t="e">
        <f ca="1">IF(Data!#REF!="","",IF(ISNUMBER(Data!#REF!),IF(AND(Data!#REF!&gt;(TODAY()-(Data_Val!$L$3*365.25)),Data!#REF!&lt;=(TODAY()-(Data_Val!$L$2*365.25))),0,1),1))</f>
        <v>#REF!</v>
      </c>
      <c r="AE774" s="11" t="e">
        <f>IF(Data!#REF!="","",IF(Data!$G774="",1,IF(ISNUMBER(MATCH(Data!#REF!,Data_Val!$D$2:$D$10,0)),0,1)))</f>
        <v>#REF!</v>
      </c>
      <c r="AF774" s="12"/>
      <c r="AG774" s="12" t="e">
        <f>IF(Data!#REF!="","",IF(ISNUMBER(MATCH(Data!#REF!,Data_Val!$A$2:$A$3,0)),0,1))</f>
        <v>#REF!</v>
      </c>
      <c r="AH774" s="26" t="e">
        <f ca="1">IF(Data!#REF!="","",IF(ISNUMBER(Data!#REF!),IF(AND(Data!#REF!&gt;(TODAY()-(Data_Val!$L$3*365.25)),Data!#REF!&lt;=(TODAY()-(Data_Val!$L$2*365.25))),0,1),1))</f>
        <v>#REF!</v>
      </c>
      <c r="AI774" s="12" t="e">
        <f>IF(Data!#REF!="","",IF(Data!$G774="",1,IF(ISNUMBER(MATCH(Data!#REF!,Data_Val!$D$2:$D$10,0)),0,1)))</f>
        <v>#REF!</v>
      </c>
      <c r="AJ774" s="17"/>
      <c r="AK774" s="17" t="e">
        <f>IF(Data!#REF!="","",IF(ISNUMBER(MATCH(Data!#REF!,Data_Val!$A$2:$A$3,0)),0,1))</f>
        <v>#REF!</v>
      </c>
      <c r="AL774" s="25" t="e">
        <f ca="1">IF(Data!#REF!="","",IF(ISNUMBER(Data!#REF!),IF(AND(Data!#REF!&gt;(TODAY()-(Data_Val!$L$3*365.25)),Data!#REF!&lt;=(TODAY()-(Data_Val!$L$2*365.25))),0,1),1))</f>
        <v>#REF!</v>
      </c>
      <c r="AM774" s="17" t="e">
        <f>IF(Data!#REF!="","",IF(Data!$G774="",1,IF(ISNUMBER(MATCH(Data!#REF!,Data_Val!$D$2:$D$10,0)),0,1)))</f>
        <v>#REF!</v>
      </c>
      <c r="AN774" s="13"/>
      <c r="AO774" s="28" t="e">
        <f ca="1">IF(Data!#REF!="","",IF(ISNUMBER(Data!#REF!),IF(AND(Data!#REF!&gt;(TODAY()-(Data_Val!$I$3*365.25)),Data!#REF!&lt;=(TODAY()-(Data_Val!$I$2*365.25))),0,1),1))</f>
        <v>#REF!</v>
      </c>
      <c r="AP774" s="13" t="e">
        <f>IF(Data!#REF!="","",IF(Data!$G774="",1,IF(ISNUMBER(MATCH(Data!#REF!,Data_Val!$D$2:$D$10,0)),0,1)))</f>
        <v>#REF!</v>
      </c>
      <c r="AQ774" s="17"/>
      <c r="AR774" s="30" t="e">
        <f ca="1">IF(Data!#REF!="","",IF(ISNUMBER(Data!#REF!),IF(AND(Data!#REF!&gt;(TODAY()-(Data_Val!$I$3*365.25)),Data!#REF!&lt;=(TODAY()-(Data_Val!$I$2*365.25))),0,1),1))</f>
        <v>#REF!</v>
      </c>
      <c r="AS774" s="31" t="e">
        <f>IF(Data!#REF!="","",IF(Data!$G774="",1,IF(ISNUMBER(MATCH(Data!#REF!,Data_Val!$D$2:$D$10,0)),0,1)))</f>
        <v>#REF!</v>
      </c>
      <c r="AT774" s="11"/>
      <c r="AU774" s="11" t="e">
        <f ca="1">IF(Data!#REF!="","",IF(ISNUMBER(Data!#REF!),IF(AND(Data!#REF!&gt;(TODAY()-(Data_Val!$I$3*365.25)),Data!#REF!&lt;=(TODAY()-(Data_Val!$I$2*365.25))),0,1),1))</f>
        <v>#REF!</v>
      </c>
      <c r="AV774" s="11" t="e">
        <f>IF(Data!#REF!="","",IF(Data!$G774="",1,IF(ISNUMBER(MATCH(Data!#REF!,Data_Val!$D$2:$D$10,0)),0,1)))</f>
        <v>#REF!</v>
      </c>
      <c r="AW774" s="12"/>
      <c r="AX774" s="26" t="e">
        <f ca="1">IF(Data!#REF!="","",IF(ISNUMBER(Data!#REF!),IF(AND(Data!#REF!&gt;(TODAY()-(Data_Val!$I$3*365.25)),Data!#REF!&lt;=(TODAY()-(Data_Val!$I$2*365.25))),0,1),1))</f>
        <v>#REF!</v>
      </c>
      <c r="AY774" s="12" t="e">
        <f>IF(Data!#REF!="","",IF(Data!$G774="",1,IF(ISNUMBER(MATCH(Data!#REF!,Data_Val!$D$2:$D$10,0)),0,1)))</f>
        <v>#REF!</v>
      </c>
      <c r="AZ774" s="11"/>
      <c r="BA774" s="19" t="e">
        <f ca="1">IF(Data!#REF!="","",IF(ISNUMBER(Data!#REF!),IF(AND(Data!#REF!&gt;(TODAY()-(Data_Val!$M$3*365.25)),Data!#REF!&lt;=(TODAY()-(Data_Val!$M$2*365.25))),0,1),1))</f>
        <v>#REF!</v>
      </c>
      <c r="BB774" s="11" t="e">
        <f>IF(Data!#REF!="","",IF(Data!$G774="",1,IF(ISNUMBER(MATCH(Data!#REF!,Data_Val!$D$2:$D$10,0)),0,1)))</f>
        <v>#REF!</v>
      </c>
      <c r="BC774" s="12"/>
      <c r="BD774" s="20" t="e">
        <f ca="1">IF(Data!#REF!="","",IF(ISNUMBER(Data!#REF!),IF(AND(Data!#REF!&gt;(TODAY()-(Data_Val!$M$3*365.25)),Data!#REF!&lt;=(TODAY()-(Data_Val!$M$2*365.25))),0,1),1))</f>
        <v>#REF!</v>
      </c>
      <c r="BE774" s="12" t="e">
        <f>IF(Data!#REF!="","",IF(Data!$G774="",1,IF(ISNUMBER(MATCH(Data!#REF!,Data_Val!$D$2:$D$10,0)),0,1)))</f>
        <v>#REF!</v>
      </c>
      <c r="BF774" s="17"/>
      <c r="BG774" s="18" t="e">
        <f ca="1">IF(Data!#REF!="","",IF(ISNUMBER(Data!#REF!),IF(AND(Data!#REF!&gt;(TODAY()-(Data_Val!$M$3*365.25)),Data!#REF!&lt;=(TODAY()-(Data_Val!$M$2*365.25))),0,1),1))</f>
        <v>#REF!</v>
      </c>
      <c r="BH774" s="29" t="e">
        <f>IF(Data!#REF!="","",IF(Data!$G774="",1,IF(ISNUMBER(MATCH(Data!#REF!,Data_Val!$D$2:$D$10,0)),0,1)))</f>
        <v>#REF!</v>
      </c>
      <c r="BI774" s="13"/>
      <c r="BJ774" s="21" t="e">
        <f ca="1">IF(Data!#REF!="","",IF(ISNUMBER(Data!#REF!),IF(AND(Data!#REF!&gt;(TODAY()-(Data_Val!$M$3*365.25)),Data!#REF!&lt;=(TODAY()-(Data_Val!$M$2*365.25))),0,1),1))</f>
        <v>#REF!</v>
      </c>
      <c r="BK774" s="13" t="e">
        <f>IF(Data!#REF!="","",IF(Data!$G774="",1,IF(ISNUMBER(MATCH(Data!#REF!,Data_Val!$D$2:$D$10,0)),0,1)))</f>
        <v>#REF!</v>
      </c>
    </row>
    <row r="775" spans="1:63" x14ac:dyDescent="0.25">
      <c r="A775" s="9" t="str">
        <f>IF(Data!B775="","",IF(COUNTIFS(Data!A$1:'Data'!A775,Data!A775)&lt;=1,0,1))</f>
        <v/>
      </c>
      <c r="B775" s="9"/>
      <c r="C775" s="23" t="str">
        <f>IF(Data!C775="","",(IF(ISNUMBER(MATCH("*@*.?*",Data!C775,0)),0,1)+IF(COUNTIFS(Data!C$1:'Data'!C775,Data!C775)&gt;1,1,0)))</f>
        <v/>
      </c>
      <c r="D775" s="9" t="str">
        <f>IF(Data!B775="","",IF(ISNUMBER(Data!D775),IF(AND(Data!D775&gt;999999999,Data!D775&lt;=9999999999),IF(COUNTIFS(Data!D$1:'Data'!D775,Data!D775)&lt;=1,0,1),1),1))</f>
        <v/>
      </c>
      <c r="E775" s="9" t="str">
        <f>IF(Data!B775="","",IF(ISNUMBER(MATCH(Data!E775,Data_Val!$A$2:$A$3,0)),0,1))</f>
        <v/>
      </c>
      <c r="F775" s="9" t="str">
        <f ca="1">IF(Data!B775="","",IF(ISNUMBER(Data!F775),IF(AND(Data!F775&gt;(TODAY()-(Data_Val!$H$3*365.25)),Data!F775&lt;=(TODAY()-(Data_Val!$H$2*365.25))),0,1),1))</f>
        <v/>
      </c>
      <c r="G775" s="15" t="str">
        <f>IF(Data!B775="","",IF(AND(Data!G775="",Data!H775&lt;&gt;""),1,IF(Data!#REF!&lt;&gt;"",0,IF(ISNUMBER(MATCH(Data!G775,Data_Val!$C$2:$C$5,0)),0,1))))</f>
        <v/>
      </c>
      <c r="H775" s="15" t="str">
        <f>IF(Data!B775="","",IF(AND(Data!G775&lt;&gt;"",Data!H775=""),1,IF(Data!#REF!&lt;&gt;"",0,IF(Data!G775="",1,IF(ISNUMBER(MATCH(Data!H775,Data_Val!$D$2:$D$35,0)),0,1)))))</f>
        <v/>
      </c>
      <c r="I775" s="15" t="str">
        <f>IF(Data!B775="","",IF(Data!G775&lt;&gt;"",0,IF(ISNUMBER(MATCH(Data!#REF!,Data_Val!$E$2:$E$12,0)),0,1)))</f>
        <v/>
      </c>
      <c r="J775" s="16" t="e">
        <f>IF(OR(Data!B775="",Data!#REF!=""),"",IF(Data!#REF!="",1,0))</f>
        <v>#REF!</v>
      </c>
      <c r="K775" s="16" t="e">
        <f>IF(OR(Data!B775="",Data!#REF!=""),"",IF(Data!#REF!="",1,0))</f>
        <v>#REF!</v>
      </c>
      <c r="L775" s="16" t="e">
        <f>IF(OR(Data!B775="",Data!#REF!=""),"",IF(ISNUMBER(Data!#REF!),IF(AND(Data!#REF!&gt;Data_Val!$G$2,Data!#REF!&lt;=Data_Val!$G$3),0,1),1))</f>
        <v>#REF!</v>
      </c>
      <c r="M775" s="9" t="e">
        <f>IF(OR(Data!B775="",Data!#REF!=""),"",IF(ISNUMBER(MATCH(Data!#REF!,Data_Val!$F$1:$F$38,0)),0,1))</f>
        <v>#REF!</v>
      </c>
      <c r="N775" s="9" t="e">
        <f>IF(OR(Data!B775="",Data!#REF!=""),"",IF(Data!#REF!="",1,0))</f>
        <v>#REF!</v>
      </c>
      <c r="O775" s="17" t="e">
        <f>IF(Data!#REF!="","",IF(Data!#REF!="",1,0))</f>
        <v>#REF!</v>
      </c>
      <c r="P775" s="17" t="e">
        <f>IF(Data!#REF!="","",IF(ISNUMBER(MATCH(Data!#REF!,Data_Val!$A$2:$A$3,0)),0,1))</f>
        <v>#REF!</v>
      </c>
      <c r="Q775" s="25" t="e">
        <f ca="1">IF(Data!#REF!="","",IF(ISNUMBER(Data!#REF!),IF(AND(Data!#REF!&gt;(TODAY()-(Data_Val!$J$3*365.25)),Data!#REF!&lt;=(TODAY()-(Data_Val!$J$2*365.25))),0,1),1))</f>
        <v>#REF!</v>
      </c>
      <c r="R775" s="17" t="e">
        <f>IF(Data!#REF!="","",IF(ISNUMBER(MATCH(Data!#REF!,Data_Val!$B$2:$B$15,0)),0,1))</f>
        <v>#REF!</v>
      </c>
      <c r="S775" s="11" t="str">
        <f>IF(Data!G775="","",IF(Data!G775=Data_Val!$C$2,IF(Data!M775="",0,1),0))</f>
        <v/>
      </c>
      <c r="T775" s="11" t="str">
        <f>IF(Data!M775="","",IF(ISNUMBER(MATCH(Data!N775,Data_Val!$A$2:$A$3,0)),0,1))</f>
        <v/>
      </c>
      <c r="U775" s="11" t="str">
        <f ca="1">IF(Data!M775="","",IF(ISNUMBER(Data!O775),IF(AND(Data!O775&gt;(TODAY()-(Data_Val!$K$3*365.25)),Data!O775&lt;=(TODAY()-(Data_Val!$K$2*365.25))),0,1),1))</f>
        <v/>
      </c>
      <c r="V775" s="12" t="str">
        <f>IF(Data!G775="","",IF(Data!G775=Data_Val!$C$2,IF(Data!P775="",0,1),0))</f>
        <v/>
      </c>
      <c r="W775" s="12" t="str">
        <f>IF(Data!P775="","",IF(ISNUMBER(MATCH(Data!Q775,Data_Val!$A$2:$A$3,0)),0,1))</f>
        <v/>
      </c>
      <c r="X775" s="26" t="str">
        <f ca="1">IF(Data!P775="","",IF(ISNUMBER(Data!R775),IF(AND(Data!R775&gt;(TODAY()-(Data_Val!$L$3*365.25)),Data!R775&lt;=(TODAY()-(Data_Val!$L$2*365.25))),0,1),1))</f>
        <v/>
      </c>
      <c r="Y775" s="13" t="str">
        <f>IF(Data!$G775="","",IF(Data!$G775=Data_Val!$C$2,IF(Data!S775="",0,1),0))</f>
        <v/>
      </c>
      <c r="Z775" s="13" t="str">
        <f>IF(Data!S775="","",IF(ISNUMBER(MATCH(Data!T775,Data_Val!$A$2:$A$3,0)),0,1))</f>
        <v/>
      </c>
      <c r="AA775" s="28" t="str">
        <f ca="1">IF(Data!S775="","",IF(ISNUMBER(Data!U775),IF(AND(Data!U775&gt;(TODAY()-(Data_Val!$L$3*365.25)),Data!U775&lt;=(TODAY()-(Data_Val!$L$2*365.25))),0,1),1))</f>
        <v/>
      </c>
      <c r="AB775" s="11"/>
      <c r="AC775" s="11" t="e">
        <f>IF(Data!#REF!="","",IF(ISNUMBER(MATCH(Data!#REF!,Data_Val!$A$2:$A$3,0)),0,1))</f>
        <v>#REF!</v>
      </c>
      <c r="AD775" s="11" t="e">
        <f ca="1">IF(Data!#REF!="","",IF(ISNUMBER(Data!#REF!),IF(AND(Data!#REF!&gt;(TODAY()-(Data_Val!$L$3*365.25)),Data!#REF!&lt;=(TODAY()-(Data_Val!$L$2*365.25))),0,1),1))</f>
        <v>#REF!</v>
      </c>
      <c r="AE775" s="11" t="e">
        <f>IF(Data!#REF!="","",IF(Data!$G775="",1,IF(ISNUMBER(MATCH(Data!#REF!,Data_Val!$D$2:$D$10,0)),0,1)))</f>
        <v>#REF!</v>
      </c>
      <c r="AF775" s="12"/>
      <c r="AG775" s="12" t="e">
        <f>IF(Data!#REF!="","",IF(ISNUMBER(MATCH(Data!#REF!,Data_Val!$A$2:$A$3,0)),0,1))</f>
        <v>#REF!</v>
      </c>
      <c r="AH775" s="26" t="e">
        <f ca="1">IF(Data!#REF!="","",IF(ISNUMBER(Data!#REF!),IF(AND(Data!#REF!&gt;(TODAY()-(Data_Val!$L$3*365.25)),Data!#REF!&lt;=(TODAY()-(Data_Val!$L$2*365.25))),0,1),1))</f>
        <v>#REF!</v>
      </c>
      <c r="AI775" s="12" t="e">
        <f>IF(Data!#REF!="","",IF(Data!$G775="",1,IF(ISNUMBER(MATCH(Data!#REF!,Data_Val!$D$2:$D$10,0)),0,1)))</f>
        <v>#REF!</v>
      </c>
      <c r="AJ775" s="17"/>
      <c r="AK775" s="17" t="e">
        <f>IF(Data!#REF!="","",IF(ISNUMBER(MATCH(Data!#REF!,Data_Val!$A$2:$A$3,0)),0,1))</f>
        <v>#REF!</v>
      </c>
      <c r="AL775" s="25" t="e">
        <f ca="1">IF(Data!#REF!="","",IF(ISNUMBER(Data!#REF!),IF(AND(Data!#REF!&gt;(TODAY()-(Data_Val!$L$3*365.25)),Data!#REF!&lt;=(TODAY()-(Data_Val!$L$2*365.25))),0,1),1))</f>
        <v>#REF!</v>
      </c>
      <c r="AM775" s="17" t="e">
        <f>IF(Data!#REF!="","",IF(Data!$G775="",1,IF(ISNUMBER(MATCH(Data!#REF!,Data_Val!$D$2:$D$10,0)),0,1)))</f>
        <v>#REF!</v>
      </c>
      <c r="AN775" s="13"/>
      <c r="AO775" s="28" t="e">
        <f ca="1">IF(Data!#REF!="","",IF(ISNUMBER(Data!#REF!),IF(AND(Data!#REF!&gt;(TODAY()-(Data_Val!$I$3*365.25)),Data!#REF!&lt;=(TODAY()-(Data_Val!$I$2*365.25))),0,1),1))</f>
        <v>#REF!</v>
      </c>
      <c r="AP775" s="13" t="e">
        <f>IF(Data!#REF!="","",IF(Data!$G775="",1,IF(ISNUMBER(MATCH(Data!#REF!,Data_Val!$D$2:$D$10,0)),0,1)))</f>
        <v>#REF!</v>
      </c>
      <c r="AQ775" s="17"/>
      <c r="AR775" s="30" t="e">
        <f ca="1">IF(Data!#REF!="","",IF(ISNUMBER(Data!#REF!),IF(AND(Data!#REF!&gt;(TODAY()-(Data_Val!$I$3*365.25)),Data!#REF!&lt;=(TODAY()-(Data_Val!$I$2*365.25))),0,1),1))</f>
        <v>#REF!</v>
      </c>
      <c r="AS775" s="31" t="e">
        <f>IF(Data!#REF!="","",IF(Data!$G775="",1,IF(ISNUMBER(MATCH(Data!#REF!,Data_Val!$D$2:$D$10,0)),0,1)))</f>
        <v>#REF!</v>
      </c>
      <c r="AT775" s="11"/>
      <c r="AU775" s="11" t="e">
        <f ca="1">IF(Data!#REF!="","",IF(ISNUMBER(Data!#REF!),IF(AND(Data!#REF!&gt;(TODAY()-(Data_Val!$I$3*365.25)),Data!#REF!&lt;=(TODAY()-(Data_Val!$I$2*365.25))),0,1),1))</f>
        <v>#REF!</v>
      </c>
      <c r="AV775" s="11" t="e">
        <f>IF(Data!#REF!="","",IF(Data!$G775="",1,IF(ISNUMBER(MATCH(Data!#REF!,Data_Val!$D$2:$D$10,0)),0,1)))</f>
        <v>#REF!</v>
      </c>
      <c r="AW775" s="12"/>
      <c r="AX775" s="26" t="e">
        <f ca="1">IF(Data!#REF!="","",IF(ISNUMBER(Data!#REF!),IF(AND(Data!#REF!&gt;(TODAY()-(Data_Val!$I$3*365.25)),Data!#REF!&lt;=(TODAY()-(Data_Val!$I$2*365.25))),0,1),1))</f>
        <v>#REF!</v>
      </c>
      <c r="AY775" s="12" t="e">
        <f>IF(Data!#REF!="","",IF(Data!$G775="",1,IF(ISNUMBER(MATCH(Data!#REF!,Data_Val!$D$2:$D$10,0)),0,1)))</f>
        <v>#REF!</v>
      </c>
      <c r="AZ775" s="11"/>
      <c r="BA775" s="19" t="e">
        <f ca="1">IF(Data!#REF!="","",IF(ISNUMBER(Data!#REF!),IF(AND(Data!#REF!&gt;(TODAY()-(Data_Val!$M$3*365.25)),Data!#REF!&lt;=(TODAY()-(Data_Val!$M$2*365.25))),0,1),1))</f>
        <v>#REF!</v>
      </c>
      <c r="BB775" s="11" t="e">
        <f>IF(Data!#REF!="","",IF(Data!$G775="",1,IF(ISNUMBER(MATCH(Data!#REF!,Data_Val!$D$2:$D$10,0)),0,1)))</f>
        <v>#REF!</v>
      </c>
      <c r="BC775" s="12"/>
      <c r="BD775" s="20" t="e">
        <f ca="1">IF(Data!#REF!="","",IF(ISNUMBER(Data!#REF!),IF(AND(Data!#REF!&gt;(TODAY()-(Data_Val!$M$3*365.25)),Data!#REF!&lt;=(TODAY()-(Data_Val!$M$2*365.25))),0,1),1))</f>
        <v>#REF!</v>
      </c>
      <c r="BE775" s="12" t="e">
        <f>IF(Data!#REF!="","",IF(Data!$G775="",1,IF(ISNUMBER(MATCH(Data!#REF!,Data_Val!$D$2:$D$10,0)),0,1)))</f>
        <v>#REF!</v>
      </c>
      <c r="BF775" s="17"/>
      <c r="BG775" s="18" t="e">
        <f ca="1">IF(Data!#REF!="","",IF(ISNUMBER(Data!#REF!),IF(AND(Data!#REF!&gt;(TODAY()-(Data_Val!$M$3*365.25)),Data!#REF!&lt;=(TODAY()-(Data_Val!$M$2*365.25))),0,1),1))</f>
        <v>#REF!</v>
      </c>
      <c r="BH775" s="29" t="e">
        <f>IF(Data!#REF!="","",IF(Data!$G775="",1,IF(ISNUMBER(MATCH(Data!#REF!,Data_Val!$D$2:$D$10,0)),0,1)))</f>
        <v>#REF!</v>
      </c>
      <c r="BI775" s="13"/>
      <c r="BJ775" s="21" t="e">
        <f ca="1">IF(Data!#REF!="","",IF(ISNUMBER(Data!#REF!),IF(AND(Data!#REF!&gt;(TODAY()-(Data_Val!$M$3*365.25)),Data!#REF!&lt;=(TODAY()-(Data_Val!$M$2*365.25))),0,1),1))</f>
        <v>#REF!</v>
      </c>
      <c r="BK775" s="13" t="e">
        <f>IF(Data!#REF!="","",IF(Data!$G775="",1,IF(ISNUMBER(MATCH(Data!#REF!,Data_Val!$D$2:$D$10,0)),0,1)))</f>
        <v>#REF!</v>
      </c>
    </row>
    <row r="776" spans="1:63" x14ac:dyDescent="0.25">
      <c r="A776" s="9" t="str">
        <f>IF(Data!B776="","",IF(COUNTIFS(Data!A$1:'Data'!A776,Data!A776)&lt;=1,0,1))</f>
        <v/>
      </c>
      <c r="B776" s="9"/>
      <c r="C776" s="23" t="str">
        <f>IF(Data!C776="","",(IF(ISNUMBER(MATCH("*@*.?*",Data!C776,0)),0,1)+IF(COUNTIFS(Data!C$1:'Data'!C776,Data!C776)&gt;1,1,0)))</f>
        <v/>
      </c>
      <c r="D776" s="9" t="str">
        <f>IF(Data!B776="","",IF(ISNUMBER(Data!D776),IF(AND(Data!D776&gt;999999999,Data!D776&lt;=9999999999),IF(COUNTIFS(Data!D$1:'Data'!D776,Data!D776)&lt;=1,0,1),1),1))</f>
        <v/>
      </c>
      <c r="E776" s="9" t="str">
        <f>IF(Data!B776="","",IF(ISNUMBER(MATCH(Data!E776,Data_Val!$A$2:$A$3,0)),0,1))</f>
        <v/>
      </c>
      <c r="F776" s="9" t="str">
        <f ca="1">IF(Data!B776="","",IF(ISNUMBER(Data!F776),IF(AND(Data!F776&gt;(TODAY()-(Data_Val!$H$3*365.25)),Data!F776&lt;=(TODAY()-(Data_Val!$H$2*365.25))),0,1),1))</f>
        <v/>
      </c>
      <c r="G776" s="15" t="str">
        <f>IF(Data!B776="","",IF(AND(Data!G776="",Data!H776&lt;&gt;""),1,IF(Data!#REF!&lt;&gt;"",0,IF(ISNUMBER(MATCH(Data!G776,Data_Val!$C$2:$C$5,0)),0,1))))</f>
        <v/>
      </c>
      <c r="H776" s="15" t="str">
        <f>IF(Data!B776="","",IF(AND(Data!G776&lt;&gt;"",Data!H776=""),1,IF(Data!#REF!&lt;&gt;"",0,IF(Data!G776="",1,IF(ISNUMBER(MATCH(Data!H776,Data_Val!$D$2:$D$35,0)),0,1)))))</f>
        <v/>
      </c>
      <c r="I776" s="15" t="str">
        <f>IF(Data!B776="","",IF(Data!G776&lt;&gt;"",0,IF(ISNUMBER(MATCH(Data!#REF!,Data_Val!$E$2:$E$12,0)),0,1)))</f>
        <v/>
      </c>
      <c r="J776" s="16" t="e">
        <f>IF(OR(Data!B776="",Data!#REF!=""),"",IF(Data!#REF!="",1,0))</f>
        <v>#REF!</v>
      </c>
      <c r="K776" s="16" t="e">
        <f>IF(OR(Data!B776="",Data!#REF!=""),"",IF(Data!#REF!="",1,0))</f>
        <v>#REF!</v>
      </c>
      <c r="L776" s="16" t="e">
        <f>IF(OR(Data!B776="",Data!#REF!=""),"",IF(ISNUMBER(Data!#REF!),IF(AND(Data!#REF!&gt;Data_Val!$G$2,Data!#REF!&lt;=Data_Val!$G$3),0,1),1))</f>
        <v>#REF!</v>
      </c>
      <c r="M776" s="9" t="e">
        <f>IF(OR(Data!B776="",Data!#REF!=""),"",IF(ISNUMBER(MATCH(Data!#REF!,Data_Val!$F$1:$F$38,0)),0,1))</f>
        <v>#REF!</v>
      </c>
      <c r="N776" s="9" t="e">
        <f>IF(OR(Data!B776="",Data!#REF!=""),"",IF(Data!#REF!="",1,0))</f>
        <v>#REF!</v>
      </c>
      <c r="O776" s="17" t="e">
        <f>IF(Data!#REF!="","",IF(Data!#REF!="",1,0))</f>
        <v>#REF!</v>
      </c>
      <c r="P776" s="17" t="e">
        <f>IF(Data!#REF!="","",IF(ISNUMBER(MATCH(Data!#REF!,Data_Val!$A$2:$A$3,0)),0,1))</f>
        <v>#REF!</v>
      </c>
      <c r="Q776" s="25" t="e">
        <f ca="1">IF(Data!#REF!="","",IF(ISNUMBER(Data!#REF!),IF(AND(Data!#REF!&gt;(TODAY()-(Data_Val!$J$3*365.25)),Data!#REF!&lt;=(TODAY()-(Data_Val!$J$2*365.25))),0,1),1))</f>
        <v>#REF!</v>
      </c>
      <c r="R776" s="17" t="e">
        <f>IF(Data!#REF!="","",IF(ISNUMBER(MATCH(Data!#REF!,Data_Val!$B$2:$B$15,0)),0,1))</f>
        <v>#REF!</v>
      </c>
      <c r="S776" s="11" t="str">
        <f>IF(Data!G776="","",IF(Data!G776=Data_Val!$C$2,IF(Data!M776="",0,1),0))</f>
        <v/>
      </c>
      <c r="T776" s="11" t="str">
        <f>IF(Data!M776="","",IF(ISNUMBER(MATCH(Data!N776,Data_Val!$A$2:$A$3,0)),0,1))</f>
        <v/>
      </c>
      <c r="U776" s="11" t="str">
        <f ca="1">IF(Data!M776="","",IF(ISNUMBER(Data!O776),IF(AND(Data!O776&gt;(TODAY()-(Data_Val!$K$3*365.25)),Data!O776&lt;=(TODAY()-(Data_Val!$K$2*365.25))),0,1),1))</f>
        <v/>
      </c>
      <c r="V776" s="12" t="str">
        <f>IF(Data!G776="","",IF(Data!G776=Data_Val!$C$2,IF(Data!P776="",0,1),0))</f>
        <v/>
      </c>
      <c r="W776" s="12" t="str">
        <f>IF(Data!P776="","",IF(ISNUMBER(MATCH(Data!Q776,Data_Val!$A$2:$A$3,0)),0,1))</f>
        <v/>
      </c>
      <c r="X776" s="26" t="str">
        <f ca="1">IF(Data!P776="","",IF(ISNUMBER(Data!R776),IF(AND(Data!R776&gt;(TODAY()-(Data_Val!$L$3*365.25)),Data!R776&lt;=(TODAY()-(Data_Val!$L$2*365.25))),0,1),1))</f>
        <v/>
      </c>
      <c r="Y776" s="13" t="str">
        <f>IF(Data!$G776="","",IF(Data!$G776=Data_Val!$C$2,IF(Data!S776="",0,1),0))</f>
        <v/>
      </c>
      <c r="Z776" s="13" t="str">
        <f>IF(Data!S776="","",IF(ISNUMBER(MATCH(Data!T776,Data_Val!$A$2:$A$3,0)),0,1))</f>
        <v/>
      </c>
      <c r="AA776" s="28" t="str">
        <f ca="1">IF(Data!S776="","",IF(ISNUMBER(Data!U776),IF(AND(Data!U776&gt;(TODAY()-(Data_Val!$L$3*365.25)),Data!U776&lt;=(TODAY()-(Data_Val!$L$2*365.25))),0,1),1))</f>
        <v/>
      </c>
      <c r="AB776" s="11"/>
      <c r="AC776" s="11" t="e">
        <f>IF(Data!#REF!="","",IF(ISNUMBER(MATCH(Data!#REF!,Data_Val!$A$2:$A$3,0)),0,1))</f>
        <v>#REF!</v>
      </c>
      <c r="AD776" s="11" t="e">
        <f ca="1">IF(Data!#REF!="","",IF(ISNUMBER(Data!#REF!),IF(AND(Data!#REF!&gt;(TODAY()-(Data_Val!$L$3*365.25)),Data!#REF!&lt;=(TODAY()-(Data_Val!$L$2*365.25))),0,1),1))</f>
        <v>#REF!</v>
      </c>
      <c r="AE776" s="11" t="e">
        <f>IF(Data!#REF!="","",IF(Data!$G776="",1,IF(ISNUMBER(MATCH(Data!#REF!,Data_Val!$D$2:$D$10,0)),0,1)))</f>
        <v>#REF!</v>
      </c>
      <c r="AF776" s="12"/>
      <c r="AG776" s="12" t="e">
        <f>IF(Data!#REF!="","",IF(ISNUMBER(MATCH(Data!#REF!,Data_Val!$A$2:$A$3,0)),0,1))</f>
        <v>#REF!</v>
      </c>
      <c r="AH776" s="26" t="e">
        <f ca="1">IF(Data!#REF!="","",IF(ISNUMBER(Data!#REF!),IF(AND(Data!#REF!&gt;(TODAY()-(Data_Val!$L$3*365.25)),Data!#REF!&lt;=(TODAY()-(Data_Val!$L$2*365.25))),0,1),1))</f>
        <v>#REF!</v>
      </c>
      <c r="AI776" s="12" t="e">
        <f>IF(Data!#REF!="","",IF(Data!$G776="",1,IF(ISNUMBER(MATCH(Data!#REF!,Data_Val!$D$2:$D$10,0)),0,1)))</f>
        <v>#REF!</v>
      </c>
      <c r="AJ776" s="17"/>
      <c r="AK776" s="17" t="e">
        <f>IF(Data!#REF!="","",IF(ISNUMBER(MATCH(Data!#REF!,Data_Val!$A$2:$A$3,0)),0,1))</f>
        <v>#REF!</v>
      </c>
      <c r="AL776" s="25" t="e">
        <f ca="1">IF(Data!#REF!="","",IF(ISNUMBER(Data!#REF!),IF(AND(Data!#REF!&gt;(TODAY()-(Data_Val!$L$3*365.25)),Data!#REF!&lt;=(TODAY()-(Data_Val!$L$2*365.25))),0,1),1))</f>
        <v>#REF!</v>
      </c>
      <c r="AM776" s="17" t="e">
        <f>IF(Data!#REF!="","",IF(Data!$G776="",1,IF(ISNUMBER(MATCH(Data!#REF!,Data_Val!$D$2:$D$10,0)),0,1)))</f>
        <v>#REF!</v>
      </c>
      <c r="AN776" s="13"/>
      <c r="AO776" s="28" t="e">
        <f ca="1">IF(Data!#REF!="","",IF(ISNUMBER(Data!#REF!),IF(AND(Data!#REF!&gt;(TODAY()-(Data_Val!$I$3*365.25)),Data!#REF!&lt;=(TODAY()-(Data_Val!$I$2*365.25))),0,1),1))</f>
        <v>#REF!</v>
      </c>
      <c r="AP776" s="13" t="e">
        <f>IF(Data!#REF!="","",IF(Data!$G776="",1,IF(ISNUMBER(MATCH(Data!#REF!,Data_Val!$D$2:$D$10,0)),0,1)))</f>
        <v>#REF!</v>
      </c>
      <c r="AQ776" s="17"/>
      <c r="AR776" s="30" t="e">
        <f ca="1">IF(Data!#REF!="","",IF(ISNUMBER(Data!#REF!),IF(AND(Data!#REF!&gt;(TODAY()-(Data_Val!$I$3*365.25)),Data!#REF!&lt;=(TODAY()-(Data_Val!$I$2*365.25))),0,1),1))</f>
        <v>#REF!</v>
      </c>
      <c r="AS776" s="31" t="e">
        <f>IF(Data!#REF!="","",IF(Data!$G776="",1,IF(ISNUMBER(MATCH(Data!#REF!,Data_Val!$D$2:$D$10,0)),0,1)))</f>
        <v>#REF!</v>
      </c>
      <c r="AT776" s="11"/>
      <c r="AU776" s="11" t="e">
        <f ca="1">IF(Data!#REF!="","",IF(ISNUMBER(Data!#REF!),IF(AND(Data!#REF!&gt;(TODAY()-(Data_Val!$I$3*365.25)),Data!#REF!&lt;=(TODAY()-(Data_Val!$I$2*365.25))),0,1),1))</f>
        <v>#REF!</v>
      </c>
      <c r="AV776" s="11" t="e">
        <f>IF(Data!#REF!="","",IF(Data!$G776="",1,IF(ISNUMBER(MATCH(Data!#REF!,Data_Val!$D$2:$D$10,0)),0,1)))</f>
        <v>#REF!</v>
      </c>
      <c r="AW776" s="12"/>
      <c r="AX776" s="26" t="e">
        <f ca="1">IF(Data!#REF!="","",IF(ISNUMBER(Data!#REF!),IF(AND(Data!#REF!&gt;(TODAY()-(Data_Val!$I$3*365.25)),Data!#REF!&lt;=(TODAY()-(Data_Val!$I$2*365.25))),0,1),1))</f>
        <v>#REF!</v>
      </c>
      <c r="AY776" s="12" t="e">
        <f>IF(Data!#REF!="","",IF(Data!$G776="",1,IF(ISNUMBER(MATCH(Data!#REF!,Data_Val!$D$2:$D$10,0)),0,1)))</f>
        <v>#REF!</v>
      </c>
      <c r="AZ776" s="11"/>
      <c r="BA776" s="19" t="e">
        <f ca="1">IF(Data!#REF!="","",IF(ISNUMBER(Data!#REF!),IF(AND(Data!#REF!&gt;(TODAY()-(Data_Val!$M$3*365.25)),Data!#REF!&lt;=(TODAY()-(Data_Val!$M$2*365.25))),0,1),1))</f>
        <v>#REF!</v>
      </c>
      <c r="BB776" s="11" t="e">
        <f>IF(Data!#REF!="","",IF(Data!$G776="",1,IF(ISNUMBER(MATCH(Data!#REF!,Data_Val!$D$2:$D$10,0)),0,1)))</f>
        <v>#REF!</v>
      </c>
      <c r="BC776" s="12"/>
      <c r="BD776" s="20" t="e">
        <f ca="1">IF(Data!#REF!="","",IF(ISNUMBER(Data!#REF!),IF(AND(Data!#REF!&gt;(TODAY()-(Data_Val!$M$3*365.25)),Data!#REF!&lt;=(TODAY()-(Data_Val!$M$2*365.25))),0,1),1))</f>
        <v>#REF!</v>
      </c>
      <c r="BE776" s="12" t="e">
        <f>IF(Data!#REF!="","",IF(Data!$G776="",1,IF(ISNUMBER(MATCH(Data!#REF!,Data_Val!$D$2:$D$10,0)),0,1)))</f>
        <v>#REF!</v>
      </c>
      <c r="BF776" s="17"/>
      <c r="BG776" s="18" t="e">
        <f ca="1">IF(Data!#REF!="","",IF(ISNUMBER(Data!#REF!),IF(AND(Data!#REF!&gt;(TODAY()-(Data_Val!$M$3*365.25)),Data!#REF!&lt;=(TODAY()-(Data_Val!$M$2*365.25))),0,1),1))</f>
        <v>#REF!</v>
      </c>
      <c r="BH776" s="29" t="e">
        <f>IF(Data!#REF!="","",IF(Data!$G776="",1,IF(ISNUMBER(MATCH(Data!#REF!,Data_Val!$D$2:$D$10,0)),0,1)))</f>
        <v>#REF!</v>
      </c>
      <c r="BI776" s="13"/>
      <c r="BJ776" s="21" t="e">
        <f ca="1">IF(Data!#REF!="","",IF(ISNUMBER(Data!#REF!),IF(AND(Data!#REF!&gt;(TODAY()-(Data_Val!$M$3*365.25)),Data!#REF!&lt;=(TODAY()-(Data_Val!$M$2*365.25))),0,1),1))</f>
        <v>#REF!</v>
      </c>
      <c r="BK776" s="13" t="e">
        <f>IF(Data!#REF!="","",IF(Data!$G776="",1,IF(ISNUMBER(MATCH(Data!#REF!,Data_Val!$D$2:$D$10,0)),0,1)))</f>
        <v>#REF!</v>
      </c>
    </row>
    <row r="777" spans="1:63" x14ac:dyDescent="0.25">
      <c r="A777" s="9" t="str">
        <f>IF(Data!B777="","",IF(COUNTIFS(Data!A$1:'Data'!A777,Data!A777)&lt;=1,0,1))</f>
        <v/>
      </c>
      <c r="B777" s="9"/>
      <c r="C777" s="23" t="str">
        <f>IF(Data!C777="","",(IF(ISNUMBER(MATCH("*@*.?*",Data!C777,0)),0,1)+IF(COUNTIFS(Data!C$1:'Data'!C777,Data!C777)&gt;1,1,0)))</f>
        <v/>
      </c>
      <c r="D777" s="9" t="str">
        <f>IF(Data!B777="","",IF(ISNUMBER(Data!D777),IF(AND(Data!D777&gt;999999999,Data!D777&lt;=9999999999),IF(COUNTIFS(Data!D$1:'Data'!D777,Data!D777)&lt;=1,0,1),1),1))</f>
        <v/>
      </c>
      <c r="E777" s="9" t="str">
        <f>IF(Data!B777="","",IF(ISNUMBER(MATCH(Data!E777,Data_Val!$A$2:$A$3,0)),0,1))</f>
        <v/>
      </c>
      <c r="F777" s="9" t="str">
        <f ca="1">IF(Data!B777="","",IF(ISNUMBER(Data!F777),IF(AND(Data!F777&gt;(TODAY()-(Data_Val!$H$3*365.25)),Data!F777&lt;=(TODAY()-(Data_Val!$H$2*365.25))),0,1),1))</f>
        <v/>
      </c>
      <c r="G777" s="15" t="str">
        <f>IF(Data!B777="","",IF(AND(Data!G777="",Data!H777&lt;&gt;""),1,IF(Data!#REF!&lt;&gt;"",0,IF(ISNUMBER(MATCH(Data!G777,Data_Val!$C$2:$C$5,0)),0,1))))</f>
        <v/>
      </c>
      <c r="H777" s="15" t="str">
        <f>IF(Data!B777="","",IF(AND(Data!G777&lt;&gt;"",Data!H777=""),1,IF(Data!#REF!&lt;&gt;"",0,IF(Data!G777="",1,IF(ISNUMBER(MATCH(Data!H777,Data_Val!$D$2:$D$35,0)),0,1)))))</f>
        <v/>
      </c>
      <c r="I777" s="15" t="str">
        <f>IF(Data!B777="","",IF(Data!G777&lt;&gt;"",0,IF(ISNUMBER(MATCH(Data!#REF!,Data_Val!$E$2:$E$12,0)),0,1)))</f>
        <v/>
      </c>
      <c r="J777" s="16" t="e">
        <f>IF(OR(Data!B777="",Data!#REF!=""),"",IF(Data!#REF!="",1,0))</f>
        <v>#REF!</v>
      </c>
      <c r="K777" s="16" t="e">
        <f>IF(OR(Data!B777="",Data!#REF!=""),"",IF(Data!#REF!="",1,0))</f>
        <v>#REF!</v>
      </c>
      <c r="L777" s="16" t="e">
        <f>IF(OR(Data!B777="",Data!#REF!=""),"",IF(ISNUMBER(Data!#REF!),IF(AND(Data!#REF!&gt;Data_Val!$G$2,Data!#REF!&lt;=Data_Val!$G$3),0,1),1))</f>
        <v>#REF!</v>
      </c>
      <c r="M777" s="9" t="e">
        <f>IF(OR(Data!B777="",Data!#REF!=""),"",IF(ISNUMBER(MATCH(Data!#REF!,Data_Val!$F$1:$F$38,0)),0,1))</f>
        <v>#REF!</v>
      </c>
      <c r="N777" s="9" t="e">
        <f>IF(OR(Data!B777="",Data!#REF!=""),"",IF(Data!#REF!="",1,0))</f>
        <v>#REF!</v>
      </c>
      <c r="O777" s="17" t="e">
        <f>IF(Data!#REF!="","",IF(Data!#REF!="",1,0))</f>
        <v>#REF!</v>
      </c>
      <c r="P777" s="17" t="e">
        <f>IF(Data!#REF!="","",IF(ISNUMBER(MATCH(Data!#REF!,Data_Val!$A$2:$A$3,0)),0,1))</f>
        <v>#REF!</v>
      </c>
      <c r="Q777" s="25" t="e">
        <f ca="1">IF(Data!#REF!="","",IF(ISNUMBER(Data!#REF!),IF(AND(Data!#REF!&gt;(TODAY()-(Data_Val!$J$3*365.25)),Data!#REF!&lt;=(TODAY()-(Data_Val!$J$2*365.25))),0,1),1))</f>
        <v>#REF!</v>
      </c>
      <c r="R777" s="17" t="e">
        <f>IF(Data!#REF!="","",IF(ISNUMBER(MATCH(Data!#REF!,Data_Val!$B$2:$B$15,0)),0,1))</f>
        <v>#REF!</v>
      </c>
      <c r="S777" s="11" t="str">
        <f>IF(Data!G777="","",IF(Data!G777=Data_Val!$C$2,IF(Data!M777="",0,1),0))</f>
        <v/>
      </c>
      <c r="T777" s="11" t="str">
        <f>IF(Data!M777="","",IF(ISNUMBER(MATCH(Data!N777,Data_Val!$A$2:$A$3,0)),0,1))</f>
        <v/>
      </c>
      <c r="U777" s="11" t="str">
        <f ca="1">IF(Data!M777="","",IF(ISNUMBER(Data!O777),IF(AND(Data!O777&gt;(TODAY()-(Data_Val!$K$3*365.25)),Data!O777&lt;=(TODAY()-(Data_Val!$K$2*365.25))),0,1),1))</f>
        <v/>
      </c>
      <c r="V777" s="12" t="str">
        <f>IF(Data!G777="","",IF(Data!G777=Data_Val!$C$2,IF(Data!P777="",0,1),0))</f>
        <v/>
      </c>
      <c r="W777" s="12" t="str">
        <f>IF(Data!P777="","",IF(ISNUMBER(MATCH(Data!Q777,Data_Val!$A$2:$A$3,0)),0,1))</f>
        <v/>
      </c>
      <c r="X777" s="26" t="str">
        <f ca="1">IF(Data!P777="","",IF(ISNUMBER(Data!R777),IF(AND(Data!R777&gt;(TODAY()-(Data_Val!$L$3*365.25)),Data!R777&lt;=(TODAY()-(Data_Val!$L$2*365.25))),0,1),1))</f>
        <v/>
      </c>
      <c r="Y777" s="13" t="str">
        <f>IF(Data!$G777="","",IF(Data!$G777=Data_Val!$C$2,IF(Data!S777="",0,1),0))</f>
        <v/>
      </c>
      <c r="Z777" s="13" t="str">
        <f>IF(Data!S777="","",IF(ISNUMBER(MATCH(Data!T777,Data_Val!$A$2:$A$3,0)),0,1))</f>
        <v/>
      </c>
      <c r="AA777" s="28" t="str">
        <f ca="1">IF(Data!S777="","",IF(ISNUMBER(Data!U777),IF(AND(Data!U777&gt;(TODAY()-(Data_Val!$L$3*365.25)),Data!U777&lt;=(TODAY()-(Data_Val!$L$2*365.25))),0,1),1))</f>
        <v/>
      </c>
      <c r="AB777" s="11"/>
      <c r="AC777" s="11" t="e">
        <f>IF(Data!#REF!="","",IF(ISNUMBER(MATCH(Data!#REF!,Data_Val!$A$2:$A$3,0)),0,1))</f>
        <v>#REF!</v>
      </c>
      <c r="AD777" s="11" t="e">
        <f ca="1">IF(Data!#REF!="","",IF(ISNUMBER(Data!#REF!),IF(AND(Data!#REF!&gt;(TODAY()-(Data_Val!$L$3*365.25)),Data!#REF!&lt;=(TODAY()-(Data_Val!$L$2*365.25))),0,1),1))</f>
        <v>#REF!</v>
      </c>
      <c r="AE777" s="11" t="e">
        <f>IF(Data!#REF!="","",IF(Data!$G777="",1,IF(ISNUMBER(MATCH(Data!#REF!,Data_Val!$D$2:$D$10,0)),0,1)))</f>
        <v>#REF!</v>
      </c>
      <c r="AF777" s="12"/>
      <c r="AG777" s="12" t="e">
        <f>IF(Data!#REF!="","",IF(ISNUMBER(MATCH(Data!#REF!,Data_Val!$A$2:$A$3,0)),0,1))</f>
        <v>#REF!</v>
      </c>
      <c r="AH777" s="26" t="e">
        <f ca="1">IF(Data!#REF!="","",IF(ISNUMBER(Data!#REF!),IF(AND(Data!#REF!&gt;(TODAY()-(Data_Val!$L$3*365.25)),Data!#REF!&lt;=(TODAY()-(Data_Val!$L$2*365.25))),0,1),1))</f>
        <v>#REF!</v>
      </c>
      <c r="AI777" s="12" t="e">
        <f>IF(Data!#REF!="","",IF(Data!$G777="",1,IF(ISNUMBER(MATCH(Data!#REF!,Data_Val!$D$2:$D$10,0)),0,1)))</f>
        <v>#REF!</v>
      </c>
      <c r="AJ777" s="17"/>
      <c r="AK777" s="17" t="e">
        <f>IF(Data!#REF!="","",IF(ISNUMBER(MATCH(Data!#REF!,Data_Val!$A$2:$A$3,0)),0,1))</f>
        <v>#REF!</v>
      </c>
      <c r="AL777" s="25" t="e">
        <f ca="1">IF(Data!#REF!="","",IF(ISNUMBER(Data!#REF!),IF(AND(Data!#REF!&gt;(TODAY()-(Data_Val!$L$3*365.25)),Data!#REF!&lt;=(TODAY()-(Data_Val!$L$2*365.25))),0,1),1))</f>
        <v>#REF!</v>
      </c>
      <c r="AM777" s="17" t="e">
        <f>IF(Data!#REF!="","",IF(Data!$G777="",1,IF(ISNUMBER(MATCH(Data!#REF!,Data_Val!$D$2:$D$10,0)),0,1)))</f>
        <v>#REF!</v>
      </c>
      <c r="AN777" s="13"/>
      <c r="AO777" s="28" t="e">
        <f ca="1">IF(Data!#REF!="","",IF(ISNUMBER(Data!#REF!),IF(AND(Data!#REF!&gt;(TODAY()-(Data_Val!$I$3*365.25)),Data!#REF!&lt;=(TODAY()-(Data_Val!$I$2*365.25))),0,1),1))</f>
        <v>#REF!</v>
      </c>
      <c r="AP777" s="13" t="e">
        <f>IF(Data!#REF!="","",IF(Data!$G777="",1,IF(ISNUMBER(MATCH(Data!#REF!,Data_Val!$D$2:$D$10,0)),0,1)))</f>
        <v>#REF!</v>
      </c>
      <c r="AQ777" s="17"/>
      <c r="AR777" s="30" t="e">
        <f ca="1">IF(Data!#REF!="","",IF(ISNUMBER(Data!#REF!),IF(AND(Data!#REF!&gt;(TODAY()-(Data_Val!$I$3*365.25)),Data!#REF!&lt;=(TODAY()-(Data_Val!$I$2*365.25))),0,1),1))</f>
        <v>#REF!</v>
      </c>
      <c r="AS777" s="31" t="e">
        <f>IF(Data!#REF!="","",IF(Data!$G777="",1,IF(ISNUMBER(MATCH(Data!#REF!,Data_Val!$D$2:$D$10,0)),0,1)))</f>
        <v>#REF!</v>
      </c>
      <c r="AT777" s="11"/>
      <c r="AU777" s="11" t="e">
        <f ca="1">IF(Data!#REF!="","",IF(ISNUMBER(Data!#REF!),IF(AND(Data!#REF!&gt;(TODAY()-(Data_Val!$I$3*365.25)),Data!#REF!&lt;=(TODAY()-(Data_Val!$I$2*365.25))),0,1),1))</f>
        <v>#REF!</v>
      </c>
      <c r="AV777" s="11" t="e">
        <f>IF(Data!#REF!="","",IF(Data!$G777="",1,IF(ISNUMBER(MATCH(Data!#REF!,Data_Val!$D$2:$D$10,0)),0,1)))</f>
        <v>#REF!</v>
      </c>
      <c r="AW777" s="12"/>
      <c r="AX777" s="26" t="e">
        <f ca="1">IF(Data!#REF!="","",IF(ISNUMBER(Data!#REF!),IF(AND(Data!#REF!&gt;(TODAY()-(Data_Val!$I$3*365.25)),Data!#REF!&lt;=(TODAY()-(Data_Val!$I$2*365.25))),0,1),1))</f>
        <v>#REF!</v>
      </c>
      <c r="AY777" s="12" t="e">
        <f>IF(Data!#REF!="","",IF(Data!$G777="",1,IF(ISNUMBER(MATCH(Data!#REF!,Data_Val!$D$2:$D$10,0)),0,1)))</f>
        <v>#REF!</v>
      </c>
      <c r="AZ777" s="11"/>
      <c r="BA777" s="19" t="e">
        <f ca="1">IF(Data!#REF!="","",IF(ISNUMBER(Data!#REF!),IF(AND(Data!#REF!&gt;(TODAY()-(Data_Val!$M$3*365.25)),Data!#REF!&lt;=(TODAY()-(Data_Val!$M$2*365.25))),0,1),1))</f>
        <v>#REF!</v>
      </c>
      <c r="BB777" s="11" t="e">
        <f>IF(Data!#REF!="","",IF(Data!$G777="",1,IF(ISNUMBER(MATCH(Data!#REF!,Data_Val!$D$2:$D$10,0)),0,1)))</f>
        <v>#REF!</v>
      </c>
      <c r="BC777" s="12"/>
      <c r="BD777" s="20" t="e">
        <f ca="1">IF(Data!#REF!="","",IF(ISNUMBER(Data!#REF!),IF(AND(Data!#REF!&gt;(TODAY()-(Data_Val!$M$3*365.25)),Data!#REF!&lt;=(TODAY()-(Data_Val!$M$2*365.25))),0,1),1))</f>
        <v>#REF!</v>
      </c>
      <c r="BE777" s="12" t="e">
        <f>IF(Data!#REF!="","",IF(Data!$G777="",1,IF(ISNUMBER(MATCH(Data!#REF!,Data_Val!$D$2:$D$10,0)),0,1)))</f>
        <v>#REF!</v>
      </c>
      <c r="BF777" s="17"/>
      <c r="BG777" s="18" t="e">
        <f ca="1">IF(Data!#REF!="","",IF(ISNUMBER(Data!#REF!),IF(AND(Data!#REF!&gt;(TODAY()-(Data_Val!$M$3*365.25)),Data!#REF!&lt;=(TODAY()-(Data_Val!$M$2*365.25))),0,1),1))</f>
        <v>#REF!</v>
      </c>
      <c r="BH777" s="29" t="e">
        <f>IF(Data!#REF!="","",IF(Data!$G777="",1,IF(ISNUMBER(MATCH(Data!#REF!,Data_Val!$D$2:$D$10,0)),0,1)))</f>
        <v>#REF!</v>
      </c>
      <c r="BI777" s="13"/>
      <c r="BJ777" s="21" t="e">
        <f ca="1">IF(Data!#REF!="","",IF(ISNUMBER(Data!#REF!),IF(AND(Data!#REF!&gt;(TODAY()-(Data_Val!$M$3*365.25)),Data!#REF!&lt;=(TODAY()-(Data_Val!$M$2*365.25))),0,1),1))</f>
        <v>#REF!</v>
      </c>
      <c r="BK777" s="13" t="e">
        <f>IF(Data!#REF!="","",IF(Data!$G777="",1,IF(ISNUMBER(MATCH(Data!#REF!,Data_Val!$D$2:$D$10,0)),0,1)))</f>
        <v>#REF!</v>
      </c>
    </row>
    <row r="778" spans="1:63" x14ac:dyDescent="0.25">
      <c r="A778" s="9" t="str">
        <f>IF(Data!B778="","",IF(COUNTIFS(Data!A$1:'Data'!A778,Data!A778)&lt;=1,0,1))</f>
        <v/>
      </c>
      <c r="B778" s="9"/>
      <c r="C778" s="23" t="str">
        <f>IF(Data!C778="","",(IF(ISNUMBER(MATCH("*@*.?*",Data!C778,0)),0,1)+IF(COUNTIFS(Data!C$1:'Data'!C778,Data!C778)&gt;1,1,0)))</f>
        <v/>
      </c>
      <c r="D778" s="9" t="str">
        <f>IF(Data!B778="","",IF(ISNUMBER(Data!D778),IF(AND(Data!D778&gt;999999999,Data!D778&lt;=9999999999),IF(COUNTIFS(Data!D$1:'Data'!D778,Data!D778)&lt;=1,0,1),1),1))</f>
        <v/>
      </c>
      <c r="E778" s="9" t="str">
        <f>IF(Data!B778="","",IF(ISNUMBER(MATCH(Data!E778,Data_Val!$A$2:$A$3,0)),0,1))</f>
        <v/>
      </c>
      <c r="F778" s="9" t="str">
        <f ca="1">IF(Data!B778="","",IF(ISNUMBER(Data!F778),IF(AND(Data!F778&gt;(TODAY()-(Data_Val!$H$3*365.25)),Data!F778&lt;=(TODAY()-(Data_Val!$H$2*365.25))),0,1),1))</f>
        <v/>
      </c>
      <c r="G778" s="15" t="str">
        <f>IF(Data!B778="","",IF(AND(Data!G778="",Data!H778&lt;&gt;""),1,IF(Data!#REF!&lt;&gt;"",0,IF(ISNUMBER(MATCH(Data!G778,Data_Val!$C$2:$C$5,0)),0,1))))</f>
        <v/>
      </c>
      <c r="H778" s="15" t="str">
        <f>IF(Data!B778="","",IF(AND(Data!G778&lt;&gt;"",Data!H778=""),1,IF(Data!#REF!&lt;&gt;"",0,IF(Data!G778="",1,IF(ISNUMBER(MATCH(Data!H778,Data_Val!$D$2:$D$35,0)),0,1)))))</f>
        <v/>
      </c>
      <c r="I778" s="15" t="str">
        <f>IF(Data!B778="","",IF(Data!G778&lt;&gt;"",0,IF(ISNUMBER(MATCH(Data!#REF!,Data_Val!$E$2:$E$12,0)),0,1)))</f>
        <v/>
      </c>
      <c r="J778" s="16" t="e">
        <f>IF(OR(Data!B778="",Data!#REF!=""),"",IF(Data!#REF!="",1,0))</f>
        <v>#REF!</v>
      </c>
      <c r="K778" s="16" t="e">
        <f>IF(OR(Data!B778="",Data!#REF!=""),"",IF(Data!#REF!="",1,0))</f>
        <v>#REF!</v>
      </c>
      <c r="L778" s="16" t="e">
        <f>IF(OR(Data!B778="",Data!#REF!=""),"",IF(ISNUMBER(Data!#REF!),IF(AND(Data!#REF!&gt;Data_Val!$G$2,Data!#REF!&lt;=Data_Val!$G$3),0,1),1))</f>
        <v>#REF!</v>
      </c>
      <c r="M778" s="9" t="e">
        <f>IF(OR(Data!B778="",Data!#REF!=""),"",IF(ISNUMBER(MATCH(Data!#REF!,Data_Val!$F$1:$F$38,0)),0,1))</f>
        <v>#REF!</v>
      </c>
      <c r="N778" s="9" t="e">
        <f>IF(OR(Data!B778="",Data!#REF!=""),"",IF(Data!#REF!="",1,0))</f>
        <v>#REF!</v>
      </c>
      <c r="O778" s="17" t="e">
        <f>IF(Data!#REF!="","",IF(Data!#REF!="",1,0))</f>
        <v>#REF!</v>
      </c>
      <c r="P778" s="17" t="e">
        <f>IF(Data!#REF!="","",IF(ISNUMBER(MATCH(Data!#REF!,Data_Val!$A$2:$A$3,0)),0,1))</f>
        <v>#REF!</v>
      </c>
      <c r="Q778" s="25" t="e">
        <f ca="1">IF(Data!#REF!="","",IF(ISNUMBER(Data!#REF!),IF(AND(Data!#REF!&gt;(TODAY()-(Data_Val!$J$3*365.25)),Data!#REF!&lt;=(TODAY()-(Data_Val!$J$2*365.25))),0,1),1))</f>
        <v>#REF!</v>
      </c>
      <c r="R778" s="17" t="e">
        <f>IF(Data!#REF!="","",IF(ISNUMBER(MATCH(Data!#REF!,Data_Val!$B$2:$B$15,0)),0,1))</f>
        <v>#REF!</v>
      </c>
      <c r="S778" s="11" t="str">
        <f>IF(Data!G778="","",IF(Data!G778=Data_Val!$C$2,IF(Data!M778="",0,1),0))</f>
        <v/>
      </c>
      <c r="T778" s="11" t="str">
        <f>IF(Data!M778="","",IF(ISNUMBER(MATCH(Data!N778,Data_Val!$A$2:$A$3,0)),0,1))</f>
        <v/>
      </c>
      <c r="U778" s="11" t="str">
        <f ca="1">IF(Data!M778="","",IF(ISNUMBER(Data!O778),IF(AND(Data!O778&gt;(TODAY()-(Data_Val!$K$3*365.25)),Data!O778&lt;=(TODAY()-(Data_Val!$K$2*365.25))),0,1),1))</f>
        <v/>
      </c>
      <c r="V778" s="12" t="str">
        <f>IF(Data!G778="","",IF(Data!G778=Data_Val!$C$2,IF(Data!P778="",0,1),0))</f>
        <v/>
      </c>
      <c r="W778" s="12" t="str">
        <f>IF(Data!P778="","",IF(ISNUMBER(MATCH(Data!Q778,Data_Val!$A$2:$A$3,0)),0,1))</f>
        <v/>
      </c>
      <c r="X778" s="26" t="str">
        <f ca="1">IF(Data!P778="","",IF(ISNUMBER(Data!R778),IF(AND(Data!R778&gt;(TODAY()-(Data_Val!$L$3*365.25)),Data!R778&lt;=(TODAY()-(Data_Val!$L$2*365.25))),0,1),1))</f>
        <v/>
      </c>
      <c r="Y778" s="13" t="str">
        <f>IF(Data!$G778="","",IF(Data!$G778=Data_Val!$C$2,IF(Data!S778="",0,1),0))</f>
        <v/>
      </c>
      <c r="Z778" s="13" t="str">
        <f>IF(Data!S778="","",IF(ISNUMBER(MATCH(Data!T778,Data_Val!$A$2:$A$3,0)),0,1))</f>
        <v/>
      </c>
      <c r="AA778" s="28" t="str">
        <f ca="1">IF(Data!S778="","",IF(ISNUMBER(Data!U778),IF(AND(Data!U778&gt;(TODAY()-(Data_Val!$L$3*365.25)),Data!U778&lt;=(TODAY()-(Data_Val!$L$2*365.25))),0,1),1))</f>
        <v/>
      </c>
      <c r="AB778" s="11"/>
      <c r="AC778" s="11" t="e">
        <f>IF(Data!#REF!="","",IF(ISNUMBER(MATCH(Data!#REF!,Data_Val!$A$2:$A$3,0)),0,1))</f>
        <v>#REF!</v>
      </c>
      <c r="AD778" s="11" t="e">
        <f ca="1">IF(Data!#REF!="","",IF(ISNUMBER(Data!#REF!),IF(AND(Data!#REF!&gt;(TODAY()-(Data_Val!$L$3*365.25)),Data!#REF!&lt;=(TODAY()-(Data_Val!$L$2*365.25))),0,1),1))</f>
        <v>#REF!</v>
      </c>
      <c r="AE778" s="11" t="e">
        <f>IF(Data!#REF!="","",IF(Data!$G778="",1,IF(ISNUMBER(MATCH(Data!#REF!,Data_Val!$D$2:$D$10,0)),0,1)))</f>
        <v>#REF!</v>
      </c>
      <c r="AF778" s="12"/>
      <c r="AG778" s="12" t="e">
        <f>IF(Data!#REF!="","",IF(ISNUMBER(MATCH(Data!#REF!,Data_Val!$A$2:$A$3,0)),0,1))</f>
        <v>#REF!</v>
      </c>
      <c r="AH778" s="26" t="e">
        <f ca="1">IF(Data!#REF!="","",IF(ISNUMBER(Data!#REF!),IF(AND(Data!#REF!&gt;(TODAY()-(Data_Val!$L$3*365.25)),Data!#REF!&lt;=(TODAY()-(Data_Val!$L$2*365.25))),0,1),1))</f>
        <v>#REF!</v>
      </c>
      <c r="AI778" s="12" t="e">
        <f>IF(Data!#REF!="","",IF(Data!$G778="",1,IF(ISNUMBER(MATCH(Data!#REF!,Data_Val!$D$2:$D$10,0)),0,1)))</f>
        <v>#REF!</v>
      </c>
      <c r="AJ778" s="17"/>
      <c r="AK778" s="17" t="e">
        <f>IF(Data!#REF!="","",IF(ISNUMBER(MATCH(Data!#REF!,Data_Val!$A$2:$A$3,0)),0,1))</f>
        <v>#REF!</v>
      </c>
      <c r="AL778" s="25" t="e">
        <f ca="1">IF(Data!#REF!="","",IF(ISNUMBER(Data!#REF!),IF(AND(Data!#REF!&gt;(TODAY()-(Data_Val!$L$3*365.25)),Data!#REF!&lt;=(TODAY()-(Data_Val!$L$2*365.25))),0,1),1))</f>
        <v>#REF!</v>
      </c>
      <c r="AM778" s="17" t="e">
        <f>IF(Data!#REF!="","",IF(Data!$G778="",1,IF(ISNUMBER(MATCH(Data!#REF!,Data_Val!$D$2:$D$10,0)),0,1)))</f>
        <v>#REF!</v>
      </c>
      <c r="AN778" s="13"/>
      <c r="AO778" s="28" t="e">
        <f ca="1">IF(Data!#REF!="","",IF(ISNUMBER(Data!#REF!),IF(AND(Data!#REF!&gt;(TODAY()-(Data_Val!$I$3*365.25)),Data!#REF!&lt;=(TODAY()-(Data_Val!$I$2*365.25))),0,1),1))</f>
        <v>#REF!</v>
      </c>
      <c r="AP778" s="13" t="e">
        <f>IF(Data!#REF!="","",IF(Data!$G778="",1,IF(ISNUMBER(MATCH(Data!#REF!,Data_Val!$D$2:$D$10,0)),0,1)))</f>
        <v>#REF!</v>
      </c>
      <c r="AQ778" s="17"/>
      <c r="AR778" s="30" t="e">
        <f ca="1">IF(Data!#REF!="","",IF(ISNUMBER(Data!#REF!),IF(AND(Data!#REF!&gt;(TODAY()-(Data_Val!$I$3*365.25)),Data!#REF!&lt;=(TODAY()-(Data_Val!$I$2*365.25))),0,1),1))</f>
        <v>#REF!</v>
      </c>
      <c r="AS778" s="31" t="e">
        <f>IF(Data!#REF!="","",IF(Data!$G778="",1,IF(ISNUMBER(MATCH(Data!#REF!,Data_Val!$D$2:$D$10,0)),0,1)))</f>
        <v>#REF!</v>
      </c>
      <c r="AT778" s="11"/>
      <c r="AU778" s="11" t="e">
        <f ca="1">IF(Data!#REF!="","",IF(ISNUMBER(Data!#REF!),IF(AND(Data!#REF!&gt;(TODAY()-(Data_Val!$I$3*365.25)),Data!#REF!&lt;=(TODAY()-(Data_Val!$I$2*365.25))),0,1),1))</f>
        <v>#REF!</v>
      </c>
      <c r="AV778" s="11" t="e">
        <f>IF(Data!#REF!="","",IF(Data!$G778="",1,IF(ISNUMBER(MATCH(Data!#REF!,Data_Val!$D$2:$D$10,0)),0,1)))</f>
        <v>#REF!</v>
      </c>
      <c r="AW778" s="12"/>
      <c r="AX778" s="26" t="e">
        <f ca="1">IF(Data!#REF!="","",IF(ISNUMBER(Data!#REF!),IF(AND(Data!#REF!&gt;(TODAY()-(Data_Val!$I$3*365.25)),Data!#REF!&lt;=(TODAY()-(Data_Val!$I$2*365.25))),0,1),1))</f>
        <v>#REF!</v>
      </c>
      <c r="AY778" s="12" t="e">
        <f>IF(Data!#REF!="","",IF(Data!$G778="",1,IF(ISNUMBER(MATCH(Data!#REF!,Data_Val!$D$2:$D$10,0)),0,1)))</f>
        <v>#REF!</v>
      </c>
      <c r="AZ778" s="11"/>
      <c r="BA778" s="19" t="e">
        <f ca="1">IF(Data!#REF!="","",IF(ISNUMBER(Data!#REF!),IF(AND(Data!#REF!&gt;(TODAY()-(Data_Val!$M$3*365.25)),Data!#REF!&lt;=(TODAY()-(Data_Val!$M$2*365.25))),0,1),1))</f>
        <v>#REF!</v>
      </c>
      <c r="BB778" s="11" t="e">
        <f>IF(Data!#REF!="","",IF(Data!$G778="",1,IF(ISNUMBER(MATCH(Data!#REF!,Data_Val!$D$2:$D$10,0)),0,1)))</f>
        <v>#REF!</v>
      </c>
      <c r="BC778" s="12"/>
      <c r="BD778" s="20" t="e">
        <f ca="1">IF(Data!#REF!="","",IF(ISNUMBER(Data!#REF!),IF(AND(Data!#REF!&gt;(TODAY()-(Data_Val!$M$3*365.25)),Data!#REF!&lt;=(TODAY()-(Data_Val!$M$2*365.25))),0,1),1))</f>
        <v>#REF!</v>
      </c>
      <c r="BE778" s="12" t="e">
        <f>IF(Data!#REF!="","",IF(Data!$G778="",1,IF(ISNUMBER(MATCH(Data!#REF!,Data_Val!$D$2:$D$10,0)),0,1)))</f>
        <v>#REF!</v>
      </c>
      <c r="BF778" s="17"/>
      <c r="BG778" s="18" t="e">
        <f ca="1">IF(Data!#REF!="","",IF(ISNUMBER(Data!#REF!),IF(AND(Data!#REF!&gt;(TODAY()-(Data_Val!$M$3*365.25)),Data!#REF!&lt;=(TODAY()-(Data_Val!$M$2*365.25))),0,1),1))</f>
        <v>#REF!</v>
      </c>
      <c r="BH778" s="29" t="e">
        <f>IF(Data!#REF!="","",IF(Data!$G778="",1,IF(ISNUMBER(MATCH(Data!#REF!,Data_Val!$D$2:$D$10,0)),0,1)))</f>
        <v>#REF!</v>
      </c>
      <c r="BI778" s="13"/>
      <c r="BJ778" s="21" t="e">
        <f ca="1">IF(Data!#REF!="","",IF(ISNUMBER(Data!#REF!),IF(AND(Data!#REF!&gt;(TODAY()-(Data_Val!$M$3*365.25)),Data!#REF!&lt;=(TODAY()-(Data_Val!$M$2*365.25))),0,1),1))</f>
        <v>#REF!</v>
      </c>
      <c r="BK778" s="13" t="e">
        <f>IF(Data!#REF!="","",IF(Data!$G778="",1,IF(ISNUMBER(MATCH(Data!#REF!,Data_Val!$D$2:$D$10,0)),0,1)))</f>
        <v>#REF!</v>
      </c>
    </row>
    <row r="779" spans="1:63" x14ac:dyDescent="0.25">
      <c r="A779" s="9" t="str">
        <f>IF(Data!B779="","",IF(COUNTIFS(Data!A$1:'Data'!A779,Data!A779)&lt;=1,0,1))</f>
        <v/>
      </c>
      <c r="B779" s="9"/>
      <c r="C779" s="23" t="str">
        <f>IF(Data!C779="","",(IF(ISNUMBER(MATCH("*@*.?*",Data!C779,0)),0,1)+IF(COUNTIFS(Data!C$1:'Data'!C779,Data!C779)&gt;1,1,0)))</f>
        <v/>
      </c>
      <c r="D779" s="9" t="str">
        <f>IF(Data!B779="","",IF(ISNUMBER(Data!D779),IF(AND(Data!D779&gt;999999999,Data!D779&lt;=9999999999),IF(COUNTIFS(Data!D$1:'Data'!D779,Data!D779)&lt;=1,0,1),1),1))</f>
        <v/>
      </c>
      <c r="E779" s="9" t="str">
        <f>IF(Data!B779="","",IF(ISNUMBER(MATCH(Data!E779,Data_Val!$A$2:$A$3,0)),0,1))</f>
        <v/>
      </c>
      <c r="F779" s="9" t="str">
        <f ca="1">IF(Data!B779="","",IF(ISNUMBER(Data!F779),IF(AND(Data!F779&gt;(TODAY()-(Data_Val!$H$3*365.25)),Data!F779&lt;=(TODAY()-(Data_Val!$H$2*365.25))),0,1),1))</f>
        <v/>
      </c>
      <c r="G779" s="15" t="str">
        <f>IF(Data!B779="","",IF(AND(Data!G779="",Data!H779&lt;&gt;""),1,IF(Data!#REF!&lt;&gt;"",0,IF(ISNUMBER(MATCH(Data!G779,Data_Val!$C$2:$C$5,0)),0,1))))</f>
        <v/>
      </c>
      <c r="H779" s="15" t="str">
        <f>IF(Data!B779="","",IF(AND(Data!G779&lt;&gt;"",Data!H779=""),1,IF(Data!#REF!&lt;&gt;"",0,IF(Data!G779="",1,IF(ISNUMBER(MATCH(Data!H779,Data_Val!$D$2:$D$35,0)),0,1)))))</f>
        <v/>
      </c>
      <c r="I779" s="15" t="str">
        <f>IF(Data!B779="","",IF(Data!G779&lt;&gt;"",0,IF(ISNUMBER(MATCH(Data!#REF!,Data_Val!$E$2:$E$12,0)),0,1)))</f>
        <v/>
      </c>
      <c r="J779" s="16" t="e">
        <f>IF(OR(Data!B779="",Data!#REF!=""),"",IF(Data!#REF!="",1,0))</f>
        <v>#REF!</v>
      </c>
      <c r="K779" s="16" t="e">
        <f>IF(OR(Data!B779="",Data!#REF!=""),"",IF(Data!#REF!="",1,0))</f>
        <v>#REF!</v>
      </c>
      <c r="L779" s="16" t="e">
        <f>IF(OR(Data!B779="",Data!#REF!=""),"",IF(ISNUMBER(Data!#REF!),IF(AND(Data!#REF!&gt;Data_Val!$G$2,Data!#REF!&lt;=Data_Val!$G$3),0,1),1))</f>
        <v>#REF!</v>
      </c>
      <c r="M779" s="9" t="e">
        <f>IF(OR(Data!B779="",Data!#REF!=""),"",IF(ISNUMBER(MATCH(Data!#REF!,Data_Val!$F$1:$F$38,0)),0,1))</f>
        <v>#REF!</v>
      </c>
      <c r="N779" s="9" t="e">
        <f>IF(OR(Data!B779="",Data!#REF!=""),"",IF(Data!#REF!="",1,0))</f>
        <v>#REF!</v>
      </c>
      <c r="O779" s="17" t="e">
        <f>IF(Data!#REF!="","",IF(Data!#REF!="",1,0))</f>
        <v>#REF!</v>
      </c>
      <c r="P779" s="17" t="e">
        <f>IF(Data!#REF!="","",IF(ISNUMBER(MATCH(Data!#REF!,Data_Val!$A$2:$A$3,0)),0,1))</f>
        <v>#REF!</v>
      </c>
      <c r="Q779" s="25" t="e">
        <f ca="1">IF(Data!#REF!="","",IF(ISNUMBER(Data!#REF!),IF(AND(Data!#REF!&gt;(TODAY()-(Data_Val!$J$3*365.25)),Data!#REF!&lt;=(TODAY()-(Data_Val!$J$2*365.25))),0,1),1))</f>
        <v>#REF!</v>
      </c>
      <c r="R779" s="17" t="e">
        <f>IF(Data!#REF!="","",IF(ISNUMBER(MATCH(Data!#REF!,Data_Val!$B$2:$B$15,0)),0,1))</f>
        <v>#REF!</v>
      </c>
      <c r="S779" s="11" t="str">
        <f>IF(Data!G779="","",IF(Data!G779=Data_Val!$C$2,IF(Data!M779="",0,1),0))</f>
        <v/>
      </c>
      <c r="T779" s="11" t="str">
        <f>IF(Data!M779="","",IF(ISNUMBER(MATCH(Data!N779,Data_Val!$A$2:$A$3,0)),0,1))</f>
        <v/>
      </c>
      <c r="U779" s="11" t="str">
        <f ca="1">IF(Data!M779="","",IF(ISNUMBER(Data!O779),IF(AND(Data!O779&gt;(TODAY()-(Data_Val!$K$3*365.25)),Data!O779&lt;=(TODAY()-(Data_Val!$K$2*365.25))),0,1),1))</f>
        <v/>
      </c>
      <c r="V779" s="12" t="str">
        <f>IF(Data!G779="","",IF(Data!G779=Data_Val!$C$2,IF(Data!P779="",0,1),0))</f>
        <v/>
      </c>
      <c r="W779" s="12" t="str">
        <f>IF(Data!P779="","",IF(ISNUMBER(MATCH(Data!Q779,Data_Val!$A$2:$A$3,0)),0,1))</f>
        <v/>
      </c>
      <c r="X779" s="26" t="str">
        <f ca="1">IF(Data!P779="","",IF(ISNUMBER(Data!R779),IF(AND(Data!R779&gt;(TODAY()-(Data_Val!$L$3*365.25)),Data!R779&lt;=(TODAY()-(Data_Val!$L$2*365.25))),0,1),1))</f>
        <v/>
      </c>
      <c r="Y779" s="13" t="str">
        <f>IF(Data!$G779="","",IF(Data!$G779=Data_Val!$C$2,IF(Data!S779="",0,1),0))</f>
        <v/>
      </c>
      <c r="Z779" s="13" t="str">
        <f>IF(Data!S779="","",IF(ISNUMBER(MATCH(Data!T779,Data_Val!$A$2:$A$3,0)),0,1))</f>
        <v/>
      </c>
      <c r="AA779" s="28" t="str">
        <f ca="1">IF(Data!S779="","",IF(ISNUMBER(Data!U779),IF(AND(Data!U779&gt;(TODAY()-(Data_Val!$L$3*365.25)),Data!U779&lt;=(TODAY()-(Data_Val!$L$2*365.25))),0,1),1))</f>
        <v/>
      </c>
      <c r="AB779" s="11"/>
      <c r="AC779" s="11" t="e">
        <f>IF(Data!#REF!="","",IF(ISNUMBER(MATCH(Data!#REF!,Data_Val!$A$2:$A$3,0)),0,1))</f>
        <v>#REF!</v>
      </c>
      <c r="AD779" s="11" t="e">
        <f ca="1">IF(Data!#REF!="","",IF(ISNUMBER(Data!#REF!),IF(AND(Data!#REF!&gt;(TODAY()-(Data_Val!$L$3*365.25)),Data!#REF!&lt;=(TODAY()-(Data_Val!$L$2*365.25))),0,1),1))</f>
        <v>#REF!</v>
      </c>
      <c r="AE779" s="11" t="e">
        <f>IF(Data!#REF!="","",IF(Data!$G779="",1,IF(ISNUMBER(MATCH(Data!#REF!,Data_Val!$D$2:$D$10,0)),0,1)))</f>
        <v>#REF!</v>
      </c>
      <c r="AF779" s="12"/>
      <c r="AG779" s="12" t="e">
        <f>IF(Data!#REF!="","",IF(ISNUMBER(MATCH(Data!#REF!,Data_Val!$A$2:$A$3,0)),0,1))</f>
        <v>#REF!</v>
      </c>
      <c r="AH779" s="26" t="e">
        <f ca="1">IF(Data!#REF!="","",IF(ISNUMBER(Data!#REF!),IF(AND(Data!#REF!&gt;(TODAY()-(Data_Val!$L$3*365.25)),Data!#REF!&lt;=(TODAY()-(Data_Val!$L$2*365.25))),0,1),1))</f>
        <v>#REF!</v>
      </c>
      <c r="AI779" s="12" t="e">
        <f>IF(Data!#REF!="","",IF(Data!$G779="",1,IF(ISNUMBER(MATCH(Data!#REF!,Data_Val!$D$2:$D$10,0)),0,1)))</f>
        <v>#REF!</v>
      </c>
      <c r="AJ779" s="17"/>
      <c r="AK779" s="17" t="e">
        <f>IF(Data!#REF!="","",IF(ISNUMBER(MATCH(Data!#REF!,Data_Val!$A$2:$A$3,0)),0,1))</f>
        <v>#REF!</v>
      </c>
      <c r="AL779" s="25" t="e">
        <f ca="1">IF(Data!#REF!="","",IF(ISNUMBER(Data!#REF!),IF(AND(Data!#REF!&gt;(TODAY()-(Data_Val!$L$3*365.25)),Data!#REF!&lt;=(TODAY()-(Data_Val!$L$2*365.25))),0,1),1))</f>
        <v>#REF!</v>
      </c>
      <c r="AM779" s="17" t="e">
        <f>IF(Data!#REF!="","",IF(Data!$G779="",1,IF(ISNUMBER(MATCH(Data!#REF!,Data_Val!$D$2:$D$10,0)),0,1)))</f>
        <v>#REF!</v>
      </c>
      <c r="AN779" s="13"/>
      <c r="AO779" s="28" t="e">
        <f ca="1">IF(Data!#REF!="","",IF(ISNUMBER(Data!#REF!),IF(AND(Data!#REF!&gt;(TODAY()-(Data_Val!$I$3*365.25)),Data!#REF!&lt;=(TODAY()-(Data_Val!$I$2*365.25))),0,1),1))</f>
        <v>#REF!</v>
      </c>
      <c r="AP779" s="13" t="e">
        <f>IF(Data!#REF!="","",IF(Data!$G779="",1,IF(ISNUMBER(MATCH(Data!#REF!,Data_Val!$D$2:$D$10,0)),0,1)))</f>
        <v>#REF!</v>
      </c>
      <c r="AQ779" s="17"/>
      <c r="AR779" s="30" t="e">
        <f ca="1">IF(Data!#REF!="","",IF(ISNUMBER(Data!#REF!),IF(AND(Data!#REF!&gt;(TODAY()-(Data_Val!$I$3*365.25)),Data!#REF!&lt;=(TODAY()-(Data_Val!$I$2*365.25))),0,1),1))</f>
        <v>#REF!</v>
      </c>
      <c r="AS779" s="31" t="e">
        <f>IF(Data!#REF!="","",IF(Data!$G779="",1,IF(ISNUMBER(MATCH(Data!#REF!,Data_Val!$D$2:$D$10,0)),0,1)))</f>
        <v>#REF!</v>
      </c>
      <c r="AT779" s="11"/>
      <c r="AU779" s="11" t="e">
        <f ca="1">IF(Data!#REF!="","",IF(ISNUMBER(Data!#REF!),IF(AND(Data!#REF!&gt;(TODAY()-(Data_Val!$I$3*365.25)),Data!#REF!&lt;=(TODAY()-(Data_Val!$I$2*365.25))),0,1),1))</f>
        <v>#REF!</v>
      </c>
      <c r="AV779" s="11" t="e">
        <f>IF(Data!#REF!="","",IF(Data!$G779="",1,IF(ISNUMBER(MATCH(Data!#REF!,Data_Val!$D$2:$D$10,0)),0,1)))</f>
        <v>#REF!</v>
      </c>
      <c r="AW779" s="12"/>
      <c r="AX779" s="26" t="e">
        <f ca="1">IF(Data!#REF!="","",IF(ISNUMBER(Data!#REF!),IF(AND(Data!#REF!&gt;(TODAY()-(Data_Val!$I$3*365.25)),Data!#REF!&lt;=(TODAY()-(Data_Val!$I$2*365.25))),0,1),1))</f>
        <v>#REF!</v>
      </c>
      <c r="AY779" s="12" t="e">
        <f>IF(Data!#REF!="","",IF(Data!$G779="",1,IF(ISNUMBER(MATCH(Data!#REF!,Data_Val!$D$2:$D$10,0)),0,1)))</f>
        <v>#REF!</v>
      </c>
      <c r="AZ779" s="11"/>
      <c r="BA779" s="19" t="e">
        <f ca="1">IF(Data!#REF!="","",IF(ISNUMBER(Data!#REF!),IF(AND(Data!#REF!&gt;(TODAY()-(Data_Val!$M$3*365.25)),Data!#REF!&lt;=(TODAY()-(Data_Val!$M$2*365.25))),0,1),1))</f>
        <v>#REF!</v>
      </c>
      <c r="BB779" s="11" t="e">
        <f>IF(Data!#REF!="","",IF(Data!$G779="",1,IF(ISNUMBER(MATCH(Data!#REF!,Data_Val!$D$2:$D$10,0)),0,1)))</f>
        <v>#REF!</v>
      </c>
      <c r="BC779" s="12"/>
      <c r="BD779" s="20" t="e">
        <f ca="1">IF(Data!#REF!="","",IF(ISNUMBER(Data!#REF!),IF(AND(Data!#REF!&gt;(TODAY()-(Data_Val!$M$3*365.25)),Data!#REF!&lt;=(TODAY()-(Data_Val!$M$2*365.25))),0,1),1))</f>
        <v>#REF!</v>
      </c>
      <c r="BE779" s="12" t="e">
        <f>IF(Data!#REF!="","",IF(Data!$G779="",1,IF(ISNUMBER(MATCH(Data!#REF!,Data_Val!$D$2:$D$10,0)),0,1)))</f>
        <v>#REF!</v>
      </c>
      <c r="BF779" s="17"/>
      <c r="BG779" s="18" t="e">
        <f ca="1">IF(Data!#REF!="","",IF(ISNUMBER(Data!#REF!),IF(AND(Data!#REF!&gt;(TODAY()-(Data_Val!$M$3*365.25)),Data!#REF!&lt;=(TODAY()-(Data_Val!$M$2*365.25))),0,1),1))</f>
        <v>#REF!</v>
      </c>
      <c r="BH779" s="29" t="e">
        <f>IF(Data!#REF!="","",IF(Data!$G779="",1,IF(ISNUMBER(MATCH(Data!#REF!,Data_Val!$D$2:$D$10,0)),0,1)))</f>
        <v>#REF!</v>
      </c>
      <c r="BI779" s="13"/>
      <c r="BJ779" s="21" t="e">
        <f ca="1">IF(Data!#REF!="","",IF(ISNUMBER(Data!#REF!),IF(AND(Data!#REF!&gt;(TODAY()-(Data_Val!$M$3*365.25)),Data!#REF!&lt;=(TODAY()-(Data_Val!$M$2*365.25))),0,1),1))</f>
        <v>#REF!</v>
      </c>
      <c r="BK779" s="13" t="e">
        <f>IF(Data!#REF!="","",IF(Data!$G779="",1,IF(ISNUMBER(MATCH(Data!#REF!,Data_Val!$D$2:$D$10,0)),0,1)))</f>
        <v>#REF!</v>
      </c>
    </row>
    <row r="780" spans="1:63" x14ac:dyDescent="0.25">
      <c r="A780" s="9" t="str">
        <f>IF(Data!B780="","",IF(COUNTIFS(Data!A$1:'Data'!A780,Data!A780)&lt;=1,0,1))</f>
        <v/>
      </c>
      <c r="B780" s="9"/>
      <c r="C780" s="23" t="str">
        <f>IF(Data!C780="","",(IF(ISNUMBER(MATCH("*@*.?*",Data!C780,0)),0,1)+IF(COUNTIFS(Data!C$1:'Data'!C780,Data!C780)&gt;1,1,0)))</f>
        <v/>
      </c>
      <c r="D780" s="9" t="str">
        <f>IF(Data!B780="","",IF(ISNUMBER(Data!D780),IF(AND(Data!D780&gt;999999999,Data!D780&lt;=9999999999),IF(COUNTIFS(Data!D$1:'Data'!D780,Data!D780)&lt;=1,0,1),1),1))</f>
        <v/>
      </c>
      <c r="E780" s="9" t="str">
        <f>IF(Data!B780="","",IF(ISNUMBER(MATCH(Data!E780,Data_Val!$A$2:$A$3,0)),0,1))</f>
        <v/>
      </c>
      <c r="F780" s="9" t="str">
        <f ca="1">IF(Data!B780="","",IF(ISNUMBER(Data!F780),IF(AND(Data!F780&gt;(TODAY()-(Data_Val!$H$3*365.25)),Data!F780&lt;=(TODAY()-(Data_Val!$H$2*365.25))),0,1),1))</f>
        <v/>
      </c>
      <c r="G780" s="15" t="str">
        <f>IF(Data!B780="","",IF(AND(Data!G780="",Data!H780&lt;&gt;""),1,IF(Data!#REF!&lt;&gt;"",0,IF(ISNUMBER(MATCH(Data!G780,Data_Val!$C$2:$C$5,0)),0,1))))</f>
        <v/>
      </c>
      <c r="H780" s="15" t="str">
        <f>IF(Data!B780="","",IF(AND(Data!G780&lt;&gt;"",Data!H780=""),1,IF(Data!#REF!&lt;&gt;"",0,IF(Data!G780="",1,IF(ISNUMBER(MATCH(Data!H780,Data_Val!$D$2:$D$35,0)),0,1)))))</f>
        <v/>
      </c>
      <c r="I780" s="15" t="str">
        <f>IF(Data!B780="","",IF(Data!G780&lt;&gt;"",0,IF(ISNUMBER(MATCH(Data!#REF!,Data_Val!$E$2:$E$12,0)),0,1)))</f>
        <v/>
      </c>
      <c r="J780" s="16" t="e">
        <f>IF(OR(Data!B780="",Data!#REF!=""),"",IF(Data!#REF!="",1,0))</f>
        <v>#REF!</v>
      </c>
      <c r="K780" s="16" t="e">
        <f>IF(OR(Data!B780="",Data!#REF!=""),"",IF(Data!#REF!="",1,0))</f>
        <v>#REF!</v>
      </c>
      <c r="L780" s="16" t="e">
        <f>IF(OR(Data!B780="",Data!#REF!=""),"",IF(ISNUMBER(Data!#REF!),IF(AND(Data!#REF!&gt;Data_Val!$G$2,Data!#REF!&lt;=Data_Val!$G$3),0,1),1))</f>
        <v>#REF!</v>
      </c>
      <c r="M780" s="9" t="e">
        <f>IF(OR(Data!B780="",Data!#REF!=""),"",IF(ISNUMBER(MATCH(Data!#REF!,Data_Val!$F$1:$F$38,0)),0,1))</f>
        <v>#REF!</v>
      </c>
      <c r="N780" s="9" t="e">
        <f>IF(OR(Data!B780="",Data!#REF!=""),"",IF(Data!#REF!="",1,0))</f>
        <v>#REF!</v>
      </c>
      <c r="O780" s="17" t="e">
        <f>IF(Data!#REF!="","",IF(Data!#REF!="",1,0))</f>
        <v>#REF!</v>
      </c>
      <c r="P780" s="17" t="e">
        <f>IF(Data!#REF!="","",IF(ISNUMBER(MATCH(Data!#REF!,Data_Val!$A$2:$A$3,0)),0,1))</f>
        <v>#REF!</v>
      </c>
      <c r="Q780" s="25" t="e">
        <f ca="1">IF(Data!#REF!="","",IF(ISNUMBER(Data!#REF!),IF(AND(Data!#REF!&gt;(TODAY()-(Data_Val!$J$3*365.25)),Data!#REF!&lt;=(TODAY()-(Data_Val!$J$2*365.25))),0,1),1))</f>
        <v>#REF!</v>
      </c>
      <c r="R780" s="17" t="e">
        <f>IF(Data!#REF!="","",IF(ISNUMBER(MATCH(Data!#REF!,Data_Val!$B$2:$B$15,0)),0,1))</f>
        <v>#REF!</v>
      </c>
      <c r="S780" s="11" t="str">
        <f>IF(Data!G780="","",IF(Data!G780=Data_Val!$C$2,IF(Data!M780="",0,1),0))</f>
        <v/>
      </c>
      <c r="T780" s="11" t="str">
        <f>IF(Data!M780="","",IF(ISNUMBER(MATCH(Data!N780,Data_Val!$A$2:$A$3,0)),0,1))</f>
        <v/>
      </c>
      <c r="U780" s="11" t="str">
        <f ca="1">IF(Data!M780="","",IF(ISNUMBER(Data!O780),IF(AND(Data!O780&gt;(TODAY()-(Data_Val!$K$3*365.25)),Data!O780&lt;=(TODAY()-(Data_Val!$K$2*365.25))),0,1),1))</f>
        <v/>
      </c>
      <c r="V780" s="12" t="str">
        <f>IF(Data!G780="","",IF(Data!G780=Data_Val!$C$2,IF(Data!P780="",0,1),0))</f>
        <v/>
      </c>
      <c r="W780" s="12" t="str">
        <f>IF(Data!P780="","",IF(ISNUMBER(MATCH(Data!Q780,Data_Val!$A$2:$A$3,0)),0,1))</f>
        <v/>
      </c>
      <c r="X780" s="26" t="str">
        <f ca="1">IF(Data!P780="","",IF(ISNUMBER(Data!R780),IF(AND(Data!R780&gt;(TODAY()-(Data_Val!$L$3*365.25)),Data!R780&lt;=(TODAY()-(Data_Val!$L$2*365.25))),0,1),1))</f>
        <v/>
      </c>
      <c r="Y780" s="13" t="str">
        <f>IF(Data!$G780="","",IF(Data!$G780=Data_Val!$C$2,IF(Data!S780="",0,1),0))</f>
        <v/>
      </c>
      <c r="Z780" s="13" t="str">
        <f>IF(Data!S780="","",IF(ISNUMBER(MATCH(Data!T780,Data_Val!$A$2:$A$3,0)),0,1))</f>
        <v/>
      </c>
      <c r="AA780" s="28" t="str">
        <f ca="1">IF(Data!S780="","",IF(ISNUMBER(Data!U780),IF(AND(Data!U780&gt;(TODAY()-(Data_Val!$L$3*365.25)),Data!U780&lt;=(TODAY()-(Data_Val!$L$2*365.25))),0,1),1))</f>
        <v/>
      </c>
      <c r="AB780" s="11"/>
      <c r="AC780" s="11" t="e">
        <f>IF(Data!#REF!="","",IF(ISNUMBER(MATCH(Data!#REF!,Data_Val!$A$2:$A$3,0)),0,1))</f>
        <v>#REF!</v>
      </c>
      <c r="AD780" s="11" t="e">
        <f ca="1">IF(Data!#REF!="","",IF(ISNUMBER(Data!#REF!),IF(AND(Data!#REF!&gt;(TODAY()-(Data_Val!$L$3*365.25)),Data!#REF!&lt;=(TODAY()-(Data_Val!$L$2*365.25))),0,1),1))</f>
        <v>#REF!</v>
      </c>
      <c r="AE780" s="11" t="e">
        <f>IF(Data!#REF!="","",IF(Data!$G780="",1,IF(ISNUMBER(MATCH(Data!#REF!,Data_Val!$D$2:$D$10,0)),0,1)))</f>
        <v>#REF!</v>
      </c>
      <c r="AF780" s="12"/>
      <c r="AG780" s="12" t="e">
        <f>IF(Data!#REF!="","",IF(ISNUMBER(MATCH(Data!#REF!,Data_Val!$A$2:$A$3,0)),0,1))</f>
        <v>#REF!</v>
      </c>
      <c r="AH780" s="26" t="e">
        <f ca="1">IF(Data!#REF!="","",IF(ISNUMBER(Data!#REF!),IF(AND(Data!#REF!&gt;(TODAY()-(Data_Val!$L$3*365.25)),Data!#REF!&lt;=(TODAY()-(Data_Val!$L$2*365.25))),0,1),1))</f>
        <v>#REF!</v>
      </c>
      <c r="AI780" s="12" t="e">
        <f>IF(Data!#REF!="","",IF(Data!$G780="",1,IF(ISNUMBER(MATCH(Data!#REF!,Data_Val!$D$2:$D$10,0)),0,1)))</f>
        <v>#REF!</v>
      </c>
      <c r="AJ780" s="17"/>
      <c r="AK780" s="17" t="e">
        <f>IF(Data!#REF!="","",IF(ISNUMBER(MATCH(Data!#REF!,Data_Val!$A$2:$A$3,0)),0,1))</f>
        <v>#REF!</v>
      </c>
      <c r="AL780" s="25" t="e">
        <f ca="1">IF(Data!#REF!="","",IF(ISNUMBER(Data!#REF!),IF(AND(Data!#REF!&gt;(TODAY()-(Data_Val!$L$3*365.25)),Data!#REF!&lt;=(TODAY()-(Data_Val!$L$2*365.25))),0,1),1))</f>
        <v>#REF!</v>
      </c>
      <c r="AM780" s="17" t="e">
        <f>IF(Data!#REF!="","",IF(Data!$G780="",1,IF(ISNUMBER(MATCH(Data!#REF!,Data_Val!$D$2:$D$10,0)),0,1)))</f>
        <v>#REF!</v>
      </c>
      <c r="AN780" s="13"/>
      <c r="AO780" s="28" t="e">
        <f ca="1">IF(Data!#REF!="","",IF(ISNUMBER(Data!#REF!),IF(AND(Data!#REF!&gt;(TODAY()-(Data_Val!$I$3*365.25)),Data!#REF!&lt;=(TODAY()-(Data_Val!$I$2*365.25))),0,1),1))</f>
        <v>#REF!</v>
      </c>
      <c r="AP780" s="13" t="e">
        <f>IF(Data!#REF!="","",IF(Data!$G780="",1,IF(ISNUMBER(MATCH(Data!#REF!,Data_Val!$D$2:$D$10,0)),0,1)))</f>
        <v>#REF!</v>
      </c>
      <c r="AQ780" s="17"/>
      <c r="AR780" s="30" t="e">
        <f ca="1">IF(Data!#REF!="","",IF(ISNUMBER(Data!#REF!),IF(AND(Data!#REF!&gt;(TODAY()-(Data_Val!$I$3*365.25)),Data!#REF!&lt;=(TODAY()-(Data_Val!$I$2*365.25))),0,1),1))</f>
        <v>#REF!</v>
      </c>
      <c r="AS780" s="31" t="e">
        <f>IF(Data!#REF!="","",IF(Data!$G780="",1,IF(ISNUMBER(MATCH(Data!#REF!,Data_Val!$D$2:$D$10,0)),0,1)))</f>
        <v>#REF!</v>
      </c>
      <c r="AT780" s="11"/>
      <c r="AU780" s="11" t="e">
        <f ca="1">IF(Data!#REF!="","",IF(ISNUMBER(Data!#REF!),IF(AND(Data!#REF!&gt;(TODAY()-(Data_Val!$I$3*365.25)),Data!#REF!&lt;=(TODAY()-(Data_Val!$I$2*365.25))),0,1),1))</f>
        <v>#REF!</v>
      </c>
      <c r="AV780" s="11" t="e">
        <f>IF(Data!#REF!="","",IF(Data!$G780="",1,IF(ISNUMBER(MATCH(Data!#REF!,Data_Val!$D$2:$D$10,0)),0,1)))</f>
        <v>#REF!</v>
      </c>
      <c r="AW780" s="12"/>
      <c r="AX780" s="26" t="e">
        <f ca="1">IF(Data!#REF!="","",IF(ISNUMBER(Data!#REF!),IF(AND(Data!#REF!&gt;(TODAY()-(Data_Val!$I$3*365.25)),Data!#REF!&lt;=(TODAY()-(Data_Val!$I$2*365.25))),0,1),1))</f>
        <v>#REF!</v>
      </c>
      <c r="AY780" s="12" t="e">
        <f>IF(Data!#REF!="","",IF(Data!$G780="",1,IF(ISNUMBER(MATCH(Data!#REF!,Data_Val!$D$2:$D$10,0)),0,1)))</f>
        <v>#REF!</v>
      </c>
      <c r="AZ780" s="11"/>
      <c r="BA780" s="19" t="e">
        <f ca="1">IF(Data!#REF!="","",IF(ISNUMBER(Data!#REF!),IF(AND(Data!#REF!&gt;(TODAY()-(Data_Val!$M$3*365.25)),Data!#REF!&lt;=(TODAY()-(Data_Val!$M$2*365.25))),0,1),1))</f>
        <v>#REF!</v>
      </c>
      <c r="BB780" s="11" t="e">
        <f>IF(Data!#REF!="","",IF(Data!$G780="",1,IF(ISNUMBER(MATCH(Data!#REF!,Data_Val!$D$2:$D$10,0)),0,1)))</f>
        <v>#REF!</v>
      </c>
      <c r="BC780" s="12"/>
      <c r="BD780" s="20" t="e">
        <f ca="1">IF(Data!#REF!="","",IF(ISNUMBER(Data!#REF!),IF(AND(Data!#REF!&gt;(TODAY()-(Data_Val!$M$3*365.25)),Data!#REF!&lt;=(TODAY()-(Data_Val!$M$2*365.25))),0,1),1))</f>
        <v>#REF!</v>
      </c>
      <c r="BE780" s="12" t="e">
        <f>IF(Data!#REF!="","",IF(Data!$G780="",1,IF(ISNUMBER(MATCH(Data!#REF!,Data_Val!$D$2:$D$10,0)),0,1)))</f>
        <v>#REF!</v>
      </c>
      <c r="BF780" s="17"/>
      <c r="BG780" s="18" t="e">
        <f ca="1">IF(Data!#REF!="","",IF(ISNUMBER(Data!#REF!),IF(AND(Data!#REF!&gt;(TODAY()-(Data_Val!$M$3*365.25)),Data!#REF!&lt;=(TODAY()-(Data_Val!$M$2*365.25))),0,1),1))</f>
        <v>#REF!</v>
      </c>
      <c r="BH780" s="29" t="e">
        <f>IF(Data!#REF!="","",IF(Data!$G780="",1,IF(ISNUMBER(MATCH(Data!#REF!,Data_Val!$D$2:$D$10,0)),0,1)))</f>
        <v>#REF!</v>
      </c>
      <c r="BI780" s="13"/>
      <c r="BJ780" s="21" t="e">
        <f ca="1">IF(Data!#REF!="","",IF(ISNUMBER(Data!#REF!),IF(AND(Data!#REF!&gt;(TODAY()-(Data_Val!$M$3*365.25)),Data!#REF!&lt;=(TODAY()-(Data_Val!$M$2*365.25))),0,1),1))</f>
        <v>#REF!</v>
      </c>
      <c r="BK780" s="13" t="e">
        <f>IF(Data!#REF!="","",IF(Data!$G780="",1,IF(ISNUMBER(MATCH(Data!#REF!,Data_Val!$D$2:$D$10,0)),0,1)))</f>
        <v>#REF!</v>
      </c>
    </row>
    <row r="781" spans="1:63" x14ac:dyDescent="0.25">
      <c r="A781" s="9" t="str">
        <f>IF(Data!B781="","",IF(COUNTIFS(Data!A$1:'Data'!A781,Data!A781)&lt;=1,0,1))</f>
        <v/>
      </c>
      <c r="B781" s="9"/>
      <c r="C781" s="23" t="str">
        <f>IF(Data!C781="","",(IF(ISNUMBER(MATCH("*@*.?*",Data!C781,0)),0,1)+IF(COUNTIFS(Data!C$1:'Data'!C781,Data!C781)&gt;1,1,0)))</f>
        <v/>
      </c>
      <c r="D781" s="9" t="str">
        <f>IF(Data!B781="","",IF(ISNUMBER(Data!D781),IF(AND(Data!D781&gt;999999999,Data!D781&lt;=9999999999),IF(COUNTIFS(Data!D$1:'Data'!D781,Data!D781)&lt;=1,0,1),1),1))</f>
        <v/>
      </c>
      <c r="E781" s="9" t="str">
        <f>IF(Data!B781="","",IF(ISNUMBER(MATCH(Data!E781,Data_Val!$A$2:$A$3,0)),0,1))</f>
        <v/>
      </c>
      <c r="F781" s="9" t="str">
        <f ca="1">IF(Data!B781="","",IF(ISNUMBER(Data!F781),IF(AND(Data!F781&gt;(TODAY()-(Data_Val!$H$3*365.25)),Data!F781&lt;=(TODAY()-(Data_Val!$H$2*365.25))),0,1),1))</f>
        <v/>
      </c>
      <c r="G781" s="15" t="str">
        <f>IF(Data!B781="","",IF(AND(Data!G781="",Data!H781&lt;&gt;""),1,IF(Data!#REF!&lt;&gt;"",0,IF(ISNUMBER(MATCH(Data!G781,Data_Val!$C$2:$C$5,0)),0,1))))</f>
        <v/>
      </c>
      <c r="H781" s="15" t="str">
        <f>IF(Data!B781="","",IF(AND(Data!G781&lt;&gt;"",Data!H781=""),1,IF(Data!#REF!&lt;&gt;"",0,IF(Data!G781="",1,IF(ISNUMBER(MATCH(Data!H781,Data_Val!$D$2:$D$35,0)),0,1)))))</f>
        <v/>
      </c>
      <c r="I781" s="15" t="str">
        <f>IF(Data!B781="","",IF(Data!G781&lt;&gt;"",0,IF(ISNUMBER(MATCH(Data!#REF!,Data_Val!$E$2:$E$12,0)),0,1)))</f>
        <v/>
      </c>
      <c r="J781" s="16" t="e">
        <f>IF(OR(Data!B781="",Data!#REF!=""),"",IF(Data!#REF!="",1,0))</f>
        <v>#REF!</v>
      </c>
      <c r="K781" s="16" t="e">
        <f>IF(OR(Data!B781="",Data!#REF!=""),"",IF(Data!#REF!="",1,0))</f>
        <v>#REF!</v>
      </c>
      <c r="L781" s="16" t="e">
        <f>IF(OR(Data!B781="",Data!#REF!=""),"",IF(ISNUMBER(Data!#REF!),IF(AND(Data!#REF!&gt;Data_Val!$G$2,Data!#REF!&lt;=Data_Val!$G$3),0,1),1))</f>
        <v>#REF!</v>
      </c>
      <c r="M781" s="9" t="e">
        <f>IF(OR(Data!B781="",Data!#REF!=""),"",IF(ISNUMBER(MATCH(Data!#REF!,Data_Val!$F$1:$F$38,0)),0,1))</f>
        <v>#REF!</v>
      </c>
      <c r="N781" s="9" t="e">
        <f>IF(OR(Data!B781="",Data!#REF!=""),"",IF(Data!#REF!="",1,0))</f>
        <v>#REF!</v>
      </c>
      <c r="O781" s="17" t="e">
        <f>IF(Data!#REF!="","",IF(Data!#REF!="",1,0))</f>
        <v>#REF!</v>
      </c>
      <c r="P781" s="17" t="e">
        <f>IF(Data!#REF!="","",IF(ISNUMBER(MATCH(Data!#REF!,Data_Val!$A$2:$A$3,0)),0,1))</f>
        <v>#REF!</v>
      </c>
      <c r="Q781" s="25" t="e">
        <f ca="1">IF(Data!#REF!="","",IF(ISNUMBER(Data!#REF!),IF(AND(Data!#REF!&gt;(TODAY()-(Data_Val!$J$3*365.25)),Data!#REF!&lt;=(TODAY()-(Data_Val!$J$2*365.25))),0,1),1))</f>
        <v>#REF!</v>
      </c>
      <c r="R781" s="17" t="e">
        <f>IF(Data!#REF!="","",IF(ISNUMBER(MATCH(Data!#REF!,Data_Val!$B$2:$B$15,0)),0,1))</f>
        <v>#REF!</v>
      </c>
      <c r="S781" s="11" t="str">
        <f>IF(Data!G781="","",IF(Data!G781=Data_Val!$C$2,IF(Data!M781="",0,1),0))</f>
        <v/>
      </c>
      <c r="T781" s="11" t="str">
        <f>IF(Data!M781="","",IF(ISNUMBER(MATCH(Data!N781,Data_Val!$A$2:$A$3,0)),0,1))</f>
        <v/>
      </c>
      <c r="U781" s="11" t="str">
        <f ca="1">IF(Data!M781="","",IF(ISNUMBER(Data!O781),IF(AND(Data!O781&gt;(TODAY()-(Data_Val!$K$3*365.25)),Data!O781&lt;=(TODAY()-(Data_Val!$K$2*365.25))),0,1),1))</f>
        <v/>
      </c>
      <c r="V781" s="12" t="str">
        <f>IF(Data!G781="","",IF(Data!G781=Data_Val!$C$2,IF(Data!P781="",0,1),0))</f>
        <v/>
      </c>
      <c r="W781" s="12" t="str">
        <f>IF(Data!P781="","",IF(ISNUMBER(MATCH(Data!Q781,Data_Val!$A$2:$A$3,0)),0,1))</f>
        <v/>
      </c>
      <c r="X781" s="26" t="str">
        <f ca="1">IF(Data!P781="","",IF(ISNUMBER(Data!R781),IF(AND(Data!R781&gt;(TODAY()-(Data_Val!$L$3*365.25)),Data!R781&lt;=(TODAY()-(Data_Val!$L$2*365.25))),0,1),1))</f>
        <v/>
      </c>
      <c r="Y781" s="13" t="str">
        <f>IF(Data!$G781="","",IF(Data!$G781=Data_Val!$C$2,IF(Data!S781="",0,1),0))</f>
        <v/>
      </c>
      <c r="Z781" s="13" t="str">
        <f>IF(Data!S781="","",IF(ISNUMBER(MATCH(Data!T781,Data_Val!$A$2:$A$3,0)),0,1))</f>
        <v/>
      </c>
      <c r="AA781" s="28" t="str">
        <f ca="1">IF(Data!S781="","",IF(ISNUMBER(Data!U781),IF(AND(Data!U781&gt;(TODAY()-(Data_Val!$L$3*365.25)),Data!U781&lt;=(TODAY()-(Data_Val!$L$2*365.25))),0,1),1))</f>
        <v/>
      </c>
      <c r="AB781" s="11"/>
      <c r="AC781" s="11" t="e">
        <f>IF(Data!#REF!="","",IF(ISNUMBER(MATCH(Data!#REF!,Data_Val!$A$2:$A$3,0)),0,1))</f>
        <v>#REF!</v>
      </c>
      <c r="AD781" s="11" t="e">
        <f ca="1">IF(Data!#REF!="","",IF(ISNUMBER(Data!#REF!),IF(AND(Data!#REF!&gt;(TODAY()-(Data_Val!$L$3*365.25)),Data!#REF!&lt;=(TODAY()-(Data_Val!$L$2*365.25))),0,1),1))</f>
        <v>#REF!</v>
      </c>
      <c r="AE781" s="11" t="e">
        <f>IF(Data!#REF!="","",IF(Data!$G781="",1,IF(ISNUMBER(MATCH(Data!#REF!,Data_Val!$D$2:$D$10,0)),0,1)))</f>
        <v>#REF!</v>
      </c>
      <c r="AF781" s="12"/>
      <c r="AG781" s="12" t="e">
        <f>IF(Data!#REF!="","",IF(ISNUMBER(MATCH(Data!#REF!,Data_Val!$A$2:$A$3,0)),0,1))</f>
        <v>#REF!</v>
      </c>
      <c r="AH781" s="26" t="e">
        <f ca="1">IF(Data!#REF!="","",IF(ISNUMBER(Data!#REF!),IF(AND(Data!#REF!&gt;(TODAY()-(Data_Val!$L$3*365.25)),Data!#REF!&lt;=(TODAY()-(Data_Val!$L$2*365.25))),0,1),1))</f>
        <v>#REF!</v>
      </c>
      <c r="AI781" s="12" t="e">
        <f>IF(Data!#REF!="","",IF(Data!$G781="",1,IF(ISNUMBER(MATCH(Data!#REF!,Data_Val!$D$2:$D$10,0)),0,1)))</f>
        <v>#REF!</v>
      </c>
      <c r="AJ781" s="17"/>
      <c r="AK781" s="17" t="e">
        <f>IF(Data!#REF!="","",IF(ISNUMBER(MATCH(Data!#REF!,Data_Val!$A$2:$A$3,0)),0,1))</f>
        <v>#REF!</v>
      </c>
      <c r="AL781" s="25" t="e">
        <f ca="1">IF(Data!#REF!="","",IF(ISNUMBER(Data!#REF!),IF(AND(Data!#REF!&gt;(TODAY()-(Data_Val!$L$3*365.25)),Data!#REF!&lt;=(TODAY()-(Data_Val!$L$2*365.25))),0,1),1))</f>
        <v>#REF!</v>
      </c>
      <c r="AM781" s="17" t="e">
        <f>IF(Data!#REF!="","",IF(Data!$G781="",1,IF(ISNUMBER(MATCH(Data!#REF!,Data_Val!$D$2:$D$10,0)),0,1)))</f>
        <v>#REF!</v>
      </c>
      <c r="AN781" s="13"/>
      <c r="AO781" s="28" t="e">
        <f ca="1">IF(Data!#REF!="","",IF(ISNUMBER(Data!#REF!),IF(AND(Data!#REF!&gt;(TODAY()-(Data_Val!$I$3*365.25)),Data!#REF!&lt;=(TODAY()-(Data_Val!$I$2*365.25))),0,1),1))</f>
        <v>#REF!</v>
      </c>
      <c r="AP781" s="13" t="e">
        <f>IF(Data!#REF!="","",IF(Data!$G781="",1,IF(ISNUMBER(MATCH(Data!#REF!,Data_Val!$D$2:$D$10,0)),0,1)))</f>
        <v>#REF!</v>
      </c>
      <c r="AQ781" s="17"/>
      <c r="AR781" s="30" t="e">
        <f ca="1">IF(Data!#REF!="","",IF(ISNUMBER(Data!#REF!),IF(AND(Data!#REF!&gt;(TODAY()-(Data_Val!$I$3*365.25)),Data!#REF!&lt;=(TODAY()-(Data_Val!$I$2*365.25))),0,1),1))</f>
        <v>#REF!</v>
      </c>
      <c r="AS781" s="31" t="e">
        <f>IF(Data!#REF!="","",IF(Data!$G781="",1,IF(ISNUMBER(MATCH(Data!#REF!,Data_Val!$D$2:$D$10,0)),0,1)))</f>
        <v>#REF!</v>
      </c>
      <c r="AT781" s="11"/>
      <c r="AU781" s="11" t="e">
        <f ca="1">IF(Data!#REF!="","",IF(ISNUMBER(Data!#REF!),IF(AND(Data!#REF!&gt;(TODAY()-(Data_Val!$I$3*365.25)),Data!#REF!&lt;=(TODAY()-(Data_Val!$I$2*365.25))),0,1),1))</f>
        <v>#REF!</v>
      </c>
      <c r="AV781" s="11" t="e">
        <f>IF(Data!#REF!="","",IF(Data!$G781="",1,IF(ISNUMBER(MATCH(Data!#REF!,Data_Val!$D$2:$D$10,0)),0,1)))</f>
        <v>#REF!</v>
      </c>
      <c r="AW781" s="12"/>
      <c r="AX781" s="26" t="e">
        <f ca="1">IF(Data!#REF!="","",IF(ISNUMBER(Data!#REF!),IF(AND(Data!#REF!&gt;(TODAY()-(Data_Val!$I$3*365.25)),Data!#REF!&lt;=(TODAY()-(Data_Val!$I$2*365.25))),0,1),1))</f>
        <v>#REF!</v>
      </c>
      <c r="AY781" s="12" t="e">
        <f>IF(Data!#REF!="","",IF(Data!$G781="",1,IF(ISNUMBER(MATCH(Data!#REF!,Data_Val!$D$2:$D$10,0)),0,1)))</f>
        <v>#REF!</v>
      </c>
      <c r="AZ781" s="11"/>
      <c r="BA781" s="19" t="e">
        <f ca="1">IF(Data!#REF!="","",IF(ISNUMBER(Data!#REF!),IF(AND(Data!#REF!&gt;(TODAY()-(Data_Val!$M$3*365.25)),Data!#REF!&lt;=(TODAY()-(Data_Val!$M$2*365.25))),0,1),1))</f>
        <v>#REF!</v>
      </c>
      <c r="BB781" s="11" t="e">
        <f>IF(Data!#REF!="","",IF(Data!$G781="",1,IF(ISNUMBER(MATCH(Data!#REF!,Data_Val!$D$2:$D$10,0)),0,1)))</f>
        <v>#REF!</v>
      </c>
      <c r="BC781" s="12"/>
      <c r="BD781" s="20" t="e">
        <f ca="1">IF(Data!#REF!="","",IF(ISNUMBER(Data!#REF!),IF(AND(Data!#REF!&gt;(TODAY()-(Data_Val!$M$3*365.25)),Data!#REF!&lt;=(TODAY()-(Data_Val!$M$2*365.25))),0,1),1))</f>
        <v>#REF!</v>
      </c>
      <c r="BE781" s="12" t="e">
        <f>IF(Data!#REF!="","",IF(Data!$G781="",1,IF(ISNUMBER(MATCH(Data!#REF!,Data_Val!$D$2:$D$10,0)),0,1)))</f>
        <v>#REF!</v>
      </c>
      <c r="BF781" s="17"/>
      <c r="BG781" s="18" t="e">
        <f ca="1">IF(Data!#REF!="","",IF(ISNUMBER(Data!#REF!),IF(AND(Data!#REF!&gt;(TODAY()-(Data_Val!$M$3*365.25)),Data!#REF!&lt;=(TODAY()-(Data_Val!$M$2*365.25))),0,1),1))</f>
        <v>#REF!</v>
      </c>
      <c r="BH781" s="29" t="e">
        <f>IF(Data!#REF!="","",IF(Data!$G781="",1,IF(ISNUMBER(MATCH(Data!#REF!,Data_Val!$D$2:$D$10,0)),0,1)))</f>
        <v>#REF!</v>
      </c>
      <c r="BI781" s="13"/>
      <c r="BJ781" s="21" t="e">
        <f ca="1">IF(Data!#REF!="","",IF(ISNUMBER(Data!#REF!),IF(AND(Data!#REF!&gt;(TODAY()-(Data_Val!$M$3*365.25)),Data!#REF!&lt;=(TODAY()-(Data_Val!$M$2*365.25))),0,1),1))</f>
        <v>#REF!</v>
      </c>
      <c r="BK781" s="13" t="e">
        <f>IF(Data!#REF!="","",IF(Data!$G781="",1,IF(ISNUMBER(MATCH(Data!#REF!,Data_Val!$D$2:$D$10,0)),0,1)))</f>
        <v>#REF!</v>
      </c>
    </row>
    <row r="782" spans="1:63" x14ac:dyDescent="0.25">
      <c r="A782" s="9" t="str">
        <f>IF(Data!B782="","",IF(COUNTIFS(Data!A$1:'Data'!A782,Data!A782)&lt;=1,0,1))</f>
        <v/>
      </c>
      <c r="B782" s="9"/>
      <c r="C782" s="23" t="str">
        <f>IF(Data!C782="","",(IF(ISNUMBER(MATCH("*@*.?*",Data!C782,0)),0,1)+IF(COUNTIFS(Data!C$1:'Data'!C782,Data!C782)&gt;1,1,0)))</f>
        <v/>
      </c>
      <c r="D782" s="9" t="str">
        <f>IF(Data!B782="","",IF(ISNUMBER(Data!D782),IF(AND(Data!D782&gt;999999999,Data!D782&lt;=9999999999),IF(COUNTIFS(Data!D$1:'Data'!D782,Data!D782)&lt;=1,0,1),1),1))</f>
        <v/>
      </c>
      <c r="E782" s="9" t="str">
        <f>IF(Data!B782="","",IF(ISNUMBER(MATCH(Data!E782,Data_Val!$A$2:$A$3,0)),0,1))</f>
        <v/>
      </c>
      <c r="F782" s="9" t="str">
        <f ca="1">IF(Data!B782="","",IF(ISNUMBER(Data!F782),IF(AND(Data!F782&gt;(TODAY()-(Data_Val!$H$3*365.25)),Data!F782&lt;=(TODAY()-(Data_Val!$H$2*365.25))),0,1),1))</f>
        <v/>
      </c>
      <c r="G782" s="15" t="str">
        <f>IF(Data!B782="","",IF(AND(Data!G782="",Data!H782&lt;&gt;""),1,IF(Data!#REF!&lt;&gt;"",0,IF(ISNUMBER(MATCH(Data!G782,Data_Val!$C$2:$C$5,0)),0,1))))</f>
        <v/>
      </c>
      <c r="H782" s="15" t="str">
        <f>IF(Data!B782="","",IF(AND(Data!G782&lt;&gt;"",Data!H782=""),1,IF(Data!#REF!&lt;&gt;"",0,IF(Data!G782="",1,IF(ISNUMBER(MATCH(Data!H782,Data_Val!$D$2:$D$35,0)),0,1)))))</f>
        <v/>
      </c>
      <c r="I782" s="15" t="str">
        <f>IF(Data!B782="","",IF(Data!G782&lt;&gt;"",0,IF(ISNUMBER(MATCH(Data!#REF!,Data_Val!$E$2:$E$12,0)),0,1)))</f>
        <v/>
      </c>
      <c r="J782" s="16" t="e">
        <f>IF(OR(Data!B782="",Data!#REF!=""),"",IF(Data!#REF!="",1,0))</f>
        <v>#REF!</v>
      </c>
      <c r="K782" s="16" t="e">
        <f>IF(OR(Data!B782="",Data!#REF!=""),"",IF(Data!#REF!="",1,0))</f>
        <v>#REF!</v>
      </c>
      <c r="L782" s="16" t="e">
        <f>IF(OR(Data!B782="",Data!#REF!=""),"",IF(ISNUMBER(Data!#REF!),IF(AND(Data!#REF!&gt;Data_Val!$G$2,Data!#REF!&lt;=Data_Val!$G$3),0,1),1))</f>
        <v>#REF!</v>
      </c>
      <c r="M782" s="9" t="e">
        <f>IF(OR(Data!B782="",Data!#REF!=""),"",IF(ISNUMBER(MATCH(Data!#REF!,Data_Val!$F$1:$F$38,0)),0,1))</f>
        <v>#REF!</v>
      </c>
      <c r="N782" s="9" t="e">
        <f>IF(OR(Data!B782="",Data!#REF!=""),"",IF(Data!#REF!="",1,0))</f>
        <v>#REF!</v>
      </c>
      <c r="O782" s="17" t="e">
        <f>IF(Data!#REF!="","",IF(Data!#REF!="",1,0))</f>
        <v>#REF!</v>
      </c>
      <c r="P782" s="17" t="e">
        <f>IF(Data!#REF!="","",IF(ISNUMBER(MATCH(Data!#REF!,Data_Val!$A$2:$A$3,0)),0,1))</f>
        <v>#REF!</v>
      </c>
      <c r="Q782" s="25" t="e">
        <f ca="1">IF(Data!#REF!="","",IF(ISNUMBER(Data!#REF!),IF(AND(Data!#REF!&gt;(TODAY()-(Data_Val!$J$3*365.25)),Data!#REF!&lt;=(TODAY()-(Data_Val!$J$2*365.25))),0,1),1))</f>
        <v>#REF!</v>
      </c>
      <c r="R782" s="17" t="e">
        <f>IF(Data!#REF!="","",IF(ISNUMBER(MATCH(Data!#REF!,Data_Val!$B$2:$B$15,0)),0,1))</f>
        <v>#REF!</v>
      </c>
      <c r="S782" s="11" t="str">
        <f>IF(Data!G782="","",IF(Data!G782=Data_Val!$C$2,IF(Data!M782="",0,1),0))</f>
        <v/>
      </c>
      <c r="T782" s="11" t="str">
        <f>IF(Data!M782="","",IF(ISNUMBER(MATCH(Data!N782,Data_Val!$A$2:$A$3,0)),0,1))</f>
        <v/>
      </c>
      <c r="U782" s="11" t="str">
        <f ca="1">IF(Data!M782="","",IF(ISNUMBER(Data!O782),IF(AND(Data!O782&gt;(TODAY()-(Data_Val!$K$3*365.25)),Data!O782&lt;=(TODAY()-(Data_Val!$K$2*365.25))),0,1),1))</f>
        <v/>
      </c>
      <c r="V782" s="12" t="str">
        <f>IF(Data!G782="","",IF(Data!G782=Data_Val!$C$2,IF(Data!P782="",0,1),0))</f>
        <v/>
      </c>
      <c r="W782" s="12" t="str">
        <f>IF(Data!P782="","",IF(ISNUMBER(MATCH(Data!Q782,Data_Val!$A$2:$A$3,0)),0,1))</f>
        <v/>
      </c>
      <c r="X782" s="26" t="str">
        <f ca="1">IF(Data!P782="","",IF(ISNUMBER(Data!R782),IF(AND(Data!R782&gt;(TODAY()-(Data_Val!$L$3*365.25)),Data!R782&lt;=(TODAY()-(Data_Val!$L$2*365.25))),0,1),1))</f>
        <v/>
      </c>
      <c r="Y782" s="13" t="str">
        <f>IF(Data!$G782="","",IF(Data!$G782=Data_Val!$C$2,IF(Data!S782="",0,1),0))</f>
        <v/>
      </c>
      <c r="Z782" s="13" t="str">
        <f>IF(Data!S782="","",IF(ISNUMBER(MATCH(Data!T782,Data_Val!$A$2:$A$3,0)),0,1))</f>
        <v/>
      </c>
      <c r="AA782" s="28" t="str">
        <f ca="1">IF(Data!S782="","",IF(ISNUMBER(Data!U782),IF(AND(Data!U782&gt;(TODAY()-(Data_Val!$L$3*365.25)),Data!U782&lt;=(TODAY()-(Data_Val!$L$2*365.25))),0,1),1))</f>
        <v/>
      </c>
      <c r="AB782" s="11"/>
      <c r="AC782" s="11" t="e">
        <f>IF(Data!#REF!="","",IF(ISNUMBER(MATCH(Data!#REF!,Data_Val!$A$2:$A$3,0)),0,1))</f>
        <v>#REF!</v>
      </c>
      <c r="AD782" s="11" t="e">
        <f ca="1">IF(Data!#REF!="","",IF(ISNUMBER(Data!#REF!),IF(AND(Data!#REF!&gt;(TODAY()-(Data_Val!$L$3*365.25)),Data!#REF!&lt;=(TODAY()-(Data_Val!$L$2*365.25))),0,1),1))</f>
        <v>#REF!</v>
      </c>
      <c r="AE782" s="11" t="e">
        <f>IF(Data!#REF!="","",IF(Data!$G782="",1,IF(ISNUMBER(MATCH(Data!#REF!,Data_Val!$D$2:$D$10,0)),0,1)))</f>
        <v>#REF!</v>
      </c>
      <c r="AF782" s="12"/>
      <c r="AG782" s="12" t="e">
        <f>IF(Data!#REF!="","",IF(ISNUMBER(MATCH(Data!#REF!,Data_Val!$A$2:$A$3,0)),0,1))</f>
        <v>#REF!</v>
      </c>
      <c r="AH782" s="26" t="e">
        <f ca="1">IF(Data!#REF!="","",IF(ISNUMBER(Data!#REF!),IF(AND(Data!#REF!&gt;(TODAY()-(Data_Val!$L$3*365.25)),Data!#REF!&lt;=(TODAY()-(Data_Val!$L$2*365.25))),0,1),1))</f>
        <v>#REF!</v>
      </c>
      <c r="AI782" s="12" t="e">
        <f>IF(Data!#REF!="","",IF(Data!$G782="",1,IF(ISNUMBER(MATCH(Data!#REF!,Data_Val!$D$2:$D$10,0)),0,1)))</f>
        <v>#REF!</v>
      </c>
      <c r="AJ782" s="17"/>
      <c r="AK782" s="17" t="e">
        <f>IF(Data!#REF!="","",IF(ISNUMBER(MATCH(Data!#REF!,Data_Val!$A$2:$A$3,0)),0,1))</f>
        <v>#REF!</v>
      </c>
      <c r="AL782" s="25" t="e">
        <f ca="1">IF(Data!#REF!="","",IF(ISNUMBER(Data!#REF!),IF(AND(Data!#REF!&gt;(TODAY()-(Data_Val!$L$3*365.25)),Data!#REF!&lt;=(TODAY()-(Data_Val!$L$2*365.25))),0,1),1))</f>
        <v>#REF!</v>
      </c>
      <c r="AM782" s="17" t="e">
        <f>IF(Data!#REF!="","",IF(Data!$G782="",1,IF(ISNUMBER(MATCH(Data!#REF!,Data_Val!$D$2:$D$10,0)),0,1)))</f>
        <v>#REF!</v>
      </c>
      <c r="AN782" s="13"/>
      <c r="AO782" s="28" t="e">
        <f ca="1">IF(Data!#REF!="","",IF(ISNUMBER(Data!#REF!),IF(AND(Data!#REF!&gt;(TODAY()-(Data_Val!$I$3*365.25)),Data!#REF!&lt;=(TODAY()-(Data_Val!$I$2*365.25))),0,1),1))</f>
        <v>#REF!</v>
      </c>
      <c r="AP782" s="13" t="e">
        <f>IF(Data!#REF!="","",IF(Data!$G782="",1,IF(ISNUMBER(MATCH(Data!#REF!,Data_Val!$D$2:$D$10,0)),0,1)))</f>
        <v>#REF!</v>
      </c>
      <c r="AQ782" s="17"/>
      <c r="AR782" s="30" t="e">
        <f ca="1">IF(Data!#REF!="","",IF(ISNUMBER(Data!#REF!),IF(AND(Data!#REF!&gt;(TODAY()-(Data_Val!$I$3*365.25)),Data!#REF!&lt;=(TODAY()-(Data_Val!$I$2*365.25))),0,1),1))</f>
        <v>#REF!</v>
      </c>
      <c r="AS782" s="31" t="e">
        <f>IF(Data!#REF!="","",IF(Data!$G782="",1,IF(ISNUMBER(MATCH(Data!#REF!,Data_Val!$D$2:$D$10,0)),0,1)))</f>
        <v>#REF!</v>
      </c>
      <c r="AT782" s="11"/>
      <c r="AU782" s="11" t="e">
        <f ca="1">IF(Data!#REF!="","",IF(ISNUMBER(Data!#REF!),IF(AND(Data!#REF!&gt;(TODAY()-(Data_Val!$I$3*365.25)),Data!#REF!&lt;=(TODAY()-(Data_Val!$I$2*365.25))),0,1),1))</f>
        <v>#REF!</v>
      </c>
      <c r="AV782" s="11" t="e">
        <f>IF(Data!#REF!="","",IF(Data!$G782="",1,IF(ISNUMBER(MATCH(Data!#REF!,Data_Val!$D$2:$D$10,0)),0,1)))</f>
        <v>#REF!</v>
      </c>
      <c r="AW782" s="12"/>
      <c r="AX782" s="26" t="e">
        <f ca="1">IF(Data!#REF!="","",IF(ISNUMBER(Data!#REF!),IF(AND(Data!#REF!&gt;(TODAY()-(Data_Val!$I$3*365.25)),Data!#REF!&lt;=(TODAY()-(Data_Val!$I$2*365.25))),0,1),1))</f>
        <v>#REF!</v>
      </c>
      <c r="AY782" s="12" t="e">
        <f>IF(Data!#REF!="","",IF(Data!$G782="",1,IF(ISNUMBER(MATCH(Data!#REF!,Data_Val!$D$2:$D$10,0)),0,1)))</f>
        <v>#REF!</v>
      </c>
      <c r="AZ782" s="11"/>
      <c r="BA782" s="19" t="e">
        <f ca="1">IF(Data!#REF!="","",IF(ISNUMBER(Data!#REF!),IF(AND(Data!#REF!&gt;(TODAY()-(Data_Val!$M$3*365.25)),Data!#REF!&lt;=(TODAY()-(Data_Val!$M$2*365.25))),0,1),1))</f>
        <v>#REF!</v>
      </c>
      <c r="BB782" s="11" t="e">
        <f>IF(Data!#REF!="","",IF(Data!$G782="",1,IF(ISNUMBER(MATCH(Data!#REF!,Data_Val!$D$2:$D$10,0)),0,1)))</f>
        <v>#REF!</v>
      </c>
      <c r="BC782" s="12"/>
      <c r="BD782" s="20" t="e">
        <f ca="1">IF(Data!#REF!="","",IF(ISNUMBER(Data!#REF!),IF(AND(Data!#REF!&gt;(TODAY()-(Data_Val!$M$3*365.25)),Data!#REF!&lt;=(TODAY()-(Data_Val!$M$2*365.25))),0,1),1))</f>
        <v>#REF!</v>
      </c>
      <c r="BE782" s="12" t="e">
        <f>IF(Data!#REF!="","",IF(Data!$G782="",1,IF(ISNUMBER(MATCH(Data!#REF!,Data_Val!$D$2:$D$10,0)),0,1)))</f>
        <v>#REF!</v>
      </c>
      <c r="BF782" s="17"/>
      <c r="BG782" s="18" t="e">
        <f ca="1">IF(Data!#REF!="","",IF(ISNUMBER(Data!#REF!),IF(AND(Data!#REF!&gt;(TODAY()-(Data_Val!$M$3*365.25)),Data!#REF!&lt;=(TODAY()-(Data_Val!$M$2*365.25))),0,1),1))</f>
        <v>#REF!</v>
      </c>
      <c r="BH782" s="29" t="e">
        <f>IF(Data!#REF!="","",IF(Data!$G782="",1,IF(ISNUMBER(MATCH(Data!#REF!,Data_Val!$D$2:$D$10,0)),0,1)))</f>
        <v>#REF!</v>
      </c>
      <c r="BI782" s="13"/>
      <c r="BJ782" s="21" t="e">
        <f ca="1">IF(Data!#REF!="","",IF(ISNUMBER(Data!#REF!),IF(AND(Data!#REF!&gt;(TODAY()-(Data_Val!$M$3*365.25)),Data!#REF!&lt;=(TODAY()-(Data_Val!$M$2*365.25))),0,1),1))</f>
        <v>#REF!</v>
      </c>
      <c r="BK782" s="13" t="e">
        <f>IF(Data!#REF!="","",IF(Data!$G782="",1,IF(ISNUMBER(MATCH(Data!#REF!,Data_Val!$D$2:$D$10,0)),0,1)))</f>
        <v>#REF!</v>
      </c>
    </row>
    <row r="783" spans="1:63" x14ac:dyDescent="0.25">
      <c r="A783" s="9" t="str">
        <f>IF(Data!B783="","",IF(COUNTIFS(Data!A$1:'Data'!A783,Data!A783)&lt;=1,0,1))</f>
        <v/>
      </c>
      <c r="B783" s="9"/>
      <c r="C783" s="23" t="str">
        <f>IF(Data!C783="","",(IF(ISNUMBER(MATCH("*@*.?*",Data!C783,0)),0,1)+IF(COUNTIFS(Data!C$1:'Data'!C783,Data!C783)&gt;1,1,0)))</f>
        <v/>
      </c>
      <c r="D783" s="9" t="str">
        <f>IF(Data!B783="","",IF(ISNUMBER(Data!D783),IF(AND(Data!D783&gt;999999999,Data!D783&lt;=9999999999),IF(COUNTIFS(Data!D$1:'Data'!D783,Data!D783)&lt;=1,0,1),1),1))</f>
        <v/>
      </c>
      <c r="E783" s="9" t="str">
        <f>IF(Data!B783="","",IF(ISNUMBER(MATCH(Data!E783,Data_Val!$A$2:$A$3,0)),0,1))</f>
        <v/>
      </c>
      <c r="F783" s="9" t="str">
        <f ca="1">IF(Data!B783="","",IF(ISNUMBER(Data!F783),IF(AND(Data!F783&gt;(TODAY()-(Data_Val!$H$3*365.25)),Data!F783&lt;=(TODAY()-(Data_Val!$H$2*365.25))),0,1),1))</f>
        <v/>
      </c>
      <c r="G783" s="15" t="str">
        <f>IF(Data!B783="","",IF(AND(Data!G783="",Data!H783&lt;&gt;""),1,IF(Data!#REF!&lt;&gt;"",0,IF(ISNUMBER(MATCH(Data!G783,Data_Val!$C$2:$C$5,0)),0,1))))</f>
        <v/>
      </c>
      <c r="H783" s="15" t="str">
        <f>IF(Data!B783="","",IF(AND(Data!G783&lt;&gt;"",Data!H783=""),1,IF(Data!#REF!&lt;&gt;"",0,IF(Data!G783="",1,IF(ISNUMBER(MATCH(Data!H783,Data_Val!$D$2:$D$35,0)),0,1)))))</f>
        <v/>
      </c>
      <c r="I783" s="15" t="str">
        <f>IF(Data!B783="","",IF(Data!G783&lt;&gt;"",0,IF(ISNUMBER(MATCH(Data!#REF!,Data_Val!$E$2:$E$12,0)),0,1)))</f>
        <v/>
      </c>
      <c r="J783" s="16" t="e">
        <f>IF(OR(Data!B783="",Data!#REF!=""),"",IF(Data!#REF!="",1,0))</f>
        <v>#REF!</v>
      </c>
      <c r="K783" s="16" t="e">
        <f>IF(OR(Data!B783="",Data!#REF!=""),"",IF(Data!#REF!="",1,0))</f>
        <v>#REF!</v>
      </c>
      <c r="L783" s="16" t="e">
        <f>IF(OR(Data!B783="",Data!#REF!=""),"",IF(ISNUMBER(Data!#REF!),IF(AND(Data!#REF!&gt;Data_Val!$G$2,Data!#REF!&lt;=Data_Val!$G$3),0,1),1))</f>
        <v>#REF!</v>
      </c>
      <c r="M783" s="9" t="e">
        <f>IF(OR(Data!B783="",Data!#REF!=""),"",IF(ISNUMBER(MATCH(Data!#REF!,Data_Val!$F$1:$F$38,0)),0,1))</f>
        <v>#REF!</v>
      </c>
      <c r="N783" s="9" t="e">
        <f>IF(OR(Data!B783="",Data!#REF!=""),"",IF(Data!#REF!="",1,0))</f>
        <v>#REF!</v>
      </c>
      <c r="O783" s="17" t="e">
        <f>IF(Data!#REF!="","",IF(Data!#REF!="",1,0))</f>
        <v>#REF!</v>
      </c>
      <c r="P783" s="17" t="e">
        <f>IF(Data!#REF!="","",IF(ISNUMBER(MATCH(Data!#REF!,Data_Val!$A$2:$A$3,0)),0,1))</f>
        <v>#REF!</v>
      </c>
      <c r="Q783" s="25" t="e">
        <f ca="1">IF(Data!#REF!="","",IF(ISNUMBER(Data!#REF!),IF(AND(Data!#REF!&gt;(TODAY()-(Data_Val!$J$3*365.25)),Data!#REF!&lt;=(TODAY()-(Data_Val!$J$2*365.25))),0,1),1))</f>
        <v>#REF!</v>
      </c>
      <c r="R783" s="17" t="e">
        <f>IF(Data!#REF!="","",IF(ISNUMBER(MATCH(Data!#REF!,Data_Val!$B$2:$B$15,0)),0,1))</f>
        <v>#REF!</v>
      </c>
      <c r="S783" s="11" t="str">
        <f>IF(Data!G783="","",IF(Data!G783=Data_Val!$C$2,IF(Data!M783="",0,1),0))</f>
        <v/>
      </c>
      <c r="T783" s="11" t="str">
        <f>IF(Data!M783="","",IF(ISNUMBER(MATCH(Data!N783,Data_Val!$A$2:$A$3,0)),0,1))</f>
        <v/>
      </c>
      <c r="U783" s="11" t="str">
        <f ca="1">IF(Data!M783="","",IF(ISNUMBER(Data!O783),IF(AND(Data!O783&gt;(TODAY()-(Data_Val!$K$3*365.25)),Data!O783&lt;=(TODAY()-(Data_Val!$K$2*365.25))),0,1),1))</f>
        <v/>
      </c>
      <c r="V783" s="12" t="str">
        <f>IF(Data!G783="","",IF(Data!G783=Data_Val!$C$2,IF(Data!P783="",0,1),0))</f>
        <v/>
      </c>
      <c r="W783" s="12" t="str">
        <f>IF(Data!P783="","",IF(ISNUMBER(MATCH(Data!Q783,Data_Val!$A$2:$A$3,0)),0,1))</f>
        <v/>
      </c>
      <c r="X783" s="26" t="str">
        <f ca="1">IF(Data!P783="","",IF(ISNUMBER(Data!R783),IF(AND(Data!R783&gt;(TODAY()-(Data_Val!$L$3*365.25)),Data!R783&lt;=(TODAY()-(Data_Val!$L$2*365.25))),0,1),1))</f>
        <v/>
      </c>
      <c r="Y783" s="13" t="str">
        <f>IF(Data!$G783="","",IF(Data!$G783=Data_Val!$C$2,IF(Data!S783="",0,1),0))</f>
        <v/>
      </c>
      <c r="Z783" s="13" t="str">
        <f>IF(Data!S783="","",IF(ISNUMBER(MATCH(Data!T783,Data_Val!$A$2:$A$3,0)),0,1))</f>
        <v/>
      </c>
      <c r="AA783" s="28" t="str">
        <f ca="1">IF(Data!S783="","",IF(ISNUMBER(Data!U783),IF(AND(Data!U783&gt;(TODAY()-(Data_Val!$L$3*365.25)),Data!U783&lt;=(TODAY()-(Data_Val!$L$2*365.25))),0,1),1))</f>
        <v/>
      </c>
      <c r="AB783" s="11"/>
      <c r="AC783" s="11" t="e">
        <f>IF(Data!#REF!="","",IF(ISNUMBER(MATCH(Data!#REF!,Data_Val!$A$2:$A$3,0)),0,1))</f>
        <v>#REF!</v>
      </c>
      <c r="AD783" s="11" t="e">
        <f ca="1">IF(Data!#REF!="","",IF(ISNUMBER(Data!#REF!),IF(AND(Data!#REF!&gt;(TODAY()-(Data_Val!$L$3*365.25)),Data!#REF!&lt;=(TODAY()-(Data_Val!$L$2*365.25))),0,1),1))</f>
        <v>#REF!</v>
      </c>
      <c r="AE783" s="11" t="e">
        <f>IF(Data!#REF!="","",IF(Data!$G783="",1,IF(ISNUMBER(MATCH(Data!#REF!,Data_Val!$D$2:$D$10,0)),0,1)))</f>
        <v>#REF!</v>
      </c>
      <c r="AF783" s="12"/>
      <c r="AG783" s="12" t="e">
        <f>IF(Data!#REF!="","",IF(ISNUMBER(MATCH(Data!#REF!,Data_Val!$A$2:$A$3,0)),0,1))</f>
        <v>#REF!</v>
      </c>
      <c r="AH783" s="26" t="e">
        <f ca="1">IF(Data!#REF!="","",IF(ISNUMBER(Data!#REF!),IF(AND(Data!#REF!&gt;(TODAY()-(Data_Val!$L$3*365.25)),Data!#REF!&lt;=(TODAY()-(Data_Val!$L$2*365.25))),0,1),1))</f>
        <v>#REF!</v>
      </c>
      <c r="AI783" s="12" t="e">
        <f>IF(Data!#REF!="","",IF(Data!$G783="",1,IF(ISNUMBER(MATCH(Data!#REF!,Data_Val!$D$2:$D$10,0)),0,1)))</f>
        <v>#REF!</v>
      </c>
      <c r="AJ783" s="17"/>
      <c r="AK783" s="17" t="e">
        <f>IF(Data!#REF!="","",IF(ISNUMBER(MATCH(Data!#REF!,Data_Val!$A$2:$A$3,0)),0,1))</f>
        <v>#REF!</v>
      </c>
      <c r="AL783" s="25" t="e">
        <f ca="1">IF(Data!#REF!="","",IF(ISNUMBER(Data!#REF!),IF(AND(Data!#REF!&gt;(TODAY()-(Data_Val!$L$3*365.25)),Data!#REF!&lt;=(TODAY()-(Data_Val!$L$2*365.25))),0,1),1))</f>
        <v>#REF!</v>
      </c>
      <c r="AM783" s="17" t="e">
        <f>IF(Data!#REF!="","",IF(Data!$G783="",1,IF(ISNUMBER(MATCH(Data!#REF!,Data_Val!$D$2:$D$10,0)),0,1)))</f>
        <v>#REF!</v>
      </c>
      <c r="AN783" s="13"/>
      <c r="AO783" s="28" t="e">
        <f ca="1">IF(Data!#REF!="","",IF(ISNUMBER(Data!#REF!),IF(AND(Data!#REF!&gt;(TODAY()-(Data_Val!$I$3*365.25)),Data!#REF!&lt;=(TODAY()-(Data_Val!$I$2*365.25))),0,1),1))</f>
        <v>#REF!</v>
      </c>
      <c r="AP783" s="13" t="e">
        <f>IF(Data!#REF!="","",IF(Data!$G783="",1,IF(ISNUMBER(MATCH(Data!#REF!,Data_Val!$D$2:$D$10,0)),0,1)))</f>
        <v>#REF!</v>
      </c>
      <c r="AQ783" s="17"/>
      <c r="AR783" s="30" t="e">
        <f ca="1">IF(Data!#REF!="","",IF(ISNUMBER(Data!#REF!),IF(AND(Data!#REF!&gt;(TODAY()-(Data_Val!$I$3*365.25)),Data!#REF!&lt;=(TODAY()-(Data_Val!$I$2*365.25))),0,1),1))</f>
        <v>#REF!</v>
      </c>
      <c r="AS783" s="31" t="e">
        <f>IF(Data!#REF!="","",IF(Data!$G783="",1,IF(ISNUMBER(MATCH(Data!#REF!,Data_Val!$D$2:$D$10,0)),0,1)))</f>
        <v>#REF!</v>
      </c>
      <c r="AT783" s="11"/>
      <c r="AU783" s="11" t="e">
        <f ca="1">IF(Data!#REF!="","",IF(ISNUMBER(Data!#REF!),IF(AND(Data!#REF!&gt;(TODAY()-(Data_Val!$I$3*365.25)),Data!#REF!&lt;=(TODAY()-(Data_Val!$I$2*365.25))),0,1),1))</f>
        <v>#REF!</v>
      </c>
      <c r="AV783" s="11" t="e">
        <f>IF(Data!#REF!="","",IF(Data!$G783="",1,IF(ISNUMBER(MATCH(Data!#REF!,Data_Val!$D$2:$D$10,0)),0,1)))</f>
        <v>#REF!</v>
      </c>
      <c r="AW783" s="12"/>
      <c r="AX783" s="26" t="e">
        <f ca="1">IF(Data!#REF!="","",IF(ISNUMBER(Data!#REF!),IF(AND(Data!#REF!&gt;(TODAY()-(Data_Val!$I$3*365.25)),Data!#REF!&lt;=(TODAY()-(Data_Val!$I$2*365.25))),0,1),1))</f>
        <v>#REF!</v>
      </c>
      <c r="AY783" s="12" t="e">
        <f>IF(Data!#REF!="","",IF(Data!$G783="",1,IF(ISNUMBER(MATCH(Data!#REF!,Data_Val!$D$2:$D$10,0)),0,1)))</f>
        <v>#REF!</v>
      </c>
      <c r="AZ783" s="11"/>
      <c r="BA783" s="19" t="e">
        <f ca="1">IF(Data!#REF!="","",IF(ISNUMBER(Data!#REF!),IF(AND(Data!#REF!&gt;(TODAY()-(Data_Val!$M$3*365.25)),Data!#REF!&lt;=(TODAY()-(Data_Val!$M$2*365.25))),0,1),1))</f>
        <v>#REF!</v>
      </c>
      <c r="BB783" s="11" t="e">
        <f>IF(Data!#REF!="","",IF(Data!$G783="",1,IF(ISNUMBER(MATCH(Data!#REF!,Data_Val!$D$2:$D$10,0)),0,1)))</f>
        <v>#REF!</v>
      </c>
      <c r="BC783" s="12"/>
      <c r="BD783" s="20" t="e">
        <f ca="1">IF(Data!#REF!="","",IF(ISNUMBER(Data!#REF!),IF(AND(Data!#REF!&gt;(TODAY()-(Data_Val!$M$3*365.25)),Data!#REF!&lt;=(TODAY()-(Data_Val!$M$2*365.25))),0,1),1))</f>
        <v>#REF!</v>
      </c>
      <c r="BE783" s="12" t="e">
        <f>IF(Data!#REF!="","",IF(Data!$G783="",1,IF(ISNUMBER(MATCH(Data!#REF!,Data_Val!$D$2:$D$10,0)),0,1)))</f>
        <v>#REF!</v>
      </c>
      <c r="BF783" s="17"/>
      <c r="BG783" s="18" t="e">
        <f ca="1">IF(Data!#REF!="","",IF(ISNUMBER(Data!#REF!),IF(AND(Data!#REF!&gt;(TODAY()-(Data_Val!$M$3*365.25)),Data!#REF!&lt;=(TODAY()-(Data_Val!$M$2*365.25))),0,1),1))</f>
        <v>#REF!</v>
      </c>
      <c r="BH783" s="29" t="e">
        <f>IF(Data!#REF!="","",IF(Data!$G783="",1,IF(ISNUMBER(MATCH(Data!#REF!,Data_Val!$D$2:$D$10,0)),0,1)))</f>
        <v>#REF!</v>
      </c>
      <c r="BI783" s="13"/>
      <c r="BJ783" s="21" t="e">
        <f ca="1">IF(Data!#REF!="","",IF(ISNUMBER(Data!#REF!),IF(AND(Data!#REF!&gt;(TODAY()-(Data_Val!$M$3*365.25)),Data!#REF!&lt;=(TODAY()-(Data_Val!$M$2*365.25))),0,1),1))</f>
        <v>#REF!</v>
      </c>
      <c r="BK783" s="13" t="e">
        <f>IF(Data!#REF!="","",IF(Data!$G783="",1,IF(ISNUMBER(MATCH(Data!#REF!,Data_Val!$D$2:$D$10,0)),0,1)))</f>
        <v>#REF!</v>
      </c>
    </row>
    <row r="784" spans="1:63" x14ac:dyDescent="0.25">
      <c r="A784" s="9" t="str">
        <f>IF(Data!B784="","",IF(COUNTIFS(Data!A$1:'Data'!A784,Data!A784)&lt;=1,0,1))</f>
        <v/>
      </c>
      <c r="B784" s="9"/>
      <c r="C784" s="23" t="str">
        <f>IF(Data!C784="","",(IF(ISNUMBER(MATCH("*@*.?*",Data!C784,0)),0,1)+IF(COUNTIFS(Data!C$1:'Data'!C784,Data!C784)&gt;1,1,0)))</f>
        <v/>
      </c>
      <c r="D784" s="9" t="str">
        <f>IF(Data!B784="","",IF(ISNUMBER(Data!D784),IF(AND(Data!D784&gt;999999999,Data!D784&lt;=9999999999),IF(COUNTIFS(Data!D$1:'Data'!D784,Data!D784)&lt;=1,0,1),1),1))</f>
        <v/>
      </c>
      <c r="E784" s="9" t="str">
        <f>IF(Data!B784="","",IF(ISNUMBER(MATCH(Data!E784,Data_Val!$A$2:$A$3,0)),0,1))</f>
        <v/>
      </c>
      <c r="F784" s="9" t="str">
        <f ca="1">IF(Data!B784="","",IF(ISNUMBER(Data!F784),IF(AND(Data!F784&gt;(TODAY()-(Data_Val!$H$3*365.25)),Data!F784&lt;=(TODAY()-(Data_Val!$H$2*365.25))),0,1),1))</f>
        <v/>
      </c>
      <c r="G784" s="15" t="str">
        <f>IF(Data!B784="","",IF(AND(Data!G784="",Data!H784&lt;&gt;""),1,IF(Data!#REF!&lt;&gt;"",0,IF(ISNUMBER(MATCH(Data!G784,Data_Val!$C$2:$C$5,0)),0,1))))</f>
        <v/>
      </c>
      <c r="H784" s="15" t="str">
        <f>IF(Data!B784="","",IF(AND(Data!G784&lt;&gt;"",Data!H784=""),1,IF(Data!#REF!&lt;&gt;"",0,IF(Data!G784="",1,IF(ISNUMBER(MATCH(Data!H784,Data_Val!$D$2:$D$35,0)),0,1)))))</f>
        <v/>
      </c>
      <c r="I784" s="15" t="str">
        <f>IF(Data!B784="","",IF(Data!G784&lt;&gt;"",0,IF(ISNUMBER(MATCH(Data!#REF!,Data_Val!$E$2:$E$12,0)),0,1)))</f>
        <v/>
      </c>
      <c r="J784" s="16" t="e">
        <f>IF(OR(Data!B784="",Data!#REF!=""),"",IF(Data!#REF!="",1,0))</f>
        <v>#REF!</v>
      </c>
      <c r="K784" s="16" t="e">
        <f>IF(OR(Data!B784="",Data!#REF!=""),"",IF(Data!#REF!="",1,0))</f>
        <v>#REF!</v>
      </c>
      <c r="L784" s="16" t="e">
        <f>IF(OR(Data!B784="",Data!#REF!=""),"",IF(ISNUMBER(Data!#REF!),IF(AND(Data!#REF!&gt;Data_Val!$G$2,Data!#REF!&lt;=Data_Val!$G$3),0,1),1))</f>
        <v>#REF!</v>
      </c>
      <c r="M784" s="9" t="e">
        <f>IF(OR(Data!B784="",Data!#REF!=""),"",IF(ISNUMBER(MATCH(Data!#REF!,Data_Val!$F$1:$F$38,0)),0,1))</f>
        <v>#REF!</v>
      </c>
      <c r="N784" s="9" t="e">
        <f>IF(OR(Data!B784="",Data!#REF!=""),"",IF(Data!#REF!="",1,0))</f>
        <v>#REF!</v>
      </c>
      <c r="O784" s="17" t="e">
        <f>IF(Data!#REF!="","",IF(Data!#REF!="",1,0))</f>
        <v>#REF!</v>
      </c>
      <c r="P784" s="17" t="e">
        <f>IF(Data!#REF!="","",IF(ISNUMBER(MATCH(Data!#REF!,Data_Val!$A$2:$A$3,0)),0,1))</f>
        <v>#REF!</v>
      </c>
      <c r="Q784" s="25" t="e">
        <f ca="1">IF(Data!#REF!="","",IF(ISNUMBER(Data!#REF!),IF(AND(Data!#REF!&gt;(TODAY()-(Data_Val!$J$3*365.25)),Data!#REF!&lt;=(TODAY()-(Data_Val!$J$2*365.25))),0,1),1))</f>
        <v>#REF!</v>
      </c>
      <c r="R784" s="17" t="e">
        <f>IF(Data!#REF!="","",IF(ISNUMBER(MATCH(Data!#REF!,Data_Val!$B$2:$B$15,0)),0,1))</f>
        <v>#REF!</v>
      </c>
      <c r="S784" s="11" t="str">
        <f>IF(Data!G784="","",IF(Data!G784=Data_Val!$C$2,IF(Data!M784="",0,1),0))</f>
        <v/>
      </c>
      <c r="T784" s="11" t="str">
        <f>IF(Data!M784="","",IF(ISNUMBER(MATCH(Data!N784,Data_Val!$A$2:$A$3,0)),0,1))</f>
        <v/>
      </c>
      <c r="U784" s="11" t="str">
        <f ca="1">IF(Data!M784="","",IF(ISNUMBER(Data!O784),IF(AND(Data!O784&gt;(TODAY()-(Data_Val!$K$3*365.25)),Data!O784&lt;=(TODAY()-(Data_Val!$K$2*365.25))),0,1),1))</f>
        <v/>
      </c>
      <c r="V784" s="12" t="str">
        <f>IF(Data!G784="","",IF(Data!G784=Data_Val!$C$2,IF(Data!P784="",0,1),0))</f>
        <v/>
      </c>
      <c r="W784" s="12" t="str">
        <f>IF(Data!P784="","",IF(ISNUMBER(MATCH(Data!Q784,Data_Val!$A$2:$A$3,0)),0,1))</f>
        <v/>
      </c>
      <c r="X784" s="26" t="str">
        <f ca="1">IF(Data!P784="","",IF(ISNUMBER(Data!R784),IF(AND(Data!R784&gt;(TODAY()-(Data_Val!$L$3*365.25)),Data!R784&lt;=(TODAY()-(Data_Val!$L$2*365.25))),0,1),1))</f>
        <v/>
      </c>
      <c r="Y784" s="13" t="str">
        <f>IF(Data!$G784="","",IF(Data!$G784=Data_Val!$C$2,IF(Data!S784="",0,1),0))</f>
        <v/>
      </c>
      <c r="Z784" s="13" t="str">
        <f>IF(Data!S784="","",IF(ISNUMBER(MATCH(Data!T784,Data_Val!$A$2:$A$3,0)),0,1))</f>
        <v/>
      </c>
      <c r="AA784" s="28" t="str">
        <f ca="1">IF(Data!S784="","",IF(ISNUMBER(Data!U784),IF(AND(Data!U784&gt;(TODAY()-(Data_Val!$L$3*365.25)),Data!U784&lt;=(TODAY()-(Data_Val!$L$2*365.25))),0,1),1))</f>
        <v/>
      </c>
      <c r="AB784" s="11"/>
      <c r="AC784" s="11" t="e">
        <f>IF(Data!#REF!="","",IF(ISNUMBER(MATCH(Data!#REF!,Data_Val!$A$2:$A$3,0)),0,1))</f>
        <v>#REF!</v>
      </c>
      <c r="AD784" s="11" t="e">
        <f ca="1">IF(Data!#REF!="","",IF(ISNUMBER(Data!#REF!),IF(AND(Data!#REF!&gt;(TODAY()-(Data_Val!$L$3*365.25)),Data!#REF!&lt;=(TODAY()-(Data_Val!$L$2*365.25))),0,1),1))</f>
        <v>#REF!</v>
      </c>
      <c r="AE784" s="11" t="e">
        <f>IF(Data!#REF!="","",IF(Data!$G784="",1,IF(ISNUMBER(MATCH(Data!#REF!,Data_Val!$D$2:$D$10,0)),0,1)))</f>
        <v>#REF!</v>
      </c>
      <c r="AF784" s="12"/>
      <c r="AG784" s="12" t="e">
        <f>IF(Data!#REF!="","",IF(ISNUMBER(MATCH(Data!#REF!,Data_Val!$A$2:$A$3,0)),0,1))</f>
        <v>#REF!</v>
      </c>
      <c r="AH784" s="26" t="e">
        <f ca="1">IF(Data!#REF!="","",IF(ISNUMBER(Data!#REF!),IF(AND(Data!#REF!&gt;(TODAY()-(Data_Val!$L$3*365.25)),Data!#REF!&lt;=(TODAY()-(Data_Val!$L$2*365.25))),0,1),1))</f>
        <v>#REF!</v>
      </c>
      <c r="AI784" s="12" t="e">
        <f>IF(Data!#REF!="","",IF(Data!$G784="",1,IF(ISNUMBER(MATCH(Data!#REF!,Data_Val!$D$2:$D$10,0)),0,1)))</f>
        <v>#REF!</v>
      </c>
      <c r="AJ784" s="17"/>
      <c r="AK784" s="17" t="e">
        <f>IF(Data!#REF!="","",IF(ISNUMBER(MATCH(Data!#REF!,Data_Val!$A$2:$A$3,0)),0,1))</f>
        <v>#REF!</v>
      </c>
      <c r="AL784" s="25" t="e">
        <f ca="1">IF(Data!#REF!="","",IF(ISNUMBER(Data!#REF!),IF(AND(Data!#REF!&gt;(TODAY()-(Data_Val!$L$3*365.25)),Data!#REF!&lt;=(TODAY()-(Data_Val!$L$2*365.25))),0,1),1))</f>
        <v>#REF!</v>
      </c>
      <c r="AM784" s="17" t="e">
        <f>IF(Data!#REF!="","",IF(Data!$G784="",1,IF(ISNUMBER(MATCH(Data!#REF!,Data_Val!$D$2:$D$10,0)),0,1)))</f>
        <v>#REF!</v>
      </c>
      <c r="AN784" s="13"/>
      <c r="AO784" s="28" t="e">
        <f ca="1">IF(Data!#REF!="","",IF(ISNUMBER(Data!#REF!),IF(AND(Data!#REF!&gt;(TODAY()-(Data_Val!$I$3*365.25)),Data!#REF!&lt;=(TODAY()-(Data_Val!$I$2*365.25))),0,1),1))</f>
        <v>#REF!</v>
      </c>
      <c r="AP784" s="13" t="e">
        <f>IF(Data!#REF!="","",IF(Data!$G784="",1,IF(ISNUMBER(MATCH(Data!#REF!,Data_Val!$D$2:$D$10,0)),0,1)))</f>
        <v>#REF!</v>
      </c>
      <c r="AQ784" s="17"/>
      <c r="AR784" s="30" t="e">
        <f ca="1">IF(Data!#REF!="","",IF(ISNUMBER(Data!#REF!),IF(AND(Data!#REF!&gt;(TODAY()-(Data_Val!$I$3*365.25)),Data!#REF!&lt;=(TODAY()-(Data_Val!$I$2*365.25))),0,1),1))</f>
        <v>#REF!</v>
      </c>
      <c r="AS784" s="31" t="e">
        <f>IF(Data!#REF!="","",IF(Data!$G784="",1,IF(ISNUMBER(MATCH(Data!#REF!,Data_Val!$D$2:$D$10,0)),0,1)))</f>
        <v>#REF!</v>
      </c>
      <c r="AT784" s="11"/>
      <c r="AU784" s="11" t="e">
        <f ca="1">IF(Data!#REF!="","",IF(ISNUMBER(Data!#REF!),IF(AND(Data!#REF!&gt;(TODAY()-(Data_Val!$I$3*365.25)),Data!#REF!&lt;=(TODAY()-(Data_Val!$I$2*365.25))),0,1),1))</f>
        <v>#REF!</v>
      </c>
      <c r="AV784" s="11" t="e">
        <f>IF(Data!#REF!="","",IF(Data!$G784="",1,IF(ISNUMBER(MATCH(Data!#REF!,Data_Val!$D$2:$D$10,0)),0,1)))</f>
        <v>#REF!</v>
      </c>
      <c r="AW784" s="12"/>
      <c r="AX784" s="26" t="e">
        <f ca="1">IF(Data!#REF!="","",IF(ISNUMBER(Data!#REF!),IF(AND(Data!#REF!&gt;(TODAY()-(Data_Val!$I$3*365.25)),Data!#REF!&lt;=(TODAY()-(Data_Val!$I$2*365.25))),0,1),1))</f>
        <v>#REF!</v>
      </c>
      <c r="AY784" s="12" t="e">
        <f>IF(Data!#REF!="","",IF(Data!$G784="",1,IF(ISNUMBER(MATCH(Data!#REF!,Data_Val!$D$2:$D$10,0)),0,1)))</f>
        <v>#REF!</v>
      </c>
      <c r="AZ784" s="11"/>
      <c r="BA784" s="19" t="e">
        <f ca="1">IF(Data!#REF!="","",IF(ISNUMBER(Data!#REF!),IF(AND(Data!#REF!&gt;(TODAY()-(Data_Val!$M$3*365.25)),Data!#REF!&lt;=(TODAY()-(Data_Val!$M$2*365.25))),0,1),1))</f>
        <v>#REF!</v>
      </c>
      <c r="BB784" s="11" t="e">
        <f>IF(Data!#REF!="","",IF(Data!$G784="",1,IF(ISNUMBER(MATCH(Data!#REF!,Data_Val!$D$2:$D$10,0)),0,1)))</f>
        <v>#REF!</v>
      </c>
      <c r="BC784" s="12"/>
      <c r="BD784" s="20" t="e">
        <f ca="1">IF(Data!#REF!="","",IF(ISNUMBER(Data!#REF!),IF(AND(Data!#REF!&gt;(TODAY()-(Data_Val!$M$3*365.25)),Data!#REF!&lt;=(TODAY()-(Data_Val!$M$2*365.25))),0,1),1))</f>
        <v>#REF!</v>
      </c>
      <c r="BE784" s="12" t="e">
        <f>IF(Data!#REF!="","",IF(Data!$G784="",1,IF(ISNUMBER(MATCH(Data!#REF!,Data_Val!$D$2:$D$10,0)),0,1)))</f>
        <v>#REF!</v>
      </c>
      <c r="BF784" s="17"/>
      <c r="BG784" s="18" t="e">
        <f ca="1">IF(Data!#REF!="","",IF(ISNUMBER(Data!#REF!),IF(AND(Data!#REF!&gt;(TODAY()-(Data_Val!$M$3*365.25)),Data!#REF!&lt;=(TODAY()-(Data_Val!$M$2*365.25))),0,1),1))</f>
        <v>#REF!</v>
      </c>
      <c r="BH784" s="29" t="e">
        <f>IF(Data!#REF!="","",IF(Data!$G784="",1,IF(ISNUMBER(MATCH(Data!#REF!,Data_Val!$D$2:$D$10,0)),0,1)))</f>
        <v>#REF!</v>
      </c>
      <c r="BI784" s="13"/>
      <c r="BJ784" s="21" t="e">
        <f ca="1">IF(Data!#REF!="","",IF(ISNUMBER(Data!#REF!),IF(AND(Data!#REF!&gt;(TODAY()-(Data_Val!$M$3*365.25)),Data!#REF!&lt;=(TODAY()-(Data_Val!$M$2*365.25))),0,1),1))</f>
        <v>#REF!</v>
      </c>
      <c r="BK784" s="13" t="e">
        <f>IF(Data!#REF!="","",IF(Data!$G784="",1,IF(ISNUMBER(MATCH(Data!#REF!,Data_Val!$D$2:$D$10,0)),0,1)))</f>
        <v>#REF!</v>
      </c>
    </row>
    <row r="785" spans="1:63" x14ac:dyDescent="0.25">
      <c r="A785" s="9" t="str">
        <f>IF(Data!B785="","",IF(COUNTIFS(Data!A$1:'Data'!A785,Data!A785)&lt;=1,0,1))</f>
        <v/>
      </c>
      <c r="B785" s="9"/>
      <c r="C785" s="23" t="str">
        <f>IF(Data!C785="","",(IF(ISNUMBER(MATCH("*@*.?*",Data!C785,0)),0,1)+IF(COUNTIFS(Data!C$1:'Data'!C785,Data!C785)&gt;1,1,0)))</f>
        <v/>
      </c>
      <c r="D785" s="9" t="str">
        <f>IF(Data!B785="","",IF(ISNUMBER(Data!D785),IF(AND(Data!D785&gt;999999999,Data!D785&lt;=9999999999),IF(COUNTIFS(Data!D$1:'Data'!D785,Data!D785)&lt;=1,0,1),1),1))</f>
        <v/>
      </c>
      <c r="E785" s="9" t="str">
        <f>IF(Data!B785="","",IF(ISNUMBER(MATCH(Data!E785,Data_Val!$A$2:$A$3,0)),0,1))</f>
        <v/>
      </c>
      <c r="F785" s="9" t="str">
        <f ca="1">IF(Data!B785="","",IF(ISNUMBER(Data!F785),IF(AND(Data!F785&gt;(TODAY()-(Data_Val!$H$3*365.25)),Data!F785&lt;=(TODAY()-(Data_Val!$H$2*365.25))),0,1),1))</f>
        <v/>
      </c>
      <c r="G785" s="15" t="str">
        <f>IF(Data!B785="","",IF(AND(Data!G785="",Data!H785&lt;&gt;""),1,IF(Data!#REF!&lt;&gt;"",0,IF(ISNUMBER(MATCH(Data!G785,Data_Val!$C$2:$C$5,0)),0,1))))</f>
        <v/>
      </c>
      <c r="H785" s="15" t="str">
        <f>IF(Data!B785="","",IF(AND(Data!G785&lt;&gt;"",Data!H785=""),1,IF(Data!#REF!&lt;&gt;"",0,IF(Data!G785="",1,IF(ISNUMBER(MATCH(Data!H785,Data_Val!$D$2:$D$35,0)),0,1)))))</f>
        <v/>
      </c>
      <c r="I785" s="15" t="str">
        <f>IF(Data!B785="","",IF(Data!G785&lt;&gt;"",0,IF(ISNUMBER(MATCH(Data!#REF!,Data_Val!$E$2:$E$12,0)),0,1)))</f>
        <v/>
      </c>
      <c r="J785" s="16" t="e">
        <f>IF(OR(Data!B785="",Data!#REF!=""),"",IF(Data!#REF!="",1,0))</f>
        <v>#REF!</v>
      </c>
      <c r="K785" s="16" t="e">
        <f>IF(OR(Data!B785="",Data!#REF!=""),"",IF(Data!#REF!="",1,0))</f>
        <v>#REF!</v>
      </c>
      <c r="L785" s="16" t="e">
        <f>IF(OR(Data!B785="",Data!#REF!=""),"",IF(ISNUMBER(Data!#REF!),IF(AND(Data!#REF!&gt;Data_Val!$G$2,Data!#REF!&lt;=Data_Val!$G$3),0,1),1))</f>
        <v>#REF!</v>
      </c>
      <c r="M785" s="9" t="e">
        <f>IF(OR(Data!B785="",Data!#REF!=""),"",IF(ISNUMBER(MATCH(Data!#REF!,Data_Val!$F$1:$F$38,0)),0,1))</f>
        <v>#REF!</v>
      </c>
      <c r="N785" s="9" t="e">
        <f>IF(OR(Data!B785="",Data!#REF!=""),"",IF(Data!#REF!="",1,0))</f>
        <v>#REF!</v>
      </c>
      <c r="O785" s="17" t="e">
        <f>IF(Data!#REF!="","",IF(Data!#REF!="",1,0))</f>
        <v>#REF!</v>
      </c>
      <c r="P785" s="17" t="e">
        <f>IF(Data!#REF!="","",IF(ISNUMBER(MATCH(Data!#REF!,Data_Val!$A$2:$A$3,0)),0,1))</f>
        <v>#REF!</v>
      </c>
      <c r="Q785" s="25" t="e">
        <f ca="1">IF(Data!#REF!="","",IF(ISNUMBER(Data!#REF!),IF(AND(Data!#REF!&gt;(TODAY()-(Data_Val!$J$3*365.25)),Data!#REF!&lt;=(TODAY()-(Data_Val!$J$2*365.25))),0,1),1))</f>
        <v>#REF!</v>
      </c>
      <c r="R785" s="17" t="e">
        <f>IF(Data!#REF!="","",IF(ISNUMBER(MATCH(Data!#REF!,Data_Val!$B$2:$B$15,0)),0,1))</f>
        <v>#REF!</v>
      </c>
      <c r="S785" s="11" t="str">
        <f>IF(Data!G785="","",IF(Data!G785=Data_Val!$C$2,IF(Data!M785="",0,1),0))</f>
        <v/>
      </c>
      <c r="T785" s="11" t="str">
        <f>IF(Data!M785="","",IF(ISNUMBER(MATCH(Data!N785,Data_Val!$A$2:$A$3,0)),0,1))</f>
        <v/>
      </c>
      <c r="U785" s="11" t="str">
        <f ca="1">IF(Data!M785="","",IF(ISNUMBER(Data!O785),IF(AND(Data!O785&gt;(TODAY()-(Data_Val!$K$3*365.25)),Data!O785&lt;=(TODAY()-(Data_Val!$K$2*365.25))),0,1),1))</f>
        <v/>
      </c>
      <c r="V785" s="12" t="str">
        <f>IF(Data!G785="","",IF(Data!G785=Data_Val!$C$2,IF(Data!P785="",0,1),0))</f>
        <v/>
      </c>
      <c r="W785" s="12" t="str">
        <f>IF(Data!P785="","",IF(ISNUMBER(MATCH(Data!Q785,Data_Val!$A$2:$A$3,0)),0,1))</f>
        <v/>
      </c>
      <c r="X785" s="26" t="str">
        <f ca="1">IF(Data!P785="","",IF(ISNUMBER(Data!R785),IF(AND(Data!R785&gt;(TODAY()-(Data_Val!$L$3*365.25)),Data!R785&lt;=(TODAY()-(Data_Val!$L$2*365.25))),0,1),1))</f>
        <v/>
      </c>
      <c r="Y785" s="13" t="str">
        <f>IF(Data!$G785="","",IF(Data!$G785=Data_Val!$C$2,IF(Data!S785="",0,1),0))</f>
        <v/>
      </c>
      <c r="Z785" s="13" t="str">
        <f>IF(Data!S785="","",IF(ISNUMBER(MATCH(Data!T785,Data_Val!$A$2:$A$3,0)),0,1))</f>
        <v/>
      </c>
      <c r="AA785" s="28" t="str">
        <f ca="1">IF(Data!S785="","",IF(ISNUMBER(Data!U785),IF(AND(Data!U785&gt;(TODAY()-(Data_Val!$L$3*365.25)),Data!U785&lt;=(TODAY()-(Data_Val!$L$2*365.25))),0,1),1))</f>
        <v/>
      </c>
      <c r="AB785" s="11"/>
      <c r="AC785" s="11" t="e">
        <f>IF(Data!#REF!="","",IF(ISNUMBER(MATCH(Data!#REF!,Data_Val!$A$2:$A$3,0)),0,1))</f>
        <v>#REF!</v>
      </c>
      <c r="AD785" s="11" t="e">
        <f ca="1">IF(Data!#REF!="","",IF(ISNUMBER(Data!#REF!),IF(AND(Data!#REF!&gt;(TODAY()-(Data_Val!$L$3*365.25)),Data!#REF!&lt;=(TODAY()-(Data_Val!$L$2*365.25))),0,1),1))</f>
        <v>#REF!</v>
      </c>
      <c r="AE785" s="11" t="e">
        <f>IF(Data!#REF!="","",IF(Data!$G785="",1,IF(ISNUMBER(MATCH(Data!#REF!,Data_Val!$D$2:$D$10,0)),0,1)))</f>
        <v>#REF!</v>
      </c>
      <c r="AF785" s="12"/>
      <c r="AG785" s="12" t="e">
        <f>IF(Data!#REF!="","",IF(ISNUMBER(MATCH(Data!#REF!,Data_Val!$A$2:$A$3,0)),0,1))</f>
        <v>#REF!</v>
      </c>
      <c r="AH785" s="26" t="e">
        <f ca="1">IF(Data!#REF!="","",IF(ISNUMBER(Data!#REF!),IF(AND(Data!#REF!&gt;(TODAY()-(Data_Val!$L$3*365.25)),Data!#REF!&lt;=(TODAY()-(Data_Val!$L$2*365.25))),0,1),1))</f>
        <v>#REF!</v>
      </c>
      <c r="AI785" s="12" t="e">
        <f>IF(Data!#REF!="","",IF(Data!$G785="",1,IF(ISNUMBER(MATCH(Data!#REF!,Data_Val!$D$2:$D$10,0)),0,1)))</f>
        <v>#REF!</v>
      </c>
      <c r="AJ785" s="17"/>
      <c r="AK785" s="17" t="e">
        <f>IF(Data!#REF!="","",IF(ISNUMBER(MATCH(Data!#REF!,Data_Val!$A$2:$A$3,0)),0,1))</f>
        <v>#REF!</v>
      </c>
      <c r="AL785" s="25" t="e">
        <f ca="1">IF(Data!#REF!="","",IF(ISNUMBER(Data!#REF!),IF(AND(Data!#REF!&gt;(TODAY()-(Data_Val!$L$3*365.25)),Data!#REF!&lt;=(TODAY()-(Data_Val!$L$2*365.25))),0,1),1))</f>
        <v>#REF!</v>
      </c>
      <c r="AM785" s="17" t="e">
        <f>IF(Data!#REF!="","",IF(Data!$G785="",1,IF(ISNUMBER(MATCH(Data!#REF!,Data_Val!$D$2:$D$10,0)),0,1)))</f>
        <v>#REF!</v>
      </c>
      <c r="AN785" s="13"/>
      <c r="AO785" s="28" t="e">
        <f ca="1">IF(Data!#REF!="","",IF(ISNUMBER(Data!#REF!),IF(AND(Data!#REF!&gt;(TODAY()-(Data_Val!$I$3*365.25)),Data!#REF!&lt;=(TODAY()-(Data_Val!$I$2*365.25))),0,1),1))</f>
        <v>#REF!</v>
      </c>
      <c r="AP785" s="13" t="e">
        <f>IF(Data!#REF!="","",IF(Data!$G785="",1,IF(ISNUMBER(MATCH(Data!#REF!,Data_Val!$D$2:$D$10,0)),0,1)))</f>
        <v>#REF!</v>
      </c>
      <c r="AQ785" s="17"/>
      <c r="AR785" s="30" t="e">
        <f ca="1">IF(Data!#REF!="","",IF(ISNUMBER(Data!#REF!),IF(AND(Data!#REF!&gt;(TODAY()-(Data_Val!$I$3*365.25)),Data!#REF!&lt;=(TODAY()-(Data_Val!$I$2*365.25))),0,1),1))</f>
        <v>#REF!</v>
      </c>
      <c r="AS785" s="31" t="e">
        <f>IF(Data!#REF!="","",IF(Data!$G785="",1,IF(ISNUMBER(MATCH(Data!#REF!,Data_Val!$D$2:$D$10,0)),0,1)))</f>
        <v>#REF!</v>
      </c>
      <c r="AT785" s="11"/>
      <c r="AU785" s="11" t="e">
        <f ca="1">IF(Data!#REF!="","",IF(ISNUMBER(Data!#REF!),IF(AND(Data!#REF!&gt;(TODAY()-(Data_Val!$I$3*365.25)),Data!#REF!&lt;=(TODAY()-(Data_Val!$I$2*365.25))),0,1),1))</f>
        <v>#REF!</v>
      </c>
      <c r="AV785" s="11" t="e">
        <f>IF(Data!#REF!="","",IF(Data!$G785="",1,IF(ISNUMBER(MATCH(Data!#REF!,Data_Val!$D$2:$D$10,0)),0,1)))</f>
        <v>#REF!</v>
      </c>
      <c r="AW785" s="12"/>
      <c r="AX785" s="26" t="e">
        <f ca="1">IF(Data!#REF!="","",IF(ISNUMBER(Data!#REF!),IF(AND(Data!#REF!&gt;(TODAY()-(Data_Val!$I$3*365.25)),Data!#REF!&lt;=(TODAY()-(Data_Val!$I$2*365.25))),0,1),1))</f>
        <v>#REF!</v>
      </c>
      <c r="AY785" s="12" t="e">
        <f>IF(Data!#REF!="","",IF(Data!$G785="",1,IF(ISNUMBER(MATCH(Data!#REF!,Data_Val!$D$2:$D$10,0)),0,1)))</f>
        <v>#REF!</v>
      </c>
      <c r="AZ785" s="11"/>
      <c r="BA785" s="19" t="e">
        <f ca="1">IF(Data!#REF!="","",IF(ISNUMBER(Data!#REF!),IF(AND(Data!#REF!&gt;(TODAY()-(Data_Val!$M$3*365.25)),Data!#REF!&lt;=(TODAY()-(Data_Val!$M$2*365.25))),0,1),1))</f>
        <v>#REF!</v>
      </c>
      <c r="BB785" s="11" t="e">
        <f>IF(Data!#REF!="","",IF(Data!$G785="",1,IF(ISNUMBER(MATCH(Data!#REF!,Data_Val!$D$2:$D$10,0)),0,1)))</f>
        <v>#REF!</v>
      </c>
      <c r="BC785" s="12"/>
      <c r="BD785" s="20" t="e">
        <f ca="1">IF(Data!#REF!="","",IF(ISNUMBER(Data!#REF!),IF(AND(Data!#REF!&gt;(TODAY()-(Data_Val!$M$3*365.25)),Data!#REF!&lt;=(TODAY()-(Data_Val!$M$2*365.25))),0,1),1))</f>
        <v>#REF!</v>
      </c>
      <c r="BE785" s="12" t="e">
        <f>IF(Data!#REF!="","",IF(Data!$G785="",1,IF(ISNUMBER(MATCH(Data!#REF!,Data_Val!$D$2:$D$10,0)),0,1)))</f>
        <v>#REF!</v>
      </c>
      <c r="BF785" s="17"/>
      <c r="BG785" s="18" t="e">
        <f ca="1">IF(Data!#REF!="","",IF(ISNUMBER(Data!#REF!),IF(AND(Data!#REF!&gt;(TODAY()-(Data_Val!$M$3*365.25)),Data!#REF!&lt;=(TODAY()-(Data_Val!$M$2*365.25))),0,1),1))</f>
        <v>#REF!</v>
      </c>
      <c r="BH785" s="29" t="e">
        <f>IF(Data!#REF!="","",IF(Data!$G785="",1,IF(ISNUMBER(MATCH(Data!#REF!,Data_Val!$D$2:$D$10,0)),0,1)))</f>
        <v>#REF!</v>
      </c>
      <c r="BI785" s="13"/>
      <c r="BJ785" s="21" t="e">
        <f ca="1">IF(Data!#REF!="","",IF(ISNUMBER(Data!#REF!),IF(AND(Data!#REF!&gt;(TODAY()-(Data_Val!$M$3*365.25)),Data!#REF!&lt;=(TODAY()-(Data_Val!$M$2*365.25))),0,1),1))</f>
        <v>#REF!</v>
      </c>
      <c r="BK785" s="13" t="e">
        <f>IF(Data!#REF!="","",IF(Data!$G785="",1,IF(ISNUMBER(MATCH(Data!#REF!,Data_Val!$D$2:$D$10,0)),0,1)))</f>
        <v>#REF!</v>
      </c>
    </row>
    <row r="786" spans="1:63" x14ac:dyDescent="0.25">
      <c r="A786" s="9" t="str">
        <f>IF(Data!B786="","",IF(COUNTIFS(Data!A$1:'Data'!A786,Data!A786)&lt;=1,0,1))</f>
        <v/>
      </c>
      <c r="B786" s="9"/>
      <c r="C786" s="23" t="str">
        <f>IF(Data!C786="","",(IF(ISNUMBER(MATCH("*@*.?*",Data!C786,0)),0,1)+IF(COUNTIFS(Data!C$1:'Data'!C786,Data!C786)&gt;1,1,0)))</f>
        <v/>
      </c>
      <c r="D786" s="9" t="str">
        <f>IF(Data!B786="","",IF(ISNUMBER(Data!D786),IF(AND(Data!D786&gt;999999999,Data!D786&lt;=9999999999),IF(COUNTIFS(Data!D$1:'Data'!D786,Data!D786)&lt;=1,0,1),1),1))</f>
        <v/>
      </c>
      <c r="E786" s="9" t="str">
        <f>IF(Data!B786="","",IF(ISNUMBER(MATCH(Data!E786,Data_Val!$A$2:$A$3,0)),0,1))</f>
        <v/>
      </c>
      <c r="F786" s="9" t="str">
        <f ca="1">IF(Data!B786="","",IF(ISNUMBER(Data!F786),IF(AND(Data!F786&gt;(TODAY()-(Data_Val!$H$3*365.25)),Data!F786&lt;=(TODAY()-(Data_Val!$H$2*365.25))),0,1),1))</f>
        <v/>
      </c>
      <c r="G786" s="15" t="str">
        <f>IF(Data!B786="","",IF(AND(Data!G786="",Data!H786&lt;&gt;""),1,IF(Data!#REF!&lt;&gt;"",0,IF(ISNUMBER(MATCH(Data!G786,Data_Val!$C$2:$C$5,0)),0,1))))</f>
        <v/>
      </c>
      <c r="H786" s="15" t="str">
        <f>IF(Data!B786="","",IF(AND(Data!G786&lt;&gt;"",Data!H786=""),1,IF(Data!#REF!&lt;&gt;"",0,IF(Data!G786="",1,IF(ISNUMBER(MATCH(Data!H786,Data_Val!$D$2:$D$35,0)),0,1)))))</f>
        <v/>
      </c>
      <c r="I786" s="15" t="str">
        <f>IF(Data!B786="","",IF(Data!G786&lt;&gt;"",0,IF(ISNUMBER(MATCH(Data!#REF!,Data_Val!$E$2:$E$12,0)),0,1)))</f>
        <v/>
      </c>
      <c r="J786" s="16" t="e">
        <f>IF(OR(Data!B786="",Data!#REF!=""),"",IF(Data!#REF!="",1,0))</f>
        <v>#REF!</v>
      </c>
      <c r="K786" s="16" t="e">
        <f>IF(OR(Data!B786="",Data!#REF!=""),"",IF(Data!#REF!="",1,0))</f>
        <v>#REF!</v>
      </c>
      <c r="L786" s="16" t="e">
        <f>IF(OR(Data!B786="",Data!#REF!=""),"",IF(ISNUMBER(Data!#REF!),IF(AND(Data!#REF!&gt;Data_Val!$G$2,Data!#REF!&lt;=Data_Val!$G$3),0,1),1))</f>
        <v>#REF!</v>
      </c>
      <c r="M786" s="9" t="e">
        <f>IF(OR(Data!B786="",Data!#REF!=""),"",IF(ISNUMBER(MATCH(Data!#REF!,Data_Val!$F$1:$F$38,0)),0,1))</f>
        <v>#REF!</v>
      </c>
      <c r="N786" s="9" t="e">
        <f>IF(OR(Data!B786="",Data!#REF!=""),"",IF(Data!#REF!="",1,0))</f>
        <v>#REF!</v>
      </c>
      <c r="O786" s="17" t="e">
        <f>IF(Data!#REF!="","",IF(Data!#REF!="",1,0))</f>
        <v>#REF!</v>
      </c>
      <c r="P786" s="17" t="e">
        <f>IF(Data!#REF!="","",IF(ISNUMBER(MATCH(Data!#REF!,Data_Val!$A$2:$A$3,0)),0,1))</f>
        <v>#REF!</v>
      </c>
      <c r="Q786" s="25" t="e">
        <f ca="1">IF(Data!#REF!="","",IF(ISNUMBER(Data!#REF!),IF(AND(Data!#REF!&gt;(TODAY()-(Data_Val!$J$3*365.25)),Data!#REF!&lt;=(TODAY()-(Data_Val!$J$2*365.25))),0,1),1))</f>
        <v>#REF!</v>
      </c>
      <c r="R786" s="17" t="e">
        <f>IF(Data!#REF!="","",IF(ISNUMBER(MATCH(Data!#REF!,Data_Val!$B$2:$B$15,0)),0,1))</f>
        <v>#REF!</v>
      </c>
      <c r="S786" s="11" t="str">
        <f>IF(Data!G786="","",IF(Data!G786=Data_Val!$C$2,IF(Data!M786="",0,1),0))</f>
        <v/>
      </c>
      <c r="T786" s="11" t="str">
        <f>IF(Data!M786="","",IF(ISNUMBER(MATCH(Data!N786,Data_Val!$A$2:$A$3,0)),0,1))</f>
        <v/>
      </c>
      <c r="U786" s="11" t="str">
        <f ca="1">IF(Data!M786="","",IF(ISNUMBER(Data!O786),IF(AND(Data!O786&gt;(TODAY()-(Data_Val!$K$3*365.25)),Data!O786&lt;=(TODAY()-(Data_Val!$K$2*365.25))),0,1),1))</f>
        <v/>
      </c>
      <c r="V786" s="12" t="str">
        <f>IF(Data!G786="","",IF(Data!G786=Data_Val!$C$2,IF(Data!P786="",0,1),0))</f>
        <v/>
      </c>
      <c r="W786" s="12" t="str">
        <f>IF(Data!P786="","",IF(ISNUMBER(MATCH(Data!Q786,Data_Val!$A$2:$A$3,0)),0,1))</f>
        <v/>
      </c>
      <c r="X786" s="26" t="str">
        <f ca="1">IF(Data!P786="","",IF(ISNUMBER(Data!R786),IF(AND(Data!R786&gt;(TODAY()-(Data_Val!$L$3*365.25)),Data!R786&lt;=(TODAY()-(Data_Val!$L$2*365.25))),0,1),1))</f>
        <v/>
      </c>
      <c r="Y786" s="13" t="str">
        <f>IF(Data!$G786="","",IF(Data!$G786=Data_Val!$C$2,IF(Data!S786="",0,1),0))</f>
        <v/>
      </c>
      <c r="Z786" s="13" t="str">
        <f>IF(Data!S786="","",IF(ISNUMBER(MATCH(Data!T786,Data_Val!$A$2:$A$3,0)),0,1))</f>
        <v/>
      </c>
      <c r="AA786" s="28" t="str">
        <f ca="1">IF(Data!S786="","",IF(ISNUMBER(Data!U786),IF(AND(Data!U786&gt;(TODAY()-(Data_Val!$L$3*365.25)),Data!U786&lt;=(TODAY()-(Data_Val!$L$2*365.25))),0,1),1))</f>
        <v/>
      </c>
      <c r="AB786" s="11"/>
      <c r="AC786" s="11" t="e">
        <f>IF(Data!#REF!="","",IF(ISNUMBER(MATCH(Data!#REF!,Data_Val!$A$2:$A$3,0)),0,1))</f>
        <v>#REF!</v>
      </c>
      <c r="AD786" s="11" t="e">
        <f ca="1">IF(Data!#REF!="","",IF(ISNUMBER(Data!#REF!),IF(AND(Data!#REF!&gt;(TODAY()-(Data_Val!$L$3*365.25)),Data!#REF!&lt;=(TODAY()-(Data_Val!$L$2*365.25))),0,1),1))</f>
        <v>#REF!</v>
      </c>
      <c r="AE786" s="11" t="e">
        <f>IF(Data!#REF!="","",IF(Data!$G786="",1,IF(ISNUMBER(MATCH(Data!#REF!,Data_Val!$D$2:$D$10,0)),0,1)))</f>
        <v>#REF!</v>
      </c>
      <c r="AF786" s="12"/>
      <c r="AG786" s="12" t="e">
        <f>IF(Data!#REF!="","",IF(ISNUMBER(MATCH(Data!#REF!,Data_Val!$A$2:$A$3,0)),0,1))</f>
        <v>#REF!</v>
      </c>
      <c r="AH786" s="26" t="e">
        <f ca="1">IF(Data!#REF!="","",IF(ISNUMBER(Data!#REF!),IF(AND(Data!#REF!&gt;(TODAY()-(Data_Val!$L$3*365.25)),Data!#REF!&lt;=(TODAY()-(Data_Val!$L$2*365.25))),0,1),1))</f>
        <v>#REF!</v>
      </c>
      <c r="AI786" s="12" t="e">
        <f>IF(Data!#REF!="","",IF(Data!$G786="",1,IF(ISNUMBER(MATCH(Data!#REF!,Data_Val!$D$2:$D$10,0)),0,1)))</f>
        <v>#REF!</v>
      </c>
      <c r="AJ786" s="17"/>
      <c r="AK786" s="17" t="e">
        <f>IF(Data!#REF!="","",IF(ISNUMBER(MATCH(Data!#REF!,Data_Val!$A$2:$A$3,0)),0,1))</f>
        <v>#REF!</v>
      </c>
      <c r="AL786" s="25" t="e">
        <f ca="1">IF(Data!#REF!="","",IF(ISNUMBER(Data!#REF!),IF(AND(Data!#REF!&gt;(TODAY()-(Data_Val!$L$3*365.25)),Data!#REF!&lt;=(TODAY()-(Data_Val!$L$2*365.25))),0,1),1))</f>
        <v>#REF!</v>
      </c>
      <c r="AM786" s="17" t="e">
        <f>IF(Data!#REF!="","",IF(Data!$G786="",1,IF(ISNUMBER(MATCH(Data!#REF!,Data_Val!$D$2:$D$10,0)),0,1)))</f>
        <v>#REF!</v>
      </c>
      <c r="AN786" s="13"/>
      <c r="AO786" s="28" t="e">
        <f ca="1">IF(Data!#REF!="","",IF(ISNUMBER(Data!#REF!),IF(AND(Data!#REF!&gt;(TODAY()-(Data_Val!$I$3*365.25)),Data!#REF!&lt;=(TODAY()-(Data_Val!$I$2*365.25))),0,1),1))</f>
        <v>#REF!</v>
      </c>
      <c r="AP786" s="13" t="e">
        <f>IF(Data!#REF!="","",IF(Data!$G786="",1,IF(ISNUMBER(MATCH(Data!#REF!,Data_Val!$D$2:$D$10,0)),0,1)))</f>
        <v>#REF!</v>
      </c>
      <c r="AQ786" s="17"/>
      <c r="AR786" s="30" t="e">
        <f ca="1">IF(Data!#REF!="","",IF(ISNUMBER(Data!#REF!),IF(AND(Data!#REF!&gt;(TODAY()-(Data_Val!$I$3*365.25)),Data!#REF!&lt;=(TODAY()-(Data_Val!$I$2*365.25))),0,1),1))</f>
        <v>#REF!</v>
      </c>
      <c r="AS786" s="31" t="e">
        <f>IF(Data!#REF!="","",IF(Data!$G786="",1,IF(ISNUMBER(MATCH(Data!#REF!,Data_Val!$D$2:$D$10,0)),0,1)))</f>
        <v>#REF!</v>
      </c>
      <c r="AT786" s="11"/>
      <c r="AU786" s="11" t="e">
        <f ca="1">IF(Data!#REF!="","",IF(ISNUMBER(Data!#REF!),IF(AND(Data!#REF!&gt;(TODAY()-(Data_Val!$I$3*365.25)),Data!#REF!&lt;=(TODAY()-(Data_Val!$I$2*365.25))),0,1),1))</f>
        <v>#REF!</v>
      </c>
      <c r="AV786" s="11" t="e">
        <f>IF(Data!#REF!="","",IF(Data!$G786="",1,IF(ISNUMBER(MATCH(Data!#REF!,Data_Val!$D$2:$D$10,0)),0,1)))</f>
        <v>#REF!</v>
      </c>
      <c r="AW786" s="12"/>
      <c r="AX786" s="26" t="e">
        <f ca="1">IF(Data!#REF!="","",IF(ISNUMBER(Data!#REF!),IF(AND(Data!#REF!&gt;(TODAY()-(Data_Val!$I$3*365.25)),Data!#REF!&lt;=(TODAY()-(Data_Val!$I$2*365.25))),0,1),1))</f>
        <v>#REF!</v>
      </c>
      <c r="AY786" s="12" t="e">
        <f>IF(Data!#REF!="","",IF(Data!$G786="",1,IF(ISNUMBER(MATCH(Data!#REF!,Data_Val!$D$2:$D$10,0)),0,1)))</f>
        <v>#REF!</v>
      </c>
      <c r="AZ786" s="11"/>
      <c r="BA786" s="19" t="e">
        <f ca="1">IF(Data!#REF!="","",IF(ISNUMBER(Data!#REF!),IF(AND(Data!#REF!&gt;(TODAY()-(Data_Val!$M$3*365.25)),Data!#REF!&lt;=(TODAY()-(Data_Val!$M$2*365.25))),0,1),1))</f>
        <v>#REF!</v>
      </c>
      <c r="BB786" s="11" t="e">
        <f>IF(Data!#REF!="","",IF(Data!$G786="",1,IF(ISNUMBER(MATCH(Data!#REF!,Data_Val!$D$2:$D$10,0)),0,1)))</f>
        <v>#REF!</v>
      </c>
      <c r="BC786" s="12"/>
      <c r="BD786" s="20" t="e">
        <f ca="1">IF(Data!#REF!="","",IF(ISNUMBER(Data!#REF!),IF(AND(Data!#REF!&gt;(TODAY()-(Data_Val!$M$3*365.25)),Data!#REF!&lt;=(TODAY()-(Data_Val!$M$2*365.25))),0,1),1))</f>
        <v>#REF!</v>
      </c>
      <c r="BE786" s="12" t="e">
        <f>IF(Data!#REF!="","",IF(Data!$G786="",1,IF(ISNUMBER(MATCH(Data!#REF!,Data_Val!$D$2:$D$10,0)),0,1)))</f>
        <v>#REF!</v>
      </c>
      <c r="BF786" s="17"/>
      <c r="BG786" s="18" t="e">
        <f ca="1">IF(Data!#REF!="","",IF(ISNUMBER(Data!#REF!),IF(AND(Data!#REF!&gt;(TODAY()-(Data_Val!$M$3*365.25)),Data!#REF!&lt;=(TODAY()-(Data_Val!$M$2*365.25))),0,1),1))</f>
        <v>#REF!</v>
      </c>
      <c r="BH786" s="29" t="e">
        <f>IF(Data!#REF!="","",IF(Data!$G786="",1,IF(ISNUMBER(MATCH(Data!#REF!,Data_Val!$D$2:$D$10,0)),0,1)))</f>
        <v>#REF!</v>
      </c>
      <c r="BI786" s="13"/>
      <c r="BJ786" s="21" t="e">
        <f ca="1">IF(Data!#REF!="","",IF(ISNUMBER(Data!#REF!),IF(AND(Data!#REF!&gt;(TODAY()-(Data_Val!$M$3*365.25)),Data!#REF!&lt;=(TODAY()-(Data_Val!$M$2*365.25))),0,1),1))</f>
        <v>#REF!</v>
      </c>
      <c r="BK786" s="13" t="e">
        <f>IF(Data!#REF!="","",IF(Data!$G786="",1,IF(ISNUMBER(MATCH(Data!#REF!,Data_Val!$D$2:$D$10,0)),0,1)))</f>
        <v>#REF!</v>
      </c>
    </row>
    <row r="787" spans="1:63" x14ac:dyDescent="0.25">
      <c r="A787" s="9" t="str">
        <f>IF(Data!B787="","",IF(COUNTIFS(Data!A$1:'Data'!A787,Data!A787)&lt;=1,0,1))</f>
        <v/>
      </c>
      <c r="B787" s="9"/>
      <c r="C787" s="23" t="str">
        <f>IF(Data!C787="","",(IF(ISNUMBER(MATCH("*@*.?*",Data!C787,0)),0,1)+IF(COUNTIFS(Data!C$1:'Data'!C787,Data!C787)&gt;1,1,0)))</f>
        <v/>
      </c>
      <c r="D787" s="9" t="str">
        <f>IF(Data!B787="","",IF(ISNUMBER(Data!D787),IF(AND(Data!D787&gt;999999999,Data!D787&lt;=9999999999),IF(COUNTIFS(Data!D$1:'Data'!D787,Data!D787)&lt;=1,0,1),1),1))</f>
        <v/>
      </c>
      <c r="E787" s="9" t="str">
        <f>IF(Data!B787="","",IF(ISNUMBER(MATCH(Data!E787,Data_Val!$A$2:$A$3,0)),0,1))</f>
        <v/>
      </c>
      <c r="F787" s="9" t="str">
        <f ca="1">IF(Data!B787="","",IF(ISNUMBER(Data!F787),IF(AND(Data!F787&gt;(TODAY()-(Data_Val!$H$3*365.25)),Data!F787&lt;=(TODAY()-(Data_Val!$H$2*365.25))),0,1),1))</f>
        <v/>
      </c>
      <c r="G787" s="15" t="str">
        <f>IF(Data!B787="","",IF(AND(Data!G787="",Data!H787&lt;&gt;""),1,IF(Data!#REF!&lt;&gt;"",0,IF(ISNUMBER(MATCH(Data!G787,Data_Val!$C$2:$C$5,0)),0,1))))</f>
        <v/>
      </c>
      <c r="H787" s="15" t="str">
        <f>IF(Data!B787="","",IF(AND(Data!G787&lt;&gt;"",Data!H787=""),1,IF(Data!#REF!&lt;&gt;"",0,IF(Data!G787="",1,IF(ISNUMBER(MATCH(Data!H787,Data_Val!$D$2:$D$35,0)),0,1)))))</f>
        <v/>
      </c>
      <c r="I787" s="15" t="str">
        <f>IF(Data!B787="","",IF(Data!G787&lt;&gt;"",0,IF(ISNUMBER(MATCH(Data!#REF!,Data_Val!$E$2:$E$12,0)),0,1)))</f>
        <v/>
      </c>
      <c r="J787" s="16" t="e">
        <f>IF(OR(Data!B787="",Data!#REF!=""),"",IF(Data!#REF!="",1,0))</f>
        <v>#REF!</v>
      </c>
      <c r="K787" s="16" t="e">
        <f>IF(OR(Data!B787="",Data!#REF!=""),"",IF(Data!#REF!="",1,0))</f>
        <v>#REF!</v>
      </c>
      <c r="L787" s="16" t="e">
        <f>IF(OR(Data!B787="",Data!#REF!=""),"",IF(ISNUMBER(Data!#REF!),IF(AND(Data!#REF!&gt;Data_Val!$G$2,Data!#REF!&lt;=Data_Val!$G$3),0,1),1))</f>
        <v>#REF!</v>
      </c>
      <c r="M787" s="9" t="e">
        <f>IF(OR(Data!B787="",Data!#REF!=""),"",IF(ISNUMBER(MATCH(Data!#REF!,Data_Val!$F$1:$F$38,0)),0,1))</f>
        <v>#REF!</v>
      </c>
      <c r="N787" s="9" t="e">
        <f>IF(OR(Data!B787="",Data!#REF!=""),"",IF(Data!#REF!="",1,0))</f>
        <v>#REF!</v>
      </c>
      <c r="O787" s="17" t="e">
        <f>IF(Data!#REF!="","",IF(Data!#REF!="",1,0))</f>
        <v>#REF!</v>
      </c>
      <c r="P787" s="17" t="e">
        <f>IF(Data!#REF!="","",IF(ISNUMBER(MATCH(Data!#REF!,Data_Val!$A$2:$A$3,0)),0,1))</f>
        <v>#REF!</v>
      </c>
      <c r="Q787" s="25" t="e">
        <f ca="1">IF(Data!#REF!="","",IF(ISNUMBER(Data!#REF!),IF(AND(Data!#REF!&gt;(TODAY()-(Data_Val!$J$3*365.25)),Data!#REF!&lt;=(TODAY()-(Data_Val!$J$2*365.25))),0,1),1))</f>
        <v>#REF!</v>
      </c>
      <c r="R787" s="17" t="e">
        <f>IF(Data!#REF!="","",IF(ISNUMBER(MATCH(Data!#REF!,Data_Val!$B$2:$B$15,0)),0,1))</f>
        <v>#REF!</v>
      </c>
      <c r="S787" s="11" t="str">
        <f>IF(Data!G787="","",IF(Data!G787=Data_Val!$C$2,IF(Data!M787="",0,1),0))</f>
        <v/>
      </c>
      <c r="T787" s="11" t="str">
        <f>IF(Data!M787="","",IF(ISNUMBER(MATCH(Data!N787,Data_Val!$A$2:$A$3,0)),0,1))</f>
        <v/>
      </c>
      <c r="U787" s="11" t="str">
        <f ca="1">IF(Data!M787="","",IF(ISNUMBER(Data!O787),IF(AND(Data!O787&gt;(TODAY()-(Data_Val!$K$3*365.25)),Data!O787&lt;=(TODAY()-(Data_Val!$K$2*365.25))),0,1),1))</f>
        <v/>
      </c>
      <c r="V787" s="12" t="str">
        <f>IF(Data!G787="","",IF(Data!G787=Data_Val!$C$2,IF(Data!P787="",0,1),0))</f>
        <v/>
      </c>
      <c r="W787" s="12" t="str">
        <f>IF(Data!P787="","",IF(ISNUMBER(MATCH(Data!Q787,Data_Val!$A$2:$A$3,0)),0,1))</f>
        <v/>
      </c>
      <c r="X787" s="26" t="str">
        <f ca="1">IF(Data!P787="","",IF(ISNUMBER(Data!R787),IF(AND(Data!R787&gt;(TODAY()-(Data_Val!$L$3*365.25)),Data!R787&lt;=(TODAY()-(Data_Val!$L$2*365.25))),0,1),1))</f>
        <v/>
      </c>
      <c r="Y787" s="13" t="str">
        <f>IF(Data!$G787="","",IF(Data!$G787=Data_Val!$C$2,IF(Data!S787="",0,1),0))</f>
        <v/>
      </c>
      <c r="Z787" s="13" t="str">
        <f>IF(Data!S787="","",IF(ISNUMBER(MATCH(Data!T787,Data_Val!$A$2:$A$3,0)),0,1))</f>
        <v/>
      </c>
      <c r="AA787" s="28" t="str">
        <f ca="1">IF(Data!S787="","",IF(ISNUMBER(Data!U787),IF(AND(Data!U787&gt;(TODAY()-(Data_Val!$L$3*365.25)),Data!U787&lt;=(TODAY()-(Data_Val!$L$2*365.25))),0,1),1))</f>
        <v/>
      </c>
      <c r="AB787" s="11"/>
      <c r="AC787" s="11" t="e">
        <f>IF(Data!#REF!="","",IF(ISNUMBER(MATCH(Data!#REF!,Data_Val!$A$2:$A$3,0)),0,1))</f>
        <v>#REF!</v>
      </c>
      <c r="AD787" s="11" t="e">
        <f ca="1">IF(Data!#REF!="","",IF(ISNUMBER(Data!#REF!),IF(AND(Data!#REF!&gt;(TODAY()-(Data_Val!$L$3*365.25)),Data!#REF!&lt;=(TODAY()-(Data_Val!$L$2*365.25))),0,1),1))</f>
        <v>#REF!</v>
      </c>
      <c r="AE787" s="11" t="e">
        <f>IF(Data!#REF!="","",IF(Data!$G787="",1,IF(ISNUMBER(MATCH(Data!#REF!,Data_Val!$D$2:$D$10,0)),0,1)))</f>
        <v>#REF!</v>
      </c>
      <c r="AF787" s="12"/>
      <c r="AG787" s="12" t="e">
        <f>IF(Data!#REF!="","",IF(ISNUMBER(MATCH(Data!#REF!,Data_Val!$A$2:$A$3,0)),0,1))</f>
        <v>#REF!</v>
      </c>
      <c r="AH787" s="26" t="e">
        <f ca="1">IF(Data!#REF!="","",IF(ISNUMBER(Data!#REF!),IF(AND(Data!#REF!&gt;(TODAY()-(Data_Val!$L$3*365.25)),Data!#REF!&lt;=(TODAY()-(Data_Val!$L$2*365.25))),0,1),1))</f>
        <v>#REF!</v>
      </c>
      <c r="AI787" s="12" t="e">
        <f>IF(Data!#REF!="","",IF(Data!$G787="",1,IF(ISNUMBER(MATCH(Data!#REF!,Data_Val!$D$2:$D$10,0)),0,1)))</f>
        <v>#REF!</v>
      </c>
      <c r="AJ787" s="17"/>
      <c r="AK787" s="17" t="e">
        <f>IF(Data!#REF!="","",IF(ISNUMBER(MATCH(Data!#REF!,Data_Val!$A$2:$A$3,0)),0,1))</f>
        <v>#REF!</v>
      </c>
      <c r="AL787" s="25" t="e">
        <f ca="1">IF(Data!#REF!="","",IF(ISNUMBER(Data!#REF!),IF(AND(Data!#REF!&gt;(TODAY()-(Data_Val!$L$3*365.25)),Data!#REF!&lt;=(TODAY()-(Data_Val!$L$2*365.25))),0,1),1))</f>
        <v>#REF!</v>
      </c>
      <c r="AM787" s="17" t="e">
        <f>IF(Data!#REF!="","",IF(Data!$G787="",1,IF(ISNUMBER(MATCH(Data!#REF!,Data_Val!$D$2:$D$10,0)),0,1)))</f>
        <v>#REF!</v>
      </c>
      <c r="AN787" s="13"/>
      <c r="AO787" s="28" t="e">
        <f ca="1">IF(Data!#REF!="","",IF(ISNUMBER(Data!#REF!),IF(AND(Data!#REF!&gt;(TODAY()-(Data_Val!$I$3*365.25)),Data!#REF!&lt;=(TODAY()-(Data_Val!$I$2*365.25))),0,1),1))</f>
        <v>#REF!</v>
      </c>
      <c r="AP787" s="13" t="e">
        <f>IF(Data!#REF!="","",IF(Data!$G787="",1,IF(ISNUMBER(MATCH(Data!#REF!,Data_Val!$D$2:$D$10,0)),0,1)))</f>
        <v>#REF!</v>
      </c>
      <c r="AQ787" s="17"/>
      <c r="AR787" s="30" t="e">
        <f ca="1">IF(Data!#REF!="","",IF(ISNUMBER(Data!#REF!),IF(AND(Data!#REF!&gt;(TODAY()-(Data_Val!$I$3*365.25)),Data!#REF!&lt;=(TODAY()-(Data_Val!$I$2*365.25))),0,1),1))</f>
        <v>#REF!</v>
      </c>
      <c r="AS787" s="31" t="e">
        <f>IF(Data!#REF!="","",IF(Data!$G787="",1,IF(ISNUMBER(MATCH(Data!#REF!,Data_Val!$D$2:$D$10,0)),0,1)))</f>
        <v>#REF!</v>
      </c>
      <c r="AT787" s="11"/>
      <c r="AU787" s="11" t="e">
        <f ca="1">IF(Data!#REF!="","",IF(ISNUMBER(Data!#REF!),IF(AND(Data!#REF!&gt;(TODAY()-(Data_Val!$I$3*365.25)),Data!#REF!&lt;=(TODAY()-(Data_Val!$I$2*365.25))),0,1),1))</f>
        <v>#REF!</v>
      </c>
      <c r="AV787" s="11" t="e">
        <f>IF(Data!#REF!="","",IF(Data!$G787="",1,IF(ISNUMBER(MATCH(Data!#REF!,Data_Val!$D$2:$D$10,0)),0,1)))</f>
        <v>#REF!</v>
      </c>
      <c r="AW787" s="12"/>
      <c r="AX787" s="26" t="e">
        <f ca="1">IF(Data!#REF!="","",IF(ISNUMBER(Data!#REF!),IF(AND(Data!#REF!&gt;(TODAY()-(Data_Val!$I$3*365.25)),Data!#REF!&lt;=(TODAY()-(Data_Val!$I$2*365.25))),0,1),1))</f>
        <v>#REF!</v>
      </c>
      <c r="AY787" s="12" t="e">
        <f>IF(Data!#REF!="","",IF(Data!$G787="",1,IF(ISNUMBER(MATCH(Data!#REF!,Data_Val!$D$2:$D$10,0)),0,1)))</f>
        <v>#REF!</v>
      </c>
      <c r="AZ787" s="11"/>
      <c r="BA787" s="19" t="e">
        <f ca="1">IF(Data!#REF!="","",IF(ISNUMBER(Data!#REF!),IF(AND(Data!#REF!&gt;(TODAY()-(Data_Val!$M$3*365.25)),Data!#REF!&lt;=(TODAY()-(Data_Val!$M$2*365.25))),0,1),1))</f>
        <v>#REF!</v>
      </c>
      <c r="BB787" s="11" t="e">
        <f>IF(Data!#REF!="","",IF(Data!$G787="",1,IF(ISNUMBER(MATCH(Data!#REF!,Data_Val!$D$2:$D$10,0)),0,1)))</f>
        <v>#REF!</v>
      </c>
      <c r="BC787" s="12"/>
      <c r="BD787" s="20" t="e">
        <f ca="1">IF(Data!#REF!="","",IF(ISNUMBER(Data!#REF!),IF(AND(Data!#REF!&gt;(TODAY()-(Data_Val!$M$3*365.25)),Data!#REF!&lt;=(TODAY()-(Data_Val!$M$2*365.25))),0,1),1))</f>
        <v>#REF!</v>
      </c>
      <c r="BE787" s="12" t="e">
        <f>IF(Data!#REF!="","",IF(Data!$G787="",1,IF(ISNUMBER(MATCH(Data!#REF!,Data_Val!$D$2:$D$10,0)),0,1)))</f>
        <v>#REF!</v>
      </c>
      <c r="BF787" s="17"/>
      <c r="BG787" s="18" t="e">
        <f ca="1">IF(Data!#REF!="","",IF(ISNUMBER(Data!#REF!),IF(AND(Data!#REF!&gt;(TODAY()-(Data_Val!$M$3*365.25)),Data!#REF!&lt;=(TODAY()-(Data_Val!$M$2*365.25))),0,1),1))</f>
        <v>#REF!</v>
      </c>
      <c r="BH787" s="29" t="e">
        <f>IF(Data!#REF!="","",IF(Data!$G787="",1,IF(ISNUMBER(MATCH(Data!#REF!,Data_Val!$D$2:$D$10,0)),0,1)))</f>
        <v>#REF!</v>
      </c>
      <c r="BI787" s="13"/>
      <c r="BJ787" s="21" t="e">
        <f ca="1">IF(Data!#REF!="","",IF(ISNUMBER(Data!#REF!),IF(AND(Data!#REF!&gt;(TODAY()-(Data_Val!$M$3*365.25)),Data!#REF!&lt;=(TODAY()-(Data_Val!$M$2*365.25))),0,1),1))</f>
        <v>#REF!</v>
      </c>
      <c r="BK787" s="13" t="e">
        <f>IF(Data!#REF!="","",IF(Data!$G787="",1,IF(ISNUMBER(MATCH(Data!#REF!,Data_Val!$D$2:$D$10,0)),0,1)))</f>
        <v>#REF!</v>
      </c>
    </row>
    <row r="788" spans="1:63" x14ac:dyDescent="0.25">
      <c r="A788" s="9" t="str">
        <f>IF(Data!B788="","",IF(COUNTIFS(Data!A$1:'Data'!A788,Data!A788)&lt;=1,0,1))</f>
        <v/>
      </c>
      <c r="B788" s="9"/>
      <c r="C788" s="23" t="str">
        <f>IF(Data!C788="","",(IF(ISNUMBER(MATCH("*@*.?*",Data!C788,0)),0,1)+IF(COUNTIFS(Data!C$1:'Data'!C788,Data!C788)&gt;1,1,0)))</f>
        <v/>
      </c>
      <c r="D788" s="9" t="str">
        <f>IF(Data!B788="","",IF(ISNUMBER(Data!D788),IF(AND(Data!D788&gt;999999999,Data!D788&lt;=9999999999),IF(COUNTIFS(Data!D$1:'Data'!D788,Data!D788)&lt;=1,0,1),1),1))</f>
        <v/>
      </c>
      <c r="E788" s="9" t="str">
        <f>IF(Data!B788="","",IF(ISNUMBER(MATCH(Data!E788,Data_Val!$A$2:$A$3,0)),0,1))</f>
        <v/>
      </c>
      <c r="F788" s="9" t="str">
        <f ca="1">IF(Data!B788="","",IF(ISNUMBER(Data!F788),IF(AND(Data!F788&gt;(TODAY()-(Data_Val!$H$3*365.25)),Data!F788&lt;=(TODAY()-(Data_Val!$H$2*365.25))),0,1),1))</f>
        <v/>
      </c>
      <c r="G788" s="15" t="str">
        <f>IF(Data!B788="","",IF(AND(Data!G788="",Data!H788&lt;&gt;""),1,IF(Data!#REF!&lt;&gt;"",0,IF(ISNUMBER(MATCH(Data!G788,Data_Val!$C$2:$C$5,0)),0,1))))</f>
        <v/>
      </c>
      <c r="H788" s="15" t="str">
        <f>IF(Data!B788="","",IF(AND(Data!G788&lt;&gt;"",Data!H788=""),1,IF(Data!#REF!&lt;&gt;"",0,IF(Data!G788="",1,IF(ISNUMBER(MATCH(Data!H788,Data_Val!$D$2:$D$35,0)),0,1)))))</f>
        <v/>
      </c>
      <c r="I788" s="15" t="str">
        <f>IF(Data!B788="","",IF(Data!G788&lt;&gt;"",0,IF(ISNUMBER(MATCH(Data!#REF!,Data_Val!$E$2:$E$12,0)),0,1)))</f>
        <v/>
      </c>
      <c r="J788" s="16" t="e">
        <f>IF(OR(Data!B788="",Data!#REF!=""),"",IF(Data!#REF!="",1,0))</f>
        <v>#REF!</v>
      </c>
      <c r="K788" s="16" t="e">
        <f>IF(OR(Data!B788="",Data!#REF!=""),"",IF(Data!#REF!="",1,0))</f>
        <v>#REF!</v>
      </c>
      <c r="L788" s="16" t="e">
        <f>IF(OR(Data!B788="",Data!#REF!=""),"",IF(ISNUMBER(Data!#REF!),IF(AND(Data!#REF!&gt;Data_Val!$G$2,Data!#REF!&lt;=Data_Val!$G$3),0,1),1))</f>
        <v>#REF!</v>
      </c>
      <c r="M788" s="9" t="e">
        <f>IF(OR(Data!B788="",Data!#REF!=""),"",IF(ISNUMBER(MATCH(Data!#REF!,Data_Val!$F$1:$F$38,0)),0,1))</f>
        <v>#REF!</v>
      </c>
      <c r="N788" s="9" t="e">
        <f>IF(OR(Data!B788="",Data!#REF!=""),"",IF(Data!#REF!="",1,0))</f>
        <v>#REF!</v>
      </c>
      <c r="O788" s="17" t="e">
        <f>IF(Data!#REF!="","",IF(Data!#REF!="",1,0))</f>
        <v>#REF!</v>
      </c>
      <c r="P788" s="17" t="e">
        <f>IF(Data!#REF!="","",IF(ISNUMBER(MATCH(Data!#REF!,Data_Val!$A$2:$A$3,0)),0,1))</f>
        <v>#REF!</v>
      </c>
      <c r="Q788" s="25" t="e">
        <f ca="1">IF(Data!#REF!="","",IF(ISNUMBER(Data!#REF!),IF(AND(Data!#REF!&gt;(TODAY()-(Data_Val!$J$3*365.25)),Data!#REF!&lt;=(TODAY()-(Data_Val!$J$2*365.25))),0,1),1))</f>
        <v>#REF!</v>
      </c>
      <c r="R788" s="17" t="e">
        <f>IF(Data!#REF!="","",IF(ISNUMBER(MATCH(Data!#REF!,Data_Val!$B$2:$B$15,0)),0,1))</f>
        <v>#REF!</v>
      </c>
      <c r="S788" s="11" t="str">
        <f>IF(Data!G788="","",IF(Data!G788=Data_Val!$C$2,IF(Data!M788="",0,1),0))</f>
        <v/>
      </c>
      <c r="T788" s="11" t="str">
        <f>IF(Data!M788="","",IF(ISNUMBER(MATCH(Data!N788,Data_Val!$A$2:$A$3,0)),0,1))</f>
        <v/>
      </c>
      <c r="U788" s="11" t="str">
        <f ca="1">IF(Data!M788="","",IF(ISNUMBER(Data!O788),IF(AND(Data!O788&gt;(TODAY()-(Data_Val!$K$3*365.25)),Data!O788&lt;=(TODAY()-(Data_Val!$K$2*365.25))),0,1),1))</f>
        <v/>
      </c>
      <c r="V788" s="12" t="str">
        <f>IF(Data!G788="","",IF(Data!G788=Data_Val!$C$2,IF(Data!P788="",0,1),0))</f>
        <v/>
      </c>
      <c r="W788" s="12" t="str">
        <f>IF(Data!P788="","",IF(ISNUMBER(MATCH(Data!Q788,Data_Val!$A$2:$A$3,0)),0,1))</f>
        <v/>
      </c>
      <c r="X788" s="26" t="str">
        <f ca="1">IF(Data!P788="","",IF(ISNUMBER(Data!R788),IF(AND(Data!R788&gt;(TODAY()-(Data_Val!$L$3*365.25)),Data!R788&lt;=(TODAY()-(Data_Val!$L$2*365.25))),0,1),1))</f>
        <v/>
      </c>
      <c r="Y788" s="13" t="str">
        <f>IF(Data!$G788="","",IF(Data!$G788=Data_Val!$C$2,IF(Data!S788="",0,1),0))</f>
        <v/>
      </c>
      <c r="Z788" s="13" t="str">
        <f>IF(Data!S788="","",IF(ISNUMBER(MATCH(Data!T788,Data_Val!$A$2:$A$3,0)),0,1))</f>
        <v/>
      </c>
      <c r="AA788" s="28" t="str">
        <f ca="1">IF(Data!S788="","",IF(ISNUMBER(Data!U788),IF(AND(Data!U788&gt;(TODAY()-(Data_Val!$L$3*365.25)),Data!U788&lt;=(TODAY()-(Data_Val!$L$2*365.25))),0,1),1))</f>
        <v/>
      </c>
      <c r="AB788" s="11"/>
      <c r="AC788" s="11" t="e">
        <f>IF(Data!#REF!="","",IF(ISNUMBER(MATCH(Data!#REF!,Data_Val!$A$2:$A$3,0)),0,1))</f>
        <v>#REF!</v>
      </c>
      <c r="AD788" s="11" t="e">
        <f ca="1">IF(Data!#REF!="","",IF(ISNUMBER(Data!#REF!),IF(AND(Data!#REF!&gt;(TODAY()-(Data_Val!$L$3*365.25)),Data!#REF!&lt;=(TODAY()-(Data_Val!$L$2*365.25))),0,1),1))</f>
        <v>#REF!</v>
      </c>
      <c r="AE788" s="11" t="e">
        <f>IF(Data!#REF!="","",IF(Data!$G788="",1,IF(ISNUMBER(MATCH(Data!#REF!,Data_Val!$D$2:$D$10,0)),0,1)))</f>
        <v>#REF!</v>
      </c>
      <c r="AF788" s="12"/>
      <c r="AG788" s="12" t="e">
        <f>IF(Data!#REF!="","",IF(ISNUMBER(MATCH(Data!#REF!,Data_Val!$A$2:$A$3,0)),0,1))</f>
        <v>#REF!</v>
      </c>
      <c r="AH788" s="26" t="e">
        <f ca="1">IF(Data!#REF!="","",IF(ISNUMBER(Data!#REF!),IF(AND(Data!#REF!&gt;(TODAY()-(Data_Val!$L$3*365.25)),Data!#REF!&lt;=(TODAY()-(Data_Val!$L$2*365.25))),0,1),1))</f>
        <v>#REF!</v>
      </c>
      <c r="AI788" s="12" t="e">
        <f>IF(Data!#REF!="","",IF(Data!$G788="",1,IF(ISNUMBER(MATCH(Data!#REF!,Data_Val!$D$2:$D$10,0)),0,1)))</f>
        <v>#REF!</v>
      </c>
      <c r="AJ788" s="17"/>
      <c r="AK788" s="17" t="e">
        <f>IF(Data!#REF!="","",IF(ISNUMBER(MATCH(Data!#REF!,Data_Val!$A$2:$A$3,0)),0,1))</f>
        <v>#REF!</v>
      </c>
      <c r="AL788" s="25" t="e">
        <f ca="1">IF(Data!#REF!="","",IF(ISNUMBER(Data!#REF!),IF(AND(Data!#REF!&gt;(TODAY()-(Data_Val!$L$3*365.25)),Data!#REF!&lt;=(TODAY()-(Data_Val!$L$2*365.25))),0,1),1))</f>
        <v>#REF!</v>
      </c>
      <c r="AM788" s="17" t="e">
        <f>IF(Data!#REF!="","",IF(Data!$G788="",1,IF(ISNUMBER(MATCH(Data!#REF!,Data_Val!$D$2:$D$10,0)),0,1)))</f>
        <v>#REF!</v>
      </c>
      <c r="AN788" s="13"/>
      <c r="AO788" s="28" t="e">
        <f ca="1">IF(Data!#REF!="","",IF(ISNUMBER(Data!#REF!),IF(AND(Data!#REF!&gt;(TODAY()-(Data_Val!$I$3*365.25)),Data!#REF!&lt;=(TODAY()-(Data_Val!$I$2*365.25))),0,1),1))</f>
        <v>#REF!</v>
      </c>
      <c r="AP788" s="13" t="e">
        <f>IF(Data!#REF!="","",IF(Data!$G788="",1,IF(ISNUMBER(MATCH(Data!#REF!,Data_Val!$D$2:$D$10,0)),0,1)))</f>
        <v>#REF!</v>
      </c>
      <c r="AQ788" s="17"/>
      <c r="AR788" s="30" t="e">
        <f ca="1">IF(Data!#REF!="","",IF(ISNUMBER(Data!#REF!),IF(AND(Data!#REF!&gt;(TODAY()-(Data_Val!$I$3*365.25)),Data!#REF!&lt;=(TODAY()-(Data_Val!$I$2*365.25))),0,1),1))</f>
        <v>#REF!</v>
      </c>
      <c r="AS788" s="31" t="e">
        <f>IF(Data!#REF!="","",IF(Data!$G788="",1,IF(ISNUMBER(MATCH(Data!#REF!,Data_Val!$D$2:$D$10,0)),0,1)))</f>
        <v>#REF!</v>
      </c>
      <c r="AT788" s="11"/>
      <c r="AU788" s="11" t="e">
        <f ca="1">IF(Data!#REF!="","",IF(ISNUMBER(Data!#REF!),IF(AND(Data!#REF!&gt;(TODAY()-(Data_Val!$I$3*365.25)),Data!#REF!&lt;=(TODAY()-(Data_Val!$I$2*365.25))),0,1),1))</f>
        <v>#REF!</v>
      </c>
      <c r="AV788" s="11" t="e">
        <f>IF(Data!#REF!="","",IF(Data!$G788="",1,IF(ISNUMBER(MATCH(Data!#REF!,Data_Val!$D$2:$D$10,0)),0,1)))</f>
        <v>#REF!</v>
      </c>
      <c r="AW788" s="12"/>
      <c r="AX788" s="26" t="e">
        <f ca="1">IF(Data!#REF!="","",IF(ISNUMBER(Data!#REF!),IF(AND(Data!#REF!&gt;(TODAY()-(Data_Val!$I$3*365.25)),Data!#REF!&lt;=(TODAY()-(Data_Val!$I$2*365.25))),0,1),1))</f>
        <v>#REF!</v>
      </c>
      <c r="AY788" s="12" t="e">
        <f>IF(Data!#REF!="","",IF(Data!$G788="",1,IF(ISNUMBER(MATCH(Data!#REF!,Data_Val!$D$2:$D$10,0)),0,1)))</f>
        <v>#REF!</v>
      </c>
      <c r="AZ788" s="11"/>
      <c r="BA788" s="19" t="e">
        <f ca="1">IF(Data!#REF!="","",IF(ISNUMBER(Data!#REF!),IF(AND(Data!#REF!&gt;(TODAY()-(Data_Val!$M$3*365.25)),Data!#REF!&lt;=(TODAY()-(Data_Val!$M$2*365.25))),0,1),1))</f>
        <v>#REF!</v>
      </c>
      <c r="BB788" s="11" t="e">
        <f>IF(Data!#REF!="","",IF(Data!$G788="",1,IF(ISNUMBER(MATCH(Data!#REF!,Data_Val!$D$2:$D$10,0)),0,1)))</f>
        <v>#REF!</v>
      </c>
      <c r="BC788" s="12"/>
      <c r="BD788" s="20" t="e">
        <f ca="1">IF(Data!#REF!="","",IF(ISNUMBER(Data!#REF!),IF(AND(Data!#REF!&gt;(TODAY()-(Data_Val!$M$3*365.25)),Data!#REF!&lt;=(TODAY()-(Data_Val!$M$2*365.25))),0,1),1))</f>
        <v>#REF!</v>
      </c>
      <c r="BE788" s="12" t="e">
        <f>IF(Data!#REF!="","",IF(Data!$G788="",1,IF(ISNUMBER(MATCH(Data!#REF!,Data_Val!$D$2:$D$10,0)),0,1)))</f>
        <v>#REF!</v>
      </c>
      <c r="BF788" s="17"/>
      <c r="BG788" s="18" t="e">
        <f ca="1">IF(Data!#REF!="","",IF(ISNUMBER(Data!#REF!),IF(AND(Data!#REF!&gt;(TODAY()-(Data_Val!$M$3*365.25)),Data!#REF!&lt;=(TODAY()-(Data_Val!$M$2*365.25))),0,1),1))</f>
        <v>#REF!</v>
      </c>
      <c r="BH788" s="29" t="e">
        <f>IF(Data!#REF!="","",IF(Data!$G788="",1,IF(ISNUMBER(MATCH(Data!#REF!,Data_Val!$D$2:$D$10,0)),0,1)))</f>
        <v>#REF!</v>
      </c>
      <c r="BI788" s="13"/>
      <c r="BJ788" s="21" t="e">
        <f ca="1">IF(Data!#REF!="","",IF(ISNUMBER(Data!#REF!),IF(AND(Data!#REF!&gt;(TODAY()-(Data_Val!$M$3*365.25)),Data!#REF!&lt;=(TODAY()-(Data_Val!$M$2*365.25))),0,1),1))</f>
        <v>#REF!</v>
      </c>
      <c r="BK788" s="13" t="e">
        <f>IF(Data!#REF!="","",IF(Data!$G788="",1,IF(ISNUMBER(MATCH(Data!#REF!,Data_Val!$D$2:$D$10,0)),0,1)))</f>
        <v>#REF!</v>
      </c>
    </row>
    <row r="789" spans="1:63" x14ac:dyDescent="0.25">
      <c r="A789" s="9" t="str">
        <f>IF(Data!B789="","",IF(COUNTIFS(Data!A$1:'Data'!A789,Data!A789)&lt;=1,0,1))</f>
        <v/>
      </c>
      <c r="B789" s="9"/>
      <c r="C789" s="23" t="str">
        <f>IF(Data!C789="","",(IF(ISNUMBER(MATCH("*@*.?*",Data!C789,0)),0,1)+IF(COUNTIFS(Data!C$1:'Data'!C789,Data!C789)&gt;1,1,0)))</f>
        <v/>
      </c>
      <c r="D789" s="9" t="str">
        <f>IF(Data!B789="","",IF(ISNUMBER(Data!D789),IF(AND(Data!D789&gt;999999999,Data!D789&lt;=9999999999),IF(COUNTIFS(Data!D$1:'Data'!D789,Data!D789)&lt;=1,0,1),1),1))</f>
        <v/>
      </c>
      <c r="E789" s="9" t="str">
        <f>IF(Data!B789="","",IF(ISNUMBER(MATCH(Data!E789,Data_Val!$A$2:$A$3,0)),0,1))</f>
        <v/>
      </c>
      <c r="F789" s="9" t="str">
        <f ca="1">IF(Data!B789="","",IF(ISNUMBER(Data!F789),IF(AND(Data!F789&gt;(TODAY()-(Data_Val!$H$3*365.25)),Data!F789&lt;=(TODAY()-(Data_Val!$H$2*365.25))),0,1),1))</f>
        <v/>
      </c>
      <c r="G789" s="15" t="str">
        <f>IF(Data!B789="","",IF(AND(Data!G789="",Data!H789&lt;&gt;""),1,IF(Data!#REF!&lt;&gt;"",0,IF(ISNUMBER(MATCH(Data!G789,Data_Val!$C$2:$C$5,0)),0,1))))</f>
        <v/>
      </c>
      <c r="H789" s="15" t="str">
        <f>IF(Data!B789="","",IF(AND(Data!G789&lt;&gt;"",Data!H789=""),1,IF(Data!#REF!&lt;&gt;"",0,IF(Data!G789="",1,IF(ISNUMBER(MATCH(Data!H789,Data_Val!$D$2:$D$35,0)),0,1)))))</f>
        <v/>
      </c>
      <c r="I789" s="15" t="str">
        <f>IF(Data!B789="","",IF(Data!G789&lt;&gt;"",0,IF(ISNUMBER(MATCH(Data!#REF!,Data_Val!$E$2:$E$12,0)),0,1)))</f>
        <v/>
      </c>
      <c r="J789" s="16" t="e">
        <f>IF(OR(Data!B789="",Data!#REF!=""),"",IF(Data!#REF!="",1,0))</f>
        <v>#REF!</v>
      </c>
      <c r="K789" s="16" t="e">
        <f>IF(OR(Data!B789="",Data!#REF!=""),"",IF(Data!#REF!="",1,0))</f>
        <v>#REF!</v>
      </c>
      <c r="L789" s="16" t="e">
        <f>IF(OR(Data!B789="",Data!#REF!=""),"",IF(ISNUMBER(Data!#REF!),IF(AND(Data!#REF!&gt;Data_Val!$G$2,Data!#REF!&lt;=Data_Val!$G$3),0,1),1))</f>
        <v>#REF!</v>
      </c>
      <c r="M789" s="9" t="e">
        <f>IF(OR(Data!B789="",Data!#REF!=""),"",IF(ISNUMBER(MATCH(Data!#REF!,Data_Val!$F$1:$F$38,0)),0,1))</f>
        <v>#REF!</v>
      </c>
      <c r="N789" s="9" t="e">
        <f>IF(OR(Data!B789="",Data!#REF!=""),"",IF(Data!#REF!="",1,0))</f>
        <v>#REF!</v>
      </c>
      <c r="O789" s="17" t="e">
        <f>IF(Data!#REF!="","",IF(Data!#REF!="",1,0))</f>
        <v>#REF!</v>
      </c>
      <c r="P789" s="17" t="e">
        <f>IF(Data!#REF!="","",IF(ISNUMBER(MATCH(Data!#REF!,Data_Val!$A$2:$A$3,0)),0,1))</f>
        <v>#REF!</v>
      </c>
      <c r="Q789" s="25" t="e">
        <f ca="1">IF(Data!#REF!="","",IF(ISNUMBER(Data!#REF!),IF(AND(Data!#REF!&gt;(TODAY()-(Data_Val!$J$3*365.25)),Data!#REF!&lt;=(TODAY()-(Data_Val!$J$2*365.25))),0,1),1))</f>
        <v>#REF!</v>
      </c>
      <c r="R789" s="17" t="e">
        <f>IF(Data!#REF!="","",IF(ISNUMBER(MATCH(Data!#REF!,Data_Val!$B$2:$B$15,0)),0,1))</f>
        <v>#REF!</v>
      </c>
      <c r="S789" s="11" t="str">
        <f>IF(Data!G789="","",IF(Data!G789=Data_Val!$C$2,IF(Data!M789="",0,1),0))</f>
        <v/>
      </c>
      <c r="T789" s="11" t="str">
        <f>IF(Data!M789="","",IF(ISNUMBER(MATCH(Data!N789,Data_Val!$A$2:$A$3,0)),0,1))</f>
        <v/>
      </c>
      <c r="U789" s="11" t="str">
        <f ca="1">IF(Data!M789="","",IF(ISNUMBER(Data!O789),IF(AND(Data!O789&gt;(TODAY()-(Data_Val!$K$3*365.25)),Data!O789&lt;=(TODAY()-(Data_Val!$K$2*365.25))),0,1),1))</f>
        <v/>
      </c>
      <c r="V789" s="12" t="str">
        <f>IF(Data!G789="","",IF(Data!G789=Data_Val!$C$2,IF(Data!P789="",0,1),0))</f>
        <v/>
      </c>
      <c r="W789" s="12" t="str">
        <f>IF(Data!P789="","",IF(ISNUMBER(MATCH(Data!Q789,Data_Val!$A$2:$A$3,0)),0,1))</f>
        <v/>
      </c>
      <c r="X789" s="26" t="str">
        <f ca="1">IF(Data!P789="","",IF(ISNUMBER(Data!R789),IF(AND(Data!R789&gt;(TODAY()-(Data_Val!$L$3*365.25)),Data!R789&lt;=(TODAY()-(Data_Val!$L$2*365.25))),0,1),1))</f>
        <v/>
      </c>
      <c r="Y789" s="13" t="str">
        <f>IF(Data!$G789="","",IF(Data!$G789=Data_Val!$C$2,IF(Data!S789="",0,1),0))</f>
        <v/>
      </c>
      <c r="Z789" s="13" t="str">
        <f>IF(Data!S789="","",IF(ISNUMBER(MATCH(Data!T789,Data_Val!$A$2:$A$3,0)),0,1))</f>
        <v/>
      </c>
      <c r="AA789" s="28" t="str">
        <f ca="1">IF(Data!S789="","",IF(ISNUMBER(Data!U789),IF(AND(Data!U789&gt;(TODAY()-(Data_Val!$L$3*365.25)),Data!U789&lt;=(TODAY()-(Data_Val!$L$2*365.25))),0,1),1))</f>
        <v/>
      </c>
      <c r="AB789" s="11"/>
      <c r="AC789" s="11" t="e">
        <f>IF(Data!#REF!="","",IF(ISNUMBER(MATCH(Data!#REF!,Data_Val!$A$2:$A$3,0)),0,1))</f>
        <v>#REF!</v>
      </c>
      <c r="AD789" s="11" t="e">
        <f ca="1">IF(Data!#REF!="","",IF(ISNUMBER(Data!#REF!),IF(AND(Data!#REF!&gt;(TODAY()-(Data_Val!$L$3*365.25)),Data!#REF!&lt;=(TODAY()-(Data_Val!$L$2*365.25))),0,1),1))</f>
        <v>#REF!</v>
      </c>
      <c r="AE789" s="11" t="e">
        <f>IF(Data!#REF!="","",IF(Data!$G789="",1,IF(ISNUMBER(MATCH(Data!#REF!,Data_Val!$D$2:$D$10,0)),0,1)))</f>
        <v>#REF!</v>
      </c>
      <c r="AF789" s="12"/>
      <c r="AG789" s="12" t="e">
        <f>IF(Data!#REF!="","",IF(ISNUMBER(MATCH(Data!#REF!,Data_Val!$A$2:$A$3,0)),0,1))</f>
        <v>#REF!</v>
      </c>
      <c r="AH789" s="26" t="e">
        <f ca="1">IF(Data!#REF!="","",IF(ISNUMBER(Data!#REF!),IF(AND(Data!#REF!&gt;(TODAY()-(Data_Val!$L$3*365.25)),Data!#REF!&lt;=(TODAY()-(Data_Val!$L$2*365.25))),0,1),1))</f>
        <v>#REF!</v>
      </c>
      <c r="AI789" s="12" t="e">
        <f>IF(Data!#REF!="","",IF(Data!$G789="",1,IF(ISNUMBER(MATCH(Data!#REF!,Data_Val!$D$2:$D$10,0)),0,1)))</f>
        <v>#REF!</v>
      </c>
      <c r="AJ789" s="17"/>
      <c r="AK789" s="17" t="e">
        <f>IF(Data!#REF!="","",IF(ISNUMBER(MATCH(Data!#REF!,Data_Val!$A$2:$A$3,0)),0,1))</f>
        <v>#REF!</v>
      </c>
      <c r="AL789" s="25" t="e">
        <f ca="1">IF(Data!#REF!="","",IF(ISNUMBER(Data!#REF!),IF(AND(Data!#REF!&gt;(TODAY()-(Data_Val!$L$3*365.25)),Data!#REF!&lt;=(TODAY()-(Data_Val!$L$2*365.25))),0,1),1))</f>
        <v>#REF!</v>
      </c>
      <c r="AM789" s="17" t="e">
        <f>IF(Data!#REF!="","",IF(Data!$G789="",1,IF(ISNUMBER(MATCH(Data!#REF!,Data_Val!$D$2:$D$10,0)),0,1)))</f>
        <v>#REF!</v>
      </c>
      <c r="AN789" s="13"/>
      <c r="AO789" s="28" t="e">
        <f ca="1">IF(Data!#REF!="","",IF(ISNUMBER(Data!#REF!),IF(AND(Data!#REF!&gt;(TODAY()-(Data_Val!$I$3*365.25)),Data!#REF!&lt;=(TODAY()-(Data_Val!$I$2*365.25))),0,1),1))</f>
        <v>#REF!</v>
      </c>
      <c r="AP789" s="13" t="e">
        <f>IF(Data!#REF!="","",IF(Data!$G789="",1,IF(ISNUMBER(MATCH(Data!#REF!,Data_Val!$D$2:$D$10,0)),0,1)))</f>
        <v>#REF!</v>
      </c>
      <c r="AQ789" s="17"/>
      <c r="AR789" s="30" t="e">
        <f ca="1">IF(Data!#REF!="","",IF(ISNUMBER(Data!#REF!),IF(AND(Data!#REF!&gt;(TODAY()-(Data_Val!$I$3*365.25)),Data!#REF!&lt;=(TODAY()-(Data_Val!$I$2*365.25))),0,1),1))</f>
        <v>#REF!</v>
      </c>
      <c r="AS789" s="31" t="e">
        <f>IF(Data!#REF!="","",IF(Data!$G789="",1,IF(ISNUMBER(MATCH(Data!#REF!,Data_Val!$D$2:$D$10,0)),0,1)))</f>
        <v>#REF!</v>
      </c>
      <c r="AT789" s="11"/>
      <c r="AU789" s="11" t="e">
        <f ca="1">IF(Data!#REF!="","",IF(ISNUMBER(Data!#REF!),IF(AND(Data!#REF!&gt;(TODAY()-(Data_Val!$I$3*365.25)),Data!#REF!&lt;=(TODAY()-(Data_Val!$I$2*365.25))),0,1),1))</f>
        <v>#REF!</v>
      </c>
      <c r="AV789" s="11" t="e">
        <f>IF(Data!#REF!="","",IF(Data!$G789="",1,IF(ISNUMBER(MATCH(Data!#REF!,Data_Val!$D$2:$D$10,0)),0,1)))</f>
        <v>#REF!</v>
      </c>
      <c r="AW789" s="12"/>
      <c r="AX789" s="26" t="e">
        <f ca="1">IF(Data!#REF!="","",IF(ISNUMBER(Data!#REF!),IF(AND(Data!#REF!&gt;(TODAY()-(Data_Val!$I$3*365.25)),Data!#REF!&lt;=(TODAY()-(Data_Val!$I$2*365.25))),0,1),1))</f>
        <v>#REF!</v>
      </c>
      <c r="AY789" s="12" t="e">
        <f>IF(Data!#REF!="","",IF(Data!$G789="",1,IF(ISNUMBER(MATCH(Data!#REF!,Data_Val!$D$2:$D$10,0)),0,1)))</f>
        <v>#REF!</v>
      </c>
      <c r="AZ789" s="11"/>
      <c r="BA789" s="19" t="e">
        <f ca="1">IF(Data!#REF!="","",IF(ISNUMBER(Data!#REF!),IF(AND(Data!#REF!&gt;(TODAY()-(Data_Val!$M$3*365.25)),Data!#REF!&lt;=(TODAY()-(Data_Val!$M$2*365.25))),0,1),1))</f>
        <v>#REF!</v>
      </c>
      <c r="BB789" s="11" t="e">
        <f>IF(Data!#REF!="","",IF(Data!$G789="",1,IF(ISNUMBER(MATCH(Data!#REF!,Data_Val!$D$2:$D$10,0)),0,1)))</f>
        <v>#REF!</v>
      </c>
      <c r="BC789" s="12"/>
      <c r="BD789" s="20" t="e">
        <f ca="1">IF(Data!#REF!="","",IF(ISNUMBER(Data!#REF!),IF(AND(Data!#REF!&gt;(TODAY()-(Data_Val!$M$3*365.25)),Data!#REF!&lt;=(TODAY()-(Data_Val!$M$2*365.25))),0,1),1))</f>
        <v>#REF!</v>
      </c>
      <c r="BE789" s="12" t="e">
        <f>IF(Data!#REF!="","",IF(Data!$G789="",1,IF(ISNUMBER(MATCH(Data!#REF!,Data_Val!$D$2:$D$10,0)),0,1)))</f>
        <v>#REF!</v>
      </c>
      <c r="BF789" s="17"/>
      <c r="BG789" s="18" t="e">
        <f ca="1">IF(Data!#REF!="","",IF(ISNUMBER(Data!#REF!),IF(AND(Data!#REF!&gt;(TODAY()-(Data_Val!$M$3*365.25)),Data!#REF!&lt;=(TODAY()-(Data_Val!$M$2*365.25))),0,1),1))</f>
        <v>#REF!</v>
      </c>
      <c r="BH789" s="29" t="e">
        <f>IF(Data!#REF!="","",IF(Data!$G789="",1,IF(ISNUMBER(MATCH(Data!#REF!,Data_Val!$D$2:$D$10,0)),0,1)))</f>
        <v>#REF!</v>
      </c>
      <c r="BI789" s="13"/>
      <c r="BJ789" s="21" t="e">
        <f ca="1">IF(Data!#REF!="","",IF(ISNUMBER(Data!#REF!),IF(AND(Data!#REF!&gt;(TODAY()-(Data_Val!$M$3*365.25)),Data!#REF!&lt;=(TODAY()-(Data_Val!$M$2*365.25))),0,1),1))</f>
        <v>#REF!</v>
      </c>
      <c r="BK789" s="13" t="e">
        <f>IF(Data!#REF!="","",IF(Data!$G789="",1,IF(ISNUMBER(MATCH(Data!#REF!,Data_Val!$D$2:$D$10,0)),0,1)))</f>
        <v>#REF!</v>
      </c>
    </row>
    <row r="790" spans="1:63" x14ac:dyDescent="0.25">
      <c r="A790" s="9" t="str">
        <f>IF(Data!B790="","",IF(COUNTIFS(Data!A$1:'Data'!A790,Data!A790)&lt;=1,0,1))</f>
        <v/>
      </c>
      <c r="B790" s="9"/>
      <c r="C790" s="23" t="str">
        <f>IF(Data!C790="","",(IF(ISNUMBER(MATCH("*@*.?*",Data!C790,0)),0,1)+IF(COUNTIFS(Data!C$1:'Data'!C790,Data!C790)&gt;1,1,0)))</f>
        <v/>
      </c>
      <c r="D790" s="9" t="str">
        <f>IF(Data!B790="","",IF(ISNUMBER(Data!D790),IF(AND(Data!D790&gt;999999999,Data!D790&lt;=9999999999),IF(COUNTIFS(Data!D$1:'Data'!D790,Data!D790)&lt;=1,0,1),1),1))</f>
        <v/>
      </c>
      <c r="E790" s="9" t="str">
        <f>IF(Data!B790="","",IF(ISNUMBER(MATCH(Data!E790,Data_Val!$A$2:$A$3,0)),0,1))</f>
        <v/>
      </c>
      <c r="F790" s="9" t="str">
        <f ca="1">IF(Data!B790="","",IF(ISNUMBER(Data!F790),IF(AND(Data!F790&gt;(TODAY()-(Data_Val!$H$3*365.25)),Data!F790&lt;=(TODAY()-(Data_Val!$H$2*365.25))),0,1),1))</f>
        <v/>
      </c>
      <c r="G790" s="15" t="str">
        <f>IF(Data!B790="","",IF(AND(Data!G790="",Data!H790&lt;&gt;""),1,IF(Data!#REF!&lt;&gt;"",0,IF(ISNUMBER(MATCH(Data!G790,Data_Val!$C$2:$C$5,0)),0,1))))</f>
        <v/>
      </c>
      <c r="H790" s="15" t="str">
        <f>IF(Data!B790="","",IF(AND(Data!G790&lt;&gt;"",Data!H790=""),1,IF(Data!#REF!&lt;&gt;"",0,IF(Data!G790="",1,IF(ISNUMBER(MATCH(Data!H790,Data_Val!$D$2:$D$35,0)),0,1)))))</f>
        <v/>
      </c>
      <c r="I790" s="15" t="str">
        <f>IF(Data!B790="","",IF(Data!G790&lt;&gt;"",0,IF(ISNUMBER(MATCH(Data!#REF!,Data_Val!$E$2:$E$12,0)),0,1)))</f>
        <v/>
      </c>
      <c r="J790" s="16" t="e">
        <f>IF(OR(Data!B790="",Data!#REF!=""),"",IF(Data!#REF!="",1,0))</f>
        <v>#REF!</v>
      </c>
      <c r="K790" s="16" t="e">
        <f>IF(OR(Data!B790="",Data!#REF!=""),"",IF(Data!#REF!="",1,0))</f>
        <v>#REF!</v>
      </c>
      <c r="L790" s="16" t="e">
        <f>IF(OR(Data!B790="",Data!#REF!=""),"",IF(ISNUMBER(Data!#REF!),IF(AND(Data!#REF!&gt;Data_Val!$G$2,Data!#REF!&lt;=Data_Val!$G$3),0,1),1))</f>
        <v>#REF!</v>
      </c>
      <c r="M790" s="9" t="e">
        <f>IF(OR(Data!B790="",Data!#REF!=""),"",IF(ISNUMBER(MATCH(Data!#REF!,Data_Val!$F$1:$F$38,0)),0,1))</f>
        <v>#REF!</v>
      </c>
      <c r="N790" s="9" t="e">
        <f>IF(OR(Data!B790="",Data!#REF!=""),"",IF(Data!#REF!="",1,0))</f>
        <v>#REF!</v>
      </c>
      <c r="O790" s="17" t="e">
        <f>IF(Data!#REF!="","",IF(Data!#REF!="",1,0))</f>
        <v>#REF!</v>
      </c>
      <c r="P790" s="17" t="e">
        <f>IF(Data!#REF!="","",IF(ISNUMBER(MATCH(Data!#REF!,Data_Val!$A$2:$A$3,0)),0,1))</f>
        <v>#REF!</v>
      </c>
      <c r="Q790" s="25" t="e">
        <f ca="1">IF(Data!#REF!="","",IF(ISNUMBER(Data!#REF!),IF(AND(Data!#REF!&gt;(TODAY()-(Data_Val!$J$3*365.25)),Data!#REF!&lt;=(TODAY()-(Data_Val!$J$2*365.25))),0,1),1))</f>
        <v>#REF!</v>
      </c>
      <c r="R790" s="17" t="e">
        <f>IF(Data!#REF!="","",IF(ISNUMBER(MATCH(Data!#REF!,Data_Val!$B$2:$B$15,0)),0,1))</f>
        <v>#REF!</v>
      </c>
      <c r="S790" s="11" t="str">
        <f>IF(Data!G790="","",IF(Data!G790=Data_Val!$C$2,IF(Data!M790="",0,1),0))</f>
        <v/>
      </c>
      <c r="T790" s="11" t="str">
        <f>IF(Data!M790="","",IF(ISNUMBER(MATCH(Data!N790,Data_Val!$A$2:$A$3,0)),0,1))</f>
        <v/>
      </c>
      <c r="U790" s="11" t="str">
        <f ca="1">IF(Data!M790="","",IF(ISNUMBER(Data!O790),IF(AND(Data!O790&gt;(TODAY()-(Data_Val!$K$3*365.25)),Data!O790&lt;=(TODAY()-(Data_Val!$K$2*365.25))),0,1),1))</f>
        <v/>
      </c>
      <c r="V790" s="12" t="str">
        <f>IF(Data!G790="","",IF(Data!G790=Data_Val!$C$2,IF(Data!P790="",0,1),0))</f>
        <v/>
      </c>
      <c r="W790" s="12" t="str">
        <f>IF(Data!P790="","",IF(ISNUMBER(MATCH(Data!Q790,Data_Val!$A$2:$A$3,0)),0,1))</f>
        <v/>
      </c>
      <c r="X790" s="26" t="str">
        <f ca="1">IF(Data!P790="","",IF(ISNUMBER(Data!R790),IF(AND(Data!R790&gt;(TODAY()-(Data_Val!$L$3*365.25)),Data!R790&lt;=(TODAY()-(Data_Val!$L$2*365.25))),0,1),1))</f>
        <v/>
      </c>
      <c r="Y790" s="13" t="str">
        <f>IF(Data!$G790="","",IF(Data!$G790=Data_Val!$C$2,IF(Data!S790="",0,1),0))</f>
        <v/>
      </c>
      <c r="Z790" s="13" t="str">
        <f>IF(Data!S790="","",IF(ISNUMBER(MATCH(Data!T790,Data_Val!$A$2:$A$3,0)),0,1))</f>
        <v/>
      </c>
      <c r="AA790" s="28" t="str">
        <f ca="1">IF(Data!S790="","",IF(ISNUMBER(Data!U790),IF(AND(Data!U790&gt;(TODAY()-(Data_Val!$L$3*365.25)),Data!U790&lt;=(TODAY()-(Data_Val!$L$2*365.25))),0,1),1))</f>
        <v/>
      </c>
      <c r="AB790" s="11"/>
      <c r="AC790" s="11" t="e">
        <f>IF(Data!#REF!="","",IF(ISNUMBER(MATCH(Data!#REF!,Data_Val!$A$2:$A$3,0)),0,1))</f>
        <v>#REF!</v>
      </c>
      <c r="AD790" s="11" t="e">
        <f ca="1">IF(Data!#REF!="","",IF(ISNUMBER(Data!#REF!),IF(AND(Data!#REF!&gt;(TODAY()-(Data_Val!$L$3*365.25)),Data!#REF!&lt;=(TODAY()-(Data_Val!$L$2*365.25))),0,1),1))</f>
        <v>#REF!</v>
      </c>
      <c r="AE790" s="11" t="e">
        <f>IF(Data!#REF!="","",IF(Data!$G790="",1,IF(ISNUMBER(MATCH(Data!#REF!,Data_Val!$D$2:$D$10,0)),0,1)))</f>
        <v>#REF!</v>
      </c>
      <c r="AF790" s="12"/>
      <c r="AG790" s="12" t="e">
        <f>IF(Data!#REF!="","",IF(ISNUMBER(MATCH(Data!#REF!,Data_Val!$A$2:$A$3,0)),0,1))</f>
        <v>#REF!</v>
      </c>
      <c r="AH790" s="26" t="e">
        <f ca="1">IF(Data!#REF!="","",IF(ISNUMBER(Data!#REF!),IF(AND(Data!#REF!&gt;(TODAY()-(Data_Val!$L$3*365.25)),Data!#REF!&lt;=(TODAY()-(Data_Val!$L$2*365.25))),0,1),1))</f>
        <v>#REF!</v>
      </c>
      <c r="AI790" s="12" t="e">
        <f>IF(Data!#REF!="","",IF(Data!$G790="",1,IF(ISNUMBER(MATCH(Data!#REF!,Data_Val!$D$2:$D$10,0)),0,1)))</f>
        <v>#REF!</v>
      </c>
      <c r="AJ790" s="17"/>
      <c r="AK790" s="17" t="e">
        <f>IF(Data!#REF!="","",IF(ISNUMBER(MATCH(Data!#REF!,Data_Val!$A$2:$A$3,0)),0,1))</f>
        <v>#REF!</v>
      </c>
      <c r="AL790" s="25" t="e">
        <f ca="1">IF(Data!#REF!="","",IF(ISNUMBER(Data!#REF!),IF(AND(Data!#REF!&gt;(TODAY()-(Data_Val!$L$3*365.25)),Data!#REF!&lt;=(TODAY()-(Data_Val!$L$2*365.25))),0,1),1))</f>
        <v>#REF!</v>
      </c>
      <c r="AM790" s="17" t="e">
        <f>IF(Data!#REF!="","",IF(Data!$G790="",1,IF(ISNUMBER(MATCH(Data!#REF!,Data_Val!$D$2:$D$10,0)),0,1)))</f>
        <v>#REF!</v>
      </c>
      <c r="AN790" s="13"/>
      <c r="AO790" s="28" t="e">
        <f ca="1">IF(Data!#REF!="","",IF(ISNUMBER(Data!#REF!),IF(AND(Data!#REF!&gt;(TODAY()-(Data_Val!$I$3*365.25)),Data!#REF!&lt;=(TODAY()-(Data_Val!$I$2*365.25))),0,1),1))</f>
        <v>#REF!</v>
      </c>
      <c r="AP790" s="13" t="e">
        <f>IF(Data!#REF!="","",IF(Data!$G790="",1,IF(ISNUMBER(MATCH(Data!#REF!,Data_Val!$D$2:$D$10,0)),0,1)))</f>
        <v>#REF!</v>
      </c>
      <c r="AQ790" s="17"/>
      <c r="AR790" s="30" t="e">
        <f ca="1">IF(Data!#REF!="","",IF(ISNUMBER(Data!#REF!),IF(AND(Data!#REF!&gt;(TODAY()-(Data_Val!$I$3*365.25)),Data!#REF!&lt;=(TODAY()-(Data_Val!$I$2*365.25))),0,1),1))</f>
        <v>#REF!</v>
      </c>
      <c r="AS790" s="31" t="e">
        <f>IF(Data!#REF!="","",IF(Data!$G790="",1,IF(ISNUMBER(MATCH(Data!#REF!,Data_Val!$D$2:$D$10,0)),0,1)))</f>
        <v>#REF!</v>
      </c>
      <c r="AT790" s="11"/>
      <c r="AU790" s="11" t="e">
        <f ca="1">IF(Data!#REF!="","",IF(ISNUMBER(Data!#REF!),IF(AND(Data!#REF!&gt;(TODAY()-(Data_Val!$I$3*365.25)),Data!#REF!&lt;=(TODAY()-(Data_Val!$I$2*365.25))),0,1),1))</f>
        <v>#REF!</v>
      </c>
      <c r="AV790" s="11" t="e">
        <f>IF(Data!#REF!="","",IF(Data!$G790="",1,IF(ISNUMBER(MATCH(Data!#REF!,Data_Val!$D$2:$D$10,0)),0,1)))</f>
        <v>#REF!</v>
      </c>
      <c r="AW790" s="12"/>
      <c r="AX790" s="26" t="e">
        <f ca="1">IF(Data!#REF!="","",IF(ISNUMBER(Data!#REF!),IF(AND(Data!#REF!&gt;(TODAY()-(Data_Val!$I$3*365.25)),Data!#REF!&lt;=(TODAY()-(Data_Val!$I$2*365.25))),0,1),1))</f>
        <v>#REF!</v>
      </c>
      <c r="AY790" s="12" t="e">
        <f>IF(Data!#REF!="","",IF(Data!$G790="",1,IF(ISNUMBER(MATCH(Data!#REF!,Data_Val!$D$2:$D$10,0)),0,1)))</f>
        <v>#REF!</v>
      </c>
      <c r="AZ790" s="11"/>
      <c r="BA790" s="19" t="e">
        <f ca="1">IF(Data!#REF!="","",IF(ISNUMBER(Data!#REF!),IF(AND(Data!#REF!&gt;(TODAY()-(Data_Val!$M$3*365.25)),Data!#REF!&lt;=(TODAY()-(Data_Val!$M$2*365.25))),0,1),1))</f>
        <v>#REF!</v>
      </c>
      <c r="BB790" s="11" t="e">
        <f>IF(Data!#REF!="","",IF(Data!$G790="",1,IF(ISNUMBER(MATCH(Data!#REF!,Data_Val!$D$2:$D$10,0)),0,1)))</f>
        <v>#REF!</v>
      </c>
      <c r="BC790" s="12"/>
      <c r="BD790" s="20" t="e">
        <f ca="1">IF(Data!#REF!="","",IF(ISNUMBER(Data!#REF!),IF(AND(Data!#REF!&gt;(TODAY()-(Data_Val!$M$3*365.25)),Data!#REF!&lt;=(TODAY()-(Data_Val!$M$2*365.25))),0,1),1))</f>
        <v>#REF!</v>
      </c>
      <c r="BE790" s="12" t="e">
        <f>IF(Data!#REF!="","",IF(Data!$G790="",1,IF(ISNUMBER(MATCH(Data!#REF!,Data_Val!$D$2:$D$10,0)),0,1)))</f>
        <v>#REF!</v>
      </c>
      <c r="BF790" s="17"/>
      <c r="BG790" s="18" t="e">
        <f ca="1">IF(Data!#REF!="","",IF(ISNUMBER(Data!#REF!),IF(AND(Data!#REF!&gt;(TODAY()-(Data_Val!$M$3*365.25)),Data!#REF!&lt;=(TODAY()-(Data_Val!$M$2*365.25))),0,1),1))</f>
        <v>#REF!</v>
      </c>
      <c r="BH790" s="29" t="e">
        <f>IF(Data!#REF!="","",IF(Data!$G790="",1,IF(ISNUMBER(MATCH(Data!#REF!,Data_Val!$D$2:$D$10,0)),0,1)))</f>
        <v>#REF!</v>
      </c>
      <c r="BI790" s="13"/>
      <c r="BJ790" s="21" t="e">
        <f ca="1">IF(Data!#REF!="","",IF(ISNUMBER(Data!#REF!),IF(AND(Data!#REF!&gt;(TODAY()-(Data_Val!$M$3*365.25)),Data!#REF!&lt;=(TODAY()-(Data_Val!$M$2*365.25))),0,1),1))</f>
        <v>#REF!</v>
      </c>
      <c r="BK790" s="13" t="e">
        <f>IF(Data!#REF!="","",IF(Data!$G790="",1,IF(ISNUMBER(MATCH(Data!#REF!,Data_Val!$D$2:$D$10,0)),0,1)))</f>
        <v>#REF!</v>
      </c>
    </row>
    <row r="791" spans="1:63" x14ac:dyDescent="0.25">
      <c r="A791" s="9" t="str">
        <f>IF(Data!B791="","",IF(COUNTIFS(Data!A$1:'Data'!A791,Data!A791)&lt;=1,0,1))</f>
        <v/>
      </c>
      <c r="B791" s="9"/>
      <c r="C791" s="23" t="str">
        <f>IF(Data!C791="","",(IF(ISNUMBER(MATCH("*@*.?*",Data!C791,0)),0,1)+IF(COUNTIFS(Data!C$1:'Data'!C791,Data!C791)&gt;1,1,0)))</f>
        <v/>
      </c>
      <c r="D791" s="9" t="str">
        <f>IF(Data!B791="","",IF(ISNUMBER(Data!D791),IF(AND(Data!D791&gt;999999999,Data!D791&lt;=9999999999),IF(COUNTIFS(Data!D$1:'Data'!D791,Data!D791)&lt;=1,0,1),1),1))</f>
        <v/>
      </c>
      <c r="E791" s="9" t="str">
        <f>IF(Data!B791="","",IF(ISNUMBER(MATCH(Data!E791,Data_Val!$A$2:$A$3,0)),0,1))</f>
        <v/>
      </c>
      <c r="F791" s="9" t="str">
        <f ca="1">IF(Data!B791="","",IF(ISNUMBER(Data!F791),IF(AND(Data!F791&gt;(TODAY()-(Data_Val!$H$3*365.25)),Data!F791&lt;=(TODAY()-(Data_Val!$H$2*365.25))),0,1),1))</f>
        <v/>
      </c>
      <c r="G791" s="15" t="str">
        <f>IF(Data!B791="","",IF(AND(Data!G791="",Data!H791&lt;&gt;""),1,IF(Data!#REF!&lt;&gt;"",0,IF(ISNUMBER(MATCH(Data!G791,Data_Val!$C$2:$C$5,0)),0,1))))</f>
        <v/>
      </c>
      <c r="H791" s="15" t="str">
        <f>IF(Data!B791="","",IF(AND(Data!G791&lt;&gt;"",Data!H791=""),1,IF(Data!#REF!&lt;&gt;"",0,IF(Data!G791="",1,IF(ISNUMBER(MATCH(Data!H791,Data_Val!$D$2:$D$35,0)),0,1)))))</f>
        <v/>
      </c>
      <c r="I791" s="15" t="str">
        <f>IF(Data!B791="","",IF(Data!G791&lt;&gt;"",0,IF(ISNUMBER(MATCH(Data!#REF!,Data_Val!$E$2:$E$12,0)),0,1)))</f>
        <v/>
      </c>
      <c r="J791" s="16" t="e">
        <f>IF(OR(Data!B791="",Data!#REF!=""),"",IF(Data!#REF!="",1,0))</f>
        <v>#REF!</v>
      </c>
      <c r="K791" s="16" t="e">
        <f>IF(OR(Data!B791="",Data!#REF!=""),"",IF(Data!#REF!="",1,0))</f>
        <v>#REF!</v>
      </c>
      <c r="L791" s="16" t="e">
        <f>IF(OR(Data!B791="",Data!#REF!=""),"",IF(ISNUMBER(Data!#REF!),IF(AND(Data!#REF!&gt;Data_Val!$G$2,Data!#REF!&lt;=Data_Val!$G$3),0,1),1))</f>
        <v>#REF!</v>
      </c>
      <c r="M791" s="9" t="e">
        <f>IF(OR(Data!B791="",Data!#REF!=""),"",IF(ISNUMBER(MATCH(Data!#REF!,Data_Val!$F$1:$F$38,0)),0,1))</f>
        <v>#REF!</v>
      </c>
      <c r="N791" s="9" t="e">
        <f>IF(OR(Data!B791="",Data!#REF!=""),"",IF(Data!#REF!="",1,0))</f>
        <v>#REF!</v>
      </c>
      <c r="O791" s="17" t="e">
        <f>IF(Data!#REF!="","",IF(Data!#REF!="",1,0))</f>
        <v>#REF!</v>
      </c>
      <c r="P791" s="17" t="e">
        <f>IF(Data!#REF!="","",IF(ISNUMBER(MATCH(Data!#REF!,Data_Val!$A$2:$A$3,0)),0,1))</f>
        <v>#REF!</v>
      </c>
      <c r="Q791" s="25" t="e">
        <f ca="1">IF(Data!#REF!="","",IF(ISNUMBER(Data!#REF!),IF(AND(Data!#REF!&gt;(TODAY()-(Data_Val!$J$3*365.25)),Data!#REF!&lt;=(TODAY()-(Data_Val!$J$2*365.25))),0,1),1))</f>
        <v>#REF!</v>
      </c>
      <c r="R791" s="17" t="e">
        <f>IF(Data!#REF!="","",IF(ISNUMBER(MATCH(Data!#REF!,Data_Val!$B$2:$B$15,0)),0,1))</f>
        <v>#REF!</v>
      </c>
      <c r="S791" s="11" t="str">
        <f>IF(Data!G791="","",IF(Data!G791=Data_Val!$C$2,IF(Data!M791="",0,1),0))</f>
        <v/>
      </c>
      <c r="T791" s="11" t="str">
        <f>IF(Data!M791="","",IF(ISNUMBER(MATCH(Data!N791,Data_Val!$A$2:$A$3,0)),0,1))</f>
        <v/>
      </c>
      <c r="U791" s="11" t="str">
        <f ca="1">IF(Data!M791="","",IF(ISNUMBER(Data!O791),IF(AND(Data!O791&gt;(TODAY()-(Data_Val!$K$3*365.25)),Data!O791&lt;=(TODAY()-(Data_Val!$K$2*365.25))),0,1),1))</f>
        <v/>
      </c>
      <c r="V791" s="12" t="str">
        <f>IF(Data!G791="","",IF(Data!G791=Data_Val!$C$2,IF(Data!P791="",0,1),0))</f>
        <v/>
      </c>
      <c r="W791" s="12" t="str">
        <f>IF(Data!P791="","",IF(ISNUMBER(MATCH(Data!Q791,Data_Val!$A$2:$A$3,0)),0,1))</f>
        <v/>
      </c>
      <c r="X791" s="26" t="str">
        <f ca="1">IF(Data!P791="","",IF(ISNUMBER(Data!R791),IF(AND(Data!R791&gt;(TODAY()-(Data_Val!$L$3*365.25)),Data!R791&lt;=(TODAY()-(Data_Val!$L$2*365.25))),0,1),1))</f>
        <v/>
      </c>
      <c r="Y791" s="13" t="str">
        <f>IF(Data!$G791="","",IF(Data!$G791=Data_Val!$C$2,IF(Data!S791="",0,1),0))</f>
        <v/>
      </c>
      <c r="Z791" s="13" t="str">
        <f>IF(Data!S791="","",IF(ISNUMBER(MATCH(Data!T791,Data_Val!$A$2:$A$3,0)),0,1))</f>
        <v/>
      </c>
      <c r="AA791" s="28" t="str">
        <f ca="1">IF(Data!S791="","",IF(ISNUMBER(Data!U791),IF(AND(Data!U791&gt;(TODAY()-(Data_Val!$L$3*365.25)),Data!U791&lt;=(TODAY()-(Data_Val!$L$2*365.25))),0,1),1))</f>
        <v/>
      </c>
      <c r="AB791" s="11"/>
      <c r="AC791" s="11" t="e">
        <f>IF(Data!#REF!="","",IF(ISNUMBER(MATCH(Data!#REF!,Data_Val!$A$2:$A$3,0)),0,1))</f>
        <v>#REF!</v>
      </c>
      <c r="AD791" s="11" t="e">
        <f ca="1">IF(Data!#REF!="","",IF(ISNUMBER(Data!#REF!),IF(AND(Data!#REF!&gt;(TODAY()-(Data_Val!$L$3*365.25)),Data!#REF!&lt;=(TODAY()-(Data_Val!$L$2*365.25))),0,1),1))</f>
        <v>#REF!</v>
      </c>
      <c r="AE791" s="11" t="e">
        <f>IF(Data!#REF!="","",IF(Data!$G791="",1,IF(ISNUMBER(MATCH(Data!#REF!,Data_Val!$D$2:$D$10,0)),0,1)))</f>
        <v>#REF!</v>
      </c>
      <c r="AF791" s="12"/>
      <c r="AG791" s="12" t="e">
        <f>IF(Data!#REF!="","",IF(ISNUMBER(MATCH(Data!#REF!,Data_Val!$A$2:$A$3,0)),0,1))</f>
        <v>#REF!</v>
      </c>
      <c r="AH791" s="26" t="e">
        <f ca="1">IF(Data!#REF!="","",IF(ISNUMBER(Data!#REF!),IF(AND(Data!#REF!&gt;(TODAY()-(Data_Val!$L$3*365.25)),Data!#REF!&lt;=(TODAY()-(Data_Val!$L$2*365.25))),0,1),1))</f>
        <v>#REF!</v>
      </c>
      <c r="AI791" s="12" t="e">
        <f>IF(Data!#REF!="","",IF(Data!$G791="",1,IF(ISNUMBER(MATCH(Data!#REF!,Data_Val!$D$2:$D$10,0)),0,1)))</f>
        <v>#REF!</v>
      </c>
      <c r="AJ791" s="17"/>
      <c r="AK791" s="17" t="e">
        <f>IF(Data!#REF!="","",IF(ISNUMBER(MATCH(Data!#REF!,Data_Val!$A$2:$A$3,0)),0,1))</f>
        <v>#REF!</v>
      </c>
      <c r="AL791" s="25" t="e">
        <f ca="1">IF(Data!#REF!="","",IF(ISNUMBER(Data!#REF!),IF(AND(Data!#REF!&gt;(TODAY()-(Data_Val!$L$3*365.25)),Data!#REF!&lt;=(TODAY()-(Data_Val!$L$2*365.25))),0,1),1))</f>
        <v>#REF!</v>
      </c>
      <c r="AM791" s="17" t="e">
        <f>IF(Data!#REF!="","",IF(Data!$G791="",1,IF(ISNUMBER(MATCH(Data!#REF!,Data_Val!$D$2:$D$10,0)),0,1)))</f>
        <v>#REF!</v>
      </c>
      <c r="AN791" s="13"/>
      <c r="AO791" s="28" t="e">
        <f ca="1">IF(Data!#REF!="","",IF(ISNUMBER(Data!#REF!),IF(AND(Data!#REF!&gt;(TODAY()-(Data_Val!$I$3*365.25)),Data!#REF!&lt;=(TODAY()-(Data_Val!$I$2*365.25))),0,1),1))</f>
        <v>#REF!</v>
      </c>
      <c r="AP791" s="13" t="e">
        <f>IF(Data!#REF!="","",IF(Data!$G791="",1,IF(ISNUMBER(MATCH(Data!#REF!,Data_Val!$D$2:$D$10,0)),0,1)))</f>
        <v>#REF!</v>
      </c>
      <c r="AQ791" s="17"/>
      <c r="AR791" s="30" t="e">
        <f ca="1">IF(Data!#REF!="","",IF(ISNUMBER(Data!#REF!),IF(AND(Data!#REF!&gt;(TODAY()-(Data_Val!$I$3*365.25)),Data!#REF!&lt;=(TODAY()-(Data_Val!$I$2*365.25))),0,1),1))</f>
        <v>#REF!</v>
      </c>
      <c r="AS791" s="31" t="e">
        <f>IF(Data!#REF!="","",IF(Data!$G791="",1,IF(ISNUMBER(MATCH(Data!#REF!,Data_Val!$D$2:$D$10,0)),0,1)))</f>
        <v>#REF!</v>
      </c>
      <c r="AT791" s="11"/>
      <c r="AU791" s="11" t="e">
        <f ca="1">IF(Data!#REF!="","",IF(ISNUMBER(Data!#REF!),IF(AND(Data!#REF!&gt;(TODAY()-(Data_Val!$I$3*365.25)),Data!#REF!&lt;=(TODAY()-(Data_Val!$I$2*365.25))),0,1),1))</f>
        <v>#REF!</v>
      </c>
      <c r="AV791" s="11" t="e">
        <f>IF(Data!#REF!="","",IF(Data!$G791="",1,IF(ISNUMBER(MATCH(Data!#REF!,Data_Val!$D$2:$D$10,0)),0,1)))</f>
        <v>#REF!</v>
      </c>
      <c r="AW791" s="12"/>
      <c r="AX791" s="26" t="e">
        <f ca="1">IF(Data!#REF!="","",IF(ISNUMBER(Data!#REF!),IF(AND(Data!#REF!&gt;(TODAY()-(Data_Val!$I$3*365.25)),Data!#REF!&lt;=(TODAY()-(Data_Val!$I$2*365.25))),0,1),1))</f>
        <v>#REF!</v>
      </c>
      <c r="AY791" s="12" t="e">
        <f>IF(Data!#REF!="","",IF(Data!$G791="",1,IF(ISNUMBER(MATCH(Data!#REF!,Data_Val!$D$2:$D$10,0)),0,1)))</f>
        <v>#REF!</v>
      </c>
      <c r="AZ791" s="11"/>
      <c r="BA791" s="19" t="e">
        <f ca="1">IF(Data!#REF!="","",IF(ISNUMBER(Data!#REF!),IF(AND(Data!#REF!&gt;(TODAY()-(Data_Val!$M$3*365.25)),Data!#REF!&lt;=(TODAY()-(Data_Val!$M$2*365.25))),0,1),1))</f>
        <v>#REF!</v>
      </c>
      <c r="BB791" s="11" t="e">
        <f>IF(Data!#REF!="","",IF(Data!$G791="",1,IF(ISNUMBER(MATCH(Data!#REF!,Data_Val!$D$2:$D$10,0)),0,1)))</f>
        <v>#REF!</v>
      </c>
      <c r="BC791" s="12"/>
      <c r="BD791" s="20" t="e">
        <f ca="1">IF(Data!#REF!="","",IF(ISNUMBER(Data!#REF!),IF(AND(Data!#REF!&gt;(TODAY()-(Data_Val!$M$3*365.25)),Data!#REF!&lt;=(TODAY()-(Data_Val!$M$2*365.25))),0,1),1))</f>
        <v>#REF!</v>
      </c>
      <c r="BE791" s="12" t="e">
        <f>IF(Data!#REF!="","",IF(Data!$G791="",1,IF(ISNUMBER(MATCH(Data!#REF!,Data_Val!$D$2:$D$10,0)),0,1)))</f>
        <v>#REF!</v>
      </c>
      <c r="BF791" s="17"/>
      <c r="BG791" s="18" t="e">
        <f ca="1">IF(Data!#REF!="","",IF(ISNUMBER(Data!#REF!),IF(AND(Data!#REF!&gt;(TODAY()-(Data_Val!$M$3*365.25)),Data!#REF!&lt;=(TODAY()-(Data_Val!$M$2*365.25))),0,1),1))</f>
        <v>#REF!</v>
      </c>
      <c r="BH791" s="29" t="e">
        <f>IF(Data!#REF!="","",IF(Data!$G791="",1,IF(ISNUMBER(MATCH(Data!#REF!,Data_Val!$D$2:$D$10,0)),0,1)))</f>
        <v>#REF!</v>
      </c>
      <c r="BI791" s="13"/>
      <c r="BJ791" s="21" t="e">
        <f ca="1">IF(Data!#REF!="","",IF(ISNUMBER(Data!#REF!),IF(AND(Data!#REF!&gt;(TODAY()-(Data_Val!$M$3*365.25)),Data!#REF!&lt;=(TODAY()-(Data_Val!$M$2*365.25))),0,1),1))</f>
        <v>#REF!</v>
      </c>
      <c r="BK791" s="13" t="e">
        <f>IF(Data!#REF!="","",IF(Data!$G791="",1,IF(ISNUMBER(MATCH(Data!#REF!,Data_Val!$D$2:$D$10,0)),0,1)))</f>
        <v>#REF!</v>
      </c>
    </row>
    <row r="792" spans="1:63" x14ac:dyDescent="0.25">
      <c r="A792" s="9" t="str">
        <f>IF(Data!B792="","",IF(COUNTIFS(Data!A$1:'Data'!A792,Data!A792)&lt;=1,0,1))</f>
        <v/>
      </c>
      <c r="B792" s="9"/>
      <c r="C792" s="23" t="str">
        <f>IF(Data!C792="","",(IF(ISNUMBER(MATCH("*@*.?*",Data!C792,0)),0,1)+IF(COUNTIFS(Data!C$1:'Data'!C792,Data!C792)&gt;1,1,0)))</f>
        <v/>
      </c>
      <c r="D792" s="9" t="str">
        <f>IF(Data!B792="","",IF(ISNUMBER(Data!D792),IF(AND(Data!D792&gt;999999999,Data!D792&lt;=9999999999),IF(COUNTIFS(Data!D$1:'Data'!D792,Data!D792)&lt;=1,0,1),1),1))</f>
        <v/>
      </c>
      <c r="E792" s="9" t="str">
        <f>IF(Data!B792="","",IF(ISNUMBER(MATCH(Data!E792,Data_Val!$A$2:$A$3,0)),0,1))</f>
        <v/>
      </c>
      <c r="F792" s="9" t="str">
        <f ca="1">IF(Data!B792="","",IF(ISNUMBER(Data!F792),IF(AND(Data!F792&gt;(TODAY()-(Data_Val!$H$3*365.25)),Data!F792&lt;=(TODAY()-(Data_Val!$H$2*365.25))),0,1),1))</f>
        <v/>
      </c>
      <c r="G792" s="15" t="str">
        <f>IF(Data!B792="","",IF(AND(Data!G792="",Data!H792&lt;&gt;""),1,IF(Data!#REF!&lt;&gt;"",0,IF(ISNUMBER(MATCH(Data!G792,Data_Val!$C$2:$C$5,0)),0,1))))</f>
        <v/>
      </c>
      <c r="H792" s="15" t="str">
        <f>IF(Data!B792="","",IF(AND(Data!G792&lt;&gt;"",Data!H792=""),1,IF(Data!#REF!&lt;&gt;"",0,IF(Data!G792="",1,IF(ISNUMBER(MATCH(Data!H792,Data_Val!$D$2:$D$35,0)),0,1)))))</f>
        <v/>
      </c>
      <c r="I792" s="15" t="str">
        <f>IF(Data!B792="","",IF(Data!G792&lt;&gt;"",0,IF(ISNUMBER(MATCH(Data!#REF!,Data_Val!$E$2:$E$12,0)),0,1)))</f>
        <v/>
      </c>
      <c r="J792" s="16" t="e">
        <f>IF(OR(Data!B792="",Data!#REF!=""),"",IF(Data!#REF!="",1,0))</f>
        <v>#REF!</v>
      </c>
      <c r="K792" s="16" t="e">
        <f>IF(OR(Data!B792="",Data!#REF!=""),"",IF(Data!#REF!="",1,0))</f>
        <v>#REF!</v>
      </c>
      <c r="L792" s="16" t="e">
        <f>IF(OR(Data!B792="",Data!#REF!=""),"",IF(ISNUMBER(Data!#REF!),IF(AND(Data!#REF!&gt;Data_Val!$G$2,Data!#REF!&lt;=Data_Val!$G$3),0,1),1))</f>
        <v>#REF!</v>
      </c>
      <c r="M792" s="9" t="e">
        <f>IF(OR(Data!B792="",Data!#REF!=""),"",IF(ISNUMBER(MATCH(Data!#REF!,Data_Val!$F$1:$F$38,0)),0,1))</f>
        <v>#REF!</v>
      </c>
      <c r="N792" s="9" t="e">
        <f>IF(OR(Data!B792="",Data!#REF!=""),"",IF(Data!#REF!="",1,0))</f>
        <v>#REF!</v>
      </c>
      <c r="O792" s="17" t="e">
        <f>IF(Data!#REF!="","",IF(Data!#REF!="",1,0))</f>
        <v>#REF!</v>
      </c>
      <c r="P792" s="17" t="e">
        <f>IF(Data!#REF!="","",IF(ISNUMBER(MATCH(Data!#REF!,Data_Val!$A$2:$A$3,0)),0,1))</f>
        <v>#REF!</v>
      </c>
      <c r="Q792" s="25" t="e">
        <f ca="1">IF(Data!#REF!="","",IF(ISNUMBER(Data!#REF!),IF(AND(Data!#REF!&gt;(TODAY()-(Data_Val!$J$3*365.25)),Data!#REF!&lt;=(TODAY()-(Data_Val!$J$2*365.25))),0,1),1))</f>
        <v>#REF!</v>
      </c>
      <c r="R792" s="17" t="e">
        <f>IF(Data!#REF!="","",IF(ISNUMBER(MATCH(Data!#REF!,Data_Val!$B$2:$B$15,0)),0,1))</f>
        <v>#REF!</v>
      </c>
      <c r="S792" s="11" t="str">
        <f>IF(Data!G792="","",IF(Data!G792=Data_Val!$C$2,IF(Data!M792="",0,1),0))</f>
        <v/>
      </c>
      <c r="T792" s="11" t="str">
        <f>IF(Data!M792="","",IF(ISNUMBER(MATCH(Data!N792,Data_Val!$A$2:$A$3,0)),0,1))</f>
        <v/>
      </c>
      <c r="U792" s="11" t="str">
        <f ca="1">IF(Data!M792="","",IF(ISNUMBER(Data!O792),IF(AND(Data!O792&gt;(TODAY()-(Data_Val!$K$3*365.25)),Data!O792&lt;=(TODAY()-(Data_Val!$K$2*365.25))),0,1),1))</f>
        <v/>
      </c>
      <c r="V792" s="12" t="str">
        <f>IF(Data!G792="","",IF(Data!G792=Data_Val!$C$2,IF(Data!P792="",0,1),0))</f>
        <v/>
      </c>
      <c r="W792" s="12" t="str">
        <f>IF(Data!P792="","",IF(ISNUMBER(MATCH(Data!Q792,Data_Val!$A$2:$A$3,0)),0,1))</f>
        <v/>
      </c>
      <c r="X792" s="26" t="str">
        <f ca="1">IF(Data!P792="","",IF(ISNUMBER(Data!R792),IF(AND(Data!R792&gt;(TODAY()-(Data_Val!$L$3*365.25)),Data!R792&lt;=(TODAY()-(Data_Val!$L$2*365.25))),0,1),1))</f>
        <v/>
      </c>
      <c r="Y792" s="13" t="str">
        <f>IF(Data!$G792="","",IF(Data!$G792=Data_Val!$C$2,IF(Data!S792="",0,1),0))</f>
        <v/>
      </c>
      <c r="Z792" s="13" t="str">
        <f>IF(Data!S792="","",IF(ISNUMBER(MATCH(Data!T792,Data_Val!$A$2:$A$3,0)),0,1))</f>
        <v/>
      </c>
      <c r="AA792" s="28" t="str">
        <f ca="1">IF(Data!S792="","",IF(ISNUMBER(Data!U792),IF(AND(Data!U792&gt;(TODAY()-(Data_Val!$L$3*365.25)),Data!U792&lt;=(TODAY()-(Data_Val!$L$2*365.25))),0,1),1))</f>
        <v/>
      </c>
      <c r="AB792" s="11"/>
      <c r="AC792" s="11" t="e">
        <f>IF(Data!#REF!="","",IF(ISNUMBER(MATCH(Data!#REF!,Data_Val!$A$2:$A$3,0)),0,1))</f>
        <v>#REF!</v>
      </c>
      <c r="AD792" s="11" t="e">
        <f ca="1">IF(Data!#REF!="","",IF(ISNUMBER(Data!#REF!),IF(AND(Data!#REF!&gt;(TODAY()-(Data_Val!$L$3*365.25)),Data!#REF!&lt;=(TODAY()-(Data_Val!$L$2*365.25))),0,1),1))</f>
        <v>#REF!</v>
      </c>
      <c r="AE792" s="11" t="e">
        <f>IF(Data!#REF!="","",IF(Data!$G792="",1,IF(ISNUMBER(MATCH(Data!#REF!,Data_Val!$D$2:$D$10,0)),0,1)))</f>
        <v>#REF!</v>
      </c>
      <c r="AF792" s="12"/>
      <c r="AG792" s="12" t="e">
        <f>IF(Data!#REF!="","",IF(ISNUMBER(MATCH(Data!#REF!,Data_Val!$A$2:$A$3,0)),0,1))</f>
        <v>#REF!</v>
      </c>
      <c r="AH792" s="26" t="e">
        <f ca="1">IF(Data!#REF!="","",IF(ISNUMBER(Data!#REF!),IF(AND(Data!#REF!&gt;(TODAY()-(Data_Val!$L$3*365.25)),Data!#REF!&lt;=(TODAY()-(Data_Val!$L$2*365.25))),0,1),1))</f>
        <v>#REF!</v>
      </c>
      <c r="AI792" s="12" t="e">
        <f>IF(Data!#REF!="","",IF(Data!$G792="",1,IF(ISNUMBER(MATCH(Data!#REF!,Data_Val!$D$2:$D$10,0)),0,1)))</f>
        <v>#REF!</v>
      </c>
      <c r="AJ792" s="17"/>
      <c r="AK792" s="17" t="e">
        <f>IF(Data!#REF!="","",IF(ISNUMBER(MATCH(Data!#REF!,Data_Val!$A$2:$A$3,0)),0,1))</f>
        <v>#REF!</v>
      </c>
      <c r="AL792" s="25" t="e">
        <f ca="1">IF(Data!#REF!="","",IF(ISNUMBER(Data!#REF!),IF(AND(Data!#REF!&gt;(TODAY()-(Data_Val!$L$3*365.25)),Data!#REF!&lt;=(TODAY()-(Data_Val!$L$2*365.25))),0,1),1))</f>
        <v>#REF!</v>
      </c>
      <c r="AM792" s="17" t="e">
        <f>IF(Data!#REF!="","",IF(Data!$G792="",1,IF(ISNUMBER(MATCH(Data!#REF!,Data_Val!$D$2:$D$10,0)),0,1)))</f>
        <v>#REF!</v>
      </c>
      <c r="AN792" s="13"/>
      <c r="AO792" s="28" t="e">
        <f ca="1">IF(Data!#REF!="","",IF(ISNUMBER(Data!#REF!),IF(AND(Data!#REF!&gt;(TODAY()-(Data_Val!$I$3*365.25)),Data!#REF!&lt;=(TODAY()-(Data_Val!$I$2*365.25))),0,1),1))</f>
        <v>#REF!</v>
      </c>
      <c r="AP792" s="13" t="e">
        <f>IF(Data!#REF!="","",IF(Data!$G792="",1,IF(ISNUMBER(MATCH(Data!#REF!,Data_Val!$D$2:$D$10,0)),0,1)))</f>
        <v>#REF!</v>
      </c>
      <c r="AQ792" s="17"/>
      <c r="AR792" s="30" t="e">
        <f ca="1">IF(Data!#REF!="","",IF(ISNUMBER(Data!#REF!),IF(AND(Data!#REF!&gt;(TODAY()-(Data_Val!$I$3*365.25)),Data!#REF!&lt;=(TODAY()-(Data_Val!$I$2*365.25))),0,1),1))</f>
        <v>#REF!</v>
      </c>
      <c r="AS792" s="31" t="e">
        <f>IF(Data!#REF!="","",IF(Data!$G792="",1,IF(ISNUMBER(MATCH(Data!#REF!,Data_Val!$D$2:$D$10,0)),0,1)))</f>
        <v>#REF!</v>
      </c>
      <c r="AT792" s="11"/>
      <c r="AU792" s="11" t="e">
        <f ca="1">IF(Data!#REF!="","",IF(ISNUMBER(Data!#REF!),IF(AND(Data!#REF!&gt;(TODAY()-(Data_Val!$I$3*365.25)),Data!#REF!&lt;=(TODAY()-(Data_Val!$I$2*365.25))),0,1),1))</f>
        <v>#REF!</v>
      </c>
      <c r="AV792" s="11" t="e">
        <f>IF(Data!#REF!="","",IF(Data!$G792="",1,IF(ISNUMBER(MATCH(Data!#REF!,Data_Val!$D$2:$D$10,0)),0,1)))</f>
        <v>#REF!</v>
      </c>
      <c r="AW792" s="12"/>
      <c r="AX792" s="26" t="e">
        <f ca="1">IF(Data!#REF!="","",IF(ISNUMBER(Data!#REF!),IF(AND(Data!#REF!&gt;(TODAY()-(Data_Val!$I$3*365.25)),Data!#REF!&lt;=(TODAY()-(Data_Val!$I$2*365.25))),0,1),1))</f>
        <v>#REF!</v>
      </c>
      <c r="AY792" s="12" t="e">
        <f>IF(Data!#REF!="","",IF(Data!$G792="",1,IF(ISNUMBER(MATCH(Data!#REF!,Data_Val!$D$2:$D$10,0)),0,1)))</f>
        <v>#REF!</v>
      </c>
      <c r="AZ792" s="11"/>
      <c r="BA792" s="19" t="e">
        <f ca="1">IF(Data!#REF!="","",IF(ISNUMBER(Data!#REF!),IF(AND(Data!#REF!&gt;(TODAY()-(Data_Val!$M$3*365.25)),Data!#REF!&lt;=(TODAY()-(Data_Val!$M$2*365.25))),0,1),1))</f>
        <v>#REF!</v>
      </c>
      <c r="BB792" s="11" t="e">
        <f>IF(Data!#REF!="","",IF(Data!$G792="",1,IF(ISNUMBER(MATCH(Data!#REF!,Data_Val!$D$2:$D$10,0)),0,1)))</f>
        <v>#REF!</v>
      </c>
      <c r="BC792" s="12"/>
      <c r="BD792" s="20" t="e">
        <f ca="1">IF(Data!#REF!="","",IF(ISNUMBER(Data!#REF!),IF(AND(Data!#REF!&gt;(TODAY()-(Data_Val!$M$3*365.25)),Data!#REF!&lt;=(TODAY()-(Data_Val!$M$2*365.25))),0,1),1))</f>
        <v>#REF!</v>
      </c>
      <c r="BE792" s="12" t="e">
        <f>IF(Data!#REF!="","",IF(Data!$G792="",1,IF(ISNUMBER(MATCH(Data!#REF!,Data_Val!$D$2:$D$10,0)),0,1)))</f>
        <v>#REF!</v>
      </c>
      <c r="BF792" s="17"/>
      <c r="BG792" s="18" t="e">
        <f ca="1">IF(Data!#REF!="","",IF(ISNUMBER(Data!#REF!),IF(AND(Data!#REF!&gt;(TODAY()-(Data_Val!$M$3*365.25)),Data!#REF!&lt;=(TODAY()-(Data_Val!$M$2*365.25))),0,1),1))</f>
        <v>#REF!</v>
      </c>
      <c r="BH792" s="29" t="e">
        <f>IF(Data!#REF!="","",IF(Data!$G792="",1,IF(ISNUMBER(MATCH(Data!#REF!,Data_Val!$D$2:$D$10,0)),0,1)))</f>
        <v>#REF!</v>
      </c>
      <c r="BI792" s="13"/>
      <c r="BJ792" s="21" t="e">
        <f ca="1">IF(Data!#REF!="","",IF(ISNUMBER(Data!#REF!),IF(AND(Data!#REF!&gt;(TODAY()-(Data_Val!$M$3*365.25)),Data!#REF!&lt;=(TODAY()-(Data_Val!$M$2*365.25))),0,1),1))</f>
        <v>#REF!</v>
      </c>
      <c r="BK792" s="13" t="e">
        <f>IF(Data!#REF!="","",IF(Data!$G792="",1,IF(ISNUMBER(MATCH(Data!#REF!,Data_Val!$D$2:$D$10,0)),0,1)))</f>
        <v>#REF!</v>
      </c>
    </row>
    <row r="793" spans="1:63" x14ac:dyDescent="0.25">
      <c r="A793" s="9" t="str">
        <f>IF(Data!B793="","",IF(COUNTIFS(Data!A$1:'Data'!A793,Data!A793)&lt;=1,0,1))</f>
        <v/>
      </c>
      <c r="B793" s="9"/>
      <c r="C793" s="23" t="str">
        <f>IF(Data!C793="","",(IF(ISNUMBER(MATCH("*@*.?*",Data!C793,0)),0,1)+IF(COUNTIFS(Data!C$1:'Data'!C793,Data!C793)&gt;1,1,0)))</f>
        <v/>
      </c>
      <c r="D793" s="9" t="str">
        <f>IF(Data!B793="","",IF(ISNUMBER(Data!D793),IF(AND(Data!D793&gt;999999999,Data!D793&lt;=9999999999),IF(COUNTIFS(Data!D$1:'Data'!D793,Data!D793)&lt;=1,0,1),1),1))</f>
        <v/>
      </c>
      <c r="E793" s="9" t="str">
        <f>IF(Data!B793="","",IF(ISNUMBER(MATCH(Data!E793,Data_Val!$A$2:$A$3,0)),0,1))</f>
        <v/>
      </c>
      <c r="F793" s="9" t="str">
        <f ca="1">IF(Data!B793="","",IF(ISNUMBER(Data!F793),IF(AND(Data!F793&gt;(TODAY()-(Data_Val!$H$3*365.25)),Data!F793&lt;=(TODAY()-(Data_Val!$H$2*365.25))),0,1),1))</f>
        <v/>
      </c>
      <c r="G793" s="15" t="str">
        <f>IF(Data!B793="","",IF(AND(Data!G793="",Data!H793&lt;&gt;""),1,IF(Data!#REF!&lt;&gt;"",0,IF(ISNUMBER(MATCH(Data!G793,Data_Val!$C$2:$C$5,0)),0,1))))</f>
        <v/>
      </c>
      <c r="H793" s="15" t="str">
        <f>IF(Data!B793="","",IF(AND(Data!G793&lt;&gt;"",Data!H793=""),1,IF(Data!#REF!&lt;&gt;"",0,IF(Data!G793="",1,IF(ISNUMBER(MATCH(Data!H793,Data_Val!$D$2:$D$35,0)),0,1)))))</f>
        <v/>
      </c>
      <c r="I793" s="15" t="str">
        <f>IF(Data!B793="","",IF(Data!G793&lt;&gt;"",0,IF(ISNUMBER(MATCH(Data!#REF!,Data_Val!$E$2:$E$12,0)),0,1)))</f>
        <v/>
      </c>
      <c r="J793" s="16" t="e">
        <f>IF(OR(Data!B793="",Data!#REF!=""),"",IF(Data!#REF!="",1,0))</f>
        <v>#REF!</v>
      </c>
      <c r="K793" s="16" t="e">
        <f>IF(OR(Data!B793="",Data!#REF!=""),"",IF(Data!#REF!="",1,0))</f>
        <v>#REF!</v>
      </c>
      <c r="L793" s="16" t="e">
        <f>IF(OR(Data!B793="",Data!#REF!=""),"",IF(ISNUMBER(Data!#REF!),IF(AND(Data!#REF!&gt;Data_Val!$G$2,Data!#REF!&lt;=Data_Val!$G$3),0,1),1))</f>
        <v>#REF!</v>
      </c>
      <c r="M793" s="9" t="e">
        <f>IF(OR(Data!B793="",Data!#REF!=""),"",IF(ISNUMBER(MATCH(Data!#REF!,Data_Val!$F$1:$F$38,0)),0,1))</f>
        <v>#REF!</v>
      </c>
      <c r="N793" s="9" t="e">
        <f>IF(OR(Data!B793="",Data!#REF!=""),"",IF(Data!#REF!="",1,0))</f>
        <v>#REF!</v>
      </c>
      <c r="O793" s="17" t="e">
        <f>IF(Data!#REF!="","",IF(Data!#REF!="",1,0))</f>
        <v>#REF!</v>
      </c>
      <c r="P793" s="17" t="e">
        <f>IF(Data!#REF!="","",IF(ISNUMBER(MATCH(Data!#REF!,Data_Val!$A$2:$A$3,0)),0,1))</f>
        <v>#REF!</v>
      </c>
      <c r="Q793" s="25" t="e">
        <f ca="1">IF(Data!#REF!="","",IF(ISNUMBER(Data!#REF!),IF(AND(Data!#REF!&gt;(TODAY()-(Data_Val!$J$3*365.25)),Data!#REF!&lt;=(TODAY()-(Data_Val!$J$2*365.25))),0,1),1))</f>
        <v>#REF!</v>
      </c>
      <c r="R793" s="17" t="e">
        <f>IF(Data!#REF!="","",IF(ISNUMBER(MATCH(Data!#REF!,Data_Val!$B$2:$B$15,0)),0,1))</f>
        <v>#REF!</v>
      </c>
      <c r="S793" s="11" t="str">
        <f>IF(Data!G793="","",IF(Data!G793=Data_Val!$C$2,IF(Data!M793="",0,1),0))</f>
        <v/>
      </c>
      <c r="T793" s="11" t="str">
        <f>IF(Data!M793="","",IF(ISNUMBER(MATCH(Data!N793,Data_Val!$A$2:$A$3,0)),0,1))</f>
        <v/>
      </c>
      <c r="U793" s="11" t="str">
        <f ca="1">IF(Data!M793="","",IF(ISNUMBER(Data!O793),IF(AND(Data!O793&gt;(TODAY()-(Data_Val!$K$3*365.25)),Data!O793&lt;=(TODAY()-(Data_Val!$K$2*365.25))),0,1),1))</f>
        <v/>
      </c>
      <c r="V793" s="12" t="str">
        <f>IF(Data!G793="","",IF(Data!G793=Data_Val!$C$2,IF(Data!P793="",0,1),0))</f>
        <v/>
      </c>
      <c r="W793" s="12" t="str">
        <f>IF(Data!P793="","",IF(ISNUMBER(MATCH(Data!Q793,Data_Val!$A$2:$A$3,0)),0,1))</f>
        <v/>
      </c>
      <c r="X793" s="26" t="str">
        <f ca="1">IF(Data!P793="","",IF(ISNUMBER(Data!R793),IF(AND(Data!R793&gt;(TODAY()-(Data_Val!$L$3*365.25)),Data!R793&lt;=(TODAY()-(Data_Val!$L$2*365.25))),0,1),1))</f>
        <v/>
      </c>
      <c r="Y793" s="13" t="str">
        <f>IF(Data!$G793="","",IF(Data!$G793=Data_Val!$C$2,IF(Data!S793="",0,1),0))</f>
        <v/>
      </c>
      <c r="Z793" s="13" t="str">
        <f>IF(Data!S793="","",IF(ISNUMBER(MATCH(Data!T793,Data_Val!$A$2:$A$3,0)),0,1))</f>
        <v/>
      </c>
      <c r="AA793" s="28" t="str">
        <f ca="1">IF(Data!S793="","",IF(ISNUMBER(Data!U793),IF(AND(Data!U793&gt;(TODAY()-(Data_Val!$L$3*365.25)),Data!U793&lt;=(TODAY()-(Data_Val!$L$2*365.25))),0,1),1))</f>
        <v/>
      </c>
      <c r="AB793" s="11"/>
      <c r="AC793" s="11" t="e">
        <f>IF(Data!#REF!="","",IF(ISNUMBER(MATCH(Data!#REF!,Data_Val!$A$2:$A$3,0)),0,1))</f>
        <v>#REF!</v>
      </c>
      <c r="AD793" s="11" t="e">
        <f ca="1">IF(Data!#REF!="","",IF(ISNUMBER(Data!#REF!),IF(AND(Data!#REF!&gt;(TODAY()-(Data_Val!$L$3*365.25)),Data!#REF!&lt;=(TODAY()-(Data_Val!$L$2*365.25))),0,1),1))</f>
        <v>#REF!</v>
      </c>
      <c r="AE793" s="11" t="e">
        <f>IF(Data!#REF!="","",IF(Data!$G793="",1,IF(ISNUMBER(MATCH(Data!#REF!,Data_Val!$D$2:$D$10,0)),0,1)))</f>
        <v>#REF!</v>
      </c>
      <c r="AF793" s="12"/>
      <c r="AG793" s="12" t="e">
        <f>IF(Data!#REF!="","",IF(ISNUMBER(MATCH(Data!#REF!,Data_Val!$A$2:$A$3,0)),0,1))</f>
        <v>#REF!</v>
      </c>
      <c r="AH793" s="26" t="e">
        <f ca="1">IF(Data!#REF!="","",IF(ISNUMBER(Data!#REF!),IF(AND(Data!#REF!&gt;(TODAY()-(Data_Val!$L$3*365.25)),Data!#REF!&lt;=(TODAY()-(Data_Val!$L$2*365.25))),0,1),1))</f>
        <v>#REF!</v>
      </c>
      <c r="AI793" s="12" t="e">
        <f>IF(Data!#REF!="","",IF(Data!$G793="",1,IF(ISNUMBER(MATCH(Data!#REF!,Data_Val!$D$2:$D$10,0)),0,1)))</f>
        <v>#REF!</v>
      </c>
      <c r="AJ793" s="17"/>
      <c r="AK793" s="17" t="e">
        <f>IF(Data!#REF!="","",IF(ISNUMBER(MATCH(Data!#REF!,Data_Val!$A$2:$A$3,0)),0,1))</f>
        <v>#REF!</v>
      </c>
      <c r="AL793" s="25" t="e">
        <f ca="1">IF(Data!#REF!="","",IF(ISNUMBER(Data!#REF!),IF(AND(Data!#REF!&gt;(TODAY()-(Data_Val!$L$3*365.25)),Data!#REF!&lt;=(TODAY()-(Data_Val!$L$2*365.25))),0,1),1))</f>
        <v>#REF!</v>
      </c>
      <c r="AM793" s="17" t="e">
        <f>IF(Data!#REF!="","",IF(Data!$G793="",1,IF(ISNUMBER(MATCH(Data!#REF!,Data_Val!$D$2:$D$10,0)),0,1)))</f>
        <v>#REF!</v>
      </c>
      <c r="AN793" s="13"/>
      <c r="AO793" s="28" t="e">
        <f ca="1">IF(Data!#REF!="","",IF(ISNUMBER(Data!#REF!),IF(AND(Data!#REF!&gt;(TODAY()-(Data_Val!$I$3*365.25)),Data!#REF!&lt;=(TODAY()-(Data_Val!$I$2*365.25))),0,1),1))</f>
        <v>#REF!</v>
      </c>
      <c r="AP793" s="13" t="e">
        <f>IF(Data!#REF!="","",IF(Data!$G793="",1,IF(ISNUMBER(MATCH(Data!#REF!,Data_Val!$D$2:$D$10,0)),0,1)))</f>
        <v>#REF!</v>
      </c>
      <c r="AQ793" s="17"/>
      <c r="AR793" s="30" t="e">
        <f ca="1">IF(Data!#REF!="","",IF(ISNUMBER(Data!#REF!),IF(AND(Data!#REF!&gt;(TODAY()-(Data_Val!$I$3*365.25)),Data!#REF!&lt;=(TODAY()-(Data_Val!$I$2*365.25))),0,1),1))</f>
        <v>#REF!</v>
      </c>
      <c r="AS793" s="31" t="e">
        <f>IF(Data!#REF!="","",IF(Data!$G793="",1,IF(ISNUMBER(MATCH(Data!#REF!,Data_Val!$D$2:$D$10,0)),0,1)))</f>
        <v>#REF!</v>
      </c>
      <c r="AT793" s="11"/>
      <c r="AU793" s="11" t="e">
        <f ca="1">IF(Data!#REF!="","",IF(ISNUMBER(Data!#REF!),IF(AND(Data!#REF!&gt;(TODAY()-(Data_Val!$I$3*365.25)),Data!#REF!&lt;=(TODAY()-(Data_Val!$I$2*365.25))),0,1),1))</f>
        <v>#REF!</v>
      </c>
      <c r="AV793" s="11" t="e">
        <f>IF(Data!#REF!="","",IF(Data!$G793="",1,IF(ISNUMBER(MATCH(Data!#REF!,Data_Val!$D$2:$D$10,0)),0,1)))</f>
        <v>#REF!</v>
      </c>
      <c r="AW793" s="12"/>
      <c r="AX793" s="26" t="e">
        <f ca="1">IF(Data!#REF!="","",IF(ISNUMBER(Data!#REF!),IF(AND(Data!#REF!&gt;(TODAY()-(Data_Val!$I$3*365.25)),Data!#REF!&lt;=(TODAY()-(Data_Val!$I$2*365.25))),0,1),1))</f>
        <v>#REF!</v>
      </c>
      <c r="AY793" s="12" t="e">
        <f>IF(Data!#REF!="","",IF(Data!$G793="",1,IF(ISNUMBER(MATCH(Data!#REF!,Data_Val!$D$2:$D$10,0)),0,1)))</f>
        <v>#REF!</v>
      </c>
      <c r="AZ793" s="11"/>
      <c r="BA793" s="19" t="e">
        <f ca="1">IF(Data!#REF!="","",IF(ISNUMBER(Data!#REF!),IF(AND(Data!#REF!&gt;(TODAY()-(Data_Val!$M$3*365.25)),Data!#REF!&lt;=(TODAY()-(Data_Val!$M$2*365.25))),0,1),1))</f>
        <v>#REF!</v>
      </c>
      <c r="BB793" s="11" t="e">
        <f>IF(Data!#REF!="","",IF(Data!$G793="",1,IF(ISNUMBER(MATCH(Data!#REF!,Data_Val!$D$2:$D$10,0)),0,1)))</f>
        <v>#REF!</v>
      </c>
      <c r="BC793" s="12"/>
      <c r="BD793" s="20" t="e">
        <f ca="1">IF(Data!#REF!="","",IF(ISNUMBER(Data!#REF!),IF(AND(Data!#REF!&gt;(TODAY()-(Data_Val!$M$3*365.25)),Data!#REF!&lt;=(TODAY()-(Data_Val!$M$2*365.25))),0,1),1))</f>
        <v>#REF!</v>
      </c>
      <c r="BE793" s="12" t="e">
        <f>IF(Data!#REF!="","",IF(Data!$G793="",1,IF(ISNUMBER(MATCH(Data!#REF!,Data_Val!$D$2:$D$10,0)),0,1)))</f>
        <v>#REF!</v>
      </c>
      <c r="BF793" s="17"/>
      <c r="BG793" s="18" t="e">
        <f ca="1">IF(Data!#REF!="","",IF(ISNUMBER(Data!#REF!),IF(AND(Data!#REF!&gt;(TODAY()-(Data_Val!$M$3*365.25)),Data!#REF!&lt;=(TODAY()-(Data_Val!$M$2*365.25))),0,1),1))</f>
        <v>#REF!</v>
      </c>
      <c r="BH793" s="29" t="e">
        <f>IF(Data!#REF!="","",IF(Data!$G793="",1,IF(ISNUMBER(MATCH(Data!#REF!,Data_Val!$D$2:$D$10,0)),0,1)))</f>
        <v>#REF!</v>
      </c>
      <c r="BI793" s="13"/>
      <c r="BJ793" s="21" t="e">
        <f ca="1">IF(Data!#REF!="","",IF(ISNUMBER(Data!#REF!),IF(AND(Data!#REF!&gt;(TODAY()-(Data_Val!$M$3*365.25)),Data!#REF!&lt;=(TODAY()-(Data_Val!$M$2*365.25))),0,1),1))</f>
        <v>#REF!</v>
      </c>
      <c r="BK793" s="13" t="e">
        <f>IF(Data!#REF!="","",IF(Data!$G793="",1,IF(ISNUMBER(MATCH(Data!#REF!,Data_Val!$D$2:$D$10,0)),0,1)))</f>
        <v>#REF!</v>
      </c>
    </row>
    <row r="794" spans="1:63" x14ac:dyDescent="0.25">
      <c r="A794" s="9" t="str">
        <f>IF(Data!B794="","",IF(COUNTIFS(Data!A$1:'Data'!A794,Data!A794)&lt;=1,0,1))</f>
        <v/>
      </c>
      <c r="B794" s="9"/>
      <c r="C794" s="23" t="str">
        <f>IF(Data!C794="","",(IF(ISNUMBER(MATCH("*@*.?*",Data!C794,0)),0,1)+IF(COUNTIFS(Data!C$1:'Data'!C794,Data!C794)&gt;1,1,0)))</f>
        <v/>
      </c>
      <c r="D794" s="9" t="str">
        <f>IF(Data!B794="","",IF(ISNUMBER(Data!D794),IF(AND(Data!D794&gt;999999999,Data!D794&lt;=9999999999),IF(COUNTIFS(Data!D$1:'Data'!D794,Data!D794)&lt;=1,0,1),1),1))</f>
        <v/>
      </c>
      <c r="E794" s="9" t="str">
        <f>IF(Data!B794="","",IF(ISNUMBER(MATCH(Data!E794,Data_Val!$A$2:$A$3,0)),0,1))</f>
        <v/>
      </c>
      <c r="F794" s="9" t="str">
        <f ca="1">IF(Data!B794="","",IF(ISNUMBER(Data!F794),IF(AND(Data!F794&gt;(TODAY()-(Data_Val!$H$3*365.25)),Data!F794&lt;=(TODAY()-(Data_Val!$H$2*365.25))),0,1),1))</f>
        <v/>
      </c>
      <c r="G794" s="15" t="str">
        <f>IF(Data!B794="","",IF(AND(Data!G794="",Data!H794&lt;&gt;""),1,IF(Data!#REF!&lt;&gt;"",0,IF(ISNUMBER(MATCH(Data!G794,Data_Val!$C$2:$C$5,0)),0,1))))</f>
        <v/>
      </c>
      <c r="H794" s="15" t="str">
        <f>IF(Data!B794="","",IF(AND(Data!G794&lt;&gt;"",Data!H794=""),1,IF(Data!#REF!&lt;&gt;"",0,IF(Data!G794="",1,IF(ISNUMBER(MATCH(Data!H794,Data_Val!$D$2:$D$35,0)),0,1)))))</f>
        <v/>
      </c>
      <c r="I794" s="15" t="str">
        <f>IF(Data!B794="","",IF(Data!G794&lt;&gt;"",0,IF(ISNUMBER(MATCH(Data!#REF!,Data_Val!$E$2:$E$12,0)),0,1)))</f>
        <v/>
      </c>
      <c r="J794" s="16" t="e">
        <f>IF(OR(Data!B794="",Data!#REF!=""),"",IF(Data!#REF!="",1,0))</f>
        <v>#REF!</v>
      </c>
      <c r="K794" s="16" t="e">
        <f>IF(OR(Data!B794="",Data!#REF!=""),"",IF(Data!#REF!="",1,0))</f>
        <v>#REF!</v>
      </c>
      <c r="L794" s="16" t="e">
        <f>IF(OR(Data!B794="",Data!#REF!=""),"",IF(ISNUMBER(Data!#REF!),IF(AND(Data!#REF!&gt;Data_Val!$G$2,Data!#REF!&lt;=Data_Val!$G$3),0,1),1))</f>
        <v>#REF!</v>
      </c>
      <c r="M794" s="9" t="e">
        <f>IF(OR(Data!B794="",Data!#REF!=""),"",IF(ISNUMBER(MATCH(Data!#REF!,Data_Val!$F$1:$F$38,0)),0,1))</f>
        <v>#REF!</v>
      </c>
      <c r="N794" s="9" t="e">
        <f>IF(OR(Data!B794="",Data!#REF!=""),"",IF(Data!#REF!="",1,0))</f>
        <v>#REF!</v>
      </c>
      <c r="O794" s="17" t="e">
        <f>IF(Data!#REF!="","",IF(Data!#REF!="",1,0))</f>
        <v>#REF!</v>
      </c>
      <c r="P794" s="17" t="e">
        <f>IF(Data!#REF!="","",IF(ISNUMBER(MATCH(Data!#REF!,Data_Val!$A$2:$A$3,0)),0,1))</f>
        <v>#REF!</v>
      </c>
      <c r="Q794" s="25" t="e">
        <f ca="1">IF(Data!#REF!="","",IF(ISNUMBER(Data!#REF!),IF(AND(Data!#REF!&gt;(TODAY()-(Data_Val!$J$3*365.25)),Data!#REF!&lt;=(TODAY()-(Data_Val!$J$2*365.25))),0,1),1))</f>
        <v>#REF!</v>
      </c>
      <c r="R794" s="17" t="e">
        <f>IF(Data!#REF!="","",IF(ISNUMBER(MATCH(Data!#REF!,Data_Val!$B$2:$B$15,0)),0,1))</f>
        <v>#REF!</v>
      </c>
      <c r="S794" s="11" t="str">
        <f>IF(Data!G794="","",IF(Data!G794=Data_Val!$C$2,IF(Data!M794="",0,1),0))</f>
        <v/>
      </c>
      <c r="T794" s="11" t="str">
        <f>IF(Data!M794="","",IF(ISNUMBER(MATCH(Data!N794,Data_Val!$A$2:$A$3,0)),0,1))</f>
        <v/>
      </c>
      <c r="U794" s="11" t="str">
        <f ca="1">IF(Data!M794="","",IF(ISNUMBER(Data!O794),IF(AND(Data!O794&gt;(TODAY()-(Data_Val!$K$3*365.25)),Data!O794&lt;=(TODAY()-(Data_Val!$K$2*365.25))),0,1),1))</f>
        <v/>
      </c>
      <c r="V794" s="12" t="str">
        <f>IF(Data!G794="","",IF(Data!G794=Data_Val!$C$2,IF(Data!P794="",0,1),0))</f>
        <v/>
      </c>
      <c r="W794" s="12" t="str">
        <f>IF(Data!P794="","",IF(ISNUMBER(MATCH(Data!Q794,Data_Val!$A$2:$A$3,0)),0,1))</f>
        <v/>
      </c>
      <c r="X794" s="26" t="str">
        <f ca="1">IF(Data!P794="","",IF(ISNUMBER(Data!R794),IF(AND(Data!R794&gt;(TODAY()-(Data_Val!$L$3*365.25)),Data!R794&lt;=(TODAY()-(Data_Val!$L$2*365.25))),0,1),1))</f>
        <v/>
      </c>
      <c r="Y794" s="13" t="str">
        <f>IF(Data!$G794="","",IF(Data!$G794=Data_Val!$C$2,IF(Data!S794="",0,1),0))</f>
        <v/>
      </c>
      <c r="Z794" s="13" t="str">
        <f>IF(Data!S794="","",IF(ISNUMBER(MATCH(Data!T794,Data_Val!$A$2:$A$3,0)),0,1))</f>
        <v/>
      </c>
      <c r="AA794" s="28" t="str">
        <f ca="1">IF(Data!S794="","",IF(ISNUMBER(Data!U794),IF(AND(Data!U794&gt;(TODAY()-(Data_Val!$L$3*365.25)),Data!U794&lt;=(TODAY()-(Data_Val!$L$2*365.25))),0,1),1))</f>
        <v/>
      </c>
      <c r="AB794" s="11"/>
      <c r="AC794" s="11" t="e">
        <f>IF(Data!#REF!="","",IF(ISNUMBER(MATCH(Data!#REF!,Data_Val!$A$2:$A$3,0)),0,1))</f>
        <v>#REF!</v>
      </c>
      <c r="AD794" s="11" t="e">
        <f ca="1">IF(Data!#REF!="","",IF(ISNUMBER(Data!#REF!),IF(AND(Data!#REF!&gt;(TODAY()-(Data_Val!$L$3*365.25)),Data!#REF!&lt;=(TODAY()-(Data_Val!$L$2*365.25))),0,1),1))</f>
        <v>#REF!</v>
      </c>
      <c r="AE794" s="11" t="e">
        <f>IF(Data!#REF!="","",IF(Data!$G794="",1,IF(ISNUMBER(MATCH(Data!#REF!,Data_Val!$D$2:$D$10,0)),0,1)))</f>
        <v>#REF!</v>
      </c>
      <c r="AF794" s="12"/>
      <c r="AG794" s="12" t="e">
        <f>IF(Data!#REF!="","",IF(ISNUMBER(MATCH(Data!#REF!,Data_Val!$A$2:$A$3,0)),0,1))</f>
        <v>#REF!</v>
      </c>
      <c r="AH794" s="26" t="e">
        <f ca="1">IF(Data!#REF!="","",IF(ISNUMBER(Data!#REF!),IF(AND(Data!#REF!&gt;(TODAY()-(Data_Val!$L$3*365.25)),Data!#REF!&lt;=(TODAY()-(Data_Val!$L$2*365.25))),0,1),1))</f>
        <v>#REF!</v>
      </c>
      <c r="AI794" s="12" t="e">
        <f>IF(Data!#REF!="","",IF(Data!$G794="",1,IF(ISNUMBER(MATCH(Data!#REF!,Data_Val!$D$2:$D$10,0)),0,1)))</f>
        <v>#REF!</v>
      </c>
      <c r="AJ794" s="17"/>
      <c r="AK794" s="17" t="e">
        <f>IF(Data!#REF!="","",IF(ISNUMBER(MATCH(Data!#REF!,Data_Val!$A$2:$A$3,0)),0,1))</f>
        <v>#REF!</v>
      </c>
      <c r="AL794" s="25" t="e">
        <f ca="1">IF(Data!#REF!="","",IF(ISNUMBER(Data!#REF!),IF(AND(Data!#REF!&gt;(TODAY()-(Data_Val!$L$3*365.25)),Data!#REF!&lt;=(TODAY()-(Data_Val!$L$2*365.25))),0,1),1))</f>
        <v>#REF!</v>
      </c>
      <c r="AM794" s="17" t="e">
        <f>IF(Data!#REF!="","",IF(Data!$G794="",1,IF(ISNUMBER(MATCH(Data!#REF!,Data_Val!$D$2:$D$10,0)),0,1)))</f>
        <v>#REF!</v>
      </c>
      <c r="AN794" s="13"/>
      <c r="AO794" s="28" t="e">
        <f ca="1">IF(Data!#REF!="","",IF(ISNUMBER(Data!#REF!),IF(AND(Data!#REF!&gt;(TODAY()-(Data_Val!$I$3*365.25)),Data!#REF!&lt;=(TODAY()-(Data_Val!$I$2*365.25))),0,1),1))</f>
        <v>#REF!</v>
      </c>
      <c r="AP794" s="13" t="e">
        <f>IF(Data!#REF!="","",IF(Data!$G794="",1,IF(ISNUMBER(MATCH(Data!#REF!,Data_Val!$D$2:$D$10,0)),0,1)))</f>
        <v>#REF!</v>
      </c>
      <c r="AQ794" s="17"/>
      <c r="AR794" s="30" t="e">
        <f ca="1">IF(Data!#REF!="","",IF(ISNUMBER(Data!#REF!),IF(AND(Data!#REF!&gt;(TODAY()-(Data_Val!$I$3*365.25)),Data!#REF!&lt;=(TODAY()-(Data_Val!$I$2*365.25))),0,1),1))</f>
        <v>#REF!</v>
      </c>
      <c r="AS794" s="31" t="e">
        <f>IF(Data!#REF!="","",IF(Data!$G794="",1,IF(ISNUMBER(MATCH(Data!#REF!,Data_Val!$D$2:$D$10,0)),0,1)))</f>
        <v>#REF!</v>
      </c>
      <c r="AT794" s="11"/>
      <c r="AU794" s="11" t="e">
        <f ca="1">IF(Data!#REF!="","",IF(ISNUMBER(Data!#REF!),IF(AND(Data!#REF!&gt;(TODAY()-(Data_Val!$I$3*365.25)),Data!#REF!&lt;=(TODAY()-(Data_Val!$I$2*365.25))),0,1),1))</f>
        <v>#REF!</v>
      </c>
      <c r="AV794" s="11" t="e">
        <f>IF(Data!#REF!="","",IF(Data!$G794="",1,IF(ISNUMBER(MATCH(Data!#REF!,Data_Val!$D$2:$D$10,0)),0,1)))</f>
        <v>#REF!</v>
      </c>
      <c r="AW794" s="12"/>
      <c r="AX794" s="26" t="e">
        <f ca="1">IF(Data!#REF!="","",IF(ISNUMBER(Data!#REF!),IF(AND(Data!#REF!&gt;(TODAY()-(Data_Val!$I$3*365.25)),Data!#REF!&lt;=(TODAY()-(Data_Val!$I$2*365.25))),0,1),1))</f>
        <v>#REF!</v>
      </c>
      <c r="AY794" s="12" t="e">
        <f>IF(Data!#REF!="","",IF(Data!$G794="",1,IF(ISNUMBER(MATCH(Data!#REF!,Data_Val!$D$2:$D$10,0)),0,1)))</f>
        <v>#REF!</v>
      </c>
      <c r="AZ794" s="11"/>
      <c r="BA794" s="19" t="e">
        <f ca="1">IF(Data!#REF!="","",IF(ISNUMBER(Data!#REF!),IF(AND(Data!#REF!&gt;(TODAY()-(Data_Val!$M$3*365.25)),Data!#REF!&lt;=(TODAY()-(Data_Val!$M$2*365.25))),0,1),1))</f>
        <v>#REF!</v>
      </c>
      <c r="BB794" s="11" t="e">
        <f>IF(Data!#REF!="","",IF(Data!$G794="",1,IF(ISNUMBER(MATCH(Data!#REF!,Data_Val!$D$2:$D$10,0)),0,1)))</f>
        <v>#REF!</v>
      </c>
      <c r="BC794" s="12"/>
      <c r="BD794" s="20" t="e">
        <f ca="1">IF(Data!#REF!="","",IF(ISNUMBER(Data!#REF!),IF(AND(Data!#REF!&gt;(TODAY()-(Data_Val!$M$3*365.25)),Data!#REF!&lt;=(TODAY()-(Data_Val!$M$2*365.25))),0,1),1))</f>
        <v>#REF!</v>
      </c>
      <c r="BE794" s="12" t="e">
        <f>IF(Data!#REF!="","",IF(Data!$G794="",1,IF(ISNUMBER(MATCH(Data!#REF!,Data_Val!$D$2:$D$10,0)),0,1)))</f>
        <v>#REF!</v>
      </c>
      <c r="BF794" s="17"/>
      <c r="BG794" s="18" t="e">
        <f ca="1">IF(Data!#REF!="","",IF(ISNUMBER(Data!#REF!),IF(AND(Data!#REF!&gt;(TODAY()-(Data_Val!$M$3*365.25)),Data!#REF!&lt;=(TODAY()-(Data_Val!$M$2*365.25))),0,1),1))</f>
        <v>#REF!</v>
      </c>
      <c r="BH794" s="29" t="e">
        <f>IF(Data!#REF!="","",IF(Data!$G794="",1,IF(ISNUMBER(MATCH(Data!#REF!,Data_Val!$D$2:$D$10,0)),0,1)))</f>
        <v>#REF!</v>
      </c>
      <c r="BI794" s="13"/>
      <c r="BJ794" s="21" t="e">
        <f ca="1">IF(Data!#REF!="","",IF(ISNUMBER(Data!#REF!),IF(AND(Data!#REF!&gt;(TODAY()-(Data_Val!$M$3*365.25)),Data!#REF!&lt;=(TODAY()-(Data_Val!$M$2*365.25))),0,1),1))</f>
        <v>#REF!</v>
      </c>
      <c r="BK794" s="13" t="e">
        <f>IF(Data!#REF!="","",IF(Data!$G794="",1,IF(ISNUMBER(MATCH(Data!#REF!,Data_Val!$D$2:$D$10,0)),0,1)))</f>
        <v>#REF!</v>
      </c>
    </row>
    <row r="795" spans="1:63" x14ac:dyDescent="0.25">
      <c r="A795" s="9" t="str">
        <f>IF(Data!B795="","",IF(COUNTIFS(Data!A$1:'Data'!A795,Data!A795)&lt;=1,0,1))</f>
        <v/>
      </c>
      <c r="B795" s="9"/>
      <c r="C795" s="23" t="str">
        <f>IF(Data!C795="","",(IF(ISNUMBER(MATCH("*@*.?*",Data!C795,0)),0,1)+IF(COUNTIFS(Data!C$1:'Data'!C795,Data!C795)&gt;1,1,0)))</f>
        <v/>
      </c>
      <c r="D795" s="9" t="str">
        <f>IF(Data!B795="","",IF(ISNUMBER(Data!D795),IF(AND(Data!D795&gt;999999999,Data!D795&lt;=9999999999),IF(COUNTIFS(Data!D$1:'Data'!D795,Data!D795)&lt;=1,0,1),1),1))</f>
        <v/>
      </c>
      <c r="E795" s="9" t="str">
        <f>IF(Data!B795="","",IF(ISNUMBER(MATCH(Data!E795,Data_Val!$A$2:$A$3,0)),0,1))</f>
        <v/>
      </c>
      <c r="F795" s="9" t="str">
        <f ca="1">IF(Data!B795="","",IF(ISNUMBER(Data!F795),IF(AND(Data!F795&gt;(TODAY()-(Data_Val!$H$3*365.25)),Data!F795&lt;=(TODAY()-(Data_Val!$H$2*365.25))),0,1),1))</f>
        <v/>
      </c>
      <c r="G795" s="15" t="str">
        <f>IF(Data!B795="","",IF(AND(Data!G795="",Data!H795&lt;&gt;""),1,IF(Data!#REF!&lt;&gt;"",0,IF(ISNUMBER(MATCH(Data!G795,Data_Val!$C$2:$C$5,0)),0,1))))</f>
        <v/>
      </c>
      <c r="H795" s="15" t="str">
        <f>IF(Data!B795="","",IF(AND(Data!G795&lt;&gt;"",Data!H795=""),1,IF(Data!#REF!&lt;&gt;"",0,IF(Data!G795="",1,IF(ISNUMBER(MATCH(Data!H795,Data_Val!$D$2:$D$35,0)),0,1)))))</f>
        <v/>
      </c>
      <c r="I795" s="15" t="str">
        <f>IF(Data!B795="","",IF(Data!G795&lt;&gt;"",0,IF(ISNUMBER(MATCH(Data!#REF!,Data_Val!$E$2:$E$12,0)),0,1)))</f>
        <v/>
      </c>
      <c r="J795" s="16" t="e">
        <f>IF(OR(Data!B795="",Data!#REF!=""),"",IF(Data!#REF!="",1,0))</f>
        <v>#REF!</v>
      </c>
      <c r="K795" s="16" t="e">
        <f>IF(OR(Data!B795="",Data!#REF!=""),"",IF(Data!#REF!="",1,0))</f>
        <v>#REF!</v>
      </c>
      <c r="L795" s="16" t="e">
        <f>IF(OR(Data!B795="",Data!#REF!=""),"",IF(ISNUMBER(Data!#REF!),IF(AND(Data!#REF!&gt;Data_Val!$G$2,Data!#REF!&lt;=Data_Val!$G$3),0,1),1))</f>
        <v>#REF!</v>
      </c>
      <c r="M795" s="9" t="e">
        <f>IF(OR(Data!B795="",Data!#REF!=""),"",IF(ISNUMBER(MATCH(Data!#REF!,Data_Val!$F$1:$F$38,0)),0,1))</f>
        <v>#REF!</v>
      </c>
      <c r="N795" s="9" t="e">
        <f>IF(OR(Data!B795="",Data!#REF!=""),"",IF(Data!#REF!="",1,0))</f>
        <v>#REF!</v>
      </c>
      <c r="O795" s="17" t="e">
        <f>IF(Data!#REF!="","",IF(Data!#REF!="",1,0))</f>
        <v>#REF!</v>
      </c>
      <c r="P795" s="17" t="e">
        <f>IF(Data!#REF!="","",IF(ISNUMBER(MATCH(Data!#REF!,Data_Val!$A$2:$A$3,0)),0,1))</f>
        <v>#REF!</v>
      </c>
      <c r="Q795" s="25" t="e">
        <f ca="1">IF(Data!#REF!="","",IF(ISNUMBER(Data!#REF!),IF(AND(Data!#REF!&gt;(TODAY()-(Data_Val!$J$3*365.25)),Data!#REF!&lt;=(TODAY()-(Data_Val!$J$2*365.25))),0,1),1))</f>
        <v>#REF!</v>
      </c>
      <c r="R795" s="17" t="e">
        <f>IF(Data!#REF!="","",IF(ISNUMBER(MATCH(Data!#REF!,Data_Val!$B$2:$B$15,0)),0,1))</f>
        <v>#REF!</v>
      </c>
      <c r="S795" s="11" t="str">
        <f>IF(Data!G795="","",IF(Data!G795=Data_Val!$C$2,IF(Data!M795="",0,1),0))</f>
        <v/>
      </c>
      <c r="T795" s="11" t="str">
        <f>IF(Data!M795="","",IF(ISNUMBER(MATCH(Data!N795,Data_Val!$A$2:$A$3,0)),0,1))</f>
        <v/>
      </c>
      <c r="U795" s="11" t="str">
        <f ca="1">IF(Data!M795="","",IF(ISNUMBER(Data!O795),IF(AND(Data!O795&gt;(TODAY()-(Data_Val!$K$3*365.25)),Data!O795&lt;=(TODAY()-(Data_Val!$K$2*365.25))),0,1),1))</f>
        <v/>
      </c>
      <c r="V795" s="12" t="str">
        <f>IF(Data!G795="","",IF(Data!G795=Data_Val!$C$2,IF(Data!P795="",0,1),0))</f>
        <v/>
      </c>
      <c r="W795" s="12" t="str">
        <f>IF(Data!P795="","",IF(ISNUMBER(MATCH(Data!Q795,Data_Val!$A$2:$A$3,0)),0,1))</f>
        <v/>
      </c>
      <c r="X795" s="26" t="str">
        <f ca="1">IF(Data!P795="","",IF(ISNUMBER(Data!R795),IF(AND(Data!R795&gt;(TODAY()-(Data_Val!$L$3*365.25)),Data!R795&lt;=(TODAY()-(Data_Val!$L$2*365.25))),0,1),1))</f>
        <v/>
      </c>
      <c r="Y795" s="13" t="str">
        <f>IF(Data!$G795="","",IF(Data!$G795=Data_Val!$C$2,IF(Data!S795="",0,1),0))</f>
        <v/>
      </c>
      <c r="Z795" s="13" t="str">
        <f>IF(Data!S795="","",IF(ISNUMBER(MATCH(Data!T795,Data_Val!$A$2:$A$3,0)),0,1))</f>
        <v/>
      </c>
      <c r="AA795" s="28" t="str">
        <f ca="1">IF(Data!S795="","",IF(ISNUMBER(Data!U795),IF(AND(Data!U795&gt;(TODAY()-(Data_Val!$L$3*365.25)),Data!U795&lt;=(TODAY()-(Data_Val!$L$2*365.25))),0,1),1))</f>
        <v/>
      </c>
      <c r="AB795" s="11"/>
      <c r="AC795" s="11" t="e">
        <f>IF(Data!#REF!="","",IF(ISNUMBER(MATCH(Data!#REF!,Data_Val!$A$2:$A$3,0)),0,1))</f>
        <v>#REF!</v>
      </c>
      <c r="AD795" s="11" t="e">
        <f ca="1">IF(Data!#REF!="","",IF(ISNUMBER(Data!#REF!),IF(AND(Data!#REF!&gt;(TODAY()-(Data_Val!$L$3*365.25)),Data!#REF!&lt;=(TODAY()-(Data_Val!$L$2*365.25))),0,1),1))</f>
        <v>#REF!</v>
      </c>
      <c r="AE795" s="11" t="e">
        <f>IF(Data!#REF!="","",IF(Data!$G795="",1,IF(ISNUMBER(MATCH(Data!#REF!,Data_Val!$D$2:$D$10,0)),0,1)))</f>
        <v>#REF!</v>
      </c>
      <c r="AF795" s="12"/>
      <c r="AG795" s="12" t="e">
        <f>IF(Data!#REF!="","",IF(ISNUMBER(MATCH(Data!#REF!,Data_Val!$A$2:$A$3,0)),0,1))</f>
        <v>#REF!</v>
      </c>
      <c r="AH795" s="26" t="e">
        <f ca="1">IF(Data!#REF!="","",IF(ISNUMBER(Data!#REF!),IF(AND(Data!#REF!&gt;(TODAY()-(Data_Val!$L$3*365.25)),Data!#REF!&lt;=(TODAY()-(Data_Val!$L$2*365.25))),0,1),1))</f>
        <v>#REF!</v>
      </c>
      <c r="AI795" s="12" t="e">
        <f>IF(Data!#REF!="","",IF(Data!$G795="",1,IF(ISNUMBER(MATCH(Data!#REF!,Data_Val!$D$2:$D$10,0)),0,1)))</f>
        <v>#REF!</v>
      </c>
      <c r="AJ795" s="17"/>
      <c r="AK795" s="17" t="e">
        <f>IF(Data!#REF!="","",IF(ISNUMBER(MATCH(Data!#REF!,Data_Val!$A$2:$A$3,0)),0,1))</f>
        <v>#REF!</v>
      </c>
      <c r="AL795" s="25" t="e">
        <f ca="1">IF(Data!#REF!="","",IF(ISNUMBER(Data!#REF!),IF(AND(Data!#REF!&gt;(TODAY()-(Data_Val!$L$3*365.25)),Data!#REF!&lt;=(TODAY()-(Data_Val!$L$2*365.25))),0,1),1))</f>
        <v>#REF!</v>
      </c>
      <c r="AM795" s="17" t="e">
        <f>IF(Data!#REF!="","",IF(Data!$G795="",1,IF(ISNUMBER(MATCH(Data!#REF!,Data_Val!$D$2:$D$10,0)),0,1)))</f>
        <v>#REF!</v>
      </c>
      <c r="AN795" s="13"/>
      <c r="AO795" s="28" t="e">
        <f ca="1">IF(Data!#REF!="","",IF(ISNUMBER(Data!#REF!),IF(AND(Data!#REF!&gt;(TODAY()-(Data_Val!$I$3*365.25)),Data!#REF!&lt;=(TODAY()-(Data_Val!$I$2*365.25))),0,1),1))</f>
        <v>#REF!</v>
      </c>
      <c r="AP795" s="13" t="e">
        <f>IF(Data!#REF!="","",IF(Data!$G795="",1,IF(ISNUMBER(MATCH(Data!#REF!,Data_Val!$D$2:$D$10,0)),0,1)))</f>
        <v>#REF!</v>
      </c>
      <c r="AQ795" s="17"/>
      <c r="AR795" s="30" t="e">
        <f ca="1">IF(Data!#REF!="","",IF(ISNUMBER(Data!#REF!),IF(AND(Data!#REF!&gt;(TODAY()-(Data_Val!$I$3*365.25)),Data!#REF!&lt;=(TODAY()-(Data_Val!$I$2*365.25))),0,1),1))</f>
        <v>#REF!</v>
      </c>
      <c r="AS795" s="31" t="e">
        <f>IF(Data!#REF!="","",IF(Data!$G795="",1,IF(ISNUMBER(MATCH(Data!#REF!,Data_Val!$D$2:$D$10,0)),0,1)))</f>
        <v>#REF!</v>
      </c>
      <c r="AT795" s="11"/>
      <c r="AU795" s="11" t="e">
        <f ca="1">IF(Data!#REF!="","",IF(ISNUMBER(Data!#REF!),IF(AND(Data!#REF!&gt;(TODAY()-(Data_Val!$I$3*365.25)),Data!#REF!&lt;=(TODAY()-(Data_Val!$I$2*365.25))),0,1),1))</f>
        <v>#REF!</v>
      </c>
      <c r="AV795" s="11" t="e">
        <f>IF(Data!#REF!="","",IF(Data!$G795="",1,IF(ISNUMBER(MATCH(Data!#REF!,Data_Val!$D$2:$D$10,0)),0,1)))</f>
        <v>#REF!</v>
      </c>
      <c r="AW795" s="12"/>
      <c r="AX795" s="26" t="e">
        <f ca="1">IF(Data!#REF!="","",IF(ISNUMBER(Data!#REF!),IF(AND(Data!#REF!&gt;(TODAY()-(Data_Val!$I$3*365.25)),Data!#REF!&lt;=(TODAY()-(Data_Val!$I$2*365.25))),0,1),1))</f>
        <v>#REF!</v>
      </c>
      <c r="AY795" s="12" t="e">
        <f>IF(Data!#REF!="","",IF(Data!$G795="",1,IF(ISNUMBER(MATCH(Data!#REF!,Data_Val!$D$2:$D$10,0)),0,1)))</f>
        <v>#REF!</v>
      </c>
      <c r="AZ795" s="11"/>
      <c r="BA795" s="19" t="e">
        <f ca="1">IF(Data!#REF!="","",IF(ISNUMBER(Data!#REF!),IF(AND(Data!#REF!&gt;(TODAY()-(Data_Val!$M$3*365.25)),Data!#REF!&lt;=(TODAY()-(Data_Val!$M$2*365.25))),0,1),1))</f>
        <v>#REF!</v>
      </c>
      <c r="BB795" s="11" t="e">
        <f>IF(Data!#REF!="","",IF(Data!$G795="",1,IF(ISNUMBER(MATCH(Data!#REF!,Data_Val!$D$2:$D$10,0)),0,1)))</f>
        <v>#REF!</v>
      </c>
      <c r="BC795" s="12"/>
      <c r="BD795" s="20" t="e">
        <f ca="1">IF(Data!#REF!="","",IF(ISNUMBER(Data!#REF!),IF(AND(Data!#REF!&gt;(TODAY()-(Data_Val!$M$3*365.25)),Data!#REF!&lt;=(TODAY()-(Data_Val!$M$2*365.25))),0,1),1))</f>
        <v>#REF!</v>
      </c>
      <c r="BE795" s="12" t="e">
        <f>IF(Data!#REF!="","",IF(Data!$G795="",1,IF(ISNUMBER(MATCH(Data!#REF!,Data_Val!$D$2:$D$10,0)),0,1)))</f>
        <v>#REF!</v>
      </c>
      <c r="BF795" s="17"/>
      <c r="BG795" s="18" t="e">
        <f ca="1">IF(Data!#REF!="","",IF(ISNUMBER(Data!#REF!),IF(AND(Data!#REF!&gt;(TODAY()-(Data_Val!$M$3*365.25)),Data!#REF!&lt;=(TODAY()-(Data_Val!$M$2*365.25))),0,1),1))</f>
        <v>#REF!</v>
      </c>
      <c r="BH795" s="29" t="e">
        <f>IF(Data!#REF!="","",IF(Data!$G795="",1,IF(ISNUMBER(MATCH(Data!#REF!,Data_Val!$D$2:$D$10,0)),0,1)))</f>
        <v>#REF!</v>
      </c>
      <c r="BI795" s="13"/>
      <c r="BJ795" s="21" t="e">
        <f ca="1">IF(Data!#REF!="","",IF(ISNUMBER(Data!#REF!),IF(AND(Data!#REF!&gt;(TODAY()-(Data_Val!$M$3*365.25)),Data!#REF!&lt;=(TODAY()-(Data_Val!$M$2*365.25))),0,1),1))</f>
        <v>#REF!</v>
      </c>
      <c r="BK795" s="13" t="e">
        <f>IF(Data!#REF!="","",IF(Data!$G795="",1,IF(ISNUMBER(MATCH(Data!#REF!,Data_Val!$D$2:$D$10,0)),0,1)))</f>
        <v>#REF!</v>
      </c>
    </row>
    <row r="796" spans="1:63" x14ac:dyDescent="0.25">
      <c r="A796" s="9" t="str">
        <f>IF(Data!B796="","",IF(COUNTIFS(Data!A$1:'Data'!A796,Data!A796)&lt;=1,0,1))</f>
        <v/>
      </c>
      <c r="B796" s="9"/>
      <c r="C796" s="23" t="str">
        <f>IF(Data!C796="","",(IF(ISNUMBER(MATCH("*@*.?*",Data!C796,0)),0,1)+IF(COUNTIFS(Data!C$1:'Data'!C796,Data!C796)&gt;1,1,0)))</f>
        <v/>
      </c>
      <c r="D796" s="9" t="str">
        <f>IF(Data!B796="","",IF(ISNUMBER(Data!D796),IF(AND(Data!D796&gt;999999999,Data!D796&lt;=9999999999),IF(COUNTIFS(Data!D$1:'Data'!D796,Data!D796)&lt;=1,0,1),1),1))</f>
        <v/>
      </c>
      <c r="E796" s="9" t="str">
        <f>IF(Data!B796="","",IF(ISNUMBER(MATCH(Data!E796,Data_Val!$A$2:$A$3,0)),0,1))</f>
        <v/>
      </c>
      <c r="F796" s="9" t="str">
        <f ca="1">IF(Data!B796="","",IF(ISNUMBER(Data!F796),IF(AND(Data!F796&gt;(TODAY()-(Data_Val!$H$3*365.25)),Data!F796&lt;=(TODAY()-(Data_Val!$H$2*365.25))),0,1),1))</f>
        <v/>
      </c>
      <c r="G796" s="15" t="str">
        <f>IF(Data!B796="","",IF(AND(Data!G796="",Data!H796&lt;&gt;""),1,IF(Data!#REF!&lt;&gt;"",0,IF(ISNUMBER(MATCH(Data!G796,Data_Val!$C$2:$C$5,0)),0,1))))</f>
        <v/>
      </c>
      <c r="H796" s="15" t="str">
        <f>IF(Data!B796="","",IF(AND(Data!G796&lt;&gt;"",Data!H796=""),1,IF(Data!#REF!&lt;&gt;"",0,IF(Data!G796="",1,IF(ISNUMBER(MATCH(Data!H796,Data_Val!$D$2:$D$35,0)),0,1)))))</f>
        <v/>
      </c>
      <c r="I796" s="15" t="str">
        <f>IF(Data!B796="","",IF(Data!G796&lt;&gt;"",0,IF(ISNUMBER(MATCH(Data!#REF!,Data_Val!$E$2:$E$12,0)),0,1)))</f>
        <v/>
      </c>
      <c r="J796" s="16" t="e">
        <f>IF(OR(Data!B796="",Data!#REF!=""),"",IF(Data!#REF!="",1,0))</f>
        <v>#REF!</v>
      </c>
      <c r="K796" s="16" t="e">
        <f>IF(OR(Data!B796="",Data!#REF!=""),"",IF(Data!#REF!="",1,0))</f>
        <v>#REF!</v>
      </c>
      <c r="L796" s="16" t="e">
        <f>IF(OR(Data!B796="",Data!#REF!=""),"",IF(ISNUMBER(Data!#REF!),IF(AND(Data!#REF!&gt;Data_Val!$G$2,Data!#REF!&lt;=Data_Val!$G$3),0,1),1))</f>
        <v>#REF!</v>
      </c>
      <c r="M796" s="9" t="e">
        <f>IF(OR(Data!B796="",Data!#REF!=""),"",IF(ISNUMBER(MATCH(Data!#REF!,Data_Val!$F$1:$F$38,0)),0,1))</f>
        <v>#REF!</v>
      </c>
      <c r="N796" s="9" t="e">
        <f>IF(OR(Data!B796="",Data!#REF!=""),"",IF(Data!#REF!="",1,0))</f>
        <v>#REF!</v>
      </c>
      <c r="O796" s="17" t="e">
        <f>IF(Data!#REF!="","",IF(Data!#REF!="",1,0))</f>
        <v>#REF!</v>
      </c>
      <c r="P796" s="17" t="e">
        <f>IF(Data!#REF!="","",IF(ISNUMBER(MATCH(Data!#REF!,Data_Val!$A$2:$A$3,0)),0,1))</f>
        <v>#REF!</v>
      </c>
      <c r="Q796" s="25" t="e">
        <f ca="1">IF(Data!#REF!="","",IF(ISNUMBER(Data!#REF!),IF(AND(Data!#REF!&gt;(TODAY()-(Data_Val!$J$3*365.25)),Data!#REF!&lt;=(TODAY()-(Data_Val!$J$2*365.25))),0,1),1))</f>
        <v>#REF!</v>
      </c>
      <c r="R796" s="17" t="e">
        <f>IF(Data!#REF!="","",IF(ISNUMBER(MATCH(Data!#REF!,Data_Val!$B$2:$B$15,0)),0,1))</f>
        <v>#REF!</v>
      </c>
      <c r="S796" s="11" t="str">
        <f>IF(Data!G796="","",IF(Data!G796=Data_Val!$C$2,IF(Data!M796="",0,1),0))</f>
        <v/>
      </c>
      <c r="T796" s="11" t="str">
        <f>IF(Data!M796="","",IF(ISNUMBER(MATCH(Data!N796,Data_Val!$A$2:$A$3,0)),0,1))</f>
        <v/>
      </c>
      <c r="U796" s="11" t="str">
        <f ca="1">IF(Data!M796="","",IF(ISNUMBER(Data!O796),IF(AND(Data!O796&gt;(TODAY()-(Data_Val!$K$3*365.25)),Data!O796&lt;=(TODAY()-(Data_Val!$K$2*365.25))),0,1),1))</f>
        <v/>
      </c>
      <c r="V796" s="12" t="str">
        <f>IF(Data!G796="","",IF(Data!G796=Data_Val!$C$2,IF(Data!P796="",0,1),0))</f>
        <v/>
      </c>
      <c r="W796" s="12" t="str">
        <f>IF(Data!P796="","",IF(ISNUMBER(MATCH(Data!Q796,Data_Val!$A$2:$A$3,0)),0,1))</f>
        <v/>
      </c>
      <c r="X796" s="26" t="str">
        <f ca="1">IF(Data!P796="","",IF(ISNUMBER(Data!R796),IF(AND(Data!R796&gt;(TODAY()-(Data_Val!$L$3*365.25)),Data!R796&lt;=(TODAY()-(Data_Val!$L$2*365.25))),0,1),1))</f>
        <v/>
      </c>
      <c r="Y796" s="13" t="str">
        <f>IF(Data!$G796="","",IF(Data!$G796=Data_Val!$C$2,IF(Data!S796="",0,1),0))</f>
        <v/>
      </c>
      <c r="Z796" s="13" t="str">
        <f>IF(Data!S796="","",IF(ISNUMBER(MATCH(Data!T796,Data_Val!$A$2:$A$3,0)),0,1))</f>
        <v/>
      </c>
      <c r="AA796" s="28" t="str">
        <f ca="1">IF(Data!S796="","",IF(ISNUMBER(Data!U796),IF(AND(Data!U796&gt;(TODAY()-(Data_Val!$L$3*365.25)),Data!U796&lt;=(TODAY()-(Data_Val!$L$2*365.25))),0,1),1))</f>
        <v/>
      </c>
      <c r="AB796" s="11"/>
      <c r="AC796" s="11" t="e">
        <f>IF(Data!#REF!="","",IF(ISNUMBER(MATCH(Data!#REF!,Data_Val!$A$2:$A$3,0)),0,1))</f>
        <v>#REF!</v>
      </c>
      <c r="AD796" s="11" t="e">
        <f ca="1">IF(Data!#REF!="","",IF(ISNUMBER(Data!#REF!),IF(AND(Data!#REF!&gt;(TODAY()-(Data_Val!$L$3*365.25)),Data!#REF!&lt;=(TODAY()-(Data_Val!$L$2*365.25))),0,1),1))</f>
        <v>#REF!</v>
      </c>
      <c r="AE796" s="11" t="e">
        <f>IF(Data!#REF!="","",IF(Data!$G796="",1,IF(ISNUMBER(MATCH(Data!#REF!,Data_Val!$D$2:$D$10,0)),0,1)))</f>
        <v>#REF!</v>
      </c>
      <c r="AF796" s="12"/>
      <c r="AG796" s="12" t="e">
        <f>IF(Data!#REF!="","",IF(ISNUMBER(MATCH(Data!#REF!,Data_Val!$A$2:$A$3,0)),0,1))</f>
        <v>#REF!</v>
      </c>
      <c r="AH796" s="26" t="e">
        <f ca="1">IF(Data!#REF!="","",IF(ISNUMBER(Data!#REF!),IF(AND(Data!#REF!&gt;(TODAY()-(Data_Val!$L$3*365.25)),Data!#REF!&lt;=(TODAY()-(Data_Val!$L$2*365.25))),0,1),1))</f>
        <v>#REF!</v>
      </c>
      <c r="AI796" s="12" t="e">
        <f>IF(Data!#REF!="","",IF(Data!$G796="",1,IF(ISNUMBER(MATCH(Data!#REF!,Data_Val!$D$2:$D$10,0)),0,1)))</f>
        <v>#REF!</v>
      </c>
      <c r="AJ796" s="17"/>
      <c r="AK796" s="17" t="e">
        <f>IF(Data!#REF!="","",IF(ISNUMBER(MATCH(Data!#REF!,Data_Val!$A$2:$A$3,0)),0,1))</f>
        <v>#REF!</v>
      </c>
      <c r="AL796" s="25" t="e">
        <f ca="1">IF(Data!#REF!="","",IF(ISNUMBER(Data!#REF!),IF(AND(Data!#REF!&gt;(TODAY()-(Data_Val!$L$3*365.25)),Data!#REF!&lt;=(TODAY()-(Data_Val!$L$2*365.25))),0,1),1))</f>
        <v>#REF!</v>
      </c>
      <c r="AM796" s="17" t="e">
        <f>IF(Data!#REF!="","",IF(Data!$G796="",1,IF(ISNUMBER(MATCH(Data!#REF!,Data_Val!$D$2:$D$10,0)),0,1)))</f>
        <v>#REF!</v>
      </c>
      <c r="AN796" s="13"/>
      <c r="AO796" s="28" t="e">
        <f ca="1">IF(Data!#REF!="","",IF(ISNUMBER(Data!#REF!),IF(AND(Data!#REF!&gt;(TODAY()-(Data_Val!$I$3*365.25)),Data!#REF!&lt;=(TODAY()-(Data_Val!$I$2*365.25))),0,1),1))</f>
        <v>#REF!</v>
      </c>
      <c r="AP796" s="13" t="e">
        <f>IF(Data!#REF!="","",IF(Data!$G796="",1,IF(ISNUMBER(MATCH(Data!#REF!,Data_Val!$D$2:$D$10,0)),0,1)))</f>
        <v>#REF!</v>
      </c>
      <c r="AQ796" s="17"/>
      <c r="AR796" s="30" t="e">
        <f ca="1">IF(Data!#REF!="","",IF(ISNUMBER(Data!#REF!),IF(AND(Data!#REF!&gt;(TODAY()-(Data_Val!$I$3*365.25)),Data!#REF!&lt;=(TODAY()-(Data_Val!$I$2*365.25))),0,1),1))</f>
        <v>#REF!</v>
      </c>
      <c r="AS796" s="31" t="e">
        <f>IF(Data!#REF!="","",IF(Data!$G796="",1,IF(ISNUMBER(MATCH(Data!#REF!,Data_Val!$D$2:$D$10,0)),0,1)))</f>
        <v>#REF!</v>
      </c>
      <c r="AT796" s="11"/>
      <c r="AU796" s="11" t="e">
        <f ca="1">IF(Data!#REF!="","",IF(ISNUMBER(Data!#REF!),IF(AND(Data!#REF!&gt;(TODAY()-(Data_Val!$I$3*365.25)),Data!#REF!&lt;=(TODAY()-(Data_Val!$I$2*365.25))),0,1),1))</f>
        <v>#REF!</v>
      </c>
      <c r="AV796" s="11" t="e">
        <f>IF(Data!#REF!="","",IF(Data!$G796="",1,IF(ISNUMBER(MATCH(Data!#REF!,Data_Val!$D$2:$D$10,0)),0,1)))</f>
        <v>#REF!</v>
      </c>
      <c r="AW796" s="12"/>
      <c r="AX796" s="26" t="e">
        <f ca="1">IF(Data!#REF!="","",IF(ISNUMBER(Data!#REF!),IF(AND(Data!#REF!&gt;(TODAY()-(Data_Val!$I$3*365.25)),Data!#REF!&lt;=(TODAY()-(Data_Val!$I$2*365.25))),0,1),1))</f>
        <v>#REF!</v>
      </c>
      <c r="AY796" s="12" t="e">
        <f>IF(Data!#REF!="","",IF(Data!$G796="",1,IF(ISNUMBER(MATCH(Data!#REF!,Data_Val!$D$2:$D$10,0)),0,1)))</f>
        <v>#REF!</v>
      </c>
      <c r="AZ796" s="11"/>
      <c r="BA796" s="19" t="e">
        <f ca="1">IF(Data!#REF!="","",IF(ISNUMBER(Data!#REF!),IF(AND(Data!#REF!&gt;(TODAY()-(Data_Val!$M$3*365.25)),Data!#REF!&lt;=(TODAY()-(Data_Val!$M$2*365.25))),0,1),1))</f>
        <v>#REF!</v>
      </c>
      <c r="BB796" s="11" t="e">
        <f>IF(Data!#REF!="","",IF(Data!$G796="",1,IF(ISNUMBER(MATCH(Data!#REF!,Data_Val!$D$2:$D$10,0)),0,1)))</f>
        <v>#REF!</v>
      </c>
      <c r="BC796" s="12"/>
      <c r="BD796" s="20" t="e">
        <f ca="1">IF(Data!#REF!="","",IF(ISNUMBER(Data!#REF!),IF(AND(Data!#REF!&gt;(TODAY()-(Data_Val!$M$3*365.25)),Data!#REF!&lt;=(TODAY()-(Data_Val!$M$2*365.25))),0,1),1))</f>
        <v>#REF!</v>
      </c>
      <c r="BE796" s="12" t="e">
        <f>IF(Data!#REF!="","",IF(Data!$G796="",1,IF(ISNUMBER(MATCH(Data!#REF!,Data_Val!$D$2:$D$10,0)),0,1)))</f>
        <v>#REF!</v>
      </c>
      <c r="BF796" s="17"/>
      <c r="BG796" s="18" t="e">
        <f ca="1">IF(Data!#REF!="","",IF(ISNUMBER(Data!#REF!),IF(AND(Data!#REF!&gt;(TODAY()-(Data_Val!$M$3*365.25)),Data!#REF!&lt;=(TODAY()-(Data_Val!$M$2*365.25))),0,1),1))</f>
        <v>#REF!</v>
      </c>
      <c r="BH796" s="29" t="e">
        <f>IF(Data!#REF!="","",IF(Data!$G796="",1,IF(ISNUMBER(MATCH(Data!#REF!,Data_Val!$D$2:$D$10,0)),0,1)))</f>
        <v>#REF!</v>
      </c>
      <c r="BI796" s="13"/>
      <c r="BJ796" s="21" t="e">
        <f ca="1">IF(Data!#REF!="","",IF(ISNUMBER(Data!#REF!),IF(AND(Data!#REF!&gt;(TODAY()-(Data_Val!$M$3*365.25)),Data!#REF!&lt;=(TODAY()-(Data_Val!$M$2*365.25))),0,1),1))</f>
        <v>#REF!</v>
      </c>
      <c r="BK796" s="13" t="e">
        <f>IF(Data!#REF!="","",IF(Data!$G796="",1,IF(ISNUMBER(MATCH(Data!#REF!,Data_Val!$D$2:$D$10,0)),0,1)))</f>
        <v>#REF!</v>
      </c>
    </row>
    <row r="797" spans="1:63" x14ac:dyDescent="0.25">
      <c r="A797" s="9" t="str">
        <f>IF(Data!B797="","",IF(COUNTIFS(Data!A$1:'Data'!A797,Data!A797)&lt;=1,0,1))</f>
        <v/>
      </c>
      <c r="B797" s="9"/>
      <c r="C797" s="23" t="str">
        <f>IF(Data!C797="","",(IF(ISNUMBER(MATCH("*@*.?*",Data!C797,0)),0,1)+IF(COUNTIFS(Data!C$1:'Data'!C797,Data!C797)&gt;1,1,0)))</f>
        <v/>
      </c>
      <c r="D797" s="9" t="str">
        <f>IF(Data!B797="","",IF(ISNUMBER(Data!D797),IF(AND(Data!D797&gt;999999999,Data!D797&lt;=9999999999),IF(COUNTIFS(Data!D$1:'Data'!D797,Data!D797)&lt;=1,0,1),1),1))</f>
        <v/>
      </c>
      <c r="E797" s="9" t="str">
        <f>IF(Data!B797="","",IF(ISNUMBER(MATCH(Data!E797,Data_Val!$A$2:$A$3,0)),0,1))</f>
        <v/>
      </c>
      <c r="F797" s="9" t="str">
        <f ca="1">IF(Data!B797="","",IF(ISNUMBER(Data!F797),IF(AND(Data!F797&gt;(TODAY()-(Data_Val!$H$3*365.25)),Data!F797&lt;=(TODAY()-(Data_Val!$H$2*365.25))),0,1),1))</f>
        <v/>
      </c>
      <c r="G797" s="15" t="str">
        <f>IF(Data!B797="","",IF(AND(Data!G797="",Data!H797&lt;&gt;""),1,IF(Data!#REF!&lt;&gt;"",0,IF(ISNUMBER(MATCH(Data!G797,Data_Val!$C$2:$C$5,0)),0,1))))</f>
        <v/>
      </c>
      <c r="H797" s="15" t="str">
        <f>IF(Data!B797="","",IF(AND(Data!G797&lt;&gt;"",Data!H797=""),1,IF(Data!#REF!&lt;&gt;"",0,IF(Data!G797="",1,IF(ISNUMBER(MATCH(Data!H797,Data_Val!$D$2:$D$35,0)),0,1)))))</f>
        <v/>
      </c>
      <c r="I797" s="15" t="str">
        <f>IF(Data!B797="","",IF(Data!G797&lt;&gt;"",0,IF(ISNUMBER(MATCH(Data!#REF!,Data_Val!$E$2:$E$12,0)),0,1)))</f>
        <v/>
      </c>
      <c r="J797" s="16" t="e">
        <f>IF(OR(Data!B797="",Data!#REF!=""),"",IF(Data!#REF!="",1,0))</f>
        <v>#REF!</v>
      </c>
      <c r="K797" s="16" t="e">
        <f>IF(OR(Data!B797="",Data!#REF!=""),"",IF(Data!#REF!="",1,0))</f>
        <v>#REF!</v>
      </c>
      <c r="L797" s="16" t="e">
        <f>IF(OR(Data!B797="",Data!#REF!=""),"",IF(ISNUMBER(Data!#REF!),IF(AND(Data!#REF!&gt;Data_Val!$G$2,Data!#REF!&lt;=Data_Val!$G$3),0,1),1))</f>
        <v>#REF!</v>
      </c>
      <c r="M797" s="9" t="e">
        <f>IF(OR(Data!B797="",Data!#REF!=""),"",IF(ISNUMBER(MATCH(Data!#REF!,Data_Val!$F$1:$F$38,0)),0,1))</f>
        <v>#REF!</v>
      </c>
      <c r="N797" s="9" t="e">
        <f>IF(OR(Data!B797="",Data!#REF!=""),"",IF(Data!#REF!="",1,0))</f>
        <v>#REF!</v>
      </c>
      <c r="O797" s="17" t="e">
        <f>IF(Data!#REF!="","",IF(Data!#REF!="",1,0))</f>
        <v>#REF!</v>
      </c>
      <c r="P797" s="17" t="e">
        <f>IF(Data!#REF!="","",IF(ISNUMBER(MATCH(Data!#REF!,Data_Val!$A$2:$A$3,0)),0,1))</f>
        <v>#REF!</v>
      </c>
      <c r="Q797" s="25" t="e">
        <f ca="1">IF(Data!#REF!="","",IF(ISNUMBER(Data!#REF!),IF(AND(Data!#REF!&gt;(TODAY()-(Data_Val!$J$3*365.25)),Data!#REF!&lt;=(TODAY()-(Data_Val!$J$2*365.25))),0,1),1))</f>
        <v>#REF!</v>
      </c>
      <c r="R797" s="17" t="e">
        <f>IF(Data!#REF!="","",IF(ISNUMBER(MATCH(Data!#REF!,Data_Val!$B$2:$B$15,0)),0,1))</f>
        <v>#REF!</v>
      </c>
      <c r="S797" s="11" t="str">
        <f>IF(Data!G797="","",IF(Data!G797=Data_Val!$C$2,IF(Data!M797="",0,1),0))</f>
        <v/>
      </c>
      <c r="T797" s="11" t="str">
        <f>IF(Data!M797="","",IF(ISNUMBER(MATCH(Data!N797,Data_Val!$A$2:$A$3,0)),0,1))</f>
        <v/>
      </c>
      <c r="U797" s="11" t="str">
        <f ca="1">IF(Data!M797="","",IF(ISNUMBER(Data!O797),IF(AND(Data!O797&gt;(TODAY()-(Data_Val!$K$3*365.25)),Data!O797&lt;=(TODAY()-(Data_Val!$K$2*365.25))),0,1),1))</f>
        <v/>
      </c>
      <c r="V797" s="12" t="str">
        <f>IF(Data!G797="","",IF(Data!G797=Data_Val!$C$2,IF(Data!P797="",0,1),0))</f>
        <v/>
      </c>
      <c r="W797" s="12" t="str">
        <f>IF(Data!P797="","",IF(ISNUMBER(MATCH(Data!Q797,Data_Val!$A$2:$A$3,0)),0,1))</f>
        <v/>
      </c>
      <c r="X797" s="26" t="str">
        <f ca="1">IF(Data!P797="","",IF(ISNUMBER(Data!R797),IF(AND(Data!R797&gt;(TODAY()-(Data_Val!$L$3*365.25)),Data!R797&lt;=(TODAY()-(Data_Val!$L$2*365.25))),0,1),1))</f>
        <v/>
      </c>
      <c r="Y797" s="13" t="str">
        <f>IF(Data!$G797="","",IF(Data!$G797=Data_Val!$C$2,IF(Data!S797="",0,1),0))</f>
        <v/>
      </c>
      <c r="Z797" s="13" t="str">
        <f>IF(Data!S797="","",IF(ISNUMBER(MATCH(Data!T797,Data_Val!$A$2:$A$3,0)),0,1))</f>
        <v/>
      </c>
      <c r="AA797" s="28" t="str">
        <f ca="1">IF(Data!S797="","",IF(ISNUMBER(Data!U797),IF(AND(Data!U797&gt;(TODAY()-(Data_Val!$L$3*365.25)),Data!U797&lt;=(TODAY()-(Data_Val!$L$2*365.25))),0,1),1))</f>
        <v/>
      </c>
      <c r="AB797" s="11"/>
      <c r="AC797" s="11" t="e">
        <f>IF(Data!#REF!="","",IF(ISNUMBER(MATCH(Data!#REF!,Data_Val!$A$2:$A$3,0)),0,1))</f>
        <v>#REF!</v>
      </c>
      <c r="AD797" s="11" t="e">
        <f ca="1">IF(Data!#REF!="","",IF(ISNUMBER(Data!#REF!),IF(AND(Data!#REF!&gt;(TODAY()-(Data_Val!$L$3*365.25)),Data!#REF!&lt;=(TODAY()-(Data_Val!$L$2*365.25))),0,1),1))</f>
        <v>#REF!</v>
      </c>
      <c r="AE797" s="11" t="e">
        <f>IF(Data!#REF!="","",IF(Data!$G797="",1,IF(ISNUMBER(MATCH(Data!#REF!,Data_Val!$D$2:$D$10,0)),0,1)))</f>
        <v>#REF!</v>
      </c>
      <c r="AF797" s="12"/>
      <c r="AG797" s="12" t="e">
        <f>IF(Data!#REF!="","",IF(ISNUMBER(MATCH(Data!#REF!,Data_Val!$A$2:$A$3,0)),0,1))</f>
        <v>#REF!</v>
      </c>
      <c r="AH797" s="26" t="e">
        <f ca="1">IF(Data!#REF!="","",IF(ISNUMBER(Data!#REF!),IF(AND(Data!#REF!&gt;(TODAY()-(Data_Val!$L$3*365.25)),Data!#REF!&lt;=(TODAY()-(Data_Val!$L$2*365.25))),0,1),1))</f>
        <v>#REF!</v>
      </c>
      <c r="AI797" s="12" t="e">
        <f>IF(Data!#REF!="","",IF(Data!$G797="",1,IF(ISNUMBER(MATCH(Data!#REF!,Data_Val!$D$2:$D$10,0)),0,1)))</f>
        <v>#REF!</v>
      </c>
      <c r="AJ797" s="17"/>
      <c r="AK797" s="17" t="e">
        <f>IF(Data!#REF!="","",IF(ISNUMBER(MATCH(Data!#REF!,Data_Val!$A$2:$A$3,0)),0,1))</f>
        <v>#REF!</v>
      </c>
      <c r="AL797" s="25" t="e">
        <f ca="1">IF(Data!#REF!="","",IF(ISNUMBER(Data!#REF!),IF(AND(Data!#REF!&gt;(TODAY()-(Data_Val!$L$3*365.25)),Data!#REF!&lt;=(TODAY()-(Data_Val!$L$2*365.25))),0,1),1))</f>
        <v>#REF!</v>
      </c>
      <c r="AM797" s="17" t="e">
        <f>IF(Data!#REF!="","",IF(Data!$G797="",1,IF(ISNUMBER(MATCH(Data!#REF!,Data_Val!$D$2:$D$10,0)),0,1)))</f>
        <v>#REF!</v>
      </c>
      <c r="AN797" s="13"/>
      <c r="AO797" s="28" t="e">
        <f ca="1">IF(Data!#REF!="","",IF(ISNUMBER(Data!#REF!),IF(AND(Data!#REF!&gt;(TODAY()-(Data_Val!$I$3*365.25)),Data!#REF!&lt;=(TODAY()-(Data_Val!$I$2*365.25))),0,1),1))</f>
        <v>#REF!</v>
      </c>
      <c r="AP797" s="13" t="e">
        <f>IF(Data!#REF!="","",IF(Data!$G797="",1,IF(ISNUMBER(MATCH(Data!#REF!,Data_Val!$D$2:$D$10,0)),0,1)))</f>
        <v>#REF!</v>
      </c>
      <c r="AQ797" s="17"/>
      <c r="AR797" s="30" t="e">
        <f ca="1">IF(Data!#REF!="","",IF(ISNUMBER(Data!#REF!),IF(AND(Data!#REF!&gt;(TODAY()-(Data_Val!$I$3*365.25)),Data!#REF!&lt;=(TODAY()-(Data_Val!$I$2*365.25))),0,1),1))</f>
        <v>#REF!</v>
      </c>
      <c r="AS797" s="31" t="e">
        <f>IF(Data!#REF!="","",IF(Data!$G797="",1,IF(ISNUMBER(MATCH(Data!#REF!,Data_Val!$D$2:$D$10,0)),0,1)))</f>
        <v>#REF!</v>
      </c>
      <c r="AT797" s="11"/>
      <c r="AU797" s="11" t="e">
        <f ca="1">IF(Data!#REF!="","",IF(ISNUMBER(Data!#REF!),IF(AND(Data!#REF!&gt;(TODAY()-(Data_Val!$I$3*365.25)),Data!#REF!&lt;=(TODAY()-(Data_Val!$I$2*365.25))),0,1),1))</f>
        <v>#REF!</v>
      </c>
      <c r="AV797" s="11" t="e">
        <f>IF(Data!#REF!="","",IF(Data!$G797="",1,IF(ISNUMBER(MATCH(Data!#REF!,Data_Val!$D$2:$D$10,0)),0,1)))</f>
        <v>#REF!</v>
      </c>
      <c r="AW797" s="12"/>
      <c r="AX797" s="26" t="e">
        <f ca="1">IF(Data!#REF!="","",IF(ISNUMBER(Data!#REF!),IF(AND(Data!#REF!&gt;(TODAY()-(Data_Val!$I$3*365.25)),Data!#REF!&lt;=(TODAY()-(Data_Val!$I$2*365.25))),0,1),1))</f>
        <v>#REF!</v>
      </c>
      <c r="AY797" s="12" t="e">
        <f>IF(Data!#REF!="","",IF(Data!$G797="",1,IF(ISNUMBER(MATCH(Data!#REF!,Data_Val!$D$2:$D$10,0)),0,1)))</f>
        <v>#REF!</v>
      </c>
      <c r="AZ797" s="11"/>
      <c r="BA797" s="19" t="e">
        <f ca="1">IF(Data!#REF!="","",IF(ISNUMBER(Data!#REF!),IF(AND(Data!#REF!&gt;(TODAY()-(Data_Val!$M$3*365.25)),Data!#REF!&lt;=(TODAY()-(Data_Val!$M$2*365.25))),0,1),1))</f>
        <v>#REF!</v>
      </c>
      <c r="BB797" s="11" t="e">
        <f>IF(Data!#REF!="","",IF(Data!$G797="",1,IF(ISNUMBER(MATCH(Data!#REF!,Data_Val!$D$2:$D$10,0)),0,1)))</f>
        <v>#REF!</v>
      </c>
      <c r="BC797" s="12"/>
      <c r="BD797" s="20" t="e">
        <f ca="1">IF(Data!#REF!="","",IF(ISNUMBER(Data!#REF!),IF(AND(Data!#REF!&gt;(TODAY()-(Data_Val!$M$3*365.25)),Data!#REF!&lt;=(TODAY()-(Data_Val!$M$2*365.25))),0,1),1))</f>
        <v>#REF!</v>
      </c>
      <c r="BE797" s="12" t="e">
        <f>IF(Data!#REF!="","",IF(Data!$G797="",1,IF(ISNUMBER(MATCH(Data!#REF!,Data_Val!$D$2:$D$10,0)),0,1)))</f>
        <v>#REF!</v>
      </c>
      <c r="BF797" s="17"/>
      <c r="BG797" s="18" t="e">
        <f ca="1">IF(Data!#REF!="","",IF(ISNUMBER(Data!#REF!),IF(AND(Data!#REF!&gt;(TODAY()-(Data_Val!$M$3*365.25)),Data!#REF!&lt;=(TODAY()-(Data_Val!$M$2*365.25))),0,1),1))</f>
        <v>#REF!</v>
      </c>
      <c r="BH797" s="29" t="e">
        <f>IF(Data!#REF!="","",IF(Data!$G797="",1,IF(ISNUMBER(MATCH(Data!#REF!,Data_Val!$D$2:$D$10,0)),0,1)))</f>
        <v>#REF!</v>
      </c>
      <c r="BI797" s="13"/>
      <c r="BJ797" s="21" t="e">
        <f ca="1">IF(Data!#REF!="","",IF(ISNUMBER(Data!#REF!),IF(AND(Data!#REF!&gt;(TODAY()-(Data_Val!$M$3*365.25)),Data!#REF!&lt;=(TODAY()-(Data_Val!$M$2*365.25))),0,1),1))</f>
        <v>#REF!</v>
      </c>
      <c r="BK797" s="13" t="e">
        <f>IF(Data!#REF!="","",IF(Data!$G797="",1,IF(ISNUMBER(MATCH(Data!#REF!,Data_Val!$D$2:$D$10,0)),0,1)))</f>
        <v>#REF!</v>
      </c>
    </row>
    <row r="798" spans="1:63" x14ac:dyDescent="0.25">
      <c r="A798" s="9" t="str">
        <f>IF(Data!B798="","",IF(COUNTIFS(Data!A$1:'Data'!A798,Data!A798)&lt;=1,0,1))</f>
        <v/>
      </c>
      <c r="B798" s="9"/>
      <c r="C798" s="23" t="str">
        <f>IF(Data!C798="","",(IF(ISNUMBER(MATCH("*@*.?*",Data!C798,0)),0,1)+IF(COUNTIFS(Data!C$1:'Data'!C798,Data!C798)&gt;1,1,0)))</f>
        <v/>
      </c>
      <c r="D798" s="9" t="str">
        <f>IF(Data!B798="","",IF(ISNUMBER(Data!D798),IF(AND(Data!D798&gt;999999999,Data!D798&lt;=9999999999),IF(COUNTIFS(Data!D$1:'Data'!D798,Data!D798)&lt;=1,0,1),1),1))</f>
        <v/>
      </c>
      <c r="E798" s="9" t="str">
        <f>IF(Data!B798="","",IF(ISNUMBER(MATCH(Data!E798,Data_Val!$A$2:$A$3,0)),0,1))</f>
        <v/>
      </c>
      <c r="F798" s="9" t="str">
        <f ca="1">IF(Data!B798="","",IF(ISNUMBER(Data!F798),IF(AND(Data!F798&gt;(TODAY()-(Data_Val!$H$3*365.25)),Data!F798&lt;=(TODAY()-(Data_Val!$H$2*365.25))),0,1),1))</f>
        <v/>
      </c>
      <c r="G798" s="15" t="str">
        <f>IF(Data!B798="","",IF(AND(Data!G798="",Data!H798&lt;&gt;""),1,IF(Data!#REF!&lt;&gt;"",0,IF(ISNUMBER(MATCH(Data!G798,Data_Val!$C$2:$C$5,0)),0,1))))</f>
        <v/>
      </c>
      <c r="H798" s="15" t="str">
        <f>IF(Data!B798="","",IF(AND(Data!G798&lt;&gt;"",Data!H798=""),1,IF(Data!#REF!&lt;&gt;"",0,IF(Data!G798="",1,IF(ISNUMBER(MATCH(Data!H798,Data_Val!$D$2:$D$35,0)),0,1)))))</f>
        <v/>
      </c>
      <c r="I798" s="15" t="str">
        <f>IF(Data!B798="","",IF(Data!G798&lt;&gt;"",0,IF(ISNUMBER(MATCH(Data!#REF!,Data_Val!$E$2:$E$12,0)),0,1)))</f>
        <v/>
      </c>
      <c r="J798" s="16" t="e">
        <f>IF(OR(Data!B798="",Data!#REF!=""),"",IF(Data!#REF!="",1,0))</f>
        <v>#REF!</v>
      </c>
      <c r="K798" s="16" t="e">
        <f>IF(OR(Data!B798="",Data!#REF!=""),"",IF(Data!#REF!="",1,0))</f>
        <v>#REF!</v>
      </c>
      <c r="L798" s="16" t="e">
        <f>IF(OR(Data!B798="",Data!#REF!=""),"",IF(ISNUMBER(Data!#REF!),IF(AND(Data!#REF!&gt;Data_Val!$G$2,Data!#REF!&lt;=Data_Val!$G$3),0,1),1))</f>
        <v>#REF!</v>
      </c>
      <c r="M798" s="9" t="e">
        <f>IF(OR(Data!B798="",Data!#REF!=""),"",IF(ISNUMBER(MATCH(Data!#REF!,Data_Val!$F$1:$F$38,0)),0,1))</f>
        <v>#REF!</v>
      </c>
      <c r="N798" s="9" t="e">
        <f>IF(OR(Data!B798="",Data!#REF!=""),"",IF(Data!#REF!="",1,0))</f>
        <v>#REF!</v>
      </c>
      <c r="O798" s="17" t="e">
        <f>IF(Data!#REF!="","",IF(Data!#REF!="",1,0))</f>
        <v>#REF!</v>
      </c>
      <c r="P798" s="17" t="e">
        <f>IF(Data!#REF!="","",IF(ISNUMBER(MATCH(Data!#REF!,Data_Val!$A$2:$A$3,0)),0,1))</f>
        <v>#REF!</v>
      </c>
      <c r="Q798" s="25" t="e">
        <f ca="1">IF(Data!#REF!="","",IF(ISNUMBER(Data!#REF!),IF(AND(Data!#REF!&gt;(TODAY()-(Data_Val!$J$3*365.25)),Data!#REF!&lt;=(TODAY()-(Data_Val!$J$2*365.25))),0,1),1))</f>
        <v>#REF!</v>
      </c>
      <c r="R798" s="17" t="e">
        <f>IF(Data!#REF!="","",IF(ISNUMBER(MATCH(Data!#REF!,Data_Val!$B$2:$B$15,0)),0,1))</f>
        <v>#REF!</v>
      </c>
      <c r="S798" s="11" t="str">
        <f>IF(Data!G798="","",IF(Data!G798=Data_Val!$C$2,IF(Data!M798="",0,1),0))</f>
        <v/>
      </c>
      <c r="T798" s="11" t="str">
        <f>IF(Data!M798="","",IF(ISNUMBER(MATCH(Data!N798,Data_Val!$A$2:$A$3,0)),0,1))</f>
        <v/>
      </c>
      <c r="U798" s="11" t="str">
        <f ca="1">IF(Data!M798="","",IF(ISNUMBER(Data!O798),IF(AND(Data!O798&gt;(TODAY()-(Data_Val!$K$3*365.25)),Data!O798&lt;=(TODAY()-(Data_Val!$K$2*365.25))),0,1),1))</f>
        <v/>
      </c>
      <c r="V798" s="12" t="str">
        <f>IF(Data!G798="","",IF(Data!G798=Data_Val!$C$2,IF(Data!P798="",0,1),0))</f>
        <v/>
      </c>
      <c r="W798" s="12" t="str">
        <f>IF(Data!P798="","",IF(ISNUMBER(MATCH(Data!Q798,Data_Val!$A$2:$A$3,0)),0,1))</f>
        <v/>
      </c>
      <c r="X798" s="26" t="str">
        <f ca="1">IF(Data!P798="","",IF(ISNUMBER(Data!R798),IF(AND(Data!R798&gt;(TODAY()-(Data_Val!$L$3*365.25)),Data!R798&lt;=(TODAY()-(Data_Val!$L$2*365.25))),0,1),1))</f>
        <v/>
      </c>
      <c r="Y798" s="13" t="str">
        <f>IF(Data!$G798="","",IF(Data!$G798=Data_Val!$C$2,IF(Data!S798="",0,1),0))</f>
        <v/>
      </c>
      <c r="Z798" s="13" t="str">
        <f>IF(Data!S798="","",IF(ISNUMBER(MATCH(Data!T798,Data_Val!$A$2:$A$3,0)),0,1))</f>
        <v/>
      </c>
      <c r="AA798" s="28" t="str">
        <f ca="1">IF(Data!S798="","",IF(ISNUMBER(Data!U798),IF(AND(Data!U798&gt;(TODAY()-(Data_Val!$L$3*365.25)),Data!U798&lt;=(TODAY()-(Data_Val!$L$2*365.25))),0,1),1))</f>
        <v/>
      </c>
      <c r="AB798" s="11"/>
      <c r="AC798" s="11" t="e">
        <f>IF(Data!#REF!="","",IF(ISNUMBER(MATCH(Data!#REF!,Data_Val!$A$2:$A$3,0)),0,1))</f>
        <v>#REF!</v>
      </c>
      <c r="AD798" s="11" t="e">
        <f ca="1">IF(Data!#REF!="","",IF(ISNUMBER(Data!#REF!),IF(AND(Data!#REF!&gt;(TODAY()-(Data_Val!$L$3*365.25)),Data!#REF!&lt;=(TODAY()-(Data_Val!$L$2*365.25))),0,1),1))</f>
        <v>#REF!</v>
      </c>
      <c r="AE798" s="11" t="e">
        <f>IF(Data!#REF!="","",IF(Data!$G798="",1,IF(ISNUMBER(MATCH(Data!#REF!,Data_Val!$D$2:$D$10,0)),0,1)))</f>
        <v>#REF!</v>
      </c>
      <c r="AF798" s="12"/>
      <c r="AG798" s="12" t="e">
        <f>IF(Data!#REF!="","",IF(ISNUMBER(MATCH(Data!#REF!,Data_Val!$A$2:$A$3,0)),0,1))</f>
        <v>#REF!</v>
      </c>
      <c r="AH798" s="26" t="e">
        <f ca="1">IF(Data!#REF!="","",IF(ISNUMBER(Data!#REF!),IF(AND(Data!#REF!&gt;(TODAY()-(Data_Val!$L$3*365.25)),Data!#REF!&lt;=(TODAY()-(Data_Val!$L$2*365.25))),0,1),1))</f>
        <v>#REF!</v>
      </c>
      <c r="AI798" s="12" t="e">
        <f>IF(Data!#REF!="","",IF(Data!$G798="",1,IF(ISNUMBER(MATCH(Data!#REF!,Data_Val!$D$2:$D$10,0)),0,1)))</f>
        <v>#REF!</v>
      </c>
      <c r="AJ798" s="17"/>
      <c r="AK798" s="17" t="e">
        <f>IF(Data!#REF!="","",IF(ISNUMBER(MATCH(Data!#REF!,Data_Val!$A$2:$A$3,0)),0,1))</f>
        <v>#REF!</v>
      </c>
      <c r="AL798" s="25" t="e">
        <f ca="1">IF(Data!#REF!="","",IF(ISNUMBER(Data!#REF!),IF(AND(Data!#REF!&gt;(TODAY()-(Data_Val!$L$3*365.25)),Data!#REF!&lt;=(TODAY()-(Data_Val!$L$2*365.25))),0,1),1))</f>
        <v>#REF!</v>
      </c>
      <c r="AM798" s="17" t="e">
        <f>IF(Data!#REF!="","",IF(Data!$G798="",1,IF(ISNUMBER(MATCH(Data!#REF!,Data_Val!$D$2:$D$10,0)),0,1)))</f>
        <v>#REF!</v>
      </c>
      <c r="AN798" s="13"/>
      <c r="AO798" s="28" t="e">
        <f ca="1">IF(Data!#REF!="","",IF(ISNUMBER(Data!#REF!),IF(AND(Data!#REF!&gt;(TODAY()-(Data_Val!$I$3*365.25)),Data!#REF!&lt;=(TODAY()-(Data_Val!$I$2*365.25))),0,1),1))</f>
        <v>#REF!</v>
      </c>
      <c r="AP798" s="13" t="e">
        <f>IF(Data!#REF!="","",IF(Data!$G798="",1,IF(ISNUMBER(MATCH(Data!#REF!,Data_Val!$D$2:$D$10,0)),0,1)))</f>
        <v>#REF!</v>
      </c>
      <c r="AQ798" s="17"/>
      <c r="AR798" s="30" t="e">
        <f ca="1">IF(Data!#REF!="","",IF(ISNUMBER(Data!#REF!),IF(AND(Data!#REF!&gt;(TODAY()-(Data_Val!$I$3*365.25)),Data!#REF!&lt;=(TODAY()-(Data_Val!$I$2*365.25))),0,1),1))</f>
        <v>#REF!</v>
      </c>
      <c r="AS798" s="31" t="e">
        <f>IF(Data!#REF!="","",IF(Data!$G798="",1,IF(ISNUMBER(MATCH(Data!#REF!,Data_Val!$D$2:$D$10,0)),0,1)))</f>
        <v>#REF!</v>
      </c>
      <c r="AT798" s="11"/>
      <c r="AU798" s="11" t="e">
        <f ca="1">IF(Data!#REF!="","",IF(ISNUMBER(Data!#REF!),IF(AND(Data!#REF!&gt;(TODAY()-(Data_Val!$I$3*365.25)),Data!#REF!&lt;=(TODAY()-(Data_Val!$I$2*365.25))),0,1),1))</f>
        <v>#REF!</v>
      </c>
      <c r="AV798" s="11" t="e">
        <f>IF(Data!#REF!="","",IF(Data!$G798="",1,IF(ISNUMBER(MATCH(Data!#REF!,Data_Val!$D$2:$D$10,0)),0,1)))</f>
        <v>#REF!</v>
      </c>
      <c r="AW798" s="12"/>
      <c r="AX798" s="26" t="e">
        <f ca="1">IF(Data!#REF!="","",IF(ISNUMBER(Data!#REF!),IF(AND(Data!#REF!&gt;(TODAY()-(Data_Val!$I$3*365.25)),Data!#REF!&lt;=(TODAY()-(Data_Val!$I$2*365.25))),0,1),1))</f>
        <v>#REF!</v>
      </c>
      <c r="AY798" s="12" t="e">
        <f>IF(Data!#REF!="","",IF(Data!$G798="",1,IF(ISNUMBER(MATCH(Data!#REF!,Data_Val!$D$2:$D$10,0)),0,1)))</f>
        <v>#REF!</v>
      </c>
      <c r="AZ798" s="11"/>
      <c r="BA798" s="19" t="e">
        <f ca="1">IF(Data!#REF!="","",IF(ISNUMBER(Data!#REF!),IF(AND(Data!#REF!&gt;(TODAY()-(Data_Val!$M$3*365.25)),Data!#REF!&lt;=(TODAY()-(Data_Val!$M$2*365.25))),0,1),1))</f>
        <v>#REF!</v>
      </c>
      <c r="BB798" s="11" t="e">
        <f>IF(Data!#REF!="","",IF(Data!$G798="",1,IF(ISNUMBER(MATCH(Data!#REF!,Data_Val!$D$2:$D$10,0)),0,1)))</f>
        <v>#REF!</v>
      </c>
      <c r="BC798" s="12"/>
      <c r="BD798" s="20" t="e">
        <f ca="1">IF(Data!#REF!="","",IF(ISNUMBER(Data!#REF!),IF(AND(Data!#REF!&gt;(TODAY()-(Data_Val!$M$3*365.25)),Data!#REF!&lt;=(TODAY()-(Data_Val!$M$2*365.25))),0,1),1))</f>
        <v>#REF!</v>
      </c>
      <c r="BE798" s="12" t="e">
        <f>IF(Data!#REF!="","",IF(Data!$G798="",1,IF(ISNUMBER(MATCH(Data!#REF!,Data_Val!$D$2:$D$10,0)),0,1)))</f>
        <v>#REF!</v>
      </c>
      <c r="BF798" s="17"/>
      <c r="BG798" s="18" t="e">
        <f ca="1">IF(Data!#REF!="","",IF(ISNUMBER(Data!#REF!),IF(AND(Data!#REF!&gt;(TODAY()-(Data_Val!$M$3*365.25)),Data!#REF!&lt;=(TODAY()-(Data_Val!$M$2*365.25))),0,1),1))</f>
        <v>#REF!</v>
      </c>
      <c r="BH798" s="29" t="e">
        <f>IF(Data!#REF!="","",IF(Data!$G798="",1,IF(ISNUMBER(MATCH(Data!#REF!,Data_Val!$D$2:$D$10,0)),0,1)))</f>
        <v>#REF!</v>
      </c>
      <c r="BI798" s="13"/>
      <c r="BJ798" s="21" t="e">
        <f ca="1">IF(Data!#REF!="","",IF(ISNUMBER(Data!#REF!),IF(AND(Data!#REF!&gt;(TODAY()-(Data_Val!$M$3*365.25)),Data!#REF!&lt;=(TODAY()-(Data_Val!$M$2*365.25))),0,1),1))</f>
        <v>#REF!</v>
      </c>
      <c r="BK798" s="13" t="e">
        <f>IF(Data!#REF!="","",IF(Data!$G798="",1,IF(ISNUMBER(MATCH(Data!#REF!,Data_Val!$D$2:$D$10,0)),0,1)))</f>
        <v>#REF!</v>
      </c>
    </row>
    <row r="799" spans="1:63" x14ac:dyDescent="0.25">
      <c r="A799" s="9" t="str">
        <f>IF(Data!B799="","",IF(COUNTIFS(Data!A$1:'Data'!A799,Data!A799)&lt;=1,0,1))</f>
        <v/>
      </c>
      <c r="B799" s="9"/>
      <c r="C799" s="23" t="str">
        <f>IF(Data!C799="","",(IF(ISNUMBER(MATCH("*@*.?*",Data!C799,0)),0,1)+IF(COUNTIFS(Data!C$1:'Data'!C799,Data!C799)&gt;1,1,0)))</f>
        <v/>
      </c>
      <c r="D799" s="9" t="str">
        <f>IF(Data!B799="","",IF(ISNUMBER(Data!D799),IF(AND(Data!D799&gt;999999999,Data!D799&lt;=9999999999),IF(COUNTIFS(Data!D$1:'Data'!D799,Data!D799)&lt;=1,0,1),1),1))</f>
        <v/>
      </c>
      <c r="E799" s="9" t="str">
        <f>IF(Data!B799="","",IF(ISNUMBER(MATCH(Data!E799,Data_Val!$A$2:$A$3,0)),0,1))</f>
        <v/>
      </c>
      <c r="F799" s="9" t="str">
        <f ca="1">IF(Data!B799="","",IF(ISNUMBER(Data!F799),IF(AND(Data!F799&gt;(TODAY()-(Data_Val!$H$3*365.25)),Data!F799&lt;=(TODAY()-(Data_Val!$H$2*365.25))),0,1),1))</f>
        <v/>
      </c>
      <c r="G799" s="15" t="str">
        <f>IF(Data!B799="","",IF(AND(Data!G799="",Data!H799&lt;&gt;""),1,IF(Data!#REF!&lt;&gt;"",0,IF(ISNUMBER(MATCH(Data!G799,Data_Val!$C$2:$C$5,0)),0,1))))</f>
        <v/>
      </c>
      <c r="H799" s="15" t="str">
        <f>IF(Data!B799="","",IF(AND(Data!G799&lt;&gt;"",Data!H799=""),1,IF(Data!#REF!&lt;&gt;"",0,IF(Data!G799="",1,IF(ISNUMBER(MATCH(Data!H799,Data_Val!$D$2:$D$35,0)),0,1)))))</f>
        <v/>
      </c>
      <c r="I799" s="15" t="str">
        <f>IF(Data!B799="","",IF(Data!G799&lt;&gt;"",0,IF(ISNUMBER(MATCH(Data!#REF!,Data_Val!$E$2:$E$12,0)),0,1)))</f>
        <v/>
      </c>
      <c r="J799" s="16" t="e">
        <f>IF(OR(Data!B799="",Data!#REF!=""),"",IF(Data!#REF!="",1,0))</f>
        <v>#REF!</v>
      </c>
      <c r="K799" s="16" t="e">
        <f>IF(OR(Data!B799="",Data!#REF!=""),"",IF(Data!#REF!="",1,0))</f>
        <v>#REF!</v>
      </c>
      <c r="L799" s="16" t="e">
        <f>IF(OR(Data!B799="",Data!#REF!=""),"",IF(ISNUMBER(Data!#REF!),IF(AND(Data!#REF!&gt;Data_Val!$G$2,Data!#REF!&lt;=Data_Val!$G$3),0,1),1))</f>
        <v>#REF!</v>
      </c>
      <c r="M799" s="9" t="e">
        <f>IF(OR(Data!B799="",Data!#REF!=""),"",IF(ISNUMBER(MATCH(Data!#REF!,Data_Val!$F$1:$F$38,0)),0,1))</f>
        <v>#REF!</v>
      </c>
      <c r="N799" s="9" t="e">
        <f>IF(OR(Data!B799="",Data!#REF!=""),"",IF(Data!#REF!="",1,0))</f>
        <v>#REF!</v>
      </c>
      <c r="O799" s="17" t="e">
        <f>IF(Data!#REF!="","",IF(Data!#REF!="",1,0))</f>
        <v>#REF!</v>
      </c>
      <c r="P799" s="17" t="e">
        <f>IF(Data!#REF!="","",IF(ISNUMBER(MATCH(Data!#REF!,Data_Val!$A$2:$A$3,0)),0,1))</f>
        <v>#REF!</v>
      </c>
      <c r="Q799" s="25" t="e">
        <f ca="1">IF(Data!#REF!="","",IF(ISNUMBER(Data!#REF!),IF(AND(Data!#REF!&gt;(TODAY()-(Data_Val!$J$3*365.25)),Data!#REF!&lt;=(TODAY()-(Data_Val!$J$2*365.25))),0,1),1))</f>
        <v>#REF!</v>
      </c>
      <c r="R799" s="17" t="e">
        <f>IF(Data!#REF!="","",IF(ISNUMBER(MATCH(Data!#REF!,Data_Val!$B$2:$B$15,0)),0,1))</f>
        <v>#REF!</v>
      </c>
      <c r="S799" s="11" t="str">
        <f>IF(Data!G799="","",IF(Data!G799=Data_Val!$C$2,IF(Data!M799="",0,1),0))</f>
        <v/>
      </c>
      <c r="T799" s="11" t="str">
        <f>IF(Data!M799="","",IF(ISNUMBER(MATCH(Data!N799,Data_Val!$A$2:$A$3,0)),0,1))</f>
        <v/>
      </c>
      <c r="U799" s="11" t="str">
        <f ca="1">IF(Data!M799="","",IF(ISNUMBER(Data!O799),IF(AND(Data!O799&gt;(TODAY()-(Data_Val!$K$3*365.25)),Data!O799&lt;=(TODAY()-(Data_Val!$K$2*365.25))),0,1),1))</f>
        <v/>
      </c>
      <c r="V799" s="12" t="str">
        <f>IF(Data!G799="","",IF(Data!G799=Data_Val!$C$2,IF(Data!P799="",0,1),0))</f>
        <v/>
      </c>
      <c r="W799" s="12" t="str">
        <f>IF(Data!P799="","",IF(ISNUMBER(MATCH(Data!Q799,Data_Val!$A$2:$A$3,0)),0,1))</f>
        <v/>
      </c>
      <c r="X799" s="26" t="str">
        <f ca="1">IF(Data!P799="","",IF(ISNUMBER(Data!R799),IF(AND(Data!R799&gt;(TODAY()-(Data_Val!$L$3*365.25)),Data!R799&lt;=(TODAY()-(Data_Val!$L$2*365.25))),0,1),1))</f>
        <v/>
      </c>
      <c r="Y799" s="13" t="str">
        <f>IF(Data!$G799="","",IF(Data!$G799=Data_Val!$C$2,IF(Data!S799="",0,1),0))</f>
        <v/>
      </c>
      <c r="Z799" s="13" t="str">
        <f>IF(Data!S799="","",IF(ISNUMBER(MATCH(Data!T799,Data_Val!$A$2:$A$3,0)),0,1))</f>
        <v/>
      </c>
      <c r="AA799" s="28" t="str">
        <f ca="1">IF(Data!S799="","",IF(ISNUMBER(Data!U799),IF(AND(Data!U799&gt;(TODAY()-(Data_Val!$L$3*365.25)),Data!U799&lt;=(TODAY()-(Data_Val!$L$2*365.25))),0,1),1))</f>
        <v/>
      </c>
      <c r="AB799" s="11"/>
      <c r="AC799" s="11" t="e">
        <f>IF(Data!#REF!="","",IF(ISNUMBER(MATCH(Data!#REF!,Data_Val!$A$2:$A$3,0)),0,1))</f>
        <v>#REF!</v>
      </c>
      <c r="AD799" s="11" t="e">
        <f ca="1">IF(Data!#REF!="","",IF(ISNUMBER(Data!#REF!),IF(AND(Data!#REF!&gt;(TODAY()-(Data_Val!$L$3*365.25)),Data!#REF!&lt;=(TODAY()-(Data_Val!$L$2*365.25))),0,1),1))</f>
        <v>#REF!</v>
      </c>
      <c r="AE799" s="11" t="e">
        <f>IF(Data!#REF!="","",IF(Data!$G799="",1,IF(ISNUMBER(MATCH(Data!#REF!,Data_Val!$D$2:$D$10,0)),0,1)))</f>
        <v>#REF!</v>
      </c>
      <c r="AF799" s="12"/>
      <c r="AG799" s="12" t="e">
        <f>IF(Data!#REF!="","",IF(ISNUMBER(MATCH(Data!#REF!,Data_Val!$A$2:$A$3,0)),0,1))</f>
        <v>#REF!</v>
      </c>
      <c r="AH799" s="26" t="e">
        <f ca="1">IF(Data!#REF!="","",IF(ISNUMBER(Data!#REF!),IF(AND(Data!#REF!&gt;(TODAY()-(Data_Val!$L$3*365.25)),Data!#REF!&lt;=(TODAY()-(Data_Val!$L$2*365.25))),0,1),1))</f>
        <v>#REF!</v>
      </c>
      <c r="AI799" s="12" t="e">
        <f>IF(Data!#REF!="","",IF(Data!$G799="",1,IF(ISNUMBER(MATCH(Data!#REF!,Data_Val!$D$2:$D$10,0)),0,1)))</f>
        <v>#REF!</v>
      </c>
      <c r="AJ799" s="17"/>
      <c r="AK799" s="17" t="e">
        <f>IF(Data!#REF!="","",IF(ISNUMBER(MATCH(Data!#REF!,Data_Val!$A$2:$A$3,0)),0,1))</f>
        <v>#REF!</v>
      </c>
      <c r="AL799" s="25" t="e">
        <f ca="1">IF(Data!#REF!="","",IF(ISNUMBER(Data!#REF!),IF(AND(Data!#REF!&gt;(TODAY()-(Data_Val!$L$3*365.25)),Data!#REF!&lt;=(TODAY()-(Data_Val!$L$2*365.25))),0,1),1))</f>
        <v>#REF!</v>
      </c>
      <c r="AM799" s="17" t="e">
        <f>IF(Data!#REF!="","",IF(Data!$G799="",1,IF(ISNUMBER(MATCH(Data!#REF!,Data_Val!$D$2:$D$10,0)),0,1)))</f>
        <v>#REF!</v>
      </c>
      <c r="AN799" s="13"/>
      <c r="AO799" s="28" t="e">
        <f ca="1">IF(Data!#REF!="","",IF(ISNUMBER(Data!#REF!),IF(AND(Data!#REF!&gt;(TODAY()-(Data_Val!$I$3*365.25)),Data!#REF!&lt;=(TODAY()-(Data_Val!$I$2*365.25))),0,1),1))</f>
        <v>#REF!</v>
      </c>
      <c r="AP799" s="13" t="e">
        <f>IF(Data!#REF!="","",IF(Data!$G799="",1,IF(ISNUMBER(MATCH(Data!#REF!,Data_Val!$D$2:$D$10,0)),0,1)))</f>
        <v>#REF!</v>
      </c>
      <c r="AQ799" s="17"/>
      <c r="AR799" s="30" t="e">
        <f ca="1">IF(Data!#REF!="","",IF(ISNUMBER(Data!#REF!),IF(AND(Data!#REF!&gt;(TODAY()-(Data_Val!$I$3*365.25)),Data!#REF!&lt;=(TODAY()-(Data_Val!$I$2*365.25))),0,1),1))</f>
        <v>#REF!</v>
      </c>
      <c r="AS799" s="31" t="e">
        <f>IF(Data!#REF!="","",IF(Data!$G799="",1,IF(ISNUMBER(MATCH(Data!#REF!,Data_Val!$D$2:$D$10,0)),0,1)))</f>
        <v>#REF!</v>
      </c>
      <c r="AT799" s="11"/>
      <c r="AU799" s="11" t="e">
        <f ca="1">IF(Data!#REF!="","",IF(ISNUMBER(Data!#REF!),IF(AND(Data!#REF!&gt;(TODAY()-(Data_Val!$I$3*365.25)),Data!#REF!&lt;=(TODAY()-(Data_Val!$I$2*365.25))),0,1),1))</f>
        <v>#REF!</v>
      </c>
      <c r="AV799" s="11" t="e">
        <f>IF(Data!#REF!="","",IF(Data!$G799="",1,IF(ISNUMBER(MATCH(Data!#REF!,Data_Val!$D$2:$D$10,0)),0,1)))</f>
        <v>#REF!</v>
      </c>
      <c r="AW799" s="12"/>
      <c r="AX799" s="26" t="e">
        <f ca="1">IF(Data!#REF!="","",IF(ISNUMBER(Data!#REF!),IF(AND(Data!#REF!&gt;(TODAY()-(Data_Val!$I$3*365.25)),Data!#REF!&lt;=(TODAY()-(Data_Val!$I$2*365.25))),0,1),1))</f>
        <v>#REF!</v>
      </c>
      <c r="AY799" s="12" t="e">
        <f>IF(Data!#REF!="","",IF(Data!$G799="",1,IF(ISNUMBER(MATCH(Data!#REF!,Data_Val!$D$2:$D$10,0)),0,1)))</f>
        <v>#REF!</v>
      </c>
      <c r="AZ799" s="11"/>
      <c r="BA799" s="19" t="e">
        <f ca="1">IF(Data!#REF!="","",IF(ISNUMBER(Data!#REF!),IF(AND(Data!#REF!&gt;(TODAY()-(Data_Val!$M$3*365.25)),Data!#REF!&lt;=(TODAY()-(Data_Val!$M$2*365.25))),0,1),1))</f>
        <v>#REF!</v>
      </c>
      <c r="BB799" s="11" t="e">
        <f>IF(Data!#REF!="","",IF(Data!$G799="",1,IF(ISNUMBER(MATCH(Data!#REF!,Data_Val!$D$2:$D$10,0)),0,1)))</f>
        <v>#REF!</v>
      </c>
      <c r="BC799" s="12"/>
      <c r="BD799" s="20" t="e">
        <f ca="1">IF(Data!#REF!="","",IF(ISNUMBER(Data!#REF!),IF(AND(Data!#REF!&gt;(TODAY()-(Data_Val!$M$3*365.25)),Data!#REF!&lt;=(TODAY()-(Data_Val!$M$2*365.25))),0,1),1))</f>
        <v>#REF!</v>
      </c>
      <c r="BE799" s="12" t="e">
        <f>IF(Data!#REF!="","",IF(Data!$G799="",1,IF(ISNUMBER(MATCH(Data!#REF!,Data_Val!$D$2:$D$10,0)),0,1)))</f>
        <v>#REF!</v>
      </c>
      <c r="BF799" s="17"/>
      <c r="BG799" s="18" t="e">
        <f ca="1">IF(Data!#REF!="","",IF(ISNUMBER(Data!#REF!),IF(AND(Data!#REF!&gt;(TODAY()-(Data_Val!$M$3*365.25)),Data!#REF!&lt;=(TODAY()-(Data_Val!$M$2*365.25))),0,1),1))</f>
        <v>#REF!</v>
      </c>
      <c r="BH799" s="29" t="e">
        <f>IF(Data!#REF!="","",IF(Data!$G799="",1,IF(ISNUMBER(MATCH(Data!#REF!,Data_Val!$D$2:$D$10,0)),0,1)))</f>
        <v>#REF!</v>
      </c>
      <c r="BI799" s="13"/>
      <c r="BJ799" s="21" t="e">
        <f ca="1">IF(Data!#REF!="","",IF(ISNUMBER(Data!#REF!),IF(AND(Data!#REF!&gt;(TODAY()-(Data_Val!$M$3*365.25)),Data!#REF!&lt;=(TODAY()-(Data_Val!$M$2*365.25))),0,1),1))</f>
        <v>#REF!</v>
      </c>
      <c r="BK799" s="13" t="e">
        <f>IF(Data!#REF!="","",IF(Data!$G799="",1,IF(ISNUMBER(MATCH(Data!#REF!,Data_Val!$D$2:$D$10,0)),0,1)))</f>
        <v>#REF!</v>
      </c>
    </row>
    <row r="800" spans="1:63" x14ac:dyDescent="0.25">
      <c r="A800" s="9" t="str">
        <f>IF(Data!B800="","",IF(COUNTIFS(Data!A$1:'Data'!A800,Data!A800)&lt;=1,0,1))</f>
        <v/>
      </c>
      <c r="B800" s="9"/>
      <c r="C800" s="23" t="str">
        <f>IF(Data!C800="","",(IF(ISNUMBER(MATCH("*@*.?*",Data!C800,0)),0,1)+IF(COUNTIFS(Data!C$1:'Data'!C800,Data!C800)&gt;1,1,0)))</f>
        <v/>
      </c>
      <c r="D800" s="9" t="str">
        <f>IF(Data!B800="","",IF(ISNUMBER(Data!D800),IF(AND(Data!D800&gt;999999999,Data!D800&lt;=9999999999),IF(COUNTIFS(Data!D$1:'Data'!D800,Data!D800)&lt;=1,0,1),1),1))</f>
        <v/>
      </c>
      <c r="E800" s="9" t="str">
        <f>IF(Data!B800="","",IF(ISNUMBER(MATCH(Data!E800,Data_Val!$A$2:$A$3,0)),0,1))</f>
        <v/>
      </c>
      <c r="F800" s="9" t="str">
        <f ca="1">IF(Data!B800="","",IF(ISNUMBER(Data!F800),IF(AND(Data!F800&gt;(TODAY()-(Data_Val!$H$3*365.25)),Data!F800&lt;=(TODAY()-(Data_Val!$H$2*365.25))),0,1),1))</f>
        <v/>
      </c>
      <c r="G800" s="15" t="str">
        <f>IF(Data!B800="","",IF(AND(Data!G800="",Data!H800&lt;&gt;""),1,IF(Data!#REF!&lt;&gt;"",0,IF(ISNUMBER(MATCH(Data!G800,Data_Val!$C$2:$C$5,0)),0,1))))</f>
        <v/>
      </c>
      <c r="H800" s="15" t="str">
        <f>IF(Data!B800="","",IF(AND(Data!G800&lt;&gt;"",Data!H800=""),1,IF(Data!#REF!&lt;&gt;"",0,IF(Data!G800="",1,IF(ISNUMBER(MATCH(Data!H800,Data_Val!$D$2:$D$35,0)),0,1)))))</f>
        <v/>
      </c>
      <c r="I800" s="15" t="str">
        <f>IF(Data!B800="","",IF(Data!G800&lt;&gt;"",0,IF(ISNUMBER(MATCH(Data!#REF!,Data_Val!$E$2:$E$12,0)),0,1)))</f>
        <v/>
      </c>
      <c r="J800" s="16" t="e">
        <f>IF(OR(Data!B800="",Data!#REF!=""),"",IF(Data!#REF!="",1,0))</f>
        <v>#REF!</v>
      </c>
      <c r="K800" s="16" t="e">
        <f>IF(OR(Data!B800="",Data!#REF!=""),"",IF(Data!#REF!="",1,0))</f>
        <v>#REF!</v>
      </c>
      <c r="L800" s="16" t="e">
        <f>IF(OR(Data!B800="",Data!#REF!=""),"",IF(ISNUMBER(Data!#REF!),IF(AND(Data!#REF!&gt;Data_Val!$G$2,Data!#REF!&lt;=Data_Val!$G$3),0,1),1))</f>
        <v>#REF!</v>
      </c>
      <c r="M800" s="9" t="e">
        <f>IF(OR(Data!B800="",Data!#REF!=""),"",IF(ISNUMBER(MATCH(Data!#REF!,Data_Val!$F$1:$F$38,0)),0,1))</f>
        <v>#REF!</v>
      </c>
      <c r="N800" s="9" t="e">
        <f>IF(OR(Data!B800="",Data!#REF!=""),"",IF(Data!#REF!="",1,0))</f>
        <v>#REF!</v>
      </c>
      <c r="O800" s="17" t="e">
        <f>IF(Data!#REF!="","",IF(Data!#REF!="",1,0))</f>
        <v>#REF!</v>
      </c>
      <c r="P800" s="17" t="e">
        <f>IF(Data!#REF!="","",IF(ISNUMBER(MATCH(Data!#REF!,Data_Val!$A$2:$A$3,0)),0,1))</f>
        <v>#REF!</v>
      </c>
      <c r="Q800" s="25" t="e">
        <f ca="1">IF(Data!#REF!="","",IF(ISNUMBER(Data!#REF!),IF(AND(Data!#REF!&gt;(TODAY()-(Data_Val!$J$3*365.25)),Data!#REF!&lt;=(TODAY()-(Data_Val!$J$2*365.25))),0,1),1))</f>
        <v>#REF!</v>
      </c>
      <c r="R800" s="17" t="e">
        <f>IF(Data!#REF!="","",IF(ISNUMBER(MATCH(Data!#REF!,Data_Val!$B$2:$B$15,0)),0,1))</f>
        <v>#REF!</v>
      </c>
      <c r="S800" s="11" t="str">
        <f>IF(Data!G800="","",IF(Data!G800=Data_Val!$C$2,IF(Data!M800="",0,1),0))</f>
        <v/>
      </c>
      <c r="T800" s="11" t="str">
        <f>IF(Data!M800="","",IF(ISNUMBER(MATCH(Data!N800,Data_Val!$A$2:$A$3,0)),0,1))</f>
        <v/>
      </c>
      <c r="U800" s="11" t="str">
        <f ca="1">IF(Data!M800="","",IF(ISNUMBER(Data!O800),IF(AND(Data!O800&gt;(TODAY()-(Data_Val!$K$3*365.25)),Data!O800&lt;=(TODAY()-(Data_Val!$K$2*365.25))),0,1),1))</f>
        <v/>
      </c>
      <c r="V800" s="12" t="str">
        <f>IF(Data!G800="","",IF(Data!G800=Data_Val!$C$2,IF(Data!P800="",0,1),0))</f>
        <v/>
      </c>
      <c r="W800" s="12" t="str">
        <f>IF(Data!P800="","",IF(ISNUMBER(MATCH(Data!Q800,Data_Val!$A$2:$A$3,0)),0,1))</f>
        <v/>
      </c>
      <c r="X800" s="26" t="str">
        <f ca="1">IF(Data!P800="","",IF(ISNUMBER(Data!R800),IF(AND(Data!R800&gt;(TODAY()-(Data_Val!$L$3*365.25)),Data!R800&lt;=(TODAY()-(Data_Val!$L$2*365.25))),0,1),1))</f>
        <v/>
      </c>
      <c r="Y800" s="13" t="str">
        <f>IF(Data!$G800="","",IF(Data!$G800=Data_Val!$C$2,IF(Data!S800="",0,1),0))</f>
        <v/>
      </c>
      <c r="Z800" s="13" t="str">
        <f>IF(Data!S800="","",IF(ISNUMBER(MATCH(Data!T800,Data_Val!$A$2:$A$3,0)),0,1))</f>
        <v/>
      </c>
      <c r="AA800" s="28" t="str">
        <f ca="1">IF(Data!S800="","",IF(ISNUMBER(Data!U800),IF(AND(Data!U800&gt;(TODAY()-(Data_Val!$L$3*365.25)),Data!U800&lt;=(TODAY()-(Data_Val!$L$2*365.25))),0,1),1))</f>
        <v/>
      </c>
      <c r="AB800" s="11"/>
      <c r="AC800" s="11" t="e">
        <f>IF(Data!#REF!="","",IF(ISNUMBER(MATCH(Data!#REF!,Data_Val!$A$2:$A$3,0)),0,1))</f>
        <v>#REF!</v>
      </c>
      <c r="AD800" s="11" t="e">
        <f ca="1">IF(Data!#REF!="","",IF(ISNUMBER(Data!#REF!),IF(AND(Data!#REF!&gt;(TODAY()-(Data_Val!$L$3*365.25)),Data!#REF!&lt;=(TODAY()-(Data_Val!$L$2*365.25))),0,1),1))</f>
        <v>#REF!</v>
      </c>
      <c r="AE800" s="11" t="e">
        <f>IF(Data!#REF!="","",IF(Data!$G800="",1,IF(ISNUMBER(MATCH(Data!#REF!,Data_Val!$D$2:$D$10,0)),0,1)))</f>
        <v>#REF!</v>
      </c>
      <c r="AF800" s="12"/>
      <c r="AG800" s="12" t="e">
        <f>IF(Data!#REF!="","",IF(ISNUMBER(MATCH(Data!#REF!,Data_Val!$A$2:$A$3,0)),0,1))</f>
        <v>#REF!</v>
      </c>
      <c r="AH800" s="26" t="e">
        <f ca="1">IF(Data!#REF!="","",IF(ISNUMBER(Data!#REF!),IF(AND(Data!#REF!&gt;(TODAY()-(Data_Val!$L$3*365.25)),Data!#REF!&lt;=(TODAY()-(Data_Val!$L$2*365.25))),0,1),1))</f>
        <v>#REF!</v>
      </c>
      <c r="AI800" s="12" t="e">
        <f>IF(Data!#REF!="","",IF(Data!$G800="",1,IF(ISNUMBER(MATCH(Data!#REF!,Data_Val!$D$2:$D$10,0)),0,1)))</f>
        <v>#REF!</v>
      </c>
      <c r="AJ800" s="17"/>
      <c r="AK800" s="17" t="e">
        <f>IF(Data!#REF!="","",IF(ISNUMBER(MATCH(Data!#REF!,Data_Val!$A$2:$A$3,0)),0,1))</f>
        <v>#REF!</v>
      </c>
      <c r="AL800" s="25" t="e">
        <f ca="1">IF(Data!#REF!="","",IF(ISNUMBER(Data!#REF!),IF(AND(Data!#REF!&gt;(TODAY()-(Data_Val!$L$3*365.25)),Data!#REF!&lt;=(TODAY()-(Data_Val!$L$2*365.25))),0,1),1))</f>
        <v>#REF!</v>
      </c>
      <c r="AM800" s="17" t="e">
        <f>IF(Data!#REF!="","",IF(Data!$G800="",1,IF(ISNUMBER(MATCH(Data!#REF!,Data_Val!$D$2:$D$10,0)),0,1)))</f>
        <v>#REF!</v>
      </c>
      <c r="AN800" s="13"/>
      <c r="AO800" s="28" t="e">
        <f ca="1">IF(Data!#REF!="","",IF(ISNUMBER(Data!#REF!),IF(AND(Data!#REF!&gt;(TODAY()-(Data_Val!$I$3*365.25)),Data!#REF!&lt;=(TODAY()-(Data_Val!$I$2*365.25))),0,1),1))</f>
        <v>#REF!</v>
      </c>
      <c r="AP800" s="13" t="e">
        <f>IF(Data!#REF!="","",IF(Data!$G800="",1,IF(ISNUMBER(MATCH(Data!#REF!,Data_Val!$D$2:$D$10,0)),0,1)))</f>
        <v>#REF!</v>
      </c>
      <c r="AQ800" s="17"/>
      <c r="AR800" s="30" t="e">
        <f ca="1">IF(Data!#REF!="","",IF(ISNUMBER(Data!#REF!),IF(AND(Data!#REF!&gt;(TODAY()-(Data_Val!$I$3*365.25)),Data!#REF!&lt;=(TODAY()-(Data_Val!$I$2*365.25))),0,1),1))</f>
        <v>#REF!</v>
      </c>
      <c r="AS800" s="31" t="e">
        <f>IF(Data!#REF!="","",IF(Data!$G800="",1,IF(ISNUMBER(MATCH(Data!#REF!,Data_Val!$D$2:$D$10,0)),0,1)))</f>
        <v>#REF!</v>
      </c>
      <c r="AT800" s="11"/>
      <c r="AU800" s="11" t="e">
        <f ca="1">IF(Data!#REF!="","",IF(ISNUMBER(Data!#REF!),IF(AND(Data!#REF!&gt;(TODAY()-(Data_Val!$I$3*365.25)),Data!#REF!&lt;=(TODAY()-(Data_Val!$I$2*365.25))),0,1),1))</f>
        <v>#REF!</v>
      </c>
      <c r="AV800" s="11" t="e">
        <f>IF(Data!#REF!="","",IF(Data!$G800="",1,IF(ISNUMBER(MATCH(Data!#REF!,Data_Val!$D$2:$D$10,0)),0,1)))</f>
        <v>#REF!</v>
      </c>
      <c r="AW800" s="12"/>
      <c r="AX800" s="26" t="e">
        <f ca="1">IF(Data!#REF!="","",IF(ISNUMBER(Data!#REF!),IF(AND(Data!#REF!&gt;(TODAY()-(Data_Val!$I$3*365.25)),Data!#REF!&lt;=(TODAY()-(Data_Val!$I$2*365.25))),0,1),1))</f>
        <v>#REF!</v>
      </c>
      <c r="AY800" s="12" t="e">
        <f>IF(Data!#REF!="","",IF(Data!$G800="",1,IF(ISNUMBER(MATCH(Data!#REF!,Data_Val!$D$2:$D$10,0)),0,1)))</f>
        <v>#REF!</v>
      </c>
      <c r="AZ800" s="11"/>
      <c r="BA800" s="19" t="e">
        <f ca="1">IF(Data!#REF!="","",IF(ISNUMBER(Data!#REF!),IF(AND(Data!#REF!&gt;(TODAY()-(Data_Val!$M$3*365.25)),Data!#REF!&lt;=(TODAY()-(Data_Val!$M$2*365.25))),0,1),1))</f>
        <v>#REF!</v>
      </c>
      <c r="BB800" s="11" t="e">
        <f>IF(Data!#REF!="","",IF(Data!$G800="",1,IF(ISNUMBER(MATCH(Data!#REF!,Data_Val!$D$2:$D$10,0)),0,1)))</f>
        <v>#REF!</v>
      </c>
      <c r="BC800" s="12"/>
      <c r="BD800" s="20" t="e">
        <f ca="1">IF(Data!#REF!="","",IF(ISNUMBER(Data!#REF!),IF(AND(Data!#REF!&gt;(TODAY()-(Data_Val!$M$3*365.25)),Data!#REF!&lt;=(TODAY()-(Data_Val!$M$2*365.25))),0,1),1))</f>
        <v>#REF!</v>
      </c>
      <c r="BE800" s="12" t="e">
        <f>IF(Data!#REF!="","",IF(Data!$G800="",1,IF(ISNUMBER(MATCH(Data!#REF!,Data_Val!$D$2:$D$10,0)),0,1)))</f>
        <v>#REF!</v>
      </c>
      <c r="BF800" s="17"/>
      <c r="BG800" s="18" t="e">
        <f ca="1">IF(Data!#REF!="","",IF(ISNUMBER(Data!#REF!),IF(AND(Data!#REF!&gt;(TODAY()-(Data_Val!$M$3*365.25)),Data!#REF!&lt;=(TODAY()-(Data_Val!$M$2*365.25))),0,1),1))</f>
        <v>#REF!</v>
      </c>
      <c r="BH800" s="29" t="e">
        <f>IF(Data!#REF!="","",IF(Data!$G800="",1,IF(ISNUMBER(MATCH(Data!#REF!,Data_Val!$D$2:$D$10,0)),0,1)))</f>
        <v>#REF!</v>
      </c>
      <c r="BI800" s="13"/>
      <c r="BJ800" s="21" t="e">
        <f ca="1">IF(Data!#REF!="","",IF(ISNUMBER(Data!#REF!),IF(AND(Data!#REF!&gt;(TODAY()-(Data_Val!$M$3*365.25)),Data!#REF!&lt;=(TODAY()-(Data_Val!$M$2*365.25))),0,1),1))</f>
        <v>#REF!</v>
      </c>
      <c r="BK800" s="13" t="e">
        <f>IF(Data!#REF!="","",IF(Data!$G800="",1,IF(ISNUMBER(MATCH(Data!#REF!,Data_Val!$D$2:$D$10,0)),0,1)))</f>
        <v>#REF!</v>
      </c>
    </row>
    <row r="801" spans="1:63" x14ac:dyDescent="0.25">
      <c r="A801" s="9" t="str">
        <f>IF(Data!B801="","",IF(COUNTIFS(Data!A$1:'Data'!A801,Data!A801)&lt;=1,0,1))</f>
        <v/>
      </c>
      <c r="B801" s="9"/>
      <c r="C801" s="23" t="str">
        <f>IF(Data!C801="","",(IF(ISNUMBER(MATCH("*@*.?*",Data!C801,0)),0,1)+IF(COUNTIFS(Data!C$1:'Data'!C801,Data!C801)&gt;1,1,0)))</f>
        <v/>
      </c>
      <c r="D801" s="9" t="str">
        <f>IF(Data!B801="","",IF(ISNUMBER(Data!D801),IF(AND(Data!D801&gt;999999999,Data!D801&lt;=9999999999),IF(COUNTIFS(Data!D$1:'Data'!D801,Data!D801)&lt;=1,0,1),1),1))</f>
        <v/>
      </c>
      <c r="E801" s="9" t="str">
        <f>IF(Data!B801="","",IF(ISNUMBER(MATCH(Data!E801,Data_Val!$A$2:$A$3,0)),0,1))</f>
        <v/>
      </c>
      <c r="F801" s="9" t="str">
        <f ca="1">IF(Data!B801="","",IF(ISNUMBER(Data!F801),IF(AND(Data!F801&gt;(TODAY()-(Data_Val!$H$3*365.25)),Data!F801&lt;=(TODAY()-(Data_Val!$H$2*365.25))),0,1),1))</f>
        <v/>
      </c>
      <c r="G801" s="15" t="str">
        <f>IF(Data!B801="","",IF(AND(Data!G801="",Data!H801&lt;&gt;""),1,IF(Data!#REF!&lt;&gt;"",0,IF(ISNUMBER(MATCH(Data!G801,Data_Val!$C$2:$C$5,0)),0,1))))</f>
        <v/>
      </c>
      <c r="H801" s="15" t="str">
        <f>IF(Data!B801="","",IF(AND(Data!G801&lt;&gt;"",Data!H801=""),1,IF(Data!#REF!&lt;&gt;"",0,IF(Data!G801="",1,IF(ISNUMBER(MATCH(Data!H801,Data_Val!$D$2:$D$35,0)),0,1)))))</f>
        <v/>
      </c>
      <c r="I801" s="15" t="str">
        <f>IF(Data!B801="","",IF(Data!G801&lt;&gt;"",0,IF(ISNUMBER(MATCH(Data!#REF!,Data_Val!$E$2:$E$12,0)),0,1)))</f>
        <v/>
      </c>
      <c r="J801" s="16" t="e">
        <f>IF(OR(Data!B801="",Data!#REF!=""),"",IF(Data!#REF!="",1,0))</f>
        <v>#REF!</v>
      </c>
      <c r="K801" s="16" t="e">
        <f>IF(OR(Data!B801="",Data!#REF!=""),"",IF(Data!#REF!="",1,0))</f>
        <v>#REF!</v>
      </c>
      <c r="L801" s="16" t="e">
        <f>IF(OR(Data!B801="",Data!#REF!=""),"",IF(ISNUMBER(Data!#REF!),IF(AND(Data!#REF!&gt;Data_Val!$G$2,Data!#REF!&lt;=Data_Val!$G$3),0,1),1))</f>
        <v>#REF!</v>
      </c>
      <c r="M801" s="9" t="e">
        <f>IF(OR(Data!B801="",Data!#REF!=""),"",IF(ISNUMBER(MATCH(Data!#REF!,Data_Val!$F$1:$F$38,0)),0,1))</f>
        <v>#REF!</v>
      </c>
      <c r="N801" s="9" t="e">
        <f>IF(OR(Data!B801="",Data!#REF!=""),"",IF(Data!#REF!="",1,0))</f>
        <v>#REF!</v>
      </c>
      <c r="O801" s="17" t="e">
        <f>IF(Data!#REF!="","",IF(Data!#REF!="",1,0))</f>
        <v>#REF!</v>
      </c>
      <c r="P801" s="17" t="e">
        <f>IF(Data!#REF!="","",IF(ISNUMBER(MATCH(Data!#REF!,Data_Val!$A$2:$A$3,0)),0,1))</f>
        <v>#REF!</v>
      </c>
      <c r="Q801" s="25" t="e">
        <f ca="1">IF(Data!#REF!="","",IF(ISNUMBER(Data!#REF!),IF(AND(Data!#REF!&gt;(TODAY()-(Data_Val!$J$3*365.25)),Data!#REF!&lt;=(TODAY()-(Data_Val!$J$2*365.25))),0,1),1))</f>
        <v>#REF!</v>
      </c>
      <c r="R801" s="17" t="e">
        <f>IF(Data!#REF!="","",IF(ISNUMBER(MATCH(Data!#REF!,Data_Val!$B$2:$B$15,0)),0,1))</f>
        <v>#REF!</v>
      </c>
      <c r="S801" s="11" t="str">
        <f>IF(Data!G801="","",IF(Data!G801=Data_Val!$C$2,IF(Data!M801="",0,1),0))</f>
        <v/>
      </c>
      <c r="T801" s="11" t="str">
        <f>IF(Data!M801="","",IF(ISNUMBER(MATCH(Data!N801,Data_Val!$A$2:$A$3,0)),0,1))</f>
        <v/>
      </c>
      <c r="U801" s="11" t="str">
        <f ca="1">IF(Data!M801="","",IF(ISNUMBER(Data!O801),IF(AND(Data!O801&gt;(TODAY()-(Data_Val!$K$3*365.25)),Data!O801&lt;=(TODAY()-(Data_Val!$K$2*365.25))),0,1),1))</f>
        <v/>
      </c>
      <c r="V801" s="12" t="str">
        <f>IF(Data!G801="","",IF(Data!G801=Data_Val!$C$2,IF(Data!P801="",0,1),0))</f>
        <v/>
      </c>
      <c r="W801" s="12" t="str">
        <f>IF(Data!P801="","",IF(ISNUMBER(MATCH(Data!Q801,Data_Val!$A$2:$A$3,0)),0,1))</f>
        <v/>
      </c>
      <c r="X801" s="26" t="str">
        <f ca="1">IF(Data!P801="","",IF(ISNUMBER(Data!R801),IF(AND(Data!R801&gt;(TODAY()-(Data_Val!$L$3*365.25)),Data!R801&lt;=(TODAY()-(Data_Val!$L$2*365.25))),0,1),1))</f>
        <v/>
      </c>
      <c r="Y801" s="13" t="str">
        <f>IF(Data!$G801="","",IF(Data!$G801=Data_Val!$C$2,IF(Data!S801="",0,1),0))</f>
        <v/>
      </c>
      <c r="Z801" s="13" t="str">
        <f>IF(Data!S801="","",IF(ISNUMBER(MATCH(Data!T801,Data_Val!$A$2:$A$3,0)),0,1))</f>
        <v/>
      </c>
      <c r="AA801" s="28" t="str">
        <f ca="1">IF(Data!S801="","",IF(ISNUMBER(Data!U801),IF(AND(Data!U801&gt;(TODAY()-(Data_Val!$L$3*365.25)),Data!U801&lt;=(TODAY()-(Data_Val!$L$2*365.25))),0,1),1))</f>
        <v/>
      </c>
      <c r="AB801" s="11"/>
      <c r="AC801" s="11" t="e">
        <f>IF(Data!#REF!="","",IF(ISNUMBER(MATCH(Data!#REF!,Data_Val!$A$2:$A$3,0)),0,1))</f>
        <v>#REF!</v>
      </c>
      <c r="AD801" s="11" t="e">
        <f ca="1">IF(Data!#REF!="","",IF(ISNUMBER(Data!#REF!),IF(AND(Data!#REF!&gt;(TODAY()-(Data_Val!$L$3*365.25)),Data!#REF!&lt;=(TODAY()-(Data_Val!$L$2*365.25))),0,1),1))</f>
        <v>#REF!</v>
      </c>
      <c r="AE801" s="11" t="e">
        <f>IF(Data!#REF!="","",IF(Data!$G801="",1,IF(ISNUMBER(MATCH(Data!#REF!,Data_Val!$D$2:$D$10,0)),0,1)))</f>
        <v>#REF!</v>
      </c>
      <c r="AF801" s="12"/>
      <c r="AG801" s="12" t="e">
        <f>IF(Data!#REF!="","",IF(ISNUMBER(MATCH(Data!#REF!,Data_Val!$A$2:$A$3,0)),0,1))</f>
        <v>#REF!</v>
      </c>
      <c r="AH801" s="26" t="e">
        <f ca="1">IF(Data!#REF!="","",IF(ISNUMBER(Data!#REF!),IF(AND(Data!#REF!&gt;(TODAY()-(Data_Val!$L$3*365.25)),Data!#REF!&lt;=(TODAY()-(Data_Val!$L$2*365.25))),0,1),1))</f>
        <v>#REF!</v>
      </c>
      <c r="AI801" s="12" t="e">
        <f>IF(Data!#REF!="","",IF(Data!$G801="",1,IF(ISNUMBER(MATCH(Data!#REF!,Data_Val!$D$2:$D$10,0)),0,1)))</f>
        <v>#REF!</v>
      </c>
      <c r="AJ801" s="17"/>
      <c r="AK801" s="17" t="e">
        <f>IF(Data!#REF!="","",IF(ISNUMBER(MATCH(Data!#REF!,Data_Val!$A$2:$A$3,0)),0,1))</f>
        <v>#REF!</v>
      </c>
      <c r="AL801" s="25" t="e">
        <f ca="1">IF(Data!#REF!="","",IF(ISNUMBER(Data!#REF!),IF(AND(Data!#REF!&gt;(TODAY()-(Data_Val!$L$3*365.25)),Data!#REF!&lt;=(TODAY()-(Data_Val!$L$2*365.25))),0,1),1))</f>
        <v>#REF!</v>
      </c>
      <c r="AM801" s="17" t="e">
        <f>IF(Data!#REF!="","",IF(Data!$G801="",1,IF(ISNUMBER(MATCH(Data!#REF!,Data_Val!$D$2:$D$10,0)),0,1)))</f>
        <v>#REF!</v>
      </c>
      <c r="AN801" s="13"/>
      <c r="AO801" s="28" t="e">
        <f ca="1">IF(Data!#REF!="","",IF(ISNUMBER(Data!#REF!),IF(AND(Data!#REF!&gt;(TODAY()-(Data_Val!$I$3*365.25)),Data!#REF!&lt;=(TODAY()-(Data_Val!$I$2*365.25))),0,1),1))</f>
        <v>#REF!</v>
      </c>
      <c r="AP801" s="13" t="e">
        <f>IF(Data!#REF!="","",IF(Data!$G801="",1,IF(ISNUMBER(MATCH(Data!#REF!,Data_Val!$D$2:$D$10,0)),0,1)))</f>
        <v>#REF!</v>
      </c>
      <c r="AQ801" s="17"/>
      <c r="AR801" s="30" t="e">
        <f ca="1">IF(Data!#REF!="","",IF(ISNUMBER(Data!#REF!),IF(AND(Data!#REF!&gt;(TODAY()-(Data_Val!$I$3*365.25)),Data!#REF!&lt;=(TODAY()-(Data_Val!$I$2*365.25))),0,1),1))</f>
        <v>#REF!</v>
      </c>
      <c r="AS801" s="31" t="e">
        <f>IF(Data!#REF!="","",IF(Data!$G801="",1,IF(ISNUMBER(MATCH(Data!#REF!,Data_Val!$D$2:$D$10,0)),0,1)))</f>
        <v>#REF!</v>
      </c>
      <c r="AT801" s="11"/>
      <c r="AU801" s="11" t="e">
        <f ca="1">IF(Data!#REF!="","",IF(ISNUMBER(Data!#REF!),IF(AND(Data!#REF!&gt;(TODAY()-(Data_Val!$I$3*365.25)),Data!#REF!&lt;=(TODAY()-(Data_Val!$I$2*365.25))),0,1),1))</f>
        <v>#REF!</v>
      </c>
      <c r="AV801" s="11" t="e">
        <f>IF(Data!#REF!="","",IF(Data!$G801="",1,IF(ISNUMBER(MATCH(Data!#REF!,Data_Val!$D$2:$D$10,0)),0,1)))</f>
        <v>#REF!</v>
      </c>
      <c r="AW801" s="12"/>
      <c r="AX801" s="26" t="e">
        <f ca="1">IF(Data!#REF!="","",IF(ISNUMBER(Data!#REF!),IF(AND(Data!#REF!&gt;(TODAY()-(Data_Val!$I$3*365.25)),Data!#REF!&lt;=(TODAY()-(Data_Val!$I$2*365.25))),0,1),1))</f>
        <v>#REF!</v>
      </c>
      <c r="AY801" s="12" t="e">
        <f>IF(Data!#REF!="","",IF(Data!$G801="",1,IF(ISNUMBER(MATCH(Data!#REF!,Data_Val!$D$2:$D$10,0)),0,1)))</f>
        <v>#REF!</v>
      </c>
      <c r="AZ801" s="11"/>
      <c r="BA801" s="19" t="e">
        <f ca="1">IF(Data!#REF!="","",IF(ISNUMBER(Data!#REF!),IF(AND(Data!#REF!&gt;(TODAY()-(Data_Val!$M$3*365.25)),Data!#REF!&lt;=(TODAY()-(Data_Val!$M$2*365.25))),0,1),1))</f>
        <v>#REF!</v>
      </c>
      <c r="BB801" s="11" t="e">
        <f>IF(Data!#REF!="","",IF(Data!$G801="",1,IF(ISNUMBER(MATCH(Data!#REF!,Data_Val!$D$2:$D$10,0)),0,1)))</f>
        <v>#REF!</v>
      </c>
      <c r="BC801" s="12"/>
      <c r="BD801" s="20" t="e">
        <f ca="1">IF(Data!#REF!="","",IF(ISNUMBER(Data!#REF!),IF(AND(Data!#REF!&gt;(TODAY()-(Data_Val!$M$3*365.25)),Data!#REF!&lt;=(TODAY()-(Data_Val!$M$2*365.25))),0,1),1))</f>
        <v>#REF!</v>
      </c>
      <c r="BE801" s="12" t="e">
        <f>IF(Data!#REF!="","",IF(Data!$G801="",1,IF(ISNUMBER(MATCH(Data!#REF!,Data_Val!$D$2:$D$10,0)),0,1)))</f>
        <v>#REF!</v>
      </c>
      <c r="BF801" s="17"/>
      <c r="BG801" s="18" t="e">
        <f ca="1">IF(Data!#REF!="","",IF(ISNUMBER(Data!#REF!),IF(AND(Data!#REF!&gt;(TODAY()-(Data_Val!$M$3*365.25)),Data!#REF!&lt;=(TODAY()-(Data_Val!$M$2*365.25))),0,1),1))</f>
        <v>#REF!</v>
      </c>
      <c r="BH801" s="29" t="e">
        <f>IF(Data!#REF!="","",IF(Data!$G801="",1,IF(ISNUMBER(MATCH(Data!#REF!,Data_Val!$D$2:$D$10,0)),0,1)))</f>
        <v>#REF!</v>
      </c>
      <c r="BI801" s="13"/>
      <c r="BJ801" s="21" t="e">
        <f ca="1">IF(Data!#REF!="","",IF(ISNUMBER(Data!#REF!),IF(AND(Data!#REF!&gt;(TODAY()-(Data_Val!$M$3*365.25)),Data!#REF!&lt;=(TODAY()-(Data_Val!$M$2*365.25))),0,1),1))</f>
        <v>#REF!</v>
      </c>
      <c r="BK801" s="13" t="e">
        <f>IF(Data!#REF!="","",IF(Data!$G801="",1,IF(ISNUMBER(MATCH(Data!#REF!,Data_Val!$D$2:$D$10,0)),0,1)))</f>
        <v>#REF!</v>
      </c>
    </row>
    <row r="802" spans="1:63" x14ac:dyDescent="0.25">
      <c r="A802" s="9" t="str">
        <f>IF(Data!B802="","",IF(COUNTIFS(Data!A$1:'Data'!A802,Data!A802)&lt;=1,0,1))</f>
        <v/>
      </c>
      <c r="B802" s="9"/>
      <c r="C802" s="23" t="str">
        <f>IF(Data!C802="","",(IF(ISNUMBER(MATCH("*@*.?*",Data!C802,0)),0,1)+IF(COUNTIFS(Data!C$1:'Data'!C802,Data!C802)&gt;1,1,0)))</f>
        <v/>
      </c>
      <c r="D802" s="9" t="str">
        <f>IF(Data!B802="","",IF(ISNUMBER(Data!D802),IF(AND(Data!D802&gt;999999999,Data!D802&lt;=9999999999),IF(COUNTIFS(Data!D$1:'Data'!D802,Data!D802)&lt;=1,0,1),1),1))</f>
        <v/>
      </c>
      <c r="E802" s="9" t="str">
        <f>IF(Data!B802="","",IF(ISNUMBER(MATCH(Data!E802,Data_Val!$A$2:$A$3,0)),0,1))</f>
        <v/>
      </c>
      <c r="F802" s="9" t="str">
        <f ca="1">IF(Data!B802="","",IF(ISNUMBER(Data!F802),IF(AND(Data!F802&gt;(TODAY()-(Data_Val!$H$3*365.25)),Data!F802&lt;=(TODAY()-(Data_Val!$H$2*365.25))),0,1),1))</f>
        <v/>
      </c>
      <c r="G802" s="15" t="str">
        <f>IF(Data!B802="","",IF(AND(Data!G802="",Data!H802&lt;&gt;""),1,IF(Data!#REF!&lt;&gt;"",0,IF(ISNUMBER(MATCH(Data!G802,Data_Val!$C$2:$C$5,0)),0,1))))</f>
        <v/>
      </c>
      <c r="H802" s="15" t="str">
        <f>IF(Data!B802="","",IF(AND(Data!G802&lt;&gt;"",Data!H802=""),1,IF(Data!#REF!&lt;&gt;"",0,IF(Data!G802="",1,IF(ISNUMBER(MATCH(Data!H802,Data_Val!$D$2:$D$35,0)),0,1)))))</f>
        <v/>
      </c>
      <c r="I802" s="15" t="str">
        <f>IF(Data!B802="","",IF(Data!G802&lt;&gt;"",0,IF(ISNUMBER(MATCH(Data!#REF!,Data_Val!$E$2:$E$12,0)),0,1)))</f>
        <v/>
      </c>
      <c r="J802" s="16" t="e">
        <f>IF(OR(Data!B802="",Data!#REF!=""),"",IF(Data!#REF!="",1,0))</f>
        <v>#REF!</v>
      </c>
      <c r="K802" s="16" t="e">
        <f>IF(OR(Data!B802="",Data!#REF!=""),"",IF(Data!#REF!="",1,0))</f>
        <v>#REF!</v>
      </c>
      <c r="L802" s="16" t="e">
        <f>IF(OR(Data!B802="",Data!#REF!=""),"",IF(ISNUMBER(Data!#REF!),IF(AND(Data!#REF!&gt;Data_Val!$G$2,Data!#REF!&lt;=Data_Val!$G$3),0,1),1))</f>
        <v>#REF!</v>
      </c>
      <c r="M802" s="9" t="e">
        <f>IF(OR(Data!B802="",Data!#REF!=""),"",IF(ISNUMBER(MATCH(Data!#REF!,Data_Val!$F$1:$F$38,0)),0,1))</f>
        <v>#REF!</v>
      </c>
      <c r="N802" s="9" t="e">
        <f>IF(OR(Data!B802="",Data!#REF!=""),"",IF(Data!#REF!="",1,0))</f>
        <v>#REF!</v>
      </c>
      <c r="O802" s="17" t="e">
        <f>IF(Data!#REF!="","",IF(Data!#REF!="",1,0))</f>
        <v>#REF!</v>
      </c>
      <c r="P802" s="17" t="e">
        <f>IF(Data!#REF!="","",IF(ISNUMBER(MATCH(Data!#REF!,Data_Val!$A$2:$A$3,0)),0,1))</f>
        <v>#REF!</v>
      </c>
      <c r="Q802" s="25" t="e">
        <f ca="1">IF(Data!#REF!="","",IF(ISNUMBER(Data!#REF!),IF(AND(Data!#REF!&gt;(TODAY()-(Data_Val!$J$3*365.25)),Data!#REF!&lt;=(TODAY()-(Data_Val!$J$2*365.25))),0,1),1))</f>
        <v>#REF!</v>
      </c>
      <c r="R802" s="17" t="e">
        <f>IF(Data!#REF!="","",IF(ISNUMBER(MATCH(Data!#REF!,Data_Val!$B$2:$B$15,0)),0,1))</f>
        <v>#REF!</v>
      </c>
      <c r="S802" s="11" t="str">
        <f>IF(Data!G802="","",IF(Data!G802=Data_Val!$C$2,IF(Data!M802="",0,1),0))</f>
        <v/>
      </c>
      <c r="T802" s="11" t="str">
        <f>IF(Data!M802="","",IF(ISNUMBER(MATCH(Data!N802,Data_Val!$A$2:$A$3,0)),0,1))</f>
        <v/>
      </c>
      <c r="U802" s="11" t="str">
        <f ca="1">IF(Data!M802="","",IF(ISNUMBER(Data!O802),IF(AND(Data!O802&gt;(TODAY()-(Data_Val!$K$3*365.25)),Data!O802&lt;=(TODAY()-(Data_Val!$K$2*365.25))),0,1),1))</f>
        <v/>
      </c>
      <c r="V802" s="12" t="str">
        <f>IF(Data!G802="","",IF(Data!G802=Data_Val!$C$2,IF(Data!P802="",0,1),0))</f>
        <v/>
      </c>
      <c r="W802" s="12" t="str">
        <f>IF(Data!P802="","",IF(ISNUMBER(MATCH(Data!Q802,Data_Val!$A$2:$A$3,0)),0,1))</f>
        <v/>
      </c>
      <c r="X802" s="26" t="str">
        <f ca="1">IF(Data!P802="","",IF(ISNUMBER(Data!R802),IF(AND(Data!R802&gt;(TODAY()-(Data_Val!$L$3*365.25)),Data!R802&lt;=(TODAY()-(Data_Val!$L$2*365.25))),0,1),1))</f>
        <v/>
      </c>
      <c r="Y802" s="13" t="str">
        <f>IF(Data!$G802="","",IF(Data!$G802=Data_Val!$C$2,IF(Data!S802="",0,1),0))</f>
        <v/>
      </c>
      <c r="Z802" s="13" t="str">
        <f>IF(Data!S802="","",IF(ISNUMBER(MATCH(Data!T802,Data_Val!$A$2:$A$3,0)),0,1))</f>
        <v/>
      </c>
      <c r="AA802" s="28" t="str">
        <f ca="1">IF(Data!S802="","",IF(ISNUMBER(Data!U802),IF(AND(Data!U802&gt;(TODAY()-(Data_Val!$L$3*365.25)),Data!U802&lt;=(TODAY()-(Data_Val!$L$2*365.25))),0,1),1))</f>
        <v/>
      </c>
      <c r="AB802" s="11"/>
      <c r="AC802" s="11" t="e">
        <f>IF(Data!#REF!="","",IF(ISNUMBER(MATCH(Data!#REF!,Data_Val!$A$2:$A$3,0)),0,1))</f>
        <v>#REF!</v>
      </c>
      <c r="AD802" s="11" t="e">
        <f ca="1">IF(Data!#REF!="","",IF(ISNUMBER(Data!#REF!),IF(AND(Data!#REF!&gt;(TODAY()-(Data_Val!$L$3*365.25)),Data!#REF!&lt;=(TODAY()-(Data_Val!$L$2*365.25))),0,1),1))</f>
        <v>#REF!</v>
      </c>
      <c r="AE802" s="11" t="e">
        <f>IF(Data!#REF!="","",IF(Data!$G802="",1,IF(ISNUMBER(MATCH(Data!#REF!,Data_Val!$D$2:$D$10,0)),0,1)))</f>
        <v>#REF!</v>
      </c>
      <c r="AF802" s="12"/>
      <c r="AG802" s="12" t="e">
        <f>IF(Data!#REF!="","",IF(ISNUMBER(MATCH(Data!#REF!,Data_Val!$A$2:$A$3,0)),0,1))</f>
        <v>#REF!</v>
      </c>
      <c r="AH802" s="26" t="e">
        <f ca="1">IF(Data!#REF!="","",IF(ISNUMBER(Data!#REF!),IF(AND(Data!#REF!&gt;(TODAY()-(Data_Val!$L$3*365.25)),Data!#REF!&lt;=(TODAY()-(Data_Val!$L$2*365.25))),0,1),1))</f>
        <v>#REF!</v>
      </c>
      <c r="AI802" s="12" t="e">
        <f>IF(Data!#REF!="","",IF(Data!$G802="",1,IF(ISNUMBER(MATCH(Data!#REF!,Data_Val!$D$2:$D$10,0)),0,1)))</f>
        <v>#REF!</v>
      </c>
      <c r="AJ802" s="17"/>
      <c r="AK802" s="17" t="e">
        <f>IF(Data!#REF!="","",IF(ISNUMBER(MATCH(Data!#REF!,Data_Val!$A$2:$A$3,0)),0,1))</f>
        <v>#REF!</v>
      </c>
      <c r="AL802" s="25" t="e">
        <f ca="1">IF(Data!#REF!="","",IF(ISNUMBER(Data!#REF!),IF(AND(Data!#REF!&gt;(TODAY()-(Data_Val!$L$3*365.25)),Data!#REF!&lt;=(TODAY()-(Data_Val!$L$2*365.25))),0,1),1))</f>
        <v>#REF!</v>
      </c>
      <c r="AM802" s="17" t="e">
        <f>IF(Data!#REF!="","",IF(Data!$G802="",1,IF(ISNUMBER(MATCH(Data!#REF!,Data_Val!$D$2:$D$10,0)),0,1)))</f>
        <v>#REF!</v>
      </c>
      <c r="AN802" s="13"/>
      <c r="AO802" s="28" t="e">
        <f ca="1">IF(Data!#REF!="","",IF(ISNUMBER(Data!#REF!),IF(AND(Data!#REF!&gt;(TODAY()-(Data_Val!$I$3*365.25)),Data!#REF!&lt;=(TODAY()-(Data_Val!$I$2*365.25))),0,1),1))</f>
        <v>#REF!</v>
      </c>
      <c r="AP802" s="13" t="e">
        <f>IF(Data!#REF!="","",IF(Data!$G802="",1,IF(ISNUMBER(MATCH(Data!#REF!,Data_Val!$D$2:$D$10,0)),0,1)))</f>
        <v>#REF!</v>
      </c>
      <c r="AQ802" s="17"/>
      <c r="AR802" s="30" t="e">
        <f ca="1">IF(Data!#REF!="","",IF(ISNUMBER(Data!#REF!),IF(AND(Data!#REF!&gt;(TODAY()-(Data_Val!$I$3*365.25)),Data!#REF!&lt;=(TODAY()-(Data_Val!$I$2*365.25))),0,1),1))</f>
        <v>#REF!</v>
      </c>
      <c r="AS802" s="31" t="e">
        <f>IF(Data!#REF!="","",IF(Data!$G802="",1,IF(ISNUMBER(MATCH(Data!#REF!,Data_Val!$D$2:$D$10,0)),0,1)))</f>
        <v>#REF!</v>
      </c>
      <c r="AT802" s="11"/>
      <c r="AU802" s="11" t="e">
        <f ca="1">IF(Data!#REF!="","",IF(ISNUMBER(Data!#REF!),IF(AND(Data!#REF!&gt;(TODAY()-(Data_Val!$I$3*365.25)),Data!#REF!&lt;=(TODAY()-(Data_Val!$I$2*365.25))),0,1),1))</f>
        <v>#REF!</v>
      </c>
      <c r="AV802" s="11" t="e">
        <f>IF(Data!#REF!="","",IF(Data!$G802="",1,IF(ISNUMBER(MATCH(Data!#REF!,Data_Val!$D$2:$D$10,0)),0,1)))</f>
        <v>#REF!</v>
      </c>
      <c r="AW802" s="12"/>
      <c r="AX802" s="26" t="e">
        <f ca="1">IF(Data!#REF!="","",IF(ISNUMBER(Data!#REF!),IF(AND(Data!#REF!&gt;(TODAY()-(Data_Val!$I$3*365.25)),Data!#REF!&lt;=(TODAY()-(Data_Val!$I$2*365.25))),0,1),1))</f>
        <v>#REF!</v>
      </c>
      <c r="AY802" s="12" t="e">
        <f>IF(Data!#REF!="","",IF(Data!$G802="",1,IF(ISNUMBER(MATCH(Data!#REF!,Data_Val!$D$2:$D$10,0)),0,1)))</f>
        <v>#REF!</v>
      </c>
      <c r="AZ802" s="11"/>
      <c r="BA802" s="19" t="e">
        <f ca="1">IF(Data!#REF!="","",IF(ISNUMBER(Data!#REF!),IF(AND(Data!#REF!&gt;(TODAY()-(Data_Val!$M$3*365.25)),Data!#REF!&lt;=(TODAY()-(Data_Val!$M$2*365.25))),0,1),1))</f>
        <v>#REF!</v>
      </c>
      <c r="BB802" s="11" t="e">
        <f>IF(Data!#REF!="","",IF(Data!$G802="",1,IF(ISNUMBER(MATCH(Data!#REF!,Data_Val!$D$2:$D$10,0)),0,1)))</f>
        <v>#REF!</v>
      </c>
      <c r="BC802" s="12"/>
      <c r="BD802" s="20" t="e">
        <f ca="1">IF(Data!#REF!="","",IF(ISNUMBER(Data!#REF!),IF(AND(Data!#REF!&gt;(TODAY()-(Data_Val!$M$3*365.25)),Data!#REF!&lt;=(TODAY()-(Data_Val!$M$2*365.25))),0,1),1))</f>
        <v>#REF!</v>
      </c>
      <c r="BE802" s="12" t="e">
        <f>IF(Data!#REF!="","",IF(Data!$G802="",1,IF(ISNUMBER(MATCH(Data!#REF!,Data_Val!$D$2:$D$10,0)),0,1)))</f>
        <v>#REF!</v>
      </c>
      <c r="BF802" s="17"/>
      <c r="BG802" s="18" t="e">
        <f ca="1">IF(Data!#REF!="","",IF(ISNUMBER(Data!#REF!),IF(AND(Data!#REF!&gt;(TODAY()-(Data_Val!$M$3*365.25)),Data!#REF!&lt;=(TODAY()-(Data_Val!$M$2*365.25))),0,1),1))</f>
        <v>#REF!</v>
      </c>
      <c r="BH802" s="29" t="e">
        <f>IF(Data!#REF!="","",IF(Data!$G802="",1,IF(ISNUMBER(MATCH(Data!#REF!,Data_Val!$D$2:$D$10,0)),0,1)))</f>
        <v>#REF!</v>
      </c>
      <c r="BI802" s="13"/>
      <c r="BJ802" s="21" t="e">
        <f ca="1">IF(Data!#REF!="","",IF(ISNUMBER(Data!#REF!),IF(AND(Data!#REF!&gt;(TODAY()-(Data_Val!$M$3*365.25)),Data!#REF!&lt;=(TODAY()-(Data_Val!$M$2*365.25))),0,1),1))</f>
        <v>#REF!</v>
      </c>
      <c r="BK802" s="13" t="e">
        <f>IF(Data!#REF!="","",IF(Data!$G802="",1,IF(ISNUMBER(MATCH(Data!#REF!,Data_Val!$D$2:$D$10,0)),0,1)))</f>
        <v>#REF!</v>
      </c>
    </row>
    <row r="803" spans="1:63" x14ac:dyDescent="0.25">
      <c r="A803" s="9" t="str">
        <f>IF(Data!B803="","",IF(COUNTIFS(Data!A$1:'Data'!A803,Data!A803)&lt;=1,0,1))</f>
        <v/>
      </c>
      <c r="B803" s="9"/>
      <c r="C803" s="23" t="str">
        <f>IF(Data!C803="","",(IF(ISNUMBER(MATCH("*@*.?*",Data!C803,0)),0,1)+IF(COUNTIFS(Data!C$1:'Data'!C803,Data!C803)&gt;1,1,0)))</f>
        <v/>
      </c>
      <c r="D803" s="9" t="str">
        <f>IF(Data!B803="","",IF(ISNUMBER(Data!D803),IF(AND(Data!D803&gt;999999999,Data!D803&lt;=9999999999),IF(COUNTIFS(Data!D$1:'Data'!D803,Data!D803)&lt;=1,0,1),1),1))</f>
        <v/>
      </c>
      <c r="E803" s="9" t="str">
        <f>IF(Data!B803="","",IF(ISNUMBER(MATCH(Data!E803,Data_Val!$A$2:$A$3,0)),0,1))</f>
        <v/>
      </c>
      <c r="F803" s="9" t="str">
        <f ca="1">IF(Data!B803="","",IF(ISNUMBER(Data!F803),IF(AND(Data!F803&gt;(TODAY()-(Data_Val!$H$3*365.25)),Data!F803&lt;=(TODAY()-(Data_Val!$H$2*365.25))),0,1),1))</f>
        <v/>
      </c>
      <c r="G803" s="15" t="str">
        <f>IF(Data!B803="","",IF(AND(Data!G803="",Data!H803&lt;&gt;""),1,IF(Data!#REF!&lt;&gt;"",0,IF(ISNUMBER(MATCH(Data!G803,Data_Val!$C$2:$C$5,0)),0,1))))</f>
        <v/>
      </c>
      <c r="H803" s="15" t="str">
        <f>IF(Data!B803="","",IF(AND(Data!G803&lt;&gt;"",Data!H803=""),1,IF(Data!#REF!&lt;&gt;"",0,IF(Data!G803="",1,IF(ISNUMBER(MATCH(Data!H803,Data_Val!$D$2:$D$35,0)),0,1)))))</f>
        <v/>
      </c>
      <c r="I803" s="15" t="str">
        <f>IF(Data!B803="","",IF(Data!G803&lt;&gt;"",0,IF(ISNUMBER(MATCH(Data!#REF!,Data_Val!$E$2:$E$12,0)),0,1)))</f>
        <v/>
      </c>
      <c r="J803" s="16" t="e">
        <f>IF(OR(Data!B803="",Data!#REF!=""),"",IF(Data!#REF!="",1,0))</f>
        <v>#REF!</v>
      </c>
      <c r="K803" s="16" t="e">
        <f>IF(OR(Data!B803="",Data!#REF!=""),"",IF(Data!#REF!="",1,0))</f>
        <v>#REF!</v>
      </c>
      <c r="L803" s="16" t="e">
        <f>IF(OR(Data!B803="",Data!#REF!=""),"",IF(ISNUMBER(Data!#REF!),IF(AND(Data!#REF!&gt;Data_Val!$G$2,Data!#REF!&lt;=Data_Val!$G$3),0,1),1))</f>
        <v>#REF!</v>
      </c>
      <c r="M803" s="9" t="e">
        <f>IF(OR(Data!B803="",Data!#REF!=""),"",IF(ISNUMBER(MATCH(Data!#REF!,Data_Val!$F$1:$F$38,0)),0,1))</f>
        <v>#REF!</v>
      </c>
      <c r="N803" s="9" t="e">
        <f>IF(OR(Data!B803="",Data!#REF!=""),"",IF(Data!#REF!="",1,0))</f>
        <v>#REF!</v>
      </c>
      <c r="O803" s="17" t="e">
        <f>IF(Data!#REF!="","",IF(Data!#REF!="",1,0))</f>
        <v>#REF!</v>
      </c>
      <c r="P803" s="17" t="e">
        <f>IF(Data!#REF!="","",IF(ISNUMBER(MATCH(Data!#REF!,Data_Val!$A$2:$A$3,0)),0,1))</f>
        <v>#REF!</v>
      </c>
      <c r="Q803" s="25" t="e">
        <f ca="1">IF(Data!#REF!="","",IF(ISNUMBER(Data!#REF!),IF(AND(Data!#REF!&gt;(TODAY()-(Data_Val!$J$3*365.25)),Data!#REF!&lt;=(TODAY()-(Data_Val!$J$2*365.25))),0,1),1))</f>
        <v>#REF!</v>
      </c>
      <c r="R803" s="17" t="e">
        <f>IF(Data!#REF!="","",IF(ISNUMBER(MATCH(Data!#REF!,Data_Val!$B$2:$B$15,0)),0,1))</f>
        <v>#REF!</v>
      </c>
      <c r="S803" s="11" t="str">
        <f>IF(Data!G803="","",IF(Data!G803=Data_Val!$C$2,IF(Data!M803="",0,1),0))</f>
        <v/>
      </c>
      <c r="T803" s="11" t="str">
        <f>IF(Data!M803="","",IF(ISNUMBER(MATCH(Data!N803,Data_Val!$A$2:$A$3,0)),0,1))</f>
        <v/>
      </c>
      <c r="U803" s="11" t="str">
        <f ca="1">IF(Data!M803="","",IF(ISNUMBER(Data!O803),IF(AND(Data!O803&gt;(TODAY()-(Data_Val!$K$3*365.25)),Data!O803&lt;=(TODAY()-(Data_Val!$K$2*365.25))),0,1),1))</f>
        <v/>
      </c>
      <c r="V803" s="12" t="str">
        <f>IF(Data!G803="","",IF(Data!G803=Data_Val!$C$2,IF(Data!P803="",0,1),0))</f>
        <v/>
      </c>
      <c r="W803" s="12" t="str">
        <f>IF(Data!P803="","",IF(ISNUMBER(MATCH(Data!Q803,Data_Val!$A$2:$A$3,0)),0,1))</f>
        <v/>
      </c>
      <c r="X803" s="26" t="str">
        <f ca="1">IF(Data!P803="","",IF(ISNUMBER(Data!R803),IF(AND(Data!R803&gt;(TODAY()-(Data_Val!$L$3*365.25)),Data!R803&lt;=(TODAY()-(Data_Val!$L$2*365.25))),0,1),1))</f>
        <v/>
      </c>
      <c r="Y803" s="13" t="str">
        <f>IF(Data!$G803="","",IF(Data!$G803=Data_Val!$C$2,IF(Data!S803="",0,1),0))</f>
        <v/>
      </c>
      <c r="Z803" s="13" t="str">
        <f>IF(Data!S803="","",IF(ISNUMBER(MATCH(Data!T803,Data_Val!$A$2:$A$3,0)),0,1))</f>
        <v/>
      </c>
      <c r="AA803" s="28" t="str">
        <f ca="1">IF(Data!S803="","",IF(ISNUMBER(Data!U803),IF(AND(Data!U803&gt;(TODAY()-(Data_Val!$L$3*365.25)),Data!U803&lt;=(TODAY()-(Data_Val!$L$2*365.25))),0,1),1))</f>
        <v/>
      </c>
      <c r="AB803" s="11"/>
      <c r="AC803" s="11" t="e">
        <f>IF(Data!#REF!="","",IF(ISNUMBER(MATCH(Data!#REF!,Data_Val!$A$2:$A$3,0)),0,1))</f>
        <v>#REF!</v>
      </c>
      <c r="AD803" s="11" t="e">
        <f ca="1">IF(Data!#REF!="","",IF(ISNUMBER(Data!#REF!),IF(AND(Data!#REF!&gt;(TODAY()-(Data_Val!$L$3*365.25)),Data!#REF!&lt;=(TODAY()-(Data_Val!$L$2*365.25))),0,1),1))</f>
        <v>#REF!</v>
      </c>
      <c r="AE803" s="11" t="e">
        <f>IF(Data!#REF!="","",IF(Data!$G803="",1,IF(ISNUMBER(MATCH(Data!#REF!,Data_Val!$D$2:$D$10,0)),0,1)))</f>
        <v>#REF!</v>
      </c>
      <c r="AF803" s="12"/>
      <c r="AG803" s="12" t="e">
        <f>IF(Data!#REF!="","",IF(ISNUMBER(MATCH(Data!#REF!,Data_Val!$A$2:$A$3,0)),0,1))</f>
        <v>#REF!</v>
      </c>
      <c r="AH803" s="26" t="e">
        <f ca="1">IF(Data!#REF!="","",IF(ISNUMBER(Data!#REF!),IF(AND(Data!#REF!&gt;(TODAY()-(Data_Val!$L$3*365.25)),Data!#REF!&lt;=(TODAY()-(Data_Val!$L$2*365.25))),0,1),1))</f>
        <v>#REF!</v>
      </c>
      <c r="AI803" s="12" t="e">
        <f>IF(Data!#REF!="","",IF(Data!$G803="",1,IF(ISNUMBER(MATCH(Data!#REF!,Data_Val!$D$2:$D$10,0)),0,1)))</f>
        <v>#REF!</v>
      </c>
      <c r="AJ803" s="17"/>
      <c r="AK803" s="17" t="e">
        <f>IF(Data!#REF!="","",IF(ISNUMBER(MATCH(Data!#REF!,Data_Val!$A$2:$A$3,0)),0,1))</f>
        <v>#REF!</v>
      </c>
      <c r="AL803" s="25" t="e">
        <f ca="1">IF(Data!#REF!="","",IF(ISNUMBER(Data!#REF!),IF(AND(Data!#REF!&gt;(TODAY()-(Data_Val!$L$3*365.25)),Data!#REF!&lt;=(TODAY()-(Data_Val!$L$2*365.25))),0,1),1))</f>
        <v>#REF!</v>
      </c>
      <c r="AM803" s="17" t="e">
        <f>IF(Data!#REF!="","",IF(Data!$G803="",1,IF(ISNUMBER(MATCH(Data!#REF!,Data_Val!$D$2:$D$10,0)),0,1)))</f>
        <v>#REF!</v>
      </c>
      <c r="AN803" s="13"/>
      <c r="AO803" s="28" t="e">
        <f ca="1">IF(Data!#REF!="","",IF(ISNUMBER(Data!#REF!),IF(AND(Data!#REF!&gt;(TODAY()-(Data_Val!$I$3*365.25)),Data!#REF!&lt;=(TODAY()-(Data_Val!$I$2*365.25))),0,1),1))</f>
        <v>#REF!</v>
      </c>
      <c r="AP803" s="13" t="e">
        <f>IF(Data!#REF!="","",IF(Data!$G803="",1,IF(ISNUMBER(MATCH(Data!#REF!,Data_Val!$D$2:$D$10,0)),0,1)))</f>
        <v>#REF!</v>
      </c>
      <c r="AQ803" s="17"/>
      <c r="AR803" s="30" t="e">
        <f ca="1">IF(Data!#REF!="","",IF(ISNUMBER(Data!#REF!),IF(AND(Data!#REF!&gt;(TODAY()-(Data_Val!$I$3*365.25)),Data!#REF!&lt;=(TODAY()-(Data_Val!$I$2*365.25))),0,1),1))</f>
        <v>#REF!</v>
      </c>
      <c r="AS803" s="31" t="e">
        <f>IF(Data!#REF!="","",IF(Data!$G803="",1,IF(ISNUMBER(MATCH(Data!#REF!,Data_Val!$D$2:$D$10,0)),0,1)))</f>
        <v>#REF!</v>
      </c>
      <c r="AT803" s="11"/>
      <c r="AU803" s="11" t="e">
        <f ca="1">IF(Data!#REF!="","",IF(ISNUMBER(Data!#REF!),IF(AND(Data!#REF!&gt;(TODAY()-(Data_Val!$I$3*365.25)),Data!#REF!&lt;=(TODAY()-(Data_Val!$I$2*365.25))),0,1),1))</f>
        <v>#REF!</v>
      </c>
      <c r="AV803" s="11" t="e">
        <f>IF(Data!#REF!="","",IF(Data!$G803="",1,IF(ISNUMBER(MATCH(Data!#REF!,Data_Val!$D$2:$D$10,0)),0,1)))</f>
        <v>#REF!</v>
      </c>
      <c r="AW803" s="12"/>
      <c r="AX803" s="26" t="e">
        <f ca="1">IF(Data!#REF!="","",IF(ISNUMBER(Data!#REF!),IF(AND(Data!#REF!&gt;(TODAY()-(Data_Val!$I$3*365.25)),Data!#REF!&lt;=(TODAY()-(Data_Val!$I$2*365.25))),0,1),1))</f>
        <v>#REF!</v>
      </c>
      <c r="AY803" s="12" t="e">
        <f>IF(Data!#REF!="","",IF(Data!$G803="",1,IF(ISNUMBER(MATCH(Data!#REF!,Data_Val!$D$2:$D$10,0)),0,1)))</f>
        <v>#REF!</v>
      </c>
      <c r="AZ803" s="11"/>
      <c r="BA803" s="19" t="e">
        <f ca="1">IF(Data!#REF!="","",IF(ISNUMBER(Data!#REF!),IF(AND(Data!#REF!&gt;(TODAY()-(Data_Val!$M$3*365.25)),Data!#REF!&lt;=(TODAY()-(Data_Val!$M$2*365.25))),0,1),1))</f>
        <v>#REF!</v>
      </c>
      <c r="BB803" s="11" t="e">
        <f>IF(Data!#REF!="","",IF(Data!$G803="",1,IF(ISNUMBER(MATCH(Data!#REF!,Data_Val!$D$2:$D$10,0)),0,1)))</f>
        <v>#REF!</v>
      </c>
      <c r="BC803" s="12"/>
      <c r="BD803" s="20" t="e">
        <f ca="1">IF(Data!#REF!="","",IF(ISNUMBER(Data!#REF!),IF(AND(Data!#REF!&gt;(TODAY()-(Data_Val!$M$3*365.25)),Data!#REF!&lt;=(TODAY()-(Data_Val!$M$2*365.25))),0,1),1))</f>
        <v>#REF!</v>
      </c>
      <c r="BE803" s="12" t="e">
        <f>IF(Data!#REF!="","",IF(Data!$G803="",1,IF(ISNUMBER(MATCH(Data!#REF!,Data_Val!$D$2:$D$10,0)),0,1)))</f>
        <v>#REF!</v>
      </c>
      <c r="BF803" s="17"/>
      <c r="BG803" s="18" t="e">
        <f ca="1">IF(Data!#REF!="","",IF(ISNUMBER(Data!#REF!),IF(AND(Data!#REF!&gt;(TODAY()-(Data_Val!$M$3*365.25)),Data!#REF!&lt;=(TODAY()-(Data_Val!$M$2*365.25))),0,1),1))</f>
        <v>#REF!</v>
      </c>
      <c r="BH803" s="29" t="e">
        <f>IF(Data!#REF!="","",IF(Data!$G803="",1,IF(ISNUMBER(MATCH(Data!#REF!,Data_Val!$D$2:$D$10,0)),0,1)))</f>
        <v>#REF!</v>
      </c>
      <c r="BI803" s="13"/>
      <c r="BJ803" s="21" t="e">
        <f ca="1">IF(Data!#REF!="","",IF(ISNUMBER(Data!#REF!),IF(AND(Data!#REF!&gt;(TODAY()-(Data_Val!$M$3*365.25)),Data!#REF!&lt;=(TODAY()-(Data_Val!$M$2*365.25))),0,1),1))</f>
        <v>#REF!</v>
      </c>
      <c r="BK803" s="13" t="e">
        <f>IF(Data!#REF!="","",IF(Data!$G803="",1,IF(ISNUMBER(MATCH(Data!#REF!,Data_Val!$D$2:$D$10,0)),0,1)))</f>
        <v>#REF!</v>
      </c>
    </row>
    <row r="804" spans="1:63" x14ac:dyDescent="0.25">
      <c r="A804" s="9" t="str">
        <f>IF(Data!B804="","",IF(COUNTIFS(Data!A$1:'Data'!A804,Data!A804)&lt;=1,0,1))</f>
        <v/>
      </c>
      <c r="B804" s="9"/>
      <c r="C804" s="23" t="str">
        <f>IF(Data!C804="","",(IF(ISNUMBER(MATCH("*@*.?*",Data!C804,0)),0,1)+IF(COUNTIFS(Data!C$1:'Data'!C804,Data!C804)&gt;1,1,0)))</f>
        <v/>
      </c>
      <c r="D804" s="9" t="str">
        <f>IF(Data!B804="","",IF(ISNUMBER(Data!D804),IF(AND(Data!D804&gt;999999999,Data!D804&lt;=9999999999),IF(COUNTIFS(Data!D$1:'Data'!D804,Data!D804)&lt;=1,0,1),1),1))</f>
        <v/>
      </c>
      <c r="E804" s="9" t="str">
        <f>IF(Data!B804="","",IF(ISNUMBER(MATCH(Data!E804,Data_Val!$A$2:$A$3,0)),0,1))</f>
        <v/>
      </c>
      <c r="F804" s="9" t="str">
        <f ca="1">IF(Data!B804="","",IF(ISNUMBER(Data!F804),IF(AND(Data!F804&gt;(TODAY()-(Data_Val!$H$3*365.25)),Data!F804&lt;=(TODAY()-(Data_Val!$H$2*365.25))),0,1),1))</f>
        <v/>
      </c>
      <c r="G804" s="15" t="str">
        <f>IF(Data!B804="","",IF(AND(Data!G804="",Data!H804&lt;&gt;""),1,IF(Data!#REF!&lt;&gt;"",0,IF(ISNUMBER(MATCH(Data!G804,Data_Val!$C$2:$C$5,0)),0,1))))</f>
        <v/>
      </c>
      <c r="H804" s="15" t="str">
        <f>IF(Data!B804="","",IF(AND(Data!G804&lt;&gt;"",Data!H804=""),1,IF(Data!#REF!&lt;&gt;"",0,IF(Data!G804="",1,IF(ISNUMBER(MATCH(Data!H804,Data_Val!$D$2:$D$35,0)),0,1)))))</f>
        <v/>
      </c>
      <c r="I804" s="15" t="str">
        <f>IF(Data!B804="","",IF(Data!G804&lt;&gt;"",0,IF(ISNUMBER(MATCH(Data!#REF!,Data_Val!$E$2:$E$12,0)),0,1)))</f>
        <v/>
      </c>
      <c r="J804" s="16" t="e">
        <f>IF(OR(Data!B804="",Data!#REF!=""),"",IF(Data!#REF!="",1,0))</f>
        <v>#REF!</v>
      </c>
      <c r="K804" s="16" t="e">
        <f>IF(OR(Data!B804="",Data!#REF!=""),"",IF(Data!#REF!="",1,0))</f>
        <v>#REF!</v>
      </c>
      <c r="L804" s="16" t="e">
        <f>IF(OR(Data!B804="",Data!#REF!=""),"",IF(ISNUMBER(Data!#REF!),IF(AND(Data!#REF!&gt;Data_Val!$G$2,Data!#REF!&lt;=Data_Val!$G$3),0,1),1))</f>
        <v>#REF!</v>
      </c>
      <c r="M804" s="9" t="e">
        <f>IF(OR(Data!B804="",Data!#REF!=""),"",IF(ISNUMBER(MATCH(Data!#REF!,Data_Val!$F$1:$F$38,0)),0,1))</f>
        <v>#REF!</v>
      </c>
      <c r="N804" s="9" t="e">
        <f>IF(OR(Data!B804="",Data!#REF!=""),"",IF(Data!#REF!="",1,0))</f>
        <v>#REF!</v>
      </c>
      <c r="O804" s="17" t="e">
        <f>IF(Data!#REF!="","",IF(Data!#REF!="",1,0))</f>
        <v>#REF!</v>
      </c>
      <c r="P804" s="17" t="e">
        <f>IF(Data!#REF!="","",IF(ISNUMBER(MATCH(Data!#REF!,Data_Val!$A$2:$A$3,0)),0,1))</f>
        <v>#REF!</v>
      </c>
      <c r="Q804" s="25" t="e">
        <f ca="1">IF(Data!#REF!="","",IF(ISNUMBER(Data!#REF!),IF(AND(Data!#REF!&gt;(TODAY()-(Data_Val!$J$3*365.25)),Data!#REF!&lt;=(TODAY()-(Data_Val!$J$2*365.25))),0,1),1))</f>
        <v>#REF!</v>
      </c>
      <c r="R804" s="17" t="e">
        <f>IF(Data!#REF!="","",IF(ISNUMBER(MATCH(Data!#REF!,Data_Val!$B$2:$B$15,0)),0,1))</f>
        <v>#REF!</v>
      </c>
      <c r="S804" s="11" t="str">
        <f>IF(Data!G804="","",IF(Data!G804=Data_Val!$C$2,IF(Data!M804="",0,1),0))</f>
        <v/>
      </c>
      <c r="T804" s="11" t="str">
        <f>IF(Data!M804="","",IF(ISNUMBER(MATCH(Data!N804,Data_Val!$A$2:$A$3,0)),0,1))</f>
        <v/>
      </c>
      <c r="U804" s="11" t="str">
        <f ca="1">IF(Data!M804="","",IF(ISNUMBER(Data!O804),IF(AND(Data!O804&gt;(TODAY()-(Data_Val!$K$3*365.25)),Data!O804&lt;=(TODAY()-(Data_Val!$K$2*365.25))),0,1),1))</f>
        <v/>
      </c>
      <c r="V804" s="12" t="str">
        <f>IF(Data!G804="","",IF(Data!G804=Data_Val!$C$2,IF(Data!P804="",0,1),0))</f>
        <v/>
      </c>
      <c r="W804" s="12" t="str">
        <f>IF(Data!P804="","",IF(ISNUMBER(MATCH(Data!Q804,Data_Val!$A$2:$A$3,0)),0,1))</f>
        <v/>
      </c>
      <c r="X804" s="26" t="str">
        <f ca="1">IF(Data!P804="","",IF(ISNUMBER(Data!R804),IF(AND(Data!R804&gt;(TODAY()-(Data_Val!$L$3*365.25)),Data!R804&lt;=(TODAY()-(Data_Val!$L$2*365.25))),0,1),1))</f>
        <v/>
      </c>
      <c r="Y804" s="13" t="str">
        <f>IF(Data!$G804="","",IF(Data!$G804=Data_Val!$C$2,IF(Data!S804="",0,1),0))</f>
        <v/>
      </c>
      <c r="Z804" s="13" t="str">
        <f>IF(Data!S804="","",IF(ISNUMBER(MATCH(Data!T804,Data_Val!$A$2:$A$3,0)),0,1))</f>
        <v/>
      </c>
      <c r="AA804" s="28" t="str">
        <f ca="1">IF(Data!S804="","",IF(ISNUMBER(Data!U804),IF(AND(Data!U804&gt;(TODAY()-(Data_Val!$L$3*365.25)),Data!U804&lt;=(TODAY()-(Data_Val!$L$2*365.25))),0,1),1))</f>
        <v/>
      </c>
      <c r="AB804" s="11"/>
      <c r="AC804" s="11" t="e">
        <f>IF(Data!#REF!="","",IF(ISNUMBER(MATCH(Data!#REF!,Data_Val!$A$2:$A$3,0)),0,1))</f>
        <v>#REF!</v>
      </c>
      <c r="AD804" s="11" t="e">
        <f ca="1">IF(Data!#REF!="","",IF(ISNUMBER(Data!#REF!),IF(AND(Data!#REF!&gt;(TODAY()-(Data_Val!$L$3*365.25)),Data!#REF!&lt;=(TODAY()-(Data_Val!$L$2*365.25))),0,1),1))</f>
        <v>#REF!</v>
      </c>
      <c r="AE804" s="11" t="e">
        <f>IF(Data!#REF!="","",IF(Data!$G804="",1,IF(ISNUMBER(MATCH(Data!#REF!,Data_Val!$D$2:$D$10,0)),0,1)))</f>
        <v>#REF!</v>
      </c>
      <c r="AF804" s="12"/>
      <c r="AG804" s="12" t="e">
        <f>IF(Data!#REF!="","",IF(ISNUMBER(MATCH(Data!#REF!,Data_Val!$A$2:$A$3,0)),0,1))</f>
        <v>#REF!</v>
      </c>
      <c r="AH804" s="26" t="e">
        <f ca="1">IF(Data!#REF!="","",IF(ISNUMBER(Data!#REF!),IF(AND(Data!#REF!&gt;(TODAY()-(Data_Val!$L$3*365.25)),Data!#REF!&lt;=(TODAY()-(Data_Val!$L$2*365.25))),0,1),1))</f>
        <v>#REF!</v>
      </c>
      <c r="AI804" s="12" t="e">
        <f>IF(Data!#REF!="","",IF(Data!$G804="",1,IF(ISNUMBER(MATCH(Data!#REF!,Data_Val!$D$2:$D$10,0)),0,1)))</f>
        <v>#REF!</v>
      </c>
      <c r="AJ804" s="17"/>
      <c r="AK804" s="17" t="e">
        <f>IF(Data!#REF!="","",IF(ISNUMBER(MATCH(Data!#REF!,Data_Val!$A$2:$A$3,0)),0,1))</f>
        <v>#REF!</v>
      </c>
      <c r="AL804" s="25" t="e">
        <f ca="1">IF(Data!#REF!="","",IF(ISNUMBER(Data!#REF!),IF(AND(Data!#REF!&gt;(TODAY()-(Data_Val!$L$3*365.25)),Data!#REF!&lt;=(TODAY()-(Data_Val!$L$2*365.25))),0,1),1))</f>
        <v>#REF!</v>
      </c>
      <c r="AM804" s="17" t="e">
        <f>IF(Data!#REF!="","",IF(Data!$G804="",1,IF(ISNUMBER(MATCH(Data!#REF!,Data_Val!$D$2:$D$10,0)),0,1)))</f>
        <v>#REF!</v>
      </c>
      <c r="AN804" s="13"/>
      <c r="AO804" s="28" t="e">
        <f ca="1">IF(Data!#REF!="","",IF(ISNUMBER(Data!#REF!),IF(AND(Data!#REF!&gt;(TODAY()-(Data_Val!$I$3*365.25)),Data!#REF!&lt;=(TODAY()-(Data_Val!$I$2*365.25))),0,1),1))</f>
        <v>#REF!</v>
      </c>
      <c r="AP804" s="13" t="e">
        <f>IF(Data!#REF!="","",IF(Data!$G804="",1,IF(ISNUMBER(MATCH(Data!#REF!,Data_Val!$D$2:$D$10,0)),0,1)))</f>
        <v>#REF!</v>
      </c>
      <c r="AQ804" s="17"/>
      <c r="AR804" s="30" t="e">
        <f ca="1">IF(Data!#REF!="","",IF(ISNUMBER(Data!#REF!),IF(AND(Data!#REF!&gt;(TODAY()-(Data_Val!$I$3*365.25)),Data!#REF!&lt;=(TODAY()-(Data_Val!$I$2*365.25))),0,1),1))</f>
        <v>#REF!</v>
      </c>
      <c r="AS804" s="31" t="e">
        <f>IF(Data!#REF!="","",IF(Data!$G804="",1,IF(ISNUMBER(MATCH(Data!#REF!,Data_Val!$D$2:$D$10,0)),0,1)))</f>
        <v>#REF!</v>
      </c>
      <c r="AT804" s="11"/>
      <c r="AU804" s="11" t="e">
        <f ca="1">IF(Data!#REF!="","",IF(ISNUMBER(Data!#REF!),IF(AND(Data!#REF!&gt;(TODAY()-(Data_Val!$I$3*365.25)),Data!#REF!&lt;=(TODAY()-(Data_Val!$I$2*365.25))),0,1),1))</f>
        <v>#REF!</v>
      </c>
      <c r="AV804" s="11" t="e">
        <f>IF(Data!#REF!="","",IF(Data!$G804="",1,IF(ISNUMBER(MATCH(Data!#REF!,Data_Val!$D$2:$D$10,0)),0,1)))</f>
        <v>#REF!</v>
      </c>
      <c r="AW804" s="12"/>
      <c r="AX804" s="26" t="e">
        <f ca="1">IF(Data!#REF!="","",IF(ISNUMBER(Data!#REF!),IF(AND(Data!#REF!&gt;(TODAY()-(Data_Val!$I$3*365.25)),Data!#REF!&lt;=(TODAY()-(Data_Val!$I$2*365.25))),0,1),1))</f>
        <v>#REF!</v>
      </c>
      <c r="AY804" s="12" t="e">
        <f>IF(Data!#REF!="","",IF(Data!$G804="",1,IF(ISNUMBER(MATCH(Data!#REF!,Data_Val!$D$2:$D$10,0)),0,1)))</f>
        <v>#REF!</v>
      </c>
      <c r="AZ804" s="11"/>
      <c r="BA804" s="19" t="e">
        <f ca="1">IF(Data!#REF!="","",IF(ISNUMBER(Data!#REF!),IF(AND(Data!#REF!&gt;(TODAY()-(Data_Val!$M$3*365.25)),Data!#REF!&lt;=(TODAY()-(Data_Val!$M$2*365.25))),0,1),1))</f>
        <v>#REF!</v>
      </c>
      <c r="BB804" s="11" t="e">
        <f>IF(Data!#REF!="","",IF(Data!$G804="",1,IF(ISNUMBER(MATCH(Data!#REF!,Data_Val!$D$2:$D$10,0)),0,1)))</f>
        <v>#REF!</v>
      </c>
      <c r="BC804" s="12"/>
      <c r="BD804" s="20" t="e">
        <f ca="1">IF(Data!#REF!="","",IF(ISNUMBER(Data!#REF!),IF(AND(Data!#REF!&gt;(TODAY()-(Data_Val!$M$3*365.25)),Data!#REF!&lt;=(TODAY()-(Data_Val!$M$2*365.25))),0,1),1))</f>
        <v>#REF!</v>
      </c>
      <c r="BE804" s="12" t="e">
        <f>IF(Data!#REF!="","",IF(Data!$G804="",1,IF(ISNUMBER(MATCH(Data!#REF!,Data_Val!$D$2:$D$10,0)),0,1)))</f>
        <v>#REF!</v>
      </c>
      <c r="BF804" s="17"/>
      <c r="BG804" s="18" t="e">
        <f ca="1">IF(Data!#REF!="","",IF(ISNUMBER(Data!#REF!),IF(AND(Data!#REF!&gt;(TODAY()-(Data_Val!$M$3*365.25)),Data!#REF!&lt;=(TODAY()-(Data_Val!$M$2*365.25))),0,1),1))</f>
        <v>#REF!</v>
      </c>
      <c r="BH804" s="29" t="e">
        <f>IF(Data!#REF!="","",IF(Data!$G804="",1,IF(ISNUMBER(MATCH(Data!#REF!,Data_Val!$D$2:$D$10,0)),0,1)))</f>
        <v>#REF!</v>
      </c>
      <c r="BI804" s="13"/>
      <c r="BJ804" s="21" t="e">
        <f ca="1">IF(Data!#REF!="","",IF(ISNUMBER(Data!#REF!),IF(AND(Data!#REF!&gt;(TODAY()-(Data_Val!$M$3*365.25)),Data!#REF!&lt;=(TODAY()-(Data_Val!$M$2*365.25))),0,1),1))</f>
        <v>#REF!</v>
      </c>
      <c r="BK804" s="13" t="e">
        <f>IF(Data!#REF!="","",IF(Data!$G804="",1,IF(ISNUMBER(MATCH(Data!#REF!,Data_Val!$D$2:$D$10,0)),0,1)))</f>
        <v>#REF!</v>
      </c>
    </row>
    <row r="805" spans="1:63" x14ac:dyDescent="0.25">
      <c r="A805" s="9" t="str">
        <f>IF(Data!B805="","",IF(COUNTIFS(Data!A$1:'Data'!A805,Data!A805)&lt;=1,0,1))</f>
        <v/>
      </c>
      <c r="B805" s="9"/>
      <c r="C805" s="23" t="str">
        <f>IF(Data!C805="","",(IF(ISNUMBER(MATCH("*@*.?*",Data!C805,0)),0,1)+IF(COUNTIFS(Data!C$1:'Data'!C805,Data!C805)&gt;1,1,0)))</f>
        <v/>
      </c>
      <c r="D805" s="9" t="str">
        <f>IF(Data!B805="","",IF(ISNUMBER(Data!D805),IF(AND(Data!D805&gt;999999999,Data!D805&lt;=9999999999),IF(COUNTIFS(Data!D$1:'Data'!D805,Data!D805)&lt;=1,0,1),1),1))</f>
        <v/>
      </c>
      <c r="E805" s="9" t="str">
        <f>IF(Data!B805="","",IF(ISNUMBER(MATCH(Data!E805,Data_Val!$A$2:$A$3,0)),0,1))</f>
        <v/>
      </c>
      <c r="F805" s="9" t="str">
        <f ca="1">IF(Data!B805="","",IF(ISNUMBER(Data!F805),IF(AND(Data!F805&gt;(TODAY()-(Data_Val!$H$3*365.25)),Data!F805&lt;=(TODAY()-(Data_Val!$H$2*365.25))),0,1),1))</f>
        <v/>
      </c>
      <c r="G805" s="15" t="str">
        <f>IF(Data!B805="","",IF(AND(Data!G805="",Data!H805&lt;&gt;""),1,IF(Data!#REF!&lt;&gt;"",0,IF(ISNUMBER(MATCH(Data!G805,Data_Val!$C$2:$C$5,0)),0,1))))</f>
        <v/>
      </c>
      <c r="H805" s="15" t="str">
        <f>IF(Data!B805="","",IF(AND(Data!G805&lt;&gt;"",Data!H805=""),1,IF(Data!#REF!&lt;&gt;"",0,IF(Data!G805="",1,IF(ISNUMBER(MATCH(Data!H805,Data_Val!$D$2:$D$35,0)),0,1)))))</f>
        <v/>
      </c>
      <c r="I805" s="15" t="str">
        <f>IF(Data!B805="","",IF(Data!G805&lt;&gt;"",0,IF(ISNUMBER(MATCH(Data!#REF!,Data_Val!$E$2:$E$12,0)),0,1)))</f>
        <v/>
      </c>
      <c r="J805" s="16" t="e">
        <f>IF(OR(Data!B805="",Data!#REF!=""),"",IF(Data!#REF!="",1,0))</f>
        <v>#REF!</v>
      </c>
      <c r="K805" s="16" t="e">
        <f>IF(OR(Data!B805="",Data!#REF!=""),"",IF(Data!#REF!="",1,0))</f>
        <v>#REF!</v>
      </c>
      <c r="L805" s="16" t="e">
        <f>IF(OR(Data!B805="",Data!#REF!=""),"",IF(ISNUMBER(Data!#REF!),IF(AND(Data!#REF!&gt;Data_Val!$G$2,Data!#REF!&lt;=Data_Val!$G$3),0,1),1))</f>
        <v>#REF!</v>
      </c>
      <c r="M805" s="9" t="e">
        <f>IF(OR(Data!B805="",Data!#REF!=""),"",IF(ISNUMBER(MATCH(Data!#REF!,Data_Val!$F$1:$F$38,0)),0,1))</f>
        <v>#REF!</v>
      </c>
      <c r="N805" s="9" t="e">
        <f>IF(OR(Data!B805="",Data!#REF!=""),"",IF(Data!#REF!="",1,0))</f>
        <v>#REF!</v>
      </c>
      <c r="O805" s="17" t="e">
        <f>IF(Data!#REF!="","",IF(Data!#REF!="",1,0))</f>
        <v>#REF!</v>
      </c>
      <c r="P805" s="17" t="e">
        <f>IF(Data!#REF!="","",IF(ISNUMBER(MATCH(Data!#REF!,Data_Val!$A$2:$A$3,0)),0,1))</f>
        <v>#REF!</v>
      </c>
      <c r="Q805" s="25" t="e">
        <f ca="1">IF(Data!#REF!="","",IF(ISNUMBER(Data!#REF!),IF(AND(Data!#REF!&gt;(TODAY()-(Data_Val!$J$3*365.25)),Data!#REF!&lt;=(TODAY()-(Data_Val!$J$2*365.25))),0,1),1))</f>
        <v>#REF!</v>
      </c>
      <c r="R805" s="17" t="e">
        <f>IF(Data!#REF!="","",IF(ISNUMBER(MATCH(Data!#REF!,Data_Val!$B$2:$B$15,0)),0,1))</f>
        <v>#REF!</v>
      </c>
      <c r="S805" s="11" t="str">
        <f>IF(Data!G805="","",IF(Data!G805=Data_Val!$C$2,IF(Data!M805="",0,1),0))</f>
        <v/>
      </c>
      <c r="T805" s="11" t="str">
        <f>IF(Data!M805="","",IF(ISNUMBER(MATCH(Data!N805,Data_Val!$A$2:$A$3,0)),0,1))</f>
        <v/>
      </c>
      <c r="U805" s="11" t="str">
        <f ca="1">IF(Data!M805="","",IF(ISNUMBER(Data!O805),IF(AND(Data!O805&gt;(TODAY()-(Data_Val!$K$3*365.25)),Data!O805&lt;=(TODAY()-(Data_Val!$K$2*365.25))),0,1),1))</f>
        <v/>
      </c>
      <c r="V805" s="12" t="str">
        <f>IF(Data!G805="","",IF(Data!G805=Data_Val!$C$2,IF(Data!P805="",0,1),0))</f>
        <v/>
      </c>
      <c r="W805" s="12" t="str">
        <f>IF(Data!P805="","",IF(ISNUMBER(MATCH(Data!Q805,Data_Val!$A$2:$A$3,0)),0,1))</f>
        <v/>
      </c>
      <c r="X805" s="26" t="str">
        <f ca="1">IF(Data!P805="","",IF(ISNUMBER(Data!R805),IF(AND(Data!R805&gt;(TODAY()-(Data_Val!$L$3*365.25)),Data!R805&lt;=(TODAY()-(Data_Val!$L$2*365.25))),0,1),1))</f>
        <v/>
      </c>
      <c r="Y805" s="13" t="str">
        <f>IF(Data!$G805="","",IF(Data!$G805=Data_Val!$C$2,IF(Data!S805="",0,1),0))</f>
        <v/>
      </c>
      <c r="Z805" s="13" t="str">
        <f>IF(Data!S805="","",IF(ISNUMBER(MATCH(Data!T805,Data_Val!$A$2:$A$3,0)),0,1))</f>
        <v/>
      </c>
      <c r="AA805" s="28" t="str">
        <f ca="1">IF(Data!S805="","",IF(ISNUMBER(Data!U805),IF(AND(Data!U805&gt;(TODAY()-(Data_Val!$L$3*365.25)),Data!U805&lt;=(TODAY()-(Data_Val!$L$2*365.25))),0,1),1))</f>
        <v/>
      </c>
      <c r="AB805" s="11"/>
      <c r="AC805" s="11" t="e">
        <f>IF(Data!#REF!="","",IF(ISNUMBER(MATCH(Data!#REF!,Data_Val!$A$2:$A$3,0)),0,1))</f>
        <v>#REF!</v>
      </c>
      <c r="AD805" s="11" t="e">
        <f ca="1">IF(Data!#REF!="","",IF(ISNUMBER(Data!#REF!),IF(AND(Data!#REF!&gt;(TODAY()-(Data_Val!$L$3*365.25)),Data!#REF!&lt;=(TODAY()-(Data_Val!$L$2*365.25))),0,1),1))</f>
        <v>#REF!</v>
      </c>
      <c r="AE805" s="11" t="e">
        <f>IF(Data!#REF!="","",IF(Data!$G805="",1,IF(ISNUMBER(MATCH(Data!#REF!,Data_Val!$D$2:$D$10,0)),0,1)))</f>
        <v>#REF!</v>
      </c>
      <c r="AF805" s="12"/>
      <c r="AG805" s="12" t="e">
        <f>IF(Data!#REF!="","",IF(ISNUMBER(MATCH(Data!#REF!,Data_Val!$A$2:$A$3,0)),0,1))</f>
        <v>#REF!</v>
      </c>
      <c r="AH805" s="26" t="e">
        <f ca="1">IF(Data!#REF!="","",IF(ISNUMBER(Data!#REF!),IF(AND(Data!#REF!&gt;(TODAY()-(Data_Val!$L$3*365.25)),Data!#REF!&lt;=(TODAY()-(Data_Val!$L$2*365.25))),0,1),1))</f>
        <v>#REF!</v>
      </c>
      <c r="AI805" s="12" t="e">
        <f>IF(Data!#REF!="","",IF(Data!$G805="",1,IF(ISNUMBER(MATCH(Data!#REF!,Data_Val!$D$2:$D$10,0)),0,1)))</f>
        <v>#REF!</v>
      </c>
      <c r="AJ805" s="17"/>
      <c r="AK805" s="17" t="e">
        <f>IF(Data!#REF!="","",IF(ISNUMBER(MATCH(Data!#REF!,Data_Val!$A$2:$A$3,0)),0,1))</f>
        <v>#REF!</v>
      </c>
      <c r="AL805" s="25" t="e">
        <f ca="1">IF(Data!#REF!="","",IF(ISNUMBER(Data!#REF!),IF(AND(Data!#REF!&gt;(TODAY()-(Data_Val!$L$3*365.25)),Data!#REF!&lt;=(TODAY()-(Data_Val!$L$2*365.25))),0,1),1))</f>
        <v>#REF!</v>
      </c>
      <c r="AM805" s="17" t="e">
        <f>IF(Data!#REF!="","",IF(Data!$G805="",1,IF(ISNUMBER(MATCH(Data!#REF!,Data_Val!$D$2:$D$10,0)),0,1)))</f>
        <v>#REF!</v>
      </c>
      <c r="AN805" s="13"/>
      <c r="AO805" s="28" t="e">
        <f ca="1">IF(Data!#REF!="","",IF(ISNUMBER(Data!#REF!),IF(AND(Data!#REF!&gt;(TODAY()-(Data_Val!$I$3*365.25)),Data!#REF!&lt;=(TODAY()-(Data_Val!$I$2*365.25))),0,1),1))</f>
        <v>#REF!</v>
      </c>
      <c r="AP805" s="13" t="e">
        <f>IF(Data!#REF!="","",IF(Data!$G805="",1,IF(ISNUMBER(MATCH(Data!#REF!,Data_Val!$D$2:$D$10,0)),0,1)))</f>
        <v>#REF!</v>
      </c>
      <c r="AQ805" s="17"/>
      <c r="AR805" s="30" t="e">
        <f ca="1">IF(Data!#REF!="","",IF(ISNUMBER(Data!#REF!),IF(AND(Data!#REF!&gt;(TODAY()-(Data_Val!$I$3*365.25)),Data!#REF!&lt;=(TODAY()-(Data_Val!$I$2*365.25))),0,1),1))</f>
        <v>#REF!</v>
      </c>
      <c r="AS805" s="31" t="e">
        <f>IF(Data!#REF!="","",IF(Data!$G805="",1,IF(ISNUMBER(MATCH(Data!#REF!,Data_Val!$D$2:$D$10,0)),0,1)))</f>
        <v>#REF!</v>
      </c>
      <c r="AT805" s="11"/>
      <c r="AU805" s="11" t="e">
        <f ca="1">IF(Data!#REF!="","",IF(ISNUMBER(Data!#REF!),IF(AND(Data!#REF!&gt;(TODAY()-(Data_Val!$I$3*365.25)),Data!#REF!&lt;=(TODAY()-(Data_Val!$I$2*365.25))),0,1),1))</f>
        <v>#REF!</v>
      </c>
      <c r="AV805" s="11" t="e">
        <f>IF(Data!#REF!="","",IF(Data!$G805="",1,IF(ISNUMBER(MATCH(Data!#REF!,Data_Val!$D$2:$D$10,0)),0,1)))</f>
        <v>#REF!</v>
      </c>
      <c r="AW805" s="12"/>
      <c r="AX805" s="26" t="e">
        <f ca="1">IF(Data!#REF!="","",IF(ISNUMBER(Data!#REF!),IF(AND(Data!#REF!&gt;(TODAY()-(Data_Val!$I$3*365.25)),Data!#REF!&lt;=(TODAY()-(Data_Val!$I$2*365.25))),0,1),1))</f>
        <v>#REF!</v>
      </c>
      <c r="AY805" s="12" t="e">
        <f>IF(Data!#REF!="","",IF(Data!$G805="",1,IF(ISNUMBER(MATCH(Data!#REF!,Data_Val!$D$2:$D$10,0)),0,1)))</f>
        <v>#REF!</v>
      </c>
      <c r="AZ805" s="11"/>
      <c r="BA805" s="19" t="e">
        <f ca="1">IF(Data!#REF!="","",IF(ISNUMBER(Data!#REF!),IF(AND(Data!#REF!&gt;(TODAY()-(Data_Val!$M$3*365.25)),Data!#REF!&lt;=(TODAY()-(Data_Val!$M$2*365.25))),0,1),1))</f>
        <v>#REF!</v>
      </c>
      <c r="BB805" s="11" t="e">
        <f>IF(Data!#REF!="","",IF(Data!$G805="",1,IF(ISNUMBER(MATCH(Data!#REF!,Data_Val!$D$2:$D$10,0)),0,1)))</f>
        <v>#REF!</v>
      </c>
      <c r="BC805" s="12"/>
      <c r="BD805" s="20" t="e">
        <f ca="1">IF(Data!#REF!="","",IF(ISNUMBER(Data!#REF!),IF(AND(Data!#REF!&gt;(TODAY()-(Data_Val!$M$3*365.25)),Data!#REF!&lt;=(TODAY()-(Data_Val!$M$2*365.25))),0,1),1))</f>
        <v>#REF!</v>
      </c>
      <c r="BE805" s="12" t="e">
        <f>IF(Data!#REF!="","",IF(Data!$G805="",1,IF(ISNUMBER(MATCH(Data!#REF!,Data_Val!$D$2:$D$10,0)),0,1)))</f>
        <v>#REF!</v>
      </c>
      <c r="BF805" s="17"/>
      <c r="BG805" s="18" t="e">
        <f ca="1">IF(Data!#REF!="","",IF(ISNUMBER(Data!#REF!),IF(AND(Data!#REF!&gt;(TODAY()-(Data_Val!$M$3*365.25)),Data!#REF!&lt;=(TODAY()-(Data_Val!$M$2*365.25))),0,1),1))</f>
        <v>#REF!</v>
      </c>
      <c r="BH805" s="29" t="e">
        <f>IF(Data!#REF!="","",IF(Data!$G805="",1,IF(ISNUMBER(MATCH(Data!#REF!,Data_Val!$D$2:$D$10,0)),0,1)))</f>
        <v>#REF!</v>
      </c>
      <c r="BI805" s="13"/>
      <c r="BJ805" s="21" t="e">
        <f ca="1">IF(Data!#REF!="","",IF(ISNUMBER(Data!#REF!),IF(AND(Data!#REF!&gt;(TODAY()-(Data_Val!$M$3*365.25)),Data!#REF!&lt;=(TODAY()-(Data_Val!$M$2*365.25))),0,1),1))</f>
        <v>#REF!</v>
      </c>
      <c r="BK805" s="13" t="e">
        <f>IF(Data!#REF!="","",IF(Data!$G805="",1,IF(ISNUMBER(MATCH(Data!#REF!,Data_Val!$D$2:$D$10,0)),0,1)))</f>
        <v>#REF!</v>
      </c>
    </row>
    <row r="806" spans="1:63" x14ac:dyDescent="0.25">
      <c r="A806" s="9" t="str">
        <f>IF(Data!B806="","",IF(COUNTIFS(Data!A$1:'Data'!A806,Data!A806)&lt;=1,0,1))</f>
        <v/>
      </c>
      <c r="B806" s="9"/>
      <c r="C806" s="23" t="str">
        <f>IF(Data!C806="","",(IF(ISNUMBER(MATCH("*@*.?*",Data!C806,0)),0,1)+IF(COUNTIFS(Data!C$1:'Data'!C806,Data!C806)&gt;1,1,0)))</f>
        <v/>
      </c>
      <c r="D806" s="9" t="str">
        <f>IF(Data!B806="","",IF(ISNUMBER(Data!D806),IF(AND(Data!D806&gt;999999999,Data!D806&lt;=9999999999),IF(COUNTIFS(Data!D$1:'Data'!D806,Data!D806)&lt;=1,0,1),1),1))</f>
        <v/>
      </c>
      <c r="E806" s="9" t="str">
        <f>IF(Data!B806="","",IF(ISNUMBER(MATCH(Data!E806,Data_Val!$A$2:$A$3,0)),0,1))</f>
        <v/>
      </c>
      <c r="F806" s="9" t="str">
        <f ca="1">IF(Data!B806="","",IF(ISNUMBER(Data!F806),IF(AND(Data!F806&gt;(TODAY()-(Data_Val!$H$3*365.25)),Data!F806&lt;=(TODAY()-(Data_Val!$H$2*365.25))),0,1),1))</f>
        <v/>
      </c>
      <c r="G806" s="15" t="str">
        <f>IF(Data!B806="","",IF(AND(Data!G806="",Data!H806&lt;&gt;""),1,IF(Data!#REF!&lt;&gt;"",0,IF(ISNUMBER(MATCH(Data!G806,Data_Val!$C$2:$C$5,0)),0,1))))</f>
        <v/>
      </c>
      <c r="H806" s="15" t="str">
        <f>IF(Data!B806="","",IF(AND(Data!G806&lt;&gt;"",Data!H806=""),1,IF(Data!#REF!&lt;&gt;"",0,IF(Data!G806="",1,IF(ISNUMBER(MATCH(Data!H806,Data_Val!$D$2:$D$35,0)),0,1)))))</f>
        <v/>
      </c>
      <c r="I806" s="15" t="str">
        <f>IF(Data!B806="","",IF(Data!G806&lt;&gt;"",0,IF(ISNUMBER(MATCH(Data!#REF!,Data_Val!$E$2:$E$12,0)),0,1)))</f>
        <v/>
      </c>
      <c r="J806" s="16" t="e">
        <f>IF(OR(Data!B806="",Data!#REF!=""),"",IF(Data!#REF!="",1,0))</f>
        <v>#REF!</v>
      </c>
      <c r="K806" s="16" t="e">
        <f>IF(OR(Data!B806="",Data!#REF!=""),"",IF(Data!#REF!="",1,0))</f>
        <v>#REF!</v>
      </c>
      <c r="L806" s="16" t="e">
        <f>IF(OR(Data!B806="",Data!#REF!=""),"",IF(ISNUMBER(Data!#REF!),IF(AND(Data!#REF!&gt;Data_Val!$G$2,Data!#REF!&lt;=Data_Val!$G$3),0,1),1))</f>
        <v>#REF!</v>
      </c>
      <c r="M806" s="9" t="e">
        <f>IF(OR(Data!B806="",Data!#REF!=""),"",IF(ISNUMBER(MATCH(Data!#REF!,Data_Val!$F$1:$F$38,0)),0,1))</f>
        <v>#REF!</v>
      </c>
      <c r="N806" s="9" t="e">
        <f>IF(OR(Data!B806="",Data!#REF!=""),"",IF(Data!#REF!="",1,0))</f>
        <v>#REF!</v>
      </c>
      <c r="O806" s="17" t="e">
        <f>IF(Data!#REF!="","",IF(Data!#REF!="",1,0))</f>
        <v>#REF!</v>
      </c>
      <c r="P806" s="17" t="e">
        <f>IF(Data!#REF!="","",IF(ISNUMBER(MATCH(Data!#REF!,Data_Val!$A$2:$A$3,0)),0,1))</f>
        <v>#REF!</v>
      </c>
      <c r="Q806" s="25" t="e">
        <f ca="1">IF(Data!#REF!="","",IF(ISNUMBER(Data!#REF!),IF(AND(Data!#REF!&gt;(TODAY()-(Data_Val!$J$3*365.25)),Data!#REF!&lt;=(TODAY()-(Data_Val!$J$2*365.25))),0,1),1))</f>
        <v>#REF!</v>
      </c>
      <c r="R806" s="17" t="e">
        <f>IF(Data!#REF!="","",IF(ISNUMBER(MATCH(Data!#REF!,Data_Val!$B$2:$B$15,0)),0,1))</f>
        <v>#REF!</v>
      </c>
      <c r="S806" s="11" t="str">
        <f>IF(Data!G806="","",IF(Data!G806=Data_Val!$C$2,IF(Data!M806="",0,1),0))</f>
        <v/>
      </c>
      <c r="T806" s="11" t="str">
        <f>IF(Data!M806="","",IF(ISNUMBER(MATCH(Data!N806,Data_Val!$A$2:$A$3,0)),0,1))</f>
        <v/>
      </c>
      <c r="U806" s="11" t="str">
        <f ca="1">IF(Data!M806="","",IF(ISNUMBER(Data!O806),IF(AND(Data!O806&gt;(TODAY()-(Data_Val!$K$3*365.25)),Data!O806&lt;=(TODAY()-(Data_Val!$K$2*365.25))),0,1),1))</f>
        <v/>
      </c>
      <c r="V806" s="12" t="str">
        <f>IF(Data!G806="","",IF(Data!G806=Data_Val!$C$2,IF(Data!P806="",0,1),0))</f>
        <v/>
      </c>
      <c r="W806" s="12" t="str">
        <f>IF(Data!P806="","",IF(ISNUMBER(MATCH(Data!Q806,Data_Val!$A$2:$A$3,0)),0,1))</f>
        <v/>
      </c>
      <c r="X806" s="26" t="str">
        <f ca="1">IF(Data!P806="","",IF(ISNUMBER(Data!R806),IF(AND(Data!R806&gt;(TODAY()-(Data_Val!$L$3*365.25)),Data!R806&lt;=(TODAY()-(Data_Val!$L$2*365.25))),0,1),1))</f>
        <v/>
      </c>
      <c r="Y806" s="13" t="str">
        <f>IF(Data!$G806="","",IF(Data!$G806=Data_Val!$C$2,IF(Data!S806="",0,1),0))</f>
        <v/>
      </c>
      <c r="Z806" s="13" t="str">
        <f>IF(Data!S806="","",IF(ISNUMBER(MATCH(Data!T806,Data_Val!$A$2:$A$3,0)),0,1))</f>
        <v/>
      </c>
      <c r="AA806" s="28" t="str">
        <f ca="1">IF(Data!S806="","",IF(ISNUMBER(Data!U806),IF(AND(Data!U806&gt;(TODAY()-(Data_Val!$L$3*365.25)),Data!U806&lt;=(TODAY()-(Data_Val!$L$2*365.25))),0,1),1))</f>
        <v/>
      </c>
      <c r="AB806" s="11"/>
      <c r="AC806" s="11" t="e">
        <f>IF(Data!#REF!="","",IF(ISNUMBER(MATCH(Data!#REF!,Data_Val!$A$2:$A$3,0)),0,1))</f>
        <v>#REF!</v>
      </c>
      <c r="AD806" s="11" t="e">
        <f ca="1">IF(Data!#REF!="","",IF(ISNUMBER(Data!#REF!),IF(AND(Data!#REF!&gt;(TODAY()-(Data_Val!$L$3*365.25)),Data!#REF!&lt;=(TODAY()-(Data_Val!$L$2*365.25))),0,1),1))</f>
        <v>#REF!</v>
      </c>
      <c r="AE806" s="11" t="e">
        <f>IF(Data!#REF!="","",IF(Data!$G806="",1,IF(ISNUMBER(MATCH(Data!#REF!,Data_Val!$D$2:$D$10,0)),0,1)))</f>
        <v>#REF!</v>
      </c>
      <c r="AF806" s="12"/>
      <c r="AG806" s="12" t="e">
        <f>IF(Data!#REF!="","",IF(ISNUMBER(MATCH(Data!#REF!,Data_Val!$A$2:$A$3,0)),0,1))</f>
        <v>#REF!</v>
      </c>
      <c r="AH806" s="26" t="e">
        <f ca="1">IF(Data!#REF!="","",IF(ISNUMBER(Data!#REF!),IF(AND(Data!#REF!&gt;(TODAY()-(Data_Val!$L$3*365.25)),Data!#REF!&lt;=(TODAY()-(Data_Val!$L$2*365.25))),0,1),1))</f>
        <v>#REF!</v>
      </c>
      <c r="AI806" s="12" t="e">
        <f>IF(Data!#REF!="","",IF(Data!$G806="",1,IF(ISNUMBER(MATCH(Data!#REF!,Data_Val!$D$2:$D$10,0)),0,1)))</f>
        <v>#REF!</v>
      </c>
      <c r="AJ806" s="17"/>
      <c r="AK806" s="17" t="e">
        <f>IF(Data!#REF!="","",IF(ISNUMBER(MATCH(Data!#REF!,Data_Val!$A$2:$A$3,0)),0,1))</f>
        <v>#REF!</v>
      </c>
      <c r="AL806" s="25" t="e">
        <f ca="1">IF(Data!#REF!="","",IF(ISNUMBER(Data!#REF!),IF(AND(Data!#REF!&gt;(TODAY()-(Data_Val!$L$3*365.25)),Data!#REF!&lt;=(TODAY()-(Data_Val!$L$2*365.25))),0,1),1))</f>
        <v>#REF!</v>
      </c>
      <c r="AM806" s="17" t="e">
        <f>IF(Data!#REF!="","",IF(Data!$G806="",1,IF(ISNUMBER(MATCH(Data!#REF!,Data_Val!$D$2:$D$10,0)),0,1)))</f>
        <v>#REF!</v>
      </c>
      <c r="AN806" s="13"/>
      <c r="AO806" s="28" t="e">
        <f ca="1">IF(Data!#REF!="","",IF(ISNUMBER(Data!#REF!),IF(AND(Data!#REF!&gt;(TODAY()-(Data_Val!$I$3*365.25)),Data!#REF!&lt;=(TODAY()-(Data_Val!$I$2*365.25))),0,1),1))</f>
        <v>#REF!</v>
      </c>
      <c r="AP806" s="13" t="e">
        <f>IF(Data!#REF!="","",IF(Data!$G806="",1,IF(ISNUMBER(MATCH(Data!#REF!,Data_Val!$D$2:$D$10,0)),0,1)))</f>
        <v>#REF!</v>
      </c>
      <c r="AQ806" s="17"/>
      <c r="AR806" s="30" t="e">
        <f ca="1">IF(Data!#REF!="","",IF(ISNUMBER(Data!#REF!),IF(AND(Data!#REF!&gt;(TODAY()-(Data_Val!$I$3*365.25)),Data!#REF!&lt;=(TODAY()-(Data_Val!$I$2*365.25))),0,1),1))</f>
        <v>#REF!</v>
      </c>
      <c r="AS806" s="31" t="e">
        <f>IF(Data!#REF!="","",IF(Data!$G806="",1,IF(ISNUMBER(MATCH(Data!#REF!,Data_Val!$D$2:$D$10,0)),0,1)))</f>
        <v>#REF!</v>
      </c>
      <c r="AT806" s="11"/>
      <c r="AU806" s="11" t="e">
        <f ca="1">IF(Data!#REF!="","",IF(ISNUMBER(Data!#REF!),IF(AND(Data!#REF!&gt;(TODAY()-(Data_Val!$I$3*365.25)),Data!#REF!&lt;=(TODAY()-(Data_Val!$I$2*365.25))),0,1),1))</f>
        <v>#REF!</v>
      </c>
      <c r="AV806" s="11" t="e">
        <f>IF(Data!#REF!="","",IF(Data!$G806="",1,IF(ISNUMBER(MATCH(Data!#REF!,Data_Val!$D$2:$D$10,0)),0,1)))</f>
        <v>#REF!</v>
      </c>
      <c r="AW806" s="12"/>
      <c r="AX806" s="26" t="e">
        <f ca="1">IF(Data!#REF!="","",IF(ISNUMBER(Data!#REF!),IF(AND(Data!#REF!&gt;(TODAY()-(Data_Val!$I$3*365.25)),Data!#REF!&lt;=(TODAY()-(Data_Val!$I$2*365.25))),0,1),1))</f>
        <v>#REF!</v>
      </c>
      <c r="AY806" s="12" t="e">
        <f>IF(Data!#REF!="","",IF(Data!$G806="",1,IF(ISNUMBER(MATCH(Data!#REF!,Data_Val!$D$2:$D$10,0)),0,1)))</f>
        <v>#REF!</v>
      </c>
      <c r="AZ806" s="11"/>
      <c r="BA806" s="19" t="e">
        <f ca="1">IF(Data!#REF!="","",IF(ISNUMBER(Data!#REF!),IF(AND(Data!#REF!&gt;(TODAY()-(Data_Val!$M$3*365.25)),Data!#REF!&lt;=(TODAY()-(Data_Val!$M$2*365.25))),0,1),1))</f>
        <v>#REF!</v>
      </c>
      <c r="BB806" s="11" t="e">
        <f>IF(Data!#REF!="","",IF(Data!$G806="",1,IF(ISNUMBER(MATCH(Data!#REF!,Data_Val!$D$2:$D$10,0)),0,1)))</f>
        <v>#REF!</v>
      </c>
      <c r="BC806" s="12"/>
      <c r="BD806" s="20" t="e">
        <f ca="1">IF(Data!#REF!="","",IF(ISNUMBER(Data!#REF!),IF(AND(Data!#REF!&gt;(TODAY()-(Data_Val!$M$3*365.25)),Data!#REF!&lt;=(TODAY()-(Data_Val!$M$2*365.25))),0,1),1))</f>
        <v>#REF!</v>
      </c>
      <c r="BE806" s="12" t="e">
        <f>IF(Data!#REF!="","",IF(Data!$G806="",1,IF(ISNUMBER(MATCH(Data!#REF!,Data_Val!$D$2:$D$10,0)),0,1)))</f>
        <v>#REF!</v>
      </c>
      <c r="BF806" s="17"/>
      <c r="BG806" s="18" t="e">
        <f ca="1">IF(Data!#REF!="","",IF(ISNUMBER(Data!#REF!),IF(AND(Data!#REF!&gt;(TODAY()-(Data_Val!$M$3*365.25)),Data!#REF!&lt;=(TODAY()-(Data_Val!$M$2*365.25))),0,1),1))</f>
        <v>#REF!</v>
      </c>
      <c r="BH806" s="29" t="e">
        <f>IF(Data!#REF!="","",IF(Data!$G806="",1,IF(ISNUMBER(MATCH(Data!#REF!,Data_Val!$D$2:$D$10,0)),0,1)))</f>
        <v>#REF!</v>
      </c>
      <c r="BI806" s="13"/>
      <c r="BJ806" s="21" t="e">
        <f ca="1">IF(Data!#REF!="","",IF(ISNUMBER(Data!#REF!),IF(AND(Data!#REF!&gt;(TODAY()-(Data_Val!$M$3*365.25)),Data!#REF!&lt;=(TODAY()-(Data_Val!$M$2*365.25))),0,1),1))</f>
        <v>#REF!</v>
      </c>
      <c r="BK806" s="13" t="e">
        <f>IF(Data!#REF!="","",IF(Data!$G806="",1,IF(ISNUMBER(MATCH(Data!#REF!,Data_Val!$D$2:$D$10,0)),0,1)))</f>
        <v>#REF!</v>
      </c>
    </row>
    <row r="807" spans="1:63" x14ac:dyDescent="0.25">
      <c r="A807" s="9" t="str">
        <f>IF(Data!B807="","",IF(COUNTIFS(Data!A$1:'Data'!A807,Data!A807)&lt;=1,0,1))</f>
        <v/>
      </c>
      <c r="B807" s="9"/>
      <c r="C807" s="23" t="str">
        <f>IF(Data!C807="","",(IF(ISNUMBER(MATCH("*@*.?*",Data!C807,0)),0,1)+IF(COUNTIFS(Data!C$1:'Data'!C807,Data!C807)&gt;1,1,0)))</f>
        <v/>
      </c>
      <c r="D807" s="9" t="str">
        <f>IF(Data!B807="","",IF(ISNUMBER(Data!D807),IF(AND(Data!D807&gt;999999999,Data!D807&lt;=9999999999),IF(COUNTIFS(Data!D$1:'Data'!D807,Data!D807)&lt;=1,0,1),1),1))</f>
        <v/>
      </c>
      <c r="E807" s="9" t="str">
        <f>IF(Data!B807="","",IF(ISNUMBER(MATCH(Data!E807,Data_Val!$A$2:$A$3,0)),0,1))</f>
        <v/>
      </c>
      <c r="F807" s="9" t="str">
        <f ca="1">IF(Data!B807="","",IF(ISNUMBER(Data!F807),IF(AND(Data!F807&gt;(TODAY()-(Data_Val!$H$3*365.25)),Data!F807&lt;=(TODAY()-(Data_Val!$H$2*365.25))),0,1),1))</f>
        <v/>
      </c>
      <c r="G807" s="15" t="str">
        <f>IF(Data!B807="","",IF(AND(Data!G807="",Data!H807&lt;&gt;""),1,IF(Data!#REF!&lt;&gt;"",0,IF(ISNUMBER(MATCH(Data!G807,Data_Val!$C$2:$C$5,0)),0,1))))</f>
        <v/>
      </c>
      <c r="H807" s="15" t="str">
        <f>IF(Data!B807="","",IF(AND(Data!G807&lt;&gt;"",Data!H807=""),1,IF(Data!#REF!&lt;&gt;"",0,IF(Data!G807="",1,IF(ISNUMBER(MATCH(Data!H807,Data_Val!$D$2:$D$35,0)),0,1)))))</f>
        <v/>
      </c>
      <c r="I807" s="15" t="str">
        <f>IF(Data!B807="","",IF(Data!G807&lt;&gt;"",0,IF(ISNUMBER(MATCH(Data!#REF!,Data_Val!$E$2:$E$12,0)),0,1)))</f>
        <v/>
      </c>
      <c r="J807" s="16" t="e">
        <f>IF(OR(Data!B807="",Data!#REF!=""),"",IF(Data!#REF!="",1,0))</f>
        <v>#REF!</v>
      </c>
      <c r="K807" s="16" t="e">
        <f>IF(OR(Data!B807="",Data!#REF!=""),"",IF(Data!#REF!="",1,0))</f>
        <v>#REF!</v>
      </c>
      <c r="L807" s="16" t="e">
        <f>IF(OR(Data!B807="",Data!#REF!=""),"",IF(ISNUMBER(Data!#REF!),IF(AND(Data!#REF!&gt;Data_Val!$G$2,Data!#REF!&lt;=Data_Val!$G$3),0,1),1))</f>
        <v>#REF!</v>
      </c>
      <c r="M807" s="9" t="e">
        <f>IF(OR(Data!B807="",Data!#REF!=""),"",IF(ISNUMBER(MATCH(Data!#REF!,Data_Val!$F$1:$F$38,0)),0,1))</f>
        <v>#REF!</v>
      </c>
      <c r="N807" s="9" t="e">
        <f>IF(OR(Data!B807="",Data!#REF!=""),"",IF(Data!#REF!="",1,0))</f>
        <v>#REF!</v>
      </c>
      <c r="O807" s="17" t="e">
        <f>IF(Data!#REF!="","",IF(Data!#REF!="",1,0))</f>
        <v>#REF!</v>
      </c>
      <c r="P807" s="17" t="e">
        <f>IF(Data!#REF!="","",IF(ISNUMBER(MATCH(Data!#REF!,Data_Val!$A$2:$A$3,0)),0,1))</f>
        <v>#REF!</v>
      </c>
      <c r="Q807" s="25" t="e">
        <f ca="1">IF(Data!#REF!="","",IF(ISNUMBER(Data!#REF!),IF(AND(Data!#REF!&gt;(TODAY()-(Data_Val!$J$3*365.25)),Data!#REF!&lt;=(TODAY()-(Data_Val!$J$2*365.25))),0,1),1))</f>
        <v>#REF!</v>
      </c>
      <c r="R807" s="17" t="e">
        <f>IF(Data!#REF!="","",IF(ISNUMBER(MATCH(Data!#REF!,Data_Val!$B$2:$B$15,0)),0,1))</f>
        <v>#REF!</v>
      </c>
      <c r="S807" s="11" t="str">
        <f>IF(Data!G807="","",IF(Data!G807=Data_Val!$C$2,IF(Data!M807="",0,1),0))</f>
        <v/>
      </c>
      <c r="T807" s="11" t="str">
        <f>IF(Data!M807="","",IF(ISNUMBER(MATCH(Data!N807,Data_Val!$A$2:$A$3,0)),0,1))</f>
        <v/>
      </c>
      <c r="U807" s="11" t="str">
        <f ca="1">IF(Data!M807="","",IF(ISNUMBER(Data!O807),IF(AND(Data!O807&gt;(TODAY()-(Data_Val!$K$3*365.25)),Data!O807&lt;=(TODAY()-(Data_Val!$K$2*365.25))),0,1),1))</f>
        <v/>
      </c>
      <c r="V807" s="12" t="str">
        <f>IF(Data!G807="","",IF(Data!G807=Data_Val!$C$2,IF(Data!P807="",0,1),0))</f>
        <v/>
      </c>
      <c r="W807" s="12" t="str">
        <f>IF(Data!P807="","",IF(ISNUMBER(MATCH(Data!Q807,Data_Val!$A$2:$A$3,0)),0,1))</f>
        <v/>
      </c>
      <c r="X807" s="26" t="str">
        <f ca="1">IF(Data!P807="","",IF(ISNUMBER(Data!R807),IF(AND(Data!R807&gt;(TODAY()-(Data_Val!$L$3*365.25)),Data!R807&lt;=(TODAY()-(Data_Val!$L$2*365.25))),0,1),1))</f>
        <v/>
      </c>
      <c r="Y807" s="13" t="str">
        <f>IF(Data!$G807="","",IF(Data!$G807=Data_Val!$C$2,IF(Data!S807="",0,1),0))</f>
        <v/>
      </c>
      <c r="Z807" s="13" t="str">
        <f>IF(Data!S807="","",IF(ISNUMBER(MATCH(Data!T807,Data_Val!$A$2:$A$3,0)),0,1))</f>
        <v/>
      </c>
      <c r="AA807" s="28" t="str">
        <f ca="1">IF(Data!S807="","",IF(ISNUMBER(Data!U807),IF(AND(Data!U807&gt;(TODAY()-(Data_Val!$L$3*365.25)),Data!U807&lt;=(TODAY()-(Data_Val!$L$2*365.25))),0,1),1))</f>
        <v/>
      </c>
      <c r="AB807" s="11"/>
      <c r="AC807" s="11" t="e">
        <f>IF(Data!#REF!="","",IF(ISNUMBER(MATCH(Data!#REF!,Data_Val!$A$2:$A$3,0)),0,1))</f>
        <v>#REF!</v>
      </c>
      <c r="AD807" s="11" t="e">
        <f ca="1">IF(Data!#REF!="","",IF(ISNUMBER(Data!#REF!),IF(AND(Data!#REF!&gt;(TODAY()-(Data_Val!$L$3*365.25)),Data!#REF!&lt;=(TODAY()-(Data_Val!$L$2*365.25))),0,1),1))</f>
        <v>#REF!</v>
      </c>
      <c r="AE807" s="11" t="e">
        <f>IF(Data!#REF!="","",IF(Data!$G807="",1,IF(ISNUMBER(MATCH(Data!#REF!,Data_Val!$D$2:$D$10,0)),0,1)))</f>
        <v>#REF!</v>
      </c>
      <c r="AF807" s="12"/>
      <c r="AG807" s="12" t="e">
        <f>IF(Data!#REF!="","",IF(ISNUMBER(MATCH(Data!#REF!,Data_Val!$A$2:$A$3,0)),0,1))</f>
        <v>#REF!</v>
      </c>
      <c r="AH807" s="26" t="e">
        <f ca="1">IF(Data!#REF!="","",IF(ISNUMBER(Data!#REF!),IF(AND(Data!#REF!&gt;(TODAY()-(Data_Val!$L$3*365.25)),Data!#REF!&lt;=(TODAY()-(Data_Val!$L$2*365.25))),0,1),1))</f>
        <v>#REF!</v>
      </c>
      <c r="AI807" s="12" t="e">
        <f>IF(Data!#REF!="","",IF(Data!$G807="",1,IF(ISNUMBER(MATCH(Data!#REF!,Data_Val!$D$2:$D$10,0)),0,1)))</f>
        <v>#REF!</v>
      </c>
      <c r="AJ807" s="17"/>
      <c r="AK807" s="17" t="e">
        <f>IF(Data!#REF!="","",IF(ISNUMBER(MATCH(Data!#REF!,Data_Val!$A$2:$A$3,0)),0,1))</f>
        <v>#REF!</v>
      </c>
      <c r="AL807" s="25" t="e">
        <f ca="1">IF(Data!#REF!="","",IF(ISNUMBER(Data!#REF!),IF(AND(Data!#REF!&gt;(TODAY()-(Data_Val!$L$3*365.25)),Data!#REF!&lt;=(TODAY()-(Data_Val!$L$2*365.25))),0,1),1))</f>
        <v>#REF!</v>
      </c>
      <c r="AM807" s="17" t="e">
        <f>IF(Data!#REF!="","",IF(Data!$G807="",1,IF(ISNUMBER(MATCH(Data!#REF!,Data_Val!$D$2:$D$10,0)),0,1)))</f>
        <v>#REF!</v>
      </c>
      <c r="AN807" s="13"/>
      <c r="AO807" s="28" t="e">
        <f ca="1">IF(Data!#REF!="","",IF(ISNUMBER(Data!#REF!),IF(AND(Data!#REF!&gt;(TODAY()-(Data_Val!$I$3*365.25)),Data!#REF!&lt;=(TODAY()-(Data_Val!$I$2*365.25))),0,1),1))</f>
        <v>#REF!</v>
      </c>
      <c r="AP807" s="13" t="e">
        <f>IF(Data!#REF!="","",IF(Data!$G807="",1,IF(ISNUMBER(MATCH(Data!#REF!,Data_Val!$D$2:$D$10,0)),0,1)))</f>
        <v>#REF!</v>
      </c>
      <c r="AQ807" s="17"/>
      <c r="AR807" s="30" t="e">
        <f ca="1">IF(Data!#REF!="","",IF(ISNUMBER(Data!#REF!),IF(AND(Data!#REF!&gt;(TODAY()-(Data_Val!$I$3*365.25)),Data!#REF!&lt;=(TODAY()-(Data_Val!$I$2*365.25))),0,1),1))</f>
        <v>#REF!</v>
      </c>
      <c r="AS807" s="31" t="e">
        <f>IF(Data!#REF!="","",IF(Data!$G807="",1,IF(ISNUMBER(MATCH(Data!#REF!,Data_Val!$D$2:$D$10,0)),0,1)))</f>
        <v>#REF!</v>
      </c>
      <c r="AT807" s="11"/>
      <c r="AU807" s="11" t="e">
        <f ca="1">IF(Data!#REF!="","",IF(ISNUMBER(Data!#REF!),IF(AND(Data!#REF!&gt;(TODAY()-(Data_Val!$I$3*365.25)),Data!#REF!&lt;=(TODAY()-(Data_Val!$I$2*365.25))),0,1),1))</f>
        <v>#REF!</v>
      </c>
      <c r="AV807" s="11" t="e">
        <f>IF(Data!#REF!="","",IF(Data!$G807="",1,IF(ISNUMBER(MATCH(Data!#REF!,Data_Val!$D$2:$D$10,0)),0,1)))</f>
        <v>#REF!</v>
      </c>
      <c r="AW807" s="12"/>
      <c r="AX807" s="26" t="e">
        <f ca="1">IF(Data!#REF!="","",IF(ISNUMBER(Data!#REF!),IF(AND(Data!#REF!&gt;(TODAY()-(Data_Val!$I$3*365.25)),Data!#REF!&lt;=(TODAY()-(Data_Val!$I$2*365.25))),0,1),1))</f>
        <v>#REF!</v>
      </c>
      <c r="AY807" s="12" t="e">
        <f>IF(Data!#REF!="","",IF(Data!$G807="",1,IF(ISNUMBER(MATCH(Data!#REF!,Data_Val!$D$2:$D$10,0)),0,1)))</f>
        <v>#REF!</v>
      </c>
      <c r="AZ807" s="11"/>
      <c r="BA807" s="19" t="e">
        <f ca="1">IF(Data!#REF!="","",IF(ISNUMBER(Data!#REF!),IF(AND(Data!#REF!&gt;(TODAY()-(Data_Val!$M$3*365.25)),Data!#REF!&lt;=(TODAY()-(Data_Val!$M$2*365.25))),0,1),1))</f>
        <v>#REF!</v>
      </c>
      <c r="BB807" s="11" t="e">
        <f>IF(Data!#REF!="","",IF(Data!$G807="",1,IF(ISNUMBER(MATCH(Data!#REF!,Data_Val!$D$2:$D$10,0)),0,1)))</f>
        <v>#REF!</v>
      </c>
      <c r="BC807" s="12"/>
      <c r="BD807" s="20" t="e">
        <f ca="1">IF(Data!#REF!="","",IF(ISNUMBER(Data!#REF!),IF(AND(Data!#REF!&gt;(TODAY()-(Data_Val!$M$3*365.25)),Data!#REF!&lt;=(TODAY()-(Data_Val!$M$2*365.25))),0,1),1))</f>
        <v>#REF!</v>
      </c>
      <c r="BE807" s="12" t="e">
        <f>IF(Data!#REF!="","",IF(Data!$G807="",1,IF(ISNUMBER(MATCH(Data!#REF!,Data_Val!$D$2:$D$10,0)),0,1)))</f>
        <v>#REF!</v>
      </c>
      <c r="BF807" s="17"/>
      <c r="BG807" s="18" t="e">
        <f ca="1">IF(Data!#REF!="","",IF(ISNUMBER(Data!#REF!),IF(AND(Data!#REF!&gt;(TODAY()-(Data_Val!$M$3*365.25)),Data!#REF!&lt;=(TODAY()-(Data_Val!$M$2*365.25))),0,1),1))</f>
        <v>#REF!</v>
      </c>
      <c r="BH807" s="29" t="e">
        <f>IF(Data!#REF!="","",IF(Data!$G807="",1,IF(ISNUMBER(MATCH(Data!#REF!,Data_Val!$D$2:$D$10,0)),0,1)))</f>
        <v>#REF!</v>
      </c>
      <c r="BI807" s="13"/>
      <c r="BJ807" s="21" t="e">
        <f ca="1">IF(Data!#REF!="","",IF(ISNUMBER(Data!#REF!),IF(AND(Data!#REF!&gt;(TODAY()-(Data_Val!$M$3*365.25)),Data!#REF!&lt;=(TODAY()-(Data_Val!$M$2*365.25))),0,1),1))</f>
        <v>#REF!</v>
      </c>
      <c r="BK807" s="13" t="e">
        <f>IF(Data!#REF!="","",IF(Data!$G807="",1,IF(ISNUMBER(MATCH(Data!#REF!,Data_Val!$D$2:$D$10,0)),0,1)))</f>
        <v>#REF!</v>
      </c>
    </row>
    <row r="808" spans="1:63" x14ac:dyDescent="0.25">
      <c r="A808" s="9" t="str">
        <f>IF(Data!B808="","",IF(COUNTIFS(Data!A$1:'Data'!A808,Data!A808)&lt;=1,0,1))</f>
        <v/>
      </c>
      <c r="B808" s="9"/>
      <c r="C808" s="23" t="str">
        <f>IF(Data!C808="","",(IF(ISNUMBER(MATCH("*@*.?*",Data!C808,0)),0,1)+IF(COUNTIFS(Data!C$1:'Data'!C808,Data!C808)&gt;1,1,0)))</f>
        <v/>
      </c>
      <c r="D808" s="9" t="str">
        <f>IF(Data!B808="","",IF(ISNUMBER(Data!D808),IF(AND(Data!D808&gt;999999999,Data!D808&lt;=9999999999),IF(COUNTIFS(Data!D$1:'Data'!D808,Data!D808)&lt;=1,0,1),1),1))</f>
        <v/>
      </c>
      <c r="E808" s="9" t="str">
        <f>IF(Data!B808="","",IF(ISNUMBER(MATCH(Data!E808,Data_Val!$A$2:$A$3,0)),0,1))</f>
        <v/>
      </c>
      <c r="F808" s="9" t="str">
        <f ca="1">IF(Data!B808="","",IF(ISNUMBER(Data!F808),IF(AND(Data!F808&gt;(TODAY()-(Data_Val!$H$3*365.25)),Data!F808&lt;=(TODAY()-(Data_Val!$H$2*365.25))),0,1),1))</f>
        <v/>
      </c>
      <c r="G808" s="15" t="str">
        <f>IF(Data!B808="","",IF(AND(Data!G808="",Data!H808&lt;&gt;""),1,IF(Data!#REF!&lt;&gt;"",0,IF(ISNUMBER(MATCH(Data!G808,Data_Val!$C$2:$C$5,0)),0,1))))</f>
        <v/>
      </c>
      <c r="H808" s="15" t="str">
        <f>IF(Data!B808="","",IF(AND(Data!G808&lt;&gt;"",Data!H808=""),1,IF(Data!#REF!&lt;&gt;"",0,IF(Data!G808="",1,IF(ISNUMBER(MATCH(Data!H808,Data_Val!$D$2:$D$35,0)),0,1)))))</f>
        <v/>
      </c>
      <c r="I808" s="15" t="str">
        <f>IF(Data!B808="","",IF(Data!G808&lt;&gt;"",0,IF(ISNUMBER(MATCH(Data!#REF!,Data_Val!$E$2:$E$12,0)),0,1)))</f>
        <v/>
      </c>
      <c r="J808" s="16" t="e">
        <f>IF(OR(Data!B808="",Data!#REF!=""),"",IF(Data!#REF!="",1,0))</f>
        <v>#REF!</v>
      </c>
      <c r="K808" s="16" t="e">
        <f>IF(OR(Data!B808="",Data!#REF!=""),"",IF(Data!#REF!="",1,0))</f>
        <v>#REF!</v>
      </c>
      <c r="L808" s="16" t="e">
        <f>IF(OR(Data!B808="",Data!#REF!=""),"",IF(ISNUMBER(Data!#REF!),IF(AND(Data!#REF!&gt;Data_Val!$G$2,Data!#REF!&lt;=Data_Val!$G$3),0,1),1))</f>
        <v>#REF!</v>
      </c>
      <c r="M808" s="9" t="e">
        <f>IF(OR(Data!B808="",Data!#REF!=""),"",IF(ISNUMBER(MATCH(Data!#REF!,Data_Val!$F$1:$F$38,0)),0,1))</f>
        <v>#REF!</v>
      </c>
      <c r="N808" s="9" t="e">
        <f>IF(OR(Data!B808="",Data!#REF!=""),"",IF(Data!#REF!="",1,0))</f>
        <v>#REF!</v>
      </c>
      <c r="O808" s="17" t="e">
        <f>IF(Data!#REF!="","",IF(Data!#REF!="",1,0))</f>
        <v>#REF!</v>
      </c>
      <c r="P808" s="17" t="e">
        <f>IF(Data!#REF!="","",IF(ISNUMBER(MATCH(Data!#REF!,Data_Val!$A$2:$A$3,0)),0,1))</f>
        <v>#REF!</v>
      </c>
      <c r="Q808" s="25" t="e">
        <f ca="1">IF(Data!#REF!="","",IF(ISNUMBER(Data!#REF!),IF(AND(Data!#REF!&gt;(TODAY()-(Data_Val!$J$3*365.25)),Data!#REF!&lt;=(TODAY()-(Data_Val!$J$2*365.25))),0,1),1))</f>
        <v>#REF!</v>
      </c>
      <c r="R808" s="17" t="e">
        <f>IF(Data!#REF!="","",IF(ISNUMBER(MATCH(Data!#REF!,Data_Val!$B$2:$B$15,0)),0,1))</f>
        <v>#REF!</v>
      </c>
      <c r="S808" s="11" t="str">
        <f>IF(Data!G808="","",IF(Data!G808=Data_Val!$C$2,IF(Data!M808="",0,1),0))</f>
        <v/>
      </c>
      <c r="T808" s="11" t="str">
        <f>IF(Data!M808="","",IF(ISNUMBER(MATCH(Data!N808,Data_Val!$A$2:$A$3,0)),0,1))</f>
        <v/>
      </c>
      <c r="U808" s="11" t="str">
        <f ca="1">IF(Data!M808="","",IF(ISNUMBER(Data!O808),IF(AND(Data!O808&gt;(TODAY()-(Data_Val!$K$3*365.25)),Data!O808&lt;=(TODAY()-(Data_Val!$K$2*365.25))),0,1),1))</f>
        <v/>
      </c>
      <c r="V808" s="12" t="str">
        <f>IF(Data!G808="","",IF(Data!G808=Data_Val!$C$2,IF(Data!P808="",0,1),0))</f>
        <v/>
      </c>
      <c r="W808" s="12" t="str">
        <f>IF(Data!P808="","",IF(ISNUMBER(MATCH(Data!Q808,Data_Val!$A$2:$A$3,0)),0,1))</f>
        <v/>
      </c>
      <c r="X808" s="26" t="str">
        <f ca="1">IF(Data!P808="","",IF(ISNUMBER(Data!R808),IF(AND(Data!R808&gt;(TODAY()-(Data_Val!$L$3*365.25)),Data!R808&lt;=(TODAY()-(Data_Val!$L$2*365.25))),0,1),1))</f>
        <v/>
      </c>
      <c r="Y808" s="13" t="str">
        <f>IF(Data!$G808="","",IF(Data!$G808=Data_Val!$C$2,IF(Data!S808="",0,1),0))</f>
        <v/>
      </c>
      <c r="Z808" s="13" t="str">
        <f>IF(Data!S808="","",IF(ISNUMBER(MATCH(Data!T808,Data_Val!$A$2:$A$3,0)),0,1))</f>
        <v/>
      </c>
      <c r="AA808" s="28" t="str">
        <f ca="1">IF(Data!S808="","",IF(ISNUMBER(Data!U808),IF(AND(Data!U808&gt;(TODAY()-(Data_Val!$L$3*365.25)),Data!U808&lt;=(TODAY()-(Data_Val!$L$2*365.25))),0,1),1))</f>
        <v/>
      </c>
      <c r="AB808" s="11"/>
      <c r="AC808" s="11" t="e">
        <f>IF(Data!#REF!="","",IF(ISNUMBER(MATCH(Data!#REF!,Data_Val!$A$2:$A$3,0)),0,1))</f>
        <v>#REF!</v>
      </c>
      <c r="AD808" s="11" t="e">
        <f ca="1">IF(Data!#REF!="","",IF(ISNUMBER(Data!#REF!),IF(AND(Data!#REF!&gt;(TODAY()-(Data_Val!$L$3*365.25)),Data!#REF!&lt;=(TODAY()-(Data_Val!$L$2*365.25))),0,1),1))</f>
        <v>#REF!</v>
      </c>
      <c r="AE808" s="11" t="e">
        <f>IF(Data!#REF!="","",IF(Data!$G808="",1,IF(ISNUMBER(MATCH(Data!#REF!,Data_Val!$D$2:$D$10,0)),0,1)))</f>
        <v>#REF!</v>
      </c>
      <c r="AF808" s="12"/>
      <c r="AG808" s="12" t="e">
        <f>IF(Data!#REF!="","",IF(ISNUMBER(MATCH(Data!#REF!,Data_Val!$A$2:$A$3,0)),0,1))</f>
        <v>#REF!</v>
      </c>
      <c r="AH808" s="26" t="e">
        <f ca="1">IF(Data!#REF!="","",IF(ISNUMBER(Data!#REF!),IF(AND(Data!#REF!&gt;(TODAY()-(Data_Val!$L$3*365.25)),Data!#REF!&lt;=(TODAY()-(Data_Val!$L$2*365.25))),0,1),1))</f>
        <v>#REF!</v>
      </c>
      <c r="AI808" s="12" t="e">
        <f>IF(Data!#REF!="","",IF(Data!$G808="",1,IF(ISNUMBER(MATCH(Data!#REF!,Data_Val!$D$2:$D$10,0)),0,1)))</f>
        <v>#REF!</v>
      </c>
      <c r="AJ808" s="17"/>
      <c r="AK808" s="17" t="e">
        <f>IF(Data!#REF!="","",IF(ISNUMBER(MATCH(Data!#REF!,Data_Val!$A$2:$A$3,0)),0,1))</f>
        <v>#REF!</v>
      </c>
      <c r="AL808" s="25" t="e">
        <f ca="1">IF(Data!#REF!="","",IF(ISNUMBER(Data!#REF!),IF(AND(Data!#REF!&gt;(TODAY()-(Data_Val!$L$3*365.25)),Data!#REF!&lt;=(TODAY()-(Data_Val!$L$2*365.25))),0,1),1))</f>
        <v>#REF!</v>
      </c>
      <c r="AM808" s="17" t="e">
        <f>IF(Data!#REF!="","",IF(Data!$G808="",1,IF(ISNUMBER(MATCH(Data!#REF!,Data_Val!$D$2:$D$10,0)),0,1)))</f>
        <v>#REF!</v>
      </c>
      <c r="AN808" s="13"/>
      <c r="AO808" s="28" t="e">
        <f ca="1">IF(Data!#REF!="","",IF(ISNUMBER(Data!#REF!),IF(AND(Data!#REF!&gt;(TODAY()-(Data_Val!$I$3*365.25)),Data!#REF!&lt;=(TODAY()-(Data_Val!$I$2*365.25))),0,1),1))</f>
        <v>#REF!</v>
      </c>
      <c r="AP808" s="13" t="e">
        <f>IF(Data!#REF!="","",IF(Data!$G808="",1,IF(ISNUMBER(MATCH(Data!#REF!,Data_Val!$D$2:$D$10,0)),0,1)))</f>
        <v>#REF!</v>
      </c>
      <c r="AQ808" s="17"/>
      <c r="AR808" s="30" t="e">
        <f ca="1">IF(Data!#REF!="","",IF(ISNUMBER(Data!#REF!),IF(AND(Data!#REF!&gt;(TODAY()-(Data_Val!$I$3*365.25)),Data!#REF!&lt;=(TODAY()-(Data_Val!$I$2*365.25))),0,1),1))</f>
        <v>#REF!</v>
      </c>
      <c r="AS808" s="31" t="e">
        <f>IF(Data!#REF!="","",IF(Data!$G808="",1,IF(ISNUMBER(MATCH(Data!#REF!,Data_Val!$D$2:$D$10,0)),0,1)))</f>
        <v>#REF!</v>
      </c>
      <c r="AT808" s="11"/>
      <c r="AU808" s="11" t="e">
        <f ca="1">IF(Data!#REF!="","",IF(ISNUMBER(Data!#REF!),IF(AND(Data!#REF!&gt;(TODAY()-(Data_Val!$I$3*365.25)),Data!#REF!&lt;=(TODAY()-(Data_Val!$I$2*365.25))),0,1),1))</f>
        <v>#REF!</v>
      </c>
      <c r="AV808" s="11" t="e">
        <f>IF(Data!#REF!="","",IF(Data!$G808="",1,IF(ISNUMBER(MATCH(Data!#REF!,Data_Val!$D$2:$D$10,0)),0,1)))</f>
        <v>#REF!</v>
      </c>
      <c r="AW808" s="12"/>
      <c r="AX808" s="26" t="e">
        <f ca="1">IF(Data!#REF!="","",IF(ISNUMBER(Data!#REF!),IF(AND(Data!#REF!&gt;(TODAY()-(Data_Val!$I$3*365.25)),Data!#REF!&lt;=(TODAY()-(Data_Val!$I$2*365.25))),0,1),1))</f>
        <v>#REF!</v>
      </c>
      <c r="AY808" s="12" t="e">
        <f>IF(Data!#REF!="","",IF(Data!$G808="",1,IF(ISNUMBER(MATCH(Data!#REF!,Data_Val!$D$2:$D$10,0)),0,1)))</f>
        <v>#REF!</v>
      </c>
      <c r="AZ808" s="11"/>
      <c r="BA808" s="19" t="e">
        <f ca="1">IF(Data!#REF!="","",IF(ISNUMBER(Data!#REF!),IF(AND(Data!#REF!&gt;(TODAY()-(Data_Val!$M$3*365.25)),Data!#REF!&lt;=(TODAY()-(Data_Val!$M$2*365.25))),0,1),1))</f>
        <v>#REF!</v>
      </c>
      <c r="BB808" s="11" t="e">
        <f>IF(Data!#REF!="","",IF(Data!$G808="",1,IF(ISNUMBER(MATCH(Data!#REF!,Data_Val!$D$2:$D$10,0)),0,1)))</f>
        <v>#REF!</v>
      </c>
      <c r="BC808" s="12"/>
      <c r="BD808" s="20" t="e">
        <f ca="1">IF(Data!#REF!="","",IF(ISNUMBER(Data!#REF!),IF(AND(Data!#REF!&gt;(TODAY()-(Data_Val!$M$3*365.25)),Data!#REF!&lt;=(TODAY()-(Data_Val!$M$2*365.25))),0,1),1))</f>
        <v>#REF!</v>
      </c>
      <c r="BE808" s="12" t="e">
        <f>IF(Data!#REF!="","",IF(Data!$G808="",1,IF(ISNUMBER(MATCH(Data!#REF!,Data_Val!$D$2:$D$10,0)),0,1)))</f>
        <v>#REF!</v>
      </c>
      <c r="BF808" s="17"/>
      <c r="BG808" s="18" t="e">
        <f ca="1">IF(Data!#REF!="","",IF(ISNUMBER(Data!#REF!),IF(AND(Data!#REF!&gt;(TODAY()-(Data_Val!$M$3*365.25)),Data!#REF!&lt;=(TODAY()-(Data_Val!$M$2*365.25))),0,1),1))</f>
        <v>#REF!</v>
      </c>
      <c r="BH808" s="29" t="e">
        <f>IF(Data!#REF!="","",IF(Data!$G808="",1,IF(ISNUMBER(MATCH(Data!#REF!,Data_Val!$D$2:$D$10,0)),0,1)))</f>
        <v>#REF!</v>
      </c>
      <c r="BI808" s="13"/>
      <c r="BJ808" s="21" t="e">
        <f ca="1">IF(Data!#REF!="","",IF(ISNUMBER(Data!#REF!),IF(AND(Data!#REF!&gt;(TODAY()-(Data_Val!$M$3*365.25)),Data!#REF!&lt;=(TODAY()-(Data_Val!$M$2*365.25))),0,1),1))</f>
        <v>#REF!</v>
      </c>
      <c r="BK808" s="13" t="e">
        <f>IF(Data!#REF!="","",IF(Data!$G808="",1,IF(ISNUMBER(MATCH(Data!#REF!,Data_Val!$D$2:$D$10,0)),0,1)))</f>
        <v>#REF!</v>
      </c>
    </row>
    <row r="809" spans="1:63" x14ac:dyDescent="0.25">
      <c r="A809" s="9" t="str">
        <f>IF(Data!B809="","",IF(COUNTIFS(Data!A$1:'Data'!A809,Data!A809)&lt;=1,0,1))</f>
        <v/>
      </c>
      <c r="B809" s="9"/>
      <c r="C809" s="23" t="str">
        <f>IF(Data!C809="","",(IF(ISNUMBER(MATCH("*@*.?*",Data!C809,0)),0,1)+IF(COUNTIFS(Data!C$1:'Data'!C809,Data!C809)&gt;1,1,0)))</f>
        <v/>
      </c>
      <c r="D809" s="9" t="str">
        <f>IF(Data!B809="","",IF(ISNUMBER(Data!D809),IF(AND(Data!D809&gt;999999999,Data!D809&lt;=9999999999),IF(COUNTIFS(Data!D$1:'Data'!D809,Data!D809)&lt;=1,0,1),1),1))</f>
        <v/>
      </c>
      <c r="E809" s="9" t="str">
        <f>IF(Data!B809="","",IF(ISNUMBER(MATCH(Data!E809,Data_Val!$A$2:$A$3,0)),0,1))</f>
        <v/>
      </c>
      <c r="F809" s="9" t="str">
        <f ca="1">IF(Data!B809="","",IF(ISNUMBER(Data!F809),IF(AND(Data!F809&gt;(TODAY()-(Data_Val!$H$3*365.25)),Data!F809&lt;=(TODAY()-(Data_Val!$H$2*365.25))),0,1),1))</f>
        <v/>
      </c>
      <c r="G809" s="15" t="str">
        <f>IF(Data!B809="","",IF(AND(Data!G809="",Data!H809&lt;&gt;""),1,IF(Data!#REF!&lt;&gt;"",0,IF(ISNUMBER(MATCH(Data!G809,Data_Val!$C$2:$C$5,0)),0,1))))</f>
        <v/>
      </c>
      <c r="H809" s="15" t="str">
        <f>IF(Data!B809="","",IF(AND(Data!G809&lt;&gt;"",Data!H809=""),1,IF(Data!#REF!&lt;&gt;"",0,IF(Data!G809="",1,IF(ISNUMBER(MATCH(Data!H809,Data_Val!$D$2:$D$35,0)),0,1)))))</f>
        <v/>
      </c>
      <c r="I809" s="15" t="str">
        <f>IF(Data!B809="","",IF(Data!G809&lt;&gt;"",0,IF(ISNUMBER(MATCH(Data!#REF!,Data_Val!$E$2:$E$12,0)),0,1)))</f>
        <v/>
      </c>
      <c r="J809" s="16" t="e">
        <f>IF(OR(Data!B809="",Data!#REF!=""),"",IF(Data!#REF!="",1,0))</f>
        <v>#REF!</v>
      </c>
      <c r="K809" s="16" t="e">
        <f>IF(OR(Data!B809="",Data!#REF!=""),"",IF(Data!#REF!="",1,0))</f>
        <v>#REF!</v>
      </c>
      <c r="L809" s="16" t="e">
        <f>IF(OR(Data!B809="",Data!#REF!=""),"",IF(ISNUMBER(Data!#REF!),IF(AND(Data!#REF!&gt;Data_Val!$G$2,Data!#REF!&lt;=Data_Val!$G$3),0,1),1))</f>
        <v>#REF!</v>
      </c>
      <c r="M809" s="9" t="e">
        <f>IF(OR(Data!B809="",Data!#REF!=""),"",IF(ISNUMBER(MATCH(Data!#REF!,Data_Val!$F$1:$F$38,0)),0,1))</f>
        <v>#REF!</v>
      </c>
      <c r="N809" s="9" t="e">
        <f>IF(OR(Data!B809="",Data!#REF!=""),"",IF(Data!#REF!="",1,0))</f>
        <v>#REF!</v>
      </c>
      <c r="O809" s="17" t="e">
        <f>IF(Data!#REF!="","",IF(Data!#REF!="",1,0))</f>
        <v>#REF!</v>
      </c>
      <c r="P809" s="17" t="e">
        <f>IF(Data!#REF!="","",IF(ISNUMBER(MATCH(Data!#REF!,Data_Val!$A$2:$A$3,0)),0,1))</f>
        <v>#REF!</v>
      </c>
      <c r="Q809" s="25" t="e">
        <f ca="1">IF(Data!#REF!="","",IF(ISNUMBER(Data!#REF!),IF(AND(Data!#REF!&gt;(TODAY()-(Data_Val!$J$3*365.25)),Data!#REF!&lt;=(TODAY()-(Data_Val!$J$2*365.25))),0,1),1))</f>
        <v>#REF!</v>
      </c>
      <c r="R809" s="17" t="e">
        <f>IF(Data!#REF!="","",IF(ISNUMBER(MATCH(Data!#REF!,Data_Val!$B$2:$B$15,0)),0,1))</f>
        <v>#REF!</v>
      </c>
      <c r="S809" s="11" t="str">
        <f>IF(Data!G809="","",IF(Data!G809=Data_Val!$C$2,IF(Data!M809="",0,1),0))</f>
        <v/>
      </c>
      <c r="T809" s="11" t="str">
        <f>IF(Data!M809="","",IF(ISNUMBER(MATCH(Data!N809,Data_Val!$A$2:$A$3,0)),0,1))</f>
        <v/>
      </c>
      <c r="U809" s="11" t="str">
        <f ca="1">IF(Data!M809="","",IF(ISNUMBER(Data!O809),IF(AND(Data!O809&gt;(TODAY()-(Data_Val!$K$3*365.25)),Data!O809&lt;=(TODAY()-(Data_Val!$K$2*365.25))),0,1),1))</f>
        <v/>
      </c>
      <c r="V809" s="12" t="str">
        <f>IF(Data!G809="","",IF(Data!G809=Data_Val!$C$2,IF(Data!P809="",0,1),0))</f>
        <v/>
      </c>
      <c r="W809" s="12" t="str">
        <f>IF(Data!P809="","",IF(ISNUMBER(MATCH(Data!Q809,Data_Val!$A$2:$A$3,0)),0,1))</f>
        <v/>
      </c>
      <c r="X809" s="26" t="str">
        <f ca="1">IF(Data!P809="","",IF(ISNUMBER(Data!R809),IF(AND(Data!R809&gt;(TODAY()-(Data_Val!$L$3*365.25)),Data!R809&lt;=(TODAY()-(Data_Val!$L$2*365.25))),0,1),1))</f>
        <v/>
      </c>
      <c r="Y809" s="13" t="str">
        <f>IF(Data!$G809="","",IF(Data!$G809=Data_Val!$C$2,IF(Data!S809="",0,1),0))</f>
        <v/>
      </c>
      <c r="Z809" s="13" t="str">
        <f>IF(Data!S809="","",IF(ISNUMBER(MATCH(Data!T809,Data_Val!$A$2:$A$3,0)),0,1))</f>
        <v/>
      </c>
      <c r="AA809" s="28" t="str">
        <f ca="1">IF(Data!S809="","",IF(ISNUMBER(Data!U809),IF(AND(Data!U809&gt;(TODAY()-(Data_Val!$L$3*365.25)),Data!U809&lt;=(TODAY()-(Data_Val!$L$2*365.25))),0,1),1))</f>
        <v/>
      </c>
      <c r="AB809" s="11"/>
      <c r="AC809" s="11" t="e">
        <f>IF(Data!#REF!="","",IF(ISNUMBER(MATCH(Data!#REF!,Data_Val!$A$2:$A$3,0)),0,1))</f>
        <v>#REF!</v>
      </c>
      <c r="AD809" s="11" t="e">
        <f ca="1">IF(Data!#REF!="","",IF(ISNUMBER(Data!#REF!),IF(AND(Data!#REF!&gt;(TODAY()-(Data_Val!$L$3*365.25)),Data!#REF!&lt;=(TODAY()-(Data_Val!$L$2*365.25))),0,1),1))</f>
        <v>#REF!</v>
      </c>
      <c r="AE809" s="11" t="e">
        <f>IF(Data!#REF!="","",IF(Data!$G809="",1,IF(ISNUMBER(MATCH(Data!#REF!,Data_Val!$D$2:$D$10,0)),0,1)))</f>
        <v>#REF!</v>
      </c>
      <c r="AF809" s="12"/>
      <c r="AG809" s="12" t="e">
        <f>IF(Data!#REF!="","",IF(ISNUMBER(MATCH(Data!#REF!,Data_Val!$A$2:$A$3,0)),0,1))</f>
        <v>#REF!</v>
      </c>
      <c r="AH809" s="26" t="e">
        <f ca="1">IF(Data!#REF!="","",IF(ISNUMBER(Data!#REF!),IF(AND(Data!#REF!&gt;(TODAY()-(Data_Val!$L$3*365.25)),Data!#REF!&lt;=(TODAY()-(Data_Val!$L$2*365.25))),0,1),1))</f>
        <v>#REF!</v>
      </c>
      <c r="AI809" s="12" t="e">
        <f>IF(Data!#REF!="","",IF(Data!$G809="",1,IF(ISNUMBER(MATCH(Data!#REF!,Data_Val!$D$2:$D$10,0)),0,1)))</f>
        <v>#REF!</v>
      </c>
      <c r="AJ809" s="17"/>
      <c r="AK809" s="17" t="e">
        <f>IF(Data!#REF!="","",IF(ISNUMBER(MATCH(Data!#REF!,Data_Val!$A$2:$A$3,0)),0,1))</f>
        <v>#REF!</v>
      </c>
      <c r="AL809" s="25" t="e">
        <f ca="1">IF(Data!#REF!="","",IF(ISNUMBER(Data!#REF!),IF(AND(Data!#REF!&gt;(TODAY()-(Data_Val!$L$3*365.25)),Data!#REF!&lt;=(TODAY()-(Data_Val!$L$2*365.25))),0,1),1))</f>
        <v>#REF!</v>
      </c>
      <c r="AM809" s="17" t="e">
        <f>IF(Data!#REF!="","",IF(Data!$G809="",1,IF(ISNUMBER(MATCH(Data!#REF!,Data_Val!$D$2:$D$10,0)),0,1)))</f>
        <v>#REF!</v>
      </c>
      <c r="AN809" s="13"/>
      <c r="AO809" s="28" t="e">
        <f ca="1">IF(Data!#REF!="","",IF(ISNUMBER(Data!#REF!),IF(AND(Data!#REF!&gt;(TODAY()-(Data_Val!$I$3*365.25)),Data!#REF!&lt;=(TODAY()-(Data_Val!$I$2*365.25))),0,1),1))</f>
        <v>#REF!</v>
      </c>
      <c r="AP809" s="13" t="e">
        <f>IF(Data!#REF!="","",IF(Data!$G809="",1,IF(ISNUMBER(MATCH(Data!#REF!,Data_Val!$D$2:$D$10,0)),0,1)))</f>
        <v>#REF!</v>
      </c>
      <c r="AQ809" s="17"/>
      <c r="AR809" s="30" t="e">
        <f ca="1">IF(Data!#REF!="","",IF(ISNUMBER(Data!#REF!),IF(AND(Data!#REF!&gt;(TODAY()-(Data_Val!$I$3*365.25)),Data!#REF!&lt;=(TODAY()-(Data_Val!$I$2*365.25))),0,1),1))</f>
        <v>#REF!</v>
      </c>
      <c r="AS809" s="31" t="e">
        <f>IF(Data!#REF!="","",IF(Data!$G809="",1,IF(ISNUMBER(MATCH(Data!#REF!,Data_Val!$D$2:$D$10,0)),0,1)))</f>
        <v>#REF!</v>
      </c>
      <c r="AT809" s="11"/>
      <c r="AU809" s="11" t="e">
        <f ca="1">IF(Data!#REF!="","",IF(ISNUMBER(Data!#REF!),IF(AND(Data!#REF!&gt;(TODAY()-(Data_Val!$I$3*365.25)),Data!#REF!&lt;=(TODAY()-(Data_Val!$I$2*365.25))),0,1),1))</f>
        <v>#REF!</v>
      </c>
      <c r="AV809" s="11" t="e">
        <f>IF(Data!#REF!="","",IF(Data!$G809="",1,IF(ISNUMBER(MATCH(Data!#REF!,Data_Val!$D$2:$D$10,0)),0,1)))</f>
        <v>#REF!</v>
      </c>
      <c r="AW809" s="12"/>
      <c r="AX809" s="26" t="e">
        <f ca="1">IF(Data!#REF!="","",IF(ISNUMBER(Data!#REF!),IF(AND(Data!#REF!&gt;(TODAY()-(Data_Val!$I$3*365.25)),Data!#REF!&lt;=(TODAY()-(Data_Val!$I$2*365.25))),0,1),1))</f>
        <v>#REF!</v>
      </c>
      <c r="AY809" s="12" t="e">
        <f>IF(Data!#REF!="","",IF(Data!$G809="",1,IF(ISNUMBER(MATCH(Data!#REF!,Data_Val!$D$2:$D$10,0)),0,1)))</f>
        <v>#REF!</v>
      </c>
      <c r="AZ809" s="11"/>
      <c r="BA809" s="19" t="e">
        <f ca="1">IF(Data!#REF!="","",IF(ISNUMBER(Data!#REF!),IF(AND(Data!#REF!&gt;(TODAY()-(Data_Val!$M$3*365.25)),Data!#REF!&lt;=(TODAY()-(Data_Val!$M$2*365.25))),0,1),1))</f>
        <v>#REF!</v>
      </c>
      <c r="BB809" s="11" t="e">
        <f>IF(Data!#REF!="","",IF(Data!$G809="",1,IF(ISNUMBER(MATCH(Data!#REF!,Data_Val!$D$2:$D$10,0)),0,1)))</f>
        <v>#REF!</v>
      </c>
      <c r="BC809" s="12"/>
      <c r="BD809" s="20" t="e">
        <f ca="1">IF(Data!#REF!="","",IF(ISNUMBER(Data!#REF!),IF(AND(Data!#REF!&gt;(TODAY()-(Data_Val!$M$3*365.25)),Data!#REF!&lt;=(TODAY()-(Data_Val!$M$2*365.25))),0,1),1))</f>
        <v>#REF!</v>
      </c>
      <c r="BE809" s="12" t="e">
        <f>IF(Data!#REF!="","",IF(Data!$G809="",1,IF(ISNUMBER(MATCH(Data!#REF!,Data_Val!$D$2:$D$10,0)),0,1)))</f>
        <v>#REF!</v>
      </c>
      <c r="BF809" s="17"/>
      <c r="BG809" s="18" t="e">
        <f ca="1">IF(Data!#REF!="","",IF(ISNUMBER(Data!#REF!),IF(AND(Data!#REF!&gt;(TODAY()-(Data_Val!$M$3*365.25)),Data!#REF!&lt;=(TODAY()-(Data_Val!$M$2*365.25))),0,1),1))</f>
        <v>#REF!</v>
      </c>
      <c r="BH809" s="29" t="e">
        <f>IF(Data!#REF!="","",IF(Data!$G809="",1,IF(ISNUMBER(MATCH(Data!#REF!,Data_Val!$D$2:$D$10,0)),0,1)))</f>
        <v>#REF!</v>
      </c>
      <c r="BI809" s="13"/>
      <c r="BJ809" s="21" t="e">
        <f ca="1">IF(Data!#REF!="","",IF(ISNUMBER(Data!#REF!),IF(AND(Data!#REF!&gt;(TODAY()-(Data_Val!$M$3*365.25)),Data!#REF!&lt;=(TODAY()-(Data_Val!$M$2*365.25))),0,1),1))</f>
        <v>#REF!</v>
      </c>
      <c r="BK809" s="13" t="e">
        <f>IF(Data!#REF!="","",IF(Data!$G809="",1,IF(ISNUMBER(MATCH(Data!#REF!,Data_Val!$D$2:$D$10,0)),0,1)))</f>
        <v>#REF!</v>
      </c>
    </row>
    <row r="810" spans="1:63" x14ac:dyDescent="0.25">
      <c r="A810" s="9" t="str">
        <f>IF(Data!B810="","",IF(COUNTIFS(Data!A$1:'Data'!A810,Data!A810)&lt;=1,0,1))</f>
        <v/>
      </c>
      <c r="B810" s="9"/>
      <c r="C810" s="23" t="str">
        <f>IF(Data!C810="","",(IF(ISNUMBER(MATCH("*@*.?*",Data!C810,0)),0,1)+IF(COUNTIFS(Data!C$1:'Data'!C810,Data!C810)&gt;1,1,0)))</f>
        <v/>
      </c>
      <c r="D810" s="9" t="str">
        <f>IF(Data!B810="","",IF(ISNUMBER(Data!D810),IF(AND(Data!D810&gt;999999999,Data!D810&lt;=9999999999),IF(COUNTIFS(Data!D$1:'Data'!D810,Data!D810)&lt;=1,0,1),1),1))</f>
        <v/>
      </c>
      <c r="E810" s="9" t="str">
        <f>IF(Data!B810="","",IF(ISNUMBER(MATCH(Data!E810,Data_Val!$A$2:$A$3,0)),0,1))</f>
        <v/>
      </c>
      <c r="F810" s="9" t="str">
        <f ca="1">IF(Data!B810="","",IF(ISNUMBER(Data!F810),IF(AND(Data!F810&gt;(TODAY()-(Data_Val!$H$3*365.25)),Data!F810&lt;=(TODAY()-(Data_Val!$H$2*365.25))),0,1),1))</f>
        <v/>
      </c>
      <c r="G810" s="15" t="str">
        <f>IF(Data!B810="","",IF(AND(Data!G810="",Data!H810&lt;&gt;""),1,IF(Data!#REF!&lt;&gt;"",0,IF(ISNUMBER(MATCH(Data!G810,Data_Val!$C$2:$C$5,0)),0,1))))</f>
        <v/>
      </c>
      <c r="H810" s="15" t="str">
        <f>IF(Data!B810="","",IF(AND(Data!G810&lt;&gt;"",Data!H810=""),1,IF(Data!#REF!&lt;&gt;"",0,IF(Data!G810="",1,IF(ISNUMBER(MATCH(Data!H810,Data_Val!$D$2:$D$35,0)),0,1)))))</f>
        <v/>
      </c>
      <c r="I810" s="15" t="str">
        <f>IF(Data!B810="","",IF(Data!G810&lt;&gt;"",0,IF(ISNUMBER(MATCH(Data!#REF!,Data_Val!$E$2:$E$12,0)),0,1)))</f>
        <v/>
      </c>
      <c r="J810" s="16" t="e">
        <f>IF(OR(Data!B810="",Data!#REF!=""),"",IF(Data!#REF!="",1,0))</f>
        <v>#REF!</v>
      </c>
      <c r="K810" s="16" t="e">
        <f>IF(OR(Data!B810="",Data!#REF!=""),"",IF(Data!#REF!="",1,0))</f>
        <v>#REF!</v>
      </c>
      <c r="L810" s="16" t="e">
        <f>IF(OR(Data!B810="",Data!#REF!=""),"",IF(ISNUMBER(Data!#REF!),IF(AND(Data!#REF!&gt;Data_Val!$G$2,Data!#REF!&lt;=Data_Val!$G$3),0,1),1))</f>
        <v>#REF!</v>
      </c>
      <c r="M810" s="9" t="e">
        <f>IF(OR(Data!B810="",Data!#REF!=""),"",IF(ISNUMBER(MATCH(Data!#REF!,Data_Val!$F$1:$F$38,0)),0,1))</f>
        <v>#REF!</v>
      </c>
      <c r="N810" s="9" t="e">
        <f>IF(OR(Data!B810="",Data!#REF!=""),"",IF(Data!#REF!="",1,0))</f>
        <v>#REF!</v>
      </c>
      <c r="O810" s="17" t="e">
        <f>IF(Data!#REF!="","",IF(Data!#REF!="",1,0))</f>
        <v>#REF!</v>
      </c>
      <c r="P810" s="17" t="e">
        <f>IF(Data!#REF!="","",IF(ISNUMBER(MATCH(Data!#REF!,Data_Val!$A$2:$A$3,0)),0,1))</f>
        <v>#REF!</v>
      </c>
      <c r="Q810" s="25" t="e">
        <f ca="1">IF(Data!#REF!="","",IF(ISNUMBER(Data!#REF!),IF(AND(Data!#REF!&gt;(TODAY()-(Data_Val!$J$3*365.25)),Data!#REF!&lt;=(TODAY()-(Data_Val!$J$2*365.25))),0,1),1))</f>
        <v>#REF!</v>
      </c>
      <c r="R810" s="17" t="e">
        <f>IF(Data!#REF!="","",IF(ISNUMBER(MATCH(Data!#REF!,Data_Val!$B$2:$B$15,0)),0,1))</f>
        <v>#REF!</v>
      </c>
      <c r="S810" s="11" t="str">
        <f>IF(Data!G810="","",IF(Data!G810=Data_Val!$C$2,IF(Data!M810="",0,1),0))</f>
        <v/>
      </c>
      <c r="T810" s="11" t="str">
        <f>IF(Data!M810="","",IF(ISNUMBER(MATCH(Data!N810,Data_Val!$A$2:$A$3,0)),0,1))</f>
        <v/>
      </c>
      <c r="U810" s="11" t="str">
        <f ca="1">IF(Data!M810="","",IF(ISNUMBER(Data!O810),IF(AND(Data!O810&gt;(TODAY()-(Data_Val!$K$3*365.25)),Data!O810&lt;=(TODAY()-(Data_Val!$K$2*365.25))),0,1),1))</f>
        <v/>
      </c>
      <c r="V810" s="12" t="str">
        <f>IF(Data!G810="","",IF(Data!G810=Data_Val!$C$2,IF(Data!P810="",0,1),0))</f>
        <v/>
      </c>
      <c r="W810" s="12" t="str">
        <f>IF(Data!P810="","",IF(ISNUMBER(MATCH(Data!Q810,Data_Val!$A$2:$A$3,0)),0,1))</f>
        <v/>
      </c>
      <c r="X810" s="26" t="str">
        <f ca="1">IF(Data!P810="","",IF(ISNUMBER(Data!R810),IF(AND(Data!R810&gt;(TODAY()-(Data_Val!$L$3*365.25)),Data!R810&lt;=(TODAY()-(Data_Val!$L$2*365.25))),0,1),1))</f>
        <v/>
      </c>
      <c r="Y810" s="13" t="str">
        <f>IF(Data!$G810="","",IF(Data!$G810=Data_Val!$C$2,IF(Data!S810="",0,1),0))</f>
        <v/>
      </c>
      <c r="Z810" s="13" t="str">
        <f>IF(Data!S810="","",IF(ISNUMBER(MATCH(Data!T810,Data_Val!$A$2:$A$3,0)),0,1))</f>
        <v/>
      </c>
      <c r="AA810" s="28" t="str">
        <f ca="1">IF(Data!S810="","",IF(ISNUMBER(Data!U810),IF(AND(Data!U810&gt;(TODAY()-(Data_Val!$L$3*365.25)),Data!U810&lt;=(TODAY()-(Data_Val!$L$2*365.25))),0,1),1))</f>
        <v/>
      </c>
      <c r="AB810" s="11"/>
      <c r="AC810" s="11" t="e">
        <f>IF(Data!#REF!="","",IF(ISNUMBER(MATCH(Data!#REF!,Data_Val!$A$2:$A$3,0)),0,1))</f>
        <v>#REF!</v>
      </c>
      <c r="AD810" s="11" t="e">
        <f ca="1">IF(Data!#REF!="","",IF(ISNUMBER(Data!#REF!),IF(AND(Data!#REF!&gt;(TODAY()-(Data_Val!$L$3*365.25)),Data!#REF!&lt;=(TODAY()-(Data_Val!$L$2*365.25))),0,1),1))</f>
        <v>#REF!</v>
      </c>
      <c r="AE810" s="11" t="e">
        <f>IF(Data!#REF!="","",IF(Data!$G810="",1,IF(ISNUMBER(MATCH(Data!#REF!,Data_Val!$D$2:$D$10,0)),0,1)))</f>
        <v>#REF!</v>
      </c>
      <c r="AF810" s="12"/>
      <c r="AG810" s="12" t="e">
        <f>IF(Data!#REF!="","",IF(ISNUMBER(MATCH(Data!#REF!,Data_Val!$A$2:$A$3,0)),0,1))</f>
        <v>#REF!</v>
      </c>
      <c r="AH810" s="26" t="e">
        <f ca="1">IF(Data!#REF!="","",IF(ISNUMBER(Data!#REF!),IF(AND(Data!#REF!&gt;(TODAY()-(Data_Val!$L$3*365.25)),Data!#REF!&lt;=(TODAY()-(Data_Val!$L$2*365.25))),0,1),1))</f>
        <v>#REF!</v>
      </c>
      <c r="AI810" s="12" t="e">
        <f>IF(Data!#REF!="","",IF(Data!$G810="",1,IF(ISNUMBER(MATCH(Data!#REF!,Data_Val!$D$2:$D$10,0)),0,1)))</f>
        <v>#REF!</v>
      </c>
      <c r="AJ810" s="17"/>
      <c r="AK810" s="17" t="e">
        <f>IF(Data!#REF!="","",IF(ISNUMBER(MATCH(Data!#REF!,Data_Val!$A$2:$A$3,0)),0,1))</f>
        <v>#REF!</v>
      </c>
      <c r="AL810" s="25" t="e">
        <f ca="1">IF(Data!#REF!="","",IF(ISNUMBER(Data!#REF!),IF(AND(Data!#REF!&gt;(TODAY()-(Data_Val!$L$3*365.25)),Data!#REF!&lt;=(TODAY()-(Data_Val!$L$2*365.25))),0,1),1))</f>
        <v>#REF!</v>
      </c>
      <c r="AM810" s="17" t="e">
        <f>IF(Data!#REF!="","",IF(Data!$G810="",1,IF(ISNUMBER(MATCH(Data!#REF!,Data_Val!$D$2:$D$10,0)),0,1)))</f>
        <v>#REF!</v>
      </c>
      <c r="AN810" s="13"/>
      <c r="AO810" s="28" t="e">
        <f ca="1">IF(Data!#REF!="","",IF(ISNUMBER(Data!#REF!),IF(AND(Data!#REF!&gt;(TODAY()-(Data_Val!$I$3*365.25)),Data!#REF!&lt;=(TODAY()-(Data_Val!$I$2*365.25))),0,1),1))</f>
        <v>#REF!</v>
      </c>
      <c r="AP810" s="13" t="e">
        <f>IF(Data!#REF!="","",IF(Data!$G810="",1,IF(ISNUMBER(MATCH(Data!#REF!,Data_Val!$D$2:$D$10,0)),0,1)))</f>
        <v>#REF!</v>
      </c>
      <c r="AQ810" s="17"/>
      <c r="AR810" s="30" t="e">
        <f ca="1">IF(Data!#REF!="","",IF(ISNUMBER(Data!#REF!),IF(AND(Data!#REF!&gt;(TODAY()-(Data_Val!$I$3*365.25)),Data!#REF!&lt;=(TODAY()-(Data_Val!$I$2*365.25))),0,1),1))</f>
        <v>#REF!</v>
      </c>
      <c r="AS810" s="31" t="e">
        <f>IF(Data!#REF!="","",IF(Data!$G810="",1,IF(ISNUMBER(MATCH(Data!#REF!,Data_Val!$D$2:$D$10,0)),0,1)))</f>
        <v>#REF!</v>
      </c>
      <c r="AT810" s="11"/>
      <c r="AU810" s="11" t="e">
        <f ca="1">IF(Data!#REF!="","",IF(ISNUMBER(Data!#REF!),IF(AND(Data!#REF!&gt;(TODAY()-(Data_Val!$I$3*365.25)),Data!#REF!&lt;=(TODAY()-(Data_Val!$I$2*365.25))),0,1),1))</f>
        <v>#REF!</v>
      </c>
      <c r="AV810" s="11" t="e">
        <f>IF(Data!#REF!="","",IF(Data!$G810="",1,IF(ISNUMBER(MATCH(Data!#REF!,Data_Val!$D$2:$D$10,0)),0,1)))</f>
        <v>#REF!</v>
      </c>
      <c r="AW810" s="12"/>
      <c r="AX810" s="26" t="e">
        <f ca="1">IF(Data!#REF!="","",IF(ISNUMBER(Data!#REF!),IF(AND(Data!#REF!&gt;(TODAY()-(Data_Val!$I$3*365.25)),Data!#REF!&lt;=(TODAY()-(Data_Val!$I$2*365.25))),0,1),1))</f>
        <v>#REF!</v>
      </c>
      <c r="AY810" s="12" t="e">
        <f>IF(Data!#REF!="","",IF(Data!$G810="",1,IF(ISNUMBER(MATCH(Data!#REF!,Data_Val!$D$2:$D$10,0)),0,1)))</f>
        <v>#REF!</v>
      </c>
      <c r="AZ810" s="11"/>
      <c r="BA810" s="19" t="e">
        <f ca="1">IF(Data!#REF!="","",IF(ISNUMBER(Data!#REF!),IF(AND(Data!#REF!&gt;(TODAY()-(Data_Val!$M$3*365.25)),Data!#REF!&lt;=(TODAY()-(Data_Val!$M$2*365.25))),0,1),1))</f>
        <v>#REF!</v>
      </c>
      <c r="BB810" s="11" t="e">
        <f>IF(Data!#REF!="","",IF(Data!$G810="",1,IF(ISNUMBER(MATCH(Data!#REF!,Data_Val!$D$2:$D$10,0)),0,1)))</f>
        <v>#REF!</v>
      </c>
      <c r="BC810" s="12"/>
      <c r="BD810" s="20" t="e">
        <f ca="1">IF(Data!#REF!="","",IF(ISNUMBER(Data!#REF!),IF(AND(Data!#REF!&gt;(TODAY()-(Data_Val!$M$3*365.25)),Data!#REF!&lt;=(TODAY()-(Data_Val!$M$2*365.25))),0,1),1))</f>
        <v>#REF!</v>
      </c>
      <c r="BE810" s="12" t="e">
        <f>IF(Data!#REF!="","",IF(Data!$G810="",1,IF(ISNUMBER(MATCH(Data!#REF!,Data_Val!$D$2:$D$10,0)),0,1)))</f>
        <v>#REF!</v>
      </c>
      <c r="BF810" s="17"/>
      <c r="BG810" s="18" t="e">
        <f ca="1">IF(Data!#REF!="","",IF(ISNUMBER(Data!#REF!),IF(AND(Data!#REF!&gt;(TODAY()-(Data_Val!$M$3*365.25)),Data!#REF!&lt;=(TODAY()-(Data_Val!$M$2*365.25))),0,1),1))</f>
        <v>#REF!</v>
      </c>
      <c r="BH810" s="29" t="e">
        <f>IF(Data!#REF!="","",IF(Data!$G810="",1,IF(ISNUMBER(MATCH(Data!#REF!,Data_Val!$D$2:$D$10,0)),0,1)))</f>
        <v>#REF!</v>
      </c>
      <c r="BI810" s="13"/>
      <c r="BJ810" s="21" t="e">
        <f ca="1">IF(Data!#REF!="","",IF(ISNUMBER(Data!#REF!),IF(AND(Data!#REF!&gt;(TODAY()-(Data_Val!$M$3*365.25)),Data!#REF!&lt;=(TODAY()-(Data_Val!$M$2*365.25))),0,1),1))</f>
        <v>#REF!</v>
      </c>
      <c r="BK810" s="13" t="e">
        <f>IF(Data!#REF!="","",IF(Data!$G810="",1,IF(ISNUMBER(MATCH(Data!#REF!,Data_Val!$D$2:$D$10,0)),0,1)))</f>
        <v>#REF!</v>
      </c>
    </row>
    <row r="811" spans="1:63" x14ac:dyDescent="0.25">
      <c r="A811" s="9" t="str">
        <f>IF(Data!B811="","",IF(COUNTIFS(Data!A$1:'Data'!A811,Data!A811)&lt;=1,0,1))</f>
        <v/>
      </c>
      <c r="B811" s="9"/>
      <c r="C811" s="23" t="str">
        <f>IF(Data!C811="","",(IF(ISNUMBER(MATCH("*@*.?*",Data!C811,0)),0,1)+IF(COUNTIFS(Data!C$1:'Data'!C811,Data!C811)&gt;1,1,0)))</f>
        <v/>
      </c>
      <c r="D811" s="9" t="str">
        <f>IF(Data!B811="","",IF(ISNUMBER(Data!D811),IF(AND(Data!D811&gt;999999999,Data!D811&lt;=9999999999),IF(COUNTIFS(Data!D$1:'Data'!D811,Data!D811)&lt;=1,0,1),1),1))</f>
        <v/>
      </c>
      <c r="E811" s="9" t="str">
        <f>IF(Data!B811="","",IF(ISNUMBER(MATCH(Data!E811,Data_Val!$A$2:$A$3,0)),0,1))</f>
        <v/>
      </c>
      <c r="F811" s="9" t="str">
        <f ca="1">IF(Data!B811="","",IF(ISNUMBER(Data!F811),IF(AND(Data!F811&gt;(TODAY()-(Data_Val!$H$3*365.25)),Data!F811&lt;=(TODAY()-(Data_Val!$H$2*365.25))),0,1),1))</f>
        <v/>
      </c>
      <c r="G811" s="15" t="str">
        <f>IF(Data!B811="","",IF(AND(Data!G811="",Data!H811&lt;&gt;""),1,IF(Data!#REF!&lt;&gt;"",0,IF(ISNUMBER(MATCH(Data!G811,Data_Val!$C$2:$C$5,0)),0,1))))</f>
        <v/>
      </c>
      <c r="H811" s="15" t="str">
        <f>IF(Data!B811="","",IF(AND(Data!G811&lt;&gt;"",Data!H811=""),1,IF(Data!#REF!&lt;&gt;"",0,IF(Data!G811="",1,IF(ISNUMBER(MATCH(Data!H811,Data_Val!$D$2:$D$35,0)),0,1)))))</f>
        <v/>
      </c>
      <c r="I811" s="15" t="str">
        <f>IF(Data!B811="","",IF(Data!G811&lt;&gt;"",0,IF(ISNUMBER(MATCH(Data!#REF!,Data_Val!$E$2:$E$12,0)),0,1)))</f>
        <v/>
      </c>
      <c r="J811" s="16" t="e">
        <f>IF(OR(Data!B811="",Data!#REF!=""),"",IF(Data!#REF!="",1,0))</f>
        <v>#REF!</v>
      </c>
      <c r="K811" s="16" t="e">
        <f>IF(OR(Data!B811="",Data!#REF!=""),"",IF(Data!#REF!="",1,0))</f>
        <v>#REF!</v>
      </c>
      <c r="L811" s="16" t="e">
        <f>IF(OR(Data!B811="",Data!#REF!=""),"",IF(ISNUMBER(Data!#REF!),IF(AND(Data!#REF!&gt;Data_Val!$G$2,Data!#REF!&lt;=Data_Val!$G$3),0,1),1))</f>
        <v>#REF!</v>
      </c>
      <c r="M811" s="9" t="e">
        <f>IF(OR(Data!B811="",Data!#REF!=""),"",IF(ISNUMBER(MATCH(Data!#REF!,Data_Val!$F$1:$F$38,0)),0,1))</f>
        <v>#REF!</v>
      </c>
      <c r="N811" s="9" t="e">
        <f>IF(OR(Data!B811="",Data!#REF!=""),"",IF(Data!#REF!="",1,0))</f>
        <v>#REF!</v>
      </c>
      <c r="O811" s="17" t="e">
        <f>IF(Data!#REF!="","",IF(Data!#REF!="",1,0))</f>
        <v>#REF!</v>
      </c>
      <c r="P811" s="17" t="e">
        <f>IF(Data!#REF!="","",IF(ISNUMBER(MATCH(Data!#REF!,Data_Val!$A$2:$A$3,0)),0,1))</f>
        <v>#REF!</v>
      </c>
      <c r="Q811" s="25" t="e">
        <f ca="1">IF(Data!#REF!="","",IF(ISNUMBER(Data!#REF!),IF(AND(Data!#REF!&gt;(TODAY()-(Data_Val!$J$3*365.25)),Data!#REF!&lt;=(TODAY()-(Data_Val!$J$2*365.25))),0,1),1))</f>
        <v>#REF!</v>
      </c>
      <c r="R811" s="17" t="e">
        <f>IF(Data!#REF!="","",IF(ISNUMBER(MATCH(Data!#REF!,Data_Val!$B$2:$B$15,0)),0,1))</f>
        <v>#REF!</v>
      </c>
      <c r="S811" s="11" t="str">
        <f>IF(Data!G811="","",IF(Data!G811=Data_Val!$C$2,IF(Data!M811="",0,1),0))</f>
        <v/>
      </c>
      <c r="T811" s="11" t="str">
        <f>IF(Data!M811="","",IF(ISNUMBER(MATCH(Data!N811,Data_Val!$A$2:$A$3,0)),0,1))</f>
        <v/>
      </c>
      <c r="U811" s="11" t="str">
        <f ca="1">IF(Data!M811="","",IF(ISNUMBER(Data!O811),IF(AND(Data!O811&gt;(TODAY()-(Data_Val!$K$3*365.25)),Data!O811&lt;=(TODAY()-(Data_Val!$K$2*365.25))),0,1),1))</f>
        <v/>
      </c>
      <c r="V811" s="12" t="str">
        <f>IF(Data!G811="","",IF(Data!G811=Data_Val!$C$2,IF(Data!P811="",0,1),0))</f>
        <v/>
      </c>
      <c r="W811" s="12" t="str">
        <f>IF(Data!P811="","",IF(ISNUMBER(MATCH(Data!Q811,Data_Val!$A$2:$A$3,0)),0,1))</f>
        <v/>
      </c>
      <c r="X811" s="26" t="str">
        <f ca="1">IF(Data!P811="","",IF(ISNUMBER(Data!R811),IF(AND(Data!R811&gt;(TODAY()-(Data_Val!$L$3*365.25)),Data!R811&lt;=(TODAY()-(Data_Val!$L$2*365.25))),0,1),1))</f>
        <v/>
      </c>
      <c r="Y811" s="13" t="str">
        <f>IF(Data!$G811="","",IF(Data!$G811=Data_Val!$C$2,IF(Data!S811="",0,1),0))</f>
        <v/>
      </c>
      <c r="Z811" s="13" t="str">
        <f>IF(Data!S811="","",IF(ISNUMBER(MATCH(Data!T811,Data_Val!$A$2:$A$3,0)),0,1))</f>
        <v/>
      </c>
      <c r="AA811" s="28" t="str">
        <f ca="1">IF(Data!S811="","",IF(ISNUMBER(Data!U811),IF(AND(Data!U811&gt;(TODAY()-(Data_Val!$L$3*365.25)),Data!U811&lt;=(TODAY()-(Data_Val!$L$2*365.25))),0,1),1))</f>
        <v/>
      </c>
      <c r="AB811" s="11"/>
      <c r="AC811" s="11" t="e">
        <f>IF(Data!#REF!="","",IF(ISNUMBER(MATCH(Data!#REF!,Data_Val!$A$2:$A$3,0)),0,1))</f>
        <v>#REF!</v>
      </c>
      <c r="AD811" s="11" t="e">
        <f ca="1">IF(Data!#REF!="","",IF(ISNUMBER(Data!#REF!),IF(AND(Data!#REF!&gt;(TODAY()-(Data_Val!$L$3*365.25)),Data!#REF!&lt;=(TODAY()-(Data_Val!$L$2*365.25))),0,1),1))</f>
        <v>#REF!</v>
      </c>
      <c r="AE811" s="11" t="e">
        <f>IF(Data!#REF!="","",IF(Data!$G811="",1,IF(ISNUMBER(MATCH(Data!#REF!,Data_Val!$D$2:$D$10,0)),0,1)))</f>
        <v>#REF!</v>
      </c>
      <c r="AF811" s="12"/>
      <c r="AG811" s="12" t="e">
        <f>IF(Data!#REF!="","",IF(ISNUMBER(MATCH(Data!#REF!,Data_Val!$A$2:$A$3,0)),0,1))</f>
        <v>#REF!</v>
      </c>
      <c r="AH811" s="26" t="e">
        <f ca="1">IF(Data!#REF!="","",IF(ISNUMBER(Data!#REF!),IF(AND(Data!#REF!&gt;(TODAY()-(Data_Val!$L$3*365.25)),Data!#REF!&lt;=(TODAY()-(Data_Val!$L$2*365.25))),0,1),1))</f>
        <v>#REF!</v>
      </c>
      <c r="AI811" s="12" t="e">
        <f>IF(Data!#REF!="","",IF(Data!$G811="",1,IF(ISNUMBER(MATCH(Data!#REF!,Data_Val!$D$2:$D$10,0)),0,1)))</f>
        <v>#REF!</v>
      </c>
      <c r="AJ811" s="17"/>
      <c r="AK811" s="17" t="e">
        <f>IF(Data!#REF!="","",IF(ISNUMBER(MATCH(Data!#REF!,Data_Val!$A$2:$A$3,0)),0,1))</f>
        <v>#REF!</v>
      </c>
      <c r="AL811" s="25" t="e">
        <f ca="1">IF(Data!#REF!="","",IF(ISNUMBER(Data!#REF!),IF(AND(Data!#REF!&gt;(TODAY()-(Data_Val!$L$3*365.25)),Data!#REF!&lt;=(TODAY()-(Data_Val!$L$2*365.25))),0,1),1))</f>
        <v>#REF!</v>
      </c>
      <c r="AM811" s="17" t="e">
        <f>IF(Data!#REF!="","",IF(Data!$G811="",1,IF(ISNUMBER(MATCH(Data!#REF!,Data_Val!$D$2:$D$10,0)),0,1)))</f>
        <v>#REF!</v>
      </c>
      <c r="AN811" s="13"/>
      <c r="AO811" s="28" t="e">
        <f ca="1">IF(Data!#REF!="","",IF(ISNUMBER(Data!#REF!),IF(AND(Data!#REF!&gt;(TODAY()-(Data_Val!$I$3*365.25)),Data!#REF!&lt;=(TODAY()-(Data_Val!$I$2*365.25))),0,1),1))</f>
        <v>#REF!</v>
      </c>
      <c r="AP811" s="13" t="e">
        <f>IF(Data!#REF!="","",IF(Data!$G811="",1,IF(ISNUMBER(MATCH(Data!#REF!,Data_Val!$D$2:$D$10,0)),0,1)))</f>
        <v>#REF!</v>
      </c>
      <c r="AQ811" s="17"/>
      <c r="AR811" s="30" t="e">
        <f ca="1">IF(Data!#REF!="","",IF(ISNUMBER(Data!#REF!),IF(AND(Data!#REF!&gt;(TODAY()-(Data_Val!$I$3*365.25)),Data!#REF!&lt;=(TODAY()-(Data_Val!$I$2*365.25))),0,1),1))</f>
        <v>#REF!</v>
      </c>
      <c r="AS811" s="31" t="e">
        <f>IF(Data!#REF!="","",IF(Data!$G811="",1,IF(ISNUMBER(MATCH(Data!#REF!,Data_Val!$D$2:$D$10,0)),0,1)))</f>
        <v>#REF!</v>
      </c>
      <c r="AT811" s="11"/>
      <c r="AU811" s="11" t="e">
        <f ca="1">IF(Data!#REF!="","",IF(ISNUMBER(Data!#REF!),IF(AND(Data!#REF!&gt;(TODAY()-(Data_Val!$I$3*365.25)),Data!#REF!&lt;=(TODAY()-(Data_Val!$I$2*365.25))),0,1),1))</f>
        <v>#REF!</v>
      </c>
      <c r="AV811" s="11" t="e">
        <f>IF(Data!#REF!="","",IF(Data!$G811="",1,IF(ISNUMBER(MATCH(Data!#REF!,Data_Val!$D$2:$D$10,0)),0,1)))</f>
        <v>#REF!</v>
      </c>
      <c r="AW811" s="12"/>
      <c r="AX811" s="26" t="e">
        <f ca="1">IF(Data!#REF!="","",IF(ISNUMBER(Data!#REF!),IF(AND(Data!#REF!&gt;(TODAY()-(Data_Val!$I$3*365.25)),Data!#REF!&lt;=(TODAY()-(Data_Val!$I$2*365.25))),0,1),1))</f>
        <v>#REF!</v>
      </c>
      <c r="AY811" s="12" t="e">
        <f>IF(Data!#REF!="","",IF(Data!$G811="",1,IF(ISNUMBER(MATCH(Data!#REF!,Data_Val!$D$2:$D$10,0)),0,1)))</f>
        <v>#REF!</v>
      </c>
      <c r="AZ811" s="11"/>
      <c r="BA811" s="19" t="e">
        <f ca="1">IF(Data!#REF!="","",IF(ISNUMBER(Data!#REF!),IF(AND(Data!#REF!&gt;(TODAY()-(Data_Val!$M$3*365.25)),Data!#REF!&lt;=(TODAY()-(Data_Val!$M$2*365.25))),0,1),1))</f>
        <v>#REF!</v>
      </c>
      <c r="BB811" s="11" t="e">
        <f>IF(Data!#REF!="","",IF(Data!$G811="",1,IF(ISNUMBER(MATCH(Data!#REF!,Data_Val!$D$2:$D$10,0)),0,1)))</f>
        <v>#REF!</v>
      </c>
      <c r="BC811" s="12"/>
      <c r="BD811" s="20" t="e">
        <f ca="1">IF(Data!#REF!="","",IF(ISNUMBER(Data!#REF!),IF(AND(Data!#REF!&gt;(TODAY()-(Data_Val!$M$3*365.25)),Data!#REF!&lt;=(TODAY()-(Data_Val!$M$2*365.25))),0,1),1))</f>
        <v>#REF!</v>
      </c>
      <c r="BE811" s="12" t="e">
        <f>IF(Data!#REF!="","",IF(Data!$G811="",1,IF(ISNUMBER(MATCH(Data!#REF!,Data_Val!$D$2:$D$10,0)),0,1)))</f>
        <v>#REF!</v>
      </c>
      <c r="BF811" s="17"/>
      <c r="BG811" s="18" t="e">
        <f ca="1">IF(Data!#REF!="","",IF(ISNUMBER(Data!#REF!),IF(AND(Data!#REF!&gt;(TODAY()-(Data_Val!$M$3*365.25)),Data!#REF!&lt;=(TODAY()-(Data_Val!$M$2*365.25))),0,1),1))</f>
        <v>#REF!</v>
      </c>
      <c r="BH811" s="29" t="e">
        <f>IF(Data!#REF!="","",IF(Data!$G811="",1,IF(ISNUMBER(MATCH(Data!#REF!,Data_Val!$D$2:$D$10,0)),0,1)))</f>
        <v>#REF!</v>
      </c>
      <c r="BI811" s="13"/>
      <c r="BJ811" s="21" t="e">
        <f ca="1">IF(Data!#REF!="","",IF(ISNUMBER(Data!#REF!),IF(AND(Data!#REF!&gt;(TODAY()-(Data_Val!$M$3*365.25)),Data!#REF!&lt;=(TODAY()-(Data_Val!$M$2*365.25))),0,1),1))</f>
        <v>#REF!</v>
      </c>
      <c r="BK811" s="13" t="e">
        <f>IF(Data!#REF!="","",IF(Data!$G811="",1,IF(ISNUMBER(MATCH(Data!#REF!,Data_Val!$D$2:$D$10,0)),0,1)))</f>
        <v>#REF!</v>
      </c>
    </row>
    <row r="812" spans="1:63" x14ac:dyDescent="0.25">
      <c r="A812" s="9" t="str">
        <f>IF(Data!B812="","",IF(COUNTIFS(Data!A$1:'Data'!A812,Data!A812)&lt;=1,0,1))</f>
        <v/>
      </c>
      <c r="B812" s="9"/>
      <c r="C812" s="23" t="str">
        <f>IF(Data!C812="","",(IF(ISNUMBER(MATCH("*@*.?*",Data!C812,0)),0,1)+IF(COUNTIFS(Data!C$1:'Data'!C812,Data!C812)&gt;1,1,0)))</f>
        <v/>
      </c>
      <c r="D812" s="9" t="str">
        <f>IF(Data!B812="","",IF(ISNUMBER(Data!D812),IF(AND(Data!D812&gt;999999999,Data!D812&lt;=9999999999),IF(COUNTIFS(Data!D$1:'Data'!D812,Data!D812)&lt;=1,0,1),1),1))</f>
        <v/>
      </c>
      <c r="E812" s="9" t="str">
        <f>IF(Data!B812="","",IF(ISNUMBER(MATCH(Data!E812,Data_Val!$A$2:$A$3,0)),0,1))</f>
        <v/>
      </c>
      <c r="F812" s="9" t="str">
        <f ca="1">IF(Data!B812="","",IF(ISNUMBER(Data!F812),IF(AND(Data!F812&gt;(TODAY()-(Data_Val!$H$3*365.25)),Data!F812&lt;=(TODAY()-(Data_Val!$H$2*365.25))),0,1),1))</f>
        <v/>
      </c>
      <c r="G812" s="15" t="str">
        <f>IF(Data!B812="","",IF(AND(Data!G812="",Data!H812&lt;&gt;""),1,IF(Data!#REF!&lt;&gt;"",0,IF(ISNUMBER(MATCH(Data!G812,Data_Val!$C$2:$C$5,0)),0,1))))</f>
        <v/>
      </c>
      <c r="H812" s="15" t="str">
        <f>IF(Data!B812="","",IF(AND(Data!G812&lt;&gt;"",Data!H812=""),1,IF(Data!#REF!&lt;&gt;"",0,IF(Data!G812="",1,IF(ISNUMBER(MATCH(Data!H812,Data_Val!$D$2:$D$35,0)),0,1)))))</f>
        <v/>
      </c>
      <c r="I812" s="15" t="str">
        <f>IF(Data!B812="","",IF(Data!G812&lt;&gt;"",0,IF(ISNUMBER(MATCH(Data!#REF!,Data_Val!$E$2:$E$12,0)),0,1)))</f>
        <v/>
      </c>
      <c r="J812" s="16" t="e">
        <f>IF(OR(Data!B812="",Data!#REF!=""),"",IF(Data!#REF!="",1,0))</f>
        <v>#REF!</v>
      </c>
      <c r="K812" s="16" t="e">
        <f>IF(OR(Data!B812="",Data!#REF!=""),"",IF(Data!#REF!="",1,0))</f>
        <v>#REF!</v>
      </c>
      <c r="L812" s="16" t="e">
        <f>IF(OR(Data!B812="",Data!#REF!=""),"",IF(ISNUMBER(Data!#REF!),IF(AND(Data!#REF!&gt;Data_Val!$G$2,Data!#REF!&lt;=Data_Val!$G$3),0,1),1))</f>
        <v>#REF!</v>
      </c>
      <c r="M812" s="9" t="e">
        <f>IF(OR(Data!B812="",Data!#REF!=""),"",IF(ISNUMBER(MATCH(Data!#REF!,Data_Val!$F$1:$F$38,0)),0,1))</f>
        <v>#REF!</v>
      </c>
      <c r="N812" s="9" t="e">
        <f>IF(OR(Data!B812="",Data!#REF!=""),"",IF(Data!#REF!="",1,0))</f>
        <v>#REF!</v>
      </c>
      <c r="O812" s="17" t="e">
        <f>IF(Data!#REF!="","",IF(Data!#REF!="",1,0))</f>
        <v>#REF!</v>
      </c>
      <c r="P812" s="17" t="e">
        <f>IF(Data!#REF!="","",IF(ISNUMBER(MATCH(Data!#REF!,Data_Val!$A$2:$A$3,0)),0,1))</f>
        <v>#REF!</v>
      </c>
      <c r="Q812" s="25" t="e">
        <f ca="1">IF(Data!#REF!="","",IF(ISNUMBER(Data!#REF!),IF(AND(Data!#REF!&gt;(TODAY()-(Data_Val!$J$3*365.25)),Data!#REF!&lt;=(TODAY()-(Data_Val!$J$2*365.25))),0,1),1))</f>
        <v>#REF!</v>
      </c>
      <c r="R812" s="17" t="e">
        <f>IF(Data!#REF!="","",IF(ISNUMBER(MATCH(Data!#REF!,Data_Val!$B$2:$B$15,0)),0,1))</f>
        <v>#REF!</v>
      </c>
      <c r="S812" s="11" t="str">
        <f>IF(Data!G812="","",IF(Data!G812=Data_Val!$C$2,IF(Data!M812="",0,1),0))</f>
        <v/>
      </c>
      <c r="T812" s="11" t="str">
        <f>IF(Data!M812="","",IF(ISNUMBER(MATCH(Data!N812,Data_Val!$A$2:$A$3,0)),0,1))</f>
        <v/>
      </c>
      <c r="U812" s="11" t="str">
        <f ca="1">IF(Data!M812="","",IF(ISNUMBER(Data!O812),IF(AND(Data!O812&gt;(TODAY()-(Data_Val!$K$3*365.25)),Data!O812&lt;=(TODAY()-(Data_Val!$K$2*365.25))),0,1),1))</f>
        <v/>
      </c>
      <c r="V812" s="12" t="str">
        <f>IF(Data!G812="","",IF(Data!G812=Data_Val!$C$2,IF(Data!P812="",0,1),0))</f>
        <v/>
      </c>
      <c r="W812" s="12" t="str">
        <f>IF(Data!P812="","",IF(ISNUMBER(MATCH(Data!Q812,Data_Val!$A$2:$A$3,0)),0,1))</f>
        <v/>
      </c>
      <c r="X812" s="26" t="str">
        <f ca="1">IF(Data!P812="","",IF(ISNUMBER(Data!R812),IF(AND(Data!R812&gt;(TODAY()-(Data_Val!$L$3*365.25)),Data!R812&lt;=(TODAY()-(Data_Val!$L$2*365.25))),0,1),1))</f>
        <v/>
      </c>
      <c r="Y812" s="13" t="str">
        <f>IF(Data!$G812="","",IF(Data!$G812=Data_Val!$C$2,IF(Data!S812="",0,1),0))</f>
        <v/>
      </c>
      <c r="Z812" s="13" t="str">
        <f>IF(Data!S812="","",IF(ISNUMBER(MATCH(Data!T812,Data_Val!$A$2:$A$3,0)),0,1))</f>
        <v/>
      </c>
      <c r="AA812" s="28" t="str">
        <f ca="1">IF(Data!S812="","",IF(ISNUMBER(Data!U812),IF(AND(Data!U812&gt;(TODAY()-(Data_Val!$L$3*365.25)),Data!U812&lt;=(TODAY()-(Data_Val!$L$2*365.25))),0,1),1))</f>
        <v/>
      </c>
      <c r="AB812" s="11"/>
      <c r="AC812" s="11" t="e">
        <f>IF(Data!#REF!="","",IF(ISNUMBER(MATCH(Data!#REF!,Data_Val!$A$2:$A$3,0)),0,1))</f>
        <v>#REF!</v>
      </c>
      <c r="AD812" s="11" t="e">
        <f ca="1">IF(Data!#REF!="","",IF(ISNUMBER(Data!#REF!),IF(AND(Data!#REF!&gt;(TODAY()-(Data_Val!$L$3*365.25)),Data!#REF!&lt;=(TODAY()-(Data_Val!$L$2*365.25))),0,1),1))</f>
        <v>#REF!</v>
      </c>
      <c r="AE812" s="11" t="e">
        <f>IF(Data!#REF!="","",IF(Data!$G812="",1,IF(ISNUMBER(MATCH(Data!#REF!,Data_Val!$D$2:$D$10,0)),0,1)))</f>
        <v>#REF!</v>
      </c>
      <c r="AF812" s="12"/>
      <c r="AG812" s="12" t="e">
        <f>IF(Data!#REF!="","",IF(ISNUMBER(MATCH(Data!#REF!,Data_Val!$A$2:$A$3,0)),0,1))</f>
        <v>#REF!</v>
      </c>
      <c r="AH812" s="26" t="e">
        <f ca="1">IF(Data!#REF!="","",IF(ISNUMBER(Data!#REF!),IF(AND(Data!#REF!&gt;(TODAY()-(Data_Val!$L$3*365.25)),Data!#REF!&lt;=(TODAY()-(Data_Val!$L$2*365.25))),0,1),1))</f>
        <v>#REF!</v>
      </c>
      <c r="AI812" s="12" t="e">
        <f>IF(Data!#REF!="","",IF(Data!$G812="",1,IF(ISNUMBER(MATCH(Data!#REF!,Data_Val!$D$2:$D$10,0)),0,1)))</f>
        <v>#REF!</v>
      </c>
      <c r="AJ812" s="17"/>
      <c r="AK812" s="17" t="e">
        <f>IF(Data!#REF!="","",IF(ISNUMBER(MATCH(Data!#REF!,Data_Val!$A$2:$A$3,0)),0,1))</f>
        <v>#REF!</v>
      </c>
      <c r="AL812" s="25" t="e">
        <f ca="1">IF(Data!#REF!="","",IF(ISNUMBER(Data!#REF!),IF(AND(Data!#REF!&gt;(TODAY()-(Data_Val!$L$3*365.25)),Data!#REF!&lt;=(TODAY()-(Data_Val!$L$2*365.25))),0,1),1))</f>
        <v>#REF!</v>
      </c>
      <c r="AM812" s="17" t="e">
        <f>IF(Data!#REF!="","",IF(Data!$G812="",1,IF(ISNUMBER(MATCH(Data!#REF!,Data_Val!$D$2:$D$10,0)),0,1)))</f>
        <v>#REF!</v>
      </c>
      <c r="AN812" s="13"/>
      <c r="AO812" s="28" t="e">
        <f ca="1">IF(Data!#REF!="","",IF(ISNUMBER(Data!#REF!),IF(AND(Data!#REF!&gt;(TODAY()-(Data_Val!$I$3*365.25)),Data!#REF!&lt;=(TODAY()-(Data_Val!$I$2*365.25))),0,1),1))</f>
        <v>#REF!</v>
      </c>
      <c r="AP812" s="13" t="e">
        <f>IF(Data!#REF!="","",IF(Data!$G812="",1,IF(ISNUMBER(MATCH(Data!#REF!,Data_Val!$D$2:$D$10,0)),0,1)))</f>
        <v>#REF!</v>
      </c>
      <c r="AQ812" s="17"/>
      <c r="AR812" s="30" t="e">
        <f ca="1">IF(Data!#REF!="","",IF(ISNUMBER(Data!#REF!),IF(AND(Data!#REF!&gt;(TODAY()-(Data_Val!$I$3*365.25)),Data!#REF!&lt;=(TODAY()-(Data_Val!$I$2*365.25))),0,1),1))</f>
        <v>#REF!</v>
      </c>
      <c r="AS812" s="31" t="e">
        <f>IF(Data!#REF!="","",IF(Data!$G812="",1,IF(ISNUMBER(MATCH(Data!#REF!,Data_Val!$D$2:$D$10,0)),0,1)))</f>
        <v>#REF!</v>
      </c>
      <c r="AT812" s="11"/>
      <c r="AU812" s="11" t="e">
        <f ca="1">IF(Data!#REF!="","",IF(ISNUMBER(Data!#REF!),IF(AND(Data!#REF!&gt;(TODAY()-(Data_Val!$I$3*365.25)),Data!#REF!&lt;=(TODAY()-(Data_Val!$I$2*365.25))),0,1),1))</f>
        <v>#REF!</v>
      </c>
      <c r="AV812" s="11" t="e">
        <f>IF(Data!#REF!="","",IF(Data!$G812="",1,IF(ISNUMBER(MATCH(Data!#REF!,Data_Val!$D$2:$D$10,0)),0,1)))</f>
        <v>#REF!</v>
      </c>
      <c r="AW812" s="12"/>
      <c r="AX812" s="26" t="e">
        <f ca="1">IF(Data!#REF!="","",IF(ISNUMBER(Data!#REF!),IF(AND(Data!#REF!&gt;(TODAY()-(Data_Val!$I$3*365.25)),Data!#REF!&lt;=(TODAY()-(Data_Val!$I$2*365.25))),0,1),1))</f>
        <v>#REF!</v>
      </c>
      <c r="AY812" s="12" t="e">
        <f>IF(Data!#REF!="","",IF(Data!$G812="",1,IF(ISNUMBER(MATCH(Data!#REF!,Data_Val!$D$2:$D$10,0)),0,1)))</f>
        <v>#REF!</v>
      </c>
      <c r="AZ812" s="11"/>
      <c r="BA812" s="19" t="e">
        <f ca="1">IF(Data!#REF!="","",IF(ISNUMBER(Data!#REF!),IF(AND(Data!#REF!&gt;(TODAY()-(Data_Val!$M$3*365.25)),Data!#REF!&lt;=(TODAY()-(Data_Val!$M$2*365.25))),0,1),1))</f>
        <v>#REF!</v>
      </c>
      <c r="BB812" s="11" t="e">
        <f>IF(Data!#REF!="","",IF(Data!$G812="",1,IF(ISNUMBER(MATCH(Data!#REF!,Data_Val!$D$2:$D$10,0)),0,1)))</f>
        <v>#REF!</v>
      </c>
      <c r="BC812" s="12"/>
      <c r="BD812" s="20" t="e">
        <f ca="1">IF(Data!#REF!="","",IF(ISNUMBER(Data!#REF!),IF(AND(Data!#REF!&gt;(TODAY()-(Data_Val!$M$3*365.25)),Data!#REF!&lt;=(TODAY()-(Data_Val!$M$2*365.25))),0,1),1))</f>
        <v>#REF!</v>
      </c>
      <c r="BE812" s="12" t="e">
        <f>IF(Data!#REF!="","",IF(Data!$G812="",1,IF(ISNUMBER(MATCH(Data!#REF!,Data_Val!$D$2:$D$10,0)),0,1)))</f>
        <v>#REF!</v>
      </c>
      <c r="BF812" s="17"/>
      <c r="BG812" s="18" t="e">
        <f ca="1">IF(Data!#REF!="","",IF(ISNUMBER(Data!#REF!),IF(AND(Data!#REF!&gt;(TODAY()-(Data_Val!$M$3*365.25)),Data!#REF!&lt;=(TODAY()-(Data_Val!$M$2*365.25))),0,1),1))</f>
        <v>#REF!</v>
      </c>
      <c r="BH812" s="29" t="e">
        <f>IF(Data!#REF!="","",IF(Data!$G812="",1,IF(ISNUMBER(MATCH(Data!#REF!,Data_Val!$D$2:$D$10,0)),0,1)))</f>
        <v>#REF!</v>
      </c>
      <c r="BI812" s="13"/>
      <c r="BJ812" s="21" t="e">
        <f ca="1">IF(Data!#REF!="","",IF(ISNUMBER(Data!#REF!),IF(AND(Data!#REF!&gt;(TODAY()-(Data_Val!$M$3*365.25)),Data!#REF!&lt;=(TODAY()-(Data_Val!$M$2*365.25))),0,1),1))</f>
        <v>#REF!</v>
      </c>
      <c r="BK812" s="13" t="e">
        <f>IF(Data!#REF!="","",IF(Data!$G812="",1,IF(ISNUMBER(MATCH(Data!#REF!,Data_Val!$D$2:$D$10,0)),0,1)))</f>
        <v>#REF!</v>
      </c>
    </row>
    <row r="813" spans="1:63" x14ac:dyDescent="0.25">
      <c r="A813" s="9" t="str">
        <f>IF(Data!B813="","",IF(COUNTIFS(Data!A$1:'Data'!A813,Data!A813)&lt;=1,0,1))</f>
        <v/>
      </c>
      <c r="B813" s="9"/>
      <c r="C813" s="23" t="str">
        <f>IF(Data!C813="","",(IF(ISNUMBER(MATCH("*@*.?*",Data!C813,0)),0,1)+IF(COUNTIFS(Data!C$1:'Data'!C813,Data!C813)&gt;1,1,0)))</f>
        <v/>
      </c>
      <c r="D813" s="9" t="str">
        <f>IF(Data!B813="","",IF(ISNUMBER(Data!D813),IF(AND(Data!D813&gt;999999999,Data!D813&lt;=9999999999),IF(COUNTIFS(Data!D$1:'Data'!D813,Data!D813)&lt;=1,0,1),1),1))</f>
        <v/>
      </c>
      <c r="E813" s="9" t="str">
        <f>IF(Data!B813="","",IF(ISNUMBER(MATCH(Data!E813,Data_Val!$A$2:$A$3,0)),0,1))</f>
        <v/>
      </c>
      <c r="F813" s="9" t="str">
        <f ca="1">IF(Data!B813="","",IF(ISNUMBER(Data!F813),IF(AND(Data!F813&gt;(TODAY()-(Data_Val!$H$3*365.25)),Data!F813&lt;=(TODAY()-(Data_Val!$H$2*365.25))),0,1),1))</f>
        <v/>
      </c>
      <c r="G813" s="15" t="str">
        <f>IF(Data!B813="","",IF(AND(Data!G813="",Data!H813&lt;&gt;""),1,IF(Data!#REF!&lt;&gt;"",0,IF(ISNUMBER(MATCH(Data!G813,Data_Val!$C$2:$C$5,0)),0,1))))</f>
        <v/>
      </c>
      <c r="H813" s="15" t="str">
        <f>IF(Data!B813="","",IF(AND(Data!G813&lt;&gt;"",Data!H813=""),1,IF(Data!#REF!&lt;&gt;"",0,IF(Data!G813="",1,IF(ISNUMBER(MATCH(Data!H813,Data_Val!$D$2:$D$35,0)),0,1)))))</f>
        <v/>
      </c>
      <c r="I813" s="15" t="str">
        <f>IF(Data!B813="","",IF(Data!G813&lt;&gt;"",0,IF(ISNUMBER(MATCH(Data!#REF!,Data_Val!$E$2:$E$12,0)),0,1)))</f>
        <v/>
      </c>
      <c r="J813" s="16" t="e">
        <f>IF(OR(Data!B813="",Data!#REF!=""),"",IF(Data!#REF!="",1,0))</f>
        <v>#REF!</v>
      </c>
      <c r="K813" s="16" t="e">
        <f>IF(OR(Data!B813="",Data!#REF!=""),"",IF(Data!#REF!="",1,0))</f>
        <v>#REF!</v>
      </c>
      <c r="L813" s="16" t="e">
        <f>IF(OR(Data!B813="",Data!#REF!=""),"",IF(ISNUMBER(Data!#REF!),IF(AND(Data!#REF!&gt;Data_Val!$G$2,Data!#REF!&lt;=Data_Val!$G$3),0,1),1))</f>
        <v>#REF!</v>
      </c>
      <c r="M813" s="9" t="e">
        <f>IF(OR(Data!B813="",Data!#REF!=""),"",IF(ISNUMBER(MATCH(Data!#REF!,Data_Val!$F$1:$F$38,0)),0,1))</f>
        <v>#REF!</v>
      </c>
      <c r="N813" s="9" t="e">
        <f>IF(OR(Data!B813="",Data!#REF!=""),"",IF(Data!#REF!="",1,0))</f>
        <v>#REF!</v>
      </c>
      <c r="O813" s="17" t="e">
        <f>IF(Data!#REF!="","",IF(Data!#REF!="",1,0))</f>
        <v>#REF!</v>
      </c>
      <c r="P813" s="17" t="e">
        <f>IF(Data!#REF!="","",IF(ISNUMBER(MATCH(Data!#REF!,Data_Val!$A$2:$A$3,0)),0,1))</f>
        <v>#REF!</v>
      </c>
      <c r="Q813" s="25" t="e">
        <f ca="1">IF(Data!#REF!="","",IF(ISNUMBER(Data!#REF!),IF(AND(Data!#REF!&gt;(TODAY()-(Data_Val!$J$3*365.25)),Data!#REF!&lt;=(TODAY()-(Data_Val!$J$2*365.25))),0,1),1))</f>
        <v>#REF!</v>
      </c>
      <c r="R813" s="17" t="e">
        <f>IF(Data!#REF!="","",IF(ISNUMBER(MATCH(Data!#REF!,Data_Val!$B$2:$B$15,0)),0,1))</f>
        <v>#REF!</v>
      </c>
      <c r="S813" s="11" t="str">
        <f>IF(Data!G813="","",IF(Data!G813=Data_Val!$C$2,IF(Data!M813="",0,1),0))</f>
        <v/>
      </c>
      <c r="T813" s="11" t="str">
        <f>IF(Data!M813="","",IF(ISNUMBER(MATCH(Data!N813,Data_Val!$A$2:$A$3,0)),0,1))</f>
        <v/>
      </c>
      <c r="U813" s="11" t="str">
        <f ca="1">IF(Data!M813="","",IF(ISNUMBER(Data!O813),IF(AND(Data!O813&gt;(TODAY()-(Data_Val!$K$3*365.25)),Data!O813&lt;=(TODAY()-(Data_Val!$K$2*365.25))),0,1),1))</f>
        <v/>
      </c>
      <c r="V813" s="12" t="str">
        <f>IF(Data!G813="","",IF(Data!G813=Data_Val!$C$2,IF(Data!P813="",0,1),0))</f>
        <v/>
      </c>
      <c r="W813" s="12" t="str">
        <f>IF(Data!P813="","",IF(ISNUMBER(MATCH(Data!Q813,Data_Val!$A$2:$A$3,0)),0,1))</f>
        <v/>
      </c>
      <c r="X813" s="26" t="str">
        <f ca="1">IF(Data!P813="","",IF(ISNUMBER(Data!R813),IF(AND(Data!R813&gt;(TODAY()-(Data_Val!$L$3*365.25)),Data!R813&lt;=(TODAY()-(Data_Val!$L$2*365.25))),0,1),1))</f>
        <v/>
      </c>
      <c r="Y813" s="13" t="str">
        <f>IF(Data!$G813="","",IF(Data!$G813=Data_Val!$C$2,IF(Data!S813="",0,1),0))</f>
        <v/>
      </c>
      <c r="Z813" s="13" t="str">
        <f>IF(Data!S813="","",IF(ISNUMBER(MATCH(Data!T813,Data_Val!$A$2:$A$3,0)),0,1))</f>
        <v/>
      </c>
      <c r="AA813" s="28" t="str">
        <f ca="1">IF(Data!S813="","",IF(ISNUMBER(Data!U813),IF(AND(Data!U813&gt;(TODAY()-(Data_Val!$L$3*365.25)),Data!U813&lt;=(TODAY()-(Data_Val!$L$2*365.25))),0,1),1))</f>
        <v/>
      </c>
      <c r="AB813" s="11"/>
      <c r="AC813" s="11" t="e">
        <f>IF(Data!#REF!="","",IF(ISNUMBER(MATCH(Data!#REF!,Data_Val!$A$2:$A$3,0)),0,1))</f>
        <v>#REF!</v>
      </c>
      <c r="AD813" s="11" t="e">
        <f ca="1">IF(Data!#REF!="","",IF(ISNUMBER(Data!#REF!),IF(AND(Data!#REF!&gt;(TODAY()-(Data_Val!$L$3*365.25)),Data!#REF!&lt;=(TODAY()-(Data_Val!$L$2*365.25))),0,1),1))</f>
        <v>#REF!</v>
      </c>
      <c r="AE813" s="11" t="e">
        <f>IF(Data!#REF!="","",IF(Data!$G813="",1,IF(ISNUMBER(MATCH(Data!#REF!,Data_Val!$D$2:$D$10,0)),0,1)))</f>
        <v>#REF!</v>
      </c>
      <c r="AF813" s="12"/>
      <c r="AG813" s="12" t="e">
        <f>IF(Data!#REF!="","",IF(ISNUMBER(MATCH(Data!#REF!,Data_Val!$A$2:$A$3,0)),0,1))</f>
        <v>#REF!</v>
      </c>
      <c r="AH813" s="26" t="e">
        <f ca="1">IF(Data!#REF!="","",IF(ISNUMBER(Data!#REF!),IF(AND(Data!#REF!&gt;(TODAY()-(Data_Val!$L$3*365.25)),Data!#REF!&lt;=(TODAY()-(Data_Val!$L$2*365.25))),0,1),1))</f>
        <v>#REF!</v>
      </c>
      <c r="AI813" s="12" t="e">
        <f>IF(Data!#REF!="","",IF(Data!$G813="",1,IF(ISNUMBER(MATCH(Data!#REF!,Data_Val!$D$2:$D$10,0)),0,1)))</f>
        <v>#REF!</v>
      </c>
      <c r="AJ813" s="17"/>
      <c r="AK813" s="17" t="e">
        <f>IF(Data!#REF!="","",IF(ISNUMBER(MATCH(Data!#REF!,Data_Val!$A$2:$A$3,0)),0,1))</f>
        <v>#REF!</v>
      </c>
      <c r="AL813" s="25" t="e">
        <f ca="1">IF(Data!#REF!="","",IF(ISNUMBER(Data!#REF!),IF(AND(Data!#REF!&gt;(TODAY()-(Data_Val!$L$3*365.25)),Data!#REF!&lt;=(TODAY()-(Data_Val!$L$2*365.25))),0,1),1))</f>
        <v>#REF!</v>
      </c>
      <c r="AM813" s="17" t="e">
        <f>IF(Data!#REF!="","",IF(Data!$G813="",1,IF(ISNUMBER(MATCH(Data!#REF!,Data_Val!$D$2:$D$10,0)),0,1)))</f>
        <v>#REF!</v>
      </c>
      <c r="AN813" s="13"/>
      <c r="AO813" s="28" t="e">
        <f ca="1">IF(Data!#REF!="","",IF(ISNUMBER(Data!#REF!),IF(AND(Data!#REF!&gt;(TODAY()-(Data_Val!$I$3*365.25)),Data!#REF!&lt;=(TODAY()-(Data_Val!$I$2*365.25))),0,1),1))</f>
        <v>#REF!</v>
      </c>
      <c r="AP813" s="13" t="e">
        <f>IF(Data!#REF!="","",IF(Data!$G813="",1,IF(ISNUMBER(MATCH(Data!#REF!,Data_Val!$D$2:$D$10,0)),0,1)))</f>
        <v>#REF!</v>
      </c>
      <c r="AQ813" s="17"/>
      <c r="AR813" s="30" t="e">
        <f ca="1">IF(Data!#REF!="","",IF(ISNUMBER(Data!#REF!),IF(AND(Data!#REF!&gt;(TODAY()-(Data_Val!$I$3*365.25)),Data!#REF!&lt;=(TODAY()-(Data_Val!$I$2*365.25))),0,1),1))</f>
        <v>#REF!</v>
      </c>
      <c r="AS813" s="31" t="e">
        <f>IF(Data!#REF!="","",IF(Data!$G813="",1,IF(ISNUMBER(MATCH(Data!#REF!,Data_Val!$D$2:$D$10,0)),0,1)))</f>
        <v>#REF!</v>
      </c>
      <c r="AT813" s="11"/>
      <c r="AU813" s="11" t="e">
        <f ca="1">IF(Data!#REF!="","",IF(ISNUMBER(Data!#REF!),IF(AND(Data!#REF!&gt;(TODAY()-(Data_Val!$I$3*365.25)),Data!#REF!&lt;=(TODAY()-(Data_Val!$I$2*365.25))),0,1),1))</f>
        <v>#REF!</v>
      </c>
      <c r="AV813" s="11" t="e">
        <f>IF(Data!#REF!="","",IF(Data!$G813="",1,IF(ISNUMBER(MATCH(Data!#REF!,Data_Val!$D$2:$D$10,0)),0,1)))</f>
        <v>#REF!</v>
      </c>
      <c r="AW813" s="12"/>
      <c r="AX813" s="26" t="e">
        <f ca="1">IF(Data!#REF!="","",IF(ISNUMBER(Data!#REF!),IF(AND(Data!#REF!&gt;(TODAY()-(Data_Val!$I$3*365.25)),Data!#REF!&lt;=(TODAY()-(Data_Val!$I$2*365.25))),0,1),1))</f>
        <v>#REF!</v>
      </c>
      <c r="AY813" s="12" t="e">
        <f>IF(Data!#REF!="","",IF(Data!$G813="",1,IF(ISNUMBER(MATCH(Data!#REF!,Data_Val!$D$2:$D$10,0)),0,1)))</f>
        <v>#REF!</v>
      </c>
      <c r="AZ813" s="11"/>
      <c r="BA813" s="19" t="e">
        <f ca="1">IF(Data!#REF!="","",IF(ISNUMBER(Data!#REF!),IF(AND(Data!#REF!&gt;(TODAY()-(Data_Val!$M$3*365.25)),Data!#REF!&lt;=(TODAY()-(Data_Val!$M$2*365.25))),0,1),1))</f>
        <v>#REF!</v>
      </c>
      <c r="BB813" s="11" t="e">
        <f>IF(Data!#REF!="","",IF(Data!$G813="",1,IF(ISNUMBER(MATCH(Data!#REF!,Data_Val!$D$2:$D$10,0)),0,1)))</f>
        <v>#REF!</v>
      </c>
      <c r="BC813" s="12"/>
      <c r="BD813" s="20" t="e">
        <f ca="1">IF(Data!#REF!="","",IF(ISNUMBER(Data!#REF!),IF(AND(Data!#REF!&gt;(TODAY()-(Data_Val!$M$3*365.25)),Data!#REF!&lt;=(TODAY()-(Data_Val!$M$2*365.25))),0,1),1))</f>
        <v>#REF!</v>
      </c>
      <c r="BE813" s="12" t="e">
        <f>IF(Data!#REF!="","",IF(Data!$G813="",1,IF(ISNUMBER(MATCH(Data!#REF!,Data_Val!$D$2:$D$10,0)),0,1)))</f>
        <v>#REF!</v>
      </c>
      <c r="BF813" s="17"/>
      <c r="BG813" s="18" t="e">
        <f ca="1">IF(Data!#REF!="","",IF(ISNUMBER(Data!#REF!),IF(AND(Data!#REF!&gt;(TODAY()-(Data_Val!$M$3*365.25)),Data!#REF!&lt;=(TODAY()-(Data_Val!$M$2*365.25))),0,1),1))</f>
        <v>#REF!</v>
      </c>
      <c r="BH813" s="29" t="e">
        <f>IF(Data!#REF!="","",IF(Data!$G813="",1,IF(ISNUMBER(MATCH(Data!#REF!,Data_Val!$D$2:$D$10,0)),0,1)))</f>
        <v>#REF!</v>
      </c>
      <c r="BI813" s="13"/>
      <c r="BJ813" s="21" t="e">
        <f ca="1">IF(Data!#REF!="","",IF(ISNUMBER(Data!#REF!),IF(AND(Data!#REF!&gt;(TODAY()-(Data_Val!$M$3*365.25)),Data!#REF!&lt;=(TODAY()-(Data_Val!$M$2*365.25))),0,1),1))</f>
        <v>#REF!</v>
      </c>
      <c r="BK813" s="13" t="e">
        <f>IF(Data!#REF!="","",IF(Data!$G813="",1,IF(ISNUMBER(MATCH(Data!#REF!,Data_Val!$D$2:$D$10,0)),0,1)))</f>
        <v>#REF!</v>
      </c>
    </row>
    <row r="814" spans="1:63" x14ac:dyDescent="0.25">
      <c r="A814" s="9" t="str">
        <f>IF(Data!B814="","",IF(COUNTIFS(Data!A$1:'Data'!A814,Data!A814)&lt;=1,0,1))</f>
        <v/>
      </c>
      <c r="B814" s="9"/>
      <c r="C814" s="23" t="str">
        <f>IF(Data!C814="","",(IF(ISNUMBER(MATCH("*@*.?*",Data!C814,0)),0,1)+IF(COUNTIFS(Data!C$1:'Data'!C814,Data!C814)&gt;1,1,0)))</f>
        <v/>
      </c>
      <c r="D814" s="9" t="str">
        <f>IF(Data!B814="","",IF(ISNUMBER(Data!D814),IF(AND(Data!D814&gt;999999999,Data!D814&lt;=9999999999),IF(COUNTIFS(Data!D$1:'Data'!D814,Data!D814)&lt;=1,0,1),1),1))</f>
        <v/>
      </c>
      <c r="E814" s="9" t="str">
        <f>IF(Data!B814="","",IF(ISNUMBER(MATCH(Data!E814,Data_Val!$A$2:$A$3,0)),0,1))</f>
        <v/>
      </c>
      <c r="F814" s="9" t="str">
        <f ca="1">IF(Data!B814="","",IF(ISNUMBER(Data!F814),IF(AND(Data!F814&gt;(TODAY()-(Data_Val!$H$3*365.25)),Data!F814&lt;=(TODAY()-(Data_Val!$H$2*365.25))),0,1),1))</f>
        <v/>
      </c>
      <c r="G814" s="15" t="str">
        <f>IF(Data!B814="","",IF(AND(Data!G814="",Data!H814&lt;&gt;""),1,IF(Data!#REF!&lt;&gt;"",0,IF(ISNUMBER(MATCH(Data!G814,Data_Val!$C$2:$C$5,0)),0,1))))</f>
        <v/>
      </c>
      <c r="H814" s="15" t="str">
        <f>IF(Data!B814="","",IF(AND(Data!G814&lt;&gt;"",Data!H814=""),1,IF(Data!#REF!&lt;&gt;"",0,IF(Data!G814="",1,IF(ISNUMBER(MATCH(Data!H814,Data_Val!$D$2:$D$35,0)),0,1)))))</f>
        <v/>
      </c>
      <c r="I814" s="15" t="str">
        <f>IF(Data!B814="","",IF(Data!G814&lt;&gt;"",0,IF(ISNUMBER(MATCH(Data!#REF!,Data_Val!$E$2:$E$12,0)),0,1)))</f>
        <v/>
      </c>
      <c r="J814" s="16" t="e">
        <f>IF(OR(Data!B814="",Data!#REF!=""),"",IF(Data!#REF!="",1,0))</f>
        <v>#REF!</v>
      </c>
      <c r="K814" s="16" t="e">
        <f>IF(OR(Data!B814="",Data!#REF!=""),"",IF(Data!#REF!="",1,0))</f>
        <v>#REF!</v>
      </c>
      <c r="L814" s="16" t="e">
        <f>IF(OR(Data!B814="",Data!#REF!=""),"",IF(ISNUMBER(Data!#REF!),IF(AND(Data!#REF!&gt;Data_Val!$G$2,Data!#REF!&lt;=Data_Val!$G$3),0,1),1))</f>
        <v>#REF!</v>
      </c>
      <c r="M814" s="9" t="e">
        <f>IF(OR(Data!B814="",Data!#REF!=""),"",IF(ISNUMBER(MATCH(Data!#REF!,Data_Val!$F$1:$F$38,0)),0,1))</f>
        <v>#REF!</v>
      </c>
      <c r="N814" s="9" t="e">
        <f>IF(OR(Data!B814="",Data!#REF!=""),"",IF(Data!#REF!="",1,0))</f>
        <v>#REF!</v>
      </c>
      <c r="O814" s="17" t="e">
        <f>IF(Data!#REF!="","",IF(Data!#REF!="",1,0))</f>
        <v>#REF!</v>
      </c>
      <c r="P814" s="17" t="e">
        <f>IF(Data!#REF!="","",IF(ISNUMBER(MATCH(Data!#REF!,Data_Val!$A$2:$A$3,0)),0,1))</f>
        <v>#REF!</v>
      </c>
      <c r="Q814" s="25" t="e">
        <f ca="1">IF(Data!#REF!="","",IF(ISNUMBER(Data!#REF!),IF(AND(Data!#REF!&gt;(TODAY()-(Data_Val!$J$3*365.25)),Data!#REF!&lt;=(TODAY()-(Data_Val!$J$2*365.25))),0,1),1))</f>
        <v>#REF!</v>
      </c>
      <c r="R814" s="17" t="e">
        <f>IF(Data!#REF!="","",IF(ISNUMBER(MATCH(Data!#REF!,Data_Val!$B$2:$B$15,0)),0,1))</f>
        <v>#REF!</v>
      </c>
      <c r="S814" s="11" t="str">
        <f>IF(Data!G814="","",IF(Data!G814=Data_Val!$C$2,IF(Data!M814="",0,1),0))</f>
        <v/>
      </c>
      <c r="T814" s="11" t="str">
        <f>IF(Data!M814="","",IF(ISNUMBER(MATCH(Data!N814,Data_Val!$A$2:$A$3,0)),0,1))</f>
        <v/>
      </c>
      <c r="U814" s="11" t="str">
        <f ca="1">IF(Data!M814="","",IF(ISNUMBER(Data!O814),IF(AND(Data!O814&gt;(TODAY()-(Data_Val!$K$3*365.25)),Data!O814&lt;=(TODAY()-(Data_Val!$K$2*365.25))),0,1),1))</f>
        <v/>
      </c>
      <c r="V814" s="12" t="str">
        <f>IF(Data!G814="","",IF(Data!G814=Data_Val!$C$2,IF(Data!P814="",0,1),0))</f>
        <v/>
      </c>
      <c r="W814" s="12" t="str">
        <f>IF(Data!P814="","",IF(ISNUMBER(MATCH(Data!Q814,Data_Val!$A$2:$A$3,0)),0,1))</f>
        <v/>
      </c>
      <c r="X814" s="26" t="str">
        <f ca="1">IF(Data!P814="","",IF(ISNUMBER(Data!R814),IF(AND(Data!R814&gt;(TODAY()-(Data_Val!$L$3*365.25)),Data!R814&lt;=(TODAY()-(Data_Val!$L$2*365.25))),0,1),1))</f>
        <v/>
      </c>
      <c r="Y814" s="13" t="str">
        <f>IF(Data!$G814="","",IF(Data!$G814=Data_Val!$C$2,IF(Data!S814="",0,1),0))</f>
        <v/>
      </c>
      <c r="Z814" s="13" t="str">
        <f>IF(Data!S814="","",IF(ISNUMBER(MATCH(Data!T814,Data_Val!$A$2:$A$3,0)),0,1))</f>
        <v/>
      </c>
      <c r="AA814" s="28" t="str">
        <f ca="1">IF(Data!S814="","",IF(ISNUMBER(Data!U814),IF(AND(Data!U814&gt;(TODAY()-(Data_Val!$L$3*365.25)),Data!U814&lt;=(TODAY()-(Data_Val!$L$2*365.25))),0,1),1))</f>
        <v/>
      </c>
      <c r="AB814" s="11"/>
      <c r="AC814" s="11" t="e">
        <f>IF(Data!#REF!="","",IF(ISNUMBER(MATCH(Data!#REF!,Data_Val!$A$2:$A$3,0)),0,1))</f>
        <v>#REF!</v>
      </c>
      <c r="AD814" s="11" t="e">
        <f ca="1">IF(Data!#REF!="","",IF(ISNUMBER(Data!#REF!),IF(AND(Data!#REF!&gt;(TODAY()-(Data_Val!$L$3*365.25)),Data!#REF!&lt;=(TODAY()-(Data_Val!$L$2*365.25))),0,1),1))</f>
        <v>#REF!</v>
      </c>
      <c r="AE814" s="11" t="e">
        <f>IF(Data!#REF!="","",IF(Data!$G814="",1,IF(ISNUMBER(MATCH(Data!#REF!,Data_Val!$D$2:$D$10,0)),0,1)))</f>
        <v>#REF!</v>
      </c>
      <c r="AF814" s="12"/>
      <c r="AG814" s="12" t="e">
        <f>IF(Data!#REF!="","",IF(ISNUMBER(MATCH(Data!#REF!,Data_Val!$A$2:$A$3,0)),0,1))</f>
        <v>#REF!</v>
      </c>
      <c r="AH814" s="26" t="e">
        <f ca="1">IF(Data!#REF!="","",IF(ISNUMBER(Data!#REF!),IF(AND(Data!#REF!&gt;(TODAY()-(Data_Val!$L$3*365.25)),Data!#REF!&lt;=(TODAY()-(Data_Val!$L$2*365.25))),0,1),1))</f>
        <v>#REF!</v>
      </c>
      <c r="AI814" s="12" t="e">
        <f>IF(Data!#REF!="","",IF(Data!$G814="",1,IF(ISNUMBER(MATCH(Data!#REF!,Data_Val!$D$2:$D$10,0)),0,1)))</f>
        <v>#REF!</v>
      </c>
      <c r="AJ814" s="17"/>
      <c r="AK814" s="17" t="e">
        <f>IF(Data!#REF!="","",IF(ISNUMBER(MATCH(Data!#REF!,Data_Val!$A$2:$A$3,0)),0,1))</f>
        <v>#REF!</v>
      </c>
      <c r="AL814" s="25" t="e">
        <f ca="1">IF(Data!#REF!="","",IF(ISNUMBER(Data!#REF!),IF(AND(Data!#REF!&gt;(TODAY()-(Data_Val!$L$3*365.25)),Data!#REF!&lt;=(TODAY()-(Data_Val!$L$2*365.25))),0,1),1))</f>
        <v>#REF!</v>
      </c>
      <c r="AM814" s="17" t="e">
        <f>IF(Data!#REF!="","",IF(Data!$G814="",1,IF(ISNUMBER(MATCH(Data!#REF!,Data_Val!$D$2:$D$10,0)),0,1)))</f>
        <v>#REF!</v>
      </c>
      <c r="AN814" s="13"/>
      <c r="AO814" s="28" t="e">
        <f ca="1">IF(Data!#REF!="","",IF(ISNUMBER(Data!#REF!),IF(AND(Data!#REF!&gt;(TODAY()-(Data_Val!$I$3*365.25)),Data!#REF!&lt;=(TODAY()-(Data_Val!$I$2*365.25))),0,1),1))</f>
        <v>#REF!</v>
      </c>
      <c r="AP814" s="13" t="e">
        <f>IF(Data!#REF!="","",IF(Data!$G814="",1,IF(ISNUMBER(MATCH(Data!#REF!,Data_Val!$D$2:$D$10,0)),0,1)))</f>
        <v>#REF!</v>
      </c>
      <c r="AQ814" s="17"/>
      <c r="AR814" s="30" t="e">
        <f ca="1">IF(Data!#REF!="","",IF(ISNUMBER(Data!#REF!),IF(AND(Data!#REF!&gt;(TODAY()-(Data_Val!$I$3*365.25)),Data!#REF!&lt;=(TODAY()-(Data_Val!$I$2*365.25))),0,1),1))</f>
        <v>#REF!</v>
      </c>
      <c r="AS814" s="31" t="e">
        <f>IF(Data!#REF!="","",IF(Data!$G814="",1,IF(ISNUMBER(MATCH(Data!#REF!,Data_Val!$D$2:$D$10,0)),0,1)))</f>
        <v>#REF!</v>
      </c>
      <c r="AT814" s="11"/>
      <c r="AU814" s="11" t="e">
        <f ca="1">IF(Data!#REF!="","",IF(ISNUMBER(Data!#REF!),IF(AND(Data!#REF!&gt;(TODAY()-(Data_Val!$I$3*365.25)),Data!#REF!&lt;=(TODAY()-(Data_Val!$I$2*365.25))),0,1),1))</f>
        <v>#REF!</v>
      </c>
      <c r="AV814" s="11" t="e">
        <f>IF(Data!#REF!="","",IF(Data!$G814="",1,IF(ISNUMBER(MATCH(Data!#REF!,Data_Val!$D$2:$D$10,0)),0,1)))</f>
        <v>#REF!</v>
      </c>
      <c r="AW814" s="12"/>
      <c r="AX814" s="26" t="e">
        <f ca="1">IF(Data!#REF!="","",IF(ISNUMBER(Data!#REF!),IF(AND(Data!#REF!&gt;(TODAY()-(Data_Val!$I$3*365.25)),Data!#REF!&lt;=(TODAY()-(Data_Val!$I$2*365.25))),0,1),1))</f>
        <v>#REF!</v>
      </c>
      <c r="AY814" s="12" t="e">
        <f>IF(Data!#REF!="","",IF(Data!$G814="",1,IF(ISNUMBER(MATCH(Data!#REF!,Data_Val!$D$2:$D$10,0)),0,1)))</f>
        <v>#REF!</v>
      </c>
      <c r="AZ814" s="11"/>
      <c r="BA814" s="19" t="e">
        <f ca="1">IF(Data!#REF!="","",IF(ISNUMBER(Data!#REF!),IF(AND(Data!#REF!&gt;(TODAY()-(Data_Val!$M$3*365.25)),Data!#REF!&lt;=(TODAY()-(Data_Val!$M$2*365.25))),0,1),1))</f>
        <v>#REF!</v>
      </c>
      <c r="BB814" s="11" t="e">
        <f>IF(Data!#REF!="","",IF(Data!$G814="",1,IF(ISNUMBER(MATCH(Data!#REF!,Data_Val!$D$2:$D$10,0)),0,1)))</f>
        <v>#REF!</v>
      </c>
      <c r="BC814" s="12"/>
      <c r="BD814" s="20" t="e">
        <f ca="1">IF(Data!#REF!="","",IF(ISNUMBER(Data!#REF!),IF(AND(Data!#REF!&gt;(TODAY()-(Data_Val!$M$3*365.25)),Data!#REF!&lt;=(TODAY()-(Data_Val!$M$2*365.25))),0,1),1))</f>
        <v>#REF!</v>
      </c>
      <c r="BE814" s="12" t="e">
        <f>IF(Data!#REF!="","",IF(Data!$G814="",1,IF(ISNUMBER(MATCH(Data!#REF!,Data_Val!$D$2:$D$10,0)),0,1)))</f>
        <v>#REF!</v>
      </c>
      <c r="BF814" s="17"/>
      <c r="BG814" s="18" t="e">
        <f ca="1">IF(Data!#REF!="","",IF(ISNUMBER(Data!#REF!),IF(AND(Data!#REF!&gt;(TODAY()-(Data_Val!$M$3*365.25)),Data!#REF!&lt;=(TODAY()-(Data_Val!$M$2*365.25))),0,1),1))</f>
        <v>#REF!</v>
      </c>
      <c r="BH814" s="29" t="e">
        <f>IF(Data!#REF!="","",IF(Data!$G814="",1,IF(ISNUMBER(MATCH(Data!#REF!,Data_Val!$D$2:$D$10,0)),0,1)))</f>
        <v>#REF!</v>
      </c>
      <c r="BI814" s="13"/>
      <c r="BJ814" s="21" t="e">
        <f ca="1">IF(Data!#REF!="","",IF(ISNUMBER(Data!#REF!),IF(AND(Data!#REF!&gt;(TODAY()-(Data_Val!$M$3*365.25)),Data!#REF!&lt;=(TODAY()-(Data_Val!$M$2*365.25))),0,1),1))</f>
        <v>#REF!</v>
      </c>
      <c r="BK814" s="13" t="e">
        <f>IF(Data!#REF!="","",IF(Data!$G814="",1,IF(ISNUMBER(MATCH(Data!#REF!,Data_Val!$D$2:$D$10,0)),0,1)))</f>
        <v>#REF!</v>
      </c>
    </row>
    <row r="815" spans="1:63" x14ac:dyDescent="0.25">
      <c r="A815" s="9" t="str">
        <f>IF(Data!B815="","",IF(COUNTIFS(Data!A$1:'Data'!A815,Data!A815)&lt;=1,0,1))</f>
        <v/>
      </c>
      <c r="B815" s="9"/>
      <c r="C815" s="23" t="str">
        <f>IF(Data!C815="","",(IF(ISNUMBER(MATCH("*@*.?*",Data!C815,0)),0,1)+IF(COUNTIFS(Data!C$1:'Data'!C815,Data!C815)&gt;1,1,0)))</f>
        <v/>
      </c>
      <c r="D815" s="9" t="str">
        <f>IF(Data!B815="","",IF(ISNUMBER(Data!D815),IF(AND(Data!D815&gt;999999999,Data!D815&lt;=9999999999),IF(COUNTIFS(Data!D$1:'Data'!D815,Data!D815)&lt;=1,0,1),1),1))</f>
        <v/>
      </c>
      <c r="E815" s="9" t="str">
        <f>IF(Data!B815="","",IF(ISNUMBER(MATCH(Data!E815,Data_Val!$A$2:$A$3,0)),0,1))</f>
        <v/>
      </c>
      <c r="F815" s="9" t="str">
        <f ca="1">IF(Data!B815="","",IF(ISNUMBER(Data!F815),IF(AND(Data!F815&gt;(TODAY()-(Data_Val!$H$3*365.25)),Data!F815&lt;=(TODAY()-(Data_Val!$H$2*365.25))),0,1),1))</f>
        <v/>
      </c>
      <c r="G815" s="15" t="str">
        <f>IF(Data!B815="","",IF(AND(Data!G815="",Data!H815&lt;&gt;""),1,IF(Data!#REF!&lt;&gt;"",0,IF(ISNUMBER(MATCH(Data!G815,Data_Val!$C$2:$C$5,0)),0,1))))</f>
        <v/>
      </c>
      <c r="H815" s="15" t="str">
        <f>IF(Data!B815="","",IF(AND(Data!G815&lt;&gt;"",Data!H815=""),1,IF(Data!#REF!&lt;&gt;"",0,IF(Data!G815="",1,IF(ISNUMBER(MATCH(Data!H815,Data_Val!$D$2:$D$35,0)),0,1)))))</f>
        <v/>
      </c>
      <c r="I815" s="15" t="str">
        <f>IF(Data!B815="","",IF(Data!G815&lt;&gt;"",0,IF(ISNUMBER(MATCH(Data!#REF!,Data_Val!$E$2:$E$12,0)),0,1)))</f>
        <v/>
      </c>
      <c r="J815" s="16" t="e">
        <f>IF(OR(Data!B815="",Data!#REF!=""),"",IF(Data!#REF!="",1,0))</f>
        <v>#REF!</v>
      </c>
      <c r="K815" s="16" t="e">
        <f>IF(OR(Data!B815="",Data!#REF!=""),"",IF(Data!#REF!="",1,0))</f>
        <v>#REF!</v>
      </c>
      <c r="L815" s="16" t="e">
        <f>IF(OR(Data!B815="",Data!#REF!=""),"",IF(ISNUMBER(Data!#REF!),IF(AND(Data!#REF!&gt;Data_Val!$G$2,Data!#REF!&lt;=Data_Val!$G$3),0,1),1))</f>
        <v>#REF!</v>
      </c>
      <c r="M815" s="9" t="e">
        <f>IF(OR(Data!B815="",Data!#REF!=""),"",IF(ISNUMBER(MATCH(Data!#REF!,Data_Val!$F$1:$F$38,0)),0,1))</f>
        <v>#REF!</v>
      </c>
      <c r="N815" s="9" t="e">
        <f>IF(OR(Data!B815="",Data!#REF!=""),"",IF(Data!#REF!="",1,0))</f>
        <v>#REF!</v>
      </c>
      <c r="O815" s="17" t="e">
        <f>IF(Data!#REF!="","",IF(Data!#REF!="",1,0))</f>
        <v>#REF!</v>
      </c>
      <c r="P815" s="17" t="e">
        <f>IF(Data!#REF!="","",IF(ISNUMBER(MATCH(Data!#REF!,Data_Val!$A$2:$A$3,0)),0,1))</f>
        <v>#REF!</v>
      </c>
      <c r="Q815" s="25" t="e">
        <f ca="1">IF(Data!#REF!="","",IF(ISNUMBER(Data!#REF!),IF(AND(Data!#REF!&gt;(TODAY()-(Data_Val!$J$3*365.25)),Data!#REF!&lt;=(TODAY()-(Data_Val!$J$2*365.25))),0,1),1))</f>
        <v>#REF!</v>
      </c>
      <c r="R815" s="17" t="e">
        <f>IF(Data!#REF!="","",IF(ISNUMBER(MATCH(Data!#REF!,Data_Val!$B$2:$B$15,0)),0,1))</f>
        <v>#REF!</v>
      </c>
      <c r="S815" s="11" t="str">
        <f>IF(Data!G815="","",IF(Data!G815=Data_Val!$C$2,IF(Data!M815="",0,1),0))</f>
        <v/>
      </c>
      <c r="T815" s="11" t="str">
        <f>IF(Data!M815="","",IF(ISNUMBER(MATCH(Data!N815,Data_Val!$A$2:$A$3,0)),0,1))</f>
        <v/>
      </c>
      <c r="U815" s="11" t="str">
        <f ca="1">IF(Data!M815="","",IF(ISNUMBER(Data!O815),IF(AND(Data!O815&gt;(TODAY()-(Data_Val!$K$3*365.25)),Data!O815&lt;=(TODAY()-(Data_Val!$K$2*365.25))),0,1),1))</f>
        <v/>
      </c>
      <c r="V815" s="12" t="str">
        <f>IF(Data!G815="","",IF(Data!G815=Data_Val!$C$2,IF(Data!P815="",0,1),0))</f>
        <v/>
      </c>
      <c r="W815" s="12" t="str">
        <f>IF(Data!P815="","",IF(ISNUMBER(MATCH(Data!Q815,Data_Val!$A$2:$A$3,0)),0,1))</f>
        <v/>
      </c>
      <c r="X815" s="26" t="str">
        <f ca="1">IF(Data!P815="","",IF(ISNUMBER(Data!R815),IF(AND(Data!R815&gt;(TODAY()-(Data_Val!$L$3*365.25)),Data!R815&lt;=(TODAY()-(Data_Val!$L$2*365.25))),0,1),1))</f>
        <v/>
      </c>
      <c r="Y815" s="13" t="str">
        <f>IF(Data!$G815="","",IF(Data!$G815=Data_Val!$C$2,IF(Data!S815="",0,1),0))</f>
        <v/>
      </c>
      <c r="Z815" s="13" t="str">
        <f>IF(Data!S815="","",IF(ISNUMBER(MATCH(Data!T815,Data_Val!$A$2:$A$3,0)),0,1))</f>
        <v/>
      </c>
      <c r="AA815" s="28" t="str">
        <f ca="1">IF(Data!S815="","",IF(ISNUMBER(Data!U815),IF(AND(Data!U815&gt;(TODAY()-(Data_Val!$L$3*365.25)),Data!U815&lt;=(TODAY()-(Data_Val!$L$2*365.25))),0,1),1))</f>
        <v/>
      </c>
      <c r="AB815" s="11"/>
      <c r="AC815" s="11" t="e">
        <f>IF(Data!#REF!="","",IF(ISNUMBER(MATCH(Data!#REF!,Data_Val!$A$2:$A$3,0)),0,1))</f>
        <v>#REF!</v>
      </c>
      <c r="AD815" s="11" t="e">
        <f ca="1">IF(Data!#REF!="","",IF(ISNUMBER(Data!#REF!),IF(AND(Data!#REF!&gt;(TODAY()-(Data_Val!$L$3*365.25)),Data!#REF!&lt;=(TODAY()-(Data_Val!$L$2*365.25))),0,1),1))</f>
        <v>#REF!</v>
      </c>
      <c r="AE815" s="11" t="e">
        <f>IF(Data!#REF!="","",IF(Data!$G815="",1,IF(ISNUMBER(MATCH(Data!#REF!,Data_Val!$D$2:$D$10,0)),0,1)))</f>
        <v>#REF!</v>
      </c>
      <c r="AF815" s="12"/>
      <c r="AG815" s="12" t="e">
        <f>IF(Data!#REF!="","",IF(ISNUMBER(MATCH(Data!#REF!,Data_Val!$A$2:$A$3,0)),0,1))</f>
        <v>#REF!</v>
      </c>
      <c r="AH815" s="26" t="e">
        <f ca="1">IF(Data!#REF!="","",IF(ISNUMBER(Data!#REF!),IF(AND(Data!#REF!&gt;(TODAY()-(Data_Val!$L$3*365.25)),Data!#REF!&lt;=(TODAY()-(Data_Val!$L$2*365.25))),0,1),1))</f>
        <v>#REF!</v>
      </c>
      <c r="AI815" s="12" t="e">
        <f>IF(Data!#REF!="","",IF(Data!$G815="",1,IF(ISNUMBER(MATCH(Data!#REF!,Data_Val!$D$2:$D$10,0)),0,1)))</f>
        <v>#REF!</v>
      </c>
      <c r="AJ815" s="17"/>
      <c r="AK815" s="17" t="e">
        <f>IF(Data!#REF!="","",IF(ISNUMBER(MATCH(Data!#REF!,Data_Val!$A$2:$A$3,0)),0,1))</f>
        <v>#REF!</v>
      </c>
      <c r="AL815" s="25" t="e">
        <f ca="1">IF(Data!#REF!="","",IF(ISNUMBER(Data!#REF!),IF(AND(Data!#REF!&gt;(TODAY()-(Data_Val!$L$3*365.25)),Data!#REF!&lt;=(TODAY()-(Data_Val!$L$2*365.25))),0,1),1))</f>
        <v>#REF!</v>
      </c>
      <c r="AM815" s="17" t="e">
        <f>IF(Data!#REF!="","",IF(Data!$G815="",1,IF(ISNUMBER(MATCH(Data!#REF!,Data_Val!$D$2:$D$10,0)),0,1)))</f>
        <v>#REF!</v>
      </c>
      <c r="AN815" s="13"/>
      <c r="AO815" s="28" t="e">
        <f ca="1">IF(Data!#REF!="","",IF(ISNUMBER(Data!#REF!),IF(AND(Data!#REF!&gt;(TODAY()-(Data_Val!$I$3*365.25)),Data!#REF!&lt;=(TODAY()-(Data_Val!$I$2*365.25))),0,1),1))</f>
        <v>#REF!</v>
      </c>
      <c r="AP815" s="13" t="e">
        <f>IF(Data!#REF!="","",IF(Data!$G815="",1,IF(ISNUMBER(MATCH(Data!#REF!,Data_Val!$D$2:$D$10,0)),0,1)))</f>
        <v>#REF!</v>
      </c>
      <c r="AQ815" s="17"/>
      <c r="AR815" s="30" t="e">
        <f ca="1">IF(Data!#REF!="","",IF(ISNUMBER(Data!#REF!),IF(AND(Data!#REF!&gt;(TODAY()-(Data_Val!$I$3*365.25)),Data!#REF!&lt;=(TODAY()-(Data_Val!$I$2*365.25))),0,1),1))</f>
        <v>#REF!</v>
      </c>
      <c r="AS815" s="31" t="e">
        <f>IF(Data!#REF!="","",IF(Data!$G815="",1,IF(ISNUMBER(MATCH(Data!#REF!,Data_Val!$D$2:$D$10,0)),0,1)))</f>
        <v>#REF!</v>
      </c>
      <c r="AT815" s="11"/>
      <c r="AU815" s="11" t="e">
        <f ca="1">IF(Data!#REF!="","",IF(ISNUMBER(Data!#REF!),IF(AND(Data!#REF!&gt;(TODAY()-(Data_Val!$I$3*365.25)),Data!#REF!&lt;=(TODAY()-(Data_Val!$I$2*365.25))),0,1),1))</f>
        <v>#REF!</v>
      </c>
      <c r="AV815" s="11" t="e">
        <f>IF(Data!#REF!="","",IF(Data!$G815="",1,IF(ISNUMBER(MATCH(Data!#REF!,Data_Val!$D$2:$D$10,0)),0,1)))</f>
        <v>#REF!</v>
      </c>
      <c r="AW815" s="12"/>
      <c r="AX815" s="26" t="e">
        <f ca="1">IF(Data!#REF!="","",IF(ISNUMBER(Data!#REF!),IF(AND(Data!#REF!&gt;(TODAY()-(Data_Val!$I$3*365.25)),Data!#REF!&lt;=(TODAY()-(Data_Val!$I$2*365.25))),0,1),1))</f>
        <v>#REF!</v>
      </c>
      <c r="AY815" s="12" t="e">
        <f>IF(Data!#REF!="","",IF(Data!$G815="",1,IF(ISNUMBER(MATCH(Data!#REF!,Data_Val!$D$2:$D$10,0)),0,1)))</f>
        <v>#REF!</v>
      </c>
      <c r="AZ815" s="11"/>
      <c r="BA815" s="19" t="e">
        <f ca="1">IF(Data!#REF!="","",IF(ISNUMBER(Data!#REF!),IF(AND(Data!#REF!&gt;(TODAY()-(Data_Val!$M$3*365.25)),Data!#REF!&lt;=(TODAY()-(Data_Val!$M$2*365.25))),0,1),1))</f>
        <v>#REF!</v>
      </c>
      <c r="BB815" s="11" t="e">
        <f>IF(Data!#REF!="","",IF(Data!$G815="",1,IF(ISNUMBER(MATCH(Data!#REF!,Data_Val!$D$2:$D$10,0)),0,1)))</f>
        <v>#REF!</v>
      </c>
      <c r="BC815" s="12"/>
      <c r="BD815" s="20" t="e">
        <f ca="1">IF(Data!#REF!="","",IF(ISNUMBER(Data!#REF!),IF(AND(Data!#REF!&gt;(TODAY()-(Data_Val!$M$3*365.25)),Data!#REF!&lt;=(TODAY()-(Data_Val!$M$2*365.25))),0,1),1))</f>
        <v>#REF!</v>
      </c>
      <c r="BE815" s="12" t="e">
        <f>IF(Data!#REF!="","",IF(Data!$G815="",1,IF(ISNUMBER(MATCH(Data!#REF!,Data_Val!$D$2:$D$10,0)),0,1)))</f>
        <v>#REF!</v>
      </c>
      <c r="BF815" s="17"/>
      <c r="BG815" s="18" t="e">
        <f ca="1">IF(Data!#REF!="","",IF(ISNUMBER(Data!#REF!),IF(AND(Data!#REF!&gt;(TODAY()-(Data_Val!$M$3*365.25)),Data!#REF!&lt;=(TODAY()-(Data_Val!$M$2*365.25))),0,1),1))</f>
        <v>#REF!</v>
      </c>
      <c r="BH815" s="29" t="e">
        <f>IF(Data!#REF!="","",IF(Data!$G815="",1,IF(ISNUMBER(MATCH(Data!#REF!,Data_Val!$D$2:$D$10,0)),0,1)))</f>
        <v>#REF!</v>
      </c>
      <c r="BI815" s="13"/>
      <c r="BJ815" s="21" t="e">
        <f ca="1">IF(Data!#REF!="","",IF(ISNUMBER(Data!#REF!),IF(AND(Data!#REF!&gt;(TODAY()-(Data_Val!$M$3*365.25)),Data!#REF!&lt;=(TODAY()-(Data_Val!$M$2*365.25))),0,1),1))</f>
        <v>#REF!</v>
      </c>
      <c r="BK815" s="13" t="e">
        <f>IF(Data!#REF!="","",IF(Data!$G815="",1,IF(ISNUMBER(MATCH(Data!#REF!,Data_Val!$D$2:$D$10,0)),0,1)))</f>
        <v>#REF!</v>
      </c>
    </row>
    <row r="816" spans="1:63" x14ac:dyDescent="0.25">
      <c r="A816" s="9" t="str">
        <f>IF(Data!B816="","",IF(COUNTIFS(Data!A$1:'Data'!A816,Data!A816)&lt;=1,0,1))</f>
        <v/>
      </c>
      <c r="B816" s="9"/>
      <c r="C816" s="23" t="str">
        <f>IF(Data!C816="","",(IF(ISNUMBER(MATCH("*@*.?*",Data!C816,0)),0,1)+IF(COUNTIFS(Data!C$1:'Data'!C816,Data!C816)&gt;1,1,0)))</f>
        <v/>
      </c>
      <c r="D816" s="9" t="str">
        <f>IF(Data!B816="","",IF(ISNUMBER(Data!D816),IF(AND(Data!D816&gt;999999999,Data!D816&lt;=9999999999),IF(COUNTIFS(Data!D$1:'Data'!D816,Data!D816)&lt;=1,0,1),1),1))</f>
        <v/>
      </c>
      <c r="E816" s="9" t="str">
        <f>IF(Data!B816="","",IF(ISNUMBER(MATCH(Data!E816,Data_Val!$A$2:$A$3,0)),0,1))</f>
        <v/>
      </c>
      <c r="F816" s="9" t="str">
        <f ca="1">IF(Data!B816="","",IF(ISNUMBER(Data!F816),IF(AND(Data!F816&gt;(TODAY()-(Data_Val!$H$3*365.25)),Data!F816&lt;=(TODAY()-(Data_Val!$H$2*365.25))),0,1),1))</f>
        <v/>
      </c>
      <c r="G816" s="15" t="str">
        <f>IF(Data!B816="","",IF(AND(Data!G816="",Data!H816&lt;&gt;""),1,IF(Data!#REF!&lt;&gt;"",0,IF(ISNUMBER(MATCH(Data!G816,Data_Val!$C$2:$C$5,0)),0,1))))</f>
        <v/>
      </c>
      <c r="H816" s="15" t="str">
        <f>IF(Data!B816="","",IF(AND(Data!G816&lt;&gt;"",Data!H816=""),1,IF(Data!#REF!&lt;&gt;"",0,IF(Data!G816="",1,IF(ISNUMBER(MATCH(Data!H816,Data_Val!$D$2:$D$35,0)),0,1)))))</f>
        <v/>
      </c>
      <c r="I816" s="15" t="str">
        <f>IF(Data!B816="","",IF(Data!G816&lt;&gt;"",0,IF(ISNUMBER(MATCH(Data!#REF!,Data_Val!$E$2:$E$12,0)),0,1)))</f>
        <v/>
      </c>
      <c r="J816" s="16" t="e">
        <f>IF(OR(Data!B816="",Data!#REF!=""),"",IF(Data!#REF!="",1,0))</f>
        <v>#REF!</v>
      </c>
      <c r="K816" s="16" t="e">
        <f>IF(OR(Data!B816="",Data!#REF!=""),"",IF(Data!#REF!="",1,0))</f>
        <v>#REF!</v>
      </c>
      <c r="L816" s="16" t="e">
        <f>IF(OR(Data!B816="",Data!#REF!=""),"",IF(ISNUMBER(Data!#REF!),IF(AND(Data!#REF!&gt;Data_Val!$G$2,Data!#REF!&lt;=Data_Val!$G$3),0,1),1))</f>
        <v>#REF!</v>
      </c>
      <c r="M816" s="9" t="e">
        <f>IF(OR(Data!B816="",Data!#REF!=""),"",IF(ISNUMBER(MATCH(Data!#REF!,Data_Val!$F$1:$F$38,0)),0,1))</f>
        <v>#REF!</v>
      </c>
      <c r="N816" s="9" t="e">
        <f>IF(OR(Data!B816="",Data!#REF!=""),"",IF(Data!#REF!="",1,0))</f>
        <v>#REF!</v>
      </c>
      <c r="O816" s="17" t="e">
        <f>IF(Data!#REF!="","",IF(Data!#REF!="",1,0))</f>
        <v>#REF!</v>
      </c>
      <c r="P816" s="17" t="e">
        <f>IF(Data!#REF!="","",IF(ISNUMBER(MATCH(Data!#REF!,Data_Val!$A$2:$A$3,0)),0,1))</f>
        <v>#REF!</v>
      </c>
      <c r="Q816" s="25" t="e">
        <f ca="1">IF(Data!#REF!="","",IF(ISNUMBER(Data!#REF!),IF(AND(Data!#REF!&gt;(TODAY()-(Data_Val!$J$3*365.25)),Data!#REF!&lt;=(TODAY()-(Data_Val!$J$2*365.25))),0,1),1))</f>
        <v>#REF!</v>
      </c>
      <c r="R816" s="17" t="e">
        <f>IF(Data!#REF!="","",IF(ISNUMBER(MATCH(Data!#REF!,Data_Val!$B$2:$B$15,0)),0,1))</f>
        <v>#REF!</v>
      </c>
      <c r="S816" s="11" t="str">
        <f>IF(Data!G816="","",IF(Data!G816=Data_Val!$C$2,IF(Data!M816="",0,1),0))</f>
        <v/>
      </c>
      <c r="T816" s="11" t="str">
        <f>IF(Data!M816="","",IF(ISNUMBER(MATCH(Data!N816,Data_Val!$A$2:$A$3,0)),0,1))</f>
        <v/>
      </c>
      <c r="U816" s="11" t="str">
        <f ca="1">IF(Data!M816="","",IF(ISNUMBER(Data!O816),IF(AND(Data!O816&gt;(TODAY()-(Data_Val!$K$3*365.25)),Data!O816&lt;=(TODAY()-(Data_Val!$K$2*365.25))),0,1),1))</f>
        <v/>
      </c>
      <c r="V816" s="12" t="str">
        <f>IF(Data!G816="","",IF(Data!G816=Data_Val!$C$2,IF(Data!P816="",0,1),0))</f>
        <v/>
      </c>
      <c r="W816" s="12" t="str">
        <f>IF(Data!P816="","",IF(ISNUMBER(MATCH(Data!Q816,Data_Val!$A$2:$A$3,0)),0,1))</f>
        <v/>
      </c>
      <c r="X816" s="26" t="str">
        <f ca="1">IF(Data!P816="","",IF(ISNUMBER(Data!R816),IF(AND(Data!R816&gt;(TODAY()-(Data_Val!$L$3*365.25)),Data!R816&lt;=(TODAY()-(Data_Val!$L$2*365.25))),0,1),1))</f>
        <v/>
      </c>
      <c r="Y816" s="13" t="str">
        <f>IF(Data!$G816="","",IF(Data!$G816=Data_Val!$C$2,IF(Data!S816="",0,1),0))</f>
        <v/>
      </c>
      <c r="Z816" s="13" t="str">
        <f>IF(Data!S816="","",IF(ISNUMBER(MATCH(Data!T816,Data_Val!$A$2:$A$3,0)),0,1))</f>
        <v/>
      </c>
      <c r="AA816" s="28" t="str">
        <f ca="1">IF(Data!S816="","",IF(ISNUMBER(Data!U816),IF(AND(Data!U816&gt;(TODAY()-(Data_Val!$L$3*365.25)),Data!U816&lt;=(TODAY()-(Data_Val!$L$2*365.25))),0,1),1))</f>
        <v/>
      </c>
      <c r="AB816" s="11"/>
      <c r="AC816" s="11" t="e">
        <f>IF(Data!#REF!="","",IF(ISNUMBER(MATCH(Data!#REF!,Data_Val!$A$2:$A$3,0)),0,1))</f>
        <v>#REF!</v>
      </c>
      <c r="AD816" s="11" t="e">
        <f ca="1">IF(Data!#REF!="","",IF(ISNUMBER(Data!#REF!),IF(AND(Data!#REF!&gt;(TODAY()-(Data_Val!$L$3*365.25)),Data!#REF!&lt;=(TODAY()-(Data_Val!$L$2*365.25))),0,1),1))</f>
        <v>#REF!</v>
      </c>
      <c r="AE816" s="11" t="e">
        <f>IF(Data!#REF!="","",IF(Data!$G816="",1,IF(ISNUMBER(MATCH(Data!#REF!,Data_Val!$D$2:$D$10,0)),0,1)))</f>
        <v>#REF!</v>
      </c>
      <c r="AF816" s="12"/>
      <c r="AG816" s="12" t="e">
        <f>IF(Data!#REF!="","",IF(ISNUMBER(MATCH(Data!#REF!,Data_Val!$A$2:$A$3,0)),0,1))</f>
        <v>#REF!</v>
      </c>
      <c r="AH816" s="26" t="e">
        <f ca="1">IF(Data!#REF!="","",IF(ISNUMBER(Data!#REF!),IF(AND(Data!#REF!&gt;(TODAY()-(Data_Val!$L$3*365.25)),Data!#REF!&lt;=(TODAY()-(Data_Val!$L$2*365.25))),0,1),1))</f>
        <v>#REF!</v>
      </c>
      <c r="AI816" s="12" t="e">
        <f>IF(Data!#REF!="","",IF(Data!$G816="",1,IF(ISNUMBER(MATCH(Data!#REF!,Data_Val!$D$2:$D$10,0)),0,1)))</f>
        <v>#REF!</v>
      </c>
      <c r="AJ816" s="17"/>
      <c r="AK816" s="17" t="e">
        <f>IF(Data!#REF!="","",IF(ISNUMBER(MATCH(Data!#REF!,Data_Val!$A$2:$A$3,0)),0,1))</f>
        <v>#REF!</v>
      </c>
      <c r="AL816" s="25" t="e">
        <f ca="1">IF(Data!#REF!="","",IF(ISNUMBER(Data!#REF!),IF(AND(Data!#REF!&gt;(TODAY()-(Data_Val!$L$3*365.25)),Data!#REF!&lt;=(TODAY()-(Data_Val!$L$2*365.25))),0,1),1))</f>
        <v>#REF!</v>
      </c>
      <c r="AM816" s="17" t="e">
        <f>IF(Data!#REF!="","",IF(Data!$G816="",1,IF(ISNUMBER(MATCH(Data!#REF!,Data_Val!$D$2:$D$10,0)),0,1)))</f>
        <v>#REF!</v>
      </c>
      <c r="AN816" s="13"/>
      <c r="AO816" s="28" t="e">
        <f ca="1">IF(Data!#REF!="","",IF(ISNUMBER(Data!#REF!),IF(AND(Data!#REF!&gt;(TODAY()-(Data_Val!$I$3*365.25)),Data!#REF!&lt;=(TODAY()-(Data_Val!$I$2*365.25))),0,1),1))</f>
        <v>#REF!</v>
      </c>
      <c r="AP816" s="13" t="e">
        <f>IF(Data!#REF!="","",IF(Data!$G816="",1,IF(ISNUMBER(MATCH(Data!#REF!,Data_Val!$D$2:$D$10,0)),0,1)))</f>
        <v>#REF!</v>
      </c>
      <c r="AQ816" s="17"/>
      <c r="AR816" s="30" t="e">
        <f ca="1">IF(Data!#REF!="","",IF(ISNUMBER(Data!#REF!),IF(AND(Data!#REF!&gt;(TODAY()-(Data_Val!$I$3*365.25)),Data!#REF!&lt;=(TODAY()-(Data_Val!$I$2*365.25))),0,1),1))</f>
        <v>#REF!</v>
      </c>
      <c r="AS816" s="31" t="e">
        <f>IF(Data!#REF!="","",IF(Data!$G816="",1,IF(ISNUMBER(MATCH(Data!#REF!,Data_Val!$D$2:$D$10,0)),0,1)))</f>
        <v>#REF!</v>
      </c>
      <c r="AT816" s="11"/>
      <c r="AU816" s="11" t="e">
        <f ca="1">IF(Data!#REF!="","",IF(ISNUMBER(Data!#REF!),IF(AND(Data!#REF!&gt;(TODAY()-(Data_Val!$I$3*365.25)),Data!#REF!&lt;=(TODAY()-(Data_Val!$I$2*365.25))),0,1),1))</f>
        <v>#REF!</v>
      </c>
      <c r="AV816" s="11" t="e">
        <f>IF(Data!#REF!="","",IF(Data!$G816="",1,IF(ISNUMBER(MATCH(Data!#REF!,Data_Val!$D$2:$D$10,0)),0,1)))</f>
        <v>#REF!</v>
      </c>
      <c r="AW816" s="12"/>
      <c r="AX816" s="26" t="e">
        <f ca="1">IF(Data!#REF!="","",IF(ISNUMBER(Data!#REF!),IF(AND(Data!#REF!&gt;(TODAY()-(Data_Val!$I$3*365.25)),Data!#REF!&lt;=(TODAY()-(Data_Val!$I$2*365.25))),0,1),1))</f>
        <v>#REF!</v>
      </c>
      <c r="AY816" s="12" t="e">
        <f>IF(Data!#REF!="","",IF(Data!$G816="",1,IF(ISNUMBER(MATCH(Data!#REF!,Data_Val!$D$2:$D$10,0)),0,1)))</f>
        <v>#REF!</v>
      </c>
      <c r="AZ816" s="11"/>
      <c r="BA816" s="19" t="e">
        <f ca="1">IF(Data!#REF!="","",IF(ISNUMBER(Data!#REF!),IF(AND(Data!#REF!&gt;(TODAY()-(Data_Val!$M$3*365.25)),Data!#REF!&lt;=(TODAY()-(Data_Val!$M$2*365.25))),0,1),1))</f>
        <v>#REF!</v>
      </c>
      <c r="BB816" s="11" t="e">
        <f>IF(Data!#REF!="","",IF(Data!$G816="",1,IF(ISNUMBER(MATCH(Data!#REF!,Data_Val!$D$2:$D$10,0)),0,1)))</f>
        <v>#REF!</v>
      </c>
      <c r="BC816" s="12"/>
      <c r="BD816" s="20" t="e">
        <f ca="1">IF(Data!#REF!="","",IF(ISNUMBER(Data!#REF!),IF(AND(Data!#REF!&gt;(TODAY()-(Data_Val!$M$3*365.25)),Data!#REF!&lt;=(TODAY()-(Data_Val!$M$2*365.25))),0,1),1))</f>
        <v>#REF!</v>
      </c>
      <c r="BE816" s="12" t="e">
        <f>IF(Data!#REF!="","",IF(Data!$G816="",1,IF(ISNUMBER(MATCH(Data!#REF!,Data_Val!$D$2:$D$10,0)),0,1)))</f>
        <v>#REF!</v>
      </c>
      <c r="BF816" s="17"/>
      <c r="BG816" s="18" t="e">
        <f ca="1">IF(Data!#REF!="","",IF(ISNUMBER(Data!#REF!),IF(AND(Data!#REF!&gt;(TODAY()-(Data_Val!$M$3*365.25)),Data!#REF!&lt;=(TODAY()-(Data_Val!$M$2*365.25))),0,1),1))</f>
        <v>#REF!</v>
      </c>
      <c r="BH816" s="29" t="e">
        <f>IF(Data!#REF!="","",IF(Data!$G816="",1,IF(ISNUMBER(MATCH(Data!#REF!,Data_Val!$D$2:$D$10,0)),0,1)))</f>
        <v>#REF!</v>
      </c>
      <c r="BI816" s="13"/>
      <c r="BJ816" s="21" t="e">
        <f ca="1">IF(Data!#REF!="","",IF(ISNUMBER(Data!#REF!),IF(AND(Data!#REF!&gt;(TODAY()-(Data_Val!$M$3*365.25)),Data!#REF!&lt;=(TODAY()-(Data_Val!$M$2*365.25))),0,1),1))</f>
        <v>#REF!</v>
      </c>
      <c r="BK816" s="13" t="e">
        <f>IF(Data!#REF!="","",IF(Data!$G816="",1,IF(ISNUMBER(MATCH(Data!#REF!,Data_Val!$D$2:$D$10,0)),0,1)))</f>
        <v>#REF!</v>
      </c>
    </row>
    <row r="817" spans="1:63" x14ac:dyDescent="0.25">
      <c r="A817" s="9" t="str">
        <f>IF(Data!B817="","",IF(COUNTIFS(Data!A$1:'Data'!A817,Data!A817)&lt;=1,0,1))</f>
        <v/>
      </c>
      <c r="B817" s="9"/>
      <c r="C817" s="23" t="str">
        <f>IF(Data!C817="","",(IF(ISNUMBER(MATCH("*@*.?*",Data!C817,0)),0,1)+IF(COUNTIFS(Data!C$1:'Data'!C817,Data!C817)&gt;1,1,0)))</f>
        <v/>
      </c>
      <c r="D817" s="9" t="str">
        <f>IF(Data!B817="","",IF(ISNUMBER(Data!D817),IF(AND(Data!D817&gt;999999999,Data!D817&lt;=9999999999),IF(COUNTIFS(Data!D$1:'Data'!D817,Data!D817)&lt;=1,0,1),1),1))</f>
        <v/>
      </c>
      <c r="E817" s="9" t="str">
        <f>IF(Data!B817="","",IF(ISNUMBER(MATCH(Data!E817,Data_Val!$A$2:$A$3,0)),0,1))</f>
        <v/>
      </c>
      <c r="F817" s="9" t="str">
        <f ca="1">IF(Data!B817="","",IF(ISNUMBER(Data!F817),IF(AND(Data!F817&gt;(TODAY()-(Data_Val!$H$3*365.25)),Data!F817&lt;=(TODAY()-(Data_Val!$H$2*365.25))),0,1),1))</f>
        <v/>
      </c>
      <c r="G817" s="15" t="str">
        <f>IF(Data!B817="","",IF(AND(Data!G817="",Data!H817&lt;&gt;""),1,IF(Data!#REF!&lt;&gt;"",0,IF(ISNUMBER(MATCH(Data!G817,Data_Val!$C$2:$C$5,0)),0,1))))</f>
        <v/>
      </c>
      <c r="H817" s="15" t="str">
        <f>IF(Data!B817="","",IF(AND(Data!G817&lt;&gt;"",Data!H817=""),1,IF(Data!#REF!&lt;&gt;"",0,IF(Data!G817="",1,IF(ISNUMBER(MATCH(Data!H817,Data_Val!$D$2:$D$35,0)),0,1)))))</f>
        <v/>
      </c>
      <c r="I817" s="15" t="str">
        <f>IF(Data!B817="","",IF(Data!G817&lt;&gt;"",0,IF(ISNUMBER(MATCH(Data!#REF!,Data_Val!$E$2:$E$12,0)),0,1)))</f>
        <v/>
      </c>
      <c r="J817" s="16" t="e">
        <f>IF(OR(Data!B817="",Data!#REF!=""),"",IF(Data!#REF!="",1,0))</f>
        <v>#REF!</v>
      </c>
      <c r="K817" s="16" t="e">
        <f>IF(OR(Data!B817="",Data!#REF!=""),"",IF(Data!#REF!="",1,0))</f>
        <v>#REF!</v>
      </c>
      <c r="L817" s="16" t="e">
        <f>IF(OR(Data!B817="",Data!#REF!=""),"",IF(ISNUMBER(Data!#REF!),IF(AND(Data!#REF!&gt;Data_Val!$G$2,Data!#REF!&lt;=Data_Val!$G$3),0,1),1))</f>
        <v>#REF!</v>
      </c>
      <c r="M817" s="9" t="e">
        <f>IF(OR(Data!B817="",Data!#REF!=""),"",IF(ISNUMBER(MATCH(Data!#REF!,Data_Val!$F$1:$F$38,0)),0,1))</f>
        <v>#REF!</v>
      </c>
      <c r="N817" s="9" t="e">
        <f>IF(OR(Data!B817="",Data!#REF!=""),"",IF(Data!#REF!="",1,0))</f>
        <v>#REF!</v>
      </c>
      <c r="O817" s="17" t="e">
        <f>IF(Data!#REF!="","",IF(Data!#REF!="",1,0))</f>
        <v>#REF!</v>
      </c>
      <c r="P817" s="17" t="e">
        <f>IF(Data!#REF!="","",IF(ISNUMBER(MATCH(Data!#REF!,Data_Val!$A$2:$A$3,0)),0,1))</f>
        <v>#REF!</v>
      </c>
      <c r="Q817" s="25" t="e">
        <f ca="1">IF(Data!#REF!="","",IF(ISNUMBER(Data!#REF!),IF(AND(Data!#REF!&gt;(TODAY()-(Data_Val!$J$3*365.25)),Data!#REF!&lt;=(TODAY()-(Data_Val!$J$2*365.25))),0,1),1))</f>
        <v>#REF!</v>
      </c>
      <c r="R817" s="17" t="e">
        <f>IF(Data!#REF!="","",IF(ISNUMBER(MATCH(Data!#REF!,Data_Val!$B$2:$B$15,0)),0,1))</f>
        <v>#REF!</v>
      </c>
      <c r="S817" s="11" t="str">
        <f>IF(Data!G817="","",IF(Data!G817=Data_Val!$C$2,IF(Data!M817="",0,1),0))</f>
        <v/>
      </c>
      <c r="T817" s="11" t="str">
        <f>IF(Data!M817="","",IF(ISNUMBER(MATCH(Data!N817,Data_Val!$A$2:$A$3,0)),0,1))</f>
        <v/>
      </c>
      <c r="U817" s="11" t="str">
        <f ca="1">IF(Data!M817="","",IF(ISNUMBER(Data!O817),IF(AND(Data!O817&gt;(TODAY()-(Data_Val!$K$3*365.25)),Data!O817&lt;=(TODAY()-(Data_Val!$K$2*365.25))),0,1),1))</f>
        <v/>
      </c>
      <c r="V817" s="12" t="str">
        <f>IF(Data!G817="","",IF(Data!G817=Data_Val!$C$2,IF(Data!P817="",0,1),0))</f>
        <v/>
      </c>
      <c r="W817" s="12" t="str">
        <f>IF(Data!P817="","",IF(ISNUMBER(MATCH(Data!Q817,Data_Val!$A$2:$A$3,0)),0,1))</f>
        <v/>
      </c>
      <c r="X817" s="26" t="str">
        <f ca="1">IF(Data!P817="","",IF(ISNUMBER(Data!R817),IF(AND(Data!R817&gt;(TODAY()-(Data_Val!$L$3*365.25)),Data!R817&lt;=(TODAY()-(Data_Val!$L$2*365.25))),0,1),1))</f>
        <v/>
      </c>
      <c r="Y817" s="13" t="str">
        <f>IF(Data!$G817="","",IF(Data!$G817=Data_Val!$C$2,IF(Data!S817="",0,1),0))</f>
        <v/>
      </c>
      <c r="Z817" s="13" t="str">
        <f>IF(Data!S817="","",IF(ISNUMBER(MATCH(Data!T817,Data_Val!$A$2:$A$3,0)),0,1))</f>
        <v/>
      </c>
      <c r="AA817" s="28" t="str">
        <f ca="1">IF(Data!S817="","",IF(ISNUMBER(Data!U817),IF(AND(Data!U817&gt;(TODAY()-(Data_Val!$L$3*365.25)),Data!U817&lt;=(TODAY()-(Data_Val!$L$2*365.25))),0,1),1))</f>
        <v/>
      </c>
      <c r="AB817" s="11"/>
      <c r="AC817" s="11" t="e">
        <f>IF(Data!#REF!="","",IF(ISNUMBER(MATCH(Data!#REF!,Data_Val!$A$2:$A$3,0)),0,1))</f>
        <v>#REF!</v>
      </c>
      <c r="AD817" s="11" t="e">
        <f ca="1">IF(Data!#REF!="","",IF(ISNUMBER(Data!#REF!),IF(AND(Data!#REF!&gt;(TODAY()-(Data_Val!$L$3*365.25)),Data!#REF!&lt;=(TODAY()-(Data_Val!$L$2*365.25))),0,1),1))</f>
        <v>#REF!</v>
      </c>
      <c r="AE817" s="11" t="e">
        <f>IF(Data!#REF!="","",IF(Data!$G817="",1,IF(ISNUMBER(MATCH(Data!#REF!,Data_Val!$D$2:$D$10,0)),0,1)))</f>
        <v>#REF!</v>
      </c>
      <c r="AF817" s="12"/>
      <c r="AG817" s="12" t="e">
        <f>IF(Data!#REF!="","",IF(ISNUMBER(MATCH(Data!#REF!,Data_Val!$A$2:$A$3,0)),0,1))</f>
        <v>#REF!</v>
      </c>
      <c r="AH817" s="26" t="e">
        <f ca="1">IF(Data!#REF!="","",IF(ISNUMBER(Data!#REF!),IF(AND(Data!#REF!&gt;(TODAY()-(Data_Val!$L$3*365.25)),Data!#REF!&lt;=(TODAY()-(Data_Val!$L$2*365.25))),0,1),1))</f>
        <v>#REF!</v>
      </c>
      <c r="AI817" s="12" t="e">
        <f>IF(Data!#REF!="","",IF(Data!$G817="",1,IF(ISNUMBER(MATCH(Data!#REF!,Data_Val!$D$2:$D$10,0)),0,1)))</f>
        <v>#REF!</v>
      </c>
      <c r="AJ817" s="17"/>
      <c r="AK817" s="17" t="e">
        <f>IF(Data!#REF!="","",IF(ISNUMBER(MATCH(Data!#REF!,Data_Val!$A$2:$A$3,0)),0,1))</f>
        <v>#REF!</v>
      </c>
      <c r="AL817" s="25" t="e">
        <f ca="1">IF(Data!#REF!="","",IF(ISNUMBER(Data!#REF!),IF(AND(Data!#REF!&gt;(TODAY()-(Data_Val!$L$3*365.25)),Data!#REF!&lt;=(TODAY()-(Data_Val!$L$2*365.25))),0,1),1))</f>
        <v>#REF!</v>
      </c>
      <c r="AM817" s="17" t="e">
        <f>IF(Data!#REF!="","",IF(Data!$G817="",1,IF(ISNUMBER(MATCH(Data!#REF!,Data_Val!$D$2:$D$10,0)),0,1)))</f>
        <v>#REF!</v>
      </c>
      <c r="AN817" s="13"/>
      <c r="AO817" s="28" t="e">
        <f ca="1">IF(Data!#REF!="","",IF(ISNUMBER(Data!#REF!),IF(AND(Data!#REF!&gt;(TODAY()-(Data_Val!$I$3*365.25)),Data!#REF!&lt;=(TODAY()-(Data_Val!$I$2*365.25))),0,1),1))</f>
        <v>#REF!</v>
      </c>
      <c r="AP817" s="13" t="e">
        <f>IF(Data!#REF!="","",IF(Data!$G817="",1,IF(ISNUMBER(MATCH(Data!#REF!,Data_Val!$D$2:$D$10,0)),0,1)))</f>
        <v>#REF!</v>
      </c>
      <c r="AQ817" s="17"/>
      <c r="AR817" s="30" t="e">
        <f ca="1">IF(Data!#REF!="","",IF(ISNUMBER(Data!#REF!),IF(AND(Data!#REF!&gt;(TODAY()-(Data_Val!$I$3*365.25)),Data!#REF!&lt;=(TODAY()-(Data_Val!$I$2*365.25))),0,1),1))</f>
        <v>#REF!</v>
      </c>
      <c r="AS817" s="31" t="e">
        <f>IF(Data!#REF!="","",IF(Data!$G817="",1,IF(ISNUMBER(MATCH(Data!#REF!,Data_Val!$D$2:$D$10,0)),0,1)))</f>
        <v>#REF!</v>
      </c>
      <c r="AT817" s="11"/>
      <c r="AU817" s="11" t="e">
        <f ca="1">IF(Data!#REF!="","",IF(ISNUMBER(Data!#REF!),IF(AND(Data!#REF!&gt;(TODAY()-(Data_Val!$I$3*365.25)),Data!#REF!&lt;=(TODAY()-(Data_Val!$I$2*365.25))),0,1),1))</f>
        <v>#REF!</v>
      </c>
      <c r="AV817" s="11" t="e">
        <f>IF(Data!#REF!="","",IF(Data!$G817="",1,IF(ISNUMBER(MATCH(Data!#REF!,Data_Val!$D$2:$D$10,0)),0,1)))</f>
        <v>#REF!</v>
      </c>
      <c r="AW817" s="12"/>
      <c r="AX817" s="26" t="e">
        <f ca="1">IF(Data!#REF!="","",IF(ISNUMBER(Data!#REF!),IF(AND(Data!#REF!&gt;(TODAY()-(Data_Val!$I$3*365.25)),Data!#REF!&lt;=(TODAY()-(Data_Val!$I$2*365.25))),0,1),1))</f>
        <v>#REF!</v>
      </c>
      <c r="AY817" s="12" t="e">
        <f>IF(Data!#REF!="","",IF(Data!$G817="",1,IF(ISNUMBER(MATCH(Data!#REF!,Data_Val!$D$2:$D$10,0)),0,1)))</f>
        <v>#REF!</v>
      </c>
      <c r="AZ817" s="11"/>
      <c r="BA817" s="19" t="e">
        <f ca="1">IF(Data!#REF!="","",IF(ISNUMBER(Data!#REF!),IF(AND(Data!#REF!&gt;(TODAY()-(Data_Val!$M$3*365.25)),Data!#REF!&lt;=(TODAY()-(Data_Val!$M$2*365.25))),0,1),1))</f>
        <v>#REF!</v>
      </c>
      <c r="BB817" s="11" t="e">
        <f>IF(Data!#REF!="","",IF(Data!$G817="",1,IF(ISNUMBER(MATCH(Data!#REF!,Data_Val!$D$2:$D$10,0)),0,1)))</f>
        <v>#REF!</v>
      </c>
      <c r="BC817" s="12"/>
      <c r="BD817" s="20" t="e">
        <f ca="1">IF(Data!#REF!="","",IF(ISNUMBER(Data!#REF!),IF(AND(Data!#REF!&gt;(TODAY()-(Data_Val!$M$3*365.25)),Data!#REF!&lt;=(TODAY()-(Data_Val!$M$2*365.25))),0,1),1))</f>
        <v>#REF!</v>
      </c>
      <c r="BE817" s="12" t="e">
        <f>IF(Data!#REF!="","",IF(Data!$G817="",1,IF(ISNUMBER(MATCH(Data!#REF!,Data_Val!$D$2:$D$10,0)),0,1)))</f>
        <v>#REF!</v>
      </c>
      <c r="BF817" s="17"/>
      <c r="BG817" s="18" t="e">
        <f ca="1">IF(Data!#REF!="","",IF(ISNUMBER(Data!#REF!),IF(AND(Data!#REF!&gt;(TODAY()-(Data_Val!$M$3*365.25)),Data!#REF!&lt;=(TODAY()-(Data_Val!$M$2*365.25))),0,1),1))</f>
        <v>#REF!</v>
      </c>
      <c r="BH817" s="29" t="e">
        <f>IF(Data!#REF!="","",IF(Data!$G817="",1,IF(ISNUMBER(MATCH(Data!#REF!,Data_Val!$D$2:$D$10,0)),0,1)))</f>
        <v>#REF!</v>
      </c>
      <c r="BI817" s="13"/>
      <c r="BJ817" s="21" t="e">
        <f ca="1">IF(Data!#REF!="","",IF(ISNUMBER(Data!#REF!),IF(AND(Data!#REF!&gt;(TODAY()-(Data_Val!$M$3*365.25)),Data!#REF!&lt;=(TODAY()-(Data_Val!$M$2*365.25))),0,1),1))</f>
        <v>#REF!</v>
      </c>
      <c r="BK817" s="13" t="e">
        <f>IF(Data!#REF!="","",IF(Data!$G817="",1,IF(ISNUMBER(MATCH(Data!#REF!,Data_Val!$D$2:$D$10,0)),0,1)))</f>
        <v>#REF!</v>
      </c>
    </row>
    <row r="818" spans="1:63" x14ac:dyDescent="0.25">
      <c r="A818" s="9" t="str">
        <f>IF(Data!B818="","",IF(COUNTIFS(Data!A$1:'Data'!A818,Data!A818)&lt;=1,0,1))</f>
        <v/>
      </c>
      <c r="B818" s="9"/>
      <c r="C818" s="23" t="str">
        <f>IF(Data!C818="","",(IF(ISNUMBER(MATCH("*@*.?*",Data!C818,0)),0,1)+IF(COUNTIFS(Data!C$1:'Data'!C818,Data!C818)&gt;1,1,0)))</f>
        <v/>
      </c>
      <c r="D818" s="9" t="str">
        <f>IF(Data!B818="","",IF(ISNUMBER(Data!D818),IF(AND(Data!D818&gt;999999999,Data!D818&lt;=9999999999),IF(COUNTIFS(Data!D$1:'Data'!D818,Data!D818)&lt;=1,0,1),1),1))</f>
        <v/>
      </c>
      <c r="E818" s="9" t="str">
        <f>IF(Data!B818="","",IF(ISNUMBER(MATCH(Data!E818,Data_Val!$A$2:$A$3,0)),0,1))</f>
        <v/>
      </c>
      <c r="F818" s="9" t="str">
        <f ca="1">IF(Data!B818="","",IF(ISNUMBER(Data!F818),IF(AND(Data!F818&gt;(TODAY()-(Data_Val!$H$3*365.25)),Data!F818&lt;=(TODAY()-(Data_Val!$H$2*365.25))),0,1),1))</f>
        <v/>
      </c>
      <c r="G818" s="15" t="str">
        <f>IF(Data!B818="","",IF(AND(Data!G818="",Data!H818&lt;&gt;""),1,IF(Data!#REF!&lt;&gt;"",0,IF(ISNUMBER(MATCH(Data!G818,Data_Val!$C$2:$C$5,0)),0,1))))</f>
        <v/>
      </c>
      <c r="H818" s="15" t="str">
        <f>IF(Data!B818="","",IF(AND(Data!G818&lt;&gt;"",Data!H818=""),1,IF(Data!#REF!&lt;&gt;"",0,IF(Data!G818="",1,IF(ISNUMBER(MATCH(Data!H818,Data_Val!$D$2:$D$35,0)),0,1)))))</f>
        <v/>
      </c>
      <c r="I818" s="15" t="str">
        <f>IF(Data!B818="","",IF(Data!G818&lt;&gt;"",0,IF(ISNUMBER(MATCH(Data!#REF!,Data_Val!$E$2:$E$12,0)),0,1)))</f>
        <v/>
      </c>
      <c r="J818" s="16" t="e">
        <f>IF(OR(Data!B818="",Data!#REF!=""),"",IF(Data!#REF!="",1,0))</f>
        <v>#REF!</v>
      </c>
      <c r="K818" s="16" t="e">
        <f>IF(OR(Data!B818="",Data!#REF!=""),"",IF(Data!#REF!="",1,0))</f>
        <v>#REF!</v>
      </c>
      <c r="L818" s="16" t="e">
        <f>IF(OR(Data!B818="",Data!#REF!=""),"",IF(ISNUMBER(Data!#REF!),IF(AND(Data!#REF!&gt;Data_Val!$G$2,Data!#REF!&lt;=Data_Val!$G$3),0,1),1))</f>
        <v>#REF!</v>
      </c>
      <c r="M818" s="9" t="e">
        <f>IF(OR(Data!B818="",Data!#REF!=""),"",IF(ISNUMBER(MATCH(Data!#REF!,Data_Val!$F$1:$F$38,0)),0,1))</f>
        <v>#REF!</v>
      </c>
      <c r="N818" s="9" t="e">
        <f>IF(OR(Data!B818="",Data!#REF!=""),"",IF(Data!#REF!="",1,0))</f>
        <v>#REF!</v>
      </c>
      <c r="O818" s="17" t="e">
        <f>IF(Data!#REF!="","",IF(Data!#REF!="",1,0))</f>
        <v>#REF!</v>
      </c>
      <c r="P818" s="17" t="e">
        <f>IF(Data!#REF!="","",IF(ISNUMBER(MATCH(Data!#REF!,Data_Val!$A$2:$A$3,0)),0,1))</f>
        <v>#REF!</v>
      </c>
      <c r="Q818" s="25" t="e">
        <f ca="1">IF(Data!#REF!="","",IF(ISNUMBER(Data!#REF!),IF(AND(Data!#REF!&gt;(TODAY()-(Data_Val!$J$3*365.25)),Data!#REF!&lt;=(TODAY()-(Data_Val!$J$2*365.25))),0,1),1))</f>
        <v>#REF!</v>
      </c>
      <c r="R818" s="17" t="e">
        <f>IF(Data!#REF!="","",IF(ISNUMBER(MATCH(Data!#REF!,Data_Val!$B$2:$B$15,0)),0,1))</f>
        <v>#REF!</v>
      </c>
      <c r="S818" s="11" t="str">
        <f>IF(Data!G818="","",IF(Data!G818=Data_Val!$C$2,IF(Data!M818="",0,1),0))</f>
        <v/>
      </c>
      <c r="T818" s="11" t="str">
        <f>IF(Data!M818="","",IF(ISNUMBER(MATCH(Data!N818,Data_Val!$A$2:$A$3,0)),0,1))</f>
        <v/>
      </c>
      <c r="U818" s="11" t="str">
        <f ca="1">IF(Data!M818="","",IF(ISNUMBER(Data!O818),IF(AND(Data!O818&gt;(TODAY()-(Data_Val!$K$3*365.25)),Data!O818&lt;=(TODAY()-(Data_Val!$K$2*365.25))),0,1),1))</f>
        <v/>
      </c>
      <c r="V818" s="12" t="str">
        <f>IF(Data!G818="","",IF(Data!G818=Data_Val!$C$2,IF(Data!P818="",0,1),0))</f>
        <v/>
      </c>
      <c r="W818" s="12" t="str">
        <f>IF(Data!P818="","",IF(ISNUMBER(MATCH(Data!Q818,Data_Val!$A$2:$A$3,0)),0,1))</f>
        <v/>
      </c>
      <c r="X818" s="26" t="str">
        <f ca="1">IF(Data!P818="","",IF(ISNUMBER(Data!R818),IF(AND(Data!R818&gt;(TODAY()-(Data_Val!$L$3*365.25)),Data!R818&lt;=(TODAY()-(Data_Val!$L$2*365.25))),0,1),1))</f>
        <v/>
      </c>
      <c r="Y818" s="13" t="str">
        <f>IF(Data!$G818="","",IF(Data!$G818=Data_Val!$C$2,IF(Data!S818="",0,1),0))</f>
        <v/>
      </c>
      <c r="Z818" s="13" t="str">
        <f>IF(Data!S818="","",IF(ISNUMBER(MATCH(Data!T818,Data_Val!$A$2:$A$3,0)),0,1))</f>
        <v/>
      </c>
      <c r="AA818" s="28" t="str">
        <f ca="1">IF(Data!S818="","",IF(ISNUMBER(Data!U818),IF(AND(Data!U818&gt;(TODAY()-(Data_Val!$L$3*365.25)),Data!U818&lt;=(TODAY()-(Data_Val!$L$2*365.25))),0,1),1))</f>
        <v/>
      </c>
      <c r="AB818" s="11"/>
      <c r="AC818" s="11" t="e">
        <f>IF(Data!#REF!="","",IF(ISNUMBER(MATCH(Data!#REF!,Data_Val!$A$2:$A$3,0)),0,1))</f>
        <v>#REF!</v>
      </c>
      <c r="AD818" s="11" t="e">
        <f ca="1">IF(Data!#REF!="","",IF(ISNUMBER(Data!#REF!),IF(AND(Data!#REF!&gt;(TODAY()-(Data_Val!$L$3*365.25)),Data!#REF!&lt;=(TODAY()-(Data_Val!$L$2*365.25))),0,1),1))</f>
        <v>#REF!</v>
      </c>
      <c r="AE818" s="11" t="e">
        <f>IF(Data!#REF!="","",IF(Data!$G818="",1,IF(ISNUMBER(MATCH(Data!#REF!,Data_Val!$D$2:$D$10,0)),0,1)))</f>
        <v>#REF!</v>
      </c>
      <c r="AF818" s="12"/>
      <c r="AG818" s="12" t="e">
        <f>IF(Data!#REF!="","",IF(ISNUMBER(MATCH(Data!#REF!,Data_Val!$A$2:$A$3,0)),0,1))</f>
        <v>#REF!</v>
      </c>
      <c r="AH818" s="26" t="e">
        <f ca="1">IF(Data!#REF!="","",IF(ISNUMBER(Data!#REF!),IF(AND(Data!#REF!&gt;(TODAY()-(Data_Val!$L$3*365.25)),Data!#REF!&lt;=(TODAY()-(Data_Val!$L$2*365.25))),0,1),1))</f>
        <v>#REF!</v>
      </c>
      <c r="AI818" s="12" t="e">
        <f>IF(Data!#REF!="","",IF(Data!$G818="",1,IF(ISNUMBER(MATCH(Data!#REF!,Data_Val!$D$2:$D$10,0)),0,1)))</f>
        <v>#REF!</v>
      </c>
      <c r="AJ818" s="17"/>
      <c r="AK818" s="17" t="e">
        <f>IF(Data!#REF!="","",IF(ISNUMBER(MATCH(Data!#REF!,Data_Val!$A$2:$A$3,0)),0,1))</f>
        <v>#REF!</v>
      </c>
      <c r="AL818" s="25" t="e">
        <f ca="1">IF(Data!#REF!="","",IF(ISNUMBER(Data!#REF!),IF(AND(Data!#REF!&gt;(TODAY()-(Data_Val!$L$3*365.25)),Data!#REF!&lt;=(TODAY()-(Data_Val!$L$2*365.25))),0,1),1))</f>
        <v>#REF!</v>
      </c>
      <c r="AM818" s="17" t="e">
        <f>IF(Data!#REF!="","",IF(Data!$G818="",1,IF(ISNUMBER(MATCH(Data!#REF!,Data_Val!$D$2:$D$10,0)),0,1)))</f>
        <v>#REF!</v>
      </c>
      <c r="AN818" s="13"/>
      <c r="AO818" s="28" t="e">
        <f ca="1">IF(Data!#REF!="","",IF(ISNUMBER(Data!#REF!),IF(AND(Data!#REF!&gt;(TODAY()-(Data_Val!$I$3*365.25)),Data!#REF!&lt;=(TODAY()-(Data_Val!$I$2*365.25))),0,1),1))</f>
        <v>#REF!</v>
      </c>
      <c r="AP818" s="13" t="e">
        <f>IF(Data!#REF!="","",IF(Data!$G818="",1,IF(ISNUMBER(MATCH(Data!#REF!,Data_Val!$D$2:$D$10,0)),0,1)))</f>
        <v>#REF!</v>
      </c>
      <c r="AQ818" s="17"/>
      <c r="AR818" s="30" t="e">
        <f ca="1">IF(Data!#REF!="","",IF(ISNUMBER(Data!#REF!),IF(AND(Data!#REF!&gt;(TODAY()-(Data_Val!$I$3*365.25)),Data!#REF!&lt;=(TODAY()-(Data_Val!$I$2*365.25))),0,1),1))</f>
        <v>#REF!</v>
      </c>
      <c r="AS818" s="31" t="e">
        <f>IF(Data!#REF!="","",IF(Data!$G818="",1,IF(ISNUMBER(MATCH(Data!#REF!,Data_Val!$D$2:$D$10,0)),0,1)))</f>
        <v>#REF!</v>
      </c>
      <c r="AT818" s="11"/>
      <c r="AU818" s="11" t="e">
        <f ca="1">IF(Data!#REF!="","",IF(ISNUMBER(Data!#REF!),IF(AND(Data!#REF!&gt;(TODAY()-(Data_Val!$I$3*365.25)),Data!#REF!&lt;=(TODAY()-(Data_Val!$I$2*365.25))),0,1),1))</f>
        <v>#REF!</v>
      </c>
      <c r="AV818" s="11" t="e">
        <f>IF(Data!#REF!="","",IF(Data!$G818="",1,IF(ISNUMBER(MATCH(Data!#REF!,Data_Val!$D$2:$D$10,0)),0,1)))</f>
        <v>#REF!</v>
      </c>
      <c r="AW818" s="12"/>
      <c r="AX818" s="26" t="e">
        <f ca="1">IF(Data!#REF!="","",IF(ISNUMBER(Data!#REF!),IF(AND(Data!#REF!&gt;(TODAY()-(Data_Val!$I$3*365.25)),Data!#REF!&lt;=(TODAY()-(Data_Val!$I$2*365.25))),0,1),1))</f>
        <v>#REF!</v>
      </c>
      <c r="AY818" s="12" t="e">
        <f>IF(Data!#REF!="","",IF(Data!$G818="",1,IF(ISNUMBER(MATCH(Data!#REF!,Data_Val!$D$2:$D$10,0)),0,1)))</f>
        <v>#REF!</v>
      </c>
      <c r="AZ818" s="11"/>
      <c r="BA818" s="19" t="e">
        <f ca="1">IF(Data!#REF!="","",IF(ISNUMBER(Data!#REF!),IF(AND(Data!#REF!&gt;(TODAY()-(Data_Val!$M$3*365.25)),Data!#REF!&lt;=(TODAY()-(Data_Val!$M$2*365.25))),0,1),1))</f>
        <v>#REF!</v>
      </c>
      <c r="BB818" s="11" t="e">
        <f>IF(Data!#REF!="","",IF(Data!$G818="",1,IF(ISNUMBER(MATCH(Data!#REF!,Data_Val!$D$2:$D$10,0)),0,1)))</f>
        <v>#REF!</v>
      </c>
      <c r="BC818" s="12"/>
      <c r="BD818" s="20" t="e">
        <f ca="1">IF(Data!#REF!="","",IF(ISNUMBER(Data!#REF!),IF(AND(Data!#REF!&gt;(TODAY()-(Data_Val!$M$3*365.25)),Data!#REF!&lt;=(TODAY()-(Data_Val!$M$2*365.25))),0,1),1))</f>
        <v>#REF!</v>
      </c>
      <c r="BE818" s="12" t="e">
        <f>IF(Data!#REF!="","",IF(Data!$G818="",1,IF(ISNUMBER(MATCH(Data!#REF!,Data_Val!$D$2:$D$10,0)),0,1)))</f>
        <v>#REF!</v>
      </c>
      <c r="BF818" s="17"/>
      <c r="BG818" s="18" t="e">
        <f ca="1">IF(Data!#REF!="","",IF(ISNUMBER(Data!#REF!),IF(AND(Data!#REF!&gt;(TODAY()-(Data_Val!$M$3*365.25)),Data!#REF!&lt;=(TODAY()-(Data_Val!$M$2*365.25))),0,1),1))</f>
        <v>#REF!</v>
      </c>
      <c r="BH818" s="29" t="e">
        <f>IF(Data!#REF!="","",IF(Data!$G818="",1,IF(ISNUMBER(MATCH(Data!#REF!,Data_Val!$D$2:$D$10,0)),0,1)))</f>
        <v>#REF!</v>
      </c>
      <c r="BI818" s="13"/>
      <c r="BJ818" s="21" t="e">
        <f ca="1">IF(Data!#REF!="","",IF(ISNUMBER(Data!#REF!),IF(AND(Data!#REF!&gt;(TODAY()-(Data_Val!$M$3*365.25)),Data!#REF!&lt;=(TODAY()-(Data_Val!$M$2*365.25))),0,1),1))</f>
        <v>#REF!</v>
      </c>
      <c r="BK818" s="13" t="e">
        <f>IF(Data!#REF!="","",IF(Data!$G818="",1,IF(ISNUMBER(MATCH(Data!#REF!,Data_Val!$D$2:$D$10,0)),0,1)))</f>
        <v>#REF!</v>
      </c>
    </row>
    <row r="819" spans="1:63" x14ac:dyDescent="0.25">
      <c r="A819" s="9" t="str">
        <f>IF(Data!B819="","",IF(COUNTIFS(Data!A$1:'Data'!A819,Data!A819)&lt;=1,0,1))</f>
        <v/>
      </c>
      <c r="B819" s="9"/>
      <c r="C819" s="23" t="str">
        <f>IF(Data!C819="","",(IF(ISNUMBER(MATCH("*@*.?*",Data!C819,0)),0,1)+IF(COUNTIFS(Data!C$1:'Data'!C819,Data!C819)&gt;1,1,0)))</f>
        <v/>
      </c>
      <c r="D819" s="9" t="str">
        <f>IF(Data!B819="","",IF(ISNUMBER(Data!D819),IF(AND(Data!D819&gt;999999999,Data!D819&lt;=9999999999),IF(COUNTIFS(Data!D$1:'Data'!D819,Data!D819)&lt;=1,0,1),1),1))</f>
        <v/>
      </c>
      <c r="E819" s="9" t="str">
        <f>IF(Data!B819="","",IF(ISNUMBER(MATCH(Data!E819,Data_Val!$A$2:$A$3,0)),0,1))</f>
        <v/>
      </c>
      <c r="F819" s="9" t="str">
        <f ca="1">IF(Data!B819="","",IF(ISNUMBER(Data!F819),IF(AND(Data!F819&gt;(TODAY()-(Data_Val!$H$3*365.25)),Data!F819&lt;=(TODAY()-(Data_Val!$H$2*365.25))),0,1),1))</f>
        <v/>
      </c>
      <c r="G819" s="15" t="str">
        <f>IF(Data!B819="","",IF(AND(Data!G819="",Data!H819&lt;&gt;""),1,IF(Data!#REF!&lt;&gt;"",0,IF(ISNUMBER(MATCH(Data!G819,Data_Val!$C$2:$C$5,0)),0,1))))</f>
        <v/>
      </c>
      <c r="H819" s="15" t="str">
        <f>IF(Data!B819="","",IF(AND(Data!G819&lt;&gt;"",Data!H819=""),1,IF(Data!#REF!&lt;&gt;"",0,IF(Data!G819="",1,IF(ISNUMBER(MATCH(Data!H819,Data_Val!$D$2:$D$35,0)),0,1)))))</f>
        <v/>
      </c>
      <c r="I819" s="15" t="str">
        <f>IF(Data!B819="","",IF(Data!G819&lt;&gt;"",0,IF(ISNUMBER(MATCH(Data!#REF!,Data_Val!$E$2:$E$12,0)),0,1)))</f>
        <v/>
      </c>
      <c r="J819" s="16" t="e">
        <f>IF(OR(Data!B819="",Data!#REF!=""),"",IF(Data!#REF!="",1,0))</f>
        <v>#REF!</v>
      </c>
      <c r="K819" s="16" t="e">
        <f>IF(OR(Data!B819="",Data!#REF!=""),"",IF(Data!#REF!="",1,0))</f>
        <v>#REF!</v>
      </c>
      <c r="L819" s="16" t="e">
        <f>IF(OR(Data!B819="",Data!#REF!=""),"",IF(ISNUMBER(Data!#REF!),IF(AND(Data!#REF!&gt;Data_Val!$G$2,Data!#REF!&lt;=Data_Val!$G$3),0,1),1))</f>
        <v>#REF!</v>
      </c>
      <c r="M819" s="9" t="e">
        <f>IF(OR(Data!B819="",Data!#REF!=""),"",IF(ISNUMBER(MATCH(Data!#REF!,Data_Val!$F$1:$F$38,0)),0,1))</f>
        <v>#REF!</v>
      </c>
      <c r="N819" s="9" t="e">
        <f>IF(OR(Data!B819="",Data!#REF!=""),"",IF(Data!#REF!="",1,0))</f>
        <v>#REF!</v>
      </c>
      <c r="O819" s="17" t="e">
        <f>IF(Data!#REF!="","",IF(Data!#REF!="",1,0))</f>
        <v>#REF!</v>
      </c>
      <c r="P819" s="17" t="e">
        <f>IF(Data!#REF!="","",IF(ISNUMBER(MATCH(Data!#REF!,Data_Val!$A$2:$A$3,0)),0,1))</f>
        <v>#REF!</v>
      </c>
      <c r="Q819" s="25" t="e">
        <f ca="1">IF(Data!#REF!="","",IF(ISNUMBER(Data!#REF!),IF(AND(Data!#REF!&gt;(TODAY()-(Data_Val!$J$3*365.25)),Data!#REF!&lt;=(TODAY()-(Data_Val!$J$2*365.25))),0,1),1))</f>
        <v>#REF!</v>
      </c>
      <c r="R819" s="17" t="e">
        <f>IF(Data!#REF!="","",IF(ISNUMBER(MATCH(Data!#REF!,Data_Val!$B$2:$B$15,0)),0,1))</f>
        <v>#REF!</v>
      </c>
      <c r="S819" s="11" t="str">
        <f>IF(Data!G819="","",IF(Data!G819=Data_Val!$C$2,IF(Data!M819="",0,1),0))</f>
        <v/>
      </c>
      <c r="T819" s="11" t="str">
        <f>IF(Data!M819="","",IF(ISNUMBER(MATCH(Data!N819,Data_Val!$A$2:$A$3,0)),0,1))</f>
        <v/>
      </c>
      <c r="U819" s="11" t="str">
        <f ca="1">IF(Data!M819="","",IF(ISNUMBER(Data!O819),IF(AND(Data!O819&gt;(TODAY()-(Data_Val!$K$3*365.25)),Data!O819&lt;=(TODAY()-(Data_Val!$K$2*365.25))),0,1),1))</f>
        <v/>
      </c>
      <c r="V819" s="12" t="str">
        <f>IF(Data!G819="","",IF(Data!G819=Data_Val!$C$2,IF(Data!P819="",0,1),0))</f>
        <v/>
      </c>
      <c r="W819" s="12" t="str">
        <f>IF(Data!P819="","",IF(ISNUMBER(MATCH(Data!Q819,Data_Val!$A$2:$A$3,0)),0,1))</f>
        <v/>
      </c>
      <c r="X819" s="26" t="str">
        <f ca="1">IF(Data!P819="","",IF(ISNUMBER(Data!R819),IF(AND(Data!R819&gt;(TODAY()-(Data_Val!$L$3*365.25)),Data!R819&lt;=(TODAY()-(Data_Val!$L$2*365.25))),0,1),1))</f>
        <v/>
      </c>
      <c r="Y819" s="13" t="str">
        <f>IF(Data!$G819="","",IF(Data!$G819=Data_Val!$C$2,IF(Data!S819="",0,1),0))</f>
        <v/>
      </c>
      <c r="Z819" s="13" t="str">
        <f>IF(Data!S819="","",IF(ISNUMBER(MATCH(Data!T819,Data_Val!$A$2:$A$3,0)),0,1))</f>
        <v/>
      </c>
      <c r="AA819" s="28" t="str">
        <f ca="1">IF(Data!S819="","",IF(ISNUMBER(Data!U819),IF(AND(Data!U819&gt;(TODAY()-(Data_Val!$L$3*365.25)),Data!U819&lt;=(TODAY()-(Data_Val!$L$2*365.25))),0,1),1))</f>
        <v/>
      </c>
      <c r="AB819" s="11"/>
      <c r="AC819" s="11" t="e">
        <f>IF(Data!#REF!="","",IF(ISNUMBER(MATCH(Data!#REF!,Data_Val!$A$2:$A$3,0)),0,1))</f>
        <v>#REF!</v>
      </c>
      <c r="AD819" s="11" t="e">
        <f ca="1">IF(Data!#REF!="","",IF(ISNUMBER(Data!#REF!),IF(AND(Data!#REF!&gt;(TODAY()-(Data_Val!$L$3*365.25)),Data!#REF!&lt;=(TODAY()-(Data_Val!$L$2*365.25))),0,1),1))</f>
        <v>#REF!</v>
      </c>
      <c r="AE819" s="11" t="e">
        <f>IF(Data!#REF!="","",IF(Data!$G819="",1,IF(ISNUMBER(MATCH(Data!#REF!,Data_Val!$D$2:$D$10,0)),0,1)))</f>
        <v>#REF!</v>
      </c>
      <c r="AF819" s="12"/>
      <c r="AG819" s="12" t="e">
        <f>IF(Data!#REF!="","",IF(ISNUMBER(MATCH(Data!#REF!,Data_Val!$A$2:$A$3,0)),0,1))</f>
        <v>#REF!</v>
      </c>
      <c r="AH819" s="26" t="e">
        <f ca="1">IF(Data!#REF!="","",IF(ISNUMBER(Data!#REF!),IF(AND(Data!#REF!&gt;(TODAY()-(Data_Val!$L$3*365.25)),Data!#REF!&lt;=(TODAY()-(Data_Val!$L$2*365.25))),0,1),1))</f>
        <v>#REF!</v>
      </c>
      <c r="AI819" s="12" t="e">
        <f>IF(Data!#REF!="","",IF(Data!$G819="",1,IF(ISNUMBER(MATCH(Data!#REF!,Data_Val!$D$2:$D$10,0)),0,1)))</f>
        <v>#REF!</v>
      </c>
      <c r="AJ819" s="17"/>
      <c r="AK819" s="17" t="e">
        <f>IF(Data!#REF!="","",IF(ISNUMBER(MATCH(Data!#REF!,Data_Val!$A$2:$A$3,0)),0,1))</f>
        <v>#REF!</v>
      </c>
      <c r="AL819" s="25" t="e">
        <f ca="1">IF(Data!#REF!="","",IF(ISNUMBER(Data!#REF!),IF(AND(Data!#REF!&gt;(TODAY()-(Data_Val!$L$3*365.25)),Data!#REF!&lt;=(TODAY()-(Data_Val!$L$2*365.25))),0,1),1))</f>
        <v>#REF!</v>
      </c>
      <c r="AM819" s="17" t="e">
        <f>IF(Data!#REF!="","",IF(Data!$G819="",1,IF(ISNUMBER(MATCH(Data!#REF!,Data_Val!$D$2:$D$10,0)),0,1)))</f>
        <v>#REF!</v>
      </c>
      <c r="AN819" s="13"/>
      <c r="AO819" s="28" t="e">
        <f ca="1">IF(Data!#REF!="","",IF(ISNUMBER(Data!#REF!),IF(AND(Data!#REF!&gt;(TODAY()-(Data_Val!$I$3*365.25)),Data!#REF!&lt;=(TODAY()-(Data_Val!$I$2*365.25))),0,1),1))</f>
        <v>#REF!</v>
      </c>
      <c r="AP819" s="13" t="e">
        <f>IF(Data!#REF!="","",IF(Data!$G819="",1,IF(ISNUMBER(MATCH(Data!#REF!,Data_Val!$D$2:$D$10,0)),0,1)))</f>
        <v>#REF!</v>
      </c>
      <c r="AQ819" s="17"/>
      <c r="AR819" s="30" t="e">
        <f ca="1">IF(Data!#REF!="","",IF(ISNUMBER(Data!#REF!),IF(AND(Data!#REF!&gt;(TODAY()-(Data_Val!$I$3*365.25)),Data!#REF!&lt;=(TODAY()-(Data_Val!$I$2*365.25))),0,1),1))</f>
        <v>#REF!</v>
      </c>
      <c r="AS819" s="31" t="e">
        <f>IF(Data!#REF!="","",IF(Data!$G819="",1,IF(ISNUMBER(MATCH(Data!#REF!,Data_Val!$D$2:$D$10,0)),0,1)))</f>
        <v>#REF!</v>
      </c>
      <c r="AT819" s="11"/>
      <c r="AU819" s="11" t="e">
        <f ca="1">IF(Data!#REF!="","",IF(ISNUMBER(Data!#REF!),IF(AND(Data!#REF!&gt;(TODAY()-(Data_Val!$I$3*365.25)),Data!#REF!&lt;=(TODAY()-(Data_Val!$I$2*365.25))),0,1),1))</f>
        <v>#REF!</v>
      </c>
      <c r="AV819" s="11" t="e">
        <f>IF(Data!#REF!="","",IF(Data!$G819="",1,IF(ISNUMBER(MATCH(Data!#REF!,Data_Val!$D$2:$D$10,0)),0,1)))</f>
        <v>#REF!</v>
      </c>
      <c r="AW819" s="12"/>
      <c r="AX819" s="26" t="e">
        <f ca="1">IF(Data!#REF!="","",IF(ISNUMBER(Data!#REF!),IF(AND(Data!#REF!&gt;(TODAY()-(Data_Val!$I$3*365.25)),Data!#REF!&lt;=(TODAY()-(Data_Val!$I$2*365.25))),0,1),1))</f>
        <v>#REF!</v>
      </c>
      <c r="AY819" s="12" t="e">
        <f>IF(Data!#REF!="","",IF(Data!$G819="",1,IF(ISNUMBER(MATCH(Data!#REF!,Data_Val!$D$2:$D$10,0)),0,1)))</f>
        <v>#REF!</v>
      </c>
      <c r="AZ819" s="11"/>
      <c r="BA819" s="19" t="e">
        <f ca="1">IF(Data!#REF!="","",IF(ISNUMBER(Data!#REF!),IF(AND(Data!#REF!&gt;(TODAY()-(Data_Val!$M$3*365.25)),Data!#REF!&lt;=(TODAY()-(Data_Val!$M$2*365.25))),0,1),1))</f>
        <v>#REF!</v>
      </c>
      <c r="BB819" s="11" t="e">
        <f>IF(Data!#REF!="","",IF(Data!$G819="",1,IF(ISNUMBER(MATCH(Data!#REF!,Data_Val!$D$2:$D$10,0)),0,1)))</f>
        <v>#REF!</v>
      </c>
      <c r="BC819" s="12"/>
      <c r="BD819" s="20" t="e">
        <f ca="1">IF(Data!#REF!="","",IF(ISNUMBER(Data!#REF!),IF(AND(Data!#REF!&gt;(TODAY()-(Data_Val!$M$3*365.25)),Data!#REF!&lt;=(TODAY()-(Data_Val!$M$2*365.25))),0,1),1))</f>
        <v>#REF!</v>
      </c>
      <c r="BE819" s="12" t="e">
        <f>IF(Data!#REF!="","",IF(Data!$G819="",1,IF(ISNUMBER(MATCH(Data!#REF!,Data_Val!$D$2:$D$10,0)),0,1)))</f>
        <v>#REF!</v>
      </c>
      <c r="BF819" s="17"/>
      <c r="BG819" s="18" t="e">
        <f ca="1">IF(Data!#REF!="","",IF(ISNUMBER(Data!#REF!),IF(AND(Data!#REF!&gt;(TODAY()-(Data_Val!$M$3*365.25)),Data!#REF!&lt;=(TODAY()-(Data_Val!$M$2*365.25))),0,1),1))</f>
        <v>#REF!</v>
      </c>
      <c r="BH819" s="29" t="e">
        <f>IF(Data!#REF!="","",IF(Data!$G819="",1,IF(ISNUMBER(MATCH(Data!#REF!,Data_Val!$D$2:$D$10,0)),0,1)))</f>
        <v>#REF!</v>
      </c>
      <c r="BI819" s="13"/>
      <c r="BJ819" s="21" t="e">
        <f ca="1">IF(Data!#REF!="","",IF(ISNUMBER(Data!#REF!),IF(AND(Data!#REF!&gt;(TODAY()-(Data_Val!$M$3*365.25)),Data!#REF!&lt;=(TODAY()-(Data_Val!$M$2*365.25))),0,1),1))</f>
        <v>#REF!</v>
      </c>
      <c r="BK819" s="13" t="e">
        <f>IF(Data!#REF!="","",IF(Data!$G819="",1,IF(ISNUMBER(MATCH(Data!#REF!,Data_Val!$D$2:$D$10,0)),0,1)))</f>
        <v>#REF!</v>
      </c>
    </row>
    <row r="820" spans="1:63" x14ac:dyDescent="0.25">
      <c r="A820" s="9" t="str">
        <f>IF(Data!B820="","",IF(COUNTIFS(Data!A$1:'Data'!A820,Data!A820)&lt;=1,0,1))</f>
        <v/>
      </c>
      <c r="B820" s="9"/>
      <c r="C820" s="23" t="str">
        <f>IF(Data!C820="","",(IF(ISNUMBER(MATCH("*@*.?*",Data!C820,0)),0,1)+IF(COUNTIFS(Data!C$1:'Data'!C820,Data!C820)&gt;1,1,0)))</f>
        <v/>
      </c>
      <c r="D820" s="9" t="str">
        <f>IF(Data!B820="","",IF(ISNUMBER(Data!D820),IF(AND(Data!D820&gt;999999999,Data!D820&lt;=9999999999),IF(COUNTIFS(Data!D$1:'Data'!D820,Data!D820)&lt;=1,0,1),1),1))</f>
        <v/>
      </c>
      <c r="E820" s="9" t="str">
        <f>IF(Data!B820="","",IF(ISNUMBER(MATCH(Data!E820,Data_Val!$A$2:$A$3,0)),0,1))</f>
        <v/>
      </c>
      <c r="F820" s="9" t="str">
        <f ca="1">IF(Data!B820="","",IF(ISNUMBER(Data!F820),IF(AND(Data!F820&gt;(TODAY()-(Data_Val!$H$3*365.25)),Data!F820&lt;=(TODAY()-(Data_Val!$H$2*365.25))),0,1),1))</f>
        <v/>
      </c>
      <c r="G820" s="15" t="str">
        <f>IF(Data!B820="","",IF(AND(Data!G820="",Data!H820&lt;&gt;""),1,IF(Data!#REF!&lt;&gt;"",0,IF(ISNUMBER(MATCH(Data!G820,Data_Val!$C$2:$C$5,0)),0,1))))</f>
        <v/>
      </c>
      <c r="H820" s="15" t="str">
        <f>IF(Data!B820="","",IF(AND(Data!G820&lt;&gt;"",Data!H820=""),1,IF(Data!#REF!&lt;&gt;"",0,IF(Data!G820="",1,IF(ISNUMBER(MATCH(Data!H820,Data_Val!$D$2:$D$35,0)),0,1)))))</f>
        <v/>
      </c>
      <c r="I820" s="15" t="str">
        <f>IF(Data!B820="","",IF(Data!G820&lt;&gt;"",0,IF(ISNUMBER(MATCH(Data!#REF!,Data_Val!$E$2:$E$12,0)),0,1)))</f>
        <v/>
      </c>
      <c r="J820" s="16" t="e">
        <f>IF(OR(Data!B820="",Data!#REF!=""),"",IF(Data!#REF!="",1,0))</f>
        <v>#REF!</v>
      </c>
      <c r="K820" s="16" t="e">
        <f>IF(OR(Data!B820="",Data!#REF!=""),"",IF(Data!#REF!="",1,0))</f>
        <v>#REF!</v>
      </c>
      <c r="L820" s="16" t="e">
        <f>IF(OR(Data!B820="",Data!#REF!=""),"",IF(ISNUMBER(Data!#REF!),IF(AND(Data!#REF!&gt;Data_Val!$G$2,Data!#REF!&lt;=Data_Val!$G$3),0,1),1))</f>
        <v>#REF!</v>
      </c>
      <c r="M820" s="9" t="e">
        <f>IF(OR(Data!B820="",Data!#REF!=""),"",IF(ISNUMBER(MATCH(Data!#REF!,Data_Val!$F$1:$F$38,0)),0,1))</f>
        <v>#REF!</v>
      </c>
      <c r="N820" s="9" t="e">
        <f>IF(OR(Data!B820="",Data!#REF!=""),"",IF(Data!#REF!="",1,0))</f>
        <v>#REF!</v>
      </c>
      <c r="O820" s="17" t="e">
        <f>IF(Data!#REF!="","",IF(Data!#REF!="",1,0))</f>
        <v>#REF!</v>
      </c>
      <c r="P820" s="17" t="e">
        <f>IF(Data!#REF!="","",IF(ISNUMBER(MATCH(Data!#REF!,Data_Val!$A$2:$A$3,0)),0,1))</f>
        <v>#REF!</v>
      </c>
      <c r="Q820" s="25" t="e">
        <f ca="1">IF(Data!#REF!="","",IF(ISNUMBER(Data!#REF!),IF(AND(Data!#REF!&gt;(TODAY()-(Data_Val!$J$3*365.25)),Data!#REF!&lt;=(TODAY()-(Data_Val!$J$2*365.25))),0,1),1))</f>
        <v>#REF!</v>
      </c>
      <c r="R820" s="17" t="e">
        <f>IF(Data!#REF!="","",IF(ISNUMBER(MATCH(Data!#REF!,Data_Val!$B$2:$B$15,0)),0,1))</f>
        <v>#REF!</v>
      </c>
      <c r="S820" s="11" t="str">
        <f>IF(Data!G820="","",IF(Data!G820=Data_Val!$C$2,IF(Data!M820="",0,1),0))</f>
        <v/>
      </c>
      <c r="T820" s="11" t="str">
        <f>IF(Data!M820="","",IF(ISNUMBER(MATCH(Data!N820,Data_Val!$A$2:$A$3,0)),0,1))</f>
        <v/>
      </c>
      <c r="U820" s="11" t="str">
        <f ca="1">IF(Data!M820="","",IF(ISNUMBER(Data!O820),IF(AND(Data!O820&gt;(TODAY()-(Data_Val!$K$3*365.25)),Data!O820&lt;=(TODAY()-(Data_Val!$K$2*365.25))),0,1),1))</f>
        <v/>
      </c>
      <c r="V820" s="12" t="str">
        <f>IF(Data!G820="","",IF(Data!G820=Data_Val!$C$2,IF(Data!P820="",0,1),0))</f>
        <v/>
      </c>
      <c r="W820" s="12" t="str">
        <f>IF(Data!P820="","",IF(ISNUMBER(MATCH(Data!Q820,Data_Val!$A$2:$A$3,0)),0,1))</f>
        <v/>
      </c>
      <c r="X820" s="26" t="str">
        <f ca="1">IF(Data!P820="","",IF(ISNUMBER(Data!R820),IF(AND(Data!R820&gt;(TODAY()-(Data_Val!$L$3*365.25)),Data!R820&lt;=(TODAY()-(Data_Val!$L$2*365.25))),0,1),1))</f>
        <v/>
      </c>
      <c r="Y820" s="13" t="str">
        <f>IF(Data!$G820="","",IF(Data!$G820=Data_Val!$C$2,IF(Data!S820="",0,1),0))</f>
        <v/>
      </c>
      <c r="Z820" s="13" t="str">
        <f>IF(Data!S820="","",IF(ISNUMBER(MATCH(Data!T820,Data_Val!$A$2:$A$3,0)),0,1))</f>
        <v/>
      </c>
      <c r="AA820" s="28" t="str">
        <f ca="1">IF(Data!S820="","",IF(ISNUMBER(Data!U820),IF(AND(Data!U820&gt;(TODAY()-(Data_Val!$L$3*365.25)),Data!U820&lt;=(TODAY()-(Data_Val!$L$2*365.25))),0,1),1))</f>
        <v/>
      </c>
      <c r="AB820" s="11"/>
      <c r="AC820" s="11" t="e">
        <f>IF(Data!#REF!="","",IF(ISNUMBER(MATCH(Data!#REF!,Data_Val!$A$2:$A$3,0)),0,1))</f>
        <v>#REF!</v>
      </c>
      <c r="AD820" s="11" t="e">
        <f ca="1">IF(Data!#REF!="","",IF(ISNUMBER(Data!#REF!),IF(AND(Data!#REF!&gt;(TODAY()-(Data_Val!$L$3*365.25)),Data!#REF!&lt;=(TODAY()-(Data_Val!$L$2*365.25))),0,1),1))</f>
        <v>#REF!</v>
      </c>
      <c r="AE820" s="11" t="e">
        <f>IF(Data!#REF!="","",IF(Data!$G820="",1,IF(ISNUMBER(MATCH(Data!#REF!,Data_Val!$D$2:$D$10,0)),0,1)))</f>
        <v>#REF!</v>
      </c>
      <c r="AF820" s="12"/>
      <c r="AG820" s="12" t="e">
        <f>IF(Data!#REF!="","",IF(ISNUMBER(MATCH(Data!#REF!,Data_Val!$A$2:$A$3,0)),0,1))</f>
        <v>#REF!</v>
      </c>
      <c r="AH820" s="26" t="e">
        <f ca="1">IF(Data!#REF!="","",IF(ISNUMBER(Data!#REF!),IF(AND(Data!#REF!&gt;(TODAY()-(Data_Val!$L$3*365.25)),Data!#REF!&lt;=(TODAY()-(Data_Val!$L$2*365.25))),0,1),1))</f>
        <v>#REF!</v>
      </c>
      <c r="AI820" s="12" t="e">
        <f>IF(Data!#REF!="","",IF(Data!$G820="",1,IF(ISNUMBER(MATCH(Data!#REF!,Data_Val!$D$2:$D$10,0)),0,1)))</f>
        <v>#REF!</v>
      </c>
      <c r="AJ820" s="17"/>
      <c r="AK820" s="17" t="e">
        <f>IF(Data!#REF!="","",IF(ISNUMBER(MATCH(Data!#REF!,Data_Val!$A$2:$A$3,0)),0,1))</f>
        <v>#REF!</v>
      </c>
      <c r="AL820" s="25" t="e">
        <f ca="1">IF(Data!#REF!="","",IF(ISNUMBER(Data!#REF!),IF(AND(Data!#REF!&gt;(TODAY()-(Data_Val!$L$3*365.25)),Data!#REF!&lt;=(TODAY()-(Data_Val!$L$2*365.25))),0,1),1))</f>
        <v>#REF!</v>
      </c>
      <c r="AM820" s="17" t="e">
        <f>IF(Data!#REF!="","",IF(Data!$G820="",1,IF(ISNUMBER(MATCH(Data!#REF!,Data_Val!$D$2:$D$10,0)),0,1)))</f>
        <v>#REF!</v>
      </c>
      <c r="AN820" s="13"/>
      <c r="AO820" s="28" t="e">
        <f ca="1">IF(Data!#REF!="","",IF(ISNUMBER(Data!#REF!),IF(AND(Data!#REF!&gt;(TODAY()-(Data_Val!$I$3*365.25)),Data!#REF!&lt;=(TODAY()-(Data_Val!$I$2*365.25))),0,1),1))</f>
        <v>#REF!</v>
      </c>
      <c r="AP820" s="13" t="e">
        <f>IF(Data!#REF!="","",IF(Data!$G820="",1,IF(ISNUMBER(MATCH(Data!#REF!,Data_Val!$D$2:$D$10,0)),0,1)))</f>
        <v>#REF!</v>
      </c>
      <c r="AQ820" s="17"/>
      <c r="AR820" s="30" t="e">
        <f ca="1">IF(Data!#REF!="","",IF(ISNUMBER(Data!#REF!),IF(AND(Data!#REF!&gt;(TODAY()-(Data_Val!$I$3*365.25)),Data!#REF!&lt;=(TODAY()-(Data_Val!$I$2*365.25))),0,1),1))</f>
        <v>#REF!</v>
      </c>
      <c r="AS820" s="31" t="e">
        <f>IF(Data!#REF!="","",IF(Data!$G820="",1,IF(ISNUMBER(MATCH(Data!#REF!,Data_Val!$D$2:$D$10,0)),0,1)))</f>
        <v>#REF!</v>
      </c>
      <c r="AT820" s="11"/>
      <c r="AU820" s="11" t="e">
        <f ca="1">IF(Data!#REF!="","",IF(ISNUMBER(Data!#REF!),IF(AND(Data!#REF!&gt;(TODAY()-(Data_Val!$I$3*365.25)),Data!#REF!&lt;=(TODAY()-(Data_Val!$I$2*365.25))),0,1),1))</f>
        <v>#REF!</v>
      </c>
      <c r="AV820" s="11" t="e">
        <f>IF(Data!#REF!="","",IF(Data!$G820="",1,IF(ISNUMBER(MATCH(Data!#REF!,Data_Val!$D$2:$D$10,0)),0,1)))</f>
        <v>#REF!</v>
      </c>
      <c r="AW820" s="12"/>
      <c r="AX820" s="26" t="e">
        <f ca="1">IF(Data!#REF!="","",IF(ISNUMBER(Data!#REF!),IF(AND(Data!#REF!&gt;(TODAY()-(Data_Val!$I$3*365.25)),Data!#REF!&lt;=(TODAY()-(Data_Val!$I$2*365.25))),0,1),1))</f>
        <v>#REF!</v>
      </c>
      <c r="AY820" s="12" t="e">
        <f>IF(Data!#REF!="","",IF(Data!$G820="",1,IF(ISNUMBER(MATCH(Data!#REF!,Data_Val!$D$2:$D$10,0)),0,1)))</f>
        <v>#REF!</v>
      </c>
      <c r="AZ820" s="11"/>
      <c r="BA820" s="19" t="e">
        <f ca="1">IF(Data!#REF!="","",IF(ISNUMBER(Data!#REF!),IF(AND(Data!#REF!&gt;(TODAY()-(Data_Val!$M$3*365.25)),Data!#REF!&lt;=(TODAY()-(Data_Val!$M$2*365.25))),0,1),1))</f>
        <v>#REF!</v>
      </c>
      <c r="BB820" s="11" t="e">
        <f>IF(Data!#REF!="","",IF(Data!$G820="",1,IF(ISNUMBER(MATCH(Data!#REF!,Data_Val!$D$2:$D$10,0)),0,1)))</f>
        <v>#REF!</v>
      </c>
      <c r="BC820" s="12"/>
      <c r="BD820" s="20" t="e">
        <f ca="1">IF(Data!#REF!="","",IF(ISNUMBER(Data!#REF!),IF(AND(Data!#REF!&gt;(TODAY()-(Data_Val!$M$3*365.25)),Data!#REF!&lt;=(TODAY()-(Data_Val!$M$2*365.25))),0,1),1))</f>
        <v>#REF!</v>
      </c>
      <c r="BE820" s="12" t="e">
        <f>IF(Data!#REF!="","",IF(Data!$G820="",1,IF(ISNUMBER(MATCH(Data!#REF!,Data_Val!$D$2:$D$10,0)),0,1)))</f>
        <v>#REF!</v>
      </c>
      <c r="BF820" s="17"/>
      <c r="BG820" s="18" t="e">
        <f ca="1">IF(Data!#REF!="","",IF(ISNUMBER(Data!#REF!),IF(AND(Data!#REF!&gt;(TODAY()-(Data_Val!$M$3*365.25)),Data!#REF!&lt;=(TODAY()-(Data_Val!$M$2*365.25))),0,1),1))</f>
        <v>#REF!</v>
      </c>
      <c r="BH820" s="29" t="e">
        <f>IF(Data!#REF!="","",IF(Data!$G820="",1,IF(ISNUMBER(MATCH(Data!#REF!,Data_Val!$D$2:$D$10,0)),0,1)))</f>
        <v>#REF!</v>
      </c>
      <c r="BI820" s="13"/>
      <c r="BJ820" s="21" t="e">
        <f ca="1">IF(Data!#REF!="","",IF(ISNUMBER(Data!#REF!),IF(AND(Data!#REF!&gt;(TODAY()-(Data_Val!$M$3*365.25)),Data!#REF!&lt;=(TODAY()-(Data_Val!$M$2*365.25))),0,1),1))</f>
        <v>#REF!</v>
      </c>
      <c r="BK820" s="13" t="e">
        <f>IF(Data!#REF!="","",IF(Data!$G820="",1,IF(ISNUMBER(MATCH(Data!#REF!,Data_Val!$D$2:$D$10,0)),0,1)))</f>
        <v>#REF!</v>
      </c>
    </row>
    <row r="821" spans="1:63" x14ac:dyDescent="0.25">
      <c r="A821" s="9" t="str">
        <f>IF(Data!B821="","",IF(COUNTIFS(Data!A$1:'Data'!A821,Data!A821)&lt;=1,0,1))</f>
        <v/>
      </c>
      <c r="B821" s="9"/>
      <c r="C821" s="23" t="str">
        <f>IF(Data!C821="","",(IF(ISNUMBER(MATCH("*@*.?*",Data!C821,0)),0,1)+IF(COUNTIFS(Data!C$1:'Data'!C821,Data!C821)&gt;1,1,0)))</f>
        <v/>
      </c>
      <c r="D821" s="9" t="str">
        <f>IF(Data!B821="","",IF(ISNUMBER(Data!D821),IF(AND(Data!D821&gt;999999999,Data!D821&lt;=9999999999),IF(COUNTIFS(Data!D$1:'Data'!D821,Data!D821)&lt;=1,0,1),1),1))</f>
        <v/>
      </c>
      <c r="E821" s="9" t="str">
        <f>IF(Data!B821="","",IF(ISNUMBER(MATCH(Data!E821,Data_Val!$A$2:$A$3,0)),0,1))</f>
        <v/>
      </c>
      <c r="F821" s="9" t="str">
        <f ca="1">IF(Data!B821="","",IF(ISNUMBER(Data!F821),IF(AND(Data!F821&gt;(TODAY()-(Data_Val!$H$3*365.25)),Data!F821&lt;=(TODAY()-(Data_Val!$H$2*365.25))),0,1),1))</f>
        <v/>
      </c>
      <c r="G821" s="15" t="str">
        <f>IF(Data!B821="","",IF(AND(Data!G821="",Data!H821&lt;&gt;""),1,IF(Data!#REF!&lt;&gt;"",0,IF(ISNUMBER(MATCH(Data!G821,Data_Val!$C$2:$C$5,0)),0,1))))</f>
        <v/>
      </c>
      <c r="H821" s="15" t="str">
        <f>IF(Data!B821="","",IF(AND(Data!G821&lt;&gt;"",Data!H821=""),1,IF(Data!#REF!&lt;&gt;"",0,IF(Data!G821="",1,IF(ISNUMBER(MATCH(Data!H821,Data_Val!$D$2:$D$35,0)),0,1)))))</f>
        <v/>
      </c>
      <c r="I821" s="15" t="str">
        <f>IF(Data!B821="","",IF(Data!G821&lt;&gt;"",0,IF(ISNUMBER(MATCH(Data!#REF!,Data_Val!$E$2:$E$12,0)),0,1)))</f>
        <v/>
      </c>
      <c r="J821" s="16" t="e">
        <f>IF(OR(Data!B821="",Data!#REF!=""),"",IF(Data!#REF!="",1,0))</f>
        <v>#REF!</v>
      </c>
      <c r="K821" s="16" t="e">
        <f>IF(OR(Data!B821="",Data!#REF!=""),"",IF(Data!#REF!="",1,0))</f>
        <v>#REF!</v>
      </c>
      <c r="L821" s="16" t="e">
        <f>IF(OR(Data!B821="",Data!#REF!=""),"",IF(ISNUMBER(Data!#REF!),IF(AND(Data!#REF!&gt;Data_Val!$G$2,Data!#REF!&lt;=Data_Val!$G$3),0,1),1))</f>
        <v>#REF!</v>
      </c>
      <c r="M821" s="9" t="e">
        <f>IF(OR(Data!B821="",Data!#REF!=""),"",IF(ISNUMBER(MATCH(Data!#REF!,Data_Val!$F$1:$F$38,0)),0,1))</f>
        <v>#REF!</v>
      </c>
      <c r="N821" s="9" t="e">
        <f>IF(OR(Data!B821="",Data!#REF!=""),"",IF(Data!#REF!="",1,0))</f>
        <v>#REF!</v>
      </c>
      <c r="O821" s="17" t="e">
        <f>IF(Data!#REF!="","",IF(Data!#REF!="",1,0))</f>
        <v>#REF!</v>
      </c>
      <c r="P821" s="17" t="e">
        <f>IF(Data!#REF!="","",IF(ISNUMBER(MATCH(Data!#REF!,Data_Val!$A$2:$A$3,0)),0,1))</f>
        <v>#REF!</v>
      </c>
      <c r="Q821" s="25" t="e">
        <f ca="1">IF(Data!#REF!="","",IF(ISNUMBER(Data!#REF!),IF(AND(Data!#REF!&gt;(TODAY()-(Data_Val!$J$3*365.25)),Data!#REF!&lt;=(TODAY()-(Data_Val!$J$2*365.25))),0,1),1))</f>
        <v>#REF!</v>
      </c>
      <c r="R821" s="17" t="e">
        <f>IF(Data!#REF!="","",IF(ISNUMBER(MATCH(Data!#REF!,Data_Val!$B$2:$B$15,0)),0,1))</f>
        <v>#REF!</v>
      </c>
      <c r="S821" s="11" t="str">
        <f>IF(Data!G821="","",IF(Data!G821=Data_Val!$C$2,IF(Data!M821="",0,1),0))</f>
        <v/>
      </c>
      <c r="T821" s="11" t="str">
        <f>IF(Data!M821="","",IF(ISNUMBER(MATCH(Data!N821,Data_Val!$A$2:$A$3,0)),0,1))</f>
        <v/>
      </c>
      <c r="U821" s="11" t="str">
        <f ca="1">IF(Data!M821="","",IF(ISNUMBER(Data!O821),IF(AND(Data!O821&gt;(TODAY()-(Data_Val!$K$3*365.25)),Data!O821&lt;=(TODAY()-(Data_Val!$K$2*365.25))),0,1),1))</f>
        <v/>
      </c>
      <c r="V821" s="12" t="str">
        <f>IF(Data!G821="","",IF(Data!G821=Data_Val!$C$2,IF(Data!P821="",0,1),0))</f>
        <v/>
      </c>
      <c r="W821" s="12" t="str">
        <f>IF(Data!P821="","",IF(ISNUMBER(MATCH(Data!Q821,Data_Val!$A$2:$A$3,0)),0,1))</f>
        <v/>
      </c>
      <c r="X821" s="26" t="str">
        <f ca="1">IF(Data!P821="","",IF(ISNUMBER(Data!R821),IF(AND(Data!R821&gt;(TODAY()-(Data_Val!$L$3*365.25)),Data!R821&lt;=(TODAY()-(Data_Val!$L$2*365.25))),0,1),1))</f>
        <v/>
      </c>
      <c r="Y821" s="13" t="str">
        <f>IF(Data!$G821="","",IF(Data!$G821=Data_Val!$C$2,IF(Data!S821="",0,1),0))</f>
        <v/>
      </c>
      <c r="Z821" s="13" t="str">
        <f>IF(Data!S821="","",IF(ISNUMBER(MATCH(Data!T821,Data_Val!$A$2:$A$3,0)),0,1))</f>
        <v/>
      </c>
      <c r="AA821" s="28" t="str">
        <f ca="1">IF(Data!S821="","",IF(ISNUMBER(Data!U821),IF(AND(Data!U821&gt;(TODAY()-(Data_Val!$L$3*365.25)),Data!U821&lt;=(TODAY()-(Data_Val!$L$2*365.25))),0,1),1))</f>
        <v/>
      </c>
      <c r="AB821" s="11"/>
      <c r="AC821" s="11" t="e">
        <f>IF(Data!#REF!="","",IF(ISNUMBER(MATCH(Data!#REF!,Data_Val!$A$2:$A$3,0)),0,1))</f>
        <v>#REF!</v>
      </c>
      <c r="AD821" s="11" t="e">
        <f ca="1">IF(Data!#REF!="","",IF(ISNUMBER(Data!#REF!),IF(AND(Data!#REF!&gt;(TODAY()-(Data_Val!$L$3*365.25)),Data!#REF!&lt;=(TODAY()-(Data_Val!$L$2*365.25))),0,1),1))</f>
        <v>#REF!</v>
      </c>
      <c r="AE821" s="11" t="e">
        <f>IF(Data!#REF!="","",IF(Data!$G821="",1,IF(ISNUMBER(MATCH(Data!#REF!,Data_Val!$D$2:$D$10,0)),0,1)))</f>
        <v>#REF!</v>
      </c>
      <c r="AF821" s="12"/>
      <c r="AG821" s="12" t="e">
        <f>IF(Data!#REF!="","",IF(ISNUMBER(MATCH(Data!#REF!,Data_Val!$A$2:$A$3,0)),0,1))</f>
        <v>#REF!</v>
      </c>
      <c r="AH821" s="26" t="e">
        <f ca="1">IF(Data!#REF!="","",IF(ISNUMBER(Data!#REF!),IF(AND(Data!#REF!&gt;(TODAY()-(Data_Val!$L$3*365.25)),Data!#REF!&lt;=(TODAY()-(Data_Val!$L$2*365.25))),0,1),1))</f>
        <v>#REF!</v>
      </c>
      <c r="AI821" s="12" t="e">
        <f>IF(Data!#REF!="","",IF(Data!$G821="",1,IF(ISNUMBER(MATCH(Data!#REF!,Data_Val!$D$2:$D$10,0)),0,1)))</f>
        <v>#REF!</v>
      </c>
      <c r="AJ821" s="17"/>
      <c r="AK821" s="17" t="e">
        <f>IF(Data!#REF!="","",IF(ISNUMBER(MATCH(Data!#REF!,Data_Val!$A$2:$A$3,0)),0,1))</f>
        <v>#REF!</v>
      </c>
      <c r="AL821" s="25" t="e">
        <f ca="1">IF(Data!#REF!="","",IF(ISNUMBER(Data!#REF!),IF(AND(Data!#REF!&gt;(TODAY()-(Data_Val!$L$3*365.25)),Data!#REF!&lt;=(TODAY()-(Data_Val!$L$2*365.25))),0,1),1))</f>
        <v>#REF!</v>
      </c>
      <c r="AM821" s="17" t="e">
        <f>IF(Data!#REF!="","",IF(Data!$G821="",1,IF(ISNUMBER(MATCH(Data!#REF!,Data_Val!$D$2:$D$10,0)),0,1)))</f>
        <v>#REF!</v>
      </c>
      <c r="AN821" s="13"/>
      <c r="AO821" s="28" t="e">
        <f ca="1">IF(Data!#REF!="","",IF(ISNUMBER(Data!#REF!),IF(AND(Data!#REF!&gt;(TODAY()-(Data_Val!$I$3*365.25)),Data!#REF!&lt;=(TODAY()-(Data_Val!$I$2*365.25))),0,1),1))</f>
        <v>#REF!</v>
      </c>
      <c r="AP821" s="13" t="e">
        <f>IF(Data!#REF!="","",IF(Data!$G821="",1,IF(ISNUMBER(MATCH(Data!#REF!,Data_Val!$D$2:$D$10,0)),0,1)))</f>
        <v>#REF!</v>
      </c>
      <c r="AQ821" s="17"/>
      <c r="AR821" s="30" t="e">
        <f ca="1">IF(Data!#REF!="","",IF(ISNUMBER(Data!#REF!),IF(AND(Data!#REF!&gt;(TODAY()-(Data_Val!$I$3*365.25)),Data!#REF!&lt;=(TODAY()-(Data_Val!$I$2*365.25))),0,1),1))</f>
        <v>#REF!</v>
      </c>
      <c r="AS821" s="31" t="e">
        <f>IF(Data!#REF!="","",IF(Data!$G821="",1,IF(ISNUMBER(MATCH(Data!#REF!,Data_Val!$D$2:$D$10,0)),0,1)))</f>
        <v>#REF!</v>
      </c>
      <c r="AT821" s="11"/>
      <c r="AU821" s="11" t="e">
        <f ca="1">IF(Data!#REF!="","",IF(ISNUMBER(Data!#REF!),IF(AND(Data!#REF!&gt;(TODAY()-(Data_Val!$I$3*365.25)),Data!#REF!&lt;=(TODAY()-(Data_Val!$I$2*365.25))),0,1),1))</f>
        <v>#REF!</v>
      </c>
      <c r="AV821" s="11" t="e">
        <f>IF(Data!#REF!="","",IF(Data!$G821="",1,IF(ISNUMBER(MATCH(Data!#REF!,Data_Val!$D$2:$D$10,0)),0,1)))</f>
        <v>#REF!</v>
      </c>
      <c r="AW821" s="12"/>
      <c r="AX821" s="26" t="e">
        <f ca="1">IF(Data!#REF!="","",IF(ISNUMBER(Data!#REF!),IF(AND(Data!#REF!&gt;(TODAY()-(Data_Val!$I$3*365.25)),Data!#REF!&lt;=(TODAY()-(Data_Val!$I$2*365.25))),0,1),1))</f>
        <v>#REF!</v>
      </c>
      <c r="AY821" s="12" t="e">
        <f>IF(Data!#REF!="","",IF(Data!$G821="",1,IF(ISNUMBER(MATCH(Data!#REF!,Data_Val!$D$2:$D$10,0)),0,1)))</f>
        <v>#REF!</v>
      </c>
      <c r="AZ821" s="11"/>
      <c r="BA821" s="19" t="e">
        <f ca="1">IF(Data!#REF!="","",IF(ISNUMBER(Data!#REF!),IF(AND(Data!#REF!&gt;(TODAY()-(Data_Val!$M$3*365.25)),Data!#REF!&lt;=(TODAY()-(Data_Val!$M$2*365.25))),0,1),1))</f>
        <v>#REF!</v>
      </c>
      <c r="BB821" s="11" t="e">
        <f>IF(Data!#REF!="","",IF(Data!$G821="",1,IF(ISNUMBER(MATCH(Data!#REF!,Data_Val!$D$2:$D$10,0)),0,1)))</f>
        <v>#REF!</v>
      </c>
      <c r="BC821" s="12"/>
      <c r="BD821" s="20" t="e">
        <f ca="1">IF(Data!#REF!="","",IF(ISNUMBER(Data!#REF!),IF(AND(Data!#REF!&gt;(TODAY()-(Data_Val!$M$3*365.25)),Data!#REF!&lt;=(TODAY()-(Data_Val!$M$2*365.25))),0,1),1))</f>
        <v>#REF!</v>
      </c>
      <c r="BE821" s="12" t="e">
        <f>IF(Data!#REF!="","",IF(Data!$G821="",1,IF(ISNUMBER(MATCH(Data!#REF!,Data_Val!$D$2:$D$10,0)),0,1)))</f>
        <v>#REF!</v>
      </c>
      <c r="BF821" s="17"/>
      <c r="BG821" s="18" t="e">
        <f ca="1">IF(Data!#REF!="","",IF(ISNUMBER(Data!#REF!),IF(AND(Data!#REF!&gt;(TODAY()-(Data_Val!$M$3*365.25)),Data!#REF!&lt;=(TODAY()-(Data_Val!$M$2*365.25))),0,1),1))</f>
        <v>#REF!</v>
      </c>
      <c r="BH821" s="29" t="e">
        <f>IF(Data!#REF!="","",IF(Data!$G821="",1,IF(ISNUMBER(MATCH(Data!#REF!,Data_Val!$D$2:$D$10,0)),0,1)))</f>
        <v>#REF!</v>
      </c>
      <c r="BI821" s="13"/>
      <c r="BJ821" s="21" t="e">
        <f ca="1">IF(Data!#REF!="","",IF(ISNUMBER(Data!#REF!),IF(AND(Data!#REF!&gt;(TODAY()-(Data_Val!$M$3*365.25)),Data!#REF!&lt;=(TODAY()-(Data_Val!$M$2*365.25))),0,1),1))</f>
        <v>#REF!</v>
      </c>
      <c r="BK821" s="13" t="e">
        <f>IF(Data!#REF!="","",IF(Data!$G821="",1,IF(ISNUMBER(MATCH(Data!#REF!,Data_Val!$D$2:$D$10,0)),0,1)))</f>
        <v>#REF!</v>
      </c>
    </row>
    <row r="822" spans="1:63" x14ac:dyDescent="0.25">
      <c r="A822" s="9" t="str">
        <f>IF(Data!B822="","",IF(COUNTIFS(Data!A$1:'Data'!A822,Data!A822)&lt;=1,0,1))</f>
        <v/>
      </c>
      <c r="B822" s="9"/>
      <c r="C822" s="23" t="str">
        <f>IF(Data!C822="","",(IF(ISNUMBER(MATCH("*@*.?*",Data!C822,0)),0,1)+IF(COUNTIFS(Data!C$1:'Data'!C822,Data!C822)&gt;1,1,0)))</f>
        <v/>
      </c>
      <c r="D822" s="9" t="str">
        <f>IF(Data!B822="","",IF(ISNUMBER(Data!D822),IF(AND(Data!D822&gt;999999999,Data!D822&lt;=9999999999),IF(COUNTIFS(Data!D$1:'Data'!D822,Data!D822)&lt;=1,0,1),1),1))</f>
        <v/>
      </c>
      <c r="E822" s="9" t="str">
        <f>IF(Data!B822="","",IF(ISNUMBER(MATCH(Data!E822,Data_Val!$A$2:$A$3,0)),0,1))</f>
        <v/>
      </c>
      <c r="F822" s="9" t="str">
        <f ca="1">IF(Data!B822="","",IF(ISNUMBER(Data!F822),IF(AND(Data!F822&gt;(TODAY()-(Data_Val!$H$3*365.25)),Data!F822&lt;=(TODAY()-(Data_Val!$H$2*365.25))),0,1),1))</f>
        <v/>
      </c>
      <c r="G822" s="15" t="str">
        <f>IF(Data!B822="","",IF(AND(Data!G822="",Data!H822&lt;&gt;""),1,IF(Data!#REF!&lt;&gt;"",0,IF(ISNUMBER(MATCH(Data!G822,Data_Val!$C$2:$C$5,0)),0,1))))</f>
        <v/>
      </c>
      <c r="H822" s="15" t="str">
        <f>IF(Data!B822="","",IF(AND(Data!G822&lt;&gt;"",Data!H822=""),1,IF(Data!#REF!&lt;&gt;"",0,IF(Data!G822="",1,IF(ISNUMBER(MATCH(Data!H822,Data_Val!$D$2:$D$35,0)),0,1)))))</f>
        <v/>
      </c>
      <c r="I822" s="15" t="str">
        <f>IF(Data!B822="","",IF(Data!G822&lt;&gt;"",0,IF(ISNUMBER(MATCH(Data!#REF!,Data_Val!$E$2:$E$12,0)),0,1)))</f>
        <v/>
      </c>
      <c r="J822" s="16" t="e">
        <f>IF(OR(Data!B822="",Data!#REF!=""),"",IF(Data!#REF!="",1,0))</f>
        <v>#REF!</v>
      </c>
      <c r="K822" s="16" t="e">
        <f>IF(OR(Data!B822="",Data!#REF!=""),"",IF(Data!#REF!="",1,0))</f>
        <v>#REF!</v>
      </c>
      <c r="L822" s="16" t="e">
        <f>IF(OR(Data!B822="",Data!#REF!=""),"",IF(ISNUMBER(Data!#REF!),IF(AND(Data!#REF!&gt;Data_Val!$G$2,Data!#REF!&lt;=Data_Val!$G$3),0,1),1))</f>
        <v>#REF!</v>
      </c>
      <c r="M822" s="9" t="e">
        <f>IF(OR(Data!B822="",Data!#REF!=""),"",IF(ISNUMBER(MATCH(Data!#REF!,Data_Val!$F$1:$F$38,0)),0,1))</f>
        <v>#REF!</v>
      </c>
      <c r="N822" s="9" t="e">
        <f>IF(OR(Data!B822="",Data!#REF!=""),"",IF(Data!#REF!="",1,0))</f>
        <v>#REF!</v>
      </c>
      <c r="O822" s="17" t="e">
        <f>IF(Data!#REF!="","",IF(Data!#REF!="",1,0))</f>
        <v>#REF!</v>
      </c>
      <c r="P822" s="17" t="e">
        <f>IF(Data!#REF!="","",IF(ISNUMBER(MATCH(Data!#REF!,Data_Val!$A$2:$A$3,0)),0,1))</f>
        <v>#REF!</v>
      </c>
      <c r="Q822" s="25" t="e">
        <f ca="1">IF(Data!#REF!="","",IF(ISNUMBER(Data!#REF!),IF(AND(Data!#REF!&gt;(TODAY()-(Data_Val!$J$3*365.25)),Data!#REF!&lt;=(TODAY()-(Data_Val!$J$2*365.25))),0,1),1))</f>
        <v>#REF!</v>
      </c>
      <c r="R822" s="17" t="e">
        <f>IF(Data!#REF!="","",IF(ISNUMBER(MATCH(Data!#REF!,Data_Val!$B$2:$B$15,0)),0,1))</f>
        <v>#REF!</v>
      </c>
      <c r="S822" s="11" t="str">
        <f>IF(Data!G822="","",IF(Data!G822=Data_Val!$C$2,IF(Data!M822="",0,1),0))</f>
        <v/>
      </c>
      <c r="T822" s="11" t="str">
        <f>IF(Data!M822="","",IF(ISNUMBER(MATCH(Data!N822,Data_Val!$A$2:$A$3,0)),0,1))</f>
        <v/>
      </c>
      <c r="U822" s="11" t="str">
        <f ca="1">IF(Data!M822="","",IF(ISNUMBER(Data!O822),IF(AND(Data!O822&gt;(TODAY()-(Data_Val!$K$3*365.25)),Data!O822&lt;=(TODAY()-(Data_Val!$K$2*365.25))),0,1),1))</f>
        <v/>
      </c>
      <c r="V822" s="12" t="str">
        <f>IF(Data!G822="","",IF(Data!G822=Data_Val!$C$2,IF(Data!P822="",0,1),0))</f>
        <v/>
      </c>
      <c r="W822" s="12" t="str">
        <f>IF(Data!P822="","",IF(ISNUMBER(MATCH(Data!Q822,Data_Val!$A$2:$A$3,0)),0,1))</f>
        <v/>
      </c>
      <c r="X822" s="26" t="str">
        <f ca="1">IF(Data!P822="","",IF(ISNUMBER(Data!R822),IF(AND(Data!R822&gt;(TODAY()-(Data_Val!$L$3*365.25)),Data!R822&lt;=(TODAY()-(Data_Val!$L$2*365.25))),0,1),1))</f>
        <v/>
      </c>
      <c r="Y822" s="13" t="str">
        <f>IF(Data!$G822="","",IF(Data!$G822=Data_Val!$C$2,IF(Data!S822="",0,1),0))</f>
        <v/>
      </c>
      <c r="Z822" s="13" t="str">
        <f>IF(Data!S822="","",IF(ISNUMBER(MATCH(Data!T822,Data_Val!$A$2:$A$3,0)),0,1))</f>
        <v/>
      </c>
      <c r="AA822" s="28" t="str">
        <f ca="1">IF(Data!S822="","",IF(ISNUMBER(Data!U822),IF(AND(Data!U822&gt;(TODAY()-(Data_Val!$L$3*365.25)),Data!U822&lt;=(TODAY()-(Data_Val!$L$2*365.25))),0,1),1))</f>
        <v/>
      </c>
      <c r="AB822" s="11"/>
      <c r="AC822" s="11" t="e">
        <f>IF(Data!#REF!="","",IF(ISNUMBER(MATCH(Data!#REF!,Data_Val!$A$2:$A$3,0)),0,1))</f>
        <v>#REF!</v>
      </c>
      <c r="AD822" s="11" t="e">
        <f ca="1">IF(Data!#REF!="","",IF(ISNUMBER(Data!#REF!),IF(AND(Data!#REF!&gt;(TODAY()-(Data_Val!$L$3*365.25)),Data!#REF!&lt;=(TODAY()-(Data_Val!$L$2*365.25))),0,1),1))</f>
        <v>#REF!</v>
      </c>
      <c r="AE822" s="11" t="e">
        <f>IF(Data!#REF!="","",IF(Data!$G822="",1,IF(ISNUMBER(MATCH(Data!#REF!,Data_Val!$D$2:$D$10,0)),0,1)))</f>
        <v>#REF!</v>
      </c>
      <c r="AF822" s="12"/>
      <c r="AG822" s="12" t="e">
        <f>IF(Data!#REF!="","",IF(ISNUMBER(MATCH(Data!#REF!,Data_Val!$A$2:$A$3,0)),0,1))</f>
        <v>#REF!</v>
      </c>
      <c r="AH822" s="26" t="e">
        <f ca="1">IF(Data!#REF!="","",IF(ISNUMBER(Data!#REF!),IF(AND(Data!#REF!&gt;(TODAY()-(Data_Val!$L$3*365.25)),Data!#REF!&lt;=(TODAY()-(Data_Val!$L$2*365.25))),0,1),1))</f>
        <v>#REF!</v>
      </c>
      <c r="AI822" s="12" t="e">
        <f>IF(Data!#REF!="","",IF(Data!$G822="",1,IF(ISNUMBER(MATCH(Data!#REF!,Data_Val!$D$2:$D$10,0)),0,1)))</f>
        <v>#REF!</v>
      </c>
      <c r="AJ822" s="17"/>
      <c r="AK822" s="17" t="e">
        <f>IF(Data!#REF!="","",IF(ISNUMBER(MATCH(Data!#REF!,Data_Val!$A$2:$A$3,0)),0,1))</f>
        <v>#REF!</v>
      </c>
      <c r="AL822" s="25" t="e">
        <f ca="1">IF(Data!#REF!="","",IF(ISNUMBER(Data!#REF!),IF(AND(Data!#REF!&gt;(TODAY()-(Data_Val!$L$3*365.25)),Data!#REF!&lt;=(TODAY()-(Data_Val!$L$2*365.25))),0,1),1))</f>
        <v>#REF!</v>
      </c>
      <c r="AM822" s="17" t="e">
        <f>IF(Data!#REF!="","",IF(Data!$G822="",1,IF(ISNUMBER(MATCH(Data!#REF!,Data_Val!$D$2:$D$10,0)),0,1)))</f>
        <v>#REF!</v>
      </c>
      <c r="AN822" s="13"/>
      <c r="AO822" s="28" t="e">
        <f ca="1">IF(Data!#REF!="","",IF(ISNUMBER(Data!#REF!),IF(AND(Data!#REF!&gt;(TODAY()-(Data_Val!$I$3*365.25)),Data!#REF!&lt;=(TODAY()-(Data_Val!$I$2*365.25))),0,1),1))</f>
        <v>#REF!</v>
      </c>
      <c r="AP822" s="13" t="e">
        <f>IF(Data!#REF!="","",IF(Data!$G822="",1,IF(ISNUMBER(MATCH(Data!#REF!,Data_Val!$D$2:$D$10,0)),0,1)))</f>
        <v>#REF!</v>
      </c>
      <c r="AQ822" s="17"/>
      <c r="AR822" s="30" t="e">
        <f ca="1">IF(Data!#REF!="","",IF(ISNUMBER(Data!#REF!),IF(AND(Data!#REF!&gt;(TODAY()-(Data_Val!$I$3*365.25)),Data!#REF!&lt;=(TODAY()-(Data_Val!$I$2*365.25))),0,1),1))</f>
        <v>#REF!</v>
      </c>
      <c r="AS822" s="31" t="e">
        <f>IF(Data!#REF!="","",IF(Data!$G822="",1,IF(ISNUMBER(MATCH(Data!#REF!,Data_Val!$D$2:$D$10,0)),0,1)))</f>
        <v>#REF!</v>
      </c>
      <c r="AT822" s="11"/>
      <c r="AU822" s="11" t="e">
        <f ca="1">IF(Data!#REF!="","",IF(ISNUMBER(Data!#REF!),IF(AND(Data!#REF!&gt;(TODAY()-(Data_Val!$I$3*365.25)),Data!#REF!&lt;=(TODAY()-(Data_Val!$I$2*365.25))),0,1),1))</f>
        <v>#REF!</v>
      </c>
      <c r="AV822" s="11" t="e">
        <f>IF(Data!#REF!="","",IF(Data!$G822="",1,IF(ISNUMBER(MATCH(Data!#REF!,Data_Val!$D$2:$D$10,0)),0,1)))</f>
        <v>#REF!</v>
      </c>
      <c r="AW822" s="12"/>
      <c r="AX822" s="26" t="e">
        <f ca="1">IF(Data!#REF!="","",IF(ISNUMBER(Data!#REF!),IF(AND(Data!#REF!&gt;(TODAY()-(Data_Val!$I$3*365.25)),Data!#REF!&lt;=(TODAY()-(Data_Val!$I$2*365.25))),0,1),1))</f>
        <v>#REF!</v>
      </c>
      <c r="AY822" s="12" t="e">
        <f>IF(Data!#REF!="","",IF(Data!$G822="",1,IF(ISNUMBER(MATCH(Data!#REF!,Data_Val!$D$2:$D$10,0)),0,1)))</f>
        <v>#REF!</v>
      </c>
      <c r="AZ822" s="11"/>
      <c r="BA822" s="19" t="e">
        <f ca="1">IF(Data!#REF!="","",IF(ISNUMBER(Data!#REF!),IF(AND(Data!#REF!&gt;(TODAY()-(Data_Val!$M$3*365.25)),Data!#REF!&lt;=(TODAY()-(Data_Val!$M$2*365.25))),0,1),1))</f>
        <v>#REF!</v>
      </c>
      <c r="BB822" s="11" t="e">
        <f>IF(Data!#REF!="","",IF(Data!$G822="",1,IF(ISNUMBER(MATCH(Data!#REF!,Data_Val!$D$2:$D$10,0)),0,1)))</f>
        <v>#REF!</v>
      </c>
      <c r="BC822" s="12"/>
      <c r="BD822" s="20" t="e">
        <f ca="1">IF(Data!#REF!="","",IF(ISNUMBER(Data!#REF!),IF(AND(Data!#REF!&gt;(TODAY()-(Data_Val!$M$3*365.25)),Data!#REF!&lt;=(TODAY()-(Data_Val!$M$2*365.25))),0,1),1))</f>
        <v>#REF!</v>
      </c>
      <c r="BE822" s="12" t="e">
        <f>IF(Data!#REF!="","",IF(Data!$G822="",1,IF(ISNUMBER(MATCH(Data!#REF!,Data_Val!$D$2:$D$10,0)),0,1)))</f>
        <v>#REF!</v>
      </c>
      <c r="BF822" s="17"/>
      <c r="BG822" s="18" t="e">
        <f ca="1">IF(Data!#REF!="","",IF(ISNUMBER(Data!#REF!),IF(AND(Data!#REF!&gt;(TODAY()-(Data_Val!$M$3*365.25)),Data!#REF!&lt;=(TODAY()-(Data_Val!$M$2*365.25))),0,1),1))</f>
        <v>#REF!</v>
      </c>
      <c r="BH822" s="29" t="e">
        <f>IF(Data!#REF!="","",IF(Data!$G822="",1,IF(ISNUMBER(MATCH(Data!#REF!,Data_Val!$D$2:$D$10,0)),0,1)))</f>
        <v>#REF!</v>
      </c>
      <c r="BI822" s="13"/>
      <c r="BJ822" s="21" t="e">
        <f ca="1">IF(Data!#REF!="","",IF(ISNUMBER(Data!#REF!),IF(AND(Data!#REF!&gt;(TODAY()-(Data_Val!$M$3*365.25)),Data!#REF!&lt;=(TODAY()-(Data_Val!$M$2*365.25))),0,1),1))</f>
        <v>#REF!</v>
      </c>
      <c r="BK822" s="13" t="e">
        <f>IF(Data!#REF!="","",IF(Data!$G822="",1,IF(ISNUMBER(MATCH(Data!#REF!,Data_Val!$D$2:$D$10,0)),0,1)))</f>
        <v>#REF!</v>
      </c>
    </row>
    <row r="823" spans="1:63" x14ac:dyDescent="0.25">
      <c r="A823" s="9" t="str">
        <f>IF(Data!B823="","",IF(COUNTIFS(Data!A$1:'Data'!A823,Data!A823)&lt;=1,0,1))</f>
        <v/>
      </c>
      <c r="B823" s="9"/>
      <c r="C823" s="23" t="str">
        <f>IF(Data!C823="","",(IF(ISNUMBER(MATCH("*@*.?*",Data!C823,0)),0,1)+IF(COUNTIFS(Data!C$1:'Data'!C823,Data!C823)&gt;1,1,0)))</f>
        <v/>
      </c>
      <c r="D823" s="9" t="str">
        <f>IF(Data!B823="","",IF(ISNUMBER(Data!D823),IF(AND(Data!D823&gt;999999999,Data!D823&lt;=9999999999),IF(COUNTIFS(Data!D$1:'Data'!D823,Data!D823)&lt;=1,0,1),1),1))</f>
        <v/>
      </c>
      <c r="E823" s="9" t="str">
        <f>IF(Data!B823="","",IF(ISNUMBER(MATCH(Data!E823,Data_Val!$A$2:$A$3,0)),0,1))</f>
        <v/>
      </c>
      <c r="F823" s="9" t="str">
        <f ca="1">IF(Data!B823="","",IF(ISNUMBER(Data!F823),IF(AND(Data!F823&gt;(TODAY()-(Data_Val!$H$3*365.25)),Data!F823&lt;=(TODAY()-(Data_Val!$H$2*365.25))),0,1),1))</f>
        <v/>
      </c>
      <c r="G823" s="15" t="str">
        <f>IF(Data!B823="","",IF(AND(Data!G823="",Data!H823&lt;&gt;""),1,IF(Data!#REF!&lt;&gt;"",0,IF(ISNUMBER(MATCH(Data!G823,Data_Val!$C$2:$C$5,0)),0,1))))</f>
        <v/>
      </c>
      <c r="H823" s="15" t="str">
        <f>IF(Data!B823="","",IF(AND(Data!G823&lt;&gt;"",Data!H823=""),1,IF(Data!#REF!&lt;&gt;"",0,IF(Data!G823="",1,IF(ISNUMBER(MATCH(Data!H823,Data_Val!$D$2:$D$35,0)),0,1)))))</f>
        <v/>
      </c>
      <c r="I823" s="15" t="str">
        <f>IF(Data!B823="","",IF(Data!G823&lt;&gt;"",0,IF(ISNUMBER(MATCH(Data!#REF!,Data_Val!$E$2:$E$12,0)),0,1)))</f>
        <v/>
      </c>
      <c r="J823" s="16" t="e">
        <f>IF(OR(Data!B823="",Data!#REF!=""),"",IF(Data!#REF!="",1,0))</f>
        <v>#REF!</v>
      </c>
      <c r="K823" s="16" t="e">
        <f>IF(OR(Data!B823="",Data!#REF!=""),"",IF(Data!#REF!="",1,0))</f>
        <v>#REF!</v>
      </c>
      <c r="L823" s="16" t="e">
        <f>IF(OR(Data!B823="",Data!#REF!=""),"",IF(ISNUMBER(Data!#REF!),IF(AND(Data!#REF!&gt;Data_Val!$G$2,Data!#REF!&lt;=Data_Val!$G$3),0,1),1))</f>
        <v>#REF!</v>
      </c>
      <c r="M823" s="9" t="e">
        <f>IF(OR(Data!B823="",Data!#REF!=""),"",IF(ISNUMBER(MATCH(Data!#REF!,Data_Val!$F$1:$F$38,0)),0,1))</f>
        <v>#REF!</v>
      </c>
      <c r="N823" s="9" t="e">
        <f>IF(OR(Data!B823="",Data!#REF!=""),"",IF(Data!#REF!="",1,0))</f>
        <v>#REF!</v>
      </c>
      <c r="O823" s="17" t="e">
        <f>IF(Data!#REF!="","",IF(Data!#REF!="",1,0))</f>
        <v>#REF!</v>
      </c>
      <c r="P823" s="17" t="e">
        <f>IF(Data!#REF!="","",IF(ISNUMBER(MATCH(Data!#REF!,Data_Val!$A$2:$A$3,0)),0,1))</f>
        <v>#REF!</v>
      </c>
      <c r="Q823" s="25" t="e">
        <f ca="1">IF(Data!#REF!="","",IF(ISNUMBER(Data!#REF!),IF(AND(Data!#REF!&gt;(TODAY()-(Data_Val!$J$3*365.25)),Data!#REF!&lt;=(TODAY()-(Data_Val!$J$2*365.25))),0,1),1))</f>
        <v>#REF!</v>
      </c>
      <c r="R823" s="17" t="e">
        <f>IF(Data!#REF!="","",IF(ISNUMBER(MATCH(Data!#REF!,Data_Val!$B$2:$B$15,0)),0,1))</f>
        <v>#REF!</v>
      </c>
      <c r="S823" s="11" t="str">
        <f>IF(Data!G823="","",IF(Data!G823=Data_Val!$C$2,IF(Data!M823="",0,1),0))</f>
        <v/>
      </c>
      <c r="T823" s="11" t="str">
        <f>IF(Data!M823="","",IF(ISNUMBER(MATCH(Data!N823,Data_Val!$A$2:$A$3,0)),0,1))</f>
        <v/>
      </c>
      <c r="U823" s="11" t="str">
        <f ca="1">IF(Data!M823="","",IF(ISNUMBER(Data!O823),IF(AND(Data!O823&gt;(TODAY()-(Data_Val!$K$3*365.25)),Data!O823&lt;=(TODAY()-(Data_Val!$K$2*365.25))),0,1),1))</f>
        <v/>
      </c>
      <c r="V823" s="12" t="str">
        <f>IF(Data!G823="","",IF(Data!G823=Data_Val!$C$2,IF(Data!P823="",0,1),0))</f>
        <v/>
      </c>
      <c r="W823" s="12" t="str">
        <f>IF(Data!P823="","",IF(ISNUMBER(MATCH(Data!Q823,Data_Val!$A$2:$A$3,0)),0,1))</f>
        <v/>
      </c>
      <c r="X823" s="26" t="str">
        <f ca="1">IF(Data!P823="","",IF(ISNUMBER(Data!R823),IF(AND(Data!R823&gt;(TODAY()-(Data_Val!$L$3*365.25)),Data!R823&lt;=(TODAY()-(Data_Val!$L$2*365.25))),0,1),1))</f>
        <v/>
      </c>
      <c r="Y823" s="13" t="str">
        <f>IF(Data!$G823="","",IF(Data!$G823=Data_Val!$C$2,IF(Data!S823="",0,1),0))</f>
        <v/>
      </c>
      <c r="Z823" s="13" t="str">
        <f>IF(Data!S823="","",IF(ISNUMBER(MATCH(Data!T823,Data_Val!$A$2:$A$3,0)),0,1))</f>
        <v/>
      </c>
      <c r="AA823" s="28" t="str">
        <f ca="1">IF(Data!S823="","",IF(ISNUMBER(Data!U823),IF(AND(Data!U823&gt;(TODAY()-(Data_Val!$L$3*365.25)),Data!U823&lt;=(TODAY()-(Data_Val!$L$2*365.25))),0,1),1))</f>
        <v/>
      </c>
      <c r="AB823" s="11"/>
      <c r="AC823" s="11" t="e">
        <f>IF(Data!#REF!="","",IF(ISNUMBER(MATCH(Data!#REF!,Data_Val!$A$2:$A$3,0)),0,1))</f>
        <v>#REF!</v>
      </c>
      <c r="AD823" s="11" t="e">
        <f ca="1">IF(Data!#REF!="","",IF(ISNUMBER(Data!#REF!),IF(AND(Data!#REF!&gt;(TODAY()-(Data_Val!$L$3*365.25)),Data!#REF!&lt;=(TODAY()-(Data_Val!$L$2*365.25))),0,1),1))</f>
        <v>#REF!</v>
      </c>
      <c r="AE823" s="11" t="e">
        <f>IF(Data!#REF!="","",IF(Data!$G823="",1,IF(ISNUMBER(MATCH(Data!#REF!,Data_Val!$D$2:$D$10,0)),0,1)))</f>
        <v>#REF!</v>
      </c>
      <c r="AF823" s="12"/>
      <c r="AG823" s="12" t="e">
        <f>IF(Data!#REF!="","",IF(ISNUMBER(MATCH(Data!#REF!,Data_Val!$A$2:$A$3,0)),0,1))</f>
        <v>#REF!</v>
      </c>
      <c r="AH823" s="26" t="e">
        <f ca="1">IF(Data!#REF!="","",IF(ISNUMBER(Data!#REF!),IF(AND(Data!#REF!&gt;(TODAY()-(Data_Val!$L$3*365.25)),Data!#REF!&lt;=(TODAY()-(Data_Val!$L$2*365.25))),0,1),1))</f>
        <v>#REF!</v>
      </c>
      <c r="AI823" s="12" t="e">
        <f>IF(Data!#REF!="","",IF(Data!$G823="",1,IF(ISNUMBER(MATCH(Data!#REF!,Data_Val!$D$2:$D$10,0)),0,1)))</f>
        <v>#REF!</v>
      </c>
      <c r="AJ823" s="17"/>
      <c r="AK823" s="17" t="e">
        <f>IF(Data!#REF!="","",IF(ISNUMBER(MATCH(Data!#REF!,Data_Val!$A$2:$A$3,0)),0,1))</f>
        <v>#REF!</v>
      </c>
      <c r="AL823" s="25" t="e">
        <f ca="1">IF(Data!#REF!="","",IF(ISNUMBER(Data!#REF!),IF(AND(Data!#REF!&gt;(TODAY()-(Data_Val!$L$3*365.25)),Data!#REF!&lt;=(TODAY()-(Data_Val!$L$2*365.25))),0,1),1))</f>
        <v>#REF!</v>
      </c>
      <c r="AM823" s="17" t="e">
        <f>IF(Data!#REF!="","",IF(Data!$G823="",1,IF(ISNUMBER(MATCH(Data!#REF!,Data_Val!$D$2:$D$10,0)),0,1)))</f>
        <v>#REF!</v>
      </c>
      <c r="AN823" s="13"/>
      <c r="AO823" s="28" t="e">
        <f ca="1">IF(Data!#REF!="","",IF(ISNUMBER(Data!#REF!),IF(AND(Data!#REF!&gt;(TODAY()-(Data_Val!$I$3*365.25)),Data!#REF!&lt;=(TODAY()-(Data_Val!$I$2*365.25))),0,1),1))</f>
        <v>#REF!</v>
      </c>
      <c r="AP823" s="13" t="e">
        <f>IF(Data!#REF!="","",IF(Data!$G823="",1,IF(ISNUMBER(MATCH(Data!#REF!,Data_Val!$D$2:$D$10,0)),0,1)))</f>
        <v>#REF!</v>
      </c>
      <c r="AQ823" s="17"/>
      <c r="AR823" s="30" t="e">
        <f ca="1">IF(Data!#REF!="","",IF(ISNUMBER(Data!#REF!),IF(AND(Data!#REF!&gt;(TODAY()-(Data_Val!$I$3*365.25)),Data!#REF!&lt;=(TODAY()-(Data_Val!$I$2*365.25))),0,1),1))</f>
        <v>#REF!</v>
      </c>
      <c r="AS823" s="31" t="e">
        <f>IF(Data!#REF!="","",IF(Data!$G823="",1,IF(ISNUMBER(MATCH(Data!#REF!,Data_Val!$D$2:$D$10,0)),0,1)))</f>
        <v>#REF!</v>
      </c>
      <c r="AT823" s="11"/>
      <c r="AU823" s="11" t="e">
        <f ca="1">IF(Data!#REF!="","",IF(ISNUMBER(Data!#REF!),IF(AND(Data!#REF!&gt;(TODAY()-(Data_Val!$I$3*365.25)),Data!#REF!&lt;=(TODAY()-(Data_Val!$I$2*365.25))),0,1),1))</f>
        <v>#REF!</v>
      </c>
      <c r="AV823" s="11" t="e">
        <f>IF(Data!#REF!="","",IF(Data!$G823="",1,IF(ISNUMBER(MATCH(Data!#REF!,Data_Val!$D$2:$D$10,0)),0,1)))</f>
        <v>#REF!</v>
      </c>
      <c r="AW823" s="12"/>
      <c r="AX823" s="26" t="e">
        <f ca="1">IF(Data!#REF!="","",IF(ISNUMBER(Data!#REF!),IF(AND(Data!#REF!&gt;(TODAY()-(Data_Val!$I$3*365.25)),Data!#REF!&lt;=(TODAY()-(Data_Val!$I$2*365.25))),0,1),1))</f>
        <v>#REF!</v>
      </c>
      <c r="AY823" s="12" t="e">
        <f>IF(Data!#REF!="","",IF(Data!$G823="",1,IF(ISNUMBER(MATCH(Data!#REF!,Data_Val!$D$2:$D$10,0)),0,1)))</f>
        <v>#REF!</v>
      </c>
      <c r="AZ823" s="11"/>
      <c r="BA823" s="19" t="e">
        <f ca="1">IF(Data!#REF!="","",IF(ISNUMBER(Data!#REF!),IF(AND(Data!#REF!&gt;(TODAY()-(Data_Val!$M$3*365.25)),Data!#REF!&lt;=(TODAY()-(Data_Val!$M$2*365.25))),0,1),1))</f>
        <v>#REF!</v>
      </c>
      <c r="BB823" s="11" t="e">
        <f>IF(Data!#REF!="","",IF(Data!$G823="",1,IF(ISNUMBER(MATCH(Data!#REF!,Data_Val!$D$2:$D$10,0)),0,1)))</f>
        <v>#REF!</v>
      </c>
      <c r="BC823" s="12"/>
      <c r="BD823" s="20" t="e">
        <f ca="1">IF(Data!#REF!="","",IF(ISNUMBER(Data!#REF!),IF(AND(Data!#REF!&gt;(TODAY()-(Data_Val!$M$3*365.25)),Data!#REF!&lt;=(TODAY()-(Data_Val!$M$2*365.25))),0,1),1))</f>
        <v>#REF!</v>
      </c>
      <c r="BE823" s="12" t="e">
        <f>IF(Data!#REF!="","",IF(Data!$G823="",1,IF(ISNUMBER(MATCH(Data!#REF!,Data_Val!$D$2:$D$10,0)),0,1)))</f>
        <v>#REF!</v>
      </c>
      <c r="BF823" s="17"/>
      <c r="BG823" s="18" t="e">
        <f ca="1">IF(Data!#REF!="","",IF(ISNUMBER(Data!#REF!),IF(AND(Data!#REF!&gt;(TODAY()-(Data_Val!$M$3*365.25)),Data!#REF!&lt;=(TODAY()-(Data_Val!$M$2*365.25))),0,1),1))</f>
        <v>#REF!</v>
      </c>
      <c r="BH823" s="29" t="e">
        <f>IF(Data!#REF!="","",IF(Data!$G823="",1,IF(ISNUMBER(MATCH(Data!#REF!,Data_Val!$D$2:$D$10,0)),0,1)))</f>
        <v>#REF!</v>
      </c>
      <c r="BI823" s="13"/>
      <c r="BJ823" s="21" t="e">
        <f ca="1">IF(Data!#REF!="","",IF(ISNUMBER(Data!#REF!),IF(AND(Data!#REF!&gt;(TODAY()-(Data_Val!$M$3*365.25)),Data!#REF!&lt;=(TODAY()-(Data_Val!$M$2*365.25))),0,1),1))</f>
        <v>#REF!</v>
      </c>
      <c r="BK823" s="13" t="e">
        <f>IF(Data!#REF!="","",IF(Data!$G823="",1,IF(ISNUMBER(MATCH(Data!#REF!,Data_Val!$D$2:$D$10,0)),0,1)))</f>
        <v>#REF!</v>
      </c>
    </row>
    <row r="824" spans="1:63" x14ac:dyDescent="0.25">
      <c r="A824" s="9" t="str">
        <f>IF(Data!B824="","",IF(COUNTIFS(Data!A$1:'Data'!A824,Data!A824)&lt;=1,0,1))</f>
        <v/>
      </c>
      <c r="B824" s="9"/>
      <c r="C824" s="23" t="str">
        <f>IF(Data!C824="","",(IF(ISNUMBER(MATCH("*@*.?*",Data!C824,0)),0,1)+IF(COUNTIFS(Data!C$1:'Data'!C824,Data!C824)&gt;1,1,0)))</f>
        <v/>
      </c>
      <c r="D824" s="9" t="str">
        <f>IF(Data!B824="","",IF(ISNUMBER(Data!D824),IF(AND(Data!D824&gt;999999999,Data!D824&lt;=9999999999),IF(COUNTIFS(Data!D$1:'Data'!D824,Data!D824)&lt;=1,0,1),1),1))</f>
        <v/>
      </c>
      <c r="E824" s="9" t="str">
        <f>IF(Data!B824="","",IF(ISNUMBER(MATCH(Data!E824,Data_Val!$A$2:$A$3,0)),0,1))</f>
        <v/>
      </c>
      <c r="F824" s="9" t="str">
        <f ca="1">IF(Data!B824="","",IF(ISNUMBER(Data!F824),IF(AND(Data!F824&gt;(TODAY()-(Data_Val!$H$3*365.25)),Data!F824&lt;=(TODAY()-(Data_Val!$H$2*365.25))),0,1),1))</f>
        <v/>
      </c>
      <c r="G824" s="15" t="str">
        <f>IF(Data!B824="","",IF(AND(Data!G824="",Data!H824&lt;&gt;""),1,IF(Data!#REF!&lt;&gt;"",0,IF(ISNUMBER(MATCH(Data!G824,Data_Val!$C$2:$C$5,0)),0,1))))</f>
        <v/>
      </c>
      <c r="H824" s="15" t="str">
        <f>IF(Data!B824="","",IF(AND(Data!G824&lt;&gt;"",Data!H824=""),1,IF(Data!#REF!&lt;&gt;"",0,IF(Data!G824="",1,IF(ISNUMBER(MATCH(Data!H824,Data_Val!$D$2:$D$35,0)),0,1)))))</f>
        <v/>
      </c>
      <c r="I824" s="15" t="str">
        <f>IF(Data!B824="","",IF(Data!G824&lt;&gt;"",0,IF(ISNUMBER(MATCH(Data!#REF!,Data_Val!$E$2:$E$12,0)),0,1)))</f>
        <v/>
      </c>
      <c r="J824" s="16" t="e">
        <f>IF(OR(Data!B824="",Data!#REF!=""),"",IF(Data!#REF!="",1,0))</f>
        <v>#REF!</v>
      </c>
      <c r="K824" s="16" t="e">
        <f>IF(OR(Data!B824="",Data!#REF!=""),"",IF(Data!#REF!="",1,0))</f>
        <v>#REF!</v>
      </c>
      <c r="L824" s="16" t="e">
        <f>IF(OR(Data!B824="",Data!#REF!=""),"",IF(ISNUMBER(Data!#REF!),IF(AND(Data!#REF!&gt;Data_Val!$G$2,Data!#REF!&lt;=Data_Val!$G$3),0,1),1))</f>
        <v>#REF!</v>
      </c>
      <c r="M824" s="9" t="e">
        <f>IF(OR(Data!B824="",Data!#REF!=""),"",IF(ISNUMBER(MATCH(Data!#REF!,Data_Val!$F$1:$F$38,0)),0,1))</f>
        <v>#REF!</v>
      </c>
      <c r="N824" s="9" t="e">
        <f>IF(OR(Data!B824="",Data!#REF!=""),"",IF(Data!#REF!="",1,0))</f>
        <v>#REF!</v>
      </c>
      <c r="O824" s="17" t="e">
        <f>IF(Data!#REF!="","",IF(Data!#REF!="",1,0))</f>
        <v>#REF!</v>
      </c>
      <c r="P824" s="17" t="e">
        <f>IF(Data!#REF!="","",IF(ISNUMBER(MATCH(Data!#REF!,Data_Val!$A$2:$A$3,0)),0,1))</f>
        <v>#REF!</v>
      </c>
      <c r="Q824" s="25" t="e">
        <f ca="1">IF(Data!#REF!="","",IF(ISNUMBER(Data!#REF!),IF(AND(Data!#REF!&gt;(TODAY()-(Data_Val!$J$3*365.25)),Data!#REF!&lt;=(TODAY()-(Data_Val!$J$2*365.25))),0,1),1))</f>
        <v>#REF!</v>
      </c>
      <c r="R824" s="17" t="e">
        <f>IF(Data!#REF!="","",IF(ISNUMBER(MATCH(Data!#REF!,Data_Val!$B$2:$B$15,0)),0,1))</f>
        <v>#REF!</v>
      </c>
      <c r="S824" s="11" t="str">
        <f>IF(Data!G824="","",IF(Data!G824=Data_Val!$C$2,IF(Data!M824="",0,1),0))</f>
        <v/>
      </c>
      <c r="T824" s="11" t="str">
        <f>IF(Data!M824="","",IF(ISNUMBER(MATCH(Data!N824,Data_Val!$A$2:$A$3,0)),0,1))</f>
        <v/>
      </c>
      <c r="U824" s="11" t="str">
        <f ca="1">IF(Data!M824="","",IF(ISNUMBER(Data!O824),IF(AND(Data!O824&gt;(TODAY()-(Data_Val!$K$3*365.25)),Data!O824&lt;=(TODAY()-(Data_Val!$K$2*365.25))),0,1),1))</f>
        <v/>
      </c>
      <c r="V824" s="12" t="str">
        <f>IF(Data!G824="","",IF(Data!G824=Data_Val!$C$2,IF(Data!P824="",0,1),0))</f>
        <v/>
      </c>
      <c r="W824" s="12" t="str">
        <f>IF(Data!P824="","",IF(ISNUMBER(MATCH(Data!Q824,Data_Val!$A$2:$A$3,0)),0,1))</f>
        <v/>
      </c>
      <c r="X824" s="26" t="str">
        <f ca="1">IF(Data!P824="","",IF(ISNUMBER(Data!R824),IF(AND(Data!R824&gt;(TODAY()-(Data_Val!$L$3*365.25)),Data!R824&lt;=(TODAY()-(Data_Val!$L$2*365.25))),0,1),1))</f>
        <v/>
      </c>
      <c r="Y824" s="13" t="str">
        <f>IF(Data!$G824="","",IF(Data!$G824=Data_Val!$C$2,IF(Data!S824="",0,1),0))</f>
        <v/>
      </c>
      <c r="Z824" s="13" t="str">
        <f>IF(Data!S824="","",IF(ISNUMBER(MATCH(Data!T824,Data_Val!$A$2:$A$3,0)),0,1))</f>
        <v/>
      </c>
      <c r="AA824" s="28" t="str">
        <f ca="1">IF(Data!S824="","",IF(ISNUMBER(Data!U824),IF(AND(Data!U824&gt;(TODAY()-(Data_Val!$L$3*365.25)),Data!U824&lt;=(TODAY()-(Data_Val!$L$2*365.25))),0,1),1))</f>
        <v/>
      </c>
      <c r="AB824" s="11"/>
      <c r="AC824" s="11" t="e">
        <f>IF(Data!#REF!="","",IF(ISNUMBER(MATCH(Data!#REF!,Data_Val!$A$2:$A$3,0)),0,1))</f>
        <v>#REF!</v>
      </c>
      <c r="AD824" s="11" t="e">
        <f ca="1">IF(Data!#REF!="","",IF(ISNUMBER(Data!#REF!),IF(AND(Data!#REF!&gt;(TODAY()-(Data_Val!$L$3*365.25)),Data!#REF!&lt;=(TODAY()-(Data_Val!$L$2*365.25))),0,1),1))</f>
        <v>#REF!</v>
      </c>
      <c r="AE824" s="11" t="e">
        <f>IF(Data!#REF!="","",IF(Data!$G824="",1,IF(ISNUMBER(MATCH(Data!#REF!,Data_Val!$D$2:$D$10,0)),0,1)))</f>
        <v>#REF!</v>
      </c>
      <c r="AF824" s="12"/>
      <c r="AG824" s="12" t="e">
        <f>IF(Data!#REF!="","",IF(ISNUMBER(MATCH(Data!#REF!,Data_Val!$A$2:$A$3,0)),0,1))</f>
        <v>#REF!</v>
      </c>
      <c r="AH824" s="26" t="e">
        <f ca="1">IF(Data!#REF!="","",IF(ISNUMBER(Data!#REF!),IF(AND(Data!#REF!&gt;(TODAY()-(Data_Val!$L$3*365.25)),Data!#REF!&lt;=(TODAY()-(Data_Val!$L$2*365.25))),0,1),1))</f>
        <v>#REF!</v>
      </c>
      <c r="AI824" s="12" t="e">
        <f>IF(Data!#REF!="","",IF(Data!$G824="",1,IF(ISNUMBER(MATCH(Data!#REF!,Data_Val!$D$2:$D$10,0)),0,1)))</f>
        <v>#REF!</v>
      </c>
      <c r="AJ824" s="17"/>
      <c r="AK824" s="17" t="e">
        <f>IF(Data!#REF!="","",IF(ISNUMBER(MATCH(Data!#REF!,Data_Val!$A$2:$A$3,0)),0,1))</f>
        <v>#REF!</v>
      </c>
      <c r="AL824" s="25" t="e">
        <f ca="1">IF(Data!#REF!="","",IF(ISNUMBER(Data!#REF!),IF(AND(Data!#REF!&gt;(TODAY()-(Data_Val!$L$3*365.25)),Data!#REF!&lt;=(TODAY()-(Data_Val!$L$2*365.25))),0,1),1))</f>
        <v>#REF!</v>
      </c>
      <c r="AM824" s="17" t="e">
        <f>IF(Data!#REF!="","",IF(Data!$G824="",1,IF(ISNUMBER(MATCH(Data!#REF!,Data_Val!$D$2:$D$10,0)),0,1)))</f>
        <v>#REF!</v>
      </c>
      <c r="AN824" s="13"/>
      <c r="AO824" s="28" t="e">
        <f ca="1">IF(Data!#REF!="","",IF(ISNUMBER(Data!#REF!),IF(AND(Data!#REF!&gt;(TODAY()-(Data_Val!$I$3*365.25)),Data!#REF!&lt;=(TODAY()-(Data_Val!$I$2*365.25))),0,1),1))</f>
        <v>#REF!</v>
      </c>
      <c r="AP824" s="13" t="e">
        <f>IF(Data!#REF!="","",IF(Data!$G824="",1,IF(ISNUMBER(MATCH(Data!#REF!,Data_Val!$D$2:$D$10,0)),0,1)))</f>
        <v>#REF!</v>
      </c>
      <c r="AQ824" s="17"/>
      <c r="AR824" s="30" t="e">
        <f ca="1">IF(Data!#REF!="","",IF(ISNUMBER(Data!#REF!),IF(AND(Data!#REF!&gt;(TODAY()-(Data_Val!$I$3*365.25)),Data!#REF!&lt;=(TODAY()-(Data_Val!$I$2*365.25))),0,1),1))</f>
        <v>#REF!</v>
      </c>
      <c r="AS824" s="31" t="e">
        <f>IF(Data!#REF!="","",IF(Data!$G824="",1,IF(ISNUMBER(MATCH(Data!#REF!,Data_Val!$D$2:$D$10,0)),0,1)))</f>
        <v>#REF!</v>
      </c>
      <c r="AT824" s="11"/>
      <c r="AU824" s="11" t="e">
        <f ca="1">IF(Data!#REF!="","",IF(ISNUMBER(Data!#REF!),IF(AND(Data!#REF!&gt;(TODAY()-(Data_Val!$I$3*365.25)),Data!#REF!&lt;=(TODAY()-(Data_Val!$I$2*365.25))),0,1),1))</f>
        <v>#REF!</v>
      </c>
      <c r="AV824" s="11" t="e">
        <f>IF(Data!#REF!="","",IF(Data!$G824="",1,IF(ISNUMBER(MATCH(Data!#REF!,Data_Val!$D$2:$D$10,0)),0,1)))</f>
        <v>#REF!</v>
      </c>
      <c r="AW824" s="12"/>
      <c r="AX824" s="26" t="e">
        <f ca="1">IF(Data!#REF!="","",IF(ISNUMBER(Data!#REF!),IF(AND(Data!#REF!&gt;(TODAY()-(Data_Val!$I$3*365.25)),Data!#REF!&lt;=(TODAY()-(Data_Val!$I$2*365.25))),0,1),1))</f>
        <v>#REF!</v>
      </c>
      <c r="AY824" s="12" t="e">
        <f>IF(Data!#REF!="","",IF(Data!$G824="",1,IF(ISNUMBER(MATCH(Data!#REF!,Data_Val!$D$2:$D$10,0)),0,1)))</f>
        <v>#REF!</v>
      </c>
      <c r="AZ824" s="11"/>
      <c r="BA824" s="19" t="e">
        <f ca="1">IF(Data!#REF!="","",IF(ISNUMBER(Data!#REF!),IF(AND(Data!#REF!&gt;(TODAY()-(Data_Val!$M$3*365.25)),Data!#REF!&lt;=(TODAY()-(Data_Val!$M$2*365.25))),0,1),1))</f>
        <v>#REF!</v>
      </c>
      <c r="BB824" s="11" t="e">
        <f>IF(Data!#REF!="","",IF(Data!$G824="",1,IF(ISNUMBER(MATCH(Data!#REF!,Data_Val!$D$2:$D$10,0)),0,1)))</f>
        <v>#REF!</v>
      </c>
      <c r="BC824" s="12"/>
      <c r="BD824" s="20" t="e">
        <f ca="1">IF(Data!#REF!="","",IF(ISNUMBER(Data!#REF!),IF(AND(Data!#REF!&gt;(TODAY()-(Data_Val!$M$3*365.25)),Data!#REF!&lt;=(TODAY()-(Data_Val!$M$2*365.25))),0,1),1))</f>
        <v>#REF!</v>
      </c>
      <c r="BE824" s="12" t="e">
        <f>IF(Data!#REF!="","",IF(Data!$G824="",1,IF(ISNUMBER(MATCH(Data!#REF!,Data_Val!$D$2:$D$10,0)),0,1)))</f>
        <v>#REF!</v>
      </c>
      <c r="BF824" s="17"/>
      <c r="BG824" s="18" t="e">
        <f ca="1">IF(Data!#REF!="","",IF(ISNUMBER(Data!#REF!),IF(AND(Data!#REF!&gt;(TODAY()-(Data_Val!$M$3*365.25)),Data!#REF!&lt;=(TODAY()-(Data_Val!$M$2*365.25))),0,1),1))</f>
        <v>#REF!</v>
      </c>
      <c r="BH824" s="29" t="e">
        <f>IF(Data!#REF!="","",IF(Data!$G824="",1,IF(ISNUMBER(MATCH(Data!#REF!,Data_Val!$D$2:$D$10,0)),0,1)))</f>
        <v>#REF!</v>
      </c>
      <c r="BI824" s="13"/>
      <c r="BJ824" s="21" t="e">
        <f ca="1">IF(Data!#REF!="","",IF(ISNUMBER(Data!#REF!),IF(AND(Data!#REF!&gt;(TODAY()-(Data_Val!$M$3*365.25)),Data!#REF!&lt;=(TODAY()-(Data_Val!$M$2*365.25))),0,1),1))</f>
        <v>#REF!</v>
      </c>
      <c r="BK824" s="13" t="e">
        <f>IF(Data!#REF!="","",IF(Data!$G824="",1,IF(ISNUMBER(MATCH(Data!#REF!,Data_Val!$D$2:$D$10,0)),0,1)))</f>
        <v>#REF!</v>
      </c>
    </row>
    <row r="825" spans="1:63" x14ac:dyDescent="0.25">
      <c r="A825" s="9" t="str">
        <f>IF(Data!B825="","",IF(COUNTIFS(Data!A$1:'Data'!A825,Data!A825)&lt;=1,0,1))</f>
        <v/>
      </c>
      <c r="B825" s="9"/>
      <c r="C825" s="23" t="str">
        <f>IF(Data!C825="","",(IF(ISNUMBER(MATCH("*@*.?*",Data!C825,0)),0,1)+IF(COUNTIFS(Data!C$1:'Data'!C825,Data!C825)&gt;1,1,0)))</f>
        <v/>
      </c>
      <c r="D825" s="9" t="str">
        <f>IF(Data!B825="","",IF(ISNUMBER(Data!D825),IF(AND(Data!D825&gt;999999999,Data!D825&lt;=9999999999),IF(COUNTIFS(Data!D$1:'Data'!D825,Data!D825)&lt;=1,0,1),1),1))</f>
        <v/>
      </c>
      <c r="E825" s="9" t="str">
        <f>IF(Data!B825="","",IF(ISNUMBER(MATCH(Data!E825,Data_Val!$A$2:$A$3,0)),0,1))</f>
        <v/>
      </c>
      <c r="F825" s="9" t="str">
        <f ca="1">IF(Data!B825="","",IF(ISNUMBER(Data!F825),IF(AND(Data!F825&gt;(TODAY()-(Data_Val!$H$3*365.25)),Data!F825&lt;=(TODAY()-(Data_Val!$H$2*365.25))),0,1),1))</f>
        <v/>
      </c>
      <c r="G825" s="15" t="str">
        <f>IF(Data!B825="","",IF(AND(Data!G825="",Data!H825&lt;&gt;""),1,IF(Data!#REF!&lt;&gt;"",0,IF(ISNUMBER(MATCH(Data!G825,Data_Val!$C$2:$C$5,0)),0,1))))</f>
        <v/>
      </c>
      <c r="H825" s="15" t="str">
        <f>IF(Data!B825="","",IF(AND(Data!G825&lt;&gt;"",Data!H825=""),1,IF(Data!#REF!&lt;&gt;"",0,IF(Data!G825="",1,IF(ISNUMBER(MATCH(Data!H825,Data_Val!$D$2:$D$35,0)),0,1)))))</f>
        <v/>
      </c>
      <c r="I825" s="15" t="str">
        <f>IF(Data!B825="","",IF(Data!G825&lt;&gt;"",0,IF(ISNUMBER(MATCH(Data!#REF!,Data_Val!$E$2:$E$12,0)),0,1)))</f>
        <v/>
      </c>
      <c r="J825" s="16" t="e">
        <f>IF(OR(Data!B825="",Data!#REF!=""),"",IF(Data!#REF!="",1,0))</f>
        <v>#REF!</v>
      </c>
      <c r="K825" s="16" t="e">
        <f>IF(OR(Data!B825="",Data!#REF!=""),"",IF(Data!#REF!="",1,0))</f>
        <v>#REF!</v>
      </c>
      <c r="L825" s="16" t="e">
        <f>IF(OR(Data!B825="",Data!#REF!=""),"",IF(ISNUMBER(Data!#REF!),IF(AND(Data!#REF!&gt;Data_Val!$G$2,Data!#REF!&lt;=Data_Val!$G$3),0,1),1))</f>
        <v>#REF!</v>
      </c>
      <c r="M825" s="9" t="e">
        <f>IF(OR(Data!B825="",Data!#REF!=""),"",IF(ISNUMBER(MATCH(Data!#REF!,Data_Val!$F$1:$F$38,0)),0,1))</f>
        <v>#REF!</v>
      </c>
      <c r="N825" s="9" t="e">
        <f>IF(OR(Data!B825="",Data!#REF!=""),"",IF(Data!#REF!="",1,0))</f>
        <v>#REF!</v>
      </c>
      <c r="O825" s="17" t="e">
        <f>IF(Data!#REF!="","",IF(Data!#REF!="",1,0))</f>
        <v>#REF!</v>
      </c>
      <c r="P825" s="17" t="e">
        <f>IF(Data!#REF!="","",IF(ISNUMBER(MATCH(Data!#REF!,Data_Val!$A$2:$A$3,0)),0,1))</f>
        <v>#REF!</v>
      </c>
      <c r="Q825" s="25" t="e">
        <f ca="1">IF(Data!#REF!="","",IF(ISNUMBER(Data!#REF!),IF(AND(Data!#REF!&gt;(TODAY()-(Data_Val!$J$3*365.25)),Data!#REF!&lt;=(TODAY()-(Data_Val!$J$2*365.25))),0,1),1))</f>
        <v>#REF!</v>
      </c>
      <c r="R825" s="17" t="e">
        <f>IF(Data!#REF!="","",IF(ISNUMBER(MATCH(Data!#REF!,Data_Val!$B$2:$B$15,0)),0,1))</f>
        <v>#REF!</v>
      </c>
      <c r="S825" s="11" t="str">
        <f>IF(Data!G825="","",IF(Data!G825=Data_Val!$C$2,IF(Data!M825="",0,1),0))</f>
        <v/>
      </c>
      <c r="T825" s="11" t="str">
        <f>IF(Data!M825="","",IF(ISNUMBER(MATCH(Data!N825,Data_Val!$A$2:$A$3,0)),0,1))</f>
        <v/>
      </c>
      <c r="U825" s="11" t="str">
        <f ca="1">IF(Data!M825="","",IF(ISNUMBER(Data!O825),IF(AND(Data!O825&gt;(TODAY()-(Data_Val!$K$3*365.25)),Data!O825&lt;=(TODAY()-(Data_Val!$K$2*365.25))),0,1),1))</f>
        <v/>
      </c>
      <c r="V825" s="12" t="str">
        <f>IF(Data!G825="","",IF(Data!G825=Data_Val!$C$2,IF(Data!P825="",0,1),0))</f>
        <v/>
      </c>
      <c r="W825" s="12" t="str">
        <f>IF(Data!P825="","",IF(ISNUMBER(MATCH(Data!Q825,Data_Val!$A$2:$A$3,0)),0,1))</f>
        <v/>
      </c>
      <c r="X825" s="26" t="str">
        <f ca="1">IF(Data!P825="","",IF(ISNUMBER(Data!R825),IF(AND(Data!R825&gt;(TODAY()-(Data_Val!$L$3*365.25)),Data!R825&lt;=(TODAY()-(Data_Val!$L$2*365.25))),0,1),1))</f>
        <v/>
      </c>
      <c r="Y825" s="13" t="str">
        <f>IF(Data!$G825="","",IF(Data!$G825=Data_Val!$C$2,IF(Data!S825="",0,1),0))</f>
        <v/>
      </c>
      <c r="Z825" s="13" t="str">
        <f>IF(Data!S825="","",IF(ISNUMBER(MATCH(Data!T825,Data_Val!$A$2:$A$3,0)),0,1))</f>
        <v/>
      </c>
      <c r="AA825" s="28" t="str">
        <f ca="1">IF(Data!S825="","",IF(ISNUMBER(Data!U825),IF(AND(Data!U825&gt;(TODAY()-(Data_Val!$L$3*365.25)),Data!U825&lt;=(TODAY()-(Data_Val!$L$2*365.25))),0,1),1))</f>
        <v/>
      </c>
      <c r="AB825" s="11"/>
      <c r="AC825" s="11" t="e">
        <f>IF(Data!#REF!="","",IF(ISNUMBER(MATCH(Data!#REF!,Data_Val!$A$2:$A$3,0)),0,1))</f>
        <v>#REF!</v>
      </c>
      <c r="AD825" s="11" t="e">
        <f ca="1">IF(Data!#REF!="","",IF(ISNUMBER(Data!#REF!),IF(AND(Data!#REF!&gt;(TODAY()-(Data_Val!$L$3*365.25)),Data!#REF!&lt;=(TODAY()-(Data_Val!$L$2*365.25))),0,1),1))</f>
        <v>#REF!</v>
      </c>
      <c r="AE825" s="11" t="e">
        <f>IF(Data!#REF!="","",IF(Data!$G825="",1,IF(ISNUMBER(MATCH(Data!#REF!,Data_Val!$D$2:$D$10,0)),0,1)))</f>
        <v>#REF!</v>
      </c>
      <c r="AF825" s="12"/>
      <c r="AG825" s="12" t="e">
        <f>IF(Data!#REF!="","",IF(ISNUMBER(MATCH(Data!#REF!,Data_Val!$A$2:$A$3,0)),0,1))</f>
        <v>#REF!</v>
      </c>
      <c r="AH825" s="26" t="e">
        <f ca="1">IF(Data!#REF!="","",IF(ISNUMBER(Data!#REF!),IF(AND(Data!#REF!&gt;(TODAY()-(Data_Val!$L$3*365.25)),Data!#REF!&lt;=(TODAY()-(Data_Val!$L$2*365.25))),0,1),1))</f>
        <v>#REF!</v>
      </c>
      <c r="AI825" s="12" t="e">
        <f>IF(Data!#REF!="","",IF(Data!$G825="",1,IF(ISNUMBER(MATCH(Data!#REF!,Data_Val!$D$2:$D$10,0)),0,1)))</f>
        <v>#REF!</v>
      </c>
      <c r="AJ825" s="17"/>
      <c r="AK825" s="17" t="e">
        <f>IF(Data!#REF!="","",IF(ISNUMBER(MATCH(Data!#REF!,Data_Val!$A$2:$A$3,0)),0,1))</f>
        <v>#REF!</v>
      </c>
      <c r="AL825" s="25" t="e">
        <f ca="1">IF(Data!#REF!="","",IF(ISNUMBER(Data!#REF!),IF(AND(Data!#REF!&gt;(TODAY()-(Data_Val!$L$3*365.25)),Data!#REF!&lt;=(TODAY()-(Data_Val!$L$2*365.25))),0,1),1))</f>
        <v>#REF!</v>
      </c>
      <c r="AM825" s="17" t="e">
        <f>IF(Data!#REF!="","",IF(Data!$G825="",1,IF(ISNUMBER(MATCH(Data!#REF!,Data_Val!$D$2:$D$10,0)),0,1)))</f>
        <v>#REF!</v>
      </c>
      <c r="AN825" s="13"/>
      <c r="AO825" s="28" t="e">
        <f ca="1">IF(Data!#REF!="","",IF(ISNUMBER(Data!#REF!),IF(AND(Data!#REF!&gt;(TODAY()-(Data_Val!$I$3*365.25)),Data!#REF!&lt;=(TODAY()-(Data_Val!$I$2*365.25))),0,1),1))</f>
        <v>#REF!</v>
      </c>
      <c r="AP825" s="13" t="e">
        <f>IF(Data!#REF!="","",IF(Data!$G825="",1,IF(ISNUMBER(MATCH(Data!#REF!,Data_Val!$D$2:$D$10,0)),0,1)))</f>
        <v>#REF!</v>
      </c>
      <c r="AQ825" s="17"/>
      <c r="AR825" s="30" t="e">
        <f ca="1">IF(Data!#REF!="","",IF(ISNUMBER(Data!#REF!),IF(AND(Data!#REF!&gt;(TODAY()-(Data_Val!$I$3*365.25)),Data!#REF!&lt;=(TODAY()-(Data_Val!$I$2*365.25))),0,1),1))</f>
        <v>#REF!</v>
      </c>
      <c r="AS825" s="31" t="e">
        <f>IF(Data!#REF!="","",IF(Data!$G825="",1,IF(ISNUMBER(MATCH(Data!#REF!,Data_Val!$D$2:$D$10,0)),0,1)))</f>
        <v>#REF!</v>
      </c>
      <c r="AT825" s="11"/>
      <c r="AU825" s="11" t="e">
        <f ca="1">IF(Data!#REF!="","",IF(ISNUMBER(Data!#REF!),IF(AND(Data!#REF!&gt;(TODAY()-(Data_Val!$I$3*365.25)),Data!#REF!&lt;=(TODAY()-(Data_Val!$I$2*365.25))),0,1),1))</f>
        <v>#REF!</v>
      </c>
      <c r="AV825" s="11" t="e">
        <f>IF(Data!#REF!="","",IF(Data!$G825="",1,IF(ISNUMBER(MATCH(Data!#REF!,Data_Val!$D$2:$D$10,0)),0,1)))</f>
        <v>#REF!</v>
      </c>
      <c r="AW825" s="12"/>
      <c r="AX825" s="26" t="e">
        <f ca="1">IF(Data!#REF!="","",IF(ISNUMBER(Data!#REF!),IF(AND(Data!#REF!&gt;(TODAY()-(Data_Val!$I$3*365.25)),Data!#REF!&lt;=(TODAY()-(Data_Val!$I$2*365.25))),0,1),1))</f>
        <v>#REF!</v>
      </c>
      <c r="AY825" s="12" t="e">
        <f>IF(Data!#REF!="","",IF(Data!$G825="",1,IF(ISNUMBER(MATCH(Data!#REF!,Data_Val!$D$2:$D$10,0)),0,1)))</f>
        <v>#REF!</v>
      </c>
      <c r="AZ825" s="11"/>
      <c r="BA825" s="19" t="e">
        <f ca="1">IF(Data!#REF!="","",IF(ISNUMBER(Data!#REF!),IF(AND(Data!#REF!&gt;(TODAY()-(Data_Val!$M$3*365.25)),Data!#REF!&lt;=(TODAY()-(Data_Val!$M$2*365.25))),0,1),1))</f>
        <v>#REF!</v>
      </c>
      <c r="BB825" s="11" t="e">
        <f>IF(Data!#REF!="","",IF(Data!$G825="",1,IF(ISNUMBER(MATCH(Data!#REF!,Data_Val!$D$2:$D$10,0)),0,1)))</f>
        <v>#REF!</v>
      </c>
      <c r="BC825" s="12"/>
      <c r="BD825" s="20" t="e">
        <f ca="1">IF(Data!#REF!="","",IF(ISNUMBER(Data!#REF!),IF(AND(Data!#REF!&gt;(TODAY()-(Data_Val!$M$3*365.25)),Data!#REF!&lt;=(TODAY()-(Data_Val!$M$2*365.25))),0,1),1))</f>
        <v>#REF!</v>
      </c>
      <c r="BE825" s="12" t="e">
        <f>IF(Data!#REF!="","",IF(Data!$G825="",1,IF(ISNUMBER(MATCH(Data!#REF!,Data_Val!$D$2:$D$10,0)),0,1)))</f>
        <v>#REF!</v>
      </c>
      <c r="BF825" s="17"/>
      <c r="BG825" s="18" t="e">
        <f ca="1">IF(Data!#REF!="","",IF(ISNUMBER(Data!#REF!),IF(AND(Data!#REF!&gt;(TODAY()-(Data_Val!$M$3*365.25)),Data!#REF!&lt;=(TODAY()-(Data_Val!$M$2*365.25))),0,1),1))</f>
        <v>#REF!</v>
      </c>
      <c r="BH825" s="29" t="e">
        <f>IF(Data!#REF!="","",IF(Data!$G825="",1,IF(ISNUMBER(MATCH(Data!#REF!,Data_Val!$D$2:$D$10,0)),0,1)))</f>
        <v>#REF!</v>
      </c>
      <c r="BI825" s="13"/>
      <c r="BJ825" s="21" t="e">
        <f ca="1">IF(Data!#REF!="","",IF(ISNUMBER(Data!#REF!),IF(AND(Data!#REF!&gt;(TODAY()-(Data_Val!$M$3*365.25)),Data!#REF!&lt;=(TODAY()-(Data_Val!$M$2*365.25))),0,1),1))</f>
        <v>#REF!</v>
      </c>
      <c r="BK825" s="13" t="e">
        <f>IF(Data!#REF!="","",IF(Data!$G825="",1,IF(ISNUMBER(MATCH(Data!#REF!,Data_Val!$D$2:$D$10,0)),0,1)))</f>
        <v>#REF!</v>
      </c>
    </row>
    <row r="826" spans="1:63" x14ac:dyDescent="0.25">
      <c r="A826" s="9" t="str">
        <f>IF(Data!B826="","",IF(COUNTIFS(Data!A$1:'Data'!A826,Data!A826)&lt;=1,0,1))</f>
        <v/>
      </c>
      <c r="B826" s="9"/>
      <c r="C826" s="23" t="str">
        <f>IF(Data!C826="","",(IF(ISNUMBER(MATCH("*@*.?*",Data!C826,0)),0,1)+IF(COUNTIFS(Data!C$1:'Data'!C826,Data!C826)&gt;1,1,0)))</f>
        <v/>
      </c>
      <c r="D826" s="9" t="str">
        <f>IF(Data!B826="","",IF(ISNUMBER(Data!D826),IF(AND(Data!D826&gt;999999999,Data!D826&lt;=9999999999),IF(COUNTIFS(Data!D$1:'Data'!D826,Data!D826)&lt;=1,0,1),1),1))</f>
        <v/>
      </c>
      <c r="E826" s="9" t="str">
        <f>IF(Data!B826="","",IF(ISNUMBER(MATCH(Data!E826,Data_Val!$A$2:$A$3,0)),0,1))</f>
        <v/>
      </c>
      <c r="F826" s="9" t="str">
        <f ca="1">IF(Data!B826="","",IF(ISNUMBER(Data!F826),IF(AND(Data!F826&gt;(TODAY()-(Data_Val!$H$3*365.25)),Data!F826&lt;=(TODAY()-(Data_Val!$H$2*365.25))),0,1),1))</f>
        <v/>
      </c>
      <c r="G826" s="15" t="str">
        <f>IF(Data!B826="","",IF(AND(Data!G826="",Data!H826&lt;&gt;""),1,IF(Data!#REF!&lt;&gt;"",0,IF(ISNUMBER(MATCH(Data!G826,Data_Val!$C$2:$C$5,0)),0,1))))</f>
        <v/>
      </c>
      <c r="H826" s="15" t="str">
        <f>IF(Data!B826="","",IF(AND(Data!G826&lt;&gt;"",Data!H826=""),1,IF(Data!#REF!&lt;&gt;"",0,IF(Data!G826="",1,IF(ISNUMBER(MATCH(Data!H826,Data_Val!$D$2:$D$35,0)),0,1)))))</f>
        <v/>
      </c>
      <c r="I826" s="15" t="str">
        <f>IF(Data!B826="","",IF(Data!G826&lt;&gt;"",0,IF(ISNUMBER(MATCH(Data!#REF!,Data_Val!$E$2:$E$12,0)),0,1)))</f>
        <v/>
      </c>
      <c r="J826" s="16" t="e">
        <f>IF(OR(Data!B826="",Data!#REF!=""),"",IF(Data!#REF!="",1,0))</f>
        <v>#REF!</v>
      </c>
      <c r="K826" s="16" t="e">
        <f>IF(OR(Data!B826="",Data!#REF!=""),"",IF(Data!#REF!="",1,0))</f>
        <v>#REF!</v>
      </c>
      <c r="L826" s="16" t="e">
        <f>IF(OR(Data!B826="",Data!#REF!=""),"",IF(ISNUMBER(Data!#REF!),IF(AND(Data!#REF!&gt;Data_Val!$G$2,Data!#REF!&lt;=Data_Val!$G$3),0,1),1))</f>
        <v>#REF!</v>
      </c>
      <c r="M826" s="9" t="e">
        <f>IF(OR(Data!B826="",Data!#REF!=""),"",IF(ISNUMBER(MATCH(Data!#REF!,Data_Val!$F$1:$F$38,0)),0,1))</f>
        <v>#REF!</v>
      </c>
      <c r="N826" s="9" t="e">
        <f>IF(OR(Data!B826="",Data!#REF!=""),"",IF(Data!#REF!="",1,0))</f>
        <v>#REF!</v>
      </c>
      <c r="O826" s="17" t="e">
        <f>IF(Data!#REF!="","",IF(Data!#REF!="",1,0))</f>
        <v>#REF!</v>
      </c>
      <c r="P826" s="17" t="e">
        <f>IF(Data!#REF!="","",IF(ISNUMBER(MATCH(Data!#REF!,Data_Val!$A$2:$A$3,0)),0,1))</f>
        <v>#REF!</v>
      </c>
      <c r="Q826" s="25" t="e">
        <f ca="1">IF(Data!#REF!="","",IF(ISNUMBER(Data!#REF!),IF(AND(Data!#REF!&gt;(TODAY()-(Data_Val!$J$3*365.25)),Data!#REF!&lt;=(TODAY()-(Data_Val!$J$2*365.25))),0,1),1))</f>
        <v>#REF!</v>
      </c>
      <c r="R826" s="17" t="e">
        <f>IF(Data!#REF!="","",IF(ISNUMBER(MATCH(Data!#REF!,Data_Val!$B$2:$B$15,0)),0,1))</f>
        <v>#REF!</v>
      </c>
      <c r="S826" s="11" t="str">
        <f>IF(Data!G826="","",IF(Data!G826=Data_Val!$C$2,IF(Data!M826="",0,1),0))</f>
        <v/>
      </c>
      <c r="T826" s="11" t="str">
        <f>IF(Data!M826="","",IF(ISNUMBER(MATCH(Data!N826,Data_Val!$A$2:$A$3,0)),0,1))</f>
        <v/>
      </c>
      <c r="U826" s="11" t="str">
        <f ca="1">IF(Data!M826="","",IF(ISNUMBER(Data!O826),IF(AND(Data!O826&gt;(TODAY()-(Data_Val!$K$3*365.25)),Data!O826&lt;=(TODAY()-(Data_Val!$K$2*365.25))),0,1),1))</f>
        <v/>
      </c>
      <c r="V826" s="12" t="str">
        <f>IF(Data!G826="","",IF(Data!G826=Data_Val!$C$2,IF(Data!P826="",0,1),0))</f>
        <v/>
      </c>
      <c r="W826" s="12" t="str">
        <f>IF(Data!P826="","",IF(ISNUMBER(MATCH(Data!Q826,Data_Val!$A$2:$A$3,0)),0,1))</f>
        <v/>
      </c>
      <c r="X826" s="26" t="str">
        <f ca="1">IF(Data!P826="","",IF(ISNUMBER(Data!R826),IF(AND(Data!R826&gt;(TODAY()-(Data_Val!$L$3*365.25)),Data!R826&lt;=(TODAY()-(Data_Val!$L$2*365.25))),0,1),1))</f>
        <v/>
      </c>
      <c r="Y826" s="13" t="str">
        <f>IF(Data!$G826="","",IF(Data!$G826=Data_Val!$C$2,IF(Data!S826="",0,1),0))</f>
        <v/>
      </c>
      <c r="Z826" s="13" t="str">
        <f>IF(Data!S826="","",IF(ISNUMBER(MATCH(Data!T826,Data_Val!$A$2:$A$3,0)),0,1))</f>
        <v/>
      </c>
      <c r="AA826" s="28" t="str">
        <f ca="1">IF(Data!S826="","",IF(ISNUMBER(Data!U826),IF(AND(Data!U826&gt;(TODAY()-(Data_Val!$L$3*365.25)),Data!U826&lt;=(TODAY()-(Data_Val!$L$2*365.25))),0,1),1))</f>
        <v/>
      </c>
      <c r="AB826" s="11"/>
      <c r="AC826" s="11" t="e">
        <f>IF(Data!#REF!="","",IF(ISNUMBER(MATCH(Data!#REF!,Data_Val!$A$2:$A$3,0)),0,1))</f>
        <v>#REF!</v>
      </c>
      <c r="AD826" s="11" t="e">
        <f ca="1">IF(Data!#REF!="","",IF(ISNUMBER(Data!#REF!),IF(AND(Data!#REF!&gt;(TODAY()-(Data_Val!$L$3*365.25)),Data!#REF!&lt;=(TODAY()-(Data_Val!$L$2*365.25))),0,1),1))</f>
        <v>#REF!</v>
      </c>
      <c r="AE826" s="11" t="e">
        <f>IF(Data!#REF!="","",IF(Data!$G826="",1,IF(ISNUMBER(MATCH(Data!#REF!,Data_Val!$D$2:$D$10,0)),0,1)))</f>
        <v>#REF!</v>
      </c>
      <c r="AF826" s="12"/>
      <c r="AG826" s="12" t="e">
        <f>IF(Data!#REF!="","",IF(ISNUMBER(MATCH(Data!#REF!,Data_Val!$A$2:$A$3,0)),0,1))</f>
        <v>#REF!</v>
      </c>
      <c r="AH826" s="26" t="e">
        <f ca="1">IF(Data!#REF!="","",IF(ISNUMBER(Data!#REF!),IF(AND(Data!#REF!&gt;(TODAY()-(Data_Val!$L$3*365.25)),Data!#REF!&lt;=(TODAY()-(Data_Val!$L$2*365.25))),0,1),1))</f>
        <v>#REF!</v>
      </c>
      <c r="AI826" s="12" t="e">
        <f>IF(Data!#REF!="","",IF(Data!$G826="",1,IF(ISNUMBER(MATCH(Data!#REF!,Data_Val!$D$2:$D$10,0)),0,1)))</f>
        <v>#REF!</v>
      </c>
      <c r="AJ826" s="17"/>
      <c r="AK826" s="17" t="e">
        <f>IF(Data!#REF!="","",IF(ISNUMBER(MATCH(Data!#REF!,Data_Val!$A$2:$A$3,0)),0,1))</f>
        <v>#REF!</v>
      </c>
      <c r="AL826" s="25" t="e">
        <f ca="1">IF(Data!#REF!="","",IF(ISNUMBER(Data!#REF!),IF(AND(Data!#REF!&gt;(TODAY()-(Data_Val!$L$3*365.25)),Data!#REF!&lt;=(TODAY()-(Data_Val!$L$2*365.25))),0,1),1))</f>
        <v>#REF!</v>
      </c>
      <c r="AM826" s="17" t="e">
        <f>IF(Data!#REF!="","",IF(Data!$G826="",1,IF(ISNUMBER(MATCH(Data!#REF!,Data_Val!$D$2:$D$10,0)),0,1)))</f>
        <v>#REF!</v>
      </c>
      <c r="AN826" s="13"/>
      <c r="AO826" s="28" t="e">
        <f ca="1">IF(Data!#REF!="","",IF(ISNUMBER(Data!#REF!),IF(AND(Data!#REF!&gt;(TODAY()-(Data_Val!$I$3*365.25)),Data!#REF!&lt;=(TODAY()-(Data_Val!$I$2*365.25))),0,1),1))</f>
        <v>#REF!</v>
      </c>
      <c r="AP826" s="13" t="e">
        <f>IF(Data!#REF!="","",IF(Data!$G826="",1,IF(ISNUMBER(MATCH(Data!#REF!,Data_Val!$D$2:$D$10,0)),0,1)))</f>
        <v>#REF!</v>
      </c>
      <c r="AQ826" s="17"/>
      <c r="AR826" s="30" t="e">
        <f ca="1">IF(Data!#REF!="","",IF(ISNUMBER(Data!#REF!),IF(AND(Data!#REF!&gt;(TODAY()-(Data_Val!$I$3*365.25)),Data!#REF!&lt;=(TODAY()-(Data_Val!$I$2*365.25))),0,1),1))</f>
        <v>#REF!</v>
      </c>
      <c r="AS826" s="31" t="e">
        <f>IF(Data!#REF!="","",IF(Data!$G826="",1,IF(ISNUMBER(MATCH(Data!#REF!,Data_Val!$D$2:$D$10,0)),0,1)))</f>
        <v>#REF!</v>
      </c>
      <c r="AT826" s="11"/>
      <c r="AU826" s="11" t="e">
        <f ca="1">IF(Data!#REF!="","",IF(ISNUMBER(Data!#REF!),IF(AND(Data!#REF!&gt;(TODAY()-(Data_Val!$I$3*365.25)),Data!#REF!&lt;=(TODAY()-(Data_Val!$I$2*365.25))),0,1),1))</f>
        <v>#REF!</v>
      </c>
      <c r="AV826" s="11" t="e">
        <f>IF(Data!#REF!="","",IF(Data!$G826="",1,IF(ISNUMBER(MATCH(Data!#REF!,Data_Val!$D$2:$D$10,0)),0,1)))</f>
        <v>#REF!</v>
      </c>
      <c r="AW826" s="12"/>
      <c r="AX826" s="26" t="e">
        <f ca="1">IF(Data!#REF!="","",IF(ISNUMBER(Data!#REF!),IF(AND(Data!#REF!&gt;(TODAY()-(Data_Val!$I$3*365.25)),Data!#REF!&lt;=(TODAY()-(Data_Val!$I$2*365.25))),0,1),1))</f>
        <v>#REF!</v>
      </c>
      <c r="AY826" s="12" t="e">
        <f>IF(Data!#REF!="","",IF(Data!$G826="",1,IF(ISNUMBER(MATCH(Data!#REF!,Data_Val!$D$2:$D$10,0)),0,1)))</f>
        <v>#REF!</v>
      </c>
      <c r="AZ826" s="11"/>
      <c r="BA826" s="19" t="e">
        <f ca="1">IF(Data!#REF!="","",IF(ISNUMBER(Data!#REF!),IF(AND(Data!#REF!&gt;(TODAY()-(Data_Val!$M$3*365.25)),Data!#REF!&lt;=(TODAY()-(Data_Val!$M$2*365.25))),0,1),1))</f>
        <v>#REF!</v>
      </c>
      <c r="BB826" s="11" t="e">
        <f>IF(Data!#REF!="","",IF(Data!$G826="",1,IF(ISNUMBER(MATCH(Data!#REF!,Data_Val!$D$2:$D$10,0)),0,1)))</f>
        <v>#REF!</v>
      </c>
      <c r="BC826" s="12"/>
      <c r="BD826" s="20" t="e">
        <f ca="1">IF(Data!#REF!="","",IF(ISNUMBER(Data!#REF!),IF(AND(Data!#REF!&gt;(TODAY()-(Data_Val!$M$3*365.25)),Data!#REF!&lt;=(TODAY()-(Data_Val!$M$2*365.25))),0,1),1))</f>
        <v>#REF!</v>
      </c>
      <c r="BE826" s="12" t="e">
        <f>IF(Data!#REF!="","",IF(Data!$G826="",1,IF(ISNUMBER(MATCH(Data!#REF!,Data_Val!$D$2:$D$10,0)),0,1)))</f>
        <v>#REF!</v>
      </c>
      <c r="BF826" s="17"/>
      <c r="BG826" s="18" t="e">
        <f ca="1">IF(Data!#REF!="","",IF(ISNUMBER(Data!#REF!),IF(AND(Data!#REF!&gt;(TODAY()-(Data_Val!$M$3*365.25)),Data!#REF!&lt;=(TODAY()-(Data_Val!$M$2*365.25))),0,1),1))</f>
        <v>#REF!</v>
      </c>
      <c r="BH826" s="29" t="e">
        <f>IF(Data!#REF!="","",IF(Data!$G826="",1,IF(ISNUMBER(MATCH(Data!#REF!,Data_Val!$D$2:$D$10,0)),0,1)))</f>
        <v>#REF!</v>
      </c>
      <c r="BI826" s="13"/>
      <c r="BJ826" s="21" t="e">
        <f ca="1">IF(Data!#REF!="","",IF(ISNUMBER(Data!#REF!),IF(AND(Data!#REF!&gt;(TODAY()-(Data_Val!$M$3*365.25)),Data!#REF!&lt;=(TODAY()-(Data_Val!$M$2*365.25))),0,1),1))</f>
        <v>#REF!</v>
      </c>
      <c r="BK826" s="13" t="e">
        <f>IF(Data!#REF!="","",IF(Data!$G826="",1,IF(ISNUMBER(MATCH(Data!#REF!,Data_Val!$D$2:$D$10,0)),0,1)))</f>
        <v>#REF!</v>
      </c>
    </row>
    <row r="827" spans="1:63" x14ac:dyDescent="0.25">
      <c r="A827" s="9" t="str">
        <f>IF(Data!B827="","",IF(COUNTIFS(Data!A$1:'Data'!A827,Data!A827)&lt;=1,0,1))</f>
        <v/>
      </c>
      <c r="B827" s="9"/>
      <c r="C827" s="23" t="str">
        <f>IF(Data!C827="","",(IF(ISNUMBER(MATCH("*@*.?*",Data!C827,0)),0,1)+IF(COUNTIFS(Data!C$1:'Data'!C827,Data!C827)&gt;1,1,0)))</f>
        <v/>
      </c>
      <c r="D827" s="9" t="str">
        <f>IF(Data!B827="","",IF(ISNUMBER(Data!D827),IF(AND(Data!D827&gt;999999999,Data!D827&lt;=9999999999),IF(COUNTIFS(Data!D$1:'Data'!D827,Data!D827)&lt;=1,0,1),1),1))</f>
        <v/>
      </c>
      <c r="E827" s="9" t="str">
        <f>IF(Data!B827="","",IF(ISNUMBER(MATCH(Data!E827,Data_Val!$A$2:$A$3,0)),0,1))</f>
        <v/>
      </c>
      <c r="F827" s="9" t="str">
        <f ca="1">IF(Data!B827="","",IF(ISNUMBER(Data!F827),IF(AND(Data!F827&gt;(TODAY()-(Data_Val!$H$3*365.25)),Data!F827&lt;=(TODAY()-(Data_Val!$H$2*365.25))),0,1),1))</f>
        <v/>
      </c>
      <c r="G827" s="15" t="str">
        <f>IF(Data!B827="","",IF(AND(Data!G827="",Data!H827&lt;&gt;""),1,IF(Data!#REF!&lt;&gt;"",0,IF(ISNUMBER(MATCH(Data!G827,Data_Val!$C$2:$C$5,0)),0,1))))</f>
        <v/>
      </c>
      <c r="H827" s="15" t="str">
        <f>IF(Data!B827="","",IF(AND(Data!G827&lt;&gt;"",Data!H827=""),1,IF(Data!#REF!&lt;&gt;"",0,IF(Data!G827="",1,IF(ISNUMBER(MATCH(Data!H827,Data_Val!$D$2:$D$35,0)),0,1)))))</f>
        <v/>
      </c>
      <c r="I827" s="15" t="str">
        <f>IF(Data!B827="","",IF(Data!G827&lt;&gt;"",0,IF(ISNUMBER(MATCH(Data!#REF!,Data_Val!$E$2:$E$12,0)),0,1)))</f>
        <v/>
      </c>
      <c r="J827" s="16" t="e">
        <f>IF(OR(Data!B827="",Data!#REF!=""),"",IF(Data!#REF!="",1,0))</f>
        <v>#REF!</v>
      </c>
      <c r="K827" s="16" t="e">
        <f>IF(OR(Data!B827="",Data!#REF!=""),"",IF(Data!#REF!="",1,0))</f>
        <v>#REF!</v>
      </c>
      <c r="L827" s="16" t="e">
        <f>IF(OR(Data!B827="",Data!#REF!=""),"",IF(ISNUMBER(Data!#REF!),IF(AND(Data!#REF!&gt;Data_Val!$G$2,Data!#REF!&lt;=Data_Val!$G$3),0,1),1))</f>
        <v>#REF!</v>
      </c>
      <c r="M827" s="9" t="e">
        <f>IF(OR(Data!B827="",Data!#REF!=""),"",IF(ISNUMBER(MATCH(Data!#REF!,Data_Val!$F$1:$F$38,0)),0,1))</f>
        <v>#REF!</v>
      </c>
      <c r="N827" s="9" t="e">
        <f>IF(OR(Data!B827="",Data!#REF!=""),"",IF(Data!#REF!="",1,0))</f>
        <v>#REF!</v>
      </c>
      <c r="O827" s="17" t="e">
        <f>IF(Data!#REF!="","",IF(Data!#REF!="",1,0))</f>
        <v>#REF!</v>
      </c>
      <c r="P827" s="17" t="e">
        <f>IF(Data!#REF!="","",IF(ISNUMBER(MATCH(Data!#REF!,Data_Val!$A$2:$A$3,0)),0,1))</f>
        <v>#REF!</v>
      </c>
      <c r="Q827" s="25" t="e">
        <f ca="1">IF(Data!#REF!="","",IF(ISNUMBER(Data!#REF!),IF(AND(Data!#REF!&gt;(TODAY()-(Data_Val!$J$3*365.25)),Data!#REF!&lt;=(TODAY()-(Data_Val!$J$2*365.25))),0,1),1))</f>
        <v>#REF!</v>
      </c>
      <c r="R827" s="17" t="e">
        <f>IF(Data!#REF!="","",IF(ISNUMBER(MATCH(Data!#REF!,Data_Val!$B$2:$B$15,0)),0,1))</f>
        <v>#REF!</v>
      </c>
      <c r="S827" s="11" t="str">
        <f>IF(Data!G827="","",IF(Data!G827=Data_Val!$C$2,IF(Data!M827="",0,1),0))</f>
        <v/>
      </c>
      <c r="T827" s="11" t="str">
        <f>IF(Data!M827="","",IF(ISNUMBER(MATCH(Data!N827,Data_Val!$A$2:$A$3,0)),0,1))</f>
        <v/>
      </c>
      <c r="U827" s="11" t="str">
        <f ca="1">IF(Data!M827="","",IF(ISNUMBER(Data!O827),IF(AND(Data!O827&gt;(TODAY()-(Data_Val!$K$3*365.25)),Data!O827&lt;=(TODAY()-(Data_Val!$K$2*365.25))),0,1),1))</f>
        <v/>
      </c>
      <c r="V827" s="12" t="str">
        <f>IF(Data!G827="","",IF(Data!G827=Data_Val!$C$2,IF(Data!P827="",0,1),0))</f>
        <v/>
      </c>
      <c r="W827" s="12" t="str">
        <f>IF(Data!P827="","",IF(ISNUMBER(MATCH(Data!Q827,Data_Val!$A$2:$A$3,0)),0,1))</f>
        <v/>
      </c>
      <c r="X827" s="26" t="str">
        <f ca="1">IF(Data!P827="","",IF(ISNUMBER(Data!R827),IF(AND(Data!R827&gt;(TODAY()-(Data_Val!$L$3*365.25)),Data!R827&lt;=(TODAY()-(Data_Val!$L$2*365.25))),0,1),1))</f>
        <v/>
      </c>
      <c r="Y827" s="13" t="str">
        <f>IF(Data!$G827="","",IF(Data!$G827=Data_Val!$C$2,IF(Data!S827="",0,1),0))</f>
        <v/>
      </c>
      <c r="Z827" s="13" t="str">
        <f>IF(Data!S827="","",IF(ISNUMBER(MATCH(Data!T827,Data_Val!$A$2:$A$3,0)),0,1))</f>
        <v/>
      </c>
      <c r="AA827" s="28" t="str">
        <f ca="1">IF(Data!S827="","",IF(ISNUMBER(Data!U827),IF(AND(Data!U827&gt;(TODAY()-(Data_Val!$L$3*365.25)),Data!U827&lt;=(TODAY()-(Data_Val!$L$2*365.25))),0,1),1))</f>
        <v/>
      </c>
      <c r="AB827" s="11"/>
      <c r="AC827" s="11" t="e">
        <f>IF(Data!#REF!="","",IF(ISNUMBER(MATCH(Data!#REF!,Data_Val!$A$2:$A$3,0)),0,1))</f>
        <v>#REF!</v>
      </c>
      <c r="AD827" s="11" t="e">
        <f ca="1">IF(Data!#REF!="","",IF(ISNUMBER(Data!#REF!),IF(AND(Data!#REF!&gt;(TODAY()-(Data_Val!$L$3*365.25)),Data!#REF!&lt;=(TODAY()-(Data_Val!$L$2*365.25))),0,1),1))</f>
        <v>#REF!</v>
      </c>
      <c r="AE827" s="11" t="e">
        <f>IF(Data!#REF!="","",IF(Data!$G827="",1,IF(ISNUMBER(MATCH(Data!#REF!,Data_Val!$D$2:$D$10,0)),0,1)))</f>
        <v>#REF!</v>
      </c>
      <c r="AF827" s="12"/>
      <c r="AG827" s="12" t="e">
        <f>IF(Data!#REF!="","",IF(ISNUMBER(MATCH(Data!#REF!,Data_Val!$A$2:$A$3,0)),0,1))</f>
        <v>#REF!</v>
      </c>
      <c r="AH827" s="26" t="e">
        <f ca="1">IF(Data!#REF!="","",IF(ISNUMBER(Data!#REF!),IF(AND(Data!#REF!&gt;(TODAY()-(Data_Val!$L$3*365.25)),Data!#REF!&lt;=(TODAY()-(Data_Val!$L$2*365.25))),0,1),1))</f>
        <v>#REF!</v>
      </c>
      <c r="AI827" s="12" t="e">
        <f>IF(Data!#REF!="","",IF(Data!$G827="",1,IF(ISNUMBER(MATCH(Data!#REF!,Data_Val!$D$2:$D$10,0)),0,1)))</f>
        <v>#REF!</v>
      </c>
      <c r="AJ827" s="17"/>
      <c r="AK827" s="17" t="e">
        <f>IF(Data!#REF!="","",IF(ISNUMBER(MATCH(Data!#REF!,Data_Val!$A$2:$A$3,0)),0,1))</f>
        <v>#REF!</v>
      </c>
      <c r="AL827" s="25" t="e">
        <f ca="1">IF(Data!#REF!="","",IF(ISNUMBER(Data!#REF!),IF(AND(Data!#REF!&gt;(TODAY()-(Data_Val!$L$3*365.25)),Data!#REF!&lt;=(TODAY()-(Data_Val!$L$2*365.25))),0,1),1))</f>
        <v>#REF!</v>
      </c>
      <c r="AM827" s="17" t="e">
        <f>IF(Data!#REF!="","",IF(Data!$G827="",1,IF(ISNUMBER(MATCH(Data!#REF!,Data_Val!$D$2:$D$10,0)),0,1)))</f>
        <v>#REF!</v>
      </c>
      <c r="AN827" s="13"/>
      <c r="AO827" s="28" t="e">
        <f ca="1">IF(Data!#REF!="","",IF(ISNUMBER(Data!#REF!),IF(AND(Data!#REF!&gt;(TODAY()-(Data_Val!$I$3*365.25)),Data!#REF!&lt;=(TODAY()-(Data_Val!$I$2*365.25))),0,1),1))</f>
        <v>#REF!</v>
      </c>
      <c r="AP827" s="13" t="e">
        <f>IF(Data!#REF!="","",IF(Data!$G827="",1,IF(ISNUMBER(MATCH(Data!#REF!,Data_Val!$D$2:$D$10,0)),0,1)))</f>
        <v>#REF!</v>
      </c>
      <c r="AQ827" s="17"/>
      <c r="AR827" s="30" t="e">
        <f ca="1">IF(Data!#REF!="","",IF(ISNUMBER(Data!#REF!),IF(AND(Data!#REF!&gt;(TODAY()-(Data_Val!$I$3*365.25)),Data!#REF!&lt;=(TODAY()-(Data_Val!$I$2*365.25))),0,1),1))</f>
        <v>#REF!</v>
      </c>
      <c r="AS827" s="31" t="e">
        <f>IF(Data!#REF!="","",IF(Data!$G827="",1,IF(ISNUMBER(MATCH(Data!#REF!,Data_Val!$D$2:$D$10,0)),0,1)))</f>
        <v>#REF!</v>
      </c>
      <c r="AT827" s="11"/>
      <c r="AU827" s="11" t="e">
        <f ca="1">IF(Data!#REF!="","",IF(ISNUMBER(Data!#REF!),IF(AND(Data!#REF!&gt;(TODAY()-(Data_Val!$I$3*365.25)),Data!#REF!&lt;=(TODAY()-(Data_Val!$I$2*365.25))),0,1),1))</f>
        <v>#REF!</v>
      </c>
      <c r="AV827" s="11" t="e">
        <f>IF(Data!#REF!="","",IF(Data!$G827="",1,IF(ISNUMBER(MATCH(Data!#REF!,Data_Val!$D$2:$D$10,0)),0,1)))</f>
        <v>#REF!</v>
      </c>
      <c r="AW827" s="12"/>
      <c r="AX827" s="26" t="e">
        <f ca="1">IF(Data!#REF!="","",IF(ISNUMBER(Data!#REF!),IF(AND(Data!#REF!&gt;(TODAY()-(Data_Val!$I$3*365.25)),Data!#REF!&lt;=(TODAY()-(Data_Val!$I$2*365.25))),0,1),1))</f>
        <v>#REF!</v>
      </c>
      <c r="AY827" s="12" t="e">
        <f>IF(Data!#REF!="","",IF(Data!$G827="",1,IF(ISNUMBER(MATCH(Data!#REF!,Data_Val!$D$2:$D$10,0)),0,1)))</f>
        <v>#REF!</v>
      </c>
      <c r="AZ827" s="11"/>
      <c r="BA827" s="19" t="e">
        <f ca="1">IF(Data!#REF!="","",IF(ISNUMBER(Data!#REF!),IF(AND(Data!#REF!&gt;(TODAY()-(Data_Val!$M$3*365.25)),Data!#REF!&lt;=(TODAY()-(Data_Val!$M$2*365.25))),0,1),1))</f>
        <v>#REF!</v>
      </c>
      <c r="BB827" s="11" t="e">
        <f>IF(Data!#REF!="","",IF(Data!$G827="",1,IF(ISNUMBER(MATCH(Data!#REF!,Data_Val!$D$2:$D$10,0)),0,1)))</f>
        <v>#REF!</v>
      </c>
      <c r="BC827" s="12"/>
      <c r="BD827" s="20" t="e">
        <f ca="1">IF(Data!#REF!="","",IF(ISNUMBER(Data!#REF!),IF(AND(Data!#REF!&gt;(TODAY()-(Data_Val!$M$3*365.25)),Data!#REF!&lt;=(TODAY()-(Data_Val!$M$2*365.25))),0,1),1))</f>
        <v>#REF!</v>
      </c>
      <c r="BE827" s="12" t="e">
        <f>IF(Data!#REF!="","",IF(Data!$G827="",1,IF(ISNUMBER(MATCH(Data!#REF!,Data_Val!$D$2:$D$10,0)),0,1)))</f>
        <v>#REF!</v>
      </c>
      <c r="BF827" s="17"/>
      <c r="BG827" s="18" t="e">
        <f ca="1">IF(Data!#REF!="","",IF(ISNUMBER(Data!#REF!),IF(AND(Data!#REF!&gt;(TODAY()-(Data_Val!$M$3*365.25)),Data!#REF!&lt;=(TODAY()-(Data_Val!$M$2*365.25))),0,1),1))</f>
        <v>#REF!</v>
      </c>
      <c r="BH827" s="29" t="e">
        <f>IF(Data!#REF!="","",IF(Data!$G827="",1,IF(ISNUMBER(MATCH(Data!#REF!,Data_Val!$D$2:$D$10,0)),0,1)))</f>
        <v>#REF!</v>
      </c>
      <c r="BI827" s="13"/>
      <c r="BJ827" s="21" t="e">
        <f ca="1">IF(Data!#REF!="","",IF(ISNUMBER(Data!#REF!),IF(AND(Data!#REF!&gt;(TODAY()-(Data_Val!$M$3*365.25)),Data!#REF!&lt;=(TODAY()-(Data_Val!$M$2*365.25))),0,1),1))</f>
        <v>#REF!</v>
      </c>
      <c r="BK827" s="13" t="e">
        <f>IF(Data!#REF!="","",IF(Data!$G827="",1,IF(ISNUMBER(MATCH(Data!#REF!,Data_Val!$D$2:$D$10,0)),0,1)))</f>
        <v>#REF!</v>
      </c>
    </row>
    <row r="828" spans="1:63" x14ac:dyDescent="0.25">
      <c r="A828" s="9" t="str">
        <f>IF(Data!B828="","",IF(COUNTIFS(Data!A$1:'Data'!A828,Data!A828)&lt;=1,0,1))</f>
        <v/>
      </c>
      <c r="B828" s="9"/>
      <c r="C828" s="23" t="str">
        <f>IF(Data!C828="","",(IF(ISNUMBER(MATCH("*@*.?*",Data!C828,0)),0,1)+IF(COUNTIFS(Data!C$1:'Data'!C828,Data!C828)&gt;1,1,0)))</f>
        <v/>
      </c>
      <c r="D828" s="9" t="str">
        <f>IF(Data!B828="","",IF(ISNUMBER(Data!D828),IF(AND(Data!D828&gt;999999999,Data!D828&lt;=9999999999),IF(COUNTIFS(Data!D$1:'Data'!D828,Data!D828)&lt;=1,0,1),1),1))</f>
        <v/>
      </c>
      <c r="E828" s="9" t="str">
        <f>IF(Data!B828="","",IF(ISNUMBER(MATCH(Data!E828,Data_Val!$A$2:$A$3,0)),0,1))</f>
        <v/>
      </c>
      <c r="F828" s="9" t="str">
        <f ca="1">IF(Data!B828="","",IF(ISNUMBER(Data!F828),IF(AND(Data!F828&gt;(TODAY()-(Data_Val!$H$3*365.25)),Data!F828&lt;=(TODAY()-(Data_Val!$H$2*365.25))),0,1),1))</f>
        <v/>
      </c>
      <c r="G828" s="15" t="str">
        <f>IF(Data!B828="","",IF(AND(Data!G828="",Data!H828&lt;&gt;""),1,IF(Data!#REF!&lt;&gt;"",0,IF(ISNUMBER(MATCH(Data!G828,Data_Val!$C$2:$C$5,0)),0,1))))</f>
        <v/>
      </c>
      <c r="H828" s="15" t="str">
        <f>IF(Data!B828="","",IF(AND(Data!G828&lt;&gt;"",Data!H828=""),1,IF(Data!#REF!&lt;&gt;"",0,IF(Data!G828="",1,IF(ISNUMBER(MATCH(Data!H828,Data_Val!$D$2:$D$35,0)),0,1)))))</f>
        <v/>
      </c>
      <c r="I828" s="15" t="str">
        <f>IF(Data!B828="","",IF(Data!G828&lt;&gt;"",0,IF(ISNUMBER(MATCH(Data!#REF!,Data_Val!$E$2:$E$12,0)),0,1)))</f>
        <v/>
      </c>
      <c r="J828" s="16" t="e">
        <f>IF(OR(Data!B828="",Data!#REF!=""),"",IF(Data!#REF!="",1,0))</f>
        <v>#REF!</v>
      </c>
      <c r="K828" s="16" t="e">
        <f>IF(OR(Data!B828="",Data!#REF!=""),"",IF(Data!#REF!="",1,0))</f>
        <v>#REF!</v>
      </c>
      <c r="L828" s="16" t="e">
        <f>IF(OR(Data!B828="",Data!#REF!=""),"",IF(ISNUMBER(Data!#REF!),IF(AND(Data!#REF!&gt;Data_Val!$G$2,Data!#REF!&lt;=Data_Val!$G$3),0,1),1))</f>
        <v>#REF!</v>
      </c>
      <c r="M828" s="9" t="e">
        <f>IF(OR(Data!B828="",Data!#REF!=""),"",IF(ISNUMBER(MATCH(Data!#REF!,Data_Val!$F$1:$F$38,0)),0,1))</f>
        <v>#REF!</v>
      </c>
      <c r="N828" s="9" t="e">
        <f>IF(OR(Data!B828="",Data!#REF!=""),"",IF(Data!#REF!="",1,0))</f>
        <v>#REF!</v>
      </c>
      <c r="O828" s="17" t="e">
        <f>IF(Data!#REF!="","",IF(Data!#REF!="",1,0))</f>
        <v>#REF!</v>
      </c>
      <c r="P828" s="17" t="e">
        <f>IF(Data!#REF!="","",IF(ISNUMBER(MATCH(Data!#REF!,Data_Val!$A$2:$A$3,0)),0,1))</f>
        <v>#REF!</v>
      </c>
      <c r="Q828" s="25" t="e">
        <f ca="1">IF(Data!#REF!="","",IF(ISNUMBER(Data!#REF!),IF(AND(Data!#REF!&gt;(TODAY()-(Data_Val!$J$3*365.25)),Data!#REF!&lt;=(TODAY()-(Data_Val!$J$2*365.25))),0,1),1))</f>
        <v>#REF!</v>
      </c>
      <c r="R828" s="17" t="e">
        <f>IF(Data!#REF!="","",IF(ISNUMBER(MATCH(Data!#REF!,Data_Val!$B$2:$B$15,0)),0,1))</f>
        <v>#REF!</v>
      </c>
      <c r="S828" s="11" t="str">
        <f>IF(Data!G828="","",IF(Data!G828=Data_Val!$C$2,IF(Data!M828="",0,1),0))</f>
        <v/>
      </c>
      <c r="T828" s="11" t="str">
        <f>IF(Data!M828="","",IF(ISNUMBER(MATCH(Data!N828,Data_Val!$A$2:$A$3,0)),0,1))</f>
        <v/>
      </c>
      <c r="U828" s="11" t="str">
        <f ca="1">IF(Data!M828="","",IF(ISNUMBER(Data!O828),IF(AND(Data!O828&gt;(TODAY()-(Data_Val!$K$3*365.25)),Data!O828&lt;=(TODAY()-(Data_Val!$K$2*365.25))),0,1),1))</f>
        <v/>
      </c>
      <c r="V828" s="12" t="str">
        <f>IF(Data!G828="","",IF(Data!G828=Data_Val!$C$2,IF(Data!P828="",0,1),0))</f>
        <v/>
      </c>
      <c r="W828" s="12" t="str">
        <f>IF(Data!P828="","",IF(ISNUMBER(MATCH(Data!Q828,Data_Val!$A$2:$A$3,0)),0,1))</f>
        <v/>
      </c>
      <c r="X828" s="26" t="str">
        <f ca="1">IF(Data!P828="","",IF(ISNUMBER(Data!R828),IF(AND(Data!R828&gt;(TODAY()-(Data_Val!$L$3*365.25)),Data!R828&lt;=(TODAY()-(Data_Val!$L$2*365.25))),0,1),1))</f>
        <v/>
      </c>
      <c r="Y828" s="13" t="str">
        <f>IF(Data!$G828="","",IF(Data!$G828=Data_Val!$C$2,IF(Data!S828="",0,1),0))</f>
        <v/>
      </c>
      <c r="Z828" s="13" t="str">
        <f>IF(Data!S828="","",IF(ISNUMBER(MATCH(Data!T828,Data_Val!$A$2:$A$3,0)),0,1))</f>
        <v/>
      </c>
      <c r="AA828" s="28" t="str">
        <f ca="1">IF(Data!S828="","",IF(ISNUMBER(Data!U828),IF(AND(Data!U828&gt;(TODAY()-(Data_Val!$L$3*365.25)),Data!U828&lt;=(TODAY()-(Data_Val!$L$2*365.25))),0,1),1))</f>
        <v/>
      </c>
      <c r="AB828" s="11"/>
      <c r="AC828" s="11" t="e">
        <f>IF(Data!#REF!="","",IF(ISNUMBER(MATCH(Data!#REF!,Data_Val!$A$2:$A$3,0)),0,1))</f>
        <v>#REF!</v>
      </c>
      <c r="AD828" s="11" t="e">
        <f ca="1">IF(Data!#REF!="","",IF(ISNUMBER(Data!#REF!),IF(AND(Data!#REF!&gt;(TODAY()-(Data_Val!$L$3*365.25)),Data!#REF!&lt;=(TODAY()-(Data_Val!$L$2*365.25))),0,1),1))</f>
        <v>#REF!</v>
      </c>
      <c r="AE828" s="11" t="e">
        <f>IF(Data!#REF!="","",IF(Data!$G828="",1,IF(ISNUMBER(MATCH(Data!#REF!,Data_Val!$D$2:$D$10,0)),0,1)))</f>
        <v>#REF!</v>
      </c>
      <c r="AF828" s="12"/>
      <c r="AG828" s="12" t="e">
        <f>IF(Data!#REF!="","",IF(ISNUMBER(MATCH(Data!#REF!,Data_Val!$A$2:$A$3,0)),0,1))</f>
        <v>#REF!</v>
      </c>
      <c r="AH828" s="26" t="e">
        <f ca="1">IF(Data!#REF!="","",IF(ISNUMBER(Data!#REF!),IF(AND(Data!#REF!&gt;(TODAY()-(Data_Val!$L$3*365.25)),Data!#REF!&lt;=(TODAY()-(Data_Val!$L$2*365.25))),0,1),1))</f>
        <v>#REF!</v>
      </c>
      <c r="AI828" s="12" t="e">
        <f>IF(Data!#REF!="","",IF(Data!$G828="",1,IF(ISNUMBER(MATCH(Data!#REF!,Data_Val!$D$2:$D$10,0)),0,1)))</f>
        <v>#REF!</v>
      </c>
      <c r="AJ828" s="17"/>
      <c r="AK828" s="17" t="e">
        <f>IF(Data!#REF!="","",IF(ISNUMBER(MATCH(Data!#REF!,Data_Val!$A$2:$A$3,0)),0,1))</f>
        <v>#REF!</v>
      </c>
      <c r="AL828" s="25" t="e">
        <f ca="1">IF(Data!#REF!="","",IF(ISNUMBER(Data!#REF!),IF(AND(Data!#REF!&gt;(TODAY()-(Data_Val!$L$3*365.25)),Data!#REF!&lt;=(TODAY()-(Data_Val!$L$2*365.25))),0,1),1))</f>
        <v>#REF!</v>
      </c>
      <c r="AM828" s="17" t="e">
        <f>IF(Data!#REF!="","",IF(Data!$G828="",1,IF(ISNUMBER(MATCH(Data!#REF!,Data_Val!$D$2:$D$10,0)),0,1)))</f>
        <v>#REF!</v>
      </c>
      <c r="AN828" s="13"/>
      <c r="AO828" s="28" t="e">
        <f ca="1">IF(Data!#REF!="","",IF(ISNUMBER(Data!#REF!),IF(AND(Data!#REF!&gt;(TODAY()-(Data_Val!$I$3*365.25)),Data!#REF!&lt;=(TODAY()-(Data_Val!$I$2*365.25))),0,1),1))</f>
        <v>#REF!</v>
      </c>
      <c r="AP828" s="13" t="e">
        <f>IF(Data!#REF!="","",IF(Data!$G828="",1,IF(ISNUMBER(MATCH(Data!#REF!,Data_Val!$D$2:$D$10,0)),0,1)))</f>
        <v>#REF!</v>
      </c>
      <c r="AQ828" s="17"/>
      <c r="AR828" s="30" t="e">
        <f ca="1">IF(Data!#REF!="","",IF(ISNUMBER(Data!#REF!),IF(AND(Data!#REF!&gt;(TODAY()-(Data_Val!$I$3*365.25)),Data!#REF!&lt;=(TODAY()-(Data_Val!$I$2*365.25))),0,1),1))</f>
        <v>#REF!</v>
      </c>
      <c r="AS828" s="31" t="e">
        <f>IF(Data!#REF!="","",IF(Data!$G828="",1,IF(ISNUMBER(MATCH(Data!#REF!,Data_Val!$D$2:$D$10,0)),0,1)))</f>
        <v>#REF!</v>
      </c>
      <c r="AT828" s="11"/>
      <c r="AU828" s="11" t="e">
        <f ca="1">IF(Data!#REF!="","",IF(ISNUMBER(Data!#REF!),IF(AND(Data!#REF!&gt;(TODAY()-(Data_Val!$I$3*365.25)),Data!#REF!&lt;=(TODAY()-(Data_Val!$I$2*365.25))),0,1),1))</f>
        <v>#REF!</v>
      </c>
      <c r="AV828" s="11" t="e">
        <f>IF(Data!#REF!="","",IF(Data!$G828="",1,IF(ISNUMBER(MATCH(Data!#REF!,Data_Val!$D$2:$D$10,0)),0,1)))</f>
        <v>#REF!</v>
      </c>
      <c r="AW828" s="12"/>
      <c r="AX828" s="26" t="e">
        <f ca="1">IF(Data!#REF!="","",IF(ISNUMBER(Data!#REF!),IF(AND(Data!#REF!&gt;(TODAY()-(Data_Val!$I$3*365.25)),Data!#REF!&lt;=(TODAY()-(Data_Val!$I$2*365.25))),0,1),1))</f>
        <v>#REF!</v>
      </c>
      <c r="AY828" s="12" t="e">
        <f>IF(Data!#REF!="","",IF(Data!$G828="",1,IF(ISNUMBER(MATCH(Data!#REF!,Data_Val!$D$2:$D$10,0)),0,1)))</f>
        <v>#REF!</v>
      </c>
      <c r="AZ828" s="11"/>
      <c r="BA828" s="19" t="e">
        <f ca="1">IF(Data!#REF!="","",IF(ISNUMBER(Data!#REF!),IF(AND(Data!#REF!&gt;(TODAY()-(Data_Val!$M$3*365.25)),Data!#REF!&lt;=(TODAY()-(Data_Val!$M$2*365.25))),0,1),1))</f>
        <v>#REF!</v>
      </c>
      <c r="BB828" s="11" t="e">
        <f>IF(Data!#REF!="","",IF(Data!$G828="",1,IF(ISNUMBER(MATCH(Data!#REF!,Data_Val!$D$2:$D$10,0)),0,1)))</f>
        <v>#REF!</v>
      </c>
      <c r="BC828" s="12"/>
      <c r="BD828" s="20" t="e">
        <f ca="1">IF(Data!#REF!="","",IF(ISNUMBER(Data!#REF!),IF(AND(Data!#REF!&gt;(TODAY()-(Data_Val!$M$3*365.25)),Data!#REF!&lt;=(TODAY()-(Data_Val!$M$2*365.25))),0,1),1))</f>
        <v>#REF!</v>
      </c>
      <c r="BE828" s="12" t="e">
        <f>IF(Data!#REF!="","",IF(Data!$G828="",1,IF(ISNUMBER(MATCH(Data!#REF!,Data_Val!$D$2:$D$10,0)),0,1)))</f>
        <v>#REF!</v>
      </c>
      <c r="BF828" s="17"/>
      <c r="BG828" s="18" t="e">
        <f ca="1">IF(Data!#REF!="","",IF(ISNUMBER(Data!#REF!),IF(AND(Data!#REF!&gt;(TODAY()-(Data_Val!$M$3*365.25)),Data!#REF!&lt;=(TODAY()-(Data_Val!$M$2*365.25))),0,1),1))</f>
        <v>#REF!</v>
      </c>
      <c r="BH828" s="29" t="e">
        <f>IF(Data!#REF!="","",IF(Data!$G828="",1,IF(ISNUMBER(MATCH(Data!#REF!,Data_Val!$D$2:$D$10,0)),0,1)))</f>
        <v>#REF!</v>
      </c>
      <c r="BI828" s="13"/>
      <c r="BJ828" s="21" t="e">
        <f ca="1">IF(Data!#REF!="","",IF(ISNUMBER(Data!#REF!),IF(AND(Data!#REF!&gt;(TODAY()-(Data_Val!$M$3*365.25)),Data!#REF!&lt;=(TODAY()-(Data_Val!$M$2*365.25))),0,1),1))</f>
        <v>#REF!</v>
      </c>
      <c r="BK828" s="13" t="e">
        <f>IF(Data!#REF!="","",IF(Data!$G828="",1,IF(ISNUMBER(MATCH(Data!#REF!,Data_Val!$D$2:$D$10,0)),0,1)))</f>
        <v>#REF!</v>
      </c>
    </row>
    <row r="829" spans="1:63" x14ac:dyDescent="0.25">
      <c r="A829" s="9" t="str">
        <f>IF(Data!B829="","",IF(COUNTIFS(Data!A$1:'Data'!A829,Data!A829)&lt;=1,0,1))</f>
        <v/>
      </c>
      <c r="B829" s="9"/>
      <c r="C829" s="23" t="str">
        <f>IF(Data!C829="","",(IF(ISNUMBER(MATCH("*@*.?*",Data!C829,0)),0,1)+IF(COUNTIFS(Data!C$1:'Data'!C829,Data!C829)&gt;1,1,0)))</f>
        <v/>
      </c>
      <c r="D829" s="9" t="str">
        <f>IF(Data!B829="","",IF(ISNUMBER(Data!D829),IF(AND(Data!D829&gt;999999999,Data!D829&lt;=9999999999),IF(COUNTIFS(Data!D$1:'Data'!D829,Data!D829)&lt;=1,0,1),1),1))</f>
        <v/>
      </c>
      <c r="E829" s="9" t="str">
        <f>IF(Data!B829="","",IF(ISNUMBER(MATCH(Data!E829,Data_Val!$A$2:$A$3,0)),0,1))</f>
        <v/>
      </c>
      <c r="F829" s="9" t="str">
        <f ca="1">IF(Data!B829="","",IF(ISNUMBER(Data!F829),IF(AND(Data!F829&gt;(TODAY()-(Data_Val!$H$3*365.25)),Data!F829&lt;=(TODAY()-(Data_Val!$H$2*365.25))),0,1),1))</f>
        <v/>
      </c>
      <c r="G829" s="15" t="str">
        <f>IF(Data!B829="","",IF(AND(Data!G829="",Data!H829&lt;&gt;""),1,IF(Data!#REF!&lt;&gt;"",0,IF(ISNUMBER(MATCH(Data!G829,Data_Val!$C$2:$C$5,0)),0,1))))</f>
        <v/>
      </c>
      <c r="H829" s="15" t="str">
        <f>IF(Data!B829="","",IF(AND(Data!G829&lt;&gt;"",Data!H829=""),1,IF(Data!#REF!&lt;&gt;"",0,IF(Data!G829="",1,IF(ISNUMBER(MATCH(Data!H829,Data_Val!$D$2:$D$35,0)),0,1)))))</f>
        <v/>
      </c>
      <c r="I829" s="15" t="str">
        <f>IF(Data!B829="","",IF(Data!G829&lt;&gt;"",0,IF(ISNUMBER(MATCH(Data!#REF!,Data_Val!$E$2:$E$12,0)),0,1)))</f>
        <v/>
      </c>
      <c r="J829" s="16" t="e">
        <f>IF(OR(Data!B829="",Data!#REF!=""),"",IF(Data!#REF!="",1,0))</f>
        <v>#REF!</v>
      </c>
      <c r="K829" s="16" t="e">
        <f>IF(OR(Data!B829="",Data!#REF!=""),"",IF(Data!#REF!="",1,0))</f>
        <v>#REF!</v>
      </c>
      <c r="L829" s="16" t="e">
        <f>IF(OR(Data!B829="",Data!#REF!=""),"",IF(ISNUMBER(Data!#REF!),IF(AND(Data!#REF!&gt;Data_Val!$G$2,Data!#REF!&lt;=Data_Val!$G$3),0,1),1))</f>
        <v>#REF!</v>
      </c>
      <c r="M829" s="9" t="e">
        <f>IF(OR(Data!B829="",Data!#REF!=""),"",IF(ISNUMBER(MATCH(Data!#REF!,Data_Val!$F$1:$F$38,0)),0,1))</f>
        <v>#REF!</v>
      </c>
      <c r="N829" s="9" t="e">
        <f>IF(OR(Data!B829="",Data!#REF!=""),"",IF(Data!#REF!="",1,0))</f>
        <v>#REF!</v>
      </c>
      <c r="O829" s="17" t="e">
        <f>IF(Data!#REF!="","",IF(Data!#REF!="",1,0))</f>
        <v>#REF!</v>
      </c>
      <c r="P829" s="17" t="e">
        <f>IF(Data!#REF!="","",IF(ISNUMBER(MATCH(Data!#REF!,Data_Val!$A$2:$A$3,0)),0,1))</f>
        <v>#REF!</v>
      </c>
      <c r="Q829" s="25" t="e">
        <f ca="1">IF(Data!#REF!="","",IF(ISNUMBER(Data!#REF!),IF(AND(Data!#REF!&gt;(TODAY()-(Data_Val!$J$3*365.25)),Data!#REF!&lt;=(TODAY()-(Data_Val!$J$2*365.25))),0,1),1))</f>
        <v>#REF!</v>
      </c>
      <c r="R829" s="17" t="e">
        <f>IF(Data!#REF!="","",IF(ISNUMBER(MATCH(Data!#REF!,Data_Val!$B$2:$B$15,0)),0,1))</f>
        <v>#REF!</v>
      </c>
      <c r="S829" s="11" t="str">
        <f>IF(Data!G829="","",IF(Data!G829=Data_Val!$C$2,IF(Data!M829="",0,1),0))</f>
        <v/>
      </c>
      <c r="T829" s="11" t="str">
        <f>IF(Data!M829="","",IF(ISNUMBER(MATCH(Data!N829,Data_Val!$A$2:$A$3,0)),0,1))</f>
        <v/>
      </c>
      <c r="U829" s="11" t="str">
        <f ca="1">IF(Data!M829="","",IF(ISNUMBER(Data!O829),IF(AND(Data!O829&gt;(TODAY()-(Data_Val!$K$3*365.25)),Data!O829&lt;=(TODAY()-(Data_Val!$K$2*365.25))),0,1),1))</f>
        <v/>
      </c>
      <c r="V829" s="12" t="str">
        <f>IF(Data!G829="","",IF(Data!G829=Data_Val!$C$2,IF(Data!P829="",0,1),0))</f>
        <v/>
      </c>
      <c r="W829" s="12" t="str">
        <f>IF(Data!P829="","",IF(ISNUMBER(MATCH(Data!Q829,Data_Val!$A$2:$A$3,0)),0,1))</f>
        <v/>
      </c>
      <c r="X829" s="26" t="str">
        <f ca="1">IF(Data!P829="","",IF(ISNUMBER(Data!R829),IF(AND(Data!R829&gt;(TODAY()-(Data_Val!$L$3*365.25)),Data!R829&lt;=(TODAY()-(Data_Val!$L$2*365.25))),0,1),1))</f>
        <v/>
      </c>
      <c r="Y829" s="13" t="str">
        <f>IF(Data!$G829="","",IF(Data!$G829=Data_Val!$C$2,IF(Data!S829="",0,1),0))</f>
        <v/>
      </c>
      <c r="Z829" s="13" t="str">
        <f>IF(Data!S829="","",IF(ISNUMBER(MATCH(Data!T829,Data_Val!$A$2:$A$3,0)),0,1))</f>
        <v/>
      </c>
      <c r="AA829" s="28" t="str">
        <f ca="1">IF(Data!S829="","",IF(ISNUMBER(Data!U829),IF(AND(Data!U829&gt;(TODAY()-(Data_Val!$L$3*365.25)),Data!U829&lt;=(TODAY()-(Data_Val!$L$2*365.25))),0,1),1))</f>
        <v/>
      </c>
      <c r="AB829" s="11"/>
      <c r="AC829" s="11" t="e">
        <f>IF(Data!#REF!="","",IF(ISNUMBER(MATCH(Data!#REF!,Data_Val!$A$2:$A$3,0)),0,1))</f>
        <v>#REF!</v>
      </c>
      <c r="AD829" s="11" t="e">
        <f ca="1">IF(Data!#REF!="","",IF(ISNUMBER(Data!#REF!),IF(AND(Data!#REF!&gt;(TODAY()-(Data_Val!$L$3*365.25)),Data!#REF!&lt;=(TODAY()-(Data_Val!$L$2*365.25))),0,1),1))</f>
        <v>#REF!</v>
      </c>
      <c r="AE829" s="11" t="e">
        <f>IF(Data!#REF!="","",IF(Data!$G829="",1,IF(ISNUMBER(MATCH(Data!#REF!,Data_Val!$D$2:$D$10,0)),0,1)))</f>
        <v>#REF!</v>
      </c>
      <c r="AF829" s="12"/>
      <c r="AG829" s="12" t="e">
        <f>IF(Data!#REF!="","",IF(ISNUMBER(MATCH(Data!#REF!,Data_Val!$A$2:$A$3,0)),0,1))</f>
        <v>#REF!</v>
      </c>
      <c r="AH829" s="26" t="e">
        <f ca="1">IF(Data!#REF!="","",IF(ISNUMBER(Data!#REF!),IF(AND(Data!#REF!&gt;(TODAY()-(Data_Val!$L$3*365.25)),Data!#REF!&lt;=(TODAY()-(Data_Val!$L$2*365.25))),0,1),1))</f>
        <v>#REF!</v>
      </c>
      <c r="AI829" s="12" t="e">
        <f>IF(Data!#REF!="","",IF(Data!$G829="",1,IF(ISNUMBER(MATCH(Data!#REF!,Data_Val!$D$2:$D$10,0)),0,1)))</f>
        <v>#REF!</v>
      </c>
      <c r="AJ829" s="17"/>
      <c r="AK829" s="17" t="e">
        <f>IF(Data!#REF!="","",IF(ISNUMBER(MATCH(Data!#REF!,Data_Val!$A$2:$A$3,0)),0,1))</f>
        <v>#REF!</v>
      </c>
      <c r="AL829" s="25" t="e">
        <f ca="1">IF(Data!#REF!="","",IF(ISNUMBER(Data!#REF!),IF(AND(Data!#REF!&gt;(TODAY()-(Data_Val!$L$3*365.25)),Data!#REF!&lt;=(TODAY()-(Data_Val!$L$2*365.25))),0,1),1))</f>
        <v>#REF!</v>
      </c>
      <c r="AM829" s="17" t="e">
        <f>IF(Data!#REF!="","",IF(Data!$G829="",1,IF(ISNUMBER(MATCH(Data!#REF!,Data_Val!$D$2:$D$10,0)),0,1)))</f>
        <v>#REF!</v>
      </c>
      <c r="AN829" s="13"/>
      <c r="AO829" s="28" t="e">
        <f ca="1">IF(Data!#REF!="","",IF(ISNUMBER(Data!#REF!),IF(AND(Data!#REF!&gt;(TODAY()-(Data_Val!$I$3*365.25)),Data!#REF!&lt;=(TODAY()-(Data_Val!$I$2*365.25))),0,1),1))</f>
        <v>#REF!</v>
      </c>
      <c r="AP829" s="13" t="e">
        <f>IF(Data!#REF!="","",IF(Data!$G829="",1,IF(ISNUMBER(MATCH(Data!#REF!,Data_Val!$D$2:$D$10,0)),0,1)))</f>
        <v>#REF!</v>
      </c>
      <c r="AQ829" s="17"/>
      <c r="AR829" s="30" t="e">
        <f ca="1">IF(Data!#REF!="","",IF(ISNUMBER(Data!#REF!),IF(AND(Data!#REF!&gt;(TODAY()-(Data_Val!$I$3*365.25)),Data!#REF!&lt;=(TODAY()-(Data_Val!$I$2*365.25))),0,1),1))</f>
        <v>#REF!</v>
      </c>
      <c r="AS829" s="31" t="e">
        <f>IF(Data!#REF!="","",IF(Data!$G829="",1,IF(ISNUMBER(MATCH(Data!#REF!,Data_Val!$D$2:$D$10,0)),0,1)))</f>
        <v>#REF!</v>
      </c>
      <c r="AT829" s="11"/>
      <c r="AU829" s="11" t="e">
        <f ca="1">IF(Data!#REF!="","",IF(ISNUMBER(Data!#REF!),IF(AND(Data!#REF!&gt;(TODAY()-(Data_Val!$I$3*365.25)),Data!#REF!&lt;=(TODAY()-(Data_Val!$I$2*365.25))),0,1),1))</f>
        <v>#REF!</v>
      </c>
      <c r="AV829" s="11" t="e">
        <f>IF(Data!#REF!="","",IF(Data!$G829="",1,IF(ISNUMBER(MATCH(Data!#REF!,Data_Val!$D$2:$D$10,0)),0,1)))</f>
        <v>#REF!</v>
      </c>
      <c r="AW829" s="12"/>
      <c r="AX829" s="26" t="e">
        <f ca="1">IF(Data!#REF!="","",IF(ISNUMBER(Data!#REF!),IF(AND(Data!#REF!&gt;(TODAY()-(Data_Val!$I$3*365.25)),Data!#REF!&lt;=(TODAY()-(Data_Val!$I$2*365.25))),0,1),1))</f>
        <v>#REF!</v>
      </c>
      <c r="AY829" s="12" t="e">
        <f>IF(Data!#REF!="","",IF(Data!$G829="",1,IF(ISNUMBER(MATCH(Data!#REF!,Data_Val!$D$2:$D$10,0)),0,1)))</f>
        <v>#REF!</v>
      </c>
      <c r="AZ829" s="11"/>
      <c r="BA829" s="19" t="e">
        <f ca="1">IF(Data!#REF!="","",IF(ISNUMBER(Data!#REF!),IF(AND(Data!#REF!&gt;(TODAY()-(Data_Val!$M$3*365.25)),Data!#REF!&lt;=(TODAY()-(Data_Val!$M$2*365.25))),0,1),1))</f>
        <v>#REF!</v>
      </c>
      <c r="BB829" s="11" t="e">
        <f>IF(Data!#REF!="","",IF(Data!$G829="",1,IF(ISNUMBER(MATCH(Data!#REF!,Data_Val!$D$2:$D$10,0)),0,1)))</f>
        <v>#REF!</v>
      </c>
      <c r="BC829" s="12"/>
      <c r="BD829" s="20" t="e">
        <f ca="1">IF(Data!#REF!="","",IF(ISNUMBER(Data!#REF!),IF(AND(Data!#REF!&gt;(TODAY()-(Data_Val!$M$3*365.25)),Data!#REF!&lt;=(TODAY()-(Data_Val!$M$2*365.25))),0,1),1))</f>
        <v>#REF!</v>
      </c>
      <c r="BE829" s="12" t="e">
        <f>IF(Data!#REF!="","",IF(Data!$G829="",1,IF(ISNUMBER(MATCH(Data!#REF!,Data_Val!$D$2:$D$10,0)),0,1)))</f>
        <v>#REF!</v>
      </c>
      <c r="BF829" s="17"/>
      <c r="BG829" s="18" t="e">
        <f ca="1">IF(Data!#REF!="","",IF(ISNUMBER(Data!#REF!),IF(AND(Data!#REF!&gt;(TODAY()-(Data_Val!$M$3*365.25)),Data!#REF!&lt;=(TODAY()-(Data_Val!$M$2*365.25))),0,1),1))</f>
        <v>#REF!</v>
      </c>
      <c r="BH829" s="29" t="e">
        <f>IF(Data!#REF!="","",IF(Data!$G829="",1,IF(ISNUMBER(MATCH(Data!#REF!,Data_Val!$D$2:$D$10,0)),0,1)))</f>
        <v>#REF!</v>
      </c>
      <c r="BI829" s="13"/>
      <c r="BJ829" s="21" t="e">
        <f ca="1">IF(Data!#REF!="","",IF(ISNUMBER(Data!#REF!),IF(AND(Data!#REF!&gt;(TODAY()-(Data_Val!$M$3*365.25)),Data!#REF!&lt;=(TODAY()-(Data_Val!$M$2*365.25))),0,1),1))</f>
        <v>#REF!</v>
      </c>
      <c r="BK829" s="13" t="e">
        <f>IF(Data!#REF!="","",IF(Data!$G829="",1,IF(ISNUMBER(MATCH(Data!#REF!,Data_Val!$D$2:$D$10,0)),0,1)))</f>
        <v>#REF!</v>
      </c>
    </row>
    <row r="830" spans="1:63" x14ac:dyDescent="0.25">
      <c r="A830" s="9" t="str">
        <f>IF(Data!B830="","",IF(COUNTIFS(Data!A$1:'Data'!A830,Data!A830)&lt;=1,0,1))</f>
        <v/>
      </c>
      <c r="B830" s="9"/>
      <c r="C830" s="23" t="str">
        <f>IF(Data!C830="","",(IF(ISNUMBER(MATCH("*@*.?*",Data!C830,0)),0,1)+IF(COUNTIFS(Data!C$1:'Data'!C830,Data!C830)&gt;1,1,0)))</f>
        <v/>
      </c>
      <c r="D830" s="9" t="str">
        <f>IF(Data!B830="","",IF(ISNUMBER(Data!D830),IF(AND(Data!D830&gt;999999999,Data!D830&lt;=9999999999),IF(COUNTIFS(Data!D$1:'Data'!D830,Data!D830)&lt;=1,0,1),1),1))</f>
        <v/>
      </c>
      <c r="E830" s="9" t="str">
        <f>IF(Data!B830="","",IF(ISNUMBER(MATCH(Data!E830,Data_Val!$A$2:$A$3,0)),0,1))</f>
        <v/>
      </c>
      <c r="F830" s="9" t="str">
        <f ca="1">IF(Data!B830="","",IF(ISNUMBER(Data!F830),IF(AND(Data!F830&gt;(TODAY()-(Data_Val!$H$3*365.25)),Data!F830&lt;=(TODAY()-(Data_Val!$H$2*365.25))),0,1),1))</f>
        <v/>
      </c>
      <c r="G830" s="15" t="str">
        <f>IF(Data!B830="","",IF(AND(Data!G830="",Data!H830&lt;&gt;""),1,IF(Data!#REF!&lt;&gt;"",0,IF(ISNUMBER(MATCH(Data!G830,Data_Val!$C$2:$C$5,0)),0,1))))</f>
        <v/>
      </c>
      <c r="H830" s="15" t="str">
        <f>IF(Data!B830="","",IF(AND(Data!G830&lt;&gt;"",Data!H830=""),1,IF(Data!#REF!&lt;&gt;"",0,IF(Data!G830="",1,IF(ISNUMBER(MATCH(Data!H830,Data_Val!$D$2:$D$35,0)),0,1)))))</f>
        <v/>
      </c>
      <c r="I830" s="15" t="str">
        <f>IF(Data!B830="","",IF(Data!G830&lt;&gt;"",0,IF(ISNUMBER(MATCH(Data!#REF!,Data_Val!$E$2:$E$12,0)),0,1)))</f>
        <v/>
      </c>
      <c r="J830" s="16" t="e">
        <f>IF(OR(Data!B830="",Data!#REF!=""),"",IF(Data!#REF!="",1,0))</f>
        <v>#REF!</v>
      </c>
      <c r="K830" s="16" t="e">
        <f>IF(OR(Data!B830="",Data!#REF!=""),"",IF(Data!#REF!="",1,0))</f>
        <v>#REF!</v>
      </c>
      <c r="L830" s="16" t="e">
        <f>IF(OR(Data!B830="",Data!#REF!=""),"",IF(ISNUMBER(Data!#REF!),IF(AND(Data!#REF!&gt;Data_Val!$G$2,Data!#REF!&lt;=Data_Val!$G$3),0,1),1))</f>
        <v>#REF!</v>
      </c>
      <c r="M830" s="9" t="e">
        <f>IF(OR(Data!B830="",Data!#REF!=""),"",IF(ISNUMBER(MATCH(Data!#REF!,Data_Val!$F$1:$F$38,0)),0,1))</f>
        <v>#REF!</v>
      </c>
      <c r="N830" s="9" t="e">
        <f>IF(OR(Data!B830="",Data!#REF!=""),"",IF(Data!#REF!="",1,0))</f>
        <v>#REF!</v>
      </c>
      <c r="O830" s="17" t="e">
        <f>IF(Data!#REF!="","",IF(Data!#REF!="",1,0))</f>
        <v>#REF!</v>
      </c>
      <c r="P830" s="17" t="e">
        <f>IF(Data!#REF!="","",IF(ISNUMBER(MATCH(Data!#REF!,Data_Val!$A$2:$A$3,0)),0,1))</f>
        <v>#REF!</v>
      </c>
      <c r="Q830" s="25" t="e">
        <f ca="1">IF(Data!#REF!="","",IF(ISNUMBER(Data!#REF!),IF(AND(Data!#REF!&gt;(TODAY()-(Data_Val!$J$3*365.25)),Data!#REF!&lt;=(TODAY()-(Data_Val!$J$2*365.25))),0,1),1))</f>
        <v>#REF!</v>
      </c>
      <c r="R830" s="17" t="e">
        <f>IF(Data!#REF!="","",IF(ISNUMBER(MATCH(Data!#REF!,Data_Val!$B$2:$B$15,0)),0,1))</f>
        <v>#REF!</v>
      </c>
      <c r="S830" s="11" t="str">
        <f>IF(Data!G830="","",IF(Data!G830=Data_Val!$C$2,IF(Data!M830="",0,1),0))</f>
        <v/>
      </c>
      <c r="T830" s="11" t="str">
        <f>IF(Data!M830="","",IF(ISNUMBER(MATCH(Data!N830,Data_Val!$A$2:$A$3,0)),0,1))</f>
        <v/>
      </c>
      <c r="U830" s="11" t="str">
        <f ca="1">IF(Data!M830="","",IF(ISNUMBER(Data!O830),IF(AND(Data!O830&gt;(TODAY()-(Data_Val!$K$3*365.25)),Data!O830&lt;=(TODAY()-(Data_Val!$K$2*365.25))),0,1),1))</f>
        <v/>
      </c>
      <c r="V830" s="12" t="str">
        <f>IF(Data!G830="","",IF(Data!G830=Data_Val!$C$2,IF(Data!P830="",0,1),0))</f>
        <v/>
      </c>
      <c r="W830" s="12" t="str">
        <f>IF(Data!P830="","",IF(ISNUMBER(MATCH(Data!Q830,Data_Val!$A$2:$A$3,0)),0,1))</f>
        <v/>
      </c>
      <c r="X830" s="26" t="str">
        <f ca="1">IF(Data!P830="","",IF(ISNUMBER(Data!R830),IF(AND(Data!R830&gt;(TODAY()-(Data_Val!$L$3*365.25)),Data!R830&lt;=(TODAY()-(Data_Val!$L$2*365.25))),0,1),1))</f>
        <v/>
      </c>
      <c r="Y830" s="13" t="str">
        <f>IF(Data!$G830="","",IF(Data!$G830=Data_Val!$C$2,IF(Data!S830="",0,1),0))</f>
        <v/>
      </c>
      <c r="Z830" s="13" t="str">
        <f>IF(Data!S830="","",IF(ISNUMBER(MATCH(Data!T830,Data_Val!$A$2:$A$3,0)),0,1))</f>
        <v/>
      </c>
      <c r="AA830" s="28" t="str">
        <f ca="1">IF(Data!S830="","",IF(ISNUMBER(Data!U830),IF(AND(Data!U830&gt;(TODAY()-(Data_Val!$L$3*365.25)),Data!U830&lt;=(TODAY()-(Data_Val!$L$2*365.25))),0,1),1))</f>
        <v/>
      </c>
      <c r="AB830" s="11"/>
      <c r="AC830" s="11" t="e">
        <f>IF(Data!#REF!="","",IF(ISNUMBER(MATCH(Data!#REF!,Data_Val!$A$2:$A$3,0)),0,1))</f>
        <v>#REF!</v>
      </c>
      <c r="AD830" s="11" t="e">
        <f ca="1">IF(Data!#REF!="","",IF(ISNUMBER(Data!#REF!),IF(AND(Data!#REF!&gt;(TODAY()-(Data_Val!$L$3*365.25)),Data!#REF!&lt;=(TODAY()-(Data_Val!$L$2*365.25))),0,1),1))</f>
        <v>#REF!</v>
      </c>
      <c r="AE830" s="11" t="e">
        <f>IF(Data!#REF!="","",IF(Data!$G830="",1,IF(ISNUMBER(MATCH(Data!#REF!,Data_Val!$D$2:$D$10,0)),0,1)))</f>
        <v>#REF!</v>
      </c>
      <c r="AF830" s="12"/>
      <c r="AG830" s="12" t="e">
        <f>IF(Data!#REF!="","",IF(ISNUMBER(MATCH(Data!#REF!,Data_Val!$A$2:$A$3,0)),0,1))</f>
        <v>#REF!</v>
      </c>
      <c r="AH830" s="26" t="e">
        <f ca="1">IF(Data!#REF!="","",IF(ISNUMBER(Data!#REF!),IF(AND(Data!#REF!&gt;(TODAY()-(Data_Val!$L$3*365.25)),Data!#REF!&lt;=(TODAY()-(Data_Val!$L$2*365.25))),0,1),1))</f>
        <v>#REF!</v>
      </c>
      <c r="AI830" s="12" t="e">
        <f>IF(Data!#REF!="","",IF(Data!$G830="",1,IF(ISNUMBER(MATCH(Data!#REF!,Data_Val!$D$2:$D$10,0)),0,1)))</f>
        <v>#REF!</v>
      </c>
      <c r="AJ830" s="17"/>
      <c r="AK830" s="17" t="e">
        <f>IF(Data!#REF!="","",IF(ISNUMBER(MATCH(Data!#REF!,Data_Val!$A$2:$A$3,0)),0,1))</f>
        <v>#REF!</v>
      </c>
      <c r="AL830" s="25" t="e">
        <f ca="1">IF(Data!#REF!="","",IF(ISNUMBER(Data!#REF!),IF(AND(Data!#REF!&gt;(TODAY()-(Data_Val!$L$3*365.25)),Data!#REF!&lt;=(TODAY()-(Data_Val!$L$2*365.25))),0,1),1))</f>
        <v>#REF!</v>
      </c>
      <c r="AM830" s="17" t="e">
        <f>IF(Data!#REF!="","",IF(Data!$G830="",1,IF(ISNUMBER(MATCH(Data!#REF!,Data_Val!$D$2:$D$10,0)),0,1)))</f>
        <v>#REF!</v>
      </c>
      <c r="AN830" s="13"/>
      <c r="AO830" s="28" t="e">
        <f ca="1">IF(Data!#REF!="","",IF(ISNUMBER(Data!#REF!),IF(AND(Data!#REF!&gt;(TODAY()-(Data_Val!$I$3*365.25)),Data!#REF!&lt;=(TODAY()-(Data_Val!$I$2*365.25))),0,1),1))</f>
        <v>#REF!</v>
      </c>
      <c r="AP830" s="13" t="e">
        <f>IF(Data!#REF!="","",IF(Data!$G830="",1,IF(ISNUMBER(MATCH(Data!#REF!,Data_Val!$D$2:$D$10,0)),0,1)))</f>
        <v>#REF!</v>
      </c>
      <c r="AQ830" s="17"/>
      <c r="AR830" s="30" t="e">
        <f ca="1">IF(Data!#REF!="","",IF(ISNUMBER(Data!#REF!),IF(AND(Data!#REF!&gt;(TODAY()-(Data_Val!$I$3*365.25)),Data!#REF!&lt;=(TODAY()-(Data_Val!$I$2*365.25))),0,1),1))</f>
        <v>#REF!</v>
      </c>
      <c r="AS830" s="31" t="e">
        <f>IF(Data!#REF!="","",IF(Data!$G830="",1,IF(ISNUMBER(MATCH(Data!#REF!,Data_Val!$D$2:$D$10,0)),0,1)))</f>
        <v>#REF!</v>
      </c>
      <c r="AT830" s="11"/>
      <c r="AU830" s="11" t="e">
        <f ca="1">IF(Data!#REF!="","",IF(ISNUMBER(Data!#REF!),IF(AND(Data!#REF!&gt;(TODAY()-(Data_Val!$I$3*365.25)),Data!#REF!&lt;=(TODAY()-(Data_Val!$I$2*365.25))),0,1),1))</f>
        <v>#REF!</v>
      </c>
      <c r="AV830" s="11" t="e">
        <f>IF(Data!#REF!="","",IF(Data!$G830="",1,IF(ISNUMBER(MATCH(Data!#REF!,Data_Val!$D$2:$D$10,0)),0,1)))</f>
        <v>#REF!</v>
      </c>
      <c r="AW830" s="12"/>
      <c r="AX830" s="26" t="e">
        <f ca="1">IF(Data!#REF!="","",IF(ISNUMBER(Data!#REF!),IF(AND(Data!#REF!&gt;(TODAY()-(Data_Val!$I$3*365.25)),Data!#REF!&lt;=(TODAY()-(Data_Val!$I$2*365.25))),0,1),1))</f>
        <v>#REF!</v>
      </c>
      <c r="AY830" s="12" t="e">
        <f>IF(Data!#REF!="","",IF(Data!$G830="",1,IF(ISNUMBER(MATCH(Data!#REF!,Data_Val!$D$2:$D$10,0)),0,1)))</f>
        <v>#REF!</v>
      </c>
      <c r="AZ830" s="11"/>
      <c r="BA830" s="19" t="e">
        <f ca="1">IF(Data!#REF!="","",IF(ISNUMBER(Data!#REF!),IF(AND(Data!#REF!&gt;(TODAY()-(Data_Val!$M$3*365.25)),Data!#REF!&lt;=(TODAY()-(Data_Val!$M$2*365.25))),0,1),1))</f>
        <v>#REF!</v>
      </c>
      <c r="BB830" s="11" t="e">
        <f>IF(Data!#REF!="","",IF(Data!$G830="",1,IF(ISNUMBER(MATCH(Data!#REF!,Data_Val!$D$2:$D$10,0)),0,1)))</f>
        <v>#REF!</v>
      </c>
      <c r="BC830" s="12"/>
      <c r="BD830" s="20" t="e">
        <f ca="1">IF(Data!#REF!="","",IF(ISNUMBER(Data!#REF!),IF(AND(Data!#REF!&gt;(TODAY()-(Data_Val!$M$3*365.25)),Data!#REF!&lt;=(TODAY()-(Data_Val!$M$2*365.25))),0,1),1))</f>
        <v>#REF!</v>
      </c>
      <c r="BE830" s="12" t="e">
        <f>IF(Data!#REF!="","",IF(Data!$G830="",1,IF(ISNUMBER(MATCH(Data!#REF!,Data_Val!$D$2:$D$10,0)),0,1)))</f>
        <v>#REF!</v>
      </c>
      <c r="BF830" s="17"/>
      <c r="BG830" s="18" t="e">
        <f ca="1">IF(Data!#REF!="","",IF(ISNUMBER(Data!#REF!),IF(AND(Data!#REF!&gt;(TODAY()-(Data_Val!$M$3*365.25)),Data!#REF!&lt;=(TODAY()-(Data_Val!$M$2*365.25))),0,1),1))</f>
        <v>#REF!</v>
      </c>
      <c r="BH830" s="29" t="e">
        <f>IF(Data!#REF!="","",IF(Data!$G830="",1,IF(ISNUMBER(MATCH(Data!#REF!,Data_Val!$D$2:$D$10,0)),0,1)))</f>
        <v>#REF!</v>
      </c>
      <c r="BI830" s="13"/>
      <c r="BJ830" s="21" t="e">
        <f ca="1">IF(Data!#REF!="","",IF(ISNUMBER(Data!#REF!),IF(AND(Data!#REF!&gt;(TODAY()-(Data_Val!$M$3*365.25)),Data!#REF!&lt;=(TODAY()-(Data_Val!$M$2*365.25))),0,1),1))</f>
        <v>#REF!</v>
      </c>
      <c r="BK830" s="13" t="e">
        <f>IF(Data!#REF!="","",IF(Data!$G830="",1,IF(ISNUMBER(MATCH(Data!#REF!,Data_Val!$D$2:$D$10,0)),0,1)))</f>
        <v>#REF!</v>
      </c>
    </row>
    <row r="831" spans="1:63" x14ac:dyDescent="0.25">
      <c r="A831" s="9" t="str">
        <f>IF(Data!B831="","",IF(COUNTIFS(Data!A$1:'Data'!A831,Data!A831)&lt;=1,0,1))</f>
        <v/>
      </c>
      <c r="B831" s="9"/>
      <c r="C831" s="23" t="str">
        <f>IF(Data!C831="","",(IF(ISNUMBER(MATCH("*@*.?*",Data!C831,0)),0,1)+IF(COUNTIFS(Data!C$1:'Data'!C831,Data!C831)&gt;1,1,0)))</f>
        <v/>
      </c>
      <c r="D831" s="9" t="str">
        <f>IF(Data!B831="","",IF(ISNUMBER(Data!D831),IF(AND(Data!D831&gt;999999999,Data!D831&lt;=9999999999),IF(COUNTIFS(Data!D$1:'Data'!D831,Data!D831)&lt;=1,0,1),1),1))</f>
        <v/>
      </c>
      <c r="E831" s="9" t="str">
        <f>IF(Data!B831="","",IF(ISNUMBER(MATCH(Data!E831,Data_Val!$A$2:$A$3,0)),0,1))</f>
        <v/>
      </c>
      <c r="F831" s="9" t="str">
        <f ca="1">IF(Data!B831="","",IF(ISNUMBER(Data!F831),IF(AND(Data!F831&gt;(TODAY()-(Data_Val!$H$3*365.25)),Data!F831&lt;=(TODAY()-(Data_Val!$H$2*365.25))),0,1),1))</f>
        <v/>
      </c>
      <c r="G831" s="15" t="str">
        <f>IF(Data!B831="","",IF(AND(Data!G831="",Data!H831&lt;&gt;""),1,IF(Data!#REF!&lt;&gt;"",0,IF(ISNUMBER(MATCH(Data!G831,Data_Val!$C$2:$C$5,0)),0,1))))</f>
        <v/>
      </c>
      <c r="H831" s="15" t="str">
        <f>IF(Data!B831="","",IF(AND(Data!G831&lt;&gt;"",Data!H831=""),1,IF(Data!#REF!&lt;&gt;"",0,IF(Data!G831="",1,IF(ISNUMBER(MATCH(Data!H831,Data_Val!$D$2:$D$35,0)),0,1)))))</f>
        <v/>
      </c>
      <c r="I831" s="15" t="str">
        <f>IF(Data!B831="","",IF(Data!G831&lt;&gt;"",0,IF(ISNUMBER(MATCH(Data!#REF!,Data_Val!$E$2:$E$12,0)),0,1)))</f>
        <v/>
      </c>
      <c r="J831" s="16" t="e">
        <f>IF(OR(Data!B831="",Data!#REF!=""),"",IF(Data!#REF!="",1,0))</f>
        <v>#REF!</v>
      </c>
      <c r="K831" s="16" t="e">
        <f>IF(OR(Data!B831="",Data!#REF!=""),"",IF(Data!#REF!="",1,0))</f>
        <v>#REF!</v>
      </c>
      <c r="L831" s="16" t="e">
        <f>IF(OR(Data!B831="",Data!#REF!=""),"",IF(ISNUMBER(Data!#REF!),IF(AND(Data!#REF!&gt;Data_Val!$G$2,Data!#REF!&lt;=Data_Val!$G$3),0,1),1))</f>
        <v>#REF!</v>
      </c>
      <c r="M831" s="9" t="e">
        <f>IF(OR(Data!B831="",Data!#REF!=""),"",IF(ISNUMBER(MATCH(Data!#REF!,Data_Val!$F$1:$F$38,0)),0,1))</f>
        <v>#REF!</v>
      </c>
      <c r="N831" s="9" t="e">
        <f>IF(OR(Data!B831="",Data!#REF!=""),"",IF(Data!#REF!="",1,0))</f>
        <v>#REF!</v>
      </c>
      <c r="O831" s="17" t="e">
        <f>IF(Data!#REF!="","",IF(Data!#REF!="",1,0))</f>
        <v>#REF!</v>
      </c>
      <c r="P831" s="17" t="e">
        <f>IF(Data!#REF!="","",IF(ISNUMBER(MATCH(Data!#REF!,Data_Val!$A$2:$A$3,0)),0,1))</f>
        <v>#REF!</v>
      </c>
      <c r="Q831" s="25" t="e">
        <f ca="1">IF(Data!#REF!="","",IF(ISNUMBER(Data!#REF!),IF(AND(Data!#REF!&gt;(TODAY()-(Data_Val!$J$3*365.25)),Data!#REF!&lt;=(TODAY()-(Data_Val!$J$2*365.25))),0,1),1))</f>
        <v>#REF!</v>
      </c>
      <c r="R831" s="17" t="e">
        <f>IF(Data!#REF!="","",IF(ISNUMBER(MATCH(Data!#REF!,Data_Val!$B$2:$B$15,0)),0,1))</f>
        <v>#REF!</v>
      </c>
      <c r="S831" s="11" t="str">
        <f>IF(Data!G831="","",IF(Data!G831=Data_Val!$C$2,IF(Data!M831="",0,1),0))</f>
        <v/>
      </c>
      <c r="T831" s="11" t="str">
        <f>IF(Data!M831="","",IF(ISNUMBER(MATCH(Data!N831,Data_Val!$A$2:$A$3,0)),0,1))</f>
        <v/>
      </c>
      <c r="U831" s="11" t="str">
        <f ca="1">IF(Data!M831="","",IF(ISNUMBER(Data!O831),IF(AND(Data!O831&gt;(TODAY()-(Data_Val!$K$3*365.25)),Data!O831&lt;=(TODAY()-(Data_Val!$K$2*365.25))),0,1),1))</f>
        <v/>
      </c>
      <c r="V831" s="12" t="str">
        <f>IF(Data!G831="","",IF(Data!G831=Data_Val!$C$2,IF(Data!P831="",0,1),0))</f>
        <v/>
      </c>
      <c r="W831" s="12" t="str">
        <f>IF(Data!P831="","",IF(ISNUMBER(MATCH(Data!Q831,Data_Val!$A$2:$A$3,0)),0,1))</f>
        <v/>
      </c>
      <c r="X831" s="26" t="str">
        <f ca="1">IF(Data!P831="","",IF(ISNUMBER(Data!R831),IF(AND(Data!R831&gt;(TODAY()-(Data_Val!$L$3*365.25)),Data!R831&lt;=(TODAY()-(Data_Val!$L$2*365.25))),0,1),1))</f>
        <v/>
      </c>
      <c r="Y831" s="13" t="str">
        <f>IF(Data!$G831="","",IF(Data!$G831=Data_Val!$C$2,IF(Data!S831="",0,1),0))</f>
        <v/>
      </c>
      <c r="Z831" s="13" t="str">
        <f>IF(Data!S831="","",IF(ISNUMBER(MATCH(Data!T831,Data_Val!$A$2:$A$3,0)),0,1))</f>
        <v/>
      </c>
      <c r="AA831" s="28" t="str">
        <f ca="1">IF(Data!S831="","",IF(ISNUMBER(Data!U831),IF(AND(Data!U831&gt;(TODAY()-(Data_Val!$L$3*365.25)),Data!U831&lt;=(TODAY()-(Data_Val!$L$2*365.25))),0,1),1))</f>
        <v/>
      </c>
      <c r="AB831" s="11"/>
      <c r="AC831" s="11" t="e">
        <f>IF(Data!#REF!="","",IF(ISNUMBER(MATCH(Data!#REF!,Data_Val!$A$2:$A$3,0)),0,1))</f>
        <v>#REF!</v>
      </c>
      <c r="AD831" s="11" t="e">
        <f ca="1">IF(Data!#REF!="","",IF(ISNUMBER(Data!#REF!),IF(AND(Data!#REF!&gt;(TODAY()-(Data_Val!$L$3*365.25)),Data!#REF!&lt;=(TODAY()-(Data_Val!$L$2*365.25))),0,1),1))</f>
        <v>#REF!</v>
      </c>
      <c r="AE831" s="11" t="e">
        <f>IF(Data!#REF!="","",IF(Data!$G831="",1,IF(ISNUMBER(MATCH(Data!#REF!,Data_Val!$D$2:$D$10,0)),0,1)))</f>
        <v>#REF!</v>
      </c>
      <c r="AF831" s="12"/>
      <c r="AG831" s="12" t="e">
        <f>IF(Data!#REF!="","",IF(ISNUMBER(MATCH(Data!#REF!,Data_Val!$A$2:$A$3,0)),0,1))</f>
        <v>#REF!</v>
      </c>
      <c r="AH831" s="26" t="e">
        <f ca="1">IF(Data!#REF!="","",IF(ISNUMBER(Data!#REF!),IF(AND(Data!#REF!&gt;(TODAY()-(Data_Val!$L$3*365.25)),Data!#REF!&lt;=(TODAY()-(Data_Val!$L$2*365.25))),0,1),1))</f>
        <v>#REF!</v>
      </c>
      <c r="AI831" s="12" t="e">
        <f>IF(Data!#REF!="","",IF(Data!$G831="",1,IF(ISNUMBER(MATCH(Data!#REF!,Data_Val!$D$2:$D$10,0)),0,1)))</f>
        <v>#REF!</v>
      </c>
      <c r="AJ831" s="17"/>
      <c r="AK831" s="17" t="e">
        <f>IF(Data!#REF!="","",IF(ISNUMBER(MATCH(Data!#REF!,Data_Val!$A$2:$A$3,0)),0,1))</f>
        <v>#REF!</v>
      </c>
      <c r="AL831" s="25" t="e">
        <f ca="1">IF(Data!#REF!="","",IF(ISNUMBER(Data!#REF!),IF(AND(Data!#REF!&gt;(TODAY()-(Data_Val!$L$3*365.25)),Data!#REF!&lt;=(TODAY()-(Data_Val!$L$2*365.25))),0,1),1))</f>
        <v>#REF!</v>
      </c>
      <c r="AM831" s="17" t="e">
        <f>IF(Data!#REF!="","",IF(Data!$G831="",1,IF(ISNUMBER(MATCH(Data!#REF!,Data_Val!$D$2:$D$10,0)),0,1)))</f>
        <v>#REF!</v>
      </c>
      <c r="AN831" s="13"/>
      <c r="AO831" s="28" t="e">
        <f ca="1">IF(Data!#REF!="","",IF(ISNUMBER(Data!#REF!),IF(AND(Data!#REF!&gt;(TODAY()-(Data_Val!$I$3*365.25)),Data!#REF!&lt;=(TODAY()-(Data_Val!$I$2*365.25))),0,1),1))</f>
        <v>#REF!</v>
      </c>
      <c r="AP831" s="13" t="e">
        <f>IF(Data!#REF!="","",IF(Data!$G831="",1,IF(ISNUMBER(MATCH(Data!#REF!,Data_Val!$D$2:$D$10,0)),0,1)))</f>
        <v>#REF!</v>
      </c>
      <c r="AQ831" s="17"/>
      <c r="AR831" s="30" t="e">
        <f ca="1">IF(Data!#REF!="","",IF(ISNUMBER(Data!#REF!),IF(AND(Data!#REF!&gt;(TODAY()-(Data_Val!$I$3*365.25)),Data!#REF!&lt;=(TODAY()-(Data_Val!$I$2*365.25))),0,1),1))</f>
        <v>#REF!</v>
      </c>
      <c r="AS831" s="31" t="e">
        <f>IF(Data!#REF!="","",IF(Data!$G831="",1,IF(ISNUMBER(MATCH(Data!#REF!,Data_Val!$D$2:$D$10,0)),0,1)))</f>
        <v>#REF!</v>
      </c>
      <c r="AT831" s="11"/>
      <c r="AU831" s="11" t="e">
        <f ca="1">IF(Data!#REF!="","",IF(ISNUMBER(Data!#REF!),IF(AND(Data!#REF!&gt;(TODAY()-(Data_Val!$I$3*365.25)),Data!#REF!&lt;=(TODAY()-(Data_Val!$I$2*365.25))),0,1),1))</f>
        <v>#REF!</v>
      </c>
      <c r="AV831" s="11" t="e">
        <f>IF(Data!#REF!="","",IF(Data!$G831="",1,IF(ISNUMBER(MATCH(Data!#REF!,Data_Val!$D$2:$D$10,0)),0,1)))</f>
        <v>#REF!</v>
      </c>
      <c r="AW831" s="12"/>
      <c r="AX831" s="26" t="e">
        <f ca="1">IF(Data!#REF!="","",IF(ISNUMBER(Data!#REF!),IF(AND(Data!#REF!&gt;(TODAY()-(Data_Val!$I$3*365.25)),Data!#REF!&lt;=(TODAY()-(Data_Val!$I$2*365.25))),0,1),1))</f>
        <v>#REF!</v>
      </c>
      <c r="AY831" s="12" t="e">
        <f>IF(Data!#REF!="","",IF(Data!$G831="",1,IF(ISNUMBER(MATCH(Data!#REF!,Data_Val!$D$2:$D$10,0)),0,1)))</f>
        <v>#REF!</v>
      </c>
      <c r="AZ831" s="11"/>
      <c r="BA831" s="19" t="e">
        <f ca="1">IF(Data!#REF!="","",IF(ISNUMBER(Data!#REF!),IF(AND(Data!#REF!&gt;(TODAY()-(Data_Val!$M$3*365.25)),Data!#REF!&lt;=(TODAY()-(Data_Val!$M$2*365.25))),0,1),1))</f>
        <v>#REF!</v>
      </c>
      <c r="BB831" s="11" t="e">
        <f>IF(Data!#REF!="","",IF(Data!$G831="",1,IF(ISNUMBER(MATCH(Data!#REF!,Data_Val!$D$2:$D$10,0)),0,1)))</f>
        <v>#REF!</v>
      </c>
      <c r="BC831" s="12"/>
      <c r="BD831" s="20" t="e">
        <f ca="1">IF(Data!#REF!="","",IF(ISNUMBER(Data!#REF!),IF(AND(Data!#REF!&gt;(TODAY()-(Data_Val!$M$3*365.25)),Data!#REF!&lt;=(TODAY()-(Data_Val!$M$2*365.25))),0,1),1))</f>
        <v>#REF!</v>
      </c>
      <c r="BE831" s="12" t="e">
        <f>IF(Data!#REF!="","",IF(Data!$G831="",1,IF(ISNUMBER(MATCH(Data!#REF!,Data_Val!$D$2:$D$10,0)),0,1)))</f>
        <v>#REF!</v>
      </c>
      <c r="BF831" s="17"/>
      <c r="BG831" s="18" t="e">
        <f ca="1">IF(Data!#REF!="","",IF(ISNUMBER(Data!#REF!),IF(AND(Data!#REF!&gt;(TODAY()-(Data_Val!$M$3*365.25)),Data!#REF!&lt;=(TODAY()-(Data_Val!$M$2*365.25))),0,1),1))</f>
        <v>#REF!</v>
      </c>
      <c r="BH831" s="29" t="e">
        <f>IF(Data!#REF!="","",IF(Data!$G831="",1,IF(ISNUMBER(MATCH(Data!#REF!,Data_Val!$D$2:$D$10,0)),0,1)))</f>
        <v>#REF!</v>
      </c>
      <c r="BI831" s="13"/>
      <c r="BJ831" s="21" t="e">
        <f ca="1">IF(Data!#REF!="","",IF(ISNUMBER(Data!#REF!),IF(AND(Data!#REF!&gt;(TODAY()-(Data_Val!$M$3*365.25)),Data!#REF!&lt;=(TODAY()-(Data_Val!$M$2*365.25))),0,1),1))</f>
        <v>#REF!</v>
      </c>
      <c r="BK831" s="13" t="e">
        <f>IF(Data!#REF!="","",IF(Data!$G831="",1,IF(ISNUMBER(MATCH(Data!#REF!,Data_Val!$D$2:$D$10,0)),0,1)))</f>
        <v>#REF!</v>
      </c>
    </row>
    <row r="832" spans="1:63" x14ac:dyDescent="0.25">
      <c r="A832" s="9" t="str">
        <f>IF(Data!B832="","",IF(COUNTIFS(Data!A$1:'Data'!A832,Data!A832)&lt;=1,0,1))</f>
        <v/>
      </c>
      <c r="B832" s="9"/>
      <c r="C832" s="23" t="str">
        <f>IF(Data!C832="","",(IF(ISNUMBER(MATCH("*@*.?*",Data!C832,0)),0,1)+IF(COUNTIFS(Data!C$1:'Data'!C832,Data!C832)&gt;1,1,0)))</f>
        <v/>
      </c>
      <c r="D832" s="9" t="str">
        <f>IF(Data!B832="","",IF(ISNUMBER(Data!D832),IF(AND(Data!D832&gt;999999999,Data!D832&lt;=9999999999),IF(COUNTIFS(Data!D$1:'Data'!D832,Data!D832)&lt;=1,0,1),1),1))</f>
        <v/>
      </c>
      <c r="E832" s="9" t="str">
        <f>IF(Data!B832="","",IF(ISNUMBER(MATCH(Data!E832,Data_Val!$A$2:$A$3,0)),0,1))</f>
        <v/>
      </c>
      <c r="F832" s="9" t="str">
        <f ca="1">IF(Data!B832="","",IF(ISNUMBER(Data!F832),IF(AND(Data!F832&gt;(TODAY()-(Data_Val!$H$3*365.25)),Data!F832&lt;=(TODAY()-(Data_Val!$H$2*365.25))),0,1),1))</f>
        <v/>
      </c>
      <c r="G832" s="15" t="str">
        <f>IF(Data!B832="","",IF(AND(Data!G832="",Data!H832&lt;&gt;""),1,IF(Data!#REF!&lt;&gt;"",0,IF(ISNUMBER(MATCH(Data!G832,Data_Val!$C$2:$C$5,0)),0,1))))</f>
        <v/>
      </c>
      <c r="H832" s="15" t="str">
        <f>IF(Data!B832="","",IF(AND(Data!G832&lt;&gt;"",Data!H832=""),1,IF(Data!#REF!&lt;&gt;"",0,IF(Data!G832="",1,IF(ISNUMBER(MATCH(Data!H832,Data_Val!$D$2:$D$35,0)),0,1)))))</f>
        <v/>
      </c>
      <c r="I832" s="15" t="str">
        <f>IF(Data!B832="","",IF(Data!G832&lt;&gt;"",0,IF(ISNUMBER(MATCH(Data!#REF!,Data_Val!$E$2:$E$12,0)),0,1)))</f>
        <v/>
      </c>
      <c r="J832" s="16" t="e">
        <f>IF(OR(Data!B832="",Data!#REF!=""),"",IF(Data!#REF!="",1,0))</f>
        <v>#REF!</v>
      </c>
      <c r="K832" s="16" t="e">
        <f>IF(OR(Data!B832="",Data!#REF!=""),"",IF(Data!#REF!="",1,0))</f>
        <v>#REF!</v>
      </c>
      <c r="L832" s="16" t="e">
        <f>IF(OR(Data!B832="",Data!#REF!=""),"",IF(ISNUMBER(Data!#REF!),IF(AND(Data!#REF!&gt;Data_Val!$G$2,Data!#REF!&lt;=Data_Val!$G$3),0,1),1))</f>
        <v>#REF!</v>
      </c>
      <c r="M832" s="9" t="e">
        <f>IF(OR(Data!B832="",Data!#REF!=""),"",IF(ISNUMBER(MATCH(Data!#REF!,Data_Val!$F$1:$F$38,0)),0,1))</f>
        <v>#REF!</v>
      </c>
      <c r="N832" s="9" t="e">
        <f>IF(OR(Data!B832="",Data!#REF!=""),"",IF(Data!#REF!="",1,0))</f>
        <v>#REF!</v>
      </c>
      <c r="O832" s="17" t="e">
        <f>IF(Data!#REF!="","",IF(Data!#REF!="",1,0))</f>
        <v>#REF!</v>
      </c>
      <c r="P832" s="17" t="e">
        <f>IF(Data!#REF!="","",IF(ISNUMBER(MATCH(Data!#REF!,Data_Val!$A$2:$A$3,0)),0,1))</f>
        <v>#REF!</v>
      </c>
      <c r="Q832" s="25" t="e">
        <f ca="1">IF(Data!#REF!="","",IF(ISNUMBER(Data!#REF!),IF(AND(Data!#REF!&gt;(TODAY()-(Data_Val!$J$3*365.25)),Data!#REF!&lt;=(TODAY()-(Data_Val!$J$2*365.25))),0,1),1))</f>
        <v>#REF!</v>
      </c>
      <c r="R832" s="17" t="e">
        <f>IF(Data!#REF!="","",IF(ISNUMBER(MATCH(Data!#REF!,Data_Val!$B$2:$B$15,0)),0,1))</f>
        <v>#REF!</v>
      </c>
      <c r="S832" s="11" t="str">
        <f>IF(Data!G832="","",IF(Data!G832=Data_Val!$C$2,IF(Data!M832="",0,1),0))</f>
        <v/>
      </c>
      <c r="T832" s="11" t="str">
        <f>IF(Data!M832="","",IF(ISNUMBER(MATCH(Data!N832,Data_Val!$A$2:$A$3,0)),0,1))</f>
        <v/>
      </c>
      <c r="U832" s="11" t="str">
        <f ca="1">IF(Data!M832="","",IF(ISNUMBER(Data!O832),IF(AND(Data!O832&gt;(TODAY()-(Data_Val!$K$3*365.25)),Data!O832&lt;=(TODAY()-(Data_Val!$K$2*365.25))),0,1),1))</f>
        <v/>
      </c>
      <c r="V832" s="12" t="str">
        <f>IF(Data!G832="","",IF(Data!G832=Data_Val!$C$2,IF(Data!P832="",0,1),0))</f>
        <v/>
      </c>
      <c r="W832" s="12" t="str">
        <f>IF(Data!P832="","",IF(ISNUMBER(MATCH(Data!Q832,Data_Val!$A$2:$A$3,0)),0,1))</f>
        <v/>
      </c>
      <c r="X832" s="26" t="str">
        <f ca="1">IF(Data!P832="","",IF(ISNUMBER(Data!R832),IF(AND(Data!R832&gt;(TODAY()-(Data_Val!$L$3*365.25)),Data!R832&lt;=(TODAY()-(Data_Val!$L$2*365.25))),0,1),1))</f>
        <v/>
      </c>
      <c r="Y832" s="13" t="str">
        <f>IF(Data!$G832="","",IF(Data!$G832=Data_Val!$C$2,IF(Data!S832="",0,1),0))</f>
        <v/>
      </c>
      <c r="Z832" s="13" t="str">
        <f>IF(Data!S832="","",IF(ISNUMBER(MATCH(Data!T832,Data_Val!$A$2:$A$3,0)),0,1))</f>
        <v/>
      </c>
      <c r="AA832" s="28" t="str">
        <f ca="1">IF(Data!S832="","",IF(ISNUMBER(Data!U832),IF(AND(Data!U832&gt;(TODAY()-(Data_Val!$L$3*365.25)),Data!U832&lt;=(TODAY()-(Data_Val!$L$2*365.25))),0,1),1))</f>
        <v/>
      </c>
      <c r="AB832" s="11"/>
      <c r="AC832" s="11" t="e">
        <f>IF(Data!#REF!="","",IF(ISNUMBER(MATCH(Data!#REF!,Data_Val!$A$2:$A$3,0)),0,1))</f>
        <v>#REF!</v>
      </c>
      <c r="AD832" s="11" t="e">
        <f ca="1">IF(Data!#REF!="","",IF(ISNUMBER(Data!#REF!),IF(AND(Data!#REF!&gt;(TODAY()-(Data_Val!$L$3*365.25)),Data!#REF!&lt;=(TODAY()-(Data_Val!$L$2*365.25))),0,1),1))</f>
        <v>#REF!</v>
      </c>
      <c r="AE832" s="11" t="e">
        <f>IF(Data!#REF!="","",IF(Data!$G832="",1,IF(ISNUMBER(MATCH(Data!#REF!,Data_Val!$D$2:$D$10,0)),0,1)))</f>
        <v>#REF!</v>
      </c>
      <c r="AF832" s="12"/>
      <c r="AG832" s="12" t="e">
        <f>IF(Data!#REF!="","",IF(ISNUMBER(MATCH(Data!#REF!,Data_Val!$A$2:$A$3,0)),0,1))</f>
        <v>#REF!</v>
      </c>
      <c r="AH832" s="26" t="e">
        <f ca="1">IF(Data!#REF!="","",IF(ISNUMBER(Data!#REF!),IF(AND(Data!#REF!&gt;(TODAY()-(Data_Val!$L$3*365.25)),Data!#REF!&lt;=(TODAY()-(Data_Val!$L$2*365.25))),0,1),1))</f>
        <v>#REF!</v>
      </c>
      <c r="AI832" s="12" t="e">
        <f>IF(Data!#REF!="","",IF(Data!$G832="",1,IF(ISNUMBER(MATCH(Data!#REF!,Data_Val!$D$2:$D$10,0)),0,1)))</f>
        <v>#REF!</v>
      </c>
      <c r="AJ832" s="17"/>
      <c r="AK832" s="17" t="e">
        <f>IF(Data!#REF!="","",IF(ISNUMBER(MATCH(Data!#REF!,Data_Val!$A$2:$A$3,0)),0,1))</f>
        <v>#REF!</v>
      </c>
      <c r="AL832" s="25" t="e">
        <f ca="1">IF(Data!#REF!="","",IF(ISNUMBER(Data!#REF!),IF(AND(Data!#REF!&gt;(TODAY()-(Data_Val!$L$3*365.25)),Data!#REF!&lt;=(TODAY()-(Data_Val!$L$2*365.25))),0,1),1))</f>
        <v>#REF!</v>
      </c>
      <c r="AM832" s="17" t="e">
        <f>IF(Data!#REF!="","",IF(Data!$G832="",1,IF(ISNUMBER(MATCH(Data!#REF!,Data_Val!$D$2:$D$10,0)),0,1)))</f>
        <v>#REF!</v>
      </c>
      <c r="AN832" s="13"/>
      <c r="AO832" s="28" t="e">
        <f ca="1">IF(Data!#REF!="","",IF(ISNUMBER(Data!#REF!),IF(AND(Data!#REF!&gt;(TODAY()-(Data_Val!$I$3*365.25)),Data!#REF!&lt;=(TODAY()-(Data_Val!$I$2*365.25))),0,1),1))</f>
        <v>#REF!</v>
      </c>
      <c r="AP832" s="13" t="e">
        <f>IF(Data!#REF!="","",IF(Data!$G832="",1,IF(ISNUMBER(MATCH(Data!#REF!,Data_Val!$D$2:$D$10,0)),0,1)))</f>
        <v>#REF!</v>
      </c>
      <c r="AQ832" s="17"/>
      <c r="AR832" s="30" t="e">
        <f ca="1">IF(Data!#REF!="","",IF(ISNUMBER(Data!#REF!),IF(AND(Data!#REF!&gt;(TODAY()-(Data_Val!$I$3*365.25)),Data!#REF!&lt;=(TODAY()-(Data_Val!$I$2*365.25))),0,1),1))</f>
        <v>#REF!</v>
      </c>
      <c r="AS832" s="31" t="e">
        <f>IF(Data!#REF!="","",IF(Data!$G832="",1,IF(ISNUMBER(MATCH(Data!#REF!,Data_Val!$D$2:$D$10,0)),0,1)))</f>
        <v>#REF!</v>
      </c>
      <c r="AT832" s="11"/>
      <c r="AU832" s="11" t="e">
        <f ca="1">IF(Data!#REF!="","",IF(ISNUMBER(Data!#REF!),IF(AND(Data!#REF!&gt;(TODAY()-(Data_Val!$I$3*365.25)),Data!#REF!&lt;=(TODAY()-(Data_Val!$I$2*365.25))),0,1),1))</f>
        <v>#REF!</v>
      </c>
      <c r="AV832" s="11" t="e">
        <f>IF(Data!#REF!="","",IF(Data!$G832="",1,IF(ISNUMBER(MATCH(Data!#REF!,Data_Val!$D$2:$D$10,0)),0,1)))</f>
        <v>#REF!</v>
      </c>
      <c r="AW832" s="12"/>
      <c r="AX832" s="26" t="e">
        <f ca="1">IF(Data!#REF!="","",IF(ISNUMBER(Data!#REF!),IF(AND(Data!#REF!&gt;(TODAY()-(Data_Val!$I$3*365.25)),Data!#REF!&lt;=(TODAY()-(Data_Val!$I$2*365.25))),0,1),1))</f>
        <v>#REF!</v>
      </c>
      <c r="AY832" s="12" t="e">
        <f>IF(Data!#REF!="","",IF(Data!$G832="",1,IF(ISNUMBER(MATCH(Data!#REF!,Data_Val!$D$2:$D$10,0)),0,1)))</f>
        <v>#REF!</v>
      </c>
      <c r="AZ832" s="11"/>
      <c r="BA832" s="19" t="e">
        <f ca="1">IF(Data!#REF!="","",IF(ISNUMBER(Data!#REF!),IF(AND(Data!#REF!&gt;(TODAY()-(Data_Val!$M$3*365.25)),Data!#REF!&lt;=(TODAY()-(Data_Val!$M$2*365.25))),0,1),1))</f>
        <v>#REF!</v>
      </c>
      <c r="BB832" s="11" t="e">
        <f>IF(Data!#REF!="","",IF(Data!$G832="",1,IF(ISNUMBER(MATCH(Data!#REF!,Data_Val!$D$2:$D$10,0)),0,1)))</f>
        <v>#REF!</v>
      </c>
      <c r="BC832" s="12"/>
      <c r="BD832" s="20" t="e">
        <f ca="1">IF(Data!#REF!="","",IF(ISNUMBER(Data!#REF!),IF(AND(Data!#REF!&gt;(TODAY()-(Data_Val!$M$3*365.25)),Data!#REF!&lt;=(TODAY()-(Data_Val!$M$2*365.25))),0,1),1))</f>
        <v>#REF!</v>
      </c>
      <c r="BE832" s="12" t="e">
        <f>IF(Data!#REF!="","",IF(Data!$G832="",1,IF(ISNUMBER(MATCH(Data!#REF!,Data_Val!$D$2:$D$10,0)),0,1)))</f>
        <v>#REF!</v>
      </c>
      <c r="BF832" s="17"/>
      <c r="BG832" s="18" t="e">
        <f ca="1">IF(Data!#REF!="","",IF(ISNUMBER(Data!#REF!),IF(AND(Data!#REF!&gt;(TODAY()-(Data_Val!$M$3*365.25)),Data!#REF!&lt;=(TODAY()-(Data_Val!$M$2*365.25))),0,1),1))</f>
        <v>#REF!</v>
      </c>
      <c r="BH832" s="29" t="e">
        <f>IF(Data!#REF!="","",IF(Data!$G832="",1,IF(ISNUMBER(MATCH(Data!#REF!,Data_Val!$D$2:$D$10,0)),0,1)))</f>
        <v>#REF!</v>
      </c>
      <c r="BI832" s="13"/>
      <c r="BJ832" s="21" t="e">
        <f ca="1">IF(Data!#REF!="","",IF(ISNUMBER(Data!#REF!),IF(AND(Data!#REF!&gt;(TODAY()-(Data_Val!$M$3*365.25)),Data!#REF!&lt;=(TODAY()-(Data_Val!$M$2*365.25))),0,1),1))</f>
        <v>#REF!</v>
      </c>
      <c r="BK832" s="13" t="e">
        <f>IF(Data!#REF!="","",IF(Data!$G832="",1,IF(ISNUMBER(MATCH(Data!#REF!,Data_Val!$D$2:$D$10,0)),0,1)))</f>
        <v>#REF!</v>
      </c>
    </row>
    <row r="833" spans="1:63" x14ac:dyDescent="0.25">
      <c r="A833" s="9" t="str">
        <f>IF(Data!B833="","",IF(COUNTIFS(Data!A$1:'Data'!A833,Data!A833)&lt;=1,0,1))</f>
        <v/>
      </c>
      <c r="B833" s="9"/>
      <c r="C833" s="23" t="str">
        <f>IF(Data!C833="","",(IF(ISNUMBER(MATCH("*@*.?*",Data!C833,0)),0,1)+IF(COUNTIFS(Data!C$1:'Data'!C833,Data!C833)&gt;1,1,0)))</f>
        <v/>
      </c>
      <c r="D833" s="9" t="str">
        <f>IF(Data!B833="","",IF(ISNUMBER(Data!D833),IF(AND(Data!D833&gt;999999999,Data!D833&lt;=9999999999),IF(COUNTIFS(Data!D$1:'Data'!D833,Data!D833)&lt;=1,0,1),1),1))</f>
        <v/>
      </c>
      <c r="E833" s="9" t="str">
        <f>IF(Data!B833="","",IF(ISNUMBER(MATCH(Data!E833,Data_Val!$A$2:$A$3,0)),0,1))</f>
        <v/>
      </c>
      <c r="F833" s="9" t="str">
        <f ca="1">IF(Data!B833="","",IF(ISNUMBER(Data!F833),IF(AND(Data!F833&gt;(TODAY()-(Data_Val!$H$3*365.25)),Data!F833&lt;=(TODAY()-(Data_Val!$H$2*365.25))),0,1),1))</f>
        <v/>
      </c>
      <c r="G833" s="15" t="str">
        <f>IF(Data!B833="","",IF(AND(Data!G833="",Data!H833&lt;&gt;""),1,IF(Data!#REF!&lt;&gt;"",0,IF(ISNUMBER(MATCH(Data!G833,Data_Val!$C$2:$C$5,0)),0,1))))</f>
        <v/>
      </c>
      <c r="H833" s="15" t="str">
        <f>IF(Data!B833="","",IF(AND(Data!G833&lt;&gt;"",Data!H833=""),1,IF(Data!#REF!&lt;&gt;"",0,IF(Data!G833="",1,IF(ISNUMBER(MATCH(Data!H833,Data_Val!$D$2:$D$35,0)),0,1)))))</f>
        <v/>
      </c>
      <c r="I833" s="15" t="str">
        <f>IF(Data!B833="","",IF(Data!G833&lt;&gt;"",0,IF(ISNUMBER(MATCH(Data!#REF!,Data_Val!$E$2:$E$12,0)),0,1)))</f>
        <v/>
      </c>
      <c r="J833" s="16" t="e">
        <f>IF(OR(Data!B833="",Data!#REF!=""),"",IF(Data!#REF!="",1,0))</f>
        <v>#REF!</v>
      </c>
      <c r="K833" s="16" t="e">
        <f>IF(OR(Data!B833="",Data!#REF!=""),"",IF(Data!#REF!="",1,0))</f>
        <v>#REF!</v>
      </c>
      <c r="L833" s="16" t="e">
        <f>IF(OR(Data!B833="",Data!#REF!=""),"",IF(ISNUMBER(Data!#REF!),IF(AND(Data!#REF!&gt;Data_Val!$G$2,Data!#REF!&lt;=Data_Val!$G$3),0,1),1))</f>
        <v>#REF!</v>
      </c>
      <c r="M833" s="9" t="e">
        <f>IF(OR(Data!B833="",Data!#REF!=""),"",IF(ISNUMBER(MATCH(Data!#REF!,Data_Val!$F$1:$F$38,0)),0,1))</f>
        <v>#REF!</v>
      </c>
      <c r="N833" s="9" t="e">
        <f>IF(OR(Data!B833="",Data!#REF!=""),"",IF(Data!#REF!="",1,0))</f>
        <v>#REF!</v>
      </c>
      <c r="O833" s="17" t="e">
        <f>IF(Data!#REF!="","",IF(Data!#REF!="",1,0))</f>
        <v>#REF!</v>
      </c>
      <c r="P833" s="17" t="e">
        <f>IF(Data!#REF!="","",IF(ISNUMBER(MATCH(Data!#REF!,Data_Val!$A$2:$A$3,0)),0,1))</f>
        <v>#REF!</v>
      </c>
      <c r="Q833" s="25" t="e">
        <f ca="1">IF(Data!#REF!="","",IF(ISNUMBER(Data!#REF!),IF(AND(Data!#REF!&gt;(TODAY()-(Data_Val!$J$3*365.25)),Data!#REF!&lt;=(TODAY()-(Data_Val!$J$2*365.25))),0,1),1))</f>
        <v>#REF!</v>
      </c>
      <c r="R833" s="17" t="e">
        <f>IF(Data!#REF!="","",IF(ISNUMBER(MATCH(Data!#REF!,Data_Val!$B$2:$B$15,0)),0,1))</f>
        <v>#REF!</v>
      </c>
      <c r="S833" s="11" t="str">
        <f>IF(Data!G833="","",IF(Data!G833=Data_Val!$C$2,IF(Data!M833="",0,1),0))</f>
        <v/>
      </c>
      <c r="T833" s="11" t="str">
        <f>IF(Data!M833="","",IF(ISNUMBER(MATCH(Data!N833,Data_Val!$A$2:$A$3,0)),0,1))</f>
        <v/>
      </c>
      <c r="U833" s="11" t="str">
        <f ca="1">IF(Data!M833="","",IF(ISNUMBER(Data!O833),IF(AND(Data!O833&gt;(TODAY()-(Data_Val!$K$3*365.25)),Data!O833&lt;=(TODAY()-(Data_Val!$K$2*365.25))),0,1),1))</f>
        <v/>
      </c>
      <c r="V833" s="12" t="str">
        <f>IF(Data!G833="","",IF(Data!G833=Data_Val!$C$2,IF(Data!P833="",0,1),0))</f>
        <v/>
      </c>
      <c r="W833" s="12" t="str">
        <f>IF(Data!P833="","",IF(ISNUMBER(MATCH(Data!Q833,Data_Val!$A$2:$A$3,0)),0,1))</f>
        <v/>
      </c>
      <c r="X833" s="26" t="str">
        <f ca="1">IF(Data!P833="","",IF(ISNUMBER(Data!R833),IF(AND(Data!R833&gt;(TODAY()-(Data_Val!$L$3*365.25)),Data!R833&lt;=(TODAY()-(Data_Val!$L$2*365.25))),0,1),1))</f>
        <v/>
      </c>
      <c r="Y833" s="13" t="str">
        <f>IF(Data!$G833="","",IF(Data!$G833=Data_Val!$C$2,IF(Data!S833="",0,1),0))</f>
        <v/>
      </c>
      <c r="Z833" s="13" t="str">
        <f>IF(Data!S833="","",IF(ISNUMBER(MATCH(Data!T833,Data_Val!$A$2:$A$3,0)),0,1))</f>
        <v/>
      </c>
      <c r="AA833" s="28" t="str">
        <f ca="1">IF(Data!S833="","",IF(ISNUMBER(Data!U833),IF(AND(Data!U833&gt;(TODAY()-(Data_Val!$L$3*365.25)),Data!U833&lt;=(TODAY()-(Data_Val!$L$2*365.25))),0,1),1))</f>
        <v/>
      </c>
      <c r="AB833" s="11"/>
      <c r="AC833" s="11" t="e">
        <f>IF(Data!#REF!="","",IF(ISNUMBER(MATCH(Data!#REF!,Data_Val!$A$2:$A$3,0)),0,1))</f>
        <v>#REF!</v>
      </c>
      <c r="AD833" s="11" t="e">
        <f ca="1">IF(Data!#REF!="","",IF(ISNUMBER(Data!#REF!),IF(AND(Data!#REF!&gt;(TODAY()-(Data_Val!$L$3*365.25)),Data!#REF!&lt;=(TODAY()-(Data_Val!$L$2*365.25))),0,1),1))</f>
        <v>#REF!</v>
      </c>
      <c r="AE833" s="11" t="e">
        <f>IF(Data!#REF!="","",IF(Data!$G833="",1,IF(ISNUMBER(MATCH(Data!#REF!,Data_Val!$D$2:$D$10,0)),0,1)))</f>
        <v>#REF!</v>
      </c>
      <c r="AF833" s="12"/>
      <c r="AG833" s="12" t="e">
        <f>IF(Data!#REF!="","",IF(ISNUMBER(MATCH(Data!#REF!,Data_Val!$A$2:$A$3,0)),0,1))</f>
        <v>#REF!</v>
      </c>
      <c r="AH833" s="26" t="e">
        <f ca="1">IF(Data!#REF!="","",IF(ISNUMBER(Data!#REF!),IF(AND(Data!#REF!&gt;(TODAY()-(Data_Val!$L$3*365.25)),Data!#REF!&lt;=(TODAY()-(Data_Val!$L$2*365.25))),0,1),1))</f>
        <v>#REF!</v>
      </c>
      <c r="AI833" s="12" t="e">
        <f>IF(Data!#REF!="","",IF(Data!$G833="",1,IF(ISNUMBER(MATCH(Data!#REF!,Data_Val!$D$2:$D$10,0)),0,1)))</f>
        <v>#REF!</v>
      </c>
      <c r="AJ833" s="17"/>
      <c r="AK833" s="17" t="e">
        <f>IF(Data!#REF!="","",IF(ISNUMBER(MATCH(Data!#REF!,Data_Val!$A$2:$A$3,0)),0,1))</f>
        <v>#REF!</v>
      </c>
      <c r="AL833" s="25" t="e">
        <f ca="1">IF(Data!#REF!="","",IF(ISNUMBER(Data!#REF!),IF(AND(Data!#REF!&gt;(TODAY()-(Data_Val!$L$3*365.25)),Data!#REF!&lt;=(TODAY()-(Data_Val!$L$2*365.25))),0,1),1))</f>
        <v>#REF!</v>
      </c>
      <c r="AM833" s="17" t="e">
        <f>IF(Data!#REF!="","",IF(Data!$G833="",1,IF(ISNUMBER(MATCH(Data!#REF!,Data_Val!$D$2:$D$10,0)),0,1)))</f>
        <v>#REF!</v>
      </c>
      <c r="AN833" s="13"/>
      <c r="AO833" s="28" t="e">
        <f ca="1">IF(Data!#REF!="","",IF(ISNUMBER(Data!#REF!),IF(AND(Data!#REF!&gt;(TODAY()-(Data_Val!$I$3*365.25)),Data!#REF!&lt;=(TODAY()-(Data_Val!$I$2*365.25))),0,1),1))</f>
        <v>#REF!</v>
      </c>
      <c r="AP833" s="13" t="e">
        <f>IF(Data!#REF!="","",IF(Data!$G833="",1,IF(ISNUMBER(MATCH(Data!#REF!,Data_Val!$D$2:$D$10,0)),0,1)))</f>
        <v>#REF!</v>
      </c>
      <c r="AQ833" s="17"/>
      <c r="AR833" s="30" t="e">
        <f ca="1">IF(Data!#REF!="","",IF(ISNUMBER(Data!#REF!),IF(AND(Data!#REF!&gt;(TODAY()-(Data_Val!$I$3*365.25)),Data!#REF!&lt;=(TODAY()-(Data_Val!$I$2*365.25))),0,1),1))</f>
        <v>#REF!</v>
      </c>
      <c r="AS833" s="31" t="e">
        <f>IF(Data!#REF!="","",IF(Data!$G833="",1,IF(ISNUMBER(MATCH(Data!#REF!,Data_Val!$D$2:$D$10,0)),0,1)))</f>
        <v>#REF!</v>
      </c>
      <c r="AT833" s="11"/>
      <c r="AU833" s="11" t="e">
        <f ca="1">IF(Data!#REF!="","",IF(ISNUMBER(Data!#REF!),IF(AND(Data!#REF!&gt;(TODAY()-(Data_Val!$I$3*365.25)),Data!#REF!&lt;=(TODAY()-(Data_Val!$I$2*365.25))),0,1),1))</f>
        <v>#REF!</v>
      </c>
      <c r="AV833" s="11" t="e">
        <f>IF(Data!#REF!="","",IF(Data!$G833="",1,IF(ISNUMBER(MATCH(Data!#REF!,Data_Val!$D$2:$D$10,0)),0,1)))</f>
        <v>#REF!</v>
      </c>
      <c r="AW833" s="12"/>
      <c r="AX833" s="26" t="e">
        <f ca="1">IF(Data!#REF!="","",IF(ISNUMBER(Data!#REF!),IF(AND(Data!#REF!&gt;(TODAY()-(Data_Val!$I$3*365.25)),Data!#REF!&lt;=(TODAY()-(Data_Val!$I$2*365.25))),0,1),1))</f>
        <v>#REF!</v>
      </c>
      <c r="AY833" s="12" t="e">
        <f>IF(Data!#REF!="","",IF(Data!$G833="",1,IF(ISNUMBER(MATCH(Data!#REF!,Data_Val!$D$2:$D$10,0)),0,1)))</f>
        <v>#REF!</v>
      </c>
      <c r="AZ833" s="11"/>
      <c r="BA833" s="19" t="e">
        <f ca="1">IF(Data!#REF!="","",IF(ISNUMBER(Data!#REF!),IF(AND(Data!#REF!&gt;(TODAY()-(Data_Val!$M$3*365.25)),Data!#REF!&lt;=(TODAY()-(Data_Val!$M$2*365.25))),0,1),1))</f>
        <v>#REF!</v>
      </c>
      <c r="BB833" s="11" t="e">
        <f>IF(Data!#REF!="","",IF(Data!$G833="",1,IF(ISNUMBER(MATCH(Data!#REF!,Data_Val!$D$2:$D$10,0)),0,1)))</f>
        <v>#REF!</v>
      </c>
      <c r="BC833" s="12"/>
      <c r="BD833" s="20" t="e">
        <f ca="1">IF(Data!#REF!="","",IF(ISNUMBER(Data!#REF!),IF(AND(Data!#REF!&gt;(TODAY()-(Data_Val!$M$3*365.25)),Data!#REF!&lt;=(TODAY()-(Data_Val!$M$2*365.25))),0,1),1))</f>
        <v>#REF!</v>
      </c>
      <c r="BE833" s="12" t="e">
        <f>IF(Data!#REF!="","",IF(Data!$G833="",1,IF(ISNUMBER(MATCH(Data!#REF!,Data_Val!$D$2:$D$10,0)),0,1)))</f>
        <v>#REF!</v>
      </c>
      <c r="BF833" s="17"/>
      <c r="BG833" s="18" t="e">
        <f ca="1">IF(Data!#REF!="","",IF(ISNUMBER(Data!#REF!),IF(AND(Data!#REF!&gt;(TODAY()-(Data_Val!$M$3*365.25)),Data!#REF!&lt;=(TODAY()-(Data_Val!$M$2*365.25))),0,1),1))</f>
        <v>#REF!</v>
      </c>
      <c r="BH833" s="29" t="e">
        <f>IF(Data!#REF!="","",IF(Data!$G833="",1,IF(ISNUMBER(MATCH(Data!#REF!,Data_Val!$D$2:$D$10,0)),0,1)))</f>
        <v>#REF!</v>
      </c>
      <c r="BI833" s="13"/>
      <c r="BJ833" s="21" t="e">
        <f ca="1">IF(Data!#REF!="","",IF(ISNUMBER(Data!#REF!),IF(AND(Data!#REF!&gt;(TODAY()-(Data_Val!$M$3*365.25)),Data!#REF!&lt;=(TODAY()-(Data_Val!$M$2*365.25))),0,1),1))</f>
        <v>#REF!</v>
      </c>
      <c r="BK833" s="13" t="e">
        <f>IF(Data!#REF!="","",IF(Data!$G833="",1,IF(ISNUMBER(MATCH(Data!#REF!,Data_Val!$D$2:$D$10,0)),0,1)))</f>
        <v>#REF!</v>
      </c>
    </row>
    <row r="834" spans="1:63" x14ac:dyDescent="0.25">
      <c r="A834" s="9" t="str">
        <f>IF(Data!B834="","",IF(COUNTIFS(Data!A$1:'Data'!A834,Data!A834)&lt;=1,0,1))</f>
        <v/>
      </c>
      <c r="B834" s="9"/>
      <c r="C834" s="23" t="str">
        <f>IF(Data!C834="","",(IF(ISNUMBER(MATCH("*@*.?*",Data!C834,0)),0,1)+IF(COUNTIFS(Data!C$1:'Data'!C834,Data!C834)&gt;1,1,0)))</f>
        <v/>
      </c>
      <c r="D834" s="9" t="str">
        <f>IF(Data!B834="","",IF(ISNUMBER(Data!D834),IF(AND(Data!D834&gt;999999999,Data!D834&lt;=9999999999),IF(COUNTIFS(Data!D$1:'Data'!D834,Data!D834)&lt;=1,0,1),1),1))</f>
        <v/>
      </c>
      <c r="E834" s="9" t="str">
        <f>IF(Data!B834="","",IF(ISNUMBER(MATCH(Data!E834,Data_Val!$A$2:$A$3,0)),0,1))</f>
        <v/>
      </c>
      <c r="F834" s="9" t="str">
        <f ca="1">IF(Data!B834="","",IF(ISNUMBER(Data!F834),IF(AND(Data!F834&gt;(TODAY()-(Data_Val!$H$3*365.25)),Data!F834&lt;=(TODAY()-(Data_Val!$H$2*365.25))),0,1),1))</f>
        <v/>
      </c>
      <c r="G834" s="15" t="str">
        <f>IF(Data!B834="","",IF(AND(Data!G834="",Data!H834&lt;&gt;""),1,IF(Data!#REF!&lt;&gt;"",0,IF(ISNUMBER(MATCH(Data!G834,Data_Val!$C$2:$C$5,0)),0,1))))</f>
        <v/>
      </c>
      <c r="H834" s="15" t="str">
        <f>IF(Data!B834="","",IF(AND(Data!G834&lt;&gt;"",Data!H834=""),1,IF(Data!#REF!&lt;&gt;"",0,IF(Data!G834="",1,IF(ISNUMBER(MATCH(Data!H834,Data_Val!$D$2:$D$35,0)),0,1)))))</f>
        <v/>
      </c>
      <c r="I834" s="15" t="str">
        <f>IF(Data!B834="","",IF(Data!G834&lt;&gt;"",0,IF(ISNUMBER(MATCH(Data!#REF!,Data_Val!$E$2:$E$12,0)),0,1)))</f>
        <v/>
      </c>
      <c r="J834" s="16" t="e">
        <f>IF(OR(Data!B834="",Data!#REF!=""),"",IF(Data!#REF!="",1,0))</f>
        <v>#REF!</v>
      </c>
      <c r="K834" s="16" t="e">
        <f>IF(OR(Data!B834="",Data!#REF!=""),"",IF(Data!#REF!="",1,0))</f>
        <v>#REF!</v>
      </c>
      <c r="L834" s="16" t="e">
        <f>IF(OR(Data!B834="",Data!#REF!=""),"",IF(ISNUMBER(Data!#REF!),IF(AND(Data!#REF!&gt;Data_Val!$G$2,Data!#REF!&lt;=Data_Val!$G$3),0,1),1))</f>
        <v>#REF!</v>
      </c>
      <c r="M834" s="9" t="e">
        <f>IF(OR(Data!B834="",Data!#REF!=""),"",IF(ISNUMBER(MATCH(Data!#REF!,Data_Val!$F$1:$F$38,0)),0,1))</f>
        <v>#REF!</v>
      </c>
      <c r="N834" s="9" t="e">
        <f>IF(OR(Data!B834="",Data!#REF!=""),"",IF(Data!#REF!="",1,0))</f>
        <v>#REF!</v>
      </c>
      <c r="O834" s="17" t="e">
        <f>IF(Data!#REF!="","",IF(Data!#REF!="",1,0))</f>
        <v>#REF!</v>
      </c>
      <c r="P834" s="17" t="e">
        <f>IF(Data!#REF!="","",IF(ISNUMBER(MATCH(Data!#REF!,Data_Val!$A$2:$A$3,0)),0,1))</f>
        <v>#REF!</v>
      </c>
      <c r="Q834" s="25" t="e">
        <f ca="1">IF(Data!#REF!="","",IF(ISNUMBER(Data!#REF!),IF(AND(Data!#REF!&gt;(TODAY()-(Data_Val!$J$3*365.25)),Data!#REF!&lt;=(TODAY()-(Data_Val!$J$2*365.25))),0,1),1))</f>
        <v>#REF!</v>
      </c>
      <c r="R834" s="17" t="e">
        <f>IF(Data!#REF!="","",IF(ISNUMBER(MATCH(Data!#REF!,Data_Val!$B$2:$B$15,0)),0,1))</f>
        <v>#REF!</v>
      </c>
      <c r="S834" s="11" t="str">
        <f>IF(Data!G834="","",IF(Data!G834=Data_Val!$C$2,IF(Data!M834="",0,1),0))</f>
        <v/>
      </c>
      <c r="T834" s="11" t="str">
        <f>IF(Data!M834="","",IF(ISNUMBER(MATCH(Data!N834,Data_Val!$A$2:$A$3,0)),0,1))</f>
        <v/>
      </c>
      <c r="U834" s="11" t="str">
        <f ca="1">IF(Data!M834="","",IF(ISNUMBER(Data!O834),IF(AND(Data!O834&gt;(TODAY()-(Data_Val!$K$3*365.25)),Data!O834&lt;=(TODAY()-(Data_Val!$K$2*365.25))),0,1),1))</f>
        <v/>
      </c>
      <c r="V834" s="12" t="str">
        <f>IF(Data!G834="","",IF(Data!G834=Data_Val!$C$2,IF(Data!P834="",0,1),0))</f>
        <v/>
      </c>
      <c r="W834" s="12" t="str">
        <f>IF(Data!P834="","",IF(ISNUMBER(MATCH(Data!Q834,Data_Val!$A$2:$A$3,0)),0,1))</f>
        <v/>
      </c>
      <c r="X834" s="26" t="str">
        <f ca="1">IF(Data!P834="","",IF(ISNUMBER(Data!R834),IF(AND(Data!R834&gt;(TODAY()-(Data_Val!$L$3*365.25)),Data!R834&lt;=(TODAY()-(Data_Val!$L$2*365.25))),0,1),1))</f>
        <v/>
      </c>
      <c r="Y834" s="13" t="str">
        <f>IF(Data!$G834="","",IF(Data!$G834=Data_Val!$C$2,IF(Data!S834="",0,1),0))</f>
        <v/>
      </c>
      <c r="Z834" s="13" t="str">
        <f>IF(Data!S834="","",IF(ISNUMBER(MATCH(Data!T834,Data_Val!$A$2:$A$3,0)),0,1))</f>
        <v/>
      </c>
      <c r="AA834" s="28" t="str">
        <f ca="1">IF(Data!S834="","",IF(ISNUMBER(Data!U834),IF(AND(Data!U834&gt;(TODAY()-(Data_Val!$L$3*365.25)),Data!U834&lt;=(TODAY()-(Data_Val!$L$2*365.25))),0,1),1))</f>
        <v/>
      </c>
      <c r="AB834" s="11"/>
      <c r="AC834" s="11" t="e">
        <f>IF(Data!#REF!="","",IF(ISNUMBER(MATCH(Data!#REF!,Data_Val!$A$2:$A$3,0)),0,1))</f>
        <v>#REF!</v>
      </c>
      <c r="AD834" s="11" t="e">
        <f ca="1">IF(Data!#REF!="","",IF(ISNUMBER(Data!#REF!),IF(AND(Data!#REF!&gt;(TODAY()-(Data_Val!$L$3*365.25)),Data!#REF!&lt;=(TODAY()-(Data_Val!$L$2*365.25))),0,1),1))</f>
        <v>#REF!</v>
      </c>
      <c r="AE834" s="11" t="e">
        <f>IF(Data!#REF!="","",IF(Data!$G834="",1,IF(ISNUMBER(MATCH(Data!#REF!,Data_Val!$D$2:$D$10,0)),0,1)))</f>
        <v>#REF!</v>
      </c>
      <c r="AF834" s="12"/>
      <c r="AG834" s="12" t="e">
        <f>IF(Data!#REF!="","",IF(ISNUMBER(MATCH(Data!#REF!,Data_Val!$A$2:$A$3,0)),0,1))</f>
        <v>#REF!</v>
      </c>
      <c r="AH834" s="26" t="e">
        <f ca="1">IF(Data!#REF!="","",IF(ISNUMBER(Data!#REF!),IF(AND(Data!#REF!&gt;(TODAY()-(Data_Val!$L$3*365.25)),Data!#REF!&lt;=(TODAY()-(Data_Val!$L$2*365.25))),0,1),1))</f>
        <v>#REF!</v>
      </c>
      <c r="AI834" s="12" t="e">
        <f>IF(Data!#REF!="","",IF(Data!$G834="",1,IF(ISNUMBER(MATCH(Data!#REF!,Data_Val!$D$2:$D$10,0)),0,1)))</f>
        <v>#REF!</v>
      </c>
      <c r="AJ834" s="17"/>
      <c r="AK834" s="17" t="e">
        <f>IF(Data!#REF!="","",IF(ISNUMBER(MATCH(Data!#REF!,Data_Val!$A$2:$A$3,0)),0,1))</f>
        <v>#REF!</v>
      </c>
      <c r="AL834" s="25" t="e">
        <f ca="1">IF(Data!#REF!="","",IF(ISNUMBER(Data!#REF!),IF(AND(Data!#REF!&gt;(TODAY()-(Data_Val!$L$3*365.25)),Data!#REF!&lt;=(TODAY()-(Data_Val!$L$2*365.25))),0,1),1))</f>
        <v>#REF!</v>
      </c>
      <c r="AM834" s="17" t="e">
        <f>IF(Data!#REF!="","",IF(Data!$G834="",1,IF(ISNUMBER(MATCH(Data!#REF!,Data_Val!$D$2:$D$10,0)),0,1)))</f>
        <v>#REF!</v>
      </c>
      <c r="AN834" s="13"/>
      <c r="AO834" s="28" t="e">
        <f ca="1">IF(Data!#REF!="","",IF(ISNUMBER(Data!#REF!),IF(AND(Data!#REF!&gt;(TODAY()-(Data_Val!$I$3*365.25)),Data!#REF!&lt;=(TODAY()-(Data_Val!$I$2*365.25))),0,1),1))</f>
        <v>#REF!</v>
      </c>
      <c r="AP834" s="13" t="e">
        <f>IF(Data!#REF!="","",IF(Data!$G834="",1,IF(ISNUMBER(MATCH(Data!#REF!,Data_Val!$D$2:$D$10,0)),0,1)))</f>
        <v>#REF!</v>
      </c>
      <c r="AQ834" s="17"/>
      <c r="AR834" s="30" t="e">
        <f ca="1">IF(Data!#REF!="","",IF(ISNUMBER(Data!#REF!),IF(AND(Data!#REF!&gt;(TODAY()-(Data_Val!$I$3*365.25)),Data!#REF!&lt;=(TODAY()-(Data_Val!$I$2*365.25))),0,1),1))</f>
        <v>#REF!</v>
      </c>
      <c r="AS834" s="31" t="e">
        <f>IF(Data!#REF!="","",IF(Data!$G834="",1,IF(ISNUMBER(MATCH(Data!#REF!,Data_Val!$D$2:$D$10,0)),0,1)))</f>
        <v>#REF!</v>
      </c>
      <c r="AT834" s="11"/>
      <c r="AU834" s="11" t="e">
        <f ca="1">IF(Data!#REF!="","",IF(ISNUMBER(Data!#REF!),IF(AND(Data!#REF!&gt;(TODAY()-(Data_Val!$I$3*365.25)),Data!#REF!&lt;=(TODAY()-(Data_Val!$I$2*365.25))),0,1),1))</f>
        <v>#REF!</v>
      </c>
      <c r="AV834" s="11" t="e">
        <f>IF(Data!#REF!="","",IF(Data!$G834="",1,IF(ISNUMBER(MATCH(Data!#REF!,Data_Val!$D$2:$D$10,0)),0,1)))</f>
        <v>#REF!</v>
      </c>
      <c r="AW834" s="12"/>
      <c r="AX834" s="26" t="e">
        <f ca="1">IF(Data!#REF!="","",IF(ISNUMBER(Data!#REF!),IF(AND(Data!#REF!&gt;(TODAY()-(Data_Val!$I$3*365.25)),Data!#REF!&lt;=(TODAY()-(Data_Val!$I$2*365.25))),0,1),1))</f>
        <v>#REF!</v>
      </c>
      <c r="AY834" s="12" t="e">
        <f>IF(Data!#REF!="","",IF(Data!$G834="",1,IF(ISNUMBER(MATCH(Data!#REF!,Data_Val!$D$2:$D$10,0)),0,1)))</f>
        <v>#REF!</v>
      </c>
      <c r="AZ834" s="11"/>
      <c r="BA834" s="19" t="e">
        <f ca="1">IF(Data!#REF!="","",IF(ISNUMBER(Data!#REF!),IF(AND(Data!#REF!&gt;(TODAY()-(Data_Val!$M$3*365.25)),Data!#REF!&lt;=(TODAY()-(Data_Val!$M$2*365.25))),0,1),1))</f>
        <v>#REF!</v>
      </c>
      <c r="BB834" s="11" t="e">
        <f>IF(Data!#REF!="","",IF(Data!$G834="",1,IF(ISNUMBER(MATCH(Data!#REF!,Data_Val!$D$2:$D$10,0)),0,1)))</f>
        <v>#REF!</v>
      </c>
      <c r="BC834" s="12"/>
      <c r="BD834" s="20" t="e">
        <f ca="1">IF(Data!#REF!="","",IF(ISNUMBER(Data!#REF!),IF(AND(Data!#REF!&gt;(TODAY()-(Data_Val!$M$3*365.25)),Data!#REF!&lt;=(TODAY()-(Data_Val!$M$2*365.25))),0,1),1))</f>
        <v>#REF!</v>
      </c>
      <c r="BE834" s="12" t="e">
        <f>IF(Data!#REF!="","",IF(Data!$G834="",1,IF(ISNUMBER(MATCH(Data!#REF!,Data_Val!$D$2:$D$10,0)),0,1)))</f>
        <v>#REF!</v>
      </c>
      <c r="BF834" s="17"/>
      <c r="BG834" s="18" t="e">
        <f ca="1">IF(Data!#REF!="","",IF(ISNUMBER(Data!#REF!),IF(AND(Data!#REF!&gt;(TODAY()-(Data_Val!$M$3*365.25)),Data!#REF!&lt;=(TODAY()-(Data_Val!$M$2*365.25))),0,1),1))</f>
        <v>#REF!</v>
      </c>
      <c r="BH834" s="29" t="e">
        <f>IF(Data!#REF!="","",IF(Data!$G834="",1,IF(ISNUMBER(MATCH(Data!#REF!,Data_Val!$D$2:$D$10,0)),0,1)))</f>
        <v>#REF!</v>
      </c>
      <c r="BI834" s="13"/>
      <c r="BJ834" s="21" t="e">
        <f ca="1">IF(Data!#REF!="","",IF(ISNUMBER(Data!#REF!),IF(AND(Data!#REF!&gt;(TODAY()-(Data_Val!$M$3*365.25)),Data!#REF!&lt;=(TODAY()-(Data_Val!$M$2*365.25))),0,1),1))</f>
        <v>#REF!</v>
      </c>
      <c r="BK834" s="13" t="e">
        <f>IF(Data!#REF!="","",IF(Data!$G834="",1,IF(ISNUMBER(MATCH(Data!#REF!,Data_Val!$D$2:$D$10,0)),0,1)))</f>
        <v>#REF!</v>
      </c>
    </row>
    <row r="835" spans="1:63" x14ac:dyDescent="0.25">
      <c r="A835" s="9" t="str">
        <f>IF(Data!B835="","",IF(COUNTIFS(Data!A$1:'Data'!A835,Data!A835)&lt;=1,0,1))</f>
        <v/>
      </c>
      <c r="B835" s="9"/>
      <c r="C835" s="23" t="str">
        <f>IF(Data!C835="","",(IF(ISNUMBER(MATCH("*@*.?*",Data!C835,0)),0,1)+IF(COUNTIFS(Data!C$1:'Data'!C835,Data!C835)&gt;1,1,0)))</f>
        <v/>
      </c>
      <c r="D835" s="9" t="str">
        <f>IF(Data!B835="","",IF(ISNUMBER(Data!D835),IF(AND(Data!D835&gt;999999999,Data!D835&lt;=9999999999),IF(COUNTIFS(Data!D$1:'Data'!D835,Data!D835)&lt;=1,0,1),1),1))</f>
        <v/>
      </c>
      <c r="E835" s="9" t="str">
        <f>IF(Data!B835="","",IF(ISNUMBER(MATCH(Data!E835,Data_Val!$A$2:$A$3,0)),0,1))</f>
        <v/>
      </c>
      <c r="F835" s="9" t="str">
        <f ca="1">IF(Data!B835="","",IF(ISNUMBER(Data!F835),IF(AND(Data!F835&gt;(TODAY()-(Data_Val!$H$3*365.25)),Data!F835&lt;=(TODAY()-(Data_Val!$H$2*365.25))),0,1),1))</f>
        <v/>
      </c>
      <c r="G835" s="15" t="str">
        <f>IF(Data!B835="","",IF(AND(Data!G835="",Data!H835&lt;&gt;""),1,IF(Data!#REF!&lt;&gt;"",0,IF(ISNUMBER(MATCH(Data!G835,Data_Val!$C$2:$C$5,0)),0,1))))</f>
        <v/>
      </c>
      <c r="H835" s="15" t="str">
        <f>IF(Data!B835="","",IF(AND(Data!G835&lt;&gt;"",Data!H835=""),1,IF(Data!#REF!&lt;&gt;"",0,IF(Data!G835="",1,IF(ISNUMBER(MATCH(Data!H835,Data_Val!$D$2:$D$35,0)),0,1)))))</f>
        <v/>
      </c>
      <c r="I835" s="15" t="str">
        <f>IF(Data!B835="","",IF(Data!G835&lt;&gt;"",0,IF(ISNUMBER(MATCH(Data!#REF!,Data_Val!$E$2:$E$12,0)),0,1)))</f>
        <v/>
      </c>
      <c r="J835" s="16" t="e">
        <f>IF(OR(Data!B835="",Data!#REF!=""),"",IF(Data!#REF!="",1,0))</f>
        <v>#REF!</v>
      </c>
      <c r="K835" s="16" t="e">
        <f>IF(OR(Data!B835="",Data!#REF!=""),"",IF(Data!#REF!="",1,0))</f>
        <v>#REF!</v>
      </c>
      <c r="L835" s="16" t="e">
        <f>IF(OR(Data!B835="",Data!#REF!=""),"",IF(ISNUMBER(Data!#REF!),IF(AND(Data!#REF!&gt;Data_Val!$G$2,Data!#REF!&lt;=Data_Val!$G$3),0,1),1))</f>
        <v>#REF!</v>
      </c>
      <c r="M835" s="9" t="e">
        <f>IF(OR(Data!B835="",Data!#REF!=""),"",IF(ISNUMBER(MATCH(Data!#REF!,Data_Val!$F$1:$F$38,0)),0,1))</f>
        <v>#REF!</v>
      </c>
      <c r="N835" s="9" t="e">
        <f>IF(OR(Data!B835="",Data!#REF!=""),"",IF(Data!#REF!="",1,0))</f>
        <v>#REF!</v>
      </c>
      <c r="O835" s="17" t="e">
        <f>IF(Data!#REF!="","",IF(Data!#REF!="",1,0))</f>
        <v>#REF!</v>
      </c>
      <c r="P835" s="17" t="e">
        <f>IF(Data!#REF!="","",IF(ISNUMBER(MATCH(Data!#REF!,Data_Val!$A$2:$A$3,0)),0,1))</f>
        <v>#REF!</v>
      </c>
      <c r="Q835" s="25" t="e">
        <f ca="1">IF(Data!#REF!="","",IF(ISNUMBER(Data!#REF!),IF(AND(Data!#REF!&gt;(TODAY()-(Data_Val!$J$3*365.25)),Data!#REF!&lt;=(TODAY()-(Data_Val!$J$2*365.25))),0,1),1))</f>
        <v>#REF!</v>
      </c>
      <c r="R835" s="17" t="e">
        <f>IF(Data!#REF!="","",IF(ISNUMBER(MATCH(Data!#REF!,Data_Val!$B$2:$B$15,0)),0,1))</f>
        <v>#REF!</v>
      </c>
      <c r="S835" s="11" t="str">
        <f>IF(Data!G835="","",IF(Data!G835=Data_Val!$C$2,IF(Data!M835="",0,1),0))</f>
        <v/>
      </c>
      <c r="T835" s="11" t="str">
        <f>IF(Data!M835="","",IF(ISNUMBER(MATCH(Data!N835,Data_Val!$A$2:$A$3,0)),0,1))</f>
        <v/>
      </c>
      <c r="U835" s="11" t="str">
        <f ca="1">IF(Data!M835="","",IF(ISNUMBER(Data!O835),IF(AND(Data!O835&gt;(TODAY()-(Data_Val!$K$3*365.25)),Data!O835&lt;=(TODAY()-(Data_Val!$K$2*365.25))),0,1),1))</f>
        <v/>
      </c>
      <c r="V835" s="12" t="str">
        <f>IF(Data!G835="","",IF(Data!G835=Data_Val!$C$2,IF(Data!P835="",0,1),0))</f>
        <v/>
      </c>
      <c r="W835" s="12" t="str">
        <f>IF(Data!P835="","",IF(ISNUMBER(MATCH(Data!Q835,Data_Val!$A$2:$A$3,0)),0,1))</f>
        <v/>
      </c>
      <c r="X835" s="26" t="str">
        <f ca="1">IF(Data!P835="","",IF(ISNUMBER(Data!R835),IF(AND(Data!R835&gt;(TODAY()-(Data_Val!$L$3*365.25)),Data!R835&lt;=(TODAY()-(Data_Val!$L$2*365.25))),0,1),1))</f>
        <v/>
      </c>
      <c r="Y835" s="13" t="str">
        <f>IF(Data!$G835="","",IF(Data!$G835=Data_Val!$C$2,IF(Data!S835="",0,1),0))</f>
        <v/>
      </c>
      <c r="Z835" s="13" t="str">
        <f>IF(Data!S835="","",IF(ISNUMBER(MATCH(Data!T835,Data_Val!$A$2:$A$3,0)),0,1))</f>
        <v/>
      </c>
      <c r="AA835" s="28" t="str">
        <f ca="1">IF(Data!S835="","",IF(ISNUMBER(Data!U835),IF(AND(Data!U835&gt;(TODAY()-(Data_Val!$L$3*365.25)),Data!U835&lt;=(TODAY()-(Data_Val!$L$2*365.25))),0,1),1))</f>
        <v/>
      </c>
      <c r="AB835" s="11"/>
      <c r="AC835" s="11" t="e">
        <f>IF(Data!#REF!="","",IF(ISNUMBER(MATCH(Data!#REF!,Data_Val!$A$2:$A$3,0)),0,1))</f>
        <v>#REF!</v>
      </c>
      <c r="AD835" s="11" t="e">
        <f ca="1">IF(Data!#REF!="","",IF(ISNUMBER(Data!#REF!),IF(AND(Data!#REF!&gt;(TODAY()-(Data_Val!$L$3*365.25)),Data!#REF!&lt;=(TODAY()-(Data_Val!$L$2*365.25))),0,1),1))</f>
        <v>#REF!</v>
      </c>
      <c r="AE835" s="11" t="e">
        <f>IF(Data!#REF!="","",IF(Data!$G835="",1,IF(ISNUMBER(MATCH(Data!#REF!,Data_Val!$D$2:$D$10,0)),0,1)))</f>
        <v>#REF!</v>
      </c>
      <c r="AF835" s="12"/>
      <c r="AG835" s="12" t="e">
        <f>IF(Data!#REF!="","",IF(ISNUMBER(MATCH(Data!#REF!,Data_Val!$A$2:$A$3,0)),0,1))</f>
        <v>#REF!</v>
      </c>
      <c r="AH835" s="26" t="e">
        <f ca="1">IF(Data!#REF!="","",IF(ISNUMBER(Data!#REF!),IF(AND(Data!#REF!&gt;(TODAY()-(Data_Val!$L$3*365.25)),Data!#REF!&lt;=(TODAY()-(Data_Val!$L$2*365.25))),0,1),1))</f>
        <v>#REF!</v>
      </c>
      <c r="AI835" s="12" t="e">
        <f>IF(Data!#REF!="","",IF(Data!$G835="",1,IF(ISNUMBER(MATCH(Data!#REF!,Data_Val!$D$2:$D$10,0)),0,1)))</f>
        <v>#REF!</v>
      </c>
      <c r="AJ835" s="17"/>
      <c r="AK835" s="17" t="e">
        <f>IF(Data!#REF!="","",IF(ISNUMBER(MATCH(Data!#REF!,Data_Val!$A$2:$A$3,0)),0,1))</f>
        <v>#REF!</v>
      </c>
      <c r="AL835" s="25" t="e">
        <f ca="1">IF(Data!#REF!="","",IF(ISNUMBER(Data!#REF!),IF(AND(Data!#REF!&gt;(TODAY()-(Data_Val!$L$3*365.25)),Data!#REF!&lt;=(TODAY()-(Data_Val!$L$2*365.25))),0,1),1))</f>
        <v>#REF!</v>
      </c>
      <c r="AM835" s="17" t="e">
        <f>IF(Data!#REF!="","",IF(Data!$G835="",1,IF(ISNUMBER(MATCH(Data!#REF!,Data_Val!$D$2:$D$10,0)),0,1)))</f>
        <v>#REF!</v>
      </c>
      <c r="AN835" s="13"/>
      <c r="AO835" s="28" t="e">
        <f ca="1">IF(Data!#REF!="","",IF(ISNUMBER(Data!#REF!),IF(AND(Data!#REF!&gt;(TODAY()-(Data_Val!$I$3*365.25)),Data!#REF!&lt;=(TODAY()-(Data_Val!$I$2*365.25))),0,1),1))</f>
        <v>#REF!</v>
      </c>
      <c r="AP835" s="13" t="e">
        <f>IF(Data!#REF!="","",IF(Data!$G835="",1,IF(ISNUMBER(MATCH(Data!#REF!,Data_Val!$D$2:$D$10,0)),0,1)))</f>
        <v>#REF!</v>
      </c>
      <c r="AQ835" s="17"/>
      <c r="AR835" s="30" t="e">
        <f ca="1">IF(Data!#REF!="","",IF(ISNUMBER(Data!#REF!),IF(AND(Data!#REF!&gt;(TODAY()-(Data_Val!$I$3*365.25)),Data!#REF!&lt;=(TODAY()-(Data_Val!$I$2*365.25))),0,1),1))</f>
        <v>#REF!</v>
      </c>
      <c r="AS835" s="31" t="e">
        <f>IF(Data!#REF!="","",IF(Data!$G835="",1,IF(ISNUMBER(MATCH(Data!#REF!,Data_Val!$D$2:$D$10,0)),0,1)))</f>
        <v>#REF!</v>
      </c>
      <c r="AT835" s="11"/>
      <c r="AU835" s="11" t="e">
        <f ca="1">IF(Data!#REF!="","",IF(ISNUMBER(Data!#REF!),IF(AND(Data!#REF!&gt;(TODAY()-(Data_Val!$I$3*365.25)),Data!#REF!&lt;=(TODAY()-(Data_Val!$I$2*365.25))),0,1),1))</f>
        <v>#REF!</v>
      </c>
      <c r="AV835" s="11" t="e">
        <f>IF(Data!#REF!="","",IF(Data!$G835="",1,IF(ISNUMBER(MATCH(Data!#REF!,Data_Val!$D$2:$D$10,0)),0,1)))</f>
        <v>#REF!</v>
      </c>
      <c r="AW835" s="12"/>
      <c r="AX835" s="26" t="e">
        <f ca="1">IF(Data!#REF!="","",IF(ISNUMBER(Data!#REF!),IF(AND(Data!#REF!&gt;(TODAY()-(Data_Val!$I$3*365.25)),Data!#REF!&lt;=(TODAY()-(Data_Val!$I$2*365.25))),0,1),1))</f>
        <v>#REF!</v>
      </c>
      <c r="AY835" s="12" t="e">
        <f>IF(Data!#REF!="","",IF(Data!$G835="",1,IF(ISNUMBER(MATCH(Data!#REF!,Data_Val!$D$2:$D$10,0)),0,1)))</f>
        <v>#REF!</v>
      </c>
      <c r="AZ835" s="11"/>
      <c r="BA835" s="19" t="e">
        <f ca="1">IF(Data!#REF!="","",IF(ISNUMBER(Data!#REF!),IF(AND(Data!#REF!&gt;(TODAY()-(Data_Val!$M$3*365.25)),Data!#REF!&lt;=(TODAY()-(Data_Val!$M$2*365.25))),0,1),1))</f>
        <v>#REF!</v>
      </c>
      <c r="BB835" s="11" t="e">
        <f>IF(Data!#REF!="","",IF(Data!$G835="",1,IF(ISNUMBER(MATCH(Data!#REF!,Data_Val!$D$2:$D$10,0)),0,1)))</f>
        <v>#REF!</v>
      </c>
      <c r="BC835" s="12"/>
      <c r="BD835" s="20" t="e">
        <f ca="1">IF(Data!#REF!="","",IF(ISNUMBER(Data!#REF!),IF(AND(Data!#REF!&gt;(TODAY()-(Data_Val!$M$3*365.25)),Data!#REF!&lt;=(TODAY()-(Data_Val!$M$2*365.25))),0,1),1))</f>
        <v>#REF!</v>
      </c>
      <c r="BE835" s="12" t="e">
        <f>IF(Data!#REF!="","",IF(Data!$G835="",1,IF(ISNUMBER(MATCH(Data!#REF!,Data_Val!$D$2:$D$10,0)),0,1)))</f>
        <v>#REF!</v>
      </c>
      <c r="BF835" s="17"/>
      <c r="BG835" s="18" t="e">
        <f ca="1">IF(Data!#REF!="","",IF(ISNUMBER(Data!#REF!),IF(AND(Data!#REF!&gt;(TODAY()-(Data_Val!$M$3*365.25)),Data!#REF!&lt;=(TODAY()-(Data_Val!$M$2*365.25))),0,1),1))</f>
        <v>#REF!</v>
      </c>
      <c r="BH835" s="29" t="e">
        <f>IF(Data!#REF!="","",IF(Data!$G835="",1,IF(ISNUMBER(MATCH(Data!#REF!,Data_Val!$D$2:$D$10,0)),0,1)))</f>
        <v>#REF!</v>
      </c>
      <c r="BI835" s="13"/>
      <c r="BJ835" s="21" t="e">
        <f ca="1">IF(Data!#REF!="","",IF(ISNUMBER(Data!#REF!),IF(AND(Data!#REF!&gt;(TODAY()-(Data_Val!$M$3*365.25)),Data!#REF!&lt;=(TODAY()-(Data_Val!$M$2*365.25))),0,1),1))</f>
        <v>#REF!</v>
      </c>
      <c r="BK835" s="13" t="e">
        <f>IF(Data!#REF!="","",IF(Data!$G835="",1,IF(ISNUMBER(MATCH(Data!#REF!,Data_Val!$D$2:$D$10,0)),0,1)))</f>
        <v>#REF!</v>
      </c>
    </row>
    <row r="836" spans="1:63" x14ac:dyDescent="0.25">
      <c r="A836" s="9" t="str">
        <f>IF(Data!B836="","",IF(COUNTIFS(Data!A$1:'Data'!A836,Data!A836)&lt;=1,0,1))</f>
        <v/>
      </c>
      <c r="B836" s="9"/>
      <c r="C836" s="23" t="str">
        <f>IF(Data!C836="","",(IF(ISNUMBER(MATCH("*@*.?*",Data!C836,0)),0,1)+IF(COUNTIFS(Data!C$1:'Data'!C836,Data!C836)&gt;1,1,0)))</f>
        <v/>
      </c>
      <c r="D836" s="9" t="str">
        <f>IF(Data!B836="","",IF(ISNUMBER(Data!D836),IF(AND(Data!D836&gt;999999999,Data!D836&lt;=9999999999),IF(COUNTIFS(Data!D$1:'Data'!D836,Data!D836)&lt;=1,0,1),1),1))</f>
        <v/>
      </c>
      <c r="E836" s="9" t="str">
        <f>IF(Data!B836="","",IF(ISNUMBER(MATCH(Data!E836,Data_Val!$A$2:$A$3,0)),0,1))</f>
        <v/>
      </c>
      <c r="F836" s="9" t="str">
        <f ca="1">IF(Data!B836="","",IF(ISNUMBER(Data!F836),IF(AND(Data!F836&gt;(TODAY()-(Data_Val!$H$3*365.25)),Data!F836&lt;=(TODAY()-(Data_Val!$H$2*365.25))),0,1),1))</f>
        <v/>
      </c>
      <c r="G836" s="15" t="str">
        <f>IF(Data!B836="","",IF(AND(Data!G836="",Data!H836&lt;&gt;""),1,IF(Data!#REF!&lt;&gt;"",0,IF(ISNUMBER(MATCH(Data!G836,Data_Val!$C$2:$C$5,0)),0,1))))</f>
        <v/>
      </c>
      <c r="H836" s="15" t="str">
        <f>IF(Data!B836="","",IF(AND(Data!G836&lt;&gt;"",Data!H836=""),1,IF(Data!#REF!&lt;&gt;"",0,IF(Data!G836="",1,IF(ISNUMBER(MATCH(Data!H836,Data_Val!$D$2:$D$35,0)),0,1)))))</f>
        <v/>
      </c>
      <c r="I836" s="15" t="str">
        <f>IF(Data!B836="","",IF(Data!G836&lt;&gt;"",0,IF(ISNUMBER(MATCH(Data!#REF!,Data_Val!$E$2:$E$12,0)),0,1)))</f>
        <v/>
      </c>
      <c r="J836" s="16" t="e">
        <f>IF(OR(Data!B836="",Data!#REF!=""),"",IF(Data!#REF!="",1,0))</f>
        <v>#REF!</v>
      </c>
      <c r="K836" s="16" t="e">
        <f>IF(OR(Data!B836="",Data!#REF!=""),"",IF(Data!#REF!="",1,0))</f>
        <v>#REF!</v>
      </c>
      <c r="L836" s="16" t="e">
        <f>IF(OR(Data!B836="",Data!#REF!=""),"",IF(ISNUMBER(Data!#REF!),IF(AND(Data!#REF!&gt;Data_Val!$G$2,Data!#REF!&lt;=Data_Val!$G$3),0,1),1))</f>
        <v>#REF!</v>
      </c>
      <c r="M836" s="9" t="e">
        <f>IF(OR(Data!B836="",Data!#REF!=""),"",IF(ISNUMBER(MATCH(Data!#REF!,Data_Val!$F$1:$F$38,0)),0,1))</f>
        <v>#REF!</v>
      </c>
      <c r="N836" s="9" t="e">
        <f>IF(OR(Data!B836="",Data!#REF!=""),"",IF(Data!#REF!="",1,0))</f>
        <v>#REF!</v>
      </c>
      <c r="O836" s="17" t="e">
        <f>IF(Data!#REF!="","",IF(Data!#REF!="",1,0))</f>
        <v>#REF!</v>
      </c>
      <c r="P836" s="17" t="e">
        <f>IF(Data!#REF!="","",IF(ISNUMBER(MATCH(Data!#REF!,Data_Val!$A$2:$A$3,0)),0,1))</f>
        <v>#REF!</v>
      </c>
      <c r="Q836" s="25" t="e">
        <f ca="1">IF(Data!#REF!="","",IF(ISNUMBER(Data!#REF!),IF(AND(Data!#REF!&gt;(TODAY()-(Data_Val!$J$3*365.25)),Data!#REF!&lt;=(TODAY()-(Data_Val!$J$2*365.25))),0,1),1))</f>
        <v>#REF!</v>
      </c>
      <c r="R836" s="17" t="e">
        <f>IF(Data!#REF!="","",IF(ISNUMBER(MATCH(Data!#REF!,Data_Val!$B$2:$B$15,0)),0,1))</f>
        <v>#REF!</v>
      </c>
      <c r="S836" s="11" t="str">
        <f>IF(Data!G836="","",IF(Data!G836=Data_Val!$C$2,IF(Data!M836="",0,1),0))</f>
        <v/>
      </c>
      <c r="T836" s="11" t="str">
        <f>IF(Data!M836="","",IF(ISNUMBER(MATCH(Data!N836,Data_Val!$A$2:$A$3,0)),0,1))</f>
        <v/>
      </c>
      <c r="U836" s="11" t="str">
        <f ca="1">IF(Data!M836="","",IF(ISNUMBER(Data!O836),IF(AND(Data!O836&gt;(TODAY()-(Data_Val!$K$3*365.25)),Data!O836&lt;=(TODAY()-(Data_Val!$K$2*365.25))),0,1),1))</f>
        <v/>
      </c>
      <c r="V836" s="12" t="str">
        <f>IF(Data!G836="","",IF(Data!G836=Data_Val!$C$2,IF(Data!P836="",0,1),0))</f>
        <v/>
      </c>
      <c r="W836" s="12" t="str">
        <f>IF(Data!P836="","",IF(ISNUMBER(MATCH(Data!Q836,Data_Val!$A$2:$A$3,0)),0,1))</f>
        <v/>
      </c>
      <c r="X836" s="26" t="str">
        <f ca="1">IF(Data!P836="","",IF(ISNUMBER(Data!R836),IF(AND(Data!R836&gt;(TODAY()-(Data_Val!$L$3*365.25)),Data!R836&lt;=(TODAY()-(Data_Val!$L$2*365.25))),0,1),1))</f>
        <v/>
      </c>
      <c r="Y836" s="13" t="str">
        <f>IF(Data!$G836="","",IF(Data!$G836=Data_Val!$C$2,IF(Data!S836="",0,1),0))</f>
        <v/>
      </c>
      <c r="Z836" s="13" t="str">
        <f>IF(Data!S836="","",IF(ISNUMBER(MATCH(Data!T836,Data_Val!$A$2:$A$3,0)),0,1))</f>
        <v/>
      </c>
      <c r="AA836" s="28" t="str">
        <f ca="1">IF(Data!S836="","",IF(ISNUMBER(Data!U836),IF(AND(Data!U836&gt;(TODAY()-(Data_Val!$L$3*365.25)),Data!U836&lt;=(TODAY()-(Data_Val!$L$2*365.25))),0,1),1))</f>
        <v/>
      </c>
      <c r="AB836" s="11"/>
      <c r="AC836" s="11" t="e">
        <f>IF(Data!#REF!="","",IF(ISNUMBER(MATCH(Data!#REF!,Data_Val!$A$2:$A$3,0)),0,1))</f>
        <v>#REF!</v>
      </c>
      <c r="AD836" s="11" t="e">
        <f ca="1">IF(Data!#REF!="","",IF(ISNUMBER(Data!#REF!),IF(AND(Data!#REF!&gt;(TODAY()-(Data_Val!$L$3*365.25)),Data!#REF!&lt;=(TODAY()-(Data_Val!$L$2*365.25))),0,1),1))</f>
        <v>#REF!</v>
      </c>
      <c r="AE836" s="11" t="e">
        <f>IF(Data!#REF!="","",IF(Data!$G836="",1,IF(ISNUMBER(MATCH(Data!#REF!,Data_Val!$D$2:$D$10,0)),0,1)))</f>
        <v>#REF!</v>
      </c>
      <c r="AF836" s="12"/>
      <c r="AG836" s="12" t="e">
        <f>IF(Data!#REF!="","",IF(ISNUMBER(MATCH(Data!#REF!,Data_Val!$A$2:$A$3,0)),0,1))</f>
        <v>#REF!</v>
      </c>
      <c r="AH836" s="26" t="e">
        <f ca="1">IF(Data!#REF!="","",IF(ISNUMBER(Data!#REF!),IF(AND(Data!#REF!&gt;(TODAY()-(Data_Val!$L$3*365.25)),Data!#REF!&lt;=(TODAY()-(Data_Val!$L$2*365.25))),0,1),1))</f>
        <v>#REF!</v>
      </c>
      <c r="AI836" s="12" t="e">
        <f>IF(Data!#REF!="","",IF(Data!$G836="",1,IF(ISNUMBER(MATCH(Data!#REF!,Data_Val!$D$2:$D$10,0)),0,1)))</f>
        <v>#REF!</v>
      </c>
      <c r="AJ836" s="17"/>
      <c r="AK836" s="17" t="e">
        <f>IF(Data!#REF!="","",IF(ISNUMBER(MATCH(Data!#REF!,Data_Val!$A$2:$A$3,0)),0,1))</f>
        <v>#REF!</v>
      </c>
      <c r="AL836" s="25" t="e">
        <f ca="1">IF(Data!#REF!="","",IF(ISNUMBER(Data!#REF!),IF(AND(Data!#REF!&gt;(TODAY()-(Data_Val!$L$3*365.25)),Data!#REF!&lt;=(TODAY()-(Data_Val!$L$2*365.25))),0,1),1))</f>
        <v>#REF!</v>
      </c>
      <c r="AM836" s="17" t="e">
        <f>IF(Data!#REF!="","",IF(Data!$G836="",1,IF(ISNUMBER(MATCH(Data!#REF!,Data_Val!$D$2:$D$10,0)),0,1)))</f>
        <v>#REF!</v>
      </c>
      <c r="AN836" s="13"/>
      <c r="AO836" s="28" t="e">
        <f ca="1">IF(Data!#REF!="","",IF(ISNUMBER(Data!#REF!),IF(AND(Data!#REF!&gt;(TODAY()-(Data_Val!$I$3*365.25)),Data!#REF!&lt;=(TODAY()-(Data_Val!$I$2*365.25))),0,1),1))</f>
        <v>#REF!</v>
      </c>
      <c r="AP836" s="13" t="e">
        <f>IF(Data!#REF!="","",IF(Data!$G836="",1,IF(ISNUMBER(MATCH(Data!#REF!,Data_Val!$D$2:$D$10,0)),0,1)))</f>
        <v>#REF!</v>
      </c>
      <c r="AQ836" s="17"/>
      <c r="AR836" s="30" t="e">
        <f ca="1">IF(Data!#REF!="","",IF(ISNUMBER(Data!#REF!),IF(AND(Data!#REF!&gt;(TODAY()-(Data_Val!$I$3*365.25)),Data!#REF!&lt;=(TODAY()-(Data_Val!$I$2*365.25))),0,1),1))</f>
        <v>#REF!</v>
      </c>
      <c r="AS836" s="31" t="e">
        <f>IF(Data!#REF!="","",IF(Data!$G836="",1,IF(ISNUMBER(MATCH(Data!#REF!,Data_Val!$D$2:$D$10,0)),0,1)))</f>
        <v>#REF!</v>
      </c>
      <c r="AT836" s="11"/>
      <c r="AU836" s="11" t="e">
        <f ca="1">IF(Data!#REF!="","",IF(ISNUMBER(Data!#REF!),IF(AND(Data!#REF!&gt;(TODAY()-(Data_Val!$I$3*365.25)),Data!#REF!&lt;=(TODAY()-(Data_Val!$I$2*365.25))),0,1),1))</f>
        <v>#REF!</v>
      </c>
      <c r="AV836" s="11" t="e">
        <f>IF(Data!#REF!="","",IF(Data!$G836="",1,IF(ISNUMBER(MATCH(Data!#REF!,Data_Val!$D$2:$D$10,0)),0,1)))</f>
        <v>#REF!</v>
      </c>
      <c r="AW836" s="12"/>
      <c r="AX836" s="26" t="e">
        <f ca="1">IF(Data!#REF!="","",IF(ISNUMBER(Data!#REF!),IF(AND(Data!#REF!&gt;(TODAY()-(Data_Val!$I$3*365.25)),Data!#REF!&lt;=(TODAY()-(Data_Val!$I$2*365.25))),0,1),1))</f>
        <v>#REF!</v>
      </c>
      <c r="AY836" s="12" t="e">
        <f>IF(Data!#REF!="","",IF(Data!$G836="",1,IF(ISNUMBER(MATCH(Data!#REF!,Data_Val!$D$2:$D$10,0)),0,1)))</f>
        <v>#REF!</v>
      </c>
      <c r="AZ836" s="11"/>
      <c r="BA836" s="19" t="e">
        <f ca="1">IF(Data!#REF!="","",IF(ISNUMBER(Data!#REF!),IF(AND(Data!#REF!&gt;(TODAY()-(Data_Val!$M$3*365.25)),Data!#REF!&lt;=(TODAY()-(Data_Val!$M$2*365.25))),0,1),1))</f>
        <v>#REF!</v>
      </c>
      <c r="BB836" s="11" t="e">
        <f>IF(Data!#REF!="","",IF(Data!$G836="",1,IF(ISNUMBER(MATCH(Data!#REF!,Data_Val!$D$2:$D$10,0)),0,1)))</f>
        <v>#REF!</v>
      </c>
      <c r="BC836" s="12"/>
      <c r="BD836" s="20" t="e">
        <f ca="1">IF(Data!#REF!="","",IF(ISNUMBER(Data!#REF!),IF(AND(Data!#REF!&gt;(TODAY()-(Data_Val!$M$3*365.25)),Data!#REF!&lt;=(TODAY()-(Data_Val!$M$2*365.25))),0,1),1))</f>
        <v>#REF!</v>
      </c>
      <c r="BE836" s="12" t="e">
        <f>IF(Data!#REF!="","",IF(Data!$G836="",1,IF(ISNUMBER(MATCH(Data!#REF!,Data_Val!$D$2:$D$10,0)),0,1)))</f>
        <v>#REF!</v>
      </c>
      <c r="BF836" s="17"/>
      <c r="BG836" s="18" t="e">
        <f ca="1">IF(Data!#REF!="","",IF(ISNUMBER(Data!#REF!),IF(AND(Data!#REF!&gt;(TODAY()-(Data_Val!$M$3*365.25)),Data!#REF!&lt;=(TODAY()-(Data_Val!$M$2*365.25))),0,1),1))</f>
        <v>#REF!</v>
      </c>
      <c r="BH836" s="29" t="e">
        <f>IF(Data!#REF!="","",IF(Data!$G836="",1,IF(ISNUMBER(MATCH(Data!#REF!,Data_Val!$D$2:$D$10,0)),0,1)))</f>
        <v>#REF!</v>
      </c>
      <c r="BI836" s="13"/>
      <c r="BJ836" s="21" t="e">
        <f ca="1">IF(Data!#REF!="","",IF(ISNUMBER(Data!#REF!),IF(AND(Data!#REF!&gt;(TODAY()-(Data_Val!$M$3*365.25)),Data!#REF!&lt;=(TODAY()-(Data_Val!$M$2*365.25))),0,1),1))</f>
        <v>#REF!</v>
      </c>
      <c r="BK836" s="13" t="e">
        <f>IF(Data!#REF!="","",IF(Data!$G836="",1,IF(ISNUMBER(MATCH(Data!#REF!,Data_Val!$D$2:$D$10,0)),0,1)))</f>
        <v>#REF!</v>
      </c>
    </row>
    <row r="837" spans="1:63" x14ac:dyDescent="0.25">
      <c r="A837" s="9" t="str">
        <f>IF(Data!B837="","",IF(COUNTIFS(Data!A$1:'Data'!A837,Data!A837)&lt;=1,0,1))</f>
        <v/>
      </c>
      <c r="B837" s="9"/>
      <c r="C837" s="23" t="str">
        <f>IF(Data!C837="","",(IF(ISNUMBER(MATCH("*@*.?*",Data!C837,0)),0,1)+IF(COUNTIFS(Data!C$1:'Data'!C837,Data!C837)&gt;1,1,0)))</f>
        <v/>
      </c>
      <c r="D837" s="9" t="str">
        <f>IF(Data!B837="","",IF(ISNUMBER(Data!D837),IF(AND(Data!D837&gt;999999999,Data!D837&lt;=9999999999),IF(COUNTIFS(Data!D$1:'Data'!D837,Data!D837)&lt;=1,0,1),1),1))</f>
        <v/>
      </c>
      <c r="E837" s="9" t="str">
        <f>IF(Data!B837="","",IF(ISNUMBER(MATCH(Data!E837,Data_Val!$A$2:$A$3,0)),0,1))</f>
        <v/>
      </c>
      <c r="F837" s="9" t="str">
        <f ca="1">IF(Data!B837="","",IF(ISNUMBER(Data!F837),IF(AND(Data!F837&gt;(TODAY()-(Data_Val!$H$3*365.25)),Data!F837&lt;=(TODAY()-(Data_Val!$H$2*365.25))),0,1),1))</f>
        <v/>
      </c>
      <c r="G837" s="15" t="str">
        <f>IF(Data!B837="","",IF(AND(Data!G837="",Data!H837&lt;&gt;""),1,IF(Data!#REF!&lt;&gt;"",0,IF(ISNUMBER(MATCH(Data!G837,Data_Val!$C$2:$C$5,0)),0,1))))</f>
        <v/>
      </c>
      <c r="H837" s="15" t="str">
        <f>IF(Data!B837="","",IF(AND(Data!G837&lt;&gt;"",Data!H837=""),1,IF(Data!#REF!&lt;&gt;"",0,IF(Data!G837="",1,IF(ISNUMBER(MATCH(Data!H837,Data_Val!$D$2:$D$35,0)),0,1)))))</f>
        <v/>
      </c>
      <c r="I837" s="15" t="str">
        <f>IF(Data!B837="","",IF(Data!G837&lt;&gt;"",0,IF(ISNUMBER(MATCH(Data!#REF!,Data_Val!$E$2:$E$12,0)),0,1)))</f>
        <v/>
      </c>
      <c r="J837" s="16" t="e">
        <f>IF(OR(Data!B837="",Data!#REF!=""),"",IF(Data!#REF!="",1,0))</f>
        <v>#REF!</v>
      </c>
      <c r="K837" s="16" t="e">
        <f>IF(OR(Data!B837="",Data!#REF!=""),"",IF(Data!#REF!="",1,0))</f>
        <v>#REF!</v>
      </c>
      <c r="L837" s="16" t="e">
        <f>IF(OR(Data!B837="",Data!#REF!=""),"",IF(ISNUMBER(Data!#REF!),IF(AND(Data!#REF!&gt;Data_Val!$G$2,Data!#REF!&lt;=Data_Val!$G$3),0,1),1))</f>
        <v>#REF!</v>
      </c>
      <c r="M837" s="9" t="e">
        <f>IF(OR(Data!B837="",Data!#REF!=""),"",IF(ISNUMBER(MATCH(Data!#REF!,Data_Val!$F$1:$F$38,0)),0,1))</f>
        <v>#REF!</v>
      </c>
      <c r="N837" s="9" t="e">
        <f>IF(OR(Data!B837="",Data!#REF!=""),"",IF(Data!#REF!="",1,0))</f>
        <v>#REF!</v>
      </c>
      <c r="O837" s="17" t="e">
        <f>IF(Data!#REF!="","",IF(Data!#REF!="",1,0))</f>
        <v>#REF!</v>
      </c>
      <c r="P837" s="17" t="e">
        <f>IF(Data!#REF!="","",IF(ISNUMBER(MATCH(Data!#REF!,Data_Val!$A$2:$A$3,0)),0,1))</f>
        <v>#REF!</v>
      </c>
      <c r="Q837" s="25" t="e">
        <f ca="1">IF(Data!#REF!="","",IF(ISNUMBER(Data!#REF!),IF(AND(Data!#REF!&gt;(TODAY()-(Data_Val!$J$3*365.25)),Data!#REF!&lt;=(TODAY()-(Data_Val!$J$2*365.25))),0,1),1))</f>
        <v>#REF!</v>
      </c>
      <c r="R837" s="17" t="e">
        <f>IF(Data!#REF!="","",IF(ISNUMBER(MATCH(Data!#REF!,Data_Val!$B$2:$B$15,0)),0,1))</f>
        <v>#REF!</v>
      </c>
      <c r="S837" s="11" t="str">
        <f>IF(Data!G837="","",IF(Data!G837=Data_Val!$C$2,IF(Data!M837="",0,1),0))</f>
        <v/>
      </c>
      <c r="T837" s="11" t="str">
        <f>IF(Data!M837="","",IF(ISNUMBER(MATCH(Data!N837,Data_Val!$A$2:$A$3,0)),0,1))</f>
        <v/>
      </c>
      <c r="U837" s="11" t="str">
        <f ca="1">IF(Data!M837="","",IF(ISNUMBER(Data!O837),IF(AND(Data!O837&gt;(TODAY()-(Data_Val!$K$3*365.25)),Data!O837&lt;=(TODAY()-(Data_Val!$K$2*365.25))),0,1),1))</f>
        <v/>
      </c>
      <c r="V837" s="12" t="str">
        <f>IF(Data!G837="","",IF(Data!G837=Data_Val!$C$2,IF(Data!P837="",0,1),0))</f>
        <v/>
      </c>
      <c r="W837" s="12" t="str">
        <f>IF(Data!P837="","",IF(ISNUMBER(MATCH(Data!Q837,Data_Val!$A$2:$A$3,0)),0,1))</f>
        <v/>
      </c>
      <c r="X837" s="26" t="str">
        <f ca="1">IF(Data!P837="","",IF(ISNUMBER(Data!R837),IF(AND(Data!R837&gt;(TODAY()-(Data_Val!$L$3*365.25)),Data!R837&lt;=(TODAY()-(Data_Val!$L$2*365.25))),0,1),1))</f>
        <v/>
      </c>
      <c r="Y837" s="13" t="str">
        <f>IF(Data!$G837="","",IF(Data!$G837=Data_Val!$C$2,IF(Data!S837="",0,1),0))</f>
        <v/>
      </c>
      <c r="Z837" s="13" t="str">
        <f>IF(Data!S837="","",IF(ISNUMBER(MATCH(Data!T837,Data_Val!$A$2:$A$3,0)),0,1))</f>
        <v/>
      </c>
      <c r="AA837" s="28" t="str">
        <f ca="1">IF(Data!S837="","",IF(ISNUMBER(Data!U837),IF(AND(Data!U837&gt;(TODAY()-(Data_Val!$L$3*365.25)),Data!U837&lt;=(TODAY()-(Data_Val!$L$2*365.25))),0,1),1))</f>
        <v/>
      </c>
      <c r="AB837" s="11"/>
      <c r="AC837" s="11" t="e">
        <f>IF(Data!#REF!="","",IF(ISNUMBER(MATCH(Data!#REF!,Data_Val!$A$2:$A$3,0)),0,1))</f>
        <v>#REF!</v>
      </c>
      <c r="AD837" s="11" t="e">
        <f ca="1">IF(Data!#REF!="","",IF(ISNUMBER(Data!#REF!),IF(AND(Data!#REF!&gt;(TODAY()-(Data_Val!$L$3*365.25)),Data!#REF!&lt;=(TODAY()-(Data_Val!$L$2*365.25))),0,1),1))</f>
        <v>#REF!</v>
      </c>
      <c r="AE837" s="11" t="e">
        <f>IF(Data!#REF!="","",IF(Data!$G837="",1,IF(ISNUMBER(MATCH(Data!#REF!,Data_Val!$D$2:$D$10,0)),0,1)))</f>
        <v>#REF!</v>
      </c>
      <c r="AF837" s="12"/>
      <c r="AG837" s="12" t="e">
        <f>IF(Data!#REF!="","",IF(ISNUMBER(MATCH(Data!#REF!,Data_Val!$A$2:$A$3,0)),0,1))</f>
        <v>#REF!</v>
      </c>
      <c r="AH837" s="26" t="e">
        <f ca="1">IF(Data!#REF!="","",IF(ISNUMBER(Data!#REF!),IF(AND(Data!#REF!&gt;(TODAY()-(Data_Val!$L$3*365.25)),Data!#REF!&lt;=(TODAY()-(Data_Val!$L$2*365.25))),0,1),1))</f>
        <v>#REF!</v>
      </c>
      <c r="AI837" s="12" t="e">
        <f>IF(Data!#REF!="","",IF(Data!$G837="",1,IF(ISNUMBER(MATCH(Data!#REF!,Data_Val!$D$2:$D$10,0)),0,1)))</f>
        <v>#REF!</v>
      </c>
      <c r="AJ837" s="17"/>
      <c r="AK837" s="17" t="e">
        <f>IF(Data!#REF!="","",IF(ISNUMBER(MATCH(Data!#REF!,Data_Val!$A$2:$A$3,0)),0,1))</f>
        <v>#REF!</v>
      </c>
      <c r="AL837" s="25" t="e">
        <f ca="1">IF(Data!#REF!="","",IF(ISNUMBER(Data!#REF!),IF(AND(Data!#REF!&gt;(TODAY()-(Data_Val!$L$3*365.25)),Data!#REF!&lt;=(TODAY()-(Data_Val!$L$2*365.25))),0,1),1))</f>
        <v>#REF!</v>
      </c>
      <c r="AM837" s="17" t="e">
        <f>IF(Data!#REF!="","",IF(Data!$G837="",1,IF(ISNUMBER(MATCH(Data!#REF!,Data_Val!$D$2:$D$10,0)),0,1)))</f>
        <v>#REF!</v>
      </c>
      <c r="AN837" s="13"/>
      <c r="AO837" s="28" t="e">
        <f ca="1">IF(Data!#REF!="","",IF(ISNUMBER(Data!#REF!),IF(AND(Data!#REF!&gt;(TODAY()-(Data_Val!$I$3*365.25)),Data!#REF!&lt;=(TODAY()-(Data_Val!$I$2*365.25))),0,1),1))</f>
        <v>#REF!</v>
      </c>
      <c r="AP837" s="13" t="e">
        <f>IF(Data!#REF!="","",IF(Data!$G837="",1,IF(ISNUMBER(MATCH(Data!#REF!,Data_Val!$D$2:$D$10,0)),0,1)))</f>
        <v>#REF!</v>
      </c>
      <c r="AQ837" s="17"/>
      <c r="AR837" s="30" t="e">
        <f ca="1">IF(Data!#REF!="","",IF(ISNUMBER(Data!#REF!),IF(AND(Data!#REF!&gt;(TODAY()-(Data_Val!$I$3*365.25)),Data!#REF!&lt;=(TODAY()-(Data_Val!$I$2*365.25))),0,1),1))</f>
        <v>#REF!</v>
      </c>
      <c r="AS837" s="31" t="e">
        <f>IF(Data!#REF!="","",IF(Data!$G837="",1,IF(ISNUMBER(MATCH(Data!#REF!,Data_Val!$D$2:$D$10,0)),0,1)))</f>
        <v>#REF!</v>
      </c>
      <c r="AT837" s="11"/>
      <c r="AU837" s="11" t="e">
        <f ca="1">IF(Data!#REF!="","",IF(ISNUMBER(Data!#REF!),IF(AND(Data!#REF!&gt;(TODAY()-(Data_Val!$I$3*365.25)),Data!#REF!&lt;=(TODAY()-(Data_Val!$I$2*365.25))),0,1),1))</f>
        <v>#REF!</v>
      </c>
      <c r="AV837" s="11" t="e">
        <f>IF(Data!#REF!="","",IF(Data!$G837="",1,IF(ISNUMBER(MATCH(Data!#REF!,Data_Val!$D$2:$D$10,0)),0,1)))</f>
        <v>#REF!</v>
      </c>
      <c r="AW837" s="12"/>
      <c r="AX837" s="26" t="e">
        <f ca="1">IF(Data!#REF!="","",IF(ISNUMBER(Data!#REF!),IF(AND(Data!#REF!&gt;(TODAY()-(Data_Val!$I$3*365.25)),Data!#REF!&lt;=(TODAY()-(Data_Val!$I$2*365.25))),0,1),1))</f>
        <v>#REF!</v>
      </c>
      <c r="AY837" s="12" t="e">
        <f>IF(Data!#REF!="","",IF(Data!$G837="",1,IF(ISNUMBER(MATCH(Data!#REF!,Data_Val!$D$2:$D$10,0)),0,1)))</f>
        <v>#REF!</v>
      </c>
      <c r="AZ837" s="11"/>
      <c r="BA837" s="19" t="e">
        <f ca="1">IF(Data!#REF!="","",IF(ISNUMBER(Data!#REF!),IF(AND(Data!#REF!&gt;(TODAY()-(Data_Val!$M$3*365.25)),Data!#REF!&lt;=(TODAY()-(Data_Val!$M$2*365.25))),0,1),1))</f>
        <v>#REF!</v>
      </c>
      <c r="BB837" s="11" t="e">
        <f>IF(Data!#REF!="","",IF(Data!$G837="",1,IF(ISNUMBER(MATCH(Data!#REF!,Data_Val!$D$2:$D$10,0)),0,1)))</f>
        <v>#REF!</v>
      </c>
      <c r="BC837" s="12"/>
      <c r="BD837" s="20" t="e">
        <f ca="1">IF(Data!#REF!="","",IF(ISNUMBER(Data!#REF!),IF(AND(Data!#REF!&gt;(TODAY()-(Data_Val!$M$3*365.25)),Data!#REF!&lt;=(TODAY()-(Data_Val!$M$2*365.25))),0,1),1))</f>
        <v>#REF!</v>
      </c>
      <c r="BE837" s="12" t="e">
        <f>IF(Data!#REF!="","",IF(Data!$G837="",1,IF(ISNUMBER(MATCH(Data!#REF!,Data_Val!$D$2:$D$10,0)),0,1)))</f>
        <v>#REF!</v>
      </c>
      <c r="BF837" s="17"/>
      <c r="BG837" s="18" t="e">
        <f ca="1">IF(Data!#REF!="","",IF(ISNUMBER(Data!#REF!),IF(AND(Data!#REF!&gt;(TODAY()-(Data_Val!$M$3*365.25)),Data!#REF!&lt;=(TODAY()-(Data_Val!$M$2*365.25))),0,1),1))</f>
        <v>#REF!</v>
      </c>
      <c r="BH837" s="29" t="e">
        <f>IF(Data!#REF!="","",IF(Data!$G837="",1,IF(ISNUMBER(MATCH(Data!#REF!,Data_Val!$D$2:$D$10,0)),0,1)))</f>
        <v>#REF!</v>
      </c>
      <c r="BI837" s="13"/>
      <c r="BJ837" s="21" t="e">
        <f ca="1">IF(Data!#REF!="","",IF(ISNUMBER(Data!#REF!),IF(AND(Data!#REF!&gt;(TODAY()-(Data_Val!$M$3*365.25)),Data!#REF!&lt;=(TODAY()-(Data_Val!$M$2*365.25))),0,1),1))</f>
        <v>#REF!</v>
      </c>
      <c r="BK837" s="13" t="e">
        <f>IF(Data!#REF!="","",IF(Data!$G837="",1,IF(ISNUMBER(MATCH(Data!#REF!,Data_Val!$D$2:$D$10,0)),0,1)))</f>
        <v>#REF!</v>
      </c>
    </row>
    <row r="838" spans="1:63" x14ac:dyDescent="0.25">
      <c r="A838" s="9" t="str">
        <f>IF(Data!B838="","",IF(COUNTIFS(Data!A$1:'Data'!A838,Data!A838)&lt;=1,0,1))</f>
        <v/>
      </c>
      <c r="B838" s="9"/>
      <c r="C838" s="23" t="str">
        <f>IF(Data!C838="","",(IF(ISNUMBER(MATCH("*@*.?*",Data!C838,0)),0,1)+IF(COUNTIFS(Data!C$1:'Data'!C838,Data!C838)&gt;1,1,0)))</f>
        <v/>
      </c>
      <c r="D838" s="9" t="str">
        <f>IF(Data!B838="","",IF(ISNUMBER(Data!D838),IF(AND(Data!D838&gt;999999999,Data!D838&lt;=9999999999),IF(COUNTIFS(Data!D$1:'Data'!D838,Data!D838)&lt;=1,0,1),1),1))</f>
        <v/>
      </c>
      <c r="E838" s="9" t="str">
        <f>IF(Data!B838="","",IF(ISNUMBER(MATCH(Data!E838,Data_Val!$A$2:$A$3,0)),0,1))</f>
        <v/>
      </c>
      <c r="F838" s="9" t="str">
        <f ca="1">IF(Data!B838="","",IF(ISNUMBER(Data!F838),IF(AND(Data!F838&gt;(TODAY()-(Data_Val!$H$3*365.25)),Data!F838&lt;=(TODAY()-(Data_Val!$H$2*365.25))),0,1),1))</f>
        <v/>
      </c>
      <c r="G838" s="15" t="str">
        <f>IF(Data!B838="","",IF(AND(Data!G838="",Data!H838&lt;&gt;""),1,IF(Data!#REF!&lt;&gt;"",0,IF(ISNUMBER(MATCH(Data!G838,Data_Val!$C$2:$C$5,0)),0,1))))</f>
        <v/>
      </c>
      <c r="H838" s="15" t="str">
        <f>IF(Data!B838="","",IF(AND(Data!G838&lt;&gt;"",Data!H838=""),1,IF(Data!#REF!&lt;&gt;"",0,IF(Data!G838="",1,IF(ISNUMBER(MATCH(Data!H838,Data_Val!$D$2:$D$35,0)),0,1)))))</f>
        <v/>
      </c>
      <c r="I838" s="15" t="str">
        <f>IF(Data!B838="","",IF(Data!G838&lt;&gt;"",0,IF(ISNUMBER(MATCH(Data!#REF!,Data_Val!$E$2:$E$12,0)),0,1)))</f>
        <v/>
      </c>
      <c r="J838" s="16" t="e">
        <f>IF(OR(Data!B838="",Data!#REF!=""),"",IF(Data!#REF!="",1,0))</f>
        <v>#REF!</v>
      </c>
      <c r="K838" s="16" t="e">
        <f>IF(OR(Data!B838="",Data!#REF!=""),"",IF(Data!#REF!="",1,0))</f>
        <v>#REF!</v>
      </c>
      <c r="L838" s="16" t="e">
        <f>IF(OR(Data!B838="",Data!#REF!=""),"",IF(ISNUMBER(Data!#REF!),IF(AND(Data!#REF!&gt;Data_Val!$G$2,Data!#REF!&lt;=Data_Val!$G$3),0,1),1))</f>
        <v>#REF!</v>
      </c>
      <c r="M838" s="9" t="e">
        <f>IF(OR(Data!B838="",Data!#REF!=""),"",IF(ISNUMBER(MATCH(Data!#REF!,Data_Val!$F$1:$F$38,0)),0,1))</f>
        <v>#REF!</v>
      </c>
      <c r="N838" s="9" t="e">
        <f>IF(OR(Data!B838="",Data!#REF!=""),"",IF(Data!#REF!="",1,0))</f>
        <v>#REF!</v>
      </c>
      <c r="O838" s="17" t="e">
        <f>IF(Data!#REF!="","",IF(Data!#REF!="",1,0))</f>
        <v>#REF!</v>
      </c>
      <c r="P838" s="17" t="e">
        <f>IF(Data!#REF!="","",IF(ISNUMBER(MATCH(Data!#REF!,Data_Val!$A$2:$A$3,0)),0,1))</f>
        <v>#REF!</v>
      </c>
      <c r="Q838" s="25" t="e">
        <f ca="1">IF(Data!#REF!="","",IF(ISNUMBER(Data!#REF!),IF(AND(Data!#REF!&gt;(TODAY()-(Data_Val!$J$3*365.25)),Data!#REF!&lt;=(TODAY()-(Data_Val!$J$2*365.25))),0,1),1))</f>
        <v>#REF!</v>
      </c>
      <c r="R838" s="17" t="e">
        <f>IF(Data!#REF!="","",IF(ISNUMBER(MATCH(Data!#REF!,Data_Val!$B$2:$B$15,0)),0,1))</f>
        <v>#REF!</v>
      </c>
      <c r="S838" s="11" t="str">
        <f>IF(Data!G838="","",IF(Data!G838=Data_Val!$C$2,IF(Data!M838="",0,1),0))</f>
        <v/>
      </c>
      <c r="T838" s="11" t="str">
        <f>IF(Data!M838="","",IF(ISNUMBER(MATCH(Data!N838,Data_Val!$A$2:$A$3,0)),0,1))</f>
        <v/>
      </c>
      <c r="U838" s="11" t="str">
        <f ca="1">IF(Data!M838="","",IF(ISNUMBER(Data!O838),IF(AND(Data!O838&gt;(TODAY()-(Data_Val!$K$3*365.25)),Data!O838&lt;=(TODAY()-(Data_Val!$K$2*365.25))),0,1),1))</f>
        <v/>
      </c>
      <c r="V838" s="12" t="str">
        <f>IF(Data!G838="","",IF(Data!G838=Data_Val!$C$2,IF(Data!P838="",0,1),0))</f>
        <v/>
      </c>
      <c r="W838" s="12" t="str">
        <f>IF(Data!P838="","",IF(ISNUMBER(MATCH(Data!Q838,Data_Val!$A$2:$A$3,0)),0,1))</f>
        <v/>
      </c>
      <c r="X838" s="26" t="str">
        <f ca="1">IF(Data!P838="","",IF(ISNUMBER(Data!R838),IF(AND(Data!R838&gt;(TODAY()-(Data_Val!$L$3*365.25)),Data!R838&lt;=(TODAY()-(Data_Val!$L$2*365.25))),0,1),1))</f>
        <v/>
      </c>
      <c r="Y838" s="13" t="str">
        <f>IF(Data!$G838="","",IF(Data!$G838=Data_Val!$C$2,IF(Data!S838="",0,1),0))</f>
        <v/>
      </c>
      <c r="Z838" s="13" t="str">
        <f>IF(Data!S838="","",IF(ISNUMBER(MATCH(Data!T838,Data_Val!$A$2:$A$3,0)),0,1))</f>
        <v/>
      </c>
      <c r="AA838" s="28" t="str">
        <f ca="1">IF(Data!S838="","",IF(ISNUMBER(Data!U838),IF(AND(Data!U838&gt;(TODAY()-(Data_Val!$L$3*365.25)),Data!U838&lt;=(TODAY()-(Data_Val!$L$2*365.25))),0,1),1))</f>
        <v/>
      </c>
      <c r="AB838" s="11"/>
      <c r="AC838" s="11" t="e">
        <f>IF(Data!#REF!="","",IF(ISNUMBER(MATCH(Data!#REF!,Data_Val!$A$2:$A$3,0)),0,1))</f>
        <v>#REF!</v>
      </c>
      <c r="AD838" s="11" t="e">
        <f ca="1">IF(Data!#REF!="","",IF(ISNUMBER(Data!#REF!),IF(AND(Data!#REF!&gt;(TODAY()-(Data_Val!$L$3*365.25)),Data!#REF!&lt;=(TODAY()-(Data_Val!$L$2*365.25))),0,1),1))</f>
        <v>#REF!</v>
      </c>
      <c r="AE838" s="11" t="e">
        <f>IF(Data!#REF!="","",IF(Data!$G838="",1,IF(ISNUMBER(MATCH(Data!#REF!,Data_Val!$D$2:$D$10,0)),0,1)))</f>
        <v>#REF!</v>
      </c>
      <c r="AF838" s="12"/>
      <c r="AG838" s="12" t="e">
        <f>IF(Data!#REF!="","",IF(ISNUMBER(MATCH(Data!#REF!,Data_Val!$A$2:$A$3,0)),0,1))</f>
        <v>#REF!</v>
      </c>
      <c r="AH838" s="26" t="e">
        <f ca="1">IF(Data!#REF!="","",IF(ISNUMBER(Data!#REF!),IF(AND(Data!#REF!&gt;(TODAY()-(Data_Val!$L$3*365.25)),Data!#REF!&lt;=(TODAY()-(Data_Val!$L$2*365.25))),0,1),1))</f>
        <v>#REF!</v>
      </c>
      <c r="AI838" s="12" t="e">
        <f>IF(Data!#REF!="","",IF(Data!$G838="",1,IF(ISNUMBER(MATCH(Data!#REF!,Data_Val!$D$2:$D$10,0)),0,1)))</f>
        <v>#REF!</v>
      </c>
      <c r="AJ838" s="17"/>
      <c r="AK838" s="17" t="e">
        <f>IF(Data!#REF!="","",IF(ISNUMBER(MATCH(Data!#REF!,Data_Val!$A$2:$A$3,0)),0,1))</f>
        <v>#REF!</v>
      </c>
      <c r="AL838" s="25" t="e">
        <f ca="1">IF(Data!#REF!="","",IF(ISNUMBER(Data!#REF!),IF(AND(Data!#REF!&gt;(TODAY()-(Data_Val!$L$3*365.25)),Data!#REF!&lt;=(TODAY()-(Data_Val!$L$2*365.25))),0,1),1))</f>
        <v>#REF!</v>
      </c>
      <c r="AM838" s="17" t="e">
        <f>IF(Data!#REF!="","",IF(Data!$G838="",1,IF(ISNUMBER(MATCH(Data!#REF!,Data_Val!$D$2:$D$10,0)),0,1)))</f>
        <v>#REF!</v>
      </c>
      <c r="AN838" s="13"/>
      <c r="AO838" s="28" t="e">
        <f ca="1">IF(Data!#REF!="","",IF(ISNUMBER(Data!#REF!),IF(AND(Data!#REF!&gt;(TODAY()-(Data_Val!$I$3*365.25)),Data!#REF!&lt;=(TODAY()-(Data_Val!$I$2*365.25))),0,1),1))</f>
        <v>#REF!</v>
      </c>
      <c r="AP838" s="13" t="e">
        <f>IF(Data!#REF!="","",IF(Data!$G838="",1,IF(ISNUMBER(MATCH(Data!#REF!,Data_Val!$D$2:$D$10,0)),0,1)))</f>
        <v>#REF!</v>
      </c>
      <c r="AQ838" s="17"/>
      <c r="AR838" s="30" t="e">
        <f ca="1">IF(Data!#REF!="","",IF(ISNUMBER(Data!#REF!),IF(AND(Data!#REF!&gt;(TODAY()-(Data_Val!$I$3*365.25)),Data!#REF!&lt;=(TODAY()-(Data_Val!$I$2*365.25))),0,1),1))</f>
        <v>#REF!</v>
      </c>
      <c r="AS838" s="31" t="e">
        <f>IF(Data!#REF!="","",IF(Data!$G838="",1,IF(ISNUMBER(MATCH(Data!#REF!,Data_Val!$D$2:$D$10,0)),0,1)))</f>
        <v>#REF!</v>
      </c>
      <c r="AT838" s="11"/>
      <c r="AU838" s="11" t="e">
        <f ca="1">IF(Data!#REF!="","",IF(ISNUMBER(Data!#REF!),IF(AND(Data!#REF!&gt;(TODAY()-(Data_Val!$I$3*365.25)),Data!#REF!&lt;=(TODAY()-(Data_Val!$I$2*365.25))),0,1),1))</f>
        <v>#REF!</v>
      </c>
      <c r="AV838" s="11" t="e">
        <f>IF(Data!#REF!="","",IF(Data!$G838="",1,IF(ISNUMBER(MATCH(Data!#REF!,Data_Val!$D$2:$D$10,0)),0,1)))</f>
        <v>#REF!</v>
      </c>
      <c r="AW838" s="12"/>
      <c r="AX838" s="26" t="e">
        <f ca="1">IF(Data!#REF!="","",IF(ISNUMBER(Data!#REF!),IF(AND(Data!#REF!&gt;(TODAY()-(Data_Val!$I$3*365.25)),Data!#REF!&lt;=(TODAY()-(Data_Val!$I$2*365.25))),0,1),1))</f>
        <v>#REF!</v>
      </c>
      <c r="AY838" s="12" t="e">
        <f>IF(Data!#REF!="","",IF(Data!$G838="",1,IF(ISNUMBER(MATCH(Data!#REF!,Data_Val!$D$2:$D$10,0)),0,1)))</f>
        <v>#REF!</v>
      </c>
      <c r="AZ838" s="11"/>
      <c r="BA838" s="19" t="e">
        <f ca="1">IF(Data!#REF!="","",IF(ISNUMBER(Data!#REF!),IF(AND(Data!#REF!&gt;(TODAY()-(Data_Val!$M$3*365.25)),Data!#REF!&lt;=(TODAY()-(Data_Val!$M$2*365.25))),0,1),1))</f>
        <v>#REF!</v>
      </c>
      <c r="BB838" s="11" t="e">
        <f>IF(Data!#REF!="","",IF(Data!$G838="",1,IF(ISNUMBER(MATCH(Data!#REF!,Data_Val!$D$2:$D$10,0)),0,1)))</f>
        <v>#REF!</v>
      </c>
      <c r="BC838" s="12"/>
      <c r="BD838" s="20" t="e">
        <f ca="1">IF(Data!#REF!="","",IF(ISNUMBER(Data!#REF!),IF(AND(Data!#REF!&gt;(TODAY()-(Data_Val!$M$3*365.25)),Data!#REF!&lt;=(TODAY()-(Data_Val!$M$2*365.25))),0,1),1))</f>
        <v>#REF!</v>
      </c>
      <c r="BE838" s="12" t="e">
        <f>IF(Data!#REF!="","",IF(Data!$G838="",1,IF(ISNUMBER(MATCH(Data!#REF!,Data_Val!$D$2:$D$10,0)),0,1)))</f>
        <v>#REF!</v>
      </c>
      <c r="BF838" s="17"/>
      <c r="BG838" s="18" t="e">
        <f ca="1">IF(Data!#REF!="","",IF(ISNUMBER(Data!#REF!),IF(AND(Data!#REF!&gt;(TODAY()-(Data_Val!$M$3*365.25)),Data!#REF!&lt;=(TODAY()-(Data_Val!$M$2*365.25))),0,1),1))</f>
        <v>#REF!</v>
      </c>
      <c r="BH838" s="29" t="e">
        <f>IF(Data!#REF!="","",IF(Data!$G838="",1,IF(ISNUMBER(MATCH(Data!#REF!,Data_Val!$D$2:$D$10,0)),0,1)))</f>
        <v>#REF!</v>
      </c>
      <c r="BI838" s="13"/>
      <c r="BJ838" s="21" t="e">
        <f ca="1">IF(Data!#REF!="","",IF(ISNUMBER(Data!#REF!),IF(AND(Data!#REF!&gt;(TODAY()-(Data_Val!$M$3*365.25)),Data!#REF!&lt;=(TODAY()-(Data_Val!$M$2*365.25))),0,1),1))</f>
        <v>#REF!</v>
      </c>
      <c r="BK838" s="13" t="e">
        <f>IF(Data!#REF!="","",IF(Data!$G838="",1,IF(ISNUMBER(MATCH(Data!#REF!,Data_Val!$D$2:$D$10,0)),0,1)))</f>
        <v>#REF!</v>
      </c>
    </row>
    <row r="839" spans="1:63" x14ac:dyDescent="0.25">
      <c r="A839" s="9" t="str">
        <f>IF(Data!B839="","",IF(COUNTIFS(Data!A$1:'Data'!A839,Data!A839)&lt;=1,0,1))</f>
        <v/>
      </c>
      <c r="B839" s="9"/>
      <c r="C839" s="23" t="str">
        <f>IF(Data!C839="","",(IF(ISNUMBER(MATCH("*@*.?*",Data!C839,0)),0,1)+IF(COUNTIFS(Data!C$1:'Data'!C839,Data!C839)&gt;1,1,0)))</f>
        <v/>
      </c>
      <c r="D839" s="9" t="str">
        <f>IF(Data!B839="","",IF(ISNUMBER(Data!D839),IF(AND(Data!D839&gt;999999999,Data!D839&lt;=9999999999),IF(COUNTIFS(Data!D$1:'Data'!D839,Data!D839)&lt;=1,0,1),1),1))</f>
        <v/>
      </c>
      <c r="E839" s="9" t="str">
        <f>IF(Data!B839="","",IF(ISNUMBER(MATCH(Data!E839,Data_Val!$A$2:$A$3,0)),0,1))</f>
        <v/>
      </c>
      <c r="F839" s="9" t="str">
        <f ca="1">IF(Data!B839="","",IF(ISNUMBER(Data!F839),IF(AND(Data!F839&gt;(TODAY()-(Data_Val!$H$3*365.25)),Data!F839&lt;=(TODAY()-(Data_Val!$H$2*365.25))),0,1),1))</f>
        <v/>
      </c>
      <c r="G839" s="15" t="str">
        <f>IF(Data!B839="","",IF(AND(Data!G839="",Data!H839&lt;&gt;""),1,IF(Data!#REF!&lt;&gt;"",0,IF(ISNUMBER(MATCH(Data!G839,Data_Val!$C$2:$C$5,0)),0,1))))</f>
        <v/>
      </c>
      <c r="H839" s="15" t="str">
        <f>IF(Data!B839="","",IF(AND(Data!G839&lt;&gt;"",Data!H839=""),1,IF(Data!#REF!&lt;&gt;"",0,IF(Data!G839="",1,IF(ISNUMBER(MATCH(Data!H839,Data_Val!$D$2:$D$35,0)),0,1)))))</f>
        <v/>
      </c>
      <c r="I839" s="15" t="str">
        <f>IF(Data!B839="","",IF(Data!G839&lt;&gt;"",0,IF(ISNUMBER(MATCH(Data!#REF!,Data_Val!$E$2:$E$12,0)),0,1)))</f>
        <v/>
      </c>
      <c r="J839" s="16" t="e">
        <f>IF(OR(Data!B839="",Data!#REF!=""),"",IF(Data!#REF!="",1,0))</f>
        <v>#REF!</v>
      </c>
      <c r="K839" s="16" t="e">
        <f>IF(OR(Data!B839="",Data!#REF!=""),"",IF(Data!#REF!="",1,0))</f>
        <v>#REF!</v>
      </c>
      <c r="L839" s="16" t="e">
        <f>IF(OR(Data!B839="",Data!#REF!=""),"",IF(ISNUMBER(Data!#REF!),IF(AND(Data!#REF!&gt;Data_Val!$G$2,Data!#REF!&lt;=Data_Val!$G$3),0,1),1))</f>
        <v>#REF!</v>
      </c>
      <c r="M839" s="9" t="e">
        <f>IF(OR(Data!B839="",Data!#REF!=""),"",IF(ISNUMBER(MATCH(Data!#REF!,Data_Val!$F$1:$F$38,0)),0,1))</f>
        <v>#REF!</v>
      </c>
      <c r="N839" s="9" t="e">
        <f>IF(OR(Data!B839="",Data!#REF!=""),"",IF(Data!#REF!="",1,0))</f>
        <v>#REF!</v>
      </c>
      <c r="O839" s="17" t="e">
        <f>IF(Data!#REF!="","",IF(Data!#REF!="",1,0))</f>
        <v>#REF!</v>
      </c>
      <c r="P839" s="17" t="e">
        <f>IF(Data!#REF!="","",IF(ISNUMBER(MATCH(Data!#REF!,Data_Val!$A$2:$A$3,0)),0,1))</f>
        <v>#REF!</v>
      </c>
      <c r="Q839" s="25" t="e">
        <f ca="1">IF(Data!#REF!="","",IF(ISNUMBER(Data!#REF!),IF(AND(Data!#REF!&gt;(TODAY()-(Data_Val!$J$3*365.25)),Data!#REF!&lt;=(TODAY()-(Data_Val!$J$2*365.25))),0,1),1))</f>
        <v>#REF!</v>
      </c>
      <c r="R839" s="17" t="e">
        <f>IF(Data!#REF!="","",IF(ISNUMBER(MATCH(Data!#REF!,Data_Val!$B$2:$B$15,0)),0,1))</f>
        <v>#REF!</v>
      </c>
      <c r="S839" s="11" t="str">
        <f>IF(Data!G839="","",IF(Data!G839=Data_Val!$C$2,IF(Data!M839="",0,1),0))</f>
        <v/>
      </c>
      <c r="T839" s="11" t="str">
        <f>IF(Data!M839="","",IF(ISNUMBER(MATCH(Data!N839,Data_Val!$A$2:$A$3,0)),0,1))</f>
        <v/>
      </c>
      <c r="U839" s="11" t="str">
        <f ca="1">IF(Data!M839="","",IF(ISNUMBER(Data!O839),IF(AND(Data!O839&gt;(TODAY()-(Data_Val!$K$3*365.25)),Data!O839&lt;=(TODAY()-(Data_Val!$K$2*365.25))),0,1),1))</f>
        <v/>
      </c>
      <c r="V839" s="12" t="str">
        <f>IF(Data!G839="","",IF(Data!G839=Data_Val!$C$2,IF(Data!P839="",0,1),0))</f>
        <v/>
      </c>
      <c r="W839" s="12" t="str">
        <f>IF(Data!P839="","",IF(ISNUMBER(MATCH(Data!Q839,Data_Val!$A$2:$A$3,0)),0,1))</f>
        <v/>
      </c>
      <c r="X839" s="26" t="str">
        <f ca="1">IF(Data!P839="","",IF(ISNUMBER(Data!R839),IF(AND(Data!R839&gt;(TODAY()-(Data_Val!$L$3*365.25)),Data!R839&lt;=(TODAY()-(Data_Val!$L$2*365.25))),0,1),1))</f>
        <v/>
      </c>
      <c r="Y839" s="13" t="str">
        <f>IF(Data!$G839="","",IF(Data!$G839=Data_Val!$C$2,IF(Data!S839="",0,1),0))</f>
        <v/>
      </c>
      <c r="Z839" s="13" t="str">
        <f>IF(Data!S839="","",IF(ISNUMBER(MATCH(Data!T839,Data_Val!$A$2:$A$3,0)),0,1))</f>
        <v/>
      </c>
      <c r="AA839" s="28" t="str">
        <f ca="1">IF(Data!S839="","",IF(ISNUMBER(Data!U839),IF(AND(Data!U839&gt;(TODAY()-(Data_Val!$L$3*365.25)),Data!U839&lt;=(TODAY()-(Data_Val!$L$2*365.25))),0,1),1))</f>
        <v/>
      </c>
      <c r="AB839" s="11"/>
      <c r="AC839" s="11" t="e">
        <f>IF(Data!#REF!="","",IF(ISNUMBER(MATCH(Data!#REF!,Data_Val!$A$2:$A$3,0)),0,1))</f>
        <v>#REF!</v>
      </c>
      <c r="AD839" s="11" t="e">
        <f ca="1">IF(Data!#REF!="","",IF(ISNUMBER(Data!#REF!),IF(AND(Data!#REF!&gt;(TODAY()-(Data_Val!$L$3*365.25)),Data!#REF!&lt;=(TODAY()-(Data_Val!$L$2*365.25))),0,1),1))</f>
        <v>#REF!</v>
      </c>
      <c r="AE839" s="11" t="e">
        <f>IF(Data!#REF!="","",IF(Data!$G839="",1,IF(ISNUMBER(MATCH(Data!#REF!,Data_Val!$D$2:$D$10,0)),0,1)))</f>
        <v>#REF!</v>
      </c>
      <c r="AF839" s="12"/>
      <c r="AG839" s="12" t="e">
        <f>IF(Data!#REF!="","",IF(ISNUMBER(MATCH(Data!#REF!,Data_Val!$A$2:$A$3,0)),0,1))</f>
        <v>#REF!</v>
      </c>
      <c r="AH839" s="26" t="e">
        <f ca="1">IF(Data!#REF!="","",IF(ISNUMBER(Data!#REF!),IF(AND(Data!#REF!&gt;(TODAY()-(Data_Val!$L$3*365.25)),Data!#REF!&lt;=(TODAY()-(Data_Val!$L$2*365.25))),0,1),1))</f>
        <v>#REF!</v>
      </c>
      <c r="AI839" s="12" t="e">
        <f>IF(Data!#REF!="","",IF(Data!$G839="",1,IF(ISNUMBER(MATCH(Data!#REF!,Data_Val!$D$2:$D$10,0)),0,1)))</f>
        <v>#REF!</v>
      </c>
      <c r="AJ839" s="17"/>
      <c r="AK839" s="17" t="e">
        <f>IF(Data!#REF!="","",IF(ISNUMBER(MATCH(Data!#REF!,Data_Val!$A$2:$A$3,0)),0,1))</f>
        <v>#REF!</v>
      </c>
      <c r="AL839" s="25" t="e">
        <f ca="1">IF(Data!#REF!="","",IF(ISNUMBER(Data!#REF!),IF(AND(Data!#REF!&gt;(TODAY()-(Data_Val!$L$3*365.25)),Data!#REF!&lt;=(TODAY()-(Data_Val!$L$2*365.25))),0,1),1))</f>
        <v>#REF!</v>
      </c>
      <c r="AM839" s="17" t="e">
        <f>IF(Data!#REF!="","",IF(Data!$G839="",1,IF(ISNUMBER(MATCH(Data!#REF!,Data_Val!$D$2:$D$10,0)),0,1)))</f>
        <v>#REF!</v>
      </c>
      <c r="AN839" s="13"/>
      <c r="AO839" s="28" t="e">
        <f ca="1">IF(Data!#REF!="","",IF(ISNUMBER(Data!#REF!),IF(AND(Data!#REF!&gt;(TODAY()-(Data_Val!$I$3*365.25)),Data!#REF!&lt;=(TODAY()-(Data_Val!$I$2*365.25))),0,1),1))</f>
        <v>#REF!</v>
      </c>
      <c r="AP839" s="13" t="e">
        <f>IF(Data!#REF!="","",IF(Data!$G839="",1,IF(ISNUMBER(MATCH(Data!#REF!,Data_Val!$D$2:$D$10,0)),0,1)))</f>
        <v>#REF!</v>
      </c>
      <c r="AQ839" s="17"/>
      <c r="AR839" s="30" t="e">
        <f ca="1">IF(Data!#REF!="","",IF(ISNUMBER(Data!#REF!),IF(AND(Data!#REF!&gt;(TODAY()-(Data_Val!$I$3*365.25)),Data!#REF!&lt;=(TODAY()-(Data_Val!$I$2*365.25))),0,1),1))</f>
        <v>#REF!</v>
      </c>
      <c r="AS839" s="31" t="e">
        <f>IF(Data!#REF!="","",IF(Data!$G839="",1,IF(ISNUMBER(MATCH(Data!#REF!,Data_Val!$D$2:$D$10,0)),0,1)))</f>
        <v>#REF!</v>
      </c>
      <c r="AT839" s="11"/>
      <c r="AU839" s="11" t="e">
        <f ca="1">IF(Data!#REF!="","",IF(ISNUMBER(Data!#REF!),IF(AND(Data!#REF!&gt;(TODAY()-(Data_Val!$I$3*365.25)),Data!#REF!&lt;=(TODAY()-(Data_Val!$I$2*365.25))),0,1),1))</f>
        <v>#REF!</v>
      </c>
      <c r="AV839" s="11" t="e">
        <f>IF(Data!#REF!="","",IF(Data!$G839="",1,IF(ISNUMBER(MATCH(Data!#REF!,Data_Val!$D$2:$D$10,0)),0,1)))</f>
        <v>#REF!</v>
      </c>
      <c r="AW839" s="12"/>
      <c r="AX839" s="26" t="e">
        <f ca="1">IF(Data!#REF!="","",IF(ISNUMBER(Data!#REF!),IF(AND(Data!#REF!&gt;(TODAY()-(Data_Val!$I$3*365.25)),Data!#REF!&lt;=(TODAY()-(Data_Val!$I$2*365.25))),0,1),1))</f>
        <v>#REF!</v>
      </c>
      <c r="AY839" s="12" t="e">
        <f>IF(Data!#REF!="","",IF(Data!$G839="",1,IF(ISNUMBER(MATCH(Data!#REF!,Data_Val!$D$2:$D$10,0)),0,1)))</f>
        <v>#REF!</v>
      </c>
      <c r="AZ839" s="11"/>
      <c r="BA839" s="19" t="e">
        <f ca="1">IF(Data!#REF!="","",IF(ISNUMBER(Data!#REF!),IF(AND(Data!#REF!&gt;(TODAY()-(Data_Val!$M$3*365.25)),Data!#REF!&lt;=(TODAY()-(Data_Val!$M$2*365.25))),0,1),1))</f>
        <v>#REF!</v>
      </c>
      <c r="BB839" s="11" t="e">
        <f>IF(Data!#REF!="","",IF(Data!$G839="",1,IF(ISNUMBER(MATCH(Data!#REF!,Data_Val!$D$2:$D$10,0)),0,1)))</f>
        <v>#REF!</v>
      </c>
      <c r="BC839" s="12"/>
      <c r="BD839" s="20" t="e">
        <f ca="1">IF(Data!#REF!="","",IF(ISNUMBER(Data!#REF!),IF(AND(Data!#REF!&gt;(TODAY()-(Data_Val!$M$3*365.25)),Data!#REF!&lt;=(TODAY()-(Data_Val!$M$2*365.25))),0,1),1))</f>
        <v>#REF!</v>
      </c>
      <c r="BE839" s="12" t="e">
        <f>IF(Data!#REF!="","",IF(Data!$G839="",1,IF(ISNUMBER(MATCH(Data!#REF!,Data_Val!$D$2:$D$10,0)),0,1)))</f>
        <v>#REF!</v>
      </c>
      <c r="BF839" s="17"/>
      <c r="BG839" s="18" t="e">
        <f ca="1">IF(Data!#REF!="","",IF(ISNUMBER(Data!#REF!),IF(AND(Data!#REF!&gt;(TODAY()-(Data_Val!$M$3*365.25)),Data!#REF!&lt;=(TODAY()-(Data_Val!$M$2*365.25))),0,1),1))</f>
        <v>#REF!</v>
      </c>
      <c r="BH839" s="29" t="e">
        <f>IF(Data!#REF!="","",IF(Data!$G839="",1,IF(ISNUMBER(MATCH(Data!#REF!,Data_Val!$D$2:$D$10,0)),0,1)))</f>
        <v>#REF!</v>
      </c>
      <c r="BI839" s="13"/>
      <c r="BJ839" s="21" t="e">
        <f ca="1">IF(Data!#REF!="","",IF(ISNUMBER(Data!#REF!),IF(AND(Data!#REF!&gt;(TODAY()-(Data_Val!$M$3*365.25)),Data!#REF!&lt;=(TODAY()-(Data_Val!$M$2*365.25))),0,1),1))</f>
        <v>#REF!</v>
      </c>
      <c r="BK839" s="13" t="e">
        <f>IF(Data!#REF!="","",IF(Data!$G839="",1,IF(ISNUMBER(MATCH(Data!#REF!,Data_Val!$D$2:$D$10,0)),0,1)))</f>
        <v>#REF!</v>
      </c>
    </row>
    <row r="840" spans="1:63" x14ac:dyDescent="0.25">
      <c r="A840" s="9" t="str">
        <f>IF(Data!B840="","",IF(COUNTIFS(Data!A$1:'Data'!A840,Data!A840)&lt;=1,0,1))</f>
        <v/>
      </c>
      <c r="B840" s="9"/>
      <c r="C840" s="23" t="str">
        <f>IF(Data!C840="","",(IF(ISNUMBER(MATCH("*@*.?*",Data!C840,0)),0,1)+IF(COUNTIFS(Data!C$1:'Data'!C840,Data!C840)&gt;1,1,0)))</f>
        <v/>
      </c>
      <c r="D840" s="9" t="str">
        <f>IF(Data!B840="","",IF(ISNUMBER(Data!D840),IF(AND(Data!D840&gt;999999999,Data!D840&lt;=9999999999),IF(COUNTIFS(Data!D$1:'Data'!D840,Data!D840)&lt;=1,0,1),1),1))</f>
        <v/>
      </c>
      <c r="E840" s="9" t="str">
        <f>IF(Data!B840="","",IF(ISNUMBER(MATCH(Data!E840,Data_Val!$A$2:$A$3,0)),0,1))</f>
        <v/>
      </c>
      <c r="F840" s="9" t="str">
        <f ca="1">IF(Data!B840="","",IF(ISNUMBER(Data!F840),IF(AND(Data!F840&gt;(TODAY()-(Data_Val!$H$3*365.25)),Data!F840&lt;=(TODAY()-(Data_Val!$H$2*365.25))),0,1),1))</f>
        <v/>
      </c>
      <c r="G840" s="15" t="str">
        <f>IF(Data!B840="","",IF(AND(Data!G840="",Data!H840&lt;&gt;""),1,IF(Data!#REF!&lt;&gt;"",0,IF(ISNUMBER(MATCH(Data!G840,Data_Val!$C$2:$C$5,0)),0,1))))</f>
        <v/>
      </c>
      <c r="H840" s="15" t="str">
        <f>IF(Data!B840="","",IF(AND(Data!G840&lt;&gt;"",Data!H840=""),1,IF(Data!#REF!&lt;&gt;"",0,IF(Data!G840="",1,IF(ISNUMBER(MATCH(Data!H840,Data_Val!$D$2:$D$35,0)),0,1)))))</f>
        <v/>
      </c>
      <c r="I840" s="15" t="str">
        <f>IF(Data!B840="","",IF(Data!G840&lt;&gt;"",0,IF(ISNUMBER(MATCH(Data!#REF!,Data_Val!$E$2:$E$12,0)),0,1)))</f>
        <v/>
      </c>
      <c r="J840" s="16" t="e">
        <f>IF(OR(Data!B840="",Data!#REF!=""),"",IF(Data!#REF!="",1,0))</f>
        <v>#REF!</v>
      </c>
      <c r="K840" s="16" t="e">
        <f>IF(OR(Data!B840="",Data!#REF!=""),"",IF(Data!#REF!="",1,0))</f>
        <v>#REF!</v>
      </c>
      <c r="L840" s="16" t="e">
        <f>IF(OR(Data!B840="",Data!#REF!=""),"",IF(ISNUMBER(Data!#REF!),IF(AND(Data!#REF!&gt;Data_Val!$G$2,Data!#REF!&lt;=Data_Val!$G$3),0,1),1))</f>
        <v>#REF!</v>
      </c>
      <c r="M840" s="9" t="e">
        <f>IF(OR(Data!B840="",Data!#REF!=""),"",IF(ISNUMBER(MATCH(Data!#REF!,Data_Val!$F$1:$F$38,0)),0,1))</f>
        <v>#REF!</v>
      </c>
      <c r="N840" s="9" t="e">
        <f>IF(OR(Data!B840="",Data!#REF!=""),"",IF(Data!#REF!="",1,0))</f>
        <v>#REF!</v>
      </c>
      <c r="O840" s="17" t="e">
        <f>IF(Data!#REF!="","",IF(Data!#REF!="",1,0))</f>
        <v>#REF!</v>
      </c>
      <c r="P840" s="17" t="e">
        <f>IF(Data!#REF!="","",IF(ISNUMBER(MATCH(Data!#REF!,Data_Val!$A$2:$A$3,0)),0,1))</f>
        <v>#REF!</v>
      </c>
      <c r="Q840" s="25" t="e">
        <f ca="1">IF(Data!#REF!="","",IF(ISNUMBER(Data!#REF!),IF(AND(Data!#REF!&gt;(TODAY()-(Data_Val!$J$3*365.25)),Data!#REF!&lt;=(TODAY()-(Data_Val!$J$2*365.25))),0,1),1))</f>
        <v>#REF!</v>
      </c>
      <c r="R840" s="17" t="e">
        <f>IF(Data!#REF!="","",IF(ISNUMBER(MATCH(Data!#REF!,Data_Val!$B$2:$B$15,0)),0,1))</f>
        <v>#REF!</v>
      </c>
      <c r="S840" s="11" t="str">
        <f>IF(Data!G840="","",IF(Data!G840=Data_Val!$C$2,IF(Data!M840="",0,1),0))</f>
        <v/>
      </c>
      <c r="T840" s="11" t="str">
        <f>IF(Data!M840="","",IF(ISNUMBER(MATCH(Data!N840,Data_Val!$A$2:$A$3,0)),0,1))</f>
        <v/>
      </c>
      <c r="U840" s="11" t="str">
        <f ca="1">IF(Data!M840="","",IF(ISNUMBER(Data!O840),IF(AND(Data!O840&gt;(TODAY()-(Data_Val!$K$3*365.25)),Data!O840&lt;=(TODAY()-(Data_Val!$K$2*365.25))),0,1),1))</f>
        <v/>
      </c>
      <c r="V840" s="12" t="str">
        <f>IF(Data!G840="","",IF(Data!G840=Data_Val!$C$2,IF(Data!P840="",0,1),0))</f>
        <v/>
      </c>
      <c r="W840" s="12" t="str">
        <f>IF(Data!P840="","",IF(ISNUMBER(MATCH(Data!Q840,Data_Val!$A$2:$A$3,0)),0,1))</f>
        <v/>
      </c>
      <c r="X840" s="26" t="str">
        <f ca="1">IF(Data!P840="","",IF(ISNUMBER(Data!R840),IF(AND(Data!R840&gt;(TODAY()-(Data_Val!$L$3*365.25)),Data!R840&lt;=(TODAY()-(Data_Val!$L$2*365.25))),0,1),1))</f>
        <v/>
      </c>
      <c r="Y840" s="13" t="str">
        <f>IF(Data!$G840="","",IF(Data!$G840=Data_Val!$C$2,IF(Data!S840="",0,1),0))</f>
        <v/>
      </c>
      <c r="Z840" s="13" t="str">
        <f>IF(Data!S840="","",IF(ISNUMBER(MATCH(Data!T840,Data_Val!$A$2:$A$3,0)),0,1))</f>
        <v/>
      </c>
      <c r="AA840" s="28" t="str">
        <f ca="1">IF(Data!S840="","",IF(ISNUMBER(Data!U840),IF(AND(Data!U840&gt;(TODAY()-(Data_Val!$L$3*365.25)),Data!U840&lt;=(TODAY()-(Data_Val!$L$2*365.25))),0,1),1))</f>
        <v/>
      </c>
      <c r="AB840" s="11"/>
      <c r="AC840" s="11" t="e">
        <f>IF(Data!#REF!="","",IF(ISNUMBER(MATCH(Data!#REF!,Data_Val!$A$2:$A$3,0)),0,1))</f>
        <v>#REF!</v>
      </c>
      <c r="AD840" s="11" t="e">
        <f ca="1">IF(Data!#REF!="","",IF(ISNUMBER(Data!#REF!),IF(AND(Data!#REF!&gt;(TODAY()-(Data_Val!$L$3*365.25)),Data!#REF!&lt;=(TODAY()-(Data_Val!$L$2*365.25))),0,1),1))</f>
        <v>#REF!</v>
      </c>
      <c r="AE840" s="11" t="e">
        <f>IF(Data!#REF!="","",IF(Data!$G840="",1,IF(ISNUMBER(MATCH(Data!#REF!,Data_Val!$D$2:$D$10,0)),0,1)))</f>
        <v>#REF!</v>
      </c>
      <c r="AF840" s="12"/>
      <c r="AG840" s="12" t="e">
        <f>IF(Data!#REF!="","",IF(ISNUMBER(MATCH(Data!#REF!,Data_Val!$A$2:$A$3,0)),0,1))</f>
        <v>#REF!</v>
      </c>
      <c r="AH840" s="26" t="e">
        <f ca="1">IF(Data!#REF!="","",IF(ISNUMBER(Data!#REF!),IF(AND(Data!#REF!&gt;(TODAY()-(Data_Val!$L$3*365.25)),Data!#REF!&lt;=(TODAY()-(Data_Val!$L$2*365.25))),0,1),1))</f>
        <v>#REF!</v>
      </c>
      <c r="AI840" s="12" t="e">
        <f>IF(Data!#REF!="","",IF(Data!$G840="",1,IF(ISNUMBER(MATCH(Data!#REF!,Data_Val!$D$2:$D$10,0)),0,1)))</f>
        <v>#REF!</v>
      </c>
      <c r="AJ840" s="17"/>
      <c r="AK840" s="17" t="e">
        <f>IF(Data!#REF!="","",IF(ISNUMBER(MATCH(Data!#REF!,Data_Val!$A$2:$A$3,0)),0,1))</f>
        <v>#REF!</v>
      </c>
      <c r="AL840" s="25" t="e">
        <f ca="1">IF(Data!#REF!="","",IF(ISNUMBER(Data!#REF!),IF(AND(Data!#REF!&gt;(TODAY()-(Data_Val!$L$3*365.25)),Data!#REF!&lt;=(TODAY()-(Data_Val!$L$2*365.25))),0,1),1))</f>
        <v>#REF!</v>
      </c>
      <c r="AM840" s="17" t="e">
        <f>IF(Data!#REF!="","",IF(Data!$G840="",1,IF(ISNUMBER(MATCH(Data!#REF!,Data_Val!$D$2:$D$10,0)),0,1)))</f>
        <v>#REF!</v>
      </c>
      <c r="AN840" s="13"/>
      <c r="AO840" s="28" t="e">
        <f ca="1">IF(Data!#REF!="","",IF(ISNUMBER(Data!#REF!),IF(AND(Data!#REF!&gt;(TODAY()-(Data_Val!$I$3*365.25)),Data!#REF!&lt;=(TODAY()-(Data_Val!$I$2*365.25))),0,1),1))</f>
        <v>#REF!</v>
      </c>
      <c r="AP840" s="13" t="e">
        <f>IF(Data!#REF!="","",IF(Data!$G840="",1,IF(ISNUMBER(MATCH(Data!#REF!,Data_Val!$D$2:$D$10,0)),0,1)))</f>
        <v>#REF!</v>
      </c>
      <c r="AQ840" s="17"/>
      <c r="AR840" s="30" t="e">
        <f ca="1">IF(Data!#REF!="","",IF(ISNUMBER(Data!#REF!),IF(AND(Data!#REF!&gt;(TODAY()-(Data_Val!$I$3*365.25)),Data!#REF!&lt;=(TODAY()-(Data_Val!$I$2*365.25))),0,1),1))</f>
        <v>#REF!</v>
      </c>
      <c r="AS840" s="31" t="e">
        <f>IF(Data!#REF!="","",IF(Data!$G840="",1,IF(ISNUMBER(MATCH(Data!#REF!,Data_Val!$D$2:$D$10,0)),0,1)))</f>
        <v>#REF!</v>
      </c>
      <c r="AT840" s="11"/>
      <c r="AU840" s="11" t="e">
        <f ca="1">IF(Data!#REF!="","",IF(ISNUMBER(Data!#REF!),IF(AND(Data!#REF!&gt;(TODAY()-(Data_Val!$I$3*365.25)),Data!#REF!&lt;=(TODAY()-(Data_Val!$I$2*365.25))),0,1),1))</f>
        <v>#REF!</v>
      </c>
      <c r="AV840" s="11" t="e">
        <f>IF(Data!#REF!="","",IF(Data!$G840="",1,IF(ISNUMBER(MATCH(Data!#REF!,Data_Val!$D$2:$D$10,0)),0,1)))</f>
        <v>#REF!</v>
      </c>
      <c r="AW840" s="12"/>
      <c r="AX840" s="26" t="e">
        <f ca="1">IF(Data!#REF!="","",IF(ISNUMBER(Data!#REF!),IF(AND(Data!#REF!&gt;(TODAY()-(Data_Val!$I$3*365.25)),Data!#REF!&lt;=(TODAY()-(Data_Val!$I$2*365.25))),0,1),1))</f>
        <v>#REF!</v>
      </c>
      <c r="AY840" s="12" t="e">
        <f>IF(Data!#REF!="","",IF(Data!$G840="",1,IF(ISNUMBER(MATCH(Data!#REF!,Data_Val!$D$2:$D$10,0)),0,1)))</f>
        <v>#REF!</v>
      </c>
      <c r="AZ840" s="11"/>
      <c r="BA840" s="19" t="e">
        <f ca="1">IF(Data!#REF!="","",IF(ISNUMBER(Data!#REF!),IF(AND(Data!#REF!&gt;(TODAY()-(Data_Val!$M$3*365.25)),Data!#REF!&lt;=(TODAY()-(Data_Val!$M$2*365.25))),0,1),1))</f>
        <v>#REF!</v>
      </c>
      <c r="BB840" s="11" t="e">
        <f>IF(Data!#REF!="","",IF(Data!$G840="",1,IF(ISNUMBER(MATCH(Data!#REF!,Data_Val!$D$2:$D$10,0)),0,1)))</f>
        <v>#REF!</v>
      </c>
      <c r="BC840" s="12"/>
      <c r="BD840" s="20" t="e">
        <f ca="1">IF(Data!#REF!="","",IF(ISNUMBER(Data!#REF!),IF(AND(Data!#REF!&gt;(TODAY()-(Data_Val!$M$3*365.25)),Data!#REF!&lt;=(TODAY()-(Data_Val!$M$2*365.25))),0,1),1))</f>
        <v>#REF!</v>
      </c>
      <c r="BE840" s="12" t="e">
        <f>IF(Data!#REF!="","",IF(Data!$G840="",1,IF(ISNUMBER(MATCH(Data!#REF!,Data_Val!$D$2:$D$10,0)),0,1)))</f>
        <v>#REF!</v>
      </c>
      <c r="BF840" s="17"/>
      <c r="BG840" s="18" t="e">
        <f ca="1">IF(Data!#REF!="","",IF(ISNUMBER(Data!#REF!),IF(AND(Data!#REF!&gt;(TODAY()-(Data_Val!$M$3*365.25)),Data!#REF!&lt;=(TODAY()-(Data_Val!$M$2*365.25))),0,1),1))</f>
        <v>#REF!</v>
      </c>
      <c r="BH840" s="29" t="e">
        <f>IF(Data!#REF!="","",IF(Data!$G840="",1,IF(ISNUMBER(MATCH(Data!#REF!,Data_Val!$D$2:$D$10,0)),0,1)))</f>
        <v>#REF!</v>
      </c>
      <c r="BI840" s="13"/>
      <c r="BJ840" s="21" t="e">
        <f ca="1">IF(Data!#REF!="","",IF(ISNUMBER(Data!#REF!),IF(AND(Data!#REF!&gt;(TODAY()-(Data_Val!$M$3*365.25)),Data!#REF!&lt;=(TODAY()-(Data_Val!$M$2*365.25))),0,1),1))</f>
        <v>#REF!</v>
      </c>
      <c r="BK840" s="13" t="e">
        <f>IF(Data!#REF!="","",IF(Data!$G840="",1,IF(ISNUMBER(MATCH(Data!#REF!,Data_Val!$D$2:$D$10,0)),0,1)))</f>
        <v>#REF!</v>
      </c>
    </row>
    <row r="841" spans="1:63" x14ac:dyDescent="0.25">
      <c r="A841" s="9" t="str">
        <f>IF(Data!B841="","",IF(COUNTIFS(Data!A$1:'Data'!A841,Data!A841)&lt;=1,0,1))</f>
        <v/>
      </c>
      <c r="B841" s="9"/>
      <c r="C841" s="23" t="str">
        <f>IF(Data!C841="","",(IF(ISNUMBER(MATCH("*@*.?*",Data!C841,0)),0,1)+IF(COUNTIFS(Data!C$1:'Data'!C841,Data!C841)&gt;1,1,0)))</f>
        <v/>
      </c>
      <c r="D841" s="9" t="str">
        <f>IF(Data!B841="","",IF(ISNUMBER(Data!D841),IF(AND(Data!D841&gt;999999999,Data!D841&lt;=9999999999),IF(COUNTIFS(Data!D$1:'Data'!D841,Data!D841)&lt;=1,0,1),1),1))</f>
        <v/>
      </c>
      <c r="E841" s="9" t="str">
        <f>IF(Data!B841="","",IF(ISNUMBER(MATCH(Data!E841,Data_Val!$A$2:$A$3,0)),0,1))</f>
        <v/>
      </c>
      <c r="F841" s="9" t="str">
        <f ca="1">IF(Data!B841="","",IF(ISNUMBER(Data!F841),IF(AND(Data!F841&gt;(TODAY()-(Data_Val!$H$3*365.25)),Data!F841&lt;=(TODAY()-(Data_Val!$H$2*365.25))),0,1),1))</f>
        <v/>
      </c>
      <c r="G841" s="15" t="str">
        <f>IF(Data!B841="","",IF(AND(Data!G841="",Data!H841&lt;&gt;""),1,IF(Data!#REF!&lt;&gt;"",0,IF(ISNUMBER(MATCH(Data!G841,Data_Val!$C$2:$C$5,0)),0,1))))</f>
        <v/>
      </c>
      <c r="H841" s="15" t="str">
        <f>IF(Data!B841="","",IF(AND(Data!G841&lt;&gt;"",Data!H841=""),1,IF(Data!#REF!&lt;&gt;"",0,IF(Data!G841="",1,IF(ISNUMBER(MATCH(Data!H841,Data_Val!$D$2:$D$35,0)),0,1)))))</f>
        <v/>
      </c>
      <c r="I841" s="15" t="str">
        <f>IF(Data!B841="","",IF(Data!G841&lt;&gt;"",0,IF(ISNUMBER(MATCH(Data!#REF!,Data_Val!$E$2:$E$12,0)),0,1)))</f>
        <v/>
      </c>
      <c r="J841" s="16" t="e">
        <f>IF(OR(Data!B841="",Data!#REF!=""),"",IF(Data!#REF!="",1,0))</f>
        <v>#REF!</v>
      </c>
      <c r="K841" s="16" t="e">
        <f>IF(OR(Data!B841="",Data!#REF!=""),"",IF(Data!#REF!="",1,0))</f>
        <v>#REF!</v>
      </c>
      <c r="L841" s="16" t="e">
        <f>IF(OR(Data!B841="",Data!#REF!=""),"",IF(ISNUMBER(Data!#REF!),IF(AND(Data!#REF!&gt;Data_Val!$G$2,Data!#REF!&lt;=Data_Val!$G$3),0,1),1))</f>
        <v>#REF!</v>
      </c>
      <c r="M841" s="9" t="e">
        <f>IF(OR(Data!B841="",Data!#REF!=""),"",IF(ISNUMBER(MATCH(Data!#REF!,Data_Val!$F$1:$F$38,0)),0,1))</f>
        <v>#REF!</v>
      </c>
      <c r="N841" s="9" t="e">
        <f>IF(OR(Data!B841="",Data!#REF!=""),"",IF(Data!#REF!="",1,0))</f>
        <v>#REF!</v>
      </c>
      <c r="O841" s="17" t="e">
        <f>IF(Data!#REF!="","",IF(Data!#REF!="",1,0))</f>
        <v>#REF!</v>
      </c>
      <c r="P841" s="17" t="e">
        <f>IF(Data!#REF!="","",IF(ISNUMBER(MATCH(Data!#REF!,Data_Val!$A$2:$A$3,0)),0,1))</f>
        <v>#REF!</v>
      </c>
      <c r="Q841" s="25" t="e">
        <f ca="1">IF(Data!#REF!="","",IF(ISNUMBER(Data!#REF!),IF(AND(Data!#REF!&gt;(TODAY()-(Data_Val!$J$3*365.25)),Data!#REF!&lt;=(TODAY()-(Data_Val!$J$2*365.25))),0,1),1))</f>
        <v>#REF!</v>
      </c>
      <c r="R841" s="17" t="e">
        <f>IF(Data!#REF!="","",IF(ISNUMBER(MATCH(Data!#REF!,Data_Val!$B$2:$B$15,0)),0,1))</f>
        <v>#REF!</v>
      </c>
      <c r="S841" s="11" t="str">
        <f>IF(Data!G841="","",IF(Data!G841=Data_Val!$C$2,IF(Data!M841="",0,1),0))</f>
        <v/>
      </c>
      <c r="T841" s="11" t="str">
        <f>IF(Data!M841="","",IF(ISNUMBER(MATCH(Data!N841,Data_Val!$A$2:$A$3,0)),0,1))</f>
        <v/>
      </c>
      <c r="U841" s="11" t="str">
        <f ca="1">IF(Data!M841="","",IF(ISNUMBER(Data!O841),IF(AND(Data!O841&gt;(TODAY()-(Data_Val!$K$3*365.25)),Data!O841&lt;=(TODAY()-(Data_Val!$K$2*365.25))),0,1),1))</f>
        <v/>
      </c>
      <c r="V841" s="12" t="str">
        <f>IF(Data!G841="","",IF(Data!G841=Data_Val!$C$2,IF(Data!P841="",0,1),0))</f>
        <v/>
      </c>
      <c r="W841" s="12" t="str">
        <f>IF(Data!P841="","",IF(ISNUMBER(MATCH(Data!Q841,Data_Val!$A$2:$A$3,0)),0,1))</f>
        <v/>
      </c>
      <c r="X841" s="26" t="str">
        <f ca="1">IF(Data!P841="","",IF(ISNUMBER(Data!R841),IF(AND(Data!R841&gt;(TODAY()-(Data_Val!$L$3*365.25)),Data!R841&lt;=(TODAY()-(Data_Val!$L$2*365.25))),0,1),1))</f>
        <v/>
      </c>
      <c r="Y841" s="13" t="str">
        <f>IF(Data!$G841="","",IF(Data!$G841=Data_Val!$C$2,IF(Data!S841="",0,1),0))</f>
        <v/>
      </c>
      <c r="Z841" s="13" t="str">
        <f>IF(Data!S841="","",IF(ISNUMBER(MATCH(Data!T841,Data_Val!$A$2:$A$3,0)),0,1))</f>
        <v/>
      </c>
      <c r="AA841" s="28" t="str">
        <f ca="1">IF(Data!S841="","",IF(ISNUMBER(Data!U841),IF(AND(Data!U841&gt;(TODAY()-(Data_Val!$L$3*365.25)),Data!U841&lt;=(TODAY()-(Data_Val!$L$2*365.25))),0,1),1))</f>
        <v/>
      </c>
      <c r="AB841" s="11"/>
      <c r="AC841" s="11" t="e">
        <f>IF(Data!#REF!="","",IF(ISNUMBER(MATCH(Data!#REF!,Data_Val!$A$2:$A$3,0)),0,1))</f>
        <v>#REF!</v>
      </c>
      <c r="AD841" s="11" t="e">
        <f ca="1">IF(Data!#REF!="","",IF(ISNUMBER(Data!#REF!),IF(AND(Data!#REF!&gt;(TODAY()-(Data_Val!$L$3*365.25)),Data!#REF!&lt;=(TODAY()-(Data_Val!$L$2*365.25))),0,1),1))</f>
        <v>#REF!</v>
      </c>
      <c r="AE841" s="11" t="e">
        <f>IF(Data!#REF!="","",IF(Data!$G841="",1,IF(ISNUMBER(MATCH(Data!#REF!,Data_Val!$D$2:$D$10,0)),0,1)))</f>
        <v>#REF!</v>
      </c>
      <c r="AF841" s="12"/>
      <c r="AG841" s="12" t="e">
        <f>IF(Data!#REF!="","",IF(ISNUMBER(MATCH(Data!#REF!,Data_Val!$A$2:$A$3,0)),0,1))</f>
        <v>#REF!</v>
      </c>
      <c r="AH841" s="26" t="e">
        <f ca="1">IF(Data!#REF!="","",IF(ISNUMBER(Data!#REF!),IF(AND(Data!#REF!&gt;(TODAY()-(Data_Val!$L$3*365.25)),Data!#REF!&lt;=(TODAY()-(Data_Val!$L$2*365.25))),0,1),1))</f>
        <v>#REF!</v>
      </c>
      <c r="AI841" s="12" t="e">
        <f>IF(Data!#REF!="","",IF(Data!$G841="",1,IF(ISNUMBER(MATCH(Data!#REF!,Data_Val!$D$2:$D$10,0)),0,1)))</f>
        <v>#REF!</v>
      </c>
      <c r="AJ841" s="17"/>
      <c r="AK841" s="17" t="e">
        <f>IF(Data!#REF!="","",IF(ISNUMBER(MATCH(Data!#REF!,Data_Val!$A$2:$A$3,0)),0,1))</f>
        <v>#REF!</v>
      </c>
      <c r="AL841" s="25" t="e">
        <f ca="1">IF(Data!#REF!="","",IF(ISNUMBER(Data!#REF!),IF(AND(Data!#REF!&gt;(TODAY()-(Data_Val!$L$3*365.25)),Data!#REF!&lt;=(TODAY()-(Data_Val!$L$2*365.25))),0,1),1))</f>
        <v>#REF!</v>
      </c>
      <c r="AM841" s="17" t="e">
        <f>IF(Data!#REF!="","",IF(Data!$G841="",1,IF(ISNUMBER(MATCH(Data!#REF!,Data_Val!$D$2:$D$10,0)),0,1)))</f>
        <v>#REF!</v>
      </c>
      <c r="AN841" s="13"/>
      <c r="AO841" s="28" t="e">
        <f ca="1">IF(Data!#REF!="","",IF(ISNUMBER(Data!#REF!),IF(AND(Data!#REF!&gt;(TODAY()-(Data_Val!$I$3*365.25)),Data!#REF!&lt;=(TODAY()-(Data_Val!$I$2*365.25))),0,1),1))</f>
        <v>#REF!</v>
      </c>
      <c r="AP841" s="13" t="e">
        <f>IF(Data!#REF!="","",IF(Data!$G841="",1,IF(ISNUMBER(MATCH(Data!#REF!,Data_Val!$D$2:$D$10,0)),0,1)))</f>
        <v>#REF!</v>
      </c>
      <c r="AQ841" s="17"/>
      <c r="AR841" s="30" t="e">
        <f ca="1">IF(Data!#REF!="","",IF(ISNUMBER(Data!#REF!),IF(AND(Data!#REF!&gt;(TODAY()-(Data_Val!$I$3*365.25)),Data!#REF!&lt;=(TODAY()-(Data_Val!$I$2*365.25))),0,1),1))</f>
        <v>#REF!</v>
      </c>
      <c r="AS841" s="31" t="e">
        <f>IF(Data!#REF!="","",IF(Data!$G841="",1,IF(ISNUMBER(MATCH(Data!#REF!,Data_Val!$D$2:$D$10,0)),0,1)))</f>
        <v>#REF!</v>
      </c>
      <c r="AT841" s="11"/>
      <c r="AU841" s="11" t="e">
        <f ca="1">IF(Data!#REF!="","",IF(ISNUMBER(Data!#REF!),IF(AND(Data!#REF!&gt;(TODAY()-(Data_Val!$I$3*365.25)),Data!#REF!&lt;=(TODAY()-(Data_Val!$I$2*365.25))),0,1),1))</f>
        <v>#REF!</v>
      </c>
      <c r="AV841" s="11" t="e">
        <f>IF(Data!#REF!="","",IF(Data!$G841="",1,IF(ISNUMBER(MATCH(Data!#REF!,Data_Val!$D$2:$D$10,0)),0,1)))</f>
        <v>#REF!</v>
      </c>
      <c r="AW841" s="12"/>
      <c r="AX841" s="26" t="e">
        <f ca="1">IF(Data!#REF!="","",IF(ISNUMBER(Data!#REF!),IF(AND(Data!#REF!&gt;(TODAY()-(Data_Val!$I$3*365.25)),Data!#REF!&lt;=(TODAY()-(Data_Val!$I$2*365.25))),0,1),1))</f>
        <v>#REF!</v>
      </c>
      <c r="AY841" s="12" t="e">
        <f>IF(Data!#REF!="","",IF(Data!$G841="",1,IF(ISNUMBER(MATCH(Data!#REF!,Data_Val!$D$2:$D$10,0)),0,1)))</f>
        <v>#REF!</v>
      </c>
      <c r="AZ841" s="11"/>
      <c r="BA841" s="19" t="e">
        <f ca="1">IF(Data!#REF!="","",IF(ISNUMBER(Data!#REF!),IF(AND(Data!#REF!&gt;(TODAY()-(Data_Val!$M$3*365.25)),Data!#REF!&lt;=(TODAY()-(Data_Val!$M$2*365.25))),0,1),1))</f>
        <v>#REF!</v>
      </c>
      <c r="BB841" s="11" t="e">
        <f>IF(Data!#REF!="","",IF(Data!$G841="",1,IF(ISNUMBER(MATCH(Data!#REF!,Data_Val!$D$2:$D$10,0)),0,1)))</f>
        <v>#REF!</v>
      </c>
      <c r="BC841" s="12"/>
      <c r="BD841" s="20" t="e">
        <f ca="1">IF(Data!#REF!="","",IF(ISNUMBER(Data!#REF!),IF(AND(Data!#REF!&gt;(TODAY()-(Data_Val!$M$3*365.25)),Data!#REF!&lt;=(TODAY()-(Data_Val!$M$2*365.25))),0,1),1))</f>
        <v>#REF!</v>
      </c>
      <c r="BE841" s="12" t="e">
        <f>IF(Data!#REF!="","",IF(Data!$G841="",1,IF(ISNUMBER(MATCH(Data!#REF!,Data_Val!$D$2:$D$10,0)),0,1)))</f>
        <v>#REF!</v>
      </c>
      <c r="BF841" s="17"/>
      <c r="BG841" s="18" t="e">
        <f ca="1">IF(Data!#REF!="","",IF(ISNUMBER(Data!#REF!),IF(AND(Data!#REF!&gt;(TODAY()-(Data_Val!$M$3*365.25)),Data!#REF!&lt;=(TODAY()-(Data_Val!$M$2*365.25))),0,1),1))</f>
        <v>#REF!</v>
      </c>
      <c r="BH841" s="29" t="e">
        <f>IF(Data!#REF!="","",IF(Data!$G841="",1,IF(ISNUMBER(MATCH(Data!#REF!,Data_Val!$D$2:$D$10,0)),0,1)))</f>
        <v>#REF!</v>
      </c>
      <c r="BI841" s="13"/>
      <c r="BJ841" s="21" t="e">
        <f ca="1">IF(Data!#REF!="","",IF(ISNUMBER(Data!#REF!),IF(AND(Data!#REF!&gt;(TODAY()-(Data_Val!$M$3*365.25)),Data!#REF!&lt;=(TODAY()-(Data_Val!$M$2*365.25))),0,1),1))</f>
        <v>#REF!</v>
      </c>
      <c r="BK841" s="13" t="e">
        <f>IF(Data!#REF!="","",IF(Data!$G841="",1,IF(ISNUMBER(MATCH(Data!#REF!,Data_Val!$D$2:$D$10,0)),0,1)))</f>
        <v>#REF!</v>
      </c>
    </row>
    <row r="842" spans="1:63" x14ac:dyDescent="0.25">
      <c r="A842" s="9" t="str">
        <f>IF(Data!B842="","",IF(COUNTIFS(Data!A$1:'Data'!A842,Data!A842)&lt;=1,0,1))</f>
        <v/>
      </c>
      <c r="B842" s="9"/>
      <c r="C842" s="23" t="str">
        <f>IF(Data!C842="","",(IF(ISNUMBER(MATCH("*@*.?*",Data!C842,0)),0,1)+IF(COUNTIFS(Data!C$1:'Data'!C842,Data!C842)&gt;1,1,0)))</f>
        <v/>
      </c>
      <c r="D842" s="9" t="str">
        <f>IF(Data!B842="","",IF(ISNUMBER(Data!D842),IF(AND(Data!D842&gt;999999999,Data!D842&lt;=9999999999),IF(COUNTIFS(Data!D$1:'Data'!D842,Data!D842)&lt;=1,0,1),1),1))</f>
        <v/>
      </c>
      <c r="E842" s="9" t="str">
        <f>IF(Data!B842="","",IF(ISNUMBER(MATCH(Data!E842,Data_Val!$A$2:$A$3,0)),0,1))</f>
        <v/>
      </c>
      <c r="F842" s="9" t="str">
        <f ca="1">IF(Data!B842="","",IF(ISNUMBER(Data!F842),IF(AND(Data!F842&gt;(TODAY()-(Data_Val!$H$3*365.25)),Data!F842&lt;=(TODAY()-(Data_Val!$H$2*365.25))),0,1),1))</f>
        <v/>
      </c>
      <c r="G842" s="15" t="str">
        <f>IF(Data!B842="","",IF(AND(Data!G842="",Data!H842&lt;&gt;""),1,IF(Data!#REF!&lt;&gt;"",0,IF(ISNUMBER(MATCH(Data!G842,Data_Val!$C$2:$C$5,0)),0,1))))</f>
        <v/>
      </c>
      <c r="H842" s="15" t="str">
        <f>IF(Data!B842="","",IF(AND(Data!G842&lt;&gt;"",Data!H842=""),1,IF(Data!#REF!&lt;&gt;"",0,IF(Data!G842="",1,IF(ISNUMBER(MATCH(Data!H842,Data_Val!$D$2:$D$35,0)),0,1)))))</f>
        <v/>
      </c>
      <c r="I842" s="15" t="str">
        <f>IF(Data!B842="","",IF(Data!G842&lt;&gt;"",0,IF(ISNUMBER(MATCH(Data!#REF!,Data_Val!$E$2:$E$12,0)),0,1)))</f>
        <v/>
      </c>
      <c r="J842" s="16" t="e">
        <f>IF(OR(Data!B842="",Data!#REF!=""),"",IF(Data!#REF!="",1,0))</f>
        <v>#REF!</v>
      </c>
      <c r="K842" s="16" t="e">
        <f>IF(OR(Data!B842="",Data!#REF!=""),"",IF(Data!#REF!="",1,0))</f>
        <v>#REF!</v>
      </c>
      <c r="L842" s="16" t="e">
        <f>IF(OR(Data!B842="",Data!#REF!=""),"",IF(ISNUMBER(Data!#REF!),IF(AND(Data!#REF!&gt;Data_Val!$G$2,Data!#REF!&lt;=Data_Val!$G$3),0,1),1))</f>
        <v>#REF!</v>
      </c>
      <c r="M842" s="9" t="e">
        <f>IF(OR(Data!B842="",Data!#REF!=""),"",IF(ISNUMBER(MATCH(Data!#REF!,Data_Val!$F$1:$F$38,0)),0,1))</f>
        <v>#REF!</v>
      </c>
      <c r="N842" s="9" t="e">
        <f>IF(OR(Data!B842="",Data!#REF!=""),"",IF(Data!#REF!="",1,0))</f>
        <v>#REF!</v>
      </c>
      <c r="O842" s="17" t="e">
        <f>IF(Data!#REF!="","",IF(Data!#REF!="",1,0))</f>
        <v>#REF!</v>
      </c>
      <c r="P842" s="17" t="e">
        <f>IF(Data!#REF!="","",IF(ISNUMBER(MATCH(Data!#REF!,Data_Val!$A$2:$A$3,0)),0,1))</f>
        <v>#REF!</v>
      </c>
      <c r="Q842" s="25" t="e">
        <f ca="1">IF(Data!#REF!="","",IF(ISNUMBER(Data!#REF!),IF(AND(Data!#REF!&gt;(TODAY()-(Data_Val!$J$3*365.25)),Data!#REF!&lt;=(TODAY()-(Data_Val!$J$2*365.25))),0,1),1))</f>
        <v>#REF!</v>
      </c>
      <c r="R842" s="17" t="e">
        <f>IF(Data!#REF!="","",IF(ISNUMBER(MATCH(Data!#REF!,Data_Val!$B$2:$B$15,0)),0,1))</f>
        <v>#REF!</v>
      </c>
      <c r="S842" s="11" t="str">
        <f>IF(Data!G842="","",IF(Data!G842=Data_Val!$C$2,IF(Data!M842="",0,1),0))</f>
        <v/>
      </c>
      <c r="T842" s="11" t="str">
        <f>IF(Data!M842="","",IF(ISNUMBER(MATCH(Data!N842,Data_Val!$A$2:$A$3,0)),0,1))</f>
        <v/>
      </c>
      <c r="U842" s="11" t="str">
        <f ca="1">IF(Data!M842="","",IF(ISNUMBER(Data!O842),IF(AND(Data!O842&gt;(TODAY()-(Data_Val!$K$3*365.25)),Data!O842&lt;=(TODAY()-(Data_Val!$K$2*365.25))),0,1),1))</f>
        <v/>
      </c>
      <c r="V842" s="12" t="str">
        <f>IF(Data!G842="","",IF(Data!G842=Data_Val!$C$2,IF(Data!P842="",0,1),0))</f>
        <v/>
      </c>
      <c r="W842" s="12" t="str">
        <f>IF(Data!P842="","",IF(ISNUMBER(MATCH(Data!Q842,Data_Val!$A$2:$A$3,0)),0,1))</f>
        <v/>
      </c>
      <c r="X842" s="26" t="str">
        <f ca="1">IF(Data!P842="","",IF(ISNUMBER(Data!R842),IF(AND(Data!R842&gt;(TODAY()-(Data_Val!$L$3*365.25)),Data!R842&lt;=(TODAY()-(Data_Val!$L$2*365.25))),0,1),1))</f>
        <v/>
      </c>
      <c r="Y842" s="13" t="str">
        <f>IF(Data!$G842="","",IF(Data!$G842=Data_Val!$C$2,IF(Data!S842="",0,1),0))</f>
        <v/>
      </c>
      <c r="Z842" s="13" t="str">
        <f>IF(Data!S842="","",IF(ISNUMBER(MATCH(Data!T842,Data_Val!$A$2:$A$3,0)),0,1))</f>
        <v/>
      </c>
      <c r="AA842" s="28" t="str">
        <f ca="1">IF(Data!S842="","",IF(ISNUMBER(Data!U842),IF(AND(Data!U842&gt;(TODAY()-(Data_Val!$L$3*365.25)),Data!U842&lt;=(TODAY()-(Data_Val!$L$2*365.25))),0,1),1))</f>
        <v/>
      </c>
      <c r="AB842" s="11"/>
      <c r="AC842" s="11" t="e">
        <f>IF(Data!#REF!="","",IF(ISNUMBER(MATCH(Data!#REF!,Data_Val!$A$2:$A$3,0)),0,1))</f>
        <v>#REF!</v>
      </c>
      <c r="AD842" s="11" t="e">
        <f ca="1">IF(Data!#REF!="","",IF(ISNUMBER(Data!#REF!),IF(AND(Data!#REF!&gt;(TODAY()-(Data_Val!$L$3*365.25)),Data!#REF!&lt;=(TODAY()-(Data_Val!$L$2*365.25))),0,1),1))</f>
        <v>#REF!</v>
      </c>
      <c r="AE842" s="11" t="e">
        <f>IF(Data!#REF!="","",IF(Data!$G842="",1,IF(ISNUMBER(MATCH(Data!#REF!,Data_Val!$D$2:$D$10,0)),0,1)))</f>
        <v>#REF!</v>
      </c>
      <c r="AF842" s="12"/>
      <c r="AG842" s="12" t="e">
        <f>IF(Data!#REF!="","",IF(ISNUMBER(MATCH(Data!#REF!,Data_Val!$A$2:$A$3,0)),0,1))</f>
        <v>#REF!</v>
      </c>
      <c r="AH842" s="26" t="e">
        <f ca="1">IF(Data!#REF!="","",IF(ISNUMBER(Data!#REF!),IF(AND(Data!#REF!&gt;(TODAY()-(Data_Val!$L$3*365.25)),Data!#REF!&lt;=(TODAY()-(Data_Val!$L$2*365.25))),0,1),1))</f>
        <v>#REF!</v>
      </c>
      <c r="AI842" s="12" t="e">
        <f>IF(Data!#REF!="","",IF(Data!$G842="",1,IF(ISNUMBER(MATCH(Data!#REF!,Data_Val!$D$2:$D$10,0)),0,1)))</f>
        <v>#REF!</v>
      </c>
      <c r="AJ842" s="17"/>
      <c r="AK842" s="17" t="e">
        <f>IF(Data!#REF!="","",IF(ISNUMBER(MATCH(Data!#REF!,Data_Val!$A$2:$A$3,0)),0,1))</f>
        <v>#REF!</v>
      </c>
      <c r="AL842" s="25" t="e">
        <f ca="1">IF(Data!#REF!="","",IF(ISNUMBER(Data!#REF!),IF(AND(Data!#REF!&gt;(TODAY()-(Data_Val!$L$3*365.25)),Data!#REF!&lt;=(TODAY()-(Data_Val!$L$2*365.25))),0,1),1))</f>
        <v>#REF!</v>
      </c>
      <c r="AM842" s="17" t="e">
        <f>IF(Data!#REF!="","",IF(Data!$G842="",1,IF(ISNUMBER(MATCH(Data!#REF!,Data_Val!$D$2:$D$10,0)),0,1)))</f>
        <v>#REF!</v>
      </c>
      <c r="AN842" s="13"/>
      <c r="AO842" s="28" t="e">
        <f ca="1">IF(Data!#REF!="","",IF(ISNUMBER(Data!#REF!),IF(AND(Data!#REF!&gt;(TODAY()-(Data_Val!$I$3*365.25)),Data!#REF!&lt;=(TODAY()-(Data_Val!$I$2*365.25))),0,1),1))</f>
        <v>#REF!</v>
      </c>
      <c r="AP842" s="13" t="e">
        <f>IF(Data!#REF!="","",IF(Data!$G842="",1,IF(ISNUMBER(MATCH(Data!#REF!,Data_Val!$D$2:$D$10,0)),0,1)))</f>
        <v>#REF!</v>
      </c>
      <c r="AQ842" s="17"/>
      <c r="AR842" s="30" t="e">
        <f ca="1">IF(Data!#REF!="","",IF(ISNUMBER(Data!#REF!),IF(AND(Data!#REF!&gt;(TODAY()-(Data_Val!$I$3*365.25)),Data!#REF!&lt;=(TODAY()-(Data_Val!$I$2*365.25))),0,1),1))</f>
        <v>#REF!</v>
      </c>
      <c r="AS842" s="31" t="e">
        <f>IF(Data!#REF!="","",IF(Data!$G842="",1,IF(ISNUMBER(MATCH(Data!#REF!,Data_Val!$D$2:$D$10,0)),0,1)))</f>
        <v>#REF!</v>
      </c>
      <c r="AT842" s="11"/>
      <c r="AU842" s="11" t="e">
        <f ca="1">IF(Data!#REF!="","",IF(ISNUMBER(Data!#REF!),IF(AND(Data!#REF!&gt;(TODAY()-(Data_Val!$I$3*365.25)),Data!#REF!&lt;=(TODAY()-(Data_Val!$I$2*365.25))),0,1),1))</f>
        <v>#REF!</v>
      </c>
      <c r="AV842" s="11" t="e">
        <f>IF(Data!#REF!="","",IF(Data!$G842="",1,IF(ISNUMBER(MATCH(Data!#REF!,Data_Val!$D$2:$D$10,0)),0,1)))</f>
        <v>#REF!</v>
      </c>
      <c r="AW842" s="12"/>
      <c r="AX842" s="26" t="e">
        <f ca="1">IF(Data!#REF!="","",IF(ISNUMBER(Data!#REF!),IF(AND(Data!#REF!&gt;(TODAY()-(Data_Val!$I$3*365.25)),Data!#REF!&lt;=(TODAY()-(Data_Val!$I$2*365.25))),0,1),1))</f>
        <v>#REF!</v>
      </c>
      <c r="AY842" s="12" t="e">
        <f>IF(Data!#REF!="","",IF(Data!$G842="",1,IF(ISNUMBER(MATCH(Data!#REF!,Data_Val!$D$2:$D$10,0)),0,1)))</f>
        <v>#REF!</v>
      </c>
      <c r="AZ842" s="11"/>
      <c r="BA842" s="19" t="e">
        <f ca="1">IF(Data!#REF!="","",IF(ISNUMBER(Data!#REF!),IF(AND(Data!#REF!&gt;(TODAY()-(Data_Val!$M$3*365.25)),Data!#REF!&lt;=(TODAY()-(Data_Val!$M$2*365.25))),0,1),1))</f>
        <v>#REF!</v>
      </c>
      <c r="BB842" s="11" t="e">
        <f>IF(Data!#REF!="","",IF(Data!$G842="",1,IF(ISNUMBER(MATCH(Data!#REF!,Data_Val!$D$2:$D$10,0)),0,1)))</f>
        <v>#REF!</v>
      </c>
      <c r="BC842" s="12"/>
      <c r="BD842" s="20" t="e">
        <f ca="1">IF(Data!#REF!="","",IF(ISNUMBER(Data!#REF!),IF(AND(Data!#REF!&gt;(TODAY()-(Data_Val!$M$3*365.25)),Data!#REF!&lt;=(TODAY()-(Data_Val!$M$2*365.25))),0,1),1))</f>
        <v>#REF!</v>
      </c>
      <c r="BE842" s="12" t="e">
        <f>IF(Data!#REF!="","",IF(Data!$G842="",1,IF(ISNUMBER(MATCH(Data!#REF!,Data_Val!$D$2:$D$10,0)),0,1)))</f>
        <v>#REF!</v>
      </c>
      <c r="BF842" s="17"/>
      <c r="BG842" s="18" t="e">
        <f ca="1">IF(Data!#REF!="","",IF(ISNUMBER(Data!#REF!),IF(AND(Data!#REF!&gt;(TODAY()-(Data_Val!$M$3*365.25)),Data!#REF!&lt;=(TODAY()-(Data_Val!$M$2*365.25))),0,1),1))</f>
        <v>#REF!</v>
      </c>
      <c r="BH842" s="29" t="e">
        <f>IF(Data!#REF!="","",IF(Data!$G842="",1,IF(ISNUMBER(MATCH(Data!#REF!,Data_Val!$D$2:$D$10,0)),0,1)))</f>
        <v>#REF!</v>
      </c>
      <c r="BI842" s="13"/>
      <c r="BJ842" s="21" t="e">
        <f ca="1">IF(Data!#REF!="","",IF(ISNUMBER(Data!#REF!),IF(AND(Data!#REF!&gt;(TODAY()-(Data_Val!$M$3*365.25)),Data!#REF!&lt;=(TODAY()-(Data_Val!$M$2*365.25))),0,1),1))</f>
        <v>#REF!</v>
      </c>
      <c r="BK842" s="13" t="e">
        <f>IF(Data!#REF!="","",IF(Data!$G842="",1,IF(ISNUMBER(MATCH(Data!#REF!,Data_Val!$D$2:$D$10,0)),0,1)))</f>
        <v>#REF!</v>
      </c>
    </row>
    <row r="843" spans="1:63" x14ac:dyDescent="0.25">
      <c r="A843" s="9" t="str">
        <f>IF(Data!B843="","",IF(COUNTIFS(Data!A$1:'Data'!A843,Data!A843)&lt;=1,0,1))</f>
        <v/>
      </c>
      <c r="B843" s="9"/>
      <c r="C843" s="23" t="str">
        <f>IF(Data!C843="","",(IF(ISNUMBER(MATCH("*@*.?*",Data!C843,0)),0,1)+IF(COUNTIFS(Data!C$1:'Data'!C843,Data!C843)&gt;1,1,0)))</f>
        <v/>
      </c>
      <c r="D843" s="9" t="str">
        <f>IF(Data!B843="","",IF(ISNUMBER(Data!D843),IF(AND(Data!D843&gt;999999999,Data!D843&lt;=9999999999),IF(COUNTIFS(Data!D$1:'Data'!D843,Data!D843)&lt;=1,0,1),1),1))</f>
        <v/>
      </c>
      <c r="E843" s="9" t="str">
        <f>IF(Data!B843="","",IF(ISNUMBER(MATCH(Data!E843,Data_Val!$A$2:$A$3,0)),0,1))</f>
        <v/>
      </c>
      <c r="F843" s="9" t="str">
        <f ca="1">IF(Data!B843="","",IF(ISNUMBER(Data!F843),IF(AND(Data!F843&gt;(TODAY()-(Data_Val!$H$3*365.25)),Data!F843&lt;=(TODAY()-(Data_Val!$H$2*365.25))),0,1),1))</f>
        <v/>
      </c>
      <c r="G843" s="15" t="str">
        <f>IF(Data!B843="","",IF(AND(Data!G843="",Data!H843&lt;&gt;""),1,IF(Data!#REF!&lt;&gt;"",0,IF(ISNUMBER(MATCH(Data!G843,Data_Val!$C$2:$C$5,0)),0,1))))</f>
        <v/>
      </c>
      <c r="H843" s="15" t="str">
        <f>IF(Data!B843="","",IF(AND(Data!G843&lt;&gt;"",Data!H843=""),1,IF(Data!#REF!&lt;&gt;"",0,IF(Data!G843="",1,IF(ISNUMBER(MATCH(Data!H843,Data_Val!$D$2:$D$35,0)),0,1)))))</f>
        <v/>
      </c>
      <c r="I843" s="15" t="str">
        <f>IF(Data!B843="","",IF(Data!G843&lt;&gt;"",0,IF(ISNUMBER(MATCH(Data!#REF!,Data_Val!$E$2:$E$12,0)),0,1)))</f>
        <v/>
      </c>
      <c r="J843" s="16" t="e">
        <f>IF(OR(Data!B843="",Data!#REF!=""),"",IF(Data!#REF!="",1,0))</f>
        <v>#REF!</v>
      </c>
      <c r="K843" s="16" t="e">
        <f>IF(OR(Data!B843="",Data!#REF!=""),"",IF(Data!#REF!="",1,0))</f>
        <v>#REF!</v>
      </c>
      <c r="L843" s="16" t="e">
        <f>IF(OR(Data!B843="",Data!#REF!=""),"",IF(ISNUMBER(Data!#REF!),IF(AND(Data!#REF!&gt;Data_Val!$G$2,Data!#REF!&lt;=Data_Val!$G$3),0,1),1))</f>
        <v>#REF!</v>
      </c>
      <c r="M843" s="9" t="e">
        <f>IF(OR(Data!B843="",Data!#REF!=""),"",IF(ISNUMBER(MATCH(Data!#REF!,Data_Val!$F$1:$F$38,0)),0,1))</f>
        <v>#REF!</v>
      </c>
      <c r="N843" s="9" t="e">
        <f>IF(OR(Data!B843="",Data!#REF!=""),"",IF(Data!#REF!="",1,0))</f>
        <v>#REF!</v>
      </c>
      <c r="O843" s="17" t="e">
        <f>IF(Data!#REF!="","",IF(Data!#REF!="",1,0))</f>
        <v>#REF!</v>
      </c>
      <c r="P843" s="17" t="e">
        <f>IF(Data!#REF!="","",IF(ISNUMBER(MATCH(Data!#REF!,Data_Val!$A$2:$A$3,0)),0,1))</f>
        <v>#REF!</v>
      </c>
      <c r="Q843" s="25" t="e">
        <f ca="1">IF(Data!#REF!="","",IF(ISNUMBER(Data!#REF!),IF(AND(Data!#REF!&gt;(TODAY()-(Data_Val!$J$3*365.25)),Data!#REF!&lt;=(TODAY()-(Data_Val!$J$2*365.25))),0,1),1))</f>
        <v>#REF!</v>
      </c>
      <c r="R843" s="17" t="e">
        <f>IF(Data!#REF!="","",IF(ISNUMBER(MATCH(Data!#REF!,Data_Val!$B$2:$B$15,0)),0,1))</f>
        <v>#REF!</v>
      </c>
      <c r="S843" s="11" t="str">
        <f>IF(Data!G843="","",IF(Data!G843=Data_Val!$C$2,IF(Data!M843="",0,1),0))</f>
        <v/>
      </c>
      <c r="T843" s="11" t="str">
        <f>IF(Data!M843="","",IF(ISNUMBER(MATCH(Data!N843,Data_Val!$A$2:$A$3,0)),0,1))</f>
        <v/>
      </c>
      <c r="U843" s="11" t="str">
        <f ca="1">IF(Data!M843="","",IF(ISNUMBER(Data!O843),IF(AND(Data!O843&gt;(TODAY()-(Data_Val!$K$3*365.25)),Data!O843&lt;=(TODAY()-(Data_Val!$K$2*365.25))),0,1),1))</f>
        <v/>
      </c>
      <c r="V843" s="12" t="str">
        <f>IF(Data!G843="","",IF(Data!G843=Data_Val!$C$2,IF(Data!P843="",0,1),0))</f>
        <v/>
      </c>
      <c r="W843" s="12" t="str">
        <f>IF(Data!P843="","",IF(ISNUMBER(MATCH(Data!Q843,Data_Val!$A$2:$A$3,0)),0,1))</f>
        <v/>
      </c>
      <c r="X843" s="26" t="str">
        <f ca="1">IF(Data!P843="","",IF(ISNUMBER(Data!R843),IF(AND(Data!R843&gt;(TODAY()-(Data_Val!$L$3*365.25)),Data!R843&lt;=(TODAY()-(Data_Val!$L$2*365.25))),0,1),1))</f>
        <v/>
      </c>
      <c r="Y843" s="13" t="str">
        <f>IF(Data!$G843="","",IF(Data!$G843=Data_Val!$C$2,IF(Data!S843="",0,1),0))</f>
        <v/>
      </c>
      <c r="Z843" s="13" t="str">
        <f>IF(Data!S843="","",IF(ISNUMBER(MATCH(Data!T843,Data_Val!$A$2:$A$3,0)),0,1))</f>
        <v/>
      </c>
      <c r="AA843" s="28" t="str">
        <f ca="1">IF(Data!S843="","",IF(ISNUMBER(Data!U843),IF(AND(Data!U843&gt;(TODAY()-(Data_Val!$L$3*365.25)),Data!U843&lt;=(TODAY()-(Data_Val!$L$2*365.25))),0,1),1))</f>
        <v/>
      </c>
      <c r="AB843" s="11"/>
      <c r="AC843" s="11" t="e">
        <f>IF(Data!#REF!="","",IF(ISNUMBER(MATCH(Data!#REF!,Data_Val!$A$2:$A$3,0)),0,1))</f>
        <v>#REF!</v>
      </c>
      <c r="AD843" s="11" t="e">
        <f ca="1">IF(Data!#REF!="","",IF(ISNUMBER(Data!#REF!),IF(AND(Data!#REF!&gt;(TODAY()-(Data_Val!$L$3*365.25)),Data!#REF!&lt;=(TODAY()-(Data_Val!$L$2*365.25))),0,1),1))</f>
        <v>#REF!</v>
      </c>
      <c r="AE843" s="11" t="e">
        <f>IF(Data!#REF!="","",IF(Data!$G843="",1,IF(ISNUMBER(MATCH(Data!#REF!,Data_Val!$D$2:$D$10,0)),0,1)))</f>
        <v>#REF!</v>
      </c>
      <c r="AF843" s="12"/>
      <c r="AG843" s="12" t="e">
        <f>IF(Data!#REF!="","",IF(ISNUMBER(MATCH(Data!#REF!,Data_Val!$A$2:$A$3,0)),0,1))</f>
        <v>#REF!</v>
      </c>
      <c r="AH843" s="26" t="e">
        <f ca="1">IF(Data!#REF!="","",IF(ISNUMBER(Data!#REF!),IF(AND(Data!#REF!&gt;(TODAY()-(Data_Val!$L$3*365.25)),Data!#REF!&lt;=(TODAY()-(Data_Val!$L$2*365.25))),0,1),1))</f>
        <v>#REF!</v>
      </c>
      <c r="AI843" s="12" t="e">
        <f>IF(Data!#REF!="","",IF(Data!$G843="",1,IF(ISNUMBER(MATCH(Data!#REF!,Data_Val!$D$2:$D$10,0)),0,1)))</f>
        <v>#REF!</v>
      </c>
      <c r="AJ843" s="17"/>
      <c r="AK843" s="17" t="e">
        <f>IF(Data!#REF!="","",IF(ISNUMBER(MATCH(Data!#REF!,Data_Val!$A$2:$A$3,0)),0,1))</f>
        <v>#REF!</v>
      </c>
      <c r="AL843" s="25" t="e">
        <f ca="1">IF(Data!#REF!="","",IF(ISNUMBER(Data!#REF!),IF(AND(Data!#REF!&gt;(TODAY()-(Data_Val!$L$3*365.25)),Data!#REF!&lt;=(TODAY()-(Data_Val!$L$2*365.25))),0,1),1))</f>
        <v>#REF!</v>
      </c>
      <c r="AM843" s="17" t="e">
        <f>IF(Data!#REF!="","",IF(Data!$G843="",1,IF(ISNUMBER(MATCH(Data!#REF!,Data_Val!$D$2:$D$10,0)),0,1)))</f>
        <v>#REF!</v>
      </c>
      <c r="AN843" s="13"/>
      <c r="AO843" s="28" t="e">
        <f ca="1">IF(Data!#REF!="","",IF(ISNUMBER(Data!#REF!),IF(AND(Data!#REF!&gt;(TODAY()-(Data_Val!$I$3*365.25)),Data!#REF!&lt;=(TODAY()-(Data_Val!$I$2*365.25))),0,1),1))</f>
        <v>#REF!</v>
      </c>
      <c r="AP843" s="13" t="e">
        <f>IF(Data!#REF!="","",IF(Data!$G843="",1,IF(ISNUMBER(MATCH(Data!#REF!,Data_Val!$D$2:$D$10,0)),0,1)))</f>
        <v>#REF!</v>
      </c>
      <c r="AQ843" s="17"/>
      <c r="AR843" s="30" t="e">
        <f ca="1">IF(Data!#REF!="","",IF(ISNUMBER(Data!#REF!),IF(AND(Data!#REF!&gt;(TODAY()-(Data_Val!$I$3*365.25)),Data!#REF!&lt;=(TODAY()-(Data_Val!$I$2*365.25))),0,1),1))</f>
        <v>#REF!</v>
      </c>
      <c r="AS843" s="31" t="e">
        <f>IF(Data!#REF!="","",IF(Data!$G843="",1,IF(ISNUMBER(MATCH(Data!#REF!,Data_Val!$D$2:$D$10,0)),0,1)))</f>
        <v>#REF!</v>
      </c>
      <c r="AT843" s="11"/>
      <c r="AU843" s="11" t="e">
        <f ca="1">IF(Data!#REF!="","",IF(ISNUMBER(Data!#REF!),IF(AND(Data!#REF!&gt;(TODAY()-(Data_Val!$I$3*365.25)),Data!#REF!&lt;=(TODAY()-(Data_Val!$I$2*365.25))),0,1),1))</f>
        <v>#REF!</v>
      </c>
      <c r="AV843" s="11" t="e">
        <f>IF(Data!#REF!="","",IF(Data!$G843="",1,IF(ISNUMBER(MATCH(Data!#REF!,Data_Val!$D$2:$D$10,0)),0,1)))</f>
        <v>#REF!</v>
      </c>
      <c r="AW843" s="12"/>
      <c r="AX843" s="26" t="e">
        <f ca="1">IF(Data!#REF!="","",IF(ISNUMBER(Data!#REF!),IF(AND(Data!#REF!&gt;(TODAY()-(Data_Val!$I$3*365.25)),Data!#REF!&lt;=(TODAY()-(Data_Val!$I$2*365.25))),0,1),1))</f>
        <v>#REF!</v>
      </c>
      <c r="AY843" s="12" t="e">
        <f>IF(Data!#REF!="","",IF(Data!$G843="",1,IF(ISNUMBER(MATCH(Data!#REF!,Data_Val!$D$2:$D$10,0)),0,1)))</f>
        <v>#REF!</v>
      </c>
      <c r="AZ843" s="11"/>
      <c r="BA843" s="19" t="e">
        <f ca="1">IF(Data!#REF!="","",IF(ISNUMBER(Data!#REF!),IF(AND(Data!#REF!&gt;(TODAY()-(Data_Val!$M$3*365.25)),Data!#REF!&lt;=(TODAY()-(Data_Val!$M$2*365.25))),0,1),1))</f>
        <v>#REF!</v>
      </c>
      <c r="BB843" s="11" t="e">
        <f>IF(Data!#REF!="","",IF(Data!$G843="",1,IF(ISNUMBER(MATCH(Data!#REF!,Data_Val!$D$2:$D$10,0)),0,1)))</f>
        <v>#REF!</v>
      </c>
      <c r="BC843" s="12"/>
      <c r="BD843" s="20" t="e">
        <f ca="1">IF(Data!#REF!="","",IF(ISNUMBER(Data!#REF!),IF(AND(Data!#REF!&gt;(TODAY()-(Data_Val!$M$3*365.25)),Data!#REF!&lt;=(TODAY()-(Data_Val!$M$2*365.25))),0,1),1))</f>
        <v>#REF!</v>
      </c>
      <c r="BE843" s="12" t="e">
        <f>IF(Data!#REF!="","",IF(Data!$G843="",1,IF(ISNUMBER(MATCH(Data!#REF!,Data_Val!$D$2:$D$10,0)),0,1)))</f>
        <v>#REF!</v>
      </c>
      <c r="BF843" s="17"/>
      <c r="BG843" s="18" t="e">
        <f ca="1">IF(Data!#REF!="","",IF(ISNUMBER(Data!#REF!),IF(AND(Data!#REF!&gt;(TODAY()-(Data_Val!$M$3*365.25)),Data!#REF!&lt;=(TODAY()-(Data_Val!$M$2*365.25))),0,1),1))</f>
        <v>#REF!</v>
      </c>
      <c r="BH843" s="29" t="e">
        <f>IF(Data!#REF!="","",IF(Data!$G843="",1,IF(ISNUMBER(MATCH(Data!#REF!,Data_Val!$D$2:$D$10,0)),0,1)))</f>
        <v>#REF!</v>
      </c>
      <c r="BI843" s="13"/>
      <c r="BJ843" s="21" t="e">
        <f ca="1">IF(Data!#REF!="","",IF(ISNUMBER(Data!#REF!),IF(AND(Data!#REF!&gt;(TODAY()-(Data_Val!$M$3*365.25)),Data!#REF!&lt;=(TODAY()-(Data_Val!$M$2*365.25))),0,1),1))</f>
        <v>#REF!</v>
      </c>
      <c r="BK843" s="13" t="e">
        <f>IF(Data!#REF!="","",IF(Data!$G843="",1,IF(ISNUMBER(MATCH(Data!#REF!,Data_Val!$D$2:$D$10,0)),0,1)))</f>
        <v>#REF!</v>
      </c>
    </row>
    <row r="844" spans="1:63" x14ac:dyDescent="0.25">
      <c r="A844" s="9" t="str">
        <f>IF(Data!B844="","",IF(COUNTIFS(Data!A$1:'Data'!A844,Data!A844)&lt;=1,0,1))</f>
        <v/>
      </c>
      <c r="B844" s="9"/>
      <c r="C844" s="23" t="str">
        <f>IF(Data!C844="","",(IF(ISNUMBER(MATCH("*@*.?*",Data!C844,0)),0,1)+IF(COUNTIFS(Data!C$1:'Data'!C844,Data!C844)&gt;1,1,0)))</f>
        <v/>
      </c>
      <c r="D844" s="9" t="str">
        <f>IF(Data!B844="","",IF(ISNUMBER(Data!D844),IF(AND(Data!D844&gt;999999999,Data!D844&lt;=9999999999),IF(COUNTIFS(Data!D$1:'Data'!D844,Data!D844)&lt;=1,0,1),1),1))</f>
        <v/>
      </c>
      <c r="E844" s="9" t="str">
        <f>IF(Data!B844="","",IF(ISNUMBER(MATCH(Data!E844,Data_Val!$A$2:$A$3,0)),0,1))</f>
        <v/>
      </c>
      <c r="F844" s="9" t="str">
        <f ca="1">IF(Data!B844="","",IF(ISNUMBER(Data!F844),IF(AND(Data!F844&gt;(TODAY()-(Data_Val!$H$3*365.25)),Data!F844&lt;=(TODAY()-(Data_Val!$H$2*365.25))),0,1),1))</f>
        <v/>
      </c>
      <c r="G844" s="15" t="str">
        <f>IF(Data!B844="","",IF(AND(Data!G844="",Data!H844&lt;&gt;""),1,IF(Data!#REF!&lt;&gt;"",0,IF(ISNUMBER(MATCH(Data!G844,Data_Val!$C$2:$C$5,0)),0,1))))</f>
        <v/>
      </c>
      <c r="H844" s="15" t="str">
        <f>IF(Data!B844="","",IF(AND(Data!G844&lt;&gt;"",Data!H844=""),1,IF(Data!#REF!&lt;&gt;"",0,IF(Data!G844="",1,IF(ISNUMBER(MATCH(Data!H844,Data_Val!$D$2:$D$35,0)),0,1)))))</f>
        <v/>
      </c>
      <c r="I844" s="15" t="str">
        <f>IF(Data!B844="","",IF(Data!G844&lt;&gt;"",0,IF(ISNUMBER(MATCH(Data!#REF!,Data_Val!$E$2:$E$12,0)),0,1)))</f>
        <v/>
      </c>
      <c r="J844" s="16" t="e">
        <f>IF(OR(Data!B844="",Data!#REF!=""),"",IF(Data!#REF!="",1,0))</f>
        <v>#REF!</v>
      </c>
      <c r="K844" s="16" t="e">
        <f>IF(OR(Data!B844="",Data!#REF!=""),"",IF(Data!#REF!="",1,0))</f>
        <v>#REF!</v>
      </c>
      <c r="L844" s="16" t="e">
        <f>IF(OR(Data!B844="",Data!#REF!=""),"",IF(ISNUMBER(Data!#REF!),IF(AND(Data!#REF!&gt;Data_Val!$G$2,Data!#REF!&lt;=Data_Val!$G$3),0,1),1))</f>
        <v>#REF!</v>
      </c>
      <c r="M844" s="9" t="e">
        <f>IF(OR(Data!B844="",Data!#REF!=""),"",IF(ISNUMBER(MATCH(Data!#REF!,Data_Val!$F$1:$F$38,0)),0,1))</f>
        <v>#REF!</v>
      </c>
      <c r="N844" s="9" t="e">
        <f>IF(OR(Data!B844="",Data!#REF!=""),"",IF(Data!#REF!="",1,0))</f>
        <v>#REF!</v>
      </c>
      <c r="O844" s="17" t="e">
        <f>IF(Data!#REF!="","",IF(Data!#REF!="",1,0))</f>
        <v>#REF!</v>
      </c>
      <c r="P844" s="17" t="e">
        <f>IF(Data!#REF!="","",IF(ISNUMBER(MATCH(Data!#REF!,Data_Val!$A$2:$A$3,0)),0,1))</f>
        <v>#REF!</v>
      </c>
      <c r="Q844" s="25" t="e">
        <f ca="1">IF(Data!#REF!="","",IF(ISNUMBER(Data!#REF!),IF(AND(Data!#REF!&gt;(TODAY()-(Data_Val!$J$3*365.25)),Data!#REF!&lt;=(TODAY()-(Data_Val!$J$2*365.25))),0,1),1))</f>
        <v>#REF!</v>
      </c>
      <c r="R844" s="17" t="e">
        <f>IF(Data!#REF!="","",IF(ISNUMBER(MATCH(Data!#REF!,Data_Val!$B$2:$B$15,0)),0,1))</f>
        <v>#REF!</v>
      </c>
      <c r="S844" s="11" t="str">
        <f>IF(Data!G844="","",IF(Data!G844=Data_Val!$C$2,IF(Data!M844="",0,1),0))</f>
        <v/>
      </c>
      <c r="T844" s="11" t="str">
        <f>IF(Data!M844="","",IF(ISNUMBER(MATCH(Data!N844,Data_Val!$A$2:$A$3,0)),0,1))</f>
        <v/>
      </c>
      <c r="U844" s="11" t="str">
        <f ca="1">IF(Data!M844="","",IF(ISNUMBER(Data!O844),IF(AND(Data!O844&gt;(TODAY()-(Data_Val!$K$3*365.25)),Data!O844&lt;=(TODAY()-(Data_Val!$K$2*365.25))),0,1),1))</f>
        <v/>
      </c>
      <c r="V844" s="12" t="str">
        <f>IF(Data!G844="","",IF(Data!G844=Data_Val!$C$2,IF(Data!P844="",0,1),0))</f>
        <v/>
      </c>
      <c r="W844" s="12" t="str">
        <f>IF(Data!P844="","",IF(ISNUMBER(MATCH(Data!Q844,Data_Val!$A$2:$A$3,0)),0,1))</f>
        <v/>
      </c>
      <c r="X844" s="26" t="str">
        <f ca="1">IF(Data!P844="","",IF(ISNUMBER(Data!R844),IF(AND(Data!R844&gt;(TODAY()-(Data_Val!$L$3*365.25)),Data!R844&lt;=(TODAY()-(Data_Val!$L$2*365.25))),0,1),1))</f>
        <v/>
      </c>
      <c r="Y844" s="13" t="str">
        <f>IF(Data!$G844="","",IF(Data!$G844=Data_Val!$C$2,IF(Data!S844="",0,1),0))</f>
        <v/>
      </c>
      <c r="Z844" s="13" t="str">
        <f>IF(Data!S844="","",IF(ISNUMBER(MATCH(Data!T844,Data_Val!$A$2:$A$3,0)),0,1))</f>
        <v/>
      </c>
      <c r="AA844" s="28" t="str">
        <f ca="1">IF(Data!S844="","",IF(ISNUMBER(Data!U844),IF(AND(Data!U844&gt;(TODAY()-(Data_Val!$L$3*365.25)),Data!U844&lt;=(TODAY()-(Data_Val!$L$2*365.25))),0,1),1))</f>
        <v/>
      </c>
      <c r="AB844" s="11"/>
      <c r="AC844" s="11" t="e">
        <f>IF(Data!#REF!="","",IF(ISNUMBER(MATCH(Data!#REF!,Data_Val!$A$2:$A$3,0)),0,1))</f>
        <v>#REF!</v>
      </c>
      <c r="AD844" s="11" t="e">
        <f ca="1">IF(Data!#REF!="","",IF(ISNUMBER(Data!#REF!),IF(AND(Data!#REF!&gt;(TODAY()-(Data_Val!$L$3*365.25)),Data!#REF!&lt;=(TODAY()-(Data_Val!$L$2*365.25))),0,1),1))</f>
        <v>#REF!</v>
      </c>
      <c r="AE844" s="11" t="e">
        <f>IF(Data!#REF!="","",IF(Data!$G844="",1,IF(ISNUMBER(MATCH(Data!#REF!,Data_Val!$D$2:$D$10,0)),0,1)))</f>
        <v>#REF!</v>
      </c>
      <c r="AF844" s="12"/>
      <c r="AG844" s="12" t="e">
        <f>IF(Data!#REF!="","",IF(ISNUMBER(MATCH(Data!#REF!,Data_Val!$A$2:$A$3,0)),0,1))</f>
        <v>#REF!</v>
      </c>
      <c r="AH844" s="26" t="e">
        <f ca="1">IF(Data!#REF!="","",IF(ISNUMBER(Data!#REF!),IF(AND(Data!#REF!&gt;(TODAY()-(Data_Val!$L$3*365.25)),Data!#REF!&lt;=(TODAY()-(Data_Val!$L$2*365.25))),0,1),1))</f>
        <v>#REF!</v>
      </c>
      <c r="AI844" s="12" t="e">
        <f>IF(Data!#REF!="","",IF(Data!$G844="",1,IF(ISNUMBER(MATCH(Data!#REF!,Data_Val!$D$2:$D$10,0)),0,1)))</f>
        <v>#REF!</v>
      </c>
      <c r="AJ844" s="17"/>
      <c r="AK844" s="17" t="e">
        <f>IF(Data!#REF!="","",IF(ISNUMBER(MATCH(Data!#REF!,Data_Val!$A$2:$A$3,0)),0,1))</f>
        <v>#REF!</v>
      </c>
      <c r="AL844" s="25" t="e">
        <f ca="1">IF(Data!#REF!="","",IF(ISNUMBER(Data!#REF!),IF(AND(Data!#REF!&gt;(TODAY()-(Data_Val!$L$3*365.25)),Data!#REF!&lt;=(TODAY()-(Data_Val!$L$2*365.25))),0,1),1))</f>
        <v>#REF!</v>
      </c>
      <c r="AM844" s="17" t="e">
        <f>IF(Data!#REF!="","",IF(Data!$G844="",1,IF(ISNUMBER(MATCH(Data!#REF!,Data_Val!$D$2:$D$10,0)),0,1)))</f>
        <v>#REF!</v>
      </c>
      <c r="AN844" s="13"/>
      <c r="AO844" s="28" t="e">
        <f ca="1">IF(Data!#REF!="","",IF(ISNUMBER(Data!#REF!),IF(AND(Data!#REF!&gt;(TODAY()-(Data_Val!$I$3*365.25)),Data!#REF!&lt;=(TODAY()-(Data_Val!$I$2*365.25))),0,1),1))</f>
        <v>#REF!</v>
      </c>
      <c r="AP844" s="13" t="e">
        <f>IF(Data!#REF!="","",IF(Data!$G844="",1,IF(ISNUMBER(MATCH(Data!#REF!,Data_Val!$D$2:$D$10,0)),0,1)))</f>
        <v>#REF!</v>
      </c>
      <c r="AQ844" s="17"/>
      <c r="AR844" s="30" t="e">
        <f ca="1">IF(Data!#REF!="","",IF(ISNUMBER(Data!#REF!),IF(AND(Data!#REF!&gt;(TODAY()-(Data_Val!$I$3*365.25)),Data!#REF!&lt;=(TODAY()-(Data_Val!$I$2*365.25))),0,1),1))</f>
        <v>#REF!</v>
      </c>
      <c r="AS844" s="31" t="e">
        <f>IF(Data!#REF!="","",IF(Data!$G844="",1,IF(ISNUMBER(MATCH(Data!#REF!,Data_Val!$D$2:$D$10,0)),0,1)))</f>
        <v>#REF!</v>
      </c>
      <c r="AT844" s="11"/>
      <c r="AU844" s="11" t="e">
        <f ca="1">IF(Data!#REF!="","",IF(ISNUMBER(Data!#REF!),IF(AND(Data!#REF!&gt;(TODAY()-(Data_Val!$I$3*365.25)),Data!#REF!&lt;=(TODAY()-(Data_Val!$I$2*365.25))),0,1),1))</f>
        <v>#REF!</v>
      </c>
      <c r="AV844" s="11" t="e">
        <f>IF(Data!#REF!="","",IF(Data!$G844="",1,IF(ISNUMBER(MATCH(Data!#REF!,Data_Val!$D$2:$D$10,0)),0,1)))</f>
        <v>#REF!</v>
      </c>
      <c r="AW844" s="12"/>
      <c r="AX844" s="26" t="e">
        <f ca="1">IF(Data!#REF!="","",IF(ISNUMBER(Data!#REF!),IF(AND(Data!#REF!&gt;(TODAY()-(Data_Val!$I$3*365.25)),Data!#REF!&lt;=(TODAY()-(Data_Val!$I$2*365.25))),0,1),1))</f>
        <v>#REF!</v>
      </c>
      <c r="AY844" s="12" t="e">
        <f>IF(Data!#REF!="","",IF(Data!$G844="",1,IF(ISNUMBER(MATCH(Data!#REF!,Data_Val!$D$2:$D$10,0)),0,1)))</f>
        <v>#REF!</v>
      </c>
      <c r="AZ844" s="11"/>
      <c r="BA844" s="19" t="e">
        <f ca="1">IF(Data!#REF!="","",IF(ISNUMBER(Data!#REF!),IF(AND(Data!#REF!&gt;(TODAY()-(Data_Val!$M$3*365.25)),Data!#REF!&lt;=(TODAY()-(Data_Val!$M$2*365.25))),0,1),1))</f>
        <v>#REF!</v>
      </c>
      <c r="BB844" s="11" t="e">
        <f>IF(Data!#REF!="","",IF(Data!$G844="",1,IF(ISNUMBER(MATCH(Data!#REF!,Data_Val!$D$2:$D$10,0)),0,1)))</f>
        <v>#REF!</v>
      </c>
      <c r="BC844" s="12"/>
      <c r="BD844" s="20" t="e">
        <f ca="1">IF(Data!#REF!="","",IF(ISNUMBER(Data!#REF!),IF(AND(Data!#REF!&gt;(TODAY()-(Data_Val!$M$3*365.25)),Data!#REF!&lt;=(TODAY()-(Data_Val!$M$2*365.25))),0,1),1))</f>
        <v>#REF!</v>
      </c>
      <c r="BE844" s="12" t="e">
        <f>IF(Data!#REF!="","",IF(Data!$G844="",1,IF(ISNUMBER(MATCH(Data!#REF!,Data_Val!$D$2:$D$10,0)),0,1)))</f>
        <v>#REF!</v>
      </c>
      <c r="BF844" s="17"/>
      <c r="BG844" s="18" t="e">
        <f ca="1">IF(Data!#REF!="","",IF(ISNUMBER(Data!#REF!),IF(AND(Data!#REF!&gt;(TODAY()-(Data_Val!$M$3*365.25)),Data!#REF!&lt;=(TODAY()-(Data_Val!$M$2*365.25))),0,1),1))</f>
        <v>#REF!</v>
      </c>
      <c r="BH844" s="29" t="e">
        <f>IF(Data!#REF!="","",IF(Data!$G844="",1,IF(ISNUMBER(MATCH(Data!#REF!,Data_Val!$D$2:$D$10,0)),0,1)))</f>
        <v>#REF!</v>
      </c>
      <c r="BI844" s="13"/>
      <c r="BJ844" s="21" t="e">
        <f ca="1">IF(Data!#REF!="","",IF(ISNUMBER(Data!#REF!),IF(AND(Data!#REF!&gt;(TODAY()-(Data_Val!$M$3*365.25)),Data!#REF!&lt;=(TODAY()-(Data_Val!$M$2*365.25))),0,1),1))</f>
        <v>#REF!</v>
      </c>
      <c r="BK844" s="13" t="e">
        <f>IF(Data!#REF!="","",IF(Data!$G844="",1,IF(ISNUMBER(MATCH(Data!#REF!,Data_Val!$D$2:$D$10,0)),0,1)))</f>
        <v>#REF!</v>
      </c>
    </row>
    <row r="845" spans="1:63" x14ac:dyDescent="0.25">
      <c r="A845" s="9" t="str">
        <f>IF(Data!B845="","",IF(COUNTIFS(Data!A$1:'Data'!A845,Data!A845)&lt;=1,0,1))</f>
        <v/>
      </c>
      <c r="B845" s="9"/>
      <c r="C845" s="23" t="str">
        <f>IF(Data!C845="","",(IF(ISNUMBER(MATCH("*@*.?*",Data!C845,0)),0,1)+IF(COUNTIFS(Data!C$1:'Data'!C845,Data!C845)&gt;1,1,0)))</f>
        <v/>
      </c>
      <c r="D845" s="9" t="str">
        <f>IF(Data!B845="","",IF(ISNUMBER(Data!D845),IF(AND(Data!D845&gt;999999999,Data!D845&lt;=9999999999),IF(COUNTIFS(Data!D$1:'Data'!D845,Data!D845)&lt;=1,0,1),1),1))</f>
        <v/>
      </c>
      <c r="E845" s="9" t="str">
        <f>IF(Data!B845="","",IF(ISNUMBER(MATCH(Data!E845,Data_Val!$A$2:$A$3,0)),0,1))</f>
        <v/>
      </c>
      <c r="F845" s="9" t="str">
        <f ca="1">IF(Data!B845="","",IF(ISNUMBER(Data!F845),IF(AND(Data!F845&gt;(TODAY()-(Data_Val!$H$3*365.25)),Data!F845&lt;=(TODAY()-(Data_Val!$H$2*365.25))),0,1),1))</f>
        <v/>
      </c>
      <c r="G845" s="15" t="str">
        <f>IF(Data!B845="","",IF(AND(Data!G845="",Data!H845&lt;&gt;""),1,IF(Data!#REF!&lt;&gt;"",0,IF(ISNUMBER(MATCH(Data!G845,Data_Val!$C$2:$C$5,0)),0,1))))</f>
        <v/>
      </c>
      <c r="H845" s="15" t="str">
        <f>IF(Data!B845="","",IF(AND(Data!G845&lt;&gt;"",Data!H845=""),1,IF(Data!#REF!&lt;&gt;"",0,IF(Data!G845="",1,IF(ISNUMBER(MATCH(Data!H845,Data_Val!$D$2:$D$35,0)),0,1)))))</f>
        <v/>
      </c>
      <c r="I845" s="15" t="str">
        <f>IF(Data!B845="","",IF(Data!G845&lt;&gt;"",0,IF(ISNUMBER(MATCH(Data!#REF!,Data_Val!$E$2:$E$12,0)),0,1)))</f>
        <v/>
      </c>
      <c r="J845" s="16" t="e">
        <f>IF(OR(Data!B845="",Data!#REF!=""),"",IF(Data!#REF!="",1,0))</f>
        <v>#REF!</v>
      </c>
      <c r="K845" s="16" t="e">
        <f>IF(OR(Data!B845="",Data!#REF!=""),"",IF(Data!#REF!="",1,0))</f>
        <v>#REF!</v>
      </c>
      <c r="L845" s="16" t="e">
        <f>IF(OR(Data!B845="",Data!#REF!=""),"",IF(ISNUMBER(Data!#REF!),IF(AND(Data!#REF!&gt;Data_Val!$G$2,Data!#REF!&lt;=Data_Val!$G$3),0,1),1))</f>
        <v>#REF!</v>
      </c>
      <c r="M845" s="9" t="e">
        <f>IF(OR(Data!B845="",Data!#REF!=""),"",IF(ISNUMBER(MATCH(Data!#REF!,Data_Val!$F$1:$F$38,0)),0,1))</f>
        <v>#REF!</v>
      </c>
      <c r="N845" s="9" t="e">
        <f>IF(OR(Data!B845="",Data!#REF!=""),"",IF(Data!#REF!="",1,0))</f>
        <v>#REF!</v>
      </c>
      <c r="O845" s="17" t="e">
        <f>IF(Data!#REF!="","",IF(Data!#REF!="",1,0))</f>
        <v>#REF!</v>
      </c>
      <c r="P845" s="17" t="e">
        <f>IF(Data!#REF!="","",IF(ISNUMBER(MATCH(Data!#REF!,Data_Val!$A$2:$A$3,0)),0,1))</f>
        <v>#REF!</v>
      </c>
      <c r="Q845" s="25" t="e">
        <f ca="1">IF(Data!#REF!="","",IF(ISNUMBER(Data!#REF!),IF(AND(Data!#REF!&gt;(TODAY()-(Data_Val!$J$3*365.25)),Data!#REF!&lt;=(TODAY()-(Data_Val!$J$2*365.25))),0,1),1))</f>
        <v>#REF!</v>
      </c>
      <c r="R845" s="17" t="e">
        <f>IF(Data!#REF!="","",IF(ISNUMBER(MATCH(Data!#REF!,Data_Val!$B$2:$B$15,0)),0,1))</f>
        <v>#REF!</v>
      </c>
      <c r="S845" s="11" t="str">
        <f>IF(Data!G845="","",IF(Data!G845=Data_Val!$C$2,IF(Data!M845="",0,1),0))</f>
        <v/>
      </c>
      <c r="T845" s="11" t="str">
        <f>IF(Data!M845="","",IF(ISNUMBER(MATCH(Data!N845,Data_Val!$A$2:$A$3,0)),0,1))</f>
        <v/>
      </c>
      <c r="U845" s="11" t="str">
        <f ca="1">IF(Data!M845="","",IF(ISNUMBER(Data!O845),IF(AND(Data!O845&gt;(TODAY()-(Data_Val!$K$3*365.25)),Data!O845&lt;=(TODAY()-(Data_Val!$K$2*365.25))),0,1),1))</f>
        <v/>
      </c>
      <c r="V845" s="12" t="str">
        <f>IF(Data!G845="","",IF(Data!G845=Data_Val!$C$2,IF(Data!P845="",0,1),0))</f>
        <v/>
      </c>
      <c r="W845" s="12" t="str">
        <f>IF(Data!P845="","",IF(ISNUMBER(MATCH(Data!Q845,Data_Val!$A$2:$A$3,0)),0,1))</f>
        <v/>
      </c>
      <c r="X845" s="26" t="str">
        <f ca="1">IF(Data!P845="","",IF(ISNUMBER(Data!R845),IF(AND(Data!R845&gt;(TODAY()-(Data_Val!$L$3*365.25)),Data!R845&lt;=(TODAY()-(Data_Val!$L$2*365.25))),0,1),1))</f>
        <v/>
      </c>
      <c r="Y845" s="13" t="str">
        <f>IF(Data!$G845="","",IF(Data!$G845=Data_Val!$C$2,IF(Data!S845="",0,1),0))</f>
        <v/>
      </c>
      <c r="Z845" s="13" t="str">
        <f>IF(Data!S845="","",IF(ISNUMBER(MATCH(Data!T845,Data_Val!$A$2:$A$3,0)),0,1))</f>
        <v/>
      </c>
      <c r="AA845" s="28" t="str">
        <f ca="1">IF(Data!S845="","",IF(ISNUMBER(Data!U845),IF(AND(Data!U845&gt;(TODAY()-(Data_Val!$L$3*365.25)),Data!U845&lt;=(TODAY()-(Data_Val!$L$2*365.25))),0,1),1))</f>
        <v/>
      </c>
      <c r="AB845" s="11"/>
      <c r="AC845" s="11" t="e">
        <f>IF(Data!#REF!="","",IF(ISNUMBER(MATCH(Data!#REF!,Data_Val!$A$2:$A$3,0)),0,1))</f>
        <v>#REF!</v>
      </c>
      <c r="AD845" s="11" t="e">
        <f ca="1">IF(Data!#REF!="","",IF(ISNUMBER(Data!#REF!),IF(AND(Data!#REF!&gt;(TODAY()-(Data_Val!$L$3*365.25)),Data!#REF!&lt;=(TODAY()-(Data_Val!$L$2*365.25))),0,1),1))</f>
        <v>#REF!</v>
      </c>
      <c r="AE845" s="11" t="e">
        <f>IF(Data!#REF!="","",IF(Data!$G845="",1,IF(ISNUMBER(MATCH(Data!#REF!,Data_Val!$D$2:$D$10,0)),0,1)))</f>
        <v>#REF!</v>
      </c>
      <c r="AF845" s="12"/>
      <c r="AG845" s="12" t="e">
        <f>IF(Data!#REF!="","",IF(ISNUMBER(MATCH(Data!#REF!,Data_Val!$A$2:$A$3,0)),0,1))</f>
        <v>#REF!</v>
      </c>
      <c r="AH845" s="26" t="e">
        <f ca="1">IF(Data!#REF!="","",IF(ISNUMBER(Data!#REF!),IF(AND(Data!#REF!&gt;(TODAY()-(Data_Val!$L$3*365.25)),Data!#REF!&lt;=(TODAY()-(Data_Val!$L$2*365.25))),0,1),1))</f>
        <v>#REF!</v>
      </c>
      <c r="AI845" s="12" t="e">
        <f>IF(Data!#REF!="","",IF(Data!$G845="",1,IF(ISNUMBER(MATCH(Data!#REF!,Data_Val!$D$2:$D$10,0)),0,1)))</f>
        <v>#REF!</v>
      </c>
      <c r="AJ845" s="17"/>
      <c r="AK845" s="17" t="e">
        <f>IF(Data!#REF!="","",IF(ISNUMBER(MATCH(Data!#REF!,Data_Val!$A$2:$A$3,0)),0,1))</f>
        <v>#REF!</v>
      </c>
      <c r="AL845" s="25" t="e">
        <f ca="1">IF(Data!#REF!="","",IF(ISNUMBER(Data!#REF!),IF(AND(Data!#REF!&gt;(TODAY()-(Data_Val!$L$3*365.25)),Data!#REF!&lt;=(TODAY()-(Data_Val!$L$2*365.25))),0,1),1))</f>
        <v>#REF!</v>
      </c>
      <c r="AM845" s="17" t="e">
        <f>IF(Data!#REF!="","",IF(Data!$G845="",1,IF(ISNUMBER(MATCH(Data!#REF!,Data_Val!$D$2:$D$10,0)),0,1)))</f>
        <v>#REF!</v>
      </c>
      <c r="AN845" s="13"/>
      <c r="AO845" s="28" t="e">
        <f ca="1">IF(Data!#REF!="","",IF(ISNUMBER(Data!#REF!),IF(AND(Data!#REF!&gt;(TODAY()-(Data_Val!$I$3*365.25)),Data!#REF!&lt;=(TODAY()-(Data_Val!$I$2*365.25))),0,1),1))</f>
        <v>#REF!</v>
      </c>
      <c r="AP845" s="13" t="e">
        <f>IF(Data!#REF!="","",IF(Data!$G845="",1,IF(ISNUMBER(MATCH(Data!#REF!,Data_Val!$D$2:$D$10,0)),0,1)))</f>
        <v>#REF!</v>
      </c>
      <c r="AQ845" s="17"/>
      <c r="AR845" s="30" t="e">
        <f ca="1">IF(Data!#REF!="","",IF(ISNUMBER(Data!#REF!),IF(AND(Data!#REF!&gt;(TODAY()-(Data_Val!$I$3*365.25)),Data!#REF!&lt;=(TODAY()-(Data_Val!$I$2*365.25))),0,1),1))</f>
        <v>#REF!</v>
      </c>
      <c r="AS845" s="31" t="e">
        <f>IF(Data!#REF!="","",IF(Data!$G845="",1,IF(ISNUMBER(MATCH(Data!#REF!,Data_Val!$D$2:$D$10,0)),0,1)))</f>
        <v>#REF!</v>
      </c>
      <c r="AT845" s="11"/>
      <c r="AU845" s="11" t="e">
        <f ca="1">IF(Data!#REF!="","",IF(ISNUMBER(Data!#REF!),IF(AND(Data!#REF!&gt;(TODAY()-(Data_Val!$I$3*365.25)),Data!#REF!&lt;=(TODAY()-(Data_Val!$I$2*365.25))),0,1),1))</f>
        <v>#REF!</v>
      </c>
      <c r="AV845" s="11" t="e">
        <f>IF(Data!#REF!="","",IF(Data!$G845="",1,IF(ISNUMBER(MATCH(Data!#REF!,Data_Val!$D$2:$D$10,0)),0,1)))</f>
        <v>#REF!</v>
      </c>
      <c r="AW845" s="12"/>
      <c r="AX845" s="26" t="e">
        <f ca="1">IF(Data!#REF!="","",IF(ISNUMBER(Data!#REF!),IF(AND(Data!#REF!&gt;(TODAY()-(Data_Val!$I$3*365.25)),Data!#REF!&lt;=(TODAY()-(Data_Val!$I$2*365.25))),0,1),1))</f>
        <v>#REF!</v>
      </c>
      <c r="AY845" s="12" t="e">
        <f>IF(Data!#REF!="","",IF(Data!$G845="",1,IF(ISNUMBER(MATCH(Data!#REF!,Data_Val!$D$2:$D$10,0)),0,1)))</f>
        <v>#REF!</v>
      </c>
      <c r="AZ845" s="11"/>
      <c r="BA845" s="19" t="e">
        <f ca="1">IF(Data!#REF!="","",IF(ISNUMBER(Data!#REF!),IF(AND(Data!#REF!&gt;(TODAY()-(Data_Val!$M$3*365.25)),Data!#REF!&lt;=(TODAY()-(Data_Val!$M$2*365.25))),0,1),1))</f>
        <v>#REF!</v>
      </c>
      <c r="BB845" s="11" t="e">
        <f>IF(Data!#REF!="","",IF(Data!$G845="",1,IF(ISNUMBER(MATCH(Data!#REF!,Data_Val!$D$2:$D$10,0)),0,1)))</f>
        <v>#REF!</v>
      </c>
      <c r="BC845" s="12"/>
      <c r="BD845" s="20" t="e">
        <f ca="1">IF(Data!#REF!="","",IF(ISNUMBER(Data!#REF!),IF(AND(Data!#REF!&gt;(TODAY()-(Data_Val!$M$3*365.25)),Data!#REF!&lt;=(TODAY()-(Data_Val!$M$2*365.25))),0,1),1))</f>
        <v>#REF!</v>
      </c>
      <c r="BE845" s="12" t="e">
        <f>IF(Data!#REF!="","",IF(Data!$G845="",1,IF(ISNUMBER(MATCH(Data!#REF!,Data_Val!$D$2:$D$10,0)),0,1)))</f>
        <v>#REF!</v>
      </c>
      <c r="BF845" s="17"/>
      <c r="BG845" s="18" t="e">
        <f ca="1">IF(Data!#REF!="","",IF(ISNUMBER(Data!#REF!),IF(AND(Data!#REF!&gt;(TODAY()-(Data_Val!$M$3*365.25)),Data!#REF!&lt;=(TODAY()-(Data_Val!$M$2*365.25))),0,1),1))</f>
        <v>#REF!</v>
      </c>
      <c r="BH845" s="29" t="e">
        <f>IF(Data!#REF!="","",IF(Data!$G845="",1,IF(ISNUMBER(MATCH(Data!#REF!,Data_Val!$D$2:$D$10,0)),0,1)))</f>
        <v>#REF!</v>
      </c>
      <c r="BI845" s="13"/>
      <c r="BJ845" s="21" t="e">
        <f ca="1">IF(Data!#REF!="","",IF(ISNUMBER(Data!#REF!),IF(AND(Data!#REF!&gt;(TODAY()-(Data_Val!$M$3*365.25)),Data!#REF!&lt;=(TODAY()-(Data_Val!$M$2*365.25))),0,1),1))</f>
        <v>#REF!</v>
      </c>
      <c r="BK845" s="13" t="e">
        <f>IF(Data!#REF!="","",IF(Data!$G845="",1,IF(ISNUMBER(MATCH(Data!#REF!,Data_Val!$D$2:$D$10,0)),0,1)))</f>
        <v>#REF!</v>
      </c>
    </row>
    <row r="846" spans="1:63" x14ac:dyDescent="0.25">
      <c r="A846" s="9" t="str">
        <f>IF(Data!B846="","",IF(COUNTIFS(Data!A$1:'Data'!A846,Data!A846)&lt;=1,0,1))</f>
        <v/>
      </c>
      <c r="B846" s="9"/>
      <c r="C846" s="23" t="str">
        <f>IF(Data!C846="","",(IF(ISNUMBER(MATCH("*@*.?*",Data!C846,0)),0,1)+IF(COUNTIFS(Data!C$1:'Data'!C846,Data!C846)&gt;1,1,0)))</f>
        <v/>
      </c>
      <c r="D846" s="9" t="str">
        <f>IF(Data!B846="","",IF(ISNUMBER(Data!D846),IF(AND(Data!D846&gt;999999999,Data!D846&lt;=9999999999),IF(COUNTIFS(Data!D$1:'Data'!D846,Data!D846)&lt;=1,0,1),1),1))</f>
        <v/>
      </c>
      <c r="E846" s="9" t="str">
        <f>IF(Data!B846="","",IF(ISNUMBER(MATCH(Data!E846,Data_Val!$A$2:$A$3,0)),0,1))</f>
        <v/>
      </c>
      <c r="F846" s="9" t="str">
        <f ca="1">IF(Data!B846="","",IF(ISNUMBER(Data!F846),IF(AND(Data!F846&gt;(TODAY()-(Data_Val!$H$3*365.25)),Data!F846&lt;=(TODAY()-(Data_Val!$H$2*365.25))),0,1),1))</f>
        <v/>
      </c>
      <c r="G846" s="15" t="str">
        <f>IF(Data!B846="","",IF(AND(Data!G846="",Data!H846&lt;&gt;""),1,IF(Data!#REF!&lt;&gt;"",0,IF(ISNUMBER(MATCH(Data!G846,Data_Val!$C$2:$C$5,0)),0,1))))</f>
        <v/>
      </c>
      <c r="H846" s="15" t="str">
        <f>IF(Data!B846="","",IF(AND(Data!G846&lt;&gt;"",Data!H846=""),1,IF(Data!#REF!&lt;&gt;"",0,IF(Data!G846="",1,IF(ISNUMBER(MATCH(Data!H846,Data_Val!$D$2:$D$35,0)),0,1)))))</f>
        <v/>
      </c>
      <c r="I846" s="15" t="str">
        <f>IF(Data!B846="","",IF(Data!G846&lt;&gt;"",0,IF(ISNUMBER(MATCH(Data!#REF!,Data_Val!$E$2:$E$12,0)),0,1)))</f>
        <v/>
      </c>
      <c r="J846" s="16" t="e">
        <f>IF(OR(Data!B846="",Data!#REF!=""),"",IF(Data!#REF!="",1,0))</f>
        <v>#REF!</v>
      </c>
      <c r="K846" s="16" t="e">
        <f>IF(OR(Data!B846="",Data!#REF!=""),"",IF(Data!#REF!="",1,0))</f>
        <v>#REF!</v>
      </c>
      <c r="L846" s="16" t="e">
        <f>IF(OR(Data!B846="",Data!#REF!=""),"",IF(ISNUMBER(Data!#REF!),IF(AND(Data!#REF!&gt;Data_Val!$G$2,Data!#REF!&lt;=Data_Val!$G$3),0,1),1))</f>
        <v>#REF!</v>
      </c>
      <c r="M846" s="9" t="e">
        <f>IF(OR(Data!B846="",Data!#REF!=""),"",IF(ISNUMBER(MATCH(Data!#REF!,Data_Val!$F$1:$F$38,0)),0,1))</f>
        <v>#REF!</v>
      </c>
      <c r="N846" s="9" t="e">
        <f>IF(OR(Data!B846="",Data!#REF!=""),"",IF(Data!#REF!="",1,0))</f>
        <v>#REF!</v>
      </c>
      <c r="O846" s="17" t="e">
        <f>IF(Data!#REF!="","",IF(Data!#REF!="",1,0))</f>
        <v>#REF!</v>
      </c>
      <c r="P846" s="17" t="e">
        <f>IF(Data!#REF!="","",IF(ISNUMBER(MATCH(Data!#REF!,Data_Val!$A$2:$A$3,0)),0,1))</f>
        <v>#REF!</v>
      </c>
      <c r="Q846" s="25" t="e">
        <f ca="1">IF(Data!#REF!="","",IF(ISNUMBER(Data!#REF!),IF(AND(Data!#REF!&gt;(TODAY()-(Data_Val!$J$3*365.25)),Data!#REF!&lt;=(TODAY()-(Data_Val!$J$2*365.25))),0,1),1))</f>
        <v>#REF!</v>
      </c>
      <c r="R846" s="17" t="e">
        <f>IF(Data!#REF!="","",IF(ISNUMBER(MATCH(Data!#REF!,Data_Val!$B$2:$B$15,0)),0,1))</f>
        <v>#REF!</v>
      </c>
      <c r="S846" s="11" t="str">
        <f>IF(Data!G846="","",IF(Data!G846=Data_Val!$C$2,IF(Data!M846="",0,1),0))</f>
        <v/>
      </c>
      <c r="T846" s="11" t="str">
        <f>IF(Data!M846="","",IF(ISNUMBER(MATCH(Data!N846,Data_Val!$A$2:$A$3,0)),0,1))</f>
        <v/>
      </c>
      <c r="U846" s="11" t="str">
        <f ca="1">IF(Data!M846="","",IF(ISNUMBER(Data!O846),IF(AND(Data!O846&gt;(TODAY()-(Data_Val!$K$3*365.25)),Data!O846&lt;=(TODAY()-(Data_Val!$K$2*365.25))),0,1),1))</f>
        <v/>
      </c>
      <c r="V846" s="12" t="str">
        <f>IF(Data!G846="","",IF(Data!G846=Data_Val!$C$2,IF(Data!P846="",0,1),0))</f>
        <v/>
      </c>
      <c r="W846" s="12" t="str">
        <f>IF(Data!P846="","",IF(ISNUMBER(MATCH(Data!Q846,Data_Val!$A$2:$A$3,0)),0,1))</f>
        <v/>
      </c>
      <c r="X846" s="26" t="str">
        <f ca="1">IF(Data!P846="","",IF(ISNUMBER(Data!R846),IF(AND(Data!R846&gt;(TODAY()-(Data_Val!$L$3*365.25)),Data!R846&lt;=(TODAY()-(Data_Val!$L$2*365.25))),0,1),1))</f>
        <v/>
      </c>
      <c r="Y846" s="13" t="str">
        <f>IF(Data!$G846="","",IF(Data!$G846=Data_Val!$C$2,IF(Data!S846="",0,1),0))</f>
        <v/>
      </c>
      <c r="Z846" s="13" t="str">
        <f>IF(Data!S846="","",IF(ISNUMBER(MATCH(Data!T846,Data_Val!$A$2:$A$3,0)),0,1))</f>
        <v/>
      </c>
      <c r="AA846" s="28" t="str">
        <f ca="1">IF(Data!S846="","",IF(ISNUMBER(Data!U846),IF(AND(Data!U846&gt;(TODAY()-(Data_Val!$L$3*365.25)),Data!U846&lt;=(TODAY()-(Data_Val!$L$2*365.25))),0,1),1))</f>
        <v/>
      </c>
      <c r="AB846" s="11"/>
      <c r="AC846" s="11" t="e">
        <f>IF(Data!#REF!="","",IF(ISNUMBER(MATCH(Data!#REF!,Data_Val!$A$2:$A$3,0)),0,1))</f>
        <v>#REF!</v>
      </c>
      <c r="AD846" s="11" t="e">
        <f ca="1">IF(Data!#REF!="","",IF(ISNUMBER(Data!#REF!),IF(AND(Data!#REF!&gt;(TODAY()-(Data_Val!$L$3*365.25)),Data!#REF!&lt;=(TODAY()-(Data_Val!$L$2*365.25))),0,1),1))</f>
        <v>#REF!</v>
      </c>
      <c r="AE846" s="11" t="e">
        <f>IF(Data!#REF!="","",IF(Data!$G846="",1,IF(ISNUMBER(MATCH(Data!#REF!,Data_Val!$D$2:$D$10,0)),0,1)))</f>
        <v>#REF!</v>
      </c>
      <c r="AF846" s="12"/>
      <c r="AG846" s="12" t="e">
        <f>IF(Data!#REF!="","",IF(ISNUMBER(MATCH(Data!#REF!,Data_Val!$A$2:$A$3,0)),0,1))</f>
        <v>#REF!</v>
      </c>
      <c r="AH846" s="26" t="e">
        <f ca="1">IF(Data!#REF!="","",IF(ISNUMBER(Data!#REF!),IF(AND(Data!#REF!&gt;(TODAY()-(Data_Val!$L$3*365.25)),Data!#REF!&lt;=(TODAY()-(Data_Val!$L$2*365.25))),0,1),1))</f>
        <v>#REF!</v>
      </c>
      <c r="AI846" s="12" t="e">
        <f>IF(Data!#REF!="","",IF(Data!$G846="",1,IF(ISNUMBER(MATCH(Data!#REF!,Data_Val!$D$2:$D$10,0)),0,1)))</f>
        <v>#REF!</v>
      </c>
      <c r="AJ846" s="17"/>
      <c r="AK846" s="17" t="e">
        <f>IF(Data!#REF!="","",IF(ISNUMBER(MATCH(Data!#REF!,Data_Val!$A$2:$A$3,0)),0,1))</f>
        <v>#REF!</v>
      </c>
      <c r="AL846" s="25" t="e">
        <f ca="1">IF(Data!#REF!="","",IF(ISNUMBER(Data!#REF!),IF(AND(Data!#REF!&gt;(TODAY()-(Data_Val!$L$3*365.25)),Data!#REF!&lt;=(TODAY()-(Data_Val!$L$2*365.25))),0,1),1))</f>
        <v>#REF!</v>
      </c>
      <c r="AM846" s="17" t="e">
        <f>IF(Data!#REF!="","",IF(Data!$G846="",1,IF(ISNUMBER(MATCH(Data!#REF!,Data_Val!$D$2:$D$10,0)),0,1)))</f>
        <v>#REF!</v>
      </c>
      <c r="AN846" s="13"/>
      <c r="AO846" s="28" t="e">
        <f ca="1">IF(Data!#REF!="","",IF(ISNUMBER(Data!#REF!),IF(AND(Data!#REF!&gt;(TODAY()-(Data_Val!$I$3*365.25)),Data!#REF!&lt;=(TODAY()-(Data_Val!$I$2*365.25))),0,1),1))</f>
        <v>#REF!</v>
      </c>
      <c r="AP846" s="13" t="e">
        <f>IF(Data!#REF!="","",IF(Data!$G846="",1,IF(ISNUMBER(MATCH(Data!#REF!,Data_Val!$D$2:$D$10,0)),0,1)))</f>
        <v>#REF!</v>
      </c>
      <c r="AQ846" s="17"/>
      <c r="AR846" s="30" t="e">
        <f ca="1">IF(Data!#REF!="","",IF(ISNUMBER(Data!#REF!),IF(AND(Data!#REF!&gt;(TODAY()-(Data_Val!$I$3*365.25)),Data!#REF!&lt;=(TODAY()-(Data_Val!$I$2*365.25))),0,1),1))</f>
        <v>#REF!</v>
      </c>
      <c r="AS846" s="31" t="e">
        <f>IF(Data!#REF!="","",IF(Data!$G846="",1,IF(ISNUMBER(MATCH(Data!#REF!,Data_Val!$D$2:$D$10,0)),0,1)))</f>
        <v>#REF!</v>
      </c>
      <c r="AT846" s="11"/>
      <c r="AU846" s="11" t="e">
        <f ca="1">IF(Data!#REF!="","",IF(ISNUMBER(Data!#REF!),IF(AND(Data!#REF!&gt;(TODAY()-(Data_Val!$I$3*365.25)),Data!#REF!&lt;=(TODAY()-(Data_Val!$I$2*365.25))),0,1),1))</f>
        <v>#REF!</v>
      </c>
      <c r="AV846" s="11" t="e">
        <f>IF(Data!#REF!="","",IF(Data!$G846="",1,IF(ISNUMBER(MATCH(Data!#REF!,Data_Val!$D$2:$D$10,0)),0,1)))</f>
        <v>#REF!</v>
      </c>
      <c r="AW846" s="12"/>
      <c r="AX846" s="26" t="e">
        <f ca="1">IF(Data!#REF!="","",IF(ISNUMBER(Data!#REF!),IF(AND(Data!#REF!&gt;(TODAY()-(Data_Val!$I$3*365.25)),Data!#REF!&lt;=(TODAY()-(Data_Val!$I$2*365.25))),0,1),1))</f>
        <v>#REF!</v>
      </c>
      <c r="AY846" s="12" t="e">
        <f>IF(Data!#REF!="","",IF(Data!$G846="",1,IF(ISNUMBER(MATCH(Data!#REF!,Data_Val!$D$2:$D$10,0)),0,1)))</f>
        <v>#REF!</v>
      </c>
      <c r="AZ846" s="11"/>
      <c r="BA846" s="19" t="e">
        <f ca="1">IF(Data!#REF!="","",IF(ISNUMBER(Data!#REF!),IF(AND(Data!#REF!&gt;(TODAY()-(Data_Val!$M$3*365.25)),Data!#REF!&lt;=(TODAY()-(Data_Val!$M$2*365.25))),0,1),1))</f>
        <v>#REF!</v>
      </c>
      <c r="BB846" s="11" t="e">
        <f>IF(Data!#REF!="","",IF(Data!$G846="",1,IF(ISNUMBER(MATCH(Data!#REF!,Data_Val!$D$2:$D$10,0)),0,1)))</f>
        <v>#REF!</v>
      </c>
      <c r="BC846" s="12"/>
      <c r="BD846" s="20" t="e">
        <f ca="1">IF(Data!#REF!="","",IF(ISNUMBER(Data!#REF!),IF(AND(Data!#REF!&gt;(TODAY()-(Data_Val!$M$3*365.25)),Data!#REF!&lt;=(TODAY()-(Data_Val!$M$2*365.25))),0,1),1))</f>
        <v>#REF!</v>
      </c>
      <c r="BE846" s="12" t="e">
        <f>IF(Data!#REF!="","",IF(Data!$G846="",1,IF(ISNUMBER(MATCH(Data!#REF!,Data_Val!$D$2:$D$10,0)),0,1)))</f>
        <v>#REF!</v>
      </c>
      <c r="BF846" s="17"/>
      <c r="BG846" s="18" t="e">
        <f ca="1">IF(Data!#REF!="","",IF(ISNUMBER(Data!#REF!),IF(AND(Data!#REF!&gt;(TODAY()-(Data_Val!$M$3*365.25)),Data!#REF!&lt;=(TODAY()-(Data_Val!$M$2*365.25))),0,1),1))</f>
        <v>#REF!</v>
      </c>
      <c r="BH846" s="29" t="e">
        <f>IF(Data!#REF!="","",IF(Data!$G846="",1,IF(ISNUMBER(MATCH(Data!#REF!,Data_Val!$D$2:$D$10,0)),0,1)))</f>
        <v>#REF!</v>
      </c>
      <c r="BI846" s="13"/>
      <c r="BJ846" s="21" t="e">
        <f ca="1">IF(Data!#REF!="","",IF(ISNUMBER(Data!#REF!),IF(AND(Data!#REF!&gt;(TODAY()-(Data_Val!$M$3*365.25)),Data!#REF!&lt;=(TODAY()-(Data_Val!$M$2*365.25))),0,1),1))</f>
        <v>#REF!</v>
      </c>
      <c r="BK846" s="13" t="e">
        <f>IF(Data!#REF!="","",IF(Data!$G846="",1,IF(ISNUMBER(MATCH(Data!#REF!,Data_Val!$D$2:$D$10,0)),0,1)))</f>
        <v>#REF!</v>
      </c>
    </row>
    <row r="847" spans="1:63" x14ac:dyDescent="0.25">
      <c r="A847" s="9" t="str">
        <f>IF(Data!B847="","",IF(COUNTIFS(Data!A$1:'Data'!A847,Data!A847)&lt;=1,0,1))</f>
        <v/>
      </c>
      <c r="B847" s="9"/>
      <c r="C847" s="23" t="str">
        <f>IF(Data!C847="","",(IF(ISNUMBER(MATCH("*@*.?*",Data!C847,0)),0,1)+IF(COUNTIFS(Data!C$1:'Data'!C847,Data!C847)&gt;1,1,0)))</f>
        <v/>
      </c>
      <c r="D847" s="9" t="str">
        <f>IF(Data!B847="","",IF(ISNUMBER(Data!D847),IF(AND(Data!D847&gt;999999999,Data!D847&lt;=9999999999),IF(COUNTIFS(Data!D$1:'Data'!D847,Data!D847)&lt;=1,0,1),1),1))</f>
        <v/>
      </c>
      <c r="E847" s="9" t="str">
        <f>IF(Data!B847="","",IF(ISNUMBER(MATCH(Data!E847,Data_Val!$A$2:$A$3,0)),0,1))</f>
        <v/>
      </c>
      <c r="F847" s="9" t="str">
        <f ca="1">IF(Data!B847="","",IF(ISNUMBER(Data!F847),IF(AND(Data!F847&gt;(TODAY()-(Data_Val!$H$3*365.25)),Data!F847&lt;=(TODAY()-(Data_Val!$H$2*365.25))),0,1),1))</f>
        <v/>
      </c>
      <c r="G847" s="15" t="str">
        <f>IF(Data!B847="","",IF(AND(Data!G847="",Data!H847&lt;&gt;""),1,IF(Data!#REF!&lt;&gt;"",0,IF(ISNUMBER(MATCH(Data!G847,Data_Val!$C$2:$C$5,0)),0,1))))</f>
        <v/>
      </c>
      <c r="H847" s="15" t="str">
        <f>IF(Data!B847="","",IF(AND(Data!G847&lt;&gt;"",Data!H847=""),1,IF(Data!#REF!&lt;&gt;"",0,IF(Data!G847="",1,IF(ISNUMBER(MATCH(Data!H847,Data_Val!$D$2:$D$35,0)),0,1)))))</f>
        <v/>
      </c>
      <c r="I847" s="15" t="str">
        <f>IF(Data!B847="","",IF(Data!G847&lt;&gt;"",0,IF(ISNUMBER(MATCH(Data!#REF!,Data_Val!$E$2:$E$12,0)),0,1)))</f>
        <v/>
      </c>
      <c r="J847" s="16" t="e">
        <f>IF(OR(Data!B847="",Data!#REF!=""),"",IF(Data!#REF!="",1,0))</f>
        <v>#REF!</v>
      </c>
      <c r="K847" s="16" t="e">
        <f>IF(OR(Data!B847="",Data!#REF!=""),"",IF(Data!#REF!="",1,0))</f>
        <v>#REF!</v>
      </c>
      <c r="L847" s="16" t="e">
        <f>IF(OR(Data!B847="",Data!#REF!=""),"",IF(ISNUMBER(Data!#REF!),IF(AND(Data!#REF!&gt;Data_Val!$G$2,Data!#REF!&lt;=Data_Val!$G$3),0,1),1))</f>
        <v>#REF!</v>
      </c>
      <c r="M847" s="9" t="e">
        <f>IF(OR(Data!B847="",Data!#REF!=""),"",IF(ISNUMBER(MATCH(Data!#REF!,Data_Val!$F$1:$F$38,0)),0,1))</f>
        <v>#REF!</v>
      </c>
      <c r="N847" s="9" t="e">
        <f>IF(OR(Data!B847="",Data!#REF!=""),"",IF(Data!#REF!="",1,0))</f>
        <v>#REF!</v>
      </c>
      <c r="O847" s="17" t="e">
        <f>IF(Data!#REF!="","",IF(Data!#REF!="",1,0))</f>
        <v>#REF!</v>
      </c>
      <c r="P847" s="17" t="e">
        <f>IF(Data!#REF!="","",IF(ISNUMBER(MATCH(Data!#REF!,Data_Val!$A$2:$A$3,0)),0,1))</f>
        <v>#REF!</v>
      </c>
      <c r="Q847" s="25" t="e">
        <f ca="1">IF(Data!#REF!="","",IF(ISNUMBER(Data!#REF!),IF(AND(Data!#REF!&gt;(TODAY()-(Data_Val!$J$3*365.25)),Data!#REF!&lt;=(TODAY()-(Data_Val!$J$2*365.25))),0,1),1))</f>
        <v>#REF!</v>
      </c>
      <c r="R847" s="17" t="e">
        <f>IF(Data!#REF!="","",IF(ISNUMBER(MATCH(Data!#REF!,Data_Val!$B$2:$B$15,0)),0,1))</f>
        <v>#REF!</v>
      </c>
      <c r="S847" s="11" t="str">
        <f>IF(Data!G847="","",IF(Data!G847=Data_Val!$C$2,IF(Data!M847="",0,1),0))</f>
        <v/>
      </c>
      <c r="T847" s="11" t="str">
        <f>IF(Data!M847="","",IF(ISNUMBER(MATCH(Data!N847,Data_Val!$A$2:$A$3,0)),0,1))</f>
        <v/>
      </c>
      <c r="U847" s="11" t="str">
        <f ca="1">IF(Data!M847="","",IF(ISNUMBER(Data!O847),IF(AND(Data!O847&gt;(TODAY()-(Data_Val!$K$3*365.25)),Data!O847&lt;=(TODAY()-(Data_Val!$K$2*365.25))),0,1),1))</f>
        <v/>
      </c>
      <c r="V847" s="12" t="str">
        <f>IF(Data!G847="","",IF(Data!G847=Data_Val!$C$2,IF(Data!P847="",0,1),0))</f>
        <v/>
      </c>
      <c r="W847" s="12" t="str">
        <f>IF(Data!P847="","",IF(ISNUMBER(MATCH(Data!Q847,Data_Val!$A$2:$A$3,0)),0,1))</f>
        <v/>
      </c>
      <c r="X847" s="26" t="str">
        <f ca="1">IF(Data!P847="","",IF(ISNUMBER(Data!R847),IF(AND(Data!R847&gt;(TODAY()-(Data_Val!$L$3*365.25)),Data!R847&lt;=(TODAY()-(Data_Val!$L$2*365.25))),0,1),1))</f>
        <v/>
      </c>
      <c r="Y847" s="13" t="str">
        <f>IF(Data!$G847="","",IF(Data!$G847=Data_Val!$C$2,IF(Data!S847="",0,1),0))</f>
        <v/>
      </c>
      <c r="Z847" s="13" t="str">
        <f>IF(Data!S847="","",IF(ISNUMBER(MATCH(Data!T847,Data_Val!$A$2:$A$3,0)),0,1))</f>
        <v/>
      </c>
      <c r="AA847" s="28" t="str">
        <f ca="1">IF(Data!S847="","",IF(ISNUMBER(Data!U847),IF(AND(Data!U847&gt;(TODAY()-(Data_Val!$L$3*365.25)),Data!U847&lt;=(TODAY()-(Data_Val!$L$2*365.25))),0,1),1))</f>
        <v/>
      </c>
      <c r="AB847" s="11"/>
      <c r="AC847" s="11" t="e">
        <f>IF(Data!#REF!="","",IF(ISNUMBER(MATCH(Data!#REF!,Data_Val!$A$2:$A$3,0)),0,1))</f>
        <v>#REF!</v>
      </c>
      <c r="AD847" s="11" t="e">
        <f ca="1">IF(Data!#REF!="","",IF(ISNUMBER(Data!#REF!),IF(AND(Data!#REF!&gt;(TODAY()-(Data_Val!$L$3*365.25)),Data!#REF!&lt;=(TODAY()-(Data_Val!$L$2*365.25))),0,1),1))</f>
        <v>#REF!</v>
      </c>
      <c r="AE847" s="11" t="e">
        <f>IF(Data!#REF!="","",IF(Data!$G847="",1,IF(ISNUMBER(MATCH(Data!#REF!,Data_Val!$D$2:$D$10,0)),0,1)))</f>
        <v>#REF!</v>
      </c>
      <c r="AF847" s="12"/>
      <c r="AG847" s="12" t="e">
        <f>IF(Data!#REF!="","",IF(ISNUMBER(MATCH(Data!#REF!,Data_Val!$A$2:$A$3,0)),0,1))</f>
        <v>#REF!</v>
      </c>
      <c r="AH847" s="26" t="e">
        <f ca="1">IF(Data!#REF!="","",IF(ISNUMBER(Data!#REF!),IF(AND(Data!#REF!&gt;(TODAY()-(Data_Val!$L$3*365.25)),Data!#REF!&lt;=(TODAY()-(Data_Val!$L$2*365.25))),0,1),1))</f>
        <v>#REF!</v>
      </c>
      <c r="AI847" s="12" t="e">
        <f>IF(Data!#REF!="","",IF(Data!$G847="",1,IF(ISNUMBER(MATCH(Data!#REF!,Data_Val!$D$2:$D$10,0)),0,1)))</f>
        <v>#REF!</v>
      </c>
      <c r="AJ847" s="17"/>
      <c r="AK847" s="17" t="e">
        <f>IF(Data!#REF!="","",IF(ISNUMBER(MATCH(Data!#REF!,Data_Val!$A$2:$A$3,0)),0,1))</f>
        <v>#REF!</v>
      </c>
      <c r="AL847" s="25" t="e">
        <f ca="1">IF(Data!#REF!="","",IF(ISNUMBER(Data!#REF!),IF(AND(Data!#REF!&gt;(TODAY()-(Data_Val!$L$3*365.25)),Data!#REF!&lt;=(TODAY()-(Data_Val!$L$2*365.25))),0,1),1))</f>
        <v>#REF!</v>
      </c>
      <c r="AM847" s="17" t="e">
        <f>IF(Data!#REF!="","",IF(Data!$G847="",1,IF(ISNUMBER(MATCH(Data!#REF!,Data_Val!$D$2:$D$10,0)),0,1)))</f>
        <v>#REF!</v>
      </c>
      <c r="AN847" s="13"/>
      <c r="AO847" s="28" t="e">
        <f ca="1">IF(Data!#REF!="","",IF(ISNUMBER(Data!#REF!),IF(AND(Data!#REF!&gt;(TODAY()-(Data_Val!$I$3*365.25)),Data!#REF!&lt;=(TODAY()-(Data_Val!$I$2*365.25))),0,1),1))</f>
        <v>#REF!</v>
      </c>
      <c r="AP847" s="13" t="e">
        <f>IF(Data!#REF!="","",IF(Data!$G847="",1,IF(ISNUMBER(MATCH(Data!#REF!,Data_Val!$D$2:$D$10,0)),0,1)))</f>
        <v>#REF!</v>
      </c>
      <c r="AQ847" s="17"/>
      <c r="AR847" s="30" t="e">
        <f ca="1">IF(Data!#REF!="","",IF(ISNUMBER(Data!#REF!),IF(AND(Data!#REF!&gt;(TODAY()-(Data_Val!$I$3*365.25)),Data!#REF!&lt;=(TODAY()-(Data_Val!$I$2*365.25))),0,1),1))</f>
        <v>#REF!</v>
      </c>
      <c r="AS847" s="31" t="e">
        <f>IF(Data!#REF!="","",IF(Data!$G847="",1,IF(ISNUMBER(MATCH(Data!#REF!,Data_Val!$D$2:$D$10,0)),0,1)))</f>
        <v>#REF!</v>
      </c>
      <c r="AT847" s="11"/>
      <c r="AU847" s="11" t="e">
        <f ca="1">IF(Data!#REF!="","",IF(ISNUMBER(Data!#REF!),IF(AND(Data!#REF!&gt;(TODAY()-(Data_Val!$I$3*365.25)),Data!#REF!&lt;=(TODAY()-(Data_Val!$I$2*365.25))),0,1),1))</f>
        <v>#REF!</v>
      </c>
      <c r="AV847" s="11" t="e">
        <f>IF(Data!#REF!="","",IF(Data!$G847="",1,IF(ISNUMBER(MATCH(Data!#REF!,Data_Val!$D$2:$D$10,0)),0,1)))</f>
        <v>#REF!</v>
      </c>
      <c r="AW847" s="12"/>
      <c r="AX847" s="26" t="e">
        <f ca="1">IF(Data!#REF!="","",IF(ISNUMBER(Data!#REF!),IF(AND(Data!#REF!&gt;(TODAY()-(Data_Val!$I$3*365.25)),Data!#REF!&lt;=(TODAY()-(Data_Val!$I$2*365.25))),0,1),1))</f>
        <v>#REF!</v>
      </c>
      <c r="AY847" s="12" t="e">
        <f>IF(Data!#REF!="","",IF(Data!$G847="",1,IF(ISNUMBER(MATCH(Data!#REF!,Data_Val!$D$2:$D$10,0)),0,1)))</f>
        <v>#REF!</v>
      </c>
      <c r="AZ847" s="11"/>
      <c r="BA847" s="19" t="e">
        <f ca="1">IF(Data!#REF!="","",IF(ISNUMBER(Data!#REF!),IF(AND(Data!#REF!&gt;(TODAY()-(Data_Val!$M$3*365.25)),Data!#REF!&lt;=(TODAY()-(Data_Val!$M$2*365.25))),0,1),1))</f>
        <v>#REF!</v>
      </c>
      <c r="BB847" s="11" t="e">
        <f>IF(Data!#REF!="","",IF(Data!$G847="",1,IF(ISNUMBER(MATCH(Data!#REF!,Data_Val!$D$2:$D$10,0)),0,1)))</f>
        <v>#REF!</v>
      </c>
      <c r="BC847" s="12"/>
      <c r="BD847" s="20" t="e">
        <f ca="1">IF(Data!#REF!="","",IF(ISNUMBER(Data!#REF!),IF(AND(Data!#REF!&gt;(TODAY()-(Data_Val!$M$3*365.25)),Data!#REF!&lt;=(TODAY()-(Data_Val!$M$2*365.25))),0,1),1))</f>
        <v>#REF!</v>
      </c>
      <c r="BE847" s="12" t="e">
        <f>IF(Data!#REF!="","",IF(Data!$G847="",1,IF(ISNUMBER(MATCH(Data!#REF!,Data_Val!$D$2:$D$10,0)),0,1)))</f>
        <v>#REF!</v>
      </c>
      <c r="BF847" s="17"/>
      <c r="BG847" s="18" t="e">
        <f ca="1">IF(Data!#REF!="","",IF(ISNUMBER(Data!#REF!),IF(AND(Data!#REF!&gt;(TODAY()-(Data_Val!$M$3*365.25)),Data!#REF!&lt;=(TODAY()-(Data_Val!$M$2*365.25))),0,1),1))</f>
        <v>#REF!</v>
      </c>
      <c r="BH847" s="29" t="e">
        <f>IF(Data!#REF!="","",IF(Data!$G847="",1,IF(ISNUMBER(MATCH(Data!#REF!,Data_Val!$D$2:$D$10,0)),0,1)))</f>
        <v>#REF!</v>
      </c>
      <c r="BI847" s="13"/>
      <c r="BJ847" s="21" t="e">
        <f ca="1">IF(Data!#REF!="","",IF(ISNUMBER(Data!#REF!),IF(AND(Data!#REF!&gt;(TODAY()-(Data_Val!$M$3*365.25)),Data!#REF!&lt;=(TODAY()-(Data_Val!$M$2*365.25))),0,1),1))</f>
        <v>#REF!</v>
      </c>
      <c r="BK847" s="13" t="e">
        <f>IF(Data!#REF!="","",IF(Data!$G847="",1,IF(ISNUMBER(MATCH(Data!#REF!,Data_Val!$D$2:$D$10,0)),0,1)))</f>
        <v>#REF!</v>
      </c>
    </row>
    <row r="848" spans="1:63" x14ac:dyDescent="0.25">
      <c r="A848" s="9" t="str">
        <f>IF(Data!B848="","",IF(COUNTIFS(Data!A$1:'Data'!A848,Data!A848)&lt;=1,0,1))</f>
        <v/>
      </c>
      <c r="B848" s="9"/>
      <c r="C848" s="23" t="str">
        <f>IF(Data!C848="","",(IF(ISNUMBER(MATCH("*@*.?*",Data!C848,0)),0,1)+IF(COUNTIFS(Data!C$1:'Data'!C848,Data!C848)&gt;1,1,0)))</f>
        <v/>
      </c>
      <c r="D848" s="9" t="str">
        <f>IF(Data!B848="","",IF(ISNUMBER(Data!D848),IF(AND(Data!D848&gt;999999999,Data!D848&lt;=9999999999),IF(COUNTIFS(Data!D$1:'Data'!D848,Data!D848)&lt;=1,0,1),1),1))</f>
        <v/>
      </c>
      <c r="E848" s="9" t="str">
        <f>IF(Data!B848="","",IF(ISNUMBER(MATCH(Data!E848,Data_Val!$A$2:$A$3,0)),0,1))</f>
        <v/>
      </c>
      <c r="F848" s="9" t="str">
        <f ca="1">IF(Data!B848="","",IF(ISNUMBER(Data!F848),IF(AND(Data!F848&gt;(TODAY()-(Data_Val!$H$3*365.25)),Data!F848&lt;=(TODAY()-(Data_Val!$H$2*365.25))),0,1),1))</f>
        <v/>
      </c>
      <c r="G848" s="15" t="str">
        <f>IF(Data!B848="","",IF(AND(Data!G848="",Data!H848&lt;&gt;""),1,IF(Data!#REF!&lt;&gt;"",0,IF(ISNUMBER(MATCH(Data!G848,Data_Val!$C$2:$C$5,0)),0,1))))</f>
        <v/>
      </c>
      <c r="H848" s="15" t="str">
        <f>IF(Data!B848="","",IF(AND(Data!G848&lt;&gt;"",Data!H848=""),1,IF(Data!#REF!&lt;&gt;"",0,IF(Data!G848="",1,IF(ISNUMBER(MATCH(Data!H848,Data_Val!$D$2:$D$35,0)),0,1)))))</f>
        <v/>
      </c>
      <c r="I848" s="15" t="str">
        <f>IF(Data!B848="","",IF(Data!G848&lt;&gt;"",0,IF(ISNUMBER(MATCH(Data!#REF!,Data_Val!$E$2:$E$12,0)),0,1)))</f>
        <v/>
      </c>
      <c r="J848" s="16" t="e">
        <f>IF(OR(Data!B848="",Data!#REF!=""),"",IF(Data!#REF!="",1,0))</f>
        <v>#REF!</v>
      </c>
      <c r="K848" s="16" t="e">
        <f>IF(OR(Data!B848="",Data!#REF!=""),"",IF(Data!#REF!="",1,0))</f>
        <v>#REF!</v>
      </c>
      <c r="L848" s="16" t="e">
        <f>IF(OR(Data!B848="",Data!#REF!=""),"",IF(ISNUMBER(Data!#REF!),IF(AND(Data!#REF!&gt;Data_Val!$G$2,Data!#REF!&lt;=Data_Val!$G$3),0,1),1))</f>
        <v>#REF!</v>
      </c>
      <c r="M848" s="9" t="e">
        <f>IF(OR(Data!B848="",Data!#REF!=""),"",IF(ISNUMBER(MATCH(Data!#REF!,Data_Val!$F$1:$F$38,0)),0,1))</f>
        <v>#REF!</v>
      </c>
      <c r="N848" s="9" t="e">
        <f>IF(OR(Data!B848="",Data!#REF!=""),"",IF(Data!#REF!="",1,0))</f>
        <v>#REF!</v>
      </c>
      <c r="O848" s="17" t="e">
        <f>IF(Data!#REF!="","",IF(Data!#REF!="",1,0))</f>
        <v>#REF!</v>
      </c>
      <c r="P848" s="17" t="e">
        <f>IF(Data!#REF!="","",IF(ISNUMBER(MATCH(Data!#REF!,Data_Val!$A$2:$A$3,0)),0,1))</f>
        <v>#REF!</v>
      </c>
      <c r="Q848" s="25" t="e">
        <f ca="1">IF(Data!#REF!="","",IF(ISNUMBER(Data!#REF!),IF(AND(Data!#REF!&gt;(TODAY()-(Data_Val!$J$3*365.25)),Data!#REF!&lt;=(TODAY()-(Data_Val!$J$2*365.25))),0,1),1))</f>
        <v>#REF!</v>
      </c>
      <c r="R848" s="17" t="e">
        <f>IF(Data!#REF!="","",IF(ISNUMBER(MATCH(Data!#REF!,Data_Val!$B$2:$B$15,0)),0,1))</f>
        <v>#REF!</v>
      </c>
      <c r="S848" s="11" t="str">
        <f>IF(Data!G848="","",IF(Data!G848=Data_Val!$C$2,IF(Data!M848="",0,1),0))</f>
        <v/>
      </c>
      <c r="T848" s="11" t="str">
        <f>IF(Data!M848="","",IF(ISNUMBER(MATCH(Data!N848,Data_Val!$A$2:$A$3,0)),0,1))</f>
        <v/>
      </c>
      <c r="U848" s="11" t="str">
        <f ca="1">IF(Data!M848="","",IF(ISNUMBER(Data!O848),IF(AND(Data!O848&gt;(TODAY()-(Data_Val!$K$3*365.25)),Data!O848&lt;=(TODAY()-(Data_Val!$K$2*365.25))),0,1),1))</f>
        <v/>
      </c>
      <c r="V848" s="12" t="str">
        <f>IF(Data!G848="","",IF(Data!G848=Data_Val!$C$2,IF(Data!P848="",0,1),0))</f>
        <v/>
      </c>
      <c r="W848" s="12" t="str">
        <f>IF(Data!P848="","",IF(ISNUMBER(MATCH(Data!Q848,Data_Val!$A$2:$A$3,0)),0,1))</f>
        <v/>
      </c>
      <c r="X848" s="26" t="str">
        <f ca="1">IF(Data!P848="","",IF(ISNUMBER(Data!R848),IF(AND(Data!R848&gt;(TODAY()-(Data_Val!$L$3*365.25)),Data!R848&lt;=(TODAY()-(Data_Val!$L$2*365.25))),0,1),1))</f>
        <v/>
      </c>
      <c r="Y848" s="13" t="str">
        <f>IF(Data!$G848="","",IF(Data!$G848=Data_Val!$C$2,IF(Data!S848="",0,1),0))</f>
        <v/>
      </c>
      <c r="Z848" s="13" t="str">
        <f>IF(Data!S848="","",IF(ISNUMBER(MATCH(Data!T848,Data_Val!$A$2:$A$3,0)),0,1))</f>
        <v/>
      </c>
      <c r="AA848" s="28" t="str">
        <f ca="1">IF(Data!S848="","",IF(ISNUMBER(Data!U848),IF(AND(Data!U848&gt;(TODAY()-(Data_Val!$L$3*365.25)),Data!U848&lt;=(TODAY()-(Data_Val!$L$2*365.25))),0,1),1))</f>
        <v/>
      </c>
      <c r="AB848" s="11"/>
      <c r="AC848" s="11" t="e">
        <f>IF(Data!#REF!="","",IF(ISNUMBER(MATCH(Data!#REF!,Data_Val!$A$2:$A$3,0)),0,1))</f>
        <v>#REF!</v>
      </c>
      <c r="AD848" s="11" t="e">
        <f ca="1">IF(Data!#REF!="","",IF(ISNUMBER(Data!#REF!),IF(AND(Data!#REF!&gt;(TODAY()-(Data_Val!$L$3*365.25)),Data!#REF!&lt;=(TODAY()-(Data_Val!$L$2*365.25))),0,1),1))</f>
        <v>#REF!</v>
      </c>
      <c r="AE848" s="11" t="e">
        <f>IF(Data!#REF!="","",IF(Data!$G848="",1,IF(ISNUMBER(MATCH(Data!#REF!,Data_Val!$D$2:$D$10,0)),0,1)))</f>
        <v>#REF!</v>
      </c>
      <c r="AF848" s="12"/>
      <c r="AG848" s="12" t="e">
        <f>IF(Data!#REF!="","",IF(ISNUMBER(MATCH(Data!#REF!,Data_Val!$A$2:$A$3,0)),0,1))</f>
        <v>#REF!</v>
      </c>
      <c r="AH848" s="26" t="e">
        <f ca="1">IF(Data!#REF!="","",IF(ISNUMBER(Data!#REF!),IF(AND(Data!#REF!&gt;(TODAY()-(Data_Val!$L$3*365.25)),Data!#REF!&lt;=(TODAY()-(Data_Val!$L$2*365.25))),0,1),1))</f>
        <v>#REF!</v>
      </c>
      <c r="AI848" s="12" t="e">
        <f>IF(Data!#REF!="","",IF(Data!$G848="",1,IF(ISNUMBER(MATCH(Data!#REF!,Data_Val!$D$2:$D$10,0)),0,1)))</f>
        <v>#REF!</v>
      </c>
      <c r="AJ848" s="17"/>
      <c r="AK848" s="17" t="e">
        <f>IF(Data!#REF!="","",IF(ISNUMBER(MATCH(Data!#REF!,Data_Val!$A$2:$A$3,0)),0,1))</f>
        <v>#REF!</v>
      </c>
      <c r="AL848" s="25" t="e">
        <f ca="1">IF(Data!#REF!="","",IF(ISNUMBER(Data!#REF!),IF(AND(Data!#REF!&gt;(TODAY()-(Data_Val!$L$3*365.25)),Data!#REF!&lt;=(TODAY()-(Data_Val!$L$2*365.25))),0,1),1))</f>
        <v>#REF!</v>
      </c>
      <c r="AM848" s="17" t="e">
        <f>IF(Data!#REF!="","",IF(Data!$G848="",1,IF(ISNUMBER(MATCH(Data!#REF!,Data_Val!$D$2:$D$10,0)),0,1)))</f>
        <v>#REF!</v>
      </c>
      <c r="AN848" s="13"/>
      <c r="AO848" s="28" t="e">
        <f ca="1">IF(Data!#REF!="","",IF(ISNUMBER(Data!#REF!),IF(AND(Data!#REF!&gt;(TODAY()-(Data_Val!$I$3*365.25)),Data!#REF!&lt;=(TODAY()-(Data_Val!$I$2*365.25))),0,1),1))</f>
        <v>#REF!</v>
      </c>
      <c r="AP848" s="13" t="e">
        <f>IF(Data!#REF!="","",IF(Data!$G848="",1,IF(ISNUMBER(MATCH(Data!#REF!,Data_Val!$D$2:$D$10,0)),0,1)))</f>
        <v>#REF!</v>
      </c>
      <c r="AQ848" s="17"/>
      <c r="AR848" s="30" t="e">
        <f ca="1">IF(Data!#REF!="","",IF(ISNUMBER(Data!#REF!),IF(AND(Data!#REF!&gt;(TODAY()-(Data_Val!$I$3*365.25)),Data!#REF!&lt;=(TODAY()-(Data_Val!$I$2*365.25))),0,1),1))</f>
        <v>#REF!</v>
      </c>
      <c r="AS848" s="31" t="e">
        <f>IF(Data!#REF!="","",IF(Data!$G848="",1,IF(ISNUMBER(MATCH(Data!#REF!,Data_Val!$D$2:$D$10,0)),0,1)))</f>
        <v>#REF!</v>
      </c>
      <c r="AT848" s="11"/>
      <c r="AU848" s="11" t="e">
        <f ca="1">IF(Data!#REF!="","",IF(ISNUMBER(Data!#REF!),IF(AND(Data!#REF!&gt;(TODAY()-(Data_Val!$I$3*365.25)),Data!#REF!&lt;=(TODAY()-(Data_Val!$I$2*365.25))),0,1),1))</f>
        <v>#REF!</v>
      </c>
      <c r="AV848" s="11" t="e">
        <f>IF(Data!#REF!="","",IF(Data!$G848="",1,IF(ISNUMBER(MATCH(Data!#REF!,Data_Val!$D$2:$D$10,0)),0,1)))</f>
        <v>#REF!</v>
      </c>
      <c r="AW848" s="12"/>
      <c r="AX848" s="26" t="e">
        <f ca="1">IF(Data!#REF!="","",IF(ISNUMBER(Data!#REF!),IF(AND(Data!#REF!&gt;(TODAY()-(Data_Val!$I$3*365.25)),Data!#REF!&lt;=(TODAY()-(Data_Val!$I$2*365.25))),0,1),1))</f>
        <v>#REF!</v>
      </c>
      <c r="AY848" s="12" t="e">
        <f>IF(Data!#REF!="","",IF(Data!$G848="",1,IF(ISNUMBER(MATCH(Data!#REF!,Data_Val!$D$2:$D$10,0)),0,1)))</f>
        <v>#REF!</v>
      </c>
      <c r="AZ848" s="11"/>
      <c r="BA848" s="19" t="e">
        <f ca="1">IF(Data!#REF!="","",IF(ISNUMBER(Data!#REF!),IF(AND(Data!#REF!&gt;(TODAY()-(Data_Val!$M$3*365.25)),Data!#REF!&lt;=(TODAY()-(Data_Val!$M$2*365.25))),0,1),1))</f>
        <v>#REF!</v>
      </c>
      <c r="BB848" s="11" t="e">
        <f>IF(Data!#REF!="","",IF(Data!$G848="",1,IF(ISNUMBER(MATCH(Data!#REF!,Data_Val!$D$2:$D$10,0)),0,1)))</f>
        <v>#REF!</v>
      </c>
      <c r="BC848" s="12"/>
      <c r="BD848" s="20" t="e">
        <f ca="1">IF(Data!#REF!="","",IF(ISNUMBER(Data!#REF!),IF(AND(Data!#REF!&gt;(TODAY()-(Data_Val!$M$3*365.25)),Data!#REF!&lt;=(TODAY()-(Data_Val!$M$2*365.25))),0,1),1))</f>
        <v>#REF!</v>
      </c>
      <c r="BE848" s="12" t="e">
        <f>IF(Data!#REF!="","",IF(Data!$G848="",1,IF(ISNUMBER(MATCH(Data!#REF!,Data_Val!$D$2:$D$10,0)),0,1)))</f>
        <v>#REF!</v>
      </c>
      <c r="BF848" s="17"/>
      <c r="BG848" s="18" t="e">
        <f ca="1">IF(Data!#REF!="","",IF(ISNUMBER(Data!#REF!),IF(AND(Data!#REF!&gt;(TODAY()-(Data_Val!$M$3*365.25)),Data!#REF!&lt;=(TODAY()-(Data_Val!$M$2*365.25))),0,1),1))</f>
        <v>#REF!</v>
      </c>
      <c r="BH848" s="29" t="e">
        <f>IF(Data!#REF!="","",IF(Data!$G848="",1,IF(ISNUMBER(MATCH(Data!#REF!,Data_Val!$D$2:$D$10,0)),0,1)))</f>
        <v>#REF!</v>
      </c>
      <c r="BI848" s="13"/>
      <c r="BJ848" s="21" t="e">
        <f ca="1">IF(Data!#REF!="","",IF(ISNUMBER(Data!#REF!),IF(AND(Data!#REF!&gt;(TODAY()-(Data_Val!$M$3*365.25)),Data!#REF!&lt;=(TODAY()-(Data_Val!$M$2*365.25))),0,1),1))</f>
        <v>#REF!</v>
      </c>
      <c r="BK848" s="13" t="e">
        <f>IF(Data!#REF!="","",IF(Data!$G848="",1,IF(ISNUMBER(MATCH(Data!#REF!,Data_Val!$D$2:$D$10,0)),0,1)))</f>
        <v>#REF!</v>
      </c>
    </row>
    <row r="849" spans="1:63" x14ac:dyDescent="0.25">
      <c r="A849" s="9" t="str">
        <f>IF(Data!B849="","",IF(COUNTIFS(Data!A$1:'Data'!A849,Data!A849)&lt;=1,0,1))</f>
        <v/>
      </c>
      <c r="B849" s="9"/>
      <c r="C849" s="23" t="str">
        <f>IF(Data!C849="","",(IF(ISNUMBER(MATCH("*@*.?*",Data!C849,0)),0,1)+IF(COUNTIFS(Data!C$1:'Data'!C849,Data!C849)&gt;1,1,0)))</f>
        <v/>
      </c>
      <c r="D849" s="9" t="str">
        <f>IF(Data!B849="","",IF(ISNUMBER(Data!D849),IF(AND(Data!D849&gt;999999999,Data!D849&lt;=9999999999),IF(COUNTIFS(Data!D$1:'Data'!D849,Data!D849)&lt;=1,0,1),1),1))</f>
        <v/>
      </c>
      <c r="E849" s="9" t="str">
        <f>IF(Data!B849="","",IF(ISNUMBER(MATCH(Data!E849,Data_Val!$A$2:$A$3,0)),0,1))</f>
        <v/>
      </c>
      <c r="F849" s="9" t="str">
        <f ca="1">IF(Data!B849="","",IF(ISNUMBER(Data!F849),IF(AND(Data!F849&gt;(TODAY()-(Data_Val!$H$3*365.25)),Data!F849&lt;=(TODAY()-(Data_Val!$H$2*365.25))),0,1),1))</f>
        <v/>
      </c>
      <c r="G849" s="15" t="str">
        <f>IF(Data!B849="","",IF(AND(Data!G849="",Data!H849&lt;&gt;""),1,IF(Data!#REF!&lt;&gt;"",0,IF(ISNUMBER(MATCH(Data!G849,Data_Val!$C$2:$C$5,0)),0,1))))</f>
        <v/>
      </c>
      <c r="H849" s="15" t="str">
        <f>IF(Data!B849="","",IF(AND(Data!G849&lt;&gt;"",Data!H849=""),1,IF(Data!#REF!&lt;&gt;"",0,IF(Data!G849="",1,IF(ISNUMBER(MATCH(Data!H849,Data_Val!$D$2:$D$35,0)),0,1)))))</f>
        <v/>
      </c>
      <c r="I849" s="15" t="str">
        <f>IF(Data!B849="","",IF(Data!G849&lt;&gt;"",0,IF(ISNUMBER(MATCH(Data!#REF!,Data_Val!$E$2:$E$12,0)),0,1)))</f>
        <v/>
      </c>
      <c r="J849" s="16" t="e">
        <f>IF(OR(Data!B849="",Data!#REF!=""),"",IF(Data!#REF!="",1,0))</f>
        <v>#REF!</v>
      </c>
      <c r="K849" s="16" t="e">
        <f>IF(OR(Data!B849="",Data!#REF!=""),"",IF(Data!#REF!="",1,0))</f>
        <v>#REF!</v>
      </c>
      <c r="L849" s="16" t="e">
        <f>IF(OR(Data!B849="",Data!#REF!=""),"",IF(ISNUMBER(Data!#REF!),IF(AND(Data!#REF!&gt;Data_Val!$G$2,Data!#REF!&lt;=Data_Val!$G$3),0,1),1))</f>
        <v>#REF!</v>
      </c>
      <c r="M849" s="9" t="e">
        <f>IF(OR(Data!B849="",Data!#REF!=""),"",IF(ISNUMBER(MATCH(Data!#REF!,Data_Val!$F$1:$F$38,0)),0,1))</f>
        <v>#REF!</v>
      </c>
      <c r="N849" s="9" t="e">
        <f>IF(OR(Data!B849="",Data!#REF!=""),"",IF(Data!#REF!="",1,0))</f>
        <v>#REF!</v>
      </c>
      <c r="O849" s="17" t="e">
        <f>IF(Data!#REF!="","",IF(Data!#REF!="",1,0))</f>
        <v>#REF!</v>
      </c>
      <c r="P849" s="17" t="e">
        <f>IF(Data!#REF!="","",IF(ISNUMBER(MATCH(Data!#REF!,Data_Val!$A$2:$A$3,0)),0,1))</f>
        <v>#REF!</v>
      </c>
      <c r="Q849" s="25" t="e">
        <f ca="1">IF(Data!#REF!="","",IF(ISNUMBER(Data!#REF!),IF(AND(Data!#REF!&gt;(TODAY()-(Data_Val!$J$3*365.25)),Data!#REF!&lt;=(TODAY()-(Data_Val!$J$2*365.25))),0,1),1))</f>
        <v>#REF!</v>
      </c>
      <c r="R849" s="17" t="e">
        <f>IF(Data!#REF!="","",IF(ISNUMBER(MATCH(Data!#REF!,Data_Val!$B$2:$B$15,0)),0,1))</f>
        <v>#REF!</v>
      </c>
      <c r="S849" s="11" t="str">
        <f>IF(Data!G849="","",IF(Data!G849=Data_Val!$C$2,IF(Data!M849="",0,1),0))</f>
        <v/>
      </c>
      <c r="T849" s="11" t="str">
        <f>IF(Data!M849="","",IF(ISNUMBER(MATCH(Data!N849,Data_Val!$A$2:$A$3,0)),0,1))</f>
        <v/>
      </c>
      <c r="U849" s="11" t="str">
        <f ca="1">IF(Data!M849="","",IF(ISNUMBER(Data!O849),IF(AND(Data!O849&gt;(TODAY()-(Data_Val!$K$3*365.25)),Data!O849&lt;=(TODAY()-(Data_Val!$K$2*365.25))),0,1),1))</f>
        <v/>
      </c>
      <c r="V849" s="12" t="str">
        <f>IF(Data!G849="","",IF(Data!G849=Data_Val!$C$2,IF(Data!P849="",0,1),0))</f>
        <v/>
      </c>
      <c r="W849" s="12" t="str">
        <f>IF(Data!P849="","",IF(ISNUMBER(MATCH(Data!Q849,Data_Val!$A$2:$A$3,0)),0,1))</f>
        <v/>
      </c>
      <c r="X849" s="26" t="str">
        <f ca="1">IF(Data!P849="","",IF(ISNUMBER(Data!R849),IF(AND(Data!R849&gt;(TODAY()-(Data_Val!$L$3*365.25)),Data!R849&lt;=(TODAY()-(Data_Val!$L$2*365.25))),0,1),1))</f>
        <v/>
      </c>
      <c r="Y849" s="13" t="str">
        <f>IF(Data!$G849="","",IF(Data!$G849=Data_Val!$C$2,IF(Data!S849="",0,1),0))</f>
        <v/>
      </c>
      <c r="Z849" s="13" t="str">
        <f>IF(Data!S849="","",IF(ISNUMBER(MATCH(Data!T849,Data_Val!$A$2:$A$3,0)),0,1))</f>
        <v/>
      </c>
      <c r="AA849" s="28" t="str">
        <f ca="1">IF(Data!S849="","",IF(ISNUMBER(Data!U849),IF(AND(Data!U849&gt;(TODAY()-(Data_Val!$L$3*365.25)),Data!U849&lt;=(TODAY()-(Data_Val!$L$2*365.25))),0,1),1))</f>
        <v/>
      </c>
      <c r="AB849" s="11"/>
      <c r="AC849" s="11" t="e">
        <f>IF(Data!#REF!="","",IF(ISNUMBER(MATCH(Data!#REF!,Data_Val!$A$2:$A$3,0)),0,1))</f>
        <v>#REF!</v>
      </c>
      <c r="AD849" s="11" t="e">
        <f ca="1">IF(Data!#REF!="","",IF(ISNUMBER(Data!#REF!),IF(AND(Data!#REF!&gt;(TODAY()-(Data_Val!$L$3*365.25)),Data!#REF!&lt;=(TODAY()-(Data_Val!$L$2*365.25))),0,1),1))</f>
        <v>#REF!</v>
      </c>
      <c r="AE849" s="11" t="e">
        <f>IF(Data!#REF!="","",IF(Data!$G849="",1,IF(ISNUMBER(MATCH(Data!#REF!,Data_Val!$D$2:$D$10,0)),0,1)))</f>
        <v>#REF!</v>
      </c>
      <c r="AF849" s="12"/>
      <c r="AG849" s="12" t="e">
        <f>IF(Data!#REF!="","",IF(ISNUMBER(MATCH(Data!#REF!,Data_Val!$A$2:$A$3,0)),0,1))</f>
        <v>#REF!</v>
      </c>
      <c r="AH849" s="26" t="e">
        <f ca="1">IF(Data!#REF!="","",IF(ISNUMBER(Data!#REF!),IF(AND(Data!#REF!&gt;(TODAY()-(Data_Val!$L$3*365.25)),Data!#REF!&lt;=(TODAY()-(Data_Val!$L$2*365.25))),0,1),1))</f>
        <v>#REF!</v>
      </c>
      <c r="AI849" s="12" t="e">
        <f>IF(Data!#REF!="","",IF(Data!$G849="",1,IF(ISNUMBER(MATCH(Data!#REF!,Data_Val!$D$2:$D$10,0)),0,1)))</f>
        <v>#REF!</v>
      </c>
      <c r="AJ849" s="17"/>
      <c r="AK849" s="17" t="e">
        <f>IF(Data!#REF!="","",IF(ISNUMBER(MATCH(Data!#REF!,Data_Val!$A$2:$A$3,0)),0,1))</f>
        <v>#REF!</v>
      </c>
      <c r="AL849" s="25" t="e">
        <f ca="1">IF(Data!#REF!="","",IF(ISNUMBER(Data!#REF!),IF(AND(Data!#REF!&gt;(TODAY()-(Data_Val!$L$3*365.25)),Data!#REF!&lt;=(TODAY()-(Data_Val!$L$2*365.25))),0,1),1))</f>
        <v>#REF!</v>
      </c>
      <c r="AM849" s="17" t="e">
        <f>IF(Data!#REF!="","",IF(Data!$G849="",1,IF(ISNUMBER(MATCH(Data!#REF!,Data_Val!$D$2:$D$10,0)),0,1)))</f>
        <v>#REF!</v>
      </c>
      <c r="AN849" s="13"/>
      <c r="AO849" s="28" t="e">
        <f ca="1">IF(Data!#REF!="","",IF(ISNUMBER(Data!#REF!),IF(AND(Data!#REF!&gt;(TODAY()-(Data_Val!$I$3*365.25)),Data!#REF!&lt;=(TODAY()-(Data_Val!$I$2*365.25))),0,1),1))</f>
        <v>#REF!</v>
      </c>
      <c r="AP849" s="13" t="e">
        <f>IF(Data!#REF!="","",IF(Data!$G849="",1,IF(ISNUMBER(MATCH(Data!#REF!,Data_Val!$D$2:$D$10,0)),0,1)))</f>
        <v>#REF!</v>
      </c>
      <c r="AQ849" s="17"/>
      <c r="AR849" s="30" t="e">
        <f ca="1">IF(Data!#REF!="","",IF(ISNUMBER(Data!#REF!),IF(AND(Data!#REF!&gt;(TODAY()-(Data_Val!$I$3*365.25)),Data!#REF!&lt;=(TODAY()-(Data_Val!$I$2*365.25))),0,1),1))</f>
        <v>#REF!</v>
      </c>
      <c r="AS849" s="31" t="e">
        <f>IF(Data!#REF!="","",IF(Data!$G849="",1,IF(ISNUMBER(MATCH(Data!#REF!,Data_Val!$D$2:$D$10,0)),0,1)))</f>
        <v>#REF!</v>
      </c>
      <c r="AT849" s="11"/>
      <c r="AU849" s="11" t="e">
        <f ca="1">IF(Data!#REF!="","",IF(ISNUMBER(Data!#REF!),IF(AND(Data!#REF!&gt;(TODAY()-(Data_Val!$I$3*365.25)),Data!#REF!&lt;=(TODAY()-(Data_Val!$I$2*365.25))),0,1),1))</f>
        <v>#REF!</v>
      </c>
      <c r="AV849" s="11" t="e">
        <f>IF(Data!#REF!="","",IF(Data!$G849="",1,IF(ISNUMBER(MATCH(Data!#REF!,Data_Val!$D$2:$D$10,0)),0,1)))</f>
        <v>#REF!</v>
      </c>
      <c r="AW849" s="12"/>
      <c r="AX849" s="26" t="e">
        <f ca="1">IF(Data!#REF!="","",IF(ISNUMBER(Data!#REF!),IF(AND(Data!#REF!&gt;(TODAY()-(Data_Val!$I$3*365.25)),Data!#REF!&lt;=(TODAY()-(Data_Val!$I$2*365.25))),0,1),1))</f>
        <v>#REF!</v>
      </c>
      <c r="AY849" s="12" t="e">
        <f>IF(Data!#REF!="","",IF(Data!$G849="",1,IF(ISNUMBER(MATCH(Data!#REF!,Data_Val!$D$2:$D$10,0)),0,1)))</f>
        <v>#REF!</v>
      </c>
      <c r="AZ849" s="11"/>
      <c r="BA849" s="19" t="e">
        <f ca="1">IF(Data!#REF!="","",IF(ISNUMBER(Data!#REF!),IF(AND(Data!#REF!&gt;(TODAY()-(Data_Val!$M$3*365.25)),Data!#REF!&lt;=(TODAY()-(Data_Val!$M$2*365.25))),0,1),1))</f>
        <v>#REF!</v>
      </c>
      <c r="BB849" s="11" t="e">
        <f>IF(Data!#REF!="","",IF(Data!$G849="",1,IF(ISNUMBER(MATCH(Data!#REF!,Data_Val!$D$2:$D$10,0)),0,1)))</f>
        <v>#REF!</v>
      </c>
      <c r="BC849" s="12"/>
      <c r="BD849" s="20" t="e">
        <f ca="1">IF(Data!#REF!="","",IF(ISNUMBER(Data!#REF!),IF(AND(Data!#REF!&gt;(TODAY()-(Data_Val!$M$3*365.25)),Data!#REF!&lt;=(TODAY()-(Data_Val!$M$2*365.25))),0,1),1))</f>
        <v>#REF!</v>
      </c>
      <c r="BE849" s="12" t="e">
        <f>IF(Data!#REF!="","",IF(Data!$G849="",1,IF(ISNUMBER(MATCH(Data!#REF!,Data_Val!$D$2:$D$10,0)),0,1)))</f>
        <v>#REF!</v>
      </c>
      <c r="BF849" s="17"/>
      <c r="BG849" s="18" t="e">
        <f ca="1">IF(Data!#REF!="","",IF(ISNUMBER(Data!#REF!),IF(AND(Data!#REF!&gt;(TODAY()-(Data_Val!$M$3*365.25)),Data!#REF!&lt;=(TODAY()-(Data_Val!$M$2*365.25))),0,1),1))</f>
        <v>#REF!</v>
      </c>
      <c r="BH849" s="29" t="e">
        <f>IF(Data!#REF!="","",IF(Data!$G849="",1,IF(ISNUMBER(MATCH(Data!#REF!,Data_Val!$D$2:$D$10,0)),0,1)))</f>
        <v>#REF!</v>
      </c>
      <c r="BI849" s="13"/>
      <c r="BJ849" s="21" t="e">
        <f ca="1">IF(Data!#REF!="","",IF(ISNUMBER(Data!#REF!),IF(AND(Data!#REF!&gt;(TODAY()-(Data_Val!$M$3*365.25)),Data!#REF!&lt;=(TODAY()-(Data_Val!$M$2*365.25))),0,1),1))</f>
        <v>#REF!</v>
      </c>
      <c r="BK849" s="13" t="e">
        <f>IF(Data!#REF!="","",IF(Data!$G849="",1,IF(ISNUMBER(MATCH(Data!#REF!,Data_Val!$D$2:$D$10,0)),0,1)))</f>
        <v>#REF!</v>
      </c>
    </row>
    <row r="850" spans="1:63" x14ac:dyDescent="0.25">
      <c r="A850" s="9" t="str">
        <f>IF(Data!B850="","",IF(COUNTIFS(Data!A$1:'Data'!A850,Data!A850)&lt;=1,0,1))</f>
        <v/>
      </c>
      <c r="B850" s="9"/>
      <c r="C850" s="23" t="str">
        <f>IF(Data!C850="","",(IF(ISNUMBER(MATCH("*@*.?*",Data!C850,0)),0,1)+IF(COUNTIFS(Data!C$1:'Data'!C850,Data!C850)&gt;1,1,0)))</f>
        <v/>
      </c>
      <c r="D850" s="9" t="str">
        <f>IF(Data!B850="","",IF(ISNUMBER(Data!D850),IF(AND(Data!D850&gt;999999999,Data!D850&lt;=9999999999),IF(COUNTIFS(Data!D$1:'Data'!D850,Data!D850)&lt;=1,0,1),1),1))</f>
        <v/>
      </c>
      <c r="E850" s="9" t="str">
        <f>IF(Data!B850="","",IF(ISNUMBER(MATCH(Data!E850,Data_Val!$A$2:$A$3,0)),0,1))</f>
        <v/>
      </c>
      <c r="F850" s="9" t="str">
        <f ca="1">IF(Data!B850="","",IF(ISNUMBER(Data!F850),IF(AND(Data!F850&gt;(TODAY()-(Data_Val!$H$3*365.25)),Data!F850&lt;=(TODAY()-(Data_Val!$H$2*365.25))),0,1),1))</f>
        <v/>
      </c>
      <c r="G850" s="15" t="str">
        <f>IF(Data!B850="","",IF(AND(Data!G850="",Data!H850&lt;&gt;""),1,IF(Data!#REF!&lt;&gt;"",0,IF(ISNUMBER(MATCH(Data!G850,Data_Val!$C$2:$C$5,0)),0,1))))</f>
        <v/>
      </c>
      <c r="H850" s="15" t="str">
        <f>IF(Data!B850="","",IF(AND(Data!G850&lt;&gt;"",Data!H850=""),1,IF(Data!#REF!&lt;&gt;"",0,IF(Data!G850="",1,IF(ISNUMBER(MATCH(Data!H850,Data_Val!$D$2:$D$35,0)),0,1)))))</f>
        <v/>
      </c>
      <c r="I850" s="15" t="str">
        <f>IF(Data!B850="","",IF(Data!G850&lt;&gt;"",0,IF(ISNUMBER(MATCH(Data!#REF!,Data_Val!$E$2:$E$12,0)),0,1)))</f>
        <v/>
      </c>
      <c r="J850" s="16" t="e">
        <f>IF(OR(Data!B850="",Data!#REF!=""),"",IF(Data!#REF!="",1,0))</f>
        <v>#REF!</v>
      </c>
      <c r="K850" s="16" t="e">
        <f>IF(OR(Data!B850="",Data!#REF!=""),"",IF(Data!#REF!="",1,0))</f>
        <v>#REF!</v>
      </c>
      <c r="L850" s="16" t="e">
        <f>IF(OR(Data!B850="",Data!#REF!=""),"",IF(ISNUMBER(Data!#REF!),IF(AND(Data!#REF!&gt;Data_Val!$G$2,Data!#REF!&lt;=Data_Val!$G$3),0,1),1))</f>
        <v>#REF!</v>
      </c>
      <c r="M850" s="9" t="e">
        <f>IF(OR(Data!B850="",Data!#REF!=""),"",IF(ISNUMBER(MATCH(Data!#REF!,Data_Val!$F$1:$F$38,0)),0,1))</f>
        <v>#REF!</v>
      </c>
      <c r="N850" s="9" t="e">
        <f>IF(OR(Data!B850="",Data!#REF!=""),"",IF(Data!#REF!="",1,0))</f>
        <v>#REF!</v>
      </c>
      <c r="O850" s="17" t="e">
        <f>IF(Data!#REF!="","",IF(Data!#REF!="",1,0))</f>
        <v>#REF!</v>
      </c>
      <c r="P850" s="17" t="e">
        <f>IF(Data!#REF!="","",IF(ISNUMBER(MATCH(Data!#REF!,Data_Val!$A$2:$A$3,0)),0,1))</f>
        <v>#REF!</v>
      </c>
      <c r="Q850" s="25" t="e">
        <f ca="1">IF(Data!#REF!="","",IF(ISNUMBER(Data!#REF!),IF(AND(Data!#REF!&gt;(TODAY()-(Data_Val!$J$3*365.25)),Data!#REF!&lt;=(TODAY()-(Data_Val!$J$2*365.25))),0,1),1))</f>
        <v>#REF!</v>
      </c>
      <c r="R850" s="17" t="e">
        <f>IF(Data!#REF!="","",IF(ISNUMBER(MATCH(Data!#REF!,Data_Val!$B$2:$B$15,0)),0,1))</f>
        <v>#REF!</v>
      </c>
      <c r="S850" s="11" t="str">
        <f>IF(Data!G850="","",IF(Data!G850=Data_Val!$C$2,IF(Data!M850="",0,1),0))</f>
        <v/>
      </c>
      <c r="T850" s="11" t="str">
        <f>IF(Data!M850="","",IF(ISNUMBER(MATCH(Data!N850,Data_Val!$A$2:$A$3,0)),0,1))</f>
        <v/>
      </c>
      <c r="U850" s="11" t="str">
        <f ca="1">IF(Data!M850="","",IF(ISNUMBER(Data!O850),IF(AND(Data!O850&gt;(TODAY()-(Data_Val!$K$3*365.25)),Data!O850&lt;=(TODAY()-(Data_Val!$K$2*365.25))),0,1),1))</f>
        <v/>
      </c>
      <c r="V850" s="12" t="str">
        <f>IF(Data!G850="","",IF(Data!G850=Data_Val!$C$2,IF(Data!P850="",0,1),0))</f>
        <v/>
      </c>
      <c r="W850" s="12" t="str">
        <f>IF(Data!P850="","",IF(ISNUMBER(MATCH(Data!Q850,Data_Val!$A$2:$A$3,0)),0,1))</f>
        <v/>
      </c>
      <c r="X850" s="26" t="str">
        <f ca="1">IF(Data!P850="","",IF(ISNUMBER(Data!R850),IF(AND(Data!R850&gt;(TODAY()-(Data_Val!$L$3*365.25)),Data!R850&lt;=(TODAY()-(Data_Val!$L$2*365.25))),0,1),1))</f>
        <v/>
      </c>
      <c r="Y850" s="13" t="str">
        <f>IF(Data!$G850="","",IF(Data!$G850=Data_Val!$C$2,IF(Data!S850="",0,1),0))</f>
        <v/>
      </c>
      <c r="Z850" s="13" t="str">
        <f>IF(Data!S850="","",IF(ISNUMBER(MATCH(Data!T850,Data_Val!$A$2:$A$3,0)),0,1))</f>
        <v/>
      </c>
      <c r="AA850" s="28" t="str">
        <f ca="1">IF(Data!S850="","",IF(ISNUMBER(Data!U850),IF(AND(Data!U850&gt;(TODAY()-(Data_Val!$L$3*365.25)),Data!U850&lt;=(TODAY()-(Data_Val!$L$2*365.25))),0,1),1))</f>
        <v/>
      </c>
      <c r="AB850" s="11"/>
      <c r="AC850" s="11" t="e">
        <f>IF(Data!#REF!="","",IF(ISNUMBER(MATCH(Data!#REF!,Data_Val!$A$2:$A$3,0)),0,1))</f>
        <v>#REF!</v>
      </c>
      <c r="AD850" s="11" t="e">
        <f ca="1">IF(Data!#REF!="","",IF(ISNUMBER(Data!#REF!),IF(AND(Data!#REF!&gt;(TODAY()-(Data_Val!$L$3*365.25)),Data!#REF!&lt;=(TODAY()-(Data_Val!$L$2*365.25))),0,1),1))</f>
        <v>#REF!</v>
      </c>
      <c r="AE850" s="11" t="e">
        <f>IF(Data!#REF!="","",IF(Data!$G850="",1,IF(ISNUMBER(MATCH(Data!#REF!,Data_Val!$D$2:$D$10,0)),0,1)))</f>
        <v>#REF!</v>
      </c>
      <c r="AF850" s="12"/>
      <c r="AG850" s="12" t="e">
        <f>IF(Data!#REF!="","",IF(ISNUMBER(MATCH(Data!#REF!,Data_Val!$A$2:$A$3,0)),0,1))</f>
        <v>#REF!</v>
      </c>
      <c r="AH850" s="26" t="e">
        <f ca="1">IF(Data!#REF!="","",IF(ISNUMBER(Data!#REF!),IF(AND(Data!#REF!&gt;(TODAY()-(Data_Val!$L$3*365.25)),Data!#REF!&lt;=(TODAY()-(Data_Val!$L$2*365.25))),0,1),1))</f>
        <v>#REF!</v>
      </c>
      <c r="AI850" s="12" t="e">
        <f>IF(Data!#REF!="","",IF(Data!$G850="",1,IF(ISNUMBER(MATCH(Data!#REF!,Data_Val!$D$2:$D$10,0)),0,1)))</f>
        <v>#REF!</v>
      </c>
      <c r="AJ850" s="17"/>
      <c r="AK850" s="17" t="e">
        <f>IF(Data!#REF!="","",IF(ISNUMBER(MATCH(Data!#REF!,Data_Val!$A$2:$A$3,0)),0,1))</f>
        <v>#REF!</v>
      </c>
      <c r="AL850" s="25" t="e">
        <f ca="1">IF(Data!#REF!="","",IF(ISNUMBER(Data!#REF!),IF(AND(Data!#REF!&gt;(TODAY()-(Data_Val!$L$3*365.25)),Data!#REF!&lt;=(TODAY()-(Data_Val!$L$2*365.25))),0,1),1))</f>
        <v>#REF!</v>
      </c>
      <c r="AM850" s="17" t="e">
        <f>IF(Data!#REF!="","",IF(Data!$G850="",1,IF(ISNUMBER(MATCH(Data!#REF!,Data_Val!$D$2:$D$10,0)),0,1)))</f>
        <v>#REF!</v>
      </c>
      <c r="AN850" s="13"/>
      <c r="AO850" s="28" t="e">
        <f ca="1">IF(Data!#REF!="","",IF(ISNUMBER(Data!#REF!),IF(AND(Data!#REF!&gt;(TODAY()-(Data_Val!$I$3*365.25)),Data!#REF!&lt;=(TODAY()-(Data_Val!$I$2*365.25))),0,1),1))</f>
        <v>#REF!</v>
      </c>
      <c r="AP850" s="13" t="e">
        <f>IF(Data!#REF!="","",IF(Data!$G850="",1,IF(ISNUMBER(MATCH(Data!#REF!,Data_Val!$D$2:$D$10,0)),0,1)))</f>
        <v>#REF!</v>
      </c>
      <c r="AQ850" s="17"/>
      <c r="AR850" s="30" t="e">
        <f ca="1">IF(Data!#REF!="","",IF(ISNUMBER(Data!#REF!),IF(AND(Data!#REF!&gt;(TODAY()-(Data_Val!$I$3*365.25)),Data!#REF!&lt;=(TODAY()-(Data_Val!$I$2*365.25))),0,1),1))</f>
        <v>#REF!</v>
      </c>
      <c r="AS850" s="31" t="e">
        <f>IF(Data!#REF!="","",IF(Data!$G850="",1,IF(ISNUMBER(MATCH(Data!#REF!,Data_Val!$D$2:$D$10,0)),0,1)))</f>
        <v>#REF!</v>
      </c>
      <c r="AT850" s="11"/>
      <c r="AU850" s="11" t="e">
        <f ca="1">IF(Data!#REF!="","",IF(ISNUMBER(Data!#REF!),IF(AND(Data!#REF!&gt;(TODAY()-(Data_Val!$I$3*365.25)),Data!#REF!&lt;=(TODAY()-(Data_Val!$I$2*365.25))),0,1),1))</f>
        <v>#REF!</v>
      </c>
      <c r="AV850" s="11" t="e">
        <f>IF(Data!#REF!="","",IF(Data!$G850="",1,IF(ISNUMBER(MATCH(Data!#REF!,Data_Val!$D$2:$D$10,0)),0,1)))</f>
        <v>#REF!</v>
      </c>
      <c r="AW850" s="12"/>
      <c r="AX850" s="26" t="e">
        <f ca="1">IF(Data!#REF!="","",IF(ISNUMBER(Data!#REF!),IF(AND(Data!#REF!&gt;(TODAY()-(Data_Val!$I$3*365.25)),Data!#REF!&lt;=(TODAY()-(Data_Val!$I$2*365.25))),0,1),1))</f>
        <v>#REF!</v>
      </c>
      <c r="AY850" s="12" t="e">
        <f>IF(Data!#REF!="","",IF(Data!$G850="",1,IF(ISNUMBER(MATCH(Data!#REF!,Data_Val!$D$2:$D$10,0)),0,1)))</f>
        <v>#REF!</v>
      </c>
      <c r="AZ850" s="11"/>
      <c r="BA850" s="19" t="e">
        <f ca="1">IF(Data!#REF!="","",IF(ISNUMBER(Data!#REF!),IF(AND(Data!#REF!&gt;(TODAY()-(Data_Val!$M$3*365.25)),Data!#REF!&lt;=(TODAY()-(Data_Val!$M$2*365.25))),0,1),1))</f>
        <v>#REF!</v>
      </c>
      <c r="BB850" s="11" t="e">
        <f>IF(Data!#REF!="","",IF(Data!$G850="",1,IF(ISNUMBER(MATCH(Data!#REF!,Data_Val!$D$2:$D$10,0)),0,1)))</f>
        <v>#REF!</v>
      </c>
      <c r="BC850" s="12"/>
      <c r="BD850" s="20" t="e">
        <f ca="1">IF(Data!#REF!="","",IF(ISNUMBER(Data!#REF!),IF(AND(Data!#REF!&gt;(TODAY()-(Data_Val!$M$3*365.25)),Data!#REF!&lt;=(TODAY()-(Data_Val!$M$2*365.25))),0,1),1))</f>
        <v>#REF!</v>
      </c>
      <c r="BE850" s="12" t="e">
        <f>IF(Data!#REF!="","",IF(Data!$G850="",1,IF(ISNUMBER(MATCH(Data!#REF!,Data_Val!$D$2:$D$10,0)),0,1)))</f>
        <v>#REF!</v>
      </c>
      <c r="BF850" s="17"/>
      <c r="BG850" s="18" t="e">
        <f ca="1">IF(Data!#REF!="","",IF(ISNUMBER(Data!#REF!),IF(AND(Data!#REF!&gt;(TODAY()-(Data_Val!$M$3*365.25)),Data!#REF!&lt;=(TODAY()-(Data_Val!$M$2*365.25))),0,1),1))</f>
        <v>#REF!</v>
      </c>
      <c r="BH850" s="29" t="e">
        <f>IF(Data!#REF!="","",IF(Data!$G850="",1,IF(ISNUMBER(MATCH(Data!#REF!,Data_Val!$D$2:$D$10,0)),0,1)))</f>
        <v>#REF!</v>
      </c>
      <c r="BI850" s="13"/>
      <c r="BJ850" s="21" t="e">
        <f ca="1">IF(Data!#REF!="","",IF(ISNUMBER(Data!#REF!),IF(AND(Data!#REF!&gt;(TODAY()-(Data_Val!$M$3*365.25)),Data!#REF!&lt;=(TODAY()-(Data_Val!$M$2*365.25))),0,1),1))</f>
        <v>#REF!</v>
      </c>
      <c r="BK850" s="13" t="e">
        <f>IF(Data!#REF!="","",IF(Data!$G850="",1,IF(ISNUMBER(MATCH(Data!#REF!,Data_Val!$D$2:$D$10,0)),0,1)))</f>
        <v>#REF!</v>
      </c>
    </row>
    <row r="851" spans="1:63" x14ac:dyDescent="0.25">
      <c r="A851" s="9" t="str">
        <f>IF(Data!B851="","",IF(COUNTIFS(Data!A$1:'Data'!A851,Data!A851)&lt;=1,0,1))</f>
        <v/>
      </c>
      <c r="B851" s="9"/>
      <c r="C851" s="23" t="str">
        <f>IF(Data!C851="","",(IF(ISNUMBER(MATCH("*@*.?*",Data!C851,0)),0,1)+IF(COUNTIFS(Data!C$1:'Data'!C851,Data!C851)&gt;1,1,0)))</f>
        <v/>
      </c>
      <c r="D851" s="9" t="str">
        <f>IF(Data!B851="","",IF(ISNUMBER(Data!D851),IF(AND(Data!D851&gt;999999999,Data!D851&lt;=9999999999),IF(COUNTIFS(Data!D$1:'Data'!D851,Data!D851)&lt;=1,0,1),1),1))</f>
        <v/>
      </c>
      <c r="E851" s="9" t="str">
        <f>IF(Data!B851="","",IF(ISNUMBER(MATCH(Data!E851,Data_Val!$A$2:$A$3,0)),0,1))</f>
        <v/>
      </c>
      <c r="F851" s="9" t="str">
        <f ca="1">IF(Data!B851="","",IF(ISNUMBER(Data!F851),IF(AND(Data!F851&gt;(TODAY()-(Data_Val!$H$3*365.25)),Data!F851&lt;=(TODAY()-(Data_Val!$H$2*365.25))),0,1),1))</f>
        <v/>
      </c>
      <c r="G851" s="15" t="str">
        <f>IF(Data!B851="","",IF(AND(Data!G851="",Data!H851&lt;&gt;""),1,IF(Data!#REF!&lt;&gt;"",0,IF(ISNUMBER(MATCH(Data!G851,Data_Val!$C$2:$C$5,0)),0,1))))</f>
        <v/>
      </c>
      <c r="H851" s="15" t="str">
        <f>IF(Data!B851="","",IF(AND(Data!G851&lt;&gt;"",Data!H851=""),1,IF(Data!#REF!&lt;&gt;"",0,IF(Data!G851="",1,IF(ISNUMBER(MATCH(Data!H851,Data_Val!$D$2:$D$35,0)),0,1)))))</f>
        <v/>
      </c>
      <c r="I851" s="15" t="str">
        <f>IF(Data!B851="","",IF(Data!G851&lt;&gt;"",0,IF(ISNUMBER(MATCH(Data!#REF!,Data_Val!$E$2:$E$12,0)),0,1)))</f>
        <v/>
      </c>
      <c r="J851" s="16" t="e">
        <f>IF(OR(Data!B851="",Data!#REF!=""),"",IF(Data!#REF!="",1,0))</f>
        <v>#REF!</v>
      </c>
      <c r="K851" s="16" t="e">
        <f>IF(OR(Data!B851="",Data!#REF!=""),"",IF(Data!#REF!="",1,0))</f>
        <v>#REF!</v>
      </c>
      <c r="L851" s="16" t="e">
        <f>IF(OR(Data!B851="",Data!#REF!=""),"",IF(ISNUMBER(Data!#REF!),IF(AND(Data!#REF!&gt;Data_Val!$G$2,Data!#REF!&lt;=Data_Val!$G$3),0,1),1))</f>
        <v>#REF!</v>
      </c>
      <c r="M851" s="9" t="e">
        <f>IF(OR(Data!B851="",Data!#REF!=""),"",IF(ISNUMBER(MATCH(Data!#REF!,Data_Val!$F$1:$F$38,0)),0,1))</f>
        <v>#REF!</v>
      </c>
      <c r="N851" s="9" t="e">
        <f>IF(OR(Data!B851="",Data!#REF!=""),"",IF(Data!#REF!="",1,0))</f>
        <v>#REF!</v>
      </c>
      <c r="O851" s="17" t="e">
        <f>IF(Data!#REF!="","",IF(Data!#REF!="",1,0))</f>
        <v>#REF!</v>
      </c>
      <c r="P851" s="17" t="e">
        <f>IF(Data!#REF!="","",IF(ISNUMBER(MATCH(Data!#REF!,Data_Val!$A$2:$A$3,0)),0,1))</f>
        <v>#REF!</v>
      </c>
      <c r="Q851" s="25" t="e">
        <f ca="1">IF(Data!#REF!="","",IF(ISNUMBER(Data!#REF!),IF(AND(Data!#REF!&gt;(TODAY()-(Data_Val!$J$3*365.25)),Data!#REF!&lt;=(TODAY()-(Data_Val!$J$2*365.25))),0,1),1))</f>
        <v>#REF!</v>
      </c>
      <c r="R851" s="17" t="e">
        <f>IF(Data!#REF!="","",IF(ISNUMBER(MATCH(Data!#REF!,Data_Val!$B$2:$B$15,0)),0,1))</f>
        <v>#REF!</v>
      </c>
      <c r="S851" s="11" t="str">
        <f>IF(Data!G851="","",IF(Data!G851=Data_Val!$C$2,IF(Data!M851="",0,1),0))</f>
        <v/>
      </c>
      <c r="T851" s="11" t="str">
        <f>IF(Data!M851="","",IF(ISNUMBER(MATCH(Data!N851,Data_Val!$A$2:$A$3,0)),0,1))</f>
        <v/>
      </c>
      <c r="U851" s="11" t="str">
        <f ca="1">IF(Data!M851="","",IF(ISNUMBER(Data!O851),IF(AND(Data!O851&gt;(TODAY()-(Data_Val!$K$3*365.25)),Data!O851&lt;=(TODAY()-(Data_Val!$K$2*365.25))),0,1),1))</f>
        <v/>
      </c>
      <c r="V851" s="12" t="str">
        <f>IF(Data!G851="","",IF(Data!G851=Data_Val!$C$2,IF(Data!P851="",0,1),0))</f>
        <v/>
      </c>
      <c r="W851" s="12" t="str">
        <f>IF(Data!P851="","",IF(ISNUMBER(MATCH(Data!Q851,Data_Val!$A$2:$A$3,0)),0,1))</f>
        <v/>
      </c>
      <c r="X851" s="26" t="str">
        <f ca="1">IF(Data!P851="","",IF(ISNUMBER(Data!R851),IF(AND(Data!R851&gt;(TODAY()-(Data_Val!$L$3*365.25)),Data!R851&lt;=(TODAY()-(Data_Val!$L$2*365.25))),0,1),1))</f>
        <v/>
      </c>
      <c r="Y851" s="13" t="str">
        <f>IF(Data!$G851="","",IF(Data!$G851=Data_Val!$C$2,IF(Data!S851="",0,1),0))</f>
        <v/>
      </c>
      <c r="Z851" s="13" t="str">
        <f>IF(Data!S851="","",IF(ISNUMBER(MATCH(Data!T851,Data_Val!$A$2:$A$3,0)),0,1))</f>
        <v/>
      </c>
      <c r="AA851" s="28" t="str">
        <f ca="1">IF(Data!S851="","",IF(ISNUMBER(Data!U851),IF(AND(Data!U851&gt;(TODAY()-(Data_Val!$L$3*365.25)),Data!U851&lt;=(TODAY()-(Data_Val!$L$2*365.25))),0,1),1))</f>
        <v/>
      </c>
      <c r="AB851" s="11"/>
      <c r="AC851" s="11" t="e">
        <f>IF(Data!#REF!="","",IF(ISNUMBER(MATCH(Data!#REF!,Data_Val!$A$2:$A$3,0)),0,1))</f>
        <v>#REF!</v>
      </c>
      <c r="AD851" s="11" t="e">
        <f ca="1">IF(Data!#REF!="","",IF(ISNUMBER(Data!#REF!),IF(AND(Data!#REF!&gt;(TODAY()-(Data_Val!$L$3*365.25)),Data!#REF!&lt;=(TODAY()-(Data_Val!$L$2*365.25))),0,1),1))</f>
        <v>#REF!</v>
      </c>
      <c r="AE851" s="11" t="e">
        <f>IF(Data!#REF!="","",IF(Data!$G851="",1,IF(ISNUMBER(MATCH(Data!#REF!,Data_Val!$D$2:$D$10,0)),0,1)))</f>
        <v>#REF!</v>
      </c>
      <c r="AF851" s="12"/>
      <c r="AG851" s="12" t="e">
        <f>IF(Data!#REF!="","",IF(ISNUMBER(MATCH(Data!#REF!,Data_Val!$A$2:$A$3,0)),0,1))</f>
        <v>#REF!</v>
      </c>
      <c r="AH851" s="26" t="e">
        <f ca="1">IF(Data!#REF!="","",IF(ISNUMBER(Data!#REF!),IF(AND(Data!#REF!&gt;(TODAY()-(Data_Val!$L$3*365.25)),Data!#REF!&lt;=(TODAY()-(Data_Val!$L$2*365.25))),0,1),1))</f>
        <v>#REF!</v>
      </c>
      <c r="AI851" s="12" t="e">
        <f>IF(Data!#REF!="","",IF(Data!$G851="",1,IF(ISNUMBER(MATCH(Data!#REF!,Data_Val!$D$2:$D$10,0)),0,1)))</f>
        <v>#REF!</v>
      </c>
      <c r="AJ851" s="17"/>
      <c r="AK851" s="17" t="e">
        <f>IF(Data!#REF!="","",IF(ISNUMBER(MATCH(Data!#REF!,Data_Val!$A$2:$A$3,0)),0,1))</f>
        <v>#REF!</v>
      </c>
      <c r="AL851" s="25" t="e">
        <f ca="1">IF(Data!#REF!="","",IF(ISNUMBER(Data!#REF!),IF(AND(Data!#REF!&gt;(TODAY()-(Data_Val!$L$3*365.25)),Data!#REF!&lt;=(TODAY()-(Data_Val!$L$2*365.25))),0,1),1))</f>
        <v>#REF!</v>
      </c>
      <c r="AM851" s="17" t="e">
        <f>IF(Data!#REF!="","",IF(Data!$G851="",1,IF(ISNUMBER(MATCH(Data!#REF!,Data_Val!$D$2:$D$10,0)),0,1)))</f>
        <v>#REF!</v>
      </c>
      <c r="AN851" s="13"/>
      <c r="AO851" s="28" t="e">
        <f ca="1">IF(Data!#REF!="","",IF(ISNUMBER(Data!#REF!),IF(AND(Data!#REF!&gt;(TODAY()-(Data_Val!$I$3*365.25)),Data!#REF!&lt;=(TODAY()-(Data_Val!$I$2*365.25))),0,1),1))</f>
        <v>#REF!</v>
      </c>
      <c r="AP851" s="13" t="e">
        <f>IF(Data!#REF!="","",IF(Data!$G851="",1,IF(ISNUMBER(MATCH(Data!#REF!,Data_Val!$D$2:$D$10,0)),0,1)))</f>
        <v>#REF!</v>
      </c>
      <c r="AQ851" s="17"/>
      <c r="AR851" s="30" t="e">
        <f ca="1">IF(Data!#REF!="","",IF(ISNUMBER(Data!#REF!),IF(AND(Data!#REF!&gt;(TODAY()-(Data_Val!$I$3*365.25)),Data!#REF!&lt;=(TODAY()-(Data_Val!$I$2*365.25))),0,1),1))</f>
        <v>#REF!</v>
      </c>
      <c r="AS851" s="31" t="e">
        <f>IF(Data!#REF!="","",IF(Data!$G851="",1,IF(ISNUMBER(MATCH(Data!#REF!,Data_Val!$D$2:$D$10,0)),0,1)))</f>
        <v>#REF!</v>
      </c>
      <c r="AT851" s="11"/>
      <c r="AU851" s="11" t="e">
        <f ca="1">IF(Data!#REF!="","",IF(ISNUMBER(Data!#REF!),IF(AND(Data!#REF!&gt;(TODAY()-(Data_Val!$I$3*365.25)),Data!#REF!&lt;=(TODAY()-(Data_Val!$I$2*365.25))),0,1),1))</f>
        <v>#REF!</v>
      </c>
      <c r="AV851" s="11" t="e">
        <f>IF(Data!#REF!="","",IF(Data!$G851="",1,IF(ISNUMBER(MATCH(Data!#REF!,Data_Val!$D$2:$D$10,0)),0,1)))</f>
        <v>#REF!</v>
      </c>
      <c r="AW851" s="12"/>
      <c r="AX851" s="26" t="e">
        <f ca="1">IF(Data!#REF!="","",IF(ISNUMBER(Data!#REF!),IF(AND(Data!#REF!&gt;(TODAY()-(Data_Val!$I$3*365.25)),Data!#REF!&lt;=(TODAY()-(Data_Val!$I$2*365.25))),0,1),1))</f>
        <v>#REF!</v>
      </c>
      <c r="AY851" s="12" t="e">
        <f>IF(Data!#REF!="","",IF(Data!$G851="",1,IF(ISNUMBER(MATCH(Data!#REF!,Data_Val!$D$2:$D$10,0)),0,1)))</f>
        <v>#REF!</v>
      </c>
      <c r="AZ851" s="11"/>
      <c r="BA851" s="19" t="e">
        <f ca="1">IF(Data!#REF!="","",IF(ISNUMBER(Data!#REF!),IF(AND(Data!#REF!&gt;(TODAY()-(Data_Val!$M$3*365.25)),Data!#REF!&lt;=(TODAY()-(Data_Val!$M$2*365.25))),0,1),1))</f>
        <v>#REF!</v>
      </c>
      <c r="BB851" s="11" t="e">
        <f>IF(Data!#REF!="","",IF(Data!$G851="",1,IF(ISNUMBER(MATCH(Data!#REF!,Data_Val!$D$2:$D$10,0)),0,1)))</f>
        <v>#REF!</v>
      </c>
      <c r="BC851" s="12"/>
      <c r="BD851" s="20" t="e">
        <f ca="1">IF(Data!#REF!="","",IF(ISNUMBER(Data!#REF!),IF(AND(Data!#REF!&gt;(TODAY()-(Data_Val!$M$3*365.25)),Data!#REF!&lt;=(TODAY()-(Data_Val!$M$2*365.25))),0,1),1))</f>
        <v>#REF!</v>
      </c>
      <c r="BE851" s="12" t="e">
        <f>IF(Data!#REF!="","",IF(Data!$G851="",1,IF(ISNUMBER(MATCH(Data!#REF!,Data_Val!$D$2:$D$10,0)),0,1)))</f>
        <v>#REF!</v>
      </c>
      <c r="BF851" s="17"/>
      <c r="BG851" s="18" t="e">
        <f ca="1">IF(Data!#REF!="","",IF(ISNUMBER(Data!#REF!),IF(AND(Data!#REF!&gt;(TODAY()-(Data_Val!$M$3*365.25)),Data!#REF!&lt;=(TODAY()-(Data_Val!$M$2*365.25))),0,1),1))</f>
        <v>#REF!</v>
      </c>
      <c r="BH851" s="29" t="e">
        <f>IF(Data!#REF!="","",IF(Data!$G851="",1,IF(ISNUMBER(MATCH(Data!#REF!,Data_Val!$D$2:$D$10,0)),0,1)))</f>
        <v>#REF!</v>
      </c>
      <c r="BI851" s="13"/>
      <c r="BJ851" s="21" t="e">
        <f ca="1">IF(Data!#REF!="","",IF(ISNUMBER(Data!#REF!),IF(AND(Data!#REF!&gt;(TODAY()-(Data_Val!$M$3*365.25)),Data!#REF!&lt;=(TODAY()-(Data_Val!$M$2*365.25))),0,1),1))</f>
        <v>#REF!</v>
      </c>
      <c r="BK851" s="13" t="e">
        <f>IF(Data!#REF!="","",IF(Data!$G851="",1,IF(ISNUMBER(MATCH(Data!#REF!,Data_Val!$D$2:$D$10,0)),0,1)))</f>
        <v>#REF!</v>
      </c>
    </row>
    <row r="852" spans="1:63" x14ac:dyDescent="0.25">
      <c r="A852" s="9" t="str">
        <f>IF(Data!B852="","",IF(COUNTIFS(Data!A$1:'Data'!A852,Data!A852)&lt;=1,0,1))</f>
        <v/>
      </c>
      <c r="B852" s="9"/>
      <c r="C852" s="23" t="str">
        <f>IF(Data!C852="","",(IF(ISNUMBER(MATCH("*@*.?*",Data!C852,0)),0,1)+IF(COUNTIFS(Data!C$1:'Data'!C852,Data!C852)&gt;1,1,0)))</f>
        <v/>
      </c>
      <c r="D852" s="9" t="str">
        <f>IF(Data!B852="","",IF(ISNUMBER(Data!D852),IF(AND(Data!D852&gt;999999999,Data!D852&lt;=9999999999),IF(COUNTIFS(Data!D$1:'Data'!D852,Data!D852)&lt;=1,0,1),1),1))</f>
        <v/>
      </c>
      <c r="E852" s="9" t="str">
        <f>IF(Data!B852="","",IF(ISNUMBER(MATCH(Data!E852,Data_Val!$A$2:$A$3,0)),0,1))</f>
        <v/>
      </c>
      <c r="F852" s="9" t="str">
        <f ca="1">IF(Data!B852="","",IF(ISNUMBER(Data!F852),IF(AND(Data!F852&gt;(TODAY()-(Data_Val!$H$3*365.25)),Data!F852&lt;=(TODAY()-(Data_Val!$H$2*365.25))),0,1),1))</f>
        <v/>
      </c>
      <c r="G852" s="15" t="str">
        <f>IF(Data!B852="","",IF(AND(Data!G852="",Data!H852&lt;&gt;""),1,IF(Data!#REF!&lt;&gt;"",0,IF(ISNUMBER(MATCH(Data!G852,Data_Val!$C$2:$C$5,0)),0,1))))</f>
        <v/>
      </c>
      <c r="H852" s="15" t="str">
        <f>IF(Data!B852="","",IF(AND(Data!G852&lt;&gt;"",Data!H852=""),1,IF(Data!#REF!&lt;&gt;"",0,IF(Data!G852="",1,IF(ISNUMBER(MATCH(Data!H852,Data_Val!$D$2:$D$35,0)),0,1)))))</f>
        <v/>
      </c>
      <c r="I852" s="15" t="str">
        <f>IF(Data!B852="","",IF(Data!G852&lt;&gt;"",0,IF(ISNUMBER(MATCH(Data!#REF!,Data_Val!$E$2:$E$12,0)),0,1)))</f>
        <v/>
      </c>
      <c r="J852" s="16" t="e">
        <f>IF(OR(Data!B852="",Data!#REF!=""),"",IF(Data!#REF!="",1,0))</f>
        <v>#REF!</v>
      </c>
      <c r="K852" s="16" t="e">
        <f>IF(OR(Data!B852="",Data!#REF!=""),"",IF(Data!#REF!="",1,0))</f>
        <v>#REF!</v>
      </c>
      <c r="L852" s="16" t="e">
        <f>IF(OR(Data!B852="",Data!#REF!=""),"",IF(ISNUMBER(Data!#REF!),IF(AND(Data!#REF!&gt;Data_Val!$G$2,Data!#REF!&lt;=Data_Val!$G$3),0,1),1))</f>
        <v>#REF!</v>
      </c>
      <c r="M852" s="9" t="e">
        <f>IF(OR(Data!B852="",Data!#REF!=""),"",IF(ISNUMBER(MATCH(Data!#REF!,Data_Val!$F$1:$F$38,0)),0,1))</f>
        <v>#REF!</v>
      </c>
      <c r="N852" s="9" t="e">
        <f>IF(OR(Data!B852="",Data!#REF!=""),"",IF(Data!#REF!="",1,0))</f>
        <v>#REF!</v>
      </c>
      <c r="O852" s="17" t="e">
        <f>IF(Data!#REF!="","",IF(Data!#REF!="",1,0))</f>
        <v>#REF!</v>
      </c>
      <c r="P852" s="17" t="e">
        <f>IF(Data!#REF!="","",IF(ISNUMBER(MATCH(Data!#REF!,Data_Val!$A$2:$A$3,0)),0,1))</f>
        <v>#REF!</v>
      </c>
      <c r="Q852" s="25" t="e">
        <f ca="1">IF(Data!#REF!="","",IF(ISNUMBER(Data!#REF!),IF(AND(Data!#REF!&gt;(TODAY()-(Data_Val!$J$3*365.25)),Data!#REF!&lt;=(TODAY()-(Data_Val!$J$2*365.25))),0,1),1))</f>
        <v>#REF!</v>
      </c>
      <c r="R852" s="17" t="e">
        <f>IF(Data!#REF!="","",IF(ISNUMBER(MATCH(Data!#REF!,Data_Val!$B$2:$B$15,0)),0,1))</f>
        <v>#REF!</v>
      </c>
      <c r="S852" s="11" t="str">
        <f>IF(Data!G852="","",IF(Data!G852=Data_Val!$C$2,IF(Data!M852="",0,1),0))</f>
        <v/>
      </c>
      <c r="T852" s="11" t="str">
        <f>IF(Data!M852="","",IF(ISNUMBER(MATCH(Data!N852,Data_Val!$A$2:$A$3,0)),0,1))</f>
        <v/>
      </c>
      <c r="U852" s="11" t="str">
        <f ca="1">IF(Data!M852="","",IF(ISNUMBER(Data!O852),IF(AND(Data!O852&gt;(TODAY()-(Data_Val!$K$3*365.25)),Data!O852&lt;=(TODAY()-(Data_Val!$K$2*365.25))),0,1),1))</f>
        <v/>
      </c>
      <c r="V852" s="12" t="str">
        <f>IF(Data!G852="","",IF(Data!G852=Data_Val!$C$2,IF(Data!P852="",0,1),0))</f>
        <v/>
      </c>
      <c r="W852" s="12" t="str">
        <f>IF(Data!P852="","",IF(ISNUMBER(MATCH(Data!Q852,Data_Val!$A$2:$A$3,0)),0,1))</f>
        <v/>
      </c>
      <c r="X852" s="26" t="str">
        <f ca="1">IF(Data!P852="","",IF(ISNUMBER(Data!R852),IF(AND(Data!R852&gt;(TODAY()-(Data_Val!$L$3*365.25)),Data!R852&lt;=(TODAY()-(Data_Val!$L$2*365.25))),0,1),1))</f>
        <v/>
      </c>
      <c r="Y852" s="13" t="str">
        <f>IF(Data!$G852="","",IF(Data!$G852=Data_Val!$C$2,IF(Data!S852="",0,1),0))</f>
        <v/>
      </c>
      <c r="Z852" s="13" t="str">
        <f>IF(Data!S852="","",IF(ISNUMBER(MATCH(Data!T852,Data_Val!$A$2:$A$3,0)),0,1))</f>
        <v/>
      </c>
      <c r="AA852" s="28" t="str">
        <f ca="1">IF(Data!S852="","",IF(ISNUMBER(Data!U852),IF(AND(Data!U852&gt;(TODAY()-(Data_Val!$L$3*365.25)),Data!U852&lt;=(TODAY()-(Data_Val!$L$2*365.25))),0,1),1))</f>
        <v/>
      </c>
      <c r="AB852" s="11"/>
      <c r="AC852" s="11" t="e">
        <f>IF(Data!#REF!="","",IF(ISNUMBER(MATCH(Data!#REF!,Data_Val!$A$2:$A$3,0)),0,1))</f>
        <v>#REF!</v>
      </c>
      <c r="AD852" s="11" t="e">
        <f ca="1">IF(Data!#REF!="","",IF(ISNUMBER(Data!#REF!),IF(AND(Data!#REF!&gt;(TODAY()-(Data_Val!$L$3*365.25)),Data!#REF!&lt;=(TODAY()-(Data_Val!$L$2*365.25))),0,1),1))</f>
        <v>#REF!</v>
      </c>
      <c r="AE852" s="11" t="e">
        <f>IF(Data!#REF!="","",IF(Data!$G852="",1,IF(ISNUMBER(MATCH(Data!#REF!,Data_Val!$D$2:$D$10,0)),0,1)))</f>
        <v>#REF!</v>
      </c>
      <c r="AF852" s="12"/>
      <c r="AG852" s="12" t="e">
        <f>IF(Data!#REF!="","",IF(ISNUMBER(MATCH(Data!#REF!,Data_Val!$A$2:$A$3,0)),0,1))</f>
        <v>#REF!</v>
      </c>
      <c r="AH852" s="26" t="e">
        <f ca="1">IF(Data!#REF!="","",IF(ISNUMBER(Data!#REF!),IF(AND(Data!#REF!&gt;(TODAY()-(Data_Val!$L$3*365.25)),Data!#REF!&lt;=(TODAY()-(Data_Val!$L$2*365.25))),0,1),1))</f>
        <v>#REF!</v>
      </c>
      <c r="AI852" s="12" t="e">
        <f>IF(Data!#REF!="","",IF(Data!$G852="",1,IF(ISNUMBER(MATCH(Data!#REF!,Data_Val!$D$2:$D$10,0)),0,1)))</f>
        <v>#REF!</v>
      </c>
      <c r="AJ852" s="17"/>
      <c r="AK852" s="17" t="e">
        <f>IF(Data!#REF!="","",IF(ISNUMBER(MATCH(Data!#REF!,Data_Val!$A$2:$A$3,0)),0,1))</f>
        <v>#REF!</v>
      </c>
      <c r="AL852" s="25" t="e">
        <f ca="1">IF(Data!#REF!="","",IF(ISNUMBER(Data!#REF!),IF(AND(Data!#REF!&gt;(TODAY()-(Data_Val!$L$3*365.25)),Data!#REF!&lt;=(TODAY()-(Data_Val!$L$2*365.25))),0,1),1))</f>
        <v>#REF!</v>
      </c>
      <c r="AM852" s="17" t="e">
        <f>IF(Data!#REF!="","",IF(Data!$G852="",1,IF(ISNUMBER(MATCH(Data!#REF!,Data_Val!$D$2:$D$10,0)),0,1)))</f>
        <v>#REF!</v>
      </c>
      <c r="AN852" s="13"/>
      <c r="AO852" s="28" t="e">
        <f ca="1">IF(Data!#REF!="","",IF(ISNUMBER(Data!#REF!),IF(AND(Data!#REF!&gt;(TODAY()-(Data_Val!$I$3*365.25)),Data!#REF!&lt;=(TODAY()-(Data_Val!$I$2*365.25))),0,1),1))</f>
        <v>#REF!</v>
      </c>
      <c r="AP852" s="13" t="e">
        <f>IF(Data!#REF!="","",IF(Data!$G852="",1,IF(ISNUMBER(MATCH(Data!#REF!,Data_Val!$D$2:$D$10,0)),0,1)))</f>
        <v>#REF!</v>
      </c>
      <c r="AQ852" s="17"/>
      <c r="AR852" s="30" t="e">
        <f ca="1">IF(Data!#REF!="","",IF(ISNUMBER(Data!#REF!),IF(AND(Data!#REF!&gt;(TODAY()-(Data_Val!$I$3*365.25)),Data!#REF!&lt;=(TODAY()-(Data_Val!$I$2*365.25))),0,1),1))</f>
        <v>#REF!</v>
      </c>
      <c r="AS852" s="31" t="e">
        <f>IF(Data!#REF!="","",IF(Data!$G852="",1,IF(ISNUMBER(MATCH(Data!#REF!,Data_Val!$D$2:$D$10,0)),0,1)))</f>
        <v>#REF!</v>
      </c>
      <c r="AT852" s="11"/>
      <c r="AU852" s="11" t="e">
        <f ca="1">IF(Data!#REF!="","",IF(ISNUMBER(Data!#REF!),IF(AND(Data!#REF!&gt;(TODAY()-(Data_Val!$I$3*365.25)),Data!#REF!&lt;=(TODAY()-(Data_Val!$I$2*365.25))),0,1),1))</f>
        <v>#REF!</v>
      </c>
      <c r="AV852" s="11" t="e">
        <f>IF(Data!#REF!="","",IF(Data!$G852="",1,IF(ISNUMBER(MATCH(Data!#REF!,Data_Val!$D$2:$D$10,0)),0,1)))</f>
        <v>#REF!</v>
      </c>
      <c r="AW852" s="12"/>
      <c r="AX852" s="26" t="e">
        <f ca="1">IF(Data!#REF!="","",IF(ISNUMBER(Data!#REF!),IF(AND(Data!#REF!&gt;(TODAY()-(Data_Val!$I$3*365.25)),Data!#REF!&lt;=(TODAY()-(Data_Val!$I$2*365.25))),0,1),1))</f>
        <v>#REF!</v>
      </c>
      <c r="AY852" s="12" t="e">
        <f>IF(Data!#REF!="","",IF(Data!$G852="",1,IF(ISNUMBER(MATCH(Data!#REF!,Data_Val!$D$2:$D$10,0)),0,1)))</f>
        <v>#REF!</v>
      </c>
      <c r="AZ852" s="11"/>
      <c r="BA852" s="19" t="e">
        <f ca="1">IF(Data!#REF!="","",IF(ISNUMBER(Data!#REF!),IF(AND(Data!#REF!&gt;(TODAY()-(Data_Val!$M$3*365.25)),Data!#REF!&lt;=(TODAY()-(Data_Val!$M$2*365.25))),0,1),1))</f>
        <v>#REF!</v>
      </c>
      <c r="BB852" s="11" t="e">
        <f>IF(Data!#REF!="","",IF(Data!$G852="",1,IF(ISNUMBER(MATCH(Data!#REF!,Data_Val!$D$2:$D$10,0)),0,1)))</f>
        <v>#REF!</v>
      </c>
      <c r="BC852" s="12"/>
      <c r="BD852" s="20" t="e">
        <f ca="1">IF(Data!#REF!="","",IF(ISNUMBER(Data!#REF!),IF(AND(Data!#REF!&gt;(TODAY()-(Data_Val!$M$3*365.25)),Data!#REF!&lt;=(TODAY()-(Data_Val!$M$2*365.25))),0,1),1))</f>
        <v>#REF!</v>
      </c>
      <c r="BE852" s="12" t="e">
        <f>IF(Data!#REF!="","",IF(Data!$G852="",1,IF(ISNUMBER(MATCH(Data!#REF!,Data_Val!$D$2:$D$10,0)),0,1)))</f>
        <v>#REF!</v>
      </c>
      <c r="BF852" s="17"/>
      <c r="BG852" s="18" t="e">
        <f ca="1">IF(Data!#REF!="","",IF(ISNUMBER(Data!#REF!),IF(AND(Data!#REF!&gt;(TODAY()-(Data_Val!$M$3*365.25)),Data!#REF!&lt;=(TODAY()-(Data_Val!$M$2*365.25))),0,1),1))</f>
        <v>#REF!</v>
      </c>
      <c r="BH852" s="29" t="e">
        <f>IF(Data!#REF!="","",IF(Data!$G852="",1,IF(ISNUMBER(MATCH(Data!#REF!,Data_Val!$D$2:$D$10,0)),0,1)))</f>
        <v>#REF!</v>
      </c>
      <c r="BI852" s="13"/>
      <c r="BJ852" s="21" t="e">
        <f ca="1">IF(Data!#REF!="","",IF(ISNUMBER(Data!#REF!),IF(AND(Data!#REF!&gt;(TODAY()-(Data_Val!$M$3*365.25)),Data!#REF!&lt;=(TODAY()-(Data_Val!$M$2*365.25))),0,1),1))</f>
        <v>#REF!</v>
      </c>
      <c r="BK852" s="13" t="e">
        <f>IF(Data!#REF!="","",IF(Data!$G852="",1,IF(ISNUMBER(MATCH(Data!#REF!,Data_Val!$D$2:$D$10,0)),0,1)))</f>
        <v>#REF!</v>
      </c>
    </row>
    <row r="853" spans="1:63" x14ac:dyDescent="0.25">
      <c r="A853" s="9" t="str">
        <f>IF(Data!B853="","",IF(COUNTIFS(Data!A$1:'Data'!A853,Data!A853)&lt;=1,0,1))</f>
        <v/>
      </c>
      <c r="B853" s="9"/>
      <c r="C853" s="23" t="str">
        <f>IF(Data!C853="","",(IF(ISNUMBER(MATCH("*@*.?*",Data!C853,0)),0,1)+IF(COUNTIFS(Data!C$1:'Data'!C853,Data!C853)&gt;1,1,0)))</f>
        <v/>
      </c>
      <c r="D853" s="9" t="str">
        <f>IF(Data!B853="","",IF(ISNUMBER(Data!D853),IF(AND(Data!D853&gt;999999999,Data!D853&lt;=9999999999),IF(COUNTIFS(Data!D$1:'Data'!D853,Data!D853)&lt;=1,0,1),1),1))</f>
        <v/>
      </c>
      <c r="E853" s="9" t="str">
        <f>IF(Data!B853="","",IF(ISNUMBER(MATCH(Data!E853,Data_Val!$A$2:$A$3,0)),0,1))</f>
        <v/>
      </c>
      <c r="F853" s="9" t="str">
        <f ca="1">IF(Data!B853="","",IF(ISNUMBER(Data!F853),IF(AND(Data!F853&gt;(TODAY()-(Data_Val!$H$3*365.25)),Data!F853&lt;=(TODAY()-(Data_Val!$H$2*365.25))),0,1),1))</f>
        <v/>
      </c>
      <c r="G853" s="15" t="str">
        <f>IF(Data!B853="","",IF(AND(Data!G853="",Data!H853&lt;&gt;""),1,IF(Data!#REF!&lt;&gt;"",0,IF(ISNUMBER(MATCH(Data!G853,Data_Val!$C$2:$C$5,0)),0,1))))</f>
        <v/>
      </c>
      <c r="H853" s="15" t="str">
        <f>IF(Data!B853="","",IF(AND(Data!G853&lt;&gt;"",Data!H853=""),1,IF(Data!#REF!&lt;&gt;"",0,IF(Data!G853="",1,IF(ISNUMBER(MATCH(Data!H853,Data_Val!$D$2:$D$35,0)),0,1)))))</f>
        <v/>
      </c>
      <c r="I853" s="15" t="str">
        <f>IF(Data!B853="","",IF(Data!G853&lt;&gt;"",0,IF(ISNUMBER(MATCH(Data!#REF!,Data_Val!$E$2:$E$12,0)),0,1)))</f>
        <v/>
      </c>
      <c r="J853" s="16" t="e">
        <f>IF(OR(Data!B853="",Data!#REF!=""),"",IF(Data!#REF!="",1,0))</f>
        <v>#REF!</v>
      </c>
      <c r="K853" s="16" t="e">
        <f>IF(OR(Data!B853="",Data!#REF!=""),"",IF(Data!#REF!="",1,0))</f>
        <v>#REF!</v>
      </c>
      <c r="L853" s="16" t="e">
        <f>IF(OR(Data!B853="",Data!#REF!=""),"",IF(ISNUMBER(Data!#REF!),IF(AND(Data!#REF!&gt;Data_Val!$G$2,Data!#REF!&lt;=Data_Val!$G$3),0,1),1))</f>
        <v>#REF!</v>
      </c>
      <c r="M853" s="9" t="e">
        <f>IF(OR(Data!B853="",Data!#REF!=""),"",IF(ISNUMBER(MATCH(Data!#REF!,Data_Val!$F$1:$F$38,0)),0,1))</f>
        <v>#REF!</v>
      </c>
      <c r="N853" s="9" t="e">
        <f>IF(OR(Data!B853="",Data!#REF!=""),"",IF(Data!#REF!="",1,0))</f>
        <v>#REF!</v>
      </c>
      <c r="O853" s="17" t="e">
        <f>IF(Data!#REF!="","",IF(Data!#REF!="",1,0))</f>
        <v>#REF!</v>
      </c>
      <c r="P853" s="17" t="e">
        <f>IF(Data!#REF!="","",IF(ISNUMBER(MATCH(Data!#REF!,Data_Val!$A$2:$A$3,0)),0,1))</f>
        <v>#REF!</v>
      </c>
      <c r="Q853" s="25" t="e">
        <f ca="1">IF(Data!#REF!="","",IF(ISNUMBER(Data!#REF!),IF(AND(Data!#REF!&gt;(TODAY()-(Data_Val!$J$3*365.25)),Data!#REF!&lt;=(TODAY()-(Data_Val!$J$2*365.25))),0,1),1))</f>
        <v>#REF!</v>
      </c>
      <c r="R853" s="17" t="e">
        <f>IF(Data!#REF!="","",IF(ISNUMBER(MATCH(Data!#REF!,Data_Val!$B$2:$B$15,0)),0,1))</f>
        <v>#REF!</v>
      </c>
      <c r="S853" s="11" t="str">
        <f>IF(Data!G853="","",IF(Data!G853=Data_Val!$C$2,IF(Data!M853="",0,1),0))</f>
        <v/>
      </c>
      <c r="T853" s="11" t="str">
        <f>IF(Data!M853="","",IF(ISNUMBER(MATCH(Data!N853,Data_Val!$A$2:$A$3,0)),0,1))</f>
        <v/>
      </c>
      <c r="U853" s="11" t="str">
        <f ca="1">IF(Data!M853="","",IF(ISNUMBER(Data!O853),IF(AND(Data!O853&gt;(TODAY()-(Data_Val!$K$3*365.25)),Data!O853&lt;=(TODAY()-(Data_Val!$K$2*365.25))),0,1),1))</f>
        <v/>
      </c>
      <c r="V853" s="12" t="str">
        <f>IF(Data!G853="","",IF(Data!G853=Data_Val!$C$2,IF(Data!P853="",0,1),0))</f>
        <v/>
      </c>
      <c r="W853" s="12" t="str">
        <f>IF(Data!P853="","",IF(ISNUMBER(MATCH(Data!Q853,Data_Val!$A$2:$A$3,0)),0,1))</f>
        <v/>
      </c>
      <c r="X853" s="26" t="str">
        <f ca="1">IF(Data!P853="","",IF(ISNUMBER(Data!R853),IF(AND(Data!R853&gt;(TODAY()-(Data_Val!$L$3*365.25)),Data!R853&lt;=(TODAY()-(Data_Val!$L$2*365.25))),0,1),1))</f>
        <v/>
      </c>
      <c r="Y853" s="13" t="str">
        <f>IF(Data!$G853="","",IF(Data!$G853=Data_Val!$C$2,IF(Data!S853="",0,1),0))</f>
        <v/>
      </c>
      <c r="Z853" s="13" t="str">
        <f>IF(Data!S853="","",IF(ISNUMBER(MATCH(Data!T853,Data_Val!$A$2:$A$3,0)),0,1))</f>
        <v/>
      </c>
      <c r="AA853" s="28" t="str">
        <f ca="1">IF(Data!S853="","",IF(ISNUMBER(Data!U853),IF(AND(Data!U853&gt;(TODAY()-(Data_Val!$L$3*365.25)),Data!U853&lt;=(TODAY()-(Data_Val!$L$2*365.25))),0,1),1))</f>
        <v/>
      </c>
      <c r="AB853" s="11"/>
      <c r="AC853" s="11" t="e">
        <f>IF(Data!#REF!="","",IF(ISNUMBER(MATCH(Data!#REF!,Data_Val!$A$2:$A$3,0)),0,1))</f>
        <v>#REF!</v>
      </c>
      <c r="AD853" s="11" t="e">
        <f ca="1">IF(Data!#REF!="","",IF(ISNUMBER(Data!#REF!),IF(AND(Data!#REF!&gt;(TODAY()-(Data_Val!$L$3*365.25)),Data!#REF!&lt;=(TODAY()-(Data_Val!$L$2*365.25))),0,1),1))</f>
        <v>#REF!</v>
      </c>
      <c r="AE853" s="11" t="e">
        <f>IF(Data!#REF!="","",IF(Data!$G853="",1,IF(ISNUMBER(MATCH(Data!#REF!,Data_Val!$D$2:$D$10,0)),0,1)))</f>
        <v>#REF!</v>
      </c>
      <c r="AF853" s="12"/>
      <c r="AG853" s="12" t="e">
        <f>IF(Data!#REF!="","",IF(ISNUMBER(MATCH(Data!#REF!,Data_Val!$A$2:$A$3,0)),0,1))</f>
        <v>#REF!</v>
      </c>
      <c r="AH853" s="26" t="e">
        <f ca="1">IF(Data!#REF!="","",IF(ISNUMBER(Data!#REF!),IF(AND(Data!#REF!&gt;(TODAY()-(Data_Val!$L$3*365.25)),Data!#REF!&lt;=(TODAY()-(Data_Val!$L$2*365.25))),0,1),1))</f>
        <v>#REF!</v>
      </c>
      <c r="AI853" s="12" t="e">
        <f>IF(Data!#REF!="","",IF(Data!$G853="",1,IF(ISNUMBER(MATCH(Data!#REF!,Data_Val!$D$2:$D$10,0)),0,1)))</f>
        <v>#REF!</v>
      </c>
      <c r="AJ853" s="17"/>
      <c r="AK853" s="17" t="e">
        <f>IF(Data!#REF!="","",IF(ISNUMBER(MATCH(Data!#REF!,Data_Val!$A$2:$A$3,0)),0,1))</f>
        <v>#REF!</v>
      </c>
      <c r="AL853" s="25" t="e">
        <f ca="1">IF(Data!#REF!="","",IF(ISNUMBER(Data!#REF!),IF(AND(Data!#REF!&gt;(TODAY()-(Data_Val!$L$3*365.25)),Data!#REF!&lt;=(TODAY()-(Data_Val!$L$2*365.25))),0,1),1))</f>
        <v>#REF!</v>
      </c>
      <c r="AM853" s="17" t="e">
        <f>IF(Data!#REF!="","",IF(Data!$G853="",1,IF(ISNUMBER(MATCH(Data!#REF!,Data_Val!$D$2:$D$10,0)),0,1)))</f>
        <v>#REF!</v>
      </c>
      <c r="AN853" s="13"/>
      <c r="AO853" s="28" t="e">
        <f ca="1">IF(Data!#REF!="","",IF(ISNUMBER(Data!#REF!),IF(AND(Data!#REF!&gt;(TODAY()-(Data_Val!$I$3*365.25)),Data!#REF!&lt;=(TODAY()-(Data_Val!$I$2*365.25))),0,1),1))</f>
        <v>#REF!</v>
      </c>
      <c r="AP853" s="13" t="e">
        <f>IF(Data!#REF!="","",IF(Data!$G853="",1,IF(ISNUMBER(MATCH(Data!#REF!,Data_Val!$D$2:$D$10,0)),0,1)))</f>
        <v>#REF!</v>
      </c>
      <c r="AQ853" s="17"/>
      <c r="AR853" s="30" t="e">
        <f ca="1">IF(Data!#REF!="","",IF(ISNUMBER(Data!#REF!),IF(AND(Data!#REF!&gt;(TODAY()-(Data_Val!$I$3*365.25)),Data!#REF!&lt;=(TODAY()-(Data_Val!$I$2*365.25))),0,1),1))</f>
        <v>#REF!</v>
      </c>
      <c r="AS853" s="31" t="e">
        <f>IF(Data!#REF!="","",IF(Data!$G853="",1,IF(ISNUMBER(MATCH(Data!#REF!,Data_Val!$D$2:$D$10,0)),0,1)))</f>
        <v>#REF!</v>
      </c>
      <c r="AT853" s="11"/>
      <c r="AU853" s="11" t="e">
        <f ca="1">IF(Data!#REF!="","",IF(ISNUMBER(Data!#REF!),IF(AND(Data!#REF!&gt;(TODAY()-(Data_Val!$I$3*365.25)),Data!#REF!&lt;=(TODAY()-(Data_Val!$I$2*365.25))),0,1),1))</f>
        <v>#REF!</v>
      </c>
      <c r="AV853" s="11" t="e">
        <f>IF(Data!#REF!="","",IF(Data!$G853="",1,IF(ISNUMBER(MATCH(Data!#REF!,Data_Val!$D$2:$D$10,0)),0,1)))</f>
        <v>#REF!</v>
      </c>
      <c r="AW853" s="12"/>
      <c r="AX853" s="26" t="e">
        <f ca="1">IF(Data!#REF!="","",IF(ISNUMBER(Data!#REF!),IF(AND(Data!#REF!&gt;(TODAY()-(Data_Val!$I$3*365.25)),Data!#REF!&lt;=(TODAY()-(Data_Val!$I$2*365.25))),0,1),1))</f>
        <v>#REF!</v>
      </c>
      <c r="AY853" s="12" t="e">
        <f>IF(Data!#REF!="","",IF(Data!$G853="",1,IF(ISNUMBER(MATCH(Data!#REF!,Data_Val!$D$2:$D$10,0)),0,1)))</f>
        <v>#REF!</v>
      </c>
      <c r="AZ853" s="11"/>
      <c r="BA853" s="19" t="e">
        <f ca="1">IF(Data!#REF!="","",IF(ISNUMBER(Data!#REF!),IF(AND(Data!#REF!&gt;(TODAY()-(Data_Val!$M$3*365.25)),Data!#REF!&lt;=(TODAY()-(Data_Val!$M$2*365.25))),0,1),1))</f>
        <v>#REF!</v>
      </c>
      <c r="BB853" s="11" t="e">
        <f>IF(Data!#REF!="","",IF(Data!$G853="",1,IF(ISNUMBER(MATCH(Data!#REF!,Data_Val!$D$2:$D$10,0)),0,1)))</f>
        <v>#REF!</v>
      </c>
      <c r="BC853" s="12"/>
      <c r="BD853" s="20" t="e">
        <f ca="1">IF(Data!#REF!="","",IF(ISNUMBER(Data!#REF!),IF(AND(Data!#REF!&gt;(TODAY()-(Data_Val!$M$3*365.25)),Data!#REF!&lt;=(TODAY()-(Data_Val!$M$2*365.25))),0,1),1))</f>
        <v>#REF!</v>
      </c>
      <c r="BE853" s="12" t="e">
        <f>IF(Data!#REF!="","",IF(Data!$G853="",1,IF(ISNUMBER(MATCH(Data!#REF!,Data_Val!$D$2:$D$10,0)),0,1)))</f>
        <v>#REF!</v>
      </c>
      <c r="BF853" s="17"/>
      <c r="BG853" s="18" t="e">
        <f ca="1">IF(Data!#REF!="","",IF(ISNUMBER(Data!#REF!),IF(AND(Data!#REF!&gt;(TODAY()-(Data_Val!$M$3*365.25)),Data!#REF!&lt;=(TODAY()-(Data_Val!$M$2*365.25))),0,1),1))</f>
        <v>#REF!</v>
      </c>
      <c r="BH853" s="29" t="e">
        <f>IF(Data!#REF!="","",IF(Data!$G853="",1,IF(ISNUMBER(MATCH(Data!#REF!,Data_Val!$D$2:$D$10,0)),0,1)))</f>
        <v>#REF!</v>
      </c>
      <c r="BI853" s="13"/>
      <c r="BJ853" s="21" t="e">
        <f ca="1">IF(Data!#REF!="","",IF(ISNUMBER(Data!#REF!),IF(AND(Data!#REF!&gt;(TODAY()-(Data_Val!$M$3*365.25)),Data!#REF!&lt;=(TODAY()-(Data_Val!$M$2*365.25))),0,1),1))</f>
        <v>#REF!</v>
      </c>
      <c r="BK853" s="13" t="e">
        <f>IF(Data!#REF!="","",IF(Data!$G853="",1,IF(ISNUMBER(MATCH(Data!#REF!,Data_Val!$D$2:$D$10,0)),0,1)))</f>
        <v>#REF!</v>
      </c>
    </row>
    <row r="854" spans="1:63" x14ac:dyDescent="0.25">
      <c r="A854" s="9" t="str">
        <f>IF(Data!B854="","",IF(COUNTIFS(Data!A$1:'Data'!A854,Data!A854)&lt;=1,0,1))</f>
        <v/>
      </c>
      <c r="B854" s="9"/>
      <c r="C854" s="23" t="str">
        <f>IF(Data!C854="","",(IF(ISNUMBER(MATCH("*@*.?*",Data!C854,0)),0,1)+IF(COUNTIFS(Data!C$1:'Data'!C854,Data!C854)&gt;1,1,0)))</f>
        <v/>
      </c>
      <c r="D854" s="9" t="str">
        <f>IF(Data!B854="","",IF(ISNUMBER(Data!D854),IF(AND(Data!D854&gt;999999999,Data!D854&lt;=9999999999),IF(COUNTIFS(Data!D$1:'Data'!D854,Data!D854)&lt;=1,0,1),1),1))</f>
        <v/>
      </c>
      <c r="E854" s="9" t="str">
        <f>IF(Data!B854="","",IF(ISNUMBER(MATCH(Data!E854,Data_Val!$A$2:$A$3,0)),0,1))</f>
        <v/>
      </c>
      <c r="F854" s="9" t="str">
        <f ca="1">IF(Data!B854="","",IF(ISNUMBER(Data!F854),IF(AND(Data!F854&gt;(TODAY()-(Data_Val!$H$3*365.25)),Data!F854&lt;=(TODAY()-(Data_Val!$H$2*365.25))),0,1),1))</f>
        <v/>
      </c>
      <c r="G854" s="15" t="str">
        <f>IF(Data!B854="","",IF(AND(Data!G854="",Data!H854&lt;&gt;""),1,IF(Data!#REF!&lt;&gt;"",0,IF(ISNUMBER(MATCH(Data!G854,Data_Val!$C$2:$C$5,0)),0,1))))</f>
        <v/>
      </c>
      <c r="H854" s="15" t="str">
        <f>IF(Data!B854="","",IF(AND(Data!G854&lt;&gt;"",Data!H854=""),1,IF(Data!#REF!&lt;&gt;"",0,IF(Data!G854="",1,IF(ISNUMBER(MATCH(Data!H854,Data_Val!$D$2:$D$35,0)),0,1)))))</f>
        <v/>
      </c>
      <c r="I854" s="15" t="str">
        <f>IF(Data!B854="","",IF(Data!G854&lt;&gt;"",0,IF(ISNUMBER(MATCH(Data!#REF!,Data_Val!$E$2:$E$12,0)),0,1)))</f>
        <v/>
      </c>
      <c r="J854" s="16" t="e">
        <f>IF(OR(Data!B854="",Data!#REF!=""),"",IF(Data!#REF!="",1,0))</f>
        <v>#REF!</v>
      </c>
      <c r="K854" s="16" t="e">
        <f>IF(OR(Data!B854="",Data!#REF!=""),"",IF(Data!#REF!="",1,0))</f>
        <v>#REF!</v>
      </c>
      <c r="L854" s="16" t="e">
        <f>IF(OR(Data!B854="",Data!#REF!=""),"",IF(ISNUMBER(Data!#REF!),IF(AND(Data!#REF!&gt;Data_Val!$G$2,Data!#REF!&lt;=Data_Val!$G$3),0,1),1))</f>
        <v>#REF!</v>
      </c>
      <c r="M854" s="9" t="e">
        <f>IF(OR(Data!B854="",Data!#REF!=""),"",IF(ISNUMBER(MATCH(Data!#REF!,Data_Val!$F$1:$F$38,0)),0,1))</f>
        <v>#REF!</v>
      </c>
      <c r="N854" s="9" t="e">
        <f>IF(OR(Data!B854="",Data!#REF!=""),"",IF(Data!#REF!="",1,0))</f>
        <v>#REF!</v>
      </c>
      <c r="O854" s="17" t="e">
        <f>IF(Data!#REF!="","",IF(Data!#REF!="",1,0))</f>
        <v>#REF!</v>
      </c>
      <c r="P854" s="17" t="e">
        <f>IF(Data!#REF!="","",IF(ISNUMBER(MATCH(Data!#REF!,Data_Val!$A$2:$A$3,0)),0,1))</f>
        <v>#REF!</v>
      </c>
      <c r="Q854" s="25" t="e">
        <f ca="1">IF(Data!#REF!="","",IF(ISNUMBER(Data!#REF!),IF(AND(Data!#REF!&gt;(TODAY()-(Data_Val!$J$3*365.25)),Data!#REF!&lt;=(TODAY()-(Data_Val!$J$2*365.25))),0,1),1))</f>
        <v>#REF!</v>
      </c>
      <c r="R854" s="17" t="e">
        <f>IF(Data!#REF!="","",IF(ISNUMBER(MATCH(Data!#REF!,Data_Val!$B$2:$B$15,0)),0,1))</f>
        <v>#REF!</v>
      </c>
      <c r="S854" s="11" t="str">
        <f>IF(Data!G854="","",IF(Data!G854=Data_Val!$C$2,IF(Data!M854="",0,1),0))</f>
        <v/>
      </c>
      <c r="T854" s="11" t="str">
        <f>IF(Data!M854="","",IF(ISNUMBER(MATCH(Data!N854,Data_Val!$A$2:$A$3,0)),0,1))</f>
        <v/>
      </c>
      <c r="U854" s="11" t="str">
        <f ca="1">IF(Data!M854="","",IF(ISNUMBER(Data!O854),IF(AND(Data!O854&gt;(TODAY()-(Data_Val!$K$3*365.25)),Data!O854&lt;=(TODAY()-(Data_Val!$K$2*365.25))),0,1),1))</f>
        <v/>
      </c>
      <c r="V854" s="12" t="str">
        <f>IF(Data!G854="","",IF(Data!G854=Data_Val!$C$2,IF(Data!P854="",0,1),0))</f>
        <v/>
      </c>
      <c r="W854" s="12" t="str">
        <f>IF(Data!P854="","",IF(ISNUMBER(MATCH(Data!Q854,Data_Val!$A$2:$A$3,0)),0,1))</f>
        <v/>
      </c>
      <c r="X854" s="26" t="str">
        <f ca="1">IF(Data!P854="","",IF(ISNUMBER(Data!R854),IF(AND(Data!R854&gt;(TODAY()-(Data_Val!$L$3*365.25)),Data!R854&lt;=(TODAY()-(Data_Val!$L$2*365.25))),0,1),1))</f>
        <v/>
      </c>
      <c r="Y854" s="13" t="str">
        <f>IF(Data!$G854="","",IF(Data!$G854=Data_Val!$C$2,IF(Data!S854="",0,1),0))</f>
        <v/>
      </c>
      <c r="Z854" s="13" t="str">
        <f>IF(Data!S854="","",IF(ISNUMBER(MATCH(Data!T854,Data_Val!$A$2:$A$3,0)),0,1))</f>
        <v/>
      </c>
      <c r="AA854" s="28" t="str">
        <f ca="1">IF(Data!S854="","",IF(ISNUMBER(Data!U854),IF(AND(Data!U854&gt;(TODAY()-(Data_Val!$L$3*365.25)),Data!U854&lt;=(TODAY()-(Data_Val!$L$2*365.25))),0,1),1))</f>
        <v/>
      </c>
      <c r="AB854" s="11"/>
      <c r="AC854" s="11" t="e">
        <f>IF(Data!#REF!="","",IF(ISNUMBER(MATCH(Data!#REF!,Data_Val!$A$2:$A$3,0)),0,1))</f>
        <v>#REF!</v>
      </c>
      <c r="AD854" s="11" t="e">
        <f ca="1">IF(Data!#REF!="","",IF(ISNUMBER(Data!#REF!),IF(AND(Data!#REF!&gt;(TODAY()-(Data_Val!$L$3*365.25)),Data!#REF!&lt;=(TODAY()-(Data_Val!$L$2*365.25))),0,1),1))</f>
        <v>#REF!</v>
      </c>
      <c r="AE854" s="11" t="e">
        <f>IF(Data!#REF!="","",IF(Data!$G854="",1,IF(ISNUMBER(MATCH(Data!#REF!,Data_Val!$D$2:$D$10,0)),0,1)))</f>
        <v>#REF!</v>
      </c>
      <c r="AF854" s="12"/>
      <c r="AG854" s="12" t="e">
        <f>IF(Data!#REF!="","",IF(ISNUMBER(MATCH(Data!#REF!,Data_Val!$A$2:$A$3,0)),0,1))</f>
        <v>#REF!</v>
      </c>
      <c r="AH854" s="26" t="e">
        <f ca="1">IF(Data!#REF!="","",IF(ISNUMBER(Data!#REF!),IF(AND(Data!#REF!&gt;(TODAY()-(Data_Val!$L$3*365.25)),Data!#REF!&lt;=(TODAY()-(Data_Val!$L$2*365.25))),0,1),1))</f>
        <v>#REF!</v>
      </c>
      <c r="AI854" s="12" t="e">
        <f>IF(Data!#REF!="","",IF(Data!$G854="",1,IF(ISNUMBER(MATCH(Data!#REF!,Data_Val!$D$2:$D$10,0)),0,1)))</f>
        <v>#REF!</v>
      </c>
      <c r="AJ854" s="17"/>
      <c r="AK854" s="17" t="e">
        <f>IF(Data!#REF!="","",IF(ISNUMBER(MATCH(Data!#REF!,Data_Val!$A$2:$A$3,0)),0,1))</f>
        <v>#REF!</v>
      </c>
      <c r="AL854" s="25" t="e">
        <f ca="1">IF(Data!#REF!="","",IF(ISNUMBER(Data!#REF!),IF(AND(Data!#REF!&gt;(TODAY()-(Data_Val!$L$3*365.25)),Data!#REF!&lt;=(TODAY()-(Data_Val!$L$2*365.25))),0,1),1))</f>
        <v>#REF!</v>
      </c>
      <c r="AM854" s="17" t="e">
        <f>IF(Data!#REF!="","",IF(Data!$G854="",1,IF(ISNUMBER(MATCH(Data!#REF!,Data_Val!$D$2:$D$10,0)),0,1)))</f>
        <v>#REF!</v>
      </c>
      <c r="AN854" s="13"/>
      <c r="AO854" s="28" t="e">
        <f ca="1">IF(Data!#REF!="","",IF(ISNUMBER(Data!#REF!),IF(AND(Data!#REF!&gt;(TODAY()-(Data_Val!$I$3*365.25)),Data!#REF!&lt;=(TODAY()-(Data_Val!$I$2*365.25))),0,1),1))</f>
        <v>#REF!</v>
      </c>
      <c r="AP854" s="13" t="e">
        <f>IF(Data!#REF!="","",IF(Data!$G854="",1,IF(ISNUMBER(MATCH(Data!#REF!,Data_Val!$D$2:$D$10,0)),0,1)))</f>
        <v>#REF!</v>
      </c>
      <c r="AQ854" s="17"/>
      <c r="AR854" s="30" t="e">
        <f ca="1">IF(Data!#REF!="","",IF(ISNUMBER(Data!#REF!),IF(AND(Data!#REF!&gt;(TODAY()-(Data_Val!$I$3*365.25)),Data!#REF!&lt;=(TODAY()-(Data_Val!$I$2*365.25))),0,1),1))</f>
        <v>#REF!</v>
      </c>
      <c r="AS854" s="31" t="e">
        <f>IF(Data!#REF!="","",IF(Data!$G854="",1,IF(ISNUMBER(MATCH(Data!#REF!,Data_Val!$D$2:$D$10,0)),0,1)))</f>
        <v>#REF!</v>
      </c>
      <c r="AT854" s="11"/>
      <c r="AU854" s="11" t="e">
        <f ca="1">IF(Data!#REF!="","",IF(ISNUMBER(Data!#REF!),IF(AND(Data!#REF!&gt;(TODAY()-(Data_Val!$I$3*365.25)),Data!#REF!&lt;=(TODAY()-(Data_Val!$I$2*365.25))),0,1),1))</f>
        <v>#REF!</v>
      </c>
      <c r="AV854" s="11" t="e">
        <f>IF(Data!#REF!="","",IF(Data!$G854="",1,IF(ISNUMBER(MATCH(Data!#REF!,Data_Val!$D$2:$D$10,0)),0,1)))</f>
        <v>#REF!</v>
      </c>
      <c r="AW854" s="12"/>
      <c r="AX854" s="26" t="e">
        <f ca="1">IF(Data!#REF!="","",IF(ISNUMBER(Data!#REF!),IF(AND(Data!#REF!&gt;(TODAY()-(Data_Val!$I$3*365.25)),Data!#REF!&lt;=(TODAY()-(Data_Val!$I$2*365.25))),0,1),1))</f>
        <v>#REF!</v>
      </c>
      <c r="AY854" s="12" t="e">
        <f>IF(Data!#REF!="","",IF(Data!$G854="",1,IF(ISNUMBER(MATCH(Data!#REF!,Data_Val!$D$2:$D$10,0)),0,1)))</f>
        <v>#REF!</v>
      </c>
      <c r="AZ854" s="11"/>
      <c r="BA854" s="19" t="e">
        <f ca="1">IF(Data!#REF!="","",IF(ISNUMBER(Data!#REF!),IF(AND(Data!#REF!&gt;(TODAY()-(Data_Val!$M$3*365.25)),Data!#REF!&lt;=(TODAY()-(Data_Val!$M$2*365.25))),0,1),1))</f>
        <v>#REF!</v>
      </c>
      <c r="BB854" s="11" t="e">
        <f>IF(Data!#REF!="","",IF(Data!$G854="",1,IF(ISNUMBER(MATCH(Data!#REF!,Data_Val!$D$2:$D$10,0)),0,1)))</f>
        <v>#REF!</v>
      </c>
      <c r="BC854" s="12"/>
      <c r="BD854" s="20" t="e">
        <f ca="1">IF(Data!#REF!="","",IF(ISNUMBER(Data!#REF!),IF(AND(Data!#REF!&gt;(TODAY()-(Data_Val!$M$3*365.25)),Data!#REF!&lt;=(TODAY()-(Data_Val!$M$2*365.25))),0,1),1))</f>
        <v>#REF!</v>
      </c>
      <c r="BE854" s="12" t="e">
        <f>IF(Data!#REF!="","",IF(Data!$G854="",1,IF(ISNUMBER(MATCH(Data!#REF!,Data_Val!$D$2:$D$10,0)),0,1)))</f>
        <v>#REF!</v>
      </c>
      <c r="BF854" s="17"/>
      <c r="BG854" s="18" t="e">
        <f ca="1">IF(Data!#REF!="","",IF(ISNUMBER(Data!#REF!),IF(AND(Data!#REF!&gt;(TODAY()-(Data_Val!$M$3*365.25)),Data!#REF!&lt;=(TODAY()-(Data_Val!$M$2*365.25))),0,1),1))</f>
        <v>#REF!</v>
      </c>
      <c r="BH854" s="29" t="e">
        <f>IF(Data!#REF!="","",IF(Data!$G854="",1,IF(ISNUMBER(MATCH(Data!#REF!,Data_Val!$D$2:$D$10,0)),0,1)))</f>
        <v>#REF!</v>
      </c>
      <c r="BI854" s="13"/>
      <c r="BJ854" s="21" t="e">
        <f ca="1">IF(Data!#REF!="","",IF(ISNUMBER(Data!#REF!),IF(AND(Data!#REF!&gt;(TODAY()-(Data_Val!$M$3*365.25)),Data!#REF!&lt;=(TODAY()-(Data_Val!$M$2*365.25))),0,1),1))</f>
        <v>#REF!</v>
      </c>
      <c r="BK854" s="13" t="e">
        <f>IF(Data!#REF!="","",IF(Data!$G854="",1,IF(ISNUMBER(MATCH(Data!#REF!,Data_Val!$D$2:$D$10,0)),0,1)))</f>
        <v>#REF!</v>
      </c>
    </row>
    <row r="855" spans="1:63" x14ac:dyDescent="0.25">
      <c r="A855" s="9" t="str">
        <f>IF(Data!B855="","",IF(COUNTIFS(Data!A$1:'Data'!A855,Data!A855)&lt;=1,0,1))</f>
        <v/>
      </c>
      <c r="B855" s="9"/>
      <c r="C855" s="23" t="str">
        <f>IF(Data!C855="","",(IF(ISNUMBER(MATCH("*@*.?*",Data!C855,0)),0,1)+IF(COUNTIFS(Data!C$1:'Data'!C855,Data!C855)&gt;1,1,0)))</f>
        <v/>
      </c>
      <c r="D855" s="9" t="str">
        <f>IF(Data!B855="","",IF(ISNUMBER(Data!D855),IF(AND(Data!D855&gt;999999999,Data!D855&lt;=9999999999),IF(COUNTIFS(Data!D$1:'Data'!D855,Data!D855)&lt;=1,0,1),1),1))</f>
        <v/>
      </c>
      <c r="E855" s="9" t="str">
        <f>IF(Data!B855="","",IF(ISNUMBER(MATCH(Data!E855,Data_Val!$A$2:$A$3,0)),0,1))</f>
        <v/>
      </c>
      <c r="F855" s="9" t="str">
        <f ca="1">IF(Data!B855="","",IF(ISNUMBER(Data!F855),IF(AND(Data!F855&gt;(TODAY()-(Data_Val!$H$3*365.25)),Data!F855&lt;=(TODAY()-(Data_Val!$H$2*365.25))),0,1),1))</f>
        <v/>
      </c>
      <c r="G855" s="15" t="str">
        <f>IF(Data!B855="","",IF(AND(Data!G855="",Data!H855&lt;&gt;""),1,IF(Data!#REF!&lt;&gt;"",0,IF(ISNUMBER(MATCH(Data!G855,Data_Val!$C$2:$C$5,0)),0,1))))</f>
        <v/>
      </c>
      <c r="H855" s="15" t="str">
        <f>IF(Data!B855="","",IF(AND(Data!G855&lt;&gt;"",Data!H855=""),1,IF(Data!#REF!&lt;&gt;"",0,IF(Data!G855="",1,IF(ISNUMBER(MATCH(Data!H855,Data_Val!$D$2:$D$35,0)),0,1)))))</f>
        <v/>
      </c>
      <c r="I855" s="15" t="str">
        <f>IF(Data!B855="","",IF(Data!G855&lt;&gt;"",0,IF(ISNUMBER(MATCH(Data!#REF!,Data_Val!$E$2:$E$12,0)),0,1)))</f>
        <v/>
      </c>
      <c r="J855" s="16" t="e">
        <f>IF(OR(Data!B855="",Data!#REF!=""),"",IF(Data!#REF!="",1,0))</f>
        <v>#REF!</v>
      </c>
      <c r="K855" s="16" t="e">
        <f>IF(OR(Data!B855="",Data!#REF!=""),"",IF(Data!#REF!="",1,0))</f>
        <v>#REF!</v>
      </c>
      <c r="L855" s="16" t="e">
        <f>IF(OR(Data!B855="",Data!#REF!=""),"",IF(ISNUMBER(Data!#REF!),IF(AND(Data!#REF!&gt;Data_Val!$G$2,Data!#REF!&lt;=Data_Val!$G$3),0,1),1))</f>
        <v>#REF!</v>
      </c>
      <c r="M855" s="9" t="e">
        <f>IF(OR(Data!B855="",Data!#REF!=""),"",IF(ISNUMBER(MATCH(Data!#REF!,Data_Val!$F$1:$F$38,0)),0,1))</f>
        <v>#REF!</v>
      </c>
      <c r="N855" s="9" t="e">
        <f>IF(OR(Data!B855="",Data!#REF!=""),"",IF(Data!#REF!="",1,0))</f>
        <v>#REF!</v>
      </c>
      <c r="O855" s="17" t="e">
        <f>IF(Data!#REF!="","",IF(Data!#REF!="",1,0))</f>
        <v>#REF!</v>
      </c>
      <c r="P855" s="17" t="e">
        <f>IF(Data!#REF!="","",IF(ISNUMBER(MATCH(Data!#REF!,Data_Val!$A$2:$A$3,0)),0,1))</f>
        <v>#REF!</v>
      </c>
      <c r="Q855" s="25" t="e">
        <f ca="1">IF(Data!#REF!="","",IF(ISNUMBER(Data!#REF!),IF(AND(Data!#REF!&gt;(TODAY()-(Data_Val!$J$3*365.25)),Data!#REF!&lt;=(TODAY()-(Data_Val!$J$2*365.25))),0,1),1))</f>
        <v>#REF!</v>
      </c>
      <c r="R855" s="17" t="e">
        <f>IF(Data!#REF!="","",IF(ISNUMBER(MATCH(Data!#REF!,Data_Val!$B$2:$B$15,0)),0,1))</f>
        <v>#REF!</v>
      </c>
      <c r="S855" s="11" t="str">
        <f>IF(Data!G855="","",IF(Data!G855=Data_Val!$C$2,IF(Data!M855="",0,1),0))</f>
        <v/>
      </c>
      <c r="T855" s="11" t="str">
        <f>IF(Data!M855="","",IF(ISNUMBER(MATCH(Data!N855,Data_Val!$A$2:$A$3,0)),0,1))</f>
        <v/>
      </c>
      <c r="U855" s="11" t="str">
        <f ca="1">IF(Data!M855="","",IF(ISNUMBER(Data!O855),IF(AND(Data!O855&gt;(TODAY()-(Data_Val!$K$3*365.25)),Data!O855&lt;=(TODAY()-(Data_Val!$K$2*365.25))),0,1),1))</f>
        <v/>
      </c>
      <c r="V855" s="12" t="str">
        <f>IF(Data!G855="","",IF(Data!G855=Data_Val!$C$2,IF(Data!P855="",0,1),0))</f>
        <v/>
      </c>
      <c r="W855" s="12" t="str">
        <f>IF(Data!P855="","",IF(ISNUMBER(MATCH(Data!Q855,Data_Val!$A$2:$A$3,0)),0,1))</f>
        <v/>
      </c>
      <c r="X855" s="26" t="str">
        <f ca="1">IF(Data!P855="","",IF(ISNUMBER(Data!R855),IF(AND(Data!R855&gt;(TODAY()-(Data_Val!$L$3*365.25)),Data!R855&lt;=(TODAY()-(Data_Val!$L$2*365.25))),0,1),1))</f>
        <v/>
      </c>
      <c r="Y855" s="13" t="str">
        <f>IF(Data!$G855="","",IF(Data!$G855=Data_Val!$C$2,IF(Data!S855="",0,1),0))</f>
        <v/>
      </c>
      <c r="Z855" s="13" t="str">
        <f>IF(Data!S855="","",IF(ISNUMBER(MATCH(Data!T855,Data_Val!$A$2:$A$3,0)),0,1))</f>
        <v/>
      </c>
      <c r="AA855" s="28" t="str">
        <f ca="1">IF(Data!S855="","",IF(ISNUMBER(Data!U855),IF(AND(Data!U855&gt;(TODAY()-(Data_Val!$L$3*365.25)),Data!U855&lt;=(TODAY()-(Data_Val!$L$2*365.25))),0,1),1))</f>
        <v/>
      </c>
      <c r="AB855" s="11"/>
      <c r="AC855" s="11" t="e">
        <f>IF(Data!#REF!="","",IF(ISNUMBER(MATCH(Data!#REF!,Data_Val!$A$2:$A$3,0)),0,1))</f>
        <v>#REF!</v>
      </c>
      <c r="AD855" s="11" t="e">
        <f ca="1">IF(Data!#REF!="","",IF(ISNUMBER(Data!#REF!),IF(AND(Data!#REF!&gt;(TODAY()-(Data_Val!$L$3*365.25)),Data!#REF!&lt;=(TODAY()-(Data_Val!$L$2*365.25))),0,1),1))</f>
        <v>#REF!</v>
      </c>
      <c r="AE855" s="11" t="e">
        <f>IF(Data!#REF!="","",IF(Data!$G855="",1,IF(ISNUMBER(MATCH(Data!#REF!,Data_Val!$D$2:$D$10,0)),0,1)))</f>
        <v>#REF!</v>
      </c>
      <c r="AF855" s="12"/>
      <c r="AG855" s="12" t="e">
        <f>IF(Data!#REF!="","",IF(ISNUMBER(MATCH(Data!#REF!,Data_Val!$A$2:$A$3,0)),0,1))</f>
        <v>#REF!</v>
      </c>
      <c r="AH855" s="26" t="e">
        <f ca="1">IF(Data!#REF!="","",IF(ISNUMBER(Data!#REF!),IF(AND(Data!#REF!&gt;(TODAY()-(Data_Val!$L$3*365.25)),Data!#REF!&lt;=(TODAY()-(Data_Val!$L$2*365.25))),0,1),1))</f>
        <v>#REF!</v>
      </c>
      <c r="AI855" s="12" t="e">
        <f>IF(Data!#REF!="","",IF(Data!$G855="",1,IF(ISNUMBER(MATCH(Data!#REF!,Data_Val!$D$2:$D$10,0)),0,1)))</f>
        <v>#REF!</v>
      </c>
      <c r="AJ855" s="17"/>
      <c r="AK855" s="17" t="e">
        <f>IF(Data!#REF!="","",IF(ISNUMBER(MATCH(Data!#REF!,Data_Val!$A$2:$A$3,0)),0,1))</f>
        <v>#REF!</v>
      </c>
      <c r="AL855" s="25" t="e">
        <f ca="1">IF(Data!#REF!="","",IF(ISNUMBER(Data!#REF!),IF(AND(Data!#REF!&gt;(TODAY()-(Data_Val!$L$3*365.25)),Data!#REF!&lt;=(TODAY()-(Data_Val!$L$2*365.25))),0,1),1))</f>
        <v>#REF!</v>
      </c>
      <c r="AM855" s="17" t="e">
        <f>IF(Data!#REF!="","",IF(Data!$G855="",1,IF(ISNUMBER(MATCH(Data!#REF!,Data_Val!$D$2:$D$10,0)),0,1)))</f>
        <v>#REF!</v>
      </c>
      <c r="AN855" s="13"/>
      <c r="AO855" s="28" t="e">
        <f ca="1">IF(Data!#REF!="","",IF(ISNUMBER(Data!#REF!),IF(AND(Data!#REF!&gt;(TODAY()-(Data_Val!$I$3*365.25)),Data!#REF!&lt;=(TODAY()-(Data_Val!$I$2*365.25))),0,1),1))</f>
        <v>#REF!</v>
      </c>
      <c r="AP855" s="13" t="e">
        <f>IF(Data!#REF!="","",IF(Data!$G855="",1,IF(ISNUMBER(MATCH(Data!#REF!,Data_Val!$D$2:$D$10,0)),0,1)))</f>
        <v>#REF!</v>
      </c>
      <c r="AQ855" s="17"/>
      <c r="AR855" s="30" t="e">
        <f ca="1">IF(Data!#REF!="","",IF(ISNUMBER(Data!#REF!),IF(AND(Data!#REF!&gt;(TODAY()-(Data_Val!$I$3*365.25)),Data!#REF!&lt;=(TODAY()-(Data_Val!$I$2*365.25))),0,1),1))</f>
        <v>#REF!</v>
      </c>
      <c r="AS855" s="31" t="e">
        <f>IF(Data!#REF!="","",IF(Data!$G855="",1,IF(ISNUMBER(MATCH(Data!#REF!,Data_Val!$D$2:$D$10,0)),0,1)))</f>
        <v>#REF!</v>
      </c>
      <c r="AT855" s="11"/>
      <c r="AU855" s="11" t="e">
        <f ca="1">IF(Data!#REF!="","",IF(ISNUMBER(Data!#REF!),IF(AND(Data!#REF!&gt;(TODAY()-(Data_Val!$I$3*365.25)),Data!#REF!&lt;=(TODAY()-(Data_Val!$I$2*365.25))),0,1),1))</f>
        <v>#REF!</v>
      </c>
      <c r="AV855" s="11" t="e">
        <f>IF(Data!#REF!="","",IF(Data!$G855="",1,IF(ISNUMBER(MATCH(Data!#REF!,Data_Val!$D$2:$D$10,0)),0,1)))</f>
        <v>#REF!</v>
      </c>
      <c r="AW855" s="12"/>
      <c r="AX855" s="26" t="e">
        <f ca="1">IF(Data!#REF!="","",IF(ISNUMBER(Data!#REF!),IF(AND(Data!#REF!&gt;(TODAY()-(Data_Val!$I$3*365.25)),Data!#REF!&lt;=(TODAY()-(Data_Val!$I$2*365.25))),0,1),1))</f>
        <v>#REF!</v>
      </c>
      <c r="AY855" s="12" t="e">
        <f>IF(Data!#REF!="","",IF(Data!$G855="",1,IF(ISNUMBER(MATCH(Data!#REF!,Data_Val!$D$2:$D$10,0)),0,1)))</f>
        <v>#REF!</v>
      </c>
      <c r="AZ855" s="11"/>
      <c r="BA855" s="19" t="e">
        <f ca="1">IF(Data!#REF!="","",IF(ISNUMBER(Data!#REF!),IF(AND(Data!#REF!&gt;(TODAY()-(Data_Val!$M$3*365.25)),Data!#REF!&lt;=(TODAY()-(Data_Val!$M$2*365.25))),0,1),1))</f>
        <v>#REF!</v>
      </c>
      <c r="BB855" s="11" t="e">
        <f>IF(Data!#REF!="","",IF(Data!$G855="",1,IF(ISNUMBER(MATCH(Data!#REF!,Data_Val!$D$2:$D$10,0)),0,1)))</f>
        <v>#REF!</v>
      </c>
      <c r="BC855" s="12"/>
      <c r="BD855" s="20" t="e">
        <f ca="1">IF(Data!#REF!="","",IF(ISNUMBER(Data!#REF!),IF(AND(Data!#REF!&gt;(TODAY()-(Data_Val!$M$3*365.25)),Data!#REF!&lt;=(TODAY()-(Data_Val!$M$2*365.25))),0,1),1))</f>
        <v>#REF!</v>
      </c>
      <c r="BE855" s="12" t="e">
        <f>IF(Data!#REF!="","",IF(Data!$G855="",1,IF(ISNUMBER(MATCH(Data!#REF!,Data_Val!$D$2:$D$10,0)),0,1)))</f>
        <v>#REF!</v>
      </c>
      <c r="BF855" s="17"/>
      <c r="BG855" s="18" t="e">
        <f ca="1">IF(Data!#REF!="","",IF(ISNUMBER(Data!#REF!),IF(AND(Data!#REF!&gt;(TODAY()-(Data_Val!$M$3*365.25)),Data!#REF!&lt;=(TODAY()-(Data_Val!$M$2*365.25))),0,1),1))</f>
        <v>#REF!</v>
      </c>
      <c r="BH855" s="29" t="e">
        <f>IF(Data!#REF!="","",IF(Data!$G855="",1,IF(ISNUMBER(MATCH(Data!#REF!,Data_Val!$D$2:$D$10,0)),0,1)))</f>
        <v>#REF!</v>
      </c>
      <c r="BI855" s="13"/>
      <c r="BJ855" s="21" t="e">
        <f ca="1">IF(Data!#REF!="","",IF(ISNUMBER(Data!#REF!),IF(AND(Data!#REF!&gt;(TODAY()-(Data_Val!$M$3*365.25)),Data!#REF!&lt;=(TODAY()-(Data_Val!$M$2*365.25))),0,1),1))</f>
        <v>#REF!</v>
      </c>
      <c r="BK855" s="13" t="e">
        <f>IF(Data!#REF!="","",IF(Data!$G855="",1,IF(ISNUMBER(MATCH(Data!#REF!,Data_Val!$D$2:$D$10,0)),0,1)))</f>
        <v>#REF!</v>
      </c>
    </row>
    <row r="856" spans="1:63" x14ac:dyDescent="0.25">
      <c r="A856" s="9" t="str">
        <f>IF(Data!B856="","",IF(COUNTIFS(Data!A$1:'Data'!A856,Data!A856)&lt;=1,0,1))</f>
        <v/>
      </c>
      <c r="B856" s="9"/>
      <c r="C856" s="23" t="str">
        <f>IF(Data!C856="","",(IF(ISNUMBER(MATCH("*@*.?*",Data!C856,0)),0,1)+IF(COUNTIFS(Data!C$1:'Data'!C856,Data!C856)&gt;1,1,0)))</f>
        <v/>
      </c>
      <c r="D856" s="9" t="str">
        <f>IF(Data!B856="","",IF(ISNUMBER(Data!D856),IF(AND(Data!D856&gt;999999999,Data!D856&lt;=9999999999),IF(COUNTIFS(Data!D$1:'Data'!D856,Data!D856)&lt;=1,0,1),1),1))</f>
        <v/>
      </c>
      <c r="E856" s="9" t="str">
        <f>IF(Data!B856="","",IF(ISNUMBER(MATCH(Data!E856,Data_Val!$A$2:$A$3,0)),0,1))</f>
        <v/>
      </c>
      <c r="F856" s="9" t="str">
        <f ca="1">IF(Data!B856="","",IF(ISNUMBER(Data!F856),IF(AND(Data!F856&gt;(TODAY()-(Data_Val!$H$3*365.25)),Data!F856&lt;=(TODAY()-(Data_Val!$H$2*365.25))),0,1),1))</f>
        <v/>
      </c>
      <c r="G856" s="15" t="str">
        <f>IF(Data!B856="","",IF(AND(Data!G856="",Data!H856&lt;&gt;""),1,IF(Data!#REF!&lt;&gt;"",0,IF(ISNUMBER(MATCH(Data!G856,Data_Val!$C$2:$C$5,0)),0,1))))</f>
        <v/>
      </c>
      <c r="H856" s="15" t="str">
        <f>IF(Data!B856="","",IF(AND(Data!G856&lt;&gt;"",Data!H856=""),1,IF(Data!#REF!&lt;&gt;"",0,IF(Data!G856="",1,IF(ISNUMBER(MATCH(Data!H856,Data_Val!$D$2:$D$35,0)),0,1)))))</f>
        <v/>
      </c>
      <c r="I856" s="15" t="str">
        <f>IF(Data!B856="","",IF(Data!G856&lt;&gt;"",0,IF(ISNUMBER(MATCH(Data!#REF!,Data_Val!$E$2:$E$12,0)),0,1)))</f>
        <v/>
      </c>
      <c r="J856" s="16" t="e">
        <f>IF(OR(Data!B856="",Data!#REF!=""),"",IF(Data!#REF!="",1,0))</f>
        <v>#REF!</v>
      </c>
      <c r="K856" s="16" t="e">
        <f>IF(OR(Data!B856="",Data!#REF!=""),"",IF(Data!#REF!="",1,0))</f>
        <v>#REF!</v>
      </c>
      <c r="L856" s="16" t="e">
        <f>IF(OR(Data!B856="",Data!#REF!=""),"",IF(ISNUMBER(Data!#REF!),IF(AND(Data!#REF!&gt;Data_Val!$G$2,Data!#REF!&lt;=Data_Val!$G$3),0,1),1))</f>
        <v>#REF!</v>
      </c>
      <c r="M856" s="9" t="e">
        <f>IF(OR(Data!B856="",Data!#REF!=""),"",IF(ISNUMBER(MATCH(Data!#REF!,Data_Val!$F$1:$F$38,0)),0,1))</f>
        <v>#REF!</v>
      </c>
      <c r="N856" s="9" t="e">
        <f>IF(OR(Data!B856="",Data!#REF!=""),"",IF(Data!#REF!="",1,0))</f>
        <v>#REF!</v>
      </c>
      <c r="O856" s="17" t="e">
        <f>IF(Data!#REF!="","",IF(Data!#REF!="",1,0))</f>
        <v>#REF!</v>
      </c>
      <c r="P856" s="17" t="e">
        <f>IF(Data!#REF!="","",IF(ISNUMBER(MATCH(Data!#REF!,Data_Val!$A$2:$A$3,0)),0,1))</f>
        <v>#REF!</v>
      </c>
      <c r="Q856" s="25" t="e">
        <f ca="1">IF(Data!#REF!="","",IF(ISNUMBER(Data!#REF!),IF(AND(Data!#REF!&gt;(TODAY()-(Data_Val!$J$3*365.25)),Data!#REF!&lt;=(TODAY()-(Data_Val!$J$2*365.25))),0,1),1))</f>
        <v>#REF!</v>
      </c>
      <c r="R856" s="17" t="e">
        <f>IF(Data!#REF!="","",IF(ISNUMBER(MATCH(Data!#REF!,Data_Val!$B$2:$B$15,0)),0,1))</f>
        <v>#REF!</v>
      </c>
      <c r="S856" s="11" t="str">
        <f>IF(Data!G856="","",IF(Data!G856=Data_Val!$C$2,IF(Data!M856="",0,1),0))</f>
        <v/>
      </c>
      <c r="T856" s="11" t="str">
        <f>IF(Data!M856="","",IF(ISNUMBER(MATCH(Data!N856,Data_Val!$A$2:$A$3,0)),0,1))</f>
        <v/>
      </c>
      <c r="U856" s="11" t="str">
        <f ca="1">IF(Data!M856="","",IF(ISNUMBER(Data!O856),IF(AND(Data!O856&gt;(TODAY()-(Data_Val!$K$3*365.25)),Data!O856&lt;=(TODAY()-(Data_Val!$K$2*365.25))),0,1),1))</f>
        <v/>
      </c>
      <c r="V856" s="12" t="str">
        <f>IF(Data!G856="","",IF(Data!G856=Data_Val!$C$2,IF(Data!P856="",0,1),0))</f>
        <v/>
      </c>
      <c r="W856" s="12" t="str">
        <f>IF(Data!P856="","",IF(ISNUMBER(MATCH(Data!Q856,Data_Val!$A$2:$A$3,0)),0,1))</f>
        <v/>
      </c>
      <c r="X856" s="26" t="str">
        <f ca="1">IF(Data!P856="","",IF(ISNUMBER(Data!R856),IF(AND(Data!R856&gt;(TODAY()-(Data_Val!$L$3*365.25)),Data!R856&lt;=(TODAY()-(Data_Val!$L$2*365.25))),0,1),1))</f>
        <v/>
      </c>
      <c r="Y856" s="13" t="str">
        <f>IF(Data!$G856="","",IF(Data!$G856=Data_Val!$C$2,IF(Data!S856="",0,1),0))</f>
        <v/>
      </c>
      <c r="Z856" s="13" t="str">
        <f>IF(Data!S856="","",IF(ISNUMBER(MATCH(Data!T856,Data_Val!$A$2:$A$3,0)),0,1))</f>
        <v/>
      </c>
      <c r="AA856" s="28" t="str">
        <f ca="1">IF(Data!S856="","",IF(ISNUMBER(Data!U856),IF(AND(Data!U856&gt;(TODAY()-(Data_Val!$L$3*365.25)),Data!U856&lt;=(TODAY()-(Data_Val!$L$2*365.25))),0,1),1))</f>
        <v/>
      </c>
      <c r="AB856" s="11"/>
      <c r="AC856" s="11" t="e">
        <f>IF(Data!#REF!="","",IF(ISNUMBER(MATCH(Data!#REF!,Data_Val!$A$2:$A$3,0)),0,1))</f>
        <v>#REF!</v>
      </c>
      <c r="AD856" s="11" t="e">
        <f ca="1">IF(Data!#REF!="","",IF(ISNUMBER(Data!#REF!),IF(AND(Data!#REF!&gt;(TODAY()-(Data_Val!$L$3*365.25)),Data!#REF!&lt;=(TODAY()-(Data_Val!$L$2*365.25))),0,1),1))</f>
        <v>#REF!</v>
      </c>
      <c r="AE856" s="11" t="e">
        <f>IF(Data!#REF!="","",IF(Data!$G856="",1,IF(ISNUMBER(MATCH(Data!#REF!,Data_Val!$D$2:$D$10,0)),0,1)))</f>
        <v>#REF!</v>
      </c>
      <c r="AF856" s="12"/>
      <c r="AG856" s="12" t="e">
        <f>IF(Data!#REF!="","",IF(ISNUMBER(MATCH(Data!#REF!,Data_Val!$A$2:$A$3,0)),0,1))</f>
        <v>#REF!</v>
      </c>
      <c r="AH856" s="26" t="e">
        <f ca="1">IF(Data!#REF!="","",IF(ISNUMBER(Data!#REF!),IF(AND(Data!#REF!&gt;(TODAY()-(Data_Val!$L$3*365.25)),Data!#REF!&lt;=(TODAY()-(Data_Val!$L$2*365.25))),0,1),1))</f>
        <v>#REF!</v>
      </c>
      <c r="AI856" s="12" t="e">
        <f>IF(Data!#REF!="","",IF(Data!$G856="",1,IF(ISNUMBER(MATCH(Data!#REF!,Data_Val!$D$2:$D$10,0)),0,1)))</f>
        <v>#REF!</v>
      </c>
      <c r="AJ856" s="17"/>
      <c r="AK856" s="17" t="e">
        <f>IF(Data!#REF!="","",IF(ISNUMBER(MATCH(Data!#REF!,Data_Val!$A$2:$A$3,0)),0,1))</f>
        <v>#REF!</v>
      </c>
      <c r="AL856" s="25" t="e">
        <f ca="1">IF(Data!#REF!="","",IF(ISNUMBER(Data!#REF!),IF(AND(Data!#REF!&gt;(TODAY()-(Data_Val!$L$3*365.25)),Data!#REF!&lt;=(TODAY()-(Data_Val!$L$2*365.25))),0,1),1))</f>
        <v>#REF!</v>
      </c>
      <c r="AM856" s="17" t="e">
        <f>IF(Data!#REF!="","",IF(Data!$G856="",1,IF(ISNUMBER(MATCH(Data!#REF!,Data_Val!$D$2:$D$10,0)),0,1)))</f>
        <v>#REF!</v>
      </c>
      <c r="AN856" s="13"/>
      <c r="AO856" s="28" t="e">
        <f ca="1">IF(Data!#REF!="","",IF(ISNUMBER(Data!#REF!),IF(AND(Data!#REF!&gt;(TODAY()-(Data_Val!$I$3*365.25)),Data!#REF!&lt;=(TODAY()-(Data_Val!$I$2*365.25))),0,1),1))</f>
        <v>#REF!</v>
      </c>
      <c r="AP856" s="13" t="e">
        <f>IF(Data!#REF!="","",IF(Data!$G856="",1,IF(ISNUMBER(MATCH(Data!#REF!,Data_Val!$D$2:$D$10,0)),0,1)))</f>
        <v>#REF!</v>
      </c>
      <c r="AQ856" s="17"/>
      <c r="AR856" s="30" t="e">
        <f ca="1">IF(Data!#REF!="","",IF(ISNUMBER(Data!#REF!),IF(AND(Data!#REF!&gt;(TODAY()-(Data_Val!$I$3*365.25)),Data!#REF!&lt;=(TODAY()-(Data_Val!$I$2*365.25))),0,1),1))</f>
        <v>#REF!</v>
      </c>
      <c r="AS856" s="31" t="e">
        <f>IF(Data!#REF!="","",IF(Data!$G856="",1,IF(ISNUMBER(MATCH(Data!#REF!,Data_Val!$D$2:$D$10,0)),0,1)))</f>
        <v>#REF!</v>
      </c>
      <c r="AT856" s="11"/>
      <c r="AU856" s="11" t="e">
        <f ca="1">IF(Data!#REF!="","",IF(ISNUMBER(Data!#REF!),IF(AND(Data!#REF!&gt;(TODAY()-(Data_Val!$I$3*365.25)),Data!#REF!&lt;=(TODAY()-(Data_Val!$I$2*365.25))),0,1),1))</f>
        <v>#REF!</v>
      </c>
      <c r="AV856" s="11" t="e">
        <f>IF(Data!#REF!="","",IF(Data!$G856="",1,IF(ISNUMBER(MATCH(Data!#REF!,Data_Val!$D$2:$D$10,0)),0,1)))</f>
        <v>#REF!</v>
      </c>
      <c r="AW856" s="12"/>
      <c r="AX856" s="26" t="e">
        <f ca="1">IF(Data!#REF!="","",IF(ISNUMBER(Data!#REF!),IF(AND(Data!#REF!&gt;(TODAY()-(Data_Val!$I$3*365.25)),Data!#REF!&lt;=(TODAY()-(Data_Val!$I$2*365.25))),0,1),1))</f>
        <v>#REF!</v>
      </c>
      <c r="AY856" s="12" t="e">
        <f>IF(Data!#REF!="","",IF(Data!$G856="",1,IF(ISNUMBER(MATCH(Data!#REF!,Data_Val!$D$2:$D$10,0)),0,1)))</f>
        <v>#REF!</v>
      </c>
      <c r="AZ856" s="11"/>
      <c r="BA856" s="19" t="e">
        <f ca="1">IF(Data!#REF!="","",IF(ISNUMBER(Data!#REF!),IF(AND(Data!#REF!&gt;(TODAY()-(Data_Val!$M$3*365.25)),Data!#REF!&lt;=(TODAY()-(Data_Val!$M$2*365.25))),0,1),1))</f>
        <v>#REF!</v>
      </c>
      <c r="BB856" s="11" t="e">
        <f>IF(Data!#REF!="","",IF(Data!$G856="",1,IF(ISNUMBER(MATCH(Data!#REF!,Data_Val!$D$2:$D$10,0)),0,1)))</f>
        <v>#REF!</v>
      </c>
      <c r="BC856" s="12"/>
      <c r="BD856" s="20" t="e">
        <f ca="1">IF(Data!#REF!="","",IF(ISNUMBER(Data!#REF!),IF(AND(Data!#REF!&gt;(TODAY()-(Data_Val!$M$3*365.25)),Data!#REF!&lt;=(TODAY()-(Data_Val!$M$2*365.25))),0,1),1))</f>
        <v>#REF!</v>
      </c>
      <c r="BE856" s="12" t="e">
        <f>IF(Data!#REF!="","",IF(Data!$G856="",1,IF(ISNUMBER(MATCH(Data!#REF!,Data_Val!$D$2:$D$10,0)),0,1)))</f>
        <v>#REF!</v>
      </c>
      <c r="BF856" s="17"/>
      <c r="BG856" s="18" t="e">
        <f ca="1">IF(Data!#REF!="","",IF(ISNUMBER(Data!#REF!),IF(AND(Data!#REF!&gt;(TODAY()-(Data_Val!$M$3*365.25)),Data!#REF!&lt;=(TODAY()-(Data_Val!$M$2*365.25))),0,1),1))</f>
        <v>#REF!</v>
      </c>
      <c r="BH856" s="29" t="e">
        <f>IF(Data!#REF!="","",IF(Data!$G856="",1,IF(ISNUMBER(MATCH(Data!#REF!,Data_Val!$D$2:$D$10,0)),0,1)))</f>
        <v>#REF!</v>
      </c>
      <c r="BI856" s="13"/>
      <c r="BJ856" s="21" t="e">
        <f ca="1">IF(Data!#REF!="","",IF(ISNUMBER(Data!#REF!),IF(AND(Data!#REF!&gt;(TODAY()-(Data_Val!$M$3*365.25)),Data!#REF!&lt;=(TODAY()-(Data_Val!$M$2*365.25))),0,1),1))</f>
        <v>#REF!</v>
      </c>
      <c r="BK856" s="13" t="e">
        <f>IF(Data!#REF!="","",IF(Data!$G856="",1,IF(ISNUMBER(MATCH(Data!#REF!,Data_Val!$D$2:$D$10,0)),0,1)))</f>
        <v>#REF!</v>
      </c>
    </row>
    <row r="857" spans="1:63" x14ac:dyDescent="0.25">
      <c r="A857" s="9" t="str">
        <f>IF(Data!B857="","",IF(COUNTIFS(Data!A$1:'Data'!A857,Data!A857)&lt;=1,0,1))</f>
        <v/>
      </c>
      <c r="B857" s="9"/>
      <c r="C857" s="23" t="str">
        <f>IF(Data!C857="","",(IF(ISNUMBER(MATCH("*@*.?*",Data!C857,0)),0,1)+IF(COUNTIFS(Data!C$1:'Data'!C857,Data!C857)&gt;1,1,0)))</f>
        <v/>
      </c>
      <c r="D857" s="9" t="str">
        <f>IF(Data!B857="","",IF(ISNUMBER(Data!D857),IF(AND(Data!D857&gt;999999999,Data!D857&lt;=9999999999),IF(COUNTIFS(Data!D$1:'Data'!D857,Data!D857)&lt;=1,0,1),1),1))</f>
        <v/>
      </c>
      <c r="E857" s="9" t="str">
        <f>IF(Data!B857="","",IF(ISNUMBER(MATCH(Data!E857,Data_Val!$A$2:$A$3,0)),0,1))</f>
        <v/>
      </c>
      <c r="F857" s="9" t="str">
        <f ca="1">IF(Data!B857="","",IF(ISNUMBER(Data!F857),IF(AND(Data!F857&gt;(TODAY()-(Data_Val!$H$3*365.25)),Data!F857&lt;=(TODAY()-(Data_Val!$H$2*365.25))),0,1),1))</f>
        <v/>
      </c>
      <c r="G857" s="15" t="str">
        <f>IF(Data!B857="","",IF(AND(Data!G857="",Data!H857&lt;&gt;""),1,IF(Data!#REF!&lt;&gt;"",0,IF(ISNUMBER(MATCH(Data!G857,Data_Val!$C$2:$C$5,0)),0,1))))</f>
        <v/>
      </c>
      <c r="H857" s="15" t="str">
        <f>IF(Data!B857="","",IF(AND(Data!G857&lt;&gt;"",Data!H857=""),1,IF(Data!#REF!&lt;&gt;"",0,IF(Data!G857="",1,IF(ISNUMBER(MATCH(Data!H857,Data_Val!$D$2:$D$35,0)),0,1)))))</f>
        <v/>
      </c>
      <c r="I857" s="15" t="str">
        <f>IF(Data!B857="","",IF(Data!G857&lt;&gt;"",0,IF(ISNUMBER(MATCH(Data!#REF!,Data_Val!$E$2:$E$12,0)),0,1)))</f>
        <v/>
      </c>
      <c r="J857" s="16" t="e">
        <f>IF(OR(Data!B857="",Data!#REF!=""),"",IF(Data!#REF!="",1,0))</f>
        <v>#REF!</v>
      </c>
      <c r="K857" s="16" t="e">
        <f>IF(OR(Data!B857="",Data!#REF!=""),"",IF(Data!#REF!="",1,0))</f>
        <v>#REF!</v>
      </c>
      <c r="L857" s="16" t="e">
        <f>IF(OR(Data!B857="",Data!#REF!=""),"",IF(ISNUMBER(Data!#REF!),IF(AND(Data!#REF!&gt;Data_Val!$G$2,Data!#REF!&lt;=Data_Val!$G$3),0,1),1))</f>
        <v>#REF!</v>
      </c>
      <c r="M857" s="9" t="e">
        <f>IF(OR(Data!B857="",Data!#REF!=""),"",IF(ISNUMBER(MATCH(Data!#REF!,Data_Val!$F$1:$F$38,0)),0,1))</f>
        <v>#REF!</v>
      </c>
      <c r="N857" s="9" t="e">
        <f>IF(OR(Data!B857="",Data!#REF!=""),"",IF(Data!#REF!="",1,0))</f>
        <v>#REF!</v>
      </c>
      <c r="O857" s="17" t="e">
        <f>IF(Data!#REF!="","",IF(Data!#REF!="",1,0))</f>
        <v>#REF!</v>
      </c>
      <c r="P857" s="17" t="e">
        <f>IF(Data!#REF!="","",IF(ISNUMBER(MATCH(Data!#REF!,Data_Val!$A$2:$A$3,0)),0,1))</f>
        <v>#REF!</v>
      </c>
      <c r="Q857" s="25" t="e">
        <f ca="1">IF(Data!#REF!="","",IF(ISNUMBER(Data!#REF!),IF(AND(Data!#REF!&gt;(TODAY()-(Data_Val!$J$3*365.25)),Data!#REF!&lt;=(TODAY()-(Data_Val!$J$2*365.25))),0,1),1))</f>
        <v>#REF!</v>
      </c>
      <c r="R857" s="17" t="e">
        <f>IF(Data!#REF!="","",IF(ISNUMBER(MATCH(Data!#REF!,Data_Val!$B$2:$B$15,0)),0,1))</f>
        <v>#REF!</v>
      </c>
      <c r="S857" s="11" t="str">
        <f>IF(Data!G857="","",IF(Data!G857=Data_Val!$C$2,IF(Data!M857="",0,1),0))</f>
        <v/>
      </c>
      <c r="T857" s="11" t="str">
        <f>IF(Data!M857="","",IF(ISNUMBER(MATCH(Data!N857,Data_Val!$A$2:$A$3,0)),0,1))</f>
        <v/>
      </c>
      <c r="U857" s="11" t="str">
        <f ca="1">IF(Data!M857="","",IF(ISNUMBER(Data!O857),IF(AND(Data!O857&gt;(TODAY()-(Data_Val!$K$3*365.25)),Data!O857&lt;=(TODAY()-(Data_Val!$K$2*365.25))),0,1),1))</f>
        <v/>
      </c>
      <c r="V857" s="12" t="str">
        <f>IF(Data!G857="","",IF(Data!G857=Data_Val!$C$2,IF(Data!P857="",0,1),0))</f>
        <v/>
      </c>
      <c r="W857" s="12" t="str">
        <f>IF(Data!P857="","",IF(ISNUMBER(MATCH(Data!Q857,Data_Val!$A$2:$A$3,0)),0,1))</f>
        <v/>
      </c>
      <c r="X857" s="26" t="str">
        <f ca="1">IF(Data!P857="","",IF(ISNUMBER(Data!R857),IF(AND(Data!R857&gt;(TODAY()-(Data_Val!$L$3*365.25)),Data!R857&lt;=(TODAY()-(Data_Val!$L$2*365.25))),0,1),1))</f>
        <v/>
      </c>
      <c r="Y857" s="13" t="str">
        <f>IF(Data!$G857="","",IF(Data!$G857=Data_Val!$C$2,IF(Data!S857="",0,1),0))</f>
        <v/>
      </c>
      <c r="Z857" s="13" t="str">
        <f>IF(Data!S857="","",IF(ISNUMBER(MATCH(Data!T857,Data_Val!$A$2:$A$3,0)),0,1))</f>
        <v/>
      </c>
      <c r="AA857" s="28" t="str">
        <f ca="1">IF(Data!S857="","",IF(ISNUMBER(Data!U857),IF(AND(Data!U857&gt;(TODAY()-(Data_Val!$L$3*365.25)),Data!U857&lt;=(TODAY()-(Data_Val!$L$2*365.25))),0,1),1))</f>
        <v/>
      </c>
      <c r="AB857" s="11"/>
      <c r="AC857" s="11" t="e">
        <f>IF(Data!#REF!="","",IF(ISNUMBER(MATCH(Data!#REF!,Data_Val!$A$2:$A$3,0)),0,1))</f>
        <v>#REF!</v>
      </c>
      <c r="AD857" s="11" t="e">
        <f ca="1">IF(Data!#REF!="","",IF(ISNUMBER(Data!#REF!),IF(AND(Data!#REF!&gt;(TODAY()-(Data_Val!$L$3*365.25)),Data!#REF!&lt;=(TODAY()-(Data_Val!$L$2*365.25))),0,1),1))</f>
        <v>#REF!</v>
      </c>
      <c r="AE857" s="11" t="e">
        <f>IF(Data!#REF!="","",IF(Data!$G857="",1,IF(ISNUMBER(MATCH(Data!#REF!,Data_Val!$D$2:$D$10,0)),0,1)))</f>
        <v>#REF!</v>
      </c>
      <c r="AF857" s="12"/>
      <c r="AG857" s="12" t="e">
        <f>IF(Data!#REF!="","",IF(ISNUMBER(MATCH(Data!#REF!,Data_Val!$A$2:$A$3,0)),0,1))</f>
        <v>#REF!</v>
      </c>
      <c r="AH857" s="26" t="e">
        <f ca="1">IF(Data!#REF!="","",IF(ISNUMBER(Data!#REF!),IF(AND(Data!#REF!&gt;(TODAY()-(Data_Val!$L$3*365.25)),Data!#REF!&lt;=(TODAY()-(Data_Val!$L$2*365.25))),0,1),1))</f>
        <v>#REF!</v>
      </c>
      <c r="AI857" s="12" t="e">
        <f>IF(Data!#REF!="","",IF(Data!$G857="",1,IF(ISNUMBER(MATCH(Data!#REF!,Data_Val!$D$2:$D$10,0)),0,1)))</f>
        <v>#REF!</v>
      </c>
      <c r="AJ857" s="17"/>
      <c r="AK857" s="17" t="e">
        <f>IF(Data!#REF!="","",IF(ISNUMBER(MATCH(Data!#REF!,Data_Val!$A$2:$A$3,0)),0,1))</f>
        <v>#REF!</v>
      </c>
      <c r="AL857" s="25" t="e">
        <f ca="1">IF(Data!#REF!="","",IF(ISNUMBER(Data!#REF!),IF(AND(Data!#REF!&gt;(TODAY()-(Data_Val!$L$3*365.25)),Data!#REF!&lt;=(TODAY()-(Data_Val!$L$2*365.25))),0,1),1))</f>
        <v>#REF!</v>
      </c>
      <c r="AM857" s="17" t="e">
        <f>IF(Data!#REF!="","",IF(Data!$G857="",1,IF(ISNUMBER(MATCH(Data!#REF!,Data_Val!$D$2:$D$10,0)),0,1)))</f>
        <v>#REF!</v>
      </c>
      <c r="AN857" s="13"/>
      <c r="AO857" s="28" t="e">
        <f ca="1">IF(Data!#REF!="","",IF(ISNUMBER(Data!#REF!),IF(AND(Data!#REF!&gt;(TODAY()-(Data_Val!$I$3*365.25)),Data!#REF!&lt;=(TODAY()-(Data_Val!$I$2*365.25))),0,1),1))</f>
        <v>#REF!</v>
      </c>
      <c r="AP857" s="13" t="e">
        <f>IF(Data!#REF!="","",IF(Data!$G857="",1,IF(ISNUMBER(MATCH(Data!#REF!,Data_Val!$D$2:$D$10,0)),0,1)))</f>
        <v>#REF!</v>
      </c>
      <c r="AQ857" s="17"/>
      <c r="AR857" s="30" t="e">
        <f ca="1">IF(Data!#REF!="","",IF(ISNUMBER(Data!#REF!),IF(AND(Data!#REF!&gt;(TODAY()-(Data_Val!$I$3*365.25)),Data!#REF!&lt;=(TODAY()-(Data_Val!$I$2*365.25))),0,1),1))</f>
        <v>#REF!</v>
      </c>
      <c r="AS857" s="31" t="e">
        <f>IF(Data!#REF!="","",IF(Data!$G857="",1,IF(ISNUMBER(MATCH(Data!#REF!,Data_Val!$D$2:$D$10,0)),0,1)))</f>
        <v>#REF!</v>
      </c>
      <c r="AT857" s="11"/>
      <c r="AU857" s="11" t="e">
        <f ca="1">IF(Data!#REF!="","",IF(ISNUMBER(Data!#REF!),IF(AND(Data!#REF!&gt;(TODAY()-(Data_Val!$I$3*365.25)),Data!#REF!&lt;=(TODAY()-(Data_Val!$I$2*365.25))),0,1),1))</f>
        <v>#REF!</v>
      </c>
      <c r="AV857" s="11" t="e">
        <f>IF(Data!#REF!="","",IF(Data!$G857="",1,IF(ISNUMBER(MATCH(Data!#REF!,Data_Val!$D$2:$D$10,0)),0,1)))</f>
        <v>#REF!</v>
      </c>
      <c r="AW857" s="12"/>
      <c r="AX857" s="26" t="e">
        <f ca="1">IF(Data!#REF!="","",IF(ISNUMBER(Data!#REF!),IF(AND(Data!#REF!&gt;(TODAY()-(Data_Val!$I$3*365.25)),Data!#REF!&lt;=(TODAY()-(Data_Val!$I$2*365.25))),0,1),1))</f>
        <v>#REF!</v>
      </c>
      <c r="AY857" s="12" t="e">
        <f>IF(Data!#REF!="","",IF(Data!$G857="",1,IF(ISNUMBER(MATCH(Data!#REF!,Data_Val!$D$2:$D$10,0)),0,1)))</f>
        <v>#REF!</v>
      </c>
      <c r="AZ857" s="11"/>
      <c r="BA857" s="19" t="e">
        <f ca="1">IF(Data!#REF!="","",IF(ISNUMBER(Data!#REF!),IF(AND(Data!#REF!&gt;(TODAY()-(Data_Val!$M$3*365.25)),Data!#REF!&lt;=(TODAY()-(Data_Val!$M$2*365.25))),0,1),1))</f>
        <v>#REF!</v>
      </c>
      <c r="BB857" s="11" t="e">
        <f>IF(Data!#REF!="","",IF(Data!$G857="",1,IF(ISNUMBER(MATCH(Data!#REF!,Data_Val!$D$2:$D$10,0)),0,1)))</f>
        <v>#REF!</v>
      </c>
      <c r="BC857" s="12"/>
      <c r="BD857" s="20" t="e">
        <f ca="1">IF(Data!#REF!="","",IF(ISNUMBER(Data!#REF!),IF(AND(Data!#REF!&gt;(TODAY()-(Data_Val!$M$3*365.25)),Data!#REF!&lt;=(TODAY()-(Data_Val!$M$2*365.25))),0,1),1))</f>
        <v>#REF!</v>
      </c>
      <c r="BE857" s="12" t="e">
        <f>IF(Data!#REF!="","",IF(Data!$G857="",1,IF(ISNUMBER(MATCH(Data!#REF!,Data_Val!$D$2:$D$10,0)),0,1)))</f>
        <v>#REF!</v>
      </c>
      <c r="BF857" s="17"/>
      <c r="BG857" s="18" t="e">
        <f ca="1">IF(Data!#REF!="","",IF(ISNUMBER(Data!#REF!),IF(AND(Data!#REF!&gt;(TODAY()-(Data_Val!$M$3*365.25)),Data!#REF!&lt;=(TODAY()-(Data_Val!$M$2*365.25))),0,1),1))</f>
        <v>#REF!</v>
      </c>
      <c r="BH857" s="29" t="e">
        <f>IF(Data!#REF!="","",IF(Data!$G857="",1,IF(ISNUMBER(MATCH(Data!#REF!,Data_Val!$D$2:$D$10,0)),0,1)))</f>
        <v>#REF!</v>
      </c>
      <c r="BI857" s="13"/>
      <c r="BJ857" s="21" t="e">
        <f ca="1">IF(Data!#REF!="","",IF(ISNUMBER(Data!#REF!),IF(AND(Data!#REF!&gt;(TODAY()-(Data_Val!$M$3*365.25)),Data!#REF!&lt;=(TODAY()-(Data_Val!$M$2*365.25))),0,1),1))</f>
        <v>#REF!</v>
      </c>
      <c r="BK857" s="13" t="e">
        <f>IF(Data!#REF!="","",IF(Data!$G857="",1,IF(ISNUMBER(MATCH(Data!#REF!,Data_Val!$D$2:$D$10,0)),0,1)))</f>
        <v>#REF!</v>
      </c>
    </row>
    <row r="858" spans="1:63" x14ac:dyDescent="0.25">
      <c r="A858" s="9" t="str">
        <f>IF(Data!B858="","",IF(COUNTIFS(Data!A$1:'Data'!A858,Data!A858)&lt;=1,0,1))</f>
        <v/>
      </c>
      <c r="B858" s="9"/>
      <c r="C858" s="23" t="str">
        <f>IF(Data!C858="","",(IF(ISNUMBER(MATCH("*@*.?*",Data!C858,0)),0,1)+IF(COUNTIFS(Data!C$1:'Data'!C858,Data!C858)&gt;1,1,0)))</f>
        <v/>
      </c>
      <c r="D858" s="9" t="str">
        <f>IF(Data!B858="","",IF(ISNUMBER(Data!D858),IF(AND(Data!D858&gt;999999999,Data!D858&lt;=9999999999),IF(COUNTIFS(Data!D$1:'Data'!D858,Data!D858)&lt;=1,0,1),1),1))</f>
        <v/>
      </c>
      <c r="E858" s="9" t="str">
        <f>IF(Data!B858="","",IF(ISNUMBER(MATCH(Data!E858,Data_Val!$A$2:$A$3,0)),0,1))</f>
        <v/>
      </c>
      <c r="F858" s="9" t="str">
        <f ca="1">IF(Data!B858="","",IF(ISNUMBER(Data!F858),IF(AND(Data!F858&gt;(TODAY()-(Data_Val!$H$3*365.25)),Data!F858&lt;=(TODAY()-(Data_Val!$H$2*365.25))),0,1),1))</f>
        <v/>
      </c>
      <c r="G858" s="15" t="str">
        <f>IF(Data!B858="","",IF(AND(Data!G858="",Data!H858&lt;&gt;""),1,IF(Data!#REF!&lt;&gt;"",0,IF(ISNUMBER(MATCH(Data!G858,Data_Val!$C$2:$C$5,0)),0,1))))</f>
        <v/>
      </c>
      <c r="H858" s="15" t="str">
        <f>IF(Data!B858="","",IF(AND(Data!G858&lt;&gt;"",Data!H858=""),1,IF(Data!#REF!&lt;&gt;"",0,IF(Data!G858="",1,IF(ISNUMBER(MATCH(Data!H858,Data_Val!$D$2:$D$35,0)),0,1)))))</f>
        <v/>
      </c>
      <c r="I858" s="15" t="str">
        <f>IF(Data!B858="","",IF(Data!G858&lt;&gt;"",0,IF(ISNUMBER(MATCH(Data!#REF!,Data_Val!$E$2:$E$12,0)),0,1)))</f>
        <v/>
      </c>
      <c r="J858" s="16" t="e">
        <f>IF(OR(Data!B858="",Data!#REF!=""),"",IF(Data!#REF!="",1,0))</f>
        <v>#REF!</v>
      </c>
      <c r="K858" s="16" t="e">
        <f>IF(OR(Data!B858="",Data!#REF!=""),"",IF(Data!#REF!="",1,0))</f>
        <v>#REF!</v>
      </c>
      <c r="L858" s="16" t="e">
        <f>IF(OR(Data!B858="",Data!#REF!=""),"",IF(ISNUMBER(Data!#REF!),IF(AND(Data!#REF!&gt;Data_Val!$G$2,Data!#REF!&lt;=Data_Val!$G$3),0,1),1))</f>
        <v>#REF!</v>
      </c>
      <c r="M858" s="9" t="e">
        <f>IF(OR(Data!B858="",Data!#REF!=""),"",IF(ISNUMBER(MATCH(Data!#REF!,Data_Val!$F$1:$F$38,0)),0,1))</f>
        <v>#REF!</v>
      </c>
      <c r="N858" s="9" t="e">
        <f>IF(OR(Data!B858="",Data!#REF!=""),"",IF(Data!#REF!="",1,0))</f>
        <v>#REF!</v>
      </c>
      <c r="O858" s="17" t="e">
        <f>IF(Data!#REF!="","",IF(Data!#REF!="",1,0))</f>
        <v>#REF!</v>
      </c>
      <c r="P858" s="17" t="e">
        <f>IF(Data!#REF!="","",IF(ISNUMBER(MATCH(Data!#REF!,Data_Val!$A$2:$A$3,0)),0,1))</f>
        <v>#REF!</v>
      </c>
      <c r="Q858" s="25" t="e">
        <f ca="1">IF(Data!#REF!="","",IF(ISNUMBER(Data!#REF!),IF(AND(Data!#REF!&gt;(TODAY()-(Data_Val!$J$3*365.25)),Data!#REF!&lt;=(TODAY()-(Data_Val!$J$2*365.25))),0,1),1))</f>
        <v>#REF!</v>
      </c>
      <c r="R858" s="17" t="e">
        <f>IF(Data!#REF!="","",IF(ISNUMBER(MATCH(Data!#REF!,Data_Val!$B$2:$B$15,0)),0,1))</f>
        <v>#REF!</v>
      </c>
      <c r="S858" s="11" t="str">
        <f>IF(Data!G858="","",IF(Data!G858=Data_Val!$C$2,IF(Data!M858="",0,1),0))</f>
        <v/>
      </c>
      <c r="T858" s="11" t="str">
        <f>IF(Data!M858="","",IF(ISNUMBER(MATCH(Data!N858,Data_Val!$A$2:$A$3,0)),0,1))</f>
        <v/>
      </c>
      <c r="U858" s="11" t="str">
        <f ca="1">IF(Data!M858="","",IF(ISNUMBER(Data!O858),IF(AND(Data!O858&gt;(TODAY()-(Data_Val!$K$3*365.25)),Data!O858&lt;=(TODAY()-(Data_Val!$K$2*365.25))),0,1),1))</f>
        <v/>
      </c>
      <c r="V858" s="12" t="str">
        <f>IF(Data!G858="","",IF(Data!G858=Data_Val!$C$2,IF(Data!P858="",0,1),0))</f>
        <v/>
      </c>
      <c r="W858" s="12" t="str">
        <f>IF(Data!P858="","",IF(ISNUMBER(MATCH(Data!Q858,Data_Val!$A$2:$A$3,0)),0,1))</f>
        <v/>
      </c>
      <c r="X858" s="26" t="str">
        <f ca="1">IF(Data!P858="","",IF(ISNUMBER(Data!R858),IF(AND(Data!R858&gt;(TODAY()-(Data_Val!$L$3*365.25)),Data!R858&lt;=(TODAY()-(Data_Val!$L$2*365.25))),0,1),1))</f>
        <v/>
      </c>
      <c r="Y858" s="13" t="str">
        <f>IF(Data!$G858="","",IF(Data!$G858=Data_Val!$C$2,IF(Data!S858="",0,1),0))</f>
        <v/>
      </c>
      <c r="Z858" s="13" t="str">
        <f>IF(Data!S858="","",IF(ISNUMBER(MATCH(Data!T858,Data_Val!$A$2:$A$3,0)),0,1))</f>
        <v/>
      </c>
      <c r="AA858" s="28" t="str">
        <f ca="1">IF(Data!S858="","",IF(ISNUMBER(Data!U858),IF(AND(Data!U858&gt;(TODAY()-(Data_Val!$L$3*365.25)),Data!U858&lt;=(TODAY()-(Data_Val!$L$2*365.25))),0,1),1))</f>
        <v/>
      </c>
      <c r="AB858" s="11"/>
      <c r="AC858" s="11" t="e">
        <f>IF(Data!#REF!="","",IF(ISNUMBER(MATCH(Data!#REF!,Data_Val!$A$2:$A$3,0)),0,1))</f>
        <v>#REF!</v>
      </c>
      <c r="AD858" s="11" t="e">
        <f ca="1">IF(Data!#REF!="","",IF(ISNUMBER(Data!#REF!),IF(AND(Data!#REF!&gt;(TODAY()-(Data_Val!$L$3*365.25)),Data!#REF!&lt;=(TODAY()-(Data_Val!$L$2*365.25))),0,1),1))</f>
        <v>#REF!</v>
      </c>
      <c r="AE858" s="11" t="e">
        <f>IF(Data!#REF!="","",IF(Data!$G858="",1,IF(ISNUMBER(MATCH(Data!#REF!,Data_Val!$D$2:$D$10,0)),0,1)))</f>
        <v>#REF!</v>
      </c>
      <c r="AF858" s="12"/>
      <c r="AG858" s="12" t="e">
        <f>IF(Data!#REF!="","",IF(ISNUMBER(MATCH(Data!#REF!,Data_Val!$A$2:$A$3,0)),0,1))</f>
        <v>#REF!</v>
      </c>
      <c r="AH858" s="26" t="e">
        <f ca="1">IF(Data!#REF!="","",IF(ISNUMBER(Data!#REF!),IF(AND(Data!#REF!&gt;(TODAY()-(Data_Val!$L$3*365.25)),Data!#REF!&lt;=(TODAY()-(Data_Val!$L$2*365.25))),0,1),1))</f>
        <v>#REF!</v>
      </c>
      <c r="AI858" s="12" t="e">
        <f>IF(Data!#REF!="","",IF(Data!$G858="",1,IF(ISNUMBER(MATCH(Data!#REF!,Data_Val!$D$2:$D$10,0)),0,1)))</f>
        <v>#REF!</v>
      </c>
      <c r="AJ858" s="17"/>
      <c r="AK858" s="17" t="e">
        <f>IF(Data!#REF!="","",IF(ISNUMBER(MATCH(Data!#REF!,Data_Val!$A$2:$A$3,0)),0,1))</f>
        <v>#REF!</v>
      </c>
      <c r="AL858" s="25" t="e">
        <f ca="1">IF(Data!#REF!="","",IF(ISNUMBER(Data!#REF!),IF(AND(Data!#REF!&gt;(TODAY()-(Data_Val!$L$3*365.25)),Data!#REF!&lt;=(TODAY()-(Data_Val!$L$2*365.25))),0,1),1))</f>
        <v>#REF!</v>
      </c>
      <c r="AM858" s="17" t="e">
        <f>IF(Data!#REF!="","",IF(Data!$G858="",1,IF(ISNUMBER(MATCH(Data!#REF!,Data_Val!$D$2:$D$10,0)),0,1)))</f>
        <v>#REF!</v>
      </c>
      <c r="AN858" s="13"/>
      <c r="AO858" s="28" t="e">
        <f ca="1">IF(Data!#REF!="","",IF(ISNUMBER(Data!#REF!),IF(AND(Data!#REF!&gt;(TODAY()-(Data_Val!$I$3*365.25)),Data!#REF!&lt;=(TODAY()-(Data_Val!$I$2*365.25))),0,1),1))</f>
        <v>#REF!</v>
      </c>
      <c r="AP858" s="13" t="e">
        <f>IF(Data!#REF!="","",IF(Data!$G858="",1,IF(ISNUMBER(MATCH(Data!#REF!,Data_Val!$D$2:$D$10,0)),0,1)))</f>
        <v>#REF!</v>
      </c>
      <c r="AQ858" s="17"/>
      <c r="AR858" s="30" t="e">
        <f ca="1">IF(Data!#REF!="","",IF(ISNUMBER(Data!#REF!),IF(AND(Data!#REF!&gt;(TODAY()-(Data_Val!$I$3*365.25)),Data!#REF!&lt;=(TODAY()-(Data_Val!$I$2*365.25))),0,1),1))</f>
        <v>#REF!</v>
      </c>
      <c r="AS858" s="31" t="e">
        <f>IF(Data!#REF!="","",IF(Data!$G858="",1,IF(ISNUMBER(MATCH(Data!#REF!,Data_Val!$D$2:$D$10,0)),0,1)))</f>
        <v>#REF!</v>
      </c>
      <c r="AT858" s="11"/>
      <c r="AU858" s="11" t="e">
        <f ca="1">IF(Data!#REF!="","",IF(ISNUMBER(Data!#REF!),IF(AND(Data!#REF!&gt;(TODAY()-(Data_Val!$I$3*365.25)),Data!#REF!&lt;=(TODAY()-(Data_Val!$I$2*365.25))),0,1),1))</f>
        <v>#REF!</v>
      </c>
      <c r="AV858" s="11" t="e">
        <f>IF(Data!#REF!="","",IF(Data!$G858="",1,IF(ISNUMBER(MATCH(Data!#REF!,Data_Val!$D$2:$D$10,0)),0,1)))</f>
        <v>#REF!</v>
      </c>
      <c r="AW858" s="12"/>
      <c r="AX858" s="26" t="e">
        <f ca="1">IF(Data!#REF!="","",IF(ISNUMBER(Data!#REF!),IF(AND(Data!#REF!&gt;(TODAY()-(Data_Val!$I$3*365.25)),Data!#REF!&lt;=(TODAY()-(Data_Val!$I$2*365.25))),0,1),1))</f>
        <v>#REF!</v>
      </c>
      <c r="AY858" s="12" t="e">
        <f>IF(Data!#REF!="","",IF(Data!$G858="",1,IF(ISNUMBER(MATCH(Data!#REF!,Data_Val!$D$2:$D$10,0)),0,1)))</f>
        <v>#REF!</v>
      </c>
      <c r="AZ858" s="11"/>
      <c r="BA858" s="19" t="e">
        <f ca="1">IF(Data!#REF!="","",IF(ISNUMBER(Data!#REF!),IF(AND(Data!#REF!&gt;(TODAY()-(Data_Val!$M$3*365.25)),Data!#REF!&lt;=(TODAY()-(Data_Val!$M$2*365.25))),0,1),1))</f>
        <v>#REF!</v>
      </c>
      <c r="BB858" s="11" t="e">
        <f>IF(Data!#REF!="","",IF(Data!$G858="",1,IF(ISNUMBER(MATCH(Data!#REF!,Data_Val!$D$2:$D$10,0)),0,1)))</f>
        <v>#REF!</v>
      </c>
      <c r="BC858" s="12"/>
      <c r="BD858" s="20" t="e">
        <f ca="1">IF(Data!#REF!="","",IF(ISNUMBER(Data!#REF!),IF(AND(Data!#REF!&gt;(TODAY()-(Data_Val!$M$3*365.25)),Data!#REF!&lt;=(TODAY()-(Data_Val!$M$2*365.25))),0,1),1))</f>
        <v>#REF!</v>
      </c>
      <c r="BE858" s="12" t="e">
        <f>IF(Data!#REF!="","",IF(Data!$G858="",1,IF(ISNUMBER(MATCH(Data!#REF!,Data_Val!$D$2:$D$10,0)),0,1)))</f>
        <v>#REF!</v>
      </c>
      <c r="BF858" s="17"/>
      <c r="BG858" s="18" t="e">
        <f ca="1">IF(Data!#REF!="","",IF(ISNUMBER(Data!#REF!),IF(AND(Data!#REF!&gt;(TODAY()-(Data_Val!$M$3*365.25)),Data!#REF!&lt;=(TODAY()-(Data_Val!$M$2*365.25))),0,1),1))</f>
        <v>#REF!</v>
      </c>
      <c r="BH858" s="29" t="e">
        <f>IF(Data!#REF!="","",IF(Data!$G858="",1,IF(ISNUMBER(MATCH(Data!#REF!,Data_Val!$D$2:$D$10,0)),0,1)))</f>
        <v>#REF!</v>
      </c>
      <c r="BI858" s="13"/>
      <c r="BJ858" s="21" t="e">
        <f ca="1">IF(Data!#REF!="","",IF(ISNUMBER(Data!#REF!),IF(AND(Data!#REF!&gt;(TODAY()-(Data_Val!$M$3*365.25)),Data!#REF!&lt;=(TODAY()-(Data_Val!$M$2*365.25))),0,1),1))</f>
        <v>#REF!</v>
      </c>
      <c r="BK858" s="13" t="e">
        <f>IF(Data!#REF!="","",IF(Data!$G858="",1,IF(ISNUMBER(MATCH(Data!#REF!,Data_Val!$D$2:$D$10,0)),0,1)))</f>
        <v>#REF!</v>
      </c>
    </row>
    <row r="859" spans="1:63" x14ac:dyDescent="0.25">
      <c r="A859" s="9" t="str">
        <f>IF(Data!B859="","",IF(COUNTIFS(Data!A$1:'Data'!A859,Data!A859)&lt;=1,0,1))</f>
        <v/>
      </c>
      <c r="B859" s="9"/>
      <c r="C859" s="23" t="str">
        <f>IF(Data!C859="","",(IF(ISNUMBER(MATCH("*@*.?*",Data!C859,0)),0,1)+IF(COUNTIFS(Data!C$1:'Data'!C859,Data!C859)&gt;1,1,0)))</f>
        <v/>
      </c>
      <c r="D859" s="9" t="str">
        <f>IF(Data!B859="","",IF(ISNUMBER(Data!D859),IF(AND(Data!D859&gt;999999999,Data!D859&lt;=9999999999),IF(COUNTIFS(Data!D$1:'Data'!D859,Data!D859)&lt;=1,0,1),1),1))</f>
        <v/>
      </c>
      <c r="E859" s="9" t="str">
        <f>IF(Data!B859="","",IF(ISNUMBER(MATCH(Data!E859,Data_Val!$A$2:$A$3,0)),0,1))</f>
        <v/>
      </c>
      <c r="F859" s="9" t="str">
        <f ca="1">IF(Data!B859="","",IF(ISNUMBER(Data!F859),IF(AND(Data!F859&gt;(TODAY()-(Data_Val!$H$3*365.25)),Data!F859&lt;=(TODAY()-(Data_Val!$H$2*365.25))),0,1),1))</f>
        <v/>
      </c>
      <c r="G859" s="15" t="str">
        <f>IF(Data!B859="","",IF(AND(Data!G859="",Data!H859&lt;&gt;""),1,IF(Data!#REF!&lt;&gt;"",0,IF(ISNUMBER(MATCH(Data!G859,Data_Val!$C$2:$C$5,0)),0,1))))</f>
        <v/>
      </c>
      <c r="H859" s="15" t="str">
        <f>IF(Data!B859="","",IF(AND(Data!G859&lt;&gt;"",Data!H859=""),1,IF(Data!#REF!&lt;&gt;"",0,IF(Data!G859="",1,IF(ISNUMBER(MATCH(Data!H859,Data_Val!$D$2:$D$35,0)),0,1)))))</f>
        <v/>
      </c>
      <c r="I859" s="15" t="str">
        <f>IF(Data!B859="","",IF(Data!G859&lt;&gt;"",0,IF(ISNUMBER(MATCH(Data!#REF!,Data_Val!$E$2:$E$12,0)),0,1)))</f>
        <v/>
      </c>
      <c r="J859" s="16" t="e">
        <f>IF(OR(Data!B859="",Data!#REF!=""),"",IF(Data!#REF!="",1,0))</f>
        <v>#REF!</v>
      </c>
      <c r="K859" s="16" t="e">
        <f>IF(OR(Data!B859="",Data!#REF!=""),"",IF(Data!#REF!="",1,0))</f>
        <v>#REF!</v>
      </c>
      <c r="L859" s="16" t="e">
        <f>IF(OR(Data!B859="",Data!#REF!=""),"",IF(ISNUMBER(Data!#REF!),IF(AND(Data!#REF!&gt;Data_Val!$G$2,Data!#REF!&lt;=Data_Val!$G$3),0,1),1))</f>
        <v>#REF!</v>
      </c>
      <c r="M859" s="9" t="e">
        <f>IF(OR(Data!B859="",Data!#REF!=""),"",IF(ISNUMBER(MATCH(Data!#REF!,Data_Val!$F$1:$F$38,0)),0,1))</f>
        <v>#REF!</v>
      </c>
      <c r="N859" s="9" t="e">
        <f>IF(OR(Data!B859="",Data!#REF!=""),"",IF(Data!#REF!="",1,0))</f>
        <v>#REF!</v>
      </c>
      <c r="O859" s="17" t="e">
        <f>IF(Data!#REF!="","",IF(Data!#REF!="",1,0))</f>
        <v>#REF!</v>
      </c>
      <c r="P859" s="17" t="e">
        <f>IF(Data!#REF!="","",IF(ISNUMBER(MATCH(Data!#REF!,Data_Val!$A$2:$A$3,0)),0,1))</f>
        <v>#REF!</v>
      </c>
      <c r="Q859" s="25" t="e">
        <f ca="1">IF(Data!#REF!="","",IF(ISNUMBER(Data!#REF!),IF(AND(Data!#REF!&gt;(TODAY()-(Data_Val!$J$3*365.25)),Data!#REF!&lt;=(TODAY()-(Data_Val!$J$2*365.25))),0,1),1))</f>
        <v>#REF!</v>
      </c>
      <c r="R859" s="17" t="e">
        <f>IF(Data!#REF!="","",IF(ISNUMBER(MATCH(Data!#REF!,Data_Val!$B$2:$B$15,0)),0,1))</f>
        <v>#REF!</v>
      </c>
      <c r="S859" s="11" t="str">
        <f>IF(Data!G859="","",IF(Data!G859=Data_Val!$C$2,IF(Data!M859="",0,1),0))</f>
        <v/>
      </c>
      <c r="T859" s="11" t="str">
        <f>IF(Data!M859="","",IF(ISNUMBER(MATCH(Data!N859,Data_Val!$A$2:$A$3,0)),0,1))</f>
        <v/>
      </c>
      <c r="U859" s="11" t="str">
        <f ca="1">IF(Data!M859="","",IF(ISNUMBER(Data!O859),IF(AND(Data!O859&gt;(TODAY()-(Data_Val!$K$3*365.25)),Data!O859&lt;=(TODAY()-(Data_Val!$K$2*365.25))),0,1),1))</f>
        <v/>
      </c>
      <c r="V859" s="12" t="str">
        <f>IF(Data!G859="","",IF(Data!G859=Data_Val!$C$2,IF(Data!P859="",0,1),0))</f>
        <v/>
      </c>
      <c r="W859" s="12" t="str">
        <f>IF(Data!P859="","",IF(ISNUMBER(MATCH(Data!Q859,Data_Val!$A$2:$A$3,0)),0,1))</f>
        <v/>
      </c>
      <c r="X859" s="26" t="str">
        <f ca="1">IF(Data!P859="","",IF(ISNUMBER(Data!R859),IF(AND(Data!R859&gt;(TODAY()-(Data_Val!$L$3*365.25)),Data!R859&lt;=(TODAY()-(Data_Val!$L$2*365.25))),0,1),1))</f>
        <v/>
      </c>
      <c r="Y859" s="13" t="str">
        <f>IF(Data!$G859="","",IF(Data!$G859=Data_Val!$C$2,IF(Data!S859="",0,1),0))</f>
        <v/>
      </c>
      <c r="Z859" s="13" t="str">
        <f>IF(Data!S859="","",IF(ISNUMBER(MATCH(Data!T859,Data_Val!$A$2:$A$3,0)),0,1))</f>
        <v/>
      </c>
      <c r="AA859" s="28" t="str">
        <f ca="1">IF(Data!S859="","",IF(ISNUMBER(Data!U859),IF(AND(Data!U859&gt;(TODAY()-(Data_Val!$L$3*365.25)),Data!U859&lt;=(TODAY()-(Data_Val!$L$2*365.25))),0,1),1))</f>
        <v/>
      </c>
      <c r="AB859" s="11"/>
      <c r="AC859" s="11" t="e">
        <f>IF(Data!#REF!="","",IF(ISNUMBER(MATCH(Data!#REF!,Data_Val!$A$2:$A$3,0)),0,1))</f>
        <v>#REF!</v>
      </c>
      <c r="AD859" s="11" t="e">
        <f ca="1">IF(Data!#REF!="","",IF(ISNUMBER(Data!#REF!),IF(AND(Data!#REF!&gt;(TODAY()-(Data_Val!$L$3*365.25)),Data!#REF!&lt;=(TODAY()-(Data_Val!$L$2*365.25))),0,1),1))</f>
        <v>#REF!</v>
      </c>
      <c r="AE859" s="11" t="e">
        <f>IF(Data!#REF!="","",IF(Data!$G859="",1,IF(ISNUMBER(MATCH(Data!#REF!,Data_Val!$D$2:$D$10,0)),0,1)))</f>
        <v>#REF!</v>
      </c>
      <c r="AF859" s="12"/>
      <c r="AG859" s="12" t="e">
        <f>IF(Data!#REF!="","",IF(ISNUMBER(MATCH(Data!#REF!,Data_Val!$A$2:$A$3,0)),0,1))</f>
        <v>#REF!</v>
      </c>
      <c r="AH859" s="26" t="e">
        <f ca="1">IF(Data!#REF!="","",IF(ISNUMBER(Data!#REF!),IF(AND(Data!#REF!&gt;(TODAY()-(Data_Val!$L$3*365.25)),Data!#REF!&lt;=(TODAY()-(Data_Val!$L$2*365.25))),0,1),1))</f>
        <v>#REF!</v>
      </c>
      <c r="AI859" s="12" t="e">
        <f>IF(Data!#REF!="","",IF(Data!$G859="",1,IF(ISNUMBER(MATCH(Data!#REF!,Data_Val!$D$2:$D$10,0)),0,1)))</f>
        <v>#REF!</v>
      </c>
      <c r="AJ859" s="17"/>
      <c r="AK859" s="17" t="e">
        <f>IF(Data!#REF!="","",IF(ISNUMBER(MATCH(Data!#REF!,Data_Val!$A$2:$A$3,0)),0,1))</f>
        <v>#REF!</v>
      </c>
      <c r="AL859" s="25" t="e">
        <f ca="1">IF(Data!#REF!="","",IF(ISNUMBER(Data!#REF!),IF(AND(Data!#REF!&gt;(TODAY()-(Data_Val!$L$3*365.25)),Data!#REF!&lt;=(TODAY()-(Data_Val!$L$2*365.25))),0,1),1))</f>
        <v>#REF!</v>
      </c>
      <c r="AM859" s="17" t="e">
        <f>IF(Data!#REF!="","",IF(Data!$G859="",1,IF(ISNUMBER(MATCH(Data!#REF!,Data_Val!$D$2:$D$10,0)),0,1)))</f>
        <v>#REF!</v>
      </c>
      <c r="AN859" s="13"/>
      <c r="AO859" s="28" t="e">
        <f ca="1">IF(Data!#REF!="","",IF(ISNUMBER(Data!#REF!),IF(AND(Data!#REF!&gt;(TODAY()-(Data_Val!$I$3*365.25)),Data!#REF!&lt;=(TODAY()-(Data_Val!$I$2*365.25))),0,1),1))</f>
        <v>#REF!</v>
      </c>
      <c r="AP859" s="13" t="e">
        <f>IF(Data!#REF!="","",IF(Data!$G859="",1,IF(ISNUMBER(MATCH(Data!#REF!,Data_Val!$D$2:$D$10,0)),0,1)))</f>
        <v>#REF!</v>
      </c>
      <c r="AQ859" s="17"/>
      <c r="AR859" s="30" t="e">
        <f ca="1">IF(Data!#REF!="","",IF(ISNUMBER(Data!#REF!),IF(AND(Data!#REF!&gt;(TODAY()-(Data_Val!$I$3*365.25)),Data!#REF!&lt;=(TODAY()-(Data_Val!$I$2*365.25))),0,1),1))</f>
        <v>#REF!</v>
      </c>
      <c r="AS859" s="31" t="e">
        <f>IF(Data!#REF!="","",IF(Data!$G859="",1,IF(ISNUMBER(MATCH(Data!#REF!,Data_Val!$D$2:$D$10,0)),0,1)))</f>
        <v>#REF!</v>
      </c>
      <c r="AT859" s="11"/>
      <c r="AU859" s="11" t="e">
        <f ca="1">IF(Data!#REF!="","",IF(ISNUMBER(Data!#REF!),IF(AND(Data!#REF!&gt;(TODAY()-(Data_Val!$I$3*365.25)),Data!#REF!&lt;=(TODAY()-(Data_Val!$I$2*365.25))),0,1),1))</f>
        <v>#REF!</v>
      </c>
      <c r="AV859" s="11" t="e">
        <f>IF(Data!#REF!="","",IF(Data!$G859="",1,IF(ISNUMBER(MATCH(Data!#REF!,Data_Val!$D$2:$D$10,0)),0,1)))</f>
        <v>#REF!</v>
      </c>
      <c r="AW859" s="12"/>
      <c r="AX859" s="26" t="e">
        <f ca="1">IF(Data!#REF!="","",IF(ISNUMBER(Data!#REF!),IF(AND(Data!#REF!&gt;(TODAY()-(Data_Val!$I$3*365.25)),Data!#REF!&lt;=(TODAY()-(Data_Val!$I$2*365.25))),0,1),1))</f>
        <v>#REF!</v>
      </c>
      <c r="AY859" s="12" t="e">
        <f>IF(Data!#REF!="","",IF(Data!$G859="",1,IF(ISNUMBER(MATCH(Data!#REF!,Data_Val!$D$2:$D$10,0)),0,1)))</f>
        <v>#REF!</v>
      </c>
      <c r="AZ859" s="11"/>
      <c r="BA859" s="19" t="e">
        <f ca="1">IF(Data!#REF!="","",IF(ISNUMBER(Data!#REF!),IF(AND(Data!#REF!&gt;(TODAY()-(Data_Val!$M$3*365.25)),Data!#REF!&lt;=(TODAY()-(Data_Val!$M$2*365.25))),0,1),1))</f>
        <v>#REF!</v>
      </c>
      <c r="BB859" s="11" t="e">
        <f>IF(Data!#REF!="","",IF(Data!$G859="",1,IF(ISNUMBER(MATCH(Data!#REF!,Data_Val!$D$2:$D$10,0)),0,1)))</f>
        <v>#REF!</v>
      </c>
      <c r="BC859" s="12"/>
      <c r="BD859" s="20" t="e">
        <f ca="1">IF(Data!#REF!="","",IF(ISNUMBER(Data!#REF!),IF(AND(Data!#REF!&gt;(TODAY()-(Data_Val!$M$3*365.25)),Data!#REF!&lt;=(TODAY()-(Data_Val!$M$2*365.25))),0,1),1))</f>
        <v>#REF!</v>
      </c>
      <c r="BE859" s="12" t="e">
        <f>IF(Data!#REF!="","",IF(Data!$G859="",1,IF(ISNUMBER(MATCH(Data!#REF!,Data_Val!$D$2:$D$10,0)),0,1)))</f>
        <v>#REF!</v>
      </c>
      <c r="BF859" s="17"/>
      <c r="BG859" s="18" t="e">
        <f ca="1">IF(Data!#REF!="","",IF(ISNUMBER(Data!#REF!),IF(AND(Data!#REF!&gt;(TODAY()-(Data_Val!$M$3*365.25)),Data!#REF!&lt;=(TODAY()-(Data_Val!$M$2*365.25))),0,1),1))</f>
        <v>#REF!</v>
      </c>
      <c r="BH859" s="29" t="e">
        <f>IF(Data!#REF!="","",IF(Data!$G859="",1,IF(ISNUMBER(MATCH(Data!#REF!,Data_Val!$D$2:$D$10,0)),0,1)))</f>
        <v>#REF!</v>
      </c>
      <c r="BI859" s="13"/>
      <c r="BJ859" s="21" t="e">
        <f ca="1">IF(Data!#REF!="","",IF(ISNUMBER(Data!#REF!),IF(AND(Data!#REF!&gt;(TODAY()-(Data_Val!$M$3*365.25)),Data!#REF!&lt;=(TODAY()-(Data_Val!$M$2*365.25))),0,1),1))</f>
        <v>#REF!</v>
      </c>
      <c r="BK859" s="13" t="e">
        <f>IF(Data!#REF!="","",IF(Data!$G859="",1,IF(ISNUMBER(MATCH(Data!#REF!,Data_Val!$D$2:$D$10,0)),0,1)))</f>
        <v>#REF!</v>
      </c>
    </row>
    <row r="860" spans="1:63" x14ac:dyDescent="0.25">
      <c r="A860" s="9" t="str">
        <f>IF(Data!B860="","",IF(COUNTIFS(Data!A$1:'Data'!A860,Data!A860)&lt;=1,0,1))</f>
        <v/>
      </c>
      <c r="B860" s="9"/>
      <c r="C860" s="23" t="str">
        <f>IF(Data!C860="","",(IF(ISNUMBER(MATCH("*@*.?*",Data!C860,0)),0,1)+IF(COUNTIFS(Data!C$1:'Data'!C860,Data!C860)&gt;1,1,0)))</f>
        <v/>
      </c>
      <c r="D860" s="9" t="str">
        <f>IF(Data!B860="","",IF(ISNUMBER(Data!D860),IF(AND(Data!D860&gt;999999999,Data!D860&lt;=9999999999),IF(COUNTIFS(Data!D$1:'Data'!D860,Data!D860)&lt;=1,0,1),1),1))</f>
        <v/>
      </c>
      <c r="E860" s="9" t="str">
        <f>IF(Data!B860="","",IF(ISNUMBER(MATCH(Data!E860,Data_Val!$A$2:$A$3,0)),0,1))</f>
        <v/>
      </c>
      <c r="F860" s="9" t="str">
        <f ca="1">IF(Data!B860="","",IF(ISNUMBER(Data!F860),IF(AND(Data!F860&gt;(TODAY()-(Data_Val!$H$3*365.25)),Data!F860&lt;=(TODAY()-(Data_Val!$H$2*365.25))),0,1),1))</f>
        <v/>
      </c>
      <c r="G860" s="15" t="str">
        <f>IF(Data!B860="","",IF(AND(Data!G860="",Data!H860&lt;&gt;""),1,IF(Data!#REF!&lt;&gt;"",0,IF(ISNUMBER(MATCH(Data!G860,Data_Val!$C$2:$C$5,0)),0,1))))</f>
        <v/>
      </c>
      <c r="H860" s="15" t="str">
        <f>IF(Data!B860="","",IF(AND(Data!G860&lt;&gt;"",Data!H860=""),1,IF(Data!#REF!&lt;&gt;"",0,IF(Data!G860="",1,IF(ISNUMBER(MATCH(Data!H860,Data_Val!$D$2:$D$35,0)),0,1)))))</f>
        <v/>
      </c>
      <c r="I860" s="15" t="str">
        <f>IF(Data!B860="","",IF(Data!G860&lt;&gt;"",0,IF(ISNUMBER(MATCH(Data!#REF!,Data_Val!$E$2:$E$12,0)),0,1)))</f>
        <v/>
      </c>
      <c r="J860" s="16" t="e">
        <f>IF(OR(Data!B860="",Data!#REF!=""),"",IF(Data!#REF!="",1,0))</f>
        <v>#REF!</v>
      </c>
      <c r="K860" s="16" t="e">
        <f>IF(OR(Data!B860="",Data!#REF!=""),"",IF(Data!#REF!="",1,0))</f>
        <v>#REF!</v>
      </c>
      <c r="L860" s="16" t="e">
        <f>IF(OR(Data!B860="",Data!#REF!=""),"",IF(ISNUMBER(Data!#REF!),IF(AND(Data!#REF!&gt;Data_Val!$G$2,Data!#REF!&lt;=Data_Val!$G$3),0,1),1))</f>
        <v>#REF!</v>
      </c>
      <c r="M860" s="9" t="e">
        <f>IF(OR(Data!B860="",Data!#REF!=""),"",IF(ISNUMBER(MATCH(Data!#REF!,Data_Val!$F$1:$F$38,0)),0,1))</f>
        <v>#REF!</v>
      </c>
      <c r="N860" s="9" t="e">
        <f>IF(OR(Data!B860="",Data!#REF!=""),"",IF(Data!#REF!="",1,0))</f>
        <v>#REF!</v>
      </c>
      <c r="O860" s="17" t="e">
        <f>IF(Data!#REF!="","",IF(Data!#REF!="",1,0))</f>
        <v>#REF!</v>
      </c>
      <c r="P860" s="17" t="e">
        <f>IF(Data!#REF!="","",IF(ISNUMBER(MATCH(Data!#REF!,Data_Val!$A$2:$A$3,0)),0,1))</f>
        <v>#REF!</v>
      </c>
      <c r="Q860" s="25" t="e">
        <f ca="1">IF(Data!#REF!="","",IF(ISNUMBER(Data!#REF!),IF(AND(Data!#REF!&gt;(TODAY()-(Data_Val!$J$3*365.25)),Data!#REF!&lt;=(TODAY()-(Data_Val!$J$2*365.25))),0,1),1))</f>
        <v>#REF!</v>
      </c>
      <c r="R860" s="17" t="e">
        <f>IF(Data!#REF!="","",IF(ISNUMBER(MATCH(Data!#REF!,Data_Val!$B$2:$B$15,0)),0,1))</f>
        <v>#REF!</v>
      </c>
      <c r="S860" s="11" t="str">
        <f>IF(Data!G860="","",IF(Data!G860=Data_Val!$C$2,IF(Data!M860="",0,1),0))</f>
        <v/>
      </c>
      <c r="T860" s="11" t="str">
        <f>IF(Data!M860="","",IF(ISNUMBER(MATCH(Data!N860,Data_Val!$A$2:$A$3,0)),0,1))</f>
        <v/>
      </c>
      <c r="U860" s="11" t="str">
        <f ca="1">IF(Data!M860="","",IF(ISNUMBER(Data!O860),IF(AND(Data!O860&gt;(TODAY()-(Data_Val!$K$3*365.25)),Data!O860&lt;=(TODAY()-(Data_Val!$K$2*365.25))),0,1),1))</f>
        <v/>
      </c>
      <c r="V860" s="12" t="str">
        <f>IF(Data!G860="","",IF(Data!G860=Data_Val!$C$2,IF(Data!P860="",0,1),0))</f>
        <v/>
      </c>
      <c r="W860" s="12" t="str">
        <f>IF(Data!P860="","",IF(ISNUMBER(MATCH(Data!Q860,Data_Val!$A$2:$A$3,0)),0,1))</f>
        <v/>
      </c>
      <c r="X860" s="26" t="str">
        <f ca="1">IF(Data!P860="","",IF(ISNUMBER(Data!R860),IF(AND(Data!R860&gt;(TODAY()-(Data_Val!$L$3*365.25)),Data!R860&lt;=(TODAY()-(Data_Val!$L$2*365.25))),0,1),1))</f>
        <v/>
      </c>
      <c r="Y860" s="13" t="str">
        <f>IF(Data!$G860="","",IF(Data!$G860=Data_Val!$C$2,IF(Data!S860="",0,1),0))</f>
        <v/>
      </c>
      <c r="Z860" s="13" t="str">
        <f>IF(Data!S860="","",IF(ISNUMBER(MATCH(Data!T860,Data_Val!$A$2:$A$3,0)),0,1))</f>
        <v/>
      </c>
      <c r="AA860" s="28" t="str">
        <f ca="1">IF(Data!S860="","",IF(ISNUMBER(Data!U860),IF(AND(Data!U860&gt;(TODAY()-(Data_Val!$L$3*365.25)),Data!U860&lt;=(TODAY()-(Data_Val!$L$2*365.25))),0,1),1))</f>
        <v/>
      </c>
      <c r="AB860" s="11"/>
      <c r="AC860" s="11" t="e">
        <f>IF(Data!#REF!="","",IF(ISNUMBER(MATCH(Data!#REF!,Data_Val!$A$2:$A$3,0)),0,1))</f>
        <v>#REF!</v>
      </c>
      <c r="AD860" s="11" t="e">
        <f ca="1">IF(Data!#REF!="","",IF(ISNUMBER(Data!#REF!),IF(AND(Data!#REF!&gt;(TODAY()-(Data_Val!$L$3*365.25)),Data!#REF!&lt;=(TODAY()-(Data_Val!$L$2*365.25))),0,1),1))</f>
        <v>#REF!</v>
      </c>
      <c r="AE860" s="11" t="e">
        <f>IF(Data!#REF!="","",IF(Data!$G860="",1,IF(ISNUMBER(MATCH(Data!#REF!,Data_Val!$D$2:$D$10,0)),0,1)))</f>
        <v>#REF!</v>
      </c>
      <c r="AF860" s="12"/>
      <c r="AG860" s="12" t="e">
        <f>IF(Data!#REF!="","",IF(ISNUMBER(MATCH(Data!#REF!,Data_Val!$A$2:$A$3,0)),0,1))</f>
        <v>#REF!</v>
      </c>
      <c r="AH860" s="26" t="e">
        <f ca="1">IF(Data!#REF!="","",IF(ISNUMBER(Data!#REF!),IF(AND(Data!#REF!&gt;(TODAY()-(Data_Val!$L$3*365.25)),Data!#REF!&lt;=(TODAY()-(Data_Val!$L$2*365.25))),0,1),1))</f>
        <v>#REF!</v>
      </c>
      <c r="AI860" s="12" t="e">
        <f>IF(Data!#REF!="","",IF(Data!$G860="",1,IF(ISNUMBER(MATCH(Data!#REF!,Data_Val!$D$2:$D$10,0)),0,1)))</f>
        <v>#REF!</v>
      </c>
      <c r="AJ860" s="17"/>
      <c r="AK860" s="17" t="e">
        <f>IF(Data!#REF!="","",IF(ISNUMBER(MATCH(Data!#REF!,Data_Val!$A$2:$A$3,0)),0,1))</f>
        <v>#REF!</v>
      </c>
      <c r="AL860" s="25" t="e">
        <f ca="1">IF(Data!#REF!="","",IF(ISNUMBER(Data!#REF!),IF(AND(Data!#REF!&gt;(TODAY()-(Data_Val!$L$3*365.25)),Data!#REF!&lt;=(TODAY()-(Data_Val!$L$2*365.25))),0,1),1))</f>
        <v>#REF!</v>
      </c>
      <c r="AM860" s="17" t="e">
        <f>IF(Data!#REF!="","",IF(Data!$G860="",1,IF(ISNUMBER(MATCH(Data!#REF!,Data_Val!$D$2:$D$10,0)),0,1)))</f>
        <v>#REF!</v>
      </c>
      <c r="AN860" s="13"/>
      <c r="AO860" s="28" t="e">
        <f ca="1">IF(Data!#REF!="","",IF(ISNUMBER(Data!#REF!),IF(AND(Data!#REF!&gt;(TODAY()-(Data_Val!$I$3*365.25)),Data!#REF!&lt;=(TODAY()-(Data_Val!$I$2*365.25))),0,1),1))</f>
        <v>#REF!</v>
      </c>
      <c r="AP860" s="13" t="e">
        <f>IF(Data!#REF!="","",IF(Data!$G860="",1,IF(ISNUMBER(MATCH(Data!#REF!,Data_Val!$D$2:$D$10,0)),0,1)))</f>
        <v>#REF!</v>
      </c>
      <c r="AQ860" s="17"/>
      <c r="AR860" s="30" t="e">
        <f ca="1">IF(Data!#REF!="","",IF(ISNUMBER(Data!#REF!),IF(AND(Data!#REF!&gt;(TODAY()-(Data_Val!$I$3*365.25)),Data!#REF!&lt;=(TODAY()-(Data_Val!$I$2*365.25))),0,1),1))</f>
        <v>#REF!</v>
      </c>
      <c r="AS860" s="31" t="e">
        <f>IF(Data!#REF!="","",IF(Data!$G860="",1,IF(ISNUMBER(MATCH(Data!#REF!,Data_Val!$D$2:$D$10,0)),0,1)))</f>
        <v>#REF!</v>
      </c>
      <c r="AT860" s="11"/>
      <c r="AU860" s="11" t="e">
        <f ca="1">IF(Data!#REF!="","",IF(ISNUMBER(Data!#REF!),IF(AND(Data!#REF!&gt;(TODAY()-(Data_Val!$I$3*365.25)),Data!#REF!&lt;=(TODAY()-(Data_Val!$I$2*365.25))),0,1),1))</f>
        <v>#REF!</v>
      </c>
      <c r="AV860" s="11" t="e">
        <f>IF(Data!#REF!="","",IF(Data!$G860="",1,IF(ISNUMBER(MATCH(Data!#REF!,Data_Val!$D$2:$D$10,0)),0,1)))</f>
        <v>#REF!</v>
      </c>
      <c r="AW860" s="12"/>
      <c r="AX860" s="26" t="e">
        <f ca="1">IF(Data!#REF!="","",IF(ISNUMBER(Data!#REF!),IF(AND(Data!#REF!&gt;(TODAY()-(Data_Val!$I$3*365.25)),Data!#REF!&lt;=(TODAY()-(Data_Val!$I$2*365.25))),0,1),1))</f>
        <v>#REF!</v>
      </c>
      <c r="AY860" s="12" t="e">
        <f>IF(Data!#REF!="","",IF(Data!$G860="",1,IF(ISNUMBER(MATCH(Data!#REF!,Data_Val!$D$2:$D$10,0)),0,1)))</f>
        <v>#REF!</v>
      </c>
      <c r="AZ860" s="11"/>
      <c r="BA860" s="19" t="e">
        <f ca="1">IF(Data!#REF!="","",IF(ISNUMBER(Data!#REF!),IF(AND(Data!#REF!&gt;(TODAY()-(Data_Val!$M$3*365.25)),Data!#REF!&lt;=(TODAY()-(Data_Val!$M$2*365.25))),0,1),1))</f>
        <v>#REF!</v>
      </c>
      <c r="BB860" s="11" t="e">
        <f>IF(Data!#REF!="","",IF(Data!$G860="",1,IF(ISNUMBER(MATCH(Data!#REF!,Data_Val!$D$2:$D$10,0)),0,1)))</f>
        <v>#REF!</v>
      </c>
      <c r="BC860" s="12"/>
      <c r="BD860" s="20" t="e">
        <f ca="1">IF(Data!#REF!="","",IF(ISNUMBER(Data!#REF!),IF(AND(Data!#REF!&gt;(TODAY()-(Data_Val!$M$3*365.25)),Data!#REF!&lt;=(TODAY()-(Data_Val!$M$2*365.25))),0,1),1))</f>
        <v>#REF!</v>
      </c>
      <c r="BE860" s="12" t="e">
        <f>IF(Data!#REF!="","",IF(Data!$G860="",1,IF(ISNUMBER(MATCH(Data!#REF!,Data_Val!$D$2:$D$10,0)),0,1)))</f>
        <v>#REF!</v>
      </c>
      <c r="BF860" s="17"/>
      <c r="BG860" s="18" t="e">
        <f ca="1">IF(Data!#REF!="","",IF(ISNUMBER(Data!#REF!),IF(AND(Data!#REF!&gt;(TODAY()-(Data_Val!$M$3*365.25)),Data!#REF!&lt;=(TODAY()-(Data_Val!$M$2*365.25))),0,1),1))</f>
        <v>#REF!</v>
      </c>
      <c r="BH860" s="29" t="e">
        <f>IF(Data!#REF!="","",IF(Data!$G860="",1,IF(ISNUMBER(MATCH(Data!#REF!,Data_Val!$D$2:$D$10,0)),0,1)))</f>
        <v>#REF!</v>
      </c>
      <c r="BI860" s="13"/>
      <c r="BJ860" s="21" t="e">
        <f ca="1">IF(Data!#REF!="","",IF(ISNUMBER(Data!#REF!),IF(AND(Data!#REF!&gt;(TODAY()-(Data_Val!$M$3*365.25)),Data!#REF!&lt;=(TODAY()-(Data_Val!$M$2*365.25))),0,1),1))</f>
        <v>#REF!</v>
      </c>
      <c r="BK860" s="13" t="e">
        <f>IF(Data!#REF!="","",IF(Data!$G860="",1,IF(ISNUMBER(MATCH(Data!#REF!,Data_Val!$D$2:$D$10,0)),0,1)))</f>
        <v>#REF!</v>
      </c>
    </row>
    <row r="861" spans="1:63" x14ac:dyDescent="0.25">
      <c r="A861" s="9" t="str">
        <f>IF(Data!B861="","",IF(COUNTIFS(Data!A$1:'Data'!A861,Data!A861)&lt;=1,0,1))</f>
        <v/>
      </c>
      <c r="B861" s="9"/>
      <c r="C861" s="23" t="str">
        <f>IF(Data!C861="","",(IF(ISNUMBER(MATCH("*@*.?*",Data!C861,0)),0,1)+IF(COUNTIFS(Data!C$1:'Data'!C861,Data!C861)&gt;1,1,0)))</f>
        <v/>
      </c>
      <c r="D861" s="9" t="str">
        <f>IF(Data!B861="","",IF(ISNUMBER(Data!D861),IF(AND(Data!D861&gt;999999999,Data!D861&lt;=9999999999),IF(COUNTIFS(Data!D$1:'Data'!D861,Data!D861)&lt;=1,0,1),1),1))</f>
        <v/>
      </c>
      <c r="E861" s="9" t="str">
        <f>IF(Data!B861="","",IF(ISNUMBER(MATCH(Data!E861,Data_Val!$A$2:$A$3,0)),0,1))</f>
        <v/>
      </c>
      <c r="F861" s="9" t="str">
        <f ca="1">IF(Data!B861="","",IF(ISNUMBER(Data!F861),IF(AND(Data!F861&gt;(TODAY()-(Data_Val!$H$3*365.25)),Data!F861&lt;=(TODAY()-(Data_Val!$H$2*365.25))),0,1),1))</f>
        <v/>
      </c>
      <c r="G861" s="15" t="str">
        <f>IF(Data!B861="","",IF(AND(Data!G861="",Data!H861&lt;&gt;""),1,IF(Data!#REF!&lt;&gt;"",0,IF(ISNUMBER(MATCH(Data!G861,Data_Val!$C$2:$C$5,0)),0,1))))</f>
        <v/>
      </c>
      <c r="H861" s="15" t="str">
        <f>IF(Data!B861="","",IF(AND(Data!G861&lt;&gt;"",Data!H861=""),1,IF(Data!#REF!&lt;&gt;"",0,IF(Data!G861="",1,IF(ISNUMBER(MATCH(Data!H861,Data_Val!$D$2:$D$35,0)),0,1)))))</f>
        <v/>
      </c>
      <c r="I861" s="15" t="str">
        <f>IF(Data!B861="","",IF(Data!G861&lt;&gt;"",0,IF(ISNUMBER(MATCH(Data!#REF!,Data_Val!$E$2:$E$12,0)),0,1)))</f>
        <v/>
      </c>
      <c r="J861" s="16" t="e">
        <f>IF(OR(Data!B861="",Data!#REF!=""),"",IF(Data!#REF!="",1,0))</f>
        <v>#REF!</v>
      </c>
      <c r="K861" s="16" t="e">
        <f>IF(OR(Data!B861="",Data!#REF!=""),"",IF(Data!#REF!="",1,0))</f>
        <v>#REF!</v>
      </c>
      <c r="L861" s="16" t="e">
        <f>IF(OR(Data!B861="",Data!#REF!=""),"",IF(ISNUMBER(Data!#REF!),IF(AND(Data!#REF!&gt;Data_Val!$G$2,Data!#REF!&lt;=Data_Val!$G$3),0,1),1))</f>
        <v>#REF!</v>
      </c>
      <c r="M861" s="9" t="e">
        <f>IF(OR(Data!B861="",Data!#REF!=""),"",IF(ISNUMBER(MATCH(Data!#REF!,Data_Val!$F$1:$F$38,0)),0,1))</f>
        <v>#REF!</v>
      </c>
      <c r="N861" s="9" t="e">
        <f>IF(OR(Data!B861="",Data!#REF!=""),"",IF(Data!#REF!="",1,0))</f>
        <v>#REF!</v>
      </c>
      <c r="O861" s="17" t="e">
        <f>IF(Data!#REF!="","",IF(Data!#REF!="",1,0))</f>
        <v>#REF!</v>
      </c>
      <c r="P861" s="17" t="e">
        <f>IF(Data!#REF!="","",IF(ISNUMBER(MATCH(Data!#REF!,Data_Val!$A$2:$A$3,0)),0,1))</f>
        <v>#REF!</v>
      </c>
      <c r="Q861" s="25" t="e">
        <f ca="1">IF(Data!#REF!="","",IF(ISNUMBER(Data!#REF!),IF(AND(Data!#REF!&gt;(TODAY()-(Data_Val!$J$3*365.25)),Data!#REF!&lt;=(TODAY()-(Data_Val!$J$2*365.25))),0,1),1))</f>
        <v>#REF!</v>
      </c>
      <c r="R861" s="17" t="e">
        <f>IF(Data!#REF!="","",IF(ISNUMBER(MATCH(Data!#REF!,Data_Val!$B$2:$B$15,0)),0,1))</f>
        <v>#REF!</v>
      </c>
      <c r="S861" s="11" t="str">
        <f>IF(Data!G861="","",IF(Data!G861=Data_Val!$C$2,IF(Data!M861="",0,1),0))</f>
        <v/>
      </c>
      <c r="T861" s="11" t="str">
        <f>IF(Data!M861="","",IF(ISNUMBER(MATCH(Data!N861,Data_Val!$A$2:$A$3,0)),0,1))</f>
        <v/>
      </c>
      <c r="U861" s="11" t="str">
        <f ca="1">IF(Data!M861="","",IF(ISNUMBER(Data!O861),IF(AND(Data!O861&gt;(TODAY()-(Data_Val!$K$3*365.25)),Data!O861&lt;=(TODAY()-(Data_Val!$K$2*365.25))),0,1),1))</f>
        <v/>
      </c>
      <c r="V861" s="12" t="str">
        <f>IF(Data!G861="","",IF(Data!G861=Data_Val!$C$2,IF(Data!P861="",0,1),0))</f>
        <v/>
      </c>
      <c r="W861" s="12" t="str">
        <f>IF(Data!P861="","",IF(ISNUMBER(MATCH(Data!Q861,Data_Val!$A$2:$A$3,0)),0,1))</f>
        <v/>
      </c>
      <c r="X861" s="26" t="str">
        <f ca="1">IF(Data!P861="","",IF(ISNUMBER(Data!R861),IF(AND(Data!R861&gt;(TODAY()-(Data_Val!$L$3*365.25)),Data!R861&lt;=(TODAY()-(Data_Val!$L$2*365.25))),0,1),1))</f>
        <v/>
      </c>
      <c r="Y861" s="13" t="str">
        <f>IF(Data!$G861="","",IF(Data!$G861=Data_Val!$C$2,IF(Data!S861="",0,1),0))</f>
        <v/>
      </c>
      <c r="Z861" s="13" t="str">
        <f>IF(Data!S861="","",IF(ISNUMBER(MATCH(Data!T861,Data_Val!$A$2:$A$3,0)),0,1))</f>
        <v/>
      </c>
      <c r="AA861" s="28" t="str">
        <f ca="1">IF(Data!S861="","",IF(ISNUMBER(Data!U861),IF(AND(Data!U861&gt;(TODAY()-(Data_Val!$L$3*365.25)),Data!U861&lt;=(TODAY()-(Data_Val!$L$2*365.25))),0,1),1))</f>
        <v/>
      </c>
      <c r="AB861" s="11"/>
      <c r="AC861" s="11" t="e">
        <f>IF(Data!#REF!="","",IF(ISNUMBER(MATCH(Data!#REF!,Data_Val!$A$2:$A$3,0)),0,1))</f>
        <v>#REF!</v>
      </c>
      <c r="AD861" s="11" t="e">
        <f ca="1">IF(Data!#REF!="","",IF(ISNUMBER(Data!#REF!),IF(AND(Data!#REF!&gt;(TODAY()-(Data_Val!$L$3*365.25)),Data!#REF!&lt;=(TODAY()-(Data_Val!$L$2*365.25))),0,1),1))</f>
        <v>#REF!</v>
      </c>
      <c r="AE861" s="11" t="e">
        <f>IF(Data!#REF!="","",IF(Data!$G861="",1,IF(ISNUMBER(MATCH(Data!#REF!,Data_Val!$D$2:$D$10,0)),0,1)))</f>
        <v>#REF!</v>
      </c>
      <c r="AF861" s="12"/>
      <c r="AG861" s="12" t="e">
        <f>IF(Data!#REF!="","",IF(ISNUMBER(MATCH(Data!#REF!,Data_Val!$A$2:$A$3,0)),0,1))</f>
        <v>#REF!</v>
      </c>
      <c r="AH861" s="26" t="e">
        <f ca="1">IF(Data!#REF!="","",IF(ISNUMBER(Data!#REF!),IF(AND(Data!#REF!&gt;(TODAY()-(Data_Val!$L$3*365.25)),Data!#REF!&lt;=(TODAY()-(Data_Val!$L$2*365.25))),0,1),1))</f>
        <v>#REF!</v>
      </c>
      <c r="AI861" s="12" t="e">
        <f>IF(Data!#REF!="","",IF(Data!$G861="",1,IF(ISNUMBER(MATCH(Data!#REF!,Data_Val!$D$2:$D$10,0)),0,1)))</f>
        <v>#REF!</v>
      </c>
      <c r="AJ861" s="17"/>
      <c r="AK861" s="17" t="e">
        <f>IF(Data!#REF!="","",IF(ISNUMBER(MATCH(Data!#REF!,Data_Val!$A$2:$A$3,0)),0,1))</f>
        <v>#REF!</v>
      </c>
      <c r="AL861" s="25" t="e">
        <f ca="1">IF(Data!#REF!="","",IF(ISNUMBER(Data!#REF!),IF(AND(Data!#REF!&gt;(TODAY()-(Data_Val!$L$3*365.25)),Data!#REF!&lt;=(TODAY()-(Data_Val!$L$2*365.25))),0,1),1))</f>
        <v>#REF!</v>
      </c>
      <c r="AM861" s="17" t="e">
        <f>IF(Data!#REF!="","",IF(Data!$G861="",1,IF(ISNUMBER(MATCH(Data!#REF!,Data_Val!$D$2:$D$10,0)),0,1)))</f>
        <v>#REF!</v>
      </c>
      <c r="AN861" s="13"/>
      <c r="AO861" s="28" t="e">
        <f ca="1">IF(Data!#REF!="","",IF(ISNUMBER(Data!#REF!),IF(AND(Data!#REF!&gt;(TODAY()-(Data_Val!$I$3*365.25)),Data!#REF!&lt;=(TODAY()-(Data_Val!$I$2*365.25))),0,1),1))</f>
        <v>#REF!</v>
      </c>
      <c r="AP861" s="13" t="e">
        <f>IF(Data!#REF!="","",IF(Data!$G861="",1,IF(ISNUMBER(MATCH(Data!#REF!,Data_Val!$D$2:$D$10,0)),0,1)))</f>
        <v>#REF!</v>
      </c>
      <c r="AQ861" s="17"/>
      <c r="AR861" s="30" t="e">
        <f ca="1">IF(Data!#REF!="","",IF(ISNUMBER(Data!#REF!),IF(AND(Data!#REF!&gt;(TODAY()-(Data_Val!$I$3*365.25)),Data!#REF!&lt;=(TODAY()-(Data_Val!$I$2*365.25))),0,1),1))</f>
        <v>#REF!</v>
      </c>
      <c r="AS861" s="31" t="e">
        <f>IF(Data!#REF!="","",IF(Data!$G861="",1,IF(ISNUMBER(MATCH(Data!#REF!,Data_Val!$D$2:$D$10,0)),0,1)))</f>
        <v>#REF!</v>
      </c>
      <c r="AT861" s="11"/>
      <c r="AU861" s="11" t="e">
        <f ca="1">IF(Data!#REF!="","",IF(ISNUMBER(Data!#REF!),IF(AND(Data!#REF!&gt;(TODAY()-(Data_Val!$I$3*365.25)),Data!#REF!&lt;=(TODAY()-(Data_Val!$I$2*365.25))),0,1),1))</f>
        <v>#REF!</v>
      </c>
      <c r="AV861" s="11" t="e">
        <f>IF(Data!#REF!="","",IF(Data!$G861="",1,IF(ISNUMBER(MATCH(Data!#REF!,Data_Val!$D$2:$D$10,0)),0,1)))</f>
        <v>#REF!</v>
      </c>
      <c r="AW861" s="12"/>
      <c r="AX861" s="26" t="e">
        <f ca="1">IF(Data!#REF!="","",IF(ISNUMBER(Data!#REF!),IF(AND(Data!#REF!&gt;(TODAY()-(Data_Val!$I$3*365.25)),Data!#REF!&lt;=(TODAY()-(Data_Val!$I$2*365.25))),0,1),1))</f>
        <v>#REF!</v>
      </c>
      <c r="AY861" s="12" t="e">
        <f>IF(Data!#REF!="","",IF(Data!$G861="",1,IF(ISNUMBER(MATCH(Data!#REF!,Data_Val!$D$2:$D$10,0)),0,1)))</f>
        <v>#REF!</v>
      </c>
      <c r="AZ861" s="11"/>
      <c r="BA861" s="19" t="e">
        <f ca="1">IF(Data!#REF!="","",IF(ISNUMBER(Data!#REF!),IF(AND(Data!#REF!&gt;(TODAY()-(Data_Val!$M$3*365.25)),Data!#REF!&lt;=(TODAY()-(Data_Val!$M$2*365.25))),0,1),1))</f>
        <v>#REF!</v>
      </c>
      <c r="BB861" s="11" t="e">
        <f>IF(Data!#REF!="","",IF(Data!$G861="",1,IF(ISNUMBER(MATCH(Data!#REF!,Data_Val!$D$2:$D$10,0)),0,1)))</f>
        <v>#REF!</v>
      </c>
      <c r="BC861" s="12"/>
      <c r="BD861" s="20" t="e">
        <f ca="1">IF(Data!#REF!="","",IF(ISNUMBER(Data!#REF!),IF(AND(Data!#REF!&gt;(TODAY()-(Data_Val!$M$3*365.25)),Data!#REF!&lt;=(TODAY()-(Data_Val!$M$2*365.25))),0,1),1))</f>
        <v>#REF!</v>
      </c>
      <c r="BE861" s="12" t="e">
        <f>IF(Data!#REF!="","",IF(Data!$G861="",1,IF(ISNUMBER(MATCH(Data!#REF!,Data_Val!$D$2:$D$10,0)),0,1)))</f>
        <v>#REF!</v>
      </c>
      <c r="BF861" s="17"/>
      <c r="BG861" s="18" t="e">
        <f ca="1">IF(Data!#REF!="","",IF(ISNUMBER(Data!#REF!),IF(AND(Data!#REF!&gt;(TODAY()-(Data_Val!$M$3*365.25)),Data!#REF!&lt;=(TODAY()-(Data_Val!$M$2*365.25))),0,1),1))</f>
        <v>#REF!</v>
      </c>
      <c r="BH861" s="29" t="e">
        <f>IF(Data!#REF!="","",IF(Data!$G861="",1,IF(ISNUMBER(MATCH(Data!#REF!,Data_Val!$D$2:$D$10,0)),0,1)))</f>
        <v>#REF!</v>
      </c>
      <c r="BI861" s="13"/>
      <c r="BJ861" s="21" t="e">
        <f ca="1">IF(Data!#REF!="","",IF(ISNUMBER(Data!#REF!),IF(AND(Data!#REF!&gt;(TODAY()-(Data_Val!$M$3*365.25)),Data!#REF!&lt;=(TODAY()-(Data_Val!$M$2*365.25))),0,1),1))</f>
        <v>#REF!</v>
      </c>
      <c r="BK861" s="13" t="e">
        <f>IF(Data!#REF!="","",IF(Data!$G861="",1,IF(ISNUMBER(MATCH(Data!#REF!,Data_Val!$D$2:$D$10,0)),0,1)))</f>
        <v>#REF!</v>
      </c>
    </row>
    <row r="862" spans="1:63" x14ac:dyDescent="0.25">
      <c r="A862" s="9" t="str">
        <f>IF(Data!B862="","",IF(COUNTIFS(Data!A$1:'Data'!A862,Data!A862)&lt;=1,0,1))</f>
        <v/>
      </c>
      <c r="B862" s="9"/>
      <c r="C862" s="23" t="str">
        <f>IF(Data!C862="","",(IF(ISNUMBER(MATCH("*@*.?*",Data!C862,0)),0,1)+IF(COUNTIFS(Data!C$1:'Data'!C862,Data!C862)&gt;1,1,0)))</f>
        <v/>
      </c>
      <c r="D862" s="9" t="str">
        <f>IF(Data!B862="","",IF(ISNUMBER(Data!D862),IF(AND(Data!D862&gt;999999999,Data!D862&lt;=9999999999),IF(COUNTIFS(Data!D$1:'Data'!D862,Data!D862)&lt;=1,0,1),1),1))</f>
        <v/>
      </c>
      <c r="E862" s="9" t="str">
        <f>IF(Data!B862="","",IF(ISNUMBER(MATCH(Data!E862,Data_Val!$A$2:$A$3,0)),0,1))</f>
        <v/>
      </c>
      <c r="F862" s="9" t="str">
        <f ca="1">IF(Data!B862="","",IF(ISNUMBER(Data!F862),IF(AND(Data!F862&gt;(TODAY()-(Data_Val!$H$3*365.25)),Data!F862&lt;=(TODAY()-(Data_Val!$H$2*365.25))),0,1),1))</f>
        <v/>
      </c>
      <c r="G862" s="15" t="str">
        <f>IF(Data!B862="","",IF(AND(Data!G862="",Data!H862&lt;&gt;""),1,IF(Data!#REF!&lt;&gt;"",0,IF(ISNUMBER(MATCH(Data!G862,Data_Val!$C$2:$C$5,0)),0,1))))</f>
        <v/>
      </c>
      <c r="H862" s="15" t="str">
        <f>IF(Data!B862="","",IF(AND(Data!G862&lt;&gt;"",Data!H862=""),1,IF(Data!#REF!&lt;&gt;"",0,IF(Data!G862="",1,IF(ISNUMBER(MATCH(Data!H862,Data_Val!$D$2:$D$35,0)),0,1)))))</f>
        <v/>
      </c>
      <c r="I862" s="15" t="str">
        <f>IF(Data!B862="","",IF(Data!G862&lt;&gt;"",0,IF(ISNUMBER(MATCH(Data!#REF!,Data_Val!$E$2:$E$12,0)),0,1)))</f>
        <v/>
      </c>
      <c r="J862" s="16" t="e">
        <f>IF(OR(Data!B862="",Data!#REF!=""),"",IF(Data!#REF!="",1,0))</f>
        <v>#REF!</v>
      </c>
      <c r="K862" s="16" t="e">
        <f>IF(OR(Data!B862="",Data!#REF!=""),"",IF(Data!#REF!="",1,0))</f>
        <v>#REF!</v>
      </c>
      <c r="L862" s="16" t="e">
        <f>IF(OR(Data!B862="",Data!#REF!=""),"",IF(ISNUMBER(Data!#REF!),IF(AND(Data!#REF!&gt;Data_Val!$G$2,Data!#REF!&lt;=Data_Val!$G$3),0,1),1))</f>
        <v>#REF!</v>
      </c>
      <c r="M862" s="9" t="e">
        <f>IF(OR(Data!B862="",Data!#REF!=""),"",IF(ISNUMBER(MATCH(Data!#REF!,Data_Val!$F$1:$F$38,0)),0,1))</f>
        <v>#REF!</v>
      </c>
      <c r="N862" s="9" t="e">
        <f>IF(OR(Data!B862="",Data!#REF!=""),"",IF(Data!#REF!="",1,0))</f>
        <v>#REF!</v>
      </c>
      <c r="O862" s="17" t="e">
        <f>IF(Data!#REF!="","",IF(Data!#REF!="",1,0))</f>
        <v>#REF!</v>
      </c>
      <c r="P862" s="17" t="e">
        <f>IF(Data!#REF!="","",IF(ISNUMBER(MATCH(Data!#REF!,Data_Val!$A$2:$A$3,0)),0,1))</f>
        <v>#REF!</v>
      </c>
      <c r="Q862" s="25" t="e">
        <f ca="1">IF(Data!#REF!="","",IF(ISNUMBER(Data!#REF!),IF(AND(Data!#REF!&gt;(TODAY()-(Data_Val!$J$3*365.25)),Data!#REF!&lt;=(TODAY()-(Data_Val!$J$2*365.25))),0,1),1))</f>
        <v>#REF!</v>
      </c>
      <c r="R862" s="17" t="e">
        <f>IF(Data!#REF!="","",IF(ISNUMBER(MATCH(Data!#REF!,Data_Val!$B$2:$B$15,0)),0,1))</f>
        <v>#REF!</v>
      </c>
      <c r="S862" s="11" t="str">
        <f>IF(Data!G862="","",IF(Data!G862=Data_Val!$C$2,IF(Data!M862="",0,1),0))</f>
        <v/>
      </c>
      <c r="T862" s="11" t="str">
        <f>IF(Data!M862="","",IF(ISNUMBER(MATCH(Data!N862,Data_Val!$A$2:$A$3,0)),0,1))</f>
        <v/>
      </c>
      <c r="U862" s="11" t="str">
        <f ca="1">IF(Data!M862="","",IF(ISNUMBER(Data!O862),IF(AND(Data!O862&gt;(TODAY()-(Data_Val!$K$3*365.25)),Data!O862&lt;=(TODAY()-(Data_Val!$K$2*365.25))),0,1),1))</f>
        <v/>
      </c>
      <c r="V862" s="12" t="str">
        <f>IF(Data!G862="","",IF(Data!G862=Data_Val!$C$2,IF(Data!P862="",0,1),0))</f>
        <v/>
      </c>
      <c r="W862" s="12" t="str">
        <f>IF(Data!P862="","",IF(ISNUMBER(MATCH(Data!Q862,Data_Val!$A$2:$A$3,0)),0,1))</f>
        <v/>
      </c>
      <c r="X862" s="26" t="str">
        <f ca="1">IF(Data!P862="","",IF(ISNUMBER(Data!R862),IF(AND(Data!R862&gt;(TODAY()-(Data_Val!$L$3*365.25)),Data!R862&lt;=(TODAY()-(Data_Val!$L$2*365.25))),0,1),1))</f>
        <v/>
      </c>
      <c r="Y862" s="13" t="str">
        <f>IF(Data!$G862="","",IF(Data!$G862=Data_Val!$C$2,IF(Data!S862="",0,1),0))</f>
        <v/>
      </c>
      <c r="Z862" s="13" t="str">
        <f>IF(Data!S862="","",IF(ISNUMBER(MATCH(Data!T862,Data_Val!$A$2:$A$3,0)),0,1))</f>
        <v/>
      </c>
      <c r="AA862" s="28" t="str">
        <f ca="1">IF(Data!S862="","",IF(ISNUMBER(Data!U862),IF(AND(Data!U862&gt;(TODAY()-(Data_Val!$L$3*365.25)),Data!U862&lt;=(TODAY()-(Data_Val!$L$2*365.25))),0,1),1))</f>
        <v/>
      </c>
      <c r="AB862" s="11"/>
      <c r="AC862" s="11" t="e">
        <f>IF(Data!#REF!="","",IF(ISNUMBER(MATCH(Data!#REF!,Data_Val!$A$2:$A$3,0)),0,1))</f>
        <v>#REF!</v>
      </c>
      <c r="AD862" s="11" t="e">
        <f ca="1">IF(Data!#REF!="","",IF(ISNUMBER(Data!#REF!),IF(AND(Data!#REF!&gt;(TODAY()-(Data_Val!$L$3*365.25)),Data!#REF!&lt;=(TODAY()-(Data_Val!$L$2*365.25))),0,1),1))</f>
        <v>#REF!</v>
      </c>
      <c r="AE862" s="11" t="e">
        <f>IF(Data!#REF!="","",IF(Data!$G862="",1,IF(ISNUMBER(MATCH(Data!#REF!,Data_Val!$D$2:$D$10,0)),0,1)))</f>
        <v>#REF!</v>
      </c>
      <c r="AF862" s="12"/>
      <c r="AG862" s="12" t="e">
        <f>IF(Data!#REF!="","",IF(ISNUMBER(MATCH(Data!#REF!,Data_Val!$A$2:$A$3,0)),0,1))</f>
        <v>#REF!</v>
      </c>
      <c r="AH862" s="26" t="e">
        <f ca="1">IF(Data!#REF!="","",IF(ISNUMBER(Data!#REF!),IF(AND(Data!#REF!&gt;(TODAY()-(Data_Val!$L$3*365.25)),Data!#REF!&lt;=(TODAY()-(Data_Val!$L$2*365.25))),0,1),1))</f>
        <v>#REF!</v>
      </c>
      <c r="AI862" s="12" t="e">
        <f>IF(Data!#REF!="","",IF(Data!$G862="",1,IF(ISNUMBER(MATCH(Data!#REF!,Data_Val!$D$2:$D$10,0)),0,1)))</f>
        <v>#REF!</v>
      </c>
      <c r="AJ862" s="17"/>
      <c r="AK862" s="17" t="e">
        <f>IF(Data!#REF!="","",IF(ISNUMBER(MATCH(Data!#REF!,Data_Val!$A$2:$A$3,0)),0,1))</f>
        <v>#REF!</v>
      </c>
      <c r="AL862" s="25" t="e">
        <f ca="1">IF(Data!#REF!="","",IF(ISNUMBER(Data!#REF!),IF(AND(Data!#REF!&gt;(TODAY()-(Data_Val!$L$3*365.25)),Data!#REF!&lt;=(TODAY()-(Data_Val!$L$2*365.25))),0,1),1))</f>
        <v>#REF!</v>
      </c>
      <c r="AM862" s="17" t="e">
        <f>IF(Data!#REF!="","",IF(Data!$G862="",1,IF(ISNUMBER(MATCH(Data!#REF!,Data_Val!$D$2:$D$10,0)),0,1)))</f>
        <v>#REF!</v>
      </c>
      <c r="AN862" s="13"/>
      <c r="AO862" s="28" t="e">
        <f ca="1">IF(Data!#REF!="","",IF(ISNUMBER(Data!#REF!),IF(AND(Data!#REF!&gt;(TODAY()-(Data_Val!$I$3*365.25)),Data!#REF!&lt;=(TODAY()-(Data_Val!$I$2*365.25))),0,1),1))</f>
        <v>#REF!</v>
      </c>
      <c r="AP862" s="13" t="e">
        <f>IF(Data!#REF!="","",IF(Data!$G862="",1,IF(ISNUMBER(MATCH(Data!#REF!,Data_Val!$D$2:$D$10,0)),0,1)))</f>
        <v>#REF!</v>
      </c>
      <c r="AQ862" s="17"/>
      <c r="AR862" s="30" t="e">
        <f ca="1">IF(Data!#REF!="","",IF(ISNUMBER(Data!#REF!),IF(AND(Data!#REF!&gt;(TODAY()-(Data_Val!$I$3*365.25)),Data!#REF!&lt;=(TODAY()-(Data_Val!$I$2*365.25))),0,1),1))</f>
        <v>#REF!</v>
      </c>
      <c r="AS862" s="31" t="e">
        <f>IF(Data!#REF!="","",IF(Data!$G862="",1,IF(ISNUMBER(MATCH(Data!#REF!,Data_Val!$D$2:$D$10,0)),0,1)))</f>
        <v>#REF!</v>
      </c>
      <c r="AT862" s="11"/>
      <c r="AU862" s="11" t="e">
        <f ca="1">IF(Data!#REF!="","",IF(ISNUMBER(Data!#REF!),IF(AND(Data!#REF!&gt;(TODAY()-(Data_Val!$I$3*365.25)),Data!#REF!&lt;=(TODAY()-(Data_Val!$I$2*365.25))),0,1),1))</f>
        <v>#REF!</v>
      </c>
      <c r="AV862" s="11" t="e">
        <f>IF(Data!#REF!="","",IF(Data!$G862="",1,IF(ISNUMBER(MATCH(Data!#REF!,Data_Val!$D$2:$D$10,0)),0,1)))</f>
        <v>#REF!</v>
      </c>
      <c r="AW862" s="12"/>
      <c r="AX862" s="26" t="e">
        <f ca="1">IF(Data!#REF!="","",IF(ISNUMBER(Data!#REF!),IF(AND(Data!#REF!&gt;(TODAY()-(Data_Val!$I$3*365.25)),Data!#REF!&lt;=(TODAY()-(Data_Val!$I$2*365.25))),0,1),1))</f>
        <v>#REF!</v>
      </c>
      <c r="AY862" s="12" t="e">
        <f>IF(Data!#REF!="","",IF(Data!$G862="",1,IF(ISNUMBER(MATCH(Data!#REF!,Data_Val!$D$2:$D$10,0)),0,1)))</f>
        <v>#REF!</v>
      </c>
      <c r="AZ862" s="11"/>
      <c r="BA862" s="19" t="e">
        <f ca="1">IF(Data!#REF!="","",IF(ISNUMBER(Data!#REF!),IF(AND(Data!#REF!&gt;(TODAY()-(Data_Val!$M$3*365.25)),Data!#REF!&lt;=(TODAY()-(Data_Val!$M$2*365.25))),0,1),1))</f>
        <v>#REF!</v>
      </c>
      <c r="BB862" s="11" t="e">
        <f>IF(Data!#REF!="","",IF(Data!$G862="",1,IF(ISNUMBER(MATCH(Data!#REF!,Data_Val!$D$2:$D$10,0)),0,1)))</f>
        <v>#REF!</v>
      </c>
      <c r="BC862" s="12"/>
      <c r="BD862" s="20" t="e">
        <f ca="1">IF(Data!#REF!="","",IF(ISNUMBER(Data!#REF!),IF(AND(Data!#REF!&gt;(TODAY()-(Data_Val!$M$3*365.25)),Data!#REF!&lt;=(TODAY()-(Data_Val!$M$2*365.25))),0,1),1))</f>
        <v>#REF!</v>
      </c>
      <c r="BE862" s="12" t="e">
        <f>IF(Data!#REF!="","",IF(Data!$G862="",1,IF(ISNUMBER(MATCH(Data!#REF!,Data_Val!$D$2:$D$10,0)),0,1)))</f>
        <v>#REF!</v>
      </c>
      <c r="BF862" s="17"/>
      <c r="BG862" s="18" t="e">
        <f ca="1">IF(Data!#REF!="","",IF(ISNUMBER(Data!#REF!),IF(AND(Data!#REF!&gt;(TODAY()-(Data_Val!$M$3*365.25)),Data!#REF!&lt;=(TODAY()-(Data_Val!$M$2*365.25))),0,1),1))</f>
        <v>#REF!</v>
      </c>
      <c r="BH862" s="29" t="e">
        <f>IF(Data!#REF!="","",IF(Data!$G862="",1,IF(ISNUMBER(MATCH(Data!#REF!,Data_Val!$D$2:$D$10,0)),0,1)))</f>
        <v>#REF!</v>
      </c>
      <c r="BI862" s="13"/>
      <c r="BJ862" s="21" t="e">
        <f ca="1">IF(Data!#REF!="","",IF(ISNUMBER(Data!#REF!),IF(AND(Data!#REF!&gt;(TODAY()-(Data_Val!$M$3*365.25)),Data!#REF!&lt;=(TODAY()-(Data_Val!$M$2*365.25))),0,1),1))</f>
        <v>#REF!</v>
      </c>
      <c r="BK862" s="13" t="e">
        <f>IF(Data!#REF!="","",IF(Data!$G862="",1,IF(ISNUMBER(MATCH(Data!#REF!,Data_Val!$D$2:$D$10,0)),0,1)))</f>
        <v>#REF!</v>
      </c>
    </row>
    <row r="863" spans="1:63" x14ac:dyDescent="0.25">
      <c r="A863" s="9" t="str">
        <f>IF(Data!B863="","",IF(COUNTIFS(Data!A$1:'Data'!A863,Data!A863)&lt;=1,0,1))</f>
        <v/>
      </c>
      <c r="B863" s="9"/>
      <c r="C863" s="23" t="str">
        <f>IF(Data!C863="","",(IF(ISNUMBER(MATCH("*@*.?*",Data!C863,0)),0,1)+IF(COUNTIFS(Data!C$1:'Data'!C863,Data!C863)&gt;1,1,0)))</f>
        <v/>
      </c>
      <c r="D863" s="9" t="str">
        <f>IF(Data!B863="","",IF(ISNUMBER(Data!D863),IF(AND(Data!D863&gt;999999999,Data!D863&lt;=9999999999),IF(COUNTIFS(Data!D$1:'Data'!D863,Data!D863)&lt;=1,0,1),1),1))</f>
        <v/>
      </c>
      <c r="E863" s="9" t="str">
        <f>IF(Data!B863="","",IF(ISNUMBER(MATCH(Data!E863,Data_Val!$A$2:$A$3,0)),0,1))</f>
        <v/>
      </c>
      <c r="F863" s="9" t="str">
        <f ca="1">IF(Data!B863="","",IF(ISNUMBER(Data!F863),IF(AND(Data!F863&gt;(TODAY()-(Data_Val!$H$3*365.25)),Data!F863&lt;=(TODAY()-(Data_Val!$H$2*365.25))),0,1),1))</f>
        <v/>
      </c>
      <c r="G863" s="15" t="str">
        <f>IF(Data!B863="","",IF(AND(Data!G863="",Data!H863&lt;&gt;""),1,IF(Data!#REF!&lt;&gt;"",0,IF(ISNUMBER(MATCH(Data!G863,Data_Val!$C$2:$C$5,0)),0,1))))</f>
        <v/>
      </c>
      <c r="H863" s="15" t="str">
        <f>IF(Data!B863="","",IF(AND(Data!G863&lt;&gt;"",Data!H863=""),1,IF(Data!#REF!&lt;&gt;"",0,IF(Data!G863="",1,IF(ISNUMBER(MATCH(Data!H863,Data_Val!$D$2:$D$35,0)),0,1)))))</f>
        <v/>
      </c>
      <c r="I863" s="15" t="str">
        <f>IF(Data!B863="","",IF(Data!G863&lt;&gt;"",0,IF(ISNUMBER(MATCH(Data!#REF!,Data_Val!$E$2:$E$12,0)),0,1)))</f>
        <v/>
      </c>
      <c r="J863" s="16" t="e">
        <f>IF(OR(Data!B863="",Data!#REF!=""),"",IF(Data!#REF!="",1,0))</f>
        <v>#REF!</v>
      </c>
      <c r="K863" s="16" t="e">
        <f>IF(OR(Data!B863="",Data!#REF!=""),"",IF(Data!#REF!="",1,0))</f>
        <v>#REF!</v>
      </c>
      <c r="L863" s="16" t="e">
        <f>IF(OR(Data!B863="",Data!#REF!=""),"",IF(ISNUMBER(Data!#REF!),IF(AND(Data!#REF!&gt;Data_Val!$G$2,Data!#REF!&lt;=Data_Val!$G$3),0,1),1))</f>
        <v>#REF!</v>
      </c>
      <c r="M863" s="9" t="e">
        <f>IF(OR(Data!B863="",Data!#REF!=""),"",IF(ISNUMBER(MATCH(Data!#REF!,Data_Val!$F$1:$F$38,0)),0,1))</f>
        <v>#REF!</v>
      </c>
      <c r="N863" s="9" t="e">
        <f>IF(OR(Data!B863="",Data!#REF!=""),"",IF(Data!#REF!="",1,0))</f>
        <v>#REF!</v>
      </c>
      <c r="O863" s="17" t="e">
        <f>IF(Data!#REF!="","",IF(Data!#REF!="",1,0))</f>
        <v>#REF!</v>
      </c>
      <c r="P863" s="17" t="e">
        <f>IF(Data!#REF!="","",IF(ISNUMBER(MATCH(Data!#REF!,Data_Val!$A$2:$A$3,0)),0,1))</f>
        <v>#REF!</v>
      </c>
      <c r="Q863" s="25" t="e">
        <f ca="1">IF(Data!#REF!="","",IF(ISNUMBER(Data!#REF!),IF(AND(Data!#REF!&gt;(TODAY()-(Data_Val!$J$3*365.25)),Data!#REF!&lt;=(TODAY()-(Data_Val!$J$2*365.25))),0,1),1))</f>
        <v>#REF!</v>
      </c>
      <c r="R863" s="17" t="e">
        <f>IF(Data!#REF!="","",IF(ISNUMBER(MATCH(Data!#REF!,Data_Val!$B$2:$B$15,0)),0,1))</f>
        <v>#REF!</v>
      </c>
      <c r="S863" s="11" t="str">
        <f>IF(Data!G863="","",IF(Data!G863=Data_Val!$C$2,IF(Data!M863="",0,1),0))</f>
        <v/>
      </c>
      <c r="T863" s="11" t="str">
        <f>IF(Data!M863="","",IF(ISNUMBER(MATCH(Data!N863,Data_Val!$A$2:$A$3,0)),0,1))</f>
        <v/>
      </c>
      <c r="U863" s="11" t="str">
        <f ca="1">IF(Data!M863="","",IF(ISNUMBER(Data!O863),IF(AND(Data!O863&gt;(TODAY()-(Data_Val!$K$3*365.25)),Data!O863&lt;=(TODAY()-(Data_Val!$K$2*365.25))),0,1),1))</f>
        <v/>
      </c>
      <c r="V863" s="12" t="str">
        <f>IF(Data!G863="","",IF(Data!G863=Data_Val!$C$2,IF(Data!P863="",0,1),0))</f>
        <v/>
      </c>
      <c r="W863" s="12" t="str">
        <f>IF(Data!P863="","",IF(ISNUMBER(MATCH(Data!Q863,Data_Val!$A$2:$A$3,0)),0,1))</f>
        <v/>
      </c>
      <c r="X863" s="26" t="str">
        <f ca="1">IF(Data!P863="","",IF(ISNUMBER(Data!R863),IF(AND(Data!R863&gt;(TODAY()-(Data_Val!$L$3*365.25)),Data!R863&lt;=(TODAY()-(Data_Val!$L$2*365.25))),0,1),1))</f>
        <v/>
      </c>
      <c r="Y863" s="13" t="str">
        <f>IF(Data!$G863="","",IF(Data!$G863=Data_Val!$C$2,IF(Data!S863="",0,1),0))</f>
        <v/>
      </c>
      <c r="Z863" s="13" t="str">
        <f>IF(Data!S863="","",IF(ISNUMBER(MATCH(Data!T863,Data_Val!$A$2:$A$3,0)),0,1))</f>
        <v/>
      </c>
      <c r="AA863" s="28" t="str">
        <f ca="1">IF(Data!S863="","",IF(ISNUMBER(Data!U863),IF(AND(Data!U863&gt;(TODAY()-(Data_Val!$L$3*365.25)),Data!U863&lt;=(TODAY()-(Data_Val!$L$2*365.25))),0,1),1))</f>
        <v/>
      </c>
      <c r="AB863" s="11"/>
      <c r="AC863" s="11" t="e">
        <f>IF(Data!#REF!="","",IF(ISNUMBER(MATCH(Data!#REF!,Data_Val!$A$2:$A$3,0)),0,1))</f>
        <v>#REF!</v>
      </c>
      <c r="AD863" s="11" t="e">
        <f ca="1">IF(Data!#REF!="","",IF(ISNUMBER(Data!#REF!),IF(AND(Data!#REF!&gt;(TODAY()-(Data_Val!$L$3*365.25)),Data!#REF!&lt;=(TODAY()-(Data_Val!$L$2*365.25))),0,1),1))</f>
        <v>#REF!</v>
      </c>
      <c r="AE863" s="11" t="e">
        <f>IF(Data!#REF!="","",IF(Data!$G863="",1,IF(ISNUMBER(MATCH(Data!#REF!,Data_Val!$D$2:$D$10,0)),0,1)))</f>
        <v>#REF!</v>
      </c>
      <c r="AF863" s="12"/>
      <c r="AG863" s="12" t="e">
        <f>IF(Data!#REF!="","",IF(ISNUMBER(MATCH(Data!#REF!,Data_Val!$A$2:$A$3,0)),0,1))</f>
        <v>#REF!</v>
      </c>
      <c r="AH863" s="26" t="e">
        <f ca="1">IF(Data!#REF!="","",IF(ISNUMBER(Data!#REF!),IF(AND(Data!#REF!&gt;(TODAY()-(Data_Val!$L$3*365.25)),Data!#REF!&lt;=(TODAY()-(Data_Val!$L$2*365.25))),0,1),1))</f>
        <v>#REF!</v>
      </c>
      <c r="AI863" s="12" t="e">
        <f>IF(Data!#REF!="","",IF(Data!$G863="",1,IF(ISNUMBER(MATCH(Data!#REF!,Data_Val!$D$2:$D$10,0)),0,1)))</f>
        <v>#REF!</v>
      </c>
      <c r="AJ863" s="17"/>
      <c r="AK863" s="17" t="e">
        <f>IF(Data!#REF!="","",IF(ISNUMBER(MATCH(Data!#REF!,Data_Val!$A$2:$A$3,0)),0,1))</f>
        <v>#REF!</v>
      </c>
      <c r="AL863" s="25" t="e">
        <f ca="1">IF(Data!#REF!="","",IF(ISNUMBER(Data!#REF!),IF(AND(Data!#REF!&gt;(TODAY()-(Data_Val!$L$3*365.25)),Data!#REF!&lt;=(TODAY()-(Data_Val!$L$2*365.25))),0,1),1))</f>
        <v>#REF!</v>
      </c>
      <c r="AM863" s="17" t="e">
        <f>IF(Data!#REF!="","",IF(Data!$G863="",1,IF(ISNUMBER(MATCH(Data!#REF!,Data_Val!$D$2:$D$10,0)),0,1)))</f>
        <v>#REF!</v>
      </c>
      <c r="AN863" s="13"/>
      <c r="AO863" s="28" t="e">
        <f ca="1">IF(Data!#REF!="","",IF(ISNUMBER(Data!#REF!),IF(AND(Data!#REF!&gt;(TODAY()-(Data_Val!$I$3*365.25)),Data!#REF!&lt;=(TODAY()-(Data_Val!$I$2*365.25))),0,1),1))</f>
        <v>#REF!</v>
      </c>
      <c r="AP863" s="13" t="e">
        <f>IF(Data!#REF!="","",IF(Data!$G863="",1,IF(ISNUMBER(MATCH(Data!#REF!,Data_Val!$D$2:$D$10,0)),0,1)))</f>
        <v>#REF!</v>
      </c>
      <c r="AQ863" s="17"/>
      <c r="AR863" s="30" t="e">
        <f ca="1">IF(Data!#REF!="","",IF(ISNUMBER(Data!#REF!),IF(AND(Data!#REF!&gt;(TODAY()-(Data_Val!$I$3*365.25)),Data!#REF!&lt;=(TODAY()-(Data_Val!$I$2*365.25))),0,1),1))</f>
        <v>#REF!</v>
      </c>
      <c r="AS863" s="31" t="e">
        <f>IF(Data!#REF!="","",IF(Data!$G863="",1,IF(ISNUMBER(MATCH(Data!#REF!,Data_Val!$D$2:$D$10,0)),0,1)))</f>
        <v>#REF!</v>
      </c>
      <c r="AT863" s="11"/>
      <c r="AU863" s="11" t="e">
        <f ca="1">IF(Data!#REF!="","",IF(ISNUMBER(Data!#REF!),IF(AND(Data!#REF!&gt;(TODAY()-(Data_Val!$I$3*365.25)),Data!#REF!&lt;=(TODAY()-(Data_Val!$I$2*365.25))),0,1),1))</f>
        <v>#REF!</v>
      </c>
      <c r="AV863" s="11" t="e">
        <f>IF(Data!#REF!="","",IF(Data!$G863="",1,IF(ISNUMBER(MATCH(Data!#REF!,Data_Val!$D$2:$D$10,0)),0,1)))</f>
        <v>#REF!</v>
      </c>
      <c r="AW863" s="12"/>
      <c r="AX863" s="26" t="e">
        <f ca="1">IF(Data!#REF!="","",IF(ISNUMBER(Data!#REF!),IF(AND(Data!#REF!&gt;(TODAY()-(Data_Val!$I$3*365.25)),Data!#REF!&lt;=(TODAY()-(Data_Val!$I$2*365.25))),0,1),1))</f>
        <v>#REF!</v>
      </c>
      <c r="AY863" s="12" t="e">
        <f>IF(Data!#REF!="","",IF(Data!$G863="",1,IF(ISNUMBER(MATCH(Data!#REF!,Data_Val!$D$2:$D$10,0)),0,1)))</f>
        <v>#REF!</v>
      </c>
      <c r="AZ863" s="11"/>
      <c r="BA863" s="19" t="e">
        <f ca="1">IF(Data!#REF!="","",IF(ISNUMBER(Data!#REF!),IF(AND(Data!#REF!&gt;(TODAY()-(Data_Val!$M$3*365.25)),Data!#REF!&lt;=(TODAY()-(Data_Val!$M$2*365.25))),0,1),1))</f>
        <v>#REF!</v>
      </c>
      <c r="BB863" s="11" t="e">
        <f>IF(Data!#REF!="","",IF(Data!$G863="",1,IF(ISNUMBER(MATCH(Data!#REF!,Data_Val!$D$2:$D$10,0)),0,1)))</f>
        <v>#REF!</v>
      </c>
      <c r="BC863" s="12"/>
      <c r="BD863" s="20" t="e">
        <f ca="1">IF(Data!#REF!="","",IF(ISNUMBER(Data!#REF!),IF(AND(Data!#REF!&gt;(TODAY()-(Data_Val!$M$3*365.25)),Data!#REF!&lt;=(TODAY()-(Data_Val!$M$2*365.25))),0,1),1))</f>
        <v>#REF!</v>
      </c>
      <c r="BE863" s="12" t="e">
        <f>IF(Data!#REF!="","",IF(Data!$G863="",1,IF(ISNUMBER(MATCH(Data!#REF!,Data_Val!$D$2:$D$10,0)),0,1)))</f>
        <v>#REF!</v>
      </c>
      <c r="BF863" s="17"/>
      <c r="BG863" s="18" t="e">
        <f ca="1">IF(Data!#REF!="","",IF(ISNUMBER(Data!#REF!),IF(AND(Data!#REF!&gt;(TODAY()-(Data_Val!$M$3*365.25)),Data!#REF!&lt;=(TODAY()-(Data_Val!$M$2*365.25))),0,1),1))</f>
        <v>#REF!</v>
      </c>
      <c r="BH863" s="29" t="e">
        <f>IF(Data!#REF!="","",IF(Data!$G863="",1,IF(ISNUMBER(MATCH(Data!#REF!,Data_Val!$D$2:$D$10,0)),0,1)))</f>
        <v>#REF!</v>
      </c>
      <c r="BI863" s="13"/>
      <c r="BJ863" s="21" t="e">
        <f ca="1">IF(Data!#REF!="","",IF(ISNUMBER(Data!#REF!),IF(AND(Data!#REF!&gt;(TODAY()-(Data_Val!$M$3*365.25)),Data!#REF!&lt;=(TODAY()-(Data_Val!$M$2*365.25))),0,1),1))</f>
        <v>#REF!</v>
      </c>
      <c r="BK863" s="13" t="e">
        <f>IF(Data!#REF!="","",IF(Data!$G863="",1,IF(ISNUMBER(MATCH(Data!#REF!,Data_Val!$D$2:$D$10,0)),0,1)))</f>
        <v>#REF!</v>
      </c>
    </row>
    <row r="864" spans="1:63" x14ac:dyDescent="0.25">
      <c r="A864" s="9" t="str">
        <f>IF(Data!B864="","",IF(COUNTIFS(Data!A$1:'Data'!A864,Data!A864)&lt;=1,0,1))</f>
        <v/>
      </c>
      <c r="B864" s="9"/>
      <c r="C864" s="23" t="str">
        <f>IF(Data!C864="","",(IF(ISNUMBER(MATCH("*@*.?*",Data!C864,0)),0,1)+IF(COUNTIFS(Data!C$1:'Data'!C864,Data!C864)&gt;1,1,0)))</f>
        <v/>
      </c>
      <c r="D864" s="9" t="str">
        <f>IF(Data!B864="","",IF(ISNUMBER(Data!D864),IF(AND(Data!D864&gt;999999999,Data!D864&lt;=9999999999),IF(COUNTIFS(Data!D$1:'Data'!D864,Data!D864)&lt;=1,0,1),1),1))</f>
        <v/>
      </c>
      <c r="E864" s="9" t="str">
        <f>IF(Data!B864="","",IF(ISNUMBER(MATCH(Data!E864,Data_Val!$A$2:$A$3,0)),0,1))</f>
        <v/>
      </c>
      <c r="F864" s="9" t="str">
        <f ca="1">IF(Data!B864="","",IF(ISNUMBER(Data!F864),IF(AND(Data!F864&gt;(TODAY()-(Data_Val!$H$3*365.25)),Data!F864&lt;=(TODAY()-(Data_Val!$H$2*365.25))),0,1),1))</f>
        <v/>
      </c>
      <c r="G864" s="15" t="str">
        <f>IF(Data!B864="","",IF(AND(Data!G864="",Data!H864&lt;&gt;""),1,IF(Data!#REF!&lt;&gt;"",0,IF(ISNUMBER(MATCH(Data!G864,Data_Val!$C$2:$C$5,0)),0,1))))</f>
        <v/>
      </c>
      <c r="H864" s="15" t="str">
        <f>IF(Data!B864="","",IF(AND(Data!G864&lt;&gt;"",Data!H864=""),1,IF(Data!#REF!&lt;&gt;"",0,IF(Data!G864="",1,IF(ISNUMBER(MATCH(Data!H864,Data_Val!$D$2:$D$35,0)),0,1)))))</f>
        <v/>
      </c>
      <c r="I864" s="15" t="str">
        <f>IF(Data!B864="","",IF(Data!G864&lt;&gt;"",0,IF(ISNUMBER(MATCH(Data!#REF!,Data_Val!$E$2:$E$12,0)),0,1)))</f>
        <v/>
      </c>
      <c r="J864" s="16" t="e">
        <f>IF(OR(Data!B864="",Data!#REF!=""),"",IF(Data!#REF!="",1,0))</f>
        <v>#REF!</v>
      </c>
      <c r="K864" s="16" t="e">
        <f>IF(OR(Data!B864="",Data!#REF!=""),"",IF(Data!#REF!="",1,0))</f>
        <v>#REF!</v>
      </c>
      <c r="L864" s="16" t="e">
        <f>IF(OR(Data!B864="",Data!#REF!=""),"",IF(ISNUMBER(Data!#REF!),IF(AND(Data!#REF!&gt;Data_Val!$G$2,Data!#REF!&lt;=Data_Val!$G$3),0,1),1))</f>
        <v>#REF!</v>
      </c>
      <c r="M864" s="9" t="e">
        <f>IF(OR(Data!B864="",Data!#REF!=""),"",IF(ISNUMBER(MATCH(Data!#REF!,Data_Val!$F$1:$F$38,0)),0,1))</f>
        <v>#REF!</v>
      </c>
      <c r="N864" s="9" t="e">
        <f>IF(OR(Data!B864="",Data!#REF!=""),"",IF(Data!#REF!="",1,0))</f>
        <v>#REF!</v>
      </c>
      <c r="O864" s="17" t="e">
        <f>IF(Data!#REF!="","",IF(Data!#REF!="",1,0))</f>
        <v>#REF!</v>
      </c>
      <c r="P864" s="17" t="e">
        <f>IF(Data!#REF!="","",IF(ISNUMBER(MATCH(Data!#REF!,Data_Val!$A$2:$A$3,0)),0,1))</f>
        <v>#REF!</v>
      </c>
      <c r="Q864" s="25" t="e">
        <f ca="1">IF(Data!#REF!="","",IF(ISNUMBER(Data!#REF!),IF(AND(Data!#REF!&gt;(TODAY()-(Data_Val!$J$3*365.25)),Data!#REF!&lt;=(TODAY()-(Data_Val!$J$2*365.25))),0,1),1))</f>
        <v>#REF!</v>
      </c>
      <c r="R864" s="17" t="e">
        <f>IF(Data!#REF!="","",IF(ISNUMBER(MATCH(Data!#REF!,Data_Val!$B$2:$B$15,0)),0,1))</f>
        <v>#REF!</v>
      </c>
      <c r="S864" s="11" t="str">
        <f>IF(Data!G864="","",IF(Data!G864=Data_Val!$C$2,IF(Data!M864="",0,1),0))</f>
        <v/>
      </c>
      <c r="T864" s="11" t="str">
        <f>IF(Data!M864="","",IF(ISNUMBER(MATCH(Data!N864,Data_Val!$A$2:$A$3,0)),0,1))</f>
        <v/>
      </c>
      <c r="U864" s="11" t="str">
        <f ca="1">IF(Data!M864="","",IF(ISNUMBER(Data!O864),IF(AND(Data!O864&gt;(TODAY()-(Data_Val!$K$3*365.25)),Data!O864&lt;=(TODAY()-(Data_Val!$K$2*365.25))),0,1),1))</f>
        <v/>
      </c>
      <c r="V864" s="12" t="str">
        <f>IF(Data!G864="","",IF(Data!G864=Data_Val!$C$2,IF(Data!P864="",0,1),0))</f>
        <v/>
      </c>
      <c r="W864" s="12" t="str">
        <f>IF(Data!P864="","",IF(ISNUMBER(MATCH(Data!Q864,Data_Val!$A$2:$A$3,0)),0,1))</f>
        <v/>
      </c>
      <c r="X864" s="26" t="str">
        <f ca="1">IF(Data!P864="","",IF(ISNUMBER(Data!R864),IF(AND(Data!R864&gt;(TODAY()-(Data_Val!$L$3*365.25)),Data!R864&lt;=(TODAY()-(Data_Val!$L$2*365.25))),0,1),1))</f>
        <v/>
      </c>
      <c r="Y864" s="13" t="str">
        <f>IF(Data!$G864="","",IF(Data!$G864=Data_Val!$C$2,IF(Data!S864="",0,1),0))</f>
        <v/>
      </c>
      <c r="Z864" s="13" t="str">
        <f>IF(Data!S864="","",IF(ISNUMBER(MATCH(Data!T864,Data_Val!$A$2:$A$3,0)),0,1))</f>
        <v/>
      </c>
      <c r="AA864" s="28" t="str">
        <f ca="1">IF(Data!S864="","",IF(ISNUMBER(Data!U864),IF(AND(Data!U864&gt;(TODAY()-(Data_Val!$L$3*365.25)),Data!U864&lt;=(TODAY()-(Data_Val!$L$2*365.25))),0,1),1))</f>
        <v/>
      </c>
      <c r="AB864" s="11"/>
      <c r="AC864" s="11" t="e">
        <f>IF(Data!#REF!="","",IF(ISNUMBER(MATCH(Data!#REF!,Data_Val!$A$2:$A$3,0)),0,1))</f>
        <v>#REF!</v>
      </c>
      <c r="AD864" s="11" t="e">
        <f ca="1">IF(Data!#REF!="","",IF(ISNUMBER(Data!#REF!),IF(AND(Data!#REF!&gt;(TODAY()-(Data_Val!$L$3*365.25)),Data!#REF!&lt;=(TODAY()-(Data_Val!$L$2*365.25))),0,1),1))</f>
        <v>#REF!</v>
      </c>
      <c r="AE864" s="11" t="e">
        <f>IF(Data!#REF!="","",IF(Data!$G864="",1,IF(ISNUMBER(MATCH(Data!#REF!,Data_Val!$D$2:$D$10,0)),0,1)))</f>
        <v>#REF!</v>
      </c>
      <c r="AF864" s="12"/>
      <c r="AG864" s="12" t="e">
        <f>IF(Data!#REF!="","",IF(ISNUMBER(MATCH(Data!#REF!,Data_Val!$A$2:$A$3,0)),0,1))</f>
        <v>#REF!</v>
      </c>
      <c r="AH864" s="26" t="e">
        <f ca="1">IF(Data!#REF!="","",IF(ISNUMBER(Data!#REF!),IF(AND(Data!#REF!&gt;(TODAY()-(Data_Val!$L$3*365.25)),Data!#REF!&lt;=(TODAY()-(Data_Val!$L$2*365.25))),0,1),1))</f>
        <v>#REF!</v>
      </c>
      <c r="AI864" s="12" t="e">
        <f>IF(Data!#REF!="","",IF(Data!$G864="",1,IF(ISNUMBER(MATCH(Data!#REF!,Data_Val!$D$2:$D$10,0)),0,1)))</f>
        <v>#REF!</v>
      </c>
      <c r="AJ864" s="17"/>
      <c r="AK864" s="17" t="e">
        <f>IF(Data!#REF!="","",IF(ISNUMBER(MATCH(Data!#REF!,Data_Val!$A$2:$A$3,0)),0,1))</f>
        <v>#REF!</v>
      </c>
      <c r="AL864" s="25" t="e">
        <f ca="1">IF(Data!#REF!="","",IF(ISNUMBER(Data!#REF!),IF(AND(Data!#REF!&gt;(TODAY()-(Data_Val!$L$3*365.25)),Data!#REF!&lt;=(TODAY()-(Data_Val!$L$2*365.25))),0,1),1))</f>
        <v>#REF!</v>
      </c>
      <c r="AM864" s="17" t="e">
        <f>IF(Data!#REF!="","",IF(Data!$G864="",1,IF(ISNUMBER(MATCH(Data!#REF!,Data_Val!$D$2:$D$10,0)),0,1)))</f>
        <v>#REF!</v>
      </c>
      <c r="AN864" s="13"/>
      <c r="AO864" s="28" t="e">
        <f ca="1">IF(Data!#REF!="","",IF(ISNUMBER(Data!#REF!),IF(AND(Data!#REF!&gt;(TODAY()-(Data_Val!$I$3*365.25)),Data!#REF!&lt;=(TODAY()-(Data_Val!$I$2*365.25))),0,1),1))</f>
        <v>#REF!</v>
      </c>
      <c r="AP864" s="13" t="e">
        <f>IF(Data!#REF!="","",IF(Data!$G864="",1,IF(ISNUMBER(MATCH(Data!#REF!,Data_Val!$D$2:$D$10,0)),0,1)))</f>
        <v>#REF!</v>
      </c>
      <c r="AQ864" s="17"/>
      <c r="AR864" s="30" t="e">
        <f ca="1">IF(Data!#REF!="","",IF(ISNUMBER(Data!#REF!),IF(AND(Data!#REF!&gt;(TODAY()-(Data_Val!$I$3*365.25)),Data!#REF!&lt;=(TODAY()-(Data_Val!$I$2*365.25))),0,1),1))</f>
        <v>#REF!</v>
      </c>
      <c r="AS864" s="31" t="e">
        <f>IF(Data!#REF!="","",IF(Data!$G864="",1,IF(ISNUMBER(MATCH(Data!#REF!,Data_Val!$D$2:$D$10,0)),0,1)))</f>
        <v>#REF!</v>
      </c>
      <c r="AT864" s="11"/>
      <c r="AU864" s="11" t="e">
        <f ca="1">IF(Data!#REF!="","",IF(ISNUMBER(Data!#REF!),IF(AND(Data!#REF!&gt;(TODAY()-(Data_Val!$I$3*365.25)),Data!#REF!&lt;=(TODAY()-(Data_Val!$I$2*365.25))),0,1),1))</f>
        <v>#REF!</v>
      </c>
      <c r="AV864" s="11" t="e">
        <f>IF(Data!#REF!="","",IF(Data!$G864="",1,IF(ISNUMBER(MATCH(Data!#REF!,Data_Val!$D$2:$D$10,0)),0,1)))</f>
        <v>#REF!</v>
      </c>
      <c r="AW864" s="12"/>
      <c r="AX864" s="26" t="e">
        <f ca="1">IF(Data!#REF!="","",IF(ISNUMBER(Data!#REF!),IF(AND(Data!#REF!&gt;(TODAY()-(Data_Val!$I$3*365.25)),Data!#REF!&lt;=(TODAY()-(Data_Val!$I$2*365.25))),0,1),1))</f>
        <v>#REF!</v>
      </c>
      <c r="AY864" s="12" t="e">
        <f>IF(Data!#REF!="","",IF(Data!$G864="",1,IF(ISNUMBER(MATCH(Data!#REF!,Data_Val!$D$2:$D$10,0)),0,1)))</f>
        <v>#REF!</v>
      </c>
      <c r="AZ864" s="11"/>
      <c r="BA864" s="19" t="e">
        <f ca="1">IF(Data!#REF!="","",IF(ISNUMBER(Data!#REF!),IF(AND(Data!#REF!&gt;(TODAY()-(Data_Val!$M$3*365.25)),Data!#REF!&lt;=(TODAY()-(Data_Val!$M$2*365.25))),0,1),1))</f>
        <v>#REF!</v>
      </c>
      <c r="BB864" s="11" t="e">
        <f>IF(Data!#REF!="","",IF(Data!$G864="",1,IF(ISNUMBER(MATCH(Data!#REF!,Data_Val!$D$2:$D$10,0)),0,1)))</f>
        <v>#REF!</v>
      </c>
      <c r="BC864" s="12"/>
      <c r="BD864" s="20" t="e">
        <f ca="1">IF(Data!#REF!="","",IF(ISNUMBER(Data!#REF!),IF(AND(Data!#REF!&gt;(TODAY()-(Data_Val!$M$3*365.25)),Data!#REF!&lt;=(TODAY()-(Data_Val!$M$2*365.25))),0,1),1))</f>
        <v>#REF!</v>
      </c>
      <c r="BE864" s="12" t="e">
        <f>IF(Data!#REF!="","",IF(Data!$G864="",1,IF(ISNUMBER(MATCH(Data!#REF!,Data_Val!$D$2:$D$10,0)),0,1)))</f>
        <v>#REF!</v>
      </c>
      <c r="BF864" s="17"/>
      <c r="BG864" s="18" t="e">
        <f ca="1">IF(Data!#REF!="","",IF(ISNUMBER(Data!#REF!),IF(AND(Data!#REF!&gt;(TODAY()-(Data_Val!$M$3*365.25)),Data!#REF!&lt;=(TODAY()-(Data_Val!$M$2*365.25))),0,1),1))</f>
        <v>#REF!</v>
      </c>
      <c r="BH864" s="29" t="e">
        <f>IF(Data!#REF!="","",IF(Data!$G864="",1,IF(ISNUMBER(MATCH(Data!#REF!,Data_Val!$D$2:$D$10,0)),0,1)))</f>
        <v>#REF!</v>
      </c>
      <c r="BI864" s="13"/>
      <c r="BJ864" s="21" t="e">
        <f ca="1">IF(Data!#REF!="","",IF(ISNUMBER(Data!#REF!),IF(AND(Data!#REF!&gt;(TODAY()-(Data_Val!$M$3*365.25)),Data!#REF!&lt;=(TODAY()-(Data_Val!$M$2*365.25))),0,1),1))</f>
        <v>#REF!</v>
      </c>
      <c r="BK864" s="13" t="e">
        <f>IF(Data!#REF!="","",IF(Data!$G864="",1,IF(ISNUMBER(MATCH(Data!#REF!,Data_Val!$D$2:$D$10,0)),0,1)))</f>
        <v>#REF!</v>
      </c>
    </row>
    <row r="865" spans="1:63" x14ac:dyDescent="0.25">
      <c r="A865" s="9" t="str">
        <f>IF(Data!B865="","",IF(COUNTIFS(Data!A$1:'Data'!A865,Data!A865)&lt;=1,0,1))</f>
        <v/>
      </c>
      <c r="B865" s="9"/>
      <c r="C865" s="23" t="str">
        <f>IF(Data!C865="","",(IF(ISNUMBER(MATCH("*@*.?*",Data!C865,0)),0,1)+IF(COUNTIFS(Data!C$1:'Data'!C865,Data!C865)&gt;1,1,0)))</f>
        <v/>
      </c>
      <c r="D865" s="9" t="str">
        <f>IF(Data!B865="","",IF(ISNUMBER(Data!D865),IF(AND(Data!D865&gt;999999999,Data!D865&lt;=9999999999),IF(COUNTIFS(Data!D$1:'Data'!D865,Data!D865)&lt;=1,0,1),1),1))</f>
        <v/>
      </c>
      <c r="E865" s="9" t="str">
        <f>IF(Data!B865="","",IF(ISNUMBER(MATCH(Data!E865,Data_Val!$A$2:$A$3,0)),0,1))</f>
        <v/>
      </c>
      <c r="F865" s="9" t="str">
        <f ca="1">IF(Data!B865="","",IF(ISNUMBER(Data!F865),IF(AND(Data!F865&gt;(TODAY()-(Data_Val!$H$3*365.25)),Data!F865&lt;=(TODAY()-(Data_Val!$H$2*365.25))),0,1),1))</f>
        <v/>
      </c>
      <c r="G865" s="15" t="str">
        <f>IF(Data!B865="","",IF(AND(Data!G865="",Data!H865&lt;&gt;""),1,IF(Data!#REF!&lt;&gt;"",0,IF(ISNUMBER(MATCH(Data!G865,Data_Val!$C$2:$C$5,0)),0,1))))</f>
        <v/>
      </c>
      <c r="H865" s="15" t="str">
        <f>IF(Data!B865="","",IF(AND(Data!G865&lt;&gt;"",Data!H865=""),1,IF(Data!#REF!&lt;&gt;"",0,IF(Data!G865="",1,IF(ISNUMBER(MATCH(Data!H865,Data_Val!$D$2:$D$35,0)),0,1)))))</f>
        <v/>
      </c>
      <c r="I865" s="15" t="str">
        <f>IF(Data!B865="","",IF(Data!G865&lt;&gt;"",0,IF(ISNUMBER(MATCH(Data!#REF!,Data_Val!$E$2:$E$12,0)),0,1)))</f>
        <v/>
      </c>
      <c r="J865" s="16" t="e">
        <f>IF(OR(Data!B865="",Data!#REF!=""),"",IF(Data!#REF!="",1,0))</f>
        <v>#REF!</v>
      </c>
      <c r="K865" s="16" t="e">
        <f>IF(OR(Data!B865="",Data!#REF!=""),"",IF(Data!#REF!="",1,0))</f>
        <v>#REF!</v>
      </c>
      <c r="L865" s="16" t="e">
        <f>IF(OR(Data!B865="",Data!#REF!=""),"",IF(ISNUMBER(Data!#REF!),IF(AND(Data!#REF!&gt;Data_Val!$G$2,Data!#REF!&lt;=Data_Val!$G$3),0,1),1))</f>
        <v>#REF!</v>
      </c>
      <c r="M865" s="9" t="e">
        <f>IF(OR(Data!B865="",Data!#REF!=""),"",IF(ISNUMBER(MATCH(Data!#REF!,Data_Val!$F$1:$F$38,0)),0,1))</f>
        <v>#REF!</v>
      </c>
      <c r="N865" s="9" t="e">
        <f>IF(OR(Data!B865="",Data!#REF!=""),"",IF(Data!#REF!="",1,0))</f>
        <v>#REF!</v>
      </c>
      <c r="O865" s="17" t="e">
        <f>IF(Data!#REF!="","",IF(Data!#REF!="",1,0))</f>
        <v>#REF!</v>
      </c>
      <c r="P865" s="17" t="e">
        <f>IF(Data!#REF!="","",IF(ISNUMBER(MATCH(Data!#REF!,Data_Val!$A$2:$A$3,0)),0,1))</f>
        <v>#REF!</v>
      </c>
      <c r="Q865" s="25" t="e">
        <f ca="1">IF(Data!#REF!="","",IF(ISNUMBER(Data!#REF!),IF(AND(Data!#REF!&gt;(TODAY()-(Data_Val!$J$3*365.25)),Data!#REF!&lt;=(TODAY()-(Data_Val!$J$2*365.25))),0,1),1))</f>
        <v>#REF!</v>
      </c>
      <c r="R865" s="17" t="e">
        <f>IF(Data!#REF!="","",IF(ISNUMBER(MATCH(Data!#REF!,Data_Val!$B$2:$B$15,0)),0,1))</f>
        <v>#REF!</v>
      </c>
      <c r="S865" s="11" t="str">
        <f>IF(Data!G865="","",IF(Data!G865=Data_Val!$C$2,IF(Data!M865="",0,1),0))</f>
        <v/>
      </c>
      <c r="T865" s="11" t="str">
        <f>IF(Data!M865="","",IF(ISNUMBER(MATCH(Data!N865,Data_Val!$A$2:$A$3,0)),0,1))</f>
        <v/>
      </c>
      <c r="U865" s="11" t="str">
        <f ca="1">IF(Data!M865="","",IF(ISNUMBER(Data!O865),IF(AND(Data!O865&gt;(TODAY()-(Data_Val!$K$3*365.25)),Data!O865&lt;=(TODAY()-(Data_Val!$K$2*365.25))),0,1),1))</f>
        <v/>
      </c>
      <c r="V865" s="12" t="str">
        <f>IF(Data!G865="","",IF(Data!G865=Data_Val!$C$2,IF(Data!P865="",0,1),0))</f>
        <v/>
      </c>
      <c r="W865" s="12" t="str">
        <f>IF(Data!P865="","",IF(ISNUMBER(MATCH(Data!Q865,Data_Val!$A$2:$A$3,0)),0,1))</f>
        <v/>
      </c>
      <c r="X865" s="26" t="str">
        <f ca="1">IF(Data!P865="","",IF(ISNUMBER(Data!R865),IF(AND(Data!R865&gt;(TODAY()-(Data_Val!$L$3*365.25)),Data!R865&lt;=(TODAY()-(Data_Val!$L$2*365.25))),0,1),1))</f>
        <v/>
      </c>
      <c r="Y865" s="13" t="str">
        <f>IF(Data!$G865="","",IF(Data!$G865=Data_Val!$C$2,IF(Data!S865="",0,1),0))</f>
        <v/>
      </c>
      <c r="Z865" s="13" t="str">
        <f>IF(Data!S865="","",IF(ISNUMBER(MATCH(Data!T865,Data_Val!$A$2:$A$3,0)),0,1))</f>
        <v/>
      </c>
      <c r="AA865" s="28" t="str">
        <f ca="1">IF(Data!S865="","",IF(ISNUMBER(Data!U865),IF(AND(Data!U865&gt;(TODAY()-(Data_Val!$L$3*365.25)),Data!U865&lt;=(TODAY()-(Data_Val!$L$2*365.25))),0,1),1))</f>
        <v/>
      </c>
      <c r="AB865" s="11"/>
      <c r="AC865" s="11" t="e">
        <f>IF(Data!#REF!="","",IF(ISNUMBER(MATCH(Data!#REF!,Data_Val!$A$2:$A$3,0)),0,1))</f>
        <v>#REF!</v>
      </c>
      <c r="AD865" s="11" t="e">
        <f ca="1">IF(Data!#REF!="","",IF(ISNUMBER(Data!#REF!),IF(AND(Data!#REF!&gt;(TODAY()-(Data_Val!$L$3*365.25)),Data!#REF!&lt;=(TODAY()-(Data_Val!$L$2*365.25))),0,1),1))</f>
        <v>#REF!</v>
      </c>
      <c r="AE865" s="11" t="e">
        <f>IF(Data!#REF!="","",IF(Data!$G865="",1,IF(ISNUMBER(MATCH(Data!#REF!,Data_Val!$D$2:$D$10,0)),0,1)))</f>
        <v>#REF!</v>
      </c>
      <c r="AF865" s="12"/>
      <c r="AG865" s="12" t="e">
        <f>IF(Data!#REF!="","",IF(ISNUMBER(MATCH(Data!#REF!,Data_Val!$A$2:$A$3,0)),0,1))</f>
        <v>#REF!</v>
      </c>
      <c r="AH865" s="26" t="e">
        <f ca="1">IF(Data!#REF!="","",IF(ISNUMBER(Data!#REF!),IF(AND(Data!#REF!&gt;(TODAY()-(Data_Val!$L$3*365.25)),Data!#REF!&lt;=(TODAY()-(Data_Val!$L$2*365.25))),0,1),1))</f>
        <v>#REF!</v>
      </c>
      <c r="AI865" s="12" t="e">
        <f>IF(Data!#REF!="","",IF(Data!$G865="",1,IF(ISNUMBER(MATCH(Data!#REF!,Data_Val!$D$2:$D$10,0)),0,1)))</f>
        <v>#REF!</v>
      </c>
      <c r="AJ865" s="17"/>
      <c r="AK865" s="17" t="e">
        <f>IF(Data!#REF!="","",IF(ISNUMBER(MATCH(Data!#REF!,Data_Val!$A$2:$A$3,0)),0,1))</f>
        <v>#REF!</v>
      </c>
      <c r="AL865" s="25" t="e">
        <f ca="1">IF(Data!#REF!="","",IF(ISNUMBER(Data!#REF!),IF(AND(Data!#REF!&gt;(TODAY()-(Data_Val!$L$3*365.25)),Data!#REF!&lt;=(TODAY()-(Data_Val!$L$2*365.25))),0,1),1))</f>
        <v>#REF!</v>
      </c>
      <c r="AM865" s="17" t="e">
        <f>IF(Data!#REF!="","",IF(Data!$G865="",1,IF(ISNUMBER(MATCH(Data!#REF!,Data_Val!$D$2:$D$10,0)),0,1)))</f>
        <v>#REF!</v>
      </c>
      <c r="AN865" s="13"/>
      <c r="AO865" s="28" t="e">
        <f ca="1">IF(Data!#REF!="","",IF(ISNUMBER(Data!#REF!),IF(AND(Data!#REF!&gt;(TODAY()-(Data_Val!$I$3*365.25)),Data!#REF!&lt;=(TODAY()-(Data_Val!$I$2*365.25))),0,1),1))</f>
        <v>#REF!</v>
      </c>
      <c r="AP865" s="13" t="e">
        <f>IF(Data!#REF!="","",IF(Data!$G865="",1,IF(ISNUMBER(MATCH(Data!#REF!,Data_Val!$D$2:$D$10,0)),0,1)))</f>
        <v>#REF!</v>
      </c>
      <c r="AQ865" s="17"/>
      <c r="AR865" s="30" t="e">
        <f ca="1">IF(Data!#REF!="","",IF(ISNUMBER(Data!#REF!),IF(AND(Data!#REF!&gt;(TODAY()-(Data_Val!$I$3*365.25)),Data!#REF!&lt;=(TODAY()-(Data_Val!$I$2*365.25))),0,1),1))</f>
        <v>#REF!</v>
      </c>
      <c r="AS865" s="31" t="e">
        <f>IF(Data!#REF!="","",IF(Data!$G865="",1,IF(ISNUMBER(MATCH(Data!#REF!,Data_Val!$D$2:$D$10,0)),0,1)))</f>
        <v>#REF!</v>
      </c>
      <c r="AT865" s="11"/>
      <c r="AU865" s="11" t="e">
        <f ca="1">IF(Data!#REF!="","",IF(ISNUMBER(Data!#REF!),IF(AND(Data!#REF!&gt;(TODAY()-(Data_Val!$I$3*365.25)),Data!#REF!&lt;=(TODAY()-(Data_Val!$I$2*365.25))),0,1),1))</f>
        <v>#REF!</v>
      </c>
      <c r="AV865" s="11" t="e">
        <f>IF(Data!#REF!="","",IF(Data!$G865="",1,IF(ISNUMBER(MATCH(Data!#REF!,Data_Val!$D$2:$D$10,0)),0,1)))</f>
        <v>#REF!</v>
      </c>
      <c r="AW865" s="12"/>
      <c r="AX865" s="26" t="e">
        <f ca="1">IF(Data!#REF!="","",IF(ISNUMBER(Data!#REF!),IF(AND(Data!#REF!&gt;(TODAY()-(Data_Val!$I$3*365.25)),Data!#REF!&lt;=(TODAY()-(Data_Val!$I$2*365.25))),0,1),1))</f>
        <v>#REF!</v>
      </c>
      <c r="AY865" s="12" t="e">
        <f>IF(Data!#REF!="","",IF(Data!$G865="",1,IF(ISNUMBER(MATCH(Data!#REF!,Data_Val!$D$2:$D$10,0)),0,1)))</f>
        <v>#REF!</v>
      </c>
      <c r="AZ865" s="11"/>
      <c r="BA865" s="19" t="e">
        <f ca="1">IF(Data!#REF!="","",IF(ISNUMBER(Data!#REF!),IF(AND(Data!#REF!&gt;(TODAY()-(Data_Val!$M$3*365.25)),Data!#REF!&lt;=(TODAY()-(Data_Val!$M$2*365.25))),0,1),1))</f>
        <v>#REF!</v>
      </c>
      <c r="BB865" s="11" t="e">
        <f>IF(Data!#REF!="","",IF(Data!$G865="",1,IF(ISNUMBER(MATCH(Data!#REF!,Data_Val!$D$2:$D$10,0)),0,1)))</f>
        <v>#REF!</v>
      </c>
      <c r="BC865" s="12"/>
      <c r="BD865" s="20" t="e">
        <f ca="1">IF(Data!#REF!="","",IF(ISNUMBER(Data!#REF!),IF(AND(Data!#REF!&gt;(TODAY()-(Data_Val!$M$3*365.25)),Data!#REF!&lt;=(TODAY()-(Data_Val!$M$2*365.25))),0,1),1))</f>
        <v>#REF!</v>
      </c>
      <c r="BE865" s="12" t="e">
        <f>IF(Data!#REF!="","",IF(Data!$G865="",1,IF(ISNUMBER(MATCH(Data!#REF!,Data_Val!$D$2:$D$10,0)),0,1)))</f>
        <v>#REF!</v>
      </c>
      <c r="BF865" s="17"/>
      <c r="BG865" s="18" t="e">
        <f ca="1">IF(Data!#REF!="","",IF(ISNUMBER(Data!#REF!),IF(AND(Data!#REF!&gt;(TODAY()-(Data_Val!$M$3*365.25)),Data!#REF!&lt;=(TODAY()-(Data_Val!$M$2*365.25))),0,1),1))</f>
        <v>#REF!</v>
      </c>
      <c r="BH865" s="29" t="e">
        <f>IF(Data!#REF!="","",IF(Data!$G865="",1,IF(ISNUMBER(MATCH(Data!#REF!,Data_Val!$D$2:$D$10,0)),0,1)))</f>
        <v>#REF!</v>
      </c>
      <c r="BI865" s="13"/>
      <c r="BJ865" s="21" t="e">
        <f ca="1">IF(Data!#REF!="","",IF(ISNUMBER(Data!#REF!),IF(AND(Data!#REF!&gt;(TODAY()-(Data_Val!$M$3*365.25)),Data!#REF!&lt;=(TODAY()-(Data_Val!$M$2*365.25))),0,1),1))</f>
        <v>#REF!</v>
      </c>
      <c r="BK865" s="13" t="e">
        <f>IF(Data!#REF!="","",IF(Data!$G865="",1,IF(ISNUMBER(MATCH(Data!#REF!,Data_Val!$D$2:$D$10,0)),0,1)))</f>
        <v>#REF!</v>
      </c>
    </row>
    <row r="866" spans="1:63" x14ac:dyDescent="0.25">
      <c r="A866" s="9" t="str">
        <f>IF(Data!B866="","",IF(COUNTIFS(Data!A$1:'Data'!A866,Data!A866)&lt;=1,0,1))</f>
        <v/>
      </c>
      <c r="B866" s="9"/>
      <c r="C866" s="23" t="str">
        <f>IF(Data!C866="","",(IF(ISNUMBER(MATCH("*@*.?*",Data!C866,0)),0,1)+IF(COUNTIFS(Data!C$1:'Data'!C866,Data!C866)&gt;1,1,0)))</f>
        <v/>
      </c>
      <c r="D866" s="9" t="str">
        <f>IF(Data!B866="","",IF(ISNUMBER(Data!D866),IF(AND(Data!D866&gt;999999999,Data!D866&lt;=9999999999),IF(COUNTIFS(Data!D$1:'Data'!D866,Data!D866)&lt;=1,0,1),1),1))</f>
        <v/>
      </c>
      <c r="E866" s="9" t="str">
        <f>IF(Data!B866="","",IF(ISNUMBER(MATCH(Data!E866,Data_Val!$A$2:$A$3,0)),0,1))</f>
        <v/>
      </c>
      <c r="F866" s="9" t="str">
        <f ca="1">IF(Data!B866="","",IF(ISNUMBER(Data!F866),IF(AND(Data!F866&gt;(TODAY()-(Data_Val!$H$3*365.25)),Data!F866&lt;=(TODAY()-(Data_Val!$H$2*365.25))),0,1),1))</f>
        <v/>
      </c>
      <c r="G866" s="15" t="str">
        <f>IF(Data!B866="","",IF(AND(Data!G866="",Data!H866&lt;&gt;""),1,IF(Data!#REF!&lt;&gt;"",0,IF(ISNUMBER(MATCH(Data!G866,Data_Val!$C$2:$C$5,0)),0,1))))</f>
        <v/>
      </c>
      <c r="H866" s="15" t="str">
        <f>IF(Data!B866="","",IF(AND(Data!G866&lt;&gt;"",Data!H866=""),1,IF(Data!#REF!&lt;&gt;"",0,IF(Data!G866="",1,IF(ISNUMBER(MATCH(Data!H866,Data_Val!$D$2:$D$35,0)),0,1)))))</f>
        <v/>
      </c>
      <c r="I866" s="15" t="str">
        <f>IF(Data!B866="","",IF(Data!G866&lt;&gt;"",0,IF(ISNUMBER(MATCH(Data!#REF!,Data_Val!$E$2:$E$12,0)),0,1)))</f>
        <v/>
      </c>
      <c r="J866" s="16" t="e">
        <f>IF(OR(Data!B866="",Data!#REF!=""),"",IF(Data!#REF!="",1,0))</f>
        <v>#REF!</v>
      </c>
      <c r="K866" s="16" t="e">
        <f>IF(OR(Data!B866="",Data!#REF!=""),"",IF(Data!#REF!="",1,0))</f>
        <v>#REF!</v>
      </c>
      <c r="L866" s="16" t="e">
        <f>IF(OR(Data!B866="",Data!#REF!=""),"",IF(ISNUMBER(Data!#REF!),IF(AND(Data!#REF!&gt;Data_Val!$G$2,Data!#REF!&lt;=Data_Val!$G$3),0,1),1))</f>
        <v>#REF!</v>
      </c>
      <c r="M866" s="9" t="e">
        <f>IF(OR(Data!B866="",Data!#REF!=""),"",IF(ISNUMBER(MATCH(Data!#REF!,Data_Val!$F$1:$F$38,0)),0,1))</f>
        <v>#REF!</v>
      </c>
      <c r="N866" s="9" t="e">
        <f>IF(OR(Data!B866="",Data!#REF!=""),"",IF(Data!#REF!="",1,0))</f>
        <v>#REF!</v>
      </c>
      <c r="O866" s="17" t="e">
        <f>IF(Data!#REF!="","",IF(Data!#REF!="",1,0))</f>
        <v>#REF!</v>
      </c>
      <c r="P866" s="17" t="e">
        <f>IF(Data!#REF!="","",IF(ISNUMBER(MATCH(Data!#REF!,Data_Val!$A$2:$A$3,0)),0,1))</f>
        <v>#REF!</v>
      </c>
      <c r="Q866" s="25" t="e">
        <f ca="1">IF(Data!#REF!="","",IF(ISNUMBER(Data!#REF!),IF(AND(Data!#REF!&gt;(TODAY()-(Data_Val!$J$3*365.25)),Data!#REF!&lt;=(TODAY()-(Data_Val!$J$2*365.25))),0,1),1))</f>
        <v>#REF!</v>
      </c>
      <c r="R866" s="17" t="e">
        <f>IF(Data!#REF!="","",IF(ISNUMBER(MATCH(Data!#REF!,Data_Val!$B$2:$B$15,0)),0,1))</f>
        <v>#REF!</v>
      </c>
      <c r="S866" s="11" t="str">
        <f>IF(Data!G866="","",IF(Data!G866=Data_Val!$C$2,IF(Data!M866="",0,1),0))</f>
        <v/>
      </c>
      <c r="T866" s="11" t="str">
        <f>IF(Data!M866="","",IF(ISNUMBER(MATCH(Data!N866,Data_Val!$A$2:$A$3,0)),0,1))</f>
        <v/>
      </c>
      <c r="U866" s="11" t="str">
        <f ca="1">IF(Data!M866="","",IF(ISNUMBER(Data!O866),IF(AND(Data!O866&gt;(TODAY()-(Data_Val!$K$3*365.25)),Data!O866&lt;=(TODAY()-(Data_Val!$K$2*365.25))),0,1),1))</f>
        <v/>
      </c>
      <c r="V866" s="12" t="str">
        <f>IF(Data!G866="","",IF(Data!G866=Data_Val!$C$2,IF(Data!P866="",0,1),0))</f>
        <v/>
      </c>
      <c r="W866" s="12" t="str">
        <f>IF(Data!P866="","",IF(ISNUMBER(MATCH(Data!Q866,Data_Val!$A$2:$A$3,0)),0,1))</f>
        <v/>
      </c>
      <c r="X866" s="26" t="str">
        <f ca="1">IF(Data!P866="","",IF(ISNUMBER(Data!R866),IF(AND(Data!R866&gt;(TODAY()-(Data_Val!$L$3*365.25)),Data!R866&lt;=(TODAY()-(Data_Val!$L$2*365.25))),0,1),1))</f>
        <v/>
      </c>
      <c r="Y866" s="13" t="str">
        <f>IF(Data!$G866="","",IF(Data!$G866=Data_Val!$C$2,IF(Data!S866="",0,1),0))</f>
        <v/>
      </c>
      <c r="Z866" s="13" t="str">
        <f>IF(Data!S866="","",IF(ISNUMBER(MATCH(Data!T866,Data_Val!$A$2:$A$3,0)),0,1))</f>
        <v/>
      </c>
      <c r="AA866" s="28" t="str">
        <f ca="1">IF(Data!S866="","",IF(ISNUMBER(Data!U866),IF(AND(Data!U866&gt;(TODAY()-(Data_Val!$L$3*365.25)),Data!U866&lt;=(TODAY()-(Data_Val!$L$2*365.25))),0,1),1))</f>
        <v/>
      </c>
      <c r="AB866" s="11"/>
      <c r="AC866" s="11" t="e">
        <f>IF(Data!#REF!="","",IF(ISNUMBER(MATCH(Data!#REF!,Data_Val!$A$2:$A$3,0)),0,1))</f>
        <v>#REF!</v>
      </c>
      <c r="AD866" s="11" t="e">
        <f ca="1">IF(Data!#REF!="","",IF(ISNUMBER(Data!#REF!),IF(AND(Data!#REF!&gt;(TODAY()-(Data_Val!$L$3*365.25)),Data!#REF!&lt;=(TODAY()-(Data_Val!$L$2*365.25))),0,1),1))</f>
        <v>#REF!</v>
      </c>
      <c r="AE866" s="11" t="e">
        <f>IF(Data!#REF!="","",IF(Data!$G866="",1,IF(ISNUMBER(MATCH(Data!#REF!,Data_Val!$D$2:$D$10,0)),0,1)))</f>
        <v>#REF!</v>
      </c>
      <c r="AF866" s="12"/>
      <c r="AG866" s="12" t="e">
        <f>IF(Data!#REF!="","",IF(ISNUMBER(MATCH(Data!#REF!,Data_Val!$A$2:$A$3,0)),0,1))</f>
        <v>#REF!</v>
      </c>
      <c r="AH866" s="26" t="e">
        <f ca="1">IF(Data!#REF!="","",IF(ISNUMBER(Data!#REF!),IF(AND(Data!#REF!&gt;(TODAY()-(Data_Val!$L$3*365.25)),Data!#REF!&lt;=(TODAY()-(Data_Val!$L$2*365.25))),0,1),1))</f>
        <v>#REF!</v>
      </c>
      <c r="AI866" s="12" t="e">
        <f>IF(Data!#REF!="","",IF(Data!$G866="",1,IF(ISNUMBER(MATCH(Data!#REF!,Data_Val!$D$2:$D$10,0)),0,1)))</f>
        <v>#REF!</v>
      </c>
      <c r="AJ866" s="17"/>
      <c r="AK866" s="17" t="e">
        <f>IF(Data!#REF!="","",IF(ISNUMBER(MATCH(Data!#REF!,Data_Val!$A$2:$A$3,0)),0,1))</f>
        <v>#REF!</v>
      </c>
      <c r="AL866" s="25" t="e">
        <f ca="1">IF(Data!#REF!="","",IF(ISNUMBER(Data!#REF!),IF(AND(Data!#REF!&gt;(TODAY()-(Data_Val!$L$3*365.25)),Data!#REF!&lt;=(TODAY()-(Data_Val!$L$2*365.25))),0,1),1))</f>
        <v>#REF!</v>
      </c>
      <c r="AM866" s="17" t="e">
        <f>IF(Data!#REF!="","",IF(Data!$G866="",1,IF(ISNUMBER(MATCH(Data!#REF!,Data_Val!$D$2:$D$10,0)),0,1)))</f>
        <v>#REF!</v>
      </c>
      <c r="AN866" s="13"/>
      <c r="AO866" s="28" t="e">
        <f ca="1">IF(Data!#REF!="","",IF(ISNUMBER(Data!#REF!),IF(AND(Data!#REF!&gt;(TODAY()-(Data_Val!$I$3*365.25)),Data!#REF!&lt;=(TODAY()-(Data_Val!$I$2*365.25))),0,1),1))</f>
        <v>#REF!</v>
      </c>
      <c r="AP866" s="13" t="e">
        <f>IF(Data!#REF!="","",IF(Data!$G866="",1,IF(ISNUMBER(MATCH(Data!#REF!,Data_Val!$D$2:$D$10,0)),0,1)))</f>
        <v>#REF!</v>
      </c>
      <c r="AQ866" s="17"/>
      <c r="AR866" s="30" t="e">
        <f ca="1">IF(Data!#REF!="","",IF(ISNUMBER(Data!#REF!),IF(AND(Data!#REF!&gt;(TODAY()-(Data_Val!$I$3*365.25)),Data!#REF!&lt;=(TODAY()-(Data_Val!$I$2*365.25))),0,1),1))</f>
        <v>#REF!</v>
      </c>
      <c r="AS866" s="31" t="e">
        <f>IF(Data!#REF!="","",IF(Data!$G866="",1,IF(ISNUMBER(MATCH(Data!#REF!,Data_Val!$D$2:$D$10,0)),0,1)))</f>
        <v>#REF!</v>
      </c>
      <c r="AT866" s="11"/>
      <c r="AU866" s="11" t="e">
        <f ca="1">IF(Data!#REF!="","",IF(ISNUMBER(Data!#REF!),IF(AND(Data!#REF!&gt;(TODAY()-(Data_Val!$I$3*365.25)),Data!#REF!&lt;=(TODAY()-(Data_Val!$I$2*365.25))),0,1),1))</f>
        <v>#REF!</v>
      </c>
      <c r="AV866" s="11" t="e">
        <f>IF(Data!#REF!="","",IF(Data!$G866="",1,IF(ISNUMBER(MATCH(Data!#REF!,Data_Val!$D$2:$D$10,0)),0,1)))</f>
        <v>#REF!</v>
      </c>
      <c r="AW866" s="12"/>
      <c r="AX866" s="26" t="e">
        <f ca="1">IF(Data!#REF!="","",IF(ISNUMBER(Data!#REF!),IF(AND(Data!#REF!&gt;(TODAY()-(Data_Val!$I$3*365.25)),Data!#REF!&lt;=(TODAY()-(Data_Val!$I$2*365.25))),0,1),1))</f>
        <v>#REF!</v>
      </c>
      <c r="AY866" s="12" t="e">
        <f>IF(Data!#REF!="","",IF(Data!$G866="",1,IF(ISNUMBER(MATCH(Data!#REF!,Data_Val!$D$2:$D$10,0)),0,1)))</f>
        <v>#REF!</v>
      </c>
      <c r="AZ866" s="11"/>
      <c r="BA866" s="19" t="e">
        <f ca="1">IF(Data!#REF!="","",IF(ISNUMBER(Data!#REF!),IF(AND(Data!#REF!&gt;(TODAY()-(Data_Val!$M$3*365.25)),Data!#REF!&lt;=(TODAY()-(Data_Val!$M$2*365.25))),0,1),1))</f>
        <v>#REF!</v>
      </c>
      <c r="BB866" s="11" t="e">
        <f>IF(Data!#REF!="","",IF(Data!$G866="",1,IF(ISNUMBER(MATCH(Data!#REF!,Data_Val!$D$2:$D$10,0)),0,1)))</f>
        <v>#REF!</v>
      </c>
      <c r="BC866" s="12"/>
      <c r="BD866" s="20" t="e">
        <f ca="1">IF(Data!#REF!="","",IF(ISNUMBER(Data!#REF!),IF(AND(Data!#REF!&gt;(TODAY()-(Data_Val!$M$3*365.25)),Data!#REF!&lt;=(TODAY()-(Data_Val!$M$2*365.25))),0,1),1))</f>
        <v>#REF!</v>
      </c>
      <c r="BE866" s="12" t="e">
        <f>IF(Data!#REF!="","",IF(Data!$G866="",1,IF(ISNUMBER(MATCH(Data!#REF!,Data_Val!$D$2:$D$10,0)),0,1)))</f>
        <v>#REF!</v>
      </c>
      <c r="BF866" s="17"/>
      <c r="BG866" s="18" t="e">
        <f ca="1">IF(Data!#REF!="","",IF(ISNUMBER(Data!#REF!),IF(AND(Data!#REF!&gt;(TODAY()-(Data_Val!$M$3*365.25)),Data!#REF!&lt;=(TODAY()-(Data_Val!$M$2*365.25))),0,1),1))</f>
        <v>#REF!</v>
      </c>
      <c r="BH866" s="29" t="e">
        <f>IF(Data!#REF!="","",IF(Data!$G866="",1,IF(ISNUMBER(MATCH(Data!#REF!,Data_Val!$D$2:$D$10,0)),0,1)))</f>
        <v>#REF!</v>
      </c>
      <c r="BI866" s="13"/>
      <c r="BJ866" s="21" t="e">
        <f ca="1">IF(Data!#REF!="","",IF(ISNUMBER(Data!#REF!),IF(AND(Data!#REF!&gt;(TODAY()-(Data_Val!$M$3*365.25)),Data!#REF!&lt;=(TODAY()-(Data_Val!$M$2*365.25))),0,1),1))</f>
        <v>#REF!</v>
      </c>
      <c r="BK866" s="13" t="e">
        <f>IF(Data!#REF!="","",IF(Data!$G866="",1,IF(ISNUMBER(MATCH(Data!#REF!,Data_Val!$D$2:$D$10,0)),0,1)))</f>
        <v>#REF!</v>
      </c>
    </row>
    <row r="867" spans="1:63" x14ac:dyDescent="0.25">
      <c r="A867" s="9" t="str">
        <f>IF(Data!B867="","",IF(COUNTIFS(Data!A$1:'Data'!A867,Data!A867)&lt;=1,0,1))</f>
        <v/>
      </c>
      <c r="B867" s="9"/>
      <c r="C867" s="23" t="str">
        <f>IF(Data!C867="","",(IF(ISNUMBER(MATCH("*@*.?*",Data!C867,0)),0,1)+IF(COUNTIFS(Data!C$1:'Data'!C867,Data!C867)&gt;1,1,0)))</f>
        <v/>
      </c>
      <c r="D867" s="9" t="str">
        <f>IF(Data!B867="","",IF(ISNUMBER(Data!D867),IF(AND(Data!D867&gt;999999999,Data!D867&lt;=9999999999),IF(COUNTIFS(Data!D$1:'Data'!D867,Data!D867)&lt;=1,0,1),1),1))</f>
        <v/>
      </c>
      <c r="E867" s="9" t="str">
        <f>IF(Data!B867="","",IF(ISNUMBER(MATCH(Data!E867,Data_Val!$A$2:$A$3,0)),0,1))</f>
        <v/>
      </c>
      <c r="F867" s="9" t="str">
        <f ca="1">IF(Data!B867="","",IF(ISNUMBER(Data!F867),IF(AND(Data!F867&gt;(TODAY()-(Data_Val!$H$3*365.25)),Data!F867&lt;=(TODAY()-(Data_Val!$H$2*365.25))),0,1),1))</f>
        <v/>
      </c>
      <c r="G867" s="15" t="str">
        <f>IF(Data!B867="","",IF(AND(Data!G867="",Data!H867&lt;&gt;""),1,IF(Data!#REF!&lt;&gt;"",0,IF(ISNUMBER(MATCH(Data!G867,Data_Val!$C$2:$C$5,0)),0,1))))</f>
        <v/>
      </c>
      <c r="H867" s="15" t="str">
        <f>IF(Data!B867="","",IF(AND(Data!G867&lt;&gt;"",Data!H867=""),1,IF(Data!#REF!&lt;&gt;"",0,IF(Data!G867="",1,IF(ISNUMBER(MATCH(Data!H867,Data_Val!$D$2:$D$35,0)),0,1)))))</f>
        <v/>
      </c>
      <c r="I867" s="15" t="str">
        <f>IF(Data!B867="","",IF(Data!G867&lt;&gt;"",0,IF(ISNUMBER(MATCH(Data!#REF!,Data_Val!$E$2:$E$12,0)),0,1)))</f>
        <v/>
      </c>
      <c r="J867" s="16" t="e">
        <f>IF(OR(Data!B867="",Data!#REF!=""),"",IF(Data!#REF!="",1,0))</f>
        <v>#REF!</v>
      </c>
      <c r="K867" s="16" t="e">
        <f>IF(OR(Data!B867="",Data!#REF!=""),"",IF(Data!#REF!="",1,0))</f>
        <v>#REF!</v>
      </c>
      <c r="L867" s="16" t="e">
        <f>IF(OR(Data!B867="",Data!#REF!=""),"",IF(ISNUMBER(Data!#REF!),IF(AND(Data!#REF!&gt;Data_Val!$G$2,Data!#REF!&lt;=Data_Val!$G$3),0,1),1))</f>
        <v>#REF!</v>
      </c>
      <c r="M867" s="9" t="e">
        <f>IF(OR(Data!B867="",Data!#REF!=""),"",IF(ISNUMBER(MATCH(Data!#REF!,Data_Val!$F$1:$F$38,0)),0,1))</f>
        <v>#REF!</v>
      </c>
      <c r="N867" s="9" t="e">
        <f>IF(OR(Data!B867="",Data!#REF!=""),"",IF(Data!#REF!="",1,0))</f>
        <v>#REF!</v>
      </c>
      <c r="O867" s="17" t="e">
        <f>IF(Data!#REF!="","",IF(Data!#REF!="",1,0))</f>
        <v>#REF!</v>
      </c>
      <c r="P867" s="17" t="e">
        <f>IF(Data!#REF!="","",IF(ISNUMBER(MATCH(Data!#REF!,Data_Val!$A$2:$A$3,0)),0,1))</f>
        <v>#REF!</v>
      </c>
      <c r="Q867" s="25" t="e">
        <f ca="1">IF(Data!#REF!="","",IF(ISNUMBER(Data!#REF!),IF(AND(Data!#REF!&gt;(TODAY()-(Data_Val!$J$3*365.25)),Data!#REF!&lt;=(TODAY()-(Data_Val!$J$2*365.25))),0,1),1))</f>
        <v>#REF!</v>
      </c>
      <c r="R867" s="17" t="e">
        <f>IF(Data!#REF!="","",IF(ISNUMBER(MATCH(Data!#REF!,Data_Val!$B$2:$B$15,0)),0,1))</f>
        <v>#REF!</v>
      </c>
      <c r="S867" s="11" t="str">
        <f>IF(Data!G867="","",IF(Data!G867=Data_Val!$C$2,IF(Data!M867="",0,1),0))</f>
        <v/>
      </c>
      <c r="T867" s="11" t="str">
        <f>IF(Data!M867="","",IF(ISNUMBER(MATCH(Data!N867,Data_Val!$A$2:$A$3,0)),0,1))</f>
        <v/>
      </c>
      <c r="U867" s="11" t="str">
        <f ca="1">IF(Data!M867="","",IF(ISNUMBER(Data!O867),IF(AND(Data!O867&gt;(TODAY()-(Data_Val!$K$3*365.25)),Data!O867&lt;=(TODAY()-(Data_Val!$K$2*365.25))),0,1),1))</f>
        <v/>
      </c>
      <c r="V867" s="12" t="str">
        <f>IF(Data!G867="","",IF(Data!G867=Data_Val!$C$2,IF(Data!P867="",0,1),0))</f>
        <v/>
      </c>
      <c r="W867" s="12" t="str">
        <f>IF(Data!P867="","",IF(ISNUMBER(MATCH(Data!Q867,Data_Val!$A$2:$A$3,0)),0,1))</f>
        <v/>
      </c>
      <c r="X867" s="26" t="str">
        <f ca="1">IF(Data!P867="","",IF(ISNUMBER(Data!R867),IF(AND(Data!R867&gt;(TODAY()-(Data_Val!$L$3*365.25)),Data!R867&lt;=(TODAY()-(Data_Val!$L$2*365.25))),0,1),1))</f>
        <v/>
      </c>
      <c r="Y867" s="13" t="str">
        <f>IF(Data!$G867="","",IF(Data!$G867=Data_Val!$C$2,IF(Data!S867="",0,1),0))</f>
        <v/>
      </c>
      <c r="Z867" s="13" t="str">
        <f>IF(Data!S867="","",IF(ISNUMBER(MATCH(Data!T867,Data_Val!$A$2:$A$3,0)),0,1))</f>
        <v/>
      </c>
      <c r="AA867" s="28" t="str">
        <f ca="1">IF(Data!S867="","",IF(ISNUMBER(Data!U867),IF(AND(Data!U867&gt;(TODAY()-(Data_Val!$L$3*365.25)),Data!U867&lt;=(TODAY()-(Data_Val!$L$2*365.25))),0,1),1))</f>
        <v/>
      </c>
      <c r="AB867" s="11"/>
      <c r="AC867" s="11" t="e">
        <f>IF(Data!#REF!="","",IF(ISNUMBER(MATCH(Data!#REF!,Data_Val!$A$2:$A$3,0)),0,1))</f>
        <v>#REF!</v>
      </c>
      <c r="AD867" s="11" t="e">
        <f ca="1">IF(Data!#REF!="","",IF(ISNUMBER(Data!#REF!),IF(AND(Data!#REF!&gt;(TODAY()-(Data_Val!$L$3*365.25)),Data!#REF!&lt;=(TODAY()-(Data_Val!$L$2*365.25))),0,1),1))</f>
        <v>#REF!</v>
      </c>
      <c r="AE867" s="11" t="e">
        <f>IF(Data!#REF!="","",IF(Data!$G867="",1,IF(ISNUMBER(MATCH(Data!#REF!,Data_Val!$D$2:$D$10,0)),0,1)))</f>
        <v>#REF!</v>
      </c>
      <c r="AF867" s="12"/>
      <c r="AG867" s="12" t="e">
        <f>IF(Data!#REF!="","",IF(ISNUMBER(MATCH(Data!#REF!,Data_Val!$A$2:$A$3,0)),0,1))</f>
        <v>#REF!</v>
      </c>
      <c r="AH867" s="26" t="e">
        <f ca="1">IF(Data!#REF!="","",IF(ISNUMBER(Data!#REF!),IF(AND(Data!#REF!&gt;(TODAY()-(Data_Val!$L$3*365.25)),Data!#REF!&lt;=(TODAY()-(Data_Val!$L$2*365.25))),0,1),1))</f>
        <v>#REF!</v>
      </c>
      <c r="AI867" s="12" t="e">
        <f>IF(Data!#REF!="","",IF(Data!$G867="",1,IF(ISNUMBER(MATCH(Data!#REF!,Data_Val!$D$2:$D$10,0)),0,1)))</f>
        <v>#REF!</v>
      </c>
      <c r="AJ867" s="17"/>
      <c r="AK867" s="17" t="e">
        <f>IF(Data!#REF!="","",IF(ISNUMBER(MATCH(Data!#REF!,Data_Val!$A$2:$A$3,0)),0,1))</f>
        <v>#REF!</v>
      </c>
      <c r="AL867" s="25" t="e">
        <f ca="1">IF(Data!#REF!="","",IF(ISNUMBER(Data!#REF!),IF(AND(Data!#REF!&gt;(TODAY()-(Data_Val!$L$3*365.25)),Data!#REF!&lt;=(TODAY()-(Data_Val!$L$2*365.25))),0,1),1))</f>
        <v>#REF!</v>
      </c>
      <c r="AM867" s="17" t="e">
        <f>IF(Data!#REF!="","",IF(Data!$G867="",1,IF(ISNUMBER(MATCH(Data!#REF!,Data_Val!$D$2:$D$10,0)),0,1)))</f>
        <v>#REF!</v>
      </c>
      <c r="AN867" s="13"/>
      <c r="AO867" s="28" t="e">
        <f ca="1">IF(Data!#REF!="","",IF(ISNUMBER(Data!#REF!),IF(AND(Data!#REF!&gt;(TODAY()-(Data_Val!$I$3*365.25)),Data!#REF!&lt;=(TODAY()-(Data_Val!$I$2*365.25))),0,1),1))</f>
        <v>#REF!</v>
      </c>
      <c r="AP867" s="13" t="e">
        <f>IF(Data!#REF!="","",IF(Data!$G867="",1,IF(ISNUMBER(MATCH(Data!#REF!,Data_Val!$D$2:$D$10,0)),0,1)))</f>
        <v>#REF!</v>
      </c>
      <c r="AQ867" s="17"/>
      <c r="AR867" s="30" t="e">
        <f ca="1">IF(Data!#REF!="","",IF(ISNUMBER(Data!#REF!),IF(AND(Data!#REF!&gt;(TODAY()-(Data_Val!$I$3*365.25)),Data!#REF!&lt;=(TODAY()-(Data_Val!$I$2*365.25))),0,1),1))</f>
        <v>#REF!</v>
      </c>
      <c r="AS867" s="31" t="e">
        <f>IF(Data!#REF!="","",IF(Data!$G867="",1,IF(ISNUMBER(MATCH(Data!#REF!,Data_Val!$D$2:$D$10,0)),0,1)))</f>
        <v>#REF!</v>
      </c>
      <c r="AT867" s="11"/>
      <c r="AU867" s="11" t="e">
        <f ca="1">IF(Data!#REF!="","",IF(ISNUMBER(Data!#REF!),IF(AND(Data!#REF!&gt;(TODAY()-(Data_Val!$I$3*365.25)),Data!#REF!&lt;=(TODAY()-(Data_Val!$I$2*365.25))),0,1),1))</f>
        <v>#REF!</v>
      </c>
      <c r="AV867" s="11" t="e">
        <f>IF(Data!#REF!="","",IF(Data!$G867="",1,IF(ISNUMBER(MATCH(Data!#REF!,Data_Val!$D$2:$D$10,0)),0,1)))</f>
        <v>#REF!</v>
      </c>
      <c r="AW867" s="12"/>
      <c r="AX867" s="26" t="e">
        <f ca="1">IF(Data!#REF!="","",IF(ISNUMBER(Data!#REF!),IF(AND(Data!#REF!&gt;(TODAY()-(Data_Val!$I$3*365.25)),Data!#REF!&lt;=(TODAY()-(Data_Val!$I$2*365.25))),0,1),1))</f>
        <v>#REF!</v>
      </c>
      <c r="AY867" s="12" t="e">
        <f>IF(Data!#REF!="","",IF(Data!$G867="",1,IF(ISNUMBER(MATCH(Data!#REF!,Data_Val!$D$2:$D$10,0)),0,1)))</f>
        <v>#REF!</v>
      </c>
      <c r="AZ867" s="11"/>
      <c r="BA867" s="19" t="e">
        <f ca="1">IF(Data!#REF!="","",IF(ISNUMBER(Data!#REF!),IF(AND(Data!#REF!&gt;(TODAY()-(Data_Val!$M$3*365.25)),Data!#REF!&lt;=(TODAY()-(Data_Val!$M$2*365.25))),0,1),1))</f>
        <v>#REF!</v>
      </c>
      <c r="BB867" s="11" t="e">
        <f>IF(Data!#REF!="","",IF(Data!$G867="",1,IF(ISNUMBER(MATCH(Data!#REF!,Data_Val!$D$2:$D$10,0)),0,1)))</f>
        <v>#REF!</v>
      </c>
      <c r="BC867" s="12"/>
      <c r="BD867" s="20" t="e">
        <f ca="1">IF(Data!#REF!="","",IF(ISNUMBER(Data!#REF!),IF(AND(Data!#REF!&gt;(TODAY()-(Data_Val!$M$3*365.25)),Data!#REF!&lt;=(TODAY()-(Data_Val!$M$2*365.25))),0,1),1))</f>
        <v>#REF!</v>
      </c>
      <c r="BE867" s="12" t="e">
        <f>IF(Data!#REF!="","",IF(Data!$G867="",1,IF(ISNUMBER(MATCH(Data!#REF!,Data_Val!$D$2:$D$10,0)),0,1)))</f>
        <v>#REF!</v>
      </c>
      <c r="BF867" s="17"/>
      <c r="BG867" s="18" t="e">
        <f ca="1">IF(Data!#REF!="","",IF(ISNUMBER(Data!#REF!),IF(AND(Data!#REF!&gt;(TODAY()-(Data_Val!$M$3*365.25)),Data!#REF!&lt;=(TODAY()-(Data_Val!$M$2*365.25))),0,1),1))</f>
        <v>#REF!</v>
      </c>
      <c r="BH867" s="29" t="e">
        <f>IF(Data!#REF!="","",IF(Data!$G867="",1,IF(ISNUMBER(MATCH(Data!#REF!,Data_Val!$D$2:$D$10,0)),0,1)))</f>
        <v>#REF!</v>
      </c>
      <c r="BI867" s="13"/>
      <c r="BJ867" s="21" t="e">
        <f ca="1">IF(Data!#REF!="","",IF(ISNUMBER(Data!#REF!),IF(AND(Data!#REF!&gt;(TODAY()-(Data_Val!$M$3*365.25)),Data!#REF!&lt;=(TODAY()-(Data_Val!$M$2*365.25))),0,1),1))</f>
        <v>#REF!</v>
      </c>
      <c r="BK867" s="13" t="e">
        <f>IF(Data!#REF!="","",IF(Data!$G867="",1,IF(ISNUMBER(MATCH(Data!#REF!,Data_Val!$D$2:$D$10,0)),0,1)))</f>
        <v>#REF!</v>
      </c>
    </row>
    <row r="868" spans="1:63" x14ac:dyDescent="0.25">
      <c r="A868" s="9" t="str">
        <f>IF(Data!B868="","",IF(COUNTIFS(Data!A$1:'Data'!A868,Data!A868)&lt;=1,0,1))</f>
        <v/>
      </c>
      <c r="B868" s="9"/>
      <c r="C868" s="23" t="str">
        <f>IF(Data!C868="","",(IF(ISNUMBER(MATCH("*@*.?*",Data!C868,0)),0,1)+IF(COUNTIFS(Data!C$1:'Data'!C868,Data!C868)&gt;1,1,0)))</f>
        <v/>
      </c>
      <c r="D868" s="9" t="str">
        <f>IF(Data!B868="","",IF(ISNUMBER(Data!D868),IF(AND(Data!D868&gt;999999999,Data!D868&lt;=9999999999),IF(COUNTIFS(Data!D$1:'Data'!D868,Data!D868)&lt;=1,0,1),1),1))</f>
        <v/>
      </c>
      <c r="E868" s="9" t="str">
        <f>IF(Data!B868="","",IF(ISNUMBER(MATCH(Data!E868,Data_Val!$A$2:$A$3,0)),0,1))</f>
        <v/>
      </c>
      <c r="F868" s="9" t="str">
        <f ca="1">IF(Data!B868="","",IF(ISNUMBER(Data!F868),IF(AND(Data!F868&gt;(TODAY()-(Data_Val!$H$3*365.25)),Data!F868&lt;=(TODAY()-(Data_Val!$H$2*365.25))),0,1),1))</f>
        <v/>
      </c>
      <c r="G868" s="15" t="str">
        <f>IF(Data!B868="","",IF(AND(Data!G868="",Data!H868&lt;&gt;""),1,IF(Data!#REF!&lt;&gt;"",0,IF(ISNUMBER(MATCH(Data!G868,Data_Val!$C$2:$C$5,0)),0,1))))</f>
        <v/>
      </c>
      <c r="H868" s="15" t="str">
        <f>IF(Data!B868="","",IF(AND(Data!G868&lt;&gt;"",Data!H868=""),1,IF(Data!#REF!&lt;&gt;"",0,IF(Data!G868="",1,IF(ISNUMBER(MATCH(Data!H868,Data_Val!$D$2:$D$35,0)),0,1)))))</f>
        <v/>
      </c>
      <c r="I868" s="15" t="str">
        <f>IF(Data!B868="","",IF(Data!G868&lt;&gt;"",0,IF(ISNUMBER(MATCH(Data!#REF!,Data_Val!$E$2:$E$12,0)),0,1)))</f>
        <v/>
      </c>
      <c r="J868" s="16" t="e">
        <f>IF(OR(Data!B868="",Data!#REF!=""),"",IF(Data!#REF!="",1,0))</f>
        <v>#REF!</v>
      </c>
      <c r="K868" s="16" t="e">
        <f>IF(OR(Data!B868="",Data!#REF!=""),"",IF(Data!#REF!="",1,0))</f>
        <v>#REF!</v>
      </c>
      <c r="L868" s="16" t="e">
        <f>IF(OR(Data!B868="",Data!#REF!=""),"",IF(ISNUMBER(Data!#REF!),IF(AND(Data!#REF!&gt;Data_Val!$G$2,Data!#REF!&lt;=Data_Val!$G$3),0,1),1))</f>
        <v>#REF!</v>
      </c>
      <c r="M868" s="9" t="e">
        <f>IF(OR(Data!B868="",Data!#REF!=""),"",IF(ISNUMBER(MATCH(Data!#REF!,Data_Val!$F$1:$F$38,0)),0,1))</f>
        <v>#REF!</v>
      </c>
      <c r="N868" s="9" t="e">
        <f>IF(OR(Data!B868="",Data!#REF!=""),"",IF(Data!#REF!="",1,0))</f>
        <v>#REF!</v>
      </c>
      <c r="O868" s="17" t="e">
        <f>IF(Data!#REF!="","",IF(Data!#REF!="",1,0))</f>
        <v>#REF!</v>
      </c>
      <c r="P868" s="17" t="e">
        <f>IF(Data!#REF!="","",IF(ISNUMBER(MATCH(Data!#REF!,Data_Val!$A$2:$A$3,0)),0,1))</f>
        <v>#REF!</v>
      </c>
      <c r="Q868" s="25" t="e">
        <f ca="1">IF(Data!#REF!="","",IF(ISNUMBER(Data!#REF!),IF(AND(Data!#REF!&gt;(TODAY()-(Data_Val!$J$3*365.25)),Data!#REF!&lt;=(TODAY()-(Data_Val!$J$2*365.25))),0,1),1))</f>
        <v>#REF!</v>
      </c>
      <c r="R868" s="17" t="e">
        <f>IF(Data!#REF!="","",IF(ISNUMBER(MATCH(Data!#REF!,Data_Val!$B$2:$B$15,0)),0,1))</f>
        <v>#REF!</v>
      </c>
      <c r="S868" s="11" t="str">
        <f>IF(Data!G868="","",IF(Data!G868=Data_Val!$C$2,IF(Data!M868="",0,1),0))</f>
        <v/>
      </c>
      <c r="T868" s="11" t="str">
        <f>IF(Data!M868="","",IF(ISNUMBER(MATCH(Data!N868,Data_Val!$A$2:$A$3,0)),0,1))</f>
        <v/>
      </c>
      <c r="U868" s="11" t="str">
        <f ca="1">IF(Data!M868="","",IF(ISNUMBER(Data!O868),IF(AND(Data!O868&gt;(TODAY()-(Data_Val!$K$3*365.25)),Data!O868&lt;=(TODAY()-(Data_Val!$K$2*365.25))),0,1),1))</f>
        <v/>
      </c>
      <c r="V868" s="12" t="str">
        <f>IF(Data!G868="","",IF(Data!G868=Data_Val!$C$2,IF(Data!P868="",0,1),0))</f>
        <v/>
      </c>
      <c r="W868" s="12" t="str">
        <f>IF(Data!P868="","",IF(ISNUMBER(MATCH(Data!Q868,Data_Val!$A$2:$A$3,0)),0,1))</f>
        <v/>
      </c>
      <c r="X868" s="26" t="str">
        <f ca="1">IF(Data!P868="","",IF(ISNUMBER(Data!R868),IF(AND(Data!R868&gt;(TODAY()-(Data_Val!$L$3*365.25)),Data!R868&lt;=(TODAY()-(Data_Val!$L$2*365.25))),0,1),1))</f>
        <v/>
      </c>
      <c r="Y868" s="13" t="str">
        <f>IF(Data!$G868="","",IF(Data!$G868=Data_Val!$C$2,IF(Data!S868="",0,1),0))</f>
        <v/>
      </c>
      <c r="Z868" s="13" t="str">
        <f>IF(Data!S868="","",IF(ISNUMBER(MATCH(Data!T868,Data_Val!$A$2:$A$3,0)),0,1))</f>
        <v/>
      </c>
      <c r="AA868" s="28" t="str">
        <f ca="1">IF(Data!S868="","",IF(ISNUMBER(Data!U868),IF(AND(Data!U868&gt;(TODAY()-(Data_Val!$L$3*365.25)),Data!U868&lt;=(TODAY()-(Data_Val!$L$2*365.25))),0,1),1))</f>
        <v/>
      </c>
      <c r="AB868" s="11"/>
      <c r="AC868" s="11" t="e">
        <f>IF(Data!#REF!="","",IF(ISNUMBER(MATCH(Data!#REF!,Data_Val!$A$2:$A$3,0)),0,1))</f>
        <v>#REF!</v>
      </c>
      <c r="AD868" s="11" t="e">
        <f ca="1">IF(Data!#REF!="","",IF(ISNUMBER(Data!#REF!),IF(AND(Data!#REF!&gt;(TODAY()-(Data_Val!$L$3*365.25)),Data!#REF!&lt;=(TODAY()-(Data_Val!$L$2*365.25))),0,1),1))</f>
        <v>#REF!</v>
      </c>
      <c r="AE868" s="11" t="e">
        <f>IF(Data!#REF!="","",IF(Data!$G868="",1,IF(ISNUMBER(MATCH(Data!#REF!,Data_Val!$D$2:$D$10,0)),0,1)))</f>
        <v>#REF!</v>
      </c>
      <c r="AF868" s="12"/>
      <c r="AG868" s="12" t="e">
        <f>IF(Data!#REF!="","",IF(ISNUMBER(MATCH(Data!#REF!,Data_Val!$A$2:$A$3,0)),0,1))</f>
        <v>#REF!</v>
      </c>
      <c r="AH868" s="26" t="e">
        <f ca="1">IF(Data!#REF!="","",IF(ISNUMBER(Data!#REF!),IF(AND(Data!#REF!&gt;(TODAY()-(Data_Val!$L$3*365.25)),Data!#REF!&lt;=(TODAY()-(Data_Val!$L$2*365.25))),0,1),1))</f>
        <v>#REF!</v>
      </c>
      <c r="AI868" s="12" t="e">
        <f>IF(Data!#REF!="","",IF(Data!$G868="",1,IF(ISNUMBER(MATCH(Data!#REF!,Data_Val!$D$2:$D$10,0)),0,1)))</f>
        <v>#REF!</v>
      </c>
      <c r="AJ868" s="17"/>
      <c r="AK868" s="17" t="e">
        <f>IF(Data!#REF!="","",IF(ISNUMBER(MATCH(Data!#REF!,Data_Val!$A$2:$A$3,0)),0,1))</f>
        <v>#REF!</v>
      </c>
      <c r="AL868" s="25" t="e">
        <f ca="1">IF(Data!#REF!="","",IF(ISNUMBER(Data!#REF!),IF(AND(Data!#REF!&gt;(TODAY()-(Data_Val!$L$3*365.25)),Data!#REF!&lt;=(TODAY()-(Data_Val!$L$2*365.25))),0,1),1))</f>
        <v>#REF!</v>
      </c>
      <c r="AM868" s="17" t="e">
        <f>IF(Data!#REF!="","",IF(Data!$G868="",1,IF(ISNUMBER(MATCH(Data!#REF!,Data_Val!$D$2:$D$10,0)),0,1)))</f>
        <v>#REF!</v>
      </c>
      <c r="AN868" s="13"/>
      <c r="AO868" s="28" t="e">
        <f ca="1">IF(Data!#REF!="","",IF(ISNUMBER(Data!#REF!),IF(AND(Data!#REF!&gt;(TODAY()-(Data_Val!$I$3*365.25)),Data!#REF!&lt;=(TODAY()-(Data_Val!$I$2*365.25))),0,1),1))</f>
        <v>#REF!</v>
      </c>
      <c r="AP868" s="13" t="e">
        <f>IF(Data!#REF!="","",IF(Data!$G868="",1,IF(ISNUMBER(MATCH(Data!#REF!,Data_Val!$D$2:$D$10,0)),0,1)))</f>
        <v>#REF!</v>
      </c>
      <c r="AQ868" s="17"/>
      <c r="AR868" s="30" t="e">
        <f ca="1">IF(Data!#REF!="","",IF(ISNUMBER(Data!#REF!),IF(AND(Data!#REF!&gt;(TODAY()-(Data_Val!$I$3*365.25)),Data!#REF!&lt;=(TODAY()-(Data_Val!$I$2*365.25))),0,1),1))</f>
        <v>#REF!</v>
      </c>
      <c r="AS868" s="31" t="e">
        <f>IF(Data!#REF!="","",IF(Data!$G868="",1,IF(ISNUMBER(MATCH(Data!#REF!,Data_Val!$D$2:$D$10,0)),0,1)))</f>
        <v>#REF!</v>
      </c>
      <c r="AT868" s="11"/>
      <c r="AU868" s="11" t="e">
        <f ca="1">IF(Data!#REF!="","",IF(ISNUMBER(Data!#REF!),IF(AND(Data!#REF!&gt;(TODAY()-(Data_Val!$I$3*365.25)),Data!#REF!&lt;=(TODAY()-(Data_Val!$I$2*365.25))),0,1),1))</f>
        <v>#REF!</v>
      </c>
      <c r="AV868" s="11" t="e">
        <f>IF(Data!#REF!="","",IF(Data!$G868="",1,IF(ISNUMBER(MATCH(Data!#REF!,Data_Val!$D$2:$D$10,0)),0,1)))</f>
        <v>#REF!</v>
      </c>
      <c r="AW868" s="12"/>
      <c r="AX868" s="26" t="e">
        <f ca="1">IF(Data!#REF!="","",IF(ISNUMBER(Data!#REF!),IF(AND(Data!#REF!&gt;(TODAY()-(Data_Val!$I$3*365.25)),Data!#REF!&lt;=(TODAY()-(Data_Val!$I$2*365.25))),0,1),1))</f>
        <v>#REF!</v>
      </c>
      <c r="AY868" s="12" t="e">
        <f>IF(Data!#REF!="","",IF(Data!$G868="",1,IF(ISNUMBER(MATCH(Data!#REF!,Data_Val!$D$2:$D$10,0)),0,1)))</f>
        <v>#REF!</v>
      </c>
      <c r="AZ868" s="11"/>
      <c r="BA868" s="19" t="e">
        <f ca="1">IF(Data!#REF!="","",IF(ISNUMBER(Data!#REF!),IF(AND(Data!#REF!&gt;(TODAY()-(Data_Val!$M$3*365.25)),Data!#REF!&lt;=(TODAY()-(Data_Val!$M$2*365.25))),0,1),1))</f>
        <v>#REF!</v>
      </c>
      <c r="BB868" s="11" t="e">
        <f>IF(Data!#REF!="","",IF(Data!$G868="",1,IF(ISNUMBER(MATCH(Data!#REF!,Data_Val!$D$2:$D$10,0)),0,1)))</f>
        <v>#REF!</v>
      </c>
      <c r="BC868" s="12"/>
      <c r="BD868" s="20" t="e">
        <f ca="1">IF(Data!#REF!="","",IF(ISNUMBER(Data!#REF!),IF(AND(Data!#REF!&gt;(TODAY()-(Data_Val!$M$3*365.25)),Data!#REF!&lt;=(TODAY()-(Data_Val!$M$2*365.25))),0,1),1))</f>
        <v>#REF!</v>
      </c>
      <c r="BE868" s="12" t="e">
        <f>IF(Data!#REF!="","",IF(Data!$G868="",1,IF(ISNUMBER(MATCH(Data!#REF!,Data_Val!$D$2:$D$10,0)),0,1)))</f>
        <v>#REF!</v>
      </c>
      <c r="BF868" s="17"/>
      <c r="BG868" s="18" t="e">
        <f ca="1">IF(Data!#REF!="","",IF(ISNUMBER(Data!#REF!),IF(AND(Data!#REF!&gt;(TODAY()-(Data_Val!$M$3*365.25)),Data!#REF!&lt;=(TODAY()-(Data_Val!$M$2*365.25))),0,1),1))</f>
        <v>#REF!</v>
      </c>
      <c r="BH868" s="29" t="e">
        <f>IF(Data!#REF!="","",IF(Data!$G868="",1,IF(ISNUMBER(MATCH(Data!#REF!,Data_Val!$D$2:$D$10,0)),0,1)))</f>
        <v>#REF!</v>
      </c>
      <c r="BI868" s="13"/>
      <c r="BJ868" s="21" t="e">
        <f ca="1">IF(Data!#REF!="","",IF(ISNUMBER(Data!#REF!),IF(AND(Data!#REF!&gt;(TODAY()-(Data_Val!$M$3*365.25)),Data!#REF!&lt;=(TODAY()-(Data_Val!$M$2*365.25))),0,1),1))</f>
        <v>#REF!</v>
      </c>
      <c r="BK868" s="13" t="e">
        <f>IF(Data!#REF!="","",IF(Data!$G868="",1,IF(ISNUMBER(MATCH(Data!#REF!,Data_Val!$D$2:$D$10,0)),0,1)))</f>
        <v>#REF!</v>
      </c>
    </row>
    <row r="869" spans="1:63" x14ac:dyDescent="0.25">
      <c r="A869" s="9" t="str">
        <f>IF(Data!B869="","",IF(COUNTIFS(Data!A$1:'Data'!A869,Data!A869)&lt;=1,0,1))</f>
        <v/>
      </c>
      <c r="B869" s="9"/>
      <c r="C869" s="23" t="str">
        <f>IF(Data!C869="","",(IF(ISNUMBER(MATCH("*@*.?*",Data!C869,0)),0,1)+IF(COUNTIFS(Data!C$1:'Data'!C869,Data!C869)&gt;1,1,0)))</f>
        <v/>
      </c>
      <c r="D869" s="9" t="str">
        <f>IF(Data!B869="","",IF(ISNUMBER(Data!D869),IF(AND(Data!D869&gt;999999999,Data!D869&lt;=9999999999),IF(COUNTIFS(Data!D$1:'Data'!D869,Data!D869)&lt;=1,0,1),1),1))</f>
        <v/>
      </c>
      <c r="E869" s="9" t="str">
        <f>IF(Data!B869="","",IF(ISNUMBER(MATCH(Data!E869,Data_Val!$A$2:$A$3,0)),0,1))</f>
        <v/>
      </c>
      <c r="F869" s="9" t="str">
        <f ca="1">IF(Data!B869="","",IF(ISNUMBER(Data!F869),IF(AND(Data!F869&gt;(TODAY()-(Data_Val!$H$3*365.25)),Data!F869&lt;=(TODAY()-(Data_Val!$H$2*365.25))),0,1),1))</f>
        <v/>
      </c>
      <c r="G869" s="15" t="str">
        <f>IF(Data!B869="","",IF(AND(Data!G869="",Data!H869&lt;&gt;""),1,IF(Data!#REF!&lt;&gt;"",0,IF(ISNUMBER(MATCH(Data!G869,Data_Val!$C$2:$C$5,0)),0,1))))</f>
        <v/>
      </c>
      <c r="H869" s="15" t="str">
        <f>IF(Data!B869="","",IF(AND(Data!G869&lt;&gt;"",Data!H869=""),1,IF(Data!#REF!&lt;&gt;"",0,IF(Data!G869="",1,IF(ISNUMBER(MATCH(Data!H869,Data_Val!$D$2:$D$35,0)),0,1)))))</f>
        <v/>
      </c>
      <c r="I869" s="15" t="str">
        <f>IF(Data!B869="","",IF(Data!G869&lt;&gt;"",0,IF(ISNUMBER(MATCH(Data!#REF!,Data_Val!$E$2:$E$12,0)),0,1)))</f>
        <v/>
      </c>
      <c r="J869" s="16" t="e">
        <f>IF(OR(Data!B869="",Data!#REF!=""),"",IF(Data!#REF!="",1,0))</f>
        <v>#REF!</v>
      </c>
      <c r="K869" s="16" t="e">
        <f>IF(OR(Data!B869="",Data!#REF!=""),"",IF(Data!#REF!="",1,0))</f>
        <v>#REF!</v>
      </c>
      <c r="L869" s="16" t="e">
        <f>IF(OR(Data!B869="",Data!#REF!=""),"",IF(ISNUMBER(Data!#REF!),IF(AND(Data!#REF!&gt;Data_Val!$G$2,Data!#REF!&lt;=Data_Val!$G$3),0,1),1))</f>
        <v>#REF!</v>
      </c>
      <c r="M869" s="9" t="e">
        <f>IF(OR(Data!B869="",Data!#REF!=""),"",IF(ISNUMBER(MATCH(Data!#REF!,Data_Val!$F$1:$F$38,0)),0,1))</f>
        <v>#REF!</v>
      </c>
      <c r="N869" s="9" t="e">
        <f>IF(OR(Data!B869="",Data!#REF!=""),"",IF(Data!#REF!="",1,0))</f>
        <v>#REF!</v>
      </c>
      <c r="O869" s="17" t="e">
        <f>IF(Data!#REF!="","",IF(Data!#REF!="",1,0))</f>
        <v>#REF!</v>
      </c>
      <c r="P869" s="17" t="e">
        <f>IF(Data!#REF!="","",IF(ISNUMBER(MATCH(Data!#REF!,Data_Val!$A$2:$A$3,0)),0,1))</f>
        <v>#REF!</v>
      </c>
      <c r="Q869" s="25" t="e">
        <f ca="1">IF(Data!#REF!="","",IF(ISNUMBER(Data!#REF!),IF(AND(Data!#REF!&gt;(TODAY()-(Data_Val!$J$3*365.25)),Data!#REF!&lt;=(TODAY()-(Data_Val!$J$2*365.25))),0,1),1))</f>
        <v>#REF!</v>
      </c>
      <c r="R869" s="17" t="e">
        <f>IF(Data!#REF!="","",IF(ISNUMBER(MATCH(Data!#REF!,Data_Val!$B$2:$B$15,0)),0,1))</f>
        <v>#REF!</v>
      </c>
      <c r="S869" s="11" t="str">
        <f>IF(Data!G869="","",IF(Data!G869=Data_Val!$C$2,IF(Data!M869="",0,1),0))</f>
        <v/>
      </c>
      <c r="T869" s="11" t="str">
        <f>IF(Data!M869="","",IF(ISNUMBER(MATCH(Data!N869,Data_Val!$A$2:$A$3,0)),0,1))</f>
        <v/>
      </c>
      <c r="U869" s="11" t="str">
        <f ca="1">IF(Data!M869="","",IF(ISNUMBER(Data!O869),IF(AND(Data!O869&gt;(TODAY()-(Data_Val!$K$3*365.25)),Data!O869&lt;=(TODAY()-(Data_Val!$K$2*365.25))),0,1),1))</f>
        <v/>
      </c>
      <c r="V869" s="12" t="str">
        <f>IF(Data!G869="","",IF(Data!G869=Data_Val!$C$2,IF(Data!P869="",0,1),0))</f>
        <v/>
      </c>
      <c r="W869" s="12" t="str">
        <f>IF(Data!P869="","",IF(ISNUMBER(MATCH(Data!Q869,Data_Val!$A$2:$A$3,0)),0,1))</f>
        <v/>
      </c>
      <c r="X869" s="26" t="str">
        <f ca="1">IF(Data!P869="","",IF(ISNUMBER(Data!R869),IF(AND(Data!R869&gt;(TODAY()-(Data_Val!$L$3*365.25)),Data!R869&lt;=(TODAY()-(Data_Val!$L$2*365.25))),0,1),1))</f>
        <v/>
      </c>
      <c r="Y869" s="13" t="str">
        <f>IF(Data!$G869="","",IF(Data!$G869=Data_Val!$C$2,IF(Data!S869="",0,1),0))</f>
        <v/>
      </c>
      <c r="Z869" s="13" t="str">
        <f>IF(Data!S869="","",IF(ISNUMBER(MATCH(Data!T869,Data_Val!$A$2:$A$3,0)),0,1))</f>
        <v/>
      </c>
      <c r="AA869" s="28" t="str">
        <f ca="1">IF(Data!S869="","",IF(ISNUMBER(Data!U869),IF(AND(Data!U869&gt;(TODAY()-(Data_Val!$L$3*365.25)),Data!U869&lt;=(TODAY()-(Data_Val!$L$2*365.25))),0,1),1))</f>
        <v/>
      </c>
      <c r="AB869" s="11"/>
      <c r="AC869" s="11" t="e">
        <f>IF(Data!#REF!="","",IF(ISNUMBER(MATCH(Data!#REF!,Data_Val!$A$2:$A$3,0)),0,1))</f>
        <v>#REF!</v>
      </c>
      <c r="AD869" s="11" t="e">
        <f ca="1">IF(Data!#REF!="","",IF(ISNUMBER(Data!#REF!),IF(AND(Data!#REF!&gt;(TODAY()-(Data_Val!$L$3*365.25)),Data!#REF!&lt;=(TODAY()-(Data_Val!$L$2*365.25))),0,1),1))</f>
        <v>#REF!</v>
      </c>
      <c r="AE869" s="11" t="e">
        <f>IF(Data!#REF!="","",IF(Data!$G869="",1,IF(ISNUMBER(MATCH(Data!#REF!,Data_Val!$D$2:$D$10,0)),0,1)))</f>
        <v>#REF!</v>
      </c>
      <c r="AF869" s="12"/>
      <c r="AG869" s="12" t="e">
        <f>IF(Data!#REF!="","",IF(ISNUMBER(MATCH(Data!#REF!,Data_Val!$A$2:$A$3,0)),0,1))</f>
        <v>#REF!</v>
      </c>
      <c r="AH869" s="26" t="e">
        <f ca="1">IF(Data!#REF!="","",IF(ISNUMBER(Data!#REF!),IF(AND(Data!#REF!&gt;(TODAY()-(Data_Val!$L$3*365.25)),Data!#REF!&lt;=(TODAY()-(Data_Val!$L$2*365.25))),0,1),1))</f>
        <v>#REF!</v>
      </c>
      <c r="AI869" s="12" t="e">
        <f>IF(Data!#REF!="","",IF(Data!$G869="",1,IF(ISNUMBER(MATCH(Data!#REF!,Data_Val!$D$2:$D$10,0)),0,1)))</f>
        <v>#REF!</v>
      </c>
      <c r="AJ869" s="17"/>
      <c r="AK869" s="17" t="e">
        <f>IF(Data!#REF!="","",IF(ISNUMBER(MATCH(Data!#REF!,Data_Val!$A$2:$A$3,0)),0,1))</f>
        <v>#REF!</v>
      </c>
      <c r="AL869" s="25" t="e">
        <f ca="1">IF(Data!#REF!="","",IF(ISNUMBER(Data!#REF!),IF(AND(Data!#REF!&gt;(TODAY()-(Data_Val!$L$3*365.25)),Data!#REF!&lt;=(TODAY()-(Data_Val!$L$2*365.25))),0,1),1))</f>
        <v>#REF!</v>
      </c>
      <c r="AM869" s="17" t="e">
        <f>IF(Data!#REF!="","",IF(Data!$G869="",1,IF(ISNUMBER(MATCH(Data!#REF!,Data_Val!$D$2:$D$10,0)),0,1)))</f>
        <v>#REF!</v>
      </c>
      <c r="AN869" s="13"/>
      <c r="AO869" s="28" t="e">
        <f ca="1">IF(Data!#REF!="","",IF(ISNUMBER(Data!#REF!),IF(AND(Data!#REF!&gt;(TODAY()-(Data_Val!$I$3*365.25)),Data!#REF!&lt;=(TODAY()-(Data_Val!$I$2*365.25))),0,1),1))</f>
        <v>#REF!</v>
      </c>
      <c r="AP869" s="13" t="e">
        <f>IF(Data!#REF!="","",IF(Data!$G869="",1,IF(ISNUMBER(MATCH(Data!#REF!,Data_Val!$D$2:$D$10,0)),0,1)))</f>
        <v>#REF!</v>
      </c>
      <c r="AQ869" s="17"/>
      <c r="AR869" s="30" t="e">
        <f ca="1">IF(Data!#REF!="","",IF(ISNUMBER(Data!#REF!),IF(AND(Data!#REF!&gt;(TODAY()-(Data_Val!$I$3*365.25)),Data!#REF!&lt;=(TODAY()-(Data_Val!$I$2*365.25))),0,1),1))</f>
        <v>#REF!</v>
      </c>
      <c r="AS869" s="31" t="e">
        <f>IF(Data!#REF!="","",IF(Data!$G869="",1,IF(ISNUMBER(MATCH(Data!#REF!,Data_Val!$D$2:$D$10,0)),0,1)))</f>
        <v>#REF!</v>
      </c>
      <c r="AT869" s="11"/>
      <c r="AU869" s="11" t="e">
        <f ca="1">IF(Data!#REF!="","",IF(ISNUMBER(Data!#REF!),IF(AND(Data!#REF!&gt;(TODAY()-(Data_Val!$I$3*365.25)),Data!#REF!&lt;=(TODAY()-(Data_Val!$I$2*365.25))),0,1),1))</f>
        <v>#REF!</v>
      </c>
      <c r="AV869" s="11" t="e">
        <f>IF(Data!#REF!="","",IF(Data!$G869="",1,IF(ISNUMBER(MATCH(Data!#REF!,Data_Val!$D$2:$D$10,0)),0,1)))</f>
        <v>#REF!</v>
      </c>
      <c r="AW869" s="12"/>
      <c r="AX869" s="26" t="e">
        <f ca="1">IF(Data!#REF!="","",IF(ISNUMBER(Data!#REF!),IF(AND(Data!#REF!&gt;(TODAY()-(Data_Val!$I$3*365.25)),Data!#REF!&lt;=(TODAY()-(Data_Val!$I$2*365.25))),0,1),1))</f>
        <v>#REF!</v>
      </c>
      <c r="AY869" s="12" t="e">
        <f>IF(Data!#REF!="","",IF(Data!$G869="",1,IF(ISNUMBER(MATCH(Data!#REF!,Data_Val!$D$2:$D$10,0)),0,1)))</f>
        <v>#REF!</v>
      </c>
      <c r="AZ869" s="11"/>
      <c r="BA869" s="19" t="e">
        <f ca="1">IF(Data!#REF!="","",IF(ISNUMBER(Data!#REF!),IF(AND(Data!#REF!&gt;(TODAY()-(Data_Val!$M$3*365.25)),Data!#REF!&lt;=(TODAY()-(Data_Val!$M$2*365.25))),0,1),1))</f>
        <v>#REF!</v>
      </c>
      <c r="BB869" s="11" t="e">
        <f>IF(Data!#REF!="","",IF(Data!$G869="",1,IF(ISNUMBER(MATCH(Data!#REF!,Data_Val!$D$2:$D$10,0)),0,1)))</f>
        <v>#REF!</v>
      </c>
      <c r="BC869" s="12"/>
      <c r="BD869" s="20" t="e">
        <f ca="1">IF(Data!#REF!="","",IF(ISNUMBER(Data!#REF!),IF(AND(Data!#REF!&gt;(TODAY()-(Data_Val!$M$3*365.25)),Data!#REF!&lt;=(TODAY()-(Data_Val!$M$2*365.25))),0,1),1))</f>
        <v>#REF!</v>
      </c>
      <c r="BE869" s="12" t="e">
        <f>IF(Data!#REF!="","",IF(Data!$G869="",1,IF(ISNUMBER(MATCH(Data!#REF!,Data_Val!$D$2:$D$10,0)),0,1)))</f>
        <v>#REF!</v>
      </c>
      <c r="BF869" s="17"/>
      <c r="BG869" s="18" t="e">
        <f ca="1">IF(Data!#REF!="","",IF(ISNUMBER(Data!#REF!),IF(AND(Data!#REF!&gt;(TODAY()-(Data_Val!$M$3*365.25)),Data!#REF!&lt;=(TODAY()-(Data_Val!$M$2*365.25))),0,1),1))</f>
        <v>#REF!</v>
      </c>
      <c r="BH869" s="29" t="e">
        <f>IF(Data!#REF!="","",IF(Data!$G869="",1,IF(ISNUMBER(MATCH(Data!#REF!,Data_Val!$D$2:$D$10,0)),0,1)))</f>
        <v>#REF!</v>
      </c>
      <c r="BI869" s="13"/>
      <c r="BJ869" s="21" t="e">
        <f ca="1">IF(Data!#REF!="","",IF(ISNUMBER(Data!#REF!),IF(AND(Data!#REF!&gt;(TODAY()-(Data_Val!$M$3*365.25)),Data!#REF!&lt;=(TODAY()-(Data_Val!$M$2*365.25))),0,1),1))</f>
        <v>#REF!</v>
      </c>
      <c r="BK869" s="13" t="e">
        <f>IF(Data!#REF!="","",IF(Data!$G869="",1,IF(ISNUMBER(MATCH(Data!#REF!,Data_Val!$D$2:$D$10,0)),0,1)))</f>
        <v>#REF!</v>
      </c>
    </row>
    <row r="870" spans="1:63" x14ac:dyDescent="0.25">
      <c r="A870" s="9" t="str">
        <f>IF(Data!B870="","",IF(COUNTIFS(Data!A$1:'Data'!A870,Data!A870)&lt;=1,0,1))</f>
        <v/>
      </c>
      <c r="B870" s="9"/>
      <c r="C870" s="23" t="str">
        <f>IF(Data!C870="","",(IF(ISNUMBER(MATCH("*@*.?*",Data!C870,0)),0,1)+IF(COUNTIFS(Data!C$1:'Data'!C870,Data!C870)&gt;1,1,0)))</f>
        <v/>
      </c>
      <c r="D870" s="9" t="str">
        <f>IF(Data!B870="","",IF(ISNUMBER(Data!D870),IF(AND(Data!D870&gt;999999999,Data!D870&lt;=9999999999),IF(COUNTIFS(Data!D$1:'Data'!D870,Data!D870)&lt;=1,0,1),1),1))</f>
        <v/>
      </c>
      <c r="E870" s="9" t="str">
        <f>IF(Data!B870="","",IF(ISNUMBER(MATCH(Data!E870,Data_Val!$A$2:$A$3,0)),0,1))</f>
        <v/>
      </c>
      <c r="F870" s="9" t="str">
        <f ca="1">IF(Data!B870="","",IF(ISNUMBER(Data!F870),IF(AND(Data!F870&gt;(TODAY()-(Data_Val!$H$3*365.25)),Data!F870&lt;=(TODAY()-(Data_Val!$H$2*365.25))),0,1),1))</f>
        <v/>
      </c>
      <c r="G870" s="15" t="str">
        <f>IF(Data!B870="","",IF(AND(Data!G870="",Data!H870&lt;&gt;""),1,IF(Data!#REF!&lt;&gt;"",0,IF(ISNUMBER(MATCH(Data!G870,Data_Val!$C$2:$C$5,0)),0,1))))</f>
        <v/>
      </c>
      <c r="H870" s="15" t="str">
        <f>IF(Data!B870="","",IF(AND(Data!G870&lt;&gt;"",Data!H870=""),1,IF(Data!#REF!&lt;&gt;"",0,IF(Data!G870="",1,IF(ISNUMBER(MATCH(Data!H870,Data_Val!$D$2:$D$35,0)),0,1)))))</f>
        <v/>
      </c>
      <c r="I870" s="15" t="str">
        <f>IF(Data!B870="","",IF(Data!G870&lt;&gt;"",0,IF(ISNUMBER(MATCH(Data!#REF!,Data_Val!$E$2:$E$12,0)),0,1)))</f>
        <v/>
      </c>
      <c r="J870" s="16" t="e">
        <f>IF(OR(Data!B870="",Data!#REF!=""),"",IF(Data!#REF!="",1,0))</f>
        <v>#REF!</v>
      </c>
      <c r="K870" s="16" t="e">
        <f>IF(OR(Data!B870="",Data!#REF!=""),"",IF(Data!#REF!="",1,0))</f>
        <v>#REF!</v>
      </c>
      <c r="L870" s="16" t="e">
        <f>IF(OR(Data!B870="",Data!#REF!=""),"",IF(ISNUMBER(Data!#REF!),IF(AND(Data!#REF!&gt;Data_Val!$G$2,Data!#REF!&lt;=Data_Val!$G$3),0,1),1))</f>
        <v>#REF!</v>
      </c>
      <c r="M870" s="9" t="e">
        <f>IF(OR(Data!B870="",Data!#REF!=""),"",IF(ISNUMBER(MATCH(Data!#REF!,Data_Val!$F$1:$F$38,0)),0,1))</f>
        <v>#REF!</v>
      </c>
      <c r="N870" s="9" t="e">
        <f>IF(OR(Data!B870="",Data!#REF!=""),"",IF(Data!#REF!="",1,0))</f>
        <v>#REF!</v>
      </c>
      <c r="O870" s="17" t="e">
        <f>IF(Data!#REF!="","",IF(Data!#REF!="",1,0))</f>
        <v>#REF!</v>
      </c>
      <c r="P870" s="17" t="e">
        <f>IF(Data!#REF!="","",IF(ISNUMBER(MATCH(Data!#REF!,Data_Val!$A$2:$A$3,0)),0,1))</f>
        <v>#REF!</v>
      </c>
      <c r="Q870" s="25" t="e">
        <f ca="1">IF(Data!#REF!="","",IF(ISNUMBER(Data!#REF!),IF(AND(Data!#REF!&gt;(TODAY()-(Data_Val!$J$3*365.25)),Data!#REF!&lt;=(TODAY()-(Data_Val!$J$2*365.25))),0,1),1))</f>
        <v>#REF!</v>
      </c>
      <c r="R870" s="17" t="e">
        <f>IF(Data!#REF!="","",IF(ISNUMBER(MATCH(Data!#REF!,Data_Val!$B$2:$B$15,0)),0,1))</f>
        <v>#REF!</v>
      </c>
      <c r="S870" s="11" t="str">
        <f>IF(Data!G870="","",IF(Data!G870=Data_Val!$C$2,IF(Data!M870="",0,1),0))</f>
        <v/>
      </c>
      <c r="T870" s="11" t="str">
        <f>IF(Data!M870="","",IF(ISNUMBER(MATCH(Data!N870,Data_Val!$A$2:$A$3,0)),0,1))</f>
        <v/>
      </c>
      <c r="U870" s="11" t="str">
        <f ca="1">IF(Data!M870="","",IF(ISNUMBER(Data!O870),IF(AND(Data!O870&gt;(TODAY()-(Data_Val!$K$3*365.25)),Data!O870&lt;=(TODAY()-(Data_Val!$K$2*365.25))),0,1),1))</f>
        <v/>
      </c>
      <c r="V870" s="12" t="str">
        <f>IF(Data!G870="","",IF(Data!G870=Data_Val!$C$2,IF(Data!P870="",0,1),0))</f>
        <v/>
      </c>
      <c r="W870" s="12" t="str">
        <f>IF(Data!P870="","",IF(ISNUMBER(MATCH(Data!Q870,Data_Val!$A$2:$A$3,0)),0,1))</f>
        <v/>
      </c>
      <c r="X870" s="26" t="str">
        <f ca="1">IF(Data!P870="","",IF(ISNUMBER(Data!R870),IF(AND(Data!R870&gt;(TODAY()-(Data_Val!$L$3*365.25)),Data!R870&lt;=(TODAY()-(Data_Val!$L$2*365.25))),0,1),1))</f>
        <v/>
      </c>
      <c r="Y870" s="13" t="str">
        <f>IF(Data!$G870="","",IF(Data!$G870=Data_Val!$C$2,IF(Data!S870="",0,1),0))</f>
        <v/>
      </c>
      <c r="Z870" s="13" t="str">
        <f>IF(Data!S870="","",IF(ISNUMBER(MATCH(Data!T870,Data_Val!$A$2:$A$3,0)),0,1))</f>
        <v/>
      </c>
      <c r="AA870" s="28" t="str">
        <f ca="1">IF(Data!S870="","",IF(ISNUMBER(Data!U870),IF(AND(Data!U870&gt;(TODAY()-(Data_Val!$L$3*365.25)),Data!U870&lt;=(TODAY()-(Data_Val!$L$2*365.25))),0,1),1))</f>
        <v/>
      </c>
      <c r="AB870" s="11"/>
      <c r="AC870" s="11" t="e">
        <f>IF(Data!#REF!="","",IF(ISNUMBER(MATCH(Data!#REF!,Data_Val!$A$2:$A$3,0)),0,1))</f>
        <v>#REF!</v>
      </c>
      <c r="AD870" s="11" t="e">
        <f ca="1">IF(Data!#REF!="","",IF(ISNUMBER(Data!#REF!),IF(AND(Data!#REF!&gt;(TODAY()-(Data_Val!$L$3*365.25)),Data!#REF!&lt;=(TODAY()-(Data_Val!$L$2*365.25))),0,1),1))</f>
        <v>#REF!</v>
      </c>
      <c r="AE870" s="11" t="e">
        <f>IF(Data!#REF!="","",IF(Data!$G870="",1,IF(ISNUMBER(MATCH(Data!#REF!,Data_Val!$D$2:$D$10,0)),0,1)))</f>
        <v>#REF!</v>
      </c>
      <c r="AF870" s="12"/>
      <c r="AG870" s="12" t="e">
        <f>IF(Data!#REF!="","",IF(ISNUMBER(MATCH(Data!#REF!,Data_Val!$A$2:$A$3,0)),0,1))</f>
        <v>#REF!</v>
      </c>
      <c r="AH870" s="26" t="e">
        <f ca="1">IF(Data!#REF!="","",IF(ISNUMBER(Data!#REF!),IF(AND(Data!#REF!&gt;(TODAY()-(Data_Val!$L$3*365.25)),Data!#REF!&lt;=(TODAY()-(Data_Val!$L$2*365.25))),0,1),1))</f>
        <v>#REF!</v>
      </c>
      <c r="AI870" s="12" t="e">
        <f>IF(Data!#REF!="","",IF(Data!$G870="",1,IF(ISNUMBER(MATCH(Data!#REF!,Data_Val!$D$2:$D$10,0)),0,1)))</f>
        <v>#REF!</v>
      </c>
      <c r="AJ870" s="17"/>
      <c r="AK870" s="17" t="e">
        <f>IF(Data!#REF!="","",IF(ISNUMBER(MATCH(Data!#REF!,Data_Val!$A$2:$A$3,0)),0,1))</f>
        <v>#REF!</v>
      </c>
      <c r="AL870" s="25" t="e">
        <f ca="1">IF(Data!#REF!="","",IF(ISNUMBER(Data!#REF!),IF(AND(Data!#REF!&gt;(TODAY()-(Data_Val!$L$3*365.25)),Data!#REF!&lt;=(TODAY()-(Data_Val!$L$2*365.25))),0,1),1))</f>
        <v>#REF!</v>
      </c>
      <c r="AM870" s="17" t="e">
        <f>IF(Data!#REF!="","",IF(Data!$G870="",1,IF(ISNUMBER(MATCH(Data!#REF!,Data_Val!$D$2:$D$10,0)),0,1)))</f>
        <v>#REF!</v>
      </c>
      <c r="AN870" s="13"/>
      <c r="AO870" s="28" t="e">
        <f ca="1">IF(Data!#REF!="","",IF(ISNUMBER(Data!#REF!),IF(AND(Data!#REF!&gt;(TODAY()-(Data_Val!$I$3*365.25)),Data!#REF!&lt;=(TODAY()-(Data_Val!$I$2*365.25))),0,1),1))</f>
        <v>#REF!</v>
      </c>
      <c r="AP870" s="13" t="e">
        <f>IF(Data!#REF!="","",IF(Data!$G870="",1,IF(ISNUMBER(MATCH(Data!#REF!,Data_Val!$D$2:$D$10,0)),0,1)))</f>
        <v>#REF!</v>
      </c>
      <c r="AQ870" s="17"/>
      <c r="AR870" s="30" t="e">
        <f ca="1">IF(Data!#REF!="","",IF(ISNUMBER(Data!#REF!),IF(AND(Data!#REF!&gt;(TODAY()-(Data_Val!$I$3*365.25)),Data!#REF!&lt;=(TODAY()-(Data_Val!$I$2*365.25))),0,1),1))</f>
        <v>#REF!</v>
      </c>
      <c r="AS870" s="31" t="e">
        <f>IF(Data!#REF!="","",IF(Data!$G870="",1,IF(ISNUMBER(MATCH(Data!#REF!,Data_Val!$D$2:$D$10,0)),0,1)))</f>
        <v>#REF!</v>
      </c>
      <c r="AT870" s="11"/>
      <c r="AU870" s="11" t="e">
        <f ca="1">IF(Data!#REF!="","",IF(ISNUMBER(Data!#REF!),IF(AND(Data!#REF!&gt;(TODAY()-(Data_Val!$I$3*365.25)),Data!#REF!&lt;=(TODAY()-(Data_Val!$I$2*365.25))),0,1),1))</f>
        <v>#REF!</v>
      </c>
      <c r="AV870" s="11" t="e">
        <f>IF(Data!#REF!="","",IF(Data!$G870="",1,IF(ISNUMBER(MATCH(Data!#REF!,Data_Val!$D$2:$D$10,0)),0,1)))</f>
        <v>#REF!</v>
      </c>
      <c r="AW870" s="12"/>
      <c r="AX870" s="26" t="e">
        <f ca="1">IF(Data!#REF!="","",IF(ISNUMBER(Data!#REF!),IF(AND(Data!#REF!&gt;(TODAY()-(Data_Val!$I$3*365.25)),Data!#REF!&lt;=(TODAY()-(Data_Val!$I$2*365.25))),0,1),1))</f>
        <v>#REF!</v>
      </c>
      <c r="AY870" s="12" t="e">
        <f>IF(Data!#REF!="","",IF(Data!$G870="",1,IF(ISNUMBER(MATCH(Data!#REF!,Data_Val!$D$2:$D$10,0)),0,1)))</f>
        <v>#REF!</v>
      </c>
      <c r="AZ870" s="11"/>
      <c r="BA870" s="19" t="e">
        <f ca="1">IF(Data!#REF!="","",IF(ISNUMBER(Data!#REF!),IF(AND(Data!#REF!&gt;(TODAY()-(Data_Val!$M$3*365.25)),Data!#REF!&lt;=(TODAY()-(Data_Val!$M$2*365.25))),0,1),1))</f>
        <v>#REF!</v>
      </c>
      <c r="BB870" s="11" t="e">
        <f>IF(Data!#REF!="","",IF(Data!$G870="",1,IF(ISNUMBER(MATCH(Data!#REF!,Data_Val!$D$2:$D$10,0)),0,1)))</f>
        <v>#REF!</v>
      </c>
      <c r="BC870" s="12"/>
      <c r="BD870" s="20" t="e">
        <f ca="1">IF(Data!#REF!="","",IF(ISNUMBER(Data!#REF!),IF(AND(Data!#REF!&gt;(TODAY()-(Data_Val!$M$3*365.25)),Data!#REF!&lt;=(TODAY()-(Data_Val!$M$2*365.25))),0,1),1))</f>
        <v>#REF!</v>
      </c>
      <c r="BE870" s="12" t="e">
        <f>IF(Data!#REF!="","",IF(Data!$G870="",1,IF(ISNUMBER(MATCH(Data!#REF!,Data_Val!$D$2:$D$10,0)),0,1)))</f>
        <v>#REF!</v>
      </c>
      <c r="BF870" s="17"/>
      <c r="BG870" s="18" t="e">
        <f ca="1">IF(Data!#REF!="","",IF(ISNUMBER(Data!#REF!),IF(AND(Data!#REF!&gt;(TODAY()-(Data_Val!$M$3*365.25)),Data!#REF!&lt;=(TODAY()-(Data_Val!$M$2*365.25))),0,1),1))</f>
        <v>#REF!</v>
      </c>
      <c r="BH870" s="29" t="e">
        <f>IF(Data!#REF!="","",IF(Data!$G870="",1,IF(ISNUMBER(MATCH(Data!#REF!,Data_Val!$D$2:$D$10,0)),0,1)))</f>
        <v>#REF!</v>
      </c>
      <c r="BI870" s="13"/>
      <c r="BJ870" s="21" t="e">
        <f ca="1">IF(Data!#REF!="","",IF(ISNUMBER(Data!#REF!),IF(AND(Data!#REF!&gt;(TODAY()-(Data_Val!$M$3*365.25)),Data!#REF!&lt;=(TODAY()-(Data_Val!$M$2*365.25))),0,1),1))</f>
        <v>#REF!</v>
      </c>
      <c r="BK870" s="13" t="e">
        <f>IF(Data!#REF!="","",IF(Data!$G870="",1,IF(ISNUMBER(MATCH(Data!#REF!,Data_Val!$D$2:$D$10,0)),0,1)))</f>
        <v>#REF!</v>
      </c>
    </row>
    <row r="871" spans="1:63" x14ac:dyDescent="0.25">
      <c r="A871" s="9" t="str">
        <f>IF(Data!B871="","",IF(COUNTIFS(Data!A$1:'Data'!A871,Data!A871)&lt;=1,0,1))</f>
        <v/>
      </c>
      <c r="B871" s="9"/>
      <c r="C871" s="23" t="str">
        <f>IF(Data!C871="","",(IF(ISNUMBER(MATCH("*@*.?*",Data!C871,0)),0,1)+IF(COUNTIFS(Data!C$1:'Data'!C871,Data!C871)&gt;1,1,0)))</f>
        <v/>
      </c>
      <c r="D871" s="9" t="str">
        <f>IF(Data!B871="","",IF(ISNUMBER(Data!D871),IF(AND(Data!D871&gt;999999999,Data!D871&lt;=9999999999),IF(COUNTIFS(Data!D$1:'Data'!D871,Data!D871)&lt;=1,0,1),1),1))</f>
        <v/>
      </c>
      <c r="E871" s="9" t="str">
        <f>IF(Data!B871="","",IF(ISNUMBER(MATCH(Data!E871,Data_Val!$A$2:$A$3,0)),0,1))</f>
        <v/>
      </c>
      <c r="F871" s="9" t="str">
        <f ca="1">IF(Data!B871="","",IF(ISNUMBER(Data!F871),IF(AND(Data!F871&gt;(TODAY()-(Data_Val!$H$3*365.25)),Data!F871&lt;=(TODAY()-(Data_Val!$H$2*365.25))),0,1),1))</f>
        <v/>
      </c>
      <c r="G871" s="15" t="str">
        <f>IF(Data!B871="","",IF(AND(Data!G871="",Data!H871&lt;&gt;""),1,IF(Data!#REF!&lt;&gt;"",0,IF(ISNUMBER(MATCH(Data!G871,Data_Val!$C$2:$C$5,0)),0,1))))</f>
        <v/>
      </c>
      <c r="H871" s="15" t="str">
        <f>IF(Data!B871="","",IF(AND(Data!G871&lt;&gt;"",Data!H871=""),1,IF(Data!#REF!&lt;&gt;"",0,IF(Data!G871="",1,IF(ISNUMBER(MATCH(Data!H871,Data_Val!$D$2:$D$35,0)),0,1)))))</f>
        <v/>
      </c>
      <c r="I871" s="15" t="str">
        <f>IF(Data!B871="","",IF(Data!G871&lt;&gt;"",0,IF(ISNUMBER(MATCH(Data!#REF!,Data_Val!$E$2:$E$12,0)),0,1)))</f>
        <v/>
      </c>
      <c r="J871" s="16" t="e">
        <f>IF(OR(Data!B871="",Data!#REF!=""),"",IF(Data!#REF!="",1,0))</f>
        <v>#REF!</v>
      </c>
      <c r="K871" s="16" t="e">
        <f>IF(OR(Data!B871="",Data!#REF!=""),"",IF(Data!#REF!="",1,0))</f>
        <v>#REF!</v>
      </c>
      <c r="L871" s="16" t="e">
        <f>IF(OR(Data!B871="",Data!#REF!=""),"",IF(ISNUMBER(Data!#REF!),IF(AND(Data!#REF!&gt;Data_Val!$G$2,Data!#REF!&lt;=Data_Val!$G$3),0,1),1))</f>
        <v>#REF!</v>
      </c>
      <c r="M871" s="9" t="e">
        <f>IF(OR(Data!B871="",Data!#REF!=""),"",IF(ISNUMBER(MATCH(Data!#REF!,Data_Val!$F$1:$F$38,0)),0,1))</f>
        <v>#REF!</v>
      </c>
      <c r="N871" s="9" t="e">
        <f>IF(OR(Data!B871="",Data!#REF!=""),"",IF(Data!#REF!="",1,0))</f>
        <v>#REF!</v>
      </c>
      <c r="O871" s="17" t="e">
        <f>IF(Data!#REF!="","",IF(Data!#REF!="",1,0))</f>
        <v>#REF!</v>
      </c>
      <c r="P871" s="17" t="e">
        <f>IF(Data!#REF!="","",IF(ISNUMBER(MATCH(Data!#REF!,Data_Val!$A$2:$A$3,0)),0,1))</f>
        <v>#REF!</v>
      </c>
      <c r="Q871" s="25" t="e">
        <f ca="1">IF(Data!#REF!="","",IF(ISNUMBER(Data!#REF!),IF(AND(Data!#REF!&gt;(TODAY()-(Data_Val!$J$3*365.25)),Data!#REF!&lt;=(TODAY()-(Data_Val!$J$2*365.25))),0,1),1))</f>
        <v>#REF!</v>
      </c>
      <c r="R871" s="17" t="e">
        <f>IF(Data!#REF!="","",IF(ISNUMBER(MATCH(Data!#REF!,Data_Val!$B$2:$B$15,0)),0,1))</f>
        <v>#REF!</v>
      </c>
      <c r="S871" s="11" t="str">
        <f>IF(Data!G871="","",IF(Data!G871=Data_Val!$C$2,IF(Data!M871="",0,1),0))</f>
        <v/>
      </c>
      <c r="T871" s="11" t="str">
        <f>IF(Data!M871="","",IF(ISNUMBER(MATCH(Data!N871,Data_Val!$A$2:$A$3,0)),0,1))</f>
        <v/>
      </c>
      <c r="U871" s="11" t="str">
        <f ca="1">IF(Data!M871="","",IF(ISNUMBER(Data!O871),IF(AND(Data!O871&gt;(TODAY()-(Data_Val!$K$3*365.25)),Data!O871&lt;=(TODAY()-(Data_Val!$K$2*365.25))),0,1),1))</f>
        <v/>
      </c>
      <c r="V871" s="12" t="str">
        <f>IF(Data!G871="","",IF(Data!G871=Data_Val!$C$2,IF(Data!P871="",0,1),0))</f>
        <v/>
      </c>
      <c r="W871" s="12" t="str">
        <f>IF(Data!P871="","",IF(ISNUMBER(MATCH(Data!Q871,Data_Val!$A$2:$A$3,0)),0,1))</f>
        <v/>
      </c>
      <c r="X871" s="26" t="str">
        <f ca="1">IF(Data!P871="","",IF(ISNUMBER(Data!R871),IF(AND(Data!R871&gt;(TODAY()-(Data_Val!$L$3*365.25)),Data!R871&lt;=(TODAY()-(Data_Val!$L$2*365.25))),0,1),1))</f>
        <v/>
      </c>
      <c r="Y871" s="13" t="str">
        <f>IF(Data!$G871="","",IF(Data!$G871=Data_Val!$C$2,IF(Data!S871="",0,1),0))</f>
        <v/>
      </c>
      <c r="Z871" s="13" t="str">
        <f>IF(Data!S871="","",IF(ISNUMBER(MATCH(Data!T871,Data_Val!$A$2:$A$3,0)),0,1))</f>
        <v/>
      </c>
      <c r="AA871" s="28" t="str">
        <f ca="1">IF(Data!S871="","",IF(ISNUMBER(Data!U871),IF(AND(Data!U871&gt;(TODAY()-(Data_Val!$L$3*365.25)),Data!U871&lt;=(TODAY()-(Data_Val!$L$2*365.25))),0,1),1))</f>
        <v/>
      </c>
      <c r="AB871" s="11"/>
      <c r="AC871" s="11" t="e">
        <f>IF(Data!#REF!="","",IF(ISNUMBER(MATCH(Data!#REF!,Data_Val!$A$2:$A$3,0)),0,1))</f>
        <v>#REF!</v>
      </c>
      <c r="AD871" s="11" t="e">
        <f ca="1">IF(Data!#REF!="","",IF(ISNUMBER(Data!#REF!),IF(AND(Data!#REF!&gt;(TODAY()-(Data_Val!$L$3*365.25)),Data!#REF!&lt;=(TODAY()-(Data_Val!$L$2*365.25))),0,1),1))</f>
        <v>#REF!</v>
      </c>
      <c r="AE871" s="11" t="e">
        <f>IF(Data!#REF!="","",IF(Data!$G871="",1,IF(ISNUMBER(MATCH(Data!#REF!,Data_Val!$D$2:$D$10,0)),0,1)))</f>
        <v>#REF!</v>
      </c>
      <c r="AF871" s="12"/>
      <c r="AG871" s="12" t="e">
        <f>IF(Data!#REF!="","",IF(ISNUMBER(MATCH(Data!#REF!,Data_Val!$A$2:$A$3,0)),0,1))</f>
        <v>#REF!</v>
      </c>
      <c r="AH871" s="26" t="e">
        <f ca="1">IF(Data!#REF!="","",IF(ISNUMBER(Data!#REF!),IF(AND(Data!#REF!&gt;(TODAY()-(Data_Val!$L$3*365.25)),Data!#REF!&lt;=(TODAY()-(Data_Val!$L$2*365.25))),0,1),1))</f>
        <v>#REF!</v>
      </c>
      <c r="AI871" s="12" t="e">
        <f>IF(Data!#REF!="","",IF(Data!$G871="",1,IF(ISNUMBER(MATCH(Data!#REF!,Data_Val!$D$2:$D$10,0)),0,1)))</f>
        <v>#REF!</v>
      </c>
      <c r="AJ871" s="17"/>
      <c r="AK871" s="17" t="e">
        <f>IF(Data!#REF!="","",IF(ISNUMBER(MATCH(Data!#REF!,Data_Val!$A$2:$A$3,0)),0,1))</f>
        <v>#REF!</v>
      </c>
      <c r="AL871" s="25" t="e">
        <f ca="1">IF(Data!#REF!="","",IF(ISNUMBER(Data!#REF!),IF(AND(Data!#REF!&gt;(TODAY()-(Data_Val!$L$3*365.25)),Data!#REF!&lt;=(TODAY()-(Data_Val!$L$2*365.25))),0,1),1))</f>
        <v>#REF!</v>
      </c>
      <c r="AM871" s="17" t="e">
        <f>IF(Data!#REF!="","",IF(Data!$G871="",1,IF(ISNUMBER(MATCH(Data!#REF!,Data_Val!$D$2:$D$10,0)),0,1)))</f>
        <v>#REF!</v>
      </c>
      <c r="AN871" s="13"/>
      <c r="AO871" s="28" t="e">
        <f ca="1">IF(Data!#REF!="","",IF(ISNUMBER(Data!#REF!),IF(AND(Data!#REF!&gt;(TODAY()-(Data_Val!$I$3*365.25)),Data!#REF!&lt;=(TODAY()-(Data_Val!$I$2*365.25))),0,1),1))</f>
        <v>#REF!</v>
      </c>
      <c r="AP871" s="13" t="e">
        <f>IF(Data!#REF!="","",IF(Data!$G871="",1,IF(ISNUMBER(MATCH(Data!#REF!,Data_Val!$D$2:$D$10,0)),0,1)))</f>
        <v>#REF!</v>
      </c>
      <c r="AQ871" s="17"/>
      <c r="AR871" s="30" t="e">
        <f ca="1">IF(Data!#REF!="","",IF(ISNUMBER(Data!#REF!),IF(AND(Data!#REF!&gt;(TODAY()-(Data_Val!$I$3*365.25)),Data!#REF!&lt;=(TODAY()-(Data_Val!$I$2*365.25))),0,1),1))</f>
        <v>#REF!</v>
      </c>
      <c r="AS871" s="31" t="e">
        <f>IF(Data!#REF!="","",IF(Data!$G871="",1,IF(ISNUMBER(MATCH(Data!#REF!,Data_Val!$D$2:$D$10,0)),0,1)))</f>
        <v>#REF!</v>
      </c>
      <c r="AT871" s="11"/>
      <c r="AU871" s="11" t="e">
        <f ca="1">IF(Data!#REF!="","",IF(ISNUMBER(Data!#REF!),IF(AND(Data!#REF!&gt;(TODAY()-(Data_Val!$I$3*365.25)),Data!#REF!&lt;=(TODAY()-(Data_Val!$I$2*365.25))),0,1),1))</f>
        <v>#REF!</v>
      </c>
      <c r="AV871" s="11" t="e">
        <f>IF(Data!#REF!="","",IF(Data!$G871="",1,IF(ISNUMBER(MATCH(Data!#REF!,Data_Val!$D$2:$D$10,0)),0,1)))</f>
        <v>#REF!</v>
      </c>
      <c r="AW871" s="12"/>
      <c r="AX871" s="26" t="e">
        <f ca="1">IF(Data!#REF!="","",IF(ISNUMBER(Data!#REF!),IF(AND(Data!#REF!&gt;(TODAY()-(Data_Val!$I$3*365.25)),Data!#REF!&lt;=(TODAY()-(Data_Val!$I$2*365.25))),0,1),1))</f>
        <v>#REF!</v>
      </c>
      <c r="AY871" s="12" t="e">
        <f>IF(Data!#REF!="","",IF(Data!$G871="",1,IF(ISNUMBER(MATCH(Data!#REF!,Data_Val!$D$2:$D$10,0)),0,1)))</f>
        <v>#REF!</v>
      </c>
      <c r="AZ871" s="11"/>
      <c r="BA871" s="19" t="e">
        <f ca="1">IF(Data!#REF!="","",IF(ISNUMBER(Data!#REF!),IF(AND(Data!#REF!&gt;(TODAY()-(Data_Val!$M$3*365.25)),Data!#REF!&lt;=(TODAY()-(Data_Val!$M$2*365.25))),0,1),1))</f>
        <v>#REF!</v>
      </c>
      <c r="BB871" s="11" t="e">
        <f>IF(Data!#REF!="","",IF(Data!$G871="",1,IF(ISNUMBER(MATCH(Data!#REF!,Data_Val!$D$2:$D$10,0)),0,1)))</f>
        <v>#REF!</v>
      </c>
      <c r="BC871" s="12"/>
      <c r="BD871" s="20" t="e">
        <f ca="1">IF(Data!#REF!="","",IF(ISNUMBER(Data!#REF!),IF(AND(Data!#REF!&gt;(TODAY()-(Data_Val!$M$3*365.25)),Data!#REF!&lt;=(TODAY()-(Data_Val!$M$2*365.25))),0,1),1))</f>
        <v>#REF!</v>
      </c>
      <c r="BE871" s="12" t="e">
        <f>IF(Data!#REF!="","",IF(Data!$G871="",1,IF(ISNUMBER(MATCH(Data!#REF!,Data_Val!$D$2:$D$10,0)),0,1)))</f>
        <v>#REF!</v>
      </c>
      <c r="BF871" s="17"/>
      <c r="BG871" s="18" t="e">
        <f ca="1">IF(Data!#REF!="","",IF(ISNUMBER(Data!#REF!),IF(AND(Data!#REF!&gt;(TODAY()-(Data_Val!$M$3*365.25)),Data!#REF!&lt;=(TODAY()-(Data_Val!$M$2*365.25))),0,1),1))</f>
        <v>#REF!</v>
      </c>
      <c r="BH871" s="29" t="e">
        <f>IF(Data!#REF!="","",IF(Data!$G871="",1,IF(ISNUMBER(MATCH(Data!#REF!,Data_Val!$D$2:$D$10,0)),0,1)))</f>
        <v>#REF!</v>
      </c>
      <c r="BI871" s="13"/>
      <c r="BJ871" s="21" t="e">
        <f ca="1">IF(Data!#REF!="","",IF(ISNUMBER(Data!#REF!),IF(AND(Data!#REF!&gt;(TODAY()-(Data_Val!$M$3*365.25)),Data!#REF!&lt;=(TODAY()-(Data_Val!$M$2*365.25))),0,1),1))</f>
        <v>#REF!</v>
      </c>
      <c r="BK871" s="13" t="e">
        <f>IF(Data!#REF!="","",IF(Data!$G871="",1,IF(ISNUMBER(MATCH(Data!#REF!,Data_Val!$D$2:$D$10,0)),0,1)))</f>
        <v>#REF!</v>
      </c>
    </row>
    <row r="872" spans="1:63" x14ac:dyDescent="0.25">
      <c r="A872" s="9" t="str">
        <f>IF(Data!B872="","",IF(COUNTIFS(Data!A$1:'Data'!A872,Data!A872)&lt;=1,0,1))</f>
        <v/>
      </c>
      <c r="B872" s="9"/>
      <c r="C872" s="23" t="str">
        <f>IF(Data!C872="","",(IF(ISNUMBER(MATCH("*@*.?*",Data!C872,0)),0,1)+IF(COUNTIFS(Data!C$1:'Data'!C872,Data!C872)&gt;1,1,0)))</f>
        <v/>
      </c>
      <c r="D872" s="9" t="str">
        <f>IF(Data!B872="","",IF(ISNUMBER(Data!D872),IF(AND(Data!D872&gt;999999999,Data!D872&lt;=9999999999),IF(COUNTIFS(Data!D$1:'Data'!D872,Data!D872)&lt;=1,0,1),1),1))</f>
        <v/>
      </c>
      <c r="E872" s="9" t="str">
        <f>IF(Data!B872="","",IF(ISNUMBER(MATCH(Data!E872,Data_Val!$A$2:$A$3,0)),0,1))</f>
        <v/>
      </c>
      <c r="F872" s="9" t="str">
        <f ca="1">IF(Data!B872="","",IF(ISNUMBER(Data!F872),IF(AND(Data!F872&gt;(TODAY()-(Data_Val!$H$3*365.25)),Data!F872&lt;=(TODAY()-(Data_Val!$H$2*365.25))),0,1),1))</f>
        <v/>
      </c>
      <c r="G872" s="15" t="str">
        <f>IF(Data!B872="","",IF(AND(Data!G872="",Data!H872&lt;&gt;""),1,IF(Data!#REF!&lt;&gt;"",0,IF(ISNUMBER(MATCH(Data!G872,Data_Val!$C$2:$C$5,0)),0,1))))</f>
        <v/>
      </c>
      <c r="H872" s="15" t="str">
        <f>IF(Data!B872="","",IF(AND(Data!G872&lt;&gt;"",Data!H872=""),1,IF(Data!#REF!&lt;&gt;"",0,IF(Data!G872="",1,IF(ISNUMBER(MATCH(Data!H872,Data_Val!$D$2:$D$35,0)),0,1)))))</f>
        <v/>
      </c>
      <c r="I872" s="15" t="str">
        <f>IF(Data!B872="","",IF(Data!G872&lt;&gt;"",0,IF(ISNUMBER(MATCH(Data!#REF!,Data_Val!$E$2:$E$12,0)),0,1)))</f>
        <v/>
      </c>
      <c r="J872" s="16" t="e">
        <f>IF(OR(Data!B872="",Data!#REF!=""),"",IF(Data!#REF!="",1,0))</f>
        <v>#REF!</v>
      </c>
      <c r="K872" s="16" t="e">
        <f>IF(OR(Data!B872="",Data!#REF!=""),"",IF(Data!#REF!="",1,0))</f>
        <v>#REF!</v>
      </c>
      <c r="L872" s="16" t="e">
        <f>IF(OR(Data!B872="",Data!#REF!=""),"",IF(ISNUMBER(Data!#REF!),IF(AND(Data!#REF!&gt;Data_Val!$G$2,Data!#REF!&lt;=Data_Val!$G$3),0,1),1))</f>
        <v>#REF!</v>
      </c>
      <c r="M872" s="9" t="e">
        <f>IF(OR(Data!B872="",Data!#REF!=""),"",IF(ISNUMBER(MATCH(Data!#REF!,Data_Val!$F$1:$F$38,0)),0,1))</f>
        <v>#REF!</v>
      </c>
      <c r="N872" s="9" t="e">
        <f>IF(OR(Data!B872="",Data!#REF!=""),"",IF(Data!#REF!="",1,0))</f>
        <v>#REF!</v>
      </c>
      <c r="O872" s="17" t="e">
        <f>IF(Data!#REF!="","",IF(Data!#REF!="",1,0))</f>
        <v>#REF!</v>
      </c>
      <c r="P872" s="17" t="e">
        <f>IF(Data!#REF!="","",IF(ISNUMBER(MATCH(Data!#REF!,Data_Val!$A$2:$A$3,0)),0,1))</f>
        <v>#REF!</v>
      </c>
      <c r="Q872" s="25" t="e">
        <f ca="1">IF(Data!#REF!="","",IF(ISNUMBER(Data!#REF!),IF(AND(Data!#REF!&gt;(TODAY()-(Data_Val!$J$3*365.25)),Data!#REF!&lt;=(TODAY()-(Data_Val!$J$2*365.25))),0,1),1))</f>
        <v>#REF!</v>
      </c>
      <c r="R872" s="17" t="e">
        <f>IF(Data!#REF!="","",IF(ISNUMBER(MATCH(Data!#REF!,Data_Val!$B$2:$B$15,0)),0,1))</f>
        <v>#REF!</v>
      </c>
      <c r="S872" s="11" t="str">
        <f>IF(Data!G872="","",IF(Data!G872=Data_Val!$C$2,IF(Data!M872="",0,1),0))</f>
        <v/>
      </c>
      <c r="T872" s="11" t="str">
        <f>IF(Data!M872="","",IF(ISNUMBER(MATCH(Data!N872,Data_Val!$A$2:$A$3,0)),0,1))</f>
        <v/>
      </c>
      <c r="U872" s="11" t="str">
        <f ca="1">IF(Data!M872="","",IF(ISNUMBER(Data!O872),IF(AND(Data!O872&gt;(TODAY()-(Data_Val!$K$3*365.25)),Data!O872&lt;=(TODAY()-(Data_Val!$K$2*365.25))),0,1),1))</f>
        <v/>
      </c>
      <c r="V872" s="12" t="str">
        <f>IF(Data!G872="","",IF(Data!G872=Data_Val!$C$2,IF(Data!P872="",0,1),0))</f>
        <v/>
      </c>
      <c r="W872" s="12" t="str">
        <f>IF(Data!P872="","",IF(ISNUMBER(MATCH(Data!Q872,Data_Val!$A$2:$A$3,0)),0,1))</f>
        <v/>
      </c>
      <c r="X872" s="26" t="str">
        <f ca="1">IF(Data!P872="","",IF(ISNUMBER(Data!R872),IF(AND(Data!R872&gt;(TODAY()-(Data_Val!$L$3*365.25)),Data!R872&lt;=(TODAY()-(Data_Val!$L$2*365.25))),0,1),1))</f>
        <v/>
      </c>
      <c r="Y872" s="13" t="str">
        <f>IF(Data!$G872="","",IF(Data!$G872=Data_Val!$C$2,IF(Data!S872="",0,1),0))</f>
        <v/>
      </c>
      <c r="Z872" s="13" t="str">
        <f>IF(Data!S872="","",IF(ISNUMBER(MATCH(Data!T872,Data_Val!$A$2:$A$3,0)),0,1))</f>
        <v/>
      </c>
      <c r="AA872" s="28" t="str">
        <f ca="1">IF(Data!S872="","",IF(ISNUMBER(Data!U872),IF(AND(Data!U872&gt;(TODAY()-(Data_Val!$L$3*365.25)),Data!U872&lt;=(TODAY()-(Data_Val!$L$2*365.25))),0,1),1))</f>
        <v/>
      </c>
      <c r="AB872" s="11"/>
      <c r="AC872" s="11" t="e">
        <f>IF(Data!#REF!="","",IF(ISNUMBER(MATCH(Data!#REF!,Data_Val!$A$2:$A$3,0)),0,1))</f>
        <v>#REF!</v>
      </c>
      <c r="AD872" s="11" t="e">
        <f ca="1">IF(Data!#REF!="","",IF(ISNUMBER(Data!#REF!),IF(AND(Data!#REF!&gt;(TODAY()-(Data_Val!$L$3*365.25)),Data!#REF!&lt;=(TODAY()-(Data_Val!$L$2*365.25))),0,1),1))</f>
        <v>#REF!</v>
      </c>
      <c r="AE872" s="11" t="e">
        <f>IF(Data!#REF!="","",IF(Data!$G872="",1,IF(ISNUMBER(MATCH(Data!#REF!,Data_Val!$D$2:$D$10,0)),0,1)))</f>
        <v>#REF!</v>
      </c>
      <c r="AF872" s="12"/>
      <c r="AG872" s="12" t="e">
        <f>IF(Data!#REF!="","",IF(ISNUMBER(MATCH(Data!#REF!,Data_Val!$A$2:$A$3,0)),0,1))</f>
        <v>#REF!</v>
      </c>
      <c r="AH872" s="26" t="e">
        <f ca="1">IF(Data!#REF!="","",IF(ISNUMBER(Data!#REF!),IF(AND(Data!#REF!&gt;(TODAY()-(Data_Val!$L$3*365.25)),Data!#REF!&lt;=(TODAY()-(Data_Val!$L$2*365.25))),0,1),1))</f>
        <v>#REF!</v>
      </c>
      <c r="AI872" s="12" t="e">
        <f>IF(Data!#REF!="","",IF(Data!$G872="",1,IF(ISNUMBER(MATCH(Data!#REF!,Data_Val!$D$2:$D$10,0)),0,1)))</f>
        <v>#REF!</v>
      </c>
      <c r="AJ872" s="17"/>
      <c r="AK872" s="17" t="e">
        <f>IF(Data!#REF!="","",IF(ISNUMBER(MATCH(Data!#REF!,Data_Val!$A$2:$A$3,0)),0,1))</f>
        <v>#REF!</v>
      </c>
      <c r="AL872" s="25" t="e">
        <f ca="1">IF(Data!#REF!="","",IF(ISNUMBER(Data!#REF!),IF(AND(Data!#REF!&gt;(TODAY()-(Data_Val!$L$3*365.25)),Data!#REF!&lt;=(TODAY()-(Data_Val!$L$2*365.25))),0,1),1))</f>
        <v>#REF!</v>
      </c>
      <c r="AM872" s="17" t="e">
        <f>IF(Data!#REF!="","",IF(Data!$G872="",1,IF(ISNUMBER(MATCH(Data!#REF!,Data_Val!$D$2:$D$10,0)),0,1)))</f>
        <v>#REF!</v>
      </c>
      <c r="AN872" s="13"/>
      <c r="AO872" s="28" t="e">
        <f ca="1">IF(Data!#REF!="","",IF(ISNUMBER(Data!#REF!),IF(AND(Data!#REF!&gt;(TODAY()-(Data_Val!$I$3*365.25)),Data!#REF!&lt;=(TODAY()-(Data_Val!$I$2*365.25))),0,1),1))</f>
        <v>#REF!</v>
      </c>
      <c r="AP872" s="13" t="e">
        <f>IF(Data!#REF!="","",IF(Data!$G872="",1,IF(ISNUMBER(MATCH(Data!#REF!,Data_Val!$D$2:$D$10,0)),0,1)))</f>
        <v>#REF!</v>
      </c>
      <c r="AQ872" s="17"/>
      <c r="AR872" s="30" t="e">
        <f ca="1">IF(Data!#REF!="","",IF(ISNUMBER(Data!#REF!),IF(AND(Data!#REF!&gt;(TODAY()-(Data_Val!$I$3*365.25)),Data!#REF!&lt;=(TODAY()-(Data_Val!$I$2*365.25))),0,1),1))</f>
        <v>#REF!</v>
      </c>
      <c r="AS872" s="31" t="e">
        <f>IF(Data!#REF!="","",IF(Data!$G872="",1,IF(ISNUMBER(MATCH(Data!#REF!,Data_Val!$D$2:$D$10,0)),0,1)))</f>
        <v>#REF!</v>
      </c>
      <c r="AT872" s="11"/>
      <c r="AU872" s="11" t="e">
        <f ca="1">IF(Data!#REF!="","",IF(ISNUMBER(Data!#REF!),IF(AND(Data!#REF!&gt;(TODAY()-(Data_Val!$I$3*365.25)),Data!#REF!&lt;=(TODAY()-(Data_Val!$I$2*365.25))),0,1),1))</f>
        <v>#REF!</v>
      </c>
      <c r="AV872" s="11" t="e">
        <f>IF(Data!#REF!="","",IF(Data!$G872="",1,IF(ISNUMBER(MATCH(Data!#REF!,Data_Val!$D$2:$D$10,0)),0,1)))</f>
        <v>#REF!</v>
      </c>
      <c r="AW872" s="12"/>
      <c r="AX872" s="26" t="e">
        <f ca="1">IF(Data!#REF!="","",IF(ISNUMBER(Data!#REF!),IF(AND(Data!#REF!&gt;(TODAY()-(Data_Val!$I$3*365.25)),Data!#REF!&lt;=(TODAY()-(Data_Val!$I$2*365.25))),0,1),1))</f>
        <v>#REF!</v>
      </c>
      <c r="AY872" s="12" t="e">
        <f>IF(Data!#REF!="","",IF(Data!$G872="",1,IF(ISNUMBER(MATCH(Data!#REF!,Data_Val!$D$2:$D$10,0)),0,1)))</f>
        <v>#REF!</v>
      </c>
      <c r="AZ872" s="11"/>
      <c r="BA872" s="19" t="e">
        <f ca="1">IF(Data!#REF!="","",IF(ISNUMBER(Data!#REF!),IF(AND(Data!#REF!&gt;(TODAY()-(Data_Val!$M$3*365.25)),Data!#REF!&lt;=(TODAY()-(Data_Val!$M$2*365.25))),0,1),1))</f>
        <v>#REF!</v>
      </c>
      <c r="BB872" s="11" t="e">
        <f>IF(Data!#REF!="","",IF(Data!$G872="",1,IF(ISNUMBER(MATCH(Data!#REF!,Data_Val!$D$2:$D$10,0)),0,1)))</f>
        <v>#REF!</v>
      </c>
      <c r="BC872" s="12"/>
      <c r="BD872" s="20" t="e">
        <f ca="1">IF(Data!#REF!="","",IF(ISNUMBER(Data!#REF!),IF(AND(Data!#REF!&gt;(TODAY()-(Data_Val!$M$3*365.25)),Data!#REF!&lt;=(TODAY()-(Data_Val!$M$2*365.25))),0,1),1))</f>
        <v>#REF!</v>
      </c>
      <c r="BE872" s="12" t="e">
        <f>IF(Data!#REF!="","",IF(Data!$G872="",1,IF(ISNUMBER(MATCH(Data!#REF!,Data_Val!$D$2:$D$10,0)),0,1)))</f>
        <v>#REF!</v>
      </c>
      <c r="BF872" s="17"/>
      <c r="BG872" s="18" t="e">
        <f ca="1">IF(Data!#REF!="","",IF(ISNUMBER(Data!#REF!),IF(AND(Data!#REF!&gt;(TODAY()-(Data_Val!$M$3*365.25)),Data!#REF!&lt;=(TODAY()-(Data_Val!$M$2*365.25))),0,1),1))</f>
        <v>#REF!</v>
      </c>
      <c r="BH872" s="29" t="e">
        <f>IF(Data!#REF!="","",IF(Data!$G872="",1,IF(ISNUMBER(MATCH(Data!#REF!,Data_Val!$D$2:$D$10,0)),0,1)))</f>
        <v>#REF!</v>
      </c>
      <c r="BI872" s="13"/>
      <c r="BJ872" s="21" t="e">
        <f ca="1">IF(Data!#REF!="","",IF(ISNUMBER(Data!#REF!),IF(AND(Data!#REF!&gt;(TODAY()-(Data_Val!$M$3*365.25)),Data!#REF!&lt;=(TODAY()-(Data_Val!$M$2*365.25))),0,1),1))</f>
        <v>#REF!</v>
      </c>
      <c r="BK872" s="13" t="e">
        <f>IF(Data!#REF!="","",IF(Data!$G872="",1,IF(ISNUMBER(MATCH(Data!#REF!,Data_Val!$D$2:$D$10,0)),0,1)))</f>
        <v>#REF!</v>
      </c>
    </row>
    <row r="873" spans="1:63" x14ac:dyDescent="0.25">
      <c r="A873" s="9" t="str">
        <f>IF(Data!B873="","",IF(COUNTIFS(Data!A$1:'Data'!A873,Data!A873)&lt;=1,0,1))</f>
        <v/>
      </c>
      <c r="B873" s="9"/>
      <c r="C873" s="23" t="str">
        <f>IF(Data!C873="","",(IF(ISNUMBER(MATCH("*@*.?*",Data!C873,0)),0,1)+IF(COUNTIFS(Data!C$1:'Data'!C873,Data!C873)&gt;1,1,0)))</f>
        <v/>
      </c>
      <c r="D873" s="9" t="str">
        <f>IF(Data!B873="","",IF(ISNUMBER(Data!D873),IF(AND(Data!D873&gt;999999999,Data!D873&lt;=9999999999),IF(COUNTIFS(Data!D$1:'Data'!D873,Data!D873)&lt;=1,0,1),1),1))</f>
        <v/>
      </c>
      <c r="E873" s="9" t="str">
        <f>IF(Data!B873="","",IF(ISNUMBER(MATCH(Data!E873,Data_Val!$A$2:$A$3,0)),0,1))</f>
        <v/>
      </c>
      <c r="F873" s="9" t="str">
        <f ca="1">IF(Data!B873="","",IF(ISNUMBER(Data!F873),IF(AND(Data!F873&gt;(TODAY()-(Data_Val!$H$3*365.25)),Data!F873&lt;=(TODAY()-(Data_Val!$H$2*365.25))),0,1),1))</f>
        <v/>
      </c>
      <c r="G873" s="15" t="str">
        <f>IF(Data!B873="","",IF(AND(Data!G873="",Data!H873&lt;&gt;""),1,IF(Data!#REF!&lt;&gt;"",0,IF(ISNUMBER(MATCH(Data!G873,Data_Val!$C$2:$C$5,0)),0,1))))</f>
        <v/>
      </c>
      <c r="H873" s="15" t="str">
        <f>IF(Data!B873="","",IF(AND(Data!G873&lt;&gt;"",Data!H873=""),1,IF(Data!#REF!&lt;&gt;"",0,IF(Data!G873="",1,IF(ISNUMBER(MATCH(Data!H873,Data_Val!$D$2:$D$35,0)),0,1)))))</f>
        <v/>
      </c>
      <c r="I873" s="15" t="str">
        <f>IF(Data!B873="","",IF(Data!G873&lt;&gt;"",0,IF(ISNUMBER(MATCH(Data!#REF!,Data_Val!$E$2:$E$12,0)),0,1)))</f>
        <v/>
      </c>
      <c r="J873" s="16" t="e">
        <f>IF(OR(Data!B873="",Data!#REF!=""),"",IF(Data!#REF!="",1,0))</f>
        <v>#REF!</v>
      </c>
      <c r="K873" s="16" t="e">
        <f>IF(OR(Data!B873="",Data!#REF!=""),"",IF(Data!#REF!="",1,0))</f>
        <v>#REF!</v>
      </c>
      <c r="L873" s="16" t="e">
        <f>IF(OR(Data!B873="",Data!#REF!=""),"",IF(ISNUMBER(Data!#REF!),IF(AND(Data!#REF!&gt;Data_Val!$G$2,Data!#REF!&lt;=Data_Val!$G$3),0,1),1))</f>
        <v>#REF!</v>
      </c>
      <c r="M873" s="9" t="e">
        <f>IF(OR(Data!B873="",Data!#REF!=""),"",IF(ISNUMBER(MATCH(Data!#REF!,Data_Val!$F$1:$F$38,0)),0,1))</f>
        <v>#REF!</v>
      </c>
      <c r="N873" s="9" t="e">
        <f>IF(OR(Data!B873="",Data!#REF!=""),"",IF(Data!#REF!="",1,0))</f>
        <v>#REF!</v>
      </c>
      <c r="O873" s="17" t="e">
        <f>IF(Data!#REF!="","",IF(Data!#REF!="",1,0))</f>
        <v>#REF!</v>
      </c>
      <c r="P873" s="17" t="e">
        <f>IF(Data!#REF!="","",IF(ISNUMBER(MATCH(Data!#REF!,Data_Val!$A$2:$A$3,0)),0,1))</f>
        <v>#REF!</v>
      </c>
      <c r="Q873" s="25" t="e">
        <f ca="1">IF(Data!#REF!="","",IF(ISNUMBER(Data!#REF!),IF(AND(Data!#REF!&gt;(TODAY()-(Data_Val!$J$3*365.25)),Data!#REF!&lt;=(TODAY()-(Data_Val!$J$2*365.25))),0,1),1))</f>
        <v>#REF!</v>
      </c>
      <c r="R873" s="17" t="e">
        <f>IF(Data!#REF!="","",IF(ISNUMBER(MATCH(Data!#REF!,Data_Val!$B$2:$B$15,0)),0,1))</f>
        <v>#REF!</v>
      </c>
      <c r="S873" s="11" t="str">
        <f>IF(Data!G873="","",IF(Data!G873=Data_Val!$C$2,IF(Data!M873="",0,1),0))</f>
        <v/>
      </c>
      <c r="T873" s="11" t="str">
        <f>IF(Data!M873="","",IF(ISNUMBER(MATCH(Data!N873,Data_Val!$A$2:$A$3,0)),0,1))</f>
        <v/>
      </c>
      <c r="U873" s="11" t="str">
        <f ca="1">IF(Data!M873="","",IF(ISNUMBER(Data!O873),IF(AND(Data!O873&gt;(TODAY()-(Data_Val!$K$3*365.25)),Data!O873&lt;=(TODAY()-(Data_Val!$K$2*365.25))),0,1),1))</f>
        <v/>
      </c>
      <c r="V873" s="12" t="str">
        <f>IF(Data!G873="","",IF(Data!G873=Data_Val!$C$2,IF(Data!P873="",0,1),0))</f>
        <v/>
      </c>
      <c r="W873" s="12" t="str">
        <f>IF(Data!P873="","",IF(ISNUMBER(MATCH(Data!Q873,Data_Val!$A$2:$A$3,0)),0,1))</f>
        <v/>
      </c>
      <c r="X873" s="26" t="str">
        <f ca="1">IF(Data!P873="","",IF(ISNUMBER(Data!R873),IF(AND(Data!R873&gt;(TODAY()-(Data_Val!$L$3*365.25)),Data!R873&lt;=(TODAY()-(Data_Val!$L$2*365.25))),0,1),1))</f>
        <v/>
      </c>
      <c r="Y873" s="13" t="str">
        <f>IF(Data!$G873="","",IF(Data!$G873=Data_Val!$C$2,IF(Data!S873="",0,1),0))</f>
        <v/>
      </c>
      <c r="Z873" s="13" t="str">
        <f>IF(Data!S873="","",IF(ISNUMBER(MATCH(Data!T873,Data_Val!$A$2:$A$3,0)),0,1))</f>
        <v/>
      </c>
      <c r="AA873" s="28" t="str">
        <f ca="1">IF(Data!S873="","",IF(ISNUMBER(Data!U873),IF(AND(Data!U873&gt;(TODAY()-(Data_Val!$L$3*365.25)),Data!U873&lt;=(TODAY()-(Data_Val!$L$2*365.25))),0,1),1))</f>
        <v/>
      </c>
      <c r="AB873" s="11"/>
      <c r="AC873" s="11" t="e">
        <f>IF(Data!#REF!="","",IF(ISNUMBER(MATCH(Data!#REF!,Data_Val!$A$2:$A$3,0)),0,1))</f>
        <v>#REF!</v>
      </c>
      <c r="AD873" s="11" t="e">
        <f ca="1">IF(Data!#REF!="","",IF(ISNUMBER(Data!#REF!),IF(AND(Data!#REF!&gt;(TODAY()-(Data_Val!$L$3*365.25)),Data!#REF!&lt;=(TODAY()-(Data_Val!$L$2*365.25))),0,1),1))</f>
        <v>#REF!</v>
      </c>
      <c r="AE873" s="11" t="e">
        <f>IF(Data!#REF!="","",IF(Data!$G873="",1,IF(ISNUMBER(MATCH(Data!#REF!,Data_Val!$D$2:$D$10,0)),0,1)))</f>
        <v>#REF!</v>
      </c>
      <c r="AF873" s="12"/>
      <c r="AG873" s="12" t="e">
        <f>IF(Data!#REF!="","",IF(ISNUMBER(MATCH(Data!#REF!,Data_Val!$A$2:$A$3,0)),0,1))</f>
        <v>#REF!</v>
      </c>
      <c r="AH873" s="26" t="e">
        <f ca="1">IF(Data!#REF!="","",IF(ISNUMBER(Data!#REF!),IF(AND(Data!#REF!&gt;(TODAY()-(Data_Val!$L$3*365.25)),Data!#REF!&lt;=(TODAY()-(Data_Val!$L$2*365.25))),0,1),1))</f>
        <v>#REF!</v>
      </c>
      <c r="AI873" s="12" t="e">
        <f>IF(Data!#REF!="","",IF(Data!$G873="",1,IF(ISNUMBER(MATCH(Data!#REF!,Data_Val!$D$2:$D$10,0)),0,1)))</f>
        <v>#REF!</v>
      </c>
      <c r="AJ873" s="17"/>
      <c r="AK873" s="17" t="e">
        <f>IF(Data!#REF!="","",IF(ISNUMBER(MATCH(Data!#REF!,Data_Val!$A$2:$A$3,0)),0,1))</f>
        <v>#REF!</v>
      </c>
      <c r="AL873" s="25" t="e">
        <f ca="1">IF(Data!#REF!="","",IF(ISNUMBER(Data!#REF!),IF(AND(Data!#REF!&gt;(TODAY()-(Data_Val!$L$3*365.25)),Data!#REF!&lt;=(TODAY()-(Data_Val!$L$2*365.25))),0,1),1))</f>
        <v>#REF!</v>
      </c>
      <c r="AM873" s="17" t="e">
        <f>IF(Data!#REF!="","",IF(Data!$G873="",1,IF(ISNUMBER(MATCH(Data!#REF!,Data_Val!$D$2:$D$10,0)),0,1)))</f>
        <v>#REF!</v>
      </c>
      <c r="AN873" s="13"/>
      <c r="AO873" s="28" t="e">
        <f ca="1">IF(Data!#REF!="","",IF(ISNUMBER(Data!#REF!),IF(AND(Data!#REF!&gt;(TODAY()-(Data_Val!$I$3*365.25)),Data!#REF!&lt;=(TODAY()-(Data_Val!$I$2*365.25))),0,1),1))</f>
        <v>#REF!</v>
      </c>
      <c r="AP873" s="13" t="e">
        <f>IF(Data!#REF!="","",IF(Data!$G873="",1,IF(ISNUMBER(MATCH(Data!#REF!,Data_Val!$D$2:$D$10,0)),0,1)))</f>
        <v>#REF!</v>
      </c>
      <c r="AQ873" s="17"/>
      <c r="AR873" s="30" t="e">
        <f ca="1">IF(Data!#REF!="","",IF(ISNUMBER(Data!#REF!),IF(AND(Data!#REF!&gt;(TODAY()-(Data_Val!$I$3*365.25)),Data!#REF!&lt;=(TODAY()-(Data_Val!$I$2*365.25))),0,1),1))</f>
        <v>#REF!</v>
      </c>
      <c r="AS873" s="31" t="e">
        <f>IF(Data!#REF!="","",IF(Data!$G873="",1,IF(ISNUMBER(MATCH(Data!#REF!,Data_Val!$D$2:$D$10,0)),0,1)))</f>
        <v>#REF!</v>
      </c>
      <c r="AT873" s="11"/>
      <c r="AU873" s="11" t="e">
        <f ca="1">IF(Data!#REF!="","",IF(ISNUMBER(Data!#REF!),IF(AND(Data!#REF!&gt;(TODAY()-(Data_Val!$I$3*365.25)),Data!#REF!&lt;=(TODAY()-(Data_Val!$I$2*365.25))),0,1),1))</f>
        <v>#REF!</v>
      </c>
      <c r="AV873" s="11" t="e">
        <f>IF(Data!#REF!="","",IF(Data!$G873="",1,IF(ISNUMBER(MATCH(Data!#REF!,Data_Val!$D$2:$D$10,0)),0,1)))</f>
        <v>#REF!</v>
      </c>
      <c r="AW873" s="12"/>
      <c r="AX873" s="26" t="e">
        <f ca="1">IF(Data!#REF!="","",IF(ISNUMBER(Data!#REF!),IF(AND(Data!#REF!&gt;(TODAY()-(Data_Val!$I$3*365.25)),Data!#REF!&lt;=(TODAY()-(Data_Val!$I$2*365.25))),0,1),1))</f>
        <v>#REF!</v>
      </c>
      <c r="AY873" s="12" t="e">
        <f>IF(Data!#REF!="","",IF(Data!$G873="",1,IF(ISNUMBER(MATCH(Data!#REF!,Data_Val!$D$2:$D$10,0)),0,1)))</f>
        <v>#REF!</v>
      </c>
      <c r="AZ873" s="11"/>
      <c r="BA873" s="19" t="e">
        <f ca="1">IF(Data!#REF!="","",IF(ISNUMBER(Data!#REF!),IF(AND(Data!#REF!&gt;(TODAY()-(Data_Val!$M$3*365.25)),Data!#REF!&lt;=(TODAY()-(Data_Val!$M$2*365.25))),0,1),1))</f>
        <v>#REF!</v>
      </c>
      <c r="BB873" s="11" t="e">
        <f>IF(Data!#REF!="","",IF(Data!$G873="",1,IF(ISNUMBER(MATCH(Data!#REF!,Data_Val!$D$2:$D$10,0)),0,1)))</f>
        <v>#REF!</v>
      </c>
      <c r="BC873" s="12"/>
      <c r="BD873" s="20" t="e">
        <f ca="1">IF(Data!#REF!="","",IF(ISNUMBER(Data!#REF!),IF(AND(Data!#REF!&gt;(TODAY()-(Data_Val!$M$3*365.25)),Data!#REF!&lt;=(TODAY()-(Data_Val!$M$2*365.25))),0,1),1))</f>
        <v>#REF!</v>
      </c>
      <c r="BE873" s="12" t="e">
        <f>IF(Data!#REF!="","",IF(Data!$G873="",1,IF(ISNUMBER(MATCH(Data!#REF!,Data_Val!$D$2:$D$10,0)),0,1)))</f>
        <v>#REF!</v>
      </c>
      <c r="BF873" s="17"/>
      <c r="BG873" s="18" t="e">
        <f ca="1">IF(Data!#REF!="","",IF(ISNUMBER(Data!#REF!),IF(AND(Data!#REF!&gt;(TODAY()-(Data_Val!$M$3*365.25)),Data!#REF!&lt;=(TODAY()-(Data_Val!$M$2*365.25))),0,1),1))</f>
        <v>#REF!</v>
      </c>
      <c r="BH873" s="29" t="e">
        <f>IF(Data!#REF!="","",IF(Data!$G873="",1,IF(ISNUMBER(MATCH(Data!#REF!,Data_Val!$D$2:$D$10,0)),0,1)))</f>
        <v>#REF!</v>
      </c>
      <c r="BI873" s="13"/>
      <c r="BJ873" s="21" t="e">
        <f ca="1">IF(Data!#REF!="","",IF(ISNUMBER(Data!#REF!),IF(AND(Data!#REF!&gt;(TODAY()-(Data_Val!$M$3*365.25)),Data!#REF!&lt;=(TODAY()-(Data_Val!$M$2*365.25))),0,1),1))</f>
        <v>#REF!</v>
      </c>
      <c r="BK873" s="13" t="e">
        <f>IF(Data!#REF!="","",IF(Data!$G873="",1,IF(ISNUMBER(MATCH(Data!#REF!,Data_Val!$D$2:$D$10,0)),0,1)))</f>
        <v>#REF!</v>
      </c>
    </row>
    <row r="874" spans="1:63" x14ac:dyDescent="0.25">
      <c r="A874" s="9" t="str">
        <f>IF(Data!B874="","",IF(COUNTIFS(Data!A$1:'Data'!A874,Data!A874)&lt;=1,0,1))</f>
        <v/>
      </c>
      <c r="B874" s="9"/>
      <c r="C874" s="23" t="str">
        <f>IF(Data!C874="","",(IF(ISNUMBER(MATCH("*@*.?*",Data!C874,0)),0,1)+IF(COUNTIFS(Data!C$1:'Data'!C874,Data!C874)&gt;1,1,0)))</f>
        <v/>
      </c>
      <c r="D874" s="9" t="str">
        <f>IF(Data!B874="","",IF(ISNUMBER(Data!D874),IF(AND(Data!D874&gt;999999999,Data!D874&lt;=9999999999),IF(COUNTIFS(Data!D$1:'Data'!D874,Data!D874)&lt;=1,0,1),1),1))</f>
        <v/>
      </c>
      <c r="E874" s="9" t="str">
        <f>IF(Data!B874="","",IF(ISNUMBER(MATCH(Data!E874,Data_Val!$A$2:$A$3,0)),0,1))</f>
        <v/>
      </c>
      <c r="F874" s="9" t="str">
        <f ca="1">IF(Data!B874="","",IF(ISNUMBER(Data!F874),IF(AND(Data!F874&gt;(TODAY()-(Data_Val!$H$3*365.25)),Data!F874&lt;=(TODAY()-(Data_Val!$H$2*365.25))),0,1),1))</f>
        <v/>
      </c>
      <c r="G874" s="15" t="str">
        <f>IF(Data!B874="","",IF(AND(Data!G874="",Data!H874&lt;&gt;""),1,IF(Data!#REF!&lt;&gt;"",0,IF(ISNUMBER(MATCH(Data!G874,Data_Val!$C$2:$C$5,0)),0,1))))</f>
        <v/>
      </c>
      <c r="H874" s="15" t="str">
        <f>IF(Data!B874="","",IF(AND(Data!G874&lt;&gt;"",Data!H874=""),1,IF(Data!#REF!&lt;&gt;"",0,IF(Data!G874="",1,IF(ISNUMBER(MATCH(Data!H874,Data_Val!$D$2:$D$35,0)),0,1)))))</f>
        <v/>
      </c>
      <c r="I874" s="15" t="str">
        <f>IF(Data!B874="","",IF(Data!G874&lt;&gt;"",0,IF(ISNUMBER(MATCH(Data!#REF!,Data_Val!$E$2:$E$12,0)),0,1)))</f>
        <v/>
      </c>
      <c r="J874" s="16" t="e">
        <f>IF(OR(Data!B874="",Data!#REF!=""),"",IF(Data!#REF!="",1,0))</f>
        <v>#REF!</v>
      </c>
      <c r="K874" s="16" t="e">
        <f>IF(OR(Data!B874="",Data!#REF!=""),"",IF(Data!#REF!="",1,0))</f>
        <v>#REF!</v>
      </c>
      <c r="L874" s="16" t="e">
        <f>IF(OR(Data!B874="",Data!#REF!=""),"",IF(ISNUMBER(Data!#REF!),IF(AND(Data!#REF!&gt;Data_Val!$G$2,Data!#REF!&lt;=Data_Val!$G$3),0,1),1))</f>
        <v>#REF!</v>
      </c>
      <c r="M874" s="9" t="e">
        <f>IF(OR(Data!B874="",Data!#REF!=""),"",IF(ISNUMBER(MATCH(Data!#REF!,Data_Val!$F$1:$F$38,0)),0,1))</f>
        <v>#REF!</v>
      </c>
      <c r="N874" s="9" t="e">
        <f>IF(OR(Data!B874="",Data!#REF!=""),"",IF(Data!#REF!="",1,0))</f>
        <v>#REF!</v>
      </c>
      <c r="O874" s="17" t="e">
        <f>IF(Data!#REF!="","",IF(Data!#REF!="",1,0))</f>
        <v>#REF!</v>
      </c>
      <c r="P874" s="17" t="e">
        <f>IF(Data!#REF!="","",IF(ISNUMBER(MATCH(Data!#REF!,Data_Val!$A$2:$A$3,0)),0,1))</f>
        <v>#REF!</v>
      </c>
      <c r="Q874" s="25" t="e">
        <f ca="1">IF(Data!#REF!="","",IF(ISNUMBER(Data!#REF!),IF(AND(Data!#REF!&gt;(TODAY()-(Data_Val!$J$3*365.25)),Data!#REF!&lt;=(TODAY()-(Data_Val!$J$2*365.25))),0,1),1))</f>
        <v>#REF!</v>
      </c>
      <c r="R874" s="17" t="e">
        <f>IF(Data!#REF!="","",IF(ISNUMBER(MATCH(Data!#REF!,Data_Val!$B$2:$B$15,0)),0,1))</f>
        <v>#REF!</v>
      </c>
      <c r="S874" s="11" t="str">
        <f>IF(Data!G874="","",IF(Data!G874=Data_Val!$C$2,IF(Data!M874="",0,1),0))</f>
        <v/>
      </c>
      <c r="T874" s="11" t="str">
        <f>IF(Data!M874="","",IF(ISNUMBER(MATCH(Data!N874,Data_Val!$A$2:$A$3,0)),0,1))</f>
        <v/>
      </c>
      <c r="U874" s="11" t="str">
        <f ca="1">IF(Data!M874="","",IF(ISNUMBER(Data!O874),IF(AND(Data!O874&gt;(TODAY()-(Data_Val!$K$3*365.25)),Data!O874&lt;=(TODAY()-(Data_Val!$K$2*365.25))),0,1),1))</f>
        <v/>
      </c>
      <c r="V874" s="12" t="str">
        <f>IF(Data!G874="","",IF(Data!G874=Data_Val!$C$2,IF(Data!P874="",0,1),0))</f>
        <v/>
      </c>
      <c r="W874" s="12" t="str">
        <f>IF(Data!P874="","",IF(ISNUMBER(MATCH(Data!Q874,Data_Val!$A$2:$A$3,0)),0,1))</f>
        <v/>
      </c>
      <c r="X874" s="26" t="str">
        <f ca="1">IF(Data!P874="","",IF(ISNUMBER(Data!R874),IF(AND(Data!R874&gt;(TODAY()-(Data_Val!$L$3*365.25)),Data!R874&lt;=(TODAY()-(Data_Val!$L$2*365.25))),0,1),1))</f>
        <v/>
      </c>
      <c r="Y874" s="13" t="str">
        <f>IF(Data!$G874="","",IF(Data!$G874=Data_Val!$C$2,IF(Data!S874="",0,1),0))</f>
        <v/>
      </c>
      <c r="Z874" s="13" t="str">
        <f>IF(Data!S874="","",IF(ISNUMBER(MATCH(Data!T874,Data_Val!$A$2:$A$3,0)),0,1))</f>
        <v/>
      </c>
      <c r="AA874" s="28" t="str">
        <f ca="1">IF(Data!S874="","",IF(ISNUMBER(Data!U874),IF(AND(Data!U874&gt;(TODAY()-(Data_Val!$L$3*365.25)),Data!U874&lt;=(TODAY()-(Data_Val!$L$2*365.25))),0,1),1))</f>
        <v/>
      </c>
      <c r="AB874" s="11"/>
      <c r="AC874" s="11" t="e">
        <f>IF(Data!#REF!="","",IF(ISNUMBER(MATCH(Data!#REF!,Data_Val!$A$2:$A$3,0)),0,1))</f>
        <v>#REF!</v>
      </c>
      <c r="AD874" s="11" t="e">
        <f ca="1">IF(Data!#REF!="","",IF(ISNUMBER(Data!#REF!),IF(AND(Data!#REF!&gt;(TODAY()-(Data_Val!$L$3*365.25)),Data!#REF!&lt;=(TODAY()-(Data_Val!$L$2*365.25))),0,1),1))</f>
        <v>#REF!</v>
      </c>
      <c r="AE874" s="11" t="e">
        <f>IF(Data!#REF!="","",IF(Data!$G874="",1,IF(ISNUMBER(MATCH(Data!#REF!,Data_Val!$D$2:$D$10,0)),0,1)))</f>
        <v>#REF!</v>
      </c>
      <c r="AF874" s="12"/>
      <c r="AG874" s="12" t="e">
        <f>IF(Data!#REF!="","",IF(ISNUMBER(MATCH(Data!#REF!,Data_Val!$A$2:$A$3,0)),0,1))</f>
        <v>#REF!</v>
      </c>
      <c r="AH874" s="26" t="e">
        <f ca="1">IF(Data!#REF!="","",IF(ISNUMBER(Data!#REF!),IF(AND(Data!#REF!&gt;(TODAY()-(Data_Val!$L$3*365.25)),Data!#REF!&lt;=(TODAY()-(Data_Val!$L$2*365.25))),0,1),1))</f>
        <v>#REF!</v>
      </c>
      <c r="AI874" s="12" t="e">
        <f>IF(Data!#REF!="","",IF(Data!$G874="",1,IF(ISNUMBER(MATCH(Data!#REF!,Data_Val!$D$2:$D$10,0)),0,1)))</f>
        <v>#REF!</v>
      </c>
      <c r="AJ874" s="17"/>
      <c r="AK874" s="17" t="e">
        <f>IF(Data!#REF!="","",IF(ISNUMBER(MATCH(Data!#REF!,Data_Val!$A$2:$A$3,0)),0,1))</f>
        <v>#REF!</v>
      </c>
      <c r="AL874" s="25" t="e">
        <f ca="1">IF(Data!#REF!="","",IF(ISNUMBER(Data!#REF!),IF(AND(Data!#REF!&gt;(TODAY()-(Data_Val!$L$3*365.25)),Data!#REF!&lt;=(TODAY()-(Data_Val!$L$2*365.25))),0,1),1))</f>
        <v>#REF!</v>
      </c>
      <c r="AM874" s="17" t="e">
        <f>IF(Data!#REF!="","",IF(Data!$G874="",1,IF(ISNUMBER(MATCH(Data!#REF!,Data_Val!$D$2:$D$10,0)),0,1)))</f>
        <v>#REF!</v>
      </c>
      <c r="AN874" s="13"/>
      <c r="AO874" s="28" t="e">
        <f ca="1">IF(Data!#REF!="","",IF(ISNUMBER(Data!#REF!),IF(AND(Data!#REF!&gt;(TODAY()-(Data_Val!$I$3*365.25)),Data!#REF!&lt;=(TODAY()-(Data_Val!$I$2*365.25))),0,1),1))</f>
        <v>#REF!</v>
      </c>
      <c r="AP874" s="13" t="e">
        <f>IF(Data!#REF!="","",IF(Data!$G874="",1,IF(ISNUMBER(MATCH(Data!#REF!,Data_Val!$D$2:$D$10,0)),0,1)))</f>
        <v>#REF!</v>
      </c>
      <c r="AQ874" s="17"/>
      <c r="AR874" s="30" t="e">
        <f ca="1">IF(Data!#REF!="","",IF(ISNUMBER(Data!#REF!),IF(AND(Data!#REF!&gt;(TODAY()-(Data_Val!$I$3*365.25)),Data!#REF!&lt;=(TODAY()-(Data_Val!$I$2*365.25))),0,1),1))</f>
        <v>#REF!</v>
      </c>
      <c r="AS874" s="31" t="e">
        <f>IF(Data!#REF!="","",IF(Data!$G874="",1,IF(ISNUMBER(MATCH(Data!#REF!,Data_Val!$D$2:$D$10,0)),0,1)))</f>
        <v>#REF!</v>
      </c>
      <c r="AT874" s="11"/>
      <c r="AU874" s="11" t="e">
        <f ca="1">IF(Data!#REF!="","",IF(ISNUMBER(Data!#REF!),IF(AND(Data!#REF!&gt;(TODAY()-(Data_Val!$I$3*365.25)),Data!#REF!&lt;=(TODAY()-(Data_Val!$I$2*365.25))),0,1),1))</f>
        <v>#REF!</v>
      </c>
      <c r="AV874" s="11" t="e">
        <f>IF(Data!#REF!="","",IF(Data!$G874="",1,IF(ISNUMBER(MATCH(Data!#REF!,Data_Val!$D$2:$D$10,0)),0,1)))</f>
        <v>#REF!</v>
      </c>
      <c r="AW874" s="12"/>
      <c r="AX874" s="26" t="e">
        <f ca="1">IF(Data!#REF!="","",IF(ISNUMBER(Data!#REF!),IF(AND(Data!#REF!&gt;(TODAY()-(Data_Val!$I$3*365.25)),Data!#REF!&lt;=(TODAY()-(Data_Val!$I$2*365.25))),0,1),1))</f>
        <v>#REF!</v>
      </c>
      <c r="AY874" s="12" t="e">
        <f>IF(Data!#REF!="","",IF(Data!$G874="",1,IF(ISNUMBER(MATCH(Data!#REF!,Data_Val!$D$2:$D$10,0)),0,1)))</f>
        <v>#REF!</v>
      </c>
      <c r="AZ874" s="11"/>
      <c r="BA874" s="19" t="e">
        <f ca="1">IF(Data!#REF!="","",IF(ISNUMBER(Data!#REF!),IF(AND(Data!#REF!&gt;(TODAY()-(Data_Val!$M$3*365.25)),Data!#REF!&lt;=(TODAY()-(Data_Val!$M$2*365.25))),0,1),1))</f>
        <v>#REF!</v>
      </c>
      <c r="BB874" s="11" t="e">
        <f>IF(Data!#REF!="","",IF(Data!$G874="",1,IF(ISNUMBER(MATCH(Data!#REF!,Data_Val!$D$2:$D$10,0)),0,1)))</f>
        <v>#REF!</v>
      </c>
      <c r="BC874" s="12"/>
      <c r="BD874" s="20" t="e">
        <f ca="1">IF(Data!#REF!="","",IF(ISNUMBER(Data!#REF!),IF(AND(Data!#REF!&gt;(TODAY()-(Data_Val!$M$3*365.25)),Data!#REF!&lt;=(TODAY()-(Data_Val!$M$2*365.25))),0,1),1))</f>
        <v>#REF!</v>
      </c>
      <c r="BE874" s="12" t="e">
        <f>IF(Data!#REF!="","",IF(Data!$G874="",1,IF(ISNUMBER(MATCH(Data!#REF!,Data_Val!$D$2:$D$10,0)),0,1)))</f>
        <v>#REF!</v>
      </c>
      <c r="BF874" s="17"/>
      <c r="BG874" s="18" t="e">
        <f ca="1">IF(Data!#REF!="","",IF(ISNUMBER(Data!#REF!),IF(AND(Data!#REF!&gt;(TODAY()-(Data_Val!$M$3*365.25)),Data!#REF!&lt;=(TODAY()-(Data_Val!$M$2*365.25))),0,1),1))</f>
        <v>#REF!</v>
      </c>
      <c r="BH874" s="29" t="e">
        <f>IF(Data!#REF!="","",IF(Data!$G874="",1,IF(ISNUMBER(MATCH(Data!#REF!,Data_Val!$D$2:$D$10,0)),0,1)))</f>
        <v>#REF!</v>
      </c>
      <c r="BI874" s="13"/>
      <c r="BJ874" s="21" t="e">
        <f ca="1">IF(Data!#REF!="","",IF(ISNUMBER(Data!#REF!),IF(AND(Data!#REF!&gt;(TODAY()-(Data_Val!$M$3*365.25)),Data!#REF!&lt;=(TODAY()-(Data_Val!$M$2*365.25))),0,1),1))</f>
        <v>#REF!</v>
      </c>
      <c r="BK874" s="13" t="e">
        <f>IF(Data!#REF!="","",IF(Data!$G874="",1,IF(ISNUMBER(MATCH(Data!#REF!,Data_Val!$D$2:$D$10,0)),0,1)))</f>
        <v>#REF!</v>
      </c>
    </row>
    <row r="875" spans="1:63" x14ac:dyDescent="0.25">
      <c r="A875" s="9" t="str">
        <f>IF(Data!B875="","",IF(COUNTIFS(Data!A$1:'Data'!A875,Data!A875)&lt;=1,0,1))</f>
        <v/>
      </c>
      <c r="B875" s="9"/>
      <c r="C875" s="23" t="str">
        <f>IF(Data!C875="","",(IF(ISNUMBER(MATCH("*@*.?*",Data!C875,0)),0,1)+IF(COUNTIFS(Data!C$1:'Data'!C875,Data!C875)&gt;1,1,0)))</f>
        <v/>
      </c>
      <c r="D875" s="9" t="str">
        <f>IF(Data!B875="","",IF(ISNUMBER(Data!D875),IF(AND(Data!D875&gt;999999999,Data!D875&lt;=9999999999),IF(COUNTIFS(Data!D$1:'Data'!D875,Data!D875)&lt;=1,0,1),1),1))</f>
        <v/>
      </c>
      <c r="E875" s="9" t="str">
        <f>IF(Data!B875="","",IF(ISNUMBER(MATCH(Data!E875,Data_Val!$A$2:$A$3,0)),0,1))</f>
        <v/>
      </c>
      <c r="F875" s="9" t="str">
        <f ca="1">IF(Data!B875="","",IF(ISNUMBER(Data!F875),IF(AND(Data!F875&gt;(TODAY()-(Data_Val!$H$3*365.25)),Data!F875&lt;=(TODAY()-(Data_Val!$H$2*365.25))),0,1),1))</f>
        <v/>
      </c>
      <c r="G875" s="15" t="str">
        <f>IF(Data!B875="","",IF(AND(Data!G875="",Data!H875&lt;&gt;""),1,IF(Data!#REF!&lt;&gt;"",0,IF(ISNUMBER(MATCH(Data!G875,Data_Val!$C$2:$C$5,0)),0,1))))</f>
        <v/>
      </c>
      <c r="H875" s="15" t="str">
        <f>IF(Data!B875="","",IF(AND(Data!G875&lt;&gt;"",Data!H875=""),1,IF(Data!#REF!&lt;&gt;"",0,IF(Data!G875="",1,IF(ISNUMBER(MATCH(Data!H875,Data_Val!$D$2:$D$35,0)),0,1)))))</f>
        <v/>
      </c>
      <c r="I875" s="15" t="str">
        <f>IF(Data!B875="","",IF(Data!G875&lt;&gt;"",0,IF(ISNUMBER(MATCH(Data!#REF!,Data_Val!$E$2:$E$12,0)),0,1)))</f>
        <v/>
      </c>
      <c r="J875" s="16" t="e">
        <f>IF(OR(Data!B875="",Data!#REF!=""),"",IF(Data!#REF!="",1,0))</f>
        <v>#REF!</v>
      </c>
      <c r="K875" s="16" t="e">
        <f>IF(OR(Data!B875="",Data!#REF!=""),"",IF(Data!#REF!="",1,0))</f>
        <v>#REF!</v>
      </c>
      <c r="L875" s="16" t="e">
        <f>IF(OR(Data!B875="",Data!#REF!=""),"",IF(ISNUMBER(Data!#REF!),IF(AND(Data!#REF!&gt;Data_Val!$G$2,Data!#REF!&lt;=Data_Val!$G$3),0,1),1))</f>
        <v>#REF!</v>
      </c>
      <c r="M875" s="9" t="e">
        <f>IF(OR(Data!B875="",Data!#REF!=""),"",IF(ISNUMBER(MATCH(Data!#REF!,Data_Val!$F$1:$F$38,0)),0,1))</f>
        <v>#REF!</v>
      </c>
      <c r="N875" s="9" t="e">
        <f>IF(OR(Data!B875="",Data!#REF!=""),"",IF(Data!#REF!="",1,0))</f>
        <v>#REF!</v>
      </c>
      <c r="O875" s="17" t="e">
        <f>IF(Data!#REF!="","",IF(Data!#REF!="",1,0))</f>
        <v>#REF!</v>
      </c>
      <c r="P875" s="17" t="e">
        <f>IF(Data!#REF!="","",IF(ISNUMBER(MATCH(Data!#REF!,Data_Val!$A$2:$A$3,0)),0,1))</f>
        <v>#REF!</v>
      </c>
      <c r="Q875" s="25" t="e">
        <f ca="1">IF(Data!#REF!="","",IF(ISNUMBER(Data!#REF!),IF(AND(Data!#REF!&gt;(TODAY()-(Data_Val!$J$3*365.25)),Data!#REF!&lt;=(TODAY()-(Data_Val!$J$2*365.25))),0,1),1))</f>
        <v>#REF!</v>
      </c>
      <c r="R875" s="17" t="e">
        <f>IF(Data!#REF!="","",IF(ISNUMBER(MATCH(Data!#REF!,Data_Val!$B$2:$B$15,0)),0,1))</f>
        <v>#REF!</v>
      </c>
      <c r="S875" s="11" t="str">
        <f>IF(Data!G875="","",IF(Data!G875=Data_Val!$C$2,IF(Data!M875="",0,1),0))</f>
        <v/>
      </c>
      <c r="T875" s="11" t="str">
        <f>IF(Data!M875="","",IF(ISNUMBER(MATCH(Data!N875,Data_Val!$A$2:$A$3,0)),0,1))</f>
        <v/>
      </c>
      <c r="U875" s="11" t="str">
        <f ca="1">IF(Data!M875="","",IF(ISNUMBER(Data!O875),IF(AND(Data!O875&gt;(TODAY()-(Data_Val!$K$3*365.25)),Data!O875&lt;=(TODAY()-(Data_Val!$K$2*365.25))),0,1),1))</f>
        <v/>
      </c>
      <c r="V875" s="12" t="str">
        <f>IF(Data!G875="","",IF(Data!G875=Data_Val!$C$2,IF(Data!P875="",0,1),0))</f>
        <v/>
      </c>
      <c r="W875" s="12" t="str">
        <f>IF(Data!P875="","",IF(ISNUMBER(MATCH(Data!Q875,Data_Val!$A$2:$A$3,0)),0,1))</f>
        <v/>
      </c>
      <c r="X875" s="26" t="str">
        <f ca="1">IF(Data!P875="","",IF(ISNUMBER(Data!R875),IF(AND(Data!R875&gt;(TODAY()-(Data_Val!$L$3*365.25)),Data!R875&lt;=(TODAY()-(Data_Val!$L$2*365.25))),0,1),1))</f>
        <v/>
      </c>
      <c r="Y875" s="13" t="str">
        <f>IF(Data!$G875="","",IF(Data!$G875=Data_Val!$C$2,IF(Data!S875="",0,1),0))</f>
        <v/>
      </c>
      <c r="Z875" s="13" t="str">
        <f>IF(Data!S875="","",IF(ISNUMBER(MATCH(Data!T875,Data_Val!$A$2:$A$3,0)),0,1))</f>
        <v/>
      </c>
      <c r="AA875" s="28" t="str">
        <f ca="1">IF(Data!S875="","",IF(ISNUMBER(Data!U875),IF(AND(Data!U875&gt;(TODAY()-(Data_Val!$L$3*365.25)),Data!U875&lt;=(TODAY()-(Data_Val!$L$2*365.25))),0,1),1))</f>
        <v/>
      </c>
      <c r="AB875" s="11"/>
      <c r="AC875" s="11" t="e">
        <f>IF(Data!#REF!="","",IF(ISNUMBER(MATCH(Data!#REF!,Data_Val!$A$2:$A$3,0)),0,1))</f>
        <v>#REF!</v>
      </c>
      <c r="AD875" s="11" t="e">
        <f ca="1">IF(Data!#REF!="","",IF(ISNUMBER(Data!#REF!),IF(AND(Data!#REF!&gt;(TODAY()-(Data_Val!$L$3*365.25)),Data!#REF!&lt;=(TODAY()-(Data_Val!$L$2*365.25))),0,1),1))</f>
        <v>#REF!</v>
      </c>
      <c r="AE875" s="11" t="e">
        <f>IF(Data!#REF!="","",IF(Data!$G875="",1,IF(ISNUMBER(MATCH(Data!#REF!,Data_Val!$D$2:$D$10,0)),0,1)))</f>
        <v>#REF!</v>
      </c>
      <c r="AF875" s="12"/>
      <c r="AG875" s="12" t="e">
        <f>IF(Data!#REF!="","",IF(ISNUMBER(MATCH(Data!#REF!,Data_Val!$A$2:$A$3,0)),0,1))</f>
        <v>#REF!</v>
      </c>
      <c r="AH875" s="26" t="e">
        <f ca="1">IF(Data!#REF!="","",IF(ISNUMBER(Data!#REF!),IF(AND(Data!#REF!&gt;(TODAY()-(Data_Val!$L$3*365.25)),Data!#REF!&lt;=(TODAY()-(Data_Val!$L$2*365.25))),0,1),1))</f>
        <v>#REF!</v>
      </c>
      <c r="AI875" s="12" t="e">
        <f>IF(Data!#REF!="","",IF(Data!$G875="",1,IF(ISNUMBER(MATCH(Data!#REF!,Data_Val!$D$2:$D$10,0)),0,1)))</f>
        <v>#REF!</v>
      </c>
      <c r="AJ875" s="17"/>
      <c r="AK875" s="17" t="e">
        <f>IF(Data!#REF!="","",IF(ISNUMBER(MATCH(Data!#REF!,Data_Val!$A$2:$A$3,0)),0,1))</f>
        <v>#REF!</v>
      </c>
      <c r="AL875" s="25" t="e">
        <f ca="1">IF(Data!#REF!="","",IF(ISNUMBER(Data!#REF!),IF(AND(Data!#REF!&gt;(TODAY()-(Data_Val!$L$3*365.25)),Data!#REF!&lt;=(TODAY()-(Data_Val!$L$2*365.25))),0,1),1))</f>
        <v>#REF!</v>
      </c>
      <c r="AM875" s="17" t="e">
        <f>IF(Data!#REF!="","",IF(Data!$G875="",1,IF(ISNUMBER(MATCH(Data!#REF!,Data_Val!$D$2:$D$10,0)),0,1)))</f>
        <v>#REF!</v>
      </c>
      <c r="AN875" s="13"/>
      <c r="AO875" s="28" t="e">
        <f ca="1">IF(Data!#REF!="","",IF(ISNUMBER(Data!#REF!),IF(AND(Data!#REF!&gt;(TODAY()-(Data_Val!$I$3*365.25)),Data!#REF!&lt;=(TODAY()-(Data_Val!$I$2*365.25))),0,1),1))</f>
        <v>#REF!</v>
      </c>
      <c r="AP875" s="13" t="e">
        <f>IF(Data!#REF!="","",IF(Data!$G875="",1,IF(ISNUMBER(MATCH(Data!#REF!,Data_Val!$D$2:$D$10,0)),0,1)))</f>
        <v>#REF!</v>
      </c>
      <c r="AQ875" s="17"/>
      <c r="AR875" s="30" t="e">
        <f ca="1">IF(Data!#REF!="","",IF(ISNUMBER(Data!#REF!),IF(AND(Data!#REF!&gt;(TODAY()-(Data_Val!$I$3*365.25)),Data!#REF!&lt;=(TODAY()-(Data_Val!$I$2*365.25))),0,1),1))</f>
        <v>#REF!</v>
      </c>
      <c r="AS875" s="31" t="e">
        <f>IF(Data!#REF!="","",IF(Data!$G875="",1,IF(ISNUMBER(MATCH(Data!#REF!,Data_Val!$D$2:$D$10,0)),0,1)))</f>
        <v>#REF!</v>
      </c>
      <c r="AT875" s="11"/>
      <c r="AU875" s="11" t="e">
        <f ca="1">IF(Data!#REF!="","",IF(ISNUMBER(Data!#REF!),IF(AND(Data!#REF!&gt;(TODAY()-(Data_Val!$I$3*365.25)),Data!#REF!&lt;=(TODAY()-(Data_Val!$I$2*365.25))),0,1),1))</f>
        <v>#REF!</v>
      </c>
      <c r="AV875" s="11" t="e">
        <f>IF(Data!#REF!="","",IF(Data!$G875="",1,IF(ISNUMBER(MATCH(Data!#REF!,Data_Val!$D$2:$D$10,0)),0,1)))</f>
        <v>#REF!</v>
      </c>
      <c r="AW875" s="12"/>
      <c r="AX875" s="26" t="e">
        <f ca="1">IF(Data!#REF!="","",IF(ISNUMBER(Data!#REF!),IF(AND(Data!#REF!&gt;(TODAY()-(Data_Val!$I$3*365.25)),Data!#REF!&lt;=(TODAY()-(Data_Val!$I$2*365.25))),0,1),1))</f>
        <v>#REF!</v>
      </c>
      <c r="AY875" s="12" t="e">
        <f>IF(Data!#REF!="","",IF(Data!$G875="",1,IF(ISNUMBER(MATCH(Data!#REF!,Data_Val!$D$2:$D$10,0)),0,1)))</f>
        <v>#REF!</v>
      </c>
      <c r="AZ875" s="11"/>
      <c r="BA875" s="19" t="e">
        <f ca="1">IF(Data!#REF!="","",IF(ISNUMBER(Data!#REF!),IF(AND(Data!#REF!&gt;(TODAY()-(Data_Val!$M$3*365.25)),Data!#REF!&lt;=(TODAY()-(Data_Val!$M$2*365.25))),0,1),1))</f>
        <v>#REF!</v>
      </c>
      <c r="BB875" s="11" t="e">
        <f>IF(Data!#REF!="","",IF(Data!$G875="",1,IF(ISNUMBER(MATCH(Data!#REF!,Data_Val!$D$2:$D$10,0)),0,1)))</f>
        <v>#REF!</v>
      </c>
      <c r="BC875" s="12"/>
      <c r="BD875" s="20" t="e">
        <f ca="1">IF(Data!#REF!="","",IF(ISNUMBER(Data!#REF!),IF(AND(Data!#REF!&gt;(TODAY()-(Data_Val!$M$3*365.25)),Data!#REF!&lt;=(TODAY()-(Data_Val!$M$2*365.25))),0,1),1))</f>
        <v>#REF!</v>
      </c>
      <c r="BE875" s="12" t="e">
        <f>IF(Data!#REF!="","",IF(Data!$G875="",1,IF(ISNUMBER(MATCH(Data!#REF!,Data_Val!$D$2:$D$10,0)),0,1)))</f>
        <v>#REF!</v>
      </c>
      <c r="BF875" s="17"/>
      <c r="BG875" s="18" t="e">
        <f ca="1">IF(Data!#REF!="","",IF(ISNUMBER(Data!#REF!),IF(AND(Data!#REF!&gt;(TODAY()-(Data_Val!$M$3*365.25)),Data!#REF!&lt;=(TODAY()-(Data_Val!$M$2*365.25))),0,1),1))</f>
        <v>#REF!</v>
      </c>
      <c r="BH875" s="29" t="e">
        <f>IF(Data!#REF!="","",IF(Data!$G875="",1,IF(ISNUMBER(MATCH(Data!#REF!,Data_Val!$D$2:$D$10,0)),0,1)))</f>
        <v>#REF!</v>
      </c>
      <c r="BI875" s="13"/>
      <c r="BJ875" s="21" t="e">
        <f ca="1">IF(Data!#REF!="","",IF(ISNUMBER(Data!#REF!),IF(AND(Data!#REF!&gt;(TODAY()-(Data_Val!$M$3*365.25)),Data!#REF!&lt;=(TODAY()-(Data_Val!$M$2*365.25))),0,1),1))</f>
        <v>#REF!</v>
      </c>
      <c r="BK875" s="13" t="e">
        <f>IF(Data!#REF!="","",IF(Data!$G875="",1,IF(ISNUMBER(MATCH(Data!#REF!,Data_Val!$D$2:$D$10,0)),0,1)))</f>
        <v>#REF!</v>
      </c>
    </row>
    <row r="876" spans="1:63" x14ac:dyDescent="0.25">
      <c r="A876" s="9" t="str">
        <f>IF(Data!B876="","",IF(COUNTIFS(Data!A$1:'Data'!A876,Data!A876)&lt;=1,0,1))</f>
        <v/>
      </c>
      <c r="B876" s="9"/>
      <c r="C876" s="23" t="str">
        <f>IF(Data!C876="","",(IF(ISNUMBER(MATCH("*@*.?*",Data!C876,0)),0,1)+IF(COUNTIFS(Data!C$1:'Data'!C876,Data!C876)&gt;1,1,0)))</f>
        <v/>
      </c>
      <c r="D876" s="9" t="str">
        <f>IF(Data!B876="","",IF(ISNUMBER(Data!D876),IF(AND(Data!D876&gt;999999999,Data!D876&lt;=9999999999),IF(COUNTIFS(Data!D$1:'Data'!D876,Data!D876)&lt;=1,0,1),1),1))</f>
        <v/>
      </c>
      <c r="E876" s="9" t="str">
        <f>IF(Data!B876="","",IF(ISNUMBER(MATCH(Data!E876,Data_Val!$A$2:$A$3,0)),0,1))</f>
        <v/>
      </c>
      <c r="F876" s="9" t="str">
        <f ca="1">IF(Data!B876="","",IF(ISNUMBER(Data!F876),IF(AND(Data!F876&gt;(TODAY()-(Data_Val!$H$3*365.25)),Data!F876&lt;=(TODAY()-(Data_Val!$H$2*365.25))),0,1),1))</f>
        <v/>
      </c>
      <c r="G876" s="15" t="str">
        <f>IF(Data!B876="","",IF(AND(Data!G876="",Data!H876&lt;&gt;""),1,IF(Data!#REF!&lt;&gt;"",0,IF(ISNUMBER(MATCH(Data!G876,Data_Val!$C$2:$C$5,0)),0,1))))</f>
        <v/>
      </c>
      <c r="H876" s="15" t="str">
        <f>IF(Data!B876="","",IF(AND(Data!G876&lt;&gt;"",Data!H876=""),1,IF(Data!#REF!&lt;&gt;"",0,IF(Data!G876="",1,IF(ISNUMBER(MATCH(Data!H876,Data_Val!$D$2:$D$35,0)),0,1)))))</f>
        <v/>
      </c>
      <c r="I876" s="15" t="str">
        <f>IF(Data!B876="","",IF(Data!G876&lt;&gt;"",0,IF(ISNUMBER(MATCH(Data!#REF!,Data_Val!$E$2:$E$12,0)),0,1)))</f>
        <v/>
      </c>
      <c r="J876" s="16" t="e">
        <f>IF(OR(Data!B876="",Data!#REF!=""),"",IF(Data!#REF!="",1,0))</f>
        <v>#REF!</v>
      </c>
      <c r="K876" s="16" t="e">
        <f>IF(OR(Data!B876="",Data!#REF!=""),"",IF(Data!#REF!="",1,0))</f>
        <v>#REF!</v>
      </c>
      <c r="L876" s="16" t="e">
        <f>IF(OR(Data!B876="",Data!#REF!=""),"",IF(ISNUMBER(Data!#REF!),IF(AND(Data!#REF!&gt;Data_Val!$G$2,Data!#REF!&lt;=Data_Val!$G$3),0,1),1))</f>
        <v>#REF!</v>
      </c>
      <c r="M876" s="9" t="e">
        <f>IF(OR(Data!B876="",Data!#REF!=""),"",IF(ISNUMBER(MATCH(Data!#REF!,Data_Val!$F$1:$F$38,0)),0,1))</f>
        <v>#REF!</v>
      </c>
      <c r="N876" s="9" t="e">
        <f>IF(OR(Data!B876="",Data!#REF!=""),"",IF(Data!#REF!="",1,0))</f>
        <v>#REF!</v>
      </c>
      <c r="O876" s="17" t="e">
        <f>IF(Data!#REF!="","",IF(Data!#REF!="",1,0))</f>
        <v>#REF!</v>
      </c>
      <c r="P876" s="17" t="e">
        <f>IF(Data!#REF!="","",IF(ISNUMBER(MATCH(Data!#REF!,Data_Val!$A$2:$A$3,0)),0,1))</f>
        <v>#REF!</v>
      </c>
      <c r="Q876" s="25" t="e">
        <f ca="1">IF(Data!#REF!="","",IF(ISNUMBER(Data!#REF!),IF(AND(Data!#REF!&gt;(TODAY()-(Data_Val!$J$3*365.25)),Data!#REF!&lt;=(TODAY()-(Data_Val!$J$2*365.25))),0,1),1))</f>
        <v>#REF!</v>
      </c>
      <c r="R876" s="17" t="e">
        <f>IF(Data!#REF!="","",IF(ISNUMBER(MATCH(Data!#REF!,Data_Val!$B$2:$B$15,0)),0,1))</f>
        <v>#REF!</v>
      </c>
      <c r="S876" s="11" t="str">
        <f>IF(Data!G876="","",IF(Data!G876=Data_Val!$C$2,IF(Data!M876="",0,1),0))</f>
        <v/>
      </c>
      <c r="T876" s="11" t="str">
        <f>IF(Data!M876="","",IF(ISNUMBER(MATCH(Data!N876,Data_Val!$A$2:$A$3,0)),0,1))</f>
        <v/>
      </c>
      <c r="U876" s="11" t="str">
        <f ca="1">IF(Data!M876="","",IF(ISNUMBER(Data!O876),IF(AND(Data!O876&gt;(TODAY()-(Data_Val!$K$3*365.25)),Data!O876&lt;=(TODAY()-(Data_Val!$K$2*365.25))),0,1),1))</f>
        <v/>
      </c>
      <c r="V876" s="12" t="str">
        <f>IF(Data!G876="","",IF(Data!G876=Data_Val!$C$2,IF(Data!P876="",0,1),0))</f>
        <v/>
      </c>
      <c r="W876" s="12" t="str">
        <f>IF(Data!P876="","",IF(ISNUMBER(MATCH(Data!Q876,Data_Val!$A$2:$A$3,0)),0,1))</f>
        <v/>
      </c>
      <c r="X876" s="26" t="str">
        <f ca="1">IF(Data!P876="","",IF(ISNUMBER(Data!R876),IF(AND(Data!R876&gt;(TODAY()-(Data_Val!$L$3*365.25)),Data!R876&lt;=(TODAY()-(Data_Val!$L$2*365.25))),0,1),1))</f>
        <v/>
      </c>
      <c r="Y876" s="13" t="str">
        <f>IF(Data!$G876="","",IF(Data!$G876=Data_Val!$C$2,IF(Data!S876="",0,1),0))</f>
        <v/>
      </c>
      <c r="Z876" s="13" t="str">
        <f>IF(Data!S876="","",IF(ISNUMBER(MATCH(Data!T876,Data_Val!$A$2:$A$3,0)),0,1))</f>
        <v/>
      </c>
      <c r="AA876" s="28" t="str">
        <f ca="1">IF(Data!S876="","",IF(ISNUMBER(Data!U876),IF(AND(Data!U876&gt;(TODAY()-(Data_Val!$L$3*365.25)),Data!U876&lt;=(TODAY()-(Data_Val!$L$2*365.25))),0,1),1))</f>
        <v/>
      </c>
      <c r="AB876" s="11"/>
      <c r="AC876" s="11" t="e">
        <f>IF(Data!#REF!="","",IF(ISNUMBER(MATCH(Data!#REF!,Data_Val!$A$2:$A$3,0)),0,1))</f>
        <v>#REF!</v>
      </c>
      <c r="AD876" s="11" t="e">
        <f ca="1">IF(Data!#REF!="","",IF(ISNUMBER(Data!#REF!),IF(AND(Data!#REF!&gt;(TODAY()-(Data_Val!$L$3*365.25)),Data!#REF!&lt;=(TODAY()-(Data_Val!$L$2*365.25))),0,1),1))</f>
        <v>#REF!</v>
      </c>
      <c r="AE876" s="11" t="e">
        <f>IF(Data!#REF!="","",IF(Data!$G876="",1,IF(ISNUMBER(MATCH(Data!#REF!,Data_Val!$D$2:$D$10,0)),0,1)))</f>
        <v>#REF!</v>
      </c>
      <c r="AF876" s="12"/>
      <c r="AG876" s="12" t="e">
        <f>IF(Data!#REF!="","",IF(ISNUMBER(MATCH(Data!#REF!,Data_Val!$A$2:$A$3,0)),0,1))</f>
        <v>#REF!</v>
      </c>
      <c r="AH876" s="26" t="e">
        <f ca="1">IF(Data!#REF!="","",IF(ISNUMBER(Data!#REF!),IF(AND(Data!#REF!&gt;(TODAY()-(Data_Val!$L$3*365.25)),Data!#REF!&lt;=(TODAY()-(Data_Val!$L$2*365.25))),0,1),1))</f>
        <v>#REF!</v>
      </c>
      <c r="AI876" s="12" t="e">
        <f>IF(Data!#REF!="","",IF(Data!$G876="",1,IF(ISNUMBER(MATCH(Data!#REF!,Data_Val!$D$2:$D$10,0)),0,1)))</f>
        <v>#REF!</v>
      </c>
      <c r="AJ876" s="17"/>
      <c r="AK876" s="17" t="e">
        <f>IF(Data!#REF!="","",IF(ISNUMBER(MATCH(Data!#REF!,Data_Val!$A$2:$A$3,0)),0,1))</f>
        <v>#REF!</v>
      </c>
      <c r="AL876" s="25" t="e">
        <f ca="1">IF(Data!#REF!="","",IF(ISNUMBER(Data!#REF!),IF(AND(Data!#REF!&gt;(TODAY()-(Data_Val!$L$3*365.25)),Data!#REF!&lt;=(TODAY()-(Data_Val!$L$2*365.25))),0,1),1))</f>
        <v>#REF!</v>
      </c>
      <c r="AM876" s="17" t="e">
        <f>IF(Data!#REF!="","",IF(Data!$G876="",1,IF(ISNUMBER(MATCH(Data!#REF!,Data_Val!$D$2:$D$10,0)),0,1)))</f>
        <v>#REF!</v>
      </c>
      <c r="AN876" s="13"/>
      <c r="AO876" s="28" t="e">
        <f ca="1">IF(Data!#REF!="","",IF(ISNUMBER(Data!#REF!),IF(AND(Data!#REF!&gt;(TODAY()-(Data_Val!$I$3*365.25)),Data!#REF!&lt;=(TODAY()-(Data_Val!$I$2*365.25))),0,1),1))</f>
        <v>#REF!</v>
      </c>
      <c r="AP876" s="13" t="e">
        <f>IF(Data!#REF!="","",IF(Data!$G876="",1,IF(ISNUMBER(MATCH(Data!#REF!,Data_Val!$D$2:$D$10,0)),0,1)))</f>
        <v>#REF!</v>
      </c>
      <c r="AQ876" s="17"/>
      <c r="AR876" s="30" t="e">
        <f ca="1">IF(Data!#REF!="","",IF(ISNUMBER(Data!#REF!),IF(AND(Data!#REF!&gt;(TODAY()-(Data_Val!$I$3*365.25)),Data!#REF!&lt;=(TODAY()-(Data_Val!$I$2*365.25))),0,1),1))</f>
        <v>#REF!</v>
      </c>
      <c r="AS876" s="31" t="e">
        <f>IF(Data!#REF!="","",IF(Data!$G876="",1,IF(ISNUMBER(MATCH(Data!#REF!,Data_Val!$D$2:$D$10,0)),0,1)))</f>
        <v>#REF!</v>
      </c>
      <c r="AT876" s="11"/>
      <c r="AU876" s="11" t="e">
        <f ca="1">IF(Data!#REF!="","",IF(ISNUMBER(Data!#REF!),IF(AND(Data!#REF!&gt;(TODAY()-(Data_Val!$I$3*365.25)),Data!#REF!&lt;=(TODAY()-(Data_Val!$I$2*365.25))),0,1),1))</f>
        <v>#REF!</v>
      </c>
      <c r="AV876" s="11" t="e">
        <f>IF(Data!#REF!="","",IF(Data!$G876="",1,IF(ISNUMBER(MATCH(Data!#REF!,Data_Val!$D$2:$D$10,0)),0,1)))</f>
        <v>#REF!</v>
      </c>
      <c r="AW876" s="12"/>
      <c r="AX876" s="26" t="e">
        <f ca="1">IF(Data!#REF!="","",IF(ISNUMBER(Data!#REF!),IF(AND(Data!#REF!&gt;(TODAY()-(Data_Val!$I$3*365.25)),Data!#REF!&lt;=(TODAY()-(Data_Val!$I$2*365.25))),0,1),1))</f>
        <v>#REF!</v>
      </c>
      <c r="AY876" s="12" t="e">
        <f>IF(Data!#REF!="","",IF(Data!$G876="",1,IF(ISNUMBER(MATCH(Data!#REF!,Data_Val!$D$2:$D$10,0)),0,1)))</f>
        <v>#REF!</v>
      </c>
      <c r="AZ876" s="11"/>
      <c r="BA876" s="19" t="e">
        <f ca="1">IF(Data!#REF!="","",IF(ISNUMBER(Data!#REF!),IF(AND(Data!#REF!&gt;(TODAY()-(Data_Val!$M$3*365.25)),Data!#REF!&lt;=(TODAY()-(Data_Val!$M$2*365.25))),0,1),1))</f>
        <v>#REF!</v>
      </c>
      <c r="BB876" s="11" t="e">
        <f>IF(Data!#REF!="","",IF(Data!$G876="",1,IF(ISNUMBER(MATCH(Data!#REF!,Data_Val!$D$2:$D$10,0)),0,1)))</f>
        <v>#REF!</v>
      </c>
      <c r="BC876" s="12"/>
      <c r="BD876" s="20" t="e">
        <f ca="1">IF(Data!#REF!="","",IF(ISNUMBER(Data!#REF!),IF(AND(Data!#REF!&gt;(TODAY()-(Data_Val!$M$3*365.25)),Data!#REF!&lt;=(TODAY()-(Data_Val!$M$2*365.25))),0,1),1))</f>
        <v>#REF!</v>
      </c>
      <c r="BE876" s="12" t="e">
        <f>IF(Data!#REF!="","",IF(Data!$G876="",1,IF(ISNUMBER(MATCH(Data!#REF!,Data_Val!$D$2:$D$10,0)),0,1)))</f>
        <v>#REF!</v>
      </c>
      <c r="BF876" s="17"/>
      <c r="BG876" s="18" t="e">
        <f ca="1">IF(Data!#REF!="","",IF(ISNUMBER(Data!#REF!),IF(AND(Data!#REF!&gt;(TODAY()-(Data_Val!$M$3*365.25)),Data!#REF!&lt;=(TODAY()-(Data_Val!$M$2*365.25))),0,1),1))</f>
        <v>#REF!</v>
      </c>
      <c r="BH876" s="29" t="e">
        <f>IF(Data!#REF!="","",IF(Data!$G876="",1,IF(ISNUMBER(MATCH(Data!#REF!,Data_Val!$D$2:$D$10,0)),0,1)))</f>
        <v>#REF!</v>
      </c>
      <c r="BI876" s="13"/>
      <c r="BJ876" s="21" t="e">
        <f ca="1">IF(Data!#REF!="","",IF(ISNUMBER(Data!#REF!),IF(AND(Data!#REF!&gt;(TODAY()-(Data_Val!$M$3*365.25)),Data!#REF!&lt;=(TODAY()-(Data_Val!$M$2*365.25))),0,1),1))</f>
        <v>#REF!</v>
      </c>
      <c r="BK876" s="13" t="e">
        <f>IF(Data!#REF!="","",IF(Data!$G876="",1,IF(ISNUMBER(MATCH(Data!#REF!,Data_Val!$D$2:$D$10,0)),0,1)))</f>
        <v>#REF!</v>
      </c>
    </row>
    <row r="877" spans="1:63" x14ac:dyDescent="0.25">
      <c r="A877" s="9" t="str">
        <f>IF(Data!B877="","",IF(COUNTIFS(Data!A$1:'Data'!A877,Data!A877)&lt;=1,0,1))</f>
        <v/>
      </c>
      <c r="B877" s="9"/>
      <c r="C877" s="23" t="str">
        <f>IF(Data!C877="","",(IF(ISNUMBER(MATCH("*@*.?*",Data!C877,0)),0,1)+IF(COUNTIFS(Data!C$1:'Data'!C877,Data!C877)&gt;1,1,0)))</f>
        <v/>
      </c>
      <c r="D877" s="9" t="str">
        <f>IF(Data!B877="","",IF(ISNUMBER(Data!D877),IF(AND(Data!D877&gt;999999999,Data!D877&lt;=9999999999),IF(COUNTIFS(Data!D$1:'Data'!D877,Data!D877)&lt;=1,0,1),1),1))</f>
        <v/>
      </c>
      <c r="E877" s="9" t="str">
        <f>IF(Data!B877="","",IF(ISNUMBER(MATCH(Data!E877,Data_Val!$A$2:$A$3,0)),0,1))</f>
        <v/>
      </c>
      <c r="F877" s="9" t="str">
        <f ca="1">IF(Data!B877="","",IF(ISNUMBER(Data!F877),IF(AND(Data!F877&gt;(TODAY()-(Data_Val!$H$3*365.25)),Data!F877&lt;=(TODAY()-(Data_Val!$H$2*365.25))),0,1),1))</f>
        <v/>
      </c>
      <c r="G877" s="15" t="str">
        <f>IF(Data!B877="","",IF(AND(Data!G877="",Data!H877&lt;&gt;""),1,IF(Data!#REF!&lt;&gt;"",0,IF(ISNUMBER(MATCH(Data!G877,Data_Val!$C$2:$C$5,0)),0,1))))</f>
        <v/>
      </c>
      <c r="H877" s="15" t="str">
        <f>IF(Data!B877="","",IF(AND(Data!G877&lt;&gt;"",Data!H877=""),1,IF(Data!#REF!&lt;&gt;"",0,IF(Data!G877="",1,IF(ISNUMBER(MATCH(Data!H877,Data_Val!$D$2:$D$35,0)),0,1)))))</f>
        <v/>
      </c>
      <c r="I877" s="15" t="str">
        <f>IF(Data!B877="","",IF(Data!G877&lt;&gt;"",0,IF(ISNUMBER(MATCH(Data!#REF!,Data_Val!$E$2:$E$12,0)),0,1)))</f>
        <v/>
      </c>
      <c r="J877" s="16" t="e">
        <f>IF(OR(Data!B877="",Data!#REF!=""),"",IF(Data!#REF!="",1,0))</f>
        <v>#REF!</v>
      </c>
      <c r="K877" s="16" t="e">
        <f>IF(OR(Data!B877="",Data!#REF!=""),"",IF(Data!#REF!="",1,0))</f>
        <v>#REF!</v>
      </c>
      <c r="L877" s="16" t="e">
        <f>IF(OR(Data!B877="",Data!#REF!=""),"",IF(ISNUMBER(Data!#REF!),IF(AND(Data!#REF!&gt;Data_Val!$G$2,Data!#REF!&lt;=Data_Val!$G$3),0,1),1))</f>
        <v>#REF!</v>
      </c>
      <c r="M877" s="9" t="e">
        <f>IF(OR(Data!B877="",Data!#REF!=""),"",IF(ISNUMBER(MATCH(Data!#REF!,Data_Val!$F$1:$F$38,0)),0,1))</f>
        <v>#REF!</v>
      </c>
      <c r="N877" s="9" t="e">
        <f>IF(OR(Data!B877="",Data!#REF!=""),"",IF(Data!#REF!="",1,0))</f>
        <v>#REF!</v>
      </c>
      <c r="O877" s="17" t="e">
        <f>IF(Data!#REF!="","",IF(Data!#REF!="",1,0))</f>
        <v>#REF!</v>
      </c>
      <c r="P877" s="17" t="e">
        <f>IF(Data!#REF!="","",IF(ISNUMBER(MATCH(Data!#REF!,Data_Val!$A$2:$A$3,0)),0,1))</f>
        <v>#REF!</v>
      </c>
      <c r="Q877" s="25" t="e">
        <f ca="1">IF(Data!#REF!="","",IF(ISNUMBER(Data!#REF!),IF(AND(Data!#REF!&gt;(TODAY()-(Data_Val!$J$3*365.25)),Data!#REF!&lt;=(TODAY()-(Data_Val!$J$2*365.25))),0,1),1))</f>
        <v>#REF!</v>
      </c>
      <c r="R877" s="17" t="e">
        <f>IF(Data!#REF!="","",IF(ISNUMBER(MATCH(Data!#REF!,Data_Val!$B$2:$B$15,0)),0,1))</f>
        <v>#REF!</v>
      </c>
      <c r="S877" s="11" t="str">
        <f>IF(Data!G877="","",IF(Data!G877=Data_Val!$C$2,IF(Data!M877="",0,1),0))</f>
        <v/>
      </c>
      <c r="T877" s="11" t="str">
        <f>IF(Data!M877="","",IF(ISNUMBER(MATCH(Data!N877,Data_Val!$A$2:$A$3,0)),0,1))</f>
        <v/>
      </c>
      <c r="U877" s="11" t="str">
        <f ca="1">IF(Data!M877="","",IF(ISNUMBER(Data!O877),IF(AND(Data!O877&gt;(TODAY()-(Data_Val!$K$3*365.25)),Data!O877&lt;=(TODAY()-(Data_Val!$K$2*365.25))),0,1),1))</f>
        <v/>
      </c>
      <c r="V877" s="12" t="str">
        <f>IF(Data!G877="","",IF(Data!G877=Data_Val!$C$2,IF(Data!P877="",0,1),0))</f>
        <v/>
      </c>
      <c r="W877" s="12" t="str">
        <f>IF(Data!P877="","",IF(ISNUMBER(MATCH(Data!Q877,Data_Val!$A$2:$A$3,0)),0,1))</f>
        <v/>
      </c>
      <c r="X877" s="26" t="str">
        <f ca="1">IF(Data!P877="","",IF(ISNUMBER(Data!R877),IF(AND(Data!R877&gt;(TODAY()-(Data_Val!$L$3*365.25)),Data!R877&lt;=(TODAY()-(Data_Val!$L$2*365.25))),0,1),1))</f>
        <v/>
      </c>
      <c r="Y877" s="13" t="str">
        <f>IF(Data!$G877="","",IF(Data!$G877=Data_Val!$C$2,IF(Data!S877="",0,1),0))</f>
        <v/>
      </c>
      <c r="Z877" s="13" t="str">
        <f>IF(Data!S877="","",IF(ISNUMBER(MATCH(Data!T877,Data_Val!$A$2:$A$3,0)),0,1))</f>
        <v/>
      </c>
      <c r="AA877" s="28" t="str">
        <f ca="1">IF(Data!S877="","",IF(ISNUMBER(Data!U877),IF(AND(Data!U877&gt;(TODAY()-(Data_Val!$L$3*365.25)),Data!U877&lt;=(TODAY()-(Data_Val!$L$2*365.25))),0,1),1))</f>
        <v/>
      </c>
      <c r="AB877" s="11"/>
      <c r="AC877" s="11" t="e">
        <f>IF(Data!#REF!="","",IF(ISNUMBER(MATCH(Data!#REF!,Data_Val!$A$2:$A$3,0)),0,1))</f>
        <v>#REF!</v>
      </c>
      <c r="AD877" s="11" t="e">
        <f ca="1">IF(Data!#REF!="","",IF(ISNUMBER(Data!#REF!),IF(AND(Data!#REF!&gt;(TODAY()-(Data_Val!$L$3*365.25)),Data!#REF!&lt;=(TODAY()-(Data_Val!$L$2*365.25))),0,1),1))</f>
        <v>#REF!</v>
      </c>
      <c r="AE877" s="11" t="e">
        <f>IF(Data!#REF!="","",IF(Data!$G877="",1,IF(ISNUMBER(MATCH(Data!#REF!,Data_Val!$D$2:$D$10,0)),0,1)))</f>
        <v>#REF!</v>
      </c>
      <c r="AF877" s="12"/>
      <c r="AG877" s="12" t="e">
        <f>IF(Data!#REF!="","",IF(ISNUMBER(MATCH(Data!#REF!,Data_Val!$A$2:$A$3,0)),0,1))</f>
        <v>#REF!</v>
      </c>
      <c r="AH877" s="26" t="e">
        <f ca="1">IF(Data!#REF!="","",IF(ISNUMBER(Data!#REF!),IF(AND(Data!#REF!&gt;(TODAY()-(Data_Val!$L$3*365.25)),Data!#REF!&lt;=(TODAY()-(Data_Val!$L$2*365.25))),0,1),1))</f>
        <v>#REF!</v>
      </c>
      <c r="AI877" s="12" t="e">
        <f>IF(Data!#REF!="","",IF(Data!$G877="",1,IF(ISNUMBER(MATCH(Data!#REF!,Data_Val!$D$2:$D$10,0)),0,1)))</f>
        <v>#REF!</v>
      </c>
      <c r="AJ877" s="17"/>
      <c r="AK877" s="17" t="e">
        <f>IF(Data!#REF!="","",IF(ISNUMBER(MATCH(Data!#REF!,Data_Val!$A$2:$A$3,0)),0,1))</f>
        <v>#REF!</v>
      </c>
      <c r="AL877" s="25" t="e">
        <f ca="1">IF(Data!#REF!="","",IF(ISNUMBER(Data!#REF!),IF(AND(Data!#REF!&gt;(TODAY()-(Data_Val!$L$3*365.25)),Data!#REF!&lt;=(TODAY()-(Data_Val!$L$2*365.25))),0,1),1))</f>
        <v>#REF!</v>
      </c>
      <c r="AM877" s="17" t="e">
        <f>IF(Data!#REF!="","",IF(Data!$G877="",1,IF(ISNUMBER(MATCH(Data!#REF!,Data_Val!$D$2:$D$10,0)),0,1)))</f>
        <v>#REF!</v>
      </c>
      <c r="AN877" s="13"/>
      <c r="AO877" s="28" t="e">
        <f ca="1">IF(Data!#REF!="","",IF(ISNUMBER(Data!#REF!),IF(AND(Data!#REF!&gt;(TODAY()-(Data_Val!$I$3*365.25)),Data!#REF!&lt;=(TODAY()-(Data_Val!$I$2*365.25))),0,1),1))</f>
        <v>#REF!</v>
      </c>
      <c r="AP877" s="13" t="e">
        <f>IF(Data!#REF!="","",IF(Data!$G877="",1,IF(ISNUMBER(MATCH(Data!#REF!,Data_Val!$D$2:$D$10,0)),0,1)))</f>
        <v>#REF!</v>
      </c>
      <c r="AQ877" s="17"/>
      <c r="AR877" s="30" t="e">
        <f ca="1">IF(Data!#REF!="","",IF(ISNUMBER(Data!#REF!),IF(AND(Data!#REF!&gt;(TODAY()-(Data_Val!$I$3*365.25)),Data!#REF!&lt;=(TODAY()-(Data_Val!$I$2*365.25))),0,1),1))</f>
        <v>#REF!</v>
      </c>
      <c r="AS877" s="31" t="e">
        <f>IF(Data!#REF!="","",IF(Data!$G877="",1,IF(ISNUMBER(MATCH(Data!#REF!,Data_Val!$D$2:$D$10,0)),0,1)))</f>
        <v>#REF!</v>
      </c>
      <c r="AT877" s="11"/>
      <c r="AU877" s="11" t="e">
        <f ca="1">IF(Data!#REF!="","",IF(ISNUMBER(Data!#REF!),IF(AND(Data!#REF!&gt;(TODAY()-(Data_Val!$I$3*365.25)),Data!#REF!&lt;=(TODAY()-(Data_Val!$I$2*365.25))),0,1),1))</f>
        <v>#REF!</v>
      </c>
      <c r="AV877" s="11" t="e">
        <f>IF(Data!#REF!="","",IF(Data!$G877="",1,IF(ISNUMBER(MATCH(Data!#REF!,Data_Val!$D$2:$D$10,0)),0,1)))</f>
        <v>#REF!</v>
      </c>
      <c r="AW877" s="12"/>
      <c r="AX877" s="26" t="e">
        <f ca="1">IF(Data!#REF!="","",IF(ISNUMBER(Data!#REF!),IF(AND(Data!#REF!&gt;(TODAY()-(Data_Val!$I$3*365.25)),Data!#REF!&lt;=(TODAY()-(Data_Val!$I$2*365.25))),0,1),1))</f>
        <v>#REF!</v>
      </c>
      <c r="AY877" s="12" t="e">
        <f>IF(Data!#REF!="","",IF(Data!$G877="",1,IF(ISNUMBER(MATCH(Data!#REF!,Data_Val!$D$2:$D$10,0)),0,1)))</f>
        <v>#REF!</v>
      </c>
      <c r="AZ877" s="11"/>
      <c r="BA877" s="19" t="e">
        <f ca="1">IF(Data!#REF!="","",IF(ISNUMBER(Data!#REF!),IF(AND(Data!#REF!&gt;(TODAY()-(Data_Val!$M$3*365.25)),Data!#REF!&lt;=(TODAY()-(Data_Val!$M$2*365.25))),0,1),1))</f>
        <v>#REF!</v>
      </c>
      <c r="BB877" s="11" t="e">
        <f>IF(Data!#REF!="","",IF(Data!$G877="",1,IF(ISNUMBER(MATCH(Data!#REF!,Data_Val!$D$2:$D$10,0)),0,1)))</f>
        <v>#REF!</v>
      </c>
      <c r="BC877" s="12"/>
      <c r="BD877" s="20" t="e">
        <f ca="1">IF(Data!#REF!="","",IF(ISNUMBER(Data!#REF!),IF(AND(Data!#REF!&gt;(TODAY()-(Data_Val!$M$3*365.25)),Data!#REF!&lt;=(TODAY()-(Data_Val!$M$2*365.25))),0,1),1))</f>
        <v>#REF!</v>
      </c>
      <c r="BE877" s="12" t="e">
        <f>IF(Data!#REF!="","",IF(Data!$G877="",1,IF(ISNUMBER(MATCH(Data!#REF!,Data_Val!$D$2:$D$10,0)),0,1)))</f>
        <v>#REF!</v>
      </c>
      <c r="BF877" s="17"/>
      <c r="BG877" s="18" t="e">
        <f ca="1">IF(Data!#REF!="","",IF(ISNUMBER(Data!#REF!),IF(AND(Data!#REF!&gt;(TODAY()-(Data_Val!$M$3*365.25)),Data!#REF!&lt;=(TODAY()-(Data_Val!$M$2*365.25))),0,1),1))</f>
        <v>#REF!</v>
      </c>
      <c r="BH877" s="29" t="e">
        <f>IF(Data!#REF!="","",IF(Data!$G877="",1,IF(ISNUMBER(MATCH(Data!#REF!,Data_Val!$D$2:$D$10,0)),0,1)))</f>
        <v>#REF!</v>
      </c>
      <c r="BI877" s="13"/>
      <c r="BJ877" s="21" t="e">
        <f ca="1">IF(Data!#REF!="","",IF(ISNUMBER(Data!#REF!),IF(AND(Data!#REF!&gt;(TODAY()-(Data_Val!$M$3*365.25)),Data!#REF!&lt;=(TODAY()-(Data_Val!$M$2*365.25))),0,1),1))</f>
        <v>#REF!</v>
      </c>
      <c r="BK877" s="13" t="e">
        <f>IF(Data!#REF!="","",IF(Data!$G877="",1,IF(ISNUMBER(MATCH(Data!#REF!,Data_Val!$D$2:$D$10,0)),0,1)))</f>
        <v>#REF!</v>
      </c>
    </row>
    <row r="878" spans="1:63" x14ac:dyDescent="0.25">
      <c r="A878" s="9" t="str">
        <f>IF(Data!B878="","",IF(COUNTIFS(Data!A$1:'Data'!A878,Data!A878)&lt;=1,0,1))</f>
        <v/>
      </c>
      <c r="B878" s="9"/>
      <c r="C878" s="23" t="str">
        <f>IF(Data!C878="","",(IF(ISNUMBER(MATCH("*@*.?*",Data!C878,0)),0,1)+IF(COUNTIFS(Data!C$1:'Data'!C878,Data!C878)&gt;1,1,0)))</f>
        <v/>
      </c>
      <c r="D878" s="9" t="str">
        <f>IF(Data!B878="","",IF(ISNUMBER(Data!D878),IF(AND(Data!D878&gt;999999999,Data!D878&lt;=9999999999),IF(COUNTIFS(Data!D$1:'Data'!D878,Data!D878)&lt;=1,0,1),1),1))</f>
        <v/>
      </c>
      <c r="E878" s="9" t="str">
        <f>IF(Data!B878="","",IF(ISNUMBER(MATCH(Data!E878,Data_Val!$A$2:$A$3,0)),0,1))</f>
        <v/>
      </c>
      <c r="F878" s="9" t="str">
        <f ca="1">IF(Data!B878="","",IF(ISNUMBER(Data!F878),IF(AND(Data!F878&gt;(TODAY()-(Data_Val!$H$3*365.25)),Data!F878&lt;=(TODAY()-(Data_Val!$H$2*365.25))),0,1),1))</f>
        <v/>
      </c>
      <c r="G878" s="15" t="str">
        <f>IF(Data!B878="","",IF(AND(Data!G878="",Data!H878&lt;&gt;""),1,IF(Data!#REF!&lt;&gt;"",0,IF(ISNUMBER(MATCH(Data!G878,Data_Val!$C$2:$C$5,0)),0,1))))</f>
        <v/>
      </c>
      <c r="H878" s="15" t="str">
        <f>IF(Data!B878="","",IF(AND(Data!G878&lt;&gt;"",Data!H878=""),1,IF(Data!#REF!&lt;&gt;"",0,IF(Data!G878="",1,IF(ISNUMBER(MATCH(Data!H878,Data_Val!$D$2:$D$35,0)),0,1)))))</f>
        <v/>
      </c>
      <c r="I878" s="15" t="str">
        <f>IF(Data!B878="","",IF(Data!G878&lt;&gt;"",0,IF(ISNUMBER(MATCH(Data!#REF!,Data_Val!$E$2:$E$12,0)),0,1)))</f>
        <v/>
      </c>
      <c r="J878" s="16" t="e">
        <f>IF(OR(Data!B878="",Data!#REF!=""),"",IF(Data!#REF!="",1,0))</f>
        <v>#REF!</v>
      </c>
      <c r="K878" s="16" t="e">
        <f>IF(OR(Data!B878="",Data!#REF!=""),"",IF(Data!#REF!="",1,0))</f>
        <v>#REF!</v>
      </c>
      <c r="L878" s="16" t="e">
        <f>IF(OR(Data!B878="",Data!#REF!=""),"",IF(ISNUMBER(Data!#REF!),IF(AND(Data!#REF!&gt;Data_Val!$G$2,Data!#REF!&lt;=Data_Val!$G$3),0,1),1))</f>
        <v>#REF!</v>
      </c>
      <c r="M878" s="9" t="e">
        <f>IF(OR(Data!B878="",Data!#REF!=""),"",IF(ISNUMBER(MATCH(Data!#REF!,Data_Val!$F$1:$F$38,0)),0,1))</f>
        <v>#REF!</v>
      </c>
      <c r="N878" s="9" t="e">
        <f>IF(OR(Data!B878="",Data!#REF!=""),"",IF(Data!#REF!="",1,0))</f>
        <v>#REF!</v>
      </c>
      <c r="O878" s="17" t="e">
        <f>IF(Data!#REF!="","",IF(Data!#REF!="",1,0))</f>
        <v>#REF!</v>
      </c>
      <c r="P878" s="17" t="e">
        <f>IF(Data!#REF!="","",IF(ISNUMBER(MATCH(Data!#REF!,Data_Val!$A$2:$A$3,0)),0,1))</f>
        <v>#REF!</v>
      </c>
      <c r="Q878" s="25" t="e">
        <f ca="1">IF(Data!#REF!="","",IF(ISNUMBER(Data!#REF!),IF(AND(Data!#REF!&gt;(TODAY()-(Data_Val!$J$3*365.25)),Data!#REF!&lt;=(TODAY()-(Data_Val!$J$2*365.25))),0,1),1))</f>
        <v>#REF!</v>
      </c>
      <c r="R878" s="17" t="e">
        <f>IF(Data!#REF!="","",IF(ISNUMBER(MATCH(Data!#REF!,Data_Val!$B$2:$B$15,0)),0,1))</f>
        <v>#REF!</v>
      </c>
      <c r="S878" s="11" t="str">
        <f>IF(Data!G878="","",IF(Data!G878=Data_Val!$C$2,IF(Data!M878="",0,1),0))</f>
        <v/>
      </c>
      <c r="T878" s="11" t="str">
        <f>IF(Data!M878="","",IF(ISNUMBER(MATCH(Data!N878,Data_Val!$A$2:$A$3,0)),0,1))</f>
        <v/>
      </c>
      <c r="U878" s="11" t="str">
        <f ca="1">IF(Data!M878="","",IF(ISNUMBER(Data!O878),IF(AND(Data!O878&gt;(TODAY()-(Data_Val!$K$3*365.25)),Data!O878&lt;=(TODAY()-(Data_Val!$K$2*365.25))),0,1),1))</f>
        <v/>
      </c>
      <c r="V878" s="12" t="str">
        <f>IF(Data!G878="","",IF(Data!G878=Data_Val!$C$2,IF(Data!P878="",0,1),0))</f>
        <v/>
      </c>
      <c r="W878" s="12" t="str">
        <f>IF(Data!P878="","",IF(ISNUMBER(MATCH(Data!Q878,Data_Val!$A$2:$A$3,0)),0,1))</f>
        <v/>
      </c>
      <c r="X878" s="26" t="str">
        <f ca="1">IF(Data!P878="","",IF(ISNUMBER(Data!R878),IF(AND(Data!R878&gt;(TODAY()-(Data_Val!$L$3*365.25)),Data!R878&lt;=(TODAY()-(Data_Val!$L$2*365.25))),0,1),1))</f>
        <v/>
      </c>
      <c r="Y878" s="13" t="str">
        <f>IF(Data!$G878="","",IF(Data!$G878=Data_Val!$C$2,IF(Data!S878="",0,1),0))</f>
        <v/>
      </c>
      <c r="Z878" s="13" t="str">
        <f>IF(Data!S878="","",IF(ISNUMBER(MATCH(Data!T878,Data_Val!$A$2:$A$3,0)),0,1))</f>
        <v/>
      </c>
      <c r="AA878" s="28" t="str">
        <f ca="1">IF(Data!S878="","",IF(ISNUMBER(Data!U878),IF(AND(Data!U878&gt;(TODAY()-(Data_Val!$L$3*365.25)),Data!U878&lt;=(TODAY()-(Data_Val!$L$2*365.25))),0,1),1))</f>
        <v/>
      </c>
      <c r="AB878" s="11"/>
      <c r="AC878" s="11" t="e">
        <f>IF(Data!#REF!="","",IF(ISNUMBER(MATCH(Data!#REF!,Data_Val!$A$2:$A$3,0)),0,1))</f>
        <v>#REF!</v>
      </c>
      <c r="AD878" s="11" t="e">
        <f ca="1">IF(Data!#REF!="","",IF(ISNUMBER(Data!#REF!),IF(AND(Data!#REF!&gt;(TODAY()-(Data_Val!$L$3*365.25)),Data!#REF!&lt;=(TODAY()-(Data_Val!$L$2*365.25))),0,1),1))</f>
        <v>#REF!</v>
      </c>
      <c r="AE878" s="11" t="e">
        <f>IF(Data!#REF!="","",IF(Data!$G878="",1,IF(ISNUMBER(MATCH(Data!#REF!,Data_Val!$D$2:$D$10,0)),0,1)))</f>
        <v>#REF!</v>
      </c>
      <c r="AF878" s="12"/>
      <c r="AG878" s="12" t="e">
        <f>IF(Data!#REF!="","",IF(ISNUMBER(MATCH(Data!#REF!,Data_Val!$A$2:$A$3,0)),0,1))</f>
        <v>#REF!</v>
      </c>
      <c r="AH878" s="26" t="e">
        <f ca="1">IF(Data!#REF!="","",IF(ISNUMBER(Data!#REF!),IF(AND(Data!#REF!&gt;(TODAY()-(Data_Val!$L$3*365.25)),Data!#REF!&lt;=(TODAY()-(Data_Val!$L$2*365.25))),0,1),1))</f>
        <v>#REF!</v>
      </c>
      <c r="AI878" s="12" t="e">
        <f>IF(Data!#REF!="","",IF(Data!$G878="",1,IF(ISNUMBER(MATCH(Data!#REF!,Data_Val!$D$2:$D$10,0)),0,1)))</f>
        <v>#REF!</v>
      </c>
      <c r="AJ878" s="17"/>
      <c r="AK878" s="17" t="e">
        <f>IF(Data!#REF!="","",IF(ISNUMBER(MATCH(Data!#REF!,Data_Val!$A$2:$A$3,0)),0,1))</f>
        <v>#REF!</v>
      </c>
      <c r="AL878" s="25" t="e">
        <f ca="1">IF(Data!#REF!="","",IF(ISNUMBER(Data!#REF!),IF(AND(Data!#REF!&gt;(TODAY()-(Data_Val!$L$3*365.25)),Data!#REF!&lt;=(TODAY()-(Data_Val!$L$2*365.25))),0,1),1))</f>
        <v>#REF!</v>
      </c>
      <c r="AM878" s="17" t="e">
        <f>IF(Data!#REF!="","",IF(Data!$G878="",1,IF(ISNUMBER(MATCH(Data!#REF!,Data_Val!$D$2:$D$10,0)),0,1)))</f>
        <v>#REF!</v>
      </c>
      <c r="AN878" s="13"/>
      <c r="AO878" s="28" t="e">
        <f ca="1">IF(Data!#REF!="","",IF(ISNUMBER(Data!#REF!),IF(AND(Data!#REF!&gt;(TODAY()-(Data_Val!$I$3*365.25)),Data!#REF!&lt;=(TODAY()-(Data_Val!$I$2*365.25))),0,1),1))</f>
        <v>#REF!</v>
      </c>
      <c r="AP878" s="13" t="e">
        <f>IF(Data!#REF!="","",IF(Data!$G878="",1,IF(ISNUMBER(MATCH(Data!#REF!,Data_Val!$D$2:$D$10,0)),0,1)))</f>
        <v>#REF!</v>
      </c>
      <c r="AQ878" s="17"/>
      <c r="AR878" s="30" t="e">
        <f ca="1">IF(Data!#REF!="","",IF(ISNUMBER(Data!#REF!),IF(AND(Data!#REF!&gt;(TODAY()-(Data_Val!$I$3*365.25)),Data!#REF!&lt;=(TODAY()-(Data_Val!$I$2*365.25))),0,1),1))</f>
        <v>#REF!</v>
      </c>
      <c r="AS878" s="31" t="e">
        <f>IF(Data!#REF!="","",IF(Data!$G878="",1,IF(ISNUMBER(MATCH(Data!#REF!,Data_Val!$D$2:$D$10,0)),0,1)))</f>
        <v>#REF!</v>
      </c>
      <c r="AT878" s="11"/>
      <c r="AU878" s="11" t="e">
        <f ca="1">IF(Data!#REF!="","",IF(ISNUMBER(Data!#REF!),IF(AND(Data!#REF!&gt;(TODAY()-(Data_Val!$I$3*365.25)),Data!#REF!&lt;=(TODAY()-(Data_Val!$I$2*365.25))),0,1),1))</f>
        <v>#REF!</v>
      </c>
      <c r="AV878" s="11" t="e">
        <f>IF(Data!#REF!="","",IF(Data!$G878="",1,IF(ISNUMBER(MATCH(Data!#REF!,Data_Val!$D$2:$D$10,0)),0,1)))</f>
        <v>#REF!</v>
      </c>
      <c r="AW878" s="12"/>
      <c r="AX878" s="26" t="e">
        <f ca="1">IF(Data!#REF!="","",IF(ISNUMBER(Data!#REF!),IF(AND(Data!#REF!&gt;(TODAY()-(Data_Val!$I$3*365.25)),Data!#REF!&lt;=(TODAY()-(Data_Val!$I$2*365.25))),0,1),1))</f>
        <v>#REF!</v>
      </c>
      <c r="AY878" s="12" t="e">
        <f>IF(Data!#REF!="","",IF(Data!$G878="",1,IF(ISNUMBER(MATCH(Data!#REF!,Data_Val!$D$2:$D$10,0)),0,1)))</f>
        <v>#REF!</v>
      </c>
      <c r="AZ878" s="11"/>
      <c r="BA878" s="19" t="e">
        <f ca="1">IF(Data!#REF!="","",IF(ISNUMBER(Data!#REF!),IF(AND(Data!#REF!&gt;(TODAY()-(Data_Val!$M$3*365.25)),Data!#REF!&lt;=(TODAY()-(Data_Val!$M$2*365.25))),0,1),1))</f>
        <v>#REF!</v>
      </c>
      <c r="BB878" s="11" t="e">
        <f>IF(Data!#REF!="","",IF(Data!$G878="",1,IF(ISNUMBER(MATCH(Data!#REF!,Data_Val!$D$2:$D$10,0)),0,1)))</f>
        <v>#REF!</v>
      </c>
      <c r="BC878" s="12"/>
      <c r="BD878" s="20" t="e">
        <f ca="1">IF(Data!#REF!="","",IF(ISNUMBER(Data!#REF!),IF(AND(Data!#REF!&gt;(TODAY()-(Data_Val!$M$3*365.25)),Data!#REF!&lt;=(TODAY()-(Data_Val!$M$2*365.25))),0,1),1))</f>
        <v>#REF!</v>
      </c>
      <c r="BE878" s="12" t="e">
        <f>IF(Data!#REF!="","",IF(Data!$G878="",1,IF(ISNUMBER(MATCH(Data!#REF!,Data_Val!$D$2:$D$10,0)),0,1)))</f>
        <v>#REF!</v>
      </c>
      <c r="BF878" s="17"/>
      <c r="BG878" s="18" t="e">
        <f ca="1">IF(Data!#REF!="","",IF(ISNUMBER(Data!#REF!),IF(AND(Data!#REF!&gt;(TODAY()-(Data_Val!$M$3*365.25)),Data!#REF!&lt;=(TODAY()-(Data_Val!$M$2*365.25))),0,1),1))</f>
        <v>#REF!</v>
      </c>
      <c r="BH878" s="29" t="e">
        <f>IF(Data!#REF!="","",IF(Data!$G878="",1,IF(ISNUMBER(MATCH(Data!#REF!,Data_Val!$D$2:$D$10,0)),0,1)))</f>
        <v>#REF!</v>
      </c>
      <c r="BI878" s="13"/>
      <c r="BJ878" s="21" t="e">
        <f ca="1">IF(Data!#REF!="","",IF(ISNUMBER(Data!#REF!),IF(AND(Data!#REF!&gt;(TODAY()-(Data_Val!$M$3*365.25)),Data!#REF!&lt;=(TODAY()-(Data_Val!$M$2*365.25))),0,1),1))</f>
        <v>#REF!</v>
      </c>
      <c r="BK878" s="13" t="e">
        <f>IF(Data!#REF!="","",IF(Data!$G878="",1,IF(ISNUMBER(MATCH(Data!#REF!,Data_Val!$D$2:$D$10,0)),0,1)))</f>
        <v>#REF!</v>
      </c>
    </row>
    <row r="879" spans="1:63" x14ac:dyDescent="0.25">
      <c r="A879" s="9" t="str">
        <f>IF(Data!B879="","",IF(COUNTIFS(Data!A$1:'Data'!A879,Data!A879)&lt;=1,0,1))</f>
        <v/>
      </c>
      <c r="B879" s="9"/>
      <c r="C879" s="23" t="str">
        <f>IF(Data!C879="","",(IF(ISNUMBER(MATCH("*@*.?*",Data!C879,0)),0,1)+IF(COUNTIFS(Data!C$1:'Data'!C879,Data!C879)&gt;1,1,0)))</f>
        <v/>
      </c>
      <c r="D879" s="9" t="str">
        <f>IF(Data!B879="","",IF(ISNUMBER(Data!D879),IF(AND(Data!D879&gt;999999999,Data!D879&lt;=9999999999),IF(COUNTIFS(Data!D$1:'Data'!D879,Data!D879)&lt;=1,0,1),1),1))</f>
        <v/>
      </c>
      <c r="E879" s="9" t="str">
        <f>IF(Data!B879="","",IF(ISNUMBER(MATCH(Data!E879,Data_Val!$A$2:$A$3,0)),0,1))</f>
        <v/>
      </c>
      <c r="F879" s="9" t="str">
        <f ca="1">IF(Data!B879="","",IF(ISNUMBER(Data!F879),IF(AND(Data!F879&gt;(TODAY()-(Data_Val!$H$3*365.25)),Data!F879&lt;=(TODAY()-(Data_Val!$H$2*365.25))),0,1),1))</f>
        <v/>
      </c>
      <c r="G879" s="15" t="str">
        <f>IF(Data!B879="","",IF(AND(Data!G879="",Data!H879&lt;&gt;""),1,IF(Data!#REF!&lt;&gt;"",0,IF(ISNUMBER(MATCH(Data!G879,Data_Val!$C$2:$C$5,0)),0,1))))</f>
        <v/>
      </c>
      <c r="H879" s="15" t="str">
        <f>IF(Data!B879="","",IF(AND(Data!G879&lt;&gt;"",Data!H879=""),1,IF(Data!#REF!&lt;&gt;"",0,IF(Data!G879="",1,IF(ISNUMBER(MATCH(Data!H879,Data_Val!$D$2:$D$35,0)),0,1)))))</f>
        <v/>
      </c>
      <c r="I879" s="15" t="str">
        <f>IF(Data!B879="","",IF(Data!G879&lt;&gt;"",0,IF(ISNUMBER(MATCH(Data!#REF!,Data_Val!$E$2:$E$12,0)),0,1)))</f>
        <v/>
      </c>
      <c r="J879" s="16" t="e">
        <f>IF(OR(Data!B879="",Data!#REF!=""),"",IF(Data!#REF!="",1,0))</f>
        <v>#REF!</v>
      </c>
      <c r="K879" s="16" t="e">
        <f>IF(OR(Data!B879="",Data!#REF!=""),"",IF(Data!#REF!="",1,0))</f>
        <v>#REF!</v>
      </c>
      <c r="L879" s="16" t="e">
        <f>IF(OR(Data!B879="",Data!#REF!=""),"",IF(ISNUMBER(Data!#REF!),IF(AND(Data!#REF!&gt;Data_Val!$G$2,Data!#REF!&lt;=Data_Val!$G$3),0,1),1))</f>
        <v>#REF!</v>
      </c>
      <c r="M879" s="9" t="e">
        <f>IF(OR(Data!B879="",Data!#REF!=""),"",IF(ISNUMBER(MATCH(Data!#REF!,Data_Val!$F$1:$F$38,0)),0,1))</f>
        <v>#REF!</v>
      </c>
      <c r="N879" s="9" t="e">
        <f>IF(OR(Data!B879="",Data!#REF!=""),"",IF(Data!#REF!="",1,0))</f>
        <v>#REF!</v>
      </c>
      <c r="O879" s="17" t="e">
        <f>IF(Data!#REF!="","",IF(Data!#REF!="",1,0))</f>
        <v>#REF!</v>
      </c>
      <c r="P879" s="17" t="e">
        <f>IF(Data!#REF!="","",IF(ISNUMBER(MATCH(Data!#REF!,Data_Val!$A$2:$A$3,0)),0,1))</f>
        <v>#REF!</v>
      </c>
      <c r="Q879" s="25" t="e">
        <f ca="1">IF(Data!#REF!="","",IF(ISNUMBER(Data!#REF!),IF(AND(Data!#REF!&gt;(TODAY()-(Data_Val!$J$3*365.25)),Data!#REF!&lt;=(TODAY()-(Data_Val!$J$2*365.25))),0,1),1))</f>
        <v>#REF!</v>
      </c>
      <c r="R879" s="17" t="e">
        <f>IF(Data!#REF!="","",IF(ISNUMBER(MATCH(Data!#REF!,Data_Val!$B$2:$B$15,0)),0,1))</f>
        <v>#REF!</v>
      </c>
      <c r="S879" s="11" t="str">
        <f>IF(Data!G879="","",IF(Data!G879=Data_Val!$C$2,IF(Data!M879="",0,1),0))</f>
        <v/>
      </c>
      <c r="T879" s="11" t="str">
        <f>IF(Data!M879="","",IF(ISNUMBER(MATCH(Data!N879,Data_Val!$A$2:$A$3,0)),0,1))</f>
        <v/>
      </c>
      <c r="U879" s="11" t="str">
        <f ca="1">IF(Data!M879="","",IF(ISNUMBER(Data!O879),IF(AND(Data!O879&gt;(TODAY()-(Data_Val!$K$3*365.25)),Data!O879&lt;=(TODAY()-(Data_Val!$K$2*365.25))),0,1),1))</f>
        <v/>
      </c>
      <c r="V879" s="12" t="str">
        <f>IF(Data!G879="","",IF(Data!G879=Data_Val!$C$2,IF(Data!P879="",0,1),0))</f>
        <v/>
      </c>
      <c r="W879" s="12" t="str">
        <f>IF(Data!P879="","",IF(ISNUMBER(MATCH(Data!Q879,Data_Val!$A$2:$A$3,0)),0,1))</f>
        <v/>
      </c>
      <c r="X879" s="26" t="str">
        <f ca="1">IF(Data!P879="","",IF(ISNUMBER(Data!R879),IF(AND(Data!R879&gt;(TODAY()-(Data_Val!$L$3*365.25)),Data!R879&lt;=(TODAY()-(Data_Val!$L$2*365.25))),0,1),1))</f>
        <v/>
      </c>
      <c r="Y879" s="13" t="str">
        <f>IF(Data!$G879="","",IF(Data!$G879=Data_Val!$C$2,IF(Data!S879="",0,1),0))</f>
        <v/>
      </c>
      <c r="Z879" s="13" t="str">
        <f>IF(Data!S879="","",IF(ISNUMBER(MATCH(Data!T879,Data_Val!$A$2:$A$3,0)),0,1))</f>
        <v/>
      </c>
      <c r="AA879" s="28" t="str">
        <f ca="1">IF(Data!S879="","",IF(ISNUMBER(Data!U879),IF(AND(Data!U879&gt;(TODAY()-(Data_Val!$L$3*365.25)),Data!U879&lt;=(TODAY()-(Data_Val!$L$2*365.25))),0,1),1))</f>
        <v/>
      </c>
      <c r="AB879" s="11"/>
      <c r="AC879" s="11" t="e">
        <f>IF(Data!#REF!="","",IF(ISNUMBER(MATCH(Data!#REF!,Data_Val!$A$2:$A$3,0)),0,1))</f>
        <v>#REF!</v>
      </c>
      <c r="AD879" s="11" t="e">
        <f ca="1">IF(Data!#REF!="","",IF(ISNUMBER(Data!#REF!),IF(AND(Data!#REF!&gt;(TODAY()-(Data_Val!$L$3*365.25)),Data!#REF!&lt;=(TODAY()-(Data_Val!$L$2*365.25))),0,1),1))</f>
        <v>#REF!</v>
      </c>
      <c r="AE879" s="11" t="e">
        <f>IF(Data!#REF!="","",IF(Data!$G879="",1,IF(ISNUMBER(MATCH(Data!#REF!,Data_Val!$D$2:$D$10,0)),0,1)))</f>
        <v>#REF!</v>
      </c>
      <c r="AF879" s="12"/>
      <c r="AG879" s="12" t="e">
        <f>IF(Data!#REF!="","",IF(ISNUMBER(MATCH(Data!#REF!,Data_Val!$A$2:$A$3,0)),0,1))</f>
        <v>#REF!</v>
      </c>
      <c r="AH879" s="26" t="e">
        <f ca="1">IF(Data!#REF!="","",IF(ISNUMBER(Data!#REF!),IF(AND(Data!#REF!&gt;(TODAY()-(Data_Val!$L$3*365.25)),Data!#REF!&lt;=(TODAY()-(Data_Val!$L$2*365.25))),0,1),1))</f>
        <v>#REF!</v>
      </c>
      <c r="AI879" s="12" t="e">
        <f>IF(Data!#REF!="","",IF(Data!$G879="",1,IF(ISNUMBER(MATCH(Data!#REF!,Data_Val!$D$2:$D$10,0)),0,1)))</f>
        <v>#REF!</v>
      </c>
      <c r="AJ879" s="17"/>
      <c r="AK879" s="17" t="e">
        <f>IF(Data!#REF!="","",IF(ISNUMBER(MATCH(Data!#REF!,Data_Val!$A$2:$A$3,0)),0,1))</f>
        <v>#REF!</v>
      </c>
      <c r="AL879" s="25" t="e">
        <f ca="1">IF(Data!#REF!="","",IF(ISNUMBER(Data!#REF!),IF(AND(Data!#REF!&gt;(TODAY()-(Data_Val!$L$3*365.25)),Data!#REF!&lt;=(TODAY()-(Data_Val!$L$2*365.25))),0,1),1))</f>
        <v>#REF!</v>
      </c>
      <c r="AM879" s="17" t="e">
        <f>IF(Data!#REF!="","",IF(Data!$G879="",1,IF(ISNUMBER(MATCH(Data!#REF!,Data_Val!$D$2:$D$10,0)),0,1)))</f>
        <v>#REF!</v>
      </c>
      <c r="AN879" s="13"/>
      <c r="AO879" s="28" t="e">
        <f ca="1">IF(Data!#REF!="","",IF(ISNUMBER(Data!#REF!),IF(AND(Data!#REF!&gt;(TODAY()-(Data_Val!$I$3*365.25)),Data!#REF!&lt;=(TODAY()-(Data_Val!$I$2*365.25))),0,1),1))</f>
        <v>#REF!</v>
      </c>
      <c r="AP879" s="13" t="e">
        <f>IF(Data!#REF!="","",IF(Data!$G879="",1,IF(ISNUMBER(MATCH(Data!#REF!,Data_Val!$D$2:$D$10,0)),0,1)))</f>
        <v>#REF!</v>
      </c>
      <c r="AQ879" s="17"/>
      <c r="AR879" s="30" t="e">
        <f ca="1">IF(Data!#REF!="","",IF(ISNUMBER(Data!#REF!),IF(AND(Data!#REF!&gt;(TODAY()-(Data_Val!$I$3*365.25)),Data!#REF!&lt;=(TODAY()-(Data_Val!$I$2*365.25))),0,1),1))</f>
        <v>#REF!</v>
      </c>
      <c r="AS879" s="31" t="e">
        <f>IF(Data!#REF!="","",IF(Data!$G879="",1,IF(ISNUMBER(MATCH(Data!#REF!,Data_Val!$D$2:$D$10,0)),0,1)))</f>
        <v>#REF!</v>
      </c>
      <c r="AT879" s="11"/>
      <c r="AU879" s="11" t="e">
        <f ca="1">IF(Data!#REF!="","",IF(ISNUMBER(Data!#REF!),IF(AND(Data!#REF!&gt;(TODAY()-(Data_Val!$I$3*365.25)),Data!#REF!&lt;=(TODAY()-(Data_Val!$I$2*365.25))),0,1),1))</f>
        <v>#REF!</v>
      </c>
      <c r="AV879" s="11" t="e">
        <f>IF(Data!#REF!="","",IF(Data!$G879="",1,IF(ISNUMBER(MATCH(Data!#REF!,Data_Val!$D$2:$D$10,0)),0,1)))</f>
        <v>#REF!</v>
      </c>
      <c r="AW879" s="12"/>
      <c r="AX879" s="26" t="e">
        <f ca="1">IF(Data!#REF!="","",IF(ISNUMBER(Data!#REF!),IF(AND(Data!#REF!&gt;(TODAY()-(Data_Val!$I$3*365.25)),Data!#REF!&lt;=(TODAY()-(Data_Val!$I$2*365.25))),0,1),1))</f>
        <v>#REF!</v>
      </c>
      <c r="AY879" s="12" t="e">
        <f>IF(Data!#REF!="","",IF(Data!$G879="",1,IF(ISNUMBER(MATCH(Data!#REF!,Data_Val!$D$2:$D$10,0)),0,1)))</f>
        <v>#REF!</v>
      </c>
      <c r="AZ879" s="11"/>
      <c r="BA879" s="19" t="e">
        <f ca="1">IF(Data!#REF!="","",IF(ISNUMBER(Data!#REF!),IF(AND(Data!#REF!&gt;(TODAY()-(Data_Val!$M$3*365.25)),Data!#REF!&lt;=(TODAY()-(Data_Val!$M$2*365.25))),0,1),1))</f>
        <v>#REF!</v>
      </c>
      <c r="BB879" s="11" t="e">
        <f>IF(Data!#REF!="","",IF(Data!$G879="",1,IF(ISNUMBER(MATCH(Data!#REF!,Data_Val!$D$2:$D$10,0)),0,1)))</f>
        <v>#REF!</v>
      </c>
      <c r="BC879" s="12"/>
      <c r="BD879" s="20" t="e">
        <f ca="1">IF(Data!#REF!="","",IF(ISNUMBER(Data!#REF!),IF(AND(Data!#REF!&gt;(TODAY()-(Data_Val!$M$3*365.25)),Data!#REF!&lt;=(TODAY()-(Data_Val!$M$2*365.25))),0,1),1))</f>
        <v>#REF!</v>
      </c>
      <c r="BE879" s="12" t="e">
        <f>IF(Data!#REF!="","",IF(Data!$G879="",1,IF(ISNUMBER(MATCH(Data!#REF!,Data_Val!$D$2:$D$10,0)),0,1)))</f>
        <v>#REF!</v>
      </c>
      <c r="BF879" s="17"/>
      <c r="BG879" s="18" t="e">
        <f ca="1">IF(Data!#REF!="","",IF(ISNUMBER(Data!#REF!),IF(AND(Data!#REF!&gt;(TODAY()-(Data_Val!$M$3*365.25)),Data!#REF!&lt;=(TODAY()-(Data_Val!$M$2*365.25))),0,1),1))</f>
        <v>#REF!</v>
      </c>
      <c r="BH879" s="29" t="e">
        <f>IF(Data!#REF!="","",IF(Data!$G879="",1,IF(ISNUMBER(MATCH(Data!#REF!,Data_Val!$D$2:$D$10,0)),0,1)))</f>
        <v>#REF!</v>
      </c>
      <c r="BI879" s="13"/>
      <c r="BJ879" s="21" t="e">
        <f ca="1">IF(Data!#REF!="","",IF(ISNUMBER(Data!#REF!),IF(AND(Data!#REF!&gt;(TODAY()-(Data_Val!$M$3*365.25)),Data!#REF!&lt;=(TODAY()-(Data_Val!$M$2*365.25))),0,1),1))</f>
        <v>#REF!</v>
      </c>
      <c r="BK879" s="13" t="e">
        <f>IF(Data!#REF!="","",IF(Data!$G879="",1,IF(ISNUMBER(MATCH(Data!#REF!,Data_Val!$D$2:$D$10,0)),0,1)))</f>
        <v>#REF!</v>
      </c>
    </row>
    <row r="880" spans="1:63" x14ac:dyDescent="0.25">
      <c r="A880" s="9" t="str">
        <f>IF(Data!B880="","",IF(COUNTIFS(Data!A$1:'Data'!A880,Data!A880)&lt;=1,0,1))</f>
        <v/>
      </c>
      <c r="B880" s="9"/>
      <c r="C880" s="23" t="str">
        <f>IF(Data!C880="","",(IF(ISNUMBER(MATCH("*@*.?*",Data!C880,0)),0,1)+IF(COUNTIFS(Data!C$1:'Data'!C880,Data!C880)&gt;1,1,0)))</f>
        <v/>
      </c>
      <c r="D880" s="9" t="str">
        <f>IF(Data!B880="","",IF(ISNUMBER(Data!D880),IF(AND(Data!D880&gt;999999999,Data!D880&lt;=9999999999),IF(COUNTIFS(Data!D$1:'Data'!D880,Data!D880)&lt;=1,0,1),1),1))</f>
        <v/>
      </c>
      <c r="E880" s="9" t="str">
        <f>IF(Data!B880="","",IF(ISNUMBER(MATCH(Data!E880,Data_Val!$A$2:$A$3,0)),0,1))</f>
        <v/>
      </c>
      <c r="F880" s="9" t="str">
        <f ca="1">IF(Data!B880="","",IF(ISNUMBER(Data!F880),IF(AND(Data!F880&gt;(TODAY()-(Data_Val!$H$3*365.25)),Data!F880&lt;=(TODAY()-(Data_Val!$H$2*365.25))),0,1),1))</f>
        <v/>
      </c>
      <c r="G880" s="15" t="str">
        <f>IF(Data!B880="","",IF(AND(Data!G880="",Data!H880&lt;&gt;""),1,IF(Data!#REF!&lt;&gt;"",0,IF(ISNUMBER(MATCH(Data!G880,Data_Val!$C$2:$C$5,0)),0,1))))</f>
        <v/>
      </c>
      <c r="H880" s="15" t="str">
        <f>IF(Data!B880="","",IF(AND(Data!G880&lt;&gt;"",Data!H880=""),1,IF(Data!#REF!&lt;&gt;"",0,IF(Data!G880="",1,IF(ISNUMBER(MATCH(Data!H880,Data_Val!$D$2:$D$35,0)),0,1)))))</f>
        <v/>
      </c>
      <c r="I880" s="15" t="str">
        <f>IF(Data!B880="","",IF(Data!G880&lt;&gt;"",0,IF(ISNUMBER(MATCH(Data!#REF!,Data_Val!$E$2:$E$12,0)),0,1)))</f>
        <v/>
      </c>
      <c r="J880" s="16" t="e">
        <f>IF(OR(Data!B880="",Data!#REF!=""),"",IF(Data!#REF!="",1,0))</f>
        <v>#REF!</v>
      </c>
      <c r="K880" s="16" t="e">
        <f>IF(OR(Data!B880="",Data!#REF!=""),"",IF(Data!#REF!="",1,0))</f>
        <v>#REF!</v>
      </c>
      <c r="L880" s="16" t="e">
        <f>IF(OR(Data!B880="",Data!#REF!=""),"",IF(ISNUMBER(Data!#REF!),IF(AND(Data!#REF!&gt;Data_Val!$G$2,Data!#REF!&lt;=Data_Val!$G$3),0,1),1))</f>
        <v>#REF!</v>
      </c>
      <c r="M880" s="9" t="e">
        <f>IF(OR(Data!B880="",Data!#REF!=""),"",IF(ISNUMBER(MATCH(Data!#REF!,Data_Val!$F$1:$F$38,0)),0,1))</f>
        <v>#REF!</v>
      </c>
      <c r="N880" s="9" t="e">
        <f>IF(OR(Data!B880="",Data!#REF!=""),"",IF(Data!#REF!="",1,0))</f>
        <v>#REF!</v>
      </c>
      <c r="O880" s="17" t="e">
        <f>IF(Data!#REF!="","",IF(Data!#REF!="",1,0))</f>
        <v>#REF!</v>
      </c>
      <c r="P880" s="17" t="e">
        <f>IF(Data!#REF!="","",IF(ISNUMBER(MATCH(Data!#REF!,Data_Val!$A$2:$A$3,0)),0,1))</f>
        <v>#REF!</v>
      </c>
      <c r="Q880" s="25" t="e">
        <f ca="1">IF(Data!#REF!="","",IF(ISNUMBER(Data!#REF!),IF(AND(Data!#REF!&gt;(TODAY()-(Data_Val!$J$3*365.25)),Data!#REF!&lt;=(TODAY()-(Data_Val!$J$2*365.25))),0,1),1))</f>
        <v>#REF!</v>
      </c>
      <c r="R880" s="17" t="e">
        <f>IF(Data!#REF!="","",IF(ISNUMBER(MATCH(Data!#REF!,Data_Val!$B$2:$B$15,0)),0,1))</f>
        <v>#REF!</v>
      </c>
      <c r="S880" s="11" t="str">
        <f>IF(Data!G880="","",IF(Data!G880=Data_Val!$C$2,IF(Data!M880="",0,1),0))</f>
        <v/>
      </c>
      <c r="T880" s="11" t="str">
        <f>IF(Data!M880="","",IF(ISNUMBER(MATCH(Data!N880,Data_Val!$A$2:$A$3,0)),0,1))</f>
        <v/>
      </c>
      <c r="U880" s="11" t="str">
        <f ca="1">IF(Data!M880="","",IF(ISNUMBER(Data!O880),IF(AND(Data!O880&gt;(TODAY()-(Data_Val!$K$3*365.25)),Data!O880&lt;=(TODAY()-(Data_Val!$K$2*365.25))),0,1),1))</f>
        <v/>
      </c>
      <c r="V880" s="12" t="str">
        <f>IF(Data!G880="","",IF(Data!G880=Data_Val!$C$2,IF(Data!P880="",0,1),0))</f>
        <v/>
      </c>
      <c r="W880" s="12" t="str">
        <f>IF(Data!P880="","",IF(ISNUMBER(MATCH(Data!Q880,Data_Val!$A$2:$A$3,0)),0,1))</f>
        <v/>
      </c>
      <c r="X880" s="26" t="str">
        <f ca="1">IF(Data!P880="","",IF(ISNUMBER(Data!R880),IF(AND(Data!R880&gt;(TODAY()-(Data_Val!$L$3*365.25)),Data!R880&lt;=(TODAY()-(Data_Val!$L$2*365.25))),0,1),1))</f>
        <v/>
      </c>
      <c r="Y880" s="13" t="str">
        <f>IF(Data!$G880="","",IF(Data!$G880=Data_Val!$C$2,IF(Data!S880="",0,1),0))</f>
        <v/>
      </c>
      <c r="Z880" s="13" t="str">
        <f>IF(Data!S880="","",IF(ISNUMBER(MATCH(Data!T880,Data_Val!$A$2:$A$3,0)),0,1))</f>
        <v/>
      </c>
      <c r="AA880" s="28" t="str">
        <f ca="1">IF(Data!S880="","",IF(ISNUMBER(Data!U880),IF(AND(Data!U880&gt;(TODAY()-(Data_Val!$L$3*365.25)),Data!U880&lt;=(TODAY()-(Data_Val!$L$2*365.25))),0,1),1))</f>
        <v/>
      </c>
      <c r="AB880" s="11"/>
      <c r="AC880" s="11" t="e">
        <f>IF(Data!#REF!="","",IF(ISNUMBER(MATCH(Data!#REF!,Data_Val!$A$2:$A$3,0)),0,1))</f>
        <v>#REF!</v>
      </c>
      <c r="AD880" s="11" t="e">
        <f ca="1">IF(Data!#REF!="","",IF(ISNUMBER(Data!#REF!),IF(AND(Data!#REF!&gt;(TODAY()-(Data_Val!$L$3*365.25)),Data!#REF!&lt;=(TODAY()-(Data_Val!$L$2*365.25))),0,1),1))</f>
        <v>#REF!</v>
      </c>
      <c r="AE880" s="11" t="e">
        <f>IF(Data!#REF!="","",IF(Data!$G880="",1,IF(ISNUMBER(MATCH(Data!#REF!,Data_Val!$D$2:$D$10,0)),0,1)))</f>
        <v>#REF!</v>
      </c>
      <c r="AF880" s="12"/>
      <c r="AG880" s="12" t="e">
        <f>IF(Data!#REF!="","",IF(ISNUMBER(MATCH(Data!#REF!,Data_Val!$A$2:$A$3,0)),0,1))</f>
        <v>#REF!</v>
      </c>
      <c r="AH880" s="26" t="e">
        <f ca="1">IF(Data!#REF!="","",IF(ISNUMBER(Data!#REF!),IF(AND(Data!#REF!&gt;(TODAY()-(Data_Val!$L$3*365.25)),Data!#REF!&lt;=(TODAY()-(Data_Val!$L$2*365.25))),0,1),1))</f>
        <v>#REF!</v>
      </c>
      <c r="AI880" s="12" t="e">
        <f>IF(Data!#REF!="","",IF(Data!$G880="",1,IF(ISNUMBER(MATCH(Data!#REF!,Data_Val!$D$2:$D$10,0)),0,1)))</f>
        <v>#REF!</v>
      </c>
      <c r="AJ880" s="17"/>
      <c r="AK880" s="17" t="e">
        <f>IF(Data!#REF!="","",IF(ISNUMBER(MATCH(Data!#REF!,Data_Val!$A$2:$A$3,0)),0,1))</f>
        <v>#REF!</v>
      </c>
      <c r="AL880" s="25" t="e">
        <f ca="1">IF(Data!#REF!="","",IF(ISNUMBER(Data!#REF!),IF(AND(Data!#REF!&gt;(TODAY()-(Data_Val!$L$3*365.25)),Data!#REF!&lt;=(TODAY()-(Data_Val!$L$2*365.25))),0,1),1))</f>
        <v>#REF!</v>
      </c>
      <c r="AM880" s="17" t="e">
        <f>IF(Data!#REF!="","",IF(Data!$G880="",1,IF(ISNUMBER(MATCH(Data!#REF!,Data_Val!$D$2:$D$10,0)),0,1)))</f>
        <v>#REF!</v>
      </c>
      <c r="AN880" s="13"/>
      <c r="AO880" s="28" t="e">
        <f ca="1">IF(Data!#REF!="","",IF(ISNUMBER(Data!#REF!),IF(AND(Data!#REF!&gt;(TODAY()-(Data_Val!$I$3*365.25)),Data!#REF!&lt;=(TODAY()-(Data_Val!$I$2*365.25))),0,1),1))</f>
        <v>#REF!</v>
      </c>
      <c r="AP880" s="13" t="e">
        <f>IF(Data!#REF!="","",IF(Data!$G880="",1,IF(ISNUMBER(MATCH(Data!#REF!,Data_Val!$D$2:$D$10,0)),0,1)))</f>
        <v>#REF!</v>
      </c>
      <c r="AQ880" s="17"/>
      <c r="AR880" s="30" t="e">
        <f ca="1">IF(Data!#REF!="","",IF(ISNUMBER(Data!#REF!),IF(AND(Data!#REF!&gt;(TODAY()-(Data_Val!$I$3*365.25)),Data!#REF!&lt;=(TODAY()-(Data_Val!$I$2*365.25))),0,1),1))</f>
        <v>#REF!</v>
      </c>
      <c r="AS880" s="31" t="e">
        <f>IF(Data!#REF!="","",IF(Data!$G880="",1,IF(ISNUMBER(MATCH(Data!#REF!,Data_Val!$D$2:$D$10,0)),0,1)))</f>
        <v>#REF!</v>
      </c>
      <c r="AT880" s="11"/>
      <c r="AU880" s="11" t="e">
        <f ca="1">IF(Data!#REF!="","",IF(ISNUMBER(Data!#REF!),IF(AND(Data!#REF!&gt;(TODAY()-(Data_Val!$I$3*365.25)),Data!#REF!&lt;=(TODAY()-(Data_Val!$I$2*365.25))),0,1),1))</f>
        <v>#REF!</v>
      </c>
      <c r="AV880" s="11" t="e">
        <f>IF(Data!#REF!="","",IF(Data!$G880="",1,IF(ISNUMBER(MATCH(Data!#REF!,Data_Val!$D$2:$D$10,0)),0,1)))</f>
        <v>#REF!</v>
      </c>
      <c r="AW880" s="12"/>
      <c r="AX880" s="26" t="e">
        <f ca="1">IF(Data!#REF!="","",IF(ISNUMBER(Data!#REF!),IF(AND(Data!#REF!&gt;(TODAY()-(Data_Val!$I$3*365.25)),Data!#REF!&lt;=(TODAY()-(Data_Val!$I$2*365.25))),0,1),1))</f>
        <v>#REF!</v>
      </c>
      <c r="AY880" s="12" t="e">
        <f>IF(Data!#REF!="","",IF(Data!$G880="",1,IF(ISNUMBER(MATCH(Data!#REF!,Data_Val!$D$2:$D$10,0)),0,1)))</f>
        <v>#REF!</v>
      </c>
      <c r="AZ880" s="11"/>
      <c r="BA880" s="19" t="e">
        <f ca="1">IF(Data!#REF!="","",IF(ISNUMBER(Data!#REF!),IF(AND(Data!#REF!&gt;(TODAY()-(Data_Val!$M$3*365.25)),Data!#REF!&lt;=(TODAY()-(Data_Val!$M$2*365.25))),0,1),1))</f>
        <v>#REF!</v>
      </c>
      <c r="BB880" s="11" t="e">
        <f>IF(Data!#REF!="","",IF(Data!$G880="",1,IF(ISNUMBER(MATCH(Data!#REF!,Data_Val!$D$2:$D$10,0)),0,1)))</f>
        <v>#REF!</v>
      </c>
      <c r="BC880" s="12"/>
      <c r="BD880" s="20" t="e">
        <f ca="1">IF(Data!#REF!="","",IF(ISNUMBER(Data!#REF!),IF(AND(Data!#REF!&gt;(TODAY()-(Data_Val!$M$3*365.25)),Data!#REF!&lt;=(TODAY()-(Data_Val!$M$2*365.25))),0,1),1))</f>
        <v>#REF!</v>
      </c>
      <c r="BE880" s="12" t="e">
        <f>IF(Data!#REF!="","",IF(Data!$G880="",1,IF(ISNUMBER(MATCH(Data!#REF!,Data_Val!$D$2:$D$10,0)),0,1)))</f>
        <v>#REF!</v>
      </c>
      <c r="BF880" s="17"/>
      <c r="BG880" s="18" t="e">
        <f ca="1">IF(Data!#REF!="","",IF(ISNUMBER(Data!#REF!),IF(AND(Data!#REF!&gt;(TODAY()-(Data_Val!$M$3*365.25)),Data!#REF!&lt;=(TODAY()-(Data_Val!$M$2*365.25))),0,1),1))</f>
        <v>#REF!</v>
      </c>
      <c r="BH880" s="29" t="e">
        <f>IF(Data!#REF!="","",IF(Data!$G880="",1,IF(ISNUMBER(MATCH(Data!#REF!,Data_Val!$D$2:$D$10,0)),0,1)))</f>
        <v>#REF!</v>
      </c>
      <c r="BI880" s="13"/>
      <c r="BJ880" s="21" t="e">
        <f ca="1">IF(Data!#REF!="","",IF(ISNUMBER(Data!#REF!),IF(AND(Data!#REF!&gt;(TODAY()-(Data_Val!$M$3*365.25)),Data!#REF!&lt;=(TODAY()-(Data_Val!$M$2*365.25))),0,1),1))</f>
        <v>#REF!</v>
      </c>
      <c r="BK880" s="13" t="e">
        <f>IF(Data!#REF!="","",IF(Data!$G880="",1,IF(ISNUMBER(MATCH(Data!#REF!,Data_Val!$D$2:$D$10,0)),0,1)))</f>
        <v>#REF!</v>
      </c>
    </row>
    <row r="881" spans="1:63" x14ac:dyDescent="0.25">
      <c r="A881" s="9" t="str">
        <f>IF(Data!B881="","",IF(COUNTIFS(Data!A$1:'Data'!A881,Data!A881)&lt;=1,0,1))</f>
        <v/>
      </c>
      <c r="B881" s="9"/>
      <c r="C881" s="23" t="str">
        <f>IF(Data!C881="","",(IF(ISNUMBER(MATCH("*@*.?*",Data!C881,0)),0,1)+IF(COUNTIFS(Data!C$1:'Data'!C881,Data!C881)&gt;1,1,0)))</f>
        <v/>
      </c>
      <c r="D881" s="9" t="str">
        <f>IF(Data!B881="","",IF(ISNUMBER(Data!D881),IF(AND(Data!D881&gt;999999999,Data!D881&lt;=9999999999),IF(COUNTIFS(Data!D$1:'Data'!D881,Data!D881)&lt;=1,0,1),1),1))</f>
        <v/>
      </c>
      <c r="E881" s="9" t="str">
        <f>IF(Data!B881="","",IF(ISNUMBER(MATCH(Data!E881,Data_Val!$A$2:$A$3,0)),0,1))</f>
        <v/>
      </c>
      <c r="F881" s="9" t="str">
        <f ca="1">IF(Data!B881="","",IF(ISNUMBER(Data!F881),IF(AND(Data!F881&gt;(TODAY()-(Data_Val!$H$3*365.25)),Data!F881&lt;=(TODAY()-(Data_Val!$H$2*365.25))),0,1),1))</f>
        <v/>
      </c>
      <c r="G881" s="15" t="str">
        <f>IF(Data!B881="","",IF(AND(Data!G881="",Data!H881&lt;&gt;""),1,IF(Data!#REF!&lt;&gt;"",0,IF(ISNUMBER(MATCH(Data!G881,Data_Val!$C$2:$C$5,0)),0,1))))</f>
        <v/>
      </c>
      <c r="H881" s="15" t="str">
        <f>IF(Data!B881="","",IF(AND(Data!G881&lt;&gt;"",Data!H881=""),1,IF(Data!#REF!&lt;&gt;"",0,IF(Data!G881="",1,IF(ISNUMBER(MATCH(Data!H881,Data_Val!$D$2:$D$35,0)),0,1)))))</f>
        <v/>
      </c>
      <c r="I881" s="15" t="str">
        <f>IF(Data!B881="","",IF(Data!G881&lt;&gt;"",0,IF(ISNUMBER(MATCH(Data!#REF!,Data_Val!$E$2:$E$12,0)),0,1)))</f>
        <v/>
      </c>
      <c r="J881" s="16" t="e">
        <f>IF(OR(Data!B881="",Data!#REF!=""),"",IF(Data!#REF!="",1,0))</f>
        <v>#REF!</v>
      </c>
      <c r="K881" s="16" t="e">
        <f>IF(OR(Data!B881="",Data!#REF!=""),"",IF(Data!#REF!="",1,0))</f>
        <v>#REF!</v>
      </c>
      <c r="L881" s="16" t="e">
        <f>IF(OR(Data!B881="",Data!#REF!=""),"",IF(ISNUMBER(Data!#REF!),IF(AND(Data!#REF!&gt;Data_Val!$G$2,Data!#REF!&lt;=Data_Val!$G$3),0,1),1))</f>
        <v>#REF!</v>
      </c>
      <c r="M881" s="9" t="e">
        <f>IF(OR(Data!B881="",Data!#REF!=""),"",IF(ISNUMBER(MATCH(Data!#REF!,Data_Val!$F$1:$F$38,0)),0,1))</f>
        <v>#REF!</v>
      </c>
      <c r="N881" s="9" t="e">
        <f>IF(OR(Data!B881="",Data!#REF!=""),"",IF(Data!#REF!="",1,0))</f>
        <v>#REF!</v>
      </c>
      <c r="O881" s="17" t="e">
        <f>IF(Data!#REF!="","",IF(Data!#REF!="",1,0))</f>
        <v>#REF!</v>
      </c>
      <c r="P881" s="17" t="e">
        <f>IF(Data!#REF!="","",IF(ISNUMBER(MATCH(Data!#REF!,Data_Val!$A$2:$A$3,0)),0,1))</f>
        <v>#REF!</v>
      </c>
      <c r="Q881" s="25" t="e">
        <f ca="1">IF(Data!#REF!="","",IF(ISNUMBER(Data!#REF!),IF(AND(Data!#REF!&gt;(TODAY()-(Data_Val!$J$3*365.25)),Data!#REF!&lt;=(TODAY()-(Data_Val!$J$2*365.25))),0,1),1))</f>
        <v>#REF!</v>
      </c>
      <c r="R881" s="17" t="e">
        <f>IF(Data!#REF!="","",IF(ISNUMBER(MATCH(Data!#REF!,Data_Val!$B$2:$B$15,0)),0,1))</f>
        <v>#REF!</v>
      </c>
      <c r="S881" s="11" t="str">
        <f>IF(Data!G881="","",IF(Data!G881=Data_Val!$C$2,IF(Data!M881="",0,1),0))</f>
        <v/>
      </c>
      <c r="T881" s="11" t="str">
        <f>IF(Data!M881="","",IF(ISNUMBER(MATCH(Data!N881,Data_Val!$A$2:$A$3,0)),0,1))</f>
        <v/>
      </c>
      <c r="U881" s="11" t="str">
        <f ca="1">IF(Data!M881="","",IF(ISNUMBER(Data!O881),IF(AND(Data!O881&gt;(TODAY()-(Data_Val!$K$3*365.25)),Data!O881&lt;=(TODAY()-(Data_Val!$K$2*365.25))),0,1),1))</f>
        <v/>
      </c>
      <c r="V881" s="12" t="str">
        <f>IF(Data!G881="","",IF(Data!G881=Data_Val!$C$2,IF(Data!P881="",0,1),0))</f>
        <v/>
      </c>
      <c r="W881" s="12" t="str">
        <f>IF(Data!P881="","",IF(ISNUMBER(MATCH(Data!Q881,Data_Val!$A$2:$A$3,0)),0,1))</f>
        <v/>
      </c>
      <c r="X881" s="26" t="str">
        <f ca="1">IF(Data!P881="","",IF(ISNUMBER(Data!R881),IF(AND(Data!R881&gt;(TODAY()-(Data_Val!$L$3*365.25)),Data!R881&lt;=(TODAY()-(Data_Val!$L$2*365.25))),0,1),1))</f>
        <v/>
      </c>
      <c r="Y881" s="13" t="str">
        <f>IF(Data!$G881="","",IF(Data!$G881=Data_Val!$C$2,IF(Data!S881="",0,1),0))</f>
        <v/>
      </c>
      <c r="Z881" s="13" t="str">
        <f>IF(Data!S881="","",IF(ISNUMBER(MATCH(Data!T881,Data_Val!$A$2:$A$3,0)),0,1))</f>
        <v/>
      </c>
      <c r="AA881" s="28" t="str">
        <f ca="1">IF(Data!S881="","",IF(ISNUMBER(Data!U881),IF(AND(Data!U881&gt;(TODAY()-(Data_Val!$L$3*365.25)),Data!U881&lt;=(TODAY()-(Data_Val!$L$2*365.25))),0,1),1))</f>
        <v/>
      </c>
      <c r="AB881" s="11"/>
      <c r="AC881" s="11" t="e">
        <f>IF(Data!#REF!="","",IF(ISNUMBER(MATCH(Data!#REF!,Data_Val!$A$2:$A$3,0)),0,1))</f>
        <v>#REF!</v>
      </c>
      <c r="AD881" s="11" t="e">
        <f ca="1">IF(Data!#REF!="","",IF(ISNUMBER(Data!#REF!),IF(AND(Data!#REF!&gt;(TODAY()-(Data_Val!$L$3*365.25)),Data!#REF!&lt;=(TODAY()-(Data_Val!$L$2*365.25))),0,1),1))</f>
        <v>#REF!</v>
      </c>
      <c r="AE881" s="11" t="e">
        <f>IF(Data!#REF!="","",IF(Data!$G881="",1,IF(ISNUMBER(MATCH(Data!#REF!,Data_Val!$D$2:$D$10,0)),0,1)))</f>
        <v>#REF!</v>
      </c>
      <c r="AF881" s="12"/>
      <c r="AG881" s="12" t="e">
        <f>IF(Data!#REF!="","",IF(ISNUMBER(MATCH(Data!#REF!,Data_Val!$A$2:$A$3,0)),0,1))</f>
        <v>#REF!</v>
      </c>
      <c r="AH881" s="26" t="e">
        <f ca="1">IF(Data!#REF!="","",IF(ISNUMBER(Data!#REF!),IF(AND(Data!#REF!&gt;(TODAY()-(Data_Val!$L$3*365.25)),Data!#REF!&lt;=(TODAY()-(Data_Val!$L$2*365.25))),0,1),1))</f>
        <v>#REF!</v>
      </c>
      <c r="AI881" s="12" t="e">
        <f>IF(Data!#REF!="","",IF(Data!$G881="",1,IF(ISNUMBER(MATCH(Data!#REF!,Data_Val!$D$2:$D$10,0)),0,1)))</f>
        <v>#REF!</v>
      </c>
      <c r="AJ881" s="17"/>
      <c r="AK881" s="17" t="e">
        <f>IF(Data!#REF!="","",IF(ISNUMBER(MATCH(Data!#REF!,Data_Val!$A$2:$A$3,0)),0,1))</f>
        <v>#REF!</v>
      </c>
      <c r="AL881" s="25" t="e">
        <f ca="1">IF(Data!#REF!="","",IF(ISNUMBER(Data!#REF!),IF(AND(Data!#REF!&gt;(TODAY()-(Data_Val!$L$3*365.25)),Data!#REF!&lt;=(TODAY()-(Data_Val!$L$2*365.25))),0,1),1))</f>
        <v>#REF!</v>
      </c>
      <c r="AM881" s="17" t="e">
        <f>IF(Data!#REF!="","",IF(Data!$G881="",1,IF(ISNUMBER(MATCH(Data!#REF!,Data_Val!$D$2:$D$10,0)),0,1)))</f>
        <v>#REF!</v>
      </c>
      <c r="AN881" s="13"/>
      <c r="AO881" s="28" t="e">
        <f ca="1">IF(Data!#REF!="","",IF(ISNUMBER(Data!#REF!),IF(AND(Data!#REF!&gt;(TODAY()-(Data_Val!$I$3*365.25)),Data!#REF!&lt;=(TODAY()-(Data_Val!$I$2*365.25))),0,1),1))</f>
        <v>#REF!</v>
      </c>
      <c r="AP881" s="13" t="e">
        <f>IF(Data!#REF!="","",IF(Data!$G881="",1,IF(ISNUMBER(MATCH(Data!#REF!,Data_Val!$D$2:$D$10,0)),0,1)))</f>
        <v>#REF!</v>
      </c>
      <c r="AQ881" s="17"/>
      <c r="AR881" s="30" t="e">
        <f ca="1">IF(Data!#REF!="","",IF(ISNUMBER(Data!#REF!),IF(AND(Data!#REF!&gt;(TODAY()-(Data_Val!$I$3*365.25)),Data!#REF!&lt;=(TODAY()-(Data_Val!$I$2*365.25))),0,1),1))</f>
        <v>#REF!</v>
      </c>
      <c r="AS881" s="31" t="e">
        <f>IF(Data!#REF!="","",IF(Data!$G881="",1,IF(ISNUMBER(MATCH(Data!#REF!,Data_Val!$D$2:$D$10,0)),0,1)))</f>
        <v>#REF!</v>
      </c>
      <c r="AT881" s="11"/>
      <c r="AU881" s="11" t="e">
        <f ca="1">IF(Data!#REF!="","",IF(ISNUMBER(Data!#REF!),IF(AND(Data!#REF!&gt;(TODAY()-(Data_Val!$I$3*365.25)),Data!#REF!&lt;=(TODAY()-(Data_Val!$I$2*365.25))),0,1),1))</f>
        <v>#REF!</v>
      </c>
      <c r="AV881" s="11" t="e">
        <f>IF(Data!#REF!="","",IF(Data!$G881="",1,IF(ISNUMBER(MATCH(Data!#REF!,Data_Val!$D$2:$D$10,0)),0,1)))</f>
        <v>#REF!</v>
      </c>
      <c r="AW881" s="12"/>
      <c r="AX881" s="26" t="e">
        <f ca="1">IF(Data!#REF!="","",IF(ISNUMBER(Data!#REF!),IF(AND(Data!#REF!&gt;(TODAY()-(Data_Val!$I$3*365.25)),Data!#REF!&lt;=(TODAY()-(Data_Val!$I$2*365.25))),0,1),1))</f>
        <v>#REF!</v>
      </c>
      <c r="AY881" s="12" t="e">
        <f>IF(Data!#REF!="","",IF(Data!$G881="",1,IF(ISNUMBER(MATCH(Data!#REF!,Data_Val!$D$2:$D$10,0)),0,1)))</f>
        <v>#REF!</v>
      </c>
      <c r="AZ881" s="11"/>
      <c r="BA881" s="19" t="e">
        <f ca="1">IF(Data!#REF!="","",IF(ISNUMBER(Data!#REF!),IF(AND(Data!#REF!&gt;(TODAY()-(Data_Val!$M$3*365.25)),Data!#REF!&lt;=(TODAY()-(Data_Val!$M$2*365.25))),0,1),1))</f>
        <v>#REF!</v>
      </c>
      <c r="BB881" s="11" t="e">
        <f>IF(Data!#REF!="","",IF(Data!$G881="",1,IF(ISNUMBER(MATCH(Data!#REF!,Data_Val!$D$2:$D$10,0)),0,1)))</f>
        <v>#REF!</v>
      </c>
      <c r="BC881" s="12"/>
      <c r="BD881" s="20" t="e">
        <f ca="1">IF(Data!#REF!="","",IF(ISNUMBER(Data!#REF!),IF(AND(Data!#REF!&gt;(TODAY()-(Data_Val!$M$3*365.25)),Data!#REF!&lt;=(TODAY()-(Data_Val!$M$2*365.25))),0,1),1))</f>
        <v>#REF!</v>
      </c>
      <c r="BE881" s="12" t="e">
        <f>IF(Data!#REF!="","",IF(Data!$G881="",1,IF(ISNUMBER(MATCH(Data!#REF!,Data_Val!$D$2:$D$10,0)),0,1)))</f>
        <v>#REF!</v>
      </c>
      <c r="BF881" s="17"/>
      <c r="BG881" s="18" t="e">
        <f ca="1">IF(Data!#REF!="","",IF(ISNUMBER(Data!#REF!),IF(AND(Data!#REF!&gt;(TODAY()-(Data_Val!$M$3*365.25)),Data!#REF!&lt;=(TODAY()-(Data_Val!$M$2*365.25))),0,1),1))</f>
        <v>#REF!</v>
      </c>
      <c r="BH881" s="29" t="e">
        <f>IF(Data!#REF!="","",IF(Data!$G881="",1,IF(ISNUMBER(MATCH(Data!#REF!,Data_Val!$D$2:$D$10,0)),0,1)))</f>
        <v>#REF!</v>
      </c>
      <c r="BI881" s="13"/>
      <c r="BJ881" s="21" t="e">
        <f ca="1">IF(Data!#REF!="","",IF(ISNUMBER(Data!#REF!),IF(AND(Data!#REF!&gt;(TODAY()-(Data_Val!$M$3*365.25)),Data!#REF!&lt;=(TODAY()-(Data_Val!$M$2*365.25))),0,1),1))</f>
        <v>#REF!</v>
      </c>
      <c r="BK881" s="13" t="e">
        <f>IF(Data!#REF!="","",IF(Data!$G881="",1,IF(ISNUMBER(MATCH(Data!#REF!,Data_Val!$D$2:$D$10,0)),0,1)))</f>
        <v>#REF!</v>
      </c>
    </row>
    <row r="882" spans="1:63" x14ac:dyDescent="0.25">
      <c r="A882" s="9" t="str">
        <f>IF(Data!B882="","",IF(COUNTIFS(Data!A$1:'Data'!A882,Data!A882)&lt;=1,0,1))</f>
        <v/>
      </c>
      <c r="B882" s="9"/>
      <c r="C882" s="23" t="str">
        <f>IF(Data!C882="","",(IF(ISNUMBER(MATCH("*@*.?*",Data!C882,0)),0,1)+IF(COUNTIFS(Data!C$1:'Data'!C882,Data!C882)&gt;1,1,0)))</f>
        <v/>
      </c>
      <c r="D882" s="9" t="str">
        <f>IF(Data!B882="","",IF(ISNUMBER(Data!D882),IF(AND(Data!D882&gt;999999999,Data!D882&lt;=9999999999),IF(COUNTIFS(Data!D$1:'Data'!D882,Data!D882)&lt;=1,0,1),1),1))</f>
        <v/>
      </c>
      <c r="E882" s="9" t="str">
        <f>IF(Data!B882="","",IF(ISNUMBER(MATCH(Data!E882,Data_Val!$A$2:$A$3,0)),0,1))</f>
        <v/>
      </c>
      <c r="F882" s="9" t="str">
        <f ca="1">IF(Data!B882="","",IF(ISNUMBER(Data!F882),IF(AND(Data!F882&gt;(TODAY()-(Data_Val!$H$3*365.25)),Data!F882&lt;=(TODAY()-(Data_Val!$H$2*365.25))),0,1),1))</f>
        <v/>
      </c>
      <c r="G882" s="15" t="str">
        <f>IF(Data!B882="","",IF(AND(Data!G882="",Data!H882&lt;&gt;""),1,IF(Data!#REF!&lt;&gt;"",0,IF(ISNUMBER(MATCH(Data!G882,Data_Val!$C$2:$C$5,0)),0,1))))</f>
        <v/>
      </c>
      <c r="H882" s="15" t="str">
        <f>IF(Data!B882="","",IF(AND(Data!G882&lt;&gt;"",Data!H882=""),1,IF(Data!#REF!&lt;&gt;"",0,IF(Data!G882="",1,IF(ISNUMBER(MATCH(Data!H882,Data_Val!$D$2:$D$35,0)),0,1)))))</f>
        <v/>
      </c>
      <c r="I882" s="15" t="str">
        <f>IF(Data!B882="","",IF(Data!G882&lt;&gt;"",0,IF(ISNUMBER(MATCH(Data!#REF!,Data_Val!$E$2:$E$12,0)),0,1)))</f>
        <v/>
      </c>
      <c r="J882" s="16" t="e">
        <f>IF(OR(Data!B882="",Data!#REF!=""),"",IF(Data!#REF!="",1,0))</f>
        <v>#REF!</v>
      </c>
      <c r="K882" s="16" t="e">
        <f>IF(OR(Data!B882="",Data!#REF!=""),"",IF(Data!#REF!="",1,0))</f>
        <v>#REF!</v>
      </c>
      <c r="L882" s="16" t="e">
        <f>IF(OR(Data!B882="",Data!#REF!=""),"",IF(ISNUMBER(Data!#REF!),IF(AND(Data!#REF!&gt;Data_Val!$G$2,Data!#REF!&lt;=Data_Val!$G$3),0,1),1))</f>
        <v>#REF!</v>
      </c>
      <c r="M882" s="9" t="e">
        <f>IF(OR(Data!B882="",Data!#REF!=""),"",IF(ISNUMBER(MATCH(Data!#REF!,Data_Val!$F$1:$F$38,0)),0,1))</f>
        <v>#REF!</v>
      </c>
      <c r="N882" s="9" t="e">
        <f>IF(OR(Data!B882="",Data!#REF!=""),"",IF(Data!#REF!="",1,0))</f>
        <v>#REF!</v>
      </c>
      <c r="O882" s="17" t="e">
        <f>IF(Data!#REF!="","",IF(Data!#REF!="",1,0))</f>
        <v>#REF!</v>
      </c>
      <c r="P882" s="17" t="e">
        <f>IF(Data!#REF!="","",IF(ISNUMBER(MATCH(Data!#REF!,Data_Val!$A$2:$A$3,0)),0,1))</f>
        <v>#REF!</v>
      </c>
      <c r="Q882" s="25" t="e">
        <f ca="1">IF(Data!#REF!="","",IF(ISNUMBER(Data!#REF!),IF(AND(Data!#REF!&gt;(TODAY()-(Data_Val!$J$3*365.25)),Data!#REF!&lt;=(TODAY()-(Data_Val!$J$2*365.25))),0,1),1))</f>
        <v>#REF!</v>
      </c>
      <c r="R882" s="17" t="e">
        <f>IF(Data!#REF!="","",IF(ISNUMBER(MATCH(Data!#REF!,Data_Val!$B$2:$B$15,0)),0,1))</f>
        <v>#REF!</v>
      </c>
      <c r="S882" s="11" t="str">
        <f>IF(Data!G882="","",IF(Data!G882=Data_Val!$C$2,IF(Data!M882="",0,1),0))</f>
        <v/>
      </c>
      <c r="T882" s="11" t="str">
        <f>IF(Data!M882="","",IF(ISNUMBER(MATCH(Data!N882,Data_Val!$A$2:$A$3,0)),0,1))</f>
        <v/>
      </c>
      <c r="U882" s="11" t="str">
        <f ca="1">IF(Data!M882="","",IF(ISNUMBER(Data!O882),IF(AND(Data!O882&gt;(TODAY()-(Data_Val!$K$3*365.25)),Data!O882&lt;=(TODAY()-(Data_Val!$K$2*365.25))),0,1),1))</f>
        <v/>
      </c>
      <c r="V882" s="12" t="str">
        <f>IF(Data!G882="","",IF(Data!G882=Data_Val!$C$2,IF(Data!P882="",0,1),0))</f>
        <v/>
      </c>
      <c r="W882" s="12" t="str">
        <f>IF(Data!P882="","",IF(ISNUMBER(MATCH(Data!Q882,Data_Val!$A$2:$A$3,0)),0,1))</f>
        <v/>
      </c>
      <c r="X882" s="26" t="str">
        <f ca="1">IF(Data!P882="","",IF(ISNUMBER(Data!R882),IF(AND(Data!R882&gt;(TODAY()-(Data_Val!$L$3*365.25)),Data!R882&lt;=(TODAY()-(Data_Val!$L$2*365.25))),0,1),1))</f>
        <v/>
      </c>
      <c r="Y882" s="13" t="str">
        <f>IF(Data!$G882="","",IF(Data!$G882=Data_Val!$C$2,IF(Data!S882="",0,1),0))</f>
        <v/>
      </c>
      <c r="Z882" s="13" t="str">
        <f>IF(Data!S882="","",IF(ISNUMBER(MATCH(Data!T882,Data_Val!$A$2:$A$3,0)),0,1))</f>
        <v/>
      </c>
      <c r="AA882" s="28" t="str">
        <f ca="1">IF(Data!S882="","",IF(ISNUMBER(Data!U882),IF(AND(Data!U882&gt;(TODAY()-(Data_Val!$L$3*365.25)),Data!U882&lt;=(TODAY()-(Data_Val!$L$2*365.25))),0,1),1))</f>
        <v/>
      </c>
      <c r="AB882" s="11"/>
      <c r="AC882" s="11" t="e">
        <f>IF(Data!#REF!="","",IF(ISNUMBER(MATCH(Data!#REF!,Data_Val!$A$2:$A$3,0)),0,1))</f>
        <v>#REF!</v>
      </c>
      <c r="AD882" s="11" t="e">
        <f ca="1">IF(Data!#REF!="","",IF(ISNUMBER(Data!#REF!),IF(AND(Data!#REF!&gt;(TODAY()-(Data_Val!$L$3*365.25)),Data!#REF!&lt;=(TODAY()-(Data_Val!$L$2*365.25))),0,1),1))</f>
        <v>#REF!</v>
      </c>
      <c r="AE882" s="11" t="e">
        <f>IF(Data!#REF!="","",IF(Data!$G882="",1,IF(ISNUMBER(MATCH(Data!#REF!,Data_Val!$D$2:$D$10,0)),0,1)))</f>
        <v>#REF!</v>
      </c>
      <c r="AF882" s="12"/>
      <c r="AG882" s="12" t="e">
        <f>IF(Data!#REF!="","",IF(ISNUMBER(MATCH(Data!#REF!,Data_Val!$A$2:$A$3,0)),0,1))</f>
        <v>#REF!</v>
      </c>
      <c r="AH882" s="26" t="e">
        <f ca="1">IF(Data!#REF!="","",IF(ISNUMBER(Data!#REF!),IF(AND(Data!#REF!&gt;(TODAY()-(Data_Val!$L$3*365.25)),Data!#REF!&lt;=(TODAY()-(Data_Val!$L$2*365.25))),0,1),1))</f>
        <v>#REF!</v>
      </c>
      <c r="AI882" s="12" t="e">
        <f>IF(Data!#REF!="","",IF(Data!$G882="",1,IF(ISNUMBER(MATCH(Data!#REF!,Data_Val!$D$2:$D$10,0)),0,1)))</f>
        <v>#REF!</v>
      </c>
      <c r="AJ882" s="17"/>
      <c r="AK882" s="17" t="e">
        <f>IF(Data!#REF!="","",IF(ISNUMBER(MATCH(Data!#REF!,Data_Val!$A$2:$A$3,0)),0,1))</f>
        <v>#REF!</v>
      </c>
      <c r="AL882" s="25" t="e">
        <f ca="1">IF(Data!#REF!="","",IF(ISNUMBER(Data!#REF!),IF(AND(Data!#REF!&gt;(TODAY()-(Data_Val!$L$3*365.25)),Data!#REF!&lt;=(TODAY()-(Data_Val!$L$2*365.25))),0,1),1))</f>
        <v>#REF!</v>
      </c>
      <c r="AM882" s="17" t="e">
        <f>IF(Data!#REF!="","",IF(Data!$G882="",1,IF(ISNUMBER(MATCH(Data!#REF!,Data_Val!$D$2:$D$10,0)),0,1)))</f>
        <v>#REF!</v>
      </c>
      <c r="AN882" s="13"/>
      <c r="AO882" s="28" t="e">
        <f ca="1">IF(Data!#REF!="","",IF(ISNUMBER(Data!#REF!),IF(AND(Data!#REF!&gt;(TODAY()-(Data_Val!$I$3*365.25)),Data!#REF!&lt;=(TODAY()-(Data_Val!$I$2*365.25))),0,1),1))</f>
        <v>#REF!</v>
      </c>
      <c r="AP882" s="13" t="e">
        <f>IF(Data!#REF!="","",IF(Data!$G882="",1,IF(ISNUMBER(MATCH(Data!#REF!,Data_Val!$D$2:$D$10,0)),0,1)))</f>
        <v>#REF!</v>
      </c>
      <c r="AQ882" s="17"/>
      <c r="AR882" s="30" t="e">
        <f ca="1">IF(Data!#REF!="","",IF(ISNUMBER(Data!#REF!),IF(AND(Data!#REF!&gt;(TODAY()-(Data_Val!$I$3*365.25)),Data!#REF!&lt;=(TODAY()-(Data_Val!$I$2*365.25))),0,1),1))</f>
        <v>#REF!</v>
      </c>
      <c r="AS882" s="31" t="e">
        <f>IF(Data!#REF!="","",IF(Data!$G882="",1,IF(ISNUMBER(MATCH(Data!#REF!,Data_Val!$D$2:$D$10,0)),0,1)))</f>
        <v>#REF!</v>
      </c>
      <c r="AT882" s="11"/>
      <c r="AU882" s="11" t="e">
        <f ca="1">IF(Data!#REF!="","",IF(ISNUMBER(Data!#REF!),IF(AND(Data!#REF!&gt;(TODAY()-(Data_Val!$I$3*365.25)),Data!#REF!&lt;=(TODAY()-(Data_Val!$I$2*365.25))),0,1),1))</f>
        <v>#REF!</v>
      </c>
      <c r="AV882" s="11" t="e">
        <f>IF(Data!#REF!="","",IF(Data!$G882="",1,IF(ISNUMBER(MATCH(Data!#REF!,Data_Val!$D$2:$D$10,0)),0,1)))</f>
        <v>#REF!</v>
      </c>
      <c r="AW882" s="12"/>
      <c r="AX882" s="26" t="e">
        <f ca="1">IF(Data!#REF!="","",IF(ISNUMBER(Data!#REF!),IF(AND(Data!#REF!&gt;(TODAY()-(Data_Val!$I$3*365.25)),Data!#REF!&lt;=(TODAY()-(Data_Val!$I$2*365.25))),0,1),1))</f>
        <v>#REF!</v>
      </c>
      <c r="AY882" s="12" t="e">
        <f>IF(Data!#REF!="","",IF(Data!$G882="",1,IF(ISNUMBER(MATCH(Data!#REF!,Data_Val!$D$2:$D$10,0)),0,1)))</f>
        <v>#REF!</v>
      </c>
      <c r="AZ882" s="11"/>
      <c r="BA882" s="19" t="e">
        <f ca="1">IF(Data!#REF!="","",IF(ISNUMBER(Data!#REF!),IF(AND(Data!#REF!&gt;(TODAY()-(Data_Val!$M$3*365.25)),Data!#REF!&lt;=(TODAY()-(Data_Val!$M$2*365.25))),0,1),1))</f>
        <v>#REF!</v>
      </c>
      <c r="BB882" s="11" t="e">
        <f>IF(Data!#REF!="","",IF(Data!$G882="",1,IF(ISNUMBER(MATCH(Data!#REF!,Data_Val!$D$2:$D$10,0)),0,1)))</f>
        <v>#REF!</v>
      </c>
      <c r="BC882" s="12"/>
      <c r="BD882" s="20" t="e">
        <f ca="1">IF(Data!#REF!="","",IF(ISNUMBER(Data!#REF!),IF(AND(Data!#REF!&gt;(TODAY()-(Data_Val!$M$3*365.25)),Data!#REF!&lt;=(TODAY()-(Data_Val!$M$2*365.25))),0,1),1))</f>
        <v>#REF!</v>
      </c>
      <c r="BE882" s="12" t="e">
        <f>IF(Data!#REF!="","",IF(Data!$G882="",1,IF(ISNUMBER(MATCH(Data!#REF!,Data_Val!$D$2:$D$10,0)),0,1)))</f>
        <v>#REF!</v>
      </c>
      <c r="BF882" s="17"/>
      <c r="BG882" s="18" t="e">
        <f ca="1">IF(Data!#REF!="","",IF(ISNUMBER(Data!#REF!),IF(AND(Data!#REF!&gt;(TODAY()-(Data_Val!$M$3*365.25)),Data!#REF!&lt;=(TODAY()-(Data_Val!$M$2*365.25))),0,1),1))</f>
        <v>#REF!</v>
      </c>
      <c r="BH882" s="29" t="e">
        <f>IF(Data!#REF!="","",IF(Data!$G882="",1,IF(ISNUMBER(MATCH(Data!#REF!,Data_Val!$D$2:$D$10,0)),0,1)))</f>
        <v>#REF!</v>
      </c>
      <c r="BI882" s="13"/>
      <c r="BJ882" s="21" t="e">
        <f ca="1">IF(Data!#REF!="","",IF(ISNUMBER(Data!#REF!),IF(AND(Data!#REF!&gt;(TODAY()-(Data_Val!$M$3*365.25)),Data!#REF!&lt;=(TODAY()-(Data_Val!$M$2*365.25))),0,1),1))</f>
        <v>#REF!</v>
      </c>
      <c r="BK882" s="13" t="e">
        <f>IF(Data!#REF!="","",IF(Data!$G882="",1,IF(ISNUMBER(MATCH(Data!#REF!,Data_Val!$D$2:$D$10,0)),0,1)))</f>
        <v>#REF!</v>
      </c>
    </row>
    <row r="883" spans="1:63" x14ac:dyDescent="0.25">
      <c r="A883" s="9" t="str">
        <f>IF(Data!B883="","",IF(COUNTIFS(Data!A$1:'Data'!A883,Data!A883)&lt;=1,0,1))</f>
        <v/>
      </c>
      <c r="B883" s="9"/>
      <c r="C883" s="23" t="str">
        <f>IF(Data!C883="","",(IF(ISNUMBER(MATCH("*@*.?*",Data!C883,0)),0,1)+IF(COUNTIFS(Data!C$1:'Data'!C883,Data!C883)&gt;1,1,0)))</f>
        <v/>
      </c>
      <c r="D883" s="9" t="str">
        <f>IF(Data!B883="","",IF(ISNUMBER(Data!D883),IF(AND(Data!D883&gt;999999999,Data!D883&lt;=9999999999),IF(COUNTIFS(Data!D$1:'Data'!D883,Data!D883)&lt;=1,0,1),1),1))</f>
        <v/>
      </c>
      <c r="E883" s="9" t="str">
        <f>IF(Data!B883="","",IF(ISNUMBER(MATCH(Data!E883,Data_Val!$A$2:$A$3,0)),0,1))</f>
        <v/>
      </c>
      <c r="F883" s="9" t="str">
        <f ca="1">IF(Data!B883="","",IF(ISNUMBER(Data!F883),IF(AND(Data!F883&gt;(TODAY()-(Data_Val!$H$3*365.25)),Data!F883&lt;=(TODAY()-(Data_Val!$H$2*365.25))),0,1),1))</f>
        <v/>
      </c>
      <c r="G883" s="15" t="str">
        <f>IF(Data!B883="","",IF(AND(Data!G883="",Data!H883&lt;&gt;""),1,IF(Data!#REF!&lt;&gt;"",0,IF(ISNUMBER(MATCH(Data!G883,Data_Val!$C$2:$C$5,0)),0,1))))</f>
        <v/>
      </c>
      <c r="H883" s="15" t="str">
        <f>IF(Data!B883="","",IF(AND(Data!G883&lt;&gt;"",Data!H883=""),1,IF(Data!#REF!&lt;&gt;"",0,IF(Data!G883="",1,IF(ISNUMBER(MATCH(Data!H883,Data_Val!$D$2:$D$35,0)),0,1)))))</f>
        <v/>
      </c>
      <c r="I883" s="15" t="str">
        <f>IF(Data!B883="","",IF(Data!G883&lt;&gt;"",0,IF(ISNUMBER(MATCH(Data!#REF!,Data_Val!$E$2:$E$12,0)),0,1)))</f>
        <v/>
      </c>
      <c r="J883" s="16" t="e">
        <f>IF(OR(Data!B883="",Data!#REF!=""),"",IF(Data!#REF!="",1,0))</f>
        <v>#REF!</v>
      </c>
      <c r="K883" s="16" t="e">
        <f>IF(OR(Data!B883="",Data!#REF!=""),"",IF(Data!#REF!="",1,0))</f>
        <v>#REF!</v>
      </c>
      <c r="L883" s="16" t="e">
        <f>IF(OR(Data!B883="",Data!#REF!=""),"",IF(ISNUMBER(Data!#REF!),IF(AND(Data!#REF!&gt;Data_Val!$G$2,Data!#REF!&lt;=Data_Val!$G$3),0,1),1))</f>
        <v>#REF!</v>
      </c>
      <c r="M883" s="9" t="e">
        <f>IF(OR(Data!B883="",Data!#REF!=""),"",IF(ISNUMBER(MATCH(Data!#REF!,Data_Val!$F$1:$F$38,0)),0,1))</f>
        <v>#REF!</v>
      </c>
      <c r="N883" s="9" t="e">
        <f>IF(OR(Data!B883="",Data!#REF!=""),"",IF(Data!#REF!="",1,0))</f>
        <v>#REF!</v>
      </c>
      <c r="O883" s="17" t="e">
        <f>IF(Data!#REF!="","",IF(Data!#REF!="",1,0))</f>
        <v>#REF!</v>
      </c>
      <c r="P883" s="17" t="e">
        <f>IF(Data!#REF!="","",IF(ISNUMBER(MATCH(Data!#REF!,Data_Val!$A$2:$A$3,0)),0,1))</f>
        <v>#REF!</v>
      </c>
      <c r="Q883" s="25" t="e">
        <f ca="1">IF(Data!#REF!="","",IF(ISNUMBER(Data!#REF!),IF(AND(Data!#REF!&gt;(TODAY()-(Data_Val!$J$3*365.25)),Data!#REF!&lt;=(TODAY()-(Data_Val!$J$2*365.25))),0,1),1))</f>
        <v>#REF!</v>
      </c>
      <c r="R883" s="17" t="e">
        <f>IF(Data!#REF!="","",IF(ISNUMBER(MATCH(Data!#REF!,Data_Val!$B$2:$B$15,0)),0,1))</f>
        <v>#REF!</v>
      </c>
      <c r="S883" s="11" t="str">
        <f>IF(Data!G883="","",IF(Data!G883=Data_Val!$C$2,IF(Data!M883="",0,1),0))</f>
        <v/>
      </c>
      <c r="T883" s="11" t="str">
        <f>IF(Data!M883="","",IF(ISNUMBER(MATCH(Data!N883,Data_Val!$A$2:$A$3,0)),0,1))</f>
        <v/>
      </c>
      <c r="U883" s="11" t="str">
        <f ca="1">IF(Data!M883="","",IF(ISNUMBER(Data!O883),IF(AND(Data!O883&gt;(TODAY()-(Data_Val!$K$3*365.25)),Data!O883&lt;=(TODAY()-(Data_Val!$K$2*365.25))),0,1),1))</f>
        <v/>
      </c>
      <c r="V883" s="12" t="str">
        <f>IF(Data!G883="","",IF(Data!G883=Data_Val!$C$2,IF(Data!P883="",0,1),0))</f>
        <v/>
      </c>
      <c r="W883" s="12" t="str">
        <f>IF(Data!P883="","",IF(ISNUMBER(MATCH(Data!Q883,Data_Val!$A$2:$A$3,0)),0,1))</f>
        <v/>
      </c>
      <c r="X883" s="26" t="str">
        <f ca="1">IF(Data!P883="","",IF(ISNUMBER(Data!R883),IF(AND(Data!R883&gt;(TODAY()-(Data_Val!$L$3*365.25)),Data!R883&lt;=(TODAY()-(Data_Val!$L$2*365.25))),0,1),1))</f>
        <v/>
      </c>
      <c r="Y883" s="13" t="str">
        <f>IF(Data!$G883="","",IF(Data!$G883=Data_Val!$C$2,IF(Data!S883="",0,1),0))</f>
        <v/>
      </c>
      <c r="Z883" s="13" t="str">
        <f>IF(Data!S883="","",IF(ISNUMBER(MATCH(Data!T883,Data_Val!$A$2:$A$3,0)),0,1))</f>
        <v/>
      </c>
      <c r="AA883" s="28" t="str">
        <f ca="1">IF(Data!S883="","",IF(ISNUMBER(Data!U883),IF(AND(Data!U883&gt;(TODAY()-(Data_Val!$L$3*365.25)),Data!U883&lt;=(TODAY()-(Data_Val!$L$2*365.25))),0,1),1))</f>
        <v/>
      </c>
      <c r="AB883" s="11"/>
      <c r="AC883" s="11" t="e">
        <f>IF(Data!#REF!="","",IF(ISNUMBER(MATCH(Data!#REF!,Data_Val!$A$2:$A$3,0)),0,1))</f>
        <v>#REF!</v>
      </c>
      <c r="AD883" s="11" t="e">
        <f ca="1">IF(Data!#REF!="","",IF(ISNUMBER(Data!#REF!),IF(AND(Data!#REF!&gt;(TODAY()-(Data_Val!$L$3*365.25)),Data!#REF!&lt;=(TODAY()-(Data_Val!$L$2*365.25))),0,1),1))</f>
        <v>#REF!</v>
      </c>
      <c r="AE883" s="11" t="e">
        <f>IF(Data!#REF!="","",IF(Data!$G883="",1,IF(ISNUMBER(MATCH(Data!#REF!,Data_Val!$D$2:$D$10,0)),0,1)))</f>
        <v>#REF!</v>
      </c>
      <c r="AF883" s="12"/>
      <c r="AG883" s="12" t="e">
        <f>IF(Data!#REF!="","",IF(ISNUMBER(MATCH(Data!#REF!,Data_Val!$A$2:$A$3,0)),0,1))</f>
        <v>#REF!</v>
      </c>
      <c r="AH883" s="26" t="e">
        <f ca="1">IF(Data!#REF!="","",IF(ISNUMBER(Data!#REF!),IF(AND(Data!#REF!&gt;(TODAY()-(Data_Val!$L$3*365.25)),Data!#REF!&lt;=(TODAY()-(Data_Val!$L$2*365.25))),0,1),1))</f>
        <v>#REF!</v>
      </c>
      <c r="AI883" s="12" t="e">
        <f>IF(Data!#REF!="","",IF(Data!$G883="",1,IF(ISNUMBER(MATCH(Data!#REF!,Data_Val!$D$2:$D$10,0)),0,1)))</f>
        <v>#REF!</v>
      </c>
      <c r="AJ883" s="17"/>
      <c r="AK883" s="17" t="e">
        <f>IF(Data!#REF!="","",IF(ISNUMBER(MATCH(Data!#REF!,Data_Val!$A$2:$A$3,0)),0,1))</f>
        <v>#REF!</v>
      </c>
      <c r="AL883" s="25" t="e">
        <f ca="1">IF(Data!#REF!="","",IF(ISNUMBER(Data!#REF!),IF(AND(Data!#REF!&gt;(TODAY()-(Data_Val!$L$3*365.25)),Data!#REF!&lt;=(TODAY()-(Data_Val!$L$2*365.25))),0,1),1))</f>
        <v>#REF!</v>
      </c>
      <c r="AM883" s="17" t="e">
        <f>IF(Data!#REF!="","",IF(Data!$G883="",1,IF(ISNUMBER(MATCH(Data!#REF!,Data_Val!$D$2:$D$10,0)),0,1)))</f>
        <v>#REF!</v>
      </c>
      <c r="AN883" s="13"/>
      <c r="AO883" s="28" t="e">
        <f ca="1">IF(Data!#REF!="","",IF(ISNUMBER(Data!#REF!),IF(AND(Data!#REF!&gt;(TODAY()-(Data_Val!$I$3*365.25)),Data!#REF!&lt;=(TODAY()-(Data_Val!$I$2*365.25))),0,1),1))</f>
        <v>#REF!</v>
      </c>
      <c r="AP883" s="13" t="e">
        <f>IF(Data!#REF!="","",IF(Data!$G883="",1,IF(ISNUMBER(MATCH(Data!#REF!,Data_Val!$D$2:$D$10,0)),0,1)))</f>
        <v>#REF!</v>
      </c>
      <c r="AQ883" s="17"/>
      <c r="AR883" s="30" t="e">
        <f ca="1">IF(Data!#REF!="","",IF(ISNUMBER(Data!#REF!),IF(AND(Data!#REF!&gt;(TODAY()-(Data_Val!$I$3*365.25)),Data!#REF!&lt;=(TODAY()-(Data_Val!$I$2*365.25))),0,1),1))</f>
        <v>#REF!</v>
      </c>
      <c r="AS883" s="31" t="e">
        <f>IF(Data!#REF!="","",IF(Data!$G883="",1,IF(ISNUMBER(MATCH(Data!#REF!,Data_Val!$D$2:$D$10,0)),0,1)))</f>
        <v>#REF!</v>
      </c>
      <c r="AT883" s="11"/>
      <c r="AU883" s="11" t="e">
        <f ca="1">IF(Data!#REF!="","",IF(ISNUMBER(Data!#REF!),IF(AND(Data!#REF!&gt;(TODAY()-(Data_Val!$I$3*365.25)),Data!#REF!&lt;=(TODAY()-(Data_Val!$I$2*365.25))),0,1),1))</f>
        <v>#REF!</v>
      </c>
      <c r="AV883" s="11" t="e">
        <f>IF(Data!#REF!="","",IF(Data!$G883="",1,IF(ISNUMBER(MATCH(Data!#REF!,Data_Val!$D$2:$D$10,0)),0,1)))</f>
        <v>#REF!</v>
      </c>
      <c r="AW883" s="12"/>
      <c r="AX883" s="26" t="e">
        <f ca="1">IF(Data!#REF!="","",IF(ISNUMBER(Data!#REF!),IF(AND(Data!#REF!&gt;(TODAY()-(Data_Val!$I$3*365.25)),Data!#REF!&lt;=(TODAY()-(Data_Val!$I$2*365.25))),0,1),1))</f>
        <v>#REF!</v>
      </c>
      <c r="AY883" s="12" t="e">
        <f>IF(Data!#REF!="","",IF(Data!$G883="",1,IF(ISNUMBER(MATCH(Data!#REF!,Data_Val!$D$2:$D$10,0)),0,1)))</f>
        <v>#REF!</v>
      </c>
      <c r="AZ883" s="11"/>
      <c r="BA883" s="19" t="e">
        <f ca="1">IF(Data!#REF!="","",IF(ISNUMBER(Data!#REF!),IF(AND(Data!#REF!&gt;(TODAY()-(Data_Val!$M$3*365.25)),Data!#REF!&lt;=(TODAY()-(Data_Val!$M$2*365.25))),0,1),1))</f>
        <v>#REF!</v>
      </c>
      <c r="BB883" s="11" t="e">
        <f>IF(Data!#REF!="","",IF(Data!$G883="",1,IF(ISNUMBER(MATCH(Data!#REF!,Data_Val!$D$2:$D$10,0)),0,1)))</f>
        <v>#REF!</v>
      </c>
      <c r="BC883" s="12"/>
      <c r="BD883" s="20" t="e">
        <f ca="1">IF(Data!#REF!="","",IF(ISNUMBER(Data!#REF!),IF(AND(Data!#REF!&gt;(TODAY()-(Data_Val!$M$3*365.25)),Data!#REF!&lt;=(TODAY()-(Data_Val!$M$2*365.25))),0,1),1))</f>
        <v>#REF!</v>
      </c>
      <c r="BE883" s="12" t="e">
        <f>IF(Data!#REF!="","",IF(Data!$G883="",1,IF(ISNUMBER(MATCH(Data!#REF!,Data_Val!$D$2:$D$10,0)),0,1)))</f>
        <v>#REF!</v>
      </c>
      <c r="BF883" s="17"/>
      <c r="BG883" s="18" t="e">
        <f ca="1">IF(Data!#REF!="","",IF(ISNUMBER(Data!#REF!),IF(AND(Data!#REF!&gt;(TODAY()-(Data_Val!$M$3*365.25)),Data!#REF!&lt;=(TODAY()-(Data_Val!$M$2*365.25))),0,1),1))</f>
        <v>#REF!</v>
      </c>
      <c r="BH883" s="29" t="e">
        <f>IF(Data!#REF!="","",IF(Data!$G883="",1,IF(ISNUMBER(MATCH(Data!#REF!,Data_Val!$D$2:$D$10,0)),0,1)))</f>
        <v>#REF!</v>
      </c>
      <c r="BI883" s="13"/>
      <c r="BJ883" s="21" t="e">
        <f ca="1">IF(Data!#REF!="","",IF(ISNUMBER(Data!#REF!),IF(AND(Data!#REF!&gt;(TODAY()-(Data_Val!$M$3*365.25)),Data!#REF!&lt;=(TODAY()-(Data_Val!$M$2*365.25))),0,1),1))</f>
        <v>#REF!</v>
      </c>
      <c r="BK883" s="13" t="e">
        <f>IF(Data!#REF!="","",IF(Data!$G883="",1,IF(ISNUMBER(MATCH(Data!#REF!,Data_Val!$D$2:$D$10,0)),0,1)))</f>
        <v>#REF!</v>
      </c>
    </row>
    <row r="884" spans="1:63" x14ac:dyDescent="0.25">
      <c r="A884" s="9" t="str">
        <f>IF(Data!B884="","",IF(COUNTIFS(Data!A$1:'Data'!A884,Data!A884)&lt;=1,0,1))</f>
        <v/>
      </c>
      <c r="B884" s="9"/>
      <c r="C884" s="23" t="str">
        <f>IF(Data!C884="","",(IF(ISNUMBER(MATCH("*@*.?*",Data!C884,0)),0,1)+IF(COUNTIFS(Data!C$1:'Data'!C884,Data!C884)&gt;1,1,0)))</f>
        <v/>
      </c>
      <c r="D884" s="9" t="str">
        <f>IF(Data!B884="","",IF(ISNUMBER(Data!D884),IF(AND(Data!D884&gt;999999999,Data!D884&lt;=9999999999),IF(COUNTIFS(Data!D$1:'Data'!D884,Data!D884)&lt;=1,0,1),1),1))</f>
        <v/>
      </c>
      <c r="E884" s="9" t="str">
        <f>IF(Data!B884="","",IF(ISNUMBER(MATCH(Data!E884,Data_Val!$A$2:$A$3,0)),0,1))</f>
        <v/>
      </c>
      <c r="F884" s="9" t="str">
        <f ca="1">IF(Data!B884="","",IF(ISNUMBER(Data!F884),IF(AND(Data!F884&gt;(TODAY()-(Data_Val!$H$3*365.25)),Data!F884&lt;=(TODAY()-(Data_Val!$H$2*365.25))),0,1),1))</f>
        <v/>
      </c>
      <c r="G884" s="15" t="str">
        <f>IF(Data!B884="","",IF(AND(Data!G884="",Data!H884&lt;&gt;""),1,IF(Data!#REF!&lt;&gt;"",0,IF(ISNUMBER(MATCH(Data!G884,Data_Val!$C$2:$C$5,0)),0,1))))</f>
        <v/>
      </c>
      <c r="H884" s="15" t="str">
        <f>IF(Data!B884="","",IF(AND(Data!G884&lt;&gt;"",Data!H884=""),1,IF(Data!#REF!&lt;&gt;"",0,IF(Data!G884="",1,IF(ISNUMBER(MATCH(Data!H884,Data_Val!$D$2:$D$35,0)),0,1)))))</f>
        <v/>
      </c>
      <c r="I884" s="15" t="str">
        <f>IF(Data!B884="","",IF(Data!G884&lt;&gt;"",0,IF(ISNUMBER(MATCH(Data!#REF!,Data_Val!$E$2:$E$12,0)),0,1)))</f>
        <v/>
      </c>
      <c r="J884" s="16" t="e">
        <f>IF(OR(Data!B884="",Data!#REF!=""),"",IF(Data!#REF!="",1,0))</f>
        <v>#REF!</v>
      </c>
      <c r="K884" s="16" t="e">
        <f>IF(OR(Data!B884="",Data!#REF!=""),"",IF(Data!#REF!="",1,0))</f>
        <v>#REF!</v>
      </c>
      <c r="L884" s="16" t="e">
        <f>IF(OR(Data!B884="",Data!#REF!=""),"",IF(ISNUMBER(Data!#REF!),IF(AND(Data!#REF!&gt;Data_Val!$G$2,Data!#REF!&lt;=Data_Val!$G$3),0,1),1))</f>
        <v>#REF!</v>
      </c>
      <c r="M884" s="9" t="e">
        <f>IF(OR(Data!B884="",Data!#REF!=""),"",IF(ISNUMBER(MATCH(Data!#REF!,Data_Val!$F$1:$F$38,0)),0,1))</f>
        <v>#REF!</v>
      </c>
      <c r="N884" s="9" t="e">
        <f>IF(OR(Data!B884="",Data!#REF!=""),"",IF(Data!#REF!="",1,0))</f>
        <v>#REF!</v>
      </c>
      <c r="O884" s="17" t="e">
        <f>IF(Data!#REF!="","",IF(Data!#REF!="",1,0))</f>
        <v>#REF!</v>
      </c>
      <c r="P884" s="17" t="e">
        <f>IF(Data!#REF!="","",IF(ISNUMBER(MATCH(Data!#REF!,Data_Val!$A$2:$A$3,0)),0,1))</f>
        <v>#REF!</v>
      </c>
      <c r="Q884" s="25" t="e">
        <f ca="1">IF(Data!#REF!="","",IF(ISNUMBER(Data!#REF!),IF(AND(Data!#REF!&gt;(TODAY()-(Data_Val!$J$3*365.25)),Data!#REF!&lt;=(TODAY()-(Data_Val!$J$2*365.25))),0,1),1))</f>
        <v>#REF!</v>
      </c>
      <c r="R884" s="17" t="e">
        <f>IF(Data!#REF!="","",IF(ISNUMBER(MATCH(Data!#REF!,Data_Val!$B$2:$B$15,0)),0,1))</f>
        <v>#REF!</v>
      </c>
      <c r="S884" s="11" t="str">
        <f>IF(Data!G884="","",IF(Data!G884=Data_Val!$C$2,IF(Data!M884="",0,1),0))</f>
        <v/>
      </c>
      <c r="T884" s="11" t="str">
        <f>IF(Data!M884="","",IF(ISNUMBER(MATCH(Data!N884,Data_Val!$A$2:$A$3,0)),0,1))</f>
        <v/>
      </c>
      <c r="U884" s="11" t="str">
        <f ca="1">IF(Data!M884="","",IF(ISNUMBER(Data!O884),IF(AND(Data!O884&gt;(TODAY()-(Data_Val!$K$3*365.25)),Data!O884&lt;=(TODAY()-(Data_Val!$K$2*365.25))),0,1),1))</f>
        <v/>
      </c>
      <c r="V884" s="12" t="str">
        <f>IF(Data!G884="","",IF(Data!G884=Data_Val!$C$2,IF(Data!P884="",0,1),0))</f>
        <v/>
      </c>
      <c r="W884" s="12" t="str">
        <f>IF(Data!P884="","",IF(ISNUMBER(MATCH(Data!Q884,Data_Val!$A$2:$A$3,0)),0,1))</f>
        <v/>
      </c>
      <c r="X884" s="26" t="str">
        <f ca="1">IF(Data!P884="","",IF(ISNUMBER(Data!R884),IF(AND(Data!R884&gt;(TODAY()-(Data_Val!$L$3*365.25)),Data!R884&lt;=(TODAY()-(Data_Val!$L$2*365.25))),0,1),1))</f>
        <v/>
      </c>
      <c r="Y884" s="13" t="str">
        <f>IF(Data!$G884="","",IF(Data!$G884=Data_Val!$C$2,IF(Data!S884="",0,1),0))</f>
        <v/>
      </c>
      <c r="Z884" s="13" t="str">
        <f>IF(Data!S884="","",IF(ISNUMBER(MATCH(Data!T884,Data_Val!$A$2:$A$3,0)),0,1))</f>
        <v/>
      </c>
      <c r="AA884" s="28" t="str">
        <f ca="1">IF(Data!S884="","",IF(ISNUMBER(Data!U884),IF(AND(Data!U884&gt;(TODAY()-(Data_Val!$L$3*365.25)),Data!U884&lt;=(TODAY()-(Data_Val!$L$2*365.25))),0,1),1))</f>
        <v/>
      </c>
      <c r="AB884" s="11"/>
      <c r="AC884" s="11" t="e">
        <f>IF(Data!#REF!="","",IF(ISNUMBER(MATCH(Data!#REF!,Data_Val!$A$2:$A$3,0)),0,1))</f>
        <v>#REF!</v>
      </c>
      <c r="AD884" s="11" t="e">
        <f ca="1">IF(Data!#REF!="","",IF(ISNUMBER(Data!#REF!),IF(AND(Data!#REF!&gt;(TODAY()-(Data_Val!$L$3*365.25)),Data!#REF!&lt;=(TODAY()-(Data_Val!$L$2*365.25))),0,1),1))</f>
        <v>#REF!</v>
      </c>
      <c r="AE884" s="11" t="e">
        <f>IF(Data!#REF!="","",IF(Data!$G884="",1,IF(ISNUMBER(MATCH(Data!#REF!,Data_Val!$D$2:$D$10,0)),0,1)))</f>
        <v>#REF!</v>
      </c>
      <c r="AF884" s="12"/>
      <c r="AG884" s="12" t="e">
        <f>IF(Data!#REF!="","",IF(ISNUMBER(MATCH(Data!#REF!,Data_Val!$A$2:$A$3,0)),0,1))</f>
        <v>#REF!</v>
      </c>
      <c r="AH884" s="26" t="e">
        <f ca="1">IF(Data!#REF!="","",IF(ISNUMBER(Data!#REF!),IF(AND(Data!#REF!&gt;(TODAY()-(Data_Val!$L$3*365.25)),Data!#REF!&lt;=(TODAY()-(Data_Val!$L$2*365.25))),0,1),1))</f>
        <v>#REF!</v>
      </c>
      <c r="AI884" s="12" t="e">
        <f>IF(Data!#REF!="","",IF(Data!$G884="",1,IF(ISNUMBER(MATCH(Data!#REF!,Data_Val!$D$2:$D$10,0)),0,1)))</f>
        <v>#REF!</v>
      </c>
      <c r="AJ884" s="17"/>
      <c r="AK884" s="17" t="e">
        <f>IF(Data!#REF!="","",IF(ISNUMBER(MATCH(Data!#REF!,Data_Val!$A$2:$A$3,0)),0,1))</f>
        <v>#REF!</v>
      </c>
      <c r="AL884" s="25" t="e">
        <f ca="1">IF(Data!#REF!="","",IF(ISNUMBER(Data!#REF!),IF(AND(Data!#REF!&gt;(TODAY()-(Data_Val!$L$3*365.25)),Data!#REF!&lt;=(TODAY()-(Data_Val!$L$2*365.25))),0,1),1))</f>
        <v>#REF!</v>
      </c>
      <c r="AM884" s="17" t="e">
        <f>IF(Data!#REF!="","",IF(Data!$G884="",1,IF(ISNUMBER(MATCH(Data!#REF!,Data_Val!$D$2:$D$10,0)),0,1)))</f>
        <v>#REF!</v>
      </c>
      <c r="AN884" s="13"/>
      <c r="AO884" s="28" t="e">
        <f ca="1">IF(Data!#REF!="","",IF(ISNUMBER(Data!#REF!),IF(AND(Data!#REF!&gt;(TODAY()-(Data_Val!$I$3*365.25)),Data!#REF!&lt;=(TODAY()-(Data_Val!$I$2*365.25))),0,1),1))</f>
        <v>#REF!</v>
      </c>
      <c r="AP884" s="13" t="e">
        <f>IF(Data!#REF!="","",IF(Data!$G884="",1,IF(ISNUMBER(MATCH(Data!#REF!,Data_Val!$D$2:$D$10,0)),0,1)))</f>
        <v>#REF!</v>
      </c>
      <c r="AQ884" s="17"/>
      <c r="AR884" s="30" t="e">
        <f ca="1">IF(Data!#REF!="","",IF(ISNUMBER(Data!#REF!),IF(AND(Data!#REF!&gt;(TODAY()-(Data_Val!$I$3*365.25)),Data!#REF!&lt;=(TODAY()-(Data_Val!$I$2*365.25))),0,1),1))</f>
        <v>#REF!</v>
      </c>
      <c r="AS884" s="31" t="e">
        <f>IF(Data!#REF!="","",IF(Data!$G884="",1,IF(ISNUMBER(MATCH(Data!#REF!,Data_Val!$D$2:$D$10,0)),0,1)))</f>
        <v>#REF!</v>
      </c>
      <c r="AT884" s="11"/>
      <c r="AU884" s="11" t="e">
        <f ca="1">IF(Data!#REF!="","",IF(ISNUMBER(Data!#REF!),IF(AND(Data!#REF!&gt;(TODAY()-(Data_Val!$I$3*365.25)),Data!#REF!&lt;=(TODAY()-(Data_Val!$I$2*365.25))),0,1),1))</f>
        <v>#REF!</v>
      </c>
      <c r="AV884" s="11" t="e">
        <f>IF(Data!#REF!="","",IF(Data!$G884="",1,IF(ISNUMBER(MATCH(Data!#REF!,Data_Val!$D$2:$D$10,0)),0,1)))</f>
        <v>#REF!</v>
      </c>
      <c r="AW884" s="12"/>
      <c r="AX884" s="26" t="e">
        <f ca="1">IF(Data!#REF!="","",IF(ISNUMBER(Data!#REF!),IF(AND(Data!#REF!&gt;(TODAY()-(Data_Val!$I$3*365.25)),Data!#REF!&lt;=(TODAY()-(Data_Val!$I$2*365.25))),0,1),1))</f>
        <v>#REF!</v>
      </c>
      <c r="AY884" s="12" t="e">
        <f>IF(Data!#REF!="","",IF(Data!$G884="",1,IF(ISNUMBER(MATCH(Data!#REF!,Data_Val!$D$2:$D$10,0)),0,1)))</f>
        <v>#REF!</v>
      </c>
      <c r="AZ884" s="11"/>
      <c r="BA884" s="19" t="e">
        <f ca="1">IF(Data!#REF!="","",IF(ISNUMBER(Data!#REF!),IF(AND(Data!#REF!&gt;(TODAY()-(Data_Val!$M$3*365.25)),Data!#REF!&lt;=(TODAY()-(Data_Val!$M$2*365.25))),0,1),1))</f>
        <v>#REF!</v>
      </c>
      <c r="BB884" s="11" t="e">
        <f>IF(Data!#REF!="","",IF(Data!$G884="",1,IF(ISNUMBER(MATCH(Data!#REF!,Data_Val!$D$2:$D$10,0)),0,1)))</f>
        <v>#REF!</v>
      </c>
      <c r="BC884" s="12"/>
      <c r="BD884" s="20" t="e">
        <f ca="1">IF(Data!#REF!="","",IF(ISNUMBER(Data!#REF!),IF(AND(Data!#REF!&gt;(TODAY()-(Data_Val!$M$3*365.25)),Data!#REF!&lt;=(TODAY()-(Data_Val!$M$2*365.25))),0,1),1))</f>
        <v>#REF!</v>
      </c>
      <c r="BE884" s="12" t="e">
        <f>IF(Data!#REF!="","",IF(Data!$G884="",1,IF(ISNUMBER(MATCH(Data!#REF!,Data_Val!$D$2:$D$10,0)),0,1)))</f>
        <v>#REF!</v>
      </c>
      <c r="BF884" s="17"/>
      <c r="BG884" s="18" t="e">
        <f ca="1">IF(Data!#REF!="","",IF(ISNUMBER(Data!#REF!),IF(AND(Data!#REF!&gt;(TODAY()-(Data_Val!$M$3*365.25)),Data!#REF!&lt;=(TODAY()-(Data_Val!$M$2*365.25))),0,1),1))</f>
        <v>#REF!</v>
      </c>
      <c r="BH884" s="29" t="e">
        <f>IF(Data!#REF!="","",IF(Data!$G884="",1,IF(ISNUMBER(MATCH(Data!#REF!,Data_Val!$D$2:$D$10,0)),0,1)))</f>
        <v>#REF!</v>
      </c>
      <c r="BI884" s="13"/>
      <c r="BJ884" s="21" t="e">
        <f ca="1">IF(Data!#REF!="","",IF(ISNUMBER(Data!#REF!),IF(AND(Data!#REF!&gt;(TODAY()-(Data_Val!$M$3*365.25)),Data!#REF!&lt;=(TODAY()-(Data_Val!$M$2*365.25))),0,1),1))</f>
        <v>#REF!</v>
      </c>
      <c r="BK884" s="13" t="e">
        <f>IF(Data!#REF!="","",IF(Data!$G884="",1,IF(ISNUMBER(MATCH(Data!#REF!,Data_Val!$D$2:$D$10,0)),0,1)))</f>
        <v>#REF!</v>
      </c>
    </row>
    <row r="885" spans="1:63" x14ac:dyDescent="0.25">
      <c r="A885" s="9" t="str">
        <f>IF(Data!B885="","",IF(COUNTIFS(Data!A$1:'Data'!A885,Data!A885)&lt;=1,0,1))</f>
        <v/>
      </c>
      <c r="B885" s="9"/>
      <c r="C885" s="23" t="str">
        <f>IF(Data!C885="","",(IF(ISNUMBER(MATCH("*@*.?*",Data!C885,0)),0,1)+IF(COUNTIFS(Data!C$1:'Data'!C885,Data!C885)&gt;1,1,0)))</f>
        <v/>
      </c>
      <c r="D885" s="9" t="str">
        <f>IF(Data!B885="","",IF(ISNUMBER(Data!D885),IF(AND(Data!D885&gt;999999999,Data!D885&lt;=9999999999),IF(COUNTIFS(Data!D$1:'Data'!D885,Data!D885)&lt;=1,0,1),1),1))</f>
        <v/>
      </c>
      <c r="E885" s="9" t="str">
        <f>IF(Data!B885="","",IF(ISNUMBER(MATCH(Data!E885,Data_Val!$A$2:$A$3,0)),0,1))</f>
        <v/>
      </c>
      <c r="F885" s="9" t="str">
        <f ca="1">IF(Data!B885="","",IF(ISNUMBER(Data!F885),IF(AND(Data!F885&gt;(TODAY()-(Data_Val!$H$3*365.25)),Data!F885&lt;=(TODAY()-(Data_Val!$H$2*365.25))),0,1),1))</f>
        <v/>
      </c>
      <c r="G885" s="15" t="str">
        <f>IF(Data!B885="","",IF(AND(Data!G885="",Data!H885&lt;&gt;""),1,IF(Data!#REF!&lt;&gt;"",0,IF(ISNUMBER(MATCH(Data!G885,Data_Val!$C$2:$C$5,0)),0,1))))</f>
        <v/>
      </c>
      <c r="H885" s="15" t="str">
        <f>IF(Data!B885="","",IF(AND(Data!G885&lt;&gt;"",Data!H885=""),1,IF(Data!#REF!&lt;&gt;"",0,IF(Data!G885="",1,IF(ISNUMBER(MATCH(Data!H885,Data_Val!$D$2:$D$35,0)),0,1)))))</f>
        <v/>
      </c>
      <c r="I885" s="15" t="str">
        <f>IF(Data!B885="","",IF(Data!G885&lt;&gt;"",0,IF(ISNUMBER(MATCH(Data!#REF!,Data_Val!$E$2:$E$12,0)),0,1)))</f>
        <v/>
      </c>
      <c r="J885" s="16" t="e">
        <f>IF(OR(Data!B885="",Data!#REF!=""),"",IF(Data!#REF!="",1,0))</f>
        <v>#REF!</v>
      </c>
      <c r="K885" s="16" t="e">
        <f>IF(OR(Data!B885="",Data!#REF!=""),"",IF(Data!#REF!="",1,0))</f>
        <v>#REF!</v>
      </c>
      <c r="L885" s="16" t="e">
        <f>IF(OR(Data!B885="",Data!#REF!=""),"",IF(ISNUMBER(Data!#REF!),IF(AND(Data!#REF!&gt;Data_Val!$G$2,Data!#REF!&lt;=Data_Val!$G$3),0,1),1))</f>
        <v>#REF!</v>
      </c>
      <c r="M885" s="9" t="e">
        <f>IF(OR(Data!B885="",Data!#REF!=""),"",IF(ISNUMBER(MATCH(Data!#REF!,Data_Val!$F$1:$F$38,0)),0,1))</f>
        <v>#REF!</v>
      </c>
      <c r="N885" s="9" t="e">
        <f>IF(OR(Data!B885="",Data!#REF!=""),"",IF(Data!#REF!="",1,0))</f>
        <v>#REF!</v>
      </c>
      <c r="O885" s="17" t="e">
        <f>IF(Data!#REF!="","",IF(Data!#REF!="",1,0))</f>
        <v>#REF!</v>
      </c>
      <c r="P885" s="17" t="e">
        <f>IF(Data!#REF!="","",IF(ISNUMBER(MATCH(Data!#REF!,Data_Val!$A$2:$A$3,0)),0,1))</f>
        <v>#REF!</v>
      </c>
      <c r="Q885" s="25" t="e">
        <f ca="1">IF(Data!#REF!="","",IF(ISNUMBER(Data!#REF!),IF(AND(Data!#REF!&gt;(TODAY()-(Data_Val!$J$3*365.25)),Data!#REF!&lt;=(TODAY()-(Data_Val!$J$2*365.25))),0,1),1))</f>
        <v>#REF!</v>
      </c>
      <c r="R885" s="17" t="e">
        <f>IF(Data!#REF!="","",IF(ISNUMBER(MATCH(Data!#REF!,Data_Val!$B$2:$B$15,0)),0,1))</f>
        <v>#REF!</v>
      </c>
      <c r="S885" s="11" t="str">
        <f>IF(Data!G885="","",IF(Data!G885=Data_Val!$C$2,IF(Data!M885="",0,1),0))</f>
        <v/>
      </c>
      <c r="T885" s="11" t="str">
        <f>IF(Data!M885="","",IF(ISNUMBER(MATCH(Data!N885,Data_Val!$A$2:$A$3,0)),0,1))</f>
        <v/>
      </c>
      <c r="U885" s="11" t="str">
        <f ca="1">IF(Data!M885="","",IF(ISNUMBER(Data!O885),IF(AND(Data!O885&gt;(TODAY()-(Data_Val!$K$3*365.25)),Data!O885&lt;=(TODAY()-(Data_Val!$K$2*365.25))),0,1),1))</f>
        <v/>
      </c>
      <c r="V885" s="12" t="str">
        <f>IF(Data!G885="","",IF(Data!G885=Data_Val!$C$2,IF(Data!P885="",0,1),0))</f>
        <v/>
      </c>
      <c r="W885" s="12" t="str">
        <f>IF(Data!P885="","",IF(ISNUMBER(MATCH(Data!Q885,Data_Val!$A$2:$A$3,0)),0,1))</f>
        <v/>
      </c>
      <c r="X885" s="26" t="str">
        <f ca="1">IF(Data!P885="","",IF(ISNUMBER(Data!R885),IF(AND(Data!R885&gt;(TODAY()-(Data_Val!$L$3*365.25)),Data!R885&lt;=(TODAY()-(Data_Val!$L$2*365.25))),0,1),1))</f>
        <v/>
      </c>
      <c r="Y885" s="13" t="str">
        <f>IF(Data!$G885="","",IF(Data!$G885=Data_Val!$C$2,IF(Data!S885="",0,1),0))</f>
        <v/>
      </c>
      <c r="Z885" s="13" t="str">
        <f>IF(Data!S885="","",IF(ISNUMBER(MATCH(Data!T885,Data_Val!$A$2:$A$3,0)),0,1))</f>
        <v/>
      </c>
      <c r="AA885" s="28" t="str">
        <f ca="1">IF(Data!S885="","",IF(ISNUMBER(Data!U885),IF(AND(Data!U885&gt;(TODAY()-(Data_Val!$L$3*365.25)),Data!U885&lt;=(TODAY()-(Data_Val!$L$2*365.25))),0,1),1))</f>
        <v/>
      </c>
      <c r="AB885" s="11"/>
      <c r="AC885" s="11" t="e">
        <f>IF(Data!#REF!="","",IF(ISNUMBER(MATCH(Data!#REF!,Data_Val!$A$2:$A$3,0)),0,1))</f>
        <v>#REF!</v>
      </c>
      <c r="AD885" s="11" t="e">
        <f ca="1">IF(Data!#REF!="","",IF(ISNUMBER(Data!#REF!),IF(AND(Data!#REF!&gt;(TODAY()-(Data_Val!$L$3*365.25)),Data!#REF!&lt;=(TODAY()-(Data_Val!$L$2*365.25))),0,1),1))</f>
        <v>#REF!</v>
      </c>
      <c r="AE885" s="11" t="e">
        <f>IF(Data!#REF!="","",IF(Data!$G885="",1,IF(ISNUMBER(MATCH(Data!#REF!,Data_Val!$D$2:$D$10,0)),0,1)))</f>
        <v>#REF!</v>
      </c>
      <c r="AF885" s="12"/>
      <c r="AG885" s="12" t="e">
        <f>IF(Data!#REF!="","",IF(ISNUMBER(MATCH(Data!#REF!,Data_Val!$A$2:$A$3,0)),0,1))</f>
        <v>#REF!</v>
      </c>
      <c r="AH885" s="26" t="e">
        <f ca="1">IF(Data!#REF!="","",IF(ISNUMBER(Data!#REF!),IF(AND(Data!#REF!&gt;(TODAY()-(Data_Val!$L$3*365.25)),Data!#REF!&lt;=(TODAY()-(Data_Val!$L$2*365.25))),0,1),1))</f>
        <v>#REF!</v>
      </c>
      <c r="AI885" s="12" t="e">
        <f>IF(Data!#REF!="","",IF(Data!$G885="",1,IF(ISNUMBER(MATCH(Data!#REF!,Data_Val!$D$2:$D$10,0)),0,1)))</f>
        <v>#REF!</v>
      </c>
      <c r="AJ885" s="17"/>
      <c r="AK885" s="17" t="e">
        <f>IF(Data!#REF!="","",IF(ISNUMBER(MATCH(Data!#REF!,Data_Val!$A$2:$A$3,0)),0,1))</f>
        <v>#REF!</v>
      </c>
      <c r="AL885" s="25" t="e">
        <f ca="1">IF(Data!#REF!="","",IF(ISNUMBER(Data!#REF!),IF(AND(Data!#REF!&gt;(TODAY()-(Data_Val!$L$3*365.25)),Data!#REF!&lt;=(TODAY()-(Data_Val!$L$2*365.25))),0,1),1))</f>
        <v>#REF!</v>
      </c>
      <c r="AM885" s="17" t="e">
        <f>IF(Data!#REF!="","",IF(Data!$G885="",1,IF(ISNUMBER(MATCH(Data!#REF!,Data_Val!$D$2:$D$10,0)),0,1)))</f>
        <v>#REF!</v>
      </c>
      <c r="AN885" s="13"/>
      <c r="AO885" s="28" t="e">
        <f ca="1">IF(Data!#REF!="","",IF(ISNUMBER(Data!#REF!),IF(AND(Data!#REF!&gt;(TODAY()-(Data_Val!$I$3*365.25)),Data!#REF!&lt;=(TODAY()-(Data_Val!$I$2*365.25))),0,1),1))</f>
        <v>#REF!</v>
      </c>
      <c r="AP885" s="13" t="e">
        <f>IF(Data!#REF!="","",IF(Data!$G885="",1,IF(ISNUMBER(MATCH(Data!#REF!,Data_Val!$D$2:$D$10,0)),0,1)))</f>
        <v>#REF!</v>
      </c>
      <c r="AQ885" s="17"/>
      <c r="AR885" s="30" t="e">
        <f ca="1">IF(Data!#REF!="","",IF(ISNUMBER(Data!#REF!),IF(AND(Data!#REF!&gt;(TODAY()-(Data_Val!$I$3*365.25)),Data!#REF!&lt;=(TODAY()-(Data_Val!$I$2*365.25))),0,1),1))</f>
        <v>#REF!</v>
      </c>
      <c r="AS885" s="31" t="e">
        <f>IF(Data!#REF!="","",IF(Data!$G885="",1,IF(ISNUMBER(MATCH(Data!#REF!,Data_Val!$D$2:$D$10,0)),0,1)))</f>
        <v>#REF!</v>
      </c>
      <c r="AT885" s="11"/>
      <c r="AU885" s="11" t="e">
        <f ca="1">IF(Data!#REF!="","",IF(ISNUMBER(Data!#REF!),IF(AND(Data!#REF!&gt;(TODAY()-(Data_Val!$I$3*365.25)),Data!#REF!&lt;=(TODAY()-(Data_Val!$I$2*365.25))),0,1),1))</f>
        <v>#REF!</v>
      </c>
      <c r="AV885" s="11" t="e">
        <f>IF(Data!#REF!="","",IF(Data!$G885="",1,IF(ISNUMBER(MATCH(Data!#REF!,Data_Val!$D$2:$D$10,0)),0,1)))</f>
        <v>#REF!</v>
      </c>
      <c r="AW885" s="12"/>
      <c r="AX885" s="26" t="e">
        <f ca="1">IF(Data!#REF!="","",IF(ISNUMBER(Data!#REF!),IF(AND(Data!#REF!&gt;(TODAY()-(Data_Val!$I$3*365.25)),Data!#REF!&lt;=(TODAY()-(Data_Val!$I$2*365.25))),0,1),1))</f>
        <v>#REF!</v>
      </c>
      <c r="AY885" s="12" t="e">
        <f>IF(Data!#REF!="","",IF(Data!$G885="",1,IF(ISNUMBER(MATCH(Data!#REF!,Data_Val!$D$2:$D$10,0)),0,1)))</f>
        <v>#REF!</v>
      </c>
      <c r="AZ885" s="11"/>
      <c r="BA885" s="19" t="e">
        <f ca="1">IF(Data!#REF!="","",IF(ISNUMBER(Data!#REF!),IF(AND(Data!#REF!&gt;(TODAY()-(Data_Val!$M$3*365.25)),Data!#REF!&lt;=(TODAY()-(Data_Val!$M$2*365.25))),0,1),1))</f>
        <v>#REF!</v>
      </c>
      <c r="BB885" s="11" t="e">
        <f>IF(Data!#REF!="","",IF(Data!$G885="",1,IF(ISNUMBER(MATCH(Data!#REF!,Data_Val!$D$2:$D$10,0)),0,1)))</f>
        <v>#REF!</v>
      </c>
      <c r="BC885" s="12"/>
      <c r="BD885" s="20" t="e">
        <f ca="1">IF(Data!#REF!="","",IF(ISNUMBER(Data!#REF!),IF(AND(Data!#REF!&gt;(TODAY()-(Data_Val!$M$3*365.25)),Data!#REF!&lt;=(TODAY()-(Data_Val!$M$2*365.25))),0,1),1))</f>
        <v>#REF!</v>
      </c>
      <c r="BE885" s="12" t="e">
        <f>IF(Data!#REF!="","",IF(Data!$G885="",1,IF(ISNUMBER(MATCH(Data!#REF!,Data_Val!$D$2:$D$10,0)),0,1)))</f>
        <v>#REF!</v>
      </c>
      <c r="BF885" s="17"/>
      <c r="BG885" s="18" t="e">
        <f ca="1">IF(Data!#REF!="","",IF(ISNUMBER(Data!#REF!),IF(AND(Data!#REF!&gt;(TODAY()-(Data_Val!$M$3*365.25)),Data!#REF!&lt;=(TODAY()-(Data_Val!$M$2*365.25))),0,1),1))</f>
        <v>#REF!</v>
      </c>
      <c r="BH885" s="29" t="e">
        <f>IF(Data!#REF!="","",IF(Data!$G885="",1,IF(ISNUMBER(MATCH(Data!#REF!,Data_Val!$D$2:$D$10,0)),0,1)))</f>
        <v>#REF!</v>
      </c>
      <c r="BI885" s="13"/>
      <c r="BJ885" s="21" t="e">
        <f ca="1">IF(Data!#REF!="","",IF(ISNUMBER(Data!#REF!),IF(AND(Data!#REF!&gt;(TODAY()-(Data_Val!$M$3*365.25)),Data!#REF!&lt;=(TODAY()-(Data_Val!$M$2*365.25))),0,1),1))</f>
        <v>#REF!</v>
      </c>
      <c r="BK885" s="13" t="e">
        <f>IF(Data!#REF!="","",IF(Data!$G885="",1,IF(ISNUMBER(MATCH(Data!#REF!,Data_Val!$D$2:$D$10,0)),0,1)))</f>
        <v>#REF!</v>
      </c>
    </row>
    <row r="886" spans="1:63" x14ac:dyDescent="0.25">
      <c r="A886" s="9" t="str">
        <f>IF(Data!B886="","",IF(COUNTIFS(Data!A$1:'Data'!A886,Data!A886)&lt;=1,0,1))</f>
        <v/>
      </c>
      <c r="B886" s="9"/>
      <c r="C886" s="23" t="str">
        <f>IF(Data!C886="","",(IF(ISNUMBER(MATCH("*@*.?*",Data!C886,0)),0,1)+IF(COUNTIFS(Data!C$1:'Data'!C886,Data!C886)&gt;1,1,0)))</f>
        <v/>
      </c>
      <c r="D886" s="9" t="str">
        <f>IF(Data!B886="","",IF(ISNUMBER(Data!D886),IF(AND(Data!D886&gt;999999999,Data!D886&lt;=9999999999),IF(COUNTIFS(Data!D$1:'Data'!D886,Data!D886)&lt;=1,0,1),1),1))</f>
        <v/>
      </c>
      <c r="E886" s="9" t="str">
        <f>IF(Data!B886="","",IF(ISNUMBER(MATCH(Data!E886,Data_Val!$A$2:$A$3,0)),0,1))</f>
        <v/>
      </c>
      <c r="F886" s="9" t="str">
        <f ca="1">IF(Data!B886="","",IF(ISNUMBER(Data!F886),IF(AND(Data!F886&gt;(TODAY()-(Data_Val!$H$3*365.25)),Data!F886&lt;=(TODAY()-(Data_Val!$H$2*365.25))),0,1),1))</f>
        <v/>
      </c>
      <c r="G886" s="15" t="str">
        <f>IF(Data!B886="","",IF(AND(Data!G886="",Data!H886&lt;&gt;""),1,IF(Data!#REF!&lt;&gt;"",0,IF(ISNUMBER(MATCH(Data!G886,Data_Val!$C$2:$C$5,0)),0,1))))</f>
        <v/>
      </c>
      <c r="H886" s="15" t="str">
        <f>IF(Data!B886="","",IF(AND(Data!G886&lt;&gt;"",Data!H886=""),1,IF(Data!#REF!&lt;&gt;"",0,IF(Data!G886="",1,IF(ISNUMBER(MATCH(Data!H886,Data_Val!$D$2:$D$35,0)),0,1)))))</f>
        <v/>
      </c>
      <c r="I886" s="15" t="str">
        <f>IF(Data!B886="","",IF(Data!G886&lt;&gt;"",0,IF(ISNUMBER(MATCH(Data!#REF!,Data_Val!$E$2:$E$12,0)),0,1)))</f>
        <v/>
      </c>
      <c r="J886" s="16" t="e">
        <f>IF(OR(Data!B886="",Data!#REF!=""),"",IF(Data!#REF!="",1,0))</f>
        <v>#REF!</v>
      </c>
      <c r="K886" s="16" t="e">
        <f>IF(OR(Data!B886="",Data!#REF!=""),"",IF(Data!#REF!="",1,0))</f>
        <v>#REF!</v>
      </c>
      <c r="L886" s="16" t="e">
        <f>IF(OR(Data!B886="",Data!#REF!=""),"",IF(ISNUMBER(Data!#REF!),IF(AND(Data!#REF!&gt;Data_Val!$G$2,Data!#REF!&lt;=Data_Val!$G$3),0,1),1))</f>
        <v>#REF!</v>
      </c>
      <c r="M886" s="9" t="e">
        <f>IF(OR(Data!B886="",Data!#REF!=""),"",IF(ISNUMBER(MATCH(Data!#REF!,Data_Val!$F$1:$F$38,0)),0,1))</f>
        <v>#REF!</v>
      </c>
      <c r="N886" s="9" t="e">
        <f>IF(OR(Data!B886="",Data!#REF!=""),"",IF(Data!#REF!="",1,0))</f>
        <v>#REF!</v>
      </c>
      <c r="O886" s="17" t="e">
        <f>IF(Data!#REF!="","",IF(Data!#REF!="",1,0))</f>
        <v>#REF!</v>
      </c>
      <c r="P886" s="17" t="e">
        <f>IF(Data!#REF!="","",IF(ISNUMBER(MATCH(Data!#REF!,Data_Val!$A$2:$A$3,0)),0,1))</f>
        <v>#REF!</v>
      </c>
      <c r="Q886" s="25" t="e">
        <f ca="1">IF(Data!#REF!="","",IF(ISNUMBER(Data!#REF!),IF(AND(Data!#REF!&gt;(TODAY()-(Data_Val!$J$3*365.25)),Data!#REF!&lt;=(TODAY()-(Data_Val!$J$2*365.25))),0,1),1))</f>
        <v>#REF!</v>
      </c>
      <c r="R886" s="17" t="e">
        <f>IF(Data!#REF!="","",IF(ISNUMBER(MATCH(Data!#REF!,Data_Val!$B$2:$B$15,0)),0,1))</f>
        <v>#REF!</v>
      </c>
      <c r="S886" s="11" t="str">
        <f>IF(Data!G886="","",IF(Data!G886=Data_Val!$C$2,IF(Data!M886="",0,1),0))</f>
        <v/>
      </c>
      <c r="T886" s="11" t="str">
        <f>IF(Data!M886="","",IF(ISNUMBER(MATCH(Data!N886,Data_Val!$A$2:$A$3,0)),0,1))</f>
        <v/>
      </c>
      <c r="U886" s="11" t="str">
        <f ca="1">IF(Data!M886="","",IF(ISNUMBER(Data!O886),IF(AND(Data!O886&gt;(TODAY()-(Data_Val!$K$3*365.25)),Data!O886&lt;=(TODAY()-(Data_Val!$K$2*365.25))),0,1),1))</f>
        <v/>
      </c>
      <c r="V886" s="12" t="str">
        <f>IF(Data!G886="","",IF(Data!G886=Data_Val!$C$2,IF(Data!P886="",0,1),0))</f>
        <v/>
      </c>
      <c r="W886" s="12" t="str">
        <f>IF(Data!P886="","",IF(ISNUMBER(MATCH(Data!Q886,Data_Val!$A$2:$A$3,0)),0,1))</f>
        <v/>
      </c>
      <c r="X886" s="26" t="str">
        <f ca="1">IF(Data!P886="","",IF(ISNUMBER(Data!R886),IF(AND(Data!R886&gt;(TODAY()-(Data_Val!$L$3*365.25)),Data!R886&lt;=(TODAY()-(Data_Val!$L$2*365.25))),0,1),1))</f>
        <v/>
      </c>
      <c r="Y886" s="13" t="str">
        <f>IF(Data!$G886="","",IF(Data!$G886=Data_Val!$C$2,IF(Data!S886="",0,1),0))</f>
        <v/>
      </c>
      <c r="Z886" s="13" t="str">
        <f>IF(Data!S886="","",IF(ISNUMBER(MATCH(Data!T886,Data_Val!$A$2:$A$3,0)),0,1))</f>
        <v/>
      </c>
      <c r="AA886" s="28" t="str">
        <f ca="1">IF(Data!S886="","",IF(ISNUMBER(Data!U886),IF(AND(Data!U886&gt;(TODAY()-(Data_Val!$L$3*365.25)),Data!U886&lt;=(TODAY()-(Data_Val!$L$2*365.25))),0,1),1))</f>
        <v/>
      </c>
      <c r="AB886" s="11"/>
      <c r="AC886" s="11" t="e">
        <f>IF(Data!#REF!="","",IF(ISNUMBER(MATCH(Data!#REF!,Data_Val!$A$2:$A$3,0)),0,1))</f>
        <v>#REF!</v>
      </c>
      <c r="AD886" s="11" t="e">
        <f ca="1">IF(Data!#REF!="","",IF(ISNUMBER(Data!#REF!),IF(AND(Data!#REF!&gt;(TODAY()-(Data_Val!$L$3*365.25)),Data!#REF!&lt;=(TODAY()-(Data_Val!$L$2*365.25))),0,1),1))</f>
        <v>#REF!</v>
      </c>
      <c r="AE886" s="11" t="e">
        <f>IF(Data!#REF!="","",IF(Data!$G886="",1,IF(ISNUMBER(MATCH(Data!#REF!,Data_Val!$D$2:$D$10,0)),0,1)))</f>
        <v>#REF!</v>
      </c>
      <c r="AF886" s="12"/>
      <c r="AG886" s="12" t="e">
        <f>IF(Data!#REF!="","",IF(ISNUMBER(MATCH(Data!#REF!,Data_Val!$A$2:$A$3,0)),0,1))</f>
        <v>#REF!</v>
      </c>
      <c r="AH886" s="26" t="e">
        <f ca="1">IF(Data!#REF!="","",IF(ISNUMBER(Data!#REF!),IF(AND(Data!#REF!&gt;(TODAY()-(Data_Val!$L$3*365.25)),Data!#REF!&lt;=(TODAY()-(Data_Val!$L$2*365.25))),0,1),1))</f>
        <v>#REF!</v>
      </c>
      <c r="AI886" s="12" t="e">
        <f>IF(Data!#REF!="","",IF(Data!$G886="",1,IF(ISNUMBER(MATCH(Data!#REF!,Data_Val!$D$2:$D$10,0)),0,1)))</f>
        <v>#REF!</v>
      </c>
      <c r="AJ886" s="17"/>
      <c r="AK886" s="17" t="e">
        <f>IF(Data!#REF!="","",IF(ISNUMBER(MATCH(Data!#REF!,Data_Val!$A$2:$A$3,0)),0,1))</f>
        <v>#REF!</v>
      </c>
      <c r="AL886" s="25" t="e">
        <f ca="1">IF(Data!#REF!="","",IF(ISNUMBER(Data!#REF!),IF(AND(Data!#REF!&gt;(TODAY()-(Data_Val!$L$3*365.25)),Data!#REF!&lt;=(TODAY()-(Data_Val!$L$2*365.25))),0,1),1))</f>
        <v>#REF!</v>
      </c>
      <c r="AM886" s="17" t="e">
        <f>IF(Data!#REF!="","",IF(Data!$G886="",1,IF(ISNUMBER(MATCH(Data!#REF!,Data_Val!$D$2:$D$10,0)),0,1)))</f>
        <v>#REF!</v>
      </c>
      <c r="AN886" s="13"/>
      <c r="AO886" s="28" t="e">
        <f ca="1">IF(Data!#REF!="","",IF(ISNUMBER(Data!#REF!),IF(AND(Data!#REF!&gt;(TODAY()-(Data_Val!$I$3*365.25)),Data!#REF!&lt;=(TODAY()-(Data_Val!$I$2*365.25))),0,1),1))</f>
        <v>#REF!</v>
      </c>
      <c r="AP886" s="13" t="e">
        <f>IF(Data!#REF!="","",IF(Data!$G886="",1,IF(ISNUMBER(MATCH(Data!#REF!,Data_Val!$D$2:$D$10,0)),0,1)))</f>
        <v>#REF!</v>
      </c>
      <c r="AQ886" s="17"/>
      <c r="AR886" s="30" t="e">
        <f ca="1">IF(Data!#REF!="","",IF(ISNUMBER(Data!#REF!),IF(AND(Data!#REF!&gt;(TODAY()-(Data_Val!$I$3*365.25)),Data!#REF!&lt;=(TODAY()-(Data_Val!$I$2*365.25))),0,1),1))</f>
        <v>#REF!</v>
      </c>
      <c r="AS886" s="31" t="e">
        <f>IF(Data!#REF!="","",IF(Data!$G886="",1,IF(ISNUMBER(MATCH(Data!#REF!,Data_Val!$D$2:$D$10,0)),0,1)))</f>
        <v>#REF!</v>
      </c>
      <c r="AT886" s="11"/>
      <c r="AU886" s="11" t="e">
        <f ca="1">IF(Data!#REF!="","",IF(ISNUMBER(Data!#REF!),IF(AND(Data!#REF!&gt;(TODAY()-(Data_Val!$I$3*365.25)),Data!#REF!&lt;=(TODAY()-(Data_Val!$I$2*365.25))),0,1),1))</f>
        <v>#REF!</v>
      </c>
      <c r="AV886" s="11" t="e">
        <f>IF(Data!#REF!="","",IF(Data!$G886="",1,IF(ISNUMBER(MATCH(Data!#REF!,Data_Val!$D$2:$D$10,0)),0,1)))</f>
        <v>#REF!</v>
      </c>
      <c r="AW886" s="12"/>
      <c r="AX886" s="26" t="e">
        <f ca="1">IF(Data!#REF!="","",IF(ISNUMBER(Data!#REF!),IF(AND(Data!#REF!&gt;(TODAY()-(Data_Val!$I$3*365.25)),Data!#REF!&lt;=(TODAY()-(Data_Val!$I$2*365.25))),0,1),1))</f>
        <v>#REF!</v>
      </c>
      <c r="AY886" s="12" t="e">
        <f>IF(Data!#REF!="","",IF(Data!$G886="",1,IF(ISNUMBER(MATCH(Data!#REF!,Data_Val!$D$2:$D$10,0)),0,1)))</f>
        <v>#REF!</v>
      </c>
      <c r="AZ886" s="11"/>
      <c r="BA886" s="19" t="e">
        <f ca="1">IF(Data!#REF!="","",IF(ISNUMBER(Data!#REF!),IF(AND(Data!#REF!&gt;(TODAY()-(Data_Val!$M$3*365.25)),Data!#REF!&lt;=(TODAY()-(Data_Val!$M$2*365.25))),0,1),1))</f>
        <v>#REF!</v>
      </c>
      <c r="BB886" s="11" t="e">
        <f>IF(Data!#REF!="","",IF(Data!$G886="",1,IF(ISNUMBER(MATCH(Data!#REF!,Data_Val!$D$2:$D$10,0)),0,1)))</f>
        <v>#REF!</v>
      </c>
      <c r="BC886" s="12"/>
      <c r="BD886" s="20" t="e">
        <f ca="1">IF(Data!#REF!="","",IF(ISNUMBER(Data!#REF!),IF(AND(Data!#REF!&gt;(TODAY()-(Data_Val!$M$3*365.25)),Data!#REF!&lt;=(TODAY()-(Data_Val!$M$2*365.25))),0,1),1))</f>
        <v>#REF!</v>
      </c>
      <c r="BE886" s="12" t="e">
        <f>IF(Data!#REF!="","",IF(Data!$G886="",1,IF(ISNUMBER(MATCH(Data!#REF!,Data_Val!$D$2:$D$10,0)),0,1)))</f>
        <v>#REF!</v>
      </c>
      <c r="BF886" s="17"/>
      <c r="BG886" s="18" t="e">
        <f ca="1">IF(Data!#REF!="","",IF(ISNUMBER(Data!#REF!),IF(AND(Data!#REF!&gt;(TODAY()-(Data_Val!$M$3*365.25)),Data!#REF!&lt;=(TODAY()-(Data_Val!$M$2*365.25))),0,1),1))</f>
        <v>#REF!</v>
      </c>
      <c r="BH886" s="29" t="e">
        <f>IF(Data!#REF!="","",IF(Data!$G886="",1,IF(ISNUMBER(MATCH(Data!#REF!,Data_Val!$D$2:$D$10,0)),0,1)))</f>
        <v>#REF!</v>
      </c>
      <c r="BI886" s="13"/>
      <c r="BJ886" s="21" t="e">
        <f ca="1">IF(Data!#REF!="","",IF(ISNUMBER(Data!#REF!),IF(AND(Data!#REF!&gt;(TODAY()-(Data_Val!$M$3*365.25)),Data!#REF!&lt;=(TODAY()-(Data_Val!$M$2*365.25))),0,1),1))</f>
        <v>#REF!</v>
      </c>
      <c r="BK886" s="13" t="e">
        <f>IF(Data!#REF!="","",IF(Data!$G886="",1,IF(ISNUMBER(MATCH(Data!#REF!,Data_Val!$D$2:$D$10,0)),0,1)))</f>
        <v>#REF!</v>
      </c>
    </row>
    <row r="887" spans="1:63" x14ac:dyDescent="0.25">
      <c r="A887" s="9" t="str">
        <f>IF(Data!B887="","",IF(COUNTIFS(Data!A$1:'Data'!A887,Data!A887)&lt;=1,0,1))</f>
        <v/>
      </c>
      <c r="B887" s="9"/>
      <c r="C887" s="23" t="str">
        <f>IF(Data!C887="","",(IF(ISNUMBER(MATCH("*@*.?*",Data!C887,0)),0,1)+IF(COUNTIFS(Data!C$1:'Data'!C887,Data!C887)&gt;1,1,0)))</f>
        <v/>
      </c>
      <c r="D887" s="9" t="str">
        <f>IF(Data!B887="","",IF(ISNUMBER(Data!D887),IF(AND(Data!D887&gt;999999999,Data!D887&lt;=9999999999),IF(COUNTIFS(Data!D$1:'Data'!D887,Data!D887)&lt;=1,0,1),1),1))</f>
        <v/>
      </c>
      <c r="E887" s="9" t="str">
        <f>IF(Data!B887="","",IF(ISNUMBER(MATCH(Data!E887,Data_Val!$A$2:$A$3,0)),0,1))</f>
        <v/>
      </c>
      <c r="F887" s="9" t="str">
        <f ca="1">IF(Data!B887="","",IF(ISNUMBER(Data!F887),IF(AND(Data!F887&gt;(TODAY()-(Data_Val!$H$3*365.25)),Data!F887&lt;=(TODAY()-(Data_Val!$H$2*365.25))),0,1),1))</f>
        <v/>
      </c>
      <c r="G887" s="15" t="str">
        <f>IF(Data!B887="","",IF(AND(Data!G887="",Data!H887&lt;&gt;""),1,IF(Data!#REF!&lt;&gt;"",0,IF(ISNUMBER(MATCH(Data!G887,Data_Val!$C$2:$C$5,0)),0,1))))</f>
        <v/>
      </c>
      <c r="H887" s="15" t="str">
        <f>IF(Data!B887="","",IF(AND(Data!G887&lt;&gt;"",Data!H887=""),1,IF(Data!#REF!&lt;&gt;"",0,IF(Data!G887="",1,IF(ISNUMBER(MATCH(Data!H887,Data_Val!$D$2:$D$35,0)),0,1)))))</f>
        <v/>
      </c>
      <c r="I887" s="15" t="str">
        <f>IF(Data!B887="","",IF(Data!G887&lt;&gt;"",0,IF(ISNUMBER(MATCH(Data!#REF!,Data_Val!$E$2:$E$12,0)),0,1)))</f>
        <v/>
      </c>
      <c r="J887" s="16" t="e">
        <f>IF(OR(Data!B887="",Data!#REF!=""),"",IF(Data!#REF!="",1,0))</f>
        <v>#REF!</v>
      </c>
      <c r="K887" s="16" t="e">
        <f>IF(OR(Data!B887="",Data!#REF!=""),"",IF(Data!#REF!="",1,0))</f>
        <v>#REF!</v>
      </c>
      <c r="L887" s="16" t="e">
        <f>IF(OR(Data!B887="",Data!#REF!=""),"",IF(ISNUMBER(Data!#REF!),IF(AND(Data!#REF!&gt;Data_Val!$G$2,Data!#REF!&lt;=Data_Val!$G$3),0,1),1))</f>
        <v>#REF!</v>
      </c>
      <c r="M887" s="9" t="e">
        <f>IF(OR(Data!B887="",Data!#REF!=""),"",IF(ISNUMBER(MATCH(Data!#REF!,Data_Val!$F$1:$F$38,0)),0,1))</f>
        <v>#REF!</v>
      </c>
      <c r="N887" s="9" t="e">
        <f>IF(OR(Data!B887="",Data!#REF!=""),"",IF(Data!#REF!="",1,0))</f>
        <v>#REF!</v>
      </c>
      <c r="O887" s="17" t="e">
        <f>IF(Data!#REF!="","",IF(Data!#REF!="",1,0))</f>
        <v>#REF!</v>
      </c>
      <c r="P887" s="17" t="e">
        <f>IF(Data!#REF!="","",IF(ISNUMBER(MATCH(Data!#REF!,Data_Val!$A$2:$A$3,0)),0,1))</f>
        <v>#REF!</v>
      </c>
      <c r="Q887" s="25" t="e">
        <f ca="1">IF(Data!#REF!="","",IF(ISNUMBER(Data!#REF!),IF(AND(Data!#REF!&gt;(TODAY()-(Data_Val!$J$3*365.25)),Data!#REF!&lt;=(TODAY()-(Data_Val!$J$2*365.25))),0,1),1))</f>
        <v>#REF!</v>
      </c>
      <c r="R887" s="17" t="e">
        <f>IF(Data!#REF!="","",IF(ISNUMBER(MATCH(Data!#REF!,Data_Val!$B$2:$B$15,0)),0,1))</f>
        <v>#REF!</v>
      </c>
      <c r="S887" s="11" t="str">
        <f>IF(Data!G887="","",IF(Data!G887=Data_Val!$C$2,IF(Data!M887="",0,1),0))</f>
        <v/>
      </c>
      <c r="T887" s="11" t="str">
        <f>IF(Data!M887="","",IF(ISNUMBER(MATCH(Data!N887,Data_Val!$A$2:$A$3,0)),0,1))</f>
        <v/>
      </c>
      <c r="U887" s="11" t="str">
        <f ca="1">IF(Data!M887="","",IF(ISNUMBER(Data!O887),IF(AND(Data!O887&gt;(TODAY()-(Data_Val!$K$3*365.25)),Data!O887&lt;=(TODAY()-(Data_Val!$K$2*365.25))),0,1),1))</f>
        <v/>
      </c>
      <c r="V887" s="12" t="str">
        <f>IF(Data!G887="","",IF(Data!G887=Data_Val!$C$2,IF(Data!P887="",0,1),0))</f>
        <v/>
      </c>
      <c r="W887" s="12" t="str">
        <f>IF(Data!P887="","",IF(ISNUMBER(MATCH(Data!Q887,Data_Val!$A$2:$A$3,0)),0,1))</f>
        <v/>
      </c>
      <c r="X887" s="26" t="str">
        <f ca="1">IF(Data!P887="","",IF(ISNUMBER(Data!R887),IF(AND(Data!R887&gt;(TODAY()-(Data_Val!$L$3*365.25)),Data!R887&lt;=(TODAY()-(Data_Val!$L$2*365.25))),0,1),1))</f>
        <v/>
      </c>
      <c r="Y887" s="13" t="str">
        <f>IF(Data!$G887="","",IF(Data!$G887=Data_Val!$C$2,IF(Data!S887="",0,1),0))</f>
        <v/>
      </c>
      <c r="Z887" s="13" t="str">
        <f>IF(Data!S887="","",IF(ISNUMBER(MATCH(Data!T887,Data_Val!$A$2:$A$3,0)),0,1))</f>
        <v/>
      </c>
      <c r="AA887" s="28" t="str">
        <f ca="1">IF(Data!S887="","",IF(ISNUMBER(Data!U887),IF(AND(Data!U887&gt;(TODAY()-(Data_Val!$L$3*365.25)),Data!U887&lt;=(TODAY()-(Data_Val!$L$2*365.25))),0,1),1))</f>
        <v/>
      </c>
      <c r="AB887" s="11"/>
      <c r="AC887" s="11" t="e">
        <f>IF(Data!#REF!="","",IF(ISNUMBER(MATCH(Data!#REF!,Data_Val!$A$2:$A$3,0)),0,1))</f>
        <v>#REF!</v>
      </c>
      <c r="AD887" s="11" t="e">
        <f ca="1">IF(Data!#REF!="","",IF(ISNUMBER(Data!#REF!),IF(AND(Data!#REF!&gt;(TODAY()-(Data_Val!$L$3*365.25)),Data!#REF!&lt;=(TODAY()-(Data_Val!$L$2*365.25))),0,1),1))</f>
        <v>#REF!</v>
      </c>
      <c r="AE887" s="11" t="e">
        <f>IF(Data!#REF!="","",IF(Data!$G887="",1,IF(ISNUMBER(MATCH(Data!#REF!,Data_Val!$D$2:$D$10,0)),0,1)))</f>
        <v>#REF!</v>
      </c>
      <c r="AF887" s="12"/>
      <c r="AG887" s="12" t="e">
        <f>IF(Data!#REF!="","",IF(ISNUMBER(MATCH(Data!#REF!,Data_Val!$A$2:$A$3,0)),0,1))</f>
        <v>#REF!</v>
      </c>
      <c r="AH887" s="26" t="e">
        <f ca="1">IF(Data!#REF!="","",IF(ISNUMBER(Data!#REF!),IF(AND(Data!#REF!&gt;(TODAY()-(Data_Val!$L$3*365.25)),Data!#REF!&lt;=(TODAY()-(Data_Val!$L$2*365.25))),0,1),1))</f>
        <v>#REF!</v>
      </c>
      <c r="AI887" s="12" t="e">
        <f>IF(Data!#REF!="","",IF(Data!$G887="",1,IF(ISNUMBER(MATCH(Data!#REF!,Data_Val!$D$2:$D$10,0)),0,1)))</f>
        <v>#REF!</v>
      </c>
      <c r="AJ887" s="17"/>
      <c r="AK887" s="17" t="e">
        <f>IF(Data!#REF!="","",IF(ISNUMBER(MATCH(Data!#REF!,Data_Val!$A$2:$A$3,0)),0,1))</f>
        <v>#REF!</v>
      </c>
      <c r="AL887" s="25" t="e">
        <f ca="1">IF(Data!#REF!="","",IF(ISNUMBER(Data!#REF!),IF(AND(Data!#REF!&gt;(TODAY()-(Data_Val!$L$3*365.25)),Data!#REF!&lt;=(TODAY()-(Data_Val!$L$2*365.25))),0,1),1))</f>
        <v>#REF!</v>
      </c>
      <c r="AM887" s="17" t="e">
        <f>IF(Data!#REF!="","",IF(Data!$G887="",1,IF(ISNUMBER(MATCH(Data!#REF!,Data_Val!$D$2:$D$10,0)),0,1)))</f>
        <v>#REF!</v>
      </c>
      <c r="AN887" s="13"/>
      <c r="AO887" s="28" t="e">
        <f ca="1">IF(Data!#REF!="","",IF(ISNUMBER(Data!#REF!),IF(AND(Data!#REF!&gt;(TODAY()-(Data_Val!$I$3*365.25)),Data!#REF!&lt;=(TODAY()-(Data_Val!$I$2*365.25))),0,1),1))</f>
        <v>#REF!</v>
      </c>
      <c r="AP887" s="13" t="e">
        <f>IF(Data!#REF!="","",IF(Data!$G887="",1,IF(ISNUMBER(MATCH(Data!#REF!,Data_Val!$D$2:$D$10,0)),0,1)))</f>
        <v>#REF!</v>
      </c>
      <c r="AQ887" s="17"/>
      <c r="AR887" s="30" t="e">
        <f ca="1">IF(Data!#REF!="","",IF(ISNUMBER(Data!#REF!),IF(AND(Data!#REF!&gt;(TODAY()-(Data_Val!$I$3*365.25)),Data!#REF!&lt;=(TODAY()-(Data_Val!$I$2*365.25))),0,1),1))</f>
        <v>#REF!</v>
      </c>
      <c r="AS887" s="31" t="e">
        <f>IF(Data!#REF!="","",IF(Data!$G887="",1,IF(ISNUMBER(MATCH(Data!#REF!,Data_Val!$D$2:$D$10,0)),0,1)))</f>
        <v>#REF!</v>
      </c>
      <c r="AT887" s="11"/>
      <c r="AU887" s="11" t="e">
        <f ca="1">IF(Data!#REF!="","",IF(ISNUMBER(Data!#REF!),IF(AND(Data!#REF!&gt;(TODAY()-(Data_Val!$I$3*365.25)),Data!#REF!&lt;=(TODAY()-(Data_Val!$I$2*365.25))),0,1),1))</f>
        <v>#REF!</v>
      </c>
      <c r="AV887" s="11" t="e">
        <f>IF(Data!#REF!="","",IF(Data!$G887="",1,IF(ISNUMBER(MATCH(Data!#REF!,Data_Val!$D$2:$D$10,0)),0,1)))</f>
        <v>#REF!</v>
      </c>
      <c r="AW887" s="12"/>
      <c r="AX887" s="26" t="e">
        <f ca="1">IF(Data!#REF!="","",IF(ISNUMBER(Data!#REF!),IF(AND(Data!#REF!&gt;(TODAY()-(Data_Val!$I$3*365.25)),Data!#REF!&lt;=(TODAY()-(Data_Val!$I$2*365.25))),0,1),1))</f>
        <v>#REF!</v>
      </c>
      <c r="AY887" s="12" t="e">
        <f>IF(Data!#REF!="","",IF(Data!$G887="",1,IF(ISNUMBER(MATCH(Data!#REF!,Data_Val!$D$2:$D$10,0)),0,1)))</f>
        <v>#REF!</v>
      </c>
      <c r="AZ887" s="11"/>
      <c r="BA887" s="19" t="e">
        <f ca="1">IF(Data!#REF!="","",IF(ISNUMBER(Data!#REF!),IF(AND(Data!#REF!&gt;(TODAY()-(Data_Val!$M$3*365.25)),Data!#REF!&lt;=(TODAY()-(Data_Val!$M$2*365.25))),0,1),1))</f>
        <v>#REF!</v>
      </c>
      <c r="BB887" s="11" t="e">
        <f>IF(Data!#REF!="","",IF(Data!$G887="",1,IF(ISNUMBER(MATCH(Data!#REF!,Data_Val!$D$2:$D$10,0)),0,1)))</f>
        <v>#REF!</v>
      </c>
      <c r="BC887" s="12"/>
      <c r="BD887" s="20" t="e">
        <f ca="1">IF(Data!#REF!="","",IF(ISNUMBER(Data!#REF!),IF(AND(Data!#REF!&gt;(TODAY()-(Data_Val!$M$3*365.25)),Data!#REF!&lt;=(TODAY()-(Data_Val!$M$2*365.25))),0,1),1))</f>
        <v>#REF!</v>
      </c>
      <c r="BE887" s="12" t="e">
        <f>IF(Data!#REF!="","",IF(Data!$G887="",1,IF(ISNUMBER(MATCH(Data!#REF!,Data_Val!$D$2:$D$10,0)),0,1)))</f>
        <v>#REF!</v>
      </c>
      <c r="BF887" s="17"/>
      <c r="BG887" s="18" t="e">
        <f ca="1">IF(Data!#REF!="","",IF(ISNUMBER(Data!#REF!),IF(AND(Data!#REF!&gt;(TODAY()-(Data_Val!$M$3*365.25)),Data!#REF!&lt;=(TODAY()-(Data_Val!$M$2*365.25))),0,1),1))</f>
        <v>#REF!</v>
      </c>
      <c r="BH887" s="29" t="e">
        <f>IF(Data!#REF!="","",IF(Data!$G887="",1,IF(ISNUMBER(MATCH(Data!#REF!,Data_Val!$D$2:$D$10,0)),0,1)))</f>
        <v>#REF!</v>
      </c>
      <c r="BI887" s="13"/>
      <c r="BJ887" s="21" t="e">
        <f ca="1">IF(Data!#REF!="","",IF(ISNUMBER(Data!#REF!),IF(AND(Data!#REF!&gt;(TODAY()-(Data_Val!$M$3*365.25)),Data!#REF!&lt;=(TODAY()-(Data_Val!$M$2*365.25))),0,1),1))</f>
        <v>#REF!</v>
      </c>
      <c r="BK887" s="13" t="e">
        <f>IF(Data!#REF!="","",IF(Data!$G887="",1,IF(ISNUMBER(MATCH(Data!#REF!,Data_Val!$D$2:$D$10,0)),0,1)))</f>
        <v>#REF!</v>
      </c>
    </row>
    <row r="888" spans="1:63" x14ac:dyDescent="0.25">
      <c r="A888" s="9" t="str">
        <f>IF(Data!B888="","",IF(COUNTIFS(Data!A$1:'Data'!A888,Data!A888)&lt;=1,0,1))</f>
        <v/>
      </c>
      <c r="B888" s="9"/>
      <c r="C888" s="23" t="str">
        <f>IF(Data!C888="","",(IF(ISNUMBER(MATCH("*@*.?*",Data!C888,0)),0,1)+IF(COUNTIFS(Data!C$1:'Data'!C888,Data!C888)&gt;1,1,0)))</f>
        <v/>
      </c>
      <c r="D888" s="9" t="str">
        <f>IF(Data!B888="","",IF(ISNUMBER(Data!D888),IF(AND(Data!D888&gt;999999999,Data!D888&lt;=9999999999),IF(COUNTIFS(Data!D$1:'Data'!D888,Data!D888)&lt;=1,0,1),1),1))</f>
        <v/>
      </c>
      <c r="E888" s="9" t="str">
        <f>IF(Data!B888="","",IF(ISNUMBER(MATCH(Data!E888,Data_Val!$A$2:$A$3,0)),0,1))</f>
        <v/>
      </c>
      <c r="F888" s="9" t="str">
        <f ca="1">IF(Data!B888="","",IF(ISNUMBER(Data!F888),IF(AND(Data!F888&gt;(TODAY()-(Data_Val!$H$3*365.25)),Data!F888&lt;=(TODAY()-(Data_Val!$H$2*365.25))),0,1),1))</f>
        <v/>
      </c>
      <c r="G888" s="15" t="str">
        <f>IF(Data!B888="","",IF(AND(Data!G888="",Data!H888&lt;&gt;""),1,IF(Data!#REF!&lt;&gt;"",0,IF(ISNUMBER(MATCH(Data!G888,Data_Val!$C$2:$C$5,0)),0,1))))</f>
        <v/>
      </c>
      <c r="H888" s="15" t="str">
        <f>IF(Data!B888="","",IF(AND(Data!G888&lt;&gt;"",Data!H888=""),1,IF(Data!#REF!&lt;&gt;"",0,IF(Data!G888="",1,IF(ISNUMBER(MATCH(Data!H888,Data_Val!$D$2:$D$35,0)),0,1)))))</f>
        <v/>
      </c>
      <c r="I888" s="15" t="str">
        <f>IF(Data!B888="","",IF(Data!G888&lt;&gt;"",0,IF(ISNUMBER(MATCH(Data!#REF!,Data_Val!$E$2:$E$12,0)),0,1)))</f>
        <v/>
      </c>
      <c r="J888" s="16" t="e">
        <f>IF(OR(Data!B888="",Data!#REF!=""),"",IF(Data!#REF!="",1,0))</f>
        <v>#REF!</v>
      </c>
      <c r="K888" s="16" t="e">
        <f>IF(OR(Data!B888="",Data!#REF!=""),"",IF(Data!#REF!="",1,0))</f>
        <v>#REF!</v>
      </c>
      <c r="L888" s="16" t="e">
        <f>IF(OR(Data!B888="",Data!#REF!=""),"",IF(ISNUMBER(Data!#REF!),IF(AND(Data!#REF!&gt;Data_Val!$G$2,Data!#REF!&lt;=Data_Val!$G$3),0,1),1))</f>
        <v>#REF!</v>
      </c>
      <c r="M888" s="9" t="e">
        <f>IF(OR(Data!B888="",Data!#REF!=""),"",IF(ISNUMBER(MATCH(Data!#REF!,Data_Val!$F$1:$F$38,0)),0,1))</f>
        <v>#REF!</v>
      </c>
      <c r="N888" s="9" t="e">
        <f>IF(OR(Data!B888="",Data!#REF!=""),"",IF(Data!#REF!="",1,0))</f>
        <v>#REF!</v>
      </c>
      <c r="O888" s="17" t="e">
        <f>IF(Data!#REF!="","",IF(Data!#REF!="",1,0))</f>
        <v>#REF!</v>
      </c>
      <c r="P888" s="17" t="e">
        <f>IF(Data!#REF!="","",IF(ISNUMBER(MATCH(Data!#REF!,Data_Val!$A$2:$A$3,0)),0,1))</f>
        <v>#REF!</v>
      </c>
      <c r="Q888" s="25" t="e">
        <f ca="1">IF(Data!#REF!="","",IF(ISNUMBER(Data!#REF!),IF(AND(Data!#REF!&gt;(TODAY()-(Data_Val!$J$3*365.25)),Data!#REF!&lt;=(TODAY()-(Data_Val!$J$2*365.25))),0,1),1))</f>
        <v>#REF!</v>
      </c>
      <c r="R888" s="17" t="e">
        <f>IF(Data!#REF!="","",IF(ISNUMBER(MATCH(Data!#REF!,Data_Val!$B$2:$B$15,0)),0,1))</f>
        <v>#REF!</v>
      </c>
      <c r="S888" s="11" t="str">
        <f>IF(Data!G888="","",IF(Data!G888=Data_Val!$C$2,IF(Data!M888="",0,1),0))</f>
        <v/>
      </c>
      <c r="T888" s="11" t="str">
        <f>IF(Data!M888="","",IF(ISNUMBER(MATCH(Data!N888,Data_Val!$A$2:$A$3,0)),0,1))</f>
        <v/>
      </c>
      <c r="U888" s="11" t="str">
        <f ca="1">IF(Data!M888="","",IF(ISNUMBER(Data!O888),IF(AND(Data!O888&gt;(TODAY()-(Data_Val!$K$3*365.25)),Data!O888&lt;=(TODAY()-(Data_Val!$K$2*365.25))),0,1),1))</f>
        <v/>
      </c>
      <c r="V888" s="12" t="str">
        <f>IF(Data!G888="","",IF(Data!G888=Data_Val!$C$2,IF(Data!P888="",0,1),0))</f>
        <v/>
      </c>
      <c r="W888" s="12" t="str">
        <f>IF(Data!P888="","",IF(ISNUMBER(MATCH(Data!Q888,Data_Val!$A$2:$A$3,0)),0,1))</f>
        <v/>
      </c>
      <c r="X888" s="26" t="str">
        <f ca="1">IF(Data!P888="","",IF(ISNUMBER(Data!R888),IF(AND(Data!R888&gt;(TODAY()-(Data_Val!$L$3*365.25)),Data!R888&lt;=(TODAY()-(Data_Val!$L$2*365.25))),0,1),1))</f>
        <v/>
      </c>
      <c r="Y888" s="13" t="str">
        <f>IF(Data!$G888="","",IF(Data!$G888=Data_Val!$C$2,IF(Data!S888="",0,1),0))</f>
        <v/>
      </c>
      <c r="Z888" s="13" t="str">
        <f>IF(Data!S888="","",IF(ISNUMBER(MATCH(Data!T888,Data_Val!$A$2:$A$3,0)),0,1))</f>
        <v/>
      </c>
      <c r="AA888" s="28" t="str">
        <f ca="1">IF(Data!S888="","",IF(ISNUMBER(Data!U888),IF(AND(Data!U888&gt;(TODAY()-(Data_Val!$L$3*365.25)),Data!U888&lt;=(TODAY()-(Data_Val!$L$2*365.25))),0,1),1))</f>
        <v/>
      </c>
      <c r="AB888" s="11"/>
      <c r="AC888" s="11" t="e">
        <f>IF(Data!#REF!="","",IF(ISNUMBER(MATCH(Data!#REF!,Data_Val!$A$2:$A$3,0)),0,1))</f>
        <v>#REF!</v>
      </c>
      <c r="AD888" s="11" t="e">
        <f ca="1">IF(Data!#REF!="","",IF(ISNUMBER(Data!#REF!),IF(AND(Data!#REF!&gt;(TODAY()-(Data_Val!$L$3*365.25)),Data!#REF!&lt;=(TODAY()-(Data_Val!$L$2*365.25))),0,1),1))</f>
        <v>#REF!</v>
      </c>
      <c r="AE888" s="11" t="e">
        <f>IF(Data!#REF!="","",IF(Data!$G888="",1,IF(ISNUMBER(MATCH(Data!#REF!,Data_Val!$D$2:$D$10,0)),0,1)))</f>
        <v>#REF!</v>
      </c>
      <c r="AF888" s="12"/>
      <c r="AG888" s="12" t="e">
        <f>IF(Data!#REF!="","",IF(ISNUMBER(MATCH(Data!#REF!,Data_Val!$A$2:$A$3,0)),0,1))</f>
        <v>#REF!</v>
      </c>
      <c r="AH888" s="26" t="e">
        <f ca="1">IF(Data!#REF!="","",IF(ISNUMBER(Data!#REF!),IF(AND(Data!#REF!&gt;(TODAY()-(Data_Val!$L$3*365.25)),Data!#REF!&lt;=(TODAY()-(Data_Val!$L$2*365.25))),0,1),1))</f>
        <v>#REF!</v>
      </c>
      <c r="AI888" s="12" t="e">
        <f>IF(Data!#REF!="","",IF(Data!$G888="",1,IF(ISNUMBER(MATCH(Data!#REF!,Data_Val!$D$2:$D$10,0)),0,1)))</f>
        <v>#REF!</v>
      </c>
      <c r="AJ888" s="17"/>
      <c r="AK888" s="17" t="e">
        <f>IF(Data!#REF!="","",IF(ISNUMBER(MATCH(Data!#REF!,Data_Val!$A$2:$A$3,0)),0,1))</f>
        <v>#REF!</v>
      </c>
      <c r="AL888" s="25" t="e">
        <f ca="1">IF(Data!#REF!="","",IF(ISNUMBER(Data!#REF!),IF(AND(Data!#REF!&gt;(TODAY()-(Data_Val!$L$3*365.25)),Data!#REF!&lt;=(TODAY()-(Data_Val!$L$2*365.25))),0,1),1))</f>
        <v>#REF!</v>
      </c>
      <c r="AM888" s="17" t="e">
        <f>IF(Data!#REF!="","",IF(Data!$G888="",1,IF(ISNUMBER(MATCH(Data!#REF!,Data_Val!$D$2:$D$10,0)),0,1)))</f>
        <v>#REF!</v>
      </c>
      <c r="AN888" s="13"/>
      <c r="AO888" s="28" t="e">
        <f ca="1">IF(Data!#REF!="","",IF(ISNUMBER(Data!#REF!),IF(AND(Data!#REF!&gt;(TODAY()-(Data_Val!$I$3*365.25)),Data!#REF!&lt;=(TODAY()-(Data_Val!$I$2*365.25))),0,1),1))</f>
        <v>#REF!</v>
      </c>
      <c r="AP888" s="13" t="e">
        <f>IF(Data!#REF!="","",IF(Data!$G888="",1,IF(ISNUMBER(MATCH(Data!#REF!,Data_Val!$D$2:$D$10,0)),0,1)))</f>
        <v>#REF!</v>
      </c>
      <c r="AQ888" s="17"/>
      <c r="AR888" s="30" t="e">
        <f ca="1">IF(Data!#REF!="","",IF(ISNUMBER(Data!#REF!),IF(AND(Data!#REF!&gt;(TODAY()-(Data_Val!$I$3*365.25)),Data!#REF!&lt;=(TODAY()-(Data_Val!$I$2*365.25))),0,1),1))</f>
        <v>#REF!</v>
      </c>
      <c r="AS888" s="31" t="e">
        <f>IF(Data!#REF!="","",IF(Data!$G888="",1,IF(ISNUMBER(MATCH(Data!#REF!,Data_Val!$D$2:$D$10,0)),0,1)))</f>
        <v>#REF!</v>
      </c>
      <c r="AT888" s="11"/>
      <c r="AU888" s="11" t="e">
        <f ca="1">IF(Data!#REF!="","",IF(ISNUMBER(Data!#REF!),IF(AND(Data!#REF!&gt;(TODAY()-(Data_Val!$I$3*365.25)),Data!#REF!&lt;=(TODAY()-(Data_Val!$I$2*365.25))),0,1),1))</f>
        <v>#REF!</v>
      </c>
      <c r="AV888" s="11" t="e">
        <f>IF(Data!#REF!="","",IF(Data!$G888="",1,IF(ISNUMBER(MATCH(Data!#REF!,Data_Val!$D$2:$D$10,0)),0,1)))</f>
        <v>#REF!</v>
      </c>
      <c r="AW888" s="12"/>
      <c r="AX888" s="26" t="e">
        <f ca="1">IF(Data!#REF!="","",IF(ISNUMBER(Data!#REF!),IF(AND(Data!#REF!&gt;(TODAY()-(Data_Val!$I$3*365.25)),Data!#REF!&lt;=(TODAY()-(Data_Val!$I$2*365.25))),0,1),1))</f>
        <v>#REF!</v>
      </c>
      <c r="AY888" s="12" t="e">
        <f>IF(Data!#REF!="","",IF(Data!$G888="",1,IF(ISNUMBER(MATCH(Data!#REF!,Data_Val!$D$2:$D$10,0)),0,1)))</f>
        <v>#REF!</v>
      </c>
      <c r="AZ888" s="11"/>
      <c r="BA888" s="19" t="e">
        <f ca="1">IF(Data!#REF!="","",IF(ISNUMBER(Data!#REF!),IF(AND(Data!#REF!&gt;(TODAY()-(Data_Val!$M$3*365.25)),Data!#REF!&lt;=(TODAY()-(Data_Val!$M$2*365.25))),0,1),1))</f>
        <v>#REF!</v>
      </c>
      <c r="BB888" s="11" t="e">
        <f>IF(Data!#REF!="","",IF(Data!$G888="",1,IF(ISNUMBER(MATCH(Data!#REF!,Data_Val!$D$2:$D$10,0)),0,1)))</f>
        <v>#REF!</v>
      </c>
      <c r="BC888" s="12"/>
      <c r="BD888" s="20" t="e">
        <f ca="1">IF(Data!#REF!="","",IF(ISNUMBER(Data!#REF!),IF(AND(Data!#REF!&gt;(TODAY()-(Data_Val!$M$3*365.25)),Data!#REF!&lt;=(TODAY()-(Data_Val!$M$2*365.25))),0,1),1))</f>
        <v>#REF!</v>
      </c>
      <c r="BE888" s="12" t="e">
        <f>IF(Data!#REF!="","",IF(Data!$G888="",1,IF(ISNUMBER(MATCH(Data!#REF!,Data_Val!$D$2:$D$10,0)),0,1)))</f>
        <v>#REF!</v>
      </c>
      <c r="BF888" s="17"/>
      <c r="BG888" s="18" t="e">
        <f ca="1">IF(Data!#REF!="","",IF(ISNUMBER(Data!#REF!),IF(AND(Data!#REF!&gt;(TODAY()-(Data_Val!$M$3*365.25)),Data!#REF!&lt;=(TODAY()-(Data_Val!$M$2*365.25))),0,1),1))</f>
        <v>#REF!</v>
      </c>
      <c r="BH888" s="29" t="e">
        <f>IF(Data!#REF!="","",IF(Data!$G888="",1,IF(ISNUMBER(MATCH(Data!#REF!,Data_Val!$D$2:$D$10,0)),0,1)))</f>
        <v>#REF!</v>
      </c>
      <c r="BI888" s="13"/>
      <c r="BJ888" s="21" t="e">
        <f ca="1">IF(Data!#REF!="","",IF(ISNUMBER(Data!#REF!),IF(AND(Data!#REF!&gt;(TODAY()-(Data_Val!$M$3*365.25)),Data!#REF!&lt;=(TODAY()-(Data_Val!$M$2*365.25))),0,1),1))</f>
        <v>#REF!</v>
      </c>
      <c r="BK888" s="13" t="e">
        <f>IF(Data!#REF!="","",IF(Data!$G888="",1,IF(ISNUMBER(MATCH(Data!#REF!,Data_Val!$D$2:$D$10,0)),0,1)))</f>
        <v>#REF!</v>
      </c>
    </row>
    <row r="889" spans="1:63" x14ac:dyDescent="0.25">
      <c r="A889" s="9" t="str">
        <f>IF(Data!B889="","",IF(COUNTIFS(Data!A$1:'Data'!A889,Data!A889)&lt;=1,0,1))</f>
        <v/>
      </c>
      <c r="B889" s="9"/>
      <c r="C889" s="23" t="str">
        <f>IF(Data!C889="","",(IF(ISNUMBER(MATCH("*@*.?*",Data!C889,0)),0,1)+IF(COUNTIFS(Data!C$1:'Data'!C889,Data!C889)&gt;1,1,0)))</f>
        <v/>
      </c>
      <c r="D889" s="9" t="str">
        <f>IF(Data!B889="","",IF(ISNUMBER(Data!D889),IF(AND(Data!D889&gt;999999999,Data!D889&lt;=9999999999),IF(COUNTIFS(Data!D$1:'Data'!D889,Data!D889)&lt;=1,0,1),1),1))</f>
        <v/>
      </c>
      <c r="E889" s="9" t="str">
        <f>IF(Data!B889="","",IF(ISNUMBER(MATCH(Data!E889,Data_Val!$A$2:$A$3,0)),0,1))</f>
        <v/>
      </c>
      <c r="F889" s="9" t="str">
        <f ca="1">IF(Data!B889="","",IF(ISNUMBER(Data!F889),IF(AND(Data!F889&gt;(TODAY()-(Data_Val!$H$3*365.25)),Data!F889&lt;=(TODAY()-(Data_Val!$H$2*365.25))),0,1),1))</f>
        <v/>
      </c>
      <c r="G889" s="15" t="str">
        <f>IF(Data!B889="","",IF(AND(Data!G889="",Data!H889&lt;&gt;""),1,IF(Data!#REF!&lt;&gt;"",0,IF(ISNUMBER(MATCH(Data!G889,Data_Val!$C$2:$C$5,0)),0,1))))</f>
        <v/>
      </c>
      <c r="H889" s="15" t="str">
        <f>IF(Data!B889="","",IF(AND(Data!G889&lt;&gt;"",Data!H889=""),1,IF(Data!#REF!&lt;&gt;"",0,IF(Data!G889="",1,IF(ISNUMBER(MATCH(Data!H889,Data_Val!$D$2:$D$35,0)),0,1)))))</f>
        <v/>
      </c>
      <c r="I889" s="15" t="str">
        <f>IF(Data!B889="","",IF(Data!G889&lt;&gt;"",0,IF(ISNUMBER(MATCH(Data!#REF!,Data_Val!$E$2:$E$12,0)),0,1)))</f>
        <v/>
      </c>
      <c r="J889" s="16" t="e">
        <f>IF(OR(Data!B889="",Data!#REF!=""),"",IF(Data!#REF!="",1,0))</f>
        <v>#REF!</v>
      </c>
      <c r="K889" s="16" t="e">
        <f>IF(OR(Data!B889="",Data!#REF!=""),"",IF(Data!#REF!="",1,0))</f>
        <v>#REF!</v>
      </c>
      <c r="L889" s="16" t="e">
        <f>IF(OR(Data!B889="",Data!#REF!=""),"",IF(ISNUMBER(Data!#REF!),IF(AND(Data!#REF!&gt;Data_Val!$G$2,Data!#REF!&lt;=Data_Val!$G$3),0,1),1))</f>
        <v>#REF!</v>
      </c>
      <c r="M889" s="9" t="e">
        <f>IF(OR(Data!B889="",Data!#REF!=""),"",IF(ISNUMBER(MATCH(Data!#REF!,Data_Val!$F$1:$F$38,0)),0,1))</f>
        <v>#REF!</v>
      </c>
      <c r="N889" s="9" t="e">
        <f>IF(OR(Data!B889="",Data!#REF!=""),"",IF(Data!#REF!="",1,0))</f>
        <v>#REF!</v>
      </c>
      <c r="O889" s="17" t="e">
        <f>IF(Data!#REF!="","",IF(Data!#REF!="",1,0))</f>
        <v>#REF!</v>
      </c>
      <c r="P889" s="17" t="e">
        <f>IF(Data!#REF!="","",IF(ISNUMBER(MATCH(Data!#REF!,Data_Val!$A$2:$A$3,0)),0,1))</f>
        <v>#REF!</v>
      </c>
      <c r="Q889" s="25" t="e">
        <f ca="1">IF(Data!#REF!="","",IF(ISNUMBER(Data!#REF!),IF(AND(Data!#REF!&gt;(TODAY()-(Data_Val!$J$3*365.25)),Data!#REF!&lt;=(TODAY()-(Data_Val!$J$2*365.25))),0,1),1))</f>
        <v>#REF!</v>
      </c>
      <c r="R889" s="17" t="e">
        <f>IF(Data!#REF!="","",IF(ISNUMBER(MATCH(Data!#REF!,Data_Val!$B$2:$B$15,0)),0,1))</f>
        <v>#REF!</v>
      </c>
      <c r="S889" s="11" t="str">
        <f>IF(Data!G889="","",IF(Data!G889=Data_Val!$C$2,IF(Data!M889="",0,1),0))</f>
        <v/>
      </c>
      <c r="T889" s="11" t="str">
        <f>IF(Data!M889="","",IF(ISNUMBER(MATCH(Data!N889,Data_Val!$A$2:$A$3,0)),0,1))</f>
        <v/>
      </c>
      <c r="U889" s="11" t="str">
        <f ca="1">IF(Data!M889="","",IF(ISNUMBER(Data!O889),IF(AND(Data!O889&gt;(TODAY()-(Data_Val!$K$3*365.25)),Data!O889&lt;=(TODAY()-(Data_Val!$K$2*365.25))),0,1),1))</f>
        <v/>
      </c>
      <c r="V889" s="12" t="str">
        <f>IF(Data!G889="","",IF(Data!G889=Data_Val!$C$2,IF(Data!P889="",0,1),0))</f>
        <v/>
      </c>
      <c r="W889" s="12" t="str">
        <f>IF(Data!P889="","",IF(ISNUMBER(MATCH(Data!Q889,Data_Val!$A$2:$A$3,0)),0,1))</f>
        <v/>
      </c>
      <c r="X889" s="26" t="str">
        <f ca="1">IF(Data!P889="","",IF(ISNUMBER(Data!R889),IF(AND(Data!R889&gt;(TODAY()-(Data_Val!$L$3*365.25)),Data!R889&lt;=(TODAY()-(Data_Val!$L$2*365.25))),0,1),1))</f>
        <v/>
      </c>
      <c r="Y889" s="13" t="str">
        <f>IF(Data!$G889="","",IF(Data!$G889=Data_Val!$C$2,IF(Data!S889="",0,1),0))</f>
        <v/>
      </c>
      <c r="Z889" s="13" t="str">
        <f>IF(Data!S889="","",IF(ISNUMBER(MATCH(Data!T889,Data_Val!$A$2:$A$3,0)),0,1))</f>
        <v/>
      </c>
      <c r="AA889" s="28" t="str">
        <f ca="1">IF(Data!S889="","",IF(ISNUMBER(Data!U889),IF(AND(Data!U889&gt;(TODAY()-(Data_Val!$L$3*365.25)),Data!U889&lt;=(TODAY()-(Data_Val!$L$2*365.25))),0,1),1))</f>
        <v/>
      </c>
      <c r="AB889" s="11"/>
      <c r="AC889" s="11" t="e">
        <f>IF(Data!#REF!="","",IF(ISNUMBER(MATCH(Data!#REF!,Data_Val!$A$2:$A$3,0)),0,1))</f>
        <v>#REF!</v>
      </c>
      <c r="AD889" s="11" t="e">
        <f ca="1">IF(Data!#REF!="","",IF(ISNUMBER(Data!#REF!),IF(AND(Data!#REF!&gt;(TODAY()-(Data_Val!$L$3*365.25)),Data!#REF!&lt;=(TODAY()-(Data_Val!$L$2*365.25))),0,1),1))</f>
        <v>#REF!</v>
      </c>
      <c r="AE889" s="11" t="e">
        <f>IF(Data!#REF!="","",IF(Data!$G889="",1,IF(ISNUMBER(MATCH(Data!#REF!,Data_Val!$D$2:$D$10,0)),0,1)))</f>
        <v>#REF!</v>
      </c>
      <c r="AF889" s="12"/>
      <c r="AG889" s="12" t="e">
        <f>IF(Data!#REF!="","",IF(ISNUMBER(MATCH(Data!#REF!,Data_Val!$A$2:$A$3,0)),0,1))</f>
        <v>#REF!</v>
      </c>
      <c r="AH889" s="26" t="e">
        <f ca="1">IF(Data!#REF!="","",IF(ISNUMBER(Data!#REF!),IF(AND(Data!#REF!&gt;(TODAY()-(Data_Val!$L$3*365.25)),Data!#REF!&lt;=(TODAY()-(Data_Val!$L$2*365.25))),0,1),1))</f>
        <v>#REF!</v>
      </c>
      <c r="AI889" s="12" t="e">
        <f>IF(Data!#REF!="","",IF(Data!$G889="",1,IF(ISNUMBER(MATCH(Data!#REF!,Data_Val!$D$2:$D$10,0)),0,1)))</f>
        <v>#REF!</v>
      </c>
      <c r="AJ889" s="17"/>
      <c r="AK889" s="17" t="e">
        <f>IF(Data!#REF!="","",IF(ISNUMBER(MATCH(Data!#REF!,Data_Val!$A$2:$A$3,0)),0,1))</f>
        <v>#REF!</v>
      </c>
      <c r="AL889" s="25" t="e">
        <f ca="1">IF(Data!#REF!="","",IF(ISNUMBER(Data!#REF!),IF(AND(Data!#REF!&gt;(TODAY()-(Data_Val!$L$3*365.25)),Data!#REF!&lt;=(TODAY()-(Data_Val!$L$2*365.25))),0,1),1))</f>
        <v>#REF!</v>
      </c>
      <c r="AM889" s="17" t="e">
        <f>IF(Data!#REF!="","",IF(Data!$G889="",1,IF(ISNUMBER(MATCH(Data!#REF!,Data_Val!$D$2:$D$10,0)),0,1)))</f>
        <v>#REF!</v>
      </c>
      <c r="AN889" s="13"/>
      <c r="AO889" s="28" t="e">
        <f ca="1">IF(Data!#REF!="","",IF(ISNUMBER(Data!#REF!),IF(AND(Data!#REF!&gt;(TODAY()-(Data_Val!$I$3*365.25)),Data!#REF!&lt;=(TODAY()-(Data_Val!$I$2*365.25))),0,1),1))</f>
        <v>#REF!</v>
      </c>
      <c r="AP889" s="13" t="e">
        <f>IF(Data!#REF!="","",IF(Data!$G889="",1,IF(ISNUMBER(MATCH(Data!#REF!,Data_Val!$D$2:$D$10,0)),0,1)))</f>
        <v>#REF!</v>
      </c>
      <c r="AQ889" s="17"/>
      <c r="AR889" s="30" t="e">
        <f ca="1">IF(Data!#REF!="","",IF(ISNUMBER(Data!#REF!),IF(AND(Data!#REF!&gt;(TODAY()-(Data_Val!$I$3*365.25)),Data!#REF!&lt;=(TODAY()-(Data_Val!$I$2*365.25))),0,1),1))</f>
        <v>#REF!</v>
      </c>
      <c r="AS889" s="31" t="e">
        <f>IF(Data!#REF!="","",IF(Data!$G889="",1,IF(ISNUMBER(MATCH(Data!#REF!,Data_Val!$D$2:$D$10,0)),0,1)))</f>
        <v>#REF!</v>
      </c>
      <c r="AT889" s="11"/>
      <c r="AU889" s="11" t="e">
        <f ca="1">IF(Data!#REF!="","",IF(ISNUMBER(Data!#REF!),IF(AND(Data!#REF!&gt;(TODAY()-(Data_Val!$I$3*365.25)),Data!#REF!&lt;=(TODAY()-(Data_Val!$I$2*365.25))),0,1),1))</f>
        <v>#REF!</v>
      </c>
      <c r="AV889" s="11" t="e">
        <f>IF(Data!#REF!="","",IF(Data!$G889="",1,IF(ISNUMBER(MATCH(Data!#REF!,Data_Val!$D$2:$D$10,0)),0,1)))</f>
        <v>#REF!</v>
      </c>
      <c r="AW889" s="12"/>
      <c r="AX889" s="26" t="e">
        <f ca="1">IF(Data!#REF!="","",IF(ISNUMBER(Data!#REF!),IF(AND(Data!#REF!&gt;(TODAY()-(Data_Val!$I$3*365.25)),Data!#REF!&lt;=(TODAY()-(Data_Val!$I$2*365.25))),0,1),1))</f>
        <v>#REF!</v>
      </c>
      <c r="AY889" s="12" t="e">
        <f>IF(Data!#REF!="","",IF(Data!$G889="",1,IF(ISNUMBER(MATCH(Data!#REF!,Data_Val!$D$2:$D$10,0)),0,1)))</f>
        <v>#REF!</v>
      </c>
      <c r="AZ889" s="11"/>
      <c r="BA889" s="19" t="e">
        <f ca="1">IF(Data!#REF!="","",IF(ISNUMBER(Data!#REF!),IF(AND(Data!#REF!&gt;(TODAY()-(Data_Val!$M$3*365.25)),Data!#REF!&lt;=(TODAY()-(Data_Val!$M$2*365.25))),0,1),1))</f>
        <v>#REF!</v>
      </c>
      <c r="BB889" s="11" t="e">
        <f>IF(Data!#REF!="","",IF(Data!$G889="",1,IF(ISNUMBER(MATCH(Data!#REF!,Data_Val!$D$2:$D$10,0)),0,1)))</f>
        <v>#REF!</v>
      </c>
      <c r="BC889" s="12"/>
      <c r="BD889" s="20" t="e">
        <f ca="1">IF(Data!#REF!="","",IF(ISNUMBER(Data!#REF!),IF(AND(Data!#REF!&gt;(TODAY()-(Data_Val!$M$3*365.25)),Data!#REF!&lt;=(TODAY()-(Data_Val!$M$2*365.25))),0,1),1))</f>
        <v>#REF!</v>
      </c>
      <c r="BE889" s="12" t="e">
        <f>IF(Data!#REF!="","",IF(Data!$G889="",1,IF(ISNUMBER(MATCH(Data!#REF!,Data_Val!$D$2:$D$10,0)),0,1)))</f>
        <v>#REF!</v>
      </c>
      <c r="BF889" s="17"/>
      <c r="BG889" s="18" t="e">
        <f ca="1">IF(Data!#REF!="","",IF(ISNUMBER(Data!#REF!),IF(AND(Data!#REF!&gt;(TODAY()-(Data_Val!$M$3*365.25)),Data!#REF!&lt;=(TODAY()-(Data_Val!$M$2*365.25))),0,1),1))</f>
        <v>#REF!</v>
      </c>
      <c r="BH889" s="29" t="e">
        <f>IF(Data!#REF!="","",IF(Data!$G889="",1,IF(ISNUMBER(MATCH(Data!#REF!,Data_Val!$D$2:$D$10,0)),0,1)))</f>
        <v>#REF!</v>
      </c>
      <c r="BI889" s="13"/>
      <c r="BJ889" s="21" t="e">
        <f ca="1">IF(Data!#REF!="","",IF(ISNUMBER(Data!#REF!),IF(AND(Data!#REF!&gt;(TODAY()-(Data_Val!$M$3*365.25)),Data!#REF!&lt;=(TODAY()-(Data_Val!$M$2*365.25))),0,1),1))</f>
        <v>#REF!</v>
      </c>
      <c r="BK889" s="13" t="e">
        <f>IF(Data!#REF!="","",IF(Data!$G889="",1,IF(ISNUMBER(MATCH(Data!#REF!,Data_Val!$D$2:$D$10,0)),0,1)))</f>
        <v>#REF!</v>
      </c>
    </row>
    <row r="890" spans="1:63" x14ac:dyDescent="0.25">
      <c r="A890" s="9" t="str">
        <f>IF(Data!B890="","",IF(COUNTIFS(Data!A$1:'Data'!A890,Data!A890)&lt;=1,0,1))</f>
        <v/>
      </c>
      <c r="B890" s="9"/>
      <c r="C890" s="23" t="str">
        <f>IF(Data!C890="","",(IF(ISNUMBER(MATCH("*@*.?*",Data!C890,0)),0,1)+IF(COUNTIFS(Data!C$1:'Data'!C890,Data!C890)&gt;1,1,0)))</f>
        <v/>
      </c>
      <c r="D890" s="9" t="str">
        <f>IF(Data!B890="","",IF(ISNUMBER(Data!D890),IF(AND(Data!D890&gt;999999999,Data!D890&lt;=9999999999),IF(COUNTIFS(Data!D$1:'Data'!D890,Data!D890)&lt;=1,0,1),1),1))</f>
        <v/>
      </c>
      <c r="E890" s="9" t="str">
        <f>IF(Data!B890="","",IF(ISNUMBER(MATCH(Data!E890,Data_Val!$A$2:$A$3,0)),0,1))</f>
        <v/>
      </c>
      <c r="F890" s="9" t="str">
        <f ca="1">IF(Data!B890="","",IF(ISNUMBER(Data!F890),IF(AND(Data!F890&gt;(TODAY()-(Data_Val!$H$3*365.25)),Data!F890&lt;=(TODAY()-(Data_Val!$H$2*365.25))),0,1),1))</f>
        <v/>
      </c>
      <c r="G890" s="15" t="str">
        <f>IF(Data!B890="","",IF(AND(Data!G890="",Data!H890&lt;&gt;""),1,IF(Data!#REF!&lt;&gt;"",0,IF(ISNUMBER(MATCH(Data!G890,Data_Val!$C$2:$C$5,0)),0,1))))</f>
        <v/>
      </c>
      <c r="H890" s="15" t="str">
        <f>IF(Data!B890="","",IF(AND(Data!G890&lt;&gt;"",Data!H890=""),1,IF(Data!#REF!&lt;&gt;"",0,IF(Data!G890="",1,IF(ISNUMBER(MATCH(Data!H890,Data_Val!$D$2:$D$35,0)),0,1)))))</f>
        <v/>
      </c>
      <c r="I890" s="15" t="str">
        <f>IF(Data!B890="","",IF(Data!G890&lt;&gt;"",0,IF(ISNUMBER(MATCH(Data!#REF!,Data_Val!$E$2:$E$12,0)),0,1)))</f>
        <v/>
      </c>
      <c r="J890" s="16" t="e">
        <f>IF(OR(Data!B890="",Data!#REF!=""),"",IF(Data!#REF!="",1,0))</f>
        <v>#REF!</v>
      </c>
      <c r="K890" s="16" t="e">
        <f>IF(OR(Data!B890="",Data!#REF!=""),"",IF(Data!#REF!="",1,0))</f>
        <v>#REF!</v>
      </c>
      <c r="L890" s="16" t="e">
        <f>IF(OR(Data!B890="",Data!#REF!=""),"",IF(ISNUMBER(Data!#REF!),IF(AND(Data!#REF!&gt;Data_Val!$G$2,Data!#REF!&lt;=Data_Val!$G$3),0,1),1))</f>
        <v>#REF!</v>
      </c>
      <c r="M890" s="9" t="e">
        <f>IF(OR(Data!B890="",Data!#REF!=""),"",IF(ISNUMBER(MATCH(Data!#REF!,Data_Val!$F$1:$F$38,0)),0,1))</f>
        <v>#REF!</v>
      </c>
      <c r="N890" s="9" t="e">
        <f>IF(OR(Data!B890="",Data!#REF!=""),"",IF(Data!#REF!="",1,0))</f>
        <v>#REF!</v>
      </c>
      <c r="O890" s="17" t="e">
        <f>IF(Data!#REF!="","",IF(Data!#REF!="",1,0))</f>
        <v>#REF!</v>
      </c>
      <c r="P890" s="17" t="e">
        <f>IF(Data!#REF!="","",IF(ISNUMBER(MATCH(Data!#REF!,Data_Val!$A$2:$A$3,0)),0,1))</f>
        <v>#REF!</v>
      </c>
      <c r="Q890" s="25" t="e">
        <f ca="1">IF(Data!#REF!="","",IF(ISNUMBER(Data!#REF!),IF(AND(Data!#REF!&gt;(TODAY()-(Data_Val!$J$3*365.25)),Data!#REF!&lt;=(TODAY()-(Data_Val!$J$2*365.25))),0,1),1))</f>
        <v>#REF!</v>
      </c>
      <c r="R890" s="17" t="e">
        <f>IF(Data!#REF!="","",IF(ISNUMBER(MATCH(Data!#REF!,Data_Val!$B$2:$B$15,0)),0,1))</f>
        <v>#REF!</v>
      </c>
      <c r="S890" s="11" t="str">
        <f>IF(Data!G890="","",IF(Data!G890=Data_Val!$C$2,IF(Data!M890="",0,1),0))</f>
        <v/>
      </c>
      <c r="T890" s="11" t="str">
        <f>IF(Data!M890="","",IF(ISNUMBER(MATCH(Data!N890,Data_Val!$A$2:$A$3,0)),0,1))</f>
        <v/>
      </c>
      <c r="U890" s="11" t="str">
        <f ca="1">IF(Data!M890="","",IF(ISNUMBER(Data!O890),IF(AND(Data!O890&gt;(TODAY()-(Data_Val!$K$3*365.25)),Data!O890&lt;=(TODAY()-(Data_Val!$K$2*365.25))),0,1),1))</f>
        <v/>
      </c>
      <c r="V890" s="12" t="str">
        <f>IF(Data!G890="","",IF(Data!G890=Data_Val!$C$2,IF(Data!P890="",0,1),0))</f>
        <v/>
      </c>
      <c r="W890" s="12" t="str">
        <f>IF(Data!P890="","",IF(ISNUMBER(MATCH(Data!Q890,Data_Val!$A$2:$A$3,0)),0,1))</f>
        <v/>
      </c>
      <c r="X890" s="26" t="str">
        <f ca="1">IF(Data!P890="","",IF(ISNUMBER(Data!R890),IF(AND(Data!R890&gt;(TODAY()-(Data_Val!$L$3*365.25)),Data!R890&lt;=(TODAY()-(Data_Val!$L$2*365.25))),0,1),1))</f>
        <v/>
      </c>
      <c r="Y890" s="13" t="str">
        <f>IF(Data!$G890="","",IF(Data!$G890=Data_Val!$C$2,IF(Data!S890="",0,1),0))</f>
        <v/>
      </c>
      <c r="Z890" s="13" t="str">
        <f>IF(Data!S890="","",IF(ISNUMBER(MATCH(Data!T890,Data_Val!$A$2:$A$3,0)),0,1))</f>
        <v/>
      </c>
      <c r="AA890" s="28" t="str">
        <f ca="1">IF(Data!S890="","",IF(ISNUMBER(Data!U890),IF(AND(Data!U890&gt;(TODAY()-(Data_Val!$L$3*365.25)),Data!U890&lt;=(TODAY()-(Data_Val!$L$2*365.25))),0,1),1))</f>
        <v/>
      </c>
      <c r="AB890" s="11"/>
      <c r="AC890" s="11" t="e">
        <f>IF(Data!#REF!="","",IF(ISNUMBER(MATCH(Data!#REF!,Data_Val!$A$2:$A$3,0)),0,1))</f>
        <v>#REF!</v>
      </c>
      <c r="AD890" s="11" t="e">
        <f ca="1">IF(Data!#REF!="","",IF(ISNUMBER(Data!#REF!),IF(AND(Data!#REF!&gt;(TODAY()-(Data_Val!$L$3*365.25)),Data!#REF!&lt;=(TODAY()-(Data_Val!$L$2*365.25))),0,1),1))</f>
        <v>#REF!</v>
      </c>
      <c r="AE890" s="11" t="e">
        <f>IF(Data!#REF!="","",IF(Data!$G890="",1,IF(ISNUMBER(MATCH(Data!#REF!,Data_Val!$D$2:$D$10,0)),0,1)))</f>
        <v>#REF!</v>
      </c>
      <c r="AF890" s="12"/>
      <c r="AG890" s="12" t="e">
        <f>IF(Data!#REF!="","",IF(ISNUMBER(MATCH(Data!#REF!,Data_Val!$A$2:$A$3,0)),0,1))</f>
        <v>#REF!</v>
      </c>
      <c r="AH890" s="26" t="e">
        <f ca="1">IF(Data!#REF!="","",IF(ISNUMBER(Data!#REF!),IF(AND(Data!#REF!&gt;(TODAY()-(Data_Val!$L$3*365.25)),Data!#REF!&lt;=(TODAY()-(Data_Val!$L$2*365.25))),0,1),1))</f>
        <v>#REF!</v>
      </c>
      <c r="AI890" s="12" t="e">
        <f>IF(Data!#REF!="","",IF(Data!$G890="",1,IF(ISNUMBER(MATCH(Data!#REF!,Data_Val!$D$2:$D$10,0)),0,1)))</f>
        <v>#REF!</v>
      </c>
      <c r="AJ890" s="17"/>
      <c r="AK890" s="17" t="e">
        <f>IF(Data!#REF!="","",IF(ISNUMBER(MATCH(Data!#REF!,Data_Val!$A$2:$A$3,0)),0,1))</f>
        <v>#REF!</v>
      </c>
      <c r="AL890" s="25" t="e">
        <f ca="1">IF(Data!#REF!="","",IF(ISNUMBER(Data!#REF!),IF(AND(Data!#REF!&gt;(TODAY()-(Data_Val!$L$3*365.25)),Data!#REF!&lt;=(TODAY()-(Data_Val!$L$2*365.25))),0,1),1))</f>
        <v>#REF!</v>
      </c>
      <c r="AM890" s="17" t="e">
        <f>IF(Data!#REF!="","",IF(Data!$G890="",1,IF(ISNUMBER(MATCH(Data!#REF!,Data_Val!$D$2:$D$10,0)),0,1)))</f>
        <v>#REF!</v>
      </c>
      <c r="AN890" s="13"/>
      <c r="AO890" s="28" t="e">
        <f ca="1">IF(Data!#REF!="","",IF(ISNUMBER(Data!#REF!),IF(AND(Data!#REF!&gt;(TODAY()-(Data_Val!$I$3*365.25)),Data!#REF!&lt;=(TODAY()-(Data_Val!$I$2*365.25))),0,1),1))</f>
        <v>#REF!</v>
      </c>
      <c r="AP890" s="13" t="e">
        <f>IF(Data!#REF!="","",IF(Data!$G890="",1,IF(ISNUMBER(MATCH(Data!#REF!,Data_Val!$D$2:$D$10,0)),0,1)))</f>
        <v>#REF!</v>
      </c>
      <c r="AQ890" s="17"/>
      <c r="AR890" s="30" t="e">
        <f ca="1">IF(Data!#REF!="","",IF(ISNUMBER(Data!#REF!),IF(AND(Data!#REF!&gt;(TODAY()-(Data_Val!$I$3*365.25)),Data!#REF!&lt;=(TODAY()-(Data_Val!$I$2*365.25))),0,1),1))</f>
        <v>#REF!</v>
      </c>
      <c r="AS890" s="31" t="e">
        <f>IF(Data!#REF!="","",IF(Data!$G890="",1,IF(ISNUMBER(MATCH(Data!#REF!,Data_Val!$D$2:$D$10,0)),0,1)))</f>
        <v>#REF!</v>
      </c>
      <c r="AT890" s="11"/>
      <c r="AU890" s="11" t="e">
        <f ca="1">IF(Data!#REF!="","",IF(ISNUMBER(Data!#REF!),IF(AND(Data!#REF!&gt;(TODAY()-(Data_Val!$I$3*365.25)),Data!#REF!&lt;=(TODAY()-(Data_Val!$I$2*365.25))),0,1),1))</f>
        <v>#REF!</v>
      </c>
      <c r="AV890" s="11" t="e">
        <f>IF(Data!#REF!="","",IF(Data!$G890="",1,IF(ISNUMBER(MATCH(Data!#REF!,Data_Val!$D$2:$D$10,0)),0,1)))</f>
        <v>#REF!</v>
      </c>
      <c r="AW890" s="12"/>
      <c r="AX890" s="26" t="e">
        <f ca="1">IF(Data!#REF!="","",IF(ISNUMBER(Data!#REF!),IF(AND(Data!#REF!&gt;(TODAY()-(Data_Val!$I$3*365.25)),Data!#REF!&lt;=(TODAY()-(Data_Val!$I$2*365.25))),0,1),1))</f>
        <v>#REF!</v>
      </c>
      <c r="AY890" s="12" t="e">
        <f>IF(Data!#REF!="","",IF(Data!$G890="",1,IF(ISNUMBER(MATCH(Data!#REF!,Data_Val!$D$2:$D$10,0)),0,1)))</f>
        <v>#REF!</v>
      </c>
      <c r="AZ890" s="11"/>
      <c r="BA890" s="19" t="e">
        <f ca="1">IF(Data!#REF!="","",IF(ISNUMBER(Data!#REF!),IF(AND(Data!#REF!&gt;(TODAY()-(Data_Val!$M$3*365.25)),Data!#REF!&lt;=(TODAY()-(Data_Val!$M$2*365.25))),0,1),1))</f>
        <v>#REF!</v>
      </c>
      <c r="BB890" s="11" t="e">
        <f>IF(Data!#REF!="","",IF(Data!$G890="",1,IF(ISNUMBER(MATCH(Data!#REF!,Data_Val!$D$2:$D$10,0)),0,1)))</f>
        <v>#REF!</v>
      </c>
      <c r="BC890" s="12"/>
      <c r="BD890" s="20" t="e">
        <f ca="1">IF(Data!#REF!="","",IF(ISNUMBER(Data!#REF!),IF(AND(Data!#REF!&gt;(TODAY()-(Data_Val!$M$3*365.25)),Data!#REF!&lt;=(TODAY()-(Data_Val!$M$2*365.25))),0,1),1))</f>
        <v>#REF!</v>
      </c>
      <c r="BE890" s="12" t="e">
        <f>IF(Data!#REF!="","",IF(Data!$G890="",1,IF(ISNUMBER(MATCH(Data!#REF!,Data_Val!$D$2:$D$10,0)),0,1)))</f>
        <v>#REF!</v>
      </c>
      <c r="BF890" s="17"/>
      <c r="BG890" s="18" t="e">
        <f ca="1">IF(Data!#REF!="","",IF(ISNUMBER(Data!#REF!),IF(AND(Data!#REF!&gt;(TODAY()-(Data_Val!$M$3*365.25)),Data!#REF!&lt;=(TODAY()-(Data_Val!$M$2*365.25))),0,1),1))</f>
        <v>#REF!</v>
      </c>
      <c r="BH890" s="29" t="e">
        <f>IF(Data!#REF!="","",IF(Data!$G890="",1,IF(ISNUMBER(MATCH(Data!#REF!,Data_Val!$D$2:$D$10,0)),0,1)))</f>
        <v>#REF!</v>
      </c>
      <c r="BI890" s="13"/>
      <c r="BJ890" s="21" t="e">
        <f ca="1">IF(Data!#REF!="","",IF(ISNUMBER(Data!#REF!),IF(AND(Data!#REF!&gt;(TODAY()-(Data_Val!$M$3*365.25)),Data!#REF!&lt;=(TODAY()-(Data_Val!$M$2*365.25))),0,1),1))</f>
        <v>#REF!</v>
      </c>
      <c r="BK890" s="13" t="e">
        <f>IF(Data!#REF!="","",IF(Data!$G890="",1,IF(ISNUMBER(MATCH(Data!#REF!,Data_Val!$D$2:$D$10,0)),0,1)))</f>
        <v>#REF!</v>
      </c>
    </row>
    <row r="891" spans="1:63" x14ac:dyDescent="0.25">
      <c r="A891" s="9" t="str">
        <f>IF(Data!B891="","",IF(COUNTIFS(Data!A$1:'Data'!A891,Data!A891)&lt;=1,0,1))</f>
        <v/>
      </c>
      <c r="B891" s="9"/>
      <c r="C891" s="23" t="str">
        <f>IF(Data!C891="","",(IF(ISNUMBER(MATCH("*@*.?*",Data!C891,0)),0,1)+IF(COUNTIFS(Data!C$1:'Data'!C891,Data!C891)&gt;1,1,0)))</f>
        <v/>
      </c>
      <c r="D891" s="9" t="str">
        <f>IF(Data!B891="","",IF(ISNUMBER(Data!D891),IF(AND(Data!D891&gt;999999999,Data!D891&lt;=9999999999),IF(COUNTIFS(Data!D$1:'Data'!D891,Data!D891)&lt;=1,0,1),1),1))</f>
        <v/>
      </c>
      <c r="E891" s="9" t="str">
        <f>IF(Data!B891="","",IF(ISNUMBER(MATCH(Data!E891,Data_Val!$A$2:$A$3,0)),0,1))</f>
        <v/>
      </c>
      <c r="F891" s="9" t="str">
        <f ca="1">IF(Data!B891="","",IF(ISNUMBER(Data!F891),IF(AND(Data!F891&gt;(TODAY()-(Data_Val!$H$3*365.25)),Data!F891&lt;=(TODAY()-(Data_Val!$H$2*365.25))),0,1),1))</f>
        <v/>
      </c>
      <c r="G891" s="15" t="str">
        <f>IF(Data!B891="","",IF(AND(Data!G891="",Data!H891&lt;&gt;""),1,IF(Data!#REF!&lt;&gt;"",0,IF(ISNUMBER(MATCH(Data!G891,Data_Val!$C$2:$C$5,0)),0,1))))</f>
        <v/>
      </c>
      <c r="H891" s="15" t="str">
        <f>IF(Data!B891="","",IF(AND(Data!G891&lt;&gt;"",Data!H891=""),1,IF(Data!#REF!&lt;&gt;"",0,IF(Data!G891="",1,IF(ISNUMBER(MATCH(Data!H891,Data_Val!$D$2:$D$35,0)),0,1)))))</f>
        <v/>
      </c>
      <c r="I891" s="15" t="str">
        <f>IF(Data!B891="","",IF(Data!G891&lt;&gt;"",0,IF(ISNUMBER(MATCH(Data!#REF!,Data_Val!$E$2:$E$12,0)),0,1)))</f>
        <v/>
      </c>
      <c r="J891" s="16" t="e">
        <f>IF(OR(Data!B891="",Data!#REF!=""),"",IF(Data!#REF!="",1,0))</f>
        <v>#REF!</v>
      </c>
      <c r="K891" s="16" t="e">
        <f>IF(OR(Data!B891="",Data!#REF!=""),"",IF(Data!#REF!="",1,0))</f>
        <v>#REF!</v>
      </c>
      <c r="L891" s="16" t="e">
        <f>IF(OR(Data!B891="",Data!#REF!=""),"",IF(ISNUMBER(Data!#REF!),IF(AND(Data!#REF!&gt;Data_Val!$G$2,Data!#REF!&lt;=Data_Val!$G$3),0,1),1))</f>
        <v>#REF!</v>
      </c>
      <c r="M891" s="9" t="e">
        <f>IF(OR(Data!B891="",Data!#REF!=""),"",IF(ISNUMBER(MATCH(Data!#REF!,Data_Val!$F$1:$F$38,0)),0,1))</f>
        <v>#REF!</v>
      </c>
      <c r="N891" s="9" t="e">
        <f>IF(OR(Data!B891="",Data!#REF!=""),"",IF(Data!#REF!="",1,0))</f>
        <v>#REF!</v>
      </c>
      <c r="O891" s="17" t="e">
        <f>IF(Data!#REF!="","",IF(Data!#REF!="",1,0))</f>
        <v>#REF!</v>
      </c>
      <c r="P891" s="17" t="e">
        <f>IF(Data!#REF!="","",IF(ISNUMBER(MATCH(Data!#REF!,Data_Val!$A$2:$A$3,0)),0,1))</f>
        <v>#REF!</v>
      </c>
      <c r="Q891" s="25" t="e">
        <f ca="1">IF(Data!#REF!="","",IF(ISNUMBER(Data!#REF!),IF(AND(Data!#REF!&gt;(TODAY()-(Data_Val!$J$3*365.25)),Data!#REF!&lt;=(TODAY()-(Data_Val!$J$2*365.25))),0,1),1))</f>
        <v>#REF!</v>
      </c>
      <c r="R891" s="17" t="e">
        <f>IF(Data!#REF!="","",IF(ISNUMBER(MATCH(Data!#REF!,Data_Val!$B$2:$B$15,0)),0,1))</f>
        <v>#REF!</v>
      </c>
      <c r="S891" s="11" t="str">
        <f>IF(Data!G891="","",IF(Data!G891=Data_Val!$C$2,IF(Data!M891="",0,1),0))</f>
        <v/>
      </c>
      <c r="T891" s="11" t="str">
        <f>IF(Data!M891="","",IF(ISNUMBER(MATCH(Data!N891,Data_Val!$A$2:$A$3,0)),0,1))</f>
        <v/>
      </c>
      <c r="U891" s="11" t="str">
        <f ca="1">IF(Data!M891="","",IF(ISNUMBER(Data!O891),IF(AND(Data!O891&gt;(TODAY()-(Data_Val!$K$3*365.25)),Data!O891&lt;=(TODAY()-(Data_Val!$K$2*365.25))),0,1),1))</f>
        <v/>
      </c>
      <c r="V891" s="12" t="str">
        <f>IF(Data!G891="","",IF(Data!G891=Data_Val!$C$2,IF(Data!P891="",0,1),0))</f>
        <v/>
      </c>
      <c r="W891" s="12" t="str">
        <f>IF(Data!P891="","",IF(ISNUMBER(MATCH(Data!Q891,Data_Val!$A$2:$A$3,0)),0,1))</f>
        <v/>
      </c>
      <c r="X891" s="26" t="str">
        <f ca="1">IF(Data!P891="","",IF(ISNUMBER(Data!R891),IF(AND(Data!R891&gt;(TODAY()-(Data_Val!$L$3*365.25)),Data!R891&lt;=(TODAY()-(Data_Val!$L$2*365.25))),0,1),1))</f>
        <v/>
      </c>
      <c r="Y891" s="13" t="str">
        <f>IF(Data!$G891="","",IF(Data!$G891=Data_Val!$C$2,IF(Data!S891="",0,1),0))</f>
        <v/>
      </c>
      <c r="Z891" s="13" t="str">
        <f>IF(Data!S891="","",IF(ISNUMBER(MATCH(Data!T891,Data_Val!$A$2:$A$3,0)),0,1))</f>
        <v/>
      </c>
      <c r="AA891" s="28" t="str">
        <f ca="1">IF(Data!S891="","",IF(ISNUMBER(Data!U891),IF(AND(Data!U891&gt;(TODAY()-(Data_Val!$L$3*365.25)),Data!U891&lt;=(TODAY()-(Data_Val!$L$2*365.25))),0,1),1))</f>
        <v/>
      </c>
      <c r="AB891" s="11"/>
      <c r="AC891" s="11" t="e">
        <f>IF(Data!#REF!="","",IF(ISNUMBER(MATCH(Data!#REF!,Data_Val!$A$2:$A$3,0)),0,1))</f>
        <v>#REF!</v>
      </c>
      <c r="AD891" s="11" t="e">
        <f ca="1">IF(Data!#REF!="","",IF(ISNUMBER(Data!#REF!),IF(AND(Data!#REF!&gt;(TODAY()-(Data_Val!$L$3*365.25)),Data!#REF!&lt;=(TODAY()-(Data_Val!$L$2*365.25))),0,1),1))</f>
        <v>#REF!</v>
      </c>
      <c r="AE891" s="11" t="e">
        <f>IF(Data!#REF!="","",IF(Data!$G891="",1,IF(ISNUMBER(MATCH(Data!#REF!,Data_Val!$D$2:$D$10,0)),0,1)))</f>
        <v>#REF!</v>
      </c>
      <c r="AF891" s="12"/>
      <c r="AG891" s="12" t="e">
        <f>IF(Data!#REF!="","",IF(ISNUMBER(MATCH(Data!#REF!,Data_Val!$A$2:$A$3,0)),0,1))</f>
        <v>#REF!</v>
      </c>
      <c r="AH891" s="26" t="e">
        <f ca="1">IF(Data!#REF!="","",IF(ISNUMBER(Data!#REF!),IF(AND(Data!#REF!&gt;(TODAY()-(Data_Val!$L$3*365.25)),Data!#REF!&lt;=(TODAY()-(Data_Val!$L$2*365.25))),0,1),1))</f>
        <v>#REF!</v>
      </c>
      <c r="AI891" s="12" t="e">
        <f>IF(Data!#REF!="","",IF(Data!$G891="",1,IF(ISNUMBER(MATCH(Data!#REF!,Data_Val!$D$2:$D$10,0)),0,1)))</f>
        <v>#REF!</v>
      </c>
      <c r="AJ891" s="17"/>
      <c r="AK891" s="17" t="e">
        <f>IF(Data!#REF!="","",IF(ISNUMBER(MATCH(Data!#REF!,Data_Val!$A$2:$A$3,0)),0,1))</f>
        <v>#REF!</v>
      </c>
      <c r="AL891" s="25" t="e">
        <f ca="1">IF(Data!#REF!="","",IF(ISNUMBER(Data!#REF!),IF(AND(Data!#REF!&gt;(TODAY()-(Data_Val!$L$3*365.25)),Data!#REF!&lt;=(TODAY()-(Data_Val!$L$2*365.25))),0,1),1))</f>
        <v>#REF!</v>
      </c>
      <c r="AM891" s="17" t="e">
        <f>IF(Data!#REF!="","",IF(Data!$G891="",1,IF(ISNUMBER(MATCH(Data!#REF!,Data_Val!$D$2:$D$10,0)),0,1)))</f>
        <v>#REF!</v>
      </c>
      <c r="AN891" s="13"/>
      <c r="AO891" s="28" t="e">
        <f ca="1">IF(Data!#REF!="","",IF(ISNUMBER(Data!#REF!),IF(AND(Data!#REF!&gt;(TODAY()-(Data_Val!$I$3*365.25)),Data!#REF!&lt;=(TODAY()-(Data_Val!$I$2*365.25))),0,1),1))</f>
        <v>#REF!</v>
      </c>
      <c r="AP891" s="13" t="e">
        <f>IF(Data!#REF!="","",IF(Data!$G891="",1,IF(ISNUMBER(MATCH(Data!#REF!,Data_Val!$D$2:$D$10,0)),0,1)))</f>
        <v>#REF!</v>
      </c>
      <c r="AQ891" s="17"/>
      <c r="AR891" s="30" t="e">
        <f ca="1">IF(Data!#REF!="","",IF(ISNUMBER(Data!#REF!),IF(AND(Data!#REF!&gt;(TODAY()-(Data_Val!$I$3*365.25)),Data!#REF!&lt;=(TODAY()-(Data_Val!$I$2*365.25))),0,1),1))</f>
        <v>#REF!</v>
      </c>
      <c r="AS891" s="31" t="e">
        <f>IF(Data!#REF!="","",IF(Data!$G891="",1,IF(ISNUMBER(MATCH(Data!#REF!,Data_Val!$D$2:$D$10,0)),0,1)))</f>
        <v>#REF!</v>
      </c>
      <c r="AT891" s="11"/>
      <c r="AU891" s="11" t="e">
        <f ca="1">IF(Data!#REF!="","",IF(ISNUMBER(Data!#REF!),IF(AND(Data!#REF!&gt;(TODAY()-(Data_Val!$I$3*365.25)),Data!#REF!&lt;=(TODAY()-(Data_Val!$I$2*365.25))),0,1),1))</f>
        <v>#REF!</v>
      </c>
      <c r="AV891" s="11" t="e">
        <f>IF(Data!#REF!="","",IF(Data!$G891="",1,IF(ISNUMBER(MATCH(Data!#REF!,Data_Val!$D$2:$D$10,0)),0,1)))</f>
        <v>#REF!</v>
      </c>
      <c r="AW891" s="12"/>
      <c r="AX891" s="26" t="e">
        <f ca="1">IF(Data!#REF!="","",IF(ISNUMBER(Data!#REF!),IF(AND(Data!#REF!&gt;(TODAY()-(Data_Val!$I$3*365.25)),Data!#REF!&lt;=(TODAY()-(Data_Val!$I$2*365.25))),0,1),1))</f>
        <v>#REF!</v>
      </c>
      <c r="AY891" s="12" t="e">
        <f>IF(Data!#REF!="","",IF(Data!$G891="",1,IF(ISNUMBER(MATCH(Data!#REF!,Data_Val!$D$2:$D$10,0)),0,1)))</f>
        <v>#REF!</v>
      </c>
      <c r="AZ891" s="11"/>
      <c r="BA891" s="19" t="e">
        <f ca="1">IF(Data!#REF!="","",IF(ISNUMBER(Data!#REF!),IF(AND(Data!#REF!&gt;(TODAY()-(Data_Val!$M$3*365.25)),Data!#REF!&lt;=(TODAY()-(Data_Val!$M$2*365.25))),0,1),1))</f>
        <v>#REF!</v>
      </c>
      <c r="BB891" s="11" t="e">
        <f>IF(Data!#REF!="","",IF(Data!$G891="",1,IF(ISNUMBER(MATCH(Data!#REF!,Data_Val!$D$2:$D$10,0)),0,1)))</f>
        <v>#REF!</v>
      </c>
      <c r="BC891" s="12"/>
      <c r="BD891" s="20" t="e">
        <f ca="1">IF(Data!#REF!="","",IF(ISNUMBER(Data!#REF!),IF(AND(Data!#REF!&gt;(TODAY()-(Data_Val!$M$3*365.25)),Data!#REF!&lt;=(TODAY()-(Data_Val!$M$2*365.25))),0,1),1))</f>
        <v>#REF!</v>
      </c>
      <c r="BE891" s="12" t="e">
        <f>IF(Data!#REF!="","",IF(Data!$G891="",1,IF(ISNUMBER(MATCH(Data!#REF!,Data_Val!$D$2:$D$10,0)),0,1)))</f>
        <v>#REF!</v>
      </c>
      <c r="BF891" s="17"/>
      <c r="BG891" s="18" t="e">
        <f ca="1">IF(Data!#REF!="","",IF(ISNUMBER(Data!#REF!),IF(AND(Data!#REF!&gt;(TODAY()-(Data_Val!$M$3*365.25)),Data!#REF!&lt;=(TODAY()-(Data_Val!$M$2*365.25))),0,1),1))</f>
        <v>#REF!</v>
      </c>
      <c r="BH891" s="29" t="e">
        <f>IF(Data!#REF!="","",IF(Data!$G891="",1,IF(ISNUMBER(MATCH(Data!#REF!,Data_Val!$D$2:$D$10,0)),0,1)))</f>
        <v>#REF!</v>
      </c>
      <c r="BI891" s="13"/>
      <c r="BJ891" s="21" t="e">
        <f ca="1">IF(Data!#REF!="","",IF(ISNUMBER(Data!#REF!),IF(AND(Data!#REF!&gt;(TODAY()-(Data_Val!$M$3*365.25)),Data!#REF!&lt;=(TODAY()-(Data_Val!$M$2*365.25))),0,1),1))</f>
        <v>#REF!</v>
      </c>
      <c r="BK891" s="13" t="e">
        <f>IF(Data!#REF!="","",IF(Data!$G891="",1,IF(ISNUMBER(MATCH(Data!#REF!,Data_Val!$D$2:$D$10,0)),0,1)))</f>
        <v>#REF!</v>
      </c>
    </row>
    <row r="892" spans="1:63" x14ac:dyDescent="0.25">
      <c r="A892" s="9" t="str">
        <f>IF(Data!B892="","",IF(COUNTIFS(Data!A$1:'Data'!A892,Data!A892)&lt;=1,0,1))</f>
        <v/>
      </c>
      <c r="B892" s="9"/>
      <c r="C892" s="23" t="str">
        <f>IF(Data!C892="","",(IF(ISNUMBER(MATCH("*@*.?*",Data!C892,0)),0,1)+IF(COUNTIFS(Data!C$1:'Data'!C892,Data!C892)&gt;1,1,0)))</f>
        <v/>
      </c>
      <c r="D892" s="9" t="str">
        <f>IF(Data!B892="","",IF(ISNUMBER(Data!D892),IF(AND(Data!D892&gt;999999999,Data!D892&lt;=9999999999),IF(COUNTIFS(Data!D$1:'Data'!D892,Data!D892)&lt;=1,0,1),1),1))</f>
        <v/>
      </c>
      <c r="E892" s="9" t="str">
        <f>IF(Data!B892="","",IF(ISNUMBER(MATCH(Data!E892,Data_Val!$A$2:$A$3,0)),0,1))</f>
        <v/>
      </c>
      <c r="F892" s="9" t="str">
        <f ca="1">IF(Data!B892="","",IF(ISNUMBER(Data!F892),IF(AND(Data!F892&gt;(TODAY()-(Data_Val!$H$3*365.25)),Data!F892&lt;=(TODAY()-(Data_Val!$H$2*365.25))),0,1),1))</f>
        <v/>
      </c>
      <c r="G892" s="15" t="str">
        <f>IF(Data!B892="","",IF(AND(Data!G892="",Data!H892&lt;&gt;""),1,IF(Data!#REF!&lt;&gt;"",0,IF(ISNUMBER(MATCH(Data!G892,Data_Val!$C$2:$C$5,0)),0,1))))</f>
        <v/>
      </c>
      <c r="H892" s="15" t="str">
        <f>IF(Data!B892="","",IF(AND(Data!G892&lt;&gt;"",Data!H892=""),1,IF(Data!#REF!&lt;&gt;"",0,IF(Data!G892="",1,IF(ISNUMBER(MATCH(Data!H892,Data_Val!$D$2:$D$35,0)),0,1)))))</f>
        <v/>
      </c>
      <c r="I892" s="15" t="str">
        <f>IF(Data!B892="","",IF(Data!G892&lt;&gt;"",0,IF(ISNUMBER(MATCH(Data!#REF!,Data_Val!$E$2:$E$12,0)),0,1)))</f>
        <v/>
      </c>
      <c r="J892" s="16" t="e">
        <f>IF(OR(Data!B892="",Data!#REF!=""),"",IF(Data!#REF!="",1,0))</f>
        <v>#REF!</v>
      </c>
      <c r="K892" s="16" t="e">
        <f>IF(OR(Data!B892="",Data!#REF!=""),"",IF(Data!#REF!="",1,0))</f>
        <v>#REF!</v>
      </c>
      <c r="L892" s="16" t="e">
        <f>IF(OR(Data!B892="",Data!#REF!=""),"",IF(ISNUMBER(Data!#REF!),IF(AND(Data!#REF!&gt;Data_Val!$G$2,Data!#REF!&lt;=Data_Val!$G$3),0,1),1))</f>
        <v>#REF!</v>
      </c>
      <c r="M892" s="9" t="e">
        <f>IF(OR(Data!B892="",Data!#REF!=""),"",IF(ISNUMBER(MATCH(Data!#REF!,Data_Val!$F$1:$F$38,0)),0,1))</f>
        <v>#REF!</v>
      </c>
      <c r="N892" s="9" t="e">
        <f>IF(OR(Data!B892="",Data!#REF!=""),"",IF(Data!#REF!="",1,0))</f>
        <v>#REF!</v>
      </c>
      <c r="O892" s="17" t="e">
        <f>IF(Data!#REF!="","",IF(Data!#REF!="",1,0))</f>
        <v>#REF!</v>
      </c>
      <c r="P892" s="17" t="e">
        <f>IF(Data!#REF!="","",IF(ISNUMBER(MATCH(Data!#REF!,Data_Val!$A$2:$A$3,0)),0,1))</f>
        <v>#REF!</v>
      </c>
      <c r="Q892" s="25" t="e">
        <f ca="1">IF(Data!#REF!="","",IF(ISNUMBER(Data!#REF!),IF(AND(Data!#REF!&gt;(TODAY()-(Data_Val!$J$3*365.25)),Data!#REF!&lt;=(TODAY()-(Data_Val!$J$2*365.25))),0,1),1))</f>
        <v>#REF!</v>
      </c>
      <c r="R892" s="17" t="e">
        <f>IF(Data!#REF!="","",IF(ISNUMBER(MATCH(Data!#REF!,Data_Val!$B$2:$B$15,0)),0,1))</f>
        <v>#REF!</v>
      </c>
      <c r="S892" s="11" t="str">
        <f>IF(Data!G892="","",IF(Data!G892=Data_Val!$C$2,IF(Data!M892="",0,1),0))</f>
        <v/>
      </c>
      <c r="T892" s="11" t="str">
        <f>IF(Data!M892="","",IF(ISNUMBER(MATCH(Data!N892,Data_Val!$A$2:$A$3,0)),0,1))</f>
        <v/>
      </c>
      <c r="U892" s="11" t="str">
        <f ca="1">IF(Data!M892="","",IF(ISNUMBER(Data!O892),IF(AND(Data!O892&gt;(TODAY()-(Data_Val!$K$3*365.25)),Data!O892&lt;=(TODAY()-(Data_Val!$K$2*365.25))),0,1),1))</f>
        <v/>
      </c>
      <c r="V892" s="12" t="str">
        <f>IF(Data!G892="","",IF(Data!G892=Data_Val!$C$2,IF(Data!P892="",0,1),0))</f>
        <v/>
      </c>
      <c r="W892" s="12" t="str">
        <f>IF(Data!P892="","",IF(ISNUMBER(MATCH(Data!Q892,Data_Val!$A$2:$A$3,0)),0,1))</f>
        <v/>
      </c>
      <c r="X892" s="26" t="str">
        <f ca="1">IF(Data!P892="","",IF(ISNUMBER(Data!R892),IF(AND(Data!R892&gt;(TODAY()-(Data_Val!$L$3*365.25)),Data!R892&lt;=(TODAY()-(Data_Val!$L$2*365.25))),0,1),1))</f>
        <v/>
      </c>
      <c r="Y892" s="13" t="str">
        <f>IF(Data!$G892="","",IF(Data!$G892=Data_Val!$C$2,IF(Data!S892="",0,1),0))</f>
        <v/>
      </c>
      <c r="Z892" s="13" t="str">
        <f>IF(Data!S892="","",IF(ISNUMBER(MATCH(Data!T892,Data_Val!$A$2:$A$3,0)),0,1))</f>
        <v/>
      </c>
      <c r="AA892" s="28" t="str">
        <f ca="1">IF(Data!S892="","",IF(ISNUMBER(Data!U892),IF(AND(Data!U892&gt;(TODAY()-(Data_Val!$L$3*365.25)),Data!U892&lt;=(TODAY()-(Data_Val!$L$2*365.25))),0,1),1))</f>
        <v/>
      </c>
      <c r="AB892" s="11"/>
      <c r="AC892" s="11" t="e">
        <f>IF(Data!#REF!="","",IF(ISNUMBER(MATCH(Data!#REF!,Data_Val!$A$2:$A$3,0)),0,1))</f>
        <v>#REF!</v>
      </c>
      <c r="AD892" s="11" t="e">
        <f ca="1">IF(Data!#REF!="","",IF(ISNUMBER(Data!#REF!),IF(AND(Data!#REF!&gt;(TODAY()-(Data_Val!$L$3*365.25)),Data!#REF!&lt;=(TODAY()-(Data_Val!$L$2*365.25))),0,1),1))</f>
        <v>#REF!</v>
      </c>
      <c r="AE892" s="11" t="e">
        <f>IF(Data!#REF!="","",IF(Data!$G892="",1,IF(ISNUMBER(MATCH(Data!#REF!,Data_Val!$D$2:$D$10,0)),0,1)))</f>
        <v>#REF!</v>
      </c>
      <c r="AF892" s="12"/>
      <c r="AG892" s="12" t="e">
        <f>IF(Data!#REF!="","",IF(ISNUMBER(MATCH(Data!#REF!,Data_Val!$A$2:$A$3,0)),0,1))</f>
        <v>#REF!</v>
      </c>
      <c r="AH892" s="26" t="e">
        <f ca="1">IF(Data!#REF!="","",IF(ISNUMBER(Data!#REF!),IF(AND(Data!#REF!&gt;(TODAY()-(Data_Val!$L$3*365.25)),Data!#REF!&lt;=(TODAY()-(Data_Val!$L$2*365.25))),0,1),1))</f>
        <v>#REF!</v>
      </c>
      <c r="AI892" s="12" t="e">
        <f>IF(Data!#REF!="","",IF(Data!$G892="",1,IF(ISNUMBER(MATCH(Data!#REF!,Data_Val!$D$2:$D$10,0)),0,1)))</f>
        <v>#REF!</v>
      </c>
      <c r="AJ892" s="17"/>
      <c r="AK892" s="17" t="e">
        <f>IF(Data!#REF!="","",IF(ISNUMBER(MATCH(Data!#REF!,Data_Val!$A$2:$A$3,0)),0,1))</f>
        <v>#REF!</v>
      </c>
      <c r="AL892" s="25" t="e">
        <f ca="1">IF(Data!#REF!="","",IF(ISNUMBER(Data!#REF!),IF(AND(Data!#REF!&gt;(TODAY()-(Data_Val!$L$3*365.25)),Data!#REF!&lt;=(TODAY()-(Data_Val!$L$2*365.25))),0,1),1))</f>
        <v>#REF!</v>
      </c>
      <c r="AM892" s="17" t="e">
        <f>IF(Data!#REF!="","",IF(Data!$G892="",1,IF(ISNUMBER(MATCH(Data!#REF!,Data_Val!$D$2:$D$10,0)),0,1)))</f>
        <v>#REF!</v>
      </c>
      <c r="AN892" s="13"/>
      <c r="AO892" s="28" t="e">
        <f ca="1">IF(Data!#REF!="","",IF(ISNUMBER(Data!#REF!),IF(AND(Data!#REF!&gt;(TODAY()-(Data_Val!$I$3*365.25)),Data!#REF!&lt;=(TODAY()-(Data_Val!$I$2*365.25))),0,1),1))</f>
        <v>#REF!</v>
      </c>
      <c r="AP892" s="13" t="e">
        <f>IF(Data!#REF!="","",IF(Data!$G892="",1,IF(ISNUMBER(MATCH(Data!#REF!,Data_Val!$D$2:$D$10,0)),0,1)))</f>
        <v>#REF!</v>
      </c>
      <c r="AQ892" s="17"/>
      <c r="AR892" s="30" t="e">
        <f ca="1">IF(Data!#REF!="","",IF(ISNUMBER(Data!#REF!),IF(AND(Data!#REF!&gt;(TODAY()-(Data_Val!$I$3*365.25)),Data!#REF!&lt;=(TODAY()-(Data_Val!$I$2*365.25))),0,1),1))</f>
        <v>#REF!</v>
      </c>
      <c r="AS892" s="31" t="e">
        <f>IF(Data!#REF!="","",IF(Data!$G892="",1,IF(ISNUMBER(MATCH(Data!#REF!,Data_Val!$D$2:$D$10,0)),0,1)))</f>
        <v>#REF!</v>
      </c>
      <c r="AT892" s="11"/>
      <c r="AU892" s="11" t="e">
        <f ca="1">IF(Data!#REF!="","",IF(ISNUMBER(Data!#REF!),IF(AND(Data!#REF!&gt;(TODAY()-(Data_Val!$I$3*365.25)),Data!#REF!&lt;=(TODAY()-(Data_Val!$I$2*365.25))),0,1),1))</f>
        <v>#REF!</v>
      </c>
      <c r="AV892" s="11" t="e">
        <f>IF(Data!#REF!="","",IF(Data!$G892="",1,IF(ISNUMBER(MATCH(Data!#REF!,Data_Val!$D$2:$D$10,0)),0,1)))</f>
        <v>#REF!</v>
      </c>
      <c r="AW892" s="12"/>
      <c r="AX892" s="26" t="e">
        <f ca="1">IF(Data!#REF!="","",IF(ISNUMBER(Data!#REF!),IF(AND(Data!#REF!&gt;(TODAY()-(Data_Val!$I$3*365.25)),Data!#REF!&lt;=(TODAY()-(Data_Val!$I$2*365.25))),0,1),1))</f>
        <v>#REF!</v>
      </c>
      <c r="AY892" s="12" t="e">
        <f>IF(Data!#REF!="","",IF(Data!$G892="",1,IF(ISNUMBER(MATCH(Data!#REF!,Data_Val!$D$2:$D$10,0)),0,1)))</f>
        <v>#REF!</v>
      </c>
      <c r="AZ892" s="11"/>
      <c r="BA892" s="19" t="e">
        <f ca="1">IF(Data!#REF!="","",IF(ISNUMBER(Data!#REF!),IF(AND(Data!#REF!&gt;(TODAY()-(Data_Val!$M$3*365.25)),Data!#REF!&lt;=(TODAY()-(Data_Val!$M$2*365.25))),0,1),1))</f>
        <v>#REF!</v>
      </c>
      <c r="BB892" s="11" t="e">
        <f>IF(Data!#REF!="","",IF(Data!$G892="",1,IF(ISNUMBER(MATCH(Data!#REF!,Data_Val!$D$2:$D$10,0)),0,1)))</f>
        <v>#REF!</v>
      </c>
      <c r="BC892" s="12"/>
      <c r="BD892" s="20" t="e">
        <f ca="1">IF(Data!#REF!="","",IF(ISNUMBER(Data!#REF!),IF(AND(Data!#REF!&gt;(TODAY()-(Data_Val!$M$3*365.25)),Data!#REF!&lt;=(TODAY()-(Data_Val!$M$2*365.25))),0,1),1))</f>
        <v>#REF!</v>
      </c>
      <c r="BE892" s="12" t="e">
        <f>IF(Data!#REF!="","",IF(Data!$G892="",1,IF(ISNUMBER(MATCH(Data!#REF!,Data_Val!$D$2:$D$10,0)),0,1)))</f>
        <v>#REF!</v>
      </c>
      <c r="BF892" s="17"/>
      <c r="BG892" s="18" t="e">
        <f ca="1">IF(Data!#REF!="","",IF(ISNUMBER(Data!#REF!),IF(AND(Data!#REF!&gt;(TODAY()-(Data_Val!$M$3*365.25)),Data!#REF!&lt;=(TODAY()-(Data_Val!$M$2*365.25))),0,1),1))</f>
        <v>#REF!</v>
      </c>
      <c r="BH892" s="29" t="e">
        <f>IF(Data!#REF!="","",IF(Data!$G892="",1,IF(ISNUMBER(MATCH(Data!#REF!,Data_Val!$D$2:$D$10,0)),0,1)))</f>
        <v>#REF!</v>
      </c>
      <c r="BI892" s="13"/>
      <c r="BJ892" s="21" t="e">
        <f ca="1">IF(Data!#REF!="","",IF(ISNUMBER(Data!#REF!),IF(AND(Data!#REF!&gt;(TODAY()-(Data_Val!$M$3*365.25)),Data!#REF!&lt;=(TODAY()-(Data_Val!$M$2*365.25))),0,1),1))</f>
        <v>#REF!</v>
      </c>
      <c r="BK892" s="13" t="e">
        <f>IF(Data!#REF!="","",IF(Data!$G892="",1,IF(ISNUMBER(MATCH(Data!#REF!,Data_Val!$D$2:$D$10,0)),0,1)))</f>
        <v>#REF!</v>
      </c>
    </row>
    <row r="893" spans="1:63" x14ac:dyDescent="0.25">
      <c r="A893" s="9" t="str">
        <f>IF(Data!B893="","",IF(COUNTIFS(Data!A$1:'Data'!A893,Data!A893)&lt;=1,0,1))</f>
        <v/>
      </c>
      <c r="B893" s="9"/>
      <c r="C893" s="23" t="str">
        <f>IF(Data!C893="","",(IF(ISNUMBER(MATCH("*@*.?*",Data!C893,0)),0,1)+IF(COUNTIFS(Data!C$1:'Data'!C893,Data!C893)&gt;1,1,0)))</f>
        <v/>
      </c>
      <c r="D893" s="9" t="str">
        <f>IF(Data!B893="","",IF(ISNUMBER(Data!D893),IF(AND(Data!D893&gt;999999999,Data!D893&lt;=9999999999),IF(COUNTIFS(Data!D$1:'Data'!D893,Data!D893)&lt;=1,0,1),1),1))</f>
        <v/>
      </c>
      <c r="E893" s="9" t="str">
        <f>IF(Data!B893="","",IF(ISNUMBER(MATCH(Data!E893,Data_Val!$A$2:$A$3,0)),0,1))</f>
        <v/>
      </c>
      <c r="F893" s="9" t="str">
        <f ca="1">IF(Data!B893="","",IF(ISNUMBER(Data!F893),IF(AND(Data!F893&gt;(TODAY()-(Data_Val!$H$3*365.25)),Data!F893&lt;=(TODAY()-(Data_Val!$H$2*365.25))),0,1),1))</f>
        <v/>
      </c>
      <c r="G893" s="15" t="str">
        <f>IF(Data!B893="","",IF(AND(Data!G893="",Data!H893&lt;&gt;""),1,IF(Data!#REF!&lt;&gt;"",0,IF(ISNUMBER(MATCH(Data!G893,Data_Val!$C$2:$C$5,0)),0,1))))</f>
        <v/>
      </c>
      <c r="H893" s="15" t="str">
        <f>IF(Data!B893="","",IF(AND(Data!G893&lt;&gt;"",Data!H893=""),1,IF(Data!#REF!&lt;&gt;"",0,IF(Data!G893="",1,IF(ISNUMBER(MATCH(Data!H893,Data_Val!$D$2:$D$35,0)),0,1)))))</f>
        <v/>
      </c>
      <c r="I893" s="15" t="str">
        <f>IF(Data!B893="","",IF(Data!G893&lt;&gt;"",0,IF(ISNUMBER(MATCH(Data!#REF!,Data_Val!$E$2:$E$12,0)),0,1)))</f>
        <v/>
      </c>
      <c r="J893" s="16" t="e">
        <f>IF(OR(Data!B893="",Data!#REF!=""),"",IF(Data!#REF!="",1,0))</f>
        <v>#REF!</v>
      </c>
      <c r="K893" s="16" t="e">
        <f>IF(OR(Data!B893="",Data!#REF!=""),"",IF(Data!#REF!="",1,0))</f>
        <v>#REF!</v>
      </c>
      <c r="L893" s="16" t="e">
        <f>IF(OR(Data!B893="",Data!#REF!=""),"",IF(ISNUMBER(Data!#REF!),IF(AND(Data!#REF!&gt;Data_Val!$G$2,Data!#REF!&lt;=Data_Val!$G$3),0,1),1))</f>
        <v>#REF!</v>
      </c>
      <c r="M893" s="9" t="e">
        <f>IF(OR(Data!B893="",Data!#REF!=""),"",IF(ISNUMBER(MATCH(Data!#REF!,Data_Val!$F$1:$F$38,0)),0,1))</f>
        <v>#REF!</v>
      </c>
      <c r="N893" s="9" t="e">
        <f>IF(OR(Data!B893="",Data!#REF!=""),"",IF(Data!#REF!="",1,0))</f>
        <v>#REF!</v>
      </c>
      <c r="O893" s="17" t="e">
        <f>IF(Data!#REF!="","",IF(Data!#REF!="",1,0))</f>
        <v>#REF!</v>
      </c>
      <c r="P893" s="17" t="e">
        <f>IF(Data!#REF!="","",IF(ISNUMBER(MATCH(Data!#REF!,Data_Val!$A$2:$A$3,0)),0,1))</f>
        <v>#REF!</v>
      </c>
      <c r="Q893" s="25" t="e">
        <f ca="1">IF(Data!#REF!="","",IF(ISNUMBER(Data!#REF!),IF(AND(Data!#REF!&gt;(TODAY()-(Data_Val!$J$3*365.25)),Data!#REF!&lt;=(TODAY()-(Data_Val!$J$2*365.25))),0,1),1))</f>
        <v>#REF!</v>
      </c>
      <c r="R893" s="17" t="e">
        <f>IF(Data!#REF!="","",IF(ISNUMBER(MATCH(Data!#REF!,Data_Val!$B$2:$B$15,0)),0,1))</f>
        <v>#REF!</v>
      </c>
      <c r="S893" s="11" t="str">
        <f>IF(Data!G893="","",IF(Data!G893=Data_Val!$C$2,IF(Data!M893="",0,1),0))</f>
        <v/>
      </c>
      <c r="T893" s="11" t="str">
        <f>IF(Data!M893="","",IF(ISNUMBER(MATCH(Data!N893,Data_Val!$A$2:$A$3,0)),0,1))</f>
        <v/>
      </c>
      <c r="U893" s="11" t="str">
        <f ca="1">IF(Data!M893="","",IF(ISNUMBER(Data!O893),IF(AND(Data!O893&gt;(TODAY()-(Data_Val!$K$3*365.25)),Data!O893&lt;=(TODAY()-(Data_Val!$K$2*365.25))),0,1),1))</f>
        <v/>
      </c>
      <c r="V893" s="12" t="str">
        <f>IF(Data!G893="","",IF(Data!G893=Data_Val!$C$2,IF(Data!P893="",0,1),0))</f>
        <v/>
      </c>
      <c r="W893" s="12" t="str">
        <f>IF(Data!P893="","",IF(ISNUMBER(MATCH(Data!Q893,Data_Val!$A$2:$A$3,0)),0,1))</f>
        <v/>
      </c>
      <c r="X893" s="26" t="str">
        <f ca="1">IF(Data!P893="","",IF(ISNUMBER(Data!R893),IF(AND(Data!R893&gt;(TODAY()-(Data_Val!$L$3*365.25)),Data!R893&lt;=(TODAY()-(Data_Val!$L$2*365.25))),0,1),1))</f>
        <v/>
      </c>
      <c r="Y893" s="13" t="str">
        <f>IF(Data!$G893="","",IF(Data!$G893=Data_Val!$C$2,IF(Data!S893="",0,1),0))</f>
        <v/>
      </c>
      <c r="Z893" s="13" t="str">
        <f>IF(Data!S893="","",IF(ISNUMBER(MATCH(Data!T893,Data_Val!$A$2:$A$3,0)),0,1))</f>
        <v/>
      </c>
      <c r="AA893" s="28" t="str">
        <f ca="1">IF(Data!S893="","",IF(ISNUMBER(Data!U893),IF(AND(Data!U893&gt;(TODAY()-(Data_Val!$L$3*365.25)),Data!U893&lt;=(TODAY()-(Data_Val!$L$2*365.25))),0,1),1))</f>
        <v/>
      </c>
      <c r="AB893" s="11"/>
      <c r="AC893" s="11" t="e">
        <f>IF(Data!#REF!="","",IF(ISNUMBER(MATCH(Data!#REF!,Data_Val!$A$2:$A$3,0)),0,1))</f>
        <v>#REF!</v>
      </c>
      <c r="AD893" s="11" t="e">
        <f ca="1">IF(Data!#REF!="","",IF(ISNUMBER(Data!#REF!),IF(AND(Data!#REF!&gt;(TODAY()-(Data_Val!$L$3*365.25)),Data!#REF!&lt;=(TODAY()-(Data_Val!$L$2*365.25))),0,1),1))</f>
        <v>#REF!</v>
      </c>
      <c r="AE893" s="11" t="e">
        <f>IF(Data!#REF!="","",IF(Data!$G893="",1,IF(ISNUMBER(MATCH(Data!#REF!,Data_Val!$D$2:$D$10,0)),0,1)))</f>
        <v>#REF!</v>
      </c>
      <c r="AF893" s="12"/>
      <c r="AG893" s="12" t="e">
        <f>IF(Data!#REF!="","",IF(ISNUMBER(MATCH(Data!#REF!,Data_Val!$A$2:$A$3,0)),0,1))</f>
        <v>#REF!</v>
      </c>
      <c r="AH893" s="26" t="e">
        <f ca="1">IF(Data!#REF!="","",IF(ISNUMBER(Data!#REF!),IF(AND(Data!#REF!&gt;(TODAY()-(Data_Val!$L$3*365.25)),Data!#REF!&lt;=(TODAY()-(Data_Val!$L$2*365.25))),0,1),1))</f>
        <v>#REF!</v>
      </c>
      <c r="AI893" s="12" t="e">
        <f>IF(Data!#REF!="","",IF(Data!$G893="",1,IF(ISNUMBER(MATCH(Data!#REF!,Data_Val!$D$2:$D$10,0)),0,1)))</f>
        <v>#REF!</v>
      </c>
      <c r="AJ893" s="17"/>
      <c r="AK893" s="17" t="e">
        <f>IF(Data!#REF!="","",IF(ISNUMBER(MATCH(Data!#REF!,Data_Val!$A$2:$A$3,0)),0,1))</f>
        <v>#REF!</v>
      </c>
      <c r="AL893" s="25" t="e">
        <f ca="1">IF(Data!#REF!="","",IF(ISNUMBER(Data!#REF!),IF(AND(Data!#REF!&gt;(TODAY()-(Data_Val!$L$3*365.25)),Data!#REF!&lt;=(TODAY()-(Data_Val!$L$2*365.25))),0,1),1))</f>
        <v>#REF!</v>
      </c>
      <c r="AM893" s="17" t="e">
        <f>IF(Data!#REF!="","",IF(Data!$G893="",1,IF(ISNUMBER(MATCH(Data!#REF!,Data_Val!$D$2:$D$10,0)),0,1)))</f>
        <v>#REF!</v>
      </c>
      <c r="AN893" s="13"/>
      <c r="AO893" s="28" t="e">
        <f ca="1">IF(Data!#REF!="","",IF(ISNUMBER(Data!#REF!),IF(AND(Data!#REF!&gt;(TODAY()-(Data_Val!$I$3*365.25)),Data!#REF!&lt;=(TODAY()-(Data_Val!$I$2*365.25))),0,1),1))</f>
        <v>#REF!</v>
      </c>
      <c r="AP893" s="13" t="e">
        <f>IF(Data!#REF!="","",IF(Data!$G893="",1,IF(ISNUMBER(MATCH(Data!#REF!,Data_Val!$D$2:$D$10,0)),0,1)))</f>
        <v>#REF!</v>
      </c>
      <c r="AQ893" s="17"/>
      <c r="AR893" s="30" t="e">
        <f ca="1">IF(Data!#REF!="","",IF(ISNUMBER(Data!#REF!),IF(AND(Data!#REF!&gt;(TODAY()-(Data_Val!$I$3*365.25)),Data!#REF!&lt;=(TODAY()-(Data_Val!$I$2*365.25))),0,1),1))</f>
        <v>#REF!</v>
      </c>
      <c r="AS893" s="31" t="e">
        <f>IF(Data!#REF!="","",IF(Data!$G893="",1,IF(ISNUMBER(MATCH(Data!#REF!,Data_Val!$D$2:$D$10,0)),0,1)))</f>
        <v>#REF!</v>
      </c>
      <c r="AT893" s="11"/>
      <c r="AU893" s="11" t="e">
        <f ca="1">IF(Data!#REF!="","",IF(ISNUMBER(Data!#REF!),IF(AND(Data!#REF!&gt;(TODAY()-(Data_Val!$I$3*365.25)),Data!#REF!&lt;=(TODAY()-(Data_Val!$I$2*365.25))),0,1),1))</f>
        <v>#REF!</v>
      </c>
      <c r="AV893" s="11" t="e">
        <f>IF(Data!#REF!="","",IF(Data!$G893="",1,IF(ISNUMBER(MATCH(Data!#REF!,Data_Val!$D$2:$D$10,0)),0,1)))</f>
        <v>#REF!</v>
      </c>
      <c r="AW893" s="12"/>
      <c r="AX893" s="26" t="e">
        <f ca="1">IF(Data!#REF!="","",IF(ISNUMBER(Data!#REF!),IF(AND(Data!#REF!&gt;(TODAY()-(Data_Val!$I$3*365.25)),Data!#REF!&lt;=(TODAY()-(Data_Val!$I$2*365.25))),0,1),1))</f>
        <v>#REF!</v>
      </c>
      <c r="AY893" s="12" t="e">
        <f>IF(Data!#REF!="","",IF(Data!$G893="",1,IF(ISNUMBER(MATCH(Data!#REF!,Data_Val!$D$2:$D$10,0)),0,1)))</f>
        <v>#REF!</v>
      </c>
      <c r="AZ893" s="11"/>
      <c r="BA893" s="19" t="e">
        <f ca="1">IF(Data!#REF!="","",IF(ISNUMBER(Data!#REF!),IF(AND(Data!#REF!&gt;(TODAY()-(Data_Val!$M$3*365.25)),Data!#REF!&lt;=(TODAY()-(Data_Val!$M$2*365.25))),0,1),1))</f>
        <v>#REF!</v>
      </c>
      <c r="BB893" s="11" t="e">
        <f>IF(Data!#REF!="","",IF(Data!$G893="",1,IF(ISNUMBER(MATCH(Data!#REF!,Data_Val!$D$2:$D$10,0)),0,1)))</f>
        <v>#REF!</v>
      </c>
      <c r="BC893" s="12"/>
      <c r="BD893" s="20" t="e">
        <f ca="1">IF(Data!#REF!="","",IF(ISNUMBER(Data!#REF!),IF(AND(Data!#REF!&gt;(TODAY()-(Data_Val!$M$3*365.25)),Data!#REF!&lt;=(TODAY()-(Data_Val!$M$2*365.25))),0,1),1))</f>
        <v>#REF!</v>
      </c>
      <c r="BE893" s="12" t="e">
        <f>IF(Data!#REF!="","",IF(Data!$G893="",1,IF(ISNUMBER(MATCH(Data!#REF!,Data_Val!$D$2:$D$10,0)),0,1)))</f>
        <v>#REF!</v>
      </c>
      <c r="BF893" s="17"/>
      <c r="BG893" s="18" t="e">
        <f ca="1">IF(Data!#REF!="","",IF(ISNUMBER(Data!#REF!),IF(AND(Data!#REF!&gt;(TODAY()-(Data_Val!$M$3*365.25)),Data!#REF!&lt;=(TODAY()-(Data_Val!$M$2*365.25))),0,1),1))</f>
        <v>#REF!</v>
      </c>
      <c r="BH893" s="29" t="e">
        <f>IF(Data!#REF!="","",IF(Data!$G893="",1,IF(ISNUMBER(MATCH(Data!#REF!,Data_Val!$D$2:$D$10,0)),0,1)))</f>
        <v>#REF!</v>
      </c>
      <c r="BI893" s="13"/>
      <c r="BJ893" s="21" t="e">
        <f ca="1">IF(Data!#REF!="","",IF(ISNUMBER(Data!#REF!),IF(AND(Data!#REF!&gt;(TODAY()-(Data_Val!$M$3*365.25)),Data!#REF!&lt;=(TODAY()-(Data_Val!$M$2*365.25))),0,1),1))</f>
        <v>#REF!</v>
      </c>
      <c r="BK893" s="13" t="e">
        <f>IF(Data!#REF!="","",IF(Data!$G893="",1,IF(ISNUMBER(MATCH(Data!#REF!,Data_Val!$D$2:$D$10,0)),0,1)))</f>
        <v>#REF!</v>
      </c>
    </row>
    <row r="894" spans="1:63" x14ac:dyDescent="0.25">
      <c r="A894" s="9" t="str">
        <f>IF(Data!B894="","",IF(COUNTIFS(Data!A$1:'Data'!A894,Data!A894)&lt;=1,0,1))</f>
        <v/>
      </c>
      <c r="B894" s="9"/>
      <c r="C894" s="23" t="str">
        <f>IF(Data!C894="","",(IF(ISNUMBER(MATCH("*@*.?*",Data!C894,0)),0,1)+IF(COUNTIFS(Data!C$1:'Data'!C894,Data!C894)&gt;1,1,0)))</f>
        <v/>
      </c>
      <c r="D894" s="9" t="str">
        <f>IF(Data!B894="","",IF(ISNUMBER(Data!D894),IF(AND(Data!D894&gt;999999999,Data!D894&lt;=9999999999),IF(COUNTIFS(Data!D$1:'Data'!D894,Data!D894)&lt;=1,0,1),1),1))</f>
        <v/>
      </c>
      <c r="E894" s="9" t="str">
        <f>IF(Data!B894="","",IF(ISNUMBER(MATCH(Data!E894,Data_Val!$A$2:$A$3,0)),0,1))</f>
        <v/>
      </c>
      <c r="F894" s="9" t="str">
        <f ca="1">IF(Data!B894="","",IF(ISNUMBER(Data!F894),IF(AND(Data!F894&gt;(TODAY()-(Data_Val!$H$3*365.25)),Data!F894&lt;=(TODAY()-(Data_Val!$H$2*365.25))),0,1),1))</f>
        <v/>
      </c>
      <c r="G894" s="15" t="str">
        <f>IF(Data!B894="","",IF(AND(Data!G894="",Data!H894&lt;&gt;""),1,IF(Data!#REF!&lt;&gt;"",0,IF(ISNUMBER(MATCH(Data!G894,Data_Val!$C$2:$C$5,0)),0,1))))</f>
        <v/>
      </c>
      <c r="H894" s="15" t="str">
        <f>IF(Data!B894="","",IF(AND(Data!G894&lt;&gt;"",Data!H894=""),1,IF(Data!#REF!&lt;&gt;"",0,IF(Data!G894="",1,IF(ISNUMBER(MATCH(Data!H894,Data_Val!$D$2:$D$35,0)),0,1)))))</f>
        <v/>
      </c>
      <c r="I894" s="15" t="str">
        <f>IF(Data!B894="","",IF(Data!G894&lt;&gt;"",0,IF(ISNUMBER(MATCH(Data!#REF!,Data_Val!$E$2:$E$12,0)),0,1)))</f>
        <v/>
      </c>
      <c r="J894" s="16" t="e">
        <f>IF(OR(Data!B894="",Data!#REF!=""),"",IF(Data!#REF!="",1,0))</f>
        <v>#REF!</v>
      </c>
      <c r="K894" s="16" t="e">
        <f>IF(OR(Data!B894="",Data!#REF!=""),"",IF(Data!#REF!="",1,0))</f>
        <v>#REF!</v>
      </c>
      <c r="L894" s="16" t="e">
        <f>IF(OR(Data!B894="",Data!#REF!=""),"",IF(ISNUMBER(Data!#REF!),IF(AND(Data!#REF!&gt;Data_Val!$G$2,Data!#REF!&lt;=Data_Val!$G$3),0,1),1))</f>
        <v>#REF!</v>
      </c>
      <c r="M894" s="9" t="e">
        <f>IF(OR(Data!B894="",Data!#REF!=""),"",IF(ISNUMBER(MATCH(Data!#REF!,Data_Val!$F$1:$F$38,0)),0,1))</f>
        <v>#REF!</v>
      </c>
      <c r="N894" s="9" t="e">
        <f>IF(OR(Data!B894="",Data!#REF!=""),"",IF(Data!#REF!="",1,0))</f>
        <v>#REF!</v>
      </c>
      <c r="O894" s="17" t="e">
        <f>IF(Data!#REF!="","",IF(Data!#REF!="",1,0))</f>
        <v>#REF!</v>
      </c>
      <c r="P894" s="17" t="e">
        <f>IF(Data!#REF!="","",IF(ISNUMBER(MATCH(Data!#REF!,Data_Val!$A$2:$A$3,0)),0,1))</f>
        <v>#REF!</v>
      </c>
      <c r="Q894" s="25" t="e">
        <f ca="1">IF(Data!#REF!="","",IF(ISNUMBER(Data!#REF!),IF(AND(Data!#REF!&gt;(TODAY()-(Data_Val!$J$3*365.25)),Data!#REF!&lt;=(TODAY()-(Data_Val!$J$2*365.25))),0,1),1))</f>
        <v>#REF!</v>
      </c>
      <c r="R894" s="17" t="e">
        <f>IF(Data!#REF!="","",IF(ISNUMBER(MATCH(Data!#REF!,Data_Val!$B$2:$B$15,0)),0,1))</f>
        <v>#REF!</v>
      </c>
      <c r="S894" s="11" t="str">
        <f>IF(Data!G894="","",IF(Data!G894=Data_Val!$C$2,IF(Data!M894="",0,1),0))</f>
        <v/>
      </c>
      <c r="T894" s="11" t="str">
        <f>IF(Data!M894="","",IF(ISNUMBER(MATCH(Data!N894,Data_Val!$A$2:$A$3,0)),0,1))</f>
        <v/>
      </c>
      <c r="U894" s="11" t="str">
        <f ca="1">IF(Data!M894="","",IF(ISNUMBER(Data!O894),IF(AND(Data!O894&gt;(TODAY()-(Data_Val!$K$3*365.25)),Data!O894&lt;=(TODAY()-(Data_Val!$K$2*365.25))),0,1),1))</f>
        <v/>
      </c>
      <c r="V894" s="12" t="str">
        <f>IF(Data!G894="","",IF(Data!G894=Data_Val!$C$2,IF(Data!P894="",0,1),0))</f>
        <v/>
      </c>
      <c r="W894" s="12" t="str">
        <f>IF(Data!P894="","",IF(ISNUMBER(MATCH(Data!Q894,Data_Val!$A$2:$A$3,0)),0,1))</f>
        <v/>
      </c>
      <c r="X894" s="26" t="str">
        <f ca="1">IF(Data!P894="","",IF(ISNUMBER(Data!R894),IF(AND(Data!R894&gt;(TODAY()-(Data_Val!$L$3*365.25)),Data!R894&lt;=(TODAY()-(Data_Val!$L$2*365.25))),0,1),1))</f>
        <v/>
      </c>
      <c r="Y894" s="13" t="str">
        <f>IF(Data!$G894="","",IF(Data!$G894=Data_Val!$C$2,IF(Data!S894="",0,1),0))</f>
        <v/>
      </c>
      <c r="Z894" s="13" t="str">
        <f>IF(Data!S894="","",IF(ISNUMBER(MATCH(Data!T894,Data_Val!$A$2:$A$3,0)),0,1))</f>
        <v/>
      </c>
      <c r="AA894" s="28" t="str">
        <f ca="1">IF(Data!S894="","",IF(ISNUMBER(Data!U894),IF(AND(Data!U894&gt;(TODAY()-(Data_Val!$L$3*365.25)),Data!U894&lt;=(TODAY()-(Data_Val!$L$2*365.25))),0,1),1))</f>
        <v/>
      </c>
      <c r="AB894" s="11"/>
      <c r="AC894" s="11" t="e">
        <f>IF(Data!#REF!="","",IF(ISNUMBER(MATCH(Data!#REF!,Data_Val!$A$2:$A$3,0)),0,1))</f>
        <v>#REF!</v>
      </c>
      <c r="AD894" s="11" t="e">
        <f ca="1">IF(Data!#REF!="","",IF(ISNUMBER(Data!#REF!),IF(AND(Data!#REF!&gt;(TODAY()-(Data_Val!$L$3*365.25)),Data!#REF!&lt;=(TODAY()-(Data_Val!$L$2*365.25))),0,1),1))</f>
        <v>#REF!</v>
      </c>
      <c r="AE894" s="11" t="e">
        <f>IF(Data!#REF!="","",IF(Data!$G894="",1,IF(ISNUMBER(MATCH(Data!#REF!,Data_Val!$D$2:$D$10,0)),0,1)))</f>
        <v>#REF!</v>
      </c>
      <c r="AF894" s="12"/>
      <c r="AG894" s="12" t="e">
        <f>IF(Data!#REF!="","",IF(ISNUMBER(MATCH(Data!#REF!,Data_Val!$A$2:$A$3,0)),0,1))</f>
        <v>#REF!</v>
      </c>
      <c r="AH894" s="26" t="e">
        <f ca="1">IF(Data!#REF!="","",IF(ISNUMBER(Data!#REF!),IF(AND(Data!#REF!&gt;(TODAY()-(Data_Val!$L$3*365.25)),Data!#REF!&lt;=(TODAY()-(Data_Val!$L$2*365.25))),0,1),1))</f>
        <v>#REF!</v>
      </c>
      <c r="AI894" s="12" t="e">
        <f>IF(Data!#REF!="","",IF(Data!$G894="",1,IF(ISNUMBER(MATCH(Data!#REF!,Data_Val!$D$2:$D$10,0)),0,1)))</f>
        <v>#REF!</v>
      </c>
      <c r="AJ894" s="17"/>
      <c r="AK894" s="17" t="e">
        <f>IF(Data!#REF!="","",IF(ISNUMBER(MATCH(Data!#REF!,Data_Val!$A$2:$A$3,0)),0,1))</f>
        <v>#REF!</v>
      </c>
      <c r="AL894" s="25" t="e">
        <f ca="1">IF(Data!#REF!="","",IF(ISNUMBER(Data!#REF!),IF(AND(Data!#REF!&gt;(TODAY()-(Data_Val!$L$3*365.25)),Data!#REF!&lt;=(TODAY()-(Data_Val!$L$2*365.25))),0,1),1))</f>
        <v>#REF!</v>
      </c>
      <c r="AM894" s="17" t="e">
        <f>IF(Data!#REF!="","",IF(Data!$G894="",1,IF(ISNUMBER(MATCH(Data!#REF!,Data_Val!$D$2:$D$10,0)),0,1)))</f>
        <v>#REF!</v>
      </c>
      <c r="AN894" s="13"/>
      <c r="AO894" s="28" t="e">
        <f ca="1">IF(Data!#REF!="","",IF(ISNUMBER(Data!#REF!),IF(AND(Data!#REF!&gt;(TODAY()-(Data_Val!$I$3*365.25)),Data!#REF!&lt;=(TODAY()-(Data_Val!$I$2*365.25))),0,1),1))</f>
        <v>#REF!</v>
      </c>
      <c r="AP894" s="13" t="e">
        <f>IF(Data!#REF!="","",IF(Data!$G894="",1,IF(ISNUMBER(MATCH(Data!#REF!,Data_Val!$D$2:$D$10,0)),0,1)))</f>
        <v>#REF!</v>
      </c>
      <c r="AQ894" s="17"/>
      <c r="AR894" s="30" t="e">
        <f ca="1">IF(Data!#REF!="","",IF(ISNUMBER(Data!#REF!),IF(AND(Data!#REF!&gt;(TODAY()-(Data_Val!$I$3*365.25)),Data!#REF!&lt;=(TODAY()-(Data_Val!$I$2*365.25))),0,1),1))</f>
        <v>#REF!</v>
      </c>
      <c r="AS894" s="31" t="e">
        <f>IF(Data!#REF!="","",IF(Data!$G894="",1,IF(ISNUMBER(MATCH(Data!#REF!,Data_Val!$D$2:$D$10,0)),0,1)))</f>
        <v>#REF!</v>
      </c>
      <c r="AT894" s="11"/>
      <c r="AU894" s="11" t="e">
        <f ca="1">IF(Data!#REF!="","",IF(ISNUMBER(Data!#REF!),IF(AND(Data!#REF!&gt;(TODAY()-(Data_Val!$I$3*365.25)),Data!#REF!&lt;=(TODAY()-(Data_Val!$I$2*365.25))),0,1),1))</f>
        <v>#REF!</v>
      </c>
      <c r="AV894" s="11" t="e">
        <f>IF(Data!#REF!="","",IF(Data!$G894="",1,IF(ISNUMBER(MATCH(Data!#REF!,Data_Val!$D$2:$D$10,0)),0,1)))</f>
        <v>#REF!</v>
      </c>
      <c r="AW894" s="12"/>
      <c r="AX894" s="26" t="e">
        <f ca="1">IF(Data!#REF!="","",IF(ISNUMBER(Data!#REF!),IF(AND(Data!#REF!&gt;(TODAY()-(Data_Val!$I$3*365.25)),Data!#REF!&lt;=(TODAY()-(Data_Val!$I$2*365.25))),0,1),1))</f>
        <v>#REF!</v>
      </c>
      <c r="AY894" s="12" t="e">
        <f>IF(Data!#REF!="","",IF(Data!$G894="",1,IF(ISNUMBER(MATCH(Data!#REF!,Data_Val!$D$2:$D$10,0)),0,1)))</f>
        <v>#REF!</v>
      </c>
      <c r="AZ894" s="11"/>
      <c r="BA894" s="19" t="e">
        <f ca="1">IF(Data!#REF!="","",IF(ISNUMBER(Data!#REF!),IF(AND(Data!#REF!&gt;(TODAY()-(Data_Val!$M$3*365.25)),Data!#REF!&lt;=(TODAY()-(Data_Val!$M$2*365.25))),0,1),1))</f>
        <v>#REF!</v>
      </c>
      <c r="BB894" s="11" t="e">
        <f>IF(Data!#REF!="","",IF(Data!$G894="",1,IF(ISNUMBER(MATCH(Data!#REF!,Data_Val!$D$2:$D$10,0)),0,1)))</f>
        <v>#REF!</v>
      </c>
      <c r="BC894" s="12"/>
      <c r="BD894" s="20" t="e">
        <f ca="1">IF(Data!#REF!="","",IF(ISNUMBER(Data!#REF!),IF(AND(Data!#REF!&gt;(TODAY()-(Data_Val!$M$3*365.25)),Data!#REF!&lt;=(TODAY()-(Data_Val!$M$2*365.25))),0,1),1))</f>
        <v>#REF!</v>
      </c>
      <c r="BE894" s="12" t="e">
        <f>IF(Data!#REF!="","",IF(Data!$G894="",1,IF(ISNUMBER(MATCH(Data!#REF!,Data_Val!$D$2:$D$10,0)),0,1)))</f>
        <v>#REF!</v>
      </c>
      <c r="BF894" s="17"/>
      <c r="BG894" s="18" t="e">
        <f ca="1">IF(Data!#REF!="","",IF(ISNUMBER(Data!#REF!),IF(AND(Data!#REF!&gt;(TODAY()-(Data_Val!$M$3*365.25)),Data!#REF!&lt;=(TODAY()-(Data_Val!$M$2*365.25))),0,1),1))</f>
        <v>#REF!</v>
      </c>
      <c r="BH894" s="29" t="e">
        <f>IF(Data!#REF!="","",IF(Data!$G894="",1,IF(ISNUMBER(MATCH(Data!#REF!,Data_Val!$D$2:$D$10,0)),0,1)))</f>
        <v>#REF!</v>
      </c>
      <c r="BI894" s="13"/>
      <c r="BJ894" s="21" t="e">
        <f ca="1">IF(Data!#REF!="","",IF(ISNUMBER(Data!#REF!),IF(AND(Data!#REF!&gt;(TODAY()-(Data_Val!$M$3*365.25)),Data!#REF!&lt;=(TODAY()-(Data_Val!$M$2*365.25))),0,1),1))</f>
        <v>#REF!</v>
      </c>
      <c r="BK894" s="13" t="e">
        <f>IF(Data!#REF!="","",IF(Data!$G894="",1,IF(ISNUMBER(MATCH(Data!#REF!,Data_Val!$D$2:$D$10,0)),0,1)))</f>
        <v>#REF!</v>
      </c>
    </row>
    <row r="895" spans="1:63" x14ac:dyDescent="0.25">
      <c r="A895" s="9" t="str">
        <f>IF(Data!B895="","",IF(COUNTIFS(Data!A$1:'Data'!A895,Data!A895)&lt;=1,0,1))</f>
        <v/>
      </c>
      <c r="B895" s="9"/>
      <c r="C895" s="23" t="str">
        <f>IF(Data!C895="","",(IF(ISNUMBER(MATCH("*@*.?*",Data!C895,0)),0,1)+IF(COUNTIFS(Data!C$1:'Data'!C895,Data!C895)&gt;1,1,0)))</f>
        <v/>
      </c>
      <c r="D895" s="9" t="str">
        <f>IF(Data!B895="","",IF(ISNUMBER(Data!D895),IF(AND(Data!D895&gt;999999999,Data!D895&lt;=9999999999),IF(COUNTIFS(Data!D$1:'Data'!D895,Data!D895)&lt;=1,0,1),1),1))</f>
        <v/>
      </c>
      <c r="E895" s="9" t="str">
        <f>IF(Data!B895="","",IF(ISNUMBER(MATCH(Data!E895,Data_Val!$A$2:$A$3,0)),0,1))</f>
        <v/>
      </c>
      <c r="F895" s="9" t="str">
        <f ca="1">IF(Data!B895="","",IF(ISNUMBER(Data!F895),IF(AND(Data!F895&gt;(TODAY()-(Data_Val!$H$3*365.25)),Data!F895&lt;=(TODAY()-(Data_Val!$H$2*365.25))),0,1),1))</f>
        <v/>
      </c>
      <c r="G895" s="15" t="str">
        <f>IF(Data!B895="","",IF(AND(Data!G895="",Data!H895&lt;&gt;""),1,IF(Data!#REF!&lt;&gt;"",0,IF(ISNUMBER(MATCH(Data!G895,Data_Val!$C$2:$C$5,0)),0,1))))</f>
        <v/>
      </c>
      <c r="H895" s="15" t="str">
        <f>IF(Data!B895="","",IF(AND(Data!G895&lt;&gt;"",Data!H895=""),1,IF(Data!#REF!&lt;&gt;"",0,IF(Data!G895="",1,IF(ISNUMBER(MATCH(Data!H895,Data_Val!$D$2:$D$35,0)),0,1)))))</f>
        <v/>
      </c>
      <c r="I895" s="15" t="str">
        <f>IF(Data!B895="","",IF(Data!G895&lt;&gt;"",0,IF(ISNUMBER(MATCH(Data!#REF!,Data_Val!$E$2:$E$12,0)),0,1)))</f>
        <v/>
      </c>
      <c r="J895" s="16" t="e">
        <f>IF(OR(Data!B895="",Data!#REF!=""),"",IF(Data!#REF!="",1,0))</f>
        <v>#REF!</v>
      </c>
      <c r="K895" s="16" t="e">
        <f>IF(OR(Data!B895="",Data!#REF!=""),"",IF(Data!#REF!="",1,0))</f>
        <v>#REF!</v>
      </c>
      <c r="L895" s="16" t="e">
        <f>IF(OR(Data!B895="",Data!#REF!=""),"",IF(ISNUMBER(Data!#REF!),IF(AND(Data!#REF!&gt;Data_Val!$G$2,Data!#REF!&lt;=Data_Val!$G$3),0,1),1))</f>
        <v>#REF!</v>
      </c>
      <c r="M895" s="9" t="e">
        <f>IF(OR(Data!B895="",Data!#REF!=""),"",IF(ISNUMBER(MATCH(Data!#REF!,Data_Val!$F$1:$F$38,0)),0,1))</f>
        <v>#REF!</v>
      </c>
      <c r="N895" s="9" t="e">
        <f>IF(OR(Data!B895="",Data!#REF!=""),"",IF(Data!#REF!="",1,0))</f>
        <v>#REF!</v>
      </c>
      <c r="O895" s="17" t="e">
        <f>IF(Data!#REF!="","",IF(Data!#REF!="",1,0))</f>
        <v>#REF!</v>
      </c>
      <c r="P895" s="17" t="e">
        <f>IF(Data!#REF!="","",IF(ISNUMBER(MATCH(Data!#REF!,Data_Val!$A$2:$A$3,0)),0,1))</f>
        <v>#REF!</v>
      </c>
      <c r="Q895" s="25" t="e">
        <f ca="1">IF(Data!#REF!="","",IF(ISNUMBER(Data!#REF!),IF(AND(Data!#REF!&gt;(TODAY()-(Data_Val!$J$3*365.25)),Data!#REF!&lt;=(TODAY()-(Data_Val!$J$2*365.25))),0,1),1))</f>
        <v>#REF!</v>
      </c>
      <c r="R895" s="17" t="e">
        <f>IF(Data!#REF!="","",IF(ISNUMBER(MATCH(Data!#REF!,Data_Val!$B$2:$B$15,0)),0,1))</f>
        <v>#REF!</v>
      </c>
      <c r="S895" s="11" t="str">
        <f>IF(Data!G895="","",IF(Data!G895=Data_Val!$C$2,IF(Data!M895="",0,1),0))</f>
        <v/>
      </c>
      <c r="T895" s="11" t="str">
        <f>IF(Data!M895="","",IF(ISNUMBER(MATCH(Data!N895,Data_Val!$A$2:$A$3,0)),0,1))</f>
        <v/>
      </c>
      <c r="U895" s="11" t="str">
        <f ca="1">IF(Data!M895="","",IF(ISNUMBER(Data!O895),IF(AND(Data!O895&gt;(TODAY()-(Data_Val!$K$3*365.25)),Data!O895&lt;=(TODAY()-(Data_Val!$K$2*365.25))),0,1),1))</f>
        <v/>
      </c>
      <c r="V895" s="12" t="str">
        <f>IF(Data!G895="","",IF(Data!G895=Data_Val!$C$2,IF(Data!P895="",0,1),0))</f>
        <v/>
      </c>
      <c r="W895" s="12" t="str">
        <f>IF(Data!P895="","",IF(ISNUMBER(MATCH(Data!Q895,Data_Val!$A$2:$A$3,0)),0,1))</f>
        <v/>
      </c>
      <c r="X895" s="26" t="str">
        <f ca="1">IF(Data!P895="","",IF(ISNUMBER(Data!R895),IF(AND(Data!R895&gt;(TODAY()-(Data_Val!$L$3*365.25)),Data!R895&lt;=(TODAY()-(Data_Val!$L$2*365.25))),0,1),1))</f>
        <v/>
      </c>
      <c r="Y895" s="13" t="str">
        <f>IF(Data!$G895="","",IF(Data!$G895=Data_Val!$C$2,IF(Data!S895="",0,1),0))</f>
        <v/>
      </c>
      <c r="Z895" s="13" t="str">
        <f>IF(Data!S895="","",IF(ISNUMBER(MATCH(Data!T895,Data_Val!$A$2:$A$3,0)),0,1))</f>
        <v/>
      </c>
      <c r="AA895" s="28" t="str">
        <f ca="1">IF(Data!S895="","",IF(ISNUMBER(Data!U895),IF(AND(Data!U895&gt;(TODAY()-(Data_Val!$L$3*365.25)),Data!U895&lt;=(TODAY()-(Data_Val!$L$2*365.25))),0,1),1))</f>
        <v/>
      </c>
      <c r="AB895" s="11"/>
      <c r="AC895" s="11" t="e">
        <f>IF(Data!#REF!="","",IF(ISNUMBER(MATCH(Data!#REF!,Data_Val!$A$2:$A$3,0)),0,1))</f>
        <v>#REF!</v>
      </c>
      <c r="AD895" s="11" t="e">
        <f ca="1">IF(Data!#REF!="","",IF(ISNUMBER(Data!#REF!),IF(AND(Data!#REF!&gt;(TODAY()-(Data_Val!$L$3*365.25)),Data!#REF!&lt;=(TODAY()-(Data_Val!$L$2*365.25))),0,1),1))</f>
        <v>#REF!</v>
      </c>
      <c r="AE895" s="11" t="e">
        <f>IF(Data!#REF!="","",IF(Data!$G895="",1,IF(ISNUMBER(MATCH(Data!#REF!,Data_Val!$D$2:$D$10,0)),0,1)))</f>
        <v>#REF!</v>
      </c>
      <c r="AF895" s="12"/>
      <c r="AG895" s="12" t="e">
        <f>IF(Data!#REF!="","",IF(ISNUMBER(MATCH(Data!#REF!,Data_Val!$A$2:$A$3,0)),0,1))</f>
        <v>#REF!</v>
      </c>
      <c r="AH895" s="26" t="e">
        <f ca="1">IF(Data!#REF!="","",IF(ISNUMBER(Data!#REF!),IF(AND(Data!#REF!&gt;(TODAY()-(Data_Val!$L$3*365.25)),Data!#REF!&lt;=(TODAY()-(Data_Val!$L$2*365.25))),0,1),1))</f>
        <v>#REF!</v>
      </c>
      <c r="AI895" s="12" t="e">
        <f>IF(Data!#REF!="","",IF(Data!$G895="",1,IF(ISNUMBER(MATCH(Data!#REF!,Data_Val!$D$2:$D$10,0)),0,1)))</f>
        <v>#REF!</v>
      </c>
      <c r="AJ895" s="17"/>
      <c r="AK895" s="17" t="e">
        <f>IF(Data!#REF!="","",IF(ISNUMBER(MATCH(Data!#REF!,Data_Val!$A$2:$A$3,0)),0,1))</f>
        <v>#REF!</v>
      </c>
      <c r="AL895" s="25" t="e">
        <f ca="1">IF(Data!#REF!="","",IF(ISNUMBER(Data!#REF!),IF(AND(Data!#REF!&gt;(TODAY()-(Data_Val!$L$3*365.25)),Data!#REF!&lt;=(TODAY()-(Data_Val!$L$2*365.25))),0,1),1))</f>
        <v>#REF!</v>
      </c>
      <c r="AM895" s="17" t="e">
        <f>IF(Data!#REF!="","",IF(Data!$G895="",1,IF(ISNUMBER(MATCH(Data!#REF!,Data_Val!$D$2:$D$10,0)),0,1)))</f>
        <v>#REF!</v>
      </c>
      <c r="AN895" s="13"/>
      <c r="AO895" s="28" t="e">
        <f ca="1">IF(Data!#REF!="","",IF(ISNUMBER(Data!#REF!),IF(AND(Data!#REF!&gt;(TODAY()-(Data_Val!$I$3*365.25)),Data!#REF!&lt;=(TODAY()-(Data_Val!$I$2*365.25))),0,1),1))</f>
        <v>#REF!</v>
      </c>
      <c r="AP895" s="13" t="e">
        <f>IF(Data!#REF!="","",IF(Data!$G895="",1,IF(ISNUMBER(MATCH(Data!#REF!,Data_Val!$D$2:$D$10,0)),0,1)))</f>
        <v>#REF!</v>
      </c>
      <c r="AQ895" s="17"/>
      <c r="AR895" s="30" t="e">
        <f ca="1">IF(Data!#REF!="","",IF(ISNUMBER(Data!#REF!),IF(AND(Data!#REF!&gt;(TODAY()-(Data_Val!$I$3*365.25)),Data!#REF!&lt;=(TODAY()-(Data_Val!$I$2*365.25))),0,1),1))</f>
        <v>#REF!</v>
      </c>
      <c r="AS895" s="31" t="e">
        <f>IF(Data!#REF!="","",IF(Data!$G895="",1,IF(ISNUMBER(MATCH(Data!#REF!,Data_Val!$D$2:$D$10,0)),0,1)))</f>
        <v>#REF!</v>
      </c>
      <c r="AT895" s="11"/>
      <c r="AU895" s="11" t="e">
        <f ca="1">IF(Data!#REF!="","",IF(ISNUMBER(Data!#REF!),IF(AND(Data!#REF!&gt;(TODAY()-(Data_Val!$I$3*365.25)),Data!#REF!&lt;=(TODAY()-(Data_Val!$I$2*365.25))),0,1),1))</f>
        <v>#REF!</v>
      </c>
      <c r="AV895" s="11" t="e">
        <f>IF(Data!#REF!="","",IF(Data!$G895="",1,IF(ISNUMBER(MATCH(Data!#REF!,Data_Val!$D$2:$D$10,0)),0,1)))</f>
        <v>#REF!</v>
      </c>
      <c r="AW895" s="12"/>
      <c r="AX895" s="26" t="e">
        <f ca="1">IF(Data!#REF!="","",IF(ISNUMBER(Data!#REF!),IF(AND(Data!#REF!&gt;(TODAY()-(Data_Val!$I$3*365.25)),Data!#REF!&lt;=(TODAY()-(Data_Val!$I$2*365.25))),0,1),1))</f>
        <v>#REF!</v>
      </c>
      <c r="AY895" s="12" t="e">
        <f>IF(Data!#REF!="","",IF(Data!$G895="",1,IF(ISNUMBER(MATCH(Data!#REF!,Data_Val!$D$2:$D$10,0)),0,1)))</f>
        <v>#REF!</v>
      </c>
      <c r="AZ895" s="11"/>
      <c r="BA895" s="19" t="e">
        <f ca="1">IF(Data!#REF!="","",IF(ISNUMBER(Data!#REF!),IF(AND(Data!#REF!&gt;(TODAY()-(Data_Val!$M$3*365.25)),Data!#REF!&lt;=(TODAY()-(Data_Val!$M$2*365.25))),0,1),1))</f>
        <v>#REF!</v>
      </c>
      <c r="BB895" s="11" t="e">
        <f>IF(Data!#REF!="","",IF(Data!$G895="",1,IF(ISNUMBER(MATCH(Data!#REF!,Data_Val!$D$2:$D$10,0)),0,1)))</f>
        <v>#REF!</v>
      </c>
      <c r="BC895" s="12"/>
      <c r="BD895" s="20" t="e">
        <f ca="1">IF(Data!#REF!="","",IF(ISNUMBER(Data!#REF!),IF(AND(Data!#REF!&gt;(TODAY()-(Data_Val!$M$3*365.25)),Data!#REF!&lt;=(TODAY()-(Data_Val!$M$2*365.25))),0,1),1))</f>
        <v>#REF!</v>
      </c>
      <c r="BE895" s="12" t="e">
        <f>IF(Data!#REF!="","",IF(Data!$G895="",1,IF(ISNUMBER(MATCH(Data!#REF!,Data_Val!$D$2:$D$10,0)),0,1)))</f>
        <v>#REF!</v>
      </c>
      <c r="BF895" s="17"/>
      <c r="BG895" s="18" t="e">
        <f ca="1">IF(Data!#REF!="","",IF(ISNUMBER(Data!#REF!),IF(AND(Data!#REF!&gt;(TODAY()-(Data_Val!$M$3*365.25)),Data!#REF!&lt;=(TODAY()-(Data_Val!$M$2*365.25))),0,1),1))</f>
        <v>#REF!</v>
      </c>
      <c r="BH895" s="29" t="e">
        <f>IF(Data!#REF!="","",IF(Data!$G895="",1,IF(ISNUMBER(MATCH(Data!#REF!,Data_Val!$D$2:$D$10,0)),0,1)))</f>
        <v>#REF!</v>
      </c>
      <c r="BI895" s="13"/>
      <c r="BJ895" s="21" t="e">
        <f ca="1">IF(Data!#REF!="","",IF(ISNUMBER(Data!#REF!),IF(AND(Data!#REF!&gt;(TODAY()-(Data_Val!$M$3*365.25)),Data!#REF!&lt;=(TODAY()-(Data_Val!$M$2*365.25))),0,1),1))</f>
        <v>#REF!</v>
      </c>
      <c r="BK895" s="13" t="e">
        <f>IF(Data!#REF!="","",IF(Data!$G895="",1,IF(ISNUMBER(MATCH(Data!#REF!,Data_Val!$D$2:$D$10,0)),0,1)))</f>
        <v>#REF!</v>
      </c>
    </row>
    <row r="896" spans="1:63" x14ac:dyDescent="0.25">
      <c r="A896" s="9" t="str">
        <f>IF(Data!B896="","",IF(COUNTIFS(Data!A$1:'Data'!A896,Data!A896)&lt;=1,0,1))</f>
        <v/>
      </c>
      <c r="B896" s="9"/>
      <c r="C896" s="23" t="str">
        <f>IF(Data!C896="","",(IF(ISNUMBER(MATCH("*@*.?*",Data!C896,0)),0,1)+IF(COUNTIFS(Data!C$1:'Data'!C896,Data!C896)&gt;1,1,0)))</f>
        <v/>
      </c>
      <c r="D896" s="9" t="str">
        <f>IF(Data!B896="","",IF(ISNUMBER(Data!D896),IF(AND(Data!D896&gt;999999999,Data!D896&lt;=9999999999),IF(COUNTIFS(Data!D$1:'Data'!D896,Data!D896)&lt;=1,0,1),1),1))</f>
        <v/>
      </c>
      <c r="E896" s="9" t="str">
        <f>IF(Data!B896="","",IF(ISNUMBER(MATCH(Data!E896,Data_Val!$A$2:$A$3,0)),0,1))</f>
        <v/>
      </c>
      <c r="F896" s="9" t="str">
        <f ca="1">IF(Data!B896="","",IF(ISNUMBER(Data!F896),IF(AND(Data!F896&gt;(TODAY()-(Data_Val!$H$3*365.25)),Data!F896&lt;=(TODAY()-(Data_Val!$H$2*365.25))),0,1),1))</f>
        <v/>
      </c>
      <c r="G896" s="15" t="str">
        <f>IF(Data!B896="","",IF(AND(Data!G896="",Data!H896&lt;&gt;""),1,IF(Data!#REF!&lt;&gt;"",0,IF(ISNUMBER(MATCH(Data!G896,Data_Val!$C$2:$C$5,0)),0,1))))</f>
        <v/>
      </c>
      <c r="H896" s="15" t="str">
        <f>IF(Data!B896="","",IF(AND(Data!G896&lt;&gt;"",Data!H896=""),1,IF(Data!#REF!&lt;&gt;"",0,IF(Data!G896="",1,IF(ISNUMBER(MATCH(Data!H896,Data_Val!$D$2:$D$35,0)),0,1)))))</f>
        <v/>
      </c>
      <c r="I896" s="15" t="str">
        <f>IF(Data!B896="","",IF(Data!G896&lt;&gt;"",0,IF(ISNUMBER(MATCH(Data!#REF!,Data_Val!$E$2:$E$12,0)),0,1)))</f>
        <v/>
      </c>
      <c r="J896" s="16" t="e">
        <f>IF(OR(Data!B896="",Data!#REF!=""),"",IF(Data!#REF!="",1,0))</f>
        <v>#REF!</v>
      </c>
      <c r="K896" s="16" t="e">
        <f>IF(OR(Data!B896="",Data!#REF!=""),"",IF(Data!#REF!="",1,0))</f>
        <v>#REF!</v>
      </c>
      <c r="L896" s="16" t="e">
        <f>IF(OR(Data!B896="",Data!#REF!=""),"",IF(ISNUMBER(Data!#REF!),IF(AND(Data!#REF!&gt;Data_Val!$G$2,Data!#REF!&lt;=Data_Val!$G$3),0,1),1))</f>
        <v>#REF!</v>
      </c>
      <c r="M896" s="9" t="e">
        <f>IF(OR(Data!B896="",Data!#REF!=""),"",IF(ISNUMBER(MATCH(Data!#REF!,Data_Val!$F$1:$F$38,0)),0,1))</f>
        <v>#REF!</v>
      </c>
      <c r="N896" s="9" t="e">
        <f>IF(OR(Data!B896="",Data!#REF!=""),"",IF(Data!#REF!="",1,0))</f>
        <v>#REF!</v>
      </c>
      <c r="O896" s="17" t="e">
        <f>IF(Data!#REF!="","",IF(Data!#REF!="",1,0))</f>
        <v>#REF!</v>
      </c>
      <c r="P896" s="17" t="e">
        <f>IF(Data!#REF!="","",IF(ISNUMBER(MATCH(Data!#REF!,Data_Val!$A$2:$A$3,0)),0,1))</f>
        <v>#REF!</v>
      </c>
      <c r="Q896" s="25" t="e">
        <f ca="1">IF(Data!#REF!="","",IF(ISNUMBER(Data!#REF!),IF(AND(Data!#REF!&gt;(TODAY()-(Data_Val!$J$3*365.25)),Data!#REF!&lt;=(TODAY()-(Data_Val!$J$2*365.25))),0,1),1))</f>
        <v>#REF!</v>
      </c>
      <c r="R896" s="17" t="e">
        <f>IF(Data!#REF!="","",IF(ISNUMBER(MATCH(Data!#REF!,Data_Val!$B$2:$B$15,0)),0,1))</f>
        <v>#REF!</v>
      </c>
      <c r="S896" s="11" t="str">
        <f>IF(Data!G896="","",IF(Data!G896=Data_Val!$C$2,IF(Data!M896="",0,1),0))</f>
        <v/>
      </c>
      <c r="T896" s="11" t="str">
        <f>IF(Data!M896="","",IF(ISNUMBER(MATCH(Data!N896,Data_Val!$A$2:$A$3,0)),0,1))</f>
        <v/>
      </c>
      <c r="U896" s="11" t="str">
        <f ca="1">IF(Data!M896="","",IF(ISNUMBER(Data!O896),IF(AND(Data!O896&gt;(TODAY()-(Data_Val!$K$3*365.25)),Data!O896&lt;=(TODAY()-(Data_Val!$K$2*365.25))),0,1),1))</f>
        <v/>
      </c>
      <c r="V896" s="12" t="str">
        <f>IF(Data!G896="","",IF(Data!G896=Data_Val!$C$2,IF(Data!P896="",0,1),0))</f>
        <v/>
      </c>
      <c r="W896" s="12" t="str">
        <f>IF(Data!P896="","",IF(ISNUMBER(MATCH(Data!Q896,Data_Val!$A$2:$A$3,0)),0,1))</f>
        <v/>
      </c>
      <c r="X896" s="26" t="str">
        <f ca="1">IF(Data!P896="","",IF(ISNUMBER(Data!R896),IF(AND(Data!R896&gt;(TODAY()-(Data_Val!$L$3*365.25)),Data!R896&lt;=(TODAY()-(Data_Val!$L$2*365.25))),0,1),1))</f>
        <v/>
      </c>
      <c r="Y896" s="13" t="str">
        <f>IF(Data!$G896="","",IF(Data!$G896=Data_Val!$C$2,IF(Data!S896="",0,1),0))</f>
        <v/>
      </c>
      <c r="Z896" s="13" t="str">
        <f>IF(Data!S896="","",IF(ISNUMBER(MATCH(Data!T896,Data_Val!$A$2:$A$3,0)),0,1))</f>
        <v/>
      </c>
      <c r="AA896" s="28" t="str">
        <f ca="1">IF(Data!S896="","",IF(ISNUMBER(Data!U896),IF(AND(Data!U896&gt;(TODAY()-(Data_Val!$L$3*365.25)),Data!U896&lt;=(TODAY()-(Data_Val!$L$2*365.25))),0,1),1))</f>
        <v/>
      </c>
      <c r="AB896" s="11"/>
      <c r="AC896" s="11" t="e">
        <f>IF(Data!#REF!="","",IF(ISNUMBER(MATCH(Data!#REF!,Data_Val!$A$2:$A$3,0)),0,1))</f>
        <v>#REF!</v>
      </c>
      <c r="AD896" s="11" t="e">
        <f ca="1">IF(Data!#REF!="","",IF(ISNUMBER(Data!#REF!),IF(AND(Data!#REF!&gt;(TODAY()-(Data_Val!$L$3*365.25)),Data!#REF!&lt;=(TODAY()-(Data_Val!$L$2*365.25))),0,1),1))</f>
        <v>#REF!</v>
      </c>
      <c r="AE896" s="11" t="e">
        <f>IF(Data!#REF!="","",IF(Data!$G896="",1,IF(ISNUMBER(MATCH(Data!#REF!,Data_Val!$D$2:$D$10,0)),0,1)))</f>
        <v>#REF!</v>
      </c>
      <c r="AF896" s="12"/>
      <c r="AG896" s="12" t="e">
        <f>IF(Data!#REF!="","",IF(ISNUMBER(MATCH(Data!#REF!,Data_Val!$A$2:$A$3,0)),0,1))</f>
        <v>#REF!</v>
      </c>
      <c r="AH896" s="26" t="e">
        <f ca="1">IF(Data!#REF!="","",IF(ISNUMBER(Data!#REF!),IF(AND(Data!#REF!&gt;(TODAY()-(Data_Val!$L$3*365.25)),Data!#REF!&lt;=(TODAY()-(Data_Val!$L$2*365.25))),0,1),1))</f>
        <v>#REF!</v>
      </c>
      <c r="AI896" s="12" t="e">
        <f>IF(Data!#REF!="","",IF(Data!$G896="",1,IF(ISNUMBER(MATCH(Data!#REF!,Data_Val!$D$2:$D$10,0)),0,1)))</f>
        <v>#REF!</v>
      </c>
      <c r="AJ896" s="17"/>
      <c r="AK896" s="17" t="e">
        <f>IF(Data!#REF!="","",IF(ISNUMBER(MATCH(Data!#REF!,Data_Val!$A$2:$A$3,0)),0,1))</f>
        <v>#REF!</v>
      </c>
      <c r="AL896" s="25" t="e">
        <f ca="1">IF(Data!#REF!="","",IF(ISNUMBER(Data!#REF!),IF(AND(Data!#REF!&gt;(TODAY()-(Data_Val!$L$3*365.25)),Data!#REF!&lt;=(TODAY()-(Data_Val!$L$2*365.25))),0,1),1))</f>
        <v>#REF!</v>
      </c>
      <c r="AM896" s="17" t="e">
        <f>IF(Data!#REF!="","",IF(Data!$G896="",1,IF(ISNUMBER(MATCH(Data!#REF!,Data_Val!$D$2:$D$10,0)),0,1)))</f>
        <v>#REF!</v>
      </c>
      <c r="AN896" s="13"/>
      <c r="AO896" s="28" t="e">
        <f ca="1">IF(Data!#REF!="","",IF(ISNUMBER(Data!#REF!),IF(AND(Data!#REF!&gt;(TODAY()-(Data_Val!$I$3*365.25)),Data!#REF!&lt;=(TODAY()-(Data_Val!$I$2*365.25))),0,1),1))</f>
        <v>#REF!</v>
      </c>
      <c r="AP896" s="13" t="e">
        <f>IF(Data!#REF!="","",IF(Data!$G896="",1,IF(ISNUMBER(MATCH(Data!#REF!,Data_Val!$D$2:$D$10,0)),0,1)))</f>
        <v>#REF!</v>
      </c>
      <c r="AQ896" s="17"/>
      <c r="AR896" s="30" t="e">
        <f ca="1">IF(Data!#REF!="","",IF(ISNUMBER(Data!#REF!),IF(AND(Data!#REF!&gt;(TODAY()-(Data_Val!$I$3*365.25)),Data!#REF!&lt;=(TODAY()-(Data_Val!$I$2*365.25))),0,1),1))</f>
        <v>#REF!</v>
      </c>
      <c r="AS896" s="31" t="e">
        <f>IF(Data!#REF!="","",IF(Data!$G896="",1,IF(ISNUMBER(MATCH(Data!#REF!,Data_Val!$D$2:$D$10,0)),0,1)))</f>
        <v>#REF!</v>
      </c>
      <c r="AT896" s="11"/>
      <c r="AU896" s="11" t="e">
        <f ca="1">IF(Data!#REF!="","",IF(ISNUMBER(Data!#REF!),IF(AND(Data!#REF!&gt;(TODAY()-(Data_Val!$I$3*365.25)),Data!#REF!&lt;=(TODAY()-(Data_Val!$I$2*365.25))),0,1),1))</f>
        <v>#REF!</v>
      </c>
      <c r="AV896" s="11" t="e">
        <f>IF(Data!#REF!="","",IF(Data!$G896="",1,IF(ISNUMBER(MATCH(Data!#REF!,Data_Val!$D$2:$D$10,0)),0,1)))</f>
        <v>#REF!</v>
      </c>
      <c r="AW896" s="12"/>
      <c r="AX896" s="26" t="e">
        <f ca="1">IF(Data!#REF!="","",IF(ISNUMBER(Data!#REF!),IF(AND(Data!#REF!&gt;(TODAY()-(Data_Val!$I$3*365.25)),Data!#REF!&lt;=(TODAY()-(Data_Val!$I$2*365.25))),0,1),1))</f>
        <v>#REF!</v>
      </c>
      <c r="AY896" s="12" t="e">
        <f>IF(Data!#REF!="","",IF(Data!$G896="",1,IF(ISNUMBER(MATCH(Data!#REF!,Data_Val!$D$2:$D$10,0)),0,1)))</f>
        <v>#REF!</v>
      </c>
      <c r="AZ896" s="11"/>
      <c r="BA896" s="19" t="e">
        <f ca="1">IF(Data!#REF!="","",IF(ISNUMBER(Data!#REF!),IF(AND(Data!#REF!&gt;(TODAY()-(Data_Val!$M$3*365.25)),Data!#REF!&lt;=(TODAY()-(Data_Val!$M$2*365.25))),0,1),1))</f>
        <v>#REF!</v>
      </c>
      <c r="BB896" s="11" t="e">
        <f>IF(Data!#REF!="","",IF(Data!$G896="",1,IF(ISNUMBER(MATCH(Data!#REF!,Data_Val!$D$2:$D$10,0)),0,1)))</f>
        <v>#REF!</v>
      </c>
      <c r="BC896" s="12"/>
      <c r="BD896" s="20" t="e">
        <f ca="1">IF(Data!#REF!="","",IF(ISNUMBER(Data!#REF!),IF(AND(Data!#REF!&gt;(TODAY()-(Data_Val!$M$3*365.25)),Data!#REF!&lt;=(TODAY()-(Data_Val!$M$2*365.25))),0,1),1))</f>
        <v>#REF!</v>
      </c>
      <c r="BE896" s="12" t="e">
        <f>IF(Data!#REF!="","",IF(Data!$G896="",1,IF(ISNUMBER(MATCH(Data!#REF!,Data_Val!$D$2:$D$10,0)),0,1)))</f>
        <v>#REF!</v>
      </c>
      <c r="BF896" s="17"/>
      <c r="BG896" s="18" t="e">
        <f ca="1">IF(Data!#REF!="","",IF(ISNUMBER(Data!#REF!),IF(AND(Data!#REF!&gt;(TODAY()-(Data_Val!$M$3*365.25)),Data!#REF!&lt;=(TODAY()-(Data_Val!$M$2*365.25))),0,1),1))</f>
        <v>#REF!</v>
      </c>
      <c r="BH896" s="29" t="e">
        <f>IF(Data!#REF!="","",IF(Data!$G896="",1,IF(ISNUMBER(MATCH(Data!#REF!,Data_Val!$D$2:$D$10,0)),0,1)))</f>
        <v>#REF!</v>
      </c>
      <c r="BI896" s="13"/>
      <c r="BJ896" s="21" t="e">
        <f ca="1">IF(Data!#REF!="","",IF(ISNUMBER(Data!#REF!),IF(AND(Data!#REF!&gt;(TODAY()-(Data_Val!$M$3*365.25)),Data!#REF!&lt;=(TODAY()-(Data_Val!$M$2*365.25))),0,1),1))</f>
        <v>#REF!</v>
      </c>
      <c r="BK896" s="13" t="e">
        <f>IF(Data!#REF!="","",IF(Data!$G896="",1,IF(ISNUMBER(MATCH(Data!#REF!,Data_Val!$D$2:$D$10,0)),0,1)))</f>
        <v>#REF!</v>
      </c>
    </row>
    <row r="897" spans="1:63" x14ac:dyDescent="0.25">
      <c r="A897" s="9" t="str">
        <f>IF(Data!B897="","",IF(COUNTIFS(Data!A$1:'Data'!A897,Data!A897)&lt;=1,0,1))</f>
        <v/>
      </c>
      <c r="B897" s="9"/>
      <c r="C897" s="23" t="str">
        <f>IF(Data!C897="","",(IF(ISNUMBER(MATCH("*@*.?*",Data!C897,0)),0,1)+IF(COUNTIFS(Data!C$1:'Data'!C897,Data!C897)&gt;1,1,0)))</f>
        <v/>
      </c>
      <c r="D897" s="9" t="str">
        <f>IF(Data!B897="","",IF(ISNUMBER(Data!D897),IF(AND(Data!D897&gt;999999999,Data!D897&lt;=9999999999),IF(COUNTIFS(Data!D$1:'Data'!D897,Data!D897)&lt;=1,0,1),1),1))</f>
        <v/>
      </c>
      <c r="E897" s="9" t="str">
        <f>IF(Data!B897="","",IF(ISNUMBER(MATCH(Data!E897,Data_Val!$A$2:$A$3,0)),0,1))</f>
        <v/>
      </c>
      <c r="F897" s="9" t="str">
        <f ca="1">IF(Data!B897="","",IF(ISNUMBER(Data!F897),IF(AND(Data!F897&gt;(TODAY()-(Data_Val!$H$3*365.25)),Data!F897&lt;=(TODAY()-(Data_Val!$H$2*365.25))),0,1),1))</f>
        <v/>
      </c>
      <c r="G897" s="15" t="str">
        <f>IF(Data!B897="","",IF(AND(Data!G897="",Data!H897&lt;&gt;""),1,IF(Data!#REF!&lt;&gt;"",0,IF(ISNUMBER(MATCH(Data!G897,Data_Val!$C$2:$C$5,0)),0,1))))</f>
        <v/>
      </c>
      <c r="H897" s="15" t="str">
        <f>IF(Data!B897="","",IF(AND(Data!G897&lt;&gt;"",Data!H897=""),1,IF(Data!#REF!&lt;&gt;"",0,IF(Data!G897="",1,IF(ISNUMBER(MATCH(Data!H897,Data_Val!$D$2:$D$35,0)),0,1)))))</f>
        <v/>
      </c>
      <c r="I897" s="15" t="str">
        <f>IF(Data!B897="","",IF(Data!G897&lt;&gt;"",0,IF(ISNUMBER(MATCH(Data!#REF!,Data_Val!$E$2:$E$12,0)),0,1)))</f>
        <v/>
      </c>
      <c r="J897" s="16" t="e">
        <f>IF(OR(Data!B897="",Data!#REF!=""),"",IF(Data!#REF!="",1,0))</f>
        <v>#REF!</v>
      </c>
      <c r="K897" s="16" t="e">
        <f>IF(OR(Data!B897="",Data!#REF!=""),"",IF(Data!#REF!="",1,0))</f>
        <v>#REF!</v>
      </c>
      <c r="L897" s="16" t="e">
        <f>IF(OR(Data!B897="",Data!#REF!=""),"",IF(ISNUMBER(Data!#REF!),IF(AND(Data!#REF!&gt;Data_Val!$G$2,Data!#REF!&lt;=Data_Val!$G$3),0,1),1))</f>
        <v>#REF!</v>
      </c>
      <c r="M897" s="9" t="e">
        <f>IF(OR(Data!B897="",Data!#REF!=""),"",IF(ISNUMBER(MATCH(Data!#REF!,Data_Val!$F$1:$F$38,0)),0,1))</f>
        <v>#REF!</v>
      </c>
      <c r="N897" s="9" t="e">
        <f>IF(OR(Data!B897="",Data!#REF!=""),"",IF(Data!#REF!="",1,0))</f>
        <v>#REF!</v>
      </c>
      <c r="O897" s="17" t="e">
        <f>IF(Data!#REF!="","",IF(Data!#REF!="",1,0))</f>
        <v>#REF!</v>
      </c>
      <c r="P897" s="17" t="e">
        <f>IF(Data!#REF!="","",IF(ISNUMBER(MATCH(Data!#REF!,Data_Val!$A$2:$A$3,0)),0,1))</f>
        <v>#REF!</v>
      </c>
      <c r="Q897" s="25" t="e">
        <f ca="1">IF(Data!#REF!="","",IF(ISNUMBER(Data!#REF!),IF(AND(Data!#REF!&gt;(TODAY()-(Data_Val!$J$3*365.25)),Data!#REF!&lt;=(TODAY()-(Data_Val!$J$2*365.25))),0,1),1))</f>
        <v>#REF!</v>
      </c>
      <c r="R897" s="17" t="e">
        <f>IF(Data!#REF!="","",IF(ISNUMBER(MATCH(Data!#REF!,Data_Val!$B$2:$B$15,0)),0,1))</f>
        <v>#REF!</v>
      </c>
      <c r="S897" s="11" t="str">
        <f>IF(Data!G897="","",IF(Data!G897=Data_Val!$C$2,IF(Data!M897="",0,1),0))</f>
        <v/>
      </c>
      <c r="T897" s="11" t="str">
        <f>IF(Data!M897="","",IF(ISNUMBER(MATCH(Data!N897,Data_Val!$A$2:$A$3,0)),0,1))</f>
        <v/>
      </c>
      <c r="U897" s="11" t="str">
        <f ca="1">IF(Data!M897="","",IF(ISNUMBER(Data!O897),IF(AND(Data!O897&gt;(TODAY()-(Data_Val!$K$3*365.25)),Data!O897&lt;=(TODAY()-(Data_Val!$K$2*365.25))),0,1),1))</f>
        <v/>
      </c>
      <c r="V897" s="12" t="str">
        <f>IF(Data!G897="","",IF(Data!G897=Data_Val!$C$2,IF(Data!P897="",0,1),0))</f>
        <v/>
      </c>
      <c r="W897" s="12" t="str">
        <f>IF(Data!P897="","",IF(ISNUMBER(MATCH(Data!Q897,Data_Val!$A$2:$A$3,0)),0,1))</f>
        <v/>
      </c>
      <c r="X897" s="26" t="str">
        <f ca="1">IF(Data!P897="","",IF(ISNUMBER(Data!R897),IF(AND(Data!R897&gt;(TODAY()-(Data_Val!$L$3*365.25)),Data!R897&lt;=(TODAY()-(Data_Val!$L$2*365.25))),0,1),1))</f>
        <v/>
      </c>
      <c r="Y897" s="13" t="str">
        <f>IF(Data!$G897="","",IF(Data!$G897=Data_Val!$C$2,IF(Data!S897="",0,1),0))</f>
        <v/>
      </c>
      <c r="Z897" s="13" t="str">
        <f>IF(Data!S897="","",IF(ISNUMBER(MATCH(Data!T897,Data_Val!$A$2:$A$3,0)),0,1))</f>
        <v/>
      </c>
      <c r="AA897" s="28" t="str">
        <f ca="1">IF(Data!S897="","",IF(ISNUMBER(Data!U897),IF(AND(Data!U897&gt;(TODAY()-(Data_Val!$L$3*365.25)),Data!U897&lt;=(TODAY()-(Data_Val!$L$2*365.25))),0,1),1))</f>
        <v/>
      </c>
      <c r="AB897" s="11"/>
      <c r="AC897" s="11" t="e">
        <f>IF(Data!#REF!="","",IF(ISNUMBER(MATCH(Data!#REF!,Data_Val!$A$2:$A$3,0)),0,1))</f>
        <v>#REF!</v>
      </c>
      <c r="AD897" s="11" t="e">
        <f ca="1">IF(Data!#REF!="","",IF(ISNUMBER(Data!#REF!),IF(AND(Data!#REF!&gt;(TODAY()-(Data_Val!$L$3*365.25)),Data!#REF!&lt;=(TODAY()-(Data_Val!$L$2*365.25))),0,1),1))</f>
        <v>#REF!</v>
      </c>
      <c r="AE897" s="11" t="e">
        <f>IF(Data!#REF!="","",IF(Data!$G897="",1,IF(ISNUMBER(MATCH(Data!#REF!,Data_Val!$D$2:$D$10,0)),0,1)))</f>
        <v>#REF!</v>
      </c>
      <c r="AF897" s="12"/>
      <c r="AG897" s="12" t="e">
        <f>IF(Data!#REF!="","",IF(ISNUMBER(MATCH(Data!#REF!,Data_Val!$A$2:$A$3,0)),0,1))</f>
        <v>#REF!</v>
      </c>
      <c r="AH897" s="26" t="e">
        <f ca="1">IF(Data!#REF!="","",IF(ISNUMBER(Data!#REF!),IF(AND(Data!#REF!&gt;(TODAY()-(Data_Val!$L$3*365.25)),Data!#REF!&lt;=(TODAY()-(Data_Val!$L$2*365.25))),0,1),1))</f>
        <v>#REF!</v>
      </c>
      <c r="AI897" s="12" t="e">
        <f>IF(Data!#REF!="","",IF(Data!$G897="",1,IF(ISNUMBER(MATCH(Data!#REF!,Data_Val!$D$2:$D$10,0)),0,1)))</f>
        <v>#REF!</v>
      </c>
      <c r="AJ897" s="17"/>
      <c r="AK897" s="17" t="e">
        <f>IF(Data!#REF!="","",IF(ISNUMBER(MATCH(Data!#REF!,Data_Val!$A$2:$A$3,0)),0,1))</f>
        <v>#REF!</v>
      </c>
      <c r="AL897" s="25" t="e">
        <f ca="1">IF(Data!#REF!="","",IF(ISNUMBER(Data!#REF!),IF(AND(Data!#REF!&gt;(TODAY()-(Data_Val!$L$3*365.25)),Data!#REF!&lt;=(TODAY()-(Data_Val!$L$2*365.25))),0,1),1))</f>
        <v>#REF!</v>
      </c>
      <c r="AM897" s="17" t="e">
        <f>IF(Data!#REF!="","",IF(Data!$G897="",1,IF(ISNUMBER(MATCH(Data!#REF!,Data_Val!$D$2:$D$10,0)),0,1)))</f>
        <v>#REF!</v>
      </c>
      <c r="AN897" s="13"/>
      <c r="AO897" s="28" t="e">
        <f ca="1">IF(Data!#REF!="","",IF(ISNUMBER(Data!#REF!),IF(AND(Data!#REF!&gt;(TODAY()-(Data_Val!$I$3*365.25)),Data!#REF!&lt;=(TODAY()-(Data_Val!$I$2*365.25))),0,1),1))</f>
        <v>#REF!</v>
      </c>
      <c r="AP897" s="13" t="e">
        <f>IF(Data!#REF!="","",IF(Data!$G897="",1,IF(ISNUMBER(MATCH(Data!#REF!,Data_Val!$D$2:$D$10,0)),0,1)))</f>
        <v>#REF!</v>
      </c>
      <c r="AQ897" s="17"/>
      <c r="AR897" s="30" t="e">
        <f ca="1">IF(Data!#REF!="","",IF(ISNUMBER(Data!#REF!),IF(AND(Data!#REF!&gt;(TODAY()-(Data_Val!$I$3*365.25)),Data!#REF!&lt;=(TODAY()-(Data_Val!$I$2*365.25))),0,1),1))</f>
        <v>#REF!</v>
      </c>
      <c r="AS897" s="31" t="e">
        <f>IF(Data!#REF!="","",IF(Data!$G897="",1,IF(ISNUMBER(MATCH(Data!#REF!,Data_Val!$D$2:$D$10,0)),0,1)))</f>
        <v>#REF!</v>
      </c>
      <c r="AT897" s="11"/>
      <c r="AU897" s="11" t="e">
        <f ca="1">IF(Data!#REF!="","",IF(ISNUMBER(Data!#REF!),IF(AND(Data!#REF!&gt;(TODAY()-(Data_Val!$I$3*365.25)),Data!#REF!&lt;=(TODAY()-(Data_Val!$I$2*365.25))),0,1),1))</f>
        <v>#REF!</v>
      </c>
      <c r="AV897" s="11" t="e">
        <f>IF(Data!#REF!="","",IF(Data!$G897="",1,IF(ISNUMBER(MATCH(Data!#REF!,Data_Val!$D$2:$D$10,0)),0,1)))</f>
        <v>#REF!</v>
      </c>
      <c r="AW897" s="12"/>
      <c r="AX897" s="26" t="e">
        <f ca="1">IF(Data!#REF!="","",IF(ISNUMBER(Data!#REF!),IF(AND(Data!#REF!&gt;(TODAY()-(Data_Val!$I$3*365.25)),Data!#REF!&lt;=(TODAY()-(Data_Val!$I$2*365.25))),0,1),1))</f>
        <v>#REF!</v>
      </c>
      <c r="AY897" s="12" t="e">
        <f>IF(Data!#REF!="","",IF(Data!$G897="",1,IF(ISNUMBER(MATCH(Data!#REF!,Data_Val!$D$2:$D$10,0)),0,1)))</f>
        <v>#REF!</v>
      </c>
      <c r="AZ897" s="11"/>
      <c r="BA897" s="19" t="e">
        <f ca="1">IF(Data!#REF!="","",IF(ISNUMBER(Data!#REF!),IF(AND(Data!#REF!&gt;(TODAY()-(Data_Val!$M$3*365.25)),Data!#REF!&lt;=(TODAY()-(Data_Val!$M$2*365.25))),0,1),1))</f>
        <v>#REF!</v>
      </c>
      <c r="BB897" s="11" t="e">
        <f>IF(Data!#REF!="","",IF(Data!$G897="",1,IF(ISNUMBER(MATCH(Data!#REF!,Data_Val!$D$2:$D$10,0)),0,1)))</f>
        <v>#REF!</v>
      </c>
      <c r="BC897" s="12"/>
      <c r="BD897" s="20" t="e">
        <f ca="1">IF(Data!#REF!="","",IF(ISNUMBER(Data!#REF!),IF(AND(Data!#REF!&gt;(TODAY()-(Data_Val!$M$3*365.25)),Data!#REF!&lt;=(TODAY()-(Data_Val!$M$2*365.25))),0,1),1))</f>
        <v>#REF!</v>
      </c>
      <c r="BE897" s="12" t="e">
        <f>IF(Data!#REF!="","",IF(Data!$G897="",1,IF(ISNUMBER(MATCH(Data!#REF!,Data_Val!$D$2:$D$10,0)),0,1)))</f>
        <v>#REF!</v>
      </c>
      <c r="BF897" s="17"/>
      <c r="BG897" s="18" t="e">
        <f ca="1">IF(Data!#REF!="","",IF(ISNUMBER(Data!#REF!),IF(AND(Data!#REF!&gt;(TODAY()-(Data_Val!$M$3*365.25)),Data!#REF!&lt;=(TODAY()-(Data_Val!$M$2*365.25))),0,1),1))</f>
        <v>#REF!</v>
      </c>
      <c r="BH897" s="29" t="e">
        <f>IF(Data!#REF!="","",IF(Data!$G897="",1,IF(ISNUMBER(MATCH(Data!#REF!,Data_Val!$D$2:$D$10,0)),0,1)))</f>
        <v>#REF!</v>
      </c>
      <c r="BI897" s="13"/>
      <c r="BJ897" s="21" t="e">
        <f ca="1">IF(Data!#REF!="","",IF(ISNUMBER(Data!#REF!),IF(AND(Data!#REF!&gt;(TODAY()-(Data_Val!$M$3*365.25)),Data!#REF!&lt;=(TODAY()-(Data_Val!$M$2*365.25))),0,1),1))</f>
        <v>#REF!</v>
      </c>
      <c r="BK897" s="13" t="e">
        <f>IF(Data!#REF!="","",IF(Data!$G897="",1,IF(ISNUMBER(MATCH(Data!#REF!,Data_Val!$D$2:$D$10,0)),0,1)))</f>
        <v>#REF!</v>
      </c>
    </row>
    <row r="898" spans="1:63" x14ac:dyDescent="0.25">
      <c r="A898" s="9" t="str">
        <f>IF(Data!B898="","",IF(COUNTIFS(Data!A$1:'Data'!A898,Data!A898)&lt;=1,0,1))</f>
        <v/>
      </c>
      <c r="B898" s="9"/>
      <c r="C898" s="23" t="str">
        <f>IF(Data!C898="","",(IF(ISNUMBER(MATCH("*@*.?*",Data!C898,0)),0,1)+IF(COUNTIFS(Data!C$1:'Data'!C898,Data!C898)&gt;1,1,0)))</f>
        <v/>
      </c>
      <c r="D898" s="9" t="str">
        <f>IF(Data!B898="","",IF(ISNUMBER(Data!D898),IF(AND(Data!D898&gt;999999999,Data!D898&lt;=9999999999),IF(COUNTIFS(Data!D$1:'Data'!D898,Data!D898)&lt;=1,0,1),1),1))</f>
        <v/>
      </c>
      <c r="E898" s="9" t="str">
        <f>IF(Data!B898="","",IF(ISNUMBER(MATCH(Data!E898,Data_Val!$A$2:$A$3,0)),0,1))</f>
        <v/>
      </c>
      <c r="F898" s="9" t="str">
        <f ca="1">IF(Data!B898="","",IF(ISNUMBER(Data!F898),IF(AND(Data!F898&gt;(TODAY()-(Data_Val!$H$3*365.25)),Data!F898&lt;=(TODAY()-(Data_Val!$H$2*365.25))),0,1),1))</f>
        <v/>
      </c>
      <c r="G898" s="15" t="str">
        <f>IF(Data!B898="","",IF(AND(Data!G898="",Data!H898&lt;&gt;""),1,IF(Data!#REF!&lt;&gt;"",0,IF(ISNUMBER(MATCH(Data!G898,Data_Val!$C$2:$C$5,0)),0,1))))</f>
        <v/>
      </c>
      <c r="H898" s="15" t="str">
        <f>IF(Data!B898="","",IF(AND(Data!G898&lt;&gt;"",Data!H898=""),1,IF(Data!#REF!&lt;&gt;"",0,IF(Data!G898="",1,IF(ISNUMBER(MATCH(Data!H898,Data_Val!$D$2:$D$35,0)),0,1)))))</f>
        <v/>
      </c>
      <c r="I898" s="15" t="str">
        <f>IF(Data!B898="","",IF(Data!G898&lt;&gt;"",0,IF(ISNUMBER(MATCH(Data!#REF!,Data_Val!$E$2:$E$12,0)),0,1)))</f>
        <v/>
      </c>
      <c r="J898" s="16" t="e">
        <f>IF(OR(Data!B898="",Data!#REF!=""),"",IF(Data!#REF!="",1,0))</f>
        <v>#REF!</v>
      </c>
      <c r="K898" s="16" t="e">
        <f>IF(OR(Data!B898="",Data!#REF!=""),"",IF(Data!#REF!="",1,0))</f>
        <v>#REF!</v>
      </c>
      <c r="L898" s="16" t="e">
        <f>IF(OR(Data!B898="",Data!#REF!=""),"",IF(ISNUMBER(Data!#REF!),IF(AND(Data!#REF!&gt;Data_Val!$G$2,Data!#REF!&lt;=Data_Val!$G$3),0,1),1))</f>
        <v>#REF!</v>
      </c>
      <c r="M898" s="9" t="e">
        <f>IF(OR(Data!B898="",Data!#REF!=""),"",IF(ISNUMBER(MATCH(Data!#REF!,Data_Val!$F$1:$F$38,0)),0,1))</f>
        <v>#REF!</v>
      </c>
      <c r="N898" s="9" t="e">
        <f>IF(OR(Data!B898="",Data!#REF!=""),"",IF(Data!#REF!="",1,0))</f>
        <v>#REF!</v>
      </c>
      <c r="O898" s="17" t="e">
        <f>IF(Data!#REF!="","",IF(Data!#REF!="",1,0))</f>
        <v>#REF!</v>
      </c>
      <c r="P898" s="17" t="e">
        <f>IF(Data!#REF!="","",IF(ISNUMBER(MATCH(Data!#REF!,Data_Val!$A$2:$A$3,0)),0,1))</f>
        <v>#REF!</v>
      </c>
      <c r="Q898" s="25" t="e">
        <f ca="1">IF(Data!#REF!="","",IF(ISNUMBER(Data!#REF!),IF(AND(Data!#REF!&gt;(TODAY()-(Data_Val!$J$3*365.25)),Data!#REF!&lt;=(TODAY()-(Data_Val!$J$2*365.25))),0,1),1))</f>
        <v>#REF!</v>
      </c>
      <c r="R898" s="17" t="e">
        <f>IF(Data!#REF!="","",IF(ISNUMBER(MATCH(Data!#REF!,Data_Val!$B$2:$B$15,0)),0,1))</f>
        <v>#REF!</v>
      </c>
      <c r="S898" s="11" t="str">
        <f>IF(Data!G898="","",IF(Data!G898=Data_Val!$C$2,IF(Data!M898="",0,1),0))</f>
        <v/>
      </c>
      <c r="T898" s="11" t="str">
        <f>IF(Data!M898="","",IF(ISNUMBER(MATCH(Data!N898,Data_Val!$A$2:$A$3,0)),0,1))</f>
        <v/>
      </c>
      <c r="U898" s="11" t="str">
        <f ca="1">IF(Data!M898="","",IF(ISNUMBER(Data!O898),IF(AND(Data!O898&gt;(TODAY()-(Data_Val!$K$3*365.25)),Data!O898&lt;=(TODAY()-(Data_Val!$K$2*365.25))),0,1),1))</f>
        <v/>
      </c>
      <c r="V898" s="12" t="str">
        <f>IF(Data!G898="","",IF(Data!G898=Data_Val!$C$2,IF(Data!P898="",0,1),0))</f>
        <v/>
      </c>
      <c r="W898" s="12" t="str">
        <f>IF(Data!P898="","",IF(ISNUMBER(MATCH(Data!Q898,Data_Val!$A$2:$A$3,0)),0,1))</f>
        <v/>
      </c>
      <c r="X898" s="26" t="str">
        <f ca="1">IF(Data!P898="","",IF(ISNUMBER(Data!R898),IF(AND(Data!R898&gt;(TODAY()-(Data_Val!$L$3*365.25)),Data!R898&lt;=(TODAY()-(Data_Val!$L$2*365.25))),0,1),1))</f>
        <v/>
      </c>
      <c r="Y898" s="13" t="str">
        <f>IF(Data!$G898="","",IF(Data!$G898=Data_Val!$C$2,IF(Data!S898="",0,1),0))</f>
        <v/>
      </c>
      <c r="Z898" s="13" t="str">
        <f>IF(Data!S898="","",IF(ISNUMBER(MATCH(Data!T898,Data_Val!$A$2:$A$3,0)),0,1))</f>
        <v/>
      </c>
      <c r="AA898" s="28" t="str">
        <f ca="1">IF(Data!S898="","",IF(ISNUMBER(Data!U898),IF(AND(Data!U898&gt;(TODAY()-(Data_Val!$L$3*365.25)),Data!U898&lt;=(TODAY()-(Data_Val!$L$2*365.25))),0,1),1))</f>
        <v/>
      </c>
      <c r="AB898" s="11"/>
      <c r="AC898" s="11" t="e">
        <f>IF(Data!#REF!="","",IF(ISNUMBER(MATCH(Data!#REF!,Data_Val!$A$2:$A$3,0)),0,1))</f>
        <v>#REF!</v>
      </c>
      <c r="AD898" s="11" t="e">
        <f ca="1">IF(Data!#REF!="","",IF(ISNUMBER(Data!#REF!),IF(AND(Data!#REF!&gt;(TODAY()-(Data_Val!$L$3*365.25)),Data!#REF!&lt;=(TODAY()-(Data_Val!$L$2*365.25))),0,1),1))</f>
        <v>#REF!</v>
      </c>
      <c r="AE898" s="11" t="e">
        <f>IF(Data!#REF!="","",IF(Data!$G898="",1,IF(ISNUMBER(MATCH(Data!#REF!,Data_Val!$D$2:$D$10,0)),0,1)))</f>
        <v>#REF!</v>
      </c>
      <c r="AF898" s="12"/>
      <c r="AG898" s="12" t="e">
        <f>IF(Data!#REF!="","",IF(ISNUMBER(MATCH(Data!#REF!,Data_Val!$A$2:$A$3,0)),0,1))</f>
        <v>#REF!</v>
      </c>
      <c r="AH898" s="26" t="e">
        <f ca="1">IF(Data!#REF!="","",IF(ISNUMBER(Data!#REF!),IF(AND(Data!#REF!&gt;(TODAY()-(Data_Val!$L$3*365.25)),Data!#REF!&lt;=(TODAY()-(Data_Val!$L$2*365.25))),0,1),1))</f>
        <v>#REF!</v>
      </c>
      <c r="AI898" s="12" t="e">
        <f>IF(Data!#REF!="","",IF(Data!$G898="",1,IF(ISNUMBER(MATCH(Data!#REF!,Data_Val!$D$2:$D$10,0)),0,1)))</f>
        <v>#REF!</v>
      </c>
      <c r="AJ898" s="17"/>
      <c r="AK898" s="17" t="e">
        <f>IF(Data!#REF!="","",IF(ISNUMBER(MATCH(Data!#REF!,Data_Val!$A$2:$A$3,0)),0,1))</f>
        <v>#REF!</v>
      </c>
      <c r="AL898" s="25" t="e">
        <f ca="1">IF(Data!#REF!="","",IF(ISNUMBER(Data!#REF!),IF(AND(Data!#REF!&gt;(TODAY()-(Data_Val!$L$3*365.25)),Data!#REF!&lt;=(TODAY()-(Data_Val!$L$2*365.25))),0,1),1))</f>
        <v>#REF!</v>
      </c>
      <c r="AM898" s="17" t="e">
        <f>IF(Data!#REF!="","",IF(Data!$G898="",1,IF(ISNUMBER(MATCH(Data!#REF!,Data_Val!$D$2:$D$10,0)),0,1)))</f>
        <v>#REF!</v>
      </c>
      <c r="AN898" s="13"/>
      <c r="AO898" s="28" t="e">
        <f ca="1">IF(Data!#REF!="","",IF(ISNUMBER(Data!#REF!),IF(AND(Data!#REF!&gt;(TODAY()-(Data_Val!$I$3*365.25)),Data!#REF!&lt;=(TODAY()-(Data_Val!$I$2*365.25))),0,1),1))</f>
        <v>#REF!</v>
      </c>
      <c r="AP898" s="13" t="e">
        <f>IF(Data!#REF!="","",IF(Data!$G898="",1,IF(ISNUMBER(MATCH(Data!#REF!,Data_Val!$D$2:$D$10,0)),0,1)))</f>
        <v>#REF!</v>
      </c>
      <c r="AQ898" s="17"/>
      <c r="AR898" s="30" t="e">
        <f ca="1">IF(Data!#REF!="","",IF(ISNUMBER(Data!#REF!),IF(AND(Data!#REF!&gt;(TODAY()-(Data_Val!$I$3*365.25)),Data!#REF!&lt;=(TODAY()-(Data_Val!$I$2*365.25))),0,1),1))</f>
        <v>#REF!</v>
      </c>
      <c r="AS898" s="31" t="e">
        <f>IF(Data!#REF!="","",IF(Data!$G898="",1,IF(ISNUMBER(MATCH(Data!#REF!,Data_Val!$D$2:$D$10,0)),0,1)))</f>
        <v>#REF!</v>
      </c>
      <c r="AT898" s="11"/>
      <c r="AU898" s="11" t="e">
        <f ca="1">IF(Data!#REF!="","",IF(ISNUMBER(Data!#REF!),IF(AND(Data!#REF!&gt;(TODAY()-(Data_Val!$I$3*365.25)),Data!#REF!&lt;=(TODAY()-(Data_Val!$I$2*365.25))),0,1),1))</f>
        <v>#REF!</v>
      </c>
      <c r="AV898" s="11" t="e">
        <f>IF(Data!#REF!="","",IF(Data!$G898="",1,IF(ISNUMBER(MATCH(Data!#REF!,Data_Val!$D$2:$D$10,0)),0,1)))</f>
        <v>#REF!</v>
      </c>
      <c r="AW898" s="12"/>
      <c r="AX898" s="26" t="e">
        <f ca="1">IF(Data!#REF!="","",IF(ISNUMBER(Data!#REF!),IF(AND(Data!#REF!&gt;(TODAY()-(Data_Val!$I$3*365.25)),Data!#REF!&lt;=(TODAY()-(Data_Val!$I$2*365.25))),0,1),1))</f>
        <v>#REF!</v>
      </c>
      <c r="AY898" s="12" t="e">
        <f>IF(Data!#REF!="","",IF(Data!$G898="",1,IF(ISNUMBER(MATCH(Data!#REF!,Data_Val!$D$2:$D$10,0)),0,1)))</f>
        <v>#REF!</v>
      </c>
      <c r="AZ898" s="11"/>
      <c r="BA898" s="19" t="e">
        <f ca="1">IF(Data!#REF!="","",IF(ISNUMBER(Data!#REF!),IF(AND(Data!#REF!&gt;(TODAY()-(Data_Val!$M$3*365.25)),Data!#REF!&lt;=(TODAY()-(Data_Val!$M$2*365.25))),0,1),1))</f>
        <v>#REF!</v>
      </c>
      <c r="BB898" s="11" t="e">
        <f>IF(Data!#REF!="","",IF(Data!$G898="",1,IF(ISNUMBER(MATCH(Data!#REF!,Data_Val!$D$2:$D$10,0)),0,1)))</f>
        <v>#REF!</v>
      </c>
      <c r="BC898" s="12"/>
      <c r="BD898" s="20" t="e">
        <f ca="1">IF(Data!#REF!="","",IF(ISNUMBER(Data!#REF!),IF(AND(Data!#REF!&gt;(TODAY()-(Data_Val!$M$3*365.25)),Data!#REF!&lt;=(TODAY()-(Data_Val!$M$2*365.25))),0,1),1))</f>
        <v>#REF!</v>
      </c>
      <c r="BE898" s="12" t="e">
        <f>IF(Data!#REF!="","",IF(Data!$G898="",1,IF(ISNUMBER(MATCH(Data!#REF!,Data_Val!$D$2:$D$10,0)),0,1)))</f>
        <v>#REF!</v>
      </c>
      <c r="BF898" s="17"/>
      <c r="BG898" s="18" t="e">
        <f ca="1">IF(Data!#REF!="","",IF(ISNUMBER(Data!#REF!),IF(AND(Data!#REF!&gt;(TODAY()-(Data_Val!$M$3*365.25)),Data!#REF!&lt;=(TODAY()-(Data_Val!$M$2*365.25))),0,1),1))</f>
        <v>#REF!</v>
      </c>
      <c r="BH898" s="29" t="e">
        <f>IF(Data!#REF!="","",IF(Data!$G898="",1,IF(ISNUMBER(MATCH(Data!#REF!,Data_Val!$D$2:$D$10,0)),0,1)))</f>
        <v>#REF!</v>
      </c>
      <c r="BI898" s="13"/>
      <c r="BJ898" s="21" t="e">
        <f ca="1">IF(Data!#REF!="","",IF(ISNUMBER(Data!#REF!),IF(AND(Data!#REF!&gt;(TODAY()-(Data_Val!$M$3*365.25)),Data!#REF!&lt;=(TODAY()-(Data_Val!$M$2*365.25))),0,1),1))</f>
        <v>#REF!</v>
      </c>
      <c r="BK898" s="13" t="e">
        <f>IF(Data!#REF!="","",IF(Data!$G898="",1,IF(ISNUMBER(MATCH(Data!#REF!,Data_Val!$D$2:$D$10,0)),0,1)))</f>
        <v>#REF!</v>
      </c>
    </row>
    <row r="899" spans="1:63" x14ac:dyDescent="0.25">
      <c r="A899" s="9" t="str">
        <f>IF(Data!B899="","",IF(COUNTIFS(Data!A$1:'Data'!A899,Data!A899)&lt;=1,0,1))</f>
        <v/>
      </c>
      <c r="B899" s="9"/>
      <c r="C899" s="23" t="str">
        <f>IF(Data!C899="","",(IF(ISNUMBER(MATCH("*@*.?*",Data!C899,0)),0,1)+IF(COUNTIFS(Data!C$1:'Data'!C899,Data!C899)&gt;1,1,0)))</f>
        <v/>
      </c>
      <c r="D899" s="9" t="str">
        <f>IF(Data!B899="","",IF(ISNUMBER(Data!D899),IF(AND(Data!D899&gt;999999999,Data!D899&lt;=9999999999),IF(COUNTIFS(Data!D$1:'Data'!D899,Data!D899)&lt;=1,0,1),1),1))</f>
        <v/>
      </c>
      <c r="E899" s="9" t="str">
        <f>IF(Data!B899="","",IF(ISNUMBER(MATCH(Data!E899,Data_Val!$A$2:$A$3,0)),0,1))</f>
        <v/>
      </c>
      <c r="F899" s="9" t="str">
        <f ca="1">IF(Data!B899="","",IF(ISNUMBER(Data!F899),IF(AND(Data!F899&gt;(TODAY()-(Data_Val!$H$3*365.25)),Data!F899&lt;=(TODAY()-(Data_Val!$H$2*365.25))),0,1),1))</f>
        <v/>
      </c>
      <c r="G899" s="15" t="str">
        <f>IF(Data!B899="","",IF(AND(Data!G899="",Data!H899&lt;&gt;""),1,IF(Data!#REF!&lt;&gt;"",0,IF(ISNUMBER(MATCH(Data!G899,Data_Val!$C$2:$C$5,0)),0,1))))</f>
        <v/>
      </c>
      <c r="H899" s="15" t="str">
        <f>IF(Data!B899="","",IF(AND(Data!G899&lt;&gt;"",Data!H899=""),1,IF(Data!#REF!&lt;&gt;"",0,IF(Data!G899="",1,IF(ISNUMBER(MATCH(Data!H899,Data_Val!$D$2:$D$35,0)),0,1)))))</f>
        <v/>
      </c>
      <c r="I899" s="15" t="str">
        <f>IF(Data!B899="","",IF(Data!G899&lt;&gt;"",0,IF(ISNUMBER(MATCH(Data!#REF!,Data_Val!$E$2:$E$12,0)),0,1)))</f>
        <v/>
      </c>
      <c r="J899" s="16" t="e">
        <f>IF(OR(Data!B899="",Data!#REF!=""),"",IF(Data!#REF!="",1,0))</f>
        <v>#REF!</v>
      </c>
      <c r="K899" s="16" t="e">
        <f>IF(OR(Data!B899="",Data!#REF!=""),"",IF(Data!#REF!="",1,0))</f>
        <v>#REF!</v>
      </c>
      <c r="L899" s="16" t="e">
        <f>IF(OR(Data!B899="",Data!#REF!=""),"",IF(ISNUMBER(Data!#REF!),IF(AND(Data!#REF!&gt;Data_Val!$G$2,Data!#REF!&lt;=Data_Val!$G$3),0,1),1))</f>
        <v>#REF!</v>
      </c>
      <c r="M899" s="9" t="e">
        <f>IF(OR(Data!B899="",Data!#REF!=""),"",IF(ISNUMBER(MATCH(Data!#REF!,Data_Val!$F$1:$F$38,0)),0,1))</f>
        <v>#REF!</v>
      </c>
      <c r="N899" s="9" t="e">
        <f>IF(OR(Data!B899="",Data!#REF!=""),"",IF(Data!#REF!="",1,0))</f>
        <v>#REF!</v>
      </c>
      <c r="O899" s="17" t="e">
        <f>IF(Data!#REF!="","",IF(Data!#REF!="",1,0))</f>
        <v>#REF!</v>
      </c>
      <c r="P899" s="17" t="e">
        <f>IF(Data!#REF!="","",IF(ISNUMBER(MATCH(Data!#REF!,Data_Val!$A$2:$A$3,0)),0,1))</f>
        <v>#REF!</v>
      </c>
      <c r="Q899" s="25" t="e">
        <f ca="1">IF(Data!#REF!="","",IF(ISNUMBER(Data!#REF!),IF(AND(Data!#REF!&gt;(TODAY()-(Data_Val!$J$3*365.25)),Data!#REF!&lt;=(TODAY()-(Data_Val!$J$2*365.25))),0,1),1))</f>
        <v>#REF!</v>
      </c>
      <c r="R899" s="17" t="e">
        <f>IF(Data!#REF!="","",IF(ISNUMBER(MATCH(Data!#REF!,Data_Val!$B$2:$B$15,0)),0,1))</f>
        <v>#REF!</v>
      </c>
      <c r="S899" s="11" t="str">
        <f>IF(Data!G899="","",IF(Data!G899=Data_Val!$C$2,IF(Data!M899="",0,1),0))</f>
        <v/>
      </c>
      <c r="T899" s="11" t="str">
        <f>IF(Data!M899="","",IF(ISNUMBER(MATCH(Data!N899,Data_Val!$A$2:$A$3,0)),0,1))</f>
        <v/>
      </c>
      <c r="U899" s="11" t="str">
        <f ca="1">IF(Data!M899="","",IF(ISNUMBER(Data!O899),IF(AND(Data!O899&gt;(TODAY()-(Data_Val!$K$3*365.25)),Data!O899&lt;=(TODAY()-(Data_Val!$K$2*365.25))),0,1),1))</f>
        <v/>
      </c>
      <c r="V899" s="12" t="str">
        <f>IF(Data!G899="","",IF(Data!G899=Data_Val!$C$2,IF(Data!P899="",0,1),0))</f>
        <v/>
      </c>
      <c r="W899" s="12" t="str">
        <f>IF(Data!P899="","",IF(ISNUMBER(MATCH(Data!Q899,Data_Val!$A$2:$A$3,0)),0,1))</f>
        <v/>
      </c>
      <c r="X899" s="26" t="str">
        <f ca="1">IF(Data!P899="","",IF(ISNUMBER(Data!R899),IF(AND(Data!R899&gt;(TODAY()-(Data_Val!$L$3*365.25)),Data!R899&lt;=(TODAY()-(Data_Val!$L$2*365.25))),0,1),1))</f>
        <v/>
      </c>
      <c r="Y899" s="13" t="str">
        <f>IF(Data!$G899="","",IF(Data!$G899=Data_Val!$C$2,IF(Data!S899="",0,1),0))</f>
        <v/>
      </c>
      <c r="Z899" s="13" t="str">
        <f>IF(Data!S899="","",IF(ISNUMBER(MATCH(Data!T899,Data_Val!$A$2:$A$3,0)),0,1))</f>
        <v/>
      </c>
      <c r="AA899" s="28" t="str">
        <f ca="1">IF(Data!S899="","",IF(ISNUMBER(Data!U899),IF(AND(Data!U899&gt;(TODAY()-(Data_Val!$L$3*365.25)),Data!U899&lt;=(TODAY()-(Data_Val!$L$2*365.25))),0,1),1))</f>
        <v/>
      </c>
      <c r="AB899" s="11"/>
      <c r="AC899" s="11" t="e">
        <f>IF(Data!#REF!="","",IF(ISNUMBER(MATCH(Data!#REF!,Data_Val!$A$2:$A$3,0)),0,1))</f>
        <v>#REF!</v>
      </c>
      <c r="AD899" s="11" t="e">
        <f ca="1">IF(Data!#REF!="","",IF(ISNUMBER(Data!#REF!),IF(AND(Data!#REF!&gt;(TODAY()-(Data_Val!$L$3*365.25)),Data!#REF!&lt;=(TODAY()-(Data_Val!$L$2*365.25))),0,1),1))</f>
        <v>#REF!</v>
      </c>
      <c r="AE899" s="11" t="e">
        <f>IF(Data!#REF!="","",IF(Data!$G899="",1,IF(ISNUMBER(MATCH(Data!#REF!,Data_Val!$D$2:$D$10,0)),0,1)))</f>
        <v>#REF!</v>
      </c>
      <c r="AF899" s="12"/>
      <c r="AG899" s="12" t="e">
        <f>IF(Data!#REF!="","",IF(ISNUMBER(MATCH(Data!#REF!,Data_Val!$A$2:$A$3,0)),0,1))</f>
        <v>#REF!</v>
      </c>
      <c r="AH899" s="26" t="e">
        <f ca="1">IF(Data!#REF!="","",IF(ISNUMBER(Data!#REF!),IF(AND(Data!#REF!&gt;(TODAY()-(Data_Val!$L$3*365.25)),Data!#REF!&lt;=(TODAY()-(Data_Val!$L$2*365.25))),0,1),1))</f>
        <v>#REF!</v>
      </c>
      <c r="AI899" s="12" t="e">
        <f>IF(Data!#REF!="","",IF(Data!$G899="",1,IF(ISNUMBER(MATCH(Data!#REF!,Data_Val!$D$2:$D$10,0)),0,1)))</f>
        <v>#REF!</v>
      </c>
      <c r="AJ899" s="17"/>
      <c r="AK899" s="17" t="e">
        <f>IF(Data!#REF!="","",IF(ISNUMBER(MATCH(Data!#REF!,Data_Val!$A$2:$A$3,0)),0,1))</f>
        <v>#REF!</v>
      </c>
      <c r="AL899" s="25" t="e">
        <f ca="1">IF(Data!#REF!="","",IF(ISNUMBER(Data!#REF!),IF(AND(Data!#REF!&gt;(TODAY()-(Data_Val!$L$3*365.25)),Data!#REF!&lt;=(TODAY()-(Data_Val!$L$2*365.25))),0,1),1))</f>
        <v>#REF!</v>
      </c>
      <c r="AM899" s="17" t="e">
        <f>IF(Data!#REF!="","",IF(Data!$G899="",1,IF(ISNUMBER(MATCH(Data!#REF!,Data_Val!$D$2:$D$10,0)),0,1)))</f>
        <v>#REF!</v>
      </c>
      <c r="AN899" s="13"/>
      <c r="AO899" s="28" t="e">
        <f ca="1">IF(Data!#REF!="","",IF(ISNUMBER(Data!#REF!),IF(AND(Data!#REF!&gt;(TODAY()-(Data_Val!$I$3*365.25)),Data!#REF!&lt;=(TODAY()-(Data_Val!$I$2*365.25))),0,1),1))</f>
        <v>#REF!</v>
      </c>
      <c r="AP899" s="13" t="e">
        <f>IF(Data!#REF!="","",IF(Data!$G899="",1,IF(ISNUMBER(MATCH(Data!#REF!,Data_Val!$D$2:$D$10,0)),0,1)))</f>
        <v>#REF!</v>
      </c>
      <c r="AQ899" s="17"/>
      <c r="AR899" s="30" t="e">
        <f ca="1">IF(Data!#REF!="","",IF(ISNUMBER(Data!#REF!),IF(AND(Data!#REF!&gt;(TODAY()-(Data_Val!$I$3*365.25)),Data!#REF!&lt;=(TODAY()-(Data_Val!$I$2*365.25))),0,1),1))</f>
        <v>#REF!</v>
      </c>
      <c r="AS899" s="31" t="e">
        <f>IF(Data!#REF!="","",IF(Data!$G899="",1,IF(ISNUMBER(MATCH(Data!#REF!,Data_Val!$D$2:$D$10,0)),0,1)))</f>
        <v>#REF!</v>
      </c>
      <c r="AT899" s="11"/>
      <c r="AU899" s="11" t="e">
        <f ca="1">IF(Data!#REF!="","",IF(ISNUMBER(Data!#REF!),IF(AND(Data!#REF!&gt;(TODAY()-(Data_Val!$I$3*365.25)),Data!#REF!&lt;=(TODAY()-(Data_Val!$I$2*365.25))),0,1),1))</f>
        <v>#REF!</v>
      </c>
      <c r="AV899" s="11" t="e">
        <f>IF(Data!#REF!="","",IF(Data!$G899="",1,IF(ISNUMBER(MATCH(Data!#REF!,Data_Val!$D$2:$D$10,0)),0,1)))</f>
        <v>#REF!</v>
      </c>
      <c r="AW899" s="12"/>
      <c r="AX899" s="26" t="e">
        <f ca="1">IF(Data!#REF!="","",IF(ISNUMBER(Data!#REF!),IF(AND(Data!#REF!&gt;(TODAY()-(Data_Val!$I$3*365.25)),Data!#REF!&lt;=(TODAY()-(Data_Val!$I$2*365.25))),0,1),1))</f>
        <v>#REF!</v>
      </c>
      <c r="AY899" s="12" t="e">
        <f>IF(Data!#REF!="","",IF(Data!$G899="",1,IF(ISNUMBER(MATCH(Data!#REF!,Data_Val!$D$2:$D$10,0)),0,1)))</f>
        <v>#REF!</v>
      </c>
      <c r="AZ899" s="11"/>
      <c r="BA899" s="19" t="e">
        <f ca="1">IF(Data!#REF!="","",IF(ISNUMBER(Data!#REF!),IF(AND(Data!#REF!&gt;(TODAY()-(Data_Val!$M$3*365.25)),Data!#REF!&lt;=(TODAY()-(Data_Val!$M$2*365.25))),0,1),1))</f>
        <v>#REF!</v>
      </c>
      <c r="BB899" s="11" t="e">
        <f>IF(Data!#REF!="","",IF(Data!$G899="",1,IF(ISNUMBER(MATCH(Data!#REF!,Data_Val!$D$2:$D$10,0)),0,1)))</f>
        <v>#REF!</v>
      </c>
      <c r="BC899" s="12"/>
      <c r="BD899" s="20" t="e">
        <f ca="1">IF(Data!#REF!="","",IF(ISNUMBER(Data!#REF!),IF(AND(Data!#REF!&gt;(TODAY()-(Data_Val!$M$3*365.25)),Data!#REF!&lt;=(TODAY()-(Data_Val!$M$2*365.25))),0,1),1))</f>
        <v>#REF!</v>
      </c>
      <c r="BE899" s="12" t="e">
        <f>IF(Data!#REF!="","",IF(Data!$G899="",1,IF(ISNUMBER(MATCH(Data!#REF!,Data_Val!$D$2:$D$10,0)),0,1)))</f>
        <v>#REF!</v>
      </c>
      <c r="BF899" s="17"/>
      <c r="BG899" s="18" t="e">
        <f ca="1">IF(Data!#REF!="","",IF(ISNUMBER(Data!#REF!),IF(AND(Data!#REF!&gt;(TODAY()-(Data_Val!$M$3*365.25)),Data!#REF!&lt;=(TODAY()-(Data_Val!$M$2*365.25))),0,1),1))</f>
        <v>#REF!</v>
      </c>
      <c r="BH899" s="29" t="e">
        <f>IF(Data!#REF!="","",IF(Data!$G899="",1,IF(ISNUMBER(MATCH(Data!#REF!,Data_Val!$D$2:$D$10,0)),0,1)))</f>
        <v>#REF!</v>
      </c>
      <c r="BI899" s="13"/>
      <c r="BJ899" s="21" t="e">
        <f ca="1">IF(Data!#REF!="","",IF(ISNUMBER(Data!#REF!),IF(AND(Data!#REF!&gt;(TODAY()-(Data_Val!$M$3*365.25)),Data!#REF!&lt;=(TODAY()-(Data_Val!$M$2*365.25))),0,1),1))</f>
        <v>#REF!</v>
      </c>
      <c r="BK899" s="13" t="e">
        <f>IF(Data!#REF!="","",IF(Data!$G899="",1,IF(ISNUMBER(MATCH(Data!#REF!,Data_Val!$D$2:$D$10,0)),0,1)))</f>
        <v>#REF!</v>
      </c>
    </row>
    <row r="900" spans="1:63" x14ac:dyDescent="0.25">
      <c r="A900" s="9" t="str">
        <f>IF(Data!B900="","",IF(COUNTIFS(Data!A$1:'Data'!A900,Data!A900)&lt;=1,0,1))</f>
        <v/>
      </c>
      <c r="B900" s="9"/>
      <c r="C900" s="23" t="str">
        <f>IF(Data!C900="","",(IF(ISNUMBER(MATCH("*@*.?*",Data!C900,0)),0,1)+IF(COUNTIFS(Data!C$1:'Data'!C900,Data!C900)&gt;1,1,0)))</f>
        <v/>
      </c>
      <c r="D900" s="9" t="str">
        <f>IF(Data!B900="","",IF(ISNUMBER(Data!D900),IF(AND(Data!D900&gt;999999999,Data!D900&lt;=9999999999),IF(COUNTIFS(Data!D$1:'Data'!D900,Data!D900)&lt;=1,0,1),1),1))</f>
        <v/>
      </c>
      <c r="E900" s="9" t="str">
        <f>IF(Data!B900="","",IF(ISNUMBER(MATCH(Data!E900,Data_Val!$A$2:$A$3,0)),0,1))</f>
        <v/>
      </c>
      <c r="F900" s="9" t="str">
        <f ca="1">IF(Data!B900="","",IF(ISNUMBER(Data!F900),IF(AND(Data!F900&gt;(TODAY()-(Data_Val!$H$3*365.25)),Data!F900&lt;=(TODAY()-(Data_Val!$H$2*365.25))),0,1),1))</f>
        <v/>
      </c>
      <c r="G900" s="15" t="str">
        <f>IF(Data!B900="","",IF(AND(Data!G900="",Data!H900&lt;&gt;""),1,IF(Data!#REF!&lt;&gt;"",0,IF(ISNUMBER(MATCH(Data!G900,Data_Val!$C$2:$C$5,0)),0,1))))</f>
        <v/>
      </c>
      <c r="H900" s="15" t="str">
        <f>IF(Data!B900="","",IF(AND(Data!G900&lt;&gt;"",Data!H900=""),1,IF(Data!#REF!&lt;&gt;"",0,IF(Data!G900="",1,IF(ISNUMBER(MATCH(Data!H900,Data_Val!$D$2:$D$35,0)),0,1)))))</f>
        <v/>
      </c>
      <c r="I900" s="15" t="str">
        <f>IF(Data!B900="","",IF(Data!G900&lt;&gt;"",0,IF(ISNUMBER(MATCH(Data!#REF!,Data_Val!$E$2:$E$12,0)),0,1)))</f>
        <v/>
      </c>
      <c r="J900" s="16" t="e">
        <f>IF(OR(Data!B900="",Data!#REF!=""),"",IF(Data!#REF!="",1,0))</f>
        <v>#REF!</v>
      </c>
      <c r="K900" s="16" t="e">
        <f>IF(OR(Data!B900="",Data!#REF!=""),"",IF(Data!#REF!="",1,0))</f>
        <v>#REF!</v>
      </c>
      <c r="L900" s="16" t="e">
        <f>IF(OR(Data!B900="",Data!#REF!=""),"",IF(ISNUMBER(Data!#REF!),IF(AND(Data!#REF!&gt;Data_Val!$G$2,Data!#REF!&lt;=Data_Val!$G$3),0,1),1))</f>
        <v>#REF!</v>
      </c>
      <c r="M900" s="9" t="e">
        <f>IF(OR(Data!B900="",Data!#REF!=""),"",IF(ISNUMBER(MATCH(Data!#REF!,Data_Val!$F$1:$F$38,0)),0,1))</f>
        <v>#REF!</v>
      </c>
      <c r="N900" s="9" t="e">
        <f>IF(OR(Data!B900="",Data!#REF!=""),"",IF(Data!#REF!="",1,0))</f>
        <v>#REF!</v>
      </c>
      <c r="O900" s="17" t="e">
        <f>IF(Data!#REF!="","",IF(Data!#REF!="",1,0))</f>
        <v>#REF!</v>
      </c>
      <c r="P900" s="17" t="e">
        <f>IF(Data!#REF!="","",IF(ISNUMBER(MATCH(Data!#REF!,Data_Val!$A$2:$A$3,0)),0,1))</f>
        <v>#REF!</v>
      </c>
      <c r="Q900" s="25" t="e">
        <f ca="1">IF(Data!#REF!="","",IF(ISNUMBER(Data!#REF!),IF(AND(Data!#REF!&gt;(TODAY()-(Data_Val!$J$3*365.25)),Data!#REF!&lt;=(TODAY()-(Data_Val!$J$2*365.25))),0,1),1))</f>
        <v>#REF!</v>
      </c>
      <c r="R900" s="17" t="e">
        <f>IF(Data!#REF!="","",IF(ISNUMBER(MATCH(Data!#REF!,Data_Val!$B$2:$B$15,0)),0,1))</f>
        <v>#REF!</v>
      </c>
      <c r="S900" s="11" t="str">
        <f>IF(Data!G900="","",IF(Data!G900=Data_Val!$C$2,IF(Data!M900="",0,1),0))</f>
        <v/>
      </c>
      <c r="T900" s="11" t="str">
        <f>IF(Data!M900="","",IF(ISNUMBER(MATCH(Data!N900,Data_Val!$A$2:$A$3,0)),0,1))</f>
        <v/>
      </c>
      <c r="U900" s="11" t="str">
        <f ca="1">IF(Data!M900="","",IF(ISNUMBER(Data!O900),IF(AND(Data!O900&gt;(TODAY()-(Data_Val!$K$3*365.25)),Data!O900&lt;=(TODAY()-(Data_Val!$K$2*365.25))),0,1),1))</f>
        <v/>
      </c>
      <c r="V900" s="12" t="str">
        <f>IF(Data!G900="","",IF(Data!G900=Data_Val!$C$2,IF(Data!P900="",0,1),0))</f>
        <v/>
      </c>
      <c r="W900" s="12" t="str">
        <f>IF(Data!P900="","",IF(ISNUMBER(MATCH(Data!Q900,Data_Val!$A$2:$A$3,0)),0,1))</f>
        <v/>
      </c>
      <c r="X900" s="26" t="str">
        <f ca="1">IF(Data!P900="","",IF(ISNUMBER(Data!R900),IF(AND(Data!R900&gt;(TODAY()-(Data_Val!$L$3*365.25)),Data!R900&lt;=(TODAY()-(Data_Val!$L$2*365.25))),0,1),1))</f>
        <v/>
      </c>
      <c r="Y900" s="13" t="str">
        <f>IF(Data!$G900="","",IF(Data!$G900=Data_Val!$C$2,IF(Data!S900="",0,1),0))</f>
        <v/>
      </c>
      <c r="Z900" s="13" t="str">
        <f>IF(Data!S900="","",IF(ISNUMBER(MATCH(Data!T900,Data_Val!$A$2:$A$3,0)),0,1))</f>
        <v/>
      </c>
      <c r="AA900" s="28" t="str">
        <f ca="1">IF(Data!S900="","",IF(ISNUMBER(Data!U900),IF(AND(Data!U900&gt;(TODAY()-(Data_Val!$L$3*365.25)),Data!U900&lt;=(TODAY()-(Data_Val!$L$2*365.25))),0,1),1))</f>
        <v/>
      </c>
      <c r="AB900" s="11"/>
      <c r="AC900" s="11" t="e">
        <f>IF(Data!#REF!="","",IF(ISNUMBER(MATCH(Data!#REF!,Data_Val!$A$2:$A$3,0)),0,1))</f>
        <v>#REF!</v>
      </c>
      <c r="AD900" s="11" t="e">
        <f ca="1">IF(Data!#REF!="","",IF(ISNUMBER(Data!#REF!),IF(AND(Data!#REF!&gt;(TODAY()-(Data_Val!$L$3*365.25)),Data!#REF!&lt;=(TODAY()-(Data_Val!$L$2*365.25))),0,1),1))</f>
        <v>#REF!</v>
      </c>
      <c r="AE900" s="11" t="e">
        <f>IF(Data!#REF!="","",IF(Data!$G900="",1,IF(ISNUMBER(MATCH(Data!#REF!,Data_Val!$D$2:$D$10,0)),0,1)))</f>
        <v>#REF!</v>
      </c>
      <c r="AF900" s="12"/>
      <c r="AG900" s="12" t="e">
        <f>IF(Data!#REF!="","",IF(ISNUMBER(MATCH(Data!#REF!,Data_Val!$A$2:$A$3,0)),0,1))</f>
        <v>#REF!</v>
      </c>
      <c r="AH900" s="26" t="e">
        <f ca="1">IF(Data!#REF!="","",IF(ISNUMBER(Data!#REF!),IF(AND(Data!#REF!&gt;(TODAY()-(Data_Val!$L$3*365.25)),Data!#REF!&lt;=(TODAY()-(Data_Val!$L$2*365.25))),0,1),1))</f>
        <v>#REF!</v>
      </c>
      <c r="AI900" s="12" t="e">
        <f>IF(Data!#REF!="","",IF(Data!$G900="",1,IF(ISNUMBER(MATCH(Data!#REF!,Data_Val!$D$2:$D$10,0)),0,1)))</f>
        <v>#REF!</v>
      </c>
      <c r="AJ900" s="17"/>
      <c r="AK900" s="17" t="e">
        <f>IF(Data!#REF!="","",IF(ISNUMBER(MATCH(Data!#REF!,Data_Val!$A$2:$A$3,0)),0,1))</f>
        <v>#REF!</v>
      </c>
      <c r="AL900" s="25" t="e">
        <f ca="1">IF(Data!#REF!="","",IF(ISNUMBER(Data!#REF!),IF(AND(Data!#REF!&gt;(TODAY()-(Data_Val!$L$3*365.25)),Data!#REF!&lt;=(TODAY()-(Data_Val!$L$2*365.25))),0,1),1))</f>
        <v>#REF!</v>
      </c>
      <c r="AM900" s="17" t="e">
        <f>IF(Data!#REF!="","",IF(Data!$G900="",1,IF(ISNUMBER(MATCH(Data!#REF!,Data_Val!$D$2:$D$10,0)),0,1)))</f>
        <v>#REF!</v>
      </c>
      <c r="AN900" s="13"/>
      <c r="AO900" s="28" t="e">
        <f ca="1">IF(Data!#REF!="","",IF(ISNUMBER(Data!#REF!),IF(AND(Data!#REF!&gt;(TODAY()-(Data_Val!$I$3*365.25)),Data!#REF!&lt;=(TODAY()-(Data_Val!$I$2*365.25))),0,1),1))</f>
        <v>#REF!</v>
      </c>
      <c r="AP900" s="13" t="e">
        <f>IF(Data!#REF!="","",IF(Data!$G900="",1,IF(ISNUMBER(MATCH(Data!#REF!,Data_Val!$D$2:$D$10,0)),0,1)))</f>
        <v>#REF!</v>
      </c>
      <c r="AQ900" s="17"/>
      <c r="AR900" s="30" t="e">
        <f ca="1">IF(Data!#REF!="","",IF(ISNUMBER(Data!#REF!),IF(AND(Data!#REF!&gt;(TODAY()-(Data_Val!$I$3*365.25)),Data!#REF!&lt;=(TODAY()-(Data_Val!$I$2*365.25))),0,1),1))</f>
        <v>#REF!</v>
      </c>
      <c r="AS900" s="31" t="e">
        <f>IF(Data!#REF!="","",IF(Data!$G900="",1,IF(ISNUMBER(MATCH(Data!#REF!,Data_Val!$D$2:$D$10,0)),0,1)))</f>
        <v>#REF!</v>
      </c>
      <c r="AT900" s="11"/>
      <c r="AU900" s="11" t="e">
        <f ca="1">IF(Data!#REF!="","",IF(ISNUMBER(Data!#REF!),IF(AND(Data!#REF!&gt;(TODAY()-(Data_Val!$I$3*365.25)),Data!#REF!&lt;=(TODAY()-(Data_Val!$I$2*365.25))),0,1),1))</f>
        <v>#REF!</v>
      </c>
      <c r="AV900" s="11" t="e">
        <f>IF(Data!#REF!="","",IF(Data!$G900="",1,IF(ISNUMBER(MATCH(Data!#REF!,Data_Val!$D$2:$D$10,0)),0,1)))</f>
        <v>#REF!</v>
      </c>
      <c r="AW900" s="12"/>
      <c r="AX900" s="26" t="e">
        <f ca="1">IF(Data!#REF!="","",IF(ISNUMBER(Data!#REF!),IF(AND(Data!#REF!&gt;(TODAY()-(Data_Val!$I$3*365.25)),Data!#REF!&lt;=(TODAY()-(Data_Val!$I$2*365.25))),0,1),1))</f>
        <v>#REF!</v>
      </c>
      <c r="AY900" s="12" t="e">
        <f>IF(Data!#REF!="","",IF(Data!$G900="",1,IF(ISNUMBER(MATCH(Data!#REF!,Data_Val!$D$2:$D$10,0)),0,1)))</f>
        <v>#REF!</v>
      </c>
      <c r="AZ900" s="11"/>
      <c r="BA900" s="19" t="e">
        <f ca="1">IF(Data!#REF!="","",IF(ISNUMBER(Data!#REF!),IF(AND(Data!#REF!&gt;(TODAY()-(Data_Val!$M$3*365.25)),Data!#REF!&lt;=(TODAY()-(Data_Val!$M$2*365.25))),0,1),1))</f>
        <v>#REF!</v>
      </c>
      <c r="BB900" s="11" t="e">
        <f>IF(Data!#REF!="","",IF(Data!$G900="",1,IF(ISNUMBER(MATCH(Data!#REF!,Data_Val!$D$2:$D$10,0)),0,1)))</f>
        <v>#REF!</v>
      </c>
      <c r="BC900" s="12"/>
      <c r="BD900" s="20" t="e">
        <f ca="1">IF(Data!#REF!="","",IF(ISNUMBER(Data!#REF!),IF(AND(Data!#REF!&gt;(TODAY()-(Data_Val!$M$3*365.25)),Data!#REF!&lt;=(TODAY()-(Data_Val!$M$2*365.25))),0,1),1))</f>
        <v>#REF!</v>
      </c>
      <c r="BE900" s="12" t="e">
        <f>IF(Data!#REF!="","",IF(Data!$G900="",1,IF(ISNUMBER(MATCH(Data!#REF!,Data_Val!$D$2:$D$10,0)),0,1)))</f>
        <v>#REF!</v>
      </c>
      <c r="BF900" s="17"/>
      <c r="BG900" s="18" t="e">
        <f ca="1">IF(Data!#REF!="","",IF(ISNUMBER(Data!#REF!),IF(AND(Data!#REF!&gt;(TODAY()-(Data_Val!$M$3*365.25)),Data!#REF!&lt;=(TODAY()-(Data_Val!$M$2*365.25))),0,1),1))</f>
        <v>#REF!</v>
      </c>
      <c r="BH900" s="29" t="e">
        <f>IF(Data!#REF!="","",IF(Data!$G900="",1,IF(ISNUMBER(MATCH(Data!#REF!,Data_Val!$D$2:$D$10,0)),0,1)))</f>
        <v>#REF!</v>
      </c>
      <c r="BI900" s="13"/>
      <c r="BJ900" s="21" t="e">
        <f ca="1">IF(Data!#REF!="","",IF(ISNUMBER(Data!#REF!),IF(AND(Data!#REF!&gt;(TODAY()-(Data_Val!$M$3*365.25)),Data!#REF!&lt;=(TODAY()-(Data_Val!$M$2*365.25))),0,1),1))</f>
        <v>#REF!</v>
      </c>
      <c r="BK900" s="13" t="e">
        <f>IF(Data!#REF!="","",IF(Data!$G900="",1,IF(ISNUMBER(MATCH(Data!#REF!,Data_Val!$D$2:$D$10,0)),0,1)))</f>
        <v>#REF!</v>
      </c>
    </row>
    <row r="901" spans="1:63" x14ac:dyDescent="0.25">
      <c r="A901" s="9" t="str">
        <f>IF(Data!B901="","",IF(COUNTIFS(Data!A$1:'Data'!A901,Data!A901)&lt;=1,0,1))</f>
        <v/>
      </c>
      <c r="B901" s="9"/>
      <c r="C901" s="23" t="str">
        <f>IF(Data!C901="","",(IF(ISNUMBER(MATCH("*@*.?*",Data!C901,0)),0,1)+IF(COUNTIFS(Data!C$1:'Data'!C901,Data!C901)&gt;1,1,0)))</f>
        <v/>
      </c>
      <c r="D901" s="9" t="str">
        <f>IF(Data!B901="","",IF(ISNUMBER(Data!D901),IF(AND(Data!D901&gt;999999999,Data!D901&lt;=9999999999),IF(COUNTIFS(Data!D$1:'Data'!D901,Data!D901)&lt;=1,0,1),1),1))</f>
        <v/>
      </c>
      <c r="E901" s="9" t="str">
        <f>IF(Data!B901="","",IF(ISNUMBER(MATCH(Data!E901,Data_Val!$A$2:$A$3,0)),0,1))</f>
        <v/>
      </c>
      <c r="F901" s="9" t="str">
        <f ca="1">IF(Data!B901="","",IF(ISNUMBER(Data!F901),IF(AND(Data!F901&gt;(TODAY()-(Data_Val!$H$3*365.25)),Data!F901&lt;=(TODAY()-(Data_Val!$H$2*365.25))),0,1),1))</f>
        <v/>
      </c>
      <c r="G901" s="15" t="str">
        <f>IF(Data!B901="","",IF(AND(Data!G901="",Data!H901&lt;&gt;""),1,IF(Data!#REF!&lt;&gt;"",0,IF(ISNUMBER(MATCH(Data!G901,Data_Val!$C$2:$C$5,0)),0,1))))</f>
        <v/>
      </c>
      <c r="H901" s="15" t="str">
        <f>IF(Data!B901="","",IF(AND(Data!G901&lt;&gt;"",Data!H901=""),1,IF(Data!#REF!&lt;&gt;"",0,IF(Data!G901="",1,IF(ISNUMBER(MATCH(Data!H901,Data_Val!$D$2:$D$35,0)),0,1)))))</f>
        <v/>
      </c>
      <c r="I901" s="15" t="str">
        <f>IF(Data!B901="","",IF(Data!G901&lt;&gt;"",0,IF(ISNUMBER(MATCH(Data!#REF!,Data_Val!$E$2:$E$12,0)),0,1)))</f>
        <v/>
      </c>
      <c r="J901" s="16" t="e">
        <f>IF(OR(Data!B901="",Data!#REF!=""),"",IF(Data!#REF!="",1,0))</f>
        <v>#REF!</v>
      </c>
      <c r="K901" s="16" t="e">
        <f>IF(OR(Data!B901="",Data!#REF!=""),"",IF(Data!#REF!="",1,0))</f>
        <v>#REF!</v>
      </c>
      <c r="L901" s="16" t="e">
        <f>IF(OR(Data!B901="",Data!#REF!=""),"",IF(ISNUMBER(Data!#REF!),IF(AND(Data!#REF!&gt;Data_Val!$G$2,Data!#REF!&lt;=Data_Val!$G$3),0,1),1))</f>
        <v>#REF!</v>
      </c>
      <c r="M901" s="9" t="e">
        <f>IF(OR(Data!B901="",Data!#REF!=""),"",IF(ISNUMBER(MATCH(Data!#REF!,Data_Val!$F$1:$F$38,0)),0,1))</f>
        <v>#REF!</v>
      </c>
      <c r="N901" s="9" t="e">
        <f>IF(OR(Data!B901="",Data!#REF!=""),"",IF(Data!#REF!="",1,0))</f>
        <v>#REF!</v>
      </c>
      <c r="O901" s="17" t="e">
        <f>IF(Data!#REF!="","",IF(Data!#REF!="",1,0))</f>
        <v>#REF!</v>
      </c>
      <c r="P901" s="17" t="e">
        <f>IF(Data!#REF!="","",IF(ISNUMBER(MATCH(Data!#REF!,Data_Val!$A$2:$A$3,0)),0,1))</f>
        <v>#REF!</v>
      </c>
      <c r="Q901" s="25" t="e">
        <f ca="1">IF(Data!#REF!="","",IF(ISNUMBER(Data!#REF!),IF(AND(Data!#REF!&gt;(TODAY()-(Data_Val!$J$3*365.25)),Data!#REF!&lt;=(TODAY()-(Data_Val!$J$2*365.25))),0,1),1))</f>
        <v>#REF!</v>
      </c>
      <c r="R901" s="17" t="e">
        <f>IF(Data!#REF!="","",IF(ISNUMBER(MATCH(Data!#REF!,Data_Val!$B$2:$B$15,0)),0,1))</f>
        <v>#REF!</v>
      </c>
      <c r="S901" s="11" t="str">
        <f>IF(Data!G901="","",IF(Data!G901=Data_Val!$C$2,IF(Data!M901="",0,1),0))</f>
        <v/>
      </c>
      <c r="T901" s="11" t="str">
        <f>IF(Data!M901="","",IF(ISNUMBER(MATCH(Data!N901,Data_Val!$A$2:$A$3,0)),0,1))</f>
        <v/>
      </c>
      <c r="U901" s="11" t="str">
        <f ca="1">IF(Data!M901="","",IF(ISNUMBER(Data!O901),IF(AND(Data!O901&gt;(TODAY()-(Data_Val!$K$3*365.25)),Data!O901&lt;=(TODAY()-(Data_Val!$K$2*365.25))),0,1),1))</f>
        <v/>
      </c>
      <c r="V901" s="12" t="str">
        <f>IF(Data!G901="","",IF(Data!G901=Data_Val!$C$2,IF(Data!P901="",0,1),0))</f>
        <v/>
      </c>
      <c r="W901" s="12" t="str">
        <f>IF(Data!P901="","",IF(ISNUMBER(MATCH(Data!Q901,Data_Val!$A$2:$A$3,0)),0,1))</f>
        <v/>
      </c>
      <c r="X901" s="26" t="str">
        <f ca="1">IF(Data!P901="","",IF(ISNUMBER(Data!R901),IF(AND(Data!R901&gt;(TODAY()-(Data_Val!$L$3*365.25)),Data!R901&lt;=(TODAY()-(Data_Val!$L$2*365.25))),0,1),1))</f>
        <v/>
      </c>
      <c r="Y901" s="13" t="str">
        <f>IF(Data!$G901="","",IF(Data!$G901=Data_Val!$C$2,IF(Data!S901="",0,1),0))</f>
        <v/>
      </c>
      <c r="Z901" s="13" t="str">
        <f>IF(Data!S901="","",IF(ISNUMBER(MATCH(Data!T901,Data_Val!$A$2:$A$3,0)),0,1))</f>
        <v/>
      </c>
      <c r="AA901" s="28" t="str">
        <f ca="1">IF(Data!S901="","",IF(ISNUMBER(Data!U901),IF(AND(Data!U901&gt;(TODAY()-(Data_Val!$L$3*365.25)),Data!U901&lt;=(TODAY()-(Data_Val!$L$2*365.25))),0,1),1))</f>
        <v/>
      </c>
      <c r="AB901" s="11"/>
      <c r="AC901" s="11" t="e">
        <f>IF(Data!#REF!="","",IF(ISNUMBER(MATCH(Data!#REF!,Data_Val!$A$2:$A$3,0)),0,1))</f>
        <v>#REF!</v>
      </c>
      <c r="AD901" s="11" t="e">
        <f ca="1">IF(Data!#REF!="","",IF(ISNUMBER(Data!#REF!),IF(AND(Data!#REF!&gt;(TODAY()-(Data_Val!$L$3*365.25)),Data!#REF!&lt;=(TODAY()-(Data_Val!$L$2*365.25))),0,1),1))</f>
        <v>#REF!</v>
      </c>
      <c r="AE901" s="11" t="e">
        <f>IF(Data!#REF!="","",IF(Data!$G901="",1,IF(ISNUMBER(MATCH(Data!#REF!,Data_Val!$D$2:$D$10,0)),0,1)))</f>
        <v>#REF!</v>
      </c>
      <c r="AF901" s="12"/>
      <c r="AG901" s="12" t="e">
        <f>IF(Data!#REF!="","",IF(ISNUMBER(MATCH(Data!#REF!,Data_Val!$A$2:$A$3,0)),0,1))</f>
        <v>#REF!</v>
      </c>
      <c r="AH901" s="26" t="e">
        <f ca="1">IF(Data!#REF!="","",IF(ISNUMBER(Data!#REF!),IF(AND(Data!#REF!&gt;(TODAY()-(Data_Val!$L$3*365.25)),Data!#REF!&lt;=(TODAY()-(Data_Val!$L$2*365.25))),0,1),1))</f>
        <v>#REF!</v>
      </c>
      <c r="AI901" s="12" t="e">
        <f>IF(Data!#REF!="","",IF(Data!$G901="",1,IF(ISNUMBER(MATCH(Data!#REF!,Data_Val!$D$2:$D$10,0)),0,1)))</f>
        <v>#REF!</v>
      </c>
      <c r="AJ901" s="17"/>
      <c r="AK901" s="17" t="e">
        <f>IF(Data!#REF!="","",IF(ISNUMBER(MATCH(Data!#REF!,Data_Val!$A$2:$A$3,0)),0,1))</f>
        <v>#REF!</v>
      </c>
      <c r="AL901" s="25" t="e">
        <f ca="1">IF(Data!#REF!="","",IF(ISNUMBER(Data!#REF!),IF(AND(Data!#REF!&gt;(TODAY()-(Data_Val!$L$3*365.25)),Data!#REF!&lt;=(TODAY()-(Data_Val!$L$2*365.25))),0,1),1))</f>
        <v>#REF!</v>
      </c>
      <c r="AM901" s="17" t="e">
        <f>IF(Data!#REF!="","",IF(Data!$G901="",1,IF(ISNUMBER(MATCH(Data!#REF!,Data_Val!$D$2:$D$10,0)),0,1)))</f>
        <v>#REF!</v>
      </c>
      <c r="AN901" s="13"/>
      <c r="AO901" s="28" t="e">
        <f ca="1">IF(Data!#REF!="","",IF(ISNUMBER(Data!#REF!),IF(AND(Data!#REF!&gt;(TODAY()-(Data_Val!$I$3*365.25)),Data!#REF!&lt;=(TODAY()-(Data_Val!$I$2*365.25))),0,1),1))</f>
        <v>#REF!</v>
      </c>
      <c r="AP901" s="13" t="e">
        <f>IF(Data!#REF!="","",IF(Data!$G901="",1,IF(ISNUMBER(MATCH(Data!#REF!,Data_Val!$D$2:$D$10,0)),0,1)))</f>
        <v>#REF!</v>
      </c>
      <c r="AQ901" s="17"/>
      <c r="AR901" s="30" t="e">
        <f ca="1">IF(Data!#REF!="","",IF(ISNUMBER(Data!#REF!),IF(AND(Data!#REF!&gt;(TODAY()-(Data_Val!$I$3*365.25)),Data!#REF!&lt;=(TODAY()-(Data_Val!$I$2*365.25))),0,1),1))</f>
        <v>#REF!</v>
      </c>
      <c r="AS901" s="31" t="e">
        <f>IF(Data!#REF!="","",IF(Data!$G901="",1,IF(ISNUMBER(MATCH(Data!#REF!,Data_Val!$D$2:$D$10,0)),0,1)))</f>
        <v>#REF!</v>
      </c>
      <c r="AT901" s="11"/>
      <c r="AU901" s="11" t="e">
        <f ca="1">IF(Data!#REF!="","",IF(ISNUMBER(Data!#REF!),IF(AND(Data!#REF!&gt;(TODAY()-(Data_Val!$I$3*365.25)),Data!#REF!&lt;=(TODAY()-(Data_Val!$I$2*365.25))),0,1),1))</f>
        <v>#REF!</v>
      </c>
      <c r="AV901" s="11" t="e">
        <f>IF(Data!#REF!="","",IF(Data!$G901="",1,IF(ISNUMBER(MATCH(Data!#REF!,Data_Val!$D$2:$D$10,0)),0,1)))</f>
        <v>#REF!</v>
      </c>
      <c r="AW901" s="12"/>
      <c r="AX901" s="26" t="e">
        <f ca="1">IF(Data!#REF!="","",IF(ISNUMBER(Data!#REF!),IF(AND(Data!#REF!&gt;(TODAY()-(Data_Val!$I$3*365.25)),Data!#REF!&lt;=(TODAY()-(Data_Val!$I$2*365.25))),0,1),1))</f>
        <v>#REF!</v>
      </c>
      <c r="AY901" s="12" t="e">
        <f>IF(Data!#REF!="","",IF(Data!$G901="",1,IF(ISNUMBER(MATCH(Data!#REF!,Data_Val!$D$2:$D$10,0)),0,1)))</f>
        <v>#REF!</v>
      </c>
      <c r="AZ901" s="11"/>
      <c r="BA901" s="19" t="e">
        <f ca="1">IF(Data!#REF!="","",IF(ISNUMBER(Data!#REF!),IF(AND(Data!#REF!&gt;(TODAY()-(Data_Val!$M$3*365.25)),Data!#REF!&lt;=(TODAY()-(Data_Val!$M$2*365.25))),0,1),1))</f>
        <v>#REF!</v>
      </c>
      <c r="BB901" s="11" t="e">
        <f>IF(Data!#REF!="","",IF(Data!$G901="",1,IF(ISNUMBER(MATCH(Data!#REF!,Data_Val!$D$2:$D$10,0)),0,1)))</f>
        <v>#REF!</v>
      </c>
      <c r="BC901" s="12"/>
      <c r="BD901" s="20" t="e">
        <f ca="1">IF(Data!#REF!="","",IF(ISNUMBER(Data!#REF!),IF(AND(Data!#REF!&gt;(TODAY()-(Data_Val!$M$3*365.25)),Data!#REF!&lt;=(TODAY()-(Data_Val!$M$2*365.25))),0,1),1))</f>
        <v>#REF!</v>
      </c>
      <c r="BE901" s="12" t="e">
        <f>IF(Data!#REF!="","",IF(Data!$G901="",1,IF(ISNUMBER(MATCH(Data!#REF!,Data_Val!$D$2:$D$10,0)),0,1)))</f>
        <v>#REF!</v>
      </c>
      <c r="BF901" s="17"/>
      <c r="BG901" s="18" t="e">
        <f ca="1">IF(Data!#REF!="","",IF(ISNUMBER(Data!#REF!),IF(AND(Data!#REF!&gt;(TODAY()-(Data_Val!$M$3*365.25)),Data!#REF!&lt;=(TODAY()-(Data_Val!$M$2*365.25))),0,1),1))</f>
        <v>#REF!</v>
      </c>
      <c r="BH901" s="29" t="e">
        <f>IF(Data!#REF!="","",IF(Data!$G901="",1,IF(ISNUMBER(MATCH(Data!#REF!,Data_Val!$D$2:$D$10,0)),0,1)))</f>
        <v>#REF!</v>
      </c>
      <c r="BI901" s="13"/>
      <c r="BJ901" s="21" t="e">
        <f ca="1">IF(Data!#REF!="","",IF(ISNUMBER(Data!#REF!),IF(AND(Data!#REF!&gt;(TODAY()-(Data_Val!$M$3*365.25)),Data!#REF!&lt;=(TODAY()-(Data_Val!$M$2*365.25))),0,1),1))</f>
        <v>#REF!</v>
      </c>
      <c r="BK901" s="13" t="e">
        <f>IF(Data!#REF!="","",IF(Data!$G901="",1,IF(ISNUMBER(MATCH(Data!#REF!,Data_Val!$D$2:$D$10,0)),0,1)))</f>
        <v>#REF!</v>
      </c>
    </row>
    <row r="902" spans="1:63" x14ac:dyDescent="0.25">
      <c r="A902" s="9" t="str">
        <f>IF(Data!B902="","",IF(COUNTIFS(Data!A$1:'Data'!A902,Data!A902)&lt;=1,0,1))</f>
        <v/>
      </c>
      <c r="B902" s="9"/>
      <c r="C902" s="23" t="str">
        <f>IF(Data!C902="","",(IF(ISNUMBER(MATCH("*@*.?*",Data!C902,0)),0,1)+IF(COUNTIFS(Data!C$1:'Data'!C902,Data!C902)&gt;1,1,0)))</f>
        <v/>
      </c>
      <c r="D902" s="9" t="str">
        <f>IF(Data!B902="","",IF(ISNUMBER(Data!D902),IF(AND(Data!D902&gt;999999999,Data!D902&lt;=9999999999),IF(COUNTIFS(Data!D$1:'Data'!D902,Data!D902)&lt;=1,0,1),1),1))</f>
        <v/>
      </c>
      <c r="E902" s="9" t="str">
        <f>IF(Data!B902="","",IF(ISNUMBER(MATCH(Data!E902,Data_Val!$A$2:$A$3,0)),0,1))</f>
        <v/>
      </c>
      <c r="F902" s="9" t="str">
        <f ca="1">IF(Data!B902="","",IF(ISNUMBER(Data!F902),IF(AND(Data!F902&gt;(TODAY()-(Data_Val!$H$3*365.25)),Data!F902&lt;=(TODAY()-(Data_Val!$H$2*365.25))),0,1),1))</f>
        <v/>
      </c>
      <c r="G902" s="15" t="str">
        <f>IF(Data!B902="","",IF(AND(Data!G902="",Data!H902&lt;&gt;""),1,IF(Data!#REF!&lt;&gt;"",0,IF(ISNUMBER(MATCH(Data!G902,Data_Val!$C$2:$C$5,0)),0,1))))</f>
        <v/>
      </c>
      <c r="H902" s="15" t="str">
        <f>IF(Data!B902="","",IF(AND(Data!G902&lt;&gt;"",Data!H902=""),1,IF(Data!#REF!&lt;&gt;"",0,IF(Data!G902="",1,IF(ISNUMBER(MATCH(Data!H902,Data_Val!$D$2:$D$35,0)),0,1)))))</f>
        <v/>
      </c>
      <c r="I902" s="15" t="str">
        <f>IF(Data!B902="","",IF(Data!G902&lt;&gt;"",0,IF(ISNUMBER(MATCH(Data!#REF!,Data_Val!$E$2:$E$12,0)),0,1)))</f>
        <v/>
      </c>
      <c r="J902" s="16" t="e">
        <f>IF(OR(Data!B902="",Data!#REF!=""),"",IF(Data!#REF!="",1,0))</f>
        <v>#REF!</v>
      </c>
      <c r="K902" s="16" t="e">
        <f>IF(OR(Data!B902="",Data!#REF!=""),"",IF(Data!#REF!="",1,0))</f>
        <v>#REF!</v>
      </c>
      <c r="L902" s="16" t="e">
        <f>IF(OR(Data!B902="",Data!#REF!=""),"",IF(ISNUMBER(Data!#REF!),IF(AND(Data!#REF!&gt;Data_Val!$G$2,Data!#REF!&lt;=Data_Val!$G$3),0,1),1))</f>
        <v>#REF!</v>
      </c>
      <c r="M902" s="9" t="e">
        <f>IF(OR(Data!B902="",Data!#REF!=""),"",IF(ISNUMBER(MATCH(Data!#REF!,Data_Val!$F$1:$F$38,0)),0,1))</f>
        <v>#REF!</v>
      </c>
      <c r="N902" s="9" t="e">
        <f>IF(OR(Data!B902="",Data!#REF!=""),"",IF(Data!#REF!="",1,0))</f>
        <v>#REF!</v>
      </c>
      <c r="O902" s="17" t="e">
        <f>IF(Data!#REF!="","",IF(Data!#REF!="",1,0))</f>
        <v>#REF!</v>
      </c>
      <c r="P902" s="17" t="e">
        <f>IF(Data!#REF!="","",IF(ISNUMBER(MATCH(Data!#REF!,Data_Val!$A$2:$A$3,0)),0,1))</f>
        <v>#REF!</v>
      </c>
      <c r="Q902" s="25" t="e">
        <f ca="1">IF(Data!#REF!="","",IF(ISNUMBER(Data!#REF!),IF(AND(Data!#REF!&gt;(TODAY()-(Data_Val!$J$3*365.25)),Data!#REF!&lt;=(TODAY()-(Data_Val!$J$2*365.25))),0,1),1))</f>
        <v>#REF!</v>
      </c>
      <c r="R902" s="17" t="e">
        <f>IF(Data!#REF!="","",IF(ISNUMBER(MATCH(Data!#REF!,Data_Val!$B$2:$B$15,0)),0,1))</f>
        <v>#REF!</v>
      </c>
      <c r="S902" s="11" t="str">
        <f>IF(Data!G902="","",IF(Data!G902=Data_Val!$C$2,IF(Data!M902="",0,1),0))</f>
        <v/>
      </c>
      <c r="T902" s="11" t="str">
        <f>IF(Data!M902="","",IF(ISNUMBER(MATCH(Data!N902,Data_Val!$A$2:$A$3,0)),0,1))</f>
        <v/>
      </c>
      <c r="U902" s="11" t="str">
        <f ca="1">IF(Data!M902="","",IF(ISNUMBER(Data!O902),IF(AND(Data!O902&gt;(TODAY()-(Data_Val!$K$3*365.25)),Data!O902&lt;=(TODAY()-(Data_Val!$K$2*365.25))),0,1),1))</f>
        <v/>
      </c>
      <c r="V902" s="12" t="str">
        <f>IF(Data!G902="","",IF(Data!G902=Data_Val!$C$2,IF(Data!P902="",0,1),0))</f>
        <v/>
      </c>
      <c r="W902" s="12" t="str">
        <f>IF(Data!P902="","",IF(ISNUMBER(MATCH(Data!Q902,Data_Val!$A$2:$A$3,0)),0,1))</f>
        <v/>
      </c>
      <c r="X902" s="26" t="str">
        <f ca="1">IF(Data!P902="","",IF(ISNUMBER(Data!R902),IF(AND(Data!R902&gt;(TODAY()-(Data_Val!$L$3*365.25)),Data!R902&lt;=(TODAY()-(Data_Val!$L$2*365.25))),0,1),1))</f>
        <v/>
      </c>
      <c r="Y902" s="13" t="str">
        <f>IF(Data!$G902="","",IF(Data!$G902=Data_Val!$C$2,IF(Data!S902="",0,1),0))</f>
        <v/>
      </c>
      <c r="Z902" s="13" t="str">
        <f>IF(Data!S902="","",IF(ISNUMBER(MATCH(Data!T902,Data_Val!$A$2:$A$3,0)),0,1))</f>
        <v/>
      </c>
      <c r="AA902" s="28" t="str">
        <f ca="1">IF(Data!S902="","",IF(ISNUMBER(Data!U902),IF(AND(Data!U902&gt;(TODAY()-(Data_Val!$L$3*365.25)),Data!U902&lt;=(TODAY()-(Data_Val!$L$2*365.25))),0,1),1))</f>
        <v/>
      </c>
      <c r="AB902" s="11"/>
      <c r="AC902" s="11" t="e">
        <f>IF(Data!#REF!="","",IF(ISNUMBER(MATCH(Data!#REF!,Data_Val!$A$2:$A$3,0)),0,1))</f>
        <v>#REF!</v>
      </c>
      <c r="AD902" s="11" t="e">
        <f ca="1">IF(Data!#REF!="","",IF(ISNUMBER(Data!#REF!),IF(AND(Data!#REF!&gt;(TODAY()-(Data_Val!$L$3*365.25)),Data!#REF!&lt;=(TODAY()-(Data_Val!$L$2*365.25))),0,1),1))</f>
        <v>#REF!</v>
      </c>
      <c r="AE902" s="11" t="e">
        <f>IF(Data!#REF!="","",IF(Data!$G902="",1,IF(ISNUMBER(MATCH(Data!#REF!,Data_Val!$D$2:$D$10,0)),0,1)))</f>
        <v>#REF!</v>
      </c>
      <c r="AF902" s="12"/>
      <c r="AG902" s="12" t="e">
        <f>IF(Data!#REF!="","",IF(ISNUMBER(MATCH(Data!#REF!,Data_Val!$A$2:$A$3,0)),0,1))</f>
        <v>#REF!</v>
      </c>
      <c r="AH902" s="26" t="e">
        <f ca="1">IF(Data!#REF!="","",IF(ISNUMBER(Data!#REF!),IF(AND(Data!#REF!&gt;(TODAY()-(Data_Val!$L$3*365.25)),Data!#REF!&lt;=(TODAY()-(Data_Val!$L$2*365.25))),0,1),1))</f>
        <v>#REF!</v>
      </c>
      <c r="AI902" s="12" t="e">
        <f>IF(Data!#REF!="","",IF(Data!$G902="",1,IF(ISNUMBER(MATCH(Data!#REF!,Data_Val!$D$2:$D$10,0)),0,1)))</f>
        <v>#REF!</v>
      </c>
      <c r="AJ902" s="17"/>
      <c r="AK902" s="17" t="e">
        <f>IF(Data!#REF!="","",IF(ISNUMBER(MATCH(Data!#REF!,Data_Val!$A$2:$A$3,0)),0,1))</f>
        <v>#REF!</v>
      </c>
      <c r="AL902" s="25" t="e">
        <f ca="1">IF(Data!#REF!="","",IF(ISNUMBER(Data!#REF!),IF(AND(Data!#REF!&gt;(TODAY()-(Data_Val!$L$3*365.25)),Data!#REF!&lt;=(TODAY()-(Data_Val!$L$2*365.25))),0,1),1))</f>
        <v>#REF!</v>
      </c>
      <c r="AM902" s="17" t="e">
        <f>IF(Data!#REF!="","",IF(Data!$G902="",1,IF(ISNUMBER(MATCH(Data!#REF!,Data_Val!$D$2:$D$10,0)),0,1)))</f>
        <v>#REF!</v>
      </c>
      <c r="AN902" s="13"/>
      <c r="AO902" s="28" t="e">
        <f ca="1">IF(Data!#REF!="","",IF(ISNUMBER(Data!#REF!),IF(AND(Data!#REF!&gt;(TODAY()-(Data_Val!$I$3*365.25)),Data!#REF!&lt;=(TODAY()-(Data_Val!$I$2*365.25))),0,1),1))</f>
        <v>#REF!</v>
      </c>
      <c r="AP902" s="13" t="e">
        <f>IF(Data!#REF!="","",IF(Data!$G902="",1,IF(ISNUMBER(MATCH(Data!#REF!,Data_Val!$D$2:$D$10,0)),0,1)))</f>
        <v>#REF!</v>
      </c>
      <c r="AQ902" s="17"/>
      <c r="AR902" s="30" t="e">
        <f ca="1">IF(Data!#REF!="","",IF(ISNUMBER(Data!#REF!),IF(AND(Data!#REF!&gt;(TODAY()-(Data_Val!$I$3*365.25)),Data!#REF!&lt;=(TODAY()-(Data_Val!$I$2*365.25))),0,1),1))</f>
        <v>#REF!</v>
      </c>
      <c r="AS902" s="31" t="e">
        <f>IF(Data!#REF!="","",IF(Data!$G902="",1,IF(ISNUMBER(MATCH(Data!#REF!,Data_Val!$D$2:$D$10,0)),0,1)))</f>
        <v>#REF!</v>
      </c>
      <c r="AT902" s="11"/>
      <c r="AU902" s="11" t="e">
        <f ca="1">IF(Data!#REF!="","",IF(ISNUMBER(Data!#REF!),IF(AND(Data!#REF!&gt;(TODAY()-(Data_Val!$I$3*365.25)),Data!#REF!&lt;=(TODAY()-(Data_Val!$I$2*365.25))),0,1),1))</f>
        <v>#REF!</v>
      </c>
      <c r="AV902" s="11" t="e">
        <f>IF(Data!#REF!="","",IF(Data!$G902="",1,IF(ISNUMBER(MATCH(Data!#REF!,Data_Val!$D$2:$D$10,0)),0,1)))</f>
        <v>#REF!</v>
      </c>
      <c r="AW902" s="12"/>
      <c r="AX902" s="26" t="e">
        <f ca="1">IF(Data!#REF!="","",IF(ISNUMBER(Data!#REF!),IF(AND(Data!#REF!&gt;(TODAY()-(Data_Val!$I$3*365.25)),Data!#REF!&lt;=(TODAY()-(Data_Val!$I$2*365.25))),0,1),1))</f>
        <v>#REF!</v>
      </c>
      <c r="AY902" s="12" t="e">
        <f>IF(Data!#REF!="","",IF(Data!$G902="",1,IF(ISNUMBER(MATCH(Data!#REF!,Data_Val!$D$2:$D$10,0)),0,1)))</f>
        <v>#REF!</v>
      </c>
      <c r="AZ902" s="11"/>
      <c r="BA902" s="19" t="e">
        <f ca="1">IF(Data!#REF!="","",IF(ISNUMBER(Data!#REF!),IF(AND(Data!#REF!&gt;(TODAY()-(Data_Val!$M$3*365.25)),Data!#REF!&lt;=(TODAY()-(Data_Val!$M$2*365.25))),0,1),1))</f>
        <v>#REF!</v>
      </c>
      <c r="BB902" s="11" t="e">
        <f>IF(Data!#REF!="","",IF(Data!$G902="",1,IF(ISNUMBER(MATCH(Data!#REF!,Data_Val!$D$2:$D$10,0)),0,1)))</f>
        <v>#REF!</v>
      </c>
      <c r="BC902" s="12"/>
      <c r="BD902" s="20" t="e">
        <f ca="1">IF(Data!#REF!="","",IF(ISNUMBER(Data!#REF!),IF(AND(Data!#REF!&gt;(TODAY()-(Data_Val!$M$3*365.25)),Data!#REF!&lt;=(TODAY()-(Data_Val!$M$2*365.25))),0,1),1))</f>
        <v>#REF!</v>
      </c>
      <c r="BE902" s="12" t="e">
        <f>IF(Data!#REF!="","",IF(Data!$G902="",1,IF(ISNUMBER(MATCH(Data!#REF!,Data_Val!$D$2:$D$10,0)),0,1)))</f>
        <v>#REF!</v>
      </c>
      <c r="BF902" s="17"/>
      <c r="BG902" s="18" t="e">
        <f ca="1">IF(Data!#REF!="","",IF(ISNUMBER(Data!#REF!),IF(AND(Data!#REF!&gt;(TODAY()-(Data_Val!$M$3*365.25)),Data!#REF!&lt;=(TODAY()-(Data_Val!$M$2*365.25))),0,1),1))</f>
        <v>#REF!</v>
      </c>
      <c r="BH902" s="29" t="e">
        <f>IF(Data!#REF!="","",IF(Data!$G902="",1,IF(ISNUMBER(MATCH(Data!#REF!,Data_Val!$D$2:$D$10,0)),0,1)))</f>
        <v>#REF!</v>
      </c>
      <c r="BI902" s="13"/>
      <c r="BJ902" s="21" t="e">
        <f ca="1">IF(Data!#REF!="","",IF(ISNUMBER(Data!#REF!),IF(AND(Data!#REF!&gt;(TODAY()-(Data_Val!$M$3*365.25)),Data!#REF!&lt;=(TODAY()-(Data_Val!$M$2*365.25))),0,1),1))</f>
        <v>#REF!</v>
      </c>
      <c r="BK902" s="13" t="e">
        <f>IF(Data!#REF!="","",IF(Data!$G902="",1,IF(ISNUMBER(MATCH(Data!#REF!,Data_Val!$D$2:$D$10,0)),0,1)))</f>
        <v>#REF!</v>
      </c>
    </row>
    <row r="903" spans="1:63" x14ac:dyDescent="0.25">
      <c r="A903" s="9" t="str">
        <f>IF(Data!B903="","",IF(COUNTIFS(Data!A$1:'Data'!A903,Data!A903)&lt;=1,0,1))</f>
        <v/>
      </c>
      <c r="B903" s="9"/>
      <c r="C903" s="23" t="str">
        <f>IF(Data!C903="","",(IF(ISNUMBER(MATCH("*@*.?*",Data!C903,0)),0,1)+IF(COUNTIFS(Data!C$1:'Data'!C903,Data!C903)&gt;1,1,0)))</f>
        <v/>
      </c>
      <c r="D903" s="9" t="str">
        <f>IF(Data!B903="","",IF(ISNUMBER(Data!D903),IF(AND(Data!D903&gt;999999999,Data!D903&lt;=9999999999),IF(COUNTIFS(Data!D$1:'Data'!D903,Data!D903)&lt;=1,0,1),1),1))</f>
        <v/>
      </c>
      <c r="E903" s="9" t="str">
        <f>IF(Data!B903="","",IF(ISNUMBER(MATCH(Data!E903,Data_Val!$A$2:$A$3,0)),0,1))</f>
        <v/>
      </c>
      <c r="F903" s="9" t="str">
        <f ca="1">IF(Data!B903="","",IF(ISNUMBER(Data!F903),IF(AND(Data!F903&gt;(TODAY()-(Data_Val!$H$3*365.25)),Data!F903&lt;=(TODAY()-(Data_Val!$H$2*365.25))),0,1),1))</f>
        <v/>
      </c>
      <c r="G903" s="15" t="str">
        <f>IF(Data!B903="","",IF(AND(Data!G903="",Data!H903&lt;&gt;""),1,IF(Data!#REF!&lt;&gt;"",0,IF(ISNUMBER(MATCH(Data!G903,Data_Val!$C$2:$C$5,0)),0,1))))</f>
        <v/>
      </c>
      <c r="H903" s="15" t="str">
        <f>IF(Data!B903="","",IF(AND(Data!G903&lt;&gt;"",Data!H903=""),1,IF(Data!#REF!&lt;&gt;"",0,IF(Data!G903="",1,IF(ISNUMBER(MATCH(Data!H903,Data_Val!$D$2:$D$35,0)),0,1)))))</f>
        <v/>
      </c>
      <c r="I903" s="15" t="str">
        <f>IF(Data!B903="","",IF(Data!G903&lt;&gt;"",0,IF(ISNUMBER(MATCH(Data!#REF!,Data_Val!$E$2:$E$12,0)),0,1)))</f>
        <v/>
      </c>
      <c r="J903" s="16" t="e">
        <f>IF(OR(Data!B903="",Data!#REF!=""),"",IF(Data!#REF!="",1,0))</f>
        <v>#REF!</v>
      </c>
      <c r="K903" s="16" t="e">
        <f>IF(OR(Data!B903="",Data!#REF!=""),"",IF(Data!#REF!="",1,0))</f>
        <v>#REF!</v>
      </c>
      <c r="L903" s="16" t="e">
        <f>IF(OR(Data!B903="",Data!#REF!=""),"",IF(ISNUMBER(Data!#REF!),IF(AND(Data!#REF!&gt;Data_Val!$G$2,Data!#REF!&lt;=Data_Val!$G$3),0,1),1))</f>
        <v>#REF!</v>
      </c>
      <c r="M903" s="9" t="e">
        <f>IF(OR(Data!B903="",Data!#REF!=""),"",IF(ISNUMBER(MATCH(Data!#REF!,Data_Val!$F$1:$F$38,0)),0,1))</f>
        <v>#REF!</v>
      </c>
      <c r="N903" s="9" t="e">
        <f>IF(OR(Data!B903="",Data!#REF!=""),"",IF(Data!#REF!="",1,0))</f>
        <v>#REF!</v>
      </c>
      <c r="O903" s="17" t="e">
        <f>IF(Data!#REF!="","",IF(Data!#REF!="",1,0))</f>
        <v>#REF!</v>
      </c>
      <c r="P903" s="17" t="e">
        <f>IF(Data!#REF!="","",IF(ISNUMBER(MATCH(Data!#REF!,Data_Val!$A$2:$A$3,0)),0,1))</f>
        <v>#REF!</v>
      </c>
      <c r="Q903" s="25" t="e">
        <f ca="1">IF(Data!#REF!="","",IF(ISNUMBER(Data!#REF!),IF(AND(Data!#REF!&gt;(TODAY()-(Data_Val!$J$3*365.25)),Data!#REF!&lt;=(TODAY()-(Data_Val!$J$2*365.25))),0,1),1))</f>
        <v>#REF!</v>
      </c>
      <c r="R903" s="17" t="e">
        <f>IF(Data!#REF!="","",IF(ISNUMBER(MATCH(Data!#REF!,Data_Val!$B$2:$B$15,0)),0,1))</f>
        <v>#REF!</v>
      </c>
      <c r="S903" s="11" t="str">
        <f>IF(Data!G903="","",IF(Data!G903=Data_Val!$C$2,IF(Data!M903="",0,1),0))</f>
        <v/>
      </c>
      <c r="T903" s="11" t="str">
        <f>IF(Data!M903="","",IF(ISNUMBER(MATCH(Data!N903,Data_Val!$A$2:$A$3,0)),0,1))</f>
        <v/>
      </c>
      <c r="U903" s="11" t="str">
        <f ca="1">IF(Data!M903="","",IF(ISNUMBER(Data!O903),IF(AND(Data!O903&gt;(TODAY()-(Data_Val!$K$3*365.25)),Data!O903&lt;=(TODAY()-(Data_Val!$K$2*365.25))),0,1),1))</f>
        <v/>
      </c>
      <c r="V903" s="12" t="str">
        <f>IF(Data!G903="","",IF(Data!G903=Data_Val!$C$2,IF(Data!P903="",0,1),0))</f>
        <v/>
      </c>
      <c r="W903" s="12" t="str">
        <f>IF(Data!P903="","",IF(ISNUMBER(MATCH(Data!Q903,Data_Val!$A$2:$A$3,0)),0,1))</f>
        <v/>
      </c>
      <c r="X903" s="26" t="str">
        <f ca="1">IF(Data!P903="","",IF(ISNUMBER(Data!R903),IF(AND(Data!R903&gt;(TODAY()-(Data_Val!$L$3*365.25)),Data!R903&lt;=(TODAY()-(Data_Val!$L$2*365.25))),0,1),1))</f>
        <v/>
      </c>
      <c r="Y903" s="13" t="str">
        <f>IF(Data!$G903="","",IF(Data!$G903=Data_Val!$C$2,IF(Data!S903="",0,1),0))</f>
        <v/>
      </c>
      <c r="Z903" s="13" t="str">
        <f>IF(Data!S903="","",IF(ISNUMBER(MATCH(Data!T903,Data_Val!$A$2:$A$3,0)),0,1))</f>
        <v/>
      </c>
      <c r="AA903" s="28" t="str">
        <f ca="1">IF(Data!S903="","",IF(ISNUMBER(Data!U903),IF(AND(Data!U903&gt;(TODAY()-(Data_Val!$L$3*365.25)),Data!U903&lt;=(TODAY()-(Data_Val!$L$2*365.25))),0,1),1))</f>
        <v/>
      </c>
      <c r="AB903" s="11"/>
      <c r="AC903" s="11" t="e">
        <f>IF(Data!#REF!="","",IF(ISNUMBER(MATCH(Data!#REF!,Data_Val!$A$2:$A$3,0)),0,1))</f>
        <v>#REF!</v>
      </c>
      <c r="AD903" s="11" t="e">
        <f ca="1">IF(Data!#REF!="","",IF(ISNUMBER(Data!#REF!),IF(AND(Data!#REF!&gt;(TODAY()-(Data_Val!$L$3*365.25)),Data!#REF!&lt;=(TODAY()-(Data_Val!$L$2*365.25))),0,1),1))</f>
        <v>#REF!</v>
      </c>
      <c r="AE903" s="11" t="e">
        <f>IF(Data!#REF!="","",IF(Data!$G903="",1,IF(ISNUMBER(MATCH(Data!#REF!,Data_Val!$D$2:$D$10,0)),0,1)))</f>
        <v>#REF!</v>
      </c>
      <c r="AF903" s="12"/>
      <c r="AG903" s="12" t="e">
        <f>IF(Data!#REF!="","",IF(ISNUMBER(MATCH(Data!#REF!,Data_Val!$A$2:$A$3,0)),0,1))</f>
        <v>#REF!</v>
      </c>
      <c r="AH903" s="26" t="e">
        <f ca="1">IF(Data!#REF!="","",IF(ISNUMBER(Data!#REF!),IF(AND(Data!#REF!&gt;(TODAY()-(Data_Val!$L$3*365.25)),Data!#REF!&lt;=(TODAY()-(Data_Val!$L$2*365.25))),0,1),1))</f>
        <v>#REF!</v>
      </c>
      <c r="AI903" s="12" t="e">
        <f>IF(Data!#REF!="","",IF(Data!$G903="",1,IF(ISNUMBER(MATCH(Data!#REF!,Data_Val!$D$2:$D$10,0)),0,1)))</f>
        <v>#REF!</v>
      </c>
      <c r="AJ903" s="17"/>
      <c r="AK903" s="17" t="e">
        <f>IF(Data!#REF!="","",IF(ISNUMBER(MATCH(Data!#REF!,Data_Val!$A$2:$A$3,0)),0,1))</f>
        <v>#REF!</v>
      </c>
      <c r="AL903" s="25" t="e">
        <f ca="1">IF(Data!#REF!="","",IF(ISNUMBER(Data!#REF!),IF(AND(Data!#REF!&gt;(TODAY()-(Data_Val!$L$3*365.25)),Data!#REF!&lt;=(TODAY()-(Data_Val!$L$2*365.25))),0,1),1))</f>
        <v>#REF!</v>
      </c>
      <c r="AM903" s="17" t="e">
        <f>IF(Data!#REF!="","",IF(Data!$G903="",1,IF(ISNUMBER(MATCH(Data!#REF!,Data_Val!$D$2:$D$10,0)),0,1)))</f>
        <v>#REF!</v>
      </c>
      <c r="AN903" s="13"/>
      <c r="AO903" s="28" t="e">
        <f ca="1">IF(Data!#REF!="","",IF(ISNUMBER(Data!#REF!),IF(AND(Data!#REF!&gt;(TODAY()-(Data_Val!$I$3*365.25)),Data!#REF!&lt;=(TODAY()-(Data_Val!$I$2*365.25))),0,1),1))</f>
        <v>#REF!</v>
      </c>
      <c r="AP903" s="13" t="e">
        <f>IF(Data!#REF!="","",IF(Data!$G903="",1,IF(ISNUMBER(MATCH(Data!#REF!,Data_Val!$D$2:$D$10,0)),0,1)))</f>
        <v>#REF!</v>
      </c>
      <c r="AQ903" s="17"/>
      <c r="AR903" s="30" t="e">
        <f ca="1">IF(Data!#REF!="","",IF(ISNUMBER(Data!#REF!),IF(AND(Data!#REF!&gt;(TODAY()-(Data_Val!$I$3*365.25)),Data!#REF!&lt;=(TODAY()-(Data_Val!$I$2*365.25))),0,1),1))</f>
        <v>#REF!</v>
      </c>
      <c r="AS903" s="31" t="e">
        <f>IF(Data!#REF!="","",IF(Data!$G903="",1,IF(ISNUMBER(MATCH(Data!#REF!,Data_Val!$D$2:$D$10,0)),0,1)))</f>
        <v>#REF!</v>
      </c>
      <c r="AT903" s="11"/>
      <c r="AU903" s="11" t="e">
        <f ca="1">IF(Data!#REF!="","",IF(ISNUMBER(Data!#REF!),IF(AND(Data!#REF!&gt;(TODAY()-(Data_Val!$I$3*365.25)),Data!#REF!&lt;=(TODAY()-(Data_Val!$I$2*365.25))),0,1),1))</f>
        <v>#REF!</v>
      </c>
      <c r="AV903" s="11" t="e">
        <f>IF(Data!#REF!="","",IF(Data!$G903="",1,IF(ISNUMBER(MATCH(Data!#REF!,Data_Val!$D$2:$D$10,0)),0,1)))</f>
        <v>#REF!</v>
      </c>
      <c r="AW903" s="12"/>
      <c r="AX903" s="26" t="e">
        <f ca="1">IF(Data!#REF!="","",IF(ISNUMBER(Data!#REF!),IF(AND(Data!#REF!&gt;(TODAY()-(Data_Val!$I$3*365.25)),Data!#REF!&lt;=(TODAY()-(Data_Val!$I$2*365.25))),0,1),1))</f>
        <v>#REF!</v>
      </c>
      <c r="AY903" s="12" t="e">
        <f>IF(Data!#REF!="","",IF(Data!$G903="",1,IF(ISNUMBER(MATCH(Data!#REF!,Data_Val!$D$2:$D$10,0)),0,1)))</f>
        <v>#REF!</v>
      </c>
      <c r="AZ903" s="11"/>
      <c r="BA903" s="19" t="e">
        <f ca="1">IF(Data!#REF!="","",IF(ISNUMBER(Data!#REF!),IF(AND(Data!#REF!&gt;(TODAY()-(Data_Val!$M$3*365.25)),Data!#REF!&lt;=(TODAY()-(Data_Val!$M$2*365.25))),0,1),1))</f>
        <v>#REF!</v>
      </c>
      <c r="BB903" s="11" t="e">
        <f>IF(Data!#REF!="","",IF(Data!$G903="",1,IF(ISNUMBER(MATCH(Data!#REF!,Data_Val!$D$2:$D$10,0)),0,1)))</f>
        <v>#REF!</v>
      </c>
      <c r="BC903" s="12"/>
      <c r="BD903" s="20" t="e">
        <f ca="1">IF(Data!#REF!="","",IF(ISNUMBER(Data!#REF!),IF(AND(Data!#REF!&gt;(TODAY()-(Data_Val!$M$3*365.25)),Data!#REF!&lt;=(TODAY()-(Data_Val!$M$2*365.25))),0,1),1))</f>
        <v>#REF!</v>
      </c>
      <c r="BE903" s="12" t="e">
        <f>IF(Data!#REF!="","",IF(Data!$G903="",1,IF(ISNUMBER(MATCH(Data!#REF!,Data_Val!$D$2:$D$10,0)),0,1)))</f>
        <v>#REF!</v>
      </c>
      <c r="BF903" s="17"/>
      <c r="BG903" s="18" t="e">
        <f ca="1">IF(Data!#REF!="","",IF(ISNUMBER(Data!#REF!),IF(AND(Data!#REF!&gt;(TODAY()-(Data_Val!$M$3*365.25)),Data!#REF!&lt;=(TODAY()-(Data_Val!$M$2*365.25))),0,1),1))</f>
        <v>#REF!</v>
      </c>
      <c r="BH903" s="29" t="e">
        <f>IF(Data!#REF!="","",IF(Data!$G903="",1,IF(ISNUMBER(MATCH(Data!#REF!,Data_Val!$D$2:$D$10,0)),0,1)))</f>
        <v>#REF!</v>
      </c>
      <c r="BI903" s="13"/>
      <c r="BJ903" s="21" t="e">
        <f ca="1">IF(Data!#REF!="","",IF(ISNUMBER(Data!#REF!),IF(AND(Data!#REF!&gt;(TODAY()-(Data_Val!$M$3*365.25)),Data!#REF!&lt;=(TODAY()-(Data_Val!$M$2*365.25))),0,1),1))</f>
        <v>#REF!</v>
      </c>
      <c r="BK903" s="13" t="e">
        <f>IF(Data!#REF!="","",IF(Data!$G903="",1,IF(ISNUMBER(MATCH(Data!#REF!,Data_Val!$D$2:$D$10,0)),0,1)))</f>
        <v>#REF!</v>
      </c>
    </row>
    <row r="904" spans="1:63" x14ac:dyDescent="0.25">
      <c r="A904" s="9" t="str">
        <f>IF(Data!B904="","",IF(COUNTIFS(Data!A$1:'Data'!A904,Data!A904)&lt;=1,0,1))</f>
        <v/>
      </c>
      <c r="B904" s="9"/>
      <c r="C904" s="23" t="str">
        <f>IF(Data!C904="","",(IF(ISNUMBER(MATCH("*@*.?*",Data!C904,0)),0,1)+IF(COUNTIFS(Data!C$1:'Data'!C904,Data!C904)&gt;1,1,0)))</f>
        <v/>
      </c>
      <c r="D904" s="9" t="str">
        <f>IF(Data!B904="","",IF(ISNUMBER(Data!D904),IF(AND(Data!D904&gt;999999999,Data!D904&lt;=9999999999),IF(COUNTIFS(Data!D$1:'Data'!D904,Data!D904)&lt;=1,0,1),1),1))</f>
        <v/>
      </c>
      <c r="E904" s="9" t="str">
        <f>IF(Data!B904="","",IF(ISNUMBER(MATCH(Data!E904,Data_Val!$A$2:$A$3,0)),0,1))</f>
        <v/>
      </c>
      <c r="F904" s="9" t="str">
        <f ca="1">IF(Data!B904="","",IF(ISNUMBER(Data!F904),IF(AND(Data!F904&gt;(TODAY()-(Data_Val!$H$3*365.25)),Data!F904&lt;=(TODAY()-(Data_Val!$H$2*365.25))),0,1),1))</f>
        <v/>
      </c>
      <c r="G904" s="15" t="str">
        <f>IF(Data!B904="","",IF(AND(Data!G904="",Data!H904&lt;&gt;""),1,IF(Data!#REF!&lt;&gt;"",0,IF(ISNUMBER(MATCH(Data!G904,Data_Val!$C$2:$C$5,0)),0,1))))</f>
        <v/>
      </c>
      <c r="H904" s="15" t="str">
        <f>IF(Data!B904="","",IF(AND(Data!G904&lt;&gt;"",Data!H904=""),1,IF(Data!#REF!&lt;&gt;"",0,IF(Data!G904="",1,IF(ISNUMBER(MATCH(Data!H904,Data_Val!$D$2:$D$35,0)),0,1)))))</f>
        <v/>
      </c>
      <c r="I904" s="15" t="str">
        <f>IF(Data!B904="","",IF(Data!G904&lt;&gt;"",0,IF(ISNUMBER(MATCH(Data!#REF!,Data_Val!$E$2:$E$12,0)),0,1)))</f>
        <v/>
      </c>
      <c r="J904" s="16" t="e">
        <f>IF(OR(Data!B904="",Data!#REF!=""),"",IF(Data!#REF!="",1,0))</f>
        <v>#REF!</v>
      </c>
      <c r="K904" s="16" t="e">
        <f>IF(OR(Data!B904="",Data!#REF!=""),"",IF(Data!#REF!="",1,0))</f>
        <v>#REF!</v>
      </c>
      <c r="L904" s="16" t="e">
        <f>IF(OR(Data!B904="",Data!#REF!=""),"",IF(ISNUMBER(Data!#REF!),IF(AND(Data!#REF!&gt;Data_Val!$G$2,Data!#REF!&lt;=Data_Val!$G$3),0,1),1))</f>
        <v>#REF!</v>
      </c>
      <c r="M904" s="9" t="e">
        <f>IF(OR(Data!B904="",Data!#REF!=""),"",IF(ISNUMBER(MATCH(Data!#REF!,Data_Val!$F$1:$F$38,0)),0,1))</f>
        <v>#REF!</v>
      </c>
      <c r="N904" s="9" t="e">
        <f>IF(OR(Data!B904="",Data!#REF!=""),"",IF(Data!#REF!="",1,0))</f>
        <v>#REF!</v>
      </c>
      <c r="O904" s="17" t="e">
        <f>IF(Data!#REF!="","",IF(Data!#REF!="",1,0))</f>
        <v>#REF!</v>
      </c>
      <c r="P904" s="17" t="e">
        <f>IF(Data!#REF!="","",IF(ISNUMBER(MATCH(Data!#REF!,Data_Val!$A$2:$A$3,0)),0,1))</f>
        <v>#REF!</v>
      </c>
      <c r="Q904" s="25" t="e">
        <f ca="1">IF(Data!#REF!="","",IF(ISNUMBER(Data!#REF!),IF(AND(Data!#REF!&gt;(TODAY()-(Data_Val!$J$3*365.25)),Data!#REF!&lt;=(TODAY()-(Data_Val!$J$2*365.25))),0,1),1))</f>
        <v>#REF!</v>
      </c>
      <c r="R904" s="17" t="e">
        <f>IF(Data!#REF!="","",IF(ISNUMBER(MATCH(Data!#REF!,Data_Val!$B$2:$B$15,0)),0,1))</f>
        <v>#REF!</v>
      </c>
      <c r="S904" s="11" t="str">
        <f>IF(Data!G904="","",IF(Data!G904=Data_Val!$C$2,IF(Data!M904="",0,1),0))</f>
        <v/>
      </c>
      <c r="T904" s="11" t="str">
        <f>IF(Data!M904="","",IF(ISNUMBER(MATCH(Data!N904,Data_Val!$A$2:$A$3,0)),0,1))</f>
        <v/>
      </c>
      <c r="U904" s="11" t="str">
        <f ca="1">IF(Data!M904="","",IF(ISNUMBER(Data!O904),IF(AND(Data!O904&gt;(TODAY()-(Data_Val!$K$3*365.25)),Data!O904&lt;=(TODAY()-(Data_Val!$K$2*365.25))),0,1),1))</f>
        <v/>
      </c>
      <c r="V904" s="12" t="str">
        <f>IF(Data!G904="","",IF(Data!G904=Data_Val!$C$2,IF(Data!P904="",0,1),0))</f>
        <v/>
      </c>
      <c r="W904" s="12" t="str">
        <f>IF(Data!P904="","",IF(ISNUMBER(MATCH(Data!Q904,Data_Val!$A$2:$A$3,0)),0,1))</f>
        <v/>
      </c>
      <c r="X904" s="26" t="str">
        <f ca="1">IF(Data!P904="","",IF(ISNUMBER(Data!R904),IF(AND(Data!R904&gt;(TODAY()-(Data_Val!$L$3*365.25)),Data!R904&lt;=(TODAY()-(Data_Val!$L$2*365.25))),0,1),1))</f>
        <v/>
      </c>
      <c r="Y904" s="13" t="str">
        <f>IF(Data!$G904="","",IF(Data!$G904=Data_Val!$C$2,IF(Data!S904="",0,1),0))</f>
        <v/>
      </c>
      <c r="Z904" s="13" t="str">
        <f>IF(Data!S904="","",IF(ISNUMBER(MATCH(Data!T904,Data_Val!$A$2:$A$3,0)),0,1))</f>
        <v/>
      </c>
      <c r="AA904" s="28" t="str">
        <f ca="1">IF(Data!S904="","",IF(ISNUMBER(Data!U904),IF(AND(Data!U904&gt;(TODAY()-(Data_Val!$L$3*365.25)),Data!U904&lt;=(TODAY()-(Data_Val!$L$2*365.25))),0,1),1))</f>
        <v/>
      </c>
      <c r="AB904" s="11"/>
      <c r="AC904" s="11" t="e">
        <f>IF(Data!#REF!="","",IF(ISNUMBER(MATCH(Data!#REF!,Data_Val!$A$2:$A$3,0)),0,1))</f>
        <v>#REF!</v>
      </c>
      <c r="AD904" s="11" t="e">
        <f ca="1">IF(Data!#REF!="","",IF(ISNUMBER(Data!#REF!),IF(AND(Data!#REF!&gt;(TODAY()-(Data_Val!$L$3*365.25)),Data!#REF!&lt;=(TODAY()-(Data_Val!$L$2*365.25))),0,1),1))</f>
        <v>#REF!</v>
      </c>
      <c r="AE904" s="11" t="e">
        <f>IF(Data!#REF!="","",IF(Data!$G904="",1,IF(ISNUMBER(MATCH(Data!#REF!,Data_Val!$D$2:$D$10,0)),0,1)))</f>
        <v>#REF!</v>
      </c>
      <c r="AF904" s="12"/>
      <c r="AG904" s="12" t="e">
        <f>IF(Data!#REF!="","",IF(ISNUMBER(MATCH(Data!#REF!,Data_Val!$A$2:$A$3,0)),0,1))</f>
        <v>#REF!</v>
      </c>
      <c r="AH904" s="26" t="e">
        <f ca="1">IF(Data!#REF!="","",IF(ISNUMBER(Data!#REF!),IF(AND(Data!#REF!&gt;(TODAY()-(Data_Val!$L$3*365.25)),Data!#REF!&lt;=(TODAY()-(Data_Val!$L$2*365.25))),0,1),1))</f>
        <v>#REF!</v>
      </c>
      <c r="AI904" s="12" t="e">
        <f>IF(Data!#REF!="","",IF(Data!$G904="",1,IF(ISNUMBER(MATCH(Data!#REF!,Data_Val!$D$2:$D$10,0)),0,1)))</f>
        <v>#REF!</v>
      </c>
      <c r="AJ904" s="17"/>
      <c r="AK904" s="17" t="e">
        <f>IF(Data!#REF!="","",IF(ISNUMBER(MATCH(Data!#REF!,Data_Val!$A$2:$A$3,0)),0,1))</f>
        <v>#REF!</v>
      </c>
      <c r="AL904" s="25" t="e">
        <f ca="1">IF(Data!#REF!="","",IF(ISNUMBER(Data!#REF!),IF(AND(Data!#REF!&gt;(TODAY()-(Data_Val!$L$3*365.25)),Data!#REF!&lt;=(TODAY()-(Data_Val!$L$2*365.25))),0,1),1))</f>
        <v>#REF!</v>
      </c>
      <c r="AM904" s="17" t="e">
        <f>IF(Data!#REF!="","",IF(Data!$G904="",1,IF(ISNUMBER(MATCH(Data!#REF!,Data_Val!$D$2:$D$10,0)),0,1)))</f>
        <v>#REF!</v>
      </c>
      <c r="AN904" s="13"/>
      <c r="AO904" s="28" t="e">
        <f ca="1">IF(Data!#REF!="","",IF(ISNUMBER(Data!#REF!),IF(AND(Data!#REF!&gt;(TODAY()-(Data_Val!$I$3*365.25)),Data!#REF!&lt;=(TODAY()-(Data_Val!$I$2*365.25))),0,1),1))</f>
        <v>#REF!</v>
      </c>
      <c r="AP904" s="13" t="e">
        <f>IF(Data!#REF!="","",IF(Data!$G904="",1,IF(ISNUMBER(MATCH(Data!#REF!,Data_Val!$D$2:$D$10,0)),0,1)))</f>
        <v>#REF!</v>
      </c>
      <c r="AQ904" s="17"/>
      <c r="AR904" s="30" t="e">
        <f ca="1">IF(Data!#REF!="","",IF(ISNUMBER(Data!#REF!),IF(AND(Data!#REF!&gt;(TODAY()-(Data_Val!$I$3*365.25)),Data!#REF!&lt;=(TODAY()-(Data_Val!$I$2*365.25))),0,1),1))</f>
        <v>#REF!</v>
      </c>
      <c r="AS904" s="31" t="e">
        <f>IF(Data!#REF!="","",IF(Data!$G904="",1,IF(ISNUMBER(MATCH(Data!#REF!,Data_Val!$D$2:$D$10,0)),0,1)))</f>
        <v>#REF!</v>
      </c>
      <c r="AT904" s="11"/>
      <c r="AU904" s="11" t="e">
        <f ca="1">IF(Data!#REF!="","",IF(ISNUMBER(Data!#REF!),IF(AND(Data!#REF!&gt;(TODAY()-(Data_Val!$I$3*365.25)),Data!#REF!&lt;=(TODAY()-(Data_Val!$I$2*365.25))),0,1),1))</f>
        <v>#REF!</v>
      </c>
      <c r="AV904" s="11" t="e">
        <f>IF(Data!#REF!="","",IF(Data!$G904="",1,IF(ISNUMBER(MATCH(Data!#REF!,Data_Val!$D$2:$D$10,0)),0,1)))</f>
        <v>#REF!</v>
      </c>
      <c r="AW904" s="12"/>
      <c r="AX904" s="26" t="e">
        <f ca="1">IF(Data!#REF!="","",IF(ISNUMBER(Data!#REF!),IF(AND(Data!#REF!&gt;(TODAY()-(Data_Val!$I$3*365.25)),Data!#REF!&lt;=(TODAY()-(Data_Val!$I$2*365.25))),0,1),1))</f>
        <v>#REF!</v>
      </c>
      <c r="AY904" s="12" t="e">
        <f>IF(Data!#REF!="","",IF(Data!$G904="",1,IF(ISNUMBER(MATCH(Data!#REF!,Data_Val!$D$2:$D$10,0)),0,1)))</f>
        <v>#REF!</v>
      </c>
      <c r="AZ904" s="11"/>
      <c r="BA904" s="19" t="e">
        <f ca="1">IF(Data!#REF!="","",IF(ISNUMBER(Data!#REF!),IF(AND(Data!#REF!&gt;(TODAY()-(Data_Val!$M$3*365.25)),Data!#REF!&lt;=(TODAY()-(Data_Val!$M$2*365.25))),0,1),1))</f>
        <v>#REF!</v>
      </c>
      <c r="BB904" s="11" t="e">
        <f>IF(Data!#REF!="","",IF(Data!$G904="",1,IF(ISNUMBER(MATCH(Data!#REF!,Data_Val!$D$2:$D$10,0)),0,1)))</f>
        <v>#REF!</v>
      </c>
      <c r="BC904" s="12"/>
      <c r="BD904" s="20" t="e">
        <f ca="1">IF(Data!#REF!="","",IF(ISNUMBER(Data!#REF!),IF(AND(Data!#REF!&gt;(TODAY()-(Data_Val!$M$3*365.25)),Data!#REF!&lt;=(TODAY()-(Data_Val!$M$2*365.25))),0,1),1))</f>
        <v>#REF!</v>
      </c>
      <c r="BE904" s="12" t="e">
        <f>IF(Data!#REF!="","",IF(Data!$G904="",1,IF(ISNUMBER(MATCH(Data!#REF!,Data_Val!$D$2:$D$10,0)),0,1)))</f>
        <v>#REF!</v>
      </c>
      <c r="BF904" s="17"/>
      <c r="BG904" s="18" t="e">
        <f ca="1">IF(Data!#REF!="","",IF(ISNUMBER(Data!#REF!),IF(AND(Data!#REF!&gt;(TODAY()-(Data_Val!$M$3*365.25)),Data!#REF!&lt;=(TODAY()-(Data_Val!$M$2*365.25))),0,1),1))</f>
        <v>#REF!</v>
      </c>
      <c r="BH904" s="29" t="e">
        <f>IF(Data!#REF!="","",IF(Data!$G904="",1,IF(ISNUMBER(MATCH(Data!#REF!,Data_Val!$D$2:$D$10,0)),0,1)))</f>
        <v>#REF!</v>
      </c>
      <c r="BI904" s="13"/>
      <c r="BJ904" s="21" t="e">
        <f ca="1">IF(Data!#REF!="","",IF(ISNUMBER(Data!#REF!),IF(AND(Data!#REF!&gt;(TODAY()-(Data_Val!$M$3*365.25)),Data!#REF!&lt;=(TODAY()-(Data_Val!$M$2*365.25))),0,1),1))</f>
        <v>#REF!</v>
      </c>
      <c r="BK904" s="13" t="e">
        <f>IF(Data!#REF!="","",IF(Data!$G904="",1,IF(ISNUMBER(MATCH(Data!#REF!,Data_Val!$D$2:$D$10,0)),0,1)))</f>
        <v>#REF!</v>
      </c>
    </row>
    <row r="905" spans="1:63" x14ac:dyDescent="0.25">
      <c r="A905" s="9" t="str">
        <f>IF(Data!B905="","",IF(COUNTIFS(Data!A$1:'Data'!A905,Data!A905)&lt;=1,0,1))</f>
        <v/>
      </c>
      <c r="B905" s="9"/>
      <c r="C905" s="23" t="str">
        <f>IF(Data!C905="","",(IF(ISNUMBER(MATCH("*@*.?*",Data!C905,0)),0,1)+IF(COUNTIFS(Data!C$1:'Data'!C905,Data!C905)&gt;1,1,0)))</f>
        <v/>
      </c>
      <c r="D905" s="9" t="str">
        <f>IF(Data!B905="","",IF(ISNUMBER(Data!D905),IF(AND(Data!D905&gt;999999999,Data!D905&lt;=9999999999),IF(COUNTIFS(Data!D$1:'Data'!D905,Data!D905)&lt;=1,0,1),1),1))</f>
        <v/>
      </c>
      <c r="E905" s="9" t="str">
        <f>IF(Data!B905="","",IF(ISNUMBER(MATCH(Data!E905,Data_Val!$A$2:$A$3,0)),0,1))</f>
        <v/>
      </c>
      <c r="F905" s="9" t="str">
        <f ca="1">IF(Data!B905="","",IF(ISNUMBER(Data!F905),IF(AND(Data!F905&gt;(TODAY()-(Data_Val!$H$3*365.25)),Data!F905&lt;=(TODAY()-(Data_Val!$H$2*365.25))),0,1),1))</f>
        <v/>
      </c>
      <c r="G905" s="15" t="str">
        <f>IF(Data!B905="","",IF(AND(Data!G905="",Data!H905&lt;&gt;""),1,IF(Data!#REF!&lt;&gt;"",0,IF(ISNUMBER(MATCH(Data!G905,Data_Val!$C$2:$C$5,0)),0,1))))</f>
        <v/>
      </c>
      <c r="H905" s="15" t="str">
        <f>IF(Data!B905="","",IF(AND(Data!G905&lt;&gt;"",Data!H905=""),1,IF(Data!#REF!&lt;&gt;"",0,IF(Data!G905="",1,IF(ISNUMBER(MATCH(Data!H905,Data_Val!$D$2:$D$35,0)),0,1)))))</f>
        <v/>
      </c>
      <c r="I905" s="15" t="str">
        <f>IF(Data!B905="","",IF(Data!G905&lt;&gt;"",0,IF(ISNUMBER(MATCH(Data!#REF!,Data_Val!$E$2:$E$12,0)),0,1)))</f>
        <v/>
      </c>
      <c r="J905" s="16" t="e">
        <f>IF(OR(Data!B905="",Data!#REF!=""),"",IF(Data!#REF!="",1,0))</f>
        <v>#REF!</v>
      </c>
      <c r="K905" s="16" t="e">
        <f>IF(OR(Data!B905="",Data!#REF!=""),"",IF(Data!#REF!="",1,0))</f>
        <v>#REF!</v>
      </c>
      <c r="L905" s="16" t="e">
        <f>IF(OR(Data!B905="",Data!#REF!=""),"",IF(ISNUMBER(Data!#REF!),IF(AND(Data!#REF!&gt;Data_Val!$G$2,Data!#REF!&lt;=Data_Val!$G$3),0,1),1))</f>
        <v>#REF!</v>
      </c>
      <c r="M905" s="9" t="e">
        <f>IF(OR(Data!B905="",Data!#REF!=""),"",IF(ISNUMBER(MATCH(Data!#REF!,Data_Val!$F$1:$F$38,0)),0,1))</f>
        <v>#REF!</v>
      </c>
      <c r="N905" s="9" t="e">
        <f>IF(OR(Data!B905="",Data!#REF!=""),"",IF(Data!#REF!="",1,0))</f>
        <v>#REF!</v>
      </c>
      <c r="O905" s="17" t="e">
        <f>IF(Data!#REF!="","",IF(Data!#REF!="",1,0))</f>
        <v>#REF!</v>
      </c>
      <c r="P905" s="17" t="e">
        <f>IF(Data!#REF!="","",IF(ISNUMBER(MATCH(Data!#REF!,Data_Val!$A$2:$A$3,0)),0,1))</f>
        <v>#REF!</v>
      </c>
      <c r="Q905" s="25" t="e">
        <f ca="1">IF(Data!#REF!="","",IF(ISNUMBER(Data!#REF!),IF(AND(Data!#REF!&gt;(TODAY()-(Data_Val!$J$3*365.25)),Data!#REF!&lt;=(TODAY()-(Data_Val!$J$2*365.25))),0,1),1))</f>
        <v>#REF!</v>
      </c>
      <c r="R905" s="17" t="e">
        <f>IF(Data!#REF!="","",IF(ISNUMBER(MATCH(Data!#REF!,Data_Val!$B$2:$B$15,0)),0,1))</f>
        <v>#REF!</v>
      </c>
      <c r="S905" s="11" t="str">
        <f>IF(Data!G905="","",IF(Data!G905=Data_Val!$C$2,IF(Data!M905="",0,1),0))</f>
        <v/>
      </c>
      <c r="T905" s="11" t="str">
        <f>IF(Data!M905="","",IF(ISNUMBER(MATCH(Data!N905,Data_Val!$A$2:$A$3,0)),0,1))</f>
        <v/>
      </c>
      <c r="U905" s="11" t="str">
        <f ca="1">IF(Data!M905="","",IF(ISNUMBER(Data!O905),IF(AND(Data!O905&gt;(TODAY()-(Data_Val!$K$3*365.25)),Data!O905&lt;=(TODAY()-(Data_Val!$K$2*365.25))),0,1),1))</f>
        <v/>
      </c>
      <c r="V905" s="12" t="str">
        <f>IF(Data!G905="","",IF(Data!G905=Data_Val!$C$2,IF(Data!P905="",0,1),0))</f>
        <v/>
      </c>
      <c r="W905" s="12" t="str">
        <f>IF(Data!P905="","",IF(ISNUMBER(MATCH(Data!Q905,Data_Val!$A$2:$A$3,0)),0,1))</f>
        <v/>
      </c>
      <c r="X905" s="26" t="str">
        <f ca="1">IF(Data!P905="","",IF(ISNUMBER(Data!R905),IF(AND(Data!R905&gt;(TODAY()-(Data_Val!$L$3*365.25)),Data!R905&lt;=(TODAY()-(Data_Val!$L$2*365.25))),0,1),1))</f>
        <v/>
      </c>
      <c r="Y905" s="13" t="str">
        <f>IF(Data!$G905="","",IF(Data!$G905=Data_Val!$C$2,IF(Data!S905="",0,1),0))</f>
        <v/>
      </c>
      <c r="Z905" s="13" t="str">
        <f>IF(Data!S905="","",IF(ISNUMBER(MATCH(Data!T905,Data_Val!$A$2:$A$3,0)),0,1))</f>
        <v/>
      </c>
      <c r="AA905" s="28" t="str">
        <f ca="1">IF(Data!S905="","",IF(ISNUMBER(Data!U905),IF(AND(Data!U905&gt;(TODAY()-(Data_Val!$L$3*365.25)),Data!U905&lt;=(TODAY()-(Data_Val!$L$2*365.25))),0,1),1))</f>
        <v/>
      </c>
      <c r="AB905" s="11"/>
      <c r="AC905" s="11" t="e">
        <f>IF(Data!#REF!="","",IF(ISNUMBER(MATCH(Data!#REF!,Data_Val!$A$2:$A$3,0)),0,1))</f>
        <v>#REF!</v>
      </c>
      <c r="AD905" s="11" t="e">
        <f ca="1">IF(Data!#REF!="","",IF(ISNUMBER(Data!#REF!),IF(AND(Data!#REF!&gt;(TODAY()-(Data_Val!$L$3*365.25)),Data!#REF!&lt;=(TODAY()-(Data_Val!$L$2*365.25))),0,1),1))</f>
        <v>#REF!</v>
      </c>
      <c r="AE905" s="11" t="e">
        <f>IF(Data!#REF!="","",IF(Data!$G905="",1,IF(ISNUMBER(MATCH(Data!#REF!,Data_Val!$D$2:$D$10,0)),0,1)))</f>
        <v>#REF!</v>
      </c>
      <c r="AF905" s="12"/>
      <c r="AG905" s="12" t="e">
        <f>IF(Data!#REF!="","",IF(ISNUMBER(MATCH(Data!#REF!,Data_Val!$A$2:$A$3,0)),0,1))</f>
        <v>#REF!</v>
      </c>
      <c r="AH905" s="26" t="e">
        <f ca="1">IF(Data!#REF!="","",IF(ISNUMBER(Data!#REF!),IF(AND(Data!#REF!&gt;(TODAY()-(Data_Val!$L$3*365.25)),Data!#REF!&lt;=(TODAY()-(Data_Val!$L$2*365.25))),0,1),1))</f>
        <v>#REF!</v>
      </c>
      <c r="AI905" s="12" t="e">
        <f>IF(Data!#REF!="","",IF(Data!$G905="",1,IF(ISNUMBER(MATCH(Data!#REF!,Data_Val!$D$2:$D$10,0)),0,1)))</f>
        <v>#REF!</v>
      </c>
      <c r="AJ905" s="17"/>
      <c r="AK905" s="17" t="e">
        <f>IF(Data!#REF!="","",IF(ISNUMBER(MATCH(Data!#REF!,Data_Val!$A$2:$A$3,0)),0,1))</f>
        <v>#REF!</v>
      </c>
      <c r="AL905" s="25" t="e">
        <f ca="1">IF(Data!#REF!="","",IF(ISNUMBER(Data!#REF!),IF(AND(Data!#REF!&gt;(TODAY()-(Data_Val!$L$3*365.25)),Data!#REF!&lt;=(TODAY()-(Data_Val!$L$2*365.25))),0,1),1))</f>
        <v>#REF!</v>
      </c>
      <c r="AM905" s="17" t="e">
        <f>IF(Data!#REF!="","",IF(Data!$G905="",1,IF(ISNUMBER(MATCH(Data!#REF!,Data_Val!$D$2:$D$10,0)),0,1)))</f>
        <v>#REF!</v>
      </c>
      <c r="AN905" s="13"/>
      <c r="AO905" s="28" t="e">
        <f ca="1">IF(Data!#REF!="","",IF(ISNUMBER(Data!#REF!),IF(AND(Data!#REF!&gt;(TODAY()-(Data_Val!$I$3*365.25)),Data!#REF!&lt;=(TODAY()-(Data_Val!$I$2*365.25))),0,1),1))</f>
        <v>#REF!</v>
      </c>
      <c r="AP905" s="13" t="e">
        <f>IF(Data!#REF!="","",IF(Data!$G905="",1,IF(ISNUMBER(MATCH(Data!#REF!,Data_Val!$D$2:$D$10,0)),0,1)))</f>
        <v>#REF!</v>
      </c>
      <c r="AQ905" s="17"/>
      <c r="AR905" s="30" t="e">
        <f ca="1">IF(Data!#REF!="","",IF(ISNUMBER(Data!#REF!),IF(AND(Data!#REF!&gt;(TODAY()-(Data_Val!$I$3*365.25)),Data!#REF!&lt;=(TODAY()-(Data_Val!$I$2*365.25))),0,1),1))</f>
        <v>#REF!</v>
      </c>
      <c r="AS905" s="31" t="e">
        <f>IF(Data!#REF!="","",IF(Data!$G905="",1,IF(ISNUMBER(MATCH(Data!#REF!,Data_Val!$D$2:$D$10,0)),0,1)))</f>
        <v>#REF!</v>
      </c>
      <c r="AT905" s="11"/>
      <c r="AU905" s="11" t="e">
        <f ca="1">IF(Data!#REF!="","",IF(ISNUMBER(Data!#REF!),IF(AND(Data!#REF!&gt;(TODAY()-(Data_Val!$I$3*365.25)),Data!#REF!&lt;=(TODAY()-(Data_Val!$I$2*365.25))),0,1),1))</f>
        <v>#REF!</v>
      </c>
      <c r="AV905" s="11" t="e">
        <f>IF(Data!#REF!="","",IF(Data!$G905="",1,IF(ISNUMBER(MATCH(Data!#REF!,Data_Val!$D$2:$D$10,0)),0,1)))</f>
        <v>#REF!</v>
      </c>
      <c r="AW905" s="12"/>
      <c r="AX905" s="26" t="e">
        <f ca="1">IF(Data!#REF!="","",IF(ISNUMBER(Data!#REF!),IF(AND(Data!#REF!&gt;(TODAY()-(Data_Val!$I$3*365.25)),Data!#REF!&lt;=(TODAY()-(Data_Val!$I$2*365.25))),0,1),1))</f>
        <v>#REF!</v>
      </c>
      <c r="AY905" s="12" t="e">
        <f>IF(Data!#REF!="","",IF(Data!$G905="",1,IF(ISNUMBER(MATCH(Data!#REF!,Data_Val!$D$2:$D$10,0)),0,1)))</f>
        <v>#REF!</v>
      </c>
      <c r="AZ905" s="11"/>
      <c r="BA905" s="19" t="e">
        <f ca="1">IF(Data!#REF!="","",IF(ISNUMBER(Data!#REF!),IF(AND(Data!#REF!&gt;(TODAY()-(Data_Val!$M$3*365.25)),Data!#REF!&lt;=(TODAY()-(Data_Val!$M$2*365.25))),0,1),1))</f>
        <v>#REF!</v>
      </c>
      <c r="BB905" s="11" t="e">
        <f>IF(Data!#REF!="","",IF(Data!$G905="",1,IF(ISNUMBER(MATCH(Data!#REF!,Data_Val!$D$2:$D$10,0)),0,1)))</f>
        <v>#REF!</v>
      </c>
      <c r="BC905" s="12"/>
      <c r="BD905" s="20" t="e">
        <f ca="1">IF(Data!#REF!="","",IF(ISNUMBER(Data!#REF!),IF(AND(Data!#REF!&gt;(TODAY()-(Data_Val!$M$3*365.25)),Data!#REF!&lt;=(TODAY()-(Data_Val!$M$2*365.25))),0,1),1))</f>
        <v>#REF!</v>
      </c>
      <c r="BE905" s="12" t="e">
        <f>IF(Data!#REF!="","",IF(Data!$G905="",1,IF(ISNUMBER(MATCH(Data!#REF!,Data_Val!$D$2:$D$10,0)),0,1)))</f>
        <v>#REF!</v>
      </c>
      <c r="BF905" s="17"/>
      <c r="BG905" s="18" t="e">
        <f ca="1">IF(Data!#REF!="","",IF(ISNUMBER(Data!#REF!),IF(AND(Data!#REF!&gt;(TODAY()-(Data_Val!$M$3*365.25)),Data!#REF!&lt;=(TODAY()-(Data_Val!$M$2*365.25))),0,1),1))</f>
        <v>#REF!</v>
      </c>
      <c r="BH905" s="29" t="e">
        <f>IF(Data!#REF!="","",IF(Data!$G905="",1,IF(ISNUMBER(MATCH(Data!#REF!,Data_Val!$D$2:$D$10,0)),0,1)))</f>
        <v>#REF!</v>
      </c>
      <c r="BI905" s="13"/>
      <c r="BJ905" s="21" t="e">
        <f ca="1">IF(Data!#REF!="","",IF(ISNUMBER(Data!#REF!),IF(AND(Data!#REF!&gt;(TODAY()-(Data_Val!$M$3*365.25)),Data!#REF!&lt;=(TODAY()-(Data_Val!$M$2*365.25))),0,1),1))</f>
        <v>#REF!</v>
      </c>
      <c r="BK905" s="13" t="e">
        <f>IF(Data!#REF!="","",IF(Data!$G905="",1,IF(ISNUMBER(MATCH(Data!#REF!,Data_Val!$D$2:$D$10,0)),0,1)))</f>
        <v>#REF!</v>
      </c>
    </row>
    <row r="906" spans="1:63" x14ac:dyDescent="0.25">
      <c r="A906" s="9" t="str">
        <f>IF(Data!B906="","",IF(COUNTIFS(Data!A$1:'Data'!A906,Data!A906)&lt;=1,0,1))</f>
        <v/>
      </c>
      <c r="B906" s="9"/>
      <c r="C906" s="23" t="str">
        <f>IF(Data!C906="","",(IF(ISNUMBER(MATCH("*@*.?*",Data!C906,0)),0,1)+IF(COUNTIFS(Data!C$1:'Data'!C906,Data!C906)&gt;1,1,0)))</f>
        <v/>
      </c>
      <c r="D906" s="9" t="str">
        <f>IF(Data!B906="","",IF(ISNUMBER(Data!D906),IF(AND(Data!D906&gt;999999999,Data!D906&lt;=9999999999),IF(COUNTIFS(Data!D$1:'Data'!D906,Data!D906)&lt;=1,0,1),1),1))</f>
        <v/>
      </c>
      <c r="E906" s="9" t="str">
        <f>IF(Data!B906="","",IF(ISNUMBER(MATCH(Data!E906,Data_Val!$A$2:$A$3,0)),0,1))</f>
        <v/>
      </c>
      <c r="F906" s="9" t="str">
        <f ca="1">IF(Data!B906="","",IF(ISNUMBER(Data!F906),IF(AND(Data!F906&gt;(TODAY()-(Data_Val!$H$3*365.25)),Data!F906&lt;=(TODAY()-(Data_Val!$H$2*365.25))),0,1),1))</f>
        <v/>
      </c>
      <c r="G906" s="15" t="str">
        <f>IF(Data!B906="","",IF(AND(Data!G906="",Data!H906&lt;&gt;""),1,IF(Data!#REF!&lt;&gt;"",0,IF(ISNUMBER(MATCH(Data!G906,Data_Val!$C$2:$C$5,0)),0,1))))</f>
        <v/>
      </c>
      <c r="H906" s="15" t="str">
        <f>IF(Data!B906="","",IF(AND(Data!G906&lt;&gt;"",Data!H906=""),1,IF(Data!#REF!&lt;&gt;"",0,IF(Data!G906="",1,IF(ISNUMBER(MATCH(Data!H906,Data_Val!$D$2:$D$35,0)),0,1)))))</f>
        <v/>
      </c>
      <c r="I906" s="15" t="str">
        <f>IF(Data!B906="","",IF(Data!G906&lt;&gt;"",0,IF(ISNUMBER(MATCH(Data!#REF!,Data_Val!$E$2:$E$12,0)),0,1)))</f>
        <v/>
      </c>
      <c r="J906" s="16" t="e">
        <f>IF(OR(Data!B906="",Data!#REF!=""),"",IF(Data!#REF!="",1,0))</f>
        <v>#REF!</v>
      </c>
      <c r="K906" s="16" t="e">
        <f>IF(OR(Data!B906="",Data!#REF!=""),"",IF(Data!#REF!="",1,0))</f>
        <v>#REF!</v>
      </c>
      <c r="L906" s="16" t="e">
        <f>IF(OR(Data!B906="",Data!#REF!=""),"",IF(ISNUMBER(Data!#REF!),IF(AND(Data!#REF!&gt;Data_Val!$G$2,Data!#REF!&lt;=Data_Val!$G$3),0,1),1))</f>
        <v>#REF!</v>
      </c>
      <c r="M906" s="9" t="e">
        <f>IF(OR(Data!B906="",Data!#REF!=""),"",IF(ISNUMBER(MATCH(Data!#REF!,Data_Val!$F$1:$F$38,0)),0,1))</f>
        <v>#REF!</v>
      </c>
      <c r="N906" s="9" t="e">
        <f>IF(OR(Data!B906="",Data!#REF!=""),"",IF(Data!#REF!="",1,0))</f>
        <v>#REF!</v>
      </c>
      <c r="O906" s="17" t="e">
        <f>IF(Data!#REF!="","",IF(Data!#REF!="",1,0))</f>
        <v>#REF!</v>
      </c>
      <c r="P906" s="17" t="e">
        <f>IF(Data!#REF!="","",IF(ISNUMBER(MATCH(Data!#REF!,Data_Val!$A$2:$A$3,0)),0,1))</f>
        <v>#REF!</v>
      </c>
      <c r="Q906" s="25" t="e">
        <f ca="1">IF(Data!#REF!="","",IF(ISNUMBER(Data!#REF!),IF(AND(Data!#REF!&gt;(TODAY()-(Data_Val!$J$3*365.25)),Data!#REF!&lt;=(TODAY()-(Data_Val!$J$2*365.25))),0,1),1))</f>
        <v>#REF!</v>
      </c>
      <c r="R906" s="17" t="e">
        <f>IF(Data!#REF!="","",IF(ISNUMBER(MATCH(Data!#REF!,Data_Val!$B$2:$B$15,0)),0,1))</f>
        <v>#REF!</v>
      </c>
      <c r="S906" s="11" t="str">
        <f>IF(Data!G906="","",IF(Data!G906=Data_Val!$C$2,IF(Data!M906="",0,1),0))</f>
        <v/>
      </c>
      <c r="T906" s="11" t="str">
        <f>IF(Data!M906="","",IF(ISNUMBER(MATCH(Data!N906,Data_Val!$A$2:$A$3,0)),0,1))</f>
        <v/>
      </c>
      <c r="U906" s="11" t="str">
        <f ca="1">IF(Data!M906="","",IF(ISNUMBER(Data!O906),IF(AND(Data!O906&gt;(TODAY()-(Data_Val!$K$3*365.25)),Data!O906&lt;=(TODAY()-(Data_Val!$K$2*365.25))),0,1),1))</f>
        <v/>
      </c>
      <c r="V906" s="12" t="str">
        <f>IF(Data!G906="","",IF(Data!G906=Data_Val!$C$2,IF(Data!P906="",0,1),0))</f>
        <v/>
      </c>
      <c r="W906" s="12" t="str">
        <f>IF(Data!P906="","",IF(ISNUMBER(MATCH(Data!Q906,Data_Val!$A$2:$A$3,0)),0,1))</f>
        <v/>
      </c>
      <c r="X906" s="26" t="str">
        <f ca="1">IF(Data!P906="","",IF(ISNUMBER(Data!R906),IF(AND(Data!R906&gt;(TODAY()-(Data_Val!$L$3*365.25)),Data!R906&lt;=(TODAY()-(Data_Val!$L$2*365.25))),0,1),1))</f>
        <v/>
      </c>
      <c r="Y906" s="13" t="str">
        <f>IF(Data!$G906="","",IF(Data!$G906=Data_Val!$C$2,IF(Data!S906="",0,1),0))</f>
        <v/>
      </c>
      <c r="Z906" s="13" t="str">
        <f>IF(Data!S906="","",IF(ISNUMBER(MATCH(Data!T906,Data_Val!$A$2:$A$3,0)),0,1))</f>
        <v/>
      </c>
      <c r="AA906" s="28" t="str">
        <f ca="1">IF(Data!S906="","",IF(ISNUMBER(Data!U906),IF(AND(Data!U906&gt;(TODAY()-(Data_Val!$L$3*365.25)),Data!U906&lt;=(TODAY()-(Data_Val!$L$2*365.25))),0,1),1))</f>
        <v/>
      </c>
      <c r="AB906" s="11"/>
      <c r="AC906" s="11" t="e">
        <f>IF(Data!#REF!="","",IF(ISNUMBER(MATCH(Data!#REF!,Data_Val!$A$2:$A$3,0)),0,1))</f>
        <v>#REF!</v>
      </c>
      <c r="AD906" s="11" t="e">
        <f ca="1">IF(Data!#REF!="","",IF(ISNUMBER(Data!#REF!),IF(AND(Data!#REF!&gt;(TODAY()-(Data_Val!$L$3*365.25)),Data!#REF!&lt;=(TODAY()-(Data_Val!$L$2*365.25))),0,1),1))</f>
        <v>#REF!</v>
      </c>
      <c r="AE906" s="11" t="e">
        <f>IF(Data!#REF!="","",IF(Data!$G906="",1,IF(ISNUMBER(MATCH(Data!#REF!,Data_Val!$D$2:$D$10,0)),0,1)))</f>
        <v>#REF!</v>
      </c>
      <c r="AF906" s="12"/>
      <c r="AG906" s="12" t="e">
        <f>IF(Data!#REF!="","",IF(ISNUMBER(MATCH(Data!#REF!,Data_Val!$A$2:$A$3,0)),0,1))</f>
        <v>#REF!</v>
      </c>
      <c r="AH906" s="26" t="e">
        <f ca="1">IF(Data!#REF!="","",IF(ISNUMBER(Data!#REF!),IF(AND(Data!#REF!&gt;(TODAY()-(Data_Val!$L$3*365.25)),Data!#REF!&lt;=(TODAY()-(Data_Val!$L$2*365.25))),0,1),1))</f>
        <v>#REF!</v>
      </c>
      <c r="AI906" s="12" t="e">
        <f>IF(Data!#REF!="","",IF(Data!$G906="",1,IF(ISNUMBER(MATCH(Data!#REF!,Data_Val!$D$2:$D$10,0)),0,1)))</f>
        <v>#REF!</v>
      </c>
      <c r="AJ906" s="17"/>
      <c r="AK906" s="17" t="e">
        <f>IF(Data!#REF!="","",IF(ISNUMBER(MATCH(Data!#REF!,Data_Val!$A$2:$A$3,0)),0,1))</f>
        <v>#REF!</v>
      </c>
      <c r="AL906" s="25" t="e">
        <f ca="1">IF(Data!#REF!="","",IF(ISNUMBER(Data!#REF!),IF(AND(Data!#REF!&gt;(TODAY()-(Data_Val!$L$3*365.25)),Data!#REF!&lt;=(TODAY()-(Data_Val!$L$2*365.25))),0,1),1))</f>
        <v>#REF!</v>
      </c>
      <c r="AM906" s="17" t="e">
        <f>IF(Data!#REF!="","",IF(Data!$G906="",1,IF(ISNUMBER(MATCH(Data!#REF!,Data_Val!$D$2:$D$10,0)),0,1)))</f>
        <v>#REF!</v>
      </c>
      <c r="AN906" s="13"/>
      <c r="AO906" s="28" t="e">
        <f ca="1">IF(Data!#REF!="","",IF(ISNUMBER(Data!#REF!),IF(AND(Data!#REF!&gt;(TODAY()-(Data_Val!$I$3*365.25)),Data!#REF!&lt;=(TODAY()-(Data_Val!$I$2*365.25))),0,1),1))</f>
        <v>#REF!</v>
      </c>
      <c r="AP906" s="13" t="e">
        <f>IF(Data!#REF!="","",IF(Data!$G906="",1,IF(ISNUMBER(MATCH(Data!#REF!,Data_Val!$D$2:$D$10,0)),0,1)))</f>
        <v>#REF!</v>
      </c>
      <c r="AQ906" s="17"/>
      <c r="AR906" s="30" t="e">
        <f ca="1">IF(Data!#REF!="","",IF(ISNUMBER(Data!#REF!),IF(AND(Data!#REF!&gt;(TODAY()-(Data_Val!$I$3*365.25)),Data!#REF!&lt;=(TODAY()-(Data_Val!$I$2*365.25))),0,1),1))</f>
        <v>#REF!</v>
      </c>
      <c r="AS906" s="31" t="e">
        <f>IF(Data!#REF!="","",IF(Data!$G906="",1,IF(ISNUMBER(MATCH(Data!#REF!,Data_Val!$D$2:$D$10,0)),0,1)))</f>
        <v>#REF!</v>
      </c>
      <c r="AT906" s="11"/>
      <c r="AU906" s="11" t="e">
        <f ca="1">IF(Data!#REF!="","",IF(ISNUMBER(Data!#REF!),IF(AND(Data!#REF!&gt;(TODAY()-(Data_Val!$I$3*365.25)),Data!#REF!&lt;=(TODAY()-(Data_Val!$I$2*365.25))),0,1),1))</f>
        <v>#REF!</v>
      </c>
      <c r="AV906" s="11" t="e">
        <f>IF(Data!#REF!="","",IF(Data!$G906="",1,IF(ISNUMBER(MATCH(Data!#REF!,Data_Val!$D$2:$D$10,0)),0,1)))</f>
        <v>#REF!</v>
      </c>
      <c r="AW906" s="12"/>
      <c r="AX906" s="26" t="e">
        <f ca="1">IF(Data!#REF!="","",IF(ISNUMBER(Data!#REF!),IF(AND(Data!#REF!&gt;(TODAY()-(Data_Val!$I$3*365.25)),Data!#REF!&lt;=(TODAY()-(Data_Val!$I$2*365.25))),0,1),1))</f>
        <v>#REF!</v>
      </c>
      <c r="AY906" s="12" t="e">
        <f>IF(Data!#REF!="","",IF(Data!$G906="",1,IF(ISNUMBER(MATCH(Data!#REF!,Data_Val!$D$2:$D$10,0)),0,1)))</f>
        <v>#REF!</v>
      </c>
      <c r="AZ906" s="11"/>
      <c r="BA906" s="19" t="e">
        <f ca="1">IF(Data!#REF!="","",IF(ISNUMBER(Data!#REF!),IF(AND(Data!#REF!&gt;(TODAY()-(Data_Val!$M$3*365.25)),Data!#REF!&lt;=(TODAY()-(Data_Val!$M$2*365.25))),0,1),1))</f>
        <v>#REF!</v>
      </c>
      <c r="BB906" s="11" t="e">
        <f>IF(Data!#REF!="","",IF(Data!$G906="",1,IF(ISNUMBER(MATCH(Data!#REF!,Data_Val!$D$2:$D$10,0)),0,1)))</f>
        <v>#REF!</v>
      </c>
      <c r="BC906" s="12"/>
      <c r="BD906" s="20" t="e">
        <f ca="1">IF(Data!#REF!="","",IF(ISNUMBER(Data!#REF!),IF(AND(Data!#REF!&gt;(TODAY()-(Data_Val!$M$3*365.25)),Data!#REF!&lt;=(TODAY()-(Data_Val!$M$2*365.25))),0,1),1))</f>
        <v>#REF!</v>
      </c>
      <c r="BE906" s="12" t="e">
        <f>IF(Data!#REF!="","",IF(Data!$G906="",1,IF(ISNUMBER(MATCH(Data!#REF!,Data_Val!$D$2:$D$10,0)),0,1)))</f>
        <v>#REF!</v>
      </c>
      <c r="BF906" s="17"/>
      <c r="BG906" s="18" t="e">
        <f ca="1">IF(Data!#REF!="","",IF(ISNUMBER(Data!#REF!),IF(AND(Data!#REF!&gt;(TODAY()-(Data_Val!$M$3*365.25)),Data!#REF!&lt;=(TODAY()-(Data_Val!$M$2*365.25))),0,1),1))</f>
        <v>#REF!</v>
      </c>
      <c r="BH906" s="29" t="e">
        <f>IF(Data!#REF!="","",IF(Data!$G906="",1,IF(ISNUMBER(MATCH(Data!#REF!,Data_Val!$D$2:$D$10,0)),0,1)))</f>
        <v>#REF!</v>
      </c>
      <c r="BI906" s="13"/>
      <c r="BJ906" s="21" t="e">
        <f ca="1">IF(Data!#REF!="","",IF(ISNUMBER(Data!#REF!),IF(AND(Data!#REF!&gt;(TODAY()-(Data_Val!$M$3*365.25)),Data!#REF!&lt;=(TODAY()-(Data_Val!$M$2*365.25))),0,1),1))</f>
        <v>#REF!</v>
      </c>
      <c r="BK906" s="13" t="e">
        <f>IF(Data!#REF!="","",IF(Data!$G906="",1,IF(ISNUMBER(MATCH(Data!#REF!,Data_Val!$D$2:$D$10,0)),0,1)))</f>
        <v>#REF!</v>
      </c>
    </row>
    <row r="907" spans="1:63" x14ac:dyDescent="0.25">
      <c r="A907" s="9" t="str">
        <f>IF(Data!B907="","",IF(COUNTIFS(Data!A$1:'Data'!A907,Data!A907)&lt;=1,0,1))</f>
        <v/>
      </c>
      <c r="B907" s="9"/>
      <c r="C907" s="23" t="str">
        <f>IF(Data!C907="","",(IF(ISNUMBER(MATCH("*@*.?*",Data!C907,0)),0,1)+IF(COUNTIFS(Data!C$1:'Data'!C907,Data!C907)&gt;1,1,0)))</f>
        <v/>
      </c>
      <c r="D907" s="9" t="str">
        <f>IF(Data!B907="","",IF(ISNUMBER(Data!D907),IF(AND(Data!D907&gt;999999999,Data!D907&lt;=9999999999),IF(COUNTIFS(Data!D$1:'Data'!D907,Data!D907)&lt;=1,0,1),1),1))</f>
        <v/>
      </c>
      <c r="E907" s="9" t="str">
        <f>IF(Data!B907="","",IF(ISNUMBER(MATCH(Data!E907,Data_Val!$A$2:$A$3,0)),0,1))</f>
        <v/>
      </c>
      <c r="F907" s="9" t="str">
        <f ca="1">IF(Data!B907="","",IF(ISNUMBER(Data!F907),IF(AND(Data!F907&gt;(TODAY()-(Data_Val!$H$3*365.25)),Data!F907&lt;=(TODAY()-(Data_Val!$H$2*365.25))),0,1),1))</f>
        <v/>
      </c>
      <c r="G907" s="15" t="str">
        <f>IF(Data!B907="","",IF(AND(Data!G907="",Data!H907&lt;&gt;""),1,IF(Data!#REF!&lt;&gt;"",0,IF(ISNUMBER(MATCH(Data!G907,Data_Val!$C$2:$C$5,0)),0,1))))</f>
        <v/>
      </c>
      <c r="H907" s="15" t="str">
        <f>IF(Data!B907="","",IF(AND(Data!G907&lt;&gt;"",Data!H907=""),1,IF(Data!#REF!&lt;&gt;"",0,IF(Data!G907="",1,IF(ISNUMBER(MATCH(Data!H907,Data_Val!$D$2:$D$35,0)),0,1)))))</f>
        <v/>
      </c>
      <c r="I907" s="15" t="str">
        <f>IF(Data!B907="","",IF(Data!G907&lt;&gt;"",0,IF(ISNUMBER(MATCH(Data!#REF!,Data_Val!$E$2:$E$12,0)),0,1)))</f>
        <v/>
      </c>
      <c r="J907" s="16" t="e">
        <f>IF(OR(Data!B907="",Data!#REF!=""),"",IF(Data!#REF!="",1,0))</f>
        <v>#REF!</v>
      </c>
      <c r="K907" s="16" t="e">
        <f>IF(OR(Data!B907="",Data!#REF!=""),"",IF(Data!#REF!="",1,0))</f>
        <v>#REF!</v>
      </c>
      <c r="L907" s="16" t="e">
        <f>IF(OR(Data!B907="",Data!#REF!=""),"",IF(ISNUMBER(Data!#REF!),IF(AND(Data!#REF!&gt;Data_Val!$G$2,Data!#REF!&lt;=Data_Val!$G$3),0,1),1))</f>
        <v>#REF!</v>
      </c>
      <c r="M907" s="9" t="e">
        <f>IF(OR(Data!B907="",Data!#REF!=""),"",IF(ISNUMBER(MATCH(Data!#REF!,Data_Val!$F$1:$F$38,0)),0,1))</f>
        <v>#REF!</v>
      </c>
      <c r="N907" s="9" t="e">
        <f>IF(OR(Data!B907="",Data!#REF!=""),"",IF(Data!#REF!="",1,0))</f>
        <v>#REF!</v>
      </c>
      <c r="O907" s="17" t="e">
        <f>IF(Data!#REF!="","",IF(Data!#REF!="",1,0))</f>
        <v>#REF!</v>
      </c>
      <c r="P907" s="17" t="e">
        <f>IF(Data!#REF!="","",IF(ISNUMBER(MATCH(Data!#REF!,Data_Val!$A$2:$A$3,0)),0,1))</f>
        <v>#REF!</v>
      </c>
      <c r="Q907" s="25" t="e">
        <f ca="1">IF(Data!#REF!="","",IF(ISNUMBER(Data!#REF!),IF(AND(Data!#REF!&gt;(TODAY()-(Data_Val!$J$3*365.25)),Data!#REF!&lt;=(TODAY()-(Data_Val!$J$2*365.25))),0,1),1))</f>
        <v>#REF!</v>
      </c>
      <c r="R907" s="17" t="e">
        <f>IF(Data!#REF!="","",IF(ISNUMBER(MATCH(Data!#REF!,Data_Val!$B$2:$B$15,0)),0,1))</f>
        <v>#REF!</v>
      </c>
      <c r="S907" s="11" t="str">
        <f>IF(Data!G907="","",IF(Data!G907=Data_Val!$C$2,IF(Data!M907="",0,1),0))</f>
        <v/>
      </c>
      <c r="T907" s="11" t="str">
        <f>IF(Data!M907="","",IF(ISNUMBER(MATCH(Data!N907,Data_Val!$A$2:$A$3,0)),0,1))</f>
        <v/>
      </c>
      <c r="U907" s="11" t="str">
        <f ca="1">IF(Data!M907="","",IF(ISNUMBER(Data!O907),IF(AND(Data!O907&gt;(TODAY()-(Data_Val!$K$3*365.25)),Data!O907&lt;=(TODAY()-(Data_Val!$K$2*365.25))),0,1),1))</f>
        <v/>
      </c>
      <c r="V907" s="12" t="str">
        <f>IF(Data!G907="","",IF(Data!G907=Data_Val!$C$2,IF(Data!P907="",0,1),0))</f>
        <v/>
      </c>
      <c r="W907" s="12" t="str">
        <f>IF(Data!P907="","",IF(ISNUMBER(MATCH(Data!Q907,Data_Val!$A$2:$A$3,0)),0,1))</f>
        <v/>
      </c>
      <c r="X907" s="26" t="str">
        <f ca="1">IF(Data!P907="","",IF(ISNUMBER(Data!R907),IF(AND(Data!R907&gt;(TODAY()-(Data_Val!$L$3*365.25)),Data!R907&lt;=(TODAY()-(Data_Val!$L$2*365.25))),0,1),1))</f>
        <v/>
      </c>
      <c r="Y907" s="13" t="str">
        <f>IF(Data!$G907="","",IF(Data!$G907=Data_Val!$C$2,IF(Data!S907="",0,1),0))</f>
        <v/>
      </c>
      <c r="Z907" s="13" t="str">
        <f>IF(Data!S907="","",IF(ISNUMBER(MATCH(Data!T907,Data_Val!$A$2:$A$3,0)),0,1))</f>
        <v/>
      </c>
      <c r="AA907" s="28" t="str">
        <f ca="1">IF(Data!S907="","",IF(ISNUMBER(Data!U907),IF(AND(Data!U907&gt;(TODAY()-(Data_Val!$L$3*365.25)),Data!U907&lt;=(TODAY()-(Data_Val!$L$2*365.25))),0,1),1))</f>
        <v/>
      </c>
      <c r="AB907" s="11"/>
      <c r="AC907" s="11" t="e">
        <f>IF(Data!#REF!="","",IF(ISNUMBER(MATCH(Data!#REF!,Data_Val!$A$2:$A$3,0)),0,1))</f>
        <v>#REF!</v>
      </c>
      <c r="AD907" s="11" t="e">
        <f ca="1">IF(Data!#REF!="","",IF(ISNUMBER(Data!#REF!),IF(AND(Data!#REF!&gt;(TODAY()-(Data_Val!$L$3*365.25)),Data!#REF!&lt;=(TODAY()-(Data_Val!$L$2*365.25))),0,1),1))</f>
        <v>#REF!</v>
      </c>
      <c r="AE907" s="11" t="e">
        <f>IF(Data!#REF!="","",IF(Data!$G907="",1,IF(ISNUMBER(MATCH(Data!#REF!,Data_Val!$D$2:$D$10,0)),0,1)))</f>
        <v>#REF!</v>
      </c>
      <c r="AF907" s="12"/>
      <c r="AG907" s="12" t="e">
        <f>IF(Data!#REF!="","",IF(ISNUMBER(MATCH(Data!#REF!,Data_Val!$A$2:$A$3,0)),0,1))</f>
        <v>#REF!</v>
      </c>
      <c r="AH907" s="26" t="e">
        <f ca="1">IF(Data!#REF!="","",IF(ISNUMBER(Data!#REF!),IF(AND(Data!#REF!&gt;(TODAY()-(Data_Val!$L$3*365.25)),Data!#REF!&lt;=(TODAY()-(Data_Val!$L$2*365.25))),0,1),1))</f>
        <v>#REF!</v>
      </c>
      <c r="AI907" s="12" t="e">
        <f>IF(Data!#REF!="","",IF(Data!$G907="",1,IF(ISNUMBER(MATCH(Data!#REF!,Data_Val!$D$2:$D$10,0)),0,1)))</f>
        <v>#REF!</v>
      </c>
      <c r="AJ907" s="17"/>
      <c r="AK907" s="17" t="e">
        <f>IF(Data!#REF!="","",IF(ISNUMBER(MATCH(Data!#REF!,Data_Val!$A$2:$A$3,0)),0,1))</f>
        <v>#REF!</v>
      </c>
      <c r="AL907" s="25" t="e">
        <f ca="1">IF(Data!#REF!="","",IF(ISNUMBER(Data!#REF!),IF(AND(Data!#REF!&gt;(TODAY()-(Data_Val!$L$3*365.25)),Data!#REF!&lt;=(TODAY()-(Data_Val!$L$2*365.25))),0,1),1))</f>
        <v>#REF!</v>
      </c>
      <c r="AM907" s="17" t="e">
        <f>IF(Data!#REF!="","",IF(Data!$G907="",1,IF(ISNUMBER(MATCH(Data!#REF!,Data_Val!$D$2:$D$10,0)),0,1)))</f>
        <v>#REF!</v>
      </c>
      <c r="AN907" s="13"/>
      <c r="AO907" s="28" t="e">
        <f ca="1">IF(Data!#REF!="","",IF(ISNUMBER(Data!#REF!),IF(AND(Data!#REF!&gt;(TODAY()-(Data_Val!$I$3*365.25)),Data!#REF!&lt;=(TODAY()-(Data_Val!$I$2*365.25))),0,1),1))</f>
        <v>#REF!</v>
      </c>
      <c r="AP907" s="13" t="e">
        <f>IF(Data!#REF!="","",IF(Data!$G907="",1,IF(ISNUMBER(MATCH(Data!#REF!,Data_Val!$D$2:$D$10,0)),0,1)))</f>
        <v>#REF!</v>
      </c>
      <c r="AQ907" s="17"/>
      <c r="AR907" s="30" t="e">
        <f ca="1">IF(Data!#REF!="","",IF(ISNUMBER(Data!#REF!),IF(AND(Data!#REF!&gt;(TODAY()-(Data_Val!$I$3*365.25)),Data!#REF!&lt;=(TODAY()-(Data_Val!$I$2*365.25))),0,1),1))</f>
        <v>#REF!</v>
      </c>
      <c r="AS907" s="31" t="e">
        <f>IF(Data!#REF!="","",IF(Data!$G907="",1,IF(ISNUMBER(MATCH(Data!#REF!,Data_Val!$D$2:$D$10,0)),0,1)))</f>
        <v>#REF!</v>
      </c>
      <c r="AT907" s="11"/>
      <c r="AU907" s="11" t="e">
        <f ca="1">IF(Data!#REF!="","",IF(ISNUMBER(Data!#REF!),IF(AND(Data!#REF!&gt;(TODAY()-(Data_Val!$I$3*365.25)),Data!#REF!&lt;=(TODAY()-(Data_Val!$I$2*365.25))),0,1),1))</f>
        <v>#REF!</v>
      </c>
      <c r="AV907" s="11" t="e">
        <f>IF(Data!#REF!="","",IF(Data!$G907="",1,IF(ISNUMBER(MATCH(Data!#REF!,Data_Val!$D$2:$D$10,0)),0,1)))</f>
        <v>#REF!</v>
      </c>
      <c r="AW907" s="12"/>
      <c r="AX907" s="26" t="e">
        <f ca="1">IF(Data!#REF!="","",IF(ISNUMBER(Data!#REF!),IF(AND(Data!#REF!&gt;(TODAY()-(Data_Val!$I$3*365.25)),Data!#REF!&lt;=(TODAY()-(Data_Val!$I$2*365.25))),0,1),1))</f>
        <v>#REF!</v>
      </c>
      <c r="AY907" s="12" t="e">
        <f>IF(Data!#REF!="","",IF(Data!$G907="",1,IF(ISNUMBER(MATCH(Data!#REF!,Data_Val!$D$2:$D$10,0)),0,1)))</f>
        <v>#REF!</v>
      </c>
      <c r="AZ907" s="11"/>
      <c r="BA907" s="19" t="e">
        <f ca="1">IF(Data!#REF!="","",IF(ISNUMBER(Data!#REF!),IF(AND(Data!#REF!&gt;(TODAY()-(Data_Val!$M$3*365.25)),Data!#REF!&lt;=(TODAY()-(Data_Val!$M$2*365.25))),0,1),1))</f>
        <v>#REF!</v>
      </c>
      <c r="BB907" s="11" t="e">
        <f>IF(Data!#REF!="","",IF(Data!$G907="",1,IF(ISNUMBER(MATCH(Data!#REF!,Data_Val!$D$2:$D$10,0)),0,1)))</f>
        <v>#REF!</v>
      </c>
      <c r="BC907" s="12"/>
      <c r="BD907" s="20" t="e">
        <f ca="1">IF(Data!#REF!="","",IF(ISNUMBER(Data!#REF!),IF(AND(Data!#REF!&gt;(TODAY()-(Data_Val!$M$3*365.25)),Data!#REF!&lt;=(TODAY()-(Data_Val!$M$2*365.25))),0,1),1))</f>
        <v>#REF!</v>
      </c>
      <c r="BE907" s="12" t="e">
        <f>IF(Data!#REF!="","",IF(Data!$G907="",1,IF(ISNUMBER(MATCH(Data!#REF!,Data_Val!$D$2:$D$10,0)),0,1)))</f>
        <v>#REF!</v>
      </c>
      <c r="BF907" s="17"/>
      <c r="BG907" s="18" t="e">
        <f ca="1">IF(Data!#REF!="","",IF(ISNUMBER(Data!#REF!),IF(AND(Data!#REF!&gt;(TODAY()-(Data_Val!$M$3*365.25)),Data!#REF!&lt;=(TODAY()-(Data_Val!$M$2*365.25))),0,1),1))</f>
        <v>#REF!</v>
      </c>
      <c r="BH907" s="29" t="e">
        <f>IF(Data!#REF!="","",IF(Data!$G907="",1,IF(ISNUMBER(MATCH(Data!#REF!,Data_Val!$D$2:$D$10,0)),0,1)))</f>
        <v>#REF!</v>
      </c>
      <c r="BI907" s="13"/>
      <c r="BJ907" s="21" t="e">
        <f ca="1">IF(Data!#REF!="","",IF(ISNUMBER(Data!#REF!),IF(AND(Data!#REF!&gt;(TODAY()-(Data_Val!$M$3*365.25)),Data!#REF!&lt;=(TODAY()-(Data_Val!$M$2*365.25))),0,1),1))</f>
        <v>#REF!</v>
      </c>
      <c r="BK907" s="13" t="e">
        <f>IF(Data!#REF!="","",IF(Data!$G907="",1,IF(ISNUMBER(MATCH(Data!#REF!,Data_Val!$D$2:$D$10,0)),0,1)))</f>
        <v>#REF!</v>
      </c>
    </row>
    <row r="908" spans="1:63" x14ac:dyDescent="0.25">
      <c r="A908" s="9" t="str">
        <f>IF(Data!B908="","",IF(COUNTIFS(Data!A$1:'Data'!A908,Data!A908)&lt;=1,0,1))</f>
        <v/>
      </c>
      <c r="B908" s="9"/>
      <c r="C908" s="23" t="str">
        <f>IF(Data!C908="","",(IF(ISNUMBER(MATCH("*@*.?*",Data!C908,0)),0,1)+IF(COUNTIFS(Data!C$1:'Data'!C908,Data!C908)&gt;1,1,0)))</f>
        <v/>
      </c>
      <c r="D908" s="9" t="str">
        <f>IF(Data!B908="","",IF(ISNUMBER(Data!D908),IF(AND(Data!D908&gt;999999999,Data!D908&lt;=9999999999),IF(COUNTIFS(Data!D$1:'Data'!D908,Data!D908)&lt;=1,0,1),1),1))</f>
        <v/>
      </c>
      <c r="E908" s="9" t="str">
        <f>IF(Data!B908="","",IF(ISNUMBER(MATCH(Data!E908,Data_Val!$A$2:$A$3,0)),0,1))</f>
        <v/>
      </c>
      <c r="F908" s="9" t="str">
        <f ca="1">IF(Data!B908="","",IF(ISNUMBER(Data!F908),IF(AND(Data!F908&gt;(TODAY()-(Data_Val!$H$3*365.25)),Data!F908&lt;=(TODAY()-(Data_Val!$H$2*365.25))),0,1),1))</f>
        <v/>
      </c>
      <c r="G908" s="15" t="str">
        <f>IF(Data!B908="","",IF(AND(Data!G908="",Data!H908&lt;&gt;""),1,IF(Data!#REF!&lt;&gt;"",0,IF(ISNUMBER(MATCH(Data!G908,Data_Val!$C$2:$C$5,0)),0,1))))</f>
        <v/>
      </c>
      <c r="H908" s="15" t="str">
        <f>IF(Data!B908="","",IF(AND(Data!G908&lt;&gt;"",Data!H908=""),1,IF(Data!#REF!&lt;&gt;"",0,IF(Data!G908="",1,IF(ISNUMBER(MATCH(Data!H908,Data_Val!$D$2:$D$35,0)),0,1)))))</f>
        <v/>
      </c>
      <c r="I908" s="15" t="str">
        <f>IF(Data!B908="","",IF(Data!G908&lt;&gt;"",0,IF(ISNUMBER(MATCH(Data!#REF!,Data_Val!$E$2:$E$12,0)),0,1)))</f>
        <v/>
      </c>
      <c r="J908" s="16" t="e">
        <f>IF(OR(Data!B908="",Data!#REF!=""),"",IF(Data!#REF!="",1,0))</f>
        <v>#REF!</v>
      </c>
      <c r="K908" s="16" t="e">
        <f>IF(OR(Data!B908="",Data!#REF!=""),"",IF(Data!#REF!="",1,0))</f>
        <v>#REF!</v>
      </c>
      <c r="L908" s="16" t="e">
        <f>IF(OR(Data!B908="",Data!#REF!=""),"",IF(ISNUMBER(Data!#REF!),IF(AND(Data!#REF!&gt;Data_Val!$G$2,Data!#REF!&lt;=Data_Val!$G$3),0,1),1))</f>
        <v>#REF!</v>
      </c>
      <c r="M908" s="9" t="e">
        <f>IF(OR(Data!B908="",Data!#REF!=""),"",IF(ISNUMBER(MATCH(Data!#REF!,Data_Val!$F$1:$F$38,0)),0,1))</f>
        <v>#REF!</v>
      </c>
      <c r="N908" s="9" t="e">
        <f>IF(OR(Data!B908="",Data!#REF!=""),"",IF(Data!#REF!="",1,0))</f>
        <v>#REF!</v>
      </c>
      <c r="O908" s="17" t="e">
        <f>IF(Data!#REF!="","",IF(Data!#REF!="",1,0))</f>
        <v>#REF!</v>
      </c>
      <c r="P908" s="17" t="e">
        <f>IF(Data!#REF!="","",IF(ISNUMBER(MATCH(Data!#REF!,Data_Val!$A$2:$A$3,0)),0,1))</f>
        <v>#REF!</v>
      </c>
      <c r="Q908" s="25" t="e">
        <f ca="1">IF(Data!#REF!="","",IF(ISNUMBER(Data!#REF!),IF(AND(Data!#REF!&gt;(TODAY()-(Data_Val!$J$3*365.25)),Data!#REF!&lt;=(TODAY()-(Data_Val!$J$2*365.25))),0,1),1))</f>
        <v>#REF!</v>
      </c>
      <c r="R908" s="17" t="e">
        <f>IF(Data!#REF!="","",IF(ISNUMBER(MATCH(Data!#REF!,Data_Val!$B$2:$B$15,0)),0,1))</f>
        <v>#REF!</v>
      </c>
      <c r="S908" s="11" t="str">
        <f>IF(Data!G908="","",IF(Data!G908=Data_Val!$C$2,IF(Data!M908="",0,1),0))</f>
        <v/>
      </c>
      <c r="T908" s="11" t="str">
        <f>IF(Data!M908="","",IF(ISNUMBER(MATCH(Data!N908,Data_Val!$A$2:$A$3,0)),0,1))</f>
        <v/>
      </c>
      <c r="U908" s="11" t="str">
        <f ca="1">IF(Data!M908="","",IF(ISNUMBER(Data!O908),IF(AND(Data!O908&gt;(TODAY()-(Data_Val!$K$3*365.25)),Data!O908&lt;=(TODAY()-(Data_Val!$K$2*365.25))),0,1),1))</f>
        <v/>
      </c>
      <c r="V908" s="12" t="str">
        <f>IF(Data!G908="","",IF(Data!G908=Data_Val!$C$2,IF(Data!P908="",0,1),0))</f>
        <v/>
      </c>
      <c r="W908" s="12" t="str">
        <f>IF(Data!P908="","",IF(ISNUMBER(MATCH(Data!Q908,Data_Val!$A$2:$A$3,0)),0,1))</f>
        <v/>
      </c>
      <c r="X908" s="26" t="str">
        <f ca="1">IF(Data!P908="","",IF(ISNUMBER(Data!R908),IF(AND(Data!R908&gt;(TODAY()-(Data_Val!$L$3*365.25)),Data!R908&lt;=(TODAY()-(Data_Val!$L$2*365.25))),0,1),1))</f>
        <v/>
      </c>
      <c r="Y908" s="13" t="str">
        <f>IF(Data!$G908="","",IF(Data!$G908=Data_Val!$C$2,IF(Data!S908="",0,1),0))</f>
        <v/>
      </c>
      <c r="Z908" s="13" t="str">
        <f>IF(Data!S908="","",IF(ISNUMBER(MATCH(Data!T908,Data_Val!$A$2:$A$3,0)),0,1))</f>
        <v/>
      </c>
      <c r="AA908" s="28" t="str">
        <f ca="1">IF(Data!S908="","",IF(ISNUMBER(Data!U908),IF(AND(Data!U908&gt;(TODAY()-(Data_Val!$L$3*365.25)),Data!U908&lt;=(TODAY()-(Data_Val!$L$2*365.25))),0,1),1))</f>
        <v/>
      </c>
      <c r="AB908" s="11"/>
      <c r="AC908" s="11" t="e">
        <f>IF(Data!#REF!="","",IF(ISNUMBER(MATCH(Data!#REF!,Data_Val!$A$2:$A$3,0)),0,1))</f>
        <v>#REF!</v>
      </c>
      <c r="AD908" s="11" t="e">
        <f ca="1">IF(Data!#REF!="","",IF(ISNUMBER(Data!#REF!),IF(AND(Data!#REF!&gt;(TODAY()-(Data_Val!$L$3*365.25)),Data!#REF!&lt;=(TODAY()-(Data_Val!$L$2*365.25))),0,1),1))</f>
        <v>#REF!</v>
      </c>
      <c r="AE908" s="11" t="e">
        <f>IF(Data!#REF!="","",IF(Data!$G908="",1,IF(ISNUMBER(MATCH(Data!#REF!,Data_Val!$D$2:$D$10,0)),0,1)))</f>
        <v>#REF!</v>
      </c>
      <c r="AF908" s="12"/>
      <c r="AG908" s="12" t="e">
        <f>IF(Data!#REF!="","",IF(ISNUMBER(MATCH(Data!#REF!,Data_Val!$A$2:$A$3,0)),0,1))</f>
        <v>#REF!</v>
      </c>
      <c r="AH908" s="26" t="e">
        <f ca="1">IF(Data!#REF!="","",IF(ISNUMBER(Data!#REF!),IF(AND(Data!#REF!&gt;(TODAY()-(Data_Val!$L$3*365.25)),Data!#REF!&lt;=(TODAY()-(Data_Val!$L$2*365.25))),0,1),1))</f>
        <v>#REF!</v>
      </c>
      <c r="AI908" s="12" t="e">
        <f>IF(Data!#REF!="","",IF(Data!$G908="",1,IF(ISNUMBER(MATCH(Data!#REF!,Data_Val!$D$2:$D$10,0)),0,1)))</f>
        <v>#REF!</v>
      </c>
      <c r="AJ908" s="17"/>
      <c r="AK908" s="17" t="e">
        <f>IF(Data!#REF!="","",IF(ISNUMBER(MATCH(Data!#REF!,Data_Val!$A$2:$A$3,0)),0,1))</f>
        <v>#REF!</v>
      </c>
      <c r="AL908" s="25" t="e">
        <f ca="1">IF(Data!#REF!="","",IF(ISNUMBER(Data!#REF!),IF(AND(Data!#REF!&gt;(TODAY()-(Data_Val!$L$3*365.25)),Data!#REF!&lt;=(TODAY()-(Data_Val!$L$2*365.25))),0,1),1))</f>
        <v>#REF!</v>
      </c>
      <c r="AM908" s="17" t="e">
        <f>IF(Data!#REF!="","",IF(Data!$G908="",1,IF(ISNUMBER(MATCH(Data!#REF!,Data_Val!$D$2:$D$10,0)),0,1)))</f>
        <v>#REF!</v>
      </c>
      <c r="AN908" s="13"/>
      <c r="AO908" s="28" t="e">
        <f ca="1">IF(Data!#REF!="","",IF(ISNUMBER(Data!#REF!),IF(AND(Data!#REF!&gt;(TODAY()-(Data_Val!$I$3*365.25)),Data!#REF!&lt;=(TODAY()-(Data_Val!$I$2*365.25))),0,1),1))</f>
        <v>#REF!</v>
      </c>
      <c r="AP908" s="13" t="e">
        <f>IF(Data!#REF!="","",IF(Data!$G908="",1,IF(ISNUMBER(MATCH(Data!#REF!,Data_Val!$D$2:$D$10,0)),0,1)))</f>
        <v>#REF!</v>
      </c>
      <c r="AQ908" s="17"/>
      <c r="AR908" s="30" t="e">
        <f ca="1">IF(Data!#REF!="","",IF(ISNUMBER(Data!#REF!),IF(AND(Data!#REF!&gt;(TODAY()-(Data_Val!$I$3*365.25)),Data!#REF!&lt;=(TODAY()-(Data_Val!$I$2*365.25))),0,1),1))</f>
        <v>#REF!</v>
      </c>
      <c r="AS908" s="31" t="e">
        <f>IF(Data!#REF!="","",IF(Data!$G908="",1,IF(ISNUMBER(MATCH(Data!#REF!,Data_Val!$D$2:$D$10,0)),0,1)))</f>
        <v>#REF!</v>
      </c>
      <c r="AT908" s="11"/>
      <c r="AU908" s="11" t="e">
        <f ca="1">IF(Data!#REF!="","",IF(ISNUMBER(Data!#REF!),IF(AND(Data!#REF!&gt;(TODAY()-(Data_Val!$I$3*365.25)),Data!#REF!&lt;=(TODAY()-(Data_Val!$I$2*365.25))),0,1),1))</f>
        <v>#REF!</v>
      </c>
      <c r="AV908" s="11" t="e">
        <f>IF(Data!#REF!="","",IF(Data!$G908="",1,IF(ISNUMBER(MATCH(Data!#REF!,Data_Val!$D$2:$D$10,0)),0,1)))</f>
        <v>#REF!</v>
      </c>
      <c r="AW908" s="12"/>
      <c r="AX908" s="26" t="e">
        <f ca="1">IF(Data!#REF!="","",IF(ISNUMBER(Data!#REF!),IF(AND(Data!#REF!&gt;(TODAY()-(Data_Val!$I$3*365.25)),Data!#REF!&lt;=(TODAY()-(Data_Val!$I$2*365.25))),0,1),1))</f>
        <v>#REF!</v>
      </c>
      <c r="AY908" s="12" t="e">
        <f>IF(Data!#REF!="","",IF(Data!$G908="",1,IF(ISNUMBER(MATCH(Data!#REF!,Data_Val!$D$2:$D$10,0)),0,1)))</f>
        <v>#REF!</v>
      </c>
      <c r="AZ908" s="11"/>
      <c r="BA908" s="19" t="e">
        <f ca="1">IF(Data!#REF!="","",IF(ISNUMBER(Data!#REF!),IF(AND(Data!#REF!&gt;(TODAY()-(Data_Val!$M$3*365.25)),Data!#REF!&lt;=(TODAY()-(Data_Val!$M$2*365.25))),0,1),1))</f>
        <v>#REF!</v>
      </c>
      <c r="BB908" s="11" t="e">
        <f>IF(Data!#REF!="","",IF(Data!$G908="",1,IF(ISNUMBER(MATCH(Data!#REF!,Data_Val!$D$2:$D$10,0)),0,1)))</f>
        <v>#REF!</v>
      </c>
      <c r="BC908" s="12"/>
      <c r="BD908" s="20" t="e">
        <f ca="1">IF(Data!#REF!="","",IF(ISNUMBER(Data!#REF!),IF(AND(Data!#REF!&gt;(TODAY()-(Data_Val!$M$3*365.25)),Data!#REF!&lt;=(TODAY()-(Data_Val!$M$2*365.25))),0,1),1))</f>
        <v>#REF!</v>
      </c>
      <c r="BE908" s="12" t="e">
        <f>IF(Data!#REF!="","",IF(Data!$G908="",1,IF(ISNUMBER(MATCH(Data!#REF!,Data_Val!$D$2:$D$10,0)),0,1)))</f>
        <v>#REF!</v>
      </c>
      <c r="BF908" s="17"/>
      <c r="BG908" s="18" t="e">
        <f ca="1">IF(Data!#REF!="","",IF(ISNUMBER(Data!#REF!),IF(AND(Data!#REF!&gt;(TODAY()-(Data_Val!$M$3*365.25)),Data!#REF!&lt;=(TODAY()-(Data_Val!$M$2*365.25))),0,1),1))</f>
        <v>#REF!</v>
      </c>
      <c r="BH908" s="29" t="e">
        <f>IF(Data!#REF!="","",IF(Data!$G908="",1,IF(ISNUMBER(MATCH(Data!#REF!,Data_Val!$D$2:$D$10,0)),0,1)))</f>
        <v>#REF!</v>
      </c>
      <c r="BI908" s="13"/>
      <c r="BJ908" s="21" t="e">
        <f ca="1">IF(Data!#REF!="","",IF(ISNUMBER(Data!#REF!),IF(AND(Data!#REF!&gt;(TODAY()-(Data_Val!$M$3*365.25)),Data!#REF!&lt;=(TODAY()-(Data_Val!$M$2*365.25))),0,1),1))</f>
        <v>#REF!</v>
      </c>
      <c r="BK908" s="13" t="e">
        <f>IF(Data!#REF!="","",IF(Data!$G908="",1,IF(ISNUMBER(MATCH(Data!#REF!,Data_Val!$D$2:$D$10,0)),0,1)))</f>
        <v>#REF!</v>
      </c>
    </row>
    <row r="909" spans="1:63" x14ac:dyDescent="0.25">
      <c r="A909" s="9" t="str">
        <f>IF(Data!B909="","",IF(COUNTIFS(Data!A$1:'Data'!A909,Data!A909)&lt;=1,0,1))</f>
        <v/>
      </c>
      <c r="B909" s="9"/>
      <c r="C909" s="23" t="str">
        <f>IF(Data!C909="","",(IF(ISNUMBER(MATCH("*@*.?*",Data!C909,0)),0,1)+IF(COUNTIFS(Data!C$1:'Data'!C909,Data!C909)&gt;1,1,0)))</f>
        <v/>
      </c>
      <c r="D909" s="9" t="str">
        <f>IF(Data!B909="","",IF(ISNUMBER(Data!D909),IF(AND(Data!D909&gt;999999999,Data!D909&lt;=9999999999),IF(COUNTIFS(Data!D$1:'Data'!D909,Data!D909)&lt;=1,0,1),1),1))</f>
        <v/>
      </c>
      <c r="E909" s="9" t="str">
        <f>IF(Data!B909="","",IF(ISNUMBER(MATCH(Data!E909,Data_Val!$A$2:$A$3,0)),0,1))</f>
        <v/>
      </c>
      <c r="F909" s="9" t="str">
        <f ca="1">IF(Data!B909="","",IF(ISNUMBER(Data!F909),IF(AND(Data!F909&gt;(TODAY()-(Data_Val!$H$3*365.25)),Data!F909&lt;=(TODAY()-(Data_Val!$H$2*365.25))),0,1),1))</f>
        <v/>
      </c>
      <c r="G909" s="15" t="str">
        <f>IF(Data!B909="","",IF(AND(Data!G909="",Data!H909&lt;&gt;""),1,IF(Data!#REF!&lt;&gt;"",0,IF(ISNUMBER(MATCH(Data!G909,Data_Val!$C$2:$C$5,0)),0,1))))</f>
        <v/>
      </c>
      <c r="H909" s="15" t="str">
        <f>IF(Data!B909="","",IF(AND(Data!G909&lt;&gt;"",Data!H909=""),1,IF(Data!#REF!&lt;&gt;"",0,IF(Data!G909="",1,IF(ISNUMBER(MATCH(Data!H909,Data_Val!$D$2:$D$35,0)),0,1)))))</f>
        <v/>
      </c>
      <c r="I909" s="15" t="str">
        <f>IF(Data!B909="","",IF(Data!G909&lt;&gt;"",0,IF(ISNUMBER(MATCH(Data!#REF!,Data_Val!$E$2:$E$12,0)),0,1)))</f>
        <v/>
      </c>
      <c r="J909" s="16" t="e">
        <f>IF(OR(Data!B909="",Data!#REF!=""),"",IF(Data!#REF!="",1,0))</f>
        <v>#REF!</v>
      </c>
      <c r="K909" s="16" t="e">
        <f>IF(OR(Data!B909="",Data!#REF!=""),"",IF(Data!#REF!="",1,0))</f>
        <v>#REF!</v>
      </c>
      <c r="L909" s="16" t="e">
        <f>IF(OR(Data!B909="",Data!#REF!=""),"",IF(ISNUMBER(Data!#REF!),IF(AND(Data!#REF!&gt;Data_Val!$G$2,Data!#REF!&lt;=Data_Val!$G$3),0,1),1))</f>
        <v>#REF!</v>
      </c>
      <c r="M909" s="9" t="e">
        <f>IF(OR(Data!B909="",Data!#REF!=""),"",IF(ISNUMBER(MATCH(Data!#REF!,Data_Val!$F$1:$F$38,0)),0,1))</f>
        <v>#REF!</v>
      </c>
      <c r="N909" s="9" t="e">
        <f>IF(OR(Data!B909="",Data!#REF!=""),"",IF(Data!#REF!="",1,0))</f>
        <v>#REF!</v>
      </c>
      <c r="O909" s="17" t="e">
        <f>IF(Data!#REF!="","",IF(Data!#REF!="",1,0))</f>
        <v>#REF!</v>
      </c>
      <c r="P909" s="17" t="e">
        <f>IF(Data!#REF!="","",IF(ISNUMBER(MATCH(Data!#REF!,Data_Val!$A$2:$A$3,0)),0,1))</f>
        <v>#REF!</v>
      </c>
      <c r="Q909" s="25" t="e">
        <f ca="1">IF(Data!#REF!="","",IF(ISNUMBER(Data!#REF!),IF(AND(Data!#REF!&gt;(TODAY()-(Data_Val!$J$3*365.25)),Data!#REF!&lt;=(TODAY()-(Data_Val!$J$2*365.25))),0,1),1))</f>
        <v>#REF!</v>
      </c>
      <c r="R909" s="17" t="e">
        <f>IF(Data!#REF!="","",IF(ISNUMBER(MATCH(Data!#REF!,Data_Val!$B$2:$B$15,0)),0,1))</f>
        <v>#REF!</v>
      </c>
      <c r="S909" s="11" t="str">
        <f>IF(Data!G909="","",IF(Data!G909=Data_Val!$C$2,IF(Data!M909="",0,1),0))</f>
        <v/>
      </c>
      <c r="T909" s="11" t="str">
        <f>IF(Data!M909="","",IF(ISNUMBER(MATCH(Data!N909,Data_Val!$A$2:$A$3,0)),0,1))</f>
        <v/>
      </c>
      <c r="U909" s="11" t="str">
        <f ca="1">IF(Data!M909="","",IF(ISNUMBER(Data!O909),IF(AND(Data!O909&gt;(TODAY()-(Data_Val!$K$3*365.25)),Data!O909&lt;=(TODAY()-(Data_Val!$K$2*365.25))),0,1),1))</f>
        <v/>
      </c>
      <c r="V909" s="12" t="str">
        <f>IF(Data!G909="","",IF(Data!G909=Data_Val!$C$2,IF(Data!P909="",0,1),0))</f>
        <v/>
      </c>
      <c r="W909" s="12" t="str">
        <f>IF(Data!P909="","",IF(ISNUMBER(MATCH(Data!Q909,Data_Val!$A$2:$A$3,0)),0,1))</f>
        <v/>
      </c>
      <c r="X909" s="26" t="str">
        <f ca="1">IF(Data!P909="","",IF(ISNUMBER(Data!R909),IF(AND(Data!R909&gt;(TODAY()-(Data_Val!$L$3*365.25)),Data!R909&lt;=(TODAY()-(Data_Val!$L$2*365.25))),0,1),1))</f>
        <v/>
      </c>
      <c r="Y909" s="13" t="str">
        <f>IF(Data!$G909="","",IF(Data!$G909=Data_Val!$C$2,IF(Data!S909="",0,1),0))</f>
        <v/>
      </c>
      <c r="Z909" s="13" t="str">
        <f>IF(Data!S909="","",IF(ISNUMBER(MATCH(Data!T909,Data_Val!$A$2:$A$3,0)),0,1))</f>
        <v/>
      </c>
      <c r="AA909" s="28" t="str">
        <f ca="1">IF(Data!S909="","",IF(ISNUMBER(Data!U909),IF(AND(Data!U909&gt;(TODAY()-(Data_Val!$L$3*365.25)),Data!U909&lt;=(TODAY()-(Data_Val!$L$2*365.25))),0,1),1))</f>
        <v/>
      </c>
      <c r="AB909" s="11"/>
      <c r="AC909" s="11" t="e">
        <f>IF(Data!#REF!="","",IF(ISNUMBER(MATCH(Data!#REF!,Data_Val!$A$2:$A$3,0)),0,1))</f>
        <v>#REF!</v>
      </c>
      <c r="AD909" s="11" t="e">
        <f ca="1">IF(Data!#REF!="","",IF(ISNUMBER(Data!#REF!),IF(AND(Data!#REF!&gt;(TODAY()-(Data_Val!$L$3*365.25)),Data!#REF!&lt;=(TODAY()-(Data_Val!$L$2*365.25))),0,1),1))</f>
        <v>#REF!</v>
      </c>
      <c r="AE909" s="11" t="e">
        <f>IF(Data!#REF!="","",IF(Data!$G909="",1,IF(ISNUMBER(MATCH(Data!#REF!,Data_Val!$D$2:$D$10,0)),0,1)))</f>
        <v>#REF!</v>
      </c>
      <c r="AF909" s="12"/>
      <c r="AG909" s="12" t="e">
        <f>IF(Data!#REF!="","",IF(ISNUMBER(MATCH(Data!#REF!,Data_Val!$A$2:$A$3,0)),0,1))</f>
        <v>#REF!</v>
      </c>
      <c r="AH909" s="26" t="e">
        <f ca="1">IF(Data!#REF!="","",IF(ISNUMBER(Data!#REF!),IF(AND(Data!#REF!&gt;(TODAY()-(Data_Val!$L$3*365.25)),Data!#REF!&lt;=(TODAY()-(Data_Val!$L$2*365.25))),0,1),1))</f>
        <v>#REF!</v>
      </c>
      <c r="AI909" s="12" t="e">
        <f>IF(Data!#REF!="","",IF(Data!$G909="",1,IF(ISNUMBER(MATCH(Data!#REF!,Data_Val!$D$2:$D$10,0)),0,1)))</f>
        <v>#REF!</v>
      </c>
      <c r="AJ909" s="17"/>
      <c r="AK909" s="17" t="e">
        <f>IF(Data!#REF!="","",IF(ISNUMBER(MATCH(Data!#REF!,Data_Val!$A$2:$A$3,0)),0,1))</f>
        <v>#REF!</v>
      </c>
      <c r="AL909" s="25" t="e">
        <f ca="1">IF(Data!#REF!="","",IF(ISNUMBER(Data!#REF!),IF(AND(Data!#REF!&gt;(TODAY()-(Data_Val!$L$3*365.25)),Data!#REF!&lt;=(TODAY()-(Data_Val!$L$2*365.25))),0,1),1))</f>
        <v>#REF!</v>
      </c>
      <c r="AM909" s="17" t="e">
        <f>IF(Data!#REF!="","",IF(Data!$G909="",1,IF(ISNUMBER(MATCH(Data!#REF!,Data_Val!$D$2:$D$10,0)),0,1)))</f>
        <v>#REF!</v>
      </c>
      <c r="AN909" s="13"/>
      <c r="AO909" s="28" t="e">
        <f ca="1">IF(Data!#REF!="","",IF(ISNUMBER(Data!#REF!),IF(AND(Data!#REF!&gt;(TODAY()-(Data_Val!$I$3*365.25)),Data!#REF!&lt;=(TODAY()-(Data_Val!$I$2*365.25))),0,1),1))</f>
        <v>#REF!</v>
      </c>
      <c r="AP909" s="13" t="e">
        <f>IF(Data!#REF!="","",IF(Data!$G909="",1,IF(ISNUMBER(MATCH(Data!#REF!,Data_Val!$D$2:$D$10,0)),0,1)))</f>
        <v>#REF!</v>
      </c>
      <c r="AQ909" s="17"/>
      <c r="AR909" s="30" t="e">
        <f ca="1">IF(Data!#REF!="","",IF(ISNUMBER(Data!#REF!),IF(AND(Data!#REF!&gt;(TODAY()-(Data_Val!$I$3*365.25)),Data!#REF!&lt;=(TODAY()-(Data_Val!$I$2*365.25))),0,1),1))</f>
        <v>#REF!</v>
      </c>
      <c r="AS909" s="31" t="e">
        <f>IF(Data!#REF!="","",IF(Data!$G909="",1,IF(ISNUMBER(MATCH(Data!#REF!,Data_Val!$D$2:$D$10,0)),0,1)))</f>
        <v>#REF!</v>
      </c>
      <c r="AT909" s="11"/>
      <c r="AU909" s="11" t="e">
        <f ca="1">IF(Data!#REF!="","",IF(ISNUMBER(Data!#REF!),IF(AND(Data!#REF!&gt;(TODAY()-(Data_Val!$I$3*365.25)),Data!#REF!&lt;=(TODAY()-(Data_Val!$I$2*365.25))),0,1),1))</f>
        <v>#REF!</v>
      </c>
      <c r="AV909" s="11" t="e">
        <f>IF(Data!#REF!="","",IF(Data!$G909="",1,IF(ISNUMBER(MATCH(Data!#REF!,Data_Val!$D$2:$D$10,0)),0,1)))</f>
        <v>#REF!</v>
      </c>
      <c r="AW909" s="12"/>
      <c r="AX909" s="26" t="e">
        <f ca="1">IF(Data!#REF!="","",IF(ISNUMBER(Data!#REF!),IF(AND(Data!#REF!&gt;(TODAY()-(Data_Val!$I$3*365.25)),Data!#REF!&lt;=(TODAY()-(Data_Val!$I$2*365.25))),0,1),1))</f>
        <v>#REF!</v>
      </c>
      <c r="AY909" s="12" t="e">
        <f>IF(Data!#REF!="","",IF(Data!$G909="",1,IF(ISNUMBER(MATCH(Data!#REF!,Data_Val!$D$2:$D$10,0)),0,1)))</f>
        <v>#REF!</v>
      </c>
      <c r="AZ909" s="11"/>
      <c r="BA909" s="19" t="e">
        <f ca="1">IF(Data!#REF!="","",IF(ISNUMBER(Data!#REF!),IF(AND(Data!#REF!&gt;(TODAY()-(Data_Val!$M$3*365.25)),Data!#REF!&lt;=(TODAY()-(Data_Val!$M$2*365.25))),0,1),1))</f>
        <v>#REF!</v>
      </c>
      <c r="BB909" s="11" t="e">
        <f>IF(Data!#REF!="","",IF(Data!$G909="",1,IF(ISNUMBER(MATCH(Data!#REF!,Data_Val!$D$2:$D$10,0)),0,1)))</f>
        <v>#REF!</v>
      </c>
      <c r="BC909" s="12"/>
      <c r="BD909" s="20" t="e">
        <f ca="1">IF(Data!#REF!="","",IF(ISNUMBER(Data!#REF!),IF(AND(Data!#REF!&gt;(TODAY()-(Data_Val!$M$3*365.25)),Data!#REF!&lt;=(TODAY()-(Data_Val!$M$2*365.25))),0,1),1))</f>
        <v>#REF!</v>
      </c>
      <c r="BE909" s="12" t="e">
        <f>IF(Data!#REF!="","",IF(Data!$G909="",1,IF(ISNUMBER(MATCH(Data!#REF!,Data_Val!$D$2:$D$10,0)),0,1)))</f>
        <v>#REF!</v>
      </c>
      <c r="BF909" s="17"/>
      <c r="BG909" s="18" t="e">
        <f ca="1">IF(Data!#REF!="","",IF(ISNUMBER(Data!#REF!),IF(AND(Data!#REF!&gt;(TODAY()-(Data_Val!$M$3*365.25)),Data!#REF!&lt;=(TODAY()-(Data_Val!$M$2*365.25))),0,1),1))</f>
        <v>#REF!</v>
      </c>
      <c r="BH909" s="29" t="e">
        <f>IF(Data!#REF!="","",IF(Data!$G909="",1,IF(ISNUMBER(MATCH(Data!#REF!,Data_Val!$D$2:$D$10,0)),0,1)))</f>
        <v>#REF!</v>
      </c>
      <c r="BI909" s="13"/>
      <c r="BJ909" s="21" t="e">
        <f ca="1">IF(Data!#REF!="","",IF(ISNUMBER(Data!#REF!),IF(AND(Data!#REF!&gt;(TODAY()-(Data_Val!$M$3*365.25)),Data!#REF!&lt;=(TODAY()-(Data_Val!$M$2*365.25))),0,1),1))</f>
        <v>#REF!</v>
      </c>
      <c r="BK909" s="13" t="e">
        <f>IF(Data!#REF!="","",IF(Data!$G909="",1,IF(ISNUMBER(MATCH(Data!#REF!,Data_Val!$D$2:$D$10,0)),0,1)))</f>
        <v>#REF!</v>
      </c>
    </row>
    <row r="910" spans="1:63" x14ac:dyDescent="0.25">
      <c r="A910" s="9" t="str">
        <f>IF(Data!B910="","",IF(COUNTIFS(Data!A$1:'Data'!A910,Data!A910)&lt;=1,0,1))</f>
        <v/>
      </c>
      <c r="B910" s="9"/>
      <c r="C910" s="23" t="str">
        <f>IF(Data!C910="","",(IF(ISNUMBER(MATCH("*@*.?*",Data!C910,0)),0,1)+IF(COUNTIFS(Data!C$1:'Data'!C910,Data!C910)&gt;1,1,0)))</f>
        <v/>
      </c>
      <c r="D910" s="9" t="str">
        <f>IF(Data!B910="","",IF(ISNUMBER(Data!D910),IF(AND(Data!D910&gt;999999999,Data!D910&lt;=9999999999),IF(COUNTIFS(Data!D$1:'Data'!D910,Data!D910)&lt;=1,0,1),1),1))</f>
        <v/>
      </c>
      <c r="E910" s="9" t="str">
        <f>IF(Data!B910="","",IF(ISNUMBER(MATCH(Data!E910,Data_Val!$A$2:$A$3,0)),0,1))</f>
        <v/>
      </c>
      <c r="F910" s="9" t="str">
        <f ca="1">IF(Data!B910="","",IF(ISNUMBER(Data!F910),IF(AND(Data!F910&gt;(TODAY()-(Data_Val!$H$3*365.25)),Data!F910&lt;=(TODAY()-(Data_Val!$H$2*365.25))),0,1),1))</f>
        <v/>
      </c>
      <c r="G910" s="15" t="str">
        <f>IF(Data!B910="","",IF(AND(Data!G910="",Data!H910&lt;&gt;""),1,IF(Data!#REF!&lt;&gt;"",0,IF(ISNUMBER(MATCH(Data!G910,Data_Val!$C$2:$C$5,0)),0,1))))</f>
        <v/>
      </c>
      <c r="H910" s="15" t="str">
        <f>IF(Data!B910="","",IF(AND(Data!G910&lt;&gt;"",Data!H910=""),1,IF(Data!#REF!&lt;&gt;"",0,IF(Data!G910="",1,IF(ISNUMBER(MATCH(Data!H910,Data_Val!$D$2:$D$35,0)),0,1)))))</f>
        <v/>
      </c>
      <c r="I910" s="15" t="str">
        <f>IF(Data!B910="","",IF(Data!G910&lt;&gt;"",0,IF(ISNUMBER(MATCH(Data!#REF!,Data_Val!$E$2:$E$12,0)),0,1)))</f>
        <v/>
      </c>
      <c r="J910" s="16" t="e">
        <f>IF(OR(Data!B910="",Data!#REF!=""),"",IF(Data!#REF!="",1,0))</f>
        <v>#REF!</v>
      </c>
      <c r="K910" s="16" t="e">
        <f>IF(OR(Data!B910="",Data!#REF!=""),"",IF(Data!#REF!="",1,0))</f>
        <v>#REF!</v>
      </c>
      <c r="L910" s="16" t="e">
        <f>IF(OR(Data!B910="",Data!#REF!=""),"",IF(ISNUMBER(Data!#REF!),IF(AND(Data!#REF!&gt;Data_Val!$G$2,Data!#REF!&lt;=Data_Val!$G$3),0,1),1))</f>
        <v>#REF!</v>
      </c>
      <c r="M910" s="9" t="e">
        <f>IF(OR(Data!B910="",Data!#REF!=""),"",IF(ISNUMBER(MATCH(Data!#REF!,Data_Val!$F$1:$F$38,0)),0,1))</f>
        <v>#REF!</v>
      </c>
      <c r="N910" s="9" t="e">
        <f>IF(OR(Data!B910="",Data!#REF!=""),"",IF(Data!#REF!="",1,0))</f>
        <v>#REF!</v>
      </c>
      <c r="O910" s="17" t="e">
        <f>IF(Data!#REF!="","",IF(Data!#REF!="",1,0))</f>
        <v>#REF!</v>
      </c>
      <c r="P910" s="17" t="e">
        <f>IF(Data!#REF!="","",IF(ISNUMBER(MATCH(Data!#REF!,Data_Val!$A$2:$A$3,0)),0,1))</f>
        <v>#REF!</v>
      </c>
      <c r="Q910" s="25" t="e">
        <f ca="1">IF(Data!#REF!="","",IF(ISNUMBER(Data!#REF!),IF(AND(Data!#REF!&gt;(TODAY()-(Data_Val!$J$3*365.25)),Data!#REF!&lt;=(TODAY()-(Data_Val!$J$2*365.25))),0,1),1))</f>
        <v>#REF!</v>
      </c>
      <c r="R910" s="17" t="e">
        <f>IF(Data!#REF!="","",IF(ISNUMBER(MATCH(Data!#REF!,Data_Val!$B$2:$B$15,0)),0,1))</f>
        <v>#REF!</v>
      </c>
      <c r="S910" s="11" t="str">
        <f>IF(Data!G910="","",IF(Data!G910=Data_Val!$C$2,IF(Data!M910="",0,1),0))</f>
        <v/>
      </c>
      <c r="T910" s="11" t="str">
        <f>IF(Data!M910="","",IF(ISNUMBER(MATCH(Data!N910,Data_Val!$A$2:$A$3,0)),0,1))</f>
        <v/>
      </c>
      <c r="U910" s="11" t="str">
        <f ca="1">IF(Data!M910="","",IF(ISNUMBER(Data!O910),IF(AND(Data!O910&gt;(TODAY()-(Data_Val!$K$3*365.25)),Data!O910&lt;=(TODAY()-(Data_Val!$K$2*365.25))),0,1),1))</f>
        <v/>
      </c>
      <c r="V910" s="12" t="str">
        <f>IF(Data!G910="","",IF(Data!G910=Data_Val!$C$2,IF(Data!P910="",0,1),0))</f>
        <v/>
      </c>
      <c r="W910" s="12" t="str">
        <f>IF(Data!P910="","",IF(ISNUMBER(MATCH(Data!Q910,Data_Val!$A$2:$A$3,0)),0,1))</f>
        <v/>
      </c>
      <c r="X910" s="26" t="str">
        <f ca="1">IF(Data!P910="","",IF(ISNUMBER(Data!R910),IF(AND(Data!R910&gt;(TODAY()-(Data_Val!$L$3*365.25)),Data!R910&lt;=(TODAY()-(Data_Val!$L$2*365.25))),0,1),1))</f>
        <v/>
      </c>
      <c r="Y910" s="13" t="str">
        <f>IF(Data!$G910="","",IF(Data!$G910=Data_Val!$C$2,IF(Data!S910="",0,1),0))</f>
        <v/>
      </c>
      <c r="Z910" s="13" t="str">
        <f>IF(Data!S910="","",IF(ISNUMBER(MATCH(Data!T910,Data_Val!$A$2:$A$3,0)),0,1))</f>
        <v/>
      </c>
      <c r="AA910" s="28" t="str">
        <f ca="1">IF(Data!S910="","",IF(ISNUMBER(Data!U910),IF(AND(Data!U910&gt;(TODAY()-(Data_Val!$L$3*365.25)),Data!U910&lt;=(TODAY()-(Data_Val!$L$2*365.25))),0,1),1))</f>
        <v/>
      </c>
      <c r="AB910" s="11"/>
      <c r="AC910" s="11" t="e">
        <f>IF(Data!#REF!="","",IF(ISNUMBER(MATCH(Data!#REF!,Data_Val!$A$2:$A$3,0)),0,1))</f>
        <v>#REF!</v>
      </c>
      <c r="AD910" s="11" t="e">
        <f ca="1">IF(Data!#REF!="","",IF(ISNUMBER(Data!#REF!),IF(AND(Data!#REF!&gt;(TODAY()-(Data_Val!$L$3*365.25)),Data!#REF!&lt;=(TODAY()-(Data_Val!$L$2*365.25))),0,1),1))</f>
        <v>#REF!</v>
      </c>
      <c r="AE910" s="11" t="e">
        <f>IF(Data!#REF!="","",IF(Data!$G910="",1,IF(ISNUMBER(MATCH(Data!#REF!,Data_Val!$D$2:$D$10,0)),0,1)))</f>
        <v>#REF!</v>
      </c>
      <c r="AF910" s="12"/>
      <c r="AG910" s="12" t="e">
        <f>IF(Data!#REF!="","",IF(ISNUMBER(MATCH(Data!#REF!,Data_Val!$A$2:$A$3,0)),0,1))</f>
        <v>#REF!</v>
      </c>
      <c r="AH910" s="26" t="e">
        <f ca="1">IF(Data!#REF!="","",IF(ISNUMBER(Data!#REF!),IF(AND(Data!#REF!&gt;(TODAY()-(Data_Val!$L$3*365.25)),Data!#REF!&lt;=(TODAY()-(Data_Val!$L$2*365.25))),0,1),1))</f>
        <v>#REF!</v>
      </c>
      <c r="AI910" s="12" t="e">
        <f>IF(Data!#REF!="","",IF(Data!$G910="",1,IF(ISNUMBER(MATCH(Data!#REF!,Data_Val!$D$2:$D$10,0)),0,1)))</f>
        <v>#REF!</v>
      </c>
      <c r="AJ910" s="17"/>
      <c r="AK910" s="17" t="e">
        <f>IF(Data!#REF!="","",IF(ISNUMBER(MATCH(Data!#REF!,Data_Val!$A$2:$A$3,0)),0,1))</f>
        <v>#REF!</v>
      </c>
      <c r="AL910" s="25" t="e">
        <f ca="1">IF(Data!#REF!="","",IF(ISNUMBER(Data!#REF!),IF(AND(Data!#REF!&gt;(TODAY()-(Data_Val!$L$3*365.25)),Data!#REF!&lt;=(TODAY()-(Data_Val!$L$2*365.25))),0,1),1))</f>
        <v>#REF!</v>
      </c>
      <c r="AM910" s="17" t="e">
        <f>IF(Data!#REF!="","",IF(Data!$G910="",1,IF(ISNUMBER(MATCH(Data!#REF!,Data_Val!$D$2:$D$10,0)),0,1)))</f>
        <v>#REF!</v>
      </c>
      <c r="AN910" s="13"/>
      <c r="AO910" s="28" t="e">
        <f ca="1">IF(Data!#REF!="","",IF(ISNUMBER(Data!#REF!),IF(AND(Data!#REF!&gt;(TODAY()-(Data_Val!$I$3*365.25)),Data!#REF!&lt;=(TODAY()-(Data_Val!$I$2*365.25))),0,1),1))</f>
        <v>#REF!</v>
      </c>
      <c r="AP910" s="13" t="e">
        <f>IF(Data!#REF!="","",IF(Data!$G910="",1,IF(ISNUMBER(MATCH(Data!#REF!,Data_Val!$D$2:$D$10,0)),0,1)))</f>
        <v>#REF!</v>
      </c>
      <c r="AQ910" s="17"/>
      <c r="AR910" s="30" t="e">
        <f ca="1">IF(Data!#REF!="","",IF(ISNUMBER(Data!#REF!),IF(AND(Data!#REF!&gt;(TODAY()-(Data_Val!$I$3*365.25)),Data!#REF!&lt;=(TODAY()-(Data_Val!$I$2*365.25))),0,1),1))</f>
        <v>#REF!</v>
      </c>
      <c r="AS910" s="31" t="e">
        <f>IF(Data!#REF!="","",IF(Data!$G910="",1,IF(ISNUMBER(MATCH(Data!#REF!,Data_Val!$D$2:$D$10,0)),0,1)))</f>
        <v>#REF!</v>
      </c>
      <c r="AT910" s="11"/>
      <c r="AU910" s="11" t="e">
        <f ca="1">IF(Data!#REF!="","",IF(ISNUMBER(Data!#REF!),IF(AND(Data!#REF!&gt;(TODAY()-(Data_Val!$I$3*365.25)),Data!#REF!&lt;=(TODAY()-(Data_Val!$I$2*365.25))),0,1),1))</f>
        <v>#REF!</v>
      </c>
      <c r="AV910" s="11" t="e">
        <f>IF(Data!#REF!="","",IF(Data!$G910="",1,IF(ISNUMBER(MATCH(Data!#REF!,Data_Val!$D$2:$D$10,0)),0,1)))</f>
        <v>#REF!</v>
      </c>
      <c r="AW910" s="12"/>
      <c r="AX910" s="26" t="e">
        <f ca="1">IF(Data!#REF!="","",IF(ISNUMBER(Data!#REF!),IF(AND(Data!#REF!&gt;(TODAY()-(Data_Val!$I$3*365.25)),Data!#REF!&lt;=(TODAY()-(Data_Val!$I$2*365.25))),0,1),1))</f>
        <v>#REF!</v>
      </c>
      <c r="AY910" s="12" t="e">
        <f>IF(Data!#REF!="","",IF(Data!$G910="",1,IF(ISNUMBER(MATCH(Data!#REF!,Data_Val!$D$2:$D$10,0)),0,1)))</f>
        <v>#REF!</v>
      </c>
      <c r="AZ910" s="11"/>
      <c r="BA910" s="19" t="e">
        <f ca="1">IF(Data!#REF!="","",IF(ISNUMBER(Data!#REF!),IF(AND(Data!#REF!&gt;(TODAY()-(Data_Val!$M$3*365.25)),Data!#REF!&lt;=(TODAY()-(Data_Val!$M$2*365.25))),0,1),1))</f>
        <v>#REF!</v>
      </c>
      <c r="BB910" s="11" t="e">
        <f>IF(Data!#REF!="","",IF(Data!$G910="",1,IF(ISNUMBER(MATCH(Data!#REF!,Data_Val!$D$2:$D$10,0)),0,1)))</f>
        <v>#REF!</v>
      </c>
      <c r="BC910" s="12"/>
      <c r="BD910" s="20" t="e">
        <f ca="1">IF(Data!#REF!="","",IF(ISNUMBER(Data!#REF!),IF(AND(Data!#REF!&gt;(TODAY()-(Data_Val!$M$3*365.25)),Data!#REF!&lt;=(TODAY()-(Data_Val!$M$2*365.25))),0,1),1))</f>
        <v>#REF!</v>
      </c>
      <c r="BE910" s="12" t="e">
        <f>IF(Data!#REF!="","",IF(Data!$G910="",1,IF(ISNUMBER(MATCH(Data!#REF!,Data_Val!$D$2:$D$10,0)),0,1)))</f>
        <v>#REF!</v>
      </c>
      <c r="BF910" s="17"/>
      <c r="BG910" s="18" t="e">
        <f ca="1">IF(Data!#REF!="","",IF(ISNUMBER(Data!#REF!),IF(AND(Data!#REF!&gt;(TODAY()-(Data_Val!$M$3*365.25)),Data!#REF!&lt;=(TODAY()-(Data_Val!$M$2*365.25))),0,1),1))</f>
        <v>#REF!</v>
      </c>
      <c r="BH910" s="29" t="e">
        <f>IF(Data!#REF!="","",IF(Data!$G910="",1,IF(ISNUMBER(MATCH(Data!#REF!,Data_Val!$D$2:$D$10,0)),0,1)))</f>
        <v>#REF!</v>
      </c>
      <c r="BI910" s="13"/>
      <c r="BJ910" s="21" t="e">
        <f ca="1">IF(Data!#REF!="","",IF(ISNUMBER(Data!#REF!),IF(AND(Data!#REF!&gt;(TODAY()-(Data_Val!$M$3*365.25)),Data!#REF!&lt;=(TODAY()-(Data_Val!$M$2*365.25))),0,1),1))</f>
        <v>#REF!</v>
      </c>
      <c r="BK910" s="13" t="e">
        <f>IF(Data!#REF!="","",IF(Data!$G910="",1,IF(ISNUMBER(MATCH(Data!#REF!,Data_Val!$D$2:$D$10,0)),0,1)))</f>
        <v>#REF!</v>
      </c>
    </row>
    <row r="911" spans="1:63" x14ac:dyDescent="0.25">
      <c r="A911" s="9" t="str">
        <f>IF(Data!B911="","",IF(COUNTIFS(Data!A$1:'Data'!A911,Data!A911)&lt;=1,0,1))</f>
        <v/>
      </c>
      <c r="B911" s="9"/>
      <c r="C911" s="23" t="str">
        <f>IF(Data!C911="","",(IF(ISNUMBER(MATCH("*@*.?*",Data!C911,0)),0,1)+IF(COUNTIFS(Data!C$1:'Data'!C911,Data!C911)&gt;1,1,0)))</f>
        <v/>
      </c>
      <c r="D911" s="9" t="str">
        <f>IF(Data!B911="","",IF(ISNUMBER(Data!D911),IF(AND(Data!D911&gt;999999999,Data!D911&lt;=9999999999),IF(COUNTIFS(Data!D$1:'Data'!D911,Data!D911)&lt;=1,0,1),1),1))</f>
        <v/>
      </c>
      <c r="E911" s="9" t="str">
        <f>IF(Data!B911="","",IF(ISNUMBER(MATCH(Data!E911,Data_Val!$A$2:$A$3,0)),0,1))</f>
        <v/>
      </c>
      <c r="F911" s="9" t="str">
        <f ca="1">IF(Data!B911="","",IF(ISNUMBER(Data!F911),IF(AND(Data!F911&gt;(TODAY()-(Data_Val!$H$3*365.25)),Data!F911&lt;=(TODAY()-(Data_Val!$H$2*365.25))),0,1),1))</f>
        <v/>
      </c>
      <c r="G911" s="15" t="str">
        <f>IF(Data!B911="","",IF(AND(Data!G911="",Data!H911&lt;&gt;""),1,IF(Data!#REF!&lt;&gt;"",0,IF(ISNUMBER(MATCH(Data!G911,Data_Val!$C$2:$C$5,0)),0,1))))</f>
        <v/>
      </c>
      <c r="H911" s="15" t="str">
        <f>IF(Data!B911="","",IF(AND(Data!G911&lt;&gt;"",Data!H911=""),1,IF(Data!#REF!&lt;&gt;"",0,IF(Data!G911="",1,IF(ISNUMBER(MATCH(Data!H911,Data_Val!$D$2:$D$35,0)),0,1)))))</f>
        <v/>
      </c>
      <c r="I911" s="15" t="str">
        <f>IF(Data!B911="","",IF(Data!G911&lt;&gt;"",0,IF(ISNUMBER(MATCH(Data!#REF!,Data_Val!$E$2:$E$12,0)),0,1)))</f>
        <v/>
      </c>
      <c r="J911" s="16" t="e">
        <f>IF(OR(Data!B911="",Data!#REF!=""),"",IF(Data!#REF!="",1,0))</f>
        <v>#REF!</v>
      </c>
      <c r="K911" s="16" t="e">
        <f>IF(OR(Data!B911="",Data!#REF!=""),"",IF(Data!#REF!="",1,0))</f>
        <v>#REF!</v>
      </c>
      <c r="L911" s="16" t="e">
        <f>IF(OR(Data!B911="",Data!#REF!=""),"",IF(ISNUMBER(Data!#REF!),IF(AND(Data!#REF!&gt;Data_Val!$G$2,Data!#REF!&lt;=Data_Val!$G$3),0,1),1))</f>
        <v>#REF!</v>
      </c>
      <c r="M911" s="9" t="e">
        <f>IF(OR(Data!B911="",Data!#REF!=""),"",IF(ISNUMBER(MATCH(Data!#REF!,Data_Val!$F$1:$F$38,0)),0,1))</f>
        <v>#REF!</v>
      </c>
      <c r="N911" s="9" t="e">
        <f>IF(OR(Data!B911="",Data!#REF!=""),"",IF(Data!#REF!="",1,0))</f>
        <v>#REF!</v>
      </c>
      <c r="O911" s="17" t="e">
        <f>IF(Data!#REF!="","",IF(Data!#REF!="",1,0))</f>
        <v>#REF!</v>
      </c>
      <c r="P911" s="17" t="e">
        <f>IF(Data!#REF!="","",IF(ISNUMBER(MATCH(Data!#REF!,Data_Val!$A$2:$A$3,0)),0,1))</f>
        <v>#REF!</v>
      </c>
      <c r="Q911" s="25" t="e">
        <f ca="1">IF(Data!#REF!="","",IF(ISNUMBER(Data!#REF!),IF(AND(Data!#REF!&gt;(TODAY()-(Data_Val!$J$3*365.25)),Data!#REF!&lt;=(TODAY()-(Data_Val!$J$2*365.25))),0,1),1))</f>
        <v>#REF!</v>
      </c>
      <c r="R911" s="17" t="e">
        <f>IF(Data!#REF!="","",IF(ISNUMBER(MATCH(Data!#REF!,Data_Val!$B$2:$B$15,0)),0,1))</f>
        <v>#REF!</v>
      </c>
      <c r="S911" s="11" t="str">
        <f>IF(Data!G911="","",IF(Data!G911=Data_Val!$C$2,IF(Data!M911="",0,1),0))</f>
        <v/>
      </c>
      <c r="T911" s="11" t="str">
        <f>IF(Data!M911="","",IF(ISNUMBER(MATCH(Data!N911,Data_Val!$A$2:$A$3,0)),0,1))</f>
        <v/>
      </c>
      <c r="U911" s="11" t="str">
        <f ca="1">IF(Data!M911="","",IF(ISNUMBER(Data!O911),IF(AND(Data!O911&gt;(TODAY()-(Data_Val!$K$3*365.25)),Data!O911&lt;=(TODAY()-(Data_Val!$K$2*365.25))),0,1),1))</f>
        <v/>
      </c>
      <c r="V911" s="12" t="str">
        <f>IF(Data!G911="","",IF(Data!G911=Data_Val!$C$2,IF(Data!P911="",0,1),0))</f>
        <v/>
      </c>
      <c r="W911" s="12" t="str">
        <f>IF(Data!P911="","",IF(ISNUMBER(MATCH(Data!Q911,Data_Val!$A$2:$A$3,0)),0,1))</f>
        <v/>
      </c>
      <c r="X911" s="26" t="str">
        <f ca="1">IF(Data!P911="","",IF(ISNUMBER(Data!R911),IF(AND(Data!R911&gt;(TODAY()-(Data_Val!$L$3*365.25)),Data!R911&lt;=(TODAY()-(Data_Val!$L$2*365.25))),0,1),1))</f>
        <v/>
      </c>
      <c r="Y911" s="13" t="str">
        <f>IF(Data!$G911="","",IF(Data!$G911=Data_Val!$C$2,IF(Data!S911="",0,1),0))</f>
        <v/>
      </c>
      <c r="Z911" s="13" t="str">
        <f>IF(Data!S911="","",IF(ISNUMBER(MATCH(Data!T911,Data_Val!$A$2:$A$3,0)),0,1))</f>
        <v/>
      </c>
      <c r="AA911" s="28" t="str">
        <f ca="1">IF(Data!S911="","",IF(ISNUMBER(Data!U911),IF(AND(Data!U911&gt;(TODAY()-(Data_Val!$L$3*365.25)),Data!U911&lt;=(TODAY()-(Data_Val!$L$2*365.25))),0,1),1))</f>
        <v/>
      </c>
      <c r="AB911" s="11"/>
      <c r="AC911" s="11" t="e">
        <f>IF(Data!#REF!="","",IF(ISNUMBER(MATCH(Data!#REF!,Data_Val!$A$2:$A$3,0)),0,1))</f>
        <v>#REF!</v>
      </c>
      <c r="AD911" s="11" t="e">
        <f ca="1">IF(Data!#REF!="","",IF(ISNUMBER(Data!#REF!),IF(AND(Data!#REF!&gt;(TODAY()-(Data_Val!$L$3*365.25)),Data!#REF!&lt;=(TODAY()-(Data_Val!$L$2*365.25))),0,1),1))</f>
        <v>#REF!</v>
      </c>
      <c r="AE911" s="11" t="e">
        <f>IF(Data!#REF!="","",IF(Data!$G911="",1,IF(ISNUMBER(MATCH(Data!#REF!,Data_Val!$D$2:$D$10,0)),0,1)))</f>
        <v>#REF!</v>
      </c>
      <c r="AF911" s="12"/>
      <c r="AG911" s="12" t="e">
        <f>IF(Data!#REF!="","",IF(ISNUMBER(MATCH(Data!#REF!,Data_Val!$A$2:$A$3,0)),0,1))</f>
        <v>#REF!</v>
      </c>
      <c r="AH911" s="26" t="e">
        <f ca="1">IF(Data!#REF!="","",IF(ISNUMBER(Data!#REF!),IF(AND(Data!#REF!&gt;(TODAY()-(Data_Val!$L$3*365.25)),Data!#REF!&lt;=(TODAY()-(Data_Val!$L$2*365.25))),0,1),1))</f>
        <v>#REF!</v>
      </c>
      <c r="AI911" s="12" t="e">
        <f>IF(Data!#REF!="","",IF(Data!$G911="",1,IF(ISNUMBER(MATCH(Data!#REF!,Data_Val!$D$2:$D$10,0)),0,1)))</f>
        <v>#REF!</v>
      </c>
      <c r="AJ911" s="17"/>
      <c r="AK911" s="17" t="e">
        <f>IF(Data!#REF!="","",IF(ISNUMBER(MATCH(Data!#REF!,Data_Val!$A$2:$A$3,0)),0,1))</f>
        <v>#REF!</v>
      </c>
      <c r="AL911" s="25" t="e">
        <f ca="1">IF(Data!#REF!="","",IF(ISNUMBER(Data!#REF!),IF(AND(Data!#REF!&gt;(TODAY()-(Data_Val!$L$3*365.25)),Data!#REF!&lt;=(TODAY()-(Data_Val!$L$2*365.25))),0,1),1))</f>
        <v>#REF!</v>
      </c>
      <c r="AM911" s="17" t="e">
        <f>IF(Data!#REF!="","",IF(Data!$G911="",1,IF(ISNUMBER(MATCH(Data!#REF!,Data_Val!$D$2:$D$10,0)),0,1)))</f>
        <v>#REF!</v>
      </c>
      <c r="AN911" s="13"/>
      <c r="AO911" s="28" t="e">
        <f ca="1">IF(Data!#REF!="","",IF(ISNUMBER(Data!#REF!),IF(AND(Data!#REF!&gt;(TODAY()-(Data_Val!$I$3*365.25)),Data!#REF!&lt;=(TODAY()-(Data_Val!$I$2*365.25))),0,1),1))</f>
        <v>#REF!</v>
      </c>
      <c r="AP911" s="13" t="e">
        <f>IF(Data!#REF!="","",IF(Data!$G911="",1,IF(ISNUMBER(MATCH(Data!#REF!,Data_Val!$D$2:$D$10,0)),0,1)))</f>
        <v>#REF!</v>
      </c>
      <c r="AQ911" s="17"/>
      <c r="AR911" s="30" t="e">
        <f ca="1">IF(Data!#REF!="","",IF(ISNUMBER(Data!#REF!),IF(AND(Data!#REF!&gt;(TODAY()-(Data_Val!$I$3*365.25)),Data!#REF!&lt;=(TODAY()-(Data_Val!$I$2*365.25))),0,1),1))</f>
        <v>#REF!</v>
      </c>
      <c r="AS911" s="31" t="e">
        <f>IF(Data!#REF!="","",IF(Data!$G911="",1,IF(ISNUMBER(MATCH(Data!#REF!,Data_Val!$D$2:$D$10,0)),0,1)))</f>
        <v>#REF!</v>
      </c>
      <c r="AT911" s="11"/>
      <c r="AU911" s="11" t="e">
        <f ca="1">IF(Data!#REF!="","",IF(ISNUMBER(Data!#REF!),IF(AND(Data!#REF!&gt;(TODAY()-(Data_Val!$I$3*365.25)),Data!#REF!&lt;=(TODAY()-(Data_Val!$I$2*365.25))),0,1),1))</f>
        <v>#REF!</v>
      </c>
      <c r="AV911" s="11" t="e">
        <f>IF(Data!#REF!="","",IF(Data!$G911="",1,IF(ISNUMBER(MATCH(Data!#REF!,Data_Val!$D$2:$D$10,0)),0,1)))</f>
        <v>#REF!</v>
      </c>
      <c r="AW911" s="12"/>
      <c r="AX911" s="26" t="e">
        <f ca="1">IF(Data!#REF!="","",IF(ISNUMBER(Data!#REF!),IF(AND(Data!#REF!&gt;(TODAY()-(Data_Val!$I$3*365.25)),Data!#REF!&lt;=(TODAY()-(Data_Val!$I$2*365.25))),0,1),1))</f>
        <v>#REF!</v>
      </c>
      <c r="AY911" s="12" t="e">
        <f>IF(Data!#REF!="","",IF(Data!$G911="",1,IF(ISNUMBER(MATCH(Data!#REF!,Data_Val!$D$2:$D$10,0)),0,1)))</f>
        <v>#REF!</v>
      </c>
      <c r="AZ911" s="11"/>
      <c r="BA911" s="19" t="e">
        <f ca="1">IF(Data!#REF!="","",IF(ISNUMBER(Data!#REF!),IF(AND(Data!#REF!&gt;(TODAY()-(Data_Val!$M$3*365.25)),Data!#REF!&lt;=(TODAY()-(Data_Val!$M$2*365.25))),0,1),1))</f>
        <v>#REF!</v>
      </c>
      <c r="BB911" s="11" t="e">
        <f>IF(Data!#REF!="","",IF(Data!$G911="",1,IF(ISNUMBER(MATCH(Data!#REF!,Data_Val!$D$2:$D$10,0)),0,1)))</f>
        <v>#REF!</v>
      </c>
      <c r="BC911" s="12"/>
      <c r="BD911" s="20" t="e">
        <f ca="1">IF(Data!#REF!="","",IF(ISNUMBER(Data!#REF!),IF(AND(Data!#REF!&gt;(TODAY()-(Data_Val!$M$3*365.25)),Data!#REF!&lt;=(TODAY()-(Data_Val!$M$2*365.25))),0,1),1))</f>
        <v>#REF!</v>
      </c>
      <c r="BE911" s="12" t="e">
        <f>IF(Data!#REF!="","",IF(Data!$G911="",1,IF(ISNUMBER(MATCH(Data!#REF!,Data_Val!$D$2:$D$10,0)),0,1)))</f>
        <v>#REF!</v>
      </c>
      <c r="BF911" s="17"/>
      <c r="BG911" s="18" t="e">
        <f ca="1">IF(Data!#REF!="","",IF(ISNUMBER(Data!#REF!),IF(AND(Data!#REF!&gt;(TODAY()-(Data_Val!$M$3*365.25)),Data!#REF!&lt;=(TODAY()-(Data_Val!$M$2*365.25))),0,1),1))</f>
        <v>#REF!</v>
      </c>
      <c r="BH911" s="29" t="e">
        <f>IF(Data!#REF!="","",IF(Data!$G911="",1,IF(ISNUMBER(MATCH(Data!#REF!,Data_Val!$D$2:$D$10,0)),0,1)))</f>
        <v>#REF!</v>
      </c>
      <c r="BI911" s="13"/>
      <c r="BJ911" s="21" t="e">
        <f ca="1">IF(Data!#REF!="","",IF(ISNUMBER(Data!#REF!),IF(AND(Data!#REF!&gt;(TODAY()-(Data_Val!$M$3*365.25)),Data!#REF!&lt;=(TODAY()-(Data_Val!$M$2*365.25))),0,1),1))</f>
        <v>#REF!</v>
      </c>
      <c r="BK911" s="13" t="e">
        <f>IF(Data!#REF!="","",IF(Data!$G911="",1,IF(ISNUMBER(MATCH(Data!#REF!,Data_Val!$D$2:$D$10,0)),0,1)))</f>
        <v>#REF!</v>
      </c>
    </row>
    <row r="912" spans="1:63" x14ac:dyDescent="0.25">
      <c r="A912" s="9" t="str">
        <f>IF(Data!B912="","",IF(COUNTIFS(Data!A$1:'Data'!A912,Data!A912)&lt;=1,0,1))</f>
        <v/>
      </c>
      <c r="B912" s="9"/>
      <c r="C912" s="23" t="str">
        <f>IF(Data!C912="","",(IF(ISNUMBER(MATCH("*@*.?*",Data!C912,0)),0,1)+IF(COUNTIFS(Data!C$1:'Data'!C912,Data!C912)&gt;1,1,0)))</f>
        <v/>
      </c>
      <c r="D912" s="9" t="str">
        <f>IF(Data!B912="","",IF(ISNUMBER(Data!D912),IF(AND(Data!D912&gt;999999999,Data!D912&lt;=9999999999),IF(COUNTIFS(Data!D$1:'Data'!D912,Data!D912)&lt;=1,0,1),1),1))</f>
        <v/>
      </c>
      <c r="E912" s="9" t="str">
        <f>IF(Data!B912="","",IF(ISNUMBER(MATCH(Data!E912,Data_Val!$A$2:$A$3,0)),0,1))</f>
        <v/>
      </c>
      <c r="F912" s="9" t="str">
        <f ca="1">IF(Data!B912="","",IF(ISNUMBER(Data!F912),IF(AND(Data!F912&gt;(TODAY()-(Data_Val!$H$3*365.25)),Data!F912&lt;=(TODAY()-(Data_Val!$H$2*365.25))),0,1),1))</f>
        <v/>
      </c>
      <c r="G912" s="15" t="str">
        <f>IF(Data!B912="","",IF(AND(Data!G912="",Data!H912&lt;&gt;""),1,IF(Data!#REF!&lt;&gt;"",0,IF(ISNUMBER(MATCH(Data!G912,Data_Val!$C$2:$C$5,0)),0,1))))</f>
        <v/>
      </c>
      <c r="H912" s="15" t="str">
        <f>IF(Data!B912="","",IF(AND(Data!G912&lt;&gt;"",Data!H912=""),1,IF(Data!#REF!&lt;&gt;"",0,IF(Data!G912="",1,IF(ISNUMBER(MATCH(Data!H912,Data_Val!$D$2:$D$35,0)),0,1)))))</f>
        <v/>
      </c>
      <c r="I912" s="15" t="str">
        <f>IF(Data!B912="","",IF(Data!G912&lt;&gt;"",0,IF(ISNUMBER(MATCH(Data!#REF!,Data_Val!$E$2:$E$12,0)),0,1)))</f>
        <v/>
      </c>
      <c r="J912" s="16" t="e">
        <f>IF(OR(Data!B912="",Data!#REF!=""),"",IF(Data!#REF!="",1,0))</f>
        <v>#REF!</v>
      </c>
      <c r="K912" s="16" t="e">
        <f>IF(OR(Data!B912="",Data!#REF!=""),"",IF(Data!#REF!="",1,0))</f>
        <v>#REF!</v>
      </c>
      <c r="L912" s="16" t="e">
        <f>IF(OR(Data!B912="",Data!#REF!=""),"",IF(ISNUMBER(Data!#REF!),IF(AND(Data!#REF!&gt;Data_Val!$G$2,Data!#REF!&lt;=Data_Val!$G$3),0,1),1))</f>
        <v>#REF!</v>
      </c>
      <c r="M912" s="9" t="e">
        <f>IF(OR(Data!B912="",Data!#REF!=""),"",IF(ISNUMBER(MATCH(Data!#REF!,Data_Val!$F$1:$F$38,0)),0,1))</f>
        <v>#REF!</v>
      </c>
      <c r="N912" s="9" t="e">
        <f>IF(OR(Data!B912="",Data!#REF!=""),"",IF(Data!#REF!="",1,0))</f>
        <v>#REF!</v>
      </c>
      <c r="O912" s="17" t="e">
        <f>IF(Data!#REF!="","",IF(Data!#REF!="",1,0))</f>
        <v>#REF!</v>
      </c>
      <c r="P912" s="17" t="e">
        <f>IF(Data!#REF!="","",IF(ISNUMBER(MATCH(Data!#REF!,Data_Val!$A$2:$A$3,0)),0,1))</f>
        <v>#REF!</v>
      </c>
      <c r="Q912" s="25" t="e">
        <f ca="1">IF(Data!#REF!="","",IF(ISNUMBER(Data!#REF!),IF(AND(Data!#REF!&gt;(TODAY()-(Data_Val!$J$3*365.25)),Data!#REF!&lt;=(TODAY()-(Data_Val!$J$2*365.25))),0,1),1))</f>
        <v>#REF!</v>
      </c>
      <c r="R912" s="17" t="e">
        <f>IF(Data!#REF!="","",IF(ISNUMBER(MATCH(Data!#REF!,Data_Val!$B$2:$B$15,0)),0,1))</f>
        <v>#REF!</v>
      </c>
      <c r="S912" s="11" t="str">
        <f>IF(Data!G912="","",IF(Data!G912=Data_Val!$C$2,IF(Data!M912="",0,1),0))</f>
        <v/>
      </c>
      <c r="T912" s="11" t="str">
        <f>IF(Data!M912="","",IF(ISNUMBER(MATCH(Data!N912,Data_Val!$A$2:$A$3,0)),0,1))</f>
        <v/>
      </c>
      <c r="U912" s="11" t="str">
        <f ca="1">IF(Data!M912="","",IF(ISNUMBER(Data!O912),IF(AND(Data!O912&gt;(TODAY()-(Data_Val!$K$3*365.25)),Data!O912&lt;=(TODAY()-(Data_Val!$K$2*365.25))),0,1),1))</f>
        <v/>
      </c>
      <c r="V912" s="12" t="str">
        <f>IF(Data!G912="","",IF(Data!G912=Data_Val!$C$2,IF(Data!P912="",0,1),0))</f>
        <v/>
      </c>
      <c r="W912" s="12" t="str">
        <f>IF(Data!P912="","",IF(ISNUMBER(MATCH(Data!Q912,Data_Val!$A$2:$A$3,0)),0,1))</f>
        <v/>
      </c>
      <c r="X912" s="26" t="str">
        <f ca="1">IF(Data!P912="","",IF(ISNUMBER(Data!R912),IF(AND(Data!R912&gt;(TODAY()-(Data_Val!$L$3*365.25)),Data!R912&lt;=(TODAY()-(Data_Val!$L$2*365.25))),0,1),1))</f>
        <v/>
      </c>
      <c r="Y912" s="13" t="str">
        <f>IF(Data!$G912="","",IF(Data!$G912=Data_Val!$C$2,IF(Data!S912="",0,1),0))</f>
        <v/>
      </c>
      <c r="Z912" s="13" t="str">
        <f>IF(Data!S912="","",IF(ISNUMBER(MATCH(Data!T912,Data_Val!$A$2:$A$3,0)),0,1))</f>
        <v/>
      </c>
      <c r="AA912" s="28" t="str">
        <f ca="1">IF(Data!S912="","",IF(ISNUMBER(Data!U912),IF(AND(Data!U912&gt;(TODAY()-(Data_Val!$L$3*365.25)),Data!U912&lt;=(TODAY()-(Data_Val!$L$2*365.25))),0,1),1))</f>
        <v/>
      </c>
      <c r="AB912" s="11"/>
      <c r="AC912" s="11" t="e">
        <f>IF(Data!#REF!="","",IF(ISNUMBER(MATCH(Data!#REF!,Data_Val!$A$2:$A$3,0)),0,1))</f>
        <v>#REF!</v>
      </c>
      <c r="AD912" s="11" t="e">
        <f ca="1">IF(Data!#REF!="","",IF(ISNUMBER(Data!#REF!),IF(AND(Data!#REF!&gt;(TODAY()-(Data_Val!$L$3*365.25)),Data!#REF!&lt;=(TODAY()-(Data_Val!$L$2*365.25))),0,1),1))</f>
        <v>#REF!</v>
      </c>
      <c r="AE912" s="11" t="e">
        <f>IF(Data!#REF!="","",IF(Data!$G912="",1,IF(ISNUMBER(MATCH(Data!#REF!,Data_Val!$D$2:$D$10,0)),0,1)))</f>
        <v>#REF!</v>
      </c>
      <c r="AF912" s="12"/>
      <c r="AG912" s="12" t="e">
        <f>IF(Data!#REF!="","",IF(ISNUMBER(MATCH(Data!#REF!,Data_Val!$A$2:$A$3,0)),0,1))</f>
        <v>#REF!</v>
      </c>
      <c r="AH912" s="26" t="e">
        <f ca="1">IF(Data!#REF!="","",IF(ISNUMBER(Data!#REF!),IF(AND(Data!#REF!&gt;(TODAY()-(Data_Val!$L$3*365.25)),Data!#REF!&lt;=(TODAY()-(Data_Val!$L$2*365.25))),0,1),1))</f>
        <v>#REF!</v>
      </c>
      <c r="AI912" s="12" t="e">
        <f>IF(Data!#REF!="","",IF(Data!$G912="",1,IF(ISNUMBER(MATCH(Data!#REF!,Data_Val!$D$2:$D$10,0)),0,1)))</f>
        <v>#REF!</v>
      </c>
      <c r="AJ912" s="17"/>
      <c r="AK912" s="17" t="e">
        <f>IF(Data!#REF!="","",IF(ISNUMBER(MATCH(Data!#REF!,Data_Val!$A$2:$A$3,0)),0,1))</f>
        <v>#REF!</v>
      </c>
      <c r="AL912" s="25" t="e">
        <f ca="1">IF(Data!#REF!="","",IF(ISNUMBER(Data!#REF!),IF(AND(Data!#REF!&gt;(TODAY()-(Data_Val!$L$3*365.25)),Data!#REF!&lt;=(TODAY()-(Data_Val!$L$2*365.25))),0,1),1))</f>
        <v>#REF!</v>
      </c>
      <c r="AM912" s="17" t="e">
        <f>IF(Data!#REF!="","",IF(Data!$G912="",1,IF(ISNUMBER(MATCH(Data!#REF!,Data_Val!$D$2:$D$10,0)),0,1)))</f>
        <v>#REF!</v>
      </c>
      <c r="AN912" s="13"/>
      <c r="AO912" s="28" t="e">
        <f ca="1">IF(Data!#REF!="","",IF(ISNUMBER(Data!#REF!),IF(AND(Data!#REF!&gt;(TODAY()-(Data_Val!$I$3*365.25)),Data!#REF!&lt;=(TODAY()-(Data_Val!$I$2*365.25))),0,1),1))</f>
        <v>#REF!</v>
      </c>
      <c r="AP912" s="13" t="e">
        <f>IF(Data!#REF!="","",IF(Data!$G912="",1,IF(ISNUMBER(MATCH(Data!#REF!,Data_Val!$D$2:$D$10,0)),0,1)))</f>
        <v>#REF!</v>
      </c>
      <c r="AQ912" s="17"/>
      <c r="AR912" s="30" t="e">
        <f ca="1">IF(Data!#REF!="","",IF(ISNUMBER(Data!#REF!),IF(AND(Data!#REF!&gt;(TODAY()-(Data_Val!$I$3*365.25)),Data!#REF!&lt;=(TODAY()-(Data_Val!$I$2*365.25))),0,1),1))</f>
        <v>#REF!</v>
      </c>
      <c r="AS912" s="31" t="e">
        <f>IF(Data!#REF!="","",IF(Data!$G912="",1,IF(ISNUMBER(MATCH(Data!#REF!,Data_Val!$D$2:$D$10,0)),0,1)))</f>
        <v>#REF!</v>
      </c>
      <c r="AT912" s="11"/>
      <c r="AU912" s="11" t="e">
        <f ca="1">IF(Data!#REF!="","",IF(ISNUMBER(Data!#REF!),IF(AND(Data!#REF!&gt;(TODAY()-(Data_Val!$I$3*365.25)),Data!#REF!&lt;=(TODAY()-(Data_Val!$I$2*365.25))),0,1),1))</f>
        <v>#REF!</v>
      </c>
      <c r="AV912" s="11" t="e">
        <f>IF(Data!#REF!="","",IF(Data!$G912="",1,IF(ISNUMBER(MATCH(Data!#REF!,Data_Val!$D$2:$D$10,0)),0,1)))</f>
        <v>#REF!</v>
      </c>
      <c r="AW912" s="12"/>
      <c r="AX912" s="26" t="e">
        <f ca="1">IF(Data!#REF!="","",IF(ISNUMBER(Data!#REF!),IF(AND(Data!#REF!&gt;(TODAY()-(Data_Val!$I$3*365.25)),Data!#REF!&lt;=(TODAY()-(Data_Val!$I$2*365.25))),0,1),1))</f>
        <v>#REF!</v>
      </c>
      <c r="AY912" s="12" t="e">
        <f>IF(Data!#REF!="","",IF(Data!$G912="",1,IF(ISNUMBER(MATCH(Data!#REF!,Data_Val!$D$2:$D$10,0)),0,1)))</f>
        <v>#REF!</v>
      </c>
      <c r="AZ912" s="11"/>
      <c r="BA912" s="19" t="e">
        <f ca="1">IF(Data!#REF!="","",IF(ISNUMBER(Data!#REF!),IF(AND(Data!#REF!&gt;(TODAY()-(Data_Val!$M$3*365.25)),Data!#REF!&lt;=(TODAY()-(Data_Val!$M$2*365.25))),0,1),1))</f>
        <v>#REF!</v>
      </c>
      <c r="BB912" s="11" t="e">
        <f>IF(Data!#REF!="","",IF(Data!$G912="",1,IF(ISNUMBER(MATCH(Data!#REF!,Data_Val!$D$2:$D$10,0)),0,1)))</f>
        <v>#REF!</v>
      </c>
      <c r="BC912" s="12"/>
      <c r="BD912" s="20" t="e">
        <f ca="1">IF(Data!#REF!="","",IF(ISNUMBER(Data!#REF!),IF(AND(Data!#REF!&gt;(TODAY()-(Data_Val!$M$3*365.25)),Data!#REF!&lt;=(TODAY()-(Data_Val!$M$2*365.25))),0,1),1))</f>
        <v>#REF!</v>
      </c>
      <c r="BE912" s="12" t="e">
        <f>IF(Data!#REF!="","",IF(Data!$G912="",1,IF(ISNUMBER(MATCH(Data!#REF!,Data_Val!$D$2:$D$10,0)),0,1)))</f>
        <v>#REF!</v>
      </c>
      <c r="BF912" s="17"/>
      <c r="BG912" s="18" t="e">
        <f ca="1">IF(Data!#REF!="","",IF(ISNUMBER(Data!#REF!),IF(AND(Data!#REF!&gt;(TODAY()-(Data_Val!$M$3*365.25)),Data!#REF!&lt;=(TODAY()-(Data_Val!$M$2*365.25))),0,1),1))</f>
        <v>#REF!</v>
      </c>
      <c r="BH912" s="29" t="e">
        <f>IF(Data!#REF!="","",IF(Data!$G912="",1,IF(ISNUMBER(MATCH(Data!#REF!,Data_Val!$D$2:$D$10,0)),0,1)))</f>
        <v>#REF!</v>
      </c>
      <c r="BI912" s="13"/>
      <c r="BJ912" s="21" t="e">
        <f ca="1">IF(Data!#REF!="","",IF(ISNUMBER(Data!#REF!),IF(AND(Data!#REF!&gt;(TODAY()-(Data_Val!$M$3*365.25)),Data!#REF!&lt;=(TODAY()-(Data_Val!$M$2*365.25))),0,1),1))</f>
        <v>#REF!</v>
      </c>
      <c r="BK912" s="13" t="e">
        <f>IF(Data!#REF!="","",IF(Data!$G912="",1,IF(ISNUMBER(MATCH(Data!#REF!,Data_Val!$D$2:$D$10,0)),0,1)))</f>
        <v>#REF!</v>
      </c>
    </row>
    <row r="913" spans="1:63" x14ac:dyDescent="0.25">
      <c r="A913" s="9" t="str">
        <f>IF(Data!B913="","",IF(COUNTIFS(Data!A$1:'Data'!A913,Data!A913)&lt;=1,0,1))</f>
        <v/>
      </c>
      <c r="B913" s="9"/>
      <c r="C913" s="23" t="str">
        <f>IF(Data!C913="","",(IF(ISNUMBER(MATCH("*@*.?*",Data!C913,0)),0,1)+IF(COUNTIFS(Data!C$1:'Data'!C913,Data!C913)&gt;1,1,0)))</f>
        <v/>
      </c>
      <c r="D913" s="9" t="str">
        <f>IF(Data!B913="","",IF(ISNUMBER(Data!D913),IF(AND(Data!D913&gt;999999999,Data!D913&lt;=9999999999),IF(COUNTIFS(Data!D$1:'Data'!D913,Data!D913)&lt;=1,0,1),1),1))</f>
        <v/>
      </c>
      <c r="E913" s="9" t="str">
        <f>IF(Data!B913="","",IF(ISNUMBER(MATCH(Data!E913,Data_Val!$A$2:$A$3,0)),0,1))</f>
        <v/>
      </c>
      <c r="F913" s="9" t="str">
        <f ca="1">IF(Data!B913="","",IF(ISNUMBER(Data!F913),IF(AND(Data!F913&gt;(TODAY()-(Data_Val!$H$3*365.25)),Data!F913&lt;=(TODAY()-(Data_Val!$H$2*365.25))),0,1),1))</f>
        <v/>
      </c>
      <c r="G913" s="15" t="str">
        <f>IF(Data!B913="","",IF(AND(Data!G913="",Data!H913&lt;&gt;""),1,IF(Data!#REF!&lt;&gt;"",0,IF(ISNUMBER(MATCH(Data!G913,Data_Val!$C$2:$C$5,0)),0,1))))</f>
        <v/>
      </c>
      <c r="H913" s="15" t="str">
        <f>IF(Data!B913="","",IF(AND(Data!G913&lt;&gt;"",Data!H913=""),1,IF(Data!#REF!&lt;&gt;"",0,IF(Data!G913="",1,IF(ISNUMBER(MATCH(Data!H913,Data_Val!$D$2:$D$35,0)),0,1)))))</f>
        <v/>
      </c>
      <c r="I913" s="15" t="str">
        <f>IF(Data!B913="","",IF(Data!G913&lt;&gt;"",0,IF(ISNUMBER(MATCH(Data!#REF!,Data_Val!$E$2:$E$12,0)),0,1)))</f>
        <v/>
      </c>
      <c r="J913" s="16" t="e">
        <f>IF(OR(Data!B913="",Data!#REF!=""),"",IF(Data!#REF!="",1,0))</f>
        <v>#REF!</v>
      </c>
      <c r="K913" s="16" t="e">
        <f>IF(OR(Data!B913="",Data!#REF!=""),"",IF(Data!#REF!="",1,0))</f>
        <v>#REF!</v>
      </c>
      <c r="L913" s="16" t="e">
        <f>IF(OR(Data!B913="",Data!#REF!=""),"",IF(ISNUMBER(Data!#REF!),IF(AND(Data!#REF!&gt;Data_Val!$G$2,Data!#REF!&lt;=Data_Val!$G$3),0,1),1))</f>
        <v>#REF!</v>
      </c>
      <c r="M913" s="9" t="e">
        <f>IF(OR(Data!B913="",Data!#REF!=""),"",IF(ISNUMBER(MATCH(Data!#REF!,Data_Val!$F$1:$F$38,0)),0,1))</f>
        <v>#REF!</v>
      </c>
      <c r="N913" s="9" t="e">
        <f>IF(OR(Data!B913="",Data!#REF!=""),"",IF(Data!#REF!="",1,0))</f>
        <v>#REF!</v>
      </c>
      <c r="O913" s="17" t="e">
        <f>IF(Data!#REF!="","",IF(Data!#REF!="",1,0))</f>
        <v>#REF!</v>
      </c>
      <c r="P913" s="17" t="e">
        <f>IF(Data!#REF!="","",IF(ISNUMBER(MATCH(Data!#REF!,Data_Val!$A$2:$A$3,0)),0,1))</f>
        <v>#REF!</v>
      </c>
      <c r="Q913" s="25" t="e">
        <f ca="1">IF(Data!#REF!="","",IF(ISNUMBER(Data!#REF!),IF(AND(Data!#REF!&gt;(TODAY()-(Data_Val!$J$3*365.25)),Data!#REF!&lt;=(TODAY()-(Data_Val!$J$2*365.25))),0,1),1))</f>
        <v>#REF!</v>
      </c>
      <c r="R913" s="17" t="e">
        <f>IF(Data!#REF!="","",IF(ISNUMBER(MATCH(Data!#REF!,Data_Val!$B$2:$B$15,0)),0,1))</f>
        <v>#REF!</v>
      </c>
      <c r="S913" s="11" t="str">
        <f>IF(Data!G913="","",IF(Data!G913=Data_Val!$C$2,IF(Data!M913="",0,1),0))</f>
        <v/>
      </c>
      <c r="T913" s="11" t="str">
        <f>IF(Data!M913="","",IF(ISNUMBER(MATCH(Data!N913,Data_Val!$A$2:$A$3,0)),0,1))</f>
        <v/>
      </c>
      <c r="U913" s="11" t="str">
        <f ca="1">IF(Data!M913="","",IF(ISNUMBER(Data!O913),IF(AND(Data!O913&gt;(TODAY()-(Data_Val!$K$3*365.25)),Data!O913&lt;=(TODAY()-(Data_Val!$K$2*365.25))),0,1),1))</f>
        <v/>
      </c>
      <c r="V913" s="12" t="str">
        <f>IF(Data!G913="","",IF(Data!G913=Data_Val!$C$2,IF(Data!P913="",0,1),0))</f>
        <v/>
      </c>
      <c r="W913" s="12" t="str">
        <f>IF(Data!P913="","",IF(ISNUMBER(MATCH(Data!Q913,Data_Val!$A$2:$A$3,0)),0,1))</f>
        <v/>
      </c>
      <c r="X913" s="26" t="str">
        <f ca="1">IF(Data!P913="","",IF(ISNUMBER(Data!R913),IF(AND(Data!R913&gt;(TODAY()-(Data_Val!$L$3*365.25)),Data!R913&lt;=(TODAY()-(Data_Val!$L$2*365.25))),0,1),1))</f>
        <v/>
      </c>
      <c r="Y913" s="13" t="str">
        <f>IF(Data!$G913="","",IF(Data!$G913=Data_Val!$C$2,IF(Data!S913="",0,1),0))</f>
        <v/>
      </c>
      <c r="Z913" s="13" t="str">
        <f>IF(Data!S913="","",IF(ISNUMBER(MATCH(Data!T913,Data_Val!$A$2:$A$3,0)),0,1))</f>
        <v/>
      </c>
      <c r="AA913" s="28" t="str">
        <f ca="1">IF(Data!S913="","",IF(ISNUMBER(Data!U913),IF(AND(Data!U913&gt;(TODAY()-(Data_Val!$L$3*365.25)),Data!U913&lt;=(TODAY()-(Data_Val!$L$2*365.25))),0,1),1))</f>
        <v/>
      </c>
      <c r="AB913" s="11"/>
      <c r="AC913" s="11" t="e">
        <f>IF(Data!#REF!="","",IF(ISNUMBER(MATCH(Data!#REF!,Data_Val!$A$2:$A$3,0)),0,1))</f>
        <v>#REF!</v>
      </c>
      <c r="AD913" s="11" t="e">
        <f ca="1">IF(Data!#REF!="","",IF(ISNUMBER(Data!#REF!),IF(AND(Data!#REF!&gt;(TODAY()-(Data_Val!$L$3*365.25)),Data!#REF!&lt;=(TODAY()-(Data_Val!$L$2*365.25))),0,1),1))</f>
        <v>#REF!</v>
      </c>
      <c r="AE913" s="11" t="e">
        <f>IF(Data!#REF!="","",IF(Data!$G913="",1,IF(ISNUMBER(MATCH(Data!#REF!,Data_Val!$D$2:$D$10,0)),0,1)))</f>
        <v>#REF!</v>
      </c>
      <c r="AF913" s="12"/>
      <c r="AG913" s="12" t="e">
        <f>IF(Data!#REF!="","",IF(ISNUMBER(MATCH(Data!#REF!,Data_Val!$A$2:$A$3,0)),0,1))</f>
        <v>#REF!</v>
      </c>
      <c r="AH913" s="26" t="e">
        <f ca="1">IF(Data!#REF!="","",IF(ISNUMBER(Data!#REF!),IF(AND(Data!#REF!&gt;(TODAY()-(Data_Val!$L$3*365.25)),Data!#REF!&lt;=(TODAY()-(Data_Val!$L$2*365.25))),0,1),1))</f>
        <v>#REF!</v>
      </c>
      <c r="AI913" s="12" t="e">
        <f>IF(Data!#REF!="","",IF(Data!$G913="",1,IF(ISNUMBER(MATCH(Data!#REF!,Data_Val!$D$2:$D$10,0)),0,1)))</f>
        <v>#REF!</v>
      </c>
      <c r="AJ913" s="17"/>
      <c r="AK913" s="17" t="e">
        <f>IF(Data!#REF!="","",IF(ISNUMBER(MATCH(Data!#REF!,Data_Val!$A$2:$A$3,0)),0,1))</f>
        <v>#REF!</v>
      </c>
      <c r="AL913" s="25" t="e">
        <f ca="1">IF(Data!#REF!="","",IF(ISNUMBER(Data!#REF!),IF(AND(Data!#REF!&gt;(TODAY()-(Data_Val!$L$3*365.25)),Data!#REF!&lt;=(TODAY()-(Data_Val!$L$2*365.25))),0,1),1))</f>
        <v>#REF!</v>
      </c>
      <c r="AM913" s="17" t="e">
        <f>IF(Data!#REF!="","",IF(Data!$G913="",1,IF(ISNUMBER(MATCH(Data!#REF!,Data_Val!$D$2:$D$10,0)),0,1)))</f>
        <v>#REF!</v>
      </c>
      <c r="AN913" s="13"/>
      <c r="AO913" s="28" t="e">
        <f ca="1">IF(Data!#REF!="","",IF(ISNUMBER(Data!#REF!),IF(AND(Data!#REF!&gt;(TODAY()-(Data_Val!$I$3*365.25)),Data!#REF!&lt;=(TODAY()-(Data_Val!$I$2*365.25))),0,1),1))</f>
        <v>#REF!</v>
      </c>
      <c r="AP913" s="13" t="e">
        <f>IF(Data!#REF!="","",IF(Data!$G913="",1,IF(ISNUMBER(MATCH(Data!#REF!,Data_Val!$D$2:$D$10,0)),0,1)))</f>
        <v>#REF!</v>
      </c>
      <c r="AQ913" s="17"/>
      <c r="AR913" s="30" t="e">
        <f ca="1">IF(Data!#REF!="","",IF(ISNUMBER(Data!#REF!),IF(AND(Data!#REF!&gt;(TODAY()-(Data_Val!$I$3*365.25)),Data!#REF!&lt;=(TODAY()-(Data_Val!$I$2*365.25))),0,1),1))</f>
        <v>#REF!</v>
      </c>
      <c r="AS913" s="31" t="e">
        <f>IF(Data!#REF!="","",IF(Data!$G913="",1,IF(ISNUMBER(MATCH(Data!#REF!,Data_Val!$D$2:$D$10,0)),0,1)))</f>
        <v>#REF!</v>
      </c>
      <c r="AT913" s="11"/>
      <c r="AU913" s="11" t="e">
        <f ca="1">IF(Data!#REF!="","",IF(ISNUMBER(Data!#REF!),IF(AND(Data!#REF!&gt;(TODAY()-(Data_Val!$I$3*365.25)),Data!#REF!&lt;=(TODAY()-(Data_Val!$I$2*365.25))),0,1),1))</f>
        <v>#REF!</v>
      </c>
      <c r="AV913" s="11" t="e">
        <f>IF(Data!#REF!="","",IF(Data!$G913="",1,IF(ISNUMBER(MATCH(Data!#REF!,Data_Val!$D$2:$D$10,0)),0,1)))</f>
        <v>#REF!</v>
      </c>
      <c r="AW913" s="12"/>
      <c r="AX913" s="26" t="e">
        <f ca="1">IF(Data!#REF!="","",IF(ISNUMBER(Data!#REF!),IF(AND(Data!#REF!&gt;(TODAY()-(Data_Val!$I$3*365.25)),Data!#REF!&lt;=(TODAY()-(Data_Val!$I$2*365.25))),0,1),1))</f>
        <v>#REF!</v>
      </c>
      <c r="AY913" s="12" t="e">
        <f>IF(Data!#REF!="","",IF(Data!$G913="",1,IF(ISNUMBER(MATCH(Data!#REF!,Data_Val!$D$2:$D$10,0)),0,1)))</f>
        <v>#REF!</v>
      </c>
      <c r="AZ913" s="11"/>
      <c r="BA913" s="19" t="e">
        <f ca="1">IF(Data!#REF!="","",IF(ISNUMBER(Data!#REF!),IF(AND(Data!#REF!&gt;(TODAY()-(Data_Val!$M$3*365.25)),Data!#REF!&lt;=(TODAY()-(Data_Val!$M$2*365.25))),0,1),1))</f>
        <v>#REF!</v>
      </c>
      <c r="BB913" s="11" t="e">
        <f>IF(Data!#REF!="","",IF(Data!$G913="",1,IF(ISNUMBER(MATCH(Data!#REF!,Data_Val!$D$2:$D$10,0)),0,1)))</f>
        <v>#REF!</v>
      </c>
      <c r="BC913" s="12"/>
      <c r="BD913" s="20" t="e">
        <f ca="1">IF(Data!#REF!="","",IF(ISNUMBER(Data!#REF!),IF(AND(Data!#REF!&gt;(TODAY()-(Data_Val!$M$3*365.25)),Data!#REF!&lt;=(TODAY()-(Data_Val!$M$2*365.25))),0,1),1))</f>
        <v>#REF!</v>
      </c>
      <c r="BE913" s="12" t="e">
        <f>IF(Data!#REF!="","",IF(Data!$G913="",1,IF(ISNUMBER(MATCH(Data!#REF!,Data_Val!$D$2:$D$10,0)),0,1)))</f>
        <v>#REF!</v>
      </c>
      <c r="BF913" s="17"/>
      <c r="BG913" s="18" t="e">
        <f ca="1">IF(Data!#REF!="","",IF(ISNUMBER(Data!#REF!),IF(AND(Data!#REF!&gt;(TODAY()-(Data_Val!$M$3*365.25)),Data!#REF!&lt;=(TODAY()-(Data_Val!$M$2*365.25))),0,1),1))</f>
        <v>#REF!</v>
      </c>
      <c r="BH913" s="29" t="e">
        <f>IF(Data!#REF!="","",IF(Data!$G913="",1,IF(ISNUMBER(MATCH(Data!#REF!,Data_Val!$D$2:$D$10,0)),0,1)))</f>
        <v>#REF!</v>
      </c>
      <c r="BI913" s="13"/>
      <c r="BJ913" s="21" t="e">
        <f ca="1">IF(Data!#REF!="","",IF(ISNUMBER(Data!#REF!),IF(AND(Data!#REF!&gt;(TODAY()-(Data_Val!$M$3*365.25)),Data!#REF!&lt;=(TODAY()-(Data_Val!$M$2*365.25))),0,1),1))</f>
        <v>#REF!</v>
      </c>
      <c r="BK913" s="13" t="e">
        <f>IF(Data!#REF!="","",IF(Data!$G913="",1,IF(ISNUMBER(MATCH(Data!#REF!,Data_Val!$D$2:$D$10,0)),0,1)))</f>
        <v>#REF!</v>
      </c>
    </row>
    <row r="914" spans="1:63" x14ac:dyDescent="0.25">
      <c r="A914" s="9" t="str">
        <f>IF(Data!B914="","",IF(COUNTIFS(Data!A$1:'Data'!A914,Data!A914)&lt;=1,0,1))</f>
        <v/>
      </c>
      <c r="B914" s="9"/>
      <c r="C914" s="23" t="str">
        <f>IF(Data!C914="","",(IF(ISNUMBER(MATCH("*@*.?*",Data!C914,0)),0,1)+IF(COUNTIFS(Data!C$1:'Data'!C914,Data!C914)&gt;1,1,0)))</f>
        <v/>
      </c>
      <c r="D914" s="9" t="str">
        <f>IF(Data!B914="","",IF(ISNUMBER(Data!D914),IF(AND(Data!D914&gt;999999999,Data!D914&lt;=9999999999),IF(COUNTIFS(Data!D$1:'Data'!D914,Data!D914)&lt;=1,0,1),1),1))</f>
        <v/>
      </c>
      <c r="E914" s="9" t="str">
        <f>IF(Data!B914="","",IF(ISNUMBER(MATCH(Data!E914,Data_Val!$A$2:$A$3,0)),0,1))</f>
        <v/>
      </c>
      <c r="F914" s="9" t="str">
        <f ca="1">IF(Data!B914="","",IF(ISNUMBER(Data!F914),IF(AND(Data!F914&gt;(TODAY()-(Data_Val!$H$3*365.25)),Data!F914&lt;=(TODAY()-(Data_Val!$H$2*365.25))),0,1),1))</f>
        <v/>
      </c>
      <c r="G914" s="15" t="str">
        <f>IF(Data!B914="","",IF(AND(Data!G914="",Data!H914&lt;&gt;""),1,IF(Data!#REF!&lt;&gt;"",0,IF(ISNUMBER(MATCH(Data!G914,Data_Val!$C$2:$C$5,0)),0,1))))</f>
        <v/>
      </c>
      <c r="H914" s="15" t="str">
        <f>IF(Data!B914="","",IF(AND(Data!G914&lt;&gt;"",Data!H914=""),1,IF(Data!#REF!&lt;&gt;"",0,IF(Data!G914="",1,IF(ISNUMBER(MATCH(Data!H914,Data_Val!$D$2:$D$35,0)),0,1)))))</f>
        <v/>
      </c>
      <c r="I914" s="15" t="str">
        <f>IF(Data!B914="","",IF(Data!G914&lt;&gt;"",0,IF(ISNUMBER(MATCH(Data!#REF!,Data_Val!$E$2:$E$12,0)),0,1)))</f>
        <v/>
      </c>
      <c r="J914" s="16" t="e">
        <f>IF(OR(Data!B914="",Data!#REF!=""),"",IF(Data!#REF!="",1,0))</f>
        <v>#REF!</v>
      </c>
      <c r="K914" s="16" t="e">
        <f>IF(OR(Data!B914="",Data!#REF!=""),"",IF(Data!#REF!="",1,0))</f>
        <v>#REF!</v>
      </c>
      <c r="L914" s="16" t="e">
        <f>IF(OR(Data!B914="",Data!#REF!=""),"",IF(ISNUMBER(Data!#REF!),IF(AND(Data!#REF!&gt;Data_Val!$G$2,Data!#REF!&lt;=Data_Val!$G$3),0,1),1))</f>
        <v>#REF!</v>
      </c>
      <c r="M914" s="9" t="e">
        <f>IF(OR(Data!B914="",Data!#REF!=""),"",IF(ISNUMBER(MATCH(Data!#REF!,Data_Val!$F$1:$F$38,0)),0,1))</f>
        <v>#REF!</v>
      </c>
      <c r="N914" s="9" t="e">
        <f>IF(OR(Data!B914="",Data!#REF!=""),"",IF(Data!#REF!="",1,0))</f>
        <v>#REF!</v>
      </c>
      <c r="O914" s="17" t="e">
        <f>IF(Data!#REF!="","",IF(Data!#REF!="",1,0))</f>
        <v>#REF!</v>
      </c>
      <c r="P914" s="17" t="e">
        <f>IF(Data!#REF!="","",IF(ISNUMBER(MATCH(Data!#REF!,Data_Val!$A$2:$A$3,0)),0,1))</f>
        <v>#REF!</v>
      </c>
      <c r="Q914" s="25" t="e">
        <f ca="1">IF(Data!#REF!="","",IF(ISNUMBER(Data!#REF!),IF(AND(Data!#REF!&gt;(TODAY()-(Data_Val!$J$3*365.25)),Data!#REF!&lt;=(TODAY()-(Data_Val!$J$2*365.25))),0,1),1))</f>
        <v>#REF!</v>
      </c>
      <c r="R914" s="17" t="e">
        <f>IF(Data!#REF!="","",IF(ISNUMBER(MATCH(Data!#REF!,Data_Val!$B$2:$B$15,0)),0,1))</f>
        <v>#REF!</v>
      </c>
      <c r="S914" s="11" t="str">
        <f>IF(Data!G914="","",IF(Data!G914=Data_Val!$C$2,IF(Data!M914="",0,1),0))</f>
        <v/>
      </c>
      <c r="T914" s="11" t="str">
        <f>IF(Data!M914="","",IF(ISNUMBER(MATCH(Data!N914,Data_Val!$A$2:$A$3,0)),0,1))</f>
        <v/>
      </c>
      <c r="U914" s="11" t="str">
        <f ca="1">IF(Data!M914="","",IF(ISNUMBER(Data!O914),IF(AND(Data!O914&gt;(TODAY()-(Data_Val!$K$3*365.25)),Data!O914&lt;=(TODAY()-(Data_Val!$K$2*365.25))),0,1),1))</f>
        <v/>
      </c>
      <c r="V914" s="12" t="str">
        <f>IF(Data!G914="","",IF(Data!G914=Data_Val!$C$2,IF(Data!P914="",0,1),0))</f>
        <v/>
      </c>
      <c r="W914" s="12" t="str">
        <f>IF(Data!P914="","",IF(ISNUMBER(MATCH(Data!Q914,Data_Val!$A$2:$A$3,0)),0,1))</f>
        <v/>
      </c>
      <c r="X914" s="26" t="str">
        <f ca="1">IF(Data!P914="","",IF(ISNUMBER(Data!R914),IF(AND(Data!R914&gt;(TODAY()-(Data_Val!$L$3*365.25)),Data!R914&lt;=(TODAY()-(Data_Val!$L$2*365.25))),0,1),1))</f>
        <v/>
      </c>
      <c r="Y914" s="13" t="str">
        <f>IF(Data!$G914="","",IF(Data!$G914=Data_Val!$C$2,IF(Data!S914="",0,1),0))</f>
        <v/>
      </c>
      <c r="Z914" s="13" t="str">
        <f>IF(Data!S914="","",IF(ISNUMBER(MATCH(Data!T914,Data_Val!$A$2:$A$3,0)),0,1))</f>
        <v/>
      </c>
      <c r="AA914" s="28" t="str">
        <f ca="1">IF(Data!S914="","",IF(ISNUMBER(Data!U914),IF(AND(Data!U914&gt;(TODAY()-(Data_Val!$L$3*365.25)),Data!U914&lt;=(TODAY()-(Data_Val!$L$2*365.25))),0,1),1))</f>
        <v/>
      </c>
      <c r="AB914" s="11"/>
      <c r="AC914" s="11" t="e">
        <f>IF(Data!#REF!="","",IF(ISNUMBER(MATCH(Data!#REF!,Data_Val!$A$2:$A$3,0)),0,1))</f>
        <v>#REF!</v>
      </c>
      <c r="AD914" s="11" t="e">
        <f ca="1">IF(Data!#REF!="","",IF(ISNUMBER(Data!#REF!),IF(AND(Data!#REF!&gt;(TODAY()-(Data_Val!$L$3*365.25)),Data!#REF!&lt;=(TODAY()-(Data_Val!$L$2*365.25))),0,1),1))</f>
        <v>#REF!</v>
      </c>
      <c r="AE914" s="11" t="e">
        <f>IF(Data!#REF!="","",IF(Data!$G914="",1,IF(ISNUMBER(MATCH(Data!#REF!,Data_Val!$D$2:$D$10,0)),0,1)))</f>
        <v>#REF!</v>
      </c>
      <c r="AF914" s="12"/>
      <c r="AG914" s="12" t="e">
        <f>IF(Data!#REF!="","",IF(ISNUMBER(MATCH(Data!#REF!,Data_Val!$A$2:$A$3,0)),0,1))</f>
        <v>#REF!</v>
      </c>
      <c r="AH914" s="26" t="e">
        <f ca="1">IF(Data!#REF!="","",IF(ISNUMBER(Data!#REF!),IF(AND(Data!#REF!&gt;(TODAY()-(Data_Val!$L$3*365.25)),Data!#REF!&lt;=(TODAY()-(Data_Val!$L$2*365.25))),0,1),1))</f>
        <v>#REF!</v>
      </c>
      <c r="AI914" s="12" t="e">
        <f>IF(Data!#REF!="","",IF(Data!$G914="",1,IF(ISNUMBER(MATCH(Data!#REF!,Data_Val!$D$2:$D$10,0)),0,1)))</f>
        <v>#REF!</v>
      </c>
      <c r="AJ914" s="17"/>
      <c r="AK914" s="17" t="e">
        <f>IF(Data!#REF!="","",IF(ISNUMBER(MATCH(Data!#REF!,Data_Val!$A$2:$A$3,0)),0,1))</f>
        <v>#REF!</v>
      </c>
      <c r="AL914" s="25" t="e">
        <f ca="1">IF(Data!#REF!="","",IF(ISNUMBER(Data!#REF!),IF(AND(Data!#REF!&gt;(TODAY()-(Data_Val!$L$3*365.25)),Data!#REF!&lt;=(TODAY()-(Data_Val!$L$2*365.25))),0,1),1))</f>
        <v>#REF!</v>
      </c>
      <c r="AM914" s="17" t="e">
        <f>IF(Data!#REF!="","",IF(Data!$G914="",1,IF(ISNUMBER(MATCH(Data!#REF!,Data_Val!$D$2:$D$10,0)),0,1)))</f>
        <v>#REF!</v>
      </c>
      <c r="AN914" s="13"/>
      <c r="AO914" s="28" t="e">
        <f ca="1">IF(Data!#REF!="","",IF(ISNUMBER(Data!#REF!),IF(AND(Data!#REF!&gt;(TODAY()-(Data_Val!$I$3*365.25)),Data!#REF!&lt;=(TODAY()-(Data_Val!$I$2*365.25))),0,1),1))</f>
        <v>#REF!</v>
      </c>
      <c r="AP914" s="13" t="e">
        <f>IF(Data!#REF!="","",IF(Data!$G914="",1,IF(ISNUMBER(MATCH(Data!#REF!,Data_Val!$D$2:$D$10,0)),0,1)))</f>
        <v>#REF!</v>
      </c>
      <c r="AQ914" s="17"/>
      <c r="AR914" s="30" t="e">
        <f ca="1">IF(Data!#REF!="","",IF(ISNUMBER(Data!#REF!),IF(AND(Data!#REF!&gt;(TODAY()-(Data_Val!$I$3*365.25)),Data!#REF!&lt;=(TODAY()-(Data_Val!$I$2*365.25))),0,1),1))</f>
        <v>#REF!</v>
      </c>
      <c r="AS914" s="31" t="e">
        <f>IF(Data!#REF!="","",IF(Data!$G914="",1,IF(ISNUMBER(MATCH(Data!#REF!,Data_Val!$D$2:$D$10,0)),0,1)))</f>
        <v>#REF!</v>
      </c>
      <c r="AT914" s="11"/>
      <c r="AU914" s="11" t="e">
        <f ca="1">IF(Data!#REF!="","",IF(ISNUMBER(Data!#REF!),IF(AND(Data!#REF!&gt;(TODAY()-(Data_Val!$I$3*365.25)),Data!#REF!&lt;=(TODAY()-(Data_Val!$I$2*365.25))),0,1),1))</f>
        <v>#REF!</v>
      </c>
      <c r="AV914" s="11" t="e">
        <f>IF(Data!#REF!="","",IF(Data!$G914="",1,IF(ISNUMBER(MATCH(Data!#REF!,Data_Val!$D$2:$D$10,0)),0,1)))</f>
        <v>#REF!</v>
      </c>
      <c r="AW914" s="12"/>
      <c r="AX914" s="26" t="e">
        <f ca="1">IF(Data!#REF!="","",IF(ISNUMBER(Data!#REF!),IF(AND(Data!#REF!&gt;(TODAY()-(Data_Val!$I$3*365.25)),Data!#REF!&lt;=(TODAY()-(Data_Val!$I$2*365.25))),0,1),1))</f>
        <v>#REF!</v>
      </c>
      <c r="AY914" s="12" t="e">
        <f>IF(Data!#REF!="","",IF(Data!$G914="",1,IF(ISNUMBER(MATCH(Data!#REF!,Data_Val!$D$2:$D$10,0)),0,1)))</f>
        <v>#REF!</v>
      </c>
      <c r="AZ914" s="11"/>
      <c r="BA914" s="19" t="e">
        <f ca="1">IF(Data!#REF!="","",IF(ISNUMBER(Data!#REF!),IF(AND(Data!#REF!&gt;(TODAY()-(Data_Val!$M$3*365.25)),Data!#REF!&lt;=(TODAY()-(Data_Val!$M$2*365.25))),0,1),1))</f>
        <v>#REF!</v>
      </c>
      <c r="BB914" s="11" t="e">
        <f>IF(Data!#REF!="","",IF(Data!$G914="",1,IF(ISNUMBER(MATCH(Data!#REF!,Data_Val!$D$2:$D$10,0)),0,1)))</f>
        <v>#REF!</v>
      </c>
      <c r="BC914" s="12"/>
      <c r="BD914" s="20" t="e">
        <f ca="1">IF(Data!#REF!="","",IF(ISNUMBER(Data!#REF!),IF(AND(Data!#REF!&gt;(TODAY()-(Data_Val!$M$3*365.25)),Data!#REF!&lt;=(TODAY()-(Data_Val!$M$2*365.25))),0,1),1))</f>
        <v>#REF!</v>
      </c>
      <c r="BE914" s="12" t="e">
        <f>IF(Data!#REF!="","",IF(Data!$G914="",1,IF(ISNUMBER(MATCH(Data!#REF!,Data_Val!$D$2:$D$10,0)),0,1)))</f>
        <v>#REF!</v>
      </c>
      <c r="BF914" s="17"/>
      <c r="BG914" s="18" t="e">
        <f ca="1">IF(Data!#REF!="","",IF(ISNUMBER(Data!#REF!),IF(AND(Data!#REF!&gt;(TODAY()-(Data_Val!$M$3*365.25)),Data!#REF!&lt;=(TODAY()-(Data_Val!$M$2*365.25))),0,1),1))</f>
        <v>#REF!</v>
      </c>
      <c r="BH914" s="29" t="e">
        <f>IF(Data!#REF!="","",IF(Data!$G914="",1,IF(ISNUMBER(MATCH(Data!#REF!,Data_Val!$D$2:$D$10,0)),0,1)))</f>
        <v>#REF!</v>
      </c>
      <c r="BI914" s="13"/>
      <c r="BJ914" s="21" t="e">
        <f ca="1">IF(Data!#REF!="","",IF(ISNUMBER(Data!#REF!),IF(AND(Data!#REF!&gt;(TODAY()-(Data_Val!$M$3*365.25)),Data!#REF!&lt;=(TODAY()-(Data_Val!$M$2*365.25))),0,1),1))</f>
        <v>#REF!</v>
      </c>
      <c r="BK914" s="13" t="e">
        <f>IF(Data!#REF!="","",IF(Data!$G914="",1,IF(ISNUMBER(MATCH(Data!#REF!,Data_Val!$D$2:$D$10,0)),0,1)))</f>
        <v>#REF!</v>
      </c>
    </row>
    <row r="915" spans="1:63" x14ac:dyDescent="0.25">
      <c r="A915" s="9" t="str">
        <f>IF(Data!B915="","",IF(COUNTIFS(Data!A$1:'Data'!A915,Data!A915)&lt;=1,0,1))</f>
        <v/>
      </c>
      <c r="B915" s="9"/>
      <c r="C915" s="23" t="str">
        <f>IF(Data!C915="","",(IF(ISNUMBER(MATCH("*@*.?*",Data!C915,0)),0,1)+IF(COUNTIFS(Data!C$1:'Data'!C915,Data!C915)&gt;1,1,0)))</f>
        <v/>
      </c>
      <c r="D915" s="9" t="str">
        <f>IF(Data!B915="","",IF(ISNUMBER(Data!D915),IF(AND(Data!D915&gt;999999999,Data!D915&lt;=9999999999),IF(COUNTIFS(Data!D$1:'Data'!D915,Data!D915)&lt;=1,0,1),1),1))</f>
        <v/>
      </c>
      <c r="E915" s="9" t="str">
        <f>IF(Data!B915="","",IF(ISNUMBER(MATCH(Data!E915,Data_Val!$A$2:$A$3,0)),0,1))</f>
        <v/>
      </c>
      <c r="F915" s="9" t="str">
        <f ca="1">IF(Data!B915="","",IF(ISNUMBER(Data!F915),IF(AND(Data!F915&gt;(TODAY()-(Data_Val!$H$3*365.25)),Data!F915&lt;=(TODAY()-(Data_Val!$H$2*365.25))),0,1),1))</f>
        <v/>
      </c>
      <c r="G915" s="15" t="str">
        <f>IF(Data!B915="","",IF(AND(Data!G915="",Data!H915&lt;&gt;""),1,IF(Data!#REF!&lt;&gt;"",0,IF(ISNUMBER(MATCH(Data!G915,Data_Val!$C$2:$C$5,0)),0,1))))</f>
        <v/>
      </c>
      <c r="H915" s="15" t="str">
        <f>IF(Data!B915="","",IF(AND(Data!G915&lt;&gt;"",Data!H915=""),1,IF(Data!#REF!&lt;&gt;"",0,IF(Data!G915="",1,IF(ISNUMBER(MATCH(Data!H915,Data_Val!$D$2:$D$35,0)),0,1)))))</f>
        <v/>
      </c>
      <c r="I915" s="15" t="str">
        <f>IF(Data!B915="","",IF(Data!G915&lt;&gt;"",0,IF(ISNUMBER(MATCH(Data!#REF!,Data_Val!$E$2:$E$12,0)),0,1)))</f>
        <v/>
      </c>
      <c r="J915" s="16" t="e">
        <f>IF(OR(Data!B915="",Data!#REF!=""),"",IF(Data!#REF!="",1,0))</f>
        <v>#REF!</v>
      </c>
      <c r="K915" s="16" t="e">
        <f>IF(OR(Data!B915="",Data!#REF!=""),"",IF(Data!#REF!="",1,0))</f>
        <v>#REF!</v>
      </c>
      <c r="L915" s="16" t="e">
        <f>IF(OR(Data!B915="",Data!#REF!=""),"",IF(ISNUMBER(Data!#REF!),IF(AND(Data!#REF!&gt;Data_Val!$G$2,Data!#REF!&lt;=Data_Val!$G$3),0,1),1))</f>
        <v>#REF!</v>
      </c>
      <c r="M915" s="9" t="e">
        <f>IF(OR(Data!B915="",Data!#REF!=""),"",IF(ISNUMBER(MATCH(Data!#REF!,Data_Val!$F$1:$F$38,0)),0,1))</f>
        <v>#REF!</v>
      </c>
      <c r="N915" s="9" t="e">
        <f>IF(OR(Data!B915="",Data!#REF!=""),"",IF(Data!#REF!="",1,0))</f>
        <v>#REF!</v>
      </c>
      <c r="O915" s="17" t="e">
        <f>IF(Data!#REF!="","",IF(Data!#REF!="",1,0))</f>
        <v>#REF!</v>
      </c>
      <c r="P915" s="17" t="e">
        <f>IF(Data!#REF!="","",IF(ISNUMBER(MATCH(Data!#REF!,Data_Val!$A$2:$A$3,0)),0,1))</f>
        <v>#REF!</v>
      </c>
      <c r="Q915" s="25" t="e">
        <f ca="1">IF(Data!#REF!="","",IF(ISNUMBER(Data!#REF!),IF(AND(Data!#REF!&gt;(TODAY()-(Data_Val!$J$3*365.25)),Data!#REF!&lt;=(TODAY()-(Data_Val!$J$2*365.25))),0,1),1))</f>
        <v>#REF!</v>
      </c>
      <c r="R915" s="17" t="e">
        <f>IF(Data!#REF!="","",IF(ISNUMBER(MATCH(Data!#REF!,Data_Val!$B$2:$B$15,0)),0,1))</f>
        <v>#REF!</v>
      </c>
      <c r="S915" s="11" t="str">
        <f>IF(Data!G915="","",IF(Data!G915=Data_Val!$C$2,IF(Data!M915="",0,1),0))</f>
        <v/>
      </c>
      <c r="T915" s="11" t="str">
        <f>IF(Data!M915="","",IF(ISNUMBER(MATCH(Data!N915,Data_Val!$A$2:$A$3,0)),0,1))</f>
        <v/>
      </c>
      <c r="U915" s="11" t="str">
        <f ca="1">IF(Data!M915="","",IF(ISNUMBER(Data!O915),IF(AND(Data!O915&gt;(TODAY()-(Data_Val!$K$3*365.25)),Data!O915&lt;=(TODAY()-(Data_Val!$K$2*365.25))),0,1),1))</f>
        <v/>
      </c>
      <c r="V915" s="12" t="str">
        <f>IF(Data!G915="","",IF(Data!G915=Data_Val!$C$2,IF(Data!P915="",0,1),0))</f>
        <v/>
      </c>
      <c r="W915" s="12" t="str">
        <f>IF(Data!P915="","",IF(ISNUMBER(MATCH(Data!Q915,Data_Val!$A$2:$A$3,0)),0,1))</f>
        <v/>
      </c>
      <c r="X915" s="26" t="str">
        <f ca="1">IF(Data!P915="","",IF(ISNUMBER(Data!R915),IF(AND(Data!R915&gt;(TODAY()-(Data_Val!$L$3*365.25)),Data!R915&lt;=(TODAY()-(Data_Val!$L$2*365.25))),0,1),1))</f>
        <v/>
      </c>
      <c r="Y915" s="13" t="str">
        <f>IF(Data!$G915="","",IF(Data!$G915=Data_Val!$C$2,IF(Data!S915="",0,1),0))</f>
        <v/>
      </c>
      <c r="Z915" s="13" t="str">
        <f>IF(Data!S915="","",IF(ISNUMBER(MATCH(Data!T915,Data_Val!$A$2:$A$3,0)),0,1))</f>
        <v/>
      </c>
      <c r="AA915" s="28" t="str">
        <f ca="1">IF(Data!S915="","",IF(ISNUMBER(Data!U915),IF(AND(Data!U915&gt;(TODAY()-(Data_Val!$L$3*365.25)),Data!U915&lt;=(TODAY()-(Data_Val!$L$2*365.25))),0,1),1))</f>
        <v/>
      </c>
      <c r="AB915" s="11"/>
      <c r="AC915" s="11" t="e">
        <f>IF(Data!#REF!="","",IF(ISNUMBER(MATCH(Data!#REF!,Data_Val!$A$2:$A$3,0)),0,1))</f>
        <v>#REF!</v>
      </c>
      <c r="AD915" s="11" t="e">
        <f ca="1">IF(Data!#REF!="","",IF(ISNUMBER(Data!#REF!),IF(AND(Data!#REF!&gt;(TODAY()-(Data_Val!$L$3*365.25)),Data!#REF!&lt;=(TODAY()-(Data_Val!$L$2*365.25))),0,1),1))</f>
        <v>#REF!</v>
      </c>
      <c r="AE915" s="11" t="e">
        <f>IF(Data!#REF!="","",IF(Data!$G915="",1,IF(ISNUMBER(MATCH(Data!#REF!,Data_Val!$D$2:$D$10,0)),0,1)))</f>
        <v>#REF!</v>
      </c>
      <c r="AF915" s="12"/>
      <c r="AG915" s="12" t="e">
        <f>IF(Data!#REF!="","",IF(ISNUMBER(MATCH(Data!#REF!,Data_Val!$A$2:$A$3,0)),0,1))</f>
        <v>#REF!</v>
      </c>
      <c r="AH915" s="26" t="e">
        <f ca="1">IF(Data!#REF!="","",IF(ISNUMBER(Data!#REF!),IF(AND(Data!#REF!&gt;(TODAY()-(Data_Val!$L$3*365.25)),Data!#REF!&lt;=(TODAY()-(Data_Val!$L$2*365.25))),0,1),1))</f>
        <v>#REF!</v>
      </c>
      <c r="AI915" s="12" t="e">
        <f>IF(Data!#REF!="","",IF(Data!$G915="",1,IF(ISNUMBER(MATCH(Data!#REF!,Data_Val!$D$2:$D$10,0)),0,1)))</f>
        <v>#REF!</v>
      </c>
      <c r="AJ915" s="17"/>
      <c r="AK915" s="17" t="e">
        <f>IF(Data!#REF!="","",IF(ISNUMBER(MATCH(Data!#REF!,Data_Val!$A$2:$A$3,0)),0,1))</f>
        <v>#REF!</v>
      </c>
      <c r="AL915" s="25" t="e">
        <f ca="1">IF(Data!#REF!="","",IF(ISNUMBER(Data!#REF!),IF(AND(Data!#REF!&gt;(TODAY()-(Data_Val!$L$3*365.25)),Data!#REF!&lt;=(TODAY()-(Data_Val!$L$2*365.25))),0,1),1))</f>
        <v>#REF!</v>
      </c>
      <c r="AM915" s="17" t="e">
        <f>IF(Data!#REF!="","",IF(Data!$G915="",1,IF(ISNUMBER(MATCH(Data!#REF!,Data_Val!$D$2:$D$10,0)),0,1)))</f>
        <v>#REF!</v>
      </c>
      <c r="AN915" s="13"/>
      <c r="AO915" s="28" t="e">
        <f ca="1">IF(Data!#REF!="","",IF(ISNUMBER(Data!#REF!),IF(AND(Data!#REF!&gt;(TODAY()-(Data_Val!$I$3*365.25)),Data!#REF!&lt;=(TODAY()-(Data_Val!$I$2*365.25))),0,1),1))</f>
        <v>#REF!</v>
      </c>
      <c r="AP915" s="13" t="e">
        <f>IF(Data!#REF!="","",IF(Data!$G915="",1,IF(ISNUMBER(MATCH(Data!#REF!,Data_Val!$D$2:$D$10,0)),0,1)))</f>
        <v>#REF!</v>
      </c>
      <c r="AQ915" s="17"/>
      <c r="AR915" s="30" t="e">
        <f ca="1">IF(Data!#REF!="","",IF(ISNUMBER(Data!#REF!),IF(AND(Data!#REF!&gt;(TODAY()-(Data_Val!$I$3*365.25)),Data!#REF!&lt;=(TODAY()-(Data_Val!$I$2*365.25))),0,1),1))</f>
        <v>#REF!</v>
      </c>
      <c r="AS915" s="31" t="e">
        <f>IF(Data!#REF!="","",IF(Data!$G915="",1,IF(ISNUMBER(MATCH(Data!#REF!,Data_Val!$D$2:$D$10,0)),0,1)))</f>
        <v>#REF!</v>
      </c>
      <c r="AT915" s="11"/>
      <c r="AU915" s="11" t="e">
        <f ca="1">IF(Data!#REF!="","",IF(ISNUMBER(Data!#REF!),IF(AND(Data!#REF!&gt;(TODAY()-(Data_Val!$I$3*365.25)),Data!#REF!&lt;=(TODAY()-(Data_Val!$I$2*365.25))),0,1),1))</f>
        <v>#REF!</v>
      </c>
      <c r="AV915" s="11" t="e">
        <f>IF(Data!#REF!="","",IF(Data!$G915="",1,IF(ISNUMBER(MATCH(Data!#REF!,Data_Val!$D$2:$D$10,0)),0,1)))</f>
        <v>#REF!</v>
      </c>
      <c r="AW915" s="12"/>
      <c r="AX915" s="26" t="e">
        <f ca="1">IF(Data!#REF!="","",IF(ISNUMBER(Data!#REF!),IF(AND(Data!#REF!&gt;(TODAY()-(Data_Val!$I$3*365.25)),Data!#REF!&lt;=(TODAY()-(Data_Val!$I$2*365.25))),0,1),1))</f>
        <v>#REF!</v>
      </c>
      <c r="AY915" s="12" t="e">
        <f>IF(Data!#REF!="","",IF(Data!$G915="",1,IF(ISNUMBER(MATCH(Data!#REF!,Data_Val!$D$2:$D$10,0)),0,1)))</f>
        <v>#REF!</v>
      </c>
      <c r="AZ915" s="11"/>
      <c r="BA915" s="19" t="e">
        <f ca="1">IF(Data!#REF!="","",IF(ISNUMBER(Data!#REF!),IF(AND(Data!#REF!&gt;(TODAY()-(Data_Val!$M$3*365.25)),Data!#REF!&lt;=(TODAY()-(Data_Val!$M$2*365.25))),0,1),1))</f>
        <v>#REF!</v>
      </c>
      <c r="BB915" s="11" t="e">
        <f>IF(Data!#REF!="","",IF(Data!$G915="",1,IF(ISNUMBER(MATCH(Data!#REF!,Data_Val!$D$2:$D$10,0)),0,1)))</f>
        <v>#REF!</v>
      </c>
      <c r="BC915" s="12"/>
      <c r="BD915" s="20" t="e">
        <f ca="1">IF(Data!#REF!="","",IF(ISNUMBER(Data!#REF!),IF(AND(Data!#REF!&gt;(TODAY()-(Data_Val!$M$3*365.25)),Data!#REF!&lt;=(TODAY()-(Data_Val!$M$2*365.25))),0,1),1))</f>
        <v>#REF!</v>
      </c>
      <c r="BE915" s="12" t="e">
        <f>IF(Data!#REF!="","",IF(Data!$G915="",1,IF(ISNUMBER(MATCH(Data!#REF!,Data_Val!$D$2:$D$10,0)),0,1)))</f>
        <v>#REF!</v>
      </c>
      <c r="BF915" s="17"/>
      <c r="BG915" s="18" t="e">
        <f ca="1">IF(Data!#REF!="","",IF(ISNUMBER(Data!#REF!),IF(AND(Data!#REF!&gt;(TODAY()-(Data_Val!$M$3*365.25)),Data!#REF!&lt;=(TODAY()-(Data_Val!$M$2*365.25))),0,1),1))</f>
        <v>#REF!</v>
      </c>
      <c r="BH915" s="29" t="e">
        <f>IF(Data!#REF!="","",IF(Data!$G915="",1,IF(ISNUMBER(MATCH(Data!#REF!,Data_Val!$D$2:$D$10,0)),0,1)))</f>
        <v>#REF!</v>
      </c>
      <c r="BI915" s="13"/>
      <c r="BJ915" s="21" t="e">
        <f ca="1">IF(Data!#REF!="","",IF(ISNUMBER(Data!#REF!),IF(AND(Data!#REF!&gt;(TODAY()-(Data_Val!$M$3*365.25)),Data!#REF!&lt;=(TODAY()-(Data_Val!$M$2*365.25))),0,1),1))</f>
        <v>#REF!</v>
      </c>
      <c r="BK915" s="13" t="e">
        <f>IF(Data!#REF!="","",IF(Data!$G915="",1,IF(ISNUMBER(MATCH(Data!#REF!,Data_Val!$D$2:$D$10,0)),0,1)))</f>
        <v>#REF!</v>
      </c>
    </row>
    <row r="916" spans="1:63" x14ac:dyDescent="0.25">
      <c r="A916" s="9" t="str">
        <f>IF(Data!B916="","",IF(COUNTIFS(Data!A$1:'Data'!A916,Data!A916)&lt;=1,0,1))</f>
        <v/>
      </c>
      <c r="B916" s="9"/>
      <c r="C916" s="23" t="str">
        <f>IF(Data!C916="","",(IF(ISNUMBER(MATCH("*@*.?*",Data!C916,0)),0,1)+IF(COUNTIFS(Data!C$1:'Data'!C916,Data!C916)&gt;1,1,0)))</f>
        <v/>
      </c>
      <c r="D916" s="9" t="str">
        <f>IF(Data!B916="","",IF(ISNUMBER(Data!D916),IF(AND(Data!D916&gt;999999999,Data!D916&lt;=9999999999),IF(COUNTIFS(Data!D$1:'Data'!D916,Data!D916)&lt;=1,0,1),1),1))</f>
        <v/>
      </c>
      <c r="E916" s="9" t="str">
        <f>IF(Data!B916="","",IF(ISNUMBER(MATCH(Data!E916,Data_Val!$A$2:$A$3,0)),0,1))</f>
        <v/>
      </c>
      <c r="F916" s="9" t="str">
        <f ca="1">IF(Data!B916="","",IF(ISNUMBER(Data!F916),IF(AND(Data!F916&gt;(TODAY()-(Data_Val!$H$3*365.25)),Data!F916&lt;=(TODAY()-(Data_Val!$H$2*365.25))),0,1),1))</f>
        <v/>
      </c>
      <c r="G916" s="15" t="str">
        <f>IF(Data!B916="","",IF(AND(Data!G916="",Data!H916&lt;&gt;""),1,IF(Data!#REF!&lt;&gt;"",0,IF(ISNUMBER(MATCH(Data!G916,Data_Val!$C$2:$C$5,0)),0,1))))</f>
        <v/>
      </c>
      <c r="H916" s="15" t="str">
        <f>IF(Data!B916="","",IF(AND(Data!G916&lt;&gt;"",Data!H916=""),1,IF(Data!#REF!&lt;&gt;"",0,IF(Data!G916="",1,IF(ISNUMBER(MATCH(Data!H916,Data_Val!$D$2:$D$35,0)),0,1)))))</f>
        <v/>
      </c>
      <c r="I916" s="15" t="str">
        <f>IF(Data!B916="","",IF(Data!G916&lt;&gt;"",0,IF(ISNUMBER(MATCH(Data!#REF!,Data_Val!$E$2:$E$12,0)),0,1)))</f>
        <v/>
      </c>
      <c r="J916" s="16" t="e">
        <f>IF(OR(Data!B916="",Data!#REF!=""),"",IF(Data!#REF!="",1,0))</f>
        <v>#REF!</v>
      </c>
      <c r="K916" s="16" t="e">
        <f>IF(OR(Data!B916="",Data!#REF!=""),"",IF(Data!#REF!="",1,0))</f>
        <v>#REF!</v>
      </c>
      <c r="L916" s="16" t="e">
        <f>IF(OR(Data!B916="",Data!#REF!=""),"",IF(ISNUMBER(Data!#REF!),IF(AND(Data!#REF!&gt;Data_Val!$G$2,Data!#REF!&lt;=Data_Val!$G$3),0,1),1))</f>
        <v>#REF!</v>
      </c>
      <c r="M916" s="9" t="e">
        <f>IF(OR(Data!B916="",Data!#REF!=""),"",IF(ISNUMBER(MATCH(Data!#REF!,Data_Val!$F$1:$F$38,0)),0,1))</f>
        <v>#REF!</v>
      </c>
      <c r="N916" s="9" t="e">
        <f>IF(OR(Data!B916="",Data!#REF!=""),"",IF(Data!#REF!="",1,0))</f>
        <v>#REF!</v>
      </c>
      <c r="O916" s="17" t="e">
        <f>IF(Data!#REF!="","",IF(Data!#REF!="",1,0))</f>
        <v>#REF!</v>
      </c>
      <c r="P916" s="17" t="e">
        <f>IF(Data!#REF!="","",IF(ISNUMBER(MATCH(Data!#REF!,Data_Val!$A$2:$A$3,0)),0,1))</f>
        <v>#REF!</v>
      </c>
      <c r="Q916" s="25" t="e">
        <f ca="1">IF(Data!#REF!="","",IF(ISNUMBER(Data!#REF!),IF(AND(Data!#REF!&gt;(TODAY()-(Data_Val!$J$3*365.25)),Data!#REF!&lt;=(TODAY()-(Data_Val!$J$2*365.25))),0,1),1))</f>
        <v>#REF!</v>
      </c>
      <c r="R916" s="17" t="e">
        <f>IF(Data!#REF!="","",IF(ISNUMBER(MATCH(Data!#REF!,Data_Val!$B$2:$B$15,0)),0,1))</f>
        <v>#REF!</v>
      </c>
      <c r="S916" s="11" t="str">
        <f>IF(Data!G916="","",IF(Data!G916=Data_Val!$C$2,IF(Data!M916="",0,1),0))</f>
        <v/>
      </c>
      <c r="T916" s="11" t="str">
        <f>IF(Data!M916="","",IF(ISNUMBER(MATCH(Data!N916,Data_Val!$A$2:$A$3,0)),0,1))</f>
        <v/>
      </c>
      <c r="U916" s="11" t="str">
        <f ca="1">IF(Data!M916="","",IF(ISNUMBER(Data!O916),IF(AND(Data!O916&gt;(TODAY()-(Data_Val!$K$3*365.25)),Data!O916&lt;=(TODAY()-(Data_Val!$K$2*365.25))),0,1),1))</f>
        <v/>
      </c>
      <c r="V916" s="12" t="str">
        <f>IF(Data!G916="","",IF(Data!G916=Data_Val!$C$2,IF(Data!P916="",0,1),0))</f>
        <v/>
      </c>
      <c r="W916" s="12" t="str">
        <f>IF(Data!P916="","",IF(ISNUMBER(MATCH(Data!Q916,Data_Val!$A$2:$A$3,0)),0,1))</f>
        <v/>
      </c>
      <c r="X916" s="26" t="str">
        <f ca="1">IF(Data!P916="","",IF(ISNUMBER(Data!R916),IF(AND(Data!R916&gt;(TODAY()-(Data_Val!$L$3*365.25)),Data!R916&lt;=(TODAY()-(Data_Val!$L$2*365.25))),0,1),1))</f>
        <v/>
      </c>
      <c r="Y916" s="13" t="str">
        <f>IF(Data!$G916="","",IF(Data!$G916=Data_Val!$C$2,IF(Data!S916="",0,1),0))</f>
        <v/>
      </c>
      <c r="Z916" s="13" t="str">
        <f>IF(Data!S916="","",IF(ISNUMBER(MATCH(Data!T916,Data_Val!$A$2:$A$3,0)),0,1))</f>
        <v/>
      </c>
      <c r="AA916" s="28" t="str">
        <f ca="1">IF(Data!S916="","",IF(ISNUMBER(Data!U916),IF(AND(Data!U916&gt;(TODAY()-(Data_Val!$L$3*365.25)),Data!U916&lt;=(TODAY()-(Data_Val!$L$2*365.25))),0,1),1))</f>
        <v/>
      </c>
      <c r="AB916" s="11"/>
      <c r="AC916" s="11" t="e">
        <f>IF(Data!#REF!="","",IF(ISNUMBER(MATCH(Data!#REF!,Data_Val!$A$2:$A$3,0)),0,1))</f>
        <v>#REF!</v>
      </c>
      <c r="AD916" s="11" t="e">
        <f ca="1">IF(Data!#REF!="","",IF(ISNUMBER(Data!#REF!),IF(AND(Data!#REF!&gt;(TODAY()-(Data_Val!$L$3*365.25)),Data!#REF!&lt;=(TODAY()-(Data_Val!$L$2*365.25))),0,1),1))</f>
        <v>#REF!</v>
      </c>
      <c r="AE916" s="11" t="e">
        <f>IF(Data!#REF!="","",IF(Data!$G916="",1,IF(ISNUMBER(MATCH(Data!#REF!,Data_Val!$D$2:$D$10,0)),0,1)))</f>
        <v>#REF!</v>
      </c>
      <c r="AF916" s="12"/>
      <c r="AG916" s="12" t="e">
        <f>IF(Data!#REF!="","",IF(ISNUMBER(MATCH(Data!#REF!,Data_Val!$A$2:$A$3,0)),0,1))</f>
        <v>#REF!</v>
      </c>
      <c r="AH916" s="26" t="e">
        <f ca="1">IF(Data!#REF!="","",IF(ISNUMBER(Data!#REF!),IF(AND(Data!#REF!&gt;(TODAY()-(Data_Val!$L$3*365.25)),Data!#REF!&lt;=(TODAY()-(Data_Val!$L$2*365.25))),0,1),1))</f>
        <v>#REF!</v>
      </c>
      <c r="AI916" s="12" t="e">
        <f>IF(Data!#REF!="","",IF(Data!$G916="",1,IF(ISNUMBER(MATCH(Data!#REF!,Data_Val!$D$2:$D$10,0)),0,1)))</f>
        <v>#REF!</v>
      </c>
      <c r="AJ916" s="17"/>
      <c r="AK916" s="17" t="e">
        <f>IF(Data!#REF!="","",IF(ISNUMBER(MATCH(Data!#REF!,Data_Val!$A$2:$A$3,0)),0,1))</f>
        <v>#REF!</v>
      </c>
      <c r="AL916" s="25" t="e">
        <f ca="1">IF(Data!#REF!="","",IF(ISNUMBER(Data!#REF!),IF(AND(Data!#REF!&gt;(TODAY()-(Data_Val!$L$3*365.25)),Data!#REF!&lt;=(TODAY()-(Data_Val!$L$2*365.25))),0,1),1))</f>
        <v>#REF!</v>
      </c>
      <c r="AM916" s="17" t="e">
        <f>IF(Data!#REF!="","",IF(Data!$G916="",1,IF(ISNUMBER(MATCH(Data!#REF!,Data_Val!$D$2:$D$10,0)),0,1)))</f>
        <v>#REF!</v>
      </c>
      <c r="AN916" s="13"/>
      <c r="AO916" s="28" t="e">
        <f ca="1">IF(Data!#REF!="","",IF(ISNUMBER(Data!#REF!),IF(AND(Data!#REF!&gt;(TODAY()-(Data_Val!$I$3*365.25)),Data!#REF!&lt;=(TODAY()-(Data_Val!$I$2*365.25))),0,1),1))</f>
        <v>#REF!</v>
      </c>
      <c r="AP916" s="13" t="e">
        <f>IF(Data!#REF!="","",IF(Data!$G916="",1,IF(ISNUMBER(MATCH(Data!#REF!,Data_Val!$D$2:$D$10,0)),0,1)))</f>
        <v>#REF!</v>
      </c>
      <c r="AQ916" s="17"/>
      <c r="AR916" s="30" t="e">
        <f ca="1">IF(Data!#REF!="","",IF(ISNUMBER(Data!#REF!),IF(AND(Data!#REF!&gt;(TODAY()-(Data_Val!$I$3*365.25)),Data!#REF!&lt;=(TODAY()-(Data_Val!$I$2*365.25))),0,1),1))</f>
        <v>#REF!</v>
      </c>
      <c r="AS916" s="31" t="e">
        <f>IF(Data!#REF!="","",IF(Data!$G916="",1,IF(ISNUMBER(MATCH(Data!#REF!,Data_Val!$D$2:$D$10,0)),0,1)))</f>
        <v>#REF!</v>
      </c>
      <c r="AT916" s="11"/>
      <c r="AU916" s="11" t="e">
        <f ca="1">IF(Data!#REF!="","",IF(ISNUMBER(Data!#REF!),IF(AND(Data!#REF!&gt;(TODAY()-(Data_Val!$I$3*365.25)),Data!#REF!&lt;=(TODAY()-(Data_Val!$I$2*365.25))),0,1),1))</f>
        <v>#REF!</v>
      </c>
      <c r="AV916" s="11" t="e">
        <f>IF(Data!#REF!="","",IF(Data!$G916="",1,IF(ISNUMBER(MATCH(Data!#REF!,Data_Val!$D$2:$D$10,0)),0,1)))</f>
        <v>#REF!</v>
      </c>
      <c r="AW916" s="12"/>
      <c r="AX916" s="26" t="e">
        <f ca="1">IF(Data!#REF!="","",IF(ISNUMBER(Data!#REF!),IF(AND(Data!#REF!&gt;(TODAY()-(Data_Val!$I$3*365.25)),Data!#REF!&lt;=(TODAY()-(Data_Val!$I$2*365.25))),0,1),1))</f>
        <v>#REF!</v>
      </c>
      <c r="AY916" s="12" t="e">
        <f>IF(Data!#REF!="","",IF(Data!$G916="",1,IF(ISNUMBER(MATCH(Data!#REF!,Data_Val!$D$2:$D$10,0)),0,1)))</f>
        <v>#REF!</v>
      </c>
      <c r="AZ916" s="11"/>
      <c r="BA916" s="19" t="e">
        <f ca="1">IF(Data!#REF!="","",IF(ISNUMBER(Data!#REF!),IF(AND(Data!#REF!&gt;(TODAY()-(Data_Val!$M$3*365.25)),Data!#REF!&lt;=(TODAY()-(Data_Val!$M$2*365.25))),0,1),1))</f>
        <v>#REF!</v>
      </c>
      <c r="BB916" s="11" t="e">
        <f>IF(Data!#REF!="","",IF(Data!$G916="",1,IF(ISNUMBER(MATCH(Data!#REF!,Data_Val!$D$2:$D$10,0)),0,1)))</f>
        <v>#REF!</v>
      </c>
      <c r="BC916" s="12"/>
      <c r="BD916" s="20" t="e">
        <f ca="1">IF(Data!#REF!="","",IF(ISNUMBER(Data!#REF!),IF(AND(Data!#REF!&gt;(TODAY()-(Data_Val!$M$3*365.25)),Data!#REF!&lt;=(TODAY()-(Data_Val!$M$2*365.25))),0,1),1))</f>
        <v>#REF!</v>
      </c>
      <c r="BE916" s="12" t="e">
        <f>IF(Data!#REF!="","",IF(Data!$G916="",1,IF(ISNUMBER(MATCH(Data!#REF!,Data_Val!$D$2:$D$10,0)),0,1)))</f>
        <v>#REF!</v>
      </c>
      <c r="BF916" s="17"/>
      <c r="BG916" s="18" t="e">
        <f ca="1">IF(Data!#REF!="","",IF(ISNUMBER(Data!#REF!),IF(AND(Data!#REF!&gt;(TODAY()-(Data_Val!$M$3*365.25)),Data!#REF!&lt;=(TODAY()-(Data_Val!$M$2*365.25))),0,1),1))</f>
        <v>#REF!</v>
      </c>
      <c r="BH916" s="29" t="e">
        <f>IF(Data!#REF!="","",IF(Data!$G916="",1,IF(ISNUMBER(MATCH(Data!#REF!,Data_Val!$D$2:$D$10,0)),0,1)))</f>
        <v>#REF!</v>
      </c>
      <c r="BI916" s="13"/>
      <c r="BJ916" s="21" t="e">
        <f ca="1">IF(Data!#REF!="","",IF(ISNUMBER(Data!#REF!),IF(AND(Data!#REF!&gt;(TODAY()-(Data_Val!$M$3*365.25)),Data!#REF!&lt;=(TODAY()-(Data_Val!$M$2*365.25))),0,1),1))</f>
        <v>#REF!</v>
      </c>
      <c r="BK916" s="13" t="e">
        <f>IF(Data!#REF!="","",IF(Data!$G916="",1,IF(ISNUMBER(MATCH(Data!#REF!,Data_Val!$D$2:$D$10,0)),0,1)))</f>
        <v>#REF!</v>
      </c>
    </row>
    <row r="917" spans="1:63" x14ac:dyDescent="0.25">
      <c r="A917" s="9" t="str">
        <f>IF(Data!B917="","",IF(COUNTIFS(Data!A$1:'Data'!A917,Data!A917)&lt;=1,0,1))</f>
        <v/>
      </c>
      <c r="B917" s="9"/>
      <c r="C917" s="23" t="str">
        <f>IF(Data!C917="","",(IF(ISNUMBER(MATCH("*@*.?*",Data!C917,0)),0,1)+IF(COUNTIFS(Data!C$1:'Data'!C917,Data!C917)&gt;1,1,0)))</f>
        <v/>
      </c>
      <c r="D917" s="9" t="str">
        <f>IF(Data!B917="","",IF(ISNUMBER(Data!D917),IF(AND(Data!D917&gt;999999999,Data!D917&lt;=9999999999),IF(COUNTIFS(Data!D$1:'Data'!D917,Data!D917)&lt;=1,0,1),1),1))</f>
        <v/>
      </c>
      <c r="E917" s="9" t="str">
        <f>IF(Data!B917="","",IF(ISNUMBER(MATCH(Data!E917,Data_Val!$A$2:$A$3,0)),0,1))</f>
        <v/>
      </c>
      <c r="F917" s="9" t="str">
        <f ca="1">IF(Data!B917="","",IF(ISNUMBER(Data!F917),IF(AND(Data!F917&gt;(TODAY()-(Data_Val!$H$3*365.25)),Data!F917&lt;=(TODAY()-(Data_Val!$H$2*365.25))),0,1),1))</f>
        <v/>
      </c>
      <c r="G917" s="15" t="str">
        <f>IF(Data!B917="","",IF(AND(Data!G917="",Data!H917&lt;&gt;""),1,IF(Data!#REF!&lt;&gt;"",0,IF(ISNUMBER(MATCH(Data!G917,Data_Val!$C$2:$C$5,0)),0,1))))</f>
        <v/>
      </c>
      <c r="H917" s="15" t="str">
        <f>IF(Data!B917="","",IF(AND(Data!G917&lt;&gt;"",Data!H917=""),1,IF(Data!#REF!&lt;&gt;"",0,IF(Data!G917="",1,IF(ISNUMBER(MATCH(Data!H917,Data_Val!$D$2:$D$35,0)),0,1)))))</f>
        <v/>
      </c>
      <c r="I917" s="15" t="str">
        <f>IF(Data!B917="","",IF(Data!G917&lt;&gt;"",0,IF(ISNUMBER(MATCH(Data!#REF!,Data_Val!$E$2:$E$12,0)),0,1)))</f>
        <v/>
      </c>
      <c r="J917" s="16" t="e">
        <f>IF(OR(Data!B917="",Data!#REF!=""),"",IF(Data!#REF!="",1,0))</f>
        <v>#REF!</v>
      </c>
      <c r="K917" s="16" t="e">
        <f>IF(OR(Data!B917="",Data!#REF!=""),"",IF(Data!#REF!="",1,0))</f>
        <v>#REF!</v>
      </c>
      <c r="L917" s="16" t="e">
        <f>IF(OR(Data!B917="",Data!#REF!=""),"",IF(ISNUMBER(Data!#REF!),IF(AND(Data!#REF!&gt;Data_Val!$G$2,Data!#REF!&lt;=Data_Val!$G$3),0,1),1))</f>
        <v>#REF!</v>
      </c>
      <c r="M917" s="9" t="e">
        <f>IF(OR(Data!B917="",Data!#REF!=""),"",IF(ISNUMBER(MATCH(Data!#REF!,Data_Val!$F$1:$F$38,0)),0,1))</f>
        <v>#REF!</v>
      </c>
      <c r="N917" s="9" t="e">
        <f>IF(OR(Data!B917="",Data!#REF!=""),"",IF(Data!#REF!="",1,0))</f>
        <v>#REF!</v>
      </c>
      <c r="O917" s="17" t="e">
        <f>IF(Data!#REF!="","",IF(Data!#REF!="",1,0))</f>
        <v>#REF!</v>
      </c>
      <c r="P917" s="17" t="e">
        <f>IF(Data!#REF!="","",IF(ISNUMBER(MATCH(Data!#REF!,Data_Val!$A$2:$A$3,0)),0,1))</f>
        <v>#REF!</v>
      </c>
      <c r="Q917" s="25" t="e">
        <f ca="1">IF(Data!#REF!="","",IF(ISNUMBER(Data!#REF!),IF(AND(Data!#REF!&gt;(TODAY()-(Data_Val!$J$3*365.25)),Data!#REF!&lt;=(TODAY()-(Data_Val!$J$2*365.25))),0,1),1))</f>
        <v>#REF!</v>
      </c>
      <c r="R917" s="17" t="e">
        <f>IF(Data!#REF!="","",IF(ISNUMBER(MATCH(Data!#REF!,Data_Val!$B$2:$B$15,0)),0,1))</f>
        <v>#REF!</v>
      </c>
      <c r="S917" s="11" t="str">
        <f>IF(Data!G917="","",IF(Data!G917=Data_Val!$C$2,IF(Data!M917="",0,1),0))</f>
        <v/>
      </c>
      <c r="T917" s="11" t="str">
        <f>IF(Data!M917="","",IF(ISNUMBER(MATCH(Data!N917,Data_Val!$A$2:$A$3,0)),0,1))</f>
        <v/>
      </c>
      <c r="U917" s="11" t="str">
        <f ca="1">IF(Data!M917="","",IF(ISNUMBER(Data!O917),IF(AND(Data!O917&gt;(TODAY()-(Data_Val!$K$3*365.25)),Data!O917&lt;=(TODAY()-(Data_Val!$K$2*365.25))),0,1),1))</f>
        <v/>
      </c>
      <c r="V917" s="12" t="str">
        <f>IF(Data!G917="","",IF(Data!G917=Data_Val!$C$2,IF(Data!P917="",0,1),0))</f>
        <v/>
      </c>
      <c r="W917" s="12" t="str">
        <f>IF(Data!P917="","",IF(ISNUMBER(MATCH(Data!Q917,Data_Val!$A$2:$A$3,0)),0,1))</f>
        <v/>
      </c>
      <c r="X917" s="26" t="str">
        <f ca="1">IF(Data!P917="","",IF(ISNUMBER(Data!R917),IF(AND(Data!R917&gt;(TODAY()-(Data_Val!$L$3*365.25)),Data!R917&lt;=(TODAY()-(Data_Val!$L$2*365.25))),0,1),1))</f>
        <v/>
      </c>
      <c r="Y917" s="13" t="str">
        <f>IF(Data!$G917="","",IF(Data!$G917=Data_Val!$C$2,IF(Data!S917="",0,1),0))</f>
        <v/>
      </c>
      <c r="Z917" s="13" t="str">
        <f>IF(Data!S917="","",IF(ISNUMBER(MATCH(Data!T917,Data_Val!$A$2:$A$3,0)),0,1))</f>
        <v/>
      </c>
      <c r="AA917" s="28" t="str">
        <f ca="1">IF(Data!S917="","",IF(ISNUMBER(Data!U917),IF(AND(Data!U917&gt;(TODAY()-(Data_Val!$L$3*365.25)),Data!U917&lt;=(TODAY()-(Data_Val!$L$2*365.25))),0,1),1))</f>
        <v/>
      </c>
      <c r="AB917" s="11"/>
      <c r="AC917" s="11" t="e">
        <f>IF(Data!#REF!="","",IF(ISNUMBER(MATCH(Data!#REF!,Data_Val!$A$2:$A$3,0)),0,1))</f>
        <v>#REF!</v>
      </c>
      <c r="AD917" s="11" t="e">
        <f ca="1">IF(Data!#REF!="","",IF(ISNUMBER(Data!#REF!),IF(AND(Data!#REF!&gt;(TODAY()-(Data_Val!$L$3*365.25)),Data!#REF!&lt;=(TODAY()-(Data_Val!$L$2*365.25))),0,1),1))</f>
        <v>#REF!</v>
      </c>
      <c r="AE917" s="11" t="e">
        <f>IF(Data!#REF!="","",IF(Data!$G917="",1,IF(ISNUMBER(MATCH(Data!#REF!,Data_Val!$D$2:$D$10,0)),0,1)))</f>
        <v>#REF!</v>
      </c>
      <c r="AF917" s="12"/>
      <c r="AG917" s="12" t="e">
        <f>IF(Data!#REF!="","",IF(ISNUMBER(MATCH(Data!#REF!,Data_Val!$A$2:$A$3,0)),0,1))</f>
        <v>#REF!</v>
      </c>
      <c r="AH917" s="26" t="e">
        <f ca="1">IF(Data!#REF!="","",IF(ISNUMBER(Data!#REF!),IF(AND(Data!#REF!&gt;(TODAY()-(Data_Val!$L$3*365.25)),Data!#REF!&lt;=(TODAY()-(Data_Val!$L$2*365.25))),0,1),1))</f>
        <v>#REF!</v>
      </c>
      <c r="AI917" s="12" t="e">
        <f>IF(Data!#REF!="","",IF(Data!$G917="",1,IF(ISNUMBER(MATCH(Data!#REF!,Data_Val!$D$2:$D$10,0)),0,1)))</f>
        <v>#REF!</v>
      </c>
      <c r="AJ917" s="17"/>
      <c r="AK917" s="17" t="e">
        <f>IF(Data!#REF!="","",IF(ISNUMBER(MATCH(Data!#REF!,Data_Val!$A$2:$A$3,0)),0,1))</f>
        <v>#REF!</v>
      </c>
      <c r="AL917" s="25" t="e">
        <f ca="1">IF(Data!#REF!="","",IF(ISNUMBER(Data!#REF!),IF(AND(Data!#REF!&gt;(TODAY()-(Data_Val!$L$3*365.25)),Data!#REF!&lt;=(TODAY()-(Data_Val!$L$2*365.25))),0,1),1))</f>
        <v>#REF!</v>
      </c>
      <c r="AM917" s="17" t="e">
        <f>IF(Data!#REF!="","",IF(Data!$G917="",1,IF(ISNUMBER(MATCH(Data!#REF!,Data_Val!$D$2:$D$10,0)),0,1)))</f>
        <v>#REF!</v>
      </c>
      <c r="AN917" s="13"/>
      <c r="AO917" s="28" t="e">
        <f ca="1">IF(Data!#REF!="","",IF(ISNUMBER(Data!#REF!),IF(AND(Data!#REF!&gt;(TODAY()-(Data_Val!$I$3*365.25)),Data!#REF!&lt;=(TODAY()-(Data_Val!$I$2*365.25))),0,1),1))</f>
        <v>#REF!</v>
      </c>
      <c r="AP917" s="13" t="e">
        <f>IF(Data!#REF!="","",IF(Data!$G917="",1,IF(ISNUMBER(MATCH(Data!#REF!,Data_Val!$D$2:$D$10,0)),0,1)))</f>
        <v>#REF!</v>
      </c>
      <c r="AQ917" s="17"/>
      <c r="AR917" s="30" t="e">
        <f ca="1">IF(Data!#REF!="","",IF(ISNUMBER(Data!#REF!),IF(AND(Data!#REF!&gt;(TODAY()-(Data_Val!$I$3*365.25)),Data!#REF!&lt;=(TODAY()-(Data_Val!$I$2*365.25))),0,1),1))</f>
        <v>#REF!</v>
      </c>
      <c r="AS917" s="31" t="e">
        <f>IF(Data!#REF!="","",IF(Data!$G917="",1,IF(ISNUMBER(MATCH(Data!#REF!,Data_Val!$D$2:$D$10,0)),0,1)))</f>
        <v>#REF!</v>
      </c>
      <c r="AT917" s="11"/>
      <c r="AU917" s="11" t="e">
        <f ca="1">IF(Data!#REF!="","",IF(ISNUMBER(Data!#REF!),IF(AND(Data!#REF!&gt;(TODAY()-(Data_Val!$I$3*365.25)),Data!#REF!&lt;=(TODAY()-(Data_Val!$I$2*365.25))),0,1),1))</f>
        <v>#REF!</v>
      </c>
      <c r="AV917" s="11" t="e">
        <f>IF(Data!#REF!="","",IF(Data!$G917="",1,IF(ISNUMBER(MATCH(Data!#REF!,Data_Val!$D$2:$D$10,0)),0,1)))</f>
        <v>#REF!</v>
      </c>
      <c r="AW917" s="12"/>
      <c r="AX917" s="26" t="e">
        <f ca="1">IF(Data!#REF!="","",IF(ISNUMBER(Data!#REF!),IF(AND(Data!#REF!&gt;(TODAY()-(Data_Val!$I$3*365.25)),Data!#REF!&lt;=(TODAY()-(Data_Val!$I$2*365.25))),0,1),1))</f>
        <v>#REF!</v>
      </c>
      <c r="AY917" s="12" t="e">
        <f>IF(Data!#REF!="","",IF(Data!$G917="",1,IF(ISNUMBER(MATCH(Data!#REF!,Data_Val!$D$2:$D$10,0)),0,1)))</f>
        <v>#REF!</v>
      </c>
      <c r="AZ917" s="11"/>
      <c r="BA917" s="19" t="e">
        <f ca="1">IF(Data!#REF!="","",IF(ISNUMBER(Data!#REF!),IF(AND(Data!#REF!&gt;(TODAY()-(Data_Val!$M$3*365.25)),Data!#REF!&lt;=(TODAY()-(Data_Val!$M$2*365.25))),0,1),1))</f>
        <v>#REF!</v>
      </c>
      <c r="BB917" s="11" t="e">
        <f>IF(Data!#REF!="","",IF(Data!$G917="",1,IF(ISNUMBER(MATCH(Data!#REF!,Data_Val!$D$2:$D$10,0)),0,1)))</f>
        <v>#REF!</v>
      </c>
      <c r="BC917" s="12"/>
      <c r="BD917" s="20" t="e">
        <f ca="1">IF(Data!#REF!="","",IF(ISNUMBER(Data!#REF!),IF(AND(Data!#REF!&gt;(TODAY()-(Data_Val!$M$3*365.25)),Data!#REF!&lt;=(TODAY()-(Data_Val!$M$2*365.25))),0,1),1))</f>
        <v>#REF!</v>
      </c>
      <c r="BE917" s="12" t="e">
        <f>IF(Data!#REF!="","",IF(Data!$G917="",1,IF(ISNUMBER(MATCH(Data!#REF!,Data_Val!$D$2:$D$10,0)),0,1)))</f>
        <v>#REF!</v>
      </c>
      <c r="BF917" s="17"/>
      <c r="BG917" s="18" t="e">
        <f ca="1">IF(Data!#REF!="","",IF(ISNUMBER(Data!#REF!),IF(AND(Data!#REF!&gt;(TODAY()-(Data_Val!$M$3*365.25)),Data!#REF!&lt;=(TODAY()-(Data_Val!$M$2*365.25))),0,1),1))</f>
        <v>#REF!</v>
      </c>
      <c r="BH917" s="29" t="e">
        <f>IF(Data!#REF!="","",IF(Data!$G917="",1,IF(ISNUMBER(MATCH(Data!#REF!,Data_Val!$D$2:$D$10,0)),0,1)))</f>
        <v>#REF!</v>
      </c>
      <c r="BI917" s="13"/>
      <c r="BJ917" s="21" t="e">
        <f ca="1">IF(Data!#REF!="","",IF(ISNUMBER(Data!#REF!),IF(AND(Data!#REF!&gt;(TODAY()-(Data_Val!$M$3*365.25)),Data!#REF!&lt;=(TODAY()-(Data_Val!$M$2*365.25))),0,1),1))</f>
        <v>#REF!</v>
      </c>
      <c r="BK917" s="13" t="e">
        <f>IF(Data!#REF!="","",IF(Data!$G917="",1,IF(ISNUMBER(MATCH(Data!#REF!,Data_Val!$D$2:$D$10,0)),0,1)))</f>
        <v>#REF!</v>
      </c>
    </row>
    <row r="918" spans="1:63" x14ac:dyDescent="0.25">
      <c r="A918" s="9" t="str">
        <f>IF(Data!B918="","",IF(COUNTIFS(Data!A$1:'Data'!A918,Data!A918)&lt;=1,0,1))</f>
        <v/>
      </c>
      <c r="B918" s="9"/>
      <c r="C918" s="23" t="str">
        <f>IF(Data!C918="","",(IF(ISNUMBER(MATCH("*@*.?*",Data!C918,0)),0,1)+IF(COUNTIFS(Data!C$1:'Data'!C918,Data!C918)&gt;1,1,0)))</f>
        <v/>
      </c>
      <c r="D918" s="9" t="str">
        <f>IF(Data!B918="","",IF(ISNUMBER(Data!D918),IF(AND(Data!D918&gt;999999999,Data!D918&lt;=9999999999),IF(COUNTIFS(Data!D$1:'Data'!D918,Data!D918)&lt;=1,0,1),1),1))</f>
        <v/>
      </c>
      <c r="E918" s="9" t="str">
        <f>IF(Data!B918="","",IF(ISNUMBER(MATCH(Data!E918,Data_Val!$A$2:$A$3,0)),0,1))</f>
        <v/>
      </c>
      <c r="F918" s="9" t="str">
        <f ca="1">IF(Data!B918="","",IF(ISNUMBER(Data!F918),IF(AND(Data!F918&gt;(TODAY()-(Data_Val!$H$3*365.25)),Data!F918&lt;=(TODAY()-(Data_Val!$H$2*365.25))),0,1),1))</f>
        <v/>
      </c>
      <c r="G918" s="15" t="str">
        <f>IF(Data!B918="","",IF(AND(Data!G918="",Data!H918&lt;&gt;""),1,IF(Data!#REF!&lt;&gt;"",0,IF(ISNUMBER(MATCH(Data!G918,Data_Val!$C$2:$C$5,0)),0,1))))</f>
        <v/>
      </c>
      <c r="H918" s="15" t="str">
        <f>IF(Data!B918="","",IF(AND(Data!G918&lt;&gt;"",Data!H918=""),1,IF(Data!#REF!&lt;&gt;"",0,IF(Data!G918="",1,IF(ISNUMBER(MATCH(Data!H918,Data_Val!$D$2:$D$35,0)),0,1)))))</f>
        <v/>
      </c>
      <c r="I918" s="15" t="str">
        <f>IF(Data!B918="","",IF(Data!G918&lt;&gt;"",0,IF(ISNUMBER(MATCH(Data!#REF!,Data_Val!$E$2:$E$12,0)),0,1)))</f>
        <v/>
      </c>
      <c r="J918" s="16" t="e">
        <f>IF(OR(Data!B918="",Data!#REF!=""),"",IF(Data!#REF!="",1,0))</f>
        <v>#REF!</v>
      </c>
      <c r="K918" s="16" t="e">
        <f>IF(OR(Data!B918="",Data!#REF!=""),"",IF(Data!#REF!="",1,0))</f>
        <v>#REF!</v>
      </c>
      <c r="L918" s="16" t="e">
        <f>IF(OR(Data!B918="",Data!#REF!=""),"",IF(ISNUMBER(Data!#REF!),IF(AND(Data!#REF!&gt;Data_Val!$G$2,Data!#REF!&lt;=Data_Val!$G$3),0,1),1))</f>
        <v>#REF!</v>
      </c>
      <c r="M918" s="9" t="e">
        <f>IF(OR(Data!B918="",Data!#REF!=""),"",IF(ISNUMBER(MATCH(Data!#REF!,Data_Val!$F$1:$F$38,0)),0,1))</f>
        <v>#REF!</v>
      </c>
      <c r="N918" s="9" t="e">
        <f>IF(OR(Data!B918="",Data!#REF!=""),"",IF(Data!#REF!="",1,0))</f>
        <v>#REF!</v>
      </c>
      <c r="O918" s="17" t="e">
        <f>IF(Data!#REF!="","",IF(Data!#REF!="",1,0))</f>
        <v>#REF!</v>
      </c>
      <c r="P918" s="17" t="e">
        <f>IF(Data!#REF!="","",IF(ISNUMBER(MATCH(Data!#REF!,Data_Val!$A$2:$A$3,0)),0,1))</f>
        <v>#REF!</v>
      </c>
      <c r="Q918" s="25" t="e">
        <f ca="1">IF(Data!#REF!="","",IF(ISNUMBER(Data!#REF!),IF(AND(Data!#REF!&gt;(TODAY()-(Data_Val!$J$3*365.25)),Data!#REF!&lt;=(TODAY()-(Data_Val!$J$2*365.25))),0,1),1))</f>
        <v>#REF!</v>
      </c>
      <c r="R918" s="17" t="e">
        <f>IF(Data!#REF!="","",IF(ISNUMBER(MATCH(Data!#REF!,Data_Val!$B$2:$B$15,0)),0,1))</f>
        <v>#REF!</v>
      </c>
      <c r="S918" s="11" t="str">
        <f>IF(Data!G918="","",IF(Data!G918=Data_Val!$C$2,IF(Data!M918="",0,1),0))</f>
        <v/>
      </c>
      <c r="T918" s="11" t="str">
        <f>IF(Data!M918="","",IF(ISNUMBER(MATCH(Data!N918,Data_Val!$A$2:$A$3,0)),0,1))</f>
        <v/>
      </c>
      <c r="U918" s="11" t="str">
        <f ca="1">IF(Data!M918="","",IF(ISNUMBER(Data!O918),IF(AND(Data!O918&gt;(TODAY()-(Data_Val!$K$3*365.25)),Data!O918&lt;=(TODAY()-(Data_Val!$K$2*365.25))),0,1),1))</f>
        <v/>
      </c>
      <c r="V918" s="12" t="str">
        <f>IF(Data!G918="","",IF(Data!G918=Data_Val!$C$2,IF(Data!P918="",0,1),0))</f>
        <v/>
      </c>
      <c r="W918" s="12" t="str">
        <f>IF(Data!P918="","",IF(ISNUMBER(MATCH(Data!Q918,Data_Val!$A$2:$A$3,0)),0,1))</f>
        <v/>
      </c>
      <c r="X918" s="26" t="str">
        <f ca="1">IF(Data!P918="","",IF(ISNUMBER(Data!R918),IF(AND(Data!R918&gt;(TODAY()-(Data_Val!$L$3*365.25)),Data!R918&lt;=(TODAY()-(Data_Val!$L$2*365.25))),0,1),1))</f>
        <v/>
      </c>
      <c r="Y918" s="13" t="str">
        <f>IF(Data!$G918="","",IF(Data!$G918=Data_Val!$C$2,IF(Data!S918="",0,1),0))</f>
        <v/>
      </c>
      <c r="Z918" s="13" t="str">
        <f>IF(Data!S918="","",IF(ISNUMBER(MATCH(Data!T918,Data_Val!$A$2:$A$3,0)),0,1))</f>
        <v/>
      </c>
      <c r="AA918" s="28" t="str">
        <f ca="1">IF(Data!S918="","",IF(ISNUMBER(Data!U918),IF(AND(Data!U918&gt;(TODAY()-(Data_Val!$L$3*365.25)),Data!U918&lt;=(TODAY()-(Data_Val!$L$2*365.25))),0,1),1))</f>
        <v/>
      </c>
      <c r="AB918" s="11"/>
      <c r="AC918" s="11" t="e">
        <f>IF(Data!#REF!="","",IF(ISNUMBER(MATCH(Data!#REF!,Data_Val!$A$2:$A$3,0)),0,1))</f>
        <v>#REF!</v>
      </c>
      <c r="AD918" s="11" t="e">
        <f ca="1">IF(Data!#REF!="","",IF(ISNUMBER(Data!#REF!),IF(AND(Data!#REF!&gt;(TODAY()-(Data_Val!$L$3*365.25)),Data!#REF!&lt;=(TODAY()-(Data_Val!$L$2*365.25))),0,1),1))</f>
        <v>#REF!</v>
      </c>
      <c r="AE918" s="11" t="e">
        <f>IF(Data!#REF!="","",IF(Data!$G918="",1,IF(ISNUMBER(MATCH(Data!#REF!,Data_Val!$D$2:$D$10,0)),0,1)))</f>
        <v>#REF!</v>
      </c>
      <c r="AF918" s="12"/>
      <c r="AG918" s="12" t="e">
        <f>IF(Data!#REF!="","",IF(ISNUMBER(MATCH(Data!#REF!,Data_Val!$A$2:$A$3,0)),0,1))</f>
        <v>#REF!</v>
      </c>
      <c r="AH918" s="26" t="e">
        <f ca="1">IF(Data!#REF!="","",IF(ISNUMBER(Data!#REF!),IF(AND(Data!#REF!&gt;(TODAY()-(Data_Val!$L$3*365.25)),Data!#REF!&lt;=(TODAY()-(Data_Val!$L$2*365.25))),0,1),1))</f>
        <v>#REF!</v>
      </c>
      <c r="AI918" s="12" t="e">
        <f>IF(Data!#REF!="","",IF(Data!$G918="",1,IF(ISNUMBER(MATCH(Data!#REF!,Data_Val!$D$2:$D$10,0)),0,1)))</f>
        <v>#REF!</v>
      </c>
      <c r="AJ918" s="17"/>
      <c r="AK918" s="17" t="e">
        <f>IF(Data!#REF!="","",IF(ISNUMBER(MATCH(Data!#REF!,Data_Val!$A$2:$A$3,0)),0,1))</f>
        <v>#REF!</v>
      </c>
      <c r="AL918" s="25" t="e">
        <f ca="1">IF(Data!#REF!="","",IF(ISNUMBER(Data!#REF!),IF(AND(Data!#REF!&gt;(TODAY()-(Data_Val!$L$3*365.25)),Data!#REF!&lt;=(TODAY()-(Data_Val!$L$2*365.25))),0,1),1))</f>
        <v>#REF!</v>
      </c>
      <c r="AM918" s="17" t="e">
        <f>IF(Data!#REF!="","",IF(Data!$G918="",1,IF(ISNUMBER(MATCH(Data!#REF!,Data_Val!$D$2:$D$10,0)),0,1)))</f>
        <v>#REF!</v>
      </c>
      <c r="AN918" s="13"/>
      <c r="AO918" s="28" t="e">
        <f ca="1">IF(Data!#REF!="","",IF(ISNUMBER(Data!#REF!),IF(AND(Data!#REF!&gt;(TODAY()-(Data_Val!$I$3*365.25)),Data!#REF!&lt;=(TODAY()-(Data_Val!$I$2*365.25))),0,1),1))</f>
        <v>#REF!</v>
      </c>
      <c r="AP918" s="13" t="e">
        <f>IF(Data!#REF!="","",IF(Data!$G918="",1,IF(ISNUMBER(MATCH(Data!#REF!,Data_Val!$D$2:$D$10,0)),0,1)))</f>
        <v>#REF!</v>
      </c>
      <c r="AQ918" s="17"/>
      <c r="AR918" s="30" t="e">
        <f ca="1">IF(Data!#REF!="","",IF(ISNUMBER(Data!#REF!),IF(AND(Data!#REF!&gt;(TODAY()-(Data_Val!$I$3*365.25)),Data!#REF!&lt;=(TODAY()-(Data_Val!$I$2*365.25))),0,1),1))</f>
        <v>#REF!</v>
      </c>
      <c r="AS918" s="31" t="e">
        <f>IF(Data!#REF!="","",IF(Data!$G918="",1,IF(ISNUMBER(MATCH(Data!#REF!,Data_Val!$D$2:$D$10,0)),0,1)))</f>
        <v>#REF!</v>
      </c>
      <c r="AT918" s="11"/>
      <c r="AU918" s="11" t="e">
        <f ca="1">IF(Data!#REF!="","",IF(ISNUMBER(Data!#REF!),IF(AND(Data!#REF!&gt;(TODAY()-(Data_Val!$I$3*365.25)),Data!#REF!&lt;=(TODAY()-(Data_Val!$I$2*365.25))),0,1),1))</f>
        <v>#REF!</v>
      </c>
      <c r="AV918" s="11" t="e">
        <f>IF(Data!#REF!="","",IF(Data!$G918="",1,IF(ISNUMBER(MATCH(Data!#REF!,Data_Val!$D$2:$D$10,0)),0,1)))</f>
        <v>#REF!</v>
      </c>
      <c r="AW918" s="12"/>
      <c r="AX918" s="26" t="e">
        <f ca="1">IF(Data!#REF!="","",IF(ISNUMBER(Data!#REF!),IF(AND(Data!#REF!&gt;(TODAY()-(Data_Val!$I$3*365.25)),Data!#REF!&lt;=(TODAY()-(Data_Val!$I$2*365.25))),0,1),1))</f>
        <v>#REF!</v>
      </c>
      <c r="AY918" s="12" t="e">
        <f>IF(Data!#REF!="","",IF(Data!$G918="",1,IF(ISNUMBER(MATCH(Data!#REF!,Data_Val!$D$2:$D$10,0)),0,1)))</f>
        <v>#REF!</v>
      </c>
      <c r="AZ918" s="11"/>
      <c r="BA918" s="19" t="e">
        <f ca="1">IF(Data!#REF!="","",IF(ISNUMBER(Data!#REF!),IF(AND(Data!#REF!&gt;(TODAY()-(Data_Val!$M$3*365.25)),Data!#REF!&lt;=(TODAY()-(Data_Val!$M$2*365.25))),0,1),1))</f>
        <v>#REF!</v>
      </c>
      <c r="BB918" s="11" t="e">
        <f>IF(Data!#REF!="","",IF(Data!$G918="",1,IF(ISNUMBER(MATCH(Data!#REF!,Data_Val!$D$2:$D$10,0)),0,1)))</f>
        <v>#REF!</v>
      </c>
      <c r="BC918" s="12"/>
      <c r="BD918" s="20" t="e">
        <f ca="1">IF(Data!#REF!="","",IF(ISNUMBER(Data!#REF!),IF(AND(Data!#REF!&gt;(TODAY()-(Data_Val!$M$3*365.25)),Data!#REF!&lt;=(TODAY()-(Data_Val!$M$2*365.25))),0,1),1))</f>
        <v>#REF!</v>
      </c>
      <c r="BE918" s="12" t="e">
        <f>IF(Data!#REF!="","",IF(Data!$G918="",1,IF(ISNUMBER(MATCH(Data!#REF!,Data_Val!$D$2:$D$10,0)),0,1)))</f>
        <v>#REF!</v>
      </c>
      <c r="BF918" s="17"/>
      <c r="BG918" s="18" t="e">
        <f ca="1">IF(Data!#REF!="","",IF(ISNUMBER(Data!#REF!),IF(AND(Data!#REF!&gt;(TODAY()-(Data_Val!$M$3*365.25)),Data!#REF!&lt;=(TODAY()-(Data_Val!$M$2*365.25))),0,1),1))</f>
        <v>#REF!</v>
      </c>
      <c r="BH918" s="29" t="e">
        <f>IF(Data!#REF!="","",IF(Data!$G918="",1,IF(ISNUMBER(MATCH(Data!#REF!,Data_Val!$D$2:$D$10,0)),0,1)))</f>
        <v>#REF!</v>
      </c>
      <c r="BI918" s="13"/>
      <c r="BJ918" s="21" t="e">
        <f ca="1">IF(Data!#REF!="","",IF(ISNUMBER(Data!#REF!),IF(AND(Data!#REF!&gt;(TODAY()-(Data_Val!$M$3*365.25)),Data!#REF!&lt;=(TODAY()-(Data_Val!$M$2*365.25))),0,1),1))</f>
        <v>#REF!</v>
      </c>
      <c r="BK918" s="13" t="e">
        <f>IF(Data!#REF!="","",IF(Data!$G918="",1,IF(ISNUMBER(MATCH(Data!#REF!,Data_Val!$D$2:$D$10,0)),0,1)))</f>
        <v>#REF!</v>
      </c>
    </row>
    <row r="919" spans="1:63" x14ac:dyDescent="0.25">
      <c r="A919" s="9" t="str">
        <f>IF(Data!B919="","",IF(COUNTIFS(Data!A$1:'Data'!A919,Data!A919)&lt;=1,0,1))</f>
        <v/>
      </c>
      <c r="B919" s="9"/>
      <c r="C919" s="23" t="str">
        <f>IF(Data!C919="","",(IF(ISNUMBER(MATCH("*@*.?*",Data!C919,0)),0,1)+IF(COUNTIFS(Data!C$1:'Data'!C919,Data!C919)&gt;1,1,0)))</f>
        <v/>
      </c>
      <c r="D919" s="9" t="str">
        <f>IF(Data!B919="","",IF(ISNUMBER(Data!D919),IF(AND(Data!D919&gt;999999999,Data!D919&lt;=9999999999),IF(COUNTIFS(Data!D$1:'Data'!D919,Data!D919)&lt;=1,0,1),1),1))</f>
        <v/>
      </c>
      <c r="E919" s="9" t="str">
        <f>IF(Data!B919="","",IF(ISNUMBER(MATCH(Data!E919,Data_Val!$A$2:$A$3,0)),0,1))</f>
        <v/>
      </c>
      <c r="F919" s="9" t="str">
        <f ca="1">IF(Data!B919="","",IF(ISNUMBER(Data!F919),IF(AND(Data!F919&gt;(TODAY()-(Data_Val!$H$3*365.25)),Data!F919&lt;=(TODAY()-(Data_Val!$H$2*365.25))),0,1),1))</f>
        <v/>
      </c>
      <c r="G919" s="15" t="str">
        <f>IF(Data!B919="","",IF(AND(Data!G919="",Data!H919&lt;&gt;""),1,IF(Data!#REF!&lt;&gt;"",0,IF(ISNUMBER(MATCH(Data!G919,Data_Val!$C$2:$C$5,0)),0,1))))</f>
        <v/>
      </c>
      <c r="H919" s="15" t="str">
        <f>IF(Data!B919="","",IF(AND(Data!G919&lt;&gt;"",Data!H919=""),1,IF(Data!#REF!&lt;&gt;"",0,IF(Data!G919="",1,IF(ISNUMBER(MATCH(Data!H919,Data_Val!$D$2:$D$35,0)),0,1)))))</f>
        <v/>
      </c>
      <c r="I919" s="15" t="str">
        <f>IF(Data!B919="","",IF(Data!G919&lt;&gt;"",0,IF(ISNUMBER(MATCH(Data!#REF!,Data_Val!$E$2:$E$12,0)),0,1)))</f>
        <v/>
      </c>
      <c r="J919" s="16" t="e">
        <f>IF(OR(Data!B919="",Data!#REF!=""),"",IF(Data!#REF!="",1,0))</f>
        <v>#REF!</v>
      </c>
      <c r="K919" s="16" t="e">
        <f>IF(OR(Data!B919="",Data!#REF!=""),"",IF(Data!#REF!="",1,0))</f>
        <v>#REF!</v>
      </c>
      <c r="L919" s="16" t="e">
        <f>IF(OR(Data!B919="",Data!#REF!=""),"",IF(ISNUMBER(Data!#REF!),IF(AND(Data!#REF!&gt;Data_Val!$G$2,Data!#REF!&lt;=Data_Val!$G$3),0,1),1))</f>
        <v>#REF!</v>
      </c>
      <c r="M919" s="9" t="e">
        <f>IF(OR(Data!B919="",Data!#REF!=""),"",IF(ISNUMBER(MATCH(Data!#REF!,Data_Val!$F$1:$F$38,0)),0,1))</f>
        <v>#REF!</v>
      </c>
      <c r="N919" s="9" t="e">
        <f>IF(OR(Data!B919="",Data!#REF!=""),"",IF(Data!#REF!="",1,0))</f>
        <v>#REF!</v>
      </c>
      <c r="O919" s="17" t="e">
        <f>IF(Data!#REF!="","",IF(Data!#REF!="",1,0))</f>
        <v>#REF!</v>
      </c>
      <c r="P919" s="17" t="e">
        <f>IF(Data!#REF!="","",IF(ISNUMBER(MATCH(Data!#REF!,Data_Val!$A$2:$A$3,0)),0,1))</f>
        <v>#REF!</v>
      </c>
      <c r="Q919" s="25" t="e">
        <f ca="1">IF(Data!#REF!="","",IF(ISNUMBER(Data!#REF!),IF(AND(Data!#REF!&gt;(TODAY()-(Data_Val!$J$3*365.25)),Data!#REF!&lt;=(TODAY()-(Data_Val!$J$2*365.25))),0,1),1))</f>
        <v>#REF!</v>
      </c>
      <c r="R919" s="17" t="e">
        <f>IF(Data!#REF!="","",IF(ISNUMBER(MATCH(Data!#REF!,Data_Val!$B$2:$B$15,0)),0,1))</f>
        <v>#REF!</v>
      </c>
      <c r="S919" s="11" t="str">
        <f>IF(Data!G919="","",IF(Data!G919=Data_Val!$C$2,IF(Data!M919="",0,1),0))</f>
        <v/>
      </c>
      <c r="T919" s="11" t="str">
        <f>IF(Data!M919="","",IF(ISNUMBER(MATCH(Data!N919,Data_Val!$A$2:$A$3,0)),0,1))</f>
        <v/>
      </c>
      <c r="U919" s="11" t="str">
        <f ca="1">IF(Data!M919="","",IF(ISNUMBER(Data!O919),IF(AND(Data!O919&gt;(TODAY()-(Data_Val!$K$3*365.25)),Data!O919&lt;=(TODAY()-(Data_Val!$K$2*365.25))),0,1),1))</f>
        <v/>
      </c>
      <c r="V919" s="12" t="str">
        <f>IF(Data!G919="","",IF(Data!G919=Data_Val!$C$2,IF(Data!P919="",0,1),0))</f>
        <v/>
      </c>
      <c r="W919" s="12" t="str">
        <f>IF(Data!P919="","",IF(ISNUMBER(MATCH(Data!Q919,Data_Val!$A$2:$A$3,0)),0,1))</f>
        <v/>
      </c>
      <c r="X919" s="26" t="str">
        <f ca="1">IF(Data!P919="","",IF(ISNUMBER(Data!R919),IF(AND(Data!R919&gt;(TODAY()-(Data_Val!$L$3*365.25)),Data!R919&lt;=(TODAY()-(Data_Val!$L$2*365.25))),0,1),1))</f>
        <v/>
      </c>
      <c r="Y919" s="13" t="str">
        <f>IF(Data!$G919="","",IF(Data!$G919=Data_Val!$C$2,IF(Data!S919="",0,1),0))</f>
        <v/>
      </c>
      <c r="Z919" s="13" t="str">
        <f>IF(Data!S919="","",IF(ISNUMBER(MATCH(Data!T919,Data_Val!$A$2:$A$3,0)),0,1))</f>
        <v/>
      </c>
      <c r="AA919" s="28" t="str">
        <f ca="1">IF(Data!S919="","",IF(ISNUMBER(Data!U919),IF(AND(Data!U919&gt;(TODAY()-(Data_Val!$L$3*365.25)),Data!U919&lt;=(TODAY()-(Data_Val!$L$2*365.25))),0,1),1))</f>
        <v/>
      </c>
      <c r="AB919" s="11"/>
      <c r="AC919" s="11" t="e">
        <f>IF(Data!#REF!="","",IF(ISNUMBER(MATCH(Data!#REF!,Data_Val!$A$2:$A$3,0)),0,1))</f>
        <v>#REF!</v>
      </c>
      <c r="AD919" s="11" t="e">
        <f ca="1">IF(Data!#REF!="","",IF(ISNUMBER(Data!#REF!),IF(AND(Data!#REF!&gt;(TODAY()-(Data_Val!$L$3*365.25)),Data!#REF!&lt;=(TODAY()-(Data_Val!$L$2*365.25))),0,1),1))</f>
        <v>#REF!</v>
      </c>
      <c r="AE919" s="11" t="e">
        <f>IF(Data!#REF!="","",IF(Data!$G919="",1,IF(ISNUMBER(MATCH(Data!#REF!,Data_Val!$D$2:$D$10,0)),0,1)))</f>
        <v>#REF!</v>
      </c>
      <c r="AF919" s="12"/>
      <c r="AG919" s="12" t="e">
        <f>IF(Data!#REF!="","",IF(ISNUMBER(MATCH(Data!#REF!,Data_Val!$A$2:$A$3,0)),0,1))</f>
        <v>#REF!</v>
      </c>
      <c r="AH919" s="26" t="e">
        <f ca="1">IF(Data!#REF!="","",IF(ISNUMBER(Data!#REF!),IF(AND(Data!#REF!&gt;(TODAY()-(Data_Val!$L$3*365.25)),Data!#REF!&lt;=(TODAY()-(Data_Val!$L$2*365.25))),0,1),1))</f>
        <v>#REF!</v>
      </c>
      <c r="AI919" s="12" t="e">
        <f>IF(Data!#REF!="","",IF(Data!$G919="",1,IF(ISNUMBER(MATCH(Data!#REF!,Data_Val!$D$2:$D$10,0)),0,1)))</f>
        <v>#REF!</v>
      </c>
      <c r="AJ919" s="17"/>
      <c r="AK919" s="17" t="e">
        <f>IF(Data!#REF!="","",IF(ISNUMBER(MATCH(Data!#REF!,Data_Val!$A$2:$A$3,0)),0,1))</f>
        <v>#REF!</v>
      </c>
      <c r="AL919" s="25" t="e">
        <f ca="1">IF(Data!#REF!="","",IF(ISNUMBER(Data!#REF!),IF(AND(Data!#REF!&gt;(TODAY()-(Data_Val!$L$3*365.25)),Data!#REF!&lt;=(TODAY()-(Data_Val!$L$2*365.25))),0,1),1))</f>
        <v>#REF!</v>
      </c>
      <c r="AM919" s="17" t="e">
        <f>IF(Data!#REF!="","",IF(Data!$G919="",1,IF(ISNUMBER(MATCH(Data!#REF!,Data_Val!$D$2:$D$10,0)),0,1)))</f>
        <v>#REF!</v>
      </c>
      <c r="AN919" s="13"/>
      <c r="AO919" s="28" t="e">
        <f ca="1">IF(Data!#REF!="","",IF(ISNUMBER(Data!#REF!),IF(AND(Data!#REF!&gt;(TODAY()-(Data_Val!$I$3*365.25)),Data!#REF!&lt;=(TODAY()-(Data_Val!$I$2*365.25))),0,1),1))</f>
        <v>#REF!</v>
      </c>
      <c r="AP919" s="13" t="e">
        <f>IF(Data!#REF!="","",IF(Data!$G919="",1,IF(ISNUMBER(MATCH(Data!#REF!,Data_Val!$D$2:$D$10,0)),0,1)))</f>
        <v>#REF!</v>
      </c>
      <c r="AQ919" s="17"/>
      <c r="AR919" s="30" t="e">
        <f ca="1">IF(Data!#REF!="","",IF(ISNUMBER(Data!#REF!),IF(AND(Data!#REF!&gt;(TODAY()-(Data_Val!$I$3*365.25)),Data!#REF!&lt;=(TODAY()-(Data_Val!$I$2*365.25))),0,1),1))</f>
        <v>#REF!</v>
      </c>
      <c r="AS919" s="31" t="e">
        <f>IF(Data!#REF!="","",IF(Data!$G919="",1,IF(ISNUMBER(MATCH(Data!#REF!,Data_Val!$D$2:$D$10,0)),0,1)))</f>
        <v>#REF!</v>
      </c>
      <c r="AT919" s="11"/>
      <c r="AU919" s="11" t="e">
        <f ca="1">IF(Data!#REF!="","",IF(ISNUMBER(Data!#REF!),IF(AND(Data!#REF!&gt;(TODAY()-(Data_Val!$I$3*365.25)),Data!#REF!&lt;=(TODAY()-(Data_Val!$I$2*365.25))),0,1),1))</f>
        <v>#REF!</v>
      </c>
      <c r="AV919" s="11" t="e">
        <f>IF(Data!#REF!="","",IF(Data!$G919="",1,IF(ISNUMBER(MATCH(Data!#REF!,Data_Val!$D$2:$D$10,0)),0,1)))</f>
        <v>#REF!</v>
      </c>
      <c r="AW919" s="12"/>
      <c r="AX919" s="26" t="e">
        <f ca="1">IF(Data!#REF!="","",IF(ISNUMBER(Data!#REF!),IF(AND(Data!#REF!&gt;(TODAY()-(Data_Val!$I$3*365.25)),Data!#REF!&lt;=(TODAY()-(Data_Val!$I$2*365.25))),0,1),1))</f>
        <v>#REF!</v>
      </c>
      <c r="AY919" s="12" t="e">
        <f>IF(Data!#REF!="","",IF(Data!$G919="",1,IF(ISNUMBER(MATCH(Data!#REF!,Data_Val!$D$2:$D$10,0)),0,1)))</f>
        <v>#REF!</v>
      </c>
      <c r="AZ919" s="11"/>
      <c r="BA919" s="19" t="e">
        <f ca="1">IF(Data!#REF!="","",IF(ISNUMBER(Data!#REF!),IF(AND(Data!#REF!&gt;(TODAY()-(Data_Val!$M$3*365.25)),Data!#REF!&lt;=(TODAY()-(Data_Val!$M$2*365.25))),0,1),1))</f>
        <v>#REF!</v>
      </c>
      <c r="BB919" s="11" t="e">
        <f>IF(Data!#REF!="","",IF(Data!$G919="",1,IF(ISNUMBER(MATCH(Data!#REF!,Data_Val!$D$2:$D$10,0)),0,1)))</f>
        <v>#REF!</v>
      </c>
      <c r="BC919" s="12"/>
      <c r="BD919" s="20" t="e">
        <f ca="1">IF(Data!#REF!="","",IF(ISNUMBER(Data!#REF!),IF(AND(Data!#REF!&gt;(TODAY()-(Data_Val!$M$3*365.25)),Data!#REF!&lt;=(TODAY()-(Data_Val!$M$2*365.25))),0,1),1))</f>
        <v>#REF!</v>
      </c>
      <c r="BE919" s="12" t="e">
        <f>IF(Data!#REF!="","",IF(Data!$G919="",1,IF(ISNUMBER(MATCH(Data!#REF!,Data_Val!$D$2:$D$10,0)),0,1)))</f>
        <v>#REF!</v>
      </c>
      <c r="BF919" s="17"/>
      <c r="BG919" s="18" t="e">
        <f ca="1">IF(Data!#REF!="","",IF(ISNUMBER(Data!#REF!),IF(AND(Data!#REF!&gt;(TODAY()-(Data_Val!$M$3*365.25)),Data!#REF!&lt;=(TODAY()-(Data_Val!$M$2*365.25))),0,1),1))</f>
        <v>#REF!</v>
      </c>
      <c r="BH919" s="29" t="e">
        <f>IF(Data!#REF!="","",IF(Data!$G919="",1,IF(ISNUMBER(MATCH(Data!#REF!,Data_Val!$D$2:$D$10,0)),0,1)))</f>
        <v>#REF!</v>
      </c>
      <c r="BI919" s="13"/>
      <c r="BJ919" s="21" t="e">
        <f ca="1">IF(Data!#REF!="","",IF(ISNUMBER(Data!#REF!),IF(AND(Data!#REF!&gt;(TODAY()-(Data_Val!$M$3*365.25)),Data!#REF!&lt;=(TODAY()-(Data_Val!$M$2*365.25))),0,1),1))</f>
        <v>#REF!</v>
      </c>
      <c r="BK919" s="13" t="e">
        <f>IF(Data!#REF!="","",IF(Data!$G919="",1,IF(ISNUMBER(MATCH(Data!#REF!,Data_Val!$D$2:$D$10,0)),0,1)))</f>
        <v>#REF!</v>
      </c>
    </row>
    <row r="920" spans="1:63" x14ac:dyDescent="0.25">
      <c r="A920" s="9" t="str">
        <f>IF(Data!B920="","",IF(COUNTIFS(Data!A$1:'Data'!A920,Data!A920)&lt;=1,0,1))</f>
        <v/>
      </c>
      <c r="B920" s="9"/>
      <c r="C920" s="23" t="str">
        <f>IF(Data!C920="","",(IF(ISNUMBER(MATCH("*@*.?*",Data!C920,0)),0,1)+IF(COUNTIFS(Data!C$1:'Data'!C920,Data!C920)&gt;1,1,0)))</f>
        <v/>
      </c>
      <c r="D920" s="9" t="str">
        <f>IF(Data!B920="","",IF(ISNUMBER(Data!D920),IF(AND(Data!D920&gt;999999999,Data!D920&lt;=9999999999),IF(COUNTIFS(Data!D$1:'Data'!D920,Data!D920)&lt;=1,0,1),1),1))</f>
        <v/>
      </c>
      <c r="E920" s="9" t="str">
        <f>IF(Data!B920="","",IF(ISNUMBER(MATCH(Data!E920,Data_Val!$A$2:$A$3,0)),0,1))</f>
        <v/>
      </c>
      <c r="F920" s="9" t="str">
        <f ca="1">IF(Data!B920="","",IF(ISNUMBER(Data!F920),IF(AND(Data!F920&gt;(TODAY()-(Data_Val!$H$3*365.25)),Data!F920&lt;=(TODAY()-(Data_Val!$H$2*365.25))),0,1),1))</f>
        <v/>
      </c>
      <c r="G920" s="15" t="str">
        <f>IF(Data!B920="","",IF(AND(Data!G920="",Data!H920&lt;&gt;""),1,IF(Data!#REF!&lt;&gt;"",0,IF(ISNUMBER(MATCH(Data!G920,Data_Val!$C$2:$C$5,0)),0,1))))</f>
        <v/>
      </c>
      <c r="H920" s="15" t="str">
        <f>IF(Data!B920="","",IF(AND(Data!G920&lt;&gt;"",Data!H920=""),1,IF(Data!#REF!&lt;&gt;"",0,IF(Data!G920="",1,IF(ISNUMBER(MATCH(Data!H920,Data_Val!$D$2:$D$35,0)),0,1)))))</f>
        <v/>
      </c>
      <c r="I920" s="15" t="str">
        <f>IF(Data!B920="","",IF(Data!G920&lt;&gt;"",0,IF(ISNUMBER(MATCH(Data!#REF!,Data_Val!$E$2:$E$12,0)),0,1)))</f>
        <v/>
      </c>
      <c r="J920" s="16" t="e">
        <f>IF(OR(Data!B920="",Data!#REF!=""),"",IF(Data!#REF!="",1,0))</f>
        <v>#REF!</v>
      </c>
      <c r="K920" s="16" t="e">
        <f>IF(OR(Data!B920="",Data!#REF!=""),"",IF(Data!#REF!="",1,0))</f>
        <v>#REF!</v>
      </c>
      <c r="L920" s="16" t="e">
        <f>IF(OR(Data!B920="",Data!#REF!=""),"",IF(ISNUMBER(Data!#REF!),IF(AND(Data!#REF!&gt;Data_Val!$G$2,Data!#REF!&lt;=Data_Val!$G$3),0,1),1))</f>
        <v>#REF!</v>
      </c>
      <c r="M920" s="9" t="e">
        <f>IF(OR(Data!B920="",Data!#REF!=""),"",IF(ISNUMBER(MATCH(Data!#REF!,Data_Val!$F$1:$F$38,0)),0,1))</f>
        <v>#REF!</v>
      </c>
      <c r="N920" s="9" t="e">
        <f>IF(OR(Data!B920="",Data!#REF!=""),"",IF(Data!#REF!="",1,0))</f>
        <v>#REF!</v>
      </c>
      <c r="O920" s="17" t="e">
        <f>IF(Data!#REF!="","",IF(Data!#REF!="",1,0))</f>
        <v>#REF!</v>
      </c>
      <c r="P920" s="17" t="e">
        <f>IF(Data!#REF!="","",IF(ISNUMBER(MATCH(Data!#REF!,Data_Val!$A$2:$A$3,0)),0,1))</f>
        <v>#REF!</v>
      </c>
      <c r="Q920" s="25" t="e">
        <f ca="1">IF(Data!#REF!="","",IF(ISNUMBER(Data!#REF!),IF(AND(Data!#REF!&gt;(TODAY()-(Data_Val!$J$3*365.25)),Data!#REF!&lt;=(TODAY()-(Data_Val!$J$2*365.25))),0,1),1))</f>
        <v>#REF!</v>
      </c>
      <c r="R920" s="17" t="e">
        <f>IF(Data!#REF!="","",IF(ISNUMBER(MATCH(Data!#REF!,Data_Val!$B$2:$B$15,0)),0,1))</f>
        <v>#REF!</v>
      </c>
      <c r="S920" s="11" t="str">
        <f>IF(Data!G920="","",IF(Data!G920=Data_Val!$C$2,IF(Data!M920="",0,1),0))</f>
        <v/>
      </c>
      <c r="T920" s="11" t="str">
        <f>IF(Data!M920="","",IF(ISNUMBER(MATCH(Data!N920,Data_Val!$A$2:$A$3,0)),0,1))</f>
        <v/>
      </c>
      <c r="U920" s="11" t="str">
        <f ca="1">IF(Data!M920="","",IF(ISNUMBER(Data!O920),IF(AND(Data!O920&gt;(TODAY()-(Data_Val!$K$3*365.25)),Data!O920&lt;=(TODAY()-(Data_Val!$K$2*365.25))),0,1),1))</f>
        <v/>
      </c>
      <c r="V920" s="12" t="str">
        <f>IF(Data!G920="","",IF(Data!G920=Data_Val!$C$2,IF(Data!P920="",0,1),0))</f>
        <v/>
      </c>
      <c r="W920" s="12" t="str">
        <f>IF(Data!P920="","",IF(ISNUMBER(MATCH(Data!Q920,Data_Val!$A$2:$A$3,0)),0,1))</f>
        <v/>
      </c>
      <c r="X920" s="26" t="str">
        <f ca="1">IF(Data!P920="","",IF(ISNUMBER(Data!R920),IF(AND(Data!R920&gt;(TODAY()-(Data_Val!$L$3*365.25)),Data!R920&lt;=(TODAY()-(Data_Val!$L$2*365.25))),0,1),1))</f>
        <v/>
      </c>
      <c r="Y920" s="13" t="str">
        <f>IF(Data!$G920="","",IF(Data!$G920=Data_Val!$C$2,IF(Data!S920="",0,1),0))</f>
        <v/>
      </c>
      <c r="Z920" s="13" t="str">
        <f>IF(Data!S920="","",IF(ISNUMBER(MATCH(Data!T920,Data_Val!$A$2:$A$3,0)),0,1))</f>
        <v/>
      </c>
      <c r="AA920" s="28" t="str">
        <f ca="1">IF(Data!S920="","",IF(ISNUMBER(Data!U920),IF(AND(Data!U920&gt;(TODAY()-(Data_Val!$L$3*365.25)),Data!U920&lt;=(TODAY()-(Data_Val!$L$2*365.25))),0,1),1))</f>
        <v/>
      </c>
      <c r="AB920" s="11"/>
      <c r="AC920" s="11" t="e">
        <f>IF(Data!#REF!="","",IF(ISNUMBER(MATCH(Data!#REF!,Data_Val!$A$2:$A$3,0)),0,1))</f>
        <v>#REF!</v>
      </c>
      <c r="AD920" s="11" t="e">
        <f ca="1">IF(Data!#REF!="","",IF(ISNUMBER(Data!#REF!),IF(AND(Data!#REF!&gt;(TODAY()-(Data_Val!$L$3*365.25)),Data!#REF!&lt;=(TODAY()-(Data_Val!$L$2*365.25))),0,1),1))</f>
        <v>#REF!</v>
      </c>
      <c r="AE920" s="11" t="e">
        <f>IF(Data!#REF!="","",IF(Data!$G920="",1,IF(ISNUMBER(MATCH(Data!#REF!,Data_Val!$D$2:$D$10,0)),0,1)))</f>
        <v>#REF!</v>
      </c>
      <c r="AF920" s="12"/>
      <c r="AG920" s="12" t="e">
        <f>IF(Data!#REF!="","",IF(ISNUMBER(MATCH(Data!#REF!,Data_Val!$A$2:$A$3,0)),0,1))</f>
        <v>#REF!</v>
      </c>
      <c r="AH920" s="26" t="e">
        <f ca="1">IF(Data!#REF!="","",IF(ISNUMBER(Data!#REF!),IF(AND(Data!#REF!&gt;(TODAY()-(Data_Val!$L$3*365.25)),Data!#REF!&lt;=(TODAY()-(Data_Val!$L$2*365.25))),0,1),1))</f>
        <v>#REF!</v>
      </c>
      <c r="AI920" s="12" t="e">
        <f>IF(Data!#REF!="","",IF(Data!$G920="",1,IF(ISNUMBER(MATCH(Data!#REF!,Data_Val!$D$2:$D$10,0)),0,1)))</f>
        <v>#REF!</v>
      </c>
      <c r="AJ920" s="17"/>
      <c r="AK920" s="17" t="e">
        <f>IF(Data!#REF!="","",IF(ISNUMBER(MATCH(Data!#REF!,Data_Val!$A$2:$A$3,0)),0,1))</f>
        <v>#REF!</v>
      </c>
      <c r="AL920" s="25" t="e">
        <f ca="1">IF(Data!#REF!="","",IF(ISNUMBER(Data!#REF!),IF(AND(Data!#REF!&gt;(TODAY()-(Data_Val!$L$3*365.25)),Data!#REF!&lt;=(TODAY()-(Data_Val!$L$2*365.25))),0,1),1))</f>
        <v>#REF!</v>
      </c>
      <c r="AM920" s="17" t="e">
        <f>IF(Data!#REF!="","",IF(Data!$G920="",1,IF(ISNUMBER(MATCH(Data!#REF!,Data_Val!$D$2:$D$10,0)),0,1)))</f>
        <v>#REF!</v>
      </c>
      <c r="AN920" s="13"/>
      <c r="AO920" s="28" t="e">
        <f ca="1">IF(Data!#REF!="","",IF(ISNUMBER(Data!#REF!),IF(AND(Data!#REF!&gt;(TODAY()-(Data_Val!$I$3*365.25)),Data!#REF!&lt;=(TODAY()-(Data_Val!$I$2*365.25))),0,1),1))</f>
        <v>#REF!</v>
      </c>
      <c r="AP920" s="13" t="e">
        <f>IF(Data!#REF!="","",IF(Data!$G920="",1,IF(ISNUMBER(MATCH(Data!#REF!,Data_Val!$D$2:$D$10,0)),0,1)))</f>
        <v>#REF!</v>
      </c>
      <c r="AQ920" s="17"/>
      <c r="AR920" s="30" t="e">
        <f ca="1">IF(Data!#REF!="","",IF(ISNUMBER(Data!#REF!),IF(AND(Data!#REF!&gt;(TODAY()-(Data_Val!$I$3*365.25)),Data!#REF!&lt;=(TODAY()-(Data_Val!$I$2*365.25))),0,1),1))</f>
        <v>#REF!</v>
      </c>
      <c r="AS920" s="31" t="e">
        <f>IF(Data!#REF!="","",IF(Data!$G920="",1,IF(ISNUMBER(MATCH(Data!#REF!,Data_Val!$D$2:$D$10,0)),0,1)))</f>
        <v>#REF!</v>
      </c>
      <c r="AT920" s="11"/>
      <c r="AU920" s="11" t="e">
        <f ca="1">IF(Data!#REF!="","",IF(ISNUMBER(Data!#REF!),IF(AND(Data!#REF!&gt;(TODAY()-(Data_Val!$I$3*365.25)),Data!#REF!&lt;=(TODAY()-(Data_Val!$I$2*365.25))),0,1),1))</f>
        <v>#REF!</v>
      </c>
      <c r="AV920" s="11" t="e">
        <f>IF(Data!#REF!="","",IF(Data!$G920="",1,IF(ISNUMBER(MATCH(Data!#REF!,Data_Val!$D$2:$D$10,0)),0,1)))</f>
        <v>#REF!</v>
      </c>
      <c r="AW920" s="12"/>
      <c r="AX920" s="26" t="e">
        <f ca="1">IF(Data!#REF!="","",IF(ISNUMBER(Data!#REF!),IF(AND(Data!#REF!&gt;(TODAY()-(Data_Val!$I$3*365.25)),Data!#REF!&lt;=(TODAY()-(Data_Val!$I$2*365.25))),0,1),1))</f>
        <v>#REF!</v>
      </c>
      <c r="AY920" s="12" t="e">
        <f>IF(Data!#REF!="","",IF(Data!$G920="",1,IF(ISNUMBER(MATCH(Data!#REF!,Data_Val!$D$2:$D$10,0)),0,1)))</f>
        <v>#REF!</v>
      </c>
      <c r="AZ920" s="11"/>
      <c r="BA920" s="19" t="e">
        <f ca="1">IF(Data!#REF!="","",IF(ISNUMBER(Data!#REF!),IF(AND(Data!#REF!&gt;(TODAY()-(Data_Val!$M$3*365.25)),Data!#REF!&lt;=(TODAY()-(Data_Val!$M$2*365.25))),0,1),1))</f>
        <v>#REF!</v>
      </c>
      <c r="BB920" s="11" t="e">
        <f>IF(Data!#REF!="","",IF(Data!$G920="",1,IF(ISNUMBER(MATCH(Data!#REF!,Data_Val!$D$2:$D$10,0)),0,1)))</f>
        <v>#REF!</v>
      </c>
      <c r="BC920" s="12"/>
      <c r="BD920" s="20" t="e">
        <f ca="1">IF(Data!#REF!="","",IF(ISNUMBER(Data!#REF!),IF(AND(Data!#REF!&gt;(TODAY()-(Data_Val!$M$3*365.25)),Data!#REF!&lt;=(TODAY()-(Data_Val!$M$2*365.25))),0,1),1))</f>
        <v>#REF!</v>
      </c>
      <c r="BE920" s="12" t="e">
        <f>IF(Data!#REF!="","",IF(Data!$G920="",1,IF(ISNUMBER(MATCH(Data!#REF!,Data_Val!$D$2:$D$10,0)),0,1)))</f>
        <v>#REF!</v>
      </c>
      <c r="BF920" s="17"/>
      <c r="BG920" s="18" t="e">
        <f ca="1">IF(Data!#REF!="","",IF(ISNUMBER(Data!#REF!),IF(AND(Data!#REF!&gt;(TODAY()-(Data_Val!$M$3*365.25)),Data!#REF!&lt;=(TODAY()-(Data_Val!$M$2*365.25))),0,1),1))</f>
        <v>#REF!</v>
      </c>
      <c r="BH920" s="29" t="e">
        <f>IF(Data!#REF!="","",IF(Data!$G920="",1,IF(ISNUMBER(MATCH(Data!#REF!,Data_Val!$D$2:$D$10,0)),0,1)))</f>
        <v>#REF!</v>
      </c>
      <c r="BI920" s="13"/>
      <c r="BJ920" s="21" t="e">
        <f ca="1">IF(Data!#REF!="","",IF(ISNUMBER(Data!#REF!),IF(AND(Data!#REF!&gt;(TODAY()-(Data_Val!$M$3*365.25)),Data!#REF!&lt;=(TODAY()-(Data_Val!$M$2*365.25))),0,1),1))</f>
        <v>#REF!</v>
      </c>
      <c r="BK920" s="13" t="e">
        <f>IF(Data!#REF!="","",IF(Data!$G920="",1,IF(ISNUMBER(MATCH(Data!#REF!,Data_Val!$D$2:$D$10,0)),0,1)))</f>
        <v>#REF!</v>
      </c>
    </row>
    <row r="921" spans="1:63" x14ac:dyDescent="0.25">
      <c r="A921" s="9" t="str">
        <f>IF(Data!B921="","",IF(COUNTIFS(Data!A$1:'Data'!A921,Data!A921)&lt;=1,0,1))</f>
        <v/>
      </c>
      <c r="B921" s="9"/>
      <c r="C921" s="23" t="str">
        <f>IF(Data!C921="","",(IF(ISNUMBER(MATCH("*@*.?*",Data!C921,0)),0,1)+IF(COUNTIFS(Data!C$1:'Data'!C921,Data!C921)&gt;1,1,0)))</f>
        <v/>
      </c>
      <c r="D921" s="9" t="str">
        <f>IF(Data!B921="","",IF(ISNUMBER(Data!D921),IF(AND(Data!D921&gt;999999999,Data!D921&lt;=9999999999),IF(COUNTIFS(Data!D$1:'Data'!D921,Data!D921)&lt;=1,0,1),1),1))</f>
        <v/>
      </c>
      <c r="E921" s="9" t="str">
        <f>IF(Data!B921="","",IF(ISNUMBER(MATCH(Data!E921,Data_Val!$A$2:$A$3,0)),0,1))</f>
        <v/>
      </c>
      <c r="F921" s="9" t="str">
        <f ca="1">IF(Data!B921="","",IF(ISNUMBER(Data!F921),IF(AND(Data!F921&gt;(TODAY()-(Data_Val!$H$3*365.25)),Data!F921&lt;=(TODAY()-(Data_Val!$H$2*365.25))),0,1),1))</f>
        <v/>
      </c>
      <c r="G921" s="15" t="str">
        <f>IF(Data!B921="","",IF(AND(Data!G921="",Data!H921&lt;&gt;""),1,IF(Data!#REF!&lt;&gt;"",0,IF(ISNUMBER(MATCH(Data!G921,Data_Val!$C$2:$C$5,0)),0,1))))</f>
        <v/>
      </c>
      <c r="H921" s="15" t="str">
        <f>IF(Data!B921="","",IF(AND(Data!G921&lt;&gt;"",Data!H921=""),1,IF(Data!#REF!&lt;&gt;"",0,IF(Data!G921="",1,IF(ISNUMBER(MATCH(Data!H921,Data_Val!$D$2:$D$35,0)),0,1)))))</f>
        <v/>
      </c>
      <c r="I921" s="15" t="str">
        <f>IF(Data!B921="","",IF(Data!G921&lt;&gt;"",0,IF(ISNUMBER(MATCH(Data!#REF!,Data_Val!$E$2:$E$12,0)),0,1)))</f>
        <v/>
      </c>
      <c r="J921" s="16" t="e">
        <f>IF(OR(Data!B921="",Data!#REF!=""),"",IF(Data!#REF!="",1,0))</f>
        <v>#REF!</v>
      </c>
      <c r="K921" s="16" t="e">
        <f>IF(OR(Data!B921="",Data!#REF!=""),"",IF(Data!#REF!="",1,0))</f>
        <v>#REF!</v>
      </c>
      <c r="L921" s="16" t="e">
        <f>IF(OR(Data!B921="",Data!#REF!=""),"",IF(ISNUMBER(Data!#REF!),IF(AND(Data!#REF!&gt;Data_Val!$G$2,Data!#REF!&lt;=Data_Val!$G$3),0,1),1))</f>
        <v>#REF!</v>
      </c>
      <c r="M921" s="9" t="e">
        <f>IF(OR(Data!B921="",Data!#REF!=""),"",IF(ISNUMBER(MATCH(Data!#REF!,Data_Val!$F$1:$F$38,0)),0,1))</f>
        <v>#REF!</v>
      </c>
      <c r="N921" s="9" t="e">
        <f>IF(OR(Data!B921="",Data!#REF!=""),"",IF(Data!#REF!="",1,0))</f>
        <v>#REF!</v>
      </c>
      <c r="O921" s="17" t="e">
        <f>IF(Data!#REF!="","",IF(Data!#REF!="",1,0))</f>
        <v>#REF!</v>
      </c>
      <c r="P921" s="17" t="e">
        <f>IF(Data!#REF!="","",IF(ISNUMBER(MATCH(Data!#REF!,Data_Val!$A$2:$A$3,0)),0,1))</f>
        <v>#REF!</v>
      </c>
      <c r="Q921" s="25" t="e">
        <f ca="1">IF(Data!#REF!="","",IF(ISNUMBER(Data!#REF!),IF(AND(Data!#REF!&gt;(TODAY()-(Data_Val!$J$3*365.25)),Data!#REF!&lt;=(TODAY()-(Data_Val!$J$2*365.25))),0,1),1))</f>
        <v>#REF!</v>
      </c>
      <c r="R921" s="17" t="e">
        <f>IF(Data!#REF!="","",IF(ISNUMBER(MATCH(Data!#REF!,Data_Val!$B$2:$B$15,0)),0,1))</f>
        <v>#REF!</v>
      </c>
      <c r="S921" s="11" t="str">
        <f>IF(Data!G921="","",IF(Data!G921=Data_Val!$C$2,IF(Data!M921="",0,1),0))</f>
        <v/>
      </c>
      <c r="T921" s="11" t="str">
        <f>IF(Data!M921="","",IF(ISNUMBER(MATCH(Data!N921,Data_Val!$A$2:$A$3,0)),0,1))</f>
        <v/>
      </c>
      <c r="U921" s="11" t="str">
        <f ca="1">IF(Data!M921="","",IF(ISNUMBER(Data!O921),IF(AND(Data!O921&gt;(TODAY()-(Data_Val!$K$3*365.25)),Data!O921&lt;=(TODAY()-(Data_Val!$K$2*365.25))),0,1),1))</f>
        <v/>
      </c>
      <c r="V921" s="12" t="str">
        <f>IF(Data!G921="","",IF(Data!G921=Data_Val!$C$2,IF(Data!P921="",0,1),0))</f>
        <v/>
      </c>
      <c r="W921" s="12" t="str">
        <f>IF(Data!P921="","",IF(ISNUMBER(MATCH(Data!Q921,Data_Val!$A$2:$A$3,0)),0,1))</f>
        <v/>
      </c>
      <c r="X921" s="26" t="str">
        <f ca="1">IF(Data!P921="","",IF(ISNUMBER(Data!R921),IF(AND(Data!R921&gt;(TODAY()-(Data_Val!$L$3*365.25)),Data!R921&lt;=(TODAY()-(Data_Val!$L$2*365.25))),0,1),1))</f>
        <v/>
      </c>
      <c r="Y921" s="13" t="str">
        <f>IF(Data!$G921="","",IF(Data!$G921=Data_Val!$C$2,IF(Data!S921="",0,1),0))</f>
        <v/>
      </c>
      <c r="Z921" s="13" t="str">
        <f>IF(Data!S921="","",IF(ISNUMBER(MATCH(Data!T921,Data_Val!$A$2:$A$3,0)),0,1))</f>
        <v/>
      </c>
      <c r="AA921" s="28" t="str">
        <f ca="1">IF(Data!S921="","",IF(ISNUMBER(Data!U921),IF(AND(Data!U921&gt;(TODAY()-(Data_Val!$L$3*365.25)),Data!U921&lt;=(TODAY()-(Data_Val!$L$2*365.25))),0,1),1))</f>
        <v/>
      </c>
      <c r="AB921" s="11"/>
      <c r="AC921" s="11" t="e">
        <f>IF(Data!#REF!="","",IF(ISNUMBER(MATCH(Data!#REF!,Data_Val!$A$2:$A$3,0)),0,1))</f>
        <v>#REF!</v>
      </c>
      <c r="AD921" s="11" t="e">
        <f ca="1">IF(Data!#REF!="","",IF(ISNUMBER(Data!#REF!),IF(AND(Data!#REF!&gt;(TODAY()-(Data_Val!$L$3*365.25)),Data!#REF!&lt;=(TODAY()-(Data_Val!$L$2*365.25))),0,1),1))</f>
        <v>#REF!</v>
      </c>
      <c r="AE921" s="11" t="e">
        <f>IF(Data!#REF!="","",IF(Data!$G921="",1,IF(ISNUMBER(MATCH(Data!#REF!,Data_Val!$D$2:$D$10,0)),0,1)))</f>
        <v>#REF!</v>
      </c>
      <c r="AF921" s="12"/>
      <c r="AG921" s="12" t="e">
        <f>IF(Data!#REF!="","",IF(ISNUMBER(MATCH(Data!#REF!,Data_Val!$A$2:$A$3,0)),0,1))</f>
        <v>#REF!</v>
      </c>
      <c r="AH921" s="26" t="e">
        <f ca="1">IF(Data!#REF!="","",IF(ISNUMBER(Data!#REF!),IF(AND(Data!#REF!&gt;(TODAY()-(Data_Val!$L$3*365.25)),Data!#REF!&lt;=(TODAY()-(Data_Val!$L$2*365.25))),0,1),1))</f>
        <v>#REF!</v>
      </c>
      <c r="AI921" s="12" t="e">
        <f>IF(Data!#REF!="","",IF(Data!$G921="",1,IF(ISNUMBER(MATCH(Data!#REF!,Data_Val!$D$2:$D$10,0)),0,1)))</f>
        <v>#REF!</v>
      </c>
      <c r="AJ921" s="17"/>
      <c r="AK921" s="17" t="e">
        <f>IF(Data!#REF!="","",IF(ISNUMBER(MATCH(Data!#REF!,Data_Val!$A$2:$A$3,0)),0,1))</f>
        <v>#REF!</v>
      </c>
      <c r="AL921" s="25" t="e">
        <f ca="1">IF(Data!#REF!="","",IF(ISNUMBER(Data!#REF!),IF(AND(Data!#REF!&gt;(TODAY()-(Data_Val!$L$3*365.25)),Data!#REF!&lt;=(TODAY()-(Data_Val!$L$2*365.25))),0,1),1))</f>
        <v>#REF!</v>
      </c>
      <c r="AM921" s="17" t="e">
        <f>IF(Data!#REF!="","",IF(Data!$G921="",1,IF(ISNUMBER(MATCH(Data!#REF!,Data_Val!$D$2:$D$10,0)),0,1)))</f>
        <v>#REF!</v>
      </c>
      <c r="AN921" s="13"/>
      <c r="AO921" s="28" t="e">
        <f ca="1">IF(Data!#REF!="","",IF(ISNUMBER(Data!#REF!),IF(AND(Data!#REF!&gt;(TODAY()-(Data_Val!$I$3*365.25)),Data!#REF!&lt;=(TODAY()-(Data_Val!$I$2*365.25))),0,1),1))</f>
        <v>#REF!</v>
      </c>
      <c r="AP921" s="13" t="e">
        <f>IF(Data!#REF!="","",IF(Data!$G921="",1,IF(ISNUMBER(MATCH(Data!#REF!,Data_Val!$D$2:$D$10,0)),0,1)))</f>
        <v>#REF!</v>
      </c>
      <c r="AQ921" s="17"/>
      <c r="AR921" s="30" t="e">
        <f ca="1">IF(Data!#REF!="","",IF(ISNUMBER(Data!#REF!),IF(AND(Data!#REF!&gt;(TODAY()-(Data_Val!$I$3*365.25)),Data!#REF!&lt;=(TODAY()-(Data_Val!$I$2*365.25))),0,1),1))</f>
        <v>#REF!</v>
      </c>
      <c r="AS921" s="31" t="e">
        <f>IF(Data!#REF!="","",IF(Data!$G921="",1,IF(ISNUMBER(MATCH(Data!#REF!,Data_Val!$D$2:$D$10,0)),0,1)))</f>
        <v>#REF!</v>
      </c>
      <c r="AT921" s="11"/>
      <c r="AU921" s="11" t="e">
        <f ca="1">IF(Data!#REF!="","",IF(ISNUMBER(Data!#REF!),IF(AND(Data!#REF!&gt;(TODAY()-(Data_Val!$I$3*365.25)),Data!#REF!&lt;=(TODAY()-(Data_Val!$I$2*365.25))),0,1),1))</f>
        <v>#REF!</v>
      </c>
      <c r="AV921" s="11" t="e">
        <f>IF(Data!#REF!="","",IF(Data!$G921="",1,IF(ISNUMBER(MATCH(Data!#REF!,Data_Val!$D$2:$D$10,0)),0,1)))</f>
        <v>#REF!</v>
      </c>
      <c r="AW921" s="12"/>
      <c r="AX921" s="26" t="e">
        <f ca="1">IF(Data!#REF!="","",IF(ISNUMBER(Data!#REF!),IF(AND(Data!#REF!&gt;(TODAY()-(Data_Val!$I$3*365.25)),Data!#REF!&lt;=(TODAY()-(Data_Val!$I$2*365.25))),0,1),1))</f>
        <v>#REF!</v>
      </c>
      <c r="AY921" s="12" t="e">
        <f>IF(Data!#REF!="","",IF(Data!$G921="",1,IF(ISNUMBER(MATCH(Data!#REF!,Data_Val!$D$2:$D$10,0)),0,1)))</f>
        <v>#REF!</v>
      </c>
      <c r="AZ921" s="11"/>
      <c r="BA921" s="19" t="e">
        <f ca="1">IF(Data!#REF!="","",IF(ISNUMBER(Data!#REF!),IF(AND(Data!#REF!&gt;(TODAY()-(Data_Val!$M$3*365.25)),Data!#REF!&lt;=(TODAY()-(Data_Val!$M$2*365.25))),0,1),1))</f>
        <v>#REF!</v>
      </c>
      <c r="BB921" s="11" t="e">
        <f>IF(Data!#REF!="","",IF(Data!$G921="",1,IF(ISNUMBER(MATCH(Data!#REF!,Data_Val!$D$2:$D$10,0)),0,1)))</f>
        <v>#REF!</v>
      </c>
      <c r="BC921" s="12"/>
      <c r="BD921" s="20" t="e">
        <f ca="1">IF(Data!#REF!="","",IF(ISNUMBER(Data!#REF!),IF(AND(Data!#REF!&gt;(TODAY()-(Data_Val!$M$3*365.25)),Data!#REF!&lt;=(TODAY()-(Data_Val!$M$2*365.25))),0,1),1))</f>
        <v>#REF!</v>
      </c>
      <c r="BE921" s="12" t="e">
        <f>IF(Data!#REF!="","",IF(Data!$G921="",1,IF(ISNUMBER(MATCH(Data!#REF!,Data_Val!$D$2:$D$10,0)),0,1)))</f>
        <v>#REF!</v>
      </c>
      <c r="BF921" s="17"/>
      <c r="BG921" s="18" t="e">
        <f ca="1">IF(Data!#REF!="","",IF(ISNUMBER(Data!#REF!),IF(AND(Data!#REF!&gt;(TODAY()-(Data_Val!$M$3*365.25)),Data!#REF!&lt;=(TODAY()-(Data_Val!$M$2*365.25))),0,1),1))</f>
        <v>#REF!</v>
      </c>
      <c r="BH921" s="29" t="e">
        <f>IF(Data!#REF!="","",IF(Data!$G921="",1,IF(ISNUMBER(MATCH(Data!#REF!,Data_Val!$D$2:$D$10,0)),0,1)))</f>
        <v>#REF!</v>
      </c>
      <c r="BI921" s="13"/>
      <c r="BJ921" s="21" t="e">
        <f ca="1">IF(Data!#REF!="","",IF(ISNUMBER(Data!#REF!),IF(AND(Data!#REF!&gt;(TODAY()-(Data_Val!$M$3*365.25)),Data!#REF!&lt;=(TODAY()-(Data_Val!$M$2*365.25))),0,1),1))</f>
        <v>#REF!</v>
      </c>
      <c r="BK921" s="13" t="e">
        <f>IF(Data!#REF!="","",IF(Data!$G921="",1,IF(ISNUMBER(MATCH(Data!#REF!,Data_Val!$D$2:$D$10,0)),0,1)))</f>
        <v>#REF!</v>
      </c>
    </row>
    <row r="922" spans="1:63" x14ac:dyDescent="0.25">
      <c r="A922" s="9" t="str">
        <f>IF(Data!B922="","",IF(COUNTIFS(Data!A$1:'Data'!A922,Data!A922)&lt;=1,0,1))</f>
        <v/>
      </c>
      <c r="B922" s="9"/>
      <c r="C922" s="23" t="str">
        <f>IF(Data!C922="","",(IF(ISNUMBER(MATCH("*@*.?*",Data!C922,0)),0,1)+IF(COUNTIFS(Data!C$1:'Data'!C922,Data!C922)&gt;1,1,0)))</f>
        <v/>
      </c>
      <c r="D922" s="9" t="str">
        <f>IF(Data!B922="","",IF(ISNUMBER(Data!D922),IF(AND(Data!D922&gt;999999999,Data!D922&lt;=9999999999),IF(COUNTIFS(Data!D$1:'Data'!D922,Data!D922)&lt;=1,0,1),1),1))</f>
        <v/>
      </c>
      <c r="E922" s="9" t="str">
        <f>IF(Data!B922="","",IF(ISNUMBER(MATCH(Data!E922,Data_Val!$A$2:$A$3,0)),0,1))</f>
        <v/>
      </c>
      <c r="F922" s="9" t="str">
        <f ca="1">IF(Data!B922="","",IF(ISNUMBER(Data!F922),IF(AND(Data!F922&gt;(TODAY()-(Data_Val!$H$3*365.25)),Data!F922&lt;=(TODAY()-(Data_Val!$H$2*365.25))),0,1),1))</f>
        <v/>
      </c>
      <c r="G922" s="15" t="str">
        <f>IF(Data!B922="","",IF(AND(Data!G922="",Data!H922&lt;&gt;""),1,IF(Data!#REF!&lt;&gt;"",0,IF(ISNUMBER(MATCH(Data!G922,Data_Val!$C$2:$C$5,0)),0,1))))</f>
        <v/>
      </c>
      <c r="H922" s="15" t="str">
        <f>IF(Data!B922="","",IF(AND(Data!G922&lt;&gt;"",Data!H922=""),1,IF(Data!#REF!&lt;&gt;"",0,IF(Data!G922="",1,IF(ISNUMBER(MATCH(Data!H922,Data_Val!$D$2:$D$35,0)),0,1)))))</f>
        <v/>
      </c>
      <c r="I922" s="15" t="str">
        <f>IF(Data!B922="","",IF(Data!G922&lt;&gt;"",0,IF(ISNUMBER(MATCH(Data!#REF!,Data_Val!$E$2:$E$12,0)),0,1)))</f>
        <v/>
      </c>
      <c r="J922" s="16" t="e">
        <f>IF(OR(Data!B922="",Data!#REF!=""),"",IF(Data!#REF!="",1,0))</f>
        <v>#REF!</v>
      </c>
      <c r="K922" s="16" t="e">
        <f>IF(OR(Data!B922="",Data!#REF!=""),"",IF(Data!#REF!="",1,0))</f>
        <v>#REF!</v>
      </c>
      <c r="L922" s="16" t="e">
        <f>IF(OR(Data!B922="",Data!#REF!=""),"",IF(ISNUMBER(Data!#REF!),IF(AND(Data!#REF!&gt;Data_Val!$G$2,Data!#REF!&lt;=Data_Val!$G$3),0,1),1))</f>
        <v>#REF!</v>
      </c>
      <c r="M922" s="9" t="e">
        <f>IF(OR(Data!B922="",Data!#REF!=""),"",IF(ISNUMBER(MATCH(Data!#REF!,Data_Val!$F$1:$F$38,0)),0,1))</f>
        <v>#REF!</v>
      </c>
      <c r="N922" s="9" t="e">
        <f>IF(OR(Data!B922="",Data!#REF!=""),"",IF(Data!#REF!="",1,0))</f>
        <v>#REF!</v>
      </c>
      <c r="O922" s="17" t="e">
        <f>IF(Data!#REF!="","",IF(Data!#REF!="",1,0))</f>
        <v>#REF!</v>
      </c>
      <c r="P922" s="17" t="e">
        <f>IF(Data!#REF!="","",IF(ISNUMBER(MATCH(Data!#REF!,Data_Val!$A$2:$A$3,0)),0,1))</f>
        <v>#REF!</v>
      </c>
      <c r="Q922" s="25" t="e">
        <f ca="1">IF(Data!#REF!="","",IF(ISNUMBER(Data!#REF!),IF(AND(Data!#REF!&gt;(TODAY()-(Data_Val!$J$3*365.25)),Data!#REF!&lt;=(TODAY()-(Data_Val!$J$2*365.25))),0,1),1))</f>
        <v>#REF!</v>
      </c>
      <c r="R922" s="17" t="e">
        <f>IF(Data!#REF!="","",IF(ISNUMBER(MATCH(Data!#REF!,Data_Val!$B$2:$B$15,0)),0,1))</f>
        <v>#REF!</v>
      </c>
      <c r="S922" s="11" t="str">
        <f>IF(Data!G922="","",IF(Data!G922=Data_Val!$C$2,IF(Data!M922="",0,1),0))</f>
        <v/>
      </c>
      <c r="T922" s="11" t="str">
        <f>IF(Data!M922="","",IF(ISNUMBER(MATCH(Data!N922,Data_Val!$A$2:$A$3,0)),0,1))</f>
        <v/>
      </c>
      <c r="U922" s="11" t="str">
        <f ca="1">IF(Data!M922="","",IF(ISNUMBER(Data!O922),IF(AND(Data!O922&gt;(TODAY()-(Data_Val!$K$3*365.25)),Data!O922&lt;=(TODAY()-(Data_Val!$K$2*365.25))),0,1),1))</f>
        <v/>
      </c>
      <c r="V922" s="12" t="str">
        <f>IF(Data!G922="","",IF(Data!G922=Data_Val!$C$2,IF(Data!P922="",0,1),0))</f>
        <v/>
      </c>
      <c r="W922" s="12" t="str">
        <f>IF(Data!P922="","",IF(ISNUMBER(MATCH(Data!Q922,Data_Val!$A$2:$A$3,0)),0,1))</f>
        <v/>
      </c>
      <c r="X922" s="26" t="str">
        <f ca="1">IF(Data!P922="","",IF(ISNUMBER(Data!R922),IF(AND(Data!R922&gt;(TODAY()-(Data_Val!$L$3*365.25)),Data!R922&lt;=(TODAY()-(Data_Val!$L$2*365.25))),0,1),1))</f>
        <v/>
      </c>
      <c r="Y922" s="13" t="str">
        <f>IF(Data!$G922="","",IF(Data!$G922=Data_Val!$C$2,IF(Data!S922="",0,1),0))</f>
        <v/>
      </c>
      <c r="Z922" s="13" t="str">
        <f>IF(Data!S922="","",IF(ISNUMBER(MATCH(Data!T922,Data_Val!$A$2:$A$3,0)),0,1))</f>
        <v/>
      </c>
      <c r="AA922" s="28" t="str">
        <f ca="1">IF(Data!S922="","",IF(ISNUMBER(Data!U922),IF(AND(Data!U922&gt;(TODAY()-(Data_Val!$L$3*365.25)),Data!U922&lt;=(TODAY()-(Data_Val!$L$2*365.25))),0,1),1))</f>
        <v/>
      </c>
      <c r="AB922" s="11"/>
      <c r="AC922" s="11" t="e">
        <f>IF(Data!#REF!="","",IF(ISNUMBER(MATCH(Data!#REF!,Data_Val!$A$2:$A$3,0)),0,1))</f>
        <v>#REF!</v>
      </c>
      <c r="AD922" s="11" t="e">
        <f ca="1">IF(Data!#REF!="","",IF(ISNUMBER(Data!#REF!),IF(AND(Data!#REF!&gt;(TODAY()-(Data_Val!$L$3*365.25)),Data!#REF!&lt;=(TODAY()-(Data_Val!$L$2*365.25))),0,1),1))</f>
        <v>#REF!</v>
      </c>
      <c r="AE922" s="11" t="e">
        <f>IF(Data!#REF!="","",IF(Data!$G922="",1,IF(ISNUMBER(MATCH(Data!#REF!,Data_Val!$D$2:$D$10,0)),0,1)))</f>
        <v>#REF!</v>
      </c>
      <c r="AF922" s="12"/>
      <c r="AG922" s="12" t="e">
        <f>IF(Data!#REF!="","",IF(ISNUMBER(MATCH(Data!#REF!,Data_Val!$A$2:$A$3,0)),0,1))</f>
        <v>#REF!</v>
      </c>
      <c r="AH922" s="26" t="e">
        <f ca="1">IF(Data!#REF!="","",IF(ISNUMBER(Data!#REF!),IF(AND(Data!#REF!&gt;(TODAY()-(Data_Val!$L$3*365.25)),Data!#REF!&lt;=(TODAY()-(Data_Val!$L$2*365.25))),0,1),1))</f>
        <v>#REF!</v>
      </c>
      <c r="AI922" s="12" t="e">
        <f>IF(Data!#REF!="","",IF(Data!$G922="",1,IF(ISNUMBER(MATCH(Data!#REF!,Data_Val!$D$2:$D$10,0)),0,1)))</f>
        <v>#REF!</v>
      </c>
      <c r="AJ922" s="17"/>
      <c r="AK922" s="17" t="e">
        <f>IF(Data!#REF!="","",IF(ISNUMBER(MATCH(Data!#REF!,Data_Val!$A$2:$A$3,0)),0,1))</f>
        <v>#REF!</v>
      </c>
      <c r="AL922" s="25" t="e">
        <f ca="1">IF(Data!#REF!="","",IF(ISNUMBER(Data!#REF!),IF(AND(Data!#REF!&gt;(TODAY()-(Data_Val!$L$3*365.25)),Data!#REF!&lt;=(TODAY()-(Data_Val!$L$2*365.25))),0,1),1))</f>
        <v>#REF!</v>
      </c>
      <c r="AM922" s="17" t="e">
        <f>IF(Data!#REF!="","",IF(Data!$G922="",1,IF(ISNUMBER(MATCH(Data!#REF!,Data_Val!$D$2:$D$10,0)),0,1)))</f>
        <v>#REF!</v>
      </c>
      <c r="AN922" s="13"/>
      <c r="AO922" s="28" t="e">
        <f ca="1">IF(Data!#REF!="","",IF(ISNUMBER(Data!#REF!),IF(AND(Data!#REF!&gt;(TODAY()-(Data_Val!$I$3*365.25)),Data!#REF!&lt;=(TODAY()-(Data_Val!$I$2*365.25))),0,1),1))</f>
        <v>#REF!</v>
      </c>
      <c r="AP922" s="13" t="e">
        <f>IF(Data!#REF!="","",IF(Data!$G922="",1,IF(ISNUMBER(MATCH(Data!#REF!,Data_Val!$D$2:$D$10,0)),0,1)))</f>
        <v>#REF!</v>
      </c>
      <c r="AQ922" s="17"/>
      <c r="AR922" s="30" t="e">
        <f ca="1">IF(Data!#REF!="","",IF(ISNUMBER(Data!#REF!),IF(AND(Data!#REF!&gt;(TODAY()-(Data_Val!$I$3*365.25)),Data!#REF!&lt;=(TODAY()-(Data_Val!$I$2*365.25))),0,1),1))</f>
        <v>#REF!</v>
      </c>
      <c r="AS922" s="31" t="e">
        <f>IF(Data!#REF!="","",IF(Data!$G922="",1,IF(ISNUMBER(MATCH(Data!#REF!,Data_Val!$D$2:$D$10,0)),0,1)))</f>
        <v>#REF!</v>
      </c>
      <c r="AT922" s="11"/>
      <c r="AU922" s="11" t="e">
        <f ca="1">IF(Data!#REF!="","",IF(ISNUMBER(Data!#REF!),IF(AND(Data!#REF!&gt;(TODAY()-(Data_Val!$I$3*365.25)),Data!#REF!&lt;=(TODAY()-(Data_Val!$I$2*365.25))),0,1),1))</f>
        <v>#REF!</v>
      </c>
      <c r="AV922" s="11" t="e">
        <f>IF(Data!#REF!="","",IF(Data!$G922="",1,IF(ISNUMBER(MATCH(Data!#REF!,Data_Val!$D$2:$D$10,0)),0,1)))</f>
        <v>#REF!</v>
      </c>
      <c r="AW922" s="12"/>
      <c r="AX922" s="26" t="e">
        <f ca="1">IF(Data!#REF!="","",IF(ISNUMBER(Data!#REF!),IF(AND(Data!#REF!&gt;(TODAY()-(Data_Val!$I$3*365.25)),Data!#REF!&lt;=(TODAY()-(Data_Val!$I$2*365.25))),0,1),1))</f>
        <v>#REF!</v>
      </c>
      <c r="AY922" s="12" t="e">
        <f>IF(Data!#REF!="","",IF(Data!$G922="",1,IF(ISNUMBER(MATCH(Data!#REF!,Data_Val!$D$2:$D$10,0)),0,1)))</f>
        <v>#REF!</v>
      </c>
      <c r="AZ922" s="11"/>
      <c r="BA922" s="19" t="e">
        <f ca="1">IF(Data!#REF!="","",IF(ISNUMBER(Data!#REF!),IF(AND(Data!#REF!&gt;(TODAY()-(Data_Val!$M$3*365.25)),Data!#REF!&lt;=(TODAY()-(Data_Val!$M$2*365.25))),0,1),1))</f>
        <v>#REF!</v>
      </c>
      <c r="BB922" s="11" t="e">
        <f>IF(Data!#REF!="","",IF(Data!$G922="",1,IF(ISNUMBER(MATCH(Data!#REF!,Data_Val!$D$2:$D$10,0)),0,1)))</f>
        <v>#REF!</v>
      </c>
      <c r="BC922" s="12"/>
      <c r="BD922" s="20" t="e">
        <f ca="1">IF(Data!#REF!="","",IF(ISNUMBER(Data!#REF!),IF(AND(Data!#REF!&gt;(TODAY()-(Data_Val!$M$3*365.25)),Data!#REF!&lt;=(TODAY()-(Data_Val!$M$2*365.25))),0,1),1))</f>
        <v>#REF!</v>
      </c>
      <c r="BE922" s="12" t="e">
        <f>IF(Data!#REF!="","",IF(Data!$G922="",1,IF(ISNUMBER(MATCH(Data!#REF!,Data_Val!$D$2:$D$10,0)),0,1)))</f>
        <v>#REF!</v>
      </c>
      <c r="BF922" s="17"/>
      <c r="BG922" s="18" t="e">
        <f ca="1">IF(Data!#REF!="","",IF(ISNUMBER(Data!#REF!),IF(AND(Data!#REF!&gt;(TODAY()-(Data_Val!$M$3*365.25)),Data!#REF!&lt;=(TODAY()-(Data_Val!$M$2*365.25))),0,1),1))</f>
        <v>#REF!</v>
      </c>
      <c r="BH922" s="29" t="e">
        <f>IF(Data!#REF!="","",IF(Data!$G922="",1,IF(ISNUMBER(MATCH(Data!#REF!,Data_Val!$D$2:$D$10,0)),0,1)))</f>
        <v>#REF!</v>
      </c>
      <c r="BI922" s="13"/>
      <c r="BJ922" s="21" t="e">
        <f ca="1">IF(Data!#REF!="","",IF(ISNUMBER(Data!#REF!),IF(AND(Data!#REF!&gt;(TODAY()-(Data_Val!$M$3*365.25)),Data!#REF!&lt;=(TODAY()-(Data_Val!$M$2*365.25))),0,1),1))</f>
        <v>#REF!</v>
      </c>
      <c r="BK922" s="13" t="e">
        <f>IF(Data!#REF!="","",IF(Data!$G922="",1,IF(ISNUMBER(MATCH(Data!#REF!,Data_Val!$D$2:$D$10,0)),0,1)))</f>
        <v>#REF!</v>
      </c>
    </row>
    <row r="923" spans="1:63" x14ac:dyDescent="0.25">
      <c r="A923" s="9" t="str">
        <f>IF(Data!B923="","",IF(COUNTIFS(Data!A$1:'Data'!A923,Data!A923)&lt;=1,0,1))</f>
        <v/>
      </c>
      <c r="B923" s="9"/>
      <c r="C923" s="23" t="str">
        <f>IF(Data!C923="","",(IF(ISNUMBER(MATCH("*@*.?*",Data!C923,0)),0,1)+IF(COUNTIFS(Data!C$1:'Data'!C923,Data!C923)&gt;1,1,0)))</f>
        <v/>
      </c>
      <c r="D923" s="9" t="str">
        <f>IF(Data!B923="","",IF(ISNUMBER(Data!D923),IF(AND(Data!D923&gt;999999999,Data!D923&lt;=9999999999),IF(COUNTIFS(Data!D$1:'Data'!D923,Data!D923)&lt;=1,0,1),1),1))</f>
        <v/>
      </c>
      <c r="E923" s="9" t="str">
        <f>IF(Data!B923="","",IF(ISNUMBER(MATCH(Data!E923,Data_Val!$A$2:$A$3,0)),0,1))</f>
        <v/>
      </c>
      <c r="F923" s="9" t="str">
        <f ca="1">IF(Data!B923="","",IF(ISNUMBER(Data!F923),IF(AND(Data!F923&gt;(TODAY()-(Data_Val!$H$3*365.25)),Data!F923&lt;=(TODAY()-(Data_Val!$H$2*365.25))),0,1),1))</f>
        <v/>
      </c>
      <c r="G923" s="15" t="str">
        <f>IF(Data!B923="","",IF(AND(Data!G923="",Data!H923&lt;&gt;""),1,IF(Data!#REF!&lt;&gt;"",0,IF(ISNUMBER(MATCH(Data!G923,Data_Val!$C$2:$C$5,0)),0,1))))</f>
        <v/>
      </c>
      <c r="H923" s="15" t="str">
        <f>IF(Data!B923="","",IF(AND(Data!G923&lt;&gt;"",Data!H923=""),1,IF(Data!#REF!&lt;&gt;"",0,IF(Data!G923="",1,IF(ISNUMBER(MATCH(Data!H923,Data_Val!$D$2:$D$35,0)),0,1)))))</f>
        <v/>
      </c>
      <c r="I923" s="15" t="str">
        <f>IF(Data!B923="","",IF(Data!G923&lt;&gt;"",0,IF(ISNUMBER(MATCH(Data!#REF!,Data_Val!$E$2:$E$12,0)),0,1)))</f>
        <v/>
      </c>
      <c r="J923" s="16" t="e">
        <f>IF(OR(Data!B923="",Data!#REF!=""),"",IF(Data!#REF!="",1,0))</f>
        <v>#REF!</v>
      </c>
      <c r="K923" s="16" t="e">
        <f>IF(OR(Data!B923="",Data!#REF!=""),"",IF(Data!#REF!="",1,0))</f>
        <v>#REF!</v>
      </c>
      <c r="L923" s="16" t="e">
        <f>IF(OR(Data!B923="",Data!#REF!=""),"",IF(ISNUMBER(Data!#REF!),IF(AND(Data!#REF!&gt;Data_Val!$G$2,Data!#REF!&lt;=Data_Val!$G$3),0,1),1))</f>
        <v>#REF!</v>
      </c>
      <c r="M923" s="9" t="e">
        <f>IF(OR(Data!B923="",Data!#REF!=""),"",IF(ISNUMBER(MATCH(Data!#REF!,Data_Val!$F$1:$F$38,0)),0,1))</f>
        <v>#REF!</v>
      </c>
      <c r="N923" s="9" t="e">
        <f>IF(OR(Data!B923="",Data!#REF!=""),"",IF(Data!#REF!="",1,0))</f>
        <v>#REF!</v>
      </c>
      <c r="O923" s="17" t="e">
        <f>IF(Data!#REF!="","",IF(Data!#REF!="",1,0))</f>
        <v>#REF!</v>
      </c>
      <c r="P923" s="17" t="e">
        <f>IF(Data!#REF!="","",IF(ISNUMBER(MATCH(Data!#REF!,Data_Val!$A$2:$A$3,0)),0,1))</f>
        <v>#REF!</v>
      </c>
      <c r="Q923" s="25" t="e">
        <f ca="1">IF(Data!#REF!="","",IF(ISNUMBER(Data!#REF!),IF(AND(Data!#REF!&gt;(TODAY()-(Data_Val!$J$3*365.25)),Data!#REF!&lt;=(TODAY()-(Data_Val!$J$2*365.25))),0,1),1))</f>
        <v>#REF!</v>
      </c>
      <c r="R923" s="17" t="e">
        <f>IF(Data!#REF!="","",IF(ISNUMBER(MATCH(Data!#REF!,Data_Val!$B$2:$B$15,0)),0,1))</f>
        <v>#REF!</v>
      </c>
      <c r="S923" s="11" t="str">
        <f>IF(Data!G923="","",IF(Data!G923=Data_Val!$C$2,IF(Data!M923="",0,1),0))</f>
        <v/>
      </c>
      <c r="T923" s="11" t="str">
        <f>IF(Data!M923="","",IF(ISNUMBER(MATCH(Data!N923,Data_Val!$A$2:$A$3,0)),0,1))</f>
        <v/>
      </c>
      <c r="U923" s="11" t="str">
        <f ca="1">IF(Data!M923="","",IF(ISNUMBER(Data!O923),IF(AND(Data!O923&gt;(TODAY()-(Data_Val!$K$3*365.25)),Data!O923&lt;=(TODAY()-(Data_Val!$K$2*365.25))),0,1),1))</f>
        <v/>
      </c>
      <c r="V923" s="12" t="str">
        <f>IF(Data!G923="","",IF(Data!G923=Data_Val!$C$2,IF(Data!P923="",0,1),0))</f>
        <v/>
      </c>
      <c r="W923" s="12" t="str">
        <f>IF(Data!P923="","",IF(ISNUMBER(MATCH(Data!Q923,Data_Val!$A$2:$A$3,0)),0,1))</f>
        <v/>
      </c>
      <c r="X923" s="26" t="str">
        <f ca="1">IF(Data!P923="","",IF(ISNUMBER(Data!R923),IF(AND(Data!R923&gt;(TODAY()-(Data_Val!$L$3*365.25)),Data!R923&lt;=(TODAY()-(Data_Val!$L$2*365.25))),0,1),1))</f>
        <v/>
      </c>
      <c r="Y923" s="13" t="str">
        <f>IF(Data!$G923="","",IF(Data!$G923=Data_Val!$C$2,IF(Data!S923="",0,1),0))</f>
        <v/>
      </c>
      <c r="Z923" s="13" t="str">
        <f>IF(Data!S923="","",IF(ISNUMBER(MATCH(Data!T923,Data_Val!$A$2:$A$3,0)),0,1))</f>
        <v/>
      </c>
      <c r="AA923" s="28" t="str">
        <f ca="1">IF(Data!S923="","",IF(ISNUMBER(Data!U923),IF(AND(Data!U923&gt;(TODAY()-(Data_Val!$L$3*365.25)),Data!U923&lt;=(TODAY()-(Data_Val!$L$2*365.25))),0,1),1))</f>
        <v/>
      </c>
      <c r="AB923" s="11"/>
      <c r="AC923" s="11" t="e">
        <f>IF(Data!#REF!="","",IF(ISNUMBER(MATCH(Data!#REF!,Data_Val!$A$2:$A$3,0)),0,1))</f>
        <v>#REF!</v>
      </c>
      <c r="AD923" s="11" t="e">
        <f ca="1">IF(Data!#REF!="","",IF(ISNUMBER(Data!#REF!),IF(AND(Data!#REF!&gt;(TODAY()-(Data_Val!$L$3*365.25)),Data!#REF!&lt;=(TODAY()-(Data_Val!$L$2*365.25))),0,1),1))</f>
        <v>#REF!</v>
      </c>
      <c r="AE923" s="11" t="e">
        <f>IF(Data!#REF!="","",IF(Data!$G923="",1,IF(ISNUMBER(MATCH(Data!#REF!,Data_Val!$D$2:$D$10,0)),0,1)))</f>
        <v>#REF!</v>
      </c>
      <c r="AF923" s="12"/>
      <c r="AG923" s="12" t="e">
        <f>IF(Data!#REF!="","",IF(ISNUMBER(MATCH(Data!#REF!,Data_Val!$A$2:$A$3,0)),0,1))</f>
        <v>#REF!</v>
      </c>
      <c r="AH923" s="26" t="e">
        <f ca="1">IF(Data!#REF!="","",IF(ISNUMBER(Data!#REF!),IF(AND(Data!#REF!&gt;(TODAY()-(Data_Val!$L$3*365.25)),Data!#REF!&lt;=(TODAY()-(Data_Val!$L$2*365.25))),0,1),1))</f>
        <v>#REF!</v>
      </c>
      <c r="AI923" s="12" t="e">
        <f>IF(Data!#REF!="","",IF(Data!$G923="",1,IF(ISNUMBER(MATCH(Data!#REF!,Data_Val!$D$2:$D$10,0)),0,1)))</f>
        <v>#REF!</v>
      </c>
      <c r="AJ923" s="17"/>
      <c r="AK923" s="17" t="e">
        <f>IF(Data!#REF!="","",IF(ISNUMBER(MATCH(Data!#REF!,Data_Val!$A$2:$A$3,0)),0,1))</f>
        <v>#REF!</v>
      </c>
      <c r="AL923" s="25" t="e">
        <f ca="1">IF(Data!#REF!="","",IF(ISNUMBER(Data!#REF!),IF(AND(Data!#REF!&gt;(TODAY()-(Data_Val!$L$3*365.25)),Data!#REF!&lt;=(TODAY()-(Data_Val!$L$2*365.25))),0,1),1))</f>
        <v>#REF!</v>
      </c>
      <c r="AM923" s="17" t="e">
        <f>IF(Data!#REF!="","",IF(Data!$G923="",1,IF(ISNUMBER(MATCH(Data!#REF!,Data_Val!$D$2:$D$10,0)),0,1)))</f>
        <v>#REF!</v>
      </c>
      <c r="AN923" s="13"/>
      <c r="AO923" s="28" t="e">
        <f ca="1">IF(Data!#REF!="","",IF(ISNUMBER(Data!#REF!),IF(AND(Data!#REF!&gt;(TODAY()-(Data_Val!$I$3*365.25)),Data!#REF!&lt;=(TODAY()-(Data_Val!$I$2*365.25))),0,1),1))</f>
        <v>#REF!</v>
      </c>
      <c r="AP923" s="13" t="e">
        <f>IF(Data!#REF!="","",IF(Data!$G923="",1,IF(ISNUMBER(MATCH(Data!#REF!,Data_Val!$D$2:$D$10,0)),0,1)))</f>
        <v>#REF!</v>
      </c>
      <c r="AQ923" s="17"/>
      <c r="AR923" s="30" t="e">
        <f ca="1">IF(Data!#REF!="","",IF(ISNUMBER(Data!#REF!),IF(AND(Data!#REF!&gt;(TODAY()-(Data_Val!$I$3*365.25)),Data!#REF!&lt;=(TODAY()-(Data_Val!$I$2*365.25))),0,1),1))</f>
        <v>#REF!</v>
      </c>
      <c r="AS923" s="31" t="e">
        <f>IF(Data!#REF!="","",IF(Data!$G923="",1,IF(ISNUMBER(MATCH(Data!#REF!,Data_Val!$D$2:$D$10,0)),0,1)))</f>
        <v>#REF!</v>
      </c>
      <c r="AT923" s="11"/>
      <c r="AU923" s="11" t="e">
        <f ca="1">IF(Data!#REF!="","",IF(ISNUMBER(Data!#REF!),IF(AND(Data!#REF!&gt;(TODAY()-(Data_Val!$I$3*365.25)),Data!#REF!&lt;=(TODAY()-(Data_Val!$I$2*365.25))),0,1),1))</f>
        <v>#REF!</v>
      </c>
      <c r="AV923" s="11" t="e">
        <f>IF(Data!#REF!="","",IF(Data!$G923="",1,IF(ISNUMBER(MATCH(Data!#REF!,Data_Val!$D$2:$D$10,0)),0,1)))</f>
        <v>#REF!</v>
      </c>
      <c r="AW923" s="12"/>
      <c r="AX923" s="26" t="e">
        <f ca="1">IF(Data!#REF!="","",IF(ISNUMBER(Data!#REF!),IF(AND(Data!#REF!&gt;(TODAY()-(Data_Val!$I$3*365.25)),Data!#REF!&lt;=(TODAY()-(Data_Val!$I$2*365.25))),0,1),1))</f>
        <v>#REF!</v>
      </c>
      <c r="AY923" s="12" t="e">
        <f>IF(Data!#REF!="","",IF(Data!$G923="",1,IF(ISNUMBER(MATCH(Data!#REF!,Data_Val!$D$2:$D$10,0)),0,1)))</f>
        <v>#REF!</v>
      </c>
      <c r="AZ923" s="11"/>
      <c r="BA923" s="19" t="e">
        <f ca="1">IF(Data!#REF!="","",IF(ISNUMBER(Data!#REF!),IF(AND(Data!#REF!&gt;(TODAY()-(Data_Val!$M$3*365.25)),Data!#REF!&lt;=(TODAY()-(Data_Val!$M$2*365.25))),0,1),1))</f>
        <v>#REF!</v>
      </c>
      <c r="BB923" s="11" t="e">
        <f>IF(Data!#REF!="","",IF(Data!$G923="",1,IF(ISNUMBER(MATCH(Data!#REF!,Data_Val!$D$2:$D$10,0)),0,1)))</f>
        <v>#REF!</v>
      </c>
      <c r="BC923" s="12"/>
      <c r="BD923" s="20" t="e">
        <f ca="1">IF(Data!#REF!="","",IF(ISNUMBER(Data!#REF!),IF(AND(Data!#REF!&gt;(TODAY()-(Data_Val!$M$3*365.25)),Data!#REF!&lt;=(TODAY()-(Data_Val!$M$2*365.25))),0,1),1))</f>
        <v>#REF!</v>
      </c>
      <c r="BE923" s="12" t="e">
        <f>IF(Data!#REF!="","",IF(Data!$G923="",1,IF(ISNUMBER(MATCH(Data!#REF!,Data_Val!$D$2:$D$10,0)),0,1)))</f>
        <v>#REF!</v>
      </c>
      <c r="BF923" s="17"/>
      <c r="BG923" s="18" t="e">
        <f ca="1">IF(Data!#REF!="","",IF(ISNUMBER(Data!#REF!),IF(AND(Data!#REF!&gt;(TODAY()-(Data_Val!$M$3*365.25)),Data!#REF!&lt;=(TODAY()-(Data_Val!$M$2*365.25))),0,1),1))</f>
        <v>#REF!</v>
      </c>
      <c r="BH923" s="29" t="e">
        <f>IF(Data!#REF!="","",IF(Data!$G923="",1,IF(ISNUMBER(MATCH(Data!#REF!,Data_Val!$D$2:$D$10,0)),0,1)))</f>
        <v>#REF!</v>
      </c>
      <c r="BI923" s="13"/>
      <c r="BJ923" s="21" t="e">
        <f ca="1">IF(Data!#REF!="","",IF(ISNUMBER(Data!#REF!),IF(AND(Data!#REF!&gt;(TODAY()-(Data_Val!$M$3*365.25)),Data!#REF!&lt;=(TODAY()-(Data_Val!$M$2*365.25))),0,1),1))</f>
        <v>#REF!</v>
      </c>
      <c r="BK923" s="13" t="e">
        <f>IF(Data!#REF!="","",IF(Data!$G923="",1,IF(ISNUMBER(MATCH(Data!#REF!,Data_Val!$D$2:$D$10,0)),0,1)))</f>
        <v>#REF!</v>
      </c>
    </row>
    <row r="924" spans="1:63" x14ac:dyDescent="0.25">
      <c r="A924" s="9" t="str">
        <f>IF(Data!B924="","",IF(COUNTIFS(Data!A$1:'Data'!A924,Data!A924)&lt;=1,0,1))</f>
        <v/>
      </c>
      <c r="B924" s="9"/>
      <c r="C924" s="23" t="str">
        <f>IF(Data!C924="","",(IF(ISNUMBER(MATCH("*@*.?*",Data!C924,0)),0,1)+IF(COUNTIFS(Data!C$1:'Data'!C924,Data!C924)&gt;1,1,0)))</f>
        <v/>
      </c>
      <c r="D924" s="9" t="str">
        <f>IF(Data!B924="","",IF(ISNUMBER(Data!D924),IF(AND(Data!D924&gt;999999999,Data!D924&lt;=9999999999),IF(COUNTIFS(Data!D$1:'Data'!D924,Data!D924)&lt;=1,0,1),1),1))</f>
        <v/>
      </c>
      <c r="E924" s="9" t="str">
        <f>IF(Data!B924="","",IF(ISNUMBER(MATCH(Data!E924,Data_Val!$A$2:$A$3,0)),0,1))</f>
        <v/>
      </c>
      <c r="F924" s="9" t="str">
        <f ca="1">IF(Data!B924="","",IF(ISNUMBER(Data!F924),IF(AND(Data!F924&gt;(TODAY()-(Data_Val!$H$3*365.25)),Data!F924&lt;=(TODAY()-(Data_Val!$H$2*365.25))),0,1),1))</f>
        <v/>
      </c>
      <c r="G924" s="15" t="str">
        <f>IF(Data!B924="","",IF(AND(Data!G924="",Data!H924&lt;&gt;""),1,IF(Data!#REF!&lt;&gt;"",0,IF(ISNUMBER(MATCH(Data!G924,Data_Val!$C$2:$C$5,0)),0,1))))</f>
        <v/>
      </c>
      <c r="H924" s="15" t="str">
        <f>IF(Data!B924="","",IF(AND(Data!G924&lt;&gt;"",Data!H924=""),1,IF(Data!#REF!&lt;&gt;"",0,IF(Data!G924="",1,IF(ISNUMBER(MATCH(Data!H924,Data_Val!$D$2:$D$35,0)),0,1)))))</f>
        <v/>
      </c>
      <c r="I924" s="15" t="str">
        <f>IF(Data!B924="","",IF(Data!G924&lt;&gt;"",0,IF(ISNUMBER(MATCH(Data!#REF!,Data_Val!$E$2:$E$12,0)),0,1)))</f>
        <v/>
      </c>
      <c r="J924" s="16" t="e">
        <f>IF(OR(Data!B924="",Data!#REF!=""),"",IF(Data!#REF!="",1,0))</f>
        <v>#REF!</v>
      </c>
      <c r="K924" s="16" t="e">
        <f>IF(OR(Data!B924="",Data!#REF!=""),"",IF(Data!#REF!="",1,0))</f>
        <v>#REF!</v>
      </c>
      <c r="L924" s="16" t="e">
        <f>IF(OR(Data!B924="",Data!#REF!=""),"",IF(ISNUMBER(Data!#REF!),IF(AND(Data!#REF!&gt;Data_Val!$G$2,Data!#REF!&lt;=Data_Val!$G$3),0,1),1))</f>
        <v>#REF!</v>
      </c>
      <c r="M924" s="9" t="e">
        <f>IF(OR(Data!B924="",Data!#REF!=""),"",IF(ISNUMBER(MATCH(Data!#REF!,Data_Val!$F$1:$F$38,0)),0,1))</f>
        <v>#REF!</v>
      </c>
      <c r="N924" s="9" t="e">
        <f>IF(OR(Data!B924="",Data!#REF!=""),"",IF(Data!#REF!="",1,0))</f>
        <v>#REF!</v>
      </c>
      <c r="O924" s="17" t="e">
        <f>IF(Data!#REF!="","",IF(Data!#REF!="",1,0))</f>
        <v>#REF!</v>
      </c>
      <c r="P924" s="17" t="e">
        <f>IF(Data!#REF!="","",IF(ISNUMBER(MATCH(Data!#REF!,Data_Val!$A$2:$A$3,0)),0,1))</f>
        <v>#REF!</v>
      </c>
      <c r="Q924" s="25" t="e">
        <f ca="1">IF(Data!#REF!="","",IF(ISNUMBER(Data!#REF!),IF(AND(Data!#REF!&gt;(TODAY()-(Data_Val!$J$3*365.25)),Data!#REF!&lt;=(TODAY()-(Data_Val!$J$2*365.25))),0,1),1))</f>
        <v>#REF!</v>
      </c>
      <c r="R924" s="17" t="e">
        <f>IF(Data!#REF!="","",IF(ISNUMBER(MATCH(Data!#REF!,Data_Val!$B$2:$B$15,0)),0,1))</f>
        <v>#REF!</v>
      </c>
      <c r="S924" s="11" t="str">
        <f>IF(Data!G924="","",IF(Data!G924=Data_Val!$C$2,IF(Data!M924="",0,1),0))</f>
        <v/>
      </c>
      <c r="T924" s="11" t="str">
        <f>IF(Data!M924="","",IF(ISNUMBER(MATCH(Data!N924,Data_Val!$A$2:$A$3,0)),0,1))</f>
        <v/>
      </c>
      <c r="U924" s="11" t="str">
        <f ca="1">IF(Data!M924="","",IF(ISNUMBER(Data!O924),IF(AND(Data!O924&gt;(TODAY()-(Data_Val!$K$3*365.25)),Data!O924&lt;=(TODAY()-(Data_Val!$K$2*365.25))),0,1),1))</f>
        <v/>
      </c>
      <c r="V924" s="12" t="str">
        <f>IF(Data!G924="","",IF(Data!G924=Data_Val!$C$2,IF(Data!P924="",0,1),0))</f>
        <v/>
      </c>
      <c r="W924" s="12" t="str">
        <f>IF(Data!P924="","",IF(ISNUMBER(MATCH(Data!Q924,Data_Val!$A$2:$A$3,0)),0,1))</f>
        <v/>
      </c>
      <c r="X924" s="26" t="str">
        <f ca="1">IF(Data!P924="","",IF(ISNUMBER(Data!R924),IF(AND(Data!R924&gt;(TODAY()-(Data_Val!$L$3*365.25)),Data!R924&lt;=(TODAY()-(Data_Val!$L$2*365.25))),0,1),1))</f>
        <v/>
      </c>
      <c r="Y924" s="13" t="str">
        <f>IF(Data!$G924="","",IF(Data!$G924=Data_Val!$C$2,IF(Data!S924="",0,1),0))</f>
        <v/>
      </c>
      <c r="Z924" s="13" t="str">
        <f>IF(Data!S924="","",IF(ISNUMBER(MATCH(Data!T924,Data_Val!$A$2:$A$3,0)),0,1))</f>
        <v/>
      </c>
      <c r="AA924" s="28" t="str">
        <f ca="1">IF(Data!S924="","",IF(ISNUMBER(Data!U924),IF(AND(Data!U924&gt;(TODAY()-(Data_Val!$L$3*365.25)),Data!U924&lt;=(TODAY()-(Data_Val!$L$2*365.25))),0,1),1))</f>
        <v/>
      </c>
      <c r="AB924" s="11"/>
      <c r="AC924" s="11" t="e">
        <f>IF(Data!#REF!="","",IF(ISNUMBER(MATCH(Data!#REF!,Data_Val!$A$2:$A$3,0)),0,1))</f>
        <v>#REF!</v>
      </c>
      <c r="AD924" s="11" t="e">
        <f ca="1">IF(Data!#REF!="","",IF(ISNUMBER(Data!#REF!),IF(AND(Data!#REF!&gt;(TODAY()-(Data_Val!$L$3*365.25)),Data!#REF!&lt;=(TODAY()-(Data_Val!$L$2*365.25))),0,1),1))</f>
        <v>#REF!</v>
      </c>
      <c r="AE924" s="11" t="e">
        <f>IF(Data!#REF!="","",IF(Data!$G924="",1,IF(ISNUMBER(MATCH(Data!#REF!,Data_Val!$D$2:$D$10,0)),0,1)))</f>
        <v>#REF!</v>
      </c>
      <c r="AF924" s="12"/>
      <c r="AG924" s="12" t="e">
        <f>IF(Data!#REF!="","",IF(ISNUMBER(MATCH(Data!#REF!,Data_Val!$A$2:$A$3,0)),0,1))</f>
        <v>#REF!</v>
      </c>
      <c r="AH924" s="26" t="e">
        <f ca="1">IF(Data!#REF!="","",IF(ISNUMBER(Data!#REF!),IF(AND(Data!#REF!&gt;(TODAY()-(Data_Val!$L$3*365.25)),Data!#REF!&lt;=(TODAY()-(Data_Val!$L$2*365.25))),0,1),1))</f>
        <v>#REF!</v>
      </c>
      <c r="AI924" s="12" t="e">
        <f>IF(Data!#REF!="","",IF(Data!$G924="",1,IF(ISNUMBER(MATCH(Data!#REF!,Data_Val!$D$2:$D$10,0)),0,1)))</f>
        <v>#REF!</v>
      </c>
      <c r="AJ924" s="17"/>
      <c r="AK924" s="17" t="e">
        <f>IF(Data!#REF!="","",IF(ISNUMBER(MATCH(Data!#REF!,Data_Val!$A$2:$A$3,0)),0,1))</f>
        <v>#REF!</v>
      </c>
      <c r="AL924" s="25" t="e">
        <f ca="1">IF(Data!#REF!="","",IF(ISNUMBER(Data!#REF!),IF(AND(Data!#REF!&gt;(TODAY()-(Data_Val!$L$3*365.25)),Data!#REF!&lt;=(TODAY()-(Data_Val!$L$2*365.25))),0,1),1))</f>
        <v>#REF!</v>
      </c>
      <c r="AM924" s="17" t="e">
        <f>IF(Data!#REF!="","",IF(Data!$G924="",1,IF(ISNUMBER(MATCH(Data!#REF!,Data_Val!$D$2:$D$10,0)),0,1)))</f>
        <v>#REF!</v>
      </c>
      <c r="AN924" s="13"/>
      <c r="AO924" s="28" t="e">
        <f ca="1">IF(Data!#REF!="","",IF(ISNUMBER(Data!#REF!),IF(AND(Data!#REF!&gt;(TODAY()-(Data_Val!$I$3*365.25)),Data!#REF!&lt;=(TODAY()-(Data_Val!$I$2*365.25))),0,1),1))</f>
        <v>#REF!</v>
      </c>
      <c r="AP924" s="13" t="e">
        <f>IF(Data!#REF!="","",IF(Data!$G924="",1,IF(ISNUMBER(MATCH(Data!#REF!,Data_Val!$D$2:$D$10,0)),0,1)))</f>
        <v>#REF!</v>
      </c>
      <c r="AQ924" s="17"/>
      <c r="AR924" s="30" t="e">
        <f ca="1">IF(Data!#REF!="","",IF(ISNUMBER(Data!#REF!),IF(AND(Data!#REF!&gt;(TODAY()-(Data_Val!$I$3*365.25)),Data!#REF!&lt;=(TODAY()-(Data_Val!$I$2*365.25))),0,1),1))</f>
        <v>#REF!</v>
      </c>
      <c r="AS924" s="31" t="e">
        <f>IF(Data!#REF!="","",IF(Data!$G924="",1,IF(ISNUMBER(MATCH(Data!#REF!,Data_Val!$D$2:$D$10,0)),0,1)))</f>
        <v>#REF!</v>
      </c>
      <c r="AT924" s="11"/>
      <c r="AU924" s="11" t="e">
        <f ca="1">IF(Data!#REF!="","",IF(ISNUMBER(Data!#REF!),IF(AND(Data!#REF!&gt;(TODAY()-(Data_Val!$I$3*365.25)),Data!#REF!&lt;=(TODAY()-(Data_Val!$I$2*365.25))),0,1),1))</f>
        <v>#REF!</v>
      </c>
      <c r="AV924" s="11" t="e">
        <f>IF(Data!#REF!="","",IF(Data!$G924="",1,IF(ISNUMBER(MATCH(Data!#REF!,Data_Val!$D$2:$D$10,0)),0,1)))</f>
        <v>#REF!</v>
      </c>
      <c r="AW924" s="12"/>
      <c r="AX924" s="26" t="e">
        <f ca="1">IF(Data!#REF!="","",IF(ISNUMBER(Data!#REF!),IF(AND(Data!#REF!&gt;(TODAY()-(Data_Val!$I$3*365.25)),Data!#REF!&lt;=(TODAY()-(Data_Val!$I$2*365.25))),0,1),1))</f>
        <v>#REF!</v>
      </c>
      <c r="AY924" s="12" t="e">
        <f>IF(Data!#REF!="","",IF(Data!$G924="",1,IF(ISNUMBER(MATCH(Data!#REF!,Data_Val!$D$2:$D$10,0)),0,1)))</f>
        <v>#REF!</v>
      </c>
      <c r="AZ924" s="11"/>
      <c r="BA924" s="19" t="e">
        <f ca="1">IF(Data!#REF!="","",IF(ISNUMBER(Data!#REF!),IF(AND(Data!#REF!&gt;(TODAY()-(Data_Val!$M$3*365.25)),Data!#REF!&lt;=(TODAY()-(Data_Val!$M$2*365.25))),0,1),1))</f>
        <v>#REF!</v>
      </c>
      <c r="BB924" s="11" t="e">
        <f>IF(Data!#REF!="","",IF(Data!$G924="",1,IF(ISNUMBER(MATCH(Data!#REF!,Data_Val!$D$2:$D$10,0)),0,1)))</f>
        <v>#REF!</v>
      </c>
      <c r="BC924" s="12"/>
      <c r="BD924" s="20" t="e">
        <f ca="1">IF(Data!#REF!="","",IF(ISNUMBER(Data!#REF!),IF(AND(Data!#REF!&gt;(TODAY()-(Data_Val!$M$3*365.25)),Data!#REF!&lt;=(TODAY()-(Data_Val!$M$2*365.25))),0,1),1))</f>
        <v>#REF!</v>
      </c>
      <c r="BE924" s="12" t="e">
        <f>IF(Data!#REF!="","",IF(Data!$G924="",1,IF(ISNUMBER(MATCH(Data!#REF!,Data_Val!$D$2:$D$10,0)),0,1)))</f>
        <v>#REF!</v>
      </c>
      <c r="BF924" s="17"/>
      <c r="BG924" s="18" t="e">
        <f ca="1">IF(Data!#REF!="","",IF(ISNUMBER(Data!#REF!),IF(AND(Data!#REF!&gt;(TODAY()-(Data_Val!$M$3*365.25)),Data!#REF!&lt;=(TODAY()-(Data_Val!$M$2*365.25))),0,1),1))</f>
        <v>#REF!</v>
      </c>
      <c r="BH924" s="29" t="e">
        <f>IF(Data!#REF!="","",IF(Data!$G924="",1,IF(ISNUMBER(MATCH(Data!#REF!,Data_Val!$D$2:$D$10,0)),0,1)))</f>
        <v>#REF!</v>
      </c>
      <c r="BI924" s="13"/>
      <c r="BJ924" s="21" t="e">
        <f ca="1">IF(Data!#REF!="","",IF(ISNUMBER(Data!#REF!),IF(AND(Data!#REF!&gt;(TODAY()-(Data_Val!$M$3*365.25)),Data!#REF!&lt;=(TODAY()-(Data_Val!$M$2*365.25))),0,1),1))</f>
        <v>#REF!</v>
      </c>
      <c r="BK924" s="13" t="e">
        <f>IF(Data!#REF!="","",IF(Data!$G924="",1,IF(ISNUMBER(MATCH(Data!#REF!,Data_Val!$D$2:$D$10,0)),0,1)))</f>
        <v>#REF!</v>
      </c>
    </row>
    <row r="925" spans="1:63" x14ac:dyDescent="0.25">
      <c r="A925" s="9" t="str">
        <f>IF(Data!B925="","",IF(COUNTIFS(Data!A$1:'Data'!A925,Data!A925)&lt;=1,0,1))</f>
        <v/>
      </c>
      <c r="B925" s="9"/>
      <c r="C925" s="23" t="str">
        <f>IF(Data!C925="","",(IF(ISNUMBER(MATCH("*@*.?*",Data!C925,0)),0,1)+IF(COUNTIFS(Data!C$1:'Data'!C925,Data!C925)&gt;1,1,0)))</f>
        <v/>
      </c>
      <c r="D925" s="9" t="str">
        <f>IF(Data!B925="","",IF(ISNUMBER(Data!D925),IF(AND(Data!D925&gt;999999999,Data!D925&lt;=9999999999),IF(COUNTIFS(Data!D$1:'Data'!D925,Data!D925)&lt;=1,0,1),1),1))</f>
        <v/>
      </c>
      <c r="E925" s="9" t="str">
        <f>IF(Data!B925="","",IF(ISNUMBER(MATCH(Data!E925,Data_Val!$A$2:$A$3,0)),0,1))</f>
        <v/>
      </c>
      <c r="F925" s="9" t="str">
        <f ca="1">IF(Data!B925="","",IF(ISNUMBER(Data!F925),IF(AND(Data!F925&gt;(TODAY()-(Data_Val!$H$3*365.25)),Data!F925&lt;=(TODAY()-(Data_Val!$H$2*365.25))),0,1),1))</f>
        <v/>
      </c>
      <c r="G925" s="15" t="str">
        <f>IF(Data!B925="","",IF(AND(Data!G925="",Data!H925&lt;&gt;""),1,IF(Data!#REF!&lt;&gt;"",0,IF(ISNUMBER(MATCH(Data!G925,Data_Val!$C$2:$C$5,0)),0,1))))</f>
        <v/>
      </c>
      <c r="H925" s="15" t="str">
        <f>IF(Data!B925="","",IF(AND(Data!G925&lt;&gt;"",Data!H925=""),1,IF(Data!#REF!&lt;&gt;"",0,IF(Data!G925="",1,IF(ISNUMBER(MATCH(Data!H925,Data_Val!$D$2:$D$35,0)),0,1)))))</f>
        <v/>
      </c>
      <c r="I925" s="15" t="str">
        <f>IF(Data!B925="","",IF(Data!G925&lt;&gt;"",0,IF(ISNUMBER(MATCH(Data!#REF!,Data_Val!$E$2:$E$12,0)),0,1)))</f>
        <v/>
      </c>
      <c r="J925" s="16" t="e">
        <f>IF(OR(Data!B925="",Data!#REF!=""),"",IF(Data!#REF!="",1,0))</f>
        <v>#REF!</v>
      </c>
      <c r="K925" s="16" t="e">
        <f>IF(OR(Data!B925="",Data!#REF!=""),"",IF(Data!#REF!="",1,0))</f>
        <v>#REF!</v>
      </c>
      <c r="L925" s="16" t="e">
        <f>IF(OR(Data!B925="",Data!#REF!=""),"",IF(ISNUMBER(Data!#REF!),IF(AND(Data!#REF!&gt;Data_Val!$G$2,Data!#REF!&lt;=Data_Val!$G$3),0,1),1))</f>
        <v>#REF!</v>
      </c>
      <c r="M925" s="9" t="e">
        <f>IF(OR(Data!B925="",Data!#REF!=""),"",IF(ISNUMBER(MATCH(Data!#REF!,Data_Val!$F$1:$F$38,0)),0,1))</f>
        <v>#REF!</v>
      </c>
      <c r="N925" s="9" t="e">
        <f>IF(OR(Data!B925="",Data!#REF!=""),"",IF(Data!#REF!="",1,0))</f>
        <v>#REF!</v>
      </c>
      <c r="O925" s="17" t="e">
        <f>IF(Data!#REF!="","",IF(Data!#REF!="",1,0))</f>
        <v>#REF!</v>
      </c>
      <c r="P925" s="17" t="e">
        <f>IF(Data!#REF!="","",IF(ISNUMBER(MATCH(Data!#REF!,Data_Val!$A$2:$A$3,0)),0,1))</f>
        <v>#REF!</v>
      </c>
      <c r="Q925" s="25" t="e">
        <f ca="1">IF(Data!#REF!="","",IF(ISNUMBER(Data!#REF!),IF(AND(Data!#REF!&gt;(TODAY()-(Data_Val!$J$3*365.25)),Data!#REF!&lt;=(TODAY()-(Data_Val!$J$2*365.25))),0,1),1))</f>
        <v>#REF!</v>
      </c>
      <c r="R925" s="17" t="e">
        <f>IF(Data!#REF!="","",IF(ISNUMBER(MATCH(Data!#REF!,Data_Val!$B$2:$B$15,0)),0,1))</f>
        <v>#REF!</v>
      </c>
      <c r="S925" s="11" t="str">
        <f>IF(Data!G925="","",IF(Data!G925=Data_Val!$C$2,IF(Data!M925="",0,1),0))</f>
        <v/>
      </c>
      <c r="T925" s="11" t="str">
        <f>IF(Data!M925="","",IF(ISNUMBER(MATCH(Data!N925,Data_Val!$A$2:$A$3,0)),0,1))</f>
        <v/>
      </c>
      <c r="U925" s="11" t="str">
        <f ca="1">IF(Data!M925="","",IF(ISNUMBER(Data!O925),IF(AND(Data!O925&gt;(TODAY()-(Data_Val!$K$3*365.25)),Data!O925&lt;=(TODAY()-(Data_Val!$K$2*365.25))),0,1),1))</f>
        <v/>
      </c>
      <c r="V925" s="12" t="str">
        <f>IF(Data!G925="","",IF(Data!G925=Data_Val!$C$2,IF(Data!P925="",0,1),0))</f>
        <v/>
      </c>
      <c r="W925" s="12" t="str">
        <f>IF(Data!P925="","",IF(ISNUMBER(MATCH(Data!Q925,Data_Val!$A$2:$A$3,0)),0,1))</f>
        <v/>
      </c>
      <c r="X925" s="26" t="str">
        <f ca="1">IF(Data!P925="","",IF(ISNUMBER(Data!R925),IF(AND(Data!R925&gt;(TODAY()-(Data_Val!$L$3*365.25)),Data!R925&lt;=(TODAY()-(Data_Val!$L$2*365.25))),0,1),1))</f>
        <v/>
      </c>
      <c r="Y925" s="13" t="str">
        <f>IF(Data!$G925="","",IF(Data!$G925=Data_Val!$C$2,IF(Data!S925="",0,1),0))</f>
        <v/>
      </c>
      <c r="Z925" s="13" t="str">
        <f>IF(Data!S925="","",IF(ISNUMBER(MATCH(Data!T925,Data_Val!$A$2:$A$3,0)),0,1))</f>
        <v/>
      </c>
      <c r="AA925" s="28" t="str">
        <f ca="1">IF(Data!S925="","",IF(ISNUMBER(Data!U925),IF(AND(Data!U925&gt;(TODAY()-(Data_Val!$L$3*365.25)),Data!U925&lt;=(TODAY()-(Data_Val!$L$2*365.25))),0,1),1))</f>
        <v/>
      </c>
      <c r="AB925" s="11"/>
      <c r="AC925" s="11" t="e">
        <f>IF(Data!#REF!="","",IF(ISNUMBER(MATCH(Data!#REF!,Data_Val!$A$2:$A$3,0)),0,1))</f>
        <v>#REF!</v>
      </c>
      <c r="AD925" s="11" t="e">
        <f ca="1">IF(Data!#REF!="","",IF(ISNUMBER(Data!#REF!),IF(AND(Data!#REF!&gt;(TODAY()-(Data_Val!$L$3*365.25)),Data!#REF!&lt;=(TODAY()-(Data_Val!$L$2*365.25))),0,1),1))</f>
        <v>#REF!</v>
      </c>
      <c r="AE925" s="11" t="e">
        <f>IF(Data!#REF!="","",IF(Data!$G925="",1,IF(ISNUMBER(MATCH(Data!#REF!,Data_Val!$D$2:$D$10,0)),0,1)))</f>
        <v>#REF!</v>
      </c>
      <c r="AF925" s="12"/>
      <c r="AG925" s="12" t="e">
        <f>IF(Data!#REF!="","",IF(ISNUMBER(MATCH(Data!#REF!,Data_Val!$A$2:$A$3,0)),0,1))</f>
        <v>#REF!</v>
      </c>
      <c r="AH925" s="26" t="e">
        <f ca="1">IF(Data!#REF!="","",IF(ISNUMBER(Data!#REF!),IF(AND(Data!#REF!&gt;(TODAY()-(Data_Val!$L$3*365.25)),Data!#REF!&lt;=(TODAY()-(Data_Val!$L$2*365.25))),0,1),1))</f>
        <v>#REF!</v>
      </c>
      <c r="AI925" s="12" t="e">
        <f>IF(Data!#REF!="","",IF(Data!$G925="",1,IF(ISNUMBER(MATCH(Data!#REF!,Data_Val!$D$2:$D$10,0)),0,1)))</f>
        <v>#REF!</v>
      </c>
      <c r="AJ925" s="17"/>
      <c r="AK925" s="17" t="e">
        <f>IF(Data!#REF!="","",IF(ISNUMBER(MATCH(Data!#REF!,Data_Val!$A$2:$A$3,0)),0,1))</f>
        <v>#REF!</v>
      </c>
      <c r="AL925" s="25" t="e">
        <f ca="1">IF(Data!#REF!="","",IF(ISNUMBER(Data!#REF!),IF(AND(Data!#REF!&gt;(TODAY()-(Data_Val!$L$3*365.25)),Data!#REF!&lt;=(TODAY()-(Data_Val!$L$2*365.25))),0,1),1))</f>
        <v>#REF!</v>
      </c>
      <c r="AM925" s="17" t="e">
        <f>IF(Data!#REF!="","",IF(Data!$G925="",1,IF(ISNUMBER(MATCH(Data!#REF!,Data_Val!$D$2:$D$10,0)),0,1)))</f>
        <v>#REF!</v>
      </c>
      <c r="AN925" s="13"/>
      <c r="AO925" s="28" t="e">
        <f ca="1">IF(Data!#REF!="","",IF(ISNUMBER(Data!#REF!),IF(AND(Data!#REF!&gt;(TODAY()-(Data_Val!$I$3*365.25)),Data!#REF!&lt;=(TODAY()-(Data_Val!$I$2*365.25))),0,1),1))</f>
        <v>#REF!</v>
      </c>
      <c r="AP925" s="13" t="e">
        <f>IF(Data!#REF!="","",IF(Data!$G925="",1,IF(ISNUMBER(MATCH(Data!#REF!,Data_Val!$D$2:$D$10,0)),0,1)))</f>
        <v>#REF!</v>
      </c>
      <c r="AQ925" s="17"/>
      <c r="AR925" s="30" t="e">
        <f ca="1">IF(Data!#REF!="","",IF(ISNUMBER(Data!#REF!),IF(AND(Data!#REF!&gt;(TODAY()-(Data_Val!$I$3*365.25)),Data!#REF!&lt;=(TODAY()-(Data_Val!$I$2*365.25))),0,1),1))</f>
        <v>#REF!</v>
      </c>
      <c r="AS925" s="31" t="e">
        <f>IF(Data!#REF!="","",IF(Data!$G925="",1,IF(ISNUMBER(MATCH(Data!#REF!,Data_Val!$D$2:$D$10,0)),0,1)))</f>
        <v>#REF!</v>
      </c>
      <c r="AT925" s="11"/>
      <c r="AU925" s="11" t="e">
        <f ca="1">IF(Data!#REF!="","",IF(ISNUMBER(Data!#REF!),IF(AND(Data!#REF!&gt;(TODAY()-(Data_Val!$I$3*365.25)),Data!#REF!&lt;=(TODAY()-(Data_Val!$I$2*365.25))),0,1),1))</f>
        <v>#REF!</v>
      </c>
      <c r="AV925" s="11" t="e">
        <f>IF(Data!#REF!="","",IF(Data!$G925="",1,IF(ISNUMBER(MATCH(Data!#REF!,Data_Val!$D$2:$D$10,0)),0,1)))</f>
        <v>#REF!</v>
      </c>
      <c r="AW925" s="12"/>
      <c r="AX925" s="26" t="e">
        <f ca="1">IF(Data!#REF!="","",IF(ISNUMBER(Data!#REF!),IF(AND(Data!#REF!&gt;(TODAY()-(Data_Val!$I$3*365.25)),Data!#REF!&lt;=(TODAY()-(Data_Val!$I$2*365.25))),0,1),1))</f>
        <v>#REF!</v>
      </c>
      <c r="AY925" s="12" t="e">
        <f>IF(Data!#REF!="","",IF(Data!$G925="",1,IF(ISNUMBER(MATCH(Data!#REF!,Data_Val!$D$2:$D$10,0)),0,1)))</f>
        <v>#REF!</v>
      </c>
      <c r="AZ925" s="11"/>
      <c r="BA925" s="19" t="e">
        <f ca="1">IF(Data!#REF!="","",IF(ISNUMBER(Data!#REF!),IF(AND(Data!#REF!&gt;(TODAY()-(Data_Val!$M$3*365.25)),Data!#REF!&lt;=(TODAY()-(Data_Val!$M$2*365.25))),0,1),1))</f>
        <v>#REF!</v>
      </c>
      <c r="BB925" s="11" t="e">
        <f>IF(Data!#REF!="","",IF(Data!$G925="",1,IF(ISNUMBER(MATCH(Data!#REF!,Data_Val!$D$2:$D$10,0)),0,1)))</f>
        <v>#REF!</v>
      </c>
      <c r="BC925" s="12"/>
      <c r="BD925" s="20" t="e">
        <f ca="1">IF(Data!#REF!="","",IF(ISNUMBER(Data!#REF!),IF(AND(Data!#REF!&gt;(TODAY()-(Data_Val!$M$3*365.25)),Data!#REF!&lt;=(TODAY()-(Data_Val!$M$2*365.25))),0,1),1))</f>
        <v>#REF!</v>
      </c>
      <c r="BE925" s="12" t="e">
        <f>IF(Data!#REF!="","",IF(Data!$G925="",1,IF(ISNUMBER(MATCH(Data!#REF!,Data_Val!$D$2:$D$10,0)),0,1)))</f>
        <v>#REF!</v>
      </c>
      <c r="BF925" s="17"/>
      <c r="BG925" s="18" t="e">
        <f ca="1">IF(Data!#REF!="","",IF(ISNUMBER(Data!#REF!),IF(AND(Data!#REF!&gt;(TODAY()-(Data_Val!$M$3*365.25)),Data!#REF!&lt;=(TODAY()-(Data_Val!$M$2*365.25))),0,1),1))</f>
        <v>#REF!</v>
      </c>
      <c r="BH925" s="29" t="e">
        <f>IF(Data!#REF!="","",IF(Data!$G925="",1,IF(ISNUMBER(MATCH(Data!#REF!,Data_Val!$D$2:$D$10,0)),0,1)))</f>
        <v>#REF!</v>
      </c>
      <c r="BI925" s="13"/>
      <c r="BJ925" s="21" t="e">
        <f ca="1">IF(Data!#REF!="","",IF(ISNUMBER(Data!#REF!),IF(AND(Data!#REF!&gt;(TODAY()-(Data_Val!$M$3*365.25)),Data!#REF!&lt;=(TODAY()-(Data_Val!$M$2*365.25))),0,1),1))</f>
        <v>#REF!</v>
      </c>
      <c r="BK925" s="13" t="e">
        <f>IF(Data!#REF!="","",IF(Data!$G925="",1,IF(ISNUMBER(MATCH(Data!#REF!,Data_Val!$D$2:$D$10,0)),0,1)))</f>
        <v>#REF!</v>
      </c>
    </row>
    <row r="926" spans="1:63" x14ac:dyDescent="0.25">
      <c r="A926" s="9" t="str">
        <f>IF(Data!B926="","",IF(COUNTIFS(Data!A$1:'Data'!A926,Data!A926)&lt;=1,0,1))</f>
        <v/>
      </c>
      <c r="B926" s="9"/>
      <c r="C926" s="23" t="str">
        <f>IF(Data!C926="","",(IF(ISNUMBER(MATCH("*@*.?*",Data!C926,0)),0,1)+IF(COUNTIFS(Data!C$1:'Data'!C926,Data!C926)&gt;1,1,0)))</f>
        <v/>
      </c>
      <c r="D926" s="9" t="str">
        <f>IF(Data!B926="","",IF(ISNUMBER(Data!D926),IF(AND(Data!D926&gt;999999999,Data!D926&lt;=9999999999),IF(COUNTIFS(Data!D$1:'Data'!D926,Data!D926)&lt;=1,0,1),1),1))</f>
        <v/>
      </c>
      <c r="E926" s="9" t="str">
        <f>IF(Data!B926="","",IF(ISNUMBER(MATCH(Data!E926,Data_Val!$A$2:$A$3,0)),0,1))</f>
        <v/>
      </c>
      <c r="F926" s="9" t="str">
        <f ca="1">IF(Data!B926="","",IF(ISNUMBER(Data!F926),IF(AND(Data!F926&gt;(TODAY()-(Data_Val!$H$3*365.25)),Data!F926&lt;=(TODAY()-(Data_Val!$H$2*365.25))),0,1),1))</f>
        <v/>
      </c>
      <c r="G926" s="15" t="str">
        <f>IF(Data!B926="","",IF(AND(Data!G926="",Data!H926&lt;&gt;""),1,IF(Data!#REF!&lt;&gt;"",0,IF(ISNUMBER(MATCH(Data!G926,Data_Val!$C$2:$C$5,0)),0,1))))</f>
        <v/>
      </c>
      <c r="H926" s="15" t="str">
        <f>IF(Data!B926="","",IF(AND(Data!G926&lt;&gt;"",Data!H926=""),1,IF(Data!#REF!&lt;&gt;"",0,IF(Data!G926="",1,IF(ISNUMBER(MATCH(Data!H926,Data_Val!$D$2:$D$35,0)),0,1)))))</f>
        <v/>
      </c>
      <c r="I926" s="15" t="str">
        <f>IF(Data!B926="","",IF(Data!G926&lt;&gt;"",0,IF(ISNUMBER(MATCH(Data!#REF!,Data_Val!$E$2:$E$12,0)),0,1)))</f>
        <v/>
      </c>
      <c r="J926" s="16" t="e">
        <f>IF(OR(Data!B926="",Data!#REF!=""),"",IF(Data!#REF!="",1,0))</f>
        <v>#REF!</v>
      </c>
      <c r="K926" s="16" t="e">
        <f>IF(OR(Data!B926="",Data!#REF!=""),"",IF(Data!#REF!="",1,0))</f>
        <v>#REF!</v>
      </c>
      <c r="L926" s="16" t="e">
        <f>IF(OR(Data!B926="",Data!#REF!=""),"",IF(ISNUMBER(Data!#REF!),IF(AND(Data!#REF!&gt;Data_Val!$G$2,Data!#REF!&lt;=Data_Val!$G$3),0,1),1))</f>
        <v>#REF!</v>
      </c>
      <c r="M926" s="9" t="e">
        <f>IF(OR(Data!B926="",Data!#REF!=""),"",IF(ISNUMBER(MATCH(Data!#REF!,Data_Val!$F$1:$F$38,0)),0,1))</f>
        <v>#REF!</v>
      </c>
      <c r="N926" s="9" t="e">
        <f>IF(OR(Data!B926="",Data!#REF!=""),"",IF(Data!#REF!="",1,0))</f>
        <v>#REF!</v>
      </c>
      <c r="O926" s="17" t="e">
        <f>IF(Data!#REF!="","",IF(Data!#REF!="",1,0))</f>
        <v>#REF!</v>
      </c>
      <c r="P926" s="17" t="e">
        <f>IF(Data!#REF!="","",IF(ISNUMBER(MATCH(Data!#REF!,Data_Val!$A$2:$A$3,0)),0,1))</f>
        <v>#REF!</v>
      </c>
      <c r="Q926" s="25" t="e">
        <f ca="1">IF(Data!#REF!="","",IF(ISNUMBER(Data!#REF!),IF(AND(Data!#REF!&gt;(TODAY()-(Data_Val!$J$3*365.25)),Data!#REF!&lt;=(TODAY()-(Data_Val!$J$2*365.25))),0,1),1))</f>
        <v>#REF!</v>
      </c>
      <c r="R926" s="17" t="e">
        <f>IF(Data!#REF!="","",IF(ISNUMBER(MATCH(Data!#REF!,Data_Val!$B$2:$B$15,0)),0,1))</f>
        <v>#REF!</v>
      </c>
      <c r="S926" s="11" t="str">
        <f>IF(Data!G926="","",IF(Data!G926=Data_Val!$C$2,IF(Data!M926="",0,1),0))</f>
        <v/>
      </c>
      <c r="T926" s="11" t="str">
        <f>IF(Data!M926="","",IF(ISNUMBER(MATCH(Data!N926,Data_Val!$A$2:$A$3,0)),0,1))</f>
        <v/>
      </c>
      <c r="U926" s="11" t="str">
        <f ca="1">IF(Data!M926="","",IF(ISNUMBER(Data!O926),IF(AND(Data!O926&gt;(TODAY()-(Data_Val!$K$3*365.25)),Data!O926&lt;=(TODAY()-(Data_Val!$K$2*365.25))),0,1),1))</f>
        <v/>
      </c>
      <c r="V926" s="12" t="str">
        <f>IF(Data!G926="","",IF(Data!G926=Data_Val!$C$2,IF(Data!P926="",0,1),0))</f>
        <v/>
      </c>
      <c r="W926" s="12" t="str">
        <f>IF(Data!P926="","",IF(ISNUMBER(MATCH(Data!Q926,Data_Val!$A$2:$A$3,0)),0,1))</f>
        <v/>
      </c>
      <c r="X926" s="26" t="str">
        <f ca="1">IF(Data!P926="","",IF(ISNUMBER(Data!R926),IF(AND(Data!R926&gt;(TODAY()-(Data_Val!$L$3*365.25)),Data!R926&lt;=(TODAY()-(Data_Val!$L$2*365.25))),0,1),1))</f>
        <v/>
      </c>
      <c r="Y926" s="13" t="str">
        <f>IF(Data!$G926="","",IF(Data!$G926=Data_Val!$C$2,IF(Data!S926="",0,1),0))</f>
        <v/>
      </c>
      <c r="Z926" s="13" t="str">
        <f>IF(Data!S926="","",IF(ISNUMBER(MATCH(Data!T926,Data_Val!$A$2:$A$3,0)),0,1))</f>
        <v/>
      </c>
      <c r="AA926" s="28" t="str">
        <f ca="1">IF(Data!S926="","",IF(ISNUMBER(Data!U926),IF(AND(Data!U926&gt;(TODAY()-(Data_Val!$L$3*365.25)),Data!U926&lt;=(TODAY()-(Data_Val!$L$2*365.25))),0,1),1))</f>
        <v/>
      </c>
      <c r="AB926" s="11"/>
      <c r="AC926" s="11" t="e">
        <f>IF(Data!#REF!="","",IF(ISNUMBER(MATCH(Data!#REF!,Data_Val!$A$2:$A$3,0)),0,1))</f>
        <v>#REF!</v>
      </c>
      <c r="AD926" s="11" t="e">
        <f ca="1">IF(Data!#REF!="","",IF(ISNUMBER(Data!#REF!),IF(AND(Data!#REF!&gt;(TODAY()-(Data_Val!$L$3*365.25)),Data!#REF!&lt;=(TODAY()-(Data_Val!$L$2*365.25))),0,1),1))</f>
        <v>#REF!</v>
      </c>
      <c r="AE926" s="11" t="e">
        <f>IF(Data!#REF!="","",IF(Data!$G926="",1,IF(ISNUMBER(MATCH(Data!#REF!,Data_Val!$D$2:$D$10,0)),0,1)))</f>
        <v>#REF!</v>
      </c>
      <c r="AF926" s="12"/>
      <c r="AG926" s="12" t="e">
        <f>IF(Data!#REF!="","",IF(ISNUMBER(MATCH(Data!#REF!,Data_Val!$A$2:$A$3,0)),0,1))</f>
        <v>#REF!</v>
      </c>
      <c r="AH926" s="26" t="e">
        <f ca="1">IF(Data!#REF!="","",IF(ISNUMBER(Data!#REF!),IF(AND(Data!#REF!&gt;(TODAY()-(Data_Val!$L$3*365.25)),Data!#REF!&lt;=(TODAY()-(Data_Val!$L$2*365.25))),0,1),1))</f>
        <v>#REF!</v>
      </c>
      <c r="AI926" s="12" t="e">
        <f>IF(Data!#REF!="","",IF(Data!$G926="",1,IF(ISNUMBER(MATCH(Data!#REF!,Data_Val!$D$2:$D$10,0)),0,1)))</f>
        <v>#REF!</v>
      </c>
      <c r="AJ926" s="17"/>
      <c r="AK926" s="17" t="e">
        <f>IF(Data!#REF!="","",IF(ISNUMBER(MATCH(Data!#REF!,Data_Val!$A$2:$A$3,0)),0,1))</f>
        <v>#REF!</v>
      </c>
      <c r="AL926" s="25" t="e">
        <f ca="1">IF(Data!#REF!="","",IF(ISNUMBER(Data!#REF!),IF(AND(Data!#REF!&gt;(TODAY()-(Data_Val!$L$3*365.25)),Data!#REF!&lt;=(TODAY()-(Data_Val!$L$2*365.25))),0,1),1))</f>
        <v>#REF!</v>
      </c>
      <c r="AM926" s="17" t="e">
        <f>IF(Data!#REF!="","",IF(Data!$G926="",1,IF(ISNUMBER(MATCH(Data!#REF!,Data_Val!$D$2:$D$10,0)),0,1)))</f>
        <v>#REF!</v>
      </c>
      <c r="AN926" s="13"/>
      <c r="AO926" s="28" t="e">
        <f ca="1">IF(Data!#REF!="","",IF(ISNUMBER(Data!#REF!),IF(AND(Data!#REF!&gt;(TODAY()-(Data_Val!$I$3*365.25)),Data!#REF!&lt;=(TODAY()-(Data_Val!$I$2*365.25))),0,1),1))</f>
        <v>#REF!</v>
      </c>
      <c r="AP926" s="13" t="e">
        <f>IF(Data!#REF!="","",IF(Data!$G926="",1,IF(ISNUMBER(MATCH(Data!#REF!,Data_Val!$D$2:$D$10,0)),0,1)))</f>
        <v>#REF!</v>
      </c>
      <c r="AQ926" s="17"/>
      <c r="AR926" s="30" t="e">
        <f ca="1">IF(Data!#REF!="","",IF(ISNUMBER(Data!#REF!),IF(AND(Data!#REF!&gt;(TODAY()-(Data_Val!$I$3*365.25)),Data!#REF!&lt;=(TODAY()-(Data_Val!$I$2*365.25))),0,1),1))</f>
        <v>#REF!</v>
      </c>
      <c r="AS926" s="31" t="e">
        <f>IF(Data!#REF!="","",IF(Data!$G926="",1,IF(ISNUMBER(MATCH(Data!#REF!,Data_Val!$D$2:$D$10,0)),0,1)))</f>
        <v>#REF!</v>
      </c>
      <c r="AT926" s="11"/>
      <c r="AU926" s="11" t="e">
        <f ca="1">IF(Data!#REF!="","",IF(ISNUMBER(Data!#REF!),IF(AND(Data!#REF!&gt;(TODAY()-(Data_Val!$I$3*365.25)),Data!#REF!&lt;=(TODAY()-(Data_Val!$I$2*365.25))),0,1),1))</f>
        <v>#REF!</v>
      </c>
      <c r="AV926" s="11" t="e">
        <f>IF(Data!#REF!="","",IF(Data!$G926="",1,IF(ISNUMBER(MATCH(Data!#REF!,Data_Val!$D$2:$D$10,0)),0,1)))</f>
        <v>#REF!</v>
      </c>
      <c r="AW926" s="12"/>
      <c r="AX926" s="26" t="e">
        <f ca="1">IF(Data!#REF!="","",IF(ISNUMBER(Data!#REF!),IF(AND(Data!#REF!&gt;(TODAY()-(Data_Val!$I$3*365.25)),Data!#REF!&lt;=(TODAY()-(Data_Val!$I$2*365.25))),0,1),1))</f>
        <v>#REF!</v>
      </c>
      <c r="AY926" s="12" t="e">
        <f>IF(Data!#REF!="","",IF(Data!$G926="",1,IF(ISNUMBER(MATCH(Data!#REF!,Data_Val!$D$2:$D$10,0)),0,1)))</f>
        <v>#REF!</v>
      </c>
      <c r="AZ926" s="11"/>
      <c r="BA926" s="19" t="e">
        <f ca="1">IF(Data!#REF!="","",IF(ISNUMBER(Data!#REF!),IF(AND(Data!#REF!&gt;(TODAY()-(Data_Val!$M$3*365.25)),Data!#REF!&lt;=(TODAY()-(Data_Val!$M$2*365.25))),0,1),1))</f>
        <v>#REF!</v>
      </c>
      <c r="BB926" s="11" t="e">
        <f>IF(Data!#REF!="","",IF(Data!$G926="",1,IF(ISNUMBER(MATCH(Data!#REF!,Data_Val!$D$2:$D$10,0)),0,1)))</f>
        <v>#REF!</v>
      </c>
      <c r="BC926" s="12"/>
      <c r="BD926" s="20" t="e">
        <f ca="1">IF(Data!#REF!="","",IF(ISNUMBER(Data!#REF!),IF(AND(Data!#REF!&gt;(TODAY()-(Data_Val!$M$3*365.25)),Data!#REF!&lt;=(TODAY()-(Data_Val!$M$2*365.25))),0,1),1))</f>
        <v>#REF!</v>
      </c>
      <c r="BE926" s="12" t="e">
        <f>IF(Data!#REF!="","",IF(Data!$G926="",1,IF(ISNUMBER(MATCH(Data!#REF!,Data_Val!$D$2:$D$10,0)),0,1)))</f>
        <v>#REF!</v>
      </c>
      <c r="BF926" s="17"/>
      <c r="BG926" s="18" t="e">
        <f ca="1">IF(Data!#REF!="","",IF(ISNUMBER(Data!#REF!),IF(AND(Data!#REF!&gt;(TODAY()-(Data_Val!$M$3*365.25)),Data!#REF!&lt;=(TODAY()-(Data_Val!$M$2*365.25))),0,1),1))</f>
        <v>#REF!</v>
      </c>
      <c r="BH926" s="29" t="e">
        <f>IF(Data!#REF!="","",IF(Data!$G926="",1,IF(ISNUMBER(MATCH(Data!#REF!,Data_Val!$D$2:$D$10,0)),0,1)))</f>
        <v>#REF!</v>
      </c>
      <c r="BI926" s="13"/>
      <c r="BJ926" s="21" t="e">
        <f ca="1">IF(Data!#REF!="","",IF(ISNUMBER(Data!#REF!),IF(AND(Data!#REF!&gt;(TODAY()-(Data_Val!$M$3*365.25)),Data!#REF!&lt;=(TODAY()-(Data_Val!$M$2*365.25))),0,1),1))</f>
        <v>#REF!</v>
      </c>
      <c r="BK926" s="13" t="e">
        <f>IF(Data!#REF!="","",IF(Data!$G926="",1,IF(ISNUMBER(MATCH(Data!#REF!,Data_Val!$D$2:$D$10,0)),0,1)))</f>
        <v>#REF!</v>
      </c>
    </row>
    <row r="927" spans="1:63" x14ac:dyDescent="0.25">
      <c r="A927" s="9" t="str">
        <f>IF(Data!B927="","",IF(COUNTIFS(Data!A$1:'Data'!A927,Data!A927)&lt;=1,0,1))</f>
        <v/>
      </c>
      <c r="B927" s="9"/>
      <c r="C927" s="23" t="str">
        <f>IF(Data!C927="","",(IF(ISNUMBER(MATCH("*@*.?*",Data!C927,0)),0,1)+IF(COUNTIFS(Data!C$1:'Data'!C927,Data!C927)&gt;1,1,0)))</f>
        <v/>
      </c>
      <c r="D927" s="9" t="str">
        <f>IF(Data!B927="","",IF(ISNUMBER(Data!D927),IF(AND(Data!D927&gt;999999999,Data!D927&lt;=9999999999),IF(COUNTIFS(Data!D$1:'Data'!D927,Data!D927)&lt;=1,0,1),1),1))</f>
        <v/>
      </c>
      <c r="E927" s="9" t="str">
        <f>IF(Data!B927="","",IF(ISNUMBER(MATCH(Data!E927,Data_Val!$A$2:$A$3,0)),0,1))</f>
        <v/>
      </c>
      <c r="F927" s="9" t="str">
        <f ca="1">IF(Data!B927="","",IF(ISNUMBER(Data!F927),IF(AND(Data!F927&gt;(TODAY()-(Data_Val!$H$3*365.25)),Data!F927&lt;=(TODAY()-(Data_Val!$H$2*365.25))),0,1),1))</f>
        <v/>
      </c>
      <c r="G927" s="15" t="str">
        <f>IF(Data!B927="","",IF(AND(Data!G927="",Data!H927&lt;&gt;""),1,IF(Data!#REF!&lt;&gt;"",0,IF(ISNUMBER(MATCH(Data!G927,Data_Val!$C$2:$C$5,0)),0,1))))</f>
        <v/>
      </c>
      <c r="H927" s="15" t="str">
        <f>IF(Data!B927="","",IF(AND(Data!G927&lt;&gt;"",Data!H927=""),1,IF(Data!#REF!&lt;&gt;"",0,IF(Data!G927="",1,IF(ISNUMBER(MATCH(Data!H927,Data_Val!$D$2:$D$35,0)),0,1)))))</f>
        <v/>
      </c>
      <c r="I927" s="15" t="str">
        <f>IF(Data!B927="","",IF(Data!G927&lt;&gt;"",0,IF(ISNUMBER(MATCH(Data!#REF!,Data_Val!$E$2:$E$12,0)),0,1)))</f>
        <v/>
      </c>
      <c r="J927" s="16" t="e">
        <f>IF(OR(Data!B927="",Data!#REF!=""),"",IF(Data!#REF!="",1,0))</f>
        <v>#REF!</v>
      </c>
      <c r="K927" s="16" t="e">
        <f>IF(OR(Data!B927="",Data!#REF!=""),"",IF(Data!#REF!="",1,0))</f>
        <v>#REF!</v>
      </c>
      <c r="L927" s="16" t="e">
        <f>IF(OR(Data!B927="",Data!#REF!=""),"",IF(ISNUMBER(Data!#REF!),IF(AND(Data!#REF!&gt;Data_Val!$G$2,Data!#REF!&lt;=Data_Val!$G$3),0,1),1))</f>
        <v>#REF!</v>
      </c>
      <c r="M927" s="9" t="e">
        <f>IF(OR(Data!B927="",Data!#REF!=""),"",IF(ISNUMBER(MATCH(Data!#REF!,Data_Val!$F$1:$F$38,0)),0,1))</f>
        <v>#REF!</v>
      </c>
      <c r="N927" s="9" t="e">
        <f>IF(OR(Data!B927="",Data!#REF!=""),"",IF(Data!#REF!="",1,0))</f>
        <v>#REF!</v>
      </c>
      <c r="O927" s="17" t="e">
        <f>IF(Data!#REF!="","",IF(Data!#REF!="",1,0))</f>
        <v>#REF!</v>
      </c>
      <c r="P927" s="17" t="e">
        <f>IF(Data!#REF!="","",IF(ISNUMBER(MATCH(Data!#REF!,Data_Val!$A$2:$A$3,0)),0,1))</f>
        <v>#REF!</v>
      </c>
      <c r="Q927" s="25" t="e">
        <f ca="1">IF(Data!#REF!="","",IF(ISNUMBER(Data!#REF!),IF(AND(Data!#REF!&gt;(TODAY()-(Data_Val!$J$3*365.25)),Data!#REF!&lt;=(TODAY()-(Data_Val!$J$2*365.25))),0,1),1))</f>
        <v>#REF!</v>
      </c>
      <c r="R927" s="17" t="e">
        <f>IF(Data!#REF!="","",IF(ISNUMBER(MATCH(Data!#REF!,Data_Val!$B$2:$B$15,0)),0,1))</f>
        <v>#REF!</v>
      </c>
      <c r="S927" s="11" t="str">
        <f>IF(Data!G927="","",IF(Data!G927=Data_Val!$C$2,IF(Data!M927="",0,1),0))</f>
        <v/>
      </c>
      <c r="T927" s="11" t="str">
        <f>IF(Data!M927="","",IF(ISNUMBER(MATCH(Data!N927,Data_Val!$A$2:$A$3,0)),0,1))</f>
        <v/>
      </c>
      <c r="U927" s="11" t="str">
        <f ca="1">IF(Data!M927="","",IF(ISNUMBER(Data!O927),IF(AND(Data!O927&gt;(TODAY()-(Data_Val!$K$3*365.25)),Data!O927&lt;=(TODAY()-(Data_Val!$K$2*365.25))),0,1),1))</f>
        <v/>
      </c>
      <c r="V927" s="12" t="str">
        <f>IF(Data!G927="","",IF(Data!G927=Data_Val!$C$2,IF(Data!P927="",0,1),0))</f>
        <v/>
      </c>
      <c r="W927" s="12" t="str">
        <f>IF(Data!P927="","",IF(ISNUMBER(MATCH(Data!Q927,Data_Val!$A$2:$A$3,0)),0,1))</f>
        <v/>
      </c>
      <c r="X927" s="26" t="str">
        <f ca="1">IF(Data!P927="","",IF(ISNUMBER(Data!R927),IF(AND(Data!R927&gt;(TODAY()-(Data_Val!$L$3*365.25)),Data!R927&lt;=(TODAY()-(Data_Val!$L$2*365.25))),0,1),1))</f>
        <v/>
      </c>
      <c r="Y927" s="13" t="str">
        <f>IF(Data!$G927="","",IF(Data!$G927=Data_Val!$C$2,IF(Data!S927="",0,1),0))</f>
        <v/>
      </c>
      <c r="Z927" s="13" t="str">
        <f>IF(Data!S927="","",IF(ISNUMBER(MATCH(Data!T927,Data_Val!$A$2:$A$3,0)),0,1))</f>
        <v/>
      </c>
      <c r="AA927" s="28" t="str">
        <f ca="1">IF(Data!S927="","",IF(ISNUMBER(Data!U927),IF(AND(Data!U927&gt;(TODAY()-(Data_Val!$L$3*365.25)),Data!U927&lt;=(TODAY()-(Data_Val!$L$2*365.25))),0,1),1))</f>
        <v/>
      </c>
      <c r="AB927" s="11"/>
      <c r="AC927" s="11" t="e">
        <f>IF(Data!#REF!="","",IF(ISNUMBER(MATCH(Data!#REF!,Data_Val!$A$2:$A$3,0)),0,1))</f>
        <v>#REF!</v>
      </c>
      <c r="AD927" s="11" t="e">
        <f ca="1">IF(Data!#REF!="","",IF(ISNUMBER(Data!#REF!),IF(AND(Data!#REF!&gt;(TODAY()-(Data_Val!$L$3*365.25)),Data!#REF!&lt;=(TODAY()-(Data_Val!$L$2*365.25))),0,1),1))</f>
        <v>#REF!</v>
      </c>
      <c r="AE927" s="11" t="e">
        <f>IF(Data!#REF!="","",IF(Data!$G927="",1,IF(ISNUMBER(MATCH(Data!#REF!,Data_Val!$D$2:$D$10,0)),0,1)))</f>
        <v>#REF!</v>
      </c>
      <c r="AF927" s="12"/>
      <c r="AG927" s="12" t="e">
        <f>IF(Data!#REF!="","",IF(ISNUMBER(MATCH(Data!#REF!,Data_Val!$A$2:$A$3,0)),0,1))</f>
        <v>#REF!</v>
      </c>
      <c r="AH927" s="26" t="e">
        <f ca="1">IF(Data!#REF!="","",IF(ISNUMBER(Data!#REF!),IF(AND(Data!#REF!&gt;(TODAY()-(Data_Val!$L$3*365.25)),Data!#REF!&lt;=(TODAY()-(Data_Val!$L$2*365.25))),0,1),1))</f>
        <v>#REF!</v>
      </c>
      <c r="AI927" s="12" t="e">
        <f>IF(Data!#REF!="","",IF(Data!$G927="",1,IF(ISNUMBER(MATCH(Data!#REF!,Data_Val!$D$2:$D$10,0)),0,1)))</f>
        <v>#REF!</v>
      </c>
      <c r="AJ927" s="17"/>
      <c r="AK927" s="17" t="e">
        <f>IF(Data!#REF!="","",IF(ISNUMBER(MATCH(Data!#REF!,Data_Val!$A$2:$A$3,0)),0,1))</f>
        <v>#REF!</v>
      </c>
      <c r="AL927" s="25" t="e">
        <f ca="1">IF(Data!#REF!="","",IF(ISNUMBER(Data!#REF!),IF(AND(Data!#REF!&gt;(TODAY()-(Data_Val!$L$3*365.25)),Data!#REF!&lt;=(TODAY()-(Data_Val!$L$2*365.25))),0,1),1))</f>
        <v>#REF!</v>
      </c>
      <c r="AM927" s="17" t="e">
        <f>IF(Data!#REF!="","",IF(Data!$G927="",1,IF(ISNUMBER(MATCH(Data!#REF!,Data_Val!$D$2:$D$10,0)),0,1)))</f>
        <v>#REF!</v>
      </c>
      <c r="AN927" s="13"/>
      <c r="AO927" s="28" t="e">
        <f ca="1">IF(Data!#REF!="","",IF(ISNUMBER(Data!#REF!),IF(AND(Data!#REF!&gt;(TODAY()-(Data_Val!$I$3*365.25)),Data!#REF!&lt;=(TODAY()-(Data_Val!$I$2*365.25))),0,1),1))</f>
        <v>#REF!</v>
      </c>
      <c r="AP927" s="13" t="e">
        <f>IF(Data!#REF!="","",IF(Data!$G927="",1,IF(ISNUMBER(MATCH(Data!#REF!,Data_Val!$D$2:$D$10,0)),0,1)))</f>
        <v>#REF!</v>
      </c>
      <c r="AQ927" s="17"/>
      <c r="AR927" s="30" t="e">
        <f ca="1">IF(Data!#REF!="","",IF(ISNUMBER(Data!#REF!),IF(AND(Data!#REF!&gt;(TODAY()-(Data_Val!$I$3*365.25)),Data!#REF!&lt;=(TODAY()-(Data_Val!$I$2*365.25))),0,1),1))</f>
        <v>#REF!</v>
      </c>
      <c r="AS927" s="31" t="e">
        <f>IF(Data!#REF!="","",IF(Data!$G927="",1,IF(ISNUMBER(MATCH(Data!#REF!,Data_Val!$D$2:$D$10,0)),0,1)))</f>
        <v>#REF!</v>
      </c>
      <c r="AT927" s="11"/>
      <c r="AU927" s="11" t="e">
        <f ca="1">IF(Data!#REF!="","",IF(ISNUMBER(Data!#REF!),IF(AND(Data!#REF!&gt;(TODAY()-(Data_Val!$I$3*365.25)),Data!#REF!&lt;=(TODAY()-(Data_Val!$I$2*365.25))),0,1),1))</f>
        <v>#REF!</v>
      </c>
      <c r="AV927" s="11" t="e">
        <f>IF(Data!#REF!="","",IF(Data!$G927="",1,IF(ISNUMBER(MATCH(Data!#REF!,Data_Val!$D$2:$D$10,0)),0,1)))</f>
        <v>#REF!</v>
      </c>
      <c r="AW927" s="12"/>
      <c r="AX927" s="26" t="e">
        <f ca="1">IF(Data!#REF!="","",IF(ISNUMBER(Data!#REF!),IF(AND(Data!#REF!&gt;(TODAY()-(Data_Val!$I$3*365.25)),Data!#REF!&lt;=(TODAY()-(Data_Val!$I$2*365.25))),0,1),1))</f>
        <v>#REF!</v>
      </c>
      <c r="AY927" s="12" t="e">
        <f>IF(Data!#REF!="","",IF(Data!$G927="",1,IF(ISNUMBER(MATCH(Data!#REF!,Data_Val!$D$2:$D$10,0)),0,1)))</f>
        <v>#REF!</v>
      </c>
      <c r="AZ927" s="11"/>
      <c r="BA927" s="19" t="e">
        <f ca="1">IF(Data!#REF!="","",IF(ISNUMBER(Data!#REF!),IF(AND(Data!#REF!&gt;(TODAY()-(Data_Val!$M$3*365.25)),Data!#REF!&lt;=(TODAY()-(Data_Val!$M$2*365.25))),0,1),1))</f>
        <v>#REF!</v>
      </c>
      <c r="BB927" s="11" t="e">
        <f>IF(Data!#REF!="","",IF(Data!$G927="",1,IF(ISNUMBER(MATCH(Data!#REF!,Data_Val!$D$2:$D$10,0)),0,1)))</f>
        <v>#REF!</v>
      </c>
      <c r="BC927" s="12"/>
      <c r="BD927" s="20" t="e">
        <f ca="1">IF(Data!#REF!="","",IF(ISNUMBER(Data!#REF!),IF(AND(Data!#REF!&gt;(TODAY()-(Data_Val!$M$3*365.25)),Data!#REF!&lt;=(TODAY()-(Data_Val!$M$2*365.25))),0,1),1))</f>
        <v>#REF!</v>
      </c>
      <c r="BE927" s="12" t="e">
        <f>IF(Data!#REF!="","",IF(Data!$G927="",1,IF(ISNUMBER(MATCH(Data!#REF!,Data_Val!$D$2:$D$10,0)),0,1)))</f>
        <v>#REF!</v>
      </c>
      <c r="BF927" s="17"/>
      <c r="BG927" s="18" t="e">
        <f ca="1">IF(Data!#REF!="","",IF(ISNUMBER(Data!#REF!),IF(AND(Data!#REF!&gt;(TODAY()-(Data_Val!$M$3*365.25)),Data!#REF!&lt;=(TODAY()-(Data_Val!$M$2*365.25))),0,1),1))</f>
        <v>#REF!</v>
      </c>
      <c r="BH927" s="29" t="e">
        <f>IF(Data!#REF!="","",IF(Data!$G927="",1,IF(ISNUMBER(MATCH(Data!#REF!,Data_Val!$D$2:$D$10,0)),0,1)))</f>
        <v>#REF!</v>
      </c>
      <c r="BI927" s="13"/>
      <c r="BJ927" s="21" t="e">
        <f ca="1">IF(Data!#REF!="","",IF(ISNUMBER(Data!#REF!),IF(AND(Data!#REF!&gt;(TODAY()-(Data_Val!$M$3*365.25)),Data!#REF!&lt;=(TODAY()-(Data_Val!$M$2*365.25))),0,1),1))</f>
        <v>#REF!</v>
      </c>
      <c r="BK927" s="13" t="e">
        <f>IF(Data!#REF!="","",IF(Data!$G927="",1,IF(ISNUMBER(MATCH(Data!#REF!,Data_Val!$D$2:$D$10,0)),0,1)))</f>
        <v>#REF!</v>
      </c>
    </row>
    <row r="928" spans="1:63" x14ac:dyDescent="0.25">
      <c r="A928" s="9" t="str">
        <f>IF(Data!B928="","",IF(COUNTIFS(Data!A$1:'Data'!A928,Data!A928)&lt;=1,0,1))</f>
        <v/>
      </c>
      <c r="B928" s="9"/>
      <c r="C928" s="23" t="str">
        <f>IF(Data!C928="","",(IF(ISNUMBER(MATCH("*@*.?*",Data!C928,0)),0,1)+IF(COUNTIFS(Data!C$1:'Data'!C928,Data!C928)&gt;1,1,0)))</f>
        <v/>
      </c>
      <c r="D928" s="9" t="str">
        <f>IF(Data!B928="","",IF(ISNUMBER(Data!D928),IF(AND(Data!D928&gt;999999999,Data!D928&lt;=9999999999),IF(COUNTIFS(Data!D$1:'Data'!D928,Data!D928)&lt;=1,0,1),1),1))</f>
        <v/>
      </c>
      <c r="E928" s="9" t="str">
        <f>IF(Data!B928="","",IF(ISNUMBER(MATCH(Data!E928,Data_Val!$A$2:$A$3,0)),0,1))</f>
        <v/>
      </c>
      <c r="F928" s="9" t="str">
        <f ca="1">IF(Data!B928="","",IF(ISNUMBER(Data!F928),IF(AND(Data!F928&gt;(TODAY()-(Data_Val!$H$3*365.25)),Data!F928&lt;=(TODAY()-(Data_Val!$H$2*365.25))),0,1),1))</f>
        <v/>
      </c>
      <c r="G928" s="15" t="str">
        <f>IF(Data!B928="","",IF(AND(Data!G928="",Data!H928&lt;&gt;""),1,IF(Data!#REF!&lt;&gt;"",0,IF(ISNUMBER(MATCH(Data!G928,Data_Val!$C$2:$C$5,0)),0,1))))</f>
        <v/>
      </c>
      <c r="H928" s="15" t="str">
        <f>IF(Data!B928="","",IF(AND(Data!G928&lt;&gt;"",Data!H928=""),1,IF(Data!#REF!&lt;&gt;"",0,IF(Data!G928="",1,IF(ISNUMBER(MATCH(Data!H928,Data_Val!$D$2:$D$35,0)),0,1)))))</f>
        <v/>
      </c>
      <c r="I928" s="15" t="str">
        <f>IF(Data!B928="","",IF(Data!G928&lt;&gt;"",0,IF(ISNUMBER(MATCH(Data!#REF!,Data_Val!$E$2:$E$12,0)),0,1)))</f>
        <v/>
      </c>
      <c r="J928" s="16" t="e">
        <f>IF(OR(Data!B928="",Data!#REF!=""),"",IF(Data!#REF!="",1,0))</f>
        <v>#REF!</v>
      </c>
      <c r="K928" s="16" t="e">
        <f>IF(OR(Data!B928="",Data!#REF!=""),"",IF(Data!#REF!="",1,0))</f>
        <v>#REF!</v>
      </c>
      <c r="L928" s="16" t="e">
        <f>IF(OR(Data!B928="",Data!#REF!=""),"",IF(ISNUMBER(Data!#REF!),IF(AND(Data!#REF!&gt;Data_Val!$G$2,Data!#REF!&lt;=Data_Val!$G$3),0,1),1))</f>
        <v>#REF!</v>
      </c>
      <c r="M928" s="9" t="e">
        <f>IF(OR(Data!B928="",Data!#REF!=""),"",IF(ISNUMBER(MATCH(Data!#REF!,Data_Val!$F$1:$F$38,0)),0,1))</f>
        <v>#REF!</v>
      </c>
      <c r="N928" s="9" t="e">
        <f>IF(OR(Data!B928="",Data!#REF!=""),"",IF(Data!#REF!="",1,0))</f>
        <v>#REF!</v>
      </c>
      <c r="O928" s="17" t="e">
        <f>IF(Data!#REF!="","",IF(Data!#REF!="",1,0))</f>
        <v>#REF!</v>
      </c>
      <c r="P928" s="17" t="e">
        <f>IF(Data!#REF!="","",IF(ISNUMBER(MATCH(Data!#REF!,Data_Val!$A$2:$A$3,0)),0,1))</f>
        <v>#REF!</v>
      </c>
      <c r="Q928" s="25" t="e">
        <f ca="1">IF(Data!#REF!="","",IF(ISNUMBER(Data!#REF!),IF(AND(Data!#REF!&gt;(TODAY()-(Data_Val!$J$3*365.25)),Data!#REF!&lt;=(TODAY()-(Data_Val!$J$2*365.25))),0,1),1))</f>
        <v>#REF!</v>
      </c>
      <c r="R928" s="17" t="e">
        <f>IF(Data!#REF!="","",IF(ISNUMBER(MATCH(Data!#REF!,Data_Val!$B$2:$B$15,0)),0,1))</f>
        <v>#REF!</v>
      </c>
      <c r="S928" s="11" t="str">
        <f>IF(Data!G928="","",IF(Data!G928=Data_Val!$C$2,IF(Data!M928="",0,1),0))</f>
        <v/>
      </c>
      <c r="T928" s="11" t="str">
        <f>IF(Data!M928="","",IF(ISNUMBER(MATCH(Data!N928,Data_Val!$A$2:$A$3,0)),0,1))</f>
        <v/>
      </c>
      <c r="U928" s="11" t="str">
        <f ca="1">IF(Data!M928="","",IF(ISNUMBER(Data!O928),IF(AND(Data!O928&gt;(TODAY()-(Data_Val!$K$3*365.25)),Data!O928&lt;=(TODAY()-(Data_Val!$K$2*365.25))),0,1),1))</f>
        <v/>
      </c>
      <c r="V928" s="12" t="str">
        <f>IF(Data!G928="","",IF(Data!G928=Data_Val!$C$2,IF(Data!P928="",0,1),0))</f>
        <v/>
      </c>
      <c r="W928" s="12" t="str">
        <f>IF(Data!P928="","",IF(ISNUMBER(MATCH(Data!Q928,Data_Val!$A$2:$A$3,0)),0,1))</f>
        <v/>
      </c>
      <c r="X928" s="26" t="str">
        <f ca="1">IF(Data!P928="","",IF(ISNUMBER(Data!R928),IF(AND(Data!R928&gt;(TODAY()-(Data_Val!$L$3*365.25)),Data!R928&lt;=(TODAY()-(Data_Val!$L$2*365.25))),0,1),1))</f>
        <v/>
      </c>
      <c r="Y928" s="13" t="str">
        <f>IF(Data!$G928="","",IF(Data!$G928=Data_Val!$C$2,IF(Data!S928="",0,1),0))</f>
        <v/>
      </c>
      <c r="Z928" s="13" t="str">
        <f>IF(Data!S928="","",IF(ISNUMBER(MATCH(Data!T928,Data_Val!$A$2:$A$3,0)),0,1))</f>
        <v/>
      </c>
      <c r="AA928" s="28" t="str">
        <f ca="1">IF(Data!S928="","",IF(ISNUMBER(Data!U928),IF(AND(Data!U928&gt;(TODAY()-(Data_Val!$L$3*365.25)),Data!U928&lt;=(TODAY()-(Data_Val!$L$2*365.25))),0,1),1))</f>
        <v/>
      </c>
      <c r="AB928" s="11"/>
      <c r="AC928" s="11" t="e">
        <f>IF(Data!#REF!="","",IF(ISNUMBER(MATCH(Data!#REF!,Data_Val!$A$2:$A$3,0)),0,1))</f>
        <v>#REF!</v>
      </c>
      <c r="AD928" s="11" t="e">
        <f ca="1">IF(Data!#REF!="","",IF(ISNUMBER(Data!#REF!),IF(AND(Data!#REF!&gt;(TODAY()-(Data_Val!$L$3*365.25)),Data!#REF!&lt;=(TODAY()-(Data_Val!$L$2*365.25))),0,1),1))</f>
        <v>#REF!</v>
      </c>
      <c r="AE928" s="11" t="e">
        <f>IF(Data!#REF!="","",IF(Data!$G928="",1,IF(ISNUMBER(MATCH(Data!#REF!,Data_Val!$D$2:$D$10,0)),0,1)))</f>
        <v>#REF!</v>
      </c>
      <c r="AF928" s="12"/>
      <c r="AG928" s="12" t="e">
        <f>IF(Data!#REF!="","",IF(ISNUMBER(MATCH(Data!#REF!,Data_Val!$A$2:$A$3,0)),0,1))</f>
        <v>#REF!</v>
      </c>
      <c r="AH928" s="26" t="e">
        <f ca="1">IF(Data!#REF!="","",IF(ISNUMBER(Data!#REF!),IF(AND(Data!#REF!&gt;(TODAY()-(Data_Val!$L$3*365.25)),Data!#REF!&lt;=(TODAY()-(Data_Val!$L$2*365.25))),0,1),1))</f>
        <v>#REF!</v>
      </c>
      <c r="AI928" s="12" t="e">
        <f>IF(Data!#REF!="","",IF(Data!$G928="",1,IF(ISNUMBER(MATCH(Data!#REF!,Data_Val!$D$2:$D$10,0)),0,1)))</f>
        <v>#REF!</v>
      </c>
      <c r="AJ928" s="17"/>
      <c r="AK928" s="17" t="e">
        <f>IF(Data!#REF!="","",IF(ISNUMBER(MATCH(Data!#REF!,Data_Val!$A$2:$A$3,0)),0,1))</f>
        <v>#REF!</v>
      </c>
      <c r="AL928" s="25" t="e">
        <f ca="1">IF(Data!#REF!="","",IF(ISNUMBER(Data!#REF!),IF(AND(Data!#REF!&gt;(TODAY()-(Data_Val!$L$3*365.25)),Data!#REF!&lt;=(TODAY()-(Data_Val!$L$2*365.25))),0,1),1))</f>
        <v>#REF!</v>
      </c>
      <c r="AM928" s="17" t="e">
        <f>IF(Data!#REF!="","",IF(Data!$G928="",1,IF(ISNUMBER(MATCH(Data!#REF!,Data_Val!$D$2:$D$10,0)),0,1)))</f>
        <v>#REF!</v>
      </c>
      <c r="AN928" s="13"/>
      <c r="AO928" s="28" t="e">
        <f ca="1">IF(Data!#REF!="","",IF(ISNUMBER(Data!#REF!),IF(AND(Data!#REF!&gt;(TODAY()-(Data_Val!$I$3*365.25)),Data!#REF!&lt;=(TODAY()-(Data_Val!$I$2*365.25))),0,1),1))</f>
        <v>#REF!</v>
      </c>
      <c r="AP928" s="13" t="e">
        <f>IF(Data!#REF!="","",IF(Data!$G928="",1,IF(ISNUMBER(MATCH(Data!#REF!,Data_Val!$D$2:$D$10,0)),0,1)))</f>
        <v>#REF!</v>
      </c>
      <c r="AQ928" s="17"/>
      <c r="AR928" s="30" t="e">
        <f ca="1">IF(Data!#REF!="","",IF(ISNUMBER(Data!#REF!),IF(AND(Data!#REF!&gt;(TODAY()-(Data_Val!$I$3*365.25)),Data!#REF!&lt;=(TODAY()-(Data_Val!$I$2*365.25))),0,1),1))</f>
        <v>#REF!</v>
      </c>
      <c r="AS928" s="31" t="e">
        <f>IF(Data!#REF!="","",IF(Data!$G928="",1,IF(ISNUMBER(MATCH(Data!#REF!,Data_Val!$D$2:$D$10,0)),0,1)))</f>
        <v>#REF!</v>
      </c>
      <c r="AT928" s="11"/>
      <c r="AU928" s="11" t="e">
        <f ca="1">IF(Data!#REF!="","",IF(ISNUMBER(Data!#REF!),IF(AND(Data!#REF!&gt;(TODAY()-(Data_Val!$I$3*365.25)),Data!#REF!&lt;=(TODAY()-(Data_Val!$I$2*365.25))),0,1),1))</f>
        <v>#REF!</v>
      </c>
      <c r="AV928" s="11" t="e">
        <f>IF(Data!#REF!="","",IF(Data!$G928="",1,IF(ISNUMBER(MATCH(Data!#REF!,Data_Val!$D$2:$D$10,0)),0,1)))</f>
        <v>#REF!</v>
      </c>
      <c r="AW928" s="12"/>
      <c r="AX928" s="26" t="e">
        <f ca="1">IF(Data!#REF!="","",IF(ISNUMBER(Data!#REF!),IF(AND(Data!#REF!&gt;(TODAY()-(Data_Val!$I$3*365.25)),Data!#REF!&lt;=(TODAY()-(Data_Val!$I$2*365.25))),0,1),1))</f>
        <v>#REF!</v>
      </c>
      <c r="AY928" s="12" t="e">
        <f>IF(Data!#REF!="","",IF(Data!$G928="",1,IF(ISNUMBER(MATCH(Data!#REF!,Data_Val!$D$2:$D$10,0)),0,1)))</f>
        <v>#REF!</v>
      </c>
      <c r="AZ928" s="11"/>
      <c r="BA928" s="19" t="e">
        <f ca="1">IF(Data!#REF!="","",IF(ISNUMBER(Data!#REF!),IF(AND(Data!#REF!&gt;(TODAY()-(Data_Val!$M$3*365.25)),Data!#REF!&lt;=(TODAY()-(Data_Val!$M$2*365.25))),0,1),1))</f>
        <v>#REF!</v>
      </c>
      <c r="BB928" s="11" t="e">
        <f>IF(Data!#REF!="","",IF(Data!$G928="",1,IF(ISNUMBER(MATCH(Data!#REF!,Data_Val!$D$2:$D$10,0)),0,1)))</f>
        <v>#REF!</v>
      </c>
      <c r="BC928" s="12"/>
      <c r="BD928" s="20" t="e">
        <f ca="1">IF(Data!#REF!="","",IF(ISNUMBER(Data!#REF!),IF(AND(Data!#REF!&gt;(TODAY()-(Data_Val!$M$3*365.25)),Data!#REF!&lt;=(TODAY()-(Data_Val!$M$2*365.25))),0,1),1))</f>
        <v>#REF!</v>
      </c>
      <c r="BE928" s="12" t="e">
        <f>IF(Data!#REF!="","",IF(Data!$G928="",1,IF(ISNUMBER(MATCH(Data!#REF!,Data_Val!$D$2:$D$10,0)),0,1)))</f>
        <v>#REF!</v>
      </c>
      <c r="BF928" s="17"/>
      <c r="BG928" s="18" t="e">
        <f ca="1">IF(Data!#REF!="","",IF(ISNUMBER(Data!#REF!),IF(AND(Data!#REF!&gt;(TODAY()-(Data_Val!$M$3*365.25)),Data!#REF!&lt;=(TODAY()-(Data_Val!$M$2*365.25))),0,1),1))</f>
        <v>#REF!</v>
      </c>
      <c r="BH928" s="29" t="e">
        <f>IF(Data!#REF!="","",IF(Data!$G928="",1,IF(ISNUMBER(MATCH(Data!#REF!,Data_Val!$D$2:$D$10,0)),0,1)))</f>
        <v>#REF!</v>
      </c>
      <c r="BI928" s="13"/>
      <c r="BJ928" s="21" t="e">
        <f ca="1">IF(Data!#REF!="","",IF(ISNUMBER(Data!#REF!),IF(AND(Data!#REF!&gt;(TODAY()-(Data_Val!$M$3*365.25)),Data!#REF!&lt;=(TODAY()-(Data_Val!$M$2*365.25))),0,1),1))</f>
        <v>#REF!</v>
      </c>
      <c r="BK928" s="13" t="e">
        <f>IF(Data!#REF!="","",IF(Data!$G928="",1,IF(ISNUMBER(MATCH(Data!#REF!,Data_Val!$D$2:$D$10,0)),0,1)))</f>
        <v>#REF!</v>
      </c>
    </row>
    <row r="929" spans="1:63" x14ac:dyDescent="0.25">
      <c r="A929" s="9" t="str">
        <f>IF(Data!B929="","",IF(COUNTIFS(Data!A$1:'Data'!A929,Data!A929)&lt;=1,0,1))</f>
        <v/>
      </c>
      <c r="B929" s="9"/>
      <c r="C929" s="23" t="str">
        <f>IF(Data!C929="","",(IF(ISNUMBER(MATCH("*@*.?*",Data!C929,0)),0,1)+IF(COUNTIFS(Data!C$1:'Data'!C929,Data!C929)&gt;1,1,0)))</f>
        <v/>
      </c>
      <c r="D929" s="9" t="str">
        <f>IF(Data!B929="","",IF(ISNUMBER(Data!D929),IF(AND(Data!D929&gt;999999999,Data!D929&lt;=9999999999),IF(COUNTIFS(Data!D$1:'Data'!D929,Data!D929)&lt;=1,0,1),1),1))</f>
        <v/>
      </c>
      <c r="E929" s="9" t="str">
        <f>IF(Data!B929="","",IF(ISNUMBER(MATCH(Data!E929,Data_Val!$A$2:$A$3,0)),0,1))</f>
        <v/>
      </c>
      <c r="F929" s="9" t="str">
        <f ca="1">IF(Data!B929="","",IF(ISNUMBER(Data!F929),IF(AND(Data!F929&gt;(TODAY()-(Data_Val!$H$3*365.25)),Data!F929&lt;=(TODAY()-(Data_Val!$H$2*365.25))),0,1),1))</f>
        <v/>
      </c>
      <c r="G929" s="15" t="str">
        <f>IF(Data!B929="","",IF(AND(Data!G929="",Data!H929&lt;&gt;""),1,IF(Data!#REF!&lt;&gt;"",0,IF(ISNUMBER(MATCH(Data!G929,Data_Val!$C$2:$C$5,0)),0,1))))</f>
        <v/>
      </c>
      <c r="H929" s="15" t="str">
        <f>IF(Data!B929="","",IF(AND(Data!G929&lt;&gt;"",Data!H929=""),1,IF(Data!#REF!&lt;&gt;"",0,IF(Data!G929="",1,IF(ISNUMBER(MATCH(Data!H929,Data_Val!$D$2:$D$35,0)),0,1)))))</f>
        <v/>
      </c>
      <c r="I929" s="15" t="str">
        <f>IF(Data!B929="","",IF(Data!G929&lt;&gt;"",0,IF(ISNUMBER(MATCH(Data!#REF!,Data_Val!$E$2:$E$12,0)),0,1)))</f>
        <v/>
      </c>
      <c r="J929" s="16" t="e">
        <f>IF(OR(Data!B929="",Data!#REF!=""),"",IF(Data!#REF!="",1,0))</f>
        <v>#REF!</v>
      </c>
      <c r="K929" s="16" t="e">
        <f>IF(OR(Data!B929="",Data!#REF!=""),"",IF(Data!#REF!="",1,0))</f>
        <v>#REF!</v>
      </c>
      <c r="L929" s="16" t="e">
        <f>IF(OR(Data!B929="",Data!#REF!=""),"",IF(ISNUMBER(Data!#REF!),IF(AND(Data!#REF!&gt;Data_Val!$G$2,Data!#REF!&lt;=Data_Val!$G$3),0,1),1))</f>
        <v>#REF!</v>
      </c>
      <c r="M929" s="9" t="e">
        <f>IF(OR(Data!B929="",Data!#REF!=""),"",IF(ISNUMBER(MATCH(Data!#REF!,Data_Val!$F$1:$F$38,0)),0,1))</f>
        <v>#REF!</v>
      </c>
      <c r="N929" s="9" t="e">
        <f>IF(OR(Data!B929="",Data!#REF!=""),"",IF(Data!#REF!="",1,0))</f>
        <v>#REF!</v>
      </c>
      <c r="O929" s="17" t="e">
        <f>IF(Data!#REF!="","",IF(Data!#REF!="",1,0))</f>
        <v>#REF!</v>
      </c>
      <c r="P929" s="17" t="e">
        <f>IF(Data!#REF!="","",IF(ISNUMBER(MATCH(Data!#REF!,Data_Val!$A$2:$A$3,0)),0,1))</f>
        <v>#REF!</v>
      </c>
      <c r="Q929" s="25" t="e">
        <f ca="1">IF(Data!#REF!="","",IF(ISNUMBER(Data!#REF!),IF(AND(Data!#REF!&gt;(TODAY()-(Data_Val!$J$3*365.25)),Data!#REF!&lt;=(TODAY()-(Data_Val!$J$2*365.25))),0,1),1))</f>
        <v>#REF!</v>
      </c>
      <c r="R929" s="17" t="e">
        <f>IF(Data!#REF!="","",IF(ISNUMBER(MATCH(Data!#REF!,Data_Val!$B$2:$B$15,0)),0,1))</f>
        <v>#REF!</v>
      </c>
      <c r="S929" s="11" t="str">
        <f>IF(Data!G929="","",IF(Data!G929=Data_Val!$C$2,IF(Data!M929="",0,1),0))</f>
        <v/>
      </c>
      <c r="T929" s="11" t="str">
        <f>IF(Data!M929="","",IF(ISNUMBER(MATCH(Data!N929,Data_Val!$A$2:$A$3,0)),0,1))</f>
        <v/>
      </c>
      <c r="U929" s="11" t="str">
        <f ca="1">IF(Data!M929="","",IF(ISNUMBER(Data!O929),IF(AND(Data!O929&gt;(TODAY()-(Data_Val!$K$3*365.25)),Data!O929&lt;=(TODAY()-(Data_Val!$K$2*365.25))),0,1),1))</f>
        <v/>
      </c>
      <c r="V929" s="12" t="str">
        <f>IF(Data!G929="","",IF(Data!G929=Data_Val!$C$2,IF(Data!P929="",0,1),0))</f>
        <v/>
      </c>
      <c r="W929" s="12" t="str">
        <f>IF(Data!P929="","",IF(ISNUMBER(MATCH(Data!Q929,Data_Val!$A$2:$A$3,0)),0,1))</f>
        <v/>
      </c>
      <c r="X929" s="26" t="str">
        <f ca="1">IF(Data!P929="","",IF(ISNUMBER(Data!R929),IF(AND(Data!R929&gt;(TODAY()-(Data_Val!$L$3*365.25)),Data!R929&lt;=(TODAY()-(Data_Val!$L$2*365.25))),0,1),1))</f>
        <v/>
      </c>
      <c r="Y929" s="13" t="str">
        <f>IF(Data!$G929="","",IF(Data!$G929=Data_Val!$C$2,IF(Data!S929="",0,1),0))</f>
        <v/>
      </c>
      <c r="Z929" s="13" t="str">
        <f>IF(Data!S929="","",IF(ISNUMBER(MATCH(Data!T929,Data_Val!$A$2:$A$3,0)),0,1))</f>
        <v/>
      </c>
      <c r="AA929" s="28" t="str">
        <f ca="1">IF(Data!S929="","",IF(ISNUMBER(Data!U929),IF(AND(Data!U929&gt;(TODAY()-(Data_Val!$L$3*365.25)),Data!U929&lt;=(TODAY()-(Data_Val!$L$2*365.25))),0,1),1))</f>
        <v/>
      </c>
      <c r="AB929" s="11"/>
      <c r="AC929" s="11" t="e">
        <f>IF(Data!#REF!="","",IF(ISNUMBER(MATCH(Data!#REF!,Data_Val!$A$2:$A$3,0)),0,1))</f>
        <v>#REF!</v>
      </c>
      <c r="AD929" s="11" t="e">
        <f ca="1">IF(Data!#REF!="","",IF(ISNUMBER(Data!#REF!),IF(AND(Data!#REF!&gt;(TODAY()-(Data_Val!$L$3*365.25)),Data!#REF!&lt;=(TODAY()-(Data_Val!$L$2*365.25))),0,1),1))</f>
        <v>#REF!</v>
      </c>
      <c r="AE929" s="11" t="e">
        <f>IF(Data!#REF!="","",IF(Data!$G929="",1,IF(ISNUMBER(MATCH(Data!#REF!,Data_Val!$D$2:$D$10,0)),0,1)))</f>
        <v>#REF!</v>
      </c>
      <c r="AF929" s="12"/>
      <c r="AG929" s="12" t="e">
        <f>IF(Data!#REF!="","",IF(ISNUMBER(MATCH(Data!#REF!,Data_Val!$A$2:$A$3,0)),0,1))</f>
        <v>#REF!</v>
      </c>
      <c r="AH929" s="26" t="e">
        <f ca="1">IF(Data!#REF!="","",IF(ISNUMBER(Data!#REF!),IF(AND(Data!#REF!&gt;(TODAY()-(Data_Val!$L$3*365.25)),Data!#REF!&lt;=(TODAY()-(Data_Val!$L$2*365.25))),0,1),1))</f>
        <v>#REF!</v>
      </c>
      <c r="AI929" s="12" t="e">
        <f>IF(Data!#REF!="","",IF(Data!$G929="",1,IF(ISNUMBER(MATCH(Data!#REF!,Data_Val!$D$2:$D$10,0)),0,1)))</f>
        <v>#REF!</v>
      </c>
      <c r="AJ929" s="17"/>
      <c r="AK929" s="17" t="e">
        <f>IF(Data!#REF!="","",IF(ISNUMBER(MATCH(Data!#REF!,Data_Val!$A$2:$A$3,0)),0,1))</f>
        <v>#REF!</v>
      </c>
      <c r="AL929" s="25" t="e">
        <f ca="1">IF(Data!#REF!="","",IF(ISNUMBER(Data!#REF!),IF(AND(Data!#REF!&gt;(TODAY()-(Data_Val!$L$3*365.25)),Data!#REF!&lt;=(TODAY()-(Data_Val!$L$2*365.25))),0,1),1))</f>
        <v>#REF!</v>
      </c>
      <c r="AM929" s="17" t="e">
        <f>IF(Data!#REF!="","",IF(Data!$G929="",1,IF(ISNUMBER(MATCH(Data!#REF!,Data_Val!$D$2:$D$10,0)),0,1)))</f>
        <v>#REF!</v>
      </c>
      <c r="AN929" s="13"/>
      <c r="AO929" s="28" t="e">
        <f ca="1">IF(Data!#REF!="","",IF(ISNUMBER(Data!#REF!),IF(AND(Data!#REF!&gt;(TODAY()-(Data_Val!$I$3*365.25)),Data!#REF!&lt;=(TODAY()-(Data_Val!$I$2*365.25))),0,1),1))</f>
        <v>#REF!</v>
      </c>
      <c r="AP929" s="13" t="e">
        <f>IF(Data!#REF!="","",IF(Data!$G929="",1,IF(ISNUMBER(MATCH(Data!#REF!,Data_Val!$D$2:$D$10,0)),0,1)))</f>
        <v>#REF!</v>
      </c>
      <c r="AQ929" s="17"/>
      <c r="AR929" s="30" t="e">
        <f ca="1">IF(Data!#REF!="","",IF(ISNUMBER(Data!#REF!),IF(AND(Data!#REF!&gt;(TODAY()-(Data_Val!$I$3*365.25)),Data!#REF!&lt;=(TODAY()-(Data_Val!$I$2*365.25))),0,1),1))</f>
        <v>#REF!</v>
      </c>
      <c r="AS929" s="31" t="e">
        <f>IF(Data!#REF!="","",IF(Data!$G929="",1,IF(ISNUMBER(MATCH(Data!#REF!,Data_Val!$D$2:$D$10,0)),0,1)))</f>
        <v>#REF!</v>
      </c>
      <c r="AT929" s="11"/>
      <c r="AU929" s="11" t="e">
        <f ca="1">IF(Data!#REF!="","",IF(ISNUMBER(Data!#REF!),IF(AND(Data!#REF!&gt;(TODAY()-(Data_Val!$I$3*365.25)),Data!#REF!&lt;=(TODAY()-(Data_Val!$I$2*365.25))),0,1),1))</f>
        <v>#REF!</v>
      </c>
      <c r="AV929" s="11" t="e">
        <f>IF(Data!#REF!="","",IF(Data!$G929="",1,IF(ISNUMBER(MATCH(Data!#REF!,Data_Val!$D$2:$D$10,0)),0,1)))</f>
        <v>#REF!</v>
      </c>
      <c r="AW929" s="12"/>
      <c r="AX929" s="26" t="e">
        <f ca="1">IF(Data!#REF!="","",IF(ISNUMBER(Data!#REF!),IF(AND(Data!#REF!&gt;(TODAY()-(Data_Val!$I$3*365.25)),Data!#REF!&lt;=(TODAY()-(Data_Val!$I$2*365.25))),0,1),1))</f>
        <v>#REF!</v>
      </c>
      <c r="AY929" s="12" t="e">
        <f>IF(Data!#REF!="","",IF(Data!$G929="",1,IF(ISNUMBER(MATCH(Data!#REF!,Data_Val!$D$2:$D$10,0)),0,1)))</f>
        <v>#REF!</v>
      </c>
      <c r="AZ929" s="11"/>
      <c r="BA929" s="19" t="e">
        <f ca="1">IF(Data!#REF!="","",IF(ISNUMBER(Data!#REF!),IF(AND(Data!#REF!&gt;(TODAY()-(Data_Val!$M$3*365.25)),Data!#REF!&lt;=(TODAY()-(Data_Val!$M$2*365.25))),0,1),1))</f>
        <v>#REF!</v>
      </c>
      <c r="BB929" s="11" t="e">
        <f>IF(Data!#REF!="","",IF(Data!$G929="",1,IF(ISNUMBER(MATCH(Data!#REF!,Data_Val!$D$2:$D$10,0)),0,1)))</f>
        <v>#REF!</v>
      </c>
      <c r="BC929" s="12"/>
      <c r="BD929" s="20" t="e">
        <f ca="1">IF(Data!#REF!="","",IF(ISNUMBER(Data!#REF!),IF(AND(Data!#REF!&gt;(TODAY()-(Data_Val!$M$3*365.25)),Data!#REF!&lt;=(TODAY()-(Data_Val!$M$2*365.25))),0,1),1))</f>
        <v>#REF!</v>
      </c>
      <c r="BE929" s="12" t="e">
        <f>IF(Data!#REF!="","",IF(Data!$G929="",1,IF(ISNUMBER(MATCH(Data!#REF!,Data_Val!$D$2:$D$10,0)),0,1)))</f>
        <v>#REF!</v>
      </c>
      <c r="BF929" s="17"/>
      <c r="BG929" s="18" t="e">
        <f ca="1">IF(Data!#REF!="","",IF(ISNUMBER(Data!#REF!),IF(AND(Data!#REF!&gt;(TODAY()-(Data_Val!$M$3*365.25)),Data!#REF!&lt;=(TODAY()-(Data_Val!$M$2*365.25))),0,1),1))</f>
        <v>#REF!</v>
      </c>
      <c r="BH929" s="29" t="e">
        <f>IF(Data!#REF!="","",IF(Data!$G929="",1,IF(ISNUMBER(MATCH(Data!#REF!,Data_Val!$D$2:$D$10,0)),0,1)))</f>
        <v>#REF!</v>
      </c>
      <c r="BI929" s="13"/>
      <c r="BJ929" s="21" t="e">
        <f ca="1">IF(Data!#REF!="","",IF(ISNUMBER(Data!#REF!),IF(AND(Data!#REF!&gt;(TODAY()-(Data_Val!$M$3*365.25)),Data!#REF!&lt;=(TODAY()-(Data_Val!$M$2*365.25))),0,1),1))</f>
        <v>#REF!</v>
      </c>
      <c r="BK929" s="13" t="e">
        <f>IF(Data!#REF!="","",IF(Data!$G929="",1,IF(ISNUMBER(MATCH(Data!#REF!,Data_Val!$D$2:$D$10,0)),0,1)))</f>
        <v>#REF!</v>
      </c>
    </row>
    <row r="930" spans="1:63" x14ac:dyDescent="0.25">
      <c r="A930" s="9" t="str">
        <f>IF(Data!B930="","",IF(COUNTIFS(Data!A$1:'Data'!A930,Data!A930)&lt;=1,0,1))</f>
        <v/>
      </c>
      <c r="B930" s="9"/>
      <c r="C930" s="23" t="str">
        <f>IF(Data!C930="","",(IF(ISNUMBER(MATCH("*@*.?*",Data!C930,0)),0,1)+IF(COUNTIFS(Data!C$1:'Data'!C930,Data!C930)&gt;1,1,0)))</f>
        <v/>
      </c>
      <c r="D930" s="9" t="str">
        <f>IF(Data!B930="","",IF(ISNUMBER(Data!D930),IF(AND(Data!D930&gt;999999999,Data!D930&lt;=9999999999),IF(COUNTIFS(Data!D$1:'Data'!D930,Data!D930)&lt;=1,0,1),1),1))</f>
        <v/>
      </c>
      <c r="E930" s="9" t="str">
        <f>IF(Data!B930="","",IF(ISNUMBER(MATCH(Data!E930,Data_Val!$A$2:$A$3,0)),0,1))</f>
        <v/>
      </c>
      <c r="F930" s="9" t="str">
        <f ca="1">IF(Data!B930="","",IF(ISNUMBER(Data!F930),IF(AND(Data!F930&gt;(TODAY()-(Data_Val!$H$3*365.25)),Data!F930&lt;=(TODAY()-(Data_Val!$H$2*365.25))),0,1),1))</f>
        <v/>
      </c>
      <c r="G930" s="15" t="str">
        <f>IF(Data!B930="","",IF(AND(Data!G930="",Data!H930&lt;&gt;""),1,IF(Data!#REF!&lt;&gt;"",0,IF(ISNUMBER(MATCH(Data!G930,Data_Val!$C$2:$C$5,0)),0,1))))</f>
        <v/>
      </c>
      <c r="H930" s="15" t="str">
        <f>IF(Data!B930="","",IF(AND(Data!G930&lt;&gt;"",Data!H930=""),1,IF(Data!#REF!&lt;&gt;"",0,IF(Data!G930="",1,IF(ISNUMBER(MATCH(Data!H930,Data_Val!$D$2:$D$35,0)),0,1)))))</f>
        <v/>
      </c>
      <c r="I930" s="15" t="str">
        <f>IF(Data!B930="","",IF(Data!G930&lt;&gt;"",0,IF(ISNUMBER(MATCH(Data!#REF!,Data_Val!$E$2:$E$12,0)),0,1)))</f>
        <v/>
      </c>
      <c r="J930" s="16" t="e">
        <f>IF(OR(Data!B930="",Data!#REF!=""),"",IF(Data!#REF!="",1,0))</f>
        <v>#REF!</v>
      </c>
      <c r="K930" s="16" t="e">
        <f>IF(OR(Data!B930="",Data!#REF!=""),"",IF(Data!#REF!="",1,0))</f>
        <v>#REF!</v>
      </c>
      <c r="L930" s="16" t="e">
        <f>IF(OR(Data!B930="",Data!#REF!=""),"",IF(ISNUMBER(Data!#REF!),IF(AND(Data!#REF!&gt;Data_Val!$G$2,Data!#REF!&lt;=Data_Val!$G$3),0,1),1))</f>
        <v>#REF!</v>
      </c>
      <c r="M930" s="9" t="e">
        <f>IF(OR(Data!B930="",Data!#REF!=""),"",IF(ISNUMBER(MATCH(Data!#REF!,Data_Val!$F$1:$F$38,0)),0,1))</f>
        <v>#REF!</v>
      </c>
      <c r="N930" s="9" t="e">
        <f>IF(OR(Data!B930="",Data!#REF!=""),"",IF(Data!#REF!="",1,0))</f>
        <v>#REF!</v>
      </c>
      <c r="O930" s="17" t="e">
        <f>IF(Data!#REF!="","",IF(Data!#REF!="",1,0))</f>
        <v>#REF!</v>
      </c>
      <c r="P930" s="17" t="e">
        <f>IF(Data!#REF!="","",IF(ISNUMBER(MATCH(Data!#REF!,Data_Val!$A$2:$A$3,0)),0,1))</f>
        <v>#REF!</v>
      </c>
      <c r="Q930" s="25" t="e">
        <f ca="1">IF(Data!#REF!="","",IF(ISNUMBER(Data!#REF!),IF(AND(Data!#REF!&gt;(TODAY()-(Data_Val!$J$3*365.25)),Data!#REF!&lt;=(TODAY()-(Data_Val!$J$2*365.25))),0,1),1))</f>
        <v>#REF!</v>
      </c>
      <c r="R930" s="17" t="e">
        <f>IF(Data!#REF!="","",IF(ISNUMBER(MATCH(Data!#REF!,Data_Val!$B$2:$B$15,0)),0,1))</f>
        <v>#REF!</v>
      </c>
      <c r="S930" s="11" t="str">
        <f>IF(Data!G930="","",IF(Data!G930=Data_Val!$C$2,IF(Data!M930="",0,1),0))</f>
        <v/>
      </c>
      <c r="T930" s="11" t="str">
        <f>IF(Data!M930="","",IF(ISNUMBER(MATCH(Data!N930,Data_Val!$A$2:$A$3,0)),0,1))</f>
        <v/>
      </c>
      <c r="U930" s="11" t="str">
        <f ca="1">IF(Data!M930="","",IF(ISNUMBER(Data!O930),IF(AND(Data!O930&gt;(TODAY()-(Data_Val!$K$3*365.25)),Data!O930&lt;=(TODAY()-(Data_Val!$K$2*365.25))),0,1),1))</f>
        <v/>
      </c>
      <c r="V930" s="12" t="str">
        <f>IF(Data!G930="","",IF(Data!G930=Data_Val!$C$2,IF(Data!P930="",0,1),0))</f>
        <v/>
      </c>
      <c r="W930" s="12" t="str">
        <f>IF(Data!P930="","",IF(ISNUMBER(MATCH(Data!Q930,Data_Val!$A$2:$A$3,0)),0,1))</f>
        <v/>
      </c>
      <c r="X930" s="26" t="str">
        <f ca="1">IF(Data!P930="","",IF(ISNUMBER(Data!R930),IF(AND(Data!R930&gt;(TODAY()-(Data_Val!$L$3*365.25)),Data!R930&lt;=(TODAY()-(Data_Val!$L$2*365.25))),0,1),1))</f>
        <v/>
      </c>
      <c r="Y930" s="13" t="str">
        <f>IF(Data!$G930="","",IF(Data!$G930=Data_Val!$C$2,IF(Data!S930="",0,1),0))</f>
        <v/>
      </c>
      <c r="Z930" s="13" t="str">
        <f>IF(Data!S930="","",IF(ISNUMBER(MATCH(Data!T930,Data_Val!$A$2:$A$3,0)),0,1))</f>
        <v/>
      </c>
      <c r="AA930" s="28" t="str">
        <f ca="1">IF(Data!S930="","",IF(ISNUMBER(Data!U930),IF(AND(Data!U930&gt;(TODAY()-(Data_Val!$L$3*365.25)),Data!U930&lt;=(TODAY()-(Data_Val!$L$2*365.25))),0,1),1))</f>
        <v/>
      </c>
      <c r="AB930" s="11"/>
      <c r="AC930" s="11" t="e">
        <f>IF(Data!#REF!="","",IF(ISNUMBER(MATCH(Data!#REF!,Data_Val!$A$2:$A$3,0)),0,1))</f>
        <v>#REF!</v>
      </c>
      <c r="AD930" s="11" t="e">
        <f ca="1">IF(Data!#REF!="","",IF(ISNUMBER(Data!#REF!),IF(AND(Data!#REF!&gt;(TODAY()-(Data_Val!$L$3*365.25)),Data!#REF!&lt;=(TODAY()-(Data_Val!$L$2*365.25))),0,1),1))</f>
        <v>#REF!</v>
      </c>
      <c r="AE930" s="11" t="e">
        <f>IF(Data!#REF!="","",IF(Data!$G930="",1,IF(ISNUMBER(MATCH(Data!#REF!,Data_Val!$D$2:$D$10,0)),0,1)))</f>
        <v>#REF!</v>
      </c>
      <c r="AF930" s="12"/>
      <c r="AG930" s="12" t="e">
        <f>IF(Data!#REF!="","",IF(ISNUMBER(MATCH(Data!#REF!,Data_Val!$A$2:$A$3,0)),0,1))</f>
        <v>#REF!</v>
      </c>
      <c r="AH930" s="26" t="e">
        <f ca="1">IF(Data!#REF!="","",IF(ISNUMBER(Data!#REF!),IF(AND(Data!#REF!&gt;(TODAY()-(Data_Val!$L$3*365.25)),Data!#REF!&lt;=(TODAY()-(Data_Val!$L$2*365.25))),0,1),1))</f>
        <v>#REF!</v>
      </c>
      <c r="AI930" s="12" t="e">
        <f>IF(Data!#REF!="","",IF(Data!$G930="",1,IF(ISNUMBER(MATCH(Data!#REF!,Data_Val!$D$2:$D$10,0)),0,1)))</f>
        <v>#REF!</v>
      </c>
      <c r="AJ930" s="17"/>
      <c r="AK930" s="17" t="e">
        <f>IF(Data!#REF!="","",IF(ISNUMBER(MATCH(Data!#REF!,Data_Val!$A$2:$A$3,0)),0,1))</f>
        <v>#REF!</v>
      </c>
      <c r="AL930" s="25" t="e">
        <f ca="1">IF(Data!#REF!="","",IF(ISNUMBER(Data!#REF!),IF(AND(Data!#REF!&gt;(TODAY()-(Data_Val!$L$3*365.25)),Data!#REF!&lt;=(TODAY()-(Data_Val!$L$2*365.25))),0,1),1))</f>
        <v>#REF!</v>
      </c>
      <c r="AM930" s="17" t="e">
        <f>IF(Data!#REF!="","",IF(Data!$G930="",1,IF(ISNUMBER(MATCH(Data!#REF!,Data_Val!$D$2:$D$10,0)),0,1)))</f>
        <v>#REF!</v>
      </c>
      <c r="AN930" s="13"/>
      <c r="AO930" s="28" t="e">
        <f ca="1">IF(Data!#REF!="","",IF(ISNUMBER(Data!#REF!),IF(AND(Data!#REF!&gt;(TODAY()-(Data_Val!$I$3*365.25)),Data!#REF!&lt;=(TODAY()-(Data_Val!$I$2*365.25))),0,1),1))</f>
        <v>#REF!</v>
      </c>
      <c r="AP930" s="13" t="e">
        <f>IF(Data!#REF!="","",IF(Data!$G930="",1,IF(ISNUMBER(MATCH(Data!#REF!,Data_Val!$D$2:$D$10,0)),0,1)))</f>
        <v>#REF!</v>
      </c>
      <c r="AQ930" s="17"/>
      <c r="AR930" s="30" t="e">
        <f ca="1">IF(Data!#REF!="","",IF(ISNUMBER(Data!#REF!),IF(AND(Data!#REF!&gt;(TODAY()-(Data_Val!$I$3*365.25)),Data!#REF!&lt;=(TODAY()-(Data_Val!$I$2*365.25))),0,1),1))</f>
        <v>#REF!</v>
      </c>
      <c r="AS930" s="31" t="e">
        <f>IF(Data!#REF!="","",IF(Data!$G930="",1,IF(ISNUMBER(MATCH(Data!#REF!,Data_Val!$D$2:$D$10,0)),0,1)))</f>
        <v>#REF!</v>
      </c>
      <c r="AT930" s="11"/>
      <c r="AU930" s="11" t="e">
        <f ca="1">IF(Data!#REF!="","",IF(ISNUMBER(Data!#REF!),IF(AND(Data!#REF!&gt;(TODAY()-(Data_Val!$I$3*365.25)),Data!#REF!&lt;=(TODAY()-(Data_Val!$I$2*365.25))),0,1),1))</f>
        <v>#REF!</v>
      </c>
      <c r="AV930" s="11" t="e">
        <f>IF(Data!#REF!="","",IF(Data!$G930="",1,IF(ISNUMBER(MATCH(Data!#REF!,Data_Val!$D$2:$D$10,0)),0,1)))</f>
        <v>#REF!</v>
      </c>
      <c r="AW930" s="12"/>
      <c r="AX930" s="26" t="e">
        <f ca="1">IF(Data!#REF!="","",IF(ISNUMBER(Data!#REF!),IF(AND(Data!#REF!&gt;(TODAY()-(Data_Val!$I$3*365.25)),Data!#REF!&lt;=(TODAY()-(Data_Val!$I$2*365.25))),0,1),1))</f>
        <v>#REF!</v>
      </c>
      <c r="AY930" s="12" t="e">
        <f>IF(Data!#REF!="","",IF(Data!$G930="",1,IF(ISNUMBER(MATCH(Data!#REF!,Data_Val!$D$2:$D$10,0)),0,1)))</f>
        <v>#REF!</v>
      </c>
      <c r="AZ930" s="11"/>
      <c r="BA930" s="19" t="e">
        <f ca="1">IF(Data!#REF!="","",IF(ISNUMBER(Data!#REF!),IF(AND(Data!#REF!&gt;(TODAY()-(Data_Val!$M$3*365.25)),Data!#REF!&lt;=(TODAY()-(Data_Val!$M$2*365.25))),0,1),1))</f>
        <v>#REF!</v>
      </c>
      <c r="BB930" s="11" t="e">
        <f>IF(Data!#REF!="","",IF(Data!$G930="",1,IF(ISNUMBER(MATCH(Data!#REF!,Data_Val!$D$2:$D$10,0)),0,1)))</f>
        <v>#REF!</v>
      </c>
      <c r="BC930" s="12"/>
      <c r="BD930" s="20" t="e">
        <f ca="1">IF(Data!#REF!="","",IF(ISNUMBER(Data!#REF!),IF(AND(Data!#REF!&gt;(TODAY()-(Data_Val!$M$3*365.25)),Data!#REF!&lt;=(TODAY()-(Data_Val!$M$2*365.25))),0,1),1))</f>
        <v>#REF!</v>
      </c>
      <c r="BE930" s="12" t="e">
        <f>IF(Data!#REF!="","",IF(Data!$G930="",1,IF(ISNUMBER(MATCH(Data!#REF!,Data_Val!$D$2:$D$10,0)),0,1)))</f>
        <v>#REF!</v>
      </c>
      <c r="BF930" s="17"/>
      <c r="BG930" s="18" t="e">
        <f ca="1">IF(Data!#REF!="","",IF(ISNUMBER(Data!#REF!),IF(AND(Data!#REF!&gt;(TODAY()-(Data_Val!$M$3*365.25)),Data!#REF!&lt;=(TODAY()-(Data_Val!$M$2*365.25))),0,1),1))</f>
        <v>#REF!</v>
      </c>
      <c r="BH930" s="29" t="e">
        <f>IF(Data!#REF!="","",IF(Data!$G930="",1,IF(ISNUMBER(MATCH(Data!#REF!,Data_Val!$D$2:$D$10,0)),0,1)))</f>
        <v>#REF!</v>
      </c>
      <c r="BI930" s="13"/>
      <c r="BJ930" s="21" t="e">
        <f ca="1">IF(Data!#REF!="","",IF(ISNUMBER(Data!#REF!),IF(AND(Data!#REF!&gt;(TODAY()-(Data_Val!$M$3*365.25)),Data!#REF!&lt;=(TODAY()-(Data_Val!$M$2*365.25))),0,1),1))</f>
        <v>#REF!</v>
      </c>
      <c r="BK930" s="13" t="e">
        <f>IF(Data!#REF!="","",IF(Data!$G930="",1,IF(ISNUMBER(MATCH(Data!#REF!,Data_Val!$D$2:$D$10,0)),0,1)))</f>
        <v>#REF!</v>
      </c>
    </row>
    <row r="931" spans="1:63" x14ac:dyDescent="0.25">
      <c r="A931" s="9" t="str">
        <f>IF(Data!B931="","",IF(COUNTIFS(Data!A$1:'Data'!A931,Data!A931)&lt;=1,0,1))</f>
        <v/>
      </c>
      <c r="B931" s="9"/>
      <c r="C931" s="23" t="str">
        <f>IF(Data!C931="","",(IF(ISNUMBER(MATCH("*@*.?*",Data!C931,0)),0,1)+IF(COUNTIFS(Data!C$1:'Data'!C931,Data!C931)&gt;1,1,0)))</f>
        <v/>
      </c>
      <c r="D931" s="9" t="str">
        <f>IF(Data!B931="","",IF(ISNUMBER(Data!D931),IF(AND(Data!D931&gt;999999999,Data!D931&lt;=9999999999),IF(COUNTIFS(Data!D$1:'Data'!D931,Data!D931)&lt;=1,0,1),1),1))</f>
        <v/>
      </c>
      <c r="E931" s="9" t="str">
        <f>IF(Data!B931="","",IF(ISNUMBER(MATCH(Data!E931,Data_Val!$A$2:$A$3,0)),0,1))</f>
        <v/>
      </c>
      <c r="F931" s="9" t="str">
        <f ca="1">IF(Data!B931="","",IF(ISNUMBER(Data!F931),IF(AND(Data!F931&gt;(TODAY()-(Data_Val!$H$3*365.25)),Data!F931&lt;=(TODAY()-(Data_Val!$H$2*365.25))),0,1),1))</f>
        <v/>
      </c>
      <c r="G931" s="15" t="str">
        <f>IF(Data!B931="","",IF(AND(Data!G931="",Data!H931&lt;&gt;""),1,IF(Data!#REF!&lt;&gt;"",0,IF(ISNUMBER(MATCH(Data!G931,Data_Val!$C$2:$C$5,0)),0,1))))</f>
        <v/>
      </c>
      <c r="H931" s="15" t="str">
        <f>IF(Data!B931="","",IF(AND(Data!G931&lt;&gt;"",Data!H931=""),1,IF(Data!#REF!&lt;&gt;"",0,IF(Data!G931="",1,IF(ISNUMBER(MATCH(Data!H931,Data_Val!$D$2:$D$35,0)),0,1)))))</f>
        <v/>
      </c>
      <c r="I931" s="15" t="str">
        <f>IF(Data!B931="","",IF(Data!G931&lt;&gt;"",0,IF(ISNUMBER(MATCH(Data!#REF!,Data_Val!$E$2:$E$12,0)),0,1)))</f>
        <v/>
      </c>
      <c r="J931" s="16" t="e">
        <f>IF(OR(Data!B931="",Data!#REF!=""),"",IF(Data!#REF!="",1,0))</f>
        <v>#REF!</v>
      </c>
      <c r="K931" s="16" t="e">
        <f>IF(OR(Data!B931="",Data!#REF!=""),"",IF(Data!#REF!="",1,0))</f>
        <v>#REF!</v>
      </c>
      <c r="L931" s="16" t="e">
        <f>IF(OR(Data!B931="",Data!#REF!=""),"",IF(ISNUMBER(Data!#REF!),IF(AND(Data!#REF!&gt;Data_Val!$G$2,Data!#REF!&lt;=Data_Val!$G$3),0,1),1))</f>
        <v>#REF!</v>
      </c>
      <c r="M931" s="9" t="e">
        <f>IF(OR(Data!B931="",Data!#REF!=""),"",IF(ISNUMBER(MATCH(Data!#REF!,Data_Val!$F$1:$F$38,0)),0,1))</f>
        <v>#REF!</v>
      </c>
      <c r="N931" s="9" t="e">
        <f>IF(OR(Data!B931="",Data!#REF!=""),"",IF(Data!#REF!="",1,0))</f>
        <v>#REF!</v>
      </c>
      <c r="O931" s="17" t="e">
        <f>IF(Data!#REF!="","",IF(Data!#REF!="",1,0))</f>
        <v>#REF!</v>
      </c>
      <c r="P931" s="17" t="e">
        <f>IF(Data!#REF!="","",IF(ISNUMBER(MATCH(Data!#REF!,Data_Val!$A$2:$A$3,0)),0,1))</f>
        <v>#REF!</v>
      </c>
      <c r="Q931" s="25" t="e">
        <f ca="1">IF(Data!#REF!="","",IF(ISNUMBER(Data!#REF!),IF(AND(Data!#REF!&gt;(TODAY()-(Data_Val!$J$3*365.25)),Data!#REF!&lt;=(TODAY()-(Data_Val!$J$2*365.25))),0,1),1))</f>
        <v>#REF!</v>
      </c>
      <c r="R931" s="17" t="e">
        <f>IF(Data!#REF!="","",IF(ISNUMBER(MATCH(Data!#REF!,Data_Val!$B$2:$B$15,0)),0,1))</f>
        <v>#REF!</v>
      </c>
      <c r="S931" s="11" t="str">
        <f>IF(Data!G931="","",IF(Data!G931=Data_Val!$C$2,IF(Data!M931="",0,1),0))</f>
        <v/>
      </c>
      <c r="T931" s="11" t="str">
        <f>IF(Data!M931="","",IF(ISNUMBER(MATCH(Data!N931,Data_Val!$A$2:$A$3,0)),0,1))</f>
        <v/>
      </c>
      <c r="U931" s="11" t="str">
        <f ca="1">IF(Data!M931="","",IF(ISNUMBER(Data!O931),IF(AND(Data!O931&gt;(TODAY()-(Data_Val!$K$3*365.25)),Data!O931&lt;=(TODAY()-(Data_Val!$K$2*365.25))),0,1),1))</f>
        <v/>
      </c>
      <c r="V931" s="12" t="str">
        <f>IF(Data!G931="","",IF(Data!G931=Data_Val!$C$2,IF(Data!P931="",0,1),0))</f>
        <v/>
      </c>
      <c r="W931" s="12" t="str">
        <f>IF(Data!P931="","",IF(ISNUMBER(MATCH(Data!Q931,Data_Val!$A$2:$A$3,0)),0,1))</f>
        <v/>
      </c>
      <c r="X931" s="26" t="str">
        <f ca="1">IF(Data!P931="","",IF(ISNUMBER(Data!R931),IF(AND(Data!R931&gt;(TODAY()-(Data_Val!$L$3*365.25)),Data!R931&lt;=(TODAY()-(Data_Val!$L$2*365.25))),0,1),1))</f>
        <v/>
      </c>
      <c r="Y931" s="13" t="str">
        <f>IF(Data!$G931="","",IF(Data!$G931=Data_Val!$C$2,IF(Data!S931="",0,1),0))</f>
        <v/>
      </c>
      <c r="Z931" s="13" t="str">
        <f>IF(Data!S931="","",IF(ISNUMBER(MATCH(Data!T931,Data_Val!$A$2:$A$3,0)),0,1))</f>
        <v/>
      </c>
      <c r="AA931" s="28" t="str">
        <f ca="1">IF(Data!S931="","",IF(ISNUMBER(Data!U931),IF(AND(Data!U931&gt;(TODAY()-(Data_Val!$L$3*365.25)),Data!U931&lt;=(TODAY()-(Data_Val!$L$2*365.25))),0,1),1))</f>
        <v/>
      </c>
      <c r="AB931" s="11"/>
      <c r="AC931" s="11" t="e">
        <f>IF(Data!#REF!="","",IF(ISNUMBER(MATCH(Data!#REF!,Data_Val!$A$2:$A$3,0)),0,1))</f>
        <v>#REF!</v>
      </c>
      <c r="AD931" s="11" t="e">
        <f ca="1">IF(Data!#REF!="","",IF(ISNUMBER(Data!#REF!),IF(AND(Data!#REF!&gt;(TODAY()-(Data_Val!$L$3*365.25)),Data!#REF!&lt;=(TODAY()-(Data_Val!$L$2*365.25))),0,1),1))</f>
        <v>#REF!</v>
      </c>
      <c r="AE931" s="11" t="e">
        <f>IF(Data!#REF!="","",IF(Data!$G931="",1,IF(ISNUMBER(MATCH(Data!#REF!,Data_Val!$D$2:$D$10,0)),0,1)))</f>
        <v>#REF!</v>
      </c>
      <c r="AF931" s="12"/>
      <c r="AG931" s="12" t="e">
        <f>IF(Data!#REF!="","",IF(ISNUMBER(MATCH(Data!#REF!,Data_Val!$A$2:$A$3,0)),0,1))</f>
        <v>#REF!</v>
      </c>
      <c r="AH931" s="26" t="e">
        <f ca="1">IF(Data!#REF!="","",IF(ISNUMBER(Data!#REF!),IF(AND(Data!#REF!&gt;(TODAY()-(Data_Val!$L$3*365.25)),Data!#REF!&lt;=(TODAY()-(Data_Val!$L$2*365.25))),0,1),1))</f>
        <v>#REF!</v>
      </c>
      <c r="AI931" s="12" t="e">
        <f>IF(Data!#REF!="","",IF(Data!$G931="",1,IF(ISNUMBER(MATCH(Data!#REF!,Data_Val!$D$2:$D$10,0)),0,1)))</f>
        <v>#REF!</v>
      </c>
      <c r="AJ931" s="17"/>
      <c r="AK931" s="17" t="e">
        <f>IF(Data!#REF!="","",IF(ISNUMBER(MATCH(Data!#REF!,Data_Val!$A$2:$A$3,0)),0,1))</f>
        <v>#REF!</v>
      </c>
      <c r="AL931" s="25" t="e">
        <f ca="1">IF(Data!#REF!="","",IF(ISNUMBER(Data!#REF!),IF(AND(Data!#REF!&gt;(TODAY()-(Data_Val!$L$3*365.25)),Data!#REF!&lt;=(TODAY()-(Data_Val!$L$2*365.25))),0,1),1))</f>
        <v>#REF!</v>
      </c>
      <c r="AM931" s="17" t="e">
        <f>IF(Data!#REF!="","",IF(Data!$G931="",1,IF(ISNUMBER(MATCH(Data!#REF!,Data_Val!$D$2:$D$10,0)),0,1)))</f>
        <v>#REF!</v>
      </c>
      <c r="AN931" s="13"/>
      <c r="AO931" s="28" t="e">
        <f ca="1">IF(Data!#REF!="","",IF(ISNUMBER(Data!#REF!),IF(AND(Data!#REF!&gt;(TODAY()-(Data_Val!$I$3*365.25)),Data!#REF!&lt;=(TODAY()-(Data_Val!$I$2*365.25))),0,1),1))</f>
        <v>#REF!</v>
      </c>
      <c r="AP931" s="13" t="e">
        <f>IF(Data!#REF!="","",IF(Data!$G931="",1,IF(ISNUMBER(MATCH(Data!#REF!,Data_Val!$D$2:$D$10,0)),0,1)))</f>
        <v>#REF!</v>
      </c>
      <c r="AQ931" s="17"/>
      <c r="AR931" s="30" t="e">
        <f ca="1">IF(Data!#REF!="","",IF(ISNUMBER(Data!#REF!),IF(AND(Data!#REF!&gt;(TODAY()-(Data_Val!$I$3*365.25)),Data!#REF!&lt;=(TODAY()-(Data_Val!$I$2*365.25))),0,1),1))</f>
        <v>#REF!</v>
      </c>
      <c r="AS931" s="31" t="e">
        <f>IF(Data!#REF!="","",IF(Data!$G931="",1,IF(ISNUMBER(MATCH(Data!#REF!,Data_Val!$D$2:$D$10,0)),0,1)))</f>
        <v>#REF!</v>
      </c>
      <c r="AT931" s="11"/>
      <c r="AU931" s="11" t="e">
        <f ca="1">IF(Data!#REF!="","",IF(ISNUMBER(Data!#REF!),IF(AND(Data!#REF!&gt;(TODAY()-(Data_Val!$I$3*365.25)),Data!#REF!&lt;=(TODAY()-(Data_Val!$I$2*365.25))),0,1),1))</f>
        <v>#REF!</v>
      </c>
      <c r="AV931" s="11" t="e">
        <f>IF(Data!#REF!="","",IF(Data!$G931="",1,IF(ISNUMBER(MATCH(Data!#REF!,Data_Val!$D$2:$D$10,0)),0,1)))</f>
        <v>#REF!</v>
      </c>
      <c r="AW931" s="12"/>
      <c r="AX931" s="26" t="e">
        <f ca="1">IF(Data!#REF!="","",IF(ISNUMBER(Data!#REF!),IF(AND(Data!#REF!&gt;(TODAY()-(Data_Val!$I$3*365.25)),Data!#REF!&lt;=(TODAY()-(Data_Val!$I$2*365.25))),0,1),1))</f>
        <v>#REF!</v>
      </c>
      <c r="AY931" s="12" t="e">
        <f>IF(Data!#REF!="","",IF(Data!$G931="",1,IF(ISNUMBER(MATCH(Data!#REF!,Data_Val!$D$2:$D$10,0)),0,1)))</f>
        <v>#REF!</v>
      </c>
      <c r="AZ931" s="11"/>
      <c r="BA931" s="19" t="e">
        <f ca="1">IF(Data!#REF!="","",IF(ISNUMBER(Data!#REF!),IF(AND(Data!#REF!&gt;(TODAY()-(Data_Val!$M$3*365.25)),Data!#REF!&lt;=(TODAY()-(Data_Val!$M$2*365.25))),0,1),1))</f>
        <v>#REF!</v>
      </c>
      <c r="BB931" s="11" t="e">
        <f>IF(Data!#REF!="","",IF(Data!$G931="",1,IF(ISNUMBER(MATCH(Data!#REF!,Data_Val!$D$2:$D$10,0)),0,1)))</f>
        <v>#REF!</v>
      </c>
      <c r="BC931" s="12"/>
      <c r="BD931" s="20" t="e">
        <f ca="1">IF(Data!#REF!="","",IF(ISNUMBER(Data!#REF!),IF(AND(Data!#REF!&gt;(TODAY()-(Data_Val!$M$3*365.25)),Data!#REF!&lt;=(TODAY()-(Data_Val!$M$2*365.25))),0,1),1))</f>
        <v>#REF!</v>
      </c>
      <c r="BE931" s="12" t="e">
        <f>IF(Data!#REF!="","",IF(Data!$G931="",1,IF(ISNUMBER(MATCH(Data!#REF!,Data_Val!$D$2:$D$10,0)),0,1)))</f>
        <v>#REF!</v>
      </c>
      <c r="BF931" s="17"/>
      <c r="BG931" s="18" t="e">
        <f ca="1">IF(Data!#REF!="","",IF(ISNUMBER(Data!#REF!),IF(AND(Data!#REF!&gt;(TODAY()-(Data_Val!$M$3*365.25)),Data!#REF!&lt;=(TODAY()-(Data_Val!$M$2*365.25))),0,1),1))</f>
        <v>#REF!</v>
      </c>
      <c r="BH931" s="29" t="e">
        <f>IF(Data!#REF!="","",IF(Data!$G931="",1,IF(ISNUMBER(MATCH(Data!#REF!,Data_Val!$D$2:$D$10,0)),0,1)))</f>
        <v>#REF!</v>
      </c>
      <c r="BI931" s="13"/>
      <c r="BJ931" s="21" t="e">
        <f ca="1">IF(Data!#REF!="","",IF(ISNUMBER(Data!#REF!),IF(AND(Data!#REF!&gt;(TODAY()-(Data_Val!$M$3*365.25)),Data!#REF!&lt;=(TODAY()-(Data_Val!$M$2*365.25))),0,1),1))</f>
        <v>#REF!</v>
      </c>
      <c r="BK931" s="13" t="e">
        <f>IF(Data!#REF!="","",IF(Data!$G931="",1,IF(ISNUMBER(MATCH(Data!#REF!,Data_Val!$D$2:$D$10,0)),0,1)))</f>
        <v>#REF!</v>
      </c>
    </row>
    <row r="932" spans="1:63" x14ac:dyDescent="0.25">
      <c r="A932" s="9" t="str">
        <f>IF(Data!B932="","",IF(COUNTIFS(Data!A$1:'Data'!A932,Data!A932)&lt;=1,0,1))</f>
        <v/>
      </c>
      <c r="B932" s="9"/>
      <c r="C932" s="23" t="str">
        <f>IF(Data!C932="","",(IF(ISNUMBER(MATCH("*@*.?*",Data!C932,0)),0,1)+IF(COUNTIFS(Data!C$1:'Data'!C932,Data!C932)&gt;1,1,0)))</f>
        <v/>
      </c>
      <c r="D932" s="9" t="str">
        <f>IF(Data!B932="","",IF(ISNUMBER(Data!D932),IF(AND(Data!D932&gt;999999999,Data!D932&lt;=9999999999),IF(COUNTIFS(Data!D$1:'Data'!D932,Data!D932)&lt;=1,0,1),1),1))</f>
        <v/>
      </c>
      <c r="E932" s="9" t="str">
        <f>IF(Data!B932="","",IF(ISNUMBER(MATCH(Data!E932,Data_Val!$A$2:$A$3,0)),0,1))</f>
        <v/>
      </c>
      <c r="F932" s="9" t="str">
        <f ca="1">IF(Data!B932="","",IF(ISNUMBER(Data!F932),IF(AND(Data!F932&gt;(TODAY()-(Data_Val!$H$3*365.25)),Data!F932&lt;=(TODAY()-(Data_Val!$H$2*365.25))),0,1),1))</f>
        <v/>
      </c>
      <c r="G932" s="15" t="str">
        <f>IF(Data!B932="","",IF(AND(Data!G932="",Data!H932&lt;&gt;""),1,IF(Data!#REF!&lt;&gt;"",0,IF(ISNUMBER(MATCH(Data!G932,Data_Val!$C$2:$C$5,0)),0,1))))</f>
        <v/>
      </c>
      <c r="H932" s="15" t="str">
        <f>IF(Data!B932="","",IF(AND(Data!G932&lt;&gt;"",Data!H932=""),1,IF(Data!#REF!&lt;&gt;"",0,IF(Data!G932="",1,IF(ISNUMBER(MATCH(Data!H932,Data_Val!$D$2:$D$35,0)),0,1)))))</f>
        <v/>
      </c>
      <c r="I932" s="15" t="str">
        <f>IF(Data!B932="","",IF(Data!G932&lt;&gt;"",0,IF(ISNUMBER(MATCH(Data!#REF!,Data_Val!$E$2:$E$12,0)),0,1)))</f>
        <v/>
      </c>
      <c r="J932" s="16" t="e">
        <f>IF(OR(Data!B932="",Data!#REF!=""),"",IF(Data!#REF!="",1,0))</f>
        <v>#REF!</v>
      </c>
      <c r="K932" s="16" t="e">
        <f>IF(OR(Data!B932="",Data!#REF!=""),"",IF(Data!#REF!="",1,0))</f>
        <v>#REF!</v>
      </c>
      <c r="L932" s="16" t="e">
        <f>IF(OR(Data!B932="",Data!#REF!=""),"",IF(ISNUMBER(Data!#REF!),IF(AND(Data!#REF!&gt;Data_Val!$G$2,Data!#REF!&lt;=Data_Val!$G$3),0,1),1))</f>
        <v>#REF!</v>
      </c>
      <c r="M932" s="9" t="e">
        <f>IF(OR(Data!B932="",Data!#REF!=""),"",IF(ISNUMBER(MATCH(Data!#REF!,Data_Val!$F$1:$F$38,0)),0,1))</f>
        <v>#REF!</v>
      </c>
      <c r="N932" s="9" t="e">
        <f>IF(OR(Data!B932="",Data!#REF!=""),"",IF(Data!#REF!="",1,0))</f>
        <v>#REF!</v>
      </c>
      <c r="O932" s="17" t="e">
        <f>IF(Data!#REF!="","",IF(Data!#REF!="",1,0))</f>
        <v>#REF!</v>
      </c>
      <c r="P932" s="17" t="e">
        <f>IF(Data!#REF!="","",IF(ISNUMBER(MATCH(Data!#REF!,Data_Val!$A$2:$A$3,0)),0,1))</f>
        <v>#REF!</v>
      </c>
      <c r="Q932" s="25" t="e">
        <f ca="1">IF(Data!#REF!="","",IF(ISNUMBER(Data!#REF!),IF(AND(Data!#REF!&gt;(TODAY()-(Data_Val!$J$3*365.25)),Data!#REF!&lt;=(TODAY()-(Data_Val!$J$2*365.25))),0,1),1))</f>
        <v>#REF!</v>
      </c>
      <c r="R932" s="17" t="e">
        <f>IF(Data!#REF!="","",IF(ISNUMBER(MATCH(Data!#REF!,Data_Val!$B$2:$B$15,0)),0,1))</f>
        <v>#REF!</v>
      </c>
      <c r="S932" s="11" t="str">
        <f>IF(Data!G932="","",IF(Data!G932=Data_Val!$C$2,IF(Data!M932="",0,1),0))</f>
        <v/>
      </c>
      <c r="T932" s="11" t="str">
        <f>IF(Data!M932="","",IF(ISNUMBER(MATCH(Data!N932,Data_Val!$A$2:$A$3,0)),0,1))</f>
        <v/>
      </c>
      <c r="U932" s="11" t="str">
        <f ca="1">IF(Data!M932="","",IF(ISNUMBER(Data!O932),IF(AND(Data!O932&gt;(TODAY()-(Data_Val!$K$3*365.25)),Data!O932&lt;=(TODAY()-(Data_Val!$K$2*365.25))),0,1),1))</f>
        <v/>
      </c>
      <c r="V932" s="12" t="str">
        <f>IF(Data!G932="","",IF(Data!G932=Data_Val!$C$2,IF(Data!P932="",0,1),0))</f>
        <v/>
      </c>
      <c r="W932" s="12" t="str">
        <f>IF(Data!P932="","",IF(ISNUMBER(MATCH(Data!Q932,Data_Val!$A$2:$A$3,0)),0,1))</f>
        <v/>
      </c>
      <c r="X932" s="26" t="str">
        <f ca="1">IF(Data!P932="","",IF(ISNUMBER(Data!R932),IF(AND(Data!R932&gt;(TODAY()-(Data_Val!$L$3*365.25)),Data!R932&lt;=(TODAY()-(Data_Val!$L$2*365.25))),0,1),1))</f>
        <v/>
      </c>
      <c r="Y932" s="13" t="str">
        <f>IF(Data!$G932="","",IF(Data!$G932=Data_Val!$C$2,IF(Data!S932="",0,1),0))</f>
        <v/>
      </c>
      <c r="Z932" s="13" t="str">
        <f>IF(Data!S932="","",IF(ISNUMBER(MATCH(Data!T932,Data_Val!$A$2:$A$3,0)),0,1))</f>
        <v/>
      </c>
      <c r="AA932" s="28" t="str">
        <f ca="1">IF(Data!S932="","",IF(ISNUMBER(Data!U932),IF(AND(Data!U932&gt;(TODAY()-(Data_Val!$L$3*365.25)),Data!U932&lt;=(TODAY()-(Data_Val!$L$2*365.25))),0,1),1))</f>
        <v/>
      </c>
      <c r="AB932" s="11"/>
      <c r="AC932" s="11" t="e">
        <f>IF(Data!#REF!="","",IF(ISNUMBER(MATCH(Data!#REF!,Data_Val!$A$2:$A$3,0)),0,1))</f>
        <v>#REF!</v>
      </c>
      <c r="AD932" s="11" t="e">
        <f ca="1">IF(Data!#REF!="","",IF(ISNUMBER(Data!#REF!),IF(AND(Data!#REF!&gt;(TODAY()-(Data_Val!$L$3*365.25)),Data!#REF!&lt;=(TODAY()-(Data_Val!$L$2*365.25))),0,1),1))</f>
        <v>#REF!</v>
      </c>
      <c r="AE932" s="11" t="e">
        <f>IF(Data!#REF!="","",IF(Data!$G932="",1,IF(ISNUMBER(MATCH(Data!#REF!,Data_Val!$D$2:$D$10,0)),0,1)))</f>
        <v>#REF!</v>
      </c>
      <c r="AF932" s="12"/>
      <c r="AG932" s="12" t="e">
        <f>IF(Data!#REF!="","",IF(ISNUMBER(MATCH(Data!#REF!,Data_Val!$A$2:$A$3,0)),0,1))</f>
        <v>#REF!</v>
      </c>
      <c r="AH932" s="26" t="e">
        <f ca="1">IF(Data!#REF!="","",IF(ISNUMBER(Data!#REF!),IF(AND(Data!#REF!&gt;(TODAY()-(Data_Val!$L$3*365.25)),Data!#REF!&lt;=(TODAY()-(Data_Val!$L$2*365.25))),0,1),1))</f>
        <v>#REF!</v>
      </c>
      <c r="AI932" s="12" t="e">
        <f>IF(Data!#REF!="","",IF(Data!$G932="",1,IF(ISNUMBER(MATCH(Data!#REF!,Data_Val!$D$2:$D$10,0)),0,1)))</f>
        <v>#REF!</v>
      </c>
      <c r="AJ932" s="17"/>
      <c r="AK932" s="17" t="e">
        <f>IF(Data!#REF!="","",IF(ISNUMBER(MATCH(Data!#REF!,Data_Val!$A$2:$A$3,0)),0,1))</f>
        <v>#REF!</v>
      </c>
      <c r="AL932" s="25" t="e">
        <f ca="1">IF(Data!#REF!="","",IF(ISNUMBER(Data!#REF!),IF(AND(Data!#REF!&gt;(TODAY()-(Data_Val!$L$3*365.25)),Data!#REF!&lt;=(TODAY()-(Data_Val!$L$2*365.25))),0,1),1))</f>
        <v>#REF!</v>
      </c>
      <c r="AM932" s="17" t="e">
        <f>IF(Data!#REF!="","",IF(Data!$G932="",1,IF(ISNUMBER(MATCH(Data!#REF!,Data_Val!$D$2:$D$10,0)),0,1)))</f>
        <v>#REF!</v>
      </c>
      <c r="AN932" s="13"/>
      <c r="AO932" s="28" t="e">
        <f ca="1">IF(Data!#REF!="","",IF(ISNUMBER(Data!#REF!),IF(AND(Data!#REF!&gt;(TODAY()-(Data_Val!$I$3*365.25)),Data!#REF!&lt;=(TODAY()-(Data_Val!$I$2*365.25))),0,1),1))</f>
        <v>#REF!</v>
      </c>
      <c r="AP932" s="13" t="e">
        <f>IF(Data!#REF!="","",IF(Data!$G932="",1,IF(ISNUMBER(MATCH(Data!#REF!,Data_Val!$D$2:$D$10,0)),0,1)))</f>
        <v>#REF!</v>
      </c>
      <c r="AQ932" s="17"/>
      <c r="AR932" s="30" t="e">
        <f ca="1">IF(Data!#REF!="","",IF(ISNUMBER(Data!#REF!),IF(AND(Data!#REF!&gt;(TODAY()-(Data_Val!$I$3*365.25)),Data!#REF!&lt;=(TODAY()-(Data_Val!$I$2*365.25))),0,1),1))</f>
        <v>#REF!</v>
      </c>
      <c r="AS932" s="31" t="e">
        <f>IF(Data!#REF!="","",IF(Data!$G932="",1,IF(ISNUMBER(MATCH(Data!#REF!,Data_Val!$D$2:$D$10,0)),0,1)))</f>
        <v>#REF!</v>
      </c>
      <c r="AT932" s="11"/>
      <c r="AU932" s="11" t="e">
        <f ca="1">IF(Data!#REF!="","",IF(ISNUMBER(Data!#REF!),IF(AND(Data!#REF!&gt;(TODAY()-(Data_Val!$I$3*365.25)),Data!#REF!&lt;=(TODAY()-(Data_Val!$I$2*365.25))),0,1),1))</f>
        <v>#REF!</v>
      </c>
      <c r="AV932" s="11" t="e">
        <f>IF(Data!#REF!="","",IF(Data!$G932="",1,IF(ISNUMBER(MATCH(Data!#REF!,Data_Val!$D$2:$D$10,0)),0,1)))</f>
        <v>#REF!</v>
      </c>
      <c r="AW932" s="12"/>
      <c r="AX932" s="26" t="e">
        <f ca="1">IF(Data!#REF!="","",IF(ISNUMBER(Data!#REF!),IF(AND(Data!#REF!&gt;(TODAY()-(Data_Val!$I$3*365.25)),Data!#REF!&lt;=(TODAY()-(Data_Val!$I$2*365.25))),0,1),1))</f>
        <v>#REF!</v>
      </c>
      <c r="AY932" s="12" t="e">
        <f>IF(Data!#REF!="","",IF(Data!$G932="",1,IF(ISNUMBER(MATCH(Data!#REF!,Data_Val!$D$2:$D$10,0)),0,1)))</f>
        <v>#REF!</v>
      </c>
      <c r="AZ932" s="11"/>
      <c r="BA932" s="19" t="e">
        <f ca="1">IF(Data!#REF!="","",IF(ISNUMBER(Data!#REF!),IF(AND(Data!#REF!&gt;(TODAY()-(Data_Val!$M$3*365.25)),Data!#REF!&lt;=(TODAY()-(Data_Val!$M$2*365.25))),0,1),1))</f>
        <v>#REF!</v>
      </c>
      <c r="BB932" s="11" t="e">
        <f>IF(Data!#REF!="","",IF(Data!$G932="",1,IF(ISNUMBER(MATCH(Data!#REF!,Data_Val!$D$2:$D$10,0)),0,1)))</f>
        <v>#REF!</v>
      </c>
      <c r="BC932" s="12"/>
      <c r="BD932" s="20" t="e">
        <f ca="1">IF(Data!#REF!="","",IF(ISNUMBER(Data!#REF!),IF(AND(Data!#REF!&gt;(TODAY()-(Data_Val!$M$3*365.25)),Data!#REF!&lt;=(TODAY()-(Data_Val!$M$2*365.25))),0,1),1))</f>
        <v>#REF!</v>
      </c>
      <c r="BE932" s="12" t="e">
        <f>IF(Data!#REF!="","",IF(Data!$G932="",1,IF(ISNUMBER(MATCH(Data!#REF!,Data_Val!$D$2:$D$10,0)),0,1)))</f>
        <v>#REF!</v>
      </c>
      <c r="BF932" s="17"/>
      <c r="BG932" s="18" t="e">
        <f ca="1">IF(Data!#REF!="","",IF(ISNUMBER(Data!#REF!),IF(AND(Data!#REF!&gt;(TODAY()-(Data_Val!$M$3*365.25)),Data!#REF!&lt;=(TODAY()-(Data_Val!$M$2*365.25))),0,1),1))</f>
        <v>#REF!</v>
      </c>
      <c r="BH932" s="29" t="e">
        <f>IF(Data!#REF!="","",IF(Data!$G932="",1,IF(ISNUMBER(MATCH(Data!#REF!,Data_Val!$D$2:$D$10,0)),0,1)))</f>
        <v>#REF!</v>
      </c>
      <c r="BI932" s="13"/>
      <c r="BJ932" s="21" t="e">
        <f ca="1">IF(Data!#REF!="","",IF(ISNUMBER(Data!#REF!),IF(AND(Data!#REF!&gt;(TODAY()-(Data_Val!$M$3*365.25)),Data!#REF!&lt;=(TODAY()-(Data_Val!$M$2*365.25))),0,1),1))</f>
        <v>#REF!</v>
      </c>
      <c r="BK932" s="13" t="e">
        <f>IF(Data!#REF!="","",IF(Data!$G932="",1,IF(ISNUMBER(MATCH(Data!#REF!,Data_Val!$D$2:$D$10,0)),0,1)))</f>
        <v>#REF!</v>
      </c>
    </row>
    <row r="933" spans="1:63" x14ac:dyDescent="0.25">
      <c r="A933" s="9" t="str">
        <f>IF(Data!B933="","",IF(COUNTIFS(Data!A$1:'Data'!A933,Data!A933)&lt;=1,0,1))</f>
        <v/>
      </c>
      <c r="B933" s="9"/>
      <c r="C933" s="23" t="str">
        <f>IF(Data!C933="","",(IF(ISNUMBER(MATCH("*@*.?*",Data!C933,0)),0,1)+IF(COUNTIFS(Data!C$1:'Data'!C933,Data!C933)&gt;1,1,0)))</f>
        <v/>
      </c>
      <c r="D933" s="9" t="str">
        <f>IF(Data!B933="","",IF(ISNUMBER(Data!D933),IF(AND(Data!D933&gt;999999999,Data!D933&lt;=9999999999),IF(COUNTIFS(Data!D$1:'Data'!D933,Data!D933)&lt;=1,0,1),1),1))</f>
        <v/>
      </c>
      <c r="E933" s="9" t="str">
        <f>IF(Data!B933="","",IF(ISNUMBER(MATCH(Data!E933,Data_Val!$A$2:$A$3,0)),0,1))</f>
        <v/>
      </c>
      <c r="F933" s="9" t="str">
        <f ca="1">IF(Data!B933="","",IF(ISNUMBER(Data!F933),IF(AND(Data!F933&gt;(TODAY()-(Data_Val!$H$3*365.25)),Data!F933&lt;=(TODAY()-(Data_Val!$H$2*365.25))),0,1),1))</f>
        <v/>
      </c>
      <c r="G933" s="15" t="str">
        <f>IF(Data!B933="","",IF(AND(Data!G933="",Data!H933&lt;&gt;""),1,IF(Data!#REF!&lt;&gt;"",0,IF(ISNUMBER(MATCH(Data!G933,Data_Val!$C$2:$C$5,0)),0,1))))</f>
        <v/>
      </c>
      <c r="H933" s="15" t="str">
        <f>IF(Data!B933="","",IF(AND(Data!G933&lt;&gt;"",Data!H933=""),1,IF(Data!#REF!&lt;&gt;"",0,IF(Data!G933="",1,IF(ISNUMBER(MATCH(Data!H933,Data_Val!$D$2:$D$35,0)),0,1)))))</f>
        <v/>
      </c>
      <c r="I933" s="15" t="str">
        <f>IF(Data!B933="","",IF(Data!G933&lt;&gt;"",0,IF(ISNUMBER(MATCH(Data!#REF!,Data_Val!$E$2:$E$12,0)),0,1)))</f>
        <v/>
      </c>
      <c r="J933" s="16" t="e">
        <f>IF(OR(Data!B933="",Data!#REF!=""),"",IF(Data!#REF!="",1,0))</f>
        <v>#REF!</v>
      </c>
      <c r="K933" s="16" t="e">
        <f>IF(OR(Data!B933="",Data!#REF!=""),"",IF(Data!#REF!="",1,0))</f>
        <v>#REF!</v>
      </c>
      <c r="L933" s="16" t="e">
        <f>IF(OR(Data!B933="",Data!#REF!=""),"",IF(ISNUMBER(Data!#REF!),IF(AND(Data!#REF!&gt;Data_Val!$G$2,Data!#REF!&lt;=Data_Val!$G$3),0,1),1))</f>
        <v>#REF!</v>
      </c>
      <c r="M933" s="9" t="e">
        <f>IF(OR(Data!B933="",Data!#REF!=""),"",IF(ISNUMBER(MATCH(Data!#REF!,Data_Val!$F$1:$F$38,0)),0,1))</f>
        <v>#REF!</v>
      </c>
      <c r="N933" s="9" t="e">
        <f>IF(OR(Data!B933="",Data!#REF!=""),"",IF(Data!#REF!="",1,0))</f>
        <v>#REF!</v>
      </c>
      <c r="O933" s="17" t="e">
        <f>IF(Data!#REF!="","",IF(Data!#REF!="",1,0))</f>
        <v>#REF!</v>
      </c>
      <c r="P933" s="17" t="e">
        <f>IF(Data!#REF!="","",IF(ISNUMBER(MATCH(Data!#REF!,Data_Val!$A$2:$A$3,0)),0,1))</f>
        <v>#REF!</v>
      </c>
      <c r="Q933" s="25" t="e">
        <f ca="1">IF(Data!#REF!="","",IF(ISNUMBER(Data!#REF!),IF(AND(Data!#REF!&gt;(TODAY()-(Data_Val!$J$3*365.25)),Data!#REF!&lt;=(TODAY()-(Data_Val!$J$2*365.25))),0,1),1))</f>
        <v>#REF!</v>
      </c>
      <c r="R933" s="17" t="e">
        <f>IF(Data!#REF!="","",IF(ISNUMBER(MATCH(Data!#REF!,Data_Val!$B$2:$B$15,0)),0,1))</f>
        <v>#REF!</v>
      </c>
      <c r="S933" s="11" t="str">
        <f>IF(Data!G933="","",IF(Data!G933=Data_Val!$C$2,IF(Data!M933="",0,1),0))</f>
        <v/>
      </c>
      <c r="T933" s="11" t="str">
        <f>IF(Data!M933="","",IF(ISNUMBER(MATCH(Data!N933,Data_Val!$A$2:$A$3,0)),0,1))</f>
        <v/>
      </c>
      <c r="U933" s="11" t="str">
        <f ca="1">IF(Data!M933="","",IF(ISNUMBER(Data!O933),IF(AND(Data!O933&gt;(TODAY()-(Data_Val!$K$3*365.25)),Data!O933&lt;=(TODAY()-(Data_Val!$K$2*365.25))),0,1),1))</f>
        <v/>
      </c>
      <c r="V933" s="12" t="str">
        <f>IF(Data!G933="","",IF(Data!G933=Data_Val!$C$2,IF(Data!P933="",0,1),0))</f>
        <v/>
      </c>
      <c r="W933" s="12" t="str">
        <f>IF(Data!P933="","",IF(ISNUMBER(MATCH(Data!Q933,Data_Val!$A$2:$A$3,0)),0,1))</f>
        <v/>
      </c>
      <c r="X933" s="26" t="str">
        <f ca="1">IF(Data!P933="","",IF(ISNUMBER(Data!R933),IF(AND(Data!R933&gt;(TODAY()-(Data_Val!$L$3*365.25)),Data!R933&lt;=(TODAY()-(Data_Val!$L$2*365.25))),0,1),1))</f>
        <v/>
      </c>
      <c r="Y933" s="13" t="str">
        <f>IF(Data!$G933="","",IF(Data!$G933=Data_Val!$C$2,IF(Data!S933="",0,1),0))</f>
        <v/>
      </c>
      <c r="Z933" s="13" t="str">
        <f>IF(Data!S933="","",IF(ISNUMBER(MATCH(Data!T933,Data_Val!$A$2:$A$3,0)),0,1))</f>
        <v/>
      </c>
      <c r="AA933" s="28" t="str">
        <f ca="1">IF(Data!S933="","",IF(ISNUMBER(Data!U933),IF(AND(Data!U933&gt;(TODAY()-(Data_Val!$L$3*365.25)),Data!U933&lt;=(TODAY()-(Data_Val!$L$2*365.25))),0,1),1))</f>
        <v/>
      </c>
      <c r="AB933" s="11"/>
      <c r="AC933" s="11" t="e">
        <f>IF(Data!#REF!="","",IF(ISNUMBER(MATCH(Data!#REF!,Data_Val!$A$2:$A$3,0)),0,1))</f>
        <v>#REF!</v>
      </c>
      <c r="AD933" s="11" t="e">
        <f ca="1">IF(Data!#REF!="","",IF(ISNUMBER(Data!#REF!),IF(AND(Data!#REF!&gt;(TODAY()-(Data_Val!$L$3*365.25)),Data!#REF!&lt;=(TODAY()-(Data_Val!$L$2*365.25))),0,1),1))</f>
        <v>#REF!</v>
      </c>
      <c r="AE933" s="11" t="e">
        <f>IF(Data!#REF!="","",IF(Data!$G933="",1,IF(ISNUMBER(MATCH(Data!#REF!,Data_Val!$D$2:$D$10,0)),0,1)))</f>
        <v>#REF!</v>
      </c>
      <c r="AF933" s="12"/>
      <c r="AG933" s="12" t="e">
        <f>IF(Data!#REF!="","",IF(ISNUMBER(MATCH(Data!#REF!,Data_Val!$A$2:$A$3,0)),0,1))</f>
        <v>#REF!</v>
      </c>
      <c r="AH933" s="26" t="e">
        <f ca="1">IF(Data!#REF!="","",IF(ISNUMBER(Data!#REF!),IF(AND(Data!#REF!&gt;(TODAY()-(Data_Val!$L$3*365.25)),Data!#REF!&lt;=(TODAY()-(Data_Val!$L$2*365.25))),0,1),1))</f>
        <v>#REF!</v>
      </c>
      <c r="AI933" s="12" t="e">
        <f>IF(Data!#REF!="","",IF(Data!$G933="",1,IF(ISNUMBER(MATCH(Data!#REF!,Data_Val!$D$2:$D$10,0)),0,1)))</f>
        <v>#REF!</v>
      </c>
      <c r="AJ933" s="17"/>
      <c r="AK933" s="17" t="e">
        <f>IF(Data!#REF!="","",IF(ISNUMBER(MATCH(Data!#REF!,Data_Val!$A$2:$A$3,0)),0,1))</f>
        <v>#REF!</v>
      </c>
      <c r="AL933" s="25" t="e">
        <f ca="1">IF(Data!#REF!="","",IF(ISNUMBER(Data!#REF!),IF(AND(Data!#REF!&gt;(TODAY()-(Data_Val!$L$3*365.25)),Data!#REF!&lt;=(TODAY()-(Data_Val!$L$2*365.25))),0,1),1))</f>
        <v>#REF!</v>
      </c>
      <c r="AM933" s="17" t="e">
        <f>IF(Data!#REF!="","",IF(Data!$G933="",1,IF(ISNUMBER(MATCH(Data!#REF!,Data_Val!$D$2:$D$10,0)),0,1)))</f>
        <v>#REF!</v>
      </c>
      <c r="AN933" s="13"/>
      <c r="AO933" s="28" t="e">
        <f ca="1">IF(Data!#REF!="","",IF(ISNUMBER(Data!#REF!),IF(AND(Data!#REF!&gt;(TODAY()-(Data_Val!$I$3*365.25)),Data!#REF!&lt;=(TODAY()-(Data_Val!$I$2*365.25))),0,1),1))</f>
        <v>#REF!</v>
      </c>
      <c r="AP933" s="13" t="e">
        <f>IF(Data!#REF!="","",IF(Data!$G933="",1,IF(ISNUMBER(MATCH(Data!#REF!,Data_Val!$D$2:$D$10,0)),0,1)))</f>
        <v>#REF!</v>
      </c>
      <c r="AQ933" s="17"/>
      <c r="AR933" s="30" t="e">
        <f ca="1">IF(Data!#REF!="","",IF(ISNUMBER(Data!#REF!),IF(AND(Data!#REF!&gt;(TODAY()-(Data_Val!$I$3*365.25)),Data!#REF!&lt;=(TODAY()-(Data_Val!$I$2*365.25))),0,1),1))</f>
        <v>#REF!</v>
      </c>
      <c r="AS933" s="31" t="e">
        <f>IF(Data!#REF!="","",IF(Data!$G933="",1,IF(ISNUMBER(MATCH(Data!#REF!,Data_Val!$D$2:$D$10,0)),0,1)))</f>
        <v>#REF!</v>
      </c>
      <c r="AT933" s="11"/>
      <c r="AU933" s="11" t="e">
        <f ca="1">IF(Data!#REF!="","",IF(ISNUMBER(Data!#REF!),IF(AND(Data!#REF!&gt;(TODAY()-(Data_Val!$I$3*365.25)),Data!#REF!&lt;=(TODAY()-(Data_Val!$I$2*365.25))),0,1),1))</f>
        <v>#REF!</v>
      </c>
      <c r="AV933" s="11" t="e">
        <f>IF(Data!#REF!="","",IF(Data!$G933="",1,IF(ISNUMBER(MATCH(Data!#REF!,Data_Val!$D$2:$D$10,0)),0,1)))</f>
        <v>#REF!</v>
      </c>
      <c r="AW933" s="12"/>
      <c r="AX933" s="26" t="e">
        <f ca="1">IF(Data!#REF!="","",IF(ISNUMBER(Data!#REF!),IF(AND(Data!#REF!&gt;(TODAY()-(Data_Val!$I$3*365.25)),Data!#REF!&lt;=(TODAY()-(Data_Val!$I$2*365.25))),0,1),1))</f>
        <v>#REF!</v>
      </c>
      <c r="AY933" s="12" t="e">
        <f>IF(Data!#REF!="","",IF(Data!$G933="",1,IF(ISNUMBER(MATCH(Data!#REF!,Data_Val!$D$2:$D$10,0)),0,1)))</f>
        <v>#REF!</v>
      </c>
      <c r="AZ933" s="11"/>
      <c r="BA933" s="19" t="e">
        <f ca="1">IF(Data!#REF!="","",IF(ISNUMBER(Data!#REF!),IF(AND(Data!#REF!&gt;(TODAY()-(Data_Val!$M$3*365.25)),Data!#REF!&lt;=(TODAY()-(Data_Val!$M$2*365.25))),0,1),1))</f>
        <v>#REF!</v>
      </c>
      <c r="BB933" s="11" t="e">
        <f>IF(Data!#REF!="","",IF(Data!$G933="",1,IF(ISNUMBER(MATCH(Data!#REF!,Data_Val!$D$2:$D$10,0)),0,1)))</f>
        <v>#REF!</v>
      </c>
      <c r="BC933" s="12"/>
      <c r="BD933" s="20" t="e">
        <f ca="1">IF(Data!#REF!="","",IF(ISNUMBER(Data!#REF!),IF(AND(Data!#REF!&gt;(TODAY()-(Data_Val!$M$3*365.25)),Data!#REF!&lt;=(TODAY()-(Data_Val!$M$2*365.25))),0,1),1))</f>
        <v>#REF!</v>
      </c>
      <c r="BE933" s="12" t="e">
        <f>IF(Data!#REF!="","",IF(Data!$G933="",1,IF(ISNUMBER(MATCH(Data!#REF!,Data_Val!$D$2:$D$10,0)),0,1)))</f>
        <v>#REF!</v>
      </c>
      <c r="BF933" s="17"/>
      <c r="BG933" s="18" t="e">
        <f ca="1">IF(Data!#REF!="","",IF(ISNUMBER(Data!#REF!),IF(AND(Data!#REF!&gt;(TODAY()-(Data_Val!$M$3*365.25)),Data!#REF!&lt;=(TODAY()-(Data_Val!$M$2*365.25))),0,1),1))</f>
        <v>#REF!</v>
      </c>
      <c r="BH933" s="29" t="e">
        <f>IF(Data!#REF!="","",IF(Data!$G933="",1,IF(ISNUMBER(MATCH(Data!#REF!,Data_Val!$D$2:$D$10,0)),0,1)))</f>
        <v>#REF!</v>
      </c>
      <c r="BI933" s="13"/>
      <c r="BJ933" s="21" t="e">
        <f ca="1">IF(Data!#REF!="","",IF(ISNUMBER(Data!#REF!),IF(AND(Data!#REF!&gt;(TODAY()-(Data_Val!$M$3*365.25)),Data!#REF!&lt;=(TODAY()-(Data_Val!$M$2*365.25))),0,1),1))</f>
        <v>#REF!</v>
      </c>
      <c r="BK933" s="13" t="e">
        <f>IF(Data!#REF!="","",IF(Data!$G933="",1,IF(ISNUMBER(MATCH(Data!#REF!,Data_Val!$D$2:$D$10,0)),0,1)))</f>
        <v>#REF!</v>
      </c>
    </row>
    <row r="934" spans="1:63" x14ac:dyDescent="0.25">
      <c r="A934" s="9" t="str">
        <f>IF(Data!B934="","",IF(COUNTIFS(Data!A$1:'Data'!A934,Data!A934)&lt;=1,0,1))</f>
        <v/>
      </c>
      <c r="B934" s="9"/>
      <c r="C934" s="23" t="str">
        <f>IF(Data!C934="","",(IF(ISNUMBER(MATCH("*@*.?*",Data!C934,0)),0,1)+IF(COUNTIFS(Data!C$1:'Data'!C934,Data!C934)&gt;1,1,0)))</f>
        <v/>
      </c>
      <c r="D934" s="9" t="str">
        <f>IF(Data!B934="","",IF(ISNUMBER(Data!D934),IF(AND(Data!D934&gt;999999999,Data!D934&lt;=9999999999),IF(COUNTIFS(Data!D$1:'Data'!D934,Data!D934)&lt;=1,0,1),1),1))</f>
        <v/>
      </c>
      <c r="E934" s="9" t="str">
        <f>IF(Data!B934="","",IF(ISNUMBER(MATCH(Data!E934,Data_Val!$A$2:$A$3,0)),0,1))</f>
        <v/>
      </c>
      <c r="F934" s="9" t="str">
        <f ca="1">IF(Data!B934="","",IF(ISNUMBER(Data!F934),IF(AND(Data!F934&gt;(TODAY()-(Data_Val!$H$3*365.25)),Data!F934&lt;=(TODAY()-(Data_Val!$H$2*365.25))),0,1),1))</f>
        <v/>
      </c>
      <c r="G934" s="15" t="str">
        <f>IF(Data!B934="","",IF(AND(Data!G934="",Data!H934&lt;&gt;""),1,IF(Data!#REF!&lt;&gt;"",0,IF(ISNUMBER(MATCH(Data!G934,Data_Val!$C$2:$C$5,0)),0,1))))</f>
        <v/>
      </c>
      <c r="H934" s="15" t="str">
        <f>IF(Data!B934="","",IF(AND(Data!G934&lt;&gt;"",Data!H934=""),1,IF(Data!#REF!&lt;&gt;"",0,IF(Data!G934="",1,IF(ISNUMBER(MATCH(Data!H934,Data_Val!$D$2:$D$35,0)),0,1)))))</f>
        <v/>
      </c>
      <c r="I934" s="15" t="str">
        <f>IF(Data!B934="","",IF(Data!G934&lt;&gt;"",0,IF(ISNUMBER(MATCH(Data!#REF!,Data_Val!$E$2:$E$12,0)),0,1)))</f>
        <v/>
      </c>
      <c r="J934" s="16" t="e">
        <f>IF(OR(Data!B934="",Data!#REF!=""),"",IF(Data!#REF!="",1,0))</f>
        <v>#REF!</v>
      </c>
      <c r="K934" s="16" t="e">
        <f>IF(OR(Data!B934="",Data!#REF!=""),"",IF(Data!#REF!="",1,0))</f>
        <v>#REF!</v>
      </c>
      <c r="L934" s="16" t="e">
        <f>IF(OR(Data!B934="",Data!#REF!=""),"",IF(ISNUMBER(Data!#REF!),IF(AND(Data!#REF!&gt;Data_Val!$G$2,Data!#REF!&lt;=Data_Val!$G$3),0,1),1))</f>
        <v>#REF!</v>
      </c>
      <c r="M934" s="9" t="e">
        <f>IF(OR(Data!B934="",Data!#REF!=""),"",IF(ISNUMBER(MATCH(Data!#REF!,Data_Val!$F$1:$F$38,0)),0,1))</f>
        <v>#REF!</v>
      </c>
      <c r="N934" s="9" t="e">
        <f>IF(OR(Data!B934="",Data!#REF!=""),"",IF(Data!#REF!="",1,0))</f>
        <v>#REF!</v>
      </c>
      <c r="O934" s="17" t="e">
        <f>IF(Data!#REF!="","",IF(Data!#REF!="",1,0))</f>
        <v>#REF!</v>
      </c>
      <c r="P934" s="17" t="e">
        <f>IF(Data!#REF!="","",IF(ISNUMBER(MATCH(Data!#REF!,Data_Val!$A$2:$A$3,0)),0,1))</f>
        <v>#REF!</v>
      </c>
      <c r="Q934" s="25" t="e">
        <f ca="1">IF(Data!#REF!="","",IF(ISNUMBER(Data!#REF!),IF(AND(Data!#REF!&gt;(TODAY()-(Data_Val!$J$3*365.25)),Data!#REF!&lt;=(TODAY()-(Data_Val!$J$2*365.25))),0,1),1))</f>
        <v>#REF!</v>
      </c>
      <c r="R934" s="17" t="e">
        <f>IF(Data!#REF!="","",IF(ISNUMBER(MATCH(Data!#REF!,Data_Val!$B$2:$B$15,0)),0,1))</f>
        <v>#REF!</v>
      </c>
      <c r="S934" s="11" t="str">
        <f>IF(Data!G934="","",IF(Data!G934=Data_Val!$C$2,IF(Data!M934="",0,1),0))</f>
        <v/>
      </c>
      <c r="T934" s="11" t="str">
        <f>IF(Data!M934="","",IF(ISNUMBER(MATCH(Data!N934,Data_Val!$A$2:$A$3,0)),0,1))</f>
        <v/>
      </c>
      <c r="U934" s="11" t="str">
        <f ca="1">IF(Data!M934="","",IF(ISNUMBER(Data!O934),IF(AND(Data!O934&gt;(TODAY()-(Data_Val!$K$3*365.25)),Data!O934&lt;=(TODAY()-(Data_Val!$K$2*365.25))),0,1),1))</f>
        <v/>
      </c>
      <c r="V934" s="12" t="str">
        <f>IF(Data!G934="","",IF(Data!G934=Data_Val!$C$2,IF(Data!P934="",0,1),0))</f>
        <v/>
      </c>
      <c r="W934" s="12" t="str">
        <f>IF(Data!P934="","",IF(ISNUMBER(MATCH(Data!Q934,Data_Val!$A$2:$A$3,0)),0,1))</f>
        <v/>
      </c>
      <c r="X934" s="26" t="str">
        <f ca="1">IF(Data!P934="","",IF(ISNUMBER(Data!R934),IF(AND(Data!R934&gt;(TODAY()-(Data_Val!$L$3*365.25)),Data!R934&lt;=(TODAY()-(Data_Val!$L$2*365.25))),0,1),1))</f>
        <v/>
      </c>
      <c r="Y934" s="13" t="str">
        <f>IF(Data!$G934="","",IF(Data!$G934=Data_Val!$C$2,IF(Data!S934="",0,1),0))</f>
        <v/>
      </c>
      <c r="Z934" s="13" t="str">
        <f>IF(Data!S934="","",IF(ISNUMBER(MATCH(Data!T934,Data_Val!$A$2:$A$3,0)),0,1))</f>
        <v/>
      </c>
      <c r="AA934" s="28" t="str">
        <f ca="1">IF(Data!S934="","",IF(ISNUMBER(Data!U934),IF(AND(Data!U934&gt;(TODAY()-(Data_Val!$L$3*365.25)),Data!U934&lt;=(TODAY()-(Data_Val!$L$2*365.25))),0,1),1))</f>
        <v/>
      </c>
      <c r="AB934" s="11"/>
      <c r="AC934" s="11" t="e">
        <f>IF(Data!#REF!="","",IF(ISNUMBER(MATCH(Data!#REF!,Data_Val!$A$2:$A$3,0)),0,1))</f>
        <v>#REF!</v>
      </c>
      <c r="AD934" s="11" t="e">
        <f ca="1">IF(Data!#REF!="","",IF(ISNUMBER(Data!#REF!),IF(AND(Data!#REF!&gt;(TODAY()-(Data_Val!$L$3*365.25)),Data!#REF!&lt;=(TODAY()-(Data_Val!$L$2*365.25))),0,1),1))</f>
        <v>#REF!</v>
      </c>
      <c r="AE934" s="11" t="e">
        <f>IF(Data!#REF!="","",IF(Data!$G934="",1,IF(ISNUMBER(MATCH(Data!#REF!,Data_Val!$D$2:$D$10,0)),0,1)))</f>
        <v>#REF!</v>
      </c>
      <c r="AF934" s="12"/>
      <c r="AG934" s="12" t="e">
        <f>IF(Data!#REF!="","",IF(ISNUMBER(MATCH(Data!#REF!,Data_Val!$A$2:$A$3,0)),0,1))</f>
        <v>#REF!</v>
      </c>
      <c r="AH934" s="26" t="e">
        <f ca="1">IF(Data!#REF!="","",IF(ISNUMBER(Data!#REF!),IF(AND(Data!#REF!&gt;(TODAY()-(Data_Val!$L$3*365.25)),Data!#REF!&lt;=(TODAY()-(Data_Val!$L$2*365.25))),0,1),1))</f>
        <v>#REF!</v>
      </c>
      <c r="AI934" s="12" t="e">
        <f>IF(Data!#REF!="","",IF(Data!$G934="",1,IF(ISNUMBER(MATCH(Data!#REF!,Data_Val!$D$2:$D$10,0)),0,1)))</f>
        <v>#REF!</v>
      </c>
      <c r="AJ934" s="17"/>
      <c r="AK934" s="17" t="e">
        <f>IF(Data!#REF!="","",IF(ISNUMBER(MATCH(Data!#REF!,Data_Val!$A$2:$A$3,0)),0,1))</f>
        <v>#REF!</v>
      </c>
      <c r="AL934" s="25" t="e">
        <f ca="1">IF(Data!#REF!="","",IF(ISNUMBER(Data!#REF!),IF(AND(Data!#REF!&gt;(TODAY()-(Data_Val!$L$3*365.25)),Data!#REF!&lt;=(TODAY()-(Data_Val!$L$2*365.25))),0,1),1))</f>
        <v>#REF!</v>
      </c>
      <c r="AM934" s="17" t="e">
        <f>IF(Data!#REF!="","",IF(Data!$G934="",1,IF(ISNUMBER(MATCH(Data!#REF!,Data_Val!$D$2:$D$10,0)),0,1)))</f>
        <v>#REF!</v>
      </c>
      <c r="AN934" s="13"/>
      <c r="AO934" s="28" t="e">
        <f ca="1">IF(Data!#REF!="","",IF(ISNUMBER(Data!#REF!),IF(AND(Data!#REF!&gt;(TODAY()-(Data_Val!$I$3*365.25)),Data!#REF!&lt;=(TODAY()-(Data_Val!$I$2*365.25))),0,1),1))</f>
        <v>#REF!</v>
      </c>
      <c r="AP934" s="13" t="e">
        <f>IF(Data!#REF!="","",IF(Data!$G934="",1,IF(ISNUMBER(MATCH(Data!#REF!,Data_Val!$D$2:$D$10,0)),0,1)))</f>
        <v>#REF!</v>
      </c>
      <c r="AQ934" s="17"/>
      <c r="AR934" s="30" t="e">
        <f ca="1">IF(Data!#REF!="","",IF(ISNUMBER(Data!#REF!),IF(AND(Data!#REF!&gt;(TODAY()-(Data_Val!$I$3*365.25)),Data!#REF!&lt;=(TODAY()-(Data_Val!$I$2*365.25))),0,1),1))</f>
        <v>#REF!</v>
      </c>
      <c r="AS934" s="31" t="e">
        <f>IF(Data!#REF!="","",IF(Data!$G934="",1,IF(ISNUMBER(MATCH(Data!#REF!,Data_Val!$D$2:$D$10,0)),0,1)))</f>
        <v>#REF!</v>
      </c>
      <c r="AT934" s="11"/>
      <c r="AU934" s="11" t="e">
        <f ca="1">IF(Data!#REF!="","",IF(ISNUMBER(Data!#REF!),IF(AND(Data!#REF!&gt;(TODAY()-(Data_Val!$I$3*365.25)),Data!#REF!&lt;=(TODAY()-(Data_Val!$I$2*365.25))),0,1),1))</f>
        <v>#REF!</v>
      </c>
      <c r="AV934" s="11" t="e">
        <f>IF(Data!#REF!="","",IF(Data!$G934="",1,IF(ISNUMBER(MATCH(Data!#REF!,Data_Val!$D$2:$D$10,0)),0,1)))</f>
        <v>#REF!</v>
      </c>
      <c r="AW934" s="12"/>
      <c r="AX934" s="26" t="e">
        <f ca="1">IF(Data!#REF!="","",IF(ISNUMBER(Data!#REF!),IF(AND(Data!#REF!&gt;(TODAY()-(Data_Val!$I$3*365.25)),Data!#REF!&lt;=(TODAY()-(Data_Val!$I$2*365.25))),0,1),1))</f>
        <v>#REF!</v>
      </c>
      <c r="AY934" s="12" t="e">
        <f>IF(Data!#REF!="","",IF(Data!$G934="",1,IF(ISNUMBER(MATCH(Data!#REF!,Data_Val!$D$2:$D$10,0)),0,1)))</f>
        <v>#REF!</v>
      </c>
      <c r="AZ934" s="11"/>
      <c r="BA934" s="19" t="e">
        <f ca="1">IF(Data!#REF!="","",IF(ISNUMBER(Data!#REF!),IF(AND(Data!#REF!&gt;(TODAY()-(Data_Val!$M$3*365.25)),Data!#REF!&lt;=(TODAY()-(Data_Val!$M$2*365.25))),0,1),1))</f>
        <v>#REF!</v>
      </c>
      <c r="BB934" s="11" t="e">
        <f>IF(Data!#REF!="","",IF(Data!$G934="",1,IF(ISNUMBER(MATCH(Data!#REF!,Data_Val!$D$2:$D$10,0)),0,1)))</f>
        <v>#REF!</v>
      </c>
      <c r="BC934" s="12"/>
      <c r="BD934" s="20" t="e">
        <f ca="1">IF(Data!#REF!="","",IF(ISNUMBER(Data!#REF!),IF(AND(Data!#REF!&gt;(TODAY()-(Data_Val!$M$3*365.25)),Data!#REF!&lt;=(TODAY()-(Data_Val!$M$2*365.25))),0,1),1))</f>
        <v>#REF!</v>
      </c>
      <c r="BE934" s="12" t="e">
        <f>IF(Data!#REF!="","",IF(Data!$G934="",1,IF(ISNUMBER(MATCH(Data!#REF!,Data_Val!$D$2:$D$10,0)),0,1)))</f>
        <v>#REF!</v>
      </c>
      <c r="BF934" s="17"/>
      <c r="BG934" s="18" t="e">
        <f ca="1">IF(Data!#REF!="","",IF(ISNUMBER(Data!#REF!),IF(AND(Data!#REF!&gt;(TODAY()-(Data_Val!$M$3*365.25)),Data!#REF!&lt;=(TODAY()-(Data_Val!$M$2*365.25))),0,1),1))</f>
        <v>#REF!</v>
      </c>
      <c r="BH934" s="29" t="e">
        <f>IF(Data!#REF!="","",IF(Data!$G934="",1,IF(ISNUMBER(MATCH(Data!#REF!,Data_Val!$D$2:$D$10,0)),0,1)))</f>
        <v>#REF!</v>
      </c>
      <c r="BI934" s="13"/>
      <c r="BJ934" s="21" t="e">
        <f ca="1">IF(Data!#REF!="","",IF(ISNUMBER(Data!#REF!),IF(AND(Data!#REF!&gt;(TODAY()-(Data_Val!$M$3*365.25)),Data!#REF!&lt;=(TODAY()-(Data_Val!$M$2*365.25))),0,1),1))</f>
        <v>#REF!</v>
      </c>
      <c r="BK934" s="13" t="e">
        <f>IF(Data!#REF!="","",IF(Data!$G934="",1,IF(ISNUMBER(MATCH(Data!#REF!,Data_Val!$D$2:$D$10,0)),0,1)))</f>
        <v>#REF!</v>
      </c>
    </row>
    <row r="935" spans="1:63" x14ac:dyDescent="0.25">
      <c r="A935" s="9" t="str">
        <f>IF(Data!B935="","",IF(COUNTIFS(Data!A$1:'Data'!A935,Data!A935)&lt;=1,0,1))</f>
        <v/>
      </c>
      <c r="B935" s="9"/>
      <c r="C935" s="23" t="str">
        <f>IF(Data!C935="","",(IF(ISNUMBER(MATCH("*@*.?*",Data!C935,0)),0,1)+IF(COUNTIFS(Data!C$1:'Data'!C935,Data!C935)&gt;1,1,0)))</f>
        <v/>
      </c>
      <c r="D935" s="9" t="str">
        <f>IF(Data!B935="","",IF(ISNUMBER(Data!D935),IF(AND(Data!D935&gt;999999999,Data!D935&lt;=9999999999),IF(COUNTIFS(Data!D$1:'Data'!D935,Data!D935)&lt;=1,0,1),1),1))</f>
        <v/>
      </c>
      <c r="E935" s="9" t="str">
        <f>IF(Data!B935="","",IF(ISNUMBER(MATCH(Data!E935,Data_Val!$A$2:$A$3,0)),0,1))</f>
        <v/>
      </c>
      <c r="F935" s="9" t="str">
        <f ca="1">IF(Data!B935="","",IF(ISNUMBER(Data!F935),IF(AND(Data!F935&gt;(TODAY()-(Data_Val!$H$3*365.25)),Data!F935&lt;=(TODAY()-(Data_Val!$H$2*365.25))),0,1),1))</f>
        <v/>
      </c>
      <c r="G935" s="15" t="str">
        <f>IF(Data!B935="","",IF(AND(Data!G935="",Data!H935&lt;&gt;""),1,IF(Data!#REF!&lt;&gt;"",0,IF(ISNUMBER(MATCH(Data!G935,Data_Val!$C$2:$C$5,0)),0,1))))</f>
        <v/>
      </c>
      <c r="H935" s="15" t="str">
        <f>IF(Data!B935="","",IF(AND(Data!G935&lt;&gt;"",Data!H935=""),1,IF(Data!#REF!&lt;&gt;"",0,IF(Data!G935="",1,IF(ISNUMBER(MATCH(Data!H935,Data_Val!$D$2:$D$35,0)),0,1)))))</f>
        <v/>
      </c>
      <c r="I935" s="15" t="str">
        <f>IF(Data!B935="","",IF(Data!G935&lt;&gt;"",0,IF(ISNUMBER(MATCH(Data!#REF!,Data_Val!$E$2:$E$12,0)),0,1)))</f>
        <v/>
      </c>
      <c r="J935" s="16" t="e">
        <f>IF(OR(Data!B935="",Data!#REF!=""),"",IF(Data!#REF!="",1,0))</f>
        <v>#REF!</v>
      </c>
      <c r="K935" s="16" t="e">
        <f>IF(OR(Data!B935="",Data!#REF!=""),"",IF(Data!#REF!="",1,0))</f>
        <v>#REF!</v>
      </c>
      <c r="L935" s="16" t="e">
        <f>IF(OR(Data!B935="",Data!#REF!=""),"",IF(ISNUMBER(Data!#REF!),IF(AND(Data!#REF!&gt;Data_Val!$G$2,Data!#REF!&lt;=Data_Val!$G$3),0,1),1))</f>
        <v>#REF!</v>
      </c>
      <c r="M935" s="9" t="e">
        <f>IF(OR(Data!B935="",Data!#REF!=""),"",IF(ISNUMBER(MATCH(Data!#REF!,Data_Val!$F$1:$F$38,0)),0,1))</f>
        <v>#REF!</v>
      </c>
      <c r="N935" s="9" t="e">
        <f>IF(OR(Data!B935="",Data!#REF!=""),"",IF(Data!#REF!="",1,0))</f>
        <v>#REF!</v>
      </c>
      <c r="O935" s="17" t="e">
        <f>IF(Data!#REF!="","",IF(Data!#REF!="",1,0))</f>
        <v>#REF!</v>
      </c>
      <c r="P935" s="17" t="e">
        <f>IF(Data!#REF!="","",IF(ISNUMBER(MATCH(Data!#REF!,Data_Val!$A$2:$A$3,0)),0,1))</f>
        <v>#REF!</v>
      </c>
      <c r="Q935" s="25" t="e">
        <f ca="1">IF(Data!#REF!="","",IF(ISNUMBER(Data!#REF!),IF(AND(Data!#REF!&gt;(TODAY()-(Data_Val!$J$3*365.25)),Data!#REF!&lt;=(TODAY()-(Data_Val!$J$2*365.25))),0,1),1))</f>
        <v>#REF!</v>
      </c>
      <c r="R935" s="17" t="e">
        <f>IF(Data!#REF!="","",IF(ISNUMBER(MATCH(Data!#REF!,Data_Val!$B$2:$B$15,0)),0,1))</f>
        <v>#REF!</v>
      </c>
      <c r="S935" s="11" t="str">
        <f>IF(Data!G935="","",IF(Data!G935=Data_Val!$C$2,IF(Data!M935="",0,1),0))</f>
        <v/>
      </c>
      <c r="T935" s="11" t="str">
        <f>IF(Data!M935="","",IF(ISNUMBER(MATCH(Data!N935,Data_Val!$A$2:$A$3,0)),0,1))</f>
        <v/>
      </c>
      <c r="U935" s="11" t="str">
        <f ca="1">IF(Data!M935="","",IF(ISNUMBER(Data!O935),IF(AND(Data!O935&gt;(TODAY()-(Data_Val!$K$3*365.25)),Data!O935&lt;=(TODAY()-(Data_Val!$K$2*365.25))),0,1),1))</f>
        <v/>
      </c>
      <c r="V935" s="12" t="str">
        <f>IF(Data!G935="","",IF(Data!G935=Data_Val!$C$2,IF(Data!P935="",0,1),0))</f>
        <v/>
      </c>
      <c r="W935" s="12" t="str">
        <f>IF(Data!P935="","",IF(ISNUMBER(MATCH(Data!Q935,Data_Val!$A$2:$A$3,0)),0,1))</f>
        <v/>
      </c>
      <c r="X935" s="26" t="str">
        <f ca="1">IF(Data!P935="","",IF(ISNUMBER(Data!R935),IF(AND(Data!R935&gt;(TODAY()-(Data_Val!$L$3*365.25)),Data!R935&lt;=(TODAY()-(Data_Val!$L$2*365.25))),0,1),1))</f>
        <v/>
      </c>
      <c r="Y935" s="13" t="str">
        <f>IF(Data!$G935="","",IF(Data!$G935=Data_Val!$C$2,IF(Data!S935="",0,1),0))</f>
        <v/>
      </c>
      <c r="Z935" s="13" t="str">
        <f>IF(Data!S935="","",IF(ISNUMBER(MATCH(Data!T935,Data_Val!$A$2:$A$3,0)),0,1))</f>
        <v/>
      </c>
      <c r="AA935" s="28" t="str">
        <f ca="1">IF(Data!S935="","",IF(ISNUMBER(Data!U935),IF(AND(Data!U935&gt;(TODAY()-(Data_Val!$L$3*365.25)),Data!U935&lt;=(TODAY()-(Data_Val!$L$2*365.25))),0,1),1))</f>
        <v/>
      </c>
      <c r="AB935" s="11"/>
      <c r="AC935" s="11" t="e">
        <f>IF(Data!#REF!="","",IF(ISNUMBER(MATCH(Data!#REF!,Data_Val!$A$2:$A$3,0)),0,1))</f>
        <v>#REF!</v>
      </c>
      <c r="AD935" s="11" t="e">
        <f ca="1">IF(Data!#REF!="","",IF(ISNUMBER(Data!#REF!),IF(AND(Data!#REF!&gt;(TODAY()-(Data_Val!$L$3*365.25)),Data!#REF!&lt;=(TODAY()-(Data_Val!$L$2*365.25))),0,1),1))</f>
        <v>#REF!</v>
      </c>
      <c r="AE935" s="11" t="e">
        <f>IF(Data!#REF!="","",IF(Data!$G935="",1,IF(ISNUMBER(MATCH(Data!#REF!,Data_Val!$D$2:$D$10,0)),0,1)))</f>
        <v>#REF!</v>
      </c>
      <c r="AF935" s="12"/>
      <c r="AG935" s="12" t="e">
        <f>IF(Data!#REF!="","",IF(ISNUMBER(MATCH(Data!#REF!,Data_Val!$A$2:$A$3,0)),0,1))</f>
        <v>#REF!</v>
      </c>
      <c r="AH935" s="26" t="e">
        <f ca="1">IF(Data!#REF!="","",IF(ISNUMBER(Data!#REF!),IF(AND(Data!#REF!&gt;(TODAY()-(Data_Val!$L$3*365.25)),Data!#REF!&lt;=(TODAY()-(Data_Val!$L$2*365.25))),0,1),1))</f>
        <v>#REF!</v>
      </c>
      <c r="AI935" s="12" t="e">
        <f>IF(Data!#REF!="","",IF(Data!$G935="",1,IF(ISNUMBER(MATCH(Data!#REF!,Data_Val!$D$2:$D$10,0)),0,1)))</f>
        <v>#REF!</v>
      </c>
      <c r="AJ935" s="17"/>
      <c r="AK935" s="17" t="e">
        <f>IF(Data!#REF!="","",IF(ISNUMBER(MATCH(Data!#REF!,Data_Val!$A$2:$A$3,0)),0,1))</f>
        <v>#REF!</v>
      </c>
      <c r="AL935" s="25" t="e">
        <f ca="1">IF(Data!#REF!="","",IF(ISNUMBER(Data!#REF!),IF(AND(Data!#REF!&gt;(TODAY()-(Data_Val!$L$3*365.25)),Data!#REF!&lt;=(TODAY()-(Data_Val!$L$2*365.25))),0,1),1))</f>
        <v>#REF!</v>
      </c>
      <c r="AM935" s="17" t="e">
        <f>IF(Data!#REF!="","",IF(Data!$G935="",1,IF(ISNUMBER(MATCH(Data!#REF!,Data_Val!$D$2:$D$10,0)),0,1)))</f>
        <v>#REF!</v>
      </c>
      <c r="AN935" s="13"/>
      <c r="AO935" s="28" t="e">
        <f ca="1">IF(Data!#REF!="","",IF(ISNUMBER(Data!#REF!),IF(AND(Data!#REF!&gt;(TODAY()-(Data_Val!$I$3*365.25)),Data!#REF!&lt;=(TODAY()-(Data_Val!$I$2*365.25))),0,1),1))</f>
        <v>#REF!</v>
      </c>
      <c r="AP935" s="13" t="e">
        <f>IF(Data!#REF!="","",IF(Data!$G935="",1,IF(ISNUMBER(MATCH(Data!#REF!,Data_Val!$D$2:$D$10,0)),0,1)))</f>
        <v>#REF!</v>
      </c>
      <c r="AQ935" s="17"/>
      <c r="AR935" s="30" t="e">
        <f ca="1">IF(Data!#REF!="","",IF(ISNUMBER(Data!#REF!),IF(AND(Data!#REF!&gt;(TODAY()-(Data_Val!$I$3*365.25)),Data!#REF!&lt;=(TODAY()-(Data_Val!$I$2*365.25))),0,1),1))</f>
        <v>#REF!</v>
      </c>
      <c r="AS935" s="31" t="e">
        <f>IF(Data!#REF!="","",IF(Data!$G935="",1,IF(ISNUMBER(MATCH(Data!#REF!,Data_Val!$D$2:$D$10,0)),0,1)))</f>
        <v>#REF!</v>
      </c>
      <c r="AT935" s="11"/>
      <c r="AU935" s="11" t="e">
        <f ca="1">IF(Data!#REF!="","",IF(ISNUMBER(Data!#REF!),IF(AND(Data!#REF!&gt;(TODAY()-(Data_Val!$I$3*365.25)),Data!#REF!&lt;=(TODAY()-(Data_Val!$I$2*365.25))),0,1),1))</f>
        <v>#REF!</v>
      </c>
      <c r="AV935" s="11" t="e">
        <f>IF(Data!#REF!="","",IF(Data!$G935="",1,IF(ISNUMBER(MATCH(Data!#REF!,Data_Val!$D$2:$D$10,0)),0,1)))</f>
        <v>#REF!</v>
      </c>
      <c r="AW935" s="12"/>
      <c r="AX935" s="26" t="e">
        <f ca="1">IF(Data!#REF!="","",IF(ISNUMBER(Data!#REF!),IF(AND(Data!#REF!&gt;(TODAY()-(Data_Val!$I$3*365.25)),Data!#REF!&lt;=(TODAY()-(Data_Val!$I$2*365.25))),0,1),1))</f>
        <v>#REF!</v>
      </c>
      <c r="AY935" s="12" t="e">
        <f>IF(Data!#REF!="","",IF(Data!$G935="",1,IF(ISNUMBER(MATCH(Data!#REF!,Data_Val!$D$2:$D$10,0)),0,1)))</f>
        <v>#REF!</v>
      </c>
      <c r="AZ935" s="11"/>
      <c r="BA935" s="19" t="e">
        <f ca="1">IF(Data!#REF!="","",IF(ISNUMBER(Data!#REF!),IF(AND(Data!#REF!&gt;(TODAY()-(Data_Val!$M$3*365.25)),Data!#REF!&lt;=(TODAY()-(Data_Val!$M$2*365.25))),0,1),1))</f>
        <v>#REF!</v>
      </c>
      <c r="BB935" s="11" t="e">
        <f>IF(Data!#REF!="","",IF(Data!$G935="",1,IF(ISNUMBER(MATCH(Data!#REF!,Data_Val!$D$2:$D$10,0)),0,1)))</f>
        <v>#REF!</v>
      </c>
      <c r="BC935" s="12"/>
      <c r="BD935" s="20" t="e">
        <f ca="1">IF(Data!#REF!="","",IF(ISNUMBER(Data!#REF!),IF(AND(Data!#REF!&gt;(TODAY()-(Data_Val!$M$3*365.25)),Data!#REF!&lt;=(TODAY()-(Data_Val!$M$2*365.25))),0,1),1))</f>
        <v>#REF!</v>
      </c>
      <c r="BE935" s="12" t="e">
        <f>IF(Data!#REF!="","",IF(Data!$G935="",1,IF(ISNUMBER(MATCH(Data!#REF!,Data_Val!$D$2:$D$10,0)),0,1)))</f>
        <v>#REF!</v>
      </c>
      <c r="BF935" s="17"/>
      <c r="BG935" s="18" t="e">
        <f ca="1">IF(Data!#REF!="","",IF(ISNUMBER(Data!#REF!),IF(AND(Data!#REF!&gt;(TODAY()-(Data_Val!$M$3*365.25)),Data!#REF!&lt;=(TODAY()-(Data_Val!$M$2*365.25))),0,1),1))</f>
        <v>#REF!</v>
      </c>
      <c r="BH935" s="29" t="e">
        <f>IF(Data!#REF!="","",IF(Data!$G935="",1,IF(ISNUMBER(MATCH(Data!#REF!,Data_Val!$D$2:$D$10,0)),0,1)))</f>
        <v>#REF!</v>
      </c>
      <c r="BI935" s="13"/>
      <c r="BJ935" s="21" t="e">
        <f ca="1">IF(Data!#REF!="","",IF(ISNUMBER(Data!#REF!),IF(AND(Data!#REF!&gt;(TODAY()-(Data_Val!$M$3*365.25)),Data!#REF!&lt;=(TODAY()-(Data_Val!$M$2*365.25))),0,1),1))</f>
        <v>#REF!</v>
      </c>
      <c r="BK935" s="13" t="e">
        <f>IF(Data!#REF!="","",IF(Data!$G935="",1,IF(ISNUMBER(MATCH(Data!#REF!,Data_Val!$D$2:$D$10,0)),0,1)))</f>
        <v>#REF!</v>
      </c>
    </row>
    <row r="936" spans="1:63" x14ac:dyDescent="0.25">
      <c r="A936" s="9" t="str">
        <f>IF(Data!B936="","",IF(COUNTIFS(Data!A$1:'Data'!A936,Data!A936)&lt;=1,0,1))</f>
        <v/>
      </c>
      <c r="B936" s="9"/>
      <c r="C936" s="23" t="str">
        <f>IF(Data!C936="","",(IF(ISNUMBER(MATCH("*@*.?*",Data!C936,0)),0,1)+IF(COUNTIFS(Data!C$1:'Data'!C936,Data!C936)&gt;1,1,0)))</f>
        <v/>
      </c>
      <c r="D936" s="9" t="str">
        <f>IF(Data!B936="","",IF(ISNUMBER(Data!D936),IF(AND(Data!D936&gt;999999999,Data!D936&lt;=9999999999),IF(COUNTIFS(Data!D$1:'Data'!D936,Data!D936)&lt;=1,0,1),1),1))</f>
        <v/>
      </c>
      <c r="E936" s="9" t="str">
        <f>IF(Data!B936="","",IF(ISNUMBER(MATCH(Data!E936,Data_Val!$A$2:$A$3,0)),0,1))</f>
        <v/>
      </c>
      <c r="F936" s="9" t="str">
        <f ca="1">IF(Data!B936="","",IF(ISNUMBER(Data!F936),IF(AND(Data!F936&gt;(TODAY()-(Data_Val!$H$3*365.25)),Data!F936&lt;=(TODAY()-(Data_Val!$H$2*365.25))),0,1),1))</f>
        <v/>
      </c>
      <c r="G936" s="15" t="str">
        <f>IF(Data!B936="","",IF(AND(Data!G936="",Data!H936&lt;&gt;""),1,IF(Data!#REF!&lt;&gt;"",0,IF(ISNUMBER(MATCH(Data!G936,Data_Val!$C$2:$C$5,0)),0,1))))</f>
        <v/>
      </c>
      <c r="H936" s="15" t="str">
        <f>IF(Data!B936="","",IF(AND(Data!G936&lt;&gt;"",Data!H936=""),1,IF(Data!#REF!&lt;&gt;"",0,IF(Data!G936="",1,IF(ISNUMBER(MATCH(Data!H936,Data_Val!$D$2:$D$35,0)),0,1)))))</f>
        <v/>
      </c>
      <c r="I936" s="15" t="str">
        <f>IF(Data!B936="","",IF(Data!G936&lt;&gt;"",0,IF(ISNUMBER(MATCH(Data!#REF!,Data_Val!$E$2:$E$12,0)),0,1)))</f>
        <v/>
      </c>
      <c r="J936" s="16" t="e">
        <f>IF(OR(Data!B936="",Data!#REF!=""),"",IF(Data!#REF!="",1,0))</f>
        <v>#REF!</v>
      </c>
      <c r="K936" s="16" t="e">
        <f>IF(OR(Data!B936="",Data!#REF!=""),"",IF(Data!#REF!="",1,0))</f>
        <v>#REF!</v>
      </c>
      <c r="L936" s="16" t="e">
        <f>IF(OR(Data!B936="",Data!#REF!=""),"",IF(ISNUMBER(Data!#REF!),IF(AND(Data!#REF!&gt;Data_Val!$G$2,Data!#REF!&lt;=Data_Val!$G$3),0,1),1))</f>
        <v>#REF!</v>
      </c>
      <c r="M936" s="9" t="e">
        <f>IF(OR(Data!B936="",Data!#REF!=""),"",IF(ISNUMBER(MATCH(Data!#REF!,Data_Val!$F$1:$F$38,0)),0,1))</f>
        <v>#REF!</v>
      </c>
      <c r="N936" s="9" t="e">
        <f>IF(OR(Data!B936="",Data!#REF!=""),"",IF(Data!#REF!="",1,0))</f>
        <v>#REF!</v>
      </c>
      <c r="O936" s="17" t="e">
        <f>IF(Data!#REF!="","",IF(Data!#REF!="",1,0))</f>
        <v>#REF!</v>
      </c>
      <c r="P936" s="17" t="e">
        <f>IF(Data!#REF!="","",IF(ISNUMBER(MATCH(Data!#REF!,Data_Val!$A$2:$A$3,0)),0,1))</f>
        <v>#REF!</v>
      </c>
      <c r="Q936" s="25" t="e">
        <f ca="1">IF(Data!#REF!="","",IF(ISNUMBER(Data!#REF!),IF(AND(Data!#REF!&gt;(TODAY()-(Data_Val!$J$3*365.25)),Data!#REF!&lt;=(TODAY()-(Data_Val!$J$2*365.25))),0,1),1))</f>
        <v>#REF!</v>
      </c>
      <c r="R936" s="17" t="e">
        <f>IF(Data!#REF!="","",IF(ISNUMBER(MATCH(Data!#REF!,Data_Val!$B$2:$B$15,0)),0,1))</f>
        <v>#REF!</v>
      </c>
      <c r="S936" s="11" t="str">
        <f>IF(Data!G936="","",IF(Data!G936=Data_Val!$C$2,IF(Data!M936="",0,1),0))</f>
        <v/>
      </c>
      <c r="T936" s="11" t="str">
        <f>IF(Data!M936="","",IF(ISNUMBER(MATCH(Data!N936,Data_Val!$A$2:$A$3,0)),0,1))</f>
        <v/>
      </c>
      <c r="U936" s="11" t="str">
        <f ca="1">IF(Data!M936="","",IF(ISNUMBER(Data!O936),IF(AND(Data!O936&gt;(TODAY()-(Data_Val!$K$3*365.25)),Data!O936&lt;=(TODAY()-(Data_Val!$K$2*365.25))),0,1),1))</f>
        <v/>
      </c>
      <c r="V936" s="12" t="str">
        <f>IF(Data!G936="","",IF(Data!G936=Data_Val!$C$2,IF(Data!P936="",0,1),0))</f>
        <v/>
      </c>
      <c r="W936" s="12" t="str">
        <f>IF(Data!P936="","",IF(ISNUMBER(MATCH(Data!Q936,Data_Val!$A$2:$A$3,0)),0,1))</f>
        <v/>
      </c>
      <c r="X936" s="26" t="str">
        <f ca="1">IF(Data!P936="","",IF(ISNUMBER(Data!R936),IF(AND(Data!R936&gt;(TODAY()-(Data_Val!$L$3*365.25)),Data!R936&lt;=(TODAY()-(Data_Val!$L$2*365.25))),0,1),1))</f>
        <v/>
      </c>
      <c r="Y936" s="13" t="str">
        <f>IF(Data!$G936="","",IF(Data!$G936=Data_Val!$C$2,IF(Data!S936="",0,1),0))</f>
        <v/>
      </c>
      <c r="Z936" s="13" t="str">
        <f>IF(Data!S936="","",IF(ISNUMBER(MATCH(Data!T936,Data_Val!$A$2:$A$3,0)),0,1))</f>
        <v/>
      </c>
      <c r="AA936" s="28" t="str">
        <f ca="1">IF(Data!S936="","",IF(ISNUMBER(Data!U936),IF(AND(Data!U936&gt;(TODAY()-(Data_Val!$L$3*365.25)),Data!U936&lt;=(TODAY()-(Data_Val!$L$2*365.25))),0,1),1))</f>
        <v/>
      </c>
      <c r="AB936" s="11"/>
      <c r="AC936" s="11" t="e">
        <f>IF(Data!#REF!="","",IF(ISNUMBER(MATCH(Data!#REF!,Data_Val!$A$2:$A$3,0)),0,1))</f>
        <v>#REF!</v>
      </c>
      <c r="AD936" s="11" t="e">
        <f ca="1">IF(Data!#REF!="","",IF(ISNUMBER(Data!#REF!),IF(AND(Data!#REF!&gt;(TODAY()-(Data_Val!$L$3*365.25)),Data!#REF!&lt;=(TODAY()-(Data_Val!$L$2*365.25))),0,1),1))</f>
        <v>#REF!</v>
      </c>
      <c r="AE936" s="11" t="e">
        <f>IF(Data!#REF!="","",IF(Data!$G936="",1,IF(ISNUMBER(MATCH(Data!#REF!,Data_Val!$D$2:$D$10,0)),0,1)))</f>
        <v>#REF!</v>
      </c>
      <c r="AF936" s="12"/>
      <c r="AG936" s="12" t="e">
        <f>IF(Data!#REF!="","",IF(ISNUMBER(MATCH(Data!#REF!,Data_Val!$A$2:$A$3,0)),0,1))</f>
        <v>#REF!</v>
      </c>
      <c r="AH936" s="26" t="e">
        <f ca="1">IF(Data!#REF!="","",IF(ISNUMBER(Data!#REF!),IF(AND(Data!#REF!&gt;(TODAY()-(Data_Val!$L$3*365.25)),Data!#REF!&lt;=(TODAY()-(Data_Val!$L$2*365.25))),0,1),1))</f>
        <v>#REF!</v>
      </c>
      <c r="AI936" s="12" t="e">
        <f>IF(Data!#REF!="","",IF(Data!$G936="",1,IF(ISNUMBER(MATCH(Data!#REF!,Data_Val!$D$2:$D$10,0)),0,1)))</f>
        <v>#REF!</v>
      </c>
      <c r="AJ936" s="17"/>
      <c r="AK936" s="17" t="e">
        <f>IF(Data!#REF!="","",IF(ISNUMBER(MATCH(Data!#REF!,Data_Val!$A$2:$A$3,0)),0,1))</f>
        <v>#REF!</v>
      </c>
      <c r="AL936" s="25" t="e">
        <f ca="1">IF(Data!#REF!="","",IF(ISNUMBER(Data!#REF!),IF(AND(Data!#REF!&gt;(TODAY()-(Data_Val!$L$3*365.25)),Data!#REF!&lt;=(TODAY()-(Data_Val!$L$2*365.25))),0,1),1))</f>
        <v>#REF!</v>
      </c>
      <c r="AM936" s="17" t="e">
        <f>IF(Data!#REF!="","",IF(Data!$G936="",1,IF(ISNUMBER(MATCH(Data!#REF!,Data_Val!$D$2:$D$10,0)),0,1)))</f>
        <v>#REF!</v>
      </c>
      <c r="AN936" s="13"/>
      <c r="AO936" s="28" t="e">
        <f ca="1">IF(Data!#REF!="","",IF(ISNUMBER(Data!#REF!),IF(AND(Data!#REF!&gt;(TODAY()-(Data_Val!$I$3*365.25)),Data!#REF!&lt;=(TODAY()-(Data_Val!$I$2*365.25))),0,1),1))</f>
        <v>#REF!</v>
      </c>
      <c r="AP936" s="13" t="e">
        <f>IF(Data!#REF!="","",IF(Data!$G936="",1,IF(ISNUMBER(MATCH(Data!#REF!,Data_Val!$D$2:$D$10,0)),0,1)))</f>
        <v>#REF!</v>
      </c>
      <c r="AQ936" s="17"/>
      <c r="AR936" s="30" t="e">
        <f ca="1">IF(Data!#REF!="","",IF(ISNUMBER(Data!#REF!),IF(AND(Data!#REF!&gt;(TODAY()-(Data_Val!$I$3*365.25)),Data!#REF!&lt;=(TODAY()-(Data_Val!$I$2*365.25))),0,1),1))</f>
        <v>#REF!</v>
      </c>
      <c r="AS936" s="31" t="e">
        <f>IF(Data!#REF!="","",IF(Data!$G936="",1,IF(ISNUMBER(MATCH(Data!#REF!,Data_Val!$D$2:$D$10,0)),0,1)))</f>
        <v>#REF!</v>
      </c>
      <c r="AT936" s="11"/>
      <c r="AU936" s="11" t="e">
        <f ca="1">IF(Data!#REF!="","",IF(ISNUMBER(Data!#REF!),IF(AND(Data!#REF!&gt;(TODAY()-(Data_Val!$I$3*365.25)),Data!#REF!&lt;=(TODAY()-(Data_Val!$I$2*365.25))),0,1),1))</f>
        <v>#REF!</v>
      </c>
      <c r="AV936" s="11" t="e">
        <f>IF(Data!#REF!="","",IF(Data!$G936="",1,IF(ISNUMBER(MATCH(Data!#REF!,Data_Val!$D$2:$D$10,0)),0,1)))</f>
        <v>#REF!</v>
      </c>
      <c r="AW936" s="12"/>
      <c r="AX936" s="26" t="e">
        <f ca="1">IF(Data!#REF!="","",IF(ISNUMBER(Data!#REF!),IF(AND(Data!#REF!&gt;(TODAY()-(Data_Val!$I$3*365.25)),Data!#REF!&lt;=(TODAY()-(Data_Val!$I$2*365.25))),0,1),1))</f>
        <v>#REF!</v>
      </c>
      <c r="AY936" s="12" t="e">
        <f>IF(Data!#REF!="","",IF(Data!$G936="",1,IF(ISNUMBER(MATCH(Data!#REF!,Data_Val!$D$2:$D$10,0)),0,1)))</f>
        <v>#REF!</v>
      </c>
      <c r="AZ936" s="11"/>
      <c r="BA936" s="19" t="e">
        <f ca="1">IF(Data!#REF!="","",IF(ISNUMBER(Data!#REF!),IF(AND(Data!#REF!&gt;(TODAY()-(Data_Val!$M$3*365.25)),Data!#REF!&lt;=(TODAY()-(Data_Val!$M$2*365.25))),0,1),1))</f>
        <v>#REF!</v>
      </c>
      <c r="BB936" s="11" t="e">
        <f>IF(Data!#REF!="","",IF(Data!$G936="",1,IF(ISNUMBER(MATCH(Data!#REF!,Data_Val!$D$2:$D$10,0)),0,1)))</f>
        <v>#REF!</v>
      </c>
      <c r="BC936" s="12"/>
      <c r="BD936" s="20" t="e">
        <f ca="1">IF(Data!#REF!="","",IF(ISNUMBER(Data!#REF!),IF(AND(Data!#REF!&gt;(TODAY()-(Data_Val!$M$3*365.25)),Data!#REF!&lt;=(TODAY()-(Data_Val!$M$2*365.25))),0,1),1))</f>
        <v>#REF!</v>
      </c>
      <c r="BE936" s="12" t="e">
        <f>IF(Data!#REF!="","",IF(Data!$G936="",1,IF(ISNUMBER(MATCH(Data!#REF!,Data_Val!$D$2:$D$10,0)),0,1)))</f>
        <v>#REF!</v>
      </c>
      <c r="BF936" s="17"/>
      <c r="BG936" s="18" t="e">
        <f ca="1">IF(Data!#REF!="","",IF(ISNUMBER(Data!#REF!),IF(AND(Data!#REF!&gt;(TODAY()-(Data_Val!$M$3*365.25)),Data!#REF!&lt;=(TODAY()-(Data_Val!$M$2*365.25))),0,1),1))</f>
        <v>#REF!</v>
      </c>
      <c r="BH936" s="29" t="e">
        <f>IF(Data!#REF!="","",IF(Data!$G936="",1,IF(ISNUMBER(MATCH(Data!#REF!,Data_Val!$D$2:$D$10,0)),0,1)))</f>
        <v>#REF!</v>
      </c>
      <c r="BI936" s="13"/>
      <c r="BJ936" s="21" t="e">
        <f ca="1">IF(Data!#REF!="","",IF(ISNUMBER(Data!#REF!),IF(AND(Data!#REF!&gt;(TODAY()-(Data_Val!$M$3*365.25)),Data!#REF!&lt;=(TODAY()-(Data_Val!$M$2*365.25))),0,1),1))</f>
        <v>#REF!</v>
      </c>
      <c r="BK936" s="13" t="e">
        <f>IF(Data!#REF!="","",IF(Data!$G936="",1,IF(ISNUMBER(MATCH(Data!#REF!,Data_Val!$D$2:$D$10,0)),0,1)))</f>
        <v>#REF!</v>
      </c>
    </row>
    <row r="937" spans="1:63" x14ac:dyDescent="0.25">
      <c r="A937" s="9" t="str">
        <f>IF(Data!B937="","",IF(COUNTIFS(Data!A$1:'Data'!A937,Data!A937)&lt;=1,0,1))</f>
        <v/>
      </c>
      <c r="B937" s="9"/>
      <c r="C937" s="23" t="str">
        <f>IF(Data!C937="","",(IF(ISNUMBER(MATCH("*@*.?*",Data!C937,0)),0,1)+IF(COUNTIFS(Data!C$1:'Data'!C937,Data!C937)&gt;1,1,0)))</f>
        <v/>
      </c>
      <c r="D937" s="9" t="str">
        <f>IF(Data!B937="","",IF(ISNUMBER(Data!D937),IF(AND(Data!D937&gt;999999999,Data!D937&lt;=9999999999),IF(COUNTIFS(Data!D$1:'Data'!D937,Data!D937)&lt;=1,0,1),1),1))</f>
        <v/>
      </c>
      <c r="E937" s="9" t="str">
        <f>IF(Data!B937="","",IF(ISNUMBER(MATCH(Data!E937,Data_Val!$A$2:$A$3,0)),0,1))</f>
        <v/>
      </c>
      <c r="F937" s="9" t="str">
        <f ca="1">IF(Data!B937="","",IF(ISNUMBER(Data!F937),IF(AND(Data!F937&gt;(TODAY()-(Data_Val!$H$3*365.25)),Data!F937&lt;=(TODAY()-(Data_Val!$H$2*365.25))),0,1),1))</f>
        <v/>
      </c>
      <c r="G937" s="15" t="str">
        <f>IF(Data!B937="","",IF(AND(Data!G937="",Data!H937&lt;&gt;""),1,IF(Data!#REF!&lt;&gt;"",0,IF(ISNUMBER(MATCH(Data!G937,Data_Val!$C$2:$C$5,0)),0,1))))</f>
        <v/>
      </c>
      <c r="H937" s="15" t="str">
        <f>IF(Data!B937="","",IF(AND(Data!G937&lt;&gt;"",Data!H937=""),1,IF(Data!#REF!&lt;&gt;"",0,IF(Data!G937="",1,IF(ISNUMBER(MATCH(Data!H937,Data_Val!$D$2:$D$35,0)),0,1)))))</f>
        <v/>
      </c>
      <c r="I937" s="15" t="str">
        <f>IF(Data!B937="","",IF(Data!G937&lt;&gt;"",0,IF(ISNUMBER(MATCH(Data!#REF!,Data_Val!$E$2:$E$12,0)),0,1)))</f>
        <v/>
      </c>
      <c r="J937" s="16" t="e">
        <f>IF(OR(Data!B937="",Data!#REF!=""),"",IF(Data!#REF!="",1,0))</f>
        <v>#REF!</v>
      </c>
      <c r="K937" s="16" t="e">
        <f>IF(OR(Data!B937="",Data!#REF!=""),"",IF(Data!#REF!="",1,0))</f>
        <v>#REF!</v>
      </c>
      <c r="L937" s="16" t="e">
        <f>IF(OR(Data!B937="",Data!#REF!=""),"",IF(ISNUMBER(Data!#REF!),IF(AND(Data!#REF!&gt;Data_Val!$G$2,Data!#REF!&lt;=Data_Val!$G$3),0,1),1))</f>
        <v>#REF!</v>
      </c>
      <c r="M937" s="9" t="e">
        <f>IF(OR(Data!B937="",Data!#REF!=""),"",IF(ISNUMBER(MATCH(Data!#REF!,Data_Val!$F$1:$F$38,0)),0,1))</f>
        <v>#REF!</v>
      </c>
      <c r="N937" s="9" t="e">
        <f>IF(OR(Data!B937="",Data!#REF!=""),"",IF(Data!#REF!="",1,0))</f>
        <v>#REF!</v>
      </c>
      <c r="O937" s="17" t="e">
        <f>IF(Data!#REF!="","",IF(Data!#REF!="",1,0))</f>
        <v>#REF!</v>
      </c>
      <c r="P937" s="17" t="e">
        <f>IF(Data!#REF!="","",IF(ISNUMBER(MATCH(Data!#REF!,Data_Val!$A$2:$A$3,0)),0,1))</f>
        <v>#REF!</v>
      </c>
      <c r="Q937" s="25" t="e">
        <f ca="1">IF(Data!#REF!="","",IF(ISNUMBER(Data!#REF!),IF(AND(Data!#REF!&gt;(TODAY()-(Data_Val!$J$3*365.25)),Data!#REF!&lt;=(TODAY()-(Data_Val!$J$2*365.25))),0,1),1))</f>
        <v>#REF!</v>
      </c>
      <c r="R937" s="17" t="e">
        <f>IF(Data!#REF!="","",IF(ISNUMBER(MATCH(Data!#REF!,Data_Val!$B$2:$B$15,0)),0,1))</f>
        <v>#REF!</v>
      </c>
      <c r="S937" s="11" t="str">
        <f>IF(Data!G937="","",IF(Data!G937=Data_Val!$C$2,IF(Data!M937="",0,1),0))</f>
        <v/>
      </c>
      <c r="T937" s="11" t="str">
        <f>IF(Data!M937="","",IF(ISNUMBER(MATCH(Data!N937,Data_Val!$A$2:$A$3,0)),0,1))</f>
        <v/>
      </c>
      <c r="U937" s="11" t="str">
        <f ca="1">IF(Data!M937="","",IF(ISNUMBER(Data!O937),IF(AND(Data!O937&gt;(TODAY()-(Data_Val!$K$3*365.25)),Data!O937&lt;=(TODAY()-(Data_Val!$K$2*365.25))),0,1),1))</f>
        <v/>
      </c>
      <c r="V937" s="12" t="str">
        <f>IF(Data!G937="","",IF(Data!G937=Data_Val!$C$2,IF(Data!P937="",0,1),0))</f>
        <v/>
      </c>
      <c r="W937" s="12" t="str">
        <f>IF(Data!P937="","",IF(ISNUMBER(MATCH(Data!Q937,Data_Val!$A$2:$A$3,0)),0,1))</f>
        <v/>
      </c>
      <c r="X937" s="26" t="str">
        <f ca="1">IF(Data!P937="","",IF(ISNUMBER(Data!R937),IF(AND(Data!R937&gt;(TODAY()-(Data_Val!$L$3*365.25)),Data!R937&lt;=(TODAY()-(Data_Val!$L$2*365.25))),0,1),1))</f>
        <v/>
      </c>
      <c r="Y937" s="13" t="str">
        <f>IF(Data!$G937="","",IF(Data!$G937=Data_Val!$C$2,IF(Data!S937="",0,1),0))</f>
        <v/>
      </c>
      <c r="Z937" s="13" t="str">
        <f>IF(Data!S937="","",IF(ISNUMBER(MATCH(Data!T937,Data_Val!$A$2:$A$3,0)),0,1))</f>
        <v/>
      </c>
      <c r="AA937" s="28" t="str">
        <f ca="1">IF(Data!S937="","",IF(ISNUMBER(Data!U937),IF(AND(Data!U937&gt;(TODAY()-(Data_Val!$L$3*365.25)),Data!U937&lt;=(TODAY()-(Data_Val!$L$2*365.25))),0,1),1))</f>
        <v/>
      </c>
      <c r="AB937" s="11"/>
      <c r="AC937" s="11" t="e">
        <f>IF(Data!#REF!="","",IF(ISNUMBER(MATCH(Data!#REF!,Data_Val!$A$2:$A$3,0)),0,1))</f>
        <v>#REF!</v>
      </c>
      <c r="AD937" s="11" t="e">
        <f ca="1">IF(Data!#REF!="","",IF(ISNUMBER(Data!#REF!),IF(AND(Data!#REF!&gt;(TODAY()-(Data_Val!$L$3*365.25)),Data!#REF!&lt;=(TODAY()-(Data_Val!$L$2*365.25))),0,1),1))</f>
        <v>#REF!</v>
      </c>
      <c r="AE937" s="11" t="e">
        <f>IF(Data!#REF!="","",IF(Data!$G937="",1,IF(ISNUMBER(MATCH(Data!#REF!,Data_Val!$D$2:$D$10,0)),0,1)))</f>
        <v>#REF!</v>
      </c>
      <c r="AF937" s="12"/>
      <c r="AG937" s="12" t="e">
        <f>IF(Data!#REF!="","",IF(ISNUMBER(MATCH(Data!#REF!,Data_Val!$A$2:$A$3,0)),0,1))</f>
        <v>#REF!</v>
      </c>
      <c r="AH937" s="26" t="e">
        <f ca="1">IF(Data!#REF!="","",IF(ISNUMBER(Data!#REF!),IF(AND(Data!#REF!&gt;(TODAY()-(Data_Val!$L$3*365.25)),Data!#REF!&lt;=(TODAY()-(Data_Val!$L$2*365.25))),0,1),1))</f>
        <v>#REF!</v>
      </c>
      <c r="AI937" s="12" t="e">
        <f>IF(Data!#REF!="","",IF(Data!$G937="",1,IF(ISNUMBER(MATCH(Data!#REF!,Data_Val!$D$2:$D$10,0)),0,1)))</f>
        <v>#REF!</v>
      </c>
      <c r="AJ937" s="17"/>
      <c r="AK937" s="17" t="e">
        <f>IF(Data!#REF!="","",IF(ISNUMBER(MATCH(Data!#REF!,Data_Val!$A$2:$A$3,0)),0,1))</f>
        <v>#REF!</v>
      </c>
      <c r="AL937" s="25" t="e">
        <f ca="1">IF(Data!#REF!="","",IF(ISNUMBER(Data!#REF!),IF(AND(Data!#REF!&gt;(TODAY()-(Data_Val!$L$3*365.25)),Data!#REF!&lt;=(TODAY()-(Data_Val!$L$2*365.25))),0,1),1))</f>
        <v>#REF!</v>
      </c>
      <c r="AM937" s="17" t="e">
        <f>IF(Data!#REF!="","",IF(Data!$G937="",1,IF(ISNUMBER(MATCH(Data!#REF!,Data_Val!$D$2:$D$10,0)),0,1)))</f>
        <v>#REF!</v>
      </c>
      <c r="AN937" s="13"/>
      <c r="AO937" s="28" t="e">
        <f ca="1">IF(Data!#REF!="","",IF(ISNUMBER(Data!#REF!),IF(AND(Data!#REF!&gt;(TODAY()-(Data_Val!$I$3*365.25)),Data!#REF!&lt;=(TODAY()-(Data_Val!$I$2*365.25))),0,1),1))</f>
        <v>#REF!</v>
      </c>
      <c r="AP937" s="13" t="e">
        <f>IF(Data!#REF!="","",IF(Data!$G937="",1,IF(ISNUMBER(MATCH(Data!#REF!,Data_Val!$D$2:$D$10,0)),0,1)))</f>
        <v>#REF!</v>
      </c>
      <c r="AQ937" s="17"/>
      <c r="AR937" s="30" t="e">
        <f ca="1">IF(Data!#REF!="","",IF(ISNUMBER(Data!#REF!),IF(AND(Data!#REF!&gt;(TODAY()-(Data_Val!$I$3*365.25)),Data!#REF!&lt;=(TODAY()-(Data_Val!$I$2*365.25))),0,1),1))</f>
        <v>#REF!</v>
      </c>
      <c r="AS937" s="31" t="e">
        <f>IF(Data!#REF!="","",IF(Data!$G937="",1,IF(ISNUMBER(MATCH(Data!#REF!,Data_Val!$D$2:$D$10,0)),0,1)))</f>
        <v>#REF!</v>
      </c>
      <c r="AT937" s="11"/>
      <c r="AU937" s="11" t="e">
        <f ca="1">IF(Data!#REF!="","",IF(ISNUMBER(Data!#REF!),IF(AND(Data!#REF!&gt;(TODAY()-(Data_Val!$I$3*365.25)),Data!#REF!&lt;=(TODAY()-(Data_Val!$I$2*365.25))),0,1),1))</f>
        <v>#REF!</v>
      </c>
      <c r="AV937" s="11" t="e">
        <f>IF(Data!#REF!="","",IF(Data!$G937="",1,IF(ISNUMBER(MATCH(Data!#REF!,Data_Val!$D$2:$D$10,0)),0,1)))</f>
        <v>#REF!</v>
      </c>
      <c r="AW937" s="12"/>
      <c r="AX937" s="26" t="e">
        <f ca="1">IF(Data!#REF!="","",IF(ISNUMBER(Data!#REF!),IF(AND(Data!#REF!&gt;(TODAY()-(Data_Val!$I$3*365.25)),Data!#REF!&lt;=(TODAY()-(Data_Val!$I$2*365.25))),0,1),1))</f>
        <v>#REF!</v>
      </c>
      <c r="AY937" s="12" t="e">
        <f>IF(Data!#REF!="","",IF(Data!$G937="",1,IF(ISNUMBER(MATCH(Data!#REF!,Data_Val!$D$2:$D$10,0)),0,1)))</f>
        <v>#REF!</v>
      </c>
      <c r="AZ937" s="11"/>
      <c r="BA937" s="19" t="e">
        <f ca="1">IF(Data!#REF!="","",IF(ISNUMBER(Data!#REF!),IF(AND(Data!#REF!&gt;(TODAY()-(Data_Val!$M$3*365.25)),Data!#REF!&lt;=(TODAY()-(Data_Val!$M$2*365.25))),0,1),1))</f>
        <v>#REF!</v>
      </c>
      <c r="BB937" s="11" t="e">
        <f>IF(Data!#REF!="","",IF(Data!$G937="",1,IF(ISNUMBER(MATCH(Data!#REF!,Data_Val!$D$2:$D$10,0)),0,1)))</f>
        <v>#REF!</v>
      </c>
      <c r="BC937" s="12"/>
      <c r="BD937" s="20" t="e">
        <f ca="1">IF(Data!#REF!="","",IF(ISNUMBER(Data!#REF!),IF(AND(Data!#REF!&gt;(TODAY()-(Data_Val!$M$3*365.25)),Data!#REF!&lt;=(TODAY()-(Data_Val!$M$2*365.25))),0,1),1))</f>
        <v>#REF!</v>
      </c>
      <c r="BE937" s="12" t="e">
        <f>IF(Data!#REF!="","",IF(Data!$G937="",1,IF(ISNUMBER(MATCH(Data!#REF!,Data_Val!$D$2:$D$10,0)),0,1)))</f>
        <v>#REF!</v>
      </c>
      <c r="BF937" s="17"/>
      <c r="BG937" s="18" t="e">
        <f ca="1">IF(Data!#REF!="","",IF(ISNUMBER(Data!#REF!),IF(AND(Data!#REF!&gt;(TODAY()-(Data_Val!$M$3*365.25)),Data!#REF!&lt;=(TODAY()-(Data_Val!$M$2*365.25))),0,1),1))</f>
        <v>#REF!</v>
      </c>
      <c r="BH937" s="29" t="e">
        <f>IF(Data!#REF!="","",IF(Data!$G937="",1,IF(ISNUMBER(MATCH(Data!#REF!,Data_Val!$D$2:$D$10,0)),0,1)))</f>
        <v>#REF!</v>
      </c>
      <c r="BI937" s="13"/>
      <c r="BJ937" s="21" t="e">
        <f ca="1">IF(Data!#REF!="","",IF(ISNUMBER(Data!#REF!),IF(AND(Data!#REF!&gt;(TODAY()-(Data_Val!$M$3*365.25)),Data!#REF!&lt;=(TODAY()-(Data_Val!$M$2*365.25))),0,1),1))</f>
        <v>#REF!</v>
      </c>
      <c r="BK937" s="13" t="e">
        <f>IF(Data!#REF!="","",IF(Data!$G937="",1,IF(ISNUMBER(MATCH(Data!#REF!,Data_Val!$D$2:$D$10,0)),0,1)))</f>
        <v>#REF!</v>
      </c>
    </row>
    <row r="938" spans="1:63" x14ac:dyDescent="0.25">
      <c r="A938" s="9" t="str">
        <f>IF(Data!B938="","",IF(COUNTIFS(Data!A$1:'Data'!A938,Data!A938)&lt;=1,0,1))</f>
        <v/>
      </c>
      <c r="B938" s="9"/>
      <c r="C938" s="23" t="str">
        <f>IF(Data!C938="","",(IF(ISNUMBER(MATCH("*@*.?*",Data!C938,0)),0,1)+IF(COUNTIFS(Data!C$1:'Data'!C938,Data!C938)&gt;1,1,0)))</f>
        <v/>
      </c>
      <c r="D938" s="9" t="str">
        <f>IF(Data!B938="","",IF(ISNUMBER(Data!D938),IF(AND(Data!D938&gt;999999999,Data!D938&lt;=9999999999),IF(COUNTIFS(Data!D$1:'Data'!D938,Data!D938)&lt;=1,0,1),1),1))</f>
        <v/>
      </c>
      <c r="E938" s="9" t="str">
        <f>IF(Data!B938="","",IF(ISNUMBER(MATCH(Data!E938,Data_Val!$A$2:$A$3,0)),0,1))</f>
        <v/>
      </c>
      <c r="F938" s="9" t="str">
        <f ca="1">IF(Data!B938="","",IF(ISNUMBER(Data!F938),IF(AND(Data!F938&gt;(TODAY()-(Data_Val!$H$3*365.25)),Data!F938&lt;=(TODAY()-(Data_Val!$H$2*365.25))),0,1),1))</f>
        <v/>
      </c>
      <c r="G938" s="15" t="str">
        <f>IF(Data!B938="","",IF(AND(Data!G938="",Data!H938&lt;&gt;""),1,IF(Data!#REF!&lt;&gt;"",0,IF(ISNUMBER(MATCH(Data!G938,Data_Val!$C$2:$C$5,0)),0,1))))</f>
        <v/>
      </c>
      <c r="H938" s="15" t="str">
        <f>IF(Data!B938="","",IF(AND(Data!G938&lt;&gt;"",Data!H938=""),1,IF(Data!#REF!&lt;&gt;"",0,IF(Data!G938="",1,IF(ISNUMBER(MATCH(Data!H938,Data_Val!$D$2:$D$35,0)),0,1)))))</f>
        <v/>
      </c>
      <c r="I938" s="15" t="str">
        <f>IF(Data!B938="","",IF(Data!G938&lt;&gt;"",0,IF(ISNUMBER(MATCH(Data!#REF!,Data_Val!$E$2:$E$12,0)),0,1)))</f>
        <v/>
      </c>
      <c r="J938" s="16" t="e">
        <f>IF(OR(Data!B938="",Data!#REF!=""),"",IF(Data!#REF!="",1,0))</f>
        <v>#REF!</v>
      </c>
      <c r="K938" s="16" t="e">
        <f>IF(OR(Data!B938="",Data!#REF!=""),"",IF(Data!#REF!="",1,0))</f>
        <v>#REF!</v>
      </c>
      <c r="L938" s="16" t="e">
        <f>IF(OR(Data!B938="",Data!#REF!=""),"",IF(ISNUMBER(Data!#REF!),IF(AND(Data!#REF!&gt;Data_Val!$G$2,Data!#REF!&lt;=Data_Val!$G$3),0,1),1))</f>
        <v>#REF!</v>
      </c>
      <c r="M938" s="9" t="e">
        <f>IF(OR(Data!B938="",Data!#REF!=""),"",IF(ISNUMBER(MATCH(Data!#REF!,Data_Val!$F$1:$F$38,0)),0,1))</f>
        <v>#REF!</v>
      </c>
      <c r="N938" s="9" t="e">
        <f>IF(OR(Data!B938="",Data!#REF!=""),"",IF(Data!#REF!="",1,0))</f>
        <v>#REF!</v>
      </c>
      <c r="O938" s="17" t="e">
        <f>IF(Data!#REF!="","",IF(Data!#REF!="",1,0))</f>
        <v>#REF!</v>
      </c>
      <c r="P938" s="17" t="e">
        <f>IF(Data!#REF!="","",IF(ISNUMBER(MATCH(Data!#REF!,Data_Val!$A$2:$A$3,0)),0,1))</f>
        <v>#REF!</v>
      </c>
      <c r="Q938" s="25" t="e">
        <f ca="1">IF(Data!#REF!="","",IF(ISNUMBER(Data!#REF!),IF(AND(Data!#REF!&gt;(TODAY()-(Data_Val!$J$3*365.25)),Data!#REF!&lt;=(TODAY()-(Data_Val!$J$2*365.25))),0,1),1))</f>
        <v>#REF!</v>
      </c>
      <c r="R938" s="17" t="e">
        <f>IF(Data!#REF!="","",IF(ISNUMBER(MATCH(Data!#REF!,Data_Val!$B$2:$B$15,0)),0,1))</f>
        <v>#REF!</v>
      </c>
      <c r="S938" s="11" t="str">
        <f>IF(Data!G938="","",IF(Data!G938=Data_Val!$C$2,IF(Data!M938="",0,1),0))</f>
        <v/>
      </c>
      <c r="T938" s="11" t="str">
        <f>IF(Data!M938="","",IF(ISNUMBER(MATCH(Data!N938,Data_Val!$A$2:$A$3,0)),0,1))</f>
        <v/>
      </c>
      <c r="U938" s="11" t="str">
        <f ca="1">IF(Data!M938="","",IF(ISNUMBER(Data!O938),IF(AND(Data!O938&gt;(TODAY()-(Data_Val!$K$3*365.25)),Data!O938&lt;=(TODAY()-(Data_Val!$K$2*365.25))),0,1),1))</f>
        <v/>
      </c>
      <c r="V938" s="12" t="str">
        <f>IF(Data!G938="","",IF(Data!G938=Data_Val!$C$2,IF(Data!P938="",0,1),0))</f>
        <v/>
      </c>
      <c r="W938" s="12" t="str">
        <f>IF(Data!P938="","",IF(ISNUMBER(MATCH(Data!Q938,Data_Val!$A$2:$A$3,0)),0,1))</f>
        <v/>
      </c>
      <c r="X938" s="26" t="str">
        <f ca="1">IF(Data!P938="","",IF(ISNUMBER(Data!R938),IF(AND(Data!R938&gt;(TODAY()-(Data_Val!$L$3*365.25)),Data!R938&lt;=(TODAY()-(Data_Val!$L$2*365.25))),0,1),1))</f>
        <v/>
      </c>
      <c r="Y938" s="13" t="str">
        <f>IF(Data!$G938="","",IF(Data!$G938=Data_Val!$C$2,IF(Data!S938="",0,1),0))</f>
        <v/>
      </c>
      <c r="Z938" s="13" t="str">
        <f>IF(Data!S938="","",IF(ISNUMBER(MATCH(Data!T938,Data_Val!$A$2:$A$3,0)),0,1))</f>
        <v/>
      </c>
      <c r="AA938" s="28" t="str">
        <f ca="1">IF(Data!S938="","",IF(ISNUMBER(Data!U938),IF(AND(Data!U938&gt;(TODAY()-(Data_Val!$L$3*365.25)),Data!U938&lt;=(TODAY()-(Data_Val!$L$2*365.25))),0,1),1))</f>
        <v/>
      </c>
      <c r="AB938" s="11"/>
      <c r="AC938" s="11" t="e">
        <f>IF(Data!#REF!="","",IF(ISNUMBER(MATCH(Data!#REF!,Data_Val!$A$2:$A$3,0)),0,1))</f>
        <v>#REF!</v>
      </c>
      <c r="AD938" s="11" t="e">
        <f ca="1">IF(Data!#REF!="","",IF(ISNUMBER(Data!#REF!),IF(AND(Data!#REF!&gt;(TODAY()-(Data_Val!$L$3*365.25)),Data!#REF!&lt;=(TODAY()-(Data_Val!$L$2*365.25))),0,1),1))</f>
        <v>#REF!</v>
      </c>
      <c r="AE938" s="11" t="e">
        <f>IF(Data!#REF!="","",IF(Data!$G938="",1,IF(ISNUMBER(MATCH(Data!#REF!,Data_Val!$D$2:$D$10,0)),0,1)))</f>
        <v>#REF!</v>
      </c>
      <c r="AF938" s="12"/>
      <c r="AG938" s="12" t="e">
        <f>IF(Data!#REF!="","",IF(ISNUMBER(MATCH(Data!#REF!,Data_Val!$A$2:$A$3,0)),0,1))</f>
        <v>#REF!</v>
      </c>
      <c r="AH938" s="26" t="e">
        <f ca="1">IF(Data!#REF!="","",IF(ISNUMBER(Data!#REF!),IF(AND(Data!#REF!&gt;(TODAY()-(Data_Val!$L$3*365.25)),Data!#REF!&lt;=(TODAY()-(Data_Val!$L$2*365.25))),0,1),1))</f>
        <v>#REF!</v>
      </c>
      <c r="AI938" s="12" t="e">
        <f>IF(Data!#REF!="","",IF(Data!$G938="",1,IF(ISNUMBER(MATCH(Data!#REF!,Data_Val!$D$2:$D$10,0)),0,1)))</f>
        <v>#REF!</v>
      </c>
      <c r="AJ938" s="17"/>
      <c r="AK938" s="17" t="e">
        <f>IF(Data!#REF!="","",IF(ISNUMBER(MATCH(Data!#REF!,Data_Val!$A$2:$A$3,0)),0,1))</f>
        <v>#REF!</v>
      </c>
      <c r="AL938" s="25" t="e">
        <f ca="1">IF(Data!#REF!="","",IF(ISNUMBER(Data!#REF!),IF(AND(Data!#REF!&gt;(TODAY()-(Data_Val!$L$3*365.25)),Data!#REF!&lt;=(TODAY()-(Data_Val!$L$2*365.25))),0,1),1))</f>
        <v>#REF!</v>
      </c>
      <c r="AM938" s="17" t="e">
        <f>IF(Data!#REF!="","",IF(Data!$G938="",1,IF(ISNUMBER(MATCH(Data!#REF!,Data_Val!$D$2:$D$10,0)),0,1)))</f>
        <v>#REF!</v>
      </c>
      <c r="AN938" s="13"/>
      <c r="AO938" s="28" t="e">
        <f ca="1">IF(Data!#REF!="","",IF(ISNUMBER(Data!#REF!),IF(AND(Data!#REF!&gt;(TODAY()-(Data_Val!$I$3*365.25)),Data!#REF!&lt;=(TODAY()-(Data_Val!$I$2*365.25))),0,1),1))</f>
        <v>#REF!</v>
      </c>
      <c r="AP938" s="13" t="e">
        <f>IF(Data!#REF!="","",IF(Data!$G938="",1,IF(ISNUMBER(MATCH(Data!#REF!,Data_Val!$D$2:$D$10,0)),0,1)))</f>
        <v>#REF!</v>
      </c>
      <c r="AQ938" s="17"/>
      <c r="AR938" s="30" t="e">
        <f ca="1">IF(Data!#REF!="","",IF(ISNUMBER(Data!#REF!),IF(AND(Data!#REF!&gt;(TODAY()-(Data_Val!$I$3*365.25)),Data!#REF!&lt;=(TODAY()-(Data_Val!$I$2*365.25))),0,1),1))</f>
        <v>#REF!</v>
      </c>
      <c r="AS938" s="31" t="e">
        <f>IF(Data!#REF!="","",IF(Data!$G938="",1,IF(ISNUMBER(MATCH(Data!#REF!,Data_Val!$D$2:$D$10,0)),0,1)))</f>
        <v>#REF!</v>
      </c>
      <c r="AT938" s="11"/>
      <c r="AU938" s="11" t="e">
        <f ca="1">IF(Data!#REF!="","",IF(ISNUMBER(Data!#REF!),IF(AND(Data!#REF!&gt;(TODAY()-(Data_Val!$I$3*365.25)),Data!#REF!&lt;=(TODAY()-(Data_Val!$I$2*365.25))),0,1),1))</f>
        <v>#REF!</v>
      </c>
      <c r="AV938" s="11" t="e">
        <f>IF(Data!#REF!="","",IF(Data!$G938="",1,IF(ISNUMBER(MATCH(Data!#REF!,Data_Val!$D$2:$D$10,0)),0,1)))</f>
        <v>#REF!</v>
      </c>
      <c r="AW938" s="12"/>
      <c r="AX938" s="26" t="e">
        <f ca="1">IF(Data!#REF!="","",IF(ISNUMBER(Data!#REF!),IF(AND(Data!#REF!&gt;(TODAY()-(Data_Val!$I$3*365.25)),Data!#REF!&lt;=(TODAY()-(Data_Val!$I$2*365.25))),0,1),1))</f>
        <v>#REF!</v>
      </c>
      <c r="AY938" s="12" t="e">
        <f>IF(Data!#REF!="","",IF(Data!$G938="",1,IF(ISNUMBER(MATCH(Data!#REF!,Data_Val!$D$2:$D$10,0)),0,1)))</f>
        <v>#REF!</v>
      </c>
      <c r="AZ938" s="11"/>
      <c r="BA938" s="19" t="e">
        <f ca="1">IF(Data!#REF!="","",IF(ISNUMBER(Data!#REF!),IF(AND(Data!#REF!&gt;(TODAY()-(Data_Val!$M$3*365.25)),Data!#REF!&lt;=(TODAY()-(Data_Val!$M$2*365.25))),0,1),1))</f>
        <v>#REF!</v>
      </c>
      <c r="BB938" s="11" t="e">
        <f>IF(Data!#REF!="","",IF(Data!$G938="",1,IF(ISNUMBER(MATCH(Data!#REF!,Data_Val!$D$2:$D$10,0)),0,1)))</f>
        <v>#REF!</v>
      </c>
      <c r="BC938" s="12"/>
      <c r="BD938" s="20" t="e">
        <f ca="1">IF(Data!#REF!="","",IF(ISNUMBER(Data!#REF!),IF(AND(Data!#REF!&gt;(TODAY()-(Data_Val!$M$3*365.25)),Data!#REF!&lt;=(TODAY()-(Data_Val!$M$2*365.25))),0,1),1))</f>
        <v>#REF!</v>
      </c>
      <c r="BE938" s="12" t="e">
        <f>IF(Data!#REF!="","",IF(Data!$G938="",1,IF(ISNUMBER(MATCH(Data!#REF!,Data_Val!$D$2:$D$10,0)),0,1)))</f>
        <v>#REF!</v>
      </c>
      <c r="BF938" s="17"/>
      <c r="BG938" s="18" t="e">
        <f ca="1">IF(Data!#REF!="","",IF(ISNUMBER(Data!#REF!),IF(AND(Data!#REF!&gt;(TODAY()-(Data_Val!$M$3*365.25)),Data!#REF!&lt;=(TODAY()-(Data_Val!$M$2*365.25))),0,1),1))</f>
        <v>#REF!</v>
      </c>
      <c r="BH938" s="29" t="e">
        <f>IF(Data!#REF!="","",IF(Data!$G938="",1,IF(ISNUMBER(MATCH(Data!#REF!,Data_Val!$D$2:$D$10,0)),0,1)))</f>
        <v>#REF!</v>
      </c>
      <c r="BI938" s="13"/>
      <c r="BJ938" s="21" t="e">
        <f ca="1">IF(Data!#REF!="","",IF(ISNUMBER(Data!#REF!),IF(AND(Data!#REF!&gt;(TODAY()-(Data_Val!$M$3*365.25)),Data!#REF!&lt;=(TODAY()-(Data_Val!$M$2*365.25))),0,1),1))</f>
        <v>#REF!</v>
      </c>
      <c r="BK938" s="13" t="e">
        <f>IF(Data!#REF!="","",IF(Data!$G938="",1,IF(ISNUMBER(MATCH(Data!#REF!,Data_Val!$D$2:$D$10,0)),0,1)))</f>
        <v>#REF!</v>
      </c>
    </row>
    <row r="939" spans="1:63" x14ac:dyDescent="0.25">
      <c r="A939" s="9" t="str">
        <f>IF(Data!B939="","",IF(COUNTIFS(Data!A$1:'Data'!A939,Data!A939)&lt;=1,0,1))</f>
        <v/>
      </c>
      <c r="B939" s="9"/>
      <c r="C939" s="23" t="str">
        <f>IF(Data!C939="","",(IF(ISNUMBER(MATCH("*@*.?*",Data!C939,0)),0,1)+IF(COUNTIFS(Data!C$1:'Data'!C939,Data!C939)&gt;1,1,0)))</f>
        <v/>
      </c>
      <c r="D939" s="9" t="str">
        <f>IF(Data!B939="","",IF(ISNUMBER(Data!D939),IF(AND(Data!D939&gt;999999999,Data!D939&lt;=9999999999),IF(COUNTIFS(Data!D$1:'Data'!D939,Data!D939)&lt;=1,0,1),1),1))</f>
        <v/>
      </c>
      <c r="E939" s="9" t="str">
        <f>IF(Data!B939="","",IF(ISNUMBER(MATCH(Data!E939,Data_Val!$A$2:$A$3,0)),0,1))</f>
        <v/>
      </c>
      <c r="F939" s="9" t="str">
        <f ca="1">IF(Data!B939="","",IF(ISNUMBER(Data!F939),IF(AND(Data!F939&gt;(TODAY()-(Data_Val!$H$3*365.25)),Data!F939&lt;=(TODAY()-(Data_Val!$H$2*365.25))),0,1),1))</f>
        <v/>
      </c>
      <c r="G939" s="15" t="str">
        <f>IF(Data!B939="","",IF(AND(Data!G939="",Data!H939&lt;&gt;""),1,IF(Data!#REF!&lt;&gt;"",0,IF(ISNUMBER(MATCH(Data!G939,Data_Val!$C$2:$C$5,0)),0,1))))</f>
        <v/>
      </c>
      <c r="H939" s="15" t="str">
        <f>IF(Data!B939="","",IF(AND(Data!G939&lt;&gt;"",Data!H939=""),1,IF(Data!#REF!&lt;&gt;"",0,IF(Data!G939="",1,IF(ISNUMBER(MATCH(Data!H939,Data_Val!$D$2:$D$35,0)),0,1)))))</f>
        <v/>
      </c>
      <c r="I939" s="15" t="str">
        <f>IF(Data!B939="","",IF(Data!G939&lt;&gt;"",0,IF(ISNUMBER(MATCH(Data!#REF!,Data_Val!$E$2:$E$12,0)),0,1)))</f>
        <v/>
      </c>
      <c r="J939" s="16" t="e">
        <f>IF(OR(Data!B939="",Data!#REF!=""),"",IF(Data!#REF!="",1,0))</f>
        <v>#REF!</v>
      </c>
      <c r="K939" s="16" t="e">
        <f>IF(OR(Data!B939="",Data!#REF!=""),"",IF(Data!#REF!="",1,0))</f>
        <v>#REF!</v>
      </c>
      <c r="L939" s="16" t="e">
        <f>IF(OR(Data!B939="",Data!#REF!=""),"",IF(ISNUMBER(Data!#REF!),IF(AND(Data!#REF!&gt;Data_Val!$G$2,Data!#REF!&lt;=Data_Val!$G$3),0,1),1))</f>
        <v>#REF!</v>
      </c>
      <c r="M939" s="9" t="e">
        <f>IF(OR(Data!B939="",Data!#REF!=""),"",IF(ISNUMBER(MATCH(Data!#REF!,Data_Val!$F$1:$F$38,0)),0,1))</f>
        <v>#REF!</v>
      </c>
      <c r="N939" s="9" t="e">
        <f>IF(OR(Data!B939="",Data!#REF!=""),"",IF(Data!#REF!="",1,0))</f>
        <v>#REF!</v>
      </c>
      <c r="O939" s="17" t="e">
        <f>IF(Data!#REF!="","",IF(Data!#REF!="",1,0))</f>
        <v>#REF!</v>
      </c>
      <c r="P939" s="17" t="e">
        <f>IF(Data!#REF!="","",IF(ISNUMBER(MATCH(Data!#REF!,Data_Val!$A$2:$A$3,0)),0,1))</f>
        <v>#REF!</v>
      </c>
      <c r="Q939" s="25" t="e">
        <f ca="1">IF(Data!#REF!="","",IF(ISNUMBER(Data!#REF!),IF(AND(Data!#REF!&gt;(TODAY()-(Data_Val!$J$3*365.25)),Data!#REF!&lt;=(TODAY()-(Data_Val!$J$2*365.25))),0,1),1))</f>
        <v>#REF!</v>
      </c>
      <c r="R939" s="17" t="e">
        <f>IF(Data!#REF!="","",IF(ISNUMBER(MATCH(Data!#REF!,Data_Val!$B$2:$B$15,0)),0,1))</f>
        <v>#REF!</v>
      </c>
      <c r="S939" s="11" t="str">
        <f>IF(Data!G939="","",IF(Data!G939=Data_Val!$C$2,IF(Data!M939="",0,1),0))</f>
        <v/>
      </c>
      <c r="T939" s="11" t="str">
        <f>IF(Data!M939="","",IF(ISNUMBER(MATCH(Data!N939,Data_Val!$A$2:$A$3,0)),0,1))</f>
        <v/>
      </c>
      <c r="U939" s="11" t="str">
        <f ca="1">IF(Data!M939="","",IF(ISNUMBER(Data!O939),IF(AND(Data!O939&gt;(TODAY()-(Data_Val!$K$3*365.25)),Data!O939&lt;=(TODAY()-(Data_Val!$K$2*365.25))),0,1),1))</f>
        <v/>
      </c>
      <c r="V939" s="12" t="str">
        <f>IF(Data!G939="","",IF(Data!G939=Data_Val!$C$2,IF(Data!P939="",0,1),0))</f>
        <v/>
      </c>
      <c r="W939" s="12" t="str">
        <f>IF(Data!P939="","",IF(ISNUMBER(MATCH(Data!Q939,Data_Val!$A$2:$A$3,0)),0,1))</f>
        <v/>
      </c>
      <c r="X939" s="26" t="str">
        <f ca="1">IF(Data!P939="","",IF(ISNUMBER(Data!R939),IF(AND(Data!R939&gt;(TODAY()-(Data_Val!$L$3*365.25)),Data!R939&lt;=(TODAY()-(Data_Val!$L$2*365.25))),0,1),1))</f>
        <v/>
      </c>
      <c r="Y939" s="13" t="str">
        <f>IF(Data!$G939="","",IF(Data!$G939=Data_Val!$C$2,IF(Data!S939="",0,1),0))</f>
        <v/>
      </c>
      <c r="Z939" s="13" t="str">
        <f>IF(Data!S939="","",IF(ISNUMBER(MATCH(Data!T939,Data_Val!$A$2:$A$3,0)),0,1))</f>
        <v/>
      </c>
      <c r="AA939" s="28" t="str">
        <f ca="1">IF(Data!S939="","",IF(ISNUMBER(Data!U939),IF(AND(Data!U939&gt;(TODAY()-(Data_Val!$L$3*365.25)),Data!U939&lt;=(TODAY()-(Data_Val!$L$2*365.25))),0,1),1))</f>
        <v/>
      </c>
      <c r="AB939" s="11"/>
      <c r="AC939" s="11" t="e">
        <f>IF(Data!#REF!="","",IF(ISNUMBER(MATCH(Data!#REF!,Data_Val!$A$2:$A$3,0)),0,1))</f>
        <v>#REF!</v>
      </c>
      <c r="AD939" s="11" t="e">
        <f ca="1">IF(Data!#REF!="","",IF(ISNUMBER(Data!#REF!),IF(AND(Data!#REF!&gt;(TODAY()-(Data_Val!$L$3*365.25)),Data!#REF!&lt;=(TODAY()-(Data_Val!$L$2*365.25))),0,1),1))</f>
        <v>#REF!</v>
      </c>
      <c r="AE939" s="11" t="e">
        <f>IF(Data!#REF!="","",IF(Data!$G939="",1,IF(ISNUMBER(MATCH(Data!#REF!,Data_Val!$D$2:$D$10,0)),0,1)))</f>
        <v>#REF!</v>
      </c>
      <c r="AF939" s="12"/>
      <c r="AG939" s="12" t="e">
        <f>IF(Data!#REF!="","",IF(ISNUMBER(MATCH(Data!#REF!,Data_Val!$A$2:$A$3,0)),0,1))</f>
        <v>#REF!</v>
      </c>
      <c r="AH939" s="26" t="e">
        <f ca="1">IF(Data!#REF!="","",IF(ISNUMBER(Data!#REF!),IF(AND(Data!#REF!&gt;(TODAY()-(Data_Val!$L$3*365.25)),Data!#REF!&lt;=(TODAY()-(Data_Val!$L$2*365.25))),0,1),1))</f>
        <v>#REF!</v>
      </c>
      <c r="AI939" s="12" t="e">
        <f>IF(Data!#REF!="","",IF(Data!$G939="",1,IF(ISNUMBER(MATCH(Data!#REF!,Data_Val!$D$2:$D$10,0)),0,1)))</f>
        <v>#REF!</v>
      </c>
      <c r="AJ939" s="17"/>
      <c r="AK939" s="17" t="e">
        <f>IF(Data!#REF!="","",IF(ISNUMBER(MATCH(Data!#REF!,Data_Val!$A$2:$A$3,0)),0,1))</f>
        <v>#REF!</v>
      </c>
      <c r="AL939" s="25" t="e">
        <f ca="1">IF(Data!#REF!="","",IF(ISNUMBER(Data!#REF!),IF(AND(Data!#REF!&gt;(TODAY()-(Data_Val!$L$3*365.25)),Data!#REF!&lt;=(TODAY()-(Data_Val!$L$2*365.25))),0,1),1))</f>
        <v>#REF!</v>
      </c>
      <c r="AM939" s="17" t="e">
        <f>IF(Data!#REF!="","",IF(Data!$G939="",1,IF(ISNUMBER(MATCH(Data!#REF!,Data_Val!$D$2:$D$10,0)),0,1)))</f>
        <v>#REF!</v>
      </c>
      <c r="AN939" s="13"/>
      <c r="AO939" s="28" t="e">
        <f ca="1">IF(Data!#REF!="","",IF(ISNUMBER(Data!#REF!),IF(AND(Data!#REF!&gt;(TODAY()-(Data_Val!$I$3*365.25)),Data!#REF!&lt;=(TODAY()-(Data_Val!$I$2*365.25))),0,1),1))</f>
        <v>#REF!</v>
      </c>
      <c r="AP939" s="13" t="e">
        <f>IF(Data!#REF!="","",IF(Data!$G939="",1,IF(ISNUMBER(MATCH(Data!#REF!,Data_Val!$D$2:$D$10,0)),0,1)))</f>
        <v>#REF!</v>
      </c>
      <c r="AQ939" s="17"/>
      <c r="AR939" s="30" t="e">
        <f ca="1">IF(Data!#REF!="","",IF(ISNUMBER(Data!#REF!),IF(AND(Data!#REF!&gt;(TODAY()-(Data_Val!$I$3*365.25)),Data!#REF!&lt;=(TODAY()-(Data_Val!$I$2*365.25))),0,1),1))</f>
        <v>#REF!</v>
      </c>
      <c r="AS939" s="31" t="e">
        <f>IF(Data!#REF!="","",IF(Data!$G939="",1,IF(ISNUMBER(MATCH(Data!#REF!,Data_Val!$D$2:$D$10,0)),0,1)))</f>
        <v>#REF!</v>
      </c>
      <c r="AT939" s="11"/>
      <c r="AU939" s="11" t="e">
        <f ca="1">IF(Data!#REF!="","",IF(ISNUMBER(Data!#REF!),IF(AND(Data!#REF!&gt;(TODAY()-(Data_Val!$I$3*365.25)),Data!#REF!&lt;=(TODAY()-(Data_Val!$I$2*365.25))),0,1),1))</f>
        <v>#REF!</v>
      </c>
      <c r="AV939" s="11" t="e">
        <f>IF(Data!#REF!="","",IF(Data!$G939="",1,IF(ISNUMBER(MATCH(Data!#REF!,Data_Val!$D$2:$D$10,0)),0,1)))</f>
        <v>#REF!</v>
      </c>
      <c r="AW939" s="12"/>
      <c r="AX939" s="26" t="e">
        <f ca="1">IF(Data!#REF!="","",IF(ISNUMBER(Data!#REF!),IF(AND(Data!#REF!&gt;(TODAY()-(Data_Val!$I$3*365.25)),Data!#REF!&lt;=(TODAY()-(Data_Val!$I$2*365.25))),0,1),1))</f>
        <v>#REF!</v>
      </c>
      <c r="AY939" s="12" t="e">
        <f>IF(Data!#REF!="","",IF(Data!$G939="",1,IF(ISNUMBER(MATCH(Data!#REF!,Data_Val!$D$2:$D$10,0)),0,1)))</f>
        <v>#REF!</v>
      </c>
      <c r="AZ939" s="11"/>
      <c r="BA939" s="19" t="e">
        <f ca="1">IF(Data!#REF!="","",IF(ISNUMBER(Data!#REF!),IF(AND(Data!#REF!&gt;(TODAY()-(Data_Val!$M$3*365.25)),Data!#REF!&lt;=(TODAY()-(Data_Val!$M$2*365.25))),0,1),1))</f>
        <v>#REF!</v>
      </c>
      <c r="BB939" s="11" t="e">
        <f>IF(Data!#REF!="","",IF(Data!$G939="",1,IF(ISNUMBER(MATCH(Data!#REF!,Data_Val!$D$2:$D$10,0)),0,1)))</f>
        <v>#REF!</v>
      </c>
      <c r="BC939" s="12"/>
      <c r="BD939" s="20" t="e">
        <f ca="1">IF(Data!#REF!="","",IF(ISNUMBER(Data!#REF!),IF(AND(Data!#REF!&gt;(TODAY()-(Data_Val!$M$3*365.25)),Data!#REF!&lt;=(TODAY()-(Data_Val!$M$2*365.25))),0,1),1))</f>
        <v>#REF!</v>
      </c>
      <c r="BE939" s="12" t="e">
        <f>IF(Data!#REF!="","",IF(Data!$G939="",1,IF(ISNUMBER(MATCH(Data!#REF!,Data_Val!$D$2:$D$10,0)),0,1)))</f>
        <v>#REF!</v>
      </c>
      <c r="BF939" s="17"/>
      <c r="BG939" s="18" t="e">
        <f ca="1">IF(Data!#REF!="","",IF(ISNUMBER(Data!#REF!),IF(AND(Data!#REF!&gt;(TODAY()-(Data_Val!$M$3*365.25)),Data!#REF!&lt;=(TODAY()-(Data_Val!$M$2*365.25))),0,1),1))</f>
        <v>#REF!</v>
      </c>
      <c r="BH939" s="29" t="e">
        <f>IF(Data!#REF!="","",IF(Data!$G939="",1,IF(ISNUMBER(MATCH(Data!#REF!,Data_Val!$D$2:$D$10,0)),0,1)))</f>
        <v>#REF!</v>
      </c>
      <c r="BI939" s="13"/>
      <c r="BJ939" s="21" t="e">
        <f ca="1">IF(Data!#REF!="","",IF(ISNUMBER(Data!#REF!),IF(AND(Data!#REF!&gt;(TODAY()-(Data_Val!$M$3*365.25)),Data!#REF!&lt;=(TODAY()-(Data_Val!$M$2*365.25))),0,1),1))</f>
        <v>#REF!</v>
      </c>
      <c r="BK939" s="13" t="e">
        <f>IF(Data!#REF!="","",IF(Data!$G939="",1,IF(ISNUMBER(MATCH(Data!#REF!,Data_Val!$D$2:$D$10,0)),0,1)))</f>
        <v>#REF!</v>
      </c>
    </row>
    <row r="940" spans="1:63" x14ac:dyDescent="0.25">
      <c r="A940" s="9" t="str">
        <f>IF(Data!B940="","",IF(COUNTIFS(Data!A$1:'Data'!A940,Data!A940)&lt;=1,0,1))</f>
        <v/>
      </c>
      <c r="B940" s="9"/>
      <c r="C940" s="23" t="str">
        <f>IF(Data!C940="","",(IF(ISNUMBER(MATCH("*@*.?*",Data!C940,0)),0,1)+IF(COUNTIFS(Data!C$1:'Data'!C940,Data!C940)&gt;1,1,0)))</f>
        <v/>
      </c>
      <c r="D940" s="9" t="str">
        <f>IF(Data!B940="","",IF(ISNUMBER(Data!D940),IF(AND(Data!D940&gt;999999999,Data!D940&lt;=9999999999),IF(COUNTIFS(Data!D$1:'Data'!D940,Data!D940)&lt;=1,0,1),1),1))</f>
        <v/>
      </c>
      <c r="E940" s="9" t="str">
        <f>IF(Data!B940="","",IF(ISNUMBER(MATCH(Data!E940,Data_Val!$A$2:$A$3,0)),0,1))</f>
        <v/>
      </c>
      <c r="F940" s="9" t="str">
        <f ca="1">IF(Data!B940="","",IF(ISNUMBER(Data!F940),IF(AND(Data!F940&gt;(TODAY()-(Data_Val!$H$3*365.25)),Data!F940&lt;=(TODAY()-(Data_Val!$H$2*365.25))),0,1),1))</f>
        <v/>
      </c>
      <c r="G940" s="15" t="str">
        <f>IF(Data!B940="","",IF(AND(Data!G940="",Data!H940&lt;&gt;""),1,IF(Data!#REF!&lt;&gt;"",0,IF(ISNUMBER(MATCH(Data!G940,Data_Val!$C$2:$C$5,0)),0,1))))</f>
        <v/>
      </c>
      <c r="H940" s="15" t="str">
        <f>IF(Data!B940="","",IF(AND(Data!G940&lt;&gt;"",Data!H940=""),1,IF(Data!#REF!&lt;&gt;"",0,IF(Data!G940="",1,IF(ISNUMBER(MATCH(Data!H940,Data_Val!$D$2:$D$35,0)),0,1)))))</f>
        <v/>
      </c>
      <c r="I940" s="15" t="str">
        <f>IF(Data!B940="","",IF(Data!G940&lt;&gt;"",0,IF(ISNUMBER(MATCH(Data!#REF!,Data_Val!$E$2:$E$12,0)),0,1)))</f>
        <v/>
      </c>
      <c r="J940" s="16" t="e">
        <f>IF(OR(Data!B940="",Data!#REF!=""),"",IF(Data!#REF!="",1,0))</f>
        <v>#REF!</v>
      </c>
      <c r="K940" s="16" t="e">
        <f>IF(OR(Data!B940="",Data!#REF!=""),"",IF(Data!#REF!="",1,0))</f>
        <v>#REF!</v>
      </c>
      <c r="L940" s="16" t="e">
        <f>IF(OR(Data!B940="",Data!#REF!=""),"",IF(ISNUMBER(Data!#REF!),IF(AND(Data!#REF!&gt;Data_Val!$G$2,Data!#REF!&lt;=Data_Val!$G$3),0,1),1))</f>
        <v>#REF!</v>
      </c>
      <c r="M940" s="9" t="e">
        <f>IF(OR(Data!B940="",Data!#REF!=""),"",IF(ISNUMBER(MATCH(Data!#REF!,Data_Val!$F$1:$F$38,0)),0,1))</f>
        <v>#REF!</v>
      </c>
      <c r="N940" s="9" t="e">
        <f>IF(OR(Data!B940="",Data!#REF!=""),"",IF(Data!#REF!="",1,0))</f>
        <v>#REF!</v>
      </c>
      <c r="O940" s="17" t="e">
        <f>IF(Data!#REF!="","",IF(Data!#REF!="",1,0))</f>
        <v>#REF!</v>
      </c>
      <c r="P940" s="17" t="e">
        <f>IF(Data!#REF!="","",IF(ISNUMBER(MATCH(Data!#REF!,Data_Val!$A$2:$A$3,0)),0,1))</f>
        <v>#REF!</v>
      </c>
      <c r="Q940" s="25" t="e">
        <f ca="1">IF(Data!#REF!="","",IF(ISNUMBER(Data!#REF!),IF(AND(Data!#REF!&gt;(TODAY()-(Data_Val!$J$3*365.25)),Data!#REF!&lt;=(TODAY()-(Data_Val!$J$2*365.25))),0,1),1))</f>
        <v>#REF!</v>
      </c>
      <c r="R940" s="17" t="e">
        <f>IF(Data!#REF!="","",IF(ISNUMBER(MATCH(Data!#REF!,Data_Val!$B$2:$B$15,0)),0,1))</f>
        <v>#REF!</v>
      </c>
      <c r="S940" s="11" t="str">
        <f>IF(Data!G940="","",IF(Data!G940=Data_Val!$C$2,IF(Data!M940="",0,1),0))</f>
        <v/>
      </c>
      <c r="T940" s="11" t="str">
        <f>IF(Data!M940="","",IF(ISNUMBER(MATCH(Data!N940,Data_Val!$A$2:$A$3,0)),0,1))</f>
        <v/>
      </c>
      <c r="U940" s="11" t="str">
        <f ca="1">IF(Data!M940="","",IF(ISNUMBER(Data!O940),IF(AND(Data!O940&gt;(TODAY()-(Data_Val!$K$3*365.25)),Data!O940&lt;=(TODAY()-(Data_Val!$K$2*365.25))),0,1),1))</f>
        <v/>
      </c>
      <c r="V940" s="12" t="str">
        <f>IF(Data!G940="","",IF(Data!G940=Data_Val!$C$2,IF(Data!P940="",0,1),0))</f>
        <v/>
      </c>
      <c r="W940" s="12" t="str">
        <f>IF(Data!P940="","",IF(ISNUMBER(MATCH(Data!Q940,Data_Val!$A$2:$A$3,0)),0,1))</f>
        <v/>
      </c>
      <c r="X940" s="26" t="str">
        <f ca="1">IF(Data!P940="","",IF(ISNUMBER(Data!R940),IF(AND(Data!R940&gt;(TODAY()-(Data_Val!$L$3*365.25)),Data!R940&lt;=(TODAY()-(Data_Val!$L$2*365.25))),0,1),1))</f>
        <v/>
      </c>
      <c r="Y940" s="13" t="str">
        <f>IF(Data!$G940="","",IF(Data!$G940=Data_Val!$C$2,IF(Data!S940="",0,1),0))</f>
        <v/>
      </c>
      <c r="Z940" s="13" t="str">
        <f>IF(Data!S940="","",IF(ISNUMBER(MATCH(Data!T940,Data_Val!$A$2:$A$3,0)),0,1))</f>
        <v/>
      </c>
      <c r="AA940" s="28" t="str">
        <f ca="1">IF(Data!S940="","",IF(ISNUMBER(Data!U940),IF(AND(Data!U940&gt;(TODAY()-(Data_Val!$L$3*365.25)),Data!U940&lt;=(TODAY()-(Data_Val!$L$2*365.25))),0,1),1))</f>
        <v/>
      </c>
      <c r="AB940" s="11"/>
      <c r="AC940" s="11" t="e">
        <f>IF(Data!#REF!="","",IF(ISNUMBER(MATCH(Data!#REF!,Data_Val!$A$2:$A$3,0)),0,1))</f>
        <v>#REF!</v>
      </c>
      <c r="AD940" s="11" t="e">
        <f ca="1">IF(Data!#REF!="","",IF(ISNUMBER(Data!#REF!),IF(AND(Data!#REF!&gt;(TODAY()-(Data_Val!$L$3*365.25)),Data!#REF!&lt;=(TODAY()-(Data_Val!$L$2*365.25))),0,1),1))</f>
        <v>#REF!</v>
      </c>
      <c r="AE940" s="11" t="e">
        <f>IF(Data!#REF!="","",IF(Data!$G940="",1,IF(ISNUMBER(MATCH(Data!#REF!,Data_Val!$D$2:$D$10,0)),0,1)))</f>
        <v>#REF!</v>
      </c>
      <c r="AF940" s="12"/>
      <c r="AG940" s="12" t="e">
        <f>IF(Data!#REF!="","",IF(ISNUMBER(MATCH(Data!#REF!,Data_Val!$A$2:$A$3,0)),0,1))</f>
        <v>#REF!</v>
      </c>
      <c r="AH940" s="26" t="e">
        <f ca="1">IF(Data!#REF!="","",IF(ISNUMBER(Data!#REF!),IF(AND(Data!#REF!&gt;(TODAY()-(Data_Val!$L$3*365.25)),Data!#REF!&lt;=(TODAY()-(Data_Val!$L$2*365.25))),0,1),1))</f>
        <v>#REF!</v>
      </c>
      <c r="AI940" s="12" t="e">
        <f>IF(Data!#REF!="","",IF(Data!$G940="",1,IF(ISNUMBER(MATCH(Data!#REF!,Data_Val!$D$2:$D$10,0)),0,1)))</f>
        <v>#REF!</v>
      </c>
      <c r="AJ940" s="17"/>
      <c r="AK940" s="17" t="e">
        <f>IF(Data!#REF!="","",IF(ISNUMBER(MATCH(Data!#REF!,Data_Val!$A$2:$A$3,0)),0,1))</f>
        <v>#REF!</v>
      </c>
      <c r="AL940" s="25" t="e">
        <f ca="1">IF(Data!#REF!="","",IF(ISNUMBER(Data!#REF!),IF(AND(Data!#REF!&gt;(TODAY()-(Data_Val!$L$3*365.25)),Data!#REF!&lt;=(TODAY()-(Data_Val!$L$2*365.25))),0,1),1))</f>
        <v>#REF!</v>
      </c>
      <c r="AM940" s="17" t="e">
        <f>IF(Data!#REF!="","",IF(Data!$G940="",1,IF(ISNUMBER(MATCH(Data!#REF!,Data_Val!$D$2:$D$10,0)),0,1)))</f>
        <v>#REF!</v>
      </c>
      <c r="AN940" s="13"/>
      <c r="AO940" s="28" t="e">
        <f ca="1">IF(Data!#REF!="","",IF(ISNUMBER(Data!#REF!),IF(AND(Data!#REF!&gt;(TODAY()-(Data_Val!$I$3*365.25)),Data!#REF!&lt;=(TODAY()-(Data_Val!$I$2*365.25))),0,1),1))</f>
        <v>#REF!</v>
      </c>
      <c r="AP940" s="13" t="e">
        <f>IF(Data!#REF!="","",IF(Data!$G940="",1,IF(ISNUMBER(MATCH(Data!#REF!,Data_Val!$D$2:$D$10,0)),0,1)))</f>
        <v>#REF!</v>
      </c>
      <c r="AQ940" s="17"/>
      <c r="AR940" s="30" t="e">
        <f ca="1">IF(Data!#REF!="","",IF(ISNUMBER(Data!#REF!),IF(AND(Data!#REF!&gt;(TODAY()-(Data_Val!$I$3*365.25)),Data!#REF!&lt;=(TODAY()-(Data_Val!$I$2*365.25))),0,1),1))</f>
        <v>#REF!</v>
      </c>
      <c r="AS940" s="31" t="e">
        <f>IF(Data!#REF!="","",IF(Data!$G940="",1,IF(ISNUMBER(MATCH(Data!#REF!,Data_Val!$D$2:$D$10,0)),0,1)))</f>
        <v>#REF!</v>
      </c>
      <c r="AT940" s="11"/>
      <c r="AU940" s="11" t="e">
        <f ca="1">IF(Data!#REF!="","",IF(ISNUMBER(Data!#REF!),IF(AND(Data!#REF!&gt;(TODAY()-(Data_Val!$I$3*365.25)),Data!#REF!&lt;=(TODAY()-(Data_Val!$I$2*365.25))),0,1),1))</f>
        <v>#REF!</v>
      </c>
      <c r="AV940" s="11" t="e">
        <f>IF(Data!#REF!="","",IF(Data!$G940="",1,IF(ISNUMBER(MATCH(Data!#REF!,Data_Val!$D$2:$D$10,0)),0,1)))</f>
        <v>#REF!</v>
      </c>
      <c r="AW940" s="12"/>
      <c r="AX940" s="26" t="e">
        <f ca="1">IF(Data!#REF!="","",IF(ISNUMBER(Data!#REF!),IF(AND(Data!#REF!&gt;(TODAY()-(Data_Val!$I$3*365.25)),Data!#REF!&lt;=(TODAY()-(Data_Val!$I$2*365.25))),0,1),1))</f>
        <v>#REF!</v>
      </c>
      <c r="AY940" s="12" t="e">
        <f>IF(Data!#REF!="","",IF(Data!$G940="",1,IF(ISNUMBER(MATCH(Data!#REF!,Data_Val!$D$2:$D$10,0)),0,1)))</f>
        <v>#REF!</v>
      </c>
      <c r="AZ940" s="11"/>
      <c r="BA940" s="19" t="e">
        <f ca="1">IF(Data!#REF!="","",IF(ISNUMBER(Data!#REF!),IF(AND(Data!#REF!&gt;(TODAY()-(Data_Val!$M$3*365.25)),Data!#REF!&lt;=(TODAY()-(Data_Val!$M$2*365.25))),0,1),1))</f>
        <v>#REF!</v>
      </c>
      <c r="BB940" s="11" t="e">
        <f>IF(Data!#REF!="","",IF(Data!$G940="",1,IF(ISNUMBER(MATCH(Data!#REF!,Data_Val!$D$2:$D$10,0)),0,1)))</f>
        <v>#REF!</v>
      </c>
      <c r="BC940" s="12"/>
      <c r="BD940" s="20" t="e">
        <f ca="1">IF(Data!#REF!="","",IF(ISNUMBER(Data!#REF!),IF(AND(Data!#REF!&gt;(TODAY()-(Data_Val!$M$3*365.25)),Data!#REF!&lt;=(TODAY()-(Data_Val!$M$2*365.25))),0,1),1))</f>
        <v>#REF!</v>
      </c>
      <c r="BE940" s="12" t="e">
        <f>IF(Data!#REF!="","",IF(Data!$G940="",1,IF(ISNUMBER(MATCH(Data!#REF!,Data_Val!$D$2:$D$10,0)),0,1)))</f>
        <v>#REF!</v>
      </c>
      <c r="BF940" s="17"/>
      <c r="BG940" s="18" t="e">
        <f ca="1">IF(Data!#REF!="","",IF(ISNUMBER(Data!#REF!),IF(AND(Data!#REF!&gt;(TODAY()-(Data_Val!$M$3*365.25)),Data!#REF!&lt;=(TODAY()-(Data_Val!$M$2*365.25))),0,1),1))</f>
        <v>#REF!</v>
      </c>
      <c r="BH940" s="29" t="e">
        <f>IF(Data!#REF!="","",IF(Data!$G940="",1,IF(ISNUMBER(MATCH(Data!#REF!,Data_Val!$D$2:$D$10,0)),0,1)))</f>
        <v>#REF!</v>
      </c>
      <c r="BI940" s="13"/>
      <c r="BJ940" s="21" t="e">
        <f ca="1">IF(Data!#REF!="","",IF(ISNUMBER(Data!#REF!),IF(AND(Data!#REF!&gt;(TODAY()-(Data_Val!$M$3*365.25)),Data!#REF!&lt;=(TODAY()-(Data_Val!$M$2*365.25))),0,1),1))</f>
        <v>#REF!</v>
      </c>
      <c r="BK940" s="13" t="e">
        <f>IF(Data!#REF!="","",IF(Data!$G940="",1,IF(ISNUMBER(MATCH(Data!#REF!,Data_Val!$D$2:$D$10,0)),0,1)))</f>
        <v>#REF!</v>
      </c>
    </row>
    <row r="941" spans="1:63" x14ac:dyDescent="0.25">
      <c r="A941" s="9" t="str">
        <f>IF(Data!B941="","",IF(COUNTIFS(Data!A$1:'Data'!A941,Data!A941)&lt;=1,0,1))</f>
        <v/>
      </c>
      <c r="B941" s="9"/>
      <c r="C941" s="23" t="str">
        <f>IF(Data!C941="","",(IF(ISNUMBER(MATCH("*@*.?*",Data!C941,0)),0,1)+IF(COUNTIFS(Data!C$1:'Data'!C941,Data!C941)&gt;1,1,0)))</f>
        <v/>
      </c>
      <c r="D941" s="9" t="str">
        <f>IF(Data!B941="","",IF(ISNUMBER(Data!D941),IF(AND(Data!D941&gt;999999999,Data!D941&lt;=9999999999),IF(COUNTIFS(Data!D$1:'Data'!D941,Data!D941)&lt;=1,0,1),1),1))</f>
        <v/>
      </c>
      <c r="E941" s="9" t="str">
        <f>IF(Data!B941="","",IF(ISNUMBER(MATCH(Data!E941,Data_Val!$A$2:$A$3,0)),0,1))</f>
        <v/>
      </c>
      <c r="F941" s="9" t="str">
        <f ca="1">IF(Data!B941="","",IF(ISNUMBER(Data!F941),IF(AND(Data!F941&gt;(TODAY()-(Data_Val!$H$3*365.25)),Data!F941&lt;=(TODAY()-(Data_Val!$H$2*365.25))),0,1),1))</f>
        <v/>
      </c>
      <c r="G941" s="15" t="str">
        <f>IF(Data!B941="","",IF(AND(Data!G941="",Data!H941&lt;&gt;""),1,IF(Data!#REF!&lt;&gt;"",0,IF(ISNUMBER(MATCH(Data!G941,Data_Val!$C$2:$C$5,0)),0,1))))</f>
        <v/>
      </c>
      <c r="H941" s="15" t="str">
        <f>IF(Data!B941="","",IF(AND(Data!G941&lt;&gt;"",Data!H941=""),1,IF(Data!#REF!&lt;&gt;"",0,IF(Data!G941="",1,IF(ISNUMBER(MATCH(Data!H941,Data_Val!$D$2:$D$35,0)),0,1)))))</f>
        <v/>
      </c>
      <c r="I941" s="15" t="str">
        <f>IF(Data!B941="","",IF(Data!G941&lt;&gt;"",0,IF(ISNUMBER(MATCH(Data!#REF!,Data_Val!$E$2:$E$12,0)),0,1)))</f>
        <v/>
      </c>
      <c r="J941" s="16" t="e">
        <f>IF(OR(Data!B941="",Data!#REF!=""),"",IF(Data!#REF!="",1,0))</f>
        <v>#REF!</v>
      </c>
      <c r="K941" s="16" t="e">
        <f>IF(OR(Data!B941="",Data!#REF!=""),"",IF(Data!#REF!="",1,0))</f>
        <v>#REF!</v>
      </c>
      <c r="L941" s="16" t="e">
        <f>IF(OR(Data!B941="",Data!#REF!=""),"",IF(ISNUMBER(Data!#REF!),IF(AND(Data!#REF!&gt;Data_Val!$G$2,Data!#REF!&lt;=Data_Val!$G$3),0,1),1))</f>
        <v>#REF!</v>
      </c>
      <c r="M941" s="9" t="e">
        <f>IF(OR(Data!B941="",Data!#REF!=""),"",IF(ISNUMBER(MATCH(Data!#REF!,Data_Val!$F$1:$F$38,0)),0,1))</f>
        <v>#REF!</v>
      </c>
      <c r="N941" s="9" t="e">
        <f>IF(OR(Data!B941="",Data!#REF!=""),"",IF(Data!#REF!="",1,0))</f>
        <v>#REF!</v>
      </c>
      <c r="O941" s="17" t="e">
        <f>IF(Data!#REF!="","",IF(Data!#REF!="",1,0))</f>
        <v>#REF!</v>
      </c>
      <c r="P941" s="17" t="e">
        <f>IF(Data!#REF!="","",IF(ISNUMBER(MATCH(Data!#REF!,Data_Val!$A$2:$A$3,0)),0,1))</f>
        <v>#REF!</v>
      </c>
      <c r="Q941" s="25" t="e">
        <f ca="1">IF(Data!#REF!="","",IF(ISNUMBER(Data!#REF!),IF(AND(Data!#REF!&gt;(TODAY()-(Data_Val!$J$3*365.25)),Data!#REF!&lt;=(TODAY()-(Data_Val!$J$2*365.25))),0,1),1))</f>
        <v>#REF!</v>
      </c>
      <c r="R941" s="17" t="e">
        <f>IF(Data!#REF!="","",IF(ISNUMBER(MATCH(Data!#REF!,Data_Val!$B$2:$B$15,0)),0,1))</f>
        <v>#REF!</v>
      </c>
      <c r="S941" s="11" t="str">
        <f>IF(Data!G941="","",IF(Data!G941=Data_Val!$C$2,IF(Data!M941="",0,1),0))</f>
        <v/>
      </c>
      <c r="T941" s="11" t="str">
        <f>IF(Data!M941="","",IF(ISNUMBER(MATCH(Data!N941,Data_Val!$A$2:$A$3,0)),0,1))</f>
        <v/>
      </c>
      <c r="U941" s="11" t="str">
        <f ca="1">IF(Data!M941="","",IF(ISNUMBER(Data!O941),IF(AND(Data!O941&gt;(TODAY()-(Data_Val!$K$3*365.25)),Data!O941&lt;=(TODAY()-(Data_Val!$K$2*365.25))),0,1),1))</f>
        <v/>
      </c>
      <c r="V941" s="12" t="str">
        <f>IF(Data!G941="","",IF(Data!G941=Data_Val!$C$2,IF(Data!P941="",0,1),0))</f>
        <v/>
      </c>
      <c r="W941" s="12" t="str">
        <f>IF(Data!P941="","",IF(ISNUMBER(MATCH(Data!Q941,Data_Val!$A$2:$A$3,0)),0,1))</f>
        <v/>
      </c>
      <c r="X941" s="26" t="str">
        <f ca="1">IF(Data!P941="","",IF(ISNUMBER(Data!R941),IF(AND(Data!R941&gt;(TODAY()-(Data_Val!$L$3*365.25)),Data!R941&lt;=(TODAY()-(Data_Val!$L$2*365.25))),0,1),1))</f>
        <v/>
      </c>
      <c r="Y941" s="13" t="str">
        <f>IF(Data!$G941="","",IF(Data!$G941=Data_Val!$C$2,IF(Data!S941="",0,1),0))</f>
        <v/>
      </c>
      <c r="Z941" s="13" t="str">
        <f>IF(Data!S941="","",IF(ISNUMBER(MATCH(Data!T941,Data_Val!$A$2:$A$3,0)),0,1))</f>
        <v/>
      </c>
      <c r="AA941" s="28" t="str">
        <f ca="1">IF(Data!S941="","",IF(ISNUMBER(Data!U941),IF(AND(Data!U941&gt;(TODAY()-(Data_Val!$L$3*365.25)),Data!U941&lt;=(TODAY()-(Data_Val!$L$2*365.25))),0,1),1))</f>
        <v/>
      </c>
      <c r="AB941" s="11"/>
      <c r="AC941" s="11" t="e">
        <f>IF(Data!#REF!="","",IF(ISNUMBER(MATCH(Data!#REF!,Data_Val!$A$2:$A$3,0)),0,1))</f>
        <v>#REF!</v>
      </c>
      <c r="AD941" s="11" t="e">
        <f ca="1">IF(Data!#REF!="","",IF(ISNUMBER(Data!#REF!),IF(AND(Data!#REF!&gt;(TODAY()-(Data_Val!$L$3*365.25)),Data!#REF!&lt;=(TODAY()-(Data_Val!$L$2*365.25))),0,1),1))</f>
        <v>#REF!</v>
      </c>
      <c r="AE941" s="11" t="e">
        <f>IF(Data!#REF!="","",IF(Data!$G941="",1,IF(ISNUMBER(MATCH(Data!#REF!,Data_Val!$D$2:$D$10,0)),0,1)))</f>
        <v>#REF!</v>
      </c>
      <c r="AF941" s="12"/>
      <c r="AG941" s="12" t="e">
        <f>IF(Data!#REF!="","",IF(ISNUMBER(MATCH(Data!#REF!,Data_Val!$A$2:$A$3,0)),0,1))</f>
        <v>#REF!</v>
      </c>
      <c r="AH941" s="26" t="e">
        <f ca="1">IF(Data!#REF!="","",IF(ISNUMBER(Data!#REF!),IF(AND(Data!#REF!&gt;(TODAY()-(Data_Val!$L$3*365.25)),Data!#REF!&lt;=(TODAY()-(Data_Val!$L$2*365.25))),0,1),1))</f>
        <v>#REF!</v>
      </c>
      <c r="AI941" s="12" t="e">
        <f>IF(Data!#REF!="","",IF(Data!$G941="",1,IF(ISNUMBER(MATCH(Data!#REF!,Data_Val!$D$2:$D$10,0)),0,1)))</f>
        <v>#REF!</v>
      </c>
      <c r="AJ941" s="17"/>
      <c r="AK941" s="17" t="e">
        <f>IF(Data!#REF!="","",IF(ISNUMBER(MATCH(Data!#REF!,Data_Val!$A$2:$A$3,0)),0,1))</f>
        <v>#REF!</v>
      </c>
      <c r="AL941" s="25" t="e">
        <f ca="1">IF(Data!#REF!="","",IF(ISNUMBER(Data!#REF!),IF(AND(Data!#REF!&gt;(TODAY()-(Data_Val!$L$3*365.25)),Data!#REF!&lt;=(TODAY()-(Data_Val!$L$2*365.25))),0,1),1))</f>
        <v>#REF!</v>
      </c>
      <c r="AM941" s="17" t="e">
        <f>IF(Data!#REF!="","",IF(Data!$G941="",1,IF(ISNUMBER(MATCH(Data!#REF!,Data_Val!$D$2:$D$10,0)),0,1)))</f>
        <v>#REF!</v>
      </c>
      <c r="AN941" s="13"/>
      <c r="AO941" s="28" t="e">
        <f ca="1">IF(Data!#REF!="","",IF(ISNUMBER(Data!#REF!),IF(AND(Data!#REF!&gt;(TODAY()-(Data_Val!$I$3*365.25)),Data!#REF!&lt;=(TODAY()-(Data_Val!$I$2*365.25))),0,1),1))</f>
        <v>#REF!</v>
      </c>
      <c r="AP941" s="13" t="e">
        <f>IF(Data!#REF!="","",IF(Data!$G941="",1,IF(ISNUMBER(MATCH(Data!#REF!,Data_Val!$D$2:$D$10,0)),0,1)))</f>
        <v>#REF!</v>
      </c>
      <c r="AQ941" s="17"/>
      <c r="AR941" s="30" t="e">
        <f ca="1">IF(Data!#REF!="","",IF(ISNUMBER(Data!#REF!),IF(AND(Data!#REF!&gt;(TODAY()-(Data_Val!$I$3*365.25)),Data!#REF!&lt;=(TODAY()-(Data_Val!$I$2*365.25))),0,1),1))</f>
        <v>#REF!</v>
      </c>
      <c r="AS941" s="31" t="e">
        <f>IF(Data!#REF!="","",IF(Data!$G941="",1,IF(ISNUMBER(MATCH(Data!#REF!,Data_Val!$D$2:$D$10,0)),0,1)))</f>
        <v>#REF!</v>
      </c>
      <c r="AT941" s="11"/>
      <c r="AU941" s="11" t="e">
        <f ca="1">IF(Data!#REF!="","",IF(ISNUMBER(Data!#REF!),IF(AND(Data!#REF!&gt;(TODAY()-(Data_Val!$I$3*365.25)),Data!#REF!&lt;=(TODAY()-(Data_Val!$I$2*365.25))),0,1),1))</f>
        <v>#REF!</v>
      </c>
      <c r="AV941" s="11" t="e">
        <f>IF(Data!#REF!="","",IF(Data!$G941="",1,IF(ISNUMBER(MATCH(Data!#REF!,Data_Val!$D$2:$D$10,0)),0,1)))</f>
        <v>#REF!</v>
      </c>
      <c r="AW941" s="12"/>
      <c r="AX941" s="26" t="e">
        <f ca="1">IF(Data!#REF!="","",IF(ISNUMBER(Data!#REF!),IF(AND(Data!#REF!&gt;(TODAY()-(Data_Val!$I$3*365.25)),Data!#REF!&lt;=(TODAY()-(Data_Val!$I$2*365.25))),0,1),1))</f>
        <v>#REF!</v>
      </c>
      <c r="AY941" s="12" t="e">
        <f>IF(Data!#REF!="","",IF(Data!$G941="",1,IF(ISNUMBER(MATCH(Data!#REF!,Data_Val!$D$2:$D$10,0)),0,1)))</f>
        <v>#REF!</v>
      </c>
      <c r="AZ941" s="11"/>
      <c r="BA941" s="19" t="e">
        <f ca="1">IF(Data!#REF!="","",IF(ISNUMBER(Data!#REF!),IF(AND(Data!#REF!&gt;(TODAY()-(Data_Val!$M$3*365.25)),Data!#REF!&lt;=(TODAY()-(Data_Val!$M$2*365.25))),0,1),1))</f>
        <v>#REF!</v>
      </c>
      <c r="BB941" s="11" t="e">
        <f>IF(Data!#REF!="","",IF(Data!$G941="",1,IF(ISNUMBER(MATCH(Data!#REF!,Data_Val!$D$2:$D$10,0)),0,1)))</f>
        <v>#REF!</v>
      </c>
      <c r="BC941" s="12"/>
      <c r="BD941" s="20" t="e">
        <f ca="1">IF(Data!#REF!="","",IF(ISNUMBER(Data!#REF!),IF(AND(Data!#REF!&gt;(TODAY()-(Data_Val!$M$3*365.25)),Data!#REF!&lt;=(TODAY()-(Data_Val!$M$2*365.25))),0,1),1))</f>
        <v>#REF!</v>
      </c>
      <c r="BE941" s="12" t="e">
        <f>IF(Data!#REF!="","",IF(Data!$G941="",1,IF(ISNUMBER(MATCH(Data!#REF!,Data_Val!$D$2:$D$10,0)),0,1)))</f>
        <v>#REF!</v>
      </c>
      <c r="BF941" s="17"/>
      <c r="BG941" s="18" t="e">
        <f ca="1">IF(Data!#REF!="","",IF(ISNUMBER(Data!#REF!),IF(AND(Data!#REF!&gt;(TODAY()-(Data_Val!$M$3*365.25)),Data!#REF!&lt;=(TODAY()-(Data_Val!$M$2*365.25))),0,1),1))</f>
        <v>#REF!</v>
      </c>
      <c r="BH941" s="29" t="e">
        <f>IF(Data!#REF!="","",IF(Data!$G941="",1,IF(ISNUMBER(MATCH(Data!#REF!,Data_Val!$D$2:$D$10,0)),0,1)))</f>
        <v>#REF!</v>
      </c>
      <c r="BI941" s="13"/>
      <c r="BJ941" s="21" t="e">
        <f ca="1">IF(Data!#REF!="","",IF(ISNUMBER(Data!#REF!),IF(AND(Data!#REF!&gt;(TODAY()-(Data_Val!$M$3*365.25)),Data!#REF!&lt;=(TODAY()-(Data_Val!$M$2*365.25))),0,1),1))</f>
        <v>#REF!</v>
      </c>
      <c r="BK941" s="13" t="e">
        <f>IF(Data!#REF!="","",IF(Data!$G941="",1,IF(ISNUMBER(MATCH(Data!#REF!,Data_Val!$D$2:$D$10,0)),0,1)))</f>
        <v>#REF!</v>
      </c>
    </row>
    <row r="942" spans="1:63" x14ac:dyDescent="0.25">
      <c r="A942" s="9" t="str">
        <f>IF(Data!B942="","",IF(COUNTIFS(Data!A$1:'Data'!A942,Data!A942)&lt;=1,0,1))</f>
        <v/>
      </c>
      <c r="B942" s="9"/>
      <c r="C942" s="23" t="str">
        <f>IF(Data!C942="","",(IF(ISNUMBER(MATCH("*@*.?*",Data!C942,0)),0,1)+IF(COUNTIFS(Data!C$1:'Data'!C942,Data!C942)&gt;1,1,0)))</f>
        <v/>
      </c>
      <c r="D942" s="9" t="str">
        <f>IF(Data!B942="","",IF(ISNUMBER(Data!D942),IF(AND(Data!D942&gt;999999999,Data!D942&lt;=9999999999),IF(COUNTIFS(Data!D$1:'Data'!D942,Data!D942)&lt;=1,0,1),1),1))</f>
        <v/>
      </c>
      <c r="E942" s="9" t="str">
        <f>IF(Data!B942="","",IF(ISNUMBER(MATCH(Data!E942,Data_Val!$A$2:$A$3,0)),0,1))</f>
        <v/>
      </c>
      <c r="F942" s="9" t="str">
        <f ca="1">IF(Data!B942="","",IF(ISNUMBER(Data!F942),IF(AND(Data!F942&gt;(TODAY()-(Data_Val!$H$3*365.25)),Data!F942&lt;=(TODAY()-(Data_Val!$H$2*365.25))),0,1),1))</f>
        <v/>
      </c>
      <c r="G942" s="15" t="str">
        <f>IF(Data!B942="","",IF(AND(Data!G942="",Data!H942&lt;&gt;""),1,IF(Data!#REF!&lt;&gt;"",0,IF(ISNUMBER(MATCH(Data!G942,Data_Val!$C$2:$C$5,0)),0,1))))</f>
        <v/>
      </c>
      <c r="H942" s="15" t="str">
        <f>IF(Data!B942="","",IF(AND(Data!G942&lt;&gt;"",Data!H942=""),1,IF(Data!#REF!&lt;&gt;"",0,IF(Data!G942="",1,IF(ISNUMBER(MATCH(Data!H942,Data_Val!$D$2:$D$35,0)),0,1)))))</f>
        <v/>
      </c>
      <c r="I942" s="15" t="str">
        <f>IF(Data!B942="","",IF(Data!G942&lt;&gt;"",0,IF(ISNUMBER(MATCH(Data!#REF!,Data_Val!$E$2:$E$12,0)),0,1)))</f>
        <v/>
      </c>
      <c r="J942" s="16" t="e">
        <f>IF(OR(Data!B942="",Data!#REF!=""),"",IF(Data!#REF!="",1,0))</f>
        <v>#REF!</v>
      </c>
      <c r="K942" s="16" t="e">
        <f>IF(OR(Data!B942="",Data!#REF!=""),"",IF(Data!#REF!="",1,0))</f>
        <v>#REF!</v>
      </c>
      <c r="L942" s="16" t="e">
        <f>IF(OR(Data!B942="",Data!#REF!=""),"",IF(ISNUMBER(Data!#REF!),IF(AND(Data!#REF!&gt;Data_Val!$G$2,Data!#REF!&lt;=Data_Val!$G$3),0,1),1))</f>
        <v>#REF!</v>
      </c>
      <c r="M942" s="9" t="e">
        <f>IF(OR(Data!B942="",Data!#REF!=""),"",IF(ISNUMBER(MATCH(Data!#REF!,Data_Val!$F$1:$F$38,0)),0,1))</f>
        <v>#REF!</v>
      </c>
      <c r="N942" s="9" t="e">
        <f>IF(OR(Data!B942="",Data!#REF!=""),"",IF(Data!#REF!="",1,0))</f>
        <v>#REF!</v>
      </c>
      <c r="O942" s="17" t="e">
        <f>IF(Data!#REF!="","",IF(Data!#REF!="",1,0))</f>
        <v>#REF!</v>
      </c>
      <c r="P942" s="17" t="e">
        <f>IF(Data!#REF!="","",IF(ISNUMBER(MATCH(Data!#REF!,Data_Val!$A$2:$A$3,0)),0,1))</f>
        <v>#REF!</v>
      </c>
      <c r="Q942" s="25" t="e">
        <f ca="1">IF(Data!#REF!="","",IF(ISNUMBER(Data!#REF!),IF(AND(Data!#REF!&gt;(TODAY()-(Data_Val!$J$3*365.25)),Data!#REF!&lt;=(TODAY()-(Data_Val!$J$2*365.25))),0,1),1))</f>
        <v>#REF!</v>
      </c>
      <c r="R942" s="17" t="e">
        <f>IF(Data!#REF!="","",IF(ISNUMBER(MATCH(Data!#REF!,Data_Val!$B$2:$B$15,0)),0,1))</f>
        <v>#REF!</v>
      </c>
      <c r="S942" s="11" t="str">
        <f>IF(Data!G942="","",IF(Data!G942=Data_Val!$C$2,IF(Data!M942="",0,1),0))</f>
        <v/>
      </c>
      <c r="T942" s="11" t="str">
        <f>IF(Data!M942="","",IF(ISNUMBER(MATCH(Data!N942,Data_Val!$A$2:$A$3,0)),0,1))</f>
        <v/>
      </c>
      <c r="U942" s="11" t="str">
        <f ca="1">IF(Data!M942="","",IF(ISNUMBER(Data!O942),IF(AND(Data!O942&gt;(TODAY()-(Data_Val!$K$3*365.25)),Data!O942&lt;=(TODAY()-(Data_Val!$K$2*365.25))),0,1),1))</f>
        <v/>
      </c>
      <c r="V942" s="12" t="str">
        <f>IF(Data!G942="","",IF(Data!G942=Data_Val!$C$2,IF(Data!P942="",0,1),0))</f>
        <v/>
      </c>
      <c r="W942" s="12" t="str">
        <f>IF(Data!P942="","",IF(ISNUMBER(MATCH(Data!Q942,Data_Val!$A$2:$A$3,0)),0,1))</f>
        <v/>
      </c>
      <c r="X942" s="26" t="str">
        <f ca="1">IF(Data!P942="","",IF(ISNUMBER(Data!R942),IF(AND(Data!R942&gt;(TODAY()-(Data_Val!$L$3*365.25)),Data!R942&lt;=(TODAY()-(Data_Val!$L$2*365.25))),0,1),1))</f>
        <v/>
      </c>
      <c r="Y942" s="13" t="str">
        <f>IF(Data!$G942="","",IF(Data!$G942=Data_Val!$C$2,IF(Data!S942="",0,1),0))</f>
        <v/>
      </c>
      <c r="Z942" s="13" t="str">
        <f>IF(Data!S942="","",IF(ISNUMBER(MATCH(Data!T942,Data_Val!$A$2:$A$3,0)),0,1))</f>
        <v/>
      </c>
      <c r="AA942" s="28" t="str">
        <f ca="1">IF(Data!S942="","",IF(ISNUMBER(Data!U942),IF(AND(Data!U942&gt;(TODAY()-(Data_Val!$L$3*365.25)),Data!U942&lt;=(TODAY()-(Data_Val!$L$2*365.25))),0,1),1))</f>
        <v/>
      </c>
      <c r="AB942" s="11"/>
      <c r="AC942" s="11" t="e">
        <f>IF(Data!#REF!="","",IF(ISNUMBER(MATCH(Data!#REF!,Data_Val!$A$2:$A$3,0)),0,1))</f>
        <v>#REF!</v>
      </c>
      <c r="AD942" s="11" t="e">
        <f ca="1">IF(Data!#REF!="","",IF(ISNUMBER(Data!#REF!),IF(AND(Data!#REF!&gt;(TODAY()-(Data_Val!$L$3*365.25)),Data!#REF!&lt;=(TODAY()-(Data_Val!$L$2*365.25))),0,1),1))</f>
        <v>#REF!</v>
      </c>
      <c r="AE942" s="11" t="e">
        <f>IF(Data!#REF!="","",IF(Data!$G942="",1,IF(ISNUMBER(MATCH(Data!#REF!,Data_Val!$D$2:$D$10,0)),0,1)))</f>
        <v>#REF!</v>
      </c>
      <c r="AF942" s="12"/>
      <c r="AG942" s="12" t="e">
        <f>IF(Data!#REF!="","",IF(ISNUMBER(MATCH(Data!#REF!,Data_Val!$A$2:$A$3,0)),0,1))</f>
        <v>#REF!</v>
      </c>
      <c r="AH942" s="26" t="e">
        <f ca="1">IF(Data!#REF!="","",IF(ISNUMBER(Data!#REF!),IF(AND(Data!#REF!&gt;(TODAY()-(Data_Val!$L$3*365.25)),Data!#REF!&lt;=(TODAY()-(Data_Val!$L$2*365.25))),0,1),1))</f>
        <v>#REF!</v>
      </c>
      <c r="AI942" s="12" t="e">
        <f>IF(Data!#REF!="","",IF(Data!$G942="",1,IF(ISNUMBER(MATCH(Data!#REF!,Data_Val!$D$2:$D$10,0)),0,1)))</f>
        <v>#REF!</v>
      </c>
      <c r="AJ942" s="17"/>
      <c r="AK942" s="17" t="e">
        <f>IF(Data!#REF!="","",IF(ISNUMBER(MATCH(Data!#REF!,Data_Val!$A$2:$A$3,0)),0,1))</f>
        <v>#REF!</v>
      </c>
      <c r="AL942" s="25" t="e">
        <f ca="1">IF(Data!#REF!="","",IF(ISNUMBER(Data!#REF!),IF(AND(Data!#REF!&gt;(TODAY()-(Data_Val!$L$3*365.25)),Data!#REF!&lt;=(TODAY()-(Data_Val!$L$2*365.25))),0,1),1))</f>
        <v>#REF!</v>
      </c>
      <c r="AM942" s="17" t="e">
        <f>IF(Data!#REF!="","",IF(Data!$G942="",1,IF(ISNUMBER(MATCH(Data!#REF!,Data_Val!$D$2:$D$10,0)),0,1)))</f>
        <v>#REF!</v>
      </c>
      <c r="AN942" s="13"/>
      <c r="AO942" s="28" t="e">
        <f ca="1">IF(Data!#REF!="","",IF(ISNUMBER(Data!#REF!),IF(AND(Data!#REF!&gt;(TODAY()-(Data_Val!$I$3*365.25)),Data!#REF!&lt;=(TODAY()-(Data_Val!$I$2*365.25))),0,1),1))</f>
        <v>#REF!</v>
      </c>
      <c r="AP942" s="13" t="e">
        <f>IF(Data!#REF!="","",IF(Data!$G942="",1,IF(ISNUMBER(MATCH(Data!#REF!,Data_Val!$D$2:$D$10,0)),0,1)))</f>
        <v>#REF!</v>
      </c>
      <c r="AQ942" s="17"/>
      <c r="AR942" s="30" t="e">
        <f ca="1">IF(Data!#REF!="","",IF(ISNUMBER(Data!#REF!),IF(AND(Data!#REF!&gt;(TODAY()-(Data_Val!$I$3*365.25)),Data!#REF!&lt;=(TODAY()-(Data_Val!$I$2*365.25))),0,1),1))</f>
        <v>#REF!</v>
      </c>
      <c r="AS942" s="31" t="e">
        <f>IF(Data!#REF!="","",IF(Data!$G942="",1,IF(ISNUMBER(MATCH(Data!#REF!,Data_Val!$D$2:$D$10,0)),0,1)))</f>
        <v>#REF!</v>
      </c>
      <c r="AT942" s="11"/>
      <c r="AU942" s="11" t="e">
        <f ca="1">IF(Data!#REF!="","",IF(ISNUMBER(Data!#REF!),IF(AND(Data!#REF!&gt;(TODAY()-(Data_Val!$I$3*365.25)),Data!#REF!&lt;=(TODAY()-(Data_Val!$I$2*365.25))),0,1),1))</f>
        <v>#REF!</v>
      </c>
      <c r="AV942" s="11" t="e">
        <f>IF(Data!#REF!="","",IF(Data!$G942="",1,IF(ISNUMBER(MATCH(Data!#REF!,Data_Val!$D$2:$D$10,0)),0,1)))</f>
        <v>#REF!</v>
      </c>
      <c r="AW942" s="12"/>
      <c r="AX942" s="26" t="e">
        <f ca="1">IF(Data!#REF!="","",IF(ISNUMBER(Data!#REF!),IF(AND(Data!#REF!&gt;(TODAY()-(Data_Val!$I$3*365.25)),Data!#REF!&lt;=(TODAY()-(Data_Val!$I$2*365.25))),0,1),1))</f>
        <v>#REF!</v>
      </c>
      <c r="AY942" s="12" t="e">
        <f>IF(Data!#REF!="","",IF(Data!$G942="",1,IF(ISNUMBER(MATCH(Data!#REF!,Data_Val!$D$2:$D$10,0)),0,1)))</f>
        <v>#REF!</v>
      </c>
      <c r="AZ942" s="11"/>
      <c r="BA942" s="19" t="e">
        <f ca="1">IF(Data!#REF!="","",IF(ISNUMBER(Data!#REF!),IF(AND(Data!#REF!&gt;(TODAY()-(Data_Val!$M$3*365.25)),Data!#REF!&lt;=(TODAY()-(Data_Val!$M$2*365.25))),0,1),1))</f>
        <v>#REF!</v>
      </c>
      <c r="BB942" s="11" t="e">
        <f>IF(Data!#REF!="","",IF(Data!$G942="",1,IF(ISNUMBER(MATCH(Data!#REF!,Data_Val!$D$2:$D$10,0)),0,1)))</f>
        <v>#REF!</v>
      </c>
      <c r="BC942" s="12"/>
      <c r="BD942" s="20" t="e">
        <f ca="1">IF(Data!#REF!="","",IF(ISNUMBER(Data!#REF!),IF(AND(Data!#REF!&gt;(TODAY()-(Data_Val!$M$3*365.25)),Data!#REF!&lt;=(TODAY()-(Data_Val!$M$2*365.25))),0,1),1))</f>
        <v>#REF!</v>
      </c>
      <c r="BE942" s="12" t="e">
        <f>IF(Data!#REF!="","",IF(Data!$G942="",1,IF(ISNUMBER(MATCH(Data!#REF!,Data_Val!$D$2:$D$10,0)),0,1)))</f>
        <v>#REF!</v>
      </c>
      <c r="BF942" s="17"/>
      <c r="BG942" s="18" t="e">
        <f ca="1">IF(Data!#REF!="","",IF(ISNUMBER(Data!#REF!),IF(AND(Data!#REF!&gt;(TODAY()-(Data_Val!$M$3*365.25)),Data!#REF!&lt;=(TODAY()-(Data_Val!$M$2*365.25))),0,1),1))</f>
        <v>#REF!</v>
      </c>
      <c r="BH942" s="29" t="e">
        <f>IF(Data!#REF!="","",IF(Data!$G942="",1,IF(ISNUMBER(MATCH(Data!#REF!,Data_Val!$D$2:$D$10,0)),0,1)))</f>
        <v>#REF!</v>
      </c>
      <c r="BI942" s="13"/>
      <c r="BJ942" s="21" t="e">
        <f ca="1">IF(Data!#REF!="","",IF(ISNUMBER(Data!#REF!),IF(AND(Data!#REF!&gt;(TODAY()-(Data_Val!$M$3*365.25)),Data!#REF!&lt;=(TODAY()-(Data_Val!$M$2*365.25))),0,1),1))</f>
        <v>#REF!</v>
      </c>
      <c r="BK942" s="13" t="e">
        <f>IF(Data!#REF!="","",IF(Data!$G942="",1,IF(ISNUMBER(MATCH(Data!#REF!,Data_Val!$D$2:$D$10,0)),0,1)))</f>
        <v>#REF!</v>
      </c>
    </row>
    <row r="943" spans="1:63" x14ac:dyDescent="0.25">
      <c r="A943" s="9" t="str">
        <f>IF(Data!B943="","",IF(COUNTIFS(Data!A$1:'Data'!A943,Data!A943)&lt;=1,0,1))</f>
        <v/>
      </c>
      <c r="B943" s="9"/>
      <c r="C943" s="23" t="str">
        <f>IF(Data!C943="","",(IF(ISNUMBER(MATCH("*@*.?*",Data!C943,0)),0,1)+IF(COUNTIFS(Data!C$1:'Data'!C943,Data!C943)&gt;1,1,0)))</f>
        <v/>
      </c>
      <c r="D943" s="9" t="str">
        <f>IF(Data!B943="","",IF(ISNUMBER(Data!D943),IF(AND(Data!D943&gt;999999999,Data!D943&lt;=9999999999),IF(COUNTIFS(Data!D$1:'Data'!D943,Data!D943)&lt;=1,0,1),1),1))</f>
        <v/>
      </c>
      <c r="E943" s="9" t="str">
        <f>IF(Data!B943="","",IF(ISNUMBER(MATCH(Data!E943,Data_Val!$A$2:$A$3,0)),0,1))</f>
        <v/>
      </c>
      <c r="F943" s="9" t="str">
        <f ca="1">IF(Data!B943="","",IF(ISNUMBER(Data!F943),IF(AND(Data!F943&gt;(TODAY()-(Data_Val!$H$3*365.25)),Data!F943&lt;=(TODAY()-(Data_Val!$H$2*365.25))),0,1),1))</f>
        <v/>
      </c>
      <c r="G943" s="15" t="str">
        <f>IF(Data!B943="","",IF(AND(Data!G943="",Data!H943&lt;&gt;""),1,IF(Data!#REF!&lt;&gt;"",0,IF(ISNUMBER(MATCH(Data!G943,Data_Val!$C$2:$C$5,0)),0,1))))</f>
        <v/>
      </c>
      <c r="H943" s="15" t="str">
        <f>IF(Data!B943="","",IF(AND(Data!G943&lt;&gt;"",Data!H943=""),1,IF(Data!#REF!&lt;&gt;"",0,IF(Data!G943="",1,IF(ISNUMBER(MATCH(Data!H943,Data_Val!$D$2:$D$35,0)),0,1)))))</f>
        <v/>
      </c>
      <c r="I943" s="15" t="str">
        <f>IF(Data!B943="","",IF(Data!G943&lt;&gt;"",0,IF(ISNUMBER(MATCH(Data!#REF!,Data_Val!$E$2:$E$12,0)),0,1)))</f>
        <v/>
      </c>
      <c r="J943" s="16" t="e">
        <f>IF(OR(Data!B943="",Data!#REF!=""),"",IF(Data!#REF!="",1,0))</f>
        <v>#REF!</v>
      </c>
      <c r="K943" s="16" t="e">
        <f>IF(OR(Data!B943="",Data!#REF!=""),"",IF(Data!#REF!="",1,0))</f>
        <v>#REF!</v>
      </c>
      <c r="L943" s="16" t="e">
        <f>IF(OR(Data!B943="",Data!#REF!=""),"",IF(ISNUMBER(Data!#REF!),IF(AND(Data!#REF!&gt;Data_Val!$G$2,Data!#REF!&lt;=Data_Val!$G$3),0,1),1))</f>
        <v>#REF!</v>
      </c>
      <c r="M943" s="9" t="e">
        <f>IF(OR(Data!B943="",Data!#REF!=""),"",IF(ISNUMBER(MATCH(Data!#REF!,Data_Val!$F$1:$F$38,0)),0,1))</f>
        <v>#REF!</v>
      </c>
      <c r="N943" s="9" t="e">
        <f>IF(OR(Data!B943="",Data!#REF!=""),"",IF(Data!#REF!="",1,0))</f>
        <v>#REF!</v>
      </c>
      <c r="O943" s="17" t="e">
        <f>IF(Data!#REF!="","",IF(Data!#REF!="",1,0))</f>
        <v>#REF!</v>
      </c>
      <c r="P943" s="17" t="e">
        <f>IF(Data!#REF!="","",IF(ISNUMBER(MATCH(Data!#REF!,Data_Val!$A$2:$A$3,0)),0,1))</f>
        <v>#REF!</v>
      </c>
      <c r="Q943" s="25" t="e">
        <f ca="1">IF(Data!#REF!="","",IF(ISNUMBER(Data!#REF!),IF(AND(Data!#REF!&gt;(TODAY()-(Data_Val!$J$3*365.25)),Data!#REF!&lt;=(TODAY()-(Data_Val!$J$2*365.25))),0,1),1))</f>
        <v>#REF!</v>
      </c>
      <c r="R943" s="17" t="e">
        <f>IF(Data!#REF!="","",IF(ISNUMBER(MATCH(Data!#REF!,Data_Val!$B$2:$B$15,0)),0,1))</f>
        <v>#REF!</v>
      </c>
      <c r="S943" s="11" t="str">
        <f>IF(Data!G943="","",IF(Data!G943=Data_Val!$C$2,IF(Data!M943="",0,1),0))</f>
        <v/>
      </c>
      <c r="T943" s="11" t="str">
        <f>IF(Data!M943="","",IF(ISNUMBER(MATCH(Data!N943,Data_Val!$A$2:$A$3,0)),0,1))</f>
        <v/>
      </c>
      <c r="U943" s="11" t="str">
        <f ca="1">IF(Data!M943="","",IF(ISNUMBER(Data!O943),IF(AND(Data!O943&gt;(TODAY()-(Data_Val!$K$3*365.25)),Data!O943&lt;=(TODAY()-(Data_Val!$K$2*365.25))),0,1),1))</f>
        <v/>
      </c>
      <c r="V943" s="12" t="str">
        <f>IF(Data!G943="","",IF(Data!G943=Data_Val!$C$2,IF(Data!P943="",0,1),0))</f>
        <v/>
      </c>
      <c r="W943" s="12" t="str">
        <f>IF(Data!P943="","",IF(ISNUMBER(MATCH(Data!Q943,Data_Val!$A$2:$A$3,0)),0,1))</f>
        <v/>
      </c>
      <c r="X943" s="26" t="str">
        <f ca="1">IF(Data!P943="","",IF(ISNUMBER(Data!R943),IF(AND(Data!R943&gt;(TODAY()-(Data_Val!$L$3*365.25)),Data!R943&lt;=(TODAY()-(Data_Val!$L$2*365.25))),0,1),1))</f>
        <v/>
      </c>
      <c r="Y943" s="13" t="str">
        <f>IF(Data!$G943="","",IF(Data!$G943=Data_Val!$C$2,IF(Data!S943="",0,1),0))</f>
        <v/>
      </c>
      <c r="Z943" s="13" t="str">
        <f>IF(Data!S943="","",IF(ISNUMBER(MATCH(Data!T943,Data_Val!$A$2:$A$3,0)),0,1))</f>
        <v/>
      </c>
      <c r="AA943" s="28" t="str">
        <f ca="1">IF(Data!S943="","",IF(ISNUMBER(Data!U943),IF(AND(Data!U943&gt;(TODAY()-(Data_Val!$L$3*365.25)),Data!U943&lt;=(TODAY()-(Data_Val!$L$2*365.25))),0,1),1))</f>
        <v/>
      </c>
      <c r="AB943" s="11"/>
      <c r="AC943" s="11" t="e">
        <f>IF(Data!#REF!="","",IF(ISNUMBER(MATCH(Data!#REF!,Data_Val!$A$2:$A$3,0)),0,1))</f>
        <v>#REF!</v>
      </c>
      <c r="AD943" s="11" t="e">
        <f ca="1">IF(Data!#REF!="","",IF(ISNUMBER(Data!#REF!),IF(AND(Data!#REF!&gt;(TODAY()-(Data_Val!$L$3*365.25)),Data!#REF!&lt;=(TODAY()-(Data_Val!$L$2*365.25))),0,1),1))</f>
        <v>#REF!</v>
      </c>
      <c r="AE943" s="11" t="e">
        <f>IF(Data!#REF!="","",IF(Data!$G943="",1,IF(ISNUMBER(MATCH(Data!#REF!,Data_Val!$D$2:$D$10,0)),0,1)))</f>
        <v>#REF!</v>
      </c>
      <c r="AF943" s="12"/>
      <c r="AG943" s="12" t="e">
        <f>IF(Data!#REF!="","",IF(ISNUMBER(MATCH(Data!#REF!,Data_Val!$A$2:$A$3,0)),0,1))</f>
        <v>#REF!</v>
      </c>
      <c r="AH943" s="26" t="e">
        <f ca="1">IF(Data!#REF!="","",IF(ISNUMBER(Data!#REF!),IF(AND(Data!#REF!&gt;(TODAY()-(Data_Val!$L$3*365.25)),Data!#REF!&lt;=(TODAY()-(Data_Val!$L$2*365.25))),0,1),1))</f>
        <v>#REF!</v>
      </c>
      <c r="AI943" s="12" t="e">
        <f>IF(Data!#REF!="","",IF(Data!$G943="",1,IF(ISNUMBER(MATCH(Data!#REF!,Data_Val!$D$2:$D$10,0)),0,1)))</f>
        <v>#REF!</v>
      </c>
      <c r="AJ943" s="17"/>
      <c r="AK943" s="17" t="e">
        <f>IF(Data!#REF!="","",IF(ISNUMBER(MATCH(Data!#REF!,Data_Val!$A$2:$A$3,0)),0,1))</f>
        <v>#REF!</v>
      </c>
      <c r="AL943" s="25" t="e">
        <f ca="1">IF(Data!#REF!="","",IF(ISNUMBER(Data!#REF!),IF(AND(Data!#REF!&gt;(TODAY()-(Data_Val!$L$3*365.25)),Data!#REF!&lt;=(TODAY()-(Data_Val!$L$2*365.25))),0,1),1))</f>
        <v>#REF!</v>
      </c>
      <c r="AM943" s="17" t="e">
        <f>IF(Data!#REF!="","",IF(Data!$G943="",1,IF(ISNUMBER(MATCH(Data!#REF!,Data_Val!$D$2:$D$10,0)),0,1)))</f>
        <v>#REF!</v>
      </c>
      <c r="AN943" s="13"/>
      <c r="AO943" s="28" t="e">
        <f ca="1">IF(Data!#REF!="","",IF(ISNUMBER(Data!#REF!),IF(AND(Data!#REF!&gt;(TODAY()-(Data_Val!$I$3*365.25)),Data!#REF!&lt;=(TODAY()-(Data_Val!$I$2*365.25))),0,1),1))</f>
        <v>#REF!</v>
      </c>
      <c r="AP943" s="13" t="e">
        <f>IF(Data!#REF!="","",IF(Data!$G943="",1,IF(ISNUMBER(MATCH(Data!#REF!,Data_Val!$D$2:$D$10,0)),0,1)))</f>
        <v>#REF!</v>
      </c>
      <c r="AQ943" s="17"/>
      <c r="AR943" s="30" t="e">
        <f ca="1">IF(Data!#REF!="","",IF(ISNUMBER(Data!#REF!),IF(AND(Data!#REF!&gt;(TODAY()-(Data_Val!$I$3*365.25)),Data!#REF!&lt;=(TODAY()-(Data_Val!$I$2*365.25))),0,1),1))</f>
        <v>#REF!</v>
      </c>
      <c r="AS943" s="31" t="e">
        <f>IF(Data!#REF!="","",IF(Data!$G943="",1,IF(ISNUMBER(MATCH(Data!#REF!,Data_Val!$D$2:$D$10,0)),0,1)))</f>
        <v>#REF!</v>
      </c>
      <c r="AT943" s="11"/>
      <c r="AU943" s="11" t="e">
        <f ca="1">IF(Data!#REF!="","",IF(ISNUMBER(Data!#REF!),IF(AND(Data!#REF!&gt;(TODAY()-(Data_Val!$I$3*365.25)),Data!#REF!&lt;=(TODAY()-(Data_Val!$I$2*365.25))),0,1),1))</f>
        <v>#REF!</v>
      </c>
      <c r="AV943" s="11" t="e">
        <f>IF(Data!#REF!="","",IF(Data!$G943="",1,IF(ISNUMBER(MATCH(Data!#REF!,Data_Val!$D$2:$D$10,0)),0,1)))</f>
        <v>#REF!</v>
      </c>
      <c r="AW943" s="12"/>
      <c r="AX943" s="26" t="e">
        <f ca="1">IF(Data!#REF!="","",IF(ISNUMBER(Data!#REF!),IF(AND(Data!#REF!&gt;(TODAY()-(Data_Val!$I$3*365.25)),Data!#REF!&lt;=(TODAY()-(Data_Val!$I$2*365.25))),0,1),1))</f>
        <v>#REF!</v>
      </c>
      <c r="AY943" s="12" t="e">
        <f>IF(Data!#REF!="","",IF(Data!$G943="",1,IF(ISNUMBER(MATCH(Data!#REF!,Data_Val!$D$2:$D$10,0)),0,1)))</f>
        <v>#REF!</v>
      </c>
      <c r="AZ943" s="11"/>
      <c r="BA943" s="19" t="e">
        <f ca="1">IF(Data!#REF!="","",IF(ISNUMBER(Data!#REF!),IF(AND(Data!#REF!&gt;(TODAY()-(Data_Val!$M$3*365.25)),Data!#REF!&lt;=(TODAY()-(Data_Val!$M$2*365.25))),0,1),1))</f>
        <v>#REF!</v>
      </c>
      <c r="BB943" s="11" t="e">
        <f>IF(Data!#REF!="","",IF(Data!$G943="",1,IF(ISNUMBER(MATCH(Data!#REF!,Data_Val!$D$2:$D$10,0)),0,1)))</f>
        <v>#REF!</v>
      </c>
      <c r="BC943" s="12"/>
      <c r="BD943" s="20" t="e">
        <f ca="1">IF(Data!#REF!="","",IF(ISNUMBER(Data!#REF!),IF(AND(Data!#REF!&gt;(TODAY()-(Data_Val!$M$3*365.25)),Data!#REF!&lt;=(TODAY()-(Data_Val!$M$2*365.25))),0,1),1))</f>
        <v>#REF!</v>
      </c>
      <c r="BE943" s="12" t="e">
        <f>IF(Data!#REF!="","",IF(Data!$G943="",1,IF(ISNUMBER(MATCH(Data!#REF!,Data_Val!$D$2:$D$10,0)),0,1)))</f>
        <v>#REF!</v>
      </c>
      <c r="BF943" s="17"/>
      <c r="BG943" s="18" t="e">
        <f ca="1">IF(Data!#REF!="","",IF(ISNUMBER(Data!#REF!),IF(AND(Data!#REF!&gt;(TODAY()-(Data_Val!$M$3*365.25)),Data!#REF!&lt;=(TODAY()-(Data_Val!$M$2*365.25))),0,1),1))</f>
        <v>#REF!</v>
      </c>
      <c r="BH943" s="29" t="e">
        <f>IF(Data!#REF!="","",IF(Data!$G943="",1,IF(ISNUMBER(MATCH(Data!#REF!,Data_Val!$D$2:$D$10,0)),0,1)))</f>
        <v>#REF!</v>
      </c>
      <c r="BI943" s="13"/>
      <c r="BJ943" s="21" t="e">
        <f ca="1">IF(Data!#REF!="","",IF(ISNUMBER(Data!#REF!),IF(AND(Data!#REF!&gt;(TODAY()-(Data_Val!$M$3*365.25)),Data!#REF!&lt;=(TODAY()-(Data_Val!$M$2*365.25))),0,1),1))</f>
        <v>#REF!</v>
      </c>
      <c r="BK943" s="13" t="e">
        <f>IF(Data!#REF!="","",IF(Data!$G943="",1,IF(ISNUMBER(MATCH(Data!#REF!,Data_Val!$D$2:$D$10,0)),0,1)))</f>
        <v>#REF!</v>
      </c>
    </row>
    <row r="944" spans="1:63" x14ac:dyDescent="0.25">
      <c r="A944" s="9" t="str">
        <f>IF(Data!B944="","",IF(COUNTIFS(Data!A$1:'Data'!A944,Data!A944)&lt;=1,0,1))</f>
        <v/>
      </c>
      <c r="B944" s="9"/>
      <c r="C944" s="23" t="str">
        <f>IF(Data!C944="","",(IF(ISNUMBER(MATCH("*@*.?*",Data!C944,0)),0,1)+IF(COUNTIFS(Data!C$1:'Data'!C944,Data!C944)&gt;1,1,0)))</f>
        <v/>
      </c>
      <c r="D944" s="9" t="str">
        <f>IF(Data!B944="","",IF(ISNUMBER(Data!D944),IF(AND(Data!D944&gt;999999999,Data!D944&lt;=9999999999),IF(COUNTIFS(Data!D$1:'Data'!D944,Data!D944)&lt;=1,0,1),1),1))</f>
        <v/>
      </c>
      <c r="E944" s="9" t="str">
        <f>IF(Data!B944="","",IF(ISNUMBER(MATCH(Data!E944,Data_Val!$A$2:$A$3,0)),0,1))</f>
        <v/>
      </c>
      <c r="F944" s="9" t="str">
        <f ca="1">IF(Data!B944="","",IF(ISNUMBER(Data!F944),IF(AND(Data!F944&gt;(TODAY()-(Data_Val!$H$3*365.25)),Data!F944&lt;=(TODAY()-(Data_Val!$H$2*365.25))),0,1),1))</f>
        <v/>
      </c>
      <c r="G944" s="15" t="str">
        <f>IF(Data!B944="","",IF(AND(Data!G944="",Data!H944&lt;&gt;""),1,IF(Data!#REF!&lt;&gt;"",0,IF(ISNUMBER(MATCH(Data!G944,Data_Val!$C$2:$C$5,0)),0,1))))</f>
        <v/>
      </c>
      <c r="H944" s="15" t="str">
        <f>IF(Data!B944="","",IF(AND(Data!G944&lt;&gt;"",Data!H944=""),1,IF(Data!#REF!&lt;&gt;"",0,IF(Data!G944="",1,IF(ISNUMBER(MATCH(Data!H944,Data_Val!$D$2:$D$35,0)),0,1)))))</f>
        <v/>
      </c>
      <c r="I944" s="15" t="str">
        <f>IF(Data!B944="","",IF(Data!G944&lt;&gt;"",0,IF(ISNUMBER(MATCH(Data!#REF!,Data_Val!$E$2:$E$12,0)),0,1)))</f>
        <v/>
      </c>
      <c r="J944" s="16" t="e">
        <f>IF(OR(Data!B944="",Data!#REF!=""),"",IF(Data!#REF!="",1,0))</f>
        <v>#REF!</v>
      </c>
      <c r="K944" s="16" t="e">
        <f>IF(OR(Data!B944="",Data!#REF!=""),"",IF(Data!#REF!="",1,0))</f>
        <v>#REF!</v>
      </c>
      <c r="L944" s="16" t="e">
        <f>IF(OR(Data!B944="",Data!#REF!=""),"",IF(ISNUMBER(Data!#REF!),IF(AND(Data!#REF!&gt;Data_Val!$G$2,Data!#REF!&lt;=Data_Val!$G$3),0,1),1))</f>
        <v>#REF!</v>
      </c>
      <c r="M944" s="9" t="e">
        <f>IF(OR(Data!B944="",Data!#REF!=""),"",IF(ISNUMBER(MATCH(Data!#REF!,Data_Val!$F$1:$F$38,0)),0,1))</f>
        <v>#REF!</v>
      </c>
      <c r="N944" s="9" t="e">
        <f>IF(OR(Data!B944="",Data!#REF!=""),"",IF(Data!#REF!="",1,0))</f>
        <v>#REF!</v>
      </c>
      <c r="O944" s="17" t="e">
        <f>IF(Data!#REF!="","",IF(Data!#REF!="",1,0))</f>
        <v>#REF!</v>
      </c>
      <c r="P944" s="17" t="e">
        <f>IF(Data!#REF!="","",IF(ISNUMBER(MATCH(Data!#REF!,Data_Val!$A$2:$A$3,0)),0,1))</f>
        <v>#REF!</v>
      </c>
      <c r="Q944" s="25" t="e">
        <f ca="1">IF(Data!#REF!="","",IF(ISNUMBER(Data!#REF!),IF(AND(Data!#REF!&gt;(TODAY()-(Data_Val!$J$3*365.25)),Data!#REF!&lt;=(TODAY()-(Data_Val!$J$2*365.25))),0,1),1))</f>
        <v>#REF!</v>
      </c>
      <c r="R944" s="17" t="e">
        <f>IF(Data!#REF!="","",IF(ISNUMBER(MATCH(Data!#REF!,Data_Val!$B$2:$B$15,0)),0,1))</f>
        <v>#REF!</v>
      </c>
      <c r="S944" s="11" t="str">
        <f>IF(Data!G944="","",IF(Data!G944=Data_Val!$C$2,IF(Data!M944="",0,1),0))</f>
        <v/>
      </c>
      <c r="T944" s="11" t="str">
        <f>IF(Data!M944="","",IF(ISNUMBER(MATCH(Data!N944,Data_Val!$A$2:$A$3,0)),0,1))</f>
        <v/>
      </c>
      <c r="U944" s="11" t="str">
        <f ca="1">IF(Data!M944="","",IF(ISNUMBER(Data!O944),IF(AND(Data!O944&gt;(TODAY()-(Data_Val!$K$3*365.25)),Data!O944&lt;=(TODAY()-(Data_Val!$K$2*365.25))),0,1),1))</f>
        <v/>
      </c>
      <c r="V944" s="12" t="str">
        <f>IF(Data!G944="","",IF(Data!G944=Data_Val!$C$2,IF(Data!P944="",0,1),0))</f>
        <v/>
      </c>
      <c r="W944" s="12" t="str">
        <f>IF(Data!P944="","",IF(ISNUMBER(MATCH(Data!Q944,Data_Val!$A$2:$A$3,0)),0,1))</f>
        <v/>
      </c>
      <c r="X944" s="26" t="str">
        <f ca="1">IF(Data!P944="","",IF(ISNUMBER(Data!R944),IF(AND(Data!R944&gt;(TODAY()-(Data_Val!$L$3*365.25)),Data!R944&lt;=(TODAY()-(Data_Val!$L$2*365.25))),0,1),1))</f>
        <v/>
      </c>
      <c r="Y944" s="13" t="str">
        <f>IF(Data!$G944="","",IF(Data!$G944=Data_Val!$C$2,IF(Data!S944="",0,1),0))</f>
        <v/>
      </c>
      <c r="Z944" s="13" t="str">
        <f>IF(Data!S944="","",IF(ISNUMBER(MATCH(Data!T944,Data_Val!$A$2:$A$3,0)),0,1))</f>
        <v/>
      </c>
      <c r="AA944" s="28" t="str">
        <f ca="1">IF(Data!S944="","",IF(ISNUMBER(Data!U944),IF(AND(Data!U944&gt;(TODAY()-(Data_Val!$L$3*365.25)),Data!U944&lt;=(TODAY()-(Data_Val!$L$2*365.25))),0,1),1))</f>
        <v/>
      </c>
      <c r="AB944" s="11"/>
      <c r="AC944" s="11" t="e">
        <f>IF(Data!#REF!="","",IF(ISNUMBER(MATCH(Data!#REF!,Data_Val!$A$2:$A$3,0)),0,1))</f>
        <v>#REF!</v>
      </c>
      <c r="AD944" s="11" t="e">
        <f ca="1">IF(Data!#REF!="","",IF(ISNUMBER(Data!#REF!),IF(AND(Data!#REF!&gt;(TODAY()-(Data_Val!$L$3*365.25)),Data!#REF!&lt;=(TODAY()-(Data_Val!$L$2*365.25))),0,1),1))</f>
        <v>#REF!</v>
      </c>
      <c r="AE944" s="11" t="e">
        <f>IF(Data!#REF!="","",IF(Data!$G944="",1,IF(ISNUMBER(MATCH(Data!#REF!,Data_Val!$D$2:$D$10,0)),0,1)))</f>
        <v>#REF!</v>
      </c>
      <c r="AF944" s="12"/>
      <c r="AG944" s="12" t="e">
        <f>IF(Data!#REF!="","",IF(ISNUMBER(MATCH(Data!#REF!,Data_Val!$A$2:$A$3,0)),0,1))</f>
        <v>#REF!</v>
      </c>
      <c r="AH944" s="26" t="e">
        <f ca="1">IF(Data!#REF!="","",IF(ISNUMBER(Data!#REF!),IF(AND(Data!#REF!&gt;(TODAY()-(Data_Val!$L$3*365.25)),Data!#REF!&lt;=(TODAY()-(Data_Val!$L$2*365.25))),0,1),1))</f>
        <v>#REF!</v>
      </c>
      <c r="AI944" s="12" t="e">
        <f>IF(Data!#REF!="","",IF(Data!$G944="",1,IF(ISNUMBER(MATCH(Data!#REF!,Data_Val!$D$2:$D$10,0)),0,1)))</f>
        <v>#REF!</v>
      </c>
      <c r="AJ944" s="17"/>
      <c r="AK944" s="17" t="e">
        <f>IF(Data!#REF!="","",IF(ISNUMBER(MATCH(Data!#REF!,Data_Val!$A$2:$A$3,0)),0,1))</f>
        <v>#REF!</v>
      </c>
      <c r="AL944" s="25" t="e">
        <f ca="1">IF(Data!#REF!="","",IF(ISNUMBER(Data!#REF!),IF(AND(Data!#REF!&gt;(TODAY()-(Data_Val!$L$3*365.25)),Data!#REF!&lt;=(TODAY()-(Data_Val!$L$2*365.25))),0,1),1))</f>
        <v>#REF!</v>
      </c>
      <c r="AM944" s="17" t="e">
        <f>IF(Data!#REF!="","",IF(Data!$G944="",1,IF(ISNUMBER(MATCH(Data!#REF!,Data_Val!$D$2:$D$10,0)),0,1)))</f>
        <v>#REF!</v>
      </c>
      <c r="AN944" s="13"/>
      <c r="AO944" s="28" t="e">
        <f ca="1">IF(Data!#REF!="","",IF(ISNUMBER(Data!#REF!),IF(AND(Data!#REF!&gt;(TODAY()-(Data_Val!$I$3*365.25)),Data!#REF!&lt;=(TODAY()-(Data_Val!$I$2*365.25))),0,1),1))</f>
        <v>#REF!</v>
      </c>
      <c r="AP944" s="13" t="e">
        <f>IF(Data!#REF!="","",IF(Data!$G944="",1,IF(ISNUMBER(MATCH(Data!#REF!,Data_Val!$D$2:$D$10,0)),0,1)))</f>
        <v>#REF!</v>
      </c>
      <c r="AQ944" s="17"/>
      <c r="AR944" s="30" t="e">
        <f ca="1">IF(Data!#REF!="","",IF(ISNUMBER(Data!#REF!),IF(AND(Data!#REF!&gt;(TODAY()-(Data_Val!$I$3*365.25)),Data!#REF!&lt;=(TODAY()-(Data_Val!$I$2*365.25))),0,1),1))</f>
        <v>#REF!</v>
      </c>
      <c r="AS944" s="31" t="e">
        <f>IF(Data!#REF!="","",IF(Data!$G944="",1,IF(ISNUMBER(MATCH(Data!#REF!,Data_Val!$D$2:$D$10,0)),0,1)))</f>
        <v>#REF!</v>
      </c>
      <c r="AT944" s="11"/>
      <c r="AU944" s="11" t="e">
        <f ca="1">IF(Data!#REF!="","",IF(ISNUMBER(Data!#REF!),IF(AND(Data!#REF!&gt;(TODAY()-(Data_Val!$I$3*365.25)),Data!#REF!&lt;=(TODAY()-(Data_Val!$I$2*365.25))),0,1),1))</f>
        <v>#REF!</v>
      </c>
      <c r="AV944" s="11" t="e">
        <f>IF(Data!#REF!="","",IF(Data!$G944="",1,IF(ISNUMBER(MATCH(Data!#REF!,Data_Val!$D$2:$D$10,0)),0,1)))</f>
        <v>#REF!</v>
      </c>
      <c r="AW944" s="12"/>
      <c r="AX944" s="26" t="e">
        <f ca="1">IF(Data!#REF!="","",IF(ISNUMBER(Data!#REF!),IF(AND(Data!#REF!&gt;(TODAY()-(Data_Val!$I$3*365.25)),Data!#REF!&lt;=(TODAY()-(Data_Val!$I$2*365.25))),0,1),1))</f>
        <v>#REF!</v>
      </c>
      <c r="AY944" s="12" t="e">
        <f>IF(Data!#REF!="","",IF(Data!$G944="",1,IF(ISNUMBER(MATCH(Data!#REF!,Data_Val!$D$2:$D$10,0)),0,1)))</f>
        <v>#REF!</v>
      </c>
      <c r="AZ944" s="11"/>
      <c r="BA944" s="19" t="e">
        <f ca="1">IF(Data!#REF!="","",IF(ISNUMBER(Data!#REF!),IF(AND(Data!#REF!&gt;(TODAY()-(Data_Val!$M$3*365.25)),Data!#REF!&lt;=(TODAY()-(Data_Val!$M$2*365.25))),0,1),1))</f>
        <v>#REF!</v>
      </c>
      <c r="BB944" s="11" t="e">
        <f>IF(Data!#REF!="","",IF(Data!$G944="",1,IF(ISNUMBER(MATCH(Data!#REF!,Data_Val!$D$2:$D$10,0)),0,1)))</f>
        <v>#REF!</v>
      </c>
      <c r="BC944" s="12"/>
      <c r="BD944" s="20" t="e">
        <f ca="1">IF(Data!#REF!="","",IF(ISNUMBER(Data!#REF!),IF(AND(Data!#REF!&gt;(TODAY()-(Data_Val!$M$3*365.25)),Data!#REF!&lt;=(TODAY()-(Data_Val!$M$2*365.25))),0,1),1))</f>
        <v>#REF!</v>
      </c>
      <c r="BE944" s="12" t="e">
        <f>IF(Data!#REF!="","",IF(Data!$G944="",1,IF(ISNUMBER(MATCH(Data!#REF!,Data_Val!$D$2:$D$10,0)),0,1)))</f>
        <v>#REF!</v>
      </c>
      <c r="BF944" s="17"/>
      <c r="BG944" s="18" t="e">
        <f ca="1">IF(Data!#REF!="","",IF(ISNUMBER(Data!#REF!),IF(AND(Data!#REF!&gt;(TODAY()-(Data_Val!$M$3*365.25)),Data!#REF!&lt;=(TODAY()-(Data_Val!$M$2*365.25))),0,1),1))</f>
        <v>#REF!</v>
      </c>
      <c r="BH944" s="29" t="e">
        <f>IF(Data!#REF!="","",IF(Data!$G944="",1,IF(ISNUMBER(MATCH(Data!#REF!,Data_Val!$D$2:$D$10,0)),0,1)))</f>
        <v>#REF!</v>
      </c>
      <c r="BI944" s="13"/>
      <c r="BJ944" s="21" t="e">
        <f ca="1">IF(Data!#REF!="","",IF(ISNUMBER(Data!#REF!),IF(AND(Data!#REF!&gt;(TODAY()-(Data_Val!$M$3*365.25)),Data!#REF!&lt;=(TODAY()-(Data_Val!$M$2*365.25))),0,1),1))</f>
        <v>#REF!</v>
      </c>
      <c r="BK944" s="13" t="e">
        <f>IF(Data!#REF!="","",IF(Data!$G944="",1,IF(ISNUMBER(MATCH(Data!#REF!,Data_Val!$D$2:$D$10,0)),0,1)))</f>
        <v>#REF!</v>
      </c>
    </row>
    <row r="945" spans="1:63" x14ac:dyDescent="0.25">
      <c r="A945" s="9" t="str">
        <f>IF(Data!B945="","",IF(COUNTIFS(Data!A$1:'Data'!A945,Data!A945)&lt;=1,0,1))</f>
        <v/>
      </c>
      <c r="B945" s="9"/>
      <c r="C945" s="23" t="str">
        <f>IF(Data!C945="","",(IF(ISNUMBER(MATCH("*@*.?*",Data!C945,0)),0,1)+IF(COUNTIFS(Data!C$1:'Data'!C945,Data!C945)&gt;1,1,0)))</f>
        <v/>
      </c>
      <c r="D945" s="9" t="str">
        <f>IF(Data!B945="","",IF(ISNUMBER(Data!D945),IF(AND(Data!D945&gt;999999999,Data!D945&lt;=9999999999),IF(COUNTIFS(Data!D$1:'Data'!D945,Data!D945)&lt;=1,0,1),1),1))</f>
        <v/>
      </c>
      <c r="E945" s="9" t="str">
        <f>IF(Data!B945="","",IF(ISNUMBER(MATCH(Data!E945,Data_Val!$A$2:$A$3,0)),0,1))</f>
        <v/>
      </c>
      <c r="F945" s="9" t="str">
        <f ca="1">IF(Data!B945="","",IF(ISNUMBER(Data!F945),IF(AND(Data!F945&gt;(TODAY()-(Data_Val!$H$3*365.25)),Data!F945&lt;=(TODAY()-(Data_Val!$H$2*365.25))),0,1),1))</f>
        <v/>
      </c>
      <c r="G945" s="15" t="str">
        <f>IF(Data!B945="","",IF(AND(Data!G945="",Data!H945&lt;&gt;""),1,IF(Data!#REF!&lt;&gt;"",0,IF(ISNUMBER(MATCH(Data!G945,Data_Val!$C$2:$C$5,0)),0,1))))</f>
        <v/>
      </c>
      <c r="H945" s="15" t="str">
        <f>IF(Data!B945="","",IF(AND(Data!G945&lt;&gt;"",Data!H945=""),1,IF(Data!#REF!&lt;&gt;"",0,IF(Data!G945="",1,IF(ISNUMBER(MATCH(Data!H945,Data_Val!$D$2:$D$35,0)),0,1)))))</f>
        <v/>
      </c>
      <c r="I945" s="15" t="str">
        <f>IF(Data!B945="","",IF(Data!G945&lt;&gt;"",0,IF(ISNUMBER(MATCH(Data!#REF!,Data_Val!$E$2:$E$12,0)),0,1)))</f>
        <v/>
      </c>
      <c r="J945" s="16" t="e">
        <f>IF(OR(Data!B945="",Data!#REF!=""),"",IF(Data!#REF!="",1,0))</f>
        <v>#REF!</v>
      </c>
      <c r="K945" s="16" t="e">
        <f>IF(OR(Data!B945="",Data!#REF!=""),"",IF(Data!#REF!="",1,0))</f>
        <v>#REF!</v>
      </c>
      <c r="L945" s="16" t="e">
        <f>IF(OR(Data!B945="",Data!#REF!=""),"",IF(ISNUMBER(Data!#REF!),IF(AND(Data!#REF!&gt;Data_Val!$G$2,Data!#REF!&lt;=Data_Val!$G$3),0,1),1))</f>
        <v>#REF!</v>
      </c>
      <c r="M945" s="9" t="e">
        <f>IF(OR(Data!B945="",Data!#REF!=""),"",IF(ISNUMBER(MATCH(Data!#REF!,Data_Val!$F$1:$F$38,0)),0,1))</f>
        <v>#REF!</v>
      </c>
      <c r="N945" s="9" t="e">
        <f>IF(OR(Data!B945="",Data!#REF!=""),"",IF(Data!#REF!="",1,0))</f>
        <v>#REF!</v>
      </c>
      <c r="O945" s="17" t="e">
        <f>IF(Data!#REF!="","",IF(Data!#REF!="",1,0))</f>
        <v>#REF!</v>
      </c>
      <c r="P945" s="17" t="e">
        <f>IF(Data!#REF!="","",IF(ISNUMBER(MATCH(Data!#REF!,Data_Val!$A$2:$A$3,0)),0,1))</f>
        <v>#REF!</v>
      </c>
      <c r="Q945" s="25" t="e">
        <f ca="1">IF(Data!#REF!="","",IF(ISNUMBER(Data!#REF!),IF(AND(Data!#REF!&gt;(TODAY()-(Data_Val!$J$3*365.25)),Data!#REF!&lt;=(TODAY()-(Data_Val!$J$2*365.25))),0,1),1))</f>
        <v>#REF!</v>
      </c>
      <c r="R945" s="17" t="e">
        <f>IF(Data!#REF!="","",IF(ISNUMBER(MATCH(Data!#REF!,Data_Val!$B$2:$B$15,0)),0,1))</f>
        <v>#REF!</v>
      </c>
      <c r="S945" s="11" t="str">
        <f>IF(Data!G945="","",IF(Data!G945=Data_Val!$C$2,IF(Data!M945="",0,1),0))</f>
        <v/>
      </c>
      <c r="T945" s="11" t="str">
        <f>IF(Data!M945="","",IF(ISNUMBER(MATCH(Data!N945,Data_Val!$A$2:$A$3,0)),0,1))</f>
        <v/>
      </c>
      <c r="U945" s="11" t="str">
        <f ca="1">IF(Data!M945="","",IF(ISNUMBER(Data!O945),IF(AND(Data!O945&gt;(TODAY()-(Data_Val!$K$3*365.25)),Data!O945&lt;=(TODAY()-(Data_Val!$K$2*365.25))),0,1),1))</f>
        <v/>
      </c>
      <c r="V945" s="12" t="str">
        <f>IF(Data!G945="","",IF(Data!G945=Data_Val!$C$2,IF(Data!P945="",0,1),0))</f>
        <v/>
      </c>
      <c r="W945" s="12" t="str">
        <f>IF(Data!P945="","",IF(ISNUMBER(MATCH(Data!Q945,Data_Val!$A$2:$A$3,0)),0,1))</f>
        <v/>
      </c>
      <c r="X945" s="26" t="str">
        <f ca="1">IF(Data!P945="","",IF(ISNUMBER(Data!R945),IF(AND(Data!R945&gt;(TODAY()-(Data_Val!$L$3*365.25)),Data!R945&lt;=(TODAY()-(Data_Val!$L$2*365.25))),0,1),1))</f>
        <v/>
      </c>
      <c r="Y945" s="13" t="str">
        <f>IF(Data!$G945="","",IF(Data!$G945=Data_Val!$C$2,IF(Data!S945="",0,1),0))</f>
        <v/>
      </c>
      <c r="Z945" s="13" t="str">
        <f>IF(Data!S945="","",IF(ISNUMBER(MATCH(Data!T945,Data_Val!$A$2:$A$3,0)),0,1))</f>
        <v/>
      </c>
      <c r="AA945" s="28" t="str">
        <f ca="1">IF(Data!S945="","",IF(ISNUMBER(Data!U945),IF(AND(Data!U945&gt;(TODAY()-(Data_Val!$L$3*365.25)),Data!U945&lt;=(TODAY()-(Data_Val!$L$2*365.25))),0,1),1))</f>
        <v/>
      </c>
      <c r="AB945" s="11"/>
      <c r="AC945" s="11" t="e">
        <f>IF(Data!#REF!="","",IF(ISNUMBER(MATCH(Data!#REF!,Data_Val!$A$2:$A$3,0)),0,1))</f>
        <v>#REF!</v>
      </c>
      <c r="AD945" s="11" t="e">
        <f ca="1">IF(Data!#REF!="","",IF(ISNUMBER(Data!#REF!),IF(AND(Data!#REF!&gt;(TODAY()-(Data_Val!$L$3*365.25)),Data!#REF!&lt;=(TODAY()-(Data_Val!$L$2*365.25))),0,1),1))</f>
        <v>#REF!</v>
      </c>
      <c r="AE945" s="11" t="e">
        <f>IF(Data!#REF!="","",IF(Data!$G945="",1,IF(ISNUMBER(MATCH(Data!#REF!,Data_Val!$D$2:$D$10,0)),0,1)))</f>
        <v>#REF!</v>
      </c>
      <c r="AF945" s="12"/>
      <c r="AG945" s="12" t="e">
        <f>IF(Data!#REF!="","",IF(ISNUMBER(MATCH(Data!#REF!,Data_Val!$A$2:$A$3,0)),0,1))</f>
        <v>#REF!</v>
      </c>
      <c r="AH945" s="26" t="e">
        <f ca="1">IF(Data!#REF!="","",IF(ISNUMBER(Data!#REF!),IF(AND(Data!#REF!&gt;(TODAY()-(Data_Val!$L$3*365.25)),Data!#REF!&lt;=(TODAY()-(Data_Val!$L$2*365.25))),0,1),1))</f>
        <v>#REF!</v>
      </c>
      <c r="AI945" s="12" t="e">
        <f>IF(Data!#REF!="","",IF(Data!$G945="",1,IF(ISNUMBER(MATCH(Data!#REF!,Data_Val!$D$2:$D$10,0)),0,1)))</f>
        <v>#REF!</v>
      </c>
      <c r="AJ945" s="17"/>
      <c r="AK945" s="17" t="e">
        <f>IF(Data!#REF!="","",IF(ISNUMBER(MATCH(Data!#REF!,Data_Val!$A$2:$A$3,0)),0,1))</f>
        <v>#REF!</v>
      </c>
      <c r="AL945" s="25" t="e">
        <f ca="1">IF(Data!#REF!="","",IF(ISNUMBER(Data!#REF!),IF(AND(Data!#REF!&gt;(TODAY()-(Data_Val!$L$3*365.25)),Data!#REF!&lt;=(TODAY()-(Data_Val!$L$2*365.25))),0,1),1))</f>
        <v>#REF!</v>
      </c>
      <c r="AM945" s="17" t="e">
        <f>IF(Data!#REF!="","",IF(Data!$G945="",1,IF(ISNUMBER(MATCH(Data!#REF!,Data_Val!$D$2:$D$10,0)),0,1)))</f>
        <v>#REF!</v>
      </c>
      <c r="AN945" s="13"/>
      <c r="AO945" s="28" t="e">
        <f ca="1">IF(Data!#REF!="","",IF(ISNUMBER(Data!#REF!),IF(AND(Data!#REF!&gt;(TODAY()-(Data_Val!$I$3*365.25)),Data!#REF!&lt;=(TODAY()-(Data_Val!$I$2*365.25))),0,1),1))</f>
        <v>#REF!</v>
      </c>
      <c r="AP945" s="13" t="e">
        <f>IF(Data!#REF!="","",IF(Data!$G945="",1,IF(ISNUMBER(MATCH(Data!#REF!,Data_Val!$D$2:$D$10,0)),0,1)))</f>
        <v>#REF!</v>
      </c>
      <c r="AQ945" s="17"/>
      <c r="AR945" s="30" t="e">
        <f ca="1">IF(Data!#REF!="","",IF(ISNUMBER(Data!#REF!),IF(AND(Data!#REF!&gt;(TODAY()-(Data_Val!$I$3*365.25)),Data!#REF!&lt;=(TODAY()-(Data_Val!$I$2*365.25))),0,1),1))</f>
        <v>#REF!</v>
      </c>
      <c r="AS945" s="31" t="e">
        <f>IF(Data!#REF!="","",IF(Data!$G945="",1,IF(ISNUMBER(MATCH(Data!#REF!,Data_Val!$D$2:$D$10,0)),0,1)))</f>
        <v>#REF!</v>
      </c>
      <c r="AT945" s="11"/>
      <c r="AU945" s="11" t="e">
        <f ca="1">IF(Data!#REF!="","",IF(ISNUMBER(Data!#REF!),IF(AND(Data!#REF!&gt;(TODAY()-(Data_Val!$I$3*365.25)),Data!#REF!&lt;=(TODAY()-(Data_Val!$I$2*365.25))),0,1),1))</f>
        <v>#REF!</v>
      </c>
      <c r="AV945" s="11" t="e">
        <f>IF(Data!#REF!="","",IF(Data!$G945="",1,IF(ISNUMBER(MATCH(Data!#REF!,Data_Val!$D$2:$D$10,0)),0,1)))</f>
        <v>#REF!</v>
      </c>
      <c r="AW945" s="12"/>
      <c r="AX945" s="26" t="e">
        <f ca="1">IF(Data!#REF!="","",IF(ISNUMBER(Data!#REF!),IF(AND(Data!#REF!&gt;(TODAY()-(Data_Val!$I$3*365.25)),Data!#REF!&lt;=(TODAY()-(Data_Val!$I$2*365.25))),0,1),1))</f>
        <v>#REF!</v>
      </c>
      <c r="AY945" s="12" t="e">
        <f>IF(Data!#REF!="","",IF(Data!$G945="",1,IF(ISNUMBER(MATCH(Data!#REF!,Data_Val!$D$2:$D$10,0)),0,1)))</f>
        <v>#REF!</v>
      </c>
      <c r="AZ945" s="11"/>
      <c r="BA945" s="19" t="e">
        <f ca="1">IF(Data!#REF!="","",IF(ISNUMBER(Data!#REF!),IF(AND(Data!#REF!&gt;(TODAY()-(Data_Val!$M$3*365.25)),Data!#REF!&lt;=(TODAY()-(Data_Val!$M$2*365.25))),0,1),1))</f>
        <v>#REF!</v>
      </c>
      <c r="BB945" s="11" t="e">
        <f>IF(Data!#REF!="","",IF(Data!$G945="",1,IF(ISNUMBER(MATCH(Data!#REF!,Data_Val!$D$2:$D$10,0)),0,1)))</f>
        <v>#REF!</v>
      </c>
      <c r="BC945" s="12"/>
      <c r="BD945" s="20" t="e">
        <f ca="1">IF(Data!#REF!="","",IF(ISNUMBER(Data!#REF!),IF(AND(Data!#REF!&gt;(TODAY()-(Data_Val!$M$3*365.25)),Data!#REF!&lt;=(TODAY()-(Data_Val!$M$2*365.25))),0,1),1))</f>
        <v>#REF!</v>
      </c>
      <c r="BE945" s="12" t="e">
        <f>IF(Data!#REF!="","",IF(Data!$G945="",1,IF(ISNUMBER(MATCH(Data!#REF!,Data_Val!$D$2:$D$10,0)),0,1)))</f>
        <v>#REF!</v>
      </c>
      <c r="BF945" s="17"/>
      <c r="BG945" s="18" t="e">
        <f ca="1">IF(Data!#REF!="","",IF(ISNUMBER(Data!#REF!),IF(AND(Data!#REF!&gt;(TODAY()-(Data_Val!$M$3*365.25)),Data!#REF!&lt;=(TODAY()-(Data_Val!$M$2*365.25))),0,1),1))</f>
        <v>#REF!</v>
      </c>
      <c r="BH945" s="29" t="e">
        <f>IF(Data!#REF!="","",IF(Data!$G945="",1,IF(ISNUMBER(MATCH(Data!#REF!,Data_Val!$D$2:$D$10,0)),0,1)))</f>
        <v>#REF!</v>
      </c>
      <c r="BI945" s="13"/>
      <c r="BJ945" s="21" t="e">
        <f ca="1">IF(Data!#REF!="","",IF(ISNUMBER(Data!#REF!),IF(AND(Data!#REF!&gt;(TODAY()-(Data_Val!$M$3*365.25)),Data!#REF!&lt;=(TODAY()-(Data_Val!$M$2*365.25))),0,1),1))</f>
        <v>#REF!</v>
      </c>
      <c r="BK945" s="13" t="e">
        <f>IF(Data!#REF!="","",IF(Data!$G945="",1,IF(ISNUMBER(MATCH(Data!#REF!,Data_Val!$D$2:$D$10,0)),0,1)))</f>
        <v>#REF!</v>
      </c>
    </row>
    <row r="946" spans="1:63" x14ac:dyDescent="0.25">
      <c r="A946" s="9" t="str">
        <f>IF(Data!B946="","",IF(COUNTIFS(Data!A$1:'Data'!A946,Data!A946)&lt;=1,0,1))</f>
        <v/>
      </c>
      <c r="B946" s="9"/>
      <c r="C946" s="23" t="str">
        <f>IF(Data!C946="","",(IF(ISNUMBER(MATCH("*@*.?*",Data!C946,0)),0,1)+IF(COUNTIFS(Data!C$1:'Data'!C946,Data!C946)&gt;1,1,0)))</f>
        <v/>
      </c>
      <c r="D946" s="9" t="str">
        <f>IF(Data!B946="","",IF(ISNUMBER(Data!D946),IF(AND(Data!D946&gt;999999999,Data!D946&lt;=9999999999),IF(COUNTIFS(Data!D$1:'Data'!D946,Data!D946)&lt;=1,0,1),1),1))</f>
        <v/>
      </c>
      <c r="E946" s="9" t="str">
        <f>IF(Data!B946="","",IF(ISNUMBER(MATCH(Data!E946,Data_Val!$A$2:$A$3,0)),0,1))</f>
        <v/>
      </c>
      <c r="F946" s="9" t="str">
        <f ca="1">IF(Data!B946="","",IF(ISNUMBER(Data!F946),IF(AND(Data!F946&gt;(TODAY()-(Data_Val!$H$3*365.25)),Data!F946&lt;=(TODAY()-(Data_Val!$H$2*365.25))),0,1),1))</f>
        <v/>
      </c>
      <c r="G946" s="15" t="str">
        <f>IF(Data!B946="","",IF(AND(Data!G946="",Data!H946&lt;&gt;""),1,IF(Data!#REF!&lt;&gt;"",0,IF(ISNUMBER(MATCH(Data!G946,Data_Val!$C$2:$C$5,0)),0,1))))</f>
        <v/>
      </c>
      <c r="H946" s="15" t="str">
        <f>IF(Data!B946="","",IF(AND(Data!G946&lt;&gt;"",Data!H946=""),1,IF(Data!#REF!&lt;&gt;"",0,IF(Data!G946="",1,IF(ISNUMBER(MATCH(Data!H946,Data_Val!$D$2:$D$35,0)),0,1)))))</f>
        <v/>
      </c>
      <c r="I946" s="15" t="str">
        <f>IF(Data!B946="","",IF(Data!G946&lt;&gt;"",0,IF(ISNUMBER(MATCH(Data!#REF!,Data_Val!$E$2:$E$12,0)),0,1)))</f>
        <v/>
      </c>
      <c r="J946" s="16" t="e">
        <f>IF(OR(Data!B946="",Data!#REF!=""),"",IF(Data!#REF!="",1,0))</f>
        <v>#REF!</v>
      </c>
      <c r="K946" s="16" t="e">
        <f>IF(OR(Data!B946="",Data!#REF!=""),"",IF(Data!#REF!="",1,0))</f>
        <v>#REF!</v>
      </c>
      <c r="L946" s="16" t="e">
        <f>IF(OR(Data!B946="",Data!#REF!=""),"",IF(ISNUMBER(Data!#REF!),IF(AND(Data!#REF!&gt;Data_Val!$G$2,Data!#REF!&lt;=Data_Val!$G$3),0,1),1))</f>
        <v>#REF!</v>
      </c>
      <c r="M946" s="9" t="e">
        <f>IF(OR(Data!B946="",Data!#REF!=""),"",IF(ISNUMBER(MATCH(Data!#REF!,Data_Val!$F$1:$F$38,0)),0,1))</f>
        <v>#REF!</v>
      </c>
      <c r="N946" s="9" t="e">
        <f>IF(OR(Data!B946="",Data!#REF!=""),"",IF(Data!#REF!="",1,0))</f>
        <v>#REF!</v>
      </c>
      <c r="O946" s="17" t="e">
        <f>IF(Data!#REF!="","",IF(Data!#REF!="",1,0))</f>
        <v>#REF!</v>
      </c>
      <c r="P946" s="17" t="e">
        <f>IF(Data!#REF!="","",IF(ISNUMBER(MATCH(Data!#REF!,Data_Val!$A$2:$A$3,0)),0,1))</f>
        <v>#REF!</v>
      </c>
      <c r="Q946" s="25" t="e">
        <f ca="1">IF(Data!#REF!="","",IF(ISNUMBER(Data!#REF!),IF(AND(Data!#REF!&gt;(TODAY()-(Data_Val!$J$3*365.25)),Data!#REF!&lt;=(TODAY()-(Data_Val!$J$2*365.25))),0,1),1))</f>
        <v>#REF!</v>
      </c>
      <c r="R946" s="17" t="e">
        <f>IF(Data!#REF!="","",IF(ISNUMBER(MATCH(Data!#REF!,Data_Val!$B$2:$B$15,0)),0,1))</f>
        <v>#REF!</v>
      </c>
      <c r="S946" s="11" t="str">
        <f>IF(Data!G946="","",IF(Data!G946=Data_Val!$C$2,IF(Data!M946="",0,1),0))</f>
        <v/>
      </c>
      <c r="T946" s="11" t="str">
        <f>IF(Data!M946="","",IF(ISNUMBER(MATCH(Data!N946,Data_Val!$A$2:$A$3,0)),0,1))</f>
        <v/>
      </c>
      <c r="U946" s="11" t="str">
        <f ca="1">IF(Data!M946="","",IF(ISNUMBER(Data!O946),IF(AND(Data!O946&gt;(TODAY()-(Data_Val!$K$3*365.25)),Data!O946&lt;=(TODAY()-(Data_Val!$K$2*365.25))),0,1),1))</f>
        <v/>
      </c>
      <c r="V946" s="12" t="str">
        <f>IF(Data!G946="","",IF(Data!G946=Data_Val!$C$2,IF(Data!P946="",0,1),0))</f>
        <v/>
      </c>
      <c r="W946" s="12" t="str">
        <f>IF(Data!P946="","",IF(ISNUMBER(MATCH(Data!Q946,Data_Val!$A$2:$A$3,0)),0,1))</f>
        <v/>
      </c>
      <c r="X946" s="26" t="str">
        <f ca="1">IF(Data!P946="","",IF(ISNUMBER(Data!R946),IF(AND(Data!R946&gt;(TODAY()-(Data_Val!$L$3*365.25)),Data!R946&lt;=(TODAY()-(Data_Val!$L$2*365.25))),0,1),1))</f>
        <v/>
      </c>
      <c r="Y946" s="13" t="str">
        <f>IF(Data!$G946="","",IF(Data!$G946=Data_Val!$C$2,IF(Data!S946="",0,1),0))</f>
        <v/>
      </c>
      <c r="Z946" s="13" t="str">
        <f>IF(Data!S946="","",IF(ISNUMBER(MATCH(Data!T946,Data_Val!$A$2:$A$3,0)),0,1))</f>
        <v/>
      </c>
      <c r="AA946" s="28" t="str">
        <f ca="1">IF(Data!S946="","",IF(ISNUMBER(Data!U946),IF(AND(Data!U946&gt;(TODAY()-(Data_Val!$L$3*365.25)),Data!U946&lt;=(TODAY()-(Data_Val!$L$2*365.25))),0,1),1))</f>
        <v/>
      </c>
      <c r="AB946" s="11"/>
      <c r="AC946" s="11" t="e">
        <f>IF(Data!#REF!="","",IF(ISNUMBER(MATCH(Data!#REF!,Data_Val!$A$2:$A$3,0)),0,1))</f>
        <v>#REF!</v>
      </c>
      <c r="AD946" s="11" t="e">
        <f ca="1">IF(Data!#REF!="","",IF(ISNUMBER(Data!#REF!),IF(AND(Data!#REF!&gt;(TODAY()-(Data_Val!$L$3*365.25)),Data!#REF!&lt;=(TODAY()-(Data_Val!$L$2*365.25))),0,1),1))</f>
        <v>#REF!</v>
      </c>
      <c r="AE946" s="11" t="e">
        <f>IF(Data!#REF!="","",IF(Data!$G946="",1,IF(ISNUMBER(MATCH(Data!#REF!,Data_Val!$D$2:$D$10,0)),0,1)))</f>
        <v>#REF!</v>
      </c>
      <c r="AF946" s="12"/>
      <c r="AG946" s="12" t="e">
        <f>IF(Data!#REF!="","",IF(ISNUMBER(MATCH(Data!#REF!,Data_Val!$A$2:$A$3,0)),0,1))</f>
        <v>#REF!</v>
      </c>
      <c r="AH946" s="26" t="e">
        <f ca="1">IF(Data!#REF!="","",IF(ISNUMBER(Data!#REF!),IF(AND(Data!#REF!&gt;(TODAY()-(Data_Val!$L$3*365.25)),Data!#REF!&lt;=(TODAY()-(Data_Val!$L$2*365.25))),0,1),1))</f>
        <v>#REF!</v>
      </c>
      <c r="AI946" s="12" t="e">
        <f>IF(Data!#REF!="","",IF(Data!$G946="",1,IF(ISNUMBER(MATCH(Data!#REF!,Data_Val!$D$2:$D$10,0)),0,1)))</f>
        <v>#REF!</v>
      </c>
      <c r="AJ946" s="17"/>
      <c r="AK946" s="17" t="e">
        <f>IF(Data!#REF!="","",IF(ISNUMBER(MATCH(Data!#REF!,Data_Val!$A$2:$A$3,0)),0,1))</f>
        <v>#REF!</v>
      </c>
      <c r="AL946" s="25" t="e">
        <f ca="1">IF(Data!#REF!="","",IF(ISNUMBER(Data!#REF!),IF(AND(Data!#REF!&gt;(TODAY()-(Data_Val!$L$3*365.25)),Data!#REF!&lt;=(TODAY()-(Data_Val!$L$2*365.25))),0,1),1))</f>
        <v>#REF!</v>
      </c>
      <c r="AM946" s="17" t="e">
        <f>IF(Data!#REF!="","",IF(Data!$G946="",1,IF(ISNUMBER(MATCH(Data!#REF!,Data_Val!$D$2:$D$10,0)),0,1)))</f>
        <v>#REF!</v>
      </c>
      <c r="AN946" s="13"/>
      <c r="AO946" s="28" t="e">
        <f ca="1">IF(Data!#REF!="","",IF(ISNUMBER(Data!#REF!),IF(AND(Data!#REF!&gt;(TODAY()-(Data_Val!$I$3*365.25)),Data!#REF!&lt;=(TODAY()-(Data_Val!$I$2*365.25))),0,1),1))</f>
        <v>#REF!</v>
      </c>
      <c r="AP946" s="13" t="e">
        <f>IF(Data!#REF!="","",IF(Data!$G946="",1,IF(ISNUMBER(MATCH(Data!#REF!,Data_Val!$D$2:$D$10,0)),0,1)))</f>
        <v>#REF!</v>
      </c>
      <c r="AQ946" s="17"/>
      <c r="AR946" s="30" t="e">
        <f ca="1">IF(Data!#REF!="","",IF(ISNUMBER(Data!#REF!),IF(AND(Data!#REF!&gt;(TODAY()-(Data_Val!$I$3*365.25)),Data!#REF!&lt;=(TODAY()-(Data_Val!$I$2*365.25))),0,1),1))</f>
        <v>#REF!</v>
      </c>
      <c r="AS946" s="31" t="e">
        <f>IF(Data!#REF!="","",IF(Data!$G946="",1,IF(ISNUMBER(MATCH(Data!#REF!,Data_Val!$D$2:$D$10,0)),0,1)))</f>
        <v>#REF!</v>
      </c>
      <c r="AT946" s="11"/>
      <c r="AU946" s="11" t="e">
        <f ca="1">IF(Data!#REF!="","",IF(ISNUMBER(Data!#REF!),IF(AND(Data!#REF!&gt;(TODAY()-(Data_Val!$I$3*365.25)),Data!#REF!&lt;=(TODAY()-(Data_Val!$I$2*365.25))),0,1),1))</f>
        <v>#REF!</v>
      </c>
      <c r="AV946" s="11" t="e">
        <f>IF(Data!#REF!="","",IF(Data!$G946="",1,IF(ISNUMBER(MATCH(Data!#REF!,Data_Val!$D$2:$D$10,0)),0,1)))</f>
        <v>#REF!</v>
      </c>
      <c r="AW946" s="12"/>
      <c r="AX946" s="26" t="e">
        <f ca="1">IF(Data!#REF!="","",IF(ISNUMBER(Data!#REF!),IF(AND(Data!#REF!&gt;(TODAY()-(Data_Val!$I$3*365.25)),Data!#REF!&lt;=(TODAY()-(Data_Val!$I$2*365.25))),0,1),1))</f>
        <v>#REF!</v>
      </c>
      <c r="AY946" s="12" t="e">
        <f>IF(Data!#REF!="","",IF(Data!$G946="",1,IF(ISNUMBER(MATCH(Data!#REF!,Data_Val!$D$2:$D$10,0)),0,1)))</f>
        <v>#REF!</v>
      </c>
      <c r="AZ946" s="11"/>
      <c r="BA946" s="19" t="e">
        <f ca="1">IF(Data!#REF!="","",IF(ISNUMBER(Data!#REF!),IF(AND(Data!#REF!&gt;(TODAY()-(Data_Val!$M$3*365.25)),Data!#REF!&lt;=(TODAY()-(Data_Val!$M$2*365.25))),0,1),1))</f>
        <v>#REF!</v>
      </c>
      <c r="BB946" s="11" t="e">
        <f>IF(Data!#REF!="","",IF(Data!$G946="",1,IF(ISNUMBER(MATCH(Data!#REF!,Data_Val!$D$2:$D$10,0)),0,1)))</f>
        <v>#REF!</v>
      </c>
      <c r="BC946" s="12"/>
      <c r="BD946" s="20" t="e">
        <f ca="1">IF(Data!#REF!="","",IF(ISNUMBER(Data!#REF!),IF(AND(Data!#REF!&gt;(TODAY()-(Data_Val!$M$3*365.25)),Data!#REF!&lt;=(TODAY()-(Data_Val!$M$2*365.25))),0,1),1))</f>
        <v>#REF!</v>
      </c>
      <c r="BE946" s="12" t="e">
        <f>IF(Data!#REF!="","",IF(Data!$G946="",1,IF(ISNUMBER(MATCH(Data!#REF!,Data_Val!$D$2:$D$10,0)),0,1)))</f>
        <v>#REF!</v>
      </c>
      <c r="BF946" s="17"/>
      <c r="BG946" s="18" t="e">
        <f ca="1">IF(Data!#REF!="","",IF(ISNUMBER(Data!#REF!),IF(AND(Data!#REF!&gt;(TODAY()-(Data_Val!$M$3*365.25)),Data!#REF!&lt;=(TODAY()-(Data_Val!$M$2*365.25))),0,1),1))</f>
        <v>#REF!</v>
      </c>
      <c r="BH946" s="29" t="e">
        <f>IF(Data!#REF!="","",IF(Data!$G946="",1,IF(ISNUMBER(MATCH(Data!#REF!,Data_Val!$D$2:$D$10,0)),0,1)))</f>
        <v>#REF!</v>
      </c>
      <c r="BI946" s="13"/>
      <c r="BJ946" s="21" t="e">
        <f ca="1">IF(Data!#REF!="","",IF(ISNUMBER(Data!#REF!),IF(AND(Data!#REF!&gt;(TODAY()-(Data_Val!$M$3*365.25)),Data!#REF!&lt;=(TODAY()-(Data_Val!$M$2*365.25))),0,1),1))</f>
        <v>#REF!</v>
      </c>
      <c r="BK946" s="13" t="e">
        <f>IF(Data!#REF!="","",IF(Data!$G946="",1,IF(ISNUMBER(MATCH(Data!#REF!,Data_Val!$D$2:$D$10,0)),0,1)))</f>
        <v>#REF!</v>
      </c>
    </row>
    <row r="947" spans="1:63" x14ac:dyDescent="0.25">
      <c r="A947" s="9" t="str">
        <f>IF(Data!B947="","",IF(COUNTIFS(Data!A$1:'Data'!A947,Data!A947)&lt;=1,0,1))</f>
        <v/>
      </c>
      <c r="B947" s="9"/>
      <c r="C947" s="23" t="str">
        <f>IF(Data!C947="","",(IF(ISNUMBER(MATCH("*@*.?*",Data!C947,0)),0,1)+IF(COUNTIFS(Data!C$1:'Data'!C947,Data!C947)&gt;1,1,0)))</f>
        <v/>
      </c>
      <c r="D947" s="9" t="str">
        <f>IF(Data!B947="","",IF(ISNUMBER(Data!D947),IF(AND(Data!D947&gt;999999999,Data!D947&lt;=9999999999),IF(COUNTIFS(Data!D$1:'Data'!D947,Data!D947)&lt;=1,0,1),1),1))</f>
        <v/>
      </c>
      <c r="E947" s="9" t="str">
        <f>IF(Data!B947="","",IF(ISNUMBER(MATCH(Data!E947,Data_Val!$A$2:$A$3,0)),0,1))</f>
        <v/>
      </c>
      <c r="F947" s="9" t="str">
        <f ca="1">IF(Data!B947="","",IF(ISNUMBER(Data!F947),IF(AND(Data!F947&gt;(TODAY()-(Data_Val!$H$3*365.25)),Data!F947&lt;=(TODAY()-(Data_Val!$H$2*365.25))),0,1),1))</f>
        <v/>
      </c>
      <c r="G947" s="15" t="str">
        <f>IF(Data!B947="","",IF(AND(Data!G947="",Data!H947&lt;&gt;""),1,IF(Data!#REF!&lt;&gt;"",0,IF(ISNUMBER(MATCH(Data!G947,Data_Val!$C$2:$C$5,0)),0,1))))</f>
        <v/>
      </c>
      <c r="H947" s="15" t="str">
        <f>IF(Data!B947="","",IF(AND(Data!G947&lt;&gt;"",Data!H947=""),1,IF(Data!#REF!&lt;&gt;"",0,IF(Data!G947="",1,IF(ISNUMBER(MATCH(Data!H947,Data_Val!$D$2:$D$35,0)),0,1)))))</f>
        <v/>
      </c>
      <c r="I947" s="15" t="str">
        <f>IF(Data!B947="","",IF(Data!G947&lt;&gt;"",0,IF(ISNUMBER(MATCH(Data!#REF!,Data_Val!$E$2:$E$12,0)),0,1)))</f>
        <v/>
      </c>
      <c r="J947" s="16" t="e">
        <f>IF(OR(Data!B947="",Data!#REF!=""),"",IF(Data!#REF!="",1,0))</f>
        <v>#REF!</v>
      </c>
      <c r="K947" s="16" t="e">
        <f>IF(OR(Data!B947="",Data!#REF!=""),"",IF(Data!#REF!="",1,0))</f>
        <v>#REF!</v>
      </c>
      <c r="L947" s="16" t="e">
        <f>IF(OR(Data!B947="",Data!#REF!=""),"",IF(ISNUMBER(Data!#REF!),IF(AND(Data!#REF!&gt;Data_Val!$G$2,Data!#REF!&lt;=Data_Val!$G$3),0,1),1))</f>
        <v>#REF!</v>
      </c>
      <c r="M947" s="9" t="e">
        <f>IF(OR(Data!B947="",Data!#REF!=""),"",IF(ISNUMBER(MATCH(Data!#REF!,Data_Val!$F$1:$F$38,0)),0,1))</f>
        <v>#REF!</v>
      </c>
      <c r="N947" s="9" t="e">
        <f>IF(OR(Data!B947="",Data!#REF!=""),"",IF(Data!#REF!="",1,0))</f>
        <v>#REF!</v>
      </c>
      <c r="O947" s="17" t="e">
        <f>IF(Data!#REF!="","",IF(Data!#REF!="",1,0))</f>
        <v>#REF!</v>
      </c>
      <c r="P947" s="17" t="e">
        <f>IF(Data!#REF!="","",IF(ISNUMBER(MATCH(Data!#REF!,Data_Val!$A$2:$A$3,0)),0,1))</f>
        <v>#REF!</v>
      </c>
      <c r="Q947" s="25" t="e">
        <f ca="1">IF(Data!#REF!="","",IF(ISNUMBER(Data!#REF!),IF(AND(Data!#REF!&gt;(TODAY()-(Data_Val!$J$3*365.25)),Data!#REF!&lt;=(TODAY()-(Data_Val!$J$2*365.25))),0,1),1))</f>
        <v>#REF!</v>
      </c>
      <c r="R947" s="17" t="e">
        <f>IF(Data!#REF!="","",IF(ISNUMBER(MATCH(Data!#REF!,Data_Val!$B$2:$B$15,0)),0,1))</f>
        <v>#REF!</v>
      </c>
      <c r="S947" s="11" t="str">
        <f>IF(Data!G947="","",IF(Data!G947=Data_Val!$C$2,IF(Data!M947="",0,1),0))</f>
        <v/>
      </c>
      <c r="T947" s="11" t="str">
        <f>IF(Data!M947="","",IF(ISNUMBER(MATCH(Data!N947,Data_Val!$A$2:$A$3,0)),0,1))</f>
        <v/>
      </c>
      <c r="U947" s="11" t="str">
        <f ca="1">IF(Data!M947="","",IF(ISNUMBER(Data!O947),IF(AND(Data!O947&gt;(TODAY()-(Data_Val!$K$3*365.25)),Data!O947&lt;=(TODAY()-(Data_Val!$K$2*365.25))),0,1),1))</f>
        <v/>
      </c>
      <c r="V947" s="12" t="str">
        <f>IF(Data!G947="","",IF(Data!G947=Data_Val!$C$2,IF(Data!P947="",0,1),0))</f>
        <v/>
      </c>
      <c r="W947" s="12" t="str">
        <f>IF(Data!P947="","",IF(ISNUMBER(MATCH(Data!Q947,Data_Val!$A$2:$A$3,0)),0,1))</f>
        <v/>
      </c>
      <c r="X947" s="26" t="str">
        <f ca="1">IF(Data!P947="","",IF(ISNUMBER(Data!R947),IF(AND(Data!R947&gt;(TODAY()-(Data_Val!$L$3*365.25)),Data!R947&lt;=(TODAY()-(Data_Val!$L$2*365.25))),0,1),1))</f>
        <v/>
      </c>
      <c r="Y947" s="13" t="str">
        <f>IF(Data!$G947="","",IF(Data!$G947=Data_Val!$C$2,IF(Data!S947="",0,1),0))</f>
        <v/>
      </c>
      <c r="Z947" s="13" t="str">
        <f>IF(Data!S947="","",IF(ISNUMBER(MATCH(Data!T947,Data_Val!$A$2:$A$3,0)),0,1))</f>
        <v/>
      </c>
      <c r="AA947" s="28" t="str">
        <f ca="1">IF(Data!S947="","",IF(ISNUMBER(Data!U947),IF(AND(Data!U947&gt;(TODAY()-(Data_Val!$L$3*365.25)),Data!U947&lt;=(TODAY()-(Data_Val!$L$2*365.25))),0,1),1))</f>
        <v/>
      </c>
      <c r="AB947" s="11"/>
      <c r="AC947" s="11" t="e">
        <f>IF(Data!#REF!="","",IF(ISNUMBER(MATCH(Data!#REF!,Data_Val!$A$2:$A$3,0)),0,1))</f>
        <v>#REF!</v>
      </c>
      <c r="AD947" s="11" t="e">
        <f ca="1">IF(Data!#REF!="","",IF(ISNUMBER(Data!#REF!),IF(AND(Data!#REF!&gt;(TODAY()-(Data_Val!$L$3*365.25)),Data!#REF!&lt;=(TODAY()-(Data_Val!$L$2*365.25))),0,1),1))</f>
        <v>#REF!</v>
      </c>
      <c r="AE947" s="11" t="e">
        <f>IF(Data!#REF!="","",IF(Data!$G947="",1,IF(ISNUMBER(MATCH(Data!#REF!,Data_Val!$D$2:$D$10,0)),0,1)))</f>
        <v>#REF!</v>
      </c>
      <c r="AF947" s="12"/>
      <c r="AG947" s="12" t="e">
        <f>IF(Data!#REF!="","",IF(ISNUMBER(MATCH(Data!#REF!,Data_Val!$A$2:$A$3,0)),0,1))</f>
        <v>#REF!</v>
      </c>
      <c r="AH947" s="26" t="e">
        <f ca="1">IF(Data!#REF!="","",IF(ISNUMBER(Data!#REF!),IF(AND(Data!#REF!&gt;(TODAY()-(Data_Val!$L$3*365.25)),Data!#REF!&lt;=(TODAY()-(Data_Val!$L$2*365.25))),0,1),1))</f>
        <v>#REF!</v>
      </c>
      <c r="AI947" s="12" t="e">
        <f>IF(Data!#REF!="","",IF(Data!$G947="",1,IF(ISNUMBER(MATCH(Data!#REF!,Data_Val!$D$2:$D$10,0)),0,1)))</f>
        <v>#REF!</v>
      </c>
      <c r="AJ947" s="17"/>
      <c r="AK947" s="17" t="e">
        <f>IF(Data!#REF!="","",IF(ISNUMBER(MATCH(Data!#REF!,Data_Val!$A$2:$A$3,0)),0,1))</f>
        <v>#REF!</v>
      </c>
      <c r="AL947" s="25" t="e">
        <f ca="1">IF(Data!#REF!="","",IF(ISNUMBER(Data!#REF!),IF(AND(Data!#REF!&gt;(TODAY()-(Data_Val!$L$3*365.25)),Data!#REF!&lt;=(TODAY()-(Data_Val!$L$2*365.25))),0,1),1))</f>
        <v>#REF!</v>
      </c>
      <c r="AM947" s="17" t="e">
        <f>IF(Data!#REF!="","",IF(Data!$G947="",1,IF(ISNUMBER(MATCH(Data!#REF!,Data_Val!$D$2:$D$10,0)),0,1)))</f>
        <v>#REF!</v>
      </c>
      <c r="AN947" s="13"/>
      <c r="AO947" s="28" t="e">
        <f ca="1">IF(Data!#REF!="","",IF(ISNUMBER(Data!#REF!),IF(AND(Data!#REF!&gt;(TODAY()-(Data_Val!$I$3*365.25)),Data!#REF!&lt;=(TODAY()-(Data_Val!$I$2*365.25))),0,1),1))</f>
        <v>#REF!</v>
      </c>
      <c r="AP947" s="13" t="e">
        <f>IF(Data!#REF!="","",IF(Data!$G947="",1,IF(ISNUMBER(MATCH(Data!#REF!,Data_Val!$D$2:$D$10,0)),0,1)))</f>
        <v>#REF!</v>
      </c>
      <c r="AQ947" s="17"/>
      <c r="AR947" s="30" t="e">
        <f ca="1">IF(Data!#REF!="","",IF(ISNUMBER(Data!#REF!),IF(AND(Data!#REF!&gt;(TODAY()-(Data_Val!$I$3*365.25)),Data!#REF!&lt;=(TODAY()-(Data_Val!$I$2*365.25))),0,1),1))</f>
        <v>#REF!</v>
      </c>
      <c r="AS947" s="31" t="e">
        <f>IF(Data!#REF!="","",IF(Data!$G947="",1,IF(ISNUMBER(MATCH(Data!#REF!,Data_Val!$D$2:$D$10,0)),0,1)))</f>
        <v>#REF!</v>
      </c>
      <c r="AT947" s="11"/>
      <c r="AU947" s="11" t="e">
        <f ca="1">IF(Data!#REF!="","",IF(ISNUMBER(Data!#REF!),IF(AND(Data!#REF!&gt;(TODAY()-(Data_Val!$I$3*365.25)),Data!#REF!&lt;=(TODAY()-(Data_Val!$I$2*365.25))),0,1),1))</f>
        <v>#REF!</v>
      </c>
      <c r="AV947" s="11" t="e">
        <f>IF(Data!#REF!="","",IF(Data!$G947="",1,IF(ISNUMBER(MATCH(Data!#REF!,Data_Val!$D$2:$D$10,0)),0,1)))</f>
        <v>#REF!</v>
      </c>
      <c r="AW947" s="12"/>
      <c r="AX947" s="26" t="e">
        <f ca="1">IF(Data!#REF!="","",IF(ISNUMBER(Data!#REF!),IF(AND(Data!#REF!&gt;(TODAY()-(Data_Val!$I$3*365.25)),Data!#REF!&lt;=(TODAY()-(Data_Val!$I$2*365.25))),0,1),1))</f>
        <v>#REF!</v>
      </c>
      <c r="AY947" s="12" t="e">
        <f>IF(Data!#REF!="","",IF(Data!$G947="",1,IF(ISNUMBER(MATCH(Data!#REF!,Data_Val!$D$2:$D$10,0)),0,1)))</f>
        <v>#REF!</v>
      </c>
      <c r="AZ947" s="11"/>
      <c r="BA947" s="19" t="e">
        <f ca="1">IF(Data!#REF!="","",IF(ISNUMBER(Data!#REF!),IF(AND(Data!#REF!&gt;(TODAY()-(Data_Val!$M$3*365.25)),Data!#REF!&lt;=(TODAY()-(Data_Val!$M$2*365.25))),0,1),1))</f>
        <v>#REF!</v>
      </c>
      <c r="BB947" s="11" t="e">
        <f>IF(Data!#REF!="","",IF(Data!$G947="",1,IF(ISNUMBER(MATCH(Data!#REF!,Data_Val!$D$2:$D$10,0)),0,1)))</f>
        <v>#REF!</v>
      </c>
      <c r="BC947" s="12"/>
      <c r="BD947" s="20" t="e">
        <f ca="1">IF(Data!#REF!="","",IF(ISNUMBER(Data!#REF!),IF(AND(Data!#REF!&gt;(TODAY()-(Data_Val!$M$3*365.25)),Data!#REF!&lt;=(TODAY()-(Data_Val!$M$2*365.25))),0,1),1))</f>
        <v>#REF!</v>
      </c>
      <c r="BE947" s="12" t="e">
        <f>IF(Data!#REF!="","",IF(Data!$G947="",1,IF(ISNUMBER(MATCH(Data!#REF!,Data_Val!$D$2:$D$10,0)),0,1)))</f>
        <v>#REF!</v>
      </c>
      <c r="BF947" s="17"/>
      <c r="BG947" s="18" t="e">
        <f ca="1">IF(Data!#REF!="","",IF(ISNUMBER(Data!#REF!),IF(AND(Data!#REF!&gt;(TODAY()-(Data_Val!$M$3*365.25)),Data!#REF!&lt;=(TODAY()-(Data_Val!$M$2*365.25))),0,1),1))</f>
        <v>#REF!</v>
      </c>
      <c r="BH947" s="29" t="e">
        <f>IF(Data!#REF!="","",IF(Data!$G947="",1,IF(ISNUMBER(MATCH(Data!#REF!,Data_Val!$D$2:$D$10,0)),0,1)))</f>
        <v>#REF!</v>
      </c>
      <c r="BI947" s="13"/>
      <c r="BJ947" s="21" t="e">
        <f ca="1">IF(Data!#REF!="","",IF(ISNUMBER(Data!#REF!),IF(AND(Data!#REF!&gt;(TODAY()-(Data_Val!$M$3*365.25)),Data!#REF!&lt;=(TODAY()-(Data_Val!$M$2*365.25))),0,1),1))</f>
        <v>#REF!</v>
      </c>
      <c r="BK947" s="13" t="e">
        <f>IF(Data!#REF!="","",IF(Data!$G947="",1,IF(ISNUMBER(MATCH(Data!#REF!,Data_Val!$D$2:$D$10,0)),0,1)))</f>
        <v>#REF!</v>
      </c>
    </row>
    <row r="948" spans="1:63" x14ac:dyDescent="0.25">
      <c r="A948" s="9" t="str">
        <f>IF(Data!B948="","",IF(COUNTIFS(Data!A$1:'Data'!A948,Data!A948)&lt;=1,0,1))</f>
        <v/>
      </c>
      <c r="B948" s="9"/>
      <c r="C948" s="23" t="str">
        <f>IF(Data!C948="","",(IF(ISNUMBER(MATCH("*@*.?*",Data!C948,0)),0,1)+IF(COUNTIFS(Data!C$1:'Data'!C948,Data!C948)&gt;1,1,0)))</f>
        <v/>
      </c>
      <c r="D948" s="9" t="str">
        <f>IF(Data!B948="","",IF(ISNUMBER(Data!D948),IF(AND(Data!D948&gt;999999999,Data!D948&lt;=9999999999),IF(COUNTIFS(Data!D$1:'Data'!D948,Data!D948)&lt;=1,0,1),1),1))</f>
        <v/>
      </c>
      <c r="E948" s="9" t="str">
        <f>IF(Data!B948="","",IF(ISNUMBER(MATCH(Data!E948,Data_Val!$A$2:$A$3,0)),0,1))</f>
        <v/>
      </c>
      <c r="F948" s="9" t="str">
        <f ca="1">IF(Data!B948="","",IF(ISNUMBER(Data!F948),IF(AND(Data!F948&gt;(TODAY()-(Data_Val!$H$3*365.25)),Data!F948&lt;=(TODAY()-(Data_Val!$H$2*365.25))),0,1),1))</f>
        <v/>
      </c>
      <c r="G948" s="15" t="str">
        <f>IF(Data!B948="","",IF(AND(Data!G948="",Data!H948&lt;&gt;""),1,IF(Data!#REF!&lt;&gt;"",0,IF(ISNUMBER(MATCH(Data!G948,Data_Val!$C$2:$C$5,0)),0,1))))</f>
        <v/>
      </c>
      <c r="H948" s="15" t="str">
        <f>IF(Data!B948="","",IF(AND(Data!G948&lt;&gt;"",Data!H948=""),1,IF(Data!#REF!&lt;&gt;"",0,IF(Data!G948="",1,IF(ISNUMBER(MATCH(Data!H948,Data_Val!$D$2:$D$35,0)),0,1)))))</f>
        <v/>
      </c>
      <c r="I948" s="15" t="str">
        <f>IF(Data!B948="","",IF(Data!G948&lt;&gt;"",0,IF(ISNUMBER(MATCH(Data!#REF!,Data_Val!$E$2:$E$12,0)),0,1)))</f>
        <v/>
      </c>
      <c r="J948" s="16" t="e">
        <f>IF(OR(Data!B948="",Data!#REF!=""),"",IF(Data!#REF!="",1,0))</f>
        <v>#REF!</v>
      </c>
      <c r="K948" s="16" t="e">
        <f>IF(OR(Data!B948="",Data!#REF!=""),"",IF(Data!#REF!="",1,0))</f>
        <v>#REF!</v>
      </c>
      <c r="L948" s="16" t="e">
        <f>IF(OR(Data!B948="",Data!#REF!=""),"",IF(ISNUMBER(Data!#REF!),IF(AND(Data!#REF!&gt;Data_Val!$G$2,Data!#REF!&lt;=Data_Val!$G$3),0,1),1))</f>
        <v>#REF!</v>
      </c>
      <c r="M948" s="9" t="e">
        <f>IF(OR(Data!B948="",Data!#REF!=""),"",IF(ISNUMBER(MATCH(Data!#REF!,Data_Val!$F$1:$F$38,0)),0,1))</f>
        <v>#REF!</v>
      </c>
      <c r="N948" s="9" t="e">
        <f>IF(OR(Data!B948="",Data!#REF!=""),"",IF(Data!#REF!="",1,0))</f>
        <v>#REF!</v>
      </c>
      <c r="O948" s="17" t="e">
        <f>IF(Data!#REF!="","",IF(Data!#REF!="",1,0))</f>
        <v>#REF!</v>
      </c>
      <c r="P948" s="17" t="e">
        <f>IF(Data!#REF!="","",IF(ISNUMBER(MATCH(Data!#REF!,Data_Val!$A$2:$A$3,0)),0,1))</f>
        <v>#REF!</v>
      </c>
      <c r="Q948" s="25" t="e">
        <f ca="1">IF(Data!#REF!="","",IF(ISNUMBER(Data!#REF!),IF(AND(Data!#REF!&gt;(TODAY()-(Data_Val!$J$3*365.25)),Data!#REF!&lt;=(TODAY()-(Data_Val!$J$2*365.25))),0,1),1))</f>
        <v>#REF!</v>
      </c>
      <c r="R948" s="17" t="e">
        <f>IF(Data!#REF!="","",IF(ISNUMBER(MATCH(Data!#REF!,Data_Val!$B$2:$B$15,0)),0,1))</f>
        <v>#REF!</v>
      </c>
      <c r="S948" s="11" t="str">
        <f>IF(Data!G948="","",IF(Data!G948=Data_Val!$C$2,IF(Data!M948="",0,1),0))</f>
        <v/>
      </c>
      <c r="T948" s="11" t="str">
        <f>IF(Data!M948="","",IF(ISNUMBER(MATCH(Data!N948,Data_Val!$A$2:$A$3,0)),0,1))</f>
        <v/>
      </c>
      <c r="U948" s="11" t="str">
        <f ca="1">IF(Data!M948="","",IF(ISNUMBER(Data!O948),IF(AND(Data!O948&gt;(TODAY()-(Data_Val!$K$3*365.25)),Data!O948&lt;=(TODAY()-(Data_Val!$K$2*365.25))),0,1),1))</f>
        <v/>
      </c>
      <c r="V948" s="12" t="str">
        <f>IF(Data!G948="","",IF(Data!G948=Data_Val!$C$2,IF(Data!P948="",0,1),0))</f>
        <v/>
      </c>
      <c r="W948" s="12" t="str">
        <f>IF(Data!P948="","",IF(ISNUMBER(MATCH(Data!Q948,Data_Val!$A$2:$A$3,0)),0,1))</f>
        <v/>
      </c>
      <c r="X948" s="26" t="str">
        <f ca="1">IF(Data!P948="","",IF(ISNUMBER(Data!R948),IF(AND(Data!R948&gt;(TODAY()-(Data_Val!$L$3*365.25)),Data!R948&lt;=(TODAY()-(Data_Val!$L$2*365.25))),0,1),1))</f>
        <v/>
      </c>
      <c r="Y948" s="13" t="str">
        <f>IF(Data!$G948="","",IF(Data!$G948=Data_Val!$C$2,IF(Data!S948="",0,1),0))</f>
        <v/>
      </c>
      <c r="Z948" s="13" t="str">
        <f>IF(Data!S948="","",IF(ISNUMBER(MATCH(Data!T948,Data_Val!$A$2:$A$3,0)),0,1))</f>
        <v/>
      </c>
      <c r="AA948" s="28" t="str">
        <f ca="1">IF(Data!S948="","",IF(ISNUMBER(Data!U948),IF(AND(Data!U948&gt;(TODAY()-(Data_Val!$L$3*365.25)),Data!U948&lt;=(TODAY()-(Data_Val!$L$2*365.25))),0,1),1))</f>
        <v/>
      </c>
      <c r="AB948" s="11"/>
      <c r="AC948" s="11" t="e">
        <f>IF(Data!#REF!="","",IF(ISNUMBER(MATCH(Data!#REF!,Data_Val!$A$2:$A$3,0)),0,1))</f>
        <v>#REF!</v>
      </c>
      <c r="AD948" s="11" t="e">
        <f ca="1">IF(Data!#REF!="","",IF(ISNUMBER(Data!#REF!),IF(AND(Data!#REF!&gt;(TODAY()-(Data_Val!$L$3*365.25)),Data!#REF!&lt;=(TODAY()-(Data_Val!$L$2*365.25))),0,1),1))</f>
        <v>#REF!</v>
      </c>
      <c r="AE948" s="11" t="e">
        <f>IF(Data!#REF!="","",IF(Data!$G948="",1,IF(ISNUMBER(MATCH(Data!#REF!,Data_Val!$D$2:$D$10,0)),0,1)))</f>
        <v>#REF!</v>
      </c>
      <c r="AF948" s="12"/>
      <c r="AG948" s="12" t="e">
        <f>IF(Data!#REF!="","",IF(ISNUMBER(MATCH(Data!#REF!,Data_Val!$A$2:$A$3,0)),0,1))</f>
        <v>#REF!</v>
      </c>
      <c r="AH948" s="26" t="e">
        <f ca="1">IF(Data!#REF!="","",IF(ISNUMBER(Data!#REF!),IF(AND(Data!#REF!&gt;(TODAY()-(Data_Val!$L$3*365.25)),Data!#REF!&lt;=(TODAY()-(Data_Val!$L$2*365.25))),0,1),1))</f>
        <v>#REF!</v>
      </c>
      <c r="AI948" s="12" t="e">
        <f>IF(Data!#REF!="","",IF(Data!$G948="",1,IF(ISNUMBER(MATCH(Data!#REF!,Data_Val!$D$2:$D$10,0)),0,1)))</f>
        <v>#REF!</v>
      </c>
      <c r="AJ948" s="17"/>
      <c r="AK948" s="17" t="e">
        <f>IF(Data!#REF!="","",IF(ISNUMBER(MATCH(Data!#REF!,Data_Val!$A$2:$A$3,0)),0,1))</f>
        <v>#REF!</v>
      </c>
      <c r="AL948" s="25" t="e">
        <f ca="1">IF(Data!#REF!="","",IF(ISNUMBER(Data!#REF!),IF(AND(Data!#REF!&gt;(TODAY()-(Data_Val!$L$3*365.25)),Data!#REF!&lt;=(TODAY()-(Data_Val!$L$2*365.25))),0,1),1))</f>
        <v>#REF!</v>
      </c>
      <c r="AM948" s="17" t="e">
        <f>IF(Data!#REF!="","",IF(Data!$G948="",1,IF(ISNUMBER(MATCH(Data!#REF!,Data_Val!$D$2:$D$10,0)),0,1)))</f>
        <v>#REF!</v>
      </c>
      <c r="AN948" s="13"/>
      <c r="AO948" s="28" t="e">
        <f ca="1">IF(Data!#REF!="","",IF(ISNUMBER(Data!#REF!),IF(AND(Data!#REF!&gt;(TODAY()-(Data_Val!$I$3*365.25)),Data!#REF!&lt;=(TODAY()-(Data_Val!$I$2*365.25))),0,1),1))</f>
        <v>#REF!</v>
      </c>
      <c r="AP948" s="13" t="e">
        <f>IF(Data!#REF!="","",IF(Data!$G948="",1,IF(ISNUMBER(MATCH(Data!#REF!,Data_Val!$D$2:$D$10,0)),0,1)))</f>
        <v>#REF!</v>
      </c>
      <c r="AQ948" s="17"/>
      <c r="AR948" s="30" t="e">
        <f ca="1">IF(Data!#REF!="","",IF(ISNUMBER(Data!#REF!),IF(AND(Data!#REF!&gt;(TODAY()-(Data_Val!$I$3*365.25)),Data!#REF!&lt;=(TODAY()-(Data_Val!$I$2*365.25))),0,1),1))</f>
        <v>#REF!</v>
      </c>
      <c r="AS948" s="31" t="e">
        <f>IF(Data!#REF!="","",IF(Data!$G948="",1,IF(ISNUMBER(MATCH(Data!#REF!,Data_Val!$D$2:$D$10,0)),0,1)))</f>
        <v>#REF!</v>
      </c>
      <c r="AT948" s="11"/>
      <c r="AU948" s="11" t="e">
        <f ca="1">IF(Data!#REF!="","",IF(ISNUMBER(Data!#REF!),IF(AND(Data!#REF!&gt;(TODAY()-(Data_Val!$I$3*365.25)),Data!#REF!&lt;=(TODAY()-(Data_Val!$I$2*365.25))),0,1),1))</f>
        <v>#REF!</v>
      </c>
      <c r="AV948" s="11" t="e">
        <f>IF(Data!#REF!="","",IF(Data!$G948="",1,IF(ISNUMBER(MATCH(Data!#REF!,Data_Val!$D$2:$D$10,0)),0,1)))</f>
        <v>#REF!</v>
      </c>
      <c r="AW948" s="12"/>
      <c r="AX948" s="26" t="e">
        <f ca="1">IF(Data!#REF!="","",IF(ISNUMBER(Data!#REF!),IF(AND(Data!#REF!&gt;(TODAY()-(Data_Val!$I$3*365.25)),Data!#REF!&lt;=(TODAY()-(Data_Val!$I$2*365.25))),0,1),1))</f>
        <v>#REF!</v>
      </c>
      <c r="AY948" s="12" t="e">
        <f>IF(Data!#REF!="","",IF(Data!$G948="",1,IF(ISNUMBER(MATCH(Data!#REF!,Data_Val!$D$2:$D$10,0)),0,1)))</f>
        <v>#REF!</v>
      </c>
      <c r="AZ948" s="11"/>
      <c r="BA948" s="19" t="e">
        <f ca="1">IF(Data!#REF!="","",IF(ISNUMBER(Data!#REF!),IF(AND(Data!#REF!&gt;(TODAY()-(Data_Val!$M$3*365.25)),Data!#REF!&lt;=(TODAY()-(Data_Val!$M$2*365.25))),0,1),1))</f>
        <v>#REF!</v>
      </c>
      <c r="BB948" s="11" t="e">
        <f>IF(Data!#REF!="","",IF(Data!$G948="",1,IF(ISNUMBER(MATCH(Data!#REF!,Data_Val!$D$2:$D$10,0)),0,1)))</f>
        <v>#REF!</v>
      </c>
      <c r="BC948" s="12"/>
      <c r="BD948" s="20" t="e">
        <f ca="1">IF(Data!#REF!="","",IF(ISNUMBER(Data!#REF!),IF(AND(Data!#REF!&gt;(TODAY()-(Data_Val!$M$3*365.25)),Data!#REF!&lt;=(TODAY()-(Data_Val!$M$2*365.25))),0,1),1))</f>
        <v>#REF!</v>
      </c>
      <c r="BE948" s="12" t="e">
        <f>IF(Data!#REF!="","",IF(Data!$G948="",1,IF(ISNUMBER(MATCH(Data!#REF!,Data_Val!$D$2:$D$10,0)),0,1)))</f>
        <v>#REF!</v>
      </c>
      <c r="BF948" s="17"/>
      <c r="BG948" s="18" t="e">
        <f ca="1">IF(Data!#REF!="","",IF(ISNUMBER(Data!#REF!),IF(AND(Data!#REF!&gt;(TODAY()-(Data_Val!$M$3*365.25)),Data!#REF!&lt;=(TODAY()-(Data_Val!$M$2*365.25))),0,1),1))</f>
        <v>#REF!</v>
      </c>
      <c r="BH948" s="29" t="e">
        <f>IF(Data!#REF!="","",IF(Data!$G948="",1,IF(ISNUMBER(MATCH(Data!#REF!,Data_Val!$D$2:$D$10,0)),0,1)))</f>
        <v>#REF!</v>
      </c>
      <c r="BI948" s="13"/>
      <c r="BJ948" s="21" t="e">
        <f ca="1">IF(Data!#REF!="","",IF(ISNUMBER(Data!#REF!),IF(AND(Data!#REF!&gt;(TODAY()-(Data_Val!$M$3*365.25)),Data!#REF!&lt;=(TODAY()-(Data_Val!$M$2*365.25))),0,1),1))</f>
        <v>#REF!</v>
      </c>
      <c r="BK948" s="13" t="e">
        <f>IF(Data!#REF!="","",IF(Data!$G948="",1,IF(ISNUMBER(MATCH(Data!#REF!,Data_Val!$D$2:$D$10,0)),0,1)))</f>
        <v>#REF!</v>
      </c>
    </row>
    <row r="949" spans="1:63" x14ac:dyDescent="0.25">
      <c r="A949" s="9" t="str">
        <f>IF(Data!B949="","",IF(COUNTIFS(Data!A$1:'Data'!A949,Data!A949)&lt;=1,0,1))</f>
        <v/>
      </c>
      <c r="B949" s="9"/>
      <c r="C949" s="23" t="str">
        <f>IF(Data!C949="","",(IF(ISNUMBER(MATCH("*@*.?*",Data!C949,0)),0,1)+IF(COUNTIFS(Data!C$1:'Data'!C949,Data!C949)&gt;1,1,0)))</f>
        <v/>
      </c>
      <c r="D949" s="9" t="str">
        <f>IF(Data!B949="","",IF(ISNUMBER(Data!D949),IF(AND(Data!D949&gt;999999999,Data!D949&lt;=9999999999),IF(COUNTIFS(Data!D$1:'Data'!D949,Data!D949)&lt;=1,0,1),1),1))</f>
        <v/>
      </c>
      <c r="E949" s="9" t="str">
        <f>IF(Data!B949="","",IF(ISNUMBER(MATCH(Data!E949,Data_Val!$A$2:$A$3,0)),0,1))</f>
        <v/>
      </c>
      <c r="F949" s="9" t="str">
        <f ca="1">IF(Data!B949="","",IF(ISNUMBER(Data!F949),IF(AND(Data!F949&gt;(TODAY()-(Data_Val!$H$3*365.25)),Data!F949&lt;=(TODAY()-(Data_Val!$H$2*365.25))),0,1),1))</f>
        <v/>
      </c>
      <c r="G949" s="15" t="str">
        <f>IF(Data!B949="","",IF(AND(Data!G949="",Data!H949&lt;&gt;""),1,IF(Data!#REF!&lt;&gt;"",0,IF(ISNUMBER(MATCH(Data!G949,Data_Val!$C$2:$C$5,0)),0,1))))</f>
        <v/>
      </c>
      <c r="H949" s="15" t="str">
        <f>IF(Data!B949="","",IF(AND(Data!G949&lt;&gt;"",Data!H949=""),1,IF(Data!#REF!&lt;&gt;"",0,IF(Data!G949="",1,IF(ISNUMBER(MATCH(Data!H949,Data_Val!$D$2:$D$35,0)),0,1)))))</f>
        <v/>
      </c>
      <c r="I949" s="15" t="str">
        <f>IF(Data!B949="","",IF(Data!G949&lt;&gt;"",0,IF(ISNUMBER(MATCH(Data!#REF!,Data_Val!$E$2:$E$12,0)),0,1)))</f>
        <v/>
      </c>
      <c r="J949" s="16" t="e">
        <f>IF(OR(Data!B949="",Data!#REF!=""),"",IF(Data!#REF!="",1,0))</f>
        <v>#REF!</v>
      </c>
      <c r="K949" s="16" t="e">
        <f>IF(OR(Data!B949="",Data!#REF!=""),"",IF(Data!#REF!="",1,0))</f>
        <v>#REF!</v>
      </c>
      <c r="L949" s="16" t="e">
        <f>IF(OR(Data!B949="",Data!#REF!=""),"",IF(ISNUMBER(Data!#REF!),IF(AND(Data!#REF!&gt;Data_Val!$G$2,Data!#REF!&lt;=Data_Val!$G$3),0,1),1))</f>
        <v>#REF!</v>
      </c>
      <c r="M949" s="9" t="e">
        <f>IF(OR(Data!B949="",Data!#REF!=""),"",IF(ISNUMBER(MATCH(Data!#REF!,Data_Val!$F$1:$F$38,0)),0,1))</f>
        <v>#REF!</v>
      </c>
      <c r="N949" s="9" t="e">
        <f>IF(OR(Data!B949="",Data!#REF!=""),"",IF(Data!#REF!="",1,0))</f>
        <v>#REF!</v>
      </c>
      <c r="O949" s="17" t="e">
        <f>IF(Data!#REF!="","",IF(Data!#REF!="",1,0))</f>
        <v>#REF!</v>
      </c>
      <c r="P949" s="17" t="e">
        <f>IF(Data!#REF!="","",IF(ISNUMBER(MATCH(Data!#REF!,Data_Val!$A$2:$A$3,0)),0,1))</f>
        <v>#REF!</v>
      </c>
      <c r="Q949" s="25" t="e">
        <f ca="1">IF(Data!#REF!="","",IF(ISNUMBER(Data!#REF!),IF(AND(Data!#REF!&gt;(TODAY()-(Data_Val!$J$3*365.25)),Data!#REF!&lt;=(TODAY()-(Data_Val!$J$2*365.25))),0,1),1))</f>
        <v>#REF!</v>
      </c>
      <c r="R949" s="17" t="e">
        <f>IF(Data!#REF!="","",IF(ISNUMBER(MATCH(Data!#REF!,Data_Val!$B$2:$B$15,0)),0,1))</f>
        <v>#REF!</v>
      </c>
      <c r="S949" s="11" t="str">
        <f>IF(Data!G949="","",IF(Data!G949=Data_Val!$C$2,IF(Data!M949="",0,1),0))</f>
        <v/>
      </c>
      <c r="T949" s="11" t="str">
        <f>IF(Data!M949="","",IF(ISNUMBER(MATCH(Data!N949,Data_Val!$A$2:$A$3,0)),0,1))</f>
        <v/>
      </c>
      <c r="U949" s="11" t="str">
        <f ca="1">IF(Data!M949="","",IF(ISNUMBER(Data!O949),IF(AND(Data!O949&gt;(TODAY()-(Data_Val!$K$3*365.25)),Data!O949&lt;=(TODAY()-(Data_Val!$K$2*365.25))),0,1),1))</f>
        <v/>
      </c>
      <c r="V949" s="12" t="str">
        <f>IF(Data!G949="","",IF(Data!G949=Data_Val!$C$2,IF(Data!P949="",0,1),0))</f>
        <v/>
      </c>
      <c r="W949" s="12" t="str">
        <f>IF(Data!P949="","",IF(ISNUMBER(MATCH(Data!Q949,Data_Val!$A$2:$A$3,0)),0,1))</f>
        <v/>
      </c>
      <c r="X949" s="26" t="str">
        <f ca="1">IF(Data!P949="","",IF(ISNUMBER(Data!R949),IF(AND(Data!R949&gt;(TODAY()-(Data_Val!$L$3*365.25)),Data!R949&lt;=(TODAY()-(Data_Val!$L$2*365.25))),0,1),1))</f>
        <v/>
      </c>
      <c r="Y949" s="13" t="str">
        <f>IF(Data!$G949="","",IF(Data!$G949=Data_Val!$C$2,IF(Data!S949="",0,1),0))</f>
        <v/>
      </c>
      <c r="Z949" s="13" t="str">
        <f>IF(Data!S949="","",IF(ISNUMBER(MATCH(Data!T949,Data_Val!$A$2:$A$3,0)),0,1))</f>
        <v/>
      </c>
      <c r="AA949" s="28" t="str">
        <f ca="1">IF(Data!S949="","",IF(ISNUMBER(Data!U949),IF(AND(Data!U949&gt;(TODAY()-(Data_Val!$L$3*365.25)),Data!U949&lt;=(TODAY()-(Data_Val!$L$2*365.25))),0,1),1))</f>
        <v/>
      </c>
      <c r="AB949" s="11"/>
      <c r="AC949" s="11" t="e">
        <f>IF(Data!#REF!="","",IF(ISNUMBER(MATCH(Data!#REF!,Data_Val!$A$2:$A$3,0)),0,1))</f>
        <v>#REF!</v>
      </c>
      <c r="AD949" s="11" t="e">
        <f ca="1">IF(Data!#REF!="","",IF(ISNUMBER(Data!#REF!),IF(AND(Data!#REF!&gt;(TODAY()-(Data_Val!$L$3*365.25)),Data!#REF!&lt;=(TODAY()-(Data_Val!$L$2*365.25))),0,1),1))</f>
        <v>#REF!</v>
      </c>
      <c r="AE949" s="11" t="e">
        <f>IF(Data!#REF!="","",IF(Data!$G949="",1,IF(ISNUMBER(MATCH(Data!#REF!,Data_Val!$D$2:$D$10,0)),0,1)))</f>
        <v>#REF!</v>
      </c>
      <c r="AF949" s="12"/>
      <c r="AG949" s="12" t="e">
        <f>IF(Data!#REF!="","",IF(ISNUMBER(MATCH(Data!#REF!,Data_Val!$A$2:$A$3,0)),0,1))</f>
        <v>#REF!</v>
      </c>
      <c r="AH949" s="26" t="e">
        <f ca="1">IF(Data!#REF!="","",IF(ISNUMBER(Data!#REF!),IF(AND(Data!#REF!&gt;(TODAY()-(Data_Val!$L$3*365.25)),Data!#REF!&lt;=(TODAY()-(Data_Val!$L$2*365.25))),0,1),1))</f>
        <v>#REF!</v>
      </c>
      <c r="AI949" s="12" t="e">
        <f>IF(Data!#REF!="","",IF(Data!$G949="",1,IF(ISNUMBER(MATCH(Data!#REF!,Data_Val!$D$2:$D$10,0)),0,1)))</f>
        <v>#REF!</v>
      </c>
      <c r="AJ949" s="17"/>
      <c r="AK949" s="17" t="e">
        <f>IF(Data!#REF!="","",IF(ISNUMBER(MATCH(Data!#REF!,Data_Val!$A$2:$A$3,0)),0,1))</f>
        <v>#REF!</v>
      </c>
      <c r="AL949" s="25" t="e">
        <f ca="1">IF(Data!#REF!="","",IF(ISNUMBER(Data!#REF!),IF(AND(Data!#REF!&gt;(TODAY()-(Data_Val!$L$3*365.25)),Data!#REF!&lt;=(TODAY()-(Data_Val!$L$2*365.25))),0,1),1))</f>
        <v>#REF!</v>
      </c>
      <c r="AM949" s="17" t="e">
        <f>IF(Data!#REF!="","",IF(Data!$G949="",1,IF(ISNUMBER(MATCH(Data!#REF!,Data_Val!$D$2:$D$10,0)),0,1)))</f>
        <v>#REF!</v>
      </c>
      <c r="AN949" s="13"/>
      <c r="AO949" s="28" t="e">
        <f ca="1">IF(Data!#REF!="","",IF(ISNUMBER(Data!#REF!),IF(AND(Data!#REF!&gt;(TODAY()-(Data_Val!$I$3*365.25)),Data!#REF!&lt;=(TODAY()-(Data_Val!$I$2*365.25))),0,1),1))</f>
        <v>#REF!</v>
      </c>
      <c r="AP949" s="13" t="e">
        <f>IF(Data!#REF!="","",IF(Data!$G949="",1,IF(ISNUMBER(MATCH(Data!#REF!,Data_Val!$D$2:$D$10,0)),0,1)))</f>
        <v>#REF!</v>
      </c>
      <c r="AQ949" s="17"/>
      <c r="AR949" s="30" t="e">
        <f ca="1">IF(Data!#REF!="","",IF(ISNUMBER(Data!#REF!),IF(AND(Data!#REF!&gt;(TODAY()-(Data_Val!$I$3*365.25)),Data!#REF!&lt;=(TODAY()-(Data_Val!$I$2*365.25))),0,1),1))</f>
        <v>#REF!</v>
      </c>
      <c r="AS949" s="31" t="e">
        <f>IF(Data!#REF!="","",IF(Data!$G949="",1,IF(ISNUMBER(MATCH(Data!#REF!,Data_Val!$D$2:$D$10,0)),0,1)))</f>
        <v>#REF!</v>
      </c>
      <c r="AT949" s="11"/>
      <c r="AU949" s="11" t="e">
        <f ca="1">IF(Data!#REF!="","",IF(ISNUMBER(Data!#REF!),IF(AND(Data!#REF!&gt;(TODAY()-(Data_Val!$I$3*365.25)),Data!#REF!&lt;=(TODAY()-(Data_Val!$I$2*365.25))),0,1),1))</f>
        <v>#REF!</v>
      </c>
      <c r="AV949" s="11" t="e">
        <f>IF(Data!#REF!="","",IF(Data!$G949="",1,IF(ISNUMBER(MATCH(Data!#REF!,Data_Val!$D$2:$D$10,0)),0,1)))</f>
        <v>#REF!</v>
      </c>
      <c r="AW949" s="12"/>
      <c r="AX949" s="26" t="e">
        <f ca="1">IF(Data!#REF!="","",IF(ISNUMBER(Data!#REF!),IF(AND(Data!#REF!&gt;(TODAY()-(Data_Val!$I$3*365.25)),Data!#REF!&lt;=(TODAY()-(Data_Val!$I$2*365.25))),0,1),1))</f>
        <v>#REF!</v>
      </c>
      <c r="AY949" s="12" t="e">
        <f>IF(Data!#REF!="","",IF(Data!$G949="",1,IF(ISNUMBER(MATCH(Data!#REF!,Data_Val!$D$2:$D$10,0)),0,1)))</f>
        <v>#REF!</v>
      </c>
      <c r="AZ949" s="11"/>
      <c r="BA949" s="19" t="e">
        <f ca="1">IF(Data!#REF!="","",IF(ISNUMBER(Data!#REF!),IF(AND(Data!#REF!&gt;(TODAY()-(Data_Val!$M$3*365.25)),Data!#REF!&lt;=(TODAY()-(Data_Val!$M$2*365.25))),0,1),1))</f>
        <v>#REF!</v>
      </c>
      <c r="BB949" s="11" t="e">
        <f>IF(Data!#REF!="","",IF(Data!$G949="",1,IF(ISNUMBER(MATCH(Data!#REF!,Data_Val!$D$2:$D$10,0)),0,1)))</f>
        <v>#REF!</v>
      </c>
      <c r="BC949" s="12"/>
      <c r="BD949" s="20" t="e">
        <f ca="1">IF(Data!#REF!="","",IF(ISNUMBER(Data!#REF!),IF(AND(Data!#REF!&gt;(TODAY()-(Data_Val!$M$3*365.25)),Data!#REF!&lt;=(TODAY()-(Data_Val!$M$2*365.25))),0,1),1))</f>
        <v>#REF!</v>
      </c>
      <c r="BE949" s="12" t="e">
        <f>IF(Data!#REF!="","",IF(Data!$G949="",1,IF(ISNUMBER(MATCH(Data!#REF!,Data_Val!$D$2:$D$10,0)),0,1)))</f>
        <v>#REF!</v>
      </c>
      <c r="BF949" s="17"/>
      <c r="BG949" s="18" t="e">
        <f ca="1">IF(Data!#REF!="","",IF(ISNUMBER(Data!#REF!),IF(AND(Data!#REF!&gt;(TODAY()-(Data_Val!$M$3*365.25)),Data!#REF!&lt;=(TODAY()-(Data_Val!$M$2*365.25))),0,1),1))</f>
        <v>#REF!</v>
      </c>
      <c r="BH949" s="29" t="e">
        <f>IF(Data!#REF!="","",IF(Data!$G949="",1,IF(ISNUMBER(MATCH(Data!#REF!,Data_Val!$D$2:$D$10,0)),0,1)))</f>
        <v>#REF!</v>
      </c>
      <c r="BI949" s="13"/>
      <c r="BJ949" s="21" t="e">
        <f ca="1">IF(Data!#REF!="","",IF(ISNUMBER(Data!#REF!),IF(AND(Data!#REF!&gt;(TODAY()-(Data_Val!$M$3*365.25)),Data!#REF!&lt;=(TODAY()-(Data_Val!$M$2*365.25))),0,1),1))</f>
        <v>#REF!</v>
      </c>
      <c r="BK949" s="13" t="e">
        <f>IF(Data!#REF!="","",IF(Data!$G949="",1,IF(ISNUMBER(MATCH(Data!#REF!,Data_Val!$D$2:$D$10,0)),0,1)))</f>
        <v>#REF!</v>
      </c>
    </row>
    <row r="950" spans="1:63" x14ac:dyDescent="0.25">
      <c r="A950" s="9" t="str">
        <f>IF(Data!B950="","",IF(COUNTIFS(Data!A$1:'Data'!A950,Data!A950)&lt;=1,0,1))</f>
        <v/>
      </c>
      <c r="B950" s="9"/>
      <c r="C950" s="23" t="str">
        <f>IF(Data!C950="","",(IF(ISNUMBER(MATCH("*@*.?*",Data!C950,0)),0,1)+IF(COUNTIFS(Data!C$1:'Data'!C950,Data!C950)&gt;1,1,0)))</f>
        <v/>
      </c>
      <c r="D950" s="9" t="str">
        <f>IF(Data!B950="","",IF(ISNUMBER(Data!D950),IF(AND(Data!D950&gt;999999999,Data!D950&lt;=9999999999),IF(COUNTIFS(Data!D$1:'Data'!D950,Data!D950)&lt;=1,0,1),1),1))</f>
        <v/>
      </c>
      <c r="E950" s="9" t="str">
        <f>IF(Data!B950="","",IF(ISNUMBER(MATCH(Data!E950,Data_Val!$A$2:$A$3,0)),0,1))</f>
        <v/>
      </c>
      <c r="F950" s="9" t="str">
        <f ca="1">IF(Data!B950="","",IF(ISNUMBER(Data!F950),IF(AND(Data!F950&gt;(TODAY()-(Data_Val!$H$3*365.25)),Data!F950&lt;=(TODAY()-(Data_Val!$H$2*365.25))),0,1),1))</f>
        <v/>
      </c>
      <c r="G950" s="15" t="str">
        <f>IF(Data!B950="","",IF(AND(Data!G950="",Data!H950&lt;&gt;""),1,IF(Data!#REF!&lt;&gt;"",0,IF(ISNUMBER(MATCH(Data!G950,Data_Val!$C$2:$C$5,0)),0,1))))</f>
        <v/>
      </c>
      <c r="H950" s="15" t="str">
        <f>IF(Data!B950="","",IF(AND(Data!G950&lt;&gt;"",Data!H950=""),1,IF(Data!#REF!&lt;&gt;"",0,IF(Data!G950="",1,IF(ISNUMBER(MATCH(Data!H950,Data_Val!$D$2:$D$35,0)),0,1)))))</f>
        <v/>
      </c>
      <c r="I950" s="15" t="str">
        <f>IF(Data!B950="","",IF(Data!G950&lt;&gt;"",0,IF(ISNUMBER(MATCH(Data!#REF!,Data_Val!$E$2:$E$12,0)),0,1)))</f>
        <v/>
      </c>
      <c r="J950" s="16" t="e">
        <f>IF(OR(Data!B950="",Data!#REF!=""),"",IF(Data!#REF!="",1,0))</f>
        <v>#REF!</v>
      </c>
      <c r="K950" s="16" t="e">
        <f>IF(OR(Data!B950="",Data!#REF!=""),"",IF(Data!#REF!="",1,0))</f>
        <v>#REF!</v>
      </c>
      <c r="L950" s="16" t="e">
        <f>IF(OR(Data!B950="",Data!#REF!=""),"",IF(ISNUMBER(Data!#REF!),IF(AND(Data!#REF!&gt;Data_Val!$G$2,Data!#REF!&lt;=Data_Val!$G$3),0,1),1))</f>
        <v>#REF!</v>
      </c>
      <c r="M950" s="9" t="e">
        <f>IF(OR(Data!B950="",Data!#REF!=""),"",IF(ISNUMBER(MATCH(Data!#REF!,Data_Val!$F$1:$F$38,0)),0,1))</f>
        <v>#REF!</v>
      </c>
      <c r="N950" s="9" t="e">
        <f>IF(OR(Data!B950="",Data!#REF!=""),"",IF(Data!#REF!="",1,0))</f>
        <v>#REF!</v>
      </c>
      <c r="O950" s="17" t="e">
        <f>IF(Data!#REF!="","",IF(Data!#REF!="",1,0))</f>
        <v>#REF!</v>
      </c>
      <c r="P950" s="17" t="e">
        <f>IF(Data!#REF!="","",IF(ISNUMBER(MATCH(Data!#REF!,Data_Val!$A$2:$A$3,0)),0,1))</f>
        <v>#REF!</v>
      </c>
      <c r="Q950" s="25" t="e">
        <f ca="1">IF(Data!#REF!="","",IF(ISNUMBER(Data!#REF!),IF(AND(Data!#REF!&gt;(TODAY()-(Data_Val!$J$3*365.25)),Data!#REF!&lt;=(TODAY()-(Data_Val!$J$2*365.25))),0,1),1))</f>
        <v>#REF!</v>
      </c>
      <c r="R950" s="17" t="e">
        <f>IF(Data!#REF!="","",IF(ISNUMBER(MATCH(Data!#REF!,Data_Val!$B$2:$B$15,0)),0,1))</f>
        <v>#REF!</v>
      </c>
      <c r="S950" s="11" t="str">
        <f>IF(Data!G950="","",IF(Data!G950=Data_Val!$C$2,IF(Data!M950="",0,1),0))</f>
        <v/>
      </c>
      <c r="T950" s="11" t="str">
        <f>IF(Data!M950="","",IF(ISNUMBER(MATCH(Data!N950,Data_Val!$A$2:$A$3,0)),0,1))</f>
        <v/>
      </c>
      <c r="U950" s="11" t="str">
        <f ca="1">IF(Data!M950="","",IF(ISNUMBER(Data!O950),IF(AND(Data!O950&gt;(TODAY()-(Data_Val!$K$3*365.25)),Data!O950&lt;=(TODAY()-(Data_Val!$K$2*365.25))),0,1),1))</f>
        <v/>
      </c>
      <c r="V950" s="12" t="str">
        <f>IF(Data!G950="","",IF(Data!G950=Data_Val!$C$2,IF(Data!P950="",0,1),0))</f>
        <v/>
      </c>
      <c r="W950" s="12" t="str">
        <f>IF(Data!P950="","",IF(ISNUMBER(MATCH(Data!Q950,Data_Val!$A$2:$A$3,0)),0,1))</f>
        <v/>
      </c>
      <c r="X950" s="26" t="str">
        <f ca="1">IF(Data!P950="","",IF(ISNUMBER(Data!R950),IF(AND(Data!R950&gt;(TODAY()-(Data_Val!$L$3*365.25)),Data!R950&lt;=(TODAY()-(Data_Val!$L$2*365.25))),0,1),1))</f>
        <v/>
      </c>
      <c r="Y950" s="13" t="str">
        <f>IF(Data!$G950="","",IF(Data!$G950=Data_Val!$C$2,IF(Data!S950="",0,1),0))</f>
        <v/>
      </c>
      <c r="Z950" s="13" t="str">
        <f>IF(Data!S950="","",IF(ISNUMBER(MATCH(Data!T950,Data_Val!$A$2:$A$3,0)),0,1))</f>
        <v/>
      </c>
      <c r="AA950" s="28" t="str">
        <f ca="1">IF(Data!S950="","",IF(ISNUMBER(Data!U950),IF(AND(Data!U950&gt;(TODAY()-(Data_Val!$L$3*365.25)),Data!U950&lt;=(TODAY()-(Data_Val!$L$2*365.25))),0,1),1))</f>
        <v/>
      </c>
      <c r="AB950" s="11"/>
      <c r="AC950" s="11" t="e">
        <f>IF(Data!#REF!="","",IF(ISNUMBER(MATCH(Data!#REF!,Data_Val!$A$2:$A$3,0)),0,1))</f>
        <v>#REF!</v>
      </c>
      <c r="AD950" s="11" t="e">
        <f ca="1">IF(Data!#REF!="","",IF(ISNUMBER(Data!#REF!),IF(AND(Data!#REF!&gt;(TODAY()-(Data_Val!$L$3*365.25)),Data!#REF!&lt;=(TODAY()-(Data_Val!$L$2*365.25))),0,1),1))</f>
        <v>#REF!</v>
      </c>
      <c r="AE950" s="11" t="e">
        <f>IF(Data!#REF!="","",IF(Data!$G950="",1,IF(ISNUMBER(MATCH(Data!#REF!,Data_Val!$D$2:$D$10,0)),0,1)))</f>
        <v>#REF!</v>
      </c>
      <c r="AF950" s="12"/>
      <c r="AG950" s="12" t="e">
        <f>IF(Data!#REF!="","",IF(ISNUMBER(MATCH(Data!#REF!,Data_Val!$A$2:$A$3,0)),0,1))</f>
        <v>#REF!</v>
      </c>
      <c r="AH950" s="26" t="e">
        <f ca="1">IF(Data!#REF!="","",IF(ISNUMBER(Data!#REF!),IF(AND(Data!#REF!&gt;(TODAY()-(Data_Val!$L$3*365.25)),Data!#REF!&lt;=(TODAY()-(Data_Val!$L$2*365.25))),0,1),1))</f>
        <v>#REF!</v>
      </c>
      <c r="AI950" s="12" t="e">
        <f>IF(Data!#REF!="","",IF(Data!$G950="",1,IF(ISNUMBER(MATCH(Data!#REF!,Data_Val!$D$2:$D$10,0)),0,1)))</f>
        <v>#REF!</v>
      </c>
      <c r="AJ950" s="17"/>
      <c r="AK950" s="17" t="e">
        <f>IF(Data!#REF!="","",IF(ISNUMBER(MATCH(Data!#REF!,Data_Val!$A$2:$A$3,0)),0,1))</f>
        <v>#REF!</v>
      </c>
      <c r="AL950" s="25" t="e">
        <f ca="1">IF(Data!#REF!="","",IF(ISNUMBER(Data!#REF!),IF(AND(Data!#REF!&gt;(TODAY()-(Data_Val!$L$3*365.25)),Data!#REF!&lt;=(TODAY()-(Data_Val!$L$2*365.25))),0,1),1))</f>
        <v>#REF!</v>
      </c>
      <c r="AM950" s="17" t="e">
        <f>IF(Data!#REF!="","",IF(Data!$G950="",1,IF(ISNUMBER(MATCH(Data!#REF!,Data_Val!$D$2:$D$10,0)),0,1)))</f>
        <v>#REF!</v>
      </c>
      <c r="AN950" s="13"/>
      <c r="AO950" s="28" t="e">
        <f ca="1">IF(Data!#REF!="","",IF(ISNUMBER(Data!#REF!),IF(AND(Data!#REF!&gt;(TODAY()-(Data_Val!$I$3*365.25)),Data!#REF!&lt;=(TODAY()-(Data_Val!$I$2*365.25))),0,1),1))</f>
        <v>#REF!</v>
      </c>
      <c r="AP950" s="13" t="e">
        <f>IF(Data!#REF!="","",IF(Data!$G950="",1,IF(ISNUMBER(MATCH(Data!#REF!,Data_Val!$D$2:$D$10,0)),0,1)))</f>
        <v>#REF!</v>
      </c>
      <c r="AQ950" s="17"/>
      <c r="AR950" s="30" t="e">
        <f ca="1">IF(Data!#REF!="","",IF(ISNUMBER(Data!#REF!),IF(AND(Data!#REF!&gt;(TODAY()-(Data_Val!$I$3*365.25)),Data!#REF!&lt;=(TODAY()-(Data_Val!$I$2*365.25))),0,1),1))</f>
        <v>#REF!</v>
      </c>
      <c r="AS950" s="31" t="e">
        <f>IF(Data!#REF!="","",IF(Data!$G950="",1,IF(ISNUMBER(MATCH(Data!#REF!,Data_Val!$D$2:$D$10,0)),0,1)))</f>
        <v>#REF!</v>
      </c>
      <c r="AT950" s="11"/>
      <c r="AU950" s="11" t="e">
        <f ca="1">IF(Data!#REF!="","",IF(ISNUMBER(Data!#REF!),IF(AND(Data!#REF!&gt;(TODAY()-(Data_Val!$I$3*365.25)),Data!#REF!&lt;=(TODAY()-(Data_Val!$I$2*365.25))),0,1),1))</f>
        <v>#REF!</v>
      </c>
      <c r="AV950" s="11" t="e">
        <f>IF(Data!#REF!="","",IF(Data!$G950="",1,IF(ISNUMBER(MATCH(Data!#REF!,Data_Val!$D$2:$D$10,0)),0,1)))</f>
        <v>#REF!</v>
      </c>
      <c r="AW950" s="12"/>
      <c r="AX950" s="26" t="e">
        <f ca="1">IF(Data!#REF!="","",IF(ISNUMBER(Data!#REF!),IF(AND(Data!#REF!&gt;(TODAY()-(Data_Val!$I$3*365.25)),Data!#REF!&lt;=(TODAY()-(Data_Val!$I$2*365.25))),0,1),1))</f>
        <v>#REF!</v>
      </c>
      <c r="AY950" s="12" t="e">
        <f>IF(Data!#REF!="","",IF(Data!$G950="",1,IF(ISNUMBER(MATCH(Data!#REF!,Data_Val!$D$2:$D$10,0)),0,1)))</f>
        <v>#REF!</v>
      </c>
      <c r="AZ950" s="11"/>
      <c r="BA950" s="19" t="e">
        <f ca="1">IF(Data!#REF!="","",IF(ISNUMBER(Data!#REF!),IF(AND(Data!#REF!&gt;(TODAY()-(Data_Val!$M$3*365.25)),Data!#REF!&lt;=(TODAY()-(Data_Val!$M$2*365.25))),0,1),1))</f>
        <v>#REF!</v>
      </c>
      <c r="BB950" s="11" t="e">
        <f>IF(Data!#REF!="","",IF(Data!$G950="",1,IF(ISNUMBER(MATCH(Data!#REF!,Data_Val!$D$2:$D$10,0)),0,1)))</f>
        <v>#REF!</v>
      </c>
      <c r="BC950" s="12"/>
      <c r="BD950" s="20" t="e">
        <f ca="1">IF(Data!#REF!="","",IF(ISNUMBER(Data!#REF!),IF(AND(Data!#REF!&gt;(TODAY()-(Data_Val!$M$3*365.25)),Data!#REF!&lt;=(TODAY()-(Data_Val!$M$2*365.25))),0,1),1))</f>
        <v>#REF!</v>
      </c>
      <c r="BE950" s="12" t="e">
        <f>IF(Data!#REF!="","",IF(Data!$G950="",1,IF(ISNUMBER(MATCH(Data!#REF!,Data_Val!$D$2:$D$10,0)),0,1)))</f>
        <v>#REF!</v>
      </c>
      <c r="BF950" s="17"/>
      <c r="BG950" s="18" t="e">
        <f ca="1">IF(Data!#REF!="","",IF(ISNUMBER(Data!#REF!),IF(AND(Data!#REF!&gt;(TODAY()-(Data_Val!$M$3*365.25)),Data!#REF!&lt;=(TODAY()-(Data_Val!$M$2*365.25))),0,1),1))</f>
        <v>#REF!</v>
      </c>
      <c r="BH950" s="29" t="e">
        <f>IF(Data!#REF!="","",IF(Data!$G950="",1,IF(ISNUMBER(MATCH(Data!#REF!,Data_Val!$D$2:$D$10,0)),0,1)))</f>
        <v>#REF!</v>
      </c>
      <c r="BI950" s="13"/>
      <c r="BJ950" s="21" t="e">
        <f ca="1">IF(Data!#REF!="","",IF(ISNUMBER(Data!#REF!),IF(AND(Data!#REF!&gt;(TODAY()-(Data_Val!$M$3*365.25)),Data!#REF!&lt;=(TODAY()-(Data_Val!$M$2*365.25))),0,1),1))</f>
        <v>#REF!</v>
      </c>
      <c r="BK950" s="13" t="e">
        <f>IF(Data!#REF!="","",IF(Data!$G950="",1,IF(ISNUMBER(MATCH(Data!#REF!,Data_Val!$D$2:$D$10,0)),0,1)))</f>
        <v>#REF!</v>
      </c>
    </row>
    <row r="951" spans="1:63" x14ac:dyDescent="0.25">
      <c r="A951" s="9" t="str">
        <f>IF(Data!B951="","",IF(COUNTIFS(Data!A$1:'Data'!A951,Data!A951)&lt;=1,0,1))</f>
        <v/>
      </c>
      <c r="B951" s="9"/>
      <c r="C951" s="23" t="str">
        <f>IF(Data!C951="","",(IF(ISNUMBER(MATCH("*@*.?*",Data!C951,0)),0,1)+IF(COUNTIFS(Data!C$1:'Data'!C951,Data!C951)&gt;1,1,0)))</f>
        <v/>
      </c>
      <c r="D951" s="9" t="str">
        <f>IF(Data!B951="","",IF(ISNUMBER(Data!D951),IF(AND(Data!D951&gt;999999999,Data!D951&lt;=9999999999),IF(COUNTIFS(Data!D$1:'Data'!D951,Data!D951)&lt;=1,0,1),1),1))</f>
        <v/>
      </c>
      <c r="E951" s="9" t="str">
        <f>IF(Data!B951="","",IF(ISNUMBER(MATCH(Data!E951,Data_Val!$A$2:$A$3,0)),0,1))</f>
        <v/>
      </c>
      <c r="F951" s="9" t="str">
        <f ca="1">IF(Data!B951="","",IF(ISNUMBER(Data!F951),IF(AND(Data!F951&gt;(TODAY()-(Data_Val!$H$3*365.25)),Data!F951&lt;=(TODAY()-(Data_Val!$H$2*365.25))),0,1),1))</f>
        <v/>
      </c>
      <c r="G951" s="15" t="str">
        <f>IF(Data!B951="","",IF(AND(Data!G951="",Data!H951&lt;&gt;""),1,IF(Data!#REF!&lt;&gt;"",0,IF(ISNUMBER(MATCH(Data!G951,Data_Val!$C$2:$C$5,0)),0,1))))</f>
        <v/>
      </c>
      <c r="H951" s="15" t="str">
        <f>IF(Data!B951="","",IF(AND(Data!G951&lt;&gt;"",Data!H951=""),1,IF(Data!#REF!&lt;&gt;"",0,IF(Data!G951="",1,IF(ISNUMBER(MATCH(Data!H951,Data_Val!$D$2:$D$35,0)),0,1)))))</f>
        <v/>
      </c>
      <c r="I951" s="15" t="str">
        <f>IF(Data!B951="","",IF(Data!G951&lt;&gt;"",0,IF(ISNUMBER(MATCH(Data!#REF!,Data_Val!$E$2:$E$12,0)),0,1)))</f>
        <v/>
      </c>
      <c r="J951" s="16" t="e">
        <f>IF(OR(Data!B951="",Data!#REF!=""),"",IF(Data!#REF!="",1,0))</f>
        <v>#REF!</v>
      </c>
      <c r="K951" s="16" t="e">
        <f>IF(OR(Data!B951="",Data!#REF!=""),"",IF(Data!#REF!="",1,0))</f>
        <v>#REF!</v>
      </c>
      <c r="L951" s="16" t="e">
        <f>IF(OR(Data!B951="",Data!#REF!=""),"",IF(ISNUMBER(Data!#REF!),IF(AND(Data!#REF!&gt;Data_Val!$G$2,Data!#REF!&lt;=Data_Val!$G$3),0,1),1))</f>
        <v>#REF!</v>
      </c>
      <c r="M951" s="9" t="e">
        <f>IF(OR(Data!B951="",Data!#REF!=""),"",IF(ISNUMBER(MATCH(Data!#REF!,Data_Val!$F$1:$F$38,0)),0,1))</f>
        <v>#REF!</v>
      </c>
      <c r="N951" s="9" t="e">
        <f>IF(OR(Data!B951="",Data!#REF!=""),"",IF(Data!#REF!="",1,0))</f>
        <v>#REF!</v>
      </c>
      <c r="O951" s="17" t="e">
        <f>IF(Data!#REF!="","",IF(Data!#REF!="",1,0))</f>
        <v>#REF!</v>
      </c>
      <c r="P951" s="17" t="e">
        <f>IF(Data!#REF!="","",IF(ISNUMBER(MATCH(Data!#REF!,Data_Val!$A$2:$A$3,0)),0,1))</f>
        <v>#REF!</v>
      </c>
      <c r="Q951" s="25" t="e">
        <f ca="1">IF(Data!#REF!="","",IF(ISNUMBER(Data!#REF!),IF(AND(Data!#REF!&gt;(TODAY()-(Data_Val!$J$3*365.25)),Data!#REF!&lt;=(TODAY()-(Data_Val!$J$2*365.25))),0,1),1))</f>
        <v>#REF!</v>
      </c>
      <c r="R951" s="17" t="e">
        <f>IF(Data!#REF!="","",IF(ISNUMBER(MATCH(Data!#REF!,Data_Val!$B$2:$B$15,0)),0,1))</f>
        <v>#REF!</v>
      </c>
      <c r="S951" s="11" t="str">
        <f>IF(Data!G951="","",IF(Data!G951=Data_Val!$C$2,IF(Data!M951="",0,1),0))</f>
        <v/>
      </c>
      <c r="T951" s="11" t="str">
        <f>IF(Data!M951="","",IF(ISNUMBER(MATCH(Data!N951,Data_Val!$A$2:$A$3,0)),0,1))</f>
        <v/>
      </c>
      <c r="U951" s="11" t="str">
        <f ca="1">IF(Data!M951="","",IF(ISNUMBER(Data!O951),IF(AND(Data!O951&gt;(TODAY()-(Data_Val!$K$3*365.25)),Data!O951&lt;=(TODAY()-(Data_Val!$K$2*365.25))),0,1),1))</f>
        <v/>
      </c>
      <c r="V951" s="12" t="str">
        <f>IF(Data!G951="","",IF(Data!G951=Data_Val!$C$2,IF(Data!P951="",0,1),0))</f>
        <v/>
      </c>
      <c r="W951" s="12" t="str">
        <f>IF(Data!P951="","",IF(ISNUMBER(MATCH(Data!Q951,Data_Val!$A$2:$A$3,0)),0,1))</f>
        <v/>
      </c>
      <c r="X951" s="26" t="str">
        <f ca="1">IF(Data!P951="","",IF(ISNUMBER(Data!R951),IF(AND(Data!R951&gt;(TODAY()-(Data_Val!$L$3*365.25)),Data!R951&lt;=(TODAY()-(Data_Val!$L$2*365.25))),0,1),1))</f>
        <v/>
      </c>
      <c r="Y951" s="13" t="str">
        <f>IF(Data!$G951="","",IF(Data!$G951=Data_Val!$C$2,IF(Data!S951="",0,1),0))</f>
        <v/>
      </c>
      <c r="Z951" s="13" t="str">
        <f>IF(Data!S951="","",IF(ISNUMBER(MATCH(Data!T951,Data_Val!$A$2:$A$3,0)),0,1))</f>
        <v/>
      </c>
      <c r="AA951" s="28" t="str">
        <f ca="1">IF(Data!S951="","",IF(ISNUMBER(Data!U951),IF(AND(Data!U951&gt;(TODAY()-(Data_Val!$L$3*365.25)),Data!U951&lt;=(TODAY()-(Data_Val!$L$2*365.25))),0,1),1))</f>
        <v/>
      </c>
      <c r="AB951" s="11"/>
      <c r="AC951" s="11" t="e">
        <f>IF(Data!#REF!="","",IF(ISNUMBER(MATCH(Data!#REF!,Data_Val!$A$2:$A$3,0)),0,1))</f>
        <v>#REF!</v>
      </c>
      <c r="AD951" s="11" t="e">
        <f ca="1">IF(Data!#REF!="","",IF(ISNUMBER(Data!#REF!),IF(AND(Data!#REF!&gt;(TODAY()-(Data_Val!$L$3*365.25)),Data!#REF!&lt;=(TODAY()-(Data_Val!$L$2*365.25))),0,1),1))</f>
        <v>#REF!</v>
      </c>
      <c r="AE951" s="11" t="e">
        <f>IF(Data!#REF!="","",IF(Data!$G951="",1,IF(ISNUMBER(MATCH(Data!#REF!,Data_Val!$D$2:$D$10,0)),0,1)))</f>
        <v>#REF!</v>
      </c>
      <c r="AF951" s="12"/>
      <c r="AG951" s="12" t="e">
        <f>IF(Data!#REF!="","",IF(ISNUMBER(MATCH(Data!#REF!,Data_Val!$A$2:$A$3,0)),0,1))</f>
        <v>#REF!</v>
      </c>
      <c r="AH951" s="26" t="e">
        <f ca="1">IF(Data!#REF!="","",IF(ISNUMBER(Data!#REF!),IF(AND(Data!#REF!&gt;(TODAY()-(Data_Val!$L$3*365.25)),Data!#REF!&lt;=(TODAY()-(Data_Val!$L$2*365.25))),0,1),1))</f>
        <v>#REF!</v>
      </c>
      <c r="AI951" s="12" t="e">
        <f>IF(Data!#REF!="","",IF(Data!$G951="",1,IF(ISNUMBER(MATCH(Data!#REF!,Data_Val!$D$2:$D$10,0)),0,1)))</f>
        <v>#REF!</v>
      </c>
      <c r="AJ951" s="17"/>
      <c r="AK951" s="17" t="e">
        <f>IF(Data!#REF!="","",IF(ISNUMBER(MATCH(Data!#REF!,Data_Val!$A$2:$A$3,0)),0,1))</f>
        <v>#REF!</v>
      </c>
      <c r="AL951" s="25" t="e">
        <f ca="1">IF(Data!#REF!="","",IF(ISNUMBER(Data!#REF!),IF(AND(Data!#REF!&gt;(TODAY()-(Data_Val!$L$3*365.25)),Data!#REF!&lt;=(TODAY()-(Data_Val!$L$2*365.25))),0,1),1))</f>
        <v>#REF!</v>
      </c>
      <c r="AM951" s="17" t="e">
        <f>IF(Data!#REF!="","",IF(Data!$G951="",1,IF(ISNUMBER(MATCH(Data!#REF!,Data_Val!$D$2:$D$10,0)),0,1)))</f>
        <v>#REF!</v>
      </c>
      <c r="AN951" s="13"/>
      <c r="AO951" s="28" t="e">
        <f ca="1">IF(Data!#REF!="","",IF(ISNUMBER(Data!#REF!),IF(AND(Data!#REF!&gt;(TODAY()-(Data_Val!$I$3*365.25)),Data!#REF!&lt;=(TODAY()-(Data_Val!$I$2*365.25))),0,1),1))</f>
        <v>#REF!</v>
      </c>
      <c r="AP951" s="13" t="e">
        <f>IF(Data!#REF!="","",IF(Data!$G951="",1,IF(ISNUMBER(MATCH(Data!#REF!,Data_Val!$D$2:$D$10,0)),0,1)))</f>
        <v>#REF!</v>
      </c>
      <c r="AQ951" s="17"/>
      <c r="AR951" s="30" t="e">
        <f ca="1">IF(Data!#REF!="","",IF(ISNUMBER(Data!#REF!),IF(AND(Data!#REF!&gt;(TODAY()-(Data_Val!$I$3*365.25)),Data!#REF!&lt;=(TODAY()-(Data_Val!$I$2*365.25))),0,1),1))</f>
        <v>#REF!</v>
      </c>
      <c r="AS951" s="31" t="e">
        <f>IF(Data!#REF!="","",IF(Data!$G951="",1,IF(ISNUMBER(MATCH(Data!#REF!,Data_Val!$D$2:$D$10,0)),0,1)))</f>
        <v>#REF!</v>
      </c>
      <c r="AT951" s="11"/>
      <c r="AU951" s="11" t="e">
        <f ca="1">IF(Data!#REF!="","",IF(ISNUMBER(Data!#REF!),IF(AND(Data!#REF!&gt;(TODAY()-(Data_Val!$I$3*365.25)),Data!#REF!&lt;=(TODAY()-(Data_Val!$I$2*365.25))),0,1),1))</f>
        <v>#REF!</v>
      </c>
      <c r="AV951" s="11" t="e">
        <f>IF(Data!#REF!="","",IF(Data!$G951="",1,IF(ISNUMBER(MATCH(Data!#REF!,Data_Val!$D$2:$D$10,0)),0,1)))</f>
        <v>#REF!</v>
      </c>
      <c r="AW951" s="12"/>
      <c r="AX951" s="26" t="e">
        <f ca="1">IF(Data!#REF!="","",IF(ISNUMBER(Data!#REF!),IF(AND(Data!#REF!&gt;(TODAY()-(Data_Val!$I$3*365.25)),Data!#REF!&lt;=(TODAY()-(Data_Val!$I$2*365.25))),0,1),1))</f>
        <v>#REF!</v>
      </c>
      <c r="AY951" s="12" t="e">
        <f>IF(Data!#REF!="","",IF(Data!$G951="",1,IF(ISNUMBER(MATCH(Data!#REF!,Data_Val!$D$2:$D$10,0)),0,1)))</f>
        <v>#REF!</v>
      </c>
      <c r="AZ951" s="11"/>
      <c r="BA951" s="19" t="e">
        <f ca="1">IF(Data!#REF!="","",IF(ISNUMBER(Data!#REF!),IF(AND(Data!#REF!&gt;(TODAY()-(Data_Val!$M$3*365.25)),Data!#REF!&lt;=(TODAY()-(Data_Val!$M$2*365.25))),0,1),1))</f>
        <v>#REF!</v>
      </c>
      <c r="BB951" s="11" t="e">
        <f>IF(Data!#REF!="","",IF(Data!$G951="",1,IF(ISNUMBER(MATCH(Data!#REF!,Data_Val!$D$2:$D$10,0)),0,1)))</f>
        <v>#REF!</v>
      </c>
      <c r="BC951" s="12"/>
      <c r="BD951" s="20" t="e">
        <f ca="1">IF(Data!#REF!="","",IF(ISNUMBER(Data!#REF!),IF(AND(Data!#REF!&gt;(TODAY()-(Data_Val!$M$3*365.25)),Data!#REF!&lt;=(TODAY()-(Data_Val!$M$2*365.25))),0,1),1))</f>
        <v>#REF!</v>
      </c>
      <c r="BE951" s="12" t="e">
        <f>IF(Data!#REF!="","",IF(Data!$G951="",1,IF(ISNUMBER(MATCH(Data!#REF!,Data_Val!$D$2:$D$10,0)),0,1)))</f>
        <v>#REF!</v>
      </c>
      <c r="BF951" s="17"/>
      <c r="BG951" s="18" t="e">
        <f ca="1">IF(Data!#REF!="","",IF(ISNUMBER(Data!#REF!),IF(AND(Data!#REF!&gt;(TODAY()-(Data_Val!$M$3*365.25)),Data!#REF!&lt;=(TODAY()-(Data_Val!$M$2*365.25))),0,1),1))</f>
        <v>#REF!</v>
      </c>
      <c r="BH951" s="29" t="e">
        <f>IF(Data!#REF!="","",IF(Data!$G951="",1,IF(ISNUMBER(MATCH(Data!#REF!,Data_Val!$D$2:$D$10,0)),0,1)))</f>
        <v>#REF!</v>
      </c>
      <c r="BI951" s="13"/>
      <c r="BJ951" s="21" t="e">
        <f ca="1">IF(Data!#REF!="","",IF(ISNUMBER(Data!#REF!),IF(AND(Data!#REF!&gt;(TODAY()-(Data_Val!$M$3*365.25)),Data!#REF!&lt;=(TODAY()-(Data_Val!$M$2*365.25))),0,1),1))</f>
        <v>#REF!</v>
      </c>
      <c r="BK951" s="13" t="e">
        <f>IF(Data!#REF!="","",IF(Data!$G951="",1,IF(ISNUMBER(MATCH(Data!#REF!,Data_Val!$D$2:$D$10,0)),0,1)))</f>
        <v>#REF!</v>
      </c>
    </row>
    <row r="952" spans="1:63" x14ac:dyDescent="0.25">
      <c r="A952" s="9" t="str">
        <f>IF(Data!B952="","",IF(COUNTIFS(Data!A$1:'Data'!A952,Data!A952)&lt;=1,0,1))</f>
        <v/>
      </c>
      <c r="B952" s="9"/>
      <c r="C952" s="23" t="str">
        <f>IF(Data!C952="","",(IF(ISNUMBER(MATCH("*@*.?*",Data!C952,0)),0,1)+IF(COUNTIFS(Data!C$1:'Data'!C952,Data!C952)&gt;1,1,0)))</f>
        <v/>
      </c>
      <c r="D952" s="9" t="str">
        <f>IF(Data!B952="","",IF(ISNUMBER(Data!D952),IF(AND(Data!D952&gt;999999999,Data!D952&lt;=9999999999),IF(COUNTIFS(Data!D$1:'Data'!D952,Data!D952)&lt;=1,0,1),1),1))</f>
        <v/>
      </c>
      <c r="E952" s="9" t="str">
        <f>IF(Data!B952="","",IF(ISNUMBER(MATCH(Data!E952,Data_Val!$A$2:$A$3,0)),0,1))</f>
        <v/>
      </c>
      <c r="F952" s="9" t="str">
        <f ca="1">IF(Data!B952="","",IF(ISNUMBER(Data!F952),IF(AND(Data!F952&gt;(TODAY()-(Data_Val!$H$3*365.25)),Data!F952&lt;=(TODAY()-(Data_Val!$H$2*365.25))),0,1),1))</f>
        <v/>
      </c>
      <c r="G952" s="15" t="str">
        <f>IF(Data!B952="","",IF(AND(Data!G952="",Data!H952&lt;&gt;""),1,IF(Data!#REF!&lt;&gt;"",0,IF(ISNUMBER(MATCH(Data!G952,Data_Val!$C$2:$C$5,0)),0,1))))</f>
        <v/>
      </c>
      <c r="H952" s="15" t="str">
        <f>IF(Data!B952="","",IF(AND(Data!G952&lt;&gt;"",Data!H952=""),1,IF(Data!#REF!&lt;&gt;"",0,IF(Data!G952="",1,IF(ISNUMBER(MATCH(Data!H952,Data_Val!$D$2:$D$35,0)),0,1)))))</f>
        <v/>
      </c>
      <c r="I952" s="15" t="str">
        <f>IF(Data!B952="","",IF(Data!G952&lt;&gt;"",0,IF(ISNUMBER(MATCH(Data!#REF!,Data_Val!$E$2:$E$12,0)),0,1)))</f>
        <v/>
      </c>
      <c r="J952" s="16" t="e">
        <f>IF(OR(Data!B952="",Data!#REF!=""),"",IF(Data!#REF!="",1,0))</f>
        <v>#REF!</v>
      </c>
      <c r="K952" s="16" t="e">
        <f>IF(OR(Data!B952="",Data!#REF!=""),"",IF(Data!#REF!="",1,0))</f>
        <v>#REF!</v>
      </c>
      <c r="L952" s="16" t="e">
        <f>IF(OR(Data!B952="",Data!#REF!=""),"",IF(ISNUMBER(Data!#REF!),IF(AND(Data!#REF!&gt;Data_Val!$G$2,Data!#REF!&lt;=Data_Val!$G$3),0,1),1))</f>
        <v>#REF!</v>
      </c>
      <c r="M952" s="9" t="e">
        <f>IF(OR(Data!B952="",Data!#REF!=""),"",IF(ISNUMBER(MATCH(Data!#REF!,Data_Val!$F$1:$F$38,0)),0,1))</f>
        <v>#REF!</v>
      </c>
      <c r="N952" s="9" t="e">
        <f>IF(OR(Data!B952="",Data!#REF!=""),"",IF(Data!#REF!="",1,0))</f>
        <v>#REF!</v>
      </c>
      <c r="O952" s="17" t="e">
        <f>IF(Data!#REF!="","",IF(Data!#REF!="",1,0))</f>
        <v>#REF!</v>
      </c>
      <c r="P952" s="17" t="e">
        <f>IF(Data!#REF!="","",IF(ISNUMBER(MATCH(Data!#REF!,Data_Val!$A$2:$A$3,0)),0,1))</f>
        <v>#REF!</v>
      </c>
      <c r="Q952" s="25" t="e">
        <f ca="1">IF(Data!#REF!="","",IF(ISNUMBER(Data!#REF!),IF(AND(Data!#REF!&gt;(TODAY()-(Data_Val!$J$3*365.25)),Data!#REF!&lt;=(TODAY()-(Data_Val!$J$2*365.25))),0,1),1))</f>
        <v>#REF!</v>
      </c>
      <c r="R952" s="17" t="e">
        <f>IF(Data!#REF!="","",IF(ISNUMBER(MATCH(Data!#REF!,Data_Val!$B$2:$B$15,0)),0,1))</f>
        <v>#REF!</v>
      </c>
      <c r="S952" s="11" t="str">
        <f>IF(Data!G952="","",IF(Data!G952=Data_Val!$C$2,IF(Data!M952="",0,1),0))</f>
        <v/>
      </c>
      <c r="T952" s="11" t="str">
        <f>IF(Data!M952="","",IF(ISNUMBER(MATCH(Data!N952,Data_Val!$A$2:$A$3,0)),0,1))</f>
        <v/>
      </c>
      <c r="U952" s="11" t="str">
        <f ca="1">IF(Data!M952="","",IF(ISNUMBER(Data!O952),IF(AND(Data!O952&gt;(TODAY()-(Data_Val!$K$3*365.25)),Data!O952&lt;=(TODAY()-(Data_Val!$K$2*365.25))),0,1),1))</f>
        <v/>
      </c>
      <c r="V952" s="12" t="str">
        <f>IF(Data!G952="","",IF(Data!G952=Data_Val!$C$2,IF(Data!P952="",0,1),0))</f>
        <v/>
      </c>
      <c r="W952" s="12" t="str">
        <f>IF(Data!P952="","",IF(ISNUMBER(MATCH(Data!Q952,Data_Val!$A$2:$A$3,0)),0,1))</f>
        <v/>
      </c>
      <c r="X952" s="26" t="str">
        <f ca="1">IF(Data!P952="","",IF(ISNUMBER(Data!R952),IF(AND(Data!R952&gt;(TODAY()-(Data_Val!$L$3*365.25)),Data!R952&lt;=(TODAY()-(Data_Val!$L$2*365.25))),0,1),1))</f>
        <v/>
      </c>
      <c r="Y952" s="13" t="str">
        <f>IF(Data!$G952="","",IF(Data!$G952=Data_Val!$C$2,IF(Data!S952="",0,1),0))</f>
        <v/>
      </c>
      <c r="Z952" s="13" t="str">
        <f>IF(Data!S952="","",IF(ISNUMBER(MATCH(Data!T952,Data_Val!$A$2:$A$3,0)),0,1))</f>
        <v/>
      </c>
      <c r="AA952" s="28" t="str">
        <f ca="1">IF(Data!S952="","",IF(ISNUMBER(Data!U952),IF(AND(Data!U952&gt;(TODAY()-(Data_Val!$L$3*365.25)),Data!U952&lt;=(TODAY()-(Data_Val!$L$2*365.25))),0,1),1))</f>
        <v/>
      </c>
      <c r="AB952" s="11"/>
      <c r="AC952" s="11" t="e">
        <f>IF(Data!#REF!="","",IF(ISNUMBER(MATCH(Data!#REF!,Data_Val!$A$2:$A$3,0)),0,1))</f>
        <v>#REF!</v>
      </c>
      <c r="AD952" s="11" t="e">
        <f ca="1">IF(Data!#REF!="","",IF(ISNUMBER(Data!#REF!),IF(AND(Data!#REF!&gt;(TODAY()-(Data_Val!$L$3*365.25)),Data!#REF!&lt;=(TODAY()-(Data_Val!$L$2*365.25))),0,1),1))</f>
        <v>#REF!</v>
      </c>
      <c r="AE952" s="11" t="e">
        <f>IF(Data!#REF!="","",IF(Data!$G952="",1,IF(ISNUMBER(MATCH(Data!#REF!,Data_Val!$D$2:$D$10,0)),0,1)))</f>
        <v>#REF!</v>
      </c>
      <c r="AF952" s="12"/>
      <c r="AG952" s="12" t="e">
        <f>IF(Data!#REF!="","",IF(ISNUMBER(MATCH(Data!#REF!,Data_Val!$A$2:$A$3,0)),0,1))</f>
        <v>#REF!</v>
      </c>
      <c r="AH952" s="26" t="e">
        <f ca="1">IF(Data!#REF!="","",IF(ISNUMBER(Data!#REF!),IF(AND(Data!#REF!&gt;(TODAY()-(Data_Val!$L$3*365.25)),Data!#REF!&lt;=(TODAY()-(Data_Val!$L$2*365.25))),0,1),1))</f>
        <v>#REF!</v>
      </c>
      <c r="AI952" s="12" t="e">
        <f>IF(Data!#REF!="","",IF(Data!$G952="",1,IF(ISNUMBER(MATCH(Data!#REF!,Data_Val!$D$2:$D$10,0)),0,1)))</f>
        <v>#REF!</v>
      </c>
      <c r="AJ952" s="17"/>
      <c r="AK952" s="17" t="e">
        <f>IF(Data!#REF!="","",IF(ISNUMBER(MATCH(Data!#REF!,Data_Val!$A$2:$A$3,0)),0,1))</f>
        <v>#REF!</v>
      </c>
      <c r="AL952" s="25" t="e">
        <f ca="1">IF(Data!#REF!="","",IF(ISNUMBER(Data!#REF!),IF(AND(Data!#REF!&gt;(TODAY()-(Data_Val!$L$3*365.25)),Data!#REF!&lt;=(TODAY()-(Data_Val!$L$2*365.25))),0,1),1))</f>
        <v>#REF!</v>
      </c>
      <c r="AM952" s="17" t="e">
        <f>IF(Data!#REF!="","",IF(Data!$G952="",1,IF(ISNUMBER(MATCH(Data!#REF!,Data_Val!$D$2:$D$10,0)),0,1)))</f>
        <v>#REF!</v>
      </c>
      <c r="AN952" s="13"/>
      <c r="AO952" s="28" t="e">
        <f ca="1">IF(Data!#REF!="","",IF(ISNUMBER(Data!#REF!),IF(AND(Data!#REF!&gt;(TODAY()-(Data_Val!$I$3*365.25)),Data!#REF!&lt;=(TODAY()-(Data_Val!$I$2*365.25))),0,1),1))</f>
        <v>#REF!</v>
      </c>
      <c r="AP952" s="13" t="e">
        <f>IF(Data!#REF!="","",IF(Data!$G952="",1,IF(ISNUMBER(MATCH(Data!#REF!,Data_Val!$D$2:$D$10,0)),0,1)))</f>
        <v>#REF!</v>
      </c>
      <c r="AQ952" s="17"/>
      <c r="AR952" s="30" t="e">
        <f ca="1">IF(Data!#REF!="","",IF(ISNUMBER(Data!#REF!),IF(AND(Data!#REF!&gt;(TODAY()-(Data_Val!$I$3*365.25)),Data!#REF!&lt;=(TODAY()-(Data_Val!$I$2*365.25))),0,1),1))</f>
        <v>#REF!</v>
      </c>
      <c r="AS952" s="31" t="e">
        <f>IF(Data!#REF!="","",IF(Data!$G952="",1,IF(ISNUMBER(MATCH(Data!#REF!,Data_Val!$D$2:$D$10,0)),0,1)))</f>
        <v>#REF!</v>
      </c>
      <c r="AT952" s="11"/>
      <c r="AU952" s="11" t="e">
        <f ca="1">IF(Data!#REF!="","",IF(ISNUMBER(Data!#REF!),IF(AND(Data!#REF!&gt;(TODAY()-(Data_Val!$I$3*365.25)),Data!#REF!&lt;=(TODAY()-(Data_Val!$I$2*365.25))),0,1),1))</f>
        <v>#REF!</v>
      </c>
      <c r="AV952" s="11" t="e">
        <f>IF(Data!#REF!="","",IF(Data!$G952="",1,IF(ISNUMBER(MATCH(Data!#REF!,Data_Val!$D$2:$D$10,0)),0,1)))</f>
        <v>#REF!</v>
      </c>
      <c r="AW952" s="12"/>
      <c r="AX952" s="26" t="e">
        <f ca="1">IF(Data!#REF!="","",IF(ISNUMBER(Data!#REF!),IF(AND(Data!#REF!&gt;(TODAY()-(Data_Val!$I$3*365.25)),Data!#REF!&lt;=(TODAY()-(Data_Val!$I$2*365.25))),0,1),1))</f>
        <v>#REF!</v>
      </c>
      <c r="AY952" s="12" t="e">
        <f>IF(Data!#REF!="","",IF(Data!$G952="",1,IF(ISNUMBER(MATCH(Data!#REF!,Data_Val!$D$2:$D$10,0)),0,1)))</f>
        <v>#REF!</v>
      </c>
      <c r="AZ952" s="11"/>
      <c r="BA952" s="19" t="e">
        <f ca="1">IF(Data!#REF!="","",IF(ISNUMBER(Data!#REF!),IF(AND(Data!#REF!&gt;(TODAY()-(Data_Val!$M$3*365.25)),Data!#REF!&lt;=(TODAY()-(Data_Val!$M$2*365.25))),0,1),1))</f>
        <v>#REF!</v>
      </c>
      <c r="BB952" s="11" t="e">
        <f>IF(Data!#REF!="","",IF(Data!$G952="",1,IF(ISNUMBER(MATCH(Data!#REF!,Data_Val!$D$2:$D$10,0)),0,1)))</f>
        <v>#REF!</v>
      </c>
      <c r="BC952" s="12"/>
      <c r="BD952" s="20" t="e">
        <f ca="1">IF(Data!#REF!="","",IF(ISNUMBER(Data!#REF!),IF(AND(Data!#REF!&gt;(TODAY()-(Data_Val!$M$3*365.25)),Data!#REF!&lt;=(TODAY()-(Data_Val!$M$2*365.25))),0,1),1))</f>
        <v>#REF!</v>
      </c>
      <c r="BE952" s="12" t="e">
        <f>IF(Data!#REF!="","",IF(Data!$G952="",1,IF(ISNUMBER(MATCH(Data!#REF!,Data_Val!$D$2:$D$10,0)),0,1)))</f>
        <v>#REF!</v>
      </c>
      <c r="BF952" s="17"/>
      <c r="BG952" s="18" t="e">
        <f ca="1">IF(Data!#REF!="","",IF(ISNUMBER(Data!#REF!),IF(AND(Data!#REF!&gt;(TODAY()-(Data_Val!$M$3*365.25)),Data!#REF!&lt;=(TODAY()-(Data_Val!$M$2*365.25))),0,1),1))</f>
        <v>#REF!</v>
      </c>
      <c r="BH952" s="29" t="e">
        <f>IF(Data!#REF!="","",IF(Data!$G952="",1,IF(ISNUMBER(MATCH(Data!#REF!,Data_Val!$D$2:$D$10,0)),0,1)))</f>
        <v>#REF!</v>
      </c>
      <c r="BI952" s="13"/>
      <c r="BJ952" s="21" t="e">
        <f ca="1">IF(Data!#REF!="","",IF(ISNUMBER(Data!#REF!),IF(AND(Data!#REF!&gt;(TODAY()-(Data_Val!$M$3*365.25)),Data!#REF!&lt;=(TODAY()-(Data_Val!$M$2*365.25))),0,1),1))</f>
        <v>#REF!</v>
      </c>
      <c r="BK952" s="13" t="e">
        <f>IF(Data!#REF!="","",IF(Data!$G952="",1,IF(ISNUMBER(MATCH(Data!#REF!,Data_Val!$D$2:$D$10,0)),0,1)))</f>
        <v>#REF!</v>
      </c>
    </row>
    <row r="953" spans="1:63" x14ac:dyDescent="0.25">
      <c r="A953" s="9" t="str">
        <f>IF(Data!B953="","",IF(COUNTIFS(Data!A$1:'Data'!A953,Data!A953)&lt;=1,0,1))</f>
        <v/>
      </c>
      <c r="B953" s="9"/>
      <c r="C953" s="23" t="str">
        <f>IF(Data!C953="","",(IF(ISNUMBER(MATCH("*@*.?*",Data!C953,0)),0,1)+IF(COUNTIFS(Data!C$1:'Data'!C953,Data!C953)&gt;1,1,0)))</f>
        <v/>
      </c>
      <c r="D953" s="9" t="str">
        <f>IF(Data!B953="","",IF(ISNUMBER(Data!D953),IF(AND(Data!D953&gt;999999999,Data!D953&lt;=9999999999),IF(COUNTIFS(Data!D$1:'Data'!D953,Data!D953)&lt;=1,0,1),1),1))</f>
        <v/>
      </c>
      <c r="E953" s="9" t="str">
        <f>IF(Data!B953="","",IF(ISNUMBER(MATCH(Data!E953,Data_Val!$A$2:$A$3,0)),0,1))</f>
        <v/>
      </c>
      <c r="F953" s="9" t="str">
        <f ca="1">IF(Data!B953="","",IF(ISNUMBER(Data!F953),IF(AND(Data!F953&gt;(TODAY()-(Data_Val!$H$3*365.25)),Data!F953&lt;=(TODAY()-(Data_Val!$H$2*365.25))),0,1),1))</f>
        <v/>
      </c>
      <c r="G953" s="15" t="str">
        <f>IF(Data!B953="","",IF(AND(Data!G953="",Data!H953&lt;&gt;""),1,IF(Data!#REF!&lt;&gt;"",0,IF(ISNUMBER(MATCH(Data!G953,Data_Val!$C$2:$C$5,0)),0,1))))</f>
        <v/>
      </c>
      <c r="H953" s="15" t="str">
        <f>IF(Data!B953="","",IF(AND(Data!G953&lt;&gt;"",Data!H953=""),1,IF(Data!#REF!&lt;&gt;"",0,IF(Data!G953="",1,IF(ISNUMBER(MATCH(Data!H953,Data_Val!$D$2:$D$35,0)),0,1)))))</f>
        <v/>
      </c>
      <c r="I953" s="15" t="str">
        <f>IF(Data!B953="","",IF(Data!G953&lt;&gt;"",0,IF(ISNUMBER(MATCH(Data!#REF!,Data_Val!$E$2:$E$12,0)),0,1)))</f>
        <v/>
      </c>
      <c r="J953" s="16" t="e">
        <f>IF(OR(Data!B953="",Data!#REF!=""),"",IF(Data!#REF!="",1,0))</f>
        <v>#REF!</v>
      </c>
      <c r="K953" s="16" t="e">
        <f>IF(OR(Data!B953="",Data!#REF!=""),"",IF(Data!#REF!="",1,0))</f>
        <v>#REF!</v>
      </c>
      <c r="L953" s="16" t="e">
        <f>IF(OR(Data!B953="",Data!#REF!=""),"",IF(ISNUMBER(Data!#REF!),IF(AND(Data!#REF!&gt;Data_Val!$G$2,Data!#REF!&lt;=Data_Val!$G$3),0,1),1))</f>
        <v>#REF!</v>
      </c>
      <c r="M953" s="9" t="e">
        <f>IF(OR(Data!B953="",Data!#REF!=""),"",IF(ISNUMBER(MATCH(Data!#REF!,Data_Val!$F$1:$F$38,0)),0,1))</f>
        <v>#REF!</v>
      </c>
      <c r="N953" s="9" t="e">
        <f>IF(OR(Data!B953="",Data!#REF!=""),"",IF(Data!#REF!="",1,0))</f>
        <v>#REF!</v>
      </c>
      <c r="O953" s="17" t="e">
        <f>IF(Data!#REF!="","",IF(Data!#REF!="",1,0))</f>
        <v>#REF!</v>
      </c>
      <c r="P953" s="17" t="e">
        <f>IF(Data!#REF!="","",IF(ISNUMBER(MATCH(Data!#REF!,Data_Val!$A$2:$A$3,0)),0,1))</f>
        <v>#REF!</v>
      </c>
      <c r="Q953" s="25" t="e">
        <f ca="1">IF(Data!#REF!="","",IF(ISNUMBER(Data!#REF!),IF(AND(Data!#REF!&gt;(TODAY()-(Data_Val!$J$3*365.25)),Data!#REF!&lt;=(TODAY()-(Data_Val!$J$2*365.25))),0,1),1))</f>
        <v>#REF!</v>
      </c>
      <c r="R953" s="17" t="e">
        <f>IF(Data!#REF!="","",IF(ISNUMBER(MATCH(Data!#REF!,Data_Val!$B$2:$B$15,0)),0,1))</f>
        <v>#REF!</v>
      </c>
      <c r="S953" s="11" t="str">
        <f>IF(Data!G953="","",IF(Data!G953=Data_Val!$C$2,IF(Data!M953="",0,1),0))</f>
        <v/>
      </c>
      <c r="T953" s="11" t="str">
        <f>IF(Data!M953="","",IF(ISNUMBER(MATCH(Data!N953,Data_Val!$A$2:$A$3,0)),0,1))</f>
        <v/>
      </c>
      <c r="U953" s="11" t="str">
        <f ca="1">IF(Data!M953="","",IF(ISNUMBER(Data!O953),IF(AND(Data!O953&gt;(TODAY()-(Data_Val!$K$3*365.25)),Data!O953&lt;=(TODAY()-(Data_Val!$K$2*365.25))),0,1),1))</f>
        <v/>
      </c>
      <c r="V953" s="12" t="str">
        <f>IF(Data!G953="","",IF(Data!G953=Data_Val!$C$2,IF(Data!P953="",0,1),0))</f>
        <v/>
      </c>
      <c r="W953" s="12" t="str">
        <f>IF(Data!P953="","",IF(ISNUMBER(MATCH(Data!Q953,Data_Val!$A$2:$A$3,0)),0,1))</f>
        <v/>
      </c>
      <c r="X953" s="26" t="str">
        <f ca="1">IF(Data!P953="","",IF(ISNUMBER(Data!R953),IF(AND(Data!R953&gt;(TODAY()-(Data_Val!$L$3*365.25)),Data!R953&lt;=(TODAY()-(Data_Val!$L$2*365.25))),0,1),1))</f>
        <v/>
      </c>
      <c r="Y953" s="13" t="str">
        <f>IF(Data!$G953="","",IF(Data!$G953=Data_Val!$C$2,IF(Data!S953="",0,1),0))</f>
        <v/>
      </c>
      <c r="Z953" s="13" t="str">
        <f>IF(Data!S953="","",IF(ISNUMBER(MATCH(Data!T953,Data_Val!$A$2:$A$3,0)),0,1))</f>
        <v/>
      </c>
      <c r="AA953" s="28" t="str">
        <f ca="1">IF(Data!S953="","",IF(ISNUMBER(Data!U953),IF(AND(Data!U953&gt;(TODAY()-(Data_Val!$L$3*365.25)),Data!U953&lt;=(TODAY()-(Data_Val!$L$2*365.25))),0,1),1))</f>
        <v/>
      </c>
      <c r="AB953" s="11"/>
      <c r="AC953" s="11" t="e">
        <f>IF(Data!#REF!="","",IF(ISNUMBER(MATCH(Data!#REF!,Data_Val!$A$2:$A$3,0)),0,1))</f>
        <v>#REF!</v>
      </c>
      <c r="AD953" s="11" t="e">
        <f ca="1">IF(Data!#REF!="","",IF(ISNUMBER(Data!#REF!),IF(AND(Data!#REF!&gt;(TODAY()-(Data_Val!$L$3*365.25)),Data!#REF!&lt;=(TODAY()-(Data_Val!$L$2*365.25))),0,1),1))</f>
        <v>#REF!</v>
      </c>
      <c r="AE953" s="11" t="e">
        <f>IF(Data!#REF!="","",IF(Data!$G953="",1,IF(ISNUMBER(MATCH(Data!#REF!,Data_Val!$D$2:$D$10,0)),0,1)))</f>
        <v>#REF!</v>
      </c>
      <c r="AF953" s="12"/>
      <c r="AG953" s="12" t="e">
        <f>IF(Data!#REF!="","",IF(ISNUMBER(MATCH(Data!#REF!,Data_Val!$A$2:$A$3,0)),0,1))</f>
        <v>#REF!</v>
      </c>
      <c r="AH953" s="26" t="e">
        <f ca="1">IF(Data!#REF!="","",IF(ISNUMBER(Data!#REF!),IF(AND(Data!#REF!&gt;(TODAY()-(Data_Val!$L$3*365.25)),Data!#REF!&lt;=(TODAY()-(Data_Val!$L$2*365.25))),0,1),1))</f>
        <v>#REF!</v>
      </c>
      <c r="AI953" s="12" t="e">
        <f>IF(Data!#REF!="","",IF(Data!$G953="",1,IF(ISNUMBER(MATCH(Data!#REF!,Data_Val!$D$2:$D$10,0)),0,1)))</f>
        <v>#REF!</v>
      </c>
      <c r="AJ953" s="17"/>
      <c r="AK953" s="17" t="e">
        <f>IF(Data!#REF!="","",IF(ISNUMBER(MATCH(Data!#REF!,Data_Val!$A$2:$A$3,0)),0,1))</f>
        <v>#REF!</v>
      </c>
      <c r="AL953" s="25" t="e">
        <f ca="1">IF(Data!#REF!="","",IF(ISNUMBER(Data!#REF!),IF(AND(Data!#REF!&gt;(TODAY()-(Data_Val!$L$3*365.25)),Data!#REF!&lt;=(TODAY()-(Data_Val!$L$2*365.25))),0,1),1))</f>
        <v>#REF!</v>
      </c>
      <c r="AM953" s="17" t="e">
        <f>IF(Data!#REF!="","",IF(Data!$G953="",1,IF(ISNUMBER(MATCH(Data!#REF!,Data_Val!$D$2:$D$10,0)),0,1)))</f>
        <v>#REF!</v>
      </c>
      <c r="AN953" s="13"/>
      <c r="AO953" s="28" t="e">
        <f ca="1">IF(Data!#REF!="","",IF(ISNUMBER(Data!#REF!),IF(AND(Data!#REF!&gt;(TODAY()-(Data_Val!$I$3*365.25)),Data!#REF!&lt;=(TODAY()-(Data_Val!$I$2*365.25))),0,1),1))</f>
        <v>#REF!</v>
      </c>
      <c r="AP953" s="13" t="e">
        <f>IF(Data!#REF!="","",IF(Data!$G953="",1,IF(ISNUMBER(MATCH(Data!#REF!,Data_Val!$D$2:$D$10,0)),0,1)))</f>
        <v>#REF!</v>
      </c>
      <c r="AQ953" s="17"/>
      <c r="AR953" s="30" t="e">
        <f ca="1">IF(Data!#REF!="","",IF(ISNUMBER(Data!#REF!),IF(AND(Data!#REF!&gt;(TODAY()-(Data_Val!$I$3*365.25)),Data!#REF!&lt;=(TODAY()-(Data_Val!$I$2*365.25))),0,1),1))</f>
        <v>#REF!</v>
      </c>
      <c r="AS953" s="31" t="e">
        <f>IF(Data!#REF!="","",IF(Data!$G953="",1,IF(ISNUMBER(MATCH(Data!#REF!,Data_Val!$D$2:$D$10,0)),0,1)))</f>
        <v>#REF!</v>
      </c>
      <c r="AT953" s="11"/>
      <c r="AU953" s="11" t="e">
        <f ca="1">IF(Data!#REF!="","",IF(ISNUMBER(Data!#REF!),IF(AND(Data!#REF!&gt;(TODAY()-(Data_Val!$I$3*365.25)),Data!#REF!&lt;=(TODAY()-(Data_Val!$I$2*365.25))),0,1),1))</f>
        <v>#REF!</v>
      </c>
      <c r="AV953" s="11" t="e">
        <f>IF(Data!#REF!="","",IF(Data!$G953="",1,IF(ISNUMBER(MATCH(Data!#REF!,Data_Val!$D$2:$D$10,0)),0,1)))</f>
        <v>#REF!</v>
      </c>
      <c r="AW953" s="12"/>
      <c r="AX953" s="26" t="e">
        <f ca="1">IF(Data!#REF!="","",IF(ISNUMBER(Data!#REF!),IF(AND(Data!#REF!&gt;(TODAY()-(Data_Val!$I$3*365.25)),Data!#REF!&lt;=(TODAY()-(Data_Val!$I$2*365.25))),0,1),1))</f>
        <v>#REF!</v>
      </c>
      <c r="AY953" s="12" t="e">
        <f>IF(Data!#REF!="","",IF(Data!$G953="",1,IF(ISNUMBER(MATCH(Data!#REF!,Data_Val!$D$2:$D$10,0)),0,1)))</f>
        <v>#REF!</v>
      </c>
      <c r="AZ953" s="11"/>
      <c r="BA953" s="19" t="e">
        <f ca="1">IF(Data!#REF!="","",IF(ISNUMBER(Data!#REF!),IF(AND(Data!#REF!&gt;(TODAY()-(Data_Val!$M$3*365.25)),Data!#REF!&lt;=(TODAY()-(Data_Val!$M$2*365.25))),0,1),1))</f>
        <v>#REF!</v>
      </c>
      <c r="BB953" s="11" t="e">
        <f>IF(Data!#REF!="","",IF(Data!$G953="",1,IF(ISNUMBER(MATCH(Data!#REF!,Data_Val!$D$2:$D$10,0)),0,1)))</f>
        <v>#REF!</v>
      </c>
      <c r="BC953" s="12"/>
      <c r="BD953" s="20" t="e">
        <f ca="1">IF(Data!#REF!="","",IF(ISNUMBER(Data!#REF!),IF(AND(Data!#REF!&gt;(TODAY()-(Data_Val!$M$3*365.25)),Data!#REF!&lt;=(TODAY()-(Data_Val!$M$2*365.25))),0,1),1))</f>
        <v>#REF!</v>
      </c>
      <c r="BE953" s="12" t="e">
        <f>IF(Data!#REF!="","",IF(Data!$G953="",1,IF(ISNUMBER(MATCH(Data!#REF!,Data_Val!$D$2:$D$10,0)),0,1)))</f>
        <v>#REF!</v>
      </c>
      <c r="BF953" s="17"/>
      <c r="BG953" s="18" t="e">
        <f ca="1">IF(Data!#REF!="","",IF(ISNUMBER(Data!#REF!),IF(AND(Data!#REF!&gt;(TODAY()-(Data_Val!$M$3*365.25)),Data!#REF!&lt;=(TODAY()-(Data_Val!$M$2*365.25))),0,1),1))</f>
        <v>#REF!</v>
      </c>
      <c r="BH953" s="29" t="e">
        <f>IF(Data!#REF!="","",IF(Data!$G953="",1,IF(ISNUMBER(MATCH(Data!#REF!,Data_Val!$D$2:$D$10,0)),0,1)))</f>
        <v>#REF!</v>
      </c>
      <c r="BI953" s="13"/>
      <c r="BJ953" s="21" t="e">
        <f ca="1">IF(Data!#REF!="","",IF(ISNUMBER(Data!#REF!),IF(AND(Data!#REF!&gt;(TODAY()-(Data_Val!$M$3*365.25)),Data!#REF!&lt;=(TODAY()-(Data_Val!$M$2*365.25))),0,1),1))</f>
        <v>#REF!</v>
      </c>
      <c r="BK953" s="13" t="e">
        <f>IF(Data!#REF!="","",IF(Data!$G953="",1,IF(ISNUMBER(MATCH(Data!#REF!,Data_Val!$D$2:$D$10,0)),0,1)))</f>
        <v>#REF!</v>
      </c>
    </row>
    <row r="954" spans="1:63" x14ac:dyDescent="0.25">
      <c r="A954" s="9" t="str">
        <f>IF(Data!B954="","",IF(COUNTIFS(Data!A$1:'Data'!A954,Data!A954)&lt;=1,0,1))</f>
        <v/>
      </c>
      <c r="B954" s="9"/>
      <c r="C954" s="23" t="str">
        <f>IF(Data!C954="","",(IF(ISNUMBER(MATCH("*@*.?*",Data!C954,0)),0,1)+IF(COUNTIFS(Data!C$1:'Data'!C954,Data!C954)&gt;1,1,0)))</f>
        <v/>
      </c>
      <c r="D954" s="9" t="str">
        <f>IF(Data!B954="","",IF(ISNUMBER(Data!D954),IF(AND(Data!D954&gt;999999999,Data!D954&lt;=9999999999),IF(COUNTIFS(Data!D$1:'Data'!D954,Data!D954)&lt;=1,0,1),1),1))</f>
        <v/>
      </c>
      <c r="E954" s="9" t="str">
        <f>IF(Data!B954="","",IF(ISNUMBER(MATCH(Data!E954,Data_Val!$A$2:$A$3,0)),0,1))</f>
        <v/>
      </c>
      <c r="F954" s="9" t="str">
        <f ca="1">IF(Data!B954="","",IF(ISNUMBER(Data!F954),IF(AND(Data!F954&gt;(TODAY()-(Data_Val!$H$3*365.25)),Data!F954&lt;=(TODAY()-(Data_Val!$H$2*365.25))),0,1),1))</f>
        <v/>
      </c>
      <c r="G954" s="15" t="str">
        <f>IF(Data!B954="","",IF(AND(Data!G954="",Data!H954&lt;&gt;""),1,IF(Data!#REF!&lt;&gt;"",0,IF(ISNUMBER(MATCH(Data!G954,Data_Val!$C$2:$C$5,0)),0,1))))</f>
        <v/>
      </c>
      <c r="H954" s="15" t="str">
        <f>IF(Data!B954="","",IF(AND(Data!G954&lt;&gt;"",Data!H954=""),1,IF(Data!#REF!&lt;&gt;"",0,IF(Data!G954="",1,IF(ISNUMBER(MATCH(Data!H954,Data_Val!$D$2:$D$35,0)),0,1)))))</f>
        <v/>
      </c>
      <c r="I954" s="15" t="str">
        <f>IF(Data!B954="","",IF(Data!G954&lt;&gt;"",0,IF(ISNUMBER(MATCH(Data!#REF!,Data_Val!$E$2:$E$12,0)),0,1)))</f>
        <v/>
      </c>
      <c r="J954" s="16" t="e">
        <f>IF(OR(Data!B954="",Data!#REF!=""),"",IF(Data!#REF!="",1,0))</f>
        <v>#REF!</v>
      </c>
      <c r="K954" s="16" t="e">
        <f>IF(OR(Data!B954="",Data!#REF!=""),"",IF(Data!#REF!="",1,0))</f>
        <v>#REF!</v>
      </c>
      <c r="L954" s="16" t="e">
        <f>IF(OR(Data!B954="",Data!#REF!=""),"",IF(ISNUMBER(Data!#REF!),IF(AND(Data!#REF!&gt;Data_Val!$G$2,Data!#REF!&lt;=Data_Val!$G$3),0,1),1))</f>
        <v>#REF!</v>
      </c>
      <c r="M954" s="9" t="e">
        <f>IF(OR(Data!B954="",Data!#REF!=""),"",IF(ISNUMBER(MATCH(Data!#REF!,Data_Val!$F$1:$F$38,0)),0,1))</f>
        <v>#REF!</v>
      </c>
      <c r="N954" s="9" t="e">
        <f>IF(OR(Data!B954="",Data!#REF!=""),"",IF(Data!#REF!="",1,0))</f>
        <v>#REF!</v>
      </c>
      <c r="O954" s="17" t="e">
        <f>IF(Data!#REF!="","",IF(Data!#REF!="",1,0))</f>
        <v>#REF!</v>
      </c>
      <c r="P954" s="17" t="e">
        <f>IF(Data!#REF!="","",IF(ISNUMBER(MATCH(Data!#REF!,Data_Val!$A$2:$A$3,0)),0,1))</f>
        <v>#REF!</v>
      </c>
      <c r="Q954" s="25" t="e">
        <f ca="1">IF(Data!#REF!="","",IF(ISNUMBER(Data!#REF!),IF(AND(Data!#REF!&gt;(TODAY()-(Data_Val!$J$3*365.25)),Data!#REF!&lt;=(TODAY()-(Data_Val!$J$2*365.25))),0,1),1))</f>
        <v>#REF!</v>
      </c>
      <c r="R954" s="17" t="e">
        <f>IF(Data!#REF!="","",IF(ISNUMBER(MATCH(Data!#REF!,Data_Val!$B$2:$B$15,0)),0,1))</f>
        <v>#REF!</v>
      </c>
      <c r="S954" s="11" t="str">
        <f>IF(Data!G954="","",IF(Data!G954=Data_Val!$C$2,IF(Data!M954="",0,1),0))</f>
        <v/>
      </c>
      <c r="T954" s="11" t="str">
        <f>IF(Data!M954="","",IF(ISNUMBER(MATCH(Data!N954,Data_Val!$A$2:$A$3,0)),0,1))</f>
        <v/>
      </c>
      <c r="U954" s="11" t="str">
        <f ca="1">IF(Data!M954="","",IF(ISNUMBER(Data!O954),IF(AND(Data!O954&gt;(TODAY()-(Data_Val!$K$3*365.25)),Data!O954&lt;=(TODAY()-(Data_Val!$K$2*365.25))),0,1),1))</f>
        <v/>
      </c>
      <c r="V954" s="12" t="str">
        <f>IF(Data!G954="","",IF(Data!G954=Data_Val!$C$2,IF(Data!P954="",0,1),0))</f>
        <v/>
      </c>
      <c r="W954" s="12" t="str">
        <f>IF(Data!P954="","",IF(ISNUMBER(MATCH(Data!Q954,Data_Val!$A$2:$A$3,0)),0,1))</f>
        <v/>
      </c>
      <c r="X954" s="26" t="str">
        <f ca="1">IF(Data!P954="","",IF(ISNUMBER(Data!R954),IF(AND(Data!R954&gt;(TODAY()-(Data_Val!$L$3*365.25)),Data!R954&lt;=(TODAY()-(Data_Val!$L$2*365.25))),0,1),1))</f>
        <v/>
      </c>
      <c r="Y954" s="13" t="str">
        <f>IF(Data!$G954="","",IF(Data!$G954=Data_Val!$C$2,IF(Data!S954="",0,1),0))</f>
        <v/>
      </c>
      <c r="Z954" s="13" t="str">
        <f>IF(Data!S954="","",IF(ISNUMBER(MATCH(Data!T954,Data_Val!$A$2:$A$3,0)),0,1))</f>
        <v/>
      </c>
      <c r="AA954" s="28" t="str">
        <f ca="1">IF(Data!S954="","",IF(ISNUMBER(Data!U954),IF(AND(Data!U954&gt;(TODAY()-(Data_Val!$L$3*365.25)),Data!U954&lt;=(TODAY()-(Data_Val!$L$2*365.25))),0,1),1))</f>
        <v/>
      </c>
      <c r="AB954" s="11"/>
      <c r="AC954" s="11" t="e">
        <f>IF(Data!#REF!="","",IF(ISNUMBER(MATCH(Data!#REF!,Data_Val!$A$2:$A$3,0)),0,1))</f>
        <v>#REF!</v>
      </c>
      <c r="AD954" s="11" t="e">
        <f ca="1">IF(Data!#REF!="","",IF(ISNUMBER(Data!#REF!),IF(AND(Data!#REF!&gt;(TODAY()-(Data_Val!$L$3*365.25)),Data!#REF!&lt;=(TODAY()-(Data_Val!$L$2*365.25))),0,1),1))</f>
        <v>#REF!</v>
      </c>
      <c r="AE954" s="11" t="e">
        <f>IF(Data!#REF!="","",IF(Data!$G954="",1,IF(ISNUMBER(MATCH(Data!#REF!,Data_Val!$D$2:$D$10,0)),0,1)))</f>
        <v>#REF!</v>
      </c>
      <c r="AF954" s="12"/>
      <c r="AG954" s="12" t="e">
        <f>IF(Data!#REF!="","",IF(ISNUMBER(MATCH(Data!#REF!,Data_Val!$A$2:$A$3,0)),0,1))</f>
        <v>#REF!</v>
      </c>
      <c r="AH954" s="26" t="e">
        <f ca="1">IF(Data!#REF!="","",IF(ISNUMBER(Data!#REF!),IF(AND(Data!#REF!&gt;(TODAY()-(Data_Val!$L$3*365.25)),Data!#REF!&lt;=(TODAY()-(Data_Val!$L$2*365.25))),0,1),1))</f>
        <v>#REF!</v>
      </c>
      <c r="AI954" s="12" t="e">
        <f>IF(Data!#REF!="","",IF(Data!$G954="",1,IF(ISNUMBER(MATCH(Data!#REF!,Data_Val!$D$2:$D$10,0)),0,1)))</f>
        <v>#REF!</v>
      </c>
      <c r="AJ954" s="17"/>
      <c r="AK954" s="17" t="e">
        <f>IF(Data!#REF!="","",IF(ISNUMBER(MATCH(Data!#REF!,Data_Val!$A$2:$A$3,0)),0,1))</f>
        <v>#REF!</v>
      </c>
      <c r="AL954" s="25" t="e">
        <f ca="1">IF(Data!#REF!="","",IF(ISNUMBER(Data!#REF!),IF(AND(Data!#REF!&gt;(TODAY()-(Data_Val!$L$3*365.25)),Data!#REF!&lt;=(TODAY()-(Data_Val!$L$2*365.25))),0,1),1))</f>
        <v>#REF!</v>
      </c>
      <c r="AM954" s="17" t="e">
        <f>IF(Data!#REF!="","",IF(Data!$G954="",1,IF(ISNUMBER(MATCH(Data!#REF!,Data_Val!$D$2:$D$10,0)),0,1)))</f>
        <v>#REF!</v>
      </c>
      <c r="AN954" s="13"/>
      <c r="AO954" s="28" t="e">
        <f ca="1">IF(Data!#REF!="","",IF(ISNUMBER(Data!#REF!),IF(AND(Data!#REF!&gt;(TODAY()-(Data_Val!$I$3*365.25)),Data!#REF!&lt;=(TODAY()-(Data_Val!$I$2*365.25))),0,1),1))</f>
        <v>#REF!</v>
      </c>
      <c r="AP954" s="13" t="e">
        <f>IF(Data!#REF!="","",IF(Data!$G954="",1,IF(ISNUMBER(MATCH(Data!#REF!,Data_Val!$D$2:$D$10,0)),0,1)))</f>
        <v>#REF!</v>
      </c>
      <c r="AQ954" s="17"/>
      <c r="AR954" s="30" t="e">
        <f ca="1">IF(Data!#REF!="","",IF(ISNUMBER(Data!#REF!),IF(AND(Data!#REF!&gt;(TODAY()-(Data_Val!$I$3*365.25)),Data!#REF!&lt;=(TODAY()-(Data_Val!$I$2*365.25))),0,1),1))</f>
        <v>#REF!</v>
      </c>
      <c r="AS954" s="31" t="e">
        <f>IF(Data!#REF!="","",IF(Data!$G954="",1,IF(ISNUMBER(MATCH(Data!#REF!,Data_Val!$D$2:$D$10,0)),0,1)))</f>
        <v>#REF!</v>
      </c>
      <c r="AT954" s="11"/>
      <c r="AU954" s="11" t="e">
        <f ca="1">IF(Data!#REF!="","",IF(ISNUMBER(Data!#REF!),IF(AND(Data!#REF!&gt;(TODAY()-(Data_Val!$I$3*365.25)),Data!#REF!&lt;=(TODAY()-(Data_Val!$I$2*365.25))),0,1),1))</f>
        <v>#REF!</v>
      </c>
      <c r="AV954" s="11" t="e">
        <f>IF(Data!#REF!="","",IF(Data!$G954="",1,IF(ISNUMBER(MATCH(Data!#REF!,Data_Val!$D$2:$D$10,0)),0,1)))</f>
        <v>#REF!</v>
      </c>
      <c r="AW954" s="12"/>
      <c r="AX954" s="26" t="e">
        <f ca="1">IF(Data!#REF!="","",IF(ISNUMBER(Data!#REF!),IF(AND(Data!#REF!&gt;(TODAY()-(Data_Val!$I$3*365.25)),Data!#REF!&lt;=(TODAY()-(Data_Val!$I$2*365.25))),0,1),1))</f>
        <v>#REF!</v>
      </c>
      <c r="AY954" s="12" t="e">
        <f>IF(Data!#REF!="","",IF(Data!$G954="",1,IF(ISNUMBER(MATCH(Data!#REF!,Data_Val!$D$2:$D$10,0)),0,1)))</f>
        <v>#REF!</v>
      </c>
      <c r="AZ954" s="11"/>
      <c r="BA954" s="19" t="e">
        <f ca="1">IF(Data!#REF!="","",IF(ISNUMBER(Data!#REF!),IF(AND(Data!#REF!&gt;(TODAY()-(Data_Val!$M$3*365.25)),Data!#REF!&lt;=(TODAY()-(Data_Val!$M$2*365.25))),0,1),1))</f>
        <v>#REF!</v>
      </c>
      <c r="BB954" s="11" t="e">
        <f>IF(Data!#REF!="","",IF(Data!$G954="",1,IF(ISNUMBER(MATCH(Data!#REF!,Data_Val!$D$2:$D$10,0)),0,1)))</f>
        <v>#REF!</v>
      </c>
      <c r="BC954" s="12"/>
      <c r="BD954" s="20" t="e">
        <f ca="1">IF(Data!#REF!="","",IF(ISNUMBER(Data!#REF!),IF(AND(Data!#REF!&gt;(TODAY()-(Data_Val!$M$3*365.25)),Data!#REF!&lt;=(TODAY()-(Data_Val!$M$2*365.25))),0,1),1))</f>
        <v>#REF!</v>
      </c>
      <c r="BE954" s="12" t="e">
        <f>IF(Data!#REF!="","",IF(Data!$G954="",1,IF(ISNUMBER(MATCH(Data!#REF!,Data_Val!$D$2:$D$10,0)),0,1)))</f>
        <v>#REF!</v>
      </c>
      <c r="BF954" s="17"/>
      <c r="BG954" s="18" t="e">
        <f ca="1">IF(Data!#REF!="","",IF(ISNUMBER(Data!#REF!),IF(AND(Data!#REF!&gt;(TODAY()-(Data_Val!$M$3*365.25)),Data!#REF!&lt;=(TODAY()-(Data_Val!$M$2*365.25))),0,1),1))</f>
        <v>#REF!</v>
      </c>
      <c r="BH954" s="29" t="e">
        <f>IF(Data!#REF!="","",IF(Data!$G954="",1,IF(ISNUMBER(MATCH(Data!#REF!,Data_Val!$D$2:$D$10,0)),0,1)))</f>
        <v>#REF!</v>
      </c>
      <c r="BI954" s="13"/>
      <c r="BJ954" s="21" t="e">
        <f ca="1">IF(Data!#REF!="","",IF(ISNUMBER(Data!#REF!),IF(AND(Data!#REF!&gt;(TODAY()-(Data_Val!$M$3*365.25)),Data!#REF!&lt;=(TODAY()-(Data_Val!$M$2*365.25))),0,1),1))</f>
        <v>#REF!</v>
      </c>
      <c r="BK954" s="13" t="e">
        <f>IF(Data!#REF!="","",IF(Data!$G954="",1,IF(ISNUMBER(MATCH(Data!#REF!,Data_Val!$D$2:$D$10,0)),0,1)))</f>
        <v>#REF!</v>
      </c>
    </row>
    <row r="955" spans="1:63" x14ac:dyDescent="0.25">
      <c r="A955" s="9" t="str">
        <f>IF(Data!B955="","",IF(COUNTIFS(Data!A$1:'Data'!A955,Data!A955)&lt;=1,0,1))</f>
        <v/>
      </c>
      <c r="B955" s="9"/>
      <c r="C955" s="23" t="str">
        <f>IF(Data!C955="","",(IF(ISNUMBER(MATCH("*@*.?*",Data!C955,0)),0,1)+IF(COUNTIFS(Data!C$1:'Data'!C955,Data!C955)&gt;1,1,0)))</f>
        <v/>
      </c>
      <c r="D955" s="9" t="str">
        <f>IF(Data!B955="","",IF(ISNUMBER(Data!D955),IF(AND(Data!D955&gt;999999999,Data!D955&lt;=9999999999),IF(COUNTIFS(Data!D$1:'Data'!D955,Data!D955)&lt;=1,0,1),1),1))</f>
        <v/>
      </c>
      <c r="E955" s="9" t="str">
        <f>IF(Data!B955="","",IF(ISNUMBER(MATCH(Data!E955,Data_Val!$A$2:$A$3,0)),0,1))</f>
        <v/>
      </c>
      <c r="F955" s="9" t="str">
        <f ca="1">IF(Data!B955="","",IF(ISNUMBER(Data!F955),IF(AND(Data!F955&gt;(TODAY()-(Data_Val!$H$3*365.25)),Data!F955&lt;=(TODAY()-(Data_Val!$H$2*365.25))),0,1),1))</f>
        <v/>
      </c>
      <c r="G955" s="15" t="str">
        <f>IF(Data!B955="","",IF(AND(Data!G955="",Data!H955&lt;&gt;""),1,IF(Data!#REF!&lt;&gt;"",0,IF(ISNUMBER(MATCH(Data!G955,Data_Val!$C$2:$C$5,0)),0,1))))</f>
        <v/>
      </c>
      <c r="H955" s="15" t="str">
        <f>IF(Data!B955="","",IF(AND(Data!G955&lt;&gt;"",Data!H955=""),1,IF(Data!#REF!&lt;&gt;"",0,IF(Data!G955="",1,IF(ISNUMBER(MATCH(Data!H955,Data_Val!$D$2:$D$35,0)),0,1)))))</f>
        <v/>
      </c>
      <c r="I955" s="15" t="str">
        <f>IF(Data!B955="","",IF(Data!G955&lt;&gt;"",0,IF(ISNUMBER(MATCH(Data!#REF!,Data_Val!$E$2:$E$12,0)),0,1)))</f>
        <v/>
      </c>
      <c r="J955" s="16" t="e">
        <f>IF(OR(Data!B955="",Data!#REF!=""),"",IF(Data!#REF!="",1,0))</f>
        <v>#REF!</v>
      </c>
      <c r="K955" s="16" t="e">
        <f>IF(OR(Data!B955="",Data!#REF!=""),"",IF(Data!#REF!="",1,0))</f>
        <v>#REF!</v>
      </c>
      <c r="L955" s="16" t="e">
        <f>IF(OR(Data!B955="",Data!#REF!=""),"",IF(ISNUMBER(Data!#REF!),IF(AND(Data!#REF!&gt;Data_Val!$G$2,Data!#REF!&lt;=Data_Val!$G$3),0,1),1))</f>
        <v>#REF!</v>
      </c>
      <c r="M955" s="9" t="e">
        <f>IF(OR(Data!B955="",Data!#REF!=""),"",IF(ISNUMBER(MATCH(Data!#REF!,Data_Val!$F$1:$F$38,0)),0,1))</f>
        <v>#REF!</v>
      </c>
      <c r="N955" s="9" t="e">
        <f>IF(OR(Data!B955="",Data!#REF!=""),"",IF(Data!#REF!="",1,0))</f>
        <v>#REF!</v>
      </c>
      <c r="O955" s="17" t="e">
        <f>IF(Data!#REF!="","",IF(Data!#REF!="",1,0))</f>
        <v>#REF!</v>
      </c>
      <c r="P955" s="17" t="e">
        <f>IF(Data!#REF!="","",IF(ISNUMBER(MATCH(Data!#REF!,Data_Val!$A$2:$A$3,0)),0,1))</f>
        <v>#REF!</v>
      </c>
      <c r="Q955" s="25" t="e">
        <f ca="1">IF(Data!#REF!="","",IF(ISNUMBER(Data!#REF!),IF(AND(Data!#REF!&gt;(TODAY()-(Data_Val!$J$3*365.25)),Data!#REF!&lt;=(TODAY()-(Data_Val!$J$2*365.25))),0,1),1))</f>
        <v>#REF!</v>
      </c>
      <c r="R955" s="17" t="e">
        <f>IF(Data!#REF!="","",IF(ISNUMBER(MATCH(Data!#REF!,Data_Val!$B$2:$B$15,0)),0,1))</f>
        <v>#REF!</v>
      </c>
      <c r="S955" s="11" t="str">
        <f>IF(Data!G955="","",IF(Data!G955=Data_Val!$C$2,IF(Data!M955="",0,1),0))</f>
        <v/>
      </c>
      <c r="T955" s="11" t="str">
        <f>IF(Data!M955="","",IF(ISNUMBER(MATCH(Data!N955,Data_Val!$A$2:$A$3,0)),0,1))</f>
        <v/>
      </c>
      <c r="U955" s="11" t="str">
        <f ca="1">IF(Data!M955="","",IF(ISNUMBER(Data!O955),IF(AND(Data!O955&gt;(TODAY()-(Data_Val!$K$3*365.25)),Data!O955&lt;=(TODAY()-(Data_Val!$K$2*365.25))),0,1),1))</f>
        <v/>
      </c>
      <c r="V955" s="12" t="str">
        <f>IF(Data!G955="","",IF(Data!G955=Data_Val!$C$2,IF(Data!P955="",0,1),0))</f>
        <v/>
      </c>
      <c r="W955" s="12" t="str">
        <f>IF(Data!P955="","",IF(ISNUMBER(MATCH(Data!Q955,Data_Val!$A$2:$A$3,0)),0,1))</f>
        <v/>
      </c>
      <c r="X955" s="26" t="str">
        <f ca="1">IF(Data!P955="","",IF(ISNUMBER(Data!R955),IF(AND(Data!R955&gt;(TODAY()-(Data_Val!$L$3*365.25)),Data!R955&lt;=(TODAY()-(Data_Val!$L$2*365.25))),0,1),1))</f>
        <v/>
      </c>
      <c r="Y955" s="13" t="str">
        <f>IF(Data!$G955="","",IF(Data!$G955=Data_Val!$C$2,IF(Data!S955="",0,1),0))</f>
        <v/>
      </c>
      <c r="Z955" s="13" t="str">
        <f>IF(Data!S955="","",IF(ISNUMBER(MATCH(Data!T955,Data_Val!$A$2:$A$3,0)),0,1))</f>
        <v/>
      </c>
      <c r="AA955" s="28" t="str">
        <f ca="1">IF(Data!S955="","",IF(ISNUMBER(Data!U955),IF(AND(Data!U955&gt;(TODAY()-(Data_Val!$L$3*365.25)),Data!U955&lt;=(TODAY()-(Data_Val!$L$2*365.25))),0,1),1))</f>
        <v/>
      </c>
      <c r="AB955" s="11"/>
      <c r="AC955" s="11" t="e">
        <f>IF(Data!#REF!="","",IF(ISNUMBER(MATCH(Data!#REF!,Data_Val!$A$2:$A$3,0)),0,1))</f>
        <v>#REF!</v>
      </c>
      <c r="AD955" s="11" t="e">
        <f ca="1">IF(Data!#REF!="","",IF(ISNUMBER(Data!#REF!),IF(AND(Data!#REF!&gt;(TODAY()-(Data_Val!$L$3*365.25)),Data!#REF!&lt;=(TODAY()-(Data_Val!$L$2*365.25))),0,1),1))</f>
        <v>#REF!</v>
      </c>
      <c r="AE955" s="11" t="e">
        <f>IF(Data!#REF!="","",IF(Data!$G955="",1,IF(ISNUMBER(MATCH(Data!#REF!,Data_Val!$D$2:$D$10,0)),0,1)))</f>
        <v>#REF!</v>
      </c>
      <c r="AF955" s="12"/>
      <c r="AG955" s="12" t="e">
        <f>IF(Data!#REF!="","",IF(ISNUMBER(MATCH(Data!#REF!,Data_Val!$A$2:$A$3,0)),0,1))</f>
        <v>#REF!</v>
      </c>
      <c r="AH955" s="26" t="e">
        <f ca="1">IF(Data!#REF!="","",IF(ISNUMBER(Data!#REF!),IF(AND(Data!#REF!&gt;(TODAY()-(Data_Val!$L$3*365.25)),Data!#REF!&lt;=(TODAY()-(Data_Val!$L$2*365.25))),0,1),1))</f>
        <v>#REF!</v>
      </c>
      <c r="AI955" s="12" t="e">
        <f>IF(Data!#REF!="","",IF(Data!$G955="",1,IF(ISNUMBER(MATCH(Data!#REF!,Data_Val!$D$2:$D$10,0)),0,1)))</f>
        <v>#REF!</v>
      </c>
      <c r="AJ955" s="17"/>
      <c r="AK955" s="17" t="e">
        <f>IF(Data!#REF!="","",IF(ISNUMBER(MATCH(Data!#REF!,Data_Val!$A$2:$A$3,0)),0,1))</f>
        <v>#REF!</v>
      </c>
      <c r="AL955" s="25" t="e">
        <f ca="1">IF(Data!#REF!="","",IF(ISNUMBER(Data!#REF!),IF(AND(Data!#REF!&gt;(TODAY()-(Data_Val!$L$3*365.25)),Data!#REF!&lt;=(TODAY()-(Data_Val!$L$2*365.25))),0,1),1))</f>
        <v>#REF!</v>
      </c>
      <c r="AM955" s="17" t="e">
        <f>IF(Data!#REF!="","",IF(Data!$G955="",1,IF(ISNUMBER(MATCH(Data!#REF!,Data_Val!$D$2:$D$10,0)),0,1)))</f>
        <v>#REF!</v>
      </c>
      <c r="AN955" s="13"/>
      <c r="AO955" s="28" t="e">
        <f ca="1">IF(Data!#REF!="","",IF(ISNUMBER(Data!#REF!),IF(AND(Data!#REF!&gt;(TODAY()-(Data_Val!$I$3*365.25)),Data!#REF!&lt;=(TODAY()-(Data_Val!$I$2*365.25))),0,1),1))</f>
        <v>#REF!</v>
      </c>
      <c r="AP955" s="13" t="e">
        <f>IF(Data!#REF!="","",IF(Data!$G955="",1,IF(ISNUMBER(MATCH(Data!#REF!,Data_Val!$D$2:$D$10,0)),0,1)))</f>
        <v>#REF!</v>
      </c>
      <c r="AQ955" s="17"/>
      <c r="AR955" s="30" t="e">
        <f ca="1">IF(Data!#REF!="","",IF(ISNUMBER(Data!#REF!),IF(AND(Data!#REF!&gt;(TODAY()-(Data_Val!$I$3*365.25)),Data!#REF!&lt;=(TODAY()-(Data_Val!$I$2*365.25))),0,1),1))</f>
        <v>#REF!</v>
      </c>
      <c r="AS955" s="31" t="e">
        <f>IF(Data!#REF!="","",IF(Data!$G955="",1,IF(ISNUMBER(MATCH(Data!#REF!,Data_Val!$D$2:$D$10,0)),0,1)))</f>
        <v>#REF!</v>
      </c>
      <c r="AT955" s="11"/>
      <c r="AU955" s="11" t="e">
        <f ca="1">IF(Data!#REF!="","",IF(ISNUMBER(Data!#REF!),IF(AND(Data!#REF!&gt;(TODAY()-(Data_Val!$I$3*365.25)),Data!#REF!&lt;=(TODAY()-(Data_Val!$I$2*365.25))),0,1),1))</f>
        <v>#REF!</v>
      </c>
      <c r="AV955" s="11" t="e">
        <f>IF(Data!#REF!="","",IF(Data!$G955="",1,IF(ISNUMBER(MATCH(Data!#REF!,Data_Val!$D$2:$D$10,0)),0,1)))</f>
        <v>#REF!</v>
      </c>
      <c r="AW955" s="12"/>
      <c r="AX955" s="26" t="e">
        <f ca="1">IF(Data!#REF!="","",IF(ISNUMBER(Data!#REF!),IF(AND(Data!#REF!&gt;(TODAY()-(Data_Val!$I$3*365.25)),Data!#REF!&lt;=(TODAY()-(Data_Val!$I$2*365.25))),0,1),1))</f>
        <v>#REF!</v>
      </c>
      <c r="AY955" s="12" t="e">
        <f>IF(Data!#REF!="","",IF(Data!$G955="",1,IF(ISNUMBER(MATCH(Data!#REF!,Data_Val!$D$2:$D$10,0)),0,1)))</f>
        <v>#REF!</v>
      </c>
      <c r="AZ955" s="11"/>
      <c r="BA955" s="19" t="e">
        <f ca="1">IF(Data!#REF!="","",IF(ISNUMBER(Data!#REF!),IF(AND(Data!#REF!&gt;(TODAY()-(Data_Val!$M$3*365.25)),Data!#REF!&lt;=(TODAY()-(Data_Val!$M$2*365.25))),0,1),1))</f>
        <v>#REF!</v>
      </c>
      <c r="BB955" s="11" t="e">
        <f>IF(Data!#REF!="","",IF(Data!$G955="",1,IF(ISNUMBER(MATCH(Data!#REF!,Data_Val!$D$2:$D$10,0)),0,1)))</f>
        <v>#REF!</v>
      </c>
      <c r="BC955" s="12"/>
      <c r="BD955" s="20" t="e">
        <f ca="1">IF(Data!#REF!="","",IF(ISNUMBER(Data!#REF!),IF(AND(Data!#REF!&gt;(TODAY()-(Data_Val!$M$3*365.25)),Data!#REF!&lt;=(TODAY()-(Data_Val!$M$2*365.25))),0,1),1))</f>
        <v>#REF!</v>
      </c>
      <c r="BE955" s="12" t="e">
        <f>IF(Data!#REF!="","",IF(Data!$G955="",1,IF(ISNUMBER(MATCH(Data!#REF!,Data_Val!$D$2:$D$10,0)),0,1)))</f>
        <v>#REF!</v>
      </c>
      <c r="BF955" s="17"/>
      <c r="BG955" s="18" t="e">
        <f ca="1">IF(Data!#REF!="","",IF(ISNUMBER(Data!#REF!),IF(AND(Data!#REF!&gt;(TODAY()-(Data_Val!$M$3*365.25)),Data!#REF!&lt;=(TODAY()-(Data_Val!$M$2*365.25))),0,1),1))</f>
        <v>#REF!</v>
      </c>
      <c r="BH955" s="29" t="e">
        <f>IF(Data!#REF!="","",IF(Data!$G955="",1,IF(ISNUMBER(MATCH(Data!#REF!,Data_Val!$D$2:$D$10,0)),0,1)))</f>
        <v>#REF!</v>
      </c>
      <c r="BI955" s="13"/>
      <c r="BJ955" s="21" t="e">
        <f ca="1">IF(Data!#REF!="","",IF(ISNUMBER(Data!#REF!),IF(AND(Data!#REF!&gt;(TODAY()-(Data_Val!$M$3*365.25)),Data!#REF!&lt;=(TODAY()-(Data_Val!$M$2*365.25))),0,1),1))</f>
        <v>#REF!</v>
      </c>
      <c r="BK955" s="13" t="e">
        <f>IF(Data!#REF!="","",IF(Data!$G955="",1,IF(ISNUMBER(MATCH(Data!#REF!,Data_Val!$D$2:$D$10,0)),0,1)))</f>
        <v>#REF!</v>
      </c>
    </row>
    <row r="956" spans="1:63" x14ac:dyDescent="0.25">
      <c r="A956" s="9" t="str">
        <f>IF(Data!B956="","",IF(COUNTIFS(Data!A$1:'Data'!A956,Data!A956)&lt;=1,0,1))</f>
        <v/>
      </c>
      <c r="B956" s="9"/>
      <c r="C956" s="23" t="str">
        <f>IF(Data!C956="","",(IF(ISNUMBER(MATCH("*@*.?*",Data!C956,0)),0,1)+IF(COUNTIFS(Data!C$1:'Data'!C956,Data!C956)&gt;1,1,0)))</f>
        <v/>
      </c>
      <c r="D956" s="9" t="str">
        <f>IF(Data!B956="","",IF(ISNUMBER(Data!D956),IF(AND(Data!D956&gt;999999999,Data!D956&lt;=9999999999),IF(COUNTIFS(Data!D$1:'Data'!D956,Data!D956)&lt;=1,0,1),1),1))</f>
        <v/>
      </c>
      <c r="E956" s="9" t="str">
        <f>IF(Data!B956="","",IF(ISNUMBER(MATCH(Data!E956,Data_Val!$A$2:$A$3,0)),0,1))</f>
        <v/>
      </c>
      <c r="F956" s="9" t="str">
        <f ca="1">IF(Data!B956="","",IF(ISNUMBER(Data!F956),IF(AND(Data!F956&gt;(TODAY()-(Data_Val!$H$3*365.25)),Data!F956&lt;=(TODAY()-(Data_Val!$H$2*365.25))),0,1),1))</f>
        <v/>
      </c>
      <c r="G956" s="15" t="str">
        <f>IF(Data!B956="","",IF(AND(Data!G956="",Data!H956&lt;&gt;""),1,IF(Data!#REF!&lt;&gt;"",0,IF(ISNUMBER(MATCH(Data!G956,Data_Val!$C$2:$C$5,0)),0,1))))</f>
        <v/>
      </c>
      <c r="H956" s="15" t="str">
        <f>IF(Data!B956="","",IF(AND(Data!G956&lt;&gt;"",Data!H956=""),1,IF(Data!#REF!&lt;&gt;"",0,IF(Data!G956="",1,IF(ISNUMBER(MATCH(Data!H956,Data_Val!$D$2:$D$35,0)),0,1)))))</f>
        <v/>
      </c>
      <c r="I956" s="15" t="str">
        <f>IF(Data!B956="","",IF(Data!G956&lt;&gt;"",0,IF(ISNUMBER(MATCH(Data!#REF!,Data_Val!$E$2:$E$12,0)),0,1)))</f>
        <v/>
      </c>
      <c r="J956" s="16" t="e">
        <f>IF(OR(Data!B956="",Data!#REF!=""),"",IF(Data!#REF!="",1,0))</f>
        <v>#REF!</v>
      </c>
      <c r="K956" s="16" t="e">
        <f>IF(OR(Data!B956="",Data!#REF!=""),"",IF(Data!#REF!="",1,0))</f>
        <v>#REF!</v>
      </c>
      <c r="L956" s="16" t="e">
        <f>IF(OR(Data!B956="",Data!#REF!=""),"",IF(ISNUMBER(Data!#REF!),IF(AND(Data!#REF!&gt;Data_Val!$G$2,Data!#REF!&lt;=Data_Val!$G$3),0,1),1))</f>
        <v>#REF!</v>
      </c>
      <c r="M956" s="9" t="e">
        <f>IF(OR(Data!B956="",Data!#REF!=""),"",IF(ISNUMBER(MATCH(Data!#REF!,Data_Val!$F$1:$F$38,0)),0,1))</f>
        <v>#REF!</v>
      </c>
      <c r="N956" s="9" t="e">
        <f>IF(OR(Data!B956="",Data!#REF!=""),"",IF(Data!#REF!="",1,0))</f>
        <v>#REF!</v>
      </c>
      <c r="O956" s="17" t="e">
        <f>IF(Data!#REF!="","",IF(Data!#REF!="",1,0))</f>
        <v>#REF!</v>
      </c>
      <c r="P956" s="17" t="e">
        <f>IF(Data!#REF!="","",IF(ISNUMBER(MATCH(Data!#REF!,Data_Val!$A$2:$A$3,0)),0,1))</f>
        <v>#REF!</v>
      </c>
      <c r="Q956" s="25" t="e">
        <f ca="1">IF(Data!#REF!="","",IF(ISNUMBER(Data!#REF!),IF(AND(Data!#REF!&gt;(TODAY()-(Data_Val!$J$3*365.25)),Data!#REF!&lt;=(TODAY()-(Data_Val!$J$2*365.25))),0,1),1))</f>
        <v>#REF!</v>
      </c>
      <c r="R956" s="17" t="e">
        <f>IF(Data!#REF!="","",IF(ISNUMBER(MATCH(Data!#REF!,Data_Val!$B$2:$B$15,0)),0,1))</f>
        <v>#REF!</v>
      </c>
      <c r="S956" s="11" t="str">
        <f>IF(Data!G956="","",IF(Data!G956=Data_Val!$C$2,IF(Data!M956="",0,1),0))</f>
        <v/>
      </c>
      <c r="T956" s="11" t="str">
        <f>IF(Data!M956="","",IF(ISNUMBER(MATCH(Data!N956,Data_Val!$A$2:$A$3,0)),0,1))</f>
        <v/>
      </c>
      <c r="U956" s="11" t="str">
        <f ca="1">IF(Data!M956="","",IF(ISNUMBER(Data!O956),IF(AND(Data!O956&gt;(TODAY()-(Data_Val!$K$3*365.25)),Data!O956&lt;=(TODAY()-(Data_Val!$K$2*365.25))),0,1),1))</f>
        <v/>
      </c>
      <c r="V956" s="12" t="str">
        <f>IF(Data!G956="","",IF(Data!G956=Data_Val!$C$2,IF(Data!P956="",0,1),0))</f>
        <v/>
      </c>
      <c r="W956" s="12" t="str">
        <f>IF(Data!P956="","",IF(ISNUMBER(MATCH(Data!Q956,Data_Val!$A$2:$A$3,0)),0,1))</f>
        <v/>
      </c>
      <c r="X956" s="26" t="str">
        <f ca="1">IF(Data!P956="","",IF(ISNUMBER(Data!R956),IF(AND(Data!R956&gt;(TODAY()-(Data_Val!$L$3*365.25)),Data!R956&lt;=(TODAY()-(Data_Val!$L$2*365.25))),0,1),1))</f>
        <v/>
      </c>
      <c r="Y956" s="13" t="str">
        <f>IF(Data!$G956="","",IF(Data!$G956=Data_Val!$C$2,IF(Data!S956="",0,1),0))</f>
        <v/>
      </c>
      <c r="Z956" s="13" t="str">
        <f>IF(Data!S956="","",IF(ISNUMBER(MATCH(Data!T956,Data_Val!$A$2:$A$3,0)),0,1))</f>
        <v/>
      </c>
      <c r="AA956" s="28" t="str">
        <f ca="1">IF(Data!S956="","",IF(ISNUMBER(Data!U956),IF(AND(Data!U956&gt;(TODAY()-(Data_Val!$L$3*365.25)),Data!U956&lt;=(TODAY()-(Data_Val!$L$2*365.25))),0,1),1))</f>
        <v/>
      </c>
      <c r="AB956" s="11"/>
      <c r="AC956" s="11" t="e">
        <f>IF(Data!#REF!="","",IF(ISNUMBER(MATCH(Data!#REF!,Data_Val!$A$2:$A$3,0)),0,1))</f>
        <v>#REF!</v>
      </c>
      <c r="AD956" s="11" t="e">
        <f ca="1">IF(Data!#REF!="","",IF(ISNUMBER(Data!#REF!),IF(AND(Data!#REF!&gt;(TODAY()-(Data_Val!$L$3*365.25)),Data!#REF!&lt;=(TODAY()-(Data_Val!$L$2*365.25))),0,1),1))</f>
        <v>#REF!</v>
      </c>
      <c r="AE956" s="11" t="e">
        <f>IF(Data!#REF!="","",IF(Data!$G956="",1,IF(ISNUMBER(MATCH(Data!#REF!,Data_Val!$D$2:$D$10,0)),0,1)))</f>
        <v>#REF!</v>
      </c>
      <c r="AF956" s="12"/>
      <c r="AG956" s="12" t="e">
        <f>IF(Data!#REF!="","",IF(ISNUMBER(MATCH(Data!#REF!,Data_Val!$A$2:$A$3,0)),0,1))</f>
        <v>#REF!</v>
      </c>
      <c r="AH956" s="26" t="e">
        <f ca="1">IF(Data!#REF!="","",IF(ISNUMBER(Data!#REF!),IF(AND(Data!#REF!&gt;(TODAY()-(Data_Val!$L$3*365.25)),Data!#REF!&lt;=(TODAY()-(Data_Val!$L$2*365.25))),0,1),1))</f>
        <v>#REF!</v>
      </c>
      <c r="AI956" s="12" t="e">
        <f>IF(Data!#REF!="","",IF(Data!$G956="",1,IF(ISNUMBER(MATCH(Data!#REF!,Data_Val!$D$2:$D$10,0)),0,1)))</f>
        <v>#REF!</v>
      </c>
      <c r="AJ956" s="17"/>
      <c r="AK956" s="17" t="e">
        <f>IF(Data!#REF!="","",IF(ISNUMBER(MATCH(Data!#REF!,Data_Val!$A$2:$A$3,0)),0,1))</f>
        <v>#REF!</v>
      </c>
      <c r="AL956" s="25" t="e">
        <f ca="1">IF(Data!#REF!="","",IF(ISNUMBER(Data!#REF!),IF(AND(Data!#REF!&gt;(TODAY()-(Data_Val!$L$3*365.25)),Data!#REF!&lt;=(TODAY()-(Data_Val!$L$2*365.25))),0,1),1))</f>
        <v>#REF!</v>
      </c>
      <c r="AM956" s="17" t="e">
        <f>IF(Data!#REF!="","",IF(Data!$G956="",1,IF(ISNUMBER(MATCH(Data!#REF!,Data_Val!$D$2:$D$10,0)),0,1)))</f>
        <v>#REF!</v>
      </c>
      <c r="AN956" s="13"/>
      <c r="AO956" s="28" t="e">
        <f ca="1">IF(Data!#REF!="","",IF(ISNUMBER(Data!#REF!),IF(AND(Data!#REF!&gt;(TODAY()-(Data_Val!$I$3*365.25)),Data!#REF!&lt;=(TODAY()-(Data_Val!$I$2*365.25))),0,1),1))</f>
        <v>#REF!</v>
      </c>
      <c r="AP956" s="13" t="e">
        <f>IF(Data!#REF!="","",IF(Data!$G956="",1,IF(ISNUMBER(MATCH(Data!#REF!,Data_Val!$D$2:$D$10,0)),0,1)))</f>
        <v>#REF!</v>
      </c>
      <c r="AQ956" s="17"/>
      <c r="AR956" s="30" t="e">
        <f ca="1">IF(Data!#REF!="","",IF(ISNUMBER(Data!#REF!),IF(AND(Data!#REF!&gt;(TODAY()-(Data_Val!$I$3*365.25)),Data!#REF!&lt;=(TODAY()-(Data_Val!$I$2*365.25))),0,1),1))</f>
        <v>#REF!</v>
      </c>
      <c r="AS956" s="31" t="e">
        <f>IF(Data!#REF!="","",IF(Data!$G956="",1,IF(ISNUMBER(MATCH(Data!#REF!,Data_Val!$D$2:$D$10,0)),0,1)))</f>
        <v>#REF!</v>
      </c>
      <c r="AT956" s="11"/>
      <c r="AU956" s="11" t="e">
        <f ca="1">IF(Data!#REF!="","",IF(ISNUMBER(Data!#REF!),IF(AND(Data!#REF!&gt;(TODAY()-(Data_Val!$I$3*365.25)),Data!#REF!&lt;=(TODAY()-(Data_Val!$I$2*365.25))),0,1),1))</f>
        <v>#REF!</v>
      </c>
      <c r="AV956" s="11" t="e">
        <f>IF(Data!#REF!="","",IF(Data!$G956="",1,IF(ISNUMBER(MATCH(Data!#REF!,Data_Val!$D$2:$D$10,0)),0,1)))</f>
        <v>#REF!</v>
      </c>
      <c r="AW956" s="12"/>
      <c r="AX956" s="26" t="e">
        <f ca="1">IF(Data!#REF!="","",IF(ISNUMBER(Data!#REF!),IF(AND(Data!#REF!&gt;(TODAY()-(Data_Val!$I$3*365.25)),Data!#REF!&lt;=(TODAY()-(Data_Val!$I$2*365.25))),0,1),1))</f>
        <v>#REF!</v>
      </c>
      <c r="AY956" s="12" t="e">
        <f>IF(Data!#REF!="","",IF(Data!$G956="",1,IF(ISNUMBER(MATCH(Data!#REF!,Data_Val!$D$2:$D$10,0)),0,1)))</f>
        <v>#REF!</v>
      </c>
      <c r="AZ956" s="11"/>
      <c r="BA956" s="19" t="e">
        <f ca="1">IF(Data!#REF!="","",IF(ISNUMBER(Data!#REF!),IF(AND(Data!#REF!&gt;(TODAY()-(Data_Val!$M$3*365.25)),Data!#REF!&lt;=(TODAY()-(Data_Val!$M$2*365.25))),0,1),1))</f>
        <v>#REF!</v>
      </c>
      <c r="BB956" s="11" t="e">
        <f>IF(Data!#REF!="","",IF(Data!$G956="",1,IF(ISNUMBER(MATCH(Data!#REF!,Data_Val!$D$2:$D$10,0)),0,1)))</f>
        <v>#REF!</v>
      </c>
      <c r="BC956" s="12"/>
      <c r="BD956" s="20" t="e">
        <f ca="1">IF(Data!#REF!="","",IF(ISNUMBER(Data!#REF!),IF(AND(Data!#REF!&gt;(TODAY()-(Data_Val!$M$3*365.25)),Data!#REF!&lt;=(TODAY()-(Data_Val!$M$2*365.25))),0,1),1))</f>
        <v>#REF!</v>
      </c>
      <c r="BE956" s="12" t="e">
        <f>IF(Data!#REF!="","",IF(Data!$G956="",1,IF(ISNUMBER(MATCH(Data!#REF!,Data_Val!$D$2:$D$10,0)),0,1)))</f>
        <v>#REF!</v>
      </c>
      <c r="BF956" s="17"/>
      <c r="BG956" s="18" t="e">
        <f ca="1">IF(Data!#REF!="","",IF(ISNUMBER(Data!#REF!),IF(AND(Data!#REF!&gt;(TODAY()-(Data_Val!$M$3*365.25)),Data!#REF!&lt;=(TODAY()-(Data_Val!$M$2*365.25))),0,1),1))</f>
        <v>#REF!</v>
      </c>
      <c r="BH956" s="29" t="e">
        <f>IF(Data!#REF!="","",IF(Data!$G956="",1,IF(ISNUMBER(MATCH(Data!#REF!,Data_Val!$D$2:$D$10,0)),0,1)))</f>
        <v>#REF!</v>
      </c>
      <c r="BI956" s="13"/>
      <c r="BJ956" s="21" t="e">
        <f ca="1">IF(Data!#REF!="","",IF(ISNUMBER(Data!#REF!),IF(AND(Data!#REF!&gt;(TODAY()-(Data_Val!$M$3*365.25)),Data!#REF!&lt;=(TODAY()-(Data_Val!$M$2*365.25))),0,1),1))</f>
        <v>#REF!</v>
      </c>
      <c r="BK956" s="13" t="e">
        <f>IF(Data!#REF!="","",IF(Data!$G956="",1,IF(ISNUMBER(MATCH(Data!#REF!,Data_Val!$D$2:$D$10,0)),0,1)))</f>
        <v>#REF!</v>
      </c>
    </row>
    <row r="957" spans="1:63" x14ac:dyDescent="0.25">
      <c r="A957" s="9" t="str">
        <f>IF(Data!B957="","",IF(COUNTIFS(Data!A$1:'Data'!A957,Data!A957)&lt;=1,0,1))</f>
        <v/>
      </c>
      <c r="B957" s="9"/>
      <c r="C957" s="23" t="str">
        <f>IF(Data!C957="","",(IF(ISNUMBER(MATCH("*@*.?*",Data!C957,0)),0,1)+IF(COUNTIFS(Data!C$1:'Data'!C957,Data!C957)&gt;1,1,0)))</f>
        <v/>
      </c>
      <c r="D957" s="9" t="str">
        <f>IF(Data!B957="","",IF(ISNUMBER(Data!D957),IF(AND(Data!D957&gt;999999999,Data!D957&lt;=9999999999),IF(COUNTIFS(Data!D$1:'Data'!D957,Data!D957)&lt;=1,0,1),1),1))</f>
        <v/>
      </c>
      <c r="E957" s="9" t="str">
        <f>IF(Data!B957="","",IF(ISNUMBER(MATCH(Data!E957,Data_Val!$A$2:$A$3,0)),0,1))</f>
        <v/>
      </c>
      <c r="F957" s="9" t="str">
        <f ca="1">IF(Data!B957="","",IF(ISNUMBER(Data!F957),IF(AND(Data!F957&gt;(TODAY()-(Data_Val!$H$3*365.25)),Data!F957&lt;=(TODAY()-(Data_Val!$H$2*365.25))),0,1),1))</f>
        <v/>
      </c>
      <c r="G957" s="15" t="str">
        <f>IF(Data!B957="","",IF(AND(Data!G957="",Data!H957&lt;&gt;""),1,IF(Data!#REF!&lt;&gt;"",0,IF(ISNUMBER(MATCH(Data!G957,Data_Val!$C$2:$C$5,0)),0,1))))</f>
        <v/>
      </c>
      <c r="H957" s="15" t="str">
        <f>IF(Data!B957="","",IF(AND(Data!G957&lt;&gt;"",Data!H957=""),1,IF(Data!#REF!&lt;&gt;"",0,IF(Data!G957="",1,IF(ISNUMBER(MATCH(Data!H957,Data_Val!$D$2:$D$35,0)),0,1)))))</f>
        <v/>
      </c>
      <c r="I957" s="15" t="str">
        <f>IF(Data!B957="","",IF(Data!G957&lt;&gt;"",0,IF(ISNUMBER(MATCH(Data!#REF!,Data_Val!$E$2:$E$12,0)),0,1)))</f>
        <v/>
      </c>
      <c r="J957" s="16" t="e">
        <f>IF(OR(Data!B957="",Data!#REF!=""),"",IF(Data!#REF!="",1,0))</f>
        <v>#REF!</v>
      </c>
      <c r="K957" s="16" t="e">
        <f>IF(OR(Data!B957="",Data!#REF!=""),"",IF(Data!#REF!="",1,0))</f>
        <v>#REF!</v>
      </c>
      <c r="L957" s="16" t="e">
        <f>IF(OR(Data!B957="",Data!#REF!=""),"",IF(ISNUMBER(Data!#REF!),IF(AND(Data!#REF!&gt;Data_Val!$G$2,Data!#REF!&lt;=Data_Val!$G$3),0,1),1))</f>
        <v>#REF!</v>
      </c>
      <c r="M957" s="9" t="e">
        <f>IF(OR(Data!B957="",Data!#REF!=""),"",IF(ISNUMBER(MATCH(Data!#REF!,Data_Val!$F$1:$F$38,0)),0,1))</f>
        <v>#REF!</v>
      </c>
      <c r="N957" s="9" t="e">
        <f>IF(OR(Data!B957="",Data!#REF!=""),"",IF(Data!#REF!="",1,0))</f>
        <v>#REF!</v>
      </c>
      <c r="O957" s="17" t="e">
        <f>IF(Data!#REF!="","",IF(Data!#REF!="",1,0))</f>
        <v>#REF!</v>
      </c>
      <c r="P957" s="17" t="e">
        <f>IF(Data!#REF!="","",IF(ISNUMBER(MATCH(Data!#REF!,Data_Val!$A$2:$A$3,0)),0,1))</f>
        <v>#REF!</v>
      </c>
      <c r="Q957" s="25" t="e">
        <f ca="1">IF(Data!#REF!="","",IF(ISNUMBER(Data!#REF!),IF(AND(Data!#REF!&gt;(TODAY()-(Data_Val!$J$3*365.25)),Data!#REF!&lt;=(TODAY()-(Data_Val!$J$2*365.25))),0,1),1))</f>
        <v>#REF!</v>
      </c>
      <c r="R957" s="17" t="e">
        <f>IF(Data!#REF!="","",IF(ISNUMBER(MATCH(Data!#REF!,Data_Val!$B$2:$B$15,0)),0,1))</f>
        <v>#REF!</v>
      </c>
      <c r="S957" s="11" t="str">
        <f>IF(Data!G957="","",IF(Data!G957=Data_Val!$C$2,IF(Data!M957="",0,1),0))</f>
        <v/>
      </c>
      <c r="T957" s="11" t="str">
        <f>IF(Data!M957="","",IF(ISNUMBER(MATCH(Data!N957,Data_Val!$A$2:$A$3,0)),0,1))</f>
        <v/>
      </c>
      <c r="U957" s="11" t="str">
        <f ca="1">IF(Data!M957="","",IF(ISNUMBER(Data!O957),IF(AND(Data!O957&gt;(TODAY()-(Data_Val!$K$3*365.25)),Data!O957&lt;=(TODAY()-(Data_Val!$K$2*365.25))),0,1),1))</f>
        <v/>
      </c>
      <c r="V957" s="12" t="str">
        <f>IF(Data!G957="","",IF(Data!G957=Data_Val!$C$2,IF(Data!P957="",0,1),0))</f>
        <v/>
      </c>
      <c r="W957" s="12" t="str">
        <f>IF(Data!P957="","",IF(ISNUMBER(MATCH(Data!Q957,Data_Val!$A$2:$A$3,0)),0,1))</f>
        <v/>
      </c>
      <c r="X957" s="26" t="str">
        <f ca="1">IF(Data!P957="","",IF(ISNUMBER(Data!R957),IF(AND(Data!R957&gt;(TODAY()-(Data_Val!$L$3*365.25)),Data!R957&lt;=(TODAY()-(Data_Val!$L$2*365.25))),0,1),1))</f>
        <v/>
      </c>
      <c r="Y957" s="13" t="str">
        <f>IF(Data!$G957="","",IF(Data!$G957=Data_Val!$C$2,IF(Data!S957="",0,1),0))</f>
        <v/>
      </c>
      <c r="Z957" s="13" t="str">
        <f>IF(Data!S957="","",IF(ISNUMBER(MATCH(Data!T957,Data_Val!$A$2:$A$3,0)),0,1))</f>
        <v/>
      </c>
      <c r="AA957" s="28" t="str">
        <f ca="1">IF(Data!S957="","",IF(ISNUMBER(Data!U957),IF(AND(Data!U957&gt;(TODAY()-(Data_Val!$L$3*365.25)),Data!U957&lt;=(TODAY()-(Data_Val!$L$2*365.25))),0,1),1))</f>
        <v/>
      </c>
      <c r="AB957" s="11"/>
      <c r="AC957" s="11" t="e">
        <f>IF(Data!#REF!="","",IF(ISNUMBER(MATCH(Data!#REF!,Data_Val!$A$2:$A$3,0)),0,1))</f>
        <v>#REF!</v>
      </c>
      <c r="AD957" s="11" t="e">
        <f ca="1">IF(Data!#REF!="","",IF(ISNUMBER(Data!#REF!),IF(AND(Data!#REF!&gt;(TODAY()-(Data_Val!$L$3*365.25)),Data!#REF!&lt;=(TODAY()-(Data_Val!$L$2*365.25))),0,1),1))</f>
        <v>#REF!</v>
      </c>
      <c r="AE957" s="11" t="e">
        <f>IF(Data!#REF!="","",IF(Data!$G957="",1,IF(ISNUMBER(MATCH(Data!#REF!,Data_Val!$D$2:$D$10,0)),0,1)))</f>
        <v>#REF!</v>
      </c>
      <c r="AF957" s="12"/>
      <c r="AG957" s="12" t="e">
        <f>IF(Data!#REF!="","",IF(ISNUMBER(MATCH(Data!#REF!,Data_Val!$A$2:$A$3,0)),0,1))</f>
        <v>#REF!</v>
      </c>
      <c r="AH957" s="26" t="e">
        <f ca="1">IF(Data!#REF!="","",IF(ISNUMBER(Data!#REF!),IF(AND(Data!#REF!&gt;(TODAY()-(Data_Val!$L$3*365.25)),Data!#REF!&lt;=(TODAY()-(Data_Val!$L$2*365.25))),0,1),1))</f>
        <v>#REF!</v>
      </c>
      <c r="AI957" s="12" t="e">
        <f>IF(Data!#REF!="","",IF(Data!$G957="",1,IF(ISNUMBER(MATCH(Data!#REF!,Data_Val!$D$2:$D$10,0)),0,1)))</f>
        <v>#REF!</v>
      </c>
      <c r="AJ957" s="17"/>
      <c r="AK957" s="17" t="e">
        <f>IF(Data!#REF!="","",IF(ISNUMBER(MATCH(Data!#REF!,Data_Val!$A$2:$A$3,0)),0,1))</f>
        <v>#REF!</v>
      </c>
      <c r="AL957" s="25" t="e">
        <f ca="1">IF(Data!#REF!="","",IF(ISNUMBER(Data!#REF!),IF(AND(Data!#REF!&gt;(TODAY()-(Data_Val!$L$3*365.25)),Data!#REF!&lt;=(TODAY()-(Data_Val!$L$2*365.25))),0,1),1))</f>
        <v>#REF!</v>
      </c>
      <c r="AM957" s="17" t="e">
        <f>IF(Data!#REF!="","",IF(Data!$G957="",1,IF(ISNUMBER(MATCH(Data!#REF!,Data_Val!$D$2:$D$10,0)),0,1)))</f>
        <v>#REF!</v>
      </c>
      <c r="AN957" s="13"/>
      <c r="AO957" s="28" t="e">
        <f ca="1">IF(Data!#REF!="","",IF(ISNUMBER(Data!#REF!),IF(AND(Data!#REF!&gt;(TODAY()-(Data_Val!$I$3*365.25)),Data!#REF!&lt;=(TODAY()-(Data_Val!$I$2*365.25))),0,1),1))</f>
        <v>#REF!</v>
      </c>
      <c r="AP957" s="13" t="e">
        <f>IF(Data!#REF!="","",IF(Data!$G957="",1,IF(ISNUMBER(MATCH(Data!#REF!,Data_Val!$D$2:$D$10,0)),0,1)))</f>
        <v>#REF!</v>
      </c>
      <c r="AQ957" s="17"/>
      <c r="AR957" s="30" t="e">
        <f ca="1">IF(Data!#REF!="","",IF(ISNUMBER(Data!#REF!),IF(AND(Data!#REF!&gt;(TODAY()-(Data_Val!$I$3*365.25)),Data!#REF!&lt;=(TODAY()-(Data_Val!$I$2*365.25))),0,1),1))</f>
        <v>#REF!</v>
      </c>
      <c r="AS957" s="31" t="e">
        <f>IF(Data!#REF!="","",IF(Data!$G957="",1,IF(ISNUMBER(MATCH(Data!#REF!,Data_Val!$D$2:$D$10,0)),0,1)))</f>
        <v>#REF!</v>
      </c>
      <c r="AT957" s="11"/>
      <c r="AU957" s="11" t="e">
        <f ca="1">IF(Data!#REF!="","",IF(ISNUMBER(Data!#REF!),IF(AND(Data!#REF!&gt;(TODAY()-(Data_Val!$I$3*365.25)),Data!#REF!&lt;=(TODAY()-(Data_Val!$I$2*365.25))),0,1),1))</f>
        <v>#REF!</v>
      </c>
      <c r="AV957" s="11" t="e">
        <f>IF(Data!#REF!="","",IF(Data!$G957="",1,IF(ISNUMBER(MATCH(Data!#REF!,Data_Val!$D$2:$D$10,0)),0,1)))</f>
        <v>#REF!</v>
      </c>
      <c r="AW957" s="12"/>
      <c r="AX957" s="26" t="e">
        <f ca="1">IF(Data!#REF!="","",IF(ISNUMBER(Data!#REF!),IF(AND(Data!#REF!&gt;(TODAY()-(Data_Val!$I$3*365.25)),Data!#REF!&lt;=(TODAY()-(Data_Val!$I$2*365.25))),0,1),1))</f>
        <v>#REF!</v>
      </c>
      <c r="AY957" s="12" t="e">
        <f>IF(Data!#REF!="","",IF(Data!$G957="",1,IF(ISNUMBER(MATCH(Data!#REF!,Data_Val!$D$2:$D$10,0)),0,1)))</f>
        <v>#REF!</v>
      </c>
      <c r="AZ957" s="11"/>
      <c r="BA957" s="19" t="e">
        <f ca="1">IF(Data!#REF!="","",IF(ISNUMBER(Data!#REF!),IF(AND(Data!#REF!&gt;(TODAY()-(Data_Val!$M$3*365.25)),Data!#REF!&lt;=(TODAY()-(Data_Val!$M$2*365.25))),0,1),1))</f>
        <v>#REF!</v>
      </c>
      <c r="BB957" s="11" t="e">
        <f>IF(Data!#REF!="","",IF(Data!$G957="",1,IF(ISNUMBER(MATCH(Data!#REF!,Data_Val!$D$2:$D$10,0)),0,1)))</f>
        <v>#REF!</v>
      </c>
      <c r="BC957" s="12"/>
      <c r="BD957" s="20" t="e">
        <f ca="1">IF(Data!#REF!="","",IF(ISNUMBER(Data!#REF!),IF(AND(Data!#REF!&gt;(TODAY()-(Data_Val!$M$3*365.25)),Data!#REF!&lt;=(TODAY()-(Data_Val!$M$2*365.25))),0,1),1))</f>
        <v>#REF!</v>
      </c>
      <c r="BE957" s="12" t="e">
        <f>IF(Data!#REF!="","",IF(Data!$G957="",1,IF(ISNUMBER(MATCH(Data!#REF!,Data_Val!$D$2:$D$10,0)),0,1)))</f>
        <v>#REF!</v>
      </c>
      <c r="BF957" s="17"/>
      <c r="BG957" s="18" t="e">
        <f ca="1">IF(Data!#REF!="","",IF(ISNUMBER(Data!#REF!),IF(AND(Data!#REF!&gt;(TODAY()-(Data_Val!$M$3*365.25)),Data!#REF!&lt;=(TODAY()-(Data_Val!$M$2*365.25))),0,1),1))</f>
        <v>#REF!</v>
      </c>
      <c r="BH957" s="29" t="e">
        <f>IF(Data!#REF!="","",IF(Data!$G957="",1,IF(ISNUMBER(MATCH(Data!#REF!,Data_Val!$D$2:$D$10,0)),0,1)))</f>
        <v>#REF!</v>
      </c>
      <c r="BI957" s="13"/>
      <c r="BJ957" s="21" t="e">
        <f ca="1">IF(Data!#REF!="","",IF(ISNUMBER(Data!#REF!),IF(AND(Data!#REF!&gt;(TODAY()-(Data_Val!$M$3*365.25)),Data!#REF!&lt;=(TODAY()-(Data_Val!$M$2*365.25))),0,1),1))</f>
        <v>#REF!</v>
      </c>
      <c r="BK957" s="13" t="e">
        <f>IF(Data!#REF!="","",IF(Data!$G957="",1,IF(ISNUMBER(MATCH(Data!#REF!,Data_Val!$D$2:$D$10,0)),0,1)))</f>
        <v>#REF!</v>
      </c>
    </row>
    <row r="958" spans="1:63" x14ac:dyDescent="0.25">
      <c r="A958" s="9" t="str">
        <f>IF(Data!B958="","",IF(COUNTIFS(Data!A$1:'Data'!A958,Data!A958)&lt;=1,0,1))</f>
        <v/>
      </c>
      <c r="B958" s="9"/>
      <c r="C958" s="23" t="str">
        <f>IF(Data!C958="","",(IF(ISNUMBER(MATCH("*@*.?*",Data!C958,0)),0,1)+IF(COUNTIFS(Data!C$1:'Data'!C958,Data!C958)&gt;1,1,0)))</f>
        <v/>
      </c>
      <c r="D958" s="9" t="str">
        <f>IF(Data!B958="","",IF(ISNUMBER(Data!D958),IF(AND(Data!D958&gt;999999999,Data!D958&lt;=9999999999),IF(COUNTIFS(Data!D$1:'Data'!D958,Data!D958)&lt;=1,0,1),1),1))</f>
        <v/>
      </c>
      <c r="E958" s="9" t="str">
        <f>IF(Data!B958="","",IF(ISNUMBER(MATCH(Data!E958,Data_Val!$A$2:$A$3,0)),0,1))</f>
        <v/>
      </c>
      <c r="F958" s="9" t="str">
        <f ca="1">IF(Data!B958="","",IF(ISNUMBER(Data!F958),IF(AND(Data!F958&gt;(TODAY()-(Data_Val!$H$3*365.25)),Data!F958&lt;=(TODAY()-(Data_Val!$H$2*365.25))),0,1),1))</f>
        <v/>
      </c>
      <c r="G958" s="15" t="str">
        <f>IF(Data!B958="","",IF(AND(Data!G958="",Data!H958&lt;&gt;""),1,IF(Data!#REF!&lt;&gt;"",0,IF(ISNUMBER(MATCH(Data!G958,Data_Val!$C$2:$C$5,0)),0,1))))</f>
        <v/>
      </c>
      <c r="H958" s="15" t="str">
        <f>IF(Data!B958="","",IF(AND(Data!G958&lt;&gt;"",Data!H958=""),1,IF(Data!#REF!&lt;&gt;"",0,IF(Data!G958="",1,IF(ISNUMBER(MATCH(Data!H958,Data_Val!$D$2:$D$35,0)),0,1)))))</f>
        <v/>
      </c>
      <c r="I958" s="15" t="str">
        <f>IF(Data!B958="","",IF(Data!G958&lt;&gt;"",0,IF(ISNUMBER(MATCH(Data!#REF!,Data_Val!$E$2:$E$12,0)),0,1)))</f>
        <v/>
      </c>
      <c r="J958" s="16" t="e">
        <f>IF(OR(Data!B958="",Data!#REF!=""),"",IF(Data!#REF!="",1,0))</f>
        <v>#REF!</v>
      </c>
      <c r="K958" s="16" t="e">
        <f>IF(OR(Data!B958="",Data!#REF!=""),"",IF(Data!#REF!="",1,0))</f>
        <v>#REF!</v>
      </c>
      <c r="L958" s="16" t="e">
        <f>IF(OR(Data!B958="",Data!#REF!=""),"",IF(ISNUMBER(Data!#REF!),IF(AND(Data!#REF!&gt;Data_Val!$G$2,Data!#REF!&lt;=Data_Val!$G$3),0,1),1))</f>
        <v>#REF!</v>
      </c>
      <c r="M958" s="9" t="e">
        <f>IF(OR(Data!B958="",Data!#REF!=""),"",IF(ISNUMBER(MATCH(Data!#REF!,Data_Val!$F$1:$F$38,0)),0,1))</f>
        <v>#REF!</v>
      </c>
      <c r="N958" s="9" t="e">
        <f>IF(OR(Data!B958="",Data!#REF!=""),"",IF(Data!#REF!="",1,0))</f>
        <v>#REF!</v>
      </c>
      <c r="O958" s="17" t="e">
        <f>IF(Data!#REF!="","",IF(Data!#REF!="",1,0))</f>
        <v>#REF!</v>
      </c>
      <c r="P958" s="17" t="e">
        <f>IF(Data!#REF!="","",IF(ISNUMBER(MATCH(Data!#REF!,Data_Val!$A$2:$A$3,0)),0,1))</f>
        <v>#REF!</v>
      </c>
      <c r="Q958" s="25" t="e">
        <f ca="1">IF(Data!#REF!="","",IF(ISNUMBER(Data!#REF!),IF(AND(Data!#REF!&gt;(TODAY()-(Data_Val!$J$3*365.25)),Data!#REF!&lt;=(TODAY()-(Data_Val!$J$2*365.25))),0,1),1))</f>
        <v>#REF!</v>
      </c>
      <c r="R958" s="17" t="e">
        <f>IF(Data!#REF!="","",IF(ISNUMBER(MATCH(Data!#REF!,Data_Val!$B$2:$B$15,0)),0,1))</f>
        <v>#REF!</v>
      </c>
      <c r="S958" s="11" t="str">
        <f>IF(Data!G958="","",IF(Data!G958=Data_Val!$C$2,IF(Data!M958="",0,1),0))</f>
        <v/>
      </c>
      <c r="T958" s="11" t="str">
        <f>IF(Data!M958="","",IF(ISNUMBER(MATCH(Data!N958,Data_Val!$A$2:$A$3,0)),0,1))</f>
        <v/>
      </c>
      <c r="U958" s="11" t="str">
        <f ca="1">IF(Data!M958="","",IF(ISNUMBER(Data!O958),IF(AND(Data!O958&gt;(TODAY()-(Data_Val!$K$3*365.25)),Data!O958&lt;=(TODAY()-(Data_Val!$K$2*365.25))),0,1),1))</f>
        <v/>
      </c>
      <c r="V958" s="12" t="str">
        <f>IF(Data!G958="","",IF(Data!G958=Data_Val!$C$2,IF(Data!P958="",0,1),0))</f>
        <v/>
      </c>
      <c r="W958" s="12" t="str">
        <f>IF(Data!P958="","",IF(ISNUMBER(MATCH(Data!Q958,Data_Val!$A$2:$A$3,0)),0,1))</f>
        <v/>
      </c>
      <c r="X958" s="26" t="str">
        <f ca="1">IF(Data!P958="","",IF(ISNUMBER(Data!R958),IF(AND(Data!R958&gt;(TODAY()-(Data_Val!$L$3*365.25)),Data!R958&lt;=(TODAY()-(Data_Val!$L$2*365.25))),0,1),1))</f>
        <v/>
      </c>
      <c r="Y958" s="13" t="str">
        <f>IF(Data!$G958="","",IF(Data!$G958=Data_Val!$C$2,IF(Data!S958="",0,1),0))</f>
        <v/>
      </c>
      <c r="Z958" s="13" t="str">
        <f>IF(Data!S958="","",IF(ISNUMBER(MATCH(Data!T958,Data_Val!$A$2:$A$3,0)),0,1))</f>
        <v/>
      </c>
      <c r="AA958" s="28" t="str">
        <f ca="1">IF(Data!S958="","",IF(ISNUMBER(Data!U958),IF(AND(Data!U958&gt;(TODAY()-(Data_Val!$L$3*365.25)),Data!U958&lt;=(TODAY()-(Data_Val!$L$2*365.25))),0,1),1))</f>
        <v/>
      </c>
      <c r="AB958" s="11"/>
      <c r="AC958" s="11" t="e">
        <f>IF(Data!#REF!="","",IF(ISNUMBER(MATCH(Data!#REF!,Data_Val!$A$2:$A$3,0)),0,1))</f>
        <v>#REF!</v>
      </c>
      <c r="AD958" s="11" t="e">
        <f ca="1">IF(Data!#REF!="","",IF(ISNUMBER(Data!#REF!),IF(AND(Data!#REF!&gt;(TODAY()-(Data_Val!$L$3*365.25)),Data!#REF!&lt;=(TODAY()-(Data_Val!$L$2*365.25))),0,1),1))</f>
        <v>#REF!</v>
      </c>
      <c r="AE958" s="11" t="e">
        <f>IF(Data!#REF!="","",IF(Data!$G958="",1,IF(ISNUMBER(MATCH(Data!#REF!,Data_Val!$D$2:$D$10,0)),0,1)))</f>
        <v>#REF!</v>
      </c>
      <c r="AF958" s="12"/>
      <c r="AG958" s="12" t="e">
        <f>IF(Data!#REF!="","",IF(ISNUMBER(MATCH(Data!#REF!,Data_Val!$A$2:$A$3,0)),0,1))</f>
        <v>#REF!</v>
      </c>
      <c r="AH958" s="26" t="e">
        <f ca="1">IF(Data!#REF!="","",IF(ISNUMBER(Data!#REF!),IF(AND(Data!#REF!&gt;(TODAY()-(Data_Val!$L$3*365.25)),Data!#REF!&lt;=(TODAY()-(Data_Val!$L$2*365.25))),0,1),1))</f>
        <v>#REF!</v>
      </c>
      <c r="AI958" s="12" t="e">
        <f>IF(Data!#REF!="","",IF(Data!$G958="",1,IF(ISNUMBER(MATCH(Data!#REF!,Data_Val!$D$2:$D$10,0)),0,1)))</f>
        <v>#REF!</v>
      </c>
      <c r="AJ958" s="17"/>
      <c r="AK958" s="17" t="e">
        <f>IF(Data!#REF!="","",IF(ISNUMBER(MATCH(Data!#REF!,Data_Val!$A$2:$A$3,0)),0,1))</f>
        <v>#REF!</v>
      </c>
      <c r="AL958" s="25" t="e">
        <f ca="1">IF(Data!#REF!="","",IF(ISNUMBER(Data!#REF!),IF(AND(Data!#REF!&gt;(TODAY()-(Data_Val!$L$3*365.25)),Data!#REF!&lt;=(TODAY()-(Data_Val!$L$2*365.25))),0,1),1))</f>
        <v>#REF!</v>
      </c>
      <c r="AM958" s="17" t="e">
        <f>IF(Data!#REF!="","",IF(Data!$G958="",1,IF(ISNUMBER(MATCH(Data!#REF!,Data_Val!$D$2:$D$10,0)),0,1)))</f>
        <v>#REF!</v>
      </c>
      <c r="AN958" s="13"/>
      <c r="AO958" s="28" t="e">
        <f ca="1">IF(Data!#REF!="","",IF(ISNUMBER(Data!#REF!),IF(AND(Data!#REF!&gt;(TODAY()-(Data_Val!$I$3*365.25)),Data!#REF!&lt;=(TODAY()-(Data_Val!$I$2*365.25))),0,1),1))</f>
        <v>#REF!</v>
      </c>
      <c r="AP958" s="13" t="e">
        <f>IF(Data!#REF!="","",IF(Data!$G958="",1,IF(ISNUMBER(MATCH(Data!#REF!,Data_Val!$D$2:$D$10,0)),0,1)))</f>
        <v>#REF!</v>
      </c>
      <c r="AQ958" s="17"/>
      <c r="AR958" s="30" t="e">
        <f ca="1">IF(Data!#REF!="","",IF(ISNUMBER(Data!#REF!),IF(AND(Data!#REF!&gt;(TODAY()-(Data_Val!$I$3*365.25)),Data!#REF!&lt;=(TODAY()-(Data_Val!$I$2*365.25))),0,1),1))</f>
        <v>#REF!</v>
      </c>
      <c r="AS958" s="31" t="e">
        <f>IF(Data!#REF!="","",IF(Data!$G958="",1,IF(ISNUMBER(MATCH(Data!#REF!,Data_Val!$D$2:$D$10,0)),0,1)))</f>
        <v>#REF!</v>
      </c>
      <c r="AT958" s="11"/>
      <c r="AU958" s="11" t="e">
        <f ca="1">IF(Data!#REF!="","",IF(ISNUMBER(Data!#REF!),IF(AND(Data!#REF!&gt;(TODAY()-(Data_Val!$I$3*365.25)),Data!#REF!&lt;=(TODAY()-(Data_Val!$I$2*365.25))),0,1),1))</f>
        <v>#REF!</v>
      </c>
      <c r="AV958" s="11" t="e">
        <f>IF(Data!#REF!="","",IF(Data!$G958="",1,IF(ISNUMBER(MATCH(Data!#REF!,Data_Val!$D$2:$D$10,0)),0,1)))</f>
        <v>#REF!</v>
      </c>
      <c r="AW958" s="12"/>
      <c r="AX958" s="26" t="e">
        <f ca="1">IF(Data!#REF!="","",IF(ISNUMBER(Data!#REF!),IF(AND(Data!#REF!&gt;(TODAY()-(Data_Val!$I$3*365.25)),Data!#REF!&lt;=(TODAY()-(Data_Val!$I$2*365.25))),0,1),1))</f>
        <v>#REF!</v>
      </c>
      <c r="AY958" s="12" t="e">
        <f>IF(Data!#REF!="","",IF(Data!$G958="",1,IF(ISNUMBER(MATCH(Data!#REF!,Data_Val!$D$2:$D$10,0)),0,1)))</f>
        <v>#REF!</v>
      </c>
      <c r="AZ958" s="11"/>
      <c r="BA958" s="19" t="e">
        <f ca="1">IF(Data!#REF!="","",IF(ISNUMBER(Data!#REF!),IF(AND(Data!#REF!&gt;(TODAY()-(Data_Val!$M$3*365.25)),Data!#REF!&lt;=(TODAY()-(Data_Val!$M$2*365.25))),0,1),1))</f>
        <v>#REF!</v>
      </c>
      <c r="BB958" s="11" t="e">
        <f>IF(Data!#REF!="","",IF(Data!$G958="",1,IF(ISNUMBER(MATCH(Data!#REF!,Data_Val!$D$2:$D$10,0)),0,1)))</f>
        <v>#REF!</v>
      </c>
      <c r="BC958" s="12"/>
      <c r="BD958" s="20" t="e">
        <f ca="1">IF(Data!#REF!="","",IF(ISNUMBER(Data!#REF!),IF(AND(Data!#REF!&gt;(TODAY()-(Data_Val!$M$3*365.25)),Data!#REF!&lt;=(TODAY()-(Data_Val!$M$2*365.25))),0,1),1))</f>
        <v>#REF!</v>
      </c>
      <c r="BE958" s="12" t="e">
        <f>IF(Data!#REF!="","",IF(Data!$G958="",1,IF(ISNUMBER(MATCH(Data!#REF!,Data_Val!$D$2:$D$10,0)),0,1)))</f>
        <v>#REF!</v>
      </c>
      <c r="BF958" s="17"/>
      <c r="BG958" s="18" t="e">
        <f ca="1">IF(Data!#REF!="","",IF(ISNUMBER(Data!#REF!),IF(AND(Data!#REF!&gt;(TODAY()-(Data_Val!$M$3*365.25)),Data!#REF!&lt;=(TODAY()-(Data_Val!$M$2*365.25))),0,1),1))</f>
        <v>#REF!</v>
      </c>
      <c r="BH958" s="29" t="e">
        <f>IF(Data!#REF!="","",IF(Data!$G958="",1,IF(ISNUMBER(MATCH(Data!#REF!,Data_Val!$D$2:$D$10,0)),0,1)))</f>
        <v>#REF!</v>
      </c>
      <c r="BI958" s="13"/>
      <c r="BJ958" s="21" t="e">
        <f ca="1">IF(Data!#REF!="","",IF(ISNUMBER(Data!#REF!),IF(AND(Data!#REF!&gt;(TODAY()-(Data_Val!$M$3*365.25)),Data!#REF!&lt;=(TODAY()-(Data_Val!$M$2*365.25))),0,1),1))</f>
        <v>#REF!</v>
      </c>
      <c r="BK958" s="13" t="e">
        <f>IF(Data!#REF!="","",IF(Data!$G958="",1,IF(ISNUMBER(MATCH(Data!#REF!,Data_Val!$D$2:$D$10,0)),0,1)))</f>
        <v>#REF!</v>
      </c>
    </row>
    <row r="959" spans="1:63" x14ac:dyDescent="0.25">
      <c r="A959" s="9" t="str">
        <f>IF(Data!B959="","",IF(COUNTIFS(Data!A$1:'Data'!A959,Data!A959)&lt;=1,0,1))</f>
        <v/>
      </c>
      <c r="B959" s="9"/>
      <c r="C959" s="23" t="str">
        <f>IF(Data!C959="","",(IF(ISNUMBER(MATCH("*@*.?*",Data!C959,0)),0,1)+IF(COUNTIFS(Data!C$1:'Data'!C959,Data!C959)&gt;1,1,0)))</f>
        <v/>
      </c>
      <c r="D959" s="9" t="str">
        <f>IF(Data!B959="","",IF(ISNUMBER(Data!D959),IF(AND(Data!D959&gt;999999999,Data!D959&lt;=9999999999),IF(COUNTIFS(Data!D$1:'Data'!D959,Data!D959)&lt;=1,0,1),1),1))</f>
        <v/>
      </c>
      <c r="E959" s="9" t="str">
        <f>IF(Data!B959="","",IF(ISNUMBER(MATCH(Data!E959,Data_Val!$A$2:$A$3,0)),0,1))</f>
        <v/>
      </c>
      <c r="F959" s="9" t="str">
        <f ca="1">IF(Data!B959="","",IF(ISNUMBER(Data!F959),IF(AND(Data!F959&gt;(TODAY()-(Data_Val!$H$3*365.25)),Data!F959&lt;=(TODAY()-(Data_Val!$H$2*365.25))),0,1),1))</f>
        <v/>
      </c>
      <c r="G959" s="15" t="str">
        <f>IF(Data!B959="","",IF(AND(Data!G959="",Data!H959&lt;&gt;""),1,IF(Data!#REF!&lt;&gt;"",0,IF(ISNUMBER(MATCH(Data!G959,Data_Val!$C$2:$C$5,0)),0,1))))</f>
        <v/>
      </c>
      <c r="H959" s="15" t="str">
        <f>IF(Data!B959="","",IF(AND(Data!G959&lt;&gt;"",Data!H959=""),1,IF(Data!#REF!&lt;&gt;"",0,IF(Data!G959="",1,IF(ISNUMBER(MATCH(Data!H959,Data_Val!$D$2:$D$35,0)),0,1)))))</f>
        <v/>
      </c>
      <c r="I959" s="15" t="str">
        <f>IF(Data!B959="","",IF(Data!G959&lt;&gt;"",0,IF(ISNUMBER(MATCH(Data!#REF!,Data_Val!$E$2:$E$12,0)),0,1)))</f>
        <v/>
      </c>
      <c r="J959" s="16" t="e">
        <f>IF(OR(Data!B959="",Data!#REF!=""),"",IF(Data!#REF!="",1,0))</f>
        <v>#REF!</v>
      </c>
      <c r="K959" s="16" t="e">
        <f>IF(OR(Data!B959="",Data!#REF!=""),"",IF(Data!#REF!="",1,0))</f>
        <v>#REF!</v>
      </c>
      <c r="L959" s="16" t="e">
        <f>IF(OR(Data!B959="",Data!#REF!=""),"",IF(ISNUMBER(Data!#REF!),IF(AND(Data!#REF!&gt;Data_Val!$G$2,Data!#REF!&lt;=Data_Val!$G$3),0,1),1))</f>
        <v>#REF!</v>
      </c>
      <c r="M959" s="9" t="e">
        <f>IF(OR(Data!B959="",Data!#REF!=""),"",IF(ISNUMBER(MATCH(Data!#REF!,Data_Val!$F$1:$F$38,0)),0,1))</f>
        <v>#REF!</v>
      </c>
      <c r="N959" s="9" t="e">
        <f>IF(OR(Data!B959="",Data!#REF!=""),"",IF(Data!#REF!="",1,0))</f>
        <v>#REF!</v>
      </c>
      <c r="O959" s="17" t="e">
        <f>IF(Data!#REF!="","",IF(Data!#REF!="",1,0))</f>
        <v>#REF!</v>
      </c>
      <c r="P959" s="17" t="e">
        <f>IF(Data!#REF!="","",IF(ISNUMBER(MATCH(Data!#REF!,Data_Val!$A$2:$A$3,0)),0,1))</f>
        <v>#REF!</v>
      </c>
      <c r="Q959" s="25" t="e">
        <f ca="1">IF(Data!#REF!="","",IF(ISNUMBER(Data!#REF!),IF(AND(Data!#REF!&gt;(TODAY()-(Data_Val!$J$3*365.25)),Data!#REF!&lt;=(TODAY()-(Data_Val!$J$2*365.25))),0,1),1))</f>
        <v>#REF!</v>
      </c>
      <c r="R959" s="17" t="e">
        <f>IF(Data!#REF!="","",IF(ISNUMBER(MATCH(Data!#REF!,Data_Val!$B$2:$B$15,0)),0,1))</f>
        <v>#REF!</v>
      </c>
      <c r="S959" s="11" t="str">
        <f>IF(Data!G959="","",IF(Data!G959=Data_Val!$C$2,IF(Data!M959="",0,1),0))</f>
        <v/>
      </c>
      <c r="T959" s="11" t="str">
        <f>IF(Data!M959="","",IF(ISNUMBER(MATCH(Data!N959,Data_Val!$A$2:$A$3,0)),0,1))</f>
        <v/>
      </c>
      <c r="U959" s="11" t="str">
        <f ca="1">IF(Data!M959="","",IF(ISNUMBER(Data!O959),IF(AND(Data!O959&gt;(TODAY()-(Data_Val!$K$3*365.25)),Data!O959&lt;=(TODAY()-(Data_Val!$K$2*365.25))),0,1),1))</f>
        <v/>
      </c>
      <c r="V959" s="12" t="str">
        <f>IF(Data!G959="","",IF(Data!G959=Data_Val!$C$2,IF(Data!P959="",0,1),0))</f>
        <v/>
      </c>
      <c r="W959" s="12" t="str">
        <f>IF(Data!P959="","",IF(ISNUMBER(MATCH(Data!Q959,Data_Val!$A$2:$A$3,0)),0,1))</f>
        <v/>
      </c>
      <c r="X959" s="26" t="str">
        <f ca="1">IF(Data!P959="","",IF(ISNUMBER(Data!R959),IF(AND(Data!R959&gt;(TODAY()-(Data_Val!$L$3*365.25)),Data!R959&lt;=(TODAY()-(Data_Val!$L$2*365.25))),0,1),1))</f>
        <v/>
      </c>
      <c r="Y959" s="13" t="str">
        <f>IF(Data!$G959="","",IF(Data!$G959=Data_Val!$C$2,IF(Data!S959="",0,1),0))</f>
        <v/>
      </c>
      <c r="Z959" s="13" t="str">
        <f>IF(Data!S959="","",IF(ISNUMBER(MATCH(Data!T959,Data_Val!$A$2:$A$3,0)),0,1))</f>
        <v/>
      </c>
      <c r="AA959" s="28" t="str">
        <f ca="1">IF(Data!S959="","",IF(ISNUMBER(Data!U959),IF(AND(Data!U959&gt;(TODAY()-(Data_Val!$L$3*365.25)),Data!U959&lt;=(TODAY()-(Data_Val!$L$2*365.25))),0,1),1))</f>
        <v/>
      </c>
      <c r="AB959" s="11"/>
      <c r="AC959" s="11" t="e">
        <f>IF(Data!#REF!="","",IF(ISNUMBER(MATCH(Data!#REF!,Data_Val!$A$2:$A$3,0)),0,1))</f>
        <v>#REF!</v>
      </c>
      <c r="AD959" s="11" t="e">
        <f ca="1">IF(Data!#REF!="","",IF(ISNUMBER(Data!#REF!),IF(AND(Data!#REF!&gt;(TODAY()-(Data_Val!$L$3*365.25)),Data!#REF!&lt;=(TODAY()-(Data_Val!$L$2*365.25))),0,1),1))</f>
        <v>#REF!</v>
      </c>
      <c r="AE959" s="11" t="e">
        <f>IF(Data!#REF!="","",IF(Data!$G959="",1,IF(ISNUMBER(MATCH(Data!#REF!,Data_Val!$D$2:$D$10,0)),0,1)))</f>
        <v>#REF!</v>
      </c>
      <c r="AF959" s="12"/>
      <c r="AG959" s="12" t="e">
        <f>IF(Data!#REF!="","",IF(ISNUMBER(MATCH(Data!#REF!,Data_Val!$A$2:$A$3,0)),0,1))</f>
        <v>#REF!</v>
      </c>
      <c r="AH959" s="26" t="e">
        <f ca="1">IF(Data!#REF!="","",IF(ISNUMBER(Data!#REF!),IF(AND(Data!#REF!&gt;(TODAY()-(Data_Val!$L$3*365.25)),Data!#REF!&lt;=(TODAY()-(Data_Val!$L$2*365.25))),0,1),1))</f>
        <v>#REF!</v>
      </c>
      <c r="AI959" s="12" t="e">
        <f>IF(Data!#REF!="","",IF(Data!$G959="",1,IF(ISNUMBER(MATCH(Data!#REF!,Data_Val!$D$2:$D$10,0)),0,1)))</f>
        <v>#REF!</v>
      </c>
      <c r="AJ959" s="17"/>
      <c r="AK959" s="17" t="e">
        <f>IF(Data!#REF!="","",IF(ISNUMBER(MATCH(Data!#REF!,Data_Val!$A$2:$A$3,0)),0,1))</f>
        <v>#REF!</v>
      </c>
      <c r="AL959" s="25" t="e">
        <f ca="1">IF(Data!#REF!="","",IF(ISNUMBER(Data!#REF!),IF(AND(Data!#REF!&gt;(TODAY()-(Data_Val!$L$3*365.25)),Data!#REF!&lt;=(TODAY()-(Data_Val!$L$2*365.25))),0,1),1))</f>
        <v>#REF!</v>
      </c>
      <c r="AM959" s="17" t="e">
        <f>IF(Data!#REF!="","",IF(Data!$G959="",1,IF(ISNUMBER(MATCH(Data!#REF!,Data_Val!$D$2:$D$10,0)),0,1)))</f>
        <v>#REF!</v>
      </c>
      <c r="AN959" s="13"/>
      <c r="AO959" s="28" t="e">
        <f ca="1">IF(Data!#REF!="","",IF(ISNUMBER(Data!#REF!),IF(AND(Data!#REF!&gt;(TODAY()-(Data_Val!$I$3*365.25)),Data!#REF!&lt;=(TODAY()-(Data_Val!$I$2*365.25))),0,1),1))</f>
        <v>#REF!</v>
      </c>
      <c r="AP959" s="13" t="e">
        <f>IF(Data!#REF!="","",IF(Data!$G959="",1,IF(ISNUMBER(MATCH(Data!#REF!,Data_Val!$D$2:$D$10,0)),0,1)))</f>
        <v>#REF!</v>
      </c>
      <c r="AQ959" s="17"/>
      <c r="AR959" s="30" t="e">
        <f ca="1">IF(Data!#REF!="","",IF(ISNUMBER(Data!#REF!),IF(AND(Data!#REF!&gt;(TODAY()-(Data_Val!$I$3*365.25)),Data!#REF!&lt;=(TODAY()-(Data_Val!$I$2*365.25))),0,1),1))</f>
        <v>#REF!</v>
      </c>
      <c r="AS959" s="31" t="e">
        <f>IF(Data!#REF!="","",IF(Data!$G959="",1,IF(ISNUMBER(MATCH(Data!#REF!,Data_Val!$D$2:$D$10,0)),0,1)))</f>
        <v>#REF!</v>
      </c>
      <c r="AT959" s="11"/>
      <c r="AU959" s="11" t="e">
        <f ca="1">IF(Data!#REF!="","",IF(ISNUMBER(Data!#REF!),IF(AND(Data!#REF!&gt;(TODAY()-(Data_Val!$I$3*365.25)),Data!#REF!&lt;=(TODAY()-(Data_Val!$I$2*365.25))),0,1),1))</f>
        <v>#REF!</v>
      </c>
      <c r="AV959" s="11" t="e">
        <f>IF(Data!#REF!="","",IF(Data!$G959="",1,IF(ISNUMBER(MATCH(Data!#REF!,Data_Val!$D$2:$D$10,0)),0,1)))</f>
        <v>#REF!</v>
      </c>
      <c r="AW959" s="12"/>
      <c r="AX959" s="26" t="e">
        <f ca="1">IF(Data!#REF!="","",IF(ISNUMBER(Data!#REF!),IF(AND(Data!#REF!&gt;(TODAY()-(Data_Val!$I$3*365.25)),Data!#REF!&lt;=(TODAY()-(Data_Val!$I$2*365.25))),0,1),1))</f>
        <v>#REF!</v>
      </c>
      <c r="AY959" s="12" t="e">
        <f>IF(Data!#REF!="","",IF(Data!$G959="",1,IF(ISNUMBER(MATCH(Data!#REF!,Data_Val!$D$2:$D$10,0)),0,1)))</f>
        <v>#REF!</v>
      </c>
      <c r="AZ959" s="11"/>
      <c r="BA959" s="19" t="e">
        <f ca="1">IF(Data!#REF!="","",IF(ISNUMBER(Data!#REF!),IF(AND(Data!#REF!&gt;(TODAY()-(Data_Val!$M$3*365.25)),Data!#REF!&lt;=(TODAY()-(Data_Val!$M$2*365.25))),0,1),1))</f>
        <v>#REF!</v>
      </c>
      <c r="BB959" s="11" t="e">
        <f>IF(Data!#REF!="","",IF(Data!$G959="",1,IF(ISNUMBER(MATCH(Data!#REF!,Data_Val!$D$2:$D$10,0)),0,1)))</f>
        <v>#REF!</v>
      </c>
      <c r="BC959" s="12"/>
      <c r="BD959" s="20" t="e">
        <f ca="1">IF(Data!#REF!="","",IF(ISNUMBER(Data!#REF!),IF(AND(Data!#REF!&gt;(TODAY()-(Data_Val!$M$3*365.25)),Data!#REF!&lt;=(TODAY()-(Data_Val!$M$2*365.25))),0,1),1))</f>
        <v>#REF!</v>
      </c>
      <c r="BE959" s="12" t="e">
        <f>IF(Data!#REF!="","",IF(Data!$G959="",1,IF(ISNUMBER(MATCH(Data!#REF!,Data_Val!$D$2:$D$10,0)),0,1)))</f>
        <v>#REF!</v>
      </c>
      <c r="BF959" s="17"/>
      <c r="BG959" s="18" t="e">
        <f ca="1">IF(Data!#REF!="","",IF(ISNUMBER(Data!#REF!),IF(AND(Data!#REF!&gt;(TODAY()-(Data_Val!$M$3*365.25)),Data!#REF!&lt;=(TODAY()-(Data_Val!$M$2*365.25))),0,1),1))</f>
        <v>#REF!</v>
      </c>
      <c r="BH959" s="29" t="e">
        <f>IF(Data!#REF!="","",IF(Data!$G959="",1,IF(ISNUMBER(MATCH(Data!#REF!,Data_Val!$D$2:$D$10,0)),0,1)))</f>
        <v>#REF!</v>
      </c>
      <c r="BI959" s="13"/>
      <c r="BJ959" s="21" t="e">
        <f ca="1">IF(Data!#REF!="","",IF(ISNUMBER(Data!#REF!),IF(AND(Data!#REF!&gt;(TODAY()-(Data_Val!$M$3*365.25)),Data!#REF!&lt;=(TODAY()-(Data_Val!$M$2*365.25))),0,1),1))</f>
        <v>#REF!</v>
      </c>
      <c r="BK959" s="13" t="e">
        <f>IF(Data!#REF!="","",IF(Data!$G959="",1,IF(ISNUMBER(MATCH(Data!#REF!,Data_Val!$D$2:$D$10,0)),0,1)))</f>
        <v>#REF!</v>
      </c>
    </row>
    <row r="960" spans="1:63" x14ac:dyDescent="0.25">
      <c r="A960" s="9" t="str">
        <f>IF(Data!B960="","",IF(COUNTIFS(Data!A$1:'Data'!A960,Data!A960)&lt;=1,0,1))</f>
        <v/>
      </c>
      <c r="B960" s="9"/>
      <c r="C960" s="23" t="str">
        <f>IF(Data!C960="","",(IF(ISNUMBER(MATCH("*@*.?*",Data!C960,0)),0,1)+IF(COUNTIFS(Data!C$1:'Data'!C960,Data!C960)&gt;1,1,0)))</f>
        <v/>
      </c>
      <c r="D960" s="9" t="str">
        <f>IF(Data!B960="","",IF(ISNUMBER(Data!D960),IF(AND(Data!D960&gt;999999999,Data!D960&lt;=9999999999),IF(COUNTIFS(Data!D$1:'Data'!D960,Data!D960)&lt;=1,0,1),1),1))</f>
        <v/>
      </c>
      <c r="E960" s="9" t="str">
        <f>IF(Data!B960="","",IF(ISNUMBER(MATCH(Data!E960,Data_Val!$A$2:$A$3,0)),0,1))</f>
        <v/>
      </c>
      <c r="F960" s="9" t="str">
        <f ca="1">IF(Data!B960="","",IF(ISNUMBER(Data!F960),IF(AND(Data!F960&gt;(TODAY()-(Data_Val!$H$3*365.25)),Data!F960&lt;=(TODAY()-(Data_Val!$H$2*365.25))),0,1),1))</f>
        <v/>
      </c>
      <c r="G960" s="15" t="str">
        <f>IF(Data!B960="","",IF(AND(Data!G960="",Data!H960&lt;&gt;""),1,IF(Data!#REF!&lt;&gt;"",0,IF(ISNUMBER(MATCH(Data!G960,Data_Val!$C$2:$C$5,0)),0,1))))</f>
        <v/>
      </c>
      <c r="H960" s="15" t="str">
        <f>IF(Data!B960="","",IF(AND(Data!G960&lt;&gt;"",Data!H960=""),1,IF(Data!#REF!&lt;&gt;"",0,IF(Data!G960="",1,IF(ISNUMBER(MATCH(Data!H960,Data_Val!$D$2:$D$35,0)),0,1)))))</f>
        <v/>
      </c>
      <c r="I960" s="15" t="str">
        <f>IF(Data!B960="","",IF(Data!G960&lt;&gt;"",0,IF(ISNUMBER(MATCH(Data!#REF!,Data_Val!$E$2:$E$12,0)),0,1)))</f>
        <v/>
      </c>
      <c r="J960" s="16" t="e">
        <f>IF(OR(Data!B960="",Data!#REF!=""),"",IF(Data!#REF!="",1,0))</f>
        <v>#REF!</v>
      </c>
      <c r="K960" s="16" t="e">
        <f>IF(OR(Data!B960="",Data!#REF!=""),"",IF(Data!#REF!="",1,0))</f>
        <v>#REF!</v>
      </c>
      <c r="L960" s="16" t="e">
        <f>IF(OR(Data!B960="",Data!#REF!=""),"",IF(ISNUMBER(Data!#REF!),IF(AND(Data!#REF!&gt;Data_Val!$G$2,Data!#REF!&lt;=Data_Val!$G$3),0,1),1))</f>
        <v>#REF!</v>
      </c>
      <c r="M960" s="9" t="e">
        <f>IF(OR(Data!B960="",Data!#REF!=""),"",IF(ISNUMBER(MATCH(Data!#REF!,Data_Val!$F$1:$F$38,0)),0,1))</f>
        <v>#REF!</v>
      </c>
      <c r="N960" s="9" t="e">
        <f>IF(OR(Data!B960="",Data!#REF!=""),"",IF(Data!#REF!="",1,0))</f>
        <v>#REF!</v>
      </c>
      <c r="O960" s="17" t="e">
        <f>IF(Data!#REF!="","",IF(Data!#REF!="",1,0))</f>
        <v>#REF!</v>
      </c>
      <c r="P960" s="17" t="e">
        <f>IF(Data!#REF!="","",IF(ISNUMBER(MATCH(Data!#REF!,Data_Val!$A$2:$A$3,0)),0,1))</f>
        <v>#REF!</v>
      </c>
      <c r="Q960" s="25" t="e">
        <f ca="1">IF(Data!#REF!="","",IF(ISNUMBER(Data!#REF!),IF(AND(Data!#REF!&gt;(TODAY()-(Data_Val!$J$3*365.25)),Data!#REF!&lt;=(TODAY()-(Data_Val!$J$2*365.25))),0,1),1))</f>
        <v>#REF!</v>
      </c>
      <c r="R960" s="17" t="e">
        <f>IF(Data!#REF!="","",IF(ISNUMBER(MATCH(Data!#REF!,Data_Val!$B$2:$B$15,0)),0,1))</f>
        <v>#REF!</v>
      </c>
      <c r="S960" s="11" t="str">
        <f>IF(Data!G960="","",IF(Data!G960=Data_Val!$C$2,IF(Data!M960="",0,1),0))</f>
        <v/>
      </c>
      <c r="T960" s="11" t="str">
        <f>IF(Data!M960="","",IF(ISNUMBER(MATCH(Data!N960,Data_Val!$A$2:$A$3,0)),0,1))</f>
        <v/>
      </c>
      <c r="U960" s="11" t="str">
        <f ca="1">IF(Data!M960="","",IF(ISNUMBER(Data!O960),IF(AND(Data!O960&gt;(TODAY()-(Data_Val!$K$3*365.25)),Data!O960&lt;=(TODAY()-(Data_Val!$K$2*365.25))),0,1),1))</f>
        <v/>
      </c>
      <c r="V960" s="12" t="str">
        <f>IF(Data!G960="","",IF(Data!G960=Data_Val!$C$2,IF(Data!P960="",0,1),0))</f>
        <v/>
      </c>
      <c r="W960" s="12" t="str">
        <f>IF(Data!P960="","",IF(ISNUMBER(MATCH(Data!Q960,Data_Val!$A$2:$A$3,0)),0,1))</f>
        <v/>
      </c>
      <c r="X960" s="26" t="str">
        <f ca="1">IF(Data!P960="","",IF(ISNUMBER(Data!R960),IF(AND(Data!R960&gt;(TODAY()-(Data_Val!$L$3*365.25)),Data!R960&lt;=(TODAY()-(Data_Val!$L$2*365.25))),0,1),1))</f>
        <v/>
      </c>
      <c r="Y960" s="13" t="str">
        <f>IF(Data!$G960="","",IF(Data!$G960=Data_Val!$C$2,IF(Data!S960="",0,1),0))</f>
        <v/>
      </c>
      <c r="Z960" s="13" t="str">
        <f>IF(Data!S960="","",IF(ISNUMBER(MATCH(Data!T960,Data_Val!$A$2:$A$3,0)),0,1))</f>
        <v/>
      </c>
      <c r="AA960" s="28" t="str">
        <f ca="1">IF(Data!S960="","",IF(ISNUMBER(Data!U960),IF(AND(Data!U960&gt;(TODAY()-(Data_Val!$L$3*365.25)),Data!U960&lt;=(TODAY()-(Data_Val!$L$2*365.25))),0,1),1))</f>
        <v/>
      </c>
      <c r="AB960" s="11"/>
      <c r="AC960" s="11" t="e">
        <f>IF(Data!#REF!="","",IF(ISNUMBER(MATCH(Data!#REF!,Data_Val!$A$2:$A$3,0)),0,1))</f>
        <v>#REF!</v>
      </c>
      <c r="AD960" s="11" t="e">
        <f ca="1">IF(Data!#REF!="","",IF(ISNUMBER(Data!#REF!),IF(AND(Data!#REF!&gt;(TODAY()-(Data_Val!$L$3*365.25)),Data!#REF!&lt;=(TODAY()-(Data_Val!$L$2*365.25))),0,1),1))</f>
        <v>#REF!</v>
      </c>
      <c r="AE960" s="11" t="e">
        <f>IF(Data!#REF!="","",IF(Data!$G960="",1,IF(ISNUMBER(MATCH(Data!#REF!,Data_Val!$D$2:$D$10,0)),0,1)))</f>
        <v>#REF!</v>
      </c>
      <c r="AF960" s="12"/>
      <c r="AG960" s="12" t="e">
        <f>IF(Data!#REF!="","",IF(ISNUMBER(MATCH(Data!#REF!,Data_Val!$A$2:$A$3,0)),0,1))</f>
        <v>#REF!</v>
      </c>
      <c r="AH960" s="26" t="e">
        <f ca="1">IF(Data!#REF!="","",IF(ISNUMBER(Data!#REF!),IF(AND(Data!#REF!&gt;(TODAY()-(Data_Val!$L$3*365.25)),Data!#REF!&lt;=(TODAY()-(Data_Val!$L$2*365.25))),0,1),1))</f>
        <v>#REF!</v>
      </c>
      <c r="AI960" s="12" t="e">
        <f>IF(Data!#REF!="","",IF(Data!$G960="",1,IF(ISNUMBER(MATCH(Data!#REF!,Data_Val!$D$2:$D$10,0)),0,1)))</f>
        <v>#REF!</v>
      </c>
      <c r="AJ960" s="17"/>
      <c r="AK960" s="17" t="e">
        <f>IF(Data!#REF!="","",IF(ISNUMBER(MATCH(Data!#REF!,Data_Val!$A$2:$A$3,0)),0,1))</f>
        <v>#REF!</v>
      </c>
      <c r="AL960" s="25" t="e">
        <f ca="1">IF(Data!#REF!="","",IF(ISNUMBER(Data!#REF!),IF(AND(Data!#REF!&gt;(TODAY()-(Data_Val!$L$3*365.25)),Data!#REF!&lt;=(TODAY()-(Data_Val!$L$2*365.25))),0,1),1))</f>
        <v>#REF!</v>
      </c>
      <c r="AM960" s="17" t="e">
        <f>IF(Data!#REF!="","",IF(Data!$G960="",1,IF(ISNUMBER(MATCH(Data!#REF!,Data_Val!$D$2:$D$10,0)),0,1)))</f>
        <v>#REF!</v>
      </c>
      <c r="AN960" s="13"/>
      <c r="AO960" s="28" t="e">
        <f ca="1">IF(Data!#REF!="","",IF(ISNUMBER(Data!#REF!),IF(AND(Data!#REF!&gt;(TODAY()-(Data_Val!$I$3*365.25)),Data!#REF!&lt;=(TODAY()-(Data_Val!$I$2*365.25))),0,1),1))</f>
        <v>#REF!</v>
      </c>
      <c r="AP960" s="13" t="e">
        <f>IF(Data!#REF!="","",IF(Data!$G960="",1,IF(ISNUMBER(MATCH(Data!#REF!,Data_Val!$D$2:$D$10,0)),0,1)))</f>
        <v>#REF!</v>
      </c>
      <c r="AQ960" s="17"/>
      <c r="AR960" s="30" t="e">
        <f ca="1">IF(Data!#REF!="","",IF(ISNUMBER(Data!#REF!),IF(AND(Data!#REF!&gt;(TODAY()-(Data_Val!$I$3*365.25)),Data!#REF!&lt;=(TODAY()-(Data_Val!$I$2*365.25))),0,1),1))</f>
        <v>#REF!</v>
      </c>
      <c r="AS960" s="31" t="e">
        <f>IF(Data!#REF!="","",IF(Data!$G960="",1,IF(ISNUMBER(MATCH(Data!#REF!,Data_Val!$D$2:$D$10,0)),0,1)))</f>
        <v>#REF!</v>
      </c>
      <c r="AT960" s="11"/>
      <c r="AU960" s="11" t="e">
        <f ca="1">IF(Data!#REF!="","",IF(ISNUMBER(Data!#REF!),IF(AND(Data!#REF!&gt;(TODAY()-(Data_Val!$I$3*365.25)),Data!#REF!&lt;=(TODAY()-(Data_Val!$I$2*365.25))),0,1),1))</f>
        <v>#REF!</v>
      </c>
      <c r="AV960" s="11" t="e">
        <f>IF(Data!#REF!="","",IF(Data!$G960="",1,IF(ISNUMBER(MATCH(Data!#REF!,Data_Val!$D$2:$D$10,0)),0,1)))</f>
        <v>#REF!</v>
      </c>
      <c r="AW960" s="12"/>
      <c r="AX960" s="26" t="e">
        <f ca="1">IF(Data!#REF!="","",IF(ISNUMBER(Data!#REF!),IF(AND(Data!#REF!&gt;(TODAY()-(Data_Val!$I$3*365.25)),Data!#REF!&lt;=(TODAY()-(Data_Val!$I$2*365.25))),0,1),1))</f>
        <v>#REF!</v>
      </c>
      <c r="AY960" s="12" t="e">
        <f>IF(Data!#REF!="","",IF(Data!$G960="",1,IF(ISNUMBER(MATCH(Data!#REF!,Data_Val!$D$2:$D$10,0)),0,1)))</f>
        <v>#REF!</v>
      </c>
      <c r="AZ960" s="11"/>
      <c r="BA960" s="19" t="e">
        <f ca="1">IF(Data!#REF!="","",IF(ISNUMBER(Data!#REF!),IF(AND(Data!#REF!&gt;(TODAY()-(Data_Val!$M$3*365.25)),Data!#REF!&lt;=(TODAY()-(Data_Val!$M$2*365.25))),0,1),1))</f>
        <v>#REF!</v>
      </c>
      <c r="BB960" s="11" t="e">
        <f>IF(Data!#REF!="","",IF(Data!$G960="",1,IF(ISNUMBER(MATCH(Data!#REF!,Data_Val!$D$2:$D$10,0)),0,1)))</f>
        <v>#REF!</v>
      </c>
      <c r="BC960" s="12"/>
      <c r="BD960" s="20" t="e">
        <f ca="1">IF(Data!#REF!="","",IF(ISNUMBER(Data!#REF!),IF(AND(Data!#REF!&gt;(TODAY()-(Data_Val!$M$3*365.25)),Data!#REF!&lt;=(TODAY()-(Data_Val!$M$2*365.25))),0,1),1))</f>
        <v>#REF!</v>
      </c>
      <c r="BE960" s="12" t="e">
        <f>IF(Data!#REF!="","",IF(Data!$G960="",1,IF(ISNUMBER(MATCH(Data!#REF!,Data_Val!$D$2:$D$10,0)),0,1)))</f>
        <v>#REF!</v>
      </c>
      <c r="BF960" s="17"/>
      <c r="BG960" s="18" t="e">
        <f ca="1">IF(Data!#REF!="","",IF(ISNUMBER(Data!#REF!),IF(AND(Data!#REF!&gt;(TODAY()-(Data_Val!$M$3*365.25)),Data!#REF!&lt;=(TODAY()-(Data_Val!$M$2*365.25))),0,1),1))</f>
        <v>#REF!</v>
      </c>
      <c r="BH960" s="29" t="e">
        <f>IF(Data!#REF!="","",IF(Data!$G960="",1,IF(ISNUMBER(MATCH(Data!#REF!,Data_Val!$D$2:$D$10,0)),0,1)))</f>
        <v>#REF!</v>
      </c>
      <c r="BI960" s="13"/>
      <c r="BJ960" s="21" t="e">
        <f ca="1">IF(Data!#REF!="","",IF(ISNUMBER(Data!#REF!),IF(AND(Data!#REF!&gt;(TODAY()-(Data_Val!$M$3*365.25)),Data!#REF!&lt;=(TODAY()-(Data_Val!$M$2*365.25))),0,1),1))</f>
        <v>#REF!</v>
      </c>
      <c r="BK960" s="13" t="e">
        <f>IF(Data!#REF!="","",IF(Data!$G960="",1,IF(ISNUMBER(MATCH(Data!#REF!,Data_Val!$D$2:$D$10,0)),0,1)))</f>
        <v>#REF!</v>
      </c>
    </row>
    <row r="961" spans="1:63" x14ac:dyDescent="0.25">
      <c r="A961" s="9" t="str">
        <f>IF(Data!B961="","",IF(COUNTIFS(Data!A$1:'Data'!A961,Data!A961)&lt;=1,0,1))</f>
        <v/>
      </c>
      <c r="B961" s="9"/>
      <c r="C961" s="23" t="str">
        <f>IF(Data!C961="","",(IF(ISNUMBER(MATCH("*@*.?*",Data!C961,0)),0,1)+IF(COUNTIFS(Data!C$1:'Data'!C961,Data!C961)&gt;1,1,0)))</f>
        <v/>
      </c>
      <c r="D961" s="9" t="str">
        <f>IF(Data!B961="","",IF(ISNUMBER(Data!D961),IF(AND(Data!D961&gt;999999999,Data!D961&lt;=9999999999),IF(COUNTIFS(Data!D$1:'Data'!D961,Data!D961)&lt;=1,0,1),1),1))</f>
        <v/>
      </c>
      <c r="E961" s="9" t="str">
        <f>IF(Data!B961="","",IF(ISNUMBER(MATCH(Data!E961,Data_Val!$A$2:$A$3,0)),0,1))</f>
        <v/>
      </c>
      <c r="F961" s="9" t="str">
        <f ca="1">IF(Data!B961="","",IF(ISNUMBER(Data!F961),IF(AND(Data!F961&gt;(TODAY()-(Data_Val!$H$3*365.25)),Data!F961&lt;=(TODAY()-(Data_Val!$H$2*365.25))),0,1),1))</f>
        <v/>
      </c>
      <c r="G961" s="15" t="str">
        <f>IF(Data!B961="","",IF(AND(Data!G961="",Data!H961&lt;&gt;""),1,IF(Data!#REF!&lt;&gt;"",0,IF(ISNUMBER(MATCH(Data!G961,Data_Val!$C$2:$C$5,0)),0,1))))</f>
        <v/>
      </c>
      <c r="H961" s="15" t="str">
        <f>IF(Data!B961="","",IF(AND(Data!G961&lt;&gt;"",Data!H961=""),1,IF(Data!#REF!&lt;&gt;"",0,IF(Data!G961="",1,IF(ISNUMBER(MATCH(Data!H961,Data_Val!$D$2:$D$35,0)),0,1)))))</f>
        <v/>
      </c>
      <c r="I961" s="15" t="str">
        <f>IF(Data!B961="","",IF(Data!G961&lt;&gt;"",0,IF(ISNUMBER(MATCH(Data!#REF!,Data_Val!$E$2:$E$12,0)),0,1)))</f>
        <v/>
      </c>
      <c r="J961" s="16" t="e">
        <f>IF(OR(Data!B961="",Data!#REF!=""),"",IF(Data!#REF!="",1,0))</f>
        <v>#REF!</v>
      </c>
      <c r="K961" s="16" t="e">
        <f>IF(OR(Data!B961="",Data!#REF!=""),"",IF(Data!#REF!="",1,0))</f>
        <v>#REF!</v>
      </c>
      <c r="L961" s="16" t="e">
        <f>IF(OR(Data!B961="",Data!#REF!=""),"",IF(ISNUMBER(Data!#REF!),IF(AND(Data!#REF!&gt;Data_Val!$G$2,Data!#REF!&lt;=Data_Val!$G$3),0,1),1))</f>
        <v>#REF!</v>
      </c>
      <c r="M961" s="9" t="e">
        <f>IF(OR(Data!B961="",Data!#REF!=""),"",IF(ISNUMBER(MATCH(Data!#REF!,Data_Val!$F$1:$F$38,0)),0,1))</f>
        <v>#REF!</v>
      </c>
      <c r="N961" s="9" t="e">
        <f>IF(OR(Data!B961="",Data!#REF!=""),"",IF(Data!#REF!="",1,0))</f>
        <v>#REF!</v>
      </c>
      <c r="O961" s="17" t="e">
        <f>IF(Data!#REF!="","",IF(Data!#REF!="",1,0))</f>
        <v>#REF!</v>
      </c>
      <c r="P961" s="17" t="e">
        <f>IF(Data!#REF!="","",IF(ISNUMBER(MATCH(Data!#REF!,Data_Val!$A$2:$A$3,0)),0,1))</f>
        <v>#REF!</v>
      </c>
      <c r="Q961" s="25" t="e">
        <f ca="1">IF(Data!#REF!="","",IF(ISNUMBER(Data!#REF!),IF(AND(Data!#REF!&gt;(TODAY()-(Data_Val!$J$3*365.25)),Data!#REF!&lt;=(TODAY()-(Data_Val!$J$2*365.25))),0,1),1))</f>
        <v>#REF!</v>
      </c>
      <c r="R961" s="17" t="e">
        <f>IF(Data!#REF!="","",IF(ISNUMBER(MATCH(Data!#REF!,Data_Val!$B$2:$B$15,0)),0,1))</f>
        <v>#REF!</v>
      </c>
      <c r="S961" s="11" t="str">
        <f>IF(Data!G961="","",IF(Data!G961=Data_Val!$C$2,IF(Data!M961="",0,1),0))</f>
        <v/>
      </c>
      <c r="T961" s="11" t="str">
        <f>IF(Data!M961="","",IF(ISNUMBER(MATCH(Data!N961,Data_Val!$A$2:$A$3,0)),0,1))</f>
        <v/>
      </c>
      <c r="U961" s="11" t="str">
        <f ca="1">IF(Data!M961="","",IF(ISNUMBER(Data!O961),IF(AND(Data!O961&gt;(TODAY()-(Data_Val!$K$3*365.25)),Data!O961&lt;=(TODAY()-(Data_Val!$K$2*365.25))),0,1),1))</f>
        <v/>
      </c>
      <c r="V961" s="12" t="str">
        <f>IF(Data!G961="","",IF(Data!G961=Data_Val!$C$2,IF(Data!P961="",0,1),0))</f>
        <v/>
      </c>
      <c r="W961" s="12" t="str">
        <f>IF(Data!P961="","",IF(ISNUMBER(MATCH(Data!Q961,Data_Val!$A$2:$A$3,0)),0,1))</f>
        <v/>
      </c>
      <c r="X961" s="26" t="str">
        <f ca="1">IF(Data!P961="","",IF(ISNUMBER(Data!R961),IF(AND(Data!R961&gt;(TODAY()-(Data_Val!$L$3*365.25)),Data!R961&lt;=(TODAY()-(Data_Val!$L$2*365.25))),0,1),1))</f>
        <v/>
      </c>
      <c r="Y961" s="13" t="str">
        <f>IF(Data!$G961="","",IF(Data!$G961=Data_Val!$C$2,IF(Data!S961="",0,1),0))</f>
        <v/>
      </c>
      <c r="Z961" s="13" t="str">
        <f>IF(Data!S961="","",IF(ISNUMBER(MATCH(Data!T961,Data_Val!$A$2:$A$3,0)),0,1))</f>
        <v/>
      </c>
      <c r="AA961" s="28" t="str">
        <f ca="1">IF(Data!S961="","",IF(ISNUMBER(Data!U961),IF(AND(Data!U961&gt;(TODAY()-(Data_Val!$L$3*365.25)),Data!U961&lt;=(TODAY()-(Data_Val!$L$2*365.25))),0,1),1))</f>
        <v/>
      </c>
      <c r="AB961" s="11"/>
      <c r="AC961" s="11" t="e">
        <f>IF(Data!#REF!="","",IF(ISNUMBER(MATCH(Data!#REF!,Data_Val!$A$2:$A$3,0)),0,1))</f>
        <v>#REF!</v>
      </c>
      <c r="AD961" s="11" t="e">
        <f ca="1">IF(Data!#REF!="","",IF(ISNUMBER(Data!#REF!),IF(AND(Data!#REF!&gt;(TODAY()-(Data_Val!$L$3*365.25)),Data!#REF!&lt;=(TODAY()-(Data_Val!$L$2*365.25))),0,1),1))</f>
        <v>#REF!</v>
      </c>
      <c r="AE961" s="11" t="e">
        <f>IF(Data!#REF!="","",IF(Data!$G961="",1,IF(ISNUMBER(MATCH(Data!#REF!,Data_Val!$D$2:$D$10,0)),0,1)))</f>
        <v>#REF!</v>
      </c>
      <c r="AF961" s="12"/>
      <c r="AG961" s="12" t="e">
        <f>IF(Data!#REF!="","",IF(ISNUMBER(MATCH(Data!#REF!,Data_Val!$A$2:$A$3,0)),0,1))</f>
        <v>#REF!</v>
      </c>
      <c r="AH961" s="26" t="e">
        <f ca="1">IF(Data!#REF!="","",IF(ISNUMBER(Data!#REF!),IF(AND(Data!#REF!&gt;(TODAY()-(Data_Val!$L$3*365.25)),Data!#REF!&lt;=(TODAY()-(Data_Val!$L$2*365.25))),0,1),1))</f>
        <v>#REF!</v>
      </c>
      <c r="AI961" s="12" t="e">
        <f>IF(Data!#REF!="","",IF(Data!$G961="",1,IF(ISNUMBER(MATCH(Data!#REF!,Data_Val!$D$2:$D$10,0)),0,1)))</f>
        <v>#REF!</v>
      </c>
      <c r="AJ961" s="17"/>
      <c r="AK961" s="17" t="e">
        <f>IF(Data!#REF!="","",IF(ISNUMBER(MATCH(Data!#REF!,Data_Val!$A$2:$A$3,0)),0,1))</f>
        <v>#REF!</v>
      </c>
      <c r="AL961" s="25" t="e">
        <f ca="1">IF(Data!#REF!="","",IF(ISNUMBER(Data!#REF!),IF(AND(Data!#REF!&gt;(TODAY()-(Data_Val!$L$3*365.25)),Data!#REF!&lt;=(TODAY()-(Data_Val!$L$2*365.25))),0,1),1))</f>
        <v>#REF!</v>
      </c>
      <c r="AM961" s="17" t="e">
        <f>IF(Data!#REF!="","",IF(Data!$G961="",1,IF(ISNUMBER(MATCH(Data!#REF!,Data_Val!$D$2:$D$10,0)),0,1)))</f>
        <v>#REF!</v>
      </c>
      <c r="AN961" s="13"/>
      <c r="AO961" s="28" t="e">
        <f ca="1">IF(Data!#REF!="","",IF(ISNUMBER(Data!#REF!),IF(AND(Data!#REF!&gt;(TODAY()-(Data_Val!$I$3*365.25)),Data!#REF!&lt;=(TODAY()-(Data_Val!$I$2*365.25))),0,1),1))</f>
        <v>#REF!</v>
      </c>
      <c r="AP961" s="13" t="e">
        <f>IF(Data!#REF!="","",IF(Data!$G961="",1,IF(ISNUMBER(MATCH(Data!#REF!,Data_Val!$D$2:$D$10,0)),0,1)))</f>
        <v>#REF!</v>
      </c>
      <c r="AQ961" s="17"/>
      <c r="AR961" s="30" t="e">
        <f ca="1">IF(Data!#REF!="","",IF(ISNUMBER(Data!#REF!),IF(AND(Data!#REF!&gt;(TODAY()-(Data_Val!$I$3*365.25)),Data!#REF!&lt;=(TODAY()-(Data_Val!$I$2*365.25))),0,1),1))</f>
        <v>#REF!</v>
      </c>
      <c r="AS961" s="31" t="e">
        <f>IF(Data!#REF!="","",IF(Data!$G961="",1,IF(ISNUMBER(MATCH(Data!#REF!,Data_Val!$D$2:$D$10,0)),0,1)))</f>
        <v>#REF!</v>
      </c>
      <c r="AT961" s="11"/>
      <c r="AU961" s="11" t="e">
        <f ca="1">IF(Data!#REF!="","",IF(ISNUMBER(Data!#REF!),IF(AND(Data!#REF!&gt;(TODAY()-(Data_Val!$I$3*365.25)),Data!#REF!&lt;=(TODAY()-(Data_Val!$I$2*365.25))),0,1),1))</f>
        <v>#REF!</v>
      </c>
      <c r="AV961" s="11" t="e">
        <f>IF(Data!#REF!="","",IF(Data!$G961="",1,IF(ISNUMBER(MATCH(Data!#REF!,Data_Val!$D$2:$D$10,0)),0,1)))</f>
        <v>#REF!</v>
      </c>
      <c r="AW961" s="12"/>
      <c r="AX961" s="26" t="e">
        <f ca="1">IF(Data!#REF!="","",IF(ISNUMBER(Data!#REF!),IF(AND(Data!#REF!&gt;(TODAY()-(Data_Val!$I$3*365.25)),Data!#REF!&lt;=(TODAY()-(Data_Val!$I$2*365.25))),0,1),1))</f>
        <v>#REF!</v>
      </c>
      <c r="AY961" s="12" t="e">
        <f>IF(Data!#REF!="","",IF(Data!$G961="",1,IF(ISNUMBER(MATCH(Data!#REF!,Data_Val!$D$2:$D$10,0)),0,1)))</f>
        <v>#REF!</v>
      </c>
      <c r="AZ961" s="11"/>
      <c r="BA961" s="19" t="e">
        <f ca="1">IF(Data!#REF!="","",IF(ISNUMBER(Data!#REF!),IF(AND(Data!#REF!&gt;(TODAY()-(Data_Val!$M$3*365.25)),Data!#REF!&lt;=(TODAY()-(Data_Val!$M$2*365.25))),0,1),1))</f>
        <v>#REF!</v>
      </c>
      <c r="BB961" s="11" t="e">
        <f>IF(Data!#REF!="","",IF(Data!$G961="",1,IF(ISNUMBER(MATCH(Data!#REF!,Data_Val!$D$2:$D$10,0)),0,1)))</f>
        <v>#REF!</v>
      </c>
      <c r="BC961" s="12"/>
      <c r="BD961" s="20" t="e">
        <f ca="1">IF(Data!#REF!="","",IF(ISNUMBER(Data!#REF!),IF(AND(Data!#REF!&gt;(TODAY()-(Data_Val!$M$3*365.25)),Data!#REF!&lt;=(TODAY()-(Data_Val!$M$2*365.25))),0,1),1))</f>
        <v>#REF!</v>
      </c>
      <c r="BE961" s="12" t="e">
        <f>IF(Data!#REF!="","",IF(Data!$G961="",1,IF(ISNUMBER(MATCH(Data!#REF!,Data_Val!$D$2:$D$10,0)),0,1)))</f>
        <v>#REF!</v>
      </c>
      <c r="BF961" s="17"/>
      <c r="BG961" s="18" t="e">
        <f ca="1">IF(Data!#REF!="","",IF(ISNUMBER(Data!#REF!),IF(AND(Data!#REF!&gt;(TODAY()-(Data_Val!$M$3*365.25)),Data!#REF!&lt;=(TODAY()-(Data_Val!$M$2*365.25))),0,1),1))</f>
        <v>#REF!</v>
      </c>
      <c r="BH961" s="29" t="e">
        <f>IF(Data!#REF!="","",IF(Data!$G961="",1,IF(ISNUMBER(MATCH(Data!#REF!,Data_Val!$D$2:$D$10,0)),0,1)))</f>
        <v>#REF!</v>
      </c>
      <c r="BI961" s="13"/>
      <c r="BJ961" s="21" t="e">
        <f ca="1">IF(Data!#REF!="","",IF(ISNUMBER(Data!#REF!),IF(AND(Data!#REF!&gt;(TODAY()-(Data_Val!$M$3*365.25)),Data!#REF!&lt;=(TODAY()-(Data_Val!$M$2*365.25))),0,1),1))</f>
        <v>#REF!</v>
      </c>
      <c r="BK961" s="13" t="e">
        <f>IF(Data!#REF!="","",IF(Data!$G961="",1,IF(ISNUMBER(MATCH(Data!#REF!,Data_Val!$D$2:$D$10,0)),0,1)))</f>
        <v>#REF!</v>
      </c>
    </row>
    <row r="962" spans="1:63" x14ac:dyDescent="0.25">
      <c r="A962" s="9" t="str">
        <f>IF(Data!B962="","",IF(COUNTIFS(Data!A$1:'Data'!A962,Data!A962)&lt;=1,0,1))</f>
        <v/>
      </c>
      <c r="B962" s="9"/>
      <c r="C962" s="23" t="str">
        <f>IF(Data!C962="","",(IF(ISNUMBER(MATCH("*@*.?*",Data!C962,0)),0,1)+IF(COUNTIFS(Data!C$1:'Data'!C962,Data!C962)&gt;1,1,0)))</f>
        <v/>
      </c>
      <c r="D962" s="9" t="str">
        <f>IF(Data!B962="","",IF(ISNUMBER(Data!D962),IF(AND(Data!D962&gt;999999999,Data!D962&lt;=9999999999),IF(COUNTIFS(Data!D$1:'Data'!D962,Data!D962)&lt;=1,0,1),1),1))</f>
        <v/>
      </c>
      <c r="E962" s="9" t="str">
        <f>IF(Data!B962="","",IF(ISNUMBER(MATCH(Data!E962,Data_Val!$A$2:$A$3,0)),0,1))</f>
        <v/>
      </c>
      <c r="F962" s="9" t="str">
        <f ca="1">IF(Data!B962="","",IF(ISNUMBER(Data!F962),IF(AND(Data!F962&gt;(TODAY()-(Data_Val!$H$3*365.25)),Data!F962&lt;=(TODAY()-(Data_Val!$H$2*365.25))),0,1),1))</f>
        <v/>
      </c>
      <c r="G962" s="15" t="str">
        <f>IF(Data!B962="","",IF(AND(Data!G962="",Data!H962&lt;&gt;""),1,IF(Data!#REF!&lt;&gt;"",0,IF(ISNUMBER(MATCH(Data!G962,Data_Val!$C$2:$C$5,0)),0,1))))</f>
        <v/>
      </c>
      <c r="H962" s="15" t="str">
        <f>IF(Data!B962="","",IF(AND(Data!G962&lt;&gt;"",Data!H962=""),1,IF(Data!#REF!&lt;&gt;"",0,IF(Data!G962="",1,IF(ISNUMBER(MATCH(Data!H962,Data_Val!$D$2:$D$35,0)),0,1)))))</f>
        <v/>
      </c>
      <c r="I962" s="15" t="str">
        <f>IF(Data!B962="","",IF(Data!G962&lt;&gt;"",0,IF(ISNUMBER(MATCH(Data!#REF!,Data_Val!$E$2:$E$12,0)),0,1)))</f>
        <v/>
      </c>
      <c r="J962" s="16" t="e">
        <f>IF(OR(Data!B962="",Data!#REF!=""),"",IF(Data!#REF!="",1,0))</f>
        <v>#REF!</v>
      </c>
      <c r="K962" s="16" t="e">
        <f>IF(OR(Data!B962="",Data!#REF!=""),"",IF(Data!#REF!="",1,0))</f>
        <v>#REF!</v>
      </c>
      <c r="L962" s="16" t="e">
        <f>IF(OR(Data!B962="",Data!#REF!=""),"",IF(ISNUMBER(Data!#REF!),IF(AND(Data!#REF!&gt;Data_Val!$G$2,Data!#REF!&lt;=Data_Val!$G$3),0,1),1))</f>
        <v>#REF!</v>
      </c>
      <c r="M962" s="9" t="e">
        <f>IF(OR(Data!B962="",Data!#REF!=""),"",IF(ISNUMBER(MATCH(Data!#REF!,Data_Val!$F$1:$F$38,0)),0,1))</f>
        <v>#REF!</v>
      </c>
      <c r="N962" s="9" t="e">
        <f>IF(OR(Data!B962="",Data!#REF!=""),"",IF(Data!#REF!="",1,0))</f>
        <v>#REF!</v>
      </c>
      <c r="O962" s="17" t="e">
        <f>IF(Data!#REF!="","",IF(Data!#REF!="",1,0))</f>
        <v>#REF!</v>
      </c>
      <c r="P962" s="17" t="e">
        <f>IF(Data!#REF!="","",IF(ISNUMBER(MATCH(Data!#REF!,Data_Val!$A$2:$A$3,0)),0,1))</f>
        <v>#REF!</v>
      </c>
      <c r="Q962" s="25" t="e">
        <f ca="1">IF(Data!#REF!="","",IF(ISNUMBER(Data!#REF!),IF(AND(Data!#REF!&gt;(TODAY()-(Data_Val!$J$3*365.25)),Data!#REF!&lt;=(TODAY()-(Data_Val!$J$2*365.25))),0,1),1))</f>
        <v>#REF!</v>
      </c>
      <c r="R962" s="17" t="e">
        <f>IF(Data!#REF!="","",IF(ISNUMBER(MATCH(Data!#REF!,Data_Val!$B$2:$B$15,0)),0,1))</f>
        <v>#REF!</v>
      </c>
      <c r="S962" s="11" t="str">
        <f>IF(Data!G962="","",IF(Data!G962=Data_Val!$C$2,IF(Data!M962="",0,1),0))</f>
        <v/>
      </c>
      <c r="T962" s="11" t="str">
        <f>IF(Data!M962="","",IF(ISNUMBER(MATCH(Data!N962,Data_Val!$A$2:$A$3,0)),0,1))</f>
        <v/>
      </c>
      <c r="U962" s="11" t="str">
        <f ca="1">IF(Data!M962="","",IF(ISNUMBER(Data!O962),IF(AND(Data!O962&gt;(TODAY()-(Data_Val!$K$3*365.25)),Data!O962&lt;=(TODAY()-(Data_Val!$K$2*365.25))),0,1),1))</f>
        <v/>
      </c>
      <c r="V962" s="12" t="str">
        <f>IF(Data!G962="","",IF(Data!G962=Data_Val!$C$2,IF(Data!P962="",0,1),0))</f>
        <v/>
      </c>
      <c r="W962" s="12" t="str">
        <f>IF(Data!P962="","",IF(ISNUMBER(MATCH(Data!Q962,Data_Val!$A$2:$A$3,0)),0,1))</f>
        <v/>
      </c>
      <c r="X962" s="26" t="str">
        <f ca="1">IF(Data!P962="","",IF(ISNUMBER(Data!R962),IF(AND(Data!R962&gt;(TODAY()-(Data_Val!$L$3*365.25)),Data!R962&lt;=(TODAY()-(Data_Val!$L$2*365.25))),0,1),1))</f>
        <v/>
      </c>
      <c r="Y962" s="13" t="str">
        <f>IF(Data!$G962="","",IF(Data!$G962=Data_Val!$C$2,IF(Data!S962="",0,1),0))</f>
        <v/>
      </c>
      <c r="Z962" s="13" t="str">
        <f>IF(Data!S962="","",IF(ISNUMBER(MATCH(Data!T962,Data_Val!$A$2:$A$3,0)),0,1))</f>
        <v/>
      </c>
      <c r="AA962" s="28" t="str">
        <f ca="1">IF(Data!S962="","",IF(ISNUMBER(Data!U962),IF(AND(Data!U962&gt;(TODAY()-(Data_Val!$L$3*365.25)),Data!U962&lt;=(TODAY()-(Data_Val!$L$2*365.25))),0,1),1))</f>
        <v/>
      </c>
      <c r="AB962" s="11"/>
      <c r="AC962" s="11" t="e">
        <f>IF(Data!#REF!="","",IF(ISNUMBER(MATCH(Data!#REF!,Data_Val!$A$2:$A$3,0)),0,1))</f>
        <v>#REF!</v>
      </c>
      <c r="AD962" s="11" t="e">
        <f ca="1">IF(Data!#REF!="","",IF(ISNUMBER(Data!#REF!),IF(AND(Data!#REF!&gt;(TODAY()-(Data_Val!$L$3*365.25)),Data!#REF!&lt;=(TODAY()-(Data_Val!$L$2*365.25))),0,1),1))</f>
        <v>#REF!</v>
      </c>
      <c r="AE962" s="11" t="e">
        <f>IF(Data!#REF!="","",IF(Data!$G962="",1,IF(ISNUMBER(MATCH(Data!#REF!,Data_Val!$D$2:$D$10,0)),0,1)))</f>
        <v>#REF!</v>
      </c>
      <c r="AF962" s="12"/>
      <c r="AG962" s="12" t="e">
        <f>IF(Data!#REF!="","",IF(ISNUMBER(MATCH(Data!#REF!,Data_Val!$A$2:$A$3,0)),0,1))</f>
        <v>#REF!</v>
      </c>
      <c r="AH962" s="26" t="e">
        <f ca="1">IF(Data!#REF!="","",IF(ISNUMBER(Data!#REF!),IF(AND(Data!#REF!&gt;(TODAY()-(Data_Val!$L$3*365.25)),Data!#REF!&lt;=(TODAY()-(Data_Val!$L$2*365.25))),0,1),1))</f>
        <v>#REF!</v>
      </c>
      <c r="AI962" s="12" t="e">
        <f>IF(Data!#REF!="","",IF(Data!$G962="",1,IF(ISNUMBER(MATCH(Data!#REF!,Data_Val!$D$2:$D$10,0)),0,1)))</f>
        <v>#REF!</v>
      </c>
      <c r="AJ962" s="17"/>
      <c r="AK962" s="17" t="e">
        <f>IF(Data!#REF!="","",IF(ISNUMBER(MATCH(Data!#REF!,Data_Val!$A$2:$A$3,0)),0,1))</f>
        <v>#REF!</v>
      </c>
      <c r="AL962" s="25" t="e">
        <f ca="1">IF(Data!#REF!="","",IF(ISNUMBER(Data!#REF!),IF(AND(Data!#REF!&gt;(TODAY()-(Data_Val!$L$3*365.25)),Data!#REF!&lt;=(TODAY()-(Data_Val!$L$2*365.25))),0,1),1))</f>
        <v>#REF!</v>
      </c>
      <c r="AM962" s="17" t="e">
        <f>IF(Data!#REF!="","",IF(Data!$G962="",1,IF(ISNUMBER(MATCH(Data!#REF!,Data_Val!$D$2:$D$10,0)),0,1)))</f>
        <v>#REF!</v>
      </c>
      <c r="AN962" s="13"/>
      <c r="AO962" s="28" t="e">
        <f ca="1">IF(Data!#REF!="","",IF(ISNUMBER(Data!#REF!),IF(AND(Data!#REF!&gt;(TODAY()-(Data_Val!$I$3*365.25)),Data!#REF!&lt;=(TODAY()-(Data_Val!$I$2*365.25))),0,1),1))</f>
        <v>#REF!</v>
      </c>
      <c r="AP962" s="13" t="e">
        <f>IF(Data!#REF!="","",IF(Data!$G962="",1,IF(ISNUMBER(MATCH(Data!#REF!,Data_Val!$D$2:$D$10,0)),0,1)))</f>
        <v>#REF!</v>
      </c>
      <c r="AQ962" s="17"/>
      <c r="AR962" s="30" t="e">
        <f ca="1">IF(Data!#REF!="","",IF(ISNUMBER(Data!#REF!),IF(AND(Data!#REF!&gt;(TODAY()-(Data_Val!$I$3*365.25)),Data!#REF!&lt;=(TODAY()-(Data_Val!$I$2*365.25))),0,1),1))</f>
        <v>#REF!</v>
      </c>
      <c r="AS962" s="31" t="e">
        <f>IF(Data!#REF!="","",IF(Data!$G962="",1,IF(ISNUMBER(MATCH(Data!#REF!,Data_Val!$D$2:$D$10,0)),0,1)))</f>
        <v>#REF!</v>
      </c>
      <c r="AT962" s="11"/>
      <c r="AU962" s="11" t="e">
        <f ca="1">IF(Data!#REF!="","",IF(ISNUMBER(Data!#REF!),IF(AND(Data!#REF!&gt;(TODAY()-(Data_Val!$I$3*365.25)),Data!#REF!&lt;=(TODAY()-(Data_Val!$I$2*365.25))),0,1),1))</f>
        <v>#REF!</v>
      </c>
      <c r="AV962" s="11" t="e">
        <f>IF(Data!#REF!="","",IF(Data!$G962="",1,IF(ISNUMBER(MATCH(Data!#REF!,Data_Val!$D$2:$D$10,0)),0,1)))</f>
        <v>#REF!</v>
      </c>
      <c r="AW962" s="12"/>
      <c r="AX962" s="26" t="e">
        <f ca="1">IF(Data!#REF!="","",IF(ISNUMBER(Data!#REF!),IF(AND(Data!#REF!&gt;(TODAY()-(Data_Val!$I$3*365.25)),Data!#REF!&lt;=(TODAY()-(Data_Val!$I$2*365.25))),0,1),1))</f>
        <v>#REF!</v>
      </c>
      <c r="AY962" s="12" t="e">
        <f>IF(Data!#REF!="","",IF(Data!$G962="",1,IF(ISNUMBER(MATCH(Data!#REF!,Data_Val!$D$2:$D$10,0)),0,1)))</f>
        <v>#REF!</v>
      </c>
      <c r="AZ962" s="11"/>
      <c r="BA962" s="19" t="e">
        <f ca="1">IF(Data!#REF!="","",IF(ISNUMBER(Data!#REF!),IF(AND(Data!#REF!&gt;(TODAY()-(Data_Val!$M$3*365.25)),Data!#REF!&lt;=(TODAY()-(Data_Val!$M$2*365.25))),0,1),1))</f>
        <v>#REF!</v>
      </c>
      <c r="BB962" s="11" t="e">
        <f>IF(Data!#REF!="","",IF(Data!$G962="",1,IF(ISNUMBER(MATCH(Data!#REF!,Data_Val!$D$2:$D$10,0)),0,1)))</f>
        <v>#REF!</v>
      </c>
      <c r="BC962" s="12"/>
      <c r="BD962" s="20" t="e">
        <f ca="1">IF(Data!#REF!="","",IF(ISNUMBER(Data!#REF!),IF(AND(Data!#REF!&gt;(TODAY()-(Data_Val!$M$3*365.25)),Data!#REF!&lt;=(TODAY()-(Data_Val!$M$2*365.25))),0,1),1))</f>
        <v>#REF!</v>
      </c>
      <c r="BE962" s="12" t="e">
        <f>IF(Data!#REF!="","",IF(Data!$G962="",1,IF(ISNUMBER(MATCH(Data!#REF!,Data_Val!$D$2:$D$10,0)),0,1)))</f>
        <v>#REF!</v>
      </c>
      <c r="BF962" s="17"/>
      <c r="BG962" s="18" t="e">
        <f ca="1">IF(Data!#REF!="","",IF(ISNUMBER(Data!#REF!),IF(AND(Data!#REF!&gt;(TODAY()-(Data_Val!$M$3*365.25)),Data!#REF!&lt;=(TODAY()-(Data_Val!$M$2*365.25))),0,1),1))</f>
        <v>#REF!</v>
      </c>
      <c r="BH962" s="29" t="e">
        <f>IF(Data!#REF!="","",IF(Data!$G962="",1,IF(ISNUMBER(MATCH(Data!#REF!,Data_Val!$D$2:$D$10,0)),0,1)))</f>
        <v>#REF!</v>
      </c>
      <c r="BI962" s="13"/>
      <c r="BJ962" s="21" t="e">
        <f ca="1">IF(Data!#REF!="","",IF(ISNUMBER(Data!#REF!),IF(AND(Data!#REF!&gt;(TODAY()-(Data_Val!$M$3*365.25)),Data!#REF!&lt;=(TODAY()-(Data_Val!$M$2*365.25))),0,1),1))</f>
        <v>#REF!</v>
      </c>
      <c r="BK962" s="13" t="e">
        <f>IF(Data!#REF!="","",IF(Data!$G962="",1,IF(ISNUMBER(MATCH(Data!#REF!,Data_Val!$D$2:$D$10,0)),0,1)))</f>
        <v>#REF!</v>
      </c>
    </row>
    <row r="963" spans="1:63" x14ac:dyDescent="0.25">
      <c r="A963" s="9" t="str">
        <f>IF(Data!B963="","",IF(COUNTIFS(Data!A$1:'Data'!A963,Data!A963)&lt;=1,0,1))</f>
        <v/>
      </c>
      <c r="B963" s="9"/>
      <c r="C963" s="23" t="str">
        <f>IF(Data!C963="","",(IF(ISNUMBER(MATCH("*@*.?*",Data!C963,0)),0,1)+IF(COUNTIFS(Data!C$1:'Data'!C963,Data!C963)&gt;1,1,0)))</f>
        <v/>
      </c>
      <c r="D963" s="9" t="str">
        <f>IF(Data!B963="","",IF(ISNUMBER(Data!D963),IF(AND(Data!D963&gt;999999999,Data!D963&lt;=9999999999),IF(COUNTIFS(Data!D$1:'Data'!D963,Data!D963)&lt;=1,0,1),1),1))</f>
        <v/>
      </c>
      <c r="E963" s="9" t="str">
        <f>IF(Data!B963="","",IF(ISNUMBER(MATCH(Data!E963,Data_Val!$A$2:$A$3,0)),0,1))</f>
        <v/>
      </c>
      <c r="F963" s="9" t="str">
        <f ca="1">IF(Data!B963="","",IF(ISNUMBER(Data!F963),IF(AND(Data!F963&gt;(TODAY()-(Data_Val!$H$3*365.25)),Data!F963&lt;=(TODAY()-(Data_Val!$H$2*365.25))),0,1),1))</f>
        <v/>
      </c>
      <c r="G963" s="15" t="str">
        <f>IF(Data!B963="","",IF(AND(Data!G963="",Data!H963&lt;&gt;""),1,IF(Data!#REF!&lt;&gt;"",0,IF(ISNUMBER(MATCH(Data!G963,Data_Val!$C$2:$C$5,0)),0,1))))</f>
        <v/>
      </c>
      <c r="H963" s="15" t="str">
        <f>IF(Data!B963="","",IF(AND(Data!G963&lt;&gt;"",Data!H963=""),1,IF(Data!#REF!&lt;&gt;"",0,IF(Data!G963="",1,IF(ISNUMBER(MATCH(Data!H963,Data_Val!$D$2:$D$35,0)),0,1)))))</f>
        <v/>
      </c>
      <c r="I963" s="15" t="str">
        <f>IF(Data!B963="","",IF(Data!G963&lt;&gt;"",0,IF(ISNUMBER(MATCH(Data!#REF!,Data_Val!$E$2:$E$12,0)),0,1)))</f>
        <v/>
      </c>
      <c r="J963" s="16" t="e">
        <f>IF(OR(Data!B963="",Data!#REF!=""),"",IF(Data!#REF!="",1,0))</f>
        <v>#REF!</v>
      </c>
      <c r="K963" s="16" t="e">
        <f>IF(OR(Data!B963="",Data!#REF!=""),"",IF(Data!#REF!="",1,0))</f>
        <v>#REF!</v>
      </c>
      <c r="L963" s="16" t="e">
        <f>IF(OR(Data!B963="",Data!#REF!=""),"",IF(ISNUMBER(Data!#REF!),IF(AND(Data!#REF!&gt;Data_Val!$G$2,Data!#REF!&lt;=Data_Val!$G$3),0,1),1))</f>
        <v>#REF!</v>
      </c>
      <c r="M963" s="9" t="e">
        <f>IF(OR(Data!B963="",Data!#REF!=""),"",IF(ISNUMBER(MATCH(Data!#REF!,Data_Val!$F$1:$F$38,0)),0,1))</f>
        <v>#REF!</v>
      </c>
      <c r="N963" s="9" t="e">
        <f>IF(OR(Data!B963="",Data!#REF!=""),"",IF(Data!#REF!="",1,0))</f>
        <v>#REF!</v>
      </c>
      <c r="O963" s="17" t="e">
        <f>IF(Data!#REF!="","",IF(Data!#REF!="",1,0))</f>
        <v>#REF!</v>
      </c>
      <c r="P963" s="17" t="e">
        <f>IF(Data!#REF!="","",IF(ISNUMBER(MATCH(Data!#REF!,Data_Val!$A$2:$A$3,0)),0,1))</f>
        <v>#REF!</v>
      </c>
      <c r="Q963" s="25" t="e">
        <f ca="1">IF(Data!#REF!="","",IF(ISNUMBER(Data!#REF!),IF(AND(Data!#REF!&gt;(TODAY()-(Data_Val!$J$3*365.25)),Data!#REF!&lt;=(TODAY()-(Data_Val!$J$2*365.25))),0,1),1))</f>
        <v>#REF!</v>
      </c>
      <c r="R963" s="17" t="e">
        <f>IF(Data!#REF!="","",IF(ISNUMBER(MATCH(Data!#REF!,Data_Val!$B$2:$B$15,0)),0,1))</f>
        <v>#REF!</v>
      </c>
      <c r="S963" s="11" t="str">
        <f>IF(Data!G963="","",IF(Data!G963=Data_Val!$C$2,IF(Data!M963="",0,1),0))</f>
        <v/>
      </c>
      <c r="T963" s="11" t="str">
        <f>IF(Data!M963="","",IF(ISNUMBER(MATCH(Data!N963,Data_Val!$A$2:$A$3,0)),0,1))</f>
        <v/>
      </c>
      <c r="U963" s="11" t="str">
        <f ca="1">IF(Data!M963="","",IF(ISNUMBER(Data!O963),IF(AND(Data!O963&gt;(TODAY()-(Data_Val!$K$3*365.25)),Data!O963&lt;=(TODAY()-(Data_Val!$K$2*365.25))),0,1),1))</f>
        <v/>
      </c>
      <c r="V963" s="12" t="str">
        <f>IF(Data!G963="","",IF(Data!G963=Data_Val!$C$2,IF(Data!P963="",0,1),0))</f>
        <v/>
      </c>
      <c r="W963" s="12" t="str">
        <f>IF(Data!P963="","",IF(ISNUMBER(MATCH(Data!Q963,Data_Val!$A$2:$A$3,0)),0,1))</f>
        <v/>
      </c>
      <c r="X963" s="26" t="str">
        <f ca="1">IF(Data!P963="","",IF(ISNUMBER(Data!R963),IF(AND(Data!R963&gt;(TODAY()-(Data_Val!$L$3*365.25)),Data!R963&lt;=(TODAY()-(Data_Val!$L$2*365.25))),0,1),1))</f>
        <v/>
      </c>
      <c r="Y963" s="13" t="str">
        <f>IF(Data!$G963="","",IF(Data!$G963=Data_Val!$C$2,IF(Data!S963="",0,1),0))</f>
        <v/>
      </c>
      <c r="Z963" s="13" t="str">
        <f>IF(Data!S963="","",IF(ISNUMBER(MATCH(Data!T963,Data_Val!$A$2:$A$3,0)),0,1))</f>
        <v/>
      </c>
      <c r="AA963" s="28" t="str">
        <f ca="1">IF(Data!S963="","",IF(ISNUMBER(Data!U963),IF(AND(Data!U963&gt;(TODAY()-(Data_Val!$L$3*365.25)),Data!U963&lt;=(TODAY()-(Data_Val!$L$2*365.25))),0,1),1))</f>
        <v/>
      </c>
      <c r="AB963" s="11"/>
      <c r="AC963" s="11" t="e">
        <f>IF(Data!#REF!="","",IF(ISNUMBER(MATCH(Data!#REF!,Data_Val!$A$2:$A$3,0)),0,1))</f>
        <v>#REF!</v>
      </c>
      <c r="AD963" s="11" t="e">
        <f ca="1">IF(Data!#REF!="","",IF(ISNUMBER(Data!#REF!),IF(AND(Data!#REF!&gt;(TODAY()-(Data_Val!$L$3*365.25)),Data!#REF!&lt;=(TODAY()-(Data_Val!$L$2*365.25))),0,1),1))</f>
        <v>#REF!</v>
      </c>
      <c r="AE963" s="11" t="e">
        <f>IF(Data!#REF!="","",IF(Data!$G963="",1,IF(ISNUMBER(MATCH(Data!#REF!,Data_Val!$D$2:$D$10,0)),0,1)))</f>
        <v>#REF!</v>
      </c>
      <c r="AF963" s="12"/>
      <c r="AG963" s="12" t="e">
        <f>IF(Data!#REF!="","",IF(ISNUMBER(MATCH(Data!#REF!,Data_Val!$A$2:$A$3,0)),0,1))</f>
        <v>#REF!</v>
      </c>
      <c r="AH963" s="26" t="e">
        <f ca="1">IF(Data!#REF!="","",IF(ISNUMBER(Data!#REF!),IF(AND(Data!#REF!&gt;(TODAY()-(Data_Val!$L$3*365.25)),Data!#REF!&lt;=(TODAY()-(Data_Val!$L$2*365.25))),0,1),1))</f>
        <v>#REF!</v>
      </c>
      <c r="AI963" s="12" t="e">
        <f>IF(Data!#REF!="","",IF(Data!$G963="",1,IF(ISNUMBER(MATCH(Data!#REF!,Data_Val!$D$2:$D$10,0)),0,1)))</f>
        <v>#REF!</v>
      </c>
      <c r="AJ963" s="17"/>
      <c r="AK963" s="17" t="e">
        <f>IF(Data!#REF!="","",IF(ISNUMBER(MATCH(Data!#REF!,Data_Val!$A$2:$A$3,0)),0,1))</f>
        <v>#REF!</v>
      </c>
      <c r="AL963" s="25" t="e">
        <f ca="1">IF(Data!#REF!="","",IF(ISNUMBER(Data!#REF!),IF(AND(Data!#REF!&gt;(TODAY()-(Data_Val!$L$3*365.25)),Data!#REF!&lt;=(TODAY()-(Data_Val!$L$2*365.25))),0,1),1))</f>
        <v>#REF!</v>
      </c>
      <c r="AM963" s="17" t="e">
        <f>IF(Data!#REF!="","",IF(Data!$G963="",1,IF(ISNUMBER(MATCH(Data!#REF!,Data_Val!$D$2:$D$10,0)),0,1)))</f>
        <v>#REF!</v>
      </c>
      <c r="AN963" s="13"/>
      <c r="AO963" s="28" t="e">
        <f ca="1">IF(Data!#REF!="","",IF(ISNUMBER(Data!#REF!),IF(AND(Data!#REF!&gt;(TODAY()-(Data_Val!$I$3*365.25)),Data!#REF!&lt;=(TODAY()-(Data_Val!$I$2*365.25))),0,1),1))</f>
        <v>#REF!</v>
      </c>
      <c r="AP963" s="13" t="e">
        <f>IF(Data!#REF!="","",IF(Data!$G963="",1,IF(ISNUMBER(MATCH(Data!#REF!,Data_Val!$D$2:$D$10,0)),0,1)))</f>
        <v>#REF!</v>
      </c>
      <c r="AQ963" s="17"/>
      <c r="AR963" s="30" t="e">
        <f ca="1">IF(Data!#REF!="","",IF(ISNUMBER(Data!#REF!),IF(AND(Data!#REF!&gt;(TODAY()-(Data_Val!$I$3*365.25)),Data!#REF!&lt;=(TODAY()-(Data_Val!$I$2*365.25))),0,1),1))</f>
        <v>#REF!</v>
      </c>
      <c r="AS963" s="31" t="e">
        <f>IF(Data!#REF!="","",IF(Data!$G963="",1,IF(ISNUMBER(MATCH(Data!#REF!,Data_Val!$D$2:$D$10,0)),0,1)))</f>
        <v>#REF!</v>
      </c>
      <c r="AT963" s="11"/>
      <c r="AU963" s="11" t="e">
        <f ca="1">IF(Data!#REF!="","",IF(ISNUMBER(Data!#REF!),IF(AND(Data!#REF!&gt;(TODAY()-(Data_Val!$I$3*365.25)),Data!#REF!&lt;=(TODAY()-(Data_Val!$I$2*365.25))),0,1),1))</f>
        <v>#REF!</v>
      </c>
      <c r="AV963" s="11" t="e">
        <f>IF(Data!#REF!="","",IF(Data!$G963="",1,IF(ISNUMBER(MATCH(Data!#REF!,Data_Val!$D$2:$D$10,0)),0,1)))</f>
        <v>#REF!</v>
      </c>
      <c r="AW963" s="12"/>
      <c r="AX963" s="26" t="e">
        <f ca="1">IF(Data!#REF!="","",IF(ISNUMBER(Data!#REF!),IF(AND(Data!#REF!&gt;(TODAY()-(Data_Val!$I$3*365.25)),Data!#REF!&lt;=(TODAY()-(Data_Val!$I$2*365.25))),0,1),1))</f>
        <v>#REF!</v>
      </c>
      <c r="AY963" s="12" t="e">
        <f>IF(Data!#REF!="","",IF(Data!$G963="",1,IF(ISNUMBER(MATCH(Data!#REF!,Data_Val!$D$2:$D$10,0)),0,1)))</f>
        <v>#REF!</v>
      </c>
      <c r="AZ963" s="11"/>
      <c r="BA963" s="19" t="e">
        <f ca="1">IF(Data!#REF!="","",IF(ISNUMBER(Data!#REF!),IF(AND(Data!#REF!&gt;(TODAY()-(Data_Val!$M$3*365.25)),Data!#REF!&lt;=(TODAY()-(Data_Val!$M$2*365.25))),0,1),1))</f>
        <v>#REF!</v>
      </c>
      <c r="BB963" s="11" t="e">
        <f>IF(Data!#REF!="","",IF(Data!$G963="",1,IF(ISNUMBER(MATCH(Data!#REF!,Data_Val!$D$2:$D$10,0)),0,1)))</f>
        <v>#REF!</v>
      </c>
      <c r="BC963" s="12"/>
      <c r="BD963" s="20" t="e">
        <f ca="1">IF(Data!#REF!="","",IF(ISNUMBER(Data!#REF!),IF(AND(Data!#REF!&gt;(TODAY()-(Data_Val!$M$3*365.25)),Data!#REF!&lt;=(TODAY()-(Data_Val!$M$2*365.25))),0,1),1))</f>
        <v>#REF!</v>
      </c>
      <c r="BE963" s="12" t="e">
        <f>IF(Data!#REF!="","",IF(Data!$G963="",1,IF(ISNUMBER(MATCH(Data!#REF!,Data_Val!$D$2:$D$10,0)),0,1)))</f>
        <v>#REF!</v>
      </c>
      <c r="BF963" s="17"/>
      <c r="BG963" s="18" t="e">
        <f ca="1">IF(Data!#REF!="","",IF(ISNUMBER(Data!#REF!),IF(AND(Data!#REF!&gt;(TODAY()-(Data_Val!$M$3*365.25)),Data!#REF!&lt;=(TODAY()-(Data_Val!$M$2*365.25))),0,1),1))</f>
        <v>#REF!</v>
      </c>
      <c r="BH963" s="29" t="e">
        <f>IF(Data!#REF!="","",IF(Data!$G963="",1,IF(ISNUMBER(MATCH(Data!#REF!,Data_Val!$D$2:$D$10,0)),0,1)))</f>
        <v>#REF!</v>
      </c>
      <c r="BI963" s="13"/>
      <c r="BJ963" s="21" t="e">
        <f ca="1">IF(Data!#REF!="","",IF(ISNUMBER(Data!#REF!),IF(AND(Data!#REF!&gt;(TODAY()-(Data_Val!$M$3*365.25)),Data!#REF!&lt;=(TODAY()-(Data_Val!$M$2*365.25))),0,1),1))</f>
        <v>#REF!</v>
      </c>
      <c r="BK963" s="13" t="e">
        <f>IF(Data!#REF!="","",IF(Data!$G963="",1,IF(ISNUMBER(MATCH(Data!#REF!,Data_Val!$D$2:$D$10,0)),0,1)))</f>
        <v>#REF!</v>
      </c>
    </row>
    <row r="964" spans="1:63" x14ac:dyDescent="0.25">
      <c r="A964" s="9" t="str">
        <f>IF(Data!B964="","",IF(COUNTIFS(Data!A$1:'Data'!A964,Data!A964)&lt;=1,0,1))</f>
        <v/>
      </c>
      <c r="B964" s="9"/>
      <c r="C964" s="23" t="str">
        <f>IF(Data!C964="","",(IF(ISNUMBER(MATCH("*@*.?*",Data!C964,0)),0,1)+IF(COUNTIFS(Data!C$1:'Data'!C964,Data!C964)&gt;1,1,0)))</f>
        <v/>
      </c>
      <c r="D964" s="9" t="str">
        <f>IF(Data!B964="","",IF(ISNUMBER(Data!D964),IF(AND(Data!D964&gt;999999999,Data!D964&lt;=9999999999),IF(COUNTIFS(Data!D$1:'Data'!D964,Data!D964)&lt;=1,0,1),1),1))</f>
        <v/>
      </c>
      <c r="E964" s="9" t="str">
        <f>IF(Data!B964="","",IF(ISNUMBER(MATCH(Data!E964,Data_Val!$A$2:$A$3,0)),0,1))</f>
        <v/>
      </c>
      <c r="F964" s="9" t="str">
        <f ca="1">IF(Data!B964="","",IF(ISNUMBER(Data!F964),IF(AND(Data!F964&gt;(TODAY()-(Data_Val!$H$3*365.25)),Data!F964&lt;=(TODAY()-(Data_Val!$H$2*365.25))),0,1),1))</f>
        <v/>
      </c>
      <c r="G964" s="15" t="str">
        <f>IF(Data!B964="","",IF(AND(Data!G964="",Data!H964&lt;&gt;""),1,IF(Data!#REF!&lt;&gt;"",0,IF(ISNUMBER(MATCH(Data!G964,Data_Val!$C$2:$C$5,0)),0,1))))</f>
        <v/>
      </c>
      <c r="H964" s="15" t="str">
        <f>IF(Data!B964="","",IF(AND(Data!G964&lt;&gt;"",Data!H964=""),1,IF(Data!#REF!&lt;&gt;"",0,IF(Data!G964="",1,IF(ISNUMBER(MATCH(Data!H964,Data_Val!$D$2:$D$35,0)),0,1)))))</f>
        <v/>
      </c>
      <c r="I964" s="15" t="str">
        <f>IF(Data!B964="","",IF(Data!G964&lt;&gt;"",0,IF(ISNUMBER(MATCH(Data!#REF!,Data_Val!$E$2:$E$12,0)),0,1)))</f>
        <v/>
      </c>
      <c r="J964" s="16" t="e">
        <f>IF(OR(Data!B964="",Data!#REF!=""),"",IF(Data!#REF!="",1,0))</f>
        <v>#REF!</v>
      </c>
      <c r="K964" s="16" t="e">
        <f>IF(OR(Data!B964="",Data!#REF!=""),"",IF(Data!#REF!="",1,0))</f>
        <v>#REF!</v>
      </c>
      <c r="L964" s="16" t="e">
        <f>IF(OR(Data!B964="",Data!#REF!=""),"",IF(ISNUMBER(Data!#REF!),IF(AND(Data!#REF!&gt;Data_Val!$G$2,Data!#REF!&lt;=Data_Val!$G$3),0,1),1))</f>
        <v>#REF!</v>
      </c>
      <c r="M964" s="9" t="e">
        <f>IF(OR(Data!B964="",Data!#REF!=""),"",IF(ISNUMBER(MATCH(Data!#REF!,Data_Val!$F$1:$F$38,0)),0,1))</f>
        <v>#REF!</v>
      </c>
      <c r="N964" s="9" t="e">
        <f>IF(OR(Data!B964="",Data!#REF!=""),"",IF(Data!#REF!="",1,0))</f>
        <v>#REF!</v>
      </c>
      <c r="O964" s="17" t="e">
        <f>IF(Data!#REF!="","",IF(Data!#REF!="",1,0))</f>
        <v>#REF!</v>
      </c>
      <c r="P964" s="17" t="e">
        <f>IF(Data!#REF!="","",IF(ISNUMBER(MATCH(Data!#REF!,Data_Val!$A$2:$A$3,0)),0,1))</f>
        <v>#REF!</v>
      </c>
      <c r="Q964" s="25" t="e">
        <f ca="1">IF(Data!#REF!="","",IF(ISNUMBER(Data!#REF!),IF(AND(Data!#REF!&gt;(TODAY()-(Data_Val!$J$3*365.25)),Data!#REF!&lt;=(TODAY()-(Data_Val!$J$2*365.25))),0,1),1))</f>
        <v>#REF!</v>
      </c>
      <c r="R964" s="17" t="e">
        <f>IF(Data!#REF!="","",IF(ISNUMBER(MATCH(Data!#REF!,Data_Val!$B$2:$B$15,0)),0,1))</f>
        <v>#REF!</v>
      </c>
      <c r="S964" s="11" t="str">
        <f>IF(Data!G964="","",IF(Data!G964=Data_Val!$C$2,IF(Data!M964="",0,1),0))</f>
        <v/>
      </c>
      <c r="T964" s="11" t="str">
        <f>IF(Data!M964="","",IF(ISNUMBER(MATCH(Data!N964,Data_Val!$A$2:$A$3,0)),0,1))</f>
        <v/>
      </c>
      <c r="U964" s="11" t="str">
        <f ca="1">IF(Data!M964="","",IF(ISNUMBER(Data!O964),IF(AND(Data!O964&gt;(TODAY()-(Data_Val!$K$3*365.25)),Data!O964&lt;=(TODAY()-(Data_Val!$K$2*365.25))),0,1),1))</f>
        <v/>
      </c>
      <c r="V964" s="12" t="str">
        <f>IF(Data!G964="","",IF(Data!G964=Data_Val!$C$2,IF(Data!P964="",0,1),0))</f>
        <v/>
      </c>
      <c r="W964" s="12" t="str">
        <f>IF(Data!P964="","",IF(ISNUMBER(MATCH(Data!Q964,Data_Val!$A$2:$A$3,0)),0,1))</f>
        <v/>
      </c>
      <c r="X964" s="26" t="str">
        <f ca="1">IF(Data!P964="","",IF(ISNUMBER(Data!R964),IF(AND(Data!R964&gt;(TODAY()-(Data_Val!$L$3*365.25)),Data!R964&lt;=(TODAY()-(Data_Val!$L$2*365.25))),0,1),1))</f>
        <v/>
      </c>
      <c r="Y964" s="13" t="str">
        <f>IF(Data!$G964="","",IF(Data!$G964=Data_Val!$C$2,IF(Data!S964="",0,1),0))</f>
        <v/>
      </c>
      <c r="Z964" s="13" t="str">
        <f>IF(Data!S964="","",IF(ISNUMBER(MATCH(Data!T964,Data_Val!$A$2:$A$3,0)),0,1))</f>
        <v/>
      </c>
      <c r="AA964" s="28" t="str">
        <f ca="1">IF(Data!S964="","",IF(ISNUMBER(Data!U964),IF(AND(Data!U964&gt;(TODAY()-(Data_Val!$L$3*365.25)),Data!U964&lt;=(TODAY()-(Data_Val!$L$2*365.25))),0,1),1))</f>
        <v/>
      </c>
      <c r="AB964" s="11"/>
      <c r="AC964" s="11" t="e">
        <f>IF(Data!#REF!="","",IF(ISNUMBER(MATCH(Data!#REF!,Data_Val!$A$2:$A$3,0)),0,1))</f>
        <v>#REF!</v>
      </c>
      <c r="AD964" s="11" t="e">
        <f ca="1">IF(Data!#REF!="","",IF(ISNUMBER(Data!#REF!),IF(AND(Data!#REF!&gt;(TODAY()-(Data_Val!$L$3*365.25)),Data!#REF!&lt;=(TODAY()-(Data_Val!$L$2*365.25))),0,1),1))</f>
        <v>#REF!</v>
      </c>
      <c r="AE964" s="11" t="e">
        <f>IF(Data!#REF!="","",IF(Data!$G964="",1,IF(ISNUMBER(MATCH(Data!#REF!,Data_Val!$D$2:$D$10,0)),0,1)))</f>
        <v>#REF!</v>
      </c>
      <c r="AF964" s="12"/>
      <c r="AG964" s="12" t="e">
        <f>IF(Data!#REF!="","",IF(ISNUMBER(MATCH(Data!#REF!,Data_Val!$A$2:$A$3,0)),0,1))</f>
        <v>#REF!</v>
      </c>
      <c r="AH964" s="26" t="e">
        <f ca="1">IF(Data!#REF!="","",IF(ISNUMBER(Data!#REF!),IF(AND(Data!#REF!&gt;(TODAY()-(Data_Val!$L$3*365.25)),Data!#REF!&lt;=(TODAY()-(Data_Val!$L$2*365.25))),0,1),1))</f>
        <v>#REF!</v>
      </c>
      <c r="AI964" s="12" t="e">
        <f>IF(Data!#REF!="","",IF(Data!$G964="",1,IF(ISNUMBER(MATCH(Data!#REF!,Data_Val!$D$2:$D$10,0)),0,1)))</f>
        <v>#REF!</v>
      </c>
      <c r="AJ964" s="17"/>
      <c r="AK964" s="17" t="e">
        <f>IF(Data!#REF!="","",IF(ISNUMBER(MATCH(Data!#REF!,Data_Val!$A$2:$A$3,0)),0,1))</f>
        <v>#REF!</v>
      </c>
      <c r="AL964" s="25" t="e">
        <f ca="1">IF(Data!#REF!="","",IF(ISNUMBER(Data!#REF!),IF(AND(Data!#REF!&gt;(TODAY()-(Data_Val!$L$3*365.25)),Data!#REF!&lt;=(TODAY()-(Data_Val!$L$2*365.25))),0,1),1))</f>
        <v>#REF!</v>
      </c>
      <c r="AM964" s="17" t="e">
        <f>IF(Data!#REF!="","",IF(Data!$G964="",1,IF(ISNUMBER(MATCH(Data!#REF!,Data_Val!$D$2:$D$10,0)),0,1)))</f>
        <v>#REF!</v>
      </c>
      <c r="AN964" s="13"/>
      <c r="AO964" s="28" t="e">
        <f ca="1">IF(Data!#REF!="","",IF(ISNUMBER(Data!#REF!),IF(AND(Data!#REF!&gt;(TODAY()-(Data_Val!$I$3*365.25)),Data!#REF!&lt;=(TODAY()-(Data_Val!$I$2*365.25))),0,1),1))</f>
        <v>#REF!</v>
      </c>
      <c r="AP964" s="13" t="e">
        <f>IF(Data!#REF!="","",IF(Data!$G964="",1,IF(ISNUMBER(MATCH(Data!#REF!,Data_Val!$D$2:$D$10,0)),0,1)))</f>
        <v>#REF!</v>
      </c>
      <c r="AQ964" s="17"/>
      <c r="AR964" s="30" t="e">
        <f ca="1">IF(Data!#REF!="","",IF(ISNUMBER(Data!#REF!),IF(AND(Data!#REF!&gt;(TODAY()-(Data_Val!$I$3*365.25)),Data!#REF!&lt;=(TODAY()-(Data_Val!$I$2*365.25))),0,1),1))</f>
        <v>#REF!</v>
      </c>
      <c r="AS964" s="31" t="e">
        <f>IF(Data!#REF!="","",IF(Data!$G964="",1,IF(ISNUMBER(MATCH(Data!#REF!,Data_Val!$D$2:$D$10,0)),0,1)))</f>
        <v>#REF!</v>
      </c>
      <c r="AT964" s="11"/>
      <c r="AU964" s="11" t="e">
        <f ca="1">IF(Data!#REF!="","",IF(ISNUMBER(Data!#REF!),IF(AND(Data!#REF!&gt;(TODAY()-(Data_Val!$I$3*365.25)),Data!#REF!&lt;=(TODAY()-(Data_Val!$I$2*365.25))),0,1),1))</f>
        <v>#REF!</v>
      </c>
      <c r="AV964" s="11" t="e">
        <f>IF(Data!#REF!="","",IF(Data!$G964="",1,IF(ISNUMBER(MATCH(Data!#REF!,Data_Val!$D$2:$D$10,0)),0,1)))</f>
        <v>#REF!</v>
      </c>
      <c r="AW964" s="12"/>
      <c r="AX964" s="26" t="e">
        <f ca="1">IF(Data!#REF!="","",IF(ISNUMBER(Data!#REF!),IF(AND(Data!#REF!&gt;(TODAY()-(Data_Val!$I$3*365.25)),Data!#REF!&lt;=(TODAY()-(Data_Val!$I$2*365.25))),0,1),1))</f>
        <v>#REF!</v>
      </c>
      <c r="AY964" s="12" t="e">
        <f>IF(Data!#REF!="","",IF(Data!$G964="",1,IF(ISNUMBER(MATCH(Data!#REF!,Data_Val!$D$2:$D$10,0)),0,1)))</f>
        <v>#REF!</v>
      </c>
      <c r="AZ964" s="11"/>
      <c r="BA964" s="19" t="e">
        <f ca="1">IF(Data!#REF!="","",IF(ISNUMBER(Data!#REF!),IF(AND(Data!#REF!&gt;(TODAY()-(Data_Val!$M$3*365.25)),Data!#REF!&lt;=(TODAY()-(Data_Val!$M$2*365.25))),0,1),1))</f>
        <v>#REF!</v>
      </c>
      <c r="BB964" s="11" t="e">
        <f>IF(Data!#REF!="","",IF(Data!$G964="",1,IF(ISNUMBER(MATCH(Data!#REF!,Data_Val!$D$2:$D$10,0)),0,1)))</f>
        <v>#REF!</v>
      </c>
      <c r="BC964" s="12"/>
      <c r="BD964" s="20" t="e">
        <f ca="1">IF(Data!#REF!="","",IF(ISNUMBER(Data!#REF!),IF(AND(Data!#REF!&gt;(TODAY()-(Data_Val!$M$3*365.25)),Data!#REF!&lt;=(TODAY()-(Data_Val!$M$2*365.25))),0,1),1))</f>
        <v>#REF!</v>
      </c>
      <c r="BE964" s="12" t="e">
        <f>IF(Data!#REF!="","",IF(Data!$G964="",1,IF(ISNUMBER(MATCH(Data!#REF!,Data_Val!$D$2:$D$10,0)),0,1)))</f>
        <v>#REF!</v>
      </c>
      <c r="BF964" s="17"/>
      <c r="BG964" s="18" t="e">
        <f ca="1">IF(Data!#REF!="","",IF(ISNUMBER(Data!#REF!),IF(AND(Data!#REF!&gt;(TODAY()-(Data_Val!$M$3*365.25)),Data!#REF!&lt;=(TODAY()-(Data_Val!$M$2*365.25))),0,1),1))</f>
        <v>#REF!</v>
      </c>
      <c r="BH964" s="29" t="e">
        <f>IF(Data!#REF!="","",IF(Data!$G964="",1,IF(ISNUMBER(MATCH(Data!#REF!,Data_Val!$D$2:$D$10,0)),0,1)))</f>
        <v>#REF!</v>
      </c>
      <c r="BI964" s="13"/>
      <c r="BJ964" s="21" t="e">
        <f ca="1">IF(Data!#REF!="","",IF(ISNUMBER(Data!#REF!),IF(AND(Data!#REF!&gt;(TODAY()-(Data_Val!$M$3*365.25)),Data!#REF!&lt;=(TODAY()-(Data_Val!$M$2*365.25))),0,1),1))</f>
        <v>#REF!</v>
      </c>
      <c r="BK964" s="13" t="e">
        <f>IF(Data!#REF!="","",IF(Data!$G964="",1,IF(ISNUMBER(MATCH(Data!#REF!,Data_Val!$D$2:$D$10,0)),0,1)))</f>
        <v>#REF!</v>
      </c>
    </row>
    <row r="965" spans="1:63" x14ac:dyDescent="0.25">
      <c r="A965" s="9" t="str">
        <f>IF(Data!B965="","",IF(COUNTIFS(Data!A$1:'Data'!A965,Data!A965)&lt;=1,0,1))</f>
        <v/>
      </c>
      <c r="B965" s="9"/>
      <c r="C965" s="23" t="str">
        <f>IF(Data!C965="","",(IF(ISNUMBER(MATCH("*@*.?*",Data!C965,0)),0,1)+IF(COUNTIFS(Data!C$1:'Data'!C965,Data!C965)&gt;1,1,0)))</f>
        <v/>
      </c>
      <c r="D965" s="9" t="str">
        <f>IF(Data!B965="","",IF(ISNUMBER(Data!D965),IF(AND(Data!D965&gt;999999999,Data!D965&lt;=9999999999),IF(COUNTIFS(Data!D$1:'Data'!D965,Data!D965)&lt;=1,0,1),1),1))</f>
        <v/>
      </c>
      <c r="E965" s="9" t="str">
        <f>IF(Data!B965="","",IF(ISNUMBER(MATCH(Data!E965,Data_Val!$A$2:$A$3,0)),0,1))</f>
        <v/>
      </c>
      <c r="F965" s="9" t="str">
        <f ca="1">IF(Data!B965="","",IF(ISNUMBER(Data!F965),IF(AND(Data!F965&gt;(TODAY()-(Data_Val!$H$3*365.25)),Data!F965&lt;=(TODAY()-(Data_Val!$H$2*365.25))),0,1),1))</f>
        <v/>
      </c>
      <c r="G965" s="15" t="str">
        <f>IF(Data!B965="","",IF(AND(Data!G965="",Data!H965&lt;&gt;""),1,IF(Data!#REF!&lt;&gt;"",0,IF(ISNUMBER(MATCH(Data!G965,Data_Val!$C$2:$C$5,0)),0,1))))</f>
        <v/>
      </c>
      <c r="H965" s="15" t="str">
        <f>IF(Data!B965="","",IF(AND(Data!G965&lt;&gt;"",Data!H965=""),1,IF(Data!#REF!&lt;&gt;"",0,IF(Data!G965="",1,IF(ISNUMBER(MATCH(Data!H965,Data_Val!$D$2:$D$35,0)),0,1)))))</f>
        <v/>
      </c>
      <c r="I965" s="15" t="str">
        <f>IF(Data!B965="","",IF(Data!G965&lt;&gt;"",0,IF(ISNUMBER(MATCH(Data!#REF!,Data_Val!$E$2:$E$12,0)),0,1)))</f>
        <v/>
      </c>
      <c r="J965" s="16" t="e">
        <f>IF(OR(Data!B965="",Data!#REF!=""),"",IF(Data!#REF!="",1,0))</f>
        <v>#REF!</v>
      </c>
      <c r="K965" s="16" t="e">
        <f>IF(OR(Data!B965="",Data!#REF!=""),"",IF(Data!#REF!="",1,0))</f>
        <v>#REF!</v>
      </c>
      <c r="L965" s="16" t="e">
        <f>IF(OR(Data!B965="",Data!#REF!=""),"",IF(ISNUMBER(Data!#REF!),IF(AND(Data!#REF!&gt;Data_Val!$G$2,Data!#REF!&lt;=Data_Val!$G$3),0,1),1))</f>
        <v>#REF!</v>
      </c>
      <c r="M965" s="9" t="e">
        <f>IF(OR(Data!B965="",Data!#REF!=""),"",IF(ISNUMBER(MATCH(Data!#REF!,Data_Val!$F$1:$F$38,0)),0,1))</f>
        <v>#REF!</v>
      </c>
      <c r="N965" s="9" t="e">
        <f>IF(OR(Data!B965="",Data!#REF!=""),"",IF(Data!#REF!="",1,0))</f>
        <v>#REF!</v>
      </c>
      <c r="O965" s="17" t="e">
        <f>IF(Data!#REF!="","",IF(Data!#REF!="",1,0))</f>
        <v>#REF!</v>
      </c>
      <c r="P965" s="17" t="e">
        <f>IF(Data!#REF!="","",IF(ISNUMBER(MATCH(Data!#REF!,Data_Val!$A$2:$A$3,0)),0,1))</f>
        <v>#REF!</v>
      </c>
      <c r="Q965" s="25" t="e">
        <f ca="1">IF(Data!#REF!="","",IF(ISNUMBER(Data!#REF!),IF(AND(Data!#REF!&gt;(TODAY()-(Data_Val!$J$3*365.25)),Data!#REF!&lt;=(TODAY()-(Data_Val!$J$2*365.25))),0,1),1))</f>
        <v>#REF!</v>
      </c>
      <c r="R965" s="17" t="e">
        <f>IF(Data!#REF!="","",IF(ISNUMBER(MATCH(Data!#REF!,Data_Val!$B$2:$B$15,0)),0,1))</f>
        <v>#REF!</v>
      </c>
      <c r="S965" s="11" t="str">
        <f>IF(Data!G965="","",IF(Data!G965=Data_Val!$C$2,IF(Data!M965="",0,1),0))</f>
        <v/>
      </c>
      <c r="T965" s="11" t="str">
        <f>IF(Data!M965="","",IF(ISNUMBER(MATCH(Data!N965,Data_Val!$A$2:$A$3,0)),0,1))</f>
        <v/>
      </c>
      <c r="U965" s="11" t="str">
        <f ca="1">IF(Data!M965="","",IF(ISNUMBER(Data!O965),IF(AND(Data!O965&gt;(TODAY()-(Data_Val!$K$3*365.25)),Data!O965&lt;=(TODAY()-(Data_Val!$K$2*365.25))),0,1),1))</f>
        <v/>
      </c>
      <c r="V965" s="12" t="str">
        <f>IF(Data!G965="","",IF(Data!G965=Data_Val!$C$2,IF(Data!P965="",0,1),0))</f>
        <v/>
      </c>
      <c r="W965" s="12" t="str">
        <f>IF(Data!P965="","",IF(ISNUMBER(MATCH(Data!Q965,Data_Val!$A$2:$A$3,0)),0,1))</f>
        <v/>
      </c>
      <c r="X965" s="26" t="str">
        <f ca="1">IF(Data!P965="","",IF(ISNUMBER(Data!R965),IF(AND(Data!R965&gt;(TODAY()-(Data_Val!$L$3*365.25)),Data!R965&lt;=(TODAY()-(Data_Val!$L$2*365.25))),0,1),1))</f>
        <v/>
      </c>
      <c r="Y965" s="13" t="str">
        <f>IF(Data!$G965="","",IF(Data!$G965=Data_Val!$C$2,IF(Data!S965="",0,1),0))</f>
        <v/>
      </c>
      <c r="Z965" s="13" t="str">
        <f>IF(Data!S965="","",IF(ISNUMBER(MATCH(Data!T965,Data_Val!$A$2:$A$3,0)),0,1))</f>
        <v/>
      </c>
      <c r="AA965" s="28" t="str">
        <f ca="1">IF(Data!S965="","",IF(ISNUMBER(Data!U965),IF(AND(Data!U965&gt;(TODAY()-(Data_Val!$L$3*365.25)),Data!U965&lt;=(TODAY()-(Data_Val!$L$2*365.25))),0,1),1))</f>
        <v/>
      </c>
      <c r="AB965" s="11"/>
      <c r="AC965" s="11" t="e">
        <f>IF(Data!#REF!="","",IF(ISNUMBER(MATCH(Data!#REF!,Data_Val!$A$2:$A$3,0)),0,1))</f>
        <v>#REF!</v>
      </c>
      <c r="AD965" s="11" t="e">
        <f ca="1">IF(Data!#REF!="","",IF(ISNUMBER(Data!#REF!),IF(AND(Data!#REF!&gt;(TODAY()-(Data_Val!$L$3*365.25)),Data!#REF!&lt;=(TODAY()-(Data_Val!$L$2*365.25))),0,1),1))</f>
        <v>#REF!</v>
      </c>
      <c r="AE965" s="11" t="e">
        <f>IF(Data!#REF!="","",IF(Data!$G965="",1,IF(ISNUMBER(MATCH(Data!#REF!,Data_Val!$D$2:$D$10,0)),0,1)))</f>
        <v>#REF!</v>
      </c>
      <c r="AF965" s="12"/>
      <c r="AG965" s="12" t="e">
        <f>IF(Data!#REF!="","",IF(ISNUMBER(MATCH(Data!#REF!,Data_Val!$A$2:$A$3,0)),0,1))</f>
        <v>#REF!</v>
      </c>
      <c r="AH965" s="26" t="e">
        <f ca="1">IF(Data!#REF!="","",IF(ISNUMBER(Data!#REF!),IF(AND(Data!#REF!&gt;(TODAY()-(Data_Val!$L$3*365.25)),Data!#REF!&lt;=(TODAY()-(Data_Val!$L$2*365.25))),0,1),1))</f>
        <v>#REF!</v>
      </c>
      <c r="AI965" s="12" t="e">
        <f>IF(Data!#REF!="","",IF(Data!$G965="",1,IF(ISNUMBER(MATCH(Data!#REF!,Data_Val!$D$2:$D$10,0)),0,1)))</f>
        <v>#REF!</v>
      </c>
      <c r="AJ965" s="17"/>
      <c r="AK965" s="17" t="e">
        <f>IF(Data!#REF!="","",IF(ISNUMBER(MATCH(Data!#REF!,Data_Val!$A$2:$A$3,0)),0,1))</f>
        <v>#REF!</v>
      </c>
      <c r="AL965" s="25" t="e">
        <f ca="1">IF(Data!#REF!="","",IF(ISNUMBER(Data!#REF!),IF(AND(Data!#REF!&gt;(TODAY()-(Data_Val!$L$3*365.25)),Data!#REF!&lt;=(TODAY()-(Data_Val!$L$2*365.25))),0,1),1))</f>
        <v>#REF!</v>
      </c>
      <c r="AM965" s="17" t="e">
        <f>IF(Data!#REF!="","",IF(Data!$G965="",1,IF(ISNUMBER(MATCH(Data!#REF!,Data_Val!$D$2:$D$10,0)),0,1)))</f>
        <v>#REF!</v>
      </c>
      <c r="AN965" s="13"/>
      <c r="AO965" s="28" t="e">
        <f ca="1">IF(Data!#REF!="","",IF(ISNUMBER(Data!#REF!),IF(AND(Data!#REF!&gt;(TODAY()-(Data_Val!$I$3*365.25)),Data!#REF!&lt;=(TODAY()-(Data_Val!$I$2*365.25))),0,1),1))</f>
        <v>#REF!</v>
      </c>
      <c r="AP965" s="13" t="e">
        <f>IF(Data!#REF!="","",IF(Data!$G965="",1,IF(ISNUMBER(MATCH(Data!#REF!,Data_Val!$D$2:$D$10,0)),0,1)))</f>
        <v>#REF!</v>
      </c>
      <c r="AQ965" s="17"/>
      <c r="AR965" s="30" t="e">
        <f ca="1">IF(Data!#REF!="","",IF(ISNUMBER(Data!#REF!),IF(AND(Data!#REF!&gt;(TODAY()-(Data_Val!$I$3*365.25)),Data!#REF!&lt;=(TODAY()-(Data_Val!$I$2*365.25))),0,1),1))</f>
        <v>#REF!</v>
      </c>
      <c r="AS965" s="31" t="e">
        <f>IF(Data!#REF!="","",IF(Data!$G965="",1,IF(ISNUMBER(MATCH(Data!#REF!,Data_Val!$D$2:$D$10,0)),0,1)))</f>
        <v>#REF!</v>
      </c>
      <c r="AT965" s="11"/>
      <c r="AU965" s="11" t="e">
        <f ca="1">IF(Data!#REF!="","",IF(ISNUMBER(Data!#REF!),IF(AND(Data!#REF!&gt;(TODAY()-(Data_Val!$I$3*365.25)),Data!#REF!&lt;=(TODAY()-(Data_Val!$I$2*365.25))),0,1),1))</f>
        <v>#REF!</v>
      </c>
      <c r="AV965" s="11" t="e">
        <f>IF(Data!#REF!="","",IF(Data!$G965="",1,IF(ISNUMBER(MATCH(Data!#REF!,Data_Val!$D$2:$D$10,0)),0,1)))</f>
        <v>#REF!</v>
      </c>
      <c r="AW965" s="12"/>
      <c r="AX965" s="26" t="e">
        <f ca="1">IF(Data!#REF!="","",IF(ISNUMBER(Data!#REF!),IF(AND(Data!#REF!&gt;(TODAY()-(Data_Val!$I$3*365.25)),Data!#REF!&lt;=(TODAY()-(Data_Val!$I$2*365.25))),0,1),1))</f>
        <v>#REF!</v>
      </c>
      <c r="AY965" s="12" t="e">
        <f>IF(Data!#REF!="","",IF(Data!$G965="",1,IF(ISNUMBER(MATCH(Data!#REF!,Data_Val!$D$2:$D$10,0)),0,1)))</f>
        <v>#REF!</v>
      </c>
      <c r="AZ965" s="11"/>
      <c r="BA965" s="19" t="e">
        <f ca="1">IF(Data!#REF!="","",IF(ISNUMBER(Data!#REF!),IF(AND(Data!#REF!&gt;(TODAY()-(Data_Val!$M$3*365.25)),Data!#REF!&lt;=(TODAY()-(Data_Val!$M$2*365.25))),0,1),1))</f>
        <v>#REF!</v>
      </c>
      <c r="BB965" s="11" t="e">
        <f>IF(Data!#REF!="","",IF(Data!$G965="",1,IF(ISNUMBER(MATCH(Data!#REF!,Data_Val!$D$2:$D$10,0)),0,1)))</f>
        <v>#REF!</v>
      </c>
      <c r="BC965" s="12"/>
      <c r="BD965" s="20" t="e">
        <f ca="1">IF(Data!#REF!="","",IF(ISNUMBER(Data!#REF!),IF(AND(Data!#REF!&gt;(TODAY()-(Data_Val!$M$3*365.25)),Data!#REF!&lt;=(TODAY()-(Data_Val!$M$2*365.25))),0,1),1))</f>
        <v>#REF!</v>
      </c>
      <c r="BE965" s="12" t="e">
        <f>IF(Data!#REF!="","",IF(Data!$G965="",1,IF(ISNUMBER(MATCH(Data!#REF!,Data_Val!$D$2:$D$10,0)),0,1)))</f>
        <v>#REF!</v>
      </c>
      <c r="BF965" s="17"/>
      <c r="BG965" s="18" t="e">
        <f ca="1">IF(Data!#REF!="","",IF(ISNUMBER(Data!#REF!),IF(AND(Data!#REF!&gt;(TODAY()-(Data_Val!$M$3*365.25)),Data!#REF!&lt;=(TODAY()-(Data_Val!$M$2*365.25))),0,1),1))</f>
        <v>#REF!</v>
      </c>
      <c r="BH965" s="29" t="e">
        <f>IF(Data!#REF!="","",IF(Data!$G965="",1,IF(ISNUMBER(MATCH(Data!#REF!,Data_Val!$D$2:$D$10,0)),0,1)))</f>
        <v>#REF!</v>
      </c>
      <c r="BI965" s="13"/>
      <c r="BJ965" s="21" t="e">
        <f ca="1">IF(Data!#REF!="","",IF(ISNUMBER(Data!#REF!),IF(AND(Data!#REF!&gt;(TODAY()-(Data_Val!$M$3*365.25)),Data!#REF!&lt;=(TODAY()-(Data_Val!$M$2*365.25))),0,1),1))</f>
        <v>#REF!</v>
      </c>
      <c r="BK965" s="13" t="e">
        <f>IF(Data!#REF!="","",IF(Data!$G965="",1,IF(ISNUMBER(MATCH(Data!#REF!,Data_Val!$D$2:$D$10,0)),0,1)))</f>
        <v>#REF!</v>
      </c>
    </row>
    <row r="966" spans="1:63" x14ac:dyDescent="0.25">
      <c r="A966" s="9" t="str">
        <f>IF(Data!B966="","",IF(COUNTIFS(Data!A$1:'Data'!A966,Data!A966)&lt;=1,0,1))</f>
        <v/>
      </c>
      <c r="B966" s="9"/>
      <c r="C966" s="23" t="str">
        <f>IF(Data!C966="","",(IF(ISNUMBER(MATCH("*@*.?*",Data!C966,0)),0,1)+IF(COUNTIFS(Data!C$1:'Data'!C966,Data!C966)&gt;1,1,0)))</f>
        <v/>
      </c>
      <c r="D966" s="9" t="str">
        <f>IF(Data!B966="","",IF(ISNUMBER(Data!D966),IF(AND(Data!D966&gt;999999999,Data!D966&lt;=9999999999),IF(COUNTIFS(Data!D$1:'Data'!D966,Data!D966)&lt;=1,0,1),1),1))</f>
        <v/>
      </c>
      <c r="E966" s="9" t="str">
        <f>IF(Data!B966="","",IF(ISNUMBER(MATCH(Data!E966,Data_Val!$A$2:$A$3,0)),0,1))</f>
        <v/>
      </c>
      <c r="F966" s="9" t="str">
        <f ca="1">IF(Data!B966="","",IF(ISNUMBER(Data!F966),IF(AND(Data!F966&gt;(TODAY()-(Data_Val!$H$3*365.25)),Data!F966&lt;=(TODAY()-(Data_Val!$H$2*365.25))),0,1),1))</f>
        <v/>
      </c>
      <c r="G966" s="15" t="str">
        <f>IF(Data!B966="","",IF(AND(Data!G966="",Data!H966&lt;&gt;""),1,IF(Data!#REF!&lt;&gt;"",0,IF(ISNUMBER(MATCH(Data!G966,Data_Val!$C$2:$C$5,0)),0,1))))</f>
        <v/>
      </c>
      <c r="H966" s="15" t="str">
        <f>IF(Data!B966="","",IF(AND(Data!G966&lt;&gt;"",Data!H966=""),1,IF(Data!#REF!&lt;&gt;"",0,IF(Data!G966="",1,IF(ISNUMBER(MATCH(Data!H966,Data_Val!$D$2:$D$35,0)),0,1)))))</f>
        <v/>
      </c>
      <c r="I966" s="15" t="str">
        <f>IF(Data!B966="","",IF(Data!G966&lt;&gt;"",0,IF(ISNUMBER(MATCH(Data!#REF!,Data_Val!$E$2:$E$12,0)),0,1)))</f>
        <v/>
      </c>
      <c r="J966" s="16" t="e">
        <f>IF(OR(Data!B966="",Data!#REF!=""),"",IF(Data!#REF!="",1,0))</f>
        <v>#REF!</v>
      </c>
      <c r="K966" s="16" t="e">
        <f>IF(OR(Data!B966="",Data!#REF!=""),"",IF(Data!#REF!="",1,0))</f>
        <v>#REF!</v>
      </c>
      <c r="L966" s="16" t="e">
        <f>IF(OR(Data!B966="",Data!#REF!=""),"",IF(ISNUMBER(Data!#REF!),IF(AND(Data!#REF!&gt;Data_Val!$G$2,Data!#REF!&lt;=Data_Val!$G$3),0,1),1))</f>
        <v>#REF!</v>
      </c>
      <c r="M966" s="9" t="e">
        <f>IF(OR(Data!B966="",Data!#REF!=""),"",IF(ISNUMBER(MATCH(Data!#REF!,Data_Val!$F$1:$F$38,0)),0,1))</f>
        <v>#REF!</v>
      </c>
      <c r="N966" s="9" t="e">
        <f>IF(OR(Data!B966="",Data!#REF!=""),"",IF(Data!#REF!="",1,0))</f>
        <v>#REF!</v>
      </c>
      <c r="O966" s="17" t="e">
        <f>IF(Data!#REF!="","",IF(Data!#REF!="",1,0))</f>
        <v>#REF!</v>
      </c>
      <c r="P966" s="17" t="e">
        <f>IF(Data!#REF!="","",IF(ISNUMBER(MATCH(Data!#REF!,Data_Val!$A$2:$A$3,0)),0,1))</f>
        <v>#REF!</v>
      </c>
      <c r="Q966" s="25" t="e">
        <f ca="1">IF(Data!#REF!="","",IF(ISNUMBER(Data!#REF!),IF(AND(Data!#REF!&gt;(TODAY()-(Data_Val!$J$3*365.25)),Data!#REF!&lt;=(TODAY()-(Data_Val!$J$2*365.25))),0,1),1))</f>
        <v>#REF!</v>
      </c>
      <c r="R966" s="17" t="e">
        <f>IF(Data!#REF!="","",IF(ISNUMBER(MATCH(Data!#REF!,Data_Val!$B$2:$B$15,0)),0,1))</f>
        <v>#REF!</v>
      </c>
      <c r="S966" s="11" t="str">
        <f>IF(Data!G966="","",IF(Data!G966=Data_Val!$C$2,IF(Data!M966="",0,1),0))</f>
        <v/>
      </c>
      <c r="T966" s="11" t="str">
        <f>IF(Data!M966="","",IF(ISNUMBER(MATCH(Data!N966,Data_Val!$A$2:$A$3,0)),0,1))</f>
        <v/>
      </c>
      <c r="U966" s="11" t="str">
        <f ca="1">IF(Data!M966="","",IF(ISNUMBER(Data!O966),IF(AND(Data!O966&gt;(TODAY()-(Data_Val!$K$3*365.25)),Data!O966&lt;=(TODAY()-(Data_Val!$K$2*365.25))),0,1),1))</f>
        <v/>
      </c>
      <c r="V966" s="12" t="str">
        <f>IF(Data!G966="","",IF(Data!G966=Data_Val!$C$2,IF(Data!P966="",0,1),0))</f>
        <v/>
      </c>
      <c r="W966" s="12" t="str">
        <f>IF(Data!P966="","",IF(ISNUMBER(MATCH(Data!Q966,Data_Val!$A$2:$A$3,0)),0,1))</f>
        <v/>
      </c>
      <c r="X966" s="26" t="str">
        <f ca="1">IF(Data!P966="","",IF(ISNUMBER(Data!R966),IF(AND(Data!R966&gt;(TODAY()-(Data_Val!$L$3*365.25)),Data!R966&lt;=(TODAY()-(Data_Val!$L$2*365.25))),0,1),1))</f>
        <v/>
      </c>
      <c r="Y966" s="13" t="str">
        <f>IF(Data!$G966="","",IF(Data!$G966=Data_Val!$C$2,IF(Data!S966="",0,1),0))</f>
        <v/>
      </c>
      <c r="Z966" s="13" t="str">
        <f>IF(Data!S966="","",IF(ISNUMBER(MATCH(Data!T966,Data_Val!$A$2:$A$3,0)),0,1))</f>
        <v/>
      </c>
      <c r="AA966" s="28" t="str">
        <f ca="1">IF(Data!S966="","",IF(ISNUMBER(Data!U966),IF(AND(Data!U966&gt;(TODAY()-(Data_Val!$L$3*365.25)),Data!U966&lt;=(TODAY()-(Data_Val!$L$2*365.25))),0,1),1))</f>
        <v/>
      </c>
      <c r="AB966" s="11"/>
      <c r="AC966" s="11" t="e">
        <f>IF(Data!#REF!="","",IF(ISNUMBER(MATCH(Data!#REF!,Data_Val!$A$2:$A$3,0)),0,1))</f>
        <v>#REF!</v>
      </c>
      <c r="AD966" s="11" t="e">
        <f ca="1">IF(Data!#REF!="","",IF(ISNUMBER(Data!#REF!),IF(AND(Data!#REF!&gt;(TODAY()-(Data_Val!$L$3*365.25)),Data!#REF!&lt;=(TODAY()-(Data_Val!$L$2*365.25))),0,1),1))</f>
        <v>#REF!</v>
      </c>
      <c r="AE966" s="11" t="e">
        <f>IF(Data!#REF!="","",IF(Data!$G966="",1,IF(ISNUMBER(MATCH(Data!#REF!,Data_Val!$D$2:$D$10,0)),0,1)))</f>
        <v>#REF!</v>
      </c>
      <c r="AF966" s="12"/>
      <c r="AG966" s="12" t="e">
        <f>IF(Data!#REF!="","",IF(ISNUMBER(MATCH(Data!#REF!,Data_Val!$A$2:$A$3,0)),0,1))</f>
        <v>#REF!</v>
      </c>
      <c r="AH966" s="26" t="e">
        <f ca="1">IF(Data!#REF!="","",IF(ISNUMBER(Data!#REF!),IF(AND(Data!#REF!&gt;(TODAY()-(Data_Val!$L$3*365.25)),Data!#REF!&lt;=(TODAY()-(Data_Val!$L$2*365.25))),0,1),1))</f>
        <v>#REF!</v>
      </c>
      <c r="AI966" s="12" t="e">
        <f>IF(Data!#REF!="","",IF(Data!$G966="",1,IF(ISNUMBER(MATCH(Data!#REF!,Data_Val!$D$2:$D$10,0)),0,1)))</f>
        <v>#REF!</v>
      </c>
      <c r="AJ966" s="17"/>
      <c r="AK966" s="17" t="e">
        <f>IF(Data!#REF!="","",IF(ISNUMBER(MATCH(Data!#REF!,Data_Val!$A$2:$A$3,0)),0,1))</f>
        <v>#REF!</v>
      </c>
      <c r="AL966" s="25" t="e">
        <f ca="1">IF(Data!#REF!="","",IF(ISNUMBER(Data!#REF!),IF(AND(Data!#REF!&gt;(TODAY()-(Data_Val!$L$3*365.25)),Data!#REF!&lt;=(TODAY()-(Data_Val!$L$2*365.25))),0,1),1))</f>
        <v>#REF!</v>
      </c>
      <c r="AM966" s="17" t="e">
        <f>IF(Data!#REF!="","",IF(Data!$G966="",1,IF(ISNUMBER(MATCH(Data!#REF!,Data_Val!$D$2:$D$10,0)),0,1)))</f>
        <v>#REF!</v>
      </c>
      <c r="AN966" s="13"/>
      <c r="AO966" s="28" t="e">
        <f ca="1">IF(Data!#REF!="","",IF(ISNUMBER(Data!#REF!),IF(AND(Data!#REF!&gt;(TODAY()-(Data_Val!$I$3*365.25)),Data!#REF!&lt;=(TODAY()-(Data_Val!$I$2*365.25))),0,1),1))</f>
        <v>#REF!</v>
      </c>
      <c r="AP966" s="13" t="e">
        <f>IF(Data!#REF!="","",IF(Data!$G966="",1,IF(ISNUMBER(MATCH(Data!#REF!,Data_Val!$D$2:$D$10,0)),0,1)))</f>
        <v>#REF!</v>
      </c>
      <c r="AQ966" s="17"/>
      <c r="AR966" s="30" t="e">
        <f ca="1">IF(Data!#REF!="","",IF(ISNUMBER(Data!#REF!),IF(AND(Data!#REF!&gt;(TODAY()-(Data_Val!$I$3*365.25)),Data!#REF!&lt;=(TODAY()-(Data_Val!$I$2*365.25))),0,1),1))</f>
        <v>#REF!</v>
      </c>
      <c r="AS966" s="31" t="e">
        <f>IF(Data!#REF!="","",IF(Data!$G966="",1,IF(ISNUMBER(MATCH(Data!#REF!,Data_Val!$D$2:$D$10,0)),0,1)))</f>
        <v>#REF!</v>
      </c>
      <c r="AT966" s="11"/>
      <c r="AU966" s="11" t="e">
        <f ca="1">IF(Data!#REF!="","",IF(ISNUMBER(Data!#REF!),IF(AND(Data!#REF!&gt;(TODAY()-(Data_Val!$I$3*365.25)),Data!#REF!&lt;=(TODAY()-(Data_Val!$I$2*365.25))),0,1),1))</f>
        <v>#REF!</v>
      </c>
      <c r="AV966" s="11" t="e">
        <f>IF(Data!#REF!="","",IF(Data!$G966="",1,IF(ISNUMBER(MATCH(Data!#REF!,Data_Val!$D$2:$D$10,0)),0,1)))</f>
        <v>#REF!</v>
      </c>
      <c r="AW966" s="12"/>
      <c r="AX966" s="26" t="e">
        <f ca="1">IF(Data!#REF!="","",IF(ISNUMBER(Data!#REF!),IF(AND(Data!#REF!&gt;(TODAY()-(Data_Val!$I$3*365.25)),Data!#REF!&lt;=(TODAY()-(Data_Val!$I$2*365.25))),0,1),1))</f>
        <v>#REF!</v>
      </c>
      <c r="AY966" s="12" t="e">
        <f>IF(Data!#REF!="","",IF(Data!$G966="",1,IF(ISNUMBER(MATCH(Data!#REF!,Data_Val!$D$2:$D$10,0)),0,1)))</f>
        <v>#REF!</v>
      </c>
      <c r="AZ966" s="11"/>
      <c r="BA966" s="19" t="e">
        <f ca="1">IF(Data!#REF!="","",IF(ISNUMBER(Data!#REF!),IF(AND(Data!#REF!&gt;(TODAY()-(Data_Val!$M$3*365.25)),Data!#REF!&lt;=(TODAY()-(Data_Val!$M$2*365.25))),0,1),1))</f>
        <v>#REF!</v>
      </c>
      <c r="BB966" s="11" t="e">
        <f>IF(Data!#REF!="","",IF(Data!$G966="",1,IF(ISNUMBER(MATCH(Data!#REF!,Data_Val!$D$2:$D$10,0)),0,1)))</f>
        <v>#REF!</v>
      </c>
      <c r="BC966" s="12"/>
      <c r="BD966" s="20" t="e">
        <f ca="1">IF(Data!#REF!="","",IF(ISNUMBER(Data!#REF!),IF(AND(Data!#REF!&gt;(TODAY()-(Data_Val!$M$3*365.25)),Data!#REF!&lt;=(TODAY()-(Data_Val!$M$2*365.25))),0,1),1))</f>
        <v>#REF!</v>
      </c>
      <c r="BE966" s="12" t="e">
        <f>IF(Data!#REF!="","",IF(Data!$G966="",1,IF(ISNUMBER(MATCH(Data!#REF!,Data_Val!$D$2:$D$10,0)),0,1)))</f>
        <v>#REF!</v>
      </c>
      <c r="BF966" s="17"/>
      <c r="BG966" s="18" t="e">
        <f ca="1">IF(Data!#REF!="","",IF(ISNUMBER(Data!#REF!),IF(AND(Data!#REF!&gt;(TODAY()-(Data_Val!$M$3*365.25)),Data!#REF!&lt;=(TODAY()-(Data_Val!$M$2*365.25))),0,1),1))</f>
        <v>#REF!</v>
      </c>
      <c r="BH966" s="29" t="e">
        <f>IF(Data!#REF!="","",IF(Data!$G966="",1,IF(ISNUMBER(MATCH(Data!#REF!,Data_Val!$D$2:$D$10,0)),0,1)))</f>
        <v>#REF!</v>
      </c>
      <c r="BI966" s="13"/>
      <c r="BJ966" s="21" t="e">
        <f ca="1">IF(Data!#REF!="","",IF(ISNUMBER(Data!#REF!),IF(AND(Data!#REF!&gt;(TODAY()-(Data_Val!$M$3*365.25)),Data!#REF!&lt;=(TODAY()-(Data_Val!$M$2*365.25))),0,1),1))</f>
        <v>#REF!</v>
      </c>
      <c r="BK966" s="13" t="e">
        <f>IF(Data!#REF!="","",IF(Data!$G966="",1,IF(ISNUMBER(MATCH(Data!#REF!,Data_Val!$D$2:$D$10,0)),0,1)))</f>
        <v>#REF!</v>
      </c>
    </row>
    <row r="967" spans="1:63" x14ac:dyDescent="0.25">
      <c r="A967" s="9" t="str">
        <f>IF(Data!B967="","",IF(COUNTIFS(Data!A$1:'Data'!A967,Data!A967)&lt;=1,0,1))</f>
        <v/>
      </c>
      <c r="B967" s="9"/>
      <c r="C967" s="23" t="str">
        <f>IF(Data!C967="","",(IF(ISNUMBER(MATCH("*@*.?*",Data!C967,0)),0,1)+IF(COUNTIFS(Data!C$1:'Data'!C967,Data!C967)&gt;1,1,0)))</f>
        <v/>
      </c>
      <c r="D967" s="9" t="str">
        <f>IF(Data!B967="","",IF(ISNUMBER(Data!D967),IF(AND(Data!D967&gt;999999999,Data!D967&lt;=9999999999),IF(COUNTIFS(Data!D$1:'Data'!D967,Data!D967)&lt;=1,0,1),1),1))</f>
        <v/>
      </c>
      <c r="E967" s="9" t="str">
        <f>IF(Data!B967="","",IF(ISNUMBER(MATCH(Data!E967,Data_Val!$A$2:$A$3,0)),0,1))</f>
        <v/>
      </c>
      <c r="F967" s="9" t="str">
        <f ca="1">IF(Data!B967="","",IF(ISNUMBER(Data!F967),IF(AND(Data!F967&gt;(TODAY()-(Data_Val!$H$3*365.25)),Data!F967&lt;=(TODAY()-(Data_Val!$H$2*365.25))),0,1),1))</f>
        <v/>
      </c>
      <c r="G967" s="15" t="str">
        <f>IF(Data!B967="","",IF(AND(Data!G967="",Data!H967&lt;&gt;""),1,IF(Data!#REF!&lt;&gt;"",0,IF(ISNUMBER(MATCH(Data!G967,Data_Val!$C$2:$C$5,0)),0,1))))</f>
        <v/>
      </c>
      <c r="H967" s="15" t="str">
        <f>IF(Data!B967="","",IF(AND(Data!G967&lt;&gt;"",Data!H967=""),1,IF(Data!#REF!&lt;&gt;"",0,IF(Data!G967="",1,IF(ISNUMBER(MATCH(Data!H967,Data_Val!$D$2:$D$35,0)),0,1)))))</f>
        <v/>
      </c>
      <c r="I967" s="15" t="str">
        <f>IF(Data!B967="","",IF(Data!G967&lt;&gt;"",0,IF(ISNUMBER(MATCH(Data!#REF!,Data_Val!$E$2:$E$12,0)),0,1)))</f>
        <v/>
      </c>
      <c r="J967" s="16" t="e">
        <f>IF(OR(Data!B967="",Data!#REF!=""),"",IF(Data!#REF!="",1,0))</f>
        <v>#REF!</v>
      </c>
      <c r="K967" s="16" t="e">
        <f>IF(OR(Data!B967="",Data!#REF!=""),"",IF(Data!#REF!="",1,0))</f>
        <v>#REF!</v>
      </c>
      <c r="L967" s="16" t="e">
        <f>IF(OR(Data!B967="",Data!#REF!=""),"",IF(ISNUMBER(Data!#REF!),IF(AND(Data!#REF!&gt;Data_Val!$G$2,Data!#REF!&lt;=Data_Val!$G$3),0,1),1))</f>
        <v>#REF!</v>
      </c>
      <c r="M967" s="9" t="e">
        <f>IF(OR(Data!B967="",Data!#REF!=""),"",IF(ISNUMBER(MATCH(Data!#REF!,Data_Val!$F$1:$F$38,0)),0,1))</f>
        <v>#REF!</v>
      </c>
      <c r="N967" s="9" t="e">
        <f>IF(OR(Data!B967="",Data!#REF!=""),"",IF(Data!#REF!="",1,0))</f>
        <v>#REF!</v>
      </c>
      <c r="O967" s="17" t="e">
        <f>IF(Data!#REF!="","",IF(Data!#REF!="",1,0))</f>
        <v>#REF!</v>
      </c>
      <c r="P967" s="17" t="e">
        <f>IF(Data!#REF!="","",IF(ISNUMBER(MATCH(Data!#REF!,Data_Val!$A$2:$A$3,0)),0,1))</f>
        <v>#REF!</v>
      </c>
      <c r="Q967" s="25" t="e">
        <f ca="1">IF(Data!#REF!="","",IF(ISNUMBER(Data!#REF!),IF(AND(Data!#REF!&gt;(TODAY()-(Data_Val!$J$3*365.25)),Data!#REF!&lt;=(TODAY()-(Data_Val!$J$2*365.25))),0,1),1))</f>
        <v>#REF!</v>
      </c>
      <c r="R967" s="17" t="e">
        <f>IF(Data!#REF!="","",IF(ISNUMBER(MATCH(Data!#REF!,Data_Val!$B$2:$B$15,0)),0,1))</f>
        <v>#REF!</v>
      </c>
      <c r="S967" s="11" t="str">
        <f>IF(Data!G967="","",IF(Data!G967=Data_Val!$C$2,IF(Data!M967="",0,1),0))</f>
        <v/>
      </c>
      <c r="T967" s="11" t="str">
        <f>IF(Data!M967="","",IF(ISNUMBER(MATCH(Data!N967,Data_Val!$A$2:$A$3,0)),0,1))</f>
        <v/>
      </c>
      <c r="U967" s="11" t="str">
        <f ca="1">IF(Data!M967="","",IF(ISNUMBER(Data!O967),IF(AND(Data!O967&gt;(TODAY()-(Data_Val!$K$3*365.25)),Data!O967&lt;=(TODAY()-(Data_Val!$K$2*365.25))),0,1),1))</f>
        <v/>
      </c>
      <c r="V967" s="12" t="str">
        <f>IF(Data!G967="","",IF(Data!G967=Data_Val!$C$2,IF(Data!P967="",0,1),0))</f>
        <v/>
      </c>
      <c r="W967" s="12" t="str">
        <f>IF(Data!P967="","",IF(ISNUMBER(MATCH(Data!Q967,Data_Val!$A$2:$A$3,0)),0,1))</f>
        <v/>
      </c>
      <c r="X967" s="26" t="str">
        <f ca="1">IF(Data!P967="","",IF(ISNUMBER(Data!R967),IF(AND(Data!R967&gt;(TODAY()-(Data_Val!$L$3*365.25)),Data!R967&lt;=(TODAY()-(Data_Val!$L$2*365.25))),0,1),1))</f>
        <v/>
      </c>
      <c r="Y967" s="13" t="str">
        <f>IF(Data!$G967="","",IF(Data!$G967=Data_Val!$C$2,IF(Data!S967="",0,1),0))</f>
        <v/>
      </c>
      <c r="Z967" s="13" t="str">
        <f>IF(Data!S967="","",IF(ISNUMBER(MATCH(Data!T967,Data_Val!$A$2:$A$3,0)),0,1))</f>
        <v/>
      </c>
      <c r="AA967" s="28" t="str">
        <f ca="1">IF(Data!S967="","",IF(ISNUMBER(Data!U967),IF(AND(Data!U967&gt;(TODAY()-(Data_Val!$L$3*365.25)),Data!U967&lt;=(TODAY()-(Data_Val!$L$2*365.25))),0,1),1))</f>
        <v/>
      </c>
      <c r="AB967" s="11"/>
      <c r="AC967" s="11" t="e">
        <f>IF(Data!#REF!="","",IF(ISNUMBER(MATCH(Data!#REF!,Data_Val!$A$2:$A$3,0)),0,1))</f>
        <v>#REF!</v>
      </c>
      <c r="AD967" s="11" t="e">
        <f ca="1">IF(Data!#REF!="","",IF(ISNUMBER(Data!#REF!),IF(AND(Data!#REF!&gt;(TODAY()-(Data_Val!$L$3*365.25)),Data!#REF!&lt;=(TODAY()-(Data_Val!$L$2*365.25))),0,1),1))</f>
        <v>#REF!</v>
      </c>
      <c r="AE967" s="11" t="e">
        <f>IF(Data!#REF!="","",IF(Data!$G967="",1,IF(ISNUMBER(MATCH(Data!#REF!,Data_Val!$D$2:$D$10,0)),0,1)))</f>
        <v>#REF!</v>
      </c>
      <c r="AF967" s="12"/>
      <c r="AG967" s="12" t="e">
        <f>IF(Data!#REF!="","",IF(ISNUMBER(MATCH(Data!#REF!,Data_Val!$A$2:$A$3,0)),0,1))</f>
        <v>#REF!</v>
      </c>
      <c r="AH967" s="26" t="e">
        <f ca="1">IF(Data!#REF!="","",IF(ISNUMBER(Data!#REF!),IF(AND(Data!#REF!&gt;(TODAY()-(Data_Val!$L$3*365.25)),Data!#REF!&lt;=(TODAY()-(Data_Val!$L$2*365.25))),0,1),1))</f>
        <v>#REF!</v>
      </c>
      <c r="AI967" s="12" t="e">
        <f>IF(Data!#REF!="","",IF(Data!$G967="",1,IF(ISNUMBER(MATCH(Data!#REF!,Data_Val!$D$2:$D$10,0)),0,1)))</f>
        <v>#REF!</v>
      </c>
      <c r="AJ967" s="17"/>
      <c r="AK967" s="17" t="e">
        <f>IF(Data!#REF!="","",IF(ISNUMBER(MATCH(Data!#REF!,Data_Val!$A$2:$A$3,0)),0,1))</f>
        <v>#REF!</v>
      </c>
      <c r="AL967" s="25" t="e">
        <f ca="1">IF(Data!#REF!="","",IF(ISNUMBER(Data!#REF!),IF(AND(Data!#REF!&gt;(TODAY()-(Data_Val!$L$3*365.25)),Data!#REF!&lt;=(TODAY()-(Data_Val!$L$2*365.25))),0,1),1))</f>
        <v>#REF!</v>
      </c>
      <c r="AM967" s="17" t="e">
        <f>IF(Data!#REF!="","",IF(Data!$G967="",1,IF(ISNUMBER(MATCH(Data!#REF!,Data_Val!$D$2:$D$10,0)),0,1)))</f>
        <v>#REF!</v>
      </c>
      <c r="AN967" s="13"/>
      <c r="AO967" s="28" t="e">
        <f ca="1">IF(Data!#REF!="","",IF(ISNUMBER(Data!#REF!),IF(AND(Data!#REF!&gt;(TODAY()-(Data_Val!$I$3*365.25)),Data!#REF!&lt;=(TODAY()-(Data_Val!$I$2*365.25))),0,1),1))</f>
        <v>#REF!</v>
      </c>
      <c r="AP967" s="13" t="e">
        <f>IF(Data!#REF!="","",IF(Data!$G967="",1,IF(ISNUMBER(MATCH(Data!#REF!,Data_Val!$D$2:$D$10,0)),0,1)))</f>
        <v>#REF!</v>
      </c>
      <c r="AQ967" s="17"/>
      <c r="AR967" s="30" t="e">
        <f ca="1">IF(Data!#REF!="","",IF(ISNUMBER(Data!#REF!),IF(AND(Data!#REF!&gt;(TODAY()-(Data_Val!$I$3*365.25)),Data!#REF!&lt;=(TODAY()-(Data_Val!$I$2*365.25))),0,1),1))</f>
        <v>#REF!</v>
      </c>
      <c r="AS967" s="31" t="e">
        <f>IF(Data!#REF!="","",IF(Data!$G967="",1,IF(ISNUMBER(MATCH(Data!#REF!,Data_Val!$D$2:$D$10,0)),0,1)))</f>
        <v>#REF!</v>
      </c>
      <c r="AT967" s="11"/>
      <c r="AU967" s="11" t="e">
        <f ca="1">IF(Data!#REF!="","",IF(ISNUMBER(Data!#REF!),IF(AND(Data!#REF!&gt;(TODAY()-(Data_Val!$I$3*365.25)),Data!#REF!&lt;=(TODAY()-(Data_Val!$I$2*365.25))),0,1),1))</f>
        <v>#REF!</v>
      </c>
      <c r="AV967" s="11" t="e">
        <f>IF(Data!#REF!="","",IF(Data!$G967="",1,IF(ISNUMBER(MATCH(Data!#REF!,Data_Val!$D$2:$D$10,0)),0,1)))</f>
        <v>#REF!</v>
      </c>
      <c r="AW967" s="12"/>
      <c r="AX967" s="26" t="e">
        <f ca="1">IF(Data!#REF!="","",IF(ISNUMBER(Data!#REF!),IF(AND(Data!#REF!&gt;(TODAY()-(Data_Val!$I$3*365.25)),Data!#REF!&lt;=(TODAY()-(Data_Val!$I$2*365.25))),0,1),1))</f>
        <v>#REF!</v>
      </c>
      <c r="AY967" s="12" t="e">
        <f>IF(Data!#REF!="","",IF(Data!$G967="",1,IF(ISNUMBER(MATCH(Data!#REF!,Data_Val!$D$2:$D$10,0)),0,1)))</f>
        <v>#REF!</v>
      </c>
      <c r="AZ967" s="11"/>
      <c r="BA967" s="19" t="e">
        <f ca="1">IF(Data!#REF!="","",IF(ISNUMBER(Data!#REF!),IF(AND(Data!#REF!&gt;(TODAY()-(Data_Val!$M$3*365.25)),Data!#REF!&lt;=(TODAY()-(Data_Val!$M$2*365.25))),0,1),1))</f>
        <v>#REF!</v>
      </c>
      <c r="BB967" s="11" t="e">
        <f>IF(Data!#REF!="","",IF(Data!$G967="",1,IF(ISNUMBER(MATCH(Data!#REF!,Data_Val!$D$2:$D$10,0)),0,1)))</f>
        <v>#REF!</v>
      </c>
      <c r="BC967" s="12"/>
      <c r="BD967" s="20" t="e">
        <f ca="1">IF(Data!#REF!="","",IF(ISNUMBER(Data!#REF!),IF(AND(Data!#REF!&gt;(TODAY()-(Data_Val!$M$3*365.25)),Data!#REF!&lt;=(TODAY()-(Data_Val!$M$2*365.25))),0,1),1))</f>
        <v>#REF!</v>
      </c>
      <c r="BE967" s="12" t="e">
        <f>IF(Data!#REF!="","",IF(Data!$G967="",1,IF(ISNUMBER(MATCH(Data!#REF!,Data_Val!$D$2:$D$10,0)),0,1)))</f>
        <v>#REF!</v>
      </c>
      <c r="BF967" s="17"/>
      <c r="BG967" s="18" t="e">
        <f ca="1">IF(Data!#REF!="","",IF(ISNUMBER(Data!#REF!),IF(AND(Data!#REF!&gt;(TODAY()-(Data_Val!$M$3*365.25)),Data!#REF!&lt;=(TODAY()-(Data_Val!$M$2*365.25))),0,1),1))</f>
        <v>#REF!</v>
      </c>
      <c r="BH967" s="29" t="e">
        <f>IF(Data!#REF!="","",IF(Data!$G967="",1,IF(ISNUMBER(MATCH(Data!#REF!,Data_Val!$D$2:$D$10,0)),0,1)))</f>
        <v>#REF!</v>
      </c>
      <c r="BI967" s="13"/>
      <c r="BJ967" s="21" t="e">
        <f ca="1">IF(Data!#REF!="","",IF(ISNUMBER(Data!#REF!),IF(AND(Data!#REF!&gt;(TODAY()-(Data_Val!$M$3*365.25)),Data!#REF!&lt;=(TODAY()-(Data_Val!$M$2*365.25))),0,1),1))</f>
        <v>#REF!</v>
      </c>
      <c r="BK967" s="13" t="e">
        <f>IF(Data!#REF!="","",IF(Data!$G967="",1,IF(ISNUMBER(MATCH(Data!#REF!,Data_Val!$D$2:$D$10,0)),0,1)))</f>
        <v>#REF!</v>
      </c>
    </row>
    <row r="968" spans="1:63" x14ac:dyDescent="0.25">
      <c r="A968" s="9" t="str">
        <f>IF(Data!B968="","",IF(COUNTIFS(Data!A$1:'Data'!A968,Data!A968)&lt;=1,0,1))</f>
        <v/>
      </c>
      <c r="B968" s="9"/>
      <c r="C968" s="23" t="str">
        <f>IF(Data!C968="","",(IF(ISNUMBER(MATCH("*@*.?*",Data!C968,0)),0,1)+IF(COUNTIFS(Data!C$1:'Data'!C968,Data!C968)&gt;1,1,0)))</f>
        <v/>
      </c>
      <c r="D968" s="9" t="str">
        <f>IF(Data!B968="","",IF(ISNUMBER(Data!D968),IF(AND(Data!D968&gt;999999999,Data!D968&lt;=9999999999),IF(COUNTIFS(Data!D$1:'Data'!D968,Data!D968)&lt;=1,0,1),1),1))</f>
        <v/>
      </c>
      <c r="E968" s="9" t="str">
        <f>IF(Data!B968="","",IF(ISNUMBER(MATCH(Data!E968,Data_Val!$A$2:$A$3,0)),0,1))</f>
        <v/>
      </c>
      <c r="F968" s="9" t="str">
        <f ca="1">IF(Data!B968="","",IF(ISNUMBER(Data!F968),IF(AND(Data!F968&gt;(TODAY()-(Data_Val!$H$3*365.25)),Data!F968&lt;=(TODAY()-(Data_Val!$H$2*365.25))),0,1),1))</f>
        <v/>
      </c>
      <c r="G968" s="15" t="str">
        <f>IF(Data!B968="","",IF(AND(Data!G968="",Data!H968&lt;&gt;""),1,IF(Data!#REF!&lt;&gt;"",0,IF(ISNUMBER(MATCH(Data!G968,Data_Val!$C$2:$C$5,0)),0,1))))</f>
        <v/>
      </c>
      <c r="H968" s="15" t="str">
        <f>IF(Data!B968="","",IF(AND(Data!G968&lt;&gt;"",Data!H968=""),1,IF(Data!#REF!&lt;&gt;"",0,IF(Data!G968="",1,IF(ISNUMBER(MATCH(Data!H968,Data_Val!$D$2:$D$35,0)),0,1)))))</f>
        <v/>
      </c>
      <c r="I968" s="15" t="str">
        <f>IF(Data!B968="","",IF(Data!G968&lt;&gt;"",0,IF(ISNUMBER(MATCH(Data!#REF!,Data_Val!$E$2:$E$12,0)),0,1)))</f>
        <v/>
      </c>
      <c r="J968" s="16" t="e">
        <f>IF(OR(Data!B968="",Data!#REF!=""),"",IF(Data!#REF!="",1,0))</f>
        <v>#REF!</v>
      </c>
      <c r="K968" s="16" t="e">
        <f>IF(OR(Data!B968="",Data!#REF!=""),"",IF(Data!#REF!="",1,0))</f>
        <v>#REF!</v>
      </c>
      <c r="L968" s="16" t="e">
        <f>IF(OR(Data!B968="",Data!#REF!=""),"",IF(ISNUMBER(Data!#REF!),IF(AND(Data!#REF!&gt;Data_Val!$G$2,Data!#REF!&lt;=Data_Val!$G$3),0,1),1))</f>
        <v>#REF!</v>
      </c>
      <c r="M968" s="9" t="e">
        <f>IF(OR(Data!B968="",Data!#REF!=""),"",IF(ISNUMBER(MATCH(Data!#REF!,Data_Val!$F$1:$F$38,0)),0,1))</f>
        <v>#REF!</v>
      </c>
      <c r="N968" s="9" t="e">
        <f>IF(OR(Data!B968="",Data!#REF!=""),"",IF(Data!#REF!="",1,0))</f>
        <v>#REF!</v>
      </c>
      <c r="O968" s="17" t="e">
        <f>IF(Data!#REF!="","",IF(Data!#REF!="",1,0))</f>
        <v>#REF!</v>
      </c>
      <c r="P968" s="17" t="e">
        <f>IF(Data!#REF!="","",IF(ISNUMBER(MATCH(Data!#REF!,Data_Val!$A$2:$A$3,0)),0,1))</f>
        <v>#REF!</v>
      </c>
      <c r="Q968" s="25" t="e">
        <f ca="1">IF(Data!#REF!="","",IF(ISNUMBER(Data!#REF!),IF(AND(Data!#REF!&gt;(TODAY()-(Data_Val!$J$3*365.25)),Data!#REF!&lt;=(TODAY()-(Data_Val!$J$2*365.25))),0,1),1))</f>
        <v>#REF!</v>
      </c>
      <c r="R968" s="17" t="e">
        <f>IF(Data!#REF!="","",IF(ISNUMBER(MATCH(Data!#REF!,Data_Val!$B$2:$B$15,0)),0,1))</f>
        <v>#REF!</v>
      </c>
      <c r="S968" s="11" t="str">
        <f>IF(Data!G968="","",IF(Data!G968=Data_Val!$C$2,IF(Data!M968="",0,1),0))</f>
        <v/>
      </c>
      <c r="T968" s="11" t="str">
        <f>IF(Data!M968="","",IF(ISNUMBER(MATCH(Data!N968,Data_Val!$A$2:$A$3,0)),0,1))</f>
        <v/>
      </c>
      <c r="U968" s="11" t="str">
        <f ca="1">IF(Data!M968="","",IF(ISNUMBER(Data!O968),IF(AND(Data!O968&gt;(TODAY()-(Data_Val!$K$3*365.25)),Data!O968&lt;=(TODAY()-(Data_Val!$K$2*365.25))),0,1),1))</f>
        <v/>
      </c>
      <c r="V968" s="12" t="str">
        <f>IF(Data!G968="","",IF(Data!G968=Data_Val!$C$2,IF(Data!P968="",0,1),0))</f>
        <v/>
      </c>
      <c r="W968" s="12" t="str">
        <f>IF(Data!P968="","",IF(ISNUMBER(MATCH(Data!Q968,Data_Val!$A$2:$A$3,0)),0,1))</f>
        <v/>
      </c>
      <c r="X968" s="26" t="str">
        <f ca="1">IF(Data!P968="","",IF(ISNUMBER(Data!R968),IF(AND(Data!R968&gt;(TODAY()-(Data_Val!$L$3*365.25)),Data!R968&lt;=(TODAY()-(Data_Val!$L$2*365.25))),0,1),1))</f>
        <v/>
      </c>
      <c r="Y968" s="13" t="str">
        <f>IF(Data!$G968="","",IF(Data!$G968=Data_Val!$C$2,IF(Data!S968="",0,1),0))</f>
        <v/>
      </c>
      <c r="Z968" s="13" t="str">
        <f>IF(Data!S968="","",IF(ISNUMBER(MATCH(Data!T968,Data_Val!$A$2:$A$3,0)),0,1))</f>
        <v/>
      </c>
      <c r="AA968" s="28" t="str">
        <f ca="1">IF(Data!S968="","",IF(ISNUMBER(Data!U968),IF(AND(Data!U968&gt;(TODAY()-(Data_Val!$L$3*365.25)),Data!U968&lt;=(TODAY()-(Data_Val!$L$2*365.25))),0,1),1))</f>
        <v/>
      </c>
      <c r="AB968" s="11"/>
      <c r="AC968" s="11" t="e">
        <f>IF(Data!#REF!="","",IF(ISNUMBER(MATCH(Data!#REF!,Data_Val!$A$2:$A$3,0)),0,1))</f>
        <v>#REF!</v>
      </c>
      <c r="AD968" s="11" t="e">
        <f ca="1">IF(Data!#REF!="","",IF(ISNUMBER(Data!#REF!),IF(AND(Data!#REF!&gt;(TODAY()-(Data_Val!$L$3*365.25)),Data!#REF!&lt;=(TODAY()-(Data_Val!$L$2*365.25))),0,1),1))</f>
        <v>#REF!</v>
      </c>
      <c r="AE968" s="11" t="e">
        <f>IF(Data!#REF!="","",IF(Data!$G968="",1,IF(ISNUMBER(MATCH(Data!#REF!,Data_Val!$D$2:$D$10,0)),0,1)))</f>
        <v>#REF!</v>
      </c>
      <c r="AF968" s="12"/>
      <c r="AG968" s="12" t="e">
        <f>IF(Data!#REF!="","",IF(ISNUMBER(MATCH(Data!#REF!,Data_Val!$A$2:$A$3,0)),0,1))</f>
        <v>#REF!</v>
      </c>
      <c r="AH968" s="26" t="e">
        <f ca="1">IF(Data!#REF!="","",IF(ISNUMBER(Data!#REF!),IF(AND(Data!#REF!&gt;(TODAY()-(Data_Val!$L$3*365.25)),Data!#REF!&lt;=(TODAY()-(Data_Val!$L$2*365.25))),0,1),1))</f>
        <v>#REF!</v>
      </c>
      <c r="AI968" s="12" t="e">
        <f>IF(Data!#REF!="","",IF(Data!$G968="",1,IF(ISNUMBER(MATCH(Data!#REF!,Data_Val!$D$2:$D$10,0)),0,1)))</f>
        <v>#REF!</v>
      </c>
      <c r="AJ968" s="17"/>
      <c r="AK968" s="17" t="e">
        <f>IF(Data!#REF!="","",IF(ISNUMBER(MATCH(Data!#REF!,Data_Val!$A$2:$A$3,0)),0,1))</f>
        <v>#REF!</v>
      </c>
      <c r="AL968" s="25" t="e">
        <f ca="1">IF(Data!#REF!="","",IF(ISNUMBER(Data!#REF!),IF(AND(Data!#REF!&gt;(TODAY()-(Data_Val!$L$3*365.25)),Data!#REF!&lt;=(TODAY()-(Data_Val!$L$2*365.25))),0,1),1))</f>
        <v>#REF!</v>
      </c>
      <c r="AM968" s="17" t="e">
        <f>IF(Data!#REF!="","",IF(Data!$G968="",1,IF(ISNUMBER(MATCH(Data!#REF!,Data_Val!$D$2:$D$10,0)),0,1)))</f>
        <v>#REF!</v>
      </c>
      <c r="AN968" s="13"/>
      <c r="AO968" s="28" t="e">
        <f ca="1">IF(Data!#REF!="","",IF(ISNUMBER(Data!#REF!),IF(AND(Data!#REF!&gt;(TODAY()-(Data_Val!$I$3*365.25)),Data!#REF!&lt;=(TODAY()-(Data_Val!$I$2*365.25))),0,1),1))</f>
        <v>#REF!</v>
      </c>
      <c r="AP968" s="13" t="e">
        <f>IF(Data!#REF!="","",IF(Data!$G968="",1,IF(ISNUMBER(MATCH(Data!#REF!,Data_Val!$D$2:$D$10,0)),0,1)))</f>
        <v>#REF!</v>
      </c>
      <c r="AQ968" s="17"/>
      <c r="AR968" s="30" t="e">
        <f ca="1">IF(Data!#REF!="","",IF(ISNUMBER(Data!#REF!),IF(AND(Data!#REF!&gt;(TODAY()-(Data_Val!$I$3*365.25)),Data!#REF!&lt;=(TODAY()-(Data_Val!$I$2*365.25))),0,1),1))</f>
        <v>#REF!</v>
      </c>
      <c r="AS968" s="31" t="e">
        <f>IF(Data!#REF!="","",IF(Data!$G968="",1,IF(ISNUMBER(MATCH(Data!#REF!,Data_Val!$D$2:$D$10,0)),0,1)))</f>
        <v>#REF!</v>
      </c>
      <c r="AT968" s="11"/>
      <c r="AU968" s="11" t="e">
        <f ca="1">IF(Data!#REF!="","",IF(ISNUMBER(Data!#REF!),IF(AND(Data!#REF!&gt;(TODAY()-(Data_Val!$I$3*365.25)),Data!#REF!&lt;=(TODAY()-(Data_Val!$I$2*365.25))),0,1),1))</f>
        <v>#REF!</v>
      </c>
      <c r="AV968" s="11" t="e">
        <f>IF(Data!#REF!="","",IF(Data!$G968="",1,IF(ISNUMBER(MATCH(Data!#REF!,Data_Val!$D$2:$D$10,0)),0,1)))</f>
        <v>#REF!</v>
      </c>
      <c r="AW968" s="12"/>
      <c r="AX968" s="26" t="e">
        <f ca="1">IF(Data!#REF!="","",IF(ISNUMBER(Data!#REF!),IF(AND(Data!#REF!&gt;(TODAY()-(Data_Val!$I$3*365.25)),Data!#REF!&lt;=(TODAY()-(Data_Val!$I$2*365.25))),0,1),1))</f>
        <v>#REF!</v>
      </c>
      <c r="AY968" s="12" t="e">
        <f>IF(Data!#REF!="","",IF(Data!$G968="",1,IF(ISNUMBER(MATCH(Data!#REF!,Data_Val!$D$2:$D$10,0)),0,1)))</f>
        <v>#REF!</v>
      </c>
      <c r="AZ968" s="11"/>
      <c r="BA968" s="19" t="e">
        <f ca="1">IF(Data!#REF!="","",IF(ISNUMBER(Data!#REF!),IF(AND(Data!#REF!&gt;(TODAY()-(Data_Val!$M$3*365.25)),Data!#REF!&lt;=(TODAY()-(Data_Val!$M$2*365.25))),0,1),1))</f>
        <v>#REF!</v>
      </c>
      <c r="BB968" s="11" t="e">
        <f>IF(Data!#REF!="","",IF(Data!$G968="",1,IF(ISNUMBER(MATCH(Data!#REF!,Data_Val!$D$2:$D$10,0)),0,1)))</f>
        <v>#REF!</v>
      </c>
      <c r="BC968" s="12"/>
      <c r="BD968" s="20" t="e">
        <f ca="1">IF(Data!#REF!="","",IF(ISNUMBER(Data!#REF!),IF(AND(Data!#REF!&gt;(TODAY()-(Data_Val!$M$3*365.25)),Data!#REF!&lt;=(TODAY()-(Data_Val!$M$2*365.25))),0,1),1))</f>
        <v>#REF!</v>
      </c>
      <c r="BE968" s="12" t="e">
        <f>IF(Data!#REF!="","",IF(Data!$G968="",1,IF(ISNUMBER(MATCH(Data!#REF!,Data_Val!$D$2:$D$10,0)),0,1)))</f>
        <v>#REF!</v>
      </c>
      <c r="BF968" s="17"/>
      <c r="BG968" s="18" t="e">
        <f ca="1">IF(Data!#REF!="","",IF(ISNUMBER(Data!#REF!),IF(AND(Data!#REF!&gt;(TODAY()-(Data_Val!$M$3*365.25)),Data!#REF!&lt;=(TODAY()-(Data_Val!$M$2*365.25))),0,1),1))</f>
        <v>#REF!</v>
      </c>
      <c r="BH968" s="29" t="e">
        <f>IF(Data!#REF!="","",IF(Data!$G968="",1,IF(ISNUMBER(MATCH(Data!#REF!,Data_Val!$D$2:$D$10,0)),0,1)))</f>
        <v>#REF!</v>
      </c>
      <c r="BI968" s="13"/>
      <c r="BJ968" s="21" t="e">
        <f ca="1">IF(Data!#REF!="","",IF(ISNUMBER(Data!#REF!),IF(AND(Data!#REF!&gt;(TODAY()-(Data_Val!$M$3*365.25)),Data!#REF!&lt;=(TODAY()-(Data_Val!$M$2*365.25))),0,1),1))</f>
        <v>#REF!</v>
      </c>
      <c r="BK968" s="13" t="e">
        <f>IF(Data!#REF!="","",IF(Data!$G968="",1,IF(ISNUMBER(MATCH(Data!#REF!,Data_Val!$D$2:$D$10,0)),0,1)))</f>
        <v>#REF!</v>
      </c>
    </row>
    <row r="969" spans="1:63" x14ac:dyDescent="0.25">
      <c r="A969" s="9" t="str">
        <f>IF(Data!B969="","",IF(COUNTIFS(Data!A$1:'Data'!A969,Data!A969)&lt;=1,0,1))</f>
        <v/>
      </c>
      <c r="B969" s="9"/>
      <c r="C969" s="23" t="str">
        <f>IF(Data!C969="","",(IF(ISNUMBER(MATCH("*@*.?*",Data!C969,0)),0,1)+IF(COUNTIFS(Data!C$1:'Data'!C969,Data!C969)&gt;1,1,0)))</f>
        <v/>
      </c>
      <c r="D969" s="9" t="str">
        <f>IF(Data!B969="","",IF(ISNUMBER(Data!D969),IF(AND(Data!D969&gt;999999999,Data!D969&lt;=9999999999),IF(COUNTIFS(Data!D$1:'Data'!D969,Data!D969)&lt;=1,0,1),1),1))</f>
        <v/>
      </c>
      <c r="E969" s="9" t="str">
        <f>IF(Data!B969="","",IF(ISNUMBER(MATCH(Data!E969,Data_Val!$A$2:$A$3,0)),0,1))</f>
        <v/>
      </c>
      <c r="F969" s="9" t="str">
        <f ca="1">IF(Data!B969="","",IF(ISNUMBER(Data!F969),IF(AND(Data!F969&gt;(TODAY()-(Data_Val!$H$3*365.25)),Data!F969&lt;=(TODAY()-(Data_Val!$H$2*365.25))),0,1),1))</f>
        <v/>
      </c>
      <c r="G969" s="15" t="str">
        <f>IF(Data!B969="","",IF(AND(Data!G969="",Data!H969&lt;&gt;""),1,IF(Data!#REF!&lt;&gt;"",0,IF(ISNUMBER(MATCH(Data!G969,Data_Val!$C$2:$C$5,0)),0,1))))</f>
        <v/>
      </c>
      <c r="H969" s="15" t="str">
        <f>IF(Data!B969="","",IF(AND(Data!G969&lt;&gt;"",Data!H969=""),1,IF(Data!#REF!&lt;&gt;"",0,IF(Data!G969="",1,IF(ISNUMBER(MATCH(Data!H969,Data_Val!$D$2:$D$35,0)),0,1)))))</f>
        <v/>
      </c>
      <c r="I969" s="15" t="str">
        <f>IF(Data!B969="","",IF(Data!G969&lt;&gt;"",0,IF(ISNUMBER(MATCH(Data!#REF!,Data_Val!$E$2:$E$12,0)),0,1)))</f>
        <v/>
      </c>
      <c r="J969" s="16" t="e">
        <f>IF(OR(Data!B969="",Data!#REF!=""),"",IF(Data!#REF!="",1,0))</f>
        <v>#REF!</v>
      </c>
      <c r="K969" s="16" t="e">
        <f>IF(OR(Data!B969="",Data!#REF!=""),"",IF(Data!#REF!="",1,0))</f>
        <v>#REF!</v>
      </c>
      <c r="L969" s="16" t="e">
        <f>IF(OR(Data!B969="",Data!#REF!=""),"",IF(ISNUMBER(Data!#REF!),IF(AND(Data!#REF!&gt;Data_Val!$G$2,Data!#REF!&lt;=Data_Val!$G$3),0,1),1))</f>
        <v>#REF!</v>
      </c>
      <c r="M969" s="9" t="e">
        <f>IF(OR(Data!B969="",Data!#REF!=""),"",IF(ISNUMBER(MATCH(Data!#REF!,Data_Val!$F$1:$F$38,0)),0,1))</f>
        <v>#REF!</v>
      </c>
      <c r="N969" s="9" t="e">
        <f>IF(OR(Data!B969="",Data!#REF!=""),"",IF(Data!#REF!="",1,0))</f>
        <v>#REF!</v>
      </c>
      <c r="O969" s="17" t="e">
        <f>IF(Data!#REF!="","",IF(Data!#REF!="",1,0))</f>
        <v>#REF!</v>
      </c>
      <c r="P969" s="17" t="e">
        <f>IF(Data!#REF!="","",IF(ISNUMBER(MATCH(Data!#REF!,Data_Val!$A$2:$A$3,0)),0,1))</f>
        <v>#REF!</v>
      </c>
      <c r="Q969" s="25" t="e">
        <f ca="1">IF(Data!#REF!="","",IF(ISNUMBER(Data!#REF!),IF(AND(Data!#REF!&gt;(TODAY()-(Data_Val!$J$3*365.25)),Data!#REF!&lt;=(TODAY()-(Data_Val!$J$2*365.25))),0,1),1))</f>
        <v>#REF!</v>
      </c>
      <c r="R969" s="17" t="e">
        <f>IF(Data!#REF!="","",IF(ISNUMBER(MATCH(Data!#REF!,Data_Val!$B$2:$B$15,0)),0,1))</f>
        <v>#REF!</v>
      </c>
      <c r="S969" s="11" t="str">
        <f>IF(Data!G969="","",IF(Data!G969=Data_Val!$C$2,IF(Data!M969="",0,1),0))</f>
        <v/>
      </c>
      <c r="T969" s="11" t="str">
        <f>IF(Data!M969="","",IF(ISNUMBER(MATCH(Data!N969,Data_Val!$A$2:$A$3,0)),0,1))</f>
        <v/>
      </c>
      <c r="U969" s="11" t="str">
        <f ca="1">IF(Data!M969="","",IF(ISNUMBER(Data!O969),IF(AND(Data!O969&gt;(TODAY()-(Data_Val!$K$3*365.25)),Data!O969&lt;=(TODAY()-(Data_Val!$K$2*365.25))),0,1),1))</f>
        <v/>
      </c>
      <c r="V969" s="12" t="str">
        <f>IF(Data!G969="","",IF(Data!G969=Data_Val!$C$2,IF(Data!P969="",0,1),0))</f>
        <v/>
      </c>
      <c r="W969" s="12" t="str">
        <f>IF(Data!P969="","",IF(ISNUMBER(MATCH(Data!Q969,Data_Val!$A$2:$A$3,0)),0,1))</f>
        <v/>
      </c>
      <c r="X969" s="26" t="str">
        <f ca="1">IF(Data!P969="","",IF(ISNUMBER(Data!R969),IF(AND(Data!R969&gt;(TODAY()-(Data_Val!$L$3*365.25)),Data!R969&lt;=(TODAY()-(Data_Val!$L$2*365.25))),0,1),1))</f>
        <v/>
      </c>
      <c r="Y969" s="13" t="str">
        <f>IF(Data!$G969="","",IF(Data!$G969=Data_Val!$C$2,IF(Data!S969="",0,1),0))</f>
        <v/>
      </c>
      <c r="Z969" s="13" t="str">
        <f>IF(Data!S969="","",IF(ISNUMBER(MATCH(Data!T969,Data_Val!$A$2:$A$3,0)),0,1))</f>
        <v/>
      </c>
      <c r="AA969" s="28" t="str">
        <f ca="1">IF(Data!S969="","",IF(ISNUMBER(Data!U969),IF(AND(Data!U969&gt;(TODAY()-(Data_Val!$L$3*365.25)),Data!U969&lt;=(TODAY()-(Data_Val!$L$2*365.25))),0,1),1))</f>
        <v/>
      </c>
      <c r="AB969" s="11"/>
      <c r="AC969" s="11" t="e">
        <f>IF(Data!#REF!="","",IF(ISNUMBER(MATCH(Data!#REF!,Data_Val!$A$2:$A$3,0)),0,1))</f>
        <v>#REF!</v>
      </c>
      <c r="AD969" s="11" t="e">
        <f ca="1">IF(Data!#REF!="","",IF(ISNUMBER(Data!#REF!),IF(AND(Data!#REF!&gt;(TODAY()-(Data_Val!$L$3*365.25)),Data!#REF!&lt;=(TODAY()-(Data_Val!$L$2*365.25))),0,1),1))</f>
        <v>#REF!</v>
      </c>
      <c r="AE969" s="11" t="e">
        <f>IF(Data!#REF!="","",IF(Data!$G969="",1,IF(ISNUMBER(MATCH(Data!#REF!,Data_Val!$D$2:$D$10,0)),0,1)))</f>
        <v>#REF!</v>
      </c>
      <c r="AF969" s="12"/>
      <c r="AG969" s="12" t="e">
        <f>IF(Data!#REF!="","",IF(ISNUMBER(MATCH(Data!#REF!,Data_Val!$A$2:$A$3,0)),0,1))</f>
        <v>#REF!</v>
      </c>
      <c r="AH969" s="26" t="e">
        <f ca="1">IF(Data!#REF!="","",IF(ISNUMBER(Data!#REF!),IF(AND(Data!#REF!&gt;(TODAY()-(Data_Val!$L$3*365.25)),Data!#REF!&lt;=(TODAY()-(Data_Val!$L$2*365.25))),0,1),1))</f>
        <v>#REF!</v>
      </c>
      <c r="AI969" s="12" t="e">
        <f>IF(Data!#REF!="","",IF(Data!$G969="",1,IF(ISNUMBER(MATCH(Data!#REF!,Data_Val!$D$2:$D$10,0)),0,1)))</f>
        <v>#REF!</v>
      </c>
      <c r="AJ969" s="17"/>
      <c r="AK969" s="17" t="e">
        <f>IF(Data!#REF!="","",IF(ISNUMBER(MATCH(Data!#REF!,Data_Val!$A$2:$A$3,0)),0,1))</f>
        <v>#REF!</v>
      </c>
      <c r="AL969" s="25" t="e">
        <f ca="1">IF(Data!#REF!="","",IF(ISNUMBER(Data!#REF!),IF(AND(Data!#REF!&gt;(TODAY()-(Data_Val!$L$3*365.25)),Data!#REF!&lt;=(TODAY()-(Data_Val!$L$2*365.25))),0,1),1))</f>
        <v>#REF!</v>
      </c>
      <c r="AM969" s="17" t="e">
        <f>IF(Data!#REF!="","",IF(Data!$G969="",1,IF(ISNUMBER(MATCH(Data!#REF!,Data_Val!$D$2:$D$10,0)),0,1)))</f>
        <v>#REF!</v>
      </c>
      <c r="AN969" s="13"/>
      <c r="AO969" s="28" t="e">
        <f ca="1">IF(Data!#REF!="","",IF(ISNUMBER(Data!#REF!),IF(AND(Data!#REF!&gt;(TODAY()-(Data_Val!$I$3*365.25)),Data!#REF!&lt;=(TODAY()-(Data_Val!$I$2*365.25))),0,1),1))</f>
        <v>#REF!</v>
      </c>
      <c r="AP969" s="13" t="e">
        <f>IF(Data!#REF!="","",IF(Data!$G969="",1,IF(ISNUMBER(MATCH(Data!#REF!,Data_Val!$D$2:$D$10,0)),0,1)))</f>
        <v>#REF!</v>
      </c>
      <c r="AQ969" s="17"/>
      <c r="AR969" s="30" t="e">
        <f ca="1">IF(Data!#REF!="","",IF(ISNUMBER(Data!#REF!),IF(AND(Data!#REF!&gt;(TODAY()-(Data_Val!$I$3*365.25)),Data!#REF!&lt;=(TODAY()-(Data_Val!$I$2*365.25))),0,1),1))</f>
        <v>#REF!</v>
      </c>
      <c r="AS969" s="31" t="e">
        <f>IF(Data!#REF!="","",IF(Data!$G969="",1,IF(ISNUMBER(MATCH(Data!#REF!,Data_Val!$D$2:$D$10,0)),0,1)))</f>
        <v>#REF!</v>
      </c>
      <c r="AT969" s="11"/>
      <c r="AU969" s="11" t="e">
        <f ca="1">IF(Data!#REF!="","",IF(ISNUMBER(Data!#REF!),IF(AND(Data!#REF!&gt;(TODAY()-(Data_Val!$I$3*365.25)),Data!#REF!&lt;=(TODAY()-(Data_Val!$I$2*365.25))),0,1),1))</f>
        <v>#REF!</v>
      </c>
      <c r="AV969" s="11" t="e">
        <f>IF(Data!#REF!="","",IF(Data!$G969="",1,IF(ISNUMBER(MATCH(Data!#REF!,Data_Val!$D$2:$D$10,0)),0,1)))</f>
        <v>#REF!</v>
      </c>
      <c r="AW969" s="12"/>
      <c r="AX969" s="26" t="e">
        <f ca="1">IF(Data!#REF!="","",IF(ISNUMBER(Data!#REF!),IF(AND(Data!#REF!&gt;(TODAY()-(Data_Val!$I$3*365.25)),Data!#REF!&lt;=(TODAY()-(Data_Val!$I$2*365.25))),0,1),1))</f>
        <v>#REF!</v>
      </c>
      <c r="AY969" s="12" t="e">
        <f>IF(Data!#REF!="","",IF(Data!$G969="",1,IF(ISNUMBER(MATCH(Data!#REF!,Data_Val!$D$2:$D$10,0)),0,1)))</f>
        <v>#REF!</v>
      </c>
      <c r="AZ969" s="11"/>
      <c r="BA969" s="19" t="e">
        <f ca="1">IF(Data!#REF!="","",IF(ISNUMBER(Data!#REF!),IF(AND(Data!#REF!&gt;(TODAY()-(Data_Val!$M$3*365.25)),Data!#REF!&lt;=(TODAY()-(Data_Val!$M$2*365.25))),0,1),1))</f>
        <v>#REF!</v>
      </c>
      <c r="BB969" s="11" t="e">
        <f>IF(Data!#REF!="","",IF(Data!$G969="",1,IF(ISNUMBER(MATCH(Data!#REF!,Data_Val!$D$2:$D$10,0)),0,1)))</f>
        <v>#REF!</v>
      </c>
      <c r="BC969" s="12"/>
      <c r="BD969" s="20" t="e">
        <f ca="1">IF(Data!#REF!="","",IF(ISNUMBER(Data!#REF!),IF(AND(Data!#REF!&gt;(TODAY()-(Data_Val!$M$3*365.25)),Data!#REF!&lt;=(TODAY()-(Data_Val!$M$2*365.25))),0,1),1))</f>
        <v>#REF!</v>
      </c>
      <c r="BE969" s="12" t="e">
        <f>IF(Data!#REF!="","",IF(Data!$G969="",1,IF(ISNUMBER(MATCH(Data!#REF!,Data_Val!$D$2:$D$10,0)),0,1)))</f>
        <v>#REF!</v>
      </c>
      <c r="BF969" s="17"/>
      <c r="BG969" s="18" t="e">
        <f ca="1">IF(Data!#REF!="","",IF(ISNUMBER(Data!#REF!),IF(AND(Data!#REF!&gt;(TODAY()-(Data_Val!$M$3*365.25)),Data!#REF!&lt;=(TODAY()-(Data_Val!$M$2*365.25))),0,1),1))</f>
        <v>#REF!</v>
      </c>
      <c r="BH969" s="29" t="e">
        <f>IF(Data!#REF!="","",IF(Data!$G969="",1,IF(ISNUMBER(MATCH(Data!#REF!,Data_Val!$D$2:$D$10,0)),0,1)))</f>
        <v>#REF!</v>
      </c>
      <c r="BI969" s="13"/>
      <c r="BJ969" s="21" t="e">
        <f ca="1">IF(Data!#REF!="","",IF(ISNUMBER(Data!#REF!),IF(AND(Data!#REF!&gt;(TODAY()-(Data_Val!$M$3*365.25)),Data!#REF!&lt;=(TODAY()-(Data_Val!$M$2*365.25))),0,1),1))</f>
        <v>#REF!</v>
      </c>
      <c r="BK969" s="13" t="e">
        <f>IF(Data!#REF!="","",IF(Data!$G969="",1,IF(ISNUMBER(MATCH(Data!#REF!,Data_Val!$D$2:$D$10,0)),0,1)))</f>
        <v>#REF!</v>
      </c>
    </row>
    <row r="970" spans="1:63" x14ac:dyDescent="0.25">
      <c r="A970" s="9" t="str">
        <f>IF(Data!B970="","",IF(COUNTIFS(Data!A$1:'Data'!A970,Data!A970)&lt;=1,0,1))</f>
        <v/>
      </c>
      <c r="B970" s="9"/>
      <c r="C970" s="23" t="str">
        <f>IF(Data!C970="","",(IF(ISNUMBER(MATCH("*@*.?*",Data!C970,0)),0,1)+IF(COUNTIFS(Data!C$1:'Data'!C970,Data!C970)&gt;1,1,0)))</f>
        <v/>
      </c>
      <c r="D970" s="9" t="str">
        <f>IF(Data!B970="","",IF(ISNUMBER(Data!D970),IF(AND(Data!D970&gt;999999999,Data!D970&lt;=9999999999),IF(COUNTIFS(Data!D$1:'Data'!D970,Data!D970)&lt;=1,0,1),1),1))</f>
        <v/>
      </c>
      <c r="E970" s="9" t="str">
        <f>IF(Data!B970="","",IF(ISNUMBER(MATCH(Data!E970,Data_Val!$A$2:$A$3,0)),0,1))</f>
        <v/>
      </c>
      <c r="F970" s="9" t="str">
        <f ca="1">IF(Data!B970="","",IF(ISNUMBER(Data!F970),IF(AND(Data!F970&gt;(TODAY()-(Data_Val!$H$3*365.25)),Data!F970&lt;=(TODAY()-(Data_Val!$H$2*365.25))),0,1),1))</f>
        <v/>
      </c>
      <c r="G970" s="15" t="str">
        <f>IF(Data!B970="","",IF(AND(Data!G970="",Data!H970&lt;&gt;""),1,IF(Data!#REF!&lt;&gt;"",0,IF(ISNUMBER(MATCH(Data!G970,Data_Val!$C$2:$C$5,0)),0,1))))</f>
        <v/>
      </c>
      <c r="H970" s="15" t="str">
        <f>IF(Data!B970="","",IF(AND(Data!G970&lt;&gt;"",Data!H970=""),1,IF(Data!#REF!&lt;&gt;"",0,IF(Data!G970="",1,IF(ISNUMBER(MATCH(Data!H970,Data_Val!$D$2:$D$35,0)),0,1)))))</f>
        <v/>
      </c>
      <c r="I970" s="15" t="str">
        <f>IF(Data!B970="","",IF(Data!G970&lt;&gt;"",0,IF(ISNUMBER(MATCH(Data!#REF!,Data_Val!$E$2:$E$12,0)),0,1)))</f>
        <v/>
      </c>
      <c r="J970" s="16" t="e">
        <f>IF(OR(Data!B970="",Data!#REF!=""),"",IF(Data!#REF!="",1,0))</f>
        <v>#REF!</v>
      </c>
      <c r="K970" s="16" t="e">
        <f>IF(OR(Data!B970="",Data!#REF!=""),"",IF(Data!#REF!="",1,0))</f>
        <v>#REF!</v>
      </c>
      <c r="L970" s="16" t="e">
        <f>IF(OR(Data!B970="",Data!#REF!=""),"",IF(ISNUMBER(Data!#REF!),IF(AND(Data!#REF!&gt;Data_Val!$G$2,Data!#REF!&lt;=Data_Val!$G$3),0,1),1))</f>
        <v>#REF!</v>
      </c>
      <c r="M970" s="9" t="e">
        <f>IF(OR(Data!B970="",Data!#REF!=""),"",IF(ISNUMBER(MATCH(Data!#REF!,Data_Val!$F$1:$F$38,0)),0,1))</f>
        <v>#REF!</v>
      </c>
      <c r="N970" s="9" t="e">
        <f>IF(OR(Data!B970="",Data!#REF!=""),"",IF(Data!#REF!="",1,0))</f>
        <v>#REF!</v>
      </c>
      <c r="O970" s="17" t="e">
        <f>IF(Data!#REF!="","",IF(Data!#REF!="",1,0))</f>
        <v>#REF!</v>
      </c>
      <c r="P970" s="17" t="e">
        <f>IF(Data!#REF!="","",IF(ISNUMBER(MATCH(Data!#REF!,Data_Val!$A$2:$A$3,0)),0,1))</f>
        <v>#REF!</v>
      </c>
      <c r="Q970" s="25" t="e">
        <f ca="1">IF(Data!#REF!="","",IF(ISNUMBER(Data!#REF!),IF(AND(Data!#REF!&gt;(TODAY()-(Data_Val!$J$3*365.25)),Data!#REF!&lt;=(TODAY()-(Data_Val!$J$2*365.25))),0,1),1))</f>
        <v>#REF!</v>
      </c>
      <c r="R970" s="17" t="e">
        <f>IF(Data!#REF!="","",IF(ISNUMBER(MATCH(Data!#REF!,Data_Val!$B$2:$B$15,0)),0,1))</f>
        <v>#REF!</v>
      </c>
      <c r="S970" s="11" t="str">
        <f>IF(Data!G970="","",IF(Data!G970=Data_Val!$C$2,IF(Data!M970="",0,1),0))</f>
        <v/>
      </c>
      <c r="T970" s="11" t="str">
        <f>IF(Data!M970="","",IF(ISNUMBER(MATCH(Data!N970,Data_Val!$A$2:$A$3,0)),0,1))</f>
        <v/>
      </c>
      <c r="U970" s="11" t="str">
        <f ca="1">IF(Data!M970="","",IF(ISNUMBER(Data!O970),IF(AND(Data!O970&gt;(TODAY()-(Data_Val!$K$3*365.25)),Data!O970&lt;=(TODAY()-(Data_Val!$K$2*365.25))),0,1),1))</f>
        <v/>
      </c>
      <c r="V970" s="12" t="str">
        <f>IF(Data!G970="","",IF(Data!G970=Data_Val!$C$2,IF(Data!P970="",0,1),0))</f>
        <v/>
      </c>
      <c r="W970" s="12" t="str">
        <f>IF(Data!P970="","",IF(ISNUMBER(MATCH(Data!Q970,Data_Val!$A$2:$A$3,0)),0,1))</f>
        <v/>
      </c>
      <c r="X970" s="26" t="str">
        <f ca="1">IF(Data!P970="","",IF(ISNUMBER(Data!R970),IF(AND(Data!R970&gt;(TODAY()-(Data_Val!$L$3*365.25)),Data!R970&lt;=(TODAY()-(Data_Val!$L$2*365.25))),0,1),1))</f>
        <v/>
      </c>
      <c r="Y970" s="13" t="str">
        <f>IF(Data!$G970="","",IF(Data!$G970=Data_Val!$C$2,IF(Data!S970="",0,1),0))</f>
        <v/>
      </c>
      <c r="Z970" s="13" t="str">
        <f>IF(Data!S970="","",IF(ISNUMBER(MATCH(Data!T970,Data_Val!$A$2:$A$3,0)),0,1))</f>
        <v/>
      </c>
      <c r="AA970" s="28" t="str">
        <f ca="1">IF(Data!S970="","",IF(ISNUMBER(Data!U970),IF(AND(Data!U970&gt;(TODAY()-(Data_Val!$L$3*365.25)),Data!U970&lt;=(TODAY()-(Data_Val!$L$2*365.25))),0,1),1))</f>
        <v/>
      </c>
      <c r="AB970" s="11"/>
      <c r="AC970" s="11" t="e">
        <f>IF(Data!#REF!="","",IF(ISNUMBER(MATCH(Data!#REF!,Data_Val!$A$2:$A$3,0)),0,1))</f>
        <v>#REF!</v>
      </c>
      <c r="AD970" s="11" t="e">
        <f ca="1">IF(Data!#REF!="","",IF(ISNUMBER(Data!#REF!),IF(AND(Data!#REF!&gt;(TODAY()-(Data_Val!$L$3*365.25)),Data!#REF!&lt;=(TODAY()-(Data_Val!$L$2*365.25))),0,1),1))</f>
        <v>#REF!</v>
      </c>
      <c r="AE970" s="11" t="e">
        <f>IF(Data!#REF!="","",IF(Data!$G970="",1,IF(ISNUMBER(MATCH(Data!#REF!,Data_Val!$D$2:$D$10,0)),0,1)))</f>
        <v>#REF!</v>
      </c>
      <c r="AF970" s="12"/>
      <c r="AG970" s="12" t="e">
        <f>IF(Data!#REF!="","",IF(ISNUMBER(MATCH(Data!#REF!,Data_Val!$A$2:$A$3,0)),0,1))</f>
        <v>#REF!</v>
      </c>
      <c r="AH970" s="26" t="e">
        <f ca="1">IF(Data!#REF!="","",IF(ISNUMBER(Data!#REF!),IF(AND(Data!#REF!&gt;(TODAY()-(Data_Val!$L$3*365.25)),Data!#REF!&lt;=(TODAY()-(Data_Val!$L$2*365.25))),0,1),1))</f>
        <v>#REF!</v>
      </c>
      <c r="AI970" s="12" t="e">
        <f>IF(Data!#REF!="","",IF(Data!$G970="",1,IF(ISNUMBER(MATCH(Data!#REF!,Data_Val!$D$2:$D$10,0)),0,1)))</f>
        <v>#REF!</v>
      </c>
      <c r="AJ970" s="17"/>
      <c r="AK970" s="17" t="e">
        <f>IF(Data!#REF!="","",IF(ISNUMBER(MATCH(Data!#REF!,Data_Val!$A$2:$A$3,0)),0,1))</f>
        <v>#REF!</v>
      </c>
      <c r="AL970" s="25" t="e">
        <f ca="1">IF(Data!#REF!="","",IF(ISNUMBER(Data!#REF!),IF(AND(Data!#REF!&gt;(TODAY()-(Data_Val!$L$3*365.25)),Data!#REF!&lt;=(TODAY()-(Data_Val!$L$2*365.25))),0,1),1))</f>
        <v>#REF!</v>
      </c>
      <c r="AM970" s="17" t="e">
        <f>IF(Data!#REF!="","",IF(Data!$G970="",1,IF(ISNUMBER(MATCH(Data!#REF!,Data_Val!$D$2:$D$10,0)),0,1)))</f>
        <v>#REF!</v>
      </c>
      <c r="AN970" s="13"/>
      <c r="AO970" s="28" t="e">
        <f ca="1">IF(Data!#REF!="","",IF(ISNUMBER(Data!#REF!),IF(AND(Data!#REF!&gt;(TODAY()-(Data_Val!$I$3*365.25)),Data!#REF!&lt;=(TODAY()-(Data_Val!$I$2*365.25))),0,1),1))</f>
        <v>#REF!</v>
      </c>
      <c r="AP970" s="13" t="e">
        <f>IF(Data!#REF!="","",IF(Data!$G970="",1,IF(ISNUMBER(MATCH(Data!#REF!,Data_Val!$D$2:$D$10,0)),0,1)))</f>
        <v>#REF!</v>
      </c>
      <c r="AQ970" s="17"/>
      <c r="AR970" s="30" t="e">
        <f ca="1">IF(Data!#REF!="","",IF(ISNUMBER(Data!#REF!),IF(AND(Data!#REF!&gt;(TODAY()-(Data_Val!$I$3*365.25)),Data!#REF!&lt;=(TODAY()-(Data_Val!$I$2*365.25))),0,1),1))</f>
        <v>#REF!</v>
      </c>
      <c r="AS970" s="31" t="e">
        <f>IF(Data!#REF!="","",IF(Data!$G970="",1,IF(ISNUMBER(MATCH(Data!#REF!,Data_Val!$D$2:$D$10,0)),0,1)))</f>
        <v>#REF!</v>
      </c>
      <c r="AT970" s="11"/>
      <c r="AU970" s="11" t="e">
        <f ca="1">IF(Data!#REF!="","",IF(ISNUMBER(Data!#REF!),IF(AND(Data!#REF!&gt;(TODAY()-(Data_Val!$I$3*365.25)),Data!#REF!&lt;=(TODAY()-(Data_Val!$I$2*365.25))),0,1),1))</f>
        <v>#REF!</v>
      </c>
      <c r="AV970" s="11" t="e">
        <f>IF(Data!#REF!="","",IF(Data!$G970="",1,IF(ISNUMBER(MATCH(Data!#REF!,Data_Val!$D$2:$D$10,0)),0,1)))</f>
        <v>#REF!</v>
      </c>
      <c r="AW970" s="12"/>
      <c r="AX970" s="26" t="e">
        <f ca="1">IF(Data!#REF!="","",IF(ISNUMBER(Data!#REF!),IF(AND(Data!#REF!&gt;(TODAY()-(Data_Val!$I$3*365.25)),Data!#REF!&lt;=(TODAY()-(Data_Val!$I$2*365.25))),0,1),1))</f>
        <v>#REF!</v>
      </c>
      <c r="AY970" s="12" t="e">
        <f>IF(Data!#REF!="","",IF(Data!$G970="",1,IF(ISNUMBER(MATCH(Data!#REF!,Data_Val!$D$2:$D$10,0)),0,1)))</f>
        <v>#REF!</v>
      </c>
      <c r="AZ970" s="11"/>
      <c r="BA970" s="19" t="e">
        <f ca="1">IF(Data!#REF!="","",IF(ISNUMBER(Data!#REF!),IF(AND(Data!#REF!&gt;(TODAY()-(Data_Val!$M$3*365.25)),Data!#REF!&lt;=(TODAY()-(Data_Val!$M$2*365.25))),0,1),1))</f>
        <v>#REF!</v>
      </c>
      <c r="BB970" s="11" t="e">
        <f>IF(Data!#REF!="","",IF(Data!$G970="",1,IF(ISNUMBER(MATCH(Data!#REF!,Data_Val!$D$2:$D$10,0)),0,1)))</f>
        <v>#REF!</v>
      </c>
      <c r="BC970" s="12"/>
      <c r="BD970" s="20" t="e">
        <f ca="1">IF(Data!#REF!="","",IF(ISNUMBER(Data!#REF!),IF(AND(Data!#REF!&gt;(TODAY()-(Data_Val!$M$3*365.25)),Data!#REF!&lt;=(TODAY()-(Data_Val!$M$2*365.25))),0,1),1))</f>
        <v>#REF!</v>
      </c>
      <c r="BE970" s="12" t="e">
        <f>IF(Data!#REF!="","",IF(Data!$G970="",1,IF(ISNUMBER(MATCH(Data!#REF!,Data_Val!$D$2:$D$10,0)),0,1)))</f>
        <v>#REF!</v>
      </c>
      <c r="BF970" s="17"/>
      <c r="BG970" s="18" t="e">
        <f ca="1">IF(Data!#REF!="","",IF(ISNUMBER(Data!#REF!),IF(AND(Data!#REF!&gt;(TODAY()-(Data_Val!$M$3*365.25)),Data!#REF!&lt;=(TODAY()-(Data_Val!$M$2*365.25))),0,1),1))</f>
        <v>#REF!</v>
      </c>
      <c r="BH970" s="29" t="e">
        <f>IF(Data!#REF!="","",IF(Data!$G970="",1,IF(ISNUMBER(MATCH(Data!#REF!,Data_Val!$D$2:$D$10,0)),0,1)))</f>
        <v>#REF!</v>
      </c>
      <c r="BI970" s="13"/>
      <c r="BJ970" s="21" t="e">
        <f ca="1">IF(Data!#REF!="","",IF(ISNUMBER(Data!#REF!),IF(AND(Data!#REF!&gt;(TODAY()-(Data_Val!$M$3*365.25)),Data!#REF!&lt;=(TODAY()-(Data_Val!$M$2*365.25))),0,1),1))</f>
        <v>#REF!</v>
      </c>
      <c r="BK970" s="13" t="e">
        <f>IF(Data!#REF!="","",IF(Data!$G970="",1,IF(ISNUMBER(MATCH(Data!#REF!,Data_Val!$D$2:$D$10,0)),0,1)))</f>
        <v>#REF!</v>
      </c>
    </row>
    <row r="971" spans="1:63" x14ac:dyDescent="0.25">
      <c r="A971" s="9" t="str">
        <f>IF(Data!B971="","",IF(COUNTIFS(Data!A$1:'Data'!A971,Data!A971)&lt;=1,0,1))</f>
        <v/>
      </c>
      <c r="B971" s="9"/>
      <c r="C971" s="23" t="str">
        <f>IF(Data!C971="","",(IF(ISNUMBER(MATCH("*@*.?*",Data!C971,0)),0,1)+IF(COUNTIFS(Data!C$1:'Data'!C971,Data!C971)&gt;1,1,0)))</f>
        <v/>
      </c>
      <c r="D971" s="9" t="str">
        <f>IF(Data!B971="","",IF(ISNUMBER(Data!D971),IF(AND(Data!D971&gt;999999999,Data!D971&lt;=9999999999),IF(COUNTIFS(Data!D$1:'Data'!D971,Data!D971)&lt;=1,0,1),1),1))</f>
        <v/>
      </c>
      <c r="E971" s="9" t="str">
        <f>IF(Data!B971="","",IF(ISNUMBER(MATCH(Data!E971,Data_Val!$A$2:$A$3,0)),0,1))</f>
        <v/>
      </c>
      <c r="F971" s="9" t="str">
        <f ca="1">IF(Data!B971="","",IF(ISNUMBER(Data!F971),IF(AND(Data!F971&gt;(TODAY()-(Data_Val!$H$3*365.25)),Data!F971&lt;=(TODAY()-(Data_Val!$H$2*365.25))),0,1),1))</f>
        <v/>
      </c>
      <c r="G971" s="15" t="str">
        <f>IF(Data!B971="","",IF(AND(Data!G971="",Data!H971&lt;&gt;""),1,IF(Data!#REF!&lt;&gt;"",0,IF(ISNUMBER(MATCH(Data!G971,Data_Val!$C$2:$C$5,0)),0,1))))</f>
        <v/>
      </c>
      <c r="H971" s="15" t="str">
        <f>IF(Data!B971="","",IF(AND(Data!G971&lt;&gt;"",Data!H971=""),1,IF(Data!#REF!&lt;&gt;"",0,IF(Data!G971="",1,IF(ISNUMBER(MATCH(Data!H971,Data_Val!$D$2:$D$35,0)),0,1)))))</f>
        <v/>
      </c>
      <c r="I971" s="15" t="str">
        <f>IF(Data!B971="","",IF(Data!G971&lt;&gt;"",0,IF(ISNUMBER(MATCH(Data!#REF!,Data_Val!$E$2:$E$12,0)),0,1)))</f>
        <v/>
      </c>
      <c r="J971" s="16" t="e">
        <f>IF(OR(Data!B971="",Data!#REF!=""),"",IF(Data!#REF!="",1,0))</f>
        <v>#REF!</v>
      </c>
      <c r="K971" s="16" t="e">
        <f>IF(OR(Data!B971="",Data!#REF!=""),"",IF(Data!#REF!="",1,0))</f>
        <v>#REF!</v>
      </c>
      <c r="L971" s="16" t="e">
        <f>IF(OR(Data!B971="",Data!#REF!=""),"",IF(ISNUMBER(Data!#REF!),IF(AND(Data!#REF!&gt;Data_Val!$G$2,Data!#REF!&lt;=Data_Val!$G$3),0,1),1))</f>
        <v>#REF!</v>
      </c>
      <c r="M971" s="9" t="e">
        <f>IF(OR(Data!B971="",Data!#REF!=""),"",IF(ISNUMBER(MATCH(Data!#REF!,Data_Val!$F$1:$F$38,0)),0,1))</f>
        <v>#REF!</v>
      </c>
      <c r="N971" s="9" t="e">
        <f>IF(OR(Data!B971="",Data!#REF!=""),"",IF(Data!#REF!="",1,0))</f>
        <v>#REF!</v>
      </c>
      <c r="O971" s="17" t="e">
        <f>IF(Data!#REF!="","",IF(Data!#REF!="",1,0))</f>
        <v>#REF!</v>
      </c>
      <c r="P971" s="17" t="e">
        <f>IF(Data!#REF!="","",IF(ISNUMBER(MATCH(Data!#REF!,Data_Val!$A$2:$A$3,0)),0,1))</f>
        <v>#REF!</v>
      </c>
      <c r="Q971" s="25" t="e">
        <f ca="1">IF(Data!#REF!="","",IF(ISNUMBER(Data!#REF!),IF(AND(Data!#REF!&gt;(TODAY()-(Data_Val!$J$3*365.25)),Data!#REF!&lt;=(TODAY()-(Data_Val!$J$2*365.25))),0,1),1))</f>
        <v>#REF!</v>
      </c>
      <c r="R971" s="17" t="e">
        <f>IF(Data!#REF!="","",IF(ISNUMBER(MATCH(Data!#REF!,Data_Val!$B$2:$B$15,0)),0,1))</f>
        <v>#REF!</v>
      </c>
      <c r="S971" s="11" t="str">
        <f>IF(Data!G971="","",IF(Data!G971=Data_Val!$C$2,IF(Data!M971="",0,1),0))</f>
        <v/>
      </c>
      <c r="T971" s="11" t="str">
        <f>IF(Data!M971="","",IF(ISNUMBER(MATCH(Data!N971,Data_Val!$A$2:$A$3,0)),0,1))</f>
        <v/>
      </c>
      <c r="U971" s="11" t="str">
        <f ca="1">IF(Data!M971="","",IF(ISNUMBER(Data!O971),IF(AND(Data!O971&gt;(TODAY()-(Data_Val!$K$3*365.25)),Data!O971&lt;=(TODAY()-(Data_Val!$K$2*365.25))),0,1),1))</f>
        <v/>
      </c>
      <c r="V971" s="12" t="str">
        <f>IF(Data!G971="","",IF(Data!G971=Data_Val!$C$2,IF(Data!P971="",0,1),0))</f>
        <v/>
      </c>
      <c r="W971" s="12" t="str">
        <f>IF(Data!P971="","",IF(ISNUMBER(MATCH(Data!Q971,Data_Val!$A$2:$A$3,0)),0,1))</f>
        <v/>
      </c>
      <c r="X971" s="26" t="str">
        <f ca="1">IF(Data!P971="","",IF(ISNUMBER(Data!R971),IF(AND(Data!R971&gt;(TODAY()-(Data_Val!$L$3*365.25)),Data!R971&lt;=(TODAY()-(Data_Val!$L$2*365.25))),0,1),1))</f>
        <v/>
      </c>
      <c r="Y971" s="13" t="str">
        <f>IF(Data!$G971="","",IF(Data!$G971=Data_Val!$C$2,IF(Data!S971="",0,1),0))</f>
        <v/>
      </c>
      <c r="Z971" s="13" t="str">
        <f>IF(Data!S971="","",IF(ISNUMBER(MATCH(Data!T971,Data_Val!$A$2:$A$3,0)),0,1))</f>
        <v/>
      </c>
      <c r="AA971" s="28" t="str">
        <f ca="1">IF(Data!S971="","",IF(ISNUMBER(Data!U971),IF(AND(Data!U971&gt;(TODAY()-(Data_Val!$L$3*365.25)),Data!U971&lt;=(TODAY()-(Data_Val!$L$2*365.25))),0,1),1))</f>
        <v/>
      </c>
      <c r="AB971" s="11"/>
      <c r="AC971" s="11" t="e">
        <f>IF(Data!#REF!="","",IF(ISNUMBER(MATCH(Data!#REF!,Data_Val!$A$2:$A$3,0)),0,1))</f>
        <v>#REF!</v>
      </c>
      <c r="AD971" s="11" t="e">
        <f ca="1">IF(Data!#REF!="","",IF(ISNUMBER(Data!#REF!),IF(AND(Data!#REF!&gt;(TODAY()-(Data_Val!$L$3*365.25)),Data!#REF!&lt;=(TODAY()-(Data_Val!$L$2*365.25))),0,1),1))</f>
        <v>#REF!</v>
      </c>
      <c r="AE971" s="11" t="e">
        <f>IF(Data!#REF!="","",IF(Data!$G971="",1,IF(ISNUMBER(MATCH(Data!#REF!,Data_Val!$D$2:$D$10,0)),0,1)))</f>
        <v>#REF!</v>
      </c>
      <c r="AF971" s="12"/>
      <c r="AG971" s="12" t="e">
        <f>IF(Data!#REF!="","",IF(ISNUMBER(MATCH(Data!#REF!,Data_Val!$A$2:$A$3,0)),0,1))</f>
        <v>#REF!</v>
      </c>
      <c r="AH971" s="26" t="e">
        <f ca="1">IF(Data!#REF!="","",IF(ISNUMBER(Data!#REF!),IF(AND(Data!#REF!&gt;(TODAY()-(Data_Val!$L$3*365.25)),Data!#REF!&lt;=(TODAY()-(Data_Val!$L$2*365.25))),0,1),1))</f>
        <v>#REF!</v>
      </c>
      <c r="AI971" s="12" t="e">
        <f>IF(Data!#REF!="","",IF(Data!$G971="",1,IF(ISNUMBER(MATCH(Data!#REF!,Data_Val!$D$2:$D$10,0)),0,1)))</f>
        <v>#REF!</v>
      </c>
      <c r="AJ971" s="17"/>
      <c r="AK971" s="17" t="e">
        <f>IF(Data!#REF!="","",IF(ISNUMBER(MATCH(Data!#REF!,Data_Val!$A$2:$A$3,0)),0,1))</f>
        <v>#REF!</v>
      </c>
      <c r="AL971" s="25" t="e">
        <f ca="1">IF(Data!#REF!="","",IF(ISNUMBER(Data!#REF!),IF(AND(Data!#REF!&gt;(TODAY()-(Data_Val!$L$3*365.25)),Data!#REF!&lt;=(TODAY()-(Data_Val!$L$2*365.25))),0,1),1))</f>
        <v>#REF!</v>
      </c>
      <c r="AM971" s="17" t="e">
        <f>IF(Data!#REF!="","",IF(Data!$G971="",1,IF(ISNUMBER(MATCH(Data!#REF!,Data_Val!$D$2:$D$10,0)),0,1)))</f>
        <v>#REF!</v>
      </c>
      <c r="AN971" s="13"/>
      <c r="AO971" s="28" t="e">
        <f ca="1">IF(Data!#REF!="","",IF(ISNUMBER(Data!#REF!),IF(AND(Data!#REF!&gt;(TODAY()-(Data_Val!$I$3*365.25)),Data!#REF!&lt;=(TODAY()-(Data_Val!$I$2*365.25))),0,1),1))</f>
        <v>#REF!</v>
      </c>
      <c r="AP971" s="13" t="e">
        <f>IF(Data!#REF!="","",IF(Data!$G971="",1,IF(ISNUMBER(MATCH(Data!#REF!,Data_Val!$D$2:$D$10,0)),0,1)))</f>
        <v>#REF!</v>
      </c>
      <c r="AQ971" s="17"/>
      <c r="AR971" s="30" t="e">
        <f ca="1">IF(Data!#REF!="","",IF(ISNUMBER(Data!#REF!),IF(AND(Data!#REF!&gt;(TODAY()-(Data_Val!$I$3*365.25)),Data!#REF!&lt;=(TODAY()-(Data_Val!$I$2*365.25))),0,1),1))</f>
        <v>#REF!</v>
      </c>
      <c r="AS971" s="31" t="e">
        <f>IF(Data!#REF!="","",IF(Data!$G971="",1,IF(ISNUMBER(MATCH(Data!#REF!,Data_Val!$D$2:$D$10,0)),0,1)))</f>
        <v>#REF!</v>
      </c>
      <c r="AT971" s="11"/>
      <c r="AU971" s="11" t="e">
        <f ca="1">IF(Data!#REF!="","",IF(ISNUMBER(Data!#REF!),IF(AND(Data!#REF!&gt;(TODAY()-(Data_Val!$I$3*365.25)),Data!#REF!&lt;=(TODAY()-(Data_Val!$I$2*365.25))),0,1),1))</f>
        <v>#REF!</v>
      </c>
      <c r="AV971" s="11" t="e">
        <f>IF(Data!#REF!="","",IF(Data!$G971="",1,IF(ISNUMBER(MATCH(Data!#REF!,Data_Val!$D$2:$D$10,0)),0,1)))</f>
        <v>#REF!</v>
      </c>
      <c r="AW971" s="12"/>
      <c r="AX971" s="26" t="e">
        <f ca="1">IF(Data!#REF!="","",IF(ISNUMBER(Data!#REF!),IF(AND(Data!#REF!&gt;(TODAY()-(Data_Val!$I$3*365.25)),Data!#REF!&lt;=(TODAY()-(Data_Val!$I$2*365.25))),0,1),1))</f>
        <v>#REF!</v>
      </c>
      <c r="AY971" s="12" t="e">
        <f>IF(Data!#REF!="","",IF(Data!$G971="",1,IF(ISNUMBER(MATCH(Data!#REF!,Data_Val!$D$2:$D$10,0)),0,1)))</f>
        <v>#REF!</v>
      </c>
      <c r="AZ971" s="11"/>
      <c r="BA971" s="19" t="e">
        <f ca="1">IF(Data!#REF!="","",IF(ISNUMBER(Data!#REF!),IF(AND(Data!#REF!&gt;(TODAY()-(Data_Val!$M$3*365.25)),Data!#REF!&lt;=(TODAY()-(Data_Val!$M$2*365.25))),0,1),1))</f>
        <v>#REF!</v>
      </c>
      <c r="BB971" s="11" t="e">
        <f>IF(Data!#REF!="","",IF(Data!$G971="",1,IF(ISNUMBER(MATCH(Data!#REF!,Data_Val!$D$2:$D$10,0)),0,1)))</f>
        <v>#REF!</v>
      </c>
      <c r="BC971" s="12"/>
      <c r="BD971" s="20" t="e">
        <f ca="1">IF(Data!#REF!="","",IF(ISNUMBER(Data!#REF!),IF(AND(Data!#REF!&gt;(TODAY()-(Data_Val!$M$3*365.25)),Data!#REF!&lt;=(TODAY()-(Data_Val!$M$2*365.25))),0,1),1))</f>
        <v>#REF!</v>
      </c>
      <c r="BE971" s="12" t="e">
        <f>IF(Data!#REF!="","",IF(Data!$G971="",1,IF(ISNUMBER(MATCH(Data!#REF!,Data_Val!$D$2:$D$10,0)),0,1)))</f>
        <v>#REF!</v>
      </c>
      <c r="BF971" s="17"/>
      <c r="BG971" s="18" t="e">
        <f ca="1">IF(Data!#REF!="","",IF(ISNUMBER(Data!#REF!),IF(AND(Data!#REF!&gt;(TODAY()-(Data_Val!$M$3*365.25)),Data!#REF!&lt;=(TODAY()-(Data_Val!$M$2*365.25))),0,1),1))</f>
        <v>#REF!</v>
      </c>
      <c r="BH971" s="29" t="e">
        <f>IF(Data!#REF!="","",IF(Data!$G971="",1,IF(ISNUMBER(MATCH(Data!#REF!,Data_Val!$D$2:$D$10,0)),0,1)))</f>
        <v>#REF!</v>
      </c>
      <c r="BI971" s="13"/>
      <c r="BJ971" s="21" t="e">
        <f ca="1">IF(Data!#REF!="","",IF(ISNUMBER(Data!#REF!),IF(AND(Data!#REF!&gt;(TODAY()-(Data_Val!$M$3*365.25)),Data!#REF!&lt;=(TODAY()-(Data_Val!$M$2*365.25))),0,1),1))</f>
        <v>#REF!</v>
      </c>
      <c r="BK971" s="13" t="e">
        <f>IF(Data!#REF!="","",IF(Data!$G971="",1,IF(ISNUMBER(MATCH(Data!#REF!,Data_Val!$D$2:$D$10,0)),0,1)))</f>
        <v>#REF!</v>
      </c>
    </row>
    <row r="972" spans="1:63" x14ac:dyDescent="0.25">
      <c r="A972" s="9" t="str">
        <f>IF(Data!B972="","",IF(COUNTIFS(Data!A$1:'Data'!A972,Data!A972)&lt;=1,0,1))</f>
        <v/>
      </c>
      <c r="B972" s="9"/>
      <c r="C972" s="23" t="str">
        <f>IF(Data!C972="","",(IF(ISNUMBER(MATCH("*@*.?*",Data!C972,0)),0,1)+IF(COUNTIFS(Data!C$1:'Data'!C972,Data!C972)&gt;1,1,0)))</f>
        <v/>
      </c>
      <c r="D972" s="9" t="str">
        <f>IF(Data!B972="","",IF(ISNUMBER(Data!D972),IF(AND(Data!D972&gt;999999999,Data!D972&lt;=9999999999),IF(COUNTIFS(Data!D$1:'Data'!D972,Data!D972)&lt;=1,0,1),1),1))</f>
        <v/>
      </c>
      <c r="E972" s="9" t="str">
        <f>IF(Data!B972="","",IF(ISNUMBER(MATCH(Data!E972,Data_Val!$A$2:$A$3,0)),0,1))</f>
        <v/>
      </c>
      <c r="F972" s="9" t="str">
        <f ca="1">IF(Data!B972="","",IF(ISNUMBER(Data!F972),IF(AND(Data!F972&gt;(TODAY()-(Data_Val!$H$3*365.25)),Data!F972&lt;=(TODAY()-(Data_Val!$H$2*365.25))),0,1),1))</f>
        <v/>
      </c>
      <c r="G972" s="15" t="str">
        <f>IF(Data!B972="","",IF(AND(Data!G972="",Data!H972&lt;&gt;""),1,IF(Data!#REF!&lt;&gt;"",0,IF(ISNUMBER(MATCH(Data!G972,Data_Val!$C$2:$C$5,0)),0,1))))</f>
        <v/>
      </c>
      <c r="H972" s="15" t="str">
        <f>IF(Data!B972="","",IF(AND(Data!G972&lt;&gt;"",Data!H972=""),1,IF(Data!#REF!&lt;&gt;"",0,IF(Data!G972="",1,IF(ISNUMBER(MATCH(Data!H972,Data_Val!$D$2:$D$35,0)),0,1)))))</f>
        <v/>
      </c>
      <c r="I972" s="15" t="str">
        <f>IF(Data!B972="","",IF(Data!G972&lt;&gt;"",0,IF(ISNUMBER(MATCH(Data!#REF!,Data_Val!$E$2:$E$12,0)),0,1)))</f>
        <v/>
      </c>
      <c r="J972" s="16" t="e">
        <f>IF(OR(Data!B972="",Data!#REF!=""),"",IF(Data!#REF!="",1,0))</f>
        <v>#REF!</v>
      </c>
      <c r="K972" s="16" t="e">
        <f>IF(OR(Data!B972="",Data!#REF!=""),"",IF(Data!#REF!="",1,0))</f>
        <v>#REF!</v>
      </c>
      <c r="L972" s="16" t="e">
        <f>IF(OR(Data!B972="",Data!#REF!=""),"",IF(ISNUMBER(Data!#REF!),IF(AND(Data!#REF!&gt;Data_Val!$G$2,Data!#REF!&lt;=Data_Val!$G$3),0,1),1))</f>
        <v>#REF!</v>
      </c>
      <c r="M972" s="9" t="e">
        <f>IF(OR(Data!B972="",Data!#REF!=""),"",IF(ISNUMBER(MATCH(Data!#REF!,Data_Val!$F$1:$F$38,0)),0,1))</f>
        <v>#REF!</v>
      </c>
      <c r="N972" s="9" t="e">
        <f>IF(OR(Data!B972="",Data!#REF!=""),"",IF(Data!#REF!="",1,0))</f>
        <v>#REF!</v>
      </c>
      <c r="O972" s="17" t="e">
        <f>IF(Data!#REF!="","",IF(Data!#REF!="",1,0))</f>
        <v>#REF!</v>
      </c>
      <c r="P972" s="17" t="e">
        <f>IF(Data!#REF!="","",IF(ISNUMBER(MATCH(Data!#REF!,Data_Val!$A$2:$A$3,0)),0,1))</f>
        <v>#REF!</v>
      </c>
      <c r="Q972" s="25" t="e">
        <f ca="1">IF(Data!#REF!="","",IF(ISNUMBER(Data!#REF!),IF(AND(Data!#REF!&gt;(TODAY()-(Data_Val!$J$3*365.25)),Data!#REF!&lt;=(TODAY()-(Data_Val!$J$2*365.25))),0,1),1))</f>
        <v>#REF!</v>
      </c>
      <c r="R972" s="17" t="e">
        <f>IF(Data!#REF!="","",IF(ISNUMBER(MATCH(Data!#REF!,Data_Val!$B$2:$B$15,0)),0,1))</f>
        <v>#REF!</v>
      </c>
      <c r="S972" s="11" t="str">
        <f>IF(Data!G972="","",IF(Data!G972=Data_Val!$C$2,IF(Data!M972="",0,1),0))</f>
        <v/>
      </c>
      <c r="T972" s="11" t="str">
        <f>IF(Data!M972="","",IF(ISNUMBER(MATCH(Data!N972,Data_Val!$A$2:$A$3,0)),0,1))</f>
        <v/>
      </c>
      <c r="U972" s="11" t="str">
        <f ca="1">IF(Data!M972="","",IF(ISNUMBER(Data!O972),IF(AND(Data!O972&gt;(TODAY()-(Data_Val!$K$3*365.25)),Data!O972&lt;=(TODAY()-(Data_Val!$K$2*365.25))),0,1),1))</f>
        <v/>
      </c>
      <c r="V972" s="12" t="str">
        <f>IF(Data!G972="","",IF(Data!G972=Data_Val!$C$2,IF(Data!P972="",0,1),0))</f>
        <v/>
      </c>
      <c r="W972" s="12" t="str">
        <f>IF(Data!P972="","",IF(ISNUMBER(MATCH(Data!Q972,Data_Val!$A$2:$A$3,0)),0,1))</f>
        <v/>
      </c>
      <c r="X972" s="26" t="str">
        <f ca="1">IF(Data!P972="","",IF(ISNUMBER(Data!R972),IF(AND(Data!R972&gt;(TODAY()-(Data_Val!$L$3*365.25)),Data!R972&lt;=(TODAY()-(Data_Val!$L$2*365.25))),0,1),1))</f>
        <v/>
      </c>
      <c r="Y972" s="13" t="str">
        <f>IF(Data!$G972="","",IF(Data!$G972=Data_Val!$C$2,IF(Data!S972="",0,1),0))</f>
        <v/>
      </c>
      <c r="Z972" s="13" t="str">
        <f>IF(Data!S972="","",IF(ISNUMBER(MATCH(Data!T972,Data_Val!$A$2:$A$3,0)),0,1))</f>
        <v/>
      </c>
      <c r="AA972" s="28" t="str">
        <f ca="1">IF(Data!S972="","",IF(ISNUMBER(Data!U972),IF(AND(Data!U972&gt;(TODAY()-(Data_Val!$L$3*365.25)),Data!U972&lt;=(TODAY()-(Data_Val!$L$2*365.25))),0,1),1))</f>
        <v/>
      </c>
      <c r="AB972" s="11"/>
      <c r="AC972" s="11" t="e">
        <f>IF(Data!#REF!="","",IF(ISNUMBER(MATCH(Data!#REF!,Data_Val!$A$2:$A$3,0)),0,1))</f>
        <v>#REF!</v>
      </c>
      <c r="AD972" s="11" t="e">
        <f ca="1">IF(Data!#REF!="","",IF(ISNUMBER(Data!#REF!),IF(AND(Data!#REF!&gt;(TODAY()-(Data_Val!$L$3*365.25)),Data!#REF!&lt;=(TODAY()-(Data_Val!$L$2*365.25))),0,1),1))</f>
        <v>#REF!</v>
      </c>
      <c r="AE972" s="11" t="e">
        <f>IF(Data!#REF!="","",IF(Data!$G972="",1,IF(ISNUMBER(MATCH(Data!#REF!,Data_Val!$D$2:$D$10,0)),0,1)))</f>
        <v>#REF!</v>
      </c>
      <c r="AF972" s="12"/>
      <c r="AG972" s="12" t="e">
        <f>IF(Data!#REF!="","",IF(ISNUMBER(MATCH(Data!#REF!,Data_Val!$A$2:$A$3,0)),0,1))</f>
        <v>#REF!</v>
      </c>
      <c r="AH972" s="26" t="e">
        <f ca="1">IF(Data!#REF!="","",IF(ISNUMBER(Data!#REF!),IF(AND(Data!#REF!&gt;(TODAY()-(Data_Val!$L$3*365.25)),Data!#REF!&lt;=(TODAY()-(Data_Val!$L$2*365.25))),0,1),1))</f>
        <v>#REF!</v>
      </c>
      <c r="AI972" s="12" t="e">
        <f>IF(Data!#REF!="","",IF(Data!$G972="",1,IF(ISNUMBER(MATCH(Data!#REF!,Data_Val!$D$2:$D$10,0)),0,1)))</f>
        <v>#REF!</v>
      </c>
      <c r="AJ972" s="17"/>
      <c r="AK972" s="17" t="e">
        <f>IF(Data!#REF!="","",IF(ISNUMBER(MATCH(Data!#REF!,Data_Val!$A$2:$A$3,0)),0,1))</f>
        <v>#REF!</v>
      </c>
      <c r="AL972" s="25" t="e">
        <f ca="1">IF(Data!#REF!="","",IF(ISNUMBER(Data!#REF!),IF(AND(Data!#REF!&gt;(TODAY()-(Data_Val!$L$3*365.25)),Data!#REF!&lt;=(TODAY()-(Data_Val!$L$2*365.25))),0,1),1))</f>
        <v>#REF!</v>
      </c>
      <c r="AM972" s="17" t="e">
        <f>IF(Data!#REF!="","",IF(Data!$G972="",1,IF(ISNUMBER(MATCH(Data!#REF!,Data_Val!$D$2:$D$10,0)),0,1)))</f>
        <v>#REF!</v>
      </c>
      <c r="AN972" s="13"/>
      <c r="AO972" s="28" t="e">
        <f ca="1">IF(Data!#REF!="","",IF(ISNUMBER(Data!#REF!),IF(AND(Data!#REF!&gt;(TODAY()-(Data_Val!$I$3*365.25)),Data!#REF!&lt;=(TODAY()-(Data_Val!$I$2*365.25))),0,1),1))</f>
        <v>#REF!</v>
      </c>
      <c r="AP972" s="13" t="e">
        <f>IF(Data!#REF!="","",IF(Data!$G972="",1,IF(ISNUMBER(MATCH(Data!#REF!,Data_Val!$D$2:$D$10,0)),0,1)))</f>
        <v>#REF!</v>
      </c>
      <c r="AQ972" s="17"/>
      <c r="AR972" s="30" t="e">
        <f ca="1">IF(Data!#REF!="","",IF(ISNUMBER(Data!#REF!),IF(AND(Data!#REF!&gt;(TODAY()-(Data_Val!$I$3*365.25)),Data!#REF!&lt;=(TODAY()-(Data_Val!$I$2*365.25))),0,1),1))</f>
        <v>#REF!</v>
      </c>
      <c r="AS972" s="31" t="e">
        <f>IF(Data!#REF!="","",IF(Data!$G972="",1,IF(ISNUMBER(MATCH(Data!#REF!,Data_Val!$D$2:$D$10,0)),0,1)))</f>
        <v>#REF!</v>
      </c>
      <c r="AT972" s="11"/>
      <c r="AU972" s="11" t="e">
        <f ca="1">IF(Data!#REF!="","",IF(ISNUMBER(Data!#REF!),IF(AND(Data!#REF!&gt;(TODAY()-(Data_Val!$I$3*365.25)),Data!#REF!&lt;=(TODAY()-(Data_Val!$I$2*365.25))),0,1),1))</f>
        <v>#REF!</v>
      </c>
      <c r="AV972" s="11" t="e">
        <f>IF(Data!#REF!="","",IF(Data!$G972="",1,IF(ISNUMBER(MATCH(Data!#REF!,Data_Val!$D$2:$D$10,0)),0,1)))</f>
        <v>#REF!</v>
      </c>
      <c r="AW972" s="12"/>
      <c r="AX972" s="26" t="e">
        <f ca="1">IF(Data!#REF!="","",IF(ISNUMBER(Data!#REF!),IF(AND(Data!#REF!&gt;(TODAY()-(Data_Val!$I$3*365.25)),Data!#REF!&lt;=(TODAY()-(Data_Val!$I$2*365.25))),0,1),1))</f>
        <v>#REF!</v>
      </c>
      <c r="AY972" s="12" t="e">
        <f>IF(Data!#REF!="","",IF(Data!$G972="",1,IF(ISNUMBER(MATCH(Data!#REF!,Data_Val!$D$2:$D$10,0)),0,1)))</f>
        <v>#REF!</v>
      </c>
      <c r="AZ972" s="11"/>
      <c r="BA972" s="19" t="e">
        <f ca="1">IF(Data!#REF!="","",IF(ISNUMBER(Data!#REF!),IF(AND(Data!#REF!&gt;(TODAY()-(Data_Val!$M$3*365.25)),Data!#REF!&lt;=(TODAY()-(Data_Val!$M$2*365.25))),0,1),1))</f>
        <v>#REF!</v>
      </c>
      <c r="BB972" s="11" t="e">
        <f>IF(Data!#REF!="","",IF(Data!$G972="",1,IF(ISNUMBER(MATCH(Data!#REF!,Data_Val!$D$2:$D$10,0)),0,1)))</f>
        <v>#REF!</v>
      </c>
      <c r="BC972" s="12"/>
      <c r="BD972" s="20" t="e">
        <f ca="1">IF(Data!#REF!="","",IF(ISNUMBER(Data!#REF!),IF(AND(Data!#REF!&gt;(TODAY()-(Data_Val!$M$3*365.25)),Data!#REF!&lt;=(TODAY()-(Data_Val!$M$2*365.25))),0,1),1))</f>
        <v>#REF!</v>
      </c>
      <c r="BE972" s="12" t="e">
        <f>IF(Data!#REF!="","",IF(Data!$G972="",1,IF(ISNUMBER(MATCH(Data!#REF!,Data_Val!$D$2:$D$10,0)),0,1)))</f>
        <v>#REF!</v>
      </c>
      <c r="BF972" s="17"/>
      <c r="BG972" s="18" t="e">
        <f ca="1">IF(Data!#REF!="","",IF(ISNUMBER(Data!#REF!),IF(AND(Data!#REF!&gt;(TODAY()-(Data_Val!$M$3*365.25)),Data!#REF!&lt;=(TODAY()-(Data_Val!$M$2*365.25))),0,1),1))</f>
        <v>#REF!</v>
      </c>
      <c r="BH972" s="29" t="e">
        <f>IF(Data!#REF!="","",IF(Data!$G972="",1,IF(ISNUMBER(MATCH(Data!#REF!,Data_Val!$D$2:$D$10,0)),0,1)))</f>
        <v>#REF!</v>
      </c>
      <c r="BI972" s="13"/>
      <c r="BJ972" s="21" t="e">
        <f ca="1">IF(Data!#REF!="","",IF(ISNUMBER(Data!#REF!),IF(AND(Data!#REF!&gt;(TODAY()-(Data_Val!$M$3*365.25)),Data!#REF!&lt;=(TODAY()-(Data_Val!$M$2*365.25))),0,1),1))</f>
        <v>#REF!</v>
      </c>
      <c r="BK972" s="13" t="e">
        <f>IF(Data!#REF!="","",IF(Data!$G972="",1,IF(ISNUMBER(MATCH(Data!#REF!,Data_Val!$D$2:$D$10,0)),0,1)))</f>
        <v>#REF!</v>
      </c>
    </row>
    <row r="973" spans="1:63" x14ac:dyDescent="0.25">
      <c r="A973" s="9" t="str">
        <f>IF(Data!B973="","",IF(COUNTIFS(Data!A$1:'Data'!A973,Data!A973)&lt;=1,0,1))</f>
        <v/>
      </c>
      <c r="B973" s="9"/>
      <c r="C973" s="23" t="str">
        <f>IF(Data!C973="","",(IF(ISNUMBER(MATCH("*@*.?*",Data!C973,0)),0,1)+IF(COUNTIFS(Data!C$1:'Data'!C973,Data!C973)&gt;1,1,0)))</f>
        <v/>
      </c>
      <c r="D973" s="9" t="str">
        <f>IF(Data!B973="","",IF(ISNUMBER(Data!D973),IF(AND(Data!D973&gt;999999999,Data!D973&lt;=9999999999),IF(COUNTIFS(Data!D$1:'Data'!D973,Data!D973)&lt;=1,0,1),1),1))</f>
        <v/>
      </c>
      <c r="E973" s="9" t="str">
        <f>IF(Data!B973="","",IF(ISNUMBER(MATCH(Data!E973,Data_Val!$A$2:$A$3,0)),0,1))</f>
        <v/>
      </c>
      <c r="F973" s="9" t="str">
        <f ca="1">IF(Data!B973="","",IF(ISNUMBER(Data!F973),IF(AND(Data!F973&gt;(TODAY()-(Data_Val!$H$3*365.25)),Data!F973&lt;=(TODAY()-(Data_Val!$H$2*365.25))),0,1),1))</f>
        <v/>
      </c>
      <c r="G973" s="15" t="str">
        <f>IF(Data!B973="","",IF(AND(Data!G973="",Data!H973&lt;&gt;""),1,IF(Data!#REF!&lt;&gt;"",0,IF(ISNUMBER(MATCH(Data!G973,Data_Val!$C$2:$C$5,0)),0,1))))</f>
        <v/>
      </c>
      <c r="H973" s="15" t="str">
        <f>IF(Data!B973="","",IF(AND(Data!G973&lt;&gt;"",Data!H973=""),1,IF(Data!#REF!&lt;&gt;"",0,IF(Data!G973="",1,IF(ISNUMBER(MATCH(Data!H973,Data_Val!$D$2:$D$35,0)),0,1)))))</f>
        <v/>
      </c>
      <c r="I973" s="15" t="str">
        <f>IF(Data!B973="","",IF(Data!G973&lt;&gt;"",0,IF(ISNUMBER(MATCH(Data!#REF!,Data_Val!$E$2:$E$12,0)),0,1)))</f>
        <v/>
      </c>
      <c r="J973" s="16" t="e">
        <f>IF(OR(Data!B973="",Data!#REF!=""),"",IF(Data!#REF!="",1,0))</f>
        <v>#REF!</v>
      </c>
      <c r="K973" s="16" t="e">
        <f>IF(OR(Data!B973="",Data!#REF!=""),"",IF(Data!#REF!="",1,0))</f>
        <v>#REF!</v>
      </c>
      <c r="L973" s="16" t="e">
        <f>IF(OR(Data!B973="",Data!#REF!=""),"",IF(ISNUMBER(Data!#REF!),IF(AND(Data!#REF!&gt;Data_Val!$G$2,Data!#REF!&lt;=Data_Val!$G$3),0,1),1))</f>
        <v>#REF!</v>
      </c>
      <c r="M973" s="9" t="e">
        <f>IF(OR(Data!B973="",Data!#REF!=""),"",IF(ISNUMBER(MATCH(Data!#REF!,Data_Val!$F$1:$F$38,0)),0,1))</f>
        <v>#REF!</v>
      </c>
      <c r="N973" s="9" t="e">
        <f>IF(OR(Data!B973="",Data!#REF!=""),"",IF(Data!#REF!="",1,0))</f>
        <v>#REF!</v>
      </c>
      <c r="O973" s="17" t="e">
        <f>IF(Data!#REF!="","",IF(Data!#REF!="",1,0))</f>
        <v>#REF!</v>
      </c>
      <c r="P973" s="17" t="e">
        <f>IF(Data!#REF!="","",IF(ISNUMBER(MATCH(Data!#REF!,Data_Val!$A$2:$A$3,0)),0,1))</f>
        <v>#REF!</v>
      </c>
      <c r="Q973" s="25" t="e">
        <f ca="1">IF(Data!#REF!="","",IF(ISNUMBER(Data!#REF!),IF(AND(Data!#REF!&gt;(TODAY()-(Data_Val!$J$3*365.25)),Data!#REF!&lt;=(TODAY()-(Data_Val!$J$2*365.25))),0,1),1))</f>
        <v>#REF!</v>
      </c>
      <c r="R973" s="17" t="e">
        <f>IF(Data!#REF!="","",IF(ISNUMBER(MATCH(Data!#REF!,Data_Val!$B$2:$B$15,0)),0,1))</f>
        <v>#REF!</v>
      </c>
      <c r="S973" s="11" t="str">
        <f>IF(Data!G973="","",IF(Data!G973=Data_Val!$C$2,IF(Data!M973="",0,1),0))</f>
        <v/>
      </c>
      <c r="T973" s="11" t="str">
        <f>IF(Data!M973="","",IF(ISNUMBER(MATCH(Data!N973,Data_Val!$A$2:$A$3,0)),0,1))</f>
        <v/>
      </c>
      <c r="U973" s="11" t="str">
        <f ca="1">IF(Data!M973="","",IF(ISNUMBER(Data!O973),IF(AND(Data!O973&gt;(TODAY()-(Data_Val!$K$3*365.25)),Data!O973&lt;=(TODAY()-(Data_Val!$K$2*365.25))),0,1),1))</f>
        <v/>
      </c>
      <c r="V973" s="12" t="str">
        <f>IF(Data!G973="","",IF(Data!G973=Data_Val!$C$2,IF(Data!P973="",0,1),0))</f>
        <v/>
      </c>
      <c r="W973" s="12" t="str">
        <f>IF(Data!P973="","",IF(ISNUMBER(MATCH(Data!Q973,Data_Val!$A$2:$A$3,0)),0,1))</f>
        <v/>
      </c>
      <c r="X973" s="26" t="str">
        <f ca="1">IF(Data!P973="","",IF(ISNUMBER(Data!R973),IF(AND(Data!R973&gt;(TODAY()-(Data_Val!$L$3*365.25)),Data!R973&lt;=(TODAY()-(Data_Val!$L$2*365.25))),0,1),1))</f>
        <v/>
      </c>
      <c r="Y973" s="13" t="str">
        <f>IF(Data!$G973="","",IF(Data!$G973=Data_Val!$C$2,IF(Data!S973="",0,1),0))</f>
        <v/>
      </c>
      <c r="Z973" s="13" t="str">
        <f>IF(Data!S973="","",IF(ISNUMBER(MATCH(Data!T973,Data_Val!$A$2:$A$3,0)),0,1))</f>
        <v/>
      </c>
      <c r="AA973" s="28" t="str">
        <f ca="1">IF(Data!S973="","",IF(ISNUMBER(Data!U973),IF(AND(Data!U973&gt;(TODAY()-(Data_Val!$L$3*365.25)),Data!U973&lt;=(TODAY()-(Data_Val!$L$2*365.25))),0,1),1))</f>
        <v/>
      </c>
      <c r="AB973" s="11"/>
      <c r="AC973" s="11" t="e">
        <f>IF(Data!#REF!="","",IF(ISNUMBER(MATCH(Data!#REF!,Data_Val!$A$2:$A$3,0)),0,1))</f>
        <v>#REF!</v>
      </c>
      <c r="AD973" s="11" t="e">
        <f ca="1">IF(Data!#REF!="","",IF(ISNUMBER(Data!#REF!),IF(AND(Data!#REF!&gt;(TODAY()-(Data_Val!$L$3*365.25)),Data!#REF!&lt;=(TODAY()-(Data_Val!$L$2*365.25))),0,1),1))</f>
        <v>#REF!</v>
      </c>
      <c r="AE973" s="11" t="e">
        <f>IF(Data!#REF!="","",IF(Data!$G973="",1,IF(ISNUMBER(MATCH(Data!#REF!,Data_Val!$D$2:$D$10,0)),0,1)))</f>
        <v>#REF!</v>
      </c>
      <c r="AF973" s="12"/>
      <c r="AG973" s="12" t="e">
        <f>IF(Data!#REF!="","",IF(ISNUMBER(MATCH(Data!#REF!,Data_Val!$A$2:$A$3,0)),0,1))</f>
        <v>#REF!</v>
      </c>
      <c r="AH973" s="26" t="e">
        <f ca="1">IF(Data!#REF!="","",IF(ISNUMBER(Data!#REF!),IF(AND(Data!#REF!&gt;(TODAY()-(Data_Val!$L$3*365.25)),Data!#REF!&lt;=(TODAY()-(Data_Val!$L$2*365.25))),0,1),1))</f>
        <v>#REF!</v>
      </c>
      <c r="AI973" s="12" t="e">
        <f>IF(Data!#REF!="","",IF(Data!$G973="",1,IF(ISNUMBER(MATCH(Data!#REF!,Data_Val!$D$2:$D$10,0)),0,1)))</f>
        <v>#REF!</v>
      </c>
      <c r="AJ973" s="17"/>
      <c r="AK973" s="17" t="e">
        <f>IF(Data!#REF!="","",IF(ISNUMBER(MATCH(Data!#REF!,Data_Val!$A$2:$A$3,0)),0,1))</f>
        <v>#REF!</v>
      </c>
      <c r="AL973" s="25" t="e">
        <f ca="1">IF(Data!#REF!="","",IF(ISNUMBER(Data!#REF!),IF(AND(Data!#REF!&gt;(TODAY()-(Data_Val!$L$3*365.25)),Data!#REF!&lt;=(TODAY()-(Data_Val!$L$2*365.25))),0,1),1))</f>
        <v>#REF!</v>
      </c>
      <c r="AM973" s="17" t="e">
        <f>IF(Data!#REF!="","",IF(Data!$G973="",1,IF(ISNUMBER(MATCH(Data!#REF!,Data_Val!$D$2:$D$10,0)),0,1)))</f>
        <v>#REF!</v>
      </c>
      <c r="AN973" s="13"/>
      <c r="AO973" s="28" t="e">
        <f ca="1">IF(Data!#REF!="","",IF(ISNUMBER(Data!#REF!),IF(AND(Data!#REF!&gt;(TODAY()-(Data_Val!$I$3*365.25)),Data!#REF!&lt;=(TODAY()-(Data_Val!$I$2*365.25))),0,1),1))</f>
        <v>#REF!</v>
      </c>
      <c r="AP973" s="13" t="e">
        <f>IF(Data!#REF!="","",IF(Data!$G973="",1,IF(ISNUMBER(MATCH(Data!#REF!,Data_Val!$D$2:$D$10,0)),0,1)))</f>
        <v>#REF!</v>
      </c>
      <c r="AQ973" s="17"/>
      <c r="AR973" s="30" t="e">
        <f ca="1">IF(Data!#REF!="","",IF(ISNUMBER(Data!#REF!),IF(AND(Data!#REF!&gt;(TODAY()-(Data_Val!$I$3*365.25)),Data!#REF!&lt;=(TODAY()-(Data_Val!$I$2*365.25))),0,1),1))</f>
        <v>#REF!</v>
      </c>
      <c r="AS973" s="31" t="e">
        <f>IF(Data!#REF!="","",IF(Data!$G973="",1,IF(ISNUMBER(MATCH(Data!#REF!,Data_Val!$D$2:$D$10,0)),0,1)))</f>
        <v>#REF!</v>
      </c>
      <c r="AT973" s="11"/>
      <c r="AU973" s="11" t="e">
        <f ca="1">IF(Data!#REF!="","",IF(ISNUMBER(Data!#REF!),IF(AND(Data!#REF!&gt;(TODAY()-(Data_Val!$I$3*365.25)),Data!#REF!&lt;=(TODAY()-(Data_Val!$I$2*365.25))),0,1),1))</f>
        <v>#REF!</v>
      </c>
      <c r="AV973" s="11" t="e">
        <f>IF(Data!#REF!="","",IF(Data!$G973="",1,IF(ISNUMBER(MATCH(Data!#REF!,Data_Val!$D$2:$D$10,0)),0,1)))</f>
        <v>#REF!</v>
      </c>
      <c r="AW973" s="12"/>
      <c r="AX973" s="26" t="e">
        <f ca="1">IF(Data!#REF!="","",IF(ISNUMBER(Data!#REF!),IF(AND(Data!#REF!&gt;(TODAY()-(Data_Val!$I$3*365.25)),Data!#REF!&lt;=(TODAY()-(Data_Val!$I$2*365.25))),0,1),1))</f>
        <v>#REF!</v>
      </c>
      <c r="AY973" s="12" t="e">
        <f>IF(Data!#REF!="","",IF(Data!$G973="",1,IF(ISNUMBER(MATCH(Data!#REF!,Data_Val!$D$2:$D$10,0)),0,1)))</f>
        <v>#REF!</v>
      </c>
      <c r="AZ973" s="11"/>
      <c r="BA973" s="19" t="e">
        <f ca="1">IF(Data!#REF!="","",IF(ISNUMBER(Data!#REF!),IF(AND(Data!#REF!&gt;(TODAY()-(Data_Val!$M$3*365.25)),Data!#REF!&lt;=(TODAY()-(Data_Val!$M$2*365.25))),0,1),1))</f>
        <v>#REF!</v>
      </c>
      <c r="BB973" s="11" t="e">
        <f>IF(Data!#REF!="","",IF(Data!$G973="",1,IF(ISNUMBER(MATCH(Data!#REF!,Data_Val!$D$2:$D$10,0)),0,1)))</f>
        <v>#REF!</v>
      </c>
      <c r="BC973" s="12"/>
      <c r="BD973" s="20" t="e">
        <f ca="1">IF(Data!#REF!="","",IF(ISNUMBER(Data!#REF!),IF(AND(Data!#REF!&gt;(TODAY()-(Data_Val!$M$3*365.25)),Data!#REF!&lt;=(TODAY()-(Data_Val!$M$2*365.25))),0,1),1))</f>
        <v>#REF!</v>
      </c>
      <c r="BE973" s="12" t="e">
        <f>IF(Data!#REF!="","",IF(Data!$G973="",1,IF(ISNUMBER(MATCH(Data!#REF!,Data_Val!$D$2:$D$10,0)),0,1)))</f>
        <v>#REF!</v>
      </c>
      <c r="BF973" s="17"/>
      <c r="BG973" s="18" t="e">
        <f ca="1">IF(Data!#REF!="","",IF(ISNUMBER(Data!#REF!),IF(AND(Data!#REF!&gt;(TODAY()-(Data_Val!$M$3*365.25)),Data!#REF!&lt;=(TODAY()-(Data_Val!$M$2*365.25))),0,1),1))</f>
        <v>#REF!</v>
      </c>
      <c r="BH973" s="29" t="e">
        <f>IF(Data!#REF!="","",IF(Data!$G973="",1,IF(ISNUMBER(MATCH(Data!#REF!,Data_Val!$D$2:$D$10,0)),0,1)))</f>
        <v>#REF!</v>
      </c>
      <c r="BI973" s="13"/>
      <c r="BJ973" s="21" t="e">
        <f ca="1">IF(Data!#REF!="","",IF(ISNUMBER(Data!#REF!),IF(AND(Data!#REF!&gt;(TODAY()-(Data_Val!$M$3*365.25)),Data!#REF!&lt;=(TODAY()-(Data_Val!$M$2*365.25))),0,1),1))</f>
        <v>#REF!</v>
      </c>
      <c r="BK973" s="13" t="e">
        <f>IF(Data!#REF!="","",IF(Data!$G973="",1,IF(ISNUMBER(MATCH(Data!#REF!,Data_Val!$D$2:$D$10,0)),0,1)))</f>
        <v>#REF!</v>
      </c>
    </row>
    <row r="974" spans="1:63" x14ac:dyDescent="0.25">
      <c r="A974" s="9" t="str">
        <f>IF(Data!B974="","",IF(COUNTIFS(Data!A$1:'Data'!A974,Data!A974)&lt;=1,0,1))</f>
        <v/>
      </c>
      <c r="B974" s="9"/>
      <c r="C974" s="23" t="str">
        <f>IF(Data!C974="","",(IF(ISNUMBER(MATCH("*@*.?*",Data!C974,0)),0,1)+IF(COUNTIFS(Data!C$1:'Data'!C974,Data!C974)&gt;1,1,0)))</f>
        <v/>
      </c>
      <c r="D974" s="9" t="str">
        <f>IF(Data!B974="","",IF(ISNUMBER(Data!D974),IF(AND(Data!D974&gt;999999999,Data!D974&lt;=9999999999),IF(COUNTIFS(Data!D$1:'Data'!D974,Data!D974)&lt;=1,0,1),1),1))</f>
        <v/>
      </c>
      <c r="E974" s="9" t="str">
        <f>IF(Data!B974="","",IF(ISNUMBER(MATCH(Data!E974,Data_Val!$A$2:$A$3,0)),0,1))</f>
        <v/>
      </c>
      <c r="F974" s="9" t="str">
        <f ca="1">IF(Data!B974="","",IF(ISNUMBER(Data!F974),IF(AND(Data!F974&gt;(TODAY()-(Data_Val!$H$3*365.25)),Data!F974&lt;=(TODAY()-(Data_Val!$H$2*365.25))),0,1),1))</f>
        <v/>
      </c>
      <c r="G974" s="15" t="str">
        <f>IF(Data!B974="","",IF(AND(Data!G974="",Data!H974&lt;&gt;""),1,IF(Data!#REF!&lt;&gt;"",0,IF(ISNUMBER(MATCH(Data!G974,Data_Val!$C$2:$C$5,0)),0,1))))</f>
        <v/>
      </c>
      <c r="H974" s="15" t="str">
        <f>IF(Data!B974="","",IF(AND(Data!G974&lt;&gt;"",Data!H974=""),1,IF(Data!#REF!&lt;&gt;"",0,IF(Data!G974="",1,IF(ISNUMBER(MATCH(Data!H974,Data_Val!$D$2:$D$35,0)),0,1)))))</f>
        <v/>
      </c>
      <c r="I974" s="15" t="str">
        <f>IF(Data!B974="","",IF(Data!G974&lt;&gt;"",0,IF(ISNUMBER(MATCH(Data!#REF!,Data_Val!$E$2:$E$12,0)),0,1)))</f>
        <v/>
      </c>
      <c r="J974" s="16" t="e">
        <f>IF(OR(Data!B974="",Data!#REF!=""),"",IF(Data!#REF!="",1,0))</f>
        <v>#REF!</v>
      </c>
      <c r="K974" s="16" t="e">
        <f>IF(OR(Data!B974="",Data!#REF!=""),"",IF(Data!#REF!="",1,0))</f>
        <v>#REF!</v>
      </c>
      <c r="L974" s="16" t="e">
        <f>IF(OR(Data!B974="",Data!#REF!=""),"",IF(ISNUMBER(Data!#REF!),IF(AND(Data!#REF!&gt;Data_Val!$G$2,Data!#REF!&lt;=Data_Val!$G$3),0,1),1))</f>
        <v>#REF!</v>
      </c>
      <c r="M974" s="9" t="e">
        <f>IF(OR(Data!B974="",Data!#REF!=""),"",IF(ISNUMBER(MATCH(Data!#REF!,Data_Val!$F$1:$F$38,0)),0,1))</f>
        <v>#REF!</v>
      </c>
      <c r="N974" s="9" t="e">
        <f>IF(OR(Data!B974="",Data!#REF!=""),"",IF(Data!#REF!="",1,0))</f>
        <v>#REF!</v>
      </c>
      <c r="O974" s="17" t="e">
        <f>IF(Data!#REF!="","",IF(Data!#REF!="",1,0))</f>
        <v>#REF!</v>
      </c>
      <c r="P974" s="17" t="e">
        <f>IF(Data!#REF!="","",IF(ISNUMBER(MATCH(Data!#REF!,Data_Val!$A$2:$A$3,0)),0,1))</f>
        <v>#REF!</v>
      </c>
      <c r="Q974" s="25" t="e">
        <f ca="1">IF(Data!#REF!="","",IF(ISNUMBER(Data!#REF!),IF(AND(Data!#REF!&gt;(TODAY()-(Data_Val!$J$3*365.25)),Data!#REF!&lt;=(TODAY()-(Data_Val!$J$2*365.25))),0,1),1))</f>
        <v>#REF!</v>
      </c>
      <c r="R974" s="17" t="e">
        <f>IF(Data!#REF!="","",IF(ISNUMBER(MATCH(Data!#REF!,Data_Val!$B$2:$B$15,0)),0,1))</f>
        <v>#REF!</v>
      </c>
      <c r="S974" s="11" t="str">
        <f>IF(Data!G974="","",IF(Data!G974=Data_Val!$C$2,IF(Data!M974="",0,1),0))</f>
        <v/>
      </c>
      <c r="T974" s="11" t="str">
        <f>IF(Data!M974="","",IF(ISNUMBER(MATCH(Data!N974,Data_Val!$A$2:$A$3,0)),0,1))</f>
        <v/>
      </c>
      <c r="U974" s="11" t="str">
        <f ca="1">IF(Data!M974="","",IF(ISNUMBER(Data!O974),IF(AND(Data!O974&gt;(TODAY()-(Data_Val!$K$3*365.25)),Data!O974&lt;=(TODAY()-(Data_Val!$K$2*365.25))),0,1),1))</f>
        <v/>
      </c>
      <c r="V974" s="12" t="str">
        <f>IF(Data!G974="","",IF(Data!G974=Data_Val!$C$2,IF(Data!P974="",0,1),0))</f>
        <v/>
      </c>
      <c r="W974" s="12" t="str">
        <f>IF(Data!P974="","",IF(ISNUMBER(MATCH(Data!Q974,Data_Val!$A$2:$A$3,0)),0,1))</f>
        <v/>
      </c>
      <c r="X974" s="26" t="str">
        <f ca="1">IF(Data!P974="","",IF(ISNUMBER(Data!R974),IF(AND(Data!R974&gt;(TODAY()-(Data_Val!$L$3*365.25)),Data!R974&lt;=(TODAY()-(Data_Val!$L$2*365.25))),0,1),1))</f>
        <v/>
      </c>
      <c r="Y974" s="13" t="str">
        <f>IF(Data!$G974="","",IF(Data!$G974=Data_Val!$C$2,IF(Data!S974="",0,1),0))</f>
        <v/>
      </c>
      <c r="Z974" s="13" t="str">
        <f>IF(Data!S974="","",IF(ISNUMBER(MATCH(Data!T974,Data_Val!$A$2:$A$3,0)),0,1))</f>
        <v/>
      </c>
      <c r="AA974" s="28" t="str">
        <f ca="1">IF(Data!S974="","",IF(ISNUMBER(Data!U974),IF(AND(Data!U974&gt;(TODAY()-(Data_Val!$L$3*365.25)),Data!U974&lt;=(TODAY()-(Data_Val!$L$2*365.25))),0,1),1))</f>
        <v/>
      </c>
      <c r="AB974" s="11"/>
      <c r="AC974" s="11" t="e">
        <f>IF(Data!#REF!="","",IF(ISNUMBER(MATCH(Data!#REF!,Data_Val!$A$2:$A$3,0)),0,1))</f>
        <v>#REF!</v>
      </c>
      <c r="AD974" s="11" t="e">
        <f ca="1">IF(Data!#REF!="","",IF(ISNUMBER(Data!#REF!),IF(AND(Data!#REF!&gt;(TODAY()-(Data_Val!$L$3*365.25)),Data!#REF!&lt;=(TODAY()-(Data_Val!$L$2*365.25))),0,1),1))</f>
        <v>#REF!</v>
      </c>
      <c r="AE974" s="11" t="e">
        <f>IF(Data!#REF!="","",IF(Data!$G974="",1,IF(ISNUMBER(MATCH(Data!#REF!,Data_Val!$D$2:$D$10,0)),0,1)))</f>
        <v>#REF!</v>
      </c>
      <c r="AF974" s="12"/>
      <c r="AG974" s="12" t="e">
        <f>IF(Data!#REF!="","",IF(ISNUMBER(MATCH(Data!#REF!,Data_Val!$A$2:$A$3,0)),0,1))</f>
        <v>#REF!</v>
      </c>
      <c r="AH974" s="26" t="e">
        <f ca="1">IF(Data!#REF!="","",IF(ISNUMBER(Data!#REF!),IF(AND(Data!#REF!&gt;(TODAY()-(Data_Val!$L$3*365.25)),Data!#REF!&lt;=(TODAY()-(Data_Val!$L$2*365.25))),0,1),1))</f>
        <v>#REF!</v>
      </c>
      <c r="AI974" s="12" t="e">
        <f>IF(Data!#REF!="","",IF(Data!$G974="",1,IF(ISNUMBER(MATCH(Data!#REF!,Data_Val!$D$2:$D$10,0)),0,1)))</f>
        <v>#REF!</v>
      </c>
      <c r="AJ974" s="17"/>
      <c r="AK974" s="17" t="e">
        <f>IF(Data!#REF!="","",IF(ISNUMBER(MATCH(Data!#REF!,Data_Val!$A$2:$A$3,0)),0,1))</f>
        <v>#REF!</v>
      </c>
      <c r="AL974" s="25" t="e">
        <f ca="1">IF(Data!#REF!="","",IF(ISNUMBER(Data!#REF!),IF(AND(Data!#REF!&gt;(TODAY()-(Data_Val!$L$3*365.25)),Data!#REF!&lt;=(TODAY()-(Data_Val!$L$2*365.25))),0,1),1))</f>
        <v>#REF!</v>
      </c>
      <c r="AM974" s="17" t="e">
        <f>IF(Data!#REF!="","",IF(Data!$G974="",1,IF(ISNUMBER(MATCH(Data!#REF!,Data_Val!$D$2:$D$10,0)),0,1)))</f>
        <v>#REF!</v>
      </c>
      <c r="AN974" s="13"/>
      <c r="AO974" s="28" t="e">
        <f ca="1">IF(Data!#REF!="","",IF(ISNUMBER(Data!#REF!),IF(AND(Data!#REF!&gt;(TODAY()-(Data_Val!$I$3*365.25)),Data!#REF!&lt;=(TODAY()-(Data_Val!$I$2*365.25))),0,1),1))</f>
        <v>#REF!</v>
      </c>
      <c r="AP974" s="13" t="e">
        <f>IF(Data!#REF!="","",IF(Data!$G974="",1,IF(ISNUMBER(MATCH(Data!#REF!,Data_Val!$D$2:$D$10,0)),0,1)))</f>
        <v>#REF!</v>
      </c>
      <c r="AQ974" s="17"/>
      <c r="AR974" s="30" t="e">
        <f ca="1">IF(Data!#REF!="","",IF(ISNUMBER(Data!#REF!),IF(AND(Data!#REF!&gt;(TODAY()-(Data_Val!$I$3*365.25)),Data!#REF!&lt;=(TODAY()-(Data_Val!$I$2*365.25))),0,1),1))</f>
        <v>#REF!</v>
      </c>
      <c r="AS974" s="31" t="e">
        <f>IF(Data!#REF!="","",IF(Data!$G974="",1,IF(ISNUMBER(MATCH(Data!#REF!,Data_Val!$D$2:$D$10,0)),0,1)))</f>
        <v>#REF!</v>
      </c>
      <c r="AT974" s="11"/>
      <c r="AU974" s="11" t="e">
        <f ca="1">IF(Data!#REF!="","",IF(ISNUMBER(Data!#REF!),IF(AND(Data!#REF!&gt;(TODAY()-(Data_Val!$I$3*365.25)),Data!#REF!&lt;=(TODAY()-(Data_Val!$I$2*365.25))),0,1),1))</f>
        <v>#REF!</v>
      </c>
      <c r="AV974" s="11" t="e">
        <f>IF(Data!#REF!="","",IF(Data!$G974="",1,IF(ISNUMBER(MATCH(Data!#REF!,Data_Val!$D$2:$D$10,0)),0,1)))</f>
        <v>#REF!</v>
      </c>
      <c r="AW974" s="12"/>
      <c r="AX974" s="26" t="e">
        <f ca="1">IF(Data!#REF!="","",IF(ISNUMBER(Data!#REF!),IF(AND(Data!#REF!&gt;(TODAY()-(Data_Val!$I$3*365.25)),Data!#REF!&lt;=(TODAY()-(Data_Val!$I$2*365.25))),0,1),1))</f>
        <v>#REF!</v>
      </c>
      <c r="AY974" s="12" t="e">
        <f>IF(Data!#REF!="","",IF(Data!$G974="",1,IF(ISNUMBER(MATCH(Data!#REF!,Data_Val!$D$2:$D$10,0)),0,1)))</f>
        <v>#REF!</v>
      </c>
      <c r="AZ974" s="11"/>
      <c r="BA974" s="19" t="e">
        <f ca="1">IF(Data!#REF!="","",IF(ISNUMBER(Data!#REF!),IF(AND(Data!#REF!&gt;(TODAY()-(Data_Val!$M$3*365.25)),Data!#REF!&lt;=(TODAY()-(Data_Val!$M$2*365.25))),0,1),1))</f>
        <v>#REF!</v>
      </c>
      <c r="BB974" s="11" t="e">
        <f>IF(Data!#REF!="","",IF(Data!$G974="",1,IF(ISNUMBER(MATCH(Data!#REF!,Data_Val!$D$2:$D$10,0)),0,1)))</f>
        <v>#REF!</v>
      </c>
      <c r="BC974" s="12"/>
      <c r="BD974" s="20" t="e">
        <f ca="1">IF(Data!#REF!="","",IF(ISNUMBER(Data!#REF!),IF(AND(Data!#REF!&gt;(TODAY()-(Data_Val!$M$3*365.25)),Data!#REF!&lt;=(TODAY()-(Data_Val!$M$2*365.25))),0,1),1))</f>
        <v>#REF!</v>
      </c>
      <c r="BE974" s="12" t="e">
        <f>IF(Data!#REF!="","",IF(Data!$G974="",1,IF(ISNUMBER(MATCH(Data!#REF!,Data_Val!$D$2:$D$10,0)),0,1)))</f>
        <v>#REF!</v>
      </c>
      <c r="BF974" s="17"/>
      <c r="BG974" s="18" t="e">
        <f ca="1">IF(Data!#REF!="","",IF(ISNUMBER(Data!#REF!),IF(AND(Data!#REF!&gt;(TODAY()-(Data_Val!$M$3*365.25)),Data!#REF!&lt;=(TODAY()-(Data_Val!$M$2*365.25))),0,1),1))</f>
        <v>#REF!</v>
      </c>
      <c r="BH974" s="29" t="e">
        <f>IF(Data!#REF!="","",IF(Data!$G974="",1,IF(ISNUMBER(MATCH(Data!#REF!,Data_Val!$D$2:$D$10,0)),0,1)))</f>
        <v>#REF!</v>
      </c>
      <c r="BI974" s="13"/>
      <c r="BJ974" s="21" t="e">
        <f ca="1">IF(Data!#REF!="","",IF(ISNUMBER(Data!#REF!),IF(AND(Data!#REF!&gt;(TODAY()-(Data_Val!$M$3*365.25)),Data!#REF!&lt;=(TODAY()-(Data_Val!$M$2*365.25))),0,1),1))</f>
        <v>#REF!</v>
      </c>
      <c r="BK974" s="13" t="e">
        <f>IF(Data!#REF!="","",IF(Data!$G974="",1,IF(ISNUMBER(MATCH(Data!#REF!,Data_Val!$D$2:$D$10,0)),0,1)))</f>
        <v>#REF!</v>
      </c>
    </row>
    <row r="975" spans="1:63" x14ac:dyDescent="0.25">
      <c r="A975" s="9" t="str">
        <f>IF(Data!B975="","",IF(COUNTIFS(Data!A$1:'Data'!A975,Data!A975)&lt;=1,0,1))</f>
        <v/>
      </c>
      <c r="B975" s="9"/>
      <c r="C975" s="23" t="str">
        <f>IF(Data!C975="","",(IF(ISNUMBER(MATCH("*@*.?*",Data!C975,0)),0,1)+IF(COUNTIFS(Data!C$1:'Data'!C975,Data!C975)&gt;1,1,0)))</f>
        <v/>
      </c>
      <c r="D975" s="9" t="str">
        <f>IF(Data!B975="","",IF(ISNUMBER(Data!D975),IF(AND(Data!D975&gt;999999999,Data!D975&lt;=9999999999),IF(COUNTIFS(Data!D$1:'Data'!D975,Data!D975)&lt;=1,0,1),1),1))</f>
        <v/>
      </c>
      <c r="E975" s="9" t="str">
        <f>IF(Data!B975="","",IF(ISNUMBER(MATCH(Data!E975,Data_Val!$A$2:$A$3,0)),0,1))</f>
        <v/>
      </c>
      <c r="F975" s="9" t="str">
        <f ca="1">IF(Data!B975="","",IF(ISNUMBER(Data!F975),IF(AND(Data!F975&gt;(TODAY()-(Data_Val!$H$3*365.25)),Data!F975&lt;=(TODAY()-(Data_Val!$H$2*365.25))),0,1),1))</f>
        <v/>
      </c>
      <c r="G975" s="15" t="str">
        <f>IF(Data!B975="","",IF(AND(Data!G975="",Data!H975&lt;&gt;""),1,IF(Data!#REF!&lt;&gt;"",0,IF(ISNUMBER(MATCH(Data!G975,Data_Val!$C$2:$C$5,0)),0,1))))</f>
        <v/>
      </c>
      <c r="H975" s="15" t="str">
        <f>IF(Data!B975="","",IF(AND(Data!G975&lt;&gt;"",Data!H975=""),1,IF(Data!#REF!&lt;&gt;"",0,IF(Data!G975="",1,IF(ISNUMBER(MATCH(Data!H975,Data_Val!$D$2:$D$35,0)),0,1)))))</f>
        <v/>
      </c>
      <c r="I975" s="15" t="str">
        <f>IF(Data!B975="","",IF(Data!G975&lt;&gt;"",0,IF(ISNUMBER(MATCH(Data!#REF!,Data_Val!$E$2:$E$12,0)),0,1)))</f>
        <v/>
      </c>
      <c r="J975" s="16" t="e">
        <f>IF(OR(Data!B975="",Data!#REF!=""),"",IF(Data!#REF!="",1,0))</f>
        <v>#REF!</v>
      </c>
      <c r="K975" s="16" t="e">
        <f>IF(OR(Data!B975="",Data!#REF!=""),"",IF(Data!#REF!="",1,0))</f>
        <v>#REF!</v>
      </c>
      <c r="L975" s="16" t="e">
        <f>IF(OR(Data!B975="",Data!#REF!=""),"",IF(ISNUMBER(Data!#REF!),IF(AND(Data!#REF!&gt;Data_Val!$G$2,Data!#REF!&lt;=Data_Val!$G$3),0,1),1))</f>
        <v>#REF!</v>
      </c>
      <c r="M975" s="9" t="e">
        <f>IF(OR(Data!B975="",Data!#REF!=""),"",IF(ISNUMBER(MATCH(Data!#REF!,Data_Val!$F$1:$F$38,0)),0,1))</f>
        <v>#REF!</v>
      </c>
      <c r="N975" s="9" t="e">
        <f>IF(OR(Data!B975="",Data!#REF!=""),"",IF(Data!#REF!="",1,0))</f>
        <v>#REF!</v>
      </c>
      <c r="O975" s="17" t="e">
        <f>IF(Data!#REF!="","",IF(Data!#REF!="",1,0))</f>
        <v>#REF!</v>
      </c>
      <c r="P975" s="17" t="e">
        <f>IF(Data!#REF!="","",IF(ISNUMBER(MATCH(Data!#REF!,Data_Val!$A$2:$A$3,0)),0,1))</f>
        <v>#REF!</v>
      </c>
      <c r="Q975" s="25" t="e">
        <f ca="1">IF(Data!#REF!="","",IF(ISNUMBER(Data!#REF!),IF(AND(Data!#REF!&gt;(TODAY()-(Data_Val!$J$3*365.25)),Data!#REF!&lt;=(TODAY()-(Data_Val!$J$2*365.25))),0,1),1))</f>
        <v>#REF!</v>
      </c>
      <c r="R975" s="17" t="e">
        <f>IF(Data!#REF!="","",IF(ISNUMBER(MATCH(Data!#REF!,Data_Val!$B$2:$B$15,0)),0,1))</f>
        <v>#REF!</v>
      </c>
      <c r="S975" s="11" t="str">
        <f>IF(Data!G975="","",IF(Data!G975=Data_Val!$C$2,IF(Data!M975="",0,1),0))</f>
        <v/>
      </c>
      <c r="T975" s="11" t="str">
        <f>IF(Data!M975="","",IF(ISNUMBER(MATCH(Data!N975,Data_Val!$A$2:$A$3,0)),0,1))</f>
        <v/>
      </c>
      <c r="U975" s="11" t="str">
        <f ca="1">IF(Data!M975="","",IF(ISNUMBER(Data!O975),IF(AND(Data!O975&gt;(TODAY()-(Data_Val!$K$3*365.25)),Data!O975&lt;=(TODAY()-(Data_Val!$K$2*365.25))),0,1),1))</f>
        <v/>
      </c>
      <c r="V975" s="12" t="str">
        <f>IF(Data!G975="","",IF(Data!G975=Data_Val!$C$2,IF(Data!P975="",0,1),0))</f>
        <v/>
      </c>
      <c r="W975" s="12" t="str">
        <f>IF(Data!P975="","",IF(ISNUMBER(MATCH(Data!Q975,Data_Val!$A$2:$A$3,0)),0,1))</f>
        <v/>
      </c>
      <c r="X975" s="26" t="str">
        <f ca="1">IF(Data!P975="","",IF(ISNUMBER(Data!R975),IF(AND(Data!R975&gt;(TODAY()-(Data_Val!$L$3*365.25)),Data!R975&lt;=(TODAY()-(Data_Val!$L$2*365.25))),0,1),1))</f>
        <v/>
      </c>
      <c r="Y975" s="13" t="str">
        <f>IF(Data!$G975="","",IF(Data!$G975=Data_Val!$C$2,IF(Data!S975="",0,1),0))</f>
        <v/>
      </c>
      <c r="Z975" s="13" t="str">
        <f>IF(Data!S975="","",IF(ISNUMBER(MATCH(Data!T975,Data_Val!$A$2:$A$3,0)),0,1))</f>
        <v/>
      </c>
      <c r="AA975" s="28" t="str">
        <f ca="1">IF(Data!S975="","",IF(ISNUMBER(Data!U975),IF(AND(Data!U975&gt;(TODAY()-(Data_Val!$L$3*365.25)),Data!U975&lt;=(TODAY()-(Data_Val!$L$2*365.25))),0,1),1))</f>
        <v/>
      </c>
      <c r="AB975" s="11"/>
      <c r="AC975" s="11" t="e">
        <f>IF(Data!#REF!="","",IF(ISNUMBER(MATCH(Data!#REF!,Data_Val!$A$2:$A$3,0)),0,1))</f>
        <v>#REF!</v>
      </c>
      <c r="AD975" s="11" t="e">
        <f ca="1">IF(Data!#REF!="","",IF(ISNUMBER(Data!#REF!),IF(AND(Data!#REF!&gt;(TODAY()-(Data_Val!$L$3*365.25)),Data!#REF!&lt;=(TODAY()-(Data_Val!$L$2*365.25))),0,1),1))</f>
        <v>#REF!</v>
      </c>
      <c r="AE975" s="11" t="e">
        <f>IF(Data!#REF!="","",IF(Data!$G975="",1,IF(ISNUMBER(MATCH(Data!#REF!,Data_Val!$D$2:$D$10,0)),0,1)))</f>
        <v>#REF!</v>
      </c>
      <c r="AF975" s="12"/>
      <c r="AG975" s="12" t="e">
        <f>IF(Data!#REF!="","",IF(ISNUMBER(MATCH(Data!#REF!,Data_Val!$A$2:$A$3,0)),0,1))</f>
        <v>#REF!</v>
      </c>
      <c r="AH975" s="26" t="e">
        <f ca="1">IF(Data!#REF!="","",IF(ISNUMBER(Data!#REF!),IF(AND(Data!#REF!&gt;(TODAY()-(Data_Val!$L$3*365.25)),Data!#REF!&lt;=(TODAY()-(Data_Val!$L$2*365.25))),0,1),1))</f>
        <v>#REF!</v>
      </c>
      <c r="AI975" s="12" t="e">
        <f>IF(Data!#REF!="","",IF(Data!$G975="",1,IF(ISNUMBER(MATCH(Data!#REF!,Data_Val!$D$2:$D$10,0)),0,1)))</f>
        <v>#REF!</v>
      </c>
      <c r="AJ975" s="17"/>
      <c r="AK975" s="17" t="e">
        <f>IF(Data!#REF!="","",IF(ISNUMBER(MATCH(Data!#REF!,Data_Val!$A$2:$A$3,0)),0,1))</f>
        <v>#REF!</v>
      </c>
      <c r="AL975" s="25" t="e">
        <f ca="1">IF(Data!#REF!="","",IF(ISNUMBER(Data!#REF!),IF(AND(Data!#REF!&gt;(TODAY()-(Data_Val!$L$3*365.25)),Data!#REF!&lt;=(TODAY()-(Data_Val!$L$2*365.25))),0,1),1))</f>
        <v>#REF!</v>
      </c>
      <c r="AM975" s="17" t="e">
        <f>IF(Data!#REF!="","",IF(Data!$G975="",1,IF(ISNUMBER(MATCH(Data!#REF!,Data_Val!$D$2:$D$10,0)),0,1)))</f>
        <v>#REF!</v>
      </c>
      <c r="AN975" s="13"/>
      <c r="AO975" s="28" t="e">
        <f ca="1">IF(Data!#REF!="","",IF(ISNUMBER(Data!#REF!),IF(AND(Data!#REF!&gt;(TODAY()-(Data_Val!$I$3*365.25)),Data!#REF!&lt;=(TODAY()-(Data_Val!$I$2*365.25))),0,1),1))</f>
        <v>#REF!</v>
      </c>
      <c r="AP975" s="13" t="e">
        <f>IF(Data!#REF!="","",IF(Data!$G975="",1,IF(ISNUMBER(MATCH(Data!#REF!,Data_Val!$D$2:$D$10,0)),0,1)))</f>
        <v>#REF!</v>
      </c>
      <c r="AQ975" s="17"/>
      <c r="AR975" s="30" t="e">
        <f ca="1">IF(Data!#REF!="","",IF(ISNUMBER(Data!#REF!),IF(AND(Data!#REF!&gt;(TODAY()-(Data_Val!$I$3*365.25)),Data!#REF!&lt;=(TODAY()-(Data_Val!$I$2*365.25))),0,1),1))</f>
        <v>#REF!</v>
      </c>
      <c r="AS975" s="31" t="e">
        <f>IF(Data!#REF!="","",IF(Data!$G975="",1,IF(ISNUMBER(MATCH(Data!#REF!,Data_Val!$D$2:$D$10,0)),0,1)))</f>
        <v>#REF!</v>
      </c>
      <c r="AT975" s="11"/>
      <c r="AU975" s="11" t="e">
        <f ca="1">IF(Data!#REF!="","",IF(ISNUMBER(Data!#REF!),IF(AND(Data!#REF!&gt;(TODAY()-(Data_Val!$I$3*365.25)),Data!#REF!&lt;=(TODAY()-(Data_Val!$I$2*365.25))),0,1),1))</f>
        <v>#REF!</v>
      </c>
      <c r="AV975" s="11" t="e">
        <f>IF(Data!#REF!="","",IF(Data!$G975="",1,IF(ISNUMBER(MATCH(Data!#REF!,Data_Val!$D$2:$D$10,0)),0,1)))</f>
        <v>#REF!</v>
      </c>
      <c r="AW975" s="12"/>
      <c r="AX975" s="26" t="e">
        <f ca="1">IF(Data!#REF!="","",IF(ISNUMBER(Data!#REF!),IF(AND(Data!#REF!&gt;(TODAY()-(Data_Val!$I$3*365.25)),Data!#REF!&lt;=(TODAY()-(Data_Val!$I$2*365.25))),0,1),1))</f>
        <v>#REF!</v>
      </c>
      <c r="AY975" s="12" t="e">
        <f>IF(Data!#REF!="","",IF(Data!$G975="",1,IF(ISNUMBER(MATCH(Data!#REF!,Data_Val!$D$2:$D$10,0)),0,1)))</f>
        <v>#REF!</v>
      </c>
      <c r="AZ975" s="11"/>
      <c r="BA975" s="19" t="e">
        <f ca="1">IF(Data!#REF!="","",IF(ISNUMBER(Data!#REF!),IF(AND(Data!#REF!&gt;(TODAY()-(Data_Val!$M$3*365.25)),Data!#REF!&lt;=(TODAY()-(Data_Val!$M$2*365.25))),0,1),1))</f>
        <v>#REF!</v>
      </c>
      <c r="BB975" s="11" t="e">
        <f>IF(Data!#REF!="","",IF(Data!$G975="",1,IF(ISNUMBER(MATCH(Data!#REF!,Data_Val!$D$2:$D$10,0)),0,1)))</f>
        <v>#REF!</v>
      </c>
      <c r="BC975" s="12"/>
      <c r="BD975" s="20" t="e">
        <f ca="1">IF(Data!#REF!="","",IF(ISNUMBER(Data!#REF!),IF(AND(Data!#REF!&gt;(TODAY()-(Data_Val!$M$3*365.25)),Data!#REF!&lt;=(TODAY()-(Data_Val!$M$2*365.25))),0,1),1))</f>
        <v>#REF!</v>
      </c>
      <c r="BE975" s="12" t="e">
        <f>IF(Data!#REF!="","",IF(Data!$G975="",1,IF(ISNUMBER(MATCH(Data!#REF!,Data_Val!$D$2:$D$10,0)),0,1)))</f>
        <v>#REF!</v>
      </c>
      <c r="BF975" s="17"/>
      <c r="BG975" s="18" t="e">
        <f ca="1">IF(Data!#REF!="","",IF(ISNUMBER(Data!#REF!),IF(AND(Data!#REF!&gt;(TODAY()-(Data_Val!$M$3*365.25)),Data!#REF!&lt;=(TODAY()-(Data_Val!$M$2*365.25))),0,1),1))</f>
        <v>#REF!</v>
      </c>
      <c r="BH975" s="29" t="e">
        <f>IF(Data!#REF!="","",IF(Data!$G975="",1,IF(ISNUMBER(MATCH(Data!#REF!,Data_Val!$D$2:$D$10,0)),0,1)))</f>
        <v>#REF!</v>
      </c>
      <c r="BI975" s="13"/>
      <c r="BJ975" s="21" t="e">
        <f ca="1">IF(Data!#REF!="","",IF(ISNUMBER(Data!#REF!),IF(AND(Data!#REF!&gt;(TODAY()-(Data_Val!$M$3*365.25)),Data!#REF!&lt;=(TODAY()-(Data_Val!$M$2*365.25))),0,1),1))</f>
        <v>#REF!</v>
      </c>
      <c r="BK975" s="13" t="e">
        <f>IF(Data!#REF!="","",IF(Data!$G975="",1,IF(ISNUMBER(MATCH(Data!#REF!,Data_Val!$D$2:$D$10,0)),0,1)))</f>
        <v>#REF!</v>
      </c>
    </row>
    <row r="976" spans="1:63" x14ac:dyDescent="0.25">
      <c r="A976" s="9" t="str">
        <f>IF(Data!B976="","",IF(COUNTIFS(Data!A$1:'Data'!A976,Data!A976)&lt;=1,0,1))</f>
        <v/>
      </c>
      <c r="B976" s="9"/>
      <c r="C976" s="23" t="str">
        <f>IF(Data!C976="","",(IF(ISNUMBER(MATCH("*@*.?*",Data!C976,0)),0,1)+IF(COUNTIFS(Data!C$1:'Data'!C976,Data!C976)&gt;1,1,0)))</f>
        <v/>
      </c>
      <c r="D976" s="9" t="str">
        <f>IF(Data!B976="","",IF(ISNUMBER(Data!D976),IF(AND(Data!D976&gt;999999999,Data!D976&lt;=9999999999),IF(COUNTIFS(Data!D$1:'Data'!D976,Data!D976)&lt;=1,0,1),1),1))</f>
        <v/>
      </c>
      <c r="E976" s="9" t="str">
        <f>IF(Data!B976="","",IF(ISNUMBER(MATCH(Data!E976,Data_Val!$A$2:$A$3,0)),0,1))</f>
        <v/>
      </c>
      <c r="F976" s="9" t="str">
        <f ca="1">IF(Data!B976="","",IF(ISNUMBER(Data!F976),IF(AND(Data!F976&gt;(TODAY()-(Data_Val!$H$3*365.25)),Data!F976&lt;=(TODAY()-(Data_Val!$H$2*365.25))),0,1),1))</f>
        <v/>
      </c>
      <c r="G976" s="15" t="str">
        <f>IF(Data!B976="","",IF(AND(Data!G976="",Data!H976&lt;&gt;""),1,IF(Data!#REF!&lt;&gt;"",0,IF(ISNUMBER(MATCH(Data!G976,Data_Val!$C$2:$C$5,0)),0,1))))</f>
        <v/>
      </c>
      <c r="H976" s="15" t="str">
        <f>IF(Data!B976="","",IF(AND(Data!G976&lt;&gt;"",Data!H976=""),1,IF(Data!#REF!&lt;&gt;"",0,IF(Data!G976="",1,IF(ISNUMBER(MATCH(Data!H976,Data_Val!$D$2:$D$35,0)),0,1)))))</f>
        <v/>
      </c>
      <c r="I976" s="15" t="str">
        <f>IF(Data!B976="","",IF(Data!G976&lt;&gt;"",0,IF(ISNUMBER(MATCH(Data!#REF!,Data_Val!$E$2:$E$12,0)),0,1)))</f>
        <v/>
      </c>
      <c r="J976" s="16" t="e">
        <f>IF(OR(Data!B976="",Data!#REF!=""),"",IF(Data!#REF!="",1,0))</f>
        <v>#REF!</v>
      </c>
      <c r="K976" s="16" t="e">
        <f>IF(OR(Data!B976="",Data!#REF!=""),"",IF(Data!#REF!="",1,0))</f>
        <v>#REF!</v>
      </c>
      <c r="L976" s="16" t="e">
        <f>IF(OR(Data!B976="",Data!#REF!=""),"",IF(ISNUMBER(Data!#REF!),IF(AND(Data!#REF!&gt;Data_Val!$G$2,Data!#REF!&lt;=Data_Val!$G$3),0,1),1))</f>
        <v>#REF!</v>
      </c>
      <c r="M976" s="9" t="e">
        <f>IF(OR(Data!B976="",Data!#REF!=""),"",IF(ISNUMBER(MATCH(Data!#REF!,Data_Val!$F$1:$F$38,0)),0,1))</f>
        <v>#REF!</v>
      </c>
      <c r="N976" s="9" t="e">
        <f>IF(OR(Data!B976="",Data!#REF!=""),"",IF(Data!#REF!="",1,0))</f>
        <v>#REF!</v>
      </c>
      <c r="O976" s="17" t="e">
        <f>IF(Data!#REF!="","",IF(Data!#REF!="",1,0))</f>
        <v>#REF!</v>
      </c>
      <c r="P976" s="17" t="e">
        <f>IF(Data!#REF!="","",IF(ISNUMBER(MATCH(Data!#REF!,Data_Val!$A$2:$A$3,0)),0,1))</f>
        <v>#REF!</v>
      </c>
      <c r="Q976" s="25" t="e">
        <f ca="1">IF(Data!#REF!="","",IF(ISNUMBER(Data!#REF!),IF(AND(Data!#REF!&gt;(TODAY()-(Data_Val!$J$3*365.25)),Data!#REF!&lt;=(TODAY()-(Data_Val!$J$2*365.25))),0,1),1))</f>
        <v>#REF!</v>
      </c>
      <c r="R976" s="17" t="e">
        <f>IF(Data!#REF!="","",IF(ISNUMBER(MATCH(Data!#REF!,Data_Val!$B$2:$B$15,0)),0,1))</f>
        <v>#REF!</v>
      </c>
      <c r="S976" s="11" t="str">
        <f>IF(Data!G976="","",IF(Data!G976=Data_Val!$C$2,IF(Data!M976="",0,1),0))</f>
        <v/>
      </c>
      <c r="T976" s="11" t="str">
        <f>IF(Data!M976="","",IF(ISNUMBER(MATCH(Data!N976,Data_Val!$A$2:$A$3,0)),0,1))</f>
        <v/>
      </c>
      <c r="U976" s="11" t="str">
        <f ca="1">IF(Data!M976="","",IF(ISNUMBER(Data!O976),IF(AND(Data!O976&gt;(TODAY()-(Data_Val!$K$3*365.25)),Data!O976&lt;=(TODAY()-(Data_Val!$K$2*365.25))),0,1),1))</f>
        <v/>
      </c>
      <c r="V976" s="12" t="str">
        <f>IF(Data!G976="","",IF(Data!G976=Data_Val!$C$2,IF(Data!P976="",0,1),0))</f>
        <v/>
      </c>
      <c r="W976" s="12" t="str">
        <f>IF(Data!P976="","",IF(ISNUMBER(MATCH(Data!Q976,Data_Val!$A$2:$A$3,0)),0,1))</f>
        <v/>
      </c>
      <c r="X976" s="26" t="str">
        <f ca="1">IF(Data!P976="","",IF(ISNUMBER(Data!R976),IF(AND(Data!R976&gt;(TODAY()-(Data_Val!$L$3*365.25)),Data!R976&lt;=(TODAY()-(Data_Val!$L$2*365.25))),0,1),1))</f>
        <v/>
      </c>
      <c r="Y976" s="13" t="str">
        <f>IF(Data!$G976="","",IF(Data!$G976=Data_Val!$C$2,IF(Data!S976="",0,1),0))</f>
        <v/>
      </c>
      <c r="Z976" s="13" t="str">
        <f>IF(Data!S976="","",IF(ISNUMBER(MATCH(Data!T976,Data_Val!$A$2:$A$3,0)),0,1))</f>
        <v/>
      </c>
      <c r="AA976" s="28" t="str">
        <f ca="1">IF(Data!S976="","",IF(ISNUMBER(Data!U976),IF(AND(Data!U976&gt;(TODAY()-(Data_Val!$L$3*365.25)),Data!U976&lt;=(TODAY()-(Data_Val!$L$2*365.25))),0,1),1))</f>
        <v/>
      </c>
      <c r="AB976" s="11"/>
      <c r="AC976" s="11" t="e">
        <f>IF(Data!#REF!="","",IF(ISNUMBER(MATCH(Data!#REF!,Data_Val!$A$2:$A$3,0)),0,1))</f>
        <v>#REF!</v>
      </c>
      <c r="AD976" s="11" t="e">
        <f ca="1">IF(Data!#REF!="","",IF(ISNUMBER(Data!#REF!),IF(AND(Data!#REF!&gt;(TODAY()-(Data_Val!$L$3*365.25)),Data!#REF!&lt;=(TODAY()-(Data_Val!$L$2*365.25))),0,1),1))</f>
        <v>#REF!</v>
      </c>
      <c r="AE976" s="11" t="e">
        <f>IF(Data!#REF!="","",IF(Data!$G976="",1,IF(ISNUMBER(MATCH(Data!#REF!,Data_Val!$D$2:$D$10,0)),0,1)))</f>
        <v>#REF!</v>
      </c>
      <c r="AF976" s="12"/>
      <c r="AG976" s="12" t="e">
        <f>IF(Data!#REF!="","",IF(ISNUMBER(MATCH(Data!#REF!,Data_Val!$A$2:$A$3,0)),0,1))</f>
        <v>#REF!</v>
      </c>
      <c r="AH976" s="26" t="e">
        <f ca="1">IF(Data!#REF!="","",IF(ISNUMBER(Data!#REF!),IF(AND(Data!#REF!&gt;(TODAY()-(Data_Val!$L$3*365.25)),Data!#REF!&lt;=(TODAY()-(Data_Val!$L$2*365.25))),0,1),1))</f>
        <v>#REF!</v>
      </c>
      <c r="AI976" s="12" t="e">
        <f>IF(Data!#REF!="","",IF(Data!$G976="",1,IF(ISNUMBER(MATCH(Data!#REF!,Data_Val!$D$2:$D$10,0)),0,1)))</f>
        <v>#REF!</v>
      </c>
      <c r="AJ976" s="17"/>
      <c r="AK976" s="17" t="e">
        <f>IF(Data!#REF!="","",IF(ISNUMBER(MATCH(Data!#REF!,Data_Val!$A$2:$A$3,0)),0,1))</f>
        <v>#REF!</v>
      </c>
      <c r="AL976" s="25" t="e">
        <f ca="1">IF(Data!#REF!="","",IF(ISNUMBER(Data!#REF!),IF(AND(Data!#REF!&gt;(TODAY()-(Data_Val!$L$3*365.25)),Data!#REF!&lt;=(TODAY()-(Data_Val!$L$2*365.25))),0,1),1))</f>
        <v>#REF!</v>
      </c>
      <c r="AM976" s="17" t="e">
        <f>IF(Data!#REF!="","",IF(Data!$G976="",1,IF(ISNUMBER(MATCH(Data!#REF!,Data_Val!$D$2:$D$10,0)),0,1)))</f>
        <v>#REF!</v>
      </c>
      <c r="AN976" s="13"/>
      <c r="AO976" s="28" t="e">
        <f ca="1">IF(Data!#REF!="","",IF(ISNUMBER(Data!#REF!),IF(AND(Data!#REF!&gt;(TODAY()-(Data_Val!$I$3*365.25)),Data!#REF!&lt;=(TODAY()-(Data_Val!$I$2*365.25))),0,1),1))</f>
        <v>#REF!</v>
      </c>
      <c r="AP976" s="13" t="e">
        <f>IF(Data!#REF!="","",IF(Data!$G976="",1,IF(ISNUMBER(MATCH(Data!#REF!,Data_Val!$D$2:$D$10,0)),0,1)))</f>
        <v>#REF!</v>
      </c>
      <c r="AQ976" s="17"/>
      <c r="AR976" s="30" t="e">
        <f ca="1">IF(Data!#REF!="","",IF(ISNUMBER(Data!#REF!),IF(AND(Data!#REF!&gt;(TODAY()-(Data_Val!$I$3*365.25)),Data!#REF!&lt;=(TODAY()-(Data_Val!$I$2*365.25))),0,1),1))</f>
        <v>#REF!</v>
      </c>
      <c r="AS976" s="31" t="e">
        <f>IF(Data!#REF!="","",IF(Data!$G976="",1,IF(ISNUMBER(MATCH(Data!#REF!,Data_Val!$D$2:$D$10,0)),0,1)))</f>
        <v>#REF!</v>
      </c>
      <c r="AT976" s="11"/>
      <c r="AU976" s="11" t="e">
        <f ca="1">IF(Data!#REF!="","",IF(ISNUMBER(Data!#REF!),IF(AND(Data!#REF!&gt;(TODAY()-(Data_Val!$I$3*365.25)),Data!#REF!&lt;=(TODAY()-(Data_Val!$I$2*365.25))),0,1),1))</f>
        <v>#REF!</v>
      </c>
      <c r="AV976" s="11" t="e">
        <f>IF(Data!#REF!="","",IF(Data!$G976="",1,IF(ISNUMBER(MATCH(Data!#REF!,Data_Val!$D$2:$D$10,0)),0,1)))</f>
        <v>#REF!</v>
      </c>
      <c r="AW976" s="12"/>
      <c r="AX976" s="26" t="e">
        <f ca="1">IF(Data!#REF!="","",IF(ISNUMBER(Data!#REF!),IF(AND(Data!#REF!&gt;(TODAY()-(Data_Val!$I$3*365.25)),Data!#REF!&lt;=(TODAY()-(Data_Val!$I$2*365.25))),0,1),1))</f>
        <v>#REF!</v>
      </c>
      <c r="AY976" s="12" t="e">
        <f>IF(Data!#REF!="","",IF(Data!$G976="",1,IF(ISNUMBER(MATCH(Data!#REF!,Data_Val!$D$2:$D$10,0)),0,1)))</f>
        <v>#REF!</v>
      </c>
      <c r="AZ976" s="11"/>
      <c r="BA976" s="19" t="e">
        <f ca="1">IF(Data!#REF!="","",IF(ISNUMBER(Data!#REF!),IF(AND(Data!#REF!&gt;(TODAY()-(Data_Val!$M$3*365.25)),Data!#REF!&lt;=(TODAY()-(Data_Val!$M$2*365.25))),0,1),1))</f>
        <v>#REF!</v>
      </c>
      <c r="BB976" s="11" t="e">
        <f>IF(Data!#REF!="","",IF(Data!$G976="",1,IF(ISNUMBER(MATCH(Data!#REF!,Data_Val!$D$2:$D$10,0)),0,1)))</f>
        <v>#REF!</v>
      </c>
      <c r="BC976" s="12"/>
      <c r="BD976" s="20" t="e">
        <f ca="1">IF(Data!#REF!="","",IF(ISNUMBER(Data!#REF!),IF(AND(Data!#REF!&gt;(TODAY()-(Data_Val!$M$3*365.25)),Data!#REF!&lt;=(TODAY()-(Data_Val!$M$2*365.25))),0,1),1))</f>
        <v>#REF!</v>
      </c>
      <c r="BE976" s="12" t="e">
        <f>IF(Data!#REF!="","",IF(Data!$G976="",1,IF(ISNUMBER(MATCH(Data!#REF!,Data_Val!$D$2:$D$10,0)),0,1)))</f>
        <v>#REF!</v>
      </c>
      <c r="BF976" s="17"/>
      <c r="BG976" s="18" t="e">
        <f ca="1">IF(Data!#REF!="","",IF(ISNUMBER(Data!#REF!),IF(AND(Data!#REF!&gt;(TODAY()-(Data_Val!$M$3*365.25)),Data!#REF!&lt;=(TODAY()-(Data_Val!$M$2*365.25))),0,1),1))</f>
        <v>#REF!</v>
      </c>
      <c r="BH976" s="29" t="e">
        <f>IF(Data!#REF!="","",IF(Data!$G976="",1,IF(ISNUMBER(MATCH(Data!#REF!,Data_Val!$D$2:$D$10,0)),0,1)))</f>
        <v>#REF!</v>
      </c>
      <c r="BI976" s="13"/>
      <c r="BJ976" s="21" t="e">
        <f ca="1">IF(Data!#REF!="","",IF(ISNUMBER(Data!#REF!),IF(AND(Data!#REF!&gt;(TODAY()-(Data_Val!$M$3*365.25)),Data!#REF!&lt;=(TODAY()-(Data_Val!$M$2*365.25))),0,1),1))</f>
        <v>#REF!</v>
      </c>
      <c r="BK976" s="13" t="e">
        <f>IF(Data!#REF!="","",IF(Data!$G976="",1,IF(ISNUMBER(MATCH(Data!#REF!,Data_Val!$D$2:$D$10,0)),0,1)))</f>
        <v>#REF!</v>
      </c>
    </row>
    <row r="977" spans="1:63" x14ac:dyDescent="0.25">
      <c r="A977" s="9" t="str">
        <f>IF(Data!B977="","",IF(COUNTIFS(Data!A$1:'Data'!A977,Data!A977)&lt;=1,0,1))</f>
        <v/>
      </c>
      <c r="B977" s="9"/>
      <c r="C977" s="23" t="str">
        <f>IF(Data!C977="","",(IF(ISNUMBER(MATCH("*@*.?*",Data!C977,0)),0,1)+IF(COUNTIFS(Data!C$1:'Data'!C977,Data!C977)&gt;1,1,0)))</f>
        <v/>
      </c>
      <c r="D977" s="9" t="str">
        <f>IF(Data!B977="","",IF(ISNUMBER(Data!D977),IF(AND(Data!D977&gt;999999999,Data!D977&lt;=9999999999),IF(COUNTIFS(Data!D$1:'Data'!D977,Data!D977)&lt;=1,0,1),1),1))</f>
        <v/>
      </c>
      <c r="E977" s="9" t="str">
        <f>IF(Data!B977="","",IF(ISNUMBER(MATCH(Data!E977,Data_Val!$A$2:$A$3,0)),0,1))</f>
        <v/>
      </c>
      <c r="F977" s="9" t="str">
        <f ca="1">IF(Data!B977="","",IF(ISNUMBER(Data!F977),IF(AND(Data!F977&gt;(TODAY()-(Data_Val!$H$3*365.25)),Data!F977&lt;=(TODAY()-(Data_Val!$H$2*365.25))),0,1),1))</f>
        <v/>
      </c>
      <c r="G977" s="15" t="str">
        <f>IF(Data!B977="","",IF(AND(Data!G977="",Data!H977&lt;&gt;""),1,IF(Data!#REF!&lt;&gt;"",0,IF(ISNUMBER(MATCH(Data!G977,Data_Val!$C$2:$C$5,0)),0,1))))</f>
        <v/>
      </c>
      <c r="H977" s="15" t="str">
        <f>IF(Data!B977="","",IF(AND(Data!G977&lt;&gt;"",Data!H977=""),1,IF(Data!#REF!&lt;&gt;"",0,IF(Data!G977="",1,IF(ISNUMBER(MATCH(Data!H977,Data_Val!$D$2:$D$35,0)),0,1)))))</f>
        <v/>
      </c>
      <c r="I977" s="15" t="str">
        <f>IF(Data!B977="","",IF(Data!G977&lt;&gt;"",0,IF(ISNUMBER(MATCH(Data!#REF!,Data_Val!$E$2:$E$12,0)),0,1)))</f>
        <v/>
      </c>
      <c r="J977" s="16" t="e">
        <f>IF(OR(Data!B977="",Data!#REF!=""),"",IF(Data!#REF!="",1,0))</f>
        <v>#REF!</v>
      </c>
      <c r="K977" s="16" t="e">
        <f>IF(OR(Data!B977="",Data!#REF!=""),"",IF(Data!#REF!="",1,0))</f>
        <v>#REF!</v>
      </c>
      <c r="L977" s="16" t="e">
        <f>IF(OR(Data!B977="",Data!#REF!=""),"",IF(ISNUMBER(Data!#REF!),IF(AND(Data!#REF!&gt;Data_Val!$G$2,Data!#REF!&lt;=Data_Val!$G$3),0,1),1))</f>
        <v>#REF!</v>
      </c>
      <c r="M977" s="9" t="e">
        <f>IF(OR(Data!B977="",Data!#REF!=""),"",IF(ISNUMBER(MATCH(Data!#REF!,Data_Val!$F$1:$F$38,0)),0,1))</f>
        <v>#REF!</v>
      </c>
      <c r="N977" s="9" t="e">
        <f>IF(OR(Data!B977="",Data!#REF!=""),"",IF(Data!#REF!="",1,0))</f>
        <v>#REF!</v>
      </c>
      <c r="O977" s="17" t="e">
        <f>IF(Data!#REF!="","",IF(Data!#REF!="",1,0))</f>
        <v>#REF!</v>
      </c>
      <c r="P977" s="17" t="e">
        <f>IF(Data!#REF!="","",IF(ISNUMBER(MATCH(Data!#REF!,Data_Val!$A$2:$A$3,0)),0,1))</f>
        <v>#REF!</v>
      </c>
      <c r="Q977" s="25" t="e">
        <f ca="1">IF(Data!#REF!="","",IF(ISNUMBER(Data!#REF!),IF(AND(Data!#REF!&gt;(TODAY()-(Data_Val!$J$3*365.25)),Data!#REF!&lt;=(TODAY()-(Data_Val!$J$2*365.25))),0,1),1))</f>
        <v>#REF!</v>
      </c>
      <c r="R977" s="17" t="e">
        <f>IF(Data!#REF!="","",IF(ISNUMBER(MATCH(Data!#REF!,Data_Val!$B$2:$B$15,0)),0,1))</f>
        <v>#REF!</v>
      </c>
      <c r="S977" s="11" t="str">
        <f>IF(Data!G977="","",IF(Data!G977=Data_Val!$C$2,IF(Data!M977="",0,1),0))</f>
        <v/>
      </c>
      <c r="T977" s="11" t="str">
        <f>IF(Data!M977="","",IF(ISNUMBER(MATCH(Data!N977,Data_Val!$A$2:$A$3,0)),0,1))</f>
        <v/>
      </c>
      <c r="U977" s="11" t="str">
        <f ca="1">IF(Data!M977="","",IF(ISNUMBER(Data!O977),IF(AND(Data!O977&gt;(TODAY()-(Data_Val!$K$3*365.25)),Data!O977&lt;=(TODAY()-(Data_Val!$K$2*365.25))),0,1),1))</f>
        <v/>
      </c>
      <c r="V977" s="12" t="str">
        <f>IF(Data!G977="","",IF(Data!G977=Data_Val!$C$2,IF(Data!P977="",0,1),0))</f>
        <v/>
      </c>
      <c r="W977" s="12" t="str">
        <f>IF(Data!P977="","",IF(ISNUMBER(MATCH(Data!Q977,Data_Val!$A$2:$A$3,0)),0,1))</f>
        <v/>
      </c>
      <c r="X977" s="26" t="str">
        <f ca="1">IF(Data!P977="","",IF(ISNUMBER(Data!R977),IF(AND(Data!R977&gt;(TODAY()-(Data_Val!$L$3*365.25)),Data!R977&lt;=(TODAY()-(Data_Val!$L$2*365.25))),0,1),1))</f>
        <v/>
      </c>
      <c r="Y977" s="13" t="str">
        <f>IF(Data!$G977="","",IF(Data!$G977=Data_Val!$C$2,IF(Data!S977="",0,1),0))</f>
        <v/>
      </c>
      <c r="Z977" s="13" t="str">
        <f>IF(Data!S977="","",IF(ISNUMBER(MATCH(Data!T977,Data_Val!$A$2:$A$3,0)),0,1))</f>
        <v/>
      </c>
      <c r="AA977" s="28" t="str">
        <f ca="1">IF(Data!S977="","",IF(ISNUMBER(Data!U977),IF(AND(Data!U977&gt;(TODAY()-(Data_Val!$L$3*365.25)),Data!U977&lt;=(TODAY()-(Data_Val!$L$2*365.25))),0,1),1))</f>
        <v/>
      </c>
      <c r="AB977" s="11"/>
      <c r="AC977" s="11" t="e">
        <f>IF(Data!#REF!="","",IF(ISNUMBER(MATCH(Data!#REF!,Data_Val!$A$2:$A$3,0)),0,1))</f>
        <v>#REF!</v>
      </c>
      <c r="AD977" s="11" t="e">
        <f ca="1">IF(Data!#REF!="","",IF(ISNUMBER(Data!#REF!),IF(AND(Data!#REF!&gt;(TODAY()-(Data_Val!$L$3*365.25)),Data!#REF!&lt;=(TODAY()-(Data_Val!$L$2*365.25))),0,1),1))</f>
        <v>#REF!</v>
      </c>
      <c r="AE977" s="11" t="e">
        <f>IF(Data!#REF!="","",IF(Data!$G977="",1,IF(ISNUMBER(MATCH(Data!#REF!,Data_Val!$D$2:$D$10,0)),0,1)))</f>
        <v>#REF!</v>
      </c>
      <c r="AF977" s="12"/>
      <c r="AG977" s="12" t="e">
        <f>IF(Data!#REF!="","",IF(ISNUMBER(MATCH(Data!#REF!,Data_Val!$A$2:$A$3,0)),0,1))</f>
        <v>#REF!</v>
      </c>
      <c r="AH977" s="26" t="e">
        <f ca="1">IF(Data!#REF!="","",IF(ISNUMBER(Data!#REF!),IF(AND(Data!#REF!&gt;(TODAY()-(Data_Val!$L$3*365.25)),Data!#REF!&lt;=(TODAY()-(Data_Val!$L$2*365.25))),0,1),1))</f>
        <v>#REF!</v>
      </c>
      <c r="AI977" s="12" t="e">
        <f>IF(Data!#REF!="","",IF(Data!$G977="",1,IF(ISNUMBER(MATCH(Data!#REF!,Data_Val!$D$2:$D$10,0)),0,1)))</f>
        <v>#REF!</v>
      </c>
      <c r="AJ977" s="17"/>
      <c r="AK977" s="17" t="e">
        <f>IF(Data!#REF!="","",IF(ISNUMBER(MATCH(Data!#REF!,Data_Val!$A$2:$A$3,0)),0,1))</f>
        <v>#REF!</v>
      </c>
      <c r="AL977" s="25" t="e">
        <f ca="1">IF(Data!#REF!="","",IF(ISNUMBER(Data!#REF!),IF(AND(Data!#REF!&gt;(TODAY()-(Data_Val!$L$3*365.25)),Data!#REF!&lt;=(TODAY()-(Data_Val!$L$2*365.25))),0,1),1))</f>
        <v>#REF!</v>
      </c>
      <c r="AM977" s="17" t="e">
        <f>IF(Data!#REF!="","",IF(Data!$G977="",1,IF(ISNUMBER(MATCH(Data!#REF!,Data_Val!$D$2:$D$10,0)),0,1)))</f>
        <v>#REF!</v>
      </c>
      <c r="AN977" s="13"/>
      <c r="AO977" s="28" t="e">
        <f ca="1">IF(Data!#REF!="","",IF(ISNUMBER(Data!#REF!),IF(AND(Data!#REF!&gt;(TODAY()-(Data_Val!$I$3*365.25)),Data!#REF!&lt;=(TODAY()-(Data_Val!$I$2*365.25))),0,1),1))</f>
        <v>#REF!</v>
      </c>
      <c r="AP977" s="13" t="e">
        <f>IF(Data!#REF!="","",IF(Data!$G977="",1,IF(ISNUMBER(MATCH(Data!#REF!,Data_Val!$D$2:$D$10,0)),0,1)))</f>
        <v>#REF!</v>
      </c>
      <c r="AQ977" s="17"/>
      <c r="AR977" s="30" t="e">
        <f ca="1">IF(Data!#REF!="","",IF(ISNUMBER(Data!#REF!),IF(AND(Data!#REF!&gt;(TODAY()-(Data_Val!$I$3*365.25)),Data!#REF!&lt;=(TODAY()-(Data_Val!$I$2*365.25))),0,1),1))</f>
        <v>#REF!</v>
      </c>
      <c r="AS977" s="31" t="e">
        <f>IF(Data!#REF!="","",IF(Data!$G977="",1,IF(ISNUMBER(MATCH(Data!#REF!,Data_Val!$D$2:$D$10,0)),0,1)))</f>
        <v>#REF!</v>
      </c>
      <c r="AT977" s="11"/>
      <c r="AU977" s="11" t="e">
        <f ca="1">IF(Data!#REF!="","",IF(ISNUMBER(Data!#REF!),IF(AND(Data!#REF!&gt;(TODAY()-(Data_Val!$I$3*365.25)),Data!#REF!&lt;=(TODAY()-(Data_Val!$I$2*365.25))),0,1),1))</f>
        <v>#REF!</v>
      </c>
      <c r="AV977" s="11" t="e">
        <f>IF(Data!#REF!="","",IF(Data!$G977="",1,IF(ISNUMBER(MATCH(Data!#REF!,Data_Val!$D$2:$D$10,0)),0,1)))</f>
        <v>#REF!</v>
      </c>
      <c r="AW977" s="12"/>
      <c r="AX977" s="26" t="e">
        <f ca="1">IF(Data!#REF!="","",IF(ISNUMBER(Data!#REF!),IF(AND(Data!#REF!&gt;(TODAY()-(Data_Val!$I$3*365.25)),Data!#REF!&lt;=(TODAY()-(Data_Val!$I$2*365.25))),0,1),1))</f>
        <v>#REF!</v>
      </c>
      <c r="AY977" s="12" t="e">
        <f>IF(Data!#REF!="","",IF(Data!$G977="",1,IF(ISNUMBER(MATCH(Data!#REF!,Data_Val!$D$2:$D$10,0)),0,1)))</f>
        <v>#REF!</v>
      </c>
      <c r="AZ977" s="11"/>
      <c r="BA977" s="19" t="e">
        <f ca="1">IF(Data!#REF!="","",IF(ISNUMBER(Data!#REF!),IF(AND(Data!#REF!&gt;(TODAY()-(Data_Val!$M$3*365.25)),Data!#REF!&lt;=(TODAY()-(Data_Val!$M$2*365.25))),0,1),1))</f>
        <v>#REF!</v>
      </c>
      <c r="BB977" s="11" t="e">
        <f>IF(Data!#REF!="","",IF(Data!$G977="",1,IF(ISNUMBER(MATCH(Data!#REF!,Data_Val!$D$2:$D$10,0)),0,1)))</f>
        <v>#REF!</v>
      </c>
      <c r="BC977" s="12"/>
      <c r="BD977" s="20" t="e">
        <f ca="1">IF(Data!#REF!="","",IF(ISNUMBER(Data!#REF!),IF(AND(Data!#REF!&gt;(TODAY()-(Data_Val!$M$3*365.25)),Data!#REF!&lt;=(TODAY()-(Data_Val!$M$2*365.25))),0,1),1))</f>
        <v>#REF!</v>
      </c>
      <c r="BE977" s="12" t="e">
        <f>IF(Data!#REF!="","",IF(Data!$G977="",1,IF(ISNUMBER(MATCH(Data!#REF!,Data_Val!$D$2:$D$10,0)),0,1)))</f>
        <v>#REF!</v>
      </c>
      <c r="BF977" s="17"/>
      <c r="BG977" s="18" t="e">
        <f ca="1">IF(Data!#REF!="","",IF(ISNUMBER(Data!#REF!),IF(AND(Data!#REF!&gt;(TODAY()-(Data_Val!$M$3*365.25)),Data!#REF!&lt;=(TODAY()-(Data_Val!$M$2*365.25))),0,1),1))</f>
        <v>#REF!</v>
      </c>
      <c r="BH977" s="29" t="e">
        <f>IF(Data!#REF!="","",IF(Data!$G977="",1,IF(ISNUMBER(MATCH(Data!#REF!,Data_Val!$D$2:$D$10,0)),0,1)))</f>
        <v>#REF!</v>
      </c>
      <c r="BI977" s="13"/>
      <c r="BJ977" s="21" t="e">
        <f ca="1">IF(Data!#REF!="","",IF(ISNUMBER(Data!#REF!),IF(AND(Data!#REF!&gt;(TODAY()-(Data_Val!$M$3*365.25)),Data!#REF!&lt;=(TODAY()-(Data_Val!$M$2*365.25))),0,1),1))</f>
        <v>#REF!</v>
      </c>
      <c r="BK977" s="13" t="e">
        <f>IF(Data!#REF!="","",IF(Data!$G977="",1,IF(ISNUMBER(MATCH(Data!#REF!,Data_Val!$D$2:$D$10,0)),0,1)))</f>
        <v>#REF!</v>
      </c>
    </row>
    <row r="978" spans="1:63" x14ac:dyDescent="0.25">
      <c r="A978" s="9" t="str">
        <f>IF(Data!B978="","",IF(COUNTIFS(Data!A$1:'Data'!A978,Data!A978)&lt;=1,0,1))</f>
        <v/>
      </c>
      <c r="B978" s="9"/>
      <c r="C978" s="23" t="str">
        <f>IF(Data!C978="","",(IF(ISNUMBER(MATCH("*@*.?*",Data!C978,0)),0,1)+IF(COUNTIFS(Data!C$1:'Data'!C978,Data!C978)&gt;1,1,0)))</f>
        <v/>
      </c>
      <c r="D978" s="9" t="str">
        <f>IF(Data!B978="","",IF(ISNUMBER(Data!D978),IF(AND(Data!D978&gt;999999999,Data!D978&lt;=9999999999),IF(COUNTIFS(Data!D$1:'Data'!D978,Data!D978)&lt;=1,0,1),1),1))</f>
        <v/>
      </c>
      <c r="E978" s="9" t="str">
        <f>IF(Data!B978="","",IF(ISNUMBER(MATCH(Data!E978,Data_Val!$A$2:$A$3,0)),0,1))</f>
        <v/>
      </c>
      <c r="F978" s="9" t="str">
        <f ca="1">IF(Data!B978="","",IF(ISNUMBER(Data!F978),IF(AND(Data!F978&gt;(TODAY()-(Data_Val!$H$3*365.25)),Data!F978&lt;=(TODAY()-(Data_Val!$H$2*365.25))),0,1),1))</f>
        <v/>
      </c>
      <c r="G978" s="15" t="str">
        <f>IF(Data!B978="","",IF(AND(Data!G978="",Data!H978&lt;&gt;""),1,IF(Data!#REF!&lt;&gt;"",0,IF(ISNUMBER(MATCH(Data!G978,Data_Val!$C$2:$C$5,0)),0,1))))</f>
        <v/>
      </c>
      <c r="H978" s="15" t="str">
        <f>IF(Data!B978="","",IF(AND(Data!G978&lt;&gt;"",Data!H978=""),1,IF(Data!#REF!&lt;&gt;"",0,IF(Data!G978="",1,IF(ISNUMBER(MATCH(Data!H978,Data_Val!$D$2:$D$35,0)),0,1)))))</f>
        <v/>
      </c>
      <c r="I978" s="15" t="str">
        <f>IF(Data!B978="","",IF(Data!G978&lt;&gt;"",0,IF(ISNUMBER(MATCH(Data!#REF!,Data_Val!$E$2:$E$12,0)),0,1)))</f>
        <v/>
      </c>
      <c r="J978" s="16" t="e">
        <f>IF(OR(Data!B978="",Data!#REF!=""),"",IF(Data!#REF!="",1,0))</f>
        <v>#REF!</v>
      </c>
      <c r="K978" s="16" t="e">
        <f>IF(OR(Data!B978="",Data!#REF!=""),"",IF(Data!#REF!="",1,0))</f>
        <v>#REF!</v>
      </c>
      <c r="L978" s="16" t="e">
        <f>IF(OR(Data!B978="",Data!#REF!=""),"",IF(ISNUMBER(Data!#REF!),IF(AND(Data!#REF!&gt;Data_Val!$G$2,Data!#REF!&lt;=Data_Val!$G$3),0,1),1))</f>
        <v>#REF!</v>
      </c>
      <c r="M978" s="9" t="e">
        <f>IF(OR(Data!B978="",Data!#REF!=""),"",IF(ISNUMBER(MATCH(Data!#REF!,Data_Val!$F$1:$F$38,0)),0,1))</f>
        <v>#REF!</v>
      </c>
      <c r="N978" s="9" t="e">
        <f>IF(OR(Data!B978="",Data!#REF!=""),"",IF(Data!#REF!="",1,0))</f>
        <v>#REF!</v>
      </c>
      <c r="O978" s="17" t="e">
        <f>IF(Data!#REF!="","",IF(Data!#REF!="",1,0))</f>
        <v>#REF!</v>
      </c>
      <c r="P978" s="17" t="e">
        <f>IF(Data!#REF!="","",IF(ISNUMBER(MATCH(Data!#REF!,Data_Val!$A$2:$A$3,0)),0,1))</f>
        <v>#REF!</v>
      </c>
      <c r="Q978" s="25" t="e">
        <f ca="1">IF(Data!#REF!="","",IF(ISNUMBER(Data!#REF!),IF(AND(Data!#REF!&gt;(TODAY()-(Data_Val!$J$3*365.25)),Data!#REF!&lt;=(TODAY()-(Data_Val!$J$2*365.25))),0,1),1))</f>
        <v>#REF!</v>
      </c>
      <c r="R978" s="17" t="e">
        <f>IF(Data!#REF!="","",IF(ISNUMBER(MATCH(Data!#REF!,Data_Val!$B$2:$B$15,0)),0,1))</f>
        <v>#REF!</v>
      </c>
      <c r="S978" s="11" t="str">
        <f>IF(Data!G978="","",IF(Data!G978=Data_Val!$C$2,IF(Data!M978="",0,1),0))</f>
        <v/>
      </c>
      <c r="T978" s="11" t="str">
        <f>IF(Data!M978="","",IF(ISNUMBER(MATCH(Data!N978,Data_Val!$A$2:$A$3,0)),0,1))</f>
        <v/>
      </c>
      <c r="U978" s="11" t="str">
        <f ca="1">IF(Data!M978="","",IF(ISNUMBER(Data!O978),IF(AND(Data!O978&gt;(TODAY()-(Data_Val!$K$3*365.25)),Data!O978&lt;=(TODAY()-(Data_Val!$K$2*365.25))),0,1),1))</f>
        <v/>
      </c>
      <c r="V978" s="12" t="str">
        <f>IF(Data!G978="","",IF(Data!G978=Data_Val!$C$2,IF(Data!P978="",0,1),0))</f>
        <v/>
      </c>
      <c r="W978" s="12" t="str">
        <f>IF(Data!P978="","",IF(ISNUMBER(MATCH(Data!Q978,Data_Val!$A$2:$A$3,0)),0,1))</f>
        <v/>
      </c>
      <c r="X978" s="26" t="str">
        <f ca="1">IF(Data!P978="","",IF(ISNUMBER(Data!R978),IF(AND(Data!R978&gt;(TODAY()-(Data_Val!$L$3*365.25)),Data!R978&lt;=(TODAY()-(Data_Val!$L$2*365.25))),0,1),1))</f>
        <v/>
      </c>
      <c r="Y978" s="13" t="str">
        <f>IF(Data!$G978="","",IF(Data!$G978=Data_Val!$C$2,IF(Data!S978="",0,1),0))</f>
        <v/>
      </c>
      <c r="Z978" s="13" t="str">
        <f>IF(Data!S978="","",IF(ISNUMBER(MATCH(Data!T978,Data_Val!$A$2:$A$3,0)),0,1))</f>
        <v/>
      </c>
      <c r="AA978" s="28" t="str">
        <f ca="1">IF(Data!S978="","",IF(ISNUMBER(Data!U978),IF(AND(Data!U978&gt;(TODAY()-(Data_Val!$L$3*365.25)),Data!U978&lt;=(TODAY()-(Data_Val!$L$2*365.25))),0,1),1))</f>
        <v/>
      </c>
      <c r="AB978" s="11"/>
      <c r="AC978" s="11" t="e">
        <f>IF(Data!#REF!="","",IF(ISNUMBER(MATCH(Data!#REF!,Data_Val!$A$2:$A$3,0)),0,1))</f>
        <v>#REF!</v>
      </c>
      <c r="AD978" s="11" t="e">
        <f ca="1">IF(Data!#REF!="","",IF(ISNUMBER(Data!#REF!),IF(AND(Data!#REF!&gt;(TODAY()-(Data_Val!$L$3*365.25)),Data!#REF!&lt;=(TODAY()-(Data_Val!$L$2*365.25))),0,1),1))</f>
        <v>#REF!</v>
      </c>
      <c r="AE978" s="11" t="e">
        <f>IF(Data!#REF!="","",IF(Data!$G978="",1,IF(ISNUMBER(MATCH(Data!#REF!,Data_Val!$D$2:$D$10,0)),0,1)))</f>
        <v>#REF!</v>
      </c>
      <c r="AF978" s="12"/>
      <c r="AG978" s="12" t="e">
        <f>IF(Data!#REF!="","",IF(ISNUMBER(MATCH(Data!#REF!,Data_Val!$A$2:$A$3,0)),0,1))</f>
        <v>#REF!</v>
      </c>
      <c r="AH978" s="26" t="e">
        <f ca="1">IF(Data!#REF!="","",IF(ISNUMBER(Data!#REF!),IF(AND(Data!#REF!&gt;(TODAY()-(Data_Val!$L$3*365.25)),Data!#REF!&lt;=(TODAY()-(Data_Val!$L$2*365.25))),0,1),1))</f>
        <v>#REF!</v>
      </c>
      <c r="AI978" s="12" t="e">
        <f>IF(Data!#REF!="","",IF(Data!$G978="",1,IF(ISNUMBER(MATCH(Data!#REF!,Data_Val!$D$2:$D$10,0)),0,1)))</f>
        <v>#REF!</v>
      </c>
      <c r="AJ978" s="17"/>
      <c r="AK978" s="17" t="e">
        <f>IF(Data!#REF!="","",IF(ISNUMBER(MATCH(Data!#REF!,Data_Val!$A$2:$A$3,0)),0,1))</f>
        <v>#REF!</v>
      </c>
      <c r="AL978" s="25" t="e">
        <f ca="1">IF(Data!#REF!="","",IF(ISNUMBER(Data!#REF!),IF(AND(Data!#REF!&gt;(TODAY()-(Data_Val!$L$3*365.25)),Data!#REF!&lt;=(TODAY()-(Data_Val!$L$2*365.25))),0,1),1))</f>
        <v>#REF!</v>
      </c>
      <c r="AM978" s="17" t="e">
        <f>IF(Data!#REF!="","",IF(Data!$G978="",1,IF(ISNUMBER(MATCH(Data!#REF!,Data_Val!$D$2:$D$10,0)),0,1)))</f>
        <v>#REF!</v>
      </c>
      <c r="AN978" s="13"/>
      <c r="AO978" s="28" t="e">
        <f ca="1">IF(Data!#REF!="","",IF(ISNUMBER(Data!#REF!),IF(AND(Data!#REF!&gt;(TODAY()-(Data_Val!$I$3*365.25)),Data!#REF!&lt;=(TODAY()-(Data_Val!$I$2*365.25))),0,1),1))</f>
        <v>#REF!</v>
      </c>
      <c r="AP978" s="13" t="e">
        <f>IF(Data!#REF!="","",IF(Data!$G978="",1,IF(ISNUMBER(MATCH(Data!#REF!,Data_Val!$D$2:$D$10,0)),0,1)))</f>
        <v>#REF!</v>
      </c>
      <c r="AQ978" s="17"/>
      <c r="AR978" s="30" t="e">
        <f ca="1">IF(Data!#REF!="","",IF(ISNUMBER(Data!#REF!),IF(AND(Data!#REF!&gt;(TODAY()-(Data_Val!$I$3*365.25)),Data!#REF!&lt;=(TODAY()-(Data_Val!$I$2*365.25))),0,1),1))</f>
        <v>#REF!</v>
      </c>
      <c r="AS978" s="31" t="e">
        <f>IF(Data!#REF!="","",IF(Data!$G978="",1,IF(ISNUMBER(MATCH(Data!#REF!,Data_Val!$D$2:$D$10,0)),0,1)))</f>
        <v>#REF!</v>
      </c>
      <c r="AT978" s="11"/>
      <c r="AU978" s="11" t="e">
        <f ca="1">IF(Data!#REF!="","",IF(ISNUMBER(Data!#REF!),IF(AND(Data!#REF!&gt;(TODAY()-(Data_Val!$I$3*365.25)),Data!#REF!&lt;=(TODAY()-(Data_Val!$I$2*365.25))),0,1),1))</f>
        <v>#REF!</v>
      </c>
      <c r="AV978" s="11" t="e">
        <f>IF(Data!#REF!="","",IF(Data!$G978="",1,IF(ISNUMBER(MATCH(Data!#REF!,Data_Val!$D$2:$D$10,0)),0,1)))</f>
        <v>#REF!</v>
      </c>
      <c r="AW978" s="12"/>
      <c r="AX978" s="26" t="e">
        <f ca="1">IF(Data!#REF!="","",IF(ISNUMBER(Data!#REF!),IF(AND(Data!#REF!&gt;(TODAY()-(Data_Val!$I$3*365.25)),Data!#REF!&lt;=(TODAY()-(Data_Val!$I$2*365.25))),0,1),1))</f>
        <v>#REF!</v>
      </c>
      <c r="AY978" s="12" t="e">
        <f>IF(Data!#REF!="","",IF(Data!$G978="",1,IF(ISNUMBER(MATCH(Data!#REF!,Data_Val!$D$2:$D$10,0)),0,1)))</f>
        <v>#REF!</v>
      </c>
      <c r="AZ978" s="11"/>
      <c r="BA978" s="19" t="e">
        <f ca="1">IF(Data!#REF!="","",IF(ISNUMBER(Data!#REF!),IF(AND(Data!#REF!&gt;(TODAY()-(Data_Val!$M$3*365.25)),Data!#REF!&lt;=(TODAY()-(Data_Val!$M$2*365.25))),0,1),1))</f>
        <v>#REF!</v>
      </c>
      <c r="BB978" s="11" t="e">
        <f>IF(Data!#REF!="","",IF(Data!$G978="",1,IF(ISNUMBER(MATCH(Data!#REF!,Data_Val!$D$2:$D$10,0)),0,1)))</f>
        <v>#REF!</v>
      </c>
      <c r="BC978" s="12"/>
      <c r="BD978" s="20" t="e">
        <f ca="1">IF(Data!#REF!="","",IF(ISNUMBER(Data!#REF!),IF(AND(Data!#REF!&gt;(TODAY()-(Data_Val!$M$3*365.25)),Data!#REF!&lt;=(TODAY()-(Data_Val!$M$2*365.25))),0,1),1))</f>
        <v>#REF!</v>
      </c>
      <c r="BE978" s="12" t="e">
        <f>IF(Data!#REF!="","",IF(Data!$G978="",1,IF(ISNUMBER(MATCH(Data!#REF!,Data_Val!$D$2:$D$10,0)),0,1)))</f>
        <v>#REF!</v>
      </c>
      <c r="BF978" s="17"/>
      <c r="BG978" s="18" t="e">
        <f ca="1">IF(Data!#REF!="","",IF(ISNUMBER(Data!#REF!),IF(AND(Data!#REF!&gt;(TODAY()-(Data_Val!$M$3*365.25)),Data!#REF!&lt;=(TODAY()-(Data_Val!$M$2*365.25))),0,1),1))</f>
        <v>#REF!</v>
      </c>
      <c r="BH978" s="29" t="e">
        <f>IF(Data!#REF!="","",IF(Data!$G978="",1,IF(ISNUMBER(MATCH(Data!#REF!,Data_Val!$D$2:$D$10,0)),0,1)))</f>
        <v>#REF!</v>
      </c>
      <c r="BI978" s="13"/>
      <c r="BJ978" s="21" t="e">
        <f ca="1">IF(Data!#REF!="","",IF(ISNUMBER(Data!#REF!),IF(AND(Data!#REF!&gt;(TODAY()-(Data_Val!$M$3*365.25)),Data!#REF!&lt;=(TODAY()-(Data_Val!$M$2*365.25))),0,1),1))</f>
        <v>#REF!</v>
      </c>
      <c r="BK978" s="13" t="e">
        <f>IF(Data!#REF!="","",IF(Data!$G978="",1,IF(ISNUMBER(MATCH(Data!#REF!,Data_Val!$D$2:$D$10,0)),0,1)))</f>
        <v>#REF!</v>
      </c>
    </row>
    <row r="979" spans="1:63" x14ac:dyDescent="0.25">
      <c r="A979" s="9" t="str">
        <f>IF(Data!B979="","",IF(COUNTIFS(Data!A$1:'Data'!A979,Data!A979)&lt;=1,0,1))</f>
        <v/>
      </c>
      <c r="B979" s="9"/>
      <c r="C979" s="23" t="str">
        <f>IF(Data!C979="","",(IF(ISNUMBER(MATCH("*@*.?*",Data!C979,0)),0,1)+IF(COUNTIFS(Data!C$1:'Data'!C979,Data!C979)&gt;1,1,0)))</f>
        <v/>
      </c>
      <c r="D979" s="9" t="str">
        <f>IF(Data!B979="","",IF(ISNUMBER(Data!D979),IF(AND(Data!D979&gt;999999999,Data!D979&lt;=9999999999),IF(COUNTIFS(Data!D$1:'Data'!D979,Data!D979)&lt;=1,0,1),1),1))</f>
        <v/>
      </c>
      <c r="E979" s="9" t="str">
        <f>IF(Data!B979="","",IF(ISNUMBER(MATCH(Data!E979,Data_Val!$A$2:$A$3,0)),0,1))</f>
        <v/>
      </c>
      <c r="F979" s="9" t="str">
        <f ca="1">IF(Data!B979="","",IF(ISNUMBER(Data!F979),IF(AND(Data!F979&gt;(TODAY()-(Data_Val!$H$3*365.25)),Data!F979&lt;=(TODAY()-(Data_Val!$H$2*365.25))),0,1),1))</f>
        <v/>
      </c>
      <c r="G979" s="15" t="str">
        <f>IF(Data!B979="","",IF(AND(Data!G979="",Data!H979&lt;&gt;""),1,IF(Data!#REF!&lt;&gt;"",0,IF(ISNUMBER(MATCH(Data!G979,Data_Val!$C$2:$C$5,0)),0,1))))</f>
        <v/>
      </c>
      <c r="H979" s="15" t="str">
        <f>IF(Data!B979="","",IF(AND(Data!G979&lt;&gt;"",Data!H979=""),1,IF(Data!#REF!&lt;&gt;"",0,IF(Data!G979="",1,IF(ISNUMBER(MATCH(Data!H979,Data_Val!$D$2:$D$35,0)),0,1)))))</f>
        <v/>
      </c>
      <c r="I979" s="15" t="str">
        <f>IF(Data!B979="","",IF(Data!G979&lt;&gt;"",0,IF(ISNUMBER(MATCH(Data!#REF!,Data_Val!$E$2:$E$12,0)),0,1)))</f>
        <v/>
      </c>
      <c r="J979" s="16" t="e">
        <f>IF(OR(Data!B979="",Data!#REF!=""),"",IF(Data!#REF!="",1,0))</f>
        <v>#REF!</v>
      </c>
      <c r="K979" s="16" t="e">
        <f>IF(OR(Data!B979="",Data!#REF!=""),"",IF(Data!#REF!="",1,0))</f>
        <v>#REF!</v>
      </c>
      <c r="L979" s="16" t="e">
        <f>IF(OR(Data!B979="",Data!#REF!=""),"",IF(ISNUMBER(Data!#REF!),IF(AND(Data!#REF!&gt;Data_Val!$G$2,Data!#REF!&lt;=Data_Val!$G$3),0,1),1))</f>
        <v>#REF!</v>
      </c>
      <c r="M979" s="9" t="e">
        <f>IF(OR(Data!B979="",Data!#REF!=""),"",IF(ISNUMBER(MATCH(Data!#REF!,Data_Val!$F$1:$F$38,0)),0,1))</f>
        <v>#REF!</v>
      </c>
      <c r="N979" s="9" t="e">
        <f>IF(OR(Data!B979="",Data!#REF!=""),"",IF(Data!#REF!="",1,0))</f>
        <v>#REF!</v>
      </c>
      <c r="O979" s="17" t="e">
        <f>IF(Data!#REF!="","",IF(Data!#REF!="",1,0))</f>
        <v>#REF!</v>
      </c>
      <c r="P979" s="17" t="e">
        <f>IF(Data!#REF!="","",IF(ISNUMBER(MATCH(Data!#REF!,Data_Val!$A$2:$A$3,0)),0,1))</f>
        <v>#REF!</v>
      </c>
      <c r="Q979" s="25" t="e">
        <f ca="1">IF(Data!#REF!="","",IF(ISNUMBER(Data!#REF!),IF(AND(Data!#REF!&gt;(TODAY()-(Data_Val!$J$3*365.25)),Data!#REF!&lt;=(TODAY()-(Data_Val!$J$2*365.25))),0,1),1))</f>
        <v>#REF!</v>
      </c>
      <c r="R979" s="17" t="e">
        <f>IF(Data!#REF!="","",IF(ISNUMBER(MATCH(Data!#REF!,Data_Val!$B$2:$B$15,0)),0,1))</f>
        <v>#REF!</v>
      </c>
      <c r="S979" s="11" t="str">
        <f>IF(Data!G979="","",IF(Data!G979=Data_Val!$C$2,IF(Data!M979="",0,1),0))</f>
        <v/>
      </c>
      <c r="T979" s="11" t="str">
        <f>IF(Data!M979="","",IF(ISNUMBER(MATCH(Data!N979,Data_Val!$A$2:$A$3,0)),0,1))</f>
        <v/>
      </c>
      <c r="U979" s="11" t="str">
        <f ca="1">IF(Data!M979="","",IF(ISNUMBER(Data!O979),IF(AND(Data!O979&gt;(TODAY()-(Data_Val!$K$3*365.25)),Data!O979&lt;=(TODAY()-(Data_Val!$K$2*365.25))),0,1),1))</f>
        <v/>
      </c>
      <c r="V979" s="12" t="str">
        <f>IF(Data!G979="","",IF(Data!G979=Data_Val!$C$2,IF(Data!P979="",0,1),0))</f>
        <v/>
      </c>
      <c r="W979" s="12" t="str">
        <f>IF(Data!P979="","",IF(ISNUMBER(MATCH(Data!Q979,Data_Val!$A$2:$A$3,0)),0,1))</f>
        <v/>
      </c>
      <c r="X979" s="26" t="str">
        <f ca="1">IF(Data!P979="","",IF(ISNUMBER(Data!R979),IF(AND(Data!R979&gt;(TODAY()-(Data_Val!$L$3*365.25)),Data!R979&lt;=(TODAY()-(Data_Val!$L$2*365.25))),0,1),1))</f>
        <v/>
      </c>
      <c r="Y979" s="13" t="str">
        <f>IF(Data!$G979="","",IF(Data!$G979=Data_Val!$C$2,IF(Data!S979="",0,1),0))</f>
        <v/>
      </c>
      <c r="Z979" s="13" t="str">
        <f>IF(Data!S979="","",IF(ISNUMBER(MATCH(Data!T979,Data_Val!$A$2:$A$3,0)),0,1))</f>
        <v/>
      </c>
      <c r="AA979" s="28" t="str">
        <f ca="1">IF(Data!S979="","",IF(ISNUMBER(Data!U979),IF(AND(Data!U979&gt;(TODAY()-(Data_Val!$L$3*365.25)),Data!U979&lt;=(TODAY()-(Data_Val!$L$2*365.25))),0,1),1))</f>
        <v/>
      </c>
      <c r="AB979" s="11"/>
      <c r="AC979" s="11" t="e">
        <f>IF(Data!#REF!="","",IF(ISNUMBER(MATCH(Data!#REF!,Data_Val!$A$2:$A$3,0)),0,1))</f>
        <v>#REF!</v>
      </c>
      <c r="AD979" s="11" t="e">
        <f ca="1">IF(Data!#REF!="","",IF(ISNUMBER(Data!#REF!),IF(AND(Data!#REF!&gt;(TODAY()-(Data_Val!$L$3*365.25)),Data!#REF!&lt;=(TODAY()-(Data_Val!$L$2*365.25))),0,1),1))</f>
        <v>#REF!</v>
      </c>
      <c r="AE979" s="11" t="e">
        <f>IF(Data!#REF!="","",IF(Data!$G979="",1,IF(ISNUMBER(MATCH(Data!#REF!,Data_Val!$D$2:$D$10,0)),0,1)))</f>
        <v>#REF!</v>
      </c>
      <c r="AF979" s="12"/>
      <c r="AG979" s="12" t="e">
        <f>IF(Data!#REF!="","",IF(ISNUMBER(MATCH(Data!#REF!,Data_Val!$A$2:$A$3,0)),0,1))</f>
        <v>#REF!</v>
      </c>
      <c r="AH979" s="26" t="e">
        <f ca="1">IF(Data!#REF!="","",IF(ISNUMBER(Data!#REF!),IF(AND(Data!#REF!&gt;(TODAY()-(Data_Val!$L$3*365.25)),Data!#REF!&lt;=(TODAY()-(Data_Val!$L$2*365.25))),0,1),1))</f>
        <v>#REF!</v>
      </c>
      <c r="AI979" s="12" t="e">
        <f>IF(Data!#REF!="","",IF(Data!$G979="",1,IF(ISNUMBER(MATCH(Data!#REF!,Data_Val!$D$2:$D$10,0)),0,1)))</f>
        <v>#REF!</v>
      </c>
      <c r="AJ979" s="17"/>
      <c r="AK979" s="17" t="e">
        <f>IF(Data!#REF!="","",IF(ISNUMBER(MATCH(Data!#REF!,Data_Val!$A$2:$A$3,0)),0,1))</f>
        <v>#REF!</v>
      </c>
      <c r="AL979" s="25" t="e">
        <f ca="1">IF(Data!#REF!="","",IF(ISNUMBER(Data!#REF!),IF(AND(Data!#REF!&gt;(TODAY()-(Data_Val!$L$3*365.25)),Data!#REF!&lt;=(TODAY()-(Data_Val!$L$2*365.25))),0,1),1))</f>
        <v>#REF!</v>
      </c>
      <c r="AM979" s="17" t="e">
        <f>IF(Data!#REF!="","",IF(Data!$G979="",1,IF(ISNUMBER(MATCH(Data!#REF!,Data_Val!$D$2:$D$10,0)),0,1)))</f>
        <v>#REF!</v>
      </c>
      <c r="AN979" s="13"/>
      <c r="AO979" s="28" t="e">
        <f ca="1">IF(Data!#REF!="","",IF(ISNUMBER(Data!#REF!),IF(AND(Data!#REF!&gt;(TODAY()-(Data_Val!$I$3*365.25)),Data!#REF!&lt;=(TODAY()-(Data_Val!$I$2*365.25))),0,1),1))</f>
        <v>#REF!</v>
      </c>
      <c r="AP979" s="13" t="e">
        <f>IF(Data!#REF!="","",IF(Data!$G979="",1,IF(ISNUMBER(MATCH(Data!#REF!,Data_Val!$D$2:$D$10,0)),0,1)))</f>
        <v>#REF!</v>
      </c>
      <c r="AQ979" s="17"/>
      <c r="AR979" s="30" t="e">
        <f ca="1">IF(Data!#REF!="","",IF(ISNUMBER(Data!#REF!),IF(AND(Data!#REF!&gt;(TODAY()-(Data_Val!$I$3*365.25)),Data!#REF!&lt;=(TODAY()-(Data_Val!$I$2*365.25))),0,1),1))</f>
        <v>#REF!</v>
      </c>
      <c r="AS979" s="31" t="e">
        <f>IF(Data!#REF!="","",IF(Data!$G979="",1,IF(ISNUMBER(MATCH(Data!#REF!,Data_Val!$D$2:$D$10,0)),0,1)))</f>
        <v>#REF!</v>
      </c>
      <c r="AT979" s="11"/>
      <c r="AU979" s="11" t="e">
        <f ca="1">IF(Data!#REF!="","",IF(ISNUMBER(Data!#REF!),IF(AND(Data!#REF!&gt;(TODAY()-(Data_Val!$I$3*365.25)),Data!#REF!&lt;=(TODAY()-(Data_Val!$I$2*365.25))),0,1),1))</f>
        <v>#REF!</v>
      </c>
      <c r="AV979" s="11" t="e">
        <f>IF(Data!#REF!="","",IF(Data!$G979="",1,IF(ISNUMBER(MATCH(Data!#REF!,Data_Val!$D$2:$D$10,0)),0,1)))</f>
        <v>#REF!</v>
      </c>
      <c r="AW979" s="12"/>
      <c r="AX979" s="26" t="e">
        <f ca="1">IF(Data!#REF!="","",IF(ISNUMBER(Data!#REF!),IF(AND(Data!#REF!&gt;(TODAY()-(Data_Val!$I$3*365.25)),Data!#REF!&lt;=(TODAY()-(Data_Val!$I$2*365.25))),0,1),1))</f>
        <v>#REF!</v>
      </c>
      <c r="AY979" s="12" t="e">
        <f>IF(Data!#REF!="","",IF(Data!$G979="",1,IF(ISNUMBER(MATCH(Data!#REF!,Data_Val!$D$2:$D$10,0)),0,1)))</f>
        <v>#REF!</v>
      </c>
      <c r="AZ979" s="11"/>
      <c r="BA979" s="19" t="e">
        <f ca="1">IF(Data!#REF!="","",IF(ISNUMBER(Data!#REF!),IF(AND(Data!#REF!&gt;(TODAY()-(Data_Val!$M$3*365.25)),Data!#REF!&lt;=(TODAY()-(Data_Val!$M$2*365.25))),0,1),1))</f>
        <v>#REF!</v>
      </c>
      <c r="BB979" s="11" t="e">
        <f>IF(Data!#REF!="","",IF(Data!$G979="",1,IF(ISNUMBER(MATCH(Data!#REF!,Data_Val!$D$2:$D$10,0)),0,1)))</f>
        <v>#REF!</v>
      </c>
      <c r="BC979" s="12"/>
      <c r="BD979" s="20" t="e">
        <f ca="1">IF(Data!#REF!="","",IF(ISNUMBER(Data!#REF!),IF(AND(Data!#REF!&gt;(TODAY()-(Data_Val!$M$3*365.25)),Data!#REF!&lt;=(TODAY()-(Data_Val!$M$2*365.25))),0,1),1))</f>
        <v>#REF!</v>
      </c>
      <c r="BE979" s="12" t="e">
        <f>IF(Data!#REF!="","",IF(Data!$G979="",1,IF(ISNUMBER(MATCH(Data!#REF!,Data_Val!$D$2:$D$10,0)),0,1)))</f>
        <v>#REF!</v>
      </c>
      <c r="BF979" s="17"/>
      <c r="BG979" s="18" t="e">
        <f ca="1">IF(Data!#REF!="","",IF(ISNUMBER(Data!#REF!),IF(AND(Data!#REF!&gt;(TODAY()-(Data_Val!$M$3*365.25)),Data!#REF!&lt;=(TODAY()-(Data_Val!$M$2*365.25))),0,1),1))</f>
        <v>#REF!</v>
      </c>
      <c r="BH979" s="29" t="e">
        <f>IF(Data!#REF!="","",IF(Data!$G979="",1,IF(ISNUMBER(MATCH(Data!#REF!,Data_Val!$D$2:$D$10,0)),0,1)))</f>
        <v>#REF!</v>
      </c>
      <c r="BI979" s="13"/>
      <c r="BJ979" s="21" t="e">
        <f ca="1">IF(Data!#REF!="","",IF(ISNUMBER(Data!#REF!),IF(AND(Data!#REF!&gt;(TODAY()-(Data_Val!$M$3*365.25)),Data!#REF!&lt;=(TODAY()-(Data_Val!$M$2*365.25))),0,1),1))</f>
        <v>#REF!</v>
      </c>
      <c r="BK979" s="13" t="e">
        <f>IF(Data!#REF!="","",IF(Data!$G979="",1,IF(ISNUMBER(MATCH(Data!#REF!,Data_Val!$D$2:$D$10,0)),0,1)))</f>
        <v>#REF!</v>
      </c>
    </row>
    <row r="980" spans="1:63" x14ac:dyDescent="0.25">
      <c r="A980" s="9" t="str">
        <f>IF(Data!B980="","",IF(COUNTIFS(Data!A$1:'Data'!A980,Data!A980)&lt;=1,0,1))</f>
        <v/>
      </c>
      <c r="B980" s="9"/>
      <c r="C980" s="23" t="str">
        <f>IF(Data!C980="","",(IF(ISNUMBER(MATCH("*@*.?*",Data!C980,0)),0,1)+IF(COUNTIFS(Data!C$1:'Data'!C980,Data!C980)&gt;1,1,0)))</f>
        <v/>
      </c>
      <c r="D980" s="9" t="str">
        <f>IF(Data!B980="","",IF(ISNUMBER(Data!D980),IF(AND(Data!D980&gt;999999999,Data!D980&lt;=9999999999),IF(COUNTIFS(Data!D$1:'Data'!D980,Data!D980)&lt;=1,0,1),1),1))</f>
        <v/>
      </c>
      <c r="E980" s="9" t="str">
        <f>IF(Data!B980="","",IF(ISNUMBER(MATCH(Data!E980,Data_Val!$A$2:$A$3,0)),0,1))</f>
        <v/>
      </c>
      <c r="F980" s="9" t="str">
        <f ca="1">IF(Data!B980="","",IF(ISNUMBER(Data!F980),IF(AND(Data!F980&gt;(TODAY()-(Data_Val!$H$3*365.25)),Data!F980&lt;=(TODAY()-(Data_Val!$H$2*365.25))),0,1),1))</f>
        <v/>
      </c>
      <c r="G980" s="15" t="str">
        <f>IF(Data!B980="","",IF(AND(Data!G980="",Data!H980&lt;&gt;""),1,IF(Data!#REF!&lt;&gt;"",0,IF(ISNUMBER(MATCH(Data!G980,Data_Val!$C$2:$C$5,0)),0,1))))</f>
        <v/>
      </c>
      <c r="H980" s="15" t="str">
        <f>IF(Data!B980="","",IF(AND(Data!G980&lt;&gt;"",Data!H980=""),1,IF(Data!#REF!&lt;&gt;"",0,IF(Data!G980="",1,IF(ISNUMBER(MATCH(Data!H980,Data_Val!$D$2:$D$35,0)),0,1)))))</f>
        <v/>
      </c>
      <c r="I980" s="15" t="str">
        <f>IF(Data!B980="","",IF(Data!G980&lt;&gt;"",0,IF(ISNUMBER(MATCH(Data!#REF!,Data_Val!$E$2:$E$12,0)),0,1)))</f>
        <v/>
      </c>
      <c r="J980" s="16" t="e">
        <f>IF(OR(Data!B980="",Data!#REF!=""),"",IF(Data!#REF!="",1,0))</f>
        <v>#REF!</v>
      </c>
      <c r="K980" s="16" t="e">
        <f>IF(OR(Data!B980="",Data!#REF!=""),"",IF(Data!#REF!="",1,0))</f>
        <v>#REF!</v>
      </c>
      <c r="L980" s="16" t="e">
        <f>IF(OR(Data!B980="",Data!#REF!=""),"",IF(ISNUMBER(Data!#REF!),IF(AND(Data!#REF!&gt;Data_Val!$G$2,Data!#REF!&lt;=Data_Val!$G$3),0,1),1))</f>
        <v>#REF!</v>
      </c>
      <c r="M980" s="9" t="e">
        <f>IF(OR(Data!B980="",Data!#REF!=""),"",IF(ISNUMBER(MATCH(Data!#REF!,Data_Val!$F$1:$F$38,0)),0,1))</f>
        <v>#REF!</v>
      </c>
      <c r="N980" s="9" t="e">
        <f>IF(OR(Data!B980="",Data!#REF!=""),"",IF(Data!#REF!="",1,0))</f>
        <v>#REF!</v>
      </c>
      <c r="O980" s="17" t="e">
        <f>IF(Data!#REF!="","",IF(Data!#REF!="",1,0))</f>
        <v>#REF!</v>
      </c>
      <c r="P980" s="17" t="e">
        <f>IF(Data!#REF!="","",IF(ISNUMBER(MATCH(Data!#REF!,Data_Val!$A$2:$A$3,0)),0,1))</f>
        <v>#REF!</v>
      </c>
      <c r="Q980" s="25" t="e">
        <f ca="1">IF(Data!#REF!="","",IF(ISNUMBER(Data!#REF!),IF(AND(Data!#REF!&gt;(TODAY()-(Data_Val!$J$3*365.25)),Data!#REF!&lt;=(TODAY()-(Data_Val!$J$2*365.25))),0,1),1))</f>
        <v>#REF!</v>
      </c>
      <c r="R980" s="17" t="e">
        <f>IF(Data!#REF!="","",IF(ISNUMBER(MATCH(Data!#REF!,Data_Val!$B$2:$B$15,0)),0,1))</f>
        <v>#REF!</v>
      </c>
      <c r="S980" s="11" t="str">
        <f>IF(Data!G980="","",IF(Data!G980=Data_Val!$C$2,IF(Data!M980="",0,1),0))</f>
        <v/>
      </c>
      <c r="T980" s="11" t="str">
        <f>IF(Data!M980="","",IF(ISNUMBER(MATCH(Data!N980,Data_Val!$A$2:$A$3,0)),0,1))</f>
        <v/>
      </c>
      <c r="U980" s="11" t="str">
        <f ca="1">IF(Data!M980="","",IF(ISNUMBER(Data!O980),IF(AND(Data!O980&gt;(TODAY()-(Data_Val!$K$3*365.25)),Data!O980&lt;=(TODAY()-(Data_Val!$K$2*365.25))),0,1),1))</f>
        <v/>
      </c>
      <c r="V980" s="12" t="str">
        <f>IF(Data!G980="","",IF(Data!G980=Data_Val!$C$2,IF(Data!P980="",0,1),0))</f>
        <v/>
      </c>
      <c r="W980" s="12" t="str">
        <f>IF(Data!P980="","",IF(ISNUMBER(MATCH(Data!Q980,Data_Val!$A$2:$A$3,0)),0,1))</f>
        <v/>
      </c>
      <c r="X980" s="26" t="str">
        <f ca="1">IF(Data!P980="","",IF(ISNUMBER(Data!R980),IF(AND(Data!R980&gt;(TODAY()-(Data_Val!$L$3*365.25)),Data!R980&lt;=(TODAY()-(Data_Val!$L$2*365.25))),0,1),1))</f>
        <v/>
      </c>
      <c r="Y980" s="13" t="str">
        <f>IF(Data!$G980="","",IF(Data!$G980=Data_Val!$C$2,IF(Data!S980="",0,1),0))</f>
        <v/>
      </c>
      <c r="Z980" s="13" t="str">
        <f>IF(Data!S980="","",IF(ISNUMBER(MATCH(Data!T980,Data_Val!$A$2:$A$3,0)),0,1))</f>
        <v/>
      </c>
      <c r="AA980" s="28" t="str">
        <f ca="1">IF(Data!S980="","",IF(ISNUMBER(Data!U980),IF(AND(Data!U980&gt;(TODAY()-(Data_Val!$L$3*365.25)),Data!U980&lt;=(TODAY()-(Data_Val!$L$2*365.25))),0,1),1))</f>
        <v/>
      </c>
      <c r="AB980" s="11"/>
      <c r="AC980" s="11" t="e">
        <f>IF(Data!#REF!="","",IF(ISNUMBER(MATCH(Data!#REF!,Data_Val!$A$2:$A$3,0)),0,1))</f>
        <v>#REF!</v>
      </c>
      <c r="AD980" s="11" t="e">
        <f ca="1">IF(Data!#REF!="","",IF(ISNUMBER(Data!#REF!),IF(AND(Data!#REF!&gt;(TODAY()-(Data_Val!$L$3*365.25)),Data!#REF!&lt;=(TODAY()-(Data_Val!$L$2*365.25))),0,1),1))</f>
        <v>#REF!</v>
      </c>
      <c r="AE980" s="11" t="e">
        <f>IF(Data!#REF!="","",IF(Data!$G980="",1,IF(ISNUMBER(MATCH(Data!#REF!,Data_Val!$D$2:$D$10,0)),0,1)))</f>
        <v>#REF!</v>
      </c>
      <c r="AF980" s="12"/>
      <c r="AG980" s="12" t="e">
        <f>IF(Data!#REF!="","",IF(ISNUMBER(MATCH(Data!#REF!,Data_Val!$A$2:$A$3,0)),0,1))</f>
        <v>#REF!</v>
      </c>
      <c r="AH980" s="26" t="e">
        <f ca="1">IF(Data!#REF!="","",IF(ISNUMBER(Data!#REF!),IF(AND(Data!#REF!&gt;(TODAY()-(Data_Val!$L$3*365.25)),Data!#REF!&lt;=(TODAY()-(Data_Val!$L$2*365.25))),0,1),1))</f>
        <v>#REF!</v>
      </c>
      <c r="AI980" s="12" t="e">
        <f>IF(Data!#REF!="","",IF(Data!$G980="",1,IF(ISNUMBER(MATCH(Data!#REF!,Data_Val!$D$2:$D$10,0)),0,1)))</f>
        <v>#REF!</v>
      </c>
      <c r="AJ980" s="17"/>
      <c r="AK980" s="17" t="e">
        <f>IF(Data!#REF!="","",IF(ISNUMBER(MATCH(Data!#REF!,Data_Val!$A$2:$A$3,0)),0,1))</f>
        <v>#REF!</v>
      </c>
      <c r="AL980" s="25" t="e">
        <f ca="1">IF(Data!#REF!="","",IF(ISNUMBER(Data!#REF!),IF(AND(Data!#REF!&gt;(TODAY()-(Data_Val!$L$3*365.25)),Data!#REF!&lt;=(TODAY()-(Data_Val!$L$2*365.25))),0,1),1))</f>
        <v>#REF!</v>
      </c>
      <c r="AM980" s="17" t="e">
        <f>IF(Data!#REF!="","",IF(Data!$G980="",1,IF(ISNUMBER(MATCH(Data!#REF!,Data_Val!$D$2:$D$10,0)),0,1)))</f>
        <v>#REF!</v>
      </c>
      <c r="AN980" s="13"/>
      <c r="AO980" s="28" t="e">
        <f ca="1">IF(Data!#REF!="","",IF(ISNUMBER(Data!#REF!),IF(AND(Data!#REF!&gt;(TODAY()-(Data_Val!$I$3*365.25)),Data!#REF!&lt;=(TODAY()-(Data_Val!$I$2*365.25))),0,1),1))</f>
        <v>#REF!</v>
      </c>
      <c r="AP980" s="13" t="e">
        <f>IF(Data!#REF!="","",IF(Data!$G980="",1,IF(ISNUMBER(MATCH(Data!#REF!,Data_Val!$D$2:$D$10,0)),0,1)))</f>
        <v>#REF!</v>
      </c>
      <c r="AQ980" s="17"/>
      <c r="AR980" s="30" t="e">
        <f ca="1">IF(Data!#REF!="","",IF(ISNUMBER(Data!#REF!),IF(AND(Data!#REF!&gt;(TODAY()-(Data_Val!$I$3*365.25)),Data!#REF!&lt;=(TODAY()-(Data_Val!$I$2*365.25))),0,1),1))</f>
        <v>#REF!</v>
      </c>
      <c r="AS980" s="31" t="e">
        <f>IF(Data!#REF!="","",IF(Data!$G980="",1,IF(ISNUMBER(MATCH(Data!#REF!,Data_Val!$D$2:$D$10,0)),0,1)))</f>
        <v>#REF!</v>
      </c>
      <c r="AT980" s="11"/>
      <c r="AU980" s="11" t="e">
        <f ca="1">IF(Data!#REF!="","",IF(ISNUMBER(Data!#REF!),IF(AND(Data!#REF!&gt;(TODAY()-(Data_Val!$I$3*365.25)),Data!#REF!&lt;=(TODAY()-(Data_Val!$I$2*365.25))),0,1),1))</f>
        <v>#REF!</v>
      </c>
      <c r="AV980" s="11" t="e">
        <f>IF(Data!#REF!="","",IF(Data!$G980="",1,IF(ISNUMBER(MATCH(Data!#REF!,Data_Val!$D$2:$D$10,0)),0,1)))</f>
        <v>#REF!</v>
      </c>
      <c r="AW980" s="12"/>
      <c r="AX980" s="26" t="e">
        <f ca="1">IF(Data!#REF!="","",IF(ISNUMBER(Data!#REF!),IF(AND(Data!#REF!&gt;(TODAY()-(Data_Val!$I$3*365.25)),Data!#REF!&lt;=(TODAY()-(Data_Val!$I$2*365.25))),0,1),1))</f>
        <v>#REF!</v>
      </c>
      <c r="AY980" s="12" t="e">
        <f>IF(Data!#REF!="","",IF(Data!$G980="",1,IF(ISNUMBER(MATCH(Data!#REF!,Data_Val!$D$2:$D$10,0)),0,1)))</f>
        <v>#REF!</v>
      </c>
      <c r="AZ980" s="11"/>
      <c r="BA980" s="19" t="e">
        <f ca="1">IF(Data!#REF!="","",IF(ISNUMBER(Data!#REF!),IF(AND(Data!#REF!&gt;(TODAY()-(Data_Val!$M$3*365.25)),Data!#REF!&lt;=(TODAY()-(Data_Val!$M$2*365.25))),0,1),1))</f>
        <v>#REF!</v>
      </c>
      <c r="BB980" s="11" t="e">
        <f>IF(Data!#REF!="","",IF(Data!$G980="",1,IF(ISNUMBER(MATCH(Data!#REF!,Data_Val!$D$2:$D$10,0)),0,1)))</f>
        <v>#REF!</v>
      </c>
      <c r="BC980" s="12"/>
      <c r="BD980" s="20" t="e">
        <f ca="1">IF(Data!#REF!="","",IF(ISNUMBER(Data!#REF!),IF(AND(Data!#REF!&gt;(TODAY()-(Data_Val!$M$3*365.25)),Data!#REF!&lt;=(TODAY()-(Data_Val!$M$2*365.25))),0,1),1))</f>
        <v>#REF!</v>
      </c>
      <c r="BE980" s="12" t="e">
        <f>IF(Data!#REF!="","",IF(Data!$G980="",1,IF(ISNUMBER(MATCH(Data!#REF!,Data_Val!$D$2:$D$10,0)),0,1)))</f>
        <v>#REF!</v>
      </c>
      <c r="BF980" s="17"/>
      <c r="BG980" s="18" t="e">
        <f ca="1">IF(Data!#REF!="","",IF(ISNUMBER(Data!#REF!),IF(AND(Data!#REF!&gt;(TODAY()-(Data_Val!$M$3*365.25)),Data!#REF!&lt;=(TODAY()-(Data_Val!$M$2*365.25))),0,1),1))</f>
        <v>#REF!</v>
      </c>
      <c r="BH980" s="29" t="e">
        <f>IF(Data!#REF!="","",IF(Data!$G980="",1,IF(ISNUMBER(MATCH(Data!#REF!,Data_Val!$D$2:$D$10,0)),0,1)))</f>
        <v>#REF!</v>
      </c>
      <c r="BI980" s="13"/>
      <c r="BJ980" s="21" t="e">
        <f ca="1">IF(Data!#REF!="","",IF(ISNUMBER(Data!#REF!),IF(AND(Data!#REF!&gt;(TODAY()-(Data_Val!$M$3*365.25)),Data!#REF!&lt;=(TODAY()-(Data_Val!$M$2*365.25))),0,1),1))</f>
        <v>#REF!</v>
      </c>
      <c r="BK980" s="13" t="e">
        <f>IF(Data!#REF!="","",IF(Data!$G980="",1,IF(ISNUMBER(MATCH(Data!#REF!,Data_Val!$D$2:$D$10,0)),0,1)))</f>
        <v>#REF!</v>
      </c>
    </row>
    <row r="981" spans="1:63" x14ac:dyDescent="0.25">
      <c r="A981" s="9" t="str">
        <f>IF(Data!B981="","",IF(COUNTIFS(Data!A$1:'Data'!A981,Data!A981)&lt;=1,0,1))</f>
        <v/>
      </c>
      <c r="B981" s="9"/>
      <c r="C981" s="23" t="str">
        <f>IF(Data!C981="","",(IF(ISNUMBER(MATCH("*@*.?*",Data!C981,0)),0,1)+IF(COUNTIFS(Data!C$1:'Data'!C981,Data!C981)&gt;1,1,0)))</f>
        <v/>
      </c>
      <c r="D981" s="9" t="str">
        <f>IF(Data!B981="","",IF(ISNUMBER(Data!D981),IF(AND(Data!D981&gt;999999999,Data!D981&lt;=9999999999),IF(COUNTIFS(Data!D$1:'Data'!D981,Data!D981)&lt;=1,0,1),1),1))</f>
        <v/>
      </c>
      <c r="E981" s="9" t="str">
        <f>IF(Data!B981="","",IF(ISNUMBER(MATCH(Data!E981,Data_Val!$A$2:$A$3,0)),0,1))</f>
        <v/>
      </c>
      <c r="F981" s="9" t="str">
        <f ca="1">IF(Data!B981="","",IF(ISNUMBER(Data!F981),IF(AND(Data!F981&gt;(TODAY()-(Data_Val!$H$3*365.25)),Data!F981&lt;=(TODAY()-(Data_Val!$H$2*365.25))),0,1),1))</f>
        <v/>
      </c>
      <c r="G981" s="15" t="str">
        <f>IF(Data!B981="","",IF(AND(Data!G981="",Data!H981&lt;&gt;""),1,IF(Data!#REF!&lt;&gt;"",0,IF(ISNUMBER(MATCH(Data!G981,Data_Val!$C$2:$C$5,0)),0,1))))</f>
        <v/>
      </c>
      <c r="H981" s="15" t="str">
        <f>IF(Data!B981="","",IF(AND(Data!G981&lt;&gt;"",Data!H981=""),1,IF(Data!#REF!&lt;&gt;"",0,IF(Data!G981="",1,IF(ISNUMBER(MATCH(Data!H981,Data_Val!$D$2:$D$35,0)),0,1)))))</f>
        <v/>
      </c>
      <c r="I981" s="15" t="str">
        <f>IF(Data!B981="","",IF(Data!G981&lt;&gt;"",0,IF(ISNUMBER(MATCH(Data!#REF!,Data_Val!$E$2:$E$12,0)),0,1)))</f>
        <v/>
      </c>
      <c r="J981" s="16" t="e">
        <f>IF(OR(Data!B981="",Data!#REF!=""),"",IF(Data!#REF!="",1,0))</f>
        <v>#REF!</v>
      </c>
      <c r="K981" s="16" t="e">
        <f>IF(OR(Data!B981="",Data!#REF!=""),"",IF(Data!#REF!="",1,0))</f>
        <v>#REF!</v>
      </c>
      <c r="L981" s="16" t="e">
        <f>IF(OR(Data!B981="",Data!#REF!=""),"",IF(ISNUMBER(Data!#REF!),IF(AND(Data!#REF!&gt;Data_Val!$G$2,Data!#REF!&lt;=Data_Val!$G$3),0,1),1))</f>
        <v>#REF!</v>
      </c>
      <c r="M981" s="9" t="e">
        <f>IF(OR(Data!B981="",Data!#REF!=""),"",IF(ISNUMBER(MATCH(Data!#REF!,Data_Val!$F$1:$F$38,0)),0,1))</f>
        <v>#REF!</v>
      </c>
      <c r="N981" s="9" t="e">
        <f>IF(OR(Data!B981="",Data!#REF!=""),"",IF(Data!#REF!="",1,0))</f>
        <v>#REF!</v>
      </c>
      <c r="O981" s="17" t="e">
        <f>IF(Data!#REF!="","",IF(Data!#REF!="",1,0))</f>
        <v>#REF!</v>
      </c>
      <c r="P981" s="17" t="e">
        <f>IF(Data!#REF!="","",IF(ISNUMBER(MATCH(Data!#REF!,Data_Val!$A$2:$A$3,0)),0,1))</f>
        <v>#REF!</v>
      </c>
      <c r="Q981" s="25" t="e">
        <f ca="1">IF(Data!#REF!="","",IF(ISNUMBER(Data!#REF!),IF(AND(Data!#REF!&gt;(TODAY()-(Data_Val!$J$3*365.25)),Data!#REF!&lt;=(TODAY()-(Data_Val!$J$2*365.25))),0,1),1))</f>
        <v>#REF!</v>
      </c>
      <c r="R981" s="17" t="e">
        <f>IF(Data!#REF!="","",IF(ISNUMBER(MATCH(Data!#REF!,Data_Val!$B$2:$B$15,0)),0,1))</f>
        <v>#REF!</v>
      </c>
      <c r="S981" s="11" t="str">
        <f>IF(Data!G981="","",IF(Data!G981=Data_Val!$C$2,IF(Data!M981="",0,1),0))</f>
        <v/>
      </c>
      <c r="T981" s="11" t="str">
        <f>IF(Data!M981="","",IF(ISNUMBER(MATCH(Data!N981,Data_Val!$A$2:$A$3,0)),0,1))</f>
        <v/>
      </c>
      <c r="U981" s="11" t="str">
        <f ca="1">IF(Data!M981="","",IF(ISNUMBER(Data!O981),IF(AND(Data!O981&gt;(TODAY()-(Data_Val!$K$3*365.25)),Data!O981&lt;=(TODAY()-(Data_Val!$K$2*365.25))),0,1),1))</f>
        <v/>
      </c>
      <c r="V981" s="12" t="str">
        <f>IF(Data!G981="","",IF(Data!G981=Data_Val!$C$2,IF(Data!P981="",0,1),0))</f>
        <v/>
      </c>
      <c r="W981" s="12" t="str">
        <f>IF(Data!P981="","",IF(ISNUMBER(MATCH(Data!Q981,Data_Val!$A$2:$A$3,0)),0,1))</f>
        <v/>
      </c>
      <c r="X981" s="26" t="str">
        <f ca="1">IF(Data!P981="","",IF(ISNUMBER(Data!R981),IF(AND(Data!R981&gt;(TODAY()-(Data_Val!$L$3*365.25)),Data!R981&lt;=(TODAY()-(Data_Val!$L$2*365.25))),0,1),1))</f>
        <v/>
      </c>
      <c r="Y981" s="13" t="str">
        <f>IF(Data!$G981="","",IF(Data!$G981=Data_Val!$C$2,IF(Data!S981="",0,1),0))</f>
        <v/>
      </c>
      <c r="Z981" s="13" t="str">
        <f>IF(Data!S981="","",IF(ISNUMBER(MATCH(Data!T981,Data_Val!$A$2:$A$3,0)),0,1))</f>
        <v/>
      </c>
      <c r="AA981" s="28" t="str">
        <f ca="1">IF(Data!S981="","",IF(ISNUMBER(Data!U981),IF(AND(Data!U981&gt;(TODAY()-(Data_Val!$L$3*365.25)),Data!U981&lt;=(TODAY()-(Data_Val!$L$2*365.25))),0,1),1))</f>
        <v/>
      </c>
      <c r="AB981" s="11"/>
      <c r="AC981" s="11" t="e">
        <f>IF(Data!#REF!="","",IF(ISNUMBER(MATCH(Data!#REF!,Data_Val!$A$2:$A$3,0)),0,1))</f>
        <v>#REF!</v>
      </c>
      <c r="AD981" s="11" t="e">
        <f ca="1">IF(Data!#REF!="","",IF(ISNUMBER(Data!#REF!),IF(AND(Data!#REF!&gt;(TODAY()-(Data_Val!$L$3*365.25)),Data!#REF!&lt;=(TODAY()-(Data_Val!$L$2*365.25))),0,1),1))</f>
        <v>#REF!</v>
      </c>
      <c r="AE981" s="11" t="e">
        <f>IF(Data!#REF!="","",IF(Data!$G981="",1,IF(ISNUMBER(MATCH(Data!#REF!,Data_Val!$D$2:$D$10,0)),0,1)))</f>
        <v>#REF!</v>
      </c>
      <c r="AF981" s="12"/>
      <c r="AG981" s="12" t="e">
        <f>IF(Data!#REF!="","",IF(ISNUMBER(MATCH(Data!#REF!,Data_Val!$A$2:$A$3,0)),0,1))</f>
        <v>#REF!</v>
      </c>
      <c r="AH981" s="26" t="e">
        <f ca="1">IF(Data!#REF!="","",IF(ISNUMBER(Data!#REF!),IF(AND(Data!#REF!&gt;(TODAY()-(Data_Val!$L$3*365.25)),Data!#REF!&lt;=(TODAY()-(Data_Val!$L$2*365.25))),0,1),1))</f>
        <v>#REF!</v>
      </c>
      <c r="AI981" s="12" t="e">
        <f>IF(Data!#REF!="","",IF(Data!$G981="",1,IF(ISNUMBER(MATCH(Data!#REF!,Data_Val!$D$2:$D$10,0)),0,1)))</f>
        <v>#REF!</v>
      </c>
      <c r="AJ981" s="17"/>
      <c r="AK981" s="17" t="e">
        <f>IF(Data!#REF!="","",IF(ISNUMBER(MATCH(Data!#REF!,Data_Val!$A$2:$A$3,0)),0,1))</f>
        <v>#REF!</v>
      </c>
      <c r="AL981" s="25" t="e">
        <f ca="1">IF(Data!#REF!="","",IF(ISNUMBER(Data!#REF!),IF(AND(Data!#REF!&gt;(TODAY()-(Data_Val!$L$3*365.25)),Data!#REF!&lt;=(TODAY()-(Data_Val!$L$2*365.25))),0,1),1))</f>
        <v>#REF!</v>
      </c>
      <c r="AM981" s="17" t="e">
        <f>IF(Data!#REF!="","",IF(Data!$G981="",1,IF(ISNUMBER(MATCH(Data!#REF!,Data_Val!$D$2:$D$10,0)),0,1)))</f>
        <v>#REF!</v>
      </c>
      <c r="AN981" s="13"/>
      <c r="AO981" s="28" t="e">
        <f ca="1">IF(Data!#REF!="","",IF(ISNUMBER(Data!#REF!),IF(AND(Data!#REF!&gt;(TODAY()-(Data_Val!$I$3*365.25)),Data!#REF!&lt;=(TODAY()-(Data_Val!$I$2*365.25))),0,1),1))</f>
        <v>#REF!</v>
      </c>
      <c r="AP981" s="13" t="e">
        <f>IF(Data!#REF!="","",IF(Data!$G981="",1,IF(ISNUMBER(MATCH(Data!#REF!,Data_Val!$D$2:$D$10,0)),0,1)))</f>
        <v>#REF!</v>
      </c>
      <c r="AQ981" s="17"/>
      <c r="AR981" s="30" t="e">
        <f ca="1">IF(Data!#REF!="","",IF(ISNUMBER(Data!#REF!),IF(AND(Data!#REF!&gt;(TODAY()-(Data_Val!$I$3*365.25)),Data!#REF!&lt;=(TODAY()-(Data_Val!$I$2*365.25))),0,1),1))</f>
        <v>#REF!</v>
      </c>
      <c r="AS981" s="31" t="e">
        <f>IF(Data!#REF!="","",IF(Data!$G981="",1,IF(ISNUMBER(MATCH(Data!#REF!,Data_Val!$D$2:$D$10,0)),0,1)))</f>
        <v>#REF!</v>
      </c>
      <c r="AT981" s="11"/>
      <c r="AU981" s="11" t="e">
        <f ca="1">IF(Data!#REF!="","",IF(ISNUMBER(Data!#REF!),IF(AND(Data!#REF!&gt;(TODAY()-(Data_Val!$I$3*365.25)),Data!#REF!&lt;=(TODAY()-(Data_Val!$I$2*365.25))),0,1),1))</f>
        <v>#REF!</v>
      </c>
      <c r="AV981" s="11" t="e">
        <f>IF(Data!#REF!="","",IF(Data!$G981="",1,IF(ISNUMBER(MATCH(Data!#REF!,Data_Val!$D$2:$D$10,0)),0,1)))</f>
        <v>#REF!</v>
      </c>
      <c r="AW981" s="12"/>
      <c r="AX981" s="26" t="e">
        <f ca="1">IF(Data!#REF!="","",IF(ISNUMBER(Data!#REF!),IF(AND(Data!#REF!&gt;(TODAY()-(Data_Val!$I$3*365.25)),Data!#REF!&lt;=(TODAY()-(Data_Val!$I$2*365.25))),0,1),1))</f>
        <v>#REF!</v>
      </c>
      <c r="AY981" s="12" t="e">
        <f>IF(Data!#REF!="","",IF(Data!$G981="",1,IF(ISNUMBER(MATCH(Data!#REF!,Data_Val!$D$2:$D$10,0)),0,1)))</f>
        <v>#REF!</v>
      </c>
      <c r="AZ981" s="11"/>
      <c r="BA981" s="19" t="e">
        <f ca="1">IF(Data!#REF!="","",IF(ISNUMBER(Data!#REF!),IF(AND(Data!#REF!&gt;(TODAY()-(Data_Val!$M$3*365.25)),Data!#REF!&lt;=(TODAY()-(Data_Val!$M$2*365.25))),0,1),1))</f>
        <v>#REF!</v>
      </c>
      <c r="BB981" s="11" t="e">
        <f>IF(Data!#REF!="","",IF(Data!$G981="",1,IF(ISNUMBER(MATCH(Data!#REF!,Data_Val!$D$2:$D$10,0)),0,1)))</f>
        <v>#REF!</v>
      </c>
      <c r="BC981" s="12"/>
      <c r="BD981" s="20" t="e">
        <f ca="1">IF(Data!#REF!="","",IF(ISNUMBER(Data!#REF!),IF(AND(Data!#REF!&gt;(TODAY()-(Data_Val!$M$3*365.25)),Data!#REF!&lt;=(TODAY()-(Data_Val!$M$2*365.25))),0,1),1))</f>
        <v>#REF!</v>
      </c>
      <c r="BE981" s="12" t="e">
        <f>IF(Data!#REF!="","",IF(Data!$G981="",1,IF(ISNUMBER(MATCH(Data!#REF!,Data_Val!$D$2:$D$10,0)),0,1)))</f>
        <v>#REF!</v>
      </c>
      <c r="BF981" s="17"/>
      <c r="BG981" s="18" t="e">
        <f ca="1">IF(Data!#REF!="","",IF(ISNUMBER(Data!#REF!),IF(AND(Data!#REF!&gt;(TODAY()-(Data_Val!$M$3*365.25)),Data!#REF!&lt;=(TODAY()-(Data_Val!$M$2*365.25))),0,1),1))</f>
        <v>#REF!</v>
      </c>
      <c r="BH981" s="29" t="e">
        <f>IF(Data!#REF!="","",IF(Data!$G981="",1,IF(ISNUMBER(MATCH(Data!#REF!,Data_Val!$D$2:$D$10,0)),0,1)))</f>
        <v>#REF!</v>
      </c>
      <c r="BI981" s="13"/>
      <c r="BJ981" s="21" t="e">
        <f ca="1">IF(Data!#REF!="","",IF(ISNUMBER(Data!#REF!),IF(AND(Data!#REF!&gt;(TODAY()-(Data_Val!$M$3*365.25)),Data!#REF!&lt;=(TODAY()-(Data_Val!$M$2*365.25))),0,1),1))</f>
        <v>#REF!</v>
      </c>
      <c r="BK981" s="13" t="e">
        <f>IF(Data!#REF!="","",IF(Data!$G981="",1,IF(ISNUMBER(MATCH(Data!#REF!,Data_Val!$D$2:$D$10,0)),0,1)))</f>
        <v>#REF!</v>
      </c>
    </row>
    <row r="982" spans="1:63" x14ac:dyDescent="0.25">
      <c r="A982" s="9" t="str">
        <f>IF(Data!B982="","",IF(COUNTIFS(Data!A$1:'Data'!A982,Data!A982)&lt;=1,0,1))</f>
        <v/>
      </c>
      <c r="B982" s="9"/>
      <c r="C982" s="23" t="str">
        <f>IF(Data!C982="","",(IF(ISNUMBER(MATCH("*@*.?*",Data!C982,0)),0,1)+IF(COUNTIFS(Data!C$1:'Data'!C982,Data!C982)&gt;1,1,0)))</f>
        <v/>
      </c>
      <c r="D982" s="9" t="str">
        <f>IF(Data!B982="","",IF(ISNUMBER(Data!D982),IF(AND(Data!D982&gt;999999999,Data!D982&lt;=9999999999),IF(COUNTIFS(Data!D$1:'Data'!D982,Data!D982)&lt;=1,0,1),1),1))</f>
        <v/>
      </c>
      <c r="E982" s="9" t="str">
        <f>IF(Data!B982="","",IF(ISNUMBER(MATCH(Data!E982,Data_Val!$A$2:$A$3,0)),0,1))</f>
        <v/>
      </c>
      <c r="F982" s="9" t="str">
        <f ca="1">IF(Data!B982="","",IF(ISNUMBER(Data!F982),IF(AND(Data!F982&gt;(TODAY()-(Data_Val!$H$3*365.25)),Data!F982&lt;=(TODAY()-(Data_Val!$H$2*365.25))),0,1),1))</f>
        <v/>
      </c>
      <c r="G982" s="15" t="str">
        <f>IF(Data!B982="","",IF(AND(Data!G982="",Data!H982&lt;&gt;""),1,IF(Data!#REF!&lt;&gt;"",0,IF(ISNUMBER(MATCH(Data!G982,Data_Val!$C$2:$C$5,0)),0,1))))</f>
        <v/>
      </c>
      <c r="H982" s="15" t="str">
        <f>IF(Data!B982="","",IF(AND(Data!G982&lt;&gt;"",Data!H982=""),1,IF(Data!#REF!&lt;&gt;"",0,IF(Data!G982="",1,IF(ISNUMBER(MATCH(Data!H982,Data_Val!$D$2:$D$35,0)),0,1)))))</f>
        <v/>
      </c>
      <c r="I982" s="15" t="str">
        <f>IF(Data!B982="","",IF(Data!G982&lt;&gt;"",0,IF(ISNUMBER(MATCH(Data!#REF!,Data_Val!$E$2:$E$12,0)),0,1)))</f>
        <v/>
      </c>
      <c r="J982" s="16" t="e">
        <f>IF(OR(Data!B982="",Data!#REF!=""),"",IF(Data!#REF!="",1,0))</f>
        <v>#REF!</v>
      </c>
      <c r="K982" s="16" t="e">
        <f>IF(OR(Data!B982="",Data!#REF!=""),"",IF(Data!#REF!="",1,0))</f>
        <v>#REF!</v>
      </c>
      <c r="L982" s="16" t="e">
        <f>IF(OR(Data!B982="",Data!#REF!=""),"",IF(ISNUMBER(Data!#REF!),IF(AND(Data!#REF!&gt;Data_Val!$G$2,Data!#REF!&lt;=Data_Val!$G$3),0,1),1))</f>
        <v>#REF!</v>
      </c>
      <c r="M982" s="9" t="e">
        <f>IF(OR(Data!B982="",Data!#REF!=""),"",IF(ISNUMBER(MATCH(Data!#REF!,Data_Val!$F$1:$F$38,0)),0,1))</f>
        <v>#REF!</v>
      </c>
      <c r="N982" s="9" t="e">
        <f>IF(OR(Data!B982="",Data!#REF!=""),"",IF(Data!#REF!="",1,0))</f>
        <v>#REF!</v>
      </c>
      <c r="O982" s="17" t="e">
        <f>IF(Data!#REF!="","",IF(Data!#REF!="",1,0))</f>
        <v>#REF!</v>
      </c>
      <c r="P982" s="17" t="e">
        <f>IF(Data!#REF!="","",IF(ISNUMBER(MATCH(Data!#REF!,Data_Val!$A$2:$A$3,0)),0,1))</f>
        <v>#REF!</v>
      </c>
      <c r="Q982" s="25" t="e">
        <f ca="1">IF(Data!#REF!="","",IF(ISNUMBER(Data!#REF!),IF(AND(Data!#REF!&gt;(TODAY()-(Data_Val!$J$3*365.25)),Data!#REF!&lt;=(TODAY()-(Data_Val!$J$2*365.25))),0,1),1))</f>
        <v>#REF!</v>
      </c>
      <c r="R982" s="17" t="e">
        <f>IF(Data!#REF!="","",IF(ISNUMBER(MATCH(Data!#REF!,Data_Val!$B$2:$B$15,0)),0,1))</f>
        <v>#REF!</v>
      </c>
      <c r="S982" s="11" t="str">
        <f>IF(Data!G982="","",IF(Data!G982=Data_Val!$C$2,IF(Data!M982="",0,1),0))</f>
        <v/>
      </c>
      <c r="T982" s="11" t="str">
        <f>IF(Data!M982="","",IF(ISNUMBER(MATCH(Data!N982,Data_Val!$A$2:$A$3,0)),0,1))</f>
        <v/>
      </c>
      <c r="U982" s="11" t="str">
        <f ca="1">IF(Data!M982="","",IF(ISNUMBER(Data!O982),IF(AND(Data!O982&gt;(TODAY()-(Data_Val!$K$3*365.25)),Data!O982&lt;=(TODAY()-(Data_Val!$K$2*365.25))),0,1),1))</f>
        <v/>
      </c>
      <c r="V982" s="12" t="str">
        <f>IF(Data!G982="","",IF(Data!G982=Data_Val!$C$2,IF(Data!P982="",0,1),0))</f>
        <v/>
      </c>
      <c r="W982" s="12" t="str">
        <f>IF(Data!P982="","",IF(ISNUMBER(MATCH(Data!Q982,Data_Val!$A$2:$A$3,0)),0,1))</f>
        <v/>
      </c>
      <c r="X982" s="26" t="str">
        <f ca="1">IF(Data!P982="","",IF(ISNUMBER(Data!R982),IF(AND(Data!R982&gt;(TODAY()-(Data_Val!$L$3*365.25)),Data!R982&lt;=(TODAY()-(Data_Val!$L$2*365.25))),0,1),1))</f>
        <v/>
      </c>
      <c r="Y982" s="13" t="str">
        <f>IF(Data!$G982="","",IF(Data!$G982=Data_Val!$C$2,IF(Data!S982="",0,1),0))</f>
        <v/>
      </c>
      <c r="Z982" s="13" t="str">
        <f>IF(Data!S982="","",IF(ISNUMBER(MATCH(Data!T982,Data_Val!$A$2:$A$3,0)),0,1))</f>
        <v/>
      </c>
      <c r="AA982" s="28" t="str">
        <f ca="1">IF(Data!S982="","",IF(ISNUMBER(Data!U982),IF(AND(Data!U982&gt;(TODAY()-(Data_Val!$L$3*365.25)),Data!U982&lt;=(TODAY()-(Data_Val!$L$2*365.25))),0,1),1))</f>
        <v/>
      </c>
      <c r="AB982" s="11"/>
      <c r="AC982" s="11" t="e">
        <f>IF(Data!#REF!="","",IF(ISNUMBER(MATCH(Data!#REF!,Data_Val!$A$2:$A$3,0)),0,1))</f>
        <v>#REF!</v>
      </c>
      <c r="AD982" s="11" t="e">
        <f ca="1">IF(Data!#REF!="","",IF(ISNUMBER(Data!#REF!),IF(AND(Data!#REF!&gt;(TODAY()-(Data_Val!$L$3*365.25)),Data!#REF!&lt;=(TODAY()-(Data_Val!$L$2*365.25))),0,1),1))</f>
        <v>#REF!</v>
      </c>
      <c r="AE982" s="11" t="e">
        <f>IF(Data!#REF!="","",IF(Data!$G982="",1,IF(ISNUMBER(MATCH(Data!#REF!,Data_Val!$D$2:$D$10,0)),0,1)))</f>
        <v>#REF!</v>
      </c>
      <c r="AF982" s="12"/>
      <c r="AG982" s="12" t="e">
        <f>IF(Data!#REF!="","",IF(ISNUMBER(MATCH(Data!#REF!,Data_Val!$A$2:$A$3,0)),0,1))</f>
        <v>#REF!</v>
      </c>
      <c r="AH982" s="26" t="e">
        <f ca="1">IF(Data!#REF!="","",IF(ISNUMBER(Data!#REF!),IF(AND(Data!#REF!&gt;(TODAY()-(Data_Val!$L$3*365.25)),Data!#REF!&lt;=(TODAY()-(Data_Val!$L$2*365.25))),0,1),1))</f>
        <v>#REF!</v>
      </c>
      <c r="AI982" s="12" t="e">
        <f>IF(Data!#REF!="","",IF(Data!$G982="",1,IF(ISNUMBER(MATCH(Data!#REF!,Data_Val!$D$2:$D$10,0)),0,1)))</f>
        <v>#REF!</v>
      </c>
      <c r="AJ982" s="17"/>
      <c r="AK982" s="17" t="e">
        <f>IF(Data!#REF!="","",IF(ISNUMBER(MATCH(Data!#REF!,Data_Val!$A$2:$A$3,0)),0,1))</f>
        <v>#REF!</v>
      </c>
      <c r="AL982" s="25" t="e">
        <f ca="1">IF(Data!#REF!="","",IF(ISNUMBER(Data!#REF!),IF(AND(Data!#REF!&gt;(TODAY()-(Data_Val!$L$3*365.25)),Data!#REF!&lt;=(TODAY()-(Data_Val!$L$2*365.25))),0,1),1))</f>
        <v>#REF!</v>
      </c>
      <c r="AM982" s="17" t="e">
        <f>IF(Data!#REF!="","",IF(Data!$G982="",1,IF(ISNUMBER(MATCH(Data!#REF!,Data_Val!$D$2:$D$10,0)),0,1)))</f>
        <v>#REF!</v>
      </c>
      <c r="AN982" s="13"/>
      <c r="AO982" s="28" t="e">
        <f ca="1">IF(Data!#REF!="","",IF(ISNUMBER(Data!#REF!),IF(AND(Data!#REF!&gt;(TODAY()-(Data_Val!$I$3*365.25)),Data!#REF!&lt;=(TODAY()-(Data_Val!$I$2*365.25))),0,1),1))</f>
        <v>#REF!</v>
      </c>
      <c r="AP982" s="13" t="e">
        <f>IF(Data!#REF!="","",IF(Data!$G982="",1,IF(ISNUMBER(MATCH(Data!#REF!,Data_Val!$D$2:$D$10,0)),0,1)))</f>
        <v>#REF!</v>
      </c>
      <c r="AQ982" s="17"/>
      <c r="AR982" s="30" t="e">
        <f ca="1">IF(Data!#REF!="","",IF(ISNUMBER(Data!#REF!),IF(AND(Data!#REF!&gt;(TODAY()-(Data_Val!$I$3*365.25)),Data!#REF!&lt;=(TODAY()-(Data_Val!$I$2*365.25))),0,1),1))</f>
        <v>#REF!</v>
      </c>
      <c r="AS982" s="31" t="e">
        <f>IF(Data!#REF!="","",IF(Data!$G982="",1,IF(ISNUMBER(MATCH(Data!#REF!,Data_Val!$D$2:$D$10,0)),0,1)))</f>
        <v>#REF!</v>
      </c>
      <c r="AT982" s="11"/>
      <c r="AU982" s="11" t="e">
        <f ca="1">IF(Data!#REF!="","",IF(ISNUMBER(Data!#REF!),IF(AND(Data!#REF!&gt;(TODAY()-(Data_Val!$I$3*365.25)),Data!#REF!&lt;=(TODAY()-(Data_Val!$I$2*365.25))),0,1),1))</f>
        <v>#REF!</v>
      </c>
      <c r="AV982" s="11" t="e">
        <f>IF(Data!#REF!="","",IF(Data!$G982="",1,IF(ISNUMBER(MATCH(Data!#REF!,Data_Val!$D$2:$D$10,0)),0,1)))</f>
        <v>#REF!</v>
      </c>
      <c r="AW982" s="12"/>
      <c r="AX982" s="26" t="e">
        <f ca="1">IF(Data!#REF!="","",IF(ISNUMBER(Data!#REF!),IF(AND(Data!#REF!&gt;(TODAY()-(Data_Val!$I$3*365.25)),Data!#REF!&lt;=(TODAY()-(Data_Val!$I$2*365.25))),0,1),1))</f>
        <v>#REF!</v>
      </c>
      <c r="AY982" s="12" t="e">
        <f>IF(Data!#REF!="","",IF(Data!$G982="",1,IF(ISNUMBER(MATCH(Data!#REF!,Data_Val!$D$2:$D$10,0)),0,1)))</f>
        <v>#REF!</v>
      </c>
      <c r="AZ982" s="11"/>
      <c r="BA982" s="19" t="e">
        <f ca="1">IF(Data!#REF!="","",IF(ISNUMBER(Data!#REF!),IF(AND(Data!#REF!&gt;(TODAY()-(Data_Val!$M$3*365.25)),Data!#REF!&lt;=(TODAY()-(Data_Val!$M$2*365.25))),0,1),1))</f>
        <v>#REF!</v>
      </c>
      <c r="BB982" s="11" t="e">
        <f>IF(Data!#REF!="","",IF(Data!$G982="",1,IF(ISNUMBER(MATCH(Data!#REF!,Data_Val!$D$2:$D$10,0)),0,1)))</f>
        <v>#REF!</v>
      </c>
      <c r="BC982" s="12"/>
      <c r="BD982" s="20" t="e">
        <f ca="1">IF(Data!#REF!="","",IF(ISNUMBER(Data!#REF!),IF(AND(Data!#REF!&gt;(TODAY()-(Data_Val!$M$3*365.25)),Data!#REF!&lt;=(TODAY()-(Data_Val!$M$2*365.25))),0,1),1))</f>
        <v>#REF!</v>
      </c>
      <c r="BE982" s="12" t="e">
        <f>IF(Data!#REF!="","",IF(Data!$G982="",1,IF(ISNUMBER(MATCH(Data!#REF!,Data_Val!$D$2:$D$10,0)),0,1)))</f>
        <v>#REF!</v>
      </c>
      <c r="BF982" s="17"/>
      <c r="BG982" s="18" t="e">
        <f ca="1">IF(Data!#REF!="","",IF(ISNUMBER(Data!#REF!),IF(AND(Data!#REF!&gt;(TODAY()-(Data_Val!$M$3*365.25)),Data!#REF!&lt;=(TODAY()-(Data_Val!$M$2*365.25))),0,1),1))</f>
        <v>#REF!</v>
      </c>
      <c r="BH982" s="29" t="e">
        <f>IF(Data!#REF!="","",IF(Data!$G982="",1,IF(ISNUMBER(MATCH(Data!#REF!,Data_Val!$D$2:$D$10,0)),0,1)))</f>
        <v>#REF!</v>
      </c>
      <c r="BI982" s="13"/>
      <c r="BJ982" s="21" t="e">
        <f ca="1">IF(Data!#REF!="","",IF(ISNUMBER(Data!#REF!),IF(AND(Data!#REF!&gt;(TODAY()-(Data_Val!$M$3*365.25)),Data!#REF!&lt;=(TODAY()-(Data_Val!$M$2*365.25))),0,1),1))</f>
        <v>#REF!</v>
      </c>
      <c r="BK982" s="13" t="e">
        <f>IF(Data!#REF!="","",IF(Data!$G982="",1,IF(ISNUMBER(MATCH(Data!#REF!,Data_Val!$D$2:$D$10,0)),0,1)))</f>
        <v>#REF!</v>
      </c>
    </row>
    <row r="983" spans="1:63" x14ac:dyDescent="0.25">
      <c r="A983" s="9" t="str">
        <f>IF(Data!B983="","",IF(COUNTIFS(Data!A$1:'Data'!A983,Data!A983)&lt;=1,0,1))</f>
        <v/>
      </c>
      <c r="B983" s="9"/>
      <c r="C983" s="23" t="str">
        <f>IF(Data!C983="","",(IF(ISNUMBER(MATCH("*@*.?*",Data!C983,0)),0,1)+IF(COUNTIFS(Data!C$1:'Data'!C983,Data!C983)&gt;1,1,0)))</f>
        <v/>
      </c>
      <c r="D983" s="9" t="str">
        <f>IF(Data!B983="","",IF(ISNUMBER(Data!D983),IF(AND(Data!D983&gt;999999999,Data!D983&lt;=9999999999),IF(COUNTIFS(Data!D$1:'Data'!D983,Data!D983)&lt;=1,0,1),1),1))</f>
        <v/>
      </c>
      <c r="E983" s="9" t="str">
        <f>IF(Data!B983="","",IF(ISNUMBER(MATCH(Data!E983,Data_Val!$A$2:$A$3,0)),0,1))</f>
        <v/>
      </c>
      <c r="F983" s="9" t="str">
        <f ca="1">IF(Data!B983="","",IF(ISNUMBER(Data!F983),IF(AND(Data!F983&gt;(TODAY()-(Data_Val!$H$3*365.25)),Data!F983&lt;=(TODAY()-(Data_Val!$H$2*365.25))),0,1),1))</f>
        <v/>
      </c>
      <c r="G983" s="15" t="str">
        <f>IF(Data!B983="","",IF(AND(Data!G983="",Data!H983&lt;&gt;""),1,IF(Data!#REF!&lt;&gt;"",0,IF(ISNUMBER(MATCH(Data!G983,Data_Val!$C$2:$C$5,0)),0,1))))</f>
        <v/>
      </c>
      <c r="H983" s="15" t="str">
        <f>IF(Data!B983="","",IF(AND(Data!G983&lt;&gt;"",Data!H983=""),1,IF(Data!#REF!&lt;&gt;"",0,IF(Data!G983="",1,IF(ISNUMBER(MATCH(Data!H983,Data_Val!$D$2:$D$35,0)),0,1)))))</f>
        <v/>
      </c>
      <c r="I983" s="15" t="str">
        <f>IF(Data!B983="","",IF(Data!G983&lt;&gt;"",0,IF(ISNUMBER(MATCH(Data!#REF!,Data_Val!$E$2:$E$12,0)),0,1)))</f>
        <v/>
      </c>
      <c r="J983" s="16" t="e">
        <f>IF(OR(Data!B983="",Data!#REF!=""),"",IF(Data!#REF!="",1,0))</f>
        <v>#REF!</v>
      </c>
      <c r="K983" s="16" t="e">
        <f>IF(OR(Data!B983="",Data!#REF!=""),"",IF(Data!#REF!="",1,0))</f>
        <v>#REF!</v>
      </c>
      <c r="L983" s="16" t="e">
        <f>IF(OR(Data!B983="",Data!#REF!=""),"",IF(ISNUMBER(Data!#REF!),IF(AND(Data!#REF!&gt;Data_Val!$G$2,Data!#REF!&lt;=Data_Val!$G$3),0,1),1))</f>
        <v>#REF!</v>
      </c>
      <c r="M983" s="9" t="e">
        <f>IF(OR(Data!B983="",Data!#REF!=""),"",IF(ISNUMBER(MATCH(Data!#REF!,Data_Val!$F$1:$F$38,0)),0,1))</f>
        <v>#REF!</v>
      </c>
      <c r="N983" s="9" t="e">
        <f>IF(OR(Data!B983="",Data!#REF!=""),"",IF(Data!#REF!="",1,0))</f>
        <v>#REF!</v>
      </c>
      <c r="O983" s="17" t="e">
        <f>IF(Data!#REF!="","",IF(Data!#REF!="",1,0))</f>
        <v>#REF!</v>
      </c>
      <c r="P983" s="17" t="e">
        <f>IF(Data!#REF!="","",IF(ISNUMBER(MATCH(Data!#REF!,Data_Val!$A$2:$A$3,0)),0,1))</f>
        <v>#REF!</v>
      </c>
      <c r="Q983" s="25" t="e">
        <f ca="1">IF(Data!#REF!="","",IF(ISNUMBER(Data!#REF!),IF(AND(Data!#REF!&gt;(TODAY()-(Data_Val!$J$3*365.25)),Data!#REF!&lt;=(TODAY()-(Data_Val!$J$2*365.25))),0,1),1))</f>
        <v>#REF!</v>
      </c>
      <c r="R983" s="17" t="e">
        <f>IF(Data!#REF!="","",IF(ISNUMBER(MATCH(Data!#REF!,Data_Val!$B$2:$B$15,0)),0,1))</f>
        <v>#REF!</v>
      </c>
      <c r="S983" s="11" t="str">
        <f>IF(Data!G983="","",IF(Data!G983=Data_Val!$C$2,IF(Data!M983="",0,1),0))</f>
        <v/>
      </c>
      <c r="T983" s="11" t="str">
        <f>IF(Data!M983="","",IF(ISNUMBER(MATCH(Data!N983,Data_Val!$A$2:$A$3,0)),0,1))</f>
        <v/>
      </c>
      <c r="U983" s="11" t="str">
        <f ca="1">IF(Data!M983="","",IF(ISNUMBER(Data!O983),IF(AND(Data!O983&gt;(TODAY()-(Data_Val!$K$3*365.25)),Data!O983&lt;=(TODAY()-(Data_Val!$K$2*365.25))),0,1),1))</f>
        <v/>
      </c>
      <c r="V983" s="12" t="str">
        <f>IF(Data!G983="","",IF(Data!G983=Data_Val!$C$2,IF(Data!P983="",0,1),0))</f>
        <v/>
      </c>
      <c r="W983" s="12" t="str">
        <f>IF(Data!P983="","",IF(ISNUMBER(MATCH(Data!Q983,Data_Val!$A$2:$A$3,0)),0,1))</f>
        <v/>
      </c>
      <c r="X983" s="26" t="str">
        <f ca="1">IF(Data!P983="","",IF(ISNUMBER(Data!R983),IF(AND(Data!R983&gt;(TODAY()-(Data_Val!$L$3*365.25)),Data!R983&lt;=(TODAY()-(Data_Val!$L$2*365.25))),0,1),1))</f>
        <v/>
      </c>
      <c r="Y983" s="13" t="str">
        <f>IF(Data!$G983="","",IF(Data!$G983=Data_Val!$C$2,IF(Data!S983="",0,1),0))</f>
        <v/>
      </c>
      <c r="Z983" s="13" t="str">
        <f>IF(Data!S983="","",IF(ISNUMBER(MATCH(Data!T983,Data_Val!$A$2:$A$3,0)),0,1))</f>
        <v/>
      </c>
      <c r="AA983" s="28" t="str">
        <f ca="1">IF(Data!S983="","",IF(ISNUMBER(Data!U983),IF(AND(Data!U983&gt;(TODAY()-(Data_Val!$L$3*365.25)),Data!U983&lt;=(TODAY()-(Data_Val!$L$2*365.25))),0,1),1))</f>
        <v/>
      </c>
      <c r="AB983" s="11"/>
      <c r="AC983" s="11" t="e">
        <f>IF(Data!#REF!="","",IF(ISNUMBER(MATCH(Data!#REF!,Data_Val!$A$2:$A$3,0)),0,1))</f>
        <v>#REF!</v>
      </c>
      <c r="AD983" s="11" t="e">
        <f ca="1">IF(Data!#REF!="","",IF(ISNUMBER(Data!#REF!),IF(AND(Data!#REF!&gt;(TODAY()-(Data_Val!$L$3*365.25)),Data!#REF!&lt;=(TODAY()-(Data_Val!$L$2*365.25))),0,1),1))</f>
        <v>#REF!</v>
      </c>
      <c r="AE983" s="11" t="e">
        <f>IF(Data!#REF!="","",IF(Data!$G983="",1,IF(ISNUMBER(MATCH(Data!#REF!,Data_Val!$D$2:$D$10,0)),0,1)))</f>
        <v>#REF!</v>
      </c>
      <c r="AF983" s="12"/>
      <c r="AG983" s="12" t="e">
        <f>IF(Data!#REF!="","",IF(ISNUMBER(MATCH(Data!#REF!,Data_Val!$A$2:$A$3,0)),0,1))</f>
        <v>#REF!</v>
      </c>
      <c r="AH983" s="26" t="e">
        <f ca="1">IF(Data!#REF!="","",IF(ISNUMBER(Data!#REF!),IF(AND(Data!#REF!&gt;(TODAY()-(Data_Val!$L$3*365.25)),Data!#REF!&lt;=(TODAY()-(Data_Val!$L$2*365.25))),0,1),1))</f>
        <v>#REF!</v>
      </c>
      <c r="AI983" s="12" t="e">
        <f>IF(Data!#REF!="","",IF(Data!$G983="",1,IF(ISNUMBER(MATCH(Data!#REF!,Data_Val!$D$2:$D$10,0)),0,1)))</f>
        <v>#REF!</v>
      </c>
      <c r="AJ983" s="17"/>
      <c r="AK983" s="17" t="e">
        <f>IF(Data!#REF!="","",IF(ISNUMBER(MATCH(Data!#REF!,Data_Val!$A$2:$A$3,0)),0,1))</f>
        <v>#REF!</v>
      </c>
      <c r="AL983" s="25" t="e">
        <f ca="1">IF(Data!#REF!="","",IF(ISNUMBER(Data!#REF!),IF(AND(Data!#REF!&gt;(TODAY()-(Data_Val!$L$3*365.25)),Data!#REF!&lt;=(TODAY()-(Data_Val!$L$2*365.25))),0,1),1))</f>
        <v>#REF!</v>
      </c>
      <c r="AM983" s="17" t="e">
        <f>IF(Data!#REF!="","",IF(Data!$G983="",1,IF(ISNUMBER(MATCH(Data!#REF!,Data_Val!$D$2:$D$10,0)),0,1)))</f>
        <v>#REF!</v>
      </c>
      <c r="AN983" s="13"/>
      <c r="AO983" s="28" t="e">
        <f ca="1">IF(Data!#REF!="","",IF(ISNUMBER(Data!#REF!),IF(AND(Data!#REF!&gt;(TODAY()-(Data_Val!$I$3*365.25)),Data!#REF!&lt;=(TODAY()-(Data_Val!$I$2*365.25))),0,1),1))</f>
        <v>#REF!</v>
      </c>
      <c r="AP983" s="13" t="e">
        <f>IF(Data!#REF!="","",IF(Data!$G983="",1,IF(ISNUMBER(MATCH(Data!#REF!,Data_Val!$D$2:$D$10,0)),0,1)))</f>
        <v>#REF!</v>
      </c>
      <c r="AQ983" s="17"/>
      <c r="AR983" s="30" t="e">
        <f ca="1">IF(Data!#REF!="","",IF(ISNUMBER(Data!#REF!),IF(AND(Data!#REF!&gt;(TODAY()-(Data_Val!$I$3*365.25)),Data!#REF!&lt;=(TODAY()-(Data_Val!$I$2*365.25))),0,1),1))</f>
        <v>#REF!</v>
      </c>
      <c r="AS983" s="31" t="e">
        <f>IF(Data!#REF!="","",IF(Data!$G983="",1,IF(ISNUMBER(MATCH(Data!#REF!,Data_Val!$D$2:$D$10,0)),0,1)))</f>
        <v>#REF!</v>
      </c>
      <c r="AT983" s="11"/>
      <c r="AU983" s="11" t="e">
        <f ca="1">IF(Data!#REF!="","",IF(ISNUMBER(Data!#REF!),IF(AND(Data!#REF!&gt;(TODAY()-(Data_Val!$I$3*365.25)),Data!#REF!&lt;=(TODAY()-(Data_Val!$I$2*365.25))),0,1),1))</f>
        <v>#REF!</v>
      </c>
      <c r="AV983" s="11" t="e">
        <f>IF(Data!#REF!="","",IF(Data!$G983="",1,IF(ISNUMBER(MATCH(Data!#REF!,Data_Val!$D$2:$D$10,0)),0,1)))</f>
        <v>#REF!</v>
      </c>
      <c r="AW983" s="12"/>
      <c r="AX983" s="26" t="e">
        <f ca="1">IF(Data!#REF!="","",IF(ISNUMBER(Data!#REF!),IF(AND(Data!#REF!&gt;(TODAY()-(Data_Val!$I$3*365.25)),Data!#REF!&lt;=(TODAY()-(Data_Val!$I$2*365.25))),0,1),1))</f>
        <v>#REF!</v>
      </c>
      <c r="AY983" s="12" t="e">
        <f>IF(Data!#REF!="","",IF(Data!$G983="",1,IF(ISNUMBER(MATCH(Data!#REF!,Data_Val!$D$2:$D$10,0)),0,1)))</f>
        <v>#REF!</v>
      </c>
      <c r="AZ983" s="11"/>
      <c r="BA983" s="19" t="e">
        <f ca="1">IF(Data!#REF!="","",IF(ISNUMBER(Data!#REF!),IF(AND(Data!#REF!&gt;(TODAY()-(Data_Val!$M$3*365.25)),Data!#REF!&lt;=(TODAY()-(Data_Val!$M$2*365.25))),0,1),1))</f>
        <v>#REF!</v>
      </c>
      <c r="BB983" s="11" t="e">
        <f>IF(Data!#REF!="","",IF(Data!$G983="",1,IF(ISNUMBER(MATCH(Data!#REF!,Data_Val!$D$2:$D$10,0)),0,1)))</f>
        <v>#REF!</v>
      </c>
      <c r="BC983" s="12"/>
      <c r="BD983" s="20" t="e">
        <f ca="1">IF(Data!#REF!="","",IF(ISNUMBER(Data!#REF!),IF(AND(Data!#REF!&gt;(TODAY()-(Data_Val!$M$3*365.25)),Data!#REF!&lt;=(TODAY()-(Data_Val!$M$2*365.25))),0,1),1))</f>
        <v>#REF!</v>
      </c>
      <c r="BE983" s="12" t="e">
        <f>IF(Data!#REF!="","",IF(Data!$G983="",1,IF(ISNUMBER(MATCH(Data!#REF!,Data_Val!$D$2:$D$10,0)),0,1)))</f>
        <v>#REF!</v>
      </c>
      <c r="BF983" s="17"/>
      <c r="BG983" s="18" t="e">
        <f ca="1">IF(Data!#REF!="","",IF(ISNUMBER(Data!#REF!),IF(AND(Data!#REF!&gt;(TODAY()-(Data_Val!$M$3*365.25)),Data!#REF!&lt;=(TODAY()-(Data_Val!$M$2*365.25))),0,1),1))</f>
        <v>#REF!</v>
      </c>
      <c r="BH983" s="29" t="e">
        <f>IF(Data!#REF!="","",IF(Data!$G983="",1,IF(ISNUMBER(MATCH(Data!#REF!,Data_Val!$D$2:$D$10,0)),0,1)))</f>
        <v>#REF!</v>
      </c>
      <c r="BI983" s="13"/>
      <c r="BJ983" s="21" t="e">
        <f ca="1">IF(Data!#REF!="","",IF(ISNUMBER(Data!#REF!),IF(AND(Data!#REF!&gt;(TODAY()-(Data_Val!$M$3*365.25)),Data!#REF!&lt;=(TODAY()-(Data_Val!$M$2*365.25))),0,1),1))</f>
        <v>#REF!</v>
      </c>
      <c r="BK983" s="13" t="e">
        <f>IF(Data!#REF!="","",IF(Data!$G983="",1,IF(ISNUMBER(MATCH(Data!#REF!,Data_Val!$D$2:$D$10,0)),0,1)))</f>
        <v>#REF!</v>
      </c>
    </row>
    <row r="984" spans="1:63" x14ac:dyDescent="0.25">
      <c r="A984" s="9" t="str">
        <f>IF(Data!B984="","",IF(COUNTIFS(Data!A$1:'Data'!A984,Data!A984)&lt;=1,0,1))</f>
        <v/>
      </c>
      <c r="B984" s="9"/>
      <c r="C984" s="23" t="str">
        <f>IF(Data!C984="","",(IF(ISNUMBER(MATCH("*@*.?*",Data!C984,0)),0,1)+IF(COUNTIFS(Data!C$1:'Data'!C984,Data!C984)&gt;1,1,0)))</f>
        <v/>
      </c>
      <c r="D984" s="9" t="str">
        <f>IF(Data!B984="","",IF(ISNUMBER(Data!D984),IF(AND(Data!D984&gt;999999999,Data!D984&lt;=9999999999),IF(COUNTIFS(Data!D$1:'Data'!D984,Data!D984)&lt;=1,0,1),1),1))</f>
        <v/>
      </c>
      <c r="E984" s="9" t="str">
        <f>IF(Data!B984="","",IF(ISNUMBER(MATCH(Data!E984,Data_Val!$A$2:$A$3,0)),0,1))</f>
        <v/>
      </c>
      <c r="F984" s="9" t="str">
        <f ca="1">IF(Data!B984="","",IF(ISNUMBER(Data!F984),IF(AND(Data!F984&gt;(TODAY()-(Data_Val!$H$3*365.25)),Data!F984&lt;=(TODAY()-(Data_Val!$H$2*365.25))),0,1),1))</f>
        <v/>
      </c>
      <c r="G984" s="15" t="str">
        <f>IF(Data!B984="","",IF(AND(Data!G984="",Data!H984&lt;&gt;""),1,IF(Data!#REF!&lt;&gt;"",0,IF(ISNUMBER(MATCH(Data!G984,Data_Val!$C$2:$C$5,0)),0,1))))</f>
        <v/>
      </c>
      <c r="H984" s="15" t="str">
        <f>IF(Data!B984="","",IF(AND(Data!G984&lt;&gt;"",Data!H984=""),1,IF(Data!#REF!&lt;&gt;"",0,IF(Data!G984="",1,IF(ISNUMBER(MATCH(Data!H984,Data_Val!$D$2:$D$35,0)),0,1)))))</f>
        <v/>
      </c>
      <c r="I984" s="15" t="str">
        <f>IF(Data!B984="","",IF(Data!G984&lt;&gt;"",0,IF(ISNUMBER(MATCH(Data!#REF!,Data_Val!$E$2:$E$12,0)),0,1)))</f>
        <v/>
      </c>
      <c r="J984" s="16" t="e">
        <f>IF(OR(Data!B984="",Data!#REF!=""),"",IF(Data!#REF!="",1,0))</f>
        <v>#REF!</v>
      </c>
      <c r="K984" s="16" t="e">
        <f>IF(OR(Data!B984="",Data!#REF!=""),"",IF(Data!#REF!="",1,0))</f>
        <v>#REF!</v>
      </c>
      <c r="L984" s="16" t="e">
        <f>IF(OR(Data!B984="",Data!#REF!=""),"",IF(ISNUMBER(Data!#REF!),IF(AND(Data!#REF!&gt;Data_Val!$G$2,Data!#REF!&lt;=Data_Val!$G$3),0,1),1))</f>
        <v>#REF!</v>
      </c>
      <c r="M984" s="9" t="e">
        <f>IF(OR(Data!B984="",Data!#REF!=""),"",IF(ISNUMBER(MATCH(Data!#REF!,Data_Val!$F$1:$F$38,0)),0,1))</f>
        <v>#REF!</v>
      </c>
      <c r="N984" s="9" t="e">
        <f>IF(OR(Data!B984="",Data!#REF!=""),"",IF(Data!#REF!="",1,0))</f>
        <v>#REF!</v>
      </c>
      <c r="O984" s="17" t="e">
        <f>IF(Data!#REF!="","",IF(Data!#REF!="",1,0))</f>
        <v>#REF!</v>
      </c>
      <c r="P984" s="17" t="e">
        <f>IF(Data!#REF!="","",IF(ISNUMBER(MATCH(Data!#REF!,Data_Val!$A$2:$A$3,0)),0,1))</f>
        <v>#REF!</v>
      </c>
      <c r="Q984" s="25" t="e">
        <f ca="1">IF(Data!#REF!="","",IF(ISNUMBER(Data!#REF!),IF(AND(Data!#REF!&gt;(TODAY()-(Data_Val!$J$3*365.25)),Data!#REF!&lt;=(TODAY()-(Data_Val!$J$2*365.25))),0,1),1))</f>
        <v>#REF!</v>
      </c>
      <c r="R984" s="17" t="e">
        <f>IF(Data!#REF!="","",IF(ISNUMBER(MATCH(Data!#REF!,Data_Val!$B$2:$B$15,0)),0,1))</f>
        <v>#REF!</v>
      </c>
      <c r="S984" s="11" t="str">
        <f>IF(Data!G984="","",IF(Data!G984=Data_Val!$C$2,IF(Data!M984="",0,1),0))</f>
        <v/>
      </c>
      <c r="T984" s="11" t="str">
        <f>IF(Data!M984="","",IF(ISNUMBER(MATCH(Data!N984,Data_Val!$A$2:$A$3,0)),0,1))</f>
        <v/>
      </c>
      <c r="U984" s="11" t="str">
        <f ca="1">IF(Data!M984="","",IF(ISNUMBER(Data!O984),IF(AND(Data!O984&gt;(TODAY()-(Data_Val!$K$3*365.25)),Data!O984&lt;=(TODAY()-(Data_Val!$K$2*365.25))),0,1),1))</f>
        <v/>
      </c>
      <c r="V984" s="12" t="str">
        <f>IF(Data!G984="","",IF(Data!G984=Data_Val!$C$2,IF(Data!P984="",0,1),0))</f>
        <v/>
      </c>
      <c r="W984" s="12" t="str">
        <f>IF(Data!P984="","",IF(ISNUMBER(MATCH(Data!Q984,Data_Val!$A$2:$A$3,0)),0,1))</f>
        <v/>
      </c>
      <c r="X984" s="26" t="str">
        <f ca="1">IF(Data!P984="","",IF(ISNUMBER(Data!R984),IF(AND(Data!R984&gt;(TODAY()-(Data_Val!$L$3*365.25)),Data!R984&lt;=(TODAY()-(Data_Val!$L$2*365.25))),0,1),1))</f>
        <v/>
      </c>
      <c r="Y984" s="13" t="str">
        <f>IF(Data!$G984="","",IF(Data!$G984=Data_Val!$C$2,IF(Data!S984="",0,1),0))</f>
        <v/>
      </c>
      <c r="Z984" s="13" t="str">
        <f>IF(Data!S984="","",IF(ISNUMBER(MATCH(Data!T984,Data_Val!$A$2:$A$3,0)),0,1))</f>
        <v/>
      </c>
      <c r="AA984" s="28" t="str">
        <f ca="1">IF(Data!S984="","",IF(ISNUMBER(Data!U984),IF(AND(Data!U984&gt;(TODAY()-(Data_Val!$L$3*365.25)),Data!U984&lt;=(TODAY()-(Data_Val!$L$2*365.25))),0,1),1))</f>
        <v/>
      </c>
      <c r="AB984" s="11"/>
      <c r="AC984" s="11" t="e">
        <f>IF(Data!#REF!="","",IF(ISNUMBER(MATCH(Data!#REF!,Data_Val!$A$2:$A$3,0)),0,1))</f>
        <v>#REF!</v>
      </c>
      <c r="AD984" s="11" t="e">
        <f ca="1">IF(Data!#REF!="","",IF(ISNUMBER(Data!#REF!),IF(AND(Data!#REF!&gt;(TODAY()-(Data_Val!$L$3*365.25)),Data!#REF!&lt;=(TODAY()-(Data_Val!$L$2*365.25))),0,1),1))</f>
        <v>#REF!</v>
      </c>
      <c r="AE984" s="11" t="e">
        <f>IF(Data!#REF!="","",IF(Data!$G984="",1,IF(ISNUMBER(MATCH(Data!#REF!,Data_Val!$D$2:$D$10,0)),0,1)))</f>
        <v>#REF!</v>
      </c>
      <c r="AF984" s="12"/>
      <c r="AG984" s="12" t="e">
        <f>IF(Data!#REF!="","",IF(ISNUMBER(MATCH(Data!#REF!,Data_Val!$A$2:$A$3,0)),0,1))</f>
        <v>#REF!</v>
      </c>
      <c r="AH984" s="26" t="e">
        <f ca="1">IF(Data!#REF!="","",IF(ISNUMBER(Data!#REF!),IF(AND(Data!#REF!&gt;(TODAY()-(Data_Val!$L$3*365.25)),Data!#REF!&lt;=(TODAY()-(Data_Val!$L$2*365.25))),0,1),1))</f>
        <v>#REF!</v>
      </c>
      <c r="AI984" s="12" t="e">
        <f>IF(Data!#REF!="","",IF(Data!$G984="",1,IF(ISNUMBER(MATCH(Data!#REF!,Data_Val!$D$2:$D$10,0)),0,1)))</f>
        <v>#REF!</v>
      </c>
      <c r="AJ984" s="17"/>
      <c r="AK984" s="17" t="e">
        <f>IF(Data!#REF!="","",IF(ISNUMBER(MATCH(Data!#REF!,Data_Val!$A$2:$A$3,0)),0,1))</f>
        <v>#REF!</v>
      </c>
      <c r="AL984" s="25" t="e">
        <f ca="1">IF(Data!#REF!="","",IF(ISNUMBER(Data!#REF!),IF(AND(Data!#REF!&gt;(TODAY()-(Data_Val!$L$3*365.25)),Data!#REF!&lt;=(TODAY()-(Data_Val!$L$2*365.25))),0,1),1))</f>
        <v>#REF!</v>
      </c>
      <c r="AM984" s="17" t="e">
        <f>IF(Data!#REF!="","",IF(Data!$G984="",1,IF(ISNUMBER(MATCH(Data!#REF!,Data_Val!$D$2:$D$10,0)),0,1)))</f>
        <v>#REF!</v>
      </c>
      <c r="AN984" s="13"/>
      <c r="AO984" s="28" t="e">
        <f ca="1">IF(Data!#REF!="","",IF(ISNUMBER(Data!#REF!),IF(AND(Data!#REF!&gt;(TODAY()-(Data_Val!$I$3*365.25)),Data!#REF!&lt;=(TODAY()-(Data_Val!$I$2*365.25))),0,1),1))</f>
        <v>#REF!</v>
      </c>
      <c r="AP984" s="13" t="e">
        <f>IF(Data!#REF!="","",IF(Data!$G984="",1,IF(ISNUMBER(MATCH(Data!#REF!,Data_Val!$D$2:$D$10,0)),0,1)))</f>
        <v>#REF!</v>
      </c>
      <c r="AQ984" s="17"/>
      <c r="AR984" s="30" t="e">
        <f ca="1">IF(Data!#REF!="","",IF(ISNUMBER(Data!#REF!),IF(AND(Data!#REF!&gt;(TODAY()-(Data_Val!$I$3*365.25)),Data!#REF!&lt;=(TODAY()-(Data_Val!$I$2*365.25))),0,1),1))</f>
        <v>#REF!</v>
      </c>
      <c r="AS984" s="31" t="e">
        <f>IF(Data!#REF!="","",IF(Data!$G984="",1,IF(ISNUMBER(MATCH(Data!#REF!,Data_Val!$D$2:$D$10,0)),0,1)))</f>
        <v>#REF!</v>
      </c>
      <c r="AT984" s="11"/>
      <c r="AU984" s="11" t="e">
        <f ca="1">IF(Data!#REF!="","",IF(ISNUMBER(Data!#REF!),IF(AND(Data!#REF!&gt;(TODAY()-(Data_Val!$I$3*365.25)),Data!#REF!&lt;=(TODAY()-(Data_Val!$I$2*365.25))),0,1),1))</f>
        <v>#REF!</v>
      </c>
      <c r="AV984" s="11" t="e">
        <f>IF(Data!#REF!="","",IF(Data!$G984="",1,IF(ISNUMBER(MATCH(Data!#REF!,Data_Val!$D$2:$D$10,0)),0,1)))</f>
        <v>#REF!</v>
      </c>
      <c r="AW984" s="12"/>
      <c r="AX984" s="26" t="e">
        <f ca="1">IF(Data!#REF!="","",IF(ISNUMBER(Data!#REF!),IF(AND(Data!#REF!&gt;(TODAY()-(Data_Val!$I$3*365.25)),Data!#REF!&lt;=(TODAY()-(Data_Val!$I$2*365.25))),0,1),1))</f>
        <v>#REF!</v>
      </c>
      <c r="AY984" s="12" t="e">
        <f>IF(Data!#REF!="","",IF(Data!$G984="",1,IF(ISNUMBER(MATCH(Data!#REF!,Data_Val!$D$2:$D$10,0)),0,1)))</f>
        <v>#REF!</v>
      </c>
      <c r="AZ984" s="11"/>
      <c r="BA984" s="19" t="e">
        <f ca="1">IF(Data!#REF!="","",IF(ISNUMBER(Data!#REF!),IF(AND(Data!#REF!&gt;(TODAY()-(Data_Val!$M$3*365.25)),Data!#REF!&lt;=(TODAY()-(Data_Val!$M$2*365.25))),0,1),1))</f>
        <v>#REF!</v>
      </c>
      <c r="BB984" s="11" t="e">
        <f>IF(Data!#REF!="","",IF(Data!$G984="",1,IF(ISNUMBER(MATCH(Data!#REF!,Data_Val!$D$2:$D$10,0)),0,1)))</f>
        <v>#REF!</v>
      </c>
      <c r="BC984" s="12"/>
      <c r="BD984" s="20" t="e">
        <f ca="1">IF(Data!#REF!="","",IF(ISNUMBER(Data!#REF!),IF(AND(Data!#REF!&gt;(TODAY()-(Data_Val!$M$3*365.25)),Data!#REF!&lt;=(TODAY()-(Data_Val!$M$2*365.25))),0,1),1))</f>
        <v>#REF!</v>
      </c>
      <c r="BE984" s="12" t="e">
        <f>IF(Data!#REF!="","",IF(Data!$G984="",1,IF(ISNUMBER(MATCH(Data!#REF!,Data_Val!$D$2:$D$10,0)),0,1)))</f>
        <v>#REF!</v>
      </c>
      <c r="BF984" s="17"/>
      <c r="BG984" s="18" t="e">
        <f ca="1">IF(Data!#REF!="","",IF(ISNUMBER(Data!#REF!),IF(AND(Data!#REF!&gt;(TODAY()-(Data_Val!$M$3*365.25)),Data!#REF!&lt;=(TODAY()-(Data_Val!$M$2*365.25))),0,1),1))</f>
        <v>#REF!</v>
      </c>
      <c r="BH984" s="29" t="e">
        <f>IF(Data!#REF!="","",IF(Data!$G984="",1,IF(ISNUMBER(MATCH(Data!#REF!,Data_Val!$D$2:$D$10,0)),0,1)))</f>
        <v>#REF!</v>
      </c>
      <c r="BI984" s="13"/>
      <c r="BJ984" s="21" t="e">
        <f ca="1">IF(Data!#REF!="","",IF(ISNUMBER(Data!#REF!),IF(AND(Data!#REF!&gt;(TODAY()-(Data_Val!$M$3*365.25)),Data!#REF!&lt;=(TODAY()-(Data_Val!$M$2*365.25))),0,1),1))</f>
        <v>#REF!</v>
      </c>
      <c r="BK984" s="13" t="e">
        <f>IF(Data!#REF!="","",IF(Data!$G984="",1,IF(ISNUMBER(MATCH(Data!#REF!,Data_Val!$D$2:$D$10,0)),0,1)))</f>
        <v>#REF!</v>
      </c>
    </row>
    <row r="985" spans="1:63" x14ac:dyDescent="0.25">
      <c r="A985" s="9" t="str">
        <f>IF(Data!B985="","",IF(COUNTIFS(Data!A$1:'Data'!A985,Data!A985)&lt;=1,0,1))</f>
        <v/>
      </c>
      <c r="B985" s="9"/>
      <c r="C985" s="23" t="str">
        <f>IF(Data!C985="","",(IF(ISNUMBER(MATCH("*@*.?*",Data!C985,0)),0,1)+IF(COUNTIFS(Data!C$1:'Data'!C985,Data!C985)&gt;1,1,0)))</f>
        <v/>
      </c>
      <c r="D985" s="9" t="str">
        <f>IF(Data!B985="","",IF(ISNUMBER(Data!D985),IF(AND(Data!D985&gt;999999999,Data!D985&lt;=9999999999),IF(COUNTIFS(Data!D$1:'Data'!D985,Data!D985)&lt;=1,0,1),1),1))</f>
        <v/>
      </c>
      <c r="E985" s="9" t="str">
        <f>IF(Data!B985="","",IF(ISNUMBER(MATCH(Data!E985,Data_Val!$A$2:$A$3,0)),0,1))</f>
        <v/>
      </c>
      <c r="F985" s="9" t="str">
        <f ca="1">IF(Data!B985="","",IF(ISNUMBER(Data!F985),IF(AND(Data!F985&gt;(TODAY()-(Data_Val!$H$3*365.25)),Data!F985&lt;=(TODAY()-(Data_Val!$H$2*365.25))),0,1),1))</f>
        <v/>
      </c>
      <c r="G985" s="15" t="str">
        <f>IF(Data!B985="","",IF(AND(Data!G985="",Data!H985&lt;&gt;""),1,IF(Data!#REF!&lt;&gt;"",0,IF(ISNUMBER(MATCH(Data!G985,Data_Val!$C$2:$C$5,0)),0,1))))</f>
        <v/>
      </c>
      <c r="H985" s="15" t="str">
        <f>IF(Data!B985="","",IF(AND(Data!G985&lt;&gt;"",Data!H985=""),1,IF(Data!#REF!&lt;&gt;"",0,IF(Data!G985="",1,IF(ISNUMBER(MATCH(Data!H985,Data_Val!$D$2:$D$35,0)),0,1)))))</f>
        <v/>
      </c>
      <c r="I985" s="15" t="str">
        <f>IF(Data!B985="","",IF(Data!G985&lt;&gt;"",0,IF(ISNUMBER(MATCH(Data!#REF!,Data_Val!$E$2:$E$12,0)),0,1)))</f>
        <v/>
      </c>
      <c r="J985" s="16" t="e">
        <f>IF(OR(Data!B985="",Data!#REF!=""),"",IF(Data!#REF!="",1,0))</f>
        <v>#REF!</v>
      </c>
      <c r="K985" s="16" t="e">
        <f>IF(OR(Data!B985="",Data!#REF!=""),"",IF(Data!#REF!="",1,0))</f>
        <v>#REF!</v>
      </c>
      <c r="L985" s="16" t="e">
        <f>IF(OR(Data!B985="",Data!#REF!=""),"",IF(ISNUMBER(Data!#REF!),IF(AND(Data!#REF!&gt;Data_Val!$G$2,Data!#REF!&lt;=Data_Val!$G$3),0,1),1))</f>
        <v>#REF!</v>
      </c>
      <c r="M985" s="9" t="e">
        <f>IF(OR(Data!B985="",Data!#REF!=""),"",IF(ISNUMBER(MATCH(Data!#REF!,Data_Val!$F$1:$F$38,0)),0,1))</f>
        <v>#REF!</v>
      </c>
      <c r="N985" s="9" t="e">
        <f>IF(OR(Data!B985="",Data!#REF!=""),"",IF(Data!#REF!="",1,0))</f>
        <v>#REF!</v>
      </c>
      <c r="O985" s="17" t="e">
        <f>IF(Data!#REF!="","",IF(Data!#REF!="",1,0))</f>
        <v>#REF!</v>
      </c>
      <c r="P985" s="17" t="e">
        <f>IF(Data!#REF!="","",IF(ISNUMBER(MATCH(Data!#REF!,Data_Val!$A$2:$A$3,0)),0,1))</f>
        <v>#REF!</v>
      </c>
      <c r="Q985" s="25" t="e">
        <f ca="1">IF(Data!#REF!="","",IF(ISNUMBER(Data!#REF!),IF(AND(Data!#REF!&gt;(TODAY()-(Data_Val!$J$3*365.25)),Data!#REF!&lt;=(TODAY()-(Data_Val!$J$2*365.25))),0,1),1))</f>
        <v>#REF!</v>
      </c>
      <c r="R985" s="17" t="e">
        <f>IF(Data!#REF!="","",IF(ISNUMBER(MATCH(Data!#REF!,Data_Val!$B$2:$B$15,0)),0,1))</f>
        <v>#REF!</v>
      </c>
      <c r="S985" s="11" t="str">
        <f>IF(Data!G985="","",IF(Data!G985=Data_Val!$C$2,IF(Data!M985="",0,1),0))</f>
        <v/>
      </c>
      <c r="T985" s="11" t="str">
        <f>IF(Data!M985="","",IF(ISNUMBER(MATCH(Data!N985,Data_Val!$A$2:$A$3,0)),0,1))</f>
        <v/>
      </c>
      <c r="U985" s="11" t="str">
        <f ca="1">IF(Data!M985="","",IF(ISNUMBER(Data!O985),IF(AND(Data!O985&gt;(TODAY()-(Data_Val!$K$3*365.25)),Data!O985&lt;=(TODAY()-(Data_Val!$K$2*365.25))),0,1),1))</f>
        <v/>
      </c>
      <c r="V985" s="12" t="str">
        <f>IF(Data!G985="","",IF(Data!G985=Data_Val!$C$2,IF(Data!P985="",0,1),0))</f>
        <v/>
      </c>
      <c r="W985" s="12" t="str">
        <f>IF(Data!P985="","",IF(ISNUMBER(MATCH(Data!Q985,Data_Val!$A$2:$A$3,0)),0,1))</f>
        <v/>
      </c>
      <c r="X985" s="26" t="str">
        <f ca="1">IF(Data!P985="","",IF(ISNUMBER(Data!R985),IF(AND(Data!R985&gt;(TODAY()-(Data_Val!$L$3*365.25)),Data!R985&lt;=(TODAY()-(Data_Val!$L$2*365.25))),0,1),1))</f>
        <v/>
      </c>
      <c r="Y985" s="13" t="str">
        <f>IF(Data!$G985="","",IF(Data!$G985=Data_Val!$C$2,IF(Data!S985="",0,1),0))</f>
        <v/>
      </c>
      <c r="Z985" s="13" t="str">
        <f>IF(Data!S985="","",IF(ISNUMBER(MATCH(Data!T985,Data_Val!$A$2:$A$3,0)),0,1))</f>
        <v/>
      </c>
      <c r="AA985" s="28" t="str">
        <f ca="1">IF(Data!S985="","",IF(ISNUMBER(Data!U985),IF(AND(Data!U985&gt;(TODAY()-(Data_Val!$L$3*365.25)),Data!U985&lt;=(TODAY()-(Data_Val!$L$2*365.25))),0,1),1))</f>
        <v/>
      </c>
      <c r="AB985" s="11"/>
      <c r="AC985" s="11" t="e">
        <f>IF(Data!#REF!="","",IF(ISNUMBER(MATCH(Data!#REF!,Data_Val!$A$2:$A$3,0)),0,1))</f>
        <v>#REF!</v>
      </c>
      <c r="AD985" s="11" t="e">
        <f ca="1">IF(Data!#REF!="","",IF(ISNUMBER(Data!#REF!),IF(AND(Data!#REF!&gt;(TODAY()-(Data_Val!$L$3*365.25)),Data!#REF!&lt;=(TODAY()-(Data_Val!$L$2*365.25))),0,1),1))</f>
        <v>#REF!</v>
      </c>
      <c r="AE985" s="11" t="e">
        <f>IF(Data!#REF!="","",IF(Data!$G985="",1,IF(ISNUMBER(MATCH(Data!#REF!,Data_Val!$D$2:$D$10,0)),0,1)))</f>
        <v>#REF!</v>
      </c>
      <c r="AF985" s="12"/>
      <c r="AG985" s="12" t="e">
        <f>IF(Data!#REF!="","",IF(ISNUMBER(MATCH(Data!#REF!,Data_Val!$A$2:$A$3,0)),0,1))</f>
        <v>#REF!</v>
      </c>
      <c r="AH985" s="26" t="e">
        <f ca="1">IF(Data!#REF!="","",IF(ISNUMBER(Data!#REF!),IF(AND(Data!#REF!&gt;(TODAY()-(Data_Val!$L$3*365.25)),Data!#REF!&lt;=(TODAY()-(Data_Val!$L$2*365.25))),0,1),1))</f>
        <v>#REF!</v>
      </c>
      <c r="AI985" s="12" t="e">
        <f>IF(Data!#REF!="","",IF(Data!$G985="",1,IF(ISNUMBER(MATCH(Data!#REF!,Data_Val!$D$2:$D$10,0)),0,1)))</f>
        <v>#REF!</v>
      </c>
      <c r="AJ985" s="17"/>
      <c r="AK985" s="17" t="e">
        <f>IF(Data!#REF!="","",IF(ISNUMBER(MATCH(Data!#REF!,Data_Val!$A$2:$A$3,0)),0,1))</f>
        <v>#REF!</v>
      </c>
      <c r="AL985" s="25" t="e">
        <f ca="1">IF(Data!#REF!="","",IF(ISNUMBER(Data!#REF!),IF(AND(Data!#REF!&gt;(TODAY()-(Data_Val!$L$3*365.25)),Data!#REF!&lt;=(TODAY()-(Data_Val!$L$2*365.25))),0,1),1))</f>
        <v>#REF!</v>
      </c>
      <c r="AM985" s="17" t="e">
        <f>IF(Data!#REF!="","",IF(Data!$G985="",1,IF(ISNUMBER(MATCH(Data!#REF!,Data_Val!$D$2:$D$10,0)),0,1)))</f>
        <v>#REF!</v>
      </c>
      <c r="AN985" s="13"/>
      <c r="AO985" s="28" t="e">
        <f ca="1">IF(Data!#REF!="","",IF(ISNUMBER(Data!#REF!),IF(AND(Data!#REF!&gt;(TODAY()-(Data_Val!$I$3*365.25)),Data!#REF!&lt;=(TODAY()-(Data_Val!$I$2*365.25))),0,1),1))</f>
        <v>#REF!</v>
      </c>
      <c r="AP985" s="13" t="e">
        <f>IF(Data!#REF!="","",IF(Data!$G985="",1,IF(ISNUMBER(MATCH(Data!#REF!,Data_Val!$D$2:$D$10,0)),0,1)))</f>
        <v>#REF!</v>
      </c>
      <c r="AQ985" s="17"/>
      <c r="AR985" s="30" t="e">
        <f ca="1">IF(Data!#REF!="","",IF(ISNUMBER(Data!#REF!),IF(AND(Data!#REF!&gt;(TODAY()-(Data_Val!$I$3*365.25)),Data!#REF!&lt;=(TODAY()-(Data_Val!$I$2*365.25))),0,1),1))</f>
        <v>#REF!</v>
      </c>
      <c r="AS985" s="31" t="e">
        <f>IF(Data!#REF!="","",IF(Data!$G985="",1,IF(ISNUMBER(MATCH(Data!#REF!,Data_Val!$D$2:$D$10,0)),0,1)))</f>
        <v>#REF!</v>
      </c>
      <c r="AT985" s="11"/>
      <c r="AU985" s="11" t="e">
        <f ca="1">IF(Data!#REF!="","",IF(ISNUMBER(Data!#REF!),IF(AND(Data!#REF!&gt;(TODAY()-(Data_Val!$I$3*365.25)),Data!#REF!&lt;=(TODAY()-(Data_Val!$I$2*365.25))),0,1),1))</f>
        <v>#REF!</v>
      </c>
      <c r="AV985" s="11" t="e">
        <f>IF(Data!#REF!="","",IF(Data!$G985="",1,IF(ISNUMBER(MATCH(Data!#REF!,Data_Val!$D$2:$D$10,0)),0,1)))</f>
        <v>#REF!</v>
      </c>
      <c r="AW985" s="12"/>
      <c r="AX985" s="26" t="e">
        <f ca="1">IF(Data!#REF!="","",IF(ISNUMBER(Data!#REF!),IF(AND(Data!#REF!&gt;(TODAY()-(Data_Val!$I$3*365.25)),Data!#REF!&lt;=(TODAY()-(Data_Val!$I$2*365.25))),0,1),1))</f>
        <v>#REF!</v>
      </c>
      <c r="AY985" s="12" t="e">
        <f>IF(Data!#REF!="","",IF(Data!$G985="",1,IF(ISNUMBER(MATCH(Data!#REF!,Data_Val!$D$2:$D$10,0)),0,1)))</f>
        <v>#REF!</v>
      </c>
      <c r="AZ985" s="11"/>
      <c r="BA985" s="19" t="e">
        <f ca="1">IF(Data!#REF!="","",IF(ISNUMBER(Data!#REF!),IF(AND(Data!#REF!&gt;(TODAY()-(Data_Val!$M$3*365.25)),Data!#REF!&lt;=(TODAY()-(Data_Val!$M$2*365.25))),0,1),1))</f>
        <v>#REF!</v>
      </c>
      <c r="BB985" s="11" t="e">
        <f>IF(Data!#REF!="","",IF(Data!$G985="",1,IF(ISNUMBER(MATCH(Data!#REF!,Data_Val!$D$2:$D$10,0)),0,1)))</f>
        <v>#REF!</v>
      </c>
      <c r="BC985" s="12"/>
      <c r="BD985" s="20" t="e">
        <f ca="1">IF(Data!#REF!="","",IF(ISNUMBER(Data!#REF!),IF(AND(Data!#REF!&gt;(TODAY()-(Data_Val!$M$3*365.25)),Data!#REF!&lt;=(TODAY()-(Data_Val!$M$2*365.25))),0,1),1))</f>
        <v>#REF!</v>
      </c>
      <c r="BE985" s="12" t="e">
        <f>IF(Data!#REF!="","",IF(Data!$G985="",1,IF(ISNUMBER(MATCH(Data!#REF!,Data_Val!$D$2:$D$10,0)),0,1)))</f>
        <v>#REF!</v>
      </c>
      <c r="BF985" s="17"/>
      <c r="BG985" s="18" t="e">
        <f ca="1">IF(Data!#REF!="","",IF(ISNUMBER(Data!#REF!),IF(AND(Data!#REF!&gt;(TODAY()-(Data_Val!$M$3*365.25)),Data!#REF!&lt;=(TODAY()-(Data_Val!$M$2*365.25))),0,1),1))</f>
        <v>#REF!</v>
      </c>
      <c r="BH985" s="29" t="e">
        <f>IF(Data!#REF!="","",IF(Data!$G985="",1,IF(ISNUMBER(MATCH(Data!#REF!,Data_Val!$D$2:$D$10,0)),0,1)))</f>
        <v>#REF!</v>
      </c>
      <c r="BI985" s="13"/>
      <c r="BJ985" s="21" t="e">
        <f ca="1">IF(Data!#REF!="","",IF(ISNUMBER(Data!#REF!),IF(AND(Data!#REF!&gt;(TODAY()-(Data_Val!$M$3*365.25)),Data!#REF!&lt;=(TODAY()-(Data_Val!$M$2*365.25))),0,1),1))</f>
        <v>#REF!</v>
      </c>
      <c r="BK985" s="13" t="e">
        <f>IF(Data!#REF!="","",IF(Data!$G985="",1,IF(ISNUMBER(MATCH(Data!#REF!,Data_Val!$D$2:$D$10,0)),0,1)))</f>
        <v>#REF!</v>
      </c>
    </row>
    <row r="986" spans="1:63" x14ac:dyDescent="0.25">
      <c r="A986" s="9" t="str">
        <f>IF(Data!B986="","",IF(COUNTIFS(Data!A$1:'Data'!A986,Data!A986)&lt;=1,0,1))</f>
        <v/>
      </c>
      <c r="B986" s="9"/>
      <c r="C986" s="23" t="str">
        <f>IF(Data!C986="","",(IF(ISNUMBER(MATCH("*@*.?*",Data!C986,0)),0,1)+IF(COUNTIFS(Data!C$1:'Data'!C986,Data!C986)&gt;1,1,0)))</f>
        <v/>
      </c>
      <c r="D986" s="9" t="str">
        <f>IF(Data!B986="","",IF(ISNUMBER(Data!D986),IF(AND(Data!D986&gt;999999999,Data!D986&lt;=9999999999),IF(COUNTIFS(Data!D$1:'Data'!D986,Data!D986)&lt;=1,0,1),1),1))</f>
        <v/>
      </c>
      <c r="E986" s="9" t="str">
        <f>IF(Data!B986="","",IF(ISNUMBER(MATCH(Data!E986,Data_Val!$A$2:$A$3,0)),0,1))</f>
        <v/>
      </c>
      <c r="F986" s="9" t="str">
        <f ca="1">IF(Data!B986="","",IF(ISNUMBER(Data!F986),IF(AND(Data!F986&gt;(TODAY()-(Data_Val!$H$3*365.25)),Data!F986&lt;=(TODAY()-(Data_Val!$H$2*365.25))),0,1),1))</f>
        <v/>
      </c>
      <c r="G986" s="15" t="str">
        <f>IF(Data!B986="","",IF(AND(Data!G986="",Data!H986&lt;&gt;""),1,IF(Data!#REF!&lt;&gt;"",0,IF(ISNUMBER(MATCH(Data!G986,Data_Val!$C$2:$C$5,0)),0,1))))</f>
        <v/>
      </c>
      <c r="H986" s="15" t="str">
        <f>IF(Data!B986="","",IF(AND(Data!G986&lt;&gt;"",Data!H986=""),1,IF(Data!#REF!&lt;&gt;"",0,IF(Data!G986="",1,IF(ISNUMBER(MATCH(Data!H986,Data_Val!$D$2:$D$35,0)),0,1)))))</f>
        <v/>
      </c>
      <c r="I986" s="15" t="str">
        <f>IF(Data!B986="","",IF(Data!G986&lt;&gt;"",0,IF(ISNUMBER(MATCH(Data!#REF!,Data_Val!$E$2:$E$12,0)),0,1)))</f>
        <v/>
      </c>
      <c r="J986" s="16" t="e">
        <f>IF(OR(Data!B986="",Data!#REF!=""),"",IF(Data!#REF!="",1,0))</f>
        <v>#REF!</v>
      </c>
      <c r="K986" s="16" t="e">
        <f>IF(OR(Data!B986="",Data!#REF!=""),"",IF(Data!#REF!="",1,0))</f>
        <v>#REF!</v>
      </c>
      <c r="L986" s="16" t="e">
        <f>IF(OR(Data!B986="",Data!#REF!=""),"",IF(ISNUMBER(Data!#REF!),IF(AND(Data!#REF!&gt;Data_Val!$G$2,Data!#REF!&lt;=Data_Val!$G$3),0,1),1))</f>
        <v>#REF!</v>
      </c>
      <c r="M986" s="9" t="e">
        <f>IF(OR(Data!B986="",Data!#REF!=""),"",IF(ISNUMBER(MATCH(Data!#REF!,Data_Val!$F$1:$F$38,0)),0,1))</f>
        <v>#REF!</v>
      </c>
      <c r="N986" s="9" t="e">
        <f>IF(OR(Data!B986="",Data!#REF!=""),"",IF(Data!#REF!="",1,0))</f>
        <v>#REF!</v>
      </c>
      <c r="O986" s="17" t="e">
        <f>IF(Data!#REF!="","",IF(Data!#REF!="",1,0))</f>
        <v>#REF!</v>
      </c>
      <c r="P986" s="17" t="e">
        <f>IF(Data!#REF!="","",IF(ISNUMBER(MATCH(Data!#REF!,Data_Val!$A$2:$A$3,0)),0,1))</f>
        <v>#REF!</v>
      </c>
      <c r="Q986" s="25" t="e">
        <f ca="1">IF(Data!#REF!="","",IF(ISNUMBER(Data!#REF!),IF(AND(Data!#REF!&gt;(TODAY()-(Data_Val!$J$3*365.25)),Data!#REF!&lt;=(TODAY()-(Data_Val!$J$2*365.25))),0,1),1))</f>
        <v>#REF!</v>
      </c>
      <c r="R986" s="17" t="e">
        <f>IF(Data!#REF!="","",IF(ISNUMBER(MATCH(Data!#REF!,Data_Val!$B$2:$B$15,0)),0,1))</f>
        <v>#REF!</v>
      </c>
      <c r="S986" s="11" t="str">
        <f>IF(Data!G986="","",IF(Data!G986=Data_Val!$C$2,IF(Data!M986="",0,1),0))</f>
        <v/>
      </c>
      <c r="T986" s="11" t="str">
        <f>IF(Data!M986="","",IF(ISNUMBER(MATCH(Data!N986,Data_Val!$A$2:$A$3,0)),0,1))</f>
        <v/>
      </c>
      <c r="U986" s="11" t="str">
        <f ca="1">IF(Data!M986="","",IF(ISNUMBER(Data!O986),IF(AND(Data!O986&gt;(TODAY()-(Data_Val!$K$3*365.25)),Data!O986&lt;=(TODAY()-(Data_Val!$K$2*365.25))),0,1),1))</f>
        <v/>
      </c>
      <c r="V986" s="12" t="str">
        <f>IF(Data!G986="","",IF(Data!G986=Data_Val!$C$2,IF(Data!P986="",0,1),0))</f>
        <v/>
      </c>
      <c r="W986" s="12" t="str">
        <f>IF(Data!P986="","",IF(ISNUMBER(MATCH(Data!Q986,Data_Val!$A$2:$A$3,0)),0,1))</f>
        <v/>
      </c>
      <c r="X986" s="26" t="str">
        <f ca="1">IF(Data!P986="","",IF(ISNUMBER(Data!R986),IF(AND(Data!R986&gt;(TODAY()-(Data_Val!$L$3*365.25)),Data!R986&lt;=(TODAY()-(Data_Val!$L$2*365.25))),0,1),1))</f>
        <v/>
      </c>
      <c r="Y986" s="13" t="str">
        <f>IF(Data!$G986="","",IF(Data!$G986=Data_Val!$C$2,IF(Data!S986="",0,1),0))</f>
        <v/>
      </c>
      <c r="Z986" s="13" t="str">
        <f>IF(Data!S986="","",IF(ISNUMBER(MATCH(Data!T986,Data_Val!$A$2:$A$3,0)),0,1))</f>
        <v/>
      </c>
      <c r="AA986" s="28" t="str">
        <f ca="1">IF(Data!S986="","",IF(ISNUMBER(Data!U986),IF(AND(Data!U986&gt;(TODAY()-(Data_Val!$L$3*365.25)),Data!U986&lt;=(TODAY()-(Data_Val!$L$2*365.25))),0,1),1))</f>
        <v/>
      </c>
      <c r="AB986" s="11"/>
      <c r="AC986" s="11" t="e">
        <f>IF(Data!#REF!="","",IF(ISNUMBER(MATCH(Data!#REF!,Data_Val!$A$2:$A$3,0)),0,1))</f>
        <v>#REF!</v>
      </c>
      <c r="AD986" s="11" t="e">
        <f ca="1">IF(Data!#REF!="","",IF(ISNUMBER(Data!#REF!),IF(AND(Data!#REF!&gt;(TODAY()-(Data_Val!$L$3*365.25)),Data!#REF!&lt;=(TODAY()-(Data_Val!$L$2*365.25))),0,1),1))</f>
        <v>#REF!</v>
      </c>
      <c r="AE986" s="11" t="e">
        <f>IF(Data!#REF!="","",IF(Data!$G986="",1,IF(ISNUMBER(MATCH(Data!#REF!,Data_Val!$D$2:$D$10,0)),0,1)))</f>
        <v>#REF!</v>
      </c>
      <c r="AF986" s="12"/>
      <c r="AG986" s="12" t="e">
        <f>IF(Data!#REF!="","",IF(ISNUMBER(MATCH(Data!#REF!,Data_Val!$A$2:$A$3,0)),0,1))</f>
        <v>#REF!</v>
      </c>
      <c r="AH986" s="26" t="e">
        <f ca="1">IF(Data!#REF!="","",IF(ISNUMBER(Data!#REF!),IF(AND(Data!#REF!&gt;(TODAY()-(Data_Val!$L$3*365.25)),Data!#REF!&lt;=(TODAY()-(Data_Val!$L$2*365.25))),0,1),1))</f>
        <v>#REF!</v>
      </c>
      <c r="AI986" s="12" t="e">
        <f>IF(Data!#REF!="","",IF(Data!$G986="",1,IF(ISNUMBER(MATCH(Data!#REF!,Data_Val!$D$2:$D$10,0)),0,1)))</f>
        <v>#REF!</v>
      </c>
      <c r="AJ986" s="17"/>
      <c r="AK986" s="17" t="e">
        <f>IF(Data!#REF!="","",IF(ISNUMBER(MATCH(Data!#REF!,Data_Val!$A$2:$A$3,0)),0,1))</f>
        <v>#REF!</v>
      </c>
      <c r="AL986" s="25" t="e">
        <f ca="1">IF(Data!#REF!="","",IF(ISNUMBER(Data!#REF!),IF(AND(Data!#REF!&gt;(TODAY()-(Data_Val!$L$3*365.25)),Data!#REF!&lt;=(TODAY()-(Data_Val!$L$2*365.25))),0,1),1))</f>
        <v>#REF!</v>
      </c>
      <c r="AM986" s="17" t="e">
        <f>IF(Data!#REF!="","",IF(Data!$G986="",1,IF(ISNUMBER(MATCH(Data!#REF!,Data_Val!$D$2:$D$10,0)),0,1)))</f>
        <v>#REF!</v>
      </c>
      <c r="AN986" s="13"/>
      <c r="AO986" s="28" t="e">
        <f ca="1">IF(Data!#REF!="","",IF(ISNUMBER(Data!#REF!),IF(AND(Data!#REF!&gt;(TODAY()-(Data_Val!$I$3*365.25)),Data!#REF!&lt;=(TODAY()-(Data_Val!$I$2*365.25))),0,1),1))</f>
        <v>#REF!</v>
      </c>
      <c r="AP986" s="13" t="e">
        <f>IF(Data!#REF!="","",IF(Data!$G986="",1,IF(ISNUMBER(MATCH(Data!#REF!,Data_Val!$D$2:$D$10,0)),0,1)))</f>
        <v>#REF!</v>
      </c>
      <c r="AQ986" s="17"/>
      <c r="AR986" s="30" t="e">
        <f ca="1">IF(Data!#REF!="","",IF(ISNUMBER(Data!#REF!),IF(AND(Data!#REF!&gt;(TODAY()-(Data_Val!$I$3*365.25)),Data!#REF!&lt;=(TODAY()-(Data_Val!$I$2*365.25))),0,1),1))</f>
        <v>#REF!</v>
      </c>
      <c r="AS986" s="31" t="e">
        <f>IF(Data!#REF!="","",IF(Data!$G986="",1,IF(ISNUMBER(MATCH(Data!#REF!,Data_Val!$D$2:$D$10,0)),0,1)))</f>
        <v>#REF!</v>
      </c>
      <c r="AT986" s="11"/>
      <c r="AU986" s="11" t="e">
        <f ca="1">IF(Data!#REF!="","",IF(ISNUMBER(Data!#REF!),IF(AND(Data!#REF!&gt;(TODAY()-(Data_Val!$I$3*365.25)),Data!#REF!&lt;=(TODAY()-(Data_Val!$I$2*365.25))),0,1),1))</f>
        <v>#REF!</v>
      </c>
      <c r="AV986" s="11" t="e">
        <f>IF(Data!#REF!="","",IF(Data!$G986="",1,IF(ISNUMBER(MATCH(Data!#REF!,Data_Val!$D$2:$D$10,0)),0,1)))</f>
        <v>#REF!</v>
      </c>
      <c r="AW986" s="12"/>
      <c r="AX986" s="26" t="e">
        <f ca="1">IF(Data!#REF!="","",IF(ISNUMBER(Data!#REF!),IF(AND(Data!#REF!&gt;(TODAY()-(Data_Val!$I$3*365.25)),Data!#REF!&lt;=(TODAY()-(Data_Val!$I$2*365.25))),0,1),1))</f>
        <v>#REF!</v>
      </c>
      <c r="AY986" s="12" t="e">
        <f>IF(Data!#REF!="","",IF(Data!$G986="",1,IF(ISNUMBER(MATCH(Data!#REF!,Data_Val!$D$2:$D$10,0)),0,1)))</f>
        <v>#REF!</v>
      </c>
      <c r="AZ986" s="11"/>
      <c r="BA986" s="19" t="e">
        <f ca="1">IF(Data!#REF!="","",IF(ISNUMBER(Data!#REF!),IF(AND(Data!#REF!&gt;(TODAY()-(Data_Val!$M$3*365.25)),Data!#REF!&lt;=(TODAY()-(Data_Val!$M$2*365.25))),0,1),1))</f>
        <v>#REF!</v>
      </c>
      <c r="BB986" s="11" t="e">
        <f>IF(Data!#REF!="","",IF(Data!$G986="",1,IF(ISNUMBER(MATCH(Data!#REF!,Data_Val!$D$2:$D$10,0)),0,1)))</f>
        <v>#REF!</v>
      </c>
      <c r="BC986" s="12"/>
      <c r="BD986" s="20" t="e">
        <f ca="1">IF(Data!#REF!="","",IF(ISNUMBER(Data!#REF!),IF(AND(Data!#REF!&gt;(TODAY()-(Data_Val!$M$3*365.25)),Data!#REF!&lt;=(TODAY()-(Data_Val!$M$2*365.25))),0,1),1))</f>
        <v>#REF!</v>
      </c>
      <c r="BE986" s="12" t="e">
        <f>IF(Data!#REF!="","",IF(Data!$G986="",1,IF(ISNUMBER(MATCH(Data!#REF!,Data_Val!$D$2:$D$10,0)),0,1)))</f>
        <v>#REF!</v>
      </c>
      <c r="BF986" s="17"/>
      <c r="BG986" s="18" t="e">
        <f ca="1">IF(Data!#REF!="","",IF(ISNUMBER(Data!#REF!),IF(AND(Data!#REF!&gt;(TODAY()-(Data_Val!$M$3*365.25)),Data!#REF!&lt;=(TODAY()-(Data_Val!$M$2*365.25))),0,1),1))</f>
        <v>#REF!</v>
      </c>
      <c r="BH986" s="29" t="e">
        <f>IF(Data!#REF!="","",IF(Data!$G986="",1,IF(ISNUMBER(MATCH(Data!#REF!,Data_Val!$D$2:$D$10,0)),0,1)))</f>
        <v>#REF!</v>
      </c>
      <c r="BI986" s="13"/>
      <c r="BJ986" s="21" t="e">
        <f ca="1">IF(Data!#REF!="","",IF(ISNUMBER(Data!#REF!),IF(AND(Data!#REF!&gt;(TODAY()-(Data_Val!$M$3*365.25)),Data!#REF!&lt;=(TODAY()-(Data_Val!$M$2*365.25))),0,1),1))</f>
        <v>#REF!</v>
      </c>
      <c r="BK986" s="13" t="e">
        <f>IF(Data!#REF!="","",IF(Data!$G986="",1,IF(ISNUMBER(MATCH(Data!#REF!,Data_Val!$D$2:$D$10,0)),0,1)))</f>
        <v>#REF!</v>
      </c>
    </row>
    <row r="987" spans="1:63" x14ac:dyDescent="0.25">
      <c r="A987" s="9" t="str">
        <f>IF(Data!B987="","",IF(COUNTIFS(Data!A$1:'Data'!A987,Data!A987)&lt;=1,0,1))</f>
        <v/>
      </c>
      <c r="B987" s="9"/>
      <c r="C987" s="23" t="str">
        <f>IF(Data!C987="","",(IF(ISNUMBER(MATCH("*@*.?*",Data!C987,0)),0,1)+IF(COUNTIFS(Data!C$1:'Data'!C987,Data!C987)&gt;1,1,0)))</f>
        <v/>
      </c>
      <c r="D987" s="9" t="str">
        <f>IF(Data!B987="","",IF(ISNUMBER(Data!D987),IF(AND(Data!D987&gt;999999999,Data!D987&lt;=9999999999),IF(COUNTIFS(Data!D$1:'Data'!D987,Data!D987)&lt;=1,0,1),1),1))</f>
        <v/>
      </c>
      <c r="E987" s="9" t="str">
        <f>IF(Data!B987="","",IF(ISNUMBER(MATCH(Data!E987,Data_Val!$A$2:$A$3,0)),0,1))</f>
        <v/>
      </c>
      <c r="F987" s="9" t="str">
        <f ca="1">IF(Data!B987="","",IF(ISNUMBER(Data!F987),IF(AND(Data!F987&gt;(TODAY()-(Data_Val!$H$3*365.25)),Data!F987&lt;=(TODAY()-(Data_Val!$H$2*365.25))),0,1),1))</f>
        <v/>
      </c>
      <c r="G987" s="15" t="str">
        <f>IF(Data!B987="","",IF(AND(Data!G987="",Data!H987&lt;&gt;""),1,IF(Data!#REF!&lt;&gt;"",0,IF(ISNUMBER(MATCH(Data!G987,Data_Val!$C$2:$C$5,0)),0,1))))</f>
        <v/>
      </c>
      <c r="H987" s="15" t="str">
        <f>IF(Data!B987="","",IF(AND(Data!G987&lt;&gt;"",Data!H987=""),1,IF(Data!#REF!&lt;&gt;"",0,IF(Data!G987="",1,IF(ISNUMBER(MATCH(Data!H987,Data_Val!$D$2:$D$35,0)),0,1)))))</f>
        <v/>
      </c>
      <c r="I987" s="15" t="str">
        <f>IF(Data!B987="","",IF(Data!G987&lt;&gt;"",0,IF(ISNUMBER(MATCH(Data!#REF!,Data_Val!$E$2:$E$12,0)),0,1)))</f>
        <v/>
      </c>
      <c r="J987" s="16" t="e">
        <f>IF(OR(Data!B987="",Data!#REF!=""),"",IF(Data!#REF!="",1,0))</f>
        <v>#REF!</v>
      </c>
      <c r="K987" s="16" t="e">
        <f>IF(OR(Data!B987="",Data!#REF!=""),"",IF(Data!#REF!="",1,0))</f>
        <v>#REF!</v>
      </c>
      <c r="L987" s="16" t="e">
        <f>IF(OR(Data!B987="",Data!#REF!=""),"",IF(ISNUMBER(Data!#REF!),IF(AND(Data!#REF!&gt;Data_Val!$G$2,Data!#REF!&lt;=Data_Val!$G$3),0,1),1))</f>
        <v>#REF!</v>
      </c>
      <c r="M987" s="9" t="e">
        <f>IF(OR(Data!B987="",Data!#REF!=""),"",IF(ISNUMBER(MATCH(Data!#REF!,Data_Val!$F$1:$F$38,0)),0,1))</f>
        <v>#REF!</v>
      </c>
      <c r="N987" s="9" t="e">
        <f>IF(OR(Data!B987="",Data!#REF!=""),"",IF(Data!#REF!="",1,0))</f>
        <v>#REF!</v>
      </c>
      <c r="O987" s="17" t="e">
        <f>IF(Data!#REF!="","",IF(Data!#REF!="",1,0))</f>
        <v>#REF!</v>
      </c>
      <c r="P987" s="17" t="e">
        <f>IF(Data!#REF!="","",IF(ISNUMBER(MATCH(Data!#REF!,Data_Val!$A$2:$A$3,0)),0,1))</f>
        <v>#REF!</v>
      </c>
      <c r="Q987" s="25" t="e">
        <f ca="1">IF(Data!#REF!="","",IF(ISNUMBER(Data!#REF!),IF(AND(Data!#REF!&gt;(TODAY()-(Data_Val!$J$3*365.25)),Data!#REF!&lt;=(TODAY()-(Data_Val!$J$2*365.25))),0,1),1))</f>
        <v>#REF!</v>
      </c>
      <c r="R987" s="17" t="e">
        <f>IF(Data!#REF!="","",IF(ISNUMBER(MATCH(Data!#REF!,Data_Val!$B$2:$B$15,0)),0,1))</f>
        <v>#REF!</v>
      </c>
      <c r="S987" s="11" t="str">
        <f>IF(Data!G987="","",IF(Data!G987=Data_Val!$C$2,IF(Data!M987="",0,1),0))</f>
        <v/>
      </c>
      <c r="T987" s="11" t="str">
        <f>IF(Data!M987="","",IF(ISNUMBER(MATCH(Data!N987,Data_Val!$A$2:$A$3,0)),0,1))</f>
        <v/>
      </c>
      <c r="U987" s="11" t="str">
        <f ca="1">IF(Data!M987="","",IF(ISNUMBER(Data!O987),IF(AND(Data!O987&gt;(TODAY()-(Data_Val!$K$3*365.25)),Data!O987&lt;=(TODAY()-(Data_Val!$K$2*365.25))),0,1),1))</f>
        <v/>
      </c>
      <c r="V987" s="12" t="str">
        <f>IF(Data!G987="","",IF(Data!G987=Data_Val!$C$2,IF(Data!P987="",0,1),0))</f>
        <v/>
      </c>
      <c r="W987" s="12" t="str">
        <f>IF(Data!P987="","",IF(ISNUMBER(MATCH(Data!Q987,Data_Val!$A$2:$A$3,0)),0,1))</f>
        <v/>
      </c>
      <c r="X987" s="26" t="str">
        <f ca="1">IF(Data!P987="","",IF(ISNUMBER(Data!R987),IF(AND(Data!R987&gt;(TODAY()-(Data_Val!$L$3*365.25)),Data!R987&lt;=(TODAY()-(Data_Val!$L$2*365.25))),0,1),1))</f>
        <v/>
      </c>
      <c r="Y987" s="13" t="str">
        <f>IF(Data!$G987="","",IF(Data!$G987=Data_Val!$C$2,IF(Data!S987="",0,1),0))</f>
        <v/>
      </c>
      <c r="Z987" s="13" t="str">
        <f>IF(Data!S987="","",IF(ISNUMBER(MATCH(Data!T987,Data_Val!$A$2:$A$3,0)),0,1))</f>
        <v/>
      </c>
      <c r="AA987" s="28" t="str">
        <f ca="1">IF(Data!S987="","",IF(ISNUMBER(Data!U987),IF(AND(Data!U987&gt;(TODAY()-(Data_Val!$L$3*365.25)),Data!U987&lt;=(TODAY()-(Data_Val!$L$2*365.25))),0,1),1))</f>
        <v/>
      </c>
      <c r="AB987" s="11"/>
      <c r="AC987" s="11" t="e">
        <f>IF(Data!#REF!="","",IF(ISNUMBER(MATCH(Data!#REF!,Data_Val!$A$2:$A$3,0)),0,1))</f>
        <v>#REF!</v>
      </c>
      <c r="AD987" s="11" t="e">
        <f ca="1">IF(Data!#REF!="","",IF(ISNUMBER(Data!#REF!),IF(AND(Data!#REF!&gt;(TODAY()-(Data_Val!$L$3*365.25)),Data!#REF!&lt;=(TODAY()-(Data_Val!$L$2*365.25))),0,1),1))</f>
        <v>#REF!</v>
      </c>
      <c r="AE987" s="11" t="e">
        <f>IF(Data!#REF!="","",IF(Data!$G987="",1,IF(ISNUMBER(MATCH(Data!#REF!,Data_Val!$D$2:$D$10,0)),0,1)))</f>
        <v>#REF!</v>
      </c>
      <c r="AF987" s="12"/>
      <c r="AG987" s="12" t="e">
        <f>IF(Data!#REF!="","",IF(ISNUMBER(MATCH(Data!#REF!,Data_Val!$A$2:$A$3,0)),0,1))</f>
        <v>#REF!</v>
      </c>
      <c r="AH987" s="26" t="e">
        <f ca="1">IF(Data!#REF!="","",IF(ISNUMBER(Data!#REF!),IF(AND(Data!#REF!&gt;(TODAY()-(Data_Val!$L$3*365.25)),Data!#REF!&lt;=(TODAY()-(Data_Val!$L$2*365.25))),0,1),1))</f>
        <v>#REF!</v>
      </c>
      <c r="AI987" s="12" t="e">
        <f>IF(Data!#REF!="","",IF(Data!$G987="",1,IF(ISNUMBER(MATCH(Data!#REF!,Data_Val!$D$2:$D$10,0)),0,1)))</f>
        <v>#REF!</v>
      </c>
      <c r="AJ987" s="17"/>
      <c r="AK987" s="17" t="e">
        <f>IF(Data!#REF!="","",IF(ISNUMBER(MATCH(Data!#REF!,Data_Val!$A$2:$A$3,0)),0,1))</f>
        <v>#REF!</v>
      </c>
      <c r="AL987" s="25" t="e">
        <f ca="1">IF(Data!#REF!="","",IF(ISNUMBER(Data!#REF!),IF(AND(Data!#REF!&gt;(TODAY()-(Data_Val!$L$3*365.25)),Data!#REF!&lt;=(TODAY()-(Data_Val!$L$2*365.25))),0,1),1))</f>
        <v>#REF!</v>
      </c>
      <c r="AM987" s="17" t="e">
        <f>IF(Data!#REF!="","",IF(Data!$G987="",1,IF(ISNUMBER(MATCH(Data!#REF!,Data_Val!$D$2:$D$10,0)),0,1)))</f>
        <v>#REF!</v>
      </c>
      <c r="AN987" s="13"/>
      <c r="AO987" s="28" t="e">
        <f ca="1">IF(Data!#REF!="","",IF(ISNUMBER(Data!#REF!),IF(AND(Data!#REF!&gt;(TODAY()-(Data_Val!$I$3*365.25)),Data!#REF!&lt;=(TODAY()-(Data_Val!$I$2*365.25))),0,1),1))</f>
        <v>#REF!</v>
      </c>
      <c r="AP987" s="13" t="e">
        <f>IF(Data!#REF!="","",IF(Data!$G987="",1,IF(ISNUMBER(MATCH(Data!#REF!,Data_Val!$D$2:$D$10,0)),0,1)))</f>
        <v>#REF!</v>
      </c>
      <c r="AQ987" s="17"/>
      <c r="AR987" s="30" t="e">
        <f ca="1">IF(Data!#REF!="","",IF(ISNUMBER(Data!#REF!),IF(AND(Data!#REF!&gt;(TODAY()-(Data_Val!$I$3*365.25)),Data!#REF!&lt;=(TODAY()-(Data_Val!$I$2*365.25))),0,1),1))</f>
        <v>#REF!</v>
      </c>
      <c r="AS987" s="31" t="e">
        <f>IF(Data!#REF!="","",IF(Data!$G987="",1,IF(ISNUMBER(MATCH(Data!#REF!,Data_Val!$D$2:$D$10,0)),0,1)))</f>
        <v>#REF!</v>
      </c>
      <c r="AT987" s="11"/>
      <c r="AU987" s="11" t="e">
        <f ca="1">IF(Data!#REF!="","",IF(ISNUMBER(Data!#REF!),IF(AND(Data!#REF!&gt;(TODAY()-(Data_Val!$I$3*365.25)),Data!#REF!&lt;=(TODAY()-(Data_Val!$I$2*365.25))),0,1),1))</f>
        <v>#REF!</v>
      </c>
      <c r="AV987" s="11" t="e">
        <f>IF(Data!#REF!="","",IF(Data!$G987="",1,IF(ISNUMBER(MATCH(Data!#REF!,Data_Val!$D$2:$D$10,0)),0,1)))</f>
        <v>#REF!</v>
      </c>
      <c r="AW987" s="12"/>
      <c r="AX987" s="26" t="e">
        <f ca="1">IF(Data!#REF!="","",IF(ISNUMBER(Data!#REF!),IF(AND(Data!#REF!&gt;(TODAY()-(Data_Val!$I$3*365.25)),Data!#REF!&lt;=(TODAY()-(Data_Val!$I$2*365.25))),0,1),1))</f>
        <v>#REF!</v>
      </c>
      <c r="AY987" s="12" t="e">
        <f>IF(Data!#REF!="","",IF(Data!$G987="",1,IF(ISNUMBER(MATCH(Data!#REF!,Data_Val!$D$2:$D$10,0)),0,1)))</f>
        <v>#REF!</v>
      </c>
      <c r="AZ987" s="11"/>
      <c r="BA987" s="19" t="e">
        <f ca="1">IF(Data!#REF!="","",IF(ISNUMBER(Data!#REF!),IF(AND(Data!#REF!&gt;(TODAY()-(Data_Val!$M$3*365.25)),Data!#REF!&lt;=(TODAY()-(Data_Val!$M$2*365.25))),0,1),1))</f>
        <v>#REF!</v>
      </c>
      <c r="BB987" s="11" t="e">
        <f>IF(Data!#REF!="","",IF(Data!$G987="",1,IF(ISNUMBER(MATCH(Data!#REF!,Data_Val!$D$2:$D$10,0)),0,1)))</f>
        <v>#REF!</v>
      </c>
      <c r="BC987" s="12"/>
      <c r="BD987" s="20" t="e">
        <f ca="1">IF(Data!#REF!="","",IF(ISNUMBER(Data!#REF!),IF(AND(Data!#REF!&gt;(TODAY()-(Data_Val!$M$3*365.25)),Data!#REF!&lt;=(TODAY()-(Data_Val!$M$2*365.25))),0,1),1))</f>
        <v>#REF!</v>
      </c>
      <c r="BE987" s="12" t="e">
        <f>IF(Data!#REF!="","",IF(Data!$G987="",1,IF(ISNUMBER(MATCH(Data!#REF!,Data_Val!$D$2:$D$10,0)),0,1)))</f>
        <v>#REF!</v>
      </c>
      <c r="BF987" s="17"/>
      <c r="BG987" s="18" t="e">
        <f ca="1">IF(Data!#REF!="","",IF(ISNUMBER(Data!#REF!),IF(AND(Data!#REF!&gt;(TODAY()-(Data_Val!$M$3*365.25)),Data!#REF!&lt;=(TODAY()-(Data_Val!$M$2*365.25))),0,1),1))</f>
        <v>#REF!</v>
      </c>
      <c r="BH987" s="29" t="e">
        <f>IF(Data!#REF!="","",IF(Data!$G987="",1,IF(ISNUMBER(MATCH(Data!#REF!,Data_Val!$D$2:$D$10,0)),0,1)))</f>
        <v>#REF!</v>
      </c>
      <c r="BI987" s="13"/>
      <c r="BJ987" s="21" t="e">
        <f ca="1">IF(Data!#REF!="","",IF(ISNUMBER(Data!#REF!),IF(AND(Data!#REF!&gt;(TODAY()-(Data_Val!$M$3*365.25)),Data!#REF!&lt;=(TODAY()-(Data_Val!$M$2*365.25))),0,1),1))</f>
        <v>#REF!</v>
      </c>
      <c r="BK987" s="13" t="e">
        <f>IF(Data!#REF!="","",IF(Data!$G987="",1,IF(ISNUMBER(MATCH(Data!#REF!,Data_Val!$D$2:$D$10,0)),0,1)))</f>
        <v>#REF!</v>
      </c>
    </row>
    <row r="988" spans="1:63" x14ac:dyDescent="0.25">
      <c r="A988" s="9" t="str">
        <f>IF(Data!B988="","",IF(COUNTIFS(Data!A$1:'Data'!A988,Data!A988)&lt;=1,0,1))</f>
        <v/>
      </c>
      <c r="B988" s="9"/>
      <c r="C988" s="23" t="str">
        <f>IF(Data!C988="","",(IF(ISNUMBER(MATCH("*@*.?*",Data!C988,0)),0,1)+IF(COUNTIFS(Data!C$1:'Data'!C988,Data!C988)&gt;1,1,0)))</f>
        <v/>
      </c>
      <c r="D988" s="9" t="str">
        <f>IF(Data!B988="","",IF(ISNUMBER(Data!D988),IF(AND(Data!D988&gt;999999999,Data!D988&lt;=9999999999),IF(COUNTIFS(Data!D$1:'Data'!D988,Data!D988)&lt;=1,0,1),1),1))</f>
        <v/>
      </c>
      <c r="E988" s="9" t="str">
        <f>IF(Data!B988="","",IF(ISNUMBER(MATCH(Data!E988,Data_Val!$A$2:$A$3,0)),0,1))</f>
        <v/>
      </c>
      <c r="F988" s="9" t="str">
        <f ca="1">IF(Data!B988="","",IF(ISNUMBER(Data!F988),IF(AND(Data!F988&gt;(TODAY()-(Data_Val!$H$3*365.25)),Data!F988&lt;=(TODAY()-(Data_Val!$H$2*365.25))),0,1),1))</f>
        <v/>
      </c>
      <c r="G988" s="15" t="str">
        <f>IF(Data!B988="","",IF(AND(Data!G988="",Data!H988&lt;&gt;""),1,IF(Data!#REF!&lt;&gt;"",0,IF(ISNUMBER(MATCH(Data!G988,Data_Val!$C$2:$C$5,0)),0,1))))</f>
        <v/>
      </c>
      <c r="H988" s="15" t="str">
        <f>IF(Data!B988="","",IF(AND(Data!G988&lt;&gt;"",Data!H988=""),1,IF(Data!#REF!&lt;&gt;"",0,IF(Data!G988="",1,IF(ISNUMBER(MATCH(Data!H988,Data_Val!$D$2:$D$35,0)),0,1)))))</f>
        <v/>
      </c>
      <c r="I988" s="15" t="str">
        <f>IF(Data!B988="","",IF(Data!G988&lt;&gt;"",0,IF(ISNUMBER(MATCH(Data!#REF!,Data_Val!$E$2:$E$12,0)),0,1)))</f>
        <v/>
      </c>
      <c r="J988" s="16" t="e">
        <f>IF(OR(Data!B988="",Data!#REF!=""),"",IF(Data!#REF!="",1,0))</f>
        <v>#REF!</v>
      </c>
      <c r="K988" s="16" t="e">
        <f>IF(OR(Data!B988="",Data!#REF!=""),"",IF(Data!#REF!="",1,0))</f>
        <v>#REF!</v>
      </c>
      <c r="L988" s="16" t="e">
        <f>IF(OR(Data!B988="",Data!#REF!=""),"",IF(ISNUMBER(Data!#REF!),IF(AND(Data!#REF!&gt;Data_Val!$G$2,Data!#REF!&lt;=Data_Val!$G$3),0,1),1))</f>
        <v>#REF!</v>
      </c>
      <c r="M988" s="9" t="e">
        <f>IF(OR(Data!B988="",Data!#REF!=""),"",IF(ISNUMBER(MATCH(Data!#REF!,Data_Val!$F$1:$F$38,0)),0,1))</f>
        <v>#REF!</v>
      </c>
      <c r="N988" s="9" t="e">
        <f>IF(OR(Data!B988="",Data!#REF!=""),"",IF(Data!#REF!="",1,0))</f>
        <v>#REF!</v>
      </c>
      <c r="O988" s="17" t="e">
        <f>IF(Data!#REF!="","",IF(Data!#REF!="",1,0))</f>
        <v>#REF!</v>
      </c>
      <c r="P988" s="17" t="e">
        <f>IF(Data!#REF!="","",IF(ISNUMBER(MATCH(Data!#REF!,Data_Val!$A$2:$A$3,0)),0,1))</f>
        <v>#REF!</v>
      </c>
      <c r="Q988" s="25" t="e">
        <f ca="1">IF(Data!#REF!="","",IF(ISNUMBER(Data!#REF!),IF(AND(Data!#REF!&gt;(TODAY()-(Data_Val!$J$3*365.25)),Data!#REF!&lt;=(TODAY()-(Data_Val!$J$2*365.25))),0,1),1))</f>
        <v>#REF!</v>
      </c>
      <c r="R988" s="17" t="e">
        <f>IF(Data!#REF!="","",IF(ISNUMBER(MATCH(Data!#REF!,Data_Val!$B$2:$B$15,0)),0,1))</f>
        <v>#REF!</v>
      </c>
      <c r="S988" s="11" t="str">
        <f>IF(Data!G988="","",IF(Data!G988=Data_Val!$C$2,IF(Data!M988="",0,1),0))</f>
        <v/>
      </c>
      <c r="T988" s="11" t="str">
        <f>IF(Data!M988="","",IF(ISNUMBER(MATCH(Data!N988,Data_Val!$A$2:$A$3,0)),0,1))</f>
        <v/>
      </c>
      <c r="U988" s="11" t="str">
        <f ca="1">IF(Data!M988="","",IF(ISNUMBER(Data!O988),IF(AND(Data!O988&gt;(TODAY()-(Data_Val!$K$3*365.25)),Data!O988&lt;=(TODAY()-(Data_Val!$K$2*365.25))),0,1),1))</f>
        <v/>
      </c>
      <c r="V988" s="12" t="str">
        <f>IF(Data!G988="","",IF(Data!G988=Data_Val!$C$2,IF(Data!P988="",0,1),0))</f>
        <v/>
      </c>
      <c r="W988" s="12" t="str">
        <f>IF(Data!P988="","",IF(ISNUMBER(MATCH(Data!Q988,Data_Val!$A$2:$A$3,0)),0,1))</f>
        <v/>
      </c>
      <c r="X988" s="26" t="str">
        <f ca="1">IF(Data!P988="","",IF(ISNUMBER(Data!R988),IF(AND(Data!R988&gt;(TODAY()-(Data_Val!$L$3*365.25)),Data!R988&lt;=(TODAY()-(Data_Val!$L$2*365.25))),0,1),1))</f>
        <v/>
      </c>
      <c r="Y988" s="13" t="str">
        <f>IF(Data!$G988="","",IF(Data!$G988=Data_Val!$C$2,IF(Data!S988="",0,1),0))</f>
        <v/>
      </c>
      <c r="Z988" s="13" t="str">
        <f>IF(Data!S988="","",IF(ISNUMBER(MATCH(Data!T988,Data_Val!$A$2:$A$3,0)),0,1))</f>
        <v/>
      </c>
      <c r="AA988" s="28" t="str">
        <f ca="1">IF(Data!S988="","",IF(ISNUMBER(Data!U988),IF(AND(Data!U988&gt;(TODAY()-(Data_Val!$L$3*365.25)),Data!U988&lt;=(TODAY()-(Data_Val!$L$2*365.25))),0,1),1))</f>
        <v/>
      </c>
      <c r="AB988" s="11"/>
      <c r="AC988" s="11" t="e">
        <f>IF(Data!#REF!="","",IF(ISNUMBER(MATCH(Data!#REF!,Data_Val!$A$2:$A$3,0)),0,1))</f>
        <v>#REF!</v>
      </c>
      <c r="AD988" s="11" t="e">
        <f ca="1">IF(Data!#REF!="","",IF(ISNUMBER(Data!#REF!),IF(AND(Data!#REF!&gt;(TODAY()-(Data_Val!$L$3*365.25)),Data!#REF!&lt;=(TODAY()-(Data_Val!$L$2*365.25))),0,1),1))</f>
        <v>#REF!</v>
      </c>
      <c r="AE988" s="11" t="e">
        <f>IF(Data!#REF!="","",IF(Data!$G988="",1,IF(ISNUMBER(MATCH(Data!#REF!,Data_Val!$D$2:$D$10,0)),0,1)))</f>
        <v>#REF!</v>
      </c>
      <c r="AF988" s="12"/>
      <c r="AG988" s="12" t="e">
        <f>IF(Data!#REF!="","",IF(ISNUMBER(MATCH(Data!#REF!,Data_Val!$A$2:$A$3,0)),0,1))</f>
        <v>#REF!</v>
      </c>
      <c r="AH988" s="26" t="e">
        <f ca="1">IF(Data!#REF!="","",IF(ISNUMBER(Data!#REF!),IF(AND(Data!#REF!&gt;(TODAY()-(Data_Val!$L$3*365.25)),Data!#REF!&lt;=(TODAY()-(Data_Val!$L$2*365.25))),0,1),1))</f>
        <v>#REF!</v>
      </c>
      <c r="AI988" s="12" t="e">
        <f>IF(Data!#REF!="","",IF(Data!$G988="",1,IF(ISNUMBER(MATCH(Data!#REF!,Data_Val!$D$2:$D$10,0)),0,1)))</f>
        <v>#REF!</v>
      </c>
      <c r="AJ988" s="17"/>
      <c r="AK988" s="17" t="e">
        <f>IF(Data!#REF!="","",IF(ISNUMBER(MATCH(Data!#REF!,Data_Val!$A$2:$A$3,0)),0,1))</f>
        <v>#REF!</v>
      </c>
      <c r="AL988" s="25" t="e">
        <f ca="1">IF(Data!#REF!="","",IF(ISNUMBER(Data!#REF!),IF(AND(Data!#REF!&gt;(TODAY()-(Data_Val!$L$3*365.25)),Data!#REF!&lt;=(TODAY()-(Data_Val!$L$2*365.25))),0,1),1))</f>
        <v>#REF!</v>
      </c>
      <c r="AM988" s="17" t="e">
        <f>IF(Data!#REF!="","",IF(Data!$G988="",1,IF(ISNUMBER(MATCH(Data!#REF!,Data_Val!$D$2:$D$10,0)),0,1)))</f>
        <v>#REF!</v>
      </c>
      <c r="AN988" s="13"/>
      <c r="AO988" s="28" t="e">
        <f ca="1">IF(Data!#REF!="","",IF(ISNUMBER(Data!#REF!),IF(AND(Data!#REF!&gt;(TODAY()-(Data_Val!$I$3*365.25)),Data!#REF!&lt;=(TODAY()-(Data_Val!$I$2*365.25))),0,1),1))</f>
        <v>#REF!</v>
      </c>
      <c r="AP988" s="13" t="e">
        <f>IF(Data!#REF!="","",IF(Data!$G988="",1,IF(ISNUMBER(MATCH(Data!#REF!,Data_Val!$D$2:$D$10,0)),0,1)))</f>
        <v>#REF!</v>
      </c>
      <c r="AQ988" s="17"/>
      <c r="AR988" s="30" t="e">
        <f ca="1">IF(Data!#REF!="","",IF(ISNUMBER(Data!#REF!),IF(AND(Data!#REF!&gt;(TODAY()-(Data_Val!$I$3*365.25)),Data!#REF!&lt;=(TODAY()-(Data_Val!$I$2*365.25))),0,1),1))</f>
        <v>#REF!</v>
      </c>
      <c r="AS988" s="31" t="e">
        <f>IF(Data!#REF!="","",IF(Data!$G988="",1,IF(ISNUMBER(MATCH(Data!#REF!,Data_Val!$D$2:$D$10,0)),0,1)))</f>
        <v>#REF!</v>
      </c>
      <c r="AT988" s="11"/>
      <c r="AU988" s="11" t="e">
        <f ca="1">IF(Data!#REF!="","",IF(ISNUMBER(Data!#REF!),IF(AND(Data!#REF!&gt;(TODAY()-(Data_Val!$I$3*365.25)),Data!#REF!&lt;=(TODAY()-(Data_Val!$I$2*365.25))),0,1),1))</f>
        <v>#REF!</v>
      </c>
      <c r="AV988" s="11" t="e">
        <f>IF(Data!#REF!="","",IF(Data!$G988="",1,IF(ISNUMBER(MATCH(Data!#REF!,Data_Val!$D$2:$D$10,0)),0,1)))</f>
        <v>#REF!</v>
      </c>
      <c r="AW988" s="12"/>
      <c r="AX988" s="26" t="e">
        <f ca="1">IF(Data!#REF!="","",IF(ISNUMBER(Data!#REF!),IF(AND(Data!#REF!&gt;(TODAY()-(Data_Val!$I$3*365.25)),Data!#REF!&lt;=(TODAY()-(Data_Val!$I$2*365.25))),0,1),1))</f>
        <v>#REF!</v>
      </c>
      <c r="AY988" s="12" t="e">
        <f>IF(Data!#REF!="","",IF(Data!$G988="",1,IF(ISNUMBER(MATCH(Data!#REF!,Data_Val!$D$2:$D$10,0)),0,1)))</f>
        <v>#REF!</v>
      </c>
      <c r="AZ988" s="11"/>
      <c r="BA988" s="19" t="e">
        <f ca="1">IF(Data!#REF!="","",IF(ISNUMBER(Data!#REF!),IF(AND(Data!#REF!&gt;(TODAY()-(Data_Val!$M$3*365.25)),Data!#REF!&lt;=(TODAY()-(Data_Val!$M$2*365.25))),0,1),1))</f>
        <v>#REF!</v>
      </c>
      <c r="BB988" s="11" t="e">
        <f>IF(Data!#REF!="","",IF(Data!$G988="",1,IF(ISNUMBER(MATCH(Data!#REF!,Data_Val!$D$2:$D$10,0)),0,1)))</f>
        <v>#REF!</v>
      </c>
      <c r="BC988" s="12"/>
      <c r="BD988" s="20" t="e">
        <f ca="1">IF(Data!#REF!="","",IF(ISNUMBER(Data!#REF!),IF(AND(Data!#REF!&gt;(TODAY()-(Data_Val!$M$3*365.25)),Data!#REF!&lt;=(TODAY()-(Data_Val!$M$2*365.25))),0,1),1))</f>
        <v>#REF!</v>
      </c>
      <c r="BE988" s="12" t="e">
        <f>IF(Data!#REF!="","",IF(Data!$G988="",1,IF(ISNUMBER(MATCH(Data!#REF!,Data_Val!$D$2:$D$10,0)),0,1)))</f>
        <v>#REF!</v>
      </c>
      <c r="BF988" s="17"/>
      <c r="BG988" s="18" t="e">
        <f ca="1">IF(Data!#REF!="","",IF(ISNUMBER(Data!#REF!),IF(AND(Data!#REF!&gt;(TODAY()-(Data_Val!$M$3*365.25)),Data!#REF!&lt;=(TODAY()-(Data_Val!$M$2*365.25))),0,1),1))</f>
        <v>#REF!</v>
      </c>
      <c r="BH988" s="29" t="e">
        <f>IF(Data!#REF!="","",IF(Data!$G988="",1,IF(ISNUMBER(MATCH(Data!#REF!,Data_Val!$D$2:$D$10,0)),0,1)))</f>
        <v>#REF!</v>
      </c>
      <c r="BI988" s="13"/>
      <c r="BJ988" s="21" t="e">
        <f ca="1">IF(Data!#REF!="","",IF(ISNUMBER(Data!#REF!),IF(AND(Data!#REF!&gt;(TODAY()-(Data_Val!$M$3*365.25)),Data!#REF!&lt;=(TODAY()-(Data_Val!$M$2*365.25))),0,1),1))</f>
        <v>#REF!</v>
      </c>
      <c r="BK988" s="13" t="e">
        <f>IF(Data!#REF!="","",IF(Data!$G988="",1,IF(ISNUMBER(MATCH(Data!#REF!,Data_Val!$D$2:$D$10,0)),0,1)))</f>
        <v>#REF!</v>
      </c>
    </row>
    <row r="989" spans="1:63" x14ac:dyDescent="0.25">
      <c r="A989" s="9" t="str">
        <f>IF(Data!B989="","",IF(COUNTIFS(Data!A$1:'Data'!A989,Data!A989)&lt;=1,0,1))</f>
        <v/>
      </c>
      <c r="B989" s="9"/>
      <c r="C989" s="23" t="str">
        <f>IF(Data!C989="","",(IF(ISNUMBER(MATCH("*@*.?*",Data!C989,0)),0,1)+IF(COUNTIFS(Data!C$1:'Data'!C989,Data!C989)&gt;1,1,0)))</f>
        <v/>
      </c>
      <c r="D989" s="9" t="str">
        <f>IF(Data!B989="","",IF(ISNUMBER(Data!D989),IF(AND(Data!D989&gt;999999999,Data!D989&lt;=9999999999),IF(COUNTIFS(Data!D$1:'Data'!D989,Data!D989)&lt;=1,0,1),1),1))</f>
        <v/>
      </c>
      <c r="E989" s="9" t="str">
        <f>IF(Data!B989="","",IF(ISNUMBER(MATCH(Data!E989,Data_Val!$A$2:$A$3,0)),0,1))</f>
        <v/>
      </c>
      <c r="F989" s="9" t="str">
        <f ca="1">IF(Data!B989="","",IF(ISNUMBER(Data!F989),IF(AND(Data!F989&gt;(TODAY()-(Data_Val!$H$3*365.25)),Data!F989&lt;=(TODAY()-(Data_Val!$H$2*365.25))),0,1),1))</f>
        <v/>
      </c>
      <c r="G989" s="15" t="str">
        <f>IF(Data!B989="","",IF(AND(Data!G989="",Data!H989&lt;&gt;""),1,IF(Data!#REF!&lt;&gt;"",0,IF(ISNUMBER(MATCH(Data!G989,Data_Val!$C$2:$C$5,0)),0,1))))</f>
        <v/>
      </c>
      <c r="H989" s="15" t="str">
        <f>IF(Data!B989="","",IF(AND(Data!G989&lt;&gt;"",Data!H989=""),1,IF(Data!#REF!&lt;&gt;"",0,IF(Data!G989="",1,IF(ISNUMBER(MATCH(Data!H989,Data_Val!$D$2:$D$35,0)),0,1)))))</f>
        <v/>
      </c>
      <c r="I989" s="15" t="str">
        <f>IF(Data!B989="","",IF(Data!G989&lt;&gt;"",0,IF(ISNUMBER(MATCH(Data!#REF!,Data_Val!$E$2:$E$12,0)),0,1)))</f>
        <v/>
      </c>
      <c r="J989" s="16" t="e">
        <f>IF(OR(Data!B989="",Data!#REF!=""),"",IF(Data!#REF!="",1,0))</f>
        <v>#REF!</v>
      </c>
      <c r="K989" s="16" t="e">
        <f>IF(OR(Data!B989="",Data!#REF!=""),"",IF(Data!#REF!="",1,0))</f>
        <v>#REF!</v>
      </c>
      <c r="L989" s="16" t="e">
        <f>IF(OR(Data!B989="",Data!#REF!=""),"",IF(ISNUMBER(Data!#REF!),IF(AND(Data!#REF!&gt;Data_Val!$G$2,Data!#REF!&lt;=Data_Val!$G$3),0,1),1))</f>
        <v>#REF!</v>
      </c>
      <c r="M989" s="9" t="e">
        <f>IF(OR(Data!B989="",Data!#REF!=""),"",IF(ISNUMBER(MATCH(Data!#REF!,Data_Val!$F$1:$F$38,0)),0,1))</f>
        <v>#REF!</v>
      </c>
      <c r="N989" s="9" t="e">
        <f>IF(OR(Data!B989="",Data!#REF!=""),"",IF(Data!#REF!="",1,0))</f>
        <v>#REF!</v>
      </c>
      <c r="O989" s="17" t="e">
        <f>IF(Data!#REF!="","",IF(Data!#REF!="",1,0))</f>
        <v>#REF!</v>
      </c>
      <c r="P989" s="17" t="e">
        <f>IF(Data!#REF!="","",IF(ISNUMBER(MATCH(Data!#REF!,Data_Val!$A$2:$A$3,0)),0,1))</f>
        <v>#REF!</v>
      </c>
      <c r="Q989" s="25" t="e">
        <f ca="1">IF(Data!#REF!="","",IF(ISNUMBER(Data!#REF!),IF(AND(Data!#REF!&gt;(TODAY()-(Data_Val!$J$3*365.25)),Data!#REF!&lt;=(TODAY()-(Data_Val!$J$2*365.25))),0,1),1))</f>
        <v>#REF!</v>
      </c>
      <c r="R989" s="17" t="e">
        <f>IF(Data!#REF!="","",IF(ISNUMBER(MATCH(Data!#REF!,Data_Val!$B$2:$B$15,0)),0,1))</f>
        <v>#REF!</v>
      </c>
      <c r="S989" s="11" t="str">
        <f>IF(Data!G989="","",IF(Data!G989=Data_Val!$C$2,IF(Data!M989="",0,1),0))</f>
        <v/>
      </c>
      <c r="T989" s="11" t="str">
        <f>IF(Data!M989="","",IF(ISNUMBER(MATCH(Data!N989,Data_Val!$A$2:$A$3,0)),0,1))</f>
        <v/>
      </c>
      <c r="U989" s="11" t="str">
        <f ca="1">IF(Data!M989="","",IF(ISNUMBER(Data!O989),IF(AND(Data!O989&gt;(TODAY()-(Data_Val!$K$3*365.25)),Data!O989&lt;=(TODAY()-(Data_Val!$K$2*365.25))),0,1),1))</f>
        <v/>
      </c>
      <c r="V989" s="12" t="str">
        <f>IF(Data!G989="","",IF(Data!G989=Data_Val!$C$2,IF(Data!P989="",0,1),0))</f>
        <v/>
      </c>
      <c r="W989" s="12" t="str">
        <f>IF(Data!P989="","",IF(ISNUMBER(MATCH(Data!Q989,Data_Val!$A$2:$A$3,0)),0,1))</f>
        <v/>
      </c>
      <c r="X989" s="26" t="str">
        <f ca="1">IF(Data!P989="","",IF(ISNUMBER(Data!R989),IF(AND(Data!R989&gt;(TODAY()-(Data_Val!$L$3*365.25)),Data!R989&lt;=(TODAY()-(Data_Val!$L$2*365.25))),0,1),1))</f>
        <v/>
      </c>
      <c r="Y989" s="13" t="str">
        <f>IF(Data!$G989="","",IF(Data!$G989=Data_Val!$C$2,IF(Data!S989="",0,1),0))</f>
        <v/>
      </c>
      <c r="Z989" s="13" t="str">
        <f>IF(Data!S989="","",IF(ISNUMBER(MATCH(Data!T989,Data_Val!$A$2:$A$3,0)),0,1))</f>
        <v/>
      </c>
      <c r="AA989" s="28" t="str">
        <f ca="1">IF(Data!S989="","",IF(ISNUMBER(Data!U989),IF(AND(Data!U989&gt;(TODAY()-(Data_Val!$L$3*365.25)),Data!U989&lt;=(TODAY()-(Data_Val!$L$2*365.25))),0,1),1))</f>
        <v/>
      </c>
      <c r="AB989" s="11"/>
      <c r="AC989" s="11" t="e">
        <f>IF(Data!#REF!="","",IF(ISNUMBER(MATCH(Data!#REF!,Data_Val!$A$2:$A$3,0)),0,1))</f>
        <v>#REF!</v>
      </c>
      <c r="AD989" s="11" t="e">
        <f ca="1">IF(Data!#REF!="","",IF(ISNUMBER(Data!#REF!),IF(AND(Data!#REF!&gt;(TODAY()-(Data_Val!$L$3*365.25)),Data!#REF!&lt;=(TODAY()-(Data_Val!$L$2*365.25))),0,1),1))</f>
        <v>#REF!</v>
      </c>
      <c r="AE989" s="11" t="e">
        <f>IF(Data!#REF!="","",IF(Data!$G989="",1,IF(ISNUMBER(MATCH(Data!#REF!,Data_Val!$D$2:$D$10,0)),0,1)))</f>
        <v>#REF!</v>
      </c>
      <c r="AF989" s="12"/>
      <c r="AG989" s="12" t="e">
        <f>IF(Data!#REF!="","",IF(ISNUMBER(MATCH(Data!#REF!,Data_Val!$A$2:$A$3,0)),0,1))</f>
        <v>#REF!</v>
      </c>
      <c r="AH989" s="26" t="e">
        <f ca="1">IF(Data!#REF!="","",IF(ISNUMBER(Data!#REF!),IF(AND(Data!#REF!&gt;(TODAY()-(Data_Val!$L$3*365.25)),Data!#REF!&lt;=(TODAY()-(Data_Val!$L$2*365.25))),0,1),1))</f>
        <v>#REF!</v>
      </c>
      <c r="AI989" s="12" t="e">
        <f>IF(Data!#REF!="","",IF(Data!$G989="",1,IF(ISNUMBER(MATCH(Data!#REF!,Data_Val!$D$2:$D$10,0)),0,1)))</f>
        <v>#REF!</v>
      </c>
      <c r="AJ989" s="17"/>
      <c r="AK989" s="17" t="e">
        <f>IF(Data!#REF!="","",IF(ISNUMBER(MATCH(Data!#REF!,Data_Val!$A$2:$A$3,0)),0,1))</f>
        <v>#REF!</v>
      </c>
      <c r="AL989" s="25" t="e">
        <f ca="1">IF(Data!#REF!="","",IF(ISNUMBER(Data!#REF!),IF(AND(Data!#REF!&gt;(TODAY()-(Data_Val!$L$3*365.25)),Data!#REF!&lt;=(TODAY()-(Data_Val!$L$2*365.25))),0,1),1))</f>
        <v>#REF!</v>
      </c>
      <c r="AM989" s="17" t="e">
        <f>IF(Data!#REF!="","",IF(Data!$G989="",1,IF(ISNUMBER(MATCH(Data!#REF!,Data_Val!$D$2:$D$10,0)),0,1)))</f>
        <v>#REF!</v>
      </c>
      <c r="AN989" s="13"/>
      <c r="AO989" s="28" t="e">
        <f ca="1">IF(Data!#REF!="","",IF(ISNUMBER(Data!#REF!),IF(AND(Data!#REF!&gt;(TODAY()-(Data_Val!$I$3*365.25)),Data!#REF!&lt;=(TODAY()-(Data_Val!$I$2*365.25))),0,1),1))</f>
        <v>#REF!</v>
      </c>
      <c r="AP989" s="13" t="e">
        <f>IF(Data!#REF!="","",IF(Data!$G989="",1,IF(ISNUMBER(MATCH(Data!#REF!,Data_Val!$D$2:$D$10,0)),0,1)))</f>
        <v>#REF!</v>
      </c>
      <c r="AQ989" s="17"/>
      <c r="AR989" s="30" t="e">
        <f ca="1">IF(Data!#REF!="","",IF(ISNUMBER(Data!#REF!),IF(AND(Data!#REF!&gt;(TODAY()-(Data_Val!$I$3*365.25)),Data!#REF!&lt;=(TODAY()-(Data_Val!$I$2*365.25))),0,1),1))</f>
        <v>#REF!</v>
      </c>
      <c r="AS989" s="31" t="e">
        <f>IF(Data!#REF!="","",IF(Data!$G989="",1,IF(ISNUMBER(MATCH(Data!#REF!,Data_Val!$D$2:$D$10,0)),0,1)))</f>
        <v>#REF!</v>
      </c>
      <c r="AT989" s="11"/>
      <c r="AU989" s="11" t="e">
        <f ca="1">IF(Data!#REF!="","",IF(ISNUMBER(Data!#REF!),IF(AND(Data!#REF!&gt;(TODAY()-(Data_Val!$I$3*365.25)),Data!#REF!&lt;=(TODAY()-(Data_Val!$I$2*365.25))),0,1),1))</f>
        <v>#REF!</v>
      </c>
      <c r="AV989" s="11" t="e">
        <f>IF(Data!#REF!="","",IF(Data!$G989="",1,IF(ISNUMBER(MATCH(Data!#REF!,Data_Val!$D$2:$D$10,0)),0,1)))</f>
        <v>#REF!</v>
      </c>
      <c r="AW989" s="12"/>
      <c r="AX989" s="26" t="e">
        <f ca="1">IF(Data!#REF!="","",IF(ISNUMBER(Data!#REF!),IF(AND(Data!#REF!&gt;(TODAY()-(Data_Val!$I$3*365.25)),Data!#REF!&lt;=(TODAY()-(Data_Val!$I$2*365.25))),0,1),1))</f>
        <v>#REF!</v>
      </c>
      <c r="AY989" s="12" t="e">
        <f>IF(Data!#REF!="","",IF(Data!$G989="",1,IF(ISNUMBER(MATCH(Data!#REF!,Data_Val!$D$2:$D$10,0)),0,1)))</f>
        <v>#REF!</v>
      </c>
      <c r="AZ989" s="11"/>
      <c r="BA989" s="19" t="e">
        <f ca="1">IF(Data!#REF!="","",IF(ISNUMBER(Data!#REF!),IF(AND(Data!#REF!&gt;(TODAY()-(Data_Val!$M$3*365.25)),Data!#REF!&lt;=(TODAY()-(Data_Val!$M$2*365.25))),0,1),1))</f>
        <v>#REF!</v>
      </c>
      <c r="BB989" s="11" t="e">
        <f>IF(Data!#REF!="","",IF(Data!$G989="",1,IF(ISNUMBER(MATCH(Data!#REF!,Data_Val!$D$2:$D$10,0)),0,1)))</f>
        <v>#REF!</v>
      </c>
      <c r="BC989" s="12"/>
      <c r="BD989" s="20" t="e">
        <f ca="1">IF(Data!#REF!="","",IF(ISNUMBER(Data!#REF!),IF(AND(Data!#REF!&gt;(TODAY()-(Data_Val!$M$3*365.25)),Data!#REF!&lt;=(TODAY()-(Data_Val!$M$2*365.25))),0,1),1))</f>
        <v>#REF!</v>
      </c>
      <c r="BE989" s="12" t="e">
        <f>IF(Data!#REF!="","",IF(Data!$G989="",1,IF(ISNUMBER(MATCH(Data!#REF!,Data_Val!$D$2:$D$10,0)),0,1)))</f>
        <v>#REF!</v>
      </c>
      <c r="BF989" s="17"/>
      <c r="BG989" s="18" t="e">
        <f ca="1">IF(Data!#REF!="","",IF(ISNUMBER(Data!#REF!),IF(AND(Data!#REF!&gt;(TODAY()-(Data_Val!$M$3*365.25)),Data!#REF!&lt;=(TODAY()-(Data_Val!$M$2*365.25))),0,1),1))</f>
        <v>#REF!</v>
      </c>
      <c r="BH989" s="29" t="e">
        <f>IF(Data!#REF!="","",IF(Data!$G989="",1,IF(ISNUMBER(MATCH(Data!#REF!,Data_Val!$D$2:$D$10,0)),0,1)))</f>
        <v>#REF!</v>
      </c>
      <c r="BI989" s="13"/>
      <c r="BJ989" s="21" t="e">
        <f ca="1">IF(Data!#REF!="","",IF(ISNUMBER(Data!#REF!),IF(AND(Data!#REF!&gt;(TODAY()-(Data_Val!$M$3*365.25)),Data!#REF!&lt;=(TODAY()-(Data_Val!$M$2*365.25))),0,1),1))</f>
        <v>#REF!</v>
      </c>
      <c r="BK989" s="13" t="e">
        <f>IF(Data!#REF!="","",IF(Data!$G989="",1,IF(ISNUMBER(MATCH(Data!#REF!,Data_Val!$D$2:$D$10,0)),0,1)))</f>
        <v>#REF!</v>
      </c>
    </row>
    <row r="990" spans="1:63" x14ac:dyDescent="0.25">
      <c r="A990" s="9" t="str">
        <f>IF(Data!B990="","",IF(COUNTIFS(Data!A$1:'Data'!A990,Data!A990)&lt;=1,0,1))</f>
        <v/>
      </c>
      <c r="B990" s="9"/>
      <c r="C990" s="23" t="str">
        <f>IF(Data!C990="","",(IF(ISNUMBER(MATCH("*@*.?*",Data!C990,0)),0,1)+IF(COUNTIFS(Data!C$1:'Data'!C990,Data!C990)&gt;1,1,0)))</f>
        <v/>
      </c>
      <c r="D990" s="9" t="str">
        <f>IF(Data!B990="","",IF(ISNUMBER(Data!D990),IF(AND(Data!D990&gt;999999999,Data!D990&lt;=9999999999),IF(COUNTIFS(Data!D$1:'Data'!D990,Data!D990)&lt;=1,0,1),1),1))</f>
        <v/>
      </c>
      <c r="E990" s="9" t="str">
        <f>IF(Data!B990="","",IF(ISNUMBER(MATCH(Data!E990,Data_Val!$A$2:$A$3,0)),0,1))</f>
        <v/>
      </c>
      <c r="F990" s="9" t="str">
        <f ca="1">IF(Data!B990="","",IF(ISNUMBER(Data!F990),IF(AND(Data!F990&gt;(TODAY()-(Data_Val!$H$3*365.25)),Data!F990&lt;=(TODAY()-(Data_Val!$H$2*365.25))),0,1),1))</f>
        <v/>
      </c>
      <c r="G990" s="15" t="str">
        <f>IF(Data!B990="","",IF(AND(Data!G990="",Data!H990&lt;&gt;""),1,IF(Data!#REF!&lt;&gt;"",0,IF(ISNUMBER(MATCH(Data!G990,Data_Val!$C$2:$C$5,0)),0,1))))</f>
        <v/>
      </c>
      <c r="H990" s="15" t="str">
        <f>IF(Data!B990="","",IF(AND(Data!G990&lt;&gt;"",Data!H990=""),1,IF(Data!#REF!&lt;&gt;"",0,IF(Data!G990="",1,IF(ISNUMBER(MATCH(Data!H990,Data_Val!$D$2:$D$35,0)),0,1)))))</f>
        <v/>
      </c>
      <c r="I990" s="15" t="str">
        <f>IF(Data!B990="","",IF(Data!G990&lt;&gt;"",0,IF(ISNUMBER(MATCH(Data!#REF!,Data_Val!$E$2:$E$12,0)),0,1)))</f>
        <v/>
      </c>
      <c r="J990" s="16" t="e">
        <f>IF(OR(Data!B990="",Data!#REF!=""),"",IF(Data!#REF!="",1,0))</f>
        <v>#REF!</v>
      </c>
      <c r="K990" s="16" t="e">
        <f>IF(OR(Data!B990="",Data!#REF!=""),"",IF(Data!#REF!="",1,0))</f>
        <v>#REF!</v>
      </c>
      <c r="L990" s="16" t="e">
        <f>IF(OR(Data!B990="",Data!#REF!=""),"",IF(ISNUMBER(Data!#REF!),IF(AND(Data!#REF!&gt;Data_Val!$G$2,Data!#REF!&lt;=Data_Val!$G$3),0,1),1))</f>
        <v>#REF!</v>
      </c>
      <c r="M990" s="9" t="e">
        <f>IF(OR(Data!B990="",Data!#REF!=""),"",IF(ISNUMBER(MATCH(Data!#REF!,Data_Val!$F$1:$F$38,0)),0,1))</f>
        <v>#REF!</v>
      </c>
      <c r="N990" s="9" t="e">
        <f>IF(OR(Data!B990="",Data!#REF!=""),"",IF(Data!#REF!="",1,0))</f>
        <v>#REF!</v>
      </c>
      <c r="O990" s="17" t="e">
        <f>IF(Data!#REF!="","",IF(Data!#REF!="",1,0))</f>
        <v>#REF!</v>
      </c>
      <c r="P990" s="17" t="e">
        <f>IF(Data!#REF!="","",IF(ISNUMBER(MATCH(Data!#REF!,Data_Val!$A$2:$A$3,0)),0,1))</f>
        <v>#REF!</v>
      </c>
      <c r="Q990" s="25" t="e">
        <f ca="1">IF(Data!#REF!="","",IF(ISNUMBER(Data!#REF!),IF(AND(Data!#REF!&gt;(TODAY()-(Data_Val!$J$3*365.25)),Data!#REF!&lt;=(TODAY()-(Data_Val!$J$2*365.25))),0,1),1))</f>
        <v>#REF!</v>
      </c>
      <c r="R990" s="17" t="e">
        <f>IF(Data!#REF!="","",IF(ISNUMBER(MATCH(Data!#REF!,Data_Val!$B$2:$B$15,0)),0,1))</f>
        <v>#REF!</v>
      </c>
      <c r="S990" s="11" t="str">
        <f>IF(Data!G990="","",IF(Data!G990=Data_Val!$C$2,IF(Data!M990="",0,1),0))</f>
        <v/>
      </c>
      <c r="T990" s="11" t="str">
        <f>IF(Data!M990="","",IF(ISNUMBER(MATCH(Data!N990,Data_Val!$A$2:$A$3,0)),0,1))</f>
        <v/>
      </c>
      <c r="U990" s="11" t="str">
        <f ca="1">IF(Data!M990="","",IF(ISNUMBER(Data!O990),IF(AND(Data!O990&gt;(TODAY()-(Data_Val!$K$3*365.25)),Data!O990&lt;=(TODAY()-(Data_Val!$K$2*365.25))),0,1),1))</f>
        <v/>
      </c>
      <c r="V990" s="12" t="str">
        <f>IF(Data!G990="","",IF(Data!G990=Data_Val!$C$2,IF(Data!P990="",0,1),0))</f>
        <v/>
      </c>
      <c r="W990" s="12" t="str">
        <f>IF(Data!P990="","",IF(ISNUMBER(MATCH(Data!Q990,Data_Val!$A$2:$A$3,0)),0,1))</f>
        <v/>
      </c>
      <c r="X990" s="26" t="str">
        <f ca="1">IF(Data!P990="","",IF(ISNUMBER(Data!R990),IF(AND(Data!R990&gt;(TODAY()-(Data_Val!$L$3*365.25)),Data!R990&lt;=(TODAY()-(Data_Val!$L$2*365.25))),0,1),1))</f>
        <v/>
      </c>
      <c r="Y990" s="13" t="str">
        <f>IF(Data!$G990="","",IF(Data!$G990=Data_Val!$C$2,IF(Data!S990="",0,1),0))</f>
        <v/>
      </c>
      <c r="Z990" s="13" t="str">
        <f>IF(Data!S990="","",IF(ISNUMBER(MATCH(Data!T990,Data_Val!$A$2:$A$3,0)),0,1))</f>
        <v/>
      </c>
      <c r="AA990" s="28" t="str">
        <f ca="1">IF(Data!S990="","",IF(ISNUMBER(Data!U990),IF(AND(Data!U990&gt;(TODAY()-(Data_Val!$L$3*365.25)),Data!U990&lt;=(TODAY()-(Data_Val!$L$2*365.25))),0,1),1))</f>
        <v/>
      </c>
      <c r="AB990" s="11"/>
      <c r="AC990" s="11" t="e">
        <f>IF(Data!#REF!="","",IF(ISNUMBER(MATCH(Data!#REF!,Data_Val!$A$2:$A$3,0)),0,1))</f>
        <v>#REF!</v>
      </c>
      <c r="AD990" s="11" t="e">
        <f ca="1">IF(Data!#REF!="","",IF(ISNUMBER(Data!#REF!),IF(AND(Data!#REF!&gt;(TODAY()-(Data_Val!$L$3*365.25)),Data!#REF!&lt;=(TODAY()-(Data_Val!$L$2*365.25))),0,1),1))</f>
        <v>#REF!</v>
      </c>
      <c r="AE990" s="11" t="e">
        <f>IF(Data!#REF!="","",IF(Data!$G990="",1,IF(ISNUMBER(MATCH(Data!#REF!,Data_Val!$D$2:$D$10,0)),0,1)))</f>
        <v>#REF!</v>
      </c>
      <c r="AF990" s="12"/>
      <c r="AG990" s="12" t="e">
        <f>IF(Data!#REF!="","",IF(ISNUMBER(MATCH(Data!#REF!,Data_Val!$A$2:$A$3,0)),0,1))</f>
        <v>#REF!</v>
      </c>
      <c r="AH990" s="26" t="e">
        <f ca="1">IF(Data!#REF!="","",IF(ISNUMBER(Data!#REF!),IF(AND(Data!#REF!&gt;(TODAY()-(Data_Val!$L$3*365.25)),Data!#REF!&lt;=(TODAY()-(Data_Val!$L$2*365.25))),0,1),1))</f>
        <v>#REF!</v>
      </c>
      <c r="AI990" s="12" t="e">
        <f>IF(Data!#REF!="","",IF(Data!$G990="",1,IF(ISNUMBER(MATCH(Data!#REF!,Data_Val!$D$2:$D$10,0)),0,1)))</f>
        <v>#REF!</v>
      </c>
      <c r="AJ990" s="17"/>
      <c r="AK990" s="17" t="e">
        <f>IF(Data!#REF!="","",IF(ISNUMBER(MATCH(Data!#REF!,Data_Val!$A$2:$A$3,0)),0,1))</f>
        <v>#REF!</v>
      </c>
      <c r="AL990" s="25" t="e">
        <f ca="1">IF(Data!#REF!="","",IF(ISNUMBER(Data!#REF!),IF(AND(Data!#REF!&gt;(TODAY()-(Data_Val!$L$3*365.25)),Data!#REF!&lt;=(TODAY()-(Data_Val!$L$2*365.25))),0,1),1))</f>
        <v>#REF!</v>
      </c>
      <c r="AM990" s="17" t="e">
        <f>IF(Data!#REF!="","",IF(Data!$G990="",1,IF(ISNUMBER(MATCH(Data!#REF!,Data_Val!$D$2:$D$10,0)),0,1)))</f>
        <v>#REF!</v>
      </c>
      <c r="AN990" s="13"/>
      <c r="AO990" s="28" t="e">
        <f ca="1">IF(Data!#REF!="","",IF(ISNUMBER(Data!#REF!),IF(AND(Data!#REF!&gt;(TODAY()-(Data_Val!$I$3*365.25)),Data!#REF!&lt;=(TODAY()-(Data_Val!$I$2*365.25))),0,1),1))</f>
        <v>#REF!</v>
      </c>
      <c r="AP990" s="13" t="e">
        <f>IF(Data!#REF!="","",IF(Data!$G990="",1,IF(ISNUMBER(MATCH(Data!#REF!,Data_Val!$D$2:$D$10,0)),0,1)))</f>
        <v>#REF!</v>
      </c>
      <c r="AQ990" s="17"/>
      <c r="AR990" s="30" t="e">
        <f ca="1">IF(Data!#REF!="","",IF(ISNUMBER(Data!#REF!),IF(AND(Data!#REF!&gt;(TODAY()-(Data_Val!$I$3*365.25)),Data!#REF!&lt;=(TODAY()-(Data_Val!$I$2*365.25))),0,1),1))</f>
        <v>#REF!</v>
      </c>
      <c r="AS990" s="31" t="e">
        <f>IF(Data!#REF!="","",IF(Data!$G990="",1,IF(ISNUMBER(MATCH(Data!#REF!,Data_Val!$D$2:$D$10,0)),0,1)))</f>
        <v>#REF!</v>
      </c>
      <c r="AT990" s="11"/>
      <c r="AU990" s="11" t="e">
        <f ca="1">IF(Data!#REF!="","",IF(ISNUMBER(Data!#REF!),IF(AND(Data!#REF!&gt;(TODAY()-(Data_Val!$I$3*365.25)),Data!#REF!&lt;=(TODAY()-(Data_Val!$I$2*365.25))),0,1),1))</f>
        <v>#REF!</v>
      </c>
      <c r="AV990" s="11" t="e">
        <f>IF(Data!#REF!="","",IF(Data!$G990="",1,IF(ISNUMBER(MATCH(Data!#REF!,Data_Val!$D$2:$D$10,0)),0,1)))</f>
        <v>#REF!</v>
      </c>
      <c r="AW990" s="12"/>
      <c r="AX990" s="26" t="e">
        <f ca="1">IF(Data!#REF!="","",IF(ISNUMBER(Data!#REF!),IF(AND(Data!#REF!&gt;(TODAY()-(Data_Val!$I$3*365.25)),Data!#REF!&lt;=(TODAY()-(Data_Val!$I$2*365.25))),0,1),1))</f>
        <v>#REF!</v>
      </c>
      <c r="AY990" s="12" t="e">
        <f>IF(Data!#REF!="","",IF(Data!$G990="",1,IF(ISNUMBER(MATCH(Data!#REF!,Data_Val!$D$2:$D$10,0)),0,1)))</f>
        <v>#REF!</v>
      </c>
      <c r="AZ990" s="11"/>
      <c r="BA990" s="19" t="e">
        <f ca="1">IF(Data!#REF!="","",IF(ISNUMBER(Data!#REF!),IF(AND(Data!#REF!&gt;(TODAY()-(Data_Val!$M$3*365.25)),Data!#REF!&lt;=(TODAY()-(Data_Val!$M$2*365.25))),0,1),1))</f>
        <v>#REF!</v>
      </c>
      <c r="BB990" s="11" t="e">
        <f>IF(Data!#REF!="","",IF(Data!$G990="",1,IF(ISNUMBER(MATCH(Data!#REF!,Data_Val!$D$2:$D$10,0)),0,1)))</f>
        <v>#REF!</v>
      </c>
      <c r="BC990" s="12"/>
      <c r="BD990" s="20" t="e">
        <f ca="1">IF(Data!#REF!="","",IF(ISNUMBER(Data!#REF!),IF(AND(Data!#REF!&gt;(TODAY()-(Data_Val!$M$3*365.25)),Data!#REF!&lt;=(TODAY()-(Data_Val!$M$2*365.25))),0,1),1))</f>
        <v>#REF!</v>
      </c>
      <c r="BE990" s="12" t="e">
        <f>IF(Data!#REF!="","",IF(Data!$G990="",1,IF(ISNUMBER(MATCH(Data!#REF!,Data_Val!$D$2:$D$10,0)),0,1)))</f>
        <v>#REF!</v>
      </c>
      <c r="BF990" s="17"/>
      <c r="BG990" s="18" t="e">
        <f ca="1">IF(Data!#REF!="","",IF(ISNUMBER(Data!#REF!),IF(AND(Data!#REF!&gt;(TODAY()-(Data_Val!$M$3*365.25)),Data!#REF!&lt;=(TODAY()-(Data_Val!$M$2*365.25))),0,1),1))</f>
        <v>#REF!</v>
      </c>
      <c r="BH990" s="29" t="e">
        <f>IF(Data!#REF!="","",IF(Data!$G990="",1,IF(ISNUMBER(MATCH(Data!#REF!,Data_Val!$D$2:$D$10,0)),0,1)))</f>
        <v>#REF!</v>
      </c>
      <c r="BI990" s="13"/>
      <c r="BJ990" s="21" t="e">
        <f ca="1">IF(Data!#REF!="","",IF(ISNUMBER(Data!#REF!),IF(AND(Data!#REF!&gt;(TODAY()-(Data_Val!$M$3*365.25)),Data!#REF!&lt;=(TODAY()-(Data_Val!$M$2*365.25))),0,1),1))</f>
        <v>#REF!</v>
      </c>
      <c r="BK990" s="13" t="e">
        <f>IF(Data!#REF!="","",IF(Data!$G990="",1,IF(ISNUMBER(MATCH(Data!#REF!,Data_Val!$D$2:$D$10,0)),0,1)))</f>
        <v>#REF!</v>
      </c>
    </row>
    <row r="991" spans="1:63" x14ac:dyDescent="0.25">
      <c r="A991" s="9" t="str">
        <f>IF(Data!B991="","",IF(COUNTIFS(Data!A$1:'Data'!A991,Data!A991)&lt;=1,0,1))</f>
        <v/>
      </c>
      <c r="B991" s="9"/>
      <c r="C991" s="23" t="str">
        <f>IF(Data!C991="","",(IF(ISNUMBER(MATCH("*@*.?*",Data!C991,0)),0,1)+IF(COUNTIFS(Data!C$1:'Data'!C991,Data!C991)&gt;1,1,0)))</f>
        <v/>
      </c>
      <c r="D991" s="9" t="str">
        <f>IF(Data!B991="","",IF(ISNUMBER(Data!D991),IF(AND(Data!D991&gt;999999999,Data!D991&lt;=9999999999),IF(COUNTIFS(Data!D$1:'Data'!D991,Data!D991)&lt;=1,0,1),1),1))</f>
        <v/>
      </c>
      <c r="E991" s="9" t="str">
        <f>IF(Data!B991="","",IF(ISNUMBER(MATCH(Data!E991,Data_Val!$A$2:$A$3,0)),0,1))</f>
        <v/>
      </c>
      <c r="F991" s="9" t="str">
        <f ca="1">IF(Data!B991="","",IF(ISNUMBER(Data!F991),IF(AND(Data!F991&gt;(TODAY()-(Data_Val!$H$3*365.25)),Data!F991&lt;=(TODAY()-(Data_Val!$H$2*365.25))),0,1),1))</f>
        <v/>
      </c>
      <c r="G991" s="15" t="str">
        <f>IF(Data!B991="","",IF(AND(Data!G991="",Data!H991&lt;&gt;""),1,IF(Data!#REF!&lt;&gt;"",0,IF(ISNUMBER(MATCH(Data!G991,Data_Val!$C$2:$C$5,0)),0,1))))</f>
        <v/>
      </c>
      <c r="H991" s="15" t="str">
        <f>IF(Data!B991="","",IF(AND(Data!G991&lt;&gt;"",Data!H991=""),1,IF(Data!#REF!&lt;&gt;"",0,IF(Data!G991="",1,IF(ISNUMBER(MATCH(Data!H991,Data_Val!$D$2:$D$35,0)),0,1)))))</f>
        <v/>
      </c>
      <c r="I991" s="15" t="str">
        <f>IF(Data!B991="","",IF(Data!G991&lt;&gt;"",0,IF(ISNUMBER(MATCH(Data!#REF!,Data_Val!$E$2:$E$12,0)),0,1)))</f>
        <v/>
      </c>
      <c r="J991" s="16" t="e">
        <f>IF(OR(Data!B991="",Data!#REF!=""),"",IF(Data!#REF!="",1,0))</f>
        <v>#REF!</v>
      </c>
      <c r="K991" s="16" t="e">
        <f>IF(OR(Data!B991="",Data!#REF!=""),"",IF(Data!#REF!="",1,0))</f>
        <v>#REF!</v>
      </c>
      <c r="L991" s="16" t="e">
        <f>IF(OR(Data!B991="",Data!#REF!=""),"",IF(ISNUMBER(Data!#REF!),IF(AND(Data!#REF!&gt;Data_Val!$G$2,Data!#REF!&lt;=Data_Val!$G$3),0,1),1))</f>
        <v>#REF!</v>
      </c>
      <c r="M991" s="9" t="e">
        <f>IF(OR(Data!B991="",Data!#REF!=""),"",IF(ISNUMBER(MATCH(Data!#REF!,Data_Val!$F$1:$F$38,0)),0,1))</f>
        <v>#REF!</v>
      </c>
      <c r="N991" s="9" t="e">
        <f>IF(OR(Data!B991="",Data!#REF!=""),"",IF(Data!#REF!="",1,0))</f>
        <v>#REF!</v>
      </c>
      <c r="O991" s="17" t="e">
        <f>IF(Data!#REF!="","",IF(Data!#REF!="",1,0))</f>
        <v>#REF!</v>
      </c>
      <c r="P991" s="17" t="e">
        <f>IF(Data!#REF!="","",IF(ISNUMBER(MATCH(Data!#REF!,Data_Val!$A$2:$A$3,0)),0,1))</f>
        <v>#REF!</v>
      </c>
      <c r="Q991" s="25" t="e">
        <f ca="1">IF(Data!#REF!="","",IF(ISNUMBER(Data!#REF!),IF(AND(Data!#REF!&gt;(TODAY()-(Data_Val!$J$3*365.25)),Data!#REF!&lt;=(TODAY()-(Data_Val!$J$2*365.25))),0,1),1))</f>
        <v>#REF!</v>
      </c>
      <c r="R991" s="17" t="e">
        <f>IF(Data!#REF!="","",IF(ISNUMBER(MATCH(Data!#REF!,Data_Val!$B$2:$B$15,0)),0,1))</f>
        <v>#REF!</v>
      </c>
      <c r="S991" s="11" t="str">
        <f>IF(Data!G991="","",IF(Data!G991=Data_Val!$C$2,IF(Data!M991="",0,1),0))</f>
        <v/>
      </c>
      <c r="T991" s="11" t="str">
        <f>IF(Data!M991="","",IF(ISNUMBER(MATCH(Data!N991,Data_Val!$A$2:$A$3,0)),0,1))</f>
        <v/>
      </c>
      <c r="U991" s="11" t="str">
        <f ca="1">IF(Data!M991="","",IF(ISNUMBER(Data!O991),IF(AND(Data!O991&gt;(TODAY()-(Data_Val!$K$3*365.25)),Data!O991&lt;=(TODAY()-(Data_Val!$K$2*365.25))),0,1),1))</f>
        <v/>
      </c>
      <c r="V991" s="12" t="str">
        <f>IF(Data!G991="","",IF(Data!G991=Data_Val!$C$2,IF(Data!P991="",0,1),0))</f>
        <v/>
      </c>
      <c r="W991" s="12" t="str">
        <f>IF(Data!P991="","",IF(ISNUMBER(MATCH(Data!Q991,Data_Val!$A$2:$A$3,0)),0,1))</f>
        <v/>
      </c>
      <c r="X991" s="26" t="str">
        <f ca="1">IF(Data!P991="","",IF(ISNUMBER(Data!R991),IF(AND(Data!R991&gt;(TODAY()-(Data_Val!$L$3*365.25)),Data!R991&lt;=(TODAY()-(Data_Val!$L$2*365.25))),0,1),1))</f>
        <v/>
      </c>
      <c r="Y991" s="13" t="str">
        <f>IF(Data!$G991="","",IF(Data!$G991=Data_Val!$C$2,IF(Data!S991="",0,1),0))</f>
        <v/>
      </c>
      <c r="Z991" s="13" t="str">
        <f>IF(Data!S991="","",IF(ISNUMBER(MATCH(Data!T991,Data_Val!$A$2:$A$3,0)),0,1))</f>
        <v/>
      </c>
      <c r="AA991" s="28" t="str">
        <f ca="1">IF(Data!S991="","",IF(ISNUMBER(Data!U991),IF(AND(Data!U991&gt;(TODAY()-(Data_Val!$L$3*365.25)),Data!U991&lt;=(TODAY()-(Data_Val!$L$2*365.25))),0,1),1))</f>
        <v/>
      </c>
      <c r="AB991" s="11"/>
      <c r="AC991" s="11" t="e">
        <f>IF(Data!#REF!="","",IF(ISNUMBER(MATCH(Data!#REF!,Data_Val!$A$2:$A$3,0)),0,1))</f>
        <v>#REF!</v>
      </c>
      <c r="AD991" s="11" t="e">
        <f ca="1">IF(Data!#REF!="","",IF(ISNUMBER(Data!#REF!),IF(AND(Data!#REF!&gt;(TODAY()-(Data_Val!$L$3*365.25)),Data!#REF!&lt;=(TODAY()-(Data_Val!$L$2*365.25))),0,1),1))</f>
        <v>#REF!</v>
      </c>
      <c r="AE991" s="11" t="e">
        <f>IF(Data!#REF!="","",IF(Data!$G991="",1,IF(ISNUMBER(MATCH(Data!#REF!,Data_Val!$D$2:$D$10,0)),0,1)))</f>
        <v>#REF!</v>
      </c>
      <c r="AF991" s="12"/>
      <c r="AG991" s="12" t="e">
        <f>IF(Data!#REF!="","",IF(ISNUMBER(MATCH(Data!#REF!,Data_Val!$A$2:$A$3,0)),0,1))</f>
        <v>#REF!</v>
      </c>
      <c r="AH991" s="26" t="e">
        <f ca="1">IF(Data!#REF!="","",IF(ISNUMBER(Data!#REF!),IF(AND(Data!#REF!&gt;(TODAY()-(Data_Val!$L$3*365.25)),Data!#REF!&lt;=(TODAY()-(Data_Val!$L$2*365.25))),0,1),1))</f>
        <v>#REF!</v>
      </c>
      <c r="AI991" s="12" t="e">
        <f>IF(Data!#REF!="","",IF(Data!$G991="",1,IF(ISNUMBER(MATCH(Data!#REF!,Data_Val!$D$2:$D$10,0)),0,1)))</f>
        <v>#REF!</v>
      </c>
      <c r="AJ991" s="17"/>
      <c r="AK991" s="17" t="e">
        <f>IF(Data!#REF!="","",IF(ISNUMBER(MATCH(Data!#REF!,Data_Val!$A$2:$A$3,0)),0,1))</f>
        <v>#REF!</v>
      </c>
      <c r="AL991" s="25" t="e">
        <f ca="1">IF(Data!#REF!="","",IF(ISNUMBER(Data!#REF!),IF(AND(Data!#REF!&gt;(TODAY()-(Data_Val!$L$3*365.25)),Data!#REF!&lt;=(TODAY()-(Data_Val!$L$2*365.25))),0,1),1))</f>
        <v>#REF!</v>
      </c>
      <c r="AM991" s="17" t="e">
        <f>IF(Data!#REF!="","",IF(Data!$G991="",1,IF(ISNUMBER(MATCH(Data!#REF!,Data_Val!$D$2:$D$10,0)),0,1)))</f>
        <v>#REF!</v>
      </c>
      <c r="AN991" s="13"/>
      <c r="AO991" s="28" t="e">
        <f ca="1">IF(Data!#REF!="","",IF(ISNUMBER(Data!#REF!),IF(AND(Data!#REF!&gt;(TODAY()-(Data_Val!$I$3*365.25)),Data!#REF!&lt;=(TODAY()-(Data_Val!$I$2*365.25))),0,1),1))</f>
        <v>#REF!</v>
      </c>
      <c r="AP991" s="13" t="e">
        <f>IF(Data!#REF!="","",IF(Data!$G991="",1,IF(ISNUMBER(MATCH(Data!#REF!,Data_Val!$D$2:$D$10,0)),0,1)))</f>
        <v>#REF!</v>
      </c>
      <c r="AQ991" s="17"/>
      <c r="AR991" s="30" t="e">
        <f ca="1">IF(Data!#REF!="","",IF(ISNUMBER(Data!#REF!),IF(AND(Data!#REF!&gt;(TODAY()-(Data_Val!$I$3*365.25)),Data!#REF!&lt;=(TODAY()-(Data_Val!$I$2*365.25))),0,1),1))</f>
        <v>#REF!</v>
      </c>
      <c r="AS991" s="31" t="e">
        <f>IF(Data!#REF!="","",IF(Data!$G991="",1,IF(ISNUMBER(MATCH(Data!#REF!,Data_Val!$D$2:$D$10,0)),0,1)))</f>
        <v>#REF!</v>
      </c>
      <c r="AT991" s="11"/>
      <c r="AU991" s="11" t="e">
        <f ca="1">IF(Data!#REF!="","",IF(ISNUMBER(Data!#REF!),IF(AND(Data!#REF!&gt;(TODAY()-(Data_Val!$I$3*365.25)),Data!#REF!&lt;=(TODAY()-(Data_Val!$I$2*365.25))),0,1),1))</f>
        <v>#REF!</v>
      </c>
      <c r="AV991" s="11" t="e">
        <f>IF(Data!#REF!="","",IF(Data!$G991="",1,IF(ISNUMBER(MATCH(Data!#REF!,Data_Val!$D$2:$D$10,0)),0,1)))</f>
        <v>#REF!</v>
      </c>
      <c r="AW991" s="12"/>
      <c r="AX991" s="26" t="e">
        <f ca="1">IF(Data!#REF!="","",IF(ISNUMBER(Data!#REF!),IF(AND(Data!#REF!&gt;(TODAY()-(Data_Val!$I$3*365.25)),Data!#REF!&lt;=(TODAY()-(Data_Val!$I$2*365.25))),0,1),1))</f>
        <v>#REF!</v>
      </c>
      <c r="AY991" s="12" t="e">
        <f>IF(Data!#REF!="","",IF(Data!$G991="",1,IF(ISNUMBER(MATCH(Data!#REF!,Data_Val!$D$2:$D$10,0)),0,1)))</f>
        <v>#REF!</v>
      </c>
      <c r="AZ991" s="11"/>
      <c r="BA991" s="19" t="e">
        <f ca="1">IF(Data!#REF!="","",IF(ISNUMBER(Data!#REF!),IF(AND(Data!#REF!&gt;(TODAY()-(Data_Val!$M$3*365.25)),Data!#REF!&lt;=(TODAY()-(Data_Val!$M$2*365.25))),0,1),1))</f>
        <v>#REF!</v>
      </c>
      <c r="BB991" s="11" t="e">
        <f>IF(Data!#REF!="","",IF(Data!$G991="",1,IF(ISNUMBER(MATCH(Data!#REF!,Data_Val!$D$2:$D$10,0)),0,1)))</f>
        <v>#REF!</v>
      </c>
      <c r="BC991" s="12"/>
      <c r="BD991" s="20" t="e">
        <f ca="1">IF(Data!#REF!="","",IF(ISNUMBER(Data!#REF!),IF(AND(Data!#REF!&gt;(TODAY()-(Data_Val!$M$3*365.25)),Data!#REF!&lt;=(TODAY()-(Data_Val!$M$2*365.25))),0,1),1))</f>
        <v>#REF!</v>
      </c>
      <c r="BE991" s="12" t="e">
        <f>IF(Data!#REF!="","",IF(Data!$G991="",1,IF(ISNUMBER(MATCH(Data!#REF!,Data_Val!$D$2:$D$10,0)),0,1)))</f>
        <v>#REF!</v>
      </c>
      <c r="BF991" s="17"/>
      <c r="BG991" s="18" t="e">
        <f ca="1">IF(Data!#REF!="","",IF(ISNUMBER(Data!#REF!),IF(AND(Data!#REF!&gt;(TODAY()-(Data_Val!$M$3*365.25)),Data!#REF!&lt;=(TODAY()-(Data_Val!$M$2*365.25))),0,1),1))</f>
        <v>#REF!</v>
      </c>
      <c r="BH991" s="29" t="e">
        <f>IF(Data!#REF!="","",IF(Data!$G991="",1,IF(ISNUMBER(MATCH(Data!#REF!,Data_Val!$D$2:$D$10,0)),0,1)))</f>
        <v>#REF!</v>
      </c>
      <c r="BI991" s="13"/>
      <c r="BJ991" s="21" t="e">
        <f ca="1">IF(Data!#REF!="","",IF(ISNUMBER(Data!#REF!),IF(AND(Data!#REF!&gt;(TODAY()-(Data_Val!$M$3*365.25)),Data!#REF!&lt;=(TODAY()-(Data_Val!$M$2*365.25))),0,1),1))</f>
        <v>#REF!</v>
      </c>
      <c r="BK991" s="13" t="e">
        <f>IF(Data!#REF!="","",IF(Data!$G991="",1,IF(ISNUMBER(MATCH(Data!#REF!,Data_Val!$D$2:$D$10,0)),0,1)))</f>
        <v>#REF!</v>
      </c>
    </row>
    <row r="992" spans="1:63" x14ac:dyDescent="0.25">
      <c r="A992" s="9" t="str">
        <f>IF(Data!B992="","",IF(COUNTIFS(Data!A$1:'Data'!A992,Data!A992)&lt;=1,0,1))</f>
        <v/>
      </c>
      <c r="B992" s="9"/>
      <c r="C992" s="23" t="str">
        <f>IF(Data!C992="","",(IF(ISNUMBER(MATCH("*@*.?*",Data!C992,0)),0,1)+IF(COUNTIFS(Data!C$1:'Data'!C992,Data!C992)&gt;1,1,0)))</f>
        <v/>
      </c>
      <c r="D992" s="9" t="str">
        <f>IF(Data!B992="","",IF(ISNUMBER(Data!D992),IF(AND(Data!D992&gt;999999999,Data!D992&lt;=9999999999),IF(COUNTIFS(Data!D$1:'Data'!D992,Data!D992)&lt;=1,0,1),1),1))</f>
        <v/>
      </c>
      <c r="E992" s="9" t="str">
        <f>IF(Data!B992="","",IF(ISNUMBER(MATCH(Data!E992,Data_Val!$A$2:$A$3,0)),0,1))</f>
        <v/>
      </c>
      <c r="F992" s="9" t="str">
        <f ca="1">IF(Data!B992="","",IF(ISNUMBER(Data!F992),IF(AND(Data!F992&gt;(TODAY()-(Data_Val!$H$3*365.25)),Data!F992&lt;=(TODAY()-(Data_Val!$H$2*365.25))),0,1),1))</f>
        <v/>
      </c>
      <c r="G992" s="15" t="str">
        <f>IF(Data!B992="","",IF(AND(Data!G992="",Data!H992&lt;&gt;""),1,IF(Data!#REF!&lt;&gt;"",0,IF(ISNUMBER(MATCH(Data!G992,Data_Val!$C$2:$C$5,0)),0,1))))</f>
        <v/>
      </c>
      <c r="H992" s="15" t="str">
        <f>IF(Data!B992="","",IF(AND(Data!G992&lt;&gt;"",Data!H992=""),1,IF(Data!#REF!&lt;&gt;"",0,IF(Data!G992="",1,IF(ISNUMBER(MATCH(Data!H992,Data_Val!$D$2:$D$35,0)),0,1)))))</f>
        <v/>
      </c>
      <c r="I992" s="15" t="str">
        <f>IF(Data!B992="","",IF(Data!G992&lt;&gt;"",0,IF(ISNUMBER(MATCH(Data!#REF!,Data_Val!$E$2:$E$12,0)),0,1)))</f>
        <v/>
      </c>
      <c r="J992" s="16" t="e">
        <f>IF(OR(Data!B992="",Data!#REF!=""),"",IF(Data!#REF!="",1,0))</f>
        <v>#REF!</v>
      </c>
      <c r="K992" s="16" t="e">
        <f>IF(OR(Data!B992="",Data!#REF!=""),"",IF(Data!#REF!="",1,0))</f>
        <v>#REF!</v>
      </c>
      <c r="L992" s="16" t="e">
        <f>IF(OR(Data!B992="",Data!#REF!=""),"",IF(ISNUMBER(Data!#REF!),IF(AND(Data!#REF!&gt;Data_Val!$G$2,Data!#REF!&lt;=Data_Val!$G$3),0,1),1))</f>
        <v>#REF!</v>
      </c>
      <c r="M992" s="9" t="e">
        <f>IF(OR(Data!B992="",Data!#REF!=""),"",IF(ISNUMBER(MATCH(Data!#REF!,Data_Val!$F$1:$F$38,0)),0,1))</f>
        <v>#REF!</v>
      </c>
      <c r="N992" s="9" t="e">
        <f>IF(OR(Data!B992="",Data!#REF!=""),"",IF(Data!#REF!="",1,0))</f>
        <v>#REF!</v>
      </c>
      <c r="O992" s="17" t="e">
        <f>IF(Data!#REF!="","",IF(Data!#REF!="",1,0))</f>
        <v>#REF!</v>
      </c>
      <c r="P992" s="17" t="e">
        <f>IF(Data!#REF!="","",IF(ISNUMBER(MATCH(Data!#REF!,Data_Val!$A$2:$A$3,0)),0,1))</f>
        <v>#REF!</v>
      </c>
      <c r="Q992" s="25" t="e">
        <f ca="1">IF(Data!#REF!="","",IF(ISNUMBER(Data!#REF!),IF(AND(Data!#REF!&gt;(TODAY()-(Data_Val!$J$3*365.25)),Data!#REF!&lt;=(TODAY()-(Data_Val!$J$2*365.25))),0,1),1))</f>
        <v>#REF!</v>
      </c>
      <c r="R992" s="17" t="e">
        <f>IF(Data!#REF!="","",IF(ISNUMBER(MATCH(Data!#REF!,Data_Val!$B$2:$B$15,0)),0,1))</f>
        <v>#REF!</v>
      </c>
      <c r="S992" s="11" t="str">
        <f>IF(Data!G992="","",IF(Data!G992=Data_Val!$C$2,IF(Data!M992="",0,1),0))</f>
        <v/>
      </c>
      <c r="T992" s="11" t="str">
        <f>IF(Data!M992="","",IF(ISNUMBER(MATCH(Data!N992,Data_Val!$A$2:$A$3,0)),0,1))</f>
        <v/>
      </c>
      <c r="U992" s="11" t="str">
        <f ca="1">IF(Data!M992="","",IF(ISNUMBER(Data!O992),IF(AND(Data!O992&gt;(TODAY()-(Data_Val!$K$3*365.25)),Data!O992&lt;=(TODAY()-(Data_Val!$K$2*365.25))),0,1),1))</f>
        <v/>
      </c>
      <c r="V992" s="12" t="str">
        <f>IF(Data!G992="","",IF(Data!G992=Data_Val!$C$2,IF(Data!P992="",0,1),0))</f>
        <v/>
      </c>
      <c r="W992" s="12" t="str">
        <f>IF(Data!P992="","",IF(ISNUMBER(MATCH(Data!Q992,Data_Val!$A$2:$A$3,0)),0,1))</f>
        <v/>
      </c>
      <c r="X992" s="26" t="str">
        <f ca="1">IF(Data!P992="","",IF(ISNUMBER(Data!R992),IF(AND(Data!R992&gt;(TODAY()-(Data_Val!$L$3*365.25)),Data!R992&lt;=(TODAY()-(Data_Val!$L$2*365.25))),0,1),1))</f>
        <v/>
      </c>
      <c r="Y992" s="13" t="str">
        <f>IF(Data!$G992="","",IF(Data!$G992=Data_Val!$C$2,IF(Data!S992="",0,1),0))</f>
        <v/>
      </c>
      <c r="Z992" s="13" t="str">
        <f>IF(Data!S992="","",IF(ISNUMBER(MATCH(Data!T992,Data_Val!$A$2:$A$3,0)),0,1))</f>
        <v/>
      </c>
      <c r="AA992" s="28" t="str">
        <f ca="1">IF(Data!S992="","",IF(ISNUMBER(Data!U992),IF(AND(Data!U992&gt;(TODAY()-(Data_Val!$L$3*365.25)),Data!U992&lt;=(TODAY()-(Data_Val!$L$2*365.25))),0,1),1))</f>
        <v/>
      </c>
      <c r="AB992" s="11"/>
      <c r="AC992" s="11" t="e">
        <f>IF(Data!#REF!="","",IF(ISNUMBER(MATCH(Data!#REF!,Data_Val!$A$2:$A$3,0)),0,1))</f>
        <v>#REF!</v>
      </c>
      <c r="AD992" s="11" t="e">
        <f ca="1">IF(Data!#REF!="","",IF(ISNUMBER(Data!#REF!),IF(AND(Data!#REF!&gt;(TODAY()-(Data_Val!$L$3*365.25)),Data!#REF!&lt;=(TODAY()-(Data_Val!$L$2*365.25))),0,1),1))</f>
        <v>#REF!</v>
      </c>
      <c r="AE992" s="11" t="e">
        <f>IF(Data!#REF!="","",IF(Data!$G992="",1,IF(ISNUMBER(MATCH(Data!#REF!,Data_Val!$D$2:$D$10,0)),0,1)))</f>
        <v>#REF!</v>
      </c>
      <c r="AF992" s="12"/>
      <c r="AG992" s="12" t="e">
        <f>IF(Data!#REF!="","",IF(ISNUMBER(MATCH(Data!#REF!,Data_Val!$A$2:$A$3,0)),0,1))</f>
        <v>#REF!</v>
      </c>
      <c r="AH992" s="26" t="e">
        <f ca="1">IF(Data!#REF!="","",IF(ISNUMBER(Data!#REF!),IF(AND(Data!#REF!&gt;(TODAY()-(Data_Val!$L$3*365.25)),Data!#REF!&lt;=(TODAY()-(Data_Val!$L$2*365.25))),0,1),1))</f>
        <v>#REF!</v>
      </c>
      <c r="AI992" s="12" t="e">
        <f>IF(Data!#REF!="","",IF(Data!$G992="",1,IF(ISNUMBER(MATCH(Data!#REF!,Data_Val!$D$2:$D$10,0)),0,1)))</f>
        <v>#REF!</v>
      </c>
      <c r="AJ992" s="17"/>
      <c r="AK992" s="17" t="e">
        <f>IF(Data!#REF!="","",IF(ISNUMBER(MATCH(Data!#REF!,Data_Val!$A$2:$A$3,0)),0,1))</f>
        <v>#REF!</v>
      </c>
      <c r="AL992" s="25" t="e">
        <f ca="1">IF(Data!#REF!="","",IF(ISNUMBER(Data!#REF!),IF(AND(Data!#REF!&gt;(TODAY()-(Data_Val!$L$3*365.25)),Data!#REF!&lt;=(TODAY()-(Data_Val!$L$2*365.25))),0,1),1))</f>
        <v>#REF!</v>
      </c>
      <c r="AM992" s="17" t="e">
        <f>IF(Data!#REF!="","",IF(Data!$G992="",1,IF(ISNUMBER(MATCH(Data!#REF!,Data_Val!$D$2:$D$10,0)),0,1)))</f>
        <v>#REF!</v>
      </c>
      <c r="AN992" s="13"/>
      <c r="AO992" s="28" t="e">
        <f ca="1">IF(Data!#REF!="","",IF(ISNUMBER(Data!#REF!),IF(AND(Data!#REF!&gt;(TODAY()-(Data_Val!$I$3*365.25)),Data!#REF!&lt;=(TODAY()-(Data_Val!$I$2*365.25))),0,1),1))</f>
        <v>#REF!</v>
      </c>
      <c r="AP992" s="13" t="e">
        <f>IF(Data!#REF!="","",IF(Data!$G992="",1,IF(ISNUMBER(MATCH(Data!#REF!,Data_Val!$D$2:$D$10,0)),0,1)))</f>
        <v>#REF!</v>
      </c>
      <c r="AQ992" s="17"/>
      <c r="AR992" s="30" t="e">
        <f ca="1">IF(Data!#REF!="","",IF(ISNUMBER(Data!#REF!),IF(AND(Data!#REF!&gt;(TODAY()-(Data_Val!$I$3*365.25)),Data!#REF!&lt;=(TODAY()-(Data_Val!$I$2*365.25))),0,1),1))</f>
        <v>#REF!</v>
      </c>
      <c r="AS992" s="31" t="e">
        <f>IF(Data!#REF!="","",IF(Data!$G992="",1,IF(ISNUMBER(MATCH(Data!#REF!,Data_Val!$D$2:$D$10,0)),0,1)))</f>
        <v>#REF!</v>
      </c>
      <c r="AT992" s="11"/>
      <c r="AU992" s="11" t="e">
        <f ca="1">IF(Data!#REF!="","",IF(ISNUMBER(Data!#REF!),IF(AND(Data!#REF!&gt;(TODAY()-(Data_Val!$I$3*365.25)),Data!#REF!&lt;=(TODAY()-(Data_Val!$I$2*365.25))),0,1),1))</f>
        <v>#REF!</v>
      </c>
      <c r="AV992" s="11" t="e">
        <f>IF(Data!#REF!="","",IF(Data!$G992="",1,IF(ISNUMBER(MATCH(Data!#REF!,Data_Val!$D$2:$D$10,0)),0,1)))</f>
        <v>#REF!</v>
      </c>
      <c r="AW992" s="12"/>
      <c r="AX992" s="26" t="e">
        <f ca="1">IF(Data!#REF!="","",IF(ISNUMBER(Data!#REF!),IF(AND(Data!#REF!&gt;(TODAY()-(Data_Val!$I$3*365.25)),Data!#REF!&lt;=(TODAY()-(Data_Val!$I$2*365.25))),0,1),1))</f>
        <v>#REF!</v>
      </c>
      <c r="AY992" s="12" t="e">
        <f>IF(Data!#REF!="","",IF(Data!$G992="",1,IF(ISNUMBER(MATCH(Data!#REF!,Data_Val!$D$2:$D$10,0)),0,1)))</f>
        <v>#REF!</v>
      </c>
      <c r="AZ992" s="11"/>
      <c r="BA992" s="19" t="e">
        <f ca="1">IF(Data!#REF!="","",IF(ISNUMBER(Data!#REF!),IF(AND(Data!#REF!&gt;(TODAY()-(Data_Val!$M$3*365.25)),Data!#REF!&lt;=(TODAY()-(Data_Val!$M$2*365.25))),0,1),1))</f>
        <v>#REF!</v>
      </c>
      <c r="BB992" s="11" t="e">
        <f>IF(Data!#REF!="","",IF(Data!$G992="",1,IF(ISNUMBER(MATCH(Data!#REF!,Data_Val!$D$2:$D$10,0)),0,1)))</f>
        <v>#REF!</v>
      </c>
      <c r="BC992" s="12"/>
      <c r="BD992" s="20" t="e">
        <f ca="1">IF(Data!#REF!="","",IF(ISNUMBER(Data!#REF!),IF(AND(Data!#REF!&gt;(TODAY()-(Data_Val!$M$3*365.25)),Data!#REF!&lt;=(TODAY()-(Data_Val!$M$2*365.25))),0,1),1))</f>
        <v>#REF!</v>
      </c>
      <c r="BE992" s="12" t="e">
        <f>IF(Data!#REF!="","",IF(Data!$G992="",1,IF(ISNUMBER(MATCH(Data!#REF!,Data_Val!$D$2:$D$10,0)),0,1)))</f>
        <v>#REF!</v>
      </c>
      <c r="BF992" s="17"/>
      <c r="BG992" s="18" t="e">
        <f ca="1">IF(Data!#REF!="","",IF(ISNUMBER(Data!#REF!),IF(AND(Data!#REF!&gt;(TODAY()-(Data_Val!$M$3*365.25)),Data!#REF!&lt;=(TODAY()-(Data_Val!$M$2*365.25))),0,1),1))</f>
        <v>#REF!</v>
      </c>
      <c r="BH992" s="29" t="e">
        <f>IF(Data!#REF!="","",IF(Data!$G992="",1,IF(ISNUMBER(MATCH(Data!#REF!,Data_Val!$D$2:$D$10,0)),0,1)))</f>
        <v>#REF!</v>
      </c>
      <c r="BI992" s="13"/>
      <c r="BJ992" s="21" t="e">
        <f ca="1">IF(Data!#REF!="","",IF(ISNUMBER(Data!#REF!),IF(AND(Data!#REF!&gt;(TODAY()-(Data_Val!$M$3*365.25)),Data!#REF!&lt;=(TODAY()-(Data_Val!$M$2*365.25))),0,1),1))</f>
        <v>#REF!</v>
      </c>
      <c r="BK992" s="13" t="e">
        <f>IF(Data!#REF!="","",IF(Data!$G992="",1,IF(ISNUMBER(MATCH(Data!#REF!,Data_Val!$D$2:$D$10,0)),0,1)))</f>
        <v>#REF!</v>
      </c>
    </row>
    <row r="993" spans="1:63" x14ac:dyDescent="0.25">
      <c r="A993" s="9" t="str">
        <f>IF(Data!B993="","",IF(COUNTIFS(Data!A$1:'Data'!A993,Data!A993)&lt;=1,0,1))</f>
        <v/>
      </c>
      <c r="B993" s="9"/>
      <c r="C993" s="23" t="str">
        <f>IF(Data!C993="","",(IF(ISNUMBER(MATCH("*@*.?*",Data!C993,0)),0,1)+IF(COUNTIFS(Data!C$1:'Data'!C993,Data!C993)&gt;1,1,0)))</f>
        <v/>
      </c>
      <c r="D993" s="9" t="str">
        <f>IF(Data!B993="","",IF(ISNUMBER(Data!D993),IF(AND(Data!D993&gt;999999999,Data!D993&lt;=9999999999),IF(COUNTIFS(Data!D$1:'Data'!D993,Data!D993)&lt;=1,0,1),1),1))</f>
        <v/>
      </c>
      <c r="E993" s="9" t="str">
        <f>IF(Data!B993="","",IF(ISNUMBER(MATCH(Data!E993,Data_Val!$A$2:$A$3,0)),0,1))</f>
        <v/>
      </c>
      <c r="F993" s="9" t="str">
        <f ca="1">IF(Data!B993="","",IF(ISNUMBER(Data!F993),IF(AND(Data!F993&gt;(TODAY()-(Data_Val!$H$3*365.25)),Data!F993&lt;=(TODAY()-(Data_Val!$H$2*365.25))),0,1),1))</f>
        <v/>
      </c>
      <c r="G993" s="15" t="str">
        <f>IF(Data!B993="","",IF(AND(Data!G993="",Data!H993&lt;&gt;""),1,IF(Data!#REF!&lt;&gt;"",0,IF(ISNUMBER(MATCH(Data!G993,Data_Val!$C$2:$C$5,0)),0,1))))</f>
        <v/>
      </c>
      <c r="H993" s="15" t="str">
        <f>IF(Data!B993="","",IF(AND(Data!G993&lt;&gt;"",Data!H993=""),1,IF(Data!#REF!&lt;&gt;"",0,IF(Data!G993="",1,IF(ISNUMBER(MATCH(Data!H993,Data_Val!$D$2:$D$35,0)),0,1)))))</f>
        <v/>
      </c>
      <c r="I993" s="15" t="str">
        <f>IF(Data!B993="","",IF(Data!G993&lt;&gt;"",0,IF(ISNUMBER(MATCH(Data!#REF!,Data_Val!$E$2:$E$12,0)),0,1)))</f>
        <v/>
      </c>
      <c r="J993" s="16" t="e">
        <f>IF(OR(Data!B993="",Data!#REF!=""),"",IF(Data!#REF!="",1,0))</f>
        <v>#REF!</v>
      </c>
      <c r="K993" s="16" t="e">
        <f>IF(OR(Data!B993="",Data!#REF!=""),"",IF(Data!#REF!="",1,0))</f>
        <v>#REF!</v>
      </c>
      <c r="L993" s="16" t="e">
        <f>IF(OR(Data!B993="",Data!#REF!=""),"",IF(ISNUMBER(Data!#REF!),IF(AND(Data!#REF!&gt;Data_Val!$G$2,Data!#REF!&lt;=Data_Val!$G$3),0,1),1))</f>
        <v>#REF!</v>
      </c>
      <c r="M993" s="9" t="e">
        <f>IF(OR(Data!B993="",Data!#REF!=""),"",IF(ISNUMBER(MATCH(Data!#REF!,Data_Val!$F$1:$F$38,0)),0,1))</f>
        <v>#REF!</v>
      </c>
      <c r="N993" s="9" t="e">
        <f>IF(OR(Data!B993="",Data!#REF!=""),"",IF(Data!#REF!="",1,0))</f>
        <v>#REF!</v>
      </c>
      <c r="O993" s="17" t="e">
        <f>IF(Data!#REF!="","",IF(Data!#REF!="",1,0))</f>
        <v>#REF!</v>
      </c>
      <c r="P993" s="17" t="e">
        <f>IF(Data!#REF!="","",IF(ISNUMBER(MATCH(Data!#REF!,Data_Val!$A$2:$A$3,0)),0,1))</f>
        <v>#REF!</v>
      </c>
      <c r="Q993" s="25" t="e">
        <f ca="1">IF(Data!#REF!="","",IF(ISNUMBER(Data!#REF!),IF(AND(Data!#REF!&gt;(TODAY()-(Data_Val!$J$3*365.25)),Data!#REF!&lt;=(TODAY()-(Data_Val!$J$2*365.25))),0,1),1))</f>
        <v>#REF!</v>
      </c>
      <c r="R993" s="17" t="e">
        <f>IF(Data!#REF!="","",IF(ISNUMBER(MATCH(Data!#REF!,Data_Val!$B$2:$B$15,0)),0,1))</f>
        <v>#REF!</v>
      </c>
      <c r="S993" s="11" t="str">
        <f>IF(Data!G993="","",IF(Data!G993=Data_Val!$C$2,IF(Data!M993="",0,1),0))</f>
        <v/>
      </c>
      <c r="T993" s="11" t="str">
        <f>IF(Data!M993="","",IF(ISNUMBER(MATCH(Data!N993,Data_Val!$A$2:$A$3,0)),0,1))</f>
        <v/>
      </c>
      <c r="U993" s="11" t="str">
        <f ca="1">IF(Data!M993="","",IF(ISNUMBER(Data!O993),IF(AND(Data!O993&gt;(TODAY()-(Data_Val!$K$3*365.25)),Data!O993&lt;=(TODAY()-(Data_Val!$K$2*365.25))),0,1),1))</f>
        <v/>
      </c>
      <c r="V993" s="12" t="str">
        <f>IF(Data!G993="","",IF(Data!G993=Data_Val!$C$2,IF(Data!P993="",0,1),0))</f>
        <v/>
      </c>
      <c r="W993" s="12" t="str">
        <f>IF(Data!P993="","",IF(ISNUMBER(MATCH(Data!Q993,Data_Val!$A$2:$A$3,0)),0,1))</f>
        <v/>
      </c>
      <c r="X993" s="26" t="str">
        <f ca="1">IF(Data!P993="","",IF(ISNUMBER(Data!R993),IF(AND(Data!R993&gt;(TODAY()-(Data_Val!$L$3*365.25)),Data!R993&lt;=(TODAY()-(Data_Val!$L$2*365.25))),0,1),1))</f>
        <v/>
      </c>
      <c r="Y993" s="13" t="str">
        <f>IF(Data!$G993="","",IF(Data!$G993=Data_Val!$C$2,IF(Data!S993="",0,1),0))</f>
        <v/>
      </c>
      <c r="Z993" s="13" t="str">
        <f>IF(Data!S993="","",IF(ISNUMBER(MATCH(Data!T993,Data_Val!$A$2:$A$3,0)),0,1))</f>
        <v/>
      </c>
      <c r="AA993" s="28" t="str">
        <f ca="1">IF(Data!S993="","",IF(ISNUMBER(Data!U993),IF(AND(Data!U993&gt;(TODAY()-(Data_Val!$L$3*365.25)),Data!U993&lt;=(TODAY()-(Data_Val!$L$2*365.25))),0,1),1))</f>
        <v/>
      </c>
      <c r="AB993" s="11"/>
      <c r="AC993" s="11" t="e">
        <f>IF(Data!#REF!="","",IF(ISNUMBER(MATCH(Data!#REF!,Data_Val!$A$2:$A$3,0)),0,1))</f>
        <v>#REF!</v>
      </c>
      <c r="AD993" s="11" t="e">
        <f ca="1">IF(Data!#REF!="","",IF(ISNUMBER(Data!#REF!),IF(AND(Data!#REF!&gt;(TODAY()-(Data_Val!$L$3*365.25)),Data!#REF!&lt;=(TODAY()-(Data_Val!$L$2*365.25))),0,1),1))</f>
        <v>#REF!</v>
      </c>
      <c r="AE993" s="11" t="e">
        <f>IF(Data!#REF!="","",IF(Data!$G993="",1,IF(ISNUMBER(MATCH(Data!#REF!,Data_Val!$D$2:$D$10,0)),0,1)))</f>
        <v>#REF!</v>
      </c>
      <c r="AF993" s="12"/>
      <c r="AG993" s="12" t="e">
        <f>IF(Data!#REF!="","",IF(ISNUMBER(MATCH(Data!#REF!,Data_Val!$A$2:$A$3,0)),0,1))</f>
        <v>#REF!</v>
      </c>
      <c r="AH993" s="26" t="e">
        <f ca="1">IF(Data!#REF!="","",IF(ISNUMBER(Data!#REF!),IF(AND(Data!#REF!&gt;(TODAY()-(Data_Val!$L$3*365.25)),Data!#REF!&lt;=(TODAY()-(Data_Val!$L$2*365.25))),0,1),1))</f>
        <v>#REF!</v>
      </c>
      <c r="AI993" s="12" t="e">
        <f>IF(Data!#REF!="","",IF(Data!$G993="",1,IF(ISNUMBER(MATCH(Data!#REF!,Data_Val!$D$2:$D$10,0)),0,1)))</f>
        <v>#REF!</v>
      </c>
      <c r="AJ993" s="17"/>
      <c r="AK993" s="17" t="e">
        <f>IF(Data!#REF!="","",IF(ISNUMBER(MATCH(Data!#REF!,Data_Val!$A$2:$A$3,0)),0,1))</f>
        <v>#REF!</v>
      </c>
      <c r="AL993" s="25" t="e">
        <f ca="1">IF(Data!#REF!="","",IF(ISNUMBER(Data!#REF!),IF(AND(Data!#REF!&gt;(TODAY()-(Data_Val!$L$3*365.25)),Data!#REF!&lt;=(TODAY()-(Data_Val!$L$2*365.25))),0,1),1))</f>
        <v>#REF!</v>
      </c>
      <c r="AM993" s="17" t="e">
        <f>IF(Data!#REF!="","",IF(Data!$G993="",1,IF(ISNUMBER(MATCH(Data!#REF!,Data_Val!$D$2:$D$10,0)),0,1)))</f>
        <v>#REF!</v>
      </c>
      <c r="AN993" s="13"/>
      <c r="AO993" s="28" t="e">
        <f ca="1">IF(Data!#REF!="","",IF(ISNUMBER(Data!#REF!),IF(AND(Data!#REF!&gt;(TODAY()-(Data_Val!$I$3*365.25)),Data!#REF!&lt;=(TODAY()-(Data_Val!$I$2*365.25))),0,1),1))</f>
        <v>#REF!</v>
      </c>
      <c r="AP993" s="13" t="e">
        <f>IF(Data!#REF!="","",IF(Data!$G993="",1,IF(ISNUMBER(MATCH(Data!#REF!,Data_Val!$D$2:$D$10,0)),0,1)))</f>
        <v>#REF!</v>
      </c>
      <c r="AQ993" s="17"/>
      <c r="AR993" s="30" t="e">
        <f ca="1">IF(Data!#REF!="","",IF(ISNUMBER(Data!#REF!),IF(AND(Data!#REF!&gt;(TODAY()-(Data_Val!$I$3*365.25)),Data!#REF!&lt;=(TODAY()-(Data_Val!$I$2*365.25))),0,1),1))</f>
        <v>#REF!</v>
      </c>
      <c r="AS993" s="31" t="e">
        <f>IF(Data!#REF!="","",IF(Data!$G993="",1,IF(ISNUMBER(MATCH(Data!#REF!,Data_Val!$D$2:$D$10,0)),0,1)))</f>
        <v>#REF!</v>
      </c>
      <c r="AT993" s="11"/>
      <c r="AU993" s="11" t="e">
        <f ca="1">IF(Data!#REF!="","",IF(ISNUMBER(Data!#REF!),IF(AND(Data!#REF!&gt;(TODAY()-(Data_Val!$I$3*365.25)),Data!#REF!&lt;=(TODAY()-(Data_Val!$I$2*365.25))),0,1),1))</f>
        <v>#REF!</v>
      </c>
      <c r="AV993" s="11" t="e">
        <f>IF(Data!#REF!="","",IF(Data!$G993="",1,IF(ISNUMBER(MATCH(Data!#REF!,Data_Val!$D$2:$D$10,0)),0,1)))</f>
        <v>#REF!</v>
      </c>
      <c r="AW993" s="12"/>
      <c r="AX993" s="26" t="e">
        <f ca="1">IF(Data!#REF!="","",IF(ISNUMBER(Data!#REF!),IF(AND(Data!#REF!&gt;(TODAY()-(Data_Val!$I$3*365.25)),Data!#REF!&lt;=(TODAY()-(Data_Val!$I$2*365.25))),0,1),1))</f>
        <v>#REF!</v>
      </c>
      <c r="AY993" s="12" t="e">
        <f>IF(Data!#REF!="","",IF(Data!$G993="",1,IF(ISNUMBER(MATCH(Data!#REF!,Data_Val!$D$2:$D$10,0)),0,1)))</f>
        <v>#REF!</v>
      </c>
      <c r="AZ993" s="11"/>
      <c r="BA993" s="19" t="e">
        <f ca="1">IF(Data!#REF!="","",IF(ISNUMBER(Data!#REF!),IF(AND(Data!#REF!&gt;(TODAY()-(Data_Val!$M$3*365.25)),Data!#REF!&lt;=(TODAY()-(Data_Val!$M$2*365.25))),0,1),1))</f>
        <v>#REF!</v>
      </c>
      <c r="BB993" s="11" t="e">
        <f>IF(Data!#REF!="","",IF(Data!$G993="",1,IF(ISNUMBER(MATCH(Data!#REF!,Data_Val!$D$2:$D$10,0)),0,1)))</f>
        <v>#REF!</v>
      </c>
      <c r="BC993" s="12"/>
      <c r="BD993" s="20" t="e">
        <f ca="1">IF(Data!#REF!="","",IF(ISNUMBER(Data!#REF!),IF(AND(Data!#REF!&gt;(TODAY()-(Data_Val!$M$3*365.25)),Data!#REF!&lt;=(TODAY()-(Data_Val!$M$2*365.25))),0,1),1))</f>
        <v>#REF!</v>
      </c>
      <c r="BE993" s="12" t="e">
        <f>IF(Data!#REF!="","",IF(Data!$G993="",1,IF(ISNUMBER(MATCH(Data!#REF!,Data_Val!$D$2:$D$10,0)),0,1)))</f>
        <v>#REF!</v>
      </c>
      <c r="BF993" s="17"/>
      <c r="BG993" s="18" t="e">
        <f ca="1">IF(Data!#REF!="","",IF(ISNUMBER(Data!#REF!),IF(AND(Data!#REF!&gt;(TODAY()-(Data_Val!$M$3*365.25)),Data!#REF!&lt;=(TODAY()-(Data_Val!$M$2*365.25))),0,1),1))</f>
        <v>#REF!</v>
      </c>
      <c r="BH993" s="29" t="e">
        <f>IF(Data!#REF!="","",IF(Data!$G993="",1,IF(ISNUMBER(MATCH(Data!#REF!,Data_Val!$D$2:$D$10,0)),0,1)))</f>
        <v>#REF!</v>
      </c>
      <c r="BI993" s="13"/>
      <c r="BJ993" s="21" t="e">
        <f ca="1">IF(Data!#REF!="","",IF(ISNUMBER(Data!#REF!),IF(AND(Data!#REF!&gt;(TODAY()-(Data_Val!$M$3*365.25)),Data!#REF!&lt;=(TODAY()-(Data_Val!$M$2*365.25))),0,1),1))</f>
        <v>#REF!</v>
      </c>
      <c r="BK993" s="13" t="e">
        <f>IF(Data!#REF!="","",IF(Data!$G993="",1,IF(ISNUMBER(MATCH(Data!#REF!,Data_Val!$D$2:$D$10,0)),0,1)))</f>
        <v>#REF!</v>
      </c>
    </row>
    <row r="994" spans="1:63" x14ac:dyDescent="0.25">
      <c r="A994" s="9" t="str">
        <f>IF(Data!B994="","",IF(COUNTIFS(Data!A$1:'Data'!A994,Data!A994)&lt;=1,0,1))</f>
        <v/>
      </c>
      <c r="B994" s="9"/>
      <c r="C994" s="23" t="str">
        <f>IF(Data!C994="","",(IF(ISNUMBER(MATCH("*@*.?*",Data!C994,0)),0,1)+IF(COUNTIFS(Data!C$1:'Data'!C994,Data!C994)&gt;1,1,0)))</f>
        <v/>
      </c>
      <c r="D994" s="9" t="str">
        <f>IF(Data!B994="","",IF(ISNUMBER(Data!D994),IF(AND(Data!D994&gt;999999999,Data!D994&lt;=9999999999),IF(COUNTIFS(Data!D$1:'Data'!D994,Data!D994)&lt;=1,0,1),1),1))</f>
        <v/>
      </c>
      <c r="E994" s="9" t="str">
        <f>IF(Data!B994="","",IF(ISNUMBER(MATCH(Data!E994,Data_Val!$A$2:$A$3,0)),0,1))</f>
        <v/>
      </c>
      <c r="F994" s="9" t="str">
        <f ca="1">IF(Data!B994="","",IF(ISNUMBER(Data!F994),IF(AND(Data!F994&gt;(TODAY()-(Data_Val!$H$3*365.25)),Data!F994&lt;=(TODAY()-(Data_Val!$H$2*365.25))),0,1),1))</f>
        <v/>
      </c>
      <c r="G994" s="15" t="str">
        <f>IF(Data!B994="","",IF(AND(Data!G994="",Data!H994&lt;&gt;""),1,IF(Data!#REF!&lt;&gt;"",0,IF(ISNUMBER(MATCH(Data!G994,Data_Val!$C$2:$C$5,0)),0,1))))</f>
        <v/>
      </c>
      <c r="H994" s="15" t="str">
        <f>IF(Data!B994="","",IF(AND(Data!G994&lt;&gt;"",Data!H994=""),1,IF(Data!#REF!&lt;&gt;"",0,IF(Data!G994="",1,IF(ISNUMBER(MATCH(Data!H994,Data_Val!$D$2:$D$35,0)),0,1)))))</f>
        <v/>
      </c>
      <c r="I994" s="15" t="str">
        <f>IF(Data!B994="","",IF(Data!G994&lt;&gt;"",0,IF(ISNUMBER(MATCH(Data!#REF!,Data_Val!$E$2:$E$12,0)),0,1)))</f>
        <v/>
      </c>
      <c r="J994" s="16" t="e">
        <f>IF(OR(Data!B994="",Data!#REF!=""),"",IF(Data!#REF!="",1,0))</f>
        <v>#REF!</v>
      </c>
      <c r="K994" s="16" t="e">
        <f>IF(OR(Data!B994="",Data!#REF!=""),"",IF(Data!#REF!="",1,0))</f>
        <v>#REF!</v>
      </c>
      <c r="L994" s="16" t="e">
        <f>IF(OR(Data!B994="",Data!#REF!=""),"",IF(ISNUMBER(Data!#REF!),IF(AND(Data!#REF!&gt;Data_Val!$G$2,Data!#REF!&lt;=Data_Val!$G$3),0,1),1))</f>
        <v>#REF!</v>
      </c>
      <c r="M994" s="9" t="e">
        <f>IF(OR(Data!B994="",Data!#REF!=""),"",IF(ISNUMBER(MATCH(Data!#REF!,Data_Val!$F$1:$F$38,0)),0,1))</f>
        <v>#REF!</v>
      </c>
      <c r="N994" s="9" t="e">
        <f>IF(OR(Data!B994="",Data!#REF!=""),"",IF(Data!#REF!="",1,0))</f>
        <v>#REF!</v>
      </c>
      <c r="O994" s="17" t="e">
        <f>IF(Data!#REF!="","",IF(Data!#REF!="",1,0))</f>
        <v>#REF!</v>
      </c>
      <c r="P994" s="17" t="e">
        <f>IF(Data!#REF!="","",IF(ISNUMBER(MATCH(Data!#REF!,Data_Val!$A$2:$A$3,0)),0,1))</f>
        <v>#REF!</v>
      </c>
      <c r="Q994" s="25" t="e">
        <f ca="1">IF(Data!#REF!="","",IF(ISNUMBER(Data!#REF!),IF(AND(Data!#REF!&gt;(TODAY()-(Data_Val!$J$3*365.25)),Data!#REF!&lt;=(TODAY()-(Data_Val!$J$2*365.25))),0,1),1))</f>
        <v>#REF!</v>
      </c>
      <c r="R994" s="17" t="e">
        <f>IF(Data!#REF!="","",IF(ISNUMBER(MATCH(Data!#REF!,Data_Val!$B$2:$B$15,0)),0,1))</f>
        <v>#REF!</v>
      </c>
      <c r="S994" s="11" t="str">
        <f>IF(Data!G994="","",IF(Data!G994=Data_Val!$C$2,IF(Data!M994="",0,1),0))</f>
        <v/>
      </c>
      <c r="T994" s="11" t="str">
        <f>IF(Data!M994="","",IF(ISNUMBER(MATCH(Data!N994,Data_Val!$A$2:$A$3,0)),0,1))</f>
        <v/>
      </c>
      <c r="U994" s="11" t="str">
        <f ca="1">IF(Data!M994="","",IF(ISNUMBER(Data!O994),IF(AND(Data!O994&gt;(TODAY()-(Data_Val!$K$3*365.25)),Data!O994&lt;=(TODAY()-(Data_Val!$K$2*365.25))),0,1),1))</f>
        <v/>
      </c>
      <c r="V994" s="12" t="str">
        <f>IF(Data!G994="","",IF(Data!G994=Data_Val!$C$2,IF(Data!P994="",0,1),0))</f>
        <v/>
      </c>
      <c r="W994" s="12" t="str">
        <f>IF(Data!P994="","",IF(ISNUMBER(MATCH(Data!Q994,Data_Val!$A$2:$A$3,0)),0,1))</f>
        <v/>
      </c>
      <c r="X994" s="26" t="str">
        <f ca="1">IF(Data!P994="","",IF(ISNUMBER(Data!R994),IF(AND(Data!R994&gt;(TODAY()-(Data_Val!$L$3*365.25)),Data!R994&lt;=(TODAY()-(Data_Val!$L$2*365.25))),0,1),1))</f>
        <v/>
      </c>
      <c r="Y994" s="13" t="str">
        <f>IF(Data!$G994="","",IF(Data!$G994=Data_Val!$C$2,IF(Data!S994="",0,1),0))</f>
        <v/>
      </c>
      <c r="Z994" s="13" t="str">
        <f>IF(Data!S994="","",IF(ISNUMBER(MATCH(Data!T994,Data_Val!$A$2:$A$3,0)),0,1))</f>
        <v/>
      </c>
      <c r="AA994" s="28" t="str">
        <f ca="1">IF(Data!S994="","",IF(ISNUMBER(Data!U994),IF(AND(Data!U994&gt;(TODAY()-(Data_Val!$L$3*365.25)),Data!U994&lt;=(TODAY()-(Data_Val!$L$2*365.25))),0,1),1))</f>
        <v/>
      </c>
      <c r="AB994" s="11"/>
      <c r="AC994" s="11" t="e">
        <f>IF(Data!#REF!="","",IF(ISNUMBER(MATCH(Data!#REF!,Data_Val!$A$2:$A$3,0)),0,1))</f>
        <v>#REF!</v>
      </c>
      <c r="AD994" s="11" t="e">
        <f ca="1">IF(Data!#REF!="","",IF(ISNUMBER(Data!#REF!),IF(AND(Data!#REF!&gt;(TODAY()-(Data_Val!$L$3*365.25)),Data!#REF!&lt;=(TODAY()-(Data_Val!$L$2*365.25))),0,1),1))</f>
        <v>#REF!</v>
      </c>
      <c r="AE994" s="11" t="e">
        <f>IF(Data!#REF!="","",IF(Data!$G994="",1,IF(ISNUMBER(MATCH(Data!#REF!,Data_Val!$D$2:$D$10,0)),0,1)))</f>
        <v>#REF!</v>
      </c>
      <c r="AF994" s="12"/>
      <c r="AG994" s="12" t="e">
        <f>IF(Data!#REF!="","",IF(ISNUMBER(MATCH(Data!#REF!,Data_Val!$A$2:$A$3,0)),0,1))</f>
        <v>#REF!</v>
      </c>
      <c r="AH994" s="26" t="e">
        <f ca="1">IF(Data!#REF!="","",IF(ISNUMBER(Data!#REF!),IF(AND(Data!#REF!&gt;(TODAY()-(Data_Val!$L$3*365.25)),Data!#REF!&lt;=(TODAY()-(Data_Val!$L$2*365.25))),0,1),1))</f>
        <v>#REF!</v>
      </c>
      <c r="AI994" s="12" t="e">
        <f>IF(Data!#REF!="","",IF(Data!$G994="",1,IF(ISNUMBER(MATCH(Data!#REF!,Data_Val!$D$2:$D$10,0)),0,1)))</f>
        <v>#REF!</v>
      </c>
      <c r="AJ994" s="17"/>
      <c r="AK994" s="17" t="e">
        <f>IF(Data!#REF!="","",IF(ISNUMBER(MATCH(Data!#REF!,Data_Val!$A$2:$A$3,0)),0,1))</f>
        <v>#REF!</v>
      </c>
      <c r="AL994" s="25" t="e">
        <f ca="1">IF(Data!#REF!="","",IF(ISNUMBER(Data!#REF!),IF(AND(Data!#REF!&gt;(TODAY()-(Data_Val!$L$3*365.25)),Data!#REF!&lt;=(TODAY()-(Data_Val!$L$2*365.25))),0,1),1))</f>
        <v>#REF!</v>
      </c>
      <c r="AM994" s="17" t="e">
        <f>IF(Data!#REF!="","",IF(Data!$G994="",1,IF(ISNUMBER(MATCH(Data!#REF!,Data_Val!$D$2:$D$10,0)),0,1)))</f>
        <v>#REF!</v>
      </c>
      <c r="AN994" s="13"/>
      <c r="AO994" s="28" t="e">
        <f ca="1">IF(Data!#REF!="","",IF(ISNUMBER(Data!#REF!),IF(AND(Data!#REF!&gt;(TODAY()-(Data_Val!$I$3*365.25)),Data!#REF!&lt;=(TODAY()-(Data_Val!$I$2*365.25))),0,1),1))</f>
        <v>#REF!</v>
      </c>
      <c r="AP994" s="13" t="e">
        <f>IF(Data!#REF!="","",IF(Data!$G994="",1,IF(ISNUMBER(MATCH(Data!#REF!,Data_Val!$D$2:$D$10,0)),0,1)))</f>
        <v>#REF!</v>
      </c>
      <c r="AQ994" s="17"/>
      <c r="AR994" s="30" t="e">
        <f ca="1">IF(Data!#REF!="","",IF(ISNUMBER(Data!#REF!),IF(AND(Data!#REF!&gt;(TODAY()-(Data_Val!$I$3*365.25)),Data!#REF!&lt;=(TODAY()-(Data_Val!$I$2*365.25))),0,1),1))</f>
        <v>#REF!</v>
      </c>
      <c r="AS994" s="31" t="e">
        <f>IF(Data!#REF!="","",IF(Data!$G994="",1,IF(ISNUMBER(MATCH(Data!#REF!,Data_Val!$D$2:$D$10,0)),0,1)))</f>
        <v>#REF!</v>
      </c>
      <c r="AT994" s="11"/>
      <c r="AU994" s="11" t="e">
        <f ca="1">IF(Data!#REF!="","",IF(ISNUMBER(Data!#REF!),IF(AND(Data!#REF!&gt;(TODAY()-(Data_Val!$I$3*365.25)),Data!#REF!&lt;=(TODAY()-(Data_Val!$I$2*365.25))),0,1),1))</f>
        <v>#REF!</v>
      </c>
      <c r="AV994" s="11" t="e">
        <f>IF(Data!#REF!="","",IF(Data!$G994="",1,IF(ISNUMBER(MATCH(Data!#REF!,Data_Val!$D$2:$D$10,0)),0,1)))</f>
        <v>#REF!</v>
      </c>
      <c r="AW994" s="12"/>
      <c r="AX994" s="26" t="e">
        <f ca="1">IF(Data!#REF!="","",IF(ISNUMBER(Data!#REF!),IF(AND(Data!#REF!&gt;(TODAY()-(Data_Val!$I$3*365.25)),Data!#REF!&lt;=(TODAY()-(Data_Val!$I$2*365.25))),0,1),1))</f>
        <v>#REF!</v>
      </c>
      <c r="AY994" s="12" t="e">
        <f>IF(Data!#REF!="","",IF(Data!$G994="",1,IF(ISNUMBER(MATCH(Data!#REF!,Data_Val!$D$2:$D$10,0)),0,1)))</f>
        <v>#REF!</v>
      </c>
      <c r="AZ994" s="11"/>
      <c r="BA994" s="19" t="e">
        <f ca="1">IF(Data!#REF!="","",IF(ISNUMBER(Data!#REF!),IF(AND(Data!#REF!&gt;(TODAY()-(Data_Val!$M$3*365.25)),Data!#REF!&lt;=(TODAY()-(Data_Val!$M$2*365.25))),0,1),1))</f>
        <v>#REF!</v>
      </c>
      <c r="BB994" s="11" t="e">
        <f>IF(Data!#REF!="","",IF(Data!$G994="",1,IF(ISNUMBER(MATCH(Data!#REF!,Data_Val!$D$2:$D$10,0)),0,1)))</f>
        <v>#REF!</v>
      </c>
      <c r="BC994" s="12"/>
      <c r="BD994" s="20" t="e">
        <f ca="1">IF(Data!#REF!="","",IF(ISNUMBER(Data!#REF!),IF(AND(Data!#REF!&gt;(TODAY()-(Data_Val!$M$3*365.25)),Data!#REF!&lt;=(TODAY()-(Data_Val!$M$2*365.25))),0,1),1))</f>
        <v>#REF!</v>
      </c>
      <c r="BE994" s="12" t="e">
        <f>IF(Data!#REF!="","",IF(Data!$G994="",1,IF(ISNUMBER(MATCH(Data!#REF!,Data_Val!$D$2:$D$10,0)),0,1)))</f>
        <v>#REF!</v>
      </c>
      <c r="BF994" s="17"/>
      <c r="BG994" s="18" t="e">
        <f ca="1">IF(Data!#REF!="","",IF(ISNUMBER(Data!#REF!),IF(AND(Data!#REF!&gt;(TODAY()-(Data_Val!$M$3*365.25)),Data!#REF!&lt;=(TODAY()-(Data_Val!$M$2*365.25))),0,1),1))</f>
        <v>#REF!</v>
      </c>
      <c r="BH994" s="29" t="e">
        <f>IF(Data!#REF!="","",IF(Data!$G994="",1,IF(ISNUMBER(MATCH(Data!#REF!,Data_Val!$D$2:$D$10,0)),0,1)))</f>
        <v>#REF!</v>
      </c>
      <c r="BI994" s="13"/>
      <c r="BJ994" s="21" t="e">
        <f ca="1">IF(Data!#REF!="","",IF(ISNUMBER(Data!#REF!),IF(AND(Data!#REF!&gt;(TODAY()-(Data_Val!$M$3*365.25)),Data!#REF!&lt;=(TODAY()-(Data_Val!$M$2*365.25))),0,1),1))</f>
        <v>#REF!</v>
      </c>
      <c r="BK994" s="13" t="e">
        <f>IF(Data!#REF!="","",IF(Data!$G994="",1,IF(ISNUMBER(MATCH(Data!#REF!,Data_Val!$D$2:$D$10,0)),0,1)))</f>
        <v>#REF!</v>
      </c>
    </row>
    <row r="995" spans="1:63" x14ac:dyDescent="0.25">
      <c r="A995" s="9" t="str">
        <f>IF(Data!B995="","",IF(COUNTIFS(Data!A$1:'Data'!A995,Data!A995)&lt;=1,0,1))</f>
        <v/>
      </c>
      <c r="B995" s="9"/>
      <c r="C995" s="23" t="str">
        <f>IF(Data!C995="","",(IF(ISNUMBER(MATCH("*@*.?*",Data!C995,0)),0,1)+IF(COUNTIFS(Data!C$1:'Data'!C995,Data!C995)&gt;1,1,0)))</f>
        <v/>
      </c>
      <c r="D995" s="9" t="str">
        <f>IF(Data!B995="","",IF(ISNUMBER(Data!D995),IF(AND(Data!D995&gt;999999999,Data!D995&lt;=9999999999),IF(COUNTIFS(Data!D$1:'Data'!D995,Data!D995)&lt;=1,0,1),1),1))</f>
        <v/>
      </c>
      <c r="E995" s="9" t="str">
        <f>IF(Data!B995="","",IF(ISNUMBER(MATCH(Data!E995,Data_Val!$A$2:$A$3,0)),0,1))</f>
        <v/>
      </c>
      <c r="F995" s="9" t="str">
        <f ca="1">IF(Data!B995="","",IF(ISNUMBER(Data!F995),IF(AND(Data!F995&gt;(TODAY()-(Data_Val!$H$3*365.25)),Data!F995&lt;=(TODAY()-(Data_Val!$H$2*365.25))),0,1),1))</f>
        <v/>
      </c>
      <c r="G995" s="15" t="str">
        <f>IF(Data!B995="","",IF(AND(Data!G995="",Data!H995&lt;&gt;""),1,IF(Data!#REF!&lt;&gt;"",0,IF(ISNUMBER(MATCH(Data!G995,Data_Val!$C$2:$C$5,0)),0,1))))</f>
        <v/>
      </c>
      <c r="H995" s="15" t="str">
        <f>IF(Data!B995="","",IF(AND(Data!G995&lt;&gt;"",Data!H995=""),1,IF(Data!#REF!&lt;&gt;"",0,IF(Data!G995="",1,IF(ISNUMBER(MATCH(Data!H995,Data_Val!$D$2:$D$35,0)),0,1)))))</f>
        <v/>
      </c>
      <c r="I995" s="15" t="str">
        <f>IF(Data!B995="","",IF(Data!G995&lt;&gt;"",0,IF(ISNUMBER(MATCH(Data!#REF!,Data_Val!$E$2:$E$12,0)),0,1)))</f>
        <v/>
      </c>
      <c r="J995" s="16" t="e">
        <f>IF(OR(Data!B995="",Data!#REF!=""),"",IF(Data!#REF!="",1,0))</f>
        <v>#REF!</v>
      </c>
      <c r="K995" s="16" t="e">
        <f>IF(OR(Data!B995="",Data!#REF!=""),"",IF(Data!#REF!="",1,0))</f>
        <v>#REF!</v>
      </c>
      <c r="L995" s="16" t="e">
        <f>IF(OR(Data!B995="",Data!#REF!=""),"",IF(ISNUMBER(Data!#REF!),IF(AND(Data!#REF!&gt;Data_Val!$G$2,Data!#REF!&lt;=Data_Val!$G$3),0,1),1))</f>
        <v>#REF!</v>
      </c>
      <c r="M995" s="9" t="e">
        <f>IF(OR(Data!B995="",Data!#REF!=""),"",IF(ISNUMBER(MATCH(Data!#REF!,Data_Val!$F$1:$F$38,0)),0,1))</f>
        <v>#REF!</v>
      </c>
      <c r="N995" s="9" t="e">
        <f>IF(OR(Data!B995="",Data!#REF!=""),"",IF(Data!#REF!="",1,0))</f>
        <v>#REF!</v>
      </c>
      <c r="O995" s="17" t="e">
        <f>IF(Data!#REF!="","",IF(Data!#REF!="",1,0))</f>
        <v>#REF!</v>
      </c>
      <c r="P995" s="17" t="e">
        <f>IF(Data!#REF!="","",IF(ISNUMBER(MATCH(Data!#REF!,Data_Val!$A$2:$A$3,0)),0,1))</f>
        <v>#REF!</v>
      </c>
      <c r="Q995" s="25" t="e">
        <f ca="1">IF(Data!#REF!="","",IF(ISNUMBER(Data!#REF!),IF(AND(Data!#REF!&gt;(TODAY()-(Data_Val!$J$3*365.25)),Data!#REF!&lt;=(TODAY()-(Data_Val!$J$2*365.25))),0,1),1))</f>
        <v>#REF!</v>
      </c>
      <c r="R995" s="17" t="e">
        <f>IF(Data!#REF!="","",IF(ISNUMBER(MATCH(Data!#REF!,Data_Val!$B$2:$B$15,0)),0,1))</f>
        <v>#REF!</v>
      </c>
      <c r="S995" s="11" t="str">
        <f>IF(Data!G995="","",IF(Data!G995=Data_Val!$C$2,IF(Data!M995="",0,1),0))</f>
        <v/>
      </c>
      <c r="T995" s="11" t="str">
        <f>IF(Data!M995="","",IF(ISNUMBER(MATCH(Data!N995,Data_Val!$A$2:$A$3,0)),0,1))</f>
        <v/>
      </c>
      <c r="U995" s="11" t="str">
        <f ca="1">IF(Data!M995="","",IF(ISNUMBER(Data!O995),IF(AND(Data!O995&gt;(TODAY()-(Data_Val!$K$3*365.25)),Data!O995&lt;=(TODAY()-(Data_Val!$K$2*365.25))),0,1),1))</f>
        <v/>
      </c>
      <c r="V995" s="12" t="str">
        <f>IF(Data!G995="","",IF(Data!G995=Data_Val!$C$2,IF(Data!P995="",0,1),0))</f>
        <v/>
      </c>
      <c r="W995" s="12" t="str">
        <f>IF(Data!P995="","",IF(ISNUMBER(MATCH(Data!Q995,Data_Val!$A$2:$A$3,0)),0,1))</f>
        <v/>
      </c>
      <c r="X995" s="26" t="str">
        <f ca="1">IF(Data!P995="","",IF(ISNUMBER(Data!R995),IF(AND(Data!R995&gt;(TODAY()-(Data_Val!$L$3*365.25)),Data!R995&lt;=(TODAY()-(Data_Val!$L$2*365.25))),0,1),1))</f>
        <v/>
      </c>
      <c r="Y995" s="13" t="str">
        <f>IF(Data!$G995="","",IF(Data!$G995=Data_Val!$C$2,IF(Data!S995="",0,1),0))</f>
        <v/>
      </c>
      <c r="Z995" s="13" t="str">
        <f>IF(Data!S995="","",IF(ISNUMBER(MATCH(Data!T995,Data_Val!$A$2:$A$3,0)),0,1))</f>
        <v/>
      </c>
      <c r="AA995" s="28" t="str">
        <f ca="1">IF(Data!S995="","",IF(ISNUMBER(Data!U995),IF(AND(Data!U995&gt;(TODAY()-(Data_Val!$L$3*365.25)),Data!U995&lt;=(TODAY()-(Data_Val!$L$2*365.25))),0,1),1))</f>
        <v/>
      </c>
      <c r="AB995" s="11"/>
      <c r="AC995" s="11" t="e">
        <f>IF(Data!#REF!="","",IF(ISNUMBER(MATCH(Data!#REF!,Data_Val!$A$2:$A$3,0)),0,1))</f>
        <v>#REF!</v>
      </c>
      <c r="AD995" s="11" t="e">
        <f ca="1">IF(Data!#REF!="","",IF(ISNUMBER(Data!#REF!),IF(AND(Data!#REF!&gt;(TODAY()-(Data_Val!$L$3*365.25)),Data!#REF!&lt;=(TODAY()-(Data_Val!$L$2*365.25))),0,1),1))</f>
        <v>#REF!</v>
      </c>
      <c r="AE995" s="11" t="e">
        <f>IF(Data!#REF!="","",IF(Data!$G995="",1,IF(ISNUMBER(MATCH(Data!#REF!,Data_Val!$D$2:$D$10,0)),0,1)))</f>
        <v>#REF!</v>
      </c>
      <c r="AF995" s="12"/>
      <c r="AG995" s="12" t="e">
        <f>IF(Data!#REF!="","",IF(ISNUMBER(MATCH(Data!#REF!,Data_Val!$A$2:$A$3,0)),0,1))</f>
        <v>#REF!</v>
      </c>
      <c r="AH995" s="26" t="e">
        <f ca="1">IF(Data!#REF!="","",IF(ISNUMBER(Data!#REF!),IF(AND(Data!#REF!&gt;(TODAY()-(Data_Val!$L$3*365.25)),Data!#REF!&lt;=(TODAY()-(Data_Val!$L$2*365.25))),0,1),1))</f>
        <v>#REF!</v>
      </c>
      <c r="AI995" s="12" t="e">
        <f>IF(Data!#REF!="","",IF(Data!$G995="",1,IF(ISNUMBER(MATCH(Data!#REF!,Data_Val!$D$2:$D$10,0)),0,1)))</f>
        <v>#REF!</v>
      </c>
      <c r="AJ995" s="17"/>
      <c r="AK995" s="17" t="e">
        <f>IF(Data!#REF!="","",IF(ISNUMBER(MATCH(Data!#REF!,Data_Val!$A$2:$A$3,0)),0,1))</f>
        <v>#REF!</v>
      </c>
      <c r="AL995" s="25" t="e">
        <f ca="1">IF(Data!#REF!="","",IF(ISNUMBER(Data!#REF!),IF(AND(Data!#REF!&gt;(TODAY()-(Data_Val!$L$3*365.25)),Data!#REF!&lt;=(TODAY()-(Data_Val!$L$2*365.25))),0,1),1))</f>
        <v>#REF!</v>
      </c>
      <c r="AM995" s="17" t="e">
        <f>IF(Data!#REF!="","",IF(Data!$G995="",1,IF(ISNUMBER(MATCH(Data!#REF!,Data_Val!$D$2:$D$10,0)),0,1)))</f>
        <v>#REF!</v>
      </c>
      <c r="AN995" s="13"/>
      <c r="AO995" s="28" t="e">
        <f ca="1">IF(Data!#REF!="","",IF(ISNUMBER(Data!#REF!),IF(AND(Data!#REF!&gt;(TODAY()-(Data_Val!$I$3*365.25)),Data!#REF!&lt;=(TODAY()-(Data_Val!$I$2*365.25))),0,1),1))</f>
        <v>#REF!</v>
      </c>
      <c r="AP995" s="13" t="e">
        <f>IF(Data!#REF!="","",IF(Data!$G995="",1,IF(ISNUMBER(MATCH(Data!#REF!,Data_Val!$D$2:$D$10,0)),0,1)))</f>
        <v>#REF!</v>
      </c>
      <c r="AQ995" s="17"/>
      <c r="AR995" s="30" t="e">
        <f ca="1">IF(Data!#REF!="","",IF(ISNUMBER(Data!#REF!),IF(AND(Data!#REF!&gt;(TODAY()-(Data_Val!$I$3*365.25)),Data!#REF!&lt;=(TODAY()-(Data_Val!$I$2*365.25))),0,1),1))</f>
        <v>#REF!</v>
      </c>
      <c r="AS995" s="31" t="e">
        <f>IF(Data!#REF!="","",IF(Data!$G995="",1,IF(ISNUMBER(MATCH(Data!#REF!,Data_Val!$D$2:$D$10,0)),0,1)))</f>
        <v>#REF!</v>
      </c>
      <c r="AT995" s="11"/>
      <c r="AU995" s="11" t="e">
        <f ca="1">IF(Data!#REF!="","",IF(ISNUMBER(Data!#REF!),IF(AND(Data!#REF!&gt;(TODAY()-(Data_Val!$I$3*365.25)),Data!#REF!&lt;=(TODAY()-(Data_Val!$I$2*365.25))),0,1),1))</f>
        <v>#REF!</v>
      </c>
      <c r="AV995" s="11" t="e">
        <f>IF(Data!#REF!="","",IF(Data!$G995="",1,IF(ISNUMBER(MATCH(Data!#REF!,Data_Val!$D$2:$D$10,0)),0,1)))</f>
        <v>#REF!</v>
      </c>
      <c r="AW995" s="12"/>
      <c r="AX995" s="26" t="e">
        <f ca="1">IF(Data!#REF!="","",IF(ISNUMBER(Data!#REF!),IF(AND(Data!#REF!&gt;(TODAY()-(Data_Val!$I$3*365.25)),Data!#REF!&lt;=(TODAY()-(Data_Val!$I$2*365.25))),0,1),1))</f>
        <v>#REF!</v>
      </c>
      <c r="AY995" s="12" t="e">
        <f>IF(Data!#REF!="","",IF(Data!$G995="",1,IF(ISNUMBER(MATCH(Data!#REF!,Data_Val!$D$2:$D$10,0)),0,1)))</f>
        <v>#REF!</v>
      </c>
      <c r="AZ995" s="11"/>
      <c r="BA995" s="19" t="e">
        <f ca="1">IF(Data!#REF!="","",IF(ISNUMBER(Data!#REF!),IF(AND(Data!#REF!&gt;(TODAY()-(Data_Val!$M$3*365.25)),Data!#REF!&lt;=(TODAY()-(Data_Val!$M$2*365.25))),0,1),1))</f>
        <v>#REF!</v>
      </c>
      <c r="BB995" s="11" t="e">
        <f>IF(Data!#REF!="","",IF(Data!$G995="",1,IF(ISNUMBER(MATCH(Data!#REF!,Data_Val!$D$2:$D$10,0)),0,1)))</f>
        <v>#REF!</v>
      </c>
      <c r="BC995" s="12"/>
      <c r="BD995" s="20" t="e">
        <f ca="1">IF(Data!#REF!="","",IF(ISNUMBER(Data!#REF!),IF(AND(Data!#REF!&gt;(TODAY()-(Data_Val!$M$3*365.25)),Data!#REF!&lt;=(TODAY()-(Data_Val!$M$2*365.25))),0,1),1))</f>
        <v>#REF!</v>
      </c>
      <c r="BE995" s="12" t="e">
        <f>IF(Data!#REF!="","",IF(Data!$G995="",1,IF(ISNUMBER(MATCH(Data!#REF!,Data_Val!$D$2:$D$10,0)),0,1)))</f>
        <v>#REF!</v>
      </c>
      <c r="BF995" s="17"/>
      <c r="BG995" s="18" t="e">
        <f ca="1">IF(Data!#REF!="","",IF(ISNUMBER(Data!#REF!),IF(AND(Data!#REF!&gt;(TODAY()-(Data_Val!$M$3*365.25)),Data!#REF!&lt;=(TODAY()-(Data_Val!$M$2*365.25))),0,1),1))</f>
        <v>#REF!</v>
      </c>
      <c r="BH995" s="29" t="e">
        <f>IF(Data!#REF!="","",IF(Data!$G995="",1,IF(ISNUMBER(MATCH(Data!#REF!,Data_Val!$D$2:$D$10,0)),0,1)))</f>
        <v>#REF!</v>
      </c>
      <c r="BI995" s="13"/>
      <c r="BJ995" s="21" t="e">
        <f ca="1">IF(Data!#REF!="","",IF(ISNUMBER(Data!#REF!),IF(AND(Data!#REF!&gt;(TODAY()-(Data_Val!$M$3*365.25)),Data!#REF!&lt;=(TODAY()-(Data_Val!$M$2*365.25))),0,1),1))</f>
        <v>#REF!</v>
      </c>
      <c r="BK995" s="13" t="e">
        <f>IF(Data!#REF!="","",IF(Data!$G995="",1,IF(ISNUMBER(MATCH(Data!#REF!,Data_Val!$D$2:$D$10,0)),0,1)))</f>
        <v>#REF!</v>
      </c>
    </row>
    <row r="996" spans="1:63" x14ac:dyDescent="0.25">
      <c r="A996" s="9" t="str">
        <f>IF(Data!B996="","",IF(COUNTIFS(Data!A$1:'Data'!A996,Data!A996)&lt;=1,0,1))</f>
        <v/>
      </c>
      <c r="B996" s="9"/>
      <c r="C996" s="23" t="str">
        <f>IF(Data!C996="","",(IF(ISNUMBER(MATCH("*@*.?*",Data!C996,0)),0,1)+IF(COUNTIFS(Data!C$1:'Data'!C996,Data!C996)&gt;1,1,0)))</f>
        <v/>
      </c>
      <c r="D996" s="9" t="str">
        <f>IF(Data!B996="","",IF(ISNUMBER(Data!D996),IF(AND(Data!D996&gt;999999999,Data!D996&lt;=9999999999),IF(COUNTIFS(Data!D$1:'Data'!D996,Data!D996)&lt;=1,0,1),1),1))</f>
        <v/>
      </c>
      <c r="E996" s="9" t="str">
        <f>IF(Data!B996="","",IF(ISNUMBER(MATCH(Data!E996,Data_Val!$A$2:$A$3,0)),0,1))</f>
        <v/>
      </c>
      <c r="F996" s="9" t="str">
        <f ca="1">IF(Data!B996="","",IF(ISNUMBER(Data!F996),IF(AND(Data!F996&gt;(TODAY()-(Data_Val!$H$3*365.25)),Data!F996&lt;=(TODAY()-(Data_Val!$H$2*365.25))),0,1),1))</f>
        <v/>
      </c>
      <c r="G996" s="15" t="str">
        <f>IF(Data!B996="","",IF(AND(Data!G996="",Data!H996&lt;&gt;""),1,IF(Data!#REF!&lt;&gt;"",0,IF(ISNUMBER(MATCH(Data!G996,Data_Val!$C$2:$C$5,0)),0,1))))</f>
        <v/>
      </c>
      <c r="H996" s="15" t="str">
        <f>IF(Data!B996="","",IF(AND(Data!G996&lt;&gt;"",Data!H996=""),1,IF(Data!#REF!&lt;&gt;"",0,IF(Data!G996="",1,IF(ISNUMBER(MATCH(Data!H996,Data_Val!$D$2:$D$35,0)),0,1)))))</f>
        <v/>
      </c>
      <c r="I996" s="15" t="str">
        <f>IF(Data!B996="","",IF(Data!G996&lt;&gt;"",0,IF(ISNUMBER(MATCH(Data!#REF!,Data_Val!$E$2:$E$12,0)),0,1)))</f>
        <v/>
      </c>
      <c r="J996" s="16" t="e">
        <f>IF(OR(Data!B996="",Data!#REF!=""),"",IF(Data!#REF!="",1,0))</f>
        <v>#REF!</v>
      </c>
      <c r="K996" s="16" t="e">
        <f>IF(OR(Data!B996="",Data!#REF!=""),"",IF(Data!#REF!="",1,0))</f>
        <v>#REF!</v>
      </c>
      <c r="L996" s="16" t="e">
        <f>IF(OR(Data!B996="",Data!#REF!=""),"",IF(ISNUMBER(Data!#REF!),IF(AND(Data!#REF!&gt;Data_Val!$G$2,Data!#REF!&lt;=Data_Val!$G$3),0,1),1))</f>
        <v>#REF!</v>
      </c>
      <c r="M996" s="9" t="e">
        <f>IF(OR(Data!B996="",Data!#REF!=""),"",IF(ISNUMBER(MATCH(Data!#REF!,Data_Val!$F$1:$F$38,0)),0,1))</f>
        <v>#REF!</v>
      </c>
      <c r="N996" s="9" t="e">
        <f>IF(OR(Data!B996="",Data!#REF!=""),"",IF(Data!#REF!="",1,0))</f>
        <v>#REF!</v>
      </c>
      <c r="O996" s="17" t="e">
        <f>IF(Data!#REF!="","",IF(Data!#REF!="",1,0))</f>
        <v>#REF!</v>
      </c>
      <c r="P996" s="17" t="e">
        <f>IF(Data!#REF!="","",IF(ISNUMBER(MATCH(Data!#REF!,Data_Val!$A$2:$A$3,0)),0,1))</f>
        <v>#REF!</v>
      </c>
      <c r="Q996" s="25" t="e">
        <f ca="1">IF(Data!#REF!="","",IF(ISNUMBER(Data!#REF!),IF(AND(Data!#REF!&gt;(TODAY()-(Data_Val!$J$3*365.25)),Data!#REF!&lt;=(TODAY()-(Data_Val!$J$2*365.25))),0,1),1))</f>
        <v>#REF!</v>
      </c>
      <c r="R996" s="17" t="e">
        <f>IF(Data!#REF!="","",IF(ISNUMBER(MATCH(Data!#REF!,Data_Val!$B$2:$B$15,0)),0,1))</f>
        <v>#REF!</v>
      </c>
      <c r="S996" s="11" t="str">
        <f>IF(Data!G996="","",IF(Data!G996=Data_Val!$C$2,IF(Data!M996="",0,1),0))</f>
        <v/>
      </c>
      <c r="T996" s="11" t="str">
        <f>IF(Data!M996="","",IF(ISNUMBER(MATCH(Data!N996,Data_Val!$A$2:$A$3,0)),0,1))</f>
        <v/>
      </c>
      <c r="U996" s="11" t="str">
        <f ca="1">IF(Data!M996="","",IF(ISNUMBER(Data!O996),IF(AND(Data!O996&gt;(TODAY()-(Data_Val!$K$3*365.25)),Data!O996&lt;=(TODAY()-(Data_Val!$K$2*365.25))),0,1),1))</f>
        <v/>
      </c>
      <c r="V996" s="12" t="str">
        <f>IF(Data!G996="","",IF(Data!G996=Data_Val!$C$2,IF(Data!P996="",0,1),0))</f>
        <v/>
      </c>
      <c r="W996" s="12" t="str">
        <f>IF(Data!P996="","",IF(ISNUMBER(MATCH(Data!Q996,Data_Val!$A$2:$A$3,0)),0,1))</f>
        <v/>
      </c>
      <c r="X996" s="26" t="str">
        <f ca="1">IF(Data!P996="","",IF(ISNUMBER(Data!R996),IF(AND(Data!R996&gt;(TODAY()-(Data_Val!$L$3*365.25)),Data!R996&lt;=(TODAY()-(Data_Val!$L$2*365.25))),0,1),1))</f>
        <v/>
      </c>
      <c r="Y996" s="13" t="str">
        <f>IF(Data!$G996="","",IF(Data!$G996=Data_Val!$C$2,IF(Data!S996="",0,1),0))</f>
        <v/>
      </c>
      <c r="Z996" s="13" t="str">
        <f>IF(Data!S996="","",IF(ISNUMBER(MATCH(Data!T996,Data_Val!$A$2:$A$3,0)),0,1))</f>
        <v/>
      </c>
      <c r="AA996" s="28" t="str">
        <f ca="1">IF(Data!S996="","",IF(ISNUMBER(Data!U996),IF(AND(Data!U996&gt;(TODAY()-(Data_Val!$L$3*365.25)),Data!U996&lt;=(TODAY()-(Data_Val!$L$2*365.25))),0,1),1))</f>
        <v/>
      </c>
      <c r="AB996" s="11"/>
      <c r="AC996" s="11" t="e">
        <f>IF(Data!#REF!="","",IF(ISNUMBER(MATCH(Data!#REF!,Data_Val!$A$2:$A$3,0)),0,1))</f>
        <v>#REF!</v>
      </c>
      <c r="AD996" s="11" t="e">
        <f ca="1">IF(Data!#REF!="","",IF(ISNUMBER(Data!#REF!),IF(AND(Data!#REF!&gt;(TODAY()-(Data_Val!$L$3*365.25)),Data!#REF!&lt;=(TODAY()-(Data_Val!$L$2*365.25))),0,1),1))</f>
        <v>#REF!</v>
      </c>
      <c r="AE996" s="11" t="e">
        <f>IF(Data!#REF!="","",IF(Data!$G996="",1,IF(ISNUMBER(MATCH(Data!#REF!,Data_Val!$D$2:$D$10,0)),0,1)))</f>
        <v>#REF!</v>
      </c>
      <c r="AF996" s="12"/>
      <c r="AG996" s="12" t="e">
        <f>IF(Data!#REF!="","",IF(ISNUMBER(MATCH(Data!#REF!,Data_Val!$A$2:$A$3,0)),0,1))</f>
        <v>#REF!</v>
      </c>
      <c r="AH996" s="26" t="e">
        <f ca="1">IF(Data!#REF!="","",IF(ISNUMBER(Data!#REF!),IF(AND(Data!#REF!&gt;(TODAY()-(Data_Val!$L$3*365.25)),Data!#REF!&lt;=(TODAY()-(Data_Val!$L$2*365.25))),0,1),1))</f>
        <v>#REF!</v>
      </c>
      <c r="AI996" s="12" t="e">
        <f>IF(Data!#REF!="","",IF(Data!$G996="",1,IF(ISNUMBER(MATCH(Data!#REF!,Data_Val!$D$2:$D$10,0)),0,1)))</f>
        <v>#REF!</v>
      </c>
      <c r="AJ996" s="17"/>
      <c r="AK996" s="17" t="e">
        <f>IF(Data!#REF!="","",IF(ISNUMBER(MATCH(Data!#REF!,Data_Val!$A$2:$A$3,0)),0,1))</f>
        <v>#REF!</v>
      </c>
      <c r="AL996" s="25" t="e">
        <f ca="1">IF(Data!#REF!="","",IF(ISNUMBER(Data!#REF!),IF(AND(Data!#REF!&gt;(TODAY()-(Data_Val!$L$3*365.25)),Data!#REF!&lt;=(TODAY()-(Data_Val!$L$2*365.25))),0,1),1))</f>
        <v>#REF!</v>
      </c>
      <c r="AM996" s="17" t="e">
        <f>IF(Data!#REF!="","",IF(Data!$G996="",1,IF(ISNUMBER(MATCH(Data!#REF!,Data_Val!$D$2:$D$10,0)),0,1)))</f>
        <v>#REF!</v>
      </c>
      <c r="AN996" s="13"/>
      <c r="AO996" s="28" t="e">
        <f ca="1">IF(Data!#REF!="","",IF(ISNUMBER(Data!#REF!),IF(AND(Data!#REF!&gt;(TODAY()-(Data_Val!$I$3*365.25)),Data!#REF!&lt;=(TODAY()-(Data_Val!$I$2*365.25))),0,1),1))</f>
        <v>#REF!</v>
      </c>
      <c r="AP996" s="13" t="e">
        <f>IF(Data!#REF!="","",IF(Data!$G996="",1,IF(ISNUMBER(MATCH(Data!#REF!,Data_Val!$D$2:$D$10,0)),0,1)))</f>
        <v>#REF!</v>
      </c>
      <c r="AQ996" s="17"/>
      <c r="AR996" s="30" t="e">
        <f ca="1">IF(Data!#REF!="","",IF(ISNUMBER(Data!#REF!),IF(AND(Data!#REF!&gt;(TODAY()-(Data_Val!$I$3*365.25)),Data!#REF!&lt;=(TODAY()-(Data_Val!$I$2*365.25))),0,1),1))</f>
        <v>#REF!</v>
      </c>
      <c r="AS996" s="31" t="e">
        <f>IF(Data!#REF!="","",IF(Data!$G996="",1,IF(ISNUMBER(MATCH(Data!#REF!,Data_Val!$D$2:$D$10,0)),0,1)))</f>
        <v>#REF!</v>
      </c>
      <c r="AT996" s="11"/>
      <c r="AU996" s="11" t="e">
        <f ca="1">IF(Data!#REF!="","",IF(ISNUMBER(Data!#REF!),IF(AND(Data!#REF!&gt;(TODAY()-(Data_Val!$I$3*365.25)),Data!#REF!&lt;=(TODAY()-(Data_Val!$I$2*365.25))),0,1),1))</f>
        <v>#REF!</v>
      </c>
      <c r="AV996" s="11" t="e">
        <f>IF(Data!#REF!="","",IF(Data!$G996="",1,IF(ISNUMBER(MATCH(Data!#REF!,Data_Val!$D$2:$D$10,0)),0,1)))</f>
        <v>#REF!</v>
      </c>
      <c r="AW996" s="12"/>
      <c r="AX996" s="26" t="e">
        <f ca="1">IF(Data!#REF!="","",IF(ISNUMBER(Data!#REF!),IF(AND(Data!#REF!&gt;(TODAY()-(Data_Val!$I$3*365.25)),Data!#REF!&lt;=(TODAY()-(Data_Val!$I$2*365.25))),0,1),1))</f>
        <v>#REF!</v>
      </c>
      <c r="AY996" s="12" t="e">
        <f>IF(Data!#REF!="","",IF(Data!$G996="",1,IF(ISNUMBER(MATCH(Data!#REF!,Data_Val!$D$2:$D$10,0)),0,1)))</f>
        <v>#REF!</v>
      </c>
      <c r="AZ996" s="11"/>
      <c r="BA996" s="19" t="e">
        <f ca="1">IF(Data!#REF!="","",IF(ISNUMBER(Data!#REF!),IF(AND(Data!#REF!&gt;(TODAY()-(Data_Val!$M$3*365.25)),Data!#REF!&lt;=(TODAY()-(Data_Val!$M$2*365.25))),0,1),1))</f>
        <v>#REF!</v>
      </c>
      <c r="BB996" s="11" t="e">
        <f>IF(Data!#REF!="","",IF(Data!$G996="",1,IF(ISNUMBER(MATCH(Data!#REF!,Data_Val!$D$2:$D$10,0)),0,1)))</f>
        <v>#REF!</v>
      </c>
      <c r="BC996" s="12"/>
      <c r="BD996" s="20" t="e">
        <f ca="1">IF(Data!#REF!="","",IF(ISNUMBER(Data!#REF!),IF(AND(Data!#REF!&gt;(TODAY()-(Data_Val!$M$3*365.25)),Data!#REF!&lt;=(TODAY()-(Data_Val!$M$2*365.25))),0,1),1))</f>
        <v>#REF!</v>
      </c>
      <c r="BE996" s="12" t="e">
        <f>IF(Data!#REF!="","",IF(Data!$G996="",1,IF(ISNUMBER(MATCH(Data!#REF!,Data_Val!$D$2:$D$10,0)),0,1)))</f>
        <v>#REF!</v>
      </c>
      <c r="BF996" s="17"/>
      <c r="BG996" s="18" t="e">
        <f ca="1">IF(Data!#REF!="","",IF(ISNUMBER(Data!#REF!),IF(AND(Data!#REF!&gt;(TODAY()-(Data_Val!$M$3*365.25)),Data!#REF!&lt;=(TODAY()-(Data_Val!$M$2*365.25))),0,1),1))</f>
        <v>#REF!</v>
      </c>
      <c r="BH996" s="29" t="e">
        <f>IF(Data!#REF!="","",IF(Data!$G996="",1,IF(ISNUMBER(MATCH(Data!#REF!,Data_Val!$D$2:$D$10,0)),0,1)))</f>
        <v>#REF!</v>
      </c>
      <c r="BI996" s="13"/>
      <c r="BJ996" s="21" t="e">
        <f ca="1">IF(Data!#REF!="","",IF(ISNUMBER(Data!#REF!),IF(AND(Data!#REF!&gt;(TODAY()-(Data_Val!$M$3*365.25)),Data!#REF!&lt;=(TODAY()-(Data_Val!$M$2*365.25))),0,1),1))</f>
        <v>#REF!</v>
      </c>
      <c r="BK996" s="13" t="e">
        <f>IF(Data!#REF!="","",IF(Data!$G996="",1,IF(ISNUMBER(MATCH(Data!#REF!,Data_Val!$D$2:$D$10,0)),0,1)))</f>
        <v>#REF!</v>
      </c>
    </row>
    <row r="997" spans="1:63" x14ac:dyDescent="0.25">
      <c r="A997" s="9" t="str">
        <f>IF(Data!B997="","",IF(COUNTIFS(Data!A$1:'Data'!A997,Data!A997)&lt;=1,0,1))</f>
        <v/>
      </c>
      <c r="B997" s="9"/>
      <c r="C997" s="23" t="str">
        <f>IF(Data!C997="","",(IF(ISNUMBER(MATCH("*@*.?*",Data!C997,0)),0,1)+IF(COUNTIFS(Data!C$1:'Data'!C997,Data!C997)&gt;1,1,0)))</f>
        <v/>
      </c>
      <c r="D997" s="9" t="str">
        <f>IF(Data!B997="","",IF(ISNUMBER(Data!D997),IF(AND(Data!D997&gt;999999999,Data!D997&lt;=9999999999),IF(COUNTIFS(Data!D$1:'Data'!D997,Data!D997)&lt;=1,0,1),1),1))</f>
        <v/>
      </c>
      <c r="E997" s="9" t="str">
        <f>IF(Data!B997="","",IF(ISNUMBER(MATCH(Data!E997,Data_Val!$A$2:$A$3,0)),0,1))</f>
        <v/>
      </c>
      <c r="F997" s="9" t="str">
        <f ca="1">IF(Data!B997="","",IF(ISNUMBER(Data!F997),IF(AND(Data!F997&gt;(TODAY()-(Data_Val!$H$3*365.25)),Data!F997&lt;=(TODAY()-(Data_Val!$H$2*365.25))),0,1),1))</f>
        <v/>
      </c>
      <c r="G997" s="15" t="str">
        <f>IF(Data!B997="","",IF(AND(Data!G997="",Data!H997&lt;&gt;""),1,IF(Data!#REF!&lt;&gt;"",0,IF(ISNUMBER(MATCH(Data!G997,Data_Val!$C$2:$C$5,0)),0,1))))</f>
        <v/>
      </c>
      <c r="H997" s="15" t="str">
        <f>IF(Data!B997="","",IF(AND(Data!G997&lt;&gt;"",Data!H997=""),1,IF(Data!#REF!&lt;&gt;"",0,IF(Data!G997="",1,IF(ISNUMBER(MATCH(Data!H997,Data_Val!$D$2:$D$35,0)),0,1)))))</f>
        <v/>
      </c>
      <c r="I997" s="15" t="str">
        <f>IF(Data!B997="","",IF(Data!G997&lt;&gt;"",0,IF(ISNUMBER(MATCH(Data!#REF!,Data_Val!$E$2:$E$12,0)),0,1)))</f>
        <v/>
      </c>
      <c r="J997" s="16" t="e">
        <f>IF(OR(Data!B997="",Data!#REF!=""),"",IF(Data!#REF!="",1,0))</f>
        <v>#REF!</v>
      </c>
      <c r="K997" s="16" t="e">
        <f>IF(OR(Data!B997="",Data!#REF!=""),"",IF(Data!#REF!="",1,0))</f>
        <v>#REF!</v>
      </c>
      <c r="L997" s="16" t="e">
        <f>IF(OR(Data!B997="",Data!#REF!=""),"",IF(ISNUMBER(Data!#REF!),IF(AND(Data!#REF!&gt;Data_Val!$G$2,Data!#REF!&lt;=Data_Val!$G$3),0,1),1))</f>
        <v>#REF!</v>
      </c>
      <c r="M997" s="9" t="e">
        <f>IF(OR(Data!B997="",Data!#REF!=""),"",IF(ISNUMBER(MATCH(Data!#REF!,Data_Val!$F$1:$F$38,0)),0,1))</f>
        <v>#REF!</v>
      </c>
      <c r="N997" s="9" t="e">
        <f>IF(OR(Data!B997="",Data!#REF!=""),"",IF(Data!#REF!="",1,0))</f>
        <v>#REF!</v>
      </c>
      <c r="O997" s="17" t="e">
        <f>IF(Data!#REF!="","",IF(Data!#REF!="",1,0))</f>
        <v>#REF!</v>
      </c>
      <c r="P997" s="17" t="e">
        <f>IF(Data!#REF!="","",IF(ISNUMBER(MATCH(Data!#REF!,Data_Val!$A$2:$A$3,0)),0,1))</f>
        <v>#REF!</v>
      </c>
      <c r="Q997" s="25" t="e">
        <f ca="1">IF(Data!#REF!="","",IF(ISNUMBER(Data!#REF!),IF(AND(Data!#REF!&gt;(TODAY()-(Data_Val!$J$3*365.25)),Data!#REF!&lt;=(TODAY()-(Data_Val!$J$2*365.25))),0,1),1))</f>
        <v>#REF!</v>
      </c>
      <c r="R997" s="17" t="e">
        <f>IF(Data!#REF!="","",IF(ISNUMBER(MATCH(Data!#REF!,Data_Val!$B$2:$B$15,0)),0,1))</f>
        <v>#REF!</v>
      </c>
      <c r="S997" s="11" t="str">
        <f>IF(Data!G997="","",IF(Data!G997=Data_Val!$C$2,IF(Data!M997="",0,1),0))</f>
        <v/>
      </c>
      <c r="T997" s="11" t="str">
        <f>IF(Data!M997="","",IF(ISNUMBER(MATCH(Data!N997,Data_Val!$A$2:$A$3,0)),0,1))</f>
        <v/>
      </c>
      <c r="U997" s="11" t="str">
        <f ca="1">IF(Data!M997="","",IF(ISNUMBER(Data!O997),IF(AND(Data!O997&gt;(TODAY()-(Data_Val!$K$3*365.25)),Data!O997&lt;=(TODAY()-(Data_Val!$K$2*365.25))),0,1),1))</f>
        <v/>
      </c>
      <c r="V997" s="12" t="str">
        <f>IF(Data!G997="","",IF(Data!G997=Data_Val!$C$2,IF(Data!P997="",0,1),0))</f>
        <v/>
      </c>
      <c r="W997" s="12" t="str">
        <f>IF(Data!P997="","",IF(ISNUMBER(MATCH(Data!Q997,Data_Val!$A$2:$A$3,0)),0,1))</f>
        <v/>
      </c>
      <c r="X997" s="26" t="str">
        <f ca="1">IF(Data!P997="","",IF(ISNUMBER(Data!R997),IF(AND(Data!R997&gt;(TODAY()-(Data_Val!$L$3*365.25)),Data!R997&lt;=(TODAY()-(Data_Val!$L$2*365.25))),0,1),1))</f>
        <v/>
      </c>
      <c r="Y997" s="13" t="str">
        <f>IF(Data!$G997="","",IF(Data!$G997=Data_Val!$C$2,IF(Data!S997="",0,1),0))</f>
        <v/>
      </c>
      <c r="Z997" s="13" t="str">
        <f>IF(Data!S997="","",IF(ISNUMBER(MATCH(Data!T997,Data_Val!$A$2:$A$3,0)),0,1))</f>
        <v/>
      </c>
      <c r="AA997" s="28" t="str">
        <f ca="1">IF(Data!S997="","",IF(ISNUMBER(Data!U997),IF(AND(Data!U997&gt;(TODAY()-(Data_Val!$L$3*365.25)),Data!U997&lt;=(TODAY()-(Data_Val!$L$2*365.25))),0,1),1))</f>
        <v/>
      </c>
      <c r="AB997" s="11"/>
      <c r="AC997" s="11" t="e">
        <f>IF(Data!#REF!="","",IF(ISNUMBER(MATCH(Data!#REF!,Data_Val!$A$2:$A$3,0)),0,1))</f>
        <v>#REF!</v>
      </c>
      <c r="AD997" s="11" t="e">
        <f ca="1">IF(Data!#REF!="","",IF(ISNUMBER(Data!#REF!),IF(AND(Data!#REF!&gt;(TODAY()-(Data_Val!$L$3*365.25)),Data!#REF!&lt;=(TODAY()-(Data_Val!$L$2*365.25))),0,1),1))</f>
        <v>#REF!</v>
      </c>
      <c r="AE997" s="11" t="e">
        <f>IF(Data!#REF!="","",IF(Data!$G997="",1,IF(ISNUMBER(MATCH(Data!#REF!,Data_Val!$D$2:$D$10,0)),0,1)))</f>
        <v>#REF!</v>
      </c>
      <c r="AF997" s="12"/>
      <c r="AG997" s="12" t="e">
        <f>IF(Data!#REF!="","",IF(ISNUMBER(MATCH(Data!#REF!,Data_Val!$A$2:$A$3,0)),0,1))</f>
        <v>#REF!</v>
      </c>
      <c r="AH997" s="26" t="e">
        <f ca="1">IF(Data!#REF!="","",IF(ISNUMBER(Data!#REF!),IF(AND(Data!#REF!&gt;(TODAY()-(Data_Val!$L$3*365.25)),Data!#REF!&lt;=(TODAY()-(Data_Val!$L$2*365.25))),0,1),1))</f>
        <v>#REF!</v>
      </c>
      <c r="AI997" s="12" t="e">
        <f>IF(Data!#REF!="","",IF(Data!$G997="",1,IF(ISNUMBER(MATCH(Data!#REF!,Data_Val!$D$2:$D$10,0)),0,1)))</f>
        <v>#REF!</v>
      </c>
      <c r="AJ997" s="17"/>
      <c r="AK997" s="17" t="e">
        <f>IF(Data!#REF!="","",IF(ISNUMBER(MATCH(Data!#REF!,Data_Val!$A$2:$A$3,0)),0,1))</f>
        <v>#REF!</v>
      </c>
      <c r="AL997" s="25" t="e">
        <f ca="1">IF(Data!#REF!="","",IF(ISNUMBER(Data!#REF!),IF(AND(Data!#REF!&gt;(TODAY()-(Data_Val!$L$3*365.25)),Data!#REF!&lt;=(TODAY()-(Data_Val!$L$2*365.25))),0,1),1))</f>
        <v>#REF!</v>
      </c>
      <c r="AM997" s="17" t="e">
        <f>IF(Data!#REF!="","",IF(Data!$G997="",1,IF(ISNUMBER(MATCH(Data!#REF!,Data_Val!$D$2:$D$10,0)),0,1)))</f>
        <v>#REF!</v>
      </c>
      <c r="AN997" s="13"/>
      <c r="AO997" s="28" t="e">
        <f ca="1">IF(Data!#REF!="","",IF(ISNUMBER(Data!#REF!),IF(AND(Data!#REF!&gt;(TODAY()-(Data_Val!$I$3*365.25)),Data!#REF!&lt;=(TODAY()-(Data_Val!$I$2*365.25))),0,1),1))</f>
        <v>#REF!</v>
      </c>
      <c r="AP997" s="13" t="e">
        <f>IF(Data!#REF!="","",IF(Data!$G997="",1,IF(ISNUMBER(MATCH(Data!#REF!,Data_Val!$D$2:$D$10,0)),0,1)))</f>
        <v>#REF!</v>
      </c>
      <c r="AQ997" s="17"/>
      <c r="AR997" s="30" t="e">
        <f ca="1">IF(Data!#REF!="","",IF(ISNUMBER(Data!#REF!),IF(AND(Data!#REF!&gt;(TODAY()-(Data_Val!$I$3*365.25)),Data!#REF!&lt;=(TODAY()-(Data_Val!$I$2*365.25))),0,1),1))</f>
        <v>#REF!</v>
      </c>
      <c r="AS997" s="31" t="e">
        <f>IF(Data!#REF!="","",IF(Data!$G997="",1,IF(ISNUMBER(MATCH(Data!#REF!,Data_Val!$D$2:$D$10,0)),0,1)))</f>
        <v>#REF!</v>
      </c>
      <c r="AT997" s="11"/>
      <c r="AU997" s="11" t="e">
        <f ca="1">IF(Data!#REF!="","",IF(ISNUMBER(Data!#REF!),IF(AND(Data!#REF!&gt;(TODAY()-(Data_Val!$I$3*365.25)),Data!#REF!&lt;=(TODAY()-(Data_Val!$I$2*365.25))),0,1),1))</f>
        <v>#REF!</v>
      </c>
      <c r="AV997" s="11" t="e">
        <f>IF(Data!#REF!="","",IF(Data!$G997="",1,IF(ISNUMBER(MATCH(Data!#REF!,Data_Val!$D$2:$D$10,0)),0,1)))</f>
        <v>#REF!</v>
      </c>
      <c r="AW997" s="12"/>
      <c r="AX997" s="26" t="e">
        <f ca="1">IF(Data!#REF!="","",IF(ISNUMBER(Data!#REF!),IF(AND(Data!#REF!&gt;(TODAY()-(Data_Val!$I$3*365.25)),Data!#REF!&lt;=(TODAY()-(Data_Val!$I$2*365.25))),0,1),1))</f>
        <v>#REF!</v>
      </c>
      <c r="AY997" s="12" t="e">
        <f>IF(Data!#REF!="","",IF(Data!$G997="",1,IF(ISNUMBER(MATCH(Data!#REF!,Data_Val!$D$2:$D$10,0)),0,1)))</f>
        <v>#REF!</v>
      </c>
      <c r="AZ997" s="11"/>
      <c r="BA997" s="19" t="e">
        <f ca="1">IF(Data!#REF!="","",IF(ISNUMBER(Data!#REF!),IF(AND(Data!#REF!&gt;(TODAY()-(Data_Val!$M$3*365.25)),Data!#REF!&lt;=(TODAY()-(Data_Val!$M$2*365.25))),0,1),1))</f>
        <v>#REF!</v>
      </c>
      <c r="BB997" s="11" t="e">
        <f>IF(Data!#REF!="","",IF(Data!$G997="",1,IF(ISNUMBER(MATCH(Data!#REF!,Data_Val!$D$2:$D$10,0)),0,1)))</f>
        <v>#REF!</v>
      </c>
      <c r="BC997" s="12"/>
      <c r="BD997" s="20" t="e">
        <f ca="1">IF(Data!#REF!="","",IF(ISNUMBER(Data!#REF!),IF(AND(Data!#REF!&gt;(TODAY()-(Data_Val!$M$3*365.25)),Data!#REF!&lt;=(TODAY()-(Data_Val!$M$2*365.25))),0,1),1))</f>
        <v>#REF!</v>
      </c>
      <c r="BE997" s="12" t="e">
        <f>IF(Data!#REF!="","",IF(Data!$G997="",1,IF(ISNUMBER(MATCH(Data!#REF!,Data_Val!$D$2:$D$10,0)),0,1)))</f>
        <v>#REF!</v>
      </c>
      <c r="BF997" s="17"/>
      <c r="BG997" s="18" t="e">
        <f ca="1">IF(Data!#REF!="","",IF(ISNUMBER(Data!#REF!),IF(AND(Data!#REF!&gt;(TODAY()-(Data_Val!$M$3*365.25)),Data!#REF!&lt;=(TODAY()-(Data_Val!$M$2*365.25))),0,1),1))</f>
        <v>#REF!</v>
      </c>
      <c r="BH997" s="29" t="e">
        <f>IF(Data!#REF!="","",IF(Data!$G997="",1,IF(ISNUMBER(MATCH(Data!#REF!,Data_Val!$D$2:$D$10,0)),0,1)))</f>
        <v>#REF!</v>
      </c>
      <c r="BI997" s="13"/>
      <c r="BJ997" s="21" t="e">
        <f ca="1">IF(Data!#REF!="","",IF(ISNUMBER(Data!#REF!),IF(AND(Data!#REF!&gt;(TODAY()-(Data_Val!$M$3*365.25)),Data!#REF!&lt;=(TODAY()-(Data_Val!$M$2*365.25))),0,1),1))</f>
        <v>#REF!</v>
      </c>
      <c r="BK997" s="13" t="e">
        <f>IF(Data!#REF!="","",IF(Data!$G997="",1,IF(ISNUMBER(MATCH(Data!#REF!,Data_Val!$D$2:$D$10,0)),0,1)))</f>
        <v>#REF!</v>
      </c>
    </row>
    <row r="998" spans="1:63" x14ac:dyDescent="0.25">
      <c r="A998" s="9" t="str">
        <f>IF(Data!B998="","",IF(COUNTIFS(Data!A$1:'Data'!A998,Data!A998)&lt;=1,0,1))</f>
        <v/>
      </c>
      <c r="B998" s="9"/>
      <c r="C998" s="23" t="str">
        <f>IF(Data!C998="","",(IF(ISNUMBER(MATCH("*@*.?*",Data!C998,0)),0,1)+IF(COUNTIFS(Data!C$1:'Data'!C998,Data!C998)&gt;1,1,0)))</f>
        <v/>
      </c>
      <c r="D998" s="9" t="str">
        <f>IF(Data!B998="","",IF(ISNUMBER(Data!D998),IF(AND(Data!D998&gt;999999999,Data!D998&lt;=9999999999),IF(COUNTIFS(Data!D$1:'Data'!D998,Data!D998)&lt;=1,0,1),1),1))</f>
        <v/>
      </c>
      <c r="E998" s="9" t="str">
        <f>IF(Data!B998="","",IF(ISNUMBER(MATCH(Data!E998,Data_Val!$A$2:$A$3,0)),0,1))</f>
        <v/>
      </c>
      <c r="F998" s="9" t="str">
        <f ca="1">IF(Data!B998="","",IF(ISNUMBER(Data!F998),IF(AND(Data!F998&gt;(TODAY()-(Data_Val!$H$3*365.25)),Data!F998&lt;=(TODAY()-(Data_Val!$H$2*365.25))),0,1),1))</f>
        <v/>
      </c>
      <c r="G998" s="15" t="str">
        <f>IF(Data!B998="","",IF(AND(Data!G998="",Data!H998&lt;&gt;""),1,IF(Data!#REF!&lt;&gt;"",0,IF(ISNUMBER(MATCH(Data!G998,Data_Val!$C$2:$C$5,0)),0,1))))</f>
        <v/>
      </c>
      <c r="H998" s="15" t="str">
        <f>IF(Data!B998="","",IF(AND(Data!G998&lt;&gt;"",Data!H998=""),1,IF(Data!#REF!&lt;&gt;"",0,IF(Data!G998="",1,IF(ISNUMBER(MATCH(Data!H998,Data_Val!$D$2:$D$35,0)),0,1)))))</f>
        <v/>
      </c>
      <c r="I998" s="15" t="str">
        <f>IF(Data!B998="","",IF(Data!G998&lt;&gt;"",0,IF(ISNUMBER(MATCH(Data!#REF!,Data_Val!$E$2:$E$12,0)),0,1)))</f>
        <v/>
      </c>
      <c r="J998" s="16" t="e">
        <f>IF(OR(Data!B998="",Data!#REF!=""),"",IF(Data!#REF!="",1,0))</f>
        <v>#REF!</v>
      </c>
      <c r="K998" s="16" t="e">
        <f>IF(OR(Data!B998="",Data!#REF!=""),"",IF(Data!#REF!="",1,0))</f>
        <v>#REF!</v>
      </c>
      <c r="L998" s="16" t="e">
        <f>IF(OR(Data!B998="",Data!#REF!=""),"",IF(ISNUMBER(Data!#REF!),IF(AND(Data!#REF!&gt;Data_Val!$G$2,Data!#REF!&lt;=Data_Val!$G$3),0,1),1))</f>
        <v>#REF!</v>
      </c>
      <c r="M998" s="9" t="e">
        <f>IF(OR(Data!B998="",Data!#REF!=""),"",IF(ISNUMBER(MATCH(Data!#REF!,Data_Val!$F$1:$F$38,0)),0,1))</f>
        <v>#REF!</v>
      </c>
      <c r="N998" s="9" t="e">
        <f>IF(OR(Data!B998="",Data!#REF!=""),"",IF(Data!#REF!="",1,0))</f>
        <v>#REF!</v>
      </c>
      <c r="O998" s="17" t="e">
        <f>IF(Data!#REF!="","",IF(Data!#REF!="",1,0))</f>
        <v>#REF!</v>
      </c>
      <c r="P998" s="17" t="e">
        <f>IF(Data!#REF!="","",IF(ISNUMBER(MATCH(Data!#REF!,Data_Val!$A$2:$A$3,0)),0,1))</f>
        <v>#REF!</v>
      </c>
      <c r="Q998" s="25" t="e">
        <f ca="1">IF(Data!#REF!="","",IF(ISNUMBER(Data!#REF!),IF(AND(Data!#REF!&gt;(TODAY()-(Data_Val!$J$3*365.25)),Data!#REF!&lt;=(TODAY()-(Data_Val!$J$2*365.25))),0,1),1))</f>
        <v>#REF!</v>
      </c>
      <c r="R998" s="17" t="e">
        <f>IF(Data!#REF!="","",IF(ISNUMBER(MATCH(Data!#REF!,Data_Val!$B$2:$B$15,0)),0,1))</f>
        <v>#REF!</v>
      </c>
      <c r="S998" s="11" t="str">
        <f>IF(Data!G998="","",IF(Data!G998=Data_Val!$C$2,IF(Data!M998="",0,1),0))</f>
        <v/>
      </c>
      <c r="T998" s="11" t="str">
        <f>IF(Data!M998="","",IF(ISNUMBER(MATCH(Data!N998,Data_Val!$A$2:$A$3,0)),0,1))</f>
        <v/>
      </c>
      <c r="U998" s="11" t="str">
        <f ca="1">IF(Data!M998="","",IF(ISNUMBER(Data!O998),IF(AND(Data!O998&gt;(TODAY()-(Data_Val!$K$3*365.25)),Data!O998&lt;=(TODAY()-(Data_Val!$K$2*365.25))),0,1),1))</f>
        <v/>
      </c>
      <c r="V998" s="12" t="str">
        <f>IF(Data!G998="","",IF(Data!G998=Data_Val!$C$2,IF(Data!P998="",0,1),0))</f>
        <v/>
      </c>
      <c r="W998" s="12" t="str">
        <f>IF(Data!P998="","",IF(ISNUMBER(MATCH(Data!Q998,Data_Val!$A$2:$A$3,0)),0,1))</f>
        <v/>
      </c>
      <c r="X998" s="26" t="str">
        <f ca="1">IF(Data!P998="","",IF(ISNUMBER(Data!R998),IF(AND(Data!R998&gt;(TODAY()-(Data_Val!$L$3*365.25)),Data!R998&lt;=(TODAY()-(Data_Val!$L$2*365.25))),0,1),1))</f>
        <v/>
      </c>
      <c r="Y998" s="13" t="str">
        <f>IF(Data!$G998="","",IF(Data!$G998=Data_Val!$C$2,IF(Data!S998="",0,1),0))</f>
        <v/>
      </c>
      <c r="Z998" s="13" t="str">
        <f>IF(Data!S998="","",IF(ISNUMBER(MATCH(Data!T998,Data_Val!$A$2:$A$3,0)),0,1))</f>
        <v/>
      </c>
      <c r="AA998" s="28" t="str">
        <f ca="1">IF(Data!S998="","",IF(ISNUMBER(Data!U998),IF(AND(Data!U998&gt;(TODAY()-(Data_Val!$L$3*365.25)),Data!U998&lt;=(TODAY()-(Data_Val!$L$2*365.25))),0,1),1))</f>
        <v/>
      </c>
      <c r="AB998" s="11"/>
      <c r="AC998" s="11" t="e">
        <f>IF(Data!#REF!="","",IF(ISNUMBER(MATCH(Data!#REF!,Data_Val!$A$2:$A$3,0)),0,1))</f>
        <v>#REF!</v>
      </c>
      <c r="AD998" s="11" t="e">
        <f ca="1">IF(Data!#REF!="","",IF(ISNUMBER(Data!#REF!),IF(AND(Data!#REF!&gt;(TODAY()-(Data_Val!$L$3*365.25)),Data!#REF!&lt;=(TODAY()-(Data_Val!$L$2*365.25))),0,1),1))</f>
        <v>#REF!</v>
      </c>
      <c r="AE998" s="11" t="e">
        <f>IF(Data!#REF!="","",IF(Data!$G998="",1,IF(ISNUMBER(MATCH(Data!#REF!,Data_Val!$D$2:$D$10,0)),0,1)))</f>
        <v>#REF!</v>
      </c>
      <c r="AF998" s="12"/>
      <c r="AG998" s="12" t="e">
        <f>IF(Data!#REF!="","",IF(ISNUMBER(MATCH(Data!#REF!,Data_Val!$A$2:$A$3,0)),0,1))</f>
        <v>#REF!</v>
      </c>
      <c r="AH998" s="26" t="e">
        <f ca="1">IF(Data!#REF!="","",IF(ISNUMBER(Data!#REF!),IF(AND(Data!#REF!&gt;(TODAY()-(Data_Val!$L$3*365.25)),Data!#REF!&lt;=(TODAY()-(Data_Val!$L$2*365.25))),0,1),1))</f>
        <v>#REF!</v>
      </c>
      <c r="AI998" s="12" t="e">
        <f>IF(Data!#REF!="","",IF(Data!$G998="",1,IF(ISNUMBER(MATCH(Data!#REF!,Data_Val!$D$2:$D$10,0)),0,1)))</f>
        <v>#REF!</v>
      </c>
      <c r="AJ998" s="17"/>
      <c r="AK998" s="17" t="e">
        <f>IF(Data!#REF!="","",IF(ISNUMBER(MATCH(Data!#REF!,Data_Val!$A$2:$A$3,0)),0,1))</f>
        <v>#REF!</v>
      </c>
      <c r="AL998" s="25" t="e">
        <f ca="1">IF(Data!#REF!="","",IF(ISNUMBER(Data!#REF!),IF(AND(Data!#REF!&gt;(TODAY()-(Data_Val!$L$3*365.25)),Data!#REF!&lt;=(TODAY()-(Data_Val!$L$2*365.25))),0,1),1))</f>
        <v>#REF!</v>
      </c>
      <c r="AM998" s="17" t="e">
        <f>IF(Data!#REF!="","",IF(Data!$G998="",1,IF(ISNUMBER(MATCH(Data!#REF!,Data_Val!$D$2:$D$10,0)),0,1)))</f>
        <v>#REF!</v>
      </c>
      <c r="AN998" s="13"/>
      <c r="AO998" s="28" t="e">
        <f ca="1">IF(Data!#REF!="","",IF(ISNUMBER(Data!#REF!),IF(AND(Data!#REF!&gt;(TODAY()-(Data_Val!$I$3*365.25)),Data!#REF!&lt;=(TODAY()-(Data_Val!$I$2*365.25))),0,1),1))</f>
        <v>#REF!</v>
      </c>
      <c r="AP998" s="13" t="e">
        <f>IF(Data!#REF!="","",IF(Data!$G998="",1,IF(ISNUMBER(MATCH(Data!#REF!,Data_Val!$D$2:$D$10,0)),0,1)))</f>
        <v>#REF!</v>
      </c>
      <c r="AQ998" s="17"/>
      <c r="AR998" s="30" t="e">
        <f ca="1">IF(Data!#REF!="","",IF(ISNUMBER(Data!#REF!),IF(AND(Data!#REF!&gt;(TODAY()-(Data_Val!$I$3*365.25)),Data!#REF!&lt;=(TODAY()-(Data_Val!$I$2*365.25))),0,1),1))</f>
        <v>#REF!</v>
      </c>
      <c r="AS998" s="31" t="e">
        <f>IF(Data!#REF!="","",IF(Data!$G998="",1,IF(ISNUMBER(MATCH(Data!#REF!,Data_Val!$D$2:$D$10,0)),0,1)))</f>
        <v>#REF!</v>
      </c>
      <c r="AT998" s="11"/>
      <c r="AU998" s="11" t="e">
        <f ca="1">IF(Data!#REF!="","",IF(ISNUMBER(Data!#REF!),IF(AND(Data!#REF!&gt;(TODAY()-(Data_Val!$I$3*365.25)),Data!#REF!&lt;=(TODAY()-(Data_Val!$I$2*365.25))),0,1),1))</f>
        <v>#REF!</v>
      </c>
      <c r="AV998" s="11" t="e">
        <f>IF(Data!#REF!="","",IF(Data!$G998="",1,IF(ISNUMBER(MATCH(Data!#REF!,Data_Val!$D$2:$D$10,0)),0,1)))</f>
        <v>#REF!</v>
      </c>
      <c r="AW998" s="12"/>
      <c r="AX998" s="26" t="e">
        <f ca="1">IF(Data!#REF!="","",IF(ISNUMBER(Data!#REF!),IF(AND(Data!#REF!&gt;(TODAY()-(Data_Val!$I$3*365.25)),Data!#REF!&lt;=(TODAY()-(Data_Val!$I$2*365.25))),0,1),1))</f>
        <v>#REF!</v>
      </c>
      <c r="AY998" s="12" t="e">
        <f>IF(Data!#REF!="","",IF(Data!$G998="",1,IF(ISNUMBER(MATCH(Data!#REF!,Data_Val!$D$2:$D$10,0)),0,1)))</f>
        <v>#REF!</v>
      </c>
      <c r="AZ998" s="11"/>
      <c r="BA998" s="19" t="e">
        <f ca="1">IF(Data!#REF!="","",IF(ISNUMBER(Data!#REF!),IF(AND(Data!#REF!&gt;(TODAY()-(Data_Val!$M$3*365.25)),Data!#REF!&lt;=(TODAY()-(Data_Val!$M$2*365.25))),0,1),1))</f>
        <v>#REF!</v>
      </c>
      <c r="BB998" s="11" t="e">
        <f>IF(Data!#REF!="","",IF(Data!$G998="",1,IF(ISNUMBER(MATCH(Data!#REF!,Data_Val!$D$2:$D$10,0)),0,1)))</f>
        <v>#REF!</v>
      </c>
      <c r="BC998" s="12"/>
      <c r="BD998" s="20" t="e">
        <f ca="1">IF(Data!#REF!="","",IF(ISNUMBER(Data!#REF!),IF(AND(Data!#REF!&gt;(TODAY()-(Data_Val!$M$3*365.25)),Data!#REF!&lt;=(TODAY()-(Data_Val!$M$2*365.25))),0,1),1))</f>
        <v>#REF!</v>
      </c>
      <c r="BE998" s="12" t="e">
        <f>IF(Data!#REF!="","",IF(Data!$G998="",1,IF(ISNUMBER(MATCH(Data!#REF!,Data_Val!$D$2:$D$10,0)),0,1)))</f>
        <v>#REF!</v>
      </c>
      <c r="BF998" s="17"/>
      <c r="BG998" s="18" t="e">
        <f ca="1">IF(Data!#REF!="","",IF(ISNUMBER(Data!#REF!),IF(AND(Data!#REF!&gt;(TODAY()-(Data_Val!$M$3*365.25)),Data!#REF!&lt;=(TODAY()-(Data_Val!$M$2*365.25))),0,1),1))</f>
        <v>#REF!</v>
      </c>
      <c r="BH998" s="29" t="e">
        <f>IF(Data!#REF!="","",IF(Data!$G998="",1,IF(ISNUMBER(MATCH(Data!#REF!,Data_Val!$D$2:$D$10,0)),0,1)))</f>
        <v>#REF!</v>
      </c>
      <c r="BI998" s="13"/>
      <c r="BJ998" s="21" t="e">
        <f ca="1">IF(Data!#REF!="","",IF(ISNUMBER(Data!#REF!),IF(AND(Data!#REF!&gt;(TODAY()-(Data_Val!$M$3*365.25)),Data!#REF!&lt;=(TODAY()-(Data_Val!$M$2*365.25))),0,1),1))</f>
        <v>#REF!</v>
      </c>
      <c r="BK998" s="13" t="e">
        <f>IF(Data!#REF!="","",IF(Data!$G998="",1,IF(ISNUMBER(MATCH(Data!#REF!,Data_Val!$D$2:$D$10,0)),0,1)))</f>
        <v>#REF!</v>
      </c>
    </row>
    <row r="999" spans="1:63" x14ac:dyDescent="0.25">
      <c r="A999" s="9" t="str">
        <f>IF(Data!B999="","",IF(COUNTIFS(Data!A$1:'Data'!A999,Data!A999)&lt;=1,0,1))</f>
        <v/>
      </c>
      <c r="B999" s="9"/>
      <c r="C999" s="23" t="str">
        <f>IF(Data!C999="","",(IF(ISNUMBER(MATCH("*@*.?*",Data!C999,0)),0,1)+IF(COUNTIFS(Data!C$1:'Data'!C999,Data!C999)&gt;1,1,0)))</f>
        <v/>
      </c>
      <c r="D999" s="9" t="str">
        <f>IF(Data!B999="","",IF(ISNUMBER(Data!D999),IF(AND(Data!D999&gt;999999999,Data!D999&lt;=9999999999),IF(COUNTIFS(Data!D$1:'Data'!D999,Data!D999)&lt;=1,0,1),1),1))</f>
        <v/>
      </c>
      <c r="E999" s="9" t="str">
        <f>IF(Data!B999="","",IF(ISNUMBER(MATCH(Data!E999,Data_Val!$A$2:$A$3,0)),0,1))</f>
        <v/>
      </c>
      <c r="F999" s="9" t="str">
        <f ca="1">IF(Data!B999="","",IF(ISNUMBER(Data!F999),IF(AND(Data!F999&gt;(TODAY()-(Data_Val!$H$3*365.25)),Data!F999&lt;=(TODAY()-(Data_Val!$H$2*365.25))),0,1),1))</f>
        <v/>
      </c>
      <c r="G999" s="15" t="str">
        <f>IF(Data!B999="","",IF(AND(Data!G999="",Data!H999&lt;&gt;""),1,IF(Data!#REF!&lt;&gt;"",0,IF(ISNUMBER(MATCH(Data!G999,Data_Val!$C$2:$C$5,0)),0,1))))</f>
        <v/>
      </c>
      <c r="H999" s="15" t="str">
        <f>IF(Data!B999="","",IF(AND(Data!G999&lt;&gt;"",Data!H999=""),1,IF(Data!#REF!&lt;&gt;"",0,IF(Data!G999="",1,IF(ISNUMBER(MATCH(Data!H999,Data_Val!$D$2:$D$35,0)),0,1)))))</f>
        <v/>
      </c>
      <c r="I999" s="15" t="str">
        <f>IF(Data!B999="","",IF(Data!G999&lt;&gt;"",0,IF(ISNUMBER(MATCH(Data!#REF!,Data_Val!$E$2:$E$12,0)),0,1)))</f>
        <v/>
      </c>
      <c r="J999" s="16" t="e">
        <f>IF(OR(Data!B999="",Data!#REF!=""),"",IF(Data!#REF!="",1,0))</f>
        <v>#REF!</v>
      </c>
      <c r="K999" s="16" t="e">
        <f>IF(OR(Data!B999="",Data!#REF!=""),"",IF(Data!#REF!="",1,0))</f>
        <v>#REF!</v>
      </c>
      <c r="L999" s="16" t="e">
        <f>IF(OR(Data!B999="",Data!#REF!=""),"",IF(ISNUMBER(Data!#REF!),IF(AND(Data!#REF!&gt;Data_Val!$G$2,Data!#REF!&lt;=Data_Val!$G$3),0,1),1))</f>
        <v>#REF!</v>
      </c>
      <c r="M999" s="9" t="e">
        <f>IF(OR(Data!B999="",Data!#REF!=""),"",IF(ISNUMBER(MATCH(Data!#REF!,Data_Val!$F$1:$F$38,0)),0,1))</f>
        <v>#REF!</v>
      </c>
      <c r="N999" s="9" t="e">
        <f>IF(OR(Data!B999="",Data!#REF!=""),"",IF(Data!#REF!="",1,0))</f>
        <v>#REF!</v>
      </c>
      <c r="O999" s="17" t="e">
        <f>IF(Data!#REF!="","",IF(Data!#REF!="",1,0))</f>
        <v>#REF!</v>
      </c>
      <c r="P999" s="17" t="e">
        <f>IF(Data!#REF!="","",IF(ISNUMBER(MATCH(Data!#REF!,Data_Val!$A$2:$A$3,0)),0,1))</f>
        <v>#REF!</v>
      </c>
      <c r="Q999" s="25" t="e">
        <f ca="1">IF(Data!#REF!="","",IF(ISNUMBER(Data!#REF!),IF(AND(Data!#REF!&gt;(TODAY()-(Data_Val!$J$3*365.25)),Data!#REF!&lt;=(TODAY()-(Data_Val!$J$2*365.25))),0,1),1))</f>
        <v>#REF!</v>
      </c>
      <c r="R999" s="17" t="e">
        <f>IF(Data!#REF!="","",IF(ISNUMBER(MATCH(Data!#REF!,Data_Val!$B$2:$B$15,0)),0,1))</f>
        <v>#REF!</v>
      </c>
      <c r="S999" s="11" t="str">
        <f>IF(Data!G999="","",IF(Data!G999=Data_Val!$C$2,IF(Data!M999="",0,1),0))</f>
        <v/>
      </c>
      <c r="T999" s="11" t="str">
        <f>IF(Data!M999="","",IF(ISNUMBER(MATCH(Data!N999,Data_Val!$A$2:$A$3,0)),0,1))</f>
        <v/>
      </c>
      <c r="U999" s="11" t="str">
        <f ca="1">IF(Data!M999="","",IF(ISNUMBER(Data!O999),IF(AND(Data!O999&gt;(TODAY()-(Data_Val!$K$3*365.25)),Data!O999&lt;=(TODAY()-(Data_Val!$K$2*365.25))),0,1),1))</f>
        <v/>
      </c>
      <c r="V999" s="12" t="str">
        <f>IF(Data!G999="","",IF(Data!G999=Data_Val!$C$2,IF(Data!P999="",0,1),0))</f>
        <v/>
      </c>
      <c r="W999" s="12" t="str">
        <f>IF(Data!P999="","",IF(ISNUMBER(MATCH(Data!Q999,Data_Val!$A$2:$A$3,0)),0,1))</f>
        <v/>
      </c>
      <c r="X999" s="26" t="str">
        <f ca="1">IF(Data!P999="","",IF(ISNUMBER(Data!R999),IF(AND(Data!R999&gt;(TODAY()-(Data_Val!$L$3*365.25)),Data!R999&lt;=(TODAY()-(Data_Val!$L$2*365.25))),0,1),1))</f>
        <v/>
      </c>
      <c r="Y999" s="13" t="str">
        <f>IF(Data!$G999="","",IF(Data!$G999=Data_Val!$C$2,IF(Data!S999="",0,1),0))</f>
        <v/>
      </c>
      <c r="Z999" s="13" t="str">
        <f>IF(Data!S999="","",IF(ISNUMBER(MATCH(Data!T999,Data_Val!$A$2:$A$3,0)),0,1))</f>
        <v/>
      </c>
      <c r="AA999" s="28" t="str">
        <f ca="1">IF(Data!S999="","",IF(ISNUMBER(Data!U999),IF(AND(Data!U999&gt;(TODAY()-(Data_Val!$L$3*365.25)),Data!U999&lt;=(TODAY()-(Data_Val!$L$2*365.25))),0,1),1))</f>
        <v/>
      </c>
      <c r="AB999" s="11"/>
      <c r="AC999" s="11" t="e">
        <f>IF(Data!#REF!="","",IF(ISNUMBER(MATCH(Data!#REF!,Data_Val!$A$2:$A$3,0)),0,1))</f>
        <v>#REF!</v>
      </c>
      <c r="AD999" s="11" t="e">
        <f ca="1">IF(Data!#REF!="","",IF(ISNUMBER(Data!#REF!),IF(AND(Data!#REF!&gt;(TODAY()-(Data_Val!$L$3*365.25)),Data!#REF!&lt;=(TODAY()-(Data_Val!$L$2*365.25))),0,1),1))</f>
        <v>#REF!</v>
      </c>
      <c r="AE999" s="11" t="e">
        <f>IF(Data!#REF!="","",IF(Data!$G999="",1,IF(ISNUMBER(MATCH(Data!#REF!,Data_Val!$D$2:$D$10,0)),0,1)))</f>
        <v>#REF!</v>
      </c>
      <c r="AF999" s="12"/>
      <c r="AG999" s="12" t="e">
        <f>IF(Data!#REF!="","",IF(ISNUMBER(MATCH(Data!#REF!,Data_Val!$A$2:$A$3,0)),0,1))</f>
        <v>#REF!</v>
      </c>
      <c r="AH999" s="26" t="e">
        <f ca="1">IF(Data!#REF!="","",IF(ISNUMBER(Data!#REF!),IF(AND(Data!#REF!&gt;(TODAY()-(Data_Val!$L$3*365.25)),Data!#REF!&lt;=(TODAY()-(Data_Val!$L$2*365.25))),0,1),1))</f>
        <v>#REF!</v>
      </c>
      <c r="AI999" s="12" t="e">
        <f>IF(Data!#REF!="","",IF(Data!$G999="",1,IF(ISNUMBER(MATCH(Data!#REF!,Data_Val!$D$2:$D$10,0)),0,1)))</f>
        <v>#REF!</v>
      </c>
      <c r="AJ999" s="17"/>
      <c r="AK999" s="17" t="e">
        <f>IF(Data!#REF!="","",IF(ISNUMBER(MATCH(Data!#REF!,Data_Val!$A$2:$A$3,0)),0,1))</f>
        <v>#REF!</v>
      </c>
      <c r="AL999" s="25" t="e">
        <f ca="1">IF(Data!#REF!="","",IF(ISNUMBER(Data!#REF!),IF(AND(Data!#REF!&gt;(TODAY()-(Data_Val!$L$3*365.25)),Data!#REF!&lt;=(TODAY()-(Data_Val!$L$2*365.25))),0,1),1))</f>
        <v>#REF!</v>
      </c>
      <c r="AM999" s="17" t="e">
        <f>IF(Data!#REF!="","",IF(Data!$G999="",1,IF(ISNUMBER(MATCH(Data!#REF!,Data_Val!$D$2:$D$10,0)),0,1)))</f>
        <v>#REF!</v>
      </c>
      <c r="AN999" s="13"/>
      <c r="AO999" s="28" t="e">
        <f ca="1">IF(Data!#REF!="","",IF(ISNUMBER(Data!#REF!),IF(AND(Data!#REF!&gt;(TODAY()-(Data_Val!$I$3*365.25)),Data!#REF!&lt;=(TODAY()-(Data_Val!$I$2*365.25))),0,1),1))</f>
        <v>#REF!</v>
      </c>
      <c r="AP999" s="13" t="e">
        <f>IF(Data!#REF!="","",IF(Data!$G999="",1,IF(ISNUMBER(MATCH(Data!#REF!,Data_Val!$D$2:$D$10,0)),0,1)))</f>
        <v>#REF!</v>
      </c>
      <c r="AQ999" s="17"/>
      <c r="AR999" s="30" t="e">
        <f ca="1">IF(Data!#REF!="","",IF(ISNUMBER(Data!#REF!),IF(AND(Data!#REF!&gt;(TODAY()-(Data_Val!$I$3*365.25)),Data!#REF!&lt;=(TODAY()-(Data_Val!$I$2*365.25))),0,1),1))</f>
        <v>#REF!</v>
      </c>
      <c r="AS999" s="31" t="e">
        <f>IF(Data!#REF!="","",IF(Data!$G999="",1,IF(ISNUMBER(MATCH(Data!#REF!,Data_Val!$D$2:$D$10,0)),0,1)))</f>
        <v>#REF!</v>
      </c>
      <c r="AT999" s="11"/>
      <c r="AU999" s="11" t="e">
        <f ca="1">IF(Data!#REF!="","",IF(ISNUMBER(Data!#REF!),IF(AND(Data!#REF!&gt;(TODAY()-(Data_Val!$I$3*365.25)),Data!#REF!&lt;=(TODAY()-(Data_Val!$I$2*365.25))),0,1),1))</f>
        <v>#REF!</v>
      </c>
      <c r="AV999" s="11" t="e">
        <f>IF(Data!#REF!="","",IF(Data!$G999="",1,IF(ISNUMBER(MATCH(Data!#REF!,Data_Val!$D$2:$D$10,0)),0,1)))</f>
        <v>#REF!</v>
      </c>
      <c r="AW999" s="12"/>
      <c r="AX999" s="26" t="e">
        <f ca="1">IF(Data!#REF!="","",IF(ISNUMBER(Data!#REF!),IF(AND(Data!#REF!&gt;(TODAY()-(Data_Val!$I$3*365.25)),Data!#REF!&lt;=(TODAY()-(Data_Val!$I$2*365.25))),0,1),1))</f>
        <v>#REF!</v>
      </c>
      <c r="AY999" s="12" t="e">
        <f>IF(Data!#REF!="","",IF(Data!$G999="",1,IF(ISNUMBER(MATCH(Data!#REF!,Data_Val!$D$2:$D$10,0)),0,1)))</f>
        <v>#REF!</v>
      </c>
      <c r="AZ999" s="11"/>
      <c r="BA999" s="19" t="e">
        <f ca="1">IF(Data!#REF!="","",IF(ISNUMBER(Data!#REF!),IF(AND(Data!#REF!&gt;(TODAY()-(Data_Val!$M$3*365.25)),Data!#REF!&lt;=(TODAY()-(Data_Val!$M$2*365.25))),0,1),1))</f>
        <v>#REF!</v>
      </c>
      <c r="BB999" s="11" t="e">
        <f>IF(Data!#REF!="","",IF(Data!$G999="",1,IF(ISNUMBER(MATCH(Data!#REF!,Data_Val!$D$2:$D$10,0)),0,1)))</f>
        <v>#REF!</v>
      </c>
      <c r="BC999" s="12"/>
      <c r="BD999" s="20" t="e">
        <f ca="1">IF(Data!#REF!="","",IF(ISNUMBER(Data!#REF!),IF(AND(Data!#REF!&gt;(TODAY()-(Data_Val!$M$3*365.25)),Data!#REF!&lt;=(TODAY()-(Data_Val!$M$2*365.25))),0,1),1))</f>
        <v>#REF!</v>
      </c>
      <c r="BE999" s="12" t="e">
        <f>IF(Data!#REF!="","",IF(Data!$G999="",1,IF(ISNUMBER(MATCH(Data!#REF!,Data_Val!$D$2:$D$10,0)),0,1)))</f>
        <v>#REF!</v>
      </c>
      <c r="BF999" s="17"/>
      <c r="BG999" s="18" t="e">
        <f ca="1">IF(Data!#REF!="","",IF(ISNUMBER(Data!#REF!),IF(AND(Data!#REF!&gt;(TODAY()-(Data_Val!$M$3*365.25)),Data!#REF!&lt;=(TODAY()-(Data_Val!$M$2*365.25))),0,1),1))</f>
        <v>#REF!</v>
      </c>
      <c r="BH999" s="29" t="e">
        <f>IF(Data!#REF!="","",IF(Data!$G999="",1,IF(ISNUMBER(MATCH(Data!#REF!,Data_Val!$D$2:$D$10,0)),0,1)))</f>
        <v>#REF!</v>
      </c>
      <c r="BI999" s="13"/>
      <c r="BJ999" s="21" t="e">
        <f ca="1">IF(Data!#REF!="","",IF(ISNUMBER(Data!#REF!),IF(AND(Data!#REF!&gt;(TODAY()-(Data_Val!$M$3*365.25)),Data!#REF!&lt;=(TODAY()-(Data_Val!$M$2*365.25))),0,1),1))</f>
        <v>#REF!</v>
      </c>
      <c r="BK999" s="13" t="e">
        <f>IF(Data!#REF!="","",IF(Data!$G999="",1,IF(ISNUMBER(MATCH(Data!#REF!,Data_Val!$D$2:$D$10,0)),0,1)))</f>
        <v>#REF!</v>
      </c>
    </row>
    <row r="1000" spans="1:63" x14ac:dyDescent="0.25">
      <c r="A1000" s="9" t="str">
        <f>IF(Data!B1000="","",IF(COUNTIFS(Data!A$1:'Data'!A1000,Data!A1000)&lt;=1,0,1))</f>
        <v/>
      </c>
      <c r="B1000" s="9"/>
      <c r="C1000" s="23" t="str">
        <f>IF(Data!C1000="","",(IF(ISNUMBER(MATCH("*@*.?*",Data!C1000,0)),0,1)+IF(COUNTIFS(Data!C$1:'Data'!C1000,Data!C1000)&gt;1,1,0)))</f>
        <v/>
      </c>
      <c r="D1000" s="9" t="str">
        <f>IF(Data!B1000="","",IF(ISNUMBER(Data!D1000),IF(AND(Data!D1000&gt;999999999,Data!D1000&lt;=9999999999),IF(COUNTIFS(Data!D$1:'Data'!D1000,Data!D1000)&lt;=1,0,1),1),1))</f>
        <v/>
      </c>
      <c r="E1000" s="9" t="str">
        <f>IF(Data!B1000="","",IF(ISNUMBER(MATCH(Data!E1000,Data_Val!$A$2:$A$3,0)),0,1))</f>
        <v/>
      </c>
      <c r="F1000" s="9" t="str">
        <f ca="1">IF(Data!B1000="","",IF(ISNUMBER(Data!F1000),IF(AND(Data!F1000&gt;(TODAY()-(Data_Val!$H$3*365.25)),Data!F1000&lt;=(TODAY()-(Data_Val!$H$2*365.25))),0,1),1))</f>
        <v/>
      </c>
      <c r="G1000" s="15" t="str">
        <f>IF(Data!B1000="","",IF(AND(Data!G1000="",Data!H1000&lt;&gt;""),1,IF(Data!#REF!&lt;&gt;"",0,IF(ISNUMBER(MATCH(Data!G1000,Data_Val!$C$2:$C$5,0)),0,1))))</f>
        <v/>
      </c>
      <c r="H1000" s="15" t="str">
        <f>IF(Data!B1000="","",IF(AND(Data!G1000&lt;&gt;"",Data!H1000=""),1,IF(Data!#REF!&lt;&gt;"",0,IF(Data!G1000="",1,IF(ISNUMBER(MATCH(Data!H1000,Data_Val!$D$2:$D$35,0)),0,1)))))</f>
        <v/>
      </c>
      <c r="I1000" s="15" t="str">
        <f>IF(Data!B1000="","",IF(Data!G1000&lt;&gt;"",0,IF(ISNUMBER(MATCH(Data!#REF!,Data_Val!$E$2:$E$12,0)),0,1)))</f>
        <v/>
      </c>
      <c r="J1000" s="16" t="e">
        <f>IF(OR(Data!B1000="",Data!#REF!=""),"",IF(Data!#REF!="",1,0))</f>
        <v>#REF!</v>
      </c>
      <c r="K1000" s="16" t="e">
        <f>IF(OR(Data!B1000="",Data!#REF!=""),"",IF(Data!#REF!="",1,0))</f>
        <v>#REF!</v>
      </c>
      <c r="L1000" s="16" t="e">
        <f>IF(OR(Data!B1000="",Data!#REF!=""),"",IF(ISNUMBER(Data!#REF!),IF(AND(Data!#REF!&gt;Data_Val!$G$2,Data!#REF!&lt;=Data_Val!$G$3),0,1),1))</f>
        <v>#REF!</v>
      </c>
      <c r="M1000" s="9" t="e">
        <f>IF(OR(Data!B1000="",Data!#REF!=""),"",IF(ISNUMBER(MATCH(Data!#REF!,Data_Val!$F$1:$F$38,0)),0,1))</f>
        <v>#REF!</v>
      </c>
      <c r="N1000" s="9" t="e">
        <f>IF(OR(Data!B1000="",Data!#REF!=""),"",IF(Data!#REF!="",1,0))</f>
        <v>#REF!</v>
      </c>
      <c r="O1000" s="17" t="e">
        <f>IF(Data!#REF!="","",IF(Data!#REF!="",1,0))</f>
        <v>#REF!</v>
      </c>
      <c r="P1000" s="17" t="e">
        <f>IF(Data!#REF!="","",IF(ISNUMBER(MATCH(Data!#REF!,Data_Val!$A$2:$A$3,0)),0,1))</f>
        <v>#REF!</v>
      </c>
      <c r="Q1000" s="25" t="e">
        <f ca="1">IF(Data!#REF!="","",IF(ISNUMBER(Data!#REF!),IF(AND(Data!#REF!&gt;(TODAY()-(Data_Val!$J$3*365.25)),Data!#REF!&lt;=(TODAY()-(Data_Val!$J$2*365.25))),0,1),1))</f>
        <v>#REF!</v>
      </c>
      <c r="R1000" s="17" t="e">
        <f>IF(Data!#REF!="","",IF(ISNUMBER(MATCH(Data!#REF!,Data_Val!$B$2:$B$15,0)),0,1))</f>
        <v>#REF!</v>
      </c>
      <c r="S1000" s="11" t="str">
        <f>IF(Data!G1000="","",IF(Data!G1000=Data_Val!$C$2,IF(Data!M1000="",0,1),0))</f>
        <v/>
      </c>
      <c r="T1000" s="11" t="str">
        <f>IF(Data!M1000="","",IF(ISNUMBER(MATCH(Data!N1000,Data_Val!$A$2:$A$3,0)),0,1))</f>
        <v/>
      </c>
      <c r="U1000" s="11" t="str">
        <f ca="1">IF(Data!M1000="","",IF(ISNUMBER(Data!O1000),IF(AND(Data!O1000&gt;(TODAY()-(Data_Val!$K$3*365.25)),Data!O1000&lt;=(TODAY()-(Data_Val!$K$2*365.25))),0,1),1))</f>
        <v/>
      </c>
      <c r="V1000" s="12" t="str">
        <f>IF(Data!G1000="","",IF(Data!G1000=Data_Val!$C$2,IF(Data!P1000="",0,1),0))</f>
        <v/>
      </c>
      <c r="W1000" s="12" t="str">
        <f>IF(Data!P1000="","",IF(ISNUMBER(MATCH(Data!Q1000,Data_Val!$A$2:$A$3,0)),0,1))</f>
        <v/>
      </c>
      <c r="X1000" s="26" t="str">
        <f ca="1">IF(Data!P1000="","",IF(ISNUMBER(Data!R1000),IF(AND(Data!R1000&gt;(TODAY()-(Data_Val!$L$3*365.25)),Data!R1000&lt;=(TODAY()-(Data_Val!$L$2*365.25))),0,1),1))</f>
        <v/>
      </c>
      <c r="Y1000" s="13" t="str">
        <f>IF(Data!$G1000="","",IF(Data!$G1000=Data_Val!$C$2,IF(Data!S1000="",0,1),0))</f>
        <v/>
      </c>
      <c r="Z1000" s="13" t="str">
        <f>IF(Data!S1000="","",IF(ISNUMBER(MATCH(Data!T1000,Data_Val!$A$2:$A$3,0)),0,1))</f>
        <v/>
      </c>
      <c r="AA1000" s="28" t="str">
        <f ca="1">IF(Data!S1000="","",IF(ISNUMBER(Data!U1000),IF(AND(Data!U1000&gt;(TODAY()-(Data_Val!$L$3*365.25)),Data!U1000&lt;=(TODAY()-(Data_Val!$L$2*365.25))),0,1),1))</f>
        <v/>
      </c>
      <c r="AB1000" s="11"/>
      <c r="AC1000" s="11" t="e">
        <f>IF(Data!#REF!="","",IF(ISNUMBER(MATCH(Data!#REF!,Data_Val!$A$2:$A$3,0)),0,1))</f>
        <v>#REF!</v>
      </c>
      <c r="AD1000" s="11" t="e">
        <f ca="1">IF(Data!#REF!="","",IF(ISNUMBER(Data!#REF!),IF(AND(Data!#REF!&gt;(TODAY()-(Data_Val!$L$3*365.25)),Data!#REF!&lt;=(TODAY()-(Data_Val!$L$2*365.25))),0,1),1))</f>
        <v>#REF!</v>
      </c>
      <c r="AE1000" s="11" t="e">
        <f>IF(Data!#REF!="","",IF(Data!$G1000="",1,IF(ISNUMBER(MATCH(Data!#REF!,Data_Val!$D$2:$D$10,0)),0,1)))</f>
        <v>#REF!</v>
      </c>
      <c r="AF1000" s="12"/>
      <c r="AG1000" s="12" t="e">
        <f>IF(Data!#REF!="","",IF(ISNUMBER(MATCH(Data!#REF!,Data_Val!$A$2:$A$3,0)),0,1))</f>
        <v>#REF!</v>
      </c>
      <c r="AH1000" s="26" t="e">
        <f ca="1">IF(Data!#REF!="","",IF(ISNUMBER(Data!#REF!),IF(AND(Data!#REF!&gt;(TODAY()-(Data_Val!$L$3*365.25)),Data!#REF!&lt;=(TODAY()-(Data_Val!$L$2*365.25))),0,1),1))</f>
        <v>#REF!</v>
      </c>
      <c r="AI1000" s="12" t="e">
        <f>IF(Data!#REF!="","",IF(Data!$G1000="",1,IF(ISNUMBER(MATCH(Data!#REF!,Data_Val!$D$2:$D$10,0)),0,1)))</f>
        <v>#REF!</v>
      </c>
      <c r="AJ1000" s="17"/>
      <c r="AK1000" s="17" t="e">
        <f>IF(Data!#REF!="","",IF(ISNUMBER(MATCH(Data!#REF!,Data_Val!$A$2:$A$3,0)),0,1))</f>
        <v>#REF!</v>
      </c>
      <c r="AL1000" s="25" t="e">
        <f ca="1">IF(Data!#REF!="","",IF(ISNUMBER(Data!#REF!),IF(AND(Data!#REF!&gt;(TODAY()-(Data_Val!$L$3*365.25)),Data!#REF!&lt;=(TODAY()-(Data_Val!$L$2*365.25))),0,1),1))</f>
        <v>#REF!</v>
      </c>
      <c r="AM1000" s="17" t="e">
        <f>IF(Data!#REF!="","",IF(Data!$G1000="",1,IF(ISNUMBER(MATCH(Data!#REF!,Data_Val!$D$2:$D$10,0)),0,1)))</f>
        <v>#REF!</v>
      </c>
      <c r="AN1000" s="13"/>
      <c r="AO1000" s="28" t="e">
        <f ca="1">IF(Data!#REF!="","",IF(ISNUMBER(Data!#REF!),IF(AND(Data!#REF!&gt;(TODAY()-(Data_Val!$I$3*365.25)),Data!#REF!&lt;=(TODAY()-(Data_Val!$I$2*365.25))),0,1),1))</f>
        <v>#REF!</v>
      </c>
      <c r="AP1000" s="13" t="e">
        <f>IF(Data!#REF!="","",IF(Data!$G1000="",1,IF(ISNUMBER(MATCH(Data!#REF!,Data_Val!$D$2:$D$10,0)),0,1)))</f>
        <v>#REF!</v>
      </c>
      <c r="AQ1000" s="17"/>
      <c r="AR1000" s="30" t="e">
        <f ca="1">IF(Data!#REF!="","",IF(ISNUMBER(Data!#REF!),IF(AND(Data!#REF!&gt;(TODAY()-(Data_Val!$I$3*365.25)),Data!#REF!&lt;=(TODAY()-(Data_Val!$I$2*365.25))),0,1),1))</f>
        <v>#REF!</v>
      </c>
      <c r="AS1000" s="31" t="e">
        <f>IF(Data!#REF!="","",IF(Data!$G1000="",1,IF(ISNUMBER(MATCH(Data!#REF!,Data_Val!$D$2:$D$10,0)),0,1)))</f>
        <v>#REF!</v>
      </c>
      <c r="AT1000" s="11"/>
      <c r="AU1000" s="11" t="e">
        <f ca="1">IF(Data!#REF!="","",IF(ISNUMBER(Data!#REF!),IF(AND(Data!#REF!&gt;(TODAY()-(Data_Val!$I$3*365.25)),Data!#REF!&lt;=(TODAY()-(Data_Val!$I$2*365.25))),0,1),1))</f>
        <v>#REF!</v>
      </c>
      <c r="AV1000" s="11" t="e">
        <f>IF(Data!#REF!="","",IF(Data!$G1000="",1,IF(ISNUMBER(MATCH(Data!#REF!,Data_Val!$D$2:$D$10,0)),0,1)))</f>
        <v>#REF!</v>
      </c>
      <c r="AW1000" s="12"/>
      <c r="AX1000" s="26" t="e">
        <f ca="1">IF(Data!#REF!="","",IF(ISNUMBER(Data!#REF!),IF(AND(Data!#REF!&gt;(TODAY()-(Data_Val!$I$3*365.25)),Data!#REF!&lt;=(TODAY()-(Data_Val!$I$2*365.25))),0,1),1))</f>
        <v>#REF!</v>
      </c>
      <c r="AY1000" s="12" t="e">
        <f>IF(Data!#REF!="","",IF(Data!$G1000="",1,IF(ISNUMBER(MATCH(Data!#REF!,Data_Val!$D$2:$D$10,0)),0,1)))</f>
        <v>#REF!</v>
      </c>
      <c r="AZ1000" s="11"/>
      <c r="BA1000" s="19" t="e">
        <f ca="1">IF(Data!#REF!="","",IF(ISNUMBER(Data!#REF!),IF(AND(Data!#REF!&gt;(TODAY()-(Data_Val!$M$3*365.25)),Data!#REF!&lt;=(TODAY()-(Data_Val!$M$2*365.25))),0,1),1))</f>
        <v>#REF!</v>
      </c>
      <c r="BB1000" s="11" t="e">
        <f>IF(Data!#REF!="","",IF(Data!$G1000="",1,IF(ISNUMBER(MATCH(Data!#REF!,Data_Val!$D$2:$D$10,0)),0,1)))</f>
        <v>#REF!</v>
      </c>
      <c r="BC1000" s="12"/>
      <c r="BD1000" s="20" t="e">
        <f ca="1">IF(Data!#REF!="","",IF(ISNUMBER(Data!#REF!),IF(AND(Data!#REF!&gt;(TODAY()-(Data_Val!$M$3*365.25)),Data!#REF!&lt;=(TODAY()-(Data_Val!$M$2*365.25))),0,1),1))</f>
        <v>#REF!</v>
      </c>
      <c r="BE1000" s="12" t="e">
        <f>IF(Data!#REF!="","",IF(Data!$G1000="",1,IF(ISNUMBER(MATCH(Data!#REF!,Data_Val!$D$2:$D$10,0)),0,1)))</f>
        <v>#REF!</v>
      </c>
      <c r="BF1000" s="17"/>
      <c r="BG1000" s="18" t="e">
        <f ca="1">IF(Data!#REF!="","",IF(ISNUMBER(Data!#REF!),IF(AND(Data!#REF!&gt;(TODAY()-(Data_Val!$M$3*365.25)),Data!#REF!&lt;=(TODAY()-(Data_Val!$M$2*365.25))),0,1),1))</f>
        <v>#REF!</v>
      </c>
      <c r="BH1000" s="29" t="e">
        <f>IF(Data!#REF!="","",IF(Data!$G1000="",1,IF(ISNUMBER(MATCH(Data!#REF!,Data_Val!$D$2:$D$10,0)),0,1)))</f>
        <v>#REF!</v>
      </c>
      <c r="BI1000" s="13"/>
      <c r="BJ1000" s="21" t="e">
        <f ca="1">IF(Data!#REF!="","",IF(ISNUMBER(Data!#REF!),IF(AND(Data!#REF!&gt;(TODAY()-(Data_Val!$M$3*365.25)),Data!#REF!&lt;=(TODAY()-(Data_Val!$M$2*365.25))),0,1),1))</f>
        <v>#REF!</v>
      </c>
      <c r="BK1000" s="13" t="e">
        <f>IF(Data!#REF!="","",IF(Data!$G1000="",1,IF(ISNUMBER(MATCH(Data!#REF!,Data_Val!$D$2:$D$10,0)),0,1)))</f>
        <v>#REF!</v>
      </c>
    </row>
    <row r="1001" spans="1:63" x14ac:dyDescent="0.25">
      <c r="A1001" s="9" t="str">
        <f>IF(Data!B1001="","",IF(COUNTIFS(Data!A$1:'Data'!A1001,Data!A1001)&lt;=1,0,1))</f>
        <v/>
      </c>
      <c r="B1001" s="9"/>
      <c r="C1001" s="23" t="str">
        <f>IF(Data!C1001="","",(IF(ISNUMBER(MATCH("*@*.?*",Data!C1001,0)),0,1)+IF(COUNTIFS(Data!C$1:'Data'!C1001,Data!C1001)&gt;1,1,0)))</f>
        <v/>
      </c>
      <c r="D1001" s="9" t="str">
        <f>IF(Data!B1001="","",IF(ISNUMBER(Data!D1001),IF(AND(Data!D1001&gt;999999999,Data!D1001&lt;=9999999999),IF(COUNTIFS(Data!D$1:'Data'!D1001,Data!D1001)&lt;=1,0,1),1),1))</f>
        <v/>
      </c>
      <c r="E1001" s="9" t="str">
        <f>IF(Data!B1001="","",IF(ISNUMBER(MATCH(Data!E1001,Data_Val!$A$2:$A$3,0)),0,1))</f>
        <v/>
      </c>
      <c r="F1001" s="9" t="str">
        <f ca="1">IF(Data!B1001="","",IF(ISNUMBER(Data!F1001),IF(AND(Data!F1001&gt;(TODAY()-(Data_Val!$H$3*365.25)),Data!F1001&lt;=(TODAY()-(Data_Val!$H$2*365.25))),0,1),1))</f>
        <v/>
      </c>
      <c r="G1001" s="15" t="str">
        <f>IF(Data!B1001="","",IF(AND(Data!G1001="",Data!H1001&lt;&gt;""),1,IF(Data!#REF!&lt;&gt;"",0,IF(ISNUMBER(MATCH(Data!G1001,Data_Val!$C$2:$C$5,0)),0,1))))</f>
        <v/>
      </c>
      <c r="H1001" s="15" t="str">
        <f>IF(Data!B1001="","",IF(AND(Data!G1001&lt;&gt;"",Data!H1001=""),1,IF(Data!#REF!&lt;&gt;"",0,IF(Data!G1001="",1,IF(ISNUMBER(MATCH(Data!H1001,Data_Val!$D$2:$D$35,0)),0,1)))))</f>
        <v/>
      </c>
      <c r="I1001" s="15" t="str">
        <f>IF(Data!B1001="","",IF(Data!G1001&lt;&gt;"",0,IF(ISNUMBER(MATCH(Data!#REF!,Data_Val!$E$2:$E$12,0)),0,1)))</f>
        <v/>
      </c>
      <c r="J1001" s="16" t="e">
        <f>IF(OR(Data!B1001="",Data!#REF!=""),"",IF(Data!#REF!="",1,0))</f>
        <v>#REF!</v>
      </c>
      <c r="K1001" s="16" t="e">
        <f>IF(OR(Data!B1001="",Data!#REF!=""),"",IF(Data!#REF!="",1,0))</f>
        <v>#REF!</v>
      </c>
      <c r="L1001" s="16" t="e">
        <f>IF(OR(Data!B1001="",Data!#REF!=""),"",IF(ISNUMBER(Data!#REF!),IF(AND(Data!#REF!&gt;Data_Val!$G$2,Data!#REF!&lt;=Data_Val!$G$3),0,1),1))</f>
        <v>#REF!</v>
      </c>
      <c r="M1001" s="9" t="e">
        <f>IF(OR(Data!B1001="",Data!#REF!=""),"",IF(ISNUMBER(MATCH(Data!#REF!,Data_Val!$F$1:$F$38,0)),0,1))</f>
        <v>#REF!</v>
      </c>
      <c r="N1001" s="9" t="e">
        <f>IF(OR(Data!B1001="",Data!#REF!=""),"",IF(Data!#REF!="",1,0))</f>
        <v>#REF!</v>
      </c>
      <c r="O1001" s="17" t="e">
        <f>IF(Data!#REF!="","",IF(Data!#REF!="",1,0))</f>
        <v>#REF!</v>
      </c>
      <c r="P1001" s="17" t="e">
        <f>IF(Data!#REF!="","",IF(ISNUMBER(MATCH(Data!#REF!,Data_Val!$A$2:$A$3,0)),0,1))</f>
        <v>#REF!</v>
      </c>
      <c r="Q1001" s="25" t="e">
        <f ca="1">IF(Data!#REF!="","",IF(ISNUMBER(Data!#REF!),IF(AND(Data!#REF!&gt;(TODAY()-(Data_Val!$J$3*365.25)),Data!#REF!&lt;=(TODAY()-(Data_Val!$J$2*365.25))),0,1),1))</f>
        <v>#REF!</v>
      </c>
      <c r="R1001" s="17" t="e">
        <f>IF(Data!#REF!="","",IF(ISNUMBER(MATCH(Data!#REF!,Data_Val!$B$2:$B$15,0)),0,1))</f>
        <v>#REF!</v>
      </c>
      <c r="S1001" s="11" t="str">
        <f>IF(Data!G1001="","",IF(Data!G1001=Data_Val!$C$2,IF(Data!M1001="",0,1),0))</f>
        <v/>
      </c>
      <c r="T1001" s="11" t="str">
        <f>IF(Data!M1001="","",IF(ISNUMBER(MATCH(Data!N1001,Data_Val!$A$2:$A$3,0)),0,1))</f>
        <v/>
      </c>
      <c r="U1001" s="11" t="str">
        <f ca="1">IF(Data!M1001="","",IF(ISNUMBER(Data!O1001),IF(AND(Data!O1001&gt;(TODAY()-(Data_Val!$K$3*365.25)),Data!O1001&lt;=(TODAY()-(Data_Val!$K$2*365.25))),0,1),1))</f>
        <v/>
      </c>
      <c r="V1001" s="12" t="str">
        <f>IF(Data!G1001="","",IF(Data!G1001=Data_Val!$C$2,IF(Data!P1001="",0,1),0))</f>
        <v/>
      </c>
      <c r="W1001" s="12" t="str">
        <f>IF(Data!P1001="","",IF(ISNUMBER(MATCH(Data!Q1001,Data_Val!$A$2:$A$3,0)),0,1))</f>
        <v/>
      </c>
      <c r="X1001" s="26" t="str">
        <f ca="1">IF(Data!P1001="","",IF(ISNUMBER(Data!R1001),IF(AND(Data!R1001&gt;(TODAY()-(Data_Val!$L$3*365.25)),Data!R1001&lt;=(TODAY()-(Data_Val!$L$2*365.25))),0,1),1))</f>
        <v/>
      </c>
      <c r="Y1001" s="13" t="str">
        <f>IF(Data!$G1001="","",IF(Data!$G1001=Data_Val!$C$2,IF(Data!S1001="",0,1),0))</f>
        <v/>
      </c>
      <c r="Z1001" s="13" t="str">
        <f>IF(Data!S1001="","",IF(ISNUMBER(MATCH(Data!T1001,Data_Val!$A$2:$A$3,0)),0,1))</f>
        <v/>
      </c>
      <c r="AA1001" s="28" t="str">
        <f ca="1">IF(Data!S1001="","",IF(ISNUMBER(Data!U1001),IF(AND(Data!U1001&gt;(TODAY()-(Data_Val!$L$3*365.25)),Data!U1001&lt;=(TODAY()-(Data_Val!$L$2*365.25))),0,1),1))</f>
        <v/>
      </c>
      <c r="AB1001" s="11"/>
      <c r="AC1001" s="11" t="e">
        <f>IF(Data!#REF!="","",IF(ISNUMBER(MATCH(Data!#REF!,Data_Val!$A$2:$A$3,0)),0,1))</f>
        <v>#REF!</v>
      </c>
      <c r="AD1001" s="11" t="e">
        <f ca="1">IF(Data!#REF!="","",IF(ISNUMBER(Data!#REF!),IF(AND(Data!#REF!&gt;(TODAY()-(Data_Val!$L$3*365.25)),Data!#REF!&lt;=(TODAY()-(Data_Val!$L$2*365.25))),0,1),1))</f>
        <v>#REF!</v>
      </c>
      <c r="AE1001" s="11" t="e">
        <f>IF(Data!#REF!="","",IF(Data!$G1001="",1,IF(ISNUMBER(MATCH(Data!#REF!,Data_Val!$D$2:$D$10,0)),0,1)))</f>
        <v>#REF!</v>
      </c>
      <c r="AF1001" s="12"/>
      <c r="AG1001" s="12" t="e">
        <f>IF(Data!#REF!="","",IF(ISNUMBER(MATCH(Data!#REF!,Data_Val!$A$2:$A$3,0)),0,1))</f>
        <v>#REF!</v>
      </c>
      <c r="AH1001" s="26" t="e">
        <f ca="1">IF(Data!#REF!="","",IF(ISNUMBER(Data!#REF!),IF(AND(Data!#REF!&gt;(TODAY()-(Data_Val!$L$3*365.25)),Data!#REF!&lt;=(TODAY()-(Data_Val!$L$2*365.25))),0,1),1))</f>
        <v>#REF!</v>
      </c>
      <c r="AI1001" s="12" t="e">
        <f>IF(Data!#REF!="","",IF(Data!$G1001="",1,IF(ISNUMBER(MATCH(Data!#REF!,Data_Val!$D$2:$D$10,0)),0,1)))</f>
        <v>#REF!</v>
      </c>
      <c r="AJ1001" s="17"/>
      <c r="AK1001" s="17" t="e">
        <f>IF(Data!#REF!="","",IF(ISNUMBER(MATCH(Data!#REF!,Data_Val!$A$2:$A$3,0)),0,1))</f>
        <v>#REF!</v>
      </c>
      <c r="AL1001" s="25" t="e">
        <f ca="1">IF(Data!#REF!="","",IF(ISNUMBER(Data!#REF!),IF(AND(Data!#REF!&gt;(TODAY()-(Data_Val!$L$3*365.25)),Data!#REF!&lt;=(TODAY()-(Data_Val!$L$2*365.25))),0,1),1))</f>
        <v>#REF!</v>
      </c>
      <c r="AM1001" s="17" t="e">
        <f>IF(Data!#REF!="","",IF(Data!$G1001="",1,IF(ISNUMBER(MATCH(Data!#REF!,Data_Val!$D$2:$D$10,0)),0,1)))</f>
        <v>#REF!</v>
      </c>
      <c r="AN1001" s="13"/>
      <c r="AO1001" s="28" t="e">
        <f ca="1">IF(Data!#REF!="","",IF(ISNUMBER(Data!#REF!),IF(AND(Data!#REF!&gt;(TODAY()-(Data_Val!$I$3*365.25)),Data!#REF!&lt;=(TODAY()-(Data_Val!$I$2*365.25))),0,1),1))</f>
        <v>#REF!</v>
      </c>
      <c r="AP1001" s="13" t="e">
        <f>IF(Data!#REF!="","",IF(Data!$G1001="",1,IF(ISNUMBER(MATCH(Data!#REF!,Data_Val!$D$2:$D$10,0)),0,1)))</f>
        <v>#REF!</v>
      </c>
      <c r="AQ1001" s="17"/>
      <c r="AR1001" s="30" t="e">
        <f ca="1">IF(Data!#REF!="","",IF(ISNUMBER(Data!#REF!),IF(AND(Data!#REF!&gt;(TODAY()-(Data_Val!$I$3*365.25)),Data!#REF!&lt;=(TODAY()-(Data_Val!$I$2*365.25))),0,1),1))</f>
        <v>#REF!</v>
      </c>
      <c r="AS1001" s="31" t="e">
        <f>IF(Data!#REF!="","",IF(Data!$G1001="",1,IF(ISNUMBER(MATCH(Data!#REF!,Data_Val!$D$2:$D$10,0)),0,1)))</f>
        <v>#REF!</v>
      </c>
      <c r="AT1001" s="11"/>
      <c r="AU1001" s="11" t="e">
        <f ca="1">IF(Data!#REF!="","",IF(ISNUMBER(Data!#REF!),IF(AND(Data!#REF!&gt;(TODAY()-(Data_Val!$I$3*365.25)),Data!#REF!&lt;=(TODAY()-(Data_Val!$I$2*365.25))),0,1),1))</f>
        <v>#REF!</v>
      </c>
      <c r="AV1001" s="11" t="e">
        <f>IF(Data!#REF!="","",IF(Data!$G1001="",1,IF(ISNUMBER(MATCH(Data!#REF!,Data_Val!$D$2:$D$10,0)),0,1)))</f>
        <v>#REF!</v>
      </c>
      <c r="AW1001" s="12"/>
      <c r="AX1001" s="26" t="e">
        <f ca="1">IF(Data!#REF!="","",IF(ISNUMBER(Data!#REF!),IF(AND(Data!#REF!&gt;(TODAY()-(Data_Val!$I$3*365.25)),Data!#REF!&lt;=(TODAY()-(Data_Val!$I$2*365.25))),0,1),1))</f>
        <v>#REF!</v>
      </c>
      <c r="AY1001" s="12" t="e">
        <f>IF(Data!#REF!="","",IF(Data!$G1001="",1,IF(ISNUMBER(MATCH(Data!#REF!,Data_Val!$D$2:$D$10,0)),0,1)))</f>
        <v>#REF!</v>
      </c>
      <c r="AZ1001" s="11"/>
      <c r="BA1001" s="19" t="e">
        <f ca="1">IF(Data!#REF!="","",IF(ISNUMBER(Data!#REF!),IF(AND(Data!#REF!&gt;(TODAY()-(Data_Val!$M$3*365.25)),Data!#REF!&lt;=(TODAY()-(Data_Val!$M$2*365.25))),0,1),1))</f>
        <v>#REF!</v>
      </c>
      <c r="BB1001" s="11" t="e">
        <f>IF(Data!#REF!="","",IF(Data!$G1001="",1,IF(ISNUMBER(MATCH(Data!#REF!,Data_Val!$D$2:$D$10,0)),0,1)))</f>
        <v>#REF!</v>
      </c>
      <c r="BC1001" s="12"/>
      <c r="BD1001" s="20" t="e">
        <f ca="1">IF(Data!#REF!="","",IF(ISNUMBER(Data!#REF!),IF(AND(Data!#REF!&gt;(TODAY()-(Data_Val!$M$3*365.25)),Data!#REF!&lt;=(TODAY()-(Data_Val!$M$2*365.25))),0,1),1))</f>
        <v>#REF!</v>
      </c>
      <c r="BE1001" s="12" t="e">
        <f>IF(Data!#REF!="","",IF(Data!$G1001="",1,IF(ISNUMBER(MATCH(Data!#REF!,Data_Val!$D$2:$D$10,0)),0,1)))</f>
        <v>#REF!</v>
      </c>
      <c r="BF1001" s="17"/>
      <c r="BG1001" s="18" t="e">
        <f ca="1">IF(Data!#REF!="","",IF(ISNUMBER(Data!#REF!),IF(AND(Data!#REF!&gt;(TODAY()-(Data_Val!$M$3*365.25)),Data!#REF!&lt;=(TODAY()-(Data_Val!$M$2*365.25))),0,1),1))</f>
        <v>#REF!</v>
      </c>
      <c r="BH1001" s="29" t="e">
        <f>IF(Data!#REF!="","",IF(Data!$G1001="",1,IF(ISNUMBER(MATCH(Data!#REF!,Data_Val!$D$2:$D$10,0)),0,1)))</f>
        <v>#REF!</v>
      </c>
      <c r="BI1001" s="13"/>
      <c r="BJ1001" s="21" t="e">
        <f ca="1">IF(Data!#REF!="","",IF(ISNUMBER(Data!#REF!),IF(AND(Data!#REF!&gt;(TODAY()-(Data_Val!$M$3*365.25)),Data!#REF!&lt;=(TODAY()-(Data_Val!$M$2*365.25))),0,1),1))</f>
        <v>#REF!</v>
      </c>
      <c r="BK1001" s="13" t="e">
        <f>IF(Data!#REF!="","",IF(Data!$G1001="",1,IF(ISNUMBER(MATCH(Data!#REF!,Data_Val!$D$2:$D$10,0)),0,1)))</f>
        <v>#REF!</v>
      </c>
    </row>
  </sheetData>
  <sheetProtection selectLockedCells="1" selectUnlockedCells="1"/>
  <conditionalFormatting sqref="BJ2:BK1001">
    <cfRule type="expression" dxfId="5" priority="4">
      <formula>BJ2:CH1001=1</formula>
    </cfRule>
  </conditionalFormatting>
  <conditionalFormatting sqref="BG2:BI1001">
    <cfRule type="expression" dxfId="4" priority="1">
      <formula>BG2:CD1001=1</formula>
    </cfRule>
  </conditionalFormatting>
  <conditionalFormatting sqref="AZ2:AZ1001">
    <cfRule type="expression" dxfId="3" priority="106">
      <formula>AZ2:BX1001=1</formula>
    </cfRule>
  </conditionalFormatting>
  <conditionalFormatting sqref="BF2:BF1001">
    <cfRule type="expression" dxfId="2" priority="155">
      <formula>BF2:CB1001=1</formula>
    </cfRule>
  </conditionalFormatting>
  <conditionalFormatting sqref="BD2:BE1001">
    <cfRule type="expression" dxfId="1" priority="157">
      <formula>BD2:CD1001=1</formula>
    </cfRule>
  </conditionalFormatting>
  <conditionalFormatting sqref="BA2:BC1001">
    <cfRule type="expression" dxfId="0" priority="183">
      <formula>BA2:BZ1001=1</formula>
    </cfRule>
  </conditionalFormatting>
  <pageMargins left="0.7" right="0.7" top="0.75" bottom="0.75" header="0.3" footer="0.3"/>
  <pageSetup paperSize="9" orientation="portrait" horizont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B4ABA-EB8C-44B4-A513-A2D69B87687E}">
  <sheetPr codeName="Sheet2">
    <tabColor theme="0" tint="-0.499984740745262"/>
  </sheetPr>
  <dimension ref="A1:X49"/>
  <sheetViews>
    <sheetView workbookViewId="0">
      <selection activeCell="A4" sqref="A4"/>
    </sheetView>
  </sheetViews>
  <sheetFormatPr defaultRowHeight="13.2" x14ac:dyDescent="0.25"/>
  <cols>
    <col min="1" max="1" width="13.88671875" customWidth="1"/>
    <col min="2" max="2" width="20.109375" bestFit="1" customWidth="1"/>
    <col min="3" max="3" width="35.109375" bestFit="1" customWidth="1"/>
    <col min="4" max="4" width="23.33203125" customWidth="1"/>
    <col min="5" max="5" width="21.6640625" customWidth="1"/>
    <col min="6" max="6" width="34.33203125" bestFit="1" customWidth="1"/>
    <col min="7" max="7" width="13.44140625" bestFit="1" customWidth="1"/>
    <col min="8" max="8" width="25.88671875" bestFit="1" customWidth="1"/>
    <col min="9" max="9" width="24.44140625" bestFit="1" customWidth="1"/>
    <col min="10" max="10" width="18.44140625" customWidth="1"/>
    <col min="11" max="11" width="18.109375" customWidth="1"/>
  </cols>
  <sheetData>
    <row r="1" spans="1:24" x14ac:dyDescent="0.25">
      <c r="A1" s="1" t="s">
        <v>64</v>
      </c>
      <c r="B1" s="1" t="s">
        <v>65</v>
      </c>
      <c r="C1" s="1" t="s">
        <v>6</v>
      </c>
      <c r="D1" s="1" t="s">
        <v>21</v>
      </c>
      <c r="E1" s="1" t="s">
        <v>22</v>
      </c>
      <c r="F1" s="1" t="s">
        <v>66</v>
      </c>
      <c r="G1" s="1" t="s">
        <v>67</v>
      </c>
      <c r="H1" s="1" t="s">
        <v>68</v>
      </c>
      <c r="I1" s="1" t="s">
        <v>69</v>
      </c>
      <c r="J1" s="1" t="s">
        <v>70</v>
      </c>
      <c r="K1" s="1" t="s">
        <v>71</v>
      </c>
      <c r="L1" s="1" t="s">
        <v>72</v>
      </c>
      <c r="M1" s="1" t="s">
        <v>73</v>
      </c>
      <c r="O1" s="1" t="s">
        <v>74</v>
      </c>
    </row>
    <row r="2" spans="1:24" x14ac:dyDescent="0.25">
      <c r="A2" t="s">
        <v>75</v>
      </c>
      <c r="B2" t="s">
        <v>76</v>
      </c>
      <c r="C2" t="s">
        <v>77</v>
      </c>
      <c r="D2" t="s">
        <v>78</v>
      </c>
      <c r="E2" t="s">
        <v>79</v>
      </c>
      <c r="F2" t="s">
        <v>80</v>
      </c>
      <c r="G2" s="24">
        <v>99999</v>
      </c>
      <c r="H2" s="24">
        <v>3</v>
      </c>
      <c r="I2">
        <v>25</v>
      </c>
      <c r="J2">
        <v>18</v>
      </c>
      <c r="K2">
        <v>18</v>
      </c>
      <c r="L2">
        <v>0</v>
      </c>
      <c r="M2">
        <v>3</v>
      </c>
      <c r="O2" t="s">
        <v>81</v>
      </c>
    </row>
    <row r="3" spans="1:24" x14ac:dyDescent="0.25">
      <c r="A3" t="s">
        <v>82</v>
      </c>
      <c r="B3" t="s">
        <v>83</v>
      </c>
      <c r="C3" t="s">
        <v>84</v>
      </c>
      <c r="D3" t="s">
        <v>85</v>
      </c>
      <c r="E3" t="s">
        <v>86</v>
      </c>
      <c r="F3" t="s">
        <v>87</v>
      </c>
      <c r="G3" s="24">
        <v>9999999999</v>
      </c>
      <c r="H3" s="24">
        <v>66</v>
      </c>
      <c r="I3">
        <v>80</v>
      </c>
      <c r="J3">
        <v>101</v>
      </c>
      <c r="K3">
        <v>66</v>
      </c>
      <c r="L3">
        <v>26</v>
      </c>
      <c r="M3">
        <v>46</v>
      </c>
      <c r="O3" t="s">
        <v>88</v>
      </c>
    </row>
    <row r="4" spans="1:24" x14ac:dyDescent="0.25">
      <c r="B4" t="s">
        <v>89</v>
      </c>
      <c r="D4" t="s">
        <v>90</v>
      </c>
      <c r="E4" t="s">
        <v>91</v>
      </c>
      <c r="F4" t="s">
        <v>92</v>
      </c>
      <c r="O4" t="s">
        <v>93</v>
      </c>
    </row>
    <row r="5" spans="1:24" x14ac:dyDescent="0.25">
      <c r="B5" t="s">
        <v>94</v>
      </c>
      <c r="D5" t="s">
        <v>95</v>
      </c>
      <c r="E5" t="s">
        <v>96</v>
      </c>
      <c r="F5" t="s">
        <v>97</v>
      </c>
    </row>
    <row r="6" spans="1:24" x14ac:dyDescent="0.25">
      <c r="B6" t="s">
        <v>98</v>
      </c>
      <c r="D6" t="s">
        <v>99</v>
      </c>
      <c r="E6" t="s">
        <v>100</v>
      </c>
      <c r="F6" t="s">
        <v>101</v>
      </c>
    </row>
    <row r="7" spans="1:24" x14ac:dyDescent="0.25">
      <c r="B7" t="s">
        <v>102</v>
      </c>
      <c r="D7" t="s">
        <v>103</v>
      </c>
      <c r="E7" t="s">
        <v>104</v>
      </c>
      <c r="F7" t="s">
        <v>105</v>
      </c>
    </row>
    <row r="8" spans="1:24" x14ac:dyDescent="0.25">
      <c r="B8" t="s">
        <v>106</v>
      </c>
      <c r="D8" t="s">
        <v>107</v>
      </c>
      <c r="E8" t="s">
        <v>108</v>
      </c>
      <c r="F8" t="s">
        <v>109</v>
      </c>
    </row>
    <row r="9" spans="1:24" x14ac:dyDescent="0.25">
      <c r="B9" t="s">
        <v>110</v>
      </c>
      <c r="D9" t="s">
        <v>111</v>
      </c>
      <c r="E9" t="s">
        <v>112</v>
      </c>
      <c r="F9" t="s">
        <v>113</v>
      </c>
    </row>
    <row r="10" spans="1:24" x14ac:dyDescent="0.25">
      <c r="B10" t="s">
        <v>114</v>
      </c>
      <c r="D10" t="s">
        <v>115</v>
      </c>
      <c r="E10" t="s">
        <v>116</v>
      </c>
      <c r="F10" t="s">
        <v>117</v>
      </c>
    </row>
    <row r="11" spans="1:24" x14ac:dyDescent="0.25">
      <c r="B11" t="s">
        <v>118</v>
      </c>
      <c r="D11" t="s">
        <v>119</v>
      </c>
      <c r="E11" t="s">
        <v>120</v>
      </c>
      <c r="F11" t="s">
        <v>121</v>
      </c>
    </row>
    <row r="12" spans="1:24" x14ac:dyDescent="0.25">
      <c r="B12" t="s">
        <v>122</v>
      </c>
      <c r="D12" t="s">
        <v>123</v>
      </c>
      <c r="E12" t="s">
        <v>124</v>
      </c>
      <c r="F12" t="s">
        <v>125</v>
      </c>
    </row>
    <row r="13" spans="1:24" x14ac:dyDescent="0.25">
      <c r="D13" t="s">
        <v>126</v>
      </c>
      <c r="F13" t="s">
        <v>127</v>
      </c>
    </row>
    <row r="14" spans="1:24" x14ac:dyDescent="0.25">
      <c r="D14" t="s">
        <v>79</v>
      </c>
      <c r="F14" t="s">
        <v>128</v>
      </c>
    </row>
    <row r="15" spans="1:24" x14ac:dyDescent="0.25">
      <c r="D15" t="s">
        <v>86</v>
      </c>
      <c r="F15" t="s">
        <v>129</v>
      </c>
    </row>
    <row r="16" spans="1:24" ht="13.8" x14ac:dyDescent="0.25">
      <c r="D16" t="s">
        <v>91</v>
      </c>
      <c r="F16" t="s">
        <v>130</v>
      </c>
      <c r="X16" s="32"/>
    </row>
    <row r="17" spans="4:24" ht="13.8" x14ac:dyDescent="0.25">
      <c r="D17" t="s">
        <v>96</v>
      </c>
      <c r="F17" t="s">
        <v>131</v>
      </c>
      <c r="X17" s="32"/>
    </row>
    <row r="18" spans="4:24" ht="13.8" x14ac:dyDescent="0.25">
      <c r="D18" t="s">
        <v>132</v>
      </c>
      <c r="F18" t="s">
        <v>133</v>
      </c>
      <c r="X18" s="32"/>
    </row>
    <row r="19" spans="4:24" ht="13.8" x14ac:dyDescent="0.25">
      <c r="D19" t="s">
        <v>134</v>
      </c>
      <c r="F19" t="s">
        <v>135</v>
      </c>
      <c r="X19" s="32"/>
    </row>
    <row r="20" spans="4:24" ht="13.8" x14ac:dyDescent="0.25">
      <c r="D20" t="s">
        <v>136</v>
      </c>
      <c r="F20" t="s">
        <v>137</v>
      </c>
      <c r="X20" s="32"/>
    </row>
    <row r="21" spans="4:24" ht="13.8" x14ac:dyDescent="0.25">
      <c r="D21" t="s">
        <v>138</v>
      </c>
      <c r="F21" t="s">
        <v>139</v>
      </c>
      <c r="X21" s="32"/>
    </row>
    <row r="22" spans="4:24" ht="13.8" x14ac:dyDescent="0.25">
      <c r="D22" t="s">
        <v>140</v>
      </c>
      <c r="F22" t="s">
        <v>141</v>
      </c>
      <c r="X22" s="32"/>
    </row>
    <row r="23" spans="4:24" ht="13.8" x14ac:dyDescent="0.25">
      <c r="D23" t="s">
        <v>142</v>
      </c>
      <c r="F23" t="s">
        <v>143</v>
      </c>
      <c r="X23" s="32"/>
    </row>
    <row r="24" spans="4:24" ht="13.8" x14ac:dyDescent="0.25">
      <c r="D24" t="s">
        <v>144</v>
      </c>
      <c r="F24" t="s">
        <v>145</v>
      </c>
      <c r="X24" s="32"/>
    </row>
    <row r="25" spans="4:24" ht="13.8" x14ac:dyDescent="0.25">
      <c r="D25" t="s">
        <v>146</v>
      </c>
      <c r="F25" t="s">
        <v>147</v>
      </c>
      <c r="X25" s="32"/>
    </row>
    <row r="26" spans="4:24" ht="13.8" x14ac:dyDescent="0.25">
      <c r="D26" t="s">
        <v>148</v>
      </c>
      <c r="F26" t="s">
        <v>149</v>
      </c>
      <c r="X26" s="32"/>
    </row>
    <row r="27" spans="4:24" ht="13.8" x14ac:dyDescent="0.25">
      <c r="D27" t="s">
        <v>150</v>
      </c>
      <c r="F27" t="s">
        <v>151</v>
      </c>
      <c r="X27" s="32"/>
    </row>
    <row r="28" spans="4:24" ht="13.8" x14ac:dyDescent="0.25">
      <c r="D28" t="s">
        <v>152</v>
      </c>
      <c r="F28" t="s">
        <v>153</v>
      </c>
      <c r="X28" s="32"/>
    </row>
    <row r="29" spans="4:24" ht="13.8" x14ac:dyDescent="0.25">
      <c r="D29" t="s">
        <v>154</v>
      </c>
      <c r="F29" t="s">
        <v>155</v>
      </c>
      <c r="X29" s="32"/>
    </row>
    <row r="30" spans="4:24" ht="13.8" x14ac:dyDescent="0.25">
      <c r="D30" t="s">
        <v>156</v>
      </c>
      <c r="F30" t="s">
        <v>157</v>
      </c>
      <c r="X30" s="32"/>
    </row>
    <row r="31" spans="4:24" ht="13.8" x14ac:dyDescent="0.25">
      <c r="D31" t="s">
        <v>158</v>
      </c>
      <c r="F31" t="s">
        <v>159</v>
      </c>
      <c r="X31" s="32"/>
    </row>
    <row r="32" spans="4:24" ht="13.8" x14ac:dyDescent="0.25">
      <c r="D32" t="s">
        <v>160</v>
      </c>
      <c r="F32" t="s">
        <v>161</v>
      </c>
      <c r="X32" s="32"/>
    </row>
    <row r="33" spans="4:24" ht="13.8" x14ac:dyDescent="0.25">
      <c r="D33" t="s">
        <v>162</v>
      </c>
      <c r="F33" t="s">
        <v>163</v>
      </c>
      <c r="X33" s="32"/>
    </row>
    <row r="34" spans="4:24" ht="13.8" x14ac:dyDescent="0.25">
      <c r="D34" t="s">
        <v>164</v>
      </c>
      <c r="F34" t="s">
        <v>165</v>
      </c>
      <c r="X34" s="32"/>
    </row>
    <row r="35" spans="4:24" ht="13.8" x14ac:dyDescent="0.25">
      <c r="D35" t="s">
        <v>166</v>
      </c>
      <c r="F35" t="s">
        <v>167</v>
      </c>
      <c r="X35" s="32"/>
    </row>
    <row r="36" spans="4:24" ht="13.8" x14ac:dyDescent="0.25">
      <c r="F36" t="s">
        <v>168</v>
      </c>
      <c r="X36" s="32"/>
    </row>
    <row r="37" spans="4:24" ht="13.8" x14ac:dyDescent="0.25">
      <c r="F37" t="s">
        <v>169</v>
      </c>
      <c r="X37" s="32"/>
    </row>
    <row r="38" spans="4:24" ht="13.8" x14ac:dyDescent="0.25">
      <c r="X38" s="32"/>
    </row>
    <row r="39" spans="4:24" ht="13.8" x14ac:dyDescent="0.25">
      <c r="X39" s="32"/>
    </row>
    <row r="40" spans="4:24" ht="13.8" x14ac:dyDescent="0.25">
      <c r="X40" s="32"/>
    </row>
    <row r="41" spans="4:24" ht="13.8" x14ac:dyDescent="0.25">
      <c r="X41" s="32"/>
    </row>
    <row r="42" spans="4:24" ht="13.8" x14ac:dyDescent="0.25">
      <c r="X42" s="32"/>
    </row>
    <row r="43" spans="4:24" ht="13.8" x14ac:dyDescent="0.25">
      <c r="X43" s="32"/>
    </row>
    <row r="44" spans="4:24" ht="13.8" x14ac:dyDescent="0.25">
      <c r="X44" s="32"/>
    </row>
    <row r="45" spans="4:24" ht="13.8" x14ac:dyDescent="0.25">
      <c r="X45" s="32"/>
    </row>
    <row r="46" spans="4:24" ht="13.8" x14ac:dyDescent="0.25">
      <c r="X46" s="32"/>
    </row>
    <row r="47" spans="4:24" ht="13.8" x14ac:dyDescent="0.25">
      <c r="X47" s="32"/>
    </row>
    <row r="48" spans="4:24" ht="13.8" x14ac:dyDescent="0.25">
      <c r="X48" s="32"/>
    </row>
    <row r="49" spans="24:24" ht="13.8" x14ac:dyDescent="0.25">
      <c r="X49" s="32"/>
    </row>
  </sheetData>
  <sheetProtection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Onsurity</dc:creator>
  <cp:keywords/>
  <dc:description/>
  <cp:lastModifiedBy>Sraban Kumar</cp:lastModifiedBy>
  <cp:revision/>
  <dcterms:created xsi:type="dcterms:W3CDTF">2020-11-22T12:05:26Z</dcterms:created>
  <dcterms:modified xsi:type="dcterms:W3CDTF">2024-12-12T03:03:52Z</dcterms:modified>
  <cp:category/>
  <cp:contentStatus/>
</cp:coreProperties>
</file>